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Semana 23" sheetId="2" r:id="rId6"/>
    <sheet state="visible" name="Semana 22" sheetId="3" r:id="rId7"/>
    <sheet state="visible" name="Semana 17" sheetId="4" r:id="rId8"/>
    <sheet state="visible" name="Productos" sheetId="5" r:id="rId9"/>
    <sheet state="hidden" name="DATOS" sheetId="6" r:id="rId10"/>
    <sheet state="hidden" name="Hoja 6" sheetId="7" r:id="rId11"/>
    <sheet state="visible" name="Recetas" sheetId="8" r:id="rId12"/>
    <sheet state="visible" name="Eventos" sheetId="9" r:id="rId13"/>
  </sheets>
  <definedNames>
    <definedName name="NUMSEM">DATOS!$A:$A</definedName>
    <definedName name="productos">Productos!$A:$A</definedName>
    <definedName hidden="1" localSheetId="0" name="Z_8A7E66BB_38D2_4FD0_86D6_003D18464A8B_.wvu.FilterData">Resumen!$B$5:$J$5</definedName>
  </definedNames>
  <calcPr/>
  <customWorkbookViews>
    <customWorkbookView activeSheetId="0" maximized="1" windowHeight="0" windowWidth="0" guid="{8A7E66BB-38D2-4FD0-86D6-003D18464A8B}" name="PANES"/>
  </customWorkbookViews>
</workbook>
</file>

<file path=xl/sharedStrings.xml><?xml version="1.0" encoding="utf-8"?>
<sst xmlns="http://schemas.openxmlformats.org/spreadsheetml/2006/main" count="3976" uniqueCount="368">
  <si>
    <t>FILTRO SEMANA</t>
  </si>
  <si>
    <t>PRODUCTOS</t>
  </si>
  <si>
    <t>LUNES</t>
  </si>
  <si>
    <t>MARTES</t>
  </si>
  <si>
    <t>MIÉRCOLES</t>
  </si>
  <si>
    <t>JUEVES</t>
  </si>
  <si>
    <t>VIERNES</t>
  </si>
  <si>
    <t>SÁBADO</t>
  </si>
  <si>
    <t>DOMINGO</t>
  </si>
  <si>
    <t>TOTAL</t>
  </si>
  <si>
    <t>RESUMEN PAN SEMANAL</t>
  </si>
  <si>
    <t>RESUMEN PROTEINA SEMANAL</t>
  </si>
  <si>
    <t>RESUMEN PALTA Y TOMATE SEMANAL PROCESADO</t>
  </si>
  <si>
    <t>Tomate Laminado</t>
  </si>
  <si>
    <t>Tomate Picado</t>
  </si>
  <si>
    <t>Palta</t>
  </si>
  <si>
    <t>PEDIDO PALTA Y TOMATE SEMANAL (BELTRA)</t>
  </si>
  <si>
    <t>TOMATE</t>
  </si>
  <si>
    <t>PALTA</t>
  </si>
  <si>
    <t>Queso</t>
  </si>
  <si>
    <t>Lechuga</t>
  </si>
  <si>
    <t>Cebolla Caramelizada</t>
  </si>
  <si>
    <t>Crema Ácida</t>
  </si>
  <si>
    <t>Champiñon</t>
  </si>
  <si>
    <t>BBQ</t>
  </si>
  <si>
    <t>Salsa Verde</t>
  </si>
  <si>
    <t>Chucrut</t>
  </si>
  <si>
    <t>Ají Verde</t>
  </si>
  <si>
    <t>Papas Hilo</t>
  </si>
  <si>
    <t>Salsa Americana</t>
  </si>
  <si>
    <t>Poroto Negro</t>
  </si>
  <si>
    <t>Cebolla Morada</t>
  </si>
  <si>
    <t>Pepinillos</t>
  </si>
  <si>
    <t>Pimentón Salteado</t>
  </si>
  <si>
    <t>Tocino</t>
  </si>
  <si>
    <t>Base helado</t>
  </si>
  <si>
    <t>Salsa sundae</t>
  </si>
  <si>
    <t>Mix granizado</t>
  </si>
  <si>
    <t>Azúcar</t>
  </si>
  <si>
    <t>Maíz</t>
  </si>
  <si>
    <t>Aceite</t>
  </si>
  <si>
    <t>Mix Algodón</t>
  </si>
  <si>
    <t>Plátano</t>
  </si>
  <si>
    <t>Frutilla</t>
  </si>
  <si>
    <t>Marshmallow</t>
  </si>
  <si>
    <t>Azúcar flor</t>
  </si>
  <si>
    <t>Porta HotDog</t>
  </si>
  <si>
    <t>Plato Redondo</t>
  </si>
  <si>
    <t>Saco Blanco</t>
  </si>
  <si>
    <t>Estuche Papas Fritas</t>
  </si>
  <si>
    <t>DEL SABOR</t>
  </si>
  <si>
    <t>Domingo</t>
  </si>
  <si>
    <t>Marca</t>
  </si>
  <si>
    <t>Día</t>
  </si>
  <si>
    <t>Cliente</t>
  </si>
  <si>
    <t>Producto</t>
  </si>
  <si>
    <t>Cantidad</t>
  </si>
  <si>
    <t>INGREDIENTES</t>
  </si>
  <si>
    <t>EDUARDO JEREZ</t>
  </si>
  <si>
    <t>HotDog Italiano</t>
  </si>
  <si>
    <t>Pan Lengua</t>
  </si>
  <si>
    <t>Salchicha</t>
  </si>
  <si>
    <t>EXPRESS</t>
  </si>
  <si>
    <t>Lunes</t>
  </si>
  <si>
    <t>Brenda</t>
  </si>
  <si>
    <t>Pop corn</t>
  </si>
  <si>
    <t>Cucurucho</t>
  </si>
  <si>
    <t>Operador extra</t>
  </si>
  <si>
    <t>Miércoles</t>
  </si>
  <si>
    <t>FRANCISCA ANABALÓN</t>
  </si>
  <si>
    <t>Mechada Italiana</t>
  </si>
  <si>
    <t>Pan Brioche</t>
  </si>
  <si>
    <t>Mechada Vacuno</t>
  </si>
  <si>
    <t>As Luco</t>
  </si>
  <si>
    <t>Vacuno</t>
  </si>
  <si>
    <t>GOURMET</t>
  </si>
  <si>
    <t>PAOLA GODOY</t>
  </si>
  <si>
    <t>Hot Dog Italiano</t>
  </si>
  <si>
    <t>Jueves</t>
  </si>
  <si>
    <t>DANIELA SALTRON</t>
  </si>
  <si>
    <t>Hamburguesas clásicas</t>
  </si>
  <si>
    <t>Hamburguesa</t>
  </si>
  <si>
    <t>Viernes</t>
  </si>
  <si>
    <t>MARIA MARCELA SABUCEO</t>
  </si>
  <si>
    <t>Hamburguesa Gourmet</t>
  </si>
  <si>
    <t>Hamburguesa Smash</t>
  </si>
  <si>
    <t>Churrasco Gourmet</t>
  </si>
  <si>
    <t>ALFONSO BELANDRIA</t>
  </si>
  <si>
    <t>Churrasco Italiano</t>
  </si>
  <si>
    <t>CAMALEON</t>
  </si>
  <si>
    <t>Sábado</t>
  </si>
  <si>
    <t>MARÍA FERNANDA NOULDON</t>
  </si>
  <si>
    <t>DANIEL VALENZUELA</t>
  </si>
  <si>
    <t>LIDIA SANDOVAL</t>
  </si>
  <si>
    <t>ALEJANDRA SÁEZ</t>
  </si>
  <si>
    <t>Martes</t>
  </si>
  <si>
    <t>NATALIA AGUILERA</t>
  </si>
  <si>
    <t xml:space="preserve">Chocolate Caliente y decoración </t>
  </si>
  <si>
    <t>Cafe Caliente</t>
  </si>
  <si>
    <t>Montaje</t>
  </si>
  <si>
    <t>Traslado</t>
  </si>
  <si>
    <t>RODRIGO TAPIA</t>
  </si>
  <si>
    <t>Hot Dog Italiano Veggie</t>
  </si>
  <si>
    <t>JAVIERA QUIJANO</t>
  </si>
  <si>
    <t>Hamburguesa Italiana</t>
  </si>
  <si>
    <t>Hamburguesa Gourmet Veggie</t>
  </si>
  <si>
    <t>Hamburguesa Clasica Veggie</t>
  </si>
  <si>
    <t>FRANCISCA HERREROS</t>
  </si>
  <si>
    <t>TERESA MIRANDA</t>
  </si>
  <si>
    <t>Burger Clásica</t>
  </si>
  <si>
    <t>NOT Burger Clásica</t>
  </si>
  <si>
    <t>JUAN PABLO DIAZ</t>
  </si>
  <si>
    <t>Hamburguesas Clásicas Not Burger</t>
  </si>
  <si>
    <t>FELIPE OLIVA</t>
  </si>
  <si>
    <t>Hot Dog Dinamico</t>
  </si>
  <si>
    <t>ALE MC KAY</t>
  </si>
  <si>
    <t>Bebidas</t>
  </si>
  <si>
    <t>Bebestibles calientes</t>
  </si>
  <si>
    <t>NATALIA LAGOS</t>
  </si>
  <si>
    <t>Papas Fritas</t>
  </si>
  <si>
    <t>JAVIER A. VERGARA</t>
  </si>
  <si>
    <t>MARÍA SOL DE CABO</t>
  </si>
  <si>
    <t>Wraps Mixto Clásico</t>
  </si>
  <si>
    <t>Tortilla</t>
  </si>
  <si>
    <t>Lomito Italiano</t>
  </si>
  <si>
    <t>Cerdo</t>
  </si>
  <si>
    <t>DOMINIQUE DUSSAUBAT</t>
  </si>
  <si>
    <t>Algodón de azúcar</t>
  </si>
  <si>
    <t>Palito</t>
  </si>
  <si>
    <t>Horas extras</t>
  </si>
  <si>
    <t>Catalina Cordoba</t>
  </si>
  <si>
    <t>Mini HotDog Italiano</t>
  </si>
  <si>
    <t>Pan Mini Baguette</t>
  </si>
  <si>
    <t>Mini Burger Italiana</t>
  </si>
  <si>
    <t>Pan Amasado Mini</t>
  </si>
  <si>
    <t>Brocheta de fruta</t>
  </si>
  <si>
    <t>Brocheta</t>
  </si>
  <si>
    <t>Salsa Sundae</t>
  </si>
  <si>
    <t>JORGE GUERRA</t>
  </si>
  <si>
    <t>Lomito italiano</t>
  </si>
  <si>
    <t>MARTINA PLANELLA</t>
  </si>
  <si>
    <t>Smash Burger Gourmet</t>
  </si>
  <si>
    <t>Smash Burger Clasica</t>
  </si>
  <si>
    <t>XIMENA SANDOVAL</t>
  </si>
  <si>
    <t>Wraps Pollo</t>
  </si>
  <si>
    <t>Pollo</t>
  </si>
  <si>
    <t>Wraps Vacuno</t>
  </si>
  <si>
    <t>NOELIA CIFUENTES</t>
  </si>
  <si>
    <t>Hot dogs Italianos</t>
  </si>
  <si>
    <t>Algodones de azúcar</t>
  </si>
  <si>
    <t>MARCELA ABARCA</t>
  </si>
  <si>
    <t>JOSEFINA MADRID</t>
  </si>
  <si>
    <t>CAMILA BONELLI</t>
  </si>
  <si>
    <t>KAREN PIZARRO</t>
  </si>
  <si>
    <t>As Italiano</t>
  </si>
  <si>
    <t>GABRIELA  MORALES</t>
  </si>
  <si>
    <t>LEO GRANDON</t>
  </si>
  <si>
    <t>CAROLINA FUENTES</t>
  </si>
  <si>
    <t>CRISTIAN MARCHANT</t>
  </si>
  <si>
    <t>Bebida en lata</t>
  </si>
  <si>
    <t>Bebida</t>
  </si>
  <si>
    <t>Liquidos Calientes</t>
  </si>
  <si>
    <t>Agua</t>
  </si>
  <si>
    <t>1 operador extra</t>
  </si>
  <si>
    <t>CAROLINA LOPEZ</t>
  </si>
  <si>
    <t>Hamburguesas Italianas</t>
  </si>
  <si>
    <t>PRODUCTO</t>
  </si>
  <si>
    <t>Base</t>
  </si>
  <si>
    <t>Cant.</t>
  </si>
  <si>
    <t>Proteína</t>
  </si>
  <si>
    <t>grs prot</t>
  </si>
  <si>
    <t>Tomate</t>
  </si>
  <si>
    <t>grs tomate</t>
  </si>
  <si>
    <t>Grs Palta</t>
  </si>
  <si>
    <t>Cant./Grs Queso</t>
  </si>
  <si>
    <t>Grs Lechuga</t>
  </si>
  <si>
    <t>Grs Cebolla Caramelizada</t>
  </si>
  <si>
    <t>CC Crema Ácida</t>
  </si>
  <si>
    <t>Grs Champiñon</t>
  </si>
  <si>
    <t>CC BBQ</t>
  </si>
  <si>
    <t>Grs Salsa Verde</t>
  </si>
  <si>
    <t>Grs Chucrut</t>
  </si>
  <si>
    <t>Grs Ají Verde</t>
  </si>
  <si>
    <t>Grs Papas Hilo</t>
  </si>
  <si>
    <t>Grs Salsa Americana</t>
  </si>
  <si>
    <t>Grs Poroto Negro</t>
  </si>
  <si>
    <t>Grs Cebolla Morada</t>
  </si>
  <si>
    <t>Grs Pepinillos</t>
  </si>
  <si>
    <t>Grs Pimentón Salteado</t>
  </si>
  <si>
    <t>Cant. Tocino</t>
  </si>
  <si>
    <t>ML Base helado</t>
  </si>
  <si>
    <t>ML Salsa sundae</t>
  </si>
  <si>
    <t>Grs Mix granizado</t>
  </si>
  <si>
    <t>Grs Azúcar</t>
  </si>
  <si>
    <t>Grs Maíz</t>
  </si>
  <si>
    <t>ML Aceite</t>
  </si>
  <si>
    <t>Grs Mix Algodón</t>
  </si>
  <si>
    <t>Cant. Plátano</t>
  </si>
  <si>
    <t>Cant. Frutilla</t>
  </si>
  <si>
    <t>Cant. Marshmallow</t>
  </si>
  <si>
    <t>Grs Azúcar flor</t>
  </si>
  <si>
    <t>Cant Porta HotDog</t>
  </si>
  <si>
    <t>Cant Plato Redondo</t>
  </si>
  <si>
    <t>Cant. Saco Blanco</t>
  </si>
  <si>
    <t>Cant. Estuche Papas Fritas</t>
  </si>
  <si>
    <t>Agua mineral</t>
  </si>
  <si>
    <t>Agua Mineral</t>
  </si>
  <si>
    <t>As Camaleón</t>
  </si>
  <si>
    <t>40</t>
  </si>
  <si>
    <t>35</t>
  </si>
  <si>
    <t>As Del Sabor</t>
  </si>
  <si>
    <t>As Gourmet</t>
  </si>
  <si>
    <t>As Gourmet XL</t>
  </si>
  <si>
    <t>Flauta 23Cms</t>
  </si>
  <si>
    <t>As Italiano XL</t>
  </si>
  <si>
    <t>50</t>
  </si>
  <si>
    <t>As Luco XL</t>
  </si>
  <si>
    <t>Branding Carro Clásico</t>
  </si>
  <si>
    <t>Gráfica carro clásico</t>
  </si>
  <si>
    <t>Café</t>
  </si>
  <si>
    <t>Churrasco Camaleón</t>
  </si>
  <si>
    <t>1</t>
  </si>
  <si>
    <t>Churrasco Clásico</t>
  </si>
  <si>
    <t>Churrasco de pollo italiano</t>
  </si>
  <si>
    <t>Escalopin de ave</t>
  </si>
  <si>
    <t>Churrasco Del Sabor</t>
  </si>
  <si>
    <t>Churrasco Luco</t>
  </si>
  <si>
    <t>Churros españoles</t>
  </si>
  <si>
    <t>Churro Español</t>
  </si>
  <si>
    <t>Churros Rellenos</t>
  </si>
  <si>
    <t>Churro Relleno</t>
  </si>
  <si>
    <t>Crepes</t>
  </si>
  <si>
    <t>Donuts</t>
  </si>
  <si>
    <t>Empanada</t>
  </si>
  <si>
    <t>Empanadas cóctel</t>
  </si>
  <si>
    <t>Granizado</t>
  </si>
  <si>
    <t>Vaso 330cc</t>
  </si>
  <si>
    <t>Hamburguesa Camaleón vegetariana</t>
  </si>
  <si>
    <t>Not Burger</t>
  </si>
  <si>
    <t>Hamburguesa Clásica</t>
  </si>
  <si>
    <t>Hamburguesa clásica vegetariana</t>
  </si>
  <si>
    <t>Hamburguesa Del Sabor</t>
  </si>
  <si>
    <t>Hamburguesa Gourmet vegetariana</t>
  </si>
  <si>
    <t>Burger Italiana</t>
  </si>
  <si>
    <t>Hamburguesa Italiana Camaleón</t>
  </si>
  <si>
    <t>Hamburguesa Italiana vegetariana</t>
  </si>
  <si>
    <t>Hamburguesa Tejana Camaleón</t>
  </si>
  <si>
    <t>Hamburguesa Tejana vegetariana</t>
  </si>
  <si>
    <t>x</t>
  </si>
  <si>
    <t>Helado Soft</t>
  </si>
  <si>
    <t>Barquillo</t>
  </si>
  <si>
    <t>Helado Sundae</t>
  </si>
  <si>
    <t>Vaso Sundae</t>
  </si>
  <si>
    <t>Hora extra por operador</t>
  </si>
  <si>
    <t>Hora Extra</t>
  </si>
  <si>
    <t>Hot Dog</t>
  </si>
  <si>
    <t>Hot Dog Camaleón</t>
  </si>
  <si>
    <t>Hot Dog Camaleón vegetariano</t>
  </si>
  <si>
    <t>Salchicha Veggie</t>
  </si>
  <si>
    <t>Hot Dog Completo</t>
  </si>
  <si>
    <t>Hot Dog Completo vegetariano</t>
  </si>
  <si>
    <t>Hot Dog Del Sabor</t>
  </si>
  <si>
    <t>Hot Dog Del Sabor vegetariano</t>
  </si>
  <si>
    <t>Hot Dog Dinámico</t>
  </si>
  <si>
    <t>Hot Dog Dinámico vegetariano</t>
  </si>
  <si>
    <t>Hot Dog Dinámico XL</t>
  </si>
  <si>
    <t>Salchicha XL</t>
  </si>
  <si>
    <t>Cucrhut</t>
  </si>
  <si>
    <t>Hot Dog Dinámico XL vegetariano</t>
  </si>
  <si>
    <t>Hot Dog Gourmet</t>
  </si>
  <si>
    <t>Hot Dog Gourmet vegetariano</t>
  </si>
  <si>
    <t>Hot Dog Gourmet XL</t>
  </si>
  <si>
    <t>Hot Dog Gourmet XL vegetariano</t>
  </si>
  <si>
    <t>HotDog Italiano Vegetariano</t>
  </si>
  <si>
    <t>Hot Dog Italiano XL</t>
  </si>
  <si>
    <t>Hot Dog Italiano XL vegetariano</t>
  </si>
  <si>
    <t>Hot Dog vegetariano</t>
  </si>
  <si>
    <t>Jugo en lata</t>
  </si>
  <si>
    <t>Jugo</t>
  </si>
  <si>
    <t>Lomito Camaleón</t>
  </si>
  <si>
    <t>Lomito Clásico</t>
  </si>
  <si>
    <t>Lomito Del Sabor</t>
  </si>
  <si>
    <t>Pi,emtom Salteado</t>
  </si>
  <si>
    <t>Lomito Gourmet</t>
  </si>
  <si>
    <t>Lomito Luco</t>
  </si>
  <si>
    <t>Mechada Clásica</t>
  </si>
  <si>
    <t>Mechada Del Sabor</t>
  </si>
  <si>
    <t>Mechada Gourmet</t>
  </si>
  <si>
    <t>Mechada Italiana Camaleón</t>
  </si>
  <si>
    <t>Mechada Luco</t>
  </si>
  <si>
    <t>Medialuna</t>
  </si>
  <si>
    <t>Mini As Italiano</t>
  </si>
  <si>
    <t>Pan Lengua Mini</t>
  </si>
  <si>
    <t>20</t>
  </si>
  <si>
    <t>Mini As Luco</t>
  </si>
  <si>
    <t>Mini Burger Clásica</t>
  </si>
  <si>
    <t>Mini CheeseBurger</t>
  </si>
  <si>
    <t>Mini Churrasco Especial</t>
  </si>
  <si>
    <t>Mini Churrasco Italiano</t>
  </si>
  <si>
    <t>Mini Lomito Especial</t>
  </si>
  <si>
    <t>Mini Lomito Italiano</t>
  </si>
  <si>
    <t>Mini Mechada Especial</t>
  </si>
  <si>
    <t>Mini Mechada Italiana</t>
  </si>
  <si>
    <t>Muffin</t>
  </si>
  <si>
    <t>NOTburger italiana</t>
  </si>
  <si>
    <t>NOT burger</t>
  </si>
  <si>
    <t>Nuggets</t>
  </si>
  <si>
    <t>Operador Extra</t>
  </si>
  <si>
    <t>Operador</t>
  </si>
  <si>
    <t>Pizza Jamón queso</t>
  </si>
  <si>
    <t>Pizza Pepperoni</t>
  </si>
  <si>
    <t>Pizza Veggie</t>
  </si>
  <si>
    <t>Pizzeta Jamón Queso</t>
  </si>
  <si>
    <t>Pizzeta Pepperoni</t>
  </si>
  <si>
    <t>Pizzeta Veggie</t>
  </si>
  <si>
    <t>Pop Corn</t>
  </si>
  <si>
    <t>Porción Ají Verde</t>
  </si>
  <si>
    <t>Porción Cebolla Caramelizada</t>
  </si>
  <si>
    <t>Porción Queso</t>
  </si>
  <si>
    <t>Waffles</t>
  </si>
  <si>
    <t>Wraps Clásico</t>
  </si>
  <si>
    <t>25</t>
  </si>
  <si>
    <t>Wraps Gourmet</t>
  </si>
  <si>
    <t>Wraps Mechada</t>
  </si>
  <si>
    <t>Wraps Mechada Camaleón</t>
  </si>
  <si>
    <t>Wraps Mechada Clásica</t>
  </si>
  <si>
    <t>Wraps Mixto</t>
  </si>
  <si>
    <t>Mix Proteínas</t>
  </si>
  <si>
    <t>Wraps Mixto Camaleón</t>
  </si>
  <si>
    <t>Wraps Pollo Camaleón</t>
  </si>
  <si>
    <t>Wraps Pollo Clásico</t>
  </si>
  <si>
    <t>Wraps Vacuno Camaleón</t>
  </si>
  <si>
    <t>Wraps Vacuno Clásico</t>
  </si>
  <si>
    <t>Jugo Natural</t>
  </si>
  <si>
    <t>Montaje Evento</t>
  </si>
  <si>
    <t>Mini Bebida</t>
  </si>
  <si>
    <t>Bebida lata mini</t>
  </si>
  <si>
    <t>Pizza Individual Pollo BBQ</t>
  </si>
  <si>
    <t>Pizza Individual Carne Cebolla Caramelizada</t>
  </si>
  <si>
    <t>Pizza Individual Queso Jamón</t>
  </si>
  <si>
    <t>Pizzeta Individual Pollo BBQ</t>
  </si>
  <si>
    <t>Pizzeta Individual Carne Cebolla Caramelizada</t>
  </si>
  <si>
    <t>Pizzeta Individual Queso Jamón</t>
  </si>
  <si>
    <t>Salchipapa</t>
  </si>
  <si>
    <t>Porción Salsa Americana</t>
  </si>
  <si>
    <t>Porción Salsa Verde</t>
  </si>
  <si>
    <t>NUM SEMANA</t>
  </si>
  <si>
    <t>HotDog italiano vegetariano</t>
  </si>
  <si>
    <t>HotDog Camaleón</t>
  </si>
  <si>
    <t>HotDog Completo</t>
  </si>
  <si>
    <t>HotDog Del Sabor</t>
  </si>
  <si>
    <t>HotDog Dinámico</t>
  </si>
  <si>
    <t>HotDog Dinámico XL</t>
  </si>
  <si>
    <t>HotDog Gourmet</t>
  </si>
  <si>
    <t>HotDog Gourmet XL</t>
  </si>
  <si>
    <t>HotDog Italiano XL</t>
  </si>
  <si>
    <t>Mechada</t>
  </si>
  <si>
    <t>Mini AS Italiano</t>
  </si>
  <si>
    <t>Mini AS Luco</t>
  </si>
  <si>
    <t>Mini Burger Cheese</t>
  </si>
  <si>
    <t>Mini Burger Especial</t>
  </si>
  <si>
    <t>Papas Smile</t>
  </si>
  <si>
    <t>Plato rectangular</t>
  </si>
  <si>
    <t/>
  </si>
  <si>
    <t>Fecha</t>
  </si>
  <si>
    <t>Dia</t>
  </si>
  <si>
    <t>Mes</t>
  </si>
  <si>
    <t>Semana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</si>
</sst>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,00k"/>
    <numFmt numFmtId="165" formatCode="0.0"/>
    <numFmt numFmtId="166" formatCode="d/m/yyyy"/>
  </numFmts>
  <fonts count="14">
    <font>
      <sz val="10.0"/>
      <color rgb="FF000000"/>
      <name val="Arial"/>
      <scheme val="minor"/>
    </font>
    <font>
      <color rgb="FFF6F8F9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rgb="FFFF0000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  <font>
      <color rgb="FFFFFF00"/>
      <name val="Arial"/>
      <scheme val="minor"/>
    </font>
    <font>
      <b/>
      <color rgb="FFD9EAD3"/>
      <name val="Arial"/>
    </font>
    <font>
      <color theme="1"/>
      <name val="Arial"/>
    </font>
    <font>
      <sz val="7.0"/>
      <color theme="1"/>
      <name val="Arial"/>
      <scheme val="minor"/>
    </font>
    <font>
      <b/>
      <sz val="10.0"/>
      <color rgb="FFFFFFFF"/>
      <name val="Calibri"/>
    </font>
    <font>
      <sz val="7.0"/>
      <color theme="1"/>
      <name val="Arial"/>
    </font>
    <font>
      <sz val="10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FF0000"/>
        <bgColor rgb="FFFF0000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7FFFD4"/>
        <bgColor rgb="FF7FFFD4"/>
      </patternFill>
    </fill>
    <fill>
      <patternFill patternType="solid">
        <fgColor rgb="FF274E13"/>
        <bgColor rgb="FF274E13"/>
      </patternFill>
    </fill>
    <fill>
      <patternFill patternType="solid">
        <fgColor rgb="FFE7F9EF"/>
        <bgColor rgb="FFE7F9EF"/>
      </patternFill>
    </fill>
    <fill>
      <patternFill patternType="solid">
        <fgColor rgb="FFB7E1CD"/>
        <bgColor rgb="FFB7E1CD"/>
      </patternFill>
    </fill>
  </fills>
  <borders count="50">
    <border/>
    <border>
      <left style="thick">
        <color rgb="FF000000"/>
      </left>
      <right style="thick">
        <color rgb="FF000000"/>
      </right>
      <top style="dotted">
        <color rgb="FFFF0000"/>
      </top>
      <bottom style="dotted">
        <color rgb="FFFF0000"/>
      </bottom>
    </border>
    <border>
      <left style="thick">
        <color rgb="FF000000"/>
      </left>
      <right style="dotted">
        <color rgb="FFFF0000"/>
      </right>
      <top style="dotted">
        <color rgb="FFFF0000"/>
      </top>
      <bottom style="dotted">
        <color rgb="FFFF0000"/>
      </bottom>
    </border>
    <border>
      <left style="dotted">
        <color rgb="FFFF0000"/>
      </left>
      <right style="dotted">
        <color rgb="FFFF0000"/>
      </right>
      <top style="dotted">
        <color rgb="FFFF0000"/>
      </top>
      <bottom style="dotted">
        <color rgb="FFFF0000"/>
      </bottom>
    </border>
    <border>
      <left style="dotted">
        <color rgb="FFFF0000"/>
      </left>
      <top style="dotted">
        <color rgb="FFFF0000"/>
      </top>
      <bottom style="dotted">
        <color rgb="FFFF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dotted">
        <color rgb="FFFF0000"/>
      </bottom>
    </border>
    <border>
      <left style="thick">
        <color rgb="FF000000"/>
      </left>
      <right style="dotted">
        <color rgb="FFFF0000"/>
      </right>
      <top style="thick">
        <color rgb="FF000000"/>
      </top>
      <bottom style="dotted">
        <color rgb="FFFF0000"/>
      </bottom>
    </border>
    <border>
      <left style="dotted">
        <color rgb="FFFF0000"/>
      </left>
      <right style="dotted">
        <color rgb="FFFF0000"/>
      </right>
      <top style="thick">
        <color rgb="FF000000"/>
      </top>
      <bottom style="dotted">
        <color rgb="FFFF0000"/>
      </bottom>
    </border>
    <border>
      <left style="thick">
        <color rgb="FF000000"/>
      </left>
      <right style="thick">
        <color rgb="FF000000"/>
      </right>
      <top style="dotted">
        <color rgb="FFFF0000"/>
      </top>
      <bottom style="thick">
        <color rgb="FF000000"/>
      </bottom>
    </border>
    <border>
      <left style="thick">
        <color rgb="FF000000"/>
      </left>
      <right style="dotted">
        <color rgb="FFFF0000"/>
      </right>
      <top style="dotted">
        <color rgb="FFFF0000"/>
      </top>
      <bottom style="thick">
        <color rgb="FF000000"/>
      </bottom>
    </border>
    <border>
      <left style="dotted">
        <color rgb="FFFF0000"/>
      </left>
      <right style="dotted">
        <color rgb="FFFF0000"/>
      </right>
      <top style="dotted">
        <color rgb="FFFF0000"/>
      </top>
      <bottom style="thick">
        <color rgb="FF000000"/>
      </bottom>
    </border>
    <border>
      <left style="dotted">
        <color rgb="FFFF0000"/>
      </left>
      <top style="dotted">
        <color rgb="FFFF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dotted">
        <color rgb="FFFF0000"/>
      </left>
      <top style="thick">
        <color rgb="FF000000"/>
      </top>
      <bottom style="dotted">
        <color rgb="FFFF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dotted">
        <color rgb="FFFF0000"/>
      </bottom>
    </border>
    <border>
      <left style="thick">
        <color rgb="FF000000"/>
      </left>
      <right style="dotted">
        <color rgb="FFFF0000"/>
      </right>
      <bottom style="dotted">
        <color rgb="FFFF0000"/>
      </bottom>
    </border>
    <border>
      <left style="dotted">
        <color rgb="FFFF0000"/>
      </left>
      <right style="dotted">
        <color rgb="FFFF0000"/>
      </right>
      <bottom style="dotted">
        <color rgb="FFFF0000"/>
      </bottom>
    </border>
    <border>
      <left style="dotted">
        <color rgb="FFFF0000"/>
      </left>
      <bottom style="dotted">
        <color rgb="FFFF0000"/>
      </bottom>
    </border>
    <border>
      <left style="dotted">
        <color rgb="FFFF0000"/>
      </left>
      <right style="medium">
        <color rgb="FF000000"/>
      </right>
      <top style="dotted">
        <color rgb="FFFF0000"/>
      </top>
      <bottom style="dotted">
        <color rgb="FFFF0000"/>
      </bottom>
    </border>
    <border>
      <left style="thick">
        <color rgb="FF000000"/>
      </left>
      <right style="thick">
        <color rgb="FF000000"/>
      </right>
      <top style="dotted">
        <color rgb="FFFF0000"/>
      </top>
      <bottom style="medium">
        <color rgb="FF000000"/>
      </bottom>
    </border>
    <border>
      <left style="thick">
        <color rgb="FF000000"/>
      </left>
      <right style="dotted">
        <color rgb="FFFF0000"/>
      </right>
      <top style="dotted">
        <color rgb="FFFF0000"/>
      </top>
      <bottom style="medium">
        <color rgb="FF000000"/>
      </bottom>
    </border>
    <border>
      <left style="dotted">
        <color rgb="FFFF0000"/>
      </left>
      <right style="dotted">
        <color rgb="FFFF0000"/>
      </right>
      <top style="dotted">
        <color rgb="FFFF0000"/>
      </top>
      <bottom style="medium">
        <color rgb="FF000000"/>
      </bottom>
    </border>
    <border>
      <left style="dotted">
        <color rgb="FFFF0000"/>
      </left>
      <right style="medium">
        <color rgb="FF000000"/>
      </right>
      <top style="dotted">
        <color rgb="FFFF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top style="thin">
        <color rgb="FF70AD47"/>
      </top>
    </border>
    <border>
      <right style="thin">
        <color rgb="FF70AD47"/>
      </right>
      <top style="thin">
        <color rgb="FF70AD47"/>
      </top>
    </border>
    <border>
      <left style="thick">
        <color rgb="FF000000"/>
      </left>
      <right style="dotted">
        <color rgb="FF000000"/>
      </right>
      <top style="thick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ck">
        <color rgb="FF000000"/>
      </top>
      <bottom style="dotted">
        <color rgb="FF000000"/>
      </bottom>
    </border>
    <border>
      <left style="dotted">
        <color rgb="FF000000"/>
      </left>
      <top style="thick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thick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top style="dotted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1" fillId="4" fontId="2" numFmtId="0" xfId="0" applyAlignment="1" applyBorder="1" applyFill="1" applyFont="1">
      <alignment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1" fillId="5" fontId="3" numFmtId="0" xfId="0" applyAlignment="1" applyBorder="1" applyFill="1" applyFont="1">
      <alignment horizontal="center" shrinkToFit="0" vertical="center" wrapText="0"/>
    </xf>
    <xf borderId="0" fillId="0" fontId="2" numFmtId="0" xfId="0" applyFont="1"/>
    <xf borderId="5" fillId="4" fontId="2" numFmtId="0" xfId="0" applyBorder="1" applyFont="1"/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5" fillId="5" fontId="3" numFmtId="0" xfId="0" applyAlignment="1" applyBorder="1" applyFont="1">
      <alignment horizontal="center"/>
    </xf>
    <xf borderId="1" fillId="4" fontId="2" numFmtId="0" xfId="0" applyBorder="1" applyFont="1"/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1" fillId="5" fontId="3" numFmtId="0" xfId="0" applyAlignment="1" applyBorder="1" applyFont="1">
      <alignment horizontal="center"/>
    </xf>
    <xf borderId="8" fillId="4" fontId="2" numFmtId="0" xfId="0" applyBorder="1" applyFont="1"/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1" fillId="0" fontId="2" numFmtId="0" xfId="0" applyAlignment="1" applyBorder="1" applyFont="1">
      <alignment readingOrder="0"/>
    </xf>
    <xf borderId="8" fillId="5" fontId="3" numFmtId="0" xfId="0" applyAlignment="1" applyBorder="1" applyFont="1">
      <alignment horizontal="center"/>
    </xf>
    <xf borderId="12" fillId="0" fontId="2" numFmtId="49" xfId="0" applyAlignment="1" applyBorder="1" applyFont="1" applyNumberFormat="1">
      <alignment horizontal="left" readingOrder="0" shrinkToFit="0" vertical="center" wrapText="0"/>
    </xf>
    <xf borderId="13" fillId="0" fontId="2" numFmtId="49" xfId="0" applyAlignment="1" applyBorder="1" applyFont="1" applyNumberFormat="1">
      <alignment horizontal="left" readingOrder="0" shrinkToFit="0" vertical="center" wrapText="0"/>
    </xf>
    <xf borderId="14" fillId="0" fontId="2" numFmtId="49" xfId="0" applyAlignment="1" applyBorder="1" applyFont="1" applyNumberFormat="1">
      <alignment horizontal="left" readingOrder="0" shrinkToFit="0" vertical="center" wrapText="0"/>
    </xf>
    <xf borderId="5" fillId="4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15" fillId="0" fontId="2" numFmtId="0" xfId="0" applyAlignment="1" applyBorder="1" applyFont="1">
      <alignment readingOrder="0" shrinkToFit="0" vertical="center" wrapText="0"/>
    </xf>
    <xf borderId="5" fillId="5" fontId="3" numFmtId="0" xfId="0" applyAlignment="1" applyBorder="1" applyFont="1">
      <alignment horizontal="center" shrinkToFit="0" vertical="center" wrapText="0"/>
    </xf>
    <xf borderId="8" fillId="4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8" fillId="5" fontId="3" numFmtId="0" xfId="0" applyAlignment="1" applyBorder="1" applyFont="1">
      <alignment horizontal="center" shrinkToFit="0" vertical="center" wrapText="0"/>
    </xf>
    <xf borderId="16" fillId="0" fontId="2" numFmtId="0" xfId="0" applyAlignment="1" applyBorder="1" applyFont="1">
      <alignment horizontal="left" readingOrder="0" shrinkToFit="0" vertical="center" wrapText="0"/>
    </xf>
    <xf borderId="17" fillId="4" fontId="2" numFmtId="0" xfId="0" applyAlignment="1" applyBorder="1" applyFont="1">
      <alignment shrinkToFit="0" vertical="center" wrapText="0"/>
    </xf>
    <xf borderId="18" fillId="0" fontId="2" numFmtId="0" xfId="0" applyAlignment="1" applyBorder="1" applyFont="1">
      <alignment readingOrder="0" shrinkToFit="0" vertical="center" wrapText="0"/>
    </xf>
    <xf borderId="19" fillId="0" fontId="2" numFmtId="1" xfId="0" applyAlignment="1" applyBorder="1" applyFont="1" applyNumberFormat="1">
      <alignment readingOrder="0" shrinkToFit="0" vertical="center" wrapText="0"/>
    </xf>
    <xf borderId="19" fillId="0" fontId="2" numFmtId="0" xfId="0" applyAlignment="1" applyBorder="1" applyFont="1">
      <alignment readingOrder="0" shrinkToFit="0" vertical="center" wrapText="0"/>
    </xf>
    <xf borderId="20" fillId="0" fontId="2" numFmtId="0" xfId="0" applyAlignment="1" applyBorder="1" applyFont="1">
      <alignment readingOrder="0" shrinkToFit="0" vertical="center" wrapText="0"/>
    </xf>
    <xf borderId="17" fillId="5" fontId="3" numFmtId="0" xfId="0" applyAlignment="1" applyBorder="1" applyFont="1">
      <alignment horizontal="center" shrinkToFit="0" vertical="center" wrapText="0"/>
    </xf>
    <xf borderId="3" fillId="0" fontId="2" numFmtId="1" xfId="0" applyAlignment="1" applyBorder="1" applyFont="1" applyNumberFormat="1">
      <alignment readingOrder="0" shrinkToFit="0" vertical="center" wrapText="0"/>
    </xf>
    <xf borderId="10" fillId="0" fontId="2" numFmtId="1" xfId="0" applyAlignment="1" applyBorder="1" applyFont="1" applyNumberFormat="1">
      <alignment readingOrder="0" shrinkToFit="0" vertical="center" wrapText="0"/>
    </xf>
    <xf borderId="18" fillId="0" fontId="2" numFmtId="164" xfId="0" applyAlignment="1" applyBorder="1" applyFont="1" applyNumberFormat="1">
      <alignment readingOrder="0" shrinkToFit="0" vertical="center" wrapText="0"/>
    </xf>
    <xf borderId="19" fillId="0" fontId="2" numFmtId="164" xfId="0" applyAlignment="1" applyBorder="1" applyFont="1" applyNumberFormat="1">
      <alignment readingOrder="0" shrinkToFit="0" vertical="center" wrapText="0"/>
    </xf>
    <xf borderId="20" fillId="0" fontId="2" numFmtId="164" xfId="0" applyAlignment="1" applyBorder="1" applyFont="1" applyNumberFormat="1">
      <alignment readingOrder="0" shrinkToFit="0" vertical="center" wrapText="0"/>
    </xf>
    <xf borderId="17" fillId="5" fontId="3" numFmtId="164" xfId="0" applyAlignment="1" applyBorder="1" applyFont="1" applyNumberFormat="1">
      <alignment horizontal="center" shrinkToFit="0" vertical="center" wrapText="0"/>
    </xf>
    <xf borderId="9" fillId="0" fontId="2" numFmtId="164" xfId="0" applyAlignment="1" applyBorder="1" applyFont="1" applyNumberFormat="1">
      <alignment readingOrder="0" shrinkToFit="0" vertical="center" wrapText="0"/>
    </xf>
    <xf borderId="10" fillId="0" fontId="2" numFmtId="164" xfId="0" applyAlignment="1" applyBorder="1" applyFont="1" applyNumberFormat="1">
      <alignment readingOrder="0" shrinkToFit="0" vertical="center" wrapText="0"/>
    </xf>
    <xf borderId="11" fillId="0" fontId="2" numFmtId="164" xfId="0" applyAlignment="1" applyBorder="1" applyFont="1" applyNumberFormat="1">
      <alignment readingOrder="0" shrinkToFit="0" vertical="center" wrapText="0"/>
    </xf>
    <xf borderId="8" fillId="5" fontId="3" numFmtId="164" xfId="0" applyAlignment="1" applyBorder="1" applyFont="1" applyNumberFormat="1">
      <alignment horizontal="center" shrinkToFit="0" vertical="center" wrapText="0"/>
    </xf>
    <xf borderId="21" fillId="5" fontId="3" numFmtId="0" xfId="0" applyAlignment="1" applyBorder="1" applyFont="1">
      <alignment horizontal="center" readingOrder="0" shrinkToFit="0" vertical="center" wrapText="0"/>
    </xf>
    <xf borderId="22" fillId="4" fontId="2" numFmtId="0" xfId="0" applyAlignment="1" applyBorder="1" applyFont="1">
      <alignment shrinkToFit="0" vertical="center" wrapText="0"/>
    </xf>
    <xf borderId="23" fillId="0" fontId="2" numFmtId="0" xfId="0" applyAlignment="1" applyBorder="1" applyFont="1">
      <alignment readingOrder="0" shrinkToFit="0" vertical="center" wrapText="0"/>
    </xf>
    <xf borderId="24" fillId="0" fontId="2" numFmtId="0" xfId="0" applyAlignment="1" applyBorder="1" applyFont="1">
      <alignment readingOrder="0" shrinkToFit="0" vertical="center" wrapText="0"/>
    </xf>
    <xf borderId="25" fillId="5" fontId="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6" fontId="4" numFmtId="0" xfId="0" applyAlignment="1" applyFill="1" applyFont="1">
      <alignment readingOrder="0"/>
    </xf>
    <xf borderId="0" fillId="7" fontId="2" numFmtId="0" xfId="0" applyFill="1" applyFont="1"/>
    <xf borderId="0" fillId="8" fontId="5" numFmtId="0" xfId="0" applyAlignment="1" applyFill="1" applyFont="1">
      <alignment readingOrder="0"/>
    </xf>
    <xf borderId="0" fillId="8" fontId="5" numFmtId="0" xfId="0" applyAlignment="1" applyFont="1">
      <alignment horizontal="center" readingOrder="0"/>
    </xf>
    <xf borderId="0" fillId="9" fontId="6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3" fontId="7" numFmtId="0" xfId="0" applyAlignment="1" applyFont="1">
      <alignment horizontal="center" readingOrder="0"/>
    </xf>
    <xf borderId="26" fillId="7" fontId="2" numFmtId="0" xfId="0" applyAlignment="1" applyBorder="1" applyFont="1">
      <alignment horizontal="center" readingOrder="0"/>
    </xf>
    <xf borderId="26" fillId="7" fontId="2" numFmtId="0" xfId="0" applyAlignment="1" applyBorder="1" applyFont="1">
      <alignment horizontal="center" readingOrder="0"/>
    </xf>
    <xf borderId="26" fillId="0" fontId="2" numFmtId="0" xfId="0" applyAlignment="1" applyBorder="1" applyFont="1">
      <alignment horizontal="center" readingOrder="0"/>
    </xf>
    <xf borderId="26" fillId="0" fontId="2" numFmtId="0" xfId="0" applyAlignment="1" applyBorder="1" applyFont="1">
      <alignment horizontal="center" readingOrder="0"/>
    </xf>
    <xf borderId="0" fillId="6" fontId="4" numFmtId="0" xfId="0" applyFont="1"/>
    <xf borderId="27" fillId="11" fontId="8" numFmtId="0" xfId="0" applyAlignment="1" applyBorder="1" applyFill="1" applyFont="1">
      <alignment horizontal="center" readingOrder="0" shrinkToFit="0" vertical="bottom" wrapText="0"/>
    </xf>
    <xf borderId="28" fillId="11" fontId="8" numFmtId="0" xfId="0" applyAlignment="1" applyBorder="1" applyFont="1">
      <alignment horizontal="center" readingOrder="0" shrinkToFit="0" vertical="bottom" wrapText="0"/>
    </xf>
    <xf borderId="29" fillId="11" fontId="8" numFmtId="165" xfId="0" applyAlignment="1" applyBorder="1" applyFont="1" applyNumberFormat="1">
      <alignment horizontal="center" readingOrder="0" shrinkToFit="0" vertical="bottom" wrapText="0"/>
    </xf>
    <xf borderId="28" fillId="11" fontId="8" numFmtId="165" xfId="0" applyAlignment="1" applyBorder="1" applyFont="1" applyNumberFormat="1">
      <alignment horizontal="center" readingOrder="0" shrinkToFit="0" vertical="bottom" wrapText="0"/>
    </xf>
    <xf borderId="30" fillId="11" fontId="8" numFmtId="165" xfId="0" applyAlignment="1" applyBorder="1" applyFont="1" applyNumberFormat="1">
      <alignment horizontal="center" readingOrder="0" shrinkToFit="0" vertical="bottom" wrapText="0"/>
    </xf>
    <xf borderId="30" fillId="11" fontId="2" numFmtId="165" xfId="0" applyAlignment="1" applyBorder="1" applyFont="1" applyNumberFormat="1">
      <alignment horizontal="left" readingOrder="0" shrinkToFit="0" vertical="center" wrapText="0"/>
    </xf>
    <xf borderId="28" fillId="11" fontId="2" numFmtId="165" xfId="0" applyAlignment="1" applyBorder="1" applyFont="1" applyNumberFormat="1">
      <alignment horizontal="left" readingOrder="0" shrinkToFit="0" vertical="center" wrapText="0"/>
    </xf>
    <xf borderId="29" fillId="11" fontId="2" numFmtId="165" xfId="0" applyAlignment="1" applyBorder="1" applyFont="1" applyNumberFormat="1">
      <alignment horizontal="left" readingOrder="0" shrinkToFit="0" vertical="center" wrapText="0"/>
    </xf>
    <xf borderId="31" fillId="0" fontId="2" numFmtId="0" xfId="0" applyAlignment="1" applyBorder="1" applyFont="1">
      <alignment readingOrder="0" shrinkToFit="0" vertical="center" wrapText="0"/>
    </xf>
    <xf borderId="32" fillId="0" fontId="2" numFmtId="0" xfId="0" applyAlignment="1" applyBorder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32" fillId="0" fontId="2" numFmtId="0" xfId="0" applyAlignment="1" applyBorder="1" applyFon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33" fillId="0" fontId="2" numFmtId="0" xfId="0" applyAlignment="1" applyBorder="1" applyFont="1">
      <alignment shrinkToFit="0" vertical="center" wrapText="0"/>
    </xf>
    <xf borderId="32" fillId="0" fontId="2" numFmtId="0" xfId="0" applyAlignment="1" applyBorder="1" applyFont="1">
      <alignment shrinkToFit="0" vertical="center" wrapText="0"/>
    </xf>
    <xf borderId="33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31" fillId="7" fontId="9" numFmtId="0" xfId="0" applyAlignment="1" applyBorder="1" applyFont="1">
      <alignment shrinkToFit="0" vertical="bottom" wrapText="0"/>
    </xf>
    <xf borderId="32" fillId="7" fontId="9" numFmtId="0" xfId="0" applyAlignment="1" applyBorder="1" applyFont="1">
      <alignment shrinkToFit="0" vertical="bottom" wrapText="0"/>
    </xf>
    <xf borderId="0" fillId="7" fontId="9" numFmtId="165" xfId="0" applyAlignment="1" applyFont="1" applyNumberFormat="1">
      <alignment shrinkToFit="0" vertical="bottom" wrapText="0"/>
    </xf>
    <xf borderId="32" fillId="7" fontId="9" numFmtId="165" xfId="0" applyAlignment="1" applyBorder="1" applyFont="1" applyNumberFormat="1">
      <alignment shrinkToFit="0" vertical="bottom" wrapText="0"/>
    </xf>
    <xf borderId="33" fillId="7" fontId="9" numFmtId="165" xfId="0" applyAlignment="1" applyBorder="1" applyFont="1" applyNumberFormat="1">
      <alignment shrinkToFit="0" vertical="bottom" wrapText="0"/>
    </xf>
    <xf borderId="33" fillId="0" fontId="2" numFmtId="165" xfId="0" applyAlignment="1" applyBorder="1" applyFont="1" applyNumberFormat="1">
      <alignment shrinkToFit="0" vertical="center" wrapText="0"/>
    </xf>
    <xf borderId="32" fillId="0" fontId="2" numFmtId="165" xfId="0" applyAlignment="1" applyBorder="1" applyFont="1" applyNumberForma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31" fillId="12" fontId="9" numFmtId="0" xfId="0" applyAlignment="1" applyBorder="1" applyFill="1" applyFont="1">
      <alignment shrinkToFit="0" vertical="bottom" wrapText="0"/>
    </xf>
    <xf borderId="32" fillId="12" fontId="9" numFmtId="0" xfId="0" applyAlignment="1" applyBorder="1" applyFont="1">
      <alignment shrinkToFit="0" vertical="bottom" wrapText="0"/>
    </xf>
    <xf borderId="0" fillId="12" fontId="9" numFmtId="165" xfId="0" applyAlignment="1" applyFont="1" applyNumberFormat="1">
      <alignment shrinkToFit="0" vertical="bottom" wrapText="0"/>
    </xf>
    <xf borderId="32" fillId="12" fontId="9" numFmtId="0" xfId="0" applyAlignment="1" applyBorder="1" applyFont="1">
      <alignment shrinkToFit="0" vertical="bottom" wrapText="0"/>
    </xf>
    <xf borderId="33" fillId="12" fontId="9" numFmtId="49" xfId="0" applyAlignment="1" applyBorder="1" applyFont="1" applyNumberFormat="1">
      <alignment shrinkToFit="0" vertical="bottom" wrapText="0"/>
    </xf>
    <xf borderId="33" fillId="0" fontId="2" numFmtId="49" xfId="0" applyAlignment="1" applyBorder="1" applyFont="1" applyNumberFormat="1">
      <alignment shrinkToFit="0" vertical="center" wrapText="0"/>
    </xf>
    <xf borderId="0" fillId="6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32" fillId="7" fontId="9" numFmtId="0" xfId="0" applyAlignment="1" applyBorder="1" applyFont="1">
      <alignment shrinkToFit="0" vertical="bottom" wrapText="0"/>
    </xf>
    <xf borderId="33" fillId="7" fontId="9" numFmtId="49" xfId="0" applyAlignment="1" applyBorder="1" applyFont="1" applyNumberFormat="1">
      <alignment shrinkToFit="0" vertical="bottom" wrapText="0"/>
    </xf>
    <xf borderId="33" fillId="12" fontId="9" numFmtId="0" xfId="0" applyAlignment="1" applyBorder="1" applyFont="1">
      <alignment shrinkToFit="0" vertical="bottom" wrapText="0"/>
    </xf>
    <xf borderId="33" fillId="7" fontId="9" numFmtId="0" xfId="0" applyAlignment="1" applyBorder="1" applyFont="1">
      <alignment shrinkToFit="0" vertical="bottom" wrapText="0"/>
    </xf>
    <xf borderId="33" fillId="7" fontId="9" numFmtId="0" xfId="0" applyAlignment="1" applyBorder="1" applyFont="1">
      <alignment shrinkToFit="0" vertical="bottom" wrapText="0"/>
    </xf>
    <xf borderId="32" fillId="3" fontId="2" numFmtId="0" xfId="0" applyAlignment="1" applyBorder="1" applyFont="1">
      <alignment shrinkToFit="0" vertical="center" wrapText="0"/>
    </xf>
    <xf borderId="0" fillId="3" fontId="2" numFmtId="0" xfId="0" applyAlignment="1" applyFont="1">
      <alignment readingOrder="0" shrinkToFit="0" vertical="center" wrapText="0"/>
    </xf>
    <xf borderId="32" fillId="12" fontId="9" numFmtId="165" xfId="0" applyAlignment="1" applyBorder="1" applyFont="1" applyNumberFormat="1">
      <alignment shrinkToFit="0" vertical="bottom" wrapText="0"/>
    </xf>
    <xf borderId="33" fillId="12" fontId="9" numFmtId="165" xfId="0" applyAlignment="1" applyBorder="1" applyFont="1" applyNumberFormat="1">
      <alignment shrinkToFit="0" vertical="bottom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31" fillId="6" fontId="9" numFmtId="0" xfId="0" applyAlignment="1" applyBorder="1" applyFont="1">
      <alignment shrinkToFit="0" vertical="bottom" wrapText="0"/>
    </xf>
    <xf borderId="32" fillId="0" fontId="2" numFmtId="0" xfId="0" applyAlignment="1" applyBorder="1" applyFont="1">
      <alignment readingOrder="0" shrinkToFit="0" vertical="center" wrapText="0"/>
    </xf>
    <xf borderId="32" fillId="3" fontId="2" numFmtId="165" xfId="0" applyAlignment="1" applyBorder="1" applyFont="1" applyNumberFormat="1">
      <alignment shrinkToFit="0" vertical="center" wrapText="0"/>
    </xf>
    <xf borderId="0" fillId="3" fontId="2" numFmtId="165" xfId="0" applyAlignment="1" applyFont="1" applyNumberFormat="1">
      <alignment shrinkToFit="0" vertical="center" wrapText="0"/>
    </xf>
    <xf borderId="31" fillId="3" fontId="9" numFmtId="0" xfId="0" applyAlignment="1" applyBorder="1" applyFont="1">
      <alignment shrinkToFit="0" vertical="bottom" wrapText="0"/>
    </xf>
    <xf borderId="32" fillId="3" fontId="9" numFmtId="0" xfId="0" applyAlignment="1" applyBorder="1" applyFont="1">
      <alignment shrinkToFit="0" vertical="bottom" wrapText="0"/>
    </xf>
    <xf borderId="0" fillId="3" fontId="9" numFmtId="165" xfId="0" applyAlignment="1" applyFont="1" applyNumberFormat="1">
      <alignment shrinkToFit="0" vertical="bottom" wrapText="0"/>
    </xf>
    <xf borderId="32" fillId="3" fontId="9" numFmtId="165" xfId="0" applyAlignment="1" applyBorder="1" applyFont="1" applyNumberFormat="1">
      <alignment shrinkToFit="0" vertical="bottom" wrapText="0"/>
    </xf>
    <xf borderId="33" fillId="3" fontId="9" numFmtId="165" xfId="0" applyAlignment="1" applyBorder="1" applyFont="1" applyNumberFormat="1">
      <alignment shrinkToFit="0" vertical="bottom" wrapText="0"/>
    </xf>
    <xf borderId="33" fillId="3" fontId="2" numFmtId="165" xfId="0" applyAlignment="1" applyBorder="1" applyFont="1" applyNumberFormat="1">
      <alignment shrinkToFit="0" vertical="center" wrapText="0"/>
    </xf>
    <xf borderId="31" fillId="12" fontId="9" numFmtId="0" xfId="0" applyAlignment="1" applyBorder="1" applyFont="1">
      <alignment readingOrder="0" shrinkToFit="0" vertical="bottom" wrapText="0"/>
    </xf>
    <xf borderId="0" fillId="12" fontId="9" numFmtId="165" xfId="0" applyAlignment="1" applyFont="1" applyNumberFormat="1">
      <alignment readingOrder="0" shrinkToFit="0" vertical="bottom" wrapText="0"/>
    </xf>
    <xf borderId="33" fillId="12" fontId="9" numFmtId="49" xfId="0" applyAlignment="1" applyBorder="1" applyFont="1" applyNumberFormat="1">
      <alignment readingOrder="0" shrinkToFit="0" vertical="bottom" wrapText="0"/>
    </xf>
    <xf borderId="33" fillId="0" fontId="2" numFmtId="49" xfId="0" applyAlignment="1" applyBorder="1" applyFont="1" applyNumberFormat="1">
      <alignment readingOrder="0" shrinkToFit="0" vertical="center" wrapText="0"/>
    </xf>
    <xf borderId="31" fillId="3" fontId="9" numFmtId="0" xfId="0" applyAlignment="1" applyBorder="1" applyFont="1">
      <alignment readingOrder="0" shrinkToFit="0" vertical="bottom" wrapText="0"/>
    </xf>
    <xf borderId="32" fillId="3" fontId="9" numFmtId="0" xfId="0" applyAlignment="1" applyBorder="1" applyFont="1">
      <alignment shrinkToFit="0" vertical="bottom" wrapText="0"/>
    </xf>
    <xf borderId="0" fillId="3" fontId="9" numFmtId="165" xfId="0" applyAlignment="1" applyFont="1" applyNumberFormat="1">
      <alignment readingOrder="0" shrinkToFit="0" vertical="bottom" wrapText="0"/>
    </xf>
    <xf borderId="33" fillId="3" fontId="9" numFmtId="49" xfId="0" applyAlignment="1" applyBorder="1" applyFont="1" applyNumberFormat="1">
      <alignment shrinkToFit="0" vertical="bottom" wrapText="0"/>
    </xf>
    <xf borderId="33" fillId="3" fontId="2" numFmtId="49" xfId="0" applyAlignment="1" applyBorder="1" applyFont="1" applyNumberFormat="1">
      <alignment shrinkToFit="0" vertical="center" wrapText="0"/>
    </xf>
    <xf borderId="0" fillId="3" fontId="2" numFmtId="49" xfId="0" applyAlignment="1" applyFont="1" applyNumberFormat="1">
      <alignment shrinkToFit="0" vertical="center" wrapText="0"/>
    </xf>
    <xf borderId="0" fillId="3" fontId="2" numFmtId="0" xfId="0" applyAlignment="1" applyFont="1">
      <alignment shrinkToFit="0" vertical="center" wrapText="0"/>
    </xf>
    <xf borderId="0" fillId="3" fontId="2" numFmtId="165" xfId="0" applyAlignment="1" applyFont="1" applyNumberFormat="1">
      <alignment readingOrder="0" shrinkToFit="0" vertical="center" wrapText="0"/>
    </xf>
    <xf borderId="33" fillId="3" fontId="2" numFmtId="0" xfId="0" applyAlignment="1" applyBorder="1" applyFont="1">
      <alignment shrinkToFit="0" vertical="center" wrapText="0"/>
    </xf>
    <xf borderId="33" fillId="0" fontId="2" numFmtId="49" xfId="0" applyAlignment="1" applyBorder="1" applyFont="1" applyNumberFormat="1">
      <alignment shrinkToFit="0" vertical="center" wrapText="0"/>
    </xf>
    <xf borderId="31" fillId="0" fontId="2" numFmtId="0" xfId="0" applyAlignment="1" applyBorder="1" applyFont="1">
      <alignment shrinkToFit="0" vertical="center" wrapText="0"/>
    </xf>
    <xf borderId="32" fillId="0" fontId="2" numFmtId="0" xfId="0" applyAlignment="1" applyBorder="1" applyFont="1">
      <alignment shrinkToFit="0" vertical="center" wrapText="0"/>
    </xf>
    <xf borderId="32" fillId="0" fontId="2" numFmtId="0" xfId="0" applyAlignment="1" applyBorder="1" applyFont="1">
      <alignment shrinkToFit="0" vertical="center" wrapText="0"/>
    </xf>
    <xf borderId="31" fillId="7" fontId="9" numFmtId="0" xfId="0" applyAlignment="1" applyBorder="1" applyFont="1">
      <alignment readingOrder="0" shrinkToFit="0" vertical="bottom" wrapText="0"/>
    </xf>
    <xf borderId="32" fillId="6" fontId="2" numFmtId="0" xfId="0" applyAlignment="1" applyBorder="1" applyFont="1">
      <alignment readingOrder="0" shrinkToFit="0" vertical="center" wrapText="0"/>
    </xf>
    <xf borderId="0" fillId="7" fontId="9" numFmtId="165" xfId="0" applyAlignment="1" applyFont="1" applyNumberFormat="1">
      <alignment readingOrder="0" shrinkToFit="0" vertical="bottom" wrapText="0"/>
    </xf>
    <xf borderId="0" fillId="6" fontId="2" numFmtId="0" xfId="0" applyAlignment="1" applyFont="1">
      <alignment shrinkToFit="0" vertical="center" wrapText="0"/>
    </xf>
    <xf borderId="33" fillId="0" fontId="2" numFmtId="0" xfId="0" applyAlignment="1" applyBorder="1" applyFont="1">
      <alignment shrinkToFit="0" vertical="center" wrapText="0"/>
    </xf>
    <xf borderId="33" fillId="7" fontId="9" numFmtId="0" xfId="0" applyAlignment="1" applyBorder="1" applyFont="1">
      <alignment readingOrder="0" shrinkToFit="0" vertical="bottom" wrapText="0"/>
    </xf>
    <xf borderId="33" fillId="12" fontId="9" numFmtId="0" xfId="0" applyAlignment="1" applyBorder="1" applyFont="1">
      <alignment shrinkToFit="0" vertical="bottom" wrapText="0"/>
    </xf>
    <xf borderId="33" fillId="0" fontId="2" numFmtId="165" xfId="0" applyAlignment="1" applyBorder="1" applyFont="1" applyNumberFormat="1">
      <alignment readingOrder="0" shrinkToFit="0" vertical="center" wrapText="0"/>
    </xf>
    <xf borderId="33" fillId="0" fontId="2" numFmtId="165" xfId="0" applyAlignment="1" applyBorder="1" applyFont="1" applyNumberFormat="1">
      <alignment shrinkToFit="0" vertical="center" wrapText="0"/>
    </xf>
    <xf borderId="33" fillId="0" fontId="2" numFmtId="165" xfId="0" applyAlignment="1" applyBorder="1" applyFont="1" applyNumberFormat="1">
      <alignment readingOrder="0" shrinkToFit="0" vertical="center" wrapText="0"/>
    </xf>
    <xf borderId="32" fillId="0" fontId="2" numFmtId="165" xfId="0" applyAlignment="1" applyBorder="1" applyFont="1" applyNumberFormat="1">
      <alignment readingOrder="0" shrinkToFit="0" vertical="center" wrapText="0"/>
    </xf>
    <xf borderId="31" fillId="0" fontId="2" numFmtId="0" xfId="0" applyAlignment="1" applyBorder="1" applyFont="1">
      <alignment shrinkToFit="0" vertical="center" wrapText="0"/>
    </xf>
    <xf borderId="34" fillId="0" fontId="2" numFmtId="0" xfId="0" applyAlignment="1" applyBorder="1" applyFont="1">
      <alignment shrinkToFit="0" vertical="center" wrapText="0"/>
    </xf>
    <xf borderId="35" fillId="0" fontId="2" numFmtId="0" xfId="0" applyAlignment="1" applyBorder="1" applyFont="1">
      <alignment shrinkToFit="0" vertical="center" wrapText="0"/>
    </xf>
    <xf borderId="36" fillId="0" fontId="2" numFmtId="165" xfId="0" applyAlignment="1" applyBorder="1" applyFont="1" applyNumberFormat="1">
      <alignment shrinkToFit="0" vertical="center" wrapText="0"/>
    </xf>
    <xf borderId="36" fillId="0" fontId="2" numFmtId="0" xfId="0" applyAlignment="1" applyBorder="1" applyFont="1">
      <alignment shrinkToFit="0" vertical="center" wrapText="0"/>
    </xf>
    <xf borderId="35" fillId="0" fontId="2" numFmtId="0" xfId="0" applyAlignment="1" applyBorder="1" applyFont="1">
      <alignment shrinkToFit="0" vertical="center" wrapText="0"/>
    </xf>
    <xf borderId="36" fillId="0" fontId="2" numFmtId="0" xfId="0" applyAlignment="1" applyBorder="1" applyFont="1">
      <alignment shrinkToFit="0" vertical="center" wrapText="0"/>
    </xf>
    <xf borderId="37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38" fillId="2" fontId="11" numFmtId="0" xfId="0" applyAlignment="1" applyBorder="1" applyFont="1">
      <alignment horizontal="center" readingOrder="0" shrinkToFit="0" vertical="center" wrapText="1"/>
    </xf>
    <xf borderId="38" fillId="2" fontId="11" numFmtId="165" xfId="0" applyAlignment="1" applyBorder="1" applyFont="1" applyNumberFormat="1">
      <alignment horizontal="center" readingOrder="0" shrinkToFit="0" vertical="center" wrapText="1"/>
    </xf>
    <xf borderId="39" fillId="2" fontId="11" numFmtId="165" xfId="0" applyAlignment="1" applyBorder="1" applyFont="1" applyNumberFormat="1">
      <alignment horizontal="center" shrinkToFit="0" vertical="center" wrapText="1"/>
    </xf>
    <xf borderId="0" fillId="2" fontId="11" numFmtId="165" xfId="0" applyAlignment="1" applyFont="1" applyNumberFormat="1">
      <alignment horizontal="center" shrinkToFit="0" vertical="center" wrapText="1"/>
    </xf>
    <xf borderId="40" fillId="0" fontId="9" numFmtId="166" xfId="0" applyAlignment="1" applyBorder="1" applyFont="1" applyNumberFormat="1">
      <alignment horizontal="right" vertical="bottom"/>
    </xf>
    <xf borderId="41" fillId="0" fontId="12" numFmtId="0" xfId="0" applyAlignment="1" applyBorder="1" applyFont="1">
      <alignment horizontal="center" vertical="bottom"/>
    </xf>
    <xf borderId="41" fillId="0" fontId="12" numFmtId="0" xfId="0" applyAlignment="1" applyBorder="1" applyFont="1">
      <alignment horizontal="center" vertical="bottom"/>
    </xf>
    <xf borderId="41" fillId="0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42" fillId="0" fontId="9" numFmtId="0" xfId="0" applyAlignment="1" applyBorder="1" applyFont="1">
      <alignment horizontal="right" vertical="bottom"/>
    </xf>
    <xf borderId="43" fillId="13" fontId="13" numFmtId="0" xfId="0" applyAlignment="1" applyBorder="1" applyFill="1" applyFont="1">
      <alignment horizontal="center" vertical="center"/>
    </xf>
    <xf borderId="44" fillId="0" fontId="9" numFmtId="166" xfId="0" applyAlignment="1" applyBorder="1" applyFont="1" applyNumberFormat="1">
      <alignment horizontal="right" vertical="bottom"/>
    </xf>
    <xf borderId="45" fillId="0" fontId="12" numFmtId="0" xfId="0" applyAlignment="1" applyBorder="1" applyFont="1">
      <alignment horizontal="center" vertical="bottom"/>
    </xf>
    <xf borderId="45" fillId="0" fontId="12" numFmtId="0" xfId="0" applyAlignment="1" applyBorder="1" applyFont="1">
      <alignment horizontal="center" vertical="bottom"/>
    </xf>
    <xf borderId="45" fillId="0" fontId="9" numFmtId="0" xfId="0" applyAlignment="1" applyBorder="1" applyFont="1">
      <alignment vertical="bottom"/>
    </xf>
    <xf borderId="46" fillId="0" fontId="9" numFmtId="0" xfId="0" applyAlignment="1" applyBorder="1" applyFont="1">
      <alignment horizontal="right" vertical="bottom"/>
    </xf>
    <xf borderId="45" fillId="0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46" fillId="0" fontId="9" numFmtId="0" xfId="0" applyAlignment="1" applyBorder="1" applyFont="1">
      <alignment horizontal="right" vertical="bottom"/>
    </xf>
    <xf borderId="44" fillId="0" fontId="2" numFmtId="0" xfId="0" applyBorder="1" applyFont="1"/>
    <xf borderId="45" fillId="0" fontId="10" numFmtId="0" xfId="0" applyAlignment="1" applyBorder="1" applyFont="1">
      <alignment horizontal="center" readingOrder="0"/>
    </xf>
    <xf borderId="45" fillId="0" fontId="10" numFmtId="0" xfId="0" applyAlignment="1" applyBorder="1" applyFont="1">
      <alignment horizontal="center"/>
    </xf>
    <xf borderId="45" fillId="0" fontId="2" numFmtId="0" xfId="0" applyBorder="1" applyFont="1"/>
    <xf borderId="46" fillId="0" fontId="2" numFmtId="0" xfId="0" applyBorder="1" applyFont="1"/>
    <xf borderId="47" fillId="0" fontId="2" numFmtId="0" xfId="0" applyBorder="1" applyFont="1"/>
    <xf borderId="48" fillId="0" fontId="10" numFmtId="0" xfId="0" applyAlignment="1" applyBorder="1" applyFont="1">
      <alignment horizontal="center" readingOrder="0"/>
    </xf>
    <xf borderId="48" fillId="0" fontId="10" numFmtId="0" xfId="0" applyAlignment="1" applyBorder="1" applyFont="1">
      <alignment horizontal="center"/>
    </xf>
    <xf borderId="48" fillId="0" fontId="2" numFmtId="0" xfId="0" applyBorder="1" applyFont="1"/>
    <xf borderId="49" fillId="0" fontId="2" numFmtId="0" xfId="0" applyBorder="1" applyFont="1"/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0" fillId="13" fontId="13" numFmtId="0" xfId="0" applyAlignment="1" applyFont="1">
      <alignment horizontal="center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</dxfs>
  <tableStyles count="8">
    <tableStyle count="4" pivot="0" name="Resum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me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men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men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men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men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ven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38100</xdr:rowOff>
    </xdr:from>
    <xdr:ext cx="485775" cy="3619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L2:T1496" displayName="RESUMEN_PRODUCTOS_SEMANAL" name="RESUMEN_PRODUCTOS_SEMANAL" id="1">
  <tableColumns count="9">
    <tableColumn name="PRODUCTOS" id="1"/>
    <tableColumn name="LUNES" id="2"/>
    <tableColumn name="MARTES" id="3"/>
    <tableColumn name="MIÉRCOLES" id="4"/>
    <tableColumn name="JUEVES" id="5"/>
    <tableColumn name="VIERNES" id="6"/>
    <tableColumn name="SÁBADO" id="7"/>
    <tableColumn name="DOMINGO" id="8"/>
    <tableColumn name="TOTAL" id="9"/>
  </tableColumns>
  <tableStyleInfo name="Resumen-style" showColumnStripes="0" showFirstColumn="1" showLastColumn="1" showRowStripes="1"/>
</table>
</file>

<file path=xl/tables/table2.xml><?xml version="1.0" encoding="utf-8"?>
<table xmlns="http://schemas.openxmlformats.org/spreadsheetml/2006/main" headerRowCount="0" ref="B5:J5" displayName="PANES_SEMANALES" name="PANES_SEMANALES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Resumen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B39:J54" displayName="PROTEINA_SEMANAL" name="PROTEINA_SEMANAL" id="3">
  <tableColumns count="9">
    <tableColumn name="RESUMEN PROTEINA SEMANAL" id="1"/>
    <tableColumn name="LUNES" id="2"/>
    <tableColumn name="MARTES" id="3"/>
    <tableColumn name="MIÉRCOLES" id="4"/>
    <tableColumn name="JUEVES" id="5"/>
    <tableColumn name="VIERNES" id="6"/>
    <tableColumn name="SÁBADO" id="7"/>
    <tableColumn name="DOMINGO" id="8"/>
    <tableColumn name="TOTAL" id="9"/>
  </tableColumns>
  <tableStyleInfo name="Resumen-style 3" showColumnStripes="0" showFirstColumn="1" showLastColumn="1" showRowStripes="1"/>
</table>
</file>

<file path=xl/tables/table4.xml><?xml version="1.0" encoding="utf-8"?>
<table xmlns="http://schemas.openxmlformats.org/spreadsheetml/2006/main" ref="B59:J62" displayName="VERDURA_PROCESADA" name="VERDURA_PROCESADA" id="4">
  <tableColumns count="9">
    <tableColumn name="RESUMEN PALTA Y TOMATE SEMANAL PROCESADO" id="1"/>
    <tableColumn name="LUNES" id="2"/>
    <tableColumn name="MARTES" id="3"/>
    <tableColumn name="MIÉRCOLES" id="4"/>
    <tableColumn name="JUEVES" id="5"/>
    <tableColumn name="VIERNES" id="6"/>
    <tableColumn name="SÁBADO" id="7"/>
    <tableColumn name="DOMINGO" id="8"/>
    <tableColumn name="TOTAL" id="9"/>
  </tableColumns>
  <tableStyleInfo name="Resumen-style 4" showColumnStripes="0" showFirstColumn="1" showLastColumn="1" showRowStripes="1"/>
</table>
</file>

<file path=xl/tables/table5.xml><?xml version="1.0" encoding="utf-8"?>
<table xmlns="http://schemas.openxmlformats.org/spreadsheetml/2006/main" ref="B65:J67" displayName="PEDIDO_PROVEEDOR" name="PEDIDO_PROVEEDOR" id="5">
  <tableColumns count="9">
    <tableColumn name="PEDIDO PALTA Y TOMATE SEMANAL (BELTRA)" id="1"/>
    <tableColumn name="LUNES" id="2"/>
    <tableColumn name="MARTES" id="3"/>
    <tableColumn name="MIÉRCOLES" id="4"/>
    <tableColumn name="JUEVES" id="5"/>
    <tableColumn name="VIERNES" id="6"/>
    <tableColumn name="SÁBADO" id="7"/>
    <tableColumn name="DOMINGO" id="8"/>
    <tableColumn name="TOTAL" id="9"/>
  </tableColumns>
  <tableStyleInfo name="Resumen-style 5" showColumnStripes="0" showFirstColumn="1" showLastColumn="1" showRowStripes="1"/>
</table>
</file>

<file path=xl/tables/table6.xml><?xml version="1.0" encoding="utf-8"?>
<table xmlns="http://schemas.openxmlformats.org/spreadsheetml/2006/main" ref="B70:J101" displayName="OTRAS_VERDURAS" name="OTRAS_VERDURAS" id="6">
  <tableColumns count="9">
    <tableColumn name="PEDIDO PALTA Y TOMATE SEMANAL (BELTRA)" id="1"/>
    <tableColumn name="LUNES" id="2"/>
    <tableColumn name="MARTES" id="3"/>
    <tableColumn name="MIÉRCOLES" id="4"/>
    <tableColumn name="JUEVES" id="5"/>
    <tableColumn name="VIERNES" id="6"/>
    <tableColumn name="SÁBADO" id="7"/>
    <tableColumn name="DOMINGO" id="8"/>
    <tableColumn name="TOTAL" id="9"/>
  </tableColumns>
  <tableStyleInfo name="Resumen-style 6" showColumnStripes="0" showFirstColumn="1" showLastColumn="1" showRowStripes="1"/>
</table>
</file>

<file path=xl/tables/table7.xml><?xml version="1.0" encoding="utf-8"?>
<table xmlns="http://schemas.openxmlformats.org/spreadsheetml/2006/main" ref="A1:BS864" displayName="PRODING" name="PRODING" id="7">
  <tableColumns count="71">
    <tableColumn name="PRODUCTO" id="1"/>
    <tableColumn name="Base" id="2"/>
    <tableColumn name="Cant." id="3"/>
    <tableColumn name="Proteína" id="4"/>
    <tableColumn name="grs prot" id="5"/>
    <tableColumn name="Tomate" id="6"/>
    <tableColumn name="grs tomate" id="7"/>
    <tableColumn name="Palta" id="8"/>
    <tableColumn name="Grs Palta" id="9"/>
    <tableColumn name="Queso" id="10"/>
    <tableColumn name="Cant./Grs Queso" id="11"/>
    <tableColumn name="Lechuga" id="12"/>
    <tableColumn name="Grs Lechuga" id="13"/>
    <tableColumn name="Cebolla Caramelizada" id="14"/>
    <tableColumn name="Grs Cebolla Caramelizada" id="15"/>
    <tableColumn name="Crema Ácida" id="16"/>
    <tableColumn name="CC Crema Ácida" id="17"/>
    <tableColumn name="Champiñon" id="18"/>
    <tableColumn name="Grs Champiñon" id="19"/>
    <tableColumn name="BBQ" id="20"/>
    <tableColumn name="CC BBQ" id="21"/>
    <tableColumn name="Salsa Verde" id="22"/>
    <tableColumn name="Grs Salsa Verde" id="23"/>
    <tableColumn name="Chucrut" id="24"/>
    <tableColumn name="Grs Chucrut" id="25"/>
    <tableColumn name="Ají Verde" id="26"/>
    <tableColumn name="Grs Ají Verde" id="27"/>
    <tableColumn name="Papas Hilo" id="28"/>
    <tableColumn name="Grs Papas Hilo" id="29"/>
    <tableColumn name="Salsa Americana" id="30"/>
    <tableColumn name="Grs Salsa Americana" id="31"/>
    <tableColumn name="Poroto Negro" id="32"/>
    <tableColumn name="Grs Poroto Negro" id="33"/>
    <tableColumn name="Cebolla Morada" id="34"/>
    <tableColumn name="Grs Cebolla Morada" id="35"/>
    <tableColumn name="Pepinillos" id="36"/>
    <tableColumn name="Grs Pepinillos" id="37"/>
    <tableColumn name="Pimentón Salteado" id="38"/>
    <tableColumn name="Grs Pimentón Salteado" id="39"/>
    <tableColumn name="Tocino" id="40"/>
    <tableColumn name="Cant. Tocino" id="41"/>
    <tableColumn name="Base helado" id="42"/>
    <tableColumn name="ML Base helado" id="43"/>
    <tableColumn name="Salsa sundae" id="44"/>
    <tableColumn name="ML Salsa sundae" id="45"/>
    <tableColumn name="Mix granizado" id="46"/>
    <tableColumn name="Grs Mix granizado" id="47"/>
    <tableColumn name="Azúcar" id="48"/>
    <tableColumn name="Grs Azúcar" id="49"/>
    <tableColumn name="Maíz" id="50"/>
    <tableColumn name="Grs Maíz" id="51"/>
    <tableColumn name="Aceite" id="52"/>
    <tableColumn name="ML Aceite" id="53"/>
    <tableColumn name="Mix Algodón" id="54"/>
    <tableColumn name="Grs Mix Algodón" id="55"/>
    <tableColumn name="Plátano" id="56"/>
    <tableColumn name="Cant. Plátano" id="57"/>
    <tableColumn name="Frutilla" id="58"/>
    <tableColumn name="Cant. Frutilla" id="59"/>
    <tableColumn name="Marshmallow" id="60"/>
    <tableColumn name="Cant. Marshmallow" id="61"/>
    <tableColumn name="Azúcar flor" id="62"/>
    <tableColumn name="Grs Azúcar flor" id="63"/>
    <tableColumn name="Porta HotDog" id="64"/>
    <tableColumn name="Cant Porta HotDog" id="65"/>
    <tableColumn name="Plato Redondo" id="66"/>
    <tableColumn name="Cant Plato Redondo" id="67"/>
    <tableColumn name="Saco Blanco" id="68"/>
    <tableColumn name="Cant. Saco Blanco" id="69"/>
    <tableColumn name="Estuche Papas Fritas" id="70"/>
    <tableColumn name="Cant. Estuche Papas Fritas" id="71"/>
  </tableColumns>
  <tableStyleInfo name="Productos-style" showColumnStripes="0" showFirstColumn="1" showLastColumn="1" showRowStripes="1"/>
</table>
</file>

<file path=xl/tables/table8.xml><?xml version="1.0" encoding="utf-8"?>
<table xmlns="http://schemas.openxmlformats.org/spreadsheetml/2006/main" headerRowCount="0" ref="A1:H1" displayName="EVENTOS_" name="EVENTOS_" id="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Event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5"/>
    <col customWidth="1" min="2" max="2" width="47.13"/>
    <col customWidth="1" min="3" max="3" width="10.63"/>
    <col customWidth="1" min="4" max="4" width="12.13"/>
    <col customWidth="1" min="5" max="5" width="14.5"/>
    <col customWidth="1" min="6" max="6" width="11.5"/>
    <col customWidth="1" min="7" max="7" width="12.25"/>
    <col customWidth="1" min="8" max="8" width="12.13"/>
    <col customWidth="1" min="9" max="9" width="13.13"/>
    <col customWidth="1" min="10" max="10" width="13.88"/>
    <col customWidth="1" min="12" max="12" width="50.63"/>
    <col customWidth="1" min="15" max="15" width="14.5"/>
    <col customWidth="1" min="19" max="19" width="13.13"/>
  </cols>
  <sheetData>
    <row r="2" ht="22.5" customHeight="1">
      <c r="B2" s="1" t="s">
        <v>0</v>
      </c>
      <c r="C2" s="2">
        <v>40.0</v>
      </c>
      <c r="L2" s="3" t="s">
        <v>1</v>
      </c>
      <c r="M2" s="3" t="s">
        <v>2</v>
      </c>
      <c r="N2" s="3" t="s">
        <v>3</v>
      </c>
      <c r="O2" s="3" t="s">
        <v>4</v>
      </c>
      <c r="P2" s="3" t="s">
        <v>5</v>
      </c>
      <c r="Q2" s="3" t="s">
        <v>6</v>
      </c>
      <c r="R2" s="3" t="s">
        <v>7</v>
      </c>
      <c r="S2" s="3" t="s">
        <v>8</v>
      </c>
      <c r="T2" s="3" t="s">
        <v>9</v>
      </c>
    </row>
    <row r="3" ht="22.5" customHeight="1">
      <c r="L3" s="4" t="str">
        <f>IFERROR(__xludf.DUMMYFUNCTION("UNIQUE(FILTER(Eventos!F:F,Eventos!D:D=C2))"),"#N/A")</f>
        <v>#N/A</v>
      </c>
      <c r="M3" s="5">
        <f>SUMIFS(Eventos!$G:$G,Eventos!$F:$F,$L3,Eventos!$D:$D,$C$2,Eventos!$B:$B,PANES_SEMANALES[[#ALL],[LUNES]])</f>
        <v>0</v>
      </c>
      <c r="N3" s="6">
        <f>SUMIFS(Eventos!$G:$G,Eventos!$F:$F,$L3,Eventos!$D:$D,$C$2,Eventos!$B:$B,PANES_SEMANALES[[#ALL],[MARTES]])</f>
        <v>0</v>
      </c>
      <c r="O3" s="6">
        <f>SUMIFS(Eventos!$G:$G,Eventos!$F:$F,$L3,Eventos!$D:$D,$C$2,Eventos!$B:$B,PANES_SEMANALES[[#ALL],[MIÉRCOLES]])</f>
        <v>0</v>
      </c>
      <c r="P3" s="6">
        <f>SUMIFS(Eventos!$G:$G,Eventos!$F:$F,$L3,Eventos!$D:$D,$C$2,Eventos!$B:$B,PANES_SEMANALES[[#ALL],[JUEVES]])</f>
        <v>0</v>
      </c>
      <c r="Q3" s="6">
        <f>SUMIFS(Eventos!$G:$G,Eventos!$F:$F,$L3,Eventos!$D:$D,$C$2,Eventos!$B:$B,PANES_SEMANALES[[#ALL],[VIERNES]])</f>
        <v>0</v>
      </c>
      <c r="R3" s="6">
        <f>SUMIFS(Eventos!$G:$G,Eventos!$F:$F,$L3,Eventos!$D:$D,$C$2,Eventos!$B:$B,PANES_SEMANALES[[#ALL],[SÁBADO]])</f>
        <v>0</v>
      </c>
      <c r="S3" s="7">
        <f>SUMIFS(Eventos!$G:$G,Eventos!$F:$F,$L3,Eventos!$D:$D,$C$2,Eventos!$B:$B,PANES_SEMANALES[[#ALL],[DOMINGO]])</f>
        <v>0</v>
      </c>
      <c r="T3" s="8">
        <f t="shared" ref="T3:T1496" si="1">SUM(M3:S3)</f>
        <v>0</v>
      </c>
    </row>
    <row r="4" ht="22.5" customHeight="1">
      <c r="L4" s="4"/>
      <c r="M4" s="5">
        <f>SUMIFS(Eventos!$G:$G,Eventos!$F:$F,$L4,Eventos!$D:$D,$C$2,Eventos!$B:$B,PANES_SEMANALES[[#ALL],[LUNES]])</f>
        <v>0</v>
      </c>
      <c r="N4" s="6">
        <f>SUMIFS(Eventos!$G:$G,Eventos!$F:$F,$L4,Eventos!$D:$D,$C$2,Eventos!$B:$B,PANES_SEMANALES[[#ALL],[MARTES]])</f>
        <v>0</v>
      </c>
      <c r="O4" s="6">
        <f>SUMIFS(Eventos!$G:$G,Eventos!$F:$F,$L4,Eventos!$D:$D,$C$2,Eventos!$B:$B,PANES_SEMANALES[[#ALL],[MIÉRCOLES]])</f>
        <v>0</v>
      </c>
      <c r="P4" s="6">
        <f>SUMIFS(Eventos!$G:$G,Eventos!$F:$F,$L4,Eventos!$D:$D,$C$2,Eventos!$B:$B,PANES_SEMANALES[[#ALL],[JUEVES]])</f>
        <v>0</v>
      </c>
      <c r="Q4" s="6">
        <f>SUMIFS(Eventos!$G:$G,Eventos!$F:$F,$L4,Eventos!$D:$D,$C$2,Eventos!$B:$B,PANES_SEMANALES[[#ALL],[VIERNES]])</f>
        <v>0</v>
      </c>
      <c r="R4" s="6">
        <f>SUMIFS(Eventos!$G:$G,Eventos!$F:$F,$L4,Eventos!$D:$D,$C$2,Eventos!$B:$B,PANES_SEMANALES[[#ALL],[SÁBADO]])</f>
        <v>0</v>
      </c>
      <c r="S4" s="7">
        <f>SUMIFS(Eventos!$G:$G,Eventos!$F:$F,$L4,Eventos!$D:$D,$C$2,Eventos!$B:$B,PANES_SEMANALES[[#ALL],[DOMINGO]])</f>
        <v>0</v>
      </c>
      <c r="T4" s="8">
        <f t="shared" si="1"/>
        <v>0</v>
      </c>
    </row>
    <row r="5" ht="22.5" customHeight="1">
      <c r="B5" s="3" t="s">
        <v>10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L5" s="4"/>
      <c r="M5" s="5">
        <f>SUMIFS(Eventos!$G:$G,Eventos!$F:$F,$L5,Eventos!$D:$D,$C$2,Eventos!$B:$B,PANES_SEMANALES[[#ALL],[LUNES]])</f>
        <v>0</v>
      </c>
      <c r="N5" s="6">
        <f>SUMIFS(Eventos!$G:$G,Eventos!$F:$F,$L5,Eventos!$D:$D,$C$2,Eventos!$B:$B,PANES_SEMANALES[[#ALL],[MARTES]])</f>
        <v>0</v>
      </c>
      <c r="O5" s="6">
        <f>SUMIFS(Eventos!$G:$G,Eventos!$F:$F,$L5,Eventos!$D:$D,$C$2,Eventos!$B:$B,PANES_SEMANALES[[#ALL],[MIÉRCOLES]])</f>
        <v>0</v>
      </c>
      <c r="P5" s="6">
        <f>SUMIFS(Eventos!$G:$G,Eventos!$F:$F,$L5,Eventos!$D:$D,$C$2,Eventos!$B:$B,PANES_SEMANALES[[#ALL],[JUEVES]])</f>
        <v>0</v>
      </c>
      <c r="Q5" s="6">
        <f>SUMIFS(Eventos!$G:$G,Eventos!$F:$F,$L5,Eventos!$D:$D,$C$2,Eventos!$B:$B,PANES_SEMANALES[[#ALL],[VIERNES]])</f>
        <v>0</v>
      </c>
      <c r="R5" s="6">
        <f>SUMIFS(Eventos!$G:$G,Eventos!$F:$F,$L5,Eventos!$D:$D,$C$2,Eventos!$B:$B,PANES_SEMANALES[[#ALL],[SÁBADO]])</f>
        <v>0</v>
      </c>
      <c r="S5" s="7">
        <f>SUMIFS(Eventos!$G:$G,Eventos!$F:$F,$L5,Eventos!$D:$D,$C$2,Eventos!$B:$B,PANES_SEMANALES[[#ALL],[DOMINGO]])</f>
        <v>0</v>
      </c>
      <c r="T5" s="8">
        <f t="shared" si="1"/>
        <v>0</v>
      </c>
    </row>
    <row r="6" ht="22.5" customHeight="1">
      <c r="A6" s="9">
        <f t="array" ref="A6">SEQUENCE(COUNTA(B6:B28),1)</f>
        <v>1</v>
      </c>
      <c r="B6" s="10" t="str">
        <f>IFERROR(__xludf.DUMMYFUNCTION("SORT(UNIQUE(FILTER(Eventos!I:I,Eventos!D:D=C2)),1,TRUE)"),"#N/A")</f>
        <v>#N/A</v>
      </c>
      <c r="C6" s="11">
        <f>SUMIFS(Eventos!$J:$J,Eventos!$I:$I,$B6,Eventos!$B:$B,C$5,Eventos!$D:$D,$C$2)</f>
        <v>0</v>
      </c>
      <c r="D6" s="12">
        <f>SUMIFS(Eventos!$J:$J,Eventos!$I:$I,$B6,Eventos!$B:$B,D$5,Eventos!$D:$D,$C$2)</f>
        <v>0</v>
      </c>
      <c r="E6" s="12">
        <f>SUMIFS(Eventos!$J:$J,Eventos!$I:$I,$B6,Eventos!$B:$B,E$5,Eventos!$D:$D,$C$2)</f>
        <v>0</v>
      </c>
      <c r="F6" s="12">
        <f>SUMIFS(Eventos!$J:$J,Eventos!$I:$I,$B6,Eventos!$B:$B,F$5,Eventos!$D:$D,$C$2)</f>
        <v>0</v>
      </c>
      <c r="G6" s="12">
        <f>SUMIFS(Eventos!$J:$J,Eventos!$I:$I,$B6,Eventos!$B:$B,G$5,Eventos!$D:$D,$C$2)</f>
        <v>0</v>
      </c>
      <c r="H6" s="12">
        <f>SUMIFS(Eventos!$J:$J,Eventos!$I:$I,$B6,Eventos!$B:$B,H$5,Eventos!$D:$D,$C$2)</f>
        <v>0</v>
      </c>
      <c r="I6" s="12">
        <f>SUMIFS(Eventos!$J:$J,Eventos!$I:$I,$B6,Eventos!$B:$B,I$5,Eventos!$D:$D,$C$2)</f>
        <v>0</v>
      </c>
      <c r="J6" s="13">
        <f t="shared" ref="J6:J35" si="2">SUM(C6:I6)</f>
        <v>0</v>
      </c>
      <c r="L6" s="4"/>
      <c r="M6" s="5">
        <f>SUMIFS(Eventos!$G:$G,Eventos!$F:$F,$L6,Eventos!$D:$D,$C$2,Eventos!$B:$B,PANES_SEMANALES[[#ALL],[LUNES]])</f>
        <v>0</v>
      </c>
      <c r="N6" s="6">
        <f>SUMIFS(Eventos!$G:$G,Eventos!$F:$F,$L6,Eventos!$D:$D,$C$2,Eventos!$B:$B,PANES_SEMANALES[[#ALL],[MARTES]])</f>
        <v>0</v>
      </c>
      <c r="O6" s="6">
        <f>SUMIFS(Eventos!$G:$G,Eventos!$F:$F,$L6,Eventos!$D:$D,$C$2,Eventos!$B:$B,PANES_SEMANALES[[#ALL],[MIÉRCOLES]])</f>
        <v>0</v>
      </c>
      <c r="P6" s="6">
        <f>SUMIFS(Eventos!$G:$G,Eventos!$F:$F,$L6,Eventos!$D:$D,$C$2,Eventos!$B:$B,PANES_SEMANALES[[#ALL],[JUEVES]])</f>
        <v>0</v>
      </c>
      <c r="Q6" s="6">
        <f>SUMIFS(Eventos!$G:$G,Eventos!$F:$F,$L6,Eventos!$D:$D,$C$2,Eventos!$B:$B,PANES_SEMANALES[[#ALL],[VIERNES]])</f>
        <v>0</v>
      </c>
      <c r="R6" s="6">
        <f>SUMIFS(Eventos!$G:$G,Eventos!$F:$F,$L6,Eventos!$D:$D,$C$2,Eventos!$B:$B,PANES_SEMANALES[[#ALL],[SÁBADO]])</f>
        <v>0</v>
      </c>
      <c r="S6" s="7">
        <f>SUMIFS(Eventos!$G:$G,Eventos!$F:$F,$L6,Eventos!$D:$D,$C$2,Eventos!$B:$B,PANES_SEMANALES[[#ALL],[DOMINGO]])</f>
        <v>0</v>
      </c>
      <c r="T6" s="8">
        <f t="shared" si="1"/>
        <v>0</v>
      </c>
    </row>
    <row r="7" ht="22.5" customHeight="1">
      <c r="B7" s="14"/>
      <c r="C7" s="15">
        <f>SUMIFS(Eventos!$J:$J,Eventos!$I:$I,$B7,Eventos!$B:$B,C$5,Eventos!$D:$D,$C$2)</f>
        <v>0</v>
      </c>
      <c r="D7" s="16">
        <f>SUMIFS(Eventos!$J:$J,Eventos!$I:$I,$B7,Eventos!$B:$B,D$5,Eventos!$D:$D,$C$2)</f>
        <v>0</v>
      </c>
      <c r="E7" s="16">
        <f>SUMIFS(Eventos!$J:$J,Eventos!$I:$I,$B7,Eventos!$B:$B,E$5,Eventos!$D:$D,$C$2)</f>
        <v>0</v>
      </c>
      <c r="F7" s="16">
        <f>SUMIFS(Eventos!$J:$J,Eventos!$I:$I,$B7,Eventos!$B:$B,F$5,Eventos!$D:$D,$C$2)</f>
        <v>0</v>
      </c>
      <c r="G7" s="16">
        <f>SUMIFS(Eventos!$J:$J,Eventos!$I:$I,$B7,Eventos!$B:$B,G$5,Eventos!$D:$D,$C$2)</f>
        <v>0</v>
      </c>
      <c r="H7" s="16">
        <f>SUMIFS(Eventos!$J:$J,Eventos!$I:$I,$B7,Eventos!$B:$B,H$5,Eventos!$D:$D,$C$2)</f>
        <v>0</v>
      </c>
      <c r="I7" s="17">
        <f>SUMIFS(Eventos!$J:$J,Eventos!$I:$I,$B7,Eventos!$B:$B,I$5,Eventos!$D:$D,$C$2)</f>
        <v>0</v>
      </c>
      <c r="J7" s="18">
        <f t="shared" si="2"/>
        <v>0</v>
      </c>
      <c r="L7" s="4"/>
      <c r="M7" s="5">
        <f>SUMIFS(Eventos!$G:$G,Eventos!$F:$F,$L7,Eventos!$D:$D,$C$2,Eventos!$B:$B,PANES_SEMANALES[[#ALL],[LUNES]])</f>
        <v>0</v>
      </c>
      <c r="N7" s="6">
        <f>SUMIFS(Eventos!$G:$G,Eventos!$F:$F,$L7,Eventos!$D:$D,$C$2,Eventos!$B:$B,PANES_SEMANALES[[#ALL],[MARTES]])</f>
        <v>0</v>
      </c>
      <c r="O7" s="6">
        <f>SUMIFS(Eventos!$G:$G,Eventos!$F:$F,$L7,Eventos!$D:$D,$C$2,Eventos!$B:$B,PANES_SEMANALES[[#ALL],[MIÉRCOLES]])</f>
        <v>0</v>
      </c>
      <c r="P7" s="6">
        <f>SUMIFS(Eventos!$G:$G,Eventos!$F:$F,$L7,Eventos!$D:$D,$C$2,Eventos!$B:$B,PANES_SEMANALES[[#ALL],[JUEVES]])</f>
        <v>0</v>
      </c>
      <c r="Q7" s="6">
        <f>IF(P7&lt;&gt;"",SUMIFS(Eventos!$G:$G,Eventos!$B:$B,Q$2,Eventos!$D:$D,$C$2,Eventos!$F:$F,$L7),"")</f>
        <v>0</v>
      </c>
      <c r="R7" s="6">
        <f>SUMIFS(Eventos!$G:$G,Eventos!$F:$F,$L7,Eventos!$D:$D,$C$2,Eventos!$B:$B,PANES_SEMANALES[[#ALL],[SÁBADO]])</f>
        <v>0</v>
      </c>
      <c r="S7" s="7">
        <f>SUMIFS(Eventos!$G:$G,Eventos!$F:$F,$L7,Eventos!$D:$D,$C$2,Eventos!$B:$B,PANES_SEMANALES[[#ALL],[DOMINGO]])</f>
        <v>0</v>
      </c>
      <c r="T7" s="8">
        <f t="shared" si="1"/>
        <v>0</v>
      </c>
    </row>
    <row r="8" ht="22.5" customHeight="1">
      <c r="B8" s="14"/>
      <c r="C8" s="15">
        <f>SUMIFS(Eventos!$J:$J,Eventos!$I:$I,$B8,Eventos!$B:$B,C$5,Eventos!$D:$D,$C$2)</f>
        <v>0</v>
      </c>
      <c r="D8" s="16">
        <f>SUMIFS(Eventos!$J:$J,Eventos!$I:$I,$B8,Eventos!$B:$B,D$5,Eventos!$D:$D,$C$2)</f>
        <v>0</v>
      </c>
      <c r="E8" s="16">
        <f>SUMIFS(Eventos!$J:$J,Eventos!$I:$I,$B8,Eventos!$B:$B,E$5,Eventos!$D:$D,$C$2)</f>
        <v>0</v>
      </c>
      <c r="F8" s="16">
        <f>SUMIFS(Eventos!$J:$J,Eventos!$I:$I,$B8,Eventos!$B:$B,F$5,Eventos!$D:$D,$C$2)</f>
        <v>0</v>
      </c>
      <c r="G8" s="16">
        <f>SUMIFS(Eventos!$J:$J,Eventos!$I:$I,$B8,Eventos!$B:$B,G$5,Eventos!$D:$D,$C$2)</f>
        <v>0</v>
      </c>
      <c r="H8" s="16">
        <f>SUMIFS(Eventos!$J:$J,Eventos!$I:$I,$B8,Eventos!$B:$B,H$5,Eventos!$D:$D,$C$2)</f>
        <v>0</v>
      </c>
      <c r="I8" s="17">
        <f>SUMIFS(Eventos!$J:$J,Eventos!$I:$I,$B8,Eventos!$B:$B,I$5,Eventos!$D:$D,$C$2)</f>
        <v>0</v>
      </c>
      <c r="J8" s="18">
        <f t="shared" si="2"/>
        <v>0</v>
      </c>
      <c r="L8" s="4"/>
      <c r="M8" s="5">
        <f>SUMIFS(Eventos!$G:$G,Eventos!$F:$F,$L8,Eventos!$D:$D,$C$2,Eventos!$B:$B,PANES_SEMANALES[[#ALL],[LUNES]])</f>
        <v>0</v>
      </c>
      <c r="N8" s="6">
        <f>SUMIFS(Eventos!$G:$G,Eventos!$F:$F,$L8,Eventos!$D:$D,$C$2,Eventos!$B:$B,PANES_SEMANALES[[#ALL],[MARTES]])</f>
        <v>0</v>
      </c>
      <c r="O8" s="6">
        <f>SUMIFS(Eventos!$G:$G,Eventos!$F:$F,$L8,Eventos!$D:$D,$C$2,Eventos!$B:$B,PANES_SEMANALES[[#ALL],[MIÉRCOLES]])</f>
        <v>0</v>
      </c>
      <c r="P8" s="6">
        <f>SUMIFS(Eventos!$G:$G,Eventos!$F:$F,$L8,Eventos!$D:$D,$C$2,Eventos!$B:$B,PANES_SEMANALES[[#ALL],[JUEVES]])</f>
        <v>0</v>
      </c>
      <c r="Q8" s="6">
        <f>IF(P8&lt;&gt;"",SUMIFS(Eventos!$G:$G,Eventos!$B:$B,Q$2,Eventos!$D:$D,$C$2,Eventos!$F:$F,$L8),"")</f>
        <v>0</v>
      </c>
      <c r="R8" s="6">
        <f>SUMIFS(Eventos!$G:$G,Eventos!$F:$F,$L8,Eventos!$D:$D,$C$2,Eventos!$B:$B,PANES_SEMANALES[[#ALL],[SÁBADO]])</f>
        <v>0</v>
      </c>
      <c r="S8" s="7">
        <f>SUMIFS(Eventos!$G:$G,Eventos!$F:$F,$L8,Eventos!$D:$D,$C$2,Eventos!$B:$B,PANES_SEMANALES[[#ALL],[DOMINGO]])</f>
        <v>0</v>
      </c>
      <c r="T8" s="8">
        <f t="shared" si="1"/>
        <v>0</v>
      </c>
    </row>
    <row r="9" ht="22.5" customHeight="1">
      <c r="B9" s="14"/>
      <c r="C9" s="15">
        <f>SUMIFS(Eventos!$J:$J,Eventos!$I:$I,$B9,Eventos!$B:$B,C$5,Eventos!$D:$D,$C$2)</f>
        <v>0</v>
      </c>
      <c r="D9" s="16">
        <f>SUMIFS(Eventos!$J:$J,Eventos!$I:$I,$B9,Eventos!$B:$B,D$5,Eventos!$D:$D,$C$2)</f>
        <v>0</v>
      </c>
      <c r="E9" s="16">
        <f>SUMIFS(Eventos!$J:$J,Eventos!$I:$I,$B9,Eventos!$B:$B,E$5,Eventos!$D:$D,$C$2)</f>
        <v>0</v>
      </c>
      <c r="F9" s="16">
        <f>SUMIFS(Eventos!$J:$J,Eventos!$I:$I,$B9,Eventos!$B:$B,F$5,Eventos!$D:$D,$C$2)</f>
        <v>0</v>
      </c>
      <c r="G9" s="16">
        <f>SUMIFS(Eventos!$J:$J,Eventos!$I:$I,$B9,Eventos!$B:$B,G$5,Eventos!$D:$D,$C$2)</f>
        <v>0</v>
      </c>
      <c r="H9" s="16">
        <f>SUMIFS(Eventos!$J:$J,Eventos!$I:$I,$B9,Eventos!$B:$B,H$5,Eventos!$D:$D,$C$2)</f>
        <v>0</v>
      </c>
      <c r="I9" s="17">
        <f>SUMIFS(Eventos!$J:$J,Eventos!$I:$I,$B9,Eventos!$B:$B,I$5,Eventos!$D:$D,$C$2)</f>
        <v>0</v>
      </c>
      <c r="J9" s="18">
        <f t="shared" si="2"/>
        <v>0</v>
      </c>
      <c r="L9" s="4"/>
      <c r="M9" s="5">
        <f>SUMIFS(Eventos!$G:$G,Eventos!$F:$F,$L9,Eventos!$D:$D,$C$2,Eventos!$B:$B,PANES_SEMANALES[[#ALL],[LUNES]])</f>
        <v>0</v>
      </c>
      <c r="N9" s="6">
        <f>SUMIFS(Eventos!$G:$G,Eventos!$F:$F,$L9,Eventos!$D:$D,$C$2,Eventos!$B:$B,PANES_SEMANALES[[#ALL],[MARTES]])</f>
        <v>0</v>
      </c>
      <c r="O9" s="6">
        <f>SUMIFS(Eventos!$G:$G,Eventos!$F:$F,$L9,Eventos!$D:$D,$C$2,Eventos!$B:$B,PANES_SEMANALES[[#ALL],[MIÉRCOLES]])</f>
        <v>0</v>
      </c>
      <c r="P9" s="6">
        <f>SUMIFS(Eventos!$G:$G,Eventos!$F:$F,$L9,Eventos!$D:$D,$C$2,Eventos!$B:$B,PANES_SEMANALES[[#ALL],[JUEVES]])</f>
        <v>0</v>
      </c>
      <c r="Q9" s="6">
        <f>IF(P9&lt;&gt;"",SUMIFS(Eventos!$G:$G,Eventos!$B:$B,Q$2,Eventos!$D:$D,$C$2,Eventos!$F:$F,$L9),"")</f>
        <v>0</v>
      </c>
      <c r="R9" s="6">
        <f>SUMIFS(Eventos!$G:$G,Eventos!$F:$F,$L9,Eventos!$D:$D,$C$2,Eventos!$B:$B,PANES_SEMANALES[[#ALL],[SÁBADO]])</f>
        <v>0</v>
      </c>
      <c r="S9" s="7">
        <f>SUMIFS(Eventos!$G:$G,Eventos!$F:$F,$L9,Eventos!$D:$D,$C$2,Eventos!$B:$B,PANES_SEMANALES[[#ALL],[DOMINGO]])</f>
        <v>0</v>
      </c>
      <c r="T9" s="8">
        <f t="shared" si="1"/>
        <v>0</v>
      </c>
    </row>
    <row r="10" ht="22.5" customHeight="1">
      <c r="B10" s="14"/>
      <c r="C10" s="15">
        <f>SUMIFS(Eventos!$J:$J,Eventos!$I:$I,$B10,Eventos!$B:$B,C$5,Eventos!$D:$D,$C$2)</f>
        <v>0</v>
      </c>
      <c r="D10" s="16">
        <f>SUMIFS(Eventos!$J:$J,Eventos!$I:$I,$B10,Eventos!$B:$B,D$5,Eventos!$D:$D,$C$2)</f>
        <v>0</v>
      </c>
      <c r="E10" s="16">
        <f>SUMIFS(Eventos!$J:$J,Eventos!$I:$I,$B10,Eventos!$B:$B,E$5,Eventos!$D:$D,$C$2)</f>
        <v>0</v>
      </c>
      <c r="F10" s="16">
        <f>SUMIFS(Eventos!$J:$J,Eventos!$I:$I,$B10,Eventos!$B:$B,F$5,Eventos!$D:$D,$C$2)</f>
        <v>0</v>
      </c>
      <c r="G10" s="16">
        <f>SUMIFS(Eventos!$J:$J,Eventos!$I:$I,$B10,Eventos!$B:$B,G$5,Eventos!$D:$D,$C$2)</f>
        <v>0</v>
      </c>
      <c r="H10" s="16">
        <f>SUMIFS(Eventos!$J:$J,Eventos!$I:$I,$B10,Eventos!$B:$B,H$5,Eventos!$D:$D,$C$2)</f>
        <v>0</v>
      </c>
      <c r="I10" s="17">
        <f>SUMIFS(Eventos!$J:$J,Eventos!$I:$I,$B10,Eventos!$B:$B,I$5,Eventos!$D:$D,$C$2)</f>
        <v>0</v>
      </c>
      <c r="J10" s="18">
        <f t="shared" si="2"/>
        <v>0</v>
      </c>
      <c r="L10" s="4"/>
      <c r="M10" s="5">
        <f>SUMIFS(Eventos!$G:$G,Eventos!$F:$F,$L10,Eventos!$D:$D,$C$2,Eventos!$B:$B,PANES_SEMANALES[[#ALL],[LUNES]])</f>
        <v>0</v>
      </c>
      <c r="N10" s="6">
        <f>SUMIFS(Eventos!$G:$G,Eventos!$F:$F,$L10,Eventos!$D:$D,$C$2,Eventos!$B:$B,PANES_SEMANALES[[#ALL],[MARTES]])</f>
        <v>0</v>
      </c>
      <c r="O10" s="6">
        <f>SUMIFS(Eventos!$G:$G,Eventos!$F:$F,$L10,Eventos!$D:$D,$C$2,Eventos!$B:$B,PANES_SEMANALES[[#ALL],[MIÉRCOLES]])</f>
        <v>0</v>
      </c>
      <c r="P10" s="6">
        <f>SUMIFS(Eventos!$G:$G,Eventos!$F:$F,$L10,Eventos!$D:$D,$C$2,Eventos!$B:$B,PANES_SEMANALES[[#ALL],[JUEVES]])</f>
        <v>0</v>
      </c>
      <c r="Q10" s="6">
        <f>IF(P10&lt;&gt;"",SUMIFS(Eventos!$G:$G,Eventos!$B:$B,Q$2,Eventos!$D:$D,$C$2,Eventos!$F:$F,$L10),"")</f>
        <v>0</v>
      </c>
      <c r="R10" s="6">
        <f>SUMIFS(Eventos!$G:$G,Eventos!$F:$F,$L10,Eventos!$D:$D,$C$2,Eventos!$B:$B,PANES_SEMANALES[[#ALL],[SÁBADO]])</f>
        <v>0</v>
      </c>
      <c r="S10" s="7">
        <f>SUMIFS(Eventos!$G:$G,Eventos!$F:$F,$L10,Eventos!$D:$D,$C$2,Eventos!$B:$B,PANES_SEMANALES[[#ALL],[DOMINGO]])</f>
        <v>0</v>
      </c>
      <c r="T10" s="8">
        <f t="shared" si="1"/>
        <v>0</v>
      </c>
    </row>
    <row r="11" ht="22.5" customHeight="1">
      <c r="B11" s="14"/>
      <c r="C11" s="15">
        <f>SUMIFS(Eventos!$J:$J,Eventos!$I:$I,$B11,Eventos!$B:$B,C$5,Eventos!$D:$D,$C$2)</f>
        <v>0</v>
      </c>
      <c r="D11" s="16">
        <f>SUMIFS(Eventos!$J:$J,Eventos!$I:$I,$B11,Eventos!$B:$B,D$5,Eventos!$D:$D,$C$2)</f>
        <v>0</v>
      </c>
      <c r="E11" s="16">
        <f>SUMIFS(Eventos!$J:$J,Eventos!$I:$I,$B11,Eventos!$B:$B,E$5,Eventos!$D:$D,$C$2)</f>
        <v>0</v>
      </c>
      <c r="F11" s="16">
        <f>SUMIFS(Eventos!$J:$J,Eventos!$I:$I,$B11,Eventos!$B:$B,F$5,Eventos!$D:$D,$C$2)</f>
        <v>0</v>
      </c>
      <c r="G11" s="16">
        <f>SUMIFS(Eventos!$J:$J,Eventos!$I:$I,$B11,Eventos!$B:$B,G$5,Eventos!$D:$D,$C$2)</f>
        <v>0</v>
      </c>
      <c r="H11" s="16">
        <f>SUMIFS(Eventos!$J:$J,Eventos!$I:$I,$B11,Eventos!$B:$B,H$5,Eventos!$D:$D,$C$2)</f>
        <v>0</v>
      </c>
      <c r="I11" s="17">
        <f>SUMIFS(Eventos!$J:$J,Eventos!$I:$I,$B11,Eventos!$B:$B,I$5,Eventos!$D:$D,$C$2)</f>
        <v>0</v>
      </c>
      <c r="J11" s="18">
        <f t="shared" si="2"/>
        <v>0</v>
      </c>
      <c r="L11" s="4"/>
      <c r="M11" s="5">
        <f>SUMIFS(Eventos!$G:$G,Eventos!$F:$F,$L11,Eventos!$D:$D,$C$2,Eventos!$B:$B,PANES_SEMANALES[[#ALL],[LUNES]])</f>
        <v>0</v>
      </c>
      <c r="N11" s="6">
        <f>SUMIFS(Eventos!$G:$G,Eventos!$F:$F,$L11,Eventos!$D:$D,$C$2,Eventos!$B:$B,PANES_SEMANALES[[#ALL],[MARTES]])</f>
        <v>0</v>
      </c>
      <c r="O11" s="6">
        <f>SUMIFS(Eventos!$G:$G,Eventos!$F:$F,$L11,Eventos!$D:$D,$C$2,Eventos!$B:$B,PANES_SEMANALES[[#ALL],[MIÉRCOLES]])</f>
        <v>0</v>
      </c>
      <c r="P11" s="6">
        <f>SUMIFS(Eventos!$G:$G,Eventos!$F:$F,$L11,Eventos!$D:$D,$C$2,Eventos!$B:$B,PANES_SEMANALES[[#ALL],[JUEVES]])</f>
        <v>0</v>
      </c>
      <c r="Q11" s="6">
        <f>IF(P11&lt;&gt;"",SUMIFS(Eventos!$G:$G,Eventos!$B:$B,Q$2,Eventos!$D:$D,$C$2,Eventos!$F:$F,$L11),"")</f>
        <v>0</v>
      </c>
      <c r="R11" s="6">
        <f>SUMIFS(Eventos!$G:$G,Eventos!$F:$F,$L11,Eventos!$D:$D,$C$2,Eventos!$B:$B,PANES_SEMANALES[[#ALL],[SÁBADO]])</f>
        <v>0</v>
      </c>
      <c r="S11" s="7">
        <f>SUMIFS(Eventos!$G:$G,Eventos!$F:$F,$L11,Eventos!$D:$D,$C$2,Eventos!$B:$B,PANES_SEMANALES[[#ALL],[DOMINGO]])</f>
        <v>0</v>
      </c>
      <c r="T11" s="8">
        <f t="shared" si="1"/>
        <v>0</v>
      </c>
    </row>
    <row r="12" ht="22.5" customHeight="1">
      <c r="B12" s="14"/>
      <c r="C12" s="15">
        <f>SUMIFS(Eventos!$J:$J,Eventos!$I:$I,$B12,Eventos!$B:$B,C$5,Eventos!$D:$D,$C$2)</f>
        <v>0</v>
      </c>
      <c r="D12" s="16">
        <f>SUMIFS(Eventos!$J:$J,Eventos!$I:$I,$B12,Eventos!$B:$B,D$5,Eventos!$D:$D,$C$2)</f>
        <v>0</v>
      </c>
      <c r="E12" s="16">
        <f>SUMIFS(Eventos!$J:$J,Eventos!$I:$I,$B12,Eventos!$B:$B,E$5,Eventos!$D:$D,$C$2)</f>
        <v>0</v>
      </c>
      <c r="F12" s="16">
        <f>SUMIFS(Eventos!$J:$J,Eventos!$I:$I,$B12,Eventos!$B:$B,F$5,Eventos!$D:$D,$C$2)</f>
        <v>0</v>
      </c>
      <c r="G12" s="16">
        <f>SUMIFS(Eventos!$J:$J,Eventos!$I:$I,$B12,Eventos!$B:$B,G$5,Eventos!$D:$D,$C$2)</f>
        <v>0</v>
      </c>
      <c r="H12" s="16">
        <f>SUMIFS(Eventos!$J:$J,Eventos!$I:$I,$B12,Eventos!$B:$B,H$5,Eventos!$D:$D,$C$2)</f>
        <v>0</v>
      </c>
      <c r="I12" s="17">
        <f>SUMIFS(Eventos!$J:$J,Eventos!$I:$I,$B12,Eventos!$B:$B,I$5,Eventos!$D:$D,$C$2)</f>
        <v>0</v>
      </c>
      <c r="J12" s="18">
        <f t="shared" si="2"/>
        <v>0</v>
      </c>
      <c r="L12" s="4"/>
      <c r="M12" s="5">
        <f>SUMIFS(Eventos!$G:$G,Eventos!$F:$F,$L12,Eventos!$D:$D,$C$2,Eventos!$B:$B,PANES_SEMANALES[[#ALL],[LUNES]])</f>
        <v>0</v>
      </c>
      <c r="N12" s="6">
        <f>SUMIFS(Eventos!$G:$G,Eventos!$F:$F,$L12,Eventos!$D:$D,$C$2,Eventos!$B:$B,PANES_SEMANALES[[#ALL],[MARTES]])</f>
        <v>0</v>
      </c>
      <c r="O12" s="6">
        <f>SUMIFS(Eventos!$G:$G,Eventos!$F:$F,$L12,Eventos!$D:$D,$C$2,Eventos!$B:$B,PANES_SEMANALES[[#ALL],[MIÉRCOLES]])</f>
        <v>0</v>
      </c>
      <c r="P12" s="6">
        <f>SUMIFS(Eventos!$G:$G,Eventos!$F:$F,$L12,Eventos!$D:$D,$C$2,Eventos!$B:$B,PANES_SEMANALES[[#ALL],[JUEVES]])</f>
        <v>0</v>
      </c>
      <c r="Q12" s="6">
        <f>IF(P12&lt;&gt;"",SUMIFS(Eventos!$G:$G,Eventos!$B:$B,Q$2,Eventos!$D:$D,$C$2,Eventos!$F:$F,$L12),"")</f>
        <v>0</v>
      </c>
      <c r="R12" s="6">
        <f>SUMIFS(Eventos!$G:$G,Eventos!$F:$F,$L12,Eventos!$D:$D,$C$2,Eventos!$B:$B,PANES_SEMANALES[[#ALL],[SÁBADO]])</f>
        <v>0</v>
      </c>
      <c r="S12" s="7">
        <f>SUMIFS(Eventos!$G:$G,Eventos!$F:$F,$L12,Eventos!$D:$D,$C$2,Eventos!$B:$B,PANES_SEMANALES[[#ALL],[DOMINGO]])</f>
        <v>0</v>
      </c>
      <c r="T12" s="8">
        <f t="shared" si="1"/>
        <v>0</v>
      </c>
    </row>
    <row r="13" ht="22.5" customHeight="1">
      <c r="B13" s="14"/>
      <c r="C13" s="15">
        <f>SUMIFS(Eventos!$J:$J,Eventos!$I:$I,$B13,Eventos!$B:$B,C$5,Eventos!$D:$D,$C$2)</f>
        <v>0</v>
      </c>
      <c r="D13" s="16">
        <f>SUMIFS(Eventos!$J:$J,Eventos!$I:$I,$B13,Eventos!$B:$B,D$5,Eventos!$D:$D,$C$2)</f>
        <v>0</v>
      </c>
      <c r="E13" s="16">
        <f>SUMIFS(Eventos!$J:$J,Eventos!$I:$I,$B13,Eventos!$B:$B,E$5,Eventos!$D:$D,$C$2)</f>
        <v>0</v>
      </c>
      <c r="F13" s="16">
        <f>SUMIFS(Eventos!$J:$J,Eventos!$I:$I,$B13,Eventos!$B:$B,F$5,Eventos!$D:$D,$C$2)</f>
        <v>0</v>
      </c>
      <c r="G13" s="16">
        <f>SUMIFS(Eventos!$J:$J,Eventos!$I:$I,$B13,Eventos!$B:$B,G$5,Eventos!$D:$D,$C$2)</f>
        <v>0</v>
      </c>
      <c r="H13" s="16">
        <f>SUMIFS(Eventos!$J:$J,Eventos!$I:$I,$B13,Eventos!$B:$B,H$5,Eventos!$D:$D,$C$2)</f>
        <v>0</v>
      </c>
      <c r="I13" s="17">
        <f>SUMIFS(Eventos!$J:$J,Eventos!$I:$I,$B13,Eventos!$B:$B,I$5,Eventos!$D:$D,$C$2)</f>
        <v>0</v>
      </c>
      <c r="J13" s="18">
        <f t="shared" si="2"/>
        <v>0</v>
      </c>
      <c r="L13" s="4"/>
      <c r="M13" s="5">
        <f>SUMIFS(Eventos!$G:$G,Eventos!$F:$F,$L13,Eventos!$D:$D,$C$2,Eventos!$B:$B,PANES_SEMANALES[[#ALL],[LUNES]])</f>
        <v>0</v>
      </c>
      <c r="N13" s="6">
        <f>SUMIFS(Eventos!$G:$G,Eventos!$F:$F,$L13,Eventos!$D:$D,$C$2,Eventos!$B:$B,PANES_SEMANALES[[#ALL],[MARTES]])</f>
        <v>0</v>
      </c>
      <c r="O13" s="6">
        <f>SUMIFS(Eventos!$G:$G,Eventos!$F:$F,$L13,Eventos!$D:$D,$C$2,Eventos!$B:$B,PANES_SEMANALES[[#ALL],[MIÉRCOLES]])</f>
        <v>0</v>
      </c>
      <c r="P13" s="6">
        <f>SUMIFS(Eventos!$G:$G,Eventos!$F:$F,$L13,Eventos!$D:$D,$C$2,Eventos!$B:$B,PANES_SEMANALES[[#ALL],[JUEVES]])</f>
        <v>0</v>
      </c>
      <c r="Q13" s="6">
        <f>IF(P13&lt;&gt;"",SUMIFS(Eventos!$G:$G,Eventos!$B:$B,Q$2,Eventos!$D:$D,$C$2,Eventos!$F:$F,$L13),"")</f>
        <v>0</v>
      </c>
      <c r="R13" s="6">
        <f>SUMIFS(Eventos!$G:$G,Eventos!$F:$F,$L13,Eventos!$D:$D,$C$2,Eventos!$B:$B,PANES_SEMANALES[[#ALL],[SÁBADO]])</f>
        <v>0</v>
      </c>
      <c r="S13" s="7">
        <f>SUMIFS(Eventos!$G:$G,Eventos!$F:$F,$L13,Eventos!$D:$D,$C$2,Eventos!$B:$B,PANES_SEMANALES[[#ALL],[DOMINGO]])</f>
        <v>0</v>
      </c>
      <c r="T13" s="8">
        <f t="shared" si="1"/>
        <v>0</v>
      </c>
    </row>
    <row r="14" ht="22.5" customHeight="1">
      <c r="B14" s="14"/>
      <c r="C14" s="15">
        <f>SUMIFS(Eventos!$J:$J,Eventos!$I:$I,$B14,Eventos!$B:$B,C$5,Eventos!$D:$D,$C$2)</f>
        <v>0</v>
      </c>
      <c r="D14" s="16">
        <f>SUMIFS(Eventos!$J:$J,Eventos!$I:$I,$B14,Eventos!$B:$B,D$5,Eventos!$D:$D,$C$2)</f>
        <v>0</v>
      </c>
      <c r="E14" s="16">
        <f>SUMIFS(Eventos!$J:$J,Eventos!$I:$I,$B14,Eventos!$B:$B,E$5,Eventos!$D:$D,$C$2)</f>
        <v>0</v>
      </c>
      <c r="F14" s="16">
        <f>SUMIFS(Eventos!$J:$J,Eventos!$I:$I,$B14,Eventos!$B:$B,F$5,Eventos!$D:$D,$C$2)</f>
        <v>0</v>
      </c>
      <c r="G14" s="16">
        <f>SUMIFS(Eventos!$J:$J,Eventos!$I:$I,$B14,Eventos!$B:$B,G$5,Eventos!$D:$D,$C$2)</f>
        <v>0</v>
      </c>
      <c r="H14" s="16">
        <f>SUMIFS(Eventos!$J:$J,Eventos!$I:$I,$B14,Eventos!$B:$B,H$5,Eventos!$D:$D,$C$2)</f>
        <v>0</v>
      </c>
      <c r="I14" s="17">
        <f>SUMIFS(Eventos!$J:$J,Eventos!$I:$I,$B14,Eventos!$B:$B,I$5,Eventos!$D:$D,$C$2)</f>
        <v>0</v>
      </c>
      <c r="J14" s="18">
        <f t="shared" si="2"/>
        <v>0</v>
      </c>
      <c r="L14" s="4"/>
      <c r="M14" s="5">
        <f>SUMIFS(Eventos!$G:$G,Eventos!$F:$F,$L14,Eventos!$D:$D,$C$2,Eventos!$B:$B,PANES_SEMANALES[[#ALL],[LUNES]])</f>
        <v>0</v>
      </c>
      <c r="N14" s="6">
        <f>SUMIFS(Eventos!$G:$G,Eventos!$F:$F,$L14,Eventos!$D:$D,$C$2,Eventos!$B:$B,PANES_SEMANALES[[#ALL],[MARTES]])</f>
        <v>0</v>
      </c>
      <c r="O14" s="6">
        <f>SUMIFS(Eventos!$G:$G,Eventos!$F:$F,$L14,Eventos!$D:$D,$C$2,Eventos!$B:$B,PANES_SEMANALES[[#ALL],[MIÉRCOLES]])</f>
        <v>0</v>
      </c>
      <c r="P14" s="6">
        <f>SUMIFS(Eventos!$G:$G,Eventos!$F:$F,$L14,Eventos!$D:$D,$C$2,Eventos!$B:$B,PANES_SEMANALES[[#ALL],[JUEVES]])</f>
        <v>0</v>
      </c>
      <c r="Q14" s="6">
        <f>IF(P14&lt;&gt;"",SUMIFS(Eventos!$G:$G,Eventos!$B:$B,Q$2,Eventos!$D:$D,$C$2,Eventos!$F:$F,$L14),"")</f>
        <v>0</v>
      </c>
      <c r="R14" s="6">
        <f>SUMIFS(Eventos!$G:$G,Eventos!$F:$F,$L14,Eventos!$D:$D,$C$2,Eventos!$B:$B,PANES_SEMANALES[[#ALL],[SÁBADO]])</f>
        <v>0</v>
      </c>
      <c r="S14" s="7">
        <f>SUMIFS(Eventos!$G:$G,Eventos!$F:$F,$L14,Eventos!$D:$D,$C$2,Eventos!$B:$B,PANES_SEMANALES[[#ALL],[DOMINGO]])</f>
        <v>0</v>
      </c>
      <c r="T14" s="8">
        <f t="shared" si="1"/>
        <v>0</v>
      </c>
    </row>
    <row r="15" ht="22.5" customHeight="1">
      <c r="B15" s="14"/>
      <c r="C15" s="15">
        <f>SUMIFS(Eventos!$J:$J,Eventos!$I:$I,$B15,Eventos!$B:$B,C$5,Eventos!$D:$D,$C$2)</f>
        <v>0</v>
      </c>
      <c r="D15" s="16">
        <f>SUMIFS(Eventos!$J:$J,Eventos!$I:$I,$B15,Eventos!$B:$B,D$5,Eventos!$D:$D,$C$2)</f>
        <v>0</v>
      </c>
      <c r="E15" s="16">
        <f>SUMIFS(Eventos!$J:$J,Eventos!$I:$I,$B15,Eventos!$B:$B,E$5,Eventos!$D:$D,$C$2)</f>
        <v>0</v>
      </c>
      <c r="F15" s="16">
        <f>SUMIFS(Eventos!$J:$J,Eventos!$I:$I,$B15,Eventos!$B:$B,F$5,Eventos!$D:$D,$C$2)</f>
        <v>0</v>
      </c>
      <c r="G15" s="16">
        <f>SUMIFS(Eventos!$J:$J,Eventos!$I:$I,$B15,Eventos!$B:$B,G$5,Eventos!$D:$D,$C$2)</f>
        <v>0</v>
      </c>
      <c r="H15" s="16">
        <f>SUMIFS(Eventos!$J:$J,Eventos!$I:$I,$B15,Eventos!$B:$B,H$5,Eventos!$D:$D,$C$2)</f>
        <v>0</v>
      </c>
      <c r="I15" s="17">
        <f>SUMIFS(Eventos!$J:$J,Eventos!$I:$I,$B15,Eventos!$B:$B,I$5,Eventos!$D:$D,$C$2)</f>
        <v>0</v>
      </c>
      <c r="J15" s="18">
        <f t="shared" si="2"/>
        <v>0</v>
      </c>
      <c r="L15" s="4"/>
      <c r="M15" s="5">
        <f>SUMIFS(Eventos!$G:$G,Eventos!$F:$F,$L15,Eventos!$D:$D,$C$2,Eventos!$B:$B,PANES_SEMANALES[[#ALL],[LUNES]])</f>
        <v>0</v>
      </c>
      <c r="N15" s="6">
        <f>SUMIFS(Eventos!$G:$G,Eventos!$F:$F,$L15,Eventos!$D:$D,$C$2,Eventos!$B:$B,PANES_SEMANALES[[#ALL],[MARTES]])</f>
        <v>0</v>
      </c>
      <c r="O15" s="6">
        <f>SUMIFS(Eventos!$G:$G,Eventos!$F:$F,$L15,Eventos!$D:$D,$C$2,Eventos!$B:$B,PANES_SEMANALES[[#ALL],[MIÉRCOLES]])</f>
        <v>0</v>
      </c>
      <c r="P15" s="6">
        <f>SUMIFS(Eventos!$G:$G,Eventos!$F:$F,$L15,Eventos!$D:$D,$C$2,Eventos!$B:$B,PANES_SEMANALES[[#ALL],[JUEVES]])</f>
        <v>0</v>
      </c>
      <c r="Q15" s="6">
        <f>IF(P15&lt;&gt;"",SUMIFS(Eventos!$G:$G,Eventos!$B:$B,Q$2,Eventos!$D:$D,$C$2,Eventos!$F:$F,$L15),"")</f>
        <v>0</v>
      </c>
      <c r="R15" s="6">
        <f>SUMIFS(Eventos!$G:$G,Eventos!$F:$F,$L15,Eventos!$D:$D,$C$2,Eventos!$B:$B,PANES_SEMANALES[[#ALL],[SÁBADO]])</f>
        <v>0</v>
      </c>
      <c r="S15" s="7">
        <f>SUMIFS(Eventos!$G:$G,Eventos!$F:$F,$L15,Eventos!$D:$D,$C$2,Eventos!$B:$B,PANES_SEMANALES[[#ALL],[DOMINGO]])</f>
        <v>0</v>
      </c>
      <c r="T15" s="8">
        <f t="shared" si="1"/>
        <v>0</v>
      </c>
    </row>
    <row r="16" ht="22.5" customHeight="1">
      <c r="B16" s="14"/>
      <c r="C16" s="15">
        <f>SUMIFS(Eventos!$J:$J,Eventos!$I:$I,$B16,Eventos!$B:$B,C$5,Eventos!$D:$D,$C$2)</f>
        <v>0</v>
      </c>
      <c r="D16" s="16">
        <f>SUMIFS(Eventos!$J:$J,Eventos!$I:$I,$B16,Eventos!$B:$B,D$5,Eventos!$D:$D,$C$2)</f>
        <v>0</v>
      </c>
      <c r="E16" s="16">
        <f>SUMIFS(Eventos!$J:$J,Eventos!$I:$I,$B16,Eventos!$B:$B,E$5,Eventos!$D:$D,$C$2)</f>
        <v>0</v>
      </c>
      <c r="F16" s="16">
        <f>SUMIFS(Eventos!$J:$J,Eventos!$I:$I,$B16,Eventos!$B:$B,F$5,Eventos!$D:$D,$C$2)</f>
        <v>0</v>
      </c>
      <c r="G16" s="16">
        <f>SUMIFS(Eventos!$J:$J,Eventos!$I:$I,$B16,Eventos!$B:$B,G$5,Eventos!$D:$D,$C$2)</f>
        <v>0</v>
      </c>
      <c r="H16" s="16">
        <f>SUMIFS(Eventos!$J:$J,Eventos!$I:$I,$B16,Eventos!$B:$B,H$5,Eventos!$D:$D,$C$2)</f>
        <v>0</v>
      </c>
      <c r="I16" s="17">
        <f>SUMIFS(Eventos!$J:$J,Eventos!$I:$I,$B16,Eventos!$B:$B,I$5,Eventos!$D:$D,$C$2)</f>
        <v>0</v>
      </c>
      <c r="J16" s="18">
        <f t="shared" si="2"/>
        <v>0</v>
      </c>
      <c r="L16" s="4"/>
      <c r="M16" s="5">
        <f>SUMIFS(Eventos!$G:$G,Eventos!$F:$F,$L16,Eventos!$D:$D,$C$2,Eventos!$B:$B,PANES_SEMANALES[[#ALL],[LUNES]])</f>
        <v>0</v>
      </c>
      <c r="N16" s="6">
        <f>SUMIFS(Eventos!$G:$G,Eventos!$F:$F,$L16,Eventos!$D:$D,$C$2,Eventos!$B:$B,PANES_SEMANALES[[#ALL],[MARTES]])</f>
        <v>0</v>
      </c>
      <c r="O16" s="6">
        <f>SUMIFS(Eventos!$G:$G,Eventos!$F:$F,$L16,Eventos!$D:$D,$C$2,Eventos!$B:$B,PANES_SEMANALES[[#ALL],[MIÉRCOLES]])</f>
        <v>0</v>
      </c>
      <c r="P16" s="6">
        <f>SUMIFS(Eventos!$G:$G,Eventos!$F:$F,$L16,Eventos!$D:$D,$C$2,Eventos!$B:$B,PANES_SEMANALES[[#ALL],[JUEVES]])</f>
        <v>0</v>
      </c>
      <c r="Q16" s="6">
        <f>IF(P16&lt;&gt;"",SUMIFS(Eventos!$G:$G,Eventos!$B:$B,Q$2,Eventos!$D:$D,$C$2,Eventos!$F:$F,$L16),"")</f>
        <v>0</v>
      </c>
      <c r="R16" s="6">
        <f>SUMIFS(Eventos!$G:$G,Eventos!$F:$F,$L16,Eventos!$D:$D,$C$2,Eventos!$B:$B,PANES_SEMANALES[[#ALL],[SÁBADO]])</f>
        <v>0</v>
      </c>
      <c r="S16" s="7">
        <f>SUMIFS(Eventos!$G:$G,Eventos!$F:$F,$L16,Eventos!$D:$D,$C$2,Eventos!$B:$B,PANES_SEMANALES[[#ALL],[DOMINGO]])</f>
        <v>0</v>
      </c>
      <c r="T16" s="8">
        <f t="shared" si="1"/>
        <v>0</v>
      </c>
    </row>
    <row r="17" ht="22.5" customHeight="1">
      <c r="B17" s="14"/>
      <c r="C17" s="15">
        <f>SUMIFS(Eventos!$J:$J,Eventos!$I:$I,$B17,Eventos!$B:$B,C$5,Eventos!$D:$D,$C$2)</f>
        <v>0</v>
      </c>
      <c r="D17" s="16">
        <f>SUMIFS(Eventos!$J:$J,Eventos!$I:$I,$B17,Eventos!$B:$B,D$5,Eventos!$D:$D,$C$2)</f>
        <v>0</v>
      </c>
      <c r="E17" s="16">
        <f>SUMIFS(Eventos!$J:$J,Eventos!$I:$I,$B17,Eventos!$B:$B,E$5,Eventos!$D:$D,$C$2)</f>
        <v>0</v>
      </c>
      <c r="F17" s="16">
        <f>SUMIFS(Eventos!$J:$J,Eventos!$I:$I,$B17,Eventos!$B:$B,F$5,Eventos!$D:$D,$C$2)</f>
        <v>0</v>
      </c>
      <c r="G17" s="16">
        <f>SUMIFS(Eventos!$J:$J,Eventos!$I:$I,$B17,Eventos!$B:$B,G$5,Eventos!$D:$D,$C$2)</f>
        <v>0</v>
      </c>
      <c r="H17" s="16">
        <f>SUMIFS(Eventos!$J:$J,Eventos!$I:$I,$B17,Eventos!$B:$B,H$5,Eventos!$D:$D,$C$2)</f>
        <v>0</v>
      </c>
      <c r="I17" s="17">
        <f>SUMIFS(Eventos!$J:$J,Eventos!$I:$I,$B17,Eventos!$B:$B,I$5,Eventos!$D:$D,$C$2)</f>
        <v>0</v>
      </c>
      <c r="J17" s="18">
        <f t="shared" si="2"/>
        <v>0</v>
      </c>
      <c r="L17" s="4"/>
      <c r="M17" s="5">
        <f>SUMIFS(Eventos!$G:$G,Eventos!$F:$F,$L17,Eventos!$D:$D,$C$2,Eventos!$B:$B,PANES_SEMANALES[[#ALL],[LUNES]])</f>
        <v>0</v>
      </c>
      <c r="N17" s="6">
        <f>SUMIFS(Eventos!$G:$G,Eventos!$F:$F,$L17,Eventos!$D:$D,$C$2,Eventos!$B:$B,PANES_SEMANALES[[#ALL],[MARTES]])</f>
        <v>0</v>
      </c>
      <c r="O17" s="6">
        <f>SUMIFS(Eventos!$G:$G,Eventos!$F:$F,$L17,Eventos!$D:$D,$C$2,Eventos!$B:$B,PANES_SEMANALES[[#ALL],[MIÉRCOLES]])</f>
        <v>0</v>
      </c>
      <c r="P17" s="6">
        <f>SUMIFS(Eventos!$G:$G,Eventos!$F:$F,$L17,Eventos!$D:$D,$C$2,Eventos!$B:$B,PANES_SEMANALES[[#ALL],[JUEVES]])</f>
        <v>0</v>
      </c>
      <c r="Q17" s="6">
        <f>IF(P17&lt;&gt;"",SUMIFS(Eventos!$G:$G,Eventos!$B:$B,Q$2,Eventos!$D:$D,$C$2,Eventos!$F:$F,$L17),"")</f>
        <v>0</v>
      </c>
      <c r="R17" s="6">
        <f>SUMIFS(Eventos!$G:$G,Eventos!$F:$F,$L17,Eventos!$D:$D,$C$2,Eventos!$B:$B,PANES_SEMANALES[[#ALL],[SÁBADO]])</f>
        <v>0</v>
      </c>
      <c r="S17" s="7">
        <f>SUMIFS(Eventos!$G:$G,Eventos!$F:$F,$L17,Eventos!$D:$D,$C$2,Eventos!$B:$B,PANES_SEMANALES[[#ALL],[DOMINGO]])</f>
        <v>0</v>
      </c>
      <c r="T17" s="8">
        <f t="shared" si="1"/>
        <v>0</v>
      </c>
    </row>
    <row r="18" ht="22.5" customHeight="1">
      <c r="B18" s="14"/>
      <c r="C18" s="15">
        <f>SUMIFS(Eventos!$J:$J,Eventos!$I:$I,$B18,Eventos!$B:$B,C$5,Eventos!$D:$D,$C$2)</f>
        <v>0</v>
      </c>
      <c r="D18" s="16">
        <f>SUMIFS(Eventos!$J:$J,Eventos!$I:$I,$B18,Eventos!$B:$B,D$5,Eventos!$D:$D,$C$2)</f>
        <v>0</v>
      </c>
      <c r="E18" s="16">
        <f>SUMIFS(Eventos!$J:$J,Eventos!$I:$I,$B18,Eventos!$B:$B,E$5,Eventos!$D:$D,$C$2)</f>
        <v>0</v>
      </c>
      <c r="F18" s="16">
        <f>SUMIFS(Eventos!$J:$J,Eventos!$I:$I,$B18,Eventos!$B:$B,F$5,Eventos!$D:$D,$C$2)</f>
        <v>0</v>
      </c>
      <c r="G18" s="16">
        <f>SUMIFS(Eventos!$J:$J,Eventos!$I:$I,$B18,Eventos!$B:$B,G$5,Eventos!$D:$D,$C$2)</f>
        <v>0</v>
      </c>
      <c r="H18" s="16">
        <f>SUMIFS(Eventos!$J:$J,Eventos!$I:$I,$B18,Eventos!$B:$B,H$5,Eventos!$D:$D,$C$2)</f>
        <v>0</v>
      </c>
      <c r="I18" s="17">
        <f>SUMIFS(Eventos!$J:$J,Eventos!$I:$I,$B18,Eventos!$B:$B,I$5,Eventos!$D:$D,$C$2)</f>
        <v>0</v>
      </c>
      <c r="J18" s="18">
        <f t="shared" si="2"/>
        <v>0</v>
      </c>
      <c r="L18" s="4"/>
      <c r="M18" s="5">
        <f>SUMIFS(Eventos!$G:$G,Eventos!$F:$F,$L18,Eventos!$D:$D,$C$2,Eventos!$B:$B,PANES_SEMANALES[[#ALL],[LUNES]])</f>
        <v>0</v>
      </c>
      <c r="N18" s="6">
        <f>SUMIFS(Eventos!$G:$G,Eventos!$F:$F,$L18,Eventos!$D:$D,$C$2,Eventos!$B:$B,PANES_SEMANALES[[#ALL],[MARTES]])</f>
        <v>0</v>
      </c>
      <c r="O18" s="6">
        <f>SUMIFS(Eventos!$G:$G,Eventos!$F:$F,$L18,Eventos!$D:$D,$C$2,Eventos!$B:$B,PANES_SEMANALES[[#ALL],[MIÉRCOLES]])</f>
        <v>0</v>
      </c>
      <c r="P18" s="6">
        <f>SUMIFS(Eventos!$G:$G,Eventos!$F:$F,$L18,Eventos!$D:$D,$C$2,Eventos!$B:$B,PANES_SEMANALES[[#ALL],[JUEVES]])</f>
        <v>0</v>
      </c>
      <c r="Q18" s="6">
        <f>IF(P18&lt;&gt;"",SUMIFS(Eventos!$G:$G,Eventos!$B:$B,Q$2,Eventos!$D:$D,$C$2,Eventos!$F:$F,$L18),"")</f>
        <v>0</v>
      </c>
      <c r="R18" s="6">
        <f>SUMIFS(Eventos!$G:$G,Eventos!$F:$F,$L18,Eventos!$D:$D,$C$2,Eventos!$B:$B,PANES_SEMANALES[[#ALL],[SÁBADO]])</f>
        <v>0</v>
      </c>
      <c r="S18" s="7">
        <f>SUMIFS(Eventos!$G:$G,Eventos!$F:$F,$L18,Eventos!$D:$D,$C$2,Eventos!$B:$B,PANES_SEMANALES[[#ALL],[DOMINGO]])</f>
        <v>0</v>
      </c>
      <c r="T18" s="8">
        <f t="shared" si="1"/>
        <v>0</v>
      </c>
    </row>
    <row r="19" ht="22.5" customHeight="1">
      <c r="B19" s="14"/>
      <c r="C19" s="15">
        <f>SUMIFS(Eventos!$J:$J,Eventos!$I:$I,$B19,Eventos!$B:$B,C$5,Eventos!$D:$D,$C$2)</f>
        <v>0</v>
      </c>
      <c r="D19" s="16">
        <f>SUMIFS(Eventos!$J:$J,Eventos!$I:$I,$B19,Eventos!$B:$B,D$5,Eventos!$D:$D,$C$2)</f>
        <v>0</v>
      </c>
      <c r="E19" s="16">
        <f>SUMIFS(Eventos!$J:$J,Eventos!$I:$I,$B19,Eventos!$B:$B,E$5,Eventos!$D:$D,$C$2)</f>
        <v>0</v>
      </c>
      <c r="F19" s="16">
        <f>SUMIFS(Eventos!$J:$J,Eventos!$I:$I,$B19,Eventos!$B:$B,F$5,Eventos!$D:$D,$C$2)</f>
        <v>0</v>
      </c>
      <c r="G19" s="16">
        <f>SUMIFS(Eventos!$J:$J,Eventos!$I:$I,$B19,Eventos!$B:$B,G$5,Eventos!$D:$D,$C$2)</f>
        <v>0</v>
      </c>
      <c r="H19" s="16">
        <f>SUMIFS(Eventos!$J:$J,Eventos!$I:$I,$B19,Eventos!$B:$B,H$5,Eventos!$D:$D,$C$2)</f>
        <v>0</v>
      </c>
      <c r="I19" s="17">
        <f>SUMIFS(Eventos!$J:$J,Eventos!$I:$I,$B19,Eventos!$B:$B,I$5,Eventos!$D:$D,$C$2)</f>
        <v>0</v>
      </c>
      <c r="J19" s="18">
        <f t="shared" si="2"/>
        <v>0</v>
      </c>
      <c r="L19" s="4"/>
      <c r="M19" s="5">
        <f>SUMIFS(Eventos!$G:$G,Eventos!$F:$F,$L19,Eventos!$D:$D,$C$2,Eventos!$B:$B,PANES_SEMANALES[[#ALL],[LUNES]])</f>
        <v>0</v>
      </c>
      <c r="N19" s="6">
        <f>SUMIFS(Eventos!$G:$G,Eventos!$F:$F,$L19,Eventos!$D:$D,$C$2,Eventos!$B:$B,PANES_SEMANALES[[#ALL],[MARTES]])</f>
        <v>0</v>
      </c>
      <c r="O19" s="6">
        <f>SUMIFS(Eventos!$G:$G,Eventos!$F:$F,$L19,Eventos!$D:$D,$C$2,Eventos!$B:$B,PANES_SEMANALES[[#ALL],[MIÉRCOLES]])</f>
        <v>0</v>
      </c>
      <c r="P19" s="6">
        <f>SUMIFS(Eventos!$G:$G,Eventos!$F:$F,$L19,Eventos!$D:$D,$C$2,Eventos!$B:$B,PANES_SEMANALES[[#ALL],[JUEVES]])</f>
        <v>0</v>
      </c>
      <c r="Q19" s="6">
        <f>IF(P19&lt;&gt;"",SUMIFS(Eventos!$G:$G,Eventos!$B:$B,Q$2,Eventos!$D:$D,$C$2,Eventos!$F:$F,$L19),"")</f>
        <v>0</v>
      </c>
      <c r="R19" s="6">
        <f>SUMIFS(Eventos!$G:$G,Eventos!$F:$F,$L19,Eventos!$D:$D,$C$2,Eventos!$B:$B,PANES_SEMANALES[[#ALL],[SÁBADO]])</f>
        <v>0</v>
      </c>
      <c r="S19" s="7">
        <f>SUMIFS(Eventos!$G:$G,Eventos!$F:$F,$L19,Eventos!$D:$D,$C$2,Eventos!$B:$B,PANES_SEMANALES[[#ALL],[DOMINGO]])</f>
        <v>0</v>
      </c>
      <c r="T19" s="8">
        <f t="shared" si="1"/>
        <v>0</v>
      </c>
    </row>
    <row r="20" ht="22.5" customHeight="1">
      <c r="B20" s="14"/>
      <c r="C20" s="15">
        <f>SUMIFS(Eventos!$J:$J,Eventos!$I:$I,$B20,Eventos!$B:$B,C$5,Eventos!$D:$D,$C$2)</f>
        <v>0</v>
      </c>
      <c r="D20" s="16">
        <f>SUMIFS(Eventos!$J:$J,Eventos!$I:$I,$B20,Eventos!$B:$B,D$5,Eventos!$D:$D,$C$2)</f>
        <v>0</v>
      </c>
      <c r="E20" s="16">
        <f>SUMIFS(Eventos!$J:$J,Eventos!$I:$I,$B20,Eventos!$B:$B,E$5,Eventos!$D:$D,$C$2)</f>
        <v>0</v>
      </c>
      <c r="F20" s="16">
        <f>SUMIFS(Eventos!$J:$J,Eventos!$I:$I,$B20,Eventos!$B:$B,F$5,Eventos!$D:$D,$C$2)</f>
        <v>0</v>
      </c>
      <c r="G20" s="16">
        <f>SUMIFS(Eventos!$J:$J,Eventos!$I:$I,$B20,Eventos!$B:$B,G$5,Eventos!$D:$D,$C$2)</f>
        <v>0</v>
      </c>
      <c r="H20" s="16">
        <f>SUMIFS(Eventos!$J:$J,Eventos!$I:$I,$B20,Eventos!$B:$B,H$5,Eventos!$D:$D,$C$2)</f>
        <v>0</v>
      </c>
      <c r="I20" s="17">
        <f>SUMIFS(Eventos!$J:$J,Eventos!$I:$I,$B20,Eventos!$B:$B,I$5,Eventos!$D:$D,$C$2)</f>
        <v>0</v>
      </c>
      <c r="J20" s="18">
        <f t="shared" si="2"/>
        <v>0</v>
      </c>
      <c r="L20" s="4"/>
      <c r="M20" s="5">
        <f>SUMIFS(Eventos!$G:$G,Eventos!$F:$F,$L20,Eventos!$D:$D,$C$2,Eventos!$B:$B,PANES_SEMANALES[[#ALL],[LUNES]])</f>
        <v>0</v>
      </c>
      <c r="N20" s="6">
        <f>SUMIFS(Eventos!$G:$G,Eventos!$F:$F,$L20,Eventos!$D:$D,$C$2,Eventos!$B:$B,PANES_SEMANALES[[#ALL],[MARTES]])</f>
        <v>0</v>
      </c>
      <c r="O20" s="6">
        <f>SUMIFS(Eventos!$G:$G,Eventos!$F:$F,$L20,Eventos!$D:$D,$C$2,Eventos!$B:$B,PANES_SEMANALES[[#ALL],[MIÉRCOLES]])</f>
        <v>0</v>
      </c>
      <c r="P20" s="6">
        <f>SUMIFS(Eventos!$G:$G,Eventos!$F:$F,$L20,Eventos!$D:$D,$C$2,Eventos!$B:$B,PANES_SEMANALES[[#ALL],[JUEVES]])</f>
        <v>0</v>
      </c>
      <c r="Q20" s="6">
        <f>IF(P20&lt;&gt;"",SUMIFS(Eventos!$G:$G,Eventos!$B:$B,Q$2,Eventos!$D:$D,$C$2,Eventos!$F:$F,$L20),"")</f>
        <v>0</v>
      </c>
      <c r="R20" s="6">
        <f>SUMIFS(Eventos!$G:$G,Eventos!$F:$F,$L20,Eventos!$D:$D,$C$2,Eventos!$B:$B,PANES_SEMANALES[[#ALL],[SÁBADO]])</f>
        <v>0</v>
      </c>
      <c r="S20" s="7">
        <f>SUMIFS(Eventos!$G:$G,Eventos!$F:$F,$L20,Eventos!$D:$D,$C$2,Eventos!$B:$B,PANES_SEMANALES[[#ALL],[DOMINGO]])</f>
        <v>0</v>
      </c>
      <c r="T20" s="8">
        <f t="shared" si="1"/>
        <v>0</v>
      </c>
    </row>
    <row r="21" ht="22.5" customHeight="1">
      <c r="B21" s="14"/>
      <c r="C21" s="15">
        <f>SUMIFS(Eventos!$J:$J,Eventos!$I:$I,$B21,Eventos!$B:$B,C$5,Eventos!$D:$D,$C$2)</f>
        <v>0</v>
      </c>
      <c r="D21" s="16">
        <f>SUMIFS(Eventos!$J:$J,Eventos!$I:$I,$B21,Eventos!$B:$B,D$5,Eventos!$D:$D,$C$2)</f>
        <v>0</v>
      </c>
      <c r="E21" s="16">
        <f>SUMIFS(Eventos!$J:$J,Eventos!$I:$I,$B21,Eventos!$B:$B,E$5,Eventos!$D:$D,$C$2)</f>
        <v>0</v>
      </c>
      <c r="F21" s="16">
        <f>SUMIFS(Eventos!$J:$J,Eventos!$I:$I,$B21,Eventos!$B:$B,F$5,Eventos!$D:$D,$C$2)</f>
        <v>0</v>
      </c>
      <c r="G21" s="16">
        <f>SUMIFS(Eventos!$J:$J,Eventos!$I:$I,$B21,Eventos!$B:$B,G$5,Eventos!$D:$D,$C$2)</f>
        <v>0</v>
      </c>
      <c r="H21" s="16">
        <f>SUMIFS(Eventos!$J:$J,Eventos!$I:$I,$B21,Eventos!$B:$B,H$5,Eventos!$D:$D,$C$2)</f>
        <v>0</v>
      </c>
      <c r="I21" s="17">
        <f>SUMIFS(Eventos!$J:$J,Eventos!$I:$I,$B21,Eventos!$B:$B,I$5,Eventos!$D:$D,$C$2)</f>
        <v>0</v>
      </c>
      <c r="J21" s="18">
        <f t="shared" si="2"/>
        <v>0</v>
      </c>
      <c r="L21" s="4"/>
      <c r="M21" s="5">
        <f>SUMIFS(Eventos!$G:$G,Eventos!$F:$F,$L21,Eventos!$D:$D,$C$2,Eventos!$B:$B,PANES_SEMANALES[[#ALL],[LUNES]])</f>
        <v>0</v>
      </c>
      <c r="N21" s="6">
        <f>SUMIFS(Eventos!$G:$G,Eventos!$F:$F,$L21,Eventos!$D:$D,$C$2,Eventos!$B:$B,PANES_SEMANALES[[#ALL],[MARTES]])</f>
        <v>0</v>
      </c>
      <c r="O21" s="6">
        <f>SUMIFS(Eventos!$G:$G,Eventos!$F:$F,$L21,Eventos!$D:$D,$C$2,Eventos!$B:$B,PANES_SEMANALES[[#ALL],[MIÉRCOLES]])</f>
        <v>0</v>
      </c>
      <c r="P21" s="6">
        <f>SUMIFS(Eventos!$G:$G,Eventos!$F:$F,$L21,Eventos!$D:$D,$C$2,Eventos!$B:$B,PANES_SEMANALES[[#ALL],[JUEVES]])</f>
        <v>0</v>
      </c>
      <c r="Q21" s="6">
        <f>IF(P21&lt;&gt;"",SUMIFS(Eventos!$G:$G,Eventos!$B:$B,Q$2,Eventos!$D:$D,$C$2,Eventos!$F:$F,$L21),"")</f>
        <v>0</v>
      </c>
      <c r="R21" s="6">
        <f>SUMIFS(Eventos!$G:$G,Eventos!$F:$F,$L21,Eventos!$D:$D,$C$2,Eventos!$B:$B,PANES_SEMANALES[[#ALL],[SÁBADO]])</f>
        <v>0</v>
      </c>
      <c r="S21" s="7">
        <f>SUMIFS(Eventos!$G:$G,Eventos!$F:$F,$L21,Eventos!$D:$D,$C$2,Eventos!$B:$B,PANES_SEMANALES[[#ALL],[DOMINGO]])</f>
        <v>0</v>
      </c>
      <c r="T21" s="8">
        <f t="shared" si="1"/>
        <v>0</v>
      </c>
    </row>
    <row r="22" ht="22.5" customHeight="1">
      <c r="B22" s="14"/>
      <c r="C22" s="15">
        <f>SUMIFS(Eventos!$J:$J,Eventos!$I:$I,$B22,Eventos!$B:$B,C$5,Eventos!$D:$D,$C$2)</f>
        <v>0</v>
      </c>
      <c r="D22" s="16">
        <f>SUMIFS(Eventos!$J:$J,Eventos!$I:$I,$B22,Eventos!$B:$B,D$5,Eventos!$D:$D,$C$2)</f>
        <v>0</v>
      </c>
      <c r="E22" s="16">
        <f>SUMIFS(Eventos!$J:$J,Eventos!$I:$I,$B22,Eventos!$B:$B,E$5,Eventos!$D:$D,$C$2)</f>
        <v>0</v>
      </c>
      <c r="F22" s="16">
        <f>SUMIFS(Eventos!$J:$J,Eventos!$I:$I,$B22,Eventos!$B:$B,F$5,Eventos!$D:$D,$C$2)</f>
        <v>0</v>
      </c>
      <c r="G22" s="16">
        <f>SUMIFS(Eventos!$J:$J,Eventos!$I:$I,$B22,Eventos!$B:$B,G$5,Eventos!$D:$D,$C$2)</f>
        <v>0</v>
      </c>
      <c r="H22" s="16">
        <f>SUMIFS(Eventos!$J:$J,Eventos!$I:$I,$B22,Eventos!$B:$B,H$5,Eventos!$D:$D,$C$2)</f>
        <v>0</v>
      </c>
      <c r="I22" s="17">
        <f>SUMIFS(Eventos!$J:$J,Eventos!$I:$I,$B22,Eventos!$B:$B,I$5,Eventos!$D:$D,$C$2)</f>
        <v>0</v>
      </c>
      <c r="J22" s="18">
        <f t="shared" si="2"/>
        <v>0</v>
      </c>
      <c r="L22" s="4"/>
      <c r="M22" s="5">
        <f>SUMIFS(Eventos!$G:$G,Eventos!$F:$F,$L22,Eventos!$D:$D,$C$2,Eventos!$B:$B,PANES_SEMANALES[[#ALL],[LUNES]])</f>
        <v>0</v>
      </c>
      <c r="N22" s="6">
        <f>SUMIFS(Eventos!$G:$G,Eventos!$F:$F,$L22,Eventos!$D:$D,$C$2,Eventos!$B:$B,PANES_SEMANALES[[#ALL],[MARTES]])</f>
        <v>0</v>
      </c>
      <c r="O22" s="6">
        <f>SUMIFS(Eventos!$G:$G,Eventos!$F:$F,$L22,Eventos!$D:$D,$C$2,Eventos!$B:$B,PANES_SEMANALES[[#ALL],[MIÉRCOLES]])</f>
        <v>0</v>
      </c>
      <c r="P22" s="6">
        <f>SUMIFS(Eventos!$G:$G,Eventos!$F:$F,$L22,Eventos!$D:$D,$C$2,Eventos!$B:$B,PANES_SEMANALES[[#ALL],[JUEVES]])</f>
        <v>0</v>
      </c>
      <c r="Q22" s="6">
        <f>IF(P22&lt;&gt;"",SUMIFS(Eventos!$G:$G,Eventos!$B:$B,Q$2,Eventos!$D:$D,$C$2,Eventos!$F:$F,$L22),"")</f>
        <v>0</v>
      </c>
      <c r="R22" s="6">
        <f>SUMIFS(Eventos!$G:$G,Eventos!$F:$F,$L22,Eventos!$D:$D,$C$2,Eventos!$B:$B,PANES_SEMANALES[[#ALL],[SÁBADO]])</f>
        <v>0</v>
      </c>
      <c r="S22" s="7">
        <f>SUMIFS(Eventos!$G:$G,Eventos!$F:$F,$L22,Eventos!$D:$D,$C$2,Eventos!$B:$B,PANES_SEMANALES[[#ALL],[DOMINGO]])</f>
        <v>0</v>
      </c>
      <c r="T22" s="8">
        <f t="shared" si="1"/>
        <v>0</v>
      </c>
    </row>
    <row r="23" ht="22.5" customHeight="1">
      <c r="B23" s="14"/>
      <c r="C23" s="15">
        <f>SUMIFS(Eventos!$J:$J,Eventos!$I:$I,$B23,Eventos!$B:$B,C$5,Eventos!$D:$D,$C$2)</f>
        <v>0</v>
      </c>
      <c r="D23" s="16">
        <f>SUMIFS(Eventos!$J:$J,Eventos!$I:$I,$B23,Eventos!$B:$B,D$5,Eventos!$D:$D,$C$2)</f>
        <v>0</v>
      </c>
      <c r="E23" s="16">
        <f>SUMIFS(Eventos!$J:$J,Eventos!$I:$I,$B23,Eventos!$B:$B,E$5,Eventos!$D:$D,$C$2)</f>
        <v>0</v>
      </c>
      <c r="F23" s="16">
        <f>SUMIFS(Eventos!$J:$J,Eventos!$I:$I,$B23,Eventos!$B:$B,F$5,Eventos!$D:$D,$C$2)</f>
        <v>0</v>
      </c>
      <c r="G23" s="16">
        <f>SUMIFS(Eventos!$J:$J,Eventos!$I:$I,$B23,Eventos!$B:$B,G$5,Eventos!$D:$D,$C$2)</f>
        <v>0</v>
      </c>
      <c r="H23" s="16">
        <f>SUMIFS(Eventos!$J:$J,Eventos!$I:$I,$B23,Eventos!$B:$B,H$5,Eventos!$D:$D,$C$2)</f>
        <v>0</v>
      </c>
      <c r="I23" s="17">
        <f>SUMIFS(Eventos!$J:$J,Eventos!$I:$I,$B23,Eventos!$B:$B,I$5,Eventos!$D:$D,$C$2)</f>
        <v>0</v>
      </c>
      <c r="J23" s="18">
        <f t="shared" si="2"/>
        <v>0</v>
      </c>
      <c r="L23" s="4"/>
      <c r="M23" s="5">
        <f>SUMIFS(Eventos!$G:$G,Eventos!$F:$F,$L23,Eventos!$D:$D,$C$2,Eventos!$B:$B,PANES_SEMANALES[[#ALL],[LUNES]])</f>
        <v>0</v>
      </c>
      <c r="N23" s="6">
        <f>SUMIFS(Eventos!$G:$G,Eventos!$F:$F,$L23,Eventos!$D:$D,$C$2,Eventos!$B:$B,PANES_SEMANALES[[#ALL],[MARTES]])</f>
        <v>0</v>
      </c>
      <c r="O23" s="6">
        <f>SUMIFS(Eventos!$G:$G,Eventos!$F:$F,$L23,Eventos!$D:$D,$C$2,Eventos!$B:$B,PANES_SEMANALES[[#ALL],[MIÉRCOLES]])</f>
        <v>0</v>
      </c>
      <c r="P23" s="6">
        <f>SUMIFS(Eventos!$G:$G,Eventos!$F:$F,$L23,Eventos!$D:$D,$C$2,Eventos!$B:$B,PANES_SEMANALES[[#ALL],[JUEVES]])</f>
        <v>0</v>
      </c>
      <c r="Q23" s="6">
        <f>IF(P23&lt;&gt;"",SUMIFS(Eventos!$G:$G,Eventos!$B:$B,Q$2,Eventos!$D:$D,$C$2,Eventos!$F:$F,$L23),"")</f>
        <v>0</v>
      </c>
      <c r="R23" s="6">
        <f>SUMIFS(Eventos!$G:$G,Eventos!$F:$F,$L23,Eventos!$D:$D,$C$2,Eventos!$B:$B,PANES_SEMANALES[[#ALL],[SÁBADO]])</f>
        <v>0</v>
      </c>
      <c r="S23" s="7">
        <f>SUMIFS(Eventos!$G:$G,Eventos!$F:$F,$L23,Eventos!$D:$D,$C$2,Eventos!$B:$B,PANES_SEMANALES[[#ALL],[DOMINGO]])</f>
        <v>0</v>
      </c>
      <c r="T23" s="8">
        <f t="shared" si="1"/>
        <v>0</v>
      </c>
    </row>
    <row r="24" ht="22.5" customHeight="1">
      <c r="B24" s="14"/>
      <c r="C24" s="15">
        <f>SUMIFS(Eventos!$J:$J,Eventos!$I:$I,$B24,Eventos!$B:$B,C$5,Eventos!$D:$D,$C$2)</f>
        <v>0</v>
      </c>
      <c r="D24" s="16">
        <f>SUMIFS(Eventos!$J:$J,Eventos!$I:$I,$B24,Eventos!$B:$B,D$5,Eventos!$D:$D,$C$2)</f>
        <v>0</v>
      </c>
      <c r="E24" s="16">
        <f>SUMIFS(Eventos!$J:$J,Eventos!$I:$I,$B24,Eventos!$B:$B,E$5,Eventos!$D:$D,$C$2)</f>
        <v>0</v>
      </c>
      <c r="F24" s="16">
        <f>SUMIFS(Eventos!$J:$J,Eventos!$I:$I,$B24,Eventos!$B:$B,F$5,Eventos!$D:$D,$C$2)</f>
        <v>0</v>
      </c>
      <c r="G24" s="16">
        <f>SUMIFS(Eventos!$J:$J,Eventos!$I:$I,$B24,Eventos!$B:$B,G$5,Eventos!$D:$D,$C$2)</f>
        <v>0</v>
      </c>
      <c r="H24" s="16">
        <f>SUMIFS(Eventos!$J:$J,Eventos!$I:$I,$B24,Eventos!$B:$B,H$5,Eventos!$D:$D,$C$2)</f>
        <v>0</v>
      </c>
      <c r="I24" s="17">
        <f>SUMIFS(Eventos!$J:$J,Eventos!$I:$I,$B24,Eventos!$B:$B,I$5,Eventos!$D:$D,$C$2)</f>
        <v>0</v>
      </c>
      <c r="J24" s="18">
        <f t="shared" si="2"/>
        <v>0</v>
      </c>
      <c r="L24" s="4"/>
      <c r="M24" s="5">
        <f>SUMIFS(Eventos!$G:$G,Eventos!$F:$F,$L24,Eventos!$D:$D,$C$2,Eventos!$B:$B,PANES_SEMANALES[[#ALL],[LUNES]])</f>
        <v>0</v>
      </c>
      <c r="N24" s="6">
        <f>SUMIFS(Eventos!$G:$G,Eventos!$F:$F,$L24,Eventos!$D:$D,$C$2,Eventos!$B:$B,PANES_SEMANALES[[#ALL],[MARTES]])</f>
        <v>0</v>
      </c>
      <c r="O24" s="6">
        <f>SUMIFS(Eventos!$G:$G,Eventos!$F:$F,$L24,Eventos!$D:$D,$C$2,Eventos!$B:$B,PANES_SEMANALES[[#ALL],[MIÉRCOLES]])</f>
        <v>0</v>
      </c>
      <c r="P24" s="6">
        <f>SUMIFS(Eventos!$G:$G,Eventos!$F:$F,$L24,Eventos!$D:$D,$C$2,Eventos!$B:$B,PANES_SEMANALES[[#ALL],[JUEVES]])</f>
        <v>0</v>
      </c>
      <c r="Q24" s="6">
        <f>IF(P24&lt;&gt;"",SUMIFS(Eventos!$G:$G,Eventos!$B:$B,Q$2,Eventos!$D:$D,$C$2,Eventos!$F:$F,$L24),"")</f>
        <v>0</v>
      </c>
      <c r="R24" s="6">
        <f>SUMIFS(Eventos!$G:$G,Eventos!$F:$F,$L24,Eventos!$D:$D,$C$2,Eventos!$B:$B,PANES_SEMANALES[[#ALL],[SÁBADO]])</f>
        <v>0</v>
      </c>
      <c r="S24" s="7">
        <f>SUMIFS(Eventos!$G:$G,Eventos!$F:$F,$L24,Eventos!$D:$D,$C$2,Eventos!$B:$B,PANES_SEMANALES[[#ALL],[DOMINGO]])</f>
        <v>0</v>
      </c>
      <c r="T24" s="8">
        <f t="shared" si="1"/>
        <v>0</v>
      </c>
    </row>
    <row r="25" ht="22.5" customHeight="1">
      <c r="B25" s="14"/>
      <c r="C25" s="15">
        <f>SUMIFS(Eventos!$J:$J,Eventos!$I:$I,$B25,Eventos!$B:$B,C$5,Eventos!$D:$D,$C$2)</f>
        <v>0</v>
      </c>
      <c r="D25" s="16">
        <f>SUMIFS(Eventos!$J:$J,Eventos!$I:$I,$B25,Eventos!$B:$B,D$5,Eventos!$D:$D,$C$2)</f>
        <v>0</v>
      </c>
      <c r="E25" s="16">
        <f>SUMIFS(Eventos!$J:$J,Eventos!$I:$I,$B25,Eventos!$B:$B,E$5,Eventos!$D:$D,$C$2)</f>
        <v>0</v>
      </c>
      <c r="F25" s="16">
        <f>SUMIFS(Eventos!$J:$J,Eventos!$I:$I,$B25,Eventos!$B:$B,F$5,Eventos!$D:$D,$C$2)</f>
        <v>0</v>
      </c>
      <c r="G25" s="16">
        <f>SUMIFS(Eventos!$J:$J,Eventos!$I:$I,$B25,Eventos!$B:$B,G$5,Eventos!$D:$D,$C$2)</f>
        <v>0</v>
      </c>
      <c r="H25" s="16">
        <f>SUMIFS(Eventos!$J:$J,Eventos!$I:$I,$B25,Eventos!$B:$B,H$5,Eventos!$D:$D,$C$2)</f>
        <v>0</v>
      </c>
      <c r="I25" s="17">
        <f>SUMIFS(Eventos!$J:$J,Eventos!$I:$I,$B25,Eventos!$B:$B,I$5,Eventos!$D:$D,$C$2)</f>
        <v>0</v>
      </c>
      <c r="J25" s="18">
        <f t="shared" si="2"/>
        <v>0</v>
      </c>
      <c r="L25" s="4"/>
      <c r="M25" s="5">
        <f>SUMIFS(Eventos!$G:$G,Eventos!$F:$F,$L25,Eventos!$D:$D,$C$2,Eventos!$B:$B,PANES_SEMANALES[[#ALL],[LUNES]])</f>
        <v>0</v>
      </c>
      <c r="N25" s="6">
        <f>SUMIFS(Eventos!$G:$G,Eventos!$F:$F,$L25,Eventos!$D:$D,$C$2,Eventos!$B:$B,PANES_SEMANALES[[#ALL],[MARTES]])</f>
        <v>0</v>
      </c>
      <c r="O25" s="6">
        <f>SUMIFS(Eventos!$G:$G,Eventos!$F:$F,$L25,Eventos!$D:$D,$C$2,Eventos!$B:$B,PANES_SEMANALES[[#ALL],[MIÉRCOLES]])</f>
        <v>0</v>
      </c>
      <c r="P25" s="6">
        <f>SUMIFS(Eventos!$G:$G,Eventos!$F:$F,$L25,Eventos!$D:$D,$C$2,Eventos!$B:$B,PANES_SEMANALES[[#ALL],[JUEVES]])</f>
        <v>0</v>
      </c>
      <c r="Q25" s="6">
        <f>IF(P25&lt;&gt;"",SUMIFS(Eventos!$G:$G,Eventos!$B:$B,Q$2,Eventos!$D:$D,$C$2,Eventos!$F:$F,$L25),"")</f>
        <v>0</v>
      </c>
      <c r="R25" s="6">
        <f>SUMIFS(Eventos!$G:$G,Eventos!$F:$F,$L25,Eventos!$D:$D,$C$2,Eventos!$B:$B,PANES_SEMANALES[[#ALL],[SÁBADO]])</f>
        <v>0</v>
      </c>
      <c r="S25" s="7">
        <f>SUMIFS(Eventos!$G:$G,Eventos!$F:$F,$L25,Eventos!$D:$D,$C$2,Eventos!$B:$B,PANES_SEMANALES[[#ALL],[DOMINGO]])</f>
        <v>0</v>
      </c>
      <c r="T25" s="8">
        <f t="shared" si="1"/>
        <v>0</v>
      </c>
    </row>
    <row r="26" ht="22.5" customHeight="1">
      <c r="B26" s="14"/>
      <c r="C26" s="15">
        <f>SUMIFS(Eventos!$J:$J,Eventos!$I:$I,$B26,Eventos!$B:$B,C$5,Eventos!$D:$D,$C$2)</f>
        <v>0</v>
      </c>
      <c r="D26" s="16">
        <f>SUMIFS(Eventos!$J:$J,Eventos!$I:$I,$B26,Eventos!$B:$B,D$5,Eventos!$D:$D,$C$2)</f>
        <v>0</v>
      </c>
      <c r="E26" s="16">
        <f>SUMIFS(Eventos!$J:$J,Eventos!$I:$I,$B26,Eventos!$B:$B,E$5,Eventos!$D:$D,$C$2)</f>
        <v>0</v>
      </c>
      <c r="F26" s="16">
        <f>SUMIFS(Eventos!$J:$J,Eventos!$I:$I,$B26,Eventos!$B:$B,F$5,Eventos!$D:$D,$C$2)</f>
        <v>0</v>
      </c>
      <c r="G26" s="16">
        <f>SUMIFS(Eventos!$J:$J,Eventos!$I:$I,$B26,Eventos!$B:$B,G$5,Eventos!$D:$D,$C$2)</f>
        <v>0</v>
      </c>
      <c r="H26" s="16">
        <f>SUMIFS(Eventos!$J:$J,Eventos!$I:$I,$B26,Eventos!$B:$B,H$5,Eventos!$D:$D,$C$2)</f>
        <v>0</v>
      </c>
      <c r="I26" s="17">
        <f>SUMIFS(Eventos!$J:$J,Eventos!$I:$I,$B26,Eventos!$B:$B,I$5,Eventos!$D:$D,$C$2)</f>
        <v>0</v>
      </c>
      <c r="J26" s="18">
        <f t="shared" si="2"/>
        <v>0</v>
      </c>
      <c r="L26" s="4"/>
      <c r="M26" s="5">
        <f>SUMIFS(Eventos!$G:$G,Eventos!$F:$F,$L26,Eventos!$D:$D,$C$2,Eventos!$B:$B,PANES_SEMANALES[[#ALL],[LUNES]])</f>
        <v>0</v>
      </c>
      <c r="N26" s="6">
        <f>SUMIFS(Eventos!$G:$G,Eventos!$F:$F,$L26,Eventos!$D:$D,$C$2,Eventos!$B:$B,PANES_SEMANALES[[#ALL],[MARTES]])</f>
        <v>0</v>
      </c>
      <c r="O26" s="6">
        <f>SUMIFS(Eventos!$G:$G,Eventos!$F:$F,$L26,Eventos!$D:$D,$C$2,Eventos!$B:$B,PANES_SEMANALES[[#ALL],[MIÉRCOLES]])</f>
        <v>0</v>
      </c>
      <c r="P26" s="6">
        <f>SUMIFS(Eventos!$G:$G,Eventos!$F:$F,$L26,Eventos!$D:$D,$C$2,Eventos!$B:$B,PANES_SEMANALES[[#ALL],[JUEVES]])</f>
        <v>0</v>
      </c>
      <c r="Q26" s="6">
        <f>IF(P26&lt;&gt;"",SUMIFS(Eventos!$G:$G,Eventos!$B:$B,Q$2,Eventos!$D:$D,$C$2,Eventos!$F:$F,$L26),"")</f>
        <v>0</v>
      </c>
      <c r="R26" s="6">
        <f>SUMIFS(Eventos!$G:$G,Eventos!$F:$F,$L26,Eventos!$D:$D,$C$2,Eventos!$B:$B,PANES_SEMANALES[[#ALL],[SÁBADO]])</f>
        <v>0</v>
      </c>
      <c r="S26" s="7">
        <f>SUMIFS(Eventos!$G:$G,Eventos!$F:$F,$L26,Eventos!$D:$D,$C$2,Eventos!$B:$B,PANES_SEMANALES[[#ALL],[DOMINGO]])</f>
        <v>0</v>
      </c>
      <c r="T26" s="8">
        <f t="shared" si="1"/>
        <v>0</v>
      </c>
    </row>
    <row r="27" ht="22.5" customHeight="1">
      <c r="B27" s="14"/>
      <c r="C27" s="15">
        <f>SUMIFS(Eventos!$J:$J,Eventos!$I:$I,$B27,Eventos!$B:$B,C$5,Eventos!$D:$D,$C$2)</f>
        <v>0</v>
      </c>
      <c r="D27" s="16">
        <f>SUMIFS(Eventos!$J:$J,Eventos!$I:$I,$B27,Eventos!$B:$B,D$5,Eventos!$D:$D,$C$2)</f>
        <v>0</v>
      </c>
      <c r="E27" s="16">
        <f>SUMIFS(Eventos!$J:$J,Eventos!$I:$I,$B27,Eventos!$B:$B,E$5,Eventos!$D:$D,$C$2)</f>
        <v>0</v>
      </c>
      <c r="F27" s="16">
        <f>SUMIFS(Eventos!$J:$J,Eventos!$I:$I,$B27,Eventos!$B:$B,F$5,Eventos!$D:$D,$C$2)</f>
        <v>0</v>
      </c>
      <c r="G27" s="16">
        <f>SUMIFS(Eventos!$J:$J,Eventos!$I:$I,$B27,Eventos!$B:$B,G$5,Eventos!$D:$D,$C$2)</f>
        <v>0</v>
      </c>
      <c r="H27" s="16">
        <f>SUMIFS(Eventos!$J:$J,Eventos!$I:$I,$B27,Eventos!$B:$B,H$5,Eventos!$D:$D,$C$2)</f>
        <v>0</v>
      </c>
      <c r="I27" s="17">
        <f>SUMIFS(Eventos!$J:$J,Eventos!$I:$I,$B27,Eventos!$B:$B,I$5,Eventos!$D:$D,$C$2)</f>
        <v>0</v>
      </c>
      <c r="J27" s="18">
        <f t="shared" si="2"/>
        <v>0</v>
      </c>
      <c r="L27" s="4"/>
      <c r="M27" s="5">
        <f>SUMIFS(Eventos!$G:$G,Eventos!$F:$F,$L27,Eventos!$D:$D,$C$2,Eventos!$B:$B,PANES_SEMANALES[[#ALL],[LUNES]])</f>
        <v>0</v>
      </c>
      <c r="N27" s="6">
        <f>SUMIFS(Eventos!$G:$G,Eventos!$F:$F,$L27,Eventos!$D:$D,$C$2,Eventos!$B:$B,PANES_SEMANALES[[#ALL],[MARTES]])</f>
        <v>0</v>
      </c>
      <c r="O27" s="6">
        <f>SUMIFS(Eventos!$G:$G,Eventos!$F:$F,$L27,Eventos!$D:$D,$C$2,Eventos!$B:$B,PANES_SEMANALES[[#ALL],[MIÉRCOLES]])</f>
        <v>0</v>
      </c>
      <c r="P27" s="6">
        <f>SUMIFS(Eventos!$G:$G,Eventos!$F:$F,$L27,Eventos!$D:$D,$C$2,Eventos!$B:$B,PANES_SEMANALES[[#ALL],[JUEVES]])</f>
        <v>0</v>
      </c>
      <c r="Q27" s="6">
        <f>IF(P27&lt;&gt;"",SUMIFS(Eventos!$G:$G,Eventos!$B:$B,Q$2,Eventos!$D:$D,$C$2,Eventos!$F:$F,$L27),"")</f>
        <v>0</v>
      </c>
      <c r="R27" s="6">
        <f>SUMIFS(Eventos!$G:$G,Eventos!$F:$F,$L27,Eventos!$D:$D,$C$2,Eventos!$B:$B,PANES_SEMANALES[[#ALL],[SÁBADO]])</f>
        <v>0</v>
      </c>
      <c r="S27" s="7">
        <f>SUMIFS(Eventos!$G:$G,Eventos!$F:$F,$L27,Eventos!$D:$D,$C$2,Eventos!$B:$B,PANES_SEMANALES[[#ALL],[DOMINGO]])</f>
        <v>0</v>
      </c>
      <c r="T27" s="8">
        <f t="shared" si="1"/>
        <v>0</v>
      </c>
    </row>
    <row r="28" ht="22.5" customHeight="1">
      <c r="B28" s="14"/>
      <c r="C28" s="15">
        <f>SUMIFS(Eventos!$J:$J,Eventos!$I:$I,$B28,Eventos!$B:$B,C$5,Eventos!$D:$D,$C$2)</f>
        <v>0</v>
      </c>
      <c r="D28" s="16">
        <f>SUMIFS(Eventos!$J:$J,Eventos!$I:$I,$B28,Eventos!$B:$B,D$5,Eventos!$D:$D,$C$2)</f>
        <v>0</v>
      </c>
      <c r="E28" s="16">
        <f>SUMIFS(Eventos!$J:$J,Eventos!$I:$I,$B28,Eventos!$B:$B,E$5,Eventos!$D:$D,$C$2)</f>
        <v>0</v>
      </c>
      <c r="F28" s="16">
        <f>SUMIFS(Eventos!$J:$J,Eventos!$I:$I,$B28,Eventos!$B:$B,F$5,Eventos!$D:$D,$C$2)</f>
        <v>0</v>
      </c>
      <c r="G28" s="16">
        <f>SUMIFS(Eventos!$J:$J,Eventos!$I:$I,$B28,Eventos!$B:$B,G$5,Eventos!$D:$D,$C$2)</f>
        <v>0</v>
      </c>
      <c r="H28" s="16">
        <f>SUMIFS(Eventos!$J:$J,Eventos!$I:$I,$B28,Eventos!$B:$B,H$5,Eventos!$D:$D,$C$2)</f>
        <v>0</v>
      </c>
      <c r="I28" s="17">
        <f>SUMIFS(Eventos!$J:$J,Eventos!$I:$I,$B28,Eventos!$B:$B,I$5,Eventos!$D:$D,$C$2)</f>
        <v>0</v>
      </c>
      <c r="J28" s="18">
        <f t="shared" si="2"/>
        <v>0</v>
      </c>
      <c r="L28" s="4"/>
      <c r="M28" s="5">
        <f>SUMIFS(Eventos!$G:$G,Eventos!$F:$F,$L28,Eventos!$D:$D,$C$2,Eventos!$B:$B,PANES_SEMANALES[[#ALL],[LUNES]])</f>
        <v>0</v>
      </c>
      <c r="N28" s="6">
        <f>SUMIFS(Eventos!$G:$G,Eventos!$F:$F,$L28,Eventos!$D:$D,$C$2,Eventos!$B:$B,PANES_SEMANALES[[#ALL],[MARTES]])</f>
        <v>0</v>
      </c>
      <c r="O28" s="6">
        <f>SUMIFS(Eventos!$G:$G,Eventos!$F:$F,$L28,Eventos!$D:$D,$C$2,Eventos!$B:$B,PANES_SEMANALES[[#ALL],[MIÉRCOLES]])</f>
        <v>0</v>
      </c>
      <c r="P28" s="6">
        <f>SUMIFS(Eventos!$G:$G,Eventos!$F:$F,$L28,Eventos!$D:$D,$C$2,Eventos!$B:$B,PANES_SEMANALES[[#ALL],[JUEVES]])</f>
        <v>0</v>
      </c>
      <c r="Q28" s="6">
        <f>IF(P28&lt;&gt;"",SUMIFS(Eventos!$G:$G,Eventos!$B:$B,Q$2,Eventos!$D:$D,$C$2,Eventos!$F:$F,$L28),"")</f>
        <v>0</v>
      </c>
      <c r="R28" s="6">
        <f>SUMIFS(Eventos!$G:$G,Eventos!$F:$F,$L28,Eventos!$D:$D,$C$2,Eventos!$B:$B,PANES_SEMANALES[[#ALL],[SÁBADO]])</f>
        <v>0</v>
      </c>
      <c r="S28" s="7">
        <f>SUMIFS(Eventos!$G:$G,Eventos!$F:$F,$L28,Eventos!$D:$D,$C$2,Eventos!$B:$B,PANES_SEMANALES[[#ALL],[DOMINGO]])</f>
        <v>0</v>
      </c>
      <c r="T28" s="8">
        <f t="shared" si="1"/>
        <v>0</v>
      </c>
    </row>
    <row r="29" ht="22.5" customHeight="1">
      <c r="B29" s="14"/>
      <c r="C29" s="15">
        <f>SUMIFS(Eventos!$J:$J,Eventos!$I:$I,$B29,Eventos!$B:$B,C$5,Eventos!$D:$D,$C$2)</f>
        <v>0</v>
      </c>
      <c r="D29" s="16">
        <f>SUMIFS(Eventos!$J:$J,Eventos!$I:$I,$B29,Eventos!$B:$B,D$5,Eventos!$D:$D,$C$2)</f>
        <v>0</v>
      </c>
      <c r="E29" s="16">
        <f>SUMIFS(Eventos!$J:$J,Eventos!$I:$I,$B29,Eventos!$B:$B,E$5,Eventos!$D:$D,$C$2)</f>
        <v>0</v>
      </c>
      <c r="F29" s="16">
        <f>SUMIFS(Eventos!$J:$J,Eventos!$I:$I,$B29,Eventos!$B:$B,F$5,Eventos!$D:$D,$C$2)</f>
        <v>0</v>
      </c>
      <c r="G29" s="16">
        <f>SUMIFS(Eventos!$J:$J,Eventos!$I:$I,$B29,Eventos!$B:$B,G$5,Eventos!$D:$D,$C$2)</f>
        <v>0</v>
      </c>
      <c r="H29" s="16">
        <f>SUMIFS(Eventos!$J:$J,Eventos!$I:$I,$B29,Eventos!$B:$B,H$5,Eventos!$D:$D,$C$2)</f>
        <v>0</v>
      </c>
      <c r="I29" s="17">
        <f>SUMIFS(Eventos!$J:$J,Eventos!$I:$I,$B29,Eventos!$B:$B,I$5,Eventos!$D:$D,$C$2)</f>
        <v>0</v>
      </c>
      <c r="J29" s="18">
        <f t="shared" si="2"/>
        <v>0</v>
      </c>
      <c r="L29" s="4"/>
      <c r="M29" s="5">
        <f>SUMIFS(Eventos!$G:$G,Eventos!$F:$F,$L29,Eventos!$D:$D,$C$2,Eventos!$B:$B,PANES_SEMANALES[[#ALL],[LUNES]])</f>
        <v>0</v>
      </c>
      <c r="N29" s="6">
        <f>SUMIFS(Eventos!$G:$G,Eventos!$F:$F,$L29,Eventos!$D:$D,$C$2,Eventos!$B:$B,PANES_SEMANALES[[#ALL],[MARTES]])</f>
        <v>0</v>
      </c>
      <c r="O29" s="6">
        <f>SUMIFS(Eventos!$G:$G,Eventos!$F:$F,$L29,Eventos!$D:$D,$C$2,Eventos!$B:$B,PANES_SEMANALES[[#ALL],[MIÉRCOLES]])</f>
        <v>0</v>
      </c>
      <c r="P29" s="6">
        <f>SUMIFS(Eventos!$G:$G,Eventos!$F:$F,$L29,Eventos!$D:$D,$C$2,Eventos!$B:$B,PANES_SEMANALES[[#ALL],[JUEVES]])</f>
        <v>0</v>
      </c>
      <c r="Q29" s="6">
        <f>IF(P29&lt;&gt;"",SUMIFS(Eventos!$G:$G,Eventos!$B:$B,Q$2,Eventos!$D:$D,$C$2,Eventos!$F:$F,$L29),"")</f>
        <v>0</v>
      </c>
      <c r="R29" s="6">
        <f>SUMIFS(Eventos!$G:$G,Eventos!$F:$F,$L29,Eventos!$D:$D,$C$2,Eventos!$B:$B,PANES_SEMANALES[[#ALL],[SÁBADO]])</f>
        <v>0</v>
      </c>
      <c r="S29" s="7">
        <f>SUMIFS(Eventos!$G:$G,Eventos!$F:$F,$L29,Eventos!$D:$D,$C$2,Eventos!$B:$B,PANES_SEMANALES[[#ALL],[DOMINGO]])</f>
        <v>0</v>
      </c>
      <c r="T29" s="8">
        <f t="shared" si="1"/>
        <v>0</v>
      </c>
    </row>
    <row r="30" ht="22.5" customHeight="1">
      <c r="B30" s="14"/>
      <c r="C30" s="15">
        <f>SUMIFS(Eventos!$J:$J,Eventos!$I:$I,$B30,Eventos!$B:$B,C$5,Eventos!$D:$D,$C$2)</f>
        <v>0</v>
      </c>
      <c r="D30" s="16">
        <f>SUMIFS(Eventos!$J:$J,Eventos!$I:$I,$B30,Eventos!$B:$B,D$5,Eventos!$D:$D,$C$2)</f>
        <v>0</v>
      </c>
      <c r="E30" s="16">
        <f>SUMIFS(Eventos!$J:$J,Eventos!$I:$I,$B30,Eventos!$B:$B,E$5,Eventos!$D:$D,$C$2)</f>
        <v>0</v>
      </c>
      <c r="F30" s="16">
        <f>SUMIFS(Eventos!$J:$J,Eventos!$I:$I,$B30,Eventos!$B:$B,F$5,Eventos!$D:$D,$C$2)</f>
        <v>0</v>
      </c>
      <c r="G30" s="16">
        <f>SUMIFS(Eventos!$J:$J,Eventos!$I:$I,$B30,Eventos!$B:$B,G$5,Eventos!$D:$D,$C$2)</f>
        <v>0</v>
      </c>
      <c r="H30" s="16">
        <f>SUMIFS(Eventos!$J:$J,Eventos!$I:$I,$B30,Eventos!$B:$B,H$5,Eventos!$D:$D,$C$2)</f>
        <v>0</v>
      </c>
      <c r="I30" s="17">
        <f>SUMIFS(Eventos!$J:$J,Eventos!$I:$I,$B30,Eventos!$B:$B,I$5,Eventos!$D:$D,$C$2)</f>
        <v>0</v>
      </c>
      <c r="J30" s="18">
        <f t="shared" si="2"/>
        <v>0</v>
      </c>
      <c r="L30" s="4"/>
      <c r="M30" s="5">
        <f>SUMIFS(Eventos!$G:$G,Eventos!$F:$F,$L30,Eventos!$D:$D,$C$2,Eventos!$B:$B,PANES_SEMANALES[[#ALL],[LUNES]])</f>
        <v>0</v>
      </c>
      <c r="N30" s="6">
        <f>SUMIFS(Eventos!$G:$G,Eventos!$F:$F,$L30,Eventos!$D:$D,$C$2,Eventos!$B:$B,PANES_SEMANALES[[#ALL],[MARTES]])</f>
        <v>0</v>
      </c>
      <c r="O30" s="6">
        <f>SUMIFS(Eventos!$G:$G,Eventos!$F:$F,$L30,Eventos!$D:$D,$C$2,Eventos!$B:$B,PANES_SEMANALES[[#ALL],[MIÉRCOLES]])</f>
        <v>0</v>
      </c>
      <c r="P30" s="6">
        <f>SUMIFS(Eventos!$G:$G,Eventos!$F:$F,$L30,Eventos!$D:$D,$C$2,Eventos!$B:$B,PANES_SEMANALES[[#ALL],[JUEVES]])</f>
        <v>0</v>
      </c>
      <c r="Q30" s="6">
        <f>IF(P30&lt;&gt;"",SUMIFS(Eventos!$G:$G,Eventos!$B:$B,Q$2,Eventos!$D:$D,$C$2,Eventos!$F:$F,$L30),"")</f>
        <v>0</v>
      </c>
      <c r="R30" s="6">
        <f>SUMIFS(Eventos!$G:$G,Eventos!$F:$F,$L30,Eventos!$D:$D,$C$2,Eventos!$B:$B,PANES_SEMANALES[[#ALL],[SÁBADO]])</f>
        <v>0</v>
      </c>
      <c r="S30" s="7">
        <f>SUMIFS(Eventos!$G:$G,Eventos!$F:$F,$L30,Eventos!$D:$D,$C$2,Eventos!$B:$B,PANES_SEMANALES[[#ALL],[DOMINGO]])</f>
        <v>0</v>
      </c>
      <c r="T30" s="8">
        <f t="shared" si="1"/>
        <v>0</v>
      </c>
    </row>
    <row r="31" ht="22.5" customHeight="1">
      <c r="B31" s="14"/>
      <c r="C31" s="15">
        <f>SUMIFS(Eventos!$J:$J,Eventos!$I:$I,$B31,Eventos!$B:$B,C$5,Eventos!$D:$D,$C$2)</f>
        <v>0</v>
      </c>
      <c r="D31" s="16">
        <f>SUMIFS(Eventos!$J:$J,Eventos!$I:$I,$B31,Eventos!$B:$B,D$5,Eventos!$D:$D,$C$2)</f>
        <v>0</v>
      </c>
      <c r="E31" s="16">
        <f>SUMIFS(Eventos!$J:$J,Eventos!$I:$I,$B31,Eventos!$B:$B,E$5,Eventos!$D:$D,$C$2)</f>
        <v>0</v>
      </c>
      <c r="F31" s="16">
        <f>SUMIFS(Eventos!$J:$J,Eventos!$I:$I,$B31,Eventos!$B:$B,F$5,Eventos!$D:$D,$C$2)</f>
        <v>0</v>
      </c>
      <c r="G31" s="16">
        <f>SUMIFS(Eventos!$J:$J,Eventos!$I:$I,$B31,Eventos!$B:$B,G$5,Eventos!$D:$D,$C$2)</f>
        <v>0</v>
      </c>
      <c r="H31" s="16">
        <f>SUMIFS(Eventos!$J:$J,Eventos!$I:$I,$B31,Eventos!$B:$B,H$5,Eventos!$D:$D,$C$2)</f>
        <v>0</v>
      </c>
      <c r="I31" s="17">
        <f>SUMIFS(Eventos!$J:$J,Eventos!$I:$I,$B31,Eventos!$B:$B,I$5,Eventos!$D:$D,$C$2)</f>
        <v>0</v>
      </c>
      <c r="J31" s="18">
        <f t="shared" si="2"/>
        <v>0</v>
      </c>
      <c r="L31" s="4"/>
      <c r="M31" s="5">
        <f>SUMIFS(Eventos!$G:$G,Eventos!$F:$F,$L31,Eventos!$D:$D,$C$2,Eventos!$B:$B,PANES_SEMANALES[[#ALL],[LUNES]])</f>
        <v>0</v>
      </c>
      <c r="N31" s="6">
        <f>SUMIFS(Eventos!$G:$G,Eventos!$F:$F,$L31,Eventos!$D:$D,$C$2,Eventos!$B:$B,PANES_SEMANALES[[#ALL],[MARTES]])</f>
        <v>0</v>
      </c>
      <c r="O31" s="6">
        <f>SUMIFS(Eventos!$G:$G,Eventos!$F:$F,$L31,Eventos!$D:$D,$C$2,Eventos!$B:$B,PANES_SEMANALES[[#ALL],[MIÉRCOLES]])</f>
        <v>0</v>
      </c>
      <c r="P31" s="6">
        <f>SUMIFS(Eventos!$G:$G,Eventos!$F:$F,$L31,Eventos!$D:$D,$C$2,Eventos!$B:$B,PANES_SEMANALES[[#ALL],[JUEVES]])</f>
        <v>0</v>
      </c>
      <c r="Q31" s="6">
        <f>IF(P31&lt;&gt;"",SUMIFS(Eventos!$G:$G,Eventos!$B:$B,Q$2,Eventos!$D:$D,$C$2,Eventos!$F:$F,$L31),"")</f>
        <v>0</v>
      </c>
      <c r="R31" s="6">
        <f>SUMIFS(Eventos!$G:$G,Eventos!$F:$F,$L31,Eventos!$D:$D,$C$2,Eventos!$B:$B,PANES_SEMANALES[[#ALL],[SÁBADO]])</f>
        <v>0</v>
      </c>
      <c r="S31" s="7">
        <f>SUMIFS(Eventos!$G:$G,Eventos!$F:$F,$L31,Eventos!$D:$D,$C$2,Eventos!$B:$B,PANES_SEMANALES[[#ALL],[DOMINGO]])</f>
        <v>0</v>
      </c>
      <c r="T31" s="8">
        <f t="shared" si="1"/>
        <v>0</v>
      </c>
    </row>
    <row r="32" ht="22.5" customHeight="1">
      <c r="B32" s="14"/>
      <c r="C32" s="15">
        <f>SUMIFS(Eventos!$J:$J,Eventos!$I:$I,$B32,Eventos!$B:$B,C$5,Eventos!$D:$D,$C$2)</f>
        <v>0</v>
      </c>
      <c r="D32" s="16">
        <f>SUMIFS(Eventos!$J:$J,Eventos!$I:$I,$B32,Eventos!$B:$B,D$5,Eventos!$D:$D,$C$2)</f>
        <v>0</v>
      </c>
      <c r="E32" s="16">
        <f>SUMIFS(Eventos!$J:$J,Eventos!$I:$I,$B32,Eventos!$B:$B,E$5,Eventos!$D:$D,$C$2)</f>
        <v>0</v>
      </c>
      <c r="F32" s="16">
        <f>SUMIFS(Eventos!$J:$J,Eventos!$I:$I,$B32,Eventos!$B:$B,F$5,Eventos!$D:$D,$C$2)</f>
        <v>0</v>
      </c>
      <c r="G32" s="16">
        <f>SUMIFS(Eventos!$J:$J,Eventos!$I:$I,$B32,Eventos!$B:$B,G$5,Eventos!$D:$D,$C$2)</f>
        <v>0</v>
      </c>
      <c r="H32" s="16">
        <f>SUMIFS(Eventos!$J:$J,Eventos!$I:$I,$B32,Eventos!$B:$B,H$5,Eventos!$D:$D,$C$2)</f>
        <v>0</v>
      </c>
      <c r="I32" s="17">
        <f>SUMIFS(Eventos!$J:$J,Eventos!$I:$I,$B32,Eventos!$B:$B,I$5,Eventos!$D:$D,$C$2)</f>
        <v>0</v>
      </c>
      <c r="J32" s="18">
        <f t="shared" si="2"/>
        <v>0</v>
      </c>
      <c r="L32" s="4"/>
      <c r="M32" s="5">
        <f>SUMIFS(Eventos!$G:$G,Eventos!$F:$F,$L32,Eventos!$D:$D,$C$2,Eventos!$B:$B,PANES_SEMANALES[[#ALL],[LUNES]])</f>
        <v>0</v>
      </c>
      <c r="N32" s="6">
        <f>SUMIFS(Eventos!$G:$G,Eventos!$F:$F,$L32,Eventos!$D:$D,$C$2,Eventos!$B:$B,PANES_SEMANALES[[#ALL],[MARTES]])</f>
        <v>0</v>
      </c>
      <c r="O32" s="6">
        <f>SUMIFS(Eventos!$G:$G,Eventos!$F:$F,$L32,Eventos!$D:$D,$C$2,Eventos!$B:$B,PANES_SEMANALES[[#ALL],[MIÉRCOLES]])</f>
        <v>0</v>
      </c>
      <c r="P32" s="6">
        <f>SUMIFS(Eventos!$G:$G,Eventos!$F:$F,$L32,Eventos!$D:$D,$C$2,Eventos!$B:$B,PANES_SEMANALES[[#ALL],[JUEVES]])</f>
        <v>0</v>
      </c>
      <c r="Q32" s="6">
        <f>IF(P32&lt;&gt;"",SUMIFS(Eventos!$G:$G,Eventos!$B:$B,Q$2,Eventos!$D:$D,$C$2,Eventos!$F:$F,$L32),"")</f>
        <v>0</v>
      </c>
      <c r="R32" s="6">
        <f>SUMIFS(Eventos!$G:$G,Eventos!$F:$F,$L32,Eventos!$D:$D,$C$2,Eventos!$B:$B,PANES_SEMANALES[[#ALL],[SÁBADO]])</f>
        <v>0</v>
      </c>
      <c r="S32" s="7">
        <f>SUMIFS(Eventos!$G:$G,Eventos!$F:$F,$L32,Eventos!$D:$D,$C$2,Eventos!$B:$B,PANES_SEMANALES[[#ALL],[DOMINGO]])</f>
        <v>0</v>
      </c>
      <c r="T32" s="8">
        <f t="shared" si="1"/>
        <v>0</v>
      </c>
    </row>
    <row r="33" ht="22.5" customHeight="1">
      <c r="B33" s="14"/>
      <c r="C33" s="15">
        <f>SUMIFS(Eventos!$J:$J,Eventos!$I:$I,$B33,Eventos!$B:$B,C$5,Eventos!$D:$D,$C$2)</f>
        <v>0</v>
      </c>
      <c r="D33" s="16">
        <f>SUMIFS(Eventos!$J:$J,Eventos!$I:$I,$B33,Eventos!$B:$B,D$5,Eventos!$D:$D,$C$2)</f>
        <v>0</v>
      </c>
      <c r="E33" s="16">
        <f>SUMIFS(Eventos!$J:$J,Eventos!$I:$I,$B33,Eventos!$B:$B,E$5,Eventos!$D:$D,$C$2)</f>
        <v>0</v>
      </c>
      <c r="F33" s="16">
        <f>SUMIFS(Eventos!$J:$J,Eventos!$I:$I,$B33,Eventos!$B:$B,F$5,Eventos!$D:$D,$C$2)</f>
        <v>0</v>
      </c>
      <c r="G33" s="16">
        <f>SUMIFS(Eventos!$J:$J,Eventos!$I:$I,$B33,Eventos!$B:$B,G$5,Eventos!$D:$D,$C$2)</f>
        <v>0</v>
      </c>
      <c r="H33" s="16">
        <f>SUMIFS(Eventos!$J:$J,Eventos!$I:$I,$B33,Eventos!$B:$B,H$5,Eventos!$D:$D,$C$2)</f>
        <v>0</v>
      </c>
      <c r="I33" s="17">
        <f>SUMIFS(Eventos!$J:$J,Eventos!$I:$I,$B33,Eventos!$B:$B,I$5,Eventos!$D:$D,$C$2)</f>
        <v>0</v>
      </c>
      <c r="J33" s="18">
        <f t="shared" si="2"/>
        <v>0</v>
      </c>
      <c r="L33" s="4"/>
      <c r="M33" s="5">
        <f>SUMIFS(Eventos!$G:$G,Eventos!$F:$F,$L33,Eventos!$D:$D,$C$2,Eventos!$B:$B,PANES_SEMANALES[[#ALL],[LUNES]])</f>
        <v>0</v>
      </c>
      <c r="N33" s="6">
        <f>SUMIFS(Eventos!$G:$G,Eventos!$F:$F,$L33,Eventos!$D:$D,$C$2,Eventos!$B:$B,PANES_SEMANALES[[#ALL],[MARTES]])</f>
        <v>0</v>
      </c>
      <c r="O33" s="6">
        <f>SUMIFS(Eventos!$G:$G,Eventos!$F:$F,$L33,Eventos!$D:$D,$C$2,Eventos!$B:$B,PANES_SEMANALES[[#ALL],[MIÉRCOLES]])</f>
        <v>0</v>
      </c>
      <c r="P33" s="6">
        <f>SUMIFS(Eventos!$G:$G,Eventos!$F:$F,$L33,Eventos!$D:$D,$C$2,Eventos!$B:$B,PANES_SEMANALES[[#ALL],[JUEVES]])</f>
        <v>0</v>
      </c>
      <c r="Q33" s="6">
        <f>IF(P33&lt;&gt;"",SUMIFS(Eventos!$G:$G,Eventos!$B:$B,Q$2,Eventos!$D:$D,$C$2,Eventos!$F:$F,$L33),"")</f>
        <v>0</v>
      </c>
      <c r="R33" s="6">
        <f>SUMIFS(Eventos!$G:$G,Eventos!$F:$F,$L33,Eventos!$D:$D,$C$2,Eventos!$B:$B,PANES_SEMANALES[[#ALL],[SÁBADO]])</f>
        <v>0</v>
      </c>
      <c r="S33" s="7">
        <f>SUMIFS(Eventos!$G:$G,Eventos!$F:$F,$L33,Eventos!$D:$D,$C$2,Eventos!$B:$B,PANES_SEMANALES[[#ALL],[DOMINGO]])</f>
        <v>0</v>
      </c>
      <c r="T33" s="8">
        <f t="shared" si="1"/>
        <v>0</v>
      </c>
    </row>
    <row r="34" ht="22.5" customHeight="1">
      <c r="B34" s="14"/>
      <c r="C34" s="15">
        <f>SUMIFS(Eventos!$J:$J,Eventos!$I:$I,$B34,Eventos!$B:$B,C$5,Eventos!$D:$D,$C$2)</f>
        <v>0</v>
      </c>
      <c r="D34" s="16">
        <f>SUMIFS(Eventos!$J:$J,Eventos!$I:$I,$B34,Eventos!$B:$B,D$5,Eventos!$D:$D,$C$2)</f>
        <v>0</v>
      </c>
      <c r="E34" s="16">
        <f>SUMIFS(Eventos!$J:$J,Eventos!$I:$I,$B34,Eventos!$B:$B,E$5,Eventos!$D:$D,$C$2)</f>
        <v>0</v>
      </c>
      <c r="F34" s="16">
        <f>SUMIFS(Eventos!$J:$J,Eventos!$I:$I,$B34,Eventos!$B:$B,F$5,Eventos!$D:$D,$C$2)</f>
        <v>0</v>
      </c>
      <c r="G34" s="16">
        <f>SUMIFS(Eventos!$J:$J,Eventos!$I:$I,$B34,Eventos!$B:$B,G$5,Eventos!$D:$D,$C$2)</f>
        <v>0</v>
      </c>
      <c r="H34" s="16">
        <f>SUMIFS(Eventos!$J:$J,Eventos!$I:$I,$B34,Eventos!$B:$B,H$5,Eventos!$D:$D,$C$2)</f>
        <v>0</v>
      </c>
      <c r="I34" s="17">
        <f>SUMIFS(Eventos!$J:$J,Eventos!$I:$I,$B34,Eventos!$B:$B,I$5,Eventos!$D:$D,$C$2)</f>
        <v>0</v>
      </c>
      <c r="J34" s="18">
        <f t="shared" si="2"/>
        <v>0</v>
      </c>
      <c r="L34" s="4"/>
      <c r="M34" s="5">
        <f>SUMIFS(Eventos!$G:$G,Eventos!$F:$F,$L34,Eventos!$D:$D,$C$2,Eventos!$B:$B,PANES_SEMANALES[[#ALL],[LUNES]])</f>
        <v>0</v>
      </c>
      <c r="N34" s="6">
        <f>SUMIFS(Eventos!$G:$G,Eventos!$F:$F,$L34,Eventos!$D:$D,$C$2,Eventos!$B:$B,PANES_SEMANALES[[#ALL],[MARTES]])</f>
        <v>0</v>
      </c>
      <c r="O34" s="6">
        <f>SUMIFS(Eventos!$G:$G,Eventos!$F:$F,$L34,Eventos!$D:$D,$C$2,Eventos!$B:$B,PANES_SEMANALES[[#ALL],[MIÉRCOLES]])</f>
        <v>0</v>
      </c>
      <c r="P34" s="6">
        <f>SUMIFS(Eventos!$G:$G,Eventos!$F:$F,$L34,Eventos!$D:$D,$C$2,Eventos!$B:$B,PANES_SEMANALES[[#ALL],[JUEVES]])</f>
        <v>0</v>
      </c>
      <c r="Q34" s="6">
        <f>IF(P34&lt;&gt;"",SUMIFS(Eventos!$G:$G,Eventos!$B:$B,Q$2,Eventos!$D:$D,$C$2,Eventos!$F:$F,$L34),"")</f>
        <v>0</v>
      </c>
      <c r="R34" s="6">
        <f>SUMIFS(Eventos!$G:$G,Eventos!$F:$F,$L34,Eventos!$D:$D,$C$2,Eventos!$B:$B,PANES_SEMANALES[[#ALL],[SÁBADO]])</f>
        <v>0</v>
      </c>
      <c r="S34" s="7">
        <f>SUMIFS(Eventos!$G:$G,Eventos!$F:$F,$L34,Eventos!$D:$D,$C$2,Eventos!$B:$B,PANES_SEMANALES[[#ALL],[DOMINGO]])</f>
        <v>0</v>
      </c>
      <c r="T34" s="8">
        <f t="shared" si="1"/>
        <v>0</v>
      </c>
    </row>
    <row r="35" ht="22.5" customHeight="1">
      <c r="B35" s="19"/>
      <c r="C35" s="20">
        <f>SUMIFS(Eventos!$J:$J,Eventos!$I:$I,$B35,Eventos!$B:$B,C$5,Eventos!$D:$D,$C$2)</f>
        <v>0</v>
      </c>
      <c r="D35" s="21">
        <f>SUMIFS(Eventos!$J:$J,Eventos!$I:$I,$B35,Eventos!$B:$B,D$5,Eventos!$D:$D,$C$2)</f>
        <v>0</v>
      </c>
      <c r="E35" s="21">
        <f>SUMIFS(Eventos!$J:$J,Eventos!$I:$I,$B35,Eventos!$B:$B,E$5,Eventos!$D:$D,$C$2)</f>
        <v>0</v>
      </c>
      <c r="F35" s="21">
        <f>SUMIFS(Eventos!$J:$J,Eventos!$I:$I,$B35,Eventos!$B:$B,F$5,Eventos!$D:$D,$C$2)</f>
        <v>0</v>
      </c>
      <c r="G35" s="21">
        <f>SUMIFS(Eventos!$J:$J,Eventos!$I:$I,$B35,Eventos!$B:$B,G$5,Eventos!$D:$D,$C$2)</f>
        <v>0</v>
      </c>
      <c r="H35" s="21">
        <f>SUMIFS(Eventos!$J:$J,Eventos!$I:$I,$B35,Eventos!$B:$B,H$5,Eventos!$D:$D,$C$2)</f>
        <v>0</v>
      </c>
      <c r="I35" s="22">
        <f>SUMIFS(Eventos!$J:$J,Eventos!$I:$I,$B35,Eventos!$B:$B,I$5,Eventos!$D:$D,$C$2)</f>
        <v>0</v>
      </c>
      <c r="J35" s="23">
        <f t="shared" si="2"/>
        <v>0</v>
      </c>
      <c r="L35" s="4"/>
      <c r="M35" s="5">
        <f>SUMIFS(Eventos!$G:$G,Eventos!$F:$F,$L35,Eventos!$D:$D,$C$2,Eventos!$B:$B,PANES_SEMANALES[[#ALL],[LUNES]])</f>
        <v>0</v>
      </c>
      <c r="N35" s="6">
        <f>SUMIFS(Eventos!$G:$G,Eventos!$F:$F,$L35,Eventos!$D:$D,$C$2,Eventos!$B:$B,PANES_SEMANALES[[#ALL],[MARTES]])</f>
        <v>0</v>
      </c>
      <c r="O35" s="6">
        <f>SUMIFS(Eventos!$G:$G,Eventos!$F:$F,$L35,Eventos!$D:$D,$C$2,Eventos!$B:$B,PANES_SEMANALES[[#ALL],[MIÉRCOLES]])</f>
        <v>0</v>
      </c>
      <c r="P35" s="6">
        <f>SUMIFS(Eventos!$G:$G,Eventos!$F:$F,$L35,Eventos!$D:$D,$C$2,Eventos!$B:$B,PANES_SEMANALES[[#ALL],[JUEVES]])</f>
        <v>0</v>
      </c>
      <c r="Q35" s="6">
        <f>IF(P35&lt;&gt;"",SUMIFS(Eventos!$G:$G,Eventos!$B:$B,Q$2,Eventos!$D:$D,$C$2,Eventos!$F:$F,$L35),"")</f>
        <v>0</v>
      </c>
      <c r="R35" s="6">
        <f>SUMIFS(Eventos!$G:$G,Eventos!$F:$F,$L35,Eventos!$D:$D,$C$2,Eventos!$B:$B,PANES_SEMANALES[[#ALL],[SÁBADO]])</f>
        <v>0</v>
      </c>
      <c r="S35" s="7">
        <f>SUMIFS(Eventos!$G:$G,Eventos!$F:$F,$L35,Eventos!$D:$D,$C$2,Eventos!$B:$B,PANES_SEMANALES[[#ALL],[DOMINGO]])</f>
        <v>0</v>
      </c>
      <c r="T35" s="8">
        <f t="shared" si="1"/>
        <v>0</v>
      </c>
    </row>
    <row r="36" ht="22.5" customHeight="1">
      <c r="L36" s="4"/>
      <c r="M36" s="5">
        <f>SUMIFS(Eventos!$G:$G,Eventos!$F:$F,$L36,Eventos!$D:$D,$C$2,Eventos!$B:$B,PANES_SEMANALES[[#ALL],[LUNES]])</f>
        <v>0</v>
      </c>
      <c r="N36" s="6">
        <f>SUMIFS(Eventos!$G:$G,Eventos!$F:$F,$L36,Eventos!$D:$D,$C$2,Eventos!$B:$B,PANES_SEMANALES[[#ALL],[MARTES]])</f>
        <v>0</v>
      </c>
      <c r="O36" s="6">
        <f>SUMIFS(Eventos!$G:$G,Eventos!$F:$F,$L36,Eventos!$D:$D,$C$2,Eventos!$B:$B,PANES_SEMANALES[[#ALL],[MIÉRCOLES]])</f>
        <v>0</v>
      </c>
      <c r="P36" s="6">
        <f>SUMIFS(Eventos!$G:$G,Eventos!$F:$F,$L36,Eventos!$D:$D,$C$2,Eventos!$B:$B,PANES_SEMANALES[[#ALL],[JUEVES]])</f>
        <v>0</v>
      </c>
      <c r="Q36" s="6">
        <f>IF(P36&lt;&gt;"",SUMIFS(Eventos!$G:$G,Eventos!$B:$B,Q$2,Eventos!$D:$D,$C$2,Eventos!$F:$F,$L36),"")</f>
        <v>0</v>
      </c>
      <c r="R36" s="6">
        <f>SUMIFS(Eventos!$G:$G,Eventos!$F:$F,$L36,Eventos!$D:$D,$C$2,Eventos!$B:$B,PANES_SEMANALES[[#ALL],[SÁBADO]])</f>
        <v>0</v>
      </c>
      <c r="S36" s="7">
        <f>SUMIFS(Eventos!$G:$G,Eventos!$F:$F,$L36,Eventos!$D:$D,$C$2,Eventos!$B:$B,PANES_SEMANALES[[#ALL],[DOMINGO]])</f>
        <v>0</v>
      </c>
      <c r="T36" s="8">
        <f t="shared" si="1"/>
        <v>0</v>
      </c>
    </row>
    <row r="37" ht="22.5" customHeight="1">
      <c r="L37" s="4"/>
      <c r="M37" s="5">
        <f>SUMIFS(Eventos!$G:$G,Eventos!$F:$F,$L37,Eventos!$D:$D,$C$2,Eventos!$B:$B,PANES_SEMANALES[[#ALL],[LUNES]])</f>
        <v>0</v>
      </c>
      <c r="N37" s="6">
        <f>SUMIFS(Eventos!$G:$G,Eventos!$F:$F,$L37,Eventos!$D:$D,$C$2,Eventos!$B:$B,PANES_SEMANALES[[#ALL],[MARTES]])</f>
        <v>0</v>
      </c>
      <c r="O37" s="6">
        <f>SUMIFS(Eventos!$G:$G,Eventos!$F:$F,$L37,Eventos!$D:$D,$C$2,Eventos!$B:$B,PANES_SEMANALES[[#ALL],[MIÉRCOLES]])</f>
        <v>0</v>
      </c>
      <c r="P37" s="6">
        <f>SUMIFS(Eventos!$G:$G,Eventos!$F:$F,$L37,Eventos!$D:$D,$C$2,Eventos!$B:$B,PANES_SEMANALES[[#ALL],[JUEVES]])</f>
        <v>0</v>
      </c>
      <c r="Q37" s="6">
        <f>IF(P37&lt;&gt;"",SUMIFS(Eventos!$G:$G,Eventos!$B:$B,Q$2,Eventos!$D:$D,$C$2,Eventos!$F:$F,$L37),"")</f>
        <v>0</v>
      </c>
      <c r="R37" s="6">
        <f>SUMIFS(Eventos!$G:$G,Eventos!$F:$F,$L37,Eventos!$D:$D,$C$2,Eventos!$B:$B,PANES_SEMANALES[[#ALL],[SÁBADO]])</f>
        <v>0</v>
      </c>
      <c r="S37" s="7">
        <f>SUMIFS(Eventos!$G:$G,Eventos!$F:$F,$L37,Eventos!$D:$D,$C$2,Eventos!$B:$B,PANES_SEMANALES[[#ALL],[DOMINGO]])</f>
        <v>0</v>
      </c>
      <c r="T37" s="8">
        <f t="shared" si="1"/>
        <v>0</v>
      </c>
    </row>
    <row r="38" ht="22.5" customHeight="1">
      <c r="L38" s="4"/>
      <c r="M38" s="5">
        <f>SUMIFS(Eventos!$G:$G,Eventos!$F:$F,$L38,Eventos!$D:$D,$C$2,Eventos!$B:$B,PANES_SEMANALES[[#ALL],[LUNES]])</f>
        <v>0</v>
      </c>
      <c r="N38" s="6">
        <f>SUMIFS(Eventos!$G:$G,Eventos!$F:$F,$L38,Eventos!$D:$D,$C$2,Eventos!$B:$B,PANES_SEMANALES[[#ALL],[MARTES]])</f>
        <v>0</v>
      </c>
      <c r="O38" s="6">
        <f>SUMIFS(Eventos!$G:$G,Eventos!$F:$F,$L38,Eventos!$D:$D,$C$2,Eventos!$B:$B,PANES_SEMANALES[[#ALL],[MIÉRCOLES]])</f>
        <v>0</v>
      </c>
      <c r="P38" s="6">
        <f>SUMIFS(Eventos!$G:$G,Eventos!$F:$F,$L38,Eventos!$D:$D,$C$2,Eventos!$B:$B,PANES_SEMANALES[[#ALL],[JUEVES]])</f>
        <v>0</v>
      </c>
      <c r="Q38" s="6">
        <f>IF(P38&lt;&gt;"",SUMIFS(Eventos!$G:$G,Eventos!$B:$B,Q$2,Eventos!$D:$D,$C$2,Eventos!$F:$F,$L38),"")</f>
        <v>0</v>
      </c>
      <c r="R38" s="6">
        <f>SUMIFS(Eventos!$G:$G,Eventos!$F:$F,$L38,Eventos!$D:$D,$C$2,Eventos!$B:$B,PANES_SEMANALES[[#ALL],[SÁBADO]])</f>
        <v>0</v>
      </c>
      <c r="S38" s="7">
        <f>SUMIFS(Eventos!$G:$G,Eventos!$F:$F,$L38,Eventos!$D:$D,$C$2,Eventos!$B:$B,PANES_SEMANALES[[#ALL],[DOMINGO]])</f>
        <v>0</v>
      </c>
      <c r="T38" s="8">
        <f t="shared" si="1"/>
        <v>0</v>
      </c>
    </row>
    <row r="39" ht="22.5" customHeight="1">
      <c r="B39" s="24" t="s">
        <v>11</v>
      </c>
      <c r="C39" s="25" t="s">
        <v>2</v>
      </c>
      <c r="D39" s="25" t="s">
        <v>3</v>
      </c>
      <c r="E39" s="25" t="s">
        <v>4</v>
      </c>
      <c r="F39" s="25" t="s">
        <v>5</v>
      </c>
      <c r="G39" s="25" t="s">
        <v>6</v>
      </c>
      <c r="H39" s="25" t="s">
        <v>7</v>
      </c>
      <c r="I39" s="25" t="s">
        <v>8</v>
      </c>
      <c r="J39" s="26" t="s">
        <v>9</v>
      </c>
      <c r="L39" s="4"/>
      <c r="M39" s="5">
        <f>SUMIFS(Eventos!$G:$G,Eventos!$F:$F,$L39,Eventos!$D:$D,$C$2,Eventos!$B:$B,PANES_SEMANALES[[#ALL],[LUNES]])</f>
        <v>0</v>
      </c>
      <c r="N39" s="6">
        <f>SUMIFS(Eventos!$G:$G,Eventos!$F:$F,$L39,Eventos!$D:$D,$C$2,Eventos!$B:$B,PANES_SEMANALES[[#ALL],[MARTES]])</f>
        <v>0</v>
      </c>
      <c r="O39" s="6">
        <f>SUMIFS(Eventos!$G:$G,Eventos!$F:$F,$L39,Eventos!$D:$D,$C$2,Eventos!$B:$B,PANES_SEMANALES[[#ALL],[MIÉRCOLES]])</f>
        <v>0</v>
      </c>
      <c r="P39" s="6">
        <f>SUMIFS(Eventos!$G:$G,Eventos!$F:$F,$L39,Eventos!$D:$D,$C$2,Eventos!$B:$B,PANES_SEMANALES[[#ALL],[JUEVES]])</f>
        <v>0</v>
      </c>
      <c r="Q39" s="6">
        <f>IF(P39&lt;&gt;"",SUMIFS(Eventos!$G:$G,Eventos!$B:$B,Q$2,Eventos!$D:$D,$C$2,Eventos!$F:$F,$L39),"")</f>
        <v>0</v>
      </c>
      <c r="R39" s="6">
        <f>SUMIFS(Eventos!$G:$G,Eventos!$F:$F,$L39,Eventos!$D:$D,$C$2,Eventos!$B:$B,PANES_SEMANALES[[#ALL],[SÁBADO]])</f>
        <v>0</v>
      </c>
      <c r="S39" s="7">
        <f>SUMIFS(Eventos!$G:$G,Eventos!$F:$F,$L39,Eventos!$D:$D,$C$2,Eventos!$B:$B,PANES_SEMANALES[[#ALL],[DOMINGO]])</f>
        <v>0</v>
      </c>
      <c r="T39" s="8">
        <f t="shared" si="1"/>
        <v>0</v>
      </c>
    </row>
    <row r="40" ht="22.5" customHeight="1">
      <c r="A40" s="9">
        <f t="array" ref="A40">SEQUENCE(COUNTA(B40:B53),1)</f>
        <v>1</v>
      </c>
      <c r="B40" s="27" t="str">
        <f>IFERROR(__xludf.DUMMYFUNCTION("SORT(UNIQUE(FILTER(Eventos!K:K,Eventos!D:D=C2)),1,TRUE)"),"#N/A")</f>
        <v>#N/A</v>
      </c>
      <c r="C40" s="28">
        <f>SUMIFS(Eventos!$L:$L,Eventos!$B:$B,C$39,Eventos!$K:$K,$B40,Eventos!$D:$D,$C$2)</f>
        <v>0</v>
      </c>
      <c r="D40" s="29">
        <f>SUMIFS(Eventos!$L:$L,Eventos!$B:$B,D$39,Eventos!$K:$K,$B40,Eventos!$D:$D,$C$2)</f>
        <v>0</v>
      </c>
      <c r="E40" s="29">
        <f>SUMIFS(Eventos!$L:$L,Eventos!$B:$B,E$39,Eventos!$K:$K,$B40,Eventos!$D:$D,$C$2)</f>
        <v>0</v>
      </c>
      <c r="F40" s="29">
        <f>SUMIFS(Eventos!$L:$L,Eventos!$B:$B,F$39,Eventos!$K:$K,$B40,Eventos!$D:$D,$C$2)</f>
        <v>0</v>
      </c>
      <c r="G40" s="29">
        <f>SUMIFS(Eventos!$L:$L,Eventos!$B:$B,G$39,Eventos!$K:$K,$B40,Eventos!$D:$D,$C$2)</f>
        <v>0</v>
      </c>
      <c r="H40" s="29">
        <f>SUMIFS(Eventos!$L:$L,Eventos!$B:$B,H$39,Eventos!$K:$K,$B40,Eventos!$D:$D,$C$2)</f>
        <v>0</v>
      </c>
      <c r="I40" s="30">
        <f>SUMIFS(Eventos!$L:$L,Eventos!$B:$B,I$39,Eventos!$K:$K,$B40,Eventos!$D:$D,$C$2)</f>
        <v>0</v>
      </c>
      <c r="J40" s="31">
        <f t="shared" ref="J40:J54" si="3">SUM(C40:I40)</f>
        <v>0</v>
      </c>
      <c r="L40" s="4"/>
      <c r="M40" s="5">
        <f>SUMIFS(Eventos!$G:$G,Eventos!$F:$F,$L40,Eventos!$D:$D,$C$2,Eventos!$B:$B,PANES_SEMANALES[[#ALL],[LUNES]])</f>
        <v>0</v>
      </c>
      <c r="N40" s="6">
        <f>SUMIFS(Eventos!$G:$G,Eventos!$F:$F,$L40,Eventos!$D:$D,$C$2,Eventos!$B:$B,PANES_SEMANALES[[#ALL],[MARTES]])</f>
        <v>0</v>
      </c>
      <c r="O40" s="6">
        <f>SUMIFS(Eventos!$G:$G,Eventos!$F:$F,$L40,Eventos!$D:$D,$C$2,Eventos!$B:$B,PANES_SEMANALES[[#ALL],[MIÉRCOLES]])</f>
        <v>0</v>
      </c>
      <c r="P40" s="6">
        <f>SUMIFS(Eventos!$G:$G,Eventos!$F:$F,$L40,Eventos!$D:$D,$C$2,Eventos!$B:$B,PANES_SEMANALES[[#ALL],[JUEVES]])</f>
        <v>0</v>
      </c>
      <c r="Q40" s="6">
        <f>IF(P40&lt;&gt;"",SUMIFS(Eventos!$G:$G,Eventos!$B:$B,Q$2,Eventos!$D:$D,$C$2,Eventos!$F:$F,$L40),"")</f>
        <v>0</v>
      </c>
      <c r="R40" s="6">
        <f>SUMIFS(Eventos!$G:$G,Eventos!$F:$F,$L40,Eventos!$D:$D,$C$2,Eventos!$B:$B,PANES_SEMANALES[[#ALL],[SÁBADO]])</f>
        <v>0</v>
      </c>
      <c r="S40" s="7">
        <f>SUMIFS(Eventos!$G:$G,Eventos!$F:$F,$L40,Eventos!$D:$D,$C$2,Eventos!$B:$B,PANES_SEMANALES[[#ALL],[DOMINGO]])</f>
        <v>0</v>
      </c>
      <c r="T40" s="8">
        <f t="shared" si="1"/>
        <v>0</v>
      </c>
    </row>
    <row r="41" ht="22.5" customHeight="1">
      <c r="B41" s="4"/>
      <c r="C41" s="5">
        <f>SUMIFS(Eventos!$L:$L,Eventos!$B:$B,C$39,Eventos!$K:$K,$B41,Eventos!$D:$D,$C$2)</f>
        <v>0</v>
      </c>
      <c r="D41" s="6">
        <f>SUMIFS(Eventos!$L:$L,Eventos!$B:$B,D$39,Eventos!$K:$K,$B41,Eventos!$D:$D,$C$2)</f>
        <v>0</v>
      </c>
      <c r="E41" s="6">
        <f>SUMIFS(Eventos!$L:$L,Eventos!$B:$B,E$39,Eventos!$K:$K,$B41,Eventos!$D:$D,$C$2)</f>
        <v>0</v>
      </c>
      <c r="F41" s="6">
        <f>SUMIFS(Eventos!$L:$L,Eventos!$B:$B,F$39,Eventos!$K:$K,$B41,Eventos!$D:$D,$C$2)</f>
        <v>0</v>
      </c>
      <c r="G41" s="6">
        <f>SUMIFS(Eventos!$L:$L,Eventos!$B:$B,G$39,Eventos!$K:$K,$B41,Eventos!$D:$D,$C$2)</f>
        <v>0</v>
      </c>
      <c r="H41" s="6">
        <f>SUMIFS(Eventos!$L:$L,Eventos!$B:$B,H$39,Eventos!$K:$K,$B41,Eventos!$D:$D,$C$2)</f>
        <v>0</v>
      </c>
      <c r="I41" s="7">
        <f>SUMIFS(Eventos!$L:$L,Eventos!$B:$B,I$39,Eventos!$K:$K,$B41,Eventos!$D:$D,$C$2)</f>
        <v>0</v>
      </c>
      <c r="J41" s="8">
        <f t="shared" si="3"/>
        <v>0</v>
      </c>
      <c r="L41" s="4"/>
      <c r="M41" s="5">
        <f>SUMIFS(Eventos!$G:$G,Eventos!$F:$F,$L41,Eventos!$D:$D,$C$2,Eventos!$B:$B,PANES_SEMANALES[[#ALL],[LUNES]])</f>
        <v>0</v>
      </c>
      <c r="N41" s="6">
        <f>SUMIFS(Eventos!$G:$G,Eventos!$F:$F,$L41,Eventos!$D:$D,$C$2,Eventos!$B:$B,PANES_SEMANALES[[#ALL],[MARTES]])</f>
        <v>0</v>
      </c>
      <c r="O41" s="6">
        <f>SUMIFS(Eventos!$G:$G,Eventos!$F:$F,$L41,Eventos!$D:$D,$C$2,Eventos!$B:$B,PANES_SEMANALES[[#ALL],[MIÉRCOLES]])</f>
        <v>0</v>
      </c>
      <c r="P41" s="6">
        <f>SUMIFS(Eventos!$G:$G,Eventos!$F:$F,$L41,Eventos!$D:$D,$C$2,Eventos!$B:$B,PANES_SEMANALES[[#ALL],[JUEVES]])</f>
        <v>0</v>
      </c>
      <c r="Q41" s="6">
        <f>IF(P41&lt;&gt;"",SUMIFS(Eventos!$G:$G,Eventos!$B:$B,Q$2,Eventos!$D:$D,$C$2,Eventos!$F:$F,$L41),"")</f>
        <v>0</v>
      </c>
      <c r="R41" s="6">
        <f>SUMIFS(Eventos!$G:$G,Eventos!$F:$F,$L41,Eventos!$D:$D,$C$2,Eventos!$B:$B,PANES_SEMANALES[[#ALL],[SÁBADO]])</f>
        <v>0</v>
      </c>
      <c r="S41" s="7">
        <f>SUMIFS(Eventos!$G:$G,Eventos!$F:$F,$L41,Eventos!$D:$D,$C$2,Eventos!$B:$B,PANES_SEMANALES[[#ALL],[DOMINGO]])</f>
        <v>0</v>
      </c>
      <c r="T41" s="8">
        <f t="shared" si="1"/>
        <v>0</v>
      </c>
    </row>
    <row r="42" ht="22.5" customHeight="1">
      <c r="B42" s="4"/>
      <c r="C42" s="5">
        <f>SUMIFS(Eventos!$L:$L,Eventos!$B:$B,C$39,Eventos!$K:$K,$B42,Eventos!$D:$D,$C$2)</f>
        <v>0</v>
      </c>
      <c r="D42" s="6">
        <f>SUMIFS(Eventos!$L:$L,Eventos!$B:$B,D$39,Eventos!$K:$K,$B42,Eventos!$D:$D,$C$2)</f>
        <v>0</v>
      </c>
      <c r="E42" s="6">
        <f>SUMIFS(Eventos!$L:$L,Eventos!$B:$B,E$39,Eventos!$K:$K,$B42,Eventos!$D:$D,$C$2)</f>
        <v>0</v>
      </c>
      <c r="F42" s="6">
        <f>SUMIFS(Eventos!$L:$L,Eventos!$B:$B,F$39,Eventos!$K:$K,$B42,Eventos!$D:$D,$C$2)</f>
        <v>0</v>
      </c>
      <c r="G42" s="6">
        <f>SUMIFS(Eventos!$L:$L,Eventos!$B:$B,G$39,Eventos!$K:$K,$B42,Eventos!$D:$D,$C$2)</f>
        <v>0</v>
      </c>
      <c r="H42" s="6">
        <f>SUMIFS(Eventos!$L:$L,Eventos!$B:$B,H$39,Eventos!$K:$K,$B42,Eventos!$D:$D,$C$2)</f>
        <v>0</v>
      </c>
      <c r="I42" s="7">
        <f>SUMIFS(Eventos!$L:$L,Eventos!$B:$B,I$39,Eventos!$K:$K,$B42,Eventos!$D:$D,$C$2)</f>
        <v>0</v>
      </c>
      <c r="J42" s="8">
        <f t="shared" si="3"/>
        <v>0</v>
      </c>
      <c r="L42" s="4"/>
      <c r="M42" s="5">
        <f>SUMIFS(Eventos!$G:$G,Eventos!$F:$F,$L42,Eventos!$D:$D,$C$2,Eventos!$B:$B,PANES_SEMANALES[[#ALL],[LUNES]])</f>
        <v>0</v>
      </c>
      <c r="N42" s="6">
        <f>SUMIFS(Eventos!$G:$G,Eventos!$F:$F,$L42,Eventos!$D:$D,$C$2,Eventos!$B:$B,PANES_SEMANALES[[#ALL],[MARTES]])</f>
        <v>0</v>
      </c>
      <c r="O42" s="6">
        <f>SUMIFS(Eventos!$G:$G,Eventos!$F:$F,$L42,Eventos!$D:$D,$C$2,Eventos!$B:$B,PANES_SEMANALES[[#ALL],[MIÉRCOLES]])</f>
        <v>0</v>
      </c>
      <c r="P42" s="6">
        <f>SUMIFS(Eventos!$G:$G,Eventos!$F:$F,$L42,Eventos!$D:$D,$C$2,Eventos!$B:$B,PANES_SEMANALES[[#ALL],[JUEVES]])</f>
        <v>0</v>
      </c>
      <c r="Q42" s="6">
        <f>IF(P42&lt;&gt;"",SUMIFS(Eventos!$G:$G,Eventos!$B:$B,Q$2,Eventos!$D:$D,$C$2,Eventos!$F:$F,$L42),"")</f>
        <v>0</v>
      </c>
      <c r="R42" s="6">
        <f>SUMIFS(Eventos!$G:$G,Eventos!$F:$F,$L42,Eventos!$D:$D,$C$2,Eventos!$B:$B,PANES_SEMANALES[[#ALL],[SÁBADO]])</f>
        <v>0</v>
      </c>
      <c r="S42" s="7">
        <f>SUMIFS(Eventos!$G:$G,Eventos!$F:$F,$L42,Eventos!$D:$D,$C$2,Eventos!$B:$B,PANES_SEMANALES[[#ALL],[DOMINGO]])</f>
        <v>0</v>
      </c>
      <c r="T42" s="8">
        <f t="shared" si="1"/>
        <v>0</v>
      </c>
    </row>
    <row r="43" ht="22.5" customHeight="1">
      <c r="B43" s="4"/>
      <c r="C43" s="5">
        <f>SUMIFS(Eventos!$L:$L,Eventos!$B:$B,C$39,Eventos!$K:$K,$B43,Eventos!$D:$D,$C$2)</f>
        <v>0</v>
      </c>
      <c r="D43" s="6">
        <f>SUMIFS(Eventos!$L:$L,Eventos!$B:$B,D$39,Eventos!$K:$K,$B43,Eventos!$D:$D,$C$2)</f>
        <v>0</v>
      </c>
      <c r="E43" s="6">
        <f>SUMIFS(Eventos!$L:$L,Eventos!$B:$B,E$39,Eventos!$K:$K,$B43,Eventos!$D:$D,$C$2)</f>
        <v>0</v>
      </c>
      <c r="F43" s="6">
        <f>SUMIFS(Eventos!$L:$L,Eventos!$B:$B,F$39,Eventos!$K:$K,$B43,Eventos!$D:$D,$C$2)</f>
        <v>0</v>
      </c>
      <c r="G43" s="6">
        <f>SUMIFS(Eventos!$L:$L,Eventos!$B:$B,G$39,Eventos!$K:$K,$B43,Eventos!$D:$D,$C$2)</f>
        <v>0</v>
      </c>
      <c r="H43" s="6">
        <f>SUMIFS(Eventos!$L:$L,Eventos!$B:$B,H$39,Eventos!$K:$K,$B43,Eventos!$D:$D,$C$2)</f>
        <v>0</v>
      </c>
      <c r="I43" s="7">
        <f>SUMIFS(Eventos!$L:$L,Eventos!$B:$B,I$39,Eventos!$K:$K,$B43,Eventos!$D:$D,$C$2)</f>
        <v>0</v>
      </c>
      <c r="J43" s="8">
        <f t="shared" si="3"/>
        <v>0</v>
      </c>
      <c r="L43" s="4"/>
      <c r="M43" s="5">
        <f>SUMIFS(Eventos!$G:$G,Eventos!$F:$F,$L43,Eventos!$D:$D,$C$2,Eventos!$B:$B,PANES_SEMANALES[[#ALL],[LUNES]])</f>
        <v>0</v>
      </c>
      <c r="N43" s="6">
        <f>SUMIFS(Eventos!$G:$G,Eventos!$F:$F,$L43,Eventos!$D:$D,$C$2,Eventos!$B:$B,PANES_SEMANALES[[#ALL],[MARTES]])</f>
        <v>0</v>
      </c>
      <c r="O43" s="6">
        <f>SUMIFS(Eventos!$G:$G,Eventos!$F:$F,$L43,Eventos!$D:$D,$C$2,Eventos!$B:$B,PANES_SEMANALES[[#ALL],[MIÉRCOLES]])</f>
        <v>0</v>
      </c>
      <c r="P43" s="6">
        <f>SUMIFS(Eventos!$G:$G,Eventos!$F:$F,$L43,Eventos!$D:$D,$C$2,Eventos!$B:$B,PANES_SEMANALES[[#ALL],[JUEVES]])</f>
        <v>0</v>
      </c>
      <c r="Q43" s="6">
        <f>IF(P43&lt;&gt;"",SUMIFS(Eventos!$G:$G,Eventos!$B:$B,Q$2,Eventos!$D:$D,$C$2,Eventos!$F:$F,$L43),"")</f>
        <v>0</v>
      </c>
      <c r="R43" s="6">
        <f>SUMIFS(Eventos!$G:$G,Eventos!$F:$F,$L43,Eventos!$D:$D,$C$2,Eventos!$B:$B,PANES_SEMANALES[[#ALL],[SÁBADO]])</f>
        <v>0</v>
      </c>
      <c r="S43" s="7">
        <f>SUMIFS(Eventos!$G:$G,Eventos!$F:$F,$L43,Eventos!$D:$D,$C$2,Eventos!$B:$B,PANES_SEMANALES[[#ALL],[DOMINGO]])</f>
        <v>0</v>
      </c>
      <c r="T43" s="8">
        <f t="shared" si="1"/>
        <v>0</v>
      </c>
    </row>
    <row r="44" ht="22.5" customHeight="1">
      <c r="B44" s="4"/>
      <c r="C44" s="5">
        <f>SUMIFS(Eventos!$L:$L,Eventos!$B:$B,C$39,Eventos!$K:$K,$B44,Eventos!$D:$D,$C$2)</f>
        <v>0</v>
      </c>
      <c r="D44" s="6">
        <f>SUMIFS(Eventos!$L:$L,Eventos!$B:$B,D$39,Eventos!$K:$K,$B44,Eventos!$D:$D,$C$2)</f>
        <v>0</v>
      </c>
      <c r="E44" s="6">
        <f>SUMIFS(Eventos!$L:$L,Eventos!$B:$B,E$39,Eventos!$K:$K,$B44,Eventos!$D:$D,$C$2)</f>
        <v>0</v>
      </c>
      <c r="F44" s="6">
        <f>SUMIFS(Eventos!$L:$L,Eventos!$B:$B,F$39,Eventos!$K:$K,$B44,Eventos!$D:$D,$C$2)</f>
        <v>0</v>
      </c>
      <c r="G44" s="6">
        <f>SUMIFS(Eventos!$L:$L,Eventos!$B:$B,G$39,Eventos!$K:$K,$B44,Eventos!$D:$D,$C$2)</f>
        <v>0</v>
      </c>
      <c r="H44" s="6">
        <f>SUMIFS(Eventos!$L:$L,Eventos!$B:$B,H$39,Eventos!$K:$K,$B44,Eventos!$D:$D,$C$2)</f>
        <v>0</v>
      </c>
      <c r="I44" s="7">
        <f>SUMIFS(Eventos!$L:$L,Eventos!$B:$B,I$39,Eventos!$K:$K,$B44,Eventos!$D:$D,$C$2)</f>
        <v>0</v>
      </c>
      <c r="J44" s="8">
        <f t="shared" si="3"/>
        <v>0</v>
      </c>
      <c r="L44" s="4"/>
      <c r="M44" s="5">
        <f>SUMIFS(Eventos!$G:$G,Eventos!$F:$F,$L44,Eventos!$D:$D,$C$2,Eventos!$B:$B,PANES_SEMANALES[[#ALL],[LUNES]])</f>
        <v>0</v>
      </c>
      <c r="N44" s="6">
        <f>SUMIFS(Eventos!$G:$G,Eventos!$F:$F,$L44,Eventos!$D:$D,$C$2,Eventos!$B:$B,PANES_SEMANALES[[#ALL],[MARTES]])</f>
        <v>0</v>
      </c>
      <c r="O44" s="6">
        <f>SUMIFS(Eventos!$G:$G,Eventos!$F:$F,$L44,Eventos!$D:$D,$C$2,Eventos!$B:$B,PANES_SEMANALES[[#ALL],[MIÉRCOLES]])</f>
        <v>0</v>
      </c>
      <c r="P44" s="6">
        <f>SUMIFS(Eventos!$G:$G,Eventos!$F:$F,$L44,Eventos!$D:$D,$C$2,Eventos!$B:$B,PANES_SEMANALES[[#ALL],[JUEVES]])</f>
        <v>0</v>
      </c>
      <c r="Q44" s="6">
        <f>IF(P44&lt;&gt;"",SUMIFS(Eventos!$G:$G,Eventos!$B:$B,Q$2,Eventos!$D:$D,$C$2,Eventos!$F:$F,$L44),"")</f>
        <v>0</v>
      </c>
      <c r="R44" s="6">
        <f>SUMIFS(Eventos!$G:$G,Eventos!$F:$F,$L44,Eventos!$D:$D,$C$2,Eventos!$B:$B,PANES_SEMANALES[[#ALL],[SÁBADO]])</f>
        <v>0</v>
      </c>
      <c r="S44" s="7">
        <f>SUMIFS(Eventos!$G:$G,Eventos!$F:$F,$L44,Eventos!$D:$D,$C$2,Eventos!$B:$B,PANES_SEMANALES[[#ALL],[DOMINGO]])</f>
        <v>0</v>
      </c>
      <c r="T44" s="8">
        <f t="shared" si="1"/>
        <v>0</v>
      </c>
    </row>
    <row r="45" ht="22.5" customHeight="1">
      <c r="B45" s="4"/>
      <c r="C45" s="5">
        <f>SUMIFS(Eventos!$L:$L,Eventos!$B:$B,C$39,Eventos!$K:$K,$B45,Eventos!$D:$D,$C$2)</f>
        <v>0</v>
      </c>
      <c r="D45" s="6">
        <f>SUMIFS(Eventos!$L:$L,Eventos!$B:$B,D$39,Eventos!$K:$K,$B45,Eventos!$D:$D,$C$2)</f>
        <v>0</v>
      </c>
      <c r="E45" s="6">
        <f>SUMIFS(Eventos!$L:$L,Eventos!$B:$B,E$39,Eventos!$K:$K,$B45,Eventos!$D:$D,$C$2)</f>
        <v>0</v>
      </c>
      <c r="F45" s="6">
        <f>SUMIFS(Eventos!$L:$L,Eventos!$B:$B,F$39,Eventos!$K:$K,$B45,Eventos!$D:$D,$C$2)</f>
        <v>0</v>
      </c>
      <c r="G45" s="6">
        <f>SUMIFS(Eventos!$L:$L,Eventos!$B:$B,G$39,Eventos!$K:$K,$B45,Eventos!$D:$D,$C$2)</f>
        <v>0</v>
      </c>
      <c r="H45" s="6">
        <f>SUMIFS(Eventos!$L:$L,Eventos!$B:$B,H$39,Eventos!$K:$K,$B45,Eventos!$D:$D,$C$2)</f>
        <v>0</v>
      </c>
      <c r="I45" s="7">
        <f>SUMIFS(Eventos!$L:$L,Eventos!$B:$B,I$39,Eventos!$K:$K,$B45,Eventos!$D:$D,$C$2)</f>
        <v>0</v>
      </c>
      <c r="J45" s="8">
        <f t="shared" si="3"/>
        <v>0</v>
      </c>
      <c r="L45" s="4"/>
      <c r="M45" s="5">
        <f>SUMIFS(Eventos!$G:$G,Eventos!$F:$F,$L45,Eventos!$D:$D,$C$2,Eventos!$B:$B,PANES_SEMANALES[[#ALL],[LUNES]])</f>
        <v>0</v>
      </c>
      <c r="N45" s="6">
        <f>SUMIFS(Eventos!$G:$G,Eventos!$F:$F,$L45,Eventos!$D:$D,$C$2,Eventos!$B:$B,PANES_SEMANALES[[#ALL],[MARTES]])</f>
        <v>0</v>
      </c>
      <c r="O45" s="6">
        <f>SUMIFS(Eventos!$G:$G,Eventos!$F:$F,$L45,Eventos!$D:$D,$C$2,Eventos!$B:$B,PANES_SEMANALES[[#ALL],[MIÉRCOLES]])</f>
        <v>0</v>
      </c>
      <c r="P45" s="6">
        <f>SUMIFS(Eventos!$G:$G,Eventos!$F:$F,$L45,Eventos!$D:$D,$C$2,Eventos!$B:$B,PANES_SEMANALES[[#ALL],[JUEVES]])</f>
        <v>0</v>
      </c>
      <c r="Q45" s="6">
        <f>IF(P45&lt;&gt;"",SUMIFS(Eventos!$G:$G,Eventos!$B:$B,Q$2,Eventos!$D:$D,$C$2,Eventos!$F:$F,$L45),"")</f>
        <v>0</v>
      </c>
      <c r="R45" s="6">
        <f>SUMIFS(Eventos!$G:$G,Eventos!$F:$F,$L45,Eventos!$D:$D,$C$2,Eventos!$B:$B,PANES_SEMANALES[[#ALL],[SÁBADO]])</f>
        <v>0</v>
      </c>
      <c r="S45" s="7">
        <f>SUMIFS(Eventos!$G:$G,Eventos!$F:$F,$L45,Eventos!$D:$D,$C$2,Eventos!$B:$B,PANES_SEMANALES[[#ALL],[DOMINGO]])</f>
        <v>0</v>
      </c>
      <c r="T45" s="8">
        <f t="shared" si="1"/>
        <v>0</v>
      </c>
    </row>
    <row r="46" ht="22.5" customHeight="1">
      <c r="B46" s="4"/>
      <c r="C46" s="5">
        <f>SUMIFS(Eventos!$L:$L,Eventos!$B:$B,C$39,Eventos!$K:$K,$B46,Eventos!$D:$D,$C$2)</f>
        <v>0</v>
      </c>
      <c r="D46" s="6">
        <f>SUMIFS(Eventos!$L:$L,Eventos!$B:$B,D$39,Eventos!$K:$K,$B46,Eventos!$D:$D,$C$2)</f>
        <v>0</v>
      </c>
      <c r="E46" s="6">
        <f>SUMIFS(Eventos!$L:$L,Eventos!$B:$B,E$39,Eventos!$K:$K,$B46,Eventos!$D:$D,$C$2)</f>
        <v>0</v>
      </c>
      <c r="F46" s="6">
        <f>SUMIFS(Eventos!$L:$L,Eventos!$B:$B,F$39,Eventos!$K:$K,$B46,Eventos!$D:$D,$C$2)</f>
        <v>0</v>
      </c>
      <c r="G46" s="6">
        <f>SUMIFS(Eventos!$L:$L,Eventos!$B:$B,G$39,Eventos!$K:$K,$B46,Eventos!$D:$D,$C$2)</f>
        <v>0</v>
      </c>
      <c r="H46" s="6">
        <f>SUMIFS(Eventos!$L:$L,Eventos!$B:$B,H$39,Eventos!$K:$K,$B46,Eventos!$D:$D,$C$2)</f>
        <v>0</v>
      </c>
      <c r="I46" s="7">
        <f>SUMIFS(Eventos!$L:$L,Eventos!$B:$B,I$39,Eventos!$K:$K,$B46,Eventos!$D:$D,$C$2)</f>
        <v>0</v>
      </c>
      <c r="J46" s="8">
        <f t="shared" si="3"/>
        <v>0</v>
      </c>
      <c r="L46" s="4"/>
      <c r="M46" s="5">
        <f>SUMIFS(Eventos!$G:$G,Eventos!$F:$F,$L46,Eventos!$D:$D,$C$2,Eventos!$B:$B,PANES_SEMANALES[[#ALL],[LUNES]])</f>
        <v>0</v>
      </c>
      <c r="N46" s="6">
        <f>SUMIFS(Eventos!$G:$G,Eventos!$F:$F,$L46,Eventos!$D:$D,$C$2,Eventos!$B:$B,PANES_SEMANALES[[#ALL],[MARTES]])</f>
        <v>0</v>
      </c>
      <c r="O46" s="6">
        <f>SUMIFS(Eventos!$G:$G,Eventos!$F:$F,$L46,Eventos!$D:$D,$C$2,Eventos!$B:$B,PANES_SEMANALES[[#ALL],[MIÉRCOLES]])</f>
        <v>0</v>
      </c>
      <c r="P46" s="6">
        <f>SUMIFS(Eventos!$G:$G,Eventos!$F:$F,$L46,Eventos!$D:$D,$C$2,Eventos!$B:$B,PANES_SEMANALES[[#ALL],[JUEVES]])</f>
        <v>0</v>
      </c>
      <c r="Q46" s="6">
        <f>IF(P46&lt;&gt;"",SUMIFS(Eventos!$G:$G,Eventos!$B:$B,Q$2,Eventos!$D:$D,$C$2,Eventos!$F:$F,$L46),"")</f>
        <v>0</v>
      </c>
      <c r="R46" s="6">
        <f>SUMIFS(Eventos!$G:$G,Eventos!$F:$F,$L46,Eventos!$D:$D,$C$2,Eventos!$B:$B,PANES_SEMANALES[[#ALL],[SÁBADO]])</f>
        <v>0</v>
      </c>
      <c r="S46" s="7">
        <f>SUMIFS(Eventos!$G:$G,Eventos!$F:$F,$L46,Eventos!$D:$D,$C$2,Eventos!$B:$B,PANES_SEMANALES[[#ALL],[DOMINGO]])</f>
        <v>0</v>
      </c>
      <c r="T46" s="8">
        <f t="shared" si="1"/>
        <v>0</v>
      </c>
    </row>
    <row r="47" ht="22.5" customHeight="1">
      <c r="B47" s="4"/>
      <c r="C47" s="5">
        <f>SUMIFS(Eventos!$L:$L,Eventos!$B:$B,C$39,Eventos!$K:$K,$B47,Eventos!$D:$D,$C$2)</f>
        <v>0</v>
      </c>
      <c r="D47" s="6">
        <f>SUMIFS(Eventos!$L:$L,Eventos!$B:$B,D$39,Eventos!$K:$K,$B47,Eventos!$D:$D,$C$2)</f>
        <v>0</v>
      </c>
      <c r="E47" s="6">
        <f>SUMIFS(Eventos!$L:$L,Eventos!$B:$B,E$39,Eventos!$K:$K,$B47,Eventos!$D:$D,$C$2)</f>
        <v>0</v>
      </c>
      <c r="F47" s="6">
        <f>SUMIFS(Eventos!$L:$L,Eventos!$B:$B,F$39,Eventos!$K:$K,$B47,Eventos!$D:$D,$C$2)</f>
        <v>0</v>
      </c>
      <c r="G47" s="6">
        <f>SUMIFS(Eventos!$L:$L,Eventos!$B:$B,G$39,Eventos!$K:$K,$B47,Eventos!$D:$D,$C$2)</f>
        <v>0</v>
      </c>
      <c r="H47" s="6">
        <f>SUMIFS(Eventos!$L:$L,Eventos!$B:$B,H$39,Eventos!$K:$K,$B47,Eventos!$D:$D,$C$2)</f>
        <v>0</v>
      </c>
      <c r="I47" s="7">
        <f>SUMIFS(Eventos!$L:$L,Eventos!$B:$B,I$39,Eventos!$K:$K,$B47,Eventos!$D:$D,$C$2)</f>
        <v>0</v>
      </c>
      <c r="J47" s="8">
        <f t="shared" si="3"/>
        <v>0</v>
      </c>
      <c r="L47" s="4"/>
      <c r="M47" s="5">
        <f>SUMIFS(Eventos!$G:$G,Eventos!$F:$F,$L47,Eventos!$D:$D,$C$2,Eventos!$B:$B,PANES_SEMANALES[[#ALL],[LUNES]])</f>
        <v>0</v>
      </c>
      <c r="N47" s="6">
        <f>SUMIFS(Eventos!$G:$G,Eventos!$F:$F,$L47,Eventos!$D:$D,$C$2,Eventos!$B:$B,PANES_SEMANALES[[#ALL],[MARTES]])</f>
        <v>0</v>
      </c>
      <c r="O47" s="6">
        <f>SUMIFS(Eventos!$G:$G,Eventos!$F:$F,$L47,Eventos!$D:$D,$C$2,Eventos!$B:$B,PANES_SEMANALES[[#ALL],[MIÉRCOLES]])</f>
        <v>0</v>
      </c>
      <c r="P47" s="6">
        <f>SUMIFS(Eventos!$G:$G,Eventos!$F:$F,$L47,Eventos!$D:$D,$C$2,Eventos!$B:$B,PANES_SEMANALES[[#ALL],[JUEVES]])</f>
        <v>0</v>
      </c>
      <c r="Q47" s="6">
        <f>IF(P47&lt;&gt;"",SUMIFS(Eventos!$G:$G,Eventos!$B:$B,Q$2,Eventos!$D:$D,$C$2,Eventos!$F:$F,$L47),"")</f>
        <v>0</v>
      </c>
      <c r="R47" s="6">
        <f>SUMIFS(Eventos!$G:$G,Eventos!$F:$F,$L47,Eventos!$D:$D,$C$2,Eventos!$B:$B,PANES_SEMANALES[[#ALL],[SÁBADO]])</f>
        <v>0</v>
      </c>
      <c r="S47" s="7">
        <f>SUMIFS(Eventos!$G:$G,Eventos!$F:$F,$L47,Eventos!$D:$D,$C$2,Eventos!$B:$B,PANES_SEMANALES[[#ALL],[DOMINGO]])</f>
        <v>0</v>
      </c>
      <c r="T47" s="8">
        <f t="shared" si="1"/>
        <v>0</v>
      </c>
    </row>
    <row r="48" ht="22.5" customHeight="1">
      <c r="B48" s="4"/>
      <c r="C48" s="5">
        <f>SUMIFS(Eventos!$L:$L,Eventos!$B:$B,C$39,Eventos!$K:$K,$B48,Eventos!$D:$D,$C$2)</f>
        <v>0</v>
      </c>
      <c r="D48" s="6">
        <f>SUMIFS(Eventos!$L:$L,Eventos!$B:$B,D$39,Eventos!$K:$K,$B48,Eventos!$D:$D,$C$2)</f>
        <v>0</v>
      </c>
      <c r="E48" s="6">
        <f>SUMIFS(Eventos!$L:$L,Eventos!$B:$B,E$39,Eventos!$K:$K,$B48,Eventos!$D:$D,$C$2)</f>
        <v>0</v>
      </c>
      <c r="F48" s="6">
        <f>SUMIFS(Eventos!$L:$L,Eventos!$B:$B,F$39,Eventos!$K:$K,$B48,Eventos!$D:$D,$C$2)</f>
        <v>0</v>
      </c>
      <c r="G48" s="6">
        <f>SUMIFS(Eventos!$L:$L,Eventos!$B:$B,G$39,Eventos!$K:$K,$B48,Eventos!$D:$D,$C$2)</f>
        <v>0</v>
      </c>
      <c r="H48" s="6">
        <f>SUMIFS(Eventos!$L:$L,Eventos!$B:$B,H$39,Eventos!$K:$K,$B48,Eventos!$D:$D,$C$2)</f>
        <v>0</v>
      </c>
      <c r="I48" s="7">
        <f>SUMIFS(Eventos!$L:$L,Eventos!$B:$B,I$39,Eventos!$K:$K,$B48,Eventos!$D:$D,$C$2)</f>
        <v>0</v>
      </c>
      <c r="J48" s="8">
        <f t="shared" si="3"/>
        <v>0</v>
      </c>
      <c r="L48" s="4"/>
      <c r="M48" s="5">
        <f>SUMIFS(Eventos!$G:$G,Eventos!$F:$F,$L48,Eventos!$D:$D,$C$2,Eventos!$B:$B,PANES_SEMANALES[[#ALL],[LUNES]])</f>
        <v>0</v>
      </c>
      <c r="N48" s="6">
        <f>SUMIFS(Eventos!$G:$G,Eventos!$F:$F,$L48,Eventos!$D:$D,$C$2,Eventos!$B:$B,PANES_SEMANALES[[#ALL],[MARTES]])</f>
        <v>0</v>
      </c>
      <c r="O48" s="6">
        <f>SUMIFS(Eventos!$G:$G,Eventos!$F:$F,$L48,Eventos!$D:$D,$C$2,Eventos!$B:$B,PANES_SEMANALES[[#ALL],[MIÉRCOLES]])</f>
        <v>0</v>
      </c>
      <c r="P48" s="6">
        <f>SUMIFS(Eventos!$G:$G,Eventos!$F:$F,$L48,Eventos!$D:$D,$C$2,Eventos!$B:$B,PANES_SEMANALES[[#ALL],[JUEVES]])</f>
        <v>0</v>
      </c>
      <c r="Q48" s="6">
        <f>IF(P48&lt;&gt;"",SUMIFS(Eventos!$G:$G,Eventos!$B:$B,Q$2,Eventos!$D:$D,$C$2,Eventos!$F:$F,$L48),"")</f>
        <v>0</v>
      </c>
      <c r="R48" s="6">
        <f>SUMIFS(Eventos!$G:$G,Eventos!$F:$F,$L48,Eventos!$D:$D,$C$2,Eventos!$B:$B,PANES_SEMANALES[[#ALL],[SÁBADO]])</f>
        <v>0</v>
      </c>
      <c r="S48" s="7">
        <f>SUMIFS(Eventos!$G:$G,Eventos!$F:$F,$L48,Eventos!$D:$D,$C$2,Eventos!$B:$B,PANES_SEMANALES[[#ALL],[DOMINGO]])</f>
        <v>0</v>
      </c>
      <c r="T48" s="8">
        <f t="shared" si="1"/>
        <v>0</v>
      </c>
    </row>
    <row r="49" ht="22.5" customHeight="1">
      <c r="B49" s="4"/>
      <c r="C49" s="5">
        <f>SUMIFS(Eventos!$L:$L,Eventos!$B:$B,C$39,Eventos!$K:$K,$B49,Eventos!$D:$D,$C$2)</f>
        <v>0</v>
      </c>
      <c r="D49" s="6">
        <f>SUMIFS(Eventos!$L:$L,Eventos!$B:$B,D$39,Eventos!$K:$K,$B49,Eventos!$D:$D,$C$2)</f>
        <v>0</v>
      </c>
      <c r="E49" s="6">
        <f>SUMIFS(Eventos!$L:$L,Eventos!$B:$B,E$39,Eventos!$K:$K,$B49,Eventos!$D:$D,$C$2)</f>
        <v>0</v>
      </c>
      <c r="F49" s="6">
        <f>SUMIFS(Eventos!$L:$L,Eventos!$B:$B,F$39,Eventos!$K:$K,$B49,Eventos!$D:$D,$C$2)</f>
        <v>0</v>
      </c>
      <c r="G49" s="6">
        <f>SUMIFS(Eventos!$L:$L,Eventos!$B:$B,G$39,Eventos!$K:$K,$B49,Eventos!$D:$D,$C$2)</f>
        <v>0</v>
      </c>
      <c r="H49" s="6">
        <f>SUMIFS(Eventos!$L:$L,Eventos!$B:$B,H$39,Eventos!$K:$K,$B49,Eventos!$D:$D,$C$2)</f>
        <v>0</v>
      </c>
      <c r="I49" s="7">
        <f>SUMIFS(Eventos!$L:$L,Eventos!$B:$B,I$39,Eventos!$K:$K,$B49,Eventos!$D:$D,$C$2)</f>
        <v>0</v>
      </c>
      <c r="J49" s="8">
        <f t="shared" si="3"/>
        <v>0</v>
      </c>
      <c r="L49" s="4"/>
      <c r="M49" s="5">
        <f>SUMIFS(Eventos!$G:$G,Eventos!$F:$F,$L49,Eventos!$D:$D,$C$2,Eventos!$B:$B,PANES_SEMANALES[[#ALL],[LUNES]])</f>
        <v>0</v>
      </c>
      <c r="N49" s="6">
        <f>SUMIFS(Eventos!$G:$G,Eventos!$F:$F,$L49,Eventos!$D:$D,$C$2,Eventos!$B:$B,PANES_SEMANALES[[#ALL],[MARTES]])</f>
        <v>0</v>
      </c>
      <c r="O49" s="6">
        <f>SUMIFS(Eventos!$G:$G,Eventos!$F:$F,$L49,Eventos!$D:$D,$C$2,Eventos!$B:$B,PANES_SEMANALES[[#ALL],[MIÉRCOLES]])</f>
        <v>0</v>
      </c>
      <c r="P49" s="6">
        <f>SUMIFS(Eventos!$G:$G,Eventos!$F:$F,$L49,Eventos!$D:$D,$C$2,Eventos!$B:$B,PANES_SEMANALES[[#ALL],[JUEVES]])</f>
        <v>0</v>
      </c>
      <c r="Q49" s="6">
        <f>IF(P49&lt;&gt;"",SUMIFS(Eventos!$G:$G,Eventos!$B:$B,Q$2,Eventos!$D:$D,$C$2,Eventos!$F:$F,$L49),"")</f>
        <v>0</v>
      </c>
      <c r="R49" s="6">
        <f>SUMIFS(Eventos!$G:$G,Eventos!$F:$F,$L49,Eventos!$D:$D,$C$2,Eventos!$B:$B,PANES_SEMANALES[[#ALL],[SÁBADO]])</f>
        <v>0</v>
      </c>
      <c r="S49" s="7">
        <f>SUMIFS(Eventos!$G:$G,Eventos!$F:$F,$L49,Eventos!$D:$D,$C$2,Eventos!$B:$B,PANES_SEMANALES[[#ALL],[DOMINGO]])</f>
        <v>0</v>
      </c>
      <c r="T49" s="8">
        <f t="shared" si="1"/>
        <v>0</v>
      </c>
    </row>
    <row r="50" ht="22.5" customHeight="1">
      <c r="B50" s="4"/>
      <c r="C50" s="5">
        <f>SUMIFS(Eventos!$L:$L,Eventos!$B:$B,C$39,Eventos!$K:$K,$B50,Eventos!$D:$D,$C$2)</f>
        <v>0</v>
      </c>
      <c r="D50" s="6">
        <f>SUMIFS(Eventos!$L:$L,Eventos!$B:$B,D$39,Eventos!$K:$K,$B50,Eventos!$D:$D,$C$2)</f>
        <v>0</v>
      </c>
      <c r="E50" s="6">
        <f>SUMIFS(Eventos!$L:$L,Eventos!$B:$B,E$39,Eventos!$K:$K,$B50,Eventos!$D:$D,$C$2)</f>
        <v>0</v>
      </c>
      <c r="F50" s="6">
        <f>SUMIFS(Eventos!$L:$L,Eventos!$B:$B,F$39,Eventos!$K:$K,$B50,Eventos!$D:$D,$C$2)</f>
        <v>0</v>
      </c>
      <c r="G50" s="6">
        <f>SUMIFS(Eventos!$L:$L,Eventos!$B:$B,G$39,Eventos!$K:$K,$B50,Eventos!$D:$D,$C$2)</f>
        <v>0</v>
      </c>
      <c r="H50" s="6">
        <f>SUMIFS(Eventos!$L:$L,Eventos!$B:$B,H$39,Eventos!$K:$K,$B50,Eventos!$D:$D,$C$2)</f>
        <v>0</v>
      </c>
      <c r="I50" s="7">
        <f>SUMIFS(Eventos!$L:$L,Eventos!$B:$B,I$39,Eventos!$K:$K,$B50,Eventos!$D:$D,$C$2)</f>
        <v>0</v>
      </c>
      <c r="J50" s="8">
        <f t="shared" si="3"/>
        <v>0</v>
      </c>
      <c r="L50" s="4"/>
      <c r="M50" s="5">
        <f>SUMIFS(Eventos!$G:$G,Eventos!$F:$F,$L50,Eventos!$D:$D,$C$2,Eventos!$B:$B,PANES_SEMANALES[[#ALL],[LUNES]])</f>
        <v>0</v>
      </c>
      <c r="N50" s="6">
        <f>SUMIFS(Eventos!$G:$G,Eventos!$F:$F,$L50,Eventos!$D:$D,$C$2,Eventos!$B:$B,PANES_SEMANALES[[#ALL],[MARTES]])</f>
        <v>0</v>
      </c>
      <c r="O50" s="6">
        <f>SUMIFS(Eventos!$G:$G,Eventos!$F:$F,$L50,Eventos!$D:$D,$C$2,Eventos!$B:$B,PANES_SEMANALES[[#ALL],[MIÉRCOLES]])</f>
        <v>0</v>
      </c>
      <c r="P50" s="6">
        <f>SUMIFS(Eventos!$G:$G,Eventos!$F:$F,$L50,Eventos!$D:$D,$C$2,Eventos!$B:$B,PANES_SEMANALES[[#ALL],[JUEVES]])</f>
        <v>0</v>
      </c>
      <c r="Q50" s="6">
        <f>IF(P50&lt;&gt;"",SUMIFS(Eventos!$G:$G,Eventos!$B:$B,Q$2,Eventos!$D:$D,$C$2,Eventos!$F:$F,$L50),"")</f>
        <v>0</v>
      </c>
      <c r="R50" s="6">
        <f>SUMIFS(Eventos!$G:$G,Eventos!$F:$F,$L50,Eventos!$D:$D,$C$2,Eventos!$B:$B,PANES_SEMANALES[[#ALL],[SÁBADO]])</f>
        <v>0</v>
      </c>
      <c r="S50" s="7">
        <f>SUMIFS(Eventos!$G:$G,Eventos!$F:$F,$L50,Eventos!$D:$D,$C$2,Eventos!$B:$B,PANES_SEMANALES[[#ALL],[DOMINGO]])</f>
        <v>0</v>
      </c>
      <c r="T50" s="8">
        <f t="shared" si="1"/>
        <v>0</v>
      </c>
    </row>
    <row r="51" ht="22.5" customHeight="1">
      <c r="B51" s="4"/>
      <c r="C51" s="5">
        <f>SUMIFS(Eventos!$L:$L,Eventos!$B:$B,C$39,Eventos!$K:$K,$B51,Eventos!$D:$D,$C$2)</f>
        <v>0</v>
      </c>
      <c r="D51" s="6">
        <f>SUMIFS(Eventos!$L:$L,Eventos!$B:$B,D$39,Eventos!$K:$K,$B51,Eventos!$D:$D,$C$2)</f>
        <v>0</v>
      </c>
      <c r="E51" s="6">
        <f>SUMIFS(Eventos!$L:$L,Eventos!$B:$B,E$39,Eventos!$K:$K,$B51,Eventos!$D:$D,$C$2)</f>
        <v>0</v>
      </c>
      <c r="F51" s="6">
        <f>SUMIFS(Eventos!$L:$L,Eventos!$B:$B,F$39,Eventos!$K:$K,$B51,Eventos!$D:$D,$C$2)</f>
        <v>0</v>
      </c>
      <c r="G51" s="6">
        <f>SUMIFS(Eventos!$L:$L,Eventos!$B:$B,G$39,Eventos!$K:$K,$B51,Eventos!$D:$D,$C$2)</f>
        <v>0</v>
      </c>
      <c r="H51" s="6">
        <f>SUMIFS(Eventos!$L:$L,Eventos!$B:$B,H$39,Eventos!$K:$K,$B51,Eventos!$D:$D,$C$2)</f>
        <v>0</v>
      </c>
      <c r="I51" s="7">
        <f>SUMIFS(Eventos!$L:$L,Eventos!$B:$B,I$39,Eventos!$K:$K,$B51,Eventos!$D:$D,$C$2)</f>
        <v>0</v>
      </c>
      <c r="J51" s="8">
        <f t="shared" si="3"/>
        <v>0</v>
      </c>
      <c r="L51" s="4"/>
      <c r="M51" s="5">
        <f>SUMIFS(Eventos!$G:$G,Eventos!$F:$F,$L51,Eventos!$D:$D,$C$2,Eventos!$B:$B,PANES_SEMANALES[[#ALL],[LUNES]])</f>
        <v>0</v>
      </c>
      <c r="N51" s="6">
        <f>SUMIFS(Eventos!$G:$G,Eventos!$F:$F,$L51,Eventos!$D:$D,$C$2,Eventos!$B:$B,PANES_SEMANALES[[#ALL],[MARTES]])</f>
        <v>0</v>
      </c>
      <c r="O51" s="6">
        <f>SUMIFS(Eventos!$G:$G,Eventos!$F:$F,$L51,Eventos!$D:$D,$C$2,Eventos!$B:$B,PANES_SEMANALES[[#ALL],[MIÉRCOLES]])</f>
        <v>0</v>
      </c>
      <c r="P51" s="6">
        <f>SUMIFS(Eventos!$G:$G,Eventos!$F:$F,$L51,Eventos!$D:$D,$C$2,Eventos!$B:$B,PANES_SEMANALES[[#ALL],[JUEVES]])</f>
        <v>0</v>
      </c>
      <c r="Q51" s="6">
        <f>IF(P51&lt;&gt;"",SUMIFS(Eventos!$G:$G,Eventos!$B:$B,Q$2,Eventos!$D:$D,$C$2,Eventos!$F:$F,$L51),"")</f>
        <v>0</v>
      </c>
      <c r="R51" s="6">
        <f>SUMIFS(Eventos!$G:$G,Eventos!$F:$F,$L51,Eventos!$D:$D,$C$2,Eventos!$B:$B,PANES_SEMANALES[[#ALL],[SÁBADO]])</f>
        <v>0</v>
      </c>
      <c r="S51" s="7">
        <f>SUMIFS(Eventos!$G:$G,Eventos!$F:$F,$L51,Eventos!$D:$D,$C$2,Eventos!$B:$B,PANES_SEMANALES[[#ALL],[DOMINGO]])</f>
        <v>0</v>
      </c>
      <c r="T51" s="8">
        <f t="shared" si="1"/>
        <v>0</v>
      </c>
    </row>
    <row r="52" ht="22.5" customHeight="1">
      <c r="B52" s="4"/>
      <c r="C52" s="5">
        <f>SUMIFS(Eventos!$L:$L,Eventos!$B:$B,C$39,Eventos!$K:$K,$B52,Eventos!$D:$D,$C$2)</f>
        <v>0</v>
      </c>
      <c r="D52" s="6">
        <f>SUMIFS(Eventos!$L:$L,Eventos!$B:$B,D$39,Eventos!$K:$K,$B52,Eventos!$D:$D,$C$2)</f>
        <v>0</v>
      </c>
      <c r="E52" s="6">
        <f>SUMIFS(Eventos!$L:$L,Eventos!$B:$B,E$39,Eventos!$K:$K,$B52,Eventos!$D:$D,$C$2)</f>
        <v>0</v>
      </c>
      <c r="F52" s="6">
        <f>SUMIFS(Eventos!$L:$L,Eventos!$B:$B,F$39,Eventos!$K:$K,$B52,Eventos!$D:$D,$C$2)</f>
        <v>0</v>
      </c>
      <c r="G52" s="6">
        <f>SUMIFS(Eventos!$L:$L,Eventos!$B:$B,G$39,Eventos!$K:$K,$B52,Eventos!$D:$D,$C$2)</f>
        <v>0</v>
      </c>
      <c r="H52" s="6">
        <f>SUMIFS(Eventos!$L:$L,Eventos!$B:$B,H$39,Eventos!$K:$K,$B52,Eventos!$D:$D,$C$2)</f>
        <v>0</v>
      </c>
      <c r="I52" s="7">
        <f>SUMIFS(Eventos!$L:$L,Eventos!$B:$B,I$39,Eventos!$K:$K,$B52,Eventos!$D:$D,$C$2)</f>
        <v>0</v>
      </c>
      <c r="J52" s="8">
        <f t="shared" si="3"/>
        <v>0</v>
      </c>
      <c r="L52" s="4"/>
      <c r="M52" s="5">
        <f>SUMIFS(Eventos!$G:$G,Eventos!$F:$F,$L52,Eventos!$D:$D,$C$2,Eventos!$B:$B,PANES_SEMANALES[[#ALL],[LUNES]])</f>
        <v>0</v>
      </c>
      <c r="N52" s="6">
        <f>SUMIFS(Eventos!$G:$G,Eventos!$F:$F,$L52,Eventos!$D:$D,$C$2,Eventos!$B:$B,PANES_SEMANALES[[#ALL],[MARTES]])</f>
        <v>0</v>
      </c>
      <c r="O52" s="6">
        <f>SUMIFS(Eventos!$G:$G,Eventos!$F:$F,$L52,Eventos!$D:$D,$C$2,Eventos!$B:$B,PANES_SEMANALES[[#ALL],[MIÉRCOLES]])</f>
        <v>0</v>
      </c>
      <c r="P52" s="6">
        <f>SUMIFS(Eventos!$G:$G,Eventos!$F:$F,$L52,Eventos!$D:$D,$C$2,Eventos!$B:$B,PANES_SEMANALES[[#ALL],[JUEVES]])</f>
        <v>0</v>
      </c>
      <c r="Q52" s="6">
        <f>IF(P52&lt;&gt;"",SUMIFS(Eventos!$G:$G,Eventos!$B:$B,Q$2,Eventos!$D:$D,$C$2,Eventos!$F:$F,$L52),"")</f>
        <v>0</v>
      </c>
      <c r="R52" s="6">
        <f>SUMIFS(Eventos!$G:$G,Eventos!$F:$F,$L52,Eventos!$D:$D,$C$2,Eventos!$B:$B,PANES_SEMANALES[[#ALL],[SÁBADO]])</f>
        <v>0</v>
      </c>
      <c r="S52" s="7">
        <f>SUMIFS(Eventos!$G:$G,Eventos!$F:$F,$L52,Eventos!$D:$D,$C$2,Eventos!$B:$B,PANES_SEMANALES[[#ALL],[DOMINGO]])</f>
        <v>0</v>
      </c>
      <c r="T52" s="8">
        <f t="shared" si="1"/>
        <v>0</v>
      </c>
    </row>
    <row r="53" ht="22.5" customHeight="1">
      <c r="B53" s="4"/>
      <c r="C53" s="5">
        <f>SUMIFS(Eventos!$L:$L,Eventos!$B:$B,C$39,Eventos!$K:$K,$B53,Eventos!$D:$D,$C$2)</f>
        <v>0</v>
      </c>
      <c r="D53" s="6">
        <f>SUMIFS(Eventos!$L:$L,Eventos!$B:$B,D$39,Eventos!$K:$K,$B53,Eventos!$D:$D,$C$2)</f>
        <v>0</v>
      </c>
      <c r="E53" s="6">
        <f>SUMIFS(Eventos!$L:$L,Eventos!$B:$B,E$39,Eventos!$K:$K,$B53,Eventos!$D:$D,$C$2)</f>
        <v>0</v>
      </c>
      <c r="F53" s="6">
        <f>SUMIFS(Eventos!$L:$L,Eventos!$B:$B,F$39,Eventos!$K:$K,$B53,Eventos!$D:$D,$C$2)</f>
        <v>0</v>
      </c>
      <c r="G53" s="6">
        <f>SUMIFS(Eventos!$L:$L,Eventos!$B:$B,G$39,Eventos!$K:$K,$B53,Eventos!$D:$D,$C$2)</f>
        <v>0</v>
      </c>
      <c r="H53" s="6">
        <f>SUMIFS(Eventos!$L:$L,Eventos!$B:$B,H$39,Eventos!$K:$K,$B53,Eventos!$D:$D,$C$2)</f>
        <v>0</v>
      </c>
      <c r="I53" s="7">
        <f>SUMIFS(Eventos!$L:$L,Eventos!$B:$B,I$39,Eventos!$K:$K,$B53,Eventos!$D:$D,$C$2)</f>
        <v>0</v>
      </c>
      <c r="J53" s="8">
        <f t="shared" si="3"/>
        <v>0</v>
      </c>
      <c r="L53" s="4"/>
      <c r="M53" s="5">
        <f>SUMIFS(Eventos!$G:$G,Eventos!$F:$F,$L53,Eventos!$D:$D,$C$2,Eventos!$B:$B,PANES_SEMANALES[[#ALL],[LUNES]])</f>
        <v>0</v>
      </c>
      <c r="N53" s="6">
        <f>SUMIFS(Eventos!$G:$G,Eventos!$F:$F,$L53,Eventos!$D:$D,$C$2,Eventos!$B:$B,PANES_SEMANALES[[#ALL],[MARTES]])</f>
        <v>0</v>
      </c>
      <c r="O53" s="6">
        <f>SUMIFS(Eventos!$G:$G,Eventos!$F:$F,$L53,Eventos!$D:$D,$C$2,Eventos!$B:$B,PANES_SEMANALES[[#ALL],[MIÉRCOLES]])</f>
        <v>0</v>
      </c>
      <c r="P53" s="6">
        <f>SUMIFS(Eventos!$G:$G,Eventos!$F:$F,$L53,Eventos!$D:$D,$C$2,Eventos!$B:$B,PANES_SEMANALES[[#ALL],[JUEVES]])</f>
        <v>0</v>
      </c>
      <c r="Q53" s="6">
        <f>IF(P53&lt;&gt;"",SUMIFS(Eventos!$G:$G,Eventos!$B:$B,Q$2,Eventos!$D:$D,$C$2,Eventos!$F:$F,$L53),"")</f>
        <v>0</v>
      </c>
      <c r="R53" s="6">
        <f>SUMIFS(Eventos!$G:$G,Eventos!$F:$F,$L53,Eventos!$D:$D,$C$2,Eventos!$B:$B,PANES_SEMANALES[[#ALL],[SÁBADO]])</f>
        <v>0</v>
      </c>
      <c r="S53" s="7">
        <f>SUMIFS(Eventos!$G:$G,Eventos!$F:$F,$L53,Eventos!$D:$D,$C$2,Eventos!$B:$B,PANES_SEMANALES[[#ALL],[DOMINGO]])</f>
        <v>0</v>
      </c>
      <c r="T53" s="8">
        <f t="shared" si="1"/>
        <v>0</v>
      </c>
    </row>
    <row r="54" ht="22.5" customHeight="1">
      <c r="B54" s="32"/>
      <c r="C54" s="33">
        <f>SUMIFS(Eventos!$L:$L,Eventos!$B:$B,C$39,Eventos!$K:$K,$B54,Eventos!$D:$D,$C$2)</f>
        <v>0</v>
      </c>
      <c r="D54" s="34">
        <f>SUMIFS(Eventos!$L:$L,Eventos!$B:$B,D$39,Eventos!$K:$K,$B54,Eventos!$D:$D,$C$2)</f>
        <v>0</v>
      </c>
      <c r="E54" s="34">
        <f>SUMIFS(Eventos!$L:$L,Eventos!$B:$B,E$39,Eventos!$K:$K,$B54,Eventos!$D:$D,$C$2)</f>
        <v>0</v>
      </c>
      <c r="F54" s="34">
        <f>SUMIFS(Eventos!$L:$L,Eventos!$B:$B,F$39,Eventos!$K:$K,$B54,Eventos!$D:$D,$C$2)</f>
        <v>0</v>
      </c>
      <c r="G54" s="34">
        <f>SUMIFS(Eventos!$L:$L,Eventos!$B:$B,G$39,Eventos!$K:$K,$B54,Eventos!$D:$D,$C$2)</f>
        <v>0</v>
      </c>
      <c r="H54" s="34">
        <f>SUMIFS(Eventos!$L:$L,Eventos!$B:$B,H$39,Eventos!$K:$K,$B54,Eventos!$D:$D,$C$2)</f>
        <v>0</v>
      </c>
      <c r="I54" s="35">
        <f>SUMIFS(Eventos!$L:$L,Eventos!$B:$B,I$39,Eventos!$K:$K,$B54,Eventos!$D:$D,$C$2)</f>
        <v>0</v>
      </c>
      <c r="J54" s="36">
        <f t="shared" si="3"/>
        <v>0</v>
      </c>
      <c r="L54" s="4"/>
      <c r="M54" s="5">
        <f>SUMIFS(Eventos!$G:$G,Eventos!$F:$F,$L54,Eventos!$D:$D,$C$2,Eventos!$B:$B,PANES_SEMANALES[[#ALL],[LUNES]])</f>
        <v>0</v>
      </c>
      <c r="N54" s="6">
        <f>SUMIFS(Eventos!$G:$G,Eventos!$F:$F,$L54,Eventos!$D:$D,$C$2,Eventos!$B:$B,PANES_SEMANALES[[#ALL],[MARTES]])</f>
        <v>0</v>
      </c>
      <c r="O54" s="6">
        <f>SUMIFS(Eventos!$G:$G,Eventos!$F:$F,$L54,Eventos!$D:$D,$C$2,Eventos!$B:$B,PANES_SEMANALES[[#ALL],[MIÉRCOLES]])</f>
        <v>0</v>
      </c>
      <c r="P54" s="6">
        <f>SUMIFS(Eventos!$G:$G,Eventos!$F:$F,$L54,Eventos!$D:$D,$C$2,Eventos!$B:$B,PANES_SEMANALES[[#ALL],[JUEVES]])</f>
        <v>0</v>
      </c>
      <c r="Q54" s="6">
        <f>IF(P54&lt;&gt;"",SUMIFS(Eventos!$G:$G,Eventos!$B:$B,Q$2,Eventos!$D:$D,$C$2,Eventos!$F:$F,$L54),"")</f>
        <v>0</v>
      </c>
      <c r="R54" s="6">
        <f>SUMIFS(Eventos!$G:$G,Eventos!$F:$F,$L54,Eventos!$D:$D,$C$2,Eventos!$B:$B,PANES_SEMANALES[[#ALL],[SÁBADO]])</f>
        <v>0</v>
      </c>
      <c r="S54" s="7">
        <f>SUMIFS(Eventos!$G:$G,Eventos!$F:$F,$L54,Eventos!$D:$D,$C$2,Eventos!$B:$B,PANES_SEMANALES[[#ALL],[DOMINGO]])</f>
        <v>0</v>
      </c>
      <c r="T54" s="8">
        <f t="shared" si="1"/>
        <v>0</v>
      </c>
    </row>
    <row r="55" ht="22.5" customHeight="1">
      <c r="L55" s="4"/>
      <c r="M55" s="5">
        <f>SUMIFS(Eventos!$G:$G,Eventos!$F:$F,$L55,Eventos!$D:$D,$C$2,Eventos!$B:$B,PANES_SEMANALES[[#ALL],[LUNES]])</f>
        <v>0</v>
      </c>
      <c r="N55" s="6">
        <f>SUMIFS(Eventos!$G:$G,Eventos!$F:$F,$L55,Eventos!$D:$D,$C$2,Eventos!$B:$B,PANES_SEMANALES[[#ALL],[MARTES]])</f>
        <v>0</v>
      </c>
      <c r="O55" s="6">
        <f>SUMIFS(Eventos!$G:$G,Eventos!$F:$F,$L55,Eventos!$D:$D,$C$2,Eventos!$B:$B,PANES_SEMANALES[[#ALL],[MIÉRCOLES]])</f>
        <v>0</v>
      </c>
      <c r="P55" s="6">
        <f>SUMIFS(Eventos!$G:$G,Eventos!$F:$F,$L55,Eventos!$D:$D,$C$2,Eventos!$B:$B,PANES_SEMANALES[[#ALL],[JUEVES]])</f>
        <v>0</v>
      </c>
      <c r="Q55" s="6">
        <f>IF(P55&lt;&gt;"",SUMIFS(Eventos!$G:$G,Eventos!$B:$B,Q$2,Eventos!$D:$D,$C$2,Eventos!$F:$F,$L55),"")</f>
        <v>0</v>
      </c>
      <c r="R55" s="6">
        <f>SUMIFS(Eventos!$G:$G,Eventos!$F:$F,$L55,Eventos!$D:$D,$C$2,Eventos!$B:$B,PANES_SEMANALES[[#ALL],[SÁBADO]])</f>
        <v>0</v>
      </c>
      <c r="S55" s="7">
        <f>SUMIFS(Eventos!$G:$G,Eventos!$F:$F,$L55,Eventos!$D:$D,$C$2,Eventos!$B:$B,PANES_SEMANALES[[#ALL],[DOMINGO]])</f>
        <v>0</v>
      </c>
      <c r="T55" s="8">
        <f t="shared" si="1"/>
        <v>0</v>
      </c>
    </row>
    <row r="56" ht="22.5" customHeight="1">
      <c r="L56" s="4"/>
      <c r="M56" s="5">
        <f>SUMIFS(Eventos!$G:$G,Eventos!$F:$F,$L56,Eventos!$D:$D,$C$2,Eventos!$B:$B,PANES_SEMANALES[[#ALL],[LUNES]])</f>
        <v>0</v>
      </c>
      <c r="N56" s="6">
        <f>SUMIFS(Eventos!$G:$G,Eventos!$F:$F,$L56,Eventos!$D:$D,$C$2,Eventos!$B:$B,PANES_SEMANALES[[#ALL],[MARTES]])</f>
        <v>0</v>
      </c>
      <c r="O56" s="6">
        <f>SUMIFS(Eventos!$G:$G,Eventos!$F:$F,$L56,Eventos!$D:$D,$C$2,Eventos!$B:$B,PANES_SEMANALES[[#ALL],[MIÉRCOLES]])</f>
        <v>0</v>
      </c>
      <c r="P56" s="6">
        <f>SUMIFS(Eventos!$G:$G,Eventos!$F:$F,$L56,Eventos!$D:$D,$C$2,Eventos!$B:$B,PANES_SEMANALES[[#ALL],[JUEVES]])</f>
        <v>0</v>
      </c>
      <c r="Q56" s="6">
        <f>IF(P56&lt;&gt;"",SUMIFS(Eventos!$G:$G,Eventos!$B:$B,Q$2,Eventos!$D:$D,$C$2,Eventos!$F:$F,$L56),"")</f>
        <v>0</v>
      </c>
      <c r="R56" s="6">
        <f>SUMIFS(Eventos!$G:$G,Eventos!$F:$F,$L56,Eventos!$D:$D,$C$2,Eventos!$B:$B,PANES_SEMANALES[[#ALL],[SÁBADO]])</f>
        <v>0</v>
      </c>
      <c r="S56" s="7">
        <f>SUMIFS(Eventos!$G:$G,Eventos!$F:$F,$L56,Eventos!$D:$D,$C$2,Eventos!$B:$B,PANES_SEMANALES[[#ALL],[DOMINGO]])</f>
        <v>0</v>
      </c>
      <c r="T56" s="8">
        <f t="shared" si="1"/>
        <v>0</v>
      </c>
    </row>
    <row r="57" ht="22.5" customHeight="1">
      <c r="L57" s="4"/>
      <c r="M57" s="5">
        <f>SUMIFS(Eventos!$G:$G,Eventos!$F:$F,$L57,Eventos!$D:$D,$C$2,Eventos!$B:$B,PANES_SEMANALES[[#ALL],[LUNES]])</f>
        <v>0</v>
      </c>
      <c r="N57" s="6">
        <f>SUMIFS(Eventos!$G:$G,Eventos!$F:$F,$L57,Eventos!$D:$D,$C$2,Eventos!$B:$B,PANES_SEMANALES[[#ALL],[MARTES]])</f>
        <v>0</v>
      </c>
      <c r="O57" s="6">
        <f>SUMIFS(Eventos!$G:$G,Eventos!$F:$F,$L57,Eventos!$D:$D,$C$2,Eventos!$B:$B,PANES_SEMANALES[[#ALL],[MIÉRCOLES]])</f>
        <v>0</v>
      </c>
      <c r="P57" s="6">
        <f>SUMIFS(Eventos!$G:$G,Eventos!$F:$F,$L57,Eventos!$D:$D,$C$2,Eventos!$B:$B,PANES_SEMANALES[[#ALL],[JUEVES]])</f>
        <v>0</v>
      </c>
      <c r="Q57" s="6">
        <f>IF(P57&lt;&gt;"",SUMIFS(Eventos!$G:$G,Eventos!$B:$B,Q$2,Eventos!$D:$D,$C$2,Eventos!$F:$F,$L57),"")</f>
        <v>0</v>
      </c>
      <c r="R57" s="6">
        <f>SUMIFS(Eventos!$G:$G,Eventos!$F:$F,$L57,Eventos!$D:$D,$C$2,Eventos!$B:$B,PANES_SEMANALES[[#ALL],[SÁBADO]])</f>
        <v>0</v>
      </c>
      <c r="S57" s="7">
        <f>SUMIFS(Eventos!$G:$G,Eventos!$F:$F,$L57,Eventos!$D:$D,$C$2,Eventos!$B:$B,PANES_SEMANALES[[#ALL],[DOMINGO]])</f>
        <v>0</v>
      </c>
      <c r="T57" s="8">
        <f t="shared" si="1"/>
        <v>0</v>
      </c>
    </row>
    <row r="58" ht="22.5" customHeight="1">
      <c r="L58" s="4"/>
      <c r="M58" s="5">
        <f>SUMIFS(Eventos!$G:$G,Eventos!$F:$F,$L58,Eventos!$D:$D,$C$2,Eventos!$B:$B,PANES_SEMANALES[[#ALL],[LUNES]])</f>
        <v>0</v>
      </c>
      <c r="N58" s="6">
        <f>SUMIFS(Eventos!$G:$G,Eventos!$F:$F,$L58,Eventos!$D:$D,$C$2,Eventos!$B:$B,PANES_SEMANALES[[#ALL],[MARTES]])</f>
        <v>0</v>
      </c>
      <c r="O58" s="6">
        <f>SUMIFS(Eventos!$G:$G,Eventos!$F:$F,$L58,Eventos!$D:$D,$C$2,Eventos!$B:$B,PANES_SEMANALES[[#ALL],[MIÉRCOLES]])</f>
        <v>0</v>
      </c>
      <c r="P58" s="6">
        <f>SUMIFS(Eventos!$G:$G,Eventos!$F:$F,$L58,Eventos!$D:$D,$C$2,Eventos!$B:$B,PANES_SEMANALES[[#ALL],[JUEVES]])</f>
        <v>0</v>
      </c>
      <c r="Q58" s="6">
        <f>IF(P58&lt;&gt;"",SUMIFS(Eventos!$G:$G,Eventos!$B:$B,Q$2,Eventos!$D:$D,$C$2,Eventos!$F:$F,$L58),"")</f>
        <v>0</v>
      </c>
      <c r="R58" s="6">
        <f>SUMIFS(Eventos!$G:$G,Eventos!$F:$F,$L58,Eventos!$D:$D,$C$2,Eventos!$B:$B,PANES_SEMANALES[[#ALL],[SÁBADO]])</f>
        <v>0</v>
      </c>
      <c r="S58" s="7">
        <f>SUMIFS(Eventos!$G:$G,Eventos!$F:$F,$L58,Eventos!$D:$D,$C$2,Eventos!$B:$B,PANES_SEMANALES[[#ALL],[DOMINGO]])</f>
        <v>0</v>
      </c>
      <c r="T58" s="8">
        <f t="shared" si="1"/>
        <v>0</v>
      </c>
    </row>
    <row r="59" ht="22.5" customHeight="1">
      <c r="B59" s="37" t="s">
        <v>12</v>
      </c>
      <c r="C59" s="25" t="s">
        <v>2</v>
      </c>
      <c r="D59" s="25" t="s">
        <v>3</v>
      </c>
      <c r="E59" s="25" t="s">
        <v>4</v>
      </c>
      <c r="F59" s="25" t="s">
        <v>5</v>
      </c>
      <c r="G59" s="25" t="s">
        <v>6</v>
      </c>
      <c r="H59" s="25" t="s">
        <v>7</v>
      </c>
      <c r="I59" s="25" t="s">
        <v>8</v>
      </c>
      <c r="J59" s="26" t="s">
        <v>9</v>
      </c>
      <c r="L59" s="4"/>
      <c r="M59" s="5">
        <f>SUMIFS(Eventos!$G:$G,Eventos!$F:$F,$L59,Eventos!$D:$D,$C$2,Eventos!$B:$B,PANES_SEMANALES[[#ALL],[LUNES]])</f>
        <v>0</v>
      </c>
      <c r="N59" s="6">
        <f>SUMIFS(Eventos!$G:$G,Eventos!$F:$F,$L59,Eventos!$D:$D,$C$2,Eventos!$B:$B,PANES_SEMANALES[[#ALL],[MARTES]])</f>
        <v>0</v>
      </c>
      <c r="O59" s="6">
        <f>SUMIFS(Eventos!$G:$G,Eventos!$F:$F,$L59,Eventos!$D:$D,$C$2,Eventos!$B:$B,PANES_SEMANALES[[#ALL],[MIÉRCOLES]])</f>
        <v>0</v>
      </c>
      <c r="P59" s="6">
        <f>SUMIFS(Eventos!$G:$G,Eventos!$F:$F,$L59,Eventos!$D:$D,$C$2,Eventos!$B:$B,PANES_SEMANALES[[#ALL],[JUEVES]])</f>
        <v>0</v>
      </c>
      <c r="Q59" s="6">
        <f>IF(P59&lt;&gt;"",SUMIFS(Eventos!$G:$G,Eventos!$B:$B,Q$2,Eventos!$D:$D,$C$2,Eventos!$F:$F,$L59),"")</f>
        <v>0</v>
      </c>
      <c r="R59" s="6">
        <f>SUMIFS(Eventos!$G:$G,Eventos!$F:$F,$L59,Eventos!$D:$D,$C$2,Eventos!$B:$B,PANES_SEMANALES[[#ALL],[SÁBADO]])</f>
        <v>0</v>
      </c>
      <c r="S59" s="7">
        <f>SUMIFS(Eventos!$G:$G,Eventos!$F:$F,$L59,Eventos!$D:$D,$C$2,Eventos!$B:$B,PANES_SEMANALES[[#ALL],[DOMINGO]])</f>
        <v>0</v>
      </c>
      <c r="T59" s="8">
        <f t="shared" si="1"/>
        <v>0</v>
      </c>
    </row>
    <row r="60" ht="22.5" customHeight="1">
      <c r="B60" s="38" t="s">
        <v>13</v>
      </c>
      <c r="C60" s="39">
        <f>SUMIFS(Eventos!$N:$N,Eventos!$M:$M,$B60,Eventos!$B:$B,C$59,Eventos!$D:$D,$C$2)</f>
        <v>0</v>
      </c>
      <c r="D60" s="40">
        <f>SUMIFS(Eventos!$N:$N,Eventos!$M:$M,$B60,Eventos!$B:$B,D$59,Eventos!$D:$D,$C$2)</f>
        <v>0</v>
      </c>
      <c r="E60" s="41">
        <f>SUMIFS(Eventos!$N:$N,Eventos!$M:$M,$B60,Eventos!$B:$B,E$59,Eventos!$D:$D,$C$2)</f>
        <v>0</v>
      </c>
      <c r="F60" s="41">
        <f>SUMIFS(Eventos!$N:$N,Eventos!$M:$M,$B60,Eventos!$B:$B,F$59,Eventos!$D:$D,$C$2)</f>
        <v>0</v>
      </c>
      <c r="G60" s="41">
        <f>SUMIFS(Eventos!$N:$N,Eventos!$M:$M,$B60,Eventos!$B:$B,G$59,Eventos!$D:$D,$C$2)</f>
        <v>0</v>
      </c>
      <c r="H60" s="41">
        <f>SUMIFS(Eventos!$N:$N,Eventos!$M:$M,$B60,Eventos!$B:$B,H$59,Eventos!$D:$D,$C$2)</f>
        <v>0</v>
      </c>
      <c r="I60" s="42">
        <f>SUMIFS(Eventos!$N:$N,Eventos!$M:$M,$B60,Eventos!$B:$B,I$59,Eventos!$D:$D,$C$2)</f>
        <v>0</v>
      </c>
      <c r="J60" s="43">
        <f t="shared" ref="J60:J62" si="4">SUM(C60:I60)</f>
        <v>0</v>
      </c>
      <c r="L60" s="4"/>
      <c r="M60" s="5">
        <f>SUMIFS(Eventos!$G:$G,Eventos!$F:$F,$L60,Eventos!$D:$D,$C$2,Eventos!$B:$B,PANES_SEMANALES[[#ALL],[LUNES]])</f>
        <v>0</v>
      </c>
      <c r="N60" s="6">
        <f>SUMIFS(Eventos!$G:$G,Eventos!$F:$F,$L60,Eventos!$D:$D,$C$2,Eventos!$B:$B,PANES_SEMANALES[[#ALL],[MARTES]])</f>
        <v>0</v>
      </c>
      <c r="O60" s="6">
        <f>SUMIFS(Eventos!$G:$G,Eventos!$F:$F,$L60,Eventos!$D:$D,$C$2,Eventos!$B:$B,PANES_SEMANALES[[#ALL],[MIÉRCOLES]])</f>
        <v>0</v>
      </c>
      <c r="P60" s="6">
        <f>SUMIFS(Eventos!$G:$G,Eventos!$F:$F,$L60,Eventos!$D:$D,$C$2,Eventos!$B:$B,PANES_SEMANALES[[#ALL],[JUEVES]])</f>
        <v>0</v>
      </c>
      <c r="Q60" s="6">
        <f>IF(P60&lt;&gt;"",SUMIFS(Eventos!$G:$G,Eventos!$B:$B,Q$2,Eventos!$D:$D,$C$2,Eventos!$F:$F,$L60),"")</f>
        <v>0</v>
      </c>
      <c r="R60" s="6">
        <f>SUMIFS(Eventos!$G:$G,Eventos!$F:$F,$L60,Eventos!$D:$D,$C$2,Eventos!$B:$B,PANES_SEMANALES[[#ALL],[SÁBADO]])</f>
        <v>0</v>
      </c>
      <c r="S60" s="7">
        <f>SUMIFS(Eventos!$G:$G,Eventos!$F:$F,$L60,Eventos!$D:$D,$C$2,Eventos!$B:$B,PANES_SEMANALES[[#ALL],[DOMINGO]])</f>
        <v>0</v>
      </c>
      <c r="T60" s="8">
        <f t="shared" si="1"/>
        <v>0</v>
      </c>
    </row>
    <row r="61" ht="22.5" customHeight="1">
      <c r="B61" s="4" t="s">
        <v>14</v>
      </c>
      <c r="C61" s="5">
        <f>SUMIFS(Eventos!$N:$N,Eventos!$M:$M,$B61,Eventos!$B:$B,C$59,Eventos!$D:$D,$C$2)</f>
        <v>0</v>
      </c>
      <c r="D61" s="44">
        <f>SUMIFS(Eventos!$N:$N,Eventos!$M:$M,$B61,Eventos!$B:$B,D$59,Eventos!$D:$D,$C$2)</f>
        <v>0</v>
      </c>
      <c r="E61" s="6">
        <f>SUMIFS(Eventos!$N:$N,Eventos!$M:$M,$B61,Eventos!$B:$B,E$59,Eventos!$D:$D,$C$2)</f>
        <v>0</v>
      </c>
      <c r="F61" s="6">
        <f>SUMIFS(Eventos!$N:$N,Eventos!$M:$M,$B61,Eventos!$B:$B,F$59,Eventos!$D:$D,$C$2)</f>
        <v>0</v>
      </c>
      <c r="G61" s="6">
        <f>SUMIFS(Eventos!$N:$N,Eventos!$M:$M,$B61,Eventos!$B:$B,G$59,Eventos!$D:$D,$C$2)</f>
        <v>0</v>
      </c>
      <c r="H61" s="6">
        <f>SUMIFS(Eventos!$N:$N,Eventos!$M:$M,$B61,Eventos!$B:$B,H$59,Eventos!$D:$D,$C$2)</f>
        <v>0</v>
      </c>
      <c r="I61" s="7">
        <f>SUMIFS(Eventos!$N:$N,Eventos!$M:$M,$B61,Eventos!$B:$B,I$59,Eventos!$D:$D,$C$2)</f>
        <v>0</v>
      </c>
      <c r="J61" s="8">
        <f t="shared" si="4"/>
        <v>0</v>
      </c>
      <c r="L61" s="4"/>
      <c r="M61" s="5">
        <f>SUMIFS(Eventos!$G:$G,Eventos!$F:$F,$L61,Eventos!$D:$D,$C$2,Eventos!$B:$B,PANES_SEMANALES[[#ALL],[LUNES]])</f>
        <v>0</v>
      </c>
      <c r="N61" s="6">
        <f>SUMIFS(Eventos!$G:$G,Eventos!$F:$F,$L61,Eventos!$D:$D,$C$2,Eventos!$B:$B,PANES_SEMANALES[[#ALL],[MARTES]])</f>
        <v>0</v>
      </c>
      <c r="O61" s="6">
        <f>SUMIFS(Eventos!$G:$G,Eventos!$F:$F,$L61,Eventos!$D:$D,$C$2,Eventos!$B:$B,PANES_SEMANALES[[#ALL],[MIÉRCOLES]])</f>
        <v>0</v>
      </c>
      <c r="P61" s="6">
        <f>SUMIFS(Eventos!$G:$G,Eventos!$F:$F,$L61,Eventos!$D:$D,$C$2,Eventos!$B:$B,PANES_SEMANALES[[#ALL],[JUEVES]])</f>
        <v>0</v>
      </c>
      <c r="Q61" s="6">
        <f>IF(P61&lt;&gt;"",SUMIFS(Eventos!$G:$G,Eventos!$B:$B,Q$2,Eventos!$D:$D,$C$2,Eventos!$F:$F,$L61),"")</f>
        <v>0</v>
      </c>
      <c r="R61" s="6">
        <f>SUMIFS(Eventos!$G:$G,Eventos!$F:$F,$L61,Eventos!$D:$D,$C$2,Eventos!$B:$B,PANES_SEMANALES[[#ALL],[SÁBADO]])</f>
        <v>0</v>
      </c>
      <c r="S61" s="7">
        <f>SUMIFS(Eventos!$G:$G,Eventos!$F:$F,$L61,Eventos!$D:$D,$C$2,Eventos!$B:$B,PANES_SEMANALES[[#ALL],[DOMINGO]])</f>
        <v>0</v>
      </c>
      <c r="T61" s="8">
        <f t="shared" si="1"/>
        <v>0</v>
      </c>
    </row>
    <row r="62" ht="22.5" customHeight="1">
      <c r="B62" s="32" t="s">
        <v>15</v>
      </c>
      <c r="C62" s="33">
        <f>SUMIFS(Eventos!$P:$P,Eventos!$O:$O,$B62,Eventos!$B:$B,C$59,Eventos!$D:$D,$C$2)</f>
        <v>0</v>
      </c>
      <c r="D62" s="45">
        <f>SUMIFS(Eventos!$P:$P,Eventos!$O:$O,$B62,Eventos!$B:$B,D$59,Eventos!$D:$D,$C$2)</f>
        <v>0</v>
      </c>
      <c r="E62" s="34">
        <f>SUMIFS(Eventos!$P:$P,Eventos!$O:$O,$B62,Eventos!$B:$B,E$59,Eventos!$D:$D,$C$2)</f>
        <v>0</v>
      </c>
      <c r="F62" s="34">
        <f>SUMIFS(Eventos!$P:$P,Eventos!$O:$O,$B62,Eventos!$B:$B,F$59,Eventos!$D:$D,$C$2)</f>
        <v>0</v>
      </c>
      <c r="G62" s="34">
        <f>SUMIFS(Eventos!$P:$P,Eventos!$O:$O,$B62,Eventos!$B:$B,G$59,Eventos!$D:$D,$C$2)</f>
        <v>0</v>
      </c>
      <c r="H62" s="34">
        <f>SUMIFS(Eventos!$P:$P,Eventos!$O:$O,$B62,Eventos!$B:$B,H$59,Eventos!$D:$D,$C$2)</f>
        <v>0</v>
      </c>
      <c r="I62" s="35">
        <f>SUMIFS(Eventos!$P:$P,Eventos!$O:$O,$B62,Eventos!$B:$B,I$59,Eventos!$D:$D,$C$2)</f>
        <v>0</v>
      </c>
      <c r="J62" s="36">
        <f t="shared" si="4"/>
        <v>0</v>
      </c>
      <c r="L62" s="4"/>
      <c r="M62" s="5">
        <f>SUMIFS(Eventos!$G:$G,Eventos!$F:$F,$L62,Eventos!$D:$D,$C$2,Eventos!$B:$B,PANES_SEMANALES[[#ALL],[LUNES]])</f>
        <v>0</v>
      </c>
      <c r="N62" s="6">
        <f>SUMIFS(Eventos!$G:$G,Eventos!$F:$F,$L62,Eventos!$D:$D,$C$2,Eventos!$B:$B,PANES_SEMANALES[[#ALL],[MARTES]])</f>
        <v>0</v>
      </c>
      <c r="O62" s="6">
        <f>SUMIFS(Eventos!$G:$G,Eventos!$F:$F,$L62,Eventos!$D:$D,$C$2,Eventos!$B:$B,PANES_SEMANALES[[#ALL],[MIÉRCOLES]])</f>
        <v>0</v>
      </c>
      <c r="P62" s="6">
        <f>SUMIFS(Eventos!$G:$G,Eventos!$F:$F,$L62,Eventos!$D:$D,$C$2,Eventos!$B:$B,PANES_SEMANALES[[#ALL],[JUEVES]])</f>
        <v>0</v>
      </c>
      <c r="Q62" s="6">
        <f>IF(P62&lt;&gt;"",SUMIFS(Eventos!$G:$G,Eventos!$B:$B,Q$2,Eventos!$D:$D,$C$2,Eventos!$F:$F,$L62),"")</f>
        <v>0</v>
      </c>
      <c r="R62" s="6">
        <f>SUMIFS(Eventos!$G:$G,Eventos!$F:$F,$L62,Eventos!$D:$D,$C$2,Eventos!$B:$B,PANES_SEMANALES[[#ALL],[SÁBADO]])</f>
        <v>0</v>
      </c>
      <c r="S62" s="7">
        <f>SUMIFS(Eventos!$G:$G,Eventos!$F:$F,$L62,Eventos!$D:$D,$C$2,Eventos!$B:$B,PANES_SEMANALES[[#ALL],[DOMINGO]])</f>
        <v>0</v>
      </c>
      <c r="T62" s="8">
        <f t="shared" si="1"/>
        <v>0</v>
      </c>
    </row>
    <row r="63" ht="22.5" customHeight="1">
      <c r="L63" s="4"/>
      <c r="M63" s="5">
        <f>SUMIFS(Eventos!$G:$G,Eventos!$F:$F,$L63,Eventos!$D:$D,$C$2,Eventos!$B:$B,PANES_SEMANALES[[#ALL],[LUNES]])</f>
        <v>0</v>
      </c>
      <c r="N63" s="6">
        <f>SUMIFS(Eventos!$G:$G,Eventos!$F:$F,$L63,Eventos!$D:$D,$C$2,Eventos!$B:$B,PANES_SEMANALES[[#ALL],[MARTES]])</f>
        <v>0</v>
      </c>
      <c r="O63" s="6">
        <f>SUMIFS(Eventos!$G:$G,Eventos!$F:$F,$L63,Eventos!$D:$D,$C$2,Eventos!$B:$B,PANES_SEMANALES[[#ALL],[MIÉRCOLES]])</f>
        <v>0</v>
      </c>
      <c r="P63" s="6">
        <f>SUMIFS(Eventos!$G:$G,Eventos!$F:$F,$L63,Eventos!$D:$D,$C$2,Eventos!$B:$B,PANES_SEMANALES[[#ALL],[JUEVES]])</f>
        <v>0</v>
      </c>
      <c r="Q63" s="6">
        <f>IF(P63&lt;&gt;"",SUMIFS(Eventos!$G:$G,Eventos!$B:$B,Q$2,Eventos!$D:$D,$C$2,Eventos!$F:$F,$L63),"")</f>
        <v>0</v>
      </c>
      <c r="R63" s="6">
        <f>SUMIFS(Eventos!$G:$G,Eventos!$F:$F,$L63,Eventos!$D:$D,$C$2,Eventos!$B:$B,PANES_SEMANALES[[#ALL],[SÁBADO]])</f>
        <v>0</v>
      </c>
      <c r="S63" s="7">
        <f>SUMIFS(Eventos!$G:$G,Eventos!$F:$F,$L63,Eventos!$D:$D,$C$2,Eventos!$B:$B,PANES_SEMANALES[[#ALL],[DOMINGO]])</f>
        <v>0</v>
      </c>
      <c r="T63" s="8">
        <f t="shared" si="1"/>
        <v>0</v>
      </c>
    </row>
    <row r="64" ht="22.5" customHeight="1">
      <c r="L64" s="4"/>
      <c r="M64" s="5">
        <f>SUMIFS(Eventos!$G:$G,Eventos!$F:$F,$L64,Eventos!$D:$D,$C$2,Eventos!$B:$B,PANES_SEMANALES[[#ALL],[LUNES]])</f>
        <v>0</v>
      </c>
      <c r="N64" s="6">
        <f>SUMIFS(Eventos!$G:$G,Eventos!$F:$F,$L64,Eventos!$D:$D,$C$2,Eventos!$B:$B,PANES_SEMANALES[[#ALL],[MARTES]])</f>
        <v>0</v>
      </c>
      <c r="O64" s="6">
        <f>SUMIFS(Eventos!$G:$G,Eventos!$F:$F,$L64,Eventos!$D:$D,$C$2,Eventos!$B:$B,PANES_SEMANALES[[#ALL],[MIÉRCOLES]])</f>
        <v>0</v>
      </c>
      <c r="P64" s="6">
        <f>SUMIFS(Eventos!$G:$G,Eventos!$F:$F,$L64,Eventos!$D:$D,$C$2,Eventos!$B:$B,PANES_SEMANALES[[#ALL],[JUEVES]])</f>
        <v>0</v>
      </c>
      <c r="Q64" s="6">
        <f>IF(P64&lt;&gt;"",SUMIFS(Eventos!$G:$G,Eventos!$B:$B,Q$2,Eventos!$D:$D,$C$2,Eventos!$F:$F,$L64),"")</f>
        <v>0</v>
      </c>
      <c r="R64" s="6">
        <f>SUMIFS(Eventos!$G:$G,Eventos!$F:$F,$L64,Eventos!$D:$D,$C$2,Eventos!$B:$B,PANES_SEMANALES[[#ALL],[SÁBADO]])</f>
        <v>0</v>
      </c>
      <c r="S64" s="7">
        <f>SUMIFS(Eventos!$G:$G,Eventos!$F:$F,$L64,Eventos!$D:$D,$C$2,Eventos!$B:$B,PANES_SEMANALES[[#ALL],[DOMINGO]])</f>
        <v>0</v>
      </c>
      <c r="T64" s="8">
        <f t="shared" si="1"/>
        <v>0</v>
      </c>
    </row>
    <row r="65" ht="22.5" customHeight="1">
      <c r="B65" s="37" t="s">
        <v>16</v>
      </c>
      <c r="C65" s="25" t="s">
        <v>2</v>
      </c>
      <c r="D65" s="25" t="s">
        <v>3</v>
      </c>
      <c r="E65" s="25" t="s">
        <v>4</v>
      </c>
      <c r="F65" s="25" t="s">
        <v>5</v>
      </c>
      <c r="G65" s="25" t="s">
        <v>6</v>
      </c>
      <c r="H65" s="25" t="s">
        <v>7</v>
      </c>
      <c r="I65" s="25" t="s">
        <v>8</v>
      </c>
      <c r="J65" s="26" t="s">
        <v>9</v>
      </c>
      <c r="L65" s="4"/>
      <c r="M65" s="5">
        <f>SUMIFS(Eventos!$G:$G,Eventos!$F:$F,$L65,Eventos!$D:$D,$C$2,Eventos!$B:$B,PANES_SEMANALES[[#ALL],[LUNES]])</f>
        <v>0</v>
      </c>
      <c r="N65" s="6">
        <f>SUMIFS(Eventos!$G:$G,Eventos!$F:$F,$L65,Eventos!$D:$D,$C$2,Eventos!$B:$B,PANES_SEMANALES[[#ALL],[MARTES]])</f>
        <v>0</v>
      </c>
      <c r="O65" s="6">
        <f>SUMIFS(Eventos!$G:$G,Eventos!$F:$F,$L65,Eventos!$D:$D,$C$2,Eventos!$B:$B,PANES_SEMANALES[[#ALL],[MIÉRCOLES]])</f>
        <v>0</v>
      </c>
      <c r="P65" s="6">
        <f>SUMIFS(Eventos!$G:$G,Eventos!$F:$F,$L65,Eventos!$D:$D,$C$2,Eventos!$B:$B,PANES_SEMANALES[[#ALL],[JUEVES]])</f>
        <v>0</v>
      </c>
      <c r="Q65" s="6">
        <f>IF(P65&lt;&gt;"",SUMIFS(Eventos!$G:$G,Eventos!$B:$B,Q$2,Eventos!$D:$D,$C$2,Eventos!$F:$F,$L65),"")</f>
        <v>0</v>
      </c>
      <c r="R65" s="6">
        <f>SUMIFS(Eventos!$G:$G,Eventos!$F:$F,$L65,Eventos!$D:$D,$C$2,Eventos!$B:$B,PANES_SEMANALES[[#ALL],[SÁBADO]])</f>
        <v>0</v>
      </c>
      <c r="S65" s="7">
        <f>SUMIFS(Eventos!$G:$G,Eventos!$F:$F,$L65,Eventos!$D:$D,$C$2,Eventos!$B:$B,PANES_SEMANALES[[#ALL],[DOMINGO]])</f>
        <v>0</v>
      </c>
      <c r="T65" s="8">
        <f t="shared" si="1"/>
        <v>0</v>
      </c>
    </row>
    <row r="66" ht="22.5" customHeight="1">
      <c r="B66" s="38" t="s">
        <v>17</v>
      </c>
      <c r="C66" s="46">
        <f t="shared" ref="C66:I66" si="5">(C60*20.5)+(C61*20%)+C61</f>
        <v>0</v>
      </c>
      <c r="D66" s="47">
        <f t="shared" si="5"/>
        <v>0</v>
      </c>
      <c r="E66" s="47">
        <f t="shared" si="5"/>
        <v>0</v>
      </c>
      <c r="F66" s="47">
        <f t="shared" si="5"/>
        <v>0</v>
      </c>
      <c r="G66" s="47">
        <f t="shared" si="5"/>
        <v>0</v>
      </c>
      <c r="H66" s="47">
        <f t="shared" si="5"/>
        <v>0</v>
      </c>
      <c r="I66" s="48">
        <f t="shared" si="5"/>
        <v>0</v>
      </c>
      <c r="J66" s="49">
        <f t="shared" ref="J66:J67" si="7">SUM(C66:I66)</f>
        <v>0</v>
      </c>
      <c r="L66" s="4"/>
      <c r="M66" s="5">
        <f>SUMIFS(Eventos!$G:$G,Eventos!$F:$F,$L66,Eventos!$D:$D,$C$2,Eventos!$B:$B,PANES_SEMANALES[[#ALL],[LUNES]])</f>
        <v>0</v>
      </c>
      <c r="N66" s="6">
        <f>SUMIFS(Eventos!$G:$G,Eventos!$F:$F,$L66,Eventos!$D:$D,$C$2,Eventos!$B:$B,PANES_SEMANALES[[#ALL],[MARTES]])</f>
        <v>0</v>
      </c>
      <c r="O66" s="6">
        <f>SUMIFS(Eventos!$G:$G,Eventos!$F:$F,$L66,Eventos!$D:$D,$C$2,Eventos!$B:$B,PANES_SEMANALES[[#ALL],[MIÉRCOLES]])</f>
        <v>0</v>
      </c>
      <c r="P66" s="6">
        <f>SUMIFS(Eventos!$G:$G,Eventos!$F:$F,$L66,Eventos!$D:$D,$C$2,Eventos!$B:$B,PANES_SEMANALES[[#ALL],[JUEVES]])</f>
        <v>0</v>
      </c>
      <c r="Q66" s="6">
        <f>IF(P66&lt;&gt;"",SUMIFS(Eventos!$G:$G,Eventos!$B:$B,Q$2,Eventos!$D:$D,$C$2,Eventos!$F:$F,$L66),"")</f>
        <v>0</v>
      </c>
      <c r="R66" s="6">
        <f>SUMIFS(Eventos!$G:$G,Eventos!$F:$F,$L66,Eventos!$D:$D,$C$2,Eventos!$B:$B,PANES_SEMANALES[[#ALL],[SÁBADO]])</f>
        <v>0</v>
      </c>
      <c r="S66" s="7">
        <f>SUMIFS(Eventos!$G:$G,Eventos!$F:$F,$L66,Eventos!$D:$D,$C$2,Eventos!$B:$B,PANES_SEMANALES[[#ALL],[DOMINGO]])</f>
        <v>0</v>
      </c>
      <c r="T66" s="8">
        <f t="shared" si="1"/>
        <v>0</v>
      </c>
    </row>
    <row r="67" ht="22.5" customHeight="1">
      <c r="B67" s="32" t="s">
        <v>18</v>
      </c>
      <c r="C67" s="50">
        <f t="shared" ref="C67:I67" si="6">C62*1.4</f>
        <v>0</v>
      </c>
      <c r="D67" s="51">
        <f t="shared" si="6"/>
        <v>0</v>
      </c>
      <c r="E67" s="51">
        <f t="shared" si="6"/>
        <v>0</v>
      </c>
      <c r="F67" s="51">
        <f t="shared" si="6"/>
        <v>0</v>
      </c>
      <c r="G67" s="51">
        <f t="shared" si="6"/>
        <v>0</v>
      </c>
      <c r="H67" s="51">
        <f t="shared" si="6"/>
        <v>0</v>
      </c>
      <c r="I67" s="52">
        <f t="shared" si="6"/>
        <v>0</v>
      </c>
      <c r="J67" s="53">
        <f t="shared" si="7"/>
        <v>0</v>
      </c>
      <c r="L67" s="4"/>
      <c r="M67" s="5">
        <f>SUMIFS(Eventos!$G:$G,Eventos!$F:$F,$L67,Eventos!$D:$D,$C$2,Eventos!$B:$B,PANES_SEMANALES[[#ALL],[LUNES]])</f>
        <v>0</v>
      </c>
      <c r="N67" s="6">
        <f>SUMIFS(Eventos!$G:$G,Eventos!$F:$F,$L67,Eventos!$D:$D,$C$2,Eventos!$B:$B,PANES_SEMANALES[[#ALL],[MARTES]])</f>
        <v>0</v>
      </c>
      <c r="O67" s="6">
        <f>SUMIFS(Eventos!$G:$G,Eventos!$F:$F,$L67,Eventos!$D:$D,$C$2,Eventos!$B:$B,PANES_SEMANALES[[#ALL],[MIÉRCOLES]])</f>
        <v>0</v>
      </c>
      <c r="P67" s="6">
        <f>SUMIFS(Eventos!$G:$G,Eventos!$F:$F,$L67,Eventos!$D:$D,$C$2,Eventos!$B:$B,PANES_SEMANALES[[#ALL],[JUEVES]])</f>
        <v>0</v>
      </c>
      <c r="Q67" s="6">
        <f>IF(P67&lt;&gt;"",SUMIFS(Eventos!$G:$G,Eventos!$B:$B,Q$2,Eventos!$D:$D,$C$2,Eventos!$F:$F,$L67),"")</f>
        <v>0</v>
      </c>
      <c r="R67" s="6">
        <f>SUMIFS(Eventos!$G:$G,Eventos!$F:$F,$L67,Eventos!$D:$D,$C$2,Eventos!$B:$B,PANES_SEMANALES[[#ALL],[SÁBADO]])</f>
        <v>0</v>
      </c>
      <c r="S67" s="7">
        <f>SUMIFS(Eventos!$G:$G,Eventos!$F:$F,$L67,Eventos!$D:$D,$C$2,Eventos!$B:$B,PANES_SEMANALES[[#ALL],[DOMINGO]])</f>
        <v>0</v>
      </c>
      <c r="T67" s="8">
        <f t="shared" si="1"/>
        <v>0</v>
      </c>
    </row>
    <row r="68" ht="22.5" customHeight="1">
      <c r="L68" s="4"/>
      <c r="M68" s="5">
        <f>SUMIFS(Eventos!$G:$G,Eventos!$F:$F,$L68,Eventos!$D:$D,$C$2,Eventos!$B:$B,PANES_SEMANALES[[#ALL],[LUNES]])</f>
        <v>0</v>
      </c>
      <c r="N68" s="6">
        <f>SUMIFS(Eventos!$G:$G,Eventos!$F:$F,$L68,Eventos!$D:$D,$C$2,Eventos!$B:$B,PANES_SEMANALES[[#ALL],[MARTES]])</f>
        <v>0</v>
      </c>
      <c r="O68" s="6">
        <f>SUMIFS(Eventos!$G:$G,Eventos!$F:$F,$L68,Eventos!$D:$D,$C$2,Eventos!$B:$B,PANES_SEMANALES[[#ALL],[MIÉRCOLES]])</f>
        <v>0</v>
      </c>
      <c r="P68" s="6">
        <f>SUMIFS(Eventos!$G:$G,Eventos!$F:$F,$L68,Eventos!$D:$D,$C$2,Eventos!$B:$B,PANES_SEMANALES[[#ALL],[JUEVES]])</f>
        <v>0</v>
      </c>
      <c r="Q68" s="6">
        <f>IF(P68&lt;&gt;"",SUMIFS(Eventos!$G:$G,Eventos!$B:$B,Q$2,Eventos!$D:$D,$C$2,Eventos!$F:$F,$L68),"")</f>
        <v>0</v>
      </c>
      <c r="R68" s="6">
        <f>SUMIFS(Eventos!$G:$G,Eventos!$F:$F,$L68,Eventos!$D:$D,$C$2,Eventos!$B:$B,PANES_SEMANALES[[#ALL],[SÁBADO]])</f>
        <v>0</v>
      </c>
      <c r="S68" s="7">
        <f>SUMIFS(Eventos!$G:$G,Eventos!$F:$F,$L68,Eventos!$D:$D,$C$2,Eventos!$B:$B,PANES_SEMANALES[[#ALL],[DOMINGO]])</f>
        <v>0</v>
      </c>
      <c r="T68" s="8">
        <f t="shared" si="1"/>
        <v>0</v>
      </c>
    </row>
    <row r="69" ht="22.5" customHeight="1">
      <c r="L69" s="4"/>
      <c r="M69" s="5">
        <f>SUMIFS(Eventos!$G:$G,Eventos!$F:$F,$L69,Eventos!$D:$D,$C$2,Eventos!$B:$B,PANES_SEMANALES[[#ALL],[LUNES]])</f>
        <v>0</v>
      </c>
      <c r="N69" s="6">
        <f>SUMIFS(Eventos!$G:$G,Eventos!$F:$F,$L69,Eventos!$D:$D,$C$2,Eventos!$B:$B,PANES_SEMANALES[[#ALL],[MARTES]])</f>
        <v>0</v>
      </c>
      <c r="O69" s="6">
        <f>SUMIFS(Eventos!$G:$G,Eventos!$F:$F,$L69,Eventos!$D:$D,$C$2,Eventos!$B:$B,PANES_SEMANALES[[#ALL],[MIÉRCOLES]])</f>
        <v>0</v>
      </c>
      <c r="P69" s="6">
        <f>SUMIFS(Eventos!$G:$G,Eventos!$F:$F,$L69,Eventos!$D:$D,$C$2,Eventos!$B:$B,PANES_SEMANALES[[#ALL],[JUEVES]])</f>
        <v>0</v>
      </c>
      <c r="Q69" s="6">
        <f>IF(P69&lt;&gt;"",SUMIFS(Eventos!$G:$G,Eventos!$B:$B,Q$2,Eventos!$D:$D,$C$2,Eventos!$F:$F,$L69),"")</f>
        <v>0</v>
      </c>
      <c r="R69" s="6">
        <f>SUMIFS(Eventos!$G:$G,Eventos!$F:$F,$L69,Eventos!$D:$D,$C$2,Eventos!$B:$B,PANES_SEMANALES[[#ALL],[SÁBADO]])</f>
        <v>0</v>
      </c>
      <c r="S69" s="7">
        <f>SUMIFS(Eventos!$G:$G,Eventos!$F:$F,$L69,Eventos!$D:$D,$C$2,Eventos!$B:$B,PANES_SEMANALES[[#ALL],[DOMINGO]])</f>
        <v>0</v>
      </c>
      <c r="T69" s="8">
        <f t="shared" si="1"/>
        <v>0</v>
      </c>
    </row>
    <row r="70" ht="22.5" customHeight="1">
      <c r="B70" s="37" t="s">
        <v>16</v>
      </c>
      <c r="C70" s="25" t="s">
        <v>2</v>
      </c>
      <c r="D70" s="25" t="s">
        <v>3</v>
      </c>
      <c r="E70" s="25" t="s">
        <v>4</v>
      </c>
      <c r="F70" s="25" t="s">
        <v>5</v>
      </c>
      <c r="G70" s="25" t="s">
        <v>6</v>
      </c>
      <c r="H70" s="25" t="s">
        <v>7</v>
      </c>
      <c r="I70" s="25" t="s">
        <v>8</v>
      </c>
      <c r="J70" s="26" t="s">
        <v>9</v>
      </c>
      <c r="L70" s="4"/>
      <c r="M70" s="5">
        <f>SUMIFS(Eventos!$G:$G,Eventos!$F:$F,$L70,Eventos!$D:$D,$C$2,Eventos!$B:$B,PANES_SEMANALES[[#ALL],[LUNES]])</f>
        <v>0</v>
      </c>
      <c r="N70" s="6">
        <f>SUMIFS(Eventos!$G:$G,Eventos!$F:$F,$L70,Eventos!$D:$D,$C$2,Eventos!$B:$B,PANES_SEMANALES[[#ALL],[MARTES]])</f>
        <v>0</v>
      </c>
      <c r="O70" s="6">
        <f>SUMIFS(Eventos!$G:$G,Eventos!$F:$F,$L70,Eventos!$D:$D,$C$2,Eventos!$B:$B,PANES_SEMANALES[[#ALL],[MIÉRCOLES]])</f>
        <v>0</v>
      </c>
      <c r="P70" s="6">
        <f>SUMIFS(Eventos!$G:$G,Eventos!$F:$F,$L70,Eventos!$D:$D,$C$2,Eventos!$B:$B,PANES_SEMANALES[[#ALL],[JUEVES]])</f>
        <v>0</v>
      </c>
      <c r="Q70" s="6">
        <f>IF(P70&lt;&gt;"",SUMIFS(Eventos!$G:$G,Eventos!$B:$B,Q$2,Eventos!$D:$D,$C$2,Eventos!$F:$F,$L70),"")</f>
        <v>0</v>
      </c>
      <c r="R70" s="6">
        <f>SUMIFS(Eventos!$G:$G,Eventos!$F:$F,$L70,Eventos!$D:$D,$C$2,Eventos!$B:$B,PANES_SEMANALES[[#ALL],[SÁBADO]])</f>
        <v>0</v>
      </c>
      <c r="S70" s="7">
        <f>SUMIFS(Eventos!$G:$G,Eventos!$F:$F,$L70,Eventos!$D:$D,$C$2,Eventos!$B:$B,PANES_SEMANALES[[#ALL],[DOMINGO]])</f>
        <v>0</v>
      </c>
      <c r="T70" s="8">
        <f t="shared" si="1"/>
        <v>0</v>
      </c>
    </row>
    <row r="71" ht="22.5" customHeight="1">
      <c r="B71" s="4" t="s">
        <v>19</v>
      </c>
      <c r="C71" s="5">
        <f>SUMIFS(Eventos!$R:$R,Eventos!$Q:$Q,$B71,Eventos!$B:$B,C$70,Eventos!$D:$D,$C$2)</f>
        <v>0</v>
      </c>
      <c r="D71" s="6">
        <f>SUMIFS(Eventos!$R:$R,Eventos!$Q:$Q,$B71,Eventos!$B:$B,D$70,Eventos!$D:$D,$C$2)</f>
        <v>0</v>
      </c>
      <c r="E71" s="6">
        <f>SUMIFS(Eventos!$R:$R,Eventos!$Q:$Q,$B71,Eventos!$B:$B,E$70,Eventos!$D:$D,$C$2)</f>
        <v>0</v>
      </c>
      <c r="F71" s="6">
        <f>SUMIFS(Eventos!$R:$R,Eventos!$Q:$Q,$B71,Eventos!$B:$B,F$70,Eventos!$D:$D,$C$2)</f>
        <v>0</v>
      </c>
      <c r="G71" s="6">
        <f>SUMIFS(Eventos!$R:$R,Eventos!$Q:$Q,$B71,Eventos!$B:$B,G$70,Eventos!$D:$D,$C$2)</f>
        <v>0</v>
      </c>
      <c r="H71" s="6">
        <f>SUMIFS(Eventos!$R:$R,Eventos!$Q:$Q,$B71,Eventos!$B:$B,H$70,Eventos!$D:$D,$C$2)</f>
        <v>0</v>
      </c>
      <c r="I71" s="6">
        <f>SUMIFS(Eventos!$R:$R,Eventos!$Q:$Q,$B71,Eventos!$B:$B,I$70,Eventos!$D:$D,$C$2)</f>
        <v>0</v>
      </c>
      <c r="J71" s="54">
        <f t="shared" ref="J71:J101" si="8">SUM(C71:I71)</f>
        <v>0</v>
      </c>
      <c r="L71" s="4"/>
      <c r="M71" s="5">
        <f>SUMIFS(Eventos!$G:$G,Eventos!$F:$F,$L71,Eventos!$D:$D,$C$2,Eventos!$B:$B,PANES_SEMANALES[[#ALL],[LUNES]])</f>
        <v>0</v>
      </c>
      <c r="N71" s="6">
        <f>SUMIFS(Eventos!$G:$G,Eventos!$F:$F,$L71,Eventos!$D:$D,$C$2,Eventos!$B:$B,PANES_SEMANALES[[#ALL],[MARTES]])</f>
        <v>0</v>
      </c>
      <c r="O71" s="6">
        <f>SUMIFS(Eventos!$G:$G,Eventos!$F:$F,$L71,Eventos!$D:$D,$C$2,Eventos!$B:$B,PANES_SEMANALES[[#ALL],[MIÉRCOLES]])</f>
        <v>0</v>
      </c>
      <c r="P71" s="6">
        <f>SUMIFS(Eventos!$G:$G,Eventos!$F:$F,$L71,Eventos!$D:$D,$C$2,Eventos!$B:$B,PANES_SEMANALES[[#ALL],[JUEVES]])</f>
        <v>0</v>
      </c>
      <c r="Q71" s="6">
        <f>IF(P71&lt;&gt;"",SUMIFS(Eventos!$G:$G,Eventos!$B:$B,Q$2,Eventos!$D:$D,$C$2,Eventos!$F:$F,$L71),"")</f>
        <v>0</v>
      </c>
      <c r="R71" s="6">
        <f>SUMIFS(Eventos!$G:$G,Eventos!$F:$F,$L71,Eventos!$D:$D,$C$2,Eventos!$B:$B,PANES_SEMANALES[[#ALL],[SÁBADO]])</f>
        <v>0</v>
      </c>
      <c r="S71" s="7">
        <f>SUMIFS(Eventos!$G:$G,Eventos!$F:$F,$L71,Eventos!$D:$D,$C$2,Eventos!$B:$B,PANES_SEMANALES[[#ALL],[DOMINGO]])</f>
        <v>0</v>
      </c>
      <c r="T71" s="8">
        <f t="shared" si="1"/>
        <v>0</v>
      </c>
    </row>
    <row r="72" ht="22.5" customHeight="1">
      <c r="B72" s="4" t="s">
        <v>20</v>
      </c>
      <c r="C72" s="5">
        <f>SUMIFS(Eventos!$T:$T,Eventos!$S:$S,$B72,Eventos!$B:$B,C$70,Eventos!$D:$D,$C$2)</f>
        <v>0</v>
      </c>
      <c r="D72" s="6">
        <f>SUMIFS(Eventos!$T:$T,Eventos!$S:$S,$B72,Eventos!$B:$B,D$70,Eventos!$D:$D,$C$2)</f>
        <v>0</v>
      </c>
      <c r="E72" s="6">
        <f>SUMIFS(Eventos!$T:$T,Eventos!$S:$S,$B72,Eventos!$B:$B,E$70,Eventos!$D:$D,$C$2)</f>
        <v>0</v>
      </c>
      <c r="F72" s="6">
        <f>SUMIFS(Eventos!$T:$T,Eventos!$S:$S,$B72,Eventos!$B:$B,F$70,Eventos!$D:$D,$C$2)</f>
        <v>0</v>
      </c>
      <c r="G72" s="6">
        <f>SUMIFS(Eventos!$T:$T,Eventos!$S:$S,$B72,Eventos!$B:$B,G$70,Eventos!$D:$D,$C$2)</f>
        <v>0</v>
      </c>
      <c r="H72" s="6">
        <f>SUMIFS(Eventos!$T:$T,Eventos!$S:$S,$B72,Eventos!$B:$B,H$70,Eventos!$D:$D,$C$2)</f>
        <v>0</v>
      </c>
      <c r="I72" s="6">
        <f>SUMIFS(Eventos!$T:$T,Eventos!$S:$S,$B72,Eventos!$B:$B,I$70,Eventos!$D:$D,$C$2)</f>
        <v>0</v>
      </c>
      <c r="J72" s="54">
        <f t="shared" si="8"/>
        <v>0</v>
      </c>
      <c r="L72" s="4"/>
      <c r="M72" s="5">
        <f>SUMIFS(Eventos!$G:$G,Eventos!$F:$F,$L72,Eventos!$D:$D,$C$2,Eventos!$B:$B,PANES_SEMANALES[[#ALL],[LUNES]])</f>
        <v>0</v>
      </c>
      <c r="N72" s="6">
        <f>SUMIFS(Eventos!$G:$G,Eventos!$F:$F,$L72,Eventos!$D:$D,$C$2,Eventos!$B:$B,PANES_SEMANALES[[#ALL],[MARTES]])</f>
        <v>0</v>
      </c>
      <c r="O72" s="6">
        <f>SUMIFS(Eventos!$G:$G,Eventos!$F:$F,$L72,Eventos!$D:$D,$C$2,Eventos!$B:$B,PANES_SEMANALES[[#ALL],[MIÉRCOLES]])</f>
        <v>0</v>
      </c>
      <c r="P72" s="6">
        <f>SUMIFS(Eventos!$G:$G,Eventos!$F:$F,$L72,Eventos!$D:$D,$C$2,Eventos!$B:$B,PANES_SEMANALES[[#ALL],[JUEVES]])</f>
        <v>0</v>
      </c>
      <c r="Q72" s="6">
        <f>IF(P72&lt;&gt;"",SUMIFS(Eventos!$G:$G,Eventos!$B:$B,Q$2,Eventos!$D:$D,$C$2,Eventos!$F:$F,$L72),"")</f>
        <v>0</v>
      </c>
      <c r="R72" s="6">
        <f>SUMIFS(Eventos!$G:$G,Eventos!$F:$F,$L72,Eventos!$D:$D,$C$2,Eventos!$B:$B,PANES_SEMANALES[[#ALL],[SÁBADO]])</f>
        <v>0</v>
      </c>
      <c r="S72" s="7">
        <f>SUMIFS(Eventos!$G:$G,Eventos!$F:$F,$L72,Eventos!$D:$D,$C$2,Eventos!$B:$B,PANES_SEMANALES[[#ALL],[DOMINGO]])</f>
        <v>0</v>
      </c>
      <c r="T72" s="8">
        <f t="shared" si="1"/>
        <v>0</v>
      </c>
    </row>
    <row r="73" ht="22.5" customHeight="1">
      <c r="B73" s="4" t="s">
        <v>21</v>
      </c>
      <c r="C73" s="5">
        <f>SUMIFS(Eventos!$V:$V,Eventos!$U:$U,$B73,Eventos!$B:$B,C$70,Eventos!$D:$D,$C$2)</f>
        <v>0</v>
      </c>
      <c r="D73" s="6">
        <f>SUMIFS(Eventos!$V:$V,Eventos!$U:$U,$B73,Eventos!$B:$B,D$70,Eventos!$D:$D,$C$2)</f>
        <v>0</v>
      </c>
      <c r="E73" s="6">
        <f>SUMIFS(Eventos!$V:$V,Eventos!$U:$U,$B73,Eventos!$B:$B,E$70,Eventos!$D:$D,$C$2)</f>
        <v>0</v>
      </c>
      <c r="F73" s="6">
        <f>SUMIFS(Eventos!$V:$V,Eventos!$U:$U,$B73,Eventos!$B:$B,F$70,Eventos!$D:$D,$C$2)</f>
        <v>0</v>
      </c>
      <c r="G73" s="6">
        <f>SUMIFS(Eventos!$V:$V,Eventos!$U:$U,$B73,Eventos!$B:$B,G$70,Eventos!$D:$D,$C$2)</f>
        <v>0</v>
      </c>
      <c r="H73" s="6">
        <f>SUMIFS(Eventos!$V:$V,Eventos!$U:$U,$B73,Eventos!$B:$B,H$70,Eventos!$D:$D,$C$2)</f>
        <v>0</v>
      </c>
      <c r="I73" s="6">
        <f>SUMIFS(Eventos!$V:$V,Eventos!$U:$U,$B73,Eventos!$B:$B,I$70,Eventos!$D:$D,$C$2)</f>
        <v>0</v>
      </c>
      <c r="J73" s="54">
        <f t="shared" si="8"/>
        <v>0</v>
      </c>
      <c r="L73" s="4"/>
      <c r="M73" s="5">
        <f>SUMIFS(Eventos!$G:$G,Eventos!$F:$F,$L73,Eventos!$D:$D,$C$2,Eventos!$B:$B,PANES_SEMANALES[[#ALL],[LUNES]])</f>
        <v>0</v>
      </c>
      <c r="N73" s="6">
        <f>SUMIFS(Eventos!$G:$G,Eventos!$F:$F,$L73,Eventos!$D:$D,$C$2,Eventos!$B:$B,PANES_SEMANALES[[#ALL],[MARTES]])</f>
        <v>0</v>
      </c>
      <c r="O73" s="6">
        <f>SUMIFS(Eventos!$G:$G,Eventos!$F:$F,$L73,Eventos!$D:$D,$C$2,Eventos!$B:$B,PANES_SEMANALES[[#ALL],[MIÉRCOLES]])</f>
        <v>0</v>
      </c>
      <c r="P73" s="6">
        <f>SUMIFS(Eventos!$G:$G,Eventos!$F:$F,$L73,Eventos!$D:$D,$C$2,Eventos!$B:$B,PANES_SEMANALES[[#ALL],[JUEVES]])</f>
        <v>0</v>
      </c>
      <c r="Q73" s="6">
        <f>IF(P73&lt;&gt;"",SUMIFS(Eventos!$G:$G,Eventos!$B:$B,Q$2,Eventos!$D:$D,$C$2,Eventos!$F:$F,$L73),"")</f>
        <v>0</v>
      </c>
      <c r="R73" s="6">
        <f>SUMIFS(Eventos!$G:$G,Eventos!$F:$F,$L73,Eventos!$D:$D,$C$2,Eventos!$B:$B,PANES_SEMANALES[[#ALL],[SÁBADO]])</f>
        <v>0</v>
      </c>
      <c r="S73" s="7">
        <f>SUMIFS(Eventos!$G:$G,Eventos!$F:$F,$L73,Eventos!$D:$D,$C$2,Eventos!$B:$B,PANES_SEMANALES[[#ALL],[DOMINGO]])</f>
        <v>0</v>
      </c>
      <c r="T73" s="8">
        <f t="shared" si="1"/>
        <v>0</v>
      </c>
    </row>
    <row r="74" ht="22.5" customHeight="1">
      <c r="B74" s="4" t="s">
        <v>22</v>
      </c>
      <c r="C74" s="5">
        <f>SUMIFS(Eventos!$X:$X,Eventos!$W:$W,$B74,Eventos!$B:$B,C$70,Eventos!$D:$D,$C$2)</f>
        <v>0</v>
      </c>
      <c r="D74" s="6">
        <f>SUMIFS(Eventos!$X:$X,Eventos!$W:$W,$B74,Eventos!$B:$B,D$70,Eventos!$D:$D,$C$2)</f>
        <v>0</v>
      </c>
      <c r="E74" s="6">
        <f>SUMIFS(Eventos!$X:$X,Eventos!$W:$W,$B74,Eventos!$B:$B,E$70,Eventos!$D:$D,$C$2)</f>
        <v>0</v>
      </c>
      <c r="F74" s="6">
        <f>SUMIFS(Eventos!$X:$X,Eventos!$W:$W,$B74,Eventos!$B:$B,F$70,Eventos!$D:$D,$C$2)</f>
        <v>0</v>
      </c>
      <c r="G74" s="6">
        <f>SUMIFS(Eventos!$X:$X,Eventos!$W:$W,$B74,Eventos!$B:$B,G$70,Eventos!$D:$D,$C$2)</f>
        <v>0</v>
      </c>
      <c r="H74" s="6">
        <f>SUMIFS(Eventos!$X:$X,Eventos!$W:$W,$B74,Eventos!$B:$B,H$70,Eventos!$D:$D,$C$2)</f>
        <v>0</v>
      </c>
      <c r="I74" s="6">
        <f>SUMIFS(Eventos!$X:$X,Eventos!$W:$W,$B74,Eventos!$B:$B,I$70,Eventos!$D:$D,$C$2)</f>
        <v>0</v>
      </c>
      <c r="J74" s="54">
        <f t="shared" si="8"/>
        <v>0</v>
      </c>
      <c r="L74" s="4"/>
      <c r="M74" s="5">
        <f>SUMIFS(Eventos!$G:$G,Eventos!$F:$F,$L74,Eventos!$D:$D,$C$2,Eventos!$B:$B,PANES_SEMANALES[[#ALL],[LUNES]])</f>
        <v>0</v>
      </c>
      <c r="N74" s="6">
        <f>SUMIFS(Eventos!$G:$G,Eventos!$F:$F,$L74,Eventos!$D:$D,$C$2,Eventos!$B:$B,PANES_SEMANALES[[#ALL],[MARTES]])</f>
        <v>0</v>
      </c>
      <c r="O74" s="6">
        <f>SUMIFS(Eventos!$G:$G,Eventos!$F:$F,$L74,Eventos!$D:$D,$C$2,Eventos!$B:$B,PANES_SEMANALES[[#ALL],[MIÉRCOLES]])</f>
        <v>0</v>
      </c>
      <c r="P74" s="6">
        <f>SUMIFS(Eventos!$G:$G,Eventos!$F:$F,$L74,Eventos!$D:$D,$C$2,Eventos!$B:$B,PANES_SEMANALES[[#ALL],[JUEVES]])</f>
        <v>0</v>
      </c>
      <c r="Q74" s="6">
        <f>IF(P74&lt;&gt;"",SUMIFS(Eventos!$G:$G,Eventos!$B:$B,Q$2,Eventos!$D:$D,$C$2,Eventos!$F:$F,$L74),"")</f>
        <v>0</v>
      </c>
      <c r="R74" s="6">
        <f>SUMIFS(Eventos!$G:$G,Eventos!$F:$F,$L74,Eventos!$D:$D,$C$2,Eventos!$B:$B,PANES_SEMANALES[[#ALL],[SÁBADO]])</f>
        <v>0</v>
      </c>
      <c r="S74" s="7">
        <f>SUMIFS(Eventos!$G:$G,Eventos!$F:$F,$L74,Eventos!$D:$D,$C$2,Eventos!$B:$B,PANES_SEMANALES[[#ALL],[DOMINGO]])</f>
        <v>0</v>
      </c>
      <c r="T74" s="8">
        <f t="shared" si="1"/>
        <v>0</v>
      </c>
    </row>
    <row r="75" ht="22.5" customHeight="1">
      <c r="B75" s="4" t="s">
        <v>23</v>
      </c>
      <c r="C75" s="5">
        <f>SUMIFS(Eventos!$Z:$Z,Eventos!$Y:$Y,$B75,Eventos!$B:$B,C$70,Eventos!$D:$D,$C$2)</f>
        <v>0</v>
      </c>
      <c r="D75" s="6">
        <f>SUMIFS(Eventos!$Z:$Z,Eventos!$Y:$Y,$B75,Eventos!$B:$B,D$70,Eventos!$D:$D,$C$2)</f>
        <v>0</v>
      </c>
      <c r="E75" s="6">
        <f>SUMIFS(Eventos!$Z:$Z,Eventos!$Y:$Y,$B75,Eventos!$B:$B,E$70,Eventos!$D:$D,$C$2)</f>
        <v>0</v>
      </c>
      <c r="F75" s="6">
        <f>SUMIFS(Eventos!$Z:$Z,Eventos!$Y:$Y,$B75,Eventos!$B:$B,F$70,Eventos!$D:$D,$C$2)</f>
        <v>0</v>
      </c>
      <c r="G75" s="6">
        <f>SUMIFS(Eventos!$Z:$Z,Eventos!$Y:$Y,$B75,Eventos!$B:$B,G$70,Eventos!$D:$D,$C$2)</f>
        <v>0</v>
      </c>
      <c r="H75" s="6">
        <f>SUMIFS(Eventos!$Z:$Z,Eventos!$Y:$Y,$B75,Eventos!$B:$B,H$70,Eventos!$D:$D,$C$2)</f>
        <v>0</v>
      </c>
      <c r="I75" s="6">
        <f>SUMIFS(Eventos!$Z:$Z,Eventos!$Y:$Y,$B75,Eventos!$B:$B,I$70,Eventos!$D:$D,$C$2)</f>
        <v>0</v>
      </c>
      <c r="J75" s="54">
        <f t="shared" si="8"/>
        <v>0</v>
      </c>
      <c r="L75" s="4"/>
      <c r="M75" s="5">
        <f>SUMIFS(Eventos!$G:$G,Eventos!$F:$F,$L75,Eventos!$D:$D,$C$2,Eventos!$B:$B,PANES_SEMANALES[[#ALL],[LUNES]])</f>
        <v>0</v>
      </c>
      <c r="N75" s="6">
        <f>SUMIFS(Eventos!$G:$G,Eventos!$F:$F,$L75,Eventos!$D:$D,$C$2,Eventos!$B:$B,PANES_SEMANALES[[#ALL],[MARTES]])</f>
        <v>0</v>
      </c>
      <c r="O75" s="6">
        <f>SUMIFS(Eventos!$G:$G,Eventos!$F:$F,$L75,Eventos!$D:$D,$C$2,Eventos!$B:$B,PANES_SEMANALES[[#ALL],[MIÉRCOLES]])</f>
        <v>0</v>
      </c>
      <c r="P75" s="6">
        <f>SUMIFS(Eventos!$G:$G,Eventos!$F:$F,$L75,Eventos!$D:$D,$C$2,Eventos!$B:$B,PANES_SEMANALES[[#ALL],[JUEVES]])</f>
        <v>0</v>
      </c>
      <c r="Q75" s="6">
        <f>IF(P75&lt;&gt;"",SUMIFS(Eventos!$G:$G,Eventos!$B:$B,Q$2,Eventos!$D:$D,$C$2,Eventos!$F:$F,$L75),"")</f>
        <v>0</v>
      </c>
      <c r="R75" s="6">
        <f>SUMIFS(Eventos!$G:$G,Eventos!$F:$F,$L75,Eventos!$D:$D,$C$2,Eventos!$B:$B,PANES_SEMANALES[[#ALL],[SÁBADO]])</f>
        <v>0</v>
      </c>
      <c r="S75" s="7">
        <f>SUMIFS(Eventos!$G:$G,Eventos!$F:$F,$L75,Eventos!$D:$D,$C$2,Eventos!$B:$B,PANES_SEMANALES[[#ALL],[DOMINGO]])</f>
        <v>0</v>
      </c>
      <c r="T75" s="8">
        <f t="shared" si="1"/>
        <v>0</v>
      </c>
    </row>
    <row r="76" ht="22.5" customHeight="1">
      <c r="B76" s="4" t="s">
        <v>24</v>
      </c>
      <c r="C76" s="5">
        <f>SUMIFS(Eventos!$AB:$AB,Eventos!$AA:$AA,$B76,Eventos!$B:$B,C$70,Eventos!$D:$D,$C$2)</f>
        <v>0</v>
      </c>
      <c r="D76" s="6">
        <f>SUMIFS(Eventos!$AB:$AB,Eventos!$AA:$AA,$B76,Eventos!$B:$B,D$70,Eventos!$D:$D,$C$2)</f>
        <v>0</v>
      </c>
      <c r="E76" s="6">
        <f>SUMIFS(Eventos!$AB:$AB,Eventos!$AA:$AA,$B76,Eventos!$B:$B,E$70,Eventos!$D:$D,$C$2)</f>
        <v>0</v>
      </c>
      <c r="F76" s="6">
        <f>SUMIFS(Eventos!$AB:$AB,Eventos!$AA:$AA,$B76,Eventos!$B:$B,F$70,Eventos!$D:$D,$C$2)</f>
        <v>0</v>
      </c>
      <c r="G76" s="6">
        <f>SUMIFS(Eventos!$AB:$AB,Eventos!$AA:$AA,$B76,Eventos!$B:$B,G$70,Eventos!$D:$D,$C$2)</f>
        <v>0</v>
      </c>
      <c r="H76" s="6">
        <f>SUMIFS(Eventos!$AB:$AB,Eventos!$AA:$AA,$B76,Eventos!$B:$B,H$70,Eventos!$D:$D,$C$2)</f>
        <v>0</v>
      </c>
      <c r="I76" s="6">
        <f>SUMIFS(Eventos!$AB:$AB,Eventos!$AA:$AA,$B76,Eventos!$B:$B,I$70,Eventos!$D:$D,$C$2)</f>
        <v>0</v>
      </c>
      <c r="J76" s="54">
        <f t="shared" si="8"/>
        <v>0</v>
      </c>
      <c r="L76" s="4"/>
      <c r="M76" s="5">
        <f>SUMIFS(Eventos!$G:$G,Eventos!$F:$F,$L76,Eventos!$D:$D,$C$2,Eventos!$B:$B,PANES_SEMANALES[[#ALL],[LUNES]])</f>
        <v>0</v>
      </c>
      <c r="N76" s="6">
        <f>SUMIFS(Eventos!$G:$G,Eventos!$F:$F,$L76,Eventos!$D:$D,$C$2,Eventos!$B:$B,PANES_SEMANALES[[#ALL],[MARTES]])</f>
        <v>0</v>
      </c>
      <c r="O76" s="6">
        <f>SUMIFS(Eventos!$G:$G,Eventos!$F:$F,$L76,Eventos!$D:$D,$C$2,Eventos!$B:$B,PANES_SEMANALES[[#ALL],[MIÉRCOLES]])</f>
        <v>0</v>
      </c>
      <c r="P76" s="6">
        <f>SUMIFS(Eventos!$G:$G,Eventos!$F:$F,$L76,Eventos!$D:$D,$C$2,Eventos!$B:$B,PANES_SEMANALES[[#ALL],[JUEVES]])</f>
        <v>0</v>
      </c>
      <c r="Q76" s="6">
        <f>IF(P76&lt;&gt;"",SUMIFS(Eventos!$G:$G,Eventos!$B:$B,Q$2,Eventos!$D:$D,$C$2,Eventos!$F:$F,$L76),"")</f>
        <v>0</v>
      </c>
      <c r="R76" s="6">
        <f>SUMIFS(Eventos!$G:$G,Eventos!$F:$F,$L76,Eventos!$D:$D,$C$2,Eventos!$B:$B,PANES_SEMANALES[[#ALL],[SÁBADO]])</f>
        <v>0</v>
      </c>
      <c r="S76" s="7">
        <f>SUMIFS(Eventos!$G:$G,Eventos!$F:$F,$L76,Eventos!$D:$D,$C$2,Eventos!$B:$B,PANES_SEMANALES[[#ALL],[DOMINGO]])</f>
        <v>0</v>
      </c>
      <c r="T76" s="8">
        <f t="shared" si="1"/>
        <v>0</v>
      </c>
    </row>
    <row r="77" ht="22.5" customHeight="1">
      <c r="B77" s="4" t="s">
        <v>25</v>
      </c>
      <c r="C77" s="5">
        <f>SUMIFS(Eventos!$AD:$AD,Eventos!$AC:$AC,$B77,Eventos!$B:$B,C$70,Eventos!$D:$D,$C$2)</f>
        <v>0</v>
      </c>
      <c r="D77" s="6">
        <f>SUMIFS(Eventos!$AD:$AD,Eventos!$AC:$AC,$B77,Eventos!$B:$B,D$70,Eventos!$D:$D,$C$2)</f>
        <v>0</v>
      </c>
      <c r="E77" s="6">
        <f>SUMIFS(Eventos!$AD:$AD,Eventos!$AC:$AC,$B77,Eventos!$B:$B,E$70,Eventos!$D:$D,$C$2)</f>
        <v>0</v>
      </c>
      <c r="F77" s="6">
        <f>SUMIFS(Eventos!$AD:$AD,Eventos!$AC:$AC,$B77,Eventos!$B:$B,F$70,Eventos!$D:$D,$C$2)</f>
        <v>0</v>
      </c>
      <c r="G77" s="6">
        <f>SUMIFS(Eventos!$AD:$AD,Eventos!$AC:$AC,$B77,Eventos!$B:$B,G$70,Eventos!$D:$D,$C$2)</f>
        <v>0</v>
      </c>
      <c r="H77" s="6">
        <f>SUMIFS(Eventos!$AD:$AD,Eventos!$AC:$AC,$B77,Eventos!$B:$B,H$70,Eventos!$D:$D,$C$2)</f>
        <v>0</v>
      </c>
      <c r="I77" s="6">
        <f>SUMIFS(Eventos!$AD:$AD,Eventos!$AC:$AC,$B77,Eventos!$B:$B,I$70,Eventos!$D:$D,$C$2)</f>
        <v>0</v>
      </c>
      <c r="J77" s="54">
        <f t="shared" si="8"/>
        <v>0</v>
      </c>
      <c r="L77" s="4"/>
      <c r="M77" s="5">
        <f>SUMIFS(Eventos!$G:$G,Eventos!$F:$F,$L77,Eventos!$D:$D,$C$2,Eventos!$B:$B,PANES_SEMANALES[[#ALL],[LUNES]])</f>
        <v>0</v>
      </c>
      <c r="N77" s="6">
        <f>SUMIFS(Eventos!$G:$G,Eventos!$F:$F,$L77,Eventos!$D:$D,$C$2,Eventos!$B:$B,PANES_SEMANALES[[#ALL],[MARTES]])</f>
        <v>0</v>
      </c>
      <c r="O77" s="6">
        <f>SUMIFS(Eventos!$G:$G,Eventos!$F:$F,$L77,Eventos!$D:$D,$C$2,Eventos!$B:$B,PANES_SEMANALES[[#ALL],[MIÉRCOLES]])</f>
        <v>0</v>
      </c>
      <c r="P77" s="6">
        <f>SUMIFS(Eventos!$G:$G,Eventos!$F:$F,$L77,Eventos!$D:$D,$C$2,Eventos!$B:$B,PANES_SEMANALES[[#ALL],[JUEVES]])</f>
        <v>0</v>
      </c>
      <c r="Q77" s="6">
        <f>IF(P77&lt;&gt;"",SUMIFS(Eventos!$G:$G,Eventos!$B:$B,Q$2,Eventos!$D:$D,$C$2,Eventos!$F:$F,$L77),"")</f>
        <v>0</v>
      </c>
      <c r="R77" s="6">
        <f>SUMIFS(Eventos!$G:$G,Eventos!$F:$F,$L77,Eventos!$D:$D,$C$2,Eventos!$B:$B,PANES_SEMANALES[[#ALL],[SÁBADO]])</f>
        <v>0</v>
      </c>
      <c r="S77" s="7">
        <f>SUMIFS(Eventos!$G:$G,Eventos!$F:$F,$L77,Eventos!$D:$D,$C$2,Eventos!$B:$B,PANES_SEMANALES[[#ALL],[DOMINGO]])</f>
        <v>0</v>
      </c>
      <c r="T77" s="8">
        <f t="shared" si="1"/>
        <v>0</v>
      </c>
    </row>
    <row r="78" ht="22.5" customHeight="1">
      <c r="B78" s="4" t="s">
        <v>26</v>
      </c>
      <c r="C78" s="5">
        <f>SUMIFS(Eventos!$AF:$AF,Eventos!$AE:$AE,$B78,Eventos!$B:$B,C$70,Eventos!$D:$D,$C$2)</f>
        <v>0</v>
      </c>
      <c r="D78" s="6">
        <f>SUMIFS(Eventos!$AF:$AF,Eventos!$AE:$AE,$B78,Eventos!$B:$B,D$70,Eventos!$D:$D,$C$2)</f>
        <v>0</v>
      </c>
      <c r="E78" s="6">
        <f>SUMIFS(Eventos!$AF:$AF,Eventos!$AE:$AE,$B78,Eventos!$B:$B,E$70,Eventos!$D:$D,$C$2)</f>
        <v>0</v>
      </c>
      <c r="F78" s="6">
        <f>SUMIFS(Eventos!$AF:$AF,Eventos!$AE:$AE,$B78,Eventos!$B:$B,F$70,Eventos!$D:$D,$C$2)</f>
        <v>0</v>
      </c>
      <c r="G78" s="6">
        <f>SUMIFS(Eventos!$AF:$AF,Eventos!$AE:$AE,$B78,Eventos!$B:$B,G$70,Eventos!$D:$D,$C$2)</f>
        <v>0</v>
      </c>
      <c r="H78" s="6">
        <f>SUMIFS(Eventos!$AF:$AF,Eventos!$AE:$AE,$B78,Eventos!$B:$B,H$70,Eventos!$D:$D,$C$2)</f>
        <v>0</v>
      </c>
      <c r="I78" s="6">
        <f>SUMIFS(Eventos!$AF:$AF,Eventos!$AE:$AE,$B78,Eventos!$B:$B,I$70,Eventos!$D:$D,$C$2)</f>
        <v>0</v>
      </c>
      <c r="J78" s="54">
        <f t="shared" si="8"/>
        <v>0</v>
      </c>
      <c r="L78" s="4"/>
      <c r="M78" s="5">
        <f>SUMIFS(Eventos!$G:$G,Eventos!$F:$F,$L78,Eventos!$D:$D,$C$2,Eventos!$B:$B,PANES_SEMANALES[[#ALL],[LUNES]])</f>
        <v>0</v>
      </c>
      <c r="N78" s="6">
        <f>SUMIFS(Eventos!$G:$G,Eventos!$F:$F,$L78,Eventos!$D:$D,$C$2,Eventos!$B:$B,PANES_SEMANALES[[#ALL],[MARTES]])</f>
        <v>0</v>
      </c>
      <c r="O78" s="6">
        <f>SUMIFS(Eventos!$G:$G,Eventos!$F:$F,$L78,Eventos!$D:$D,$C$2,Eventos!$B:$B,PANES_SEMANALES[[#ALL],[MIÉRCOLES]])</f>
        <v>0</v>
      </c>
      <c r="P78" s="6">
        <f>SUMIFS(Eventos!$G:$G,Eventos!$F:$F,$L78,Eventos!$D:$D,$C$2,Eventos!$B:$B,PANES_SEMANALES[[#ALL],[JUEVES]])</f>
        <v>0</v>
      </c>
      <c r="Q78" s="6">
        <f>IF(P78&lt;&gt;"",SUMIFS(Eventos!$G:$G,Eventos!$B:$B,Q$2,Eventos!$D:$D,$C$2,Eventos!$F:$F,$L78),"")</f>
        <v>0</v>
      </c>
      <c r="R78" s="6">
        <f>SUMIFS(Eventos!$G:$G,Eventos!$F:$F,$L78,Eventos!$D:$D,$C$2,Eventos!$B:$B,PANES_SEMANALES[[#ALL],[SÁBADO]])</f>
        <v>0</v>
      </c>
      <c r="S78" s="7">
        <f>SUMIFS(Eventos!$G:$G,Eventos!$F:$F,$L78,Eventos!$D:$D,$C$2,Eventos!$B:$B,PANES_SEMANALES[[#ALL],[DOMINGO]])</f>
        <v>0</v>
      </c>
      <c r="T78" s="8">
        <f t="shared" si="1"/>
        <v>0</v>
      </c>
    </row>
    <row r="79" ht="22.5" customHeight="1">
      <c r="B79" s="4" t="s">
        <v>27</v>
      </c>
      <c r="C79" s="5">
        <f>SUMIFS(Eventos!$AH:$AH,Eventos!$AG:$AG,$B79,Eventos!$B:$B,C$70,Eventos!$D:$D,$C$2)</f>
        <v>0</v>
      </c>
      <c r="D79" s="6">
        <f>SUMIFS(Eventos!$AH:$AH,Eventos!$AG:$AG,$B79,Eventos!$B:$B,D$70,Eventos!$D:$D,$C$2)</f>
        <v>0</v>
      </c>
      <c r="E79" s="6">
        <f>SUMIFS(Eventos!$AH:$AH,Eventos!$AG:$AG,$B79,Eventos!$B:$B,E$70,Eventos!$D:$D,$C$2)</f>
        <v>0</v>
      </c>
      <c r="F79" s="6">
        <f>SUMIFS(Eventos!$AH:$AH,Eventos!$AG:$AG,$B79,Eventos!$B:$B,F$70,Eventos!$D:$D,$C$2)</f>
        <v>0</v>
      </c>
      <c r="G79" s="6">
        <f>SUMIFS(Eventos!$AH:$AH,Eventos!$AG:$AG,$B79,Eventos!$B:$B,G$70,Eventos!$D:$D,$C$2)</f>
        <v>0</v>
      </c>
      <c r="H79" s="6">
        <f>SUMIFS(Eventos!$AH:$AH,Eventos!$AG:$AG,$B79,Eventos!$B:$B,H$70,Eventos!$D:$D,$C$2)</f>
        <v>0</v>
      </c>
      <c r="I79" s="6">
        <f>SUMIFS(Eventos!$AH:$AH,Eventos!$AG:$AG,$B79,Eventos!$B:$B,I$70,Eventos!$D:$D,$C$2)</f>
        <v>0</v>
      </c>
      <c r="J79" s="54">
        <f t="shared" si="8"/>
        <v>0</v>
      </c>
      <c r="L79" s="4"/>
      <c r="M79" s="5">
        <f>SUMIFS(Eventos!$G:$G,Eventos!$F:$F,$L79,Eventos!$D:$D,$C$2,Eventos!$B:$B,PANES_SEMANALES[[#ALL],[LUNES]])</f>
        <v>0</v>
      </c>
      <c r="N79" s="6">
        <f>SUMIFS(Eventos!$G:$G,Eventos!$F:$F,$L79,Eventos!$D:$D,$C$2,Eventos!$B:$B,PANES_SEMANALES[[#ALL],[MARTES]])</f>
        <v>0</v>
      </c>
      <c r="O79" s="6">
        <f>SUMIFS(Eventos!$G:$G,Eventos!$F:$F,$L79,Eventos!$D:$D,$C$2,Eventos!$B:$B,PANES_SEMANALES[[#ALL],[MIÉRCOLES]])</f>
        <v>0</v>
      </c>
      <c r="P79" s="6">
        <f>SUMIFS(Eventos!$G:$G,Eventos!$F:$F,$L79,Eventos!$D:$D,$C$2,Eventos!$B:$B,PANES_SEMANALES[[#ALL],[JUEVES]])</f>
        <v>0</v>
      </c>
      <c r="Q79" s="6">
        <f>IF(P79&lt;&gt;"",SUMIFS(Eventos!$G:$G,Eventos!$B:$B,Q$2,Eventos!$D:$D,$C$2,Eventos!$F:$F,$L79),"")</f>
        <v>0</v>
      </c>
      <c r="R79" s="6">
        <f>SUMIFS(Eventos!$G:$G,Eventos!$F:$F,$L79,Eventos!$D:$D,$C$2,Eventos!$B:$B,PANES_SEMANALES[[#ALL],[SÁBADO]])</f>
        <v>0</v>
      </c>
      <c r="S79" s="7">
        <f>SUMIFS(Eventos!$G:$G,Eventos!$F:$F,$L79,Eventos!$D:$D,$C$2,Eventos!$B:$B,PANES_SEMANALES[[#ALL],[DOMINGO]])</f>
        <v>0</v>
      </c>
      <c r="T79" s="8">
        <f t="shared" si="1"/>
        <v>0</v>
      </c>
    </row>
    <row r="80" ht="22.5" customHeight="1">
      <c r="B80" s="4" t="s">
        <v>28</v>
      </c>
      <c r="C80" s="5">
        <f>SUMIFS(Eventos!$AJ:$AJ,Eventos!$AI:$AI,$B80,Eventos!$B:$B,C$70,Eventos!$D:$D,$C$2)</f>
        <v>0</v>
      </c>
      <c r="D80" s="6">
        <f>SUMIFS(Eventos!$AJ:$AJ,Eventos!$AI:$AI,$B80,Eventos!$B:$B,D$70,Eventos!$D:$D,$C$2)</f>
        <v>0</v>
      </c>
      <c r="E80" s="6">
        <f>SUMIFS(Eventos!$AJ:$AJ,Eventos!$AI:$AI,$B80,Eventos!$B:$B,E$70,Eventos!$D:$D,$C$2)</f>
        <v>0</v>
      </c>
      <c r="F80" s="6">
        <f>SUMIFS(Eventos!$AJ:$AJ,Eventos!$AI:$AI,$B80,Eventos!$B:$B,F$70,Eventos!$D:$D,$C$2)</f>
        <v>0</v>
      </c>
      <c r="G80" s="6">
        <f>SUMIFS(Eventos!$AJ:$AJ,Eventos!$AI:$AI,$B80,Eventos!$B:$B,G$70,Eventos!$D:$D,$C$2)</f>
        <v>0</v>
      </c>
      <c r="H80" s="6">
        <f>SUMIFS(Eventos!$AJ:$AJ,Eventos!$AI:$AI,$B80,Eventos!$B:$B,H$70,Eventos!$D:$D,$C$2)</f>
        <v>0</v>
      </c>
      <c r="I80" s="6">
        <f>SUMIFS(Eventos!$AJ:$AJ,Eventos!$AI:$AI,$B80,Eventos!$B:$B,I$70,Eventos!$D:$D,$C$2)</f>
        <v>0</v>
      </c>
      <c r="J80" s="54">
        <f t="shared" si="8"/>
        <v>0</v>
      </c>
      <c r="L80" s="4"/>
      <c r="M80" s="5">
        <f>SUMIFS(Eventos!$G:$G,Eventos!$F:$F,$L80,Eventos!$D:$D,$C$2,Eventos!$B:$B,PANES_SEMANALES[[#ALL],[LUNES]])</f>
        <v>0</v>
      </c>
      <c r="N80" s="6">
        <f>SUMIFS(Eventos!$G:$G,Eventos!$F:$F,$L80,Eventos!$D:$D,$C$2,Eventos!$B:$B,PANES_SEMANALES[[#ALL],[MARTES]])</f>
        <v>0</v>
      </c>
      <c r="O80" s="6">
        <f>SUMIFS(Eventos!$G:$G,Eventos!$F:$F,$L80,Eventos!$D:$D,$C$2,Eventos!$B:$B,PANES_SEMANALES[[#ALL],[MIÉRCOLES]])</f>
        <v>0</v>
      </c>
      <c r="P80" s="6">
        <f>SUMIFS(Eventos!$G:$G,Eventos!$F:$F,$L80,Eventos!$D:$D,$C$2,Eventos!$B:$B,PANES_SEMANALES[[#ALL],[JUEVES]])</f>
        <v>0</v>
      </c>
      <c r="Q80" s="6">
        <f>IF(P80&lt;&gt;"",SUMIFS(Eventos!$G:$G,Eventos!$B:$B,Q$2,Eventos!$D:$D,$C$2,Eventos!$F:$F,$L80),"")</f>
        <v>0</v>
      </c>
      <c r="R80" s="6">
        <f>SUMIFS(Eventos!$G:$G,Eventos!$F:$F,$L80,Eventos!$D:$D,$C$2,Eventos!$B:$B,PANES_SEMANALES[[#ALL],[SÁBADO]])</f>
        <v>0</v>
      </c>
      <c r="S80" s="7">
        <f>SUMIFS(Eventos!$G:$G,Eventos!$F:$F,$L80,Eventos!$D:$D,$C$2,Eventos!$B:$B,PANES_SEMANALES[[#ALL],[DOMINGO]])</f>
        <v>0</v>
      </c>
      <c r="T80" s="8">
        <f t="shared" si="1"/>
        <v>0</v>
      </c>
    </row>
    <row r="81" ht="22.5" customHeight="1">
      <c r="B81" s="4" t="s">
        <v>29</v>
      </c>
      <c r="C81" s="5">
        <f>SUMIFS(Eventos!$AL:$AL,Eventos!$AK:$AK,$B81,Eventos!$B:$B,C$70,Eventos!$D:$D,$C$2)</f>
        <v>0</v>
      </c>
      <c r="D81" s="6">
        <f>SUMIFS(Eventos!$AL:$AL,Eventos!$AK:$AK,$B81,Eventos!$B:$B,D$70,Eventos!$D:$D,$C$2)</f>
        <v>0</v>
      </c>
      <c r="E81" s="6">
        <f>SUMIFS(Eventos!$AL:$AL,Eventos!$AK:$AK,$B81,Eventos!$B:$B,E$70,Eventos!$D:$D,$C$2)</f>
        <v>0</v>
      </c>
      <c r="F81" s="6">
        <f>SUMIFS(Eventos!$AL:$AL,Eventos!$AK:$AK,$B81,Eventos!$B:$B,F$70,Eventos!$D:$D,$C$2)</f>
        <v>0</v>
      </c>
      <c r="G81" s="6">
        <f>SUMIFS(Eventos!$AL:$AL,Eventos!$AK:$AK,$B81,Eventos!$B:$B,G$70,Eventos!$D:$D,$C$2)</f>
        <v>0</v>
      </c>
      <c r="H81" s="6">
        <f>SUMIFS(Eventos!$AL:$AL,Eventos!$AK:$AK,$B81,Eventos!$B:$B,H$70,Eventos!$D:$D,$C$2)</f>
        <v>0</v>
      </c>
      <c r="I81" s="6">
        <f>SUMIFS(Eventos!$AL:$AL,Eventos!$AK:$AK,$B81,Eventos!$B:$B,I$70,Eventos!$D:$D,$C$2)</f>
        <v>0</v>
      </c>
      <c r="J81" s="54">
        <f t="shared" si="8"/>
        <v>0</v>
      </c>
      <c r="L81" s="4"/>
      <c r="M81" s="5">
        <f>SUMIFS(Eventos!$G:$G,Eventos!$F:$F,$L81,Eventos!$D:$D,$C$2,Eventos!$B:$B,PANES_SEMANALES[[#ALL],[LUNES]])</f>
        <v>0</v>
      </c>
      <c r="N81" s="6">
        <f>SUMIFS(Eventos!$G:$G,Eventos!$F:$F,$L81,Eventos!$D:$D,$C$2,Eventos!$B:$B,PANES_SEMANALES[[#ALL],[MARTES]])</f>
        <v>0</v>
      </c>
      <c r="O81" s="6">
        <f>SUMIFS(Eventos!$G:$G,Eventos!$F:$F,$L81,Eventos!$D:$D,$C$2,Eventos!$B:$B,PANES_SEMANALES[[#ALL],[MIÉRCOLES]])</f>
        <v>0</v>
      </c>
      <c r="P81" s="6">
        <f>SUMIFS(Eventos!$G:$G,Eventos!$F:$F,$L81,Eventos!$D:$D,$C$2,Eventos!$B:$B,PANES_SEMANALES[[#ALL],[JUEVES]])</f>
        <v>0</v>
      </c>
      <c r="Q81" s="6">
        <f>IF(P81&lt;&gt;"",SUMIFS(Eventos!$G:$G,Eventos!$B:$B,Q$2,Eventos!$D:$D,$C$2,Eventos!$F:$F,$L81),"")</f>
        <v>0</v>
      </c>
      <c r="R81" s="6">
        <f>SUMIFS(Eventos!$G:$G,Eventos!$F:$F,$L81,Eventos!$D:$D,$C$2,Eventos!$B:$B,PANES_SEMANALES[[#ALL],[SÁBADO]])</f>
        <v>0</v>
      </c>
      <c r="S81" s="7">
        <f>SUMIFS(Eventos!$G:$G,Eventos!$F:$F,$L81,Eventos!$D:$D,$C$2,Eventos!$B:$B,PANES_SEMANALES[[#ALL],[DOMINGO]])</f>
        <v>0</v>
      </c>
      <c r="T81" s="8">
        <f t="shared" si="1"/>
        <v>0</v>
      </c>
    </row>
    <row r="82" ht="22.5" customHeight="1">
      <c r="B82" s="4" t="s">
        <v>30</v>
      </c>
      <c r="C82" s="5">
        <f>SUMIFS(Eventos!$AN:$AN,Eventos!$AM:$AM,$B82,Eventos!$B:$B,C$70,Eventos!$D:$D,$C$2)</f>
        <v>0</v>
      </c>
      <c r="D82" s="6">
        <f>SUMIFS(Eventos!$AN:$AN,Eventos!$AM:$AM,$B82,Eventos!$B:$B,D$70,Eventos!$D:$D,$C$2)</f>
        <v>0</v>
      </c>
      <c r="E82" s="6">
        <f>SUMIFS(Eventos!$AN:$AN,Eventos!$AM:$AM,$B82,Eventos!$B:$B,E$70,Eventos!$D:$D,$C$2)</f>
        <v>0</v>
      </c>
      <c r="F82" s="6">
        <f>SUMIFS(Eventos!$AN:$AN,Eventos!$AM:$AM,$B82,Eventos!$B:$B,F$70,Eventos!$D:$D,$C$2)</f>
        <v>0</v>
      </c>
      <c r="G82" s="6">
        <f>SUMIFS(Eventos!$AN:$AN,Eventos!$AM:$AM,$B82,Eventos!$B:$B,G$70,Eventos!$D:$D,$C$2)</f>
        <v>0</v>
      </c>
      <c r="H82" s="6">
        <f>SUMIFS(Eventos!$AN:$AN,Eventos!$AM:$AM,$B82,Eventos!$B:$B,H$70,Eventos!$D:$D,$C$2)</f>
        <v>0</v>
      </c>
      <c r="I82" s="6">
        <f>SUMIFS(Eventos!$AN:$AN,Eventos!$AM:$AM,$B82,Eventos!$B:$B,I$70,Eventos!$D:$D,$C$2)</f>
        <v>0</v>
      </c>
      <c r="J82" s="54">
        <f t="shared" si="8"/>
        <v>0</v>
      </c>
      <c r="L82" s="4"/>
      <c r="M82" s="5">
        <f>SUMIFS(Eventos!$G:$G,Eventos!$F:$F,$L82,Eventos!$D:$D,$C$2,Eventos!$B:$B,PANES_SEMANALES[[#ALL],[LUNES]])</f>
        <v>0</v>
      </c>
      <c r="N82" s="6">
        <f>SUMIFS(Eventos!$G:$G,Eventos!$F:$F,$L82,Eventos!$D:$D,$C$2,Eventos!$B:$B,PANES_SEMANALES[[#ALL],[MARTES]])</f>
        <v>0</v>
      </c>
      <c r="O82" s="6">
        <f>SUMIFS(Eventos!$G:$G,Eventos!$F:$F,$L82,Eventos!$D:$D,$C$2,Eventos!$B:$B,PANES_SEMANALES[[#ALL],[MIÉRCOLES]])</f>
        <v>0</v>
      </c>
      <c r="P82" s="6">
        <f>SUMIFS(Eventos!$G:$G,Eventos!$F:$F,$L82,Eventos!$D:$D,$C$2,Eventos!$B:$B,PANES_SEMANALES[[#ALL],[JUEVES]])</f>
        <v>0</v>
      </c>
      <c r="Q82" s="6">
        <f>IF(P82&lt;&gt;"",SUMIFS(Eventos!$G:$G,Eventos!$B:$B,Q$2,Eventos!$D:$D,$C$2,Eventos!$F:$F,$L82),"")</f>
        <v>0</v>
      </c>
      <c r="R82" s="6">
        <f>SUMIFS(Eventos!$G:$G,Eventos!$F:$F,$L82,Eventos!$D:$D,$C$2,Eventos!$B:$B,PANES_SEMANALES[[#ALL],[SÁBADO]])</f>
        <v>0</v>
      </c>
      <c r="S82" s="7">
        <f>SUMIFS(Eventos!$G:$G,Eventos!$F:$F,$L82,Eventos!$D:$D,$C$2,Eventos!$B:$B,PANES_SEMANALES[[#ALL],[DOMINGO]])</f>
        <v>0</v>
      </c>
      <c r="T82" s="8">
        <f t="shared" si="1"/>
        <v>0</v>
      </c>
    </row>
    <row r="83" ht="22.5" customHeight="1">
      <c r="B83" s="4" t="s">
        <v>31</v>
      </c>
      <c r="C83" s="5">
        <f>SUMIFS(Eventos!$AP:$AP,Eventos!$AO:$AO,$B83,Eventos!$B:$B,C$70,Eventos!$D:$D,$C$2)</f>
        <v>0</v>
      </c>
      <c r="D83" s="6">
        <f>SUMIFS(Eventos!$AP:$AP,Eventos!$AO:$AO,$B83,Eventos!$B:$B,D$70,Eventos!$D:$D,$C$2)</f>
        <v>0</v>
      </c>
      <c r="E83" s="6">
        <f>SUMIFS(Eventos!$AP:$AP,Eventos!$AO:$AO,$B83,Eventos!$B:$B,E$70,Eventos!$D:$D,$C$2)</f>
        <v>0</v>
      </c>
      <c r="F83" s="6">
        <f>SUMIFS(Eventos!$AP:$AP,Eventos!$AO:$AO,$B83,Eventos!$B:$B,F$70,Eventos!$D:$D,$C$2)</f>
        <v>0</v>
      </c>
      <c r="G83" s="6">
        <f>SUMIFS(Eventos!$AP:$AP,Eventos!$AO:$AO,$B83,Eventos!$B:$B,G$70,Eventos!$D:$D,$C$2)</f>
        <v>0</v>
      </c>
      <c r="H83" s="6">
        <f>SUMIFS(Eventos!$AP:$AP,Eventos!$AO:$AO,$B83,Eventos!$B:$B,H$70,Eventos!$D:$D,$C$2)</f>
        <v>0</v>
      </c>
      <c r="I83" s="6">
        <f>SUMIFS(Eventos!$AP:$AP,Eventos!$AO:$AO,$B83,Eventos!$B:$B,I$70,Eventos!$D:$D,$C$2)</f>
        <v>0</v>
      </c>
      <c r="J83" s="54">
        <f t="shared" si="8"/>
        <v>0</v>
      </c>
      <c r="L83" s="4"/>
      <c r="M83" s="5">
        <f>SUMIFS(Eventos!$G:$G,Eventos!$F:$F,$L83,Eventos!$D:$D,$C$2,Eventos!$B:$B,PANES_SEMANALES[[#ALL],[LUNES]])</f>
        <v>0</v>
      </c>
      <c r="N83" s="6">
        <f>SUMIFS(Eventos!$G:$G,Eventos!$F:$F,$L83,Eventos!$D:$D,$C$2,Eventos!$B:$B,PANES_SEMANALES[[#ALL],[MARTES]])</f>
        <v>0</v>
      </c>
      <c r="O83" s="6">
        <f>SUMIFS(Eventos!$G:$G,Eventos!$F:$F,$L83,Eventos!$D:$D,$C$2,Eventos!$B:$B,PANES_SEMANALES[[#ALL],[MIÉRCOLES]])</f>
        <v>0</v>
      </c>
      <c r="P83" s="6">
        <f>SUMIFS(Eventos!$G:$G,Eventos!$F:$F,$L83,Eventos!$D:$D,$C$2,Eventos!$B:$B,PANES_SEMANALES[[#ALL],[JUEVES]])</f>
        <v>0</v>
      </c>
      <c r="Q83" s="6">
        <f>IF(P83&lt;&gt;"",SUMIFS(Eventos!$G:$G,Eventos!$B:$B,Q$2,Eventos!$D:$D,$C$2,Eventos!$F:$F,$L83),"")</f>
        <v>0</v>
      </c>
      <c r="R83" s="6">
        <f>SUMIFS(Eventos!$G:$G,Eventos!$F:$F,$L83,Eventos!$D:$D,$C$2,Eventos!$B:$B,PANES_SEMANALES[[#ALL],[SÁBADO]])</f>
        <v>0</v>
      </c>
      <c r="S83" s="7">
        <f>SUMIFS(Eventos!$G:$G,Eventos!$F:$F,$L83,Eventos!$D:$D,$C$2,Eventos!$B:$B,PANES_SEMANALES[[#ALL],[DOMINGO]])</f>
        <v>0</v>
      </c>
      <c r="T83" s="8">
        <f t="shared" si="1"/>
        <v>0</v>
      </c>
    </row>
    <row r="84" ht="22.5" customHeight="1">
      <c r="B84" s="4" t="s">
        <v>32</v>
      </c>
      <c r="C84" s="5">
        <f>SUMIFS(Eventos!$AR:$AR,Eventos!$AQ:$AQ,$B84,Eventos!$B:$B,C$70,Eventos!$D:$D,$C$2)</f>
        <v>0</v>
      </c>
      <c r="D84" s="6">
        <f>SUMIFS(Eventos!$AR:$AR,Eventos!$AQ:$AQ,$B84,Eventos!$B:$B,D$70,Eventos!$D:$D,$C$2)</f>
        <v>0</v>
      </c>
      <c r="E84" s="6">
        <f>SUMIFS(Eventos!$AR:$AR,Eventos!$AQ:$AQ,$B84,Eventos!$B:$B,E$70,Eventos!$D:$D,$C$2)</f>
        <v>0</v>
      </c>
      <c r="F84" s="6">
        <f>SUMIFS(Eventos!$AR:$AR,Eventos!$AQ:$AQ,$B84,Eventos!$B:$B,F$70,Eventos!$D:$D,$C$2)</f>
        <v>0</v>
      </c>
      <c r="G84" s="6">
        <f>SUMIFS(Eventos!$AR:$AR,Eventos!$AQ:$AQ,$B84,Eventos!$B:$B,G$70,Eventos!$D:$D,$C$2)</f>
        <v>0</v>
      </c>
      <c r="H84" s="6">
        <f>SUMIFS(Eventos!$AR:$AR,Eventos!$AQ:$AQ,$B84,Eventos!$B:$B,H$70,Eventos!$D:$D,$C$2)</f>
        <v>0</v>
      </c>
      <c r="I84" s="6">
        <f>SUMIFS(Eventos!$AR:$AR,Eventos!$AQ:$AQ,$B84,Eventos!$B:$B,I$70,Eventos!$D:$D,$C$2)</f>
        <v>0</v>
      </c>
      <c r="J84" s="54">
        <f t="shared" si="8"/>
        <v>0</v>
      </c>
      <c r="L84" s="4"/>
      <c r="M84" s="5">
        <f>SUMIFS(Eventos!$G:$G,Eventos!$F:$F,$L84,Eventos!$D:$D,$C$2,Eventos!$B:$B,PANES_SEMANALES[[#ALL],[LUNES]])</f>
        <v>0</v>
      </c>
      <c r="N84" s="6">
        <f>SUMIFS(Eventos!$G:$G,Eventos!$F:$F,$L84,Eventos!$D:$D,$C$2,Eventos!$B:$B,PANES_SEMANALES[[#ALL],[MARTES]])</f>
        <v>0</v>
      </c>
      <c r="O84" s="6">
        <f>SUMIFS(Eventos!$G:$G,Eventos!$F:$F,$L84,Eventos!$D:$D,$C$2,Eventos!$B:$B,PANES_SEMANALES[[#ALL],[MIÉRCOLES]])</f>
        <v>0</v>
      </c>
      <c r="P84" s="6">
        <f>SUMIFS(Eventos!$G:$G,Eventos!$F:$F,$L84,Eventos!$D:$D,$C$2,Eventos!$B:$B,PANES_SEMANALES[[#ALL],[JUEVES]])</f>
        <v>0</v>
      </c>
      <c r="Q84" s="6">
        <f>IF(P84&lt;&gt;"",SUMIFS(Eventos!$G:$G,Eventos!$B:$B,Q$2,Eventos!$D:$D,$C$2,Eventos!$F:$F,$L84),"")</f>
        <v>0</v>
      </c>
      <c r="R84" s="6">
        <f>SUMIFS(Eventos!$G:$G,Eventos!$F:$F,$L84,Eventos!$D:$D,$C$2,Eventos!$B:$B,PANES_SEMANALES[[#ALL],[SÁBADO]])</f>
        <v>0</v>
      </c>
      <c r="S84" s="7">
        <f>SUMIFS(Eventos!$G:$G,Eventos!$F:$F,$L84,Eventos!$D:$D,$C$2,Eventos!$B:$B,PANES_SEMANALES[[#ALL],[DOMINGO]])</f>
        <v>0</v>
      </c>
      <c r="T84" s="8">
        <f t="shared" si="1"/>
        <v>0</v>
      </c>
    </row>
    <row r="85" ht="22.5" customHeight="1">
      <c r="B85" s="4" t="s">
        <v>33</v>
      </c>
      <c r="C85" s="5">
        <f>SUMIFS(Eventos!$AT:$AT,Eventos!$AS:$AS,$B85,Eventos!$B:$B,C$70,Eventos!$D:$D,$C$2)</f>
        <v>0</v>
      </c>
      <c r="D85" s="6">
        <f>SUMIFS(Eventos!$AT:$AT,Eventos!$AS:$AS,$B85,Eventos!$B:$B,D$70,Eventos!$D:$D,$C$2)</f>
        <v>0</v>
      </c>
      <c r="E85" s="6">
        <f>SUMIFS(Eventos!$AT:$AT,Eventos!$AS:$AS,$B85,Eventos!$B:$B,E$70,Eventos!$D:$D,$C$2)</f>
        <v>0</v>
      </c>
      <c r="F85" s="6">
        <f>SUMIFS(Eventos!$AT:$AT,Eventos!$AS:$AS,$B85,Eventos!$B:$B,F$70,Eventos!$D:$D,$C$2)</f>
        <v>0</v>
      </c>
      <c r="G85" s="6">
        <f>SUMIFS(Eventos!$AT:$AT,Eventos!$AS:$AS,$B85,Eventos!$B:$B,G$70,Eventos!$D:$D,$C$2)</f>
        <v>0</v>
      </c>
      <c r="H85" s="6">
        <f>SUMIFS(Eventos!$AT:$AT,Eventos!$AS:$AS,$B85,Eventos!$B:$B,H$70,Eventos!$D:$D,$C$2)</f>
        <v>0</v>
      </c>
      <c r="I85" s="6">
        <f>SUMIFS(Eventos!$AT:$AT,Eventos!$AS:$AS,$B85,Eventos!$B:$B,I$70,Eventos!$D:$D,$C$2)</f>
        <v>0</v>
      </c>
      <c r="J85" s="54">
        <f t="shared" si="8"/>
        <v>0</v>
      </c>
      <c r="L85" s="4"/>
      <c r="M85" s="5">
        <f>SUMIFS(Eventos!$G:$G,Eventos!$F:$F,$L85,Eventos!$D:$D,$C$2,Eventos!$B:$B,PANES_SEMANALES[[#ALL],[LUNES]])</f>
        <v>0</v>
      </c>
      <c r="N85" s="6">
        <f>SUMIFS(Eventos!$G:$G,Eventos!$F:$F,$L85,Eventos!$D:$D,$C$2,Eventos!$B:$B,PANES_SEMANALES[[#ALL],[MARTES]])</f>
        <v>0</v>
      </c>
      <c r="O85" s="6">
        <f>SUMIFS(Eventos!$G:$G,Eventos!$F:$F,$L85,Eventos!$D:$D,$C$2,Eventos!$B:$B,PANES_SEMANALES[[#ALL],[MIÉRCOLES]])</f>
        <v>0</v>
      </c>
      <c r="P85" s="6">
        <f>SUMIFS(Eventos!$G:$G,Eventos!$F:$F,$L85,Eventos!$D:$D,$C$2,Eventos!$B:$B,PANES_SEMANALES[[#ALL],[JUEVES]])</f>
        <v>0</v>
      </c>
      <c r="Q85" s="6">
        <f>IF(P85&lt;&gt;"",SUMIFS(Eventos!$G:$G,Eventos!$B:$B,Q$2,Eventos!$D:$D,$C$2,Eventos!$F:$F,$L85),"")</f>
        <v>0</v>
      </c>
      <c r="R85" s="6">
        <f>SUMIFS(Eventos!$G:$G,Eventos!$F:$F,$L85,Eventos!$D:$D,$C$2,Eventos!$B:$B,PANES_SEMANALES[[#ALL],[SÁBADO]])</f>
        <v>0</v>
      </c>
      <c r="S85" s="7">
        <f>SUMIFS(Eventos!$G:$G,Eventos!$F:$F,$L85,Eventos!$D:$D,$C$2,Eventos!$B:$B,PANES_SEMANALES[[#ALL],[DOMINGO]])</f>
        <v>0</v>
      </c>
      <c r="T85" s="8">
        <f t="shared" si="1"/>
        <v>0</v>
      </c>
    </row>
    <row r="86" ht="22.5" customHeight="1">
      <c r="B86" s="4" t="s">
        <v>34</v>
      </c>
      <c r="C86" s="5">
        <f>SUMIFS(Eventos!$AV:$AV,Eventos!$AU:$AU,$B86,Eventos!$B:$B,C$70,Eventos!$D:$D,$C$2)</f>
        <v>0</v>
      </c>
      <c r="D86" s="6">
        <f>SUMIFS(Eventos!$AV:$AV,Eventos!$AU:$AU,$B86,Eventos!$B:$B,D$70,Eventos!$D:$D,$C$2)</f>
        <v>0</v>
      </c>
      <c r="E86" s="6">
        <f>SUMIFS(Eventos!$AV:$AV,Eventos!$AU:$AU,$B86,Eventos!$B:$B,E$70,Eventos!$D:$D,$C$2)</f>
        <v>0</v>
      </c>
      <c r="F86" s="6">
        <f>SUMIFS(Eventos!$AV:$AV,Eventos!$AU:$AU,$B86,Eventos!$B:$B,F$70,Eventos!$D:$D,$C$2)</f>
        <v>0</v>
      </c>
      <c r="G86" s="6">
        <f>SUMIFS(Eventos!$AV:$AV,Eventos!$AU:$AU,$B86,Eventos!$B:$B,G$70,Eventos!$D:$D,$C$2)</f>
        <v>0</v>
      </c>
      <c r="H86" s="6">
        <f>SUMIFS(Eventos!$AV:$AV,Eventos!$AU:$AU,$B86,Eventos!$B:$B,H$70,Eventos!$D:$D,$C$2)</f>
        <v>0</v>
      </c>
      <c r="I86" s="6">
        <f>SUMIFS(Eventos!$AV:$AV,Eventos!$AU:$AU,$B86,Eventos!$B:$B,I$70,Eventos!$D:$D,$C$2)</f>
        <v>0</v>
      </c>
      <c r="J86" s="54">
        <f t="shared" si="8"/>
        <v>0</v>
      </c>
      <c r="L86" s="4"/>
      <c r="M86" s="5">
        <f>SUMIFS(Eventos!$G:$G,Eventos!$F:$F,$L86,Eventos!$D:$D,$C$2,Eventos!$B:$B,PANES_SEMANALES[[#ALL],[LUNES]])</f>
        <v>0</v>
      </c>
      <c r="N86" s="6">
        <f>SUMIFS(Eventos!$G:$G,Eventos!$F:$F,$L86,Eventos!$D:$D,$C$2,Eventos!$B:$B,PANES_SEMANALES[[#ALL],[MARTES]])</f>
        <v>0</v>
      </c>
      <c r="O86" s="6">
        <f>SUMIFS(Eventos!$G:$G,Eventos!$F:$F,$L86,Eventos!$D:$D,$C$2,Eventos!$B:$B,PANES_SEMANALES[[#ALL],[MIÉRCOLES]])</f>
        <v>0</v>
      </c>
      <c r="P86" s="6">
        <f>SUMIFS(Eventos!$G:$G,Eventos!$F:$F,$L86,Eventos!$D:$D,$C$2,Eventos!$B:$B,PANES_SEMANALES[[#ALL],[JUEVES]])</f>
        <v>0</v>
      </c>
      <c r="Q86" s="6">
        <f>IF(P86&lt;&gt;"",SUMIFS(Eventos!$G:$G,Eventos!$B:$B,Q$2,Eventos!$D:$D,$C$2,Eventos!$F:$F,$L86),"")</f>
        <v>0</v>
      </c>
      <c r="R86" s="6">
        <f>SUMIFS(Eventos!$G:$G,Eventos!$F:$F,$L86,Eventos!$D:$D,$C$2,Eventos!$B:$B,PANES_SEMANALES[[#ALL],[SÁBADO]])</f>
        <v>0</v>
      </c>
      <c r="S86" s="7">
        <f>SUMIFS(Eventos!$G:$G,Eventos!$F:$F,$L86,Eventos!$D:$D,$C$2,Eventos!$B:$B,PANES_SEMANALES[[#ALL],[DOMINGO]])</f>
        <v>0</v>
      </c>
      <c r="T86" s="8">
        <f t="shared" si="1"/>
        <v>0</v>
      </c>
    </row>
    <row r="87" ht="22.5" customHeight="1">
      <c r="B87" s="4" t="s">
        <v>35</v>
      </c>
      <c r="C87" s="5">
        <f>SUMIFS(Eventos!$AX:$AX,Eventos!$AW:$AW,$B87,Eventos!$B:$B,C$70,Eventos!$D:$D,$C$2)</f>
        <v>0</v>
      </c>
      <c r="D87" s="6">
        <f>SUMIFS(Eventos!$AX:$AX,Eventos!$AW:$AW,$B87,Eventos!$B:$B,D$70,Eventos!$D:$D,$C$2)</f>
        <v>0</v>
      </c>
      <c r="E87" s="6">
        <f>SUMIFS(Eventos!$AX:$AX,Eventos!$AW:$AW,$B87,Eventos!$B:$B,E$70,Eventos!$D:$D,$C$2)</f>
        <v>0</v>
      </c>
      <c r="F87" s="6">
        <f>SUMIFS(Eventos!$AX:$AX,Eventos!$AW:$AW,$B87,Eventos!$B:$B,F$70,Eventos!$D:$D,$C$2)</f>
        <v>0</v>
      </c>
      <c r="G87" s="6">
        <f>SUMIFS(Eventos!$AX:$AX,Eventos!$AW:$AW,$B87,Eventos!$B:$B,G$70,Eventos!$D:$D,$C$2)</f>
        <v>0</v>
      </c>
      <c r="H87" s="6">
        <f>SUMIFS(Eventos!$AX:$AX,Eventos!$AW:$AW,$B87,Eventos!$B:$B,H$70,Eventos!$D:$D,$C$2)</f>
        <v>0</v>
      </c>
      <c r="I87" s="6">
        <f>SUMIFS(Eventos!$AX:$AX,Eventos!$AW:$AW,$B87,Eventos!$B:$B,I$70,Eventos!$D:$D,$C$2)</f>
        <v>0</v>
      </c>
      <c r="J87" s="54">
        <f t="shared" si="8"/>
        <v>0</v>
      </c>
      <c r="L87" s="4"/>
      <c r="M87" s="5">
        <f>SUMIFS(Eventos!$G:$G,Eventos!$F:$F,$L87,Eventos!$D:$D,$C$2,Eventos!$B:$B,PANES_SEMANALES[[#ALL],[LUNES]])</f>
        <v>0</v>
      </c>
      <c r="N87" s="6">
        <f>SUMIFS(Eventos!$G:$G,Eventos!$F:$F,$L87,Eventos!$D:$D,$C$2,Eventos!$B:$B,PANES_SEMANALES[[#ALL],[MARTES]])</f>
        <v>0</v>
      </c>
      <c r="O87" s="6">
        <f>SUMIFS(Eventos!$G:$G,Eventos!$F:$F,$L87,Eventos!$D:$D,$C$2,Eventos!$B:$B,PANES_SEMANALES[[#ALL],[MIÉRCOLES]])</f>
        <v>0</v>
      </c>
      <c r="P87" s="6">
        <f>SUMIFS(Eventos!$G:$G,Eventos!$F:$F,$L87,Eventos!$D:$D,$C$2,Eventos!$B:$B,PANES_SEMANALES[[#ALL],[JUEVES]])</f>
        <v>0</v>
      </c>
      <c r="Q87" s="6">
        <f>IF(P87&lt;&gt;"",SUMIFS(Eventos!$G:$G,Eventos!$B:$B,Q$2,Eventos!$D:$D,$C$2,Eventos!$F:$F,$L87),"")</f>
        <v>0</v>
      </c>
      <c r="R87" s="6">
        <f>SUMIFS(Eventos!$G:$G,Eventos!$F:$F,$L87,Eventos!$D:$D,$C$2,Eventos!$B:$B,PANES_SEMANALES[[#ALL],[SÁBADO]])</f>
        <v>0</v>
      </c>
      <c r="S87" s="7">
        <f>SUMIFS(Eventos!$G:$G,Eventos!$F:$F,$L87,Eventos!$D:$D,$C$2,Eventos!$B:$B,PANES_SEMANALES[[#ALL],[DOMINGO]])</f>
        <v>0</v>
      </c>
      <c r="T87" s="8">
        <f t="shared" si="1"/>
        <v>0</v>
      </c>
    </row>
    <row r="88" ht="22.5" customHeight="1">
      <c r="B88" s="4" t="s">
        <v>36</v>
      </c>
      <c r="C88" s="5">
        <f>SUMIFS(Eventos!$AZ:$AZ,Eventos!$AY:$AY,$B88,Eventos!$B:$B,C$70,Eventos!$D:$D,$C$2)</f>
        <v>0</v>
      </c>
      <c r="D88" s="6">
        <f>SUMIFS(Eventos!$AZ:$AZ,Eventos!$AY:$AY,$B88,Eventos!$B:$B,D$70,Eventos!$D:$D,$C$2)</f>
        <v>0</v>
      </c>
      <c r="E88" s="6">
        <f>SUMIFS(Eventos!$AZ:$AZ,Eventos!$AY:$AY,$B88,Eventos!$B:$B,E$70,Eventos!$D:$D,$C$2)</f>
        <v>0</v>
      </c>
      <c r="F88" s="6">
        <f>SUMIFS(Eventos!$AZ:$AZ,Eventos!$AY:$AY,$B88,Eventos!$B:$B,F$70,Eventos!$D:$D,$C$2)</f>
        <v>0</v>
      </c>
      <c r="G88" s="6">
        <f>SUMIFS(Eventos!$AZ:$AZ,Eventos!$AY:$AY,$B88,Eventos!$B:$B,G$70,Eventos!$D:$D,$C$2)</f>
        <v>0</v>
      </c>
      <c r="H88" s="6">
        <f>SUMIFS(Eventos!$AZ:$AZ,Eventos!$AY:$AY,$B88,Eventos!$B:$B,H$70,Eventos!$D:$D,$C$2)</f>
        <v>0</v>
      </c>
      <c r="I88" s="6">
        <f>SUMIFS(Eventos!$AZ:$AZ,Eventos!$AY:$AY,$B88,Eventos!$B:$B,I$70,Eventos!$D:$D,$C$2)</f>
        <v>0</v>
      </c>
      <c r="J88" s="54">
        <f t="shared" si="8"/>
        <v>0</v>
      </c>
      <c r="L88" s="4"/>
      <c r="M88" s="5">
        <f>SUMIFS(Eventos!$G:$G,Eventos!$F:$F,$L88,Eventos!$D:$D,$C$2,Eventos!$B:$B,PANES_SEMANALES[[#ALL],[LUNES]])</f>
        <v>0</v>
      </c>
      <c r="N88" s="6">
        <f>SUMIFS(Eventos!$G:$G,Eventos!$F:$F,$L88,Eventos!$D:$D,$C$2,Eventos!$B:$B,PANES_SEMANALES[[#ALL],[MARTES]])</f>
        <v>0</v>
      </c>
      <c r="O88" s="6">
        <f>SUMIFS(Eventos!$G:$G,Eventos!$F:$F,$L88,Eventos!$D:$D,$C$2,Eventos!$B:$B,PANES_SEMANALES[[#ALL],[MIÉRCOLES]])</f>
        <v>0</v>
      </c>
      <c r="P88" s="6">
        <f>SUMIFS(Eventos!$G:$G,Eventos!$F:$F,$L88,Eventos!$D:$D,$C$2,Eventos!$B:$B,PANES_SEMANALES[[#ALL],[JUEVES]])</f>
        <v>0</v>
      </c>
      <c r="Q88" s="6">
        <f>IF(P88&lt;&gt;"",SUMIFS(Eventos!$G:$G,Eventos!$B:$B,Q$2,Eventos!$D:$D,$C$2,Eventos!$F:$F,$L88),"")</f>
        <v>0</v>
      </c>
      <c r="R88" s="6">
        <f>SUMIFS(Eventos!$G:$G,Eventos!$F:$F,$L88,Eventos!$D:$D,$C$2,Eventos!$B:$B,PANES_SEMANALES[[#ALL],[SÁBADO]])</f>
        <v>0</v>
      </c>
      <c r="S88" s="7">
        <f>SUMIFS(Eventos!$G:$G,Eventos!$F:$F,$L88,Eventos!$D:$D,$C$2,Eventos!$B:$B,PANES_SEMANALES[[#ALL],[DOMINGO]])</f>
        <v>0</v>
      </c>
      <c r="T88" s="8">
        <f t="shared" si="1"/>
        <v>0</v>
      </c>
    </row>
    <row r="89" ht="22.5" customHeight="1">
      <c r="B89" s="4" t="s">
        <v>37</v>
      </c>
      <c r="C89" s="5">
        <f>SUMIFS(Eventos!$BB:$BB,Eventos!$BA:$BA,$B89,Eventos!$B:$B,C$70,Eventos!$D:$D,$C$2)</f>
        <v>0</v>
      </c>
      <c r="D89" s="6">
        <f>SUMIFS(Eventos!$BB:$BB,Eventos!$BA:$BA,$B89,Eventos!$B:$B,D$70,Eventos!$D:$D,$C$2)</f>
        <v>0</v>
      </c>
      <c r="E89" s="6">
        <f>SUMIFS(Eventos!$BB:$BB,Eventos!$BA:$BA,$B89,Eventos!$B:$B,E$70,Eventos!$D:$D,$C$2)</f>
        <v>0</v>
      </c>
      <c r="F89" s="6">
        <f>SUMIFS(Eventos!$BB:$BB,Eventos!$BA:$BA,$B89,Eventos!$B:$B,F$70,Eventos!$D:$D,$C$2)</f>
        <v>0</v>
      </c>
      <c r="G89" s="6">
        <f>SUMIFS(Eventos!$BB:$BB,Eventos!$BA:$BA,$B89,Eventos!$B:$B,G$70,Eventos!$D:$D,$C$2)</f>
        <v>0</v>
      </c>
      <c r="H89" s="6">
        <f>SUMIFS(Eventos!$BB:$BB,Eventos!$BA:$BA,$B89,Eventos!$B:$B,H$70,Eventos!$D:$D,$C$2)</f>
        <v>0</v>
      </c>
      <c r="I89" s="6">
        <f>SUMIFS(Eventos!$BB:$BB,Eventos!$BA:$BA,$B89,Eventos!$B:$B,I$70,Eventos!$D:$D,$C$2)</f>
        <v>0</v>
      </c>
      <c r="J89" s="54">
        <f t="shared" si="8"/>
        <v>0</v>
      </c>
      <c r="L89" s="4"/>
      <c r="M89" s="5">
        <f>SUMIFS(Eventos!$G:$G,Eventos!$F:$F,$L89,Eventos!$D:$D,$C$2,Eventos!$B:$B,PANES_SEMANALES[[#ALL],[LUNES]])</f>
        <v>0</v>
      </c>
      <c r="N89" s="6">
        <f>SUMIFS(Eventos!$G:$G,Eventos!$F:$F,$L89,Eventos!$D:$D,$C$2,Eventos!$B:$B,PANES_SEMANALES[[#ALL],[MARTES]])</f>
        <v>0</v>
      </c>
      <c r="O89" s="6">
        <f>SUMIFS(Eventos!$G:$G,Eventos!$F:$F,$L89,Eventos!$D:$D,$C$2,Eventos!$B:$B,PANES_SEMANALES[[#ALL],[MIÉRCOLES]])</f>
        <v>0</v>
      </c>
      <c r="P89" s="6">
        <f>SUMIFS(Eventos!$G:$G,Eventos!$F:$F,$L89,Eventos!$D:$D,$C$2,Eventos!$B:$B,PANES_SEMANALES[[#ALL],[JUEVES]])</f>
        <v>0</v>
      </c>
      <c r="Q89" s="6">
        <f>IF(P89&lt;&gt;"",SUMIFS(Eventos!$G:$G,Eventos!$B:$B,Q$2,Eventos!$D:$D,$C$2,Eventos!$F:$F,$L89),"")</f>
        <v>0</v>
      </c>
      <c r="R89" s="6">
        <f>SUMIFS(Eventos!$G:$G,Eventos!$F:$F,$L89,Eventos!$D:$D,$C$2,Eventos!$B:$B,PANES_SEMANALES[[#ALL],[SÁBADO]])</f>
        <v>0</v>
      </c>
      <c r="S89" s="7">
        <f>SUMIFS(Eventos!$G:$G,Eventos!$F:$F,$L89,Eventos!$D:$D,$C$2,Eventos!$B:$B,PANES_SEMANALES[[#ALL],[DOMINGO]])</f>
        <v>0</v>
      </c>
      <c r="T89" s="8">
        <f t="shared" si="1"/>
        <v>0</v>
      </c>
    </row>
    <row r="90" ht="22.5" customHeight="1">
      <c r="B90" s="4" t="s">
        <v>38</v>
      </c>
      <c r="C90" s="5">
        <f>SUMIFS(Eventos!$BD:$BD,Eventos!$BC:$BC,$B90,Eventos!$B:$B,C$70,Eventos!$D:$D,$C$2)</f>
        <v>0</v>
      </c>
      <c r="D90" s="6">
        <f>SUMIFS(Eventos!$BD:$BD,Eventos!$BC:$BC,$B90,Eventos!$B:$B,D$70,Eventos!$D:$D,$C$2)</f>
        <v>0</v>
      </c>
      <c r="E90" s="6">
        <f>SUMIFS(Eventos!$BD:$BD,Eventos!$BC:$BC,$B90,Eventos!$B:$B,E$70,Eventos!$D:$D,$C$2)</f>
        <v>0</v>
      </c>
      <c r="F90" s="6">
        <f>SUMIFS(Eventos!$BD:$BD,Eventos!$BC:$BC,$B90,Eventos!$B:$B,F$70,Eventos!$D:$D,$C$2)</f>
        <v>0</v>
      </c>
      <c r="G90" s="6">
        <f>SUMIFS(Eventos!$BD:$BD,Eventos!$BC:$BC,$B90,Eventos!$B:$B,G$70,Eventos!$D:$D,$C$2)</f>
        <v>0</v>
      </c>
      <c r="H90" s="6">
        <f>SUMIFS(Eventos!$BD:$BD,Eventos!$BC:$BC,$B90,Eventos!$B:$B,H$70,Eventos!$D:$D,$C$2)</f>
        <v>0</v>
      </c>
      <c r="I90" s="6">
        <f>SUMIFS(Eventos!$BD:$BD,Eventos!$BC:$BC,$B90,Eventos!$B:$B,I$70,Eventos!$D:$D,$C$2)</f>
        <v>0</v>
      </c>
      <c r="J90" s="54">
        <f t="shared" si="8"/>
        <v>0</v>
      </c>
      <c r="L90" s="4"/>
      <c r="M90" s="5">
        <f>SUMIFS(Eventos!$G:$G,Eventos!$F:$F,$L90,Eventos!$D:$D,$C$2,Eventos!$B:$B,PANES_SEMANALES[[#ALL],[LUNES]])</f>
        <v>0</v>
      </c>
      <c r="N90" s="6">
        <f>SUMIFS(Eventos!$G:$G,Eventos!$F:$F,$L90,Eventos!$D:$D,$C$2,Eventos!$B:$B,PANES_SEMANALES[[#ALL],[MARTES]])</f>
        <v>0</v>
      </c>
      <c r="O90" s="6">
        <f>SUMIFS(Eventos!$G:$G,Eventos!$F:$F,$L90,Eventos!$D:$D,$C$2,Eventos!$B:$B,PANES_SEMANALES[[#ALL],[MIÉRCOLES]])</f>
        <v>0</v>
      </c>
      <c r="P90" s="6">
        <f>SUMIFS(Eventos!$G:$G,Eventos!$F:$F,$L90,Eventos!$D:$D,$C$2,Eventos!$B:$B,PANES_SEMANALES[[#ALL],[JUEVES]])</f>
        <v>0</v>
      </c>
      <c r="Q90" s="6">
        <f>IF(P90&lt;&gt;"",SUMIFS(Eventos!$G:$G,Eventos!$B:$B,Q$2,Eventos!$D:$D,$C$2,Eventos!$F:$F,$L90),"")</f>
        <v>0</v>
      </c>
      <c r="R90" s="6">
        <f>SUMIFS(Eventos!$G:$G,Eventos!$F:$F,$L90,Eventos!$D:$D,$C$2,Eventos!$B:$B,PANES_SEMANALES[[#ALL],[SÁBADO]])</f>
        <v>0</v>
      </c>
      <c r="S90" s="7">
        <f>SUMIFS(Eventos!$G:$G,Eventos!$F:$F,$L90,Eventos!$D:$D,$C$2,Eventos!$B:$B,PANES_SEMANALES[[#ALL],[DOMINGO]])</f>
        <v>0</v>
      </c>
      <c r="T90" s="8">
        <f t="shared" si="1"/>
        <v>0</v>
      </c>
    </row>
    <row r="91" ht="22.5" customHeight="1">
      <c r="B91" s="4" t="s">
        <v>39</v>
      </c>
      <c r="C91" s="5">
        <f>SUMIFS(Eventos!$BF:$BF,Eventos!$BE:$BE,$B91,Eventos!$B:$B,C$70,Eventos!$D:$D,$C$2)</f>
        <v>0</v>
      </c>
      <c r="D91" s="6">
        <f>SUMIFS(Eventos!$BF:$BF,Eventos!$BE:$BE,$B91,Eventos!$B:$B,D$70,Eventos!$D:$D,$C$2)</f>
        <v>0</v>
      </c>
      <c r="E91" s="6">
        <f>SUMIFS(Eventos!$BF:$BF,Eventos!$BE:$BE,$B91,Eventos!$B:$B,E$70,Eventos!$D:$D,$C$2)</f>
        <v>0</v>
      </c>
      <c r="F91" s="6">
        <f>SUMIFS(Eventos!$BF:$BF,Eventos!$BE:$BE,$B91,Eventos!$B:$B,F$70,Eventos!$D:$D,$C$2)</f>
        <v>0</v>
      </c>
      <c r="G91" s="6">
        <f>SUMIFS(Eventos!$BF:$BF,Eventos!$BE:$BE,$B91,Eventos!$B:$B,G$70,Eventos!$D:$D,$C$2)</f>
        <v>0</v>
      </c>
      <c r="H91" s="6">
        <f>SUMIFS(Eventos!$BF:$BF,Eventos!$BE:$BE,$B91,Eventos!$B:$B,H$70,Eventos!$D:$D,$C$2)</f>
        <v>0</v>
      </c>
      <c r="I91" s="6">
        <f>SUMIFS(Eventos!$BF:$BF,Eventos!$BE:$BE,$B91,Eventos!$B:$B,I$70,Eventos!$D:$D,$C$2)</f>
        <v>0</v>
      </c>
      <c r="J91" s="54">
        <f t="shared" si="8"/>
        <v>0</v>
      </c>
      <c r="L91" s="4"/>
      <c r="M91" s="5">
        <f>SUMIFS(Eventos!$G:$G,Eventos!$F:$F,$L91,Eventos!$D:$D,$C$2,Eventos!$B:$B,PANES_SEMANALES[[#ALL],[LUNES]])</f>
        <v>0</v>
      </c>
      <c r="N91" s="6">
        <f>SUMIFS(Eventos!$G:$G,Eventos!$F:$F,$L91,Eventos!$D:$D,$C$2,Eventos!$B:$B,PANES_SEMANALES[[#ALL],[MARTES]])</f>
        <v>0</v>
      </c>
      <c r="O91" s="6">
        <f>SUMIFS(Eventos!$G:$G,Eventos!$F:$F,$L91,Eventos!$D:$D,$C$2,Eventos!$B:$B,PANES_SEMANALES[[#ALL],[MIÉRCOLES]])</f>
        <v>0</v>
      </c>
      <c r="P91" s="6">
        <f>SUMIFS(Eventos!$G:$G,Eventos!$F:$F,$L91,Eventos!$D:$D,$C$2,Eventos!$B:$B,PANES_SEMANALES[[#ALL],[JUEVES]])</f>
        <v>0</v>
      </c>
      <c r="Q91" s="6">
        <f>IF(P91&lt;&gt;"",SUMIFS(Eventos!$G:$G,Eventos!$B:$B,Q$2,Eventos!$D:$D,$C$2,Eventos!$F:$F,$L91),"")</f>
        <v>0</v>
      </c>
      <c r="R91" s="6">
        <f>SUMIFS(Eventos!$G:$G,Eventos!$F:$F,$L91,Eventos!$D:$D,$C$2,Eventos!$B:$B,PANES_SEMANALES[[#ALL],[SÁBADO]])</f>
        <v>0</v>
      </c>
      <c r="S91" s="7">
        <f>SUMIFS(Eventos!$G:$G,Eventos!$F:$F,$L91,Eventos!$D:$D,$C$2,Eventos!$B:$B,PANES_SEMANALES[[#ALL],[DOMINGO]])</f>
        <v>0</v>
      </c>
      <c r="T91" s="8">
        <f t="shared" si="1"/>
        <v>0</v>
      </c>
    </row>
    <row r="92" ht="22.5" customHeight="1">
      <c r="B92" s="4" t="s">
        <v>40</v>
      </c>
      <c r="C92" s="5">
        <f>SUMIFS(Eventos!$BH:$BH,Eventos!$BG:$BG,$B92,Eventos!$B:$B,C$70,Eventos!$D:$D,$C$2)</f>
        <v>0</v>
      </c>
      <c r="D92" s="6">
        <f>SUMIFS(Eventos!$BH:$BH,Eventos!$BG:$BG,$B92,Eventos!$B:$B,D$70,Eventos!$D:$D,$C$2)</f>
        <v>0</v>
      </c>
      <c r="E92" s="6">
        <f>SUMIFS(Eventos!$BH:$BH,Eventos!$BG:$BG,$B92,Eventos!$B:$B,E$70,Eventos!$D:$D,$C$2)</f>
        <v>0</v>
      </c>
      <c r="F92" s="6">
        <f>SUMIFS(Eventos!$BH:$BH,Eventos!$BG:$BG,$B92,Eventos!$B:$B,F$70,Eventos!$D:$D,$C$2)</f>
        <v>0</v>
      </c>
      <c r="G92" s="6">
        <f>SUMIFS(Eventos!$BH:$BH,Eventos!$BG:$BG,$B92,Eventos!$B:$B,G$70,Eventos!$D:$D,$C$2)</f>
        <v>0</v>
      </c>
      <c r="H92" s="6">
        <f>SUMIFS(Eventos!$BH:$BH,Eventos!$BG:$BG,$B92,Eventos!$B:$B,H$70,Eventos!$D:$D,$C$2)</f>
        <v>0</v>
      </c>
      <c r="I92" s="6">
        <f>SUMIFS(Eventos!$BH:$BH,Eventos!$BG:$BG,$B92,Eventos!$B:$B,I$70,Eventos!$D:$D,$C$2)</f>
        <v>0</v>
      </c>
      <c r="J92" s="54">
        <f t="shared" si="8"/>
        <v>0</v>
      </c>
      <c r="L92" s="4"/>
      <c r="M92" s="5">
        <f>SUMIFS(Eventos!$G:$G,Eventos!$F:$F,$L92,Eventos!$D:$D,$C$2,Eventos!$B:$B,PANES_SEMANALES[[#ALL],[LUNES]])</f>
        <v>0</v>
      </c>
      <c r="N92" s="6">
        <f>SUMIFS(Eventos!$G:$G,Eventos!$F:$F,$L92,Eventos!$D:$D,$C$2,Eventos!$B:$B,PANES_SEMANALES[[#ALL],[MARTES]])</f>
        <v>0</v>
      </c>
      <c r="O92" s="6">
        <f>SUMIFS(Eventos!$G:$G,Eventos!$F:$F,$L92,Eventos!$D:$D,$C$2,Eventos!$B:$B,PANES_SEMANALES[[#ALL],[MIÉRCOLES]])</f>
        <v>0</v>
      </c>
      <c r="P92" s="6">
        <f>SUMIFS(Eventos!$G:$G,Eventos!$F:$F,$L92,Eventos!$D:$D,$C$2,Eventos!$B:$B,PANES_SEMANALES[[#ALL],[JUEVES]])</f>
        <v>0</v>
      </c>
      <c r="Q92" s="6">
        <f>IF(P92&lt;&gt;"",SUMIFS(Eventos!$G:$G,Eventos!$B:$B,Q$2,Eventos!$D:$D,$C$2,Eventos!$F:$F,$L92),"")</f>
        <v>0</v>
      </c>
      <c r="R92" s="6">
        <f>SUMIFS(Eventos!$G:$G,Eventos!$F:$F,$L92,Eventos!$D:$D,$C$2,Eventos!$B:$B,PANES_SEMANALES[[#ALL],[SÁBADO]])</f>
        <v>0</v>
      </c>
      <c r="S92" s="7">
        <f>SUMIFS(Eventos!$G:$G,Eventos!$F:$F,$L92,Eventos!$D:$D,$C$2,Eventos!$B:$B,PANES_SEMANALES[[#ALL],[DOMINGO]])</f>
        <v>0</v>
      </c>
      <c r="T92" s="8">
        <f t="shared" si="1"/>
        <v>0</v>
      </c>
    </row>
    <row r="93" ht="22.5" customHeight="1">
      <c r="B93" s="4" t="s">
        <v>41</v>
      </c>
      <c r="C93" s="5">
        <f>SUMIFS(Eventos!$BJ:$BJ,Eventos!$BI:$BI,$B93,Eventos!$B:$B,C$70,Eventos!$D:$D,$C$2)</f>
        <v>0</v>
      </c>
      <c r="D93" s="6">
        <f>SUMIFS(Eventos!$BJ:$BJ,Eventos!$BI:$BI,$B93,Eventos!$B:$B,D$70,Eventos!$D:$D,$C$2)</f>
        <v>0</v>
      </c>
      <c r="E93" s="6">
        <f>SUMIFS(Eventos!$BJ:$BJ,Eventos!$BI:$BI,$B93,Eventos!$B:$B,E$70,Eventos!$D:$D,$C$2)</f>
        <v>0</v>
      </c>
      <c r="F93" s="6">
        <f>SUMIFS(Eventos!$BJ:$BJ,Eventos!$BI:$BI,$B93,Eventos!$B:$B,F$70,Eventos!$D:$D,$C$2)</f>
        <v>0</v>
      </c>
      <c r="G93" s="6">
        <f>SUMIFS(Eventos!$BJ:$BJ,Eventos!$BI:$BI,$B93,Eventos!$B:$B,G$70,Eventos!$D:$D,$C$2)</f>
        <v>0</v>
      </c>
      <c r="H93" s="6">
        <f>SUMIFS(Eventos!$BJ:$BJ,Eventos!$BI:$BI,$B93,Eventos!$B:$B,H$70,Eventos!$D:$D,$C$2)</f>
        <v>0</v>
      </c>
      <c r="I93" s="6">
        <f>SUMIFS(Eventos!$BJ:$BJ,Eventos!$BI:$BI,$B93,Eventos!$B:$B,I$70,Eventos!$D:$D,$C$2)</f>
        <v>0</v>
      </c>
      <c r="J93" s="54">
        <f t="shared" si="8"/>
        <v>0</v>
      </c>
      <c r="L93" s="4"/>
      <c r="M93" s="5">
        <f>SUMIFS(Eventos!$G:$G,Eventos!$F:$F,$L93,Eventos!$D:$D,$C$2,Eventos!$B:$B,PANES_SEMANALES[[#ALL],[LUNES]])</f>
        <v>0</v>
      </c>
      <c r="N93" s="6">
        <f>SUMIFS(Eventos!$G:$G,Eventos!$F:$F,$L93,Eventos!$D:$D,$C$2,Eventos!$B:$B,PANES_SEMANALES[[#ALL],[MARTES]])</f>
        <v>0</v>
      </c>
      <c r="O93" s="6">
        <f>SUMIFS(Eventos!$G:$G,Eventos!$F:$F,$L93,Eventos!$D:$D,$C$2,Eventos!$B:$B,PANES_SEMANALES[[#ALL],[MIÉRCOLES]])</f>
        <v>0</v>
      </c>
      <c r="P93" s="6">
        <f>SUMIFS(Eventos!$G:$G,Eventos!$F:$F,$L93,Eventos!$D:$D,$C$2,Eventos!$B:$B,PANES_SEMANALES[[#ALL],[JUEVES]])</f>
        <v>0</v>
      </c>
      <c r="Q93" s="6">
        <f>IF(P93&lt;&gt;"",SUMIFS(Eventos!$G:$G,Eventos!$B:$B,Q$2,Eventos!$D:$D,$C$2,Eventos!$F:$F,$L93),"")</f>
        <v>0</v>
      </c>
      <c r="R93" s="6">
        <f>SUMIFS(Eventos!$G:$G,Eventos!$F:$F,$L93,Eventos!$D:$D,$C$2,Eventos!$B:$B,PANES_SEMANALES[[#ALL],[SÁBADO]])</f>
        <v>0</v>
      </c>
      <c r="S93" s="7">
        <f>SUMIFS(Eventos!$G:$G,Eventos!$F:$F,$L93,Eventos!$D:$D,$C$2,Eventos!$B:$B,PANES_SEMANALES[[#ALL],[DOMINGO]])</f>
        <v>0</v>
      </c>
      <c r="T93" s="8">
        <f t="shared" si="1"/>
        <v>0</v>
      </c>
    </row>
    <row r="94" ht="22.5" customHeight="1">
      <c r="B94" s="4" t="s">
        <v>42</v>
      </c>
      <c r="C94" s="5">
        <f>SUMIFS(Eventos!$BL:$BL,Eventos!$BK:$BK,$B94,Eventos!$B:$B,C$70,Eventos!$D:$D,$C$2)</f>
        <v>0</v>
      </c>
      <c r="D94" s="6">
        <f>SUMIFS(Eventos!$BL:$BL,Eventos!$BK:$BK,$B94,Eventos!$B:$B,D$70,Eventos!$D:$D,$C$2)</f>
        <v>0</v>
      </c>
      <c r="E94" s="6">
        <f>SUMIFS(Eventos!$BL:$BL,Eventos!$BK:$BK,$B94,Eventos!$B:$B,E$70,Eventos!$D:$D,$C$2)</f>
        <v>0</v>
      </c>
      <c r="F94" s="6">
        <f>SUMIFS(Eventos!$BL:$BL,Eventos!$BK:$BK,$B94,Eventos!$B:$B,F$70,Eventos!$D:$D,$C$2)</f>
        <v>0</v>
      </c>
      <c r="G94" s="6">
        <f>SUMIFS(Eventos!$BL:$BL,Eventos!$BK:$BK,$B94,Eventos!$B:$B,G$70,Eventos!$D:$D,$C$2)</f>
        <v>0</v>
      </c>
      <c r="H94" s="6">
        <f>SUMIFS(Eventos!$BL:$BL,Eventos!$BK:$BK,$B94,Eventos!$B:$B,H$70,Eventos!$D:$D,$C$2)</f>
        <v>0</v>
      </c>
      <c r="I94" s="6">
        <f>SUMIFS(Eventos!$BL:$BL,Eventos!$BK:$BK,$B94,Eventos!$B:$B,I$70,Eventos!$D:$D,$C$2)</f>
        <v>0</v>
      </c>
      <c r="J94" s="54">
        <f t="shared" si="8"/>
        <v>0</v>
      </c>
      <c r="L94" s="4"/>
      <c r="M94" s="5">
        <f>SUMIFS(Eventos!$G:$G,Eventos!$F:$F,$L94,Eventos!$D:$D,$C$2,Eventos!$B:$B,PANES_SEMANALES[[#ALL],[LUNES]])</f>
        <v>0</v>
      </c>
      <c r="N94" s="6">
        <f>SUMIFS(Eventos!$G:$G,Eventos!$F:$F,$L94,Eventos!$D:$D,$C$2,Eventos!$B:$B,PANES_SEMANALES[[#ALL],[MARTES]])</f>
        <v>0</v>
      </c>
      <c r="O94" s="6">
        <f>SUMIFS(Eventos!$G:$G,Eventos!$F:$F,$L94,Eventos!$D:$D,$C$2,Eventos!$B:$B,PANES_SEMANALES[[#ALL],[MIÉRCOLES]])</f>
        <v>0</v>
      </c>
      <c r="P94" s="6">
        <f>SUMIFS(Eventos!$G:$G,Eventos!$F:$F,$L94,Eventos!$D:$D,$C$2,Eventos!$B:$B,PANES_SEMANALES[[#ALL],[JUEVES]])</f>
        <v>0</v>
      </c>
      <c r="Q94" s="6">
        <f>IF(P94&lt;&gt;"",SUMIFS(Eventos!$G:$G,Eventos!$B:$B,Q$2,Eventos!$D:$D,$C$2,Eventos!$F:$F,$L94),"")</f>
        <v>0</v>
      </c>
      <c r="R94" s="6">
        <f>SUMIFS(Eventos!$G:$G,Eventos!$F:$F,$L94,Eventos!$D:$D,$C$2,Eventos!$B:$B,PANES_SEMANALES[[#ALL],[SÁBADO]])</f>
        <v>0</v>
      </c>
      <c r="S94" s="7">
        <f>SUMIFS(Eventos!$G:$G,Eventos!$F:$F,$L94,Eventos!$D:$D,$C$2,Eventos!$B:$B,PANES_SEMANALES[[#ALL],[DOMINGO]])</f>
        <v>0</v>
      </c>
      <c r="T94" s="8">
        <f t="shared" si="1"/>
        <v>0</v>
      </c>
    </row>
    <row r="95" ht="22.5" customHeight="1">
      <c r="B95" s="4" t="s">
        <v>43</v>
      </c>
      <c r="C95" s="5">
        <f>SUMIFS(Eventos!$BN:$BN,Eventos!$BM:$BM,$B95,Eventos!$B:$B,C$70,Eventos!$D:$D,$C$2)</f>
        <v>0</v>
      </c>
      <c r="D95" s="6">
        <f>SUMIFS(Eventos!$BN:$BN,Eventos!$BM:$BM,$B95,Eventos!$B:$B,D$70,Eventos!$D:$D,$C$2)</f>
        <v>0</v>
      </c>
      <c r="E95" s="6">
        <f>SUMIFS(Eventos!$BN:$BN,Eventos!$BM:$BM,$B95,Eventos!$B:$B,E$70,Eventos!$D:$D,$C$2)</f>
        <v>0</v>
      </c>
      <c r="F95" s="6">
        <f>SUMIFS(Eventos!$BN:$BN,Eventos!$BM:$BM,$B95,Eventos!$B:$B,F$70,Eventos!$D:$D,$C$2)</f>
        <v>0</v>
      </c>
      <c r="G95" s="6">
        <f>SUMIFS(Eventos!$BN:$BN,Eventos!$BM:$BM,$B95,Eventos!$B:$B,G$70,Eventos!$D:$D,$C$2)</f>
        <v>0</v>
      </c>
      <c r="H95" s="6">
        <f>SUMIFS(Eventos!$BN:$BN,Eventos!$BM:$BM,$B95,Eventos!$B:$B,H$70,Eventos!$D:$D,$C$2)</f>
        <v>0</v>
      </c>
      <c r="I95" s="6">
        <f>SUMIFS(Eventos!$BN:$BN,Eventos!$BM:$BM,$B95,Eventos!$B:$B,I$70,Eventos!$D:$D,$C$2)</f>
        <v>0</v>
      </c>
      <c r="J95" s="54">
        <f t="shared" si="8"/>
        <v>0</v>
      </c>
      <c r="L95" s="4"/>
      <c r="M95" s="5">
        <f>SUMIFS(Eventos!$G:$G,Eventos!$F:$F,$L95,Eventos!$D:$D,$C$2,Eventos!$B:$B,PANES_SEMANALES[[#ALL],[LUNES]])</f>
        <v>0</v>
      </c>
      <c r="N95" s="6">
        <f>SUMIFS(Eventos!$G:$G,Eventos!$F:$F,$L95,Eventos!$D:$D,$C$2,Eventos!$B:$B,PANES_SEMANALES[[#ALL],[MARTES]])</f>
        <v>0</v>
      </c>
      <c r="O95" s="6">
        <f>SUMIFS(Eventos!$G:$G,Eventos!$F:$F,$L95,Eventos!$D:$D,$C$2,Eventos!$B:$B,PANES_SEMANALES[[#ALL],[MIÉRCOLES]])</f>
        <v>0</v>
      </c>
      <c r="P95" s="6">
        <f>SUMIFS(Eventos!$G:$G,Eventos!$F:$F,$L95,Eventos!$D:$D,$C$2,Eventos!$B:$B,PANES_SEMANALES[[#ALL],[JUEVES]])</f>
        <v>0</v>
      </c>
      <c r="Q95" s="6">
        <f>IF(P95&lt;&gt;"",SUMIFS(Eventos!$G:$G,Eventos!$B:$B,Q$2,Eventos!$D:$D,$C$2,Eventos!$F:$F,$L95),"")</f>
        <v>0</v>
      </c>
      <c r="R95" s="6">
        <f>SUMIFS(Eventos!$G:$G,Eventos!$F:$F,$L95,Eventos!$D:$D,$C$2,Eventos!$B:$B,PANES_SEMANALES[[#ALL],[SÁBADO]])</f>
        <v>0</v>
      </c>
      <c r="S95" s="7">
        <f>SUMIFS(Eventos!$G:$G,Eventos!$F:$F,$L95,Eventos!$D:$D,$C$2,Eventos!$B:$B,PANES_SEMANALES[[#ALL],[DOMINGO]])</f>
        <v>0</v>
      </c>
      <c r="T95" s="8">
        <f t="shared" si="1"/>
        <v>0</v>
      </c>
    </row>
    <row r="96" ht="22.5" customHeight="1">
      <c r="B96" s="4" t="s">
        <v>44</v>
      </c>
      <c r="C96" s="5">
        <f>SUMIFS(Eventos!$BP:$BP,Eventos!$BO:$BO,$B96,Eventos!$B:$B,C$70,Eventos!$D:$D,$C$2)</f>
        <v>0</v>
      </c>
      <c r="D96" s="6">
        <f>SUMIFS(Eventos!$BP:$BP,Eventos!$BO:$BO,$B96,Eventos!$B:$B,D$70,Eventos!$D:$D,$C$2)</f>
        <v>0</v>
      </c>
      <c r="E96" s="6">
        <f>SUMIFS(Eventos!$BP:$BP,Eventos!$BO:$BO,$B96,Eventos!$B:$B,E$70,Eventos!$D:$D,$C$2)</f>
        <v>0</v>
      </c>
      <c r="F96" s="6">
        <f>SUMIFS(Eventos!$BP:$BP,Eventos!$BO:$BO,$B96,Eventos!$B:$B,F$70,Eventos!$D:$D,$C$2)</f>
        <v>0</v>
      </c>
      <c r="G96" s="6">
        <f>SUMIFS(Eventos!$BP:$BP,Eventos!$BO:$BO,$B96,Eventos!$B:$B,G$70,Eventos!$D:$D,$C$2)</f>
        <v>0</v>
      </c>
      <c r="H96" s="6">
        <f>SUMIFS(Eventos!$BP:$BP,Eventos!$BO:$BO,$B96,Eventos!$B:$B,H$70,Eventos!$D:$D,$C$2)</f>
        <v>0</v>
      </c>
      <c r="I96" s="6">
        <f>SUMIFS(Eventos!$BP:$BP,Eventos!$BO:$BO,$B96,Eventos!$B:$B,I$70,Eventos!$D:$D,$C$2)</f>
        <v>0</v>
      </c>
      <c r="J96" s="54">
        <f t="shared" si="8"/>
        <v>0</v>
      </c>
      <c r="L96" s="4"/>
      <c r="M96" s="5">
        <f>SUMIFS(Eventos!$G:$G,Eventos!$F:$F,$L96,Eventos!$D:$D,$C$2,Eventos!$B:$B,PANES_SEMANALES[[#ALL],[LUNES]])</f>
        <v>0</v>
      </c>
      <c r="N96" s="6">
        <f>SUMIFS(Eventos!$G:$G,Eventos!$F:$F,$L96,Eventos!$D:$D,$C$2,Eventos!$B:$B,PANES_SEMANALES[[#ALL],[MARTES]])</f>
        <v>0</v>
      </c>
      <c r="O96" s="6">
        <f>SUMIFS(Eventos!$G:$G,Eventos!$F:$F,$L96,Eventos!$D:$D,$C$2,Eventos!$B:$B,PANES_SEMANALES[[#ALL],[MIÉRCOLES]])</f>
        <v>0</v>
      </c>
      <c r="P96" s="6">
        <f>SUMIFS(Eventos!$G:$G,Eventos!$F:$F,$L96,Eventos!$D:$D,$C$2,Eventos!$B:$B,PANES_SEMANALES[[#ALL],[JUEVES]])</f>
        <v>0</v>
      </c>
      <c r="Q96" s="6">
        <f>IF(P96&lt;&gt;"",SUMIFS(Eventos!$G:$G,Eventos!$B:$B,Q$2,Eventos!$D:$D,$C$2,Eventos!$F:$F,$L96),"")</f>
        <v>0</v>
      </c>
      <c r="R96" s="6">
        <f>SUMIFS(Eventos!$G:$G,Eventos!$F:$F,$L96,Eventos!$D:$D,$C$2,Eventos!$B:$B,PANES_SEMANALES[[#ALL],[SÁBADO]])</f>
        <v>0</v>
      </c>
      <c r="S96" s="7">
        <f>SUMIFS(Eventos!$G:$G,Eventos!$F:$F,$L96,Eventos!$D:$D,$C$2,Eventos!$B:$B,PANES_SEMANALES[[#ALL],[DOMINGO]])</f>
        <v>0</v>
      </c>
      <c r="T96" s="8">
        <f t="shared" si="1"/>
        <v>0</v>
      </c>
    </row>
    <row r="97" ht="22.5" customHeight="1">
      <c r="B97" s="4" t="s">
        <v>45</v>
      </c>
      <c r="C97" s="5">
        <f>SUMIFS(Eventos!$BR:$BR,Eventos!$BQ:$BQ,$B97,Eventos!$B:$B,C$70,Eventos!$D:$D,$C$2)</f>
        <v>0</v>
      </c>
      <c r="D97" s="6">
        <f>SUMIFS(Eventos!$BR:$BR,Eventos!$BQ:$BQ,$B97,Eventos!$B:$B,D$70,Eventos!$D:$D,$C$2)</f>
        <v>0</v>
      </c>
      <c r="E97" s="6">
        <f>SUMIFS(Eventos!$BR:$BR,Eventos!$BQ:$BQ,$B97,Eventos!$B:$B,E$70,Eventos!$D:$D,$C$2)</f>
        <v>0</v>
      </c>
      <c r="F97" s="6">
        <f>SUMIFS(Eventos!$BR:$BR,Eventos!$BQ:$BQ,$B97,Eventos!$B:$B,F$70,Eventos!$D:$D,$C$2)</f>
        <v>0</v>
      </c>
      <c r="G97" s="6">
        <f>SUMIFS(Eventos!$BR:$BR,Eventos!$BQ:$BQ,$B97,Eventos!$B:$B,G$70,Eventos!$D:$D,$C$2)</f>
        <v>0</v>
      </c>
      <c r="H97" s="6">
        <f>SUMIFS(Eventos!$BR:$BR,Eventos!$BQ:$BQ,$B97,Eventos!$B:$B,H$70,Eventos!$D:$D,$C$2)</f>
        <v>0</v>
      </c>
      <c r="I97" s="6">
        <f>SUMIFS(Eventos!$BR:$BR,Eventos!$BQ:$BQ,$B97,Eventos!$B:$B,I$70,Eventos!$D:$D,$C$2)</f>
        <v>0</v>
      </c>
      <c r="J97" s="54">
        <f t="shared" si="8"/>
        <v>0</v>
      </c>
      <c r="L97" s="4"/>
      <c r="M97" s="5">
        <f>SUMIFS(Eventos!$G:$G,Eventos!$F:$F,$L97,Eventos!$D:$D,$C$2,Eventos!$B:$B,PANES_SEMANALES[[#ALL],[LUNES]])</f>
        <v>0</v>
      </c>
      <c r="N97" s="6">
        <f>SUMIFS(Eventos!$G:$G,Eventos!$F:$F,$L97,Eventos!$D:$D,$C$2,Eventos!$B:$B,PANES_SEMANALES[[#ALL],[MARTES]])</f>
        <v>0</v>
      </c>
      <c r="O97" s="6">
        <f>SUMIFS(Eventos!$G:$G,Eventos!$F:$F,$L97,Eventos!$D:$D,$C$2,Eventos!$B:$B,PANES_SEMANALES[[#ALL],[MIÉRCOLES]])</f>
        <v>0</v>
      </c>
      <c r="P97" s="6">
        <f>SUMIFS(Eventos!$G:$G,Eventos!$F:$F,$L97,Eventos!$D:$D,$C$2,Eventos!$B:$B,PANES_SEMANALES[[#ALL],[JUEVES]])</f>
        <v>0</v>
      </c>
      <c r="Q97" s="6">
        <f>IF(P97&lt;&gt;"",SUMIFS(Eventos!$G:$G,Eventos!$B:$B,Q$2,Eventos!$D:$D,$C$2,Eventos!$F:$F,$L97),"")</f>
        <v>0</v>
      </c>
      <c r="R97" s="6">
        <f>SUMIFS(Eventos!$G:$G,Eventos!$F:$F,$L97,Eventos!$D:$D,$C$2,Eventos!$B:$B,PANES_SEMANALES[[#ALL],[SÁBADO]])</f>
        <v>0</v>
      </c>
      <c r="S97" s="7">
        <f>SUMIFS(Eventos!$G:$G,Eventos!$F:$F,$L97,Eventos!$D:$D,$C$2,Eventos!$B:$B,PANES_SEMANALES[[#ALL],[DOMINGO]])</f>
        <v>0</v>
      </c>
      <c r="T97" s="8">
        <f t="shared" si="1"/>
        <v>0</v>
      </c>
    </row>
    <row r="98" ht="22.5" customHeight="1">
      <c r="B98" s="4" t="s">
        <v>46</v>
      </c>
      <c r="C98" s="5">
        <f>SUMIFS(Eventos!$BT:$BT,Eventos!$BS:$BS,$B98,Eventos!$B:$B,C$70,Eventos!$D:$D,$C$2)</f>
        <v>0</v>
      </c>
      <c r="D98" s="6">
        <f>SUMIFS(Eventos!$BT:$BT,Eventos!$BS:$BS,$B98,Eventos!$B:$B,D$70,Eventos!$D:$D,$C$2)</f>
        <v>0</v>
      </c>
      <c r="E98" s="6">
        <f>SUMIFS(Eventos!$BT:$BT,Eventos!$BS:$BS,$B98,Eventos!$B:$B,E$70,Eventos!$D:$D,$C$2)</f>
        <v>0</v>
      </c>
      <c r="F98" s="6">
        <f>SUMIFS(Eventos!$BT:$BT,Eventos!$BS:$BS,$B98,Eventos!$B:$B,F$70,Eventos!$D:$D,$C$2)</f>
        <v>0</v>
      </c>
      <c r="G98" s="6">
        <f>SUMIFS(Eventos!$BT:$BT,Eventos!$BS:$BS,$B98,Eventos!$B:$B,G$70,Eventos!$D:$D,$C$2)</f>
        <v>0</v>
      </c>
      <c r="H98" s="6">
        <f>SUMIFS(Eventos!$BT:$BT,Eventos!$BS:$BS,$B98,Eventos!$B:$B,H$70,Eventos!$D:$D,$C$2)</f>
        <v>0</v>
      </c>
      <c r="I98" s="6">
        <f>SUMIFS(Eventos!$BT:$BT,Eventos!$BS:$BS,$B98,Eventos!$B:$B,I$70,Eventos!$D:$D,$C$2)</f>
        <v>0</v>
      </c>
      <c r="J98" s="54">
        <f t="shared" si="8"/>
        <v>0</v>
      </c>
      <c r="L98" s="4"/>
      <c r="M98" s="5">
        <f>SUMIFS(Eventos!$G:$G,Eventos!$F:$F,$L98,Eventos!$D:$D,$C$2,Eventos!$B:$B,PANES_SEMANALES[[#ALL],[LUNES]])</f>
        <v>0</v>
      </c>
      <c r="N98" s="6">
        <f>SUMIFS(Eventos!$G:$G,Eventos!$F:$F,$L98,Eventos!$D:$D,$C$2,Eventos!$B:$B,PANES_SEMANALES[[#ALL],[MARTES]])</f>
        <v>0</v>
      </c>
      <c r="O98" s="6">
        <f>SUMIFS(Eventos!$G:$G,Eventos!$F:$F,$L98,Eventos!$D:$D,$C$2,Eventos!$B:$B,PANES_SEMANALES[[#ALL],[MIÉRCOLES]])</f>
        <v>0</v>
      </c>
      <c r="P98" s="6">
        <f>SUMIFS(Eventos!$G:$G,Eventos!$F:$F,$L98,Eventos!$D:$D,$C$2,Eventos!$B:$B,PANES_SEMANALES[[#ALL],[JUEVES]])</f>
        <v>0</v>
      </c>
      <c r="Q98" s="6">
        <f>IF(P98&lt;&gt;"",SUMIFS(Eventos!$G:$G,Eventos!$B:$B,Q$2,Eventos!$D:$D,$C$2,Eventos!$F:$F,$L98),"")</f>
        <v>0</v>
      </c>
      <c r="R98" s="6">
        <f>SUMIFS(Eventos!$G:$G,Eventos!$F:$F,$L98,Eventos!$D:$D,$C$2,Eventos!$B:$B,PANES_SEMANALES[[#ALL],[SÁBADO]])</f>
        <v>0</v>
      </c>
      <c r="S98" s="7">
        <f>SUMIFS(Eventos!$G:$G,Eventos!$F:$F,$L98,Eventos!$D:$D,$C$2,Eventos!$B:$B,PANES_SEMANALES[[#ALL],[DOMINGO]])</f>
        <v>0</v>
      </c>
      <c r="T98" s="8">
        <f t="shared" si="1"/>
        <v>0</v>
      </c>
    </row>
    <row r="99" ht="22.5" customHeight="1">
      <c r="B99" s="4" t="s">
        <v>47</v>
      </c>
      <c r="C99" s="5">
        <f>SUMIFS(Eventos!$BV:$BV,Eventos!$BU:$BU,$B99,Eventos!$B:$B,C$70,Eventos!$D:$D,$C$2)</f>
        <v>0</v>
      </c>
      <c r="D99" s="6">
        <f>SUMIFS(Eventos!$BV:$BV,Eventos!$BU:$BU,$B99,Eventos!$B:$B,D$70,Eventos!$D:$D,$C$2)</f>
        <v>0</v>
      </c>
      <c r="E99" s="6">
        <f>SUMIFS(Eventos!$BV:$BV,Eventos!$BU:$BU,$B99,Eventos!$B:$B,E$70,Eventos!$D:$D,$C$2)</f>
        <v>0</v>
      </c>
      <c r="F99" s="6">
        <f>SUMIFS(Eventos!$BV:$BV,Eventos!$BU:$BU,$B99,Eventos!$B:$B,F$70,Eventos!$D:$D,$C$2)</f>
        <v>0</v>
      </c>
      <c r="G99" s="6">
        <f>SUMIFS(Eventos!$BV:$BV,Eventos!$BU:$BU,$B99,Eventos!$B:$B,G$70,Eventos!$D:$D,$C$2)</f>
        <v>0</v>
      </c>
      <c r="H99" s="6">
        <f>SUMIFS(Eventos!$BV:$BV,Eventos!$BU:$BU,$B99,Eventos!$B:$B,H$70,Eventos!$D:$D,$C$2)</f>
        <v>0</v>
      </c>
      <c r="I99" s="6">
        <f>SUMIFS(Eventos!$BV:$BV,Eventos!$BU:$BU,$B99,Eventos!$B:$B,I$70,Eventos!$D:$D,$C$2)</f>
        <v>0</v>
      </c>
      <c r="J99" s="54">
        <f t="shared" si="8"/>
        <v>0</v>
      </c>
      <c r="L99" s="4"/>
      <c r="M99" s="5">
        <f>SUMIFS(Eventos!$G:$G,Eventos!$F:$F,$L99,Eventos!$D:$D,$C$2,Eventos!$B:$B,PANES_SEMANALES[[#ALL],[LUNES]])</f>
        <v>0</v>
      </c>
      <c r="N99" s="6">
        <f>SUMIFS(Eventos!$G:$G,Eventos!$F:$F,$L99,Eventos!$D:$D,$C$2,Eventos!$B:$B,PANES_SEMANALES[[#ALL],[MARTES]])</f>
        <v>0</v>
      </c>
      <c r="O99" s="6">
        <f>SUMIFS(Eventos!$G:$G,Eventos!$F:$F,$L99,Eventos!$D:$D,$C$2,Eventos!$B:$B,PANES_SEMANALES[[#ALL],[MIÉRCOLES]])</f>
        <v>0</v>
      </c>
      <c r="P99" s="6">
        <f>SUMIFS(Eventos!$G:$G,Eventos!$F:$F,$L99,Eventos!$D:$D,$C$2,Eventos!$B:$B,PANES_SEMANALES[[#ALL],[JUEVES]])</f>
        <v>0</v>
      </c>
      <c r="Q99" s="6">
        <f>IF(P99&lt;&gt;"",SUMIFS(Eventos!$G:$G,Eventos!$B:$B,Q$2,Eventos!$D:$D,$C$2,Eventos!$F:$F,$L99),"")</f>
        <v>0</v>
      </c>
      <c r="R99" s="6">
        <f>SUMIFS(Eventos!$G:$G,Eventos!$F:$F,$L99,Eventos!$D:$D,$C$2,Eventos!$B:$B,PANES_SEMANALES[[#ALL],[SÁBADO]])</f>
        <v>0</v>
      </c>
      <c r="S99" s="7">
        <f>SUMIFS(Eventos!$G:$G,Eventos!$F:$F,$L99,Eventos!$D:$D,$C$2,Eventos!$B:$B,PANES_SEMANALES[[#ALL],[DOMINGO]])</f>
        <v>0</v>
      </c>
      <c r="T99" s="8">
        <f t="shared" si="1"/>
        <v>0</v>
      </c>
    </row>
    <row r="100" ht="22.5" customHeight="1">
      <c r="B100" s="4" t="s">
        <v>48</v>
      </c>
      <c r="C100" s="5">
        <f>SUMIFS(Eventos!$BX:$BX,Eventos!$BW:$BW,$B100,Eventos!$B:$B,C$70,Eventos!$D:$D,$C$2)</f>
        <v>0</v>
      </c>
      <c r="D100" s="6">
        <f>SUMIFS(Eventos!$BX:$BX,Eventos!$BW:$BW,$B100,Eventos!$B:$B,D$70,Eventos!$D:$D,$C$2)</f>
        <v>0</v>
      </c>
      <c r="E100" s="6">
        <f>SUMIFS(Eventos!$BX:$BX,Eventos!$BW:$BW,$B100,Eventos!$B:$B,E$70,Eventos!$D:$D,$C$2)</f>
        <v>0</v>
      </c>
      <c r="F100" s="6">
        <f>SUMIFS(Eventos!$BX:$BX,Eventos!$BW:$BW,$B100,Eventos!$B:$B,F$70,Eventos!$D:$D,$C$2)</f>
        <v>0</v>
      </c>
      <c r="G100" s="6">
        <f>SUMIFS(Eventos!$BX:$BX,Eventos!$BW:$BW,$B100,Eventos!$B:$B,G$70,Eventos!$D:$D,$C$2)</f>
        <v>0</v>
      </c>
      <c r="H100" s="6">
        <f>SUMIFS(Eventos!$BX:$BX,Eventos!$BW:$BW,$B100,Eventos!$B:$B,H$70,Eventos!$D:$D,$C$2)</f>
        <v>0</v>
      </c>
      <c r="I100" s="6">
        <f>SUMIFS(Eventos!$BX:$BX,Eventos!$BW:$BW,$B100,Eventos!$B:$B,I$70,Eventos!$D:$D,$C$2)</f>
        <v>0</v>
      </c>
      <c r="J100" s="54">
        <f t="shared" si="8"/>
        <v>0</v>
      </c>
      <c r="L100" s="4"/>
      <c r="M100" s="5">
        <f>SUMIFS(Eventos!$G:$G,Eventos!$F:$F,$L100,Eventos!$D:$D,$C$2,Eventos!$B:$B,PANES_SEMANALES[[#ALL],[LUNES]])</f>
        <v>0</v>
      </c>
      <c r="N100" s="6">
        <f>SUMIFS(Eventos!$G:$G,Eventos!$F:$F,$L100,Eventos!$D:$D,$C$2,Eventos!$B:$B,PANES_SEMANALES[[#ALL],[MARTES]])</f>
        <v>0</v>
      </c>
      <c r="O100" s="6">
        <f>SUMIFS(Eventos!$G:$G,Eventos!$F:$F,$L100,Eventos!$D:$D,$C$2,Eventos!$B:$B,PANES_SEMANALES[[#ALL],[MIÉRCOLES]])</f>
        <v>0</v>
      </c>
      <c r="P100" s="6">
        <f>SUMIFS(Eventos!$G:$G,Eventos!$F:$F,$L100,Eventos!$D:$D,$C$2,Eventos!$B:$B,PANES_SEMANALES[[#ALL],[JUEVES]])</f>
        <v>0</v>
      </c>
      <c r="Q100" s="6">
        <f>IF(P100&lt;&gt;"",SUMIFS(Eventos!$G:$G,Eventos!$B:$B,Q$2,Eventos!$D:$D,$C$2,Eventos!$F:$F,$L100),"")</f>
        <v>0</v>
      </c>
      <c r="R100" s="6">
        <f>SUMIFS(Eventos!$G:$G,Eventos!$F:$F,$L100,Eventos!$D:$D,$C$2,Eventos!$B:$B,PANES_SEMANALES[[#ALL],[SÁBADO]])</f>
        <v>0</v>
      </c>
      <c r="S100" s="7">
        <f>SUMIFS(Eventos!$G:$G,Eventos!$F:$F,$L100,Eventos!$D:$D,$C$2,Eventos!$B:$B,PANES_SEMANALES[[#ALL],[DOMINGO]])</f>
        <v>0</v>
      </c>
      <c r="T100" s="8">
        <f t="shared" si="1"/>
        <v>0</v>
      </c>
    </row>
    <row r="101" ht="22.5" customHeight="1">
      <c r="B101" s="55" t="s">
        <v>49</v>
      </c>
      <c r="C101" s="56">
        <f>SUMIFS(Eventos!$BZ:$BZ,Eventos!$BY:$BY,$B101,Eventos!$B:$B,C$70,Eventos!$D:$D,$C$2)</f>
        <v>0</v>
      </c>
      <c r="D101" s="57">
        <f>SUMIFS(Eventos!$BZ:$BZ,Eventos!$BY:$BY,$B101,Eventos!$B:$B,D$70,Eventos!$D:$D,$C$2)</f>
        <v>0</v>
      </c>
      <c r="E101" s="57">
        <f>SUMIFS(Eventos!$BZ:$BZ,Eventos!$BY:$BY,$B101,Eventos!$B:$B,E$70,Eventos!$D:$D,$C$2)</f>
        <v>0</v>
      </c>
      <c r="F101" s="57">
        <f>SUMIFS(Eventos!$BZ:$BZ,Eventos!$BY:$BY,$B101,Eventos!$B:$B,F$70,Eventos!$D:$D,$C$2)</f>
        <v>0</v>
      </c>
      <c r="G101" s="57">
        <f>SUMIFS(Eventos!$BZ:$BZ,Eventos!$BY:$BY,$B101,Eventos!$B:$B,G$70,Eventos!$D:$D,$C$2)</f>
        <v>0</v>
      </c>
      <c r="H101" s="57">
        <f>SUMIFS(Eventos!$BZ:$BZ,Eventos!$BY:$BY,$B101,Eventos!$B:$B,H$70,Eventos!$D:$D,$C$2)</f>
        <v>0</v>
      </c>
      <c r="I101" s="57">
        <f>SUMIFS(Eventos!$BZ:$BZ,Eventos!$BY:$BY,$B101,Eventos!$B:$B,I$70,Eventos!$D:$D,$C$2)</f>
        <v>0</v>
      </c>
      <c r="J101" s="58">
        <f t="shared" si="8"/>
        <v>0</v>
      </c>
      <c r="L101" s="4"/>
      <c r="M101" s="5">
        <f>SUMIFS(Eventos!$G:$G,Eventos!$F:$F,$L101,Eventos!$D:$D,$C$2,Eventos!$B:$B,PANES_SEMANALES[[#ALL],[LUNES]])</f>
        <v>0</v>
      </c>
      <c r="N101" s="6">
        <f>SUMIFS(Eventos!$G:$G,Eventos!$F:$F,$L101,Eventos!$D:$D,$C$2,Eventos!$B:$B,PANES_SEMANALES[[#ALL],[MARTES]])</f>
        <v>0</v>
      </c>
      <c r="O101" s="6">
        <f>SUMIFS(Eventos!$G:$G,Eventos!$F:$F,$L101,Eventos!$D:$D,$C$2,Eventos!$B:$B,PANES_SEMANALES[[#ALL],[MIÉRCOLES]])</f>
        <v>0</v>
      </c>
      <c r="P101" s="6">
        <f>SUMIFS(Eventos!$G:$G,Eventos!$F:$F,$L101,Eventos!$D:$D,$C$2,Eventos!$B:$B,PANES_SEMANALES[[#ALL],[JUEVES]])</f>
        <v>0</v>
      </c>
      <c r="Q101" s="6">
        <f>IF(P101&lt;&gt;"",SUMIFS(Eventos!$G:$G,Eventos!$B:$B,Q$2,Eventos!$D:$D,$C$2,Eventos!$F:$F,$L101),"")</f>
        <v>0</v>
      </c>
      <c r="R101" s="6">
        <f>SUMIFS(Eventos!$G:$G,Eventos!$F:$F,$L101,Eventos!$D:$D,$C$2,Eventos!$B:$B,PANES_SEMANALES[[#ALL],[SÁBADO]])</f>
        <v>0</v>
      </c>
      <c r="S101" s="7">
        <f>SUMIFS(Eventos!$G:$G,Eventos!$F:$F,$L101,Eventos!$D:$D,$C$2,Eventos!$B:$B,PANES_SEMANALES[[#ALL],[DOMINGO]])</f>
        <v>0</v>
      </c>
      <c r="T101" s="8">
        <f t="shared" si="1"/>
        <v>0</v>
      </c>
    </row>
    <row r="102" ht="22.5" customHeight="1">
      <c r="L102" s="4"/>
      <c r="M102" s="5">
        <f>SUMIFS(Eventos!$G:$G,Eventos!$F:$F,$L102,Eventos!$D:$D,$C$2,Eventos!$B:$B,PANES_SEMANALES[[#ALL],[LUNES]])</f>
        <v>0</v>
      </c>
      <c r="N102" s="6">
        <f>SUMIFS(Eventos!$G:$G,Eventos!$F:$F,$L102,Eventos!$D:$D,$C$2,Eventos!$B:$B,PANES_SEMANALES[[#ALL],[MARTES]])</f>
        <v>0</v>
      </c>
      <c r="O102" s="6">
        <f>SUMIFS(Eventos!$G:$G,Eventos!$F:$F,$L102,Eventos!$D:$D,$C$2,Eventos!$B:$B,PANES_SEMANALES[[#ALL],[MIÉRCOLES]])</f>
        <v>0</v>
      </c>
      <c r="P102" s="6">
        <f>SUMIFS(Eventos!$G:$G,Eventos!$F:$F,$L102,Eventos!$D:$D,$C$2,Eventos!$B:$B,PANES_SEMANALES[[#ALL],[JUEVES]])</f>
        <v>0</v>
      </c>
      <c r="Q102" s="6">
        <f>IF(P102&lt;&gt;"",SUMIFS(Eventos!$G:$G,Eventos!$B:$B,Q$2,Eventos!$D:$D,$C$2,Eventos!$F:$F,$L102),"")</f>
        <v>0</v>
      </c>
      <c r="R102" s="6">
        <f>SUMIFS(Eventos!$G:$G,Eventos!$F:$F,$L102,Eventos!$D:$D,$C$2,Eventos!$B:$B,PANES_SEMANALES[[#ALL],[SÁBADO]])</f>
        <v>0</v>
      </c>
      <c r="S102" s="7">
        <f>SUMIFS(Eventos!$G:$G,Eventos!$F:$F,$L102,Eventos!$D:$D,$C$2,Eventos!$B:$B,PANES_SEMANALES[[#ALL],[DOMINGO]])</f>
        <v>0</v>
      </c>
      <c r="T102" s="8">
        <f t="shared" si="1"/>
        <v>0</v>
      </c>
    </row>
    <row r="103" ht="22.5" customHeight="1">
      <c r="L103" s="4"/>
      <c r="M103" s="5">
        <f>SUMIFS(Eventos!$G:$G,Eventos!$F:$F,$L103,Eventos!$D:$D,$C$2,Eventos!$B:$B,PANES_SEMANALES[[#ALL],[LUNES]])</f>
        <v>0</v>
      </c>
      <c r="N103" s="6">
        <f>SUMIFS(Eventos!$G:$G,Eventos!$F:$F,$L103,Eventos!$D:$D,$C$2,Eventos!$B:$B,PANES_SEMANALES[[#ALL],[MARTES]])</f>
        <v>0</v>
      </c>
      <c r="O103" s="6">
        <f>SUMIFS(Eventos!$G:$G,Eventos!$F:$F,$L103,Eventos!$D:$D,$C$2,Eventos!$B:$B,PANES_SEMANALES[[#ALL],[MIÉRCOLES]])</f>
        <v>0</v>
      </c>
      <c r="P103" s="6">
        <f>SUMIFS(Eventos!$G:$G,Eventos!$F:$F,$L103,Eventos!$D:$D,$C$2,Eventos!$B:$B,PANES_SEMANALES[[#ALL],[JUEVES]])</f>
        <v>0</v>
      </c>
      <c r="Q103" s="6">
        <f>IF(P103&lt;&gt;"",SUMIFS(Eventos!$G:$G,Eventos!$B:$B,Q$2,Eventos!$D:$D,$C$2,Eventos!$F:$F,$L103),"")</f>
        <v>0</v>
      </c>
      <c r="R103" s="6">
        <f>SUMIFS(Eventos!$G:$G,Eventos!$F:$F,$L103,Eventos!$D:$D,$C$2,Eventos!$B:$B,PANES_SEMANALES[[#ALL],[SÁBADO]])</f>
        <v>0</v>
      </c>
      <c r="S103" s="7">
        <f>SUMIFS(Eventos!$G:$G,Eventos!$F:$F,$L103,Eventos!$D:$D,$C$2,Eventos!$B:$B,PANES_SEMANALES[[#ALL],[DOMINGO]])</f>
        <v>0</v>
      </c>
      <c r="T103" s="8">
        <f t="shared" si="1"/>
        <v>0</v>
      </c>
    </row>
    <row r="104" ht="22.5" customHeight="1">
      <c r="L104" s="4"/>
      <c r="M104" s="5">
        <f>SUMIFS(Eventos!$G:$G,Eventos!$F:$F,$L104,Eventos!$D:$D,$C$2,Eventos!$B:$B,PANES_SEMANALES[[#ALL],[LUNES]])</f>
        <v>0</v>
      </c>
      <c r="N104" s="6">
        <f>SUMIFS(Eventos!$G:$G,Eventos!$F:$F,$L104,Eventos!$D:$D,$C$2,Eventos!$B:$B,PANES_SEMANALES[[#ALL],[MARTES]])</f>
        <v>0</v>
      </c>
      <c r="O104" s="6">
        <f>SUMIFS(Eventos!$G:$G,Eventos!$F:$F,$L104,Eventos!$D:$D,$C$2,Eventos!$B:$B,PANES_SEMANALES[[#ALL],[MIÉRCOLES]])</f>
        <v>0</v>
      </c>
      <c r="P104" s="6">
        <f>SUMIFS(Eventos!$G:$G,Eventos!$F:$F,$L104,Eventos!$D:$D,$C$2,Eventos!$B:$B,PANES_SEMANALES[[#ALL],[JUEVES]])</f>
        <v>0</v>
      </c>
      <c r="Q104" s="6">
        <f>IF(P104&lt;&gt;"",SUMIFS(Eventos!$G:$G,Eventos!$B:$B,Q$2,Eventos!$D:$D,$C$2,Eventos!$F:$F,$L104),"")</f>
        <v>0</v>
      </c>
      <c r="R104" s="6">
        <f>SUMIFS(Eventos!$G:$G,Eventos!$F:$F,$L104,Eventos!$D:$D,$C$2,Eventos!$B:$B,PANES_SEMANALES[[#ALL],[SÁBADO]])</f>
        <v>0</v>
      </c>
      <c r="S104" s="7">
        <f>SUMIFS(Eventos!$G:$G,Eventos!$F:$F,$L104,Eventos!$D:$D,$C$2,Eventos!$B:$B,PANES_SEMANALES[[#ALL],[DOMINGO]])</f>
        <v>0</v>
      </c>
      <c r="T104" s="8">
        <f t="shared" si="1"/>
        <v>0</v>
      </c>
    </row>
    <row r="105" ht="22.5" customHeight="1">
      <c r="L105" s="4"/>
      <c r="M105" s="5">
        <f>SUMIFS(Eventos!$G:$G,Eventos!$F:$F,$L105,Eventos!$D:$D,$C$2,Eventos!$B:$B,PANES_SEMANALES[[#ALL],[LUNES]])</f>
        <v>0</v>
      </c>
      <c r="N105" s="6">
        <f>SUMIFS(Eventos!$G:$G,Eventos!$F:$F,$L105,Eventos!$D:$D,$C$2,Eventos!$B:$B,PANES_SEMANALES[[#ALL],[MARTES]])</f>
        <v>0</v>
      </c>
      <c r="O105" s="6">
        <f>SUMIFS(Eventos!$G:$G,Eventos!$F:$F,$L105,Eventos!$D:$D,$C$2,Eventos!$B:$B,PANES_SEMANALES[[#ALL],[MIÉRCOLES]])</f>
        <v>0</v>
      </c>
      <c r="P105" s="6">
        <f>SUMIFS(Eventos!$G:$G,Eventos!$F:$F,$L105,Eventos!$D:$D,$C$2,Eventos!$B:$B,PANES_SEMANALES[[#ALL],[JUEVES]])</f>
        <v>0</v>
      </c>
      <c r="Q105" s="6">
        <f>IF(P105&lt;&gt;"",SUMIFS(Eventos!$G:$G,Eventos!$B:$B,Q$2,Eventos!$D:$D,$C$2,Eventos!$F:$F,$L105),"")</f>
        <v>0</v>
      </c>
      <c r="R105" s="6">
        <f>SUMIFS(Eventos!$G:$G,Eventos!$F:$F,$L105,Eventos!$D:$D,$C$2,Eventos!$B:$B,PANES_SEMANALES[[#ALL],[SÁBADO]])</f>
        <v>0</v>
      </c>
      <c r="S105" s="7">
        <f>SUMIFS(Eventos!$G:$G,Eventos!$F:$F,$L105,Eventos!$D:$D,$C$2,Eventos!$B:$B,PANES_SEMANALES[[#ALL],[DOMINGO]])</f>
        <v>0</v>
      </c>
      <c r="T105" s="8">
        <f t="shared" si="1"/>
        <v>0</v>
      </c>
    </row>
    <row r="106" ht="22.5" customHeight="1">
      <c r="L106" s="4"/>
      <c r="M106" s="5">
        <f>SUMIFS(Eventos!$G:$G,Eventos!$F:$F,$L106,Eventos!$D:$D,$C$2,Eventos!$B:$B,PANES_SEMANALES[[#ALL],[LUNES]])</f>
        <v>0</v>
      </c>
      <c r="N106" s="6">
        <f>SUMIFS(Eventos!$G:$G,Eventos!$F:$F,$L106,Eventos!$D:$D,$C$2,Eventos!$B:$B,PANES_SEMANALES[[#ALL],[MARTES]])</f>
        <v>0</v>
      </c>
      <c r="O106" s="6">
        <f>SUMIFS(Eventos!$G:$G,Eventos!$F:$F,$L106,Eventos!$D:$D,$C$2,Eventos!$B:$B,PANES_SEMANALES[[#ALL],[MIÉRCOLES]])</f>
        <v>0</v>
      </c>
      <c r="P106" s="6">
        <f>SUMIFS(Eventos!$G:$G,Eventos!$F:$F,$L106,Eventos!$D:$D,$C$2,Eventos!$B:$B,PANES_SEMANALES[[#ALL],[JUEVES]])</f>
        <v>0</v>
      </c>
      <c r="Q106" s="6">
        <f>IF(P106&lt;&gt;"",SUMIFS(Eventos!$G:$G,Eventos!$B:$B,Q$2,Eventos!$D:$D,$C$2,Eventos!$F:$F,$L106),"")</f>
        <v>0</v>
      </c>
      <c r="R106" s="6">
        <f>SUMIFS(Eventos!$G:$G,Eventos!$F:$F,$L106,Eventos!$D:$D,$C$2,Eventos!$B:$B,PANES_SEMANALES[[#ALL],[SÁBADO]])</f>
        <v>0</v>
      </c>
      <c r="S106" s="7">
        <f>SUMIFS(Eventos!$G:$G,Eventos!$F:$F,$L106,Eventos!$D:$D,$C$2,Eventos!$B:$B,PANES_SEMANALES[[#ALL],[DOMINGO]])</f>
        <v>0</v>
      </c>
      <c r="T106" s="8">
        <f t="shared" si="1"/>
        <v>0</v>
      </c>
    </row>
    <row r="107" ht="22.5" customHeight="1">
      <c r="L107" s="4"/>
      <c r="M107" s="5">
        <f>SUMIFS(Eventos!$G:$G,Eventos!$F:$F,$L107,Eventos!$D:$D,$C$2,Eventos!$B:$B,PANES_SEMANALES[[#ALL],[LUNES]])</f>
        <v>0</v>
      </c>
      <c r="N107" s="6">
        <f>SUMIFS(Eventos!$G:$G,Eventos!$F:$F,$L107,Eventos!$D:$D,$C$2,Eventos!$B:$B,PANES_SEMANALES[[#ALL],[MARTES]])</f>
        <v>0</v>
      </c>
      <c r="O107" s="6">
        <f>SUMIFS(Eventos!$G:$G,Eventos!$F:$F,$L107,Eventos!$D:$D,$C$2,Eventos!$B:$B,PANES_SEMANALES[[#ALL],[MIÉRCOLES]])</f>
        <v>0</v>
      </c>
      <c r="P107" s="6">
        <f>SUMIFS(Eventos!$G:$G,Eventos!$F:$F,$L107,Eventos!$D:$D,$C$2,Eventos!$B:$B,PANES_SEMANALES[[#ALL],[JUEVES]])</f>
        <v>0</v>
      </c>
      <c r="Q107" s="6">
        <f>IF(P107&lt;&gt;"",SUMIFS(Eventos!$G:$G,Eventos!$B:$B,Q$2,Eventos!$D:$D,$C$2,Eventos!$F:$F,$L107),"")</f>
        <v>0</v>
      </c>
      <c r="R107" s="6">
        <f>SUMIFS(Eventos!$G:$G,Eventos!$F:$F,$L107,Eventos!$D:$D,$C$2,Eventos!$B:$B,PANES_SEMANALES[[#ALL],[SÁBADO]])</f>
        <v>0</v>
      </c>
      <c r="S107" s="7">
        <f>SUMIFS(Eventos!$G:$G,Eventos!$F:$F,$L107,Eventos!$D:$D,$C$2,Eventos!$B:$B,PANES_SEMANALES[[#ALL],[DOMINGO]])</f>
        <v>0</v>
      </c>
      <c r="T107" s="8">
        <f t="shared" si="1"/>
        <v>0</v>
      </c>
    </row>
    <row r="108" ht="22.5" customHeight="1">
      <c r="L108" s="4"/>
      <c r="M108" s="5">
        <f>SUMIFS(Eventos!$G:$G,Eventos!$F:$F,$L108,Eventos!$D:$D,$C$2,Eventos!$B:$B,PANES_SEMANALES[[#ALL],[LUNES]])</f>
        <v>0</v>
      </c>
      <c r="N108" s="6">
        <f>SUMIFS(Eventos!$G:$G,Eventos!$F:$F,$L108,Eventos!$D:$D,$C$2,Eventos!$B:$B,PANES_SEMANALES[[#ALL],[MARTES]])</f>
        <v>0</v>
      </c>
      <c r="O108" s="6">
        <f>SUMIFS(Eventos!$G:$G,Eventos!$F:$F,$L108,Eventos!$D:$D,$C$2,Eventos!$B:$B,PANES_SEMANALES[[#ALL],[MIÉRCOLES]])</f>
        <v>0</v>
      </c>
      <c r="P108" s="6">
        <f>SUMIFS(Eventos!$G:$G,Eventos!$F:$F,$L108,Eventos!$D:$D,$C$2,Eventos!$B:$B,PANES_SEMANALES[[#ALL],[JUEVES]])</f>
        <v>0</v>
      </c>
      <c r="Q108" s="6">
        <f>IF(P108&lt;&gt;"",SUMIFS(Eventos!$G:$G,Eventos!$B:$B,Q$2,Eventos!$D:$D,$C$2,Eventos!$F:$F,$L108),"")</f>
        <v>0</v>
      </c>
      <c r="R108" s="6">
        <f>SUMIFS(Eventos!$G:$G,Eventos!$F:$F,$L108,Eventos!$D:$D,$C$2,Eventos!$B:$B,PANES_SEMANALES[[#ALL],[SÁBADO]])</f>
        <v>0</v>
      </c>
      <c r="S108" s="7">
        <f>SUMIFS(Eventos!$G:$G,Eventos!$F:$F,$L108,Eventos!$D:$D,$C$2,Eventos!$B:$B,PANES_SEMANALES[[#ALL],[DOMINGO]])</f>
        <v>0</v>
      </c>
      <c r="T108" s="8">
        <f t="shared" si="1"/>
        <v>0</v>
      </c>
    </row>
    <row r="109" ht="22.5" customHeight="1">
      <c r="L109" s="4"/>
      <c r="M109" s="5">
        <f>SUMIFS(Eventos!$G:$G,Eventos!$F:$F,$L109,Eventos!$D:$D,$C$2,Eventos!$B:$B,PANES_SEMANALES[[#ALL],[LUNES]])</f>
        <v>0</v>
      </c>
      <c r="N109" s="6">
        <f>SUMIFS(Eventos!$G:$G,Eventos!$F:$F,$L109,Eventos!$D:$D,$C$2,Eventos!$B:$B,PANES_SEMANALES[[#ALL],[MARTES]])</f>
        <v>0</v>
      </c>
      <c r="O109" s="6">
        <f>SUMIFS(Eventos!$G:$G,Eventos!$F:$F,$L109,Eventos!$D:$D,$C$2,Eventos!$B:$B,PANES_SEMANALES[[#ALL],[MIÉRCOLES]])</f>
        <v>0</v>
      </c>
      <c r="P109" s="6">
        <f>SUMIFS(Eventos!$G:$G,Eventos!$F:$F,$L109,Eventos!$D:$D,$C$2,Eventos!$B:$B,PANES_SEMANALES[[#ALL],[JUEVES]])</f>
        <v>0</v>
      </c>
      <c r="Q109" s="6">
        <f>IF(P109&lt;&gt;"",SUMIFS(Eventos!$G:$G,Eventos!$B:$B,Q$2,Eventos!$D:$D,$C$2,Eventos!$F:$F,$L109),"")</f>
        <v>0</v>
      </c>
      <c r="R109" s="6">
        <f>SUMIFS(Eventos!$G:$G,Eventos!$F:$F,$L109,Eventos!$D:$D,$C$2,Eventos!$B:$B,PANES_SEMANALES[[#ALL],[SÁBADO]])</f>
        <v>0</v>
      </c>
      <c r="S109" s="7">
        <f>SUMIFS(Eventos!$G:$G,Eventos!$F:$F,$L109,Eventos!$D:$D,$C$2,Eventos!$B:$B,PANES_SEMANALES[[#ALL],[DOMINGO]])</f>
        <v>0</v>
      </c>
      <c r="T109" s="8">
        <f t="shared" si="1"/>
        <v>0</v>
      </c>
    </row>
    <row r="110" ht="22.5" customHeight="1">
      <c r="L110" s="4"/>
      <c r="M110" s="5">
        <f>SUMIFS(Eventos!$G:$G,Eventos!$F:$F,$L110,Eventos!$D:$D,$C$2,Eventos!$B:$B,PANES_SEMANALES[[#ALL],[LUNES]])</f>
        <v>0</v>
      </c>
      <c r="N110" s="6">
        <f>SUMIFS(Eventos!$G:$G,Eventos!$F:$F,$L110,Eventos!$D:$D,$C$2,Eventos!$B:$B,PANES_SEMANALES[[#ALL],[MARTES]])</f>
        <v>0</v>
      </c>
      <c r="O110" s="6">
        <f>SUMIFS(Eventos!$G:$G,Eventos!$F:$F,$L110,Eventos!$D:$D,$C$2,Eventos!$B:$B,PANES_SEMANALES[[#ALL],[MIÉRCOLES]])</f>
        <v>0</v>
      </c>
      <c r="P110" s="6">
        <f>SUMIFS(Eventos!$G:$G,Eventos!$F:$F,$L110,Eventos!$D:$D,$C$2,Eventos!$B:$B,PANES_SEMANALES[[#ALL],[JUEVES]])</f>
        <v>0</v>
      </c>
      <c r="Q110" s="6">
        <f>IF(P110&lt;&gt;"",SUMIFS(Eventos!$G:$G,Eventos!$B:$B,Q$2,Eventos!$D:$D,$C$2,Eventos!$F:$F,$L110),"")</f>
        <v>0</v>
      </c>
      <c r="R110" s="6">
        <f>SUMIFS(Eventos!$G:$G,Eventos!$F:$F,$L110,Eventos!$D:$D,$C$2,Eventos!$B:$B,PANES_SEMANALES[[#ALL],[SÁBADO]])</f>
        <v>0</v>
      </c>
      <c r="S110" s="7">
        <f>SUMIFS(Eventos!$G:$G,Eventos!$F:$F,$L110,Eventos!$D:$D,$C$2,Eventos!$B:$B,PANES_SEMANALES[[#ALL],[DOMINGO]])</f>
        <v>0</v>
      </c>
      <c r="T110" s="8">
        <f t="shared" si="1"/>
        <v>0</v>
      </c>
    </row>
    <row r="111" ht="22.5" customHeight="1">
      <c r="L111" s="4"/>
      <c r="M111" s="5">
        <f>SUMIFS(Eventos!$G:$G,Eventos!$F:$F,$L111,Eventos!$D:$D,$C$2,Eventos!$B:$B,PANES_SEMANALES[[#ALL],[LUNES]])</f>
        <v>0</v>
      </c>
      <c r="N111" s="6">
        <f>SUMIFS(Eventos!$G:$G,Eventos!$F:$F,$L111,Eventos!$D:$D,$C$2,Eventos!$B:$B,PANES_SEMANALES[[#ALL],[MARTES]])</f>
        <v>0</v>
      </c>
      <c r="O111" s="6">
        <f>SUMIFS(Eventos!$G:$G,Eventos!$F:$F,$L111,Eventos!$D:$D,$C$2,Eventos!$B:$B,PANES_SEMANALES[[#ALL],[MIÉRCOLES]])</f>
        <v>0</v>
      </c>
      <c r="P111" s="6">
        <f>SUMIFS(Eventos!$G:$G,Eventos!$F:$F,$L111,Eventos!$D:$D,$C$2,Eventos!$B:$B,PANES_SEMANALES[[#ALL],[JUEVES]])</f>
        <v>0</v>
      </c>
      <c r="Q111" s="6">
        <f>IF(P111&lt;&gt;"",SUMIFS(Eventos!$G:$G,Eventos!$B:$B,Q$2,Eventos!$D:$D,$C$2,Eventos!$F:$F,$L111),"")</f>
        <v>0</v>
      </c>
      <c r="R111" s="6">
        <f>SUMIFS(Eventos!$G:$G,Eventos!$F:$F,$L111,Eventos!$D:$D,$C$2,Eventos!$B:$B,PANES_SEMANALES[[#ALL],[SÁBADO]])</f>
        <v>0</v>
      </c>
      <c r="S111" s="7">
        <f>SUMIFS(Eventos!$G:$G,Eventos!$F:$F,$L111,Eventos!$D:$D,$C$2,Eventos!$B:$B,PANES_SEMANALES[[#ALL],[DOMINGO]])</f>
        <v>0</v>
      </c>
      <c r="T111" s="8">
        <f t="shared" si="1"/>
        <v>0</v>
      </c>
    </row>
    <row r="112" ht="22.5" customHeight="1">
      <c r="L112" s="4"/>
      <c r="M112" s="5">
        <f>SUMIFS(Eventos!$G:$G,Eventos!$F:$F,$L112,Eventos!$D:$D,$C$2,Eventos!$B:$B,PANES_SEMANALES[[#ALL],[LUNES]])</f>
        <v>0</v>
      </c>
      <c r="N112" s="6">
        <f>SUMIFS(Eventos!$G:$G,Eventos!$F:$F,$L112,Eventos!$D:$D,$C$2,Eventos!$B:$B,PANES_SEMANALES[[#ALL],[MARTES]])</f>
        <v>0</v>
      </c>
      <c r="O112" s="6">
        <f>SUMIFS(Eventos!$G:$G,Eventos!$F:$F,$L112,Eventos!$D:$D,$C$2,Eventos!$B:$B,PANES_SEMANALES[[#ALL],[MIÉRCOLES]])</f>
        <v>0</v>
      </c>
      <c r="P112" s="6">
        <f>SUMIFS(Eventos!$G:$G,Eventos!$F:$F,$L112,Eventos!$D:$D,$C$2,Eventos!$B:$B,PANES_SEMANALES[[#ALL],[JUEVES]])</f>
        <v>0</v>
      </c>
      <c r="Q112" s="6">
        <f>IF(P112&lt;&gt;"",SUMIFS(Eventos!$G:$G,Eventos!$B:$B,Q$2,Eventos!$D:$D,$C$2,Eventos!$F:$F,$L112),"")</f>
        <v>0</v>
      </c>
      <c r="R112" s="6">
        <f>SUMIFS(Eventos!$G:$G,Eventos!$F:$F,$L112,Eventos!$D:$D,$C$2,Eventos!$B:$B,PANES_SEMANALES[[#ALL],[SÁBADO]])</f>
        <v>0</v>
      </c>
      <c r="S112" s="7">
        <f>SUMIFS(Eventos!$G:$G,Eventos!$F:$F,$L112,Eventos!$D:$D,$C$2,Eventos!$B:$B,PANES_SEMANALES[[#ALL],[DOMINGO]])</f>
        <v>0</v>
      </c>
      <c r="T112" s="8">
        <f t="shared" si="1"/>
        <v>0</v>
      </c>
    </row>
    <row r="113" ht="22.5" customHeight="1">
      <c r="L113" s="4"/>
      <c r="M113" s="5">
        <f>SUMIFS(Eventos!$G:$G,Eventos!$F:$F,$L113,Eventos!$D:$D,$C$2,Eventos!$B:$B,PANES_SEMANALES[[#ALL],[LUNES]])</f>
        <v>0</v>
      </c>
      <c r="N113" s="6">
        <f>SUMIFS(Eventos!$G:$G,Eventos!$F:$F,$L113,Eventos!$D:$D,$C$2,Eventos!$B:$B,PANES_SEMANALES[[#ALL],[MARTES]])</f>
        <v>0</v>
      </c>
      <c r="O113" s="6">
        <f>SUMIFS(Eventos!$G:$G,Eventos!$F:$F,$L113,Eventos!$D:$D,$C$2,Eventos!$B:$B,PANES_SEMANALES[[#ALL],[MIÉRCOLES]])</f>
        <v>0</v>
      </c>
      <c r="P113" s="6">
        <f>SUMIFS(Eventos!$G:$G,Eventos!$F:$F,$L113,Eventos!$D:$D,$C$2,Eventos!$B:$B,PANES_SEMANALES[[#ALL],[JUEVES]])</f>
        <v>0</v>
      </c>
      <c r="Q113" s="6">
        <f>IF(P113&lt;&gt;"",SUMIFS(Eventos!$G:$G,Eventos!$B:$B,Q$2,Eventos!$D:$D,$C$2,Eventos!$F:$F,$L113),"")</f>
        <v>0</v>
      </c>
      <c r="R113" s="6">
        <f>SUMIFS(Eventos!$G:$G,Eventos!$F:$F,$L113,Eventos!$D:$D,$C$2,Eventos!$B:$B,PANES_SEMANALES[[#ALL],[SÁBADO]])</f>
        <v>0</v>
      </c>
      <c r="S113" s="7">
        <f>SUMIFS(Eventos!$G:$G,Eventos!$F:$F,$L113,Eventos!$D:$D,$C$2,Eventos!$B:$B,PANES_SEMANALES[[#ALL],[DOMINGO]])</f>
        <v>0</v>
      </c>
      <c r="T113" s="8">
        <f t="shared" si="1"/>
        <v>0</v>
      </c>
    </row>
    <row r="114" ht="22.5" customHeight="1">
      <c r="L114" s="4"/>
      <c r="M114" s="5">
        <f>SUMIFS(Eventos!$G:$G,Eventos!$F:$F,$L114,Eventos!$D:$D,$C$2,Eventos!$B:$B,PANES_SEMANALES[[#ALL],[LUNES]])</f>
        <v>0</v>
      </c>
      <c r="N114" s="6">
        <f>SUMIFS(Eventos!$G:$G,Eventos!$F:$F,$L114,Eventos!$D:$D,$C$2,Eventos!$B:$B,PANES_SEMANALES[[#ALL],[MARTES]])</f>
        <v>0</v>
      </c>
      <c r="O114" s="6">
        <f>SUMIFS(Eventos!$G:$G,Eventos!$F:$F,$L114,Eventos!$D:$D,$C$2,Eventos!$B:$B,PANES_SEMANALES[[#ALL],[MIÉRCOLES]])</f>
        <v>0</v>
      </c>
      <c r="P114" s="6">
        <f>SUMIFS(Eventos!$G:$G,Eventos!$F:$F,$L114,Eventos!$D:$D,$C$2,Eventos!$B:$B,PANES_SEMANALES[[#ALL],[JUEVES]])</f>
        <v>0</v>
      </c>
      <c r="Q114" s="6">
        <f>IF(P114&lt;&gt;"",SUMIFS(Eventos!$G:$G,Eventos!$B:$B,Q$2,Eventos!$D:$D,$C$2,Eventos!$F:$F,$L114),"")</f>
        <v>0</v>
      </c>
      <c r="R114" s="6">
        <f>SUMIFS(Eventos!$G:$G,Eventos!$F:$F,$L114,Eventos!$D:$D,$C$2,Eventos!$B:$B,PANES_SEMANALES[[#ALL],[SÁBADO]])</f>
        <v>0</v>
      </c>
      <c r="S114" s="7">
        <f>SUMIFS(Eventos!$G:$G,Eventos!$F:$F,$L114,Eventos!$D:$D,$C$2,Eventos!$B:$B,PANES_SEMANALES[[#ALL],[DOMINGO]])</f>
        <v>0</v>
      </c>
      <c r="T114" s="8">
        <f t="shared" si="1"/>
        <v>0</v>
      </c>
    </row>
    <row r="115" ht="22.5" customHeight="1">
      <c r="L115" s="4"/>
      <c r="M115" s="5">
        <f>SUMIFS(Eventos!$G:$G,Eventos!$F:$F,$L115,Eventos!$D:$D,$C$2,Eventos!$B:$B,PANES_SEMANALES[[#ALL],[LUNES]])</f>
        <v>0</v>
      </c>
      <c r="N115" s="6">
        <f>SUMIFS(Eventos!$G:$G,Eventos!$F:$F,$L115,Eventos!$D:$D,$C$2,Eventos!$B:$B,PANES_SEMANALES[[#ALL],[MARTES]])</f>
        <v>0</v>
      </c>
      <c r="O115" s="6">
        <f>SUMIFS(Eventos!$G:$G,Eventos!$F:$F,$L115,Eventos!$D:$D,$C$2,Eventos!$B:$B,PANES_SEMANALES[[#ALL],[MIÉRCOLES]])</f>
        <v>0</v>
      </c>
      <c r="P115" s="6">
        <f>SUMIFS(Eventos!$G:$G,Eventos!$F:$F,$L115,Eventos!$D:$D,$C$2,Eventos!$B:$B,PANES_SEMANALES[[#ALL],[JUEVES]])</f>
        <v>0</v>
      </c>
      <c r="Q115" s="6">
        <f>IF(P115&lt;&gt;"",SUMIFS(Eventos!$G:$G,Eventos!$B:$B,Q$2,Eventos!$D:$D,$C$2,Eventos!$F:$F,$L115),"")</f>
        <v>0</v>
      </c>
      <c r="R115" s="6">
        <f>SUMIFS(Eventos!$G:$G,Eventos!$F:$F,$L115,Eventos!$D:$D,$C$2,Eventos!$B:$B,PANES_SEMANALES[[#ALL],[SÁBADO]])</f>
        <v>0</v>
      </c>
      <c r="S115" s="7">
        <f>SUMIFS(Eventos!$G:$G,Eventos!$F:$F,$L115,Eventos!$D:$D,$C$2,Eventos!$B:$B,PANES_SEMANALES[[#ALL],[DOMINGO]])</f>
        <v>0</v>
      </c>
      <c r="T115" s="8">
        <f t="shared" si="1"/>
        <v>0</v>
      </c>
    </row>
    <row r="116" ht="22.5" customHeight="1">
      <c r="L116" s="4"/>
      <c r="M116" s="5">
        <f>SUMIFS(Eventos!$G:$G,Eventos!$F:$F,$L116,Eventos!$D:$D,$C$2,Eventos!$B:$B,PANES_SEMANALES[[#ALL],[LUNES]])</f>
        <v>0</v>
      </c>
      <c r="N116" s="6">
        <f>SUMIFS(Eventos!$G:$G,Eventos!$F:$F,$L116,Eventos!$D:$D,$C$2,Eventos!$B:$B,PANES_SEMANALES[[#ALL],[MARTES]])</f>
        <v>0</v>
      </c>
      <c r="O116" s="6">
        <f>SUMIFS(Eventos!$G:$G,Eventos!$F:$F,$L116,Eventos!$D:$D,$C$2,Eventos!$B:$B,PANES_SEMANALES[[#ALL],[MIÉRCOLES]])</f>
        <v>0</v>
      </c>
      <c r="P116" s="6">
        <f>SUMIFS(Eventos!$G:$G,Eventos!$F:$F,$L116,Eventos!$D:$D,$C$2,Eventos!$B:$B,PANES_SEMANALES[[#ALL],[JUEVES]])</f>
        <v>0</v>
      </c>
      <c r="Q116" s="6">
        <f>IF(P116&lt;&gt;"",SUMIFS(Eventos!$G:$G,Eventos!$B:$B,Q$2,Eventos!$D:$D,$C$2,Eventos!$F:$F,$L116),"")</f>
        <v>0</v>
      </c>
      <c r="R116" s="6">
        <f>SUMIFS(Eventos!$G:$G,Eventos!$F:$F,$L116,Eventos!$D:$D,$C$2,Eventos!$B:$B,PANES_SEMANALES[[#ALL],[SÁBADO]])</f>
        <v>0</v>
      </c>
      <c r="S116" s="7">
        <f>SUMIFS(Eventos!$G:$G,Eventos!$F:$F,$L116,Eventos!$D:$D,$C$2,Eventos!$B:$B,PANES_SEMANALES[[#ALL],[DOMINGO]])</f>
        <v>0</v>
      </c>
      <c r="T116" s="8">
        <f t="shared" si="1"/>
        <v>0</v>
      </c>
    </row>
    <row r="117" ht="22.5" customHeight="1">
      <c r="L117" s="4"/>
      <c r="M117" s="5">
        <f>SUMIFS(Eventos!$G:$G,Eventos!$F:$F,$L117,Eventos!$D:$D,$C$2,Eventos!$B:$B,PANES_SEMANALES[[#ALL],[LUNES]])</f>
        <v>0</v>
      </c>
      <c r="N117" s="6">
        <f>SUMIFS(Eventos!$G:$G,Eventos!$F:$F,$L117,Eventos!$D:$D,$C$2,Eventos!$B:$B,PANES_SEMANALES[[#ALL],[MARTES]])</f>
        <v>0</v>
      </c>
      <c r="O117" s="6">
        <f>SUMIFS(Eventos!$G:$G,Eventos!$F:$F,$L117,Eventos!$D:$D,$C$2,Eventos!$B:$B,PANES_SEMANALES[[#ALL],[MIÉRCOLES]])</f>
        <v>0</v>
      </c>
      <c r="P117" s="6">
        <f>SUMIFS(Eventos!$G:$G,Eventos!$F:$F,$L117,Eventos!$D:$D,$C$2,Eventos!$B:$B,PANES_SEMANALES[[#ALL],[JUEVES]])</f>
        <v>0</v>
      </c>
      <c r="Q117" s="6">
        <f>IF(P117&lt;&gt;"",SUMIFS(Eventos!$G:$G,Eventos!$B:$B,Q$2,Eventos!$D:$D,$C$2,Eventos!$F:$F,$L117),"")</f>
        <v>0</v>
      </c>
      <c r="R117" s="6">
        <f>SUMIFS(Eventos!$G:$G,Eventos!$F:$F,$L117,Eventos!$D:$D,$C$2,Eventos!$B:$B,PANES_SEMANALES[[#ALL],[SÁBADO]])</f>
        <v>0</v>
      </c>
      <c r="S117" s="7">
        <f>SUMIFS(Eventos!$G:$G,Eventos!$F:$F,$L117,Eventos!$D:$D,$C$2,Eventos!$B:$B,PANES_SEMANALES[[#ALL],[DOMINGO]])</f>
        <v>0</v>
      </c>
      <c r="T117" s="8">
        <f t="shared" si="1"/>
        <v>0</v>
      </c>
    </row>
    <row r="118" ht="22.5" customHeight="1">
      <c r="L118" s="4"/>
      <c r="M118" s="5">
        <f>SUMIFS(Eventos!$G:$G,Eventos!$F:$F,$L118,Eventos!$D:$D,$C$2,Eventos!$B:$B,PANES_SEMANALES[[#ALL],[LUNES]])</f>
        <v>0</v>
      </c>
      <c r="N118" s="6">
        <f>SUMIFS(Eventos!$G:$G,Eventos!$F:$F,$L118,Eventos!$D:$D,$C$2,Eventos!$B:$B,PANES_SEMANALES[[#ALL],[MARTES]])</f>
        <v>0</v>
      </c>
      <c r="O118" s="6">
        <f>SUMIFS(Eventos!$G:$G,Eventos!$F:$F,$L118,Eventos!$D:$D,$C$2,Eventos!$B:$B,PANES_SEMANALES[[#ALL],[MIÉRCOLES]])</f>
        <v>0</v>
      </c>
      <c r="P118" s="6">
        <f>SUMIFS(Eventos!$G:$G,Eventos!$F:$F,$L118,Eventos!$D:$D,$C$2,Eventos!$B:$B,PANES_SEMANALES[[#ALL],[JUEVES]])</f>
        <v>0</v>
      </c>
      <c r="Q118" s="6">
        <f>IF(P118&lt;&gt;"",SUMIFS(Eventos!$G:$G,Eventos!$B:$B,Q$2,Eventos!$D:$D,$C$2,Eventos!$F:$F,$L118),"")</f>
        <v>0</v>
      </c>
      <c r="R118" s="6">
        <f>SUMIFS(Eventos!$G:$G,Eventos!$F:$F,$L118,Eventos!$D:$D,$C$2,Eventos!$B:$B,PANES_SEMANALES[[#ALL],[SÁBADO]])</f>
        <v>0</v>
      </c>
      <c r="S118" s="7">
        <f>SUMIFS(Eventos!$G:$G,Eventos!$F:$F,$L118,Eventos!$D:$D,$C$2,Eventos!$B:$B,PANES_SEMANALES[[#ALL],[DOMINGO]])</f>
        <v>0</v>
      </c>
      <c r="T118" s="8">
        <f t="shared" si="1"/>
        <v>0</v>
      </c>
    </row>
    <row r="119" ht="22.5" customHeight="1">
      <c r="L119" s="4"/>
      <c r="M119" s="5">
        <f>SUMIFS(Eventos!$G:$G,Eventos!$F:$F,$L119,Eventos!$D:$D,$C$2,Eventos!$B:$B,PANES_SEMANALES[[#ALL],[LUNES]])</f>
        <v>0</v>
      </c>
      <c r="N119" s="6">
        <f>SUMIFS(Eventos!$G:$G,Eventos!$F:$F,$L119,Eventos!$D:$D,$C$2,Eventos!$B:$B,PANES_SEMANALES[[#ALL],[MARTES]])</f>
        <v>0</v>
      </c>
      <c r="O119" s="6">
        <f>SUMIFS(Eventos!$G:$G,Eventos!$F:$F,$L119,Eventos!$D:$D,$C$2,Eventos!$B:$B,PANES_SEMANALES[[#ALL],[MIÉRCOLES]])</f>
        <v>0</v>
      </c>
      <c r="P119" s="6">
        <f>SUMIFS(Eventos!$G:$G,Eventos!$F:$F,$L119,Eventos!$D:$D,$C$2,Eventos!$B:$B,PANES_SEMANALES[[#ALL],[JUEVES]])</f>
        <v>0</v>
      </c>
      <c r="Q119" s="6">
        <f>IF(P119&lt;&gt;"",SUMIFS(Eventos!$G:$G,Eventos!$B:$B,Q$2,Eventos!$D:$D,$C$2,Eventos!$F:$F,$L119),"")</f>
        <v>0</v>
      </c>
      <c r="R119" s="6">
        <f>SUMIFS(Eventos!$G:$G,Eventos!$F:$F,$L119,Eventos!$D:$D,$C$2,Eventos!$B:$B,PANES_SEMANALES[[#ALL],[SÁBADO]])</f>
        <v>0</v>
      </c>
      <c r="S119" s="7">
        <f>SUMIFS(Eventos!$G:$G,Eventos!$F:$F,$L119,Eventos!$D:$D,$C$2,Eventos!$B:$B,PANES_SEMANALES[[#ALL],[DOMINGO]])</f>
        <v>0</v>
      </c>
      <c r="T119" s="8">
        <f t="shared" si="1"/>
        <v>0</v>
      </c>
    </row>
    <row r="120" ht="22.5" customHeight="1">
      <c r="L120" s="4"/>
      <c r="M120" s="5">
        <f>SUMIFS(Eventos!$G:$G,Eventos!$F:$F,$L120,Eventos!$D:$D,$C$2,Eventos!$B:$B,PANES_SEMANALES[[#ALL],[LUNES]])</f>
        <v>0</v>
      </c>
      <c r="N120" s="6">
        <f>SUMIFS(Eventos!$G:$G,Eventos!$F:$F,$L120,Eventos!$D:$D,$C$2,Eventos!$B:$B,PANES_SEMANALES[[#ALL],[MARTES]])</f>
        <v>0</v>
      </c>
      <c r="O120" s="6">
        <f>SUMIFS(Eventos!$G:$G,Eventos!$F:$F,$L120,Eventos!$D:$D,$C$2,Eventos!$B:$B,PANES_SEMANALES[[#ALL],[MIÉRCOLES]])</f>
        <v>0</v>
      </c>
      <c r="P120" s="6">
        <f>SUMIFS(Eventos!$G:$G,Eventos!$F:$F,$L120,Eventos!$D:$D,$C$2,Eventos!$B:$B,PANES_SEMANALES[[#ALL],[JUEVES]])</f>
        <v>0</v>
      </c>
      <c r="Q120" s="6">
        <f>IF(P120&lt;&gt;"",SUMIFS(Eventos!$G:$G,Eventos!$B:$B,Q$2,Eventos!$D:$D,$C$2,Eventos!$F:$F,$L120),"")</f>
        <v>0</v>
      </c>
      <c r="R120" s="6">
        <f>SUMIFS(Eventos!$G:$G,Eventos!$F:$F,$L120,Eventos!$D:$D,$C$2,Eventos!$B:$B,PANES_SEMANALES[[#ALL],[SÁBADO]])</f>
        <v>0</v>
      </c>
      <c r="S120" s="7">
        <f>SUMIFS(Eventos!$G:$G,Eventos!$F:$F,$L120,Eventos!$D:$D,$C$2,Eventos!$B:$B,PANES_SEMANALES[[#ALL],[DOMINGO]])</f>
        <v>0</v>
      </c>
      <c r="T120" s="8">
        <f t="shared" si="1"/>
        <v>0</v>
      </c>
    </row>
    <row r="121" ht="22.5" customHeight="1">
      <c r="L121" s="4"/>
      <c r="M121" s="5">
        <f>SUMIFS(Eventos!$G:$G,Eventos!$F:$F,$L121,Eventos!$D:$D,$C$2,Eventos!$B:$B,PANES_SEMANALES[[#ALL],[LUNES]])</f>
        <v>0</v>
      </c>
      <c r="N121" s="6">
        <f>SUMIFS(Eventos!$G:$G,Eventos!$F:$F,$L121,Eventos!$D:$D,$C$2,Eventos!$B:$B,PANES_SEMANALES[[#ALL],[MARTES]])</f>
        <v>0</v>
      </c>
      <c r="O121" s="6">
        <f>SUMIFS(Eventos!$G:$G,Eventos!$F:$F,$L121,Eventos!$D:$D,$C$2,Eventos!$B:$B,PANES_SEMANALES[[#ALL],[MIÉRCOLES]])</f>
        <v>0</v>
      </c>
      <c r="P121" s="6">
        <f>SUMIFS(Eventos!$G:$G,Eventos!$F:$F,$L121,Eventos!$D:$D,$C$2,Eventos!$B:$B,PANES_SEMANALES[[#ALL],[JUEVES]])</f>
        <v>0</v>
      </c>
      <c r="Q121" s="6">
        <f>IF(P121&lt;&gt;"",SUMIFS(Eventos!$G:$G,Eventos!$B:$B,Q$2,Eventos!$D:$D,$C$2,Eventos!$F:$F,$L121),"")</f>
        <v>0</v>
      </c>
      <c r="R121" s="6">
        <f>SUMIFS(Eventos!$G:$G,Eventos!$F:$F,$L121,Eventos!$D:$D,$C$2,Eventos!$B:$B,PANES_SEMANALES[[#ALL],[SÁBADO]])</f>
        <v>0</v>
      </c>
      <c r="S121" s="7">
        <f>SUMIFS(Eventos!$G:$G,Eventos!$F:$F,$L121,Eventos!$D:$D,$C$2,Eventos!$B:$B,PANES_SEMANALES[[#ALL],[DOMINGO]])</f>
        <v>0</v>
      </c>
      <c r="T121" s="8">
        <f t="shared" si="1"/>
        <v>0</v>
      </c>
    </row>
    <row r="122" ht="22.5" customHeight="1">
      <c r="L122" s="4"/>
      <c r="M122" s="5">
        <f>SUMIFS(Eventos!$G:$G,Eventos!$F:$F,$L122,Eventos!$D:$D,$C$2,Eventos!$B:$B,PANES_SEMANALES[[#ALL],[LUNES]])</f>
        <v>0</v>
      </c>
      <c r="N122" s="6">
        <f>SUMIFS(Eventos!$G:$G,Eventos!$F:$F,$L122,Eventos!$D:$D,$C$2,Eventos!$B:$B,PANES_SEMANALES[[#ALL],[MARTES]])</f>
        <v>0</v>
      </c>
      <c r="O122" s="6">
        <f>SUMIFS(Eventos!$G:$G,Eventos!$F:$F,$L122,Eventos!$D:$D,$C$2,Eventos!$B:$B,PANES_SEMANALES[[#ALL],[MIÉRCOLES]])</f>
        <v>0</v>
      </c>
      <c r="P122" s="6">
        <f>SUMIFS(Eventos!$G:$G,Eventos!$F:$F,$L122,Eventos!$D:$D,$C$2,Eventos!$B:$B,PANES_SEMANALES[[#ALL],[JUEVES]])</f>
        <v>0</v>
      </c>
      <c r="Q122" s="6">
        <f>IF(P122&lt;&gt;"",SUMIFS(Eventos!$G:$G,Eventos!$B:$B,Q$2,Eventos!$D:$D,$C$2,Eventos!$F:$F,$L122),"")</f>
        <v>0</v>
      </c>
      <c r="R122" s="6">
        <f>SUMIFS(Eventos!$G:$G,Eventos!$F:$F,$L122,Eventos!$D:$D,$C$2,Eventos!$B:$B,PANES_SEMANALES[[#ALL],[SÁBADO]])</f>
        <v>0</v>
      </c>
      <c r="S122" s="7">
        <f>SUMIFS(Eventos!$G:$G,Eventos!$F:$F,$L122,Eventos!$D:$D,$C$2,Eventos!$B:$B,PANES_SEMANALES[[#ALL],[DOMINGO]])</f>
        <v>0</v>
      </c>
      <c r="T122" s="8">
        <f t="shared" si="1"/>
        <v>0</v>
      </c>
    </row>
    <row r="123" ht="22.5" customHeight="1">
      <c r="L123" s="4"/>
      <c r="M123" s="5">
        <f>SUMIFS(Eventos!$G:$G,Eventos!$F:$F,$L123,Eventos!$D:$D,$C$2,Eventos!$B:$B,PANES_SEMANALES[[#ALL],[LUNES]])</f>
        <v>0</v>
      </c>
      <c r="N123" s="6">
        <f>SUMIFS(Eventos!$G:$G,Eventos!$F:$F,$L123,Eventos!$D:$D,$C$2,Eventos!$B:$B,PANES_SEMANALES[[#ALL],[MARTES]])</f>
        <v>0</v>
      </c>
      <c r="O123" s="6">
        <f>SUMIFS(Eventos!$G:$G,Eventos!$F:$F,$L123,Eventos!$D:$D,$C$2,Eventos!$B:$B,PANES_SEMANALES[[#ALL],[MIÉRCOLES]])</f>
        <v>0</v>
      </c>
      <c r="P123" s="6">
        <f>SUMIFS(Eventos!$G:$G,Eventos!$F:$F,$L123,Eventos!$D:$D,$C$2,Eventos!$B:$B,PANES_SEMANALES[[#ALL],[JUEVES]])</f>
        <v>0</v>
      </c>
      <c r="Q123" s="6">
        <f>IF(P123&lt;&gt;"",SUMIFS(Eventos!$G:$G,Eventos!$B:$B,Q$2,Eventos!$D:$D,$C$2,Eventos!$F:$F,$L123),"")</f>
        <v>0</v>
      </c>
      <c r="R123" s="6">
        <f>SUMIFS(Eventos!$G:$G,Eventos!$F:$F,$L123,Eventos!$D:$D,$C$2,Eventos!$B:$B,PANES_SEMANALES[[#ALL],[SÁBADO]])</f>
        <v>0</v>
      </c>
      <c r="S123" s="7">
        <f>SUMIFS(Eventos!$G:$G,Eventos!$F:$F,$L123,Eventos!$D:$D,$C$2,Eventos!$B:$B,PANES_SEMANALES[[#ALL],[DOMINGO]])</f>
        <v>0</v>
      </c>
      <c r="T123" s="8">
        <f t="shared" si="1"/>
        <v>0</v>
      </c>
    </row>
    <row r="124" ht="22.5" customHeight="1">
      <c r="L124" s="4"/>
      <c r="M124" s="5">
        <f>SUMIFS(Eventos!$G:$G,Eventos!$F:$F,$L124,Eventos!$D:$D,$C$2,Eventos!$B:$B,PANES_SEMANALES[[#ALL],[LUNES]])</f>
        <v>0</v>
      </c>
      <c r="N124" s="6">
        <f>SUMIFS(Eventos!$G:$G,Eventos!$F:$F,$L124,Eventos!$D:$D,$C$2,Eventos!$B:$B,PANES_SEMANALES[[#ALL],[MARTES]])</f>
        <v>0</v>
      </c>
      <c r="O124" s="6">
        <f>SUMIFS(Eventos!$G:$G,Eventos!$F:$F,$L124,Eventos!$D:$D,$C$2,Eventos!$B:$B,PANES_SEMANALES[[#ALL],[MIÉRCOLES]])</f>
        <v>0</v>
      </c>
      <c r="P124" s="6">
        <f>SUMIFS(Eventos!$G:$G,Eventos!$F:$F,$L124,Eventos!$D:$D,$C$2,Eventos!$B:$B,PANES_SEMANALES[[#ALL],[JUEVES]])</f>
        <v>0</v>
      </c>
      <c r="Q124" s="6">
        <f>IF(P124&lt;&gt;"",SUMIFS(Eventos!$G:$G,Eventos!$B:$B,Q$2,Eventos!$D:$D,$C$2,Eventos!$F:$F,$L124),"")</f>
        <v>0</v>
      </c>
      <c r="R124" s="6">
        <f>SUMIFS(Eventos!$G:$G,Eventos!$F:$F,$L124,Eventos!$D:$D,$C$2,Eventos!$B:$B,PANES_SEMANALES[[#ALL],[SÁBADO]])</f>
        <v>0</v>
      </c>
      <c r="S124" s="7">
        <f>SUMIFS(Eventos!$G:$G,Eventos!$F:$F,$L124,Eventos!$D:$D,$C$2,Eventos!$B:$B,PANES_SEMANALES[[#ALL],[DOMINGO]])</f>
        <v>0</v>
      </c>
      <c r="T124" s="8">
        <f t="shared" si="1"/>
        <v>0</v>
      </c>
    </row>
    <row r="125" ht="22.5" customHeight="1">
      <c r="L125" s="4"/>
      <c r="M125" s="5">
        <f>SUMIFS(Eventos!$G:$G,Eventos!$F:$F,$L125,Eventos!$D:$D,$C$2,Eventos!$B:$B,PANES_SEMANALES[[#ALL],[LUNES]])</f>
        <v>0</v>
      </c>
      <c r="N125" s="6">
        <f>SUMIFS(Eventos!$G:$G,Eventos!$F:$F,$L125,Eventos!$D:$D,$C$2,Eventos!$B:$B,PANES_SEMANALES[[#ALL],[MARTES]])</f>
        <v>0</v>
      </c>
      <c r="O125" s="6">
        <f>SUMIFS(Eventos!$G:$G,Eventos!$F:$F,$L125,Eventos!$D:$D,$C$2,Eventos!$B:$B,PANES_SEMANALES[[#ALL],[MIÉRCOLES]])</f>
        <v>0</v>
      </c>
      <c r="P125" s="6">
        <f>SUMIFS(Eventos!$G:$G,Eventos!$F:$F,$L125,Eventos!$D:$D,$C$2,Eventos!$B:$B,PANES_SEMANALES[[#ALL],[JUEVES]])</f>
        <v>0</v>
      </c>
      <c r="Q125" s="6">
        <f>IF(P125&lt;&gt;"",SUMIFS(Eventos!$G:$G,Eventos!$B:$B,Q$2,Eventos!$D:$D,$C$2,Eventos!$F:$F,$L125),"")</f>
        <v>0</v>
      </c>
      <c r="R125" s="6">
        <f>SUMIFS(Eventos!$G:$G,Eventos!$F:$F,$L125,Eventos!$D:$D,$C$2,Eventos!$B:$B,PANES_SEMANALES[[#ALL],[SÁBADO]])</f>
        <v>0</v>
      </c>
      <c r="S125" s="7">
        <f>SUMIFS(Eventos!$G:$G,Eventos!$F:$F,$L125,Eventos!$D:$D,$C$2,Eventos!$B:$B,PANES_SEMANALES[[#ALL],[DOMINGO]])</f>
        <v>0</v>
      </c>
      <c r="T125" s="8">
        <f t="shared" si="1"/>
        <v>0</v>
      </c>
    </row>
    <row r="126" ht="22.5" customHeight="1">
      <c r="L126" s="4"/>
      <c r="M126" s="5">
        <f>SUMIFS(Eventos!$G:$G,Eventos!$F:$F,$L126,Eventos!$D:$D,$C$2,Eventos!$B:$B,PANES_SEMANALES[[#ALL],[LUNES]])</f>
        <v>0</v>
      </c>
      <c r="N126" s="6">
        <f>SUMIFS(Eventos!$G:$G,Eventos!$F:$F,$L126,Eventos!$D:$D,$C$2,Eventos!$B:$B,PANES_SEMANALES[[#ALL],[MARTES]])</f>
        <v>0</v>
      </c>
      <c r="O126" s="6">
        <f>SUMIFS(Eventos!$G:$G,Eventos!$F:$F,$L126,Eventos!$D:$D,$C$2,Eventos!$B:$B,PANES_SEMANALES[[#ALL],[MIÉRCOLES]])</f>
        <v>0</v>
      </c>
      <c r="P126" s="6">
        <f>SUMIFS(Eventos!$G:$G,Eventos!$F:$F,$L126,Eventos!$D:$D,$C$2,Eventos!$B:$B,PANES_SEMANALES[[#ALL],[JUEVES]])</f>
        <v>0</v>
      </c>
      <c r="Q126" s="6">
        <f>IF(P126&lt;&gt;"",SUMIFS(Eventos!$G:$G,Eventos!$B:$B,Q$2,Eventos!$D:$D,$C$2,Eventos!$F:$F,$L126),"")</f>
        <v>0</v>
      </c>
      <c r="R126" s="6">
        <f>SUMIFS(Eventos!$G:$G,Eventos!$F:$F,$L126,Eventos!$D:$D,$C$2,Eventos!$B:$B,PANES_SEMANALES[[#ALL],[SÁBADO]])</f>
        <v>0</v>
      </c>
      <c r="S126" s="7">
        <f>SUMIFS(Eventos!$G:$G,Eventos!$F:$F,$L126,Eventos!$D:$D,$C$2,Eventos!$B:$B,PANES_SEMANALES[[#ALL],[DOMINGO]])</f>
        <v>0</v>
      </c>
      <c r="T126" s="8">
        <f t="shared" si="1"/>
        <v>0</v>
      </c>
    </row>
    <row r="127" ht="22.5" customHeight="1">
      <c r="L127" s="4"/>
      <c r="M127" s="5">
        <f>SUMIFS(Eventos!$G:$G,Eventos!$F:$F,$L127,Eventos!$D:$D,$C$2,Eventos!$B:$B,PANES_SEMANALES[[#ALL],[LUNES]])</f>
        <v>0</v>
      </c>
      <c r="N127" s="6">
        <f>SUMIFS(Eventos!$G:$G,Eventos!$F:$F,$L127,Eventos!$D:$D,$C$2,Eventos!$B:$B,PANES_SEMANALES[[#ALL],[MARTES]])</f>
        <v>0</v>
      </c>
      <c r="O127" s="6">
        <f>SUMIFS(Eventos!$G:$G,Eventos!$F:$F,$L127,Eventos!$D:$D,$C$2,Eventos!$B:$B,PANES_SEMANALES[[#ALL],[MIÉRCOLES]])</f>
        <v>0</v>
      </c>
      <c r="P127" s="6">
        <f>SUMIFS(Eventos!$G:$G,Eventos!$F:$F,$L127,Eventos!$D:$D,$C$2,Eventos!$B:$B,PANES_SEMANALES[[#ALL],[JUEVES]])</f>
        <v>0</v>
      </c>
      <c r="Q127" s="6">
        <f>IF(P127&lt;&gt;"",SUMIFS(Eventos!$G:$G,Eventos!$B:$B,Q$2,Eventos!$D:$D,$C$2,Eventos!$F:$F,$L127),"")</f>
        <v>0</v>
      </c>
      <c r="R127" s="6">
        <f>SUMIFS(Eventos!$G:$G,Eventos!$F:$F,$L127,Eventos!$D:$D,$C$2,Eventos!$B:$B,PANES_SEMANALES[[#ALL],[SÁBADO]])</f>
        <v>0</v>
      </c>
      <c r="S127" s="7">
        <f>SUMIFS(Eventos!$G:$G,Eventos!$F:$F,$L127,Eventos!$D:$D,$C$2,Eventos!$B:$B,PANES_SEMANALES[[#ALL],[DOMINGO]])</f>
        <v>0</v>
      </c>
      <c r="T127" s="8">
        <f t="shared" si="1"/>
        <v>0</v>
      </c>
    </row>
    <row r="128" ht="22.5" customHeight="1">
      <c r="L128" s="4"/>
      <c r="M128" s="5">
        <f>SUMIFS(Eventos!$G:$G,Eventos!$F:$F,$L128,Eventos!$D:$D,$C$2,Eventos!$B:$B,PANES_SEMANALES[[#ALL],[LUNES]])</f>
        <v>0</v>
      </c>
      <c r="N128" s="6">
        <f>SUMIFS(Eventos!$G:$G,Eventos!$F:$F,$L128,Eventos!$D:$D,$C$2,Eventos!$B:$B,PANES_SEMANALES[[#ALL],[MARTES]])</f>
        <v>0</v>
      </c>
      <c r="O128" s="6">
        <f>SUMIFS(Eventos!$G:$G,Eventos!$F:$F,$L128,Eventos!$D:$D,$C$2,Eventos!$B:$B,PANES_SEMANALES[[#ALL],[MIÉRCOLES]])</f>
        <v>0</v>
      </c>
      <c r="P128" s="6">
        <f>SUMIFS(Eventos!$G:$G,Eventos!$F:$F,$L128,Eventos!$D:$D,$C$2,Eventos!$B:$B,PANES_SEMANALES[[#ALL],[JUEVES]])</f>
        <v>0</v>
      </c>
      <c r="Q128" s="6">
        <f>IF(P128&lt;&gt;"",SUMIFS(Eventos!$G:$G,Eventos!$B:$B,Q$2,Eventos!$D:$D,$C$2,Eventos!$F:$F,$L128),"")</f>
        <v>0</v>
      </c>
      <c r="R128" s="6">
        <f>SUMIFS(Eventos!$G:$G,Eventos!$F:$F,$L128,Eventos!$D:$D,$C$2,Eventos!$B:$B,PANES_SEMANALES[[#ALL],[SÁBADO]])</f>
        <v>0</v>
      </c>
      <c r="S128" s="7">
        <f>SUMIFS(Eventos!$G:$G,Eventos!$F:$F,$L128,Eventos!$D:$D,$C$2,Eventos!$B:$B,PANES_SEMANALES[[#ALL],[DOMINGO]])</f>
        <v>0</v>
      </c>
      <c r="T128" s="8">
        <f t="shared" si="1"/>
        <v>0</v>
      </c>
    </row>
    <row r="129" ht="22.5" customHeight="1">
      <c r="L129" s="4"/>
      <c r="M129" s="5">
        <f>SUMIFS(Eventos!$G:$G,Eventos!$F:$F,$L129,Eventos!$D:$D,$C$2,Eventos!$B:$B,PANES_SEMANALES[[#ALL],[LUNES]])</f>
        <v>0</v>
      </c>
      <c r="N129" s="6">
        <f>SUMIFS(Eventos!$G:$G,Eventos!$F:$F,$L129,Eventos!$D:$D,$C$2,Eventos!$B:$B,PANES_SEMANALES[[#ALL],[MARTES]])</f>
        <v>0</v>
      </c>
      <c r="O129" s="6">
        <f>SUMIFS(Eventos!$G:$G,Eventos!$F:$F,$L129,Eventos!$D:$D,$C$2,Eventos!$B:$B,PANES_SEMANALES[[#ALL],[MIÉRCOLES]])</f>
        <v>0</v>
      </c>
      <c r="P129" s="6">
        <f>SUMIFS(Eventos!$G:$G,Eventos!$F:$F,$L129,Eventos!$D:$D,$C$2,Eventos!$B:$B,PANES_SEMANALES[[#ALL],[JUEVES]])</f>
        <v>0</v>
      </c>
      <c r="Q129" s="6">
        <f>IF(P129&lt;&gt;"",SUMIFS(Eventos!$G:$G,Eventos!$B:$B,Q$2,Eventos!$D:$D,$C$2,Eventos!$F:$F,$L129),"")</f>
        <v>0</v>
      </c>
      <c r="R129" s="6">
        <f>SUMIFS(Eventos!$G:$G,Eventos!$F:$F,$L129,Eventos!$D:$D,$C$2,Eventos!$B:$B,PANES_SEMANALES[[#ALL],[SÁBADO]])</f>
        <v>0</v>
      </c>
      <c r="S129" s="7">
        <f>SUMIFS(Eventos!$G:$G,Eventos!$F:$F,$L129,Eventos!$D:$D,$C$2,Eventos!$B:$B,PANES_SEMANALES[[#ALL],[DOMINGO]])</f>
        <v>0</v>
      </c>
      <c r="T129" s="8">
        <f t="shared" si="1"/>
        <v>0</v>
      </c>
    </row>
    <row r="130" ht="22.5" customHeight="1">
      <c r="L130" s="4"/>
      <c r="M130" s="5">
        <f>SUMIFS(Eventos!$G:$G,Eventos!$F:$F,$L130,Eventos!$D:$D,$C$2,Eventos!$B:$B,PANES_SEMANALES[[#ALL],[LUNES]])</f>
        <v>0</v>
      </c>
      <c r="N130" s="6">
        <f>SUMIFS(Eventos!$G:$G,Eventos!$F:$F,$L130,Eventos!$D:$D,$C$2,Eventos!$B:$B,PANES_SEMANALES[[#ALL],[MARTES]])</f>
        <v>0</v>
      </c>
      <c r="O130" s="6">
        <f>SUMIFS(Eventos!$G:$G,Eventos!$F:$F,$L130,Eventos!$D:$D,$C$2,Eventos!$B:$B,PANES_SEMANALES[[#ALL],[MIÉRCOLES]])</f>
        <v>0</v>
      </c>
      <c r="P130" s="6">
        <f>SUMIFS(Eventos!$G:$G,Eventos!$F:$F,$L130,Eventos!$D:$D,$C$2,Eventos!$B:$B,PANES_SEMANALES[[#ALL],[JUEVES]])</f>
        <v>0</v>
      </c>
      <c r="Q130" s="6">
        <f>IF(P130&lt;&gt;"",SUMIFS(Eventos!$G:$G,Eventos!$B:$B,Q$2,Eventos!$D:$D,$C$2,Eventos!$F:$F,$L130),"")</f>
        <v>0</v>
      </c>
      <c r="R130" s="6">
        <f>SUMIFS(Eventos!$G:$G,Eventos!$F:$F,$L130,Eventos!$D:$D,$C$2,Eventos!$B:$B,PANES_SEMANALES[[#ALL],[SÁBADO]])</f>
        <v>0</v>
      </c>
      <c r="S130" s="7">
        <f>SUMIFS(Eventos!$G:$G,Eventos!$F:$F,$L130,Eventos!$D:$D,$C$2,Eventos!$B:$B,PANES_SEMANALES[[#ALL],[DOMINGO]])</f>
        <v>0</v>
      </c>
      <c r="T130" s="8">
        <f t="shared" si="1"/>
        <v>0</v>
      </c>
    </row>
    <row r="131" ht="22.5" customHeight="1">
      <c r="L131" s="4"/>
      <c r="M131" s="5">
        <f>SUMIFS(Eventos!$G:$G,Eventos!$F:$F,$L131,Eventos!$D:$D,$C$2,Eventos!$B:$B,PANES_SEMANALES[[#ALL],[LUNES]])</f>
        <v>0</v>
      </c>
      <c r="N131" s="6">
        <f>SUMIFS(Eventos!$G:$G,Eventos!$F:$F,$L131,Eventos!$D:$D,$C$2,Eventos!$B:$B,PANES_SEMANALES[[#ALL],[MARTES]])</f>
        <v>0</v>
      </c>
      <c r="O131" s="6">
        <f>SUMIFS(Eventos!$G:$G,Eventos!$F:$F,$L131,Eventos!$D:$D,$C$2,Eventos!$B:$B,PANES_SEMANALES[[#ALL],[MIÉRCOLES]])</f>
        <v>0</v>
      </c>
      <c r="P131" s="6">
        <f>SUMIFS(Eventos!$G:$G,Eventos!$F:$F,$L131,Eventos!$D:$D,$C$2,Eventos!$B:$B,PANES_SEMANALES[[#ALL],[JUEVES]])</f>
        <v>0</v>
      </c>
      <c r="Q131" s="6">
        <f>IF(P131&lt;&gt;"",SUMIFS(Eventos!$G:$G,Eventos!$B:$B,Q$2,Eventos!$D:$D,$C$2,Eventos!$F:$F,$L131),"")</f>
        <v>0</v>
      </c>
      <c r="R131" s="6">
        <f>SUMIFS(Eventos!$G:$G,Eventos!$F:$F,$L131,Eventos!$D:$D,$C$2,Eventos!$B:$B,PANES_SEMANALES[[#ALL],[SÁBADO]])</f>
        <v>0</v>
      </c>
      <c r="S131" s="7">
        <f>SUMIFS(Eventos!$G:$G,Eventos!$F:$F,$L131,Eventos!$D:$D,$C$2,Eventos!$B:$B,PANES_SEMANALES[[#ALL],[DOMINGO]])</f>
        <v>0</v>
      </c>
      <c r="T131" s="8">
        <f t="shared" si="1"/>
        <v>0</v>
      </c>
    </row>
    <row r="132" ht="22.5" customHeight="1">
      <c r="L132" s="4"/>
      <c r="M132" s="5">
        <f>SUMIFS(Eventos!$G:$G,Eventos!$F:$F,$L132,Eventos!$D:$D,$C$2,Eventos!$B:$B,PANES_SEMANALES[[#ALL],[LUNES]])</f>
        <v>0</v>
      </c>
      <c r="N132" s="6">
        <f>SUMIFS(Eventos!$G:$G,Eventos!$F:$F,$L132,Eventos!$D:$D,$C$2,Eventos!$B:$B,PANES_SEMANALES[[#ALL],[MARTES]])</f>
        <v>0</v>
      </c>
      <c r="O132" s="6">
        <f>SUMIFS(Eventos!$G:$G,Eventos!$F:$F,$L132,Eventos!$D:$D,$C$2,Eventos!$B:$B,PANES_SEMANALES[[#ALL],[MIÉRCOLES]])</f>
        <v>0</v>
      </c>
      <c r="P132" s="6">
        <f>SUMIFS(Eventos!$G:$G,Eventos!$F:$F,$L132,Eventos!$D:$D,$C$2,Eventos!$B:$B,PANES_SEMANALES[[#ALL],[JUEVES]])</f>
        <v>0</v>
      </c>
      <c r="Q132" s="6">
        <f>IF(P132&lt;&gt;"",SUMIFS(Eventos!$G:$G,Eventos!$B:$B,Q$2,Eventos!$D:$D,$C$2,Eventos!$F:$F,$L132),"")</f>
        <v>0</v>
      </c>
      <c r="R132" s="6">
        <f>SUMIFS(Eventos!$G:$G,Eventos!$F:$F,$L132,Eventos!$D:$D,$C$2,Eventos!$B:$B,PANES_SEMANALES[[#ALL],[SÁBADO]])</f>
        <v>0</v>
      </c>
      <c r="S132" s="7">
        <f>SUMIFS(Eventos!$G:$G,Eventos!$F:$F,$L132,Eventos!$D:$D,$C$2,Eventos!$B:$B,PANES_SEMANALES[[#ALL],[DOMINGO]])</f>
        <v>0</v>
      </c>
      <c r="T132" s="8">
        <f t="shared" si="1"/>
        <v>0</v>
      </c>
    </row>
    <row r="133" ht="22.5" customHeight="1">
      <c r="L133" s="4"/>
      <c r="M133" s="5">
        <f>SUMIFS(Eventos!$G:$G,Eventos!$F:$F,$L133,Eventos!$D:$D,$C$2,Eventos!$B:$B,PANES_SEMANALES[[#ALL],[LUNES]])</f>
        <v>0</v>
      </c>
      <c r="N133" s="6">
        <f>SUMIFS(Eventos!$G:$G,Eventos!$F:$F,$L133,Eventos!$D:$D,$C$2,Eventos!$B:$B,PANES_SEMANALES[[#ALL],[MARTES]])</f>
        <v>0</v>
      </c>
      <c r="O133" s="6">
        <f>SUMIFS(Eventos!$G:$G,Eventos!$F:$F,$L133,Eventos!$D:$D,$C$2,Eventos!$B:$B,PANES_SEMANALES[[#ALL],[MIÉRCOLES]])</f>
        <v>0</v>
      </c>
      <c r="P133" s="6">
        <f>SUMIFS(Eventos!$G:$G,Eventos!$F:$F,$L133,Eventos!$D:$D,$C$2,Eventos!$B:$B,PANES_SEMANALES[[#ALL],[JUEVES]])</f>
        <v>0</v>
      </c>
      <c r="Q133" s="6">
        <f>IF(P133&lt;&gt;"",SUMIFS(Eventos!$G:$G,Eventos!$B:$B,Q$2,Eventos!$D:$D,$C$2,Eventos!$F:$F,$L133),"")</f>
        <v>0</v>
      </c>
      <c r="R133" s="6">
        <f>SUMIFS(Eventos!$G:$G,Eventos!$F:$F,$L133,Eventos!$D:$D,$C$2,Eventos!$B:$B,PANES_SEMANALES[[#ALL],[SÁBADO]])</f>
        <v>0</v>
      </c>
      <c r="S133" s="7">
        <f>SUMIFS(Eventos!$G:$G,Eventos!$F:$F,$L133,Eventos!$D:$D,$C$2,Eventos!$B:$B,PANES_SEMANALES[[#ALL],[DOMINGO]])</f>
        <v>0</v>
      </c>
      <c r="T133" s="8">
        <f t="shared" si="1"/>
        <v>0</v>
      </c>
    </row>
    <row r="134" ht="22.5" customHeight="1">
      <c r="L134" s="4"/>
      <c r="M134" s="5">
        <f>SUMIFS(Eventos!$G:$G,Eventos!$F:$F,$L134,Eventos!$D:$D,$C$2,Eventos!$B:$B,PANES_SEMANALES[[#ALL],[LUNES]])</f>
        <v>0</v>
      </c>
      <c r="N134" s="6">
        <f>SUMIFS(Eventos!$G:$G,Eventos!$F:$F,$L134,Eventos!$D:$D,$C$2,Eventos!$B:$B,PANES_SEMANALES[[#ALL],[MARTES]])</f>
        <v>0</v>
      </c>
      <c r="O134" s="6">
        <f>SUMIFS(Eventos!$G:$G,Eventos!$F:$F,$L134,Eventos!$D:$D,$C$2,Eventos!$B:$B,PANES_SEMANALES[[#ALL],[MIÉRCOLES]])</f>
        <v>0</v>
      </c>
      <c r="P134" s="6">
        <f>SUMIFS(Eventos!$G:$G,Eventos!$F:$F,$L134,Eventos!$D:$D,$C$2,Eventos!$B:$B,PANES_SEMANALES[[#ALL],[JUEVES]])</f>
        <v>0</v>
      </c>
      <c r="Q134" s="6">
        <f>IF(P134&lt;&gt;"",SUMIFS(Eventos!$G:$G,Eventos!$B:$B,Q$2,Eventos!$D:$D,$C$2,Eventos!$F:$F,$L134),"")</f>
        <v>0</v>
      </c>
      <c r="R134" s="6">
        <f>SUMIFS(Eventos!$G:$G,Eventos!$F:$F,$L134,Eventos!$D:$D,$C$2,Eventos!$B:$B,PANES_SEMANALES[[#ALL],[SÁBADO]])</f>
        <v>0</v>
      </c>
      <c r="S134" s="7">
        <f>SUMIFS(Eventos!$G:$G,Eventos!$F:$F,$L134,Eventos!$D:$D,$C$2,Eventos!$B:$B,PANES_SEMANALES[[#ALL],[DOMINGO]])</f>
        <v>0</v>
      </c>
      <c r="T134" s="8">
        <f t="shared" si="1"/>
        <v>0</v>
      </c>
    </row>
    <row r="135" ht="22.5" customHeight="1">
      <c r="L135" s="4"/>
      <c r="M135" s="5">
        <f>SUMIFS(Eventos!$G:$G,Eventos!$F:$F,$L135,Eventos!$D:$D,$C$2,Eventos!$B:$B,PANES_SEMANALES[[#ALL],[LUNES]])</f>
        <v>0</v>
      </c>
      <c r="N135" s="6">
        <f>SUMIFS(Eventos!$G:$G,Eventos!$F:$F,$L135,Eventos!$D:$D,$C$2,Eventos!$B:$B,PANES_SEMANALES[[#ALL],[MARTES]])</f>
        <v>0</v>
      </c>
      <c r="O135" s="6">
        <f>SUMIFS(Eventos!$G:$G,Eventos!$F:$F,$L135,Eventos!$D:$D,$C$2,Eventos!$B:$B,PANES_SEMANALES[[#ALL],[MIÉRCOLES]])</f>
        <v>0</v>
      </c>
      <c r="P135" s="6">
        <f>SUMIFS(Eventos!$G:$G,Eventos!$F:$F,$L135,Eventos!$D:$D,$C$2,Eventos!$B:$B,PANES_SEMANALES[[#ALL],[JUEVES]])</f>
        <v>0</v>
      </c>
      <c r="Q135" s="6">
        <f>IF(P135&lt;&gt;"",SUMIFS(Eventos!$G:$G,Eventos!$B:$B,Q$2,Eventos!$D:$D,$C$2,Eventos!$F:$F,$L135),"")</f>
        <v>0</v>
      </c>
      <c r="R135" s="6">
        <f>SUMIFS(Eventos!$G:$G,Eventos!$F:$F,$L135,Eventos!$D:$D,$C$2,Eventos!$B:$B,PANES_SEMANALES[[#ALL],[SÁBADO]])</f>
        <v>0</v>
      </c>
      <c r="S135" s="7">
        <f>SUMIFS(Eventos!$G:$G,Eventos!$F:$F,$L135,Eventos!$D:$D,$C$2,Eventos!$B:$B,PANES_SEMANALES[[#ALL],[DOMINGO]])</f>
        <v>0</v>
      </c>
      <c r="T135" s="8">
        <f t="shared" si="1"/>
        <v>0</v>
      </c>
    </row>
    <row r="136" ht="22.5" customHeight="1">
      <c r="L136" s="4"/>
      <c r="M136" s="5">
        <f>SUMIFS(Eventos!$G:$G,Eventos!$F:$F,$L136,Eventos!$D:$D,$C$2,Eventos!$B:$B,PANES_SEMANALES[[#ALL],[LUNES]])</f>
        <v>0</v>
      </c>
      <c r="N136" s="6">
        <f>SUMIFS(Eventos!$G:$G,Eventos!$F:$F,$L136,Eventos!$D:$D,$C$2,Eventos!$B:$B,PANES_SEMANALES[[#ALL],[MARTES]])</f>
        <v>0</v>
      </c>
      <c r="O136" s="6">
        <f>SUMIFS(Eventos!$G:$G,Eventos!$F:$F,$L136,Eventos!$D:$D,$C$2,Eventos!$B:$B,PANES_SEMANALES[[#ALL],[MIÉRCOLES]])</f>
        <v>0</v>
      </c>
      <c r="P136" s="6">
        <f>SUMIFS(Eventos!$G:$G,Eventos!$F:$F,$L136,Eventos!$D:$D,$C$2,Eventos!$B:$B,PANES_SEMANALES[[#ALL],[JUEVES]])</f>
        <v>0</v>
      </c>
      <c r="Q136" s="6">
        <f>IF(P136&lt;&gt;"",SUMIFS(Eventos!$G:$G,Eventos!$B:$B,Q$2,Eventos!$D:$D,$C$2,Eventos!$F:$F,$L136),"")</f>
        <v>0</v>
      </c>
      <c r="R136" s="6">
        <f>SUMIFS(Eventos!$G:$G,Eventos!$F:$F,$L136,Eventos!$D:$D,$C$2,Eventos!$B:$B,PANES_SEMANALES[[#ALL],[SÁBADO]])</f>
        <v>0</v>
      </c>
      <c r="S136" s="7">
        <f>SUMIFS(Eventos!$G:$G,Eventos!$F:$F,$L136,Eventos!$D:$D,$C$2,Eventos!$B:$B,PANES_SEMANALES[[#ALL],[DOMINGO]])</f>
        <v>0</v>
      </c>
      <c r="T136" s="8">
        <f t="shared" si="1"/>
        <v>0</v>
      </c>
    </row>
    <row r="137" ht="22.5" customHeight="1">
      <c r="L137" s="4"/>
      <c r="M137" s="5">
        <f>SUMIFS(Eventos!$G:$G,Eventos!$F:$F,$L137,Eventos!$D:$D,$C$2,Eventos!$B:$B,PANES_SEMANALES[[#ALL],[LUNES]])</f>
        <v>0</v>
      </c>
      <c r="N137" s="6">
        <f>SUMIFS(Eventos!$G:$G,Eventos!$F:$F,$L137,Eventos!$D:$D,$C$2,Eventos!$B:$B,PANES_SEMANALES[[#ALL],[MARTES]])</f>
        <v>0</v>
      </c>
      <c r="O137" s="6">
        <f>SUMIFS(Eventos!$G:$G,Eventos!$F:$F,$L137,Eventos!$D:$D,$C$2,Eventos!$B:$B,PANES_SEMANALES[[#ALL],[MIÉRCOLES]])</f>
        <v>0</v>
      </c>
      <c r="P137" s="6">
        <f>SUMIFS(Eventos!$G:$G,Eventos!$F:$F,$L137,Eventos!$D:$D,$C$2,Eventos!$B:$B,PANES_SEMANALES[[#ALL],[JUEVES]])</f>
        <v>0</v>
      </c>
      <c r="Q137" s="6">
        <f>IF(P137&lt;&gt;"",SUMIFS(Eventos!$G:$G,Eventos!$B:$B,Q$2,Eventos!$D:$D,$C$2,Eventos!$F:$F,$L137),"")</f>
        <v>0</v>
      </c>
      <c r="R137" s="6">
        <f>SUMIFS(Eventos!$G:$G,Eventos!$F:$F,$L137,Eventos!$D:$D,$C$2,Eventos!$B:$B,PANES_SEMANALES[[#ALL],[SÁBADO]])</f>
        <v>0</v>
      </c>
      <c r="S137" s="7">
        <f>SUMIFS(Eventos!$G:$G,Eventos!$F:$F,$L137,Eventos!$D:$D,$C$2,Eventos!$B:$B,PANES_SEMANALES[[#ALL],[DOMINGO]])</f>
        <v>0</v>
      </c>
      <c r="T137" s="8">
        <f t="shared" si="1"/>
        <v>0</v>
      </c>
    </row>
    <row r="138" ht="22.5" customHeight="1">
      <c r="L138" s="4"/>
      <c r="M138" s="5">
        <f>SUMIFS(Eventos!$G:$G,Eventos!$F:$F,$L138,Eventos!$D:$D,$C$2,Eventos!$B:$B,PANES_SEMANALES[[#ALL],[LUNES]])</f>
        <v>0</v>
      </c>
      <c r="N138" s="6">
        <f>SUMIFS(Eventos!$G:$G,Eventos!$F:$F,$L138,Eventos!$D:$D,$C$2,Eventos!$B:$B,PANES_SEMANALES[[#ALL],[MARTES]])</f>
        <v>0</v>
      </c>
      <c r="O138" s="6">
        <f>SUMIFS(Eventos!$G:$G,Eventos!$F:$F,$L138,Eventos!$D:$D,$C$2,Eventos!$B:$B,PANES_SEMANALES[[#ALL],[MIÉRCOLES]])</f>
        <v>0</v>
      </c>
      <c r="P138" s="6">
        <f>SUMIFS(Eventos!$G:$G,Eventos!$F:$F,$L138,Eventos!$D:$D,$C$2,Eventos!$B:$B,PANES_SEMANALES[[#ALL],[JUEVES]])</f>
        <v>0</v>
      </c>
      <c r="Q138" s="6">
        <f>IF(P138&lt;&gt;"",SUMIFS(Eventos!$G:$G,Eventos!$B:$B,Q$2,Eventos!$D:$D,$C$2,Eventos!$F:$F,$L138),"")</f>
        <v>0</v>
      </c>
      <c r="R138" s="6">
        <f>SUMIFS(Eventos!$G:$G,Eventos!$F:$F,$L138,Eventos!$D:$D,$C$2,Eventos!$B:$B,PANES_SEMANALES[[#ALL],[SÁBADO]])</f>
        <v>0</v>
      </c>
      <c r="S138" s="7">
        <f>SUMIFS(Eventos!$G:$G,Eventos!$F:$F,$L138,Eventos!$D:$D,$C$2,Eventos!$B:$B,PANES_SEMANALES[[#ALL],[DOMINGO]])</f>
        <v>0</v>
      </c>
      <c r="T138" s="8">
        <f t="shared" si="1"/>
        <v>0</v>
      </c>
    </row>
    <row r="139" ht="22.5" customHeight="1">
      <c r="L139" s="4"/>
      <c r="M139" s="5">
        <f>SUMIFS(Eventos!$G:$G,Eventos!$F:$F,$L139,Eventos!$D:$D,$C$2,Eventos!$B:$B,PANES_SEMANALES[[#ALL],[LUNES]])</f>
        <v>0</v>
      </c>
      <c r="N139" s="6">
        <f>SUMIFS(Eventos!$G:$G,Eventos!$F:$F,$L139,Eventos!$D:$D,$C$2,Eventos!$B:$B,PANES_SEMANALES[[#ALL],[MARTES]])</f>
        <v>0</v>
      </c>
      <c r="O139" s="6">
        <f>SUMIFS(Eventos!$G:$G,Eventos!$F:$F,$L139,Eventos!$D:$D,$C$2,Eventos!$B:$B,PANES_SEMANALES[[#ALL],[MIÉRCOLES]])</f>
        <v>0</v>
      </c>
      <c r="P139" s="6">
        <f>SUMIFS(Eventos!$G:$G,Eventos!$F:$F,$L139,Eventos!$D:$D,$C$2,Eventos!$B:$B,PANES_SEMANALES[[#ALL],[JUEVES]])</f>
        <v>0</v>
      </c>
      <c r="Q139" s="6">
        <f>IF(P139&lt;&gt;"",SUMIFS(Eventos!$G:$G,Eventos!$B:$B,Q$2,Eventos!$D:$D,$C$2,Eventos!$F:$F,$L139),"")</f>
        <v>0</v>
      </c>
      <c r="R139" s="6">
        <f>SUMIFS(Eventos!$G:$G,Eventos!$F:$F,$L139,Eventos!$D:$D,$C$2,Eventos!$B:$B,PANES_SEMANALES[[#ALL],[SÁBADO]])</f>
        <v>0</v>
      </c>
      <c r="S139" s="7">
        <f>SUMIFS(Eventos!$G:$G,Eventos!$F:$F,$L139,Eventos!$D:$D,$C$2,Eventos!$B:$B,PANES_SEMANALES[[#ALL],[DOMINGO]])</f>
        <v>0</v>
      </c>
      <c r="T139" s="8">
        <f t="shared" si="1"/>
        <v>0</v>
      </c>
    </row>
    <row r="140" ht="22.5" customHeight="1">
      <c r="L140" s="4"/>
      <c r="M140" s="5">
        <f>SUMIFS(Eventos!$G:$G,Eventos!$F:$F,$L140,Eventos!$D:$D,$C$2,Eventos!$B:$B,PANES_SEMANALES[[#ALL],[LUNES]])</f>
        <v>0</v>
      </c>
      <c r="N140" s="6">
        <f>SUMIFS(Eventos!$G:$G,Eventos!$F:$F,$L140,Eventos!$D:$D,$C$2,Eventos!$B:$B,PANES_SEMANALES[[#ALL],[MARTES]])</f>
        <v>0</v>
      </c>
      <c r="O140" s="6">
        <f>SUMIFS(Eventos!$G:$G,Eventos!$F:$F,$L140,Eventos!$D:$D,$C$2,Eventos!$B:$B,PANES_SEMANALES[[#ALL],[MIÉRCOLES]])</f>
        <v>0</v>
      </c>
      <c r="P140" s="6">
        <f>SUMIFS(Eventos!$G:$G,Eventos!$F:$F,$L140,Eventos!$D:$D,$C$2,Eventos!$B:$B,PANES_SEMANALES[[#ALL],[JUEVES]])</f>
        <v>0</v>
      </c>
      <c r="Q140" s="6">
        <f>IF(P140&lt;&gt;"",SUMIFS(Eventos!$G:$G,Eventos!$B:$B,Q$2,Eventos!$D:$D,$C$2,Eventos!$F:$F,$L140),"")</f>
        <v>0</v>
      </c>
      <c r="R140" s="6">
        <f>SUMIFS(Eventos!$G:$G,Eventos!$F:$F,$L140,Eventos!$D:$D,$C$2,Eventos!$B:$B,PANES_SEMANALES[[#ALL],[SÁBADO]])</f>
        <v>0</v>
      </c>
      <c r="S140" s="7">
        <f>SUMIFS(Eventos!$G:$G,Eventos!$F:$F,$L140,Eventos!$D:$D,$C$2,Eventos!$B:$B,PANES_SEMANALES[[#ALL],[DOMINGO]])</f>
        <v>0</v>
      </c>
      <c r="T140" s="8">
        <f t="shared" si="1"/>
        <v>0</v>
      </c>
    </row>
    <row r="141" ht="22.5" customHeight="1">
      <c r="L141" s="4"/>
      <c r="M141" s="5">
        <f>SUMIFS(Eventos!$G:$G,Eventos!$F:$F,$L141,Eventos!$D:$D,$C$2,Eventos!$B:$B,PANES_SEMANALES[[#ALL],[LUNES]])</f>
        <v>0</v>
      </c>
      <c r="N141" s="6">
        <f>SUMIFS(Eventos!$G:$G,Eventos!$F:$F,$L141,Eventos!$D:$D,$C$2,Eventos!$B:$B,PANES_SEMANALES[[#ALL],[MARTES]])</f>
        <v>0</v>
      </c>
      <c r="O141" s="6">
        <f>SUMIFS(Eventos!$G:$G,Eventos!$F:$F,$L141,Eventos!$D:$D,$C$2,Eventos!$B:$B,PANES_SEMANALES[[#ALL],[MIÉRCOLES]])</f>
        <v>0</v>
      </c>
      <c r="P141" s="6">
        <f>SUMIFS(Eventos!$G:$G,Eventos!$F:$F,$L141,Eventos!$D:$D,$C$2,Eventos!$B:$B,PANES_SEMANALES[[#ALL],[JUEVES]])</f>
        <v>0</v>
      </c>
      <c r="Q141" s="6">
        <f>IF(P141&lt;&gt;"",SUMIFS(Eventos!$G:$G,Eventos!$B:$B,Q$2,Eventos!$D:$D,$C$2,Eventos!$F:$F,$L141),"")</f>
        <v>0</v>
      </c>
      <c r="R141" s="6">
        <f>SUMIFS(Eventos!$G:$G,Eventos!$F:$F,$L141,Eventos!$D:$D,$C$2,Eventos!$B:$B,PANES_SEMANALES[[#ALL],[SÁBADO]])</f>
        <v>0</v>
      </c>
      <c r="S141" s="7">
        <f>SUMIFS(Eventos!$G:$G,Eventos!$F:$F,$L141,Eventos!$D:$D,$C$2,Eventos!$B:$B,PANES_SEMANALES[[#ALL],[DOMINGO]])</f>
        <v>0</v>
      </c>
      <c r="T141" s="8">
        <f t="shared" si="1"/>
        <v>0</v>
      </c>
    </row>
    <row r="142" ht="22.5" customHeight="1">
      <c r="L142" s="4"/>
      <c r="M142" s="5">
        <f>SUMIFS(Eventos!$G:$G,Eventos!$F:$F,$L142,Eventos!$D:$D,$C$2,Eventos!$B:$B,PANES_SEMANALES[[#ALL],[LUNES]])</f>
        <v>0</v>
      </c>
      <c r="N142" s="6">
        <f>SUMIFS(Eventos!$G:$G,Eventos!$F:$F,$L142,Eventos!$D:$D,$C$2,Eventos!$B:$B,PANES_SEMANALES[[#ALL],[MARTES]])</f>
        <v>0</v>
      </c>
      <c r="O142" s="6">
        <f>SUMIFS(Eventos!$G:$G,Eventos!$F:$F,$L142,Eventos!$D:$D,$C$2,Eventos!$B:$B,PANES_SEMANALES[[#ALL],[MIÉRCOLES]])</f>
        <v>0</v>
      </c>
      <c r="P142" s="6">
        <f>SUMIFS(Eventos!$G:$G,Eventos!$F:$F,$L142,Eventos!$D:$D,$C$2,Eventos!$B:$B,PANES_SEMANALES[[#ALL],[JUEVES]])</f>
        <v>0</v>
      </c>
      <c r="Q142" s="6">
        <f>IF(P142&lt;&gt;"",SUMIFS(Eventos!$G:$G,Eventos!$B:$B,Q$2,Eventos!$D:$D,$C$2,Eventos!$F:$F,$L142),"")</f>
        <v>0</v>
      </c>
      <c r="R142" s="6">
        <f>SUMIFS(Eventos!$G:$G,Eventos!$F:$F,$L142,Eventos!$D:$D,$C$2,Eventos!$B:$B,PANES_SEMANALES[[#ALL],[SÁBADO]])</f>
        <v>0</v>
      </c>
      <c r="S142" s="7">
        <f>SUMIFS(Eventos!$G:$G,Eventos!$F:$F,$L142,Eventos!$D:$D,$C$2,Eventos!$B:$B,PANES_SEMANALES[[#ALL],[DOMINGO]])</f>
        <v>0</v>
      </c>
      <c r="T142" s="8">
        <f t="shared" si="1"/>
        <v>0</v>
      </c>
    </row>
    <row r="143" ht="22.5" customHeight="1">
      <c r="L143" s="4"/>
      <c r="M143" s="5">
        <f>SUMIFS(Eventos!$G:$G,Eventos!$F:$F,$L143,Eventos!$D:$D,$C$2,Eventos!$B:$B,PANES_SEMANALES[[#ALL],[LUNES]])</f>
        <v>0</v>
      </c>
      <c r="N143" s="6">
        <f>SUMIFS(Eventos!$G:$G,Eventos!$F:$F,$L143,Eventos!$D:$D,$C$2,Eventos!$B:$B,PANES_SEMANALES[[#ALL],[MARTES]])</f>
        <v>0</v>
      </c>
      <c r="O143" s="6">
        <f>SUMIFS(Eventos!$G:$G,Eventos!$F:$F,$L143,Eventos!$D:$D,$C$2,Eventos!$B:$B,PANES_SEMANALES[[#ALL],[MIÉRCOLES]])</f>
        <v>0</v>
      </c>
      <c r="P143" s="6">
        <f>SUMIFS(Eventos!$G:$G,Eventos!$F:$F,$L143,Eventos!$D:$D,$C$2,Eventos!$B:$B,PANES_SEMANALES[[#ALL],[JUEVES]])</f>
        <v>0</v>
      </c>
      <c r="Q143" s="6">
        <f>IF(P143&lt;&gt;"",SUMIFS(Eventos!$G:$G,Eventos!$B:$B,Q$2,Eventos!$D:$D,$C$2,Eventos!$F:$F,$L143),"")</f>
        <v>0</v>
      </c>
      <c r="R143" s="6">
        <f>SUMIFS(Eventos!$G:$G,Eventos!$F:$F,$L143,Eventos!$D:$D,$C$2,Eventos!$B:$B,PANES_SEMANALES[[#ALL],[SÁBADO]])</f>
        <v>0</v>
      </c>
      <c r="S143" s="7">
        <f>SUMIFS(Eventos!$G:$G,Eventos!$F:$F,$L143,Eventos!$D:$D,$C$2,Eventos!$B:$B,PANES_SEMANALES[[#ALL],[DOMINGO]])</f>
        <v>0</v>
      </c>
      <c r="T143" s="8">
        <f t="shared" si="1"/>
        <v>0</v>
      </c>
    </row>
    <row r="144" ht="22.5" customHeight="1">
      <c r="L144" s="4"/>
      <c r="M144" s="5">
        <f>SUMIFS(Eventos!$G:$G,Eventos!$F:$F,$L144,Eventos!$D:$D,$C$2,Eventos!$B:$B,PANES_SEMANALES[[#ALL],[LUNES]])</f>
        <v>0</v>
      </c>
      <c r="N144" s="6">
        <f>SUMIFS(Eventos!$G:$G,Eventos!$F:$F,$L144,Eventos!$D:$D,$C$2,Eventos!$B:$B,PANES_SEMANALES[[#ALL],[MARTES]])</f>
        <v>0</v>
      </c>
      <c r="O144" s="6">
        <f>SUMIFS(Eventos!$G:$G,Eventos!$F:$F,$L144,Eventos!$D:$D,$C$2,Eventos!$B:$B,PANES_SEMANALES[[#ALL],[MIÉRCOLES]])</f>
        <v>0</v>
      </c>
      <c r="P144" s="6">
        <f>SUMIFS(Eventos!$G:$G,Eventos!$F:$F,$L144,Eventos!$D:$D,$C$2,Eventos!$B:$B,PANES_SEMANALES[[#ALL],[JUEVES]])</f>
        <v>0</v>
      </c>
      <c r="Q144" s="6">
        <f>IF(P144&lt;&gt;"",SUMIFS(Eventos!$G:$G,Eventos!$B:$B,Q$2,Eventos!$D:$D,$C$2,Eventos!$F:$F,$L144),"")</f>
        <v>0</v>
      </c>
      <c r="R144" s="6">
        <f>SUMIFS(Eventos!$G:$G,Eventos!$F:$F,$L144,Eventos!$D:$D,$C$2,Eventos!$B:$B,PANES_SEMANALES[[#ALL],[SÁBADO]])</f>
        <v>0</v>
      </c>
      <c r="S144" s="7">
        <f>SUMIFS(Eventos!$G:$G,Eventos!$F:$F,$L144,Eventos!$D:$D,$C$2,Eventos!$B:$B,PANES_SEMANALES[[#ALL],[DOMINGO]])</f>
        <v>0</v>
      </c>
      <c r="T144" s="8">
        <f t="shared" si="1"/>
        <v>0</v>
      </c>
    </row>
    <row r="145" ht="22.5" customHeight="1">
      <c r="L145" s="4"/>
      <c r="M145" s="5">
        <f>SUMIFS(Eventos!$G:$G,Eventos!$F:$F,$L145,Eventos!$D:$D,$C$2,Eventos!$B:$B,PANES_SEMANALES[[#ALL],[LUNES]])</f>
        <v>0</v>
      </c>
      <c r="N145" s="6">
        <f>SUMIFS(Eventos!$G:$G,Eventos!$F:$F,$L145,Eventos!$D:$D,$C$2,Eventos!$B:$B,PANES_SEMANALES[[#ALL],[MARTES]])</f>
        <v>0</v>
      </c>
      <c r="O145" s="6">
        <f>SUMIFS(Eventos!$G:$G,Eventos!$F:$F,$L145,Eventos!$D:$D,$C$2,Eventos!$B:$B,PANES_SEMANALES[[#ALL],[MIÉRCOLES]])</f>
        <v>0</v>
      </c>
      <c r="P145" s="6">
        <f>SUMIFS(Eventos!$G:$G,Eventos!$F:$F,$L145,Eventos!$D:$D,$C$2,Eventos!$B:$B,PANES_SEMANALES[[#ALL],[JUEVES]])</f>
        <v>0</v>
      </c>
      <c r="Q145" s="6">
        <f>IF(P145&lt;&gt;"",SUMIFS(Eventos!$G:$G,Eventos!$B:$B,Q$2,Eventos!$D:$D,$C$2,Eventos!$F:$F,$L145),"")</f>
        <v>0</v>
      </c>
      <c r="R145" s="6">
        <f>SUMIFS(Eventos!$G:$G,Eventos!$F:$F,$L145,Eventos!$D:$D,$C$2,Eventos!$B:$B,PANES_SEMANALES[[#ALL],[SÁBADO]])</f>
        <v>0</v>
      </c>
      <c r="S145" s="7">
        <f>SUMIFS(Eventos!$G:$G,Eventos!$F:$F,$L145,Eventos!$D:$D,$C$2,Eventos!$B:$B,PANES_SEMANALES[[#ALL],[DOMINGO]])</f>
        <v>0</v>
      </c>
      <c r="T145" s="8">
        <f t="shared" si="1"/>
        <v>0</v>
      </c>
    </row>
    <row r="146" ht="22.5" customHeight="1">
      <c r="L146" s="4"/>
      <c r="M146" s="5">
        <f>SUMIFS(Eventos!$G:$G,Eventos!$F:$F,$L146,Eventos!$D:$D,$C$2,Eventos!$B:$B,PANES_SEMANALES[[#ALL],[LUNES]])</f>
        <v>0</v>
      </c>
      <c r="N146" s="6">
        <f>SUMIFS(Eventos!$G:$G,Eventos!$F:$F,$L146,Eventos!$D:$D,$C$2,Eventos!$B:$B,PANES_SEMANALES[[#ALL],[MARTES]])</f>
        <v>0</v>
      </c>
      <c r="O146" s="6">
        <f>SUMIFS(Eventos!$G:$G,Eventos!$F:$F,$L146,Eventos!$D:$D,$C$2,Eventos!$B:$B,PANES_SEMANALES[[#ALL],[MIÉRCOLES]])</f>
        <v>0</v>
      </c>
      <c r="P146" s="6">
        <f>SUMIFS(Eventos!$G:$G,Eventos!$F:$F,$L146,Eventos!$D:$D,$C$2,Eventos!$B:$B,PANES_SEMANALES[[#ALL],[JUEVES]])</f>
        <v>0</v>
      </c>
      <c r="Q146" s="6">
        <f>IF(P146&lt;&gt;"",SUMIFS(Eventos!$G:$G,Eventos!$B:$B,Q$2,Eventos!$D:$D,$C$2,Eventos!$F:$F,$L146),"")</f>
        <v>0</v>
      </c>
      <c r="R146" s="6">
        <f>SUMIFS(Eventos!$G:$G,Eventos!$F:$F,$L146,Eventos!$D:$D,$C$2,Eventos!$B:$B,PANES_SEMANALES[[#ALL],[SÁBADO]])</f>
        <v>0</v>
      </c>
      <c r="S146" s="7">
        <f>SUMIFS(Eventos!$G:$G,Eventos!$F:$F,$L146,Eventos!$D:$D,$C$2,Eventos!$B:$B,PANES_SEMANALES[[#ALL],[DOMINGO]])</f>
        <v>0</v>
      </c>
      <c r="T146" s="8">
        <f t="shared" si="1"/>
        <v>0</v>
      </c>
    </row>
    <row r="147" ht="22.5" customHeight="1">
      <c r="L147" s="4"/>
      <c r="M147" s="5">
        <f>SUMIFS(Eventos!$G:$G,Eventos!$F:$F,$L147,Eventos!$D:$D,$C$2,Eventos!$B:$B,PANES_SEMANALES[[#ALL],[LUNES]])</f>
        <v>0</v>
      </c>
      <c r="N147" s="6">
        <f>SUMIFS(Eventos!$G:$G,Eventos!$F:$F,$L147,Eventos!$D:$D,$C$2,Eventos!$B:$B,PANES_SEMANALES[[#ALL],[MARTES]])</f>
        <v>0</v>
      </c>
      <c r="O147" s="6">
        <f>SUMIFS(Eventos!$G:$G,Eventos!$F:$F,$L147,Eventos!$D:$D,$C$2,Eventos!$B:$B,PANES_SEMANALES[[#ALL],[MIÉRCOLES]])</f>
        <v>0</v>
      </c>
      <c r="P147" s="6">
        <f>SUMIFS(Eventos!$G:$G,Eventos!$F:$F,$L147,Eventos!$D:$D,$C$2,Eventos!$B:$B,PANES_SEMANALES[[#ALL],[JUEVES]])</f>
        <v>0</v>
      </c>
      <c r="Q147" s="6">
        <f>IF(P147&lt;&gt;"",SUMIFS(Eventos!$G:$G,Eventos!$B:$B,Q$2,Eventos!$D:$D,$C$2,Eventos!$F:$F,$L147),"")</f>
        <v>0</v>
      </c>
      <c r="R147" s="6">
        <f>SUMIFS(Eventos!$G:$G,Eventos!$F:$F,$L147,Eventos!$D:$D,$C$2,Eventos!$B:$B,PANES_SEMANALES[[#ALL],[SÁBADO]])</f>
        <v>0</v>
      </c>
      <c r="S147" s="7">
        <f>SUMIFS(Eventos!$G:$G,Eventos!$F:$F,$L147,Eventos!$D:$D,$C$2,Eventos!$B:$B,PANES_SEMANALES[[#ALL],[DOMINGO]])</f>
        <v>0</v>
      </c>
      <c r="T147" s="8">
        <f t="shared" si="1"/>
        <v>0</v>
      </c>
    </row>
    <row r="148" ht="22.5" customHeight="1">
      <c r="L148" s="4"/>
      <c r="M148" s="5">
        <f>SUMIFS(Eventos!$G:$G,Eventos!$F:$F,$L148,Eventos!$D:$D,$C$2,Eventos!$B:$B,PANES_SEMANALES[[#ALL],[LUNES]])</f>
        <v>0</v>
      </c>
      <c r="N148" s="6">
        <f>SUMIFS(Eventos!$G:$G,Eventos!$F:$F,$L148,Eventos!$D:$D,$C$2,Eventos!$B:$B,PANES_SEMANALES[[#ALL],[MARTES]])</f>
        <v>0</v>
      </c>
      <c r="O148" s="6">
        <f>SUMIFS(Eventos!$G:$G,Eventos!$F:$F,$L148,Eventos!$D:$D,$C$2,Eventos!$B:$B,PANES_SEMANALES[[#ALL],[MIÉRCOLES]])</f>
        <v>0</v>
      </c>
      <c r="P148" s="6">
        <f>SUMIFS(Eventos!$G:$G,Eventos!$F:$F,$L148,Eventos!$D:$D,$C$2,Eventos!$B:$B,PANES_SEMANALES[[#ALL],[JUEVES]])</f>
        <v>0</v>
      </c>
      <c r="Q148" s="6">
        <f>IF(P148&lt;&gt;"",SUMIFS(Eventos!$G:$G,Eventos!$B:$B,Q$2,Eventos!$D:$D,$C$2,Eventos!$F:$F,$L148),"")</f>
        <v>0</v>
      </c>
      <c r="R148" s="6">
        <f>SUMIFS(Eventos!$G:$G,Eventos!$F:$F,$L148,Eventos!$D:$D,$C$2,Eventos!$B:$B,PANES_SEMANALES[[#ALL],[SÁBADO]])</f>
        <v>0</v>
      </c>
      <c r="S148" s="7">
        <f>SUMIFS(Eventos!$G:$G,Eventos!$F:$F,$L148,Eventos!$D:$D,$C$2,Eventos!$B:$B,PANES_SEMANALES[[#ALL],[DOMINGO]])</f>
        <v>0</v>
      </c>
      <c r="T148" s="8">
        <f t="shared" si="1"/>
        <v>0</v>
      </c>
    </row>
    <row r="149" ht="22.5" customHeight="1">
      <c r="L149" s="4"/>
      <c r="M149" s="5">
        <f>SUMIFS(Eventos!$G:$G,Eventos!$F:$F,$L149,Eventos!$D:$D,$C$2,Eventos!$B:$B,PANES_SEMANALES[[#ALL],[LUNES]])</f>
        <v>0</v>
      </c>
      <c r="N149" s="6">
        <f>SUMIFS(Eventos!$G:$G,Eventos!$F:$F,$L149,Eventos!$D:$D,$C$2,Eventos!$B:$B,PANES_SEMANALES[[#ALL],[MARTES]])</f>
        <v>0</v>
      </c>
      <c r="O149" s="6">
        <f>SUMIFS(Eventos!$G:$G,Eventos!$F:$F,$L149,Eventos!$D:$D,$C$2,Eventos!$B:$B,PANES_SEMANALES[[#ALL],[MIÉRCOLES]])</f>
        <v>0</v>
      </c>
      <c r="P149" s="6">
        <f>SUMIFS(Eventos!$G:$G,Eventos!$F:$F,$L149,Eventos!$D:$D,$C$2,Eventos!$B:$B,PANES_SEMANALES[[#ALL],[JUEVES]])</f>
        <v>0</v>
      </c>
      <c r="Q149" s="6">
        <f>IF(P149&lt;&gt;"",SUMIFS(Eventos!$G:$G,Eventos!$B:$B,Q$2,Eventos!$D:$D,$C$2,Eventos!$F:$F,$L149),"")</f>
        <v>0</v>
      </c>
      <c r="R149" s="6">
        <f>SUMIFS(Eventos!$G:$G,Eventos!$F:$F,$L149,Eventos!$D:$D,$C$2,Eventos!$B:$B,PANES_SEMANALES[[#ALL],[SÁBADO]])</f>
        <v>0</v>
      </c>
      <c r="S149" s="7">
        <f>SUMIFS(Eventos!$G:$G,Eventos!$F:$F,$L149,Eventos!$D:$D,$C$2,Eventos!$B:$B,PANES_SEMANALES[[#ALL],[DOMINGO]])</f>
        <v>0</v>
      </c>
      <c r="T149" s="8">
        <f t="shared" si="1"/>
        <v>0</v>
      </c>
    </row>
    <row r="150" ht="22.5" customHeight="1">
      <c r="L150" s="4"/>
      <c r="M150" s="5">
        <f>SUMIFS(Eventos!$G:$G,Eventos!$F:$F,$L150,Eventos!$D:$D,$C$2,Eventos!$B:$B,PANES_SEMANALES[[#ALL],[LUNES]])</f>
        <v>0</v>
      </c>
      <c r="N150" s="6">
        <f>SUMIFS(Eventos!$G:$G,Eventos!$F:$F,$L150,Eventos!$D:$D,$C$2,Eventos!$B:$B,PANES_SEMANALES[[#ALL],[MARTES]])</f>
        <v>0</v>
      </c>
      <c r="O150" s="6">
        <f>SUMIFS(Eventos!$G:$G,Eventos!$F:$F,$L150,Eventos!$D:$D,$C$2,Eventos!$B:$B,PANES_SEMANALES[[#ALL],[MIÉRCOLES]])</f>
        <v>0</v>
      </c>
      <c r="P150" s="6">
        <f>SUMIFS(Eventos!$G:$G,Eventos!$F:$F,$L150,Eventos!$D:$D,$C$2,Eventos!$B:$B,PANES_SEMANALES[[#ALL],[JUEVES]])</f>
        <v>0</v>
      </c>
      <c r="Q150" s="6">
        <f>IF(P150&lt;&gt;"",SUMIFS(Eventos!$G:$G,Eventos!$B:$B,Q$2,Eventos!$D:$D,$C$2,Eventos!$F:$F,$L150),"")</f>
        <v>0</v>
      </c>
      <c r="R150" s="6">
        <f>SUMIFS(Eventos!$G:$G,Eventos!$F:$F,$L150,Eventos!$D:$D,$C$2,Eventos!$B:$B,PANES_SEMANALES[[#ALL],[SÁBADO]])</f>
        <v>0</v>
      </c>
      <c r="S150" s="7">
        <f>SUMIFS(Eventos!$G:$G,Eventos!$F:$F,$L150,Eventos!$D:$D,$C$2,Eventos!$B:$B,PANES_SEMANALES[[#ALL],[DOMINGO]])</f>
        <v>0</v>
      </c>
      <c r="T150" s="8">
        <f t="shared" si="1"/>
        <v>0</v>
      </c>
    </row>
    <row r="151" ht="22.5" customHeight="1">
      <c r="L151" s="4"/>
      <c r="M151" s="5">
        <f>SUMIFS(Eventos!$G:$G,Eventos!$F:$F,$L151,Eventos!$D:$D,$C$2,Eventos!$B:$B,PANES_SEMANALES[[#ALL],[LUNES]])</f>
        <v>0</v>
      </c>
      <c r="N151" s="6">
        <f>SUMIFS(Eventos!$G:$G,Eventos!$F:$F,$L151,Eventos!$D:$D,$C$2,Eventos!$B:$B,PANES_SEMANALES[[#ALL],[MARTES]])</f>
        <v>0</v>
      </c>
      <c r="O151" s="6">
        <f>SUMIFS(Eventos!$G:$G,Eventos!$F:$F,$L151,Eventos!$D:$D,$C$2,Eventos!$B:$B,PANES_SEMANALES[[#ALL],[MIÉRCOLES]])</f>
        <v>0</v>
      </c>
      <c r="P151" s="6">
        <f>SUMIFS(Eventos!$G:$G,Eventos!$F:$F,$L151,Eventos!$D:$D,$C$2,Eventos!$B:$B,PANES_SEMANALES[[#ALL],[JUEVES]])</f>
        <v>0</v>
      </c>
      <c r="Q151" s="6">
        <f>IF(P151&lt;&gt;"",SUMIFS(Eventos!$G:$G,Eventos!$B:$B,Q$2,Eventos!$D:$D,$C$2,Eventos!$F:$F,$L151),"")</f>
        <v>0</v>
      </c>
      <c r="R151" s="6">
        <f>SUMIFS(Eventos!$G:$G,Eventos!$F:$F,$L151,Eventos!$D:$D,$C$2,Eventos!$B:$B,PANES_SEMANALES[[#ALL],[SÁBADO]])</f>
        <v>0</v>
      </c>
      <c r="S151" s="7">
        <f>SUMIFS(Eventos!$G:$G,Eventos!$F:$F,$L151,Eventos!$D:$D,$C$2,Eventos!$B:$B,PANES_SEMANALES[[#ALL],[DOMINGO]])</f>
        <v>0</v>
      </c>
      <c r="T151" s="8">
        <f t="shared" si="1"/>
        <v>0</v>
      </c>
    </row>
    <row r="152" ht="22.5" customHeight="1">
      <c r="L152" s="4"/>
      <c r="M152" s="5">
        <f>SUMIFS(Eventos!$G:$G,Eventos!$F:$F,$L152,Eventos!$D:$D,$C$2,Eventos!$B:$B,PANES_SEMANALES[[#ALL],[LUNES]])</f>
        <v>0</v>
      </c>
      <c r="N152" s="6">
        <f>SUMIFS(Eventos!$G:$G,Eventos!$F:$F,$L152,Eventos!$D:$D,$C$2,Eventos!$B:$B,PANES_SEMANALES[[#ALL],[MARTES]])</f>
        <v>0</v>
      </c>
      <c r="O152" s="6">
        <f>SUMIFS(Eventos!$G:$G,Eventos!$F:$F,$L152,Eventos!$D:$D,$C$2,Eventos!$B:$B,PANES_SEMANALES[[#ALL],[MIÉRCOLES]])</f>
        <v>0</v>
      </c>
      <c r="P152" s="6">
        <f>SUMIFS(Eventos!$G:$G,Eventos!$F:$F,$L152,Eventos!$D:$D,$C$2,Eventos!$B:$B,PANES_SEMANALES[[#ALL],[JUEVES]])</f>
        <v>0</v>
      </c>
      <c r="Q152" s="6">
        <f>IF(P152&lt;&gt;"",SUMIFS(Eventos!$G:$G,Eventos!$B:$B,Q$2,Eventos!$D:$D,$C$2,Eventos!$F:$F,$L152),"")</f>
        <v>0</v>
      </c>
      <c r="R152" s="6">
        <f>SUMIFS(Eventos!$G:$G,Eventos!$F:$F,$L152,Eventos!$D:$D,$C$2,Eventos!$B:$B,PANES_SEMANALES[[#ALL],[SÁBADO]])</f>
        <v>0</v>
      </c>
      <c r="S152" s="7">
        <f>SUMIFS(Eventos!$G:$G,Eventos!$F:$F,$L152,Eventos!$D:$D,$C$2,Eventos!$B:$B,PANES_SEMANALES[[#ALL],[DOMINGO]])</f>
        <v>0</v>
      </c>
      <c r="T152" s="8">
        <f t="shared" si="1"/>
        <v>0</v>
      </c>
    </row>
    <row r="153" ht="22.5" customHeight="1">
      <c r="L153" s="4"/>
      <c r="M153" s="5">
        <f>SUMIFS(Eventos!$G:$G,Eventos!$F:$F,$L153,Eventos!$D:$D,$C$2,Eventos!$B:$B,PANES_SEMANALES[[#ALL],[LUNES]])</f>
        <v>0</v>
      </c>
      <c r="N153" s="6">
        <f>SUMIFS(Eventos!$G:$G,Eventos!$F:$F,$L153,Eventos!$D:$D,$C$2,Eventos!$B:$B,PANES_SEMANALES[[#ALL],[MARTES]])</f>
        <v>0</v>
      </c>
      <c r="O153" s="6">
        <f>SUMIFS(Eventos!$G:$G,Eventos!$F:$F,$L153,Eventos!$D:$D,$C$2,Eventos!$B:$B,PANES_SEMANALES[[#ALL],[MIÉRCOLES]])</f>
        <v>0</v>
      </c>
      <c r="P153" s="6">
        <f>SUMIFS(Eventos!$G:$G,Eventos!$F:$F,$L153,Eventos!$D:$D,$C$2,Eventos!$B:$B,PANES_SEMANALES[[#ALL],[JUEVES]])</f>
        <v>0</v>
      </c>
      <c r="Q153" s="6">
        <f>IF(P153&lt;&gt;"",SUMIFS(Eventos!$G:$G,Eventos!$B:$B,Q$2,Eventos!$D:$D,$C$2,Eventos!$F:$F,$L153),"")</f>
        <v>0</v>
      </c>
      <c r="R153" s="6">
        <f>SUMIFS(Eventos!$G:$G,Eventos!$F:$F,$L153,Eventos!$D:$D,$C$2,Eventos!$B:$B,PANES_SEMANALES[[#ALL],[SÁBADO]])</f>
        <v>0</v>
      </c>
      <c r="S153" s="7">
        <f>SUMIFS(Eventos!$G:$G,Eventos!$F:$F,$L153,Eventos!$D:$D,$C$2,Eventos!$B:$B,PANES_SEMANALES[[#ALL],[DOMINGO]])</f>
        <v>0</v>
      </c>
      <c r="T153" s="8">
        <f t="shared" si="1"/>
        <v>0</v>
      </c>
    </row>
    <row r="154" ht="22.5" customHeight="1">
      <c r="L154" s="4"/>
      <c r="M154" s="5">
        <f>SUMIFS(Eventos!$G:$G,Eventos!$F:$F,$L154,Eventos!$D:$D,$C$2,Eventos!$B:$B,PANES_SEMANALES[[#ALL],[LUNES]])</f>
        <v>0</v>
      </c>
      <c r="N154" s="6">
        <f>SUMIFS(Eventos!$G:$G,Eventos!$F:$F,$L154,Eventos!$D:$D,$C$2,Eventos!$B:$B,PANES_SEMANALES[[#ALL],[MARTES]])</f>
        <v>0</v>
      </c>
      <c r="O154" s="6">
        <f>SUMIFS(Eventos!$G:$G,Eventos!$F:$F,$L154,Eventos!$D:$D,$C$2,Eventos!$B:$B,PANES_SEMANALES[[#ALL],[MIÉRCOLES]])</f>
        <v>0</v>
      </c>
      <c r="P154" s="6">
        <f>SUMIFS(Eventos!$G:$G,Eventos!$F:$F,$L154,Eventos!$D:$D,$C$2,Eventos!$B:$B,PANES_SEMANALES[[#ALL],[JUEVES]])</f>
        <v>0</v>
      </c>
      <c r="Q154" s="6">
        <f>IF(P154&lt;&gt;"",SUMIFS(Eventos!$G:$G,Eventos!$B:$B,Q$2,Eventos!$D:$D,$C$2,Eventos!$F:$F,$L154),"")</f>
        <v>0</v>
      </c>
      <c r="R154" s="6">
        <f>SUMIFS(Eventos!$G:$G,Eventos!$F:$F,$L154,Eventos!$D:$D,$C$2,Eventos!$B:$B,PANES_SEMANALES[[#ALL],[SÁBADO]])</f>
        <v>0</v>
      </c>
      <c r="S154" s="7">
        <f>SUMIFS(Eventos!$G:$G,Eventos!$F:$F,$L154,Eventos!$D:$D,$C$2,Eventos!$B:$B,PANES_SEMANALES[[#ALL],[DOMINGO]])</f>
        <v>0</v>
      </c>
      <c r="T154" s="8">
        <f t="shared" si="1"/>
        <v>0</v>
      </c>
    </row>
    <row r="155" ht="22.5" customHeight="1">
      <c r="L155" s="4"/>
      <c r="M155" s="5">
        <f>SUMIFS(Eventos!$G:$G,Eventos!$F:$F,$L155,Eventos!$D:$D,$C$2,Eventos!$B:$B,PANES_SEMANALES[[#ALL],[LUNES]])</f>
        <v>0</v>
      </c>
      <c r="N155" s="6">
        <f>SUMIFS(Eventos!$G:$G,Eventos!$F:$F,$L155,Eventos!$D:$D,$C$2,Eventos!$B:$B,PANES_SEMANALES[[#ALL],[MARTES]])</f>
        <v>0</v>
      </c>
      <c r="O155" s="6">
        <f>SUMIFS(Eventos!$G:$G,Eventos!$F:$F,$L155,Eventos!$D:$D,$C$2,Eventos!$B:$B,PANES_SEMANALES[[#ALL],[MIÉRCOLES]])</f>
        <v>0</v>
      </c>
      <c r="P155" s="6">
        <f>SUMIFS(Eventos!$G:$G,Eventos!$F:$F,$L155,Eventos!$D:$D,$C$2,Eventos!$B:$B,PANES_SEMANALES[[#ALL],[JUEVES]])</f>
        <v>0</v>
      </c>
      <c r="Q155" s="6">
        <f>IF(P155&lt;&gt;"",SUMIFS(Eventos!$G:$G,Eventos!$B:$B,Q$2,Eventos!$D:$D,$C$2,Eventos!$F:$F,$L155),"")</f>
        <v>0</v>
      </c>
      <c r="R155" s="6">
        <f>SUMIFS(Eventos!$G:$G,Eventos!$F:$F,$L155,Eventos!$D:$D,$C$2,Eventos!$B:$B,PANES_SEMANALES[[#ALL],[SÁBADO]])</f>
        <v>0</v>
      </c>
      <c r="S155" s="7">
        <f>SUMIFS(Eventos!$G:$G,Eventos!$F:$F,$L155,Eventos!$D:$D,$C$2,Eventos!$B:$B,PANES_SEMANALES[[#ALL],[DOMINGO]])</f>
        <v>0</v>
      </c>
      <c r="T155" s="8">
        <f t="shared" si="1"/>
        <v>0</v>
      </c>
    </row>
    <row r="156" ht="22.5" customHeight="1">
      <c r="L156" s="4"/>
      <c r="M156" s="5">
        <f>SUMIFS(Eventos!$G:$G,Eventos!$F:$F,$L156,Eventos!$D:$D,$C$2,Eventos!$B:$B,PANES_SEMANALES[[#ALL],[LUNES]])</f>
        <v>0</v>
      </c>
      <c r="N156" s="6">
        <f>SUMIFS(Eventos!$G:$G,Eventos!$F:$F,$L156,Eventos!$D:$D,$C$2,Eventos!$B:$B,PANES_SEMANALES[[#ALL],[MARTES]])</f>
        <v>0</v>
      </c>
      <c r="O156" s="6">
        <f>SUMIFS(Eventos!$G:$G,Eventos!$F:$F,$L156,Eventos!$D:$D,$C$2,Eventos!$B:$B,PANES_SEMANALES[[#ALL],[MIÉRCOLES]])</f>
        <v>0</v>
      </c>
      <c r="P156" s="6">
        <f>SUMIFS(Eventos!$G:$G,Eventos!$F:$F,$L156,Eventos!$D:$D,$C$2,Eventos!$B:$B,PANES_SEMANALES[[#ALL],[JUEVES]])</f>
        <v>0</v>
      </c>
      <c r="Q156" s="6">
        <f>IF(P156&lt;&gt;"",SUMIFS(Eventos!$G:$G,Eventos!$B:$B,Q$2,Eventos!$D:$D,$C$2,Eventos!$F:$F,$L156),"")</f>
        <v>0</v>
      </c>
      <c r="R156" s="6">
        <f>SUMIFS(Eventos!$G:$G,Eventos!$F:$F,$L156,Eventos!$D:$D,$C$2,Eventos!$B:$B,PANES_SEMANALES[[#ALL],[SÁBADO]])</f>
        <v>0</v>
      </c>
      <c r="S156" s="7">
        <f>SUMIFS(Eventos!$G:$G,Eventos!$F:$F,$L156,Eventos!$D:$D,$C$2,Eventos!$B:$B,PANES_SEMANALES[[#ALL],[DOMINGO]])</f>
        <v>0</v>
      </c>
      <c r="T156" s="8">
        <f t="shared" si="1"/>
        <v>0</v>
      </c>
    </row>
    <row r="157" ht="22.5" customHeight="1">
      <c r="L157" s="4"/>
      <c r="M157" s="5">
        <f>SUMIFS(Eventos!$G:$G,Eventos!$F:$F,$L157,Eventos!$D:$D,$C$2,Eventos!$B:$B,PANES_SEMANALES[[#ALL],[LUNES]])</f>
        <v>0</v>
      </c>
      <c r="N157" s="6">
        <f>SUMIFS(Eventos!$G:$G,Eventos!$F:$F,$L157,Eventos!$D:$D,$C$2,Eventos!$B:$B,PANES_SEMANALES[[#ALL],[MARTES]])</f>
        <v>0</v>
      </c>
      <c r="O157" s="6">
        <f>SUMIFS(Eventos!$G:$G,Eventos!$F:$F,$L157,Eventos!$D:$D,$C$2,Eventos!$B:$B,PANES_SEMANALES[[#ALL],[MIÉRCOLES]])</f>
        <v>0</v>
      </c>
      <c r="P157" s="6">
        <f>SUMIFS(Eventos!$G:$G,Eventos!$F:$F,$L157,Eventos!$D:$D,$C$2,Eventos!$B:$B,PANES_SEMANALES[[#ALL],[JUEVES]])</f>
        <v>0</v>
      </c>
      <c r="Q157" s="6">
        <f>IF(P157&lt;&gt;"",SUMIFS(Eventos!$G:$G,Eventos!$B:$B,Q$2,Eventos!$D:$D,$C$2,Eventos!$F:$F,$L157),"")</f>
        <v>0</v>
      </c>
      <c r="R157" s="6">
        <f>SUMIFS(Eventos!$G:$G,Eventos!$F:$F,$L157,Eventos!$D:$D,$C$2,Eventos!$B:$B,PANES_SEMANALES[[#ALL],[SÁBADO]])</f>
        <v>0</v>
      </c>
      <c r="S157" s="7">
        <f>SUMIFS(Eventos!$G:$G,Eventos!$F:$F,$L157,Eventos!$D:$D,$C$2,Eventos!$B:$B,PANES_SEMANALES[[#ALL],[DOMINGO]])</f>
        <v>0</v>
      </c>
      <c r="T157" s="8">
        <f t="shared" si="1"/>
        <v>0</v>
      </c>
    </row>
    <row r="158" ht="22.5" customHeight="1">
      <c r="L158" s="4"/>
      <c r="M158" s="5">
        <f>SUMIFS(Eventos!$G:$G,Eventos!$F:$F,$L158,Eventos!$D:$D,$C$2,Eventos!$B:$B,PANES_SEMANALES[[#ALL],[LUNES]])</f>
        <v>0</v>
      </c>
      <c r="N158" s="6">
        <f>SUMIFS(Eventos!$G:$G,Eventos!$F:$F,$L158,Eventos!$D:$D,$C$2,Eventos!$B:$B,PANES_SEMANALES[[#ALL],[MARTES]])</f>
        <v>0</v>
      </c>
      <c r="O158" s="6">
        <f>SUMIFS(Eventos!$G:$G,Eventos!$F:$F,$L158,Eventos!$D:$D,$C$2,Eventos!$B:$B,PANES_SEMANALES[[#ALL],[MIÉRCOLES]])</f>
        <v>0</v>
      </c>
      <c r="P158" s="6">
        <f>SUMIFS(Eventos!$G:$G,Eventos!$F:$F,$L158,Eventos!$D:$D,$C$2,Eventos!$B:$B,PANES_SEMANALES[[#ALL],[JUEVES]])</f>
        <v>0</v>
      </c>
      <c r="Q158" s="6">
        <f>IF(P158&lt;&gt;"",SUMIFS(Eventos!$G:$G,Eventos!$B:$B,Q$2,Eventos!$D:$D,$C$2,Eventos!$F:$F,$L158),"")</f>
        <v>0</v>
      </c>
      <c r="R158" s="6">
        <f>SUMIFS(Eventos!$G:$G,Eventos!$F:$F,$L158,Eventos!$D:$D,$C$2,Eventos!$B:$B,PANES_SEMANALES[[#ALL],[SÁBADO]])</f>
        <v>0</v>
      </c>
      <c r="S158" s="7">
        <f>SUMIFS(Eventos!$G:$G,Eventos!$F:$F,$L158,Eventos!$D:$D,$C$2,Eventos!$B:$B,PANES_SEMANALES[[#ALL],[DOMINGO]])</f>
        <v>0</v>
      </c>
      <c r="T158" s="8">
        <f t="shared" si="1"/>
        <v>0</v>
      </c>
    </row>
    <row r="159" ht="22.5" customHeight="1">
      <c r="L159" s="4"/>
      <c r="M159" s="5">
        <f>SUMIFS(Eventos!$G:$G,Eventos!$F:$F,$L159,Eventos!$D:$D,$C$2,Eventos!$B:$B,PANES_SEMANALES[[#ALL],[LUNES]])</f>
        <v>0</v>
      </c>
      <c r="N159" s="6">
        <f>SUMIFS(Eventos!$G:$G,Eventos!$F:$F,$L159,Eventos!$D:$D,$C$2,Eventos!$B:$B,PANES_SEMANALES[[#ALL],[MARTES]])</f>
        <v>0</v>
      </c>
      <c r="O159" s="6">
        <f>SUMIFS(Eventos!$G:$G,Eventos!$F:$F,$L159,Eventos!$D:$D,$C$2,Eventos!$B:$B,PANES_SEMANALES[[#ALL],[MIÉRCOLES]])</f>
        <v>0</v>
      </c>
      <c r="P159" s="6">
        <f>SUMIFS(Eventos!$G:$G,Eventos!$F:$F,$L159,Eventos!$D:$D,$C$2,Eventos!$B:$B,PANES_SEMANALES[[#ALL],[JUEVES]])</f>
        <v>0</v>
      </c>
      <c r="Q159" s="6">
        <f>IF(P159&lt;&gt;"",SUMIFS(Eventos!$G:$G,Eventos!$B:$B,Q$2,Eventos!$D:$D,$C$2,Eventos!$F:$F,$L159),"")</f>
        <v>0</v>
      </c>
      <c r="R159" s="6">
        <f>SUMIFS(Eventos!$G:$G,Eventos!$F:$F,$L159,Eventos!$D:$D,$C$2,Eventos!$B:$B,PANES_SEMANALES[[#ALL],[SÁBADO]])</f>
        <v>0</v>
      </c>
      <c r="S159" s="7">
        <f>SUMIFS(Eventos!$G:$G,Eventos!$F:$F,$L159,Eventos!$D:$D,$C$2,Eventos!$B:$B,PANES_SEMANALES[[#ALL],[DOMINGO]])</f>
        <v>0</v>
      </c>
      <c r="T159" s="8">
        <f t="shared" si="1"/>
        <v>0</v>
      </c>
    </row>
    <row r="160" ht="22.5" customHeight="1">
      <c r="L160" s="4"/>
      <c r="M160" s="5">
        <f>SUMIFS(Eventos!$G:$G,Eventos!$F:$F,$L160,Eventos!$D:$D,$C$2,Eventos!$B:$B,PANES_SEMANALES[[#ALL],[LUNES]])</f>
        <v>0</v>
      </c>
      <c r="N160" s="6">
        <f>SUMIFS(Eventos!$G:$G,Eventos!$F:$F,$L160,Eventos!$D:$D,$C$2,Eventos!$B:$B,PANES_SEMANALES[[#ALL],[MARTES]])</f>
        <v>0</v>
      </c>
      <c r="O160" s="6">
        <f>SUMIFS(Eventos!$G:$G,Eventos!$F:$F,$L160,Eventos!$D:$D,$C$2,Eventos!$B:$B,PANES_SEMANALES[[#ALL],[MIÉRCOLES]])</f>
        <v>0</v>
      </c>
      <c r="P160" s="6">
        <f>SUMIFS(Eventos!$G:$G,Eventos!$F:$F,$L160,Eventos!$D:$D,$C$2,Eventos!$B:$B,PANES_SEMANALES[[#ALL],[JUEVES]])</f>
        <v>0</v>
      </c>
      <c r="Q160" s="6">
        <f>IF(P160&lt;&gt;"",SUMIFS(Eventos!$G:$G,Eventos!$B:$B,Q$2,Eventos!$D:$D,$C$2,Eventos!$F:$F,$L160),"")</f>
        <v>0</v>
      </c>
      <c r="R160" s="6">
        <f>SUMIFS(Eventos!$G:$G,Eventos!$F:$F,$L160,Eventos!$D:$D,$C$2,Eventos!$B:$B,PANES_SEMANALES[[#ALL],[SÁBADO]])</f>
        <v>0</v>
      </c>
      <c r="S160" s="7">
        <f>SUMIFS(Eventos!$G:$G,Eventos!$F:$F,$L160,Eventos!$D:$D,$C$2,Eventos!$B:$B,PANES_SEMANALES[[#ALL],[DOMINGO]])</f>
        <v>0</v>
      </c>
      <c r="T160" s="8">
        <f t="shared" si="1"/>
        <v>0</v>
      </c>
    </row>
    <row r="161" ht="22.5" customHeight="1">
      <c r="L161" s="4"/>
      <c r="M161" s="5">
        <f>SUMIFS(Eventos!$G:$G,Eventos!$F:$F,$L161,Eventos!$D:$D,$C$2,Eventos!$B:$B,PANES_SEMANALES[[#ALL],[LUNES]])</f>
        <v>0</v>
      </c>
      <c r="N161" s="6">
        <f>SUMIFS(Eventos!$G:$G,Eventos!$F:$F,$L161,Eventos!$D:$D,$C$2,Eventos!$B:$B,PANES_SEMANALES[[#ALL],[MARTES]])</f>
        <v>0</v>
      </c>
      <c r="O161" s="6">
        <f>SUMIFS(Eventos!$G:$G,Eventos!$F:$F,$L161,Eventos!$D:$D,$C$2,Eventos!$B:$B,PANES_SEMANALES[[#ALL],[MIÉRCOLES]])</f>
        <v>0</v>
      </c>
      <c r="P161" s="6">
        <f>SUMIFS(Eventos!$G:$G,Eventos!$F:$F,$L161,Eventos!$D:$D,$C$2,Eventos!$B:$B,PANES_SEMANALES[[#ALL],[JUEVES]])</f>
        <v>0</v>
      </c>
      <c r="Q161" s="6">
        <f>IF(P161&lt;&gt;"",SUMIFS(Eventos!$G:$G,Eventos!$B:$B,Q$2,Eventos!$D:$D,$C$2,Eventos!$F:$F,$L161),"")</f>
        <v>0</v>
      </c>
      <c r="R161" s="6">
        <f>SUMIFS(Eventos!$G:$G,Eventos!$F:$F,$L161,Eventos!$D:$D,$C$2,Eventos!$B:$B,PANES_SEMANALES[[#ALL],[SÁBADO]])</f>
        <v>0</v>
      </c>
      <c r="S161" s="7">
        <f>SUMIFS(Eventos!$G:$G,Eventos!$F:$F,$L161,Eventos!$D:$D,$C$2,Eventos!$B:$B,PANES_SEMANALES[[#ALL],[DOMINGO]])</f>
        <v>0</v>
      </c>
      <c r="T161" s="8">
        <f t="shared" si="1"/>
        <v>0</v>
      </c>
    </row>
    <row r="162" ht="22.5" customHeight="1">
      <c r="L162" s="4"/>
      <c r="M162" s="5">
        <f>SUMIFS(Eventos!$G:$G,Eventos!$F:$F,$L162,Eventos!$D:$D,$C$2,Eventos!$B:$B,PANES_SEMANALES[[#ALL],[LUNES]])</f>
        <v>0</v>
      </c>
      <c r="N162" s="6">
        <f>SUMIFS(Eventos!$G:$G,Eventos!$F:$F,$L162,Eventos!$D:$D,$C$2,Eventos!$B:$B,PANES_SEMANALES[[#ALL],[MARTES]])</f>
        <v>0</v>
      </c>
      <c r="O162" s="6">
        <f>SUMIFS(Eventos!$G:$G,Eventos!$F:$F,$L162,Eventos!$D:$D,$C$2,Eventos!$B:$B,PANES_SEMANALES[[#ALL],[MIÉRCOLES]])</f>
        <v>0</v>
      </c>
      <c r="P162" s="6">
        <f>SUMIFS(Eventos!$G:$G,Eventos!$F:$F,$L162,Eventos!$D:$D,$C$2,Eventos!$B:$B,PANES_SEMANALES[[#ALL],[JUEVES]])</f>
        <v>0</v>
      </c>
      <c r="Q162" s="6">
        <f>IF(P162&lt;&gt;"",SUMIFS(Eventos!$G:$G,Eventos!$B:$B,Q$2,Eventos!$D:$D,$C$2,Eventos!$F:$F,$L162),"")</f>
        <v>0</v>
      </c>
      <c r="R162" s="6">
        <f>SUMIFS(Eventos!$G:$G,Eventos!$F:$F,$L162,Eventos!$D:$D,$C$2,Eventos!$B:$B,PANES_SEMANALES[[#ALL],[SÁBADO]])</f>
        <v>0</v>
      </c>
      <c r="S162" s="7">
        <f>SUMIFS(Eventos!$G:$G,Eventos!$F:$F,$L162,Eventos!$D:$D,$C$2,Eventos!$B:$B,PANES_SEMANALES[[#ALL],[DOMINGO]])</f>
        <v>0</v>
      </c>
      <c r="T162" s="8">
        <f t="shared" si="1"/>
        <v>0</v>
      </c>
    </row>
    <row r="163" ht="22.5" customHeight="1">
      <c r="L163" s="4"/>
      <c r="M163" s="5">
        <f>SUMIFS(Eventos!$G:$G,Eventos!$F:$F,$L163,Eventos!$D:$D,$C$2,Eventos!$B:$B,PANES_SEMANALES[[#ALL],[LUNES]])</f>
        <v>0</v>
      </c>
      <c r="N163" s="6">
        <f>SUMIFS(Eventos!$G:$G,Eventos!$F:$F,$L163,Eventos!$D:$D,$C$2,Eventos!$B:$B,PANES_SEMANALES[[#ALL],[MARTES]])</f>
        <v>0</v>
      </c>
      <c r="O163" s="6">
        <f>SUMIFS(Eventos!$G:$G,Eventos!$F:$F,$L163,Eventos!$D:$D,$C$2,Eventos!$B:$B,PANES_SEMANALES[[#ALL],[MIÉRCOLES]])</f>
        <v>0</v>
      </c>
      <c r="P163" s="6">
        <f>SUMIFS(Eventos!$G:$G,Eventos!$F:$F,$L163,Eventos!$D:$D,$C$2,Eventos!$B:$B,PANES_SEMANALES[[#ALL],[JUEVES]])</f>
        <v>0</v>
      </c>
      <c r="Q163" s="6">
        <f>IF(P163&lt;&gt;"",SUMIFS(Eventos!$G:$G,Eventos!$B:$B,Q$2,Eventos!$D:$D,$C$2,Eventos!$F:$F,$L163),"")</f>
        <v>0</v>
      </c>
      <c r="R163" s="6">
        <f>SUMIFS(Eventos!$G:$G,Eventos!$F:$F,$L163,Eventos!$D:$D,$C$2,Eventos!$B:$B,PANES_SEMANALES[[#ALL],[SÁBADO]])</f>
        <v>0</v>
      </c>
      <c r="S163" s="7">
        <f>SUMIFS(Eventos!$G:$G,Eventos!$F:$F,$L163,Eventos!$D:$D,$C$2,Eventos!$B:$B,PANES_SEMANALES[[#ALL],[DOMINGO]])</f>
        <v>0</v>
      </c>
      <c r="T163" s="8">
        <f t="shared" si="1"/>
        <v>0</v>
      </c>
    </row>
    <row r="164" ht="22.5" customHeight="1">
      <c r="L164" s="4"/>
      <c r="M164" s="5">
        <f>SUMIFS(Eventos!$G:$G,Eventos!$F:$F,$L164,Eventos!$D:$D,$C$2,Eventos!$B:$B,PANES_SEMANALES[[#ALL],[LUNES]])</f>
        <v>0</v>
      </c>
      <c r="N164" s="6">
        <f>SUMIFS(Eventos!$G:$G,Eventos!$F:$F,$L164,Eventos!$D:$D,$C$2,Eventos!$B:$B,PANES_SEMANALES[[#ALL],[MARTES]])</f>
        <v>0</v>
      </c>
      <c r="O164" s="6">
        <f>SUMIFS(Eventos!$G:$G,Eventos!$F:$F,$L164,Eventos!$D:$D,$C$2,Eventos!$B:$B,PANES_SEMANALES[[#ALL],[MIÉRCOLES]])</f>
        <v>0</v>
      </c>
      <c r="P164" s="6">
        <f>SUMIFS(Eventos!$G:$G,Eventos!$F:$F,$L164,Eventos!$D:$D,$C$2,Eventos!$B:$B,PANES_SEMANALES[[#ALL],[JUEVES]])</f>
        <v>0</v>
      </c>
      <c r="Q164" s="6">
        <f>IF(P164&lt;&gt;"",SUMIFS(Eventos!$G:$G,Eventos!$B:$B,Q$2,Eventos!$D:$D,$C$2,Eventos!$F:$F,$L164),"")</f>
        <v>0</v>
      </c>
      <c r="R164" s="6">
        <f>SUMIFS(Eventos!$G:$G,Eventos!$F:$F,$L164,Eventos!$D:$D,$C$2,Eventos!$B:$B,PANES_SEMANALES[[#ALL],[SÁBADO]])</f>
        <v>0</v>
      </c>
      <c r="S164" s="7">
        <f>SUMIFS(Eventos!$G:$G,Eventos!$F:$F,$L164,Eventos!$D:$D,$C$2,Eventos!$B:$B,PANES_SEMANALES[[#ALL],[DOMINGO]])</f>
        <v>0</v>
      </c>
      <c r="T164" s="8">
        <f t="shared" si="1"/>
        <v>0</v>
      </c>
    </row>
    <row r="165" ht="22.5" customHeight="1">
      <c r="L165" s="4"/>
      <c r="M165" s="5">
        <f>SUMIFS(Eventos!$G:$G,Eventos!$F:$F,$L165,Eventos!$D:$D,$C$2,Eventos!$B:$B,PANES_SEMANALES[[#ALL],[LUNES]])</f>
        <v>0</v>
      </c>
      <c r="N165" s="6">
        <f>SUMIFS(Eventos!$G:$G,Eventos!$F:$F,$L165,Eventos!$D:$D,$C$2,Eventos!$B:$B,PANES_SEMANALES[[#ALL],[MARTES]])</f>
        <v>0</v>
      </c>
      <c r="O165" s="6">
        <f>SUMIFS(Eventos!$G:$G,Eventos!$F:$F,$L165,Eventos!$D:$D,$C$2,Eventos!$B:$B,PANES_SEMANALES[[#ALL],[MIÉRCOLES]])</f>
        <v>0</v>
      </c>
      <c r="P165" s="6">
        <f>SUMIFS(Eventos!$G:$G,Eventos!$F:$F,$L165,Eventos!$D:$D,$C$2,Eventos!$B:$B,PANES_SEMANALES[[#ALL],[JUEVES]])</f>
        <v>0</v>
      </c>
      <c r="Q165" s="6">
        <f>IF(P165&lt;&gt;"",SUMIFS(Eventos!$G:$G,Eventos!$B:$B,Q$2,Eventos!$D:$D,$C$2,Eventos!$F:$F,$L165),"")</f>
        <v>0</v>
      </c>
      <c r="R165" s="6">
        <f>SUMIFS(Eventos!$G:$G,Eventos!$F:$F,$L165,Eventos!$D:$D,$C$2,Eventos!$B:$B,PANES_SEMANALES[[#ALL],[SÁBADO]])</f>
        <v>0</v>
      </c>
      <c r="S165" s="7">
        <f>SUMIFS(Eventos!$G:$G,Eventos!$F:$F,$L165,Eventos!$D:$D,$C$2,Eventos!$B:$B,PANES_SEMANALES[[#ALL],[DOMINGO]])</f>
        <v>0</v>
      </c>
      <c r="T165" s="8">
        <f t="shared" si="1"/>
        <v>0</v>
      </c>
    </row>
    <row r="166" ht="22.5" customHeight="1">
      <c r="L166" s="4"/>
      <c r="M166" s="5">
        <f>SUMIFS(Eventos!$G:$G,Eventos!$F:$F,$L166,Eventos!$D:$D,$C$2,Eventos!$B:$B,PANES_SEMANALES[[#ALL],[LUNES]])</f>
        <v>0</v>
      </c>
      <c r="N166" s="6">
        <f>SUMIFS(Eventos!$G:$G,Eventos!$F:$F,$L166,Eventos!$D:$D,$C$2,Eventos!$B:$B,PANES_SEMANALES[[#ALL],[MARTES]])</f>
        <v>0</v>
      </c>
      <c r="O166" s="6">
        <f>SUMIFS(Eventos!$G:$G,Eventos!$F:$F,$L166,Eventos!$D:$D,$C$2,Eventos!$B:$B,PANES_SEMANALES[[#ALL],[MIÉRCOLES]])</f>
        <v>0</v>
      </c>
      <c r="P166" s="6">
        <f>SUMIFS(Eventos!$G:$G,Eventos!$F:$F,$L166,Eventos!$D:$D,$C$2,Eventos!$B:$B,PANES_SEMANALES[[#ALL],[JUEVES]])</f>
        <v>0</v>
      </c>
      <c r="Q166" s="6">
        <f>IF(P166&lt;&gt;"",SUMIFS(Eventos!$G:$G,Eventos!$B:$B,Q$2,Eventos!$D:$D,$C$2,Eventos!$F:$F,$L166),"")</f>
        <v>0</v>
      </c>
      <c r="R166" s="6">
        <f>SUMIFS(Eventos!$G:$G,Eventos!$F:$F,$L166,Eventos!$D:$D,$C$2,Eventos!$B:$B,PANES_SEMANALES[[#ALL],[SÁBADO]])</f>
        <v>0</v>
      </c>
      <c r="S166" s="7">
        <f>SUMIFS(Eventos!$G:$G,Eventos!$F:$F,$L166,Eventos!$D:$D,$C$2,Eventos!$B:$B,PANES_SEMANALES[[#ALL],[DOMINGO]])</f>
        <v>0</v>
      </c>
      <c r="T166" s="8">
        <f t="shared" si="1"/>
        <v>0</v>
      </c>
    </row>
    <row r="167" ht="22.5" customHeight="1">
      <c r="L167" s="4"/>
      <c r="M167" s="5">
        <f>SUMIFS(Eventos!$G:$G,Eventos!$F:$F,$L167,Eventos!$D:$D,$C$2,Eventos!$B:$B,PANES_SEMANALES[[#ALL],[LUNES]])</f>
        <v>0</v>
      </c>
      <c r="N167" s="6">
        <f>SUMIFS(Eventos!$G:$G,Eventos!$F:$F,$L167,Eventos!$D:$D,$C$2,Eventos!$B:$B,PANES_SEMANALES[[#ALL],[MARTES]])</f>
        <v>0</v>
      </c>
      <c r="O167" s="6">
        <f>SUMIFS(Eventos!$G:$G,Eventos!$F:$F,$L167,Eventos!$D:$D,$C$2,Eventos!$B:$B,PANES_SEMANALES[[#ALL],[MIÉRCOLES]])</f>
        <v>0</v>
      </c>
      <c r="P167" s="6">
        <f>SUMIFS(Eventos!$G:$G,Eventos!$F:$F,$L167,Eventos!$D:$D,$C$2,Eventos!$B:$B,PANES_SEMANALES[[#ALL],[JUEVES]])</f>
        <v>0</v>
      </c>
      <c r="Q167" s="6">
        <f>IF(P167&lt;&gt;"",SUMIFS(Eventos!$G:$G,Eventos!$B:$B,Q$2,Eventos!$D:$D,$C$2,Eventos!$F:$F,$L167),"")</f>
        <v>0</v>
      </c>
      <c r="R167" s="6">
        <f>SUMIFS(Eventos!$G:$G,Eventos!$F:$F,$L167,Eventos!$D:$D,$C$2,Eventos!$B:$B,PANES_SEMANALES[[#ALL],[SÁBADO]])</f>
        <v>0</v>
      </c>
      <c r="S167" s="7">
        <f>SUMIFS(Eventos!$G:$G,Eventos!$F:$F,$L167,Eventos!$D:$D,$C$2,Eventos!$B:$B,PANES_SEMANALES[[#ALL],[DOMINGO]])</f>
        <v>0</v>
      </c>
      <c r="T167" s="8">
        <f t="shared" si="1"/>
        <v>0</v>
      </c>
    </row>
    <row r="168" ht="22.5" customHeight="1">
      <c r="L168" s="4"/>
      <c r="M168" s="5">
        <f>SUMIFS(Eventos!$G:$G,Eventos!$F:$F,$L168,Eventos!$D:$D,$C$2,Eventos!$B:$B,PANES_SEMANALES[[#ALL],[LUNES]])</f>
        <v>0</v>
      </c>
      <c r="N168" s="6">
        <f>SUMIFS(Eventos!$G:$G,Eventos!$F:$F,$L168,Eventos!$D:$D,$C$2,Eventos!$B:$B,PANES_SEMANALES[[#ALL],[MARTES]])</f>
        <v>0</v>
      </c>
      <c r="O168" s="6">
        <f>SUMIFS(Eventos!$G:$G,Eventos!$F:$F,$L168,Eventos!$D:$D,$C$2,Eventos!$B:$B,PANES_SEMANALES[[#ALL],[MIÉRCOLES]])</f>
        <v>0</v>
      </c>
      <c r="P168" s="6">
        <f>SUMIFS(Eventos!$G:$G,Eventos!$F:$F,$L168,Eventos!$D:$D,$C$2,Eventos!$B:$B,PANES_SEMANALES[[#ALL],[JUEVES]])</f>
        <v>0</v>
      </c>
      <c r="Q168" s="6">
        <f>IF(P168&lt;&gt;"",SUMIFS(Eventos!$G:$G,Eventos!$B:$B,Q$2,Eventos!$D:$D,$C$2,Eventos!$F:$F,$L168),"")</f>
        <v>0</v>
      </c>
      <c r="R168" s="6">
        <f>SUMIFS(Eventos!$G:$G,Eventos!$F:$F,$L168,Eventos!$D:$D,$C$2,Eventos!$B:$B,PANES_SEMANALES[[#ALL],[SÁBADO]])</f>
        <v>0</v>
      </c>
      <c r="S168" s="7">
        <f>SUMIFS(Eventos!$G:$G,Eventos!$F:$F,$L168,Eventos!$D:$D,$C$2,Eventos!$B:$B,PANES_SEMANALES[[#ALL],[DOMINGO]])</f>
        <v>0</v>
      </c>
      <c r="T168" s="8">
        <f t="shared" si="1"/>
        <v>0</v>
      </c>
    </row>
    <row r="169" ht="22.5" customHeight="1">
      <c r="L169" s="4"/>
      <c r="M169" s="5">
        <f>SUMIFS(Eventos!$G:$G,Eventos!$F:$F,$L169,Eventos!$D:$D,$C$2,Eventos!$B:$B,PANES_SEMANALES[[#ALL],[LUNES]])</f>
        <v>0</v>
      </c>
      <c r="N169" s="6">
        <f>SUMIFS(Eventos!$G:$G,Eventos!$F:$F,$L169,Eventos!$D:$D,$C$2,Eventos!$B:$B,PANES_SEMANALES[[#ALL],[MARTES]])</f>
        <v>0</v>
      </c>
      <c r="O169" s="6">
        <f>SUMIFS(Eventos!$G:$G,Eventos!$F:$F,$L169,Eventos!$D:$D,$C$2,Eventos!$B:$B,PANES_SEMANALES[[#ALL],[MIÉRCOLES]])</f>
        <v>0</v>
      </c>
      <c r="P169" s="6">
        <f>SUMIFS(Eventos!$G:$G,Eventos!$F:$F,$L169,Eventos!$D:$D,$C$2,Eventos!$B:$B,PANES_SEMANALES[[#ALL],[JUEVES]])</f>
        <v>0</v>
      </c>
      <c r="Q169" s="6">
        <f>IF(P169&lt;&gt;"",SUMIFS(Eventos!$G:$G,Eventos!$B:$B,Q$2,Eventos!$D:$D,$C$2,Eventos!$F:$F,$L169),"")</f>
        <v>0</v>
      </c>
      <c r="R169" s="6">
        <f>SUMIFS(Eventos!$G:$G,Eventos!$F:$F,$L169,Eventos!$D:$D,$C$2,Eventos!$B:$B,PANES_SEMANALES[[#ALL],[SÁBADO]])</f>
        <v>0</v>
      </c>
      <c r="S169" s="7">
        <f>SUMIFS(Eventos!$G:$G,Eventos!$F:$F,$L169,Eventos!$D:$D,$C$2,Eventos!$B:$B,PANES_SEMANALES[[#ALL],[DOMINGO]])</f>
        <v>0</v>
      </c>
      <c r="T169" s="8">
        <f t="shared" si="1"/>
        <v>0</v>
      </c>
    </row>
    <row r="170" ht="22.5" customHeight="1">
      <c r="L170" s="4"/>
      <c r="M170" s="5">
        <f>SUMIFS(Eventos!$G:$G,Eventos!$F:$F,$L170,Eventos!$D:$D,$C$2,Eventos!$B:$B,PANES_SEMANALES[[#ALL],[LUNES]])</f>
        <v>0</v>
      </c>
      <c r="N170" s="6">
        <f>SUMIFS(Eventos!$G:$G,Eventos!$F:$F,$L170,Eventos!$D:$D,$C$2,Eventos!$B:$B,PANES_SEMANALES[[#ALL],[MARTES]])</f>
        <v>0</v>
      </c>
      <c r="O170" s="6">
        <f>SUMIFS(Eventos!$G:$G,Eventos!$F:$F,$L170,Eventos!$D:$D,$C$2,Eventos!$B:$B,PANES_SEMANALES[[#ALL],[MIÉRCOLES]])</f>
        <v>0</v>
      </c>
      <c r="P170" s="6">
        <f>SUMIFS(Eventos!$G:$G,Eventos!$F:$F,$L170,Eventos!$D:$D,$C$2,Eventos!$B:$B,PANES_SEMANALES[[#ALL],[JUEVES]])</f>
        <v>0</v>
      </c>
      <c r="Q170" s="6">
        <f>IF(P170&lt;&gt;"",SUMIFS(Eventos!$G:$G,Eventos!$B:$B,Q$2,Eventos!$D:$D,$C$2,Eventos!$F:$F,$L170),"")</f>
        <v>0</v>
      </c>
      <c r="R170" s="6">
        <f>SUMIFS(Eventos!$G:$G,Eventos!$F:$F,$L170,Eventos!$D:$D,$C$2,Eventos!$B:$B,PANES_SEMANALES[[#ALL],[SÁBADO]])</f>
        <v>0</v>
      </c>
      <c r="S170" s="7">
        <f>SUMIFS(Eventos!$G:$G,Eventos!$F:$F,$L170,Eventos!$D:$D,$C$2,Eventos!$B:$B,PANES_SEMANALES[[#ALL],[DOMINGO]])</f>
        <v>0</v>
      </c>
      <c r="T170" s="8">
        <f t="shared" si="1"/>
        <v>0</v>
      </c>
    </row>
    <row r="171" ht="22.5" customHeight="1">
      <c r="L171" s="4"/>
      <c r="M171" s="5">
        <f>SUMIFS(Eventos!$G:$G,Eventos!$F:$F,$L171,Eventos!$D:$D,$C$2,Eventos!$B:$B,PANES_SEMANALES[[#ALL],[LUNES]])</f>
        <v>0</v>
      </c>
      <c r="N171" s="6">
        <f>SUMIFS(Eventos!$G:$G,Eventos!$F:$F,$L171,Eventos!$D:$D,$C$2,Eventos!$B:$B,PANES_SEMANALES[[#ALL],[MARTES]])</f>
        <v>0</v>
      </c>
      <c r="O171" s="6">
        <f>SUMIFS(Eventos!$G:$G,Eventos!$F:$F,$L171,Eventos!$D:$D,$C$2,Eventos!$B:$B,PANES_SEMANALES[[#ALL],[MIÉRCOLES]])</f>
        <v>0</v>
      </c>
      <c r="P171" s="6">
        <f>SUMIFS(Eventos!$G:$G,Eventos!$F:$F,$L171,Eventos!$D:$D,$C$2,Eventos!$B:$B,PANES_SEMANALES[[#ALL],[JUEVES]])</f>
        <v>0</v>
      </c>
      <c r="Q171" s="6">
        <f>IF(P171&lt;&gt;"",SUMIFS(Eventos!$G:$G,Eventos!$B:$B,Q$2,Eventos!$D:$D,$C$2,Eventos!$F:$F,$L171),"")</f>
        <v>0</v>
      </c>
      <c r="R171" s="6">
        <f>SUMIFS(Eventos!$G:$G,Eventos!$F:$F,$L171,Eventos!$D:$D,$C$2,Eventos!$B:$B,PANES_SEMANALES[[#ALL],[SÁBADO]])</f>
        <v>0</v>
      </c>
      <c r="S171" s="7">
        <f>SUMIFS(Eventos!$G:$G,Eventos!$F:$F,$L171,Eventos!$D:$D,$C$2,Eventos!$B:$B,PANES_SEMANALES[[#ALL],[DOMINGO]])</f>
        <v>0</v>
      </c>
      <c r="T171" s="8">
        <f t="shared" si="1"/>
        <v>0</v>
      </c>
    </row>
    <row r="172" ht="22.5" customHeight="1">
      <c r="L172" s="4"/>
      <c r="M172" s="5">
        <f>SUMIFS(Eventos!$G:$G,Eventos!$F:$F,$L172,Eventos!$D:$D,$C$2,Eventos!$B:$B,PANES_SEMANALES[[#ALL],[LUNES]])</f>
        <v>0</v>
      </c>
      <c r="N172" s="6">
        <f>SUMIFS(Eventos!$G:$G,Eventos!$F:$F,$L172,Eventos!$D:$D,$C$2,Eventos!$B:$B,PANES_SEMANALES[[#ALL],[MARTES]])</f>
        <v>0</v>
      </c>
      <c r="O172" s="6">
        <f>SUMIFS(Eventos!$G:$G,Eventos!$F:$F,$L172,Eventos!$D:$D,$C$2,Eventos!$B:$B,PANES_SEMANALES[[#ALL],[MIÉRCOLES]])</f>
        <v>0</v>
      </c>
      <c r="P172" s="6">
        <f>SUMIFS(Eventos!$G:$G,Eventos!$F:$F,$L172,Eventos!$D:$D,$C$2,Eventos!$B:$B,PANES_SEMANALES[[#ALL],[JUEVES]])</f>
        <v>0</v>
      </c>
      <c r="Q172" s="6">
        <f>IF(P172&lt;&gt;"",SUMIFS(Eventos!$G:$G,Eventos!$B:$B,Q$2,Eventos!$D:$D,$C$2,Eventos!$F:$F,$L172),"")</f>
        <v>0</v>
      </c>
      <c r="R172" s="6">
        <f>SUMIFS(Eventos!$G:$G,Eventos!$F:$F,$L172,Eventos!$D:$D,$C$2,Eventos!$B:$B,PANES_SEMANALES[[#ALL],[SÁBADO]])</f>
        <v>0</v>
      </c>
      <c r="S172" s="7">
        <f>SUMIFS(Eventos!$G:$G,Eventos!$F:$F,$L172,Eventos!$D:$D,$C$2,Eventos!$B:$B,PANES_SEMANALES[[#ALL],[DOMINGO]])</f>
        <v>0</v>
      </c>
      <c r="T172" s="8">
        <f t="shared" si="1"/>
        <v>0</v>
      </c>
    </row>
    <row r="173" ht="22.5" customHeight="1">
      <c r="L173" s="4"/>
      <c r="M173" s="5">
        <f>SUMIFS(Eventos!$G:$G,Eventos!$F:$F,$L173,Eventos!$D:$D,$C$2,Eventos!$B:$B,PANES_SEMANALES[[#ALL],[LUNES]])</f>
        <v>0</v>
      </c>
      <c r="N173" s="6">
        <f>SUMIFS(Eventos!$G:$G,Eventos!$F:$F,$L173,Eventos!$D:$D,$C$2,Eventos!$B:$B,PANES_SEMANALES[[#ALL],[MARTES]])</f>
        <v>0</v>
      </c>
      <c r="O173" s="6">
        <f>SUMIFS(Eventos!$G:$G,Eventos!$F:$F,$L173,Eventos!$D:$D,$C$2,Eventos!$B:$B,PANES_SEMANALES[[#ALL],[MIÉRCOLES]])</f>
        <v>0</v>
      </c>
      <c r="P173" s="6">
        <f>SUMIFS(Eventos!$G:$G,Eventos!$F:$F,$L173,Eventos!$D:$D,$C$2,Eventos!$B:$B,PANES_SEMANALES[[#ALL],[JUEVES]])</f>
        <v>0</v>
      </c>
      <c r="Q173" s="6">
        <f>IF(P173&lt;&gt;"",SUMIFS(Eventos!$G:$G,Eventos!$B:$B,Q$2,Eventos!$D:$D,$C$2,Eventos!$F:$F,$L173),"")</f>
        <v>0</v>
      </c>
      <c r="R173" s="6">
        <f>SUMIFS(Eventos!$G:$G,Eventos!$F:$F,$L173,Eventos!$D:$D,$C$2,Eventos!$B:$B,PANES_SEMANALES[[#ALL],[SÁBADO]])</f>
        <v>0</v>
      </c>
      <c r="S173" s="7">
        <f>SUMIFS(Eventos!$G:$G,Eventos!$F:$F,$L173,Eventos!$D:$D,$C$2,Eventos!$B:$B,PANES_SEMANALES[[#ALL],[DOMINGO]])</f>
        <v>0</v>
      </c>
      <c r="T173" s="8">
        <f t="shared" si="1"/>
        <v>0</v>
      </c>
    </row>
    <row r="174" ht="22.5" customHeight="1">
      <c r="L174" s="4"/>
      <c r="M174" s="5">
        <f>SUMIFS(Eventos!$G:$G,Eventos!$F:$F,$L174,Eventos!$D:$D,$C$2,Eventos!$B:$B,PANES_SEMANALES[[#ALL],[LUNES]])</f>
        <v>0</v>
      </c>
      <c r="N174" s="6">
        <f>SUMIFS(Eventos!$G:$G,Eventos!$F:$F,$L174,Eventos!$D:$D,$C$2,Eventos!$B:$B,PANES_SEMANALES[[#ALL],[MARTES]])</f>
        <v>0</v>
      </c>
      <c r="O174" s="6">
        <f>SUMIFS(Eventos!$G:$G,Eventos!$F:$F,$L174,Eventos!$D:$D,$C$2,Eventos!$B:$B,PANES_SEMANALES[[#ALL],[MIÉRCOLES]])</f>
        <v>0</v>
      </c>
      <c r="P174" s="6">
        <f>SUMIFS(Eventos!$G:$G,Eventos!$F:$F,$L174,Eventos!$D:$D,$C$2,Eventos!$B:$B,PANES_SEMANALES[[#ALL],[JUEVES]])</f>
        <v>0</v>
      </c>
      <c r="Q174" s="6">
        <f>IF(P174&lt;&gt;"",SUMIFS(Eventos!$G:$G,Eventos!$B:$B,Q$2,Eventos!$D:$D,$C$2,Eventos!$F:$F,$L174),"")</f>
        <v>0</v>
      </c>
      <c r="R174" s="6">
        <f>SUMIFS(Eventos!$G:$G,Eventos!$F:$F,$L174,Eventos!$D:$D,$C$2,Eventos!$B:$B,PANES_SEMANALES[[#ALL],[SÁBADO]])</f>
        <v>0</v>
      </c>
      <c r="S174" s="7">
        <f>SUMIFS(Eventos!$G:$G,Eventos!$F:$F,$L174,Eventos!$D:$D,$C$2,Eventos!$B:$B,PANES_SEMANALES[[#ALL],[DOMINGO]])</f>
        <v>0</v>
      </c>
      <c r="T174" s="8">
        <f t="shared" si="1"/>
        <v>0</v>
      </c>
    </row>
    <row r="175" ht="22.5" customHeight="1">
      <c r="L175" s="4"/>
      <c r="M175" s="5">
        <f>SUMIFS(Eventos!$G:$G,Eventos!$F:$F,$L175,Eventos!$D:$D,$C$2,Eventos!$B:$B,PANES_SEMANALES[[#ALL],[LUNES]])</f>
        <v>0</v>
      </c>
      <c r="N175" s="6">
        <f>SUMIFS(Eventos!$G:$G,Eventos!$F:$F,$L175,Eventos!$D:$D,$C$2,Eventos!$B:$B,PANES_SEMANALES[[#ALL],[MARTES]])</f>
        <v>0</v>
      </c>
      <c r="O175" s="6">
        <f>SUMIFS(Eventos!$G:$G,Eventos!$F:$F,$L175,Eventos!$D:$D,$C$2,Eventos!$B:$B,PANES_SEMANALES[[#ALL],[MIÉRCOLES]])</f>
        <v>0</v>
      </c>
      <c r="P175" s="6">
        <f>SUMIFS(Eventos!$G:$G,Eventos!$F:$F,$L175,Eventos!$D:$D,$C$2,Eventos!$B:$B,PANES_SEMANALES[[#ALL],[JUEVES]])</f>
        <v>0</v>
      </c>
      <c r="Q175" s="6">
        <f>IF(P175&lt;&gt;"",SUMIFS(Eventos!$G:$G,Eventos!$B:$B,Q$2,Eventos!$D:$D,$C$2,Eventos!$F:$F,$L175),"")</f>
        <v>0</v>
      </c>
      <c r="R175" s="6">
        <f>SUMIFS(Eventos!$G:$G,Eventos!$F:$F,$L175,Eventos!$D:$D,$C$2,Eventos!$B:$B,PANES_SEMANALES[[#ALL],[SÁBADO]])</f>
        <v>0</v>
      </c>
      <c r="S175" s="7">
        <f>SUMIFS(Eventos!$G:$G,Eventos!$F:$F,$L175,Eventos!$D:$D,$C$2,Eventos!$B:$B,PANES_SEMANALES[[#ALL],[DOMINGO]])</f>
        <v>0</v>
      </c>
      <c r="T175" s="8">
        <f t="shared" si="1"/>
        <v>0</v>
      </c>
    </row>
    <row r="176" ht="22.5" customHeight="1">
      <c r="L176" s="4"/>
      <c r="M176" s="5">
        <f>SUMIFS(Eventos!$G:$G,Eventos!$F:$F,$L176,Eventos!$D:$D,$C$2,Eventos!$B:$B,PANES_SEMANALES[[#ALL],[LUNES]])</f>
        <v>0</v>
      </c>
      <c r="N176" s="6">
        <f>SUMIFS(Eventos!$G:$G,Eventos!$F:$F,$L176,Eventos!$D:$D,$C$2,Eventos!$B:$B,PANES_SEMANALES[[#ALL],[MARTES]])</f>
        <v>0</v>
      </c>
      <c r="O176" s="6">
        <f>SUMIFS(Eventos!$G:$G,Eventos!$F:$F,$L176,Eventos!$D:$D,$C$2,Eventos!$B:$B,PANES_SEMANALES[[#ALL],[MIÉRCOLES]])</f>
        <v>0</v>
      </c>
      <c r="P176" s="6">
        <f>SUMIFS(Eventos!$G:$G,Eventos!$F:$F,$L176,Eventos!$D:$D,$C$2,Eventos!$B:$B,PANES_SEMANALES[[#ALL],[JUEVES]])</f>
        <v>0</v>
      </c>
      <c r="Q176" s="6">
        <f>IF(P176&lt;&gt;"",SUMIFS(Eventos!$G:$G,Eventos!$B:$B,Q$2,Eventos!$D:$D,$C$2,Eventos!$F:$F,$L176),"")</f>
        <v>0</v>
      </c>
      <c r="R176" s="6">
        <f>SUMIFS(Eventos!$G:$G,Eventos!$F:$F,$L176,Eventos!$D:$D,$C$2,Eventos!$B:$B,PANES_SEMANALES[[#ALL],[SÁBADO]])</f>
        <v>0</v>
      </c>
      <c r="S176" s="7">
        <f>SUMIFS(Eventos!$G:$G,Eventos!$F:$F,$L176,Eventos!$D:$D,$C$2,Eventos!$B:$B,PANES_SEMANALES[[#ALL],[DOMINGO]])</f>
        <v>0</v>
      </c>
      <c r="T176" s="8">
        <f t="shared" si="1"/>
        <v>0</v>
      </c>
    </row>
    <row r="177" ht="22.5" customHeight="1">
      <c r="L177" s="4"/>
      <c r="M177" s="5">
        <f>SUMIFS(Eventos!$G:$G,Eventos!$F:$F,$L177,Eventos!$D:$D,$C$2,Eventos!$B:$B,PANES_SEMANALES[[#ALL],[LUNES]])</f>
        <v>0</v>
      </c>
      <c r="N177" s="6">
        <f>SUMIFS(Eventos!$G:$G,Eventos!$F:$F,$L177,Eventos!$D:$D,$C$2,Eventos!$B:$B,PANES_SEMANALES[[#ALL],[MARTES]])</f>
        <v>0</v>
      </c>
      <c r="O177" s="6">
        <f>SUMIFS(Eventos!$G:$G,Eventos!$F:$F,$L177,Eventos!$D:$D,$C$2,Eventos!$B:$B,PANES_SEMANALES[[#ALL],[MIÉRCOLES]])</f>
        <v>0</v>
      </c>
      <c r="P177" s="6">
        <f>SUMIFS(Eventos!$G:$G,Eventos!$F:$F,$L177,Eventos!$D:$D,$C$2,Eventos!$B:$B,PANES_SEMANALES[[#ALL],[JUEVES]])</f>
        <v>0</v>
      </c>
      <c r="Q177" s="6">
        <f>IF(P177&lt;&gt;"",SUMIFS(Eventos!$G:$G,Eventos!$B:$B,Q$2,Eventos!$D:$D,$C$2,Eventos!$F:$F,$L177),"")</f>
        <v>0</v>
      </c>
      <c r="R177" s="6">
        <f>SUMIFS(Eventos!$G:$G,Eventos!$F:$F,$L177,Eventos!$D:$D,$C$2,Eventos!$B:$B,PANES_SEMANALES[[#ALL],[SÁBADO]])</f>
        <v>0</v>
      </c>
      <c r="S177" s="7">
        <f>SUMIFS(Eventos!$G:$G,Eventos!$F:$F,$L177,Eventos!$D:$D,$C$2,Eventos!$B:$B,PANES_SEMANALES[[#ALL],[DOMINGO]])</f>
        <v>0</v>
      </c>
      <c r="T177" s="8">
        <f t="shared" si="1"/>
        <v>0</v>
      </c>
    </row>
    <row r="178" ht="22.5" customHeight="1">
      <c r="L178" s="4"/>
      <c r="M178" s="5">
        <f>SUMIFS(Eventos!$G:$G,Eventos!$F:$F,$L178,Eventos!$D:$D,$C$2,Eventos!$B:$B,PANES_SEMANALES[[#ALL],[LUNES]])</f>
        <v>0</v>
      </c>
      <c r="N178" s="6">
        <f>SUMIFS(Eventos!$G:$G,Eventos!$F:$F,$L178,Eventos!$D:$D,$C$2,Eventos!$B:$B,PANES_SEMANALES[[#ALL],[MARTES]])</f>
        <v>0</v>
      </c>
      <c r="O178" s="6">
        <f>SUMIFS(Eventos!$G:$G,Eventos!$F:$F,$L178,Eventos!$D:$D,$C$2,Eventos!$B:$B,PANES_SEMANALES[[#ALL],[MIÉRCOLES]])</f>
        <v>0</v>
      </c>
      <c r="P178" s="6">
        <f>SUMIFS(Eventos!$G:$G,Eventos!$F:$F,$L178,Eventos!$D:$D,$C$2,Eventos!$B:$B,PANES_SEMANALES[[#ALL],[JUEVES]])</f>
        <v>0</v>
      </c>
      <c r="Q178" s="6">
        <f>IF(P178&lt;&gt;"",SUMIFS(Eventos!$G:$G,Eventos!$B:$B,Q$2,Eventos!$D:$D,$C$2,Eventos!$F:$F,$L178),"")</f>
        <v>0</v>
      </c>
      <c r="R178" s="6">
        <f>SUMIFS(Eventos!$G:$G,Eventos!$F:$F,$L178,Eventos!$D:$D,$C$2,Eventos!$B:$B,PANES_SEMANALES[[#ALL],[SÁBADO]])</f>
        <v>0</v>
      </c>
      <c r="S178" s="7">
        <f>SUMIFS(Eventos!$G:$G,Eventos!$F:$F,$L178,Eventos!$D:$D,$C$2,Eventos!$B:$B,PANES_SEMANALES[[#ALL],[DOMINGO]])</f>
        <v>0</v>
      </c>
      <c r="T178" s="8">
        <f t="shared" si="1"/>
        <v>0</v>
      </c>
    </row>
    <row r="179" ht="22.5" customHeight="1">
      <c r="L179" s="4"/>
      <c r="M179" s="5">
        <f>SUMIFS(Eventos!$G:$G,Eventos!$F:$F,$L179,Eventos!$D:$D,$C$2,Eventos!$B:$B,PANES_SEMANALES[[#ALL],[LUNES]])</f>
        <v>0</v>
      </c>
      <c r="N179" s="6">
        <f>SUMIFS(Eventos!$G:$G,Eventos!$F:$F,$L179,Eventos!$D:$D,$C$2,Eventos!$B:$B,PANES_SEMANALES[[#ALL],[MARTES]])</f>
        <v>0</v>
      </c>
      <c r="O179" s="6">
        <f>SUMIFS(Eventos!$G:$G,Eventos!$F:$F,$L179,Eventos!$D:$D,$C$2,Eventos!$B:$B,PANES_SEMANALES[[#ALL],[MIÉRCOLES]])</f>
        <v>0</v>
      </c>
      <c r="P179" s="6">
        <f>SUMIFS(Eventos!$G:$G,Eventos!$F:$F,$L179,Eventos!$D:$D,$C$2,Eventos!$B:$B,PANES_SEMANALES[[#ALL],[JUEVES]])</f>
        <v>0</v>
      </c>
      <c r="Q179" s="6">
        <f>IF(P179&lt;&gt;"",SUMIFS(Eventos!$G:$G,Eventos!$B:$B,Q$2,Eventos!$D:$D,$C$2,Eventos!$F:$F,$L179),"")</f>
        <v>0</v>
      </c>
      <c r="R179" s="6">
        <f>SUMIFS(Eventos!$G:$G,Eventos!$F:$F,$L179,Eventos!$D:$D,$C$2,Eventos!$B:$B,PANES_SEMANALES[[#ALL],[SÁBADO]])</f>
        <v>0</v>
      </c>
      <c r="S179" s="7">
        <f>SUMIFS(Eventos!$G:$G,Eventos!$F:$F,$L179,Eventos!$D:$D,$C$2,Eventos!$B:$B,PANES_SEMANALES[[#ALL],[DOMINGO]])</f>
        <v>0</v>
      </c>
      <c r="T179" s="8">
        <f t="shared" si="1"/>
        <v>0</v>
      </c>
    </row>
    <row r="180" ht="22.5" customHeight="1">
      <c r="L180" s="4"/>
      <c r="M180" s="5">
        <f>SUMIFS(Eventos!$G:$G,Eventos!$F:$F,$L180,Eventos!$D:$D,$C$2,Eventos!$B:$B,PANES_SEMANALES[[#ALL],[LUNES]])</f>
        <v>0</v>
      </c>
      <c r="N180" s="6">
        <f>SUMIFS(Eventos!$G:$G,Eventos!$F:$F,$L180,Eventos!$D:$D,$C$2,Eventos!$B:$B,PANES_SEMANALES[[#ALL],[MARTES]])</f>
        <v>0</v>
      </c>
      <c r="O180" s="6">
        <f>SUMIFS(Eventos!$G:$G,Eventos!$F:$F,$L180,Eventos!$D:$D,$C$2,Eventos!$B:$B,PANES_SEMANALES[[#ALL],[MIÉRCOLES]])</f>
        <v>0</v>
      </c>
      <c r="P180" s="6">
        <f>SUMIFS(Eventos!$G:$G,Eventos!$F:$F,$L180,Eventos!$D:$D,$C$2,Eventos!$B:$B,PANES_SEMANALES[[#ALL],[JUEVES]])</f>
        <v>0</v>
      </c>
      <c r="Q180" s="6">
        <f>IF(P180&lt;&gt;"",SUMIFS(Eventos!$G:$G,Eventos!$B:$B,Q$2,Eventos!$D:$D,$C$2,Eventos!$F:$F,$L180),"")</f>
        <v>0</v>
      </c>
      <c r="R180" s="6">
        <f>SUMIFS(Eventos!$G:$G,Eventos!$F:$F,$L180,Eventos!$D:$D,$C$2,Eventos!$B:$B,PANES_SEMANALES[[#ALL],[SÁBADO]])</f>
        <v>0</v>
      </c>
      <c r="S180" s="7">
        <f>SUMIFS(Eventos!$G:$G,Eventos!$F:$F,$L180,Eventos!$D:$D,$C$2,Eventos!$B:$B,PANES_SEMANALES[[#ALL],[DOMINGO]])</f>
        <v>0</v>
      </c>
      <c r="T180" s="8">
        <f t="shared" si="1"/>
        <v>0</v>
      </c>
    </row>
    <row r="181" ht="22.5" customHeight="1">
      <c r="L181" s="4"/>
      <c r="M181" s="5">
        <f>SUMIFS(Eventos!$G:$G,Eventos!$F:$F,$L181,Eventos!$D:$D,$C$2,Eventos!$B:$B,PANES_SEMANALES[[#ALL],[LUNES]])</f>
        <v>0</v>
      </c>
      <c r="N181" s="6">
        <f>SUMIFS(Eventos!$G:$G,Eventos!$F:$F,$L181,Eventos!$D:$D,$C$2,Eventos!$B:$B,PANES_SEMANALES[[#ALL],[MARTES]])</f>
        <v>0</v>
      </c>
      <c r="O181" s="6">
        <f>SUMIFS(Eventos!$G:$G,Eventos!$F:$F,$L181,Eventos!$D:$D,$C$2,Eventos!$B:$B,PANES_SEMANALES[[#ALL],[MIÉRCOLES]])</f>
        <v>0</v>
      </c>
      <c r="P181" s="6">
        <f>SUMIFS(Eventos!$G:$G,Eventos!$F:$F,$L181,Eventos!$D:$D,$C$2,Eventos!$B:$B,PANES_SEMANALES[[#ALL],[JUEVES]])</f>
        <v>0</v>
      </c>
      <c r="Q181" s="6">
        <f>IF(P181&lt;&gt;"",SUMIFS(Eventos!$G:$G,Eventos!$B:$B,Q$2,Eventos!$D:$D,$C$2,Eventos!$F:$F,$L181),"")</f>
        <v>0</v>
      </c>
      <c r="R181" s="6">
        <f>SUMIFS(Eventos!$G:$G,Eventos!$F:$F,$L181,Eventos!$D:$D,$C$2,Eventos!$B:$B,PANES_SEMANALES[[#ALL],[SÁBADO]])</f>
        <v>0</v>
      </c>
      <c r="S181" s="7">
        <f>SUMIFS(Eventos!$G:$G,Eventos!$F:$F,$L181,Eventos!$D:$D,$C$2,Eventos!$B:$B,PANES_SEMANALES[[#ALL],[DOMINGO]])</f>
        <v>0</v>
      </c>
      <c r="T181" s="8">
        <f t="shared" si="1"/>
        <v>0</v>
      </c>
    </row>
    <row r="182" ht="22.5" customHeight="1">
      <c r="L182" s="4"/>
      <c r="M182" s="5">
        <f>SUMIFS(Eventos!$G:$G,Eventos!$F:$F,$L182,Eventos!$D:$D,$C$2,Eventos!$B:$B,PANES_SEMANALES[[#ALL],[LUNES]])</f>
        <v>0</v>
      </c>
      <c r="N182" s="6">
        <f>SUMIFS(Eventos!$G:$G,Eventos!$F:$F,$L182,Eventos!$D:$D,$C$2,Eventos!$B:$B,PANES_SEMANALES[[#ALL],[MARTES]])</f>
        <v>0</v>
      </c>
      <c r="O182" s="6">
        <f>SUMIFS(Eventos!$G:$G,Eventos!$F:$F,$L182,Eventos!$D:$D,$C$2,Eventos!$B:$B,PANES_SEMANALES[[#ALL],[MIÉRCOLES]])</f>
        <v>0</v>
      </c>
      <c r="P182" s="6">
        <f>SUMIFS(Eventos!$G:$G,Eventos!$F:$F,$L182,Eventos!$D:$D,$C$2,Eventos!$B:$B,PANES_SEMANALES[[#ALL],[JUEVES]])</f>
        <v>0</v>
      </c>
      <c r="Q182" s="6">
        <f>IF(P182&lt;&gt;"",SUMIFS(Eventos!$G:$G,Eventos!$B:$B,Q$2,Eventos!$D:$D,$C$2,Eventos!$F:$F,$L182),"")</f>
        <v>0</v>
      </c>
      <c r="R182" s="6">
        <f>SUMIFS(Eventos!$G:$G,Eventos!$F:$F,$L182,Eventos!$D:$D,$C$2,Eventos!$B:$B,PANES_SEMANALES[[#ALL],[SÁBADO]])</f>
        <v>0</v>
      </c>
      <c r="S182" s="7">
        <f>SUMIFS(Eventos!$G:$G,Eventos!$F:$F,$L182,Eventos!$D:$D,$C$2,Eventos!$B:$B,PANES_SEMANALES[[#ALL],[DOMINGO]])</f>
        <v>0</v>
      </c>
      <c r="T182" s="8">
        <f t="shared" si="1"/>
        <v>0</v>
      </c>
    </row>
    <row r="183" ht="22.5" customHeight="1">
      <c r="L183" s="4"/>
      <c r="M183" s="5">
        <f>SUMIFS(Eventos!$G:$G,Eventos!$F:$F,$L183,Eventos!$D:$D,$C$2,Eventos!$B:$B,PANES_SEMANALES[[#ALL],[LUNES]])</f>
        <v>0</v>
      </c>
      <c r="N183" s="6">
        <f>SUMIFS(Eventos!$G:$G,Eventos!$F:$F,$L183,Eventos!$D:$D,$C$2,Eventos!$B:$B,PANES_SEMANALES[[#ALL],[MARTES]])</f>
        <v>0</v>
      </c>
      <c r="O183" s="6">
        <f>SUMIFS(Eventos!$G:$G,Eventos!$F:$F,$L183,Eventos!$D:$D,$C$2,Eventos!$B:$B,PANES_SEMANALES[[#ALL],[MIÉRCOLES]])</f>
        <v>0</v>
      </c>
      <c r="P183" s="6">
        <f>SUMIFS(Eventos!$G:$G,Eventos!$F:$F,$L183,Eventos!$D:$D,$C$2,Eventos!$B:$B,PANES_SEMANALES[[#ALL],[JUEVES]])</f>
        <v>0</v>
      </c>
      <c r="Q183" s="6">
        <f>IF(P183&lt;&gt;"",SUMIFS(Eventos!$G:$G,Eventos!$B:$B,Q$2,Eventos!$D:$D,$C$2,Eventos!$F:$F,$L183),"")</f>
        <v>0</v>
      </c>
      <c r="R183" s="6">
        <f>SUMIFS(Eventos!$G:$G,Eventos!$F:$F,$L183,Eventos!$D:$D,$C$2,Eventos!$B:$B,PANES_SEMANALES[[#ALL],[SÁBADO]])</f>
        <v>0</v>
      </c>
      <c r="S183" s="7">
        <f>SUMIFS(Eventos!$G:$G,Eventos!$F:$F,$L183,Eventos!$D:$D,$C$2,Eventos!$B:$B,PANES_SEMANALES[[#ALL],[DOMINGO]])</f>
        <v>0</v>
      </c>
      <c r="T183" s="8">
        <f t="shared" si="1"/>
        <v>0</v>
      </c>
    </row>
    <row r="184" ht="22.5" customHeight="1">
      <c r="L184" s="4"/>
      <c r="M184" s="5">
        <f>SUMIFS(Eventos!$G:$G,Eventos!$F:$F,$L184,Eventos!$D:$D,$C$2,Eventos!$B:$B,PANES_SEMANALES[[#ALL],[LUNES]])</f>
        <v>0</v>
      </c>
      <c r="N184" s="6">
        <f>SUMIFS(Eventos!$G:$G,Eventos!$F:$F,$L184,Eventos!$D:$D,$C$2,Eventos!$B:$B,PANES_SEMANALES[[#ALL],[MARTES]])</f>
        <v>0</v>
      </c>
      <c r="O184" s="6">
        <f>SUMIFS(Eventos!$G:$G,Eventos!$F:$F,$L184,Eventos!$D:$D,$C$2,Eventos!$B:$B,PANES_SEMANALES[[#ALL],[MIÉRCOLES]])</f>
        <v>0</v>
      </c>
      <c r="P184" s="6">
        <f>SUMIFS(Eventos!$G:$G,Eventos!$F:$F,$L184,Eventos!$D:$D,$C$2,Eventos!$B:$B,PANES_SEMANALES[[#ALL],[JUEVES]])</f>
        <v>0</v>
      </c>
      <c r="Q184" s="6">
        <f>IF(P184&lt;&gt;"",SUMIFS(Eventos!$G:$G,Eventos!$B:$B,Q$2,Eventos!$D:$D,$C$2,Eventos!$F:$F,$L184),"")</f>
        <v>0</v>
      </c>
      <c r="R184" s="6">
        <f>SUMIFS(Eventos!$G:$G,Eventos!$F:$F,$L184,Eventos!$D:$D,$C$2,Eventos!$B:$B,PANES_SEMANALES[[#ALL],[SÁBADO]])</f>
        <v>0</v>
      </c>
      <c r="S184" s="7">
        <f>SUMIFS(Eventos!$G:$G,Eventos!$F:$F,$L184,Eventos!$D:$D,$C$2,Eventos!$B:$B,PANES_SEMANALES[[#ALL],[DOMINGO]])</f>
        <v>0</v>
      </c>
      <c r="T184" s="8">
        <f t="shared" si="1"/>
        <v>0</v>
      </c>
    </row>
    <row r="185" ht="22.5" customHeight="1">
      <c r="L185" s="4"/>
      <c r="M185" s="5">
        <f>SUMIFS(Eventos!$G:$G,Eventos!$F:$F,$L185,Eventos!$D:$D,$C$2,Eventos!$B:$B,PANES_SEMANALES[[#ALL],[LUNES]])</f>
        <v>0</v>
      </c>
      <c r="N185" s="6">
        <f>SUMIFS(Eventos!$G:$G,Eventos!$F:$F,$L185,Eventos!$D:$D,$C$2,Eventos!$B:$B,PANES_SEMANALES[[#ALL],[MARTES]])</f>
        <v>0</v>
      </c>
      <c r="O185" s="6">
        <f>SUMIFS(Eventos!$G:$G,Eventos!$F:$F,$L185,Eventos!$D:$D,$C$2,Eventos!$B:$B,PANES_SEMANALES[[#ALL],[MIÉRCOLES]])</f>
        <v>0</v>
      </c>
      <c r="P185" s="6">
        <f>SUMIFS(Eventos!$G:$G,Eventos!$F:$F,$L185,Eventos!$D:$D,$C$2,Eventos!$B:$B,PANES_SEMANALES[[#ALL],[JUEVES]])</f>
        <v>0</v>
      </c>
      <c r="Q185" s="6">
        <f>IF(P185&lt;&gt;"",SUMIFS(Eventos!$G:$G,Eventos!$B:$B,Q$2,Eventos!$D:$D,$C$2,Eventos!$F:$F,$L185),"")</f>
        <v>0</v>
      </c>
      <c r="R185" s="6">
        <f>SUMIFS(Eventos!$G:$G,Eventos!$F:$F,$L185,Eventos!$D:$D,$C$2,Eventos!$B:$B,PANES_SEMANALES[[#ALL],[SÁBADO]])</f>
        <v>0</v>
      </c>
      <c r="S185" s="7">
        <f>SUMIFS(Eventos!$G:$G,Eventos!$F:$F,$L185,Eventos!$D:$D,$C$2,Eventos!$B:$B,PANES_SEMANALES[[#ALL],[DOMINGO]])</f>
        <v>0</v>
      </c>
      <c r="T185" s="8">
        <f t="shared" si="1"/>
        <v>0</v>
      </c>
    </row>
    <row r="186" ht="22.5" customHeight="1">
      <c r="L186" s="4"/>
      <c r="M186" s="5">
        <f>SUMIFS(Eventos!$G:$G,Eventos!$F:$F,$L186,Eventos!$D:$D,$C$2,Eventos!$B:$B,PANES_SEMANALES[[#ALL],[LUNES]])</f>
        <v>0</v>
      </c>
      <c r="N186" s="6">
        <f>SUMIFS(Eventos!$G:$G,Eventos!$F:$F,$L186,Eventos!$D:$D,$C$2,Eventos!$B:$B,PANES_SEMANALES[[#ALL],[MARTES]])</f>
        <v>0</v>
      </c>
      <c r="O186" s="6">
        <f>SUMIFS(Eventos!$G:$G,Eventos!$F:$F,$L186,Eventos!$D:$D,$C$2,Eventos!$B:$B,PANES_SEMANALES[[#ALL],[MIÉRCOLES]])</f>
        <v>0</v>
      </c>
      <c r="P186" s="6">
        <f>SUMIFS(Eventos!$G:$G,Eventos!$F:$F,$L186,Eventos!$D:$D,$C$2,Eventos!$B:$B,PANES_SEMANALES[[#ALL],[JUEVES]])</f>
        <v>0</v>
      </c>
      <c r="Q186" s="6">
        <f>IF(P186&lt;&gt;"",SUMIFS(Eventos!$G:$G,Eventos!$B:$B,Q$2,Eventos!$D:$D,$C$2,Eventos!$F:$F,$L186),"")</f>
        <v>0</v>
      </c>
      <c r="R186" s="6">
        <f>SUMIFS(Eventos!$G:$G,Eventos!$F:$F,$L186,Eventos!$D:$D,$C$2,Eventos!$B:$B,PANES_SEMANALES[[#ALL],[SÁBADO]])</f>
        <v>0</v>
      </c>
      <c r="S186" s="7">
        <f>SUMIFS(Eventos!$G:$G,Eventos!$F:$F,$L186,Eventos!$D:$D,$C$2,Eventos!$B:$B,PANES_SEMANALES[[#ALL],[DOMINGO]])</f>
        <v>0</v>
      </c>
      <c r="T186" s="8">
        <f t="shared" si="1"/>
        <v>0</v>
      </c>
    </row>
    <row r="187" ht="22.5" customHeight="1">
      <c r="L187" s="4"/>
      <c r="M187" s="5">
        <f>SUMIFS(Eventos!$G:$G,Eventos!$F:$F,$L187,Eventos!$D:$D,$C$2,Eventos!$B:$B,PANES_SEMANALES[[#ALL],[LUNES]])</f>
        <v>0</v>
      </c>
      <c r="N187" s="6">
        <f>SUMIFS(Eventos!$G:$G,Eventos!$F:$F,$L187,Eventos!$D:$D,$C$2,Eventos!$B:$B,PANES_SEMANALES[[#ALL],[MARTES]])</f>
        <v>0</v>
      </c>
      <c r="O187" s="6">
        <f>SUMIFS(Eventos!$G:$G,Eventos!$F:$F,$L187,Eventos!$D:$D,$C$2,Eventos!$B:$B,PANES_SEMANALES[[#ALL],[MIÉRCOLES]])</f>
        <v>0</v>
      </c>
      <c r="P187" s="6">
        <f>SUMIFS(Eventos!$G:$G,Eventos!$F:$F,$L187,Eventos!$D:$D,$C$2,Eventos!$B:$B,PANES_SEMANALES[[#ALL],[JUEVES]])</f>
        <v>0</v>
      </c>
      <c r="Q187" s="6">
        <f>IF(P187&lt;&gt;"",SUMIFS(Eventos!$G:$G,Eventos!$B:$B,Q$2,Eventos!$D:$D,$C$2,Eventos!$F:$F,$L187),"")</f>
        <v>0</v>
      </c>
      <c r="R187" s="6">
        <f>SUMIFS(Eventos!$G:$G,Eventos!$F:$F,$L187,Eventos!$D:$D,$C$2,Eventos!$B:$B,PANES_SEMANALES[[#ALL],[SÁBADO]])</f>
        <v>0</v>
      </c>
      <c r="S187" s="7">
        <f>SUMIFS(Eventos!$G:$G,Eventos!$F:$F,$L187,Eventos!$D:$D,$C$2,Eventos!$B:$B,PANES_SEMANALES[[#ALL],[DOMINGO]])</f>
        <v>0</v>
      </c>
      <c r="T187" s="8">
        <f t="shared" si="1"/>
        <v>0</v>
      </c>
    </row>
    <row r="188" ht="22.5" customHeight="1">
      <c r="L188" s="4"/>
      <c r="M188" s="5">
        <f>SUMIFS(Eventos!$G:$G,Eventos!$F:$F,$L188,Eventos!$D:$D,$C$2,Eventos!$B:$B,PANES_SEMANALES[[#ALL],[LUNES]])</f>
        <v>0</v>
      </c>
      <c r="N188" s="6">
        <f>SUMIFS(Eventos!$G:$G,Eventos!$F:$F,$L188,Eventos!$D:$D,$C$2,Eventos!$B:$B,PANES_SEMANALES[[#ALL],[MARTES]])</f>
        <v>0</v>
      </c>
      <c r="O188" s="6">
        <f>SUMIFS(Eventos!$G:$G,Eventos!$F:$F,$L188,Eventos!$D:$D,$C$2,Eventos!$B:$B,PANES_SEMANALES[[#ALL],[MIÉRCOLES]])</f>
        <v>0</v>
      </c>
      <c r="P188" s="6">
        <f>SUMIFS(Eventos!$G:$G,Eventos!$F:$F,$L188,Eventos!$D:$D,$C$2,Eventos!$B:$B,PANES_SEMANALES[[#ALL],[JUEVES]])</f>
        <v>0</v>
      </c>
      <c r="Q188" s="6">
        <f>IF(P188&lt;&gt;"",SUMIFS(Eventos!$G:$G,Eventos!$B:$B,Q$2,Eventos!$D:$D,$C$2,Eventos!$F:$F,$L188),"")</f>
        <v>0</v>
      </c>
      <c r="R188" s="6">
        <f>SUMIFS(Eventos!$G:$G,Eventos!$F:$F,$L188,Eventos!$D:$D,$C$2,Eventos!$B:$B,PANES_SEMANALES[[#ALL],[SÁBADO]])</f>
        <v>0</v>
      </c>
      <c r="S188" s="7">
        <f>SUMIFS(Eventos!$G:$G,Eventos!$F:$F,$L188,Eventos!$D:$D,$C$2,Eventos!$B:$B,PANES_SEMANALES[[#ALL],[DOMINGO]])</f>
        <v>0</v>
      </c>
      <c r="T188" s="8">
        <f t="shared" si="1"/>
        <v>0</v>
      </c>
    </row>
    <row r="189" ht="22.5" customHeight="1">
      <c r="L189" s="4"/>
      <c r="M189" s="5">
        <f>SUMIFS(Eventos!$G:$G,Eventos!$F:$F,$L189,Eventos!$D:$D,$C$2,Eventos!$B:$B,PANES_SEMANALES[[#ALL],[LUNES]])</f>
        <v>0</v>
      </c>
      <c r="N189" s="6">
        <f>SUMIFS(Eventos!$G:$G,Eventos!$F:$F,$L189,Eventos!$D:$D,$C$2,Eventos!$B:$B,PANES_SEMANALES[[#ALL],[MARTES]])</f>
        <v>0</v>
      </c>
      <c r="O189" s="6">
        <f>SUMIFS(Eventos!$G:$G,Eventos!$F:$F,$L189,Eventos!$D:$D,$C$2,Eventos!$B:$B,PANES_SEMANALES[[#ALL],[MIÉRCOLES]])</f>
        <v>0</v>
      </c>
      <c r="P189" s="6">
        <f>SUMIFS(Eventos!$G:$G,Eventos!$F:$F,$L189,Eventos!$D:$D,$C$2,Eventos!$B:$B,PANES_SEMANALES[[#ALL],[JUEVES]])</f>
        <v>0</v>
      </c>
      <c r="Q189" s="6">
        <f>IF(P189&lt;&gt;"",SUMIFS(Eventos!$G:$G,Eventos!$B:$B,Q$2,Eventos!$D:$D,$C$2,Eventos!$F:$F,$L189),"")</f>
        <v>0</v>
      </c>
      <c r="R189" s="6">
        <f>SUMIFS(Eventos!$G:$G,Eventos!$F:$F,$L189,Eventos!$D:$D,$C$2,Eventos!$B:$B,PANES_SEMANALES[[#ALL],[SÁBADO]])</f>
        <v>0</v>
      </c>
      <c r="S189" s="7">
        <f>SUMIFS(Eventos!$G:$G,Eventos!$F:$F,$L189,Eventos!$D:$D,$C$2,Eventos!$B:$B,PANES_SEMANALES[[#ALL],[DOMINGO]])</f>
        <v>0</v>
      </c>
      <c r="T189" s="8">
        <f t="shared" si="1"/>
        <v>0</v>
      </c>
    </row>
    <row r="190" ht="22.5" customHeight="1">
      <c r="L190" s="4"/>
      <c r="M190" s="5">
        <f>SUMIFS(Eventos!$G:$G,Eventos!$F:$F,$L190,Eventos!$D:$D,$C$2,Eventos!$B:$B,PANES_SEMANALES[[#ALL],[LUNES]])</f>
        <v>0</v>
      </c>
      <c r="N190" s="6">
        <f>SUMIFS(Eventos!$G:$G,Eventos!$F:$F,$L190,Eventos!$D:$D,$C$2,Eventos!$B:$B,PANES_SEMANALES[[#ALL],[MARTES]])</f>
        <v>0</v>
      </c>
      <c r="O190" s="6">
        <f>SUMIFS(Eventos!$G:$G,Eventos!$F:$F,$L190,Eventos!$D:$D,$C$2,Eventos!$B:$B,PANES_SEMANALES[[#ALL],[MIÉRCOLES]])</f>
        <v>0</v>
      </c>
      <c r="P190" s="6">
        <f>SUMIFS(Eventos!$G:$G,Eventos!$F:$F,$L190,Eventos!$D:$D,$C$2,Eventos!$B:$B,PANES_SEMANALES[[#ALL],[JUEVES]])</f>
        <v>0</v>
      </c>
      <c r="Q190" s="6">
        <f>IF(P190&lt;&gt;"",SUMIFS(Eventos!$G:$G,Eventos!$B:$B,Q$2,Eventos!$D:$D,$C$2,Eventos!$F:$F,$L190),"")</f>
        <v>0</v>
      </c>
      <c r="R190" s="6">
        <f>SUMIFS(Eventos!$G:$G,Eventos!$F:$F,$L190,Eventos!$D:$D,$C$2,Eventos!$B:$B,PANES_SEMANALES[[#ALL],[SÁBADO]])</f>
        <v>0</v>
      </c>
      <c r="S190" s="7">
        <f>SUMIFS(Eventos!$G:$G,Eventos!$F:$F,$L190,Eventos!$D:$D,$C$2,Eventos!$B:$B,PANES_SEMANALES[[#ALL],[DOMINGO]])</f>
        <v>0</v>
      </c>
      <c r="T190" s="8">
        <f t="shared" si="1"/>
        <v>0</v>
      </c>
    </row>
    <row r="191" ht="22.5" customHeight="1">
      <c r="L191" s="4"/>
      <c r="M191" s="5">
        <f>SUMIFS(Eventos!$G:$G,Eventos!$F:$F,$L191,Eventos!$D:$D,$C$2,Eventos!$B:$B,PANES_SEMANALES[[#ALL],[LUNES]])</f>
        <v>0</v>
      </c>
      <c r="N191" s="6">
        <f>SUMIFS(Eventos!$G:$G,Eventos!$F:$F,$L191,Eventos!$D:$D,$C$2,Eventos!$B:$B,PANES_SEMANALES[[#ALL],[MARTES]])</f>
        <v>0</v>
      </c>
      <c r="O191" s="6">
        <f>SUMIFS(Eventos!$G:$G,Eventos!$F:$F,$L191,Eventos!$D:$D,$C$2,Eventos!$B:$B,PANES_SEMANALES[[#ALL],[MIÉRCOLES]])</f>
        <v>0</v>
      </c>
      <c r="P191" s="6">
        <f>SUMIFS(Eventos!$G:$G,Eventos!$F:$F,$L191,Eventos!$D:$D,$C$2,Eventos!$B:$B,PANES_SEMANALES[[#ALL],[JUEVES]])</f>
        <v>0</v>
      </c>
      <c r="Q191" s="6">
        <f>IF(P191&lt;&gt;"",SUMIFS(Eventos!$G:$G,Eventos!$B:$B,Q$2,Eventos!$D:$D,$C$2,Eventos!$F:$F,$L191),"")</f>
        <v>0</v>
      </c>
      <c r="R191" s="6">
        <f>SUMIFS(Eventos!$G:$G,Eventos!$F:$F,$L191,Eventos!$D:$D,$C$2,Eventos!$B:$B,PANES_SEMANALES[[#ALL],[SÁBADO]])</f>
        <v>0</v>
      </c>
      <c r="S191" s="7">
        <f>SUMIFS(Eventos!$G:$G,Eventos!$F:$F,$L191,Eventos!$D:$D,$C$2,Eventos!$B:$B,PANES_SEMANALES[[#ALL],[DOMINGO]])</f>
        <v>0</v>
      </c>
      <c r="T191" s="8">
        <f t="shared" si="1"/>
        <v>0</v>
      </c>
    </row>
    <row r="192" ht="22.5" customHeight="1">
      <c r="L192" s="4"/>
      <c r="M192" s="5">
        <f>SUMIFS(Eventos!$G:$G,Eventos!$F:$F,$L192,Eventos!$D:$D,$C$2,Eventos!$B:$B,PANES_SEMANALES[[#ALL],[LUNES]])</f>
        <v>0</v>
      </c>
      <c r="N192" s="6">
        <f>SUMIFS(Eventos!$G:$G,Eventos!$F:$F,$L192,Eventos!$D:$D,$C$2,Eventos!$B:$B,PANES_SEMANALES[[#ALL],[MARTES]])</f>
        <v>0</v>
      </c>
      <c r="O192" s="6">
        <f>SUMIFS(Eventos!$G:$G,Eventos!$F:$F,$L192,Eventos!$D:$D,$C$2,Eventos!$B:$B,PANES_SEMANALES[[#ALL],[MIÉRCOLES]])</f>
        <v>0</v>
      </c>
      <c r="P192" s="6">
        <f>SUMIFS(Eventos!$G:$G,Eventos!$F:$F,$L192,Eventos!$D:$D,$C$2,Eventos!$B:$B,PANES_SEMANALES[[#ALL],[JUEVES]])</f>
        <v>0</v>
      </c>
      <c r="Q192" s="6">
        <f>IF(P192&lt;&gt;"",SUMIFS(Eventos!$G:$G,Eventos!$B:$B,Q$2,Eventos!$D:$D,$C$2,Eventos!$F:$F,$L192),"")</f>
        <v>0</v>
      </c>
      <c r="R192" s="6">
        <f>SUMIFS(Eventos!$G:$G,Eventos!$F:$F,$L192,Eventos!$D:$D,$C$2,Eventos!$B:$B,PANES_SEMANALES[[#ALL],[SÁBADO]])</f>
        <v>0</v>
      </c>
      <c r="S192" s="7">
        <f>SUMIFS(Eventos!$G:$G,Eventos!$F:$F,$L192,Eventos!$D:$D,$C$2,Eventos!$B:$B,PANES_SEMANALES[[#ALL],[DOMINGO]])</f>
        <v>0</v>
      </c>
      <c r="T192" s="8">
        <f t="shared" si="1"/>
        <v>0</v>
      </c>
    </row>
    <row r="193" ht="22.5" customHeight="1">
      <c r="L193" s="4"/>
      <c r="M193" s="5">
        <f>SUMIFS(Eventos!$G:$G,Eventos!$F:$F,$L193,Eventos!$D:$D,$C$2,Eventos!$B:$B,PANES_SEMANALES[[#ALL],[LUNES]])</f>
        <v>0</v>
      </c>
      <c r="N193" s="6">
        <f>SUMIFS(Eventos!$G:$G,Eventos!$F:$F,$L193,Eventos!$D:$D,$C$2,Eventos!$B:$B,PANES_SEMANALES[[#ALL],[MARTES]])</f>
        <v>0</v>
      </c>
      <c r="O193" s="6">
        <f>SUMIFS(Eventos!$G:$G,Eventos!$F:$F,$L193,Eventos!$D:$D,$C$2,Eventos!$B:$B,PANES_SEMANALES[[#ALL],[MIÉRCOLES]])</f>
        <v>0</v>
      </c>
      <c r="P193" s="6">
        <f>SUMIFS(Eventos!$G:$G,Eventos!$F:$F,$L193,Eventos!$D:$D,$C$2,Eventos!$B:$B,PANES_SEMANALES[[#ALL],[JUEVES]])</f>
        <v>0</v>
      </c>
      <c r="Q193" s="6">
        <f>IF(P193&lt;&gt;"",SUMIFS(Eventos!$G:$G,Eventos!$B:$B,Q$2,Eventos!$D:$D,$C$2,Eventos!$F:$F,$L193),"")</f>
        <v>0</v>
      </c>
      <c r="R193" s="6">
        <f>SUMIFS(Eventos!$G:$G,Eventos!$F:$F,$L193,Eventos!$D:$D,$C$2,Eventos!$B:$B,PANES_SEMANALES[[#ALL],[SÁBADO]])</f>
        <v>0</v>
      </c>
      <c r="S193" s="7">
        <f>SUMIFS(Eventos!$G:$G,Eventos!$F:$F,$L193,Eventos!$D:$D,$C$2,Eventos!$B:$B,PANES_SEMANALES[[#ALL],[DOMINGO]])</f>
        <v>0</v>
      </c>
      <c r="T193" s="8">
        <f t="shared" si="1"/>
        <v>0</v>
      </c>
    </row>
    <row r="194" ht="22.5" customHeight="1">
      <c r="L194" s="4"/>
      <c r="M194" s="5">
        <f>SUMIFS(Eventos!$G:$G,Eventos!$F:$F,$L194,Eventos!$D:$D,$C$2,Eventos!$B:$B,PANES_SEMANALES[[#ALL],[LUNES]])</f>
        <v>0</v>
      </c>
      <c r="N194" s="6">
        <f>SUMIFS(Eventos!$G:$G,Eventos!$F:$F,$L194,Eventos!$D:$D,$C$2,Eventos!$B:$B,PANES_SEMANALES[[#ALL],[MARTES]])</f>
        <v>0</v>
      </c>
      <c r="O194" s="6">
        <f>SUMIFS(Eventos!$G:$G,Eventos!$F:$F,$L194,Eventos!$D:$D,$C$2,Eventos!$B:$B,PANES_SEMANALES[[#ALL],[MIÉRCOLES]])</f>
        <v>0</v>
      </c>
      <c r="P194" s="6">
        <f>SUMIFS(Eventos!$G:$G,Eventos!$F:$F,$L194,Eventos!$D:$D,$C$2,Eventos!$B:$B,PANES_SEMANALES[[#ALL],[JUEVES]])</f>
        <v>0</v>
      </c>
      <c r="Q194" s="6">
        <f>IF(P194&lt;&gt;"",SUMIFS(Eventos!$G:$G,Eventos!$B:$B,Q$2,Eventos!$D:$D,$C$2,Eventos!$F:$F,$L194),"")</f>
        <v>0</v>
      </c>
      <c r="R194" s="6">
        <f>SUMIFS(Eventos!$G:$G,Eventos!$F:$F,$L194,Eventos!$D:$D,$C$2,Eventos!$B:$B,PANES_SEMANALES[[#ALL],[SÁBADO]])</f>
        <v>0</v>
      </c>
      <c r="S194" s="7">
        <f>SUMIFS(Eventos!$G:$G,Eventos!$F:$F,$L194,Eventos!$D:$D,$C$2,Eventos!$B:$B,PANES_SEMANALES[[#ALL],[DOMINGO]])</f>
        <v>0</v>
      </c>
      <c r="T194" s="8">
        <f t="shared" si="1"/>
        <v>0</v>
      </c>
    </row>
    <row r="195" ht="22.5" customHeight="1">
      <c r="L195" s="4"/>
      <c r="M195" s="5">
        <f>SUMIFS(Eventos!$G:$G,Eventos!$F:$F,$L195,Eventos!$D:$D,$C$2,Eventos!$B:$B,PANES_SEMANALES[[#ALL],[LUNES]])</f>
        <v>0</v>
      </c>
      <c r="N195" s="6">
        <f>SUMIFS(Eventos!$G:$G,Eventos!$F:$F,$L195,Eventos!$D:$D,$C$2,Eventos!$B:$B,PANES_SEMANALES[[#ALL],[MARTES]])</f>
        <v>0</v>
      </c>
      <c r="O195" s="6">
        <f>SUMIFS(Eventos!$G:$G,Eventos!$F:$F,$L195,Eventos!$D:$D,$C$2,Eventos!$B:$B,PANES_SEMANALES[[#ALL],[MIÉRCOLES]])</f>
        <v>0</v>
      </c>
      <c r="P195" s="6">
        <f>SUMIFS(Eventos!$G:$G,Eventos!$F:$F,$L195,Eventos!$D:$D,$C$2,Eventos!$B:$B,PANES_SEMANALES[[#ALL],[JUEVES]])</f>
        <v>0</v>
      </c>
      <c r="Q195" s="6">
        <f>IF(P195&lt;&gt;"",SUMIFS(Eventos!$G:$G,Eventos!$B:$B,Q$2,Eventos!$D:$D,$C$2,Eventos!$F:$F,$L195),"")</f>
        <v>0</v>
      </c>
      <c r="R195" s="6">
        <f>SUMIFS(Eventos!$G:$G,Eventos!$F:$F,$L195,Eventos!$D:$D,$C$2,Eventos!$B:$B,PANES_SEMANALES[[#ALL],[SÁBADO]])</f>
        <v>0</v>
      </c>
      <c r="S195" s="7">
        <f>SUMIFS(Eventos!$G:$G,Eventos!$F:$F,$L195,Eventos!$D:$D,$C$2,Eventos!$B:$B,PANES_SEMANALES[[#ALL],[DOMINGO]])</f>
        <v>0</v>
      </c>
      <c r="T195" s="8">
        <f t="shared" si="1"/>
        <v>0</v>
      </c>
    </row>
    <row r="196" ht="22.5" customHeight="1">
      <c r="L196" s="4"/>
      <c r="M196" s="5">
        <f>SUMIFS(Eventos!$G:$G,Eventos!$F:$F,$L196,Eventos!$D:$D,$C$2,Eventos!$B:$B,PANES_SEMANALES[[#ALL],[LUNES]])</f>
        <v>0</v>
      </c>
      <c r="N196" s="6">
        <f>SUMIFS(Eventos!$G:$G,Eventos!$F:$F,$L196,Eventos!$D:$D,$C$2,Eventos!$B:$B,PANES_SEMANALES[[#ALL],[MARTES]])</f>
        <v>0</v>
      </c>
      <c r="O196" s="6">
        <f>SUMIFS(Eventos!$G:$G,Eventos!$F:$F,$L196,Eventos!$D:$D,$C$2,Eventos!$B:$B,PANES_SEMANALES[[#ALL],[MIÉRCOLES]])</f>
        <v>0</v>
      </c>
      <c r="P196" s="6">
        <f>SUMIFS(Eventos!$G:$G,Eventos!$F:$F,$L196,Eventos!$D:$D,$C$2,Eventos!$B:$B,PANES_SEMANALES[[#ALL],[JUEVES]])</f>
        <v>0</v>
      </c>
      <c r="Q196" s="6">
        <f>IF(P196&lt;&gt;"",SUMIFS(Eventos!$G:$G,Eventos!$B:$B,Q$2,Eventos!$D:$D,$C$2,Eventos!$F:$F,$L196),"")</f>
        <v>0</v>
      </c>
      <c r="R196" s="6">
        <f>SUMIFS(Eventos!$G:$G,Eventos!$F:$F,$L196,Eventos!$D:$D,$C$2,Eventos!$B:$B,PANES_SEMANALES[[#ALL],[SÁBADO]])</f>
        <v>0</v>
      </c>
      <c r="S196" s="7">
        <f>SUMIFS(Eventos!$G:$G,Eventos!$F:$F,$L196,Eventos!$D:$D,$C$2,Eventos!$B:$B,PANES_SEMANALES[[#ALL],[DOMINGO]])</f>
        <v>0</v>
      </c>
      <c r="T196" s="8">
        <f t="shared" si="1"/>
        <v>0</v>
      </c>
    </row>
    <row r="197" ht="22.5" customHeight="1">
      <c r="L197" s="4"/>
      <c r="M197" s="5">
        <f>SUMIFS(Eventos!$G:$G,Eventos!$F:$F,$L197,Eventos!$D:$D,$C$2,Eventos!$B:$B,PANES_SEMANALES[[#ALL],[LUNES]])</f>
        <v>0</v>
      </c>
      <c r="N197" s="6">
        <f>SUMIFS(Eventos!$G:$G,Eventos!$F:$F,$L197,Eventos!$D:$D,$C$2,Eventos!$B:$B,PANES_SEMANALES[[#ALL],[MARTES]])</f>
        <v>0</v>
      </c>
      <c r="O197" s="6">
        <f>SUMIFS(Eventos!$G:$G,Eventos!$F:$F,$L197,Eventos!$D:$D,$C$2,Eventos!$B:$B,PANES_SEMANALES[[#ALL],[MIÉRCOLES]])</f>
        <v>0</v>
      </c>
      <c r="P197" s="6">
        <f>SUMIFS(Eventos!$G:$G,Eventos!$F:$F,$L197,Eventos!$D:$D,$C$2,Eventos!$B:$B,PANES_SEMANALES[[#ALL],[JUEVES]])</f>
        <v>0</v>
      </c>
      <c r="Q197" s="6">
        <f>IF(P197&lt;&gt;"",SUMIFS(Eventos!$G:$G,Eventos!$B:$B,Q$2,Eventos!$D:$D,$C$2,Eventos!$F:$F,$L197),"")</f>
        <v>0</v>
      </c>
      <c r="R197" s="6">
        <f>SUMIFS(Eventos!$G:$G,Eventos!$F:$F,$L197,Eventos!$D:$D,$C$2,Eventos!$B:$B,PANES_SEMANALES[[#ALL],[SÁBADO]])</f>
        <v>0</v>
      </c>
      <c r="S197" s="7">
        <f>SUMIFS(Eventos!$G:$G,Eventos!$F:$F,$L197,Eventos!$D:$D,$C$2,Eventos!$B:$B,PANES_SEMANALES[[#ALL],[DOMINGO]])</f>
        <v>0</v>
      </c>
      <c r="T197" s="8">
        <f t="shared" si="1"/>
        <v>0</v>
      </c>
    </row>
    <row r="198" ht="22.5" customHeight="1">
      <c r="L198" s="4"/>
      <c r="M198" s="5">
        <f>SUMIFS(Eventos!$G:$G,Eventos!$F:$F,$L198,Eventos!$D:$D,$C$2,Eventos!$B:$B,PANES_SEMANALES[[#ALL],[LUNES]])</f>
        <v>0</v>
      </c>
      <c r="N198" s="6">
        <f>SUMIFS(Eventos!$G:$G,Eventos!$F:$F,$L198,Eventos!$D:$D,$C$2,Eventos!$B:$B,PANES_SEMANALES[[#ALL],[MARTES]])</f>
        <v>0</v>
      </c>
      <c r="O198" s="6">
        <f>SUMIFS(Eventos!$G:$G,Eventos!$F:$F,$L198,Eventos!$D:$D,$C$2,Eventos!$B:$B,PANES_SEMANALES[[#ALL],[MIÉRCOLES]])</f>
        <v>0</v>
      </c>
      <c r="P198" s="6">
        <f>SUMIFS(Eventos!$G:$G,Eventos!$F:$F,$L198,Eventos!$D:$D,$C$2,Eventos!$B:$B,PANES_SEMANALES[[#ALL],[JUEVES]])</f>
        <v>0</v>
      </c>
      <c r="Q198" s="6">
        <f>IF(P198&lt;&gt;"",SUMIFS(Eventos!$G:$G,Eventos!$B:$B,Q$2,Eventos!$D:$D,$C$2,Eventos!$F:$F,$L198),"")</f>
        <v>0</v>
      </c>
      <c r="R198" s="6">
        <f>SUMIFS(Eventos!$G:$G,Eventos!$F:$F,$L198,Eventos!$D:$D,$C$2,Eventos!$B:$B,PANES_SEMANALES[[#ALL],[SÁBADO]])</f>
        <v>0</v>
      </c>
      <c r="S198" s="7">
        <f>SUMIFS(Eventos!$G:$G,Eventos!$F:$F,$L198,Eventos!$D:$D,$C$2,Eventos!$B:$B,PANES_SEMANALES[[#ALL],[DOMINGO]])</f>
        <v>0</v>
      </c>
      <c r="T198" s="8">
        <f t="shared" si="1"/>
        <v>0</v>
      </c>
    </row>
    <row r="199" ht="22.5" customHeight="1">
      <c r="L199" s="4"/>
      <c r="M199" s="5">
        <f>SUMIFS(Eventos!$G:$G,Eventos!$F:$F,$L199,Eventos!$D:$D,$C$2,Eventos!$B:$B,PANES_SEMANALES[[#ALL],[LUNES]])</f>
        <v>0</v>
      </c>
      <c r="N199" s="6">
        <f>SUMIFS(Eventos!$G:$G,Eventos!$F:$F,$L199,Eventos!$D:$D,$C$2,Eventos!$B:$B,PANES_SEMANALES[[#ALL],[MARTES]])</f>
        <v>0</v>
      </c>
      <c r="O199" s="6">
        <f>SUMIFS(Eventos!$G:$G,Eventos!$F:$F,$L199,Eventos!$D:$D,$C$2,Eventos!$B:$B,PANES_SEMANALES[[#ALL],[MIÉRCOLES]])</f>
        <v>0</v>
      </c>
      <c r="P199" s="6">
        <f>SUMIFS(Eventos!$G:$G,Eventos!$F:$F,$L199,Eventos!$D:$D,$C$2,Eventos!$B:$B,PANES_SEMANALES[[#ALL],[JUEVES]])</f>
        <v>0</v>
      </c>
      <c r="Q199" s="6">
        <f>IF(P199&lt;&gt;"",SUMIFS(Eventos!$G:$G,Eventos!$B:$B,Q$2,Eventos!$D:$D,$C$2,Eventos!$F:$F,$L199),"")</f>
        <v>0</v>
      </c>
      <c r="R199" s="6">
        <f>SUMIFS(Eventos!$G:$G,Eventos!$F:$F,$L199,Eventos!$D:$D,$C$2,Eventos!$B:$B,PANES_SEMANALES[[#ALL],[SÁBADO]])</f>
        <v>0</v>
      </c>
      <c r="S199" s="7">
        <f>SUMIFS(Eventos!$G:$G,Eventos!$F:$F,$L199,Eventos!$D:$D,$C$2,Eventos!$B:$B,PANES_SEMANALES[[#ALL],[DOMINGO]])</f>
        <v>0</v>
      </c>
      <c r="T199" s="8">
        <f t="shared" si="1"/>
        <v>0</v>
      </c>
    </row>
    <row r="200" ht="22.5" customHeight="1">
      <c r="L200" s="4"/>
      <c r="M200" s="5">
        <f>SUMIFS(Eventos!$G:$G,Eventos!$F:$F,$L200,Eventos!$D:$D,$C$2,Eventos!$B:$B,PANES_SEMANALES[[#ALL],[LUNES]])</f>
        <v>0</v>
      </c>
      <c r="N200" s="6">
        <f>SUMIFS(Eventos!$G:$G,Eventos!$F:$F,$L200,Eventos!$D:$D,$C$2,Eventos!$B:$B,PANES_SEMANALES[[#ALL],[MARTES]])</f>
        <v>0</v>
      </c>
      <c r="O200" s="6">
        <f>SUMIFS(Eventos!$G:$G,Eventos!$F:$F,$L200,Eventos!$D:$D,$C$2,Eventos!$B:$B,PANES_SEMANALES[[#ALL],[MIÉRCOLES]])</f>
        <v>0</v>
      </c>
      <c r="P200" s="6">
        <f>SUMIFS(Eventos!$G:$G,Eventos!$F:$F,$L200,Eventos!$D:$D,$C$2,Eventos!$B:$B,PANES_SEMANALES[[#ALL],[JUEVES]])</f>
        <v>0</v>
      </c>
      <c r="Q200" s="6">
        <f>IF(P200&lt;&gt;"",SUMIFS(Eventos!$G:$G,Eventos!$B:$B,Q$2,Eventos!$D:$D,$C$2,Eventos!$F:$F,$L200),"")</f>
        <v>0</v>
      </c>
      <c r="R200" s="6">
        <f>SUMIFS(Eventos!$G:$G,Eventos!$F:$F,$L200,Eventos!$D:$D,$C$2,Eventos!$B:$B,PANES_SEMANALES[[#ALL],[SÁBADO]])</f>
        <v>0</v>
      </c>
      <c r="S200" s="7">
        <f>SUMIFS(Eventos!$G:$G,Eventos!$F:$F,$L200,Eventos!$D:$D,$C$2,Eventos!$B:$B,PANES_SEMANALES[[#ALL],[DOMINGO]])</f>
        <v>0</v>
      </c>
      <c r="T200" s="8">
        <f t="shared" si="1"/>
        <v>0</v>
      </c>
    </row>
    <row r="201" ht="22.5" customHeight="1">
      <c r="L201" s="4"/>
      <c r="M201" s="5">
        <f>SUMIFS(Eventos!$G:$G,Eventos!$F:$F,$L201,Eventos!$D:$D,$C$2,Eventos!$B:$B,PANES_SEMANALES[[#ALL],[LUNES]])</f>
        <v>0</v>
      </c>
      <c r="N201" s="6">
        <f>SUMIFS(Eventos!$G:$G,Eventos!$F:$F,$L201,Eventos!$D:$D,$C$2,Eventos!$B:$B,PANES_SEMANALES[[#ALL],[MARTES]])</f>
        <v>0</v>
      </c>
      <c r="O201" s="6">
        <f>SUMIFS(Eventos!$G:$G,Eventos!$F:$F,$L201,Eventos!$D:$D,$C$2,Eventos!$B:$B,PANES_SEMANALES[[#ALL],[MIÉRCOLES]])</f>
        <v>0</v>
      </c>
      <c r="P201" s="6">
        <f>SUMIFS(Eventos!$G:$G,Eventos!$F:$F,$L201,Eventos!$D:$D,$C$2,Eventos!$B:$B,PANES_SEMANALES[[#ALL],[JUEVES]])</f>
        <v>0</v>
      </c>
      <c r="Q201" s="6">
        <f>IF(P201&lt;&gt;"",SUMIFS(Eventos!$G:$G,Eventos!$B:$B,Q$2,Eventos!$D:$D,$C$2,Eventos!$F:$F,$L201),"")</f>
        <v>0</v>
      </c>
      <c r="R201" s="6">
        <f>SUMIFS(Eventos!$G:$G,Eventos!$F:$F,$L201,Eventos!$D:$D,$C$2,Eventos!$B:$B,PANES_SEMANALES[[#ALL],[SÁBADO]])</f>
        <v>0</v>
      </c>
      <c r="S201" s="7">
        <f>SUMIFS(Eventos!$G:$G,Eventos!$F:$F,$L201,Eventos!$D:$D,$C$2,Eventos!$B:$B,PANES_SEMANALES[[#ALL],[DOMINGO]])</f>
        <v>0</v>
      </c>
      <c r="T201" s="8">
        <f t="shared" si="1"/>
        <v>0</v>
      </c>
    </row>
    <row r="202" ht="22.5" customHeight="1">
      <c r="L202" s="4"/>
      <c r="M202" s="5">
        <f>SUMIFS(Eventos!$G:$G,Eventos!$F:$F,$L202,Eventos!$D:$D,$C$2,Eventos!$B:$B,PANES_SEMANALES[[#ALL],[LUNES]])</f>
        <v>0</v>
      </c>
      <c r="N202" s="6">
        <f>SUMIFS(Eventos!$G:$G,Eventos!$F:$F,$L202,Eventos!$D:$D,$C$2,Eventos!$B:$B,PANES_SEMANALES[[#ALL],[MARTES]])</f>
        <v>0</v>
      </c>
      <c r="O202" s="6">
        <f>SUMIFS(Eventos!$G:$G,Eventos!$F:$F,$L202,Eventos!$D:$D,$C$2,Eventos!$B:$B,PANES_SEMANALES[[#ALL],[MIÉRCOLES]])</f>
        <v>0</v>
      </c>
      <c r="P202" s="6">
        <f>SUMIFS(Eventos!$G:$G,Eventos!$F:$F,$L202,Eventos!$D:$D,$C$2,Eventos!$B:$B,PANES_SEMANALES[[#ALL],[JUEVES]])</f>
        <v>0</v>
      </c>
      <c r="Q202" s="6">
        <f>IF(P202&lt;&gt;"",SUMIFS(Eventos!$G:$G,Eventos!$B:$B,Q$2,Eventos!$D:$D,$C$2,Eventos!$F:$F,$L202),"")</f>
        <v>0</v>
      </c>
      <c r="R202" s="6">
        <f>SUMIFS(Eventos!$G:$G,Eventos!$F:$F,$L202,Eventos!$D:$D,$C$2,Eventos!$B:$B,PANES_SEMANALES[[#ALL],[SÁBADO]])</f>
        <v>0</v>
      </c>
      <c r="S202" s="7">
        <f>SUMIFS(Eventos!$G:$G,Eventos!$F:$F,$L202,Eventos!$D:$D,$C$2,Eventos!$B:$B,PANES_SEMANALES[[#ALL],[DOMINGO]])</f>
        <v>0</v>
      </c>
      <c r="T202" s="8">
        <f t="shared" si="1"/>
        <v>0</v>
      </c>
    </row>
    <row r="203" ht="22.5" customHeight="1">
      <c r="L203" s="4"/>
      <c r="M203" s="5">
        <f>SUMIFS(Eventos!$G:$G,Eventos!$F:$F,$L203,Eventos!$D:$D,$C$2,Eventos!$B:$B,PANES_SEMANALES[[#ALL],[LUNES]])</f>
        <v>0</v>
      </c>
      <c r="N203" s="6">
        <f>SUMIFS(Eventos!$G:$G,Eventos!$F:$F,$L203,Eventos!$D:$D,$C$2,Eventos!$B:$B,PANES_SEMANALES[[#ALL],[MARTES]])</f>
        <v>0</v>
      </c>
      <c r="O203" s="6">
        <f>SUMIFS(Eventos!$G:$G,Eventos!$F:$F,$L203,Eventos!$D:$D,$C$2,Eventos!$B:$B,PANES_SEMANALES[[#ALL],[MIÉRCOLES]])</f>
        <v>0</v>
      </c>
      <c r="P203" s="6">
        <f>SUMIFS(Eventos!$G:$G,Eventos!$F:$F,$L203,Eventos!$D:$D,$C$2,Eventos!$B:$B,PANES_SEMANALES[[#ALL],[JUEVES]])</f>
        <v>0</v>
      </c>
      <c r="Q203" s="6">
        <f>IF(P203&lt;&gt;"",SUMIFS(Eventos!$G:$G,Eventos!$B:$B,Q$2,Eventos!$D:$D,$C$2,Eventos!$F:$F,$L203),"")</f>
        <v>0</v>
      </c>
      <c r="R203" s="6">
        <f>SUMIFS(Eventos!$G:$G,Eventos!$F:$F,$L203,Eventos!$D:$D,$C$2,Eventos!$B:$B,PANES_SEMANALES[[#ALL],[SÁBADO]])</f>
        <v>0</v>
      </c>
      <c r="S203" s="7">
        <f>SUMIFS(Eventos!$G:$G,Eventos!$F:$F,$L203,Eventos!$D:$D,$C$2,Eventos!$B:$B,PANES_SEMANALES[[#ALL],[DOMINGO]])</f>
        <v>0</v>
      </c>
      <c r="T203" s="8">
        <f t="shared" si="1"/>
        <v>0</v>
      </c>
    </row>
    <row r="204" ht="22.5" customHeight="1">
      <c r="L204" s="4"/>
      <c r="M204" s="5">
        <f>SUMIFS(Eventos!$G:$G,Eventos!$F:$F,$L204,Eventos!$D:$D,$C$2,Eventos!$B:$B,PANES_SEMANALES[[#ALL],[LUNES]])</f>
        <v>0</v>
      </c>
      <c r="N204" s="6">
        <f>SUMIFS(Eventos!$G:$G,Eventos!$F:$F,$L204,Eventos!$D:$D,$C$2,Eventos!$B:$B,PANES_SEMANALES[[#ALL],[MARTES]])</f>
        <v>0</v>
      </c>
      <c r="O204" s="6">
        <f>SUMIFS(Eventos!$G:$G,Eventos!$F:$F,$L204,Eventos!$D:$D,$C$2,Eventos!$B:$B,PANES_SEMANALES[[#ALL],[MIÉRCOLES]])</f>
        <v>0</v>
      </c>
      <c r="P204" s="6">
        <f>SUMIFS(Eventos!$G:$G,Eventos!$F:$F,$L204,Eventos!$D:$D,$C$2,Eventos!$B:$B,PANES_SEMANALES[[#ALL],[JUEVES]])</f>
        <v>0</v>
      </c>
      <c r="Q204" s="6">
        <f>IF(P204&lt;&gt;"",SUMIFS(Eventos!$G:$G,Eventos!$B:$B,Q$2,Eventos!$D:$D,$C$2,Eventos!$F:$F,$L204),"")</f>
        <v>0</v>
      </c>
      <c r="R204" s="6">
        <f>SUMIFS(Eventos!$G:$G,Eventos!$F:$F,$L204,Eventos!$D:$D,$C$2,Eventos!$B:$B,PANES_SEMANALES[[#ALL],[SÁBADO]])</f>
        <v>0</v>
      </c>
      <c r="S204" s="7">
        <f>SUMIFS(Eventos!$G:$G,Eventos!$F:$F,$L204,Eventos!$D:$D,$C$2,Eventos!$B:$B,PANES_SEMANALES[[#ALL],[DOMINGO]])</f>
        <v>0</v>
      </c>
      <c r="T204" s="8">
        <f t="shared" si="1"/>
        <v>0</v>
      </c>
    </row>
    <row r="205" ht="22.5" customHeight="1">
      <c r="L205" s="4"/>
      <c r="M205" s="5">
        <f>SUMIFS(Eventos!$G:$G,Eventos!$F:$F,$L205,Eventos!$D:$D,$C$2,Eventos!$B:$B,PANES_SEMANALES[[#ALL],[LUNES]])</f>
        <v>0</v>
      </c>
      <c r="N205" s="6">
        <f>SUMIFS(Eventos!$G:$G,Eventos!$F:$F,$L205,Eventos!$D:$D,$C$2,Eventos!$B:$B,PANES_SEMANALES[[#ALL],[MARTES]])</f>
        <v>0</v>
      </c>
      <c r="O205" s="6">
        <f>SUMIFS(Eventos!$G:$G,Eventos!$F:$F,$L205,Eventos!$D:$D,$C$2,Eventos!$B:$B,PANES_SEMANALES[[#ALL],[MIÉRCOLES]])</f>
        <v>0</v>
      </c>
      <c r="P205" s="6">
        <f>SUMIFS(Eventos!$G:$G,Eventos!$F:$F,$L205,Eventos!$D:$D,$C$2,Eventos!$B:$B,PANES_SEMANALES[[#ALL],[JUEVES]])</f>
        <v>0</v>
      </c>
      <c r="Q205" s="6">
        <f>IF(P205&lt;&gt;"",SUMIFS(Eventos!$G:$G,Eventos!$B:$B,Q$2,Eventos!$D:$D,$C$2,Eventos!$F:$F,$L205),"")</f>
        <v>0</v>
      </c>
      <c r="R205" s="6">
        <f>SUMIFS(Eventos!$G:$G,Eventos!$F:$F,$L205,Eventos!$D:$D,$C$2,Eventos!$B:$B,PANES_SEMANALES[[#ALL],[SÁBADO]])</f>
        <v>0</v>
      </c>
      <c r="S205" s="7">
        <f>SUMIFS(Eventos!$G:$G,Eventos!$F:$F,$L205,Eventos!$D:$D,$C$2,Eventos!$B:$B,PANES_SEMANALES[[#ALL],[DOMINGO]])</f>
        <v>0</v>
      </c>
      <c r="T205" s="8">
        <f t="shared" si="1"/>
        <v>0</v>
      </c>
    </row>
    <row r="206" ht="22.5" customHeight="1">
      <c r="L206" s="4"/>
      <c r="M206" s="5">
        <f>SUMIFS(Eventos!$G:$G,Eventos!$F:$F,$L206,Eventos!$D:$D,$C$2,Eventos!$B:$B,PANES_SEMANALES[[#ALL],[LUNES]])</f>
        <v>0</v>
      </c>
      <c r="N206" s="6">
        <f>SUMIFS(Eventos!$G:$G,Eventos!$F:$F,$L206,Eventos!$D:$D,$C$2,Eventos!$B:$B,PANES_SEMANALES[[#ALL],[MARTES]])</f>
        <v>0</v>
      </c>
      <c r="O206" s="6">
        <f>SUMIFS(Eventos!$G:$G,Eventos!$F:$F,$L206,Eventos!$D:$D,$C$2,Eventos!$B:$B,PANES_SEMANALES[[#ALL],[MIÉRCOLES]])</f>
        <v>0</v>
      </c>
      <c r="P206" s="6">
        <f>SUMIFS(Eventos!$G:$G,Eventos!$F:$F,$L206,Eventos!$D:$D,$C$2,Eventos!$B:$B,PANES_SEMANALES[[#ALL],[JUEVES]])</f>
        <v>0</v>
      </c>
      <c r="Q206" s="6">
        <f>IF(P206&lt;&gt;"",SUMIFS(Eventos!$G:$G,Eventos!$B:$B,Q$2,Eventos!$D:$D,$C$2,Eventos!$F:$F,$L206),"")</f>
        <v>0</v>
      </c>
      <c r="R206" s="6">
        <f>SUMIFS(Eventos!$G:$G,Eventos!$F:$F,$L206,Eventos!$D:$D,$C$2,Eventos!$B:$B,PANES_SEMANALES[[#ALL],[SÁBADO]])</f>
        <v>0</v>
      </c>
      <c r="S206" s="7">
        <f>SUMIFS(Eventos!$G:$G,Eventos!$F:$F,$L206,Eventos!$D:$D,$C$2,Eventos!$B:$B,PANES_SEMANALES[[#ALL],[DOMINGO]])</f>
        <v>0</v>
      </c>
      <c r="T206" s="8">
        <f t="shared" si="1"/>
        <v>0</v>
      </c>
    </row>
    <row r="207" ht="22.5" customHeight="1">
      <c r="L207" s="4"/>
      <c r="M207" s="5">
        <f>SUMIFS(Eventos!$G:$G,Eventos!$F:$F,$L207,Eventos!$D:$D,$C$2,Eventos!$B:$B,PANES_SEMANALES[[#ALL],[LUNES]])</f>
        <v>0</v>
      </c>
      <c r="N207" s="6">
        <f>SUMIFS(Eventos!$G:$G,Eventos!$F:$F,$L207,Eventos!$D:$D,$C$2,Eventos!$B:$B,PANES_SEMANALES[[#ALL],[MARTES]])</f>
        <v>0</v>
      </c>
      <c r="O207" s="6">
        <f>SUMIFS(Eventos!$G:$G,Eventos!$F:$F,$L207,Eventos!$D:$D,$C$2,Eventos!$B:$B,PANES_SEMANALES[[#ALL],[MIÉRCOLES]])</f>
        <v>0</v>
      </c>
      <c r="P207" s="6">
        <f>SUMIFS(Eventos!$G:$G,Eventos!$F:$F,$L207,Eventos!$D:$D,$C$2,Eventos!$B:$B,PANES_SEMANALES[[#ALL],[JUEVES]])</f>
        <v>0</v>
      </c>
      <c r="Q207" s="6">
        <f>IF(P207&lt;&gt;"",SUMIFS(Eventos!$G:$G,Eventos!$B:$B,Q$2,Eventos!$D:$D,$C$2,Eventos!$F:$F,$L207),"")</f>
        <v>0</v>
      </c>
      <c r="R207" s="6">
        <f>SUMIFS(Eventos!$G:$G,Eventos!$F:$F,$L207,Eventos!$D:$D,$C$2,Eventos!$B:$B,PANES_SEMANALES[[#ALL],[SÁBADO]])</f>
        <v>0</v>
      </c>
      <c r="S207" s="7">
        <f>SUMIFS(Eventos!$G:$G,Eventos!$F:$F,$L207,Eventos!$D:$D,$C$2,Eventos!$B:$B,PANES_SEMANALES[[#ALL],[DOMINGO]])</f>
        <v>0</v>
      </c>
      <c r="T207" s="8">
        <f t="shared" si="1"/>
        <v>0</v>
      </c>
    </row>
    <row r="208" ht="22.5" customHeight="1">
      <c r="L208" s="4"/>
      <c r="M208" s="5">
        <f>SUMIFS(Eventos!$G:$G,Eventos!$F:$F,$L208,Eventos!$D:$D,$C$2,Eventos!$B:$B,PANES_SEMANALES[[#ALL],[LUNES]])</f>
        <v>0</v>
      </c>
      <c r="N208" s="6">
        <f>SUMIFS(Eventos!$G:$G,Eventos!$F:$F,$L208,Eventos!$D:$D,$C$2,Eventos!$B:$B,PANES_SEMANALES[[#ALL],[MARTES]])</f>
        <v>0</v>
      </c>
      <c r="O208" s="6">
        <f>SUMIFS(Eventos!$G:$G,Eventos!$F:$F,$L208,Eventos!$D:$D,$C$2,Eventos!$B:$B,PANES_SEMANALES[[#ALL],[MIÉRCOLES]])</f>
        <v>0</v>
      </c>
      <c r="P208" s="6">
        <f>SUMIFS(Eventos!$G:$G,Eventos!$F:$F,$L208,Eventos!$D:$D,$C$2,Eventos!$B:$B,PANES_SEMANALES[[#ALL],[JUEVES]])</f>
        <v>0</v>
      </c>
      <c r="Q208" s="6">
        <f>IF(P208&lt;&gt;"",SUMIFS(Eventos!$G:$G,Eventos!$B:$B,Q$2,Eventos!$D:$D,$C$2,Eventos!$F:$F,$L208),"")</f>
        <v>0</v>
      </c>
      <c r="R208" s="6">
        <f>SUMIFS(Eventos!$G:$G,Eventos!$F:$F,$L208,Eventos!$D:$D,$C$2,Eventos!$B:$B,PANES_SEMANALES[[#ALL],[SÁBADO]])</f>
        <v>0</v>
      </c>
      <c r="S208" s="7">
        <f>SUMIFS(Eventos!$G:$G,Eventos!$F:$F,$L208,Eventos!$D:$D,$C$2,Eventos!$B:$B,PANES_SEMANALES[[#ALL],[DOMINGO]])</f>
        <v>0</v>
      </c>
      <c r="T208" s="8">
        <f t="shared" si="1"/>
        <v>0</v>
      </c>
    </row>
    <row r="209" ht="22.5" customHeight="1">
      <c r="L209" s="4"/>
      <c r="M209" s="5">
        <f>SUMIFS(Eventos!$G:$G,Eventos!$F:$F,$L209,Eventos!$D:$D,$C$2,Eventos!$B:$B,PANES_SEMANALES[[#ALL],[LUNES]])</f>
        <v>0</v>
      </c>
      <c r="N209" s="6">
        <f>SUMIFS(Eventos!$G:$G,Eventos!$F:$F,$L209,Eventos!$D:$D,$C$2,Eventos!$B:$B,PANES_SEMANALES[[#ALL],[MARTES]])</f>
        <v>0</v>
      </c>
      <c r="O209" s="6">
        <f>SUMIFS(Eventos!$G:$G,Eventos!$F:$F,$L209,Eventos!$D:$D,$C$2,Eventos!$B:$B,PANES_SEMANALES[[#ALL],[MIÉRCOLES]])</f>
        <v>0</v>
      </c>
      <c r="P209" s="6">
        <f>SUMIFS(Eventos!$G:$G,Eventos!$F:$F,$L209,Eventos!$D:$D,$C$2,Eventos!$B:$B,PANES_SEMANALES[[#ALL],[JUEVES]])</f>
        <v>0</v>
      </c>
      <c r="Q209" s="6">
        <f>IF(P209&lt;&gt;"",SUMIFS(Eventos!$G:$G,Eventos!$B:$B,Q$2,Eventos!$D:$D,$C$2,Eventos!$F:$F,$L209),"")</f>
        <v>0</v>
      </c>
      <c r="R209" s="6">
        <f>SUMIFS(Eventos!$G:$G,Eventos!$F:$F,$L209,Eventos!$D:$D,$C$2,Eventos!$B:$B,PANES_SEMANALES[[#ALL],[SÁBADO]])</f>
        <v>0</v>
      </c>
      <c r="S209" s="7">
        <f>SUMIFS(Eventos!$G:$G,Eventos!$F:$F,$L209,Eventos!$D:$D,$C$2,Eventos!$B:$B,PANES_SEMANALES[[#ALL],[DOMINGO]])</f>
        <v>0</v>
      </c>
      <c r="T209" s="8">
        <f t="shared" si="1"/>
        <v>0</v>
      </c>
    </row>
    <row r="210" ht="22.5" customHeight="1">
      <c r="L210" s="4"/>
      <c r="M210" s="5">
        <f>SUMIFS(Eventos!$G:$G,Eventos!$F:$F,$L210,Eventos!$D:$D,$C$2,Eventos!$B:$B,PANES_SEMANALES[[#ALL],[LUNES]])</f>
        <v>0</v>
      </c>
      <c r="N210" s="6">
        <f>SUMIFS(Eventos!$G:$G,Eventos!$F:$F,$L210,Eventos!$D:$D,$C$2,Eventos!$B:$B,PANES_SEMANALES[[#ALL],[MARTES]])</f>
        <v>0</v>
      </c>
      <c r="O210" s="6">
        <f>SUMIFS(Eventos!$G:$G,Eventos!$F:$F,$L210,Eventos!$D:$D,$C$2,Eventos!$B:$B,PANES_SEMANALES[[#ALL],[MIÉRCOLES]])</f>
        <v>0</v>
      </c>
      <c r="P210" s="6">
        <f>SUMIFS(Eventos!$G:$G,Eventos!$F:$F,$L210,Eventos!$D:$D,$C$2,Eventos!$B:$B,PANES_SEMANALES[[#ALL],[JUEVES]])</f>
        <v>0</v>
      </c>
      <c r="Q210" s="6">
        <f>IF(P210&lt;&gt;"",SUMIFS(Eventos!$G:$G,Eventos!$B:$B,Q$2,Eventos!$D:$D,$C$2,Eventos!$F:$F,$L210),"")</f>
        <v>0</v>
      </c>
      <c r="R210" s="6">
        <f>SUMIFS(Eventos!$G:$G,Eventos!$F:$F,$L210,Eventos!$D:$D,$C$2,Eventos!$B:$B,PANES_SEMANALES[[#ALL],[SÁBADO]])</f>
        <v>0</v>
      </c>
      <c r="S210" s="7">
        <f>SUMIFS(Eventos!$G:$G,Eventos!$F:$F,$L210,Eventos!$D:$D,$C$2,Eventos!$B:$B,PANES_SEMANALES[[#ALL],[DOMINGO]])</f>
        <v>0</v>
      </c>
      <c r="T210" s="8">
        <f t="shared" si="1"/>
        <v>0</v>
      </c>
    </row>
    <row r="211" ht="22.5" customHeight="1">
      <c r="L211" s="4"/>
      <c r="M211" s="5">
        <f>SUMIFS(Eventos!$G:$G,Eventos!$F:$F,$L211,Eventos!$D:$D,$C$2,Eventos!$B:$B,PANES_SEMANALES[[#ALL],[LUNES]])</f>
        <v>0</v>
      </c>
      <c r="N211" s="6">
        <f>SUMIFS(Eventos!$G:$G,Eventos!$F:$F,$L211,Eventos!$D:$D,$C$2,Eventos!$B:$B,PANES_SEMANALES[[#ALL],[MARTES]])</f>
        <v>0</v>
      </c>
      <c r="O211" s="6">
        <f>SUMIFS(Eventos!$G:$G,Eventos!$F:$F,$L211,Eventos!$D:$D,$C$2,Eventos!$B:$B,PANES_SEMANALES[[#ALL],[MIÉRCOLES]])</f>
        <v>0</v>
      </c>
      <c r="P211" s="6">
        <f>SUMIFS(Eventos!$G:$G,Eventos!$F:$F,$L211,Eventos!$D:$D,$C$2,Eventos!$B:$B,PANES_SEMANALES[[#ALL],[JUEVES]])</f>
        <v>0</v>
      </c>
      <c r="Q211" s="6">
        <f>IF(P211&lt;&gt;"",SUMIFS(Eventos!$G:$G,Eventos!$B:$B,Q$2,Eventos!$D:$D,$C$2,Eventos!$F:$F,$L211),"")</f>
        <v>0</v>
      </c>
      <c r="R211" s="6">
        <f>SUMIFS(Eventos!$G:$G,Eventos!$F:$F,$L211,Eventos!$D:$D,$C$2,Eventos!$B:$B,PANES_SEMANALES[[#ALL],[SÁBADO]])</f>
        <v>0</v>
      </c>
      <c r="S211" s="7">
        <f>SUMIFS(Eventos!$G:$G,Eventos!$F:$F,$L211,Eventos!$D:$D,$C$2,Eventos!$B:$B,PANES_SEMANALES[[#ALL],[DOMINGO]])</f>
        <v>0</v>
      </c>
      <c r="T211" s="8">
        <f t="shared" si="1"/>
        <v>0</v>
      </c>
    </row>
    <row r="212" ht="22.5" customHeight="1">
      <c r="L212" s="4"/>
      <c r="M212" s="5">
        <f>SUMIFS(Eventos!$G:$G,Eventos!$F:$F,$L212,Eventos!$D:$D,$C$2,Eventos!$B:$B,PANES_SEMANALES[[#ALL],[LUNES]])</f>
        <v>0</v>
      </c>
      <c r="N212" s="6">
        <f>SUMIFS(Eventos!$G:$G,Eventos!$F:$F,$L212,Eventos!$D:$D,$C$2,Eventos!$B:$B,PANES_SEMANALES[[#ALL],[MARTES]])</f>
        <v>0</v>
      </c>
      <c r="O212" s="6">
        <f>SUMIFS(Eventos!$G:$G,Eventos!$F:$F,$L212,Eventos!$D:$D,$C$2,Eventos!$B:$B,PANES_SEMANALES[[#ALL],[MIÉRCOLES]])</f>
        <v>0</v>
      </c>
      <c r="P212" s="6">
        <f>SUMIFS(Eventos!$G:$G,Eventos!$F:$F,$L212,Eventos!$D:$D,$C$2,Eventos!$B:$B,PANES_SEMANALES[[#ALL],[JUEVES]])</f>
        <v>0</v>
      </c>
      <c r="Q212" s="6">
        <f>IF(P212&lt;&gt;"",SUMIFS(Eventos!$G:$G,Eventos!$B:$B,Q$2,Eventos!$D:$D,$C$2,Eventos!$F:$F,$L212),"")</f>
        <v>0</v>
      </c>
      <c r="R212" s="6">
        <f>SUMIFS(Eventos!$G:$G,Eventos!$F:$F,$L212,Eventos!$D:$D,$C$2,Eventos!$B:$B,PANES_SEMANALES[[#ALL],[SÁBADO]])</f>
        <v>0</v>
      </c>
      <c r="S212" s="7">
        <f>SUMIFS(Eventos!$G:$G,Eventos!$F:$F,$L212,Eventos!$D:$D,$C$2,Eventos!$B:$B,PANES_SEMANALES[[#ALL],[DOMINGO]])</f>
        <v>0</v>
      </c>
      <c r="T212" s="8">
        <f t="shared" si="1"/>
        <v>0</v>
      </c>
    </row>
    <row r="213" ht="22.5" customHeight="1">
      <c r="L213" s="4"/>
      <c r="M213" s="5">
        <f>SUMIFS(Eventos!$G:$G,Eventos!$F:$F,$L213,Eventos!$D:$D,$C$2,Eventos!$B:$B,PANES_SEMANALES[[#ALL],[LUNES]])</f>
        <v>0</v>
      </c>
      <c r="N213" s="6">
        <f>SUMIFS(Eventos!$G:$G,Eventos!$F:$F,$L213,Eventos!$D:$D,$C$2,Eventos!$B:$B,PANES_SEMANALES[[#ALL],[MARTES]])</f>
        <v>0</v>
      </c>
      <c r="O213" s="6">
        <f>SUMIFS(Eventos!$G:$G,Eventos!$F:$F,$L213,Eventos!$D:$D,$C$2,Eventos!$B:$B,PANES_SEMANALES[[#ALL],[MIÉRCOLES]])</f>
        <v>0</v>
      </c>
      <c r="P213" s="6">
        <f>SUMIFS(Eventos!$G:$G,Eventos!$F:$F,$L213,Eventos!$D:$D,$C$2,Eventos!$B:$B,PANES_SEMANALES[[#ALL],[JUEVES]])</f>
        <v>0</v>
      </c>
      <c r="Q213" s="6">
        <f>IF(P213&lt;&gt;"",SUMIFS(Eventos!$G:$G,Eventos!$B:$B,Q$2,Eventos!$D:$D,$C$2,Eventos!$F:$F,$L213),"")</f>
        <v>0</v>
      </c>
      <c r="R213" s="6">
        <f>SUMIFS(Eventos!$G:$G,Eventos!$F:$F,$L213,Eventos!$D:$D,$C$2,Eventos!$B:$B,PANES_SEMANALES[[#ALL],[SÁBADO]])</f>
        <v>0</v>
      </c>
      <c r="S213" s="7">
        <f>SUMIFS(Eventos!$G:$G,Eventos!$F:$F,$L213,Eventos!$D:$D,$C$2,Eventos!$B:$B,PANES_SEMANALES[[#ALL],[DOMINGO]])</f>
        <v>0</v>
      </c>
      <c r="T213" s="8">
        <f t="shared" si="1"/>
        <v>0</v>
      </c>
    </row>
    <row r="214" ht="22.5" customHeight="1">
      <c r="L214" s="4"/>
      <c r="M214" s="5">
        <f>SUMIFS(Eventos!$G:$G,Eventos!$F:$F,$L214,Eventos!$D:$D,$C$2,Eventos!$B:$B,PANES_SEMANALES[[#ALL],[LUNES]])</f>
        <v>0</v>
      </c>
      <c r="N214" s="6">
        <f>SUMIFS(Eventos!$G:$G,Eventos!$F:$F,$L214,Eventos!$D:$D,$C$2,Eventos!$B:$B,PANES_SEMANALES[[#ALL],[MARTES]])</f>
        <v>0</v>
      </c>
      <c r="O214" s="6">
        <f>SUMIFS(Eventos!$G:$G,Eventos!$F:$F,$L214,Eventos!$D:$D,$C$2,Eventos!$B:$B,PANES_SEMANALES[[#ALL],[MIÉRCOLES]])</f>
        <v>0</v>
      </c>
      <c r="P214" s="6">
        <f>SUMIFS(Eventos!$G:$G,Eventos!$F:$F,$L214,Eventos!$D:$D,$C$2,Eventos!$B:$B,PANES_SEMANALES[[#ALL],[JUEVES]])</f>
        <v>0</v>
      </c>
      <c r="Q214" s="6">
        <f>IF(P214&lt;&gt;"",SUMIFS(Eventos!$G:$G,Eventos!$B:$B,Q$2,Eventos!$D:$D,$C$2,Eventos!$F:$F,$L214),"")</f>
        <v>0</v>
      </c>
      <c r="R214" s="6">
        <f>SUMIFS(Eventos!$G:$G,Eventos!$F:$F,$L214,Eventos!$D:$D,$C$2,Eventos!$B:$B,PANES_SEMANALES[[#ALL],[SÁBADO]])</f>
        <v>0</v>
      </c>
      <c r="S214" s="7">
        <f>SUMIFS(Eventos!$G:$G,Eventos!$F:$F,$L214,Eventos!$D:$D,$C$2,Eventos!$B:$B,PANES_SEMANALES[[#ALL],[DOMINGO]])</f>
        <v>0</v>
      </c>
      <c r="T214" s="8">
        <f t="shared" si="1"/>
        <v>0</v>
      </c>
    </row>
    <row r="215" ht="22.5" customHeight="1">
      <c r="L215" s="4"/>
      <c r="M215" s="5">
        <f>SUMIFS(Eventos!$G:$G,Eventos!$F:$F,$L215,Eventos!$D:$D,$C$2,Eventos!$B:$B,PANES_SEMANALES[[#ALL],[LUNES]])</f>
        <v>0</v>
      </c>
      <c r="N215" s="6">
        <f>SUMIFS(Eventos!$G:$G,Eventos!$F:$F,$L215,Eventos!$D:$D,$C$2,Eventos!$B:$B,PANES_SEMANALES[[#ALL],[MARTES]])</f>
        <v>0</v>
      </c>
      <c r="O215" s="6">
        <f>SUMIFS(Eventos!$G:$G,Eventos!$F:$F,$L215,Eventos!$D:$D,$C$2,Eventos!$B:$B,PANES_SEMANALES[[#ALL],[MIÉRCOLES]])</f>
        <v>0</v>
      </c>
      <c r="P215" s="6">
        <f>SUMIFS(Eventos!$G:$G,Eventos!$F:$F,$L215,Eventos!$D:$D,$C$2,Eventos!$B:$B,PANES_SEMANALES[[#ALL],[JUEVES]])</f>
        <v>0</v>
      </c>
      <c r="Q215" s="6">
        <f>IF(P215&lt;&gt;"",SUMIFS(Eventos!$G:$G,Eventos!$B:$B,Q$2,Eventos!$D:$D,$C$2,Eventos!$F:$F,$L215),"")</f>
        <v>0</v>
      </c>
      <c r="R215" s="6">
        <f>SUMIFS(Eventos!$G:$G,Eventos!$F:$F,$L215,Eventos!$D:$D,$C$2,Eventos!$B:$B,PANES_SEMANALES[[#ALL],[SÁBADO]])</f>
        <v>0</v>
      </c>
      <c r="S215" s="7">
        <f>SUMIFS(Eventos!$G:$G,Eventos!$F:$F,$L215,Eventos!$D:$D,$C$2,Eventos!$B:$B,PANES_SEMANALES[[#ALL],[DOMINGO]])</f>
        <v>0</v>
      </c>
      <c r="T215" s="8">
        <f t="shared" si="1"/>
        <v>0</v>
      </c>
    </row>
    <row r="216" ht="22.5" customHeight="1">
      <c r="L216" s="4"/>
      <c r="M216" s="5">
        <f>SUMIFS(Eventos!$G:$G,Eventos!$F:$F,$L216,Eventos!$D:$D,$C$2,Eventos!$B:$B,PANES_SEMANALES[[#ALL],[LUNES]])</f>
        <v>0</v>
      </c>
      <c r="N216" s="6">
        <f>SUMIFS(Eventos!$G:$G,Eventos!$F:$F,$L216,Eventos!$D:$D,$C$2,Eventos!$B:$B,PANES_SEMANALES[[#ALL],[MARTES]])</f>
        <v>0</v>
      </c>
      <c r="O216" s="6">
        <f>SUMIFS(Eventos!$G:$G,Eventos!$F:$F,$L216,Eventos!$D:$D,$C$2,Eventos!$B:$B,PANES_SEMANALES[[#ALL],[MIÉRCOLES]])</f>
        <v>0</v>
      </c>
      <c r="P216" s="6">
        <f>SUMIFS(Eventos!$G:$G,Eventos!$F:$F,$L216,Eventos!$D:$D,$C$2,Eventos!$B:$B,PANES_SEMANALES[[#ALL],[JUEVES]])</f>
        <v>0</v>
      </c>
      <c r="Q216" s="6">
        <f>IF(P216&lt;&gt;"",SUMIFS(Eventos!$G:$G,Eventos!$B:$B,Q$2,Eventos!$D:$D,$C$2,Eventos!$F:$F,$L216),"")</f>
        <v>0</v>
      </c>
      <c r="R216" s="6">
        <f>SUMIFS(Eventos!$G:$G,Eventos!$F:$F,$L216,Eventos!$D:$D,$C$2,Eventos!$B:$B,PANES_SEMANALES[[#ALL],[SÁBADO]])</f>
        <v>0</v>
      </c>
      <c r="S216" s="7">
        <f>SUMIFS(Eventos!$G:$G,Eventos!$F:$F,$L216,Eventos!$D:$D,$C$2,Eventos!$B:$B,PANES_SEMANALES[[#ALL],[DOMINGO]])</f>
        <v>0</v>
      </c>
      <c r="T216" s="8">
        <f t="shared" si="1"/>
        <v>0</v>
      </c>
    </row>
    <row r="217" ht="22.5" customHeight="1">
      <c r="L217" s="4"/>
      <c r="M217" s="5">
        <f>SUMIFS(Eventos!$G:$G,Eventos!$F:$F,$L217,Eventos!$D:$D,$C$2,Eventos!$B:$B,PANES_SEMANALES[[#ALL],[LUNES]])</f>
        <v>0</v>
      </c>
      <c r="N217" s="6">
        <f>SUMIFS(Eventos!$G:$G,Eventos!$F:$F,$L217,Eventos!$D:$D,$C$2,Eventos!$B:$B,PANES_SEMANALES[[#ALL],[MARTES]])</f>
        <v>0</v>
      </c>
      <c r="O217" s="6">
        <f>SUMIFS(Eventos!$G:$G,Eventos!$F:$F,$L217,Eventos!$D:$D,$C$2,Eventos!$B:$B,PANES_SEMANALES[[#ALL],[MIÉRCOLES]])</f>
        <v>0</v>
      </c>
      <c r="P217" s="6">
        <f>SUMIFS(Eventos!$G:$G,Eventos!$F:$F,$L217,Eventos!$D:$D,$C$2,Eventos!$B:$B,PANES_SEMANALES[[#ALL],[JUEVES]])</f>
        <v>0</v>
      </c>
      <c r="Q217" s="6">
        <f>IF(P217&lt;&gt;"",SUMIFS(Eventos!$G:$G,Eventos!$B:$B,Q$2,Eventos!$D:$D,$C$2,Eventos!$F:$F,$L217),"")</f>
        <v>0</v>
      </c>
      <c r="R217" s="6">
        <f>SUMIFS(Eventos!$G:$G,Eventos!$F:$F,$L217,Eventos!$D:$D,$C$2,Eventos!$B:$B,PANES_SEMANALES[[#ALL],[SÁBADO]])</f>
        <v>0</v>
      </c>
      <c r="S217" s="7">
        <f>SUMIFS(Eventos!$G:$G,Eventos!$F:$F,$L217,Eventos!$D:$D,$C$2,Eventos!$B:$B,PANES_SEMANALES[[#ALL],[DOMINGO]])</f>
        <v>0</v>
      </c>
      <c r="T217" s="8">
        <f t="shared" si="1"/>
        <v>0</v>
      </c>
    </row>
    <row r="218" ht="22.5" customHeight="1">
      <c r="L218" s="4"/>
      <c r="M218" s="5">
        <f>SUMIFS(Eventos!$G:$G,Eventos!$F:$F,$L218,Eventos!$D:$D,$C$2,Eventos!$B:$B,PANES_SEMANALES[[#ALL],[LUNES]])</f>
        <v>0</v>
      </c>
      <c r="N218" s="6">
        <f>SUMIFS(Eventos!$G:$G,Eventos!$F:$F,$L218,Eventos!$D:$D,$C$2,Eventos!$B:$B,PANES_SEMANALES[[#ALL],[MARTES]])</f>
        <v>0</v>
      </c>
      <c r="O218" s="6">
        <f>SUMIFS(Eventos!$G:$G,Eventos!$F:$F,$L218,Eventos!$D:$D,$C$2,Eventos!$B:$B,PANES_SEMANALES[[#ALL],[MIÉRCOLES]])</f>
        <v>0</v>
      </c>
      <c r="P218" s="6">
        <f>SUMIFS(Eventos!$G:$G,Eventos!$F:$F,$L218,Eventos!$D:$D,$C$2,Eventos!$B:$B,PANES_SEMANALES[[#ALL],[JUEVES]])</f>
        <v>0</v>
      </c>
      <c r="Q218" s="6">
        <f>IF(P218&lt;&gt;"",SUMIFS(Eventos!$G:$G,Eventos!$B:$B,Q$2,Eventos!$D:$D,$C$2,Eventos!$F:$F,$L218),"")</f>
        <v>0</v>
      </c>
      <c r="R218" s="6">
        <f>SUMIFS(Eventos!$G:$G,Eventos!$F:$F,$L218,Eventos!$D:$D,$C$2,Eventos!$B:$B,PANES_SEMANALES[[#ALL],[SÁBADO]])</f>
        <v>0</v>
      </c>
      <c r="S218" s="7">
        <f>SUMIFS(Eventos!$G:$G,Eventos!$F:$F,$L218,Eventos!$D:$D,$C$2,Eventos!$B:$B,PANES_SEMANALES[[#ALL],[DOMINGO]])</f>
        <v>0</v>
      </c>
      <c r="T218" s="8">
        <f t="shared" si="1"/>
        <v>0</v>
      </c>
    </row>
    <row r="219" ht="22.5" customHeight="1">
      <c r="L219" s="4"/>
      <c r="M219" s="5">
        <f>SUMIFS(Eventos!$G:$G,Eventos!$F:$F,$L219,Eventos!$D:$D,$C$2,Eventos!$B:$B,PANES_SEMANALES[[#ALL],[LUNES]])</f>
        <v>0</v>
      </c>
      <c r="N219" s="6">
        <f>SUMIFS(Eventos!$G:$G,Eventos!$F:$F,$L219,Eventos!$D:$D,$C$2,Eventos!$B:$B,PANES_SEMANALES[[#ALL],[MARTES]])</f>
        <v>0</v>
      </c>
      <c r="O219" s="6">
        <f>SUMIFS(Eventos!$G:$G,Eventos!$F:$F,$L219,Eventos!$D:$D,$C$2,Eventos!$B:$B,PANES_SEMANALES[[#ALL],[MIÉRCOLES]])</f>
        <v>0</v>
      </c>
      <c r="P219" s="6">
        <f>SUMIFS(Eventos!$G:$G,Eventos!$F:$F,$L219,Eventos!$D:$D,$C$2,Eventos!$B:$B,PANES_SEMANALES[[#ALL],[JUEVES]])</f>
        <v>0</v>
      </c>
      <c r="Q219" s="6">
        <f>IF(P219&lt;&gt;"",SUMIFS(Eventos!$G:$G,Eventos!$B:$B,Q$2,Eventos!$D:$D,$C$2,Eventos!$F:$F,$L219),"")</f>
        <v>0</v>
      </c>
      <c r="R219" s="6">
        <f>SUMIFS(Eventos!$G:$G,Eventos!$F:$F,$L219,Eventos!$D:$D,$C$2,Eventos!$B:$B,PANES_SEMANALES[[#ALL],[SÁBADO]])</f>
        <v>0</v>
      </c>
      <c r="S219" s="7">
        <f>SUMIFS(Eventos!$G:$G,Eventos!$F:$F,$L219,Eventos!$D:$D,$C$2,Eventos!$B:$B,PANES_SEMANALES[[#ALL],[DOMINGO]])</f>
        <v>0</v>
      </c>
      <c r="T219" s="8">
        <f t="shared" si="1"/>
        <v>0</v>
      </c>
    </row>
    <row r="220" ht="22.5" customHeight="1">
      <c r="L220" s="4"/>
      <c r="M220" s="5">
        <f>SUMIFS(Eventos!$G:$G,Eventos!$F:$F,$L220,Eventos!$D:$D,$C$2,Eventos!$B:$B,PANES_SEMANALES[[#ALL],[LUNES]])</f>
        <v>0</v>
      </c>
      <c r="N220" s="6">
        <f>SUMIFS(Eventos!$G:$G,Eventos!$F:$F,$L220,Eventos!$D:$D,$C$2,Eventos!$B:$B,PANES_SEMANALES[[#ALL],[MARTES]])</f>
        <v>0</v>
      </c>
      <c r="O220" s="6">
        <f>SUMIFS(Eventos!$G:$G,Eventos!$F:$F,$L220,Eventos!$D:$D,$C$2,Eventos!$B:$B,PANES_SEMANALES[[#ALL],[MIÉRCOLES]])</f>
        <v>0</v>
      </c>
      <c r="P220" s="6">
        <f>SUMIFS(Eventos!$G:$G,Eventos!$F:$F,$L220,Eventos!$D:$D,$C$2,Eventos!$B:$B,PANES_SEMANALES[[#ALL],[JUEVES]])</f>
        <v>0</v>
      </c>
      <c r="Q220" s="6">
        <f>IF(P220&lt;&gt;"",SUMIFS(Eventos!$G:$G,Eventos!$B:$B,Q$2,Eventos!$D:$D,$C$2,Eventos!$F:$F,$L220),"")</f>
        <v>0</v>
      </c>
      <c r="R220" s="6">
        <f>SUMIFS(Eventos!$G:$G,Eventos!$F:$F,$L220,Eventos!$D:$D,$C$2,Eventos!$B:$B,PANES_SEMANALES[[#ALL],[SÁBADO]])</f>
        <v>0</v>
      </c>
      <c r="S220" s="7">
        <f>SUMIFS(Eventos!$G:$G,Eventos!$F:$F,$L220,Eventos!$D:$D,$C$2,Eventos!$B:$B,PANES_SEMANALES[[#ALL],[DOMINGO]])</f>
        <v>0</v>
      </c>
      <c r="T220" s="8">
        <f t="shared" si="1"/>
        <v>0</v>
      </c>
    </row>
    <row r="221" ht="22.5" customHeight="1">
      <c r="L221" s="4"/>
      <c r="M221" s="5">
        <f>SUMIFS(Eventos!$G:$G,Eventos!$F:$F,$L221,Eventos!$D:$D,$C$2,Eventos!$B:$B,PANES_SEMANALES[[#ALL],[LUNES]])</f>
        <v>0</v>
      </c>
      <c r="N221" s="6">
        <f>SUMIFS(Eventos!$G:$G,Eventos!$F:$F,$L221,Eventos!$D:$D,$C$2,Eventos!$B:$B,PANES_SEMANALES[[#ALL],[MARTES]])</f>
        <v>0</v>
      </c>
      <c r="O221" s="6">
        <f>SUMIFS(Eventos!$G:$G,Eventos!$F:$F,$L221,Eventos!$D:$D,$C$2,Eventos!$B:$B,PANES_SEMANALES[[#ALL],[MIÉRCOLES]])</f>
        <v>0</v>
      </c>
      <c r="P221" s="6">
        <f>SUMIFS(Eventos!$G:$G,Eventos!$F:$F,$L221,Eventos!$D:$D,$C$2,Eventos!$B:$B,PANES_SEMANALES[[#ALL],[JUEVES]])</f>
        <v>0</v>
      </c>
      <c r="Q221" s="6">
        <f>IF(P221&lt;&gt;"",SUMIFS(Eventos!$G:$G,Eventos!$B:$B,Q$2,Eventos!$D:$D,$C$2,Eventos!$F:$F,$L221),"")</f>
        <v>0</v>
      </c>
      <c r="R221" s="6">
        <f>SUMIFS(Eventos!$G:$G,Eventos!$F:$F,$L221,Eventos!$D:$D,$C$2,Eventos!$B:$B,PANES_SEMANALES[[#ALL],[SÁBADO]])</f>
        <v>0</v>
      </c>
      <c r="S221" s="7">
        <f>SUMIFS(Eventos!$G:$G,Eventos!$F:$F,$L221,Eventos!$D:$D,$C$2,Eventos!$B:$B,PANES_SEMANALES[[#ALL],[DOMINGO]])</f>
        <v>0</v>
      </c>
      <c r="T221" s="8">
        <f t="shared" si="1"/>
        <v>0</v>
      </c>
    </row>
    <row r="222" ht="22.5" customHeight="1">
      <c r="L222" s="4"/>
      <c r="M222" s="5">
        <f>SUMIFS(Eventos!$G:$G,Eventos!$F:$F,$L222,Eventos!$D:$D,$C$2,Eventos!$B:$B,PANES_SEMANALES[[#ALL],[LUNES]])</f>
        <v>0</v>
      </c>
      <c r="N222" s="6">
        <f>SUMIFS(Eventos!$G:$G,Eventos!$F:$F,$L222,Eventos!$D:$D,$C$2,Eventos!$B:$B,PANES_SEMANALES[[#ALL],[MARTES]])</f>
        <v>0</v>
      </c>
      <c r="O222" s="6">
        <f>SUMIFS(Eventos!$G:$G,Eventos!$F:$F,$L222,Eventos!$D:$D,$C$2,Eventos!$B:$B,PANES_SEMANALES[[#ALL],[MIÉRCOLES]])</f>
        <v>0</v>
      </c>
      <c r="P222" s="6">
        <f>SUMIFS(Eventos!$G:$G,Eventos!$F:$F,$L222,Eventos!$D:$D,$C$2,Eventos!$B:$B,PANES_SEMANALES[[#ALL],[JUEVES]])</f>
        <v>0</v>
      </c>
      <c r="Q222" s="6">
        <f>IF(P222&lt;&gt;"",SUMIFS(Eventos!$G:$G,Eventos!$B:$B,Q$2,Eventos!$D:$D,$C$2,Eventos!$F:$F,$L222),"")</f>
        <v>0</v>
      </c>
      <c r="R222" s="6">
        <f>SUMIFS(Eventos!$G:$G,Eventos!$F:$F,$L222,Eventos!$D:$D,$C$2,Eventos!$B:$B,PANES_SEMANALES[[#ALL],[SÁBADO]])</f>
        <v>0</v>
      </c>
      <c r="S222" s="7">
        <f>SUMIFS(Eventos!$G:$G,Eventos!$F:$F,$L222,Eventos!$D:$D,$C$2,Eventos!$B:$B,PANES_SEMANALES[[#ALL],[DOMINGO]])</f>
        <v>0</v>
      </c>
      <c r="T222" s="8">
        <f t="shared" si="1"/>
        <v>0</v>
      </c>
    </row>
    <row r="223" ht="22.5" customHeight="1">
      <c r="L223" s="4"/>
      <c r="M223" s="5">
        <f>SUMIFS(Eventos!$G:$G,Eventos!$F:$F,$L223,Eventos!$D:$D,$C$2,Eventos!$B:$B,PANES_SEMANALES[[#ALL],[LUNES]])</f>
        <v>0</v>
      </c>
      <c r="N223" s="6">
        <f>SUMIFS(Eventos!$G:$G,Eventos!$F:$F,$L223,Eventos!$D:$D,$C$2,Eventos!$B:$B,PANES_SEMANALES[[#ALL],[MARTES]])</f>
        <v>0</v>
      </c>
      <c r="O223" s="6">
        <f>SUMIFS(Eventos!$G:$G,Eventos!$F:$F,$L223,Eventos!$D:$D,$C$2,Eventos!$B:$B,PANES_SEMANALES[[#ALL],[MIÉRCOLES]])</f>
        <v>0</v>
      </c>
      <c r="P223" s="6">
        <f>SUMIFS(Eventos!$G:$G,Eventos!$F:$F,$L223,Eventos!$D:$D,$C$2,Eventos!$B:$B,PANES_SEMANALES[[#ALL],[JUEVES]])</f>
        <v>0</v>
      </c>
      <c r="Q223" s="6">
        <f>IF(P223&lt;&gt;"",SUMIFS(Eventos!$G:$G,Eventos!$B:$B,Q$2,Eventos!$D:$D,$C$2,Eventos!$F:$F,$L223),"")</f>
        <v>0</v>
      </c>
      <c r="R223" s="6">
        <f>SUMIFS(Eventos!$G:$G,Eventos!$F:$F,$L223,Eventos!$D:$D,$C$2,Eventos!$B:$B,PANES_SEMANALES[[#ALL],[SÁBADO]])</f>
        <v>0</v>
      </c>
      <c r="S223" s="7">
        <f>SUMIFS(Eventos!$G:$G,Eventos!$F:$F,$L223,Eventos!$D:$D,$C$2,Eventos!$B:$B,PANES_SEMANALES[[#ALL],[DOMINGO]])</f>
        <v>0</v>
      </c>
      <c r="T223" s="8">
        <f t="shared" si="1"/>
        <v>0</v>
      </c>
    </row>
    <row r="224" ht="22.5" customHeight="1">
      <c r="L224" s="4"/>
      <c r="M224" s="5">
        <f>SUMIFS(Eventos!$G:$G,Eventos!$F:$F,$L224,Eventos!$D:$D,$C$2,Eventos!$B:$B,PANES_SEMANALES[[#ALL],[LUNES]])</f>
        <v>0</v>
      </c>
      <c r="N224" s="6">
        <f>SUMIFS(Eventos!$G:$G,Eventos!$F:$F,$L224,Eventos!$D:$D,$C$2,Eventos!$B:$B,PANES_SEMANALES[[#ALL],[MARTES]])</f>
        <v>0</v>
      </c>
      <c r="O224" s="6">
        <f>SUMIFS(Eventos!$G:$G,Eventos!$F:$F,$L224,Eventos!$D:$D,$C$2,Eventos!$B:$B,PANES_SEMANALES[[#ALL],[MIÉRCOLES]])</f>
        <v>0</v>
      </c>
      <c r="P224" s="6">
        <f>SUMIFS(Eventos!$G:$G,Eventos!$F:$F,$L224,Eventos!$D:$D,$C$2,Eventos!$B:$B,PANES_SEMANALES[[#ALL],[JUEVES]])</f>
        <v>0</v>
      </c>
      <c r="Q224" s="6">
        <f>IF(P224&lt;&gt;"",SUMIFS(Eventos!$G:$G,Eventos!$B:$B,Q$2,Eventos!$D:$D,$C$2,Eventos!$F:$F,$L224),"")</f>
        <v>0</v>
      </c>
      <c r="R224" s="6">
        <f>SUMIFS(Eventos!$G:$G,Eventos!$F:$F,$L224,Eventos!$D:$D,$C$2,Eventos!$B:$B,PANES_SEMANALES[[#ALL],[SÁBADO]])</f>
        <v>0</v>
      </c>
      <c r="S224" s="7">
        <f>SUMIFS(Eventos!$G:$G,Eventos!$F:$F,$L224,Eventos!$D:$D,$C$2,Eventos!$B:$B,PANES_SEMANALES[[#ALL],[DOMINGO]])</f>
        <v>0</v>
      </c>
      <c r="T224" s="8">
        <f t="shared" si="1"/>
        <v>0</v>
      </c>
    </row>
    <row r="225" ht="22.5" customHeight="1">
      <c r="L225" s="4"/>
      <c r="M225" s="5">
        <f>SUMIFS(Eventos!$G:$G,Eventos!$F:$F,$L225,Eventos!$D:$D,$C$2,Eventos!$B:$B,PANES_SEMANALES[[#ALL],[LUNES]])</f>
        <v>0</v>
      </c>
      <c r="N225" s="6">
        <f>SUMIFS(Eventos!$G:$G,Eventos!$F:$F,$L225,Eventos!$D:$D,$C$2,Eventos!$B:$B,PANES_SEMANALES[[#ALL],[MARTES]])</f>
        <v>0</v>
      </c>
      <c r="O225" s="6">
        <f>SUMIFS(Eventos!$G:$G,Eventos!$F:$F,$L225,Eventos!$D:$D,$C$2,Eventos!$B:$B,PANES_SEMANALES[[#ALL],[MIÉRCOLES]])</f>
        <v>0</v>
      </c>
      <c r="P225" s="6">
        <f>SUMIFS(Eventos!$G:$G,Eventos!$F:$F,$L225,Eventos!$D:$D,$C$2,Eventos!$B:$B,PANES_SEMANALES[[#ALL],[JUEVES]])</f>
        <v>0</v>
      </c>
      <c r="Q225" s="6">
        <f>IF(P225&lt;&gt;"",SUMIFS(Eventos!$G:$G,Eventos!$B:$B,Q$2,Eventos!$D:$D,$C$2,Eventos!$F:$F,$L225),"")</f>
        <v>0</v>
      </c>
      <c r="R225" s="6">
        <f>SUMIFS(Eventos!$G:$G,Eventos!$F:$F,$L225,Eventos!$D:$D,$C$2,Eventos!$B:$B,PANES_SEMANALES[[#ALL],[SÁBADO]])</f>
        <v>0</v>
      </c>
      <c r="S225" s="7">
        <f>SUMIFS(Eventos!$G:$G,Eventos!$F:$F,$L225,Eventos!$D:$D,$C$2,Eventos!$B:$B,PANES_SEMANALES[[#ALL],[DOMINGO]])</f>
        <v>0</v>
      </c>
      <c r="T225" s="8">
        <f t="shared" si="1"/>
        <v>0</v>
      </c>
    </row>
    <row r="226" ht="22.5" customHeight="1">
      <c r="L226" s="4"/>
      <c r="M226" s="5">
        <f>SUMIFS(Eventos!$G:$G,Eventos!$F:$F,$L226,Eventos!$D:$D,$C$2,Eventos!$B:$B,PANES_SEMANALES[[#ALL],[LUNES]])</f>
        <v>0</v>
      </c>
      <c r="N226" s="6">
        <f>SUMIFS(Eventos!$G:$G,Eventos!$F:$F,$L226,Eventos!$D:$D,$C$2,Eventos!$B:$B,PANES_SEMANALES[[#ALL],[MARTES]])</f>
        <v>0</v>
      </c>
      <c r="O226" s="6">
        <f>SUMIFS(Eventos!$G:$G,Eventos!$F:$F,$L226,Eventos!$D:$D,$C$2,Eventos!$B:$B,PANES_SEMANALES[[#ALL],[MIÉRCOLES]])</f>
        <v>0</v>
      </c>
      <c r="P226" s="6">
        <f>SUMIFS(Eventos!$G:$G,Eventos!$F:$F,$L226,Eventos!$D:$D,$C$2,Eventos!$B:$B,PANES_SEMANALES[[#ALL],[JUEVES]])</f>
        <v>0</v>
      </c>
      <c r="Q226" s="6">
        <f>IF(P226&lt;&gt;"",SUMIFS(Eventos!$G:$G,Eventos!$B:$B,Q$2,Eventos!$D:$D,$C$2,Eventos!$F:$F,$L226),"")</f>
        <v>0</v>
      </c>
      <c r="R226" s="6">
        <f>SUMIFS(Eventos!$G:$G,Eventos!$F:$F,$L226,Eventos!$D:$D,$C$2,Eventos!$B:$B,PANES_SEMANALES[[#ALL],[SÁBADO]])</f>
        <v>0</v>
      </c>
      <c r="S226" s="7">
        <f>SUMIFS(Eventos!$G:$G,Eventos!$F:$F,$L226,Eventos!$D:$D,$C$2,Eventos!$B:$B,PANES_SEMANALES[[#ALL],[DOMINGO]])</f>
        <v>0</v>
      </c>
      <c r="T226" s="8">
        <f t="shared" si="1"/>
        <v>0</v>
      </c>
    </row>
    <row r="227" ht="22.5" customHeight="1">
      <c r="L227" s="4"/>
      <c r="M227" s="5">
        <f>SUMIFS(Eventos!$G:$G,Eventos!$F:$F,$L227,Eventos!$D:$D,$C$2,Eventos!$B:$B,PANES_SEMANALES[[#ALL],[LUNES]])</f>
        <v>0</v>
      </c>
      <c r="N227" s="6">
        <f>SUMIFS(Eventos!$G:$G,Eventos!$F:$F,$L227,Eventos!$D:$D,$C$2,Eventos!$B:$B,PANES_SEMANALES[[#ALL],[MARTES]])</f>
        <v>0</v>
      </c>
      <c r="O227" s="6">
        <f>SUMIFS(Eventos!$G:$G,Eventos!$F:$F,$L227,Eventos!$D:$D,$C$2,Eventos!$B:$B,PANES_SEMANALES[[#ALL],[MIÉRCOLES]])</f>
        <v>0</v>
      </c>
      <c r="P227" s="6">
        <f>SUMIFS(Eventos!$G:$G,Eventos!$F:$F,$L227,Eventos!$D:$D,$C$2,Eventos!$B:$B,PANES_SEMANALES[[#ALL],[JUEVES]])</f>
        <v>0</v>
      </c>
      <c r="Q227" s="6">
        <f>IF(P227&lt;&gt;"",SUMIFS(Eventos!$G:$G,Eventos!$B:$B,Q$2,Eventos!$D:$D,$C$2,Eventos!$F:$F,$L227),"")</f>
        <v>0</v>
      </c>
      <c r="R227" s="6">
        <f>SUMIFS(Eventos!$G:$G,Eventos!$F:$F,$L227,Eventos!$D:$D,$C$2,Eventos!$B:$B,PANES_SEMANALES[[#ALL],[SÁBADO]])</f>
        <v>0</v>
      </c>
      <c r="S227" s="7">
        <f>SUMIFS(Eventos!$G:$G,Eventos!$F:$F,$L227,Eventos!$D:$D,$C$2,Eventos!$B:$B,PANES_SEMANALES[[#ALL],[DOMINGO]])</f>
        <v>0</v>
      </c>
      <c r="T227" s="8">
        <f t="shared" si="1"/>
        <v>0</v>
      </c>
    </row>
    <row r="228" ht="22.5" customHeight="1">
      <c r="L228" s="4"/>
      <c r="M228" s="5">
        <f>SUMIFS(Eventos!$G:$G,Eventos!$F:$F,$L228,Eventos!$D:$D,$C$2,Eventos!$B:$B,PANES_SEMANALES[[#ALL],[LUNES]])</f>
        <v>0</v>
      </c>
      <c r="N228" s="6">
        <f>SUMIFS(Eventos!$G:$G,Eventos!$F:$F,$L228,Eventos!$D:$D,$C$2,Eventos!$B:$B,PANES_SEMANALES[[#ALL],[MARTES]])</f>
        <v>0</v>
      </c>
      <c r="O228" s="6">
        <f>SUMIFS(Eventos!$G:$G,Eventos!$F:$F,$L228,Eventos!$D:$D,$C$2,Eventos!$B:$B,PANES_SEMANALES[[#ALL],[MIÉRCOLES]])</f>
        <v>0</v>
      </c>
      <c r="P228" s="6">
        <f>SUMIFS(Eventos!$G:$G,Eventos!$F:$F,$L228,Eventos!$D:$D,$C$2,Eventos!$B:$B,PANES_SEMANALES[[#ALL],[JUEVES]])</f>
        <v>0</v>
      </c>
      <c r="Q228" s="6">
        <f>IF(P228&lt;&gt;"",SUMIFS(Eventos!$G:$G,Eventos!$B:$B,Q$2,Eventos!$D:$D,$C$2,Eventos!$F:$F,$L228),"")</f>
        <v>0</v>
      </c>
      <c r="R228" s="6">
        <f>SUMIFS(Eventos!$G:$G,Eventos!$F:$F,$L228,Eventos!$D:$D,$C$2,Eventos!$B:$B,PANES_SEMANALES[[#ALL],[SÁBADO]])</f>
        <v>0</v>
      </c>
      <c r="S228" s="7">
        <f>SUMIFS(Eventos!$G:$G,Eventos!$F:$F,$L228,Eventos!$D:$D,$C$2,Eventos!$B:$B,PANES_SEMANALES[[#ALL],[DOMINGO]])</f>
        <v>0</v>
      </c>
      <c r="T228" s="8">
        <f t="shared" si="1"/>
        <v>0</v>
      </c>
    </row>
    <row r="229" ht="22.5" customHeight="1">
      <c r="L229" s="4"/>
      <c r="M229" s="5">
        <f>SUMIFS(Eventos!$G:$G,Eventos!$F:$F,$L229,Eventos!$D:$D,$C$2,Eventos!$B:$B,PANES_SEMANALES[[#ALL],[LUNES]])</f>
        <v>0</v>
      </c>
      <c r="N229" s="6">
        <f>SUMIFS(Eventos!$G:$G,Eventos!$F:$F,$L229,Eventos!$D:$D,$C$2,Eventos!$B:$B,PANES_SEMANALES[[#ALL],[MARTES]])</f>
        <v>0</v>
      </c>
      <c r="O229" s="6">
        <f>SUMIFS(Eventos!$G:$G,Eventos!$F:$F,$L229,Eventos!$D:$D,$C$2,Eventos!$B:$B,PANES_SEMANALES[[#ALL],[MIÉRCOLES]])</f>
        <v>0</v>
      </c>
      <c r="P229" s="6">
        <f>SUMIFS(Eventos!$G:$G,Eventos!$F:$F,$L229,Eventos!$D:$D,$C$2,Eventos!$B:$B,PANES_SEMANALES[[#ALL],[JUEVES]])</f>
        <v>0</v>
      </c>
      <c r="Q229" s="6">
        <f>IF(P229&lt;&gt;"",SUMIFS(Eventos!$G:$G,Eventos!$B:$B,Q$2,Eventos!$D:$D,$C$2,Eventos!$F:$F,$L229),"")</f>
        <v>0</v>
      </c>
      <c r="R229" s="6">
        <f>SUMIFS(Eventos!$G:$G,Eventos!$F:$F,$L229,Eventos!$D:$D,$C$2,Eventos!$B:$B,PANES_SEMANALES[[#ALL],[SÁBADO]])</f>
        <v>0</v>
      </c>
      <c r="S229" s="7">
        <f>SUMIFS(Eventos!$G:$G,Eventos!$F:$F,$L229,Eventos!$D:$D,$C$2,Eventos!$B:$B,PANES_SEMANALES[[#ALL],[DOMINGO]])</f>
        <v>0</v>
      </c>
      <c r="T229" s="8">
        <f t="shared" si="1"/>
        <v>0</v>
      </c>
    </row>
    <row r="230" ht="22.5" customHeight="1">
      <c r="L230" s="4"/>
      <c r="M230" s="5">
        <f>SUMIFS(Eventos!$G:$G,Eventos!$F:$F,$L230,Eventos!$D:$D,$C$2,Eventos!$B:$B,PANES_SEMANALES[[#ALL],[LUNES]])</f>
        <v>0</v>
      </c>
      <c r="N230" s="6">
        <f>SUMIFS(Eventos!$G:$G,Eventos!$F:$F,$L230,Eventos!$D:$D,$C$2,Eventos!$B:$B,PANES_SEMANALES[[#ALL],[MARTES]])</f>
        <v>0</v>
      </c>
      <c r="O230" s="6">
        <f>SUMIFS(Eventos!$G:$G,Eventos!$F:$F,$L230,Eventos!$D:$D,$C$2,Eventos!$B:$B,PANES_SEMANALES[[#ALL],[MIÉRCOLES]])</f>
        <v>0</v>
      </c>
      <c r="P230" s="6">
        <f>SUMIFS(Eventos!$G:$G,Eventos!$F:$F,$L230,Eventos!$D:$D,$C$2,Eventos!$B:$B,PANES_SEMANALES[[#ALL],[JUEVES]])</f>
        <v>0</v>
      </c>
      <c r="Q230" s="6">
        <f>IF(P230&lt;&gt;"",SUMIFS(Eventos!$G:$G,Eventos!$B:$B,Q$2,Eventos!$D:$D,$C$2,Eventos!$F:$F,$L230),"")</f>
        <v>0</v>
      </c>
      <c r="R230" s="6">
        <f>SUMIFS(Eventos!$G:$G,Eventos!$F:$F,$L230,Eventos!$D:$D,$C$2,Eventos!$B:$B,PANES_SEMANALES[[#ALL],[SÁBADO]])</f>
        <v>0</v>
      </c>
      <c r="S230" s="7">
        <f>SUMIFS(Eventos!$G:$G,Eventos!$F:$F,$L230,Eventos!$D:$D,$C$2,Eventos!$B:$B,PANES_SEMANALES[[#ALL],[DOMINGO]])</f>
        <v>0</v>
      </c>
      <c r="T230" s="8">
        <f t="shared" si="1"/>
        <v>0</v>
      </c>
    </row>
    <row r="231" ht="22.5" customHeight="1">
      <c r="L231" s="4"/>
      <c r="M231" s="5">
        <f>SUMIFS(Eventos!$G:$G,Eventos!$F:$F,$L231,Eventos!$D:$D,$C$2,Eventos!$B:$B,PANES_SEMANALES[[#ALL],[LUNES]])</f>
        <v>0</v>
      </c>
      <c r="N231" s="6">
        <f>SUMIFS(Eventos!$G:$G,Eventos!$F:$F,$L231,Eventos!$D:$D,$C$2,Eventos!$B:$B,PANES_SEMANALES[[#ALL],[MARTES]])</f>
        <v>0</v>
      </c>
      <c r="O231" s="6">
        <f>SUMIFS(Eventos!$G:$G,Eventos!$F:$F,$L231,Eventos!$D:$D,$C$2,Eventos!$B:$B,PANES_SEMANALES[[#ALL],[MIÉRCOLES]])</f>
        <v>0</v>
      </c>
      <c r="P231" s="6">
        <f>SUMIFS(Eventos!$G:$G,Eventos!$F:$F,$L231,Eventos!$D:$D,$C$2,Eventos!$B:$B,PANES_SEMANALES[[#ALL],[JUEVES]])</f>
        <v>0</v>
      </c>
      <c r="Q231" s="6">
        <f>IF(P231&lt;&gt;"",SUMIFS(Eventos!$G:$G,Eventos!$B:$B,Q$2,Eventos!$D:$D,$C$2,Eventos!$F:$F,$L231),"")</f>
        <v>0</v>
      </c>
      <c r="R231" s="6">
        <f>SUMIFS(Eventos!$G:$G,Eventos!$F:$F,$L231,Eventos!$D:$D,$C$2,Eventos!$B:$B,PANES_SEMANALES[[#ALL],[SÁBADO]])</f>
        <v>0</v>
      </c>
      <c r="S231" s="7">
        <f>SUMIFS(Eventos!$G:$G,Eventos!$F:$F,$L231,Eventos!$D:$D,$C$2,Eventos!$B:$B,PANES_SEMANALES[[#ALL],[DOMINGO]])</f>
        <v>0</v>
      </c>
      <c r="T231" s="8">
        <f t="shared" si="1"/>
        <v>0</v>
      </c>
    </row>
    <row r="232" ht="22.5" customHeight="1">
      <c r="L232" s="4"/>
      <c r="M232" s="5">
        <f>SUMIFS(Eventos!$G:$G,Eventos!$F:$F,$L232,Eventos!$D:$D,$C$2,Eventos!$B:$B,PANES_SEMANALES[[#ALL],[LUNES]])</f>
        <v>0</v>
      </c>
      <c r="N232" s="6">
        <f>SUMIFS(Eventos!$G:$G,Eventos!$F:$F,$L232,Eventos!$D:$D,$C$2,Eventos!$B:$B,PANES_SEMANALES[[#ALL],[MARTES]])</f>
        <v>0</v>
      </c>
      <c r="O232" s="6">
        <f>SUMIFS(Eventos!$G:$G,Eventos!$F:$F,$L232,Eventos!$D:$D,$C$2,Eventos!$B:$B,PANES_SEMANALES[[#ALL],[MIÉRCOLES]])</f>
        <v>0</v>
      </c>
      <c r="P232" s="6">
        <f>SUMIFS(Eventos!$G:$G,Eventos!$F:$F,$L232,Eventos!$D:$D,$C$2,Eventos!$B:$B,PANES_SEMANALES[[#ALL],[JUEVES]])</f>
        <v>0</v>
      </c>
      <c r="Q232" s="6">
        <f>IF(P232&lt;&gt;"",SUMIFS(Eventos!$G:$G,Eventos!$B:$B,Q$2,Eventos!$D:$D,$C$2,Eventos!$F:$F,$L232),"")</f>
        <v>0</v>
      </c>
      <c r="R232" s="6">
        <f>SUMIFS(Eventos!$G:$G,Eventos!$F:$F,$L232,Eventos!$D:$D,$C$2,Eventos!$B:$B,PANES_SEMANALES[[#ALL],[SÁBADO]])</f>
        <v>0</v>
      </c>
      <c r="S232" s="7">
        <f>SUMIFS(Eventos!$G:$G,Eventos!$F:$F,$L232,Eventos!$D:$D,$C$2,Eventos!$B:$B,PANES_SEMANALES[[#ALL],[DOMINGO]])</f>
        <v>0</v>
      </c>
      <c r="T232" s="8">
        <f t="shared" si="1"/>
        <v>0</v>
      </c>
    </row>
    <row r="233" ht="22.5" customHeight="1">
      <c r="L233" s="4"/>
      <c r="M233" s="5">
        <f>SUMIFS(Eventos!$G:$G,Eventos!$F:$F,$L233,Eventos!$D:$D,$C$2,Eventos!$B:$B,PANES_SEMANALES[[#ALL],[LUNES]])</f>
        <v>0</v>
      </c>
      <c r="N233" s="6">
        <f>SUMIFS(Eventos!$G:$G,Eventos!$F:$F,$L233,Eventos!$D:$D,$C$2,Eventos!$B:$B,PANES_SEMANALES[[#ALL],[MARTES]])</f>
        <v>0</v>
      </c>
      <c r="O233" s="6">
        <f>SUMIFS(Eventos!$G:$G,Eventos!$F:$F,$L233,Eventos!$D:$D,$C$2,Eventos!$B:$B,PANES_SEMANALES[[#ALL],[MIÉRCOLES]])</f>
        <v>0</v>
      </c>
      <c r="P233" s="6">
        <f>SUMIFS(Eventos!$G:$G,Eventos!$F:$F,$L233,Eventos!$D:$D,$C$2,Eventos!$B:$B,PANES_SEMANALES[[#ALL],[JUEVES]])</f>
        <v>0</v>
      </c>
      <c r="Q233" s="6">
        <f>IF(P233&lt;&gt;"",SUMIFS(Eventos!$G:$G,Eventos!$B:$B,Q$2,Eventos!$D:$D,$C$2,Eventos!$F:$F,$L233),"")</f>
        <v>0</v>
      </c>
      <c r="R233" s="6">
        <f>SUMIFS(Eventos!$G:$G,Eventos!$F:$F,$L233,Eventos!$D:$D,$C$2,Eventos!$B:$B,PANES_SEMANALES[[#ALL],[SÁBADO]])</f>
        <v>0</v>
      </c>
      <c r="S233" s="7">
        <f>SUMIFS(Eventos!$G:$G,Eventos!$F:$F,$L233,Eventos!$D:$D,$C$2,Eventos!$B:$B,PANES_SEMANALES[[#ALL],[DOMINGO]])</f>
        <v>0</v>
      </c>
      <c r="T233" s="8">
        <f t="shared" si="1"/>
        <v>0</v>
      </c>
    </row>
    <row r="234" ht="22.5" customHeight="1">
      <c r="L234" s="4"/>
      <c r="M234" s="5">
        <f>SUMIFS(Eventos!$G:$G,Eventos!$F:$F,$L234,Eventos!$D:$D,$C$2,Eventos!$B:$B,PANES_SEMANALES[[#ALL],[LUNES]])</f>
        <v>0</v>
      </c>
      <c r="N234" s="6">
        <f>SUMIFS(Eventos!$G:$G,Eventos!$F:$F,$L234,Eventos!$D:$D,$C$2,Eventos!$B:$B,PANES_SEMANALES[[#ALL],[MARTES]])</f>
        <v>0</v>
      </c>
      <c r="O234" s="6">
        <f>SUMIFS(Eventos!$G:$G,Eventos!$F:$F,$L234,Eventos!$D:$D,$C$2,Eventos!$B:$B,PANES_SEMANALES[[#ALL],[MIÉRCOLES]])</f>
        <v>0</v>
      </c>
      <c r="P234" s="6">
        <f>SUMIFS(Eventos!$G:$G,Eventos!$F:$F,$L234,Eventos!$D:$D,$C$2,Eventos!$B:$B,PANES_SEMANALES[[#ALL],[JUEVES]])</f>
        <v>0</v>
      </c>
      <c r="Q234" s="6">
        <f>IF(P234&lt;&gt;"",SUMIFS(Eventos!$G:$G,Eventos!$B:$B,Q$2,Eventos!$D:$D,$C$2,Eventos!$F:$F,$L234),"")</f>
        <v>0</v>
      </c>
      <c r="R234" s="6">
        <f>SUMIFS(Eventos!$G:$G,Eventos!$F:$F,$L234,Eventos!$D:$D,$C$2,Eventos!$B:$B,PANES_SEMANALES[[#ALL],[SÁBADO]])</f>
        <v>0</v>
      </c>
      <c r="S234" s="7">
        <f>SUMIFS(Eventos!$G:$G,Eventos!$F:$F,$L234,Eventos!$D:$D,$C$2,Eventos!$B:$B,PANES_SEMANALES[[#ALL],[DOMINGO]])</f>
        <v>0</v>
      </c>
      <c r="T234" s="8">
        <f t="shared" si="1"/>
        <v>0</v>
      </c>
    </row>
    <row r="235" ht="22.5" customHeight="1">
      <c r="L235" s="4"/>
      <c r="M235" s="5">
        <f>SUMIFS(Eventos!$G:$G,Eventos!$F:$F,$L235,Eventos!$D:$D,$C$2,Eventos!$B:$B,PANES_SEMANALES[[#ALL],[LUNES]])</f>
        <v>0</v>
      </c>
      <c r="N235" s="6">
        <f>SUMIFS(Eventos!$G:$G,Eventos!$F:$F,$L235,Eventos!$D:$D,$C$2,Eventos!$B:$B,PANES_SEMANALES[[#ALL],[MARTES]])</f>
        <v>0</v>
      </c>
      <c r="O235" s="6">
        <f>SUMIFS(Eventos!$G:$G,Eventos!$F:$F,$L235,Eventos!$D:$D,$C$2,Eventos!$B:$B,PANES_SEMANALES[[#ALL],[MIÉRCOLES]])</f>
        <v>0</v>
      </c>
      <c r="P235" s="6">
        <f>SUMIFS(Eventos!$G:$G,Eventos!$F:$F,$L235,Eventos!$D:$D,$C$2,Eventos!$B:$B,PANES_SEMANALES[[#ALL],[JUEVES]])</f>
        <v>0</v>
      </c>
      <c r="Q235" s="6">
        <f>IF(P235&lt;&gt;"",SUMIFS(Eventos!$G:$G,Eventos!$B:$B,Q$2,Eventos!$D:$D,$C$2,Eventos!$F:$F,$L235),"")</f>
        <v>0</v>
      </c>
      <c r="R235" s="6">
        <f>SUMIFS(Eventos!$G:$G,Eventos!$F:$F,$L235,Eventos!$D:$D,$C$2,Eventos!$B:$B,PANES_SEMANALES[[#ALL],[SÁBADO]])</f>
        <v>0</v>
      </c>
      <c r="S235" s="7">
        <f>SUMIFS(Eventos!$G:$G,Eventos!$F:$F,$L235,Eventos!$D:$D,$C$2,Eventos!$B:$B,PANES_SEMANALES[[#ALL],[DOMINGO]])</f>
        <v>0</v>
      </c>
      <c r="T235" s="8">
        <f t="shared" si="1"/>
        <v>0</v>
      </c>
    </row>
    <row r="236" ht="22.5" customHeight="1">
      <c r="L236" s="4"/>
      <c r="M236" s="5">
        <f>SUMIFS(Eventos!$G:$G,Eventos!$F:$F,$L236,Eventos!$D:$D,$C$2,Eventos!$B:$B,PANES_SEMANALES[[#ALL],[LUNES]])</f>
        <v>0</v>
      </c>
      <c r="N236" s="6">
        <f>SUMIFS(Eventos!$G:$G,Eventos!$F:$F,$L236,Eventos!$D:$D,$C$2,Eventos!$B:$B,PANES_SEMANALES[[#ALL],[MARTES]])</f>
        <v>0</v>
      </c>
      <c r="O236" s="6">
        <f>SUMIFS(Eventos!$G:$G,Eventos!$F:$F,$L236,Eventos!$D:$D,$C$2,Eventos!$B:$B,PANES_SEMANALES[[#ALL],[MIÉRCOLES]])</f>
        <v>0</v>
      </c>
      <c r="P236" s="6">
        <f>SUMIFS(Eventos!$G:$G,Eventos!$F:$F,$L236,Eventos!$D:$D,$C$2,Eventos!$B:$B,PANES_SEMANALES[[#ALL],[JUEVES]])</f>
        <v>0</v>
      </c>
      <c r="Q236" s="6">
        <f>IF(P236&lt;&gt;"",SUMIFS(Eventos!$G:$G,Eventos!$B:$B,Q$2,Eventos!$D:$D,$C$2,Eventos!$F:$F,$L236),"")</f>
        <v>0</v>
      </c>
      <c r="R236" s="6">
        <f>SUMIFS(Eventos!$G:$G,Eventos!$F:$F,$L236,Eventos!$D:$D,$C$2,Eventos!$B:$B,PANES_SEMANALES[[#ALL],[SÁBADO]])</f>
        <v>0</v>
      </c>
      <c r="S236" s="7">
        <f>SUMIFS(Eventos!$G:$G,Eventos!$F:$F,$L236,Eventos!$D:$D,$C$2,Eventos!$B:$B,PANES_SEMANALES[[#ALL],[DOMINGO]])</f>
        <v>0</v>
      </c>
      <c r="T236" s="8">
        <f t="shared" si="1"/>
        <v>0</v>
      </c>
    </row>
    <row r="237" ht="22.5" customHeight="1">
      <c r="L237" s="4"/>
      <c r="M237" s="5">
        <f>SUMIFS(Eventos!$G:$G,Eventos!$F:$F,$L237,Eventos!$D:$D,$C$2,Eventos!$B:$B,PANES_SEMANALES[[#ALL],[LUNES]])</f>
        <v>0</v>
      </c>
      <c r="N237" s="6">
        <f>SUMIFS(Eventos!$G:$G,Eventos!$F:$F,$L237,Eventos!$D:$D,$C$2,Eventos!$B:$B,PANES_SEMANALES[[#ALL],[MARTES]])</f>
        <v>0</v>
      </c>
      <c r="O237" s="6">
        <f>SUMIFS(Eventos!$G:$G,Eventos!$F:$F,$L237,Eventos!$D:$D,$C$2,Eventos!$B:$B,PANES_SEMANALES[[#ALL],[MIÉRCOLES]])</f>
        <v>0</v>
      </c>
      <c r="P237" s="6">
        <f>SUMIFS(Eventos!$G:$G,Eventos!$F:$F,$L237,Eventos!$D:$D,$C$2,Eventos!$B:$B,PANES_SEMANALES[[#ALL],[JUEVES]])</f>
        <v>0</v>
      </c>
      <c r="Q237" s="6">
        <f>IF(P237&lt;&gt;"",SUMIFS(Eventos!$G:$G,Eventos!$B:$B,Q$2,Eventos!$D:$D,$C$2,Eventos!$F:$F,$L237),"")</f>
        <v>0</v>
      </c>
      <c r="R237" s="6">
        <f>SUMIFS(Eventos!$G:$G,Eventos!$F:$F,$L237,Eventos!$D:$D,$C$2,Eventos!$B:$B,PANES_SEMANALES[[#ALL],[SÁBADO]])</f>
        <v>0</v>
      </c>
      <c r="S237" s="7">
        <f>SUMIFS(Eventos!$G:$G,Eventos!$F:$F,$L237,Eventos!$D:$D,$C$2,Eventos!$B:$B,PANES_SEMANALES[[#ALL],[DOMINGO]])</f>
        <v>0</v>
      </c>
      <c r="T237" s="8">
        <f t="shared" si="1"/>
        <v>0</v>
      </c>
    </row>
    <row r="238" ht="22.5" customHeight="1">
      <c r="L238" s="4"/>
      <c r="M238" s="5">
        <f>SUMIFS(Eventos!$G:$G,Eventos!$F:$F,$L238,Eventos!$D:$D,$C$2,Eventos!$B:$B,PANES_SEMANALES[[#ALL],[LUNES]])</f>
        <v>0</v>
      </c>
      <c r="N238" s="6">
        <f>SUMIFS(Eventos!$G:$G,Eventos!$F:$F,$L238,Eventos!$D:$D,$C$2,Eventos!$B:$B,PANES_SEMANALES[[#ALL],[MARTES]])</f>
        <v>0</v>
      </c>
      <c r="O238" s="6">
        <f>SUMIFS(Eventos!$G:$G,Eventos!$F:$F,$L238,Eventos!$D:$D,$C$2,Eventos!$B:$B,PANES_SEMANALES[[#ALL],[MIÉRCOLES]])</f>
        <v>0</v>
      </c>
      <c r="P238" s="6">
        <f>SUMIFS(Eventos!$G:$G,Eventos!$F:$F,$L238,Eventos!$D:$D,$C$2,Eventos!$B:$B,PANES_SEMANALES[[#ALL],[JUEVES]])</f>
        <v>0</v>
      </c>
      <c r="Q238" s="6">
        <f>IF(P238&lt;&gt;"",SUMIFS(Eventos!$G:$G,Eventos!$B:$B,Q$2,Eventos!$D:$D,$C$2,Eventos!$F:$F,$L238),"")</f>
        <v>0</v>
      </c>
      <c r="R238" s="6">
        <f>SUMIFS(Eventos!$G:$G,Eventos!$F:$F,$L238,Eventos!$D:$D,$C$2,Eventos!$B:$B,PANES_SEMANALES[[#ALL],[SÁBADO]])</f>
        <v>0</v>
      </c>
      <c r="S238" s="7">
        <f>SUMIFS(Eventos!$G:$G,Eventos!$F:$F,$L238,Eventos!$D:$D,$C$2,Eventos!$B:$B,PANES_SEMANALES[[#ALL],[DOMINGO]])</f>
        <v>0</v>
      </c>
      <c r="T238" s="8">
        <f t="shared" si="1"/>
        <v>0</v>
      </c>
    </row>
    <row r="239" ht="22.5" customHeight="1">
      <c r="L239" s="4"/>
      <c r="M239" s="5">
        <f>SUMIFS(Eventos!$G:$G,Eventos!$F:$F,$L239,Eventos!$D:$D,$C$2,Eventos!$B:$B,PANES_SEMANALES[[#ALL],[LUNES]])</f>
        <v>0</v>
      </c>
      <c r="N239" s="6">
        <f>SUMIFS(Eventos!$G:$G,Eventos!$F:$F,$L239,Eventos!$D:$D,$C$2,Eventos!$B:$B,PANES_SEMANALES[[#ALL],[MARTES]])</f>
        <v>0</v>
      </c>
      <c r="O239" s="6">
        <f>SUMIFS(Eventos!$G:$G,Eventos!$F:$F,$L239,Eventos!$D:$D,$C$2,Eventos!$B:$B,PANES_SEMANALES[[#ALL],[MIÉRCOLES]])</f>
        <v>0</v>
      </c>
      <c r="P239" s="6">
        <f>SUMIFS(Eventos!$G:$G,Eventos!$F:$F,$L239,Eventos!$D:$D,$C$2,Eventos!$B:$B,PANES_SEMANALES[[#ALL],[JUEVES]])</f>
        <v>0</v>
      </c>
      <c r="Q239" s="6">
        <f>IF(P239&lt;&gt;"",SUMIFS(Eventos!$G:$G,Eventos!$B:$B,Q$2,Eventos!$D:$D,$C$2,Eventos!$F:$F,$L239),"")</f>
        <v>0</v>
      </c>
      <c r="R239" s="6">
        <f>SUMIFS(Eventos!$G:$G,Eventos!$F:$F,$L239,Eventos!$D:$D,$C$2,Eventos!$B:$B,PANES_SEMANALES[[#ALL],[SÁBADO]])</f>
        <v>0</v>
      </c>
      <c r="S239" s="7">
        <f>SUMIFS(Eventos!$G:$G,Eventos!$F:$F,$L239,Eventos!$D:$D,$C$2,Eventos!$B:$B,PANES_SEMANALES[[#ALL],[DOMINGO]])</f>
        <v>0</v>
      </c>
      <c r="T239" s="8">
        <f t="shared" si="1"/>
        <v>0</v>
      </c>
    </row>
    <row r="240" ht="22.5" customHeight="1">
      <c r="L240" s="4"/>
      <c r="M240" s="5">
        <f>SUMIFS(Eventos!$G:$G,Eventos!$F:$F,$L240,Eventos!$D:$D,$C$2,Eventos!$B:$B,PANES_SEMANALES[[#ALL],[LUNES]])</f>
        <v>0</v>
      </c>
      <c r="N240" s="6">
        <f>SUMIFS(Eventos!$G:$G,Eventos!$F:$F,$L240,Eventos!$D:$D,$C$2,Eventos!$B:$B,PANES_SEMANALES[[#ALL],[MARTES]])</f>
        <v>0</v>
      </c>
      <c r="O240" s="6">
        <f>SUMIFS(Eventos!$G:$G,Eventos!$F:$F,$L240,Eventos!$D:$D,$C$2,Eventos!$B:$B,PANES_SEMANALES[[#ALL],[MIÉRCOLES]])</f>
        <v>0</v>
      </c>
      <c r="P240" s="6">
        <f>SUMIFS(Eventos!$G:$G,Eventos!$F:$F,$L240,Eventos!$D:$D,$C$2,Eventos!$B:$B,PANES_SEMANALES[[#ALL],[JUEVES]])</f>
        <v>0</v>
      </c>
      <c r="Q240" s="6">
        <f>IF(P240&lt;&gt;"",SUMIFS(Eventos!$G:$G,Eventos!$B:$B,Q$2,Eventos!$D:$D,$C$2,Eventos!$F:$F,$L240),"")</f>
        <v>0</v>
      </c>
      <c r="R240" s="6">
        <f>SUMIFS(Eventos!$G:$G,Eventos!$F:$F,$L240,Eventos!$D:$D,$C$2,Eventos!$B:$B,PANES_SEMANALES[[#ALL],[SÁBADO]])</f>
        <v>0</v>
      </c>
      <c r="S240" s="7">
        <f>SUMIFS(Eventos!$G:$G,Eventos!$F:$F,$L240,Eventos!$D:$D,$C$2,Eventos!$B:$B,PANES_SEMANALES[[#ALL],[DOMINGO]])</f>
        <v>0</v>
      </c>
      <c r="T240" s="8">
        <f t="shared" si="1"/>
        <v>0</v>
      </c>
    </row>
    <row r="241" ht="22.5" customHeight="1">
      <c r="L241" s="4"/>
      <c r="M241" s="5">
        <f>SUMIFS(Eventos!$G:$G,Eventos!$F:$F,$L241,Eventos!$D:$D,$C$2,Eventos!$B:$B,PANES_SEMANALES[[#ALL],[LUNES]])</f>
        <v>0</v>
      </c>
      <c r="N241" s="6">
        <f>SUMIFS(Eventos!$G:$G,Eventos!$F:$F,$L241,Eventos!$D:$D,$C$2,Eventos!$B:$B,PANES_SEMANALES[[#ALL],[MARTES]])</f>
        <v>0</v>
      </c>
      <c r="O241" s="6">
        <f>SUMIFS(Eventos!$G:$G,Eventos!$F:$F,$L241,Eventos!$D:$D,$C$2,Eventos!$B:$B,PANES_SEMANALES[[#ALL],[MIÉRCOLES]])</f>
        <v>0</v>
      </c>
      <c r="P241" s="6">
        <f>SUMIFS(Eventos!$G:$G,Eventos!$F:$F,$L241,Eventos!$D:$D,$C$2,Eventos!$B:$B,PANES_SEMANALES[[#ALL],[JUEVES]])</f>
        <v>0</v>
      </c>
      <c r="Q241" s="6">
        <f>IF(P241&lt;&gt;"",SUMIFS(Eventos!$G:$G,Eventos!$B:$B,Q$2,Eventos!$D:$D,$C$2,Eventos!$F:$F,$L241),"")</f>
        <v>0</v>
      </c>
      <c r="R241" s="6">
        <f>SUMIFS(Eventos!$G:$G,Eventos!$F:$F,$L241,Eventos!$D:$D,$C$2,Eventos!$B:$B,PANES_SEMANALES[[#ALL],[SÁBADO]])</f>
        <v>0</v>
      </c>
      <c r="S241" s="7">
        <f>SUMIFS(Eventos!$G:$G,Eventos!$F:$F,$L241,Eventos!$D:$D,$C$2,Eventos!$B:$B,PANES_SEMANALES[[#ALL],[DOMINGO]])</f>
        <v>0</v>
      </c>
      <c r="T241" s="8">
        <f t="shared" si="1"/>
        <v>0</v>
      </c>
    </row>
    <row r="242" ht="22.5" customHeight="1">
      <c r="L242" s="4"/>
      <c r="M242" s="5">
        <f>SUMIFS(Eventos!$G:$G,Eventos!$F:$F,$L242,Eventos!$D:$D,$C$2,Eventos!$B:$B,PANES_SEMANALES[[#ALL],[LUNES]])</f>
        <v>0</v>
      </c>
      <c r="N242" s="6">
        <f>SUMIFS(Eventos!$G:$G,Eventos!$F:$F,$L242,Eventos!$D:$D,$C$2,Eventos!$B:$B,PANES_SEMANALES[[#ALL],[MARTES]])</f>
        <v>0</v>
      </c>
      <c r="O242" s="6">
        <f>SUMIFS(Eventos!$G:$G,Eventos!$F:$F,$L242,Eventos!$D:$D,$C$2,Eventos!$B:$B,PANES_SEMANALES[[#ALL],[MIÉRCOLES]])</f>
        <v>0</v>
      </c>
      <c r="P242" s="6">
        <f>SUMIFS(Eventos!$G:$G,Eventos!$F:$F,$L242,Eventos!$D:$D,$C$2,Eventos!$B:$B,PANES_SEMANALES[[#ALL],[JUEVES]])</f>
        <v>0</v>
      </c>
      <c r="Q242" s="6">
        <f>IF(P242&lt;&gt;"",SUMIFS(Eventos!$G:$G,Eventos!$B:$B,Q$2,Eventos!$D:$D,$C$2,Eventos!$F:$F,$L242),"")</f>
        <v>0</v>
      </c>
      <c r="R242" s="6">
        <f>SUMIFS(Eventos!$G:$G,Eventos!$F:$F,$L242,Eventos!$D:$D,$C$2,Eventos!$B:$B,PANES_SEMANALES[[#ALL],[SÁBADO]])</f>
        <v>0</v>
      </c>
      <c r="S242" s="7">
        <f>SUMIFS(Eventos!$G:$G,Eventos!$F:$F,$L242,Eventos!$D:$D,$C$2,Eventos!$B:$B,PANES_SEMANALES[[#ALL],[DOMINGO]])</f>
        <v>0</v>
      </c>
      <c r="T242" s="8">
        <f t="shared" si="1"/>
        <v>0</v>
      </c>
    </row>
    <row r="243" ht="22.5" customHeight="1">
      <c r="L243" s="4"/>
      <c r="M243" s="5">
        <f>SUMIFS(Eventos!$G:$G,Eventos!$F:$F,$L243,Eventos!$D:$D,$C$2,Eventos!$B:$B,PANES_SEMANALES[[#ALL],[LUNES]])</f>
        <v>0</v>
      </c>
      <c r="N243" s="6">
        <f>SUMIFS(Eventos!$G:$G,Eventos!$F:$F,$L243,Eventos!$D:$D,$C$2,Eventos!$B:$B,PANES_SEMANALES[[#ALL],[MARTES]])</f>
        <v>0</v>
      </c>
      <c r="O243" s="6">
        <f>SUMIFS(Eventos!$G:$G,Eventos!$F:$F,$L243,Eventos!$D:$D,$C$2,Eventos!$B:$B,PANES_SEMANALES[[#ALL],[MIÉRCOLES]])</f>
        <v>0</v>
      </c>
      <c r="P243" s="6">
        <f>SUMIFS(Eventos!$G:$G,Eventos!$F:$F,$L243,Eventos!$D:$D,$C$2,Eventos!$B:$B,PANES_SEMANALES[[#ALL],[JUEVES]])</f>
        <v>0</v>
      </c>
      <c r="Q243" s="6">
        <f>IF(P243&lt;&gt;"",SUMIFS(Eventos!$G:$G,Eventos!$B:$B,Q$2,Eventos!$D:$D,$C$2,Eventos!$F:$F,$L243),"")</f>
        <v>0</v>
      </c>
      <c r="R243" s="6">
        <f>SUMIFS(Eventos!$G:$G,Eventos!$F:$F,$L243,Eventos!$D:$D,$C$2,Eventos!$B:$B,PANES_SEMANALES[[#ALL],[SÁBADO]])</f>
        <v>0</v>
      </c>
      <c r="S243" s="7">
        <f>SUMIFS(Eventos!$G:$G,Eventos!$F:$F,$L243,Eventos!$D:$D,$C$2,Eventos!$B:$B,PANES_SEMANALES[[#ALL],[DOMINGO]])</f>
        <v>0</v>
      </c>
      <c r="T243" s="8">
        <f t="shared" si="1"/>
        <v>0</v>
      </c>
    </row>
    <row r="244" ht="22.5" customHeight="1">
      <c r="L244" s="4"/>
      <c r="M244" s="5">
        <f>SUMIFS(Eventos!$G:$G,Eventos!$F:$F,$L244,Eventos!$D:$D,$C$2,Eventos!$B:$B,PANES_SEMANALES[[#ALL],[LUNES]])</f>
        <v>0</v>
      </c>
      <c r="N244" s="6">
        <f>SUMIFS(Eventos!$G:$G,Eventos!$F:$F,$L244,Eventos!$D:$D,$C$2,Eventos!$B:$B,PANES_SEMANALES[[#ALL],[MARTES]])</f>
        <v>0</v>
      </c>
      <c r="O244" s="6">
        <f>SUMIFS(Eventos!$G:$G,Eventos!$F:$F,$L244,Eventos!$D:$D,$C$2,Eventos!$B:$B,PANES_SEMANALES[[#ALL],[MIÉRCOLES]])</f>
        <v>0</v>
      </c>
      <c r="P244" s="6">
        <f>SUMIFS(Eventos!$G:$G,Eventos!$F:$F,$L244,Eventos!$D:$D,$C$2,Eventos!$B:$B,PANES_SEMANALES[[#ALL],[JUEVES]])</f>
        <v>0</v>
      </c>
      <c r="Q244" s="6">
        <f>IF(P244&lt;&gt;"",SUMIFS(Eventos!$G:$G,Eventos!$B:$B,Q$2,Eventos!$D:$D,$C$2,Eventos!$F:$F,$L244),"")</f>
        <v>0</v>
      </c>
      <c r="R244" s="6">
        <f>SUMIFS(Eventos!$G:$G,Eventos!$F:$F,$L244,Eventos!$D:$D,$C$2,Eventos!$B:$B,PANES_SEMANALES[[#ALL],[SÁBADO]])</f>
        <v>0</v>
      </c>
      <c r="S244" s="7">
        <f>SUMIFS(Eventos!$G:$G,Eventos!$F:$F,$L244,Eventos!$D:$D,$C$2,Eventos!$B:$B,PANES_SEMANALES[[#ALL],[DOMINGO]])</f>
        <v>0</v>
      </c>
      <c r="T244" s="8">
        <f t="shared" si="1"/>
        <v>0</v>
      </c>
    </row>
    <row r="245" ht="22.5" customHeight="1">
      <c r="L245" s="4"/>
      <c r="M245" s="5">
        <f>SUMIFS(Eventos!$G:$G,Eventos!$F:$F,$L245,Eventos!$D:$D,$C$2,Eventos!$B:$B,PANES_SEMANALES[[#ALL],[LUNES]])</f>
        <v>0</v>
      </c>
      <c r="N245" s="6">
        <f>SUMIFS(Eventos!$G:$G,Eventos!$F:$F,$L245,Eventos!$D:$D,$C$2,Eventos!$B:$B,PANES_SEMANALES[[#ALL],[MARTES]])</f>
        <v>0</v>
      </c>
      <c r="O245" s="6">
        <f>SUMIFS(Eventos!$G:$G,Eventos!$F:$F,$L245,Eventos!$D:$D,$C$2,Eventos!$B:$B,PANES_SEMANALES[[#ALL],[MIÉRCOLES]])</f>
        <v>0</v>
      </c>
      <c r="P245" s="6">
        <f>SUMIFS(Eventos!$G:$G,Eventos!$F:$F,$L245,Eventos!$D:$D,$C$2,Eventos!$B:$B,PANES_SEMANALES[[#ALL],[JUEVES]])</f>
        <v>0</v>
      </c>
      <c r="Q245" s="6">
        <f>IF(P245&lt;&gt;"",SUMIFS(Eventos!$G:$G,Eventos!$B:$B,Q$2,Eventos!$D:$D,$C$2,Eventos!$F:$F,$L245),"")</f>
        <v>0</v>
      </c>
      <c r="R245" s="6">
        <f>SUMIFS(Eventos!$G:$G,Eventos!$F:$F,$L245,Eventos!$D:$D,$C$2,Eventos!$B:$B,PANES_SEMANALES[[#ALL],[SÁBADO]])</f>
        <v>0</v>
      </c>
      <c r="S245" s="7">
        <f>SUMIFS(Eventos!$G:$G,Eventos!$F:$F,$L245,Eventos!$D:$D,$C$2,Eventos!$B:$B,PANES_SEMANALES[[#ALL],[DOMINGO]])</f>
        <v>0</v>
      </c>
      <c r="T245" s="8">
        <f t="shared" si="1"/>
        <v>0</v>
      </c>
    </row>
    <row r="246" ht="22.5" customHeight="1">
      <c r="L246" s="4"/>
      <c r="M246" s="5">
        <f>SUMIFS(Eventos!$G:$G,Eventos!$F:$F,$L246,Eventos!$D:$D,$C$2,Eventos!$B:$B,PANES_SEMANALES[[#ALL],[LUNES]])</f>
        <v>0</v>
      </c>
      <c r="N246" s="6">
        <f>SUMIFS(Eventos!$G:$G,Eventos!$F:$F,$L246,Eventos!$D:$D,$C$2,Eventos!$B:$B,PANES_SEMANALES[[#ALL],[MARTES]])</f>
        <v>0</v>
      </c>
      <c r="O246" s="6">
        <f>SUMIFS(Eventos!$G:$G,Eventos!$F:$F,$L246,Eventos!$D:$D,$C$2,Eventos!$B:$B,PANES_SEMANALES[[#ALL],[MIÉRCOLES]])</f>
        <v>0</v>
      </c>
      <c r="P246" s="6">
        <f>SUMIFS(Eventos!$G:$G,Eventos!$F:$F,$L246,Eventos!$D:$D,$C$2,Eventos!$B:$B,PANES_SEMANALES[[#ALL],[JUEVES]])</f>
        <v>0</v>
      </c>
      <c r="Q246" s="6">
        <f>IF(P246&lt;&gt;"",SUMIFS(Eventos!$G:$G,Eventos!$B:$B,Q$2,Eventos!$D:$D,$C$2,Eventos!$F:$F,$L246),"")</f>
        <v>0</v>
      </c>
      <c r="R246" s="6">
        <f>SUMIFS(Eventos!$G:$G,Eventos!$F:$F,$L246,Eventos!$D:$D,$C$2,Eventos!$B:$B,PANES_SEMANALES[[#ALL],[SÁBADO]])</f>
        <v>0</v>
      </c>
      <c r="S246" s="7">
        <f>SUMIFS(Eventos!$G:$G,Eventos!$F:$F,$L246,Eventos!$D:$D,$C$2,Eventos!$B:$B,PANES_SEMANALES[[#ALL],[DOMINGO]])</f>
        <v>0</v>
      </c>
      <c r="T246" s="8">
        <f t="shared" si="1"/>
        <v>0</v>
      </c>
    </row>
    <row r="247" ht="22.5" customHeight="1">
      <c r="L247" s="4"/>
      <c r="M247" s="5">
        <f>SUMIFS(Eventos!$G:$G,Eventos!$F:$F,$L247,Eventos!$D:$D,$C$2,Eventos!$B:$B,PANES_SEMANALES[[#ALL],[LUNES]])</f>
        <v>0</v>
      </c>
      <c r="N247" s="6">
        <f>SUMIFS(Eventos!$G:$G,Eventos!$F:$F,$L247,Eventos!$D:$D,$C$2,Eventos!$B:$B,PANES_SEMANALES[[#ALL],[MARTES]])</f>
        <v>0</v>
      </c>
      <c r="O247" s="6">
        <f>SUMIFS(Eventos!$G:$G,Eventos!$F:$F,$L247,Eventos!$D:$D,$C$2,Eventos!$B:$B,PANES_SEMANALES[[#ALL],[MIÉRCOLES]])</f>
        <v>0</v>
      </c>
      <c r="P247" s="6">
        <f>SUMIFS(Eventos!$G:$G,Eventos!$F:$F,$L247,Eventos!$D:$D,$C$2,Eventos!$B:$B,PANES_SEMANALES[[#ALL],[JUEVES]])</f>
        <v>0</v>
      </c>
      <c r="Q247" s="6">
        <f>IF(P247&lt;&gt;"",SUMIFS(Eventos!$G:$G,Eventos!$B:$B,Q$2,Eventos!$D:$D,$C$2,Eventos!$F:$F,$L247),"")</f>
        <v>0</v>
      </c>
      <c r="R247" s="6">
        <f>SUMIFS(Eventos!$G:$G,Eventos!$F:$F,$L247,Eventos!$D:$D,$C$2,Eventos!$B:$B,PANES_SEMANALES[[#ALL],[SÁBADO]])</f>
        <v>0</v>
      </c>
      <c r="S247" s="7">
        <f>SUMIFS(Eventos!$G:$G,Eventos!$F:$F,$L247,Eventos!$D:$D,$C$2,Eventos!$B:$B,PANES_SEMANALES[[#ALL],[DOMINGO]])</f>
        <v>0</v>
      </c>
      <c r="T247" s="8">
        <f t="shared" si="1"/>
        <v>0</v>
      </c>
    </row>
    <row r="248" ht="22.5" customHeight="1">
      <c r="L248" s="4"/>
      <c r="M248" s="5">
        <f>SUMIFS(Eventos!$G:$G,Eventos!$F:$F,$L248,Eventos!$D:$D,$C$2,Eventos!$B:$B,PANES_SEMANALES[[#ALL],[LUNES]])</f>
        <v>0</v>
      </c>
      <c r="N248" s="6">
        <f>SUMIFS(Eventos!$G:$G,Eventos!$F:$F,$L248,Eventos!$D:$D,$C$2,Eventos!$B:$B,PANES_SEMANALES[[#ALL],[MARTES]])</f>
        <v>0</v>
      </c>
      <c r="O248" s="6">
        <f>SUMIFS(Eventos!$G:$G,Eventos!$F:$F,$L248,Eventos!$D:$D,$C$2,Eventos!$B:$B,PANES_SEMANALES[[#ALL],[MIÉRCOLES]])</f>
        <v>0</v>
      </c>
      <c r="P248" s="6">
        <f>SUMIFS(Eventos!$G:$G,Eventos!$F:$F,$L248,Eventos!$D:$D,$C$2,Eventos!$B:$B,PANES_SEMANALES[[#ALL],[JUEVES]])</f>
        <v>0</v>
      </c>
      <c r="Q248" s="6">
        <f>IF(P248&lt;&gt;"",SUMIFS(Eventos!$G:$G,Eventos!$B:$B,Q$2,Eventos!$D:$D,$C$2,Eventos!$F:$F,$L248),"")</f>
        <v>0</v>
      </c>
      <c r="R248" s="6">
        <f>SUMIFS(Eventos!$G:$G,Eventos!$F:$F,$L248,Eventos!$D:$D,$C$2,Eventos!$B:$B,PANES_SEMANALES[[#ALL],[SÁBADO]])</f>
        <v>0</v>
      </c>
      <c r="S248" s="7">
        <f>SUMIFS(Eventos!$G:$G,Eventos!$F:$F,$L248,Eventos!$D:$D,$C$2,Eventos!$B:$B,PANES_SEMANALES[[#ALL],[DOMINGO]])</f>
        <v>0</v>
      </c>
      <c r="T248" s="8">
        <f t="shared" si="1"/>
        <v>0</v>
      </c>
    </row>
    <row r="249" ht="22.5" customHeight="1">
      <c r="L249" s="4"/>
      <c r="M249" s="5">
        <f>SUMIFS(Eventos!$G:$G,Eventos!$F:$F,$L249,Eventos!$D:$D,$C$2,Eventos!$B:$B,PANES_SEMANALES[[#ALL],[LUNES]])</f>
        <v>0</v>
      </c>
      <c r="N249" s="6">
        <f>SUMIFS(Eventos!$G:$G,Eventos!$F:$F,$L249,Eventos!$D:$D,$C$2,Eventos!$B:$B,PANES_SEMANALES[[#ALL],[MARTES]])</f>
        <v>0</v>
      </c>
      <c r="O249" s="6">
        <f>SUMIFS(Eventos!$G:$G,Eventos!$F:$F,$L249,Eventos!$D:$D,$C$2,Eventos!$B:$B,PANES_SEMANALES[[#ALL],[MIÉRCOLES]])</f>
        <v>0</v>
      </c>
      <c r="P249" s="6">
        <f>SUMIFS(Eventos!$G:$G,Eventos!$F:$F,$L249,Eventos!$D:$D,$C$2,Eventos!$B:$B,PANES_SEMANALES[[#ALL],[JUEVES]])</f>
        <v>0</v>
      </c>
      <c r="Q249" s="6">
        <f>IF(P249&lt;&gt;"",SUMIFS(Eventos!$G:$G,Eventos!$B:$B,Q$2,Eventos!$D:$D,$C$2,Eventos!$F:$F,$L249),"")</f>
        <v>0</v>
      </c>
      <c r="R249" s="6">
        <f>SUMIFS(Eventos!$G:$G,Eventos!$F:$F,$L249,Eventos!$D:$D,$C$2,Eventos!$B:$B,PANES_SEMANALES[[#ALL],[SÁBADO]])</f>
        <v>0</v>
      </c>
      <c r="S249" s="7">
        <f>SUMIFS(Eventos!$G:$G,Eventos!$F:$F,$L249,Eventos!$D:$D,$C$2,Eventos!$B:$B,PANES_SEMANALES[[#ALL],[DOMINGO]])</f>
        <v>0</v>
      </c>
      <c r="T249" s="8">
        <f t="shared" si="1"/>
        <v>0</v>
      </c>
    </row>
    <row r="250" ht="22.5" customHeight="1">
      <c r="L250" s="4"/>
      <c r="M250" s="5">
        <f>SUMIFS(Eventos!$G:$G,Eventos!$F:$F,$L250,Eventos!$D:$D,$C$2,Eventos!$B:$B,PANES_SEMANALES[[#ALL],[LUNES]])</f>
        <v>0</v>
      </c>
      <c r="N250" s="6">
        <f>SUMIFS(Eventos!$G:$G,Eventos!$F:$F,$L250,Eventos!$D:$D,$C$2,Eventos!$B:$B,PANES_SEMANALES[[#ALL],[MARTES]])</f>
        <v>0</v>
      </c>
      <c r="O250" s="6">
        <f>SUMIFS(Eventos!$G:$G,Eventos!$F:$F,$L250,Eventos!$D:$D,$C$2,Eventos!$B:$B,PANES_SEMANALES[[#ALL],[MIÉRCOLES]])</f>
        <v>0</v>
      </c>
      <c r="P250" s="6">
        <f>SUMIFS(Eventos!$G:$G,Eventos!$F:$F,$L250,Eventos!$D:$D,$C$2,Eventos!$B:$B,PANES_SEMANALES[[#ALL],[JUEVES]])</f>
        <v>0</v>
      </c>
      <c r="Q250" s="6">
        <f>IF(P250&lt;&gt;"",SUMIFS(Eventos!$G:$G,Eventos!$B:$B,Q$2,Eventos!$D:$D,$C$2,Eventos!$F:$F,$L250),"")</f>
        <v>0</v>
      </c>
      <c r="R250" s="6">
        <f>SUMIFS(Eventos!$G:$G,Eventos!$F:$F,$L250,Eventos!$D:$D,$C$2,Eventos!$B:$B,PANES_SEMANALES[[#ALL],[SÁBADO]])</f>
        <v>0</v>
      </c>
      <c r="S250" s="7">
        <f>SUMIFS(Eventos!$G:$G,Eventos!$F:$F,$L250,Eventos!$D:$D,$C$2,Eventos!$B:$B,PANES_SEMANALES[[#ALL],[DOMINGO]])</f>
        <v>0</v>
      </c>
      <c r="T250" s="8">
        <f t="shared" si="1"/>
        <v>0</v>
      </c>
    </row>
    <row r="251" ht="22.5" customHeight="1">
      <c r="L251" s="4"/>
      <c r="M251" s="5">
        <f>SUMIFS(Eventos!$G:$G,Eventos!$F:$F,$L251,Eventos!$D:$D,$C$2,Eventos!$B:$B,PANES_SEMANALES[[#ALL],[LUNES]])</f>
        <v>0</v>
      </c>
      <c r="N251" s="6">
        <f>SUMIFS(Eventos!$G:$G,Eventos!$F:$F,$L251,Eventos!$D:$D,$C$2,Eventos!$B:$B,PANES_SEMANALES[[#ALL],[MARTES]])</f>
        <v>0</v>
      </c>
      <c r="O251" s="6">
        <f>SUMIFS(Eventos!$G:$G,Eventos!$F:$F,$L251,Eventos!$D:$D,$C$2,Eventos!$B:$B,PANES_SEMANALES[[#ALL],[MIÉRCOLES]])</f>
        <v>0</v>
      </c>
      <c r="P251" s="6">
        <f>SUMIFS(Eventos!$G:$G,Eventos!$F:$F,$L251,Eventos!$D:$D,$C$2,Eventos!$B:$B,PANES_SEMANALES[[#ALL],[JUEVES]])</f>
        <v>0</v>
      </c>
      <c r="Q251" s="6">
        <f>IF(P251&lt;&gt;"",SUMIFS(Eventos!$G:$G,Eventos!$B:$B,Q$2,Eventos!$D:$D,$C$2,Eventos!$F:$F,$L251),"")</f>
        <v>0</v>
      </c>
      <c r="R251" s="6">
        <f>SUMIFS(Eventos!$G:$G,Eventos!$F:$F,$L251,Eventos!$D:$D,$C$2,Eventos!$B:$B,PANES_SEMANALES[[#ALL],[SÁBADO]])</f>
        <v>0</v>
      </c>
      <c r="S251" s="7">
        <f>SUMIFS(Eventos!$G:$G,Eventos!$F:$F,$L251,Eventos!$D:$D,$C$2,Eventos!$B:$B,PANES_SEMANALES[[#ALL],[DOMINGO]])</f>
        <v>0</v>
      </c>
      <c r="T251" s="8">
        <f t="shared" si="1"/>
        <v>0</v>
      </c>
    </row>
    <row r="252" ht="22.5" customHeight="1">
      <c r="L252" s="4"/>
      <c r="M252" s="5">
        <f>SUMIFS(Eventos!$G:$G,Eventos!$F:$F,$L252,Eventos!$D:$D,$C$2,Eventos!$B:$B,PANES_SEMANALES[[#ALL],[LUNES]])</f>
        <v>0</v>
      </c>
      <c r="N252" s="6">
        <f>SUMIFS(Eventos!$G:$G,Eventos!$F:$F,$L252,Eventos!$D:$D,$C$2,Eventos!$B:$B,PANES_SEMANALES[[#ALL],[MARTES]])</f>
        <v>0</v>
      </c>
      <c r="O252" s="6">
        <f>SUMIFS(Eventos!$G:$G,Eventos!$F:$F,$L252,Eventos!$D:$D,$C$2,Eventos!$B:$B,PANES_SEMANALES[[#ALL],[MIÉRCOLES]])</f>
        <v>0</v>
      </c>
      <c r="P252" s="6">
        <f>SUMIFS(Eventos!$G:$G,Eventos!$F:$F,$L252,Eventos!$D:$D,$C$2,Eventos!$B:$B,PANES_SEMANALES[[#ALL],[JUEVES]])</f>
        <v>0</v>
      </c>
      <c r="Q252" s="6">
        <f>IF(P252&lt;&gt;"",SUMIFS(Eventos!$G:$G,Eventos!$B:$B,Q$2,Eventos!$D:$D,$C$2,Eventos!$F:$F,$L252),"")</f>
        <v>0</v>
      </c>
      <c r="R252" s="6">
        <f>SUMIFS(Eventos!$G:$G,Eventos!$F:$F,$L252,Eventos!$D:$D,$C$2,Eventos!$B:$B,PANES_SEMANALES[[#ALL],[SÁBADO]])</f>
        <v>0</v>
      </c>
      <c r="S252" s="7">
        <f>SUMIFS(Eventos!$G:$G,Eventos!$F:$F,$L252,Eventos!$D:$D,$C$2,Eventos!$B:$B,PANES_SEMANALES[[#ALL],[DOMINGO]])</f>
        <v>0</v>
      </c>
      <c r="T252" s="8">
        <f t="shared" si="1"/>
        <v>0</v>
      </c>
    </row>
    <row r="253" ht="22.5" customHeight="1">
      <c r="L253" s="4"/>
      <c r="M253" s="5">
        <f>SUMIFS(Eventos!$G:$G,Eventos!$F:$F,$L253,Eventos!$D:$D,$C$2,Eventos!$B:$B,PANES_SEMANALES[[#ALL],[LUNES]])</f>
        <v>0</v>
      </c>
      <c r="N253" s="6">
        <f>SUMIFS(Eventos!$G:$G,Eventos!$F:$F,$L253,Eventos!$D:$D,$C$2,Eventos!$B:$B,PANES_SEMANALES[[#ALL],[MARTES]])</f>
        <v>0</v>
      </c>
      <c r="O253" s="6">
        <f>SUMIFS(Eventos!$G:$G,Eventos!$F:$F,$L253,Eventos!$D:$D,$C$2,Eventos!$B:$B,PANES_SEMANALES[[#ALL],[MIÉRCOLES]])</f>
        <v>0</v>
      </c>
      <c r="P253" s="6">
        <f>SUMIFS(Eventos!$G:$G,Eventos!$F:$F,$L253,Eventos!$D:$D,$C$2,Eventos!$B:$B,PANES_SEMANALES[[#ALL],[JUEVES]])</f>
        <v>0</v>
      </c>
      <c r="Q253" s="6">
        <f>IF(P253&lt;&gt;"",SUMIFS(Eventos!$G:$G,Eventos!$B:$B,Q$2,Eventos!$D:$D,$C$2,Eventos!$F:$F,$L253),"")</f>
        <v>0</v>
      </c>
      <c r="R253" s="6">
        <f>SUMIFS(Eventos!$G:$G,Eventos!$F:$F,$L253,Eventos!$D:$D,$C$2,Eventos!$B:$B,PANES_SEMANALES[[#ALL],[SÁBADO]])</f>
        <v>0</v>
      </c>
      <c r="S253" s="7">
        <f>SUMIFS(Eventos!$G:$G,Eventos!$F:$F,$L253,Eventos!$D:$D,$C$2,Eventos!$B:$B,PANES_SEMANALES[[#ALL],[DOMINGO]])</f>
        <v>0</v>
      </c>
      <c r="T253" s="8">
        <f t="shared" si="1"/>
        <v>0</v>
      </c>
    </row>
    <row r="254" ht="22.5" customHeight="1">
      <c r="L254" s="4"/>
      <c r="M254" s="5">
        <f>SUMIFS(Eventos!$G:$G,Eventos!$F:$F,$L254,Eventos!$D:$D,$C$2,Eventos!$B:$B,PANES_SEMANALES[[#ALL],[LUNES]])</f>
        <v>0</v>
      </c>
      <c r="N254" s="6">
        <f>SUMIFS(Eventos!$G:$G,Eventos!$F:$F,$L254,Eventos!$D:$D,$C$2,Eventos!$B:$B,PANES_SEMANALES[[#ALL],[MARTES]])</f>
        <v>0</v>
      </c>
      <c r="O254" s="6">
        <f>SUMIFS(Eventos!$G:$G,Eventos!$F:$F,$L254,Eventos!$D:$D,$C$2,Eventos!$B:$B,PANES_SEMANALES[[#ALL],[MIÉRCOLES]])</f>
        <v>0</v>
      </c>
      <c r="P254" s="6">
        <f>SUMIFS(Eventos!$G:$G,Eventos!$F:$F,$L254,Eventos!$D:$D,$C$2,Eventos!$B:$B,PANES_SEMANALES[[#ALL],[JUEVES]])</f>
        <v>0</v>
      </c>
      <c r="Q254" s="6">
        <f>IF(P254&lt;&gt;"",SUMIFS(Eventos!$G:$G,Eventos!$B:$B,Q$2,Eventos!$D:$D,$C$2,Eventos!$F:$F,$L254),"")</f>
        <v>0</v>
      </c>
      <c r="R254" s="6">
        <f>SUMIFS(Eventos!$G:$G,Eventos!$F:$F,$L254,Eventos!$D:$D,$C$2,Eventos!$B:$B,PANES_SEMANALES[[#ALL],[SÁBADO]])</f>
        <v>0</v>
      </c>
      <c r="S254" s="7">
        <f>SUMIFS(Eventos!$G:$G,Eventos!$F:$F,$L254,Eventos!$D:$D,$C$2,Eventos!$B:$B,PANES_SEMANALES[[#ALL],[DOMINGO]])</f>
        <v>0</v>
      </c>
      <c r="T254" s="8">
        <f t="shared" si="1"/>
        <v>0</v>
      </c>
    </row>
    <row r="255" ht="22.5" customHeight="1">
      <c r="L255" s="4"/>
      <c r="M255" s="5">
        <f>SUMIFS(Eventos!$G:$G,Eventos!$F:$F,$L255,Eventos!$D:$D,$C$2,Eventos!$B:$B,PANES_SEMANALES[[#ALL],[LUNES]])</f>
        <v>0</v>
      </c>
      <c r="N255" s="6">
        <f>SUMIFS(Eventos!$G:$G,Eventos!$F:$F,$L255,Eventos!$D:$D,$C$2,Eventos!$B:$B,PANES_SEMANALES[[#ALL],[MARTES]])</f>
        <v>0</v>
      </c>
      <c r="O255" s="6">
        <f>SUMIFS(Eventos!$G:$G,Eventos!$F:$F,$L255,Eventos!$D:$D,$C$2,Eventos!$B:$B,PANES_SEMANALES[[#ALL],[MIÉRCOLES]])</f>
        <v>0</v>
      </c>
      <c r="P255" s="6">
        <f>SUMIFS(Eventos!$G:$G,Eventos!$F:$F,$L255,Eventos!$D:$D,$C$2,Eventos!$B:$B,PANES_SEMANALES[[#ALL],[JUEVES]])</f>
        <v>0</v>
      </c>
      <c r="Q255" s="6">
        <f>IF(P255&lt;&gt;"",SUMIFS(Eventos!$G:$G,Eventos!$B:$B,Q$2,Eventos!$D:$D,$C$2,Eventos!$F:$F,$L255),"")</f>
        <v>0</v>
      </c>
      <c r="R255" s="6">
        <f>SUMIFS(Eventos!$G:$G,Eventos!$F:$F,$L255,Eventos!$D:$D,$C$2,Eventos!$B:$B,PANES_SEMANALES[[#ALL],[SÁBADO]])</f>
        <v>0</v>
      </c>
      <c r="S255" s="7">
        <f>SUMIFS(Eventos!$G:$G,Eventos!$F:$F,$L255,Eventos!$D:$D,$C$2,Eventos!$B:$B,PANES_SEMANALES[[#ALL],[DOMINGO]])</f>
        <v>0</v>
      </c>
      <c r="T255" s="8">
        <f t="shared" si="1"/>
        <v>0</v>
      </c>
    </row>
    <row r="256" ht="22.5" customHeight="1">
      <c r="L256" s="4"/>
      <c r="M256" s="5">
        <f>SUMIFS(Eventos!$G:$G,Eventos!$F:$F,$L256,Eventos!$D:$D,$C$2,Eventos!$B:$B,PANES_SEMANALES[[#ALL],[LUNES]])</f>
        <v>0</v>
      </c>
      <c r="N256" s="6">
        <f>SUMIFS(Eventos!$G:$G,Eventos!$F:$F,$L256,Eventos!$D:$D,$C$2,Eventos!$B:$B,PANES_SEMANALES[[#ALL],[MARTES]])</f>
        <v>0</v>
      </c>
      <c r="O256" s="6">
        <f>SUMIFS(Eventos!$G:$G,Eventos!$F:$F,$L256,Eventos!$D:$D,$C$2,Eventos!$B:$B,PANES_SEMANALES[[#ALL],[MIÉRCOLES]])</f>
        <v>0</v>
      </c>
      <c r="P256" s="6">
        <f>SUMIFS(Eventos!$G:$G,Eventos!$F:$F,$L256,Eventos!$D:$D,$C$2,Eventos!$B:$B,PANES_SEMANALES[[#ALL],[JUEVES]])</f>
        <v>0</v>
      </c>
      <c r="Q256" s="6">
        <f>IF(P256&lt;&gt;"",SUMIFS(Eventos!$G:$G,Eventos!$B:$B,Q$2,Eventos!$D:$D,$C$2,Eventos!$F:$F,$L256),"")</f>
        <v>0</v>
      </c>
      <c r="R256" s="6">
        <f>SUMIFS(Eventos!$G:$G,Eventos!$F:$F,$L256,Eventos!$D:$D,$C$2,Eventos!$B:$B,PANES_SEMANALES[[#ALL],[SÁBADO]])</f>
        <v>0</v>
      </c>
      <c r="S256" s="7">
        <f>SUMIFS(Eventos!$G:$G,Eventos!$F:$F,$L256,Eventos!$D:$D,$C$2,Eventos!$B:$B,PANES_SEMANALES[[#ALL],[DOMINGO]])</f>
        <v>0</v>
      </c>
      <c r="T256" s="8">
        <f t="shared" si="1"/>
        <v>0</v>
      </c>
    </row>
    <row r="257" ht="22.5" customHeight="1">
      <c r="L257" s="4"/>
      <c r="M257" s="5">
        <f>SUMIFS(Eventos!$G:$G,Eventos!$F:$F,$L257,Eventos!$D:$D,$C$2,Eventos!$B:$B,PANES_SEMANALES[[#ALL],[LUNES]])</f>
        <v>0</v>
      </c>
      <c r="N257" s="6">
        <f>SUMIFS(Eventos!$G:$G,Eventos!$F:$F,$L257,Eventos!$D:$D,$C$2,Eventos!$B:$B,PANES_SEMANALES[[#ALL],[MARTES]])</f>
        <v>0</v>
      </c>
      <c r="O257" s="6">
        <f>SUMIFS(Eventos!$G:$G,Eventos!$F:$F,$L257,Eventos!$D:$D,$C$2,Eventos!$B:$B,PANES_SEMANALES[[#ALL],[MIÉRCOLES]])</f>
        <v>0</v>
      </c>
      <c r="P257" s="6">
        <f>SUMIFS(Eventos!$G:$G,Eventos!$F:$F,$L257,Eventos!$D:$D,$C$2,Eventos!$B:$B,PANES_SEMANALES[[#ALL],[JUEVES]])</f>
        <v>0</v>
      </c>
      <c r="Q257" s="6">
        <f>IF(P257&lt;&gt;"",SUMIFS(Eventos!$G:$G,Eventos!$B:$B,Q$2,Eventos!$D:$D,$C$2,Eventos!$F:$F,$L257),"")</f>
        <v>0</v>
      </c>
      <c r="R257" s="6">
        <f>SUMIFS(Eventos!$G:$G,Eventos!$F:$F,$L257,Eventos!$D:$D,$C$2,Eventos!$B:$B,PANES_SEMANALES[[#ALL],[SÁBADO]])</f>
        <v>0</v>
      </c>
      <c r="S257" s="7">
        <f>SUMIFS(Eventos!$G:$G,Eventos!$F:$F,$L257,Eventos!$D:$D,$C$2,Eventos!$B:$B,PANES_SEMANALES[[#ALL],[DOMINGO]])</f>
        <v>0</v>
      </c>
      <c r="T257" s="8">
        <f t="shared" si="1"/>
        <v>0</v>
      </c>
    </row>
    <row r="258" ht="22.5" customHeight="1">
      <c r="L258" s="4"/>
      <c r="M258" s="5">
        <f>SUMIFS(Eventos!$G:$G,Eventos!$F:$F,$L258,Eventos!$D:$D,$C$2,Eventos!$B:$B,PANES_SEMANALES[[#ALL],[LUNES]])</f>
        <v>0</v>
      </c>
      <c r="N258" s="6">
        <f>SUMIFS(Eventos!$G:$G,Eventos!$F:$F,$L258,Eventos!$D:$D,$C$2,Eventos!$B:$B,PANES_SEMANALES[[#ALL],[MARTES]])</f>
        <v>0</v>
      </c>
      <c r="O258" s="6">
        <f>SUMIFS(Eventos!$G:$G,Eventos!$F:$F,$L258,Eventos!$D:$D,$C$2,Eventos!$B:$B,PANES_SEMANALES[[#ALL],[MIÉRCOLES]])</f>
        <v>0</v>
      </c>
      <c r="P258" s="6">
        <f>SUMIFS(Eventos!$G:$G,Eventos!$F:$F,$L258,Eventos!$D:$D,$C$2,Eventos!$B:$B,PANES_SEMANALES[[#ALL],[JUEVES]])</f>
        <v>0</v>
      </c>
      <c r="Q258" s="6">
        <f>IF(P258&lt;&gt;"",SUMIFS(Eventos!$G:$G,Eventos!$B:$B,Q$2,Eventos!$D:$D,$C$2,Eventos!$F:$F,$L258),"")</f>
        <v>0</v>
      </c>
      <c r="R258" s="6">
        <f>SUMIFS(Eventos!$G:$G,Eventos!$F:$F,$L258,Eventos!$D:$D,$C$2,Eventos!$B:$B,PANES_SEMANALES[[#ALL],[SÁBADO]])</f>
        <v>0</v>
      </c>
      <c r="S258" s="7">
        <f>SUMIFS(Eventos!$G:$G,Eventos!$F:$F,$L258,Eventos!$D:$D,$C$2,Eventos!$B:$B,PANES_SEMANALES[[#ALL],[DOMINGO]])</f>
        <v>0</v>
      </c>
      <c r="T258" s="8">
        <f t="shared" si="1"/>
        <v>0</v>
      </c>
    </row>
    <row r="259" ht="22.5" customHeight="1">
      <c r="L259" s="4"/>
      <c r="M259" s="5">
        <f>SUMIFS(Eventos!$G:$G,Eventos!$F:$F,$L259,Eventos!$D:$D,$C$2,Eventos!$B:$B,PANES_SEMANALES[[#ALL],[LUNES]])</f>
        <v>0</v>
      </c>
      <c r="N259" s="6">
        <f>SUMIFS(Eventos!$G:$G,Eventos!$F:$F,$L259,Eventos!$D:$D,$C$2,Eventos!$B:$B,PANES_SEMANALES[[#ALL],[MARTES]])</f>
        <v>0</v>
      </c>
      <c r="O259" s="6">
        <f>SUMIFS(Eventos!$G:$G,Eventos!$F:$F,$L259,Eventos!$D:$D,$C$2,Eventos!$B:$B,PANES_SEMANALES[[#ALL],[MIÉRCOLES]])</f>
        <v>0</v>
      </c>
      <c r="P259" s="6">
        <f>SUMIFS(Eventos!$G:$G,Eventos!$F:$F,$L259,Eventos!$D:$D,$C$2,Eventos!$B:$B,PANES_SEMANALES[[#ALL],[JUEVES]])</f>
        <v>0</v>
      </c>
      <c r="Q259" s="6">
        <f>IF(P259&lt;&gt;"",SUMIFS(Eventos!$G:$G,Eventos!$B:$B,Q$2,Eventos!$D:$D,$C$2,Eventos!$F:$F,$L259),"")</f>
        <v>0</v>
      </c>
      <c r="R259" s="6">
        <f>SUMIFS(Eventos!$G:$G,Eventos!$F:$F,$L259,Eventos!$D:$D,$C$2,Eventos!$B:$B,PANES_SEMANALES[[#ALL],[SÁBADO]])</f>
        <v>0</v>
      </c>
      <c r="S259" s="7">
        <f>SUMIFS(Eventos!$G:$G,Eventos!$F:$F,$L259,Eventos!$D:$D,$C$2,Eventos!$B:$B,PANES_SEMANALES[[#ALL],[DOMINGO]])</f>
        <v>0</v>
      </c>
      <c r="T259" s="8">
        <f t="shared" si="1"/>
        <v>0</v>
      </c>
    </row>
    <row r="260" ht="22.5" customHeight="1">
      <c r="L260" s="4"/>
      <c r="M260" s="5">
        <f>SUMIFS(Eventos!$G:$G,Eventos!$F:$F,$L260,Eventos!$D:$D,$C$2,Eventos!$B:$B,PANES_SEMANALES[[#ALL],[LUNES]])</f>
        <v>0</v>
      </c>
      <c r="N260" s="6">
        <f>SUMIFS(Eventos!$G:$G,Eventos!$F:$F,$L260,Eventos!$D:$D,$C$2,Eventos!$B:$B,PANES_SEMANALES[[#ALL],[MARTES]])</f>
        <v>0</v>
      </c>
      <c r="O260" s="6">
        <f>SUMIFS(Eventos!$G:$G,Eventos!$F:$F,$L260,Eventos!$D:$D,$C$2,Eventos!$B:$B,PANES_SEMANALES[[#ALL],[MIÉRCOLES]])</f>
        <v>0</v>
      </c>
      <c r="P260" s="6">
        <f>SUMIFS(Eventos!$G:$G,Eventos!$F:$F,$L260,Eventos!$D:$D,$C$2,Eventos!$B:$B,PANES_SEMANALES[[#ALL],[JUEVES]])</f>
        <v>0</v>
      </c>
      <c r="Q260" s="6">
        <f>IF(P260&lt;&gt;"",SUMIFS(Eventos!$G:$G,Eventos!$B:$B,Q$2,Eventos!$D:$D,$C$2,Eventos!$F:$F,$L260),"")</f>
        <v>0</v>
      </c>
      <c r="R260" s="6">
        <f>SUMIFS(Eventos!$G:$G,Eventos!$F:$F,$L260,Eventos!$D:$D,$C$2,Eventos!$B:$B,PANES_SEMANALES[[#ALL],[SÁBADO]])</f>
        <v>0</v>
      </c>
      <c r="S260" s="7">
        <f>SUMIFS(Eventos!$G:$G,Eventos!$F:$F,$L260,Eventos!$D:$D,$C$2,Eventos!$B:$B,PANES_SEMANALES[[#ALL],[DOMINGO]])</f>
        <v>0</v>
      </c>
      <c r="T260" s="8">
        <f t="shared" si="1"/>
        <v>0</v>
      </c>
    </row>
    <row r="261" ht="22.5" customHeight="1">
      <c r="L261" s="4"/>
      <c r="M261" s="5">
        <f>SUMIFS(Eventos!$G:$G,Eventos!$F:$F,$L261,Eventos!$D:$D,$C$2,Eventos!$B:$B,PANES_SEMANALES[[#ALL],[LUNES]])</f>
        <v>0</v>
      </c>
      <c r="N261" s="6">
        <f>SUMIFS(Eventos!$G:$G,Eventos!$F:$F,$L261,Eventos!$D:$D,$C$2,Eventos!$B:$B,PANES_SEMANALES[[#ALL],[MARTES]])</f>
        <v>0</v>
      </c>
      <c r="O261" s="6">
        <f>SUMIFS(Eventos!$G:$G,Eventos!$F:$F,$L261,Eventos!$D:$D,$C$2,Eventos!$B:$B,PANES_SEMANALES[[#ALL],[MIÉRCOLES]])</f>
        <v>0</v>
      </c>
      <c r="P261" s="6">
        <f>SUMIFS(Eventos!$G:$G,Eventos!$F:$F,$L261,Eventos!$D:$D,$C$2,Eventos!$B:$B,PANES_SEMANALES[[#ALL],[JUEVES]])</f>
        <v>0</v>
      </c>
      <c r="Q261" s="6">
        <f>IF(P261&lt;&gt;"",SUMIFS(Eventos!$G:$G,Eventos!$B:$B,Q$2,Eventos!$D:$D,$C$2,Eventos!$F:$F,$L261),"")</f>
        <v>0</v>
      </c>
      <c r="R261" s="6">
        <f>SUMIFS(Eventos!$G:$G,Eventos!$F:$F,$L261,Eventos!$D:$D,$C$2,Eventos!$B:$B,PANES_SEMANALES[[#ALL],[SÁBADO]])</f>
        <v>0</v>
      </c>
      <c r="S261" s="7">
        <f>SUMIFS(Eventos!$G:$G,Eventos!$F:$F,$L261,Eventos!$D:$D,$C$2,Eventos!$B:$B,PANES_SEMANALES[[#ALL],[DOMINGO]])</f>
        <v>0</v>
      </c>
      <c r="T261" s="8">
        <f t="shared" si="1"/>
        <v>0</v>
      </c>
    </row>
    <row r="262" ht="22.5" customHeight="1">
      <c r="L262" s="4"/>
      <c r="M262" s="5">
        <f>SUMIFS(Eventos!$G:$G,Eventos!$F:$F,$L262,Eventos!$D:$D,$C$2,Eventos!$B:$B,PANES_SEMANALES[[#ALL],[LUNES]])</f>
        <v>0</v>
      </c>
      <c r="N262" s="6">
        <f>SUMIFS(Eventos!$G:$G,Eventos!$F:$F,$L262,Eventos!$D:$D,$C$2,Eventos!$B:$B,PANES_SEMANALES[[#ALL],[MARTES]])</f>
        <v>0</v>
      </c>
      <c r="O262" s="6">
        <f>SUMIFS(Eventos!$G:$G,Eventos!$F:$F,$L262,Eventos!$D:$D,$C$2,Eventos!$B:$B,PANES_SEMANALES[[#ALL],[MIÉRCOLES]])</f>
        <v>0</v>
      </c>
      <c r="P262" s="6">
        <f>SUMIFS(Eventos!$G:$G,Eventos!$F:$F,$L262,Eventos!$D:$D,$C$2,Eventos!$B:$B,PANES_SEMANALES[[#ALL],[JUEVES]])</f>
        <v>0</v>
      </c>
      <c r="Q262" s="6">
        <f>IF(P262&lt;&gt;"",SUMIFS(Eventos!$G:$G,Eventos!$B:$B,Q$2,Eventos!$D:$D,$C$2,Eventos!$F:$F,$L262),"")</f>
        <v>0</v>
      </c>
      <c r="R262" s="6">
        <f>SUMIFS(Eventos!$G:$G,Eventos!$F:$F,$L262,Eventos!$D:$D,$C$2,Eventos!$B:$B,PANES_SEMANALES[[#ALL],[SÁBADO]])</f>
        <v>0</v>
      </c>
      <c r="S262" s="7">
        <f>SUMIFS(Eventos!$G:$G,Eventos!$F:$F,$L262,Eventos!$D:$D,$C$2,Eventos!$B:$B,PANES_SEMANALES[[#ALL],[DOMINGO]])</f>
        <v>0</v>
      </c>
      <c r="T262" s="8">
        <f t="shared" si="1"/>
        <v>0</v>
      </c>
    </row>
    <row r="263" ht="22.5" customHeight="1">
      <c r="L263" s="4"/>
      <c r="M263" s="5">
        <f>SUMIFS(Eventos!$G:$G,Eventos!$F:$F,$L263,Eventos!$D:$D,$C$2,Eventos!$B:$B,PANES_SEMANALES[[#ALL],[LUNES]])</f>
        <v>0</v>
      </c>
      <c r="N263" s="6">
        <f>SUMIFS(Eventos!$G:$G,Eventos!$F:$F,$L263,Eventos!$D:$D,$C$2,Eventos!$B:$B,PANES_SEMANALES[[#ALL],[MARTES]])</f>
        <v>0</v>
      </c>
      <c r="O263" s="6">
        <f>SUMIFS(Eventos!$G:$G,Eventos!$F:$F,$L263,Eventos!$D:$D,$C$2,Eventos!$B:$B,PANES_SEMANALES[[#ALL],[MIÉRCOLES]])</f>
        <v>0</v>
      </c>
      <c r="P263" s="6">
        <f>SUMIFS(Eventos!$G:$G,Eventos!$F:$F,$L263,Eventos!$D:$D,$C$2,Eventos!$B:$B,PANES_SEMANALES[[#ALL],[JUEVES]])</f>
        <v>0</v>
      </c>
      <c r="Q263" s="6">
        <f>IF(P263&lt;&gt;"",SUMIFS(Eventos!$G:$G,Eventos!$B:$B,Q$2,Eventos!$D:$D,$C$2,Eventos!$F:$F,$L263),"")</f>
        <v>0</v>
      </c>
      <c r="R263" s="6">
        <f>SUMIFS(Eventos!$G:$G,Eventos!$F:$F,$L263,Eventos!$D:$D,$C$2,Eventos!$B:$B,PANES_SEMANALES[[#ALL],[SÁBADO]])</f>
        <v>0</v>
      </c>
      <c r="S263" s="7">
        <f>SUMIFS(Eventos!$G:$G,Eventos!$F:$F,$L263,Eventos!$D:$D,$C$2,Eventos!$B:$B,PANES_SEMANALES[[#ALL],[DOMINGO]])</f>
        <v>0</v>
      </c>
      <c r="T263" s="8">
        <f t="shared" si="1"/>
        <v>0</v>
      </c>
    </row>
    <row r="264" ht="22.5" customHeight="1">
      <c r="L264" s="4"/>
      <c r="M264" s="5">
        <f>SUMIFS(Eventos!$G:$G,Eventos!$F:$F,$L264,Eventos!$D:$D,$C$2,Eventos!$B:$B,PANES_SEMANALES[[#ALL],[LUNES]])</f>
        <v>0</v>
      </c>
      <c r="N264" s="6">
        <f>SUMIFS(Eventos!$G:$G,Eventos!$F:$F,$L264,Eventos!$D:$D,$C$2,Eventos!$B:$B,PANES_SEMANALES[[#ALL],[MARTES]])</f>
        <v>0</v>
      </c>
      <c r="O264" s="6">
        <f>SUMIFS(Eventos!$G:$G,Eventos!$F:$F,$L264,Eventos!$D:$D,$C$2,Eventos!$B:$B,PANES_SEMANALES[[#ALL],[MIÉRCOLES]])</f>
        <v>0</v>
      </c>
      <c r="P264" s="6">
        <f>SUMIFS(Eventos!$G:$G,Eventos!$F:$F,$L264,Eventos!$D:$D,$C$2,Eventos!$B:$B,PANES_SEMANALES[[#ALL],[JUEVES]])</f>
        <v>0</v>
      </c>
      <c r="Q264" s="6">
        <f>IF(P264&lt;&gt;"",SUMIFS(Eventos!$G:$G,Eventos!$B:$B,Q$2,Eventos!$D:$D,$C$2,Eventos!$F:$F,$L264),"")</f>
        <v>0</v>
      </c>
      <c r="R264" s="6">
        <f>SUMIFS(Eventos!$G:$G,Eventos!$F:$F,$L264,Eventos!$D:$D,$C$2,Eventos!$B:$B,PANES_SEMANALES[[#ALL],[SÁBADO]])</f>
        <v>0</v>
      </c>
      <c r="S264" s="7">
        <f>SUMIFS(Eventos!$G:$G,Eventos!$F:$F,$L264,Eventos!$D:$D,$C$2,Eventos!$B:$B,PANES_SEMANALES[[#ALL],[DOMINGO]])</f>
        <v>0</v>
      </c>
      <c r="T264" s="8">
        <f t="shared" si="1"/>
        <v>0</v>
      </c>
    </row>
    <row r="265" ht="22.5" customHeight="1">
      <c r="L265" s="4"/>
      <c r="M265" s="5">
        <f>SUMIFS(Eventos!$G:$G,Eventos!$F:$F,$L265,Eventos!$D:$D,$C$2,Eventos!$B:$B,PANES_SEMANALES[[#ALL],[LUNES]])</f>
        <v>0</v>
      </c>
      <c r="N265" s="6">
        <f>SUMIFS(Eventos!$G:$G,Eventos!$F:$F,$L265,Eventos!$D:$D,$C$2,Eventos!$B:$B,PANES_SEMANALES[[#ALL],[MARTES]])</f>
        <v>0</v>
      </c>
      <c r="O265" s="6">
        <f>SUMIFS(Eventos!$G:$G,Eventos!$F:$F,$L265,Eventos!$D:$D,$C$2,Eventos!$B:$B,PANES_SEMANALES[[#ALL],[MIÉRCOLES]])</f>
        <v>0</v>
      </c>
      <c r="P265" s="6">
        <f>SUMIFS(Eventos!$G:$G,Eventos!$F:$F,$L265,Eventos!$D:$D,$C$2,Eventos!$B:$B,PANES_SEMANALES[[#ALL],[JUEVES]])</f>
        <v>0</v>
      </c>
      <c r="Q265" s="6">
        <f>IF(P265&lt;&gt;"",SUMIFS(Eventos!$G:$G,Eventos!$B:$B,Q$2,Eventos!$D:$D,$C$2,Eventos!$F:$F,$L265),"")</f>
        <v>0</v>
      </c>
      <c r="R265" s="6">
        <f>SUMIFS(Eventos!$G:$G,Eventos!$F:$F,$L265,Eventos!$D:$D,$C$2,Eventos!$B:$B,PANES_SEMANALES[[#ALL],[SÁBADO]])</f>
        <v>0</v>
      </c>
      <c r="S265" s="7">
        <f>SUMIFS(Eventos!$G:$G,Eventos!$F:$F,$L265,Eventos!$D:$D,$C$2,Eventos!$B:$B,PANES_SEMANALES[[#ALL],[DOMINGO]])</f>
        <v>0</v>
      </c>
      <c r="T265" s="8">
        <f t="shared" si="1"/>
        <v>0</v>
      </c>
    </row>
    <row r="266" ht="22.5" customHeight="1">
      <c r="L266" s="4"/>
      <c r="M266" s="5">
        <f>SUMIFS(Eventos!$G:$G,Eventos!$F:$F,$L266,Eventos!$D:$D,$C$2,Eventos!$B:$B,PANES_SEMANALES[[#ALL],[LUNES]])</f>
        <v>0</v>
      </c>
      <c r="N266" s="6">
        <f>SUMIFS(Eventos!$G:$G,Eventos!$F:$F,$L266,Eventos!$D:$D,$C$2,Eventos!$B:$B,PANES_SEMANALES[[#ALL],[MARTES]])</f>
        <v>0</v>
      </c>
      <c r="O266" s="6">
        <f>SUMIFS(Eventos!$G:$G,Eventos!$F:$F,$L266,Eventos!$D:$D,$C$2,Eventos!$B:$B,PANES_SEMANALES[[#ALL],[MIÉRCOLES]])</f>
        <v>0</v>
      </c>
      <c r="P266" s="6">
        <f>SUMIFS(Eventos!$G:$G,Eventos!$F:$F,$L266,Eventos!$D:$D,$C$2,Eventos!$B:$B,PANES_SEMANALES[[#ALL],[JUEVES]])</f>
        <v>0</v>
      </c>
      <c r="Q266" s="6">
        <f>IF(P266&lt;&gt;"",SUMIFS(Eventos!$G:$G,Eventos!$B:$B,Q$2,Eventos!$D:$D,$C$2,Eventos!$F:$F,$L266),"")</f>
        <v>0</v>
      </c>
      <c r="R266" s="6">
        <f>SUMIFS(Eventos!$G:$G,Eventos!$F:$F,$L266,Eventos!$D:$D,$C$2,Eventos!$B:$B,PANES_SEMANALES[[#ALL],[SÁBADO]])</f>
        <v>0</v>
      </c>
      <c r="S266" s="7">
        <f>SUMIFS(Eventos!$G:$G,Eventos!$F:$F,$L266,Eventos!$D:$D,$C$2,Eventos!$B:$B,PANES_SEMANALES[[#ALL],[DOMINGO]])</f>
        <v>0</v>
      </c>
      <c r="T266" s="8">
        <f t="shared" si="1"/>
        <v>0</v>
      </c>
    </row>
    <row r="267" ht="22.5" customHeight="1">
      <c r="L267" s="4"/>
      <c r="M267" s="5">
        <f>SUMIFS(Eventos!$G:$G,Eventos!$F:$F,$L267,Eventos!$D:$D,$C$2,Eventos!$B:$B,PANES_SEMANALES[[#ALL],[LUNES]])</f>
        <v>0</v>
      </c>
      <c r="N267" s="6">
        <f>SUMIFS(Eventos!$G:$G,Eventos!$F:$F,$L267,Eventos!$D:$D,$C$2,Eventos!$B:$B,PANES_SEMANALES[[#ALL],[MARTES]])</f>
        <v>0</v>
      </c>
      <c r="O267" s="6">
        <f>SUMIFS(Eventos!$G:$G,Eventos!$F:$F,$L267,Eventos!$D:$D,$C$2,Eventos!$B:$B,PANES_SEMANALES[[#ALL],[MIÉRCOLES]])</f>
        <v>0</v>
      </c>
      <c r="P267" s="6">
        <f>SUMIFS(Eventos!$G:$G,Eventos!$F:$F,$L267,Eventos!$D:$D,$C$2,Eventos!$B:$B,PANES_SEMANALES[[#ALL],[JUEVES]])</f>
        <v>0</v>
      </c>
      <c r="Q267" s="6">
        <f>IF(P267&lt;&gt;"",SUMIFS(Eventos!$G:$G,Eventos!$B:$B,Q$2,Eventos!$D:$D,$C$2,Eventos!$F:$F,$L267),"")</f>
        <v>0</v>
      </c>
      <c r="R267" s="6">
        <f>SUMIFS(Eventos!$G:$G,Eventos!$F:$F,$L267,Eventos!$D:$D,$C$2,Eventos!$B:$B,PANES_SEMANALES[[#ALL],[SÁBADO]])</f>
        <v>0</v>
      </c>
      <c r="S267" s="7">
        <f>SUMIFS(Eventos!$G:$G,Eventos!$F:$F,$L267,Eventos!$D:$D,$C$2,Eventos!$B:$B,PANES_SEMANALES[[#ALL],[DOMINGO]])</f>
        <v>0</v>
      </c>
      <c r="T267" s="8">
        <f t="shared" si="1"/>
        <v>0</v>
      </c>
    </row>
    <row r="268" ht="22.5" customHeight="1">
      <c r="L268" s="4"/>
      <c r="M268" s="5">
        <f>SUMIFS(Eventos!$G:$G,Eventos!$F:$F,$L268,Eventos!$D:$D,$C$2,Eventos!$B:$B,PANES_SEMANALES[[#ALL],[LUNES]])</f>
        <v>0</v>
      </c>
      <c r="N268" s="6">
        <f>SUMIFS(Eventos!$G:$G,Eventos!$F:$F,$L268,Eventos!$D:$D,$C$2,Eventos!$B:$B,PANES_SEMANALES[[#ALL],[MARTES]])</f>
        <v>0</v>
      </c>
      <c r="O268" s="6">
        <f>SUMIFS(Eventos!$G:$G,Eventos!$F:$F,$L268,Eventos!$D:$D,$C$2,Eventos!$B:$B,PANES_SEMANALES[[#ALL],[MIÉRCOLES]])</f>
        <v>0</v>
      </c>
      <c r="P268" s="6">
        <f>SUMIFS(Eventos!$G:$G,Eventos!$F:$F,$L268,Eventos!$D:$D,$C$2,Eventos!$B:$B,PANES_SEMANALES[[#ALL],[JUEVES]])</f>
        <v>0</v>
      </c>
      <c r="Q268" s="6">
        <f>IF(P268&lt;&gt;"",SUMIFS(Eventos!$G:$G,Eventos!$B:$B,Q$2,Eventos!$D:$D,$C$2,Eventos!$F:$F,$L268),"")</f>
        <v>0</v>
      </c>
      <c r="R268" s="6">
        <f>SUMIFS(Eventos!$G:$G,Eventos!$F:$F,$L268,Eventos!$D:$D,$C$2,Eventos!$B:$B,PANES_SEMANALES[[#ALL],[SÁBADO]])</f>
        <v>0</v>
      </c>
      <c r="S268" s="7">
        <f>SUMIFS(Eventos!$G:$G,Eventos!$F:$F,$L268,Eventos!$D:$D,$C$2,Eventos!$B:$B,PANES_SEMANALES[[#ALL],[DOMINGO]])</f>
        <v>0</v>
      </c>
      <c r="T268" s="8">
        <f t="shared" si="1"/>
        <v>0</v>
      </c>
    </row>
    <row r="269" ht="22.5" customHeight="1">
      <c r="L269" s="4"/>
      <c r="M269" s="5">
        <f>SUMIFS(Eventos!$G:$G,Eventos!$F:$F,$L269,Eventos!$D:$D,$C$2,Eventos!$B:$B,PANES_SEMANALES[[#ALL],[LUNES]])</f>
        <v>0</v>
      </c>
      <c r="N269" s="6">
        <f>SUMIFS(Eventos!$G:$G,Eventos!$F:$F,$L269,Eventos!$D:$D,$C$2,Eventos!$B:$B,PANES_SEMANALES[[#ALL],[MARTES]])</f>
        <v>0</v>
      </c>
      <c r="O269" s="6">
        <f>SUMIFS(Eventos!$G:$G,Eventos!$F:$F,$L269,Eventos!$D:$D,$C$2,Eventos!$B:$B,PANES_SEMANALES[[#ALL],[MIÉRCOLES]])</f>
        <v>0</v>
      </c>
      <c r="P269" s="6">
        <f>SUMIFS(Eventos!$G:$G,Eventos!$F:$F,$L269,Eventos!$D:$D,$C$2,Eventos!$B:$B,PANES_SEMANALES[[#ALL],[JUEVES]])</f>
        <v>0</v>
      </c>
      <c r="Q269" s="6">
        <f>IF(P269&lt;&gt;"",SUMIFS(Eventos!$G:$G,Eventos!$B:$B,Q$2,Eventos!$D:$D,$C$2,Eventos!$F:$F,$L269),"")</f>
        <v>0</v>
      </c>
      <c r="R269" s="6">
        <f>SUMIFS(Eventos!$G:$G,Eventos!$F:$F,$L269,Eventos!$D:$D,$C$2,Eventos!$B:$B,PANES_SEMANALES[[#ALL],[SÁBADO]])</f>
        <v>0</v>
      </c>
      <c r="S269" s="7">
        <f>SUMIFS(Eventos!$G:$G,Eventos!$F:$F,$L269,Eventos!$D:$D,$C$2,Eventos!$B:$B,PANES_SEMANALES[[#ALL],[DOMINGO]])</f>
        <v>0</v>
      </c>
      <c r="T269" s="8">
        <f t="shared" si="1"/>
        <v>0</v>
      </c>
    </row>
    <row r="270" ht="22.5" customHeight="1">
      <c r="L270" s="4"/>
      <c r="M270" s="5">
        <f>SUMIFS(Eventos!$G:$G,Eventos!$F:$F,$L270,Eventos!$D:$D,$C$2,Eventos!$B:$B,PANES_SEMANALES[[#ALL],[LUNES]])</f>
        <v>0</v>
      </c>
      <c r="N270" s="6">
        <f>SUMIFS(Eventos!$G:$G,Eventos!$F:$F,$L270,Eventos!$D:$D,$C$2,Eventos!$B:$B,PANES_SEMANALES[[#ALL],[MARTES]])</f>
        <v>0</v>
      </c>
      <c r="O270" s="6">
        <f>SUMIFS(Eventos!$G:$G,Eventos!$F:$F,$L270,Eventos!$D:$D,$C$2,Eventos!$B:$B,PANES_SEMANALES[[#ALL],[MIÉRCOLES]])</f>
        <v>0</v>
      </c>
      <c r="P270" s="6">
        <f>SUMIFS(Eventos!$G:$G,Eventos!$F:$F,$L270,Eventos!$D:$D,$C$2,Eventos!$B:$B,PANES_SEMANALES[[#ALL],[JUEVES]])</f>
        <v>0</v>
      </c>
      <c r="Q270" s="6">
        <f>IF(P270&lt;&gt;"",SUMIFS(Eventos!$G:$G,Eventos!$B:$B,Q$2,Eventos!$D:$D,$C$2,Eventos!$F:$F,$L270),"")</f>
        <v>0</v>
      </c>
      <c r="R270" s="6">
        <f>SUMIFS(Eventos!$G:$G,Eventos!$F:$F,$L270,Eventos!$D:$D,$C$2,Eventos!$B:$B,PANES_SEMANALES[[#ALL],[SÁBADO]])</f>
        <v>0</v>
      </c>
      <c r="S270" s="7">
        <f>SUMIFS(Eventos!$G:$G,Eventos!$F:$F,$L270,Eventos!$D:$D,$C$2,Eventos!$B:$B,PANES_SEMANALES[[#ALL],[DOMINGO]])</f>
        <v>0</v>
      </c>
      <c r="T270" s="8">
        <f t="shared" si="1"/>
        <v>0</v>
      </c>
    </row>
    <row r="271" ht="22.5" customHeight="1">
      <c r="L271" s="4"/>
      <c r="M271" s="5">
        <f>SUMIFS(Eventos!$G:$G,Eventos!$F:$F,$L271,Eventos!$D:$D,$C$2,Eventos!$B:$B,PANES_SEMANALES[[#ALL],[LUNES]])</f>
        <v>0</v>
      </c>
      <c r="N271" s="6">
        <f>SUMIFS(Eventos!$G:$G,Eventos!$F:$F,$L271,Eventos!$D:$D,$C$2,Eventos!$B:$B,PANES_SEMANALES[[#ALL],[MARTES]])</f>
        <v>0</v>
      </c>
      <c r="O271" s="6">
        <f>SUMIFS(Eventos!$G:$G,Eventos!$F:$F,$L271,Eventos!$D:$D,$C$2,Eventos!$B:$B,PANES_SEMANALES[[#ALL],[MIÉRCOLES]])</f>
        <v>0</v>
      </c>
      <c r="P271" s="6">
        <f>SUMIFS(Eventos!$G:$G,Eventos!$F:$F,$L271,Eventos!$D:$D,$C$2,Eventos!$B:$B,PANES_SEMANALES[[#ALL],[JUEVES]])</f>
        <v>0</v>
      </c>
      <c r="Q271" s="6">
        <f>IF(P271&lt;&gt;"",SUMIFS(Eventos!$G:$G,Eventos!$B:$B,Q$2,Eventos!$D:$D,$C$2,Eventos!$F:$F,$L271),"")</f>
        <v>0</v>
      </c>
      <c r="R271" s="6">
        <f>SUMIFS(Eventos!$G:$G,Eventos!$F:$F,$L271,Eventos!$D:$D,$C$2,Eventos!$B:$B,PANES_SEMANALES[[#ALL],[SÁBADO]])</f>
        <v>0</v>
      </c>
      <c r="S271" s="7">
        <f>SUMIFS(Eventos!$G:$G,Eventos!$F:$F,$L271,Eventos!$D:$D,$C$2,Eventos!$B:$B,PANES_SEMANALES[[#ALL],[DOMINGO]])</f>
        <v>0</v>
      </c>
      <c r="T271" s="8">
        <f t="shared" si="1"/>
        <v>0</v>
      </c>
    </row>
    <row r="272" ht="22.5" customHeight="1">
      <c r="L272" s="4"/>
      <c r="M272" s="5">
        <f>SUMIFS(Eventos!$G:$G,Eventos!$F:$F,$L272,Eventos!$D:$D,$C$2,Eventos!$B:$B,PANES_SEMANALES[[#ALL],[LUNES]])</f>
        <v>0</v>
      </c>
      <c r="N272" s="6">
        <f>SUMIFS(Eventos!$G:$G,Eventos!$F:$F,$L272,Eventos!$D:$D,$C$2,Eventos!$B:$B,PANES_SEMANALES[[#ALL],[MARTES]])</f>
        <v>0</v>
      </c>
      <c r="O272" s="6">
        <f>SUMIFS(Eventos!$G:$G,Eventos!$F:$F,$L272,Eventos!$D:$D,$C$2,Eventos!$B:$B,PANES_SEMANALES[[#ALL],[MIÉRCOLES]])</f>
        <v>0</v>
      </c>
      <c r="P272" s="6">
        <f>SUMIFS(Eventos!$G:$G,Eventos!$F:$F,$L272,Eventos!$D:$D,$C$2,Eventos!$B:$B,PANES_SEMANALES[[#ALL],[JUEVES]])</f>
        <v>0</v>
      </c>
      <c r="Q272" s="6">
        <f>IF(P272&lt;&gt;"",SUMIFS(Eventos!$G:$G,Eventos!$B:$B,Q$2,Eventos!$D:$D,$C$2,Eventos!$F:$F,$L272),"")</f>
        <v>0</v>
      </c>
      <c r="R272" s="6">
        <f>SUMIFS(Eventos!$G:$G,Eventos!$F:$F,$L272,Eventos!$D:$D,$C$2,Eventos!$B:$B,PANES_SEMANALES[[#ALL],[SÁBADO]])</f>
        <v>0</v>
      </c>
      <c r="S272" s="7">
        <f>SUMIFS(Eventos!$G:$G,Eventos!$F:$F,$L272,Eventos!$D:$D,$C$2,Eventos!$B:$B,PANES_SEMANALES[[#ALL],[DOMINGO]])</f>
        <v>0</v>
      </c>
      <c r="T272" s="8">
        <f t="shared" si="1"/>
        <v>0</v>
      </c>
    </row>
    <row r="273" ht="22.5" customHeight="1">
      <c r="L273" s="4"/>
      <c r="M273" s="5">
        <f>SUMIFS(Eventos!$G:$G,Eventos!$F:$F,$L273,Eventos!$D:$D,$C$2,Eventos!$B:$B,PANES_SEMANALES[[#ALL],[LUNES]])</f>
        <v>0</v>
      </c>
      <c r="N273" s="6">
        <f>SUMIFS(Eventos!$G:$G,Eventos!$F:$F,$L273,Eventos!$D:$D,$C$2,Eventos!$B:$B,PANES_SEMANALES[[#ALL],[MARTES]])</f>
        <v>0</v>
      </c>
      <c r="O273" s="6">
        <f>SUMIFS(Eventos!$G:$G,Eventos!$F:$F,$L273,Eventos!$D:$D,$C$2,Eventos!$B:$B,PANES_SEMANALES[[#ALL],[MIÉRCOLES]])</f>
        <v>0</v>
      </c>
      <c r="P273" s="6">
        <f>SUMIFS(Eventos!$G:$G,Eventos!$F:$F,$L273,Eventos!$D:$D,$C$2,Eventos!$B:$B,PANES_SEMANALES[[#ALL],[JUEVES]])</f>
        <v>0</v>
      </c>
      <c r="Q273" s="6">
        <f>IF(P273&lt;&gt;"",SUMIFS(Eventos!$G:$G,Eventos!$B:$B,Q$2,Eventos!$D:$D,$C$2,Eventos!$F:$F,$L273),"")</f>
        <v>0</v>
      </c>
      <c r="R273" s="6">
        <f>SUMIFS(Eventos!$G:$G,Eventos!$F:$F,$L273,Eventos!$D:$D,$C$2,Eventos!$B:$B,PANES_SEMANALES[[#ALL],[SÁBADO]])</f>
        <v>0</v>
      </c>
      <c r="S273" s="7">
        <f>SUMIFS(Eventos!$G:$G,Eventos!$F:$F,$L273,Eventos!$D:$D,$C$2,Eventos!$B:$B,PANES_SEMANALES[[#ALL],[DOMINGO]])</f>
        <v>0</v>
      </c>
      <c r="T273" s="8">
        <f t="shared" si="1"/>
        <v>0</v>
      </c>
    </row>
    <row r="274" ht="22.5" customHeight="1">
      <c r="L274" s="4"/>
      <c r="M274" s="5">
        <f>SUMIFS(Eventos!$G:$G,Eventos!$F:$F,$L274,Eventos!$D:$D,$C$2,Eventos!$B:$B,PANES_SEMANALES[[#ALL],[LUNES]])</f>
        <v>0</v>
      </c>
      <c r="N274" s="6">
        <f>SUMIFS(Eventos!$G:$G,Eventos!$F:$F,$L274,Eventos!$D:$D,$C$2,Eventos!$B:$B,PANES_SEMANALES[[#ALL],[MARTES]])</f>
        <v>0</v>
      </c>
      <c r="O274" s="6">
        <f>SUMIFS(Eventos!$G:$G,Eventos!$F:$F,$L274,Eventos!$D:$D,$C$2,Eventos!$B:$B,PANES_SEMANALES[[#ALL],[MIÉRCOLES]])</f>
        <v>0</v>
      </c>
      <c r="P274" s="6">
        <f>SUMIFS(Eventos!$G:$G,Eventos!$F:$F,$L274,Eventos!$D:$D,$C$2,Eventos!$B:$B,PANES_SEMANALES[[#ALL],[JUEVES]])</f>
        <v>0</v>
      </c>
      <c r="Q274" s="6">
        <f>IF(P274&lt;&gt;"",SUMIFS(Eventos!$G:$G,Eventos!$B:$B,Q$2,Eventos!$D:$D,$C$2,Eventos!$F:$F,$L274),"")</f>
        <v>0</v>
      </c>
      <c r="R274" s="6">
        <f>SUMIFS(Eventos!$G:$G,Eventos!$F:$F,$L274,Eventos!$D:$D,$C$2,Eventos!$B:$B,PANES_SEMANALES[[#ALL],[SÁBADO]])</f>
        <v>0</v>
      </c>
      <c r="S274" s="7">
        <f>SUMIFS(Eventos!$G:$G,Eventos!$F:$F,$L274,Eventos!$D:$D,$C$2,Eventos!$B:$B,PANES_SEMANALES[[#ALL],[DOMINGO]])</f>
        <v>0</v>
      </c>
      <c r="T274" s="8">
        <f t="shared" si="1"/>
        <v>0</v>
      </c>
    </row>
    <row r="275" ht="22.5" customHeight="1">
      <c r="L275" s="4"/>
      <c r="M275" s="5">
        <f>SUMIFS(Eventos!$G:$G,Eventos!$F:$F,$L275,Eventos!$D:$D,$C$2,Eventos!$B:$B,PANES_SEMANALES[[#ALL],[LUNES]])</f>
        <v>0</v>
      </c>
      <c r="N275" s="6">
        <f>SUMIFS(Eventos!$G:$G,Eventos!$F:$F,$L275,Eventos!$D:$D,$C$2,Eventos!$B:$B,PANES_SEMANALES[[#ALL],[MARTES]])</f>
        <v>0</v>
      </c>
      <c r="O275" s="6">
        <f>SUMIFS(Eventos!$G:$G,Eventos!$F:$F,$L275,Eventos!$D:$D,$C$2,Eventos!$B:$B,PANES_SEMANALES[[#ALL],[MIÉRCOLES]])</f>
        <v>0</v>
      </c>
      <c r="P275" s="6">
        <f>SUMIFS(Eventos!$G:$G,Eventos!$F:$F,$L275,Eventos!$D:$D,$C$2,Eventos!$B:$B,PANES_SEMANALES[[#ALL],[JUEVES]])</f>
        <v>0</v>
      </c>
      <c r="Q275" s="6">
        <f>IF(P275&lt;&gt;"",SUMIFS(Eventos!$G:$G,Eventos!$B:$B,Q$2,Eventos!$D:$D,$C$2,Eventos!$F:$F,$L275),"")</f>
        <v>0</v>
      </c>
      <c r="R275" s="6">
        <f>SUMIFS(Eventos!$G:$G,Eventos!$F:$F,$L275,Eventos!$D:$D,$C$2,Eventos!$B:$B,PANES_SEMANALES[[#ALL],[SÁBADO]])</f>
        <v>0</v>
      </c>
      <c r="S275" s="7">
        <f>SUMIFS(Eventos!$G:$G,Eventos!$F:$F,$L275,Eventos!$D:$D,$C$2,Eventos!$B:$B,PANES_SEMANALES[[#ALL],[DOMINGO]])</f>
        <v>0</v>
      </c>
      <c r="T275" s="8">
        <f t="shared" si="1"/>
        <v>0</v>
      </c>
    </row>
    <row r="276" ht="22.5" customHeight="1">
      <c r="L276" s="4"/>
      <c r="M276" s="5">
        <f>SUMIFS(Eventos!$G:$G,Eventos!$F:$F,$L276,Eventos!$D:$D,$C$2,Eventos!$B:$B,PANES_SEMANALES[[#ALL],[LUNES]])</f>
        <v>0</v>
      </c>
      <c r="N276" s="6">
        <f>SUMIFS(Eventos!$G:$G,Eventos!$F:$F,$L276,Eventos!$D:$D,$C$2,Eventos!$B:$B,PANES_SEMANALES[[#ALL],[MARTES]])</f>
        <v>0</v>
      </c>
      <c r="O276" s="6">
        <f>SUMIFS(Eventos!$G:$G,Eventos!$F:$F,$L276,Eventos!$D:$D,$C$2,Eventos!$B:$B,PANES_SEMANALES[[#ALL],[MIÉRCOLES]])</f>
        <v>0</v>
      </c>
      <c r="P276" s="6">
        <f>SUMIFS(Eventos!$G:$G,Eventos!$F:$F,$L276,Eventos!$D:$D,$C$2,Eventos!$B:$B,PANES_SEMANALES[[#ALL],[JUEVES]])</f>
        <v>0</v>
      </c>
      <c r="Q276" s="6">
        <f>IF(P276&lt;&gt;"",SUMIFS(Eventos!$G:$G,Eventos!$B:$B,Q$2,Eventos!$D:$D,$C$2,Eventos!$F:$F,$L276),"")</f>
        <v>0</v>
      </c>
      <c r="R276" s="6">
        <f>SUMIFS(Eventos!$G:$G,Eventos!$F:$F,$L276,Eventos!$D:$D,$C$2,Eventos!$B:$B,PANES_SEMANALES[[#ALL],[SÁBADO]])</f>
        <v>0</v>
      </c>
      <c r="S276" s="7">
        <f>SUMIFS(Eventos!$G:$G,Eventos!$F:$F,$L276,Eventos!$D:$D,$C$2,Eventos!$B:$B,PANES_SEMANALES[[#ALL],[DOMINGO]])</f>
        <v>0</v>
      </c>
      <c r="T276" s="8">
        <f t="shared" si="1"/>
        <v>0</v>
      </c>
    </row>
    <row r="277" ht="22.5" customHeight="1">
      <c r="L277" s="4"/>
      <c r="M277" s="5">
        <f>SUMIFS(Eventos!$G:$G,Eventos!$F:$F,$L277,Eventos!$D:$D,$C$2,Eventos!$B:$B,PANES_SEMANALES[[#ALL],[LUNES]])</f>
        <v>0</v>
      </c>
      <c r="N277" s="6">
        <f>SUMIFS(Eventos!$G:$G,Eventos!$F:$F,$L277,Eventos!$D:$D,$C$2,Eventos!$B:$B,PANES_SEMANALES[[#ALL],[MARTES]])</f>
        <v>0</v>
      </c>
      <c r="O277" s="6">
        <f>SUMIFS(Eventos!$G:$G,Eventos!$F:$F,$L277,Eventos!$D:$D,$C$2,Eventos!$B:$B,PANES_SEMANALES[[#ALL],[MIÉRCOLES]])</f>
        <v>0</v>
      </c>
      <c r="P277" s="6">
        <f>SUMIFS(Eventos!$G:$G,Eventos!$F:$F,$L277,Eventos!$D:$D,$C$2,Eventos!$B:$B,PANES_SEMANALES[[#ALL],[JUEVES]])</f>
        <v>0</v>
      </c>
      <c r="Q277" s="6">
        <f>IF(P277&lt;&gt;"",SUMIFS(Eventos!$G:$G,Eventos!$B:$B,Q$2,Eventos!$D:$D,$C$2,Eventos!$F:$F,$L277),"")</f>
        <v>0</v>
      </c>
      <c r="R277" s="6">
        <f>SUMIFS(Eventos!$G:$G,Eventos!$F:$F,$L277,Eventos!$D:$D,$C$2,Eventos!$B:$B,PANES_SEMANALES[[#ALL],[SÁBADO]])</f>
        <v>0</v>
      </c>
      <c r="S277" s="7">
        <f>SUMIFS(Eventos!$G:$G,Eventos!$F:$F,$L277,Eventos!$D:$D,$C$2,Eventos!$B:$B,PANES_SEMANALES[[#ALL],[DOMINGO]])</f>
        <v>0</v>
      </c>
      <c r="T277" s="8">
        <f t="shared" si="1"/>
        <v>0</v>
      </c>
    </row>
    <row r="278" ht="22.5" customHeight="1">
      <c r="L278" s="4"/>
      <c r="M278" s="5">
        <f>SUMIFS(Eventos!$G:$G,Eventos!$F:$F,$L278,Eventos!$D:$D,$C$2,Eventos!$B:$B,PANES_SEMANALES[[#ALL],[LUNES]])</f>
        <v>0</v>
      </c>
      <c r="N278" s="6">
        <f>SUMIFS(Eventos!$G:$G,Eventos!$F:$F,$L278,Eventos!$D:$D,$C$2,Eventos!$B:$B,PANES_SEMANALES[[#ALL],[MARTES]])</f>
        <v>0</v>
      </c>
      <c r="O278" s="6">
        <f>SUMIFS(Eventos!$G:$G,Eventos!$F:$F,$L278,Eventos!$D:$D,$C$2,Eventos!$B:$B,PANES_SEMANALES[[#ALL],[MIÉRCOLES]])</f>
        <v>0</v>
      </c>
      <c r="P278" s="6">
        <f>SUMIFS(Eventos!$G:$G,Eventos!$F:$F,$L278,Eventos!$D:$D,$C$2,Eventos!$B:$B,PANES_SEMANALES[[#ALL],[JUEVES]])</f>
        <v>0</v>
      </c>
      <c r="Q278" s="6">
        <f>IF(P278&lt;&gt;"",SUMIFS(Eventos!$G:$G,Eventos!$B:$B,Q$2,Eventos!$D:$D,$C$2,Eventos!$F:$F,$L278),"")</f>
        <v>0</v>
      </c>
      <c r="R278" s="6">
        <f>SUMIFS(Eventos!$G:$G,Eventos!$F:$F,$L278,Eventos!$D:$D,$C$2,Eventos!$B:$B,PANES_SEMANALES[[#ALL],[SÁBADO]])</f>
        <v>0</v>
      </c>
      <c r="S278" s="7">
        <f>SUMIFS(Eventos!$G:$G,Eventos!$F:$F,$L278,Eventos!$D:$D,$C$2,Eventos!$B:$B,PANES_SEMANALES[[#ALL],[DOMINGO]])</f>
        <v>0</v>
      </c>
      <c r="T278" s="8">
        <f t="shared" si="1"/>
        <v>0</v>
      </c>
    </row>
    <row r="279" ht="22.5" customHeight="1">
      <c r="L279" s="4"/>
      <c r="M279" s="5">
        <f>SUMIFS(Eventos!$G:$G,Eventos!$F:$F,$L279,Eventos!$D:$D,$C$2,Eventos!$B:$B,PANES_SEMANALES[[#ALL],[LUNES]])</f>
        <v>0</v>
      </c>
      <c r="N279" s="6">
        <f>SUMIFS(Eventos!$G:$G,Eventos!$F:$F,$L279,Eventos!$D:$D,$C$2,Eventos!$B:$B,PANES_SEMANALES[[#ALL],[MARTES]])</f>
        <v>0</v>
      </c>
      <c r="O279" s="6">
        <f>SUMIFS(Eventos!$G:$G,Eventos!$F:$F,$L279,Eventos!$D:$D,$C$2,Eventos!$B:$B,PANES_SEMANALES[[#ALL],[MIÉRCOLES]])</f>
        <v>0</v>
      </c>
      <c r="P279" s="6">
        <f>SUMIFS(Eventos!$G:$G,Eventos!$F:$F,$L279,Eventos!$D:$D,$C$2,Eventos!$B:$B,PANES_SEMANALES[[#ALL],[JUEVES]])</f>
        <v>0</v>
      </c>
      <c r="Q279" s="6">
        <f>IF(P279&lt;&gt;"",SUMIFS(Eventos!$G:$G,Eventos!$B:$B,Q$2,Eventos!$D:$D,$C$2,Eventos!$F:$F,$L279),"")</f>
        <v>0</v>
      </c>
      <c r="R279" s="6">
        <f>SUMIFS(Eventos!$G:$G,Eventos!$F:$F,$L279,Eventos!$D:$D,$C$2,Eventos!$B:$B,PANES_SEMANALES[[#ALL],[SÁBADO]])</f>
        <v>0</v>
      </c>
      <c r="S279" s="7">
        <f>SUMIFS(Eventos!$G:$G,Eventos!$F:$F,$L279,Eventos!$D:$D,$C$2,Eventos!$B:$B,PANES_SEMANALES[[#ALL],[DOMINGO]])</f>
        <v>0</v>
      </c>
      <c r="T279" s="8">
        <f t="shared" si="1"/>
        <v>0</v>
      </c>
    </row>
    <row r="280" ht="22.5" customHeight="1">
      <c r="L280" s="4"/>
      <c r="M280" s="5">
        <f>SUMIFS(Eventos!$G:$G,Eventos!$F:$F,$L280,Eventos!$D:$D,$C$2,Eventos!$B:$B,PANES_SEMANALES[[#ALL],[LUNES]])</f>
        <v>0</v>
      </c>
      <c r="N280" s="6">
        <f>SUMIFS(Eventos!$G:$G,Eventos!$F:$F,$L280,Eventos!$D:$D,$C$2,Eventos!$B:$B,PANES_SEMANALES[[#ALL],[MARTES]])</f>
        <v>0</v>
      </c>
      <c r="O280" s="6">
        <f>SUMIFS(Eventos!$G:$G,Eventos!$F:$F,$L280,Eventos!$D:$D,$C$2,Eventos!$B:$B,PANES_SEMANALES[[#ALL],[MIÉRCOLES]])</f>
        <v>0</v>
      </c>
      <c r="P280" s="6">
        <f>SUMIFS(Eventos!$G:$G,Eventos!$F:$F,$L280,Eventos!$D:$D,$C$2,Eventos!$B:$B,PANES_SEMANALES[[#ALL],[JUEVES]])</f>
        <v>0</v>
      </c>
      <c r="Q280" s="6">
        <f>IF(P280&lt;&gt;"",SUMIFS(Eventos!$G:$G,Eventos!$B:$B,Q$2,Eventos!$D:$D,$C$2,Eventos!$F:$F,$L280),"")</f>
        <v>0</v>
      </c>
      <c r="R280" s="6">
        <f>SUMIFS(Eventos!$G:$G,Eventos!$F:$F,$L280,Eventos!$D:$D,$C$2,Eventos!$B:$B,PANES_SEMANALES[[#ALL],[SÁBADO]])</f>
        <v>0</v>
      </c>
      <c r="S280" s="7">
        <f>SUMIFS(Eventos!$G:$G,Eventos!$F:$F,$L280,Eventos!$D:$D,$C$2,Eventos!$B:$B,PANES_SEMANALES[[#ALL],[DOMINGO]])</f>
        <v>0</v>
      </c>
      <c r="T280" s="8">
        <f t="shared" si="1"/>
        <v>0</v>
      </c>
    </row>
    <row r="281" ht="22.5" customHeight="1">
      <c r="L281" s="4"/>
      <c r="M281" s="5">
        <f>SUMIFS(Eventos!$G:$G,Eventos!$F:$F,$L281,Eventos!$D:$D,$C$2,Eventos!$B:$B,PANES_SEMANALES[[#ALL],[LUNES]])</f>
        <v>0</v>
      </c>
      <c r="N281" s="6">
        <f>SUMIFS(Eventos!$G:$G,Eventos!$F:$F,$L281,Eventos!$D:$D,$C$2,Eventos!$B:$B,PANES_SEMANALES[[#ALL],[MARTES]])</f>
        <v>0</v>
      </c>
      <c r="O281" s="6">
        <f>SUMIFS(Eventos!$G:$G,Eventos!$F:$F,$L281,Eventos!$D:$D,$C$2,Eventos!$B:$B,PANES_SEMANALES[[#ALL],[MIÉRCOLES]])</f>
        <v>0</v>
      </c>
      <c r="P281" s="6">
        <f>SUMIFS(Eventos!$G:$G,Eventos!$F:$F,$L281,Eventos!$D:$D,$C$2,Eventos!$B:$B,PANES_SEMANALES[[#ALL],[JUEVES]])</f>
        <v>0</v>
      </c>
      <c r="Q281" s="6">
        <f>IF(P281&lt;&gt;"",SUMIFS(Eventos!$G:$G,Eventos!$B:$B,Q$2,Eventos!$D:$D,$C$2,Eventos!$F:$F,$L281),"")</f>
        <v>0</v>
      </c>
      <c r="R281" s="6">
        <f>SUMIFS(Eventos!$G:$G,Eventos!$F:$F,$L281,Eventos!$D:$D,$C$2,Eventos!$B:$B,PANES_SEMANALES[[#ALL],[SÁBADO]])</f>
        <v>0</v>
      </c>
      <c r="S281" s="7">
        <f>SUMIFS(Eventos!$G:$G,Eventos!$F:$F,$L281,Eventos!$D:$D,$C$2,Eventos!$B:$B,PANES_SEMANALES[[#ALL],[DOMINGO]])</f>
        <v>0</v>
      </c>
      <c r="T281" s="8">
        <f t="shared" si="1"/>
        <v>0</v>
      </c>
    </row>
    <row r="282" ht="22.5" customHeight="1">
      <c r="L282" s="4"/>
      <c r="M282" s="5">
        <f>SUMIFS(Eventos!$G:$G,Eventos!$F:$F,$L282,Eventos!$D:$D,$C$2,Eventos!$B:$B,PANES_SEMANALES[[#ALL],[LUNES]])</f>
        <v>0</v>
      </c>
      <c r="N282" s="6">
        <f>SUMIFS(Eventos!$G:$G,Eventos!$F:$F,$L282,Eventos!$D:$D,$C$2,Eventos!$B:$B,PANES_SEMANALES[[#ALL],[MARTES]])</f>
        <v>0</v>
      </c>
      <c r="O282" s="6">
        <f>SUMIFS(Eventos!$G:$G,Eventos!$F:$F,$L282,Eventos!$D:$D,$C$2,Eventos!$B:$B,PANES_SEMANALES[[#ALL],[MIÉRCOLES]])</f>
        <v>0</v>
      </c>
      <c r="P282" s="6">
        <f>SUMIFS(Eventos!$G:$G,Eventos!$F:$F,$L282,Eventos!$D:$D,$C$2,Eventos!$B:$B,PANES_SEMANALES[[#ALL],[JUEVES]])</f>
        <v>0</v>
      </c>
      <c r="Q282" s="6">
        <f>IF(P282&lt;&gt;"",SUMIFS(Eventos!$G:$G,Eventos!$B:$B,Q$2,Eventos!$D:$D,$C$2,Eventos!$F:$F,$L282),"")</f>
        <v>0</v>
      </c>
      <c r="R282" s="6">
        <f>SUMIFS(Eventos!$G:$G,Eventos!$F:$F,$L282,Eventos!$D:$D,$C$2,Eventos!$B:$B,PANES_SEMANALES[[#ALL],[SÁBADO]])</f>
        <v>0</v>
      </c>
      <c r="S282" s="7">
        <f>SUMIFS(Eventos!$G:$G,Eventos!$F:$F,$L282,Eventos!$D:$D,$C$2,Eventos!$B:$B,PANES_SEMANALES[[#ALL],[DOMINGO]])</f>
        <v>0</v>
      </c>
      <c r="T282" s="8">
        <f t="shared" si="1"/>
        <v>0</v>
      </c>
    </row>
    <row r="283" ht="22.5" customHeight="1">
      <c r="L283" s="4"/>
      <c r="M283" s="5">
        <f>SUMIFS(Eventos!$G:$G,Eventos!$F:$F,$L283,Eventos!$D:$D,$C$2,Eventos!$B:$B,PANES_SEMANALES[[#ALL],[LUNES]])</f>
        <v>0</v>
      </c>
      <c r="N283" s="6">
        <f>SUMIFS(Eventos!$G:$G,Eventos!$F:$F,$L283,Eventos!$D:$D,$C$2,Eventos!$B:$B,PANES_SEMANALES[[#ALL],[MARTES]])</f>
        <v>0</v>
      </c>
      <c r="O283" s="6">
        <f>SUMIFS(Eventos!$G:$G,Eventos!$F:$F,$L283,Eventos!$D:$D,$C$2,Eventos!$B:$B,PANES_SEMANALES[[#ALL],[MIÉRCOLES]])</f>
        <v>0</v>
      </c>
      <c r="P283" s="6">
        <f>SUMIFS(Eventos!$G:$G,Eventos!$F:$F,$L283,Eventos!$D:$D,$C$2,Eventos!$B:$B,PANES_SEMANALES[[#ALL],[JUEVES]])</f>
        <v>0</v>
      </c>
      <c r="Q283" s="6">
        <f>IF(P283&lt;&gt;"",SUMIFS(Eventos!$G:$G,Eventos!$B:$B,Q$2,Eventos!$D:$D,$C$2,Eventos!$F:$F,$L283),"")</f>
        <v>0</v>
      </c>
      <c r="R283" s="6">
        <f>SUMIFS(Eventos!$G:$G,Eventos!$F:$F,$L283,Eventos!$D:$D,$C$2,Eventos!$B:$B,PANES_SEMANALES[[#ALL],[SÁBADO]])</f>
        <v>0</v>
      </c>
      <c r="S283" s="7">
        <f>SUMIFS(Eventos!$G:$G,Eventos!$F:$F,$L283,Eventos!$D:$D,$C$2,Eventos!$B:$B,PANES_SEMANALES[[#ALL],[DOMINGO]])</f>
        <v>0</v>
      </c>
      <c r="T283" s="8">
        <f t="shared" si="1"/>
        <v>0</v>
      </c>
    </row>
    <row r="284" ht="22.5" customHeight="1">
      <c r="L284" s="4"/>
      <c r="M284" s="5">
        <f>SUMIFS(Eventos!$G:$G,Eventos!$F:$F,$L284,Eventos!$D:$D,$C$2,Eventos!$B:$B,PANES_SEMANALES[[#ALL],[LUNES]])</f>
        <v>0</v>
      </c>
      <c r="N284" s="6">
        <f>SUMIFS(Eventos!$G:$G,Eventos!$F:$F,$L284,Eventos!$D:$D,$C$2,Eventos!$B:$B,PANES_SEMANALES[[#ALL],[MARTES]])</f>
        <v>0</v>
      </c>
      <c r="O284" s="6">
        <f>SUMIFS(Eventos!$G:$G,Eventos!$F:$F,$L284,Eventos!$D:$D,$C$2,Eventos!$B:$B,PANES_SEMANALES[[#ALL],[MIÉRCOLES]])</f>
        <v>0</v>
      </c>
      <c r="P284" s="6">
        <f>SUMIFS(Eventos!$G:$G,Eventos!$F:$F,$L284,Eventos!$D:$D,$C$2,Eventos!$B:$B,PANES_SEMANALES[[#ALL],[JUEVES]])</f>
        <v>0</v>
      </c>
      <c r="Q284" s="6">
        <f>IF(P284&lt;&gt;"",SUMIFS(Eventos!$G:$G,Eventos!$B:$B,Q$2,Eventos!$D:$D,$C$2,Eventos!$F:$F,$L284),"")</f>
        <v>0</v>
      </c>
      <c r="R284" s="6">
        <f>SUMIFS(Eventos!$G:$G,Eventos!$F:$F,$L284,Eventos!$D:$D,$C$2,Eventos!$B:$B,PANES_SEMANALES[[#ALL],[SÁBADO]])</f>
        <v>0</v>
      </c>
      <c r="S284" s="7">
        <f>SUMIFS(Eventos!$G:$G,Eventos!$F:$F,$L284,Eventos!$D:$D,$C$2,Eventos!$B:$B,PANES_SEMANALES[[#ALL],[DOMINGO]])</f>
        <v>0</v>
      </c>
      <c r="T284" s="8">
        <f t="shared" si="1"/>
        <v>0</v>
      </c>
    </row>
    <row r="285" ht="22.5" customHeight="1">
      <c r="L285" s="4"/>
      <c r="M285" s="5">
        <f>SUMIFS(Eventos!$G:$G,Eventos!$F:$F,$L285,Eventos!$D:$D,$C$2,Eventos!$B:$B,PANES_SEMANALES[[#ALL],[LUNES]])</f>
        <v>0</v>
      </c>
      <c r="N285" s="6">
        <f>SUMIFS(Eventos!$G:$G,Eventos!$F:$F,$L285,Eventos!$D:$D,$C$2,Eventos!$B:$B,PANES_SEMANALES[[#ALL],[MARTES]])</f>
        <v>0</v>
      </c>
      <c r="O285" s="6">
        <f>SUMIFS(Eventos!$G:$G,Eventos!$F:$F,$L285,Eventos!$D:$D,$C$2,Eventos!$B:$B,PANES_SEMANALES[[#ALL],[MIÉRCOLES]])</f>
        <v>0</v>
      </c>
      <c r="P285" s="6">
        <f>SUMIFS(Eventos!$G:$G,Eventos!$F:$F,$L285,Eventos!$D:$D,$C$2,Eventos!$B:$B,PANES_SEMANALES[[#ALL],[JUEVES]])</f>
        <v>0</v>
      </c>
      <c r="Q285" s="6">
        <f>IF(P285&lt;&gt;"",SUMIFS(Eventos!$G:$G,Eventos!$B:$B,Q$2,Eventos!$D:$D,$C$2,Eventos!$F:$F,$L285),"")</f>
        <v>0</v>
      </c>
      <c r="R285" s="6">
        <f>SUMIFS(Eventos!$G:$G,Eventos!$F:$F,$L285,Eventos!$D:$D,$C$2,Eventos!$B:$B,PANES_SEMANALES[[#ALL],[SÁBADO]])</f>
        <v>0</v>
      </c>
      <c r="S285" s="7">
        <f>SUMIFS(Eventos!$G:$G,Eventos!$F:$F,$L285,Eventos!$D:$D,$C$2,Eventos!$B:$B,PANES_SEMANALES[[#ALL],[DOMINGO]])</f>
        <v>0</v>
      </c>
      <c r="T285" s="8">
        <f t="shared" si="1"/>
        <v>0</v>
      </c>
    </row>
    <row r="286" ht="22.5" customHeight="1">
      <c r="L286" s="4"/>
      <c r="M286" s="5">
        <f>SUMIFS(Eventos!$G:$G,Eventos!$F:$F,$L286,Eventos!$D:$D,$C$2,Eventos!$B:$B,PANES_SEMANALES[[#ALL],[LUNES]])</f>
        <v>0</v>
      </c>
      <c r="N286" s="6">
        <f>SUMIFS(Eventos!$G:$G,Eventos!$F:$F,$L286,Eventos!$D:$D,$C$2,Eventos!$B:$B,PANES_SEMANALES[[#ALL],[MARTES]])</f>
        <v>0</v>
      </c>
      <c r="O286" s="6">
        <f>SUMIFS(Eventos!$G:$G,Eventos!$F:$F,$L286,Eventos!$D:$D,$C$2,Eventos!$B:$B,PANES_SEMANALES[[#ALL],[MIÉRCOLES]])</f>
        <v>0</v>
      </c>
      <c r="P286" s="6">
        <f>SUMIFS(Eventos!$G:$G,Eventos!$F:$F,$L286,Eventos!$D:$D,$C$2,Eventos!$B:$B,PANES_SEMANALES[[#ALL],[JUEVES]])</f>
        <v>0</v>
      </c>
      <c r="Q286" s="6">
        <f>IF(P286&lt;&gt;"",SUMIFS(Eventos!$G:$G,Eventos!$B:$B,Q$2,Eventos!$D:$D,$C$2,Eventos!$F:$F,$L286),"")</f>
        <v>0</v>
      </c>
      <c r="R286" s="6">
        <f>SUMIFS(Eventos!$G:$G,Eventos!$F:$F,$L286,Eventos!$D:$D,$C$2,Eventos!$B:$B,PANES_SEMANALES[[#ALL],[SÁBADO]])</f>
        <v>0</v>
      </c>
      <c r="S286" s="7">
        <f>SUMIFS(Eventos!$G:$G,Eventos!$F:$F,$L286,Eventos!$D:$D,$C$2,Eventos!$B:$B,PANES_SEMANALES[[#ALL],[DOMINGO]])</f>
        <v>0</v>
      </c>
      <c r="T286" s="8">
        <f t="shared" si="1"/>
        <v>0</v>
      </c>
    </row>
    <row r="287" ht="22.5" customHeight="1">
      <c r="L287" s="4"/>
      <c r="M287" s="5">
        <f>SUMIFS(Eventos!$G:$G,Eventos!$F:$F,$L287,Eventos!$D:$D,$C$2,Eventos!$B:$B,PANES_SEMANALES[[#ALL],[LUNES]])</f>
        <v>0</v>
      </c>
      <c r="N287" s="6">
        <f>SUMIFS(Eventos!$G:$G,Eventos!$F:$F,$L287,Eventos!$D:$D,$C$2,Eventos!$B:$B,PANES_SEMANALES[[#ALL],[MARTES]])</f>
        <v>0</v>
      </c>
      <c r="O287" s="6">
        <f>SUMIFS(Eventos!$G:$G,Eventos!$F:$F,$L287,Eventos!$D:$D,$C$2,Eventos!$B:$B,PANES_SEMANALES[[#ALL],[MIÉRCOLES]])</f>
        <v>0</v>
      </c>
      <c r="P287" s="6">
        <f>SUMIFS(Eventos!$G:$G,Eventos!$F:$F,$L287,Eventos!$D:$D,$C$2,Eventos!$B:$B,PANES_SEMANALES[[#ALL],[JUEVES]])</f>
        <v>0</v>
      </c>
      <c r="Q287" s="6">
        <f>IF(P287&lt;&gt;"",SUMIFS(Eventos!$G:$G,Eventos!$B:$B,Q$2,Eventos!$D:$D,$C$2,Eventos!$F:$F,$L287),"")</f>
        <v>0</v>
      </c>
      <c r="R287" s="6">
        <f>SUMIFS(Eventos!$G:$G,Eventos!$F:$F,$L287,Eventos!$D:$D,$C$2,Eventos!$B:$B,PANES_SEMANALES[[#ALL],[SÁBADO]])</f>
        <v>0</v>
      </c>
      <c r="S287" s="7">
        <f>SUMIFS(Eventos!$G:$G,Eventos!$F:$F,$L287,Eventos!$D:$D,$C$2,Eventos!$B:$B,PANES_SEMANALES[[#ALL],[DOMINGO]])</f>
        <v>0</v>
      </c>
      <c r="T287" s="8">
        <f t="shared" si="1"/>
        <v>0</v>
      </c>
    </row>
    <row r="288" ht="22.5" customHeight="1">
      <c r="L288" s="4"/>
      <c r="M288" s="5">
        <f>SUMIFS(Eventos!$G:$G,Eventos!$F:$F,$L288,Eventos!$D:$D,$C$2,Eventos!$B:$B,PANES_SEMANALES[[#ALL],[LUNES]])</f>
        <v>0</v>
      </c>
      <c r="N288" s="6">
        <f>SUMIFS(Eventos!$G:$G,Eventos!$F:$F,$L288,Eventos!$D:$D,$C$2,Eventos!$B:$B,PANES_SEMANALES[[#ALL],[MARTES]])</f>
        <v>0</v>
      </c>
      <c r="O288" s="6">
        <f>SUMIFS(Eventos!$G:$G,Eventos!$F:$F,$L288,Eventos!$D:$D,$C$2,Eventos!$B:$B,PANES_SEMANALES[[#ALL],[MIÉRCOLES]])</f>
        <v>0</v>
      </c>
      <c r="P288" s="6">
        <f>SUMIFS(Eventos!$G:$G,Eventos!$F:$F,$L288,Eventos!$D:$D,$C$2,Eventos!$B:$B,PANES_SEMANALES[[#ALL],[JUEVES]])</f>
        <v>0</v>
      </c>
      <c r="Q288" s="6">
        <f>IF(P288&lt;&gt;"",SUMIFS(Eventos!$G:$G,Eventos!$B:$B,Q$2,Eventos!$D:$D,$C$2,Eventos!$F:$F,$L288),"")</f>
        <v>0</v>
      </c>
      <c r="R288" s="6">
        <f>SUMIFS(Eventos!$G:$G,Eventos!$F:$F,$L288,Eventos!$D:$D,$C$2,Eventos!$B:$B,PANES_SEMANALES[[#ALL],[SÁBADO]])</f>
        <v>0</v>
      </c>
      <c r="S288" s="7">
        <f>SUMIFS(Eventos!$G:$G,Eventos!$F:$F,$L288,Eventos!$D:$D,$C$2,Eventos!$B:$B,PANES_SEMANALES[[#ALL],[DOMINGO]])</f>
        <v>0</v>
      </c>
      <c r="T288" s="8">
        <f t="shared" si="1"/>
        <v>0</v>
      </c>
    </row>
    <row r="289" ht="22.5" customHeight="1">
      <c r="L289" s="4"/>
      <c r="M289" s="5">
        <f>SUMIFS(Eventos!$G:$G,Eventos!$F:$F,$L289,Eventos!$D:$D,$C$2,Eventos!$B:$B,PANES_SEMANALES[[#ALL],[LUNES]])</f>
        <v>0</v>
      </c>
      <c r="N289" s="6">
        <f>SUMIFS(Eventos!$G:$G,Eventos!$F:$F,$L289,Eventos!$D:$D,$C$2,Eventos!$B:$B,PANES_SEMANALES[[#ALL],[MARTES]])</f>
        <v>0</v>
      </c>
      <c r="O289" s="6">
        <f>SUMIFS(Eventos!$G:$G,Eventos!$F:$F,$L289,Eventos!$D:$D,$C$2,Eventos!$B:$B,PANES_SEMANALES[[#ALL],[MIÉRCOLES]])</f>
        <v>0</v>
      </c>
      <c r="P289" s="6">
        <f>SUMIFS(Eventos!$G:$G,Eventos!$F:$F,$L289,Eventos!$D:$D,$C$2,Eventos!$B:$B,PANES_SEMANALES[[#ALL],[JUEVES]])</f>
        <v>0</v>
      </c>
      <c r="Q289" s="6">
        <f>IF(P289&lt;&gt;"",SUMIFS(Eventos!$G:$G,Eventos!$B:$B,Q$2,Eventos!$D:$D,$C$2,Eventos!$F:$F,$L289),"")</f>
        <v>0</v>
      </c>
      <c r="R289" s="6">
        <f>SUMIFS(Eventos!$G:$G,Eventos!$F:$F,$L289,Eventos!$D:$D,$C$2,Eventos!$B:$B,PANES_SEMANALES[[#ALL],[SÁBADO]])</f>
        <v>0</v>
      </c>
      <c r="S289" s="7">
        <f>SUMIFS(Eventos!$G:$G,Eventos!$F:$F,$L289,Eventos!$D:$D,$C$2,Eventos!$B:$B,PANES_SEMANALES[[#ALL],[DOMINGO]])</f>
        <v>0</v>
      </c>
      <c r="T289" s="8">
        <f t="shared" si="1"/>
        <v>0</v>
      </c>
    </row>
    <row r="290" ht="22.5" customHeight="1">
      <c r="L290" s="4"/>
      <c r="M290" s="5">
        <f>SUMIFS(Eventos!$G:$G,Eventos!$F:$F,$L290,Eventos!$D:$D,$C$2,Eventos!$B:$B,PANES_SEMANALES[[#ALL],[LUNES]])</f>
        <v>0</v>
      </c>
      <c r="N290" s="6">
        <f>SUMIFS(Eventos!$G:$G,Eventos!$F:$F,$L290,Eventos!$D:$D,$C$2,Eventos!$B:$B,PANES_SEMANALES[[#ALL],[MARTES]])</f>
        <v>0</v>
      </c>
      <c r="O290" s="6">
        <f>SUMIFS(Eventos!$G:$G,Eventos!$F:$F,$L290,Eventos!$D:$D,$C$2,Eventos!$B:$B,PANES_SEMANALES[[#ALL],[MIÉRCOLES]])</f>
        <v>0</v>
      </c>
      <c r="P290" s="6">
        <f>SUMIFS(Eventos!$G:$G,Eventos!$F:$F,$L290,Eventos!$D:$D,$C$2,Eventos!$B:$B,PANES_SEMANALES[[#ALL],[JUEVES]])</f>
        <v>0</v>
      </c>
      <c r="Q290" s="6">
        <f>IF(P290&lt;&gt;"",SUMIFS(Eventos!$G:$G,Eventos!$B:$B,Q$2,Eventos!$D:$D,$C$2,Eventos!$F:$F,$L290),"")</f>
        <v>0</v>
      </c>
      <c r="R290" s="6">
        <f>SUMIFS(Eventos!$G:$G,Eventos!$F:$F,$L290,Eventos!$D:$D,$C$2,Eventos!$B:$B,PANES_SEMANALES[[#ALL],[SÁBADO]])</f>
        <v>0</v>
      </c>
      <c r="S290" s="7">
        <f>SUMIFS(Eventos!$G:$G,Eventos!$F:$F,$L290,Eventos!$D:$D,$C$2,Eventos!$B:$B,PANES_SEMANALES[[#ALL],[DOMINGO]])</f>
        <v>0</v>
      </c>
      <c r="T290" s="8">
        <f t="shared" si="1"/>
        <v>0</v>
      </c>
    </row>
    <row r="291" ht="22.5" customHeight="1">
      <c r="L291" s="4"/>
      <c r="M291" s="5">
        <f>SUMIFS(Eventos!$G:$G,Eventos!$F:$F,$L291,Eventos!$D:$D,$C$2,Eventos!$B:$B,PANES_SEMANALES[[#ALL],[LUNES]])</f>
        <v>0</v>
      </c>
      <c r="N291" s="6">
        <f>SUMIFS(Eventos!$G:$G,Eventos!$F:$F,$L291,Eventos!$D:$D,$C$2,Eventos!$B:$B,PANES_SEMANALES[[#ALL],[MARTES]])</f>
        <v>0</v>
      </c>
      <c r="O291" s="6">
        <f>SUMIFS(Eventos!$G:$G,Eventos!$F:$F,$L291,Eventos!$D:$D,$C$2,Eventos!$B:$B,PANES_SEMANALES[[#ALL],[MIÉRCOLES]])</f>
        <v>0</v>
      </c>
      <c r="P291" s="6">
        <f>SUMIFS(Eventos!$G:$G,Eventos!$F:$F,$L291,Eventos!$D:$D,$C$2,Eventos!$B:$B,PANES_SEMANALES[[#ALL],[JUEVES]])</f>
        <v>0</v>
      </c>
      <c r="Q291" s="6">
        <f>IF(P291&lt;&gt;"",SUMIFS(Eventos!$G:$G,Eventos!$B:$B,Q$2,Eventos!$D:$D,$C$2,Eventos!$F:$F,$L291),"")</f>
        <v>0</v>
      </c>
      <c r="R291" s="6">
        <f>SUMIFS(Eventos!$G:$G,Eventos!$F:$F,$L291,Eventos!$D:$D,$C$2,Eventos!$B:$B,PANES_SEMANALES[[#ALL],[SÁBADO]])</f>
        <v>0</v>
      </c>
      <c r="S291" s="7">
        <f>SUMIFS(Eventos!$G:$G,Eventos!$F:$F,$L291,Eventos!$D:$D,$C$2,Eventos!$B:$B,PANES_SEMANALES[[#ALL],[DOMINGO]])</f>
        <v>0</v>
      </c>
      <c r="T291" s="8">
        <f t="shared" si="1"/>
        <v>0</v>
      </c>
    </row>
    <row r="292" ht="22.5" customHeight="1">
      <c r="L292" s="4"/>
      <c r="M292" s="5">
        <f>SUMIFS(Eventos!$G:$G,Eventos!$F:$F,$L292,Eventos!$D:$D,$C$2,Eventos!$B:$B,PANES_SEMANALES[[#ALL],[LUNES]])</f>
        <v>0</v>
      </c>
      <c r="N292" s="6">
        <f>SUMIFS(Eventos!$G:$G,Eventos!$F:$F,$L292,Eventos!$D:$D,$C$2,Eventos!$B:$B,PANES_SEMANALES[[#ALL],[MARTES]])</f>
        <v>0</v>
      </c>
      <c r="O292" s="6">
        <f>SUMIFS(Eventos!$G:$G,Eventos!$F:$F,$L292,Eventos!$D:$D,$C$2,Eventos!$B:$B,PANES_SEMANALES[[#ALL],[MIÉRCOLES]])</f>
        <v>0</v>
      </c>
      <c r="P292" s="6">
        <f>SUMIFS(Eventos!$G:$G,Eventos!$F:$F,$L292,Eventos!$D:$D,$C$2,Eventos!$B:$B,PANES_SEMANALES[[#ALL],[JUEVES]])</f>
        <v>0</v>
      </c>
      <c r="Q292" s="6">
        <f>IF(P292&lt;&gt;"",SUMIFS(Eventos!$G:$G,Eventos!$B:$B,Q$2,Eventos!$D:$D,$C$2,Eventos!$F:$F,$L292),"")</f>
        <v>0</v>
      </c>
      <c r="R292" s="6">
        <f>SUMIFS(Eventos!$G:$G,Eventos!$F:$F,$L292,Eventos!$D:$D,$C$2,Eventos!$B:$B,PANES_SEMANALES[[#ALL],[SÁBADO]])</f>
        <v>0</v>
      </c>
      <c r="S292" s="7">
        <f>SUMIFS(Eventos!$G:$G,Eventos!$F:$F,$L292,Eventos!$D:$D,$C$2,Eventos!$B:$B,PANES_SEMANALES[[#ALL],[DOMINGO]])</f>
        <v>0</v>
      </c>
      <c r="T292" s="8">
        <f t="shared" si="1"/>
        <v>0</v>
      </c>
    </row>
    <row r="293" ht="22.5" customHeight="1">
      <c r="L293" s="4"/>
      <c r="M293" s="5">
        <f>SUMIFS(Eventos!$G:$G,Eventos!$F:$F,$L293,Eventos!$D:$D,$C$2,Eventos!$B:$B,PANES_SEMANALES[[#ALL],[LUNES]])</f>
        <v>0</v>
      </c>
      <c r="N293" s="6">
        <f>SUMIFS(Eventos!$G:$G,Eventos!$F:$F,$L293,Eventos!$D:$D,$C$2,Eventos!$B:$B,PANES_SEMANALES[[#ALL],[MARTES]])</f>
        <v>0</v>
      </c>
      <c r="O293" s="6">
        <f>SUMIFS(Eventos!$G:$G,Eventos!$F:$F,$L293,Eventos!$D:$D,$C$2,Eventos!$B:$B,PANES_SEMANALES[[#ALL],[MIÉRCOLES]])</f>
        <v>0</v>
      </c>
      <c r="P293" s="6">
        <f>SUMIFS(Eventos!$G:$G,Eventos!$F:$F,$L293,Eventos!$D:$D,$C$2,Eventos!$B:$B,PANES_SEMANALES[[#ALL],[JUEVES]])</f>
        <v>0</v>
      </c>
      <c r="Q293" s="6">
        <f>IF(P293&lt;&gt;"",SUMIFS(Eventos!$G:$G,Eventos!$B:$B,Q$2,Eventos!$D:$D,$C$2,Eventos!$F:$F,$L293),"")</f>
        <v>0</v>
      </c>
      <c r="R293" s="6">
        <f>SUMIFS(Eventos!$G:$G,Eventos!$F:$F,$L293,Eventos!$D:$D,$C$2,Eventos!$B:$B,PANES_SEMANALES[[#ALL],[SÁBADO]])</f>
        <v>0</v>
      </c>
      <c r="S293" s="7">
        <f>SUMIFS(Eventos!$G:$G,Eventos!$F:$F,$L293,Eventos!$D:$D,$C$2,Eventos!$B:$B,PANES_SEMANALES[[#ALL],[DOMINGO]])</f>
        <v>0</v>
      </c>
      <c r="T293" s="8">
        <f t="shared" si="1"/>
        <v>0</v>
      </c>
    </row>
    <row r="294" ht="22.5" customHeight="1">
      <c r="L294" s="4"/>
      <c r="M294" s="5">
        <f>SUMIFS(Eventos!$G:$G,Eventos!$F:$F,$L294,Eventos!$D:$D,$C$2,Eventos!$B:$B,PANES_SEMANALES[[#ALL],[LUNES]])</f>
        <v>0</v>
      </c>
      <c r="N294" s="6">
        <f>SUMIFS(Eventos!$G:$G,Eventos!$F:$F,$L294,Eventos!$D:$D,$C$2,Eventos!$B:$B,PANES_SEMANALES[[#ALL],[MARTES]])</f>
        <v>0</v>
      </c>
      <c r="O294" s="6">
        <f>SUMIFS(Eventos!$G:$G,Eventos!$F:$F,$L294,Eventos!$D:$D,$C$2,Eventos!$B:$B,PANES_SEMANALES[[#ALL],[MIÉRCOLES]])</f>
        <v>0</v>
      </c>
      <c r="P294" s="6">
        <f>SUMIFS(Eventos!$G:$G,Eventos!$F:$F,$L294,Eventos!$D:$D,$C$2,Eventos!$B:$B,PANES_SEMANALES[[#ALL],[JUEVES]])</f>
        <v>0</v>
      </c>
      <c r="Q294" s="6">
        <f>IF(P294&lt;&gt;"",SUMIFS(Eventos!$G:$G,Eventos!$B:$B,Q$2,Eventos!$D:$D,$C$2,Eventos!$F:$F,$L294),"")</f>
        <v>0</v>
      </c>
      <c r="R294" s="6">
        <f>SUMIFS(Eventos!$G:$G,Eventos!$F:$F,$L294,Eventos!$D:$D,$C$2,Eventos!$B:$B,PANES_SEMANALES[[#ALL],[SÁBADO]])</f>
        <v>0</v>
      </c>
      <c r="S294" s="7">
        <f>SUMIFS(Eventos!$G:$G,Eventos!$F:$F,$L294,Eventos!$D:$D,$C$2,Eventos!$B:$B,PANES_SEMANALES[[#ALL],[DOMINGO]])</f>
        <v>0</v>
      </c>
      <c r="T294" s="8">
        <f t="shared" si="1"/>
        <v>0</v>
      </c>
    </row>
    <row r="295" ht="22.5" customHeight="1">
      <c r="L295" s="4"/>
      <c r="M295" s="5">
        <f>SUMIFS(Eventos!$G:$G,Eventos!$F:$F,$L295,Eventos!$D:$D,$C$2,Eventos!$B:$B,PANES_SEMANALES[[#ALL],[LUNES]])</f>
        <v>0</v>
      </c>
      <c r="N295" s="6">
        <f>SUMIFS(Eventos!$G:$G,Eventos!$F:$F,$L295,Eventos!$D:$D,$C$2,Eventos!$B:$B,PANES_SEMANALES[[#ALL],[MARTES]])</f>
        <v>0</v>
      </c>
      <c r="O295" s="6">
        <f>SUMIFS(Eventos!$G:$G,Eventos!$F:$F,$L295,Eventos!$D:$D,$C$2,Eventos!$B:$B,PANES_SEMANALES[[#ALL],[MIÉRCOLES]])</f>
        <v>0</v>
      </c>
      <c r="P295" s="6">
        <f>SUMIFS(Eventos!$G:$G,Eventos!$F:$F,$L295,Eventos!$D:$D,$C$2,Eventos!$B:$B,PANES_SEMANALES[[#ALL],[JUEVES]])</f>
        <v>0</v>
      </c>
      <c r="Q295" s="6">
        <f>IF(P295&lt;&gt;"",SUMIFS(Eventos!$G:$G,Eventos!$B:$B,Q$2,Eventos!$D:$D,$C$2,Eventos!$F:$F,$L295),"")</f>
        <v>0</v>
      </c>
      <c r="R295" s="6">
        <f>SUMIFS(Eventos!$G:$G,Eventos!$F:$F,$L295,Eventos!$D:$D,$C$2,Eventos!$B:$B,PANES_SEMANALES[[#ALL],[SÁBADO]])</f>
        <v>0</v>
      </c>
      <c r="S295" s="7">
        <f>SUMIFS(Eventos!$G:$G,Eventos!$F:$F,$L295,Eventos!$D:$D,$C$2,Eventos!$B:$B,PANES_SEMANALES[[#ALL],[DOMINGO]])</f>
        <v>0</v>
      </c>
      <c r="T295" s="8">
        <f t="shared" si="1"/>
        <v>0</v>
      </c>
    </row>
    <row r="296" ht="22.5" customHeight="1">
      <c r="L296" s="4"/>
      <c r="M296" s="5">
        <f>SUMIFS(Eventos!$G:$G,Eventos!$F:$F,$L296,Eventos!$D:$D,$C$2,Eventos!$B:$B,PANES_SEMANALES[[#ALL],[LUNES]])</f>
        <v>0</v>
      </c>
      <c r="N296" s="6">
        <f>SUMIFS(Eventos!$G:$G,Eventos!$F:$F,$L296,Eventos!$D:$D,$C$2,Eventos!$B:$B,PANES_SEMANALES[[#ALL],[MARTES]])</f>
        <v>0</v>
      </c>
      <c r="O296" s="6">
        <f>SUMIFS(Eventos!$G:$G,Eventos!$F:$F,$L296,Eventos!$D:$D,$C$2,Eventos!$B:$B,PANES_SEMANALES[[#ALL],[MIÉRCOLES]])</f>
        <v>0</v>
      </c>
      <c r="P296" s="6">
        <f>SUMIFS(Eventos!$G:$G,Eventos!$F:$F,$L296,Eventos!$D:$D,$C$2,Eventos!$B:$B,PANES_SEMANALES[[#ALL],[JUEVES]])</f>
        <v>0</v>
      </c>
      <c r="Q296" s="6">
        <f>IF(P296&lt;&gt;"",SUMIFS(Eventos!$G:$G,Eventos!$B:$B,Q$2,Eventos!$D:$D,$C$2,Eventos!$F:$F,$L296),"")</f>
        <v>0</v>
      </c>
      <c r="R296" s="6">
        <f>SUMIFS(Eventos!$G:$G,Eventos!$F:$F,$L296,Eventos!$D:$D,$C$2,Eventos!$B:$B,PANES_SEMANALES[[#ALL],[SÁBADO]])</f>
        <v>0</v>
      </c>
      <c r="S296" s="7">
        <f>SUMIFS(Eventos!$G:$G,Eventos!$F:$F,$L296,Eventos!$D:$D,$C$2,Eventos!$B:$B,PANES_SEMANALES[[#ALL],[DOMINGO]])</f>
        <v>0</v>
      </c>
      <c r="T296" s="8">
        <f t="shared" si="1"/>
        <v>0</v>
      </c>
    </row>
    <row r="297" ht="22.5" customHeight="1">
      <c r="L297" s="4"/>
      <c r="M297" s="5">
        <f>SUMIFS(Eventos!$G:$G,Eventos!$F:$F,$L297,Eventos!$D:$D,$C$2,Eventos!$B:$B,PANES_SEMANALES[[#ALL],[LUNES]])</f>
        <v>0</v>
      </c>
      <c r="N297" s="6">
        <f>SUMIFS(Eventos!$G:$G,Eventos!$F:$F,$L297,Eventos!$D:$D,$C$2,Eventos!$B:$B,PANES_SEMANALES[[#ALL],[MARTES]])</f>
        <v>0</v>
      </c>
      <c r="O297" s="6">
        <f>SUMIFS(Eventos!$G:$G,Eventos!$F:$F,$L297,Eventos!$D:$D,$C$2,Eventos!$B:$B,PANES_SEMANALES[[#ALL],[MIÉRCOLES]])</f>
        <v>0</v>
      </c>
      <c r="P297" s="6">
        <f>SUMIFS(Eventos!$G:$G,Eventos!$F:$F,$L297,Eventos!$D:$D,$C$2,Eventos!$B:$B,PANES_SEMANALES[[#ALL],[JUEVES]])</f>
        <v>0</v>
      </c>
      <c r="Q297" s="6">
        <f>IF(P297&lt;&gt;"",SUMIFS(Eventos!$G:$G,Eventos!$B:$B,Q$2,Eventos!$D:$D,$C$2,Eventos!$F:$F,$L297),"")</f>
        <v>0</v>
      </c>
      <c r="R297" s="6">
        <f>SUMIFS(Eventos!$G:$G,Eventos!$F:$F,$L297,Eventos!$D:$D,$C$2,Eventos!$B:$B,PANES_SEMANALES[[#ALL],[SÁBADO]])</f>
        <v>0</v>
      </c>
      <c r="S297" s="7">
        <f>SUMIFS(Eventos!$G:$G,Eventos!$F:$F,$L297,Eventos!$D:$D,$C$2,Eventos!$B:$B,PANES_SEMANALES[[#ALL],[DOMINGO]])</f>
        <v>0</v>
      </c>
      <c r="T297" s="8">
        <f t="shared" si="1"/>
        <v>0</v>
      </c>
    </row>
    <row r="298" ht="22.5" customHeight="1">
      <c r="L298" s="4"/>
      <c r="M298" s="5">
        <f>SUMIFS(Eventos!$G:$G,Eventos!$F:$F,$L298,Eventos!$D:$D,$C$2,Eventos!$B:$B,PANES_SEMANALES[[#ALL],[LUNES]])</f>
        <v>0</v>
      </c>
      <c r="N298" s="6">
        <f>SUMIFS(Eventos!$G:$G,Eventos!$F:$F,$L298,Eventos!$D:$D,$C$2,Eventos!$B:$B,PANES_SEMANALES[[#ALL],[MARTES]])</f>
        <v>0</v>
      </c>
      <c r="O298" s="6">
        <f>SUMIFS(Eventos!$G:$G,Eventos!$F:$F,$L298,Eventos!$D:$D,$C$2,Eventos!$B:$B,PANES_SEMANALES[[#ALL],[MIÉRCOLES]])</f>
        <v>0</v>
      </c>
      <c r="P298" s="6">
        <f>SUMIFS(Eventos!$G:$G,Eventos!$F:$F,$L298,Eventos!$D:$D,$C$2,Eventos!$B:$B,PANES_SEMANALES[[#ALL],[JUEVES]])</f>
        <v>0</v>
      </c>
      <c r="Q298" s="6">
        <f>IF(P298&lt;&gt;"",SUMIFS(Eventos!$G:$G,Eventos!$B:$B,Q$2,Eventos!$D:$D,$C$2,Eventos!$F:$F,$L298),"")</f>
        <v>0</v>
      </c>
      <c r="R298" s="6">
        <f>SUMIFS(Eventos!$G:$G,Eventos!$F:$F,$L298,Eventos!$D:$D,$C$2,Eventos!$B:$B,PANES_SEMANALES[[#ALL],[SÁBADO]])</f>
        <v>0</v>
      </c>
      <c r="S298" s="7">
        <f>SUMIFS(Eventos!$G:$G,Eventos!$F:$F,$L298,Eventos!$D:$D,$C$2,Eventos!$B:$B,PANES_SEMANALES[[#ALL],[DOMINGO]])</f>
        <v>0</v>
      </c>
      <c r="T298" s="8">
        <f t="shared" si="1"/>
        <v>0</v>
      </c>
    </row>
    <row r="299" ht="22.5" customHeight="1">
      <c r="L299" s="4"/>
      <c r="M299" s="5">
        <f>SUMIFS(Eventos!$G:$G,Eventos!$F:$F,$L299,Eventos!$D:$D,$C$2,Eventos!$B:$B,PANES_SEMANALES[[#ALL],[LUNES]])</f>
        <v>0</v>
      </c>
      <c r="N299" s="6">
        <f>SUMIFS(Eventos!$G:$G,Eventos!$F:$F,$L299,Eventos!$D:$D,$C$2,Eventos!$B:$B,PANES_SEMANALES[[#ALL],[MARTES]])</f>
        <v>0</v>
      </c>
      <c r="O299" s="6">
        <f>SUMIFS(Eventos!$G:$G,Eventos!$F:$F,$L299,Eventos!$D:$D,$C$2,Eventos!$B:$B,PANES_SEMANALES[[#ALL],[MIÉRCOLES]])</f>
        <v>0</v>
      </c>
      <c r="P299" s="6">
        <f>SUMIFS(Eventos!$G:$G,Eventos!$F:$F,$L299,Eventos!$D:$D,$C$2,Eventos!$B:$B,PANES_SEMANALES[[#ALL],[JUEVES]])</f>
        <v>0</v>
      </c>
      <c r="Q299" s="6">
        <f>IF(P299&lt;&gt;"",SUMIFS(Eventos!$G:$G,Eventos!$B:$B,Q$2,Eventos!$D:$D,$C$2,Eventos!$F:$F,$L299),"")</f>
        <v>0</v>
      </c>
      <c r="R299" s="6">
        <f>SUMIFS(Eventos!$G:$G,Eventos!$F:$F,$L299,Eventos!$D:$D,$C$2,Eventos!$B:$B,PANES_SEMANALES[[#ALL],[SÁBADO]])</f>
        <v>0</v>
      </c>
      <c r="S299" s="7">
        <f>SUMIFS(Eventos!$G:$G,Eventos!$F:$F,$L299,Eventos!$D:$D,$C$2,Eventos!$B:$B,PANES_SEMANALES[[#ALL],[DOMINGO]])</f>
        <v>0</v>
      </c>
      <c r="T299" s="8">
        <f t="shared" si="1"/>
        <v>0</v>
      </c>
    </row>
    <row r="300" ht="22.5" customHeight="1">
      <c r="L300" s="4"/>
      <c r="M300" s="5">
        <f>SUMIFS(Eventos!$G:$G,Eventos!$F:$F,$L300,Eventos!$D:$D,$C$2,Eventos!$B:$B,PANES_SEMANALES[[#ALL],[LUNES]])</f>
        <v>0</v>
      </c>
      <c r="N300" s="6">
        <f>SUMIFS(Eventos!$G:$G,Eventos!$F:$F,$L300,Eventos!$D:$D,$C$2,Eventos!$B:$B,PANES_SEMANALES[[#ALL],[MARTES]])</f>
        <v>0</v>
      </c>
      <c r="O300" s="6">
        <f>SUMIFS(Eventos!$G:$G,Eventos!$F:$F,$L300,Eventos!$D:$D,$C$2,Eventos!$B:$B,PANES_SEMANALES[[#ALL],[MIÉRCOLES]])</f>
        <v>0</v>
      </c>
      <c r="P300" s="6">
        <f>SUMIFS(Eventos!$G:$G,Eventos!$F:$F,$L300,Eventos!$D:$D,$C$2,Eventos!$B:$B,PANES_SEMANALES[[#ALL],[JUEVES]])</f>
        <v>0</v>
      </c>
      <c r="Q300" s="6">
        <f>IF(P300&lt;&gt;"",SUMIFS(Eventos!$G:$G,Eventos!$B:$B,Q$2,Eventos!$D:$D,$C$2,Eventos!$F:$F,$L300),"")</f>
        <v>0</v>
      </c>
      <c r="R300" s="6">
        <f>SUMIFS(Eventos!$G:$G,Eventos!$F:$F,$L300,Eventos!$D:$D,$C$2,Eventos!$B:$B,PANES_SEMANALES[[#ALL],[SÁBADO]])</f>
        <v>0</v>
      </c>
      <c r="S300" s="7">
        <f>SUMIFS(Eventos!$G:$G,Eventos!$F:$F,$L300,Eventos!$D:$D,$C$2,Eventos!$B:$B,PANES_SEMANALES[[#ALL],[DOMINGO]])</f>
        <v>0</v>
      </c>
      <c r="T300" s="8">
        <f t="shared" si="1"/>
        <v>0</v>
      </c>
    </row>
    <row r="301" ht="22.5" customHeight="1">
      <c r="L301" s="4"/>
      <c r="M301" s="5">
        <f>SUMIFS(Eventos!$G:$G,Eventos!$F:$F,$L301,Eventos!$D:$D,$C$2,Eventos!$B:$B,PANES_SEMANALES[[#ALL],[LUNES]])</f>
        <v>0</v>
      </c>
      <c r="N301" s="6">
        <f>SUMIFS(Eventos!$G:$G,Eventos!$F:$F,$L301,Eventos!$D:$D,$C$2,Eventos!$B:$B,PANES_SEMANALES[[#ALL],[MARTES]])</f>
        <v>0</v>
      </c>
      <c r="O301" s="6">
        <f>SUMIFS(Eventos!$G:$G,Eventos!$F:$F,$L301,Eventos!$D:$D,$C$2,Eventos!$B:$B,PANES_SEMANALES[[#ALL],[MIÉRCOLES]])</f>
        <v>0</v>
      </c>
      <c r="P301" s="6">
        <f>SUMIFS(Eventos!$G:$G,Eventos!$F:$F,$L301,Eventos!$D:$D,$C$2,Eventos!$B:$B,PANES_SEMANALES[[#ALL],[JUEVES]])</f>
        <v>0</v>
      </c>
      <c r="Q301" s="6">
        <f>IF(P301&lt;&gt;"",SUMIFS(Eventos!$G:$G,Eventos!$B:$B,Q$2,Eventos!$D:$D,$C$2,Eventos!$F:$F,$L301),"")</f>
        <v>0</v>
      </c>
      <c r="R301" s="6">
        <f>SUMIFS(Eventos!$G:$G,Eventos!$F:$F,$L301,Eventos!$D:$D,$C$2,Eventos!$B:$B,PANES_SEMANALES[[#ALL],[SÁBADO]])</f>
        <v>0</v>
      </c>
      <c r="S301" s="7">
        <f>SUMIFS(Eventos!$G:$G,Eventos!$F:$F,$L301,Eventos!$D:$D,$C$2,Eventos!$B:$B,PANES_SEMANALES[[#ALL],[DOMINGO]])</f>
        <v>0</v>
      </c>
      <c r="T301" s="8">
        <f t="shared" si="1"/>
        <v>0</v>
      </c>
    </row>
    <row r="302" ht="22.5" customHeight="1">
      <c r="L302" s="4"/>
      <c r="M302" s="5">
        <f>SUMIFS(Eventos!$G:$G,Eventos!$F:$F,$L302,Eventos!$D:$D,$C$2,Eventos!$B:$B,PANES_SEMANALES[[#ALL],[LUNES]])</f>
        <v>0</v>
      </c>
      <c r="N302" s="6">
        <f>SUMIFS(Eventos!$G:$G,Eventos!$F:$F,$L302,Eventos!$D:$D,$C$2,Eventos!$B:$B,PANES_SEMANALES[[#ALL],[MARTES]])</f>
        <v>0</v>
      </c>
      <c r="O302" s="6">
        <f>SUMIFS(Eventos!$G:$G,Eventos!$F:$F,$L302,Eventos!$D:$D,$C$2,Eventos!$B:$B,PANES_SEMANALES[[#ALL],[MIÉRCOLES]])</f>
        <v>0</v>
      </c>
      <c r="P302" s="6">
        <f>SUMIFS(Eventos!$G:$G,Eventos!$F:$F,$L302,Eventos!$D:$D,$C$2,Eventos!$B:$B,PANES_SEMANALES[[#ALL],[JUEVES]])</f>
        <v>0</v>
      </c>
      <c r="Q302" s="6">
        <f>IF(P302&lt;&gt;"",SUMIFS(Eventos!$G:$G,Eventos!$B:$B,Q$2,Eventos!$D:$D,$C$2,Eventos!$F:$F,$L302),"")</f>
        <v>0</v>
      </c>
      <c r="R302" s="6">
        <f>SUMIFS(Eventos!$G:$G,Eventos!$F:$F,$L302,Eventos!$D:$D,$C$2,Eventos!$B:$B,PANES_SEMANALES[[#ALL],[SÁBADO]])</f>
        <v>0</v>
      </c>
      <c r="S302" s="7">
        <f>SUMIFS(Eventos!$G:$G,Eventos!$F:$F,$L302,Eventos!$D:$D,$C$2,Eventos!$B:$B,PANES_SEMANALES[[#ALL],[DOMINGO]])</f>
        <v>0</v>
      </c>
      <c r="T302" s="8">
        <f t="shared" si="1"/>
        <v>0</v>
      </c>
    </row>
    <row r="303" ht="22.5" customHeight="1">
      <c r="L303" s="4"/>
      <c r="M303" s="5">
        <f>SUMIFS(Eventos!$G:$G,Eventos!$F:$F,$L303,Eventos!$D:$D,$C$2,Eventos!$B:$B,PANES_SEMANALES[[#ALL],[LUNES]])</f>
        <v>0</v>
      </c>
      <c r="N303" s="6">
        <f>SUMIFS(Eventos!$G:$G,Eventos!$F:$F,$L303,Eventos!$D:$D,$C$2,Eventos!$B:$B,PANES_SEMANALES[[#ALL],[MARTES]])</f>
        <v>0</v>
      </c>
      <c r="O303" s="6">
        <f>SUMIFS(Eventos!$G:$G,Eventos!$F:$F,$L303,Eventos!$D:$D,$C$2,Eventos!$B:$B,PANES_SEMANALES[[#ALL],[MIÉRCOLES]])</f>
        <v>0</v>
      </c>
      <c r="P303" s="6">
        <f>SUMIFS(Eventos!$G:$G,Eventos!$F:$F,$L303,Eventos!$D:$D,$C$2,Eventos!$B:$B,PANES_SEMANALES[[#ALL],[JUEVES]])</f>
        <v>0</v>
      </c>
      <c r="Q303" s="6">
        <f>IF(P303&lt;&gt;"",SUMIFS(Eventos!$G:$G,Eventos!$B:$B,Q$2,Eventos!$D:$D,$C$2,Eventos!$F:$F,$L303),"")</f>
        <v>0</v>
      </c>
      <c r="R303" s="6">
        <f>SUMIFS(Eventos!$G:$G,Eventos!$F:$F,$L303,Eventos!$D:$D,$C$2,Eventos!$B:$B,PANES_SEMANALES[[#ALL],[SÁBADO]])</f>
        <v>0</v>
      </c>
      <c r="S303" s="7">
        <f>SUMIFS(Eventos!$G:$G,Eventos!$F:$F,$L303,Eventos!$D:$D,$C$2,Eventos!$B:$B,PANES_SEMANALES[[#ALL],[DOMINGO]])</f>
        <v>0</v>
      </c>
      <c r="T303" s="8">
        <f t="shared" si="1"/>
        <v>0</v>
      </c>
    </row>
    <row r="304" ht="22.5" customHeight="1">
      <c r="L304" s="4"/>
      <c r="M304" s="5">
        <f>SUMIFS(Eventos!$G:$G,Eventos!$F:$F,$L304,Eventos!$D:$D,$C$2,Eventos!$B:$B,PANES_SEMANALES[[#ALL],[LUNES]])</f>
        <v>0</v>
      </c>
      <c r="N304" s="6">
        <f>SUMIFS(Eventos!$G:$G,Eventos!$F:$F,$L304,Eventos!$D:$D,$C$2,Eventos!$B:$B,PANES_SEMANALES[[#ALL],[MARTES]])</f>
        <v>0</v>
      </c>
      <c r="O304" s="6">
        <f>SUMIFS(Eventos!$G:$G,Eventos!$F:$F,$L304,Eventos!$D:$D,$C$2,Eventos!$B:$B,PANES_SEMANALES[[#ALL],[MIÉRCOLES]])</f>
        <v>0</v>
      </c>
      <c r="P304" s="6">
        <f>SUMIFS(Eventos!$G:$G,Eventos!$F:$F,$L304,Eventos!$D:$D,$C$2,Eventos!$B:$B,PANES_SEMANALES[[#ALL],[JUEVES]])</f>
        <v>0</v>
      </c>
      <c r="Q304" s="6">
        <f>IF(P304&lt;&gt;"",SUMIFS(Eventos!$G:$G,Eventos!$B:$B,Q$2,Eventos!$D:$D,$C$2,Eventos!$F:$F,$L304),"")</f>
        <v>0</v>
      </c>
      <c r="R304" s="6">
        <f>SUMIFS(Eventos!$G:$G,Eventos!$F:$F,$L304,Eventos!$D:$D,$C$2,Eventos!$B:$B,PANES_SEMANALES[[#ALL],[SÁBADO]])</f>
        <v>0</v>
      </c>
      <c r="S304" s="7">
        <f>SUMIFS(Eventos!$G:$G,Eventos!$F:$F,$L304,Eventos!$D:$D,$C$2,Eventos!$B:$B,PANES_SEMANALES[[#ALL],[DOMINGO]])</f>
        <v>0</v>
      </c>
      <c r="T304" s="8">
        <f t="shared" si="1"/>
        <v>0</v>
      </c>
    </row>
    <row r="305" ht="22.5" customHeight="1">
      <c r="L305" s="4"/>
      <c r="M305" s="5">
        <f>SUMIFS(Eventos!$G:$G,Eventos!$F:$F,$L305,Eventos!$D:$D,$C$2,Eventos!$B:$B,PANES_SEMANALES[[#ALL],[LUNES]])</f>
        <v>0</v>
      </c>
      <c r="N305" s="6">
        <f>SUMIFS(Eventos!$G:$G,Eventos!$F:$F,$L305,Eventos!$D:$D,$C$2,Eventos!$B:$B,PANES_SEMANALES[[#ALL],[MARTES]])</f>
        <v>0</v>
      </c>
      <c r="O305" s="6">
        <f>SUMIFS(Eventos!$G:$G,Eventos!$F:$F,$L305,Eventos!$D:$D,$C$2,Eventos!$B:$B,PANES_SEMANALES[[#ALL],[MIÉRCOLES]])</f>
        <v>0</v>
      </c>
      <c r="P305" s="6">
        <f>SUMIFS(Eventos!$G:$G,Eventos!$F:$F,$L305,Eventos!$D:$D,$C$2,Eventos!$B:$B,PANES_SEMANALES[[#ALL],[JUEVES]])</f>
        <v>0</v>
      </c>
      <c r="Q305" s="6">
        <f>IF(P305&lt;&gt;"",SUMIFS(Eventos!$G:$G,Eventos!$B:$B,Q$2,Eventos!$D:$D,$C$2,Eventos!$F:$F,$L305),"")</f>
        <v>0</v>
      </c>
      <c r="R305" s="6">
        <f>SUMIFS(Eventos!$G:$G,Eventos!$F:$F,$L305,Eventos!$D:$D,$C$2,Eventos!$B:$B,PANES_SEMANALES[[#ALL],[SÁBADO]])</f>
        <v>0</v>
      </c>
      <c r="S305" s="7">
        <f>SUMIFS(Eventos!$G:$G,Eventos!$F:$F,$L305,Eventos!$D:$D,$C$2,Eventos!$B:$B,PANES_SEMANALES[[#ALL],[DOMINGO]])</f>
        <v>0</v>
      </c>
      <c r="T305" s="8">
        <f t="shared" si="1"/>
        <v>0</v>
      </c>
    </row>
    <row r="306" ht="22.5" customHeight="1">
      <c r="L306" s="4"/>
      <c r="M306" s="5">
        <f>SUMIFS(Eventos!$G:$G,Eventos!$F:$F,$L306,Eventos!$D:$D,$C$2,Eventos!$B:$B,PANES_SEMANALES[[#ALL],[LUNES]])</f>
        <v>0</v>
      </c>
      <c r="N306" s="6">
        <f>SUMIFS(Eventos!$G:$G,Eventos!$F:$F,$L306,Eventos!$D:$D,$C$2,Eventos!$B:$B,PANES_SEMANALES[[#ALL],[MARTES]])</f>
        <v>0</v>
      </c>
      <c r="O306" s="6">
        <f>SUMIFS(Eventos!$G:$G,Eventos!$F:$F,$L306,Eventos!$D:$D,$C$2,Eventos!$B:$B,PANES_SEMANALES[[#ALL],[MIÉRCOLES]])</f>
        <v>0</v>
      </c>
      <c r="P306" s="6">
        <f>SUMIFS(Eventos!$G:$G,Eventos!$F:$F,$L306,Eventos!$D:$D,$C$2,Eventos!$B:$B,PANES_SEMANALES[[#ALL],[JUEVES]])</f>
        <v>0</v>
      </c>
      <c r="Q306" s="6">
        <f>IF(P306&lt;&gt;"",SUMIFS(Eventos!$G:$G,Eventos!$B:$B,Q$2,Eventos!$D:$D,$C$2,Eventos!$F:$F,$L306),"")</f>
        <v>0</v>
      </c>
      <c r="R306" s="6">
        <f>SUMIFS(Eventos!$G:$G,Eventos!$F:$F,$L306,Eventos!$D:$D,$C$2,Eventos!$B:$B,PANES_SEMANALES[[#ALL],[SÁBADO]])</f>
        <v>0</v>
      </c>
      <c r="S306" s="7">
        <f>SUMIFS(Eventos!$G:$G,Eventos!$F:$F,$L306,Eventos!$D:$D,$C$2,Eventos!$B:$B,PANES_SEMANALES[[#ALL],[DOMINGO]])</f>
        <v>0</v>
      </c>
      <c r="T306" s="8">
        <f t="shared" si="1"/>
        <v>0</v>
      </c>
    </row>
    <row r="307" ht="22.5" customHeight="1">
      <c r="L307" s="4"/>
      <c r="M307" s="5">
        <f>SUMIFS(Eventos!$G:$G,Eventos!$F:$F,$L307,Eventos!$D:$D,$C$2,Eventos!$B:$B,PANES_SEMANALES[[#ALL],[LUNES]])</f>
        <v>0</v>
      </c>
      <c r="N307" s="6">
        <f>SUMIFS(Eventos!$G:$G,Eventos!$F:$F,$L307,Eventos!$D:$D,$C$2,Eventos!$B:$B,PANES_SEMANALES[[#ALL],[MARTES]])</f>
        <v>0</v>
      </c>
      <c r="O307" s="6">
        <f>SUMIFS(Eventos!$G:$G,Eventos!$F:$F,$L307,Eventos!$D:$D,$C$2,Eventos!$B:$B,PANES_SEMANALES[[#ALL],[MIÉRCOLES]])</f>
        <v>0</v>
      </c>
      <c r="P307" s="6">
        <f>SUMIFS(Eventos!$G:$G,Eventos!$F:$F,$L307,Eventos!$D:$D,$C$2,Eventos!$B:$B,PANES_SEMANALES[[#ALL],[JUEVES]])</f>
        <v>0</v>
      </c>
      <c r="Q307" s="6">
        <f>IF(P307&lt;&gt;"",SUMIFS(Eventos!$G:$G,Eventos!$B:$B,Q$2,Eventos!$D:$D,$C$2,Eventos!$F:$F,$L307),"")</f>
        <v>0</v>
      </c>
      <c r="R307" s="6">
        <f>SUMIFS(Eventos!$G:$G,Eventos!$F:$F,$L307,Eventos!$D:$D,$C$2,Eventos!$B:$B,PANES_SEMANALES[[#ALL],[SÁBADO]])</f>
        <v>0</v>
      </c>
      <c r="S307" s="7">
        <f>SUMIFS(Eventos!$G:$G,Eventos!$F:$F,$L307,Eventos!$D:$D,$C$2,Eventos!$B:$B,PANES_SEMANALES[[#ALL],[DOMINGO]])</f>
        <v>0</v>
      </c>
      <c r="T307" s="8">
        <f t="shared" si="1"/>
        <v>0</v>
      </c>
    </row>
    <row r="308" ht="22.5" customHeight="1">
      <c r="L308" s="4"/>
      <c r="M308" s="5">
        <f>SUMIFS(Eventos!$G:$G,Eventos!$F:$F,$L308,Eventos!$D:$D,$C$2,Eventos!$B:$B,PANES_SEMANALES[[#ALL],[LUNES]])</f>
        <v>0</v>
      </c>
      <c r="N308" s="6">
        <f>SUMIFS(Eventos!$G:$G,Eventos!$F:$F,$L308,Eventos!$D:$D,$C$2,Eventos!$B:$B,PANES_SEMANALES[[#ALL],[MARTES]])</f>
        <v>0</v>
      </c>
      <c r="O308" s="6">
        <f>SUMIFS(Eventos!$G:$G,Eventos!$F:$F,$L308,Eventos!$D:$D,$C$2,Eventos!$B:$B,PANES_SEMANALES[[#ALL],[MIÉRCOLES]])</f>
        <v>0</v>
      </c>
      <c r="P308" s="6">
        <f>SUMIFS(Eventos!$G:$G,Eventos!$F:$F,$L308,Eventos!$D:$D,$C$2,Eventos!$B:$B,PANES_SEMANALES[[#ALL],[JUEVES]])</f>
        <v>0</v>
      </c>
      <c r="Q308" s="6">
        <f>IF(P308&lt;&gt;"",SUMIFS(Eventos!$G:$G,Eventos!$B:$B,Q$2,Eventos!$D:$D,$C$2,Eventos!$F:$F,$L308),"")</f>
        <v>0</v>
      </c>
      <c r="R308" s="6">
        <f>SUMIFS(Eventos!$G:$G,Eventos!$F:$F,$L308,Eventos!$D:$D,$C$2,Eventos!$B:$B,PANES_SEMANALES[[#ALL],[SÁBADO]])</f>
        <v>0</v>
      </c>
      <c r="S308" s="7">
        <f>SUMIFS(Eventos!$G:$G,Eventos!$F:$F,$L308,Eventos!$D:$D,$C$2,Eventos!$B:$B,PANES_SEMANALES[[#ALL],[DOMINGO]])</f>
        <v>0</v>
      </c>
      <c r="T308" s="8">
        <f t="shared" si="1"/>
        <v>0</v>
      </c>
    </row>
    <row r="309" ht="22.5" customHeight="1">
      <c r="L309" s="4"/>
      <c r="M309" s="5">
        <f>SUMIFS(Eventos!$G:$G,Eventos!$F:$F,$L309,Eventos!$D:$D,$C$2,Eventos!$B:$B,PANES_SEMANALES[[#ALL],[LUNES]])</f>
        <v>0</v>
      </c>
      <c r="N309" s="6">
        <f>SUMIFS(Eventos!$G:$G,Eventos!$F:$F,$L309,Eventos!$D:$D,$C$2,Eventos!$B:$B,PANES_SEMANALES[[#ALL],[MARTES]])</f>
        <v>0</v>
      </c>
      <c r="O309" s="6">
        <f>SUMIFS(Eventos!$G:$G,Eventos!$F:$F,$L309,Eventos!$D:$D,$C$2,Eventos!$B:$B,PANES_SEMANALES[[#ALL],[MIÉRCOLES]])</f>
        <v>0</v>
      </c>
      <c r="P309" s="6">
        <f>SUMIFS(Eventos!$G:$G,Eventos!$F:$F,$L309,Eventos!$D:$D,$C$2,Eventos!$B:$B,PANES_SEMANALES[[#ALL],[JUEVES]])</f>
        <v>0</v>
      </c>
      <c r="Q309" s="6">
        <f>IF(P309&lt;&gt;"",SUMIFS(Eventos!$G:$G,Eventos!$B:$B,Q$2,Eventos!$D:$D,$C$2,Eventos!$F:$F,$L309),"")</f>
        <v>0</v>
      </c>
      <c r="R309" s="6">
        <f>SUMIFS(Eventos!$G:$G,Eventos!$F:$F,$L309,Eventos!$D:$D,$C$2,Eventos!$B:$B,PANES_SEMANALES[[#ALL],[SÁBADO]])</f>
        <v>0</v>
      </c>
      <c r="S309" s="7">
        <f>SUMIFS(Eventos!$G:$G,Eventos!$F:$F,$L309,Eventos!$D:$D,$C$2,Eventos!$B:$B,PANES_SEMANALES[[#ALL],[DOMINGO]])</f>
        <v>0</v>
      </c>
      <c r="T309" s="8">
        <f t="shared" si="1"/>
        <v>0</v>
      </c>
    </row>
    <row r="310" ht="22.5" customHeight="1">
      <c r="L310" s="4"/>
      <c r="M310" s="5">
        <f>SUMIFS(Eventos!$G:$G,Eventos!$F:$F,$L310,Eventos!$D:$D,$C$2,Eventos!$B:$B,PANES_SEMANALES[[#ALL],[LUNES]])</f>
        <v>0</v>
      </c>
      <c r="N310" s="6">
        <f>SUMIFS(Eventos!$G:$G,Eventos!$F:$F,$L310,Eventos!$D:$D,$C$2,Eventos!$B:$B,PANES_SEMANALES[[#ALL],[MARTES]])</f>
        <v>0</v>
      </c>
      <c r="O310" s="6">
        <f>SUMIFS(Eventos!$G:$G,Eventos!$F:$F,$L310,Eventos!$D:$D,$C$2,Eventos!$B:$B,PANES_SEMANALES[[#ALL],[MIÉRCOLES]])</f>
        <v>0</v>
      </c>
      <c r="P310" s="6">
        <f>SUMIFS(Eventos!$G:$G,Eventos!$F:$F,$L310,Eventos!$D:$D,$C$2,Eventos!$B:$B,PANES_SEMANALES[[#ALL],[JUEVES]])</f>
        <v>0</v>
      </c>
      <c r="Q310" s="6">
        <f>IF(P310&lt;&gt;"",SUMIFS(Eventos!$G:$G,Eventos!$B:$B,Q$2,Eventos!$D:$D,$C$2,Eventos!$F:$F,$L310),"")</f>
        <v>0</v>
      </c>
      <c r="R310" s="6">
        <f>SUMIFS(Eventos!$G:$G,Eventos!$F:$F,$L310,Eventos!$D:$D,$C$2,Eventos!$B:$B,PANES_SEMANALES[[#ALL],[SÁBADO]])</f>
        <v>0</v>
      </c>
      <c r="S310" s="7">
        <f>SUMIFS(Eventos!$G:$G,Eventos!$F:$F,$L310,Eventos!$D:$D,$C$2,Eventos!$B:$B,PANES_SEMANALES[[#ALL],[DOMINGO]])</f>
        <v>0</v>
      </c>
      <c r="T310" s="8">
        <f t="shared" si="1"/>
        <v>0</v>
      </c>
    </row>
    <row r="311" ht="22.5" customHeight="1">
      <c r="L311" s="4"/>
      <c r="M311" s="5">
        <f>SUMIFS(Eventos!$G:$G,Eventos!$F:$F,$L311,Eventos!$D:$D,$C$2,Eventos!$B:$B,PANES_SEMANALES[[#ALL],[LUNES]])</f>
        <v>0</v>
      </c>
      <c r="N311" s="6">
        <f>SUMIFS(Eventos!$G:$G,Eventos!$F:$F,$L311,Eventos!$D:$D,$C$2,Eventos!$B:$B,PANES_SEMANALES[[#ALL],[MARTES]])</f>
        <v>0</v>
      </c>
      <c r="O311" s="6">
        <f>SUMIFS(Eventos!$G:$G,Eventos!$F:$F,$L311,Eventos!$D:$D,$C$2,Eventos!$B:$B,PANES_SEMANALES[[#ALL],[MIÉRCOLES]])</f>
        <v>0</v>
      </c>
      <c r="P311" s="6">
        <f>SUMIFS(Eventos!$G:$G,Eventos!$F:$F,$L311,Eventos!$D:$D,$C$2,Eventos!$B:$B,PANES_SEMANALES[[#ALL],[JUEVES]])</f>
        <v>0</v>
      </c>
      <c r="Q311" s="6">
        <f>IF(P311&lt;&gt;"",SUMIFS(Eventos!$G:$G,Eventos!$B:$B,Q$2,Eventos!$D:$D,$C$2,Eventos!$F:$F,$L311),"")</f>
        <v>0</v>
      </c>
      <c r="R311" s="6">
        <f>SUMIFS(Eventos!$G:$G,Eventos!$F:$F,$L311,Eventos!$D:$D,$C$2,Eventos!$B:$B,PANES_SEMANALES[[#ALL],[SÁBADO]])</f>
        <v>0</v>
      </c>
      <c r="S311" s="7">
        <f>SUMIFS(Eventos!$G:$G,Eventos!$F:$F,$L311,Eventos!$D:$D,$C$2,Eventos!$B:$B,PANES_SEMANALES[[#ALL],[DOMINGO]])</f>
        <v>0</v>
      </c>
      <c r="T311" s="8">
        <f t="shared" si="1"/>
        <v>0</v>
      </c>
    </row>
    <row r="312" ht="22.5" customHeight="1">
      <c r="L312" s="4"/>
      <c r="M312" s="5">
        <f>SUMIFS(Eventos!$G:$G,Eventos!$F:$F,$L312,Eventos!$D:$D,$C$2,Eventos!$B:$B,PANES_SEMANALES[[#ALL],[LUNES]])</f>
        <v>0</v>
      </c>
      <c r="N312" s="6">
        <f>SUMIFS(Eventos!$G:$G,Eventos!$F:$F,$L312,Eventos!$D:$D,$C$2,Eventos!$B:$B,PANES_SEMANALES[[#ALL],[MARTES]])</f>
        <v>0</v>
      </c>
      <c r="O312" s="6">
        <f>SUMIFS(Eventos!$G:$G,Eventos!$F:$F,$L312,Eventos!$D:$D,$C$2,Eventos!$B:$B,PANES_SEMANALES[[#ALL],[MIÉRCOLES]])</f>
        <v>0</v>
      </c>
      <c r="P312" s="6">
        <f>SUMIFS(Eventos!$G:$G,Eventos!$F:$F,$L312,Eventos!$D:$D,$C$2,Eventos!$B:$B,PANES_SEMANALES[[#ALL],[JUEVES]])</f>
        <v>0</v>
      </c>
      <c r="Q312" s="6">
        <f>IF(P312&lt;&gt;"",SUMIFS(Eventos!$G:$G,Eventos!$B:$B,Q$2,Eventos!$D:$D,$C$2,Eventos!$F:$F,$L312),"")</f>
        <v>0</v>
      </c>
      <c r="R312" s="6">
        <f>SUMIFS(Eventos!$G:$G,Eventos!$F:$F,$L312,Eventos!$D:$D,$C$2,Eventos!$B:$B,PANES_SEMANALES[[#ALL],[SÁBADO]])</f>
        <v>0</v>
      </c>
      <c r="S312" s="7">
        <f>SUMIFS(Eventos!$G:$G,Eventos!$F:$F,$L312,Eventos!$D:$D,$C$2,Eventos!$B:$B,PANES_SEMANALES[[#ALL],[DOMINGO]])</f>
        <v>0</v>
      </c>
      <c r="T312" s="8">
        <f t="shared" si="1"/>
        <v>0</v>
      </c>
    </row>
    <row r="313" ht="22.5" customHeight="1">
      <c r="L313" s="4"/>
      <c r="M313" s="5">
        <f>SUMIFS(Eventos!$G:$G,Eventos!$F:$F,$L313,Eventos!$D:$D,$C$2,Eventos!$B:$B,PANES_SEMANALES[[#ALL],[LUNES]])</f>
        <v>0</v>
      </c>
      <c r="N313" s="6">
        <f>SUMIFS(Eventos!$G:$G,Eventos!$F:$F,$L313,Eventos!$D:$D,$C$2,Eventos!$B:$B,PANES_SEMANALES[[#ALL],[MARTES]])</f>
        <v>0</v>
      </c>
      <c r="O313" s="6">
        <f>SUMIFS(Eventos!$G:$G,Eventos!$F:$F,$L313,Eventos!$D:$D,$C$2,Eventos!$B:$B,PANES_SEMANALES[[#ALL],[MIÉRCOLES]])</f>
        <v>0</v>
      </c>
      <c r="P313" s="6">
        <f>SUMIFS(Eventos!$G:$G,Eventos!$F:$F,$L313,Eventos!$D:$D,$C$2,Eventos!$B:$B,PANES_SEMANALES[[#ALL],[JUEVES]])</f>
        <v>0</v>
      </c>
      <c r="Q313" s="6">
        <f>IF(P313&lt;&gt;"",SUMIFS(Eventos!$G:$G,Eventos!$B:$B,Q$2,Eventos!$D:$D,$C$2,Eventos!$F:$F,$L313),"")</f>
        <v>0</v>
      </c>
      <c r="R313" s="6">
        <f>SUMIFS(Eventos!$G:$G,Eventos!$F:$F,$L313,Eventos!$D:$D,$C$2,Eventos!$B:$B,PANES_SEMANALES[[#ALL],[SÁBADO]])</f>
        <v>0</v>
      </c>
      <c r="S313" s="7">
        <f>SUMIFS(Eventos!$G:$G,Eventos!$F:$F,$L313,Eventos!$D:$D,$C$2,Eventos!$B:$B,PANES_SEMANALES[[#ALL],[DOMINGO]])</f>
        <v>0</v>
      </c>
      <c r="T313" s="8">
        <f t="shared" si="1"/>
        <v>0</v>
      </c>
    </row>
    <row r="314" ht="22.5" customHeight="1">
      <c r="L314" s="4"/>
      <c r="M314" s="5">
        <f>SUMIFS(Eventos!$G:$G,Eventos!$F:$F,$L314,Eventos!$D:$D,$C$2,Eventos!$B:$B,PANES_SEMANALES[[#ALL],[LUNES]])</f>
        <v>0</v>
      </c>
      <c r="N314" s="6">
        <f>SUMIFS(Eventos!$G:$G,Eventos!$F:$F,$L314,Eventos!$D:$D,$C$2,Eventos!$B:$B,PANES_SEMANALES[[#ALL],[MARTES]])</f>
        <v>0</v>
      </c>
      <c r="O314" s="6">
        <f>SUMIFS(Eventos!$G:$G,Eventos!$F:$F,$L314,Eventos!$D:$D,$C$2,Eventos!$B:$B,PANES_SEMANALES[[#ALL],[MIÉRCOLES]])</f>
        <v>0</v>
      </c>
      <c r="P314" s="6">
        <f>SUMIFS(Eventos!$G:$G,Eventos!$F:$F,$L314,Eventos!$D:$D,$C$2,Eventos!$B:$B,PANES_SEMANALES[[#ALL],[JUEVES]])</f>
        <v>0</v>
      </c>
      <c r="Q314" s="6">
        <f>IF(P314&lt;&gt;"",SUMIFS(Eventos!$G:$G,Eventos!$B:$B,Q$2,Eventos!$D:$D,$C$2,Eventos!$F:$F,$L314),"")</f>
        <v>0</v>
      </c>
      <c r="R314" s="6">
        <f>SUMIFS(Eventos!$G:$G,Eventos!$F:$F,$L314,Eventos!$D:$D,$C$2,Eventos!$B:$B,PANES_SEMANALES[[#ALL],[SÁBADO]])</f>
        <v>0</v>
      </c>
      <c r="S314" s="7">
        <f>SUMIFS(Eventos!$G:$G,Eventos!$F:$F,$L314,Eventos!$D:$D,$C$2,Eventos!$B:$B,PANES_SEMANALES[[#ALL],[DOMINGO]])</f>
        <v>0</v>
      </c>
      <c r="T314" s="8">
        <f t="shared" si="1"/>
        <v>0</v>
      </c>
    </row>
    <row r="315" ht="22.5" customHeight="1">
      <c r="L315" s="4"/>
      <c r="M315" s="5">
        <f>SUMIFS(Eventos!$G:$G,Eventos!$F:$F,$L315,Eventos!$D:$D,$C$2,Eventos!$B:$B,PANES_SEMANALES[[#ALL],[LUNES]])</f>
        <v>0</v>
      </c>
      <c r="N315" s="6">
        <f>SUMIFS(Eventos!$G:$G,Eventos!$F:$F,$L315,Eventos!$D:$D,$C$2,Eventos!$B:$B,PANES_SEMANALES[[#ALL],[MARTES]])</f>
        <v>0</v>
      </c>
      <c r="O315" s="6">
        <f>SUMIFS(Eventos!$G:$G,Eventos!$F:$F,$L315,Eventos!$D:$D,$C$2,Eventos!$B:$B,PANES_SEMANALES[[#ALL],[MIÉRCOLES]])</f>
        <v>0</v>
      </c>
      <c r="P315" s="6">
        <f>SUMIFS(Eventos!$G:$G,Eventos!$F:$F,$L315,Eventos!$D:$D,$C$2,Eventos!$B:$B,PANES_SEMANALES[[#ALL],[JUEVES]])</f>
        <v>0</v>
      </c>
      <c r="Q315" s="6">
        <f>IF(P315&lt;&gt;"",SUMIFS(Eventos!$G:$G,Eventos!$B:$B,Q$2,Eventos!$D:$D,$C$2,Eventos!$F:$F,$L315),"")</f>
        <v>0</v>
      </c>
      <c r="R315" s="6">
        <f>SUMIFS(Eventos!$G:$G,Eventos!$F:$F,$L315,Eventos!$D:$D,$C$2,Eventos!$B:$B,PANES_SEMANALES[[#ALL],[SÁBADO]])</f>
        <v>0</v>
      </c>
      <c r="S315" s="7">
        <f>SUMIFS(Eventos!$G:$G,Eventos!$F:$F,$L315,Eventos!$D:$D,$C$2,Eventos!$B:$B,PANES_SEMANALES[[#ALL],[DOMINGO]])</f>
        <v>0</v>
      </c>
      <c r="T315" s="8">
        <f t="shared" si="1"/>
        <v>0</v>
      </c>
    </row>
    <row r="316" ht="22.5" customHeight="1">
      <c r="L316" s="4"/>
      <c r="M316" s="5">
        <f>SUMIFS(Eventos!$G:$G,Eventos!$F:$F,$L316,Eventos!$D:$D,$C$2,Eventos!$B:$B,PANES_SEMANALES[[#ALL],[LUNES]])</f>
        <v>0</v>
      </c>
      <c r="N316" s="6">
        <f>SUMIFS(Eventos!$G:$G,Eventos!$F:$F,$L316,Eventos!$D:$D,$C$2,Eventos!$B:$B,PANES_SEMANALES[[#ALL],[MARTES]])</f>
        <v>0</v>
      </c>
      <c r="O316" s="6">
        <f>SUMIFS(Eventos!$G:$G,Eventos!$F:$F,$L316,Eventos!$D:$D,$C$2,Eventos!$B:$B,PANES_SEMANALES[[#ALL],[MIÉRCOLES]])</f>
        <v>0</v>
      </c>
      <c r="P316" s="6">
        <f>SUMIFS(Eventos!$G:$G,Eventos!$F:$F,$L316,Eventos!$D:$D,$C$2,Eventos!$B:$B,PANES_SEMANALES[[#ALL],[JUEVES]])</f>
        <v>0</v>
      </c>
      <c r="Q316" s="6">
        <f>IF(P316&lt;&gt;"",SUMIFS(Eventos!$G:$G,Eventos!$B:$B,Q$2,Eventos!$D:$D,$C$2,Eventos!$F:$F,$L316),"")</f>
        <v>0</v>
      </c>
      <c r="R316" s="6">
        <f>SUMIFS(Eventos!$G:$G,Eventos!$F:$F,$L316,Eventos!$D:$D,$C$2,Eventos!$B:$B,PANES_SEMANALES[[#ALL],[SÁBADO]])</f>
        <v>0</v>
      </c>
      <c r="S316" s="7">
        <f>SUMIFS(Eventos!$G:$G,Eventos!$F:$F,$L316,Eventos!$D:$D,$C$2,Eventos!$B:$B,PANES_SEMANALES[[#ALL],[DOMINGO]])</f>
        <v>0</v>
      </c>
      <c r="T316" s="8">
        <f t="shared" si="1"/>
        <v>0</v>
      </c>
    </row>
    <row r="317" ht="22.5" customHeight="1">
      <c r="L317" s="4"/>
      <c r="M317" s="5">
        <f>SUMIFS(Eventos!$G:$G,Eventos!$F:$F,$L317,Eventos!$D:$D,$C$2,Eventos!$B:$B,PANES_SEMANALES[[#ALL],[LUNES]])</f>
        <v>0</v>
      </c>
      <c r="N317" s="6">
        <f>SUMIFS(Eventos!$G:$G,Eventos!$F:$F,$L317,Eventos!$D:$D,$C$2,Eventos!$B:$B,PANES_SEMANALES[[#ALL],[MARTES]])</f>
        <v>0</v>
      </c>
      <c r="O317" s="6">
        <f>SUMIFS(Eventos!$G:$G,Eventos!$F:$F,$L317,Eventos!$D:$D,$C$2,Eventos!$B:$B,PANES_SEMANALES[[#ALL],[MIÉRCOLES]])</f>
        <v>0</v>
      </c>
      <c r="P317" s="6">
        <f>SUMIFS(Eventos!$G:$G,Eventos!$F:$F,$L317,Eventos!$D:$D,$C$2,Eventos!$B:$B,PANES_SEMANALES[[#ALL],[JUEVES]])</f>
        <v>0</v>
      </c>
      <c r="Q317" s="6">
        <f>IF(P317&lt;&gt;"",SUMIFS(Eventos!$G:$G,Eventos!$B:$B,Q$2,Eventos!$D:$D,$C$2,Eventos!$F:$F,$L317),"")</f>
        <v>0</v>
      </c>
      <c r="R317" s="6">
        <f>SUMIFS(Eventos!$G:$G,Eventos!$F:$F,$L317,Eventos!$D:$D,$C$2,Eventos!$B:$B,PANES_SEMANALES[[#ALL],[SÁBADO]])</f>
        <v>0</v>
      </c>
      <c r="S317" s="7">
        <f>SUMIFS(Eventos!$G:$G,Eventos!$F:$F,$L317,Eventos!$D:$D,$C$2,Eventos!$B:$B,PANES_SEMANALES[[#ALL],[DOMINGO]])</f>
        <v>0</v>
      </c>
      <c r="T317" s="8">
        <f t="shared" si="1"/>
        <v>0</v>
      </c>
    </row>
    <row r="318" ht="22.5" customHeight="1">
      <c r="L318" s="4"/>
      <c r="M318" s="5">
        <f>SUMIFS(Eventos!$G:$G,Eventos!$F:$F,$L318,Eventos!$D:$D,$C$2,Eventos!$B:$B,PANES_SEMANALES[[#ALL],[LUNES]])</f>
        <v>0</v>
      </c>
      <c r="N318" s="6">
        <f>SUMIFS(Eventos!$G:$G,Eventos!$F:$F,$L318,Eventos!$D:$D,$C$2,Eventos!$B:$B,PANES_SEMANALES[[#ALL],[MARTES]])</f>
        <v>0</v>
      </c>
      <c r="O318" s="6">
        <f>SUMIFS(Eventos!$G:$G,Eventos!$F:$F,$L318,Eventos!$D:$D,$C$2,Eventos!$B:$B,PANES_SEMANALES[[#ALL],[MIÉRCOLES]])</f>
        <v>0</v>
      </c>
      <c r="P318" s="6">
        <f>SUMIFS(Eventos!$G:$G,Eventos!$F:$F,$L318,Eventos!$D:$D,$C$2,Eventos!$B:$B,PANES_SEMANALES[[#ALL],[JUEVES]])</f>
        <v>0</v>
      </c>
      <c r="Q318" s="6">
        <f>IF(P318&lt;&gt;"",SUMIFS(Eventos!$G:$G,Eventos!$B:$B,Q$2,Eventos!$D:$D,$C$2,Eventos!$F:$F,$L318),"")</f>
        <v>0</v>
      </c>
      <c r="R318" s="6">
        <f>SUMIFS(Eventos!$G:$G,Eventos!$F:$F,$L318,Eventos!$D:$D,$C$2,Eventos!$B:$B,PANES_SEMANALES[[#ALL],[SÁBADO]])</f>
        <v>0</v>
      </c>
      <c r="S318" s="7">
        <f>SUMIFS(Eventos!$G:$G,Eventos!$F:$F,$L318,Eventos!$D:$D,$C$2,Eventos!$B:$B,PANES_SEMANALES[[#ALL],[DOMINGO]])</f>
        <v>0</v>
      </c>
      <c r="T318" s="8">
        <f t="shared" si="1"/>
        <v>0</v>
      </c>
    </row>
    <row r="319" ht="22.5" customHeight="1">
      <c r="L319" s="4"/>
      <c r="M319" s="5">
        <f>SUMIFS(Eventos!$G:$G,Eventos!$F:$F,$L319,Eventos!$D:$D,$C$2,Eventos!$B:$B,PANES_SEMANALES[[#ALL],[LUNES]])</f>
        <v>0</v>
      </c>
      <c r="N319" s="6">
        <f>SUMIFS(Eventos!$G:$G,Eventos!$F:$F,$L319,Eventos!$D:$D,$C$2,Eventos!$B:$B,PANES_SEMANALES[[#ALL],[MARTES]])</f>
        <v>0</v>
      </c>
      <c r="O319" s="6">
        <f>SUMIFS(Eventos!$G:$G,Eventos!$F:$F,$L319,Eventos!$D:$D,$C$2,Eventos!$B:$B,PANES_SEMANALES[[#ALL],[MIÉRCOLES]])</f>
        <v>0</v>
      </c>
      <c r="P319" s="6">
        <f>SUMIFS(Eventos!$G:$G,Eventos!$F:$F,$L319,Eventos!$D:$D,$C$2,Eventos!$B:$B,PANES_SEMANALES[[#ALL],[JUEVES]])</f>
        <v>0</v>
      </c>
      <c r="Q319" s="6">
        <f>IF(P319&lt;&gt;"",SUMIFS(Eventos!$G:$G,Eventos!$B:$B,Q$2,Eventos!$D:$D,$C$2,Eventos!$F:$F,$L319),"")</f>
        <v>0</v>
      </c>
      <c r="R319" s="6">
        <f>SUMIFS(Eventos!$G:$G,Eventos!$F:$F,$L319,Eventos!$D:$D,$C$2,Eventos!$B:$B,PANES_SEMANALES[[#ALL],[SÁBADO]])</f>
        <v>0</v>
      </c>
      <c r="S319" s="7">
        <f>SUMIFS(Eventos!$G:$G,Eventos!$F:$F,$L319,Eventos!$D:$D,$C$2,Eventos!$B:$B,PANES_SEMANALES[[#ALL],[DOMINGO]])</f>
        <v>0</v>
      </c>
      <c r="T319" s="8">
        <f t="shared" si="1"/>
        <v>0</v>
      </c>
    </row>
    <row r="320" ht="22.5" customHeight="1">
      <c r="L320" s="4"/>
      <c r="M320" s="5">
        <f>SUMIFS(Eventos!$G:$G,Eventos!$F:$F,$L320,Eventos!$D:$D,$C$2,Eventos!$B:$B,PANES_SEMANALES[[#ALL],[LUNES]])</f>
        <v>0</v>
      </c>
      <c r="N320" s="6">
        <f>SUMIFS(Eventos!$G:$G,Eventos!$F:$F,$L320,Eventos!$D:$D,$C$2,Eventos!$B:$B,PANES_SEMANALES[[#ALL],[MARTES]])</f>
        <v>0</v>
      </c>
      <c r="O320" s="6">
        <f>SUMIFS(Eventos!$G:$G,Eventos!$F:$F,$L320,Eventos!$D:$D,$C$2,Eventos!$B:$B,PANES_SEMANALES[[#ALL],[MIÉRCOLES]])</f>
        <v>0</v>
      </c>
      <c r="P320" s="6">
        <f>SUMIFS(Eventos!$G:$G,Eventos!$F:$F,$L320,Eventos!$D:$D,$C$2,Eventos!$B:$B,PANES_SEMANALES[[#ALL],[JUEVES]])</f>
        <v>0</v>
      </c>
      <c r="Q320" s="6">
        <f>IF(P320&lt;&gt;"",SUMIFS(Eventos!$G:$G,Eventos!$B:$B,Q$2,Eventos!$D:$D,$C$2,Eventos!$F:$F,$L320),"")</f>
        <v>0</v>
      </c>
      <c r="R320" s="6">
        <f>SUMIFS(Eventos!$G:$G,Eventos!$F:$F,$L320,Eventos!$D:$D,$C$2,Eventos!$B:$B,PANES_SEMANALES[[#ALL],[SÁBADO]])</f>
        <v>0</v>
      </c>
      <c r="S320" s="7">
        <f>SUMIFS(Eventos!$G:$G,Eventos!$F:$F,$L320,Eventos!$D:$D,$C$2,Eventos!$B:$B,PANES_SEMANALES[[#ALL],[DOMINGO]])</f>
        <v>0</v>
      </c>
      <c r="T320" s="8">
        <f t="shared" si="1"/>
        <v>0</v>
      </c>
    </row>
    <row r="321" ht="22.5" customHeight="1">
      <c r="L321" s="4"/>
      <c r="M321" s="5">
        <f>SUMIFS(Eventos!$G:$G,Eventos!$F:$F,$L321,Eventos!$D:$D,$C$2,Eventos!$B:$B,PANES_SEMANALES[[#ALL],[LUNES]])</f>
        <v>0</v>
      </c>
      <c r="N321" s="6">
        <f>SUMIFS(Eventos!$G:$G,Eventos!$F:$F,$L321,Eventos!$D:$D,$C$2,Eventos!$B:$B,PANES_SEMANALES[[#ALL],[MARTES]])</f>
        <v>0</v>
      </c>
      <c r="O321" s="6">
        <f>SUMIFS(Eventos!$G:$G,Eventos!$F:$F,$L321,Eventos!$D:$D,$C$2,Eventos!$B:$B,PANES_SEMANALES[[#ALL],[MIÉRCOLES]])</f>
        <v>0</v>
      </c>
      <c r="P321" s="6">
        <f>SUMIFS(Eventos!$G:$G,Eventos!$F:$F,$L321,Eventos!$D:$D,$C$2,Eventos!$B:$B,PANES_SEMANALES[[#ALL],[JUEVES]])</f>
        <v>0</v>
      </c>
      <c r="Q321" s="6">
        <f>IF(P321&lt;&gt;"",SUMIFS(Eventos!$G:$G,Eventos!$B:$B,Q$2,Eventos!$D:$D,$C$2,Eventos!$F:$F,$L321),"")</f>
        <v>0</v>
      </c>
      <c r="R321" s="6">
        <f>SUMIFS(Eventos!$G:$G,Eventos!$F:$F,$L321,Eventos!$D:$D,$C$2,Eventos!$B:$B,PANES_SEMANALES[[#ALL],[SÁBADO]])</f>
        <v>0</v>
      </c>
      <c r="S321" s="7">
        <f>SUMIFS(Eventos!$G:$G,Eventos!$F:$F,$L321,Eventos!$D:$D,$C$2,Eventos!$B:$B,PANES_SEMANALES[[#ALL],[DOMINGO]])</f>
        <v>0</v>
      </c>
      <c r="T321" s="8">
        <f t="shared" si="1"/>
        <v>0</v>
      </c>
    </row>
    <row r="322" ht="22.5" customHeight="1">
      <c r="L322" s="4"/>
      <c r="M322" s="5">
        <f>SUMIFS(Eventos!$G:$G,Eventos!$F:$F,$L322,Eventos!$D:$D,$C$2,Eventos!$B:$B,PANES_SEMANALES[[#ALL],[LUNES]])</f>
        <v>0</v>
      </c>
      <c r="N322" s="6">
        <f>SUMIFS(Eventos!$G:$G,Eventos!$F:$F,$L322,Eventos!$D:$D,$C$2,Eventos!$B:$B,PANES_SEMANALES[[#ALL],[MARTES]])</f>
        <v>0</v>
      </c>
      <c r="O322" s="6">
        <f>SUMIFS(Eventos!$G:$G,Eventos!$F:$F,$L322,Eventos!$D:$D,$C$2,Eventos!$B:$B,PANES_SEMANALES[[#ALL],[MIÉRCOLES]])</f>
        <v>0</v>
      </c>
      <c r="P322" s="6">
        <f>SUMIFS(Eventos!$G:$G,Eventos!$F:$F,$L322,Eventos!$D:$D,$C$2,Eventos!$B:$B,PANES_SEMANALES[[#ALL],[JUEVES]])</f>
        <v>0</v>
      </c>
      <c r="Q322" s="6">
        <f>IF(P322&lt;&gt;"",SUMIFS(Eventos!$G:$G,Eventos!$B:$B,Q$2,Eventos!$D:$D,$C$2,Eventos!$F:$F,$L322),"")</f>
        <v>0</v>
      </c>
      <c r="R322" s="6">
        <f>SUMIFS(Eventos!$G:$G,Eventos!$F:$F,$L322,Eventos!$D:$D,$C$2,Eventos!$B:$B,PANES_SEMANALES[[#ALL],[SÁBADO]])</f>
        <v>0</v>
      </c>
      <c r="S322" s="7">
        <f>SUMIFS(Eventos!$G:$G,Eventos!$F:$F,$L322,Eventos!$D:$D,$C$2,Eventos!$B:$B,PANES_SEMANALES[[#ALL],[DOMINGO]])</f>
        <v>0</v>
      </c>
      <c r="T322" s="8">
        <f t="shared" si="1"/>
        <v>0</v>
      </c>
    </row>
    <row r="323" ht="22.5" customHeight="1">
      <c r="L323" s="4"/>
      <c r="M323" s="5">
        <f>SUMIFS(Eventos!$G:$G,Eventos!$F:$F,$L323,Eventos!$D:$D,$C$2,Eventos!$B:$B,PANES_SEMANALES[[#ALL],[LUNES]])</f>
        <v>0</v>
      </c>
      <c r="N323" s="6">
        <f>SUMIFS(Eventos!$G:$G,Eventos!$F:$F,$L323,Eventos!$D:$D,$C$2,Eventos!$B:$B,PANES_SEMANALES[[#ALL],[MARTES]])</f>
        <v>0</v>
      </c>
      <c r="O323" s="6">
        <f>SUMIFS(Eventos!$G:$G,Eventos!$F:$F,$L323,Eventos!$D:$D,$C$2,Eventos!$B:$B,PANES_SEMANALES[[#ALL],[MIÉRCOLES]])</f>
        <v>0</v>
      </c>
      <c r="P323" s="6">
        <f>SUMIFS(Eventos!$G:$G,Eventos!$F:$F,$L323,Eventos!$D:$D,$C$2,Eventos!$B:$B,PANES_SEMANALES[[#ALL],[JUEVES]])</f>
        <v>0</v>
      </c>
      <c r="Q323" s="6">
        <f>IF(P323&lt;&gt;"",SUMIFS(Eventos!$G:$G,Eventos!$B:$B,Q$2,Eventos!$D:$D,$C$2,Eventos!$F:$F,$L323),"")</f>
        <v>0</v>
      </c>
      <c r="R323" s="6">
        <f>SUMIFS(Eventos!$G:$G,Eventos!$F:$F,$L323,Eventos!$D:$D,$C$2,Eventos!$B:$B,PANES_SEMANALES[[#ALL],[SÁBADO]])</f>
        <v>0</v>
      </c>
      <c r="S323" s="7">
        <f>SUMIFS(Eventos!$G:$G,Eventos!$F:$F,$L323,Eventos!$D:$D,$C$2,Eventos!$B:$B,PANES_SEMANALES[[#ALL],[DOMINGO]])</f>
        <v>0</v>
      </c>
      <c r="T323" s="8">
        <f t="shared" si="1"/>
        <v>0</v>
      </c>
    </row>
    <row r="324" ht="22.5" customHeight="1">
      <c r="L324" s="4"/>
      <c r="M324" s="5">
        <f>SUMIFS(Eventos!$G:$G,Eventos!$F:$F,$L324,Eventos!$D:$D,$C$2,Eventos!$B:$B,PANES_SEMANALES[[#ALL],[LUNES]])</f>
        <v>0</v>
      </c>
      <c r="N324" s="6">
        <f>SUMIFS(Eventos!$G:$G,Eventos!$F:$F,$L324,Eventos!$D:$D,$C$2,Eventos!$B:$B,PANES_SEMANALES[[#ALL],[MARTES]])</f>
        <v>0</v>
      </c>
      <c r="O324" s="6">
        <f>SUMIFS(Eventos!$G:$G,Eventos!$F:$F,$L324,Eventos!$D:$D,$C$2,Eventos!$B:$B,PANES_SEMANALES[[#ALL],[MIÉRCOLES]])</f>
        <v>0</v>
      </c>
      <c r="P324" s="6">
        <f>SUMIFS(Eventos!$G:$G,Eventos!$F:$F,$L324,Eventos!$D:$D,$C$2,Eventos!$B:$B,PANES_SEMANALES[[#ALL],[JUEVES]])</f>
        <v>0</v>
      </c>
      <c r="Q324" s="6">
        <f>IF(P324&lt;&gt;"",SUMIFS(Eventos!$G:$G,Eventos!$B:$B,Q$2,Eventos!$D:$D,$C$2,Eventos!$F:$F,$L324),"")</f>
        <v>0</v>
      </c>
      <c r="R324" s="6">
        <f>SUMIFS(Eventos!$G:$G,Eventos!$F:$F,$L324,Eventos!$D:$D,$C$2,Eventos!$B:$B,PANES_SEMANALES[[#ALL],[SÁBADO]])</f>
        <v>0</v>
      </c>
      <c r="S324" s="7">
        <f>SUMIFS(Eventos!$G:$G,Eventos!$F:$F,$L324,Eventos!$D:$D,$C$2,Eventos!$B:$B,PANES_SEMANALES[[#ALL],[DOMINGO]])</f>
        <v>0</v>
      </c>
      <c r="T324" s="8">
        <f t="shared" si="1"/>
        <v>0</v>
      </c>
    </row>
    <row r="325" ht="22.5" customHeight="1">
      <c r="L325" s="4"/>
      <c r="M325" s="5">
        <f>SUMIFS(Eventos!$G:$G,Eventos!$F:$F,$L325,Eventos!$D:$D,$C$2,Eventos!$B:$B,PANES_SEMANALES[[#ALL],[LUNES]])</f>
        <v>0</v>
      </c>
      <c r="N325" s="6">
        <f>SUMIFS(Eventos!$G:$G,Eventos!$F:$F,$L325,Eventos!$D:$D,$C$2,Eventos!$B:$B,PANES_SEMANALES[[#ALL],[MARTES]])</f>
        <v>0</v>
      </c>
      <c r="O325" s="6">
        <f>SUMIFS(Eventos!$G:$G,Eventos!$F:$F,$L325,Eventos!$D:$D,$C$2,Eventos!$B:$B,PANES_SEMANALES[[#ALL],[MIÉRCOLES]])</f>
        <v>0</v>
      </c>
      <c r="P325" s="6">
        <f>SUMIFS(Eventos!$G:$G,Eventos!$F:$F,$L325,Eventos!$D:$D,$C$2,Eventos!$B:$B,PANES_SEMANALES[[#ALL],[JUEVES]])</f>
        <v>0</v>
      </c>
      <c r="Q325" s="6">
        <f>IF(P325&lt;&gt;"",SUMIFS(Eventos!$G:$G,Eventos!$B:$B,Q$2,Eventos!$D:$D,$C$2,Eventos!$F:$F,$L325),"")</f>
        <v>0</v>
      </c>
      <c r="R325" s="6">
        <f>SUMIFS(Eventos!$G:$G,Eventos!$F:$F,$L325,Eventos!$D:$D,$C$2,Eventos!$B:$B,PANES_SEMANALES[[#ALL],[SÁBADO]])</f>
        <v>0</v>
      </c>
      <c r="S325" s="7">
        <f>SUMIFS(Eventos!$G:$G,Eventos!$F:$F,$L325,Eventos!$D:$D,$C$2,Eventos!$B:$B,PANES_SEMANALES[[#ALL],[DOMINGO]])</f>
        <v>0</v>
      </c>
      <c r="T325" s="8">
        <f t="shared" si="1"/>
        <v>0</v>
      </c>
    </row>
    <row r="326" ht="22.5" customHeight="1">
      <c r="L326" s="4"/>
      <c r="M326" s="5">
        <f>SUMIFS(Eventos!$G:$G,Eventos!$F:$F,$L326,Eventos!$D:$D,$C$2,Eventos!$B:$B,PANES_SEMANALES[[#ALL],[LUNES]])</f>
        <v>0</v>
      </c>
      <c r="N326" s="6">
        <f>SUMIFS(Eventos!$G:$G,Eventos!$F:$F,$L326,Eventos!$D:$D,$C$2,Eventos!$B:$B,PANES_SEMANALES[[#ALL],[MARTES]])</f>
        <v>0</v>
      </c>
      <c r="O326" s="6">
        <f>SUMIFS(Eventos!$G:$G,Eventos!$F:$F,$L326,Eventos!$D:$D,$C$2,Eventos!$B:$B,PANES_SEMANALES[[#ALL],[MIÉRCOLES]])</f>
        <v>0</v>
      </c>
      <c r="P326" s="6">
        <f>SUMIFS(Eventos!$G:$G,Eventos!$F:$F,$L326,Eventos!$D:$D,$C$2,Eventos!$B:$B,PANES_SEMANALES[[#ALL],[JUEVES]])</f>
        <v>0</v>
      </c>
      <c r="Q326" s="6">
        <f>IF(P326&lt;&gt;"",SUMIFS(Eventos!$G:$G,Eventos!$B:$B,Q$2,Eventos!$D:$D,$C$2,Eventos!$F:$F,$L326),"")</f>
        <v>0</v>
      </c>
      <c r="R326" s="6">
        <f>SUMIFS(Eventos!$G:$G,Eventos!$F:$F,$L326,Eventos!$D:$D,$C$2,Eventos!$B:$B,PANES_SEMANALES[[#ALL],[SÁBADO]])</f>
        <v>0</v>
      </c>
      <c r="S326" s="7">
        <f>SUMIFS(Eventos!$G:$G,Eventos!$F:$F,$L326,Eventos!$D:$D,$C$2,Eventos!$B:$B,PANES_SEMANALES[[#ALL],[DOMINGO]])</f>
        <v>0</v>
      </c>
      <c r="T326" s="8">
        <f t="shared" si="1"/>
        <v>0</v>
      </c>
    </row>
    <row r="327" ht="22.5" customHeight="1">
      <c r="L327" s="4"/>
      <c r="M327" s="5">
        <f>SUMIFS(Eventos!$G:$G,Eventos!$F:$F,$L327,Eventos!$D:$D,$C$2,Eventos!$B:$B,PANES_SEMANALES[[#ALL],[LUNES]])</f>
        <v>0</v>
      </c>
      <c r="N327" s="6">
        <f>SUMIFS(Eventos!$G:$G,Eventos!$F:$F,$L327,Eventos!$D:$D,$C$2,Eventos!$B:$B,PANES_SEMANALES[[#ALL],[MARTES]])</f>
        <v>0</v>
      </c>
      <c r="O327" s="6">
        <f>SUMIFS(Eventos!$G:$G,Eventos!$F:$F,$L327,Eventos!$D:$D,$C$2,Eventos!$B:$B,PANES_SEMANALES[[#ALL],[MIÉRCOLES]])</f>
        <v>0</v>
      </c>
      <c r="P327" s="6">
        <f>SUMIFS(Eventos!$G:$G,Eventos!$F:$F,$L327,Eventos!$D:$D,$C$2,Eventos!$B:$B,PANES_SEMANALES[[#ALL],[JUEVES]])</f>
        <v>0</v>
      </c>
      <c r="Q327" s="6">
        <f>IF(P327&lt;&gt;"",SUMIFS(Eventos!$G:$G,Eventos!$B:$B,Q$2,Eventos!$D:$D,$C$2,Eventos!$F:$F,$L327),"")</f>
        <v>0</v>
      </c>
      <c r="R327" s="6">
        <f>SUMIFS(Eventos!$G:$G,Eventos!$F:$F,$L327,Eventos!$D:$D,$C$2,Eventos!$B:$B,PANES_SEMANALES[[#ALL],[SÁBADO]])</f>
        <v>0</v>
      </c>
      <c r="S327" s="7">
        <f>SUMIFS(Eventos!$G:$G,Eventos!$F:$F,$L327,Eventos!$D:$D,$C$2,Eventos!$B:$B,PANES_SEMANALES[[#ALL],[DOMINGO]])</f>
        <v>0</v>
      </c>
      <c r="T327" s="8">
        <f t="shared" si="1"/>
        <v>0</v>
      </c>
    </row>
    <row r="328" ht="22.5" customHeight="1">
      <c r="L328" s="4"/>
      <c r="M328" s="5">
        <f>SUMIFS(Eventos!$G:$G,Eventos!$F:$F,$L328,Eventos!$D:$D,$C$2,Eventos!$B:$B,PANES_SEMANALES[[#ALL],[LUNES]])</f>
        <v>0</v>
      </c>
      <c r="N328" s="6">
        <f>SUMIFS(Eventos!$G:$G,Eventos!$F:$F,$L328,Eventos!$D:$D,$C$2,Eventos!$B:$B,PANES_SEMANALES[[#ALL],[MARTES]])</f>
        <v>0</v>
      </c>
      <c r="O328" s="6">
        <f>SUMIFS(Eventos!$G:$G,Eventos!$F:$F,$L328,Eventos!$D:$D,$C$2,Eventos!$B:$B,PANES_SEMANALES[[#ALL],[MIÉRCOLES]])</f>
        <v>0</v>
      </c>
      <c r="P328" s="6">
        <f>SUMIFS(Eventos!$G:$G,Eventos!$F:$F,$L328,Eventos!$D:$D,$C$2,Eventos!$B:$B,PANES_SEMANALES[[#ALL],[JUEVES]])</f>
        <v>0</v>
      </c>
      <c r="Q328" s="6">
        <f>IF(P328&lt;&gt;"",SUMIFS(Eventos!$G:$G,Eventos!$B:$B,Q$2,Eventos!$D:$D,$C$2,Eventos!$F:$F,$L328),"")</f>
        <v>0</v>
      </c>
      <c r="R328" s="6">
        <f>SUMIFS(Eventos!$G:$G,Eventos!$F:$F,$L328,Eventos!$D:$D,$C$2,Eventos!$B:$B,PANES_SEMANALES[[#ALL],[SÁBADO]])</f>
        <v>0</v>
      </c>
      <c r="S328" s="7">
        <f>SUMIFS(Eventos!$G:$G,Eventos!$F:$F,$L328,Eventos!$D:$D,$C$2,Eventos!$B:$B,PANES_SEMANALES[[#ALL],[DOMINGO]])</f>
        <v>0</v>
      </c>
      <c r="T328" s="8">
        <f t="shared" si="1"/>
        <v>0</v>
      </c>
    </row>
    <row r="329" ht="22.5" customHeight="1">
      <c r="L329" s="4"/>
      <c r="M329" s="5">
        <f>SUMIFS(Eventos!$G:$G,Eventos!$F:$F,$L329,Eventos!$D:$D,$C$2,Eventos!$B:$B,PANES_SEMANALES[[#ALL],[LUNES]])</f>
        <v>0</v>
      </c>
      <c r="N329" s="6">
        <f>SUMIFS(Eventos!$G:$G,Eventos!$F:$F,$L329,Eventos!$D:$D,$C$2,Eventos!$B:$B,PANES_SEMANALES[[#ALL],[MARTES]])</f>
        <v>0</v>
      </c>
      <c r="O329" s="6">
        <f>SUMIFS(Eventos!$G:$G,Eventos!$F:$F,$L329,Eventos!$D:$D,$C$2,Eventos!$B:$B,PANES_SEMANALES[[#ALL],[MIÉRCOLES]])</f>
        <v>0</v>
      </c>
      <c r="P329" s="6">
        <f>SUMIFS(Eventos!$G:$G,Eventos!$F:$F,$L329,Eventos!$D:$D,$C$2,Eventos!$B:$B,PANES_SEMANALES[[#ALL],[JUEVES]])</f>
        <v>0</v>
      </c>
      <c r="Q329" s="6">
        <f>IF(P329&lt;&gt;"",SUMIFS(Eventos!$G:$G,Eventos!$B:$B,Q$2,Eventos!$D:$D,$C$2,Eventos!$F:$F,$L329),"")</f>
        <v>0</v>
      </c>
      <c r="R329" s="6">
        <f>SUMIFS(Eventos!$G:$G,Eventos!$F:$F,$L329,Eventos!$D:$D,$C$2,Eventos!$B:$B,PANES_SEMANALES[[#ALL],[SÁBADO]])</f>
        <v>0</v>
      </c>
      <c r="S329" s="7">
        <f>SUMIFS(Eventos!$G:$G,Eventos!$F:$F,$L329,Eventos!$D:$D,$C$2,Eventos!$B:$B,PANES_SEMANALES[[#ALL],[DOMINGO]])</f>
        <v>0</v>
      </c>
      <c r="T329" s="8">
        <f t="shared" si="1"/>
        <v>0</v>
      </c>
    </row>
    <row r="330" ht="22.5" customHeight="1">
      <c r="L330" s="4"/>
      <c r="M330" s="5">
        <f>SUMIFS(Eventos!$G:$G,Eventos!$F:$F,$L330,Eventos!$D:$D,$C$2,Eventos!$B:$B,PANES_SEMANALES[[#ALL],[LUNES]])</f>
        <v>0</v>
      </c>
      <c r="N330" s="6">
        <f>SUMIFS(Eventos!$G:$G,Eventos!$F:$F,$L330,Eventos!$D:$D,$C$2,Eventos!$B:$B,PANES_SEMANALES[[#ALL],[MARTES]])</f>
        <v>0</v>
      </c>
      <c r="O330" s="6">
        <f>SUMIFS(Eventos!$G:$G,Eventos!$F:$F,$L330,Eventos!$D:$D,$C$2,Eventos!$B:$B,PANES_SEMANALES[[#ALL],[MIÉRCOLES]])</f>
        <v>0</v>
      </c>
      <c r="P330" s="6">
        <f>SUMIFS(Eventos!$G:$G,Eventos!$F:$F,$L330,Eventos!$D:$D,$C$2,Eventos!$B:$B,PANES_SEMANALES[[#ALL],[JUEVES]])</f>
        <v>0</v>
      </c>
      <c r="Q330" s="6">
        <f>IF(P330&lt;&gt;"",SUMIFS(Eventos!$G:$G,Eventos!$B:$B,Q$2,Eventos!$D:$D,$C$2,Eventos!$F:$F,$L330),"")</f>
        <v>0</v>
      </c>
      <c r="R330" s="6">
        <f>SUMIFS(Eventos!$G:$G,Eventos!$F:$F,$L330,Eventos!$D:$D,$C$2,Eventos!$B:$B,PANES_SEMANALES[[#ALL],[SÁBADO]])</f>
        <v>0</v>
      </c>
      <c r="S330" s="7">
        <f>SUMIFS(Eventos!$G:$G,Eventos!$F:$F,$L330,Eventos!$D:$D,$C$2,Eventos!$B:$B,PANES_SEMANALES[[#ALL],[DOMINGO]])</f>
        <v>0</v>
      </c>
      <c r="T330" s="8">
        <f t="shared" si="1"/>
        <v>0</v>
      </c>
    </row>
    <row r="331" ht="22.5" customHeight="1">
      <c r="L331" s="4"/>
      <c r="M331" s="5">
        <f>SUMIFS(Eventos!$G:$G,Eventos!$F:$F,$L331,Eventos!$D:$D,$C$2,Eventos!$B:$B,PANES_SEMANALES[[#ALL],[LUNES]])</f>
        <v>0</v>
      </c>
      <c r="N331" s="6">
        <f>SUMIFS(Eventos!$G:$G,Eventos!$F:$F,$L331,Eventos!$D:$D,$C$2,Eventos!$B:$B,PANES_SEMANALES[[#ALL],[MARTES]])</f>
        <v>0</v>
      </c>
      <c r="O331" s="6">
        <f>SUMIFS(Eventos!$G:$G,Eventos!$F:$F,$L331,Eventos!$D:$D,$C$2,Eventos!$B:$B,PANES_SEMANALES[[#ALL],[MIÉRCOLES]])</f>
        <v>0</v>
      </c>
      <c r="P331" s="6">
        <f>SUMIFS(Eventos!$G:$G,Eventos!$F:$F,$L331,Eventos!$D:$D,$C$2,Eventos!$B:$B,PANES_SEMANALES[[#ALL],[JUEVES]])</f>
        <v>0</v>
      </c>
      <c r="Q331" s="6">
        <f>IF(P331&lt;&gt;"",SUMIFS(Eventos!$G:$G,Eventos!$B:$B,Q$2,Eventos!$D:$D,$C$2,Eventos!$F:$F,$L331),"")</f>
        <v>0</v>
      </c>
      <c r="R331" s="6">
        <f>SUMIFS(Eventos!$G:$G,Eventos!$F:$F,$L331,Eventos!$D:$D,$C$2,Eventos!$B:$B,PANES_SEMANALES[[#ALL],[SÁBADO]])</f>
        <v>0</v>
      </c>
      <c r="S331" s="7">
        <f>SUMIFS(Eventos!$G:$G,Eventos!$F:$F,$L331,Eventos!$D:$D,$C$2,Eventos!$B:$B,PANES_SEMANALES[[#ALL],[DOMINGO]])</f>
        <v>0</v>
      </c>
      <c r="T331" s="8">
        <f t="shared" si="1"/>
        <v>0</v>
      </c>
    </row>
    <row r="332" ht="22.5" customHeight="1">
      <c r="L332" s="4"/>
      <c r="M332" s="5">
        <f>SUMIFS(Eventos!$G:$G,Eventos!$F:$F,$L332,Eventos!$D:$D,$C$2,Eventos!$B:$B,PANES_SEMANALES[[#ALL],[LUNES]])</f>
        <v>0</v>
      </c>
      <c r="N332" s="6">
        <f>SUMIFS(Eventos!$G:$G,Eventos!$F:$F,$L332,Eventos!$D:$D,$C$2,Eventos!$B:$B,PANES_SEMANALES[[#ALL],[MARTES]])</f>
        <v>0</v>
      </c>
      <c r="O332" s="6">
        <f>SUMIFS(Eventos!$G:$G,Eventos!$F:$F,$L332,Eventos!$D:$D,$C$2,Eventos!$B:$B,PANES_SEMANALES[[#ALL],[MIÉRCOLES]])</f>
        <v>0</v>
      </c>
      <c r="P332" s="6">
        <f>SUMIFS(Eventos!$G:$G,Eventos!$F:$F,$L332,Eventos!$D:$D,$C$2,Eventos!$B:$B,PANES_SEMANALES[[#ALL],[JUEVES]])</f>
        <v>0</v>
      </c>
      <c r="Q332" s="6">
        <f>IF(P332&lt;&gt;"",SUMIFS(Eventos!$G:$G,Eventos!$B:$B,Q$2,Eventos!$D:$D,$C$2,Eventos!$F:$F,$L332),"")</f>
        <v>0</v>
      </c>
      <c r="R332" s="6">
        <f>SUMIFS(Eventos!$G:$G,Eventos!$F:$F,$L332,Eventos!$D:$D,$C$2,Eventos!$B:$B,PANES_SEMANALES[[#ALL],[SÁBADO]])</f>
        <v>0</v>
      </c>
      <c r="S332" s="7">
        <f>SUMIFS(Eventos!$G:$G,Eventos!$F:$F,$L332,Eventos!$D:$D,$C$2,Eventos!$B:$B,PANES_SEMANALES[[#ALL],[DOMINGO]])</f>
        <v>0</v>
      </c>
      <c r="T332" s="8">
        <f t="shared" si="1"/>
        <v>0</v>
      </c>
    </row>
    <row r="333" ht="22.5" customHeight="1">
      <c r="L333" s="4"/>
      <c r="M333" s="5">
        <f>SUMIFS(Eventos!$G:$G,Eventos!$F:$F,$L333,Eventos!$D:$D,$C$2,Eventos!$B:$B,PANES_SEMANALES[[#ALL],[LUNES]])</f>
        <v>0</v>
      </c>
      <c r="N333" s="6">
        <f>SUMIFS(Eventos!$G:$G,Eventos!$F:$F,$L333,Eventos!$D:$D,$C$2,Eventos!$B:$B,PANES_SEMANALES[[#ALL],[MARTES]])</f>
        <v>0</v>
      </c>
      <c r="O333" s="6">
        <f>SUMIFS(Eventos!$G:$G,Eventos!$F:$F,$L333,Eventos!$D:$D,$C$2,Eventos!$B:$B,PANES_SEMANALES[[#ALL],[MIÉRCOLES]])</f>
        <v>0</v>
      </c>
      <c r="P333" s="6">
        <f>SUMIFS(Eventos!$G:$G,Eventos!$F:$F,$L333,Eventos!$D:$D,$C$2,Eventos!$B:$B,PANES_SEMANALES[[#ALL],[JUEVES]])</f>
        <v>0</v>
      </c>
      <c r="Q333" s="6">
        <f>IF(P333&lt;&gt;"",SUMIFS(Eventos!$G:$G,Eventos!$B:$B,Q$2,Eventos!$D:$D,$C$2,Eventos!$F:$F,$L333),"")</f>
        <v>0</v>
      </c>
      <c r="R333" s="6">
        <f>SUMIFS(Eventos!$G:$G,Eventos!$F:$F,$L333,Eventos!$D:$D,$C$2,Eventos!$B:$B,PANES_SEMANALES[[#ALL],[SÁBADO]])</f>
        <v>0</v>
      </c>
      <c r="S333" s="7">
        <f>SUMIFS(Eventos!$G:$G,Eventos!$F:$F,$L333,Eventos!$D:$D,$C$2,Eventos!$B:$B,PANES_SEMANALES[[#ALL],[DOMINGO]])</f>
        <v>0</v>
      </c>
      <c r="T333" s="8">
        <f t="shared" si="1"/>
        <v>0</v>
      </c>
    </row>
    <row r="334" ht="22.5" customHeight="1">
      <c r="L334" s="4"/>
      <c r="M334" s="5">
        <f>SUMIFS(Eventos!$G:$G,Eventos!$F:$F,$L334,Eventos!$D:$D,$C$2,Eventos!$B:$B,PANES_SEMANALES[[#ALL],[LUNES]])</f>
        <v>0</v>
      </c>
      <c r="N334" s="6">
        <f>SUMIFS(Eventos!$G:$G,Eventos!$F:$F,$L334,Eventos!$D:$D,$C$2,Eventos!$B:$B,PANES_SEMANALES[[#ALL],[MARTES]])</f>
        <v>0</v>
      </c>
      <c r="O334" s="6">
        <f>SUMIFS(Eventos!$G:$G,Eventos!$F:$F,$L334,Eventos!$D:$D,$C$2,Eventos!$B:$B,PANES_SEMANALES[[#ALL],[MIÉRCOLES]])</f>
        <v>0</v>
      </c>
      <c r="P334" s="6">
        <f>SUMIFS(Eventos!$G:$G,Eventos!$F:$F,$L334,Eventos!$D:$D,$C$2,Eventos!$B:$B,PANES_SEMANALES[[#ALL],[JUEVES]])</f>
        <v>0</v>
      </c>
      <c r="Q334" s="6">
        <f>IF(P334&lt;&gt;"",SUMIFS(Eventos!$G:$G,Eventos!$B:$B,Q$2,Eventos!$D:$D,$C$2,Eventos!$F:$F,$L334),"")</f>
        <v>0</v>
      </c>
      <c r="R334" s="6">
        <f>SUMIFS(Eventos!$G:$G,Eventos!$F:$F,$L334,Eventos!$D:$D,$C$2,Eventos!$B:$B,PANES_SEMANALES[[#ALL],[SÁBADO]])</f>
        <v>0</v>
      </c>
      <c r="S334" s="7">
        <f>SUMIFS(Eventos!$G:$G,Eventos!$F:$F,$L334,Eventos!$D:$D,$C$2,Eventos!$B:$B,PANES_SEMANALES[[#ALL],[DOMINGO]])</f>
        <v>0</v>
      </c>
      <c r="T334" s="8">
        <f t="shared" si="1"/>
        <v>0</v>
      </c>
    </row>
    <row r="335" ht="22.5" customHeight="1">
      <c r="L335" s="4"/>
      <c r="M335" s="5">
        <f>SUMIFS(Eventos!$G:$G,Eventos!$F:$F,$L335,Eventos!$D:$D,$C$2,Eventos!$B:$B,PANES_SEMANALES[[#ALL],[LUNES]])</f>
        <v>0</v>
      </c>
      <c r="N335" s="6">
        <f>SUMIFS(Eventos!$G:$G,Eventos!$F:$F,$L335,Eventos!$D:$D,$C$2,Eventos!$B:$B,PANES_SEMANALES[[#ALL],[MARTES]])</f>
        <v>0</v>
      </c>
      <c r="O335" s="6">
        <f>SUMIFS(Eventos!$G:$G,Eventos!$F:$F,$L335,Eventos!$D:$D,$C$2,Eventos!$B:$B,PANES_SEMANALES[[#ALL],[MIÉRCOLES]])</f>
        <v>0</v>
      </c>
      <c r="P335" s="6">
        <f>SUMIFS(Eventos!$G:$G,Eventos!$F:$F,$L335,Eventos!$D:$D,$C$2,Eventos!$B:$B,PANES_SEMANALES[[#ALL],[JUEVES]])</f>
        <v>0</v>
      </c>
      <c r="Q335" s="6">
        <f>IF(P335&lt;&gt;"",SUMIFS(Eventos!$G:$G,Eventos!$B:$B,Q$2,Eventos!$D:$D,$C$2,Eventos!$F:$F,$L335),"")</f>
        <v>0</v>
      </c>
      <c r="R335" s="6">
        <f>SUMIFS(Eventos!$G:$G,Eventos!$F:$F,$L335,Eventos!$D:$D,$C$2,Eventos!$B:$B,PANES_SEMANALES[[#ALL],[SÁBADO]])</f>
        <v>0</v>
      </c>
      <c r="S335" s="7">
        <f>SUMIFS(Eventos!$G:$G,Eventos!$F:$F,$L335,Eventos!$D:$D,$C$2,Eventos!$B:$B,PANES_SEMANALES[[#ALL],[DOMINGO]])</f>
        <v>0</v>
      </c>
      <c r="T335" s="8">
        <f t="shared" si="1"/>
        <v>0</v>
      </c>
    </row>
    <row r="336" ht="22.5" customHeight="1">
      <c r="L336" s="4"/>
      <c r="M336" s="5">
        <f>SUMIFS(Eventos!$G:$G,Eventos!$F:$F,$L336,Eventos!$D:$D,$C$2,Eventos!$B:$B,PANES_SEMANALES[[#ALL],[LUNES]])</f>
        <v>0</v>
      </c>
      <c r="N336" s="6">
        <f>SUMIFS(Eventos!$G:$G,Eventos!$F:$F,$L336,Eventos!$D:$D,$C$2,Eventos!$B:$B,PANES_SEMANALES[[#ALL],[MARTES]])</f>
        <v>0</v>
      </c>
      <c r="O336" s="6">
        <f>SUMIFS(Eventos!$G:$G,Eventos!$F:$F,$L336,Eventos!$D:$D,$C$2,Eventos!$B:$B,PANES_SEMANALES[[#ALL],[MIÉRCOLES]])</f>
        <v>0</v>
      </c>
      <c r="P336" s="6">
        <f>SUMIFS(Eventos!$G:$G,Eventos!$F:$F,$L336,Eventos!$D:$D,$C$2,Eventos!$B:$B,PANES_SEMANALES[[#ALL],[JUEVES]])</f>
        <v>0</v>
      </c>
      <c r="Q336" s="6">
        <f>IF(P336&lt;&gt;"",SUMIFS(Eventos!$G:$G,Eventos!$B:$B,Q$2,Eventos!$D:$D,$C$2,Eventos!$F:$F,$L336),"")</f>
        <v>0</v>
      </c>
      <c r="R336" s="6">
        <f>SUMIFS(Eventos!$G:$G,Eventos!$F:$F,$L336,Eventos!$D:$D,$C$2,Eventos!$B:$B,PANES_SEMANALES[[#ALL],[SÁBADO]])</f>
        <v>0</v>
      </c>
      <c r="S336" s="7">
        <f>SUMIFS(Eventos!$G:$G,Eventos!$F:$F,$L336,Eventos!$D:$D,$C$2,Eventos!$B:$B,PANES_SEMANALES[[#ALL],[DOMINGO]])</f>
        <v>0</v>
      </c>
      <c r="T336" s="8">
        <f t="shared" si="1"/>
        <v>0</v>
      </c>
    </row>
    <row r="337" ht="22.5" customHeight="1">
      <c r="L337" s="4"/>
      <c r="M337" s="5">
        <f>SUMIFS(Eventos!$G:$G,Eventos!$F:$F,$L337,Eventos!$D:$D,$C$2,Eventos!$B:$B,PANES_SEMANALES[[#ALL],[LUNES]])</f>
        <v>0</v>
      </c>
      <c r="N337" s="6">
        <f>SUMIFS(Eventos!$G:$G,Eventos!$F:$F,$L337,Eventos!$D:$D,$C$2,Eventos!$B:$B,PANES_SEMANALES[[#ALL],[MARTES]])</f>
        <v>0</v>
      </c>
      <c r="O337" s="6">
        <f>SUMIFS(Eventos!$G:$G,Eventos!$F:$F,$L337,Eventos!$D:$D,$C$2,Eventos!$B:$B,PANES_SEMANALES[[#ALL],[MIÉRCOLES]])</f>
        <v>0</v>
      </c>
      <c r="P337" s="6">
        <f>SUMIFS(Eventos!$G:$G,Eventos!$F:$F,$L337,Eventos!$D:$D,$C$2,Eventos!$B:$B,PANES_SEMANALES[[#ALL],[JUEVES]])</f>
        <v>0</v>
      </c>
      <c r="Q337" s="6">
        <f>IF(P337&lt;&gt;"",SUMIFS(Eventos!$G:$G,Eventos!$B:$B,Q$2,Eventos!$D:$D,$C$2,Eventos!$F:$F,$L337),"")</f>
        <v>0</v>
      </c>
      <c r="R337" s="6">
        <f>SUMIFS(Eventos!$G:$G,Eventos!$F:$F,$L337,Eventos!$D:$D,$C$2,Eventos!$B:$B,PANES_SEMANALES[[#ALL],[SÁBADO]])</f>
        <v>0</v>
      </c>
      <c r="S337" s="7">
        <f>SUMIFS(Eventos!$G:$G,Eventos!$F:$F,$L337,Eventos!$D:$D,$C$2,Eventos!$B:$B,PANES_SEMANALES[[#ALL],[DOMINGO]])</f>
        <v>0</v>
      </c>
      <c r="T337" s="8">
        <f t="shared" si="1"/>
        <v>0</v>
      </c>
    </row>
    <row r="338" ht="22.5" customHeight="1">
      <c r="L338" s="4"/>
      <c r="M338" s="5">
        <f>SUMIFS(Eventos!$G:$G,Eventos!$F:$F,$L338,Eventos!$D:$D,$C$2,Eventos!$B:$B,PANES_SEMANALES[[#ALL],[LUNES]])</f>
        <v>0</v>
      </c>
      <c r="N338" s="6">
        <f>SUMIFS(Eventos!$G:$G,Eventos!$F:$F,$L338,Eventos!$D:$D,$C$2,Eventos!$B:$B,PANES_SEMANALES[[#ALL],[MARTES]])</f>
        <v>0</v>
      </c>
      <c r="O338" s="6">
        <f>SUMIFS(Eventos!$G:$G,Eventos!$F:$F,$L338,Eventos!$D:$D,$C$2,Eventos!$B:$B,PANES_SEMANALES[[#ALL],[MIÉRCOLES]])</f>
        <v>0</v>
      </c>
      <c r="P338" s="6">
        <f>SUMIFS(Eventos!$G:$G,Eventos!$F:$F,$L338,Eventos!$D:$D,$C$2,Eventos!$B:$B,PANES_SEMANALES[[#ALL],[JUEVES]])</f>
        <v>0</v>
      </c>
      <c r="Q338" s="6">
        <f>IF(P338&lt;&gt;"",SUMIFS(Eventos!$G:$G,Eventos!$B:$B,Q$2,Eventos!$D:$D,$C$2,Eventos!$F:$F,$L338),"")</f>
        <v>0</v>
      </c>
      <c r="R338" s="6">
        <f>SUMIFS(Eventos!$G:$G,Eventos!$F:$F,$L338,Eventos!$D:$D,$C$2,Eventos!$B:$B,PANES_SEMANALES[[#ALL],[SÁBADO]])</f>
        <v>0</v>
      </c>
      <c r="S338" s="7">
        <f>SUMIFS(Eventos!$G:$G,Eventos!$F:$F,$L338,Eventos!$D:$D,$C$2,Eventos!$B:$B,PANES_SEMANALES[[#ALL],[DOMINGO]])</f>
        <v>0</v>
      </c>
      <c r="T338" s="8">
        <f t="shared" si="1"/>
        <v>0</v>
      </c>
    </row>
    <row r="339" ht="22.5" customHeight="1">
      <c r="L339" s="4"/>
      <c r="M339" s="5">
        <f>SUMIFS(Eventos!$G:$G,Eventos!$F:$F,$L339,Eventos!$D:$D,$C$2,Eventos!$B:$B,PANES_SEMANALES[[#ALL],[LUNES]])</f>
        <v>0</v>
      </c>
      <c r="N339" s="6">
        <f>SUMIFS(Eventos!$G:$G,Eventos!$F:$F,$L339,Eventos!$D:$D,$C$2,Eventos!$B:$B,PANES_SEMANALES[[#ALL],[MARTES]])</f>
        <v>0</v>
      </c>
      <c r="O339" s="6">
        <f>SUMIFS(Eventos!$G:$G,Eventos!$F:$F,$L339,Eventos!$D:$D,$C$2,Eventos!$B:$B,PANES_SEMANALES[[#ALL],[MIÉRCOLES]])</f>
        <v>0</v>
      </c>
      <c r="P339" s="6">
        <f>SUMIFS(Eventos!$G:$G,Eventos!$F:$F,$L339,Eventos!$D:$D,$C$2,Eventos!$B:$B,PANES_SEMANALES[[#ALL],[JUEVES]])</f>
        <v>0</v>
      </c>
      <c r="Q339" s="6">
        <f>IF(P339&lt;&gt;"",SUMIFS(Eventos!$G:$G,Eventos!$B:$B,Q$2,Eventos!$D:$D,$C$2,Eventos!$F:$F,$L339),"")</f>
        <v>0</v>
      </c>
      <c r="R339" s="6">
        <f>SUMIFS(Eventos!$G:$G,Eventos!$F:$F,$L339,Eventos!$D:$D,$C$2,Eventos!$B:$B,PANES_SEMANALES[[#ALL],[SÁBADO]])</f>
        <v>0</v>
      </c>
      <c r="S339" s="7">
        <f>SUMIFS(Eventos!$G:$G,Eventos!$F:$F,$L339,Eventos!$D:$D,$C$2,Eventos!$B:$B,PANES_SEMANALES[[#ALL],[DOMINGO]])</f>
        <v>0</v>
      </c>
      <c r="T339" s="8">
        <f t="shared" si="1"/>
        <v>0</v>
      </c>
    </row>
    <row r="340" ht="22.5" customHeight="1">
      <c r="L340" s="4"/>
      <c r="M340" s="5">
        <f>SUMIFS(Eventos!$G:$G,Eventos!$F:$F,$L340,Eventos!$D:$D,$C$2,Eventos!$B:$B,PANES_SEMANALES[[#ALL],[LUNES]])</f>
        <v>0</v>
      </c>
      <c r="N340" s="6">
        <f>SUMIFS(Eventos!$G:$G,Eventos!$F:$F,$L340,Eventos!$D:$D,$C$2,Eventos!$B:$B,PANES_SEMANALES[[#ALL],[MARTES]])</f>
        <v>0</v>
      </c>
      <c r="O340" s="6">
        <f>SUMIFS(Eventos!$G:$G,Eventos!$F:$F,$L340,Eventos!$D:$D,$C$2,Eventos!$B:$B,PANES_SEMANALES[[#ALL],[MIÉRCOLES]])</f>
        <v>0</v>
      </c>
      <c r="P340" s="6">
        <f>SUMIFS(Eventos!$G:$G,Eventos!$F:$F,$L340,Eventos!$D:$D,$C$2,Eventos!$B:$B,PANES_SEMANALES[[#ALL],[JUEVES]])</f>
        <v>0</v>
      </c>
      <c r="Q340" s="6">
        <f>IF(P340&lt;&gt;"",SUMIFS(Eventos!$G:$G,Eventos!$B:$B,Q$2,Eventos!$D:$D,$C$2,Eventos!$F:$F,$L340),"")</f>
        <v>0</v>
      </c>
      <c r="R340" s="6">
        <f>SUMIFS(Eventos!$G:$G,Eventos!$F:$F,$L340,Eventos!$D:$D,$C$2,Eventos!$B:$B,PANES_SEMANALES[[#ALL],[SÁBADO]])</f>
        <v>0</v>
      </c>
      <c r="S340" s="7">
        <f>SUMIFS(Eventos!$G:$G,Eventos!$F:$F,$L340,Eventos!$D:$D,$C$2,Eventos!$B:$B,PANES_SEMANALES[[#ALL],[DOMINGO]])</f>
        <v>0</v>
      </c>
      <c r="T340" s="8">
        <f t="shared" si="1"/>
        <v>0</v>
      </c>
    </row>
    <row r="341" ht="22.5" customHeight="1">
      <c r="L341" s="4"/>
      <c r="M341" s="5">
        <f>SUMIFS(Eventos!$G:$G,Eventos!$F:$F,$L341,Eventos!$D:$D,$C$2,Eventos!$B:$B,PANES_SEMANALES[[#ALL],[LUNES]])</f>
        <v>0</v>
      </c>
      <c r="N341" s="6">
        <f>SUMIFS(Eventos!$G:$G,Eventos!$F:$F,$L341,Eventos!$D:$D,$C$2,Eventos!$B:$B,PANES_SEMANALES[[#ALL],[MARTES]])</f>
        <v>0</v>
      </c>
      <c r="O341" s="6">
        <f>SUMIFS(Eventos!$G:$G,Eventos!$F:$F,$L341,Eventos!$D:$D,$C$2,Eventos!$B:$B,PANES_SEMANALES[[#ALL],[MIÉRCOLES]])</f>
        <v>0</v>
      </c>
      <c r="P341" s="6">
        <f>SUMIFS(Eventos!$G:$G,Eventos!$F:$F,$L341,Eventos!$D:$D,$C$2,Eventos!$B:$B,PANES_SEMANALES[[#ALL],[JUEVES]])</f>
        <v>0</v>
      </c>
      <c r="Q341" s="6">
        <f>IF(P341&lt;&gt;"",SUMIFS(Eventos!$G:$G,Eventos!$B:$B,Q$2,Eventos!$D:$D,$C$2,Eventos!$F:$F,$L341),"")</f>
        <v>0</v>
      </c>
      <c r="R341" s="6">
        <f>SUMIFS(Eventos!$G:$G,Eventos!$F:$F,$L341,Eventos!$D:$D,$C$2,Eventos!$B:$B,PANES_SEMANALES[[#ALL],[SÁBADO]])</f>
        <v>0</v>
      </c>
      <c r="S341" s="7">
        <f>SUMIFS(Eventos!$G:$G,Eventos!$F:$F,$L341,Eventos!$D:$D,$C$2,Eventos!$B:$B,PANES_SEMANALES[[#ALL],[DOMINGO]])</f>
        <v>0</v>
      </c>
      <c r="T341" s="8">
        <f t="shared" si="1"/>
        <v>0</v>
      </c>
    </row>
    <row r="342" ht="22.5" customHeight="1">
      <c r="L342" s="4"/>
      <c r="M342" s="5">
        <f>SUMIFS(Eventos!$G:$G,Eventos!$F:$F,$L342,Eventos!$D:$D,$C$2,Eventos!$B:$B,PANES_SEMANALES[[#ALL],[LUNES]])</f>
        <v>0</v>
      </c>
      <c r="N342" s="6">
        <f>SUMIFS(Eventos!$G:$G,Eventos!$F:$F,$L342,Eventos!$D:$D,$C$2,Eventos!$B:$B,PANES_SEMANALES[[#ALL],[MARTES]])</f>
        <v>0</v>
      </c>
      <c r="O342" s="6">
        <f>SUMIFS(Eventos!$G:$G,Eventos!$F:$F,$L342,Eventos!$D:$D,$C$2,Eventos!$B:$B,PANES_SEMANALES[[#ALL],[MIÉRCOLES]])</f>
        <v>0</v>
      </c>
      <c r="P342" s="6">
        <f>SUMIFS(Eventos!$G:$G,Eventos!$F:$F,$L342,Eventos!$D:$D,$C$2,Eventos!$B:$B,PANES_SEMANALES[[#ALL],[JUEVES]])</f>
        <v>0</v>
      </c>
      <c r="Q342" s="6">
        <f>IF(P342&lt;&gt;"",SUMIFS(Eventos!$G:$G,Eventos!$B:$B,Q$2,Eventos!$D:$D,$C$2,Eventos!$F:$F,$L342),"")</f>
        <v>0</v>
      </c>
      <c r="R342" s="6">
        <f>SUMIFS(Eventos!$G:$G,Eventos!$F:$F,$L342,Eventos!$D:$D,$C$2,Eventos!$B:$B,PANES_SEMANALES[[#ALL],[SÁBADO]])</f>
        <v>0</v>
      </c>
      <c r="S342" s="7">
        <f>SUMIFS(Eventos!$G:$G,Eventos!$F:$F,$L342,Eventos!$D:$D,$C$2,Eventos!$B:$B,PANES_SEMANALES[[#ALL],[DOMINGO]])</f>
        <v>0</v>
      </c>
      <c r="T342" s="8">
        <f t="shared" si="1"/>
        <v>0</v>
      </c>
    </row>
    <row r="343" ht="22.5" customHeight="1">
      <c r="L343" s="4"/>
      <c r="M343" s="5">
        <f>SUMIFS(Eventos!$G:$G,Eventos!$F:$F,$L343,Eventos!$D:$D,$C$2,Eventos!$B:$B,PANES_SEMANALES[[#ALL],[LUNES]])</f>
        <v>0</v>
      </c>
      <c r="N343" s="6">
        <f>SUMIFS(Eventos!$G:$G,Eventos!$F:$F,$L343,Eventos!$D:$D,$C$2,Eventos!$B:$B,PANES_SEMANALES[[#ALL],[MARTES]])</f>
        <v>0</v>
      </c>
      <c r="O343" s="6">
        <f>SUMIFS(Eventos!$G:$G,Eventos!$F:$F,$L343,Eventos!$D:$D,$C$2,Eventos!$B:$B,PANES_SEMANALES[[#ALL],[MIÉRCOLES]])</f>
        <v>0</v>
      </c>
      <c r="P343" s="6">
        <f>SUMIFS(Eventos!$G:$G,Eventos!$F:$F,$L343,Eventos!$D:$D,$C$2,Eventos!$B:$B,PANES_SEMANALES[[#ALL],[JUEVES]])</f>
        <v>0</v>
      </c>
      <c r="Q343" s="6">
        <f>IF(P343&lt;&gt;"",SUMIFS(Eventos!$G:$G,Eventos!$B:$B,Q$2,Eventos!$D:$D,$C$2,Eventos!$F:$F,$L343),"")</f>
        <v>0</v>
      </c>
      <c r="R343" s="6">
        <f>SUMIFS(Eventos!$G:$G,Eventos!$F:$F,$L343,Eventos!$D:$D,$C$2,Eventos!$B:$B,PANES_SEMANALES[[#ALL],[SÁBADO]])</f>
        <v>0</v>
      </c>
      <c r="S343" s="7">
        <f>SUMIFS(Eventos!$G:$G,Eventos!$F:$F,$L343,Eventos!$D:$D,$C$2,Eventos!$B:$B,PANES_SEMANALES[[#ALL],[DOMINGO]])</f>
        <v>0</v>
      </c>
      <c r="T343" s="8">
        <f t="shared" si="1"/>
        <v>0</v>
      </c>
    </row>
    <row r="344" ht="22.5" customHeight="1">
      <c r="L344" s="4"/>
      <c r="M344" s="5">
        <f>SUMIFS(Eventos!$G:$G,Eventos!$F:$F,$L344,Eventos!$D:$D,$C$2,Eventos!$B:$B,PANES_SEMANALES[[#ALL],[LUNES]])</f>
        <v>0</v>
      </c>
      <c r="N344" s="6">
        <f>SUMIFS(Eventos!$G:$G,Eventos!$F:$F,$L344,Eventos!$D:$D,$C$2,Eventos!$B:$B,PANES_SEMANALES[[#ALL],[MARTES]])</f>
        <v>0</v>
      </c>
      <c r="O344" s="6">
        <f>SUMIFS(Eventos!$G:$G,Eventos!$F:$F,$L344,Eventos!$D:$D,$C$2,Eventos!$B:$B,PANES_SEMANALES[[#ALL],[MIÉRCOLES]])</f>
        <v>0</v>
      </c>
      <c r="P344" s="6">
        <f>SUMIFS(Eventos!$G:$G,Eventos!$F:$F,$L344,Eventos!$D:$D,$C$2,Eventos!$B:$B,PANES_SEMANALES[[#ALL],[JUEVES]])</f>
        <v>0</v>
      </c>
      <c r="Q344" s="6">
        <f>IF(P344&lt;&gt;"",SUMIFS(Eventos!$G:$G,Eventos!$B:$B,Q$2,Eventos!$D:$D,$C$2,Eventos!$F:$F,$L344),"")</f>
        <v>0</v>
      </c>
      <c r="R344" s="6">
        <f>SUMIFS(Eventos!$G:$G,Eventos!$F:$F,$L344,Eventos!$D:$D,$C$2,Eventos!$B:$B,PANES_SEMANALES[[#ALL],[SÁBADO]])</f>
        <v>0</v>
      </c>
      <c r="S344" s="7">
        <f>SUMIFS(Eventos!$G:$G,Eventos!$F:$F,$L344,Eventos!$D:$D,$C$2,Eventos!$B:$B,PANES_SEMANALES[[#ALL],[DOMINGO]])</f>
        <v>0</v>
      </c>
      <c r="T344" s="8">
        <f t="shared" si="1"/>
        <v>0</v>
      </c>
    </row>
    <row r="345" ht="22.5" customHeight="1">
      <c r="L345" s="4"/>
      <c r="M345" s="5">
        <f>SUMIFS(Eventos!$G:$G,Eventos!$F:$F,$L345,Eventos!$D:$D,$C$2,Eventos!$B:$B,PANES_SEMANALES[[#ALL],[LUNES]])</f>
        <v>0</v>
      </c>
      <c r="N345" s="6">
        <f>SUMIFS(Eventos!$G:$G,Eventos!$F:$F,$L345,Eventos!$D:$D,$C$2,Eventos!$B:$B,PANES_SEMANALES[[#ALL],[MARTES]])</f>
        <v>0</v>
      </c>
      <c r="O345" s="6">
        <f>SUMIFS(Eventos!$G:$G,Eventos!$F:$F,$L345,Eventos!$D:$D,$C$2,Eventos!$B:$B,PANES_SEMANALES[[#ALL],[MIÉRCOLES]])</f>
        <v>0</v>
      </c>
      <c r="P345" s="6">
        <f>SUMIFS(Eventos!$G:$G,Eventos!$F:$F,$L345,Eventos!$D:$D,$C$2,Eventos!$B:$B,PANES_SEMANALES[[#ALL],[JUEVES]])</f>
        <v>0</v>
      </c>
      <c r="Q345" s="6">
        <f>IF(P345&lt;&gt;"",SUMIFS(Eventos!$G:$G,Eventos!$B:$B,Q$2,Eventos!$D:$D,$C$2,Eventos!$F:$F,$L345),"")</f>
        <v>0</v>
      </c>
      <c r="R345" s="6">
        <f>SUMIFS(Eventos!$G:$G,Eventos!$F:$F,$L345,Eventos!$D:$D,$C$2,Eventos!$B:$B,PANES_SEMANALES[[#ALL],[SÁBADO]])</f>
        <v>0</v>
      </c>
      <c r="S345" s="7">
        <f>SUMIFS(Eventos!$G:$G,Eventos!$F:$F,$L345,Eventos!$D:$D,$C$2,Eventos!$B:$B,PANES_SEMANALES[[#ALL],[DOMINGO]])</f>
        <v>0</v>
      </c>
      <c r="T345" s="8">
        <f t="shared" si="1"/>
        <v>0</v>
      </c>
    </row>
    <row r="346" ht="22.5" customHeight="1">
      <c r="L346" s="4"/>
      <c r="M346" s="5">
        <f>SUMIFS(Eventos!$G:$G,Eventos!$F:$F,$L346,Eventos!$D:$D,$C$2,Eventos!$B:$B,PANES_SEMANALES[[#ALL],[LUNES]])</f>
        <v>0</v>
      </c>
      <c r="N346" s="6">
        <f>SUMIFS(Eventos!$G:$G,Eventos!$F:$F,$L346,Eventos!$D:$D,$C$2,Eventos!$B:$B,PANES_SEMANALES[[#ALL],[MARTES]])</f>
        <v>0</v>
      </c>
      <c r="O346" s="6">
        <f>SUMIFS(Eventos!$G:$G,Eventos!$F:$F,$L346,Eventos!$D:$D,$C$2,Eventos!$B:$B,PANES_SEMANALES[[#ALL],[MIÉRCOLES]])</f>
        <v>0</v>
      </c>
      <c r="P346" s="6">
        <f>SUMIFS(Eventos!$G:$G,Eventos!$F:$F,$L346,Eventos!$D:$D,$C$2,Eventos!$B:$B,PANES_SEMANALES[[#ALL],[JUEVES]])</f>
        <v>0</v>
      </c>
      <c r="Q346" s="6">
        <f>IF(P346&lt;&gt;"",SUMIFS(Eventos!$G:$G,Eventos!$B:$B,Q$2,Eventos!$D:$D,$C$2,Eventos!$F:$F,$L346),"")</f>
        <v>0</v>
      </c>
      <c r="R346" s="6">
        <f>SUMIFS(Eventos!$G:$G,Eventos!$F:$F,$L346,Eventos!$D:$D,$C$2,Eventos!$B:$B,PANES_SEMANALES[[#ALL],[SÁBADO]])</f>
        <v>0</v>
      </c>
      <c r="S346" s="7">
        <f>SUMIFS(Eventos!$G:$G,Eventos!$F:$F,$L346,Eventos!$D:$D,$C$2,Eventos!$B:$B,PANES_SEMANALES[[#ALL],[DOMINGO]])</f>
        <v>0</v>
      </c>
      <c r="T346" s="8">
        <f t="shared" si="1"/>
        <v>0</v>
      </c>
    </row>
    <row r="347" ht="22.5" customHeight="1">
      <c r="L347" s="4"/>
      <c r="M347" s="5">
        <f>SUMIFS(Eventos!$G:$G,Eventos!$F:$F,$L347,Eventos!$D:$D,$C$2,Eventos!$B:$B,PANES_SEMANALES[[#ALL],[LUNES]])</f>
        <v>0</v>
      </c>
      <c r="N347" s="6">
        <f>SUMIFS(Eventos!$G:$G,Eventos!$F:$F,$L347,Eventos!$D:$D,$C$2,Eventos!$B:$B,PANES_SEMANALES[[#ALL],[MARTES]])</f>
        <v>0</v>
      </c>
      <c r="O347" s="6">
        <f>SUMIFS(Eventos!$G:$G,Eventos!$F:$F,$L347,Eventos!$D:$D,$C$2,Eventos!$B:$B,PANES_SEMANALES[[#ALL],[MIÉRCOLES]])</f>
        <v>0</v>
      </c>
      <c r="P347" s="6">
        <f>SUMIFS(Eventos!$G:$G,Eventos!$F:$F,$L347,Eventos!$D:$D,$C$2,Eventos!$B:$B,PANES_SEMANALES[[#ALL],[JUEVES]])</f>
        <v>0</v>
      </c>
      <c r="Q347" s="6">
        <f>IF(P347&lt;&gt;"",SUMIFS(Eventos!$G:$G,Eventos!$B:$B,Q$2,Eventos!$D:$D,$C$2,Eventos!$F:$F,$L347),"")</f>
        <v>0</v>
      </c>
      <c r="R347" s="6">
        <f>SUMIFS(Eventos!$G:$G,Eventos!$F:$F,$L347,Eventos!$D:$D,$C$2,Eventos!$B:$B,PANES_SEMANALES[[#ALL],[SÁBADO]])</f>
        <v>0</v>
      </c>
      <c r="S347" s="7">
        <f>SUMIFS(Eventos!$G:$G,Eventos!$F:$F,$L347,Eventos!$D:$D,$C$2,Eventos!$B:$B,PANES_SEMANALES[[#ALL],[DOMINGO]])</f>
        <v>0</v>
      </c>
      <c r="T347" s="8">
        <f t="shared" si="1"/>
        <v>0</v>
      </c>
    </row>
    <row r="348" ht="22.5" customHeight="1">
      <c r="L348" s="4"/>
      <c r="M348" s="5">
        <f>SUMIFS(Eventos!$G:$G,Eventos!$F:$F,$L348,Eventos!$D:$D,$C$2,Eventos!$B:$B,PANES_SEMANALES[[#ALL],[LUNES]])</f>
        <v>0</v>
      </c>
      <c r="N348" s="6">
        <f>SUMIFS(Eventos!$G:$G,Eventos!$F:$F,$L348,Eventos!$D:$D,$C$2,Eventos!$B:$B,PANES_SEMANALES[[#ALL],[MARTES]])</f>
        <v>0</v>
      </c>
      <c r="O348" s="6">
        <f>SUMIFS(Eventos!$G:$G,Eventos!$F:$F,$L348,Eventos!$D:$D,$C$2,Eventos!$B:$B,PANES_SEMANALES[[#ALL],[MIÉRCOLES]])</f>
        <v>0</v>
      </c>
      <c r="P348" s="6">
        <f>SUMIFS(Eventos!$G:$G,Eventos!$F:$F,$L348,Eventos!$D:$D,$C$2,Eventos!$B:$B,PANES_SEMANALES[[#ALL],[JUEVES]])</f>
        <v>0</v>
      </c>
      <c r="Q348" s="6">
        <f>IF(P348&lt;&gt;"",SUMIFS(Eventos!$G:$G,Eventos!$B:$B,Q$2,Eventos!$D:$D,$C$2,Eventos!$F:$F,$L348),"")</f>
        <v>0</v>
      </c>
      <c r="R348" s="6">
        <f>SUMIFS(Eventos!$G:$G,Eventos!$F:$F,$L348,Eventos!$D:$D,$C$2,Eventos!$B:$B,PANES_SEMANALES[[#ALL],[SÁBADO]])</f>
        <v>0</v>
      </c>
      <c r="S348" s="7">
        <f>SUMIFS(Eventos!$G:$G,Eventos!$F:$F,$L348,Eventos!$D:$D,$C$2,Eventos!$B:$B,PANES_SEMANALES[[#ALL],[DOMINGO]])</f>
        <v>0</v>
      </c>
      <c r="T348" s="8">
        <f t="shared" si="1"/>
        <v>0</v>
      </c>
    </row>
    <row r="349" ht="22.5" customHeight="1">
      <c r="L349" s="4"/>
      <c r="M349" s="5">
        <f>SUMIFS(Eventos!$G:$G,Eventos!$F:$F,$L349,Eventos!$D:$D,$C$2,Eventos!$B:$B,PANES_SEMANALES[[#ALL],[LUNES]])</f>
        <v>0</v>
      </c>
      <c r="N349" s="6">
        <f>SUMIFS(Eventos!$G:$G,Eventos!$F:$F,$L349,Eventos!$D:$D,$C$2,Eventos!$B:$B,PANES_SEMANALES[[#ALL],[MARTES]])</f>
        <v>0</v>
      </c>
      <c r="O349" s="6">
        <f>SUMIFS(Eventos!$G:$G,Eventos!$F:$F,$L349,Eventos!$D:$D,$C$2,Eventos!$B:$B,PANES_SEMANALES[[#ALL],[MIÉRCOLES]])</f>
        <v>0</v>
      </c>
      <c r="P349" s="6">
        <f>SUMIFS(Eventos!$G:$G,Eventos!$F:$F,$L349,Eventos!$D:$D,$C$2,Eventos!$B:$B,PANES_SEMANALES[[#ALL],[JUEVES]])</f>
        <v>0</v>
      </c>
      <c r="Q349" s="6">
        <f>IF(P349&lt;&gt;"",SUMIFS(Eventos!$G:$G,Eventos!$B:$B,Q$2,Eventos!$D:$D,$C$2,Eventos!$F:$F,$L349),"")</f>
        <v>0</v>
      </c>
      <c r="R349" s="6">
        <f>SUMIFS(Eventos!$G:$G,Eventos!$F:$F,$L349,Eventos!$D:$D,$C$2,Eventos!$B:$B,PANES_SEMANALES[[#ALL],[SÁBADO]])</f>
        <v>0</v>
      </c>
      <c r="S349" s="7">
        <f>SUMIFS(Eventos!$G:$G,Eventos!$F:$F,$L349,Eventos!$D:$D,$C$2,Eventos!$B:$B,PANES_SEMANALES[[#ALL],[DOMINGO]])</f>
        <v>0</v>
      </c>
      <c r="T349" s="8">
        <f t="shared" si="1"/>
        <v>0</v>
      </c>
    </row>
    <row r="350" ht="22.5" customHeight="1">
      <c r="L350" s="4"/>
      <c r="M350" s="5">
        <f>SUMIFS(Eventos!$G:$G,Eventos!$F:$F,$L350,Eventos!$D:$D,$C$2,Eventos!$B:$B,PANES_SEMANALES[[#ALL],[LUNES]])</f>
        <v>0</v>
      </c>
      <c r="N350" s="6">
        <f>SUMIFS(Eventos!$G:$G,Eventos!$F:$F,$L350,Eventos!$D:$D,$C$2,Eventos!$B:$B,PANES_SEMANALES[[#ALL],[MARTES]])</f>
        <v>0</v>
      </c>
      <c r="O350" s="6">
        <f>SUMIFS(Eventos!$G:$G,Eventos!$F:$F,$L350,Eventos!$D:$D,$C$2,Eventos!$B:$B,PANES_SEMANALES[[#ALL],[MIÉRCOLES]])</f>
        <v>0</v>
      </c>
      <c r="P350" s="6">
        <f>SUMIFS(Eventos!$G:$G,Eventos!$F:$F,$L350,Eventos!$D:$D,$C$2,Eventos!$B:$B,PANES_SEMANALES[[#ALL],[JUEVES]])</f>
        <v>0</v>
      </c>
      <c r="Q350" s="6">
        <f>IF(P350&lt;&gt;"",SUMIFS(Eventos!$G:$G,Eventos!$B:$B,Q$2,Eventos!$D:$D,$C$2,Eventos!$F:$F,$L350),"")</f>
        <v>0</v>
      </c>
      <c r="R350" s="6">
        <f>SUMIFS(Eventos!$G:$G,Eventos!$F:$F,$L350,Eventos!$D:$D,$C$2,Eventos!$B:$B,PANES_SEMANALES[[#ALL],[SÁBADO]])</f>
        <v>0</v>
      </c>
      <c r="S350" s="7">
        <f>SUMIFS(Eventos!$G:$G,Eventos!$F:$F,$L350,Eventos!$D:$D,$C$2,Eventos!$B:$B,PANES_SEMANALES[[#ALL],[DOMINGO]])</f>
        <v>0</v>
      </c>
      <c r="T350" s="8">
        <f t="shared" si="1"/>
        <v>0</v>
      </c>
    </row>
    <row r="351" ht="22.5" customHeight="1">
      <c r="L351" s="4"/>
      <c r="M351" s="5">
        <f>SUMIFS(Eventos!$G:$G,Eventos!$F:$F,$L351,Eventos!$D:$D,$C$2,Eventos!$B:$B,PANES_SEMANALES[[#ALL],[LUNES]])</f>
        <v>0</v>
      </c>
      <c r="N351" s="6">
        <f>SUMIFS(Eventos!$G:$G,Eventos!$F:$F,$L351,Eventos!$D:$D,$C$2,Eventos!$B:$B,PANES_SEMANALES[[#ALL],[MARTES]])</f>
        <v>0</v>
      </c>
      <c r="O351" s="6">
        <f>SUMIFS(Eventos!$G:$G,Eventos!$F:$F,$L351,Eventos!$D:$D,$C$2,Eventos!$B:$B,PANES_SEMANALES[[#ALL],[MIÉRCOLES]])</f>
        <v>0</v>
      </c>
      <c r="P351" s="6">
        <f>SUMIFS(Eventos!$G:$G,Eventos!$F:$F,$L351,Eventos!$D:$D,$C$2,Eventos!$B:$B,PANES_SEMANALES[[#ALL],[JUEVES]])</f>
        <v>0</v>
      </c>
      <c r="Q351" s="6">
        <f>IF(P351&lt;&gt;"",SUMIFS(Eventos!$G:$G,Eventos!$B:$B,Q$2,Eventos!$D:$D,$C$2,Eventos!$F:$F,$L351),"")</f>
        <v>0</v>
      </c>
      <c r="R351" s="6">
        <f>SUMIFS(Eventos!$G:$G,Eventos!$F:$F,$L351,Eventos!$D:$D,$C$2,Eventos!$B:$B,PANES_SEMANALES[[#ALL],[SÁBADO]])</f>
        <v>0</v>
      </c>
      <c r="S351" s="7">
        <f>SUMIFS(Eventos!$G:$G,Eventos!$F:$F,$L351,Eventos!$D:$D,$C$2,Eventos!$B:$B,PANES_SEMANALES[[#ALL],[DOMINGO]])</f>
        <v>0</v>
      </c>
      <c r="T351" s="8">
        <f t="shared" si="1"/>
        <v>0</v>
      </c>
    </row>
    <row r="352" ht="22.5" customHeight="1">
      <c r="L352" s="4"/>
      <c r="M352" s="5">
        <f>SUMIFS(Eventos!$G:$G,Eventos!$F:$F,$L352,Eventos!$D:$D,$C$2,Eventos!$B:$B,PANES_SEMANALES[[#ALL],[LUNES]])</f>
        <v>0</v>
      </c>
      <c r="N352" s="6">
        <f>SUMIFS(Eventos!$G:$G,Eventos!$F:$F,$L352,Eventos!$D:$D,$C$2,Eventos!$B:$B,PANES_SEMANALES[[#ALL],[MARTES]])</f>
        <v>0</v>
      </c>
      <c r="O352" s="6">
        <f>SUMIFS(Eventos!$G:$G,Eventos!$F:$F,$L352,Eventos!$D:$D,$C$2,Eventos!$B:$B,PANES_SEMANALES[[#ALL],[MIÉRCOLES]])</f>
        <v>0</v>
      </c>
      <c r="P352" s="6">
        <f>SUMIFS(Eventos!$G:$G,Eventos!$F:$F,$L352,Eventos!$D:$D,$C$2,Eventos!$B:$B,PANES_SEMANALES[[#ALL],[JUEVES]])</f>
        <v>0</v>
      </c>
      <c r="Q352" s="6">
        <f>IF(P352&lt;&gt;"",SUMIFS(Eventos!$G:$G,Eventos!$B:$B,Q$2,Eventos!$D:$D,$C$2,Eventos!$F:$F,$L352),"")</f>
        <v>0</v>
      </c>
      <c r="R352" s="6">
        <f>SUMIFS(Eventos!$G:$G,Eventos!$F:$F,$L352,Eventos!$D:$D,$C$2,Eventos!$B:$B,PANES_SEMANALES[[#ALL],[SÁBADO]])</f>
        <v>0</v>
      </c>
      <c r="S352" s="7">
        <f>SUMIFS(Eventos!$G:$G,Eventos!$F:$F,$L352,Eventos!$D:$D,$C$2,Eventos!$B:$B,PANES_SEMANALES[[#ALL],[DOMINGO]])</f>
        <v>0</v>
      </c>
      <c r="T352" s="8">
        <f t="shared" si="1"/>
        <v>0</v>
      </c>
    </row>
    <row r="353" ht="22.5" customHeight="1">
      <c r="L353" s="4"/>
      <c r="M353" s="5">
        <f>SUMIFS(Eventos!$G:$G,Eventos!$F:$F,$L353,Eventos!$D:$D,$C$2,Eventos!$B:$B,PANES_SEMANALES[[#ALL],[LUNES]])</f>
        <v>0</v>
      </c>
      <c r="N353" s="6">
        <f>SUMIFS(Eventos!$G:$G,Eventos!$F:$F,$L353,Eventos!$D:$D,$C$2,Eventos!$B:$B,PANES_SEMANALES[[#ALL],[MARTES]])</f>
        <v>0</v>
      </c>
      <c r="O353" s="6">
        <f>SUMIFS(Eventos!$G:$G,Eventos!$F:$F,$L353,Eventos!$D:$D,$C$2,Eventos!$B:$B,PANES_SEMANALES[[#ALL],[MIÉRCOLES]])</f>
        <v>0</v>
      </c>
      <c r="P353" s="6">
        <f>SUMIFS(Eventos!$G:$G,Eventos!$F:$F,$L353,Eventos!$D:$D,$C$2,Eventos!$B:$B,PANES_SEMANALES[[#ALL],[JUEVES]])</f>
        <v>0</v>
      </c>
      <c r="Q353" s="6">
        <f>IF(P353&lt;&gt;"",SUMIFS(Eventos!$G:$G,Eventos!$B:$B,Q$2,Eventos!$D:$D,$C$2,Eventos!$F:$F,$L353),"")</f>
        <v>0</v>
      </c>
      <c r="R353" s="6">
        <f>SUMIFS(Eventos!$G:$G,Eventos!$F:$F,$L353,Eventos!$D:$D,$C$2,Eventos!$B:$B,PANES_SEMANALES[[#ALL],[SÁBADO]])</f>
        <v>0</v>
      </c>
      <c r="S353" s="7">
        <f>SUMIFS(Eventos!$G:$G,Eventos!$F:$F,$L353,Eventos!$D:$D,$C$2,Eventos!$B:$B,PANES_SEMANALES[[#ALL],[DOMINGO]])</f>
        <v>0</v>
      </c>
      <c r="T353" s="8">
        <f t="shared" si="1"/>
        <v>0</v>
      </c>
    </row>
    <row r="354" ht="22.5" customHeight="1">
      <c r="L354" s="4"/>
      <c r="M354" s="5">
        <f>SUMIFS(Eventos!$G:$G,Eventos!$F:$F,$L354,Eventos!$D:$D,$C$2,Eventos!$B:$B,PANES_SEMANALES[[#ALL],[LUNES]])</f>
        <v>0</v>
      </c>
      <c r="N354" s="6">
        <f>SUMIFS(Eventos!$G:$G,Eventos!$F:$F,$L354,Eventos!$D:$D,$C$2,Eventos!$B:$B,PANES_SEMANALES[[#ALL],[MARTES]])</f>
        <v>0</v>
      </c>
      <c r="O354" s="6">
        <f>SUMIFS(Eventos!$G:$G,Eventos!$F:$F,$L354,Eventos!$D:$D,$C$2,Eventos!$B:$B,PANES_SEMANALES[[#ALL],[MIÉRCOLES]])</f>
        <v>0</v>
      </c>
      <c r="P354" s="6">
        <f>SUMIFS(Eventos!$G:$G,Eventos!$F:$F,$L354,Eventos!$D:$D,$C$2,Eventos!$B:$B,PANES_SEMANALES[[#ALL],[JUEVES]])</f>
        <v>0</v>
      </c>
      <c r="Q354" s="6">
        <f>IF(P354&lt;&gt;"",SUMIFS(Eventos!$G:$G,Eventos!$B:$B,Q$2,Eventos!$D:$D,$C$2,Eventos!$F:$F,$L354),"")</f>
        <v>0</v>
      </c>
      <c r="R354" s="6">
        <f>SUMIFS(Eventos!$G:$G,Eventos!$F:$F,$L354,Eventos!$D:$D,$C$2,Eventos!$B:$B,PANES_SEMANALES[[#ALL],[SÁBADO]])</f>
        <v>0</v>
      </c>
      <c r="S354" s="7">
        <f>SUMIFS(Eventos!$G:$G,Eventos!$F:$F,$L354,Eventos!$D:$D,$C$2,Eventos!$B:$B,PANES_SEMANALES[[#ALL],[DOMINGO]])</f>
        <v>0</v>
      </c>
      <c r="T354" s="8">
        <f t="shared" si="1"/>
        <v>0</v>
      </c>
    </row>
    <row r="355" ht="22.5" customHeight="1">
      <c r="L355" s="4"/>
      <c r="M355" s="5">
        <f>SUMIFS(Eventos!$G:$G,Eventos!$F:$F,$L355,Eventos!$D:$D,$C$2,Eventos!$B:$B,PANES_SEMANALES[[#ALL],[LUNES]])</f>
        <v>0</v>
      </c>
      <c r="N355" s="6">
        <f>SUMIFS(Eventos!$G:$G,Eventos!$F:$F,$L355,Eventos!$D:$D,$C$2,Eventos!$B:$B,PANES_SEMANALES[[#ALL],[MARTES]])</f>
        <v>0</v>
      </c>
      <c r="O355" s="6">
        <f>SUMIFS(Eventos!$G:$G,Eventos!$F:$F,$L355,Eventos!$D:$D,$C$2,Eventos!$B:$B,PANES_SEMANALES[[#ALL],[MIÉRCOLES]])</f>
        <v>0</v>
      </c>
      <c r="P355" s="6">
        <f>SUMIFS(Eventos!$G:$G,Eventos!$F:$F,$L355,Eventos!$D:$D,$C$2,Eventos!$B:$B,PANES_SEMANALES[[#ALL],[JUEVES]])</f>
        <v>0</v>
      </c>
      <c r="Q355" s="6">
        <f>IF(P355&lt;&gt;"",SUMIFS(Eventos!$G:$G,Eventos!$B:$B,Q$2,Eventos!$D:$D,$C$2,Eventos!$F:$F,$L355),"")</f>
        <v>0</v>
      </c>
      <c r="R355" s="6">
        <f>SUMIFS(Eventos!$G:$G,Eventos!$F:$F,$L355,Eventos!$D:$D,$C$2,Eventos!$B:$B,PANES_SEMANALES[[#ALL],[SÁBADO]])</f>
        <v>0</v>
      </c>
      <c r="S355" s="7">
        <f>SUMIFS(Eventos!$G:$G,Eventos!$F:$F,$L355,Eventos!$D:$D,$C$2,Eventos!$B:$B,PANES_SEMANALES[[#ALL],[DOMINGO]])</f>
        <v>0</v>
      </c>
      <c r="T355" s="8">
        <f t="shared" si="1"/>
        <v>0</v>
      </c>
    </row>
    <row r="356" ht="22.5" customHeight="1">
      <c r="L356" s="4"/>
      <c r="M356" s="5">
        <f>SUMIFS(Eventos!$G:$G,Eventos!$F:$F,$L356,Eventos!$D:$D,$C$2,Eventos!$B:$B,PANES_SEMANALES[[#ALL],[LUNES]])</f>
        <v>0</v>
      </c>
      <c r="N356" s="6">
        <f>SUMIFS(Eventos!$G:$G,Eventos!$F:$F,$L356,Eventos!$D:$D,$C$2,Eventos!$B:$B,PANES_SEMANALES[[#ALL],[MARTES]])</f>
        <v>0</v>
      </c>
      <c r="O356" s="6">
        <f>SUMIFS(Eventos!$G:$G,Eventos!$F:$F,$L356,Eventos!$D:$D,$C$2,Eventos!$B:$B,PANES_SEMANALES[[#ALL],[MIÉRCOLES]])</f>
        <v>0</v>
      </c>
      <c r="P356" s="6">
        <f>SUMIFS(Eventos!$G:$G,Eventos!$F:$F,$L356,Eventos!$D:$D,$C$2,Eventos!$B:$B,PANES_SEMANALES[[#ALL],[JUEVES]])</f>
        <v>0</v>
      </c>
      <c r="Q356" s="6">
        <f>IF(P356&lt;&gt;"",SUMIFS(Eventos!$G:$G,Eventos!$B:$B,Q$2,Eventos!$D:$D,$C$2,Eventos!$F:$F,$L356),"")</f>
        <v>0</v>
      </c>
      <c r="R356" s="6">
        <f>SUMIFS(Eventos!$G:$G,Eventos!$F:$F,$L356,Eventos!$D:$D,$C$2,Eventos!$B:$B,PANES_SEMANALES[[#ALL],[SÁBADO]])</f>
        <v>0</v>
      </c>
      <c r="S356" s="7">
        <f>SUMIFS(Eventos!$G:$G,Eventos!$F:$F,$L356,Eventos!$D:$D,$C$2,Eventos!$B:$B,PANES_SEMANALES[[#ALL],[DOMINGO]])</f>
        <v>0</v>
      </c>
      <c r="T356" s="8">
        <f t="shared" si="1"/>
        <v>0</v>
      </c>
    </row>
    <row r="357" ht="22.5" customHeight="1">
      <c r="L357" s="4"/>
      <c r="M357" s="5">
        <f>SUMIFS(Eventos!$G:$G,Eventos!$F:$F,$L357,Eventos!$D:$D,$C$2,Eventos!$B:$B,PANES_SEMANALES[[#ALL],[LUNES]])</f>
        <v>0</v>
      </c>
      <c r="N357" s="6">
        <f>SUMIFS(Eventos!$G:$G,Eventos!$F:$F,$L357,Eventos!$D:$D,$C$2,Eventos!$B:$B,PANES_SEMANALES[[#ALL],[MARTES]])</f>
        <v>0</v>
      </c>
      <c r="O357" s="6">
        <f>SUMIFS(Eventos!$G:$G,Eventos!$F:$F,$L357,Eventos!$D:$D,$C$2,Eventos!$B:$B,PANES_SEMANALES[[#ALL],[MIÉRCOLES]])</f>
        <v>0</v>
      </c>
      <c r="P357" s="6">
        <f>SUMIFS(Eventos!$G:$G,Eventos!$F:$F,$L357,Eventos!$D:$D,$C$2,Eventos!$B:$B,PANES_SEMANALES[[#ALL],[JUEVES]])</f>
        <v>0</v>
      </c>
      <c r="Q357" s="6">
        <f>IF(P357&lt;&gt;"",SUMIFS(Eventos!$G:$G,Eventos!$B:$B,Q$2,Eventos!$D:$D,$C$2,Eventos!$F:$F,$L357),"")</f>
        <v>0</v>
      </c>
      <c r="R357" s="6">
        <f>SUMIFS(Eventos!$G:$G,Eventos!$F:$F,$L357,Eventos!$D:$D,$C$2,Eventos!$B:$B,PANES_SEMANALES[[#ALL],[SÁBADO]])</f>
        <v>0</v>
      </c>
      <c r="S357" s="7">
        <f>SUMIFS(Eventos!$G:$G,Eventos!$F:$F,$L357,Eventos!$D:$D,$C$2,Eventos!$B:$B,PANES_SEMANALES[[#ALL],[DOMINGO]])</f>
        <v>0</v>
      </c>
      <c r="T357" s="8">
        <f t="shared" si="1"/>
        <v>0</v>
      </c>
    </row>
    <row r="358" ht="22.5" customHeight="1">
      <c r="L358" s="4"/>
      <c r="M358" s="5">
        <f>SUMIFS(Eventos!$G:$G,Eventos!$F:$F,$L358,Eventos!$D:$D,$C$2,Eventos!$B:$B,PANES_SEMANALES[[#ALL],[LUNES]])</f>
        <v>0</v>
      </c>
      <c r="N358" s="6">
        <f>SUMIFS(Eventos!$G:$G,Eventos!$F:$F,$L358,Eventos!$D:$D,$C$2,Eventos!$B:$B,PANES_SEMANALES[[#ALL],[MARTES]])</f>
        <v>0</v>
      </c>
      <c r="O358" s="6">
        <f>SUMIFS(Eventos!$G:$G,Eventos!$F:$F,$L358,Eventos!$D:$D,$C$2,Eventos!$B:$B,PANES_SEMANALES[[#ALL],[MIÉRCOLES]])</f>
        <v>0</v>
      </c>
      <c r="P358" s="6">
        <f>SUMIFS(Eventos!$G:$G,Eventos!$F:$F,$L358,Eventos!$D:$D,$C$2,Eventos!$B:$B,PANES_SEMANALES[[#ALL],[JUEVES]])</f>
        <v>0</v>
      </c>
      <c r="Q358" s="6">
        <f>IF(P358&lt;&gt;"",SUMIFS(Eventos!$G:$G,Eventos!$B:$B,Q$2,Eventos!$D:$D,$C$2,Eventos!$F:$F,$L358),"")</f>
        <v>0</v>
      </c>
      <c r="R358" s="6">
        <f>SUMIFS(Eventos!$G:$G,Eventos!$F:$F,$L358,Eventos!$D:$D,$C$2,Eventos!$B:$B,PANES_SEMANALES[[#ALL],[SÁBADO]])</f>
        <v>0</v>
      </c>
      <c r="S358" s="7">
        <f>SUMIFS(Eventos!$G:$G,Eventos!$F:$F,$L358,Eventos!$D:$D,$C$2,Eventos!$B:$B,PANES_SEMANALES[[#ALL],[DOMINGO]])</f>
        <v>0</v>
      </c>
      <c r="T358" s="8">
        <f t="shared" si="1"/>
        <v>0</v>
      </c>
    </row>
    <row r="359" ht="22.5" customHeight="1">
      <c r="L359" s="4"/>
      <c r="M359" s="5">
        <f>SUMIFS(Eventos!$G:$G,Eventos!$F:$F,$L359,Eventos!$D:$D,$C$2,Eventos!$B:$B,PANES_SEMANALES[[#ALL],[LUNES]])</f>
        <v>0</v>
      </c>
      <c r="N359" s="6">
        <f>SUMIFS(Eventos!$G:$G,Eventos!$F:$F,$L359,Eventos!$D:$D,$C$2,Eventos!$B:$B,PANES_SEMANALES[[#ALL],[MARTES]])</f>
        <v>0</v>
      </c>
      <c r="O359" s="6">
        <f>SUMIFS(Eventos!$G:$G,Eventos!$F:$F,$L359,Eventos!$D:$D,$C$2,Eventos!$B:$B,PANES_SEMANALES[[#ALL],[MIÉRCOLES]])</f>
        <v>0</v>
      </c>
      <c r="P359" s="6">
        <f>SUMIFS(Eventos!$G:$G,Eventos!$F:$F,$L359,Eventos!$D:$D,$C$2,Eventos!$B:$B,PANES_SEMANALES[[#ALL],[JUEVES]])</f>
        <v>0</v>
      </c>
      <c r="Q359" s="6">
        <f>IF(P359&lt;&gt;"",SUMIFS(Eventos!$G:$G,Eventos!$B:$B,Q$2,Eventos!$D:$D,$C$2,Eventos!$F:$F,$L359),"")</f>
        <v>0</v>
      </c>
      <c r="R359" s="6">
        <f>SUMIFS(Eventos!$G:$G,Eventos!$F:$F,$L359,Eventos!$D:$D,$C$2,Eventos!$B:$B,PANES_SEMANALES[[#ALL],[SÁBADO]])</f>
        <v>0</v>
      </c>
      <c r="S359" s="7">
        <f>SUMIFS(Eventos!$G:$G,Eventos!$F:$F,$L359,Eventos!$D:$D,$C$2,Eventos!$B:$B,PANES_SEMANALES[[#ALL],[DOMINGO]])</f>
        <v>0</v>
      </c>
      <c r="T359" s="8">
        <f t="shared" si="1"/>
        <v>0</v>
      </c>
    </row>
    <row r="360" ht="22.5" customHeight="1">
      <c r="L360" s="4"/>
      <c r="M360" s="5">
        <f>SUMIFS(Eventos!$G:$G,Eventos!$F:$F,$L360,Eventos!$D:$D,$C$2,Eventos!$B:$B,PANES_SEMANALES[[#ALL],[LUNES]])</f>
        <v>0</v>
      </c>
      <c r="N360" s="6">
        <f>SUMIFS(Eventos!$G:$G,Eventos!$F:$F,$L360,Eventos!$D:$D,$C$2,Eventos!$B:$B,PANES_SEMANALES[[#ALL],[MARTES]])</f>
        <v>0</v>
      </c>
      <c r="O360" s="6">
        <f>SUMIFS(Eventos!$G:$G,Eventos!$F:$F,$L360,Eventos!$D:$D,$C$2,Eventos!$B:$B,PANES_SEMANALES[[#ALL],[MIÉRCOLES]])</f>
        <v>0</v>
      </c>
      <c r="P360" s="6">
        <f>SUMIFS(Eventos!$G:$G,Eventos!$F:$F,$L360,Eventos!$D:$D,$C$2,Eventos!$B:$B,PANES_SEMANALES[[#ALL],[JUEVES]])</f>
        <v>0</v>
      </c>
      <c r="Q360" s="6">
        <f>IF(P360&lt;&gt;"",SUMIFS(Eventos!$G:$G,Eventos!$B:$B,Q$2,Eventos!$D:$D,$C$2,Eventos!$F:$F,$L360),"")</f>
        <v>0</v>
      </c>
      <c r="R360" s="6">
        <f>SUMIFS(Eventos!$G:$G,Eventos!$F:$F,$L360,Eventos!$D:$D,$C$2,Eventos!$B:$B,PANES_SEMANALES[[#ALL],[SÁBADO]])</f>
        <v>0</v>
      </c>
      <c r="S360" s="7">
        <f>SUMIFS(Eventos!$G:$G,Eventos!$F:$F,$L360,Eventos!$D:$D,$C$2,Eventos!$B:$B,PANES_SEMANALES[[#ALL],[DOMINGO]])</f>
        <v>0</v>
      </c>
      <c r="T360" s="8">
        <f t="shared" si="1"/>
        <v>0</v>
      </c>
    </row>
    <row r="361" ht="22.5" customHeight="1">
      <c r="L361" s="4"/>
      <c r="M361" s="5">
        <f>SUMIFS(Eventos!$G:$G,Eventos!$F:$F,$L361,Eventos!$D:$D,$C$2,Eventos!$B:$B,PANES_SEMANALES[[#ALL],[LUNES]])</f>
        <v>0</v>
      </c>
      <c r="N361" s="6">
        <f>SUMIFS(Eventos!$G:$G,Eventos!$F:$F,$L361,Eventos!$D:$D,$C$2,Eventos!$B:$B,PANES_SEMANALES[[#ALL],[MARTES]])</f>
        <v>0</v>
      </c>
      <c r="O361" s="6">
        <f>SUMIFS(Eventos!$G:$G,Eventos!$F:$F,$L361,Eventos!$D:$D,$C$2,Eventos!$B:$B,PANES_SEMANALES[[#ALL],[MIÉRCOLES]])</f>
        <v>0</v>
      </c>
      <c r="P361" s="6">
        <f>SUMIFS(Eventos!$G:$G,Eventos!$F:$F,$L361,Eventos!$D:$D,$C$2,Eventos!$B:$B,PANES_SEMANALES[[#ALL],[JUEVES]])</f>
        <v>0</v>
      </c>
      <c r="Q361" s="6">
        <f>IF(P361&lt;&gt;"",SUMIFS(Eventos!$G:$G,Eventos!$B:$B,Q$2,Eventos!$D:$D,$C$2,Eventos!$F:$F,$L361),"")</f>
        <v>0</v>
      </c>
      <c r="R361" s="6">
        <f>SUMIFS(Eventos!$G:$G,Eventos!$F:$F,$L361,Eventos!$D:$D,$C$2,Eventos!$B:$B,PANES_SEMANALES[[#ALL],[SÁBADO]])</f>
        <v>0</v>
      </c>
      <c r="S361" s="7">
        <f>SUMIFS(Eventos!$G:$G,Eventos!$F:$F,$L361,Eventos!$D:$D,$C$2,Eventos!$B:$B,PANES_SEMANALES[[#ALL],[DOMINGO]])</f>
        <v>0</v>
      </c>
      <c r="T361" s="8">
        <f t="shared" si="1"/>
        <v>0</v>
      </c>
    </row>
    <row r="362" ht="22.5" customHeight="1">
      <c r="L362" s="4"/>
      <c r="M362" s="5">
        <f>SUMIFS(Eventos!$G:$G,Eventos!$F:$F,$L362,Eventos!$D:$D,$C$2,Eventos!$B:$B,PANES_SEMANALES[[#ALL],[LUNES]])</f>
        <v>0</v>
      </c>
      <c r="N362" s="6">
        <f>SUMIFS(Eventos!$G:$G,Eventos!$F:$F,$L362,Eventos!$D:$D,$C$2,Eventos!$B:$B,PANES_SEMANALES[[#ALL],[MARTES]])</f>
        <v>0</v>
      </c>
      <c r="O362" s="6">
        <f>SUMIFS(Eventos!$G:$G,Eventos!$F:$F,$L362,Eventos!$D:$D,$C$2,Eventos!$B:$B,PANES_SEMANALES[[#ALL],[MIÉRCOLES]])</f>
        <v>0</v>
      </c>
      <c r="P362" s="6">
        <f>SUMIFS(Eventos!$G:$G,Eventos!$F:$F,$L362,Eventos!$D:$D,$C$2,Eventos!$B:$B,PANES_SEMANALES[[#ALL],[JUEVES]])</f>
        <v>0</v>
      </c>
      <c r="Q362" s="6">
        <f>IF(P362&lt;&gt;"",SUMIFS(Eventos!$G:$G,Eventos!$B:$B,Q$2,Eventos!$D:$D,$C$2,Eventos!$F:$F,$L362),"")</f>
        <v>0</v>
      </c>
      <c r="R362" s="6">
        <f>SUMIFS(Eventos!$G:$G,Eventos!$F:$F,$L362,Eventos!$D:$D,$C$2,Eventos!$B:$B,PANES_SEMANALES[[#ALL],[SÁBADO]])</f>
        <v>0</v>
      </c>
      <c r="S362" s="7">
        <f>SUMIFS(Eventos!$G:$G,Eventos!$F:$F,$L362,Eventos!$D:$D,$C$2,Eventos!$B:$B,PANES_SEMANALES[[#ALL],[DOMINGO]])</f>
        <v>0</v>
      </c>
      <c r="T362" s="8">
        <f t="shared" si="1"/>
        <v>0</v>
      </c>
    </row>
    <row r="363" ht="22.5" customHeight="1">
      <c r="L363" s="4"/>
      <c r="M363" s="5">
        <f>SUMIFS(Eventos!$G:$G,Eventos!$F:$F,$L363,Eventos!$D:$D,$C$2,Eventos!$B:$B,PANES_SEMANALES[[#ALL],[LUNES]])</f>
        <v>0</v>
      </c>
      <c r="N363" s="6">
        <f>SUMIFS(Eventos!$G:$G,Eventos!$F:$F,$L363,Eventos!$D:$D,$C$2,Eventos!$B:$B,PANES_SEMANALES[[#ALL],[MARTES]])</f>
        <v>0</v>
      </c>
      <c r="O363" s="6">
        <f>SUMIFS(Eventos!$G:$G,Eventos!$F:$F,$L363,Eventos!$D:$D,$C$2,Eventos!$B:$B,PANES_SEMANALES[[#ALL],[MIÉRCOLES]])</f>
        <v>0</v>
      </c>
      <c r="P363" s="6">
        <f>SUMIFS(Eventos!$G:$G,Eventos!$F:$F,$L363,Eventos!$D:$D,$C$2,Eventos!$B:$B,PANES_SEMANALES[[#ALL],[JUEVES]])</f>
        <v>0</v>
      </c>
      <c r="Q363" s="6">
        <f>IF(P363&lt;&gt;"",SUMIFS(Eventos!$G:$G,Eventos!$B:$B,Q$2,Eventos!$D:$D,$C$2,Eventos!$F:$F,$L363),"")</f>
        <v>0</v>
      </c>
      <c r="R363" s="6">
        <f>SUMIFS(Eventos!$G:$G,Eventos!$F:$F,$L363,Eventos!$D:$D,$C$2,Eventos!$B:$B,PANES_SEMANALES[[#ALL],[SÁBADO]])</f>
        <v>0</v>
      </c>
      <c r="S363" s="7">
        <f>SUMIFS(Eventos!$G:$G,Eventos!$F:$F,$L363,Eventos!$D:$D,$C$2,Eventos!$B:$B,PANES_SEMANALES[[#ALL],[DOMINGO]])</f>
        <v>0</v>
      </c>
      <c r="T363" s="8">
        <f t="shared" si="1"/>
        <v>0</v>
      </c>
    </row>
    <row r="364" ht="22.5" customHeight="1">
      <c r="L364" s="4"/>
      <c r="M364" s="5">
        <f>SUMIFS(Eventos!$G:$G,Eventos!$F:$F,$L364,Eventos!$D:$D,$C$2,Eventos!$B:$B,PANES_SEMANALES[[#ALL],[LUNES]])</f>
        <v>0</v>
      </c>
      <c r="N364" s="6">
        <f>SUMIFS(Eventos!$G:$G,Eventos!$F:$F,$L364,Eventos!$D:$D,$C$2,Eventos!$B:$B,PANES_SEMANALES[[#ALL],[MARTES]])</f>
        <v>0</v>
      </c>
      <c r="O364" s="6">
        <f>SUMIFS(Eventos!$G:$G,Eventos!$F:$F,$L364,Eventos!$D:$D,$C$2,Eventos!$B:$B,PANES_SEMANALES[[#ALL],[MIÉRCOLES]])</f>
        <v>0</v>
      </c>
      <c r="P364" s="6">
        <f>SUMIFS(Eventos!$G:$G,Eventos!$F:$F,$L364,Eventos!$D:$D,$C$2,Eventos!$B:$B,PANES_SEMANALES[[#ALL],[JUEVES]])</f>
        <v>0</v>
      </c>
      <c r="Q364" s="6">
        <f>IF(P364&lt;&gt;"",SUMIFS(Eventos!$G:$G,Eventos!$B:$B,Q$2,Eventos!$D:$D,$C$2,Eventos!$F:$F,$L364),"")</f>
        <v>0</v>
      </c>
      <c r="R364" s="6">
        <f>SUMIFS(Eventos!$G:$G,Eventos!$F:$F,$L364,Eventos!$D:$D,$C$2,Eventos!$B:$B,PANES_SEMANALES[[#ALL],[SÁBADO]])</f>
        <v>0</v>
      </c>
      <c r="S364" s="7">
        <f>SUMIFS(Eventos!$G:$G,Eventos!$F:$F,$L364,Eventos!$D:$D,$C$2,Eventos!$B:$B,PANES_SEMANALES[[#ALL],[DOMINGO]])</f>
        <v>0</v>
      </c>
      <c r="T364" s="8">
        <f t="shared" si="1"/>
        <v>0</v>
      </c>
    </row>
    <row r="365" ht="22.5" customHeight="1">
      <c r="L365" s="4"/>
      <c r="M365" s="5">
        <f>SUMIFS(Eventos!$G:$G,Eventos!$F:$F,$L365,Eventos!$D:$D,$C$2,Eventos!$B:$B,PANES_SEMANALES[[#ALL],[LUNES]])</f>
        <v>0</v>
      </c>
      <c r="N365" s="6">
        <f>SUMIFS(Eventos!$G:$G,Eventos!$F:$F,$L365,Eventos!$D:$D,$C$2,Eventos!$B:$B,PANES_SEMANALES[[#ALL],[MARTES]])</f>
        <v>0</v>
      </c>
      <c r="O365" s="6">
        <f>SUMIFS(Eventos!$G:$G,Eventos!$F:$F,$L365,Eventos!$D:$D,$C$2,Eventos!$B:$B,PANES_SEMANALES[[#ALL],[MIÉRCOLES]])</f>
        <v>0</v>
      </c>
      <c r="P365" s="6">
        <f>SUMIFS(Eventos!$G:$G,Eventos!$F:$F,$L365,Eventos!$D:$D,$C$2,Eventos!$B:$B,PANES_SEMANALES[[#ALL],[JUEVES]])</f>
        <v>0</v>
      </c>
      <c r="Q365" s="6">
        <f>IF(P365&lt;&gt;"",SUMIFS(Eventos!$G:$G,Eventos!$B:$B,Q$2,Eventos!$D:$D,$C$2,Eventos!$F:$F,$L365),"")</f>
        <v>0</v>
      </c>
      <c r="R365" s="6">
        <f>SUMIFS(Eventos!$G:$G,Eventos!$F:$F,$L365,Eventos!$D:$D,$C$2,Eventos!$B:$B,PANES_SEMANALES[[#ALL],[SÁBADO]])</f>
        <v>0</v>
      </c>
      <c r="S365" s="7">
        <f>SUMIFS(Eventos!$G:$G,Eventos!$F:$F,$L365,Eventos!$D:$D,$C$2,Eventos!$B:$B,PANES_SEMANALES[[#ALL],[DOMINGO]])</f>
        <v>0</v>
      </c>
      <c r="T365" s="8">
        <f t="shared" si="1"/>
        <v>0</v>
      </c>
    </row>
    <row r="366" ht="22.5" customHeight="1">
      <c r="L366" s="4"/>
      <c r="M366" s="5">
        <f>SUMIFS(Eventos!$G:$G,Eventos!$F:$F,$L366,Eventos!$D:$D,$C$2,Eventos!$B:$B,PANES_SEMANALES[[#ALL],[LUNES]])</f>
        <v>0</v>
      </c>
      <c r="N366" s="6">
        <f>SUMIFS(Eventos!$G:$G,Eventos!$F:$F,$L366,Eventos!$D:$D,$C$2,Eventos!$B:$B,PANES_SEMANALES[[#ALL],[MARTES]])</f>
        <v>0</v>
      </c>
      <c r="O366" s="6">
        <f>SUMIFS(Eventos!$G:$G,Eventos!$F:$F,$L366,Eventos!$D:$D,$C$2,Eventos!$B:$B,PANES_SEMANALES[[#ALL],[MIÉRCOLES]])</f>
        <v>0</v>
      </c>
      <c r="P366" s="6">
        <f>SUMIFS(Eventos!$G:$G,Eventos!$F:$F,$L366,Eventos!$D:$D,$C$2,Eventos!$B:$B,PANES_SEMANALES[[#ALL],[JUEVES]])</f>
        <v>0</v>
      </c>
      <c r="Q366" s="6">
        <f>IF(P366&lt;&gt;"",SUMIFS(Eventos!$G:$G,Eventos!$B:$B,Q$2,Eventos!$D:$D,$C$2,Eventos!$F:$F,$L366),"")</f>
        <v>0</v>
      </c>
      <c r="R366" s="6">
        <f>SUMIFS(Eventos!$G:$G,Eventos!$F:$F,$L366,Eventos!$D:$D,$C$2,Eventos!$B:$B,PANES_SEMANALES[[#ALL],[SÁBADO]])</f>
        <v>0</v>
      </c>
      <c r="S366" s="7">
        <f>SUMIFS(Eventos!$G:$G,Eventos!$F:$F,$L366,Eventos!$D:$D,$C$2,Eventos!$B:$B,PANES_SEMANALES[[#ALL],[DOMINGO]])</f>
        <v>0</v>
      </c>
      <c r="T366" s="8">
        <f t="shared" si="1"/>
        <v>0</v>
      </c>
    </row>
    <row r="367" ht="22.5" customHeight="1">
      <c r="L367" s="4"/>
      <c r="M367" s="5">
        <f>SUMIFS(Eventos!$G:$G,Eventos!$F:$F,$L367,Eventos!$D:$D,$C$2,Eventos!$B:$B,PANES_SEMANALES[[#ALL],[LUNES]])</f>
        <v>0</v>
      </c>
      <c r="N367" s="6">
        <f>SUMIFS(Eventos!$G:$G,Eventos!$F:$F,$L367,Eventos!$D:$D,$C$2,Eventos!$B:$B,PANES_SEMANALES[[#ALL],[MARTES]])</f>
        <v>0</v>
      </c>
      <c r="O367" s="6">
        <f>SUMIFS(Eventos!$G:$G,Eventos!$F:$F,$L367,Eventos!$D:$D,$C$2,Eventos!$B:$B,PANES_SEMANALES[[#ALL],[MIÉRCOLES]])</f>
        <v>0</v>
      </c>
      <c r="P367" s="6">
        <f>SUMIFS(Eventos!$G:$G,Eventos!$F:$F,$L367,Eventos!$D:$D,$C$2,Eventos!$B:$B,PANES_SEMANALES[[#ALL],[JUEVES]])</f>
        <v>0</v>
      </c>
      <c r="Q367" s="6">
        <f>IF(P367&lt;&gt;"",SUMIFS(Eventos!$G:$G,Eventos!$B:$B,Q$2,Eventos!$D:$D,$C$2,Eventos!$F:$F,$L367),"")</f>
        <v>0</v>
      </c>
      <c r="R367" s="6">
        <f>SUMIFS(Eventos!$G:$G,Eventos!$F:$F,$L367,Eventos!$D:$D,$C$2,Eventos!$B:$B,PANES_SEMANALES[[#ALL],[SÁBADO]])</f>
        <v>0</v>
      </c>
      <c r="S367" s="7">
        <f>SUMIFS(Eventos!$G:$G,Eventos!$F:$F,$L367,Eventos!$D:$D,$C$2,Eventos!$B:$B,PANES_SEMANALES[[#ALL],[DOMINGO]])</f>
        <v>0</v>
      </c>
      <c r="T367" s="8">
        <f t="shared" si="1"/>
        <v>0</v>
      </c>
    </row>
    <row r="368" ht="22.5" customHeight="1">
      <c r="L368" s="4"/>
      <c r="M368" s="5">
        <f>SUMIFS(Eventos!$G:$G,Eventos!$F:$F,$L368,Eventos!$D:$D,$C$2,Eventos!$B:$B,PANES_SEMANALES[[#ALL],[LUNES]])</f>
        <v>0</v>
      </c>
      <c r="N368" s="6">
        <f>SUMIFS(Eventos!$G:$G,Eventos!$F:$F,$L368,Eventos!$D:$D,$C$2,Eventos!$B:$B,PANES_SEMANALES[[#ALL],[MARTES]])</f>
        <v>0</v>
      </c>
      <c r="O368" s="6">
        <f>SUMIFS(Eventos!$G:$G,Eventos!$F:$F,$L368,Eventos!$D:$D,$C$2,Eventos!$B:$B,PANES_SEMANALES[[#ALL],[MIÉRCOLES]])</f>
        <v>0</v>
      </c>
      <c r="P368" s="6">
        <f>SUMIFS(Eventos!$G:$G,Eventos!$F:$F,$L368,Eventos!$D:$D,$C$2,Eventos!$B:$B,PANES_SEMANALES[[#ALL],[JUEVES]])</f>
        <v>0</v>
      </c>
      <c r="Q368" s="6">
        <f>IF(P368&lt;&gt;"",SUMIFS(Eventos!$G:$G,Eventos!$B:$B,Q$2,Eventos!$D:$D,$C$2,Eventos!$F:$F,$L368),"")</f>
        <v>0</v>
      </c>
      <c r="R368" s="6">
        <f>SUMIFS(Eventos!$G:$G,Eventos!$F:$F,$L368,Eventos!$D:$D,$C$2,Eventos!$B:$B,PANES_SEMANALES[[#ALL],[SÁBADO]])</f>
        <v>0</v>
      </c>
      <c r="S368" s="7">
        <f>SUMIFS(Eventos!$G:$G,Eventos!$F:$F,$L368,Eventos!$D:$D,$C$2,Eventos!$B:$B,PANES_SEMANALES[[#ALL],[DOMINGO]])</f>
        <v>0</v>
      </c>
      <c r="T368" s="8">
        <f t="shared" si="1"/>
        <v>0</v>
      </c>
    </row>
    <row r="369" ht="22.5" customHeight="1">
      <c r="L369" s="4"/>
      <c r="M369" s="5">
        <f>SUMIFS(Eventos!$G:$G,Eventos!$F:$F,$L369,Eventos!$D:$D,$C$2,Eventos!$B:$B,PANES_SEMANALES[[#ALL],[LUNES]])</f>
        <v>0</v>
      </c>
      <c r="N369" s="6">
        <f>SUMIFS(Eventos!$G:$G,Eventos!$F:$F,$L369,Eventos!$D:$D,$C$2,Eventos!$B:$B,PANES_SEMANALES[[#ALL],[MARTES]])</f>
        <v>0</v>
      </c>
      <c r="O369" s="6">
        <f>SUMIFS(Eventos!$G:$G,Eventos!$F:$F,$L369,Eventos!$D:$D,$C$2,Eventos!$B:$B,PANES_SEMANALES[[#ALL],[MIÉRCOLES]])</f>
        <v>0</v>
      </c>
      <c r="P369" s="6">
        <f>SUMIFS(Eventos!$G:$G,Eventos!$F:$F,$L369,Eventos!$D:$D,$C$2,Eventos!$B:$B,PANES_SEMANALES[[#ALL],[JUEVES]])</f>
        <v>0</v>
      </c>
      <c r="Q369" s="6">
        <f>IF(P369&lt;&gt;"",SUMIFS(Eventos!$G:$G,Eventos!$B:$B,Q$2,Eventos!$D:$D,$C$2,Eventos!$F:$F,$L369),"")</f>
        <v>0</v>
      </c>
      <c r="R369" s="6">
        <f>SUMIFS(Eventos!$G:$G,Eventos!$F:$F,$L369,Eventos!$D:$D,$C$2,Eventos!$B:$B,PANES_SEMANALES[[#ALL],[SÁBADO]])</f>
        <v>0</v>
      </c>
      <c r="S369" s="7">
        <f>SUMIFS(Eventos!$G:$G,Eventos!$F:$F,$L369,Eventos!$D:$D,$C$2,Eventos!$B:$B,PANES_SEMANALES[[#ALL],[DOMINGO]])</f>
        <v>0</v>
      </c>
      <c r="T369" s="8">
        <f t="shared" si="1"/>
        <v>0</v>
      </c>
    </row>
    <row r="370" ht="22.5" customHeight="1">
      <c r="L370" s="4"/>
      <c r="M370" s="5">
        <f>SUMIFS(Eventos!$G:$G,Eventos!$F:$F,$L370,Eventos!$D:$D,$C$2,Eventos!$B:$B,PANES_SEMANALES[[#ALL],[LUNES]])</f>
        <v>0</v>
      </c>
      <c r="N370" s="6">
        <f>SUMIFS(Eventos!$G:$G,Eventos!$F:$F,$L370,Eventos!$D:$D,$C$2,Eventos!$B:$B,PANES_SEMANALES[[#ALL],[MARTES]])</f>
        <v>0</v>
      </c>
      <c r="O370" s="6">
        <f>SUMIFS(Eventos!$G:$G,Eventos!$F:$F,$L370,Eventos!$D:$D,$C$2,Eventos!$B:$B,PANES_SEMANALES[[#ALL],[MIÉRCOLES]])</f>
        <v>0</v>
      </c>
      <c r="P370" s="6">
        <f>SUMIFS(Eventos!$G:$G,Eventos!$F:$F,$L370,Eventos!$D:$D,$C$2,Eventos!$B:$B,PANES_SEMANALES[[#ALL],[JUEVES]])</f>
        <v>0</v>
      </c>
      <c r="Q370" s="6">
        <f>IF(P370&lt;&gt;"",SUMIFS(Eventos!$G:$G,Eventos!$B:$B,Q$2,Eventos!$D:$D,$C$2,Eventos!$F:$F,$L370),"")</f>
        <v>0</v>
      </c>
      <c r="R370" s="6">
        <f>SUMIFS(Eventos!$G:$G,Eventos!$F:$F,$L370,Eventos!$D:$D,$C$2,Eventos!$B:$B,PANES_SEMANALES[[#ALL],[SÁBADO]])</f>
        <v>0</v>
      </c>
      <c r="S370" s="7">
        <f>SUMIFS(Eventos!$G:$G,Eventos!$F:$F,$L370,Eventos!$D:$D,$C$2,Eventos!$B:$B,PANES_SEMANALES[[#ALL],[DOMINGO]])</f>
        <v>0</v>
      </c>
      <c r="T370" s="8">
        <f t="shared" si="1"/>
        <v>0</v>
      </c>
    </row>
    <row r="371" ht="22.5" customHeight="1">
      <c r="L371" s="4"/>
      <c r="M371" s="5">
        <f>SUMIFS(Eventos!$G:$G,Eventos!$F:$F,$L371,Eventos!$D:$D,$C$2,Eventos!$B:$B,PANES_SEMANALES[[#ALL],[LUNES]])</f>
        <v>0</v>
      </c>
      <c r="N371" s="6">
        <f>SUMIFS(Eventos!$G:$G,Eventos!$F:$F,$L371,Eventos!$D:$D,$C$2,Eventos!$B:$B,PANES_SEMANALES[[#ALL],[MARTES]])</f>
        <v>0</v>
      </c>
      <c r="O371" s="6">
        <f>SUMIFS(Eventos!$G:$G,Eventos!$F:$F,$L371,Eventos!$D:$D,$C$2,Eventos!$B:$B,PANES_SEMANALES[[#ALL],[MIÉRCOLES]])</f>
        <v>0</v>
      </c>
      <c r="P371" s="6">
        <f>SUMIFS(Eventos!$G:$G,Eventos!$F:$F,$L371,Eventos!$D:$D,$C$2,Eventos!$B:$B,PANES_SEMANALES[[#ALL],[JUEVES]])</f>
        <v>0</v>
      </c>
      <c r="Q371" s="6">
        <f>IF(P371&lt;&gt;"",SUMIFS(Eventos!$G:$G,Eventos!$B:$B,Q$2,Eventos!$D:$D,$C$2,Eventos!$F:$F,$L371),"")</f>
        <v>0</v>
      </c>
      <c r="R371" s="6">
        <f>SUMIFS(Eventos!$G:$G,Eventos!$F:$F,$L371,Eventos!$D:$D,$C$2,Eventos!$B:$B,PANES_SEMANALES[[#ALL],[SÁBADO]])</f>
        <v>0</v>
      </c>
      <c r="S371" s="7">
        <f>SUMIFS(Eventos!$G:$G,Eventos!$F:$F,$L371,Eventos!$D:$D,$C$2,Eventos!$B:$B,PANES_SEMANALES[[#ALL],[DOMINGO]])</f>
        <v>0</v>
      </c>
      <c r="T371" s="8">
        <f t="shared" si="1"/>
        <v>0</v>
      </c>
    </row>
    <row r="372" ht="22.5" customHeight="1">
      <c r="L372" s="4"/>
      <c r="M372" s="5">
        <f>SUMIFS(Eventos!$G:$G,Eventos!$F:$F,$L372,Eventos!$D:$D,$C$2,Eventos!$B:$B,PANES_SEMANALES[[#ALL],[LUNES]])</f>
        <v>0</v>
      </c>
      <c r="N372" s="6">
        <f>SUMIFS(Eventos!$G:$G,Eventos!$F:$F,$L372,Eventos!$D:$D,$C$2,Eventos!$B:$B,PANES_SEMANALES[[#ALL],[MARTES]])</f>
        <v>0</v>
      </c>
      <c r="O372" s="6">
        <f>SUMIFS(Eventos!$G:$G,Eventos!$F:$F,$L372,Eventos!$D:$D,$C$2,Eventos!$B:$B,PANES_SEMANALES[[#ALL],[MIÉRCOLES]])</f>
        <v>0</v>
      </c>
      <c r="P372" s="6">
        <f>SUMIFS(Eventos!$G:$G,Eventos!$F:$F,$L372,Eventos!$D:$D,$C$2,Eventos!$B:$B,PANES_SEMANALES[[#ALL],[JUEVES]])</f>
        <v>0</v>
      </c>
      <c r="Q372" s="6">
        <f>IF(P372&lt;&gt;"",SUMIFS(Eventos!$G:$G,Eventos!$B:$B,Q$2,Eventos!$D:$D,$C$2,Eventos!$F:$F,$L372),"")</f>
        <v>0</v>
      </c>
      <c r="R372" s="6">
        <f>SUMIFS(Eventos!$G:$G,Eventos!$F:$F,$L372,Eventos!$D:$D,$C$2,Eventos!$B:$B,PANES_SEMANALES[[#ALL],[SÁBADO]])</f>
        <v>0</v>
      </c>
      <c r="S372" s="7">
        <f>SUMIFS(Eventos!$G:$G,Eventos!$F:$F,$L372,Eventos!$D:$D,$C$2,Eventos!$B:$B,PANES_SEMANALES[[#ALL],[DOMINGO]])</f>
        <v>0</v>
      </c>
      <c r="T372" s="8">
        <f t="shared" si="1"/>
        <v>0</v>
      </c>
    </row>
    <row r="373" ht="22.5" customHeight="1">
      <c r="L373" s="4"/>
      <c r="M373" s="5">
        <f>SUMIFS(Eventos!$G:$G,Eventos!$F:$F,$L373,Eventos!$D:$D,$C$2,Eventos!$B:$B,PANES_SEMANALES[[#ALL],[LUNES]])</f>
        <v>0</v>
      </c>
      <c r="N373" s="6">
        <f>SUMIFS(Eventos!$G:$G,Eventos!$F:$F,$L373,Eventos!$D:$D,$C$2,Eventos!$B:$B,PANES_SEMANALES[[#ALL],[MARTES]])</f>
        <v>0</v>
      </c>
      <c r="O373" s="6">
        <f>SUMIFS(Eventos!$G:$G,Eventos!$F:$F,$L373,Eventos!$D:$D,$C$2,Eventos!$B:$B,PANES_SEMANALES[[#ALL],[MIÉRCOLES]])</f>
        <v>0</v>
      </c>
      <c r="P373" s="6">
        <f>SUMIFS(Eventos!$G:$G,Eventos!$F:$F,$L373,Eventos!$D:$D,$C$2,Eventos!$B:$B,PANES_SEMANALES[[#ALL],[JUEVES]])</f>
        <v>0</v>
      </c>
      <c r="Q373" s="6">
        <f>IF(P373&lt;&gt;"",SUMIFS(Eventos!$G:$G,Eventos!$B:$B,Q$2,Eventos!$D:$D,$C$2,Eventos!$F:$F,$L373),"")</f>
        <v>0</v>
      </c>
      <c r="R373" s="6">
        <f>SUMIFS(Eventos!$G:$G,Eventos!$F:$F,$L373,Eventos!$D:$D,$C$2,Eventos!$B:$B,PANES_SEMANALES[[#ALL],[SÁBADO]])</f>
        <v>0</v>
      </c>
      <c r="S373" s="7">
        <f>SUMIFS(Eventos!$G:$G,Eventos!$F:$F,$L373,Eventos!$D:$D,$C$2,Eventos!$B:$B,PANES_SEMANALES[[#ALL],[DOMINGO]])</f>
        <v>0</v>
      </c>
      <c r="T373" s="8">
        <f t="shared" si="1"/>
        <v>0</v>
      </c>
    </row>
    <row r="374" ht="22.5" customHeight="1">
      <c r="L374" s="4"/>
      <c r="M374" s="5">
        <f>SUMIFS(Eventos!$G:$G,Eventos!$F:$F,$L374,Eventos!$D:$D,$C$2,Eventos!$B:$B,PANES_SEMANALES[[#ALL],[LUNES]])</f>
        <v>0</v>
      </c>
      <c r="N374" s="6">
        <f>SUMIFS(Eventos!$G:$G,Eventos!$F:$F,$L374,Eventos!$D:$D,$C$2,Eventos!$B:$B,PANES_SEMANALES[[#ALL],[MARTES]])</f>
        <v>0</v>
      </c>
      <c r="O374" s="6">
        <f>SUMIFS(Eventos!$G:$G,Eventos!$F:$F,$L374,Eventos!$D:$D,$C$2,Eventos!$B:$B,PANES_SEMANALES[[#ALL],[MIÉRCOLES]])</f>
        <v>0</v>
      </c>
      <c r="P374" s="6">
        <f>SUMIFS(Eventos!$G:$G,Eventos!$F:$F,$L374,Eventos!$D:$D,$C$2,Eventos!$B:$B,PANES_SEMANALES[[#ALL],[JUEVES]])</f>
        <v>0</v>
      </c>
      <c r="Q374" s="6">
        <f>IF(P374&lt;&gt;"",SUMIFS(Eventos!$G:$G,Eventos!$B:$B,Q$2,Eventos!$D:$D,$C$2,Eventos!$F:$F,$L374),"")</f>
        <v>0</v>
      </c>
      <c r="R374" s="6">
        <f>SUMIFS(Eventos!$G:$G,Eventos!$F:$F,$L374,Eventos!$D:$D,$C$2,Eventos!$B:$B,PANES_SEMANALES[[#ALL],[SÁBADO]])</f>
        <v>0</v>
      </c>
      <c r="S374" s="7">
        <f>SUMIFS(Eventos!$G:$G,Eventos!$F:$F,$L374,Eventos!$D:$D,$C$2,Eventos!$B:$B,PANES_SEMANALES[[#ALL],[DOMINGO]])</f>
        <v>0</v>
      </c>
      <c r="T374" s="8">
        <f t="shared" si="1"/>
        <v>0</v>
      </c>
    </row>
    <row r="375" ht="22.5" customHeight="1">
      <c r="L375" s="4"/>
      <c r="M375" s="5">
        <f>SUMIFS(Eventos!$G:$G,Eventos!$F:$F,$L375,Eventos!$D:$D,$C$2,Eventos!$B:$B,PANES_SEMANALES[[#ALL],[LUNES]])</f>
        <v>0</v>
      </c>
      <c r="N375" s="6">
        <f>SUMIFS(Eventos!$G:$G,Eventos!$F:$F,$L375,Eventos!$D:$D,$C$2,Eventos!$B:$B,PANES_SEMANALES[[#ALL],[MARTES]])</f>
        <v>0</v>
      </c>
      <c r="O375" s="6">
        <f>SUMIFS(Eventos!$G:$G,Eventos!$F:$F,$L375,Eventos!$D:$D,$C$2,Eventos!$B:$B,PANES_SEMANALES[[#ALL],[MIÉRCOLES]])</f>
        <v>0</v>
      </c>
      <c r="P375" s="6">
        <f>SUMIFS(Eventos!$G:$G,Eventos!$F:$F,$L375,Eventos!$D:$D,$C$2,Eventos!$B:$B,PANES_SEMANALES[[#ALL],[JUEVES]])</f>
        <v>0</v>
      </c>
      <c r="Q375" s="6">
        <f>IF(P375&lt;&gt;"",SUMIFS(Eventos!$G:$G,Eventos!$B:$B,Q$2,Eventos!$D:$D,$C$2,Eventos!$F:$F,$L375),"")</f>
        <v>0</v>
      </c>
      <c r="R375" s="6">
        <f>SUMIFS(Eventos!$G:$G,Eventos!$F:$F,$L375,Eventos!$D:$D,$C$2,Eventos!$B:$B,PANES_SEMANALES[[#ALL],[SÁBADO]])</f>
        <v>0</v>
      </c>
      <c r="S375" s="7">
        <f>SUMIFS(Eventos!$G:$G,Eventos!$F:$F,$L375,Eventos!$D:$D,$C$2,Eventos!$B:$B,PANES_SEMANALES[[#ALL],[DOMINGO]])</f>
        <v>0</v>
      </c>
      <c r="T375" s="8">
        <f t="shared" si="1"/>
        <v>0</v>
      </c>
    </row>
    <row r="376" ht="22.5" customHeight="1">
      <c r="L376" s="4"/>
      <c r="M376" s="5">
        <f>SUMIFS(Eventos!$G:$G,Eventos!$F:$F,$L376,Eventos!$D:$D,$C$2,Eventos!$B:$B,PANES_SEMANALES[[#ALL],[LUNES]])</f>
        <v>0</v>
      </c>
      <c r="N376" s="6">
        <f>SUMIFS(Eventos!$G:$G,Eventos!$F:$F,$L376,Eventos!$D:$D,$C$2,Eventos!$B:$B,PANES_SEMANALES[[#ALL],[MARTES]])</f>
        <v>0</v>
      </c>
      <c r="O376" s="6">
        <f>SUMIFS(Eventos!$G:$G,Eventos!$F:$F,$L376,Eventos!$D:$D,$C$2,Eventos!$B:$B,PANES_SEMANALES[[#ALL],[MIÉRCOLES]])</f>
        <v>0</v>
      </c>
      <c r="P376" s="6">
        <f>SUMIFS(Eventos!$G:$G,Eventos!$F:$F,$L376,Eventos!$D:$D,$C$2,Eventos!$B:$B,PANES_SEMANALES[[#ALL],[JUEVES]])</f>
        <v>0</v>
      </c>
      <c r="Q376" s="6">
        <f>IF(P376&lt;&gt;"",SUMIFS(Eventos!$G:$G,Eventos!$B:$B,Q$2,Eventos!$D:$D,$C$2,Eventos!$F:$F,$L376),"")</f>
        <v>0</v>
      </c>
      <c r="R376" s="6">
        <f>SUMIFS(Eventos!$G:$G,Eventos!$F:$F,$L376,Eventos!$D:$D,$C$2,Eventos!$B:$B,PANES_SEMANALES[[#ALL],[SÁBADO]])</f>
        <v>0</v>
      </c>
      <c r="S376" s="7">
        <f>SUMIFS(Eventos!$G:$G,Eventos!$F:$F,$L376,Eventos!$D:$D,$C$2,Eventos!$B:$B,PANES_SEMANALES[[#ALL],[DOMINGO]])</f>
        <v>0</v>
      </c>
      <c r="T376" s="8">
        <f t="shared" si="1"/>
        <v>0</v>
      </c>
    </row>
    <row r="377" ht="22.5" customHeight="1">
      <c r="L377" s="4"/>
      <c r="M377" s="5">
        <f>SUMIFS(Eventos!$G:$G,Eventos!$F:$F,$L377,Eventos!$D:$D,$C$2,Eventos!$B:$B,PANES_SEMANALES[[#ALL],[LUNES]])</f>
        <v>0</v>
      </c>
      <c r="N377" s="6">
        <f>SUMIFS(Eventos!$G:$G,Eventos!$F:$F,$L377,Eventos!$D:$D,$C$2,Eventos!$B:$B,PANES_SEMANALES[[#ALL],[MARTES]])</f>
        <v>0</v>
      </c>
      <c r="O377" s="6">
        <f>SUMIFS(Eventos!$G:$G,Eventos!$F:$F,$L377,Eventos!$D:$D,$C$2,Eventos!$B:$B,PANES_SEMANALES[[#ALL],[MIÉRCOLES]])</f>
        <v>0</v>
      </c>
      <c r="P377" s="6">
        <f>SUMIFS(Eventos!$G:$G,Eventos!$F:$F,$L377,Eventos!$D:$D,$C$2,Eventos!$B:$B,PANES_SEMANALES[[#ALL],[JUEVES]])</f>
        <v>0</v>
      </c>
      <c r="Q377" s="6">
        <f>IF(P377&lt;&gt;"",SUMIFS(Eventos!$G:$G,Eventos!$B:$B,Q$2,Eventos!$D:$D,$C$2,Eventos!$F:$F,$L377),"")</f>
        <v>0</v>
      </c>
      <c r="R377" s="6">
        <f>SUMIFS(Eventos!$G:$G,Eventos!$F:$F,$L377,Eventos!$D:$D,$C$2,Eventos!$B:$B,PANES_SEMANALES[[#ALL],[SÁBADO]])</f>
        <v>0</v>
      </c>
      <c r="S377" s="7">
        <f>SUMIFS(Eventos!$G:$G,Eventos!$F:$F,$L377,Eventos!$D:$D,$C$2,Eventos!$B:$B,PANES_SEMANALES[[#ALL],[DOMINGO]])</f>
        <v>0</v>
      </c>
      <c r="T377" s="8">
        <f t="shared" si="1"/>
        <v>0</v>
      </c>
    </row>
    <row r="378" ht="22.5" customHeight="1">
      <c r="L378" s="4"/>
      <c r="M378" s="5">
        <f>SUMIFS(Eventos!$G:$G,Eventos!$F:$F,$L378,Eventos!$D:$D,$C$2,Eventos!$B:$B,PANES_SEMANALES[[#ALL],[LUNES]])</f>
        <v>0</v>
      </c>
      <c r="N378" s="6">
        <f>SUMIFS(Eventos!$G:$G,Eventos!$F:$F,$L378,Eventos!$D:$D,$C$2,Eventos!$B:$B,PANES_SEMANALES[[#ALL],[MARTES]])</f>
        <v>0</v>
      </c>
      <c r="O378" s="6">
        <f>SUMIFS(Eventos!$G:$G,Eventos!$F:$F,$L378,Eventos!$D:$D,$C$2,Eventos!$B:$B,PANES_SEMANALES[[#ALL],[MIÉRCOLES]])</f>
        <v>0</v>
      </c>
      <c r="P378" s="6">
        <f>SUMIFS(Eventos!$G:$G,Eventos!$F:$F,$L378,Eventos!$D:$D,$C$2,Eventos!$B:$B,PANES_SEMANALES[[#ALL],[JUEVES]])</f>
        <v>0</v>
      </c>
      <c r="Q378" s="6">
        <f>IF(P378&lt;&gt;"",SUMIFS(Eventos!$G:$G,Eventos!$B:$B,Q$2,Eventos!$D:$D,$C$2,Eventos!$F:$F,$L378),"")</f>
        <v>0</v>
      </c>
      <c r="R378" s="6">
        <f>SUMIFS(Eventos!$G:$G,Eventos!$F:$F,$L378,Eventos!$D:$D,$C$2,Eventos!$B:$B,PANES_SEMANALES[[#ALL],[SÁBADO]])</f>
        <v>0</v>
      </c>
      <c r="S378" s="7">
        <f>SUMIFS(Eventos!$G:$G,Eventos!$F:$F,$L378,Eventos!$D:$D,$C$2,Eventos!$B:$B,PANES_SEMANALES[[#ALL],[DOMINGO]])</f>
        <v>0</v>
      </c>
      <c r="T378" s="8">
        <f t="shared" si="1"/>
        <v>0</v>
      </c>
    </row>
    <row r="379" ht="22.5" customHeight="1">
      <c r="L379" s="4"/>
      <c r="M379" s="5">
        <f>SUMIFS(Eventos!$G:$G,Eventos!$F:$F,$L379,Eventos!$D:$D,$C$2,Eventos!$B:$B,PANES_SEMANALES[[#ALL],[LUNES]])</f>
        <v>0</v>
      </c>
      <c r="N379" s="6">
        <f>SUMIFS(Eventos!$G:$G,Eventos!$F:$F,$L379,Eventos!$D:$D,$C$2,Eventos!$B:$B,PANES_SEMANALES[[#ALL],[MARTES]])</f>
        <v>0</v>
      </c>
      <c r="O379" s="6">
        <f>SUMIFS(Eventos!$G:$G,Eventos!$F:$F,$L379,Eventos!$D:$D,$C$2,Eventos!$B:$B,PANES_SEMANALES[[#ALL],[MIÉRCOLES]])</f>
        <v>0</v>
      </c>
      <c r="P379" s="6">
        <f>SUMIFS(Eventos!$G:$G,Eventos!$F:$F,$L379,Eventos!$D:$D,$C$2,Eventos!$B:$B,PANES_SEMANALES[[#ALL],[JUEVES]])</f>
        <v>0</v>
      </c>
      <c r="Q379" s="6">
        <f>IF(P379&lt;&gt;"",SUMIFS(Eventos!$G:$G,Eventos!$B:$B,Q$2,Eventos!$D:$D,$C$2,Eventos!$F:$F,$L379),"")</f>
        <v>0</v>
      </c>
      <c r="R379" s="6">
        <f>SUMIFS(Eventos!$G:$G,Eventos!$F:$F,$L379,Eventos!$D:$D,$C$2,Eventos!$B:$B,PANES_SEMANALES[[#ALL],[SÁBADO]])</f>
        <v>0</v>
      </c>
      <c r="S379" s="7">
        <f>SUMIFS(Eventos!$G:$G,Eventos!$F:$F,$L379,Eventos!$D:$D,$C$2,Eventos!$B:$B,PANES_SEMANALES[[#ALL],[DOMINGO]])</f>
        <v>0</v>
      </c>
      <c r="T379" s="8">
        <f t="shared" si="1"/>
        <v>0</v>
      </c>
    </row>
    <row r="380" ht="22.5" customHeight="1">
      <c r="L380" s="4"/>
      <c r="M380" s="5">
        <f>SUMIFS(Eventos!$G:$G,Eventos!$F:$F,$L380,Eventos!$D:$D,$C$2,Eventos!$B:$B,PANES_SEMANALES[[#ALL],[LUNES]])</f>
        <v>0</v>
      </c>
      <c r="N380" s="6">
        <f>SUMIFS(Eventos!$G:$G,Eventos!$F:$F,$L380,Eventos!$D:$D,$C$2,Eventos!$B:$B,PANES_SEMANALES[[#ALL],[MARTES]])</f>
        <v>0</v>
      </c>
      <c r="O380" s="6">
        <f>SUMIFS(Eventos!$G:$G,Eventos!$F:$F,$L380,Eventos!$D:$D,$C$2,Eventos!$B:$B,PANES_SEMANALES[[#ALL],[MIÉRCOLES]])</f>
        <v>0</v>
      </c>
      <c r="P380" s="6">
        <f>SUMIFS(Eventos!$G:$G,Eventos!$F:$F,$L380,Eventos!$D:$D,$C$2,Eventos!$B:$B,PANES_SEMANALES[[#ALL],[JUEVES]])</f>
        <v>0</v>
      </c>
      <c r="Q380" s="6">
        <f>IF(P380&lt;&gt;"",SUMIFS(Eventos!$G:$G,Eventos!$B:$B,Q$2,Eventos!$D:$D,$C$2,Eventos!$F:$F,$L380),"")</f>
        <v>0</v>
      </c>
      <c r="R380" s="6">
        <f>SUMIFS(Eventos!$G:$G,Eventos!$F:$F,$L380,Eventos!$D:$D,$C$2,Eventos!$B:$B,PANES_SEMANALES[[#ALL],[SÁBADO]])</f>
        <v>0</v>
      </c>
      <c r="S380" s="7">
        <f>SUMIFS(Eventos!$G:$G,Eventos!$F:$F,$L380,Eventos!$D:$D,$C$2,Eventos!$B:$B,PANES_SEMANALES[[#ALL],[DOMINGO]])</f>
        <v>0</v>
      </c>
      <c r="T380" s="8">
        <f t="shared" si="1"/>
        <v>0</v>
      </c>
    </row>
    <row r="381" ht="22.5" customHeight="1">
      <c r="L381" s="4"/>
      <c r="M381" s="5">
        <f>SUMIFS(Eventos!$G:$G,Eventos!$F:$F,$L381,Eventos!$D:$D,$C$2,Eventos!$B:$B,PANES_SEMANALES[[#ALL],[LUNES]])</f>
        <v>0</v>
      </c>
      <c r="N381" s="6">
        <f>SUMIFS(Eventos!$G:$G,Eventos!$F:$F,$L381,Eventos!$D:$D,$C$2,Eventos!$B:$B,PANES_SEMANALES[[#ALL],[MARTES]])</f>
        <v>0</v>
      </c>
      <c r="O381" s="6">
        <f>SUMIFS(Eventos!$G:$G,Eventos!$F:$F,$L381,Eventos!$D:$D,$C$2,Eventos!$B:$B,PANES_SEMANALES[[#ALL],[MIÉRCOLES]])</f>
        <v>0</v>
      </c>
      <c r="P381" s="6">
        <f>SUMIFS(Eventos!$G:$G,Eventos!$F:$F,$L381,Eventos!$D:$D,$C$2,Eventos!$B:$B,PANES_SEMANALES[[#ALL],[JUEVES]])</f>
        <v>0</v>
      </c>
      <c r="Q381" s="6">
        <f>IF(P381&lt;&gt;"",SUMIFS(Eventos!$G:$G,Eventos!$B:$B,Q$2,Eventos!$D:$D,$C$2,Eventos!$F:$F,$L381),"")</f>
        <v>0</v>
      </c>
      <c r="R381" s="6">
        <f>SUMIFS(Eventos!$G:$G,Eventos!$F:$F,$L381,Eventos!$D:$D,$C$2,Eventos!$B:$B,PANES_SEMANALES[[#ALL],[SÁBADO]])</f>
        <v>0</v>
      </c>
      <c r="S381" s="7">
        <f>SUMIFS(Eventos!$G:$G,Eventos!$F:$F,$L381,Eventos!$D:$D,$C$2,Eventos!$B:$B,PANES_SEMANALES[[#ALL],[DOMINGO]])</f>
        <v>0</v>
      </c>
      <c r="T381" s="8">
        <f t="shared" si="1"/>
        <v>0</v>
      </c>
    </row>
    <row r="382" ht="22.5" customHeight="1">
      <c r="L382" s="4"/>
      <c r="M382" s="5">
        <f>SUMIFS(Eventos!$G:$G,Eventos!$F:$F,$L382,Eventos!$D:$D,$C$2,Eventos!$B:$B,PANES_SEMANALES[[#ALL],[LUNES]])</f>
        <v>0</v>
      </c>
      <c r="N382" s="6">
        <f>SUMIFS(Eventos!$G:$G,Eventos!$F:$F,$L382,Eventos!$D:$D,$C$2,Eventos!$B:$B,PANES_SEMANALES[[#ALL],[MARTES]])</f>
        <v>0</v>
      </c>
      <c r="O382" s="6">
        <f>SUMIFS(Eventos!$G:$G,Eventos!$F:$F,$L382,Eventos!$D:$D,$C$2,Eventos!$B:$B,PANES_SEMANALES[[#ALL],[MIÉRCOLES]])</f>
        <v>0</v>
      </c>
      <c r="P382" s="6">
        <f>SUMIFS(Eventos!$G:$G,Eventos!$F:$F,$L382,Eventos!$D:$D,$C$2,Eventos!$B:$B,PANES_SEMANALES[[#ALL],[JUEVES]])</f>
        <v>0</v>
      </c>
      <c r="Q382" s="6">
        <f>IF(P382&lt;&gt;"",SUMIFS(Eventos!$G:$G,Eventos!$B:$B,Q$2,Eventos!$D:$D,$C$2,Eventos!$F:$F,$L382),"")</f>
        <v>0</v>
      </c>
      <c r="R382" s="6">
        <f>SUMIFS(Eventos!$G:$G,Eventos!$F:$F,$L382,Eventos!$D:$D,$C$2,Eventos!$B:$B,PANES_SEMANALES[[#ALL],[SÁBADO]])</f>
        <v>0</v>
      </c>
      <c r="S382" s="7">
        <f>SUMIFS(Eventos!$G:$G,Eventos!$F:$F,$L382,Eventos!$D:$D,$C$2,Eventos!$B:$B,PANES_SEMANALES[[#ALL],[DOMINGO]])</f>
        <v>0</v>
      </c>
      <c r="T382" s="8">
        <f t="shared" si="1"/>
        <v>0</v>
      </c>
    </row>
    <row r="383" ht="22.5" customHeight="1">
      <c r="L383" s="4"/>
      <c r="M383" s="5">
        <f>SUMIFS(Eventos!$G:$G,Eventos!$F:$F,$L383,Eventos!$D:$D,$C$2,Eventos!$B:$B,PANES_SEMANALES[[#ALL],[LUNES]])</f>
        <v>0</v>
      </c>
      <c r="N383" s="6">
        <f>SUMIFS(Eventos!$G:$G,Eventos!$F:$F,$L383,Eventos!$D:$D,$C$2,Eventos!$B:$B,PANES_SEMANALES[[#ALL],[MARTES]])</f>
        <v>0</v>
      </c>
      <c r="O383" s="6">
        <f>SUMIFS(Eventos!$G:$G,Eventos!$F:$F,$L383,Eventos!$D:$D,$C$2,Eventos!$B:$B,PANES_SEMANALES[[#ALL],[MIÉRCOLES]])</f>
        <v>0</v>
      </c>
      <c r="P383" s="6">
        <f>SUMIFS(Eventos!$G:$G,Eventos!$F:$F,$L383,Eventos!$D:$D,$C$2,Eventos!$B:$B,PANES_SEMANALES[[#ALL],[JUEVES]])</f>
        <v>0</v>
      </c>
      <c r="Q383" s="6">
        <f>IF(P383&lt;&gt;"",SUMIFS(Eventos!$G:$G,Eventos!$B:$B,Q$2,Eventos!$D:$D,$C$2,Eventos!$F:$F,$L383),"")</f>
        <v>0</v>
      </c>
      <c r="R383" s="6">
        <f>SUMIFS(Eventos!$G:$G,Eventos!$F:$F,$L383,Eventos!$D:$D,$C$2,Eventos!$B:$B,PANES_SEMANALES[[#ALL],[SÁBADO]])</f>
        <v>0</v>
      </c>
      <c r="S383" s="7">
        <f>SUMIFS(Eventos!$G:$G,Eventos!$F:$F,$L383,Eventos!$D:$D,$C$2,Eventos!$B:$B,PANES_SEMANALES[[#ALL],[DOMINGO]])</f>
        <v>0</v>
      </c>
      <c r="T383" s="8">
        <f t="shared" si="1"/>
        <v>0</v>
      </c>
    </row>
    <row r="384" ht="22.5" customHeight="1">
      <c r="L384" s="4"/>
      <c r="M384" s="5">
        <f>SUMIFS(Eventos!$G:$G,Eventos!$F:$F,$L384,Eventos!$D:$D,$C$2,Eventos!$B:$B,PANES_SEMANALES[[#ALL],[LUNES]])</f>
        <v>0</v>
      </c>
      <c r="N384" s="6">
        <f>SUMIFS(Eventos!$G:$G,Eventos!$F:$F,$L384,Eventos!$D:$D,$C$2,Eventos!$B:$B,PANES_SEMANALES[[#ALL],[MARTES]])</f>
        <v>0</v>
      </c>
      <c r="O384" s="6">
        <f>SUMIFS(Eventos!$G:$G,Eventos!$F:$F,$L384,Eventos!$D:$D,$C$2,Eventos!$B:$B,PANES_SEMANALES[[#ALL],[MIÉRCOLES]])</f>
        <v>0</v>
      </c>
      <c r="P384" s="6">
        <f>SUMIFS(Eventos!$G:$G,Eventos!$F:$F,$L384,Eventos!$D:$D,$C$2,Eventos!$B:$B,PANES_SEMANALES[[#ALL],[JUEVES]])</f>
        <v>0</v>
      </c>
      <c r="Q384" s="6">
        <f>IF(P384&lt;&gt;"",SUMIFS(Eventos!$G:$G,Eventos!$B:$B,Q$2,Eventos!$D:$D,$C$2,Eventos!$F:$F,$L384),"")</f>
        <v>0</v>
      </c>
      <c r="R384" s="6">
        <f>SUMIFS(Eventos!$G:$G,Eventos!$F:$F,$L384,Eventos!$D:$D,$C$2,Eventos!$B:$B,PANES_SEMANALES[[#ALL],[SÁBADO]])</f>
        <v>0</v>
      </c>
      <c r="S384" s="7">
        <f>SUMIFS(Eventos!$G:$G,Eventos!$F:$F,$L384,Eventos!$D:$D,$C$2,Eventos!$B:$B,PANES_SEMANALES[[#ALL],[DOMINGO]])</f>
        <v>0</v>
      </c>
      <c r="T384" s="8">
        <f t="shared" si="1"/>
        <v>0</v>
      </c>
    </row>
    <row r="385" ht="22.5" customHeight="1">
      <c r="L385" s="4"/>
      <c r="M385" s="5">
        <f>SUMIFS(Eventos!$G:$G,Eventos!$F:$F,$L385,Eventos!$D:$D,$C$2,Eventos!$B:$B,PANES_SEMANALES[[#ALL],[LUNES]])</f>
        <v>0</v>
      </c>
      <c r="N385" s="6">
        <f>SUMIFS(Eventos!$G:$G,Eventos!$F:$F,$L385,Eventos!$D:$D,$C$2,Eventos!$B:$B,PANES_SEMANALES[[#ALL],[MARTES]])</f>
        <v>0</v>
      </c>
      <c r="O385" s="6">
        <f>SUMIFS(Eventos!$G:$G,Eventos!$F:$F,$L385,Eventos!$D:$D,$C$2,Eventos!$B:$B,PANES_SEMANALES[[#ALL],[MIÉRCOLES]])</f>
        <v>0</v>
      </c>
      <c r="P385" s="6">
        <f>SUMIFS(Eventos!$G:$G,Eventos!$F:$F,$L385,Eventos!$D:$D,$C$2,Eventos!$B:$B,PANES_SEMANALES[[#ALL],[JUEVES]])</f>
        <v>0</v>
      </c>
      <c r="Q385" s="6">
        <f>IF(P385&lt;&gt;"",SUMIFS(Eventos!$G:$G,Eventos!$B:$B,Q$2,Eventos!$D:$D,$C$2,Eventos!$F:$F,$L385),"")</f>
        <v>0</v>
      </c>
      <c r="R385" s="6">
        <f>SUMIFS(Eventos!$G:$G,Eventos!$F:$F,$L385,Eventos!$D:$D,$C$2,Eventos!$B:$B,PANES_SEMANALES[[#ALL],[SÁBADO]])</f>
        <v>0</v>
      </c>
      <c r="S385" s="7">
        <f>SUMIFS(Eventos!$G:$G,Eventos!$F:$F,$L385,Eventos!$D:$D,$C$2,Eventos!$B:$B,PANES_SEMANALES[[#ALL],[DOMINGO]])</f>
        <v>0</v>
      </c>
      <c r="T385" s="8">
        <f t="shared" si="1"/>
        <v>0</v>
      </c>
    </row>
    <row r="386" ht="22.5" customHeight="1">
      <c r="L386" s="4"/>
      <c r="M386" s="5">
        <f>SUMIFS(Eventos!$G:$G,Eventos!$F:$F,$L386,Eventos!$D:$D,$C$2,Eventos!$B:$B,PANES_SEMANALES[[#ALL],[LUNES]])</f>
        <v>0</v>
      </c>
      <c r="N386" s="6">
        <f>SUMIFS(Eventos!$G:$G,Eventos!$F:$F,$L386,Eventos!$D:$D,$C$2,Eventos!$B:$B,PANES_SEMANALES[[#ALL],[MARTES]])</f>
        <v>0</v>
      </c>
      <c r="O386" s="6">
        <f>SUMIFS(Eventos!$G:$G,Eventos!$F:$F,$L386,Eventos!$D:$D,$C$2,Eventos!$B:$B,PANES_SEMANALES[[#ALL],[MIÉRCOLES]])</f>
        <v>0</v>
      </c>
      <c r="P386" s="6">
        <f>SUMIFS(Eventos!$G:$G,Eventos!$F:$F,$L386,Eventos!$D:$D,$C$2,Eventos!$B:$B,PANES_SEMANALES[[#ALL],[JUEVES]])</f>
        <v>0</v>
      </c>
      <c r="Q386" s="6">
        <f>IF(P386&lt;&gt;"",SUMIFS(Eventos!$G:$G,Eventos!$B:$B,Q$2,Eventos!$D:$D,$C$2,Eventos!$F:$F,$L386),"")</f>
        <v>0</v>
      </c>
      <c r="R386" s="6">
        <f>SUMIFS(Eventos!$G:$G,Eventos!$F:$F,$L386,Eventos!$D:$D,$C$2,Eventos!$B:$B,PANES_SEMANALES[[#ALL],[SÁBADO]])</f>
        <v>0</v>
      </c>
      <c r="S386" s="7">
        <f>SUMIFS(Eventos!$G:$G,Eventos!$F:$F,$L386,Eventos!$D:$D,$C$2,Eventos!$B:$B,PANES_SEMANALES[[#ALL],[DOMINGO]])</f>
        <v>0</v>
      </c>
      <c r="T386" s="8">
        <f t="shared" si="1"/>
        <v>0</v>
      </c>
    </row>
    <row r="387" ht="22.5" customHeight="1">
      <c r="L387" s="4"/>
      <c r="M387" s="5">
        <f>SUMIFS(Eventos!$G:$G,Eventos!$F:$F,$L387,Eventos!$D:$D,$C$2,Eventos!$B:$B,PANES_SEMANALES[[#ALL],[LUNES]])</f>
        <v>0</v>
      </c>
      <c r="N387" s="6">
        <f>SUMIFS(Eventos!$G:$G,Eventos!$F:$F,$L387,Eventos!$D:$D,$C$2,Eventos!$B:$B,PANES_SEMANALES[[#ALL],[MARTES]])</f>
        <v>0</v>
      </c>
      <c r="O387" s="6">
        <f>SUMIFS(Eventos!$G:$G,Eventos!$F:$F,$L387,Eventos!$D:$D,$C$2,Eventos!$B:$B,PANES_SEMANALES[[#ALL],[MIÉRCOLES]])</f>
        <v>0</v>
      </c>
      <c r="P387" s="6">
        <f>SUMIFS(Eventos!$G:$G,Eventos!$F:$F,$L387,Eventos!$D:$D,$C$2,Eventos!$B:$B,PANES_SEMANALES[[#ALL],[JUEVES]])</f>
        <v>0</v>
      </c>
      <c r="Q387" s="6">
        <f>IF(P387&lt;&gt;"",SUMIFS(Eventos!$G:$G,Eventos!$B:$B,Q$2,Eventos!$D:$D,$C$2,Eventos!$F:$F,$L387),"")</f>
        <v>0</v>
      </c>
      <c r="R387" s="6">
        <f>SUMIFS(Eventos!$G:$G,Eventos!$F:$F,$L387,Eventos!$D:$D,$C$2,Eventos!$B:$B,PANES_SEMANALES[[#ALL],[SÁBADO]])</f>
        <v>0</v>
      </c>
      <c r="S387" s="7">
        <f>SUMIFS(Eventos!$G:$G,Eventos!$F:$F,$L387,Eventos!$D:$D,$C$2,Eventos!$B:$B,PANES_SEMANALES[[#ALL],[DOMINGO]])</f>
        <v>0</v>
      </c>
      <c r="T387" s="8">
        <f t="shared" si="1"/>
        <v>0</v>
      </c>
    </row>
    <row r="388" ht="22.5" customHeight="1">
      <c r="L388" s="4"/>
      <c r="M388" s="5">
        <f>SUMIFS(Eventos!$G:$G,Eventos!$F:$F,$L388,Eventos!$D:$D,$C$2,Eventos!$B:$B,PANES_SEMANALES[[#ALL],[LUNES]])</f>
        <v>0</v>
      </c>
      <c r="N388" s="6">
        <f>SUMIFS(Eventos!$G:$G,Eventos!$F:$F,$L388,Eventos!$D:$D,$C$2,Eventos!$B:$B,PANES_SEMANALES[[#ALL],[MARTES]])</f>
        <v>0</v>
      </c>
      <c r="O388" s="6">
        <f>SUMIFS(Eventos!$G:$G,Eventos!$F:$F,$L388,Eventos!$D:$D,$C$2,Eventos!$B:$B,PANES_SEMANALES[[#ALL],[MIÉRCOLES]])</f>
        <v>0</v>
      </c>
      <c r="P388" s="6">
        <f>SUMIFS(Eventos!$G:$G,Eventos!$F:$F,$L388,Eventos!$D:$D,$C$2,Eventos!$B:$B,PANES_SEMANALES[[#ALL],[JUEVES]])</f>
        <v>0</v>
      </c>
      <c r="Q388" s="6">
        <f>IF(P388&lt;&gt;"",SUMIFS(Eventos!$G:$G,Eventos!$B:$B,Q$2,Eventos!$D:$D,$C$2,Eventos!$F:$F,$L388),"")</f>
        <v>0</v>
      </c>
      <c r="R388" s="6">
        <f>SUMIFS(Eventos!$G:$G,Eventos!$F:$F,$L388,Eventos!$D:$D,$C$2,Eventos!$B:$B,PANES_SEMANALES[[#ALL],[SÁBADO]])</f>
        <v>0</v>
      </c>
      <c r="S388" s="7">
        <f>SUMIFS(Eventos!$G:$G,Eventos!$F:$F,$L388,Eventos!$D:$D,$C$2,Eventos!$B:$B,PANES_SEMANALES[[#ALL],[DOMINGO]])</f>
        <v>0</v>
      </c>
      <c r="T388" s="8">
        <f t="shared" si="1"/>
        <v>0</v>
      </c>
    </row>
    <row r="389" ht="22.5" customHeight="1">
      <c r="L389" s="4"/>
      <c r="M389" s="5">
        <f>SUMIFS(Eventos!$G:$G,Eventos!$F:$F,$L389,Eventos!$D:$D,$C$2,Eventos!$B:$B,PANES_SEMANALES[[#ALL],[LUNES]])</f>
        <v>0</v>
      </c>
      <c r="N389" s="6">
        <f>SUMIFS(Eventos!$G:$G,Eventos!$F:$F,$L389,Eventos!$D:$D,$C$2,Eventos!$B:$B,PANES_SEMANALES[[#ALL],[MARTES]])</f>
        <v>0</v>
      </c>
      <c r="O389" s="6">
        <f>SUMIFS(Eventos!$G:$G,Eventos!$F:$F,$L389,Eventos!$D:$D,$C$2,Eventos!$B:$B,PANES_SEMANALES[[#ALL],[MIÉRCOLES]])</f>
        <v>0</v>
      </c>
      <c r="P389" s="6">
        <f>SUMIFS(Eventos!$G:$G,Eventos!$F:$F,$L389,Eventos!$D:$D,$C$2,Eventos!$B:$B,PANES_SEMANALES[[#ALL],[JUEVES]])</f>
        <v>0</v>
      </c>
      <c r="Q389" s="6">
        <f>IF(P389&lt;&gt;"",SUMIFS(Eventos!$G:$G,Eventos!$B:$B,Q$2,Eventos!$D:$D,$C$2,Eventos!$F:$F,$L389),"")</f>
        <v>0</v>
      </c>
      <c r="R389" s="6">
        <f>SUMIFS(Eventos!$G:$G,Eventos!$F:$F,$L389,Eventos!$D:$D,$C$2,Eventos!$B:$B,PANES_SEMANALES[[#ALL],[SÁBADO]])</f>
        <v>0</v>
      </c>
      <c r="S389" s="7">
        <f>SUMIFS(Eventos!$G:$G,Eventos!$F:$F,$L389,Eventos!$D:$D,$C$2,Eventos!$B:$B,PANES_SEMANALES[[#ALL],[DOMINGO]])</f>
        <v>0</v>
      </c>
      <c r="T389" s="8">
        <f t="shared" si="1"/>
        <v>0</v>
      </c>
    </row>
    <row r="390" ht="22.5" customHeight="1">
      <c r="L390" s="4"/>
      <c r="M390" s="5">
        <f>SUMIFS(Eventos!$G:$G,Eventos!$F:$F,$L390,Eventos!$D:$D,$C$2,Eventos!$B:$B,PANES_SEMANALES[[#ALL],[LUNES]])</f>
        <v>0</v>
      </c>
      <c r="N390" s="6">
        <f>SUMIFS(Eventos!$G:$G,Eventos!$F:$F,$L390,Eventos!$D:$D,$C$2,Eventos!$B:$B,PANES_SEMANALES[[#ALL],[MARTES]])</f>
        <v>0</v>
      </c>
      <c r="O390" s="6">
        <f>SUMIFS(Eventos!$G:$G,Eventos!$F:$F,$L390,Eventos!$D:$D,$C$2,Eventos!$B:$B,PANES_SEMANALES[[#ALL],[MIÉRCOLES]])</f>
        <v>0</v>
      </c>
      <c r="P390" s="6">
        <f>SUMIFS(Eventos!$G:$G,Eventos!$F:$F,$L390,Eventos!$D:$D,$C$2,Eventos!$B:$B,PANES_SEMANALES[[#ALL],[JUEVES]])</f>
        <v>0</v>
      </c>
      <c r="Q390" s="6">
        <f>IF(P390&lt;&gt;"",SUMIFS(Eventos!$G:$G,Eventos!$B:$B,Q$2,Eventos!$D:$D,$C$2,Eventos!$F:$F,$L390),"")</f>
        <v>0</v>
      </c>
      <c r="R390" s="6">
        <f>SUMIFS(Eventos!$G:$G,Eventos!$F:$F,$L390,Eventos!$D:$D,$C$2,Eventos!$B:$B,PANES_SEMANALES[[#ALL],[SÁBADO]])</f>
        <v>0</v>
      </c>
      <c r="S390" s="7">
        <f>SUMIFS(Eventos!$G:$G,Eventos!$F:$F,$L390,Eventos!$D:$D,$C$2,Eventos!$B:$B,PANES_SEMANALES[[#ALL],[DOMINGO]])</f>
        <v>0</v>
      </c>
      <c r="T390" s="8">
        <f t="shared" si="1"/>
        <v>0</v>
      </c>
    </row>
    <row r="391" ht="22.5" customHeight="1">
      <c r="L391" s="4"/>
      <c r="M391" s="5">
        <f>SUMIFS(Eventos!$G:$G,Eventos!$F:$F,$L391,Eventos!$D:$D,$C$2,Eventos!$B:$B,PANES_SEMANALES[[#ALL],[LUNES]])</f>
        <v>0</v>
      </c>
      <c r="N391" s="6">
        <f>SUMIFS(Eventos!$G:$G,Eventos!$F:$F,$L391,Eventos!$D:$D,$C$2,Eventos!$B:$B,PANES_SEMANALES[[#ALL],[MARTES]])</f>
        <v>0</v>
      </c>
      <c r="O391" s="6">
        <f>SUMIFS(Eventos!$G:$G,Eventos!$F:$F,$L391,Eventos!$D:$D,$C$2,Eventos!$B:$B,PANES_SEMANALES[[#ALL],[MIÉRCOLES]])</f>
        <v>0</v>
      </c>
      <c r="P391" s="6">
        <f>SUMIFS(Eventos!$G:$G,Eventos!$F:$F,$L391,Eventos!$D:$D,$C$2,Eventos!$B:$B,PANES_SEMANALES[[#ALL],[JUEVES]])</f>
        <v>0</v>
      </c>
      <c r="Q391" s="6">
        <f>IF(P391&lt;&gt;"",SUMIFS(Eventos!$G:$G,Eventos!$B:$B,Q$2,Eventos!$D:$D,$C$2,Eventos!$F:$F,$L391),"")</f>
        <v>0</v>
      </c>
      <c r="R391" s="6">
        <f>SUMIFS(Eventos!$G:$G,Eventos!$F:$F,$L391,Eventos!$D:$D,$C$2,Eventos!$B:$B,PANES_SEMANALES[[#ALL],[SÁBADO]])</f>
        <v>0</v>
      </c>
      <c r="S391" s="7">
        <f>SUMIFS(Eventos!$G:$G,Eventos!$F:$F,$L391,Eventos!$D:$D,$C$2,Eventos!$B:$B,PANES_SEMANALES[[#ALL],[DOMINGO]])</f>
        <v>0</v>
      </c>
      <c r="T391" s="8">
        <f t="shared" si="1"/>
        <v>0</v>
      </c>
    </row>
    <row r="392" ht="22.5" customHeight="1">
      <c r="L392" s="4"/>
      <c r="M392" s="5">
        <f>SUMIFS(Eventos!$G:$G,Eventos!$F:$F,$L392,Eventos!$D:$D,$C$2,Eventos!$B:$B,PANES_SEMANALES[[#ALL],[LUNES]])</f>
        <v>0</v>
      </c>
      <c r="N392" s="6">
        <f>SUMIFS(Eventos!$G:$G,Eventos!$F:$F,$L392,Eventos!$D:$D,$C$2,Eventos!$B:$B,PANES_SEMANALES[[#ALL],[MARTES]])</f>
        <v>0</v>
      </c>
      <c r="O392" s="6">
        <f>SUMIFS(Eventos!$G:$G,Eventos!$F:$F,$L392,Eventos!$D:$D,$C$2,Eventos!$B:$B,PANES_SEMANALES[[#ALL],[MIÉRCOLES]])</f>
        <v>0</v>
      </c>
      <c r="P392" s="6">
        <f>SUMIFS(Eventos!$G:$G,Eventos!$F:$F,$L392,Eventos!$D:$D,$C$2,Eventos!$B:$B,PANES_SEMANALES[[#ALL],[JUEVES]])</f>
        <v>0</v>
      </c>
      <c r="Q392" s="6">
        <f>IF(P392&lt;&gt;"",SUMIFS(Eventos!$G:$G,Eventos!$B:$B,Q$2,Eventos!$D:$D,$C$2,Eventos!$F:$F,$L392),"")</f>
        <v>0</v>
      </c>
      <c r="R392" s="6">
        <f>SUMIFS(Eventos!$G:$G,Eventos!$F:$F,$L392,Eventos!$D:$D,$C$2,Eventos!$B:$B,PANES_SEMANALES[[#ALL],[SÁBADO]])</f>
        <v>0</v>
      </c>
      <c r="S392" s="7">
        <f>SUMIFS(Eventos!$G:$G,Eventos!$F:$F,$L392,Eventos!$D:$D,$C$2,Eventos!$B:$B,PANES_SEMANALES[[#ALL],[DOMINGO]])</f>
        <v>0</v>
      </c>
      <c r="T392" s="8">
        <f t="shared" si="1"/>
        <v>0</v>
      </c>
    </row>
    <row r="393" ht="22.5" customHeight="1">
      <c r="L393" s="4"/>
      <c r="M393" s="5">
        <f>SUMIFS(Eventos!$G:$G,Eventos!$F:$F,$L393,Eventos!$D:$D,$C$2,Eventos!$B:$B,PANES_SEMANALES[[#ALL],[LUNES]])</f>
        <v>0</v>
      </c>
      <c r="N393" s="6">
        <f>SUMIFS(Eventos!$G:$G,Eventos!$F:$F,$L393,Eventos!$D:$D,$C$2,Eventos!$B:$B,PANES_SEMANALES[[#ALL],[MARTES]])</f>
        <v>0</v>
      </c>
      <c r="O393" s="6">
        <f>SUMIFS(Eventos!$G:$G,Eventos!$F:$F,$L393,Eventos!$D:$D,$C$2,Eventos!$B:$B,PANES_SEMANALES[[#ALL],[MIÉRCOLES]])</f>
        <v>0</v>
      </c>
      <c r="P393" s="6">
        <f>SUMIFS(Eventos!$G:$G,Eventos!$F:$F,$L393,Eventos!$D:$D,$C$2,Eventos!$B:$B,PANES_SEMANALES[[#ALL],[JUEVES]])</f>
        <v>0</v>
      </c>
      <c r="Q393" s="6">
        <f>IF(P393&lt;&gt;"",SUMIFS(Eventos!$G:$G,Eventos!$B:$B,Q$2,Eventos!$D:$D,$C$2,Eventos!$F:$F,$L393),"")</f>
        <v>0</v>
      </c>
      <c r="R393" s="6">
        <f>SUMIFS(Eventos!$G:$G,Eventos!$F:$F,$L393,Eventos!$D:$D,$C$2,Eventos!$B:$B,PANES_SEMANALES[[#ALL],[SÁBADO]])</f>
        <v>0</v>
      </c>
      <c r="S393" s="7">
        <f>SUMIFS(Eventos!$G:$G,Eventos!$F:$F,$L393,Eventos!$D:$D,$C$2,Eventos!$B:$B,PANES_SEMANALES[[#ALL],[DOMINGO]])</f>
        <v>0</v>
      </c>
      <c r="T393" s="8">
        <f t="shared" si="1"/>
        <v>0</v>
      </c>
    </row>
    <row r="394" ht="22.5" customHeight="1">
      <c r="L394" s="4"/>
      <c r="M394" s="5">
        <f>SUMIFS(Eventos!$G:$G,Eventos!$F:$F,$L394,Eventos!$D:$D,$C$2,Eventos!$B:$B,PANES_SEMANALES[[#ALL],[LUNES]])</f>
        <v>0</v>
      </c>
      <c r="N394" s="6">
        <f>SUMIFS(Eventos!$G:$G,Eventos!$F:$F,$L394,Eventos!$D:$D,$C$2,Eventos!$B:$B,PANES_SEMANALES[[#ALL],[MARTES]])</f>
        <v>0</v>
      </c>
      <c r="O394" s="6">
        <f>SUMIFS(Eventos!$G:$G,Eventos!$F:$F,$L394,Eventos!$D:$D,$C$2,Eventos!$B:$B,PANES_SEMANALES[[#ALL],[MIÉRCOLES]])</f>
        <v>0</v>
      </c>
      <c r="P394" s="6">
        <f>SUMIFS(Eventos!$G:$G,Eventos!$F:$F,$L394,Eventos!$D:$D,$C$2,Eventos!$B:$B,PANES_SEMANALES[[#ALL],[JUEVES]])</f>
        <v>0</v>
      </c>
      <c r="Q394" s="6">
        <f>IF(P394&lt;&gt;"",SUMIFS(Eventos!$G:$G,Eventos!$B:$B,Q$2,Eventos!$D:$D,$C$2,Eventos!$F:$F,$L394),"")</f>
        <v>0</v>
      </c>
      <c r="R394" s="6">
        <f>SUMIFS(Eventos!$G:$G,Eventos!$F:$F,$L394,Eventos!$D:$D,$C$2,Eventos!$B:$B,PANES_SEMANALES[[#ALL],[SÁBADO]])</f>
        <v>0</v>
      </c>
      <c r="S394" s="7">
        <f>SUMIFS(Eventos!$G:$G,Eventos!$F:$F,$L394,Eventos!$D:$D,$C$2,Eventos!$B:$B,PANES_SEMANALES[[#ALL],[DOMINGO]])</f>
        <v>0</v>
      </c>
      <c r="T394" s="8">
        <f t="shared" si="1"/>
        <v>0</v>
      </c>
    </row>
    <row r="395" ht="22.5" customHeight="1">
      <c r="L395" s="4"/>
      <c r="M395" s="5">
        <f>SUMIFS(Eventos!$G:$G,Eventos!$F:$F,$L395,Eventos!$D:$D,$C$2,Eventos!$B:$B,PANES_SEMANALES[[#ALL],[LUNES]])</f>
        <v>0</v>
      </c>
      <c r="N395" s="6">
        <f>SUMIFS(Eventos!$G:$G,Eventos!$F:$F,$L395,Eventos!$D:$D,$C$2,Eventos!$B:$B,PANES_SEMANALES[[#ALL],[MARTES]])</f>
        <v>0</v>
      </c>
      <c r="O395" s="6">
        <f>SUMIFS(Eventos!$G:$G,Eventos!$F:$F,$L395,Eventos!$D:$D,$C$2,Eventos!$B:$B,PANES_SEMANALES[[#ALL],[MIÉRCOLES]])</f>
        <v>0</v>
      </c>
      <c r="P395" s="6">
        <f>SUMIFS(Eventos!$G:$G,Eventos!$F:$F,$L395,Eventos!$D:$D,$C$2,Eventos!$B:$B,PANES_SEMANALES[[#ALL],[JUEVES]])</f>
        <v>0</v>
      </c>
      <c r="Q395" s="6">
        <f>IF(P395&lt;&gt;"",SUMIFS(Eventos!$G:$G,Eventos!$B:$B,Q$2,Eventos!$D:$D,$C$2,Eventos!$F:$F,$L395),"")</f>
        <v>0</v>
      </c>
      <c r="R395" s="6">
        <f>SUMIFS(Eventos!$G:$G,Eventos!$F:$F,$L395,Eventos!$D:$D,$C$2,Eventos!$B:$B,PANES_SEMANALES[[#ALL],[SÁBADO]])</f>
        <v>0</v>
      </c>
      <c r="S395" s="7">
        <f>SUMIFS(Eventos!$G:$G,Eventos!$F:$F,$L395,Eventos!$D:$D,$C$2,Eventos!$B:$B,PANES_SEMANALES[[#ALL],[DOMINGO]])</f>
        <v>0</v>
      </c>
      <c r="T395" s="8">
        <f t="shared" si="1"/>
        <v>0</v>
      </c>
    </row>
    <row r="396" ht="22.5" customHeight="1">
      <c r="L396" s="4"/>
      <c r="M396" s="5">
        <f>SUMIFS(Eventos!$G:$G,Eventos!$F:$F,$L396,Eventos!$D:$D,$C$2,Eventos!$B:$B,PANES_SEMANALES[[#ALL],[LUNES]])</f>
        <v>0</v>
      </c>
      <c r="N396" s="6">
        <f>SUMIFS(Eventos!$G:$G,Eventos!$F:$F,$L396,Eventos!$D:$D,$C$2,Eventos!$B:$B,PANES_SEMANALES[[#ALL],[MARTES]])</f>
        <v>0</v>
      </c>
      <c r="O396" s="6">
        <f>SUMIFS(Eventos!$G:$G,Eventos!$F:$F,$L396,Eventos!$D:$D,$C$2,Eventos!$B:$B,PANES_SEMANALES[[#ALL],[MIÉRCOLES]])</f>
        <v>0</v>
      </c>
      <c r="P396" s="6">
        <f>SUMIFS(Eventos!$G:$G,Eventos!$F:$F,$L396,Eventos!$D:$D,$C$2,Eventos!$B:$B,PANES_SEMANALES[[#ALL],[JUEVES]])</f>
        <v>0</v>
      </c>
      <c r="Q396" s="6">
        <f>IF(P396&lt;&gt;"",SUMIFS(Eventos!$G:$G,Eventos!$B:$B,Q$2,Eventos!$D:$D,$C$2,Eventos!$F:$F,$L396),"")</f>
        <v>0</v>
      </c>
      <c r="R396" s="6">
        <f>SUMIFS(Eventos!$G:$G,Eventos!$F:$F,$L396,Eventos!$D:$D,$C$2,Eventos!$B:$B,PANES_SEMANALES[[#ALL],[SÁBADO]])</f>
        <v>0</v>
      </c>
      <c r="S396" s="7">
        <f>SUMIFS(Eventos!$G:$G,Eventos!$F:$F,$L396,Eventos!$D:$D,$C$2,Eventos!$B:$B,PANES_SEMANALES[[#ALL],[DOMINGO]])</f>
        <v>0</v>
      </c>
      <c r="T396" s="8">
        <f t="shared" si="1"/>
        <v>0</v>
      </c>
    </row>
    <row r="397" ht="22.5" customHeight="1">
      <c r="L397" s="4"/>
      <c r="M397" s="5">
        <f>SUMIFS(Eventos!$G:$G,Eventos!$F:$F,$L397,Eventos!$D:$D,$C$2,Eventos!$B:$B,PANES_SEMANALES[[#ALL],[LUNES]])</f>
        <v>0</v>
      </c>
      <c r="N397" s="6">
        <f>SUMIFS(Eventos!$G:$G,Eventos!$F:$F,$L397,Eventos!$D:$D,$C$2,Eventos!$B:$B,PANES_SEMANALES[[#ALL],[MARTES]])</f>
        <v>0</v>
      </c>
      <c r="O397" s="6">
        <f>SUMIFS(Eventos!$G:$G,Eventos!$F:$F,$L397,Eventos!$D:$D,$C$2,Eventos!$B:$B,PANES_SEMANALES[[#ALL],[MIÉRCOLES]])</f>
        <v>0</v>
      </c>
      <c r="P397" s="6">
        <f>SUMIFS(Eventos!$G:$G,Eventos!$F:$F,$L397,Eventos!$D:$D,$C$2,Eventos!$B:$B,PANES_SEMANALES[[#ALL],[JUEVES]])</f>
        <v>0</v>
      </c>
      <c r="Q397" s="6">
        <f>IF(P397&lt;&gt;"",SUMIFS(Eventos!$G:$G,Eventos!$B:$B,Q$2,Eventos!$D:$D,$C$2,Eventos!$F:$F,$L397),"")</f>
        <v>0</v>
      </c>
      <c r="R397" s="6">
        <f>SUMIFS(Eventos!$G:$G,Eventos!$F:$F,$L397,Eventos!$D:$D,$C$2,Eventos!$B:$B,PANES_SEMANALES[[#ALL],[SÁBADO]])</f>
        <v>0</v>
      </c>
      <c r="S397" s="7">
        <f>SUMIFS(Eventos!$G:$G,Eventos!$F:$F,$L397,Eventos!$D:$D,$C$2,Eventos!$B:$B,PANES_SEMANALES[[#ALL],[DOMINGO]])</f>
        <v>0</v>
      </c>
      <c r="T397" s="8">
        <f t="shared" si="1"/>
        <v>0</v>
      </c>
    </row>
    <row r="398" ht="22.5" customHeight="1">
      <c r="L398" s="4"/>
      <c r="M398" s="5">
        <f>SUMIFS(Eventos!$G:$G,Eventos!$F:$F,$L398,Eventos!$D:$D,$C$2,Eventos!$B:$B,PANES_SEMANALES[[#ALL],[LUNES]])</f>
        <v>0</v>
      </c>
      <c r="N398" s="6">
        <f>SUMIFS(Eventos!$G:$G,Eventos!$F:$F,$L398,Eventos!$D:$D,$C$2,Eventos!$B:$B,PANES_SEMANALES[[#ALL],[MARTES]])</f>
        <v>0</v>
      </c>
      <c r="O398" s="6">
        <f>SUMIFS(Eventos!$G:$G,Eventos!$F:$F,$L398,Eventos!$D:$D,$C$2,Eventos!$B:$B,PANES_SEMANALES[[#ALL],[MIÉRCOLES]])</f>
        <v>0</v>
      </c>
      <c r="P398" s="6">
        <f>SUMIFS(Eventos!$G:$G,Eventos!$F:$F,$L398,Eventos!$D:$D,$C$2,Eventos!$B:$B,PANES_SEMANALES[[#ALL],[JUEVES]])</f>
        <v>0</v>
      </c>
      <c r="Q398" s="6">
        <f>IF(P398&lt;&gt;"",SUMIFS(Eventos!$G:$G,Eventos!$B:$B,Q$2,Eventos!$D:$D,$C$2,Eventos!$F:$F,$L398),"")</f>
        <v>0</v>
      </c>
      <c r="R398" s="6">
        <f>SUMIFS(Eventos!$G:$G,Eventos!$F:$F,$L398,Eventos!$D:$D,$C$2,Eventos!$B:$B,PANES_SEMANALES[[#ALL],[SÁBADO]])</f>
        <v>0</v>
      </c>
      <c r="S398" s="7">
        <f>SUMIFS(Eventos!$G:$G,Eventos!$F:$F,$L398,Eventos!$D:$D,$C$2,Eventos!$B:$B,PANES_SEMANALES[[#ALL],[DOMINGO]])</f>
        <v>0</v>
      </c>
      <c r="T398" s="8">
        <f t="shared" si="1"/>
        <v>0</v>
      </c>
    </row>
    <row r="399" ht="22.5" customHeight="1">
      <c r="L399" s="4"/>
      <c r="M399" s="5">
        <f>SUMIFS(Eventos!$G:$G,Eventos!$F:$F,$L399,Eventos!$D:$D,$C$2,Eventos!$B:$B,PANES_SEMANALES[[#ALL],[LUNES]])</f>
        <v>0</v>
      </c>
      <c r="N399" s="6">
        <f>SUMIFS(Eventos!$G:$G,Eventos!$F:$F,$L399,Eventos!$D:$D,$C$2,Eventos!$B:$B,PANES_SEMANALES[[#ALL],[MARTES]])</f>
        <v>0</v>
      </c>
      <c r="O399" s="6">
        <f>SUMIFS(Eventos!$G:$G,Eventos!$F:$F,$L399,Eventos!$D:$D,$C$2,Eventos!$B:$B,PANES_SEMANALES[[#ALL],[MIÉRCOLES]])</f>
        <v>0</v>
      </c>
      <c r="P399" s="6">
        <f>SUMIFS(Eventos!$G:$G,Eventos!$F:$F,$L399,Eventos!$D:$D,$C$2,Eventos!$B:$B,PANES_SEMANALES[[#ALL],[JUEVES]])</f>
        <v>0</v>
      </c>
      <c r="Q399" s="6">
        <f>IF(P399&lt;&gt;"",SUMIFS(Eventos!$G:$G,Eventos!$B:$B,Q$2,Eventos!$D:$D,$C$2,Eventos!$F:$F,$L399),"")</f>
        <v>0</v>
      </c>
      <c r="R399" s="6">
        <f>SUMIFS(Eventos!$G:$G,Eventos!$F:$F,$L399,Eventos!$D:$D,$C$2,Eventos!$B:$B,PANES_SEMANALES[[#ALL],[SÁBADO]])</f>
        <v>0</v>
      </c>
      <c r="S399" s="7">
        <f>SUMIFS(Eventos!$G:$G,Eventos!$F:$F,$L399,Eventos!$D:$D,$C$2,Eventos!$B:$B,PANES_SEMANALES[[#ALL],[DOMINGO]])</f>
        <v>0</v>
      </c>
      <c r="T399" s="8">
        <f t="shared" si="1"/>
        <v>0</v>
      </c>
    </row>
    <row r="400" ht="22.5" customHeight="1">
      <c r="M400" s="59">
        <f>SUMIFS(Eventos!$G:$G,Eventos!$F:$F,$L400,Eventos!$D:$D,$C$2,Eventos!$B:$B,PANES_SEMANALES[[#ALL],[LUNES]])</f>
        <v>0</v>
      </c>
      <c r="N400" s="59">
        <f>SUMIFS(Eventos!$G:$G,Eventos!$F:$F,$L400,Eventos!$D:$D,$C$2,Eventos!$B:$B,PANES_SEMANALES[[#ALL],[MARTES]])</f>
        <v>0</v>
      </c>
      <c r="O400" s="59">
        <f>SUMIFS(Eventos!$G:$G,Eventos!$F:$F,$L400,Eventos!$D:$D,$C$2,Eventos!$B:$B,PANES_SEMANALES[[#ALL],[MIÉRCOLES]])</f>
        <v>0</v>
      </c>
      <c r="P400" s="59">
        <f>SUMIFS(Eventos!$G:$G,Eventos!$F:$F,$L400,Eventos!$D:$D,$C$2,Eventos!$B:$B,PANES_SEMANALES[[#ALL],[JUEVES]])</f>
        <v>0</v>
      </c>
      <c r="Q400" s="59">
        <f>IF(P400&lt;&gt;"",SUMIFS(Eventos!$G:$G,Eventos!$B:$B,Q$2,Eventos!$D:$D,$C$2,Eventos!$F:$F,$L400),"")</f>
        <v>0</v>
      </c>
      <c r="R400" s="59">
        <f>SUMIFS(Eventos!$G:$G,Eventos!$F:$F,$L400,Eventos!$D:$D,$C$2,Eventos!$B:$B,PANES_SEMANALES[[#ALL],[SÁBADO]])</f>
        <v>0</v>
      </c>
      <c r="S400" s="59">
        <f>SUMIFS(Eventos!$G:$G,Eventos!$F:$F,$L400,Eventos!$D:$D,$C$2,Eventos!$B:$B,PANES_SEMANALES[[#ALL],[DOMINGO]])</f>
        <v>0</v>
      </c>
      <c r="T400" s="59">
        <f t="shared" si="1"/>
        <v>0</v>
      </c>
    </row>
    <row r="401" ht="22.5" customHeight="1">
      <c r="M401" s="59">
        <f>SUMIFS(Eventos!$G:$G,Eventos!$F:$F,$L401,Eventos!$D:$D,$C$2,Eventos!$B:$B,PANES_SEMANALES[[#ALL],[LUNES]])</f>
        <v>0</v>
      </c>
      <c r="N401" s="59">
        <f>SUMIFS(Eventos!$G:$G,Eventos!$F:$F,$L401,Eventos!$D:$D,$C$2,Eventos!$B:$B,PANES_SEMANALES[[#ALL],[MARTES]])</f>
        <v>0</v>
      </c>
      <c r="O401" s="59">
        <f>SUMIFS(Eventos!$G:$G,Eventos!$F:$F,$L401,Eventos!$D:$D,$C$2,Eventos!$B:$B,PANES_SEMANALES[[#ALL],[MIÉRCOLES]])</f>
        <v>0</v>
      </c>
      <c r="P401" s="59">
        <f>SUMIFS(Eventos!$G:$G,Eventos!$F:$F,$L401,Eventos!$D:$D,$C$2,Eventos!$B:$B,PANES_SEMANALES[[#ALL],[JUEVES]])</f>
        <v>0</v>
      </c>
      <c r="Q401" s="59">
        <f>IF(P401&lt;&gt;"",SUMIFS(Eventos!$G:$G,Eventos!$B:$B,Q$2,Eventos!$D:$D,$C$2,Eventos!$F:$F,$L401),"")</f>
        <v>0</v>
      </c>
      <c r="R401" s="59">
        <f>SUMIFS(Eventos!$G:$G,Eventos!$F:$F,$L401,Eventos!$D:$D,$C$2,Eventos!$B:$B,PANES_SEMANALES[[#ALL],[SÁBADO]])</f>
        <v>0</v>
      </c>
      <c r="S401" s="59">
        <f>SUMIFS(Eventos!$G:$G,Eventos!$F:$F,$L401,Eventos!$D:$D,$C$2,Eventos!$B:$B,PANES_SEMANALES[[#ALL],[DOMINGO]])</f>
        <v>0</v>
      </c>
      <c r="T401" s="59">
        <f t="shared" si="1"/>
        <v>0</v>
      </c>
    </row>
    <row r="402" ht="22.5" customHeight="1">
      <c r="M402" s="59">
        <f>SUMIFS(Eventos!$G:$G,Eventos!$F:$F,$L402,Eventos!$D:$D,$C$2,Eventos!$B:$B,PANES_SEMANALES[[#ALL],[LUNES]])</f>
        <v>0</v>
      </c>
      <c r="N402" s="59">
        <f>SUMIFS(Eventos!$G:$G,Eventos!$F:$F,$L402,Eventos!$D:$D,$C$2,Eventos!$B:$B,PANES_SEMANALES[[#ALL],[MARTES]])</f>
        <v>0</v>
      </c>
      <c r="O402" s="59">
        <f>SUMIFS(Eventos!$G:$G,Eventos!$F:$F,$L402,Eventos!$D:$D,$C$2,Eventos!$B:$B,PANES_SEMANALES[[#ALL],[MIÉRCOLES]])</f>
        <v>0</v>
      </c>
      <c r="P402" s="59">
        <f>SUMIFS(Eventos!$G:$G,Eventos!$F:$F,$L402,Eventos!$D:$D,$C$2,Eventos!$B:$B,PANES_SEMANALES[[#ALL],[JUEVES]])</f>
        <v>0</v>
      </c>
      <c r="Q402" s="59">
        <f>IF(P402&lt;&gt;"",SUMIFS(Eventos!$G:$G,Eventos!$B:$B,Q$2,Eventos!$D:$D,$C$2,Eventos!$F:$F,$L402),"")</f>
        <v>0</v>
      </c>
      <c r="R402" s="59">
        <f>SUMIFS(Eventos!$G:$G,Eventos!$F:$F,$L402,Eventos!$D:$D,$C$2,Eventos!$B:$B,PANES_SEMANALES[[#ALL],[SÁBADO]])</f>
        <v>0</v>
      </c>
      <c r="S402" s="59">
        <f>SUMIFS(Eventos!$G:$G,Eventos!$F:$F,$L402,Eventos!$D:$D,$C$2,Eventos!$B:$B,PANES_SEMANALES[[#ALL],[DOMINGO]])</f>
        <v>0</v>
      </c>
      <c r="T402" s="59">
        <f t="shared" si="1"/>
        <v>0</v>
      </c>
    </row>
    <row r="403" ht="22.5" customHeight="1">
      <c r="M403" s="59">
        <f>SUMIFS(Eventos!$G:$G,Eventos!$F:$F,$L403,Eventos!$D:$D,$C$2,Eventos!$B:$B,PANES_SEMANALES[[#ALL],[LUNES]])</f>
        <v>0</v>
      </c>
      <c r="N403" s="59">
        <f>SUMIFS(Eventos!$G:$G,Eventos!$F:$F,$L403,Eventos!$D:$D,$C$2,Eventos!$B:$B,PANES_SEMANALES[[#ALL],[MARTES]])</f>
        <v>0</v>
      </c>
      <c r="O403" s="59">
        <f>SUMIFS(Eventos!$G:$G,Eventos!$F:$F,$L403,Eventos!$D:$D,$C$2,Eventos!$B:$B,PANES_SEMANALES[[#ALL],[MIÉRCOLES]])</f>
        <v>0</v>
      </c>
      <c r="P403" s="59">
        <f>SUMIFS(Eventos!$G:$G,Eventos!$F:$F,$L403,Eventos!$D:$D,$C$2,Eventos!$B:$B,PANES_SEMANALES[[#ALL],[JUEVES]])</f>
        <v>0</v>
      </c>
      <c r="Q403" s="59">
        <f>IF(P403&lt;&gt;"",SUMIFS(Eventos!$G:$G,Eventos!$B:$B,Q$2,Eventos!$D:$D,$C$2,Eventos!$F:$F,$L403),"")</f>
        <v>0</v>
      </c>
      <c r="R403" s="59">
        <f>SUMIFS(Eventos!$G:$G,Eventos!$F:$F,$L403,Eventos!$D:$D,$C$2,Eventos!$B:$B,PANES_SEMANALES[[#ALL],[SÁBADO]])</f>
        <v>0</v>
      </c>
      <c r="S403" s="59">
        <f>SUMIFS(Eventos!$G:$G,Eventos!$F:$F,$L403,Eventos!$D:$D,$C$2,Eventos!$B:$B,PANES_SEMANALES[[#ALL],[DOMINGO]])</f>
        <v>0</v>
      </c>
      <c r="T403" s="59">
        <f t="shared" si="1"/>
        <v>0</v>
      </c>
    </row>
    <row r="404" ht="22.5" customHeight="1">
      <c r="M404" s="59">
        <f>SUMIFS(Eventos!$G:$G,Eventos!$F:$F,$L404,Eventos!$D:$D,$C$2,Eventos!$B:$B,PANES_SEMANALES[[#ALL],[LUNES]])</f>
        <v>0</v>
      </c>
      <c r="N404" s="59">
        <f>SUMIFS(Eventos!$G:$G,Eventos!$F:$F,$L404,Eventos!$D:$D,$C$2,Eventos!$B:$B,PANES_SEMANALES[[#ALL],[MARTES]])</f>
        <v>0</v>
      </c>
      <c r="O404" s="59">
        <f>SUMIFS(Eventos!$G:$G,Eventos!$F:$F,$L404,Eventos!$D:$D,$C$2,Eventos!$B:$B,PANES_SEMANALES[[#ALL],[MIÉRCOLES]])</f>
        <v>0</v>
      </c>
      <c r="P404" s="59">
        <f>SUMIFS(Eventos!$G:$G,Eventos!$F:$F,$L404,Eventos!$D:$D,$C$2,Eventos!$B:$B,PANES_SEMANALES[[#ALL],[JUEVES]])</f>
        <v>0</v>
      </c>
      <c r="Q404" s="59">
        <f>IF(P404&lt;&gt;"",SUMIFS(Eventos!$G:$G,Eventos!$B:$B,Q$2,Eventos!$D:$D,$C$2,Eventos!$F:$F,$L404),"")</f>
        <v>0</v>
      </c>
      <c r="R404" s="59">
        <f>SUMIFS(Eventos!$G:$G,Eventos!$F:$F,$L404,Eventos!$D:$D,$C$2,Eventos!$B:$B,PANES_SEMANALES[[#ALL],[SÁBADO]])</f>
        <v>0</v>
      </c>
      <c r="S404" s="59">
        <f>SUMIFS(Eventos!$G:$G,Eventos!$F:$F,$L404,Eventos!$D:$D,$C$2,Eventos!$B:$B,PANES_SEMANALES[[#ALL],[DOMINGO]])</f>
        <v>0</v>
      </c>
      <c r="T404" s="59">
        <f t="shared" si="1"/>
        <v>0</v>
      </c>
    </row>
    <row r="405" ht="22.5" customHeight="1">
      <c r="M405" s="59">
        <f>SUMIFS(Eventos!$G:$G,Eventos!$F:$F,$L405,Eventos!$D:$D,$C$2,Eventos!$B:$B,PANES_SEMANALES[[#ALL],[LUNES]])</f>
        <v>0</v>
      </c>
      <c r="N405" s="59">
        <f>SUMIFS(Eventos!$G:$G,Eventos!$F:$F,$L405,Eventos!$D:$D,$C$2,Eventos!$B:$B,PANES_SEMANALES[[#ALL],[MARTES]])</f>
        <v>0</v>
      </c>
      <c r="O405" s="59">
        <f>SUMIFS(Eventos!$G:$G,Eventos!$F:$F,$L405,Eventos!$D:$D,$C$2,Eventos!$B:$B,PANES_SEMANALES[[#ALL],[MIÉRCOLES]])</f>
        <v>0</v>
      </c>
      <c r="P405" s="59">
        <f>SUMIFS(Eventos!$G:$G,Eventos!$F:$F,$L405,Eventos!$D:$D,$C$2,Eventos!$B:$B,PANES_SEMANALES[[#ALL],[JUEVES]])</f>
        <v>0</v>
      </c>
      <c r="Q405" s="59">
        <f>IF(P405&lt;&gt;"",SUMIFS(Eventos!$G:$G,Eventos!$B:$B,Q$2,Eventos!$D:$D,$C$2,Eventos!$F:$F,$L405),"")</f>
        <v>0</v>
      </c>
      <c r="R405" s="59">
        <f>SUMIFS(Eventos!$G:$G,Eventos!$F:$F,$L405,Eventos!$D:$D,$C$2,Eventos!$B:$B,PANES_SEMANALES[[#ALL],[SÁBADO]])</f>
        <v>0</v>
      </c>
      <c r="S405" s="59">
        <f>SUMIFS(Eventos!$G:$G,Eventos!$F:$F,$L405,Eventos!$D:$D,$C$2,Eventos!$B:$B,PANES_SEMANALES[[#ALL],[DOMINGO]])</f>
        <v>0</v>
      </c>
      <c r="T405" s="59">
        <f t="shared" si="1"/>
        <v>0</v>
      </c>
    </row>
    <row r="406" ht="22.5" customHeight="1">
      <c r="M406" s="59">
        <f>SUMIFS(Eventos!$G:$G,Eventos!$F:$F,$L406,Eventos!$D:$D,$C$2,Eventos!$B:$B,PANES_SEMANALES[[#ALL],[LUNES]])</f>
        <v>0</v>
      </c>
      <c r="N406" s="59">
        <f>SUMIFS(Eventos!$G:$G,Eventos!$F:$F,$L406,Eventos!$D:$D,$C$2,Eventos!$B:$B,PANES_SEMANALES[[#ALL],[MARTES]])</f>
        <v>0</v>
      </c>
      <c r="O406" s="59">
        <f>SUMIFS(Eventos!$G:$G,Eventos!$F:$F,$L406,Eventos!$D:$D,$C$2,Eventos!$B:$B,PANES_SEMANALES[[#ALL],[MIÉRCOLES]])</f>
        <v>0</v>
      </c>
      <c r="P406" s="59">
        <f>SUMIFS(Eventos!$G:$G,Eventos!$F:$F,$L406,Eventos!$D:$D,$C$2,Eventos!$B:$B,PANES_SEMANALES[[#ALL],[JUEVES]])</f>
        <v>0</v>
      </c>
      <c r="Q406" s="59">
        <f>IF(P406&lt;&gt;"",SUMIFS(Eventos!$G:$G,Eventos!$B:$B,Q$2,Eventos!$D:$D,$C$2,Eventos!$F:$F,$L406),"")</f>
        <v>0</v>
      </c>
      <c r="R406" s="59">
        <f>SUMIFS(Eventos!$G:$G,Eventos!$F:$F,$L406,Eventos!$D:$D,$C$2,Eventos!$B:$B,PANES_SEMANALES[[#ALL],[SÁBADO]])</f>
        <v>0</v>
      </c>
      <c r="S406" s="59">
        <f>SUMIFS(Eventos!$G:$G,Eventos!$F:$F,$L406,Eventos!$D:$D,$C$2,Eventos!$B:$B,PANES_SEMANALES[[#ALL],[DOMINGO]])</f>
        <v>0</v>
      </c>
      <c r="T406" s="59">
        <f t="shared" si="1"/>
        <v>0</v>
      </c>
    </row>
    <row r="407" ht="22.5" customHeight="1">
      <c r="M407" s="59">
        <f>SUMIFS(Eventos!$G:$G,Eventos!$F:$F,$L407,Eventos!$D:$D,$C$2,Eventos!$B:$B,PANES_SEMANALES[[#ALL],[LUNES]])</f>
        <v>0</v>
      </c>
      <c r="N407" s="59">
        <f>SUMIFS(Eventos!$G:$G,Eventos!$F:$F,$L407,Eventos!$D:$D,$C$2,Eventos!$B:$B,PANES_SEMANALES[[#ALL],[MARTES]])</f>
        <v>0</v>
      </c>
      <c r="O407" s="59">
        <f>SUMIFS(Eventos!$G:$G,Eventos!$F:$F,$L407,Eventos!$D:$D,$C$2,Eventos!$B:$B,PANES_SEMANALES[[#ALL],[MIÉRCOLES]])</f>
        <v>0</v>
      </c>
      <c r="P407" s="59">
        <f>SUMIFS(Eventos!$G:$G,Eventos!$F:$F,$L407,Eventos!$D:$D,$C$2,Eventos!$B:$B,PANES_SEMANALES[[#ALL],[JUEVES]])</f>
        <v>0</v>
      </c>
      <c r="Q407" s="59">
        <f>IF(P407&lt;&gt;"",SUMIFS(Eventos!$G:$G,Eventos!$B:$B,Q$2,Eventos!$D:$D,$C$2,Eventos!$F:$F,$L407),"")</f>
        <v>0</v>
      </c>
      <c r="R407" s="59">
        <f>SUMIFS(Eventos!$G:$G,Eventos!$F:$F,$L407,Eventos!$D:$D,$C$2,Eventos!$B:$B,PANES_SEMANALES[[#ALL],[SÁBADO]])</f>
        <v>0</v>
      </c>
      <c r="S407" s="59">
        <f>SUMIFS(Eventos!$G:$G,Eventos!$F:$F,$L407,Eventos!$D:$D,$C$2,Eventos!$B:$B,PANES_SEMANALES[[#ALL],[DOMINGO]])</f>
        <v>0</v>
      </c>
      <c r="T407" s="59">
        <f t="shared" si="1"/>
        <v>0</v>
      </c>
    </row>
    <row r="408" ht="22.5" customHeight="1">
      <c r="M408" s="59">
        <f>SUMIFS(Eventos!$G:$G,Eventos!$F:$F,$L408,Eventos!$D:$D,$C$2,Eventos!$B:$B,PANES_SEMANALES[[#ALL],[LUNES]])</f>
        <v>0</v>
      </c>
      <c r="N408" s="59">
        <f>SUMIFS(Eventos!$G:$G,Eventos!$F:$F,$L408,Eventos!$D:$D,$C$2,Eventos!$B:$B,PANES_SEMANALES[[#ALL],[MARTES]])</f>
        <v>0</v>
      </c>
      <c r="O408" s="59">
        <f>SUMIFS(Eventos!$G:$G,Eventos!$F:$F,$L408,Eventos!$D:$D,$C$2,Eventos!$B:$B,PANES_SEMANALES[[#ALL],[MIÉRCOLES]])</f>
        <v>0</v>
      </c>
      <c r="P408" s="59">
        <f>SUMIFS(Eventos!$G:$G,Eventos!$F:$F,$L408,Eventos!$D:$D,$C$2,Eventos!$B:$B,PANES_SEMANALES[[#ALL],[JUEVES]])</f>
        <v>0</v>
      </c>
      <c r="Q408" s="59">
        <f>IF(P408&lt;&gt;"",SUMIFS(Eventos!$G:$G,Eventos!$B:$B,Q$2,Eventos!$D:$D,$C$2,Eventos!$F:$F,$L408),"")</f>
        <v>0</v>
      </c>
      <c r="R408" s="59">
        <f>SUMIFS(Eventos!$G:$G,Eventos!$F:$F,$L408,Eventos!$D:$D,$C$2,Eventos!$B:$B,PANES_SEMANALES[[#ALL],[SÁBADO]])</f>
        <v>0</v>
      </c>
      <c r="S408" s="59">
        <f>SUMIFS(Eventos!$G:$G,Eventos!$F:$F,$L408,Eventos!$D:$D,$C$2,Eventos!$B:$B,PANES_SEMANALES[[#ALL],[DOMINGO]])</f>
        <v>0</v>
      </c>
      <c r="T408" s="59">
        <f t="shared" si="1"/>
        <v>0</v>
      </c>
    </row>
    <row r="409" ht="22.5" customHeight="1">
      <c r="M409" s="59">
        <f>SUMIFS(Eventos!$G:$G,Eventos!$F:$F,$L409,Eventos!$D:$D,$C$2,Eventos!$B:$B,PANES_SEMANALES[[#ALL],[LUNES]])</f>
        <v>0</v>
      </c>
      <c r="N409" s="59">
        <f>SUMIFS(Eventos!$G:$G,Eventos!$F:$F,$L409,Eventos!$D:$D,$C$2,Eventos!$B:$B,PANES_SEMANALES[[#ALL],[MARTES]])</f>
        <v>0</v>
      </c>
      <c r="O409" s="59">
        <f>SUMIFS(Eventos!$G:$G,Eventos!$F:$F,$L409,Eventos!$D:$D,$C$2,Eventos!$B:$B,PANES_SEMANALES[[#ALL],[MIÉRCOLES]])</f>
        <v>0</v>
      </c>
      <c r="P409" s="59">
        <f>SUMIFS(Eventos!$G:$G,Eventos!$F:$F,$L409,Eventos!$D:$D,$C$2,Eventos!$B:$B,PANES_SEMANALES[[#ALL],[JUEVES]])</f>
        <v>0</v>
      </c>
      <c r="Q409" s="59">
        <f>IF(P409&lt;&gt;"",SUMIFS(Eventos!$G:$G,Eventos!$B:$B,Q$2,Eventos!$D:$D,$C$2,Eventos!$F:$F,$L409),"")</f>
        <v>0</v>
      </c>
      <c r="R409" s="59">
        <f>SUMIFS(Eventos!$G:$G,Eventos!$F:$F,$L409,Eventos!$D:$D,$C$2,Eventos!$B:$B,PANES_SEMANALES[[#ALL],[SÁBADO]])</f>
        <v>0</v>
      </c>
      <c r="S409" s="59">
        <f>SUMIFS(Eventos!$G:$G,Eventos!$F:$F,$L409,Eventos!$D:$D,$C$2,Eventos!$B:$B,PANES_SEMANALES[[#ALL],[DOMINGO]])</f>
        <v>0</v>
      </c>
      <c r="T409" s="59">
        <f t="shared" si="1"/>
        <v>0</v>
      </c>
    </row>
    <row r="410" ht="22.5" customHeight="1">
      <c r="M410" s="59">
        <f>SUMIFS(Eventos!$G:$G,Eventos!$F:$F,$L410,Eventos!$D:$D,$C$2,Eventos!$B:$B,PANES_SEMANALES[[#ALL],[LUNES]])</f>
        <v>0</v>
      </c>
      <c r="N410" s="59">
        <f>SUMIFS(Eventos!$G:$G,Eventos!$F:$F,$L410,Eventos!$D:$D,$C$2,Eventos!$B:$B,PANES_SEMANALES[[#ALL],[MARTES]])</f>
        <v>0</v>
      </c>
      <c r="O410" s="59">
        <f>SUMIFS(Eventos!$G:$G,Eventos!$F:$F,$L410,Eventos!$D:$D,$C$2,Eventos!$B:$B,PANES_SEMANALES[[#ALL],[MIÉRCOLES]])</f>
        <v>0</v>
      </c>
      <c r="P410" s="59">
        <f>SUMIFS(Eventos!$G:$G,Eventos!$F:$F,$L410,Eventos!$D:$D,$C$2,Eventos!$B:$B,PANES_SEMANALES[[#ALL],[JUEVES]])</f>
        <v>0</v>
      </c>
      <c r="Q410" s="59">
        <f>IF(P410&lt;&gt;"",SUMIFS(Eventos!$G:$G,Eventos!$B:$B,Q$2,Eventos!$D:$D,$C$2,Eventos!$F:$F,$L410),"")</f>
        <v>0</v>
      </c>
      <c r="R410" s="59">
        <f>SUMIFS(Eventos!$G:$G,Eventos!$F:$F,$L410,Eventos!$D:$D,$C$2,Eventos!$B:$B,PANES_SEMANALES[[#ALL],[SÁBADO]])</f>
        <v>0</v>
      </c>
      <c r="S410" s="59">
        <f>SUMIFS(Eventos!$G:$G,Eventos!$F:$F,$L410,Eventos!$D:$D,$C$2,Eventos!$B:$B,PANES_SEMANALES[[#ALL],[DOMINGO]])</f>
        <v>0</v>
      </c>
      <c r="T410" s="59">
        <f t="shared" si="1"/>
        <v>0</v>
      </c>
    </row>
    <row r="411" ht="22.5" customHeight="1">
      <c r="M411" s="59">
        <f>SUMIFS(Eventos!$G:$G,Eventos!$F:$F,$L411,Eventos!$D:$D,$C$2,Eventos!$B:$B,PANES_SEMANALES[[#ALL],[LUNES]])</f>
        <v>0</v>
      </c>
      <c r="N411" s="59">
        <f>SUMIFS(Eventos!$G:$G,Eventos!$F:$F,$L411,Eventos!$D:$D,$C$2,Eventos!$B:$B,PANES_SEMANALES[[#ALL],[MARTES]])</f>
        <v>0</v>
      </c>
      <c r="O411" s="59">
        <f>SUMIFS(Eventos!$G:$G,Eventos!$F:$F,$L411,Eventos!$D:$D,$C$2,Eventos!$B:$B,PANES_SEMANALES[[#ALL],[MIÉRCOLES]])</f>
        <v>0</v>
      </c>
      <c r="P411" s="59">
        <f>SUMIFS(Eventos!$G:$G,Eventos!$F:$F,$L411,Eventos!$D:$D,$C$2,Eventos!$B:$B,PANES_SEMANALES[[#ALL],[JUEVES]])</f>
        <v>0</v>
      </c>
      <c r="Q411" s="59">
        <f>IF(P411&lt;&gt;"",SUMIFS(Eventos!$G:$G,Eventos!$B:$B,Q$2,Eventos!$D:$D,$C$2,Eventos!$F:$F,$L411),"")</f>
        <v>0</v>
      </c>
      <c r="R411" s="59">
        <f>SUMIFS(Eventos!$G:$G,Eventos!$F:$F,$L411,Eventos!$D:$D,$C$2,Eventos!$B:$B,PANES_SEMANALES[[#ALL],[SÁBADO]])</f>
        <v>0</v>
      </c>
      <c r="S411" s="59">
        <f>SUMIFS(Eventos!$G:$G,Eventos!$F:$F,$L411,Eventos!$D:$D,$C$2,Eventos!$B:$B,PANES_SEMANALES[[#ALL],[DOMINGO]])</f>
        <v>0</v>
      </c>
      <c r="T411" s="59">
        <f t="shared" si="1"/>
        <v>0</v>
      </c>
    </row>
    <row r="412" ht="22.5" customHeight="1">
      <c r="M412" s="59">
        <f>SUMIFS(Eventos!$G:$G,Eventos!$F:$F,$L412,Eventos!$D:$D,$C$2,Eventos!$B:$B,PANES_SEMANALES[[#ALL],[LUNES]])</f>
        <v>0</v>
      </c>
      <c r="N412" s="59">
        <f>SUMIFS(Eventos!$G:$G,Eventos!$F:$F,$L412,Eventos!$D:$D,$C$2,Eventos!$B:$B,PANES_SEMANALES[[#ALL],[MARTES]])</f>
        <v>0</v>
      </c>
      <c r="O412" s="59">
        <f>SUMIFS(Eventos!$G:$G,Eventos!$F:$F,$L412,Eventos!$D:$D,$C$2,Eventos!$B:$B,PANES_SEMANALES[[#ALL],[MIÉRCOLES]])</f>
        <v>0</v>
      </c>
      <c r="P412" s="59">
        <f>SUMIFS(Eventos!$G:$G,Eventos!$F:$F,$L412,Eventos!$D:$D,$C$2,Eventos!$B:$B,PANES_SEMANALES[[#ALL],[JUEVES]])</f>
        <v>0</v>
      </c>
      <c r="Q412" s="59">
        <f>IF(P412&lt;&gt;"",SUMIFS(Eventos!$G:$G,Eventos!$B:$B,Q$2,Eventos!$D:$D,$C$2,Eventos!$F:$F,$L412),"")</f>
        <v>0</v>
      </c>
      <c r="R412" s="59">
        <f>SUMIFS(Eventos!$G:$G,Eventos!$F:$F,$L412,Eventos!$D:$D,$C$2,Eventos!$B:$B,PANES_SEMANALES[[#ALL],[SÁBADO]])</f>
        <v>0</v>
      </c>
      <c r="S412" s="59">
        <f>SUMIFS(Eventos!$G:$G,Eventos!$F:$F,$L412,Eventos!$D:$D,$C$2,Eventos!$B:$B,PANES_SEMANALES[[#ALL],[DOMINGO]])</f>
        <v>0</v>
      </c>
      <c r="T412" s="59">
        <f t="shared" si="1"/>
        <v>0</v>
      </c>
    </row>
    <row r="413" ht="22.5" customHeight="1">
      <c r="M413" s="59">
        <f>SUMIFS(Eventos!$G:$G,Eventos!$F:$F,$L413,Eventos!$D:$D,$C$2,Eventos!$B:$B,PANES_SEMANALES[[#ALL],[LUNES]])</f>
        <v>0</v>
      </c>
      <c r="N413" s="59">
        <f>SUMIFS(Eventos!$G:$G,Eventos!$F:$F,$L413,Eventos!$D:$D,$C$2,Eventos!$B:$B,PANES_SEMANALES[[#ALL],[MARTES]])</f>
        <v>0</v>
      </c>
      <c r="O413" s="59">
        <f>SUMIFS(Eventos!$G:$G,Eventos!$F:$F,$L413,Eventos!$D:$D,$C$2,Eventos!$B:$B,PANES_SEMANALES[[#ALL],[MIÉRCOLES]])</f>
        <v>0</v>
      </c>
      <c r="P413" s="59">
        <f>SUMIFS(Eventos!$G:$G,Eventos!$F:$F,$L413,Eventos!$D:$D,$C$2,Eventos!$B:$B,PANES_SEMANALES[[#ALL],[JUEVES]])</f>
        <v>0</v>
      </c>
      <c r="Q413" s="59">
        <f>IF(P413&lt;&gt;"",SUMIFS(Eventos!$G:$G,Eventos!$B:$B,Q$2,Eventos!$D:$D,$C$2,Eventos!$F:$F,$L413),"")</f>
        <v>0</v>
      </c>
      <c r="R413" s="59">
        <f>SUMIFS(Eventos!$G:$G,Eventos!$F:$F,$L413,Eventos!$D:$D,$C$2,Eventos!$B:$B,PANES_SEMANALES[[#ALL],[SÁBADO]])</f>
        <v>0</v>
      </c>
      <c r="S413" s="59">
        <f>SUMIFS(Eventos!$G:$G,Eventos!$F:$F,$L413,Eventos!$D:$D,$C$2,Eventos!$B:$B,PANES_SEMANALES[[#ALL],[DOMINGO]])</f>
        <v>0</v>
      </c>
      <c r="T413" s="59">
        <f t="shared" si="1"/>
        <v>0</v>
      </c>
    </row>
    <row r="414" ht="22.5" customHeight="1">
      <c r="M414" s="59">
        <f>SUMIFS(Eventos!$G:$G,Eventos!$F:$F,$L414,Eventos!$D:$D,$C$2,Eventos!$B:$B,PANES_SEMANALES[[#ALL],[LUNES]])</f>
        <v>0</v>
      </c>
      <c r="N414" s="59">
        <f>SUMIFS(Eventos!$G:$G,Eventos!$F:$F,$L414,Eventos!$D:$D,$C$2,Eventos!$B:$B,PANES_SEMANALES[[#ALL],[MARTES]])</f>
        <v>0</v>
      </c>
      <c r="O414" s="59">
        <f>SUMIFS(Eventos!$G:$G,Eventos!$F:$F,$L414,Eventos!$D:$D,$C$2,Eventos!$B:$B,PANES_SEMANALES[[#ALL],[MIÉRCOLES]])</f>
        <v>0</v>
      </c>
      <c r="P414" s="59">
        <f>SUMIFS(Eventos!$G:$G,Eventos!$F:$F,$L414,Eventos!$D:$D,$C$2,Eventos!$B:$B,PANES_SEMANALES[[#ALL],[JUEVES]])</f>
        <v>0</v>
      </c>
      <c r="Q414" s="59">
        <f>IF(P414&lt;&gt;"",SUMIFS(Eventos!$G:$G,Eventos!$B:$B,Q$2,Eventos!$D:$D,$C$2,Eventos!$F:$F,$L414),"")</f>
        <v>0</v>
      </c>
      <c r="R414" s="59">
        <f>SUMIFS(Eventos!$G:$G,Eventos!$F:$F,$L414,Eventos!$D:$D,$C$2,Eventos!$B:$B,PANES_SEMANALES[[#ALL],[SÁBADO]])</f>
        <v>0</v>
      </c>
      <c r="S414" s="59">
        <f>SUMIFS(Eventos!$G:$G,Eventos!$F:$F,$L414,Eventos!$D:$D,$C$2,Eventos!$B:$B,PANES_SEMANALES[[#ALL],[DOMINGO]])</f>
        <v>0</v>
      </c>
      <c r="T414" s="59">
        <f t="shared" si="1"/>
        <v>0</v>
      </c>
    </row>
    <row r="415" ht="22.5" customHeight="1">
      <c r="M415" s="59">
        <f>SUMIFS(Eventos!$G:$G,Eventos!$F:$F,$L415,Eventos!$D:$D,$C$2,Eventos!$B:$B,PANES_SEMANALES[[#ALL],[LUNES]])</f>
        <v>0</v>
      </c>
      <c r="N415" s="59">
        <f>SUMIFS(Eventos!$G:$G,Eventos!$F:$F,$L415,Eventos!$D:$D,$C$2,Eventos!$B:$B,PANES_SEMANALES[[#ALL],[MARTES]])</f>
        <v>0</v>
      </c>
      <c r="O415" s="59">
        <f>SUMIFS(Eventos!$G:$G,Eventos!$F:$F,$L415,Eventos!$D:$D,$C$2,Eventos!$B:$B,PANES_SEMANALES[[#ALL],[MIÉRCOLES]])</f>
        <v>0</v>
      </c>
      <c r="P415" s="59">
        <f>SUMIFS(Eventos!$G:$G,Eventos!$F:$F,$L415,Eventos!$D:$D,$C$2,Eventos!$B:$B,PANES_SEMANALES[[#ALL],[JUEVES]])</f>
        <v>0</v>
      </c>
      <c r="Q415" s="59">
        <f>IF(P415&lt;&gt;"",SUMIFS(Eventos!$G:$G,Eventos!$B:$B,Q$2,Eventos!$D:$D,$C$2,Eventos!$F:$F,$L415),"")</f>
        <v>0</v>
      </c>
      <c r="R415" s="59">
        <f>SUMIFS(Eventos!$G:$G,Eventos!$F:$F,$L415,Eventos!$D:$D,$C$2,Eventos!$B:$B,PANES_SEMANALES[[#ALL],[SÁBADO]])</f>
        <v>0</v>
      </c>
      <c r="S415" s="59">
        <f>SUMIFS(Eventos!$G:$G,Eventos!$F:$F,$L415,Eventos!$D:$D,$C$2,Eventos!$B:$B,PANES_SEMANALES[[#ALL],[DOMINGO]])</f>
        <v>0</v>
      </c>
      <c r="T415" s="59">
        <f t="shared" si="1"/>
        <v>0</v>
      </c>
    </row>
    <row r="416" ht="22.5" customHeight="1">
      <c r="M416" s="59">
        <f>SUMIFS(Eventos!$G:$G,Eventos!$F:$F,$L416,Eventos!$D:$D,$C$2,Eventos!$B:$B,PANES_SEMANALES[[#ALL],[LUNES]])</f>
        <v>0</v>
      </c>
      <c r="N416" s="59">
        <f>SUMIFS(Eventos!$G:$G,Eventos!$F:$F,$L416,Eventos!$D:$D,$C$2,Eventos!$B:$B,PANES_SEMANALES[[#ALL],[MARTES]])</f>
        <v>0</v>
      </c>
      <c r="O416" s="59">
        <f>SUMIFS(Eventos!$G:$G,Eventos!$F:$F,$L416,Eventos!$D:$D,$C$2,Eventos!$B:$B,PANES_SEMANALES[[#ALL],[MIÉRCOLES]])</f>
        <v>0</v>
      </c>
      <c r="P416" s="59">
        <f>SUMIFS(Eventos!$G:$G,Eventos!$F:$F,$L416,Eventos!$D:$D,$C$2,Eventos!$B:$B,PANES_SEMANALES[[#ALL],[JUEVES]])</f>
        <v>0</v>
      </c>
      <c r="Q416" s="59">
        <f>IF(P416&lt;&gt;"",SUMIFS(Eventos!$G:$G,Eventos!$B:$B,Q$2,Eventos!$D:$D,$C$2,Eventos!$F:$F,$L416),"")</f>
        <v>0</v>
      </c>
      <c r="R416" s="59">
        <f>SUMIFS(Eventos!$G:$G,Eventos!$F:$F,$L416,Eventos!$D:$D,$C$2,Eventos!$B:$B,PANES_SEMANALES[[#ALL],[SÁBADO]])</f>
        <v>0</v>
      </c>
      <c r="S416" s="59">
        <f>SUMIFS(Eventos!$G:$G,Eventos!$F:$F,$L416,Eventos!$D:$D,$C$2,Eventos!$B:$B,PANES_SEMANALES[[#ALL],[DOMINGO]])</f>
        <v>0</v>
      </c>
      <c r="T416" s="59">
        <f t="shared" si="1"/>
        <v>0</v>
      </c>
    </row>
    <row r="417" ht="22.5" customHeight="1">
      <c r="M417" s="59">
        <f>SUMIFS(Eventos!$G:$G,Eventos!$F:$F,$L417,Eventos!$D:$D,$C$2,Eventos!$B:$B,PANES_SEMANALES[[#ALL],[LUNES]])</f>
        <v>0</v>
      </c>
      <c r="N417" s="59">
        <f>SUMIFS(Eventos!$G:$G,Eventos!$F:$F,$L417,Eventos!$D:$D,$C$2,Eventos!$B:$B,PANES_SEMANALES[[#ALL],[MARTES]])</f>
        <v>0</v>
      </c>
      <c r="O417" s="59">
        <f>SUMIFS(Eventos!$G:$G,Eventos!$F:$F,$L417,Eventos!$D:$D,$C$2,Eventos!$B:$B,PANES_SEMANALES[[#ALL],[MIÉRCOLES]])</f>
        <v>0</v>
      </c>
      <c r="P417" s="59">
        <f>SUMIFS(Eventos!$G:$G,Eventos!$F:$F,$L417,Eventos!$D:$D,$C$2,Eventos!$B:$B,PANES_SEMANALES[[#ALL],[JUEVES]])</f>
        <v>0</v>
      </c>
      <c r="Q417" s="59">
        <f>IF(P417&lt;&gt;"",SUMIFS(Eventos!$G:$G,Eventos!$B:$B,Q$2,Eventos!$D:$D,$C$2,Eventos!$F:$F,$L417),"")</f>
        <v>0</v>
      </c>
      <c r="R417" s="59">
        <f>SUMIFS(Eventos!$G:$G,Eventos!$F:$F,$L417,Eventos!$D:$D,$C$2,Eventos!$B:$B,PANES_SEMANALES[[#ALL],[SÁBADO]])</f>
        <v>0</v>
      </c>
      <c r="S417" s="59">
        <f>SUMIFS(Eventos!$G:$G,Eventos!$F:$F,$L417,Eventos!$D:$D,$C$2,Eventos!$B:$B,PANES_SEMANALES[[#ALL],[DOMINGO]])</f>
        <v>0</v>
      </c>
      <c r="T417" s="59">
        <f t="shared" si="1"/>
        <v>0</v>
      </c>
    </row>
    <row r="418" ht="22.5" customHeight="1">
      <c r="M418" s="59">
        <f>SUMIFS(Eventos!$G:$G,Eventos!$F:$F,$L418,Eventos!$D:$D,$C$2,Eventos!$B:$B,PANES_SEMANALES[[#ALL],[LUNES]])</f>
        <v>0</v>
      </c>
      <c r="N418" s="59">
        <f>SUMIFS(Eventos!$G:$G,Eventos!$F:$F,$L418,Eventos!$D:$D,$C$2,Eventos!$B:$B,PANES_SEMANALES[[#ALL],[MARTES]])</f>
        <v>0</v>
      </c>
      <c r="O418" s="59">
        <f>SUMIFS(Eventos!$G:$G,Eventos!$F:$F,$L418,Eventos!$D:$D,$C$2,Eventos!$B:$B,PANES_SEMANALES[[#ALL],[MIÉRCOLES]])</f>
        <v>0</v>
      </c>
      <c r="P418" s="59">
        <f>SUMIFS(Eventos!$G:$G,Eventos!$F:$F,$L418,Eventos!$D:$D,$C$2,Eventos!$B:$B,PANES_SEMANALES[[#ALL],[JUEVES]])</f>
        <v>0</v>
      </c>
      <c r="Q418" s="59">
        <f>IF(P418&lt;&gt;"",SUMIFS(Eventos!$G:$G,Eventos!$B:$B,Q$2,Eventos!$D:$D,$C$2,Eventos!$F:$F,$L418),"")</f>
        <v>0</v>
      </c>
      <c r="R418" s="59">
        <f>SUMIFS(Eventos!$G:$G,Eventos!$F:$F,$L418,Eventos!$D:$D,$C$2,Eventos!$B:$B,PANES_SEMANALES[[#ALL],[SÁBADO]])</f>
        <v>0</v>
      </c>
      <c r="S418" s="59">
        <f>SUMIFS(Eventos!$G:$G,Eventos!$F:$F,$L418,Eventos!$D:$D,$C$2,Eventos!$B:$B,PANES_SEMANALES[[#ALL],[DOMINGO]])</f>
        <v>0</v>
      </c>
      <c r="T418" s="59">
        <f t="shared" si="1"/>
        <v>0</v>
      </c>
    </row>
    <row r="419" ht="22.5" customHeight="1">
      <c r="M419" s="59">
        <f>SUMIFS(Eventos!$G:$G,Eventos!$F:$F,$L419,Eventos!$D:$D,$C$2,Eventos!$B:$B,PANES_SEMANALES[[#ALL],[LUNES]])</f>
        <v>0</v>
      </c>
      <c r="N419" s="59">
        <f>SUMIFS(Eventos!$G:$G,Eventos!$F:$F,$L419,Eventos!$D:$D,$C$2,Eventos!$B:$B,PANES_SEMANALES[[#ALL],[MARTES]])</f>
        <v>0</v>
      </c>
      <c r="O419" s="59">
        <f>SUMIFS(Eventos!$G:$G,Eventos!$F:$F,$L419,Eventos!$D:$D,$C$2,Eventos!$B:$B,PANES_SEMANALES[[#ALL],[MIÉRCOLES]])</f>
        <v>0</v>
      </c>
      <c r="P419" s="59">
        <f>SUMIFS(Eventos!$G:$G,Eventos!$F:$F,$L419,Eventos!$D:$D,$C$2,Eventos!$B:$B,PANES_SEMANALES[[#ALL],[JUEVES]])</f>
        <v>0</v>
      </c>
      <c r="Q419" s="59">
        <f>IF(P419&lt;&gt;"",SUMIFS(Eventos!$G:$G,Eventos!$B:$B,Q$2,Eventos!$D:$D,$C$2,Eventos!$F:$F,$L419),"")</f>
        <v>0</v>
      </c>
      <c r="R419" s="59">
        <f>SUMIFS(Eventos!$G:$G,Eventos!$F:$F,$L419,Eventos!$D:$D,$C$2,Eventos!$B:$B,PANES_SEMANALES[[#ALL],[SÁBADO]])</f>
        <v>0</v>
      </c>
      <c r="S419" s="59">
        <f>SUMIFS(Eventos!$G:$G,Eventos!$F:$F,$L419,Eventos!$D:$D,$C$2,Eventos!$B:$B,PANES_SEMANALES[[#ALL],[DOMINGO]])</f>
        <v>0</v>
      </c>
      <c r="T419" s="59">
        <f t="shared" si="1"/>
        <v>0</v>
      </c>
    </row>
    <row r="420" ht="22.5" customHeight="1">
      <c r="M420" s="59">
        <f>SUMIFS(Eventos!$G:$G,Eventos!$F:$F,$L420,Eventos!$D:$D,$C$2,Eventos!$B:$B,PANES_SEMANALES[[#ALL],[LUNES]])</f>
        <v>0</v>
      </c>
      <c r="N420" s="59">
        <f>SUMIFS(Eventos!$G:$G,Eventos!$F:$F,$L420,Eventos!$D:$D,$C$2,Eventos!$B:$B,PANES_SEMANALES[[#ALL],[MARTES]])</f>
        <v>0</v>
      </c>
      <c r="O420" s="59">
        <f>SUMIFS(Eventos!$G:$G,Eventos!$F:$F,$L420,Eventos!$D:$D,$C$2,Eventos!$B:$B,PANES_SEMANALES[[#ALL],[MIÉRCOLES]])</f>
        <v>0</v>
      </c>
      <c r="P420" s="59">
        <f>SUMIFS(Eventos!$G:$G,Eventos!$F:$F,$L420,Eventos!$D:$D,$C$2,Eventos!$B:$B,PANES_SEMANALES[[#ALL],[JUEVES]])</f>
        <v>0</v>
      </c>
      <c r="Q420" s="59">
        <f>IF(P420&lt;&gt;"",SUMIFS(Eventos!$G:$G,Eventos!$B:$B,Q$2,Eventos!$D:$D,$C$2,Eventos!$F:$F,$L420),"")</f>
        <v>0</v>
      </c>
      <c r="R420" s="59">
        <f>SUMIFS(Eventos!$G:$G,Eventos!$F:$F,$L420,Eventos!$D:$D,$C$2,Eventos!$B:$B,PANES_SEMANALES[[#ALL],[SÁBADO]])</f>
        <v>0</v>
      </c>
      <c r="S420" s="59">
        <f>SUMIFS(Eventos!$G:$G,Eventos!$F:$F,$L420,Eventos!$D:$D,$C$2,Eventos!$B:$B,PANES_SEMANALES[[#ALL],[DOMINGO]])</f>
        <v>0</v>
      </c>
      <c r="T420" s="59">
        <f t="shared" si="1"/>
        <v>0</v>
      </c>
    </row>
    <row r="421" ht="22.5" customHeight="1">
      <c r="M421" s="59">
        <f>SUMIFS(Eventos!$G:$G,Eventos!$F:$F,$L421,Eventos!$D:$D,$C$2,Eventos!$B:$B,PANES_SEMANALES[[#ALL],[LUNES]])</f>
        <v>0</v>
      </c>
      <c r="N421" s="59">
        <f>SUMIFS(Eventos!$G:$G,Eventos!$F:$F,$L421,Eventos!$D:$D,$C$2,Eventos!$B:$B,PANES_SEMANALES[[#ALL],[MARTES]])</f>
        <v>0</v>
      </c>
      <c r="O421" s="59">
        <f>SUMIFS(Eventos!$G:$G,Eventos!$F:$F,$L421,Eventos!$D:$D,$C$2,Eventos!$B:$B,PANES_SEMANALES[[#ALL],[MIÉRCOLES]])</f>
        <v>0</v>
      </c>
      <c r="P421" s="59">
        <f>SUMIFS(Eventos!$G:$G,Eventos!$F:$F,$L421,Eventos!$D:$D,$C$2,Eventos!$B:$B,PANES_SEMANALES[[#ALL],[JUEVES]])</f>
        <v>0</v>
      </c>
      <c r="Q421" s="59">
        <f>IF(P421&lt;&gt;"",SUMIFS(Eventos!$G:$G,Eventos!$B:$B,Q$2,Eventos!$D:$D,$C$2,Eventos!$F:$F,$L421),"")</f>
        <v>0</v>
      </c>
      <c r="R421" s="59">
        <f>SUMIFS(Eventos!$G:$G,Eventos!$F:$F,$L421,Eventos!$D:$D,$C$2,Eventos!$B:$B,PANES_SEMANALES[[#ALL],[SÁBADO]])</f>
        <v>0</v>
      </c>
      <c r="S421" s="59">
        <f>SUMIFS(Eventos!$G:$G,Eventos!$F:$F,$L421,Eventos!$D:$D,$C$2,Eventos!$B:$B,PANES_SEMANALES[[#ALL],[DOMINGO]])</f>
        <v>0</v>
      </c>
      <c r="T421" s="59">
        <f t="shared" si="1"/>
        <v>0</v>
      </c>
    </row>
    <row r="422" ht="22.5" customHeight="1">
      <c r="M422" s="59">
        <f>SUMIFS(Eventos!$G:$G,Eventos!$F:$F,$L422,Eventos!$D:$D,$C$2,Eventos!$B:$B,PANES_SEMANALES[[#ALL],[LUNES]])</f>
        <v>0</v>
      </c>
      <c r="N422" s="59">
        <f>SUMIFS(Eventos!$G:$G,Eventos!$F:$F,$L422,Eventos!$D:$D,$C$2,Eventos!$B:$B,PANES_SEMANALES[[#ALL],[MARTES]])</f>
        <v>0</v>
      </c>
      <c r="O422" s="59">
        <f>SUMIFS(Eventos!$G:$G,Eventos!$F:$F,$L422,Eventos!$D:$D,$C$2,Eventos!$B:$B,PANES_SEMANALES[[#ALL],[MIÉRCOLES]])</f>
        <v>0</v>
      </c>
      <c r="P422" s="59">
        <f>SUMIFS(Eventos!$G:$G,Eventos!$F:$F,$L422,Eventos!$D:$D,$C$2,Eventos!$B:$B,PANES_SEMANALES[[#ALL],[JUEVES]])</f>
        <v>0</v>
      </c>
      <c r="Q422" s="59">
        <f>IF(P422&lt;&gt;"",SUMIFS(Eventos!$G:$G,Eventos!$B:$B,Q$2,Eventos!$D:$D,$C$2,Eventos!$F:$F,$L422),"")</f>
        <v>0</v>
      </c>
      <c r="R422" s="59">
        <f>SUMIFS(Eventos!$G:$G,Eventos!$F:$F,$L422,Eventos!$D:$D,$C$2,Eventos!$B:$B,PANES_SEMANALES[[#ALL],[SÁBADO]])</f>
        <v>0</v>
      </c>
      <c r="S422" s="59">
        <f>SUMIFS(Eventos!$G:$G,Eventos!$F:$F,$L422,Eventos!$D:$D,$C$2,Eventos!$B:$B,PANES_SEMANALES[[#ALL],[DOMINGO]])</f>
        <v>0</v>
      </c>
      <c r="T422" s="59">
        <f t="shared" si="1"/>
        <v>0</v>
      </c>
    </row>
    <row r="423" ht="22.5" customHeight="1">
      <c r="M423" s="59">
        <f>SUMIFS(Eventos!$G:$G,Eventos!$F:$F,$L423,Eventos!$D:$D,$C$2,Eventos!$B:$B,PANES_SEMANALES[[#ALL],[LUNES]])</f>
        <v>0</v>
      </c>
      <c r="N423" s="59">
        <f>SUMIFS(Eventos!$G:$G,Eventos!$F:$F,$L423,Eventos!$D:$D,$C$2,Eventos!$B:$B,PANES_SEMANALES[[#ALL],[MARTES]])</f>
        <v>0</v>
      </c>
      <c r="O423" s="59">
        <f>SUMIFS(Eventos!$G:$G,Eventos!$F:$F,$L423,Eventos!$D:$D,$C$2,Eventos!$B:$B,PANES_SEMANALES[[#ALL],[MIÉRCOLES]])</f>
        <v>0</v>
      </c>
      <c r="P423" s="59">
        <f>SUMIFS(Eventos!$G:$G,Eventos!$F:$F,$L423,Eventos!$D:$D,$C$2,Eventos!$B:$B,PANES_SEMANALES[[#ALL],[JUEVES]])</f>
        <v>0</v>
      </c>
      <c r="Q423" s="59">
        <f>IF(P423&lt;&gt;"",SUMIFS(Eventos!$G:$G,Eventos!$B:$B,Q$2,Eventos!$D:$D,$C$2,Eventos!$F:$F,$L423),"")</f>
        <v>0</v>
      </c>
      <c r="R423" s="59">
        <f>SUMIFS(Eventos!$G:$G,Eventos!$F:$F,$L423,Eventos!$D:$D,$C$2,Eventos!$B:$B,PANES_SEMANALES[[#ALL],[SÁBADO]])</f>
        <v>0</v>
      </c>
      <c r="S423" s="59">
        <f>SUMIFS(Eventos!$G:$G,Eventos!$F:$F,$L423,Eventos!$D:$D,$C$2,Eventos!$B:$B,PANES_SEMANALES[[#ALL],[DOMINGO]])</f>
        <v>0</v>
      </c>
      <c r="T423" s="59">
        <f t="shared" si="1"/>
        <v>0</v>
      </c>
    </row>
    <row r="424" ht="22.5" customHeight="1">
      <c r="M424" s="59">
        <f>SUMIFS(Eventos!$G:$G,Eventos!$F:$F,$L424,Eventos!$D:$D,$C$2,Eventos!$B:$B,PANES_SEMANALES[[#ALL],[LUNES]])</f>
        <v>0</v>
      </c>
      <c r="N424" s="59">
        <f>SUMIFS(Eventos!$G:$G,Eventos!$F:$F,$L424,Eventos!$D:$D,$C$2,Eventos!$B:$B,PANES_SEMANALES[[#ALL],[MARTES]])</f>
        <v>0</v>
      </c>
      <c r="O424" s="59">
        <f>SUMIFS(Eventos!$G:$G,Eventos!$F:$F,$L424,Eventos!$D:$D,$C$2,Eventos!$B:$B,PANES_SEMANALES[[#ALL],[MIÉRCOLES]])</f>
        <v>0</v>
      </c>
      <c r="P424" s="59">
        <f>SUMIFS(Eventos!$G:$G,Eventos!$F:$F,$L424,Eventos!$D:$D,$C$2,Eventos!$B:$B,PANES_SEMANALES[[#ALL],[JUEVES]])</f>
        <v>0</v>
      </c>
      <c r="Q424" s="59">
        <f>IF(P424&lt;&gt;"",SUMIFS(Eventos!$G:$G,Eventos!$B:$B,Q$2,Eventos!$D:$D,$C$2,Eventos!$F:$F,$L424),"")</f>
        <v>0</v>
      </c>
      <c r="R424" s="59">
        <f>SUMIFS(Eventos!$G:$G,Eventos!$F:$F,$L424,Eventos!$D:$D,$C$2,Eventos!$B:$B,PANES_SEMANALES[[#ALL],[SÁBADO]])</f>
        <v>0</v>
      </c>
      <c r="S424" s="59">
        <f>SUMIFS(Eventos!$G:$G,Eventos!$F:$F,$L424,Eventos!$D:$D,$C$2,Eventos!$B:$B,PANES_SEMANALES[[#ALL],[DOMINGO]])</f>
        <v>0</v>
      </c>
      <c r="T424" s="59">
        <f t="shared" si="1"/>
        <v>0</v>
      </c>
    </row>
    <row r="425" ht="22.5" customHeight="1">
      <c r="M425" s="59">
        <f>SUMIFS(Eventos!$G:$G,Eventos!$F:$F,$L425,Eventos!$D:$D,$C$2,Eventos!$B:$B,PANES_SEMANALES[[#ALL],[LUNES]])</f>
        <v>0</v>
      </c>
      <c r="N425" s="59">
        <f>SUMIFS(Eventos!$G:$G,Eventos!$F:$F,$L425,Eventos!$D:$D,$C$2,Eventos!$B:$B,PANES_SEMANALES[[#ALL],[MARTES]])</f>
        <v>0</v>
      </c>
      <c r="O425" s="59">
        <f>SUMIFS(Eventos!$G:$G,Eventos!$F:$F,$L425,Eventos!$D:$D,$C$2,Eventos!$B:$B,PANES_SEMANALES[[#ALL],[MIÉRCOLES]])</f>
        <v>0</v>
      </c>
      <c r="P425" s="59">
        <f>SUMIFS(Eventos!$G:$G,Eventos!$F:$F,$L425,Eventos!$D:$D,$C$2,Eventos!$B:$B,PANES_SEMANALES[[#ALL],[JUEVES]])</f>
        <v>0</v>
      </c>
      <c r="Q425" s="59">
        <f>IF(P425&lt;&gt;"",SUMIFS(Eventos!$G:$G,Eventos!$B:$B,Q$2,Eventos!$D:$D,$C$2,Eventos!$F:$F,$L425),"")</f>
        <v>0</v>
      </c>
      <c r="R425" s="59">
        <f>SUMIFS(Eventos!$G:$G,Eventos!$F:$F,$L425,Eventos!$D:$D,$C$2,Eventos!$B:$B,PANES_SEMANALES[[#ALL],[SÁBADO]])</f>
        <v>0</v>
      </c>
      <c r="S425" s="59">
        <f>SUMIFS(Eventos!$G:$G,Eventos!$F:$F,$L425,Eventos!$D:$D,$C$2,Eventos!$B:$B,PANES_SEMANALES[[#ALL],[DOMINGO]])</f>
        <v>0</v>
      </c>
      <c r="T425" s="59">
        <f t="shared" si="1"/>
        <v>0</v>
      </c>
    </row>
    <row r="426" ht="22.5" customHeight="1">
      <c r="M426" s="59">
        <f>SUMIFS(Eventos!$G:$G,Eventos!$F:$F,$L426,Eventos!$D:$D,$C$2,Eventos!$B:$B,PANES_SEMANALES[[#ALL],[LUNES]])</f>
        <v>0</v>
      </c>
      <c r="N426" s="59">
        <f>SUMIFS(Eventos!$G:$G,Eventos!$F:$F,$L426,Eventos!$D:$D,$C$2,Eventos!$B:$B,PANES_SEMANALES[[#ALL],[MARTES]])</f>
        <v>0</v>
      </c>
      <c r="O426" s="59">
        <f>SUMIFS(Eventos!$G:$G,Eventos!$F:$F,$L426,Eventos!$D:$D,$C$2,Eventos!$B:$B,PANES_SEMANALES[[#ALL],[MIÉRCOLES]])</f>
        <v>0</v>
      </c>
      <c r="P426" s="59">
        <f>SUMIFS(Eventos!$G:$G,Eventos!$F:$F,$L426,Eventos!$D:$D,$C$2,Eventos!$B:$B,PANES_SEMANALES[[#ALL],[JUEVES]])</f>
        <v>0</v>
      </c>
      <c r="Q426" s="59">
        <f>IF(P426&lt;&gt;"",SUMIFS(Eventos!$G:$G,Eventos!$B:$B,Q$2,Eventos!$D:$D,$C$2,Eventos!$F:$F,$L426),"")</f>
        <v>0</v>
      </c>
      <c r="R426" s="59">
        <f>SUMIFS(Eventos!$G:$G,Eventos!$F:$F,$L426,Eventos!$D:$D,$C$2,Eventos!$B:$B,PANES_SEMANALES[[#ALL],[SÁBADO]])</f>
        <v>0</v>
      </c>
      <c r="S426" s="59">
        <f>SUMIFS(Eventos!$G:$G,Eventos!$F:$F,$L426,Eventos!$D:$D,$C$2,Eventos!$B:$B,PANES_SEMANALES[[#ALL],[DOMINGO]])</f>
        <v>0</v>
      </c>
      <c r="T426" s="59">
        <f t="shared" si="1"/>
        <v>0</v>
      </c>
    </row>
    <row r="427" ht="22.5" customHeight="1">
      <c r="M427" s="59">
        <f>SUMIFS(Eventos!$G:$G,Eventos!$F:$F,$L427,Eventos!$D:$D,$C$2,Eventos!$B:$B,PANES_SEMANALES[[#ALL],[LUNES]])</f>
        <v>0</v>
      </c>
      <c r="N427" s="59">
        <f>SUMIFS(Eventos!$G:$G,Eventos!$F:$F,$L427,Eventos!$D:$D,$C$2,Eventos!$B:$B,PANES_SEMANALES[[#ALL],[MARTES]])</f>
        <v>0</v>
      </c>
      <c r="O427" s="59">
        <f>SUMIFS(Eventos!$G:$G,Eventos!$F:$F,$L427,Eventos!$D:$D,$C$2,Eventos!$B:$B,PANES_SEMANALES[[#ALL],[MIÉRCOLES]])</f>
        <v>0</v>
      </c>
      <c r="P427" s="59">
        <f>SUMIFS(Eventos!$G:$G,Eventos!$F:$F,$L427,Eventos!$D:$D,$C$2,Eventos!$B:$B,PANES_SEMANALES[[#ALL],[JUEVES]])</f>
        <v>0</v>
      </c>
      <c r="Q427" s="59">
        <f>IF(P427&lt;&gt;"",SUMIFS(Eventos!$G:$G,Eventos!$B:$B,Q$2,Eventos!$D:$D,$C$2,Eventos!$F:$F,$L427),"")</f>
        <v>0</v>
      </c>
      <c r="R427" s="59">
        <f>SUMIFS(Eventos!$G:$G,Eventos!$F:$F,$L427,Eventos!$D:$D,$C$2,Eventos!$B:$B,PANES_SEMANALES[[#ALL],[SÁBADO]])</f>
        <v>0</v>
      </c>
      <c r="S427" s="59">
        <f>SUMIFS(Eventos!$G:$G,Eventos!$F:$F,$L427,Eventos!$D:$D,$C$2,Eventos!$B:$B,PANES_SEMANALES[[#ALL],[DOMINGO]])</f>
        <v>0</v>
      </c>
      <c r="T427" s="59">
        <f t="shared" si="1"/>
        <v>0</v>
      </c>
    </row>
    <row r="428" ht="22.5" customHeight="1">
      <c r="M428" s="59">
        <f>SUMIFS(Eventos!$G:$G,Eventos!$F:$F,$L428,Eventos!$D:$D,$C$2,Eventos!$B:$B,PANES_SEMANALES[[#ALL],[LUNES]])</f>
        <v>0</v>
      </c>
      <c r="N428" s="59">
        <f>SUMIFS(Eventos!$G:$G,Eventos!$F:$F,$L428,Eventos!$D:$D,$C$2,Eventos!$B:$B,PANES_SEMANALES[[#ALL],[MARTES]])</f>
        <v>0</v>
      </c>
      <c r="O428" s="59">
        <f>SUMIFS(Eventos!$G:$G,Eventos!$F:$F,$L428,Eventos!$D:$D,$C$2,Eventos!$B:$B,PANES_SEMANALES[[#ALL],[MIÉRCOLES]])</f>
        <v>0</v>
      </c>
      <c r="P428" s="59">
        <f>SUMIFS(Eventos!$G:$G,Eventos!$F:$F,$L428,Eventos!$D:$D,$C$2,Eventos!$B:$B,PANES_SEMANALES[[#ALL],[JUEVES]])</f>
        <v>0</v>
      </c>
      <c r="Q428" s="59">
        <f>IF(P428&lt;&gt;"",SUMIFS(Eventos!$G:$G,Eventos!$B:$B,Q$2,Eventos!$D:$D,$C$2,Eventos!$F:$F,$L428),"")</f>
        <v>0</v>
      </c>
      <c r="R428" s="59">
        <f>SUMIFS(Eventos!$G:$G,Eventos!$F:$F,$L428,Eventos!$D:$D,$C$2,Eventos!$B:$B,PANES_SEMANALES[[#ALL],[SÁBADO]])</f>
        <v>0</v>
      </c>
      <c r="S428" s="59">
        <f>SUMIFS(Eventos!$G:$G,Eventos!$F:$F,$L428,Eventos!$D:$D,$C$2,Eventos!$B:$B,PANES_SEMANALES[[#ALL],[DOMINGO]])</f>
        <v>0</v>
      </c>
      <c r="T428" s="59">
        <f t="shared" si="1"/>
        <v>0</v>
      </c>
    </row>
    <row r="429" ht="22.5" customHeight="1">
      <c r="M429" s="59">
        <f>SUMIFS(Eventos!$G:$G,Eventos!$F:$F,$L429,Eventos!$D:$D,$C$2,Eventos!$B:$B,PANES_SEMANALES[[#ALL],[LUNES]])</f>
        <v>0</v>
      </c>
      <c r="N429" s="59">
        <f>SUMIFS(Eventos!$G:$G,Eventos!$F:$F,$L429,Eventos!$D:$D,$C$2,Eventos!$B:$B,PANES_SEMANALES[[#ALL],[MARTES]])</f>
        <v>0</v>
      </c>
      <c r="O429" s="59">
        <f>SUMIFS(Eventos!$G:$G,Eventos!$F:$F,$L429,Eventos!$D:$D,$C$2,Eventos!$B:$B,PANES_SEMANALES[[#ALL],[MIÉRCOLES]])</f>
        <v>0</v>
      </c>
      <c r="P429" s="59">
        <f>SUMIFS(Eventos!$G:$G,Eventos!$F:$F,$L429,Eventos!$D:$D,$C$2,Eventos!$B:$B,PANES_SEMANALES[[#ALL],[JUEVES]])</f>
        <v>0</v>
      </c>
      <c r="Q429" s="59">
        <f>IF(P429&lt;&gt;"",SUMIFS(Eventos!$G:$G,Eventos!$B:$B,Q$2,Eventos!$D:$D,$C$2,Eventos!$F:$F,$L429),"")</f>
        <v>0</v>
      </c>
      <c r="R429" s="59">
        <f>SUMIFS(Eventos!$G:$G,Eventos!$F:$F,$L429,Eventos!$D:$D,$C$2,Eventos!$B:$B,PANES_SEMANALES[[#ALL],[SÁBADO]])</f>
        <v>0</v>
      </c>
      <c r="S429" s="59">
        <f>SUMIFS(Eventos!$G:$G,Eventos!$F:$F,$L429,Eventos!$D:$D,$C$2,Eventos!$B:$B,PANES_SEMANALES[[#ALL],[DOMINGO]])</f>
        <v>0</v>
      </c>
      <c r="T429" s="59">
        <f t="shared" si="1"/>
        <v>0</v>
      </c>
    </row>
    <row r="430" ht="22.5" customHeight="1">
      <c r="M430" s="59">
        <f>SUMIFS(Eventos!$G:$G,Eventos!$F:$F,$L430,Eventos!$D:$D,$C$2,Eventos!$B:$B,PANES_SEMANALES[[#ALL],[LUNES]])</f>
        <v>0</v>
      </c>
      <c r="N430" s="59">
        <f>SUMIFS(Eventos!$G:$G,Eventos!$F:$F,$L430,Eventos!$D:$D,$C$2,Eventos!$B:$B,PANES_SEMANALES[[#ALL],[MARTES]])</f>
        <v>0</v>
      </c>
      <c r="O430" s="59">
        <f>SUMIFS(Eventos!$G:$G,Eventos!$F:$F,$L430,Eventos!$D:$D,$C$2,Eventos!$B:$B,PANES_SEMANALES[[#ALL],[MIÉRCOLES]])</f>
        <v>0</v>
      </c>
      <c r="P430" s="59">
        <f>SUMIFS(Eventos!$G:$G,Eventos!$F:$F,$L430,Eventos!$D:$D,$C$2,Eventos!$B:$B,PANES_SEMANALES[[#ALL],[JUEVES]])</f>
        <v>0</v>
      </c>
      <c r="Q430" s="59">
        <f>IF(P430&lt;&gt;"",SUMIFS(Eventos!$G:$G,Eventos!$B:$B,Q$2,Eventos!$D:$D,$C$2,Eventos!$F:$F,$L430),"")</f>
        <v>0</v>
      </c>
      <c r="R430" s="59">
        <f>SUMIFS(Eventos!$G:$G,Eventos!$F:$F,$L430,Eventos!$D:$D,$C$2,Eventos!$B:$B,PANES_SEMANALES[[#ALL],[SÁBADO]])</f>
        <v>0</v>
      </c>
      <c r="S430" s="59">
        <f>SUMIFS(Eventos!$G:$G,Eventos!$F:$F,$L430,Eventos!$D:$D,$C$2,Eventos!$B:$B,PANES_SEMANALES[[#ALL],[DOMINGO]])</f>
        <v>0</v>
      </c>
      <c r="T430" s="59">
        <f t="shared" si="1"/>
        <v>0</v>
      </c>
    </row>
    <row r="431" ht="22.5" customHeight="1">
      <c r="M431" s="59">
        <f>SUMIFS(Eventos!$G:$G,Eventos!$F:$F,$L431,Eventos!$D:$D,$C$2,Eventos!$B:$B,PANES_SEMANALES[[#ALL],[LUNES]])</f>
        <v>0</v>
      </c>
      <c r="N431" s="59">
        <f>SUMIFS(Eventos!$G:$G,Eventos!$F:$F,$L431,Eventos!$D:$D,$C$2,Eventos!$B:$B,PANES_SEMANALES[[#ALL],[MARTES]])</f>
        <v>0</v>
      </c>
      <c r="O431" s="59">
        <f>SUMIFS(Eventos!$G:$G,Eventos!$F:$F,$L431,Eventos!$D:$D,$C$2,Eventos!$B:$B,PANES_SEMANALES[[#ALL],[MIÉRCOLES]])</f>
        <v>0</v>
      </c>
      <c r="P431" s="59">
        <f>SUMIFS(Eventos!$G:$G,Eventos!$F:$F,$L431,Eventos!$D:$D,$C$2,Eventos!$B:$B,PANES_SEMANALES[[#ALL],[JUEVES]])</f>
        <v>0</v>
      </c>
      <c r="Q431" s="59">
        <f>IF(P431&lt;&gt;"",SUMIFS(Eventos!$G:$G,Eventos!$B:$B,Q$2,Eventos!$D:$D,$C$2,Eventos!$F:$F,$L431),"")</f>
        <v>0</v>
      </c>
      <c r="R431" s="59">
        <f>SUMIFS(Eventos!$G:$G,Eventos!$F:$F,$L431,Eventos!$D:$D,$C$2,Eventos!$B:$B,PANES_SEMANALES[[#ALL],[SÁBADO]])</f>
        <v>0</v>
      </c>
      <c r="S431" s="59">
        <f>SUMIFS(Eventos!$G:$G,Eventos!$F:$F,$L431,Eventos!$D:$D,$C$2,Eventos!$B:$B,PANES_SEMANALES[[#ALL],[DOMINGO]])</f>
        <v>0</v>
      </c>
      <c r="T431" s="59">
        <f t="shared" si="1"/>
        <v>0</v>
      </c>
    </row>
    <row r="432" ht="22.5" customHeight="1">
      <c r="M432" s="59">
        <f>SUMIFS(Eventos!$G:$G,Eventos!$F:$F,$L432,Eventos!$D:$D,$C$2,Eventos!$B:$B,PANES_SEMANALES[[#ALL],[LUNES]])</f>
        <v>0</v>
      </c>
      <c r="N432" s="59">
        <f>SUMIFS(Eventos!$G:$G,Eventos!$F:$F,$L432,Eventos!$D:$D,$C$2,Eventos!$B:$B,PANES_SEMANALES[[#ALL],[MARTES]])</f>
        <v>0</v>
      </c>
      <c r="O432" s="59">
        <f>SUMIFS(Eventos!$G:$G,Eventos!$F:$F,$L432,Eventos!$D:$D,$C$2,Eventos!$B:$B,PANES_SEMANALES[[#ALL],[MIÉRCOLES]])</f>
        <v>0</v>
      </c>
      <c r="P432" s="59">
        <f>SUMIFS(Eventos!$G:$G,Eventos!$F:$F,$L432,Eventos!$D:$D,$C$2,Eventos!$B:$B,PANES_SEMANALES[[#ALL],[JUEVES]])</f>
        <v>0</v>
      </c>
      <c r="Q432" s="59">
        <f>IF(P432&lt;&gt;"",SUMIFS(Eventos!$G:$G,Eventos!$B:$B,Q$2,Eventos!$D:$D,$C$2,Eventos!$F:$F,$L432),"")</f>
        <v>0</v>
      </c>
      <c r="R432" s="59">
        <f>SUMIFS(Eventos!$G:$G,Eventos!$F:$F,$L432,Eventos!$D:$D,$C$2,Eventos!$B:$B,PANES_SEMANALES[[#ALL],[SÁBADO]])</f>
        <v>0</v>
      </c>
      <c r="S432" s="59">
        <f>SUMIFS(Eventos!$G:$G,Eventos!$F:$F,$L432,Eventos!$D:$D,$C$2,Eventos!$B:$B,PANES_SEMANALES[[#ALL],[DOMINGO]])</f>
        <v>0</v>
      </c>
      <c r="T432" s="59">
        <f t="shared" si="1"/>
        <v>0</v>
      </c>
    </row>
    <row r="433" ht="22.5" customHeight="1">
      <c r="M433" s="59">
        <f>SUMIFS(Eventos!$G:$G,Eventos!$F:$F,$L433,Eventos!$D:$D,$C$2,Eventos!$B:$B,PANES_SEMANALES[[#ALL],[LUNES]])</f>
        <v>0</v>
      </c>
      <c r="N433" s="59">
        <f>SUMIFS(Eventos!$G:$G,Eventos!$F:$F,$L433,Eventos!$D:$D,$C$2,Eventos!$B:$B,PANES_SEMANALES[[#ALL],[MARTES]])</f>
        <v>0</v>
      </c>
      <c r="O433" s="59">
        <f>SUMIFS(Eventos!$G:$G,Eventos!$F:$F,$L433,Eventos!$D:$D,$C$2,Eventos!$B:$B,PANES_SEMANALES[[#ALL],[MIÉRCOLES]])</f>
        <v>0</v>
      </c>
      <c r="P433" s="59">
        <f>SUMIFS(Eventos!$G:$G,Eventos!$F:$F,$L433,Eventos!$D:$D,$C$2,Eventos!$B:$B,PANES_SEMANALES[[#ALL],[JUEVES]])</f>
        <v>0</v>
      </c>
      <c r="Q433" s="59">
        <f>IF(P433&lt;&gt;"",SUMIFS(Eventos!$G:$G,Eventos!$B:$B,Q$2,Eventos!$D:$D,$C$2,Eventos!$F:$F,$L433),"")</f>
        <v>0</v>
      </c>
      <c r="R433" s="59">
        <f>SUMIFS(Eventos!$G:$G,Eventos!$F:$F,$L433,Eventos!$D:$D,$C$2,Eventos!$B:$B,PANES_SEMANALES[[#ALL],[SÁBADO]])</f>
        <v>0</v>
      </c>
      <c r="S433" s="59">
        <f>SUMIFS(Eventos!$G:$G,Eventos!$F:$F,$L433,Eventos!$D:$D,$C$2,Eventos!$B:$B,PANES_SEMANALES[[#ALL],[DOMINGO]])</f>
        <v>0</v>
      </c>
      <c r="T433" s="59">
        <f t="shared" si="1"/>
        <v>0</v>
      </c>
    </row>
    <row r="434" ht="22.5" customHeight="1">
      <c r="M434" s="59">
        <f>SUMIFS(Eventos!$G:$G,Eventos!$F:$F,$L434,Eventos!$D:$D,$C$2,Eventos!$B:$B,PANES_SEMANALES[[#ALL],[LUNES]])</f>
        <v>0</v>
      </c>
      <c r="N434" s="59">
        <f>SUMIFS(Eventos!$G:$G,Eventos!$F:$F,$L434,Eventos!$D:$D,$C$2,Eventos!$B:$B,PANES_SEMANALES[[#ALL],[MARTES]])</f>
        <v>0</v>
      </c>
      <c r="O434" s="59">
        <f>SUMIFS(Eventos!$G:$G,Eventos!$F:$F,$L434,Eventos!$D:$D,$C$2,Eventos!$B:$B,PANES_SEMANALES[[#ALL],[MIÉRCOLES]])</f>
        <v>0</v>
      </c>
      <c r="P434" s="59">
        <f>SUMIFS(Eventos!$G:$G,Eventos!$F:$F,$L434,Eventos!$D:$D,$C$2,Eventos!$B:$B,PANES_SEMANALES[[#ALL],[JUEVES]])</f>
        <v>0</v>
      </c>
      <c r="Q434" s="59">
        <f>IF(P434&lt;&gt;"",SUMIFS(Eventos!$G:$G,Eventos!$B:$B,Q$2,Eventos!$D:$D,$C$2,Eventos!$F:$F,$L434),"")</f>
        <v>0</v>
      </c>
      <c r="R434" s="59">
        <f>SUMIFS(Eventos!$G:$G,Eventos!$F:$F,$L434,Eventos!$D:$D,$C$2,Eventos!$B:$B,PANES_SEMANALES[[#ALL],[SÁBADO]])</f>
        <v>0</v>
      </c>
      <c r="S434" s="59">
        <f>SUMIFS(Eventos!$G:$G,Eventos!$F:$F,$L434,Eventos!$D:$D,$C$2,Eventos!$B:$B,PANES_SEMANALES[[#ALL],[DOMINGO]])</f>
        <v>0</v>
      </c>
      <c r="T434" s="59">
        <f t="shared" si="1"/>
        <v>0</v>
      </c>
    </row>
    <row r="435" ht="22.5" customHeight="1">
      <c r="M435" s="59">
        <f>SUMIFS(Eventos!$G:$G,Eventos!$F:$F,$L435,Eventos!$D:$D,$C$2,Eventos!$B:$B,PANES_SEMANALES[[#ALL],[LUNES]])</f>
        <v>0</v>
      </c>
      <c r="N435" s="59">
        <f>SUMIFS(Eventos!$G:$G,Eventos!$F:$F,$L435,Eventos!$D:$D,$C$2,Eventos!$B:$B,PANES_SEMANALES[[#ALL],[MARTES]])</f>
        <v>0</v>
      </c>
      <c r="O435" s="59">
        <f>SUMIFS(Eventos!$G:$G,Eventos!$F:$F,$L435,Eventos!$D:$D,$C$2,Eventos!$B:$B,PANES_SEMANALES[[#ALL],[MIÉRCOLES]])</f>
        <v>0</v>
      </c>
      <c r="P435" s="59">
        <f>SUMIFS(Eventos!$G:$G,Eventos!$F:$F,$L435,Eventos!$D:$D,$C$2,Eventos!$B:$B,PANES_SEMANALES[[#ALL],[JUEVES]])</f>
        <v>0</v>
      </c>
      <c r="Q435" s="59">
        <f>IF(P435&lt;&gt;"",SUMIFS(Eventos!$G:$G,Eventos!$B:$B,Q$2,Eventos!$D:$D,$C$2,Eventos!$F:$F,$L435),"")</f>
        <v>0</v>
      </c>
      <c r="R435" s="59">
        <f>SUMIFS(Eventos!$G:$G,Eventos!$F:$F,$L435,Eventos!$D:$D,$C$2,Eventos!$B:$B,PANES_SEMANALES[[#ALL],[SÁBADO]])</f>
        <v>0</v>
      </c>
      <c r="S435" s="59">
        <f>SUMIFS(Eventos!$G:$G,Eventos!$F:$F,$L435,Eventos!$D:$D,$C$2,Eventos!$B:$B,PANES_SEMANALES[[#ALL],[DOMINGO]])</f>
        <v>0</v>
      </c>
      <c r="T435" s="59">
        <f t="shared" si="1"/>
        <v>0</v>
      </c>
    </row>
    <row r="436" ht="22.5" customHeight="1">
      <c r="M436" s="59">
        <f>SUMIFS(Eventos!$G:$G,Eventos!$F:$F,$L436,Eventos!$D:$D,$C$2,Eventos!$B:$B,PANES_SEMANALES[[#ALL],[LUNES]])</f>
        <v>0</v>
      </c>
      <c r="N436" s="59">
        <f>SUMIFS(Eventos!$G:$G,Eventos!$F:$F,$L436,Eventos!$D:$D,$C$2,Eventos!$B:$B,PANES_SEMANALES[[#ALL],[MARTES]])</f>
        <v>0</v>
      </c>
      <c r="O436" s="59">
        <f>SUMIFS(Eventos!$G:$G,Eventos!$F:$F,$L436,Eventos!$D:$D,$C$2,Eventos!$B:$B,PANES_SEMANALES[[#ALL],[MIÉRCOLES]])</f>
        <v>0</v>
      </c>
      <c r="P436" s="59">
        <f>SUMIFS(Eventos!$G:$G,Eventos!$F:$F,$L436,Eventos!$D:$D,$C$2,Eventos!$B:$B,PANES_SEMANALES[[#ALL],[JUEVES]])</f>
        <v>0</v>
      </c>
      <c r="Q436" s="59">
        <f>IF(P436&lt;&gt;"",SUMIFS(Eventos!$G:$G,Eventos!$B:$B,Q$2,Eventos!$D:$D,$C$2,Eventos!$F:$F,$L436),"")</f>
        <v>0</v>
      </c>
      <c r="R436" s="59">
        <f>SUMIFS(Eventos!$G:$G,Eventos!$F:$F,$L436,Eventos!$D:$D,$C$2,Eventos!$B:$B,PANES_SEMANALES[[#ALL],[SÁBADO]])</f>
        <v>0</v>
      </c>
      <c r="S436" s="59">
        <f>SUMIFS(Eventos!$G:$G,Eventos!$F:$F,$L436,Eventos!$D:$D,$C$2,Eventos!$B:$B,PANES_SEMANALES[[#ALL],[DOMINGO]])</f>
        <v>0</v>
      </c>
      <c r="T436" s="59">
        <f t="shared" si="1"/>
        <v>0</v>
      </c>
    </row>
    <row r="437" ht="22.5" customHeight="1">
      <c r="M437" s="59">
        <f>SUMIFS(Eventos!$G:$G,Eventos!$F:$F,$L437,Eventos!$D:$D,$C$2,Eventos!$B:$B,PANES_SEMANALES[[#ALL],[LUNES]])</f>
        <v>0</v>
      </c>
      <c r="N437" s="59">
        <f>SUMIFS(Eventos!$G:$G,Eventos!$F:$F,$L437,Eventos!$D:$D,$C$2,Eventos!$B:$B,PANES_SEMANALES[[#ALL],[MARTES]])</f>
        <v>0</v>
      </c>
      <c r="O437" s="59">
        <f>SUMIFS(Eventos!$G:$G,Eventos!$F:$F,$L437,Eventos!$D:$D,$C$2,Eventos!$B:$B,PANES_SEMANALES[[#ALL],[MIÉRCOLES]])</f>
        <v>0</v>
      </c>
      <c r="P437" s="59">
        <f>SUMIFS(Eventos!$G:$G,Eventos!$F:$F,$L437,Eventos!$D:$D,$C$2,Eventos!$B:$B,PANES_SEMANALES[[#ALL],[JUEVES]])</f>
        <v>0</v>
      </c>
      <c r="Q437" s="59">
        <f>IF(P437&lt;&gt;"",SUMIFS(Eventos!$G:$G,Eventos!$B:$B,Q$2,Eventos!$D:$D,$C$2,Eventos!$F:$F,$L437),"")</f>
        <v>0</v>
      </c>
      <c r="R437" s="59">
        <f>SUMIFS(Eventos!$G:$G,Eventos!$F:$F,$L437,Eventos!$D:$D,$C$2,Eventos!$B:$B,PANES_SEMANALES[[#ALL],[SÁBADO]])</f>
        <v>0</v>
      </c>
      <c r="S437" s="59">
        <f>SUMIFS(Eventos!$G:$G,Eventos!$F:$F,$L437,Eventos!$D:$D,$C$2,Eventos!$B:$B,PANES_SEMANALES[[#ALL],[DOMINGO]])</f>
        <v>0</v>
      </c>
      <c r="T437" s="59">
        <f t="shared" si="1"/>
        <v>0</v>
      </c>
    </row>
    <row r="438" ht="22.5" customHeight="1">
      <c r="M438" s="59">
        <f>SUMIFS(Eventos!$G:$G,Eventos!$F:$F,$L438,Eventos!$D:$D,$C$2,Eventos!$B:$B,PANES_SEMANALES[[#ALL],[LUNES]])</f>
        <v>0</v>
      </c>
      <c r="N438" s="59">
        <f>SUMIFS(Eventos!$G:$G,Eventos!$F:$F,$L438,Eventos!$D:$D,$C$2,Eventos!$B:$B,PANES_SEMANALES[[#ALL],[MARTES]])</f>
        <v>0</v>
      </c>
      <c r="O438" s="59">
        <f>SUMIFS(Eventos!$G:$G,Eventos!$F:$F,$L438,Eventos!$D:$D,$C$2,Eventos!$B:$B,PANES_SEMANALES[[#ALL],[MIÉRCOLES]])</f>
        <v>0</v>
      </c>
      <c r="P438" s="59">
        <f>SUMIFS(Eventos!$G:$G,Eventos!$F:$F,$L438,Eventos!$D:$D,$C$2,Eventos!$B:$B,PANES_SEMANALES[[#ALL],[JUEVES]])</f>
        <v>0</v>
      </c>
      <c r="Q438" s="59">
        <f>IF(P438&lt;&gt;"",SUMIFS(Eventos!$G:$G,Eventos!$B:$B,Q$2,Eventos!$D:$D,$C$2,Eventos!$F:$F,$L438),"")</f>
        <v>0</v>
      </c>
      <c r="R438" s="59">
        <f>SUMIFS(Eventos!$G:$G,Eventos!$F:$F,$L438,Eventos!$D:$D,$C$2,Eventos!$B:$B,PANES_SEMANALES[[#ALL],[SÁBADO]])</f>
        <v>0</v>
      </c>
      <c r="S438" s="59">
        <f>SUMIFS(Eventos!$G:$G,Eventos!$F:$F,$L438,Eventos!$D:$D,$C$2,Eventos!$B:$B,PANES_SEMANALES[[#ALL],[DOMINGO]])</f>
        <v>0</v>
      </c>
      <c r="T438" s="59">
        <f t="shared" si="1"/>
        <v>0</v>
      </c>
    </row>
    <row r="439" ht="22.5" customHeight="1">
      <c r="M439" s="59">
        <f>SUMIFS(Eventos!$G:$G,Eventos!$F:$F,$L439,Eventos!$D:$D,$C$2,Eventos!$B:$B,PANES_SEMANALES[[#ALL],[LUNES]])</f>
        <v>0</v>
      </c>
      <c r="N439" s="59">
        <f>SUMIFS(Eventos!$G:$G,Eventos!$F:$F,$L439,Eventos!$D:$D,$C$2,Eventos!$B:$B,PANES_SEMANALES[[#ALL],[MARTES]])</f>
        <v>0</v>
      </c>
      <c r="O439" s="59">
        <f>SUMIFS(Eventos!$G:$G,Eventos!$F:$F,$L439,Eventos!$D:$D,$C$2,Eventos!$B:$B,PANES_SEMANALES[[#ALL],[MIÉRCOLES]])</f>
        <v>0</v>
      </c>
      <c r="P439" s="59">
        <f>SUMIFS(Eventos!$G:$G,Eventos!$F:$F,$L439,Eventos!$D:$D,$C$2,Eventos!$B:$B,PANES_SEMANALES[[#ALL],[JUEVES]])</f>
        <v>0</v>
      </c>
      <c r="Q439" s="59">
        <f>IF(P439&lt;&gt;"",SUMIFS(Eventos!$G:$G,Eventos!$B:$B,Q$2,Eventos!$D:$D,$C$2,Eventos!$F:$F,$L439),"")</f>
        <v>0</v>
      </c>
      <c r="R439" s="59">
        <f>SUMIFS(Eventos!$G:$G,Eventos!$F:$F,$L439,Eventos!$D:$D,$C$2,Eventos!$B:$B,PANES_SEMANALES[[#ALL],[SÁBADO]])</f>
        <v>0</v>
      </c>
      <c r="S439" s="59">
        <f>SUMIFS(Eventos!$G:$G,Eventos!$F:$F,$L439,Eventos!$D:$D,$C$2,Eventos!$B:$B,PANES_SEMANALES[[#ALL],[DOMINGO]])</f>
        <v>0</v>
      </c>
      <c r="T439" s="59">
        <f t="shared" si="1"/>
        <v>0</v>
      </c>
    </row>
    <row r="440" ht="22.5" customHeight="1">
      <c r="M440" s="59">
        <f>SUMIFS(Eventos!$G:$G,Eventos!$F:$F,$L440,Eventos!$D:$D,$C$2,Eventos!$B:$B,PANES_SEMANALES[[#ALL],[LUNES]])</f>
        <v>0</v>
      </c>
      <c r="N440" s="59">
        <f>SUMIFS(Eventos!$G:$G,Eventos!$F:$F,$L440,Eventos!$D:$D,$C$2,Eventos!$B:$B,PANES_SEMANALES[[#ALL],[MARTES]])</f>
        <v>0</v>
      </c>
      <c r="O440" s="59">
        <f>SUMIFS(Eventos!$G:$G,Eventos!$F:$F,$L440,Eventos!$D:$D,$C$2,Eventos!$B:$B,PANES_SEMANALES[[#ALL],[MIÉRCOLES]])</f>
        <v>0</v>
      </c>
      <c r="P440" s="59">
        <f>SUMIFS(Eventos!$G:$G,Eventos!$F:$F,$L440,Eventos!$D:$D,$C$2,Eventos!$B:$B,PANES_SEMANALES[[#ALL],[JUEVES]])</f>
        <v>0</v>
      </c>
      <c r="Q440" s="59">
        <f>IF(P440&lt;&gt;"",SUMIFS(Eventos!$G:$G,Eventos!$B:$B,Q$2,Eventos!$D:$D,$C$2,Eventos!$F:$F,$L440),"")</f>
        <v>0</v>
      </c>
      <c r="R440" s="59">
        <f>SUMIFS(Eventos!$G:$G,Eventos!$F:$F,$L440,Eventos!$D:$D,$C$2,Eventos!$B:$B,PANES_SEMANALES[[#ALL],[SÁBADO]])</f>
        <v>0</v>
      </c>
      <c r="S440" s="59">
        <f>SUMIFS(Eventos!$G:$G,Eventos!$F:$F,$L440,Eventos!$D:$D,$C$2,Eventos!$B:$B,PANES_SEMANALES[[#ALL],[DOMINGO]])</f>
        <v>0</v>
      </c>
      <c r="T440" s="59">
        <f t="shared" si="1"/>
        <v>0</v>
      </c>
    </row>
    <row r="441" ht="22.5" customHeight="1">
      <c r="M441" s="59">
        <f>SUMIFS(Eventos!$G:$G,Eventos!$F:$F,$L441,Eventos!$D:$D,$C$2,Eventos!$B:$B,PANES_SEMANALES[[#ALL],[LUNES]])</f>
        <v>0</v>
      </c>
      <c r="N441" s="59">
        <f>SUMIFS(Eventos!$G:$G,Eventos!$F:$F,$L441,Eventos!$D:$D,$C$2,Eventos!$B:$B,PANES_SEMANALES[[#ALL],[MARTES]])</f>
        <v>0</v>
      </c>
      <c r="O441" s="59">
        <f>SUMIFS(Eventos!$G:$G,Eventos!$F:$F,$L441,Eventos!$D:$D,$C$2,Eventos!$B:$B,PANES_SEMANALES[[#ALL],[MIÉRCOLES]])</f>
        <v>0</v>
      </c>
      <c r="P441" s="59">
        <f>SUMIFS(Eventos!$G:$G,Eventos!$F:$F,$L441,Eventos!$D:$D,$C$2,Eventos!$B:$B,PANES_SEMANALES[[#ALL],[JUEVES]])</f>
        <v>0</v>
      </c>
      <c r="Q441" s="59">
        <f>IF(P441&lt;&gt;"",SUMIFS(Eventos!$G:$G,Eventos!$B:$B,Q$2,Eventos!$D:$D,$C$2,Eventos!$F:$F,$L441),"")</f>
        <v>0</v>
      </c>
      <c r="R441" s="59">
        <f>SUMIFS(Eventos!$G:$G,Eventos!$F:$F,$L441,Eventos!$D:$D,$C$2,Eventos!$B:$B,PANES_SEMANALES[[#ALL],[SÁBADO]])</f>
        <v>0</v>
      </c>
      <c r="S441" s="59">
        <f>SUMIFS(Eventos!$G:$G,Eventos!$F:$F,$L441,Eventos!$D:$D,$C$2,Eventos!$B:$B,PANES_SEMANALES[[#ALL],[DOMINGO]])</f>
        <v>0</v>
      </c>
      <c r="T441" s="59">
        <f t="shared" si="1"/>
        <v>0</v>
      </c>
    </row>
    <row r="442" ht="22.5" customHeight="1">
      <c r="M442" s="59">
        <f>SUMIFS(Eventos!$G:$G,Eventos!$F:$F,$L442,Eventos!$D:$D,$C$2,Eventos!$B:$B,PANES_SEMANALES[[#ALL],[LUNES]])</f>
        <v>0</v>
      </c>
      <c r="N442" s="59">
        <f>SUMIFS(Eventos!$G:$G,Eventos!$F:$F,$L442,Eventos!$D:$D,$C$2,Eventos!$B:$B,PANES_SEMANALES[[#ALL],[MARTES]])</f>
        <v>0</v>
      </c>
      <c r="O442" s="59">
        <f>SUMIFS(Eventos!$G:$G,Eventos!$F:$F,$L442,Eventos!$D:$D,$C$2,Eventos!$B:$B,PANES_SEMANALES[[#ALL],[MIÉRCOLES]])</f>
        <v>0</v>
      </c>
      <c r="P442" s="59">
        <f>SUMIFS(Eventos!$G:$G,Eventos!$F:$F,$L442,Eventos!$D:$D,$C$2,Eventos!$B:$B,PANES_SEMANALES[[#ALL],[JUEVES]])</f>
        <v>0</v>
      </c>
      <c r="Q442" s="59">
        <f>IF(P442&lt;&gt;"",SUMIFS(Eventos!$G:$G,Eventos!$B:$B,Q$2,Eventos!$D:$D,$C$2,Eventos!$F:$F,$L442),"")</f>
        <v>0</v>
      </c>
      <c r="R442" s="59">
        <f>SUMIFS(Eventos!$G:$G,Eventos!$F:$F,$L442,Eventos!$D:$D,$C$2,Eventos!$B:$B,PANES_SEMANALES[[#ALL],[SÁBADO]])</f>
        <v>0</v>
      </c>
      <c r="S442" s="59">
        <f>SUMIFS(Eventos!$G:$G,Eventos!$F:$F,$L442,Eventos!$D:$D,$C$2,Eventos!$B:$B,PANES_SEMANALES[[#ALL],[DOMINGO]])</f>
        <v>0</v>
      </c>
      <c r="T442" s="59">
        <f t="shared" si="1"/>
        <v>0</v>
      </c>
    </row>
    <row r="443" ht="22.5" customHeight="1">
      <c r="M443" s="59">
        <f>SUMIFS(Eventos!$G:$G,Eventos!$F:$F,$L443,Eventos!$D:$D,$C$2,Eventos!$B:$B,PANES_SEMANALES[[#ALL],[LUNES]])</f>
        <v>0</v>
      </c>
      <c r="N443" s="59">
        <f>SUMIFS(Eventos!$G:$G,Eventos!$F:$F,$L443,Eventos!$D:$D,$C$2,Eventos!$B:$B,PANES_SEMANALES[[#ALL],[MARTES]])</f>
        <v>0</v>
      </c>
      <c r="O443" s="59">
        <f>SUMIFS(Eventos!$G:$G,Eventos!$F:$F,$L443,Eventos!$D:$D,$C$2,Eventos!$B:$B,PANES_SEMANALES[[#ALL],[MIÉRCOLES]])</f>
        <v>0</v>
      </c>
      <c r="P443" s="59">
        <f>SUMIFS(Eventos!$G:$G,Eventos!$F:$F,$L443,Eventos!$D:$D,$C$2,Eventos!$B:$B,PANES_SEMANALES[[#ALL],[JUEVES]])</f>
        <v>0</v>
      </c>
      <c r="Q443" s="59">
        <f>IF(P443&lt;&gt;"",SUMIFS(Eventos!$G:$G,Eventos!$B:$B,Q$2,Eventos!$D:$D,$C$2,Eventos!$F:$F,$L443),"")</f>
        <v>0</v>
      </c>
      <c r="R443" s="59">
        <f>SUMIFS(Eventos!$G:$G,Eventos!$F:$F,$L443,Eventos!$D:$D,$C$2,Eventos!$B:$B,PANES_SEMANALES[[#ALL],[SÁBADO]])</f>
        <v>0</v>
      </c>
      <c r="S443" s="59">
        <f>SUMIFS(Eventos!$G:$G,Eventos!$F:$F,$L443,Eventos!$D:$D,$C$2,Eventos!$B:$B,PANES_SEMANALES[[#ALL],[DOMINGO]])</f>
        <v>0</v>
      </c>
      <c r="T443" s="59">
        <f t="shared" si="1"/>
        <v>0</v>
      </c>
    </row>
    <row r="444" ht="22.5" customHeight="1">
      <c r="M444" s="59">
        <f>SUMIFS(Eventos!$G:$G,Eventos!$F:$F,$L444,Eventos!$D:$D,$C$2,Eventos!$B:$B,PANES_SEMANALES[[#ALL],[LUNES]])</f>
        <v>0</v>
      </c>
      <c r="N444" s="59">
        <f>SUMIFS(Eventos!$G:$G,Eventos!$F:$F,$L444,Eventos!$D:$D,$C$2,Eventos!$B:$B,PANES_SEMANALES[[#ALL],[MARTES]])</f>
        <v>0</v>
      </c>
      <c r="O444" s="59">
        <f>SUMIFS(Eventos!$G:$G,Eventos!$F:$F,$L444,Eventos!$D:$D,$C$2,Eventos!$B:$B,PANES_SEMANALES[[#ALL],[MIÉRCOLES]])</f>
        <v>0</v>
      </c>
      <c r="P444" s="59">
        <f>SUMIFS(Eventos!$G:$G,Eventos!$F:$F,$L444,Eventos!$D:$D,$C$2,Eventos!$B:$B,PANES_SEMANALES[[#ALL],[JUEVES]])</f>
        <v>0</v>
      </c>
      <c r="Q444" s="59">
        <f>IF(P444&lt;&gt;"",SUMIFS(Eventos!$G:$G,Eventos!$B:$B,Q$2,Eventos!$D:$D,$C$2,Eventos!$F:$F,$L444),"")</f>
        <v>0</v>
      </c>
      <c r="R444" s="59">
        <f>SUMIFS(Eventos!$G:$G,Eventos!$F:$F,$L444,Eventos!$D:$D,$C$2,Eventos!$B:$B,PANES_SEMANALES[[#ALL],[SÁBADO]])</f>
        <v>0</v>
      </c>
      <c r="S444" s="59">
        <f>SUMIFS(Eventos!$G:$G,Eventos!$F:$F,$L444,Eventos!$D:$D,$C$2,Eventos!$B:$B,PANES_SEMANALES[[#ALL],[DOMINGO]])</f>
        <v>0</v>
      </c>
      <c r="T444" s="59">
        <f t="shared" si="1"/>
        <v>0</v>
      </c>
    </row>
    <row r="445" ht="22.5" customHeight="1">
      <c r="M445" s="59">
        <f>SUMIFS(Eventos!$G:$G,Eventos!$F:$F,$L445,Eventos!$D:$D,$C$2,Eventos!$B:$B,PANES_SEMANALES[[#ALL],[LUNES]])</f>
        <v>0</v>
      </c>
      <c r="N445" s="59">
        <f>SUMIFS(Eventos!$G:$G,Eventos!$F:$F,$L445,Eventos!$D:$D,$C$2,Eventos!$B:$B,PANES_SEMANALES[[#ALL],[MARTES]])</f>
        <v>0</v>
      </c>
      <c r="O445" s="59">
        <f>SUMIFS(Eventos!$G:$G,Eventos!$F:$F,$L445,Eventos!$D:$D,$C$2,Eventos!$B:$B,PANES_SEMANALES[[#ALL],[MIÉRCOLES]])</f>
        <v>0</v>
      </c>
      <c r="P445" s="59">
        <f>SUMIFS(Eventos!$G:$G,Eventos!$F:$F,$L445,Eventos!$D:$D,$C$2,Eventos!$B:$B,PANES_SEMANALES[[#ALL],[JUEVES]])</f>
        <v>0</v>
      </c>
      <c r="Q445" s="59">
        <f>IF(P445&lt;&gt;"",SUMIFS(Eventos!$G:$G,Eventos!$B:$B,Q$2,Eventos!$D:$D,$C$2,Eventos!$F:$F,$L445),"")</f>
        <v>0</v>
      </c>
      <c r="R445" s="59">
        <f>SUMIFS(Eventos!$G:$G,Eventos!$F:$F,$L445,Eventos!$D:$D,$C$2,Eventos!$B:$B,PANES_SEMANALES[[#ALL],[SÁBADO]])</f>
        <v>0</v>
      </c>
      <c r="S445" s="59">
        <f>SUMIFS(Eventos!$G:$G,Eventos!$F:$F,$L445,Eventos!$D:$D,$C$2,Eventos!$B:$B,PANES_SEMANALES[[#ALL],[DOMINGO]])</f>
        <v>0</v>
      </c>
      <c r="T445" s="59">
        <f t="shared" si="1"/>
        <v>0</v>
      </c>
    </row>
    <row r="446" ht="22.5" customHeight="1">
      <c r="M446" s="59">
        <f>SUMIFS(Eventos!$G:$G,Eventos!$F:$F,$L446,Eventos!$D:$D,$C$2,Eventos!$B:$B,PANES_SEMANALES[[#ALL],[LUNES]])</f>
        <v>0</v>
      </c>
      <c r="N446" s="59">
        <f>SUMIFS(Eventos!$G:$G,Eventos!$F:$F,$L446,Eventos!$D:$D,$C$2,Eventos!$B:$B,PANES_SEMANALES[[#ALL],[MARTES]])</f>
        <v>0</v>
      </c>
      <c r="O446" s="59">
        <f>SUMIFS(Eventos!$G:$G,Eventos!$F:$F,$L446,Eventos!$D:$D,$C$2,Eventos!$B:$B,PANES_SEMANALES[[#ALL],[MIÉRCOLES]])</f>
        <v>0</v>
      </c>
      <c r="P446" s="59">
        <f>SUMIFS(Eventos!$G:$G,Eventos!$F:$F,$L446,Eventos!$D:$D,$C$2,Eventos!$B:$B,PANES_SEMANALES[[#ALL],[JUEVES]])</f>
        <v>0</v>
      </c>
      <c r="Q446" s="59">
        <f>IF(P446&lt;&gt;"",SUMIFS(Eventos!$G:$G,Eventos!$B:$B,Q$2,Eventos!$D:$D,$C$2,Eventos!$F:$F,$L446),"")</f>
        <v>0</v>
      </c>
      <c r="R446" s="59">
        <f>SUMIFS(Eventos!$G:$G,Eventos!$F:$F,$L446,Eventos!$D:$D,$C$2,Eventos!$B:$B,PANES_SEMANALES[[#ALL],[SÁBADO]])</f>
        <v>0</v>
      </c>
      <c r="S446" s="59">
        <f>SUMIFS(Eventos!$G:$G,Eventos!$F:$F,$L446,Eventos!$D:$D,$C$2,Eventos!$B:$B,PANES_SEMANALES[[#ALL],[DOMINGO]])</f>
        <v>0</v>
      </c>
      <c r="T446" s="59">
        <f t="shared" si="1"/>
        <v>0</v>
      </c>
    </row>
    <row r="447" ht="22.5" customHeight="1">
      <c r="M447" s="59">
        <f>SUMIFS(Eventos!$G:$G,Eventos!$F:$F,$L447,Eventos!$D:$D,$C$2,Eventos!$B:$B,PANES_SEMANALES[[#ALL],[LUNES]])</f>
        <v>0</v>
      </c>
      <c r="N447" s="59">
        <f>SUMIFS(Eventos!$G:$G,Eventos!$F:$F,$L447,Eventos!$D:$D,$C$2,Eventos!$B:$B,PANES_SEMANALES[[#ALL],[MARTES]])</f>
        <v>0</v>
      </c>
      <c r="O447" s="59">
        <f>SUMIFS(Eventos!$G:$G,Eventos!$F:$F,$L447,Eventos!$D:$D,$C$2,Eventos!$B:$B,PANES_SEMANALES[[#ALL],[MIÉRCOLES]])</f>
        <v>0</v>
      </c>
      <c r="P447" s="59">
        <f>SUMIFS(Eventos!$G:$G,Eventos!$F:$F,$L447,Eventos!$D:$D,$C$2,Eventos!$B:$B,PANES_SEMANALES[[#ALL],[JUEVES]])</f>
        <v>0</v>
      </c>
      <c r="Q447" s="59">
        <f>IF(P447&lt;&gt;"",SUMIFS(Eventos!$G:$G,Eventos!$B:$B,Q$2,Eventos!$D:$D,$C$2,Eventos!$F:$F,$L447),"")</f>
        <v>0</v>
      </c>
      <c r="R447" s="59">
        <f>SUMIFS(Eventos!$G:$G,Eventos!$F:$F,$L447,Eventos!$D:$D,$C$2,Eventos!$B:$B,PANES_SEMANALES[[#ALL],[SÁBADO]])</f>
        <v>0</v>
      </c>
      <c r="S447" s="59">
        <f>SUMIFS(Eventos!$G:$G,Eventos!$F:$F,$L447,Eventos!$D:$D,$C$2,Eventos!$B:$B,PANES_SEMANALES[[#ALL],[DOMINGO]])</f>
        <v>0</v>
      </c>
      <c r="T447" s="59">
        <f t="shared" si="1"/>
        <v>0</v>
      </c>
    </row>
    <row r="448" ht="22.5" customHeight="1">
      <c r="M448" s="59">
        <f>SUMIFS(Eventos!$G:$G,Eventos!$F:$F,$L448,Eventos!$D:$D,$C$2,Eventos!$B:$B,PANES_SEMANALES[[#ALL],[LUNES]])</f>
        <v>0</v>
      </c>
      <c r="N448" s="59">
        <f>SUMIFS(Eventos!$G:$G,Eventos!$F:$F,$L448,Eventos!$D:$D,$C$2,Eventos!$B:$B,PANES_SEMANALES[[#ALL],[MARTES]])</f>
        <v>0</v>
      </c>
      <c r="O448" s="59">
        <f>SUMIFS(Eventos!$G:$G,Eventos!$F:$F,$L448,Eventos!$D:$D,$C$2,Eventos!$B:$B,PANES_SEMANALES[[#ALL],[MIÉRCOLES]])</f>
        <v>0</v>
      </c>
      <c r="P448" s="59">
        <f>SUMIFS(Eventos!$G:$G,Eventos!$F:$F,$L448,Eventos!$D:$D,$C$2,Eventos!$B:$B,PANES_SEMANALES[[#ALL],[JUEVES]])</f>
        <v>0</v>
      </c>
      <c r="Q448" s="59">
        <f>IF(P448&lt;&gt;"",SUMIFS(Eventos!$G:$G,Eventos!$B:$B,Q$2,Eventos!$D:$D,$C$2,Eventos!$F:$F,$L448),"")</f>
        <v>0</v>
      </c>
      <c r="R448" s="59">
        <f>SUMIFS(Eventos!$G:$G,Eventos!$F:$F,$L448,Eventos!$D:$D,$C$2,Eventos!$B:$B,PANES_SEMANALES[[#ALL],[SÁBADO]])</f>
        <v>0</v>
      </c>
      <c r="S448" s="59">
        <f>SUMIFS(Eventos!$G:$G,Eventos!$F:$F,$L448,Eventos!$D:$D,$C$2,Eventos!$B:$B,PANES_SEMANALES[[#ALL],[DOMINGO]])</f>
        <v>0</v>
      </c>
      <c r="T448" s="59">
        <f t="shared" si="1"/>
        <v>0</v>
      </c>
    </row>
    <row r="449" ht="22.5" customHeight="1">
      <c r="M449" s="59">
        <f>SUMIFS(Eventos!$G:$G,Eventos!$F:$F,$L449,Eventos!$D:$D,$C$2,Eventos!$B:$B,PANES_SEMANALES[[#ALL],[LUNES]])</f>
        <v>0</v>
      </c>
      <c r="N449" s="59">
        <f>SUMIFS(Eventos!$G:$G,Eventos!$F:$F,$L449,Eventos!$D:$D,$C$2,Eventos!$B:$B,PANES_SEMANALES[[#ALL],[MARTES]])</f>
        <v>0</v>
      </c>
      <c r="O449" s="59">
        <f>SUMIFS(Eventos!$G:$G,Eventos!$F:$F,$L449,Eventos!$D:$D,$C$2,Eventos!$B:$B,PANES_SEMANALES[[#ALL],[MIÉRCOLES]])</f>
        <v>0</v>
      </c>
      <c r="P449" s="59">
        <f>SUMIFS(Eventos!$G:$G,Eventos!$F:$F,$L449,Eventos!$D:$D,$C$2,Eventos!$B:$B,PANES_SEMANALES[[#ALL],[JUEVES]])</f>
        <v>0</v>
      </c>
      <c r="Q449" s="59">
        <f>IF(P449&lt;&gt;"",SUMIFS(Eventos!$G:$G,Eventos!$B:$B,Q$2,Eventos!$D:$D,$C$2,Eventos!$F:$F,$L449),"")</f>
        <v>0</v>
      </c>
      <c r="R449" s="59">
        <f>SUMIFS(Eventos!$G:$G,Eventos!$F:$F,$L449,Eventos!$D:$D,$C$2,Eventos!$B:$B,PANES_SEMANALES[[#ALL],[SÁBADO]])</f>
        <v>0</v>
      </c>
      <c r="S449" s="59">
        <f>SUMIFS(Eventos!$G:$G,Eventos!$F:$F,$L449,Eventos!$D:$D,$C$2,Eventos!$B:$B,PANES_SEMANALES[[#ALL],[DOMINGO]])</f>
        <v>0</v>
      </c>
      <c r="T449" s="59">
        <f t="shared" si="1"/>
        <v>0</v>
      </c>
    </row>
    <row r="450" ht="22.5" customHeight="1">
      <c r="M450" s="59">
        <f>SUMIFS(Eventos!$G:$G,Eventos!$F:$F,$L450,Eventos!$D:$D,$C$2,Eventos!$B:$B,PANES_SEMANALES[[#ALL],[LUNES]])</f>
        <v>0</v>
      </c>
      <c r="N450" s="59">
        <f>SUMIFS(Eventos!$G:$G,Eventos!$F:$F,$L450,Eventos!$D:$D,$C$2,Eventos!$B:$B,PANES_SEMANALES[[#ALL],[MARTES]])</f>
        <v>0</v>
      </c>
      <c r="O450" s="59">
        <f>SUMIFS(Eventos!$G:$G,Eventos!$F:$F,$L450,Eventos!$D:$D,$C$2,Eventos!$B:$B,PANES_SEMANALES[[#ALL],[MIÉRCOLES]])</f>
        <v>0</v>
      </c>
      <c r="P450" s="59">
        <f>SUMIFS(Eventos!$G:$G,Eventos!$F:$F,$L450,Eventos!$D:$D,$C$2,Eventos!$B:$B,PANES_SEMANALES[[#ALL],[JUEVES]])</f>
        <v>0</v>
      </c>
      <c r="Q450" s="59">
        <f>IF(P450&lt;&gt;"",SUMIFS(Eventos!$G:$G,Eventos!$B:$B,Q$2,Eventos!$D:$D,$C$2,Eventos!$F:$F,$L450),"")</f>
        <v>0</v>
      </c>
      <c r="R450" s="59">
        <f>SUMIFS(Eventos!$G:$G,Eventos!$F:$F,$L450,Eventos!$D:$D,$C$2,Eventos!$B:$B,PANES_SEMANALES[[#ALL],[SÁBADO]])</f>
        <v>0</v>
      </c>
      <c r="S450" s="59">
        <f>SUMIFS(Eventos!$G:$G,Eventos!$F:$F,$L450,Eventos!$D:$D,$C$2,Eventos!$B:$B,PANES_SEMANALES[[#ALL],[DOMINGO]])</f>
        <v>0</v>
      </c>
      <c r="T450" s="59">
        <f t="shared" si="1"/>
        <v>0</v>
      </c>
    </row>
    <row r="451" ht="22.5" customHeight="1">
      <c r="M451" s="59">
        <f>SUMIFS(Eventos!$G:$G,Eventos!$F:$F,$L451,Eventos!$D:$D,$C$2,Eventos!$B:$B,PANES_SEMANALES[[#ALL],[LUNES]])</f>
        <v>0</v>
      </c>
      <c r="N451" s="59">
        <f>SUMIFS(Eventos!$G:$G,Eventos!$F:$F,$L451,Eventos!$D:$D,$C$2,Eventos!$B:$B,PANES_SEMANALES[[#ALL],[MARTES]])</f>
        <v>0</v>
      </c>
      <c r="O451" s="59">
        <f>SUMIFS(Eventos!$G:$G,Eventos!$F:$F,$L451,Eventos!$D:$D,$C$2,Eventos!$B:$B,PANES_SEMANALES[[#ALL],[MIÉRCOLES]])</f>
        <v>0</v>
      </c>
      <c r="P451" s="59">
        <f>SUMIFS(Eventos!$G:$G,Eventos!$F:$F,$L451,Eventos!$D:$D,$C$2,Eventos!$B:$B,PANES_SEMANALES[[#ALL],[JUEVES]])</f>
        <v>0</v>
      </c>
      <c r="Q451" s="59">
        <f>IF(P451&lt;&gt;"",SUMIFS(Eventos!$G:$G,Eventos!$B:$B,Q$2,Eventos!$D:$D,$C$2,Eventos!$F:$F,$L451),"")</f>
        <v>0</v>
      </c>
      <c r="R451" s="59">
        <f>SUMIFS(Eventos!$G:$G,Eventos!$F:$F,$L451,Eventos!$D:$D,$C$2,Eventos!$B:$B,PANES_SEMANALES[[#ALL],[SÁBADO]])</f>
        <v>0</v>
      </c>
      <c r="S451" s="59">
        <f>SUMIFS(Eventos!$G:$G,Eventos!$F:$F,$L451,Eventos!$D:$D,$C$2,Eventos!$B:$B,PANES_SEMANALES[[#ALL],[DOMINGO]])</f>
        <v>0</v>
      </c>
      <c r="T451" s="59">
        <f t="shared" si="1"/>
        <v>0</v>
      </c>
    </row>
    <row r="452" ht="22.5" customHeight="1">
      <c r="M452" s="59">
        <f>SUMIFS(Eventos!$G:$G,Eventos!$F:$F,$L452,Eventos!$D:$D,$C$2,Eventos!$B:$B,PANES_SEMANALES[[#ALL],[LUNES]])</f>
        <v>0</v>
      </c>
      <c r="N452" s="59">
        <f>SUMIFS(Eventos!$G:$G,Eventos!$F:$F,$L452,Eventos!$D:$D,$C$2,Eventos!$B:$B,PANES_SEMANALES[[#ALL],[MARTES]])</f>
        <v>0</v>
      </c>
      <c r="O452" s="59">
        <f>SUMIFS(Eventos!$G:$G,Eventos!$F:$F,$L452,Eventos!$D:$D,$C$2,Eventos!$B:$B,PANES_SEMANALES[[#ALL],[MIÉRCOLES]])</f>
        <v>0</v>
      </c>
      <c r="P452" s="59">
        <f>SUMIFS(Eventos!$G:$G,Eventos!$F:$F,$L452,Eventos!$D:$D,$C$2,Eventos!$B:$B,PANES_SEMANALES[[#ALL],[JUEVES]])</f>
        <v>0</v>
      </c>
      <c r="Q452" s="59">
        <f>IF(P452&lt;&gt;"",SUMIFS(Eventos!$G:$G,Eventos!$B:$B,Q$2,Eventos!$D:$D,$C$2,Eventos!$F:$F,$L452),"")</f>
        <v>0</v>
      </c>
      <c r="R452" s="59">
        <f>SUMIFS(Eventos!$G:$G,Eventos!$F:$F,$L452,Eventos!$D:$D,$C$2,Eventos!$B:$B,PANES_SEMANALES[[#ALL],[SÁBADO]])</f>
        <v>0</v>
      </c>
      <c r="S452" s="59">
        <f>SUMIFS(Eventos!$G:$G,Eventos!$F:$F,$L452,Eventos!$D:$D,$C$2,Eventos!$B:$B,PANES_SEMANALES[[#ALL],[DOMINGO]])</f>
        <v>0</v>
      </c>
      <c r="T452" s="59">
        <f t="shared" si="1"/>
        <v>0</v>
      </c>
    </row>
    <row r="453" ht="22.5" customHeight="1">
      <c r="M453" s="59">
        <f>SUMIFS(Eventos!$G:$G,Eventos!$F:$F,$L453,Eventos!$D:$D,$C$2,Eventos!$B:$B,PANES_SEMANALES[[#ALL],[LUNES]])</f>
        <v>0</v>
      </c>
      <c r="N453" s="59">
        <f>SUMIFS(Eventos!$G:$G,Eventos!$F:$F,$L453,Eventos!$D:$D,$C$2,Eventos!$B:$B,PANES_SEMANALES[[#ALL],[MARTES]])</f>
        <v>0</v>
      </c>
      <c r="O453" s="59">
        <f>SUMIFS(Eventos!$G:$G,Eventos!$F:$F,$L453,Eventos!$D:$D,$C$2,Eventos!$B:$B,PANES_SEMANALES[[#ALL],[MIÉRCOLES]])</f>
        <v>0</v>
      </c>
      <c r="P453" s="59">
        <f>SUMIFS(Eventos!$G:$G,Eventos!$F:$F,$L453,Eventos!$D:$D,$C$2,Eventos!$B:$B,PANES_SEMANALES[[#ALL],[JUEVES]])</f>
        <v>0</v>
      </c>
      <c r="Q453" s="59">
        <f>IF(P453&lt;&gt;"",SUMIFS(Eventos!$G:$G,Eventos!$B:$B,Q$2,Eventos!$D:$D,$C$2,Eventos!$F:$F,$L453),"")</f>
        <v>0</v>
      </c>
      <c r="R453" s="59">
        <f>SUMIFS(Eventos!$G:$G,Eventos!$F:$F,$L453,Eventos!$D:$D,$C$2,Eventos!$B:$B,PANES_SEMANALES[[#ALL],[SÁBADO]])</f>
        <v>0</v>
      </c>
      <c r="S453" s="59">
        <f>SUMIFS(Eventos!$G:$G,Eventos!$F:$F,$L453,Eventos!$D:$D,$C$2,Eventos!$B:$B,PANES_SEMANALES[[#ALL],[DOMINGO]])</f>
        <v>0</v>
      </c>
      <c r="T453" s="59">
        <f t="shared" si="1"/>
        <v>0</v>
      </c>
    </row>
    <row r="454" ht="22.5" customHeight="1">
      <c r="M454" s="59">
        <f>SUMIFS(Eventos!$G:$G,Eventos!$F:$F,$L454,Eventos!$D:$D,$C$2,Eventos!$B:$B,PANES_SEMANALES[[#ALL],[LUNES]])</f>
        <v>0</v>
      </c>
      <c r="N454" s="59">
        <f>SUMIFS(Eventos!$G:$G,Eventos!$F:$F,$L454,Eventos!$D:$D,$C$2,Eventos!$B:$B,PANES_SEMANALES[[#ALL],[MARTES]])</f>
        <v>0</v>
      </c>
      <c r="O454" s="59">
        <f>SUMIFS(Eventos!$G:$G,Eventos!$F:$F,$L454,Eventos!$D:$D,$C$2,Eventos!$B:$B,PANES_SEMANALES[[#ALL],[MIÉRCOLES]])</f>
        <v>0</v>
      </c>
      <c r="P454" s="59">
        <f>SUMIFS(Eventos!$G:$G,Eventos!$F:$F,$L454,Eventos!$D:$D,$C$2,Eventos!$B:$B,PANES_SEMANALES[[#ALL],[JUEVES]])</f>
        <v>0</v>
      </c>
      <c r="Q454" s="59">
        <f>IF(P454&lt;&gt;"",SUMIFS(Eventos!$G:$G,Eventos!$B:$B,Q$2,Eventos!$D:$D,$C$2,Eventos!$F:$F,$L454),"")</f>
        <v>0</v>
      </c>
      <c r="R454" s="59">
        <f>SUMIFS(Eventos!$G:$G,Eventos!$F:$F,$L454,Eventos!$D:$D,$C$2,Eventos!$B:$B,PANES_SEMANALES[[#ALL],[SÁBADO]])</f>
        <v>0</v>
      </c>
      <c r="S454" s="59">
        <f>SUMIFS(Eventos!$G:$G,Eventos!$F:$F,$L454,Eventos!$D:$D,$C$2,Eventos!$B:$B,PANES_SEMANALES[[#ALL],[DOMINGO]])</f>
        <v>0</v>
      </c>
      <c r="T454" s="59">
        <f t="shared" si="1"/>
        <v>0</v>
      </c>
    </row>
    <row r="455" ht="22.5" customHeight="1">
      <c r="M455" s="59">
        <f>SUMIFS(Eventos!$G:$G,Eventos!$F:$F,$L455,Eventos!$D:$D,$C$2,Eventos!$B:$B,PANES_SEMANALES[[#ALL],[LUNES]])</f>
        <v>0</v>
      </c>
      <c r="N455" s="59">
        <f>SUMIFS(Eventos!$G:$G,Eventos!$F:$F,$L455,Eventos!$D:$D,$C$2,Eventos!$B:$B,PANES_SEMANALES[[#ALL],[MARTES]])</f>
        <v>0</v>
      </c>
      <c r="O455" s="59">
        <f>SUMIFS(Eventos!$G:$G,Eventos!$F:$F,$L455,Eventos!$D:$D,$C$2,Eventos!$B:$B,PANES_SEMANALES[[#ALL],[MIÉRCOLES]])</f>
        <v>0</v>
      </c>
      <c r="P455" s="59">
        <f>SUMIFS(Eventos!$G:$G,Eventos!$F:$F,$L455,Eventos!$D:$D,$C$2,Eventos!$B:$B,PANES_SEMANALES[[#ALL],[JUEVES]])</f>
        <v>0</v>
      </c>
      <c r="Q455" s="59">
        <f>IF(P455&lt;&gt;"",SUMIFS(Eventos!$G:$G,Eventos!$B:$B,Q$2,Eventos!$D:$D,$C$2,Eventos!$F:$F,$L455),"")</f>
        <v>0</v>
      </c>
      <c r="R455" s="59">
        <f>SUMIFS(Eventos!$G:$G,Eventos!$F:$F,$L455,Eventos!$D:$D,$C$2,Eventos!$B:$B,PANES_SEMANALES[[#ALL],[SÁBADO]])</f>
        <v>0</v>
      </c>
      <c r="S455" s="59">
        <f>SUMIFS(Eventos!$G:$G,Eventos!$F:$F,$L455,Eventos!$D:$D,$C$2,Eventos!$B:$B,PANES_SEMANALES[[#ALL],[DOMINGO]])</f>
        <v>0</v>
      </c>
      <c r="T455" s="59">
        <f t="shared" si="1"/>
        <v>0</v>
      </c>
    </row>
    <row r="456" ht="22.5" customHeight="1">
      <c r="M456" s="59">
        <f>SUMIFS(Eventos!$G:$G,Eventos!$F:$F,$L456,Eventos!$D:$D,$C$2,Eventos!$B:$B,PANES_SEMANALES[[#ALL],[LUNES]])</f>
        <v>0</v>
      </c>
      <c r="N456" s="59">
        <f>SUMIFS(Eventos!$G:$G,Eventos!$F:$F,$L456,Eventos!$D:$D,$C$2,Eventos!$B:$B,PANES_SEMANALES[[#ALL],[MARTES]])</f>
        <v>0</v>
      </c>
      <c r="O456" s="59">
        <f>SUMIFS(Eventos!$G:$G,Eventos!$F:$F,$L456,Eventos!$D:$D,$C$2,Eventos!$B:$B,PANES_SEMANALES[[#ALL],[MIÉRCOLES]])</f>
        <v>0</v>
      </c>
      <c r="P456" s="59">
        <f>SUMIFS(Eventos!$G:$G,Eventos!$F:$F,$L456,Eventos!$D:$D,$C$2,Eventos!$B:$B,PANES_SEMANALES[[#ALL],[JUEVES]])</f>
        <v>0</v>
      </c>
      <c r="Q456" s="59">
        <f>IF(P456&lt;&gt;"",SUMIFS(Eventos!$G:$G,Eventos!$B:$B,Q$2,Eventos!$D:$D,$C$2,Eventos!$F:$F,$L456),"")</f>
        <v>0</v>
      </c>
      <c r="R456" s="59">
        <f>SUMIFS(Eventos!$G:$G,Eventos!$F:$F,$L456,Eventos!$D:$D,$C$2,Eventos!$B:$B,PANES_SEMANALES[[#ALL],[SÁBADO]])</f>
        <v>0</v>
      </c>
      <c r="S456" s="59">
        <f>SUMIFS(Eventos!$G:$G,Eventos!$F:$F,$L456,Eventos!$D:$D,$C$2,Eventos!$B:$B,PANES_SEMANALES[[#ALL],[DOMINGO]])</f>
        <v>0</v>
      </c>
      <c r="T456" s="59">
        <f t="shared" si="1"/>
        <v>0</v>
      </c>
    </row>
    <row r="457" ht="22.5" customHeight="1">
      <c r="M457" s="59">
        <f>SUMIFS(Eventos!$G:$G,Eventos!$F:$F,$L457,Eventos!$D:$D,$C$2,Eventos!$B:$B,PANES_SEMANALES[[#ALL],[LUNES]])</f>
        <v>0</v>
      </c>
      <c r="N457" s="59">
        <f>SUMIFS(Eventos!$G:$G,Eventos!$F:$F,$L457,Eventos!$D:$D,$C$2,Eventos!$B:$B,PANES_SEMANALES[[#ALL],[MARTES]])</f>
        <v>0</v>
      </c>
      <c r="O457" s="59">
        <f>SUMIFS(Eventos!$G:$G,Eventos!$F:$F,$L457,Eventos!$D:$D,$C$2,Eventos!$B:$B,PANES_SEMANALES[[#ALL],[MIÉRCOLES]])</f>
        <v>0</v>
      </c>
      <c r="P457" s="59">
        <f>SUMIFS(Eventos!$G:$G,Eventos!$F:$F,$L457,Eventos!$D:$D,$C$2,Eventos!$B:$B,PANES_SEMANALES[[#ALL],[JUEVES]])</f>
        <v>0</v>
      </c>
      <c r="Q457" s="59">
        <f>IF(P457&lt;&gt;"",SUMIFS(Eventos!$G:$G,Eventos!$B:$B,Q$2,Eventos!$D:$D,$C$2,Eventos!$F:$F,$L457),"")</f>
        <v>0</v>
      </c>
      <c r="R457" s="59">
        <f>SUMIFS(Eventos!$G:$G,Eventos!$F:$F,$L457,Eventos!$D:$D,$C$2,Eventos!$B:$B,PANES_SEMANALES[[#ALL],[SÁBADO]])</f>
        <v>0</v>
      </c>
      <c r="S457" s="59">
        <f>SUMIFS(Eventos!$G:$G,Eventos!$F:$F,$L457,Eventos!$D:$D,$C$2,Eventos!$B:$B,PANES_SEMANALES[[#ALL],[DOMINGO]])</f>
        <v>0</v>
      </c>
      <c r="T457" s="59">
        <f t="shared" si="1"/>
        <v>0</v>
      </c>
    </row>
    <row r="458" ht="22.5" customHeight="1">
      <c r="M458" s="59">
        <f>SUMIFS(Eventos!$G:$G,Eventos!$F:$F,$L458,Eventos!$D:$D,$C$2,Eventos!$B:$B,PANES_SEMANALES[[#ALL],[LUNES]])</f>
        <v>0</v>
      </c>
      <c r="N458" s="59">
        <f>SUMIFS(Eventos!$G:$G,Eventos!$F:$F,$L458,Eventos!$D:$D,$C$2,Eventos!$B:$B,PANES_SEMANALES[[#ALL],[MARTES]])</f>
        <v>0</v>
      </c>
      <c r="O458" s="59">
        <f>SUMIFS(Eventos!$G:$G,Eventos!$F:$F,$L458,Eventos!$D:$D,$C$2,Eventos!$B:$B,PANES_SEMANALES[[#ALL],[MIÉRCOLES]])</f>
        <v>0</v>
      </c>
      <c r="P458" s="59">
        <f>SUMIFS(Eventos!$G:$G,Eventos!$F:$F,$L458,Eventos!$D:$D,$C$2,Eventos!$B:$B,PANES_SEMANALES[[#ALL],[JUEVES]])</f>
        <v>0</v>
      </c>
      <c r="Q458" s="59">
        <f>IF(P458&lt;&gt;"",SUMIFS(Eventos!$G:$G,Eventos!$B:$B,Q$2,Eventos!$D:$D,$C$2,Eventos!$F:$F,$L458),"")</f>
        <v>0</v>
      </c>
      <c r="R458" s="59">
        <f>SUMIFS(Eventos!$G:$G,Eventos!$F:$F,$L458,Eventos!$D:$D,$C$2,Eventos!$B:$B,PANES_SEMANALES[[#ALL],[SÁBADO]])</f>
        <v>0</v>
      </c>
      <c r="S458" s="59">
        <f>SUMIFS(Eventos!$G:$G,Eventos!$F:$F,$L458,Eventos!$D:$D,$C$2,Eventos!$B:$B,PANES_SEMANALES[[#ALL],[DOMINGO]])</f>
        <v>0</v>
      </c>
      <c r="T458" s="59">
        <f t="shared" si="1"/>
        <v>0</v>
      </c>
    </row>
    <row r="459" ht="22.5" customHeight="1">
      <c r="M459" s="59">
        <f>SUMIFS(Eventos!$G:$G,Eventos!$F:$F,$L459,Eventos!$D:$D,$C$2,Eventos!$B:$B,PANES_SEMANALES[[#ALL],[LUNES]])</f>
        <v>0</v>
      </c>
      <c r="N459" s="59">
        <f>SUMIFS(Eventos!$G:$G,Eventos!$F:$F,$L459,Eventos!$D:$D,$C$2,Eventos!$B:$B,PANES_SEMANALES[[#ALL],[MARTES]])</f>
        <v>0</v>
      </c>
      <c r="O459" s="59">
        <f>SUMIFS(Eventos!$G:$G,Eventos!$F:$F,$L459,Eventos!$D:$D,$C$2,Eventos!$B:$B,PANES_SEMANALES[[#ALL],[MIÉRCOLES]])</f>
        <v>0</v>
      </c>
      <c r="P459" s="59">
        <f>SUMIFS(Eventos!$G:$G,Eventos!$F:$F,$L459,Eventos!$D:$D,$C$2,Eventos!$B:$B,PANES_SEMANALES[[#ALL],[JUEVES]])</f>
        <v>0</v>
      </c>
      <c r="Q459" s="59">
        <f>IF(P459&lt;&gt;"",SUMIFS(Eventos!$G:$G,Eventos!$B:$B,Q$2,Eventos!$D:$D,$C$2,Eventos!$F:$F,$L459),"")</f>
        <v>0</v>
      </c>
      <c r="R459" s="59">
        <f>SUMIFS(Eventos!$G:$G,Eventos!$F:$F,$L459,Eventos!$D:$D,$C$2,Eventos!$B:$B,PANES_SEMANALES[[#ALL],[SÁBADO]])</f>
        <v>0</v>
      </c>
      <c r="S459" s="59">
        <f>SUMIFS(Eventos!$G:$G,Eventos!$F:$F,$L459,Eventos!$D:$D,$C$2,Eventos!$B:$B,PANES_SEMANALES[[#ALL],[DOMINGO]])</f>
        <v>0</v>
      </c>
      <c r="T459" s="59">
        <f t="shared" si="1"/>
        <v>0</v>
      </c>
    </row>
    <row r="460" ht="22.5" customHeight="1">
      <c r="M460" s="59">
        <f>SUMIFS(Eventos!$G:$G,Eventos!$F:$F,$L460,Eventos!$D:$D,$C$2,Eventos!$B:$B,PANES_SEMANALES[[#ALL],[LUNES]])</f>
        <v>0</v>
      </c>
      <c r="N460" s="59">
        <f>SUMIFS(Eventos!$G:$G,Eventos!$F:$F,$L460,Eventos!$D:$D,$C$2,Eventos!$B:$B,PANES_SEMANALES[[#ALL],[MARTES]])</f>
        <v>0</v>
      </c>
      <c r="O460" s="59">
        <f>SUMIFS(Eventos!$G:$G,Eventos!$F:$F,$L460,Eventos!$D:$D,$C$2,Eventos!$B:$B,PANES_SEMANALES[[#ALL],[MIÉRCOLES]])</f>
        <v>0</v>
      </c>
      <c r="P460" s="59">
        <f>SUMIFS(Eventos!$G:$G,Eventos!$F:$F,$L460,Eventos!$D:$D,$C$2,Eventos!$B:$B,PANES_SEMANALES[[#ALL],[JUEVES]])</f>
        <v>0</v>
      </c>
      <c r="Q460" s="59">
        <f>IF(P460&lt;&gt;"",SUMIFS(Eventos!$G:$G,Eventos!$B:$B,Q$2,Eventos!$D:$D,$C$2,Eventos!$F:$F,$L460),"")</f>
        <v>0</v>
      </c>
      <c r="R460" s="59">
        <f>SUMIFS(Eventos!$G:$G,Eventos!$F:$F,$L460,Eventos!$D:$D,$C$2,Eventos!$B:$B,PANES_SEMANALES[[#ALL],[SÁBADO]])</f>
        <v>0</v>
      </c>
      <c r="S460" s="59">
        <f>SUMIFS(Eventos!$G:$G,Eventos!$F:$F,$L460,Eventos!$D:$D,$C$2,Eventos!$B:$B,PANES_SEMANALES[[#ALL],[DOMINGO]])</f>
        <v>0</v>
      </c>
      <c r="T460" s="59">
        <f t="shared" si="1"/>
        <v>0</v>
      </c>
    </row>
    <row r="461" ht="22.5" customHeight="1">
      <c r="M461" s="59">
        <f>SUMIFS(Eventos!$G:$G,Eventos!$F:$F,$L461,Eventos!$D:$D,$C$2,Eventos!$B:$B,PANES_SEMANALES[[#ALL],[LUNES]])</f>
        <v>0</v>
      </c>
      <c r="N461" s="59">
        <f>SUMIFS(Eventos!$G:$G,Eventos!$F:$F,$L461,Eventos!$D:$D,$C$2,Eventos!$B:$B,PANES_SEMANALES[[#ALL],[MARTES]])</f>
        <v>0</v>
      </c>
      <c r="O461" s="59">
        <f>SUMIFS(Eventos!$G:$G,Eventos!$F:$F,$L461,Eventos!$D:$D,$C$2,Eventos!$B:$B,PANES_SEMANALES[[#ALL],[MIÉRCOLES]])</f>
        <v>0</v>
      </c>
      <c r="P461" s="59">
        <f>SUMIFS(Eventos!$G:$G,Eventos!$F:$F,$L461,Eventos!$D:$D,$C$2,Eventos!$B:$B,PANES_SEMANALES[[#ALL],[JUEVES]])</f>
        <v>0</v>
      </c>
      <c r="Q461" s="59">
        <f>IF(P461&lt;&gt;"",SUMIFS(Eventos!$G:$G,Eventos!$B:$B,Q$2,Eventos!$D:$D,$C$2,Eventos!$F:$F,$L461),"")</f>
        <v>0</v>
      </c>
      <c r="R461" s="59">
        <f>SUMIFS(Eventos!$G:$G,Eventos!$F:$F,$L461,Eventos!$D:$D,$C$2,Eventos!$B:$B,PANES_SEMANALES[[#ALL],[SÁBADO]])</f>
        <v>0</v>
      </c>
      <c r="S461" s="59">
        <f>SUMIFS(Eventos!$G:$G,Eventos!$F:$F,$L461,Eventos!$D:$D,$C$2,Eventos!$B:$B,PANES_SEMANALES[[#ALL],[DOMINGO]])</f>
        <v>0</v>
      </c>
      <c r="T461" s="59">
        <f t="shared" si="1"/>
        <v>0</v>
      </c>
    </row>
    <row r="462" ht="22.5" customHeight="1">
      <c r="M462" s="59">
        <f>SUMIFS(Eventos!$G:$G,Eventos!$F:$F,$L462,Eventos!$D:$D,$C$2,Eventos!$B:$B,PANES_SEMANALES[[#ALL],[LUNES]])</f>
        <v>0</v>
      </c>
      <c r="N462" s="59">
        <f>SUMIFS(Eventos!$G:$G,Eventos!$F:$F,$L462,Eventos!$D:$D,$C$2,Eventos!$B:$B,PANES_SEMANALES[[#ALL],[MARTES]])</f>
        <v>0</v>
      </c>
      <c r="O462" s="59">
        <f>SUMIFS(Eventos!$G:$G,Eventos!$F:$F,$L462,Eventos!$D:$D,$C$2,Eventos!$B:$B,PANES_SEMANALES[[#ALL],[MIÉRCOLES]])</f>
        <v>0</v>
      </c>
      <c r="P462" s="59">
        <f>SUMIFS(Eventos!$G:$G,Eventos!$F:$F,$L462,Eventos!$D:$D,$C$2,Eventos!$B:$B,PANES_SEMANALES[[#ALL],[JUEVES]])</f>
        <v>0</v>
      </c>
      <c r="Q462" s="59">
        <f>IF(P462&lt;&gt;"",SUMIFS(Eventos!$G:$G,Eventos!$B:$B,Q$2,Eventos!$D:$D,$C$2,Eventos!$F:$F,$L462),"")</f>
        <v>0</v>
      </c>
      <c r="R462" s="59">
        <f>SUMIFS(Eventos!$G:$G,Eventos!$F:$F,$L462,Eventos!$D:$D,$C$2,Eventos!$B:$B,PANES_SEMANALES[[#ALL],[SÁBADO]])</f>
        <v>0</v>
      </c>
      <c r="S462" s="59">
        <f>SUMIFS(Eventos!$G:$G,Eventos!$F:$F,$L462,Eventos!$D:$D,$C$2,Eventos!$B:$B,PANES_SEMANALES[[#ALL],[DOMINGO]])</f>
        <v>0</v>
      </c>
      <c r="T462" s="59">
        <f t="shared" si="1"/>
        <v>0</v>
      </c>
    </row>
    <row r="463" ht="22.5" customHeight="1">
      <c r="M463" s="59">
        <f>SUMIFS(Eventos!$G:$G,Eventos!$F:$F,$L463,Eventos!$D:$D,$C$2,Eventos!$B:$B,PANES_SEMANALES[[#ALL],[LUNES]])</f>
        <v>0</v>
      </c>
      <c r="N463" s="59">
        <f>SUMIFS(Eventos!$G:$G,Eventos!$F:$F,$L463,Eventos!$D:$D,$C$2,Eventos!$B:$B,PANES_SEMANALES[[#ALL],[MARTES]])</f>
        <v>0</v>
      </c>
      <c r="O463" s="59">
        <f>SUMIFS(Eventos!$G:$G,Eventos!$F:$F,$L463,Eventos!$D:$D,$C$2,Eventos!$B:$B,PANES_SEMANALES[[#ALL],[MIÉRCOLES]])</f>
        <v>0</v>
      </c>
      <c r="P463" s="59">
        <f>SUMIFS(Eventos!$G:$G,Eventos!$F:$F,$L463,Eventos!$D:$D,$C$2,Eventos!$B:$B,PANES_SEMANALES[[#ALL],[JUEVES]])</f>
        <v>0</v>
      </c>
      <c r="Q463" s="59">
        <f>IF(P463&lt;&gt;"",SUMIFS(Eventos!$G:$G,Eventos!$B:$B,Q$2,Eventos!$D:$D,$C$2,Eventos!$F:$F,$L463),"")</f>
        <v>0</v>
      </c>
      <c r="R463" s="59">
        <f>SUMIFS(Eventos!$G:$G,Eventos!$F:$F,$L463,Eventos!$D:$D,$C$2,Eventos!$B:$B,PANES_SEMANALES[[#ALL],[SÁBADO]])</f>
        <v>0</v>
      </c>
      <c r="S463" s="59">
        <f>SUMIFS(Eventos!$G:$G,Eventos!$F:$F,$L463,Eventos!$D:$D,$C$2,Eventos!$B:$B,PANES_SEMANALES[[#ALL],[DOMINGO]])</f>
        <v>0</v>
      </c>
      <c r="T463" s="59">
        <f t="shared" si="1"/>
        <v>0</v>
      </c>
    </row>
    <row r="464" ht="22.5" customHeight="1">
      <c r="M464" s="59">
        <f>SUMIFS(Eventos!$G:$G,Eventos!$F:$F,$L464,Eventos!$D:$D,$C$2,Eventos!$B:$B,PANES_SEMANALES[[#ALL],[LUNES]])</f>
        <v>0</v>
      </c>
      <c r="N464" s="59">
        <f>SUMIFS(Eventos!$G:$G,Eventos!$F:$F,$L464,Eventos!$D:$D,$C$2,Eventos!$B:$B,PANES_SEMANALES[[#ALL],[MARTES]])</f>
        <v>0</v>
      </c>
      <c r="O464" s="59">
        <f>SUMIFS(Eventos!$G:$G,Eventos!$F:$F,$L464,Eventos!$D:$D,$C$2,Eventos!$B:$B,PANES_SEMANALES[[#ALL],[MIÉRCOLES]])</f>
        <v>0</v>
      </c>
      <c r="P464" s="59">
        <f>SUMIFS(Eventos!$G:$G,Eventos!$F:$F,$L464,Eventos!$D:$D,$C$2,Eventos!$B:$B,PANES_SEMANALES[[#ALL],[JUEVES]])</f>
        <v>0</v>
      </c>
      <c r="Q464" s="59">
        <f>IF(P464&lt;&gt;"",SUMIFS(Eventos!$G:$G,Eventos!$B:$B,Q$2,Eventos!$D:$D,$C$2,Eventos!$F:$F,$L464),"")</f>
        <v>0</v>
      </c>
      <c r="R464" s="59">
        <f>SUMIFS(Eventos!$G:$G,Eventos!$F:$F,$L464,Eventos!$D:$D,$C$2,Eventos!$B:$B,PANES_SEMANALES[[#ALL],[SÁBADO]])</f>
        <v>0</v>
      </c>
      <c r="S464" s="59">
        <f>SUMIFS(Eventos!$G:$G,Eventos!$F:$F,$L464,Eventos!$D:$D,$C$2,Eventos!$B:$B,PANES_SEMANALES[[#ALL],[DOMINGO]])</f>
        <v>0</v>
      </c>
      <c r="T464" s="59">
        <f t="shared" si="1"/>
        <v>0</v>
      </c>
    </row>
    <row r="465" ht="22.5" customHeight="1">
      <c r="M465" s="59">
        <f>SUMIFS(Eventos!$G:$G,Eventos!$F:$F,$L465,Eventos!$D:$D,$C$2,Eventos!$B:$B,PANES_SEMANALES[[#ALL],[LUNES]])</f>
        <v>0</v>
      </c>
      <c r="N465" s="59">
        <f>SUMIFS(Eventos!$G:$G,Eventos!$F:$F,$L465,Eventos!$D:$D,$C$2,Eventos!$B:$B,PANES_SEMANALES[[#ALL],[MARTES]])</f>
        <v>0</v>
      </c>
      <c r="O465" s="59">
        <f>SUMIFS(Eventos!$G:$G,Eventos!$F:$F,$L465,Eventos!$D:$D,$C$2,Eventos!$B:$B,PANES_SEMANALES[[#ALL],[MIÉRCOLES]])</f>
        <v>0</v>
      </c>
      <c r="P465" s="59">
        <f>SUMIFS(Eventos!$G:$G,Eventos!$F:$F,$L465,Eventos!$D:$D,$C$2,Eventos!$B:$B,PANES_SEMANALES[[#ALL],[JUEVES]])</f>
        <v>0</v>
      </c>
      <c r="Q465" s="59">
        <f>IF(P465&lt;&gt;"",SUMIFS(Eventos!$G:$G,Eventos!$B:$B,Q$2,Eventos!$D:$D,$C$2,Eventos!$F:$F,$L465),"")</f>
        <v>0</v>
      </c>
      <c r="R465" s="59">
        <f>SUMIFS(Eventos!$G:$G,Eventos!$F:$F,$L465,Eventos!$D:$D,$C$2,Eventos!$B:$B,PANES_SEMANALES[[#ALL],[SÁBADO]])</f>
        <v>0</v>
      </c>
      <c r="S465" s="59">
        <f>SUMIFS(Eventos!$G:$G,Eventos!$F:$F,$L465,Eventos!$D:$D,$C$2,Eventos!$B:$B,PANES_SEMANALES[[#ALL],[DOMINGO]])</f>
        <v>0</v>
      </c>
      <c r="T465" s="59">
        <f t="shared" si="1"/>
        <v>0</v>
      </c>
    </row>
    <row r="466" ht="22.5" customHeight="1">
      <c r="M466" s="59">
        <f>SUMIFS(Eventos!$G:$G,Eventos!$F:$F,$L466,Eventos!$D:$D,$C$2,Eventos!$B:$B,PANES_SEMANALES[[#ALL],[LUNES]])</f>
        <v>0</v>
      </c>
      <c r="N466" s="59">
        <f>SUMIFS(Eventos!$G:$G,Eventos!$F:$F,$L466,Eventos!$D:$D,$C$2,Eventos!$B:$B,PANES_SEMANALES[[#ALL],[MARTES]])</f>
        <v>0</v>
      </c>
      <c r="O466" s="59">
        <f>SUMIFS(Eventos!$G:$G,Eventos!$F:$F,$L466,Eventos!$D:$D,$C$2,Eventos!$B:$B,PANES_SEMANALES[[#ALL],[MIÉRCOLES]])</f>
        <v>0</v>
      </c>
      <c r="P466" s="59">
        <f>SUMIFS(Eventos!$G:$G,Eventos!$F:$F,$L466,Eventos!$D:$D,$C$2,Eventos!$B:$B,PANES_SEMANALES[[#ALL],[JUEVES]])</f>
        <v>0</v>
      </c>
      <c r="Q466" s="59">
        <f>IF(P466&lt;&gt;"",SUMIFS(Eventos!$G:$G,Eventos!$B:$B,Q$2,Eventos!$D:$D,$C$2,Eventos!$F:$F,$L466),"")</f>
        <v>0</v>
      </c>
      <c r="R466" s="59">
        <f>SUMIFS(Eventos!$G:$G,Eventos!$F:$F,$L466,Eventos!$D:$D,$C$2,Eventos!$B:$B,PANES_SEMANALES[[#ALL],[SÁBADO]])</f>
        <v>0</v>
      </c>
      <c r="S466" s="59">
        <f>SUMIFS(Eventos!$G:$G,Eventos!$F:$F,$L466,Eventos!$D:$D,$C$2,Eventos!$B:$B,PANES_SEMANALES[[#ALL],[DOMINGO]])</f>
        <v>0</v>
      </c>
      <c r="T466" s="59">
        <f t="shared" si="1"/>
        <v>0</v>
      </c>
    </row>
    <row r="467" ht="22.5" customHeight="1">
      <c r="M467" s="59">
        <f>SUMIFS(Eventos!$G:$G,Eventos!$F:$F,$L467,Eventos!$D:$D,$C$2,Eventos!$B:$B,PANES_SEMANALES[[#ALL],[LUNES]])</f>
        <v>0</v>
      </c>
      <c r="N467" s="59">
        <f>SUMIFS(Eventos!$G:$G,Eventos!$F:$F,$L467,Eventos!$D:$D,$C$2,Eventos!$B:$B,PANES_SEMANALES[[#ALL],[MARTES]])</f>
        <v>0</v>
      </c>
      <c r="O467" s="59">
        <f>SUMIFS(Eventos!$G:$G,Eventos!$F:$F,$L467,Eventos!$D:$D,$C$2,Eventos!$B:$B,PANES_SEMANALES[[#ALL],[MIÉRCOLES]])</f>
        <v>0</v>
      </c>
      <c r="P467" s="59">
        <f>SUMIFS(Eventos!$G:$G,Eventos!$F:$F,$L467,Eventos!$D:$D,$C$2,Eventos!$B:$B,PANES_SEMANALES[[#ALL],[JUEVES]])</f>
        <v>0</v>
      </c>
      <c r="Q467" s="59">
        <f>IF(P467&lt;&gt;"",SUMIFS(Eventos!$G:$G,Eventos!$B:$B,Q$2,Eventos!$D:$D,$C$2,Eventos!$F:$F,$L467),"")</f>
        <v>0</v>
      </c>
      <c r="R467" s="59">
        <f>SUMIFS(Eventos!$G:$G,Eventos!$F:$F,$L467,Eventos!$D:$D,$C$2,Eventos!$B:$B,PANES_SEMANALES[[#ALL],[SÁBADO]])</f>
        <v>0</v>
      </c>
      <c r="S467" s="59">
        <f>SUMIFS(Eventos!$G:$G,Eventos!$F:$F,$L467,Eventos!$D:$D,$C$2,Eventos!$B:$B,PANES_SEMANALES[[#ALL],[DOMINGO]])</f>
        <v>0</v>
      </c>
      <c r="T467" s="59">
        <f t="shared" si="1"/>
        <v>0</v>
      </c>
    </row>
    <row r="468" ht="22.5" customHeight="1">
      <c r="M468" s="59">
        <f>SUMIFS(Eventos!$G:$G,Eventos!$F:$F,$L468,Eventos!$D:$D,$C$2,Eventos!$B:$B,PANES_SEMANALES[[#ALL],[LUNES]])</f>
        <v>0</v>
      </c>
      <c r="N468" s="59">
        <f>SUMIFS(Eventos!$G:$G,Eventos!$F:$F,$L468,Eventos!$D:$D,$C$2,Eventos!$B:$B,PANES_SEMANALES[[#ALL],[MARTES]])</f>
        <v>0</v>
      </c>
      <c r="O468" s="59">
        <f>SUMIFS(Eventos!$G:$G,Eventos!$F:$F,$L468,Eventos!$D:$D,$C$2,Eventos!$B:$B,PANES_SEMANALES[[#ALL],[MIÉRCOLES]])</f>
        <v>0</v>
      </c>
      <c r="P468" s="59">
        <f>SUMIFS(Eventos!$G:$G,Eventos!$F:$F,$L468,Eventos!$D:$D,$C$2,Eventos!$B:$B,PANES_SEMANALES[[#ALL],[JUEVES]])</f>
        <v>0</v>
      </c>
      <c r="Q468" s="59">
        <f>IF(P468&lt;&gt;"",SUMIFS(Eventos!$G:$G,Eventos!$B:$B,Q$2,Eventos!$D:$D,$C$2,Eventos!$F:$F,$L468),"")</f>
        <v>0</v>
      </c>
      <c r="R468" s="59">
        <f>SUMIFS(Eventos!$G:$G,Eventos!$F:$F,$L468,Eventos!$D:$D,$C$2,Eventos!$B:$B,PANES_SEMANALES[[#ALL],[SÁBADO]])</f>
        <v>0</v>
      </c>
      <c r="S468" s="59">
        <f>SUMIFS(Eventos!$G:$G,Eventos!$F:$F,$L468,Eventos!$D:$D,$C$2,Eventos!$B:$B,PANES_SEMANALES[[#ALL],[DOMINGO]])</f>
        <v>0</v>
      </c>
      <c r="T468" s="59">
        <f t="shared" si="1"/>
        <v>0</v>
      </c>
    </row>
    <row r="469" ht="22.5" customHeight="1">
      <c r="M469" s="59">
        <f>SUMIFS(Eventos!$G:$G,Eventos!$F:$F,$L469,Eventos!$D:$D,$C$2,Eventos!$B:$B,PANES_SEMANALES[[#ALL],[LUNES]])</f>
        <v>0</v>
      </c>
      <c r="N469" s="59">
        <f>SUMIFS(Eventos!$G:$G,Eventos!$F:$F,$L469,Eventos!$D:$D,$C$2,Eventos!$B:$B,PANES_SEMANALES[[#ALL],[MARTES]])</f>
        <v>0</v>
      </c>
      <c r="O469" s="59">
        <f>SUMIFS(Eventos!$G:$G,Eventos!$F:$F,$L469,Eventos!$D:$D,$C$2,Eventos!$B:$B,PANES_SEMANALES[[#ALL],[MIÉRCOLES]])</f>
        <v>0</v>
      </c>
      <c r="P469" s="59">
        <f>SUMIFS(Eventos!$G:$G,Eventos!$F:$F,$L469,Eventos!$D:$D,$C$2,Eventos!$B:$B,PANES_SEMANALES[[#ALL],[JUEVES]])</f>
        <v>0</v>
      </c>
      <c r="Q469" s="59">
        <f>IF(P469&lt;&gt;"",SUMIFS(Eventos!$G:$G,Eventos!$B:$B,Q$2,Eventos!$D:$D,$C$2,Eventos!$F:$F,$L469),"")</f>
        <v>0</v>
      </c>
      <c r="R469" s="59">
        <f>SUMIFS(Eventos!$G:$G,Eventos!$F:$F,$L469,Eventos!$D:$D,$C$2,Eventos!$B:$B,PANES_SEMANALES[[#ALL],[SÁBADO]])</f>
        <v>0</v>
      </c>
      <c r="S469" s="59">
        <f>SUMIFS(Eventos!$G:$G,Eventos!$F:$F,$L469,Eventos!$D:$D,$C$2,Eventos!$B:$B,PANES_SEMANALES[[#ALL],[DOMINGO]])</f>
        <v>0</v>
      </c>
      <c r="T469" s="59">
        <f t="shared" si="1"/>
        <v>0</v>
      </c>
    </row>
    <row r="470" ht="22.5" customHeight="1">
      <c r="M470" s="59">
        <f>SUMIFS(Eventos!$G:$G,Eventos!$F:$F,$L470,Eventos!$D:$D,$C$2,Eventos!$B:$B,PANES_SEMANALES[[#ALL],[LUNES]])</f>
        <v>0</v>
      </c>
      <c r="N470" s="59">
        <f>SUMIFS(Eventos!$G:$G,Eventos!$F:$F,$L470,Eventos!$D:$D,$C$2,Eventos!$B:$B,PANES_SEMANALES[[#ALL],[MARTES]])</f>
        <v>0</v>
      </c>
      <c r="O470" s="59">
        <f>SUMIFS(Eventos!$G:$G,Eventos!$F:$F,$L470,Eventos!$D:$D,$C$2,Eventos!$B:$B,PANES_SEMANALES[[#ALL],[MIÉRCOLES]])</f>
        <v>0</v>
      </c>
      <c r="P470" s="59">
        <f>SUMIFS(Eventos!$G:$G,Eventos!$F:$F,$L470,Eventos!$D:$D,$C$2,Eventos!$B:$B,PANES_SEMANALES[[#ALL],[JUEVES]])</f>
        <v>0</v>
      </c>
      <c r="Q470" s="59">
        <f>IF(P470&lt;&gt;"",SUMIFS(Eventos!$G:$G,Eventos!$B:$B,Q$2,Eventos!$D:$D,$C$2,Eventos!$F:$F,$L470),"")</f>
        <v>0</v>
      </c>
      <c r="R470" s="59">
        <f>SUMIFS(Eventos!$G:$G,Eventos!$F:$F,$L470,Eventos!$D:$D,$C$2,Eventos!$B:$B,PANES_SEMANALES[[#ALL],[SÁBADO]])</f>
        <v>0</v>
      </c>
      <c r="S470" s="59">
        <f>SUMIFS(Eventos!$G:$G,Eventos!$F:$F,$L470,Eventos!$D:$D,$C$2,Eventos!$B:$B,PANES_SEMANALES[[#ALL],[DOMINGO]])</f>
        <v>0</v>
      </c>
      <c r="T470" s="59">
        <f t="shared" si="1"/>
        <v>0</v>
      </c>
    </row>
    <row r="471" ht="22.5" customHeight="1">
      <c r="M471" s="59">
        <f>SUMIFS(Eventos!$G:$G,Eventos!$F:$F,$L471,Eventos!$D:$D,$C$2,Eventos!$B:$B,PANES_SEMANALES[[#ALL],[LUNES]])</f>
        <v>0</v>
      </c>
      <c r="N471" s="59">
        <f>SUMIFS(Eventos!$G:$G,Eventos!$F:$F,$L471,Eventos!$D:$D,$C$2,Eventos!$B:$B,PANES_SEMANALES[[#ALL],[MARTES]])</f>
        <v>0</v>
      </c>
      <c r="O471" s="59">
        <f>SUMIFS(Eventos!$G:$G,Eventos!$F:$F,$L471,Eventos!$D:$D,$C$2,Eventos!$B:$B,PANES_SEMANALES[[#ALL],[MIÉRCOLES]])</f>
        <v>0</v>
      </c>
      <c r="P471" s="59">
        <f>SUMIFS(Eventos!$G:$G,Eventos!$F:$F,$L471,Eventos!$D:$D,$C$2,Eventos!$B:$B,PANES_SEMANALES[[#ALL],[JUEVES]])</f>
        <v>0</v>
      </c>
      <c r="Q471" s="59">
        <f>IF(P471&lt;&gt;"",SUMIFS(Eventos!$G:$G,Eventos!$B:$B,Q$2,Eventos!$D:$D,$C$2,Eventos!$F:$F,$L471),"")</f>
        <v>0</v>
      </c>
      <c r="R471" s="59">
        <f>SUMIFS(Eventos!$G:$G,Eventos!$F:$F,$L471,Eventos!$D:$D,$C$2,Eventos!$B:$B,PANES_SEMANALES[[#ALL],[SÁBADO]])</f>
        <v>0</v>
      </c>
      <c r="S471" s="59">
        <f>SUMIFS(Eventos!$G:$G,Eventos!$F:$F,$L471,Eventos!$D:$D,$C$2,Eventos!$B:$B,PANES_SEMANALES[[#ALL],[DOMINGO]])</f>
        <v>0</v>
      </c>
      <c r="T471" s="59">
        <f t="shared" si="1"/>
        <v>0</v>
      </c>
    </row>
    <row r="472" ht="22.5" customHeight="1">
      <c r="M472" s="59">
        <f>SUMIFS(Eventos!$G:$G,Eventos!$F:$F,$L472,Eventos!$D:$D,$C$2,Eventos!$B:$B,PANES_SEMANALES[[#ALL],[LUNES]])</f>
        <v>0</v>
      </c>
      <c r="N472" s="59">
        <f>SUMIFS(Eventos!$G:$G,Eventos!$F:$F,$L472,Eventos!$D:$D,$C$2,Eventos!$B:$B,PANES_SEMANALES[[#ALL],[MARTES]])</f>
        <v>0</v>
      </c>
      <c r="O472" s="59">
        <f>SUMIFS(Eventos!$G:$G,Eventos!$F:$F,$L472,Eventos!$D:$D,$C$2,Eventos!$B:$B,PANES_SEMANALES[[#ALL],[MIÉRCOLES]])</f>
        <v>0</v>
      </c>
      <c r="P472" s="59">
        <f>SUMIFS(Eventos!$G:$G,Eventos!$F:$F,$L472,Eventos!$D:$D,$C$2,Eventos!$B:$B,PANES_SEMANALES[[#ALL],[JUEVES]])</f>
        <v>0</v>
      </c>
      <c r="Q472" s="59">
        <f>IF(P472&lt;&gt;"",SUMIFS(Eventos!$G:$G,Eventos!$B:$B,Q$2,Eventos!$D:$D,$C$2,Eventos!$F:$F,$L472),"")</f>
        <v>0</v>
      </c>
      <c r="R472" s="59">
        <f>SUMIFS(Eventos!$G:$G,Eventos!$F:$F,$L472,Eventos!$D:$D,$C$2,Eventos!$B:$B,PANES_SEMANALES[[#ALL],[SÁBADO]])</f>
        <v>0</v>
      </c>
      <c r="S472" s="59">
        <f>SUMIFS(Eventos!$G:$G,Eventos!$F:$F,$L472,Eventos!$D:$D,$C$2,Eventos!$B:$B,PANES_SEMANALES[[#ALL],[DOMINGO]])</f>
        <v>0</v>
      </c>
      <c r="T472" s="59">
        <f t="shared" si="1"/>
        <v>0</v>
      </c>
    </row>
    <row r="473" ht="22.5" customHeight="1">
      <c r="M473" s="59">
        <f>SUMIFS(Eventos!$G:$G,Eventos!$F:$F,$L473,Eventos!$D:$D,$C$2,Eventos!$B:$B,PANES_SEMANALES[[#ALL],[LUNES]])</f>
        <v>0</v>
      </c>
      <c r="N473" s="59">
        <f>SUMIFS(Eventos!$G:$G,Eventos!$F:$F,$L473,Eventos!$D:$D,$C$2,Eventos!$B:$B,PANES_SEMANALES[[#ALL],[MARTES]])</f>
        <v>0</v>
      </c>
      <c r="O473" s="59">
        <f>SUMIFS(Eventos!$G:$G,Eventos!$F:$F,$L473,Eventos!$D:$D,$C$2,Eventos!$B:$B,PANES_SEMANALES[[#ALL],[MIÉRCOLES]])</f>
        <v>0</v>
      </c>
      <c r="P473" s="59">
        <f>SUMIFS(Eventos!$G:$G,Eventos!$F:$F,$L473,Eventos!$D:$D,$C$2,Eventos!$B:$B,PANES_SEMANALES[[#ALL],[JUEVES]])</f>
        <v>0</v>
      </c>
      <c r="Q473" s="59">
        <f>IF(P473&lt;&gt;"",SUMIFS(Eventos!$G:$G,Eventos!$B:$B,Q$2,Eventos!$D:$D,$C$2,Eventos!$F:$F,$L473),"")</f>
        <v>0</v>
      </c>
      <c r="R473" s="59">
        <f>SUMIFS(Eventos!$G:$G,Eventos!$F:$F,$L473,Eventos!$D:$D,$C$2,Eventos!$B:$B,PANES_SEMANALES[[#ALL],[SÁBADO]])</f>
        <v>0</v>
      </c>
      <c r="S473" s="59">
        <f>SUMIFS(Eventos!$G:$G,Eventos!$F:$F,$L473,Eventos!$D:$D,$C$2,Eventos!$B:$B,PANES_SEMANALES[[#ALL],[DOMINGO]])</f>
        <v>0</v>
      </c>
      <c r="T473" s="59">
        <f t="shared" si="1"/>
        <v>0</v>
      </c>
    </row>
    <row r="474" ht="22.5" customHeight="1">
      <c r="M474" s="59">
        <f>SUMIFS(Eventos!$G:$G,Eventos!$F:$F,$L474,Eventos!$D:$D,$C$2,Eventos!$B:$B,PANES_SEMANALES[[#ALL],[LUNES]])</f>
        <v>0</v>
      </c>
      <c r="N474" s="59">
        <f>SUMIFS(Eventos!$G:$G,Eventos!$F:$F,$L474,Eventos!$D:$D,$C$2,Eventos!$B:$B,PANES_SEMANALES[[#ALL],[MARTES]])</f>
        <v>0</v>
      </c>
      <c r="O474" s="59">
        <f>SUMIFS(Eventos!$G:$G,Eventos!$F:$F,$L474,Eventos!$D:$D,$C$2,Eventos!$B:$B,PANES_SEMANALES[[#ALL],[MIÉRCOLES]])</f>
        <v>0</v>
      </c>
      <c r="P474" s="59">
        <f>SUMIFS(Eventos!$G:$G,Eventos!$F:$F,$L474,Eventos!$D:$D,$C$2,Eventos!$B:$B,PANES_SEMANALES[[#ALL],[JUEVES]])</f>
        <v>0</v>
      </c>
      <c r="Q474" s="59">
        <f>IF(P474&lt;&gt;"",SUMIFS(Eventos!$G:$G,Eventos!$B:$B,Q$2,Eventos!$D:$D,$C$2,Eventos!$F:$F,$L474),"")</f>
        <v>0</v>
      </c>
      <c r="R474" s="59">
        <f>SUMIFS(Eventos!$G:$G,Eventos!$F:$F,$L474,Eventos!$D:$D,$C$2,Eventos!$B:$B,PANES_SEMANALES[[#ALL],[SÁBADO]])</f>
        <v>0</v>
      </c>
      <c r="S474" s="59">
        <f>SUMIFS(Eventos!$G:$G,Eventos!$F:$F,$L474,Eventos!$D:$D,$C$2,Eventos!$B:$B,PANES_SEMANALES[[#ALL],[DOMINGO]])</f>
        <v>0</v>
      </c>
      <c r="T474" s="59">
        <f t="shared" si="1"/>
        <v>0</v>
      </c>
    </row>
    <row r="475" ht="22.5" customHeight="1">
      <c r="M475" s="59">
        <f>SUMIFS(Eventos!$G:$G,Eventos!$F:$F,$L475,Eventos!$D:$D,$C$2,Eventos!$B:$B,PANES_SEMANALES[[#ALL],[LUNES]])</f>
        <v>0</v>
      </c>
      <c r="N475" s="59">
        <f>SUMIFS(Eventos!$G:$G,Eventos!$F:$F,$L475,Eventos!$D:$D,$C$2,Eventos!$B:$B,PANES_SEMANALES[[#ALL],[MARTES]])</f>
        <v>0</v>
      </c>
      <c r="O475" s="59">
        <f>SUMIFS(Eventos!$G:$G,Eventos!$F:$F,$L475,Eventos!$D:$D,$C$2,Eventos!$B:$B,PANES_SEMANALES[[#ALL],[MIÉRCOLES]])</f>
        <v>0</v>
      </c>
      <c r="P475" s="59">
        <f>SUMIFS(Eventos!$G:$G,Eventos!$F:$F,$L475,Eventos!$D:$D,$C$2,Eventos!$B:$B,PANES_SEMANALES[[#ALL],[JUEVES]])</f>
        <v>0</v>
      </c>
      <c r="Q475" s="59">
        <f>IF(P475&lt;&gt;"",SUMIFS(Eventos!$G:$G,Eventos!$B:$B,Q$2,Eventos!$D:$D,$C$2,Eventos!$F:$F,$L475),"")</f>
        <v>0</v>
      </c>
      <c r="R475" s="59">
        <f>SUMIFS(Eventos!$G:$G,Eventos!$F:$F,$L475,Eventos!$D:$D,$C$2,Eventos!$B:$B,PANES_SEMANALES[[#ALL],[SÁBADO]])</f>
        <v>0</v>
      </c>
      <c r="S475" s="59">
        <f>SUMIFS(Eventos!$G:$G,Eventos!$F:$F,$L475,Eventos!$D:$D,$C$2,Eventos!$B:$B,PANES_SEMANALES[[#ALL],[DOMINGO]])</f>
        <v>0</v>
      </c>
      <c r="T475" s="59">
        <f t="shared" si="1"/>
        <v>0</v>
      </c>
    </row>
    <row r="476" ht="22.5" customHeight="1">
      <c r="M476" s="59">
        <f>SUMIFS(Eventos!$G:$G,Eventos!$F:$F,$L476,Eventos!$D:$D,$C$2,Eventos!$B:$B,PANES_SEMANALES[[#ALL],[LUNES]])</f>
        <v>0</v>
      </c>
      <c r="N476" s="59">
        <f>SUMIFS(Eventos!$G:$G,Eventos!$F:$F,$L476,Eventos!$D:$D,$C$2,Eventos!$B:$B,PANES_SEMANALES[[#ALL],[MARTES]])</f>
        <v>0</v>
      </c>
      <c r="O476" s="59">
        <f>SUMIFS(Eventos!$G:$G,Eventos!$F:$F,$L476,Eventos!$D:$D,$C$2,Eventos!$B:$B,PANES_SEMANALES[[#ALL],[MIÉRCOLES]])</f>
        <v>0</v>
      </c>
      <c r="P476" s="59">
        <f>SUMIFS(Eventos!$G:$G,Eventos!$F:$F,$L476,Eventos!$D:$D,$C$2,Eventos!$B:$B,PANES_SEMANALES[[#ALL],[JUEVES]])</f>
        <v>0</v>
      </c>
      <c r="Q476" s="59">
        <f>IF(P476&lt;&gt;"",SUMIFS(Eventos!$G:$G,Eventos!$B:$B,Q$2,Eventos!$D:$D,$C$2,Eventos!$F:$F,$L476),"")</f>
        <v>0</v>
      </c>
      <c r="R476" s="59">
        <f>SUMIFS(Eventos!$G:$G,Eventos!$F:$F,$L476,Eventos!$D:$D,$C$2,Eventos!$B:$B,PANES_SEMANALES[[#ALL],[SÁBADO]])</f>
        <v>0</v>
      </c>
      <c r="S476" s="59">
        <f>SUMIFS(Eventos!$G:$G,Eventos!$F:$F,$L476,Eventos!$D:$D,$C$2,Eventos!$B:$B,PANES_SEMANALES[[#ALL],[DOMINGO]])</f>
        <v>0</v>
      </c>
      <c r="T476" s="59">
        <f t="shared" si="1"/>
        <v>0</v>
      </c>
    </row>
    <row r="477" ht="22.5" customHeight="1">
      <c r="M477" s="59">
        <f>SUMIFS(Eventos!$G:$G,Eventos!$F:$F,$L477,Eventos!$D:$D,$C$2,Eventos!$B:$B,PANES_SEMANALES[[#ALL],[LUNES]])</f>
        <v>0</v>
      </c>
      <c r="N477" s="59">
        <f>SUMIFS(Eventos!$G:$G,Eventos!$F:$F,$L477,Eventos!$D:$D,$C$2,Eventos!$B:$B,PANES_SEMANALES[[#ALL],[MARTES]])</f>
        <v>0</v>
      </c>
      <c r="O477" s="59">
        <f>SUMIFS(Eventos!$G:$G,Eventos!$F:$F,$L477,Eventos!$D:$D,$C$2,Eventos!$B:$B,PANES_SEMANALES[[#ALL],[MIÉRCOLES]])</f>
        <v>0</v>
      </c>
      <c r="P477" s="59">
        <f>SUMIFS(Eventos!$G:$G,Eventos!$F:$F,$L477,Eventos!$D:$D,$C$2,Eventos!$B:$B,PANES_SEMANALES[[#ALL],[JUEVES]])</f>
        <v>0</v>
      </c>
      <c r="Q477" s="59">
        <f>IF(P477&lt;&gt;"",SUMIFS(Eventos!$G:$G,Eventos!$B:$B,Q$2,Eventos!$D:$D,$C$2,Eventos!$F:$F,$L477),"")</f>
        <v>0</v>
      </c>
      <c r="R477" s="59">
        <f>SUMIFS(Eventos!$G:$G,Eventos!$F:$F,$L477,Eventos!$D:$D,$C$2,Eventos!$B:$B,PANES_SEMANALES[[#ALL],[SÁBADO]])</f>
        <v>0</v>
      </c>
      <c r="S477" s="59">
        <f>SUMIFS(Eventos!$G:$G,Eventos!$F:$F,$L477,Eventos!$D:$D,$C$2,Eventos!$B:$B,PANES_SEMANALES[[#ALL],[DOMINGO]])</f>
        <v>0</v>
      </c>
      <c r="T477" s="59">
        <f t="shared" si="1"/>
        <v>0</v>
      </c>
    </row>
    <row r="478" ht="22.5" customHeight="1">
      <c r="M478" s="59">
        <f>SUMIFS(Eventos!$G:$G,Eventos!$F:$F,$L478,Eventos!$D:$D,$C$2,Eventos!$B:$B,PANES_SEMANALES[[#ALL],[LUNES]])</f>
        <v>0</v>
      </c>
      <c r="N478" s="59">
        <f>SUMIFS(Eventos!$G:$G,Eventos!$F:$F,$L478,Eventos!$D:$D,$C$2,Eventos!$B:$B,PANES_SEMANALES[[#ALL],[MARTES]])</f>
        <v>0</v>
      </c>
      <c r="O478" s="59">
        <f>SUMIFS(Eventos!$G:$G,Eventos!$F:$F,$L478,Eventos!$D:$D,$C$2,Eventos!$B:$B,PANES_SEMANALES[[#ALL],[MIÉRCOLES]])</f>
        <v>0</v>
      </c>
      <c r="P478" s="59">
        <f>SUMIFS(Eventos!$G:$G,Eventos!$F:$F,$L478,Eventos!$D:$D,$C$2,Eventos!$B:$B,PANES_SEMANALES[[#ALL],[JUEVES]])</f>
        <v>0</v>
      </c>
      <c r="Q478" s="59">
        <f>IF(P478&lt;&gt;"",SUMIFS(Eventos!$G:$G,Eventos!$B:$B,Q$2,Eventos!$D:$D,$C$2,Eventos!$F:$F,$L478),"")</f>
        <v>0</v>
      </c>
      <c r="R478" s="59">
        <f>SUMIFS(Eventos!$G:$G,Eventos!$F:$F,$L478,Eventos!$D:$D,$C$2,Eventos!$B:$B,PANES_SEMANALES[[#ALL],[SÁBADO]])</f>
        <v>0</v>
      </c>
      <c r="S478" s="59">
        <f>SUMIFS(Eventos!$G:$G,Eventos!$F:$F,$L478,Eventos!$D:$D,$C$2,Eventos!$B:$B,PANES_SEMANALES[[#ALL],[DOMINGO]])</f>
        <v>0</v>
      </c>
      <c r="T478" s="59">
        <f t="shared" si="1"/>
        <v>0</v>
      </c>
    </row>
    <row r="479" ht="22.5" customHeight="1">
      <c r="M479" s="59">
        <f>SUMIFS(Eventos!$G:$G,Eventos!$F:$F,$L479,Eventos!$D:$D,$C$2,Eventos!$B:$B,PANES_SEMANALES[[#ALL],[LUNES]])</f>
        <v>0</v>
      </c>
      <c r="N479" s="59">
        <f>SUMIFS(Eventos!$G:$G,Eventos!$F:$F,$L479,Eventos!$D:$D,$C$2,Eventos!$B:$B,PANES_SEMANALES[[#ALL],[MARTES]])</f>
        <v>0</v>
      </c>
      <c r="O479" s="59">
        <f>SUMIFS(Eventos!$G:$G,Eventos!$F:$F,$L479,Eventos!$D:$D,$C$2,Eventos!$B:$B,PANES_SEMANALES[[#ALL],[MIÉRCOLES]])</f>
        <v>0</v>
      </c>
      <c r="P479" s="59">
        <f>SUMIFS(Eventos!$G:$G,Eventos!$F:$F,$L479,Eventos!$D:$D,$C$2,Eventos!$B:$B,PANES_SEMANALES[[#ALL],[JUEVES]])</f>
        <v>0</v>
      </c>
      <c r="Q479" s="59">
        <f>IF(P479&lt;&gt;"",SUMIFS(Eventos!$G:$G,Eventos!$B:$B,Q$2,Eventos!$D:$D,$C$2,Eventos!$F:$F,$L479),"")</f>
        <v>0</v>
      </c>
      <c r="R479" s="59">
        <f>SUMIFS(Eventos!$G:$G,Eventos!$F:$F,$L479,Eventos!$D:$D,$C$2,Eventos!$B:$B,PANES_SEMANALES[[#ALL],[SÁBADO]])</f>
        <v>0</v>
      </c>
      <c r="S479" s="59">
        <f>SUMIFS(Eventos!$G:$G,Eventos!$F:$F,$L479,Eventos!$D:$D,$C$2,Eventos!$B:$B,PANES_SEMANALES[[#ALL],[DOMINGO]])</f>
        <v>0</v>
      </c>
      <c r="T479" s="59">
        <f t="shared" si="1"/>
        <v>0</v>
      </c>
    </row>
    <row r="480" ht="22.5" customHeight="1">
      <c r="M480" s="59">
        <f>SUMIFS(Eventos!$G:$G,Eventos!$F:$F,$L480,Eventos!$D:$D,$C$2,Eventos!$B:$B,PANES_SEMANALES[[#ALL],[LUNES]])</f>
        <v>0</v>
      </c>
      <c r="N480" s="59">
        <f>SUMIFS(Eventos!$G:$G,Eventos!$F:$F,$L480,Eventos!$D:$D,$C$2,Eventos!$B:$B,PANES_SEMANALES[[#ALL],[MARTES]])</f>
        <v>0</v>
      </c>
      <c r="O480" s="59">
        <f>SUMIFS(Eventos!$G:$G,Eventos!$F:$F,$L480,Eventos!$D:$D,$C$2,Eventos!$B:$B,PANES_SEMANALES[[#ALL],[MIÉRCOLES]])</f>
        <v>0</v>
      </c>
      <c r="P480" s="59">
        <f>SUMIFS(Eventos!$G:$G,Eventos!$F:$F,$L480,Eventos!$D:$D,$C$2,Eventos!$B:$B,PANES_SEMANALES[[#ALL],[JUEVES]])</f>
        <v>0</v>
      </c>
      <c r="Q480" s="59">
        <f>IF(P480&lt;&gt;"",SUMIFS(Eventos!$G:$G,Eventos!$B:$B,Q$2,Eventos!$D:$D,$C$2,Eventos!$F:$F,$L480),"")</f>
        <v>0</v>
      </c>
      <c r="R480" s="59">
        <f>SUMIFS(Eventos!$G:$G,Eventos!$F:$F,$L480,Eventos!$D:$D,$C$2,Eventos!$B:$B,PANES_SEMANALES[[#ALL],[SÁBADO]])</f>
        <v>0</v>
      </c>
      <c r="S480" s="59">
        <f>SUMIFS(Eventos!$G:$G,Eventos!$F:$F,$L480,Eventos!$D:$D,$C$2,Eventos!$B:$B,PANES_SEMANALES[[#ALL],[DOMINGO]])</f>
        <v>0</v>
      </c>
      <c r="T480" s="59">
        <f t="shared" si="1"/>
        <v>0</v>
      </c>
    </row>
    <row r="481" ht="22.5" customHeight="1">
      <c r="M481" s="59">
        <f>SUMIFS(Eventos!$G:$G,Eventos!$F:$F,$L481,Eventos!$D:$D,$C$2,Eventos!$B:$B,PANES_SEMANALES[[#ALL],[LUNES]])</f>
        <v>0</v>
      </c>
      <c r="N481" s="59">
        <f>SUMIFS(Eventos!$G:$G,Eventos!$F:$F,$L481,Eventos!$D:$D,$C$2,Eventos!$B:$B,PANES_SEMANALES[[#ALL],[MARTES]])</f>
        <v>0</v>
      </c>
      <c r="O481" s="59">
        <f>SUMIFS(Eventos!$G:$G,Eventos!$F:$F,$L481,Eventos!$D:$D,$C$2,Eventos!$B:$B,PANES_SEMANALES[[#ALL],[MIÉRCOLES]])</f>
        <v>0</v>
      </c>
      <c r="P481" s="59">
        <f>SUMIFS(Eventos!$G:$G,Eventos!$F:$F,$L481,Eventos!$D:$D,$C$2,Eventos!$B:$B,PANES_SEMANALES[[#ALL],[JUEVES]])</f>
        <v>0</v>
      </c>
      <c r="Q481" s="59">
        <f>IF(P481&lt;&gt;"",SUMIFS(Eventos!$G:$G,Eventos!$B:$B,Q$2,Eventos!$D:$D,$C$2,Eventos!$F:$F,$L481),"")</f>
        <v>0</v>
      </c>
      <c r="R481" s="59">
        <f>SUMIFS(Eventos!$G:$G,Eventos!$F:$F,$L481,Eventos!$D:$D,$C$2,Eventos!$B:$B,PANES_SEMANALES[[#ALL],[SÁBADO]])</f>
        <v>0</v>
      </c>
      <c r="S481" s="59">
        <f>SUMIFS(Eventos!$G:$G,Eventos!$F:$F,$L481,Eventos!$D:$D,$C$2,Eventos!$B:$B,PANES_SEMANALES[[#ALL],[DOMINGO]])</f>
        <v>0</v>
      </c>
      <c r="T481" s="59">
        <f t="shared" si="1"/>
        <v>0</v>
      </c>
    </row>
    <row r="482" ht="22.5" customHeight="1">
      <c r="M482" s="59">
        <f>SUMIFS(Eventos!$G:$G,Eventos!$F:$F,$L482,Eventos!$D:$D,$C$2,Eventos!$B:$B,PANES_SEMANALES[[#ALL],[LUNES]])</f>
        <v>0</v>
      </c>
      <c r="N482" s="59">
        <f>SUMIFS(Eventos!$G:$G,Eventos!$F:$F,$L482,Eventos!$D:$D,$C$2,Eventos!$B:$B,PANES_SEMANALES[[#ALL],[MARTES]])</f>
        <v>0</v>
      </c>
      <c r="O482" s="59">
        <f>SUMIFS(Eventos!$G:$G,Eventos!$F:$F,$L482,Eventos!$D:$D,$C$2,Eventos!$B:$B,PANES_SEMANALES[[#ALL],[MIÉRCOLES]])</f>
        <v>0</v>
      </c>
      <c r="P482" s="59">
        <f>SUMIFS(Eventos!$G:$G,Eventos!$F:$F,$L482,Eventos!$D:$D,$C$2,Eventos!$B:$B,PANES_SEMANALES[[#ALL],[JUEVES]])</f>
        <v>0</v>
      </c>
      <c r="Q482" s="59">
        <f>IF(P482&lt;&gt;"",SUMIFS(Eventos!$G:$G,Eventos!$B:$B,Q$2,Eventos!$D:$D,$C$2,Eventos!$F:$F,$L482),"")</f>
        <v>0</v>
      </c>
      <c r="R482" s="59">
        <f>SUMIFS(Eventos!$G:$G,Eventos!$F:$F,$L482,Eventos!$D:$D,$C$2,Eventos!$B:$B,PANES_SEMANALES[[#ALL],[SÁBADO]])</f>
        <v>0</v>
      </c>
      <c r="S482" s="59">
        <f>SUMIFS(Eventos!$G:$G,Eventos!$F:$F,$L482,Eventos!$D:$D,$C$2,Eventos!$B:$B,PANES_SEMANALES[[#ALL],[DOMINGO]])</f>
        <v>0</v>
      </c>
      <c r="T482" s="59">
        <f t="shared" si="1"/>
        <v>0</v>
      </c>
    </row>
    <row r="483" ht="22.5" customHeight="1">
      <c r="M483" s="59">
        <f>SUMIFS(Eventos!$G:$G,Eventos!$F:$F,$L483,Eventos!$D:$D,$C$2,Eventos!$B:$B,PANES_SEMANALES[[#ALL],[LUNES]])</f>
        <v>0</v>
      </c>
      <c r="N483" s="59">
        <f>SUMIFS(Eventos!$G:$G,Eventos!$F:$F,$L483,Eventos!$D:$D,$C$2,Eventos!$B:$B,PANES_SEMANALES[[#ALL],[MARTES]])</f>
        <v>0</v>
      </c>
      <c r="O483" s="59">
        <f>SUMIFS(Eventos!$G:$G,Eventos!$F:$F,$L483,Eventos!$D:$D,$C$2,Eventos!$B:$B,PANES_SEMANALES[[#ALL],[MIÉRCOLES]])</f>
        <v>0</v>
      </c>
      <c r="P483" s="59">
        <f>SUMIFS(Eventos!$G:$G,Eventos!$F:$F,$L483,Eventos!$D:$D,$C$2,Eventos!$B:$B,PANES_SEMANALES[[#ALL],[JUEVES]])</f>
        <v>0</v>
      </c>
      <c r="Q483" s="59">
        <f>IF(P483&lt;&gt;"",SUMIFS(Eventos!$G:$G,Eventos!$B:$B,Q$2,Eventos!$D:$D,$C$2,Eventos!$F:$F,$L483),"")</f>
        <v>0</v>
      </c>
      <c r="R483" s="59">
        <f>SUMIFS(Eventos!$G:$G,Eventos!$F:$F,$L483,Eventos!$D:$D,$C$2,Eventos!$B:$B,PANES_SEMANALES[[#ALL],[SÁBADO]])</f>
        <v>0</v>
      </c>
      <c r="S483" s="59">
        <f>SUMIFS(Eventos!$G:$G,Eventos!$F:$F,$L483,Eventos!$D:$D,$C$2,Eventos!$B:$B,PANES_SEMANALES[[#ALL],[DOMINGO]])</f>
        <v>0</v>
      </c>
      <c r="T483" s="59">
        <f t="shared" si="1"/>
        <v>0</v>
      </c>
    </row>
    <row r="484" ht="22.5" customHeight="1">
      <c r="M484" s="59">
        <f>SUMIFS(Eventos!$G:$G,Eventos!$F:$F,$L484,Eventos!$D:$D,$C$2,Eventos!$B:$B,PANES_SEMANALES[[#ALL],[LUNES]])</f>
        <v>0</v>
      </c>
      <c r="N484" s="59">
        <f>SUMIFS(Eventos!$G:$G,Eventos!$F:$F,$L484,Eventos!$D:$D,$C$2,Eventos!$B:$B,PANES_SEMANALES[[#ALL],[MARTES]])</f>
        <v>0</v>
      </c>
      <c r="O484" s="59">
        <f>SUMIFS(Eventos!$G:$G,Eventos!$F:$F,$L484,Eventos!$D:$D,$C$2,Eventos!$B:$B,PANES_SEMANALES[[#ALL],[MIÉRCOLES]])</f>
        <v>0</v>
      </c>
      <c r="P484" s="59">
        <f>SUMIFS(Eventos!$G:$G,Eventos!$F:$F,$L484,Eventos!$D:$D,$C$2,Eventos!$B:$B,PANES_SEMANALES[[#ALL],[JUEVES]])</f>
        <v>0</v>
      </c>
      <c r="Q484" s="59">
        <f>IF(P484&lt;&gt;"",SUMIFS(Eventos!$G:$G,Eventos!$B:$B,Q$2,Eventos!$D:$D,$C$2,Eventos!$F:$F,$L484),"")</f>
        <v>0</v>
      </c>
      <c r="R484" s="59">
        <f>SUMIFS(Eventos!$G:$G,Eventos!$F:$F,$L484,Eventos!$D:$D,$C$2,Eventos!$B:$B,PANES_SEMANALES[[#ALL],[SÁBADO]])</f>
        <v>0</v>
      </c>
      <c r="S484" s="59">
        <f>SUMIFS(Eventos!$G:$G,Eventos!$F:$F,$L484,Eventos!$D:$D,$C$2,Eventos!$B:$B,PANES_SEMANALES[[#ALL],[DOMINGO]])</f>
        <v>0</v>
      </c>
      <c r="T484" s="59">
        <f t="shared" si="1"/>
        <v>0</v>
      </c>
    </row>
    <row r="485" ht="22.5" customHeight="1">
      <c r="M485" s="59">
        <f>SUMIFS(Eventos!$G:$G,Eventos!$F:$F,$L485,Eventos!$D:$D,$C$2,Eventos!$B:$B,PANES_SEMANALES[[#ALL],[LUNES]])</f>
        <v>0</v>
      </c>
      <c r="N485" s="59">
        <f>SUMIFS(Eventos!$G:$G,Eventos!$F:$F,$L485,Eventos!$D:$D,$C$2,Eventos!$B:$B,PANES_SEMANALES[[#ALL],[MARTES]])</f>
        <v>0</v>
      </c>
      <c r="O485" s="59">
        <f>SUMIFS(Eventos!$G:$G,Eventos!$F:$F,$L485,Eventos!$D:$D,$C$2,Eventos!$B:$B,PANES_SEMANALES[[#ALL],[MIÉRCOLES]])</f>
        <v>0</v>
      </c>
      <c r="P485" s="59">
        <f>SUMIFS(Eventos!$G:$G,Eventos!$F:$F,$L485,Eventos!$D:$D,$C$2,Eventos!$B:$B,PANES_SEMANALES[[#ALL],[JUEVES]])</f>
        <v>0</v>
      </c>
      <c r="Q485" s="59">
        <f>IF(P485&lt;&gt;"",SUMIFS(Eventos!$G:$G,Eventos!$B:$B,Q$2,Eventos!$D:$D,$C$2,Eventos!$F:$F,$L485),"")</f>
        <v>0</v>
      </c>
      <c r="R485" s="59">
        <f>SUMIFS(Eventos!$G:$G,Eventos!$F:$F,$L485,Eventos!$D:$D,$C$2,Eventos!$B:$B,PANES_SEMANALES[[#ALL],[SÁBADO]])</f>
        <v>0</v>
      </c>
      <c r="S485" s="59">
        <f>SUMIFS(Eventos!$G:$G,Eventos!$F:$F,$L485,Eventos!$D:$D,$C$2,Eventos!$B:$B,PANES_SEMANALES[[#ALL],[DOMINGO]])</f>
        <v>0</v>
      </c>
      <c r="T485" s="59">
        <f t="shared" si="1"/>
        <v>0</v>
      </c>
    </row>
    <row r="486" ht="22.5" customHeight="1">
      <c r="M486" s="59">
        <f>SUMIFS(Eventos!$G:$G,Eventos!$F:$F,$L486,Eventos!$D:$D,$C$2,Eventos!$B:$B,PANES_SEMANALES[[#ALL],[LUNES]])</f>
        <v>0</v>
      </c>
      <c r="N486" s="59">
        <f>SUMIFS(Eventos!$G:$G,Eventos!$F:$F,$L486,Eventos!$D:$D,$C$2,Eventos!$B:$B,PANES_SEMANALES[[#ALL],[MARTES]])</f>
        <v>0</v>
      </c>
      <c r="O486" s="59">
        <f>SUMIFS(Eventos!$G:$G,Eventos!$F:$F,$L486,Eventos!$D:$D,$C$2,Eventos!$B:$B,PANES_SEMANALES[[#ALL],[MIÉRCOLES]])</f>
        <v>0</v>
      </c>
      <c r="P486" s="59">
        <f>SUMIFS(Eventos!$G:$G,Eventos!$F:$F,$L486,Eventos!$D:$D,$C$2,Eventos!$B:$B,PANES_SEMANALES[[#ALL],[JUEVES]])</f>
        <v>0</v>
      </c>
      <c r="Q486" s="59">
        <f>IF(P486&lt;&gt;"",SUMIFS(Eventos!$G:$G,Eventos!$B:$B,Q$2,Eventos!$D:$D,$C$2,Eventos!$F:$F,$L486),"")</f>
        <v>0</v>
      </c>
      <c r="R486" s="59">
        <f>SUMIFS(Eventos!$G:$G,Eventos!$F:$F,$L486,Eventos!$D:$D,$C$2,Eventos!$B:$B,PANES_SEMANALES[[#ALL],[SÁBADO]])</f>
        <v>0</v>
      </c>
      <c r="S486" s="59">
        <f>SUMIFS(Eventos!$G:$G,Eventos!$F:$F,$L486,Eventos!$D:$D,$C$2,Eventos!$B:$B,PANES_SEMANALES[[#ALL],[DOMINGO]])</f>
        <v>0</v>
      </c>
      <c r="T486" s="59">
        <f t="shared" si="1"/>
        <v>0</v>
      </c>
    </row>
    <row r="487" ht="22.5" customHeight="1">
      <c r="M487" s="59">
        <f>SUMIFS(Eventos!$G:$G,Eventos!$F:$F,$L487,Eventos!$D:$D,$C$2,Eventos!$B:$B,PANES_SEMANALES[[#ALL],[LUNES]])</f>
        <v>0</v>
      </c>
      <c r="N487" s="59">
        <f>SUMIFS(Eventos!$G:$G,Eventos!$F:$F,$L487,Eventos!$D:$D,$C$2,Eventos!$B:$B,PANES_SEMANALES[[#ALL],[MARTES]])</f>
        <v>0</v>
      </c>
      <c r="O487" s="59">
        <f>SUMIFS(Eventos!$G:$G,Eventos!$F:$F,$L487,Eventos!$D:$D,$C$2,Eventos!$B:$B,PANES_SEMANALES[[#ALL],[MIÉRCOLES]])</f>
        <v>0</v>
      </c>
      <c r="P487" s="59">
        <f>SUMIFS(Eventos!$G:$G,Eventos!$F:$F,$L487,Eventos!$D:$D,$C$2,Eventos!$B:$B,PANES_SEMANALES[[#ALL],[JUEVES]])</f>
        <v>0</v>
      </c>
      <c r="Q487" s="59">
        <f>IF(P487&lt;&gt;"",SUMIFS(Eventos!$G:$G,Eventos!$B:$B,Q$2,Eventos!$D:$D,$C$2,Eventos!$F:$F,$L487),"")</f>
        <v>0</v>
      </c>
      <c r="R487" s="59">
        <f>SUMIFS(Eventos!$G:$G,Eventos!$F:$F,$L487,Eventos!$D:$D,$C$2,Eventos!$B:$B,PANES_SEMANALES[[#ALL],[SÁBADO]])</f>
        <v>0</v>
      </c>
      <c r="S487" s="59">
        <f>SUMIFS(Eventos!$G:$G,Eventos!$F:$F,$L487,Eventos!$D:$D,$C$2,Eventos!$B:$B,PANES_SEMANALES[[#ALL],[DOMINGO]])</f>
        <v>0</v>
      </c>
      <c r="T487" s="59">
        <f t="shared" si="1"/>
        <v>0</v>
      </c>
    </row>
    <row r="488" ht="22.5" customHeight="1">
      <c r="M488" s="59">
        <f>SUMIFS(Eventos!$G:$G,Eventos!$F:$F,$L488,Eventos!$D:$D,$C$2,Eventos!$B:$B,PANES_SEMANALES[[#ALL],[LUNES]])</f>
        <v>0</v>
      </c>
      <c r="N488" s="59">
        <f>SUMIFS(Eventos!$G:$G,Eventos!$F:$F,$L488,Eventos!$D:$D,$C$2,Eventos!$B:$B,PANES_SEMANALES[[#ALL],[MARTES]])</f>
        <v>0</v>
      </c>
      <c r="O488" s="59">
        <f>SUMIFS(Eventos!$G:$G,Eventos!$F:$F,$L488,Eventos!$D:$D,$C$2,Eventos!$B:$B,PANES_SEMANALES[[#ALL],[MIÉRCOLES]])</f>
        <v>0</v>
      </c>
      <c r="P488" s="59">
        <f>SUMIFS(Eventos!$G:$G,Eventos!$F:$F,$L488,Eventos!$D:$D,$C$2,Eventos!$B:$B,PANES_SEMANALES[[#ALL],[JUEVES]])</f>
        <v>0</v>
      </c>
      <c r="Q488" s="59">
        <f>IF(P488&lt;&gt;"",SUMIFS(Eventos!$G:$G,Eventos!$B:$B,Q$2,Eventos!$D:$D,$C$2,Eventos!$F:$F,$L488),"")</f>
        <v>0</v>
      </c>
      <c r="R488" s="59">
        <f>SUMIFS(Eventos!$G:$G,Eventos!$F:$F,$L488,Eventos!$D:$D,$C$2,Eventos!$B:$B,PANES_SEMANALES[[#ALL],[SÁBADO]])</f>
        <v>0</v>
      </c>
      <c r="S488" s="59">
        <f>SUMIFS(Eventos!$G:$G,Eventos!$F:$F,$L488,Eventos!$D:$D,$C$2,Eventos!$B:$B,PANES_SEMANALES[[#ALL],[DOMINGO]])</f>
        <v>0</v>
      </c>
      <c r="T488" s="59">
        <f t="shared" si="1"/>
        <v>0</v>
      </c>
    </row>
    <row r="489" ht="22.5" customHeight="1">
      <c r="M489" s="59">
        <f>SUMIFS(Eventos!$G:$G,Eventos!$F:$F,$L489,Eventos!$D:$D,$C$2,Eventos!$B:$B,PANES_SEMANALES[[#ALL],[LUNES]])</f>
        <v>0</v>
      </c>
      <c r="N489" s="59">
        <f>SUMIFS(Eventos!$G:$G,Eventos!$F:$F,$L489,Eventos!$D:$D,$C$2,Eventos!$B:$B,PANES_SEMANALES[[#ALL],[MARTES]])</f>
        <v>0</v>
      </c>
      <c r="O489" s="59">
        <f>SUMIFS(Eventos!$G:$G,Eventos!$F:$F,$L489,Eventos!$D:$D,$C$2,Eventos!$B:$B,PANES_SEMANALES[[#ALL],[MIÉRCOLES]])</f>
        <v>0</v>
      </c>
      <c r="P489" s="59">
        <f>SUMIFS(Eventos!$G:$G,Eventos!$F:$F,$L489,Eventos!$D:$D,$C$2,Eventos!$B:$B,PANES_SEMANALES[[#ALL],[JUEVES]])</f>
        <v>0</v>
      </c>
      <c r="Q489" s="59">
        <f>IF(P489&lt;&gt;"",SUMIFS(Eventos!$G:$G,Eventos!$B:$B,Q$2,Eventos!$D:$D,$C$2,Eventos!$F:$F,$L489),"")</f>
        <v>0</v>
      </c>
      <c r="R489" s="59">
        <f>SUMIFS(Eventos!$G:$G,Eventos!$F:$F,$L489,Eventos!$D:$D,$C$2,Eventos!$B:$B,PANES_SEMANALES[[#ALL],[SÁBADO]])</f>
        <v>0</v>
      </c>
      <c r="S489" s="59">
        <f>SUMIFS(Eventos!$G:$G,Eventos!$F:$F,$L489,Eventos!$D:$D,$C$2,Eventos!$B:$B,PANES_SEMANALES[[#ALL],[DOMINGO]])</f>
        <v>0</v>
      </c>
      <c r="T489" s="59">
        <f t="shared" si="1"/>
        <v>0</v>
      </c>
    </row>
    <row r="490" ht="22.5" customHeight="1">
      <c r="M490" s="59">
        <f>SUMIFS(Eventos!$G:$G,Eventos!$F:$F,$L490,Eventos!$D:$D,$C$2,Eventos!$B:$B,PANES_SEMANALES[[#ALL],[LUNES]])</f>
        <v>0</v>
      </c>
      <c r="N490" s="59">
        <f>SUMIFS(Eventos!$G:$G,Eventos!$F:$F,$L490,Eventos!$D:$D,$C$2,Eventos!$B:$B,PANES_SEMANALES[[#ALL],[MARTES]])</f>
        <v>0</v>
      </c>
      <c r="O490" s="59">
        <f>SUMIFS(Eventos!$G:$G,Eventos!$F:$F,$L490,Eventos!$D:$D,$C$2,Eventos!$B:$B,PANES_SEMANALES[[#ALL],[MIÉRCOLES]])</f>
        <v>0</v>
      </c>
      <c r="P490" s="59">
        <f>SUMIFS(Eventos!$G:$G,Eventos!$F:$F,$L490,Eventos!$D:$D,$C$2,Eventos!$B:$B,PANES_SEMANALES[[#ALL],[JUEVES]])</f>
        <v>0</v>
      </c>
      <c r="Q490" s="59">
        <f>IF(P490&lt;&gt;"",SUMIFS(Eventos!$G:$G,Eventos!$B:$B,Q$2,Eventos!$D:$D,$C$2,Eventos!$F:$F,$L490),"")</f>
        <v>0</v>
      </c>
      <c r="R490" s="59">
        <f>SUMIFS(Eventos!$G:$G,Eventos!$F:$F,$L490,Eventos!$D:$D,$C$2,Eventos!$B:$B,PANES_SEMANALES[[#ALL],[SÁBADO]])</f>
        <v>0</v>
      </c>
      <c r="S490" s="59">
        <f>SUMIFS(Eventos!$G:$G,Eventos!$F:$F,$L490,Eventos!$D:$D,$C$2,Eventos!$B:$B,PANES_SEMANALES[[#ALL],[DOMINGO]])</f>
        <v>0</v>
      </c>
      <c r="T490" s="59">
        <f t="shared" si="1"/>
        <v>0</v>
      </c>
    </row>
    <row r="491" ht="22.5" customHeight="1">
      <c r="M491" s="59">
        <f>SUMIFS(Eventos!$G:$G,Eventos!$F:$F,$L491,Eventos!$D:$D,$C$2,Eventos!$B:$B,PANES_SEMANALES[[#ALL],[LUNES]])</f>
        <v>0</v>
      </c>
      <c r="N491" s="59">
        <f>SUMIFS(Eventos!$G:$G,Eventos!$F:$F,$L491,Eventos!$D:$D,$C$2,Eventos!$B:$B,PANES_SEMANALES[[#ALL],[MARTES]])</f>
        <v>0</v>
      </c>
      <c r="O491" s="59">
        <f>SUMIFS(Eventos!$G:$G,Eventos!$F:$F,$L491,Eventos!$D:$D,$C$2,Eventos!$B:$B,PANES_SEMANALES[[#ALL],[MIÉRCOLES]])</f>
        <v>0</v>
      </c>
      <c r="P491" s="59">
        <f>SUMIFS(Eventos!$G:$G,Eventos!$F:$F,$L491,Eventos!$D:$D,$C$2,Eventos!$B:$B,PANES_SEMANALES[[#ALL],[JUEVES]])</f>
        <v>0</v>
      </c>
      <c r="Q491" s="59">
        <f>IF(P491&lt;&gt;"",SUMIFS(Eventos!$G:$G,Eventos!$B:$B,Q$2,Eventos!$D:$D,$C$2,Eventos!$F:$F,$L491),"")</f>
        <v>0</v>
      </c>
      <c r="R491" s="59">
        <f>SUMIFS(Eventos!$G:$G,Eventos!$F:$F,$L491,Eventos!$D:$D,$C$2,Eventos!$B:$B,PANES_SEMANALES[[#ALL],[SÁBADO]])</f>
        <v>0</v>
      </c>
      <c r="S491" s="59">
        <f>SUMIFS(Eventos!$G:$G,Eventos!$F:$F,$L491,Eventos!$D:$D,$C$2,Eventos!$B:$B,PANES_SEMANALES[[#ALL],[DOMINGO]])</f>
        <v>0</v>
      </c>
      <c r="T491" s="59">
        <f t="shared" si="1"/>
        <v>0</v>
      </c>
    </row>
    <row r="492" ht="22.5" customHeight="1">
      <c r="M492" s="59">
        <f>SUMIFS(Eventos!$G:$G,Eventos!$F:$F,$L492,Eventos!$D:$D,$C$2,Eventos!$B:$B,PANES_SEMANALES[[#ALL],[LUNES]])</f>
        <v>0</v>
      </c>
      <c r="N492" s="59">
        <f>SUMIFS(Eventos!$G:$G,Eventos!$F:$F,$L492,Eventos!$D:$D,$C$2,Eventos!$B:$B,PANES_SEMANALES[[#ALL],[MARTES]])</f>
        <v>0</v>
      </c>
      <c r="O492" s="59">
        <f>SUMIFS(Eventos!$G:$G,Eventos!$F:$F,$L492,Eventos!$D:$D,$C$2,Eventos!$B:$B,PANES_SEMANALES[[#ALL],[MIÉRCOLES]])</f>
        <v>0</v>
      </c>
      <c r="P492" s="59">
        <f>SUMIFS(Eventos!$G:$G,Eventos!$F:$F,$L492,Eventos!$D:$D,$C$2,Eventos!$B:$B,PANES_SEMANALES[[#ALL],[JUEVES]])</f>
        <v>0</v>
      </c>
      <c r="Q492" s="59">
        <f>IF(P492&lt;&gt;"",SUMIFS(Eventos!$G:$G,Eventos!$B:$B,Q$2,Eventos!$D:$D,$C$2,Eventos!$F:$F,$L492),"")</f>
        <v>0</v>
      </c>
      <c r="R492" s="59">
        <f>SUMIFS(Eventos!$G:$G,Eventos!$F:$F,$L492,Eventos!$D:$D,$C$2,Eventos!$B:$B,PANES_SEMANALES[[#ALL],[SÁBADO]])</f>
        <v>0</v>
      </c>
      <c r="S492" s="59">
        <f>SUMIFS(Eventos!$G:$G,Eventos!$F:$F,$L492,Eventos!$D:$D,$C$2,Eventos!$B:$B,PANES_SEMANALES[[#ALL],[DOMINGO]])</f>
        <v>0</v>
      </c>
      <c r="T492" s="59">
        <f t="shared" si="1"/>
        <v>0</v>
      </c>
    </row>
    <row r="493" ht="22.5" customHeight="1">
      <c r="M493" s="59">
        <f>SUMIFS(Eventos!$G:$G,Eventos!$F:$F,$L493,Eventos!$D:$D,$C$2,Eventos!$B:$B,PANES_SEMANALES[[#ALL],[LUNES]])</f>
        <v>0</v>
      </c>
      <c r="N493" s="59">
        <f>SUMIFS(Eventos!$G:$G,Eventos!$F:$F,$L493,Eventos!$D:$D,$C$2,Eventos!$B:$B,PANES_SEMANALES[[#ALL],[MARTES]])</f>
        <v>0</v>
      </c>
      <c r="O493" s="59">
        <f>SUMIFS(Eventos!$G:$G,Eventos!$F:$F,$L493,Eventos!$D:$D,$C$2,Eventos!$B:$B,PANES_SEMANALES[[#ALL],[MIÉRCOLES]])</f>
        <v>0</v>
      </c>
      <c r="P493" s="59">
        <f>SUMIFS(Eventos!$G:$G,Eventos!$F:$F,$L493,Eventos!$D:$D,$C$2,Eventos!$B:$B,PANES_SEMANALES[[#ALL],[JUEVES]])</f>
        <v>0</v>
      </c>
      <c r="Q493" s="59">
        <f>IF(P493&lt;&gt;"",SUMIFS(Eventos!$G:$G,Eventos!$B:$B,Q$2,Eventos!$D:$D,$C$2,Eventos!$F:$F,$L493),"")</f>
        <v>0</v>
      </c>
      <c r="R493" s="59">
        <f>SUMIFS(Eventos!$G:$G,Eventos!$F:$F,$L493,Eventos!$D:$D,$C$2,Eventos!$B:$B,PANES_SEMANALES[[#ALL],[SÁBADO]])</f>
        <v>0</v>
      </c>
      <c r="S493" s="59">
        <f>SUMIFS(Eventos!$G:$G,Eventos!$F:$F,$L493,Eventos!$D:$D,$C$2,Eventos!$B:$B,PANES_SEMANALES[[#ALL],[DOMINGO]])</f>
        <v>0</v>
      </c>
      <c r="T493" s="59">
        <f t="shared" si="1"/>
        <v>0</v>
      </c>
    </row>
    <row r="494" ht="22.5" customHeight="1">
      <c r="M494" s="59">
        <f>SUMIFS(Eventos!$G:$G,Eventos!$F:$F,$L494,Eventos!$D:$D,$C$2,Eventos!$B:$B,PANES_SEMANALES[[#ALL],[LUNES]])</f>
        <v>0</v>
      </c>
      <c r="N494" s="59">
        <f>SUMIFS(Eventos!$G:$G,Eventos!$F:$F,$L494,Eventos!$D:$D,$C$2,Eventos!$B:$B,PANES_SEMANALES[[#ALL],[MARTES]])</f>
        <v>0</v>
      </c>
      <c r="O494" s="59">
        <f>SUMIFS(Eventos!$G:$G,Eventos!$F:$F,$L494,Eventos!$D:$D,$C$2,Eventos!$B:$B,PANES_SEMANALES[[#ALL],[MIÉRCOLES]])</f>
        <v>0</v>
      </c>
      <c r="P494" s="59">
        <f>SUMIFS(Eventos!$G:$G,Eventos!$F:$F,$L494,Eventos!$D:$D,$C$2,Eventos!$B:$B,PANES_SEMANALES[[#ALL],[JUEVES]])</f>
        <v>0</v>
      </c>
      <c r="Q494" s="59">
        <f>IF(P494&lt;&gt;"",SUMIFS(Eventos!$G:$G,Eventos!$B:$B,Q$2,Eventos!$D:$D,$C$2,Eventos!$F:$F,$L494),"")</f>
        <v>0</v>
      </c>
      <c r="R494" s="59">
        <f>SUMIFS(Eventos!$G:$G,Eventos!$F:$F,$L494,Eventos!$D:$D,$C$2,Eventos!$B:$B,PANES_SEMANALES[[#ALL],[SÁBADO]])</f>
        <v>0</v>
      </c>
      <c r="S494" s="59">
        <f>SUMIFS(Eventos!$G:$G,Eventos!$F:$F,$L494,Eventos!$D:$D,$C$2,Eventos!$B:$B,PANES_SEMANALES[[#ALL],[DOMINGO]])</f>
        <v>0</v>
      </c>
      <c r="T494" s="59">
        <f t="shared" si="1"/>
        <v>0</v>
      </c>
    </row>
    <row r="495" ht="22.5" customHeight="1">
      <c r="M495" s="59">
        <f>SUMIFS(Eventos!$G:$G,Eventos!$F:$F,$L495,Eventos!$D:$D,$C$2,Eventos!$B:$B,PANES_SEMANALES[[#ALL],[LUNES]])</f>
        <v>0</v>
      </c>
      <c r="N495" s="59">
        <f>SUMIFS(Eventos!$G:$G,Eventos!$F:$F,$L495,Eventos!$D:$D,$C$2,Eventos!$B:$B,PANES_SEMANALES[[#ALL],[MARTES]])</f>
        <v>0</v>
      </c>
      <c r="O495" s="59">
        <f>SUMIFS(Eventos!$G:$G,Eventos!$F:$F,$L495,Eventos!$D:$D,$C$2,Eventos!$B:$B,PANES_SEMANALES[[#ALL],[MIÉRCOLES]])</f>
        <v>0</v>
      </c>
      <c r="P495" s="59">
        <f>SUMIFS(Eventos!$G:$G,Eventos!$F:$F,$L495,Eventos!$D:$D,$C$2,Eventos!$B:$B,PANES_SEMANALES[[#ALL],[JUEVES]])</f>
        <v>0</v>
      </c>
      <c r="Q495" s="59">
        <f>IF(P495&lt;&gt;"",SUMIFS(Eventos!$G:$G,Eventos!$B:$B,Q$2,Eventos!$D:$D,$C$2,Eventos!$F:$F,$L495),"")</f>
        <v>0</v>
      </c>
      <c r="R495" s="59">
        <f>SUMIFS(Eventos!$G:$G,Eventos!$F:$F,$L495,Eventos!$D:$D,$C$2,Eventos!$B:$B,PANES_SEMANALES[[#ALL],[SÁBADO]])</f>
        <v>0</v>
      </c>
      <c r="S495" s="59">
        <f>SUMIFS(Eventos!$G:$G,Eventos!$F:$F,$L495,Eventos!$D:$D,$C$2,Eventos!$B:$B,PANES_SEMANALES[[#ALL],[DOMINGO]])</f>
        <v>0</v>
      </c>
      <c r="T495" s="59">
        <f t="shared" si="1"/>
        <v>0</v>
      </c>
    </row>
    <row r="496" ht="22.5" customHeight="1">
      <c r="M496" s="59">
        <f>SUMIFS(Eventos!$G:$G,Eventos!$F:$F,$L496,Eventos!$D:$D,$C$2,Eventos!$B:$B,PANES_SEMANALES[[#ALL],[LUNES]])</f>
        <v>0</v>
      </c>
      <c r="N496" s="59">
        <f>SUMIFS(Eventos!$G:$G,Eventos!$F:$F,$L496,Eventos!$D:$D,$C$2,Eventos!$B:$B,PANES_SEMANALES[[#ALL],[MARTES]])</f>
        <v>0</v>
      </c>
      <c r="O496" s="59">
        <f>SUMIFS(Eventos!$G:$G,Eventos!$F:$F,$L496,Eventos!$D:$D,$C$2,Eventos!$B:$B,PANES_SEMANALES[[#ALL],[MIÉRCOLES]])</f>
        <v>0</v>
      </c>
      <c r="P496" s="59">
        <f>SUMIFS(Eventos!$G:$G,Eventos!$F:$F,$L496,Eventos!$D:$D,$C$2,Eventos!$B:$B,PANES_SEMANALES[[#ALL],[JUEVES]])</f>
        <v>0</v>
      </c>
      <c r="Q496" s="59">
        <f>IF(P496&lt;&gt;"",SUMIFS(Eventos!$G:$G,Eventos!$B:$B,Q$2,Eventos!$D:$D,$C$2,Eventos!$F:$F,$L496),"")</f>
        <v>0</v>
      </c>
      <c r="R496" s="59">
        <f>SUMIFS(Eventos!$G:$G,Eventos!$F:$F,$L496,Eventos!$D:$D,$C$2,Eventos!$B:$B,PANES_SEMANALES[[#ALL],[SÁBADO]])</f>
        <v>0</v>
      </c>
      <c r="S496" s="59">
        <f>SUMIFS(Eventos!$G:$G,Eventos!$F:$F,$L496,Eventos!$D:$D,$C$2,Eventos!$B:$B,PANES_SEMANALES[[#ALL],[DOMINGO]])</f>
        <v>0</v>
      </c>
      <c r="T496" s="59">
        <f t="shared" si="1"/>
        <v>0</v>
      </c>
    </row>
    <row r="497" ht="22.5" customHeight="1">
      <c r="M497" s="59">
        <f>SUMIFS(Eventos!$G:$G,Eventos!$F:$F,$L497,Eventos!$D:$D,$C$2,Eventos!$B:$B,PANES_SEMANALES[[#ALL],[LUNES]])</f>
        <v>0</v>
      </c>
      <c r="N497" s="59">
        <f>SUMIFS(Eventos!$G:$G,Eventos!$F:$F,$L497,Eventos!$D:$D,$C$2,Eventos!$B:$B,PANES_SEMANALES[[#ALL],[MARTES]])</f>
        <v>0</v>
      </c>
      <c r="O497" s="59">
        <f>SUMIFS(Eventos!$G:$G,Eventos!$F:$F,$L497,Eventos!$D:$D,$C$2,Eventos!$B:$B,PANES_SEMANALES[[#ALL],[MIÉRCOLES]])</f>
        <v>0</v>
      </c>
      <c r="P497" s="59">
        <f>SUMIFS(Eventos!$G:$G,Eventos!$F:$F,$L497,Eventos!$D:$D,$C$2,Eventos!$B:$B,PANES_SEMANALES[[#ALL],[JUEVES]])</f>
        <v>0</v>
      </c>
      <c r="Q497" s="59">
        <f>IF(P497&lt;&gt;"",SUMIFS(Eventos!$G:$G,Eventos!$B:$B,Q$2,Eventos!$D:$D,$C$2,Eventos!$F:$F,$L497),"")</f>
        <v>0</v>
      </c>
      <c r="R497" s="59">
        <f>SUMIFS(Eventos!$G:$G,Eventos!$F:$F,$L497,Eventos!$D:$D,$C$2,Eventos!$B:$B,PANES_SEMANALES[[#ALL],[SÁBADO]])</f>
        <v>0</v>
      </c>
      <c r="S497" s="59">
        <f>SUMIFS(Eventos!$G:$G,Eventos!$F:$F,$L497,Eventos!$D:$D,$C$2,Eventos!$B:$B,PANES_SEMANALES[[#ALL],[DOMINGO]])</f>
        <v>0</v>
      </c>
      <c r="T497" s="59">
        <f t="shared" si="1"/>
        <v>0</v>
      </c>
    </row>
    <row r="498" ht="22.5" customHeight="1">
      <c r="M498" s="59">
        <f>SUMIFS(Eventos!$G:$G,Eventos!$F:$F,$L498,Eventos!$D:$D,$C$2,Eventos!$B:$B,PANES_SEMANALES[[#ALL],[LUNES]])</f>
        <v>0</v>
      </c>
      <c r="N498" s="59">
        <f>SUMIFS(Eventos!$G:$G,Eventos!$F:$F,$L498,Eventos!$D:$D,$C$2,Eventos!$B:$B,PANES_SEMANALES[[#ALL],[MARTES]])</f>
        <v>0</v>
      </c>
      <c r="O498" s="59">
        <f>SUMIFS(Eventos!$G:$G,Eventos!$F:$F,$L498,Eventos!$D:$D,$C$2,Eventos!$B:$B,PANES_SEMANALES[[#ALL],[MIÉRCOLES]])</f>
        <v>0</v>
      </c>
      <c r="P498" s="59">
        <f>SUMIFS(Eventos!$G:$G,Eventos!$F:$F,$L498,Eventos!$D:$D,$C$2,Eventos!$B:$B,PANES_SEMANALES[[#ALL],[JUEVES]])</f>
        <v>0</v>
      </c>
      <c r="Q498" s="59">
        <f>IF(P498&lt;&gt;"",SUMIFS(Eventos!$G:$G,Eventos!$B:$B,Q$2,Eventos!$D:$D,$C$2,Eventos!$F:$F,$L498),"")</f>
        <v>0</v>
      </c>
      <c r="R498" s="59">
        <f>SUMIFS(Eventos!$G:$G,Eventos!$F:$F,$L498,Eventos!$D:$D,$C$2,Eventos!$B:$B,PANES_SEMANALES[[#ALL],[SÁBADO]])</f>
        <v>0</v>
      </c>
      <c r="S498" s="59">
        <f>SUMIFS(Eventos!$G:$G,Eventos!$F:$F,$L498,Eventos!$D:$D,$C$2,Eventos!$B:$B,PANES_SEMANALES[[#ALL],[DOMINGO]])</f>
        <v>0</v>
      </c>
      <c r="T498" s="59">
        <f t="shared" si="1"/>
        <v>0</v>
      </c>
    </row>
    <row r="499" ht="22.5" customHeight="1">
      <c r="M499" s="59">
        <f>SUMIFS(Eventos!$G:$G,Eventos!$F:$F,$L499,Eventos!$D:$D,$C$2,Eventos!$B:$B,PANES_SEMANALES[[#ALL],[LUNES]])</f>
        <v>0</v>
      </c>
      <c r="N499" s="59">
        <f>SUMIFS(Eventos!$G:$G,Eventos!$F:$F,$L499,Eventos!$D:$D,$C$2,Eventos!$B:$B,PANES_SEMANALES[[#ALL],[MARTES]])</f>
        <v>0</v>
      </c>
      <c r="O499" s="59">
        <f>SUMIFS(Eventos!$G:$G,Eventos!$F:$F,$L499,Eventos!$D:$D,$C$2,Eventos!$B:$B,PANES_SEMANALES[[#ALL],[MIÉRCOLES]])</f>
        <v>0</v>
      </c>
      <c r="P499" s="59">
        <f>SUMIFS(Eventos!$G:$G,Eventos!$F:$F,$L499,Eventos!$D:$D,$C$2,Eventos!$B:$B,PANES_SEMANALES[[#ALL],[JUEVES]])</f>
        <v>0</v>
      </c>
      <c r="Q499" s="59">
        <f>IF(P499&lt;&gt;"",SUMIFS(Eventos!$G:$G,Eventos!$B:$B,Q$2,Eventos!$D:$D,$C$2,Eventos!$F:$F,$L499),"")</f>
        <v>0</v>
      </c>
      <c r="R499" s="59">
        <f>SUMIFS(Eventos!$G:$G,Eventos!$F:$F,$L499,Eventos!$D:$D,$C$2,Eventos!$B:$B,PANES_SEMANALES[[#ALL],[SÁBADO]])</f>
        <v>0</v>
      </c>
      <c r="S499" s="59">
        <f>SUMIFS(Eventos!$G:$G,Eventos!$F:$F,$L499,Eventos!$D:$D,$C$2,Eventos!$B:$B,PANES_SEMANALES[[#ALL],[DOMINGO]])</f>
        <v>0</v>
      </c>
      <c r="T499" s="59">
        <f t="shared" si="1"/>
        <v>0</v>
      </c>
    </row>
    <row r="500" ht="22.5" customHeight="1">
      <c r="M500" s="59">
        <f>SUMIFS(Eventos!$G:$G,Eventos!$F:$F,$L500,Eventos!$D:$D,$C$2,Eventos!$B:$B,PANES_SEMANALES[[#ALL],[LUNES]])</f>
        <v>0</v>
      </c>
      <c r="N500" s="59">
        <f>SUMIFS(Eventos!$G:$G,Eventos!$F:$F,$L500,Eventos!$D:$D,$C$2,Eventos!$B:$B,PANES_SEMANALES[[#ALL],[MARTES]])</f>
        <v>0</v>
      </c>
      <c r="O500" s="59">
        <f>SUMIFS(Eventos!$G:$G,Eventos!$F:$F,$L500,Eventos!$D:$D,$C$2,Eventos!$B:$B,PANES_SEMANALES[[#ALL],[MIÉRCOLES]])</f>
        <v>0</v>
      </c>
      <c r="P500" s="59">
        <f>SUMIFS(Eventos!$G:$G,Eventos!$F:$F,$L500,Eventos!$D:$D,$C$2,Eventos!$B:$B,PANES_SEMANALES[[#ALL],[JUEVES]])</f>
        <v>0</v>
      </c>
      <c r="Q500" s="59">
        <f>IF(P500&lt;&gt;"",SUMIFS(Eventos!$G:$G,Eventos!$B:$B,Q$2,Eventos!$D:$D,$C$2,Eventos!$F:$F,$L500),"")</f>
        <v>0</v>
      </c>
      <c r="R500" s="59">
        <f>SUMIFS(Eventos!$G:$G,Eventos!$F:$F,$L500,Eventos!$D:$D,$C$2,Eventos!$B:$B,PANES_SEMANALES[[#ALL],[SÁBADO]])</f>
        <v>0</v>
      </c>
      <c r="S500" s="59">
        <f>SUMIFS(Eventos!$G:$G,Eventos!$F:$F,$L500,Eventos!$D:$D,$C$2,Eventos!$B:$B,PANES_SEMANALES[[#ALL],[DOMINGO]])</f>
        <v>0</v>
      </c>
      <c r="T500" s="59">
        <f t="shared" si="1"/>
        <v>0</v>
      </c>
    </row>
    <row r="501" ht="22.5" customHeight="1">
      <c r="M501" s="59">
        <f>SUMIFS(Eventos!$G:$G,Eventos!$F:$F,$L501,Eventos!$D:$D,$C$2,Eventos!$B:$B,PANES_SEMANALES[[#ALL],[LUNES]])</f>
        <v>0</v>
      </c>
      <c r="N501" s="59">
        <f>SUMIFS(Eventos!$G:$G,Eventos!$F:$F,$L501,Eventos!$D:$D,$C$2,Eventos!$B:$B,PANES_SEMANALES[[#ALL],[MARTES]])</f>
        <v>0</v>
      </c>
      <c r="O501" s="59">
        <f>SUMIFS(Eventos!$G:$G,Eventos!$F:$F,$L501,Eventos!$D:$D,$C$2,Eventos!$B:$B,PANES_SEMANALES[[#ALL],[MIÉRCOLES]])</f>
        <v>0</v>
      </c>
      <c r="P501" s="59">
        <f>SUMIFS(Eventos!$G:$G,Eventos!$F:$F,$L501,Eventos!$D:$D,$C$2,Eventos!$B:$B,PANES_SEMANALES[[#ALL],[JUEVES]])</f>
        <v>0</v>
      </c>
      <c r="Q501" s="59">
        <f>IF(P501&lt;&gt;"",SUMIFS(Eventos!$G:$G,Eventos!$B:$B,Q$2,Eventos!$D:$D,$C$2,Eventos!$F:$F,$L501),"")</f>
        <v>0</v>
      </c>
      <c r="R501" s="59">
        <f>SUMIFS(Eventos!$G:$G,Eventos!$F:$F,$L501,Eventos!$D:$D,$C$2,Eventos!$B:$B,PANES_SEMANALES[[#ALL],[SÁBADO]])</f>
        <v>0</v>
      </c>
      <c r="S501" s="59">
        <f>SUMIFS(Eventos!$G:$G,Eventos!$F:$F,$L501,Eventos!$D:$D,$C$2,Eventos!$B:$B,PANES_SEMANALES[[#ALL],[DOMINGO]])</f>
        <v>0</v>
      </c>
      <c r="T501" s="59">
        <f t="shared" si="1"/>
        <v>0</v>
      </c>
    </row>
    <row r="502" ht="22.5" customHeight="1">
      <c r="M502" s="59">
        <f>SUMIFS(Eventos!$G:$G,Eventos!$F:$F,$L502,Eventos!$D:$D,$C$2,Eventos!$B:$B,PANES_SEMANALES[[#ALL],[LUNES]])</f>
        <v>0</v>
      </c>
      <c r="N502" s="59">
        <f>SUMIFS(Eventos!$G:$G,Eventos!$F:$F,$L502,Eventos!$D:$D,$C$2,Eventos!$B:$B,PANES_SEMANALES[[#ALL],[MARTES]])</f>
        <v>0</v>
      </c>
      <c r="O502" s="59">
        <f>SUMIFS(Eventos!$G:$G,Eventos!$F:$F,$L502,Eventos!$D:$D,$C$2,Eventos!$B:$B,PANES_SEMANALES[[#ALL],[MIÉRCOLES]])</f>
        <v>0</v>
      </c>
      <c r="P502" s="59">
        <f>SUMIFS(Eventos!$G:$G,Eventos!$F:$F,$L502,Eventos!$D:$D,$C$2,Eventos!$B:$B,PANES_SEMANALES[[#ALL],[JUEVES]])</f>
        <v>0</v>
      </c>
      <c r="Q502" s="59">
        <f>IF(P502&lt;&gt;"",SUMIFS(Eventos!$G:$G,Eventos!$B:$B,Q$2,Eventos!$D:$D,$C$2,Eventos!$F:$F,$L502),"")</f>
        <v>0</v>
      </c>
      <c r="R502" s="59">
        <f>SUMIFS(Eventos!$G:$G,Eventos!$F:$F,$L502,Eventos!$D:$D,$C$2,Eventos!$B:$B,PANES_SEMANALES[[#ALL],[SÁBADO]])</f>
        <v>0</v>
      </c>
      <c r="S502" s="59">
        <f>SUMIFS(Eventos!$G:$G,Eventos!$F:$F,$L502,Eventos!$D:$D,$C$2,Eventos!$B:$B,PANES_SEMANALES[[#ALL],[DOMINGO]])</f>
        <v>0</v>
      </c>
      <c r="T502" s="59">
        <f t="shared" si="1"/>
        <v>0</v>
      </c>
    </row>
    <row r="503" ht="22.5" customHeight="1">
      <c r="M503" s="59">
        <f>SUMIFS(Eventos!$G:$G,Eventos!$F:$F,$L503,Eventos!$D:$D,$C$2,Eventos!$B:$B,PANES_SEMANALES[[#ALL],[LUNES]])</f>
        <v>0</v>
      </c>
      <c r="N503" s="59">
        <f>SUMIFS(Eventos!$G:$G,Eventos!$F:$F,$L503,Eventos!$D:$D,$C$2,Eventos!$B:$B,PANES_SEMANALES[[#ALL],[MARTES]])</f>
        <v>0</v>
      </c>
      <c r="O503" s="59">
        <f>SUMIFS(Eventos!$G:$G,Eventos!$F:$F,$L503,Eventos!$D:$D,$C$2,Eventos!$B:$B,PANES_SEMANALES[[#ALL],[MIÉRCOLES]])</f>
        <v>0</v>
      </c>
      <c r="P503" s="59">
        <f>SUMIFS(Eventos!$G:$G,Eventos!$F:$F,$L503,Eventos!$D:$D,$C$2,Eventos!$B:$B,PANES_SEMANALES[[#ALL],[JUEVES]])</f>
        <v>0</v>
      </c>
      <c r="Q503" s="59">
        <f>IF(P503&lt;&gt;"",SUMIFS(Eventos!$G:$G,Eventos!$B:$B,Q$2,Eventos!$D:$D,$C$2,Eventos!$F:$F,$L503),"")</f>
        <v>0</v>
      </c>
      <c r="R503" s="59">
        <f>SUMIFS(Eventos!$G:$G,Eventos!$F:$F,$L503,Eventos!$D:$D,$C$2,Eventos!$B:$B,PANES_SEMANALES[[#ALL],[SÁBADO]])</f>
        <v>0</v>
      </c>
      <c r="S503" s="59">
        <f>SUMIFS(Eventos!$G:$G,Eventos!$F:$F,$L503,Eventos!$D:$D,$C$2,Eventos!$B:$B,PANES_SEMANALES[[#ALL],[DOMINGO]])</f>
        <v>0</v>
      </c>
      <c r="T503" s="59">
        <f t="shared" si="1"/>
        <v>0</v>
      </c>
    </row>
    <row r="504" ht="22.5" customHeight="1">
      <c r="M504" s="59">
        <f>SUMIFS(Eventos!$G:$G,Eventos!$F:$F,$L504,Eventos!$D:$D,$C$2,Eventos!$B:$B,PANES_SEMANALES[[#ALL],[LUNES]])</f>
        <v>0</v>
      </c>
      <c r="N504" s="59">
        <f>SUMIFS(Eventos!$G:$G,Eventos!$F:$F,$L504,Eventos!$D:$D,$C$2,Eventos!$B:$B,PANES_SEMANALES[[#ALL],[MARTES]])</f>
        <v>0</v>
      </c>
      <c r="O504" s="59">
        <f>SUMIFS(Eventos!$G:$G,Eventos!$F:$F,$L504,Eventos!$D:$D,$C$2,Eventos!$B:$B,PANES_SEMANALES[[#ALL],[MIÉRCOLES]])</f>
        <v>0</v>
      </c>
      <c r="P504" s="59">
        <f>SUMIFS(Eventos!$G:$G,Eventos!$F:$F,$L504,Eventos!$D:$D,$C$2,Eventos!$B:$B,PANES_SEMANALES[[#ALL],[JUEVES]])</f>
        <v>0</v>
      </c>
      <c r="Q504" s="59">
        <f>IF(P504&lt;&gt;"",SUMIFS(Eventos!$G:$G,Eventos!$B:$B,Q$2,Eventos!$D:$D,$C$2,Eventos!$F:$F,$L504),"")</f>
        <v>0</v>
      </c>
      <c r="R504" s="59">
        <f>SUMIFS(Eventos!$G:$G,Eventos!$F:$F,$L504,Eventos!$D:$D,$C$2,Eventos!$B:$B,PANES_SEMANALES[[#ALL],[SÁBADO]])</f>
        <v>0</v>
      </c>
      <c r="S504" s="59">
        <f>SUMIFS(Eventos!$G:$G,Eventos!$F:$F,$L504,Eventos!$D:$D,$C$2,Eventos!$B:$B,PANES_SEMANALES[[#ALL],[DOMINGO]])</f>
        <v>0</v>
      </c>
      <c r="T504" s="59">
        <f t="shared" si="1"/>
        <v>0</v>
      </c>
    </row>
    <row r="505" ht="22.5" customHeight="1">
      <c r="M505" s="59">
        <f>SUMIFS(Eventos!$G:$G,Eventos!$F:$F,$L505,Eventos!$D:$D,$C$2,Eventos!$B:$B,PANES_SEMANALES[[#ALL],[LUNES]])</f>
        <v>0</v>
      </c>
      <c r="N505" s="59">
        <f>SUMIFS(Eventos!$G:$G,Eventos!$F:$F,$L505,Eventos!$D:$D,$C$2,Eventos!$B:$B,PANES_SEMANALES[[#ALL],[MARTES]])</f>
        <v>0</v>
      </c>
      <c r="O505" s="59">
        <f>SUMIFS(Eventos!$G:$G,Eventos!$F:$F,$L505,Eventos!$D:$D,$C$2,Eventos!$B:$B,PANES_SEMANALES[[#ALL],[MIÉRCOLES]])</f>
        <v>0</v>
      </c>
      <c r="P505" s="59">
        <f>SUMIFS(Eventos!$G:$G,Eventos!$F:$F,$L505,Eventos!$D:$D,$C$2,Eventos!$B:$B,PANES_SEMANALES[[#ALL],[JUEVES]])</f>
        <v>0</v>
      </c>
      <c r="Q505" s="59">
        <f>IF(P505&lt;&gt;"",SUMIFS(Eventos!$G:$G,Eventos!$B:$B,Q$2,Eventos!$D:$D,$C$2,Eventos!$F:$F,$L505),"")</f>
        <v>0</v>
      </c>
      <c r="R505" s="59">
        <f>SUMIFS(Eventos!$G:$G,Eventos!$F:$F,$L505,Eventos!$D:$D,$C$2,Eventos!$B:$B,PANES_SEMANALES[[#ALL],[SÁBADO]])</f>
        <v>0</v>
      </c>
      <c r="S505" s="59">
        <f>SUMIFS(Eventos!$G:$G,Eventos!$F:$F,$L505,Eventos!$D:$D,$C$2,Eventos!$B:$B,PANES_SEMANALES[[#ALL],[DOMINGO]])</f>
        <v>0</v>
      </c>
      <c r="T505" s="59">
        <f t="shared" si="1"/>
        <v>0</v>
      </c>
    </row>
    <row r="506" ht="22.5" customHeight="1">
      <c r="M506" s="59">
        <f>SUMIFS(Eventos!$G:$G,Eventos!$F:$F,$L506,Eventos!$D:$D,$C$2,Eventos!$B:$B,PANES_SEMANALES[[#ALL],[LUNES]])</f>
        <v>0</v>
      </c>
      <c r="N506" s="59">
        <f>SUMIFS(Eventos!$G:$G,Eventos!$F:$F,$L506,Eventos!$D:$D,$C$2,Eventos!$B:$B,PANES_SEMANALES[[#ALL],[MARTES]])</f>
        <v>0</v>
      </c>
      <c r="O506" s="59">
        <f>SUMIFS(Eventos!$G:$G,Eventos!$F:$F,$L506,Eventos!$D:$D,$C$2,Eventos!$B:$B,PANES_SEMANALES[[#ALL],[MIÉRCOLES]])</f>
        <v>0</v>
      </c>
      <c r="P506" s="59">
        <f>SUMIFS(Eventos!$G:$G,Eventos!$F:$F,$L506,Eventos!$D:$D,$C$2,Eventos!$B:$B,PANES_SEMANALES[[#ALL],[JUEVES]])</f>
        <v>0</v>
      </c>
      <c r="Q506" s="59">
        <f>IF(P506&lt;&gt;"",SUMIFS(Eventos!$G:$G,Eventos!$B:$B,Q$2,Eventos!$D:$D,$C$2,Eventos!$F:$F,$L506),"")</f>
        <v>0</v>
      </c>
      <c r="R506" s="59">
        <f>SUMIFS(Eventos!$G:$G,Eventos!$F:$F,$L506,Eventos!$D:$D,$C$2,Eventos!$B:$B,PANES_SEMANALES[[#ALL],[SÁBADO]])</f>
        <v>0</v>
      </c>
      <c r="S506" s="59">
        <f>SUMIFS(Eventos!$G:$G,Eventos!$F:$F,$L506,Eventos!$D:$D,$C$2,Eventos!$B:$B,PANES_SEMANALES[[#ALL],[DOMINGO]])</f>
        <v>0</v>
      </c>
      <c r="T506" s="59">
        <f t="shared" si="1"/>
        <v>0</v>
      </c>
    </row>
    <row r="507" ht="22.5" customHeight="1">
      <c r="M507" s="59">
        <f>SUMIFS(Eventos!$G:$G,Eventos!$F:$F,$L507,Eventos!$D:$D,$C$2,Eventos!$B:$B,PANES_SEMANALES[[#ALL],[LUNES]])</f>
        <v>0</v>
      </c>
      <c r="N507" s="59">
        <f>SUMIFS(Eventos!$G:$G,Eventos!$F:$F,$L507,Eventos!$D:$D,$C$2,Eventos!$B:$B,PANES_SEMANALES[[#ALL],[MARTES]])</f>
        <v>0</v>
      </c>
      <c r="O507" s="59">
        <f>SUMIFS(Eventos!$G:$G,Eventos!$F:$F,$L507,Eventos!$D:$D,$C$2,Eventos!$B:$B,PANES_SEMANALES[[#ALL],[MIÉRCOLES]])</f>
        <v>0</v>
      </c>
      <c r="P507" s="59">
        <f>SUMIFS(Eventos!$G:$G,Eventos!$F:$F,$L507,Eventos!$D:$D,$C$2,Eventos!$B:$B,PANES_SEMANALES[[#ALL],[JUEVES]])</f>
        <v>0</v>
      </c>
      <c r="Q507" s="59">
        <f>IF(P507&lt;&gt;"",SUMIFS(Eventos!$G:$G,Eventos!$B:$B,Q$2,Eventos!$D:$D,$C$2,Eventos!$F:$F,$L507),"")</f>
        <v>0</v>
      </c>
      <c r="R507" s="59">
        <f>SUMIFS(Eventos!$G:$G,Eventos!$F:$F,$L507,Eventos!$D:$D,$C$2,Eventos!$B:$B,PANES_SEMANALES[[#ALL],[SÁBADO]])</f>
        <v>0</v>
      </c>
      <c r="S507" s="59">
        <f>SUMIFS(Eventos!$G:$G,Eventos!$F:$F,$L507,Eventos!$D:$D,$C$2,Eventos!$B:$B,PANES_SEMANALES[[#ALL],[DOMINGO]])</f>
        <v>0</v>
      </c>
      <c r="T507" s="59">
        <f t="shared" si="1"/>
        <v>0</v>
      </c>
    </row>
    <row r="508" ht="22.5" customHeight="1">
      <c r="M508" s="59">
        <f>SUMIFS(Eventos!$G:$G,Eventos!$F:$F,$L508,Eventos!$D:$D,$C$2,Eventos!$B:$B,PANES_SEMANALES[[#ALL],[LUNES]])</f>
        <v>0</v>
      </c>
      <c r="N508" s="59">
        <f>SUMIFS(Eventos!$G:$G,Eventos!$F:$F,$L508,Eventos!$D:$D,$C$2,Eventos!$B:$B,PANES_SEMANALES[[#ALL],[MARTES]])</f>
        <v>0</v>
      </c>
      <c r="O508" s="59">
        <f>SUMIFS(Eventos!$G:$G,Eventos!$F:$F,$L508,Eventos!$D:$D,$C$2,Eventos!$B:$B,PANES_SEMANALES[[#ALL],[MIÉRCOLES]])</f>
        <v>0</v>
      </c>
      <c r="P508" s="59">
        <f>SUMIFS(Eventos!$G:$G,Eventos!$F:$F,$L508,Eventos!$D:$D,$C$2,Eventos!$B:$B,PANES_SEMANALES[[#ALL],[JUEVES]])</f>
        <v>0</v>
      </c>
      <c r="Q508" s="59">
        <f>IF(P508&lt;&gt;"",SUMIFS(Eventos!$G:$G,Eventos!$B:$B,Q$2,Eventos!$D:$D,$C$2,Eventos!$F:$F,$L508),"")</f>
        <v>0</v>
      </c>
      <c r="R508" s="59">
        <f>SUMIFS(Eventos!$G:$G,Eventos!$F:$F,$L508,Eventos!$D:$D,$C$2,Eventos!$B:$B,PANES_SEMANALES[[#ALL],[SÁBADO]])</f>
        <v>0</v>
      </c>
      <c r="S508" s="59">
        <f>SUMIFS(Eventos!$G:$G,Eventos!$F:$F,$L508,Eventos!$D:$D,$C$2,Eventos!$B:$B,PANES_SEMANALES[[#ALL],[DOMINGO]])</f>
        <v>0</v>
      </c>
      <c r="T508" s="59">
        <f t="shared" si="1"/>
        <v>0</v>
      </c>
    </row>
    <row r="509" ht="22.5" customHeight="1">
      <c r="M509" s="59">
        <f>SUMIFS(Eventos!$G:$G,Eventos!$F:$F,$L509,Eventos!$D:$D,$C$2,Eventos!$B:$B,PANES_SEMANALES[[#ALL],[LUNES]])</f>
        <v>0</v>
      </c>
      <c r="N509" s="59">
        <f>SUMIFS(Eventos!$G:$G,Eventos!$F:$F,$L509,Eventos!$D:$D,$C$2,Eventos!$B:$B,PANES_SEMANALES[[#ALL],[MARTES]])</f>
        <v>0</v>
      </c>
      <c r="O509" s="59">
        <f>SUMIFS(Eventos!$G:$G,Eventos!$F:$F,$L509,Eventos!$D:$D,$C$2,Eventos!$B:$B,PANES_SEMANALES[[#ALL],[MIÉRCOLES]])</f>
        <v>0</v>
      </c>
      <c r="P509" s="59">
        <f>SUMIFS(Eventos!$G:$G,Eventos!$F:$F,$L509,Eventos!$D:$D,$C$2,Eventos!$B:$B,PANES_SEMANALES[[#ALL],[JUEVES]])</f>
        <v>0</v>
      </c>
      <c r="Q509" s="59">
        <f>IF(P509&lt;&gt;"",SUMIFS(Eventos!$G:$G,Eventos!$B:$B,Q$2,Eventos!$D:$D,$C$2,Eventos!$F:$F,$L509),"")</f>
        <v>0</v>
      </c>
      <c r="R509" s="59">
        <f>SUMIFS(Eventos!$G:$G,Eventos!$F:$F,$L509,Eventos!$D:$D,$C$2,Eventos!$B:$B,PANES_SEMANALES[[#ALL],[SÁBADO]])</f>
        <v>0</v>
      </c>
      <c r="S509" s="59">
        <f>SUMIFS(Eventos!$G:$G,Eventos!$F:$F,$L509,Eventos!$D:$D,$C$2,Eventos!$B:$B,PANES_SEMANALES[[#ALL],[DOMINGO]])</f>
        <v>0</v>
      </c>
      <c r="T509" s="59">
        <f t="shared" si="1"/>
        <v>0</v>
      </c>
    </row>
    <row r="510" ht="22.5" customHeight="1">
      <c r="M510" s="59">
        <f>SUMIFS(Eventos!$G:$G,Eventos!$F:$F,$L510,Eventos!$D:$D,$C$2,Eventos!$B:$B,PANES_SEMANALES[[#ALL],[LUNES]])</f>
        <v>0</v>
      </c>
      <c r="N510" s="59">
        <f>SUMIFS(Eventos!$G:$G,Eventos!$F:$F,$L510,Eventos!$D:$D,$C$2,Eventos!$B:$B,PANES_SEMANALES[[#ALL],[MARTES]])</f>
        <v>0</v>
      </c>
      <c r="O510" s="59">
        <f>SUMIFS(Eventos!$G:$G,Eventos!$F:$F,$L510,Eventos!$D:$D,$C$2,Eventos!$B:$B,PANES_SEMANALES[[#ALL],[MIÉRCOLES]])</f>
        <v>0</v>
      </c>
      <c r="P510" s="59">
        <f>SUMIFS(Eventos!$G:$G,Eventos!$F:$F,$L510,Eventos!$D:$D,$C$2,Eventos!$B:$B,PANES_SEMANALES[[#ALL],[JUEVES]])</f>
        <v>0</v>
      </c>
      <c r="Q510" s="59">
        <f>IF(P510&lt;&gt;"",SUMIFS(Eventos!$G:$G,Eventos!$B:$B,Q$2,Eventos!$D:$D,$C$2,Eventos!$F:$F,$L510),"")</f>
        <v>0</v>
      </c>
      <c r="R510" s="59">
        <f>SUMIFS(Eventos!$G:$G,Eventos!$F:$F,$L510,Eventos!$D:$D,$C$2,Eventos!$B:$B,PANES_SEMANALES[[#ALL],[SÁBADO]])</f>
        <v>0</v>
      </c>
      <c r="S510" s="59">
        <f>SUMIFS(Eventos!$G:$G,Eventos!$F:$F,$L510,Eventos!$D:$D,$C$2,Eventos!$B:$B,PANES_SEMANALES[[#ALL],[DOMINGO]])</f>
        <v>0</v>
      </c>
      <c r="T510" s="59">
        <f t="shared" si="1"/>
        <v>0</v>
      </c>
    </row>
    <row r="511" ht="22.5" customHeight="1">
      <c r="M511" s="59">
        <f>SUMIFS(Eventos!$G:$G,Eventos!$F:$F,$L511,Eventos!$D:$D,$C$2,Eventos!$B:$B,PANES_SEMANALES[[#ALL],[LUNES]])</f>
        <v>0</v>
      </c>
      <c r="N511" s="59">
        <f>SUMIFS(Eventos!$G:$G,Eventos!$F:$F,$L511,Eventos!$D:$D,$C$2,Eventos!$B:$B,PANES_SEMANALES[[#ALL],[MARTES]])</f>
        <v>0</v>
      </c>
      <c r="O511" s="59">
        <f>SUMIFS(Eventos!$G:$G,Eventos!$F:$F,$L511,Eventos!$D:$D,$C$2,Eventos!$B:$B,PANES_SEMANALES[[#ALL],[MIÉRCOLES]])</f>
        <v>0</v>
      </c>
      <c r="P511" s="59">
        <f>SUMIFS(Eventos!$G:$G,Eventos!$F:$F,$L511,Eventos!$D:$D,$C$2,Eventos!$B:$B,PANES_SEMANALES[[#ALL],[JUEVES]])</f>
        <v>0</v>
      </c>
      <c r="Q511" s="59">
        <f>IF(P511&lt;&gt;"",SUMIFS(Eventos!$G:$G,Eventos!$B:$B,Q$2,Eventos!$D:$D,$C$2,Eventos!$F:$F,$L511),"")</f>
        <v>0</v>
      </c>
      <c r="R511" s="59">
        <f>SUMIFS(Eventos!$G:$G,Eventos!$F:$F,$L511,Eventos!$D:$D,$C$2,Eventos!$B:$B,PANES_SEMANALES[[#ALL],[SÁBADO]])</f>
        <v>0</v>
      </c>
      <c r="S511" s="59">
        <f>SUMIFS(Eventos!$G:$G,Eventos!$F:$F,$L511,Eventos!$D:$D,$C$2,Eventos!$B:$B,PANES_SEMANALES[[#ALL],[DOMINGO]])</f>
        <v>0</v>
      </c>
      <c r="T511" s="59">
        <f t="shared" si="1"/>
        <v>0</v>
      </c>
    </row>
    <row r="512" ht="22.5" customHeight="1">
      <c r="M512" s="59">
        <f>SUMIFS(Eventos!$G:$G,Eventos!$F:$F,$L512,Eventos!$D:$D,$C$2,Eventos!$B:$B,PANES_SEMANALES[[#ALL],[LUNES]])</f>
        <v>0</v>
      </c>
      <c r="N512" s="59">
        <f>SUMIFS(Eventos!$G:$G,Eventos!$F:$F,$L512,Eventos!$D:$D,$C$2,Eventos!$B:$B,PANES_SEMANALES[[#ALL],[MARTES]])</f>
        <v>0</v>
      </c>
      <c r="O512" s="59">
        <f>SUMIFS(Eventos!$G:$G,Eventos!$F:$F,$L512,Eventos!$D:$D,$C$2,Eventos!$B:$B,PANES_SEMANALES[[#ALL],[MIÉRCOLES]])</f>
        <v>0</v>
      </c>
      <c r="P512" s="59">
        <f>SUMIFS(Eventos!$G:$G,Eventos!$F:$F,$L512,Eventos!$D:$D,$C$2,Eventos!$B:$B,PANES_SEMANALES[[#ALL],[JUEVES]])</f>
        <v>0</v>
      </c>
      <c r="Q512" s="59">
        <f>IF(P512&lt;&gt;"",SUMIFS(Eventos!$G:$G,Eventos!$B:$B,Q$2,Eventos!$D:$D,$C$2,Eventos!$F:$F,$L512),"")</f>
        <v>0</v>
      </c>
      <c r="R512" s="59">
        <f>SUMIFS(Eventos!$G:$G,Eventos!$F:$F,$L512,Eventos!$D:$D,$C$2,Eventos!$B:$B,PANES_SEMANALES[[#ALL],[SÁBADO]])</f>
        <v>0</v>
      </c>
      <c r="S512" s="59">
        <f>SUMIFS(Eventos!$G:$G,Eventos!$F:$F,$L512,Eventos!$D:$D,$C$2,Eventos!$B:$B,PANES_SEMANALES[[#ALL],[DOMINGO]])</f>
        <v>0</v>
      </c>
      <c r="T512" s="59">
        <f t="shared" si="1"/>
        <v>0</v>
      </c>
    </row>
    <row r="513" ht="22.5" customHeight="1">
      <c r="M513" s="59">
        <f>SUMIFS(Eventos!$G:$G,Eventos!$F:$F,$L513,Eventos!$D:$D,$C$2,Eventos!$B:$B,PANES_SEMANALES[[#ALL],[LUNES]])</f>
        <v>0</v>
      </c>
      <c r="N513" s="59">
        <f>SUMIFS(Eventos!$G:$G,Eventos!$F:$F,$L513,Eventos!$D:$D,$C$2,Eventos!$B:$B,PANES_SEMANALES[[#ALL],[MARTES]])</f>
        <v>0</v>
      </c>
      <c r="O513" s="59">
        <f>SUMIFS(Eventos!$G:$G,Eventos!$F:$F,$L513,Eventos!$D:$D,$C$2,Eventos!$B:$B,PANES_SEMANALES[[#ALL],[MIÉRCOLES]])</f>
        <v>0</v>
      </c>
      <c r="P513" s="59">
        <f>SUMIFS(Eventos!$G:$G,Eventos!$F:$F,$L513,Eventos!$D:$D,$C$2,Eventos!$B:$B,PANES_SEMANALES[[#ALL],[JUEVES]])</f>
        <v>0</v>
      </c>
      <c r="Q513" s="59">
        <f>IF(P513&lt;&gt;"",SUMIFS(Eventos!$G:$G,Eventos!$B:$B,Q$2,Eventos!$D:$D,$C$2,Eventos!$F:$F,$L513),"")</f>
        <v>0</v>
      </c>
      <c r="R513" s="59">
        <f>SUMIFS(Eventos!$G:$G,Eventos!$F:$F,$L513,Eventos!$D:$D,$C$2,Eventos!$B:$B,PANES_SEMANALES[[#ALL],[SÁBADO]])</f>
        <v>0</v>
      </c>
      <c r="S513" s="59">
        <f>SUMIFS(Eventos!$G:$G,Eventos!$F:$F,$L513,Eventos!$D:$D,$C$2,Eventos!$B:$B,PANES_SEMANALES[[#ALL],[DOMINGO]])</f>
        <v>0</v>
      </c>
      <c r="T513" s="59">
        <f t="shared" si="1"/>
        <v>0</v>
      </c>
    </row>
    <row r="514" ht="22.5" customHeight="1">
      <c r="M514" s="59">
        <f>SUMIFS(Eventos!$G:$G,Eventos!$F:$F,$L514,Eventos!$D:$D,$C$2,Eventos!$B:$B,PANES_SEMANALES[[#ALL],[LUNES]])</f>
        <v>0</v>
      </c>
      <c r="N514" s="59">
        <f>SUMIFS(Eventos!$G:$G,Eventos!$F:$F,$L514,Eventos!$D:$D,$C$2,Eventos!$B:$B,PANES_SEMANALES[[#ALL],[MARTES]])</f>
        <v>0</v>
      </c>
      <c r="O514" s="59">
        <f>SUMIFS(Eventos!$G:$G,Eventos!$F:$F,$L514,Eventos!$D:$D,$C$2,Eventos!$B:$B,PANES_SEMANALES[[#ALL],[MIÉRCOLES]])</f>
        <v>0</v>
      </c>
      <c r="P514" s="59">
        <f>SUMIFS(Eventos!$G:$G,Eventos!$F:$F,$L514,Eventos!$D:$D,$C$2,Eventos!$B:$B,PANES_SEMANALES[[#ALL],[JUEVES]])</f>
        <v>0</v>
      </c>
      <c r="Q514" s="59">
        <f>IF(P514&lt;&gt;"",SUMIFS(Eventos!$G:$G,Eventos!$B:$B,Q$2,Eventos!$D:$D,$C$2,Eventos!$F:$F,$L514),"")</f>
        <v>0</v>
      </c>
      <c r="R514" s="59">
        <f>SUMIFS(Eventos!$G:$G,Eventos!$F:$F,$L514,Eventos!$D:$D,$C$2,Eventos!$B:$B,PANES_SEMANALES[[#ALL],[SÁBADO]])</f>
        <v>0</v>
      </c>
      <c r="S514" s="59">
        <f>SUMIFS(Eventos!$G:$G,Eventos!$F:$F,$L514,Eventos!$D:$D,$C$2,Eventos!$B:$B,PANES_SEMANALES[[#ALL],[DOMINGO]])</f>
        <v>0</v>
      </c>
      <c r="T514" s="59">
        <f t="shared" si="1"/>
        <v>0</v>
      </c>
    </row>
    <row r="515" ht="22.5" customHeight="1">
      <c r="M515" s="59">
        <f>SUMIFS(Eventos!$G:$G,Eventos!$F:$F,$L515,Eventos!$D:$D,$C$2,Eventos!$B:$B,PANES_SEMANALES[[#ALL],[LUNES]])</f>
        <v>0</v>
      </c>
      <c r="N515" s="59">
        <f>SUMIFS(Eventos!$G:$G,Eventos!$F:$F,$L515,Eventos!$D:$D,$C$2,Eventos!$B:$B,PANES_SEMANALES[[#ALL],[MARTES]])</f>
        <v>0</v>
      </c>
      <c r="O515" s="59">
        <f>SUMIFS(Eventos!$G:$G,Eventos!$F:$F,$L515,Eventos!$D:$D,$C$2,Eventos!$B:$B,PANES_SEMANALES[[#ALL],[MIÉRCOLES]])</f>
        <v>0</v>
      </c>
      <c r="P515" s="59">
        <f>SUMIFS(Eventos!$G:$G,Eventos!$F:$F,$L515,Eventos!$D:$D,$C$2,Eventos!$B:$B,PANES_SEMANALES[[#ALL],[JUEVES]])</f>
        <v>0</v>
      </c>
      <c r="Q515" s="59">
        <f>IF(P515&lt;&gt;"",SUMIFS(Eventos!$G:$G,Eventos!$B:$B,Q$2,Eventos!$D:$D,$C$2,Eventos!$F:$F,$L515),"")</f>
        <v>0</v>
      </c>
      <c r="R515" s="59">
        <f>SUMIFS(Eventos!$G:$G,Eventos!$F:$F,$L515,Eventos!$D:$D,$C$2,Eventos!$B:$B,PANES_SEMANALES[[#ALL],[SÁBADO]])</f>
        <v>0</v>
      </c>
      <c r="S515" s="59">
        <f>SUMIFS(Eventos!$G:$G,Eventos!$F:$F,$L515,Eventos!$D:$D,$C$2,Eventos!$B:$B,PANES_SEMANALES[[#ALL],[DOMINGO]])</f>
        <v>0</v>
      </c>
      <c r="T515" s="59">
        <f t="shared" si="1"/>
        <v>0</v>
      </c>
    </row>
    <row r="516" ht="22.5" customHeight="1">
      <c r="M516" s="59">
        <f>SUMIFS(Eventos!$G:$G,Eventos!$F:$F,$L516,Eventos!$D:$D,$C$2,Eventos!$B:$B,PANES_SEMANALES[[#ALL],[LUNES]])</f>
        <v>0</v>
      </c>
      <c r="N516" s="59">
        <f>SUMIFS(Eventos!$G:$G,Eventos!$F:$F,$L516,Eventos!$D:$D,$C$2,Eventos!$B:$B,PANES_SEMANALES[[#ALL],[MARTES]])</f>
        <v>0</v>
      </c>
      <c r="O516" s="59">
        <f>SUMIFS(Eventos!$G:$G,Eventos!$F:$F,$L516,Eventos!$D:$D,$C$2,Eventos!$B:$B,PANES_SEMANALES[[#ALL],[MIÉRCOLES]])</f>
        <v>0</v>
      </c>
      <c r="P516" s="59">
        <f>SUMIFS(Eventos!$G:$G,Eventos!$F:$F,$L516,Eventos!$D:$D,$C$2,Eventos!$B:$B,PANES_SEMANALES[[#ALL],[JUEVES]])</f>
        <v>0</v>
      </c>
      <c r="Q516" s="59">
        <f>IF(P516&lt;&gt;"",SUMIFS(Eventos!$G:$G,Eventos!$B:$B,Q$2,Eventos!$D:$D,$C$2,Eventos!$F:$F,$L516),"")</f>
        <v>0</v>
      </c>
      <c r="R516" s="59">
        <f>SUMIFS(Eventos!$G:$G,Eventos!$F:$F,$L516,Eventos!$D:$D,$C$2,Eventos!$B:$B,PANES_SEMANALES[[#ALL],[SÁBADO]])</f>
        <v>0</v>
      </c>
      <c r="S516" s="59">
        <f>SUMIFS(Eventos!$G:$G,Eventos!$F:$F,$L516,Eventos!$D:$D,$C$2,Eventos!$B:$B,PANES_SEMANALES[[#ALL],[DOMINGO]])</f>
        <v>0</v>
      </c>
      <c r="T516" s="59">
        <f t="shared" si="1"/>
        <v>0</v>
      </c>
    </row>
    <row r="517" ht="22.5" customHeight="1">
      <c r="M517" s="59">
        <f>SUMIFS(Eventos!$G:$G,Eventos!$F:$F,$L517,Eventos!$D:$D,$C$2,Eventos!$B:$B,PANES_SEMANALES[[#ALL],[LUNES]])</f>
        <v>0</v>
      </c>
      <c r="N517" s="59">
        <f>SUMIFS(Eventos!$G:$G,Eventos!$F:$F,$L517,Eventos!$D:$D,$C$2,Eventos!$B:$B,PANES_SEMANALES[[#ALL],[MARTES]])</f>
        <v>0</v>
      </c>
      <c r="O517" s="59">
        <f>SUMIFS(Eventos!$G:$G,Eventos!$F:$F,$L517,Eventos!$D:$D,$C$2,Eventos!$B:$B,PANES_SEMANALES[[#ALL],[MIÉRCOLES]])</f>
        <v>0</v>
      </c>
      <c r="P517" s="59">
        <f>SUMIFS(Eventos!$G:$G,Eventos!$F:$F,$L517,Eventos!$D:$D,$C$2,Eventos!$B:$B,PANES_SEMANALES[[#ALL],[JUEVES]])</f>
        <v>0</v>
      </c>
      <c r="Q517" s="59">
        <f>IF(P517&lt;&gt;"",SUMIFS(Eventos!$G:$G,Eventos!$B:$B,Q$2,Eventos!$D:$D,$C$2,Eventos!$F:$F,$L517),"")</f>
        <v>0</v>
      </c>
      <c r="R517" s="59">
        <f>SUMIFS(Eventos!$G:$G,Eventos!$F:$F,$L517,Eventos!$D:$D,$C$2,Eventos!$B:$B,PANES_SEMANALES[[#ALL],[SÁBADO]])</f>
        <v>0</v>
      </c>
      <c r="S517" s="59">
        <f>SUMIFS(Eventos!$G:$G,Eventos!$F:$F,$L517,Eventos!$D:$D,$C$2,Eventos!$B:$B,PANES_SEMANALES[[#ALL],[DOMINGO]])</f>
        <v>0</v>
      </c>
      <c r="T517" s="59">
        <f t="shared" si="1"/>
        <v>0</v>
      </c>
    </row>
    <row r="518" ht="22.5" customHeight="1">
      <c r="M518" s="59">
        <f>SUMIFS(Eventos!$G:$G,Eventos!$F:$F,$L518,Eventos!$D:$D,$C$2,Eventos!$B:$B,PANES_SEMANALES[[#ALL],[LUNES]])</f>
        <v>0</v>
      </c>
      <c r="N518" s="59">
        <f>SUMIFS(Eventos!$G:$G,Eventos!$F:$F,$L518,Eventos!$D:$D,$C$2,Eventos!$B:$B,PANES_SEMANALES[[#ALL],[MARTES]])</f>
        <v>0</v>
      </c>
      <c r="O518" s="59">
        <f>SUMIFS(Eventos!$G:$G,Eventos!$F:$F,$L518,Eventos!$D:$D,$C$2,Eventos!$B:$B,PANES_SEMANALES[[#ALL],[MIÉRCOLES]])</f>
        <v>0</v>
      </c>
      <c r="P518" s="59">
        <f>SUMIFS(Eventos!$G:$G,Eventos!$F:$F,$L518,Eventos!$D:$D,$C$2,Eventos!$B:$B,PANES_SEMANALES[[#ALL],[JUEVES]])</f>
        <v>0</v>
      </c>
      <c r="Q518" s="59">
        <f>IF(P518&lt;&gt;"",SUMIFS(Eventos!$G:$G,Eventos!$B:$B,Q$2,Eventos!$D:$D,$C$2,Eventos!$F:$F,$L518),"")</f>
        <v>0</v>
      </c>
      <c r="R518" s="59">
        <f>SUMIFS(Eventos!$G:$G,Eventos!$F:$F,$L518,Eventos!$D:$D,$C$2,Eventos!$B:$B,PANES_SEMANALES[[#ALL],[SÁBADO]])</f>
        <v>0</v>
      </c>
      <c r="S518" s="59">
        <f>SUMIFS(Eventos!$G:$G,Eventos!$F:$F,$L518,Eventos!$D:$D,$C$2,Eventos!$B:$B,PANES_SEMANALES[[#ALL],[DOMINGO]])</f>
        <v>0</v>
      </c>
      <c r="T518" s="59">
        <f t="shared" si="1"/>
        <v>0</v>
      </c>
    </row>
    <row r="519" ht="22.5" customHeight="1">
      <c r="M519" s="59">
        <f>SUMIFS(Eventos!$G:$G,Eventos!$F:$F,$L519,Eventos!$D:$D,$C$2,Eventos!$B:$B,PANES_SEMANALES[[#ALL],[LUNES]])</f>
        <v>0</v>
      </c>
      <c r="N519" s="59">
        <f>SUMIFS(Eventos!$G:$G,Eventos!$F:$F,$L519,Eventos!$D:$D,$C$2,Eventos!$B:$B,PANES_SEMANALES[[#ALL],[MARTES]])</f>
        <v>0</v>
      </c>
      <c r="O519" s="59">
        <f>SUMIFS(Eventos!$G:$G,Eventos!$F:$F,$L519,Eventos!$D:$D,$C$2,Eventos!$B:$B,PANES_SEMANALES[[#ALL],[MIÉRCOLES]])</f>
        <v>0</v>
      </c>
      <c r="P519" s="59">
        <f>SUMIFS(Eventos!$G:$G,Eventos!$F:$F,$L519,Eventos!$D:$D,$C$2,Eventos!$B:$B,PANES_SEMANALES[[#ALL],[JUEVES]])</f>
        <v>0</v>
      </c>
      <c r="Q519" s="59">
        <f>IF(P519&lt;&gt;"",SUMIFS(Eventos!$G:$G,Eventos!$B:$B,Q$2,Eventos!$D:$D,$C$2,Eventos!$F:$F,$L519),"")</f>
        <v>0</v>
      </c>
      <c r="R519" s="59">
        <f>SUMIFS(Eventos!$G:$G,Eventos!$F:$F,$L519,Eventos!$D:$D,$C$2,Eventos!$B:$B,PANES_SEMANALES[[#ALL],[SÁBADO]])</f>
        <v>0</v>
      </c>
      <c r="S519" s="59">
        <f>SUMIFS(Eventos!$G:$G,Eventos!$F:$F,$L519,Eventos!$D:$D,$C$2,Eventos!$B:$B,PANES_SEMANALES[[#ALL],[DOMINGO]])</f>
        <v>0</v>
      </c>
      <c r="T519" s="59">
        <f t="shared" si="1"/>
        <v>0</v>
      </c>
    </row>
    <row r="520" ht="22.5" customHeight="1">
      <c r="M520" s="59">
        <f>SUMIFS(Eventos!$G:$G,Eventos!$F:$F,$L520,Eventos!$D:$D,$C$2,Eventos!$B:$B,PANES_SEMANALES[[#ALL],[LUNES]])</f>
        <v>0</v>
      </c>
      <c r="N520" s="59">
        <f>SUMIFS(Eventos!$G:$G,Eventos!$F:$F,$L520,Eventos!$D:$D,$C$2,Eventos!$B:$B,PANES_SEMANALES[[#ALL],[MARTES]])</f>
        <v>0</v>
      </c>
      <c r="O520" s="59">
        <f>SUMIFS(Eventos!$G:$G,Eventos!$F:$F,$L520,Eventos!$D:$D,$C$2,Eventos!$B:$B,PANES_SEMANALES[[#ALL],[MIÉRCOLES]])</f>
        <v>0</v>
      </c>
      <c r="P520" s="59">
        <f>SUMIFS(Eventos!$G:$G,Eventos!$F:$F,$L520,Eventos!$D:$D,$C$2,Eventos!$B:$B,PANES_SEMANALES[[#ALL],[JUEVES]])</f>
        <v>0</v>
      </c>
      <c r="Q520" s="59">
        <f>IF(P520&lt;&gt;"",SUMIFS(Eventos!$G:$G,Eventos!$B:$B,Q$2,Eventos!$D:$D,$C$2,Eventos!$F:$F,$L520),"")</f>
        <v>0</v>
      </c>
      <c r="R520" s="59">
        <f>SUMIFS(Eventos!$G:$G,Eventos!$F:$F,$L520,Eventos!$D:$D,$C$2,Eventos!$B:$B,PANES_SEMANALES[[#ALL],[SÁBADO]])</f>
        <v>0</v>
      </c>
      <c r="S520" s="59">
        <f>SUMIFS(Eventos!$G:$G,Eventos!$F:$F,$L520,Eventos!$D:$D,$C$2,Eventos!$B:$B,PANES_SEMANALES[[#ALL],[DOMINGO]])</f>
        <v>0</v>
      </c>
      <c r="T520" s="59">
        <f t="shared" si="1"/>
        <v>0</v>
      </c>
    </row>
    <row r="521" ht="22.5" customHeight="1">
      <c r="M521" s="59">
        <f>SUMIFS(Eventos!$G:$G,Eventos!$F:$F,$L521,Eventos!$D:$D,$C$2,Eventos!$B:$B,PANES_SEMANALES[[#ALL],[LUNES]])</f>
        <v>0</v>
      </c>
      <c r="N521" s="59">
        <f>SUMIFS(Eventos!$G:$G,Eventos!$F:$F,$L521,Eventos!$D:$D,$C$2,Eventos!$B:$B,PANES_SEMANALES[[#ALL],[MARTES]])</f>
        <v>0</v>
      </c>
      <c r="O521" s="59">
        <f>SUMIFS(Eventos!$G:$G,Eventos!$F:$F,$L521,Eventos!$D:$D,$C$2,Eventos!$B:$B,PANES_SEMANALES[[#ALL],[MIÉRCOLES]])</f>
        <v>0</v>
      </c>
      <c r="P521" s="59">
        <f>SUMIFS(Eventos!$G:$G,Eventos!$F:$F,$L521,Eventos!$D:$D,$C$2,Eventos!$B:$B,PANES_SEMANALES[[#ALL],[JUEVES]])</f>
        <v>0</v>
      </c>
      <c r="Q521" s="59">
        <f>IF(P521&lt;&gt;"",SUMIFS(Eventos!$G:$G,Eventos!$B:$B,Q$2,Eventos!$D:$D,$C$2,Eventos!$F:$F,$L521),"")</f>
        <v>0</v>
      </c>
      <c r="R521" s="59">
        <f>SUMIFS(Eventos!$G:$G,Eventos!$F:$F,$L521,Eventos!$D:$D,$C$2,Eventos!$B:$B,PANES_SEMANALES[[#ALL],[SÁBADO]])</f>
        <v>0</v>
      </c>
      <c r="S521" s="59">
        <f>SUMIFS(Eventos!$G:$G,Eventos!$F:$F,$L521,Eventos!$D:$D,$C$2,Eventos!$B:$B,PANES_SEMANALES[[#ALL],[DOMINGO]])</f>
        <v>0</v>
      </c>
      <c r="T521" s="59">
        <f t="shared" si="1"/>
        <v>0</v>
      </c>
    </row>
    <row r="522" ht="22.5" customHeight="1">
      <c r="M522" s="59">
        <f>SUMIFS(Eventos!$G:$G,Eventos!$F:$F,$L522,Eventos!$D:$D,$C$2,Eventos!$B:$B,PANES_SEMANALES[[#ALL],[LUNES]])</f>
        <v>0</v>
      </c>
      <c r="N522" s="59">
        <f>SUMIFS(Eventos!$G:$G,Eventos!$F:$F,$L522,Eventos!$D:$D,$C$2,Eventos!$B:$B,PANES_SEMANALES[[#ALL],[MARTES]])</f>
        <v>0</v>
      </c>
      <c r="O522" s="59">
        <f>SUMIFS(Eventos!$G:$G,Eventos!$F:$F,$L522,Eventos!$D:$D,$C$2,Eventos!$B:$B,PANES_SEMANALES[[#ALL],[MIÉRCOLES]])</f>
        <v>0</v>
      </c>
      <c r="P522" s="59">
        <f>SUMIFS(Eventos!$G:$G,Eventos!$F:$F,$L522,Eventos!$D:$D,$C$2,Eventos!$B:$B,PANES_SEMANALES[[#ALL],[JUEVES]])</f>
        <v>0</v>
      </c>
      <c r="Q522" s="59">
        <f>IF(P522&lt;&gt;"",SUMIFS(Eventos!$G:$G,Eventos!$B:$B,Q$2,Eventos!$D:$D,$C$2,Eventos!$F:$F,$L522),"")</f>
        <v>0</v>
      </c>
      <c r="R522" s="59">
        <f>SUMIFS(Eventos!$G:$G,Eventos!$F:$F,$L522,Eventos!$D:$D,$C$2,Eventos!$B:$B,PANES_SEMANALES[[#ALL],[SÁBADO]])</f>
        <v>0</v>
      </c>
      <c r="S522" s="59">
        <f>SUMIFS(Eventos!$G:$G,Eventos!$F:$F,$L522,Eventos!$D:$D,$C$2,Eventos!$B:$B,PANES_SEMANALES[[#ALL],[DOMINGO]])</f>
        <v>0</v>
      </c>
      <c r="T522" s="59">
        <f t="shared" si="1"/>
        <v>0</v>
      </c>
    </row>
    <row r="523" ht="22.5" customHeight="1">
      <c r="M523" s="59">
        <f>SUMIFS(Eventos!$G:$G,Eventos!$F:$F,$L523,Eventos!$D:$D,$C$2,Eventos!$B:$B,PANES_SEMANALES[[#ALL],[LUNES]])</f>
        <v>0</v>
      </c>
      <c r="N523" s="59">
        <f>SUMIFS(Eventos!$G:$G,Eventos!$F:$F,$L523,Eventos!$D:$D,$C$2,Eventos!$B:$B,PANES_SEMANALES[[#ALL],[MARTES]])</f>
        <v>0</v>
      </c>
      <c r="O523" s="59">
        <f>SUMIFS(Eventos!$G:$G,Eventos!$F:$F,$L523,Eventos!$D:$D,$C$2,Eventos!$B:$B,PANES_SEMANALES[[#ALL],[MIÉRCOLES]])</f>
        <v>0</v>
      </c>
      <c r="P523" s="59">
        <f>SUMIFS(Eventos!$G:$G,Eventos!$F:$F,$L523,Eventos!$D:$D,$C$2,Eventos!$B:$B,PANES_SEMANALES[[#ALL],[JUEVES]])</f>
        <v>0</v>
      </c>
      <c r="Q523" s="59">
        <f>IF(P523&lt;&gt;"",SUMIFS(Eventos!$G:$G,Eventos!$B:$B,Q$2,Eventos!$D:$D,$C$2,Eventos!$F:$F,$L523),"")</f>
        <v>0</v>
      </c>
      <c r="R523" s="59">
        <f>SUMIFS(Eventos!$G:$G,Eventos!$F:$F,$L523,Eventos!$D:$D,$C$2,Eventos!$B:$B,PANES_SEMANALES[[#ALL],[SÁBADO]])</f>
        <v>0</v>
      </c>
      <c r="S523" s="59">
        <f>SUMIFS(Eventos!$G:$G,Eventos!$F:$F,$L523,Eventos!$D:$D,$C$2,Eventos!$B:$B,PANES_SEMANALES[[#ALL],[DOMINGO]])</f>
        <v>0</v>
      </c>
      <c r="T523" s="59">
        <f t="shared" si="1"/>
        <v>0</v>
      </c>
    </row>
    <row r="524" ht="22.5" customHeight="1">
      <c r="M524" s="59">
        <f>SUMIFS(Eventos!$G:$G,Eventos!$F:$F,$L524,Eventos!$D:$D,$C$2,Eventos!$B:$B,PANES_SEMANALES[[#ALL],[LUNES]])</f>
        <v>0</v>
      </c>
      <c r="N524" s="59">
        <f>SUMIFS(Eventos!$G:$G,Eventos!$F:$F,$L524,Eventos!$D:$D,$C$2,Eventos!$B:$B,PANES_SEMANALES[[#ALL],[MARTES]])</f>
        <v>0</v>
      </c>
      <c r="O524" s="59">
        <f>SUMIFS(Eventos!$G:$G,Eventos!$F:$F,$L524,Eventos!$D:$D,$C$2,Eventos!$B:$B,PANES_SEMANALES[[#ALL],[MIÉRCOLES]])</f>
        <v>0</v>
      </c>
      <c r="P524" s="59">
        <f>SUMIFS(Eventos!$G:$G,Eventos!$F:$F,$L524,Eventos!$D:$D,$C$2,Eventos!$B:$B,PANES_SEMANALES[[#ALL],[JUEVES]])</f>
        <v>0</v>
      </c>
      <c r="Q524" s="59">
        <f>IF(P524&lt;&gt;"",SUMIFS(Eventos!$G:$G,Eventos!$B:$B,Q$2,Eventos!$D:$D,$C$2,Eventos!$F:$F,$L524),"")</f>
        <v>0</v>
      </c>
      <c r="R524" s="59">
        <f>SUMIFS(Eventos!$G:$G,Eventos!$F:$F,$L524,Eventos!$D:$D,$C$2,Eventos!$B:$B,PANES_SEMANALES[[#ALL],[SÁBADO]])</f>
        <v>0</v>
      </c>
      <c r="S524" s="59">
        <f>SUMIFS(Eventos!$G:$G,Eventos!$F:$F,$L524,Eventos!$D:$D,$C$2,Eventos!$B:$B,PANES_SEMANALES[[#ALL],[DOMINGO]])</f>
        <v>0</v>
      </c>
      <c r="T524" s="59">
        <f t="shared" si="1"/>
        <v>0</v>
      </c>
    </row>
    <row r="525" ht="22.5" customHeight="1">
      <c r="M525" s="59">
        <f>SUMIFS(Eventos!$G:$G,Eventos!$F:$F,$L525,Eventos!$D:$D,$C$2,Eventos!$B:$B,PANES_SEMANALES[[#ALL],[LUNES]])</f>
        <v>0</v>
      </c>
      <c r="N525" s="59">
        <f>SUMIFS(Eventos!$G:$G,Eventos!$F:$F,$L525,Eventos!$D:$D,$C$2,Eventos!$B:$B,PANES_SEMANALES[[#ALL],[MARTES]])</f>
        <v>0</v>
      </c>
      <c r="O525" s="59">
        <f>SUMIFS(Eventos!$G:$G,Eventos!$F:$F,$L525,Eventos!$D:$D,$C$2,Eventos!$B:$B,PANES_SEMANALES[[#ALL],[MIÉRCOLES]])</f>
        <v>0</v>
      </c>
      <c r="P525" s="59">
        <f>SUMIFS(Eventos!$G:$G,Eventos!$F:$F,$L525,Eventos!$D:$D,$C$2,Eventos!$B:$B,PANES_SEMANALES[[#ALL],[JUEVES]])</f>
        <v>0</v>
      </c>
      <c r="Q525" s="59">
        <f>IF(P525&lt;&gt;"",SUMIFS(Eventos!$G:$G,Eventos!$B:$B,Q$2,Eventos!$D:$D,$C$2,Eventos!$F:$F,$L525),"")</f>
        <v>0</v>
      </c>
      <c r="R525" s="59">
        <f>SUMIFS(Eventos!$G:$G,Eventos!$F:$F,$L525,Eventos!$D:$D,$C$2,Eventos!$B:$B,PANES_SEMANALES[[#ALL],[SÁBADO]])</f>
        <v>0</v>
      </c>
      <c r="S525" s="59">
        <f>SUMIFS(Eventos!$G:$G,Eventos!$F:$F,$L525,Eventos!$D:$D,$C$2,Eventos!$B:$B,PANES_SEMANALES[[#ALL],[DOMINGO]])</f>
        <v>0</v>
      </c>
      <c r="T525" s="59">
        <f t="shared" si="1"/>
        <v>0</v>
      </c>
    </row>
    <row r="526" ht="22.5" customHeight="1">
      <c r="M526" s="59">
        <f>SUMIFS(Eventos!$G:$G,Eventos!$F:$F,$L526,Eventos!$D:$D,$C$2,Eventos!$B:$B,PANES_SEMANALES[[#ALL],[LUNES]])</f>
        <v>0</v>
      </c>
      <c r="N526" s="59">
        <f>SUMIFS(Eventos!$G:$G,Eventos!$F:$F,$L526,Eventos!$D:$D,$C$2,Eventos!$B:$B,PANES_SEMANALES[[#ALL],[MARTES]])</f>
        <v>0</v>
      </c>
      <c r="O526" s="59">
        <f>SUMIFS(Eventos!$G:$G,Eventos!$F:$F,$L526,Eventos!$D:$D,$C$2,Eventos!$B:$B,PANES_SEMANALES[[#ALL],[MIÉRCOLES]])</f>
        <v>0</v>
      </c>
      <c r="P526" s="59">
        <f>SUMIFS(Eventos!$G:$G,Eventos!$F:$F,$L526,Eventos!$D:$D,$C$2,Eventos!$B:$B,PANES_SEMANALES[[#ALL],[JUEVES]])</f>
        <v>0</v>
      </c>
      <c r="Q526" s="59">
        <f>IF(P526&lt;&gt;"",SUMIFS(Eventos!$G:$G,Eventos!$B:$B,Q$2,Eventos!$D:$D,$C$2,Eventos!$F:$F,$L526),"")</f>
        <v>0</v>
      </c>
      <c r="R526" s="59">
        <f>SUMIFS(Eventos!$G:$G,Eventos!$F:$F,$L526,Eventos!$D:$D,$C$2,Eventos!$B:$B,PANES_SEMANALES[[#ALL],[SÁBADO]])</f>
        <v>0</v>
      </c>
      <c r="S526" s="59">
        <f>SUMIFS(Eventos!$G:$G,Eventos!$F:$F,$L526,Eventos!$D:$D,$C$2,Eventos!$B:$B,PANES_SEMANALES[[#ALL],[DOMINGO]])</f>
        <v>0</v>
      </c>
      <c r="T526" s="59">
        <f t="shared" si="1"/>
        <v>0</v>
      </c>
    </row>
    <row r="527" ht="22.5" customHeight="1">
      <c r="M527" s="59">
        <f>SUMIFS(Eventos!$G:$G,Eventos!$F:$F,$L527,Eventos!$D:$D,$C$2,Eventos!$B:$B,PANES_SEMANALES[[#ALL],[LUNES]])</f>
        <v>0</v>
      </c>
      <c r="N527" s="59">
        <f>SUMIFS(Eventos!$G:$G,Eventos!$F:$F,$L527,Eventos!$D:$D,$C$2,Eventos!$B:$B,PANES_SEMANALES[[#ALL],[MARTES]])</f>
        <v>0</v>
      </c>
      <c r="O527" s="59">
        <f>SUMIFS(Eventos!$G:$G,Eventos!$F:$F,$L527,Eventos!$D:$D,$C$2,Eventos!$B:$B,PANES_SEMANALES[[#ALL],[MIÉRCOLES]])</f>
        <v>0</v>
      </c>
      <c r="P527" s="59">
        <f>SUMIFS(Eventos!$G:$G,Eventos!$F:$F,$L527,Eventos!$D:$D,$C$2,Eventos!$B:$B,PANES_SEMANALES[[#ALL],[JUEVES]])</f>
        <v>0</v>
      </c>
      <c r="Q527" s="59">
        <f>IF(P527&lt;&gt;"",SUMIFS(Eventos!$G:$G,Eventos!$B:$B,Q$2,Eventos!$D:$D,$C$2,Eventos!$F:$F,$L527),"")</f>
        <v>0</v>
      </c>
      <c r="R527" s="59">
        <f>SUMIFS(Eventos!$G:$G,Eventos!$F:$F,$L527,Eventos!$D:$D,$C$2,Eventos!$B:$B,PANES_SEMANALES[[#ALL],[SÁBADO]])</f>
        <v>0</v>
      </c>
      <c r="S527" s="59">
        <f>SUMIFS(Eventos!$G:$G,Eventos!$F:$F,$L527,Eventos!$D:$D,$C$2,Eventos!$B:$B,PANES_SEMANALES[[#ALL],[DOMINGO]])</f>
        <v>0</v>
      </c>
      <c r="T527" s="59">
        <f t="shared" si="1"/>
        <v>0</v>
      </c>
    </row>
    <row r="528" ht="22.5" customHeight="1">
      <c r="M528" s="59">
        <f>SUMIFS(Eventos!$G:$G,Eventos!$F:$F,$L528,Eventos!$D:$D,$C$2,Eventos!$B:$B,PANES_SEMANALES[[#ALL],[LUNES]])</f>
        <v>0</v>
      </c>
      <c r="N528" s="59">
        <f>SUMIFS(Eventos!$G:$G,Eventos!$F:$F,$L528,Eventos!$D:$D,$C$2,Eventos!$B:$B,PANES_SEMANALES[[#ALL],[MARTES]])</f>
        <v>0</v>
      </c>
      <c r="O528" s="59">
        <f>SUMIFS(Eventos!$G:$G,Eventos!$F:$F,$L528,Eventos!$D:$D,$C$2,Eventos!$B:$B,PANES_SEMANALES[[#ALL],[MIÉRCOLES]])</f>
        <v>0</v>
      </c>
      <c r="P528" s="59">
        <f>SUMIFS(Eventos!$G:$G,Eventos!$F:$F,$L528,Eventos!$D:$D,$C$2,Eventos!$B:$B,PANES_SEMANALES[[#ALL],[JUEVES]])</f>
        <v>0</v>
      </c>
      <c r="Q528" s="59">
        <f>IF(P528&lt;&gt;"",SUMIFS(Eventos!$G:$G,Eventos!$B:$B,Q$2,Eventos!$D:$D,$C$2,Eventos!$F:$F,$L528),"")</f>
        <v>0</v>
      </c>
      <c r="R528" s="59">
        <f>SUMIFS(Eventos!$G:$G,Eventos!$F:$F,$L528,Eventos!$D:$D,$C$2,Eventos!$B:$B,PANES_SEMANALES[[#ALL],[SÁBADO]])</f>
        <v>0</v>
      </c>
      <c r="S528" s="59">
        <f>SUMIFS(Eventos!$G:$G,Eventos!$F:$F,$L528,Eventos!$D:$D,$C$2,Eventos!$B:$B,PANES_SEMANALES[[#ALL],[DOMINGO]])</f>
        <v>0</v>
      </c>
      <c r="T528" s="59">
        <f t="shared" si="1"/>
        <v>0</v>
      </c>
    </row>
    <row r="529" ht="22.5" customHeight="1">
      <c r="M529" s="59">
        <f>SUMIFS(Eventos!$G:$G,Eventos!$F:$F,$L529,Eventos!$D:$D,$C$2,Eventos!$B:$B,PANES_SEMANALES[[#ALL],[LUNES]])</f>
        <v>0</v>
      </c>
      <c r="N529" s="59">
        <f>SUMIFS(Eventos!$G:$G,Eventos!$F:$F,$L529,Eventos!$D:$D,$C$2,Eventos!$B:$B,PANES_SEMANALES[[#ALL],[MARTES]])</f>
        <v>0</v>
      </c>
      <c r="O529" s="59">
        <f>SUMIFS(Eventos!$G:$G,Eventos!$F:$F,$L529,Eventos!$D:$D,$C$2,Eventos!$B:$B,PANES_SEMANALES[[#ALL],[MIÉRCOLES]])</f>
        <v>0</v>
      </c>
      <c r="P529" s="59">
        <f>SUMIFS(Eventos!$G:$G,Eventos!$F:$F,$L529,Eventos!$D:$D,$C$2,Eventos!$B:$B,PANES_SEMANALES[[#ALL],[JUEVES]])</f>
        <v>0</v>
      </c>
      <c r="Q529" s="59">
        <f>IF(P529&lt;&gt;"",SUMIFS(Eventos!$G:$G,Eventos!$B:$B,Q$2,Eventos!$D:$D,$C$2,Eventos!$F:$F,$L529),"")</f>
        <v>0</v>
      </c>
      <c r="R529" s="59">
        <f>SUMIFS(Eventos!$G:$G,Eventos!$F:$F,$L529,Eventos!$D:$D,$C$2,Eventos!$B:$B,PANES_SEMANALES[[#ALL],[SÁBADO]])</f>
        <v>0</v>
      </c>
      <c r="S529" s="59">
        <f>SUMIFS(Eventos!$G:$G,Eventos!$F:$F,$L529,Eventos!$D:$D,$C$2,Eventos!$B:$B,PANES_SEMANALES[[#ALL],[DOMINGO]])</f>
        <v>0</v>
      </c>
      <c r="T529" s="59">
        <f t="shared" si="1"/>
        <v>0</v>
      </c>
    </row>
    <row r="530" ht="22.5" customHeight="1">
      <c r="M530" s="59">
        <f>SUMIFS(Eventos!$G:$G,Eventos!$F:$F,$L530,Eventos!$D:$D,$C$2,Eventos!$B:$B,PANES_SEMANALES[[#ALL],[LUNES]])</f>
        <v>0</v>
      </c>
      <c r="N530" s="59">
        <f>SUMIFS(Eventos!$G:$G,Eventos!$F:$F,$L530,Eventos!$D:$D,$C$2,Eventos!$B:$B,PANES_SEMANALES[[#ALL],[MARTES]])</f>
        <v>0</v>
      </c>
      <c r="O530" s="59">
        <f>SUMIFS(Eventos!$G:$G,Eventos!$F:$F,$L530,Eventos!$D:$D,$C$2,Eventos!$B:$B,PANES_SEMANALES[[#ALL],[MIÉRCOLES]])</f>
        <v>0</v>
      </c>
      <c r="P530" s="59">
        <f>SUMIFS(Eventos!$G:$G,Eventos!$F:$F,$L530,Eventos!$D:$D,$C$2,Eventos!$B:$B,PANES_SEMANALES[[#ALL],[JUEVES]])</f>
        <v>0</v>
      </c>
      <c r="Q530" s="59">
        <f>IF(P530&lt;&gt;"",SUMIFS(Eventos!$G:$G,Eventos!$B:$B,Q$2,Eventos!$D:$D,$C$2,Eventos!$F:$F,$L530),"")</f>
        <v>0</v>
      </c>
      <c r="R530" s="59">
        <f>SUMIFS(Eventos!$G:$G,Eventos!$F:$F,$L530,Eventos!$D:$D,$C$2,Eventos!$B:$B,PANES_SEMANALES[[#ALL],[SÁBADO]])</f>
        <v>0</v>
      </c>
      <c r="S530" s="59">
        <f>SUMIFS(Eventos!$G:$G,Eventos!$F:$F,$L530,Eventos!$D:$D,$C$2,Eventos!$B:$B,PANES_SEMANALES[[#ALL],[DOMINGO]])</f>
        <v>0</v>
      </c>
      <c r="T530" s="59">
        <f t="shared" si="1"/>
        <v>0</v>
      </c>
    </row>
    <row r="531" ht="22.5" customHeight="1">
      <c r="M531" s="59">
        <f>SUMIFS(Eventos!$G:$G,Eventos!$F:$F,$L531,Eventos!$D:$D,$C$2,Eventos!$B:$B,PANES_SEMANALES[[#ALL],[LUNES]])</f>
        <v>0</v>
      </c>
      <c r="N531" s="59">
        <f>SUMIFS(Eventos!$G:$G,Eventos!$F:$F,$L531,Eventos!$D:$D,$C$2,Eventos!$B:$B,PANES_SEMANALES[[#ALL],[MARTES]])</f>
        <v>0</v>
      </c>
      <c r="O531" s="59">
        <f>SUMIFS(Eventos!$G:$G,Eventos!$F:$F,$L531,Eventos!$D:$D,$C$2,Eventos!$B:$B,PANES_SEMANALES[[#ALL],[MIÉRCOLES]])</f>
        <v>0</v>
      </c>
      <c r="P531" s="59">
        <f>SUMIFS(Eventos!$G:$G,Eventos!$F:$F,$L531,Eventos!$D:$D,$C$2,Eventos!$B:$B,PANES_SEMANALES[[#ALL],[JUEVES]])</f>
        <v>0</v>
      </c>
      <c r="Q531" s="59">
        <f>IF(P531&lt;&gt;"",SUMIFS(Eventos!$G:$G,Eventos!$B:$B,Q$2,Eventos!$D:$D,$C$2,Eventos!$F:$F,$L531),"")</f>
        <v>0</v>
      </c>
      <c r="R531" s="59">
        <f>SUMIFS(Eventos!$G:$G,Eventos!$F:$F,$L531,Eventos!$D:$D,$C$2,Eventos!$B:$B,PANES_SEMANALES[[#ALL],[SÁBADO]])</f>
        <v>0</v>
      </c>
      <c r="S531" s="59">
        <f>SUMIFS(Eventos!$G:$G,Eventos!$F:$F,$L531,Eventos!$D:$D,$C$2,Eventos!$B:$B,PANES_SEMANALES[[#ALL],[DOMINGO]])</f>
        <v>0</v>
      </c>
      <c r="T531" s="59">
        <f t="shared" si="1"/>
        <v>0</v>
      </c>
    </row>
    <row r="532" ht="22.5" customHeight="1">
      <c r="M532" s="59">
        <f>SUMIFS(Eventos!$G:$G,Eventos!$F:$F,$L532,Eventos!$D:$D,$C$2,Eventos!$B:$B,PANES_SEMANALES[[#ALL],[LUNES]])</f>
        <v>0</v>
      </c>
      <c r="N532" s="59">
        <f>SUMIFS(Eventos!$G:$G,Eventos!$F:$F,$L532,Eventos!$D:$D,$C$2,Eventos!$B:$B,PANES_SEMANALES[[#ALL],[MARTES]])</f>
        <v>0</v>
      </c>
      <c r="O532" s="59">
        <f>SUMIFS(Eventos!$G:$G,Eventos!$F:$F,$L532,Eventos!$D:$D,$C$2,Eventos!$B:$B,PANES_SEMANALES[[#ALL],[MIÉRCOLES]])</f>
        <v>0</v>
      </c>
      <c r="P532" s="59">
        <f>SUMIFS(Eventos!$G:$G,Eventos!$F:$F,$L532,Eventos!$D:$D,$C$2,Eventos!$B:$B,PANES_SEMANALES[[#ALL],[JUEVES]])</f>
        <v>0</v>
      </c>
      <c r="Q532" s="59">
        <f>IF(P532&lt;&gt;"",SUMIFS(Eventos!$G:$G,Eventos!$B:$B,Q$2,Eventos!$D:$D,$C$2,Eventos!$F:$F,$L532),"")</f>
        <v>0</v>
      </c>
      <c r="R532" s="59">
        <f>SUMIFS(Eventos!$G:$G,Eventos!$F:$F,$L532,Eventos!$D:$D,$C$2,Eventos!$B:$B,PANES_SEMANALES[[#ALL],[SÁBADO]])</f>
        <v>0</v>
      </c>
      <c r="S532" s="59">
        <f>SUMIFS(Eventos!$G:$G,Eventos!$F:$F,$L532,Eventos!$D:$D,$C$2,Eventos!$B:$B,PANES_SEMANALES[[#ALL],[DOMINGO]])</f>
        <v>0</v>
      </c>
      <c r="T532" s="59">
        <f t="shared" si="1"/>
        <v>0</v>
      </c>
    </row>
    <row r="533" ht="22.5" customHeight="1">
      <c r="M533" s="59">
        <f>SUMIFS(Eventos!$G:$G,Eventos!$F:$F,$L533,Eventos!$D:$D,$C$2,Eventos!$B:$B,PANES_SEMANALES[[#ALL],[LUNES]])</f>
        <v>0</v>
      </c>
      <c r="N533" s="59">
        <f>SUMIFS(Eventos!$G:$G,Eventos!$F:$F,$L533,Eventos!$D:$D,$C$2,Eventos!$B:$B,PANES_SEMANALES[[#ALL],[MARTES]])</f>
        <v>0</v>
      </c>
      <c r="O533" s="59">
        <f>SUMIFS(Eventos!$G:$G,Eventos!$F:$F,$L533,Eventos!$D:$D,$C$2,Eventos!$B:$B,PANES_SEMANALES[[#ALL],[MIÉRCOLES]])</f>
        <v>0</v>
      </c>
      <c r="P533" s="59">
        <f>SUMIFS(Eventos!$G:$G,Eventos!$F:$F,$L533,Eventos!$D:$D,$C$2,Eventos!$B:$B,PANES_SEMANALES[[#ALL],[JUEVES]])</f>
        <v>0</v>
      </c>
      <c r="Q533" s="59">
        <f>IF(P533&lt;&gt;"",SUMIFS(Eventos!$G:$G,Eventos!$B:$B,Q$2,Eventos!$D:$D,$C$2,Eventos!$F:$F,$L533),"")</f>
        <v>0</v>
      </c>
      <c r="R533" s="59">
        <f>SUMIFS(Eventos!$G:$G,Eventos!$F:$F,$L533,Eventos!$D:$D,$C$2,Eventos!$B:$B,PANES_SEMANALES[[#ALL],[SÁBADO]])</f>
        <v>0</v>
      </c>
      <c r="S533" s="59">
        <f>SUMIFS(Eventos!$G:$G,Eventos!$F:$F,$L533,Eventos!$D:$D,$C$2,Eventos!$B:$B,PANES_SEMANALES[[#ALL],[DOMINGO]])</f>
        <v>0</v>
      </c>
      <c r="T533" s="59">
        <f t="shared" si="1"/>
        <v>0</v>
      </c>
    </row>
    <row r="534" ht="22.5" customHeight="1">
      <c r="M534" s="59">
        <f>SUMIFS(Eventos!$G:$G,Eventos!$F:$F,$L534,Eventos!$D:$D,$C$2,Eventos!$B:$B,PANES_SEMANALES[[#ALL],[LUNES]])</f>
        <v>0</v>
      </c>
      <c r="N534" s="59">
        <f>SUMIFS(Eventos!$G:$G,Eventos!$F:$F,$L534,Eventos!$D:$D,$C$2,Eventos!$B:$B,PANES_SEMANALES[[#ALL],[MARTES]])</f>
        <v>0</v>
      </c>
      <c r="O534" s="59">
        <f>SUMIFS(Eventos!$G:$G,Eventos!$F:$F,$L534,Eventos!$D:$D,$C$2,Eventos!$B:$B,PANES_SEMANALES[[#ALL],[MIÉRCOLES]])</f>
        <v>0</v>
      </c>
      <c r="P534" s="59">
        <f>SUMIFS(Eventos!$G:$G,Eventos!$F:$F,$L534,Eventos!$D:$D,$C$2,Eventos!$B:$B,PANES_SEMANALES[[#ALL],[JUEVES]])</f>
        <v>0</v>
      </c>
      <c r="Q534" s="59">
        <f>IF(P534&lt;&gt;"",SUMIFS(Eventos!$G:$G,Eventos!$B:$B,Q$2,Eventos!$D:$D,$C$2,Eventos!$F:$F,$L534),"")</f>
        <v>0</v>
      </c>
      <c r="R534" s="59">
        <f>SUMIFS(Eventos!$G:$G,Eventos!$F:$F,$L534,Eventos!$D:$D,$C$2,Eventos!$B:$B,PANES_SEMANALES[[#ALL],[SÁBADO]])</f>
        <v>0</v>
      </c>
      <c r="S534" s="59">
        <f>SUMIFS(Eventos!$G:$G,Eventos!$F:$F,$L534,Eventos!$D:$D,$C$2,Eventos!$B:$B,PANES_SEMANALES[[#ALL],[DOMINGO]])</f>
        <v>0</v>
      </c>
      <c r="T534" s="59">
        <f t="shared" si="1"/>
        <v>0</v>
      </c>
    </row>
    <row r="535" ht="22.5" customHeight="1">
      <c r="M535" s="59">
        <f>SUMIFS(Eventos!$G:$G,Eventos!$F:$F,$L535,Eventos!$D:$D,$C$2,Eventos!$B:$B,PANES_SEMANALES[[#ALL],[LUNES]])</f>
        <v>0</v>
      </c>
      <c r="N535" s="59">
        <f>SUMIFS(Eventos!$G:$G,Eventos!$F:$F,$L535,Eventos!$D:$D,$C$2,Eventos!$B:$B,PANES_SEMANALES[[#ALL],[MARTES]])</f>
        <v>0</v>
      </c>
      <c r="O535" s="59">
        <f>SUMIFS(Eventos!$G:$G,Eventos!$F:$F,$L535,Eventos!$D:$D,$C$2,Eventos!$B:$B,PANES_SEMANALES[[#ALL],[MIÉRCOLES]])</f>
        <v>0</v>
      </c>
      <c r="P535" s="59">
        <f>SUMIFS(Eventos!$G:$G,Eventos!$F:$F,$L535,Eventos!$D:$D,$C$2,Eventos!$B:$B,PANES_SEMANALES[[#ALL],[JUEVES]])</f>
        <v>0</v>
      </c>
      <c r="Q535" s="59">
        <f>IF(P535&lt;&gt;"",SUMIFS(Eventos!$G:$G,Eventos!$B:$B,Q$2,Eventos!$D:$D,$C$2,Eventos!$F:$F,$L535),"")</f>
        <v>0</v>
      </c>
      <c r="R535" s="59">
        <f>SUMIFS(Eventos!$G:$G,Eventos!$F:$F,$L535,Eventos!$D:$D,$C$2,Eventos!$B:$B,PANES_SEMANALES[[#ALL],[SÁBADO]])</f>
        <v>0</v>
      </c>
      <c r="S535" s="59">
        <f>SUMIFS(Eventos!$G:$G,Eventos!$F:$F,$L535,Eventos!$D:$D,$C$2,Eventos!$B:$B,PANES_SEMANALES[[#ALL],[DOMINGO]])</f>
        <v>0</v>
      </c>
      <c r="T535" s="59">
        <f t="shared" si="1"/>
        <v>0</v>
      </c>
    </row>
    <row r="536" ht="22.5" customHeight="1">
      <c r="M536" s="59">
        <f>SUMIFS(Eventos!$G:$G,Eventos!$F:$F,$L536,Eventos!$D:$D,$C$2,Eventos!$B:$B,PANES_SEMANALES[[#ALL],[LUNES]])</f>
        <v>0</v>
      </c>
      <c r="N536" s="59">
        <f>SUMIFS(Eventos!$G:$G,Eventos!$F:$F,$L536,Eventos!$D:$D,$C$2,Eventos!$B:$B,PANES_SEMANALES[[#ALL],[MARTES]])</f>
        <v>0</v>
      </c>
      <c r="O536" s="59">
        <f>SUMIFS(Eventos!$G:$G,Eventos!$F:$F,$L536,Eventos!$D:$D,$C$2,Eventos!$B:$B,PANES_SEMANALES[[#ALL],[MIÉRCOLES]])</f>
        <v>0</v>
      </c>
      <c r="P536" s="59">
        <f>SUMIFS(Eventos!$G:$G,Eventos!$F:$F,$L536,Eventos!$D:$D,$C$2,Eventos!$B:$B,PANES_SEMANALES[[#ALL],[JUEVES]])</f>
        <v>0</v>
      </c>
      <c r="Q536" s="59">
        <f>IF(P536&lt;&gt;"",SUMIFS(Eventos!$G:$G,Eventos!$B:$B,Q$2,Eventos!$D:$D,$C$2,Eventos!$F:$F,$L536),"")</f>
        <v>0</v>
      </c>
      <c r="R536" s="59">
        <f>SUMIFS(Eventos!$G:$G,Eventos!$F:$F,$L536,Eventos!$D:$D,$C$2,Eventos!$B:$B,PANES_SEMANALES[[#ALL],[SÁBADO]])</f>
        <v>0</v>
      </c>
      <c r="S536" s="59">
        <f>SUMIFS(Eventos!$G:$G,Eventos!$F:$F,$L536,Eventos!$D:$D,$C$2,Eventos!$B:$B,PANES_SEMANALES[[#ALL],[DOMINGO]])</f>
        <v>0</v>
      </c>
      <c r="T536" s="59">
        <f t="shared" si="1"/>
        <v>0</v>
      </c>
    </row>
    <row r="537" ht="22.5" customHeight="1">
      <c r="M537" s="59">
        <f>SUMIFS(Eventos!$G:$G,Eventos!$F:$F,$L537,Eventos!$D:$D,$C$2,Eventos!$B:$B,PANES_SEMANALES[[#ALL],[LUNES]])</f>
        <v>0</v>
      </c>
      <c r="N537" s="59">
        <f>SUMIFS(Eventos!$G:$G,Eventos!$F:$F,$L537,Eventos!$D:$D,$C$2,Eventos!$B:$B,PANES_SEMANALES[[#ALL],[MARTES]])</f>
        <v>0</v>
      </c>
      <c r="O537" s="59">
        <f>SUMIFS(Eventos!$G:$G,Eventos!$F:$F,$L537,Eventos!$D:$D,$C$2,Eventos!$B:$B,PANES_SEMANALES[[#ALL],[MIÉRCOLES]])</f>
        <v>0</v>
      </c>
      <c r="P537" s="59">
        <f>SUMIFS(Eventos!$G:$G,Eventos!$F:$F,$L537,Eventos!$D:$D,$C$2,Eventos!$B:$B,PANES_SEMANALES[[#ALL],[JUEVES]])</f>
        <v>0</v>
      </c>
      <c r="Q537" s="59">
        <f>IF(P537&lt;&gt;"",SUMIFS(Eventos!$G:$G,Eventos!$B:$B,Q$2,Eventos!$D:$D,$C$2,Eventos!$F:$F,$L537),"")</f>
        <v>0</v>
      </c>
      <c r="R537" s="59">
        <f>SUMIFS(Eventos!$G:$G,Eventos!$F:$F,$L537,Eventos!$D:$D,$C$2,Eventos!$B:$B,PANES_SEMANALES[[#ALL],[SÁBADO]])</f>
        <v>0</v>
      </c>
      <c r="S537" s="59">
        <f>SUMIFS(Eventos!$G:$G,Eventos!$F:$F,$L537,Eventos!$D:$D,$C$2,Eventos!$B:$B,PANES_SEMANALES[[#ALL],[DOMINGO]])</f>
        <v>0</v>
      </c>
      <c r="T537" s="59">
        <f t="shared" si="1"/>
        <v>0</v>
      </c>
    </row>
    <row r="538" ht="22.5" customHeight="1">
      <c r="M538" s="59">
        <f>SUMIFS(Eventos!$G:$G,Eventos!$F:$F,$L538,Eventos!$D:$D,$C$2,Eventos!$B:$B,PANES_SEMANALES[[#ALL],[LUNES]])</f>
        <v>0</v>
      </c>
      <c r="N538" s="59">
        <f>SUMIFS(Eventos!$G:$G,Eventos!$F:$F,$L538,Eventos!$D:$D,$C$2,Eventos!$B:$B,PANES_SEMANALES[[#ALL],[MARTES]])</f>
        <v>0</v>
      </c>
      <c r="O538" s="59">
        <f>SUMIFS(Eventos!$G:$G,Eventos!$F:$F,$L538,Eventos!$D:$D,$C$2,Eventos!$B:$B,PANES_SEMANALES[[#ALL],[MIÉRCOLES]])</f>
        <v>0</v>
      </c>
      <c r="P538" s="59">
        <f>SUMIFS(Eventos!$G:$G,Eventos!$F:$F,$L538,Eventos!$D:$D,$C$2,Eventos!$B:$B,PANES_SEMANALES[[#ALL],[JUEVES]])</f>
        <v>0</v>
      </c>
      <c r="Q538" s="59">
        <f>IF(P538&lt;&gt;"",SUMIFS(Eventos!$G:$G,Eventos!$B:$B,Q$2,Eventos!$D:$D,$C$2,Eventos!$F:$F,$L538),"")</f>
        <v>0</v>
      </c>
      <c r="R538" s="59">
        <f>SUMIFS(Eventos!$G:$G,Eventos!$F:$F,$L538,Eventos!$D:$D,$C$2,Eventos!$B:$B,PANES_SEMANALES[[#ALL],[SÁBADO]])</f>
        <v>0</v>
      </c>
      <c r="S538" s="59">
        <f>SUMIFS(Eventos!$G:$G,Eventos!$F:$F,$L538,Eventos!$D:$D,$C$2,Eventos!$B:$B,PANES_SEMANALES[[#ALL],[DOMINGO]])</f>
        <v>0</v>
      </c>
      <c r="T538" s="59">
        <f t="shared" si="1"/>
        <v>0</v>
      </c>
    </row>
    <row r="539" ht="22.5" customHeight="1">
      <c r="M539" s="59">
        <f>SUMIFS(Eventos!$G:$G,Eventos!$F:$F,$L539,Eventos!$D:$D,$C$2,Eventos!$B:$B,PANES_SEMANALES[[#ALL],[LUNES]])</f>
        <v>0</v>
      </c>
      <c r="N539" s="59">
        <f>SUMIFS(Eventos!$G:$G,Eventos!$F:$F,$L539,Eventos!$D:$D,$C$2,Eventos!$B:$B,PANES_SEMANALES[[#ALL],[MARTES]])</f>
        <v>0</v>
      </c>
      <c r="O539" s="59">
        <f>SUMIFS(Eventos!$G:$G,Eventos!$F:$F,$L539,Eventos!$D:$D,$C$2,Eventos!$B:$B,PANES_SEMANALES[[#ALL],[MIÉRCOLES]])</f>
        <v>0</v>
      </c>
      <c r="P539" s="59">
        <f>SUMIFS(Eventos!$G:$G,Eventos!$F:$F,$L539,Eventos!$D:$D,$C$2,Eventos!$B:$B,PANES_SEMANALES[[#ALL],[JUEVES]])</f>
        <v>0</v>
      </c>
      <c r="Q539" s="59">
        <f>IF(P539&lt;&gt;"",SUMIFS(Eventos!$G:$G,Eventos!$B:$B,Q$2,Eventos!$D:$D,$C$2,Eventos!$F:$F,$L539),"")</f>
        <v>0</v>
      </c>
      <c r="R539" s="59">
        <f>SUMIFS(Eventos!$G:$G,Eventos!$F:$F,$L539,Eventos!$D:$D,$C$2,Eventos!$B:$B,PANES_SEMANALES[[#ALL],[SÁBADO]])</f>
        <v>0</v>
      </c>
      <c r="S539" s="59">
        <f>SUMIFS(Eventos!$G:$G,Eventos!$F:$F,$L539,Eventos!$D:$D,$C$2,Eventos!$B:$B,PANES_SEMANALES[[#ALL],[DOMINGO]])</f>
        <v>0</v>
      </c>
      <c r="T539" s="59">
        <f t="shared" si="1"/>
        <v>0</v>
      </c>
    </row>
    <row r="540" ht="22.5" customHeight="1">
      <c r="M540" s="59">
        <f>SUMIFS(Eventos!$G:$G,Eventos!$F:$F,$L540,Eventos!$D:$D,$C$2,Eventos!$B:$B,PANES_SEMANALES[[#ALL],[LUNES]])</f>
        <v>0</v>
      </c>
      <c r="N540" s="59">
        <f>SUMIFS(Eventos!$G:$G,Eventos!$F:$F,$L540,Eventos!$D:$D,$C$2,Eventos!$B:$B,PANES_SEMANALES[[#ALL],[MARTES]])</f>
        <v>0</v>
      </c>
      <c r="O540" s="59">
        <f>SUMIFS(Eventos!$G:$G,Eventos!$F:$F,$L540,Eventos!$D:$D,$C$2,Eventos!$B:$B,PANES_SEMANALES[[#ALL],[MIÉRCOLES]])</f>
        <v>0</v>
      </c>
      <c r="P540" s="59">
        <f>SUMIFS(Eventos!$G:$G,Eventos!$F:$F,$L540,Eventos!$D:$D,$C$2,Eventos!$B:$B,PANES_SEMANALES[[#ALL],[JUEVES]])</f>
        <v>0</v>
      </c>
      <c r="Q540" s="59">
        <f>IF(P540&lt;&gt;"",SUMIFS(Eventos!$G:$G,Eventos!$B:$B,Q$2,Eventos!$D:$D,$C$2,Eventos!$F:$F,$L540),"")</f>
        <v>0</v>
      </c>
      <c r="R540" s="59">
        <f>SUMIFS(Eventos!$G:$G,Eventos!$F:$F,$L540,Eventos!$D:$D,$C$2,Eventos!$B:$B,PANES_SEMANALES[[#ALL],[SÁBADO]])</f>
        <v>0</v>
      </c>
      <c r="S540" s="59">
        <f>SUMIFS(Eventos!$G:$G,Eventos!$F:$F,$L540,Eventos!$D:$D,$C$2,Eventos!$B:$B,PANES_SEMANALES[[#ALL],[DOMINGO]])</f>
        <v>0</v>
      </c>
      <c r="T540" s="59">
        <f t="shared" si="1"/>
        <v>0</v>
      </c>
    </row>
    <row r="541" ht="22.5" customHeight="1">
      <c r="M541" s="59">
        <f>SUMIFS(Eventos!$G:$G,Eventos!$F:$F,$L541,Eventos!$D:$D,$C$2,Eventos!$B:$B,PANES_SEMANALES[[#ALL],[LUNES]])</f>
        <v>0</v>
      </c>
      <c r="N541" s="59">
        <f>SUMIFS(Eventos!$G:$G,Eventos!$F:$F,$L541,Eventos!$D:$D,$C$2,Eventos!$B:$B,PANES_SEMANALES[[#ALL],[MARTES]])</f>
        <v>0</v>
      </c>
      <c r="O541" s="59">
        <f>SUMIFS(Eventos!$G:$G,Eventos!$F:$F,$L541,Eventos!$D:$D,$C$2,Eventos!$B:$B,PANES_SEMANALES[[#ALL],[MIÉRCOLES]])</f>
        <v>0</v>
      </c>
      <c r="P541" s="59">
        <f>SUMIFS(Eventos!$G:$G,Eventos!$F:$F,$L541,Eventos!$D:$D,$C$2,Eventos!$B:$B,PANES_SEMANALES[[#ALL],[JUEVES]])</f>
        <v>0</v>
      </c>
      <c r="Q541" s="59">
        <f>IF(P541&lt;&gt;"",SUMIFS(Eventos!$G:$G,Eventos!$B:$B,Q$2,Eventos!$D:$D,$C$2,Eventos!$F:$F,$L541),"")</f>
        <v>0</v>
      </c>
      <c r="R541" s="59">
        <f>SUMIFS(Eventos!$G:$G,Eventos!$F:$F,$L541,Eventos!$D:$D,$C$2,Eventos!$B:$B,PANES_SEMANALES[[#ALL],[SÁBADO]])</f>
        <v>0</v>
      </c>
      <c r="S541" s="59">
        <f>SUMIFS(Eventos!$G:$G,Eventos!$F:$F,$L541,Eventos!$D:$D,$C$2,Eventos!$B:$B,PANES_SEMANALES[[#ALL],[DOMINGO]])</f>
        <v>0</v>
      </c>
      <c r="T541" s="59">
        <f t="shared" si="1"/>
        <v>0</v>
      </c>
    </row>
    <row r="542" ht="22.5" customHeight="1">
      <c r="M542" s="59">
        <f>SUMIFS(Eventos!$G:$G,Eventos!$F:$F,$L542,Eventos!$D:$D,$C$2,Eventos!$B:$B,PANES_SEMANALES[[#ALL],[LUNES]])</f>
        <v>0</v>
      </c>
      <c r="N542" s="59">
        <f>SUMIFS(Eventos!$G:$G,Eventos!$F:$F,$L542,Eventos!$D:$D,$C$2,Eventos!$B:$B,PANES_SEMANALES[[#ALL],[MARTES]])</f>
        <v>0</v>
      </c>
      <c r="O542" s="59">
        <f>SUMIFS(Eventos!$G:$G,Eventos!$F:$F,$L542,Eventos!$D:$D,$C$2,Eventos!$B:$B,PANES_SEMANALES[[#ALL],[MIÉRCOLES]])</f>
        <v>0</v>
      </c>
      <c r="P542" s="59">
        <f>SUMIFS(Eventos!$G:$G,Eventos!$F:$F,$L542,Eventos!$D:$D,$C$2,Eventos!$B:$B,PANES_SEMANALES[[#ALL],[JUEVES]])</f>
        <v>0</v>
      </c>
      <c r="Q542" s="59">
        <f>IF(P542&lt;&gt;"",SUMIFS(Eventos!$G:$G,Eventos!$B:$B,Q$2,Eventos!$D:$D,$C$2,Eventos!$F:$F,$L542),"")</f>
        <v>0</v>
      </c>
      <c r="R542" s="59">
        <f>SUMIFS(Eventos!$G:$G,Eventos!$F:$F,$L542,Eventos!$D:$D,$C$2,Eventos!$B:$B,PANES_SEMANALES[[#ALL],[SÁBADO]])</f>
        <v>0</v>
      </c>
      <c r="S542" s="59">
        <f>SUMIFS(Eventos!$G:$G,Eventos!$F:$F,$L542,Eventos!$D:$D,$C$2,Eventos!$B:$B,PANES_SEMANALES[[#ALL],[DOMINGO]])</f>
        <v>0</v>
      </c>
      <c r="T542" s="59">
        <f t="shared" si="1"/>
        <v>0</v>
      </c>
    </row>
    <row r="543" ht="22.5" customHeight="1">
      <c r="M543" s="59">
        <f>SUMIFS(Eventos!$G:$G,Eventos!$F:$F,$L543,Eventos!$D:$D,$C$2,Eventos!$B:$B,PANES_SEMANALES[[#ALL],[LUNES]])</f>
        <v>0</v>
      </c>
      <c r="N543" s="59">
        <f>SUMIFS(Eventos!$G:$G,Eventos!$F:$F,$L543,Eventos!$D:$D,$C$2,Eventos!$B:$B,PANES_SEMANALES[[#ALL],[MARTES]])</f>
        <v>0</v>
      </c>
      <c r="O543" s="59">
        <f>SUMIFS(Eventos!$G:$G,Eventos!$F:$F,$L543,Eventos!$D:$D,$C$2,Eventos!$B:$B,PANES_SEMANALES[[#ALL],[MIÉRCOLES]])</f>
        <v>0</v>
      </c>
      <c r="P543" s="59">
        <f>SUMIFS(Eventos!$G:$G,Eventos!$F:$F,$L543,Eventos!$D:$D,$C$2,Eventos!$B:$B,PANES_SEMANALES[[#ALL],[JUEVES]])</f>
        <v>0</v>
      </c>
      <c r="Q543" s="59">
        <f>IF(P543&lt;&gt;"",SUMIFS(Eventos!$G:$G,Eventos!$B:$B,Q$2,Eventos!$D:$D,$C$2,Eventos!$F:$F,$L543),"")</f>
        <v>0</v>
      </c>
      <c r="R543" s="59">
        <f>SUMIFS(Eventos!$G:$G,Eventos!$F:$F,$L543,Eventos!$D:$D,$C$2,Eventos!$B:$B,PANES_SEMANALES[[#ALL],[SÁBADO]])</f>
        <v>0</v>
      </c>
      <c r="S543" s="59">
        <f>SUMIFS(Eventos!$G:$G,Eventos!$F:$F,$L543,Eventos!$D:$D,$C$2,Eventos!$B:$B,PANES_SEMANALES[[#ALL],[DOMINGO]])</f>
        <v>0</v>
      </c>
      <c r="T543" s="59">
        <f t="shared" si="1"/>
        <v>0</v>
      </c>
    </row>
    <row r="544" ht="22.5" customHeight="1">
      <c r="M544" s="59">
        <f>SUMIFS(Eventos!$G:$G,Eventos!$F:$F,$L544,Eventos!$D:$D,$C$2,Eventos!$B:$B,PANES_SEMANALES[[#ALL],[LUNES]])</f>
        <v>0</v>
      </c>
      <c r="N544" s="59">
        <f>SUMIFS(Eventos!$G:$G,Eventos!$F:$F,$L544,Eventos!$D:$D,$C$2,Eventos!$B:$B,PANES_SEMANALES[[#ALL],[MARTES]])</f>
        <v>0</v>
      </c>
      <c r="O544" s="59">
        <f>SUMIFS(Eventos!$G:$G,Eventos!$F:$F,$L544,Eventos!$D:$D,$C$2,Eventos!$B:$B,PANES_SEMANALES[[#ALL],[MIÉRCOLES]])</f>
        <v>0</v>
      </c>
      <c r="P544" s="59">
        <f>SUMIFS(Eventos!$G:$G,Eventos!$F:$F,$L544,Eventos!$D:$D,$C$2,Eventos!$B:$B,PANES_SEMANALES[[#ALL],[JUEVES]])</f>
        <v>0</v>
      </c>
      <c r="Q544" s="59">
        <f>IF(P544&lt;&gt;"",SUMIFS(Eventos!$G:$G,Eventos!$B:$B,Q$2,Eventos!$D:$D,$C$2,Eventos!$F:$F,$L544),"")</f>
        <v>0</v>
      </c>
      <c r="R544" s="59">
        <f>SUMIFS(Eventos!$G:$G,Eventos!$F:$F,$L544,Eventos!$D:$D,$C$2,Eventos!$B:$B,PANES_SEMANALES[[#ALL],[SÁBADO]])</f>
        <v>0</v>
      </c>
      <c r="S544" s="59">
        <f>SUMIFS(Eventos!$G:$G,Eventos!$F:$F,$L544,Eventos!$D:$D,$C$2,Eventos!$B:$B,PANES_SEMANALES[[#ALL],[DOMINGO]])</f>
        <v>0</v>
      </c>
      <c r="T544" s="59">
        <f t="shared" si="1"/>
        <v>0</v>
      </c>
    </row>
    <row r="545" ht="22.5" customHeight="1">
      <c r="M545" s="59">
        <f>SUMIFS(Eventos!$G:$G,Eventos!$F:$F,$L545,Eventos!$D:$D,$C$2,Eventos!$B:$B,PANES_SEMANALES[[#ALL],[LUNES]])</f>
        <v>0</v>
      </c>
      <c r="N545" s="59">
        <f>SUMIFS(Eventos!$G:$G,Eventos!$F:$F,$L545,Eventos!$D:$D,$C$2,Eventos!$B:$B,PANES_SEMANALES[[#ALL],[MARTES]])</f>
        <v>0</v>
      </c>
      <c r="O545" s="59">
        <f>SUMIFS(Eventos!$G:$G,Eventos!$F:$F,$L545,Eventos!$D:$D,$C$2,Eventos!$B:$B,PANES_SEMANALES[[#ALL],[MIÉRCOLES]])</f>
        <v>0</v>
      </c>
      <c r="P545" s="59">
        <f>SUMIFS(Eventos!$G:$G,Eventos!$F:$F,$L545,Eventos!$D:$D,$C$2,Eventos!$B:$B,PANES_SEMANALES[[#ALL],[JUEVES]])</f>
        <v>0</v>
      </c>
      <c r="Q545" s="59">
        <f>IF(P545&lt;&gt;"",SUMIFS(Eventos!$G:$G,Eventos!$B:$B,Q$2,Eventos!$D:$D,$C$2,Eventos!$F:$F,$L545),"")</f>
        <v>0</v>
      </c>
      <c r="R545" s="59">
        <f>SUMIFS(Eventos!$G:$G,Eventos!$F:$F,$L545,Eventos!$D:$D,$C$2,Eventos!$B:$B,PANES_SEMANALES[[#ALL],[SÁBADO]])</f>
        <v>0</v>
      </c>
      <c r="S545" s="59">
        <f>SUMIFS(Eventos!$G:$G,Eventos!$F:$F,$L545,Eventos!$D:$D,$C$2,Eventos!$B:$B,PANES_SEMANALES[[#ALL],[DOMINGO]])</f>
        <v>0</v>
      </c>
      <c r="T545" s="59">
        <f t="shared" si="1"/>
        <v>0</v>
      </c>
    </row>
    <row r="546" ht="22.5" customHeight="1">
      <c r="M546" s="59">
        <f>SUMIFS(Eventos!$G:$G,Eventos!$F:$F,$L546,Eventos!$D:$D,$C$2,Eventos!$B:$B,PANES_SEMANALES[[#ALL],[LUNES]])</f>
        <v>0</v>
      </c>
      <c r="N546" s="59">
        <f>SUMIFS(Eventos!$G:$G,Eventos!$F:$F,$L546,Eventos!$D:$D,$C$2,Eventos!$B:$B,PANES_SEMANALES[[#ALL],[MARTES]])</f>
        <v>0</v>
      </c>
      <c r="O546" s="59">
        <f>SUMIFS(Eventos!$G:$G,Eventos!$F:$F,$L546,Eventos!$D:$D,$C$2,Eventos!$B:$B,PANES_SEMANALES[[#ALL],[MIÉRCOLES]])</f>
        <v>0</v>
      </c>
      <c r="P546" s="59">
        <f>SUMIFS(Eventos!$G:$G,Eventos!$F:$F,$L546,Eventos!$D:$D,$C$2,Eventos!$B:$B,PANES_SEMANALES[[#ALL],[JUEVES]])</f>
        <v>0</v>
      </c>
      <c r="Q546" s="59">
        <f>IF(P546&lt;&gt;"",SUMIFS(Eventos!$G:$G,Eventos!$B:$B,Q$2,Eventos!$D:$D,$C$2,Eventos!$F:$F,$L546),"")</f>
        <v>0</v>
      </c>
      <c r="R546" s="59">
        <f>SUMIFS(Eventos!$G:$G,Eventos!$F:$F,$L546,Eventos!$D:$D,$C$2,Eventos!$B:$B,PANES_SEMANALES[[#ALL],[SÁBADO]])</f>
        <v>0</v>
      </c>
      <c r="S546" s="59">
        <f>SUMIFS(Eventos!$G:$G,Eventos!$F:$F,$L546,Eventos!$D:$D,$C$2,Eventos!$B:$B,PANES_SEMANALES[[#ALL],[DOMINGO]])</f>
        <v>0</v>
      </c>
      <c r="T546" s="59">
        <f t="shared" si="1"/>
        <v>0</v>
      </c>
    </row>
    <row r="547" ht="22.5" customHeight="1">
      <c r="M547" s="59">
        <f>SUMIFS(Eventos!$G:$G,Eventos!$F:$F,$L547,Eventos!$D:$D,$C$2,Eventos!$B:$B,PANES_SEMANALES[[#ALL],[LUNES]])</f>
        <v>0</v>
      </c>
      <c r="N547" s="59">
        <f>SUMIFS(Eventos!$G:$G,Eventos!$F:$F,$L547,Eventos!$D:$D,$C$2,Eventos!$B:$B,PANES_SEMANALES[[#ALL],[MARTES]])</f>
        <v>0</v>
      </c>
      <c r="O547" s="59">
        <f>SUMIFS(Eventos!$G:$G,Eventos!$F:$F,$L547,Eventos!$D:$D,$C$2,Eventos!$B:$B,PANES_SEMANALES[[#ALL],[MIÉRCOLES]])</f>
        <v>0</v>
      </c>
      <c r="P547" s="59">
        <f>SUMIFS(Eventos!$G:$G,Eventos!$F:$F,$L547,Eventos!$D:$D,$C$2,Eventos!$B:$B,PANES_SEMANALES[[#ALL],[JUEVES]])</f>
        <v>0</v>
      </c>
      <c r="Q547" s="59">
        <f>IF(P547&lt;&gt;"",SUMIFS(Eventos!$G:$G,Eventos!$B:$B,Q$2,Eventos!$D:$D,$C$2,Eventos!$F:$F,$L547),"")</f>
        <v>0</v>
      </c>
      <c r="R547" s="59">
        <f>SUMIFS(Eventos!$G:$G,Eventos!$F:$F,$L547,Eventos!$D:$D,$C$2,Eventos!$B:$B,PANES_SEMANALES[[#ALL],[SÁBADO]])</f>
        <v>0</v>
      </c>
      <c r="S547" s="59">
        <f>SUMIFS(Eventos!$G:$G,Eventos!$F:$F,$L547,Eventos!$D:$D,$C$2,Eventos!$B:$B,PANES_SEMANALES[[#ALL],[DOMINGO]])</f>
        <v>0</v>
      </c>
      <c r="T547" s="59">
        <f t="shared" si="1"/>
        <v>0</v>
      </c>
    </row>
    <row r="548" ht="22.5" customHeight="1">
      <c r="M548" s="59">
        <f>SUMIFS(Eventos!$G:$G,Eventos!$F:$F,$L548,Eventos!$D:$D,$C$2,Eventos!$B:$B,PANES_SEMANALES[[#ALL],[LUNES]])</f>
        <v>0</v>
      </c>
      <c r="N548" s="59">
        <f>SUMIFS(Eventos!$G:$G,Eventos!$F:$F,$L548,Eventos!$D:$D,$C$2,Eventos!$B:$B,PANES_SEMANALES[[#ALL],[MARTES]])</f>
        <v>0</v>
      </c>
      <c r="O548" s="59">
        <f>SUMIFS(Eventos!$G:$G,Eventos!$F:$F,$L548,Eventos!$D:$D,$C$2,Eventos!$B:$B,PANES_SEMANALES[[#ALL],[MIÉRCOLES]])</f>
        <v>0</v>
      </c>
      <c r="P548" s="59">
        <f>SUMIFS(Eventos!$G:$G,Eventos!$F:$F,$L548,Eventos!$D:$D,$C$2,Eventos!$B:$B,PANES_SEMANALES[[#ALL],[JUEVES]])</f>
        <v>0</v>
      </c>
      <c r="Q548" s="59">
        <f>IF(P548&lt;&gt;"",SUMIFS(Eventos!$G:$G,Eventos!$B:$B,Q$2,Eventos!$D:$D,$C$2,Eventos!$F:$F,$L548),"")</f>
        <v>0</v>
      </c>
      <c r="R548" s="59">
        <f>SUMIFS(Eventos!$G:$G,Eventos!$F:$F,$L548,Eventos!$D:$D,$C$2,Eventos!$B:$B,PANES_SEMANALES[[#ALL],[SÁBADO]])</f>
        <v>0</v>
      </c>
      <c r="S548" s="59">
        <f>SUMIFS(Eventos!$G:$G,Eventos!$F:$F,$L548,Eventos!$D:$D,$C$2,Eventos!$B:$B,PANES_SEMANALES[[#ALL],[DOMINGO]])</f>
        <v>0</v>
      </c>
      <c r="T548" s="59">
        <f t="shared" si="1"/>
        <v>0</v>
      </c>
    </row>
    <row r="549" ht="22.5" customHeight="1">
      <c r="M549" s="59">
        <f>SUMIFS(Eventos!$G:$G,Eventos!$F:$F,$L549,Eventos!$D:$D,$C$2,Eventos!$B:$B,PANES_SEMANALES[[#ALL],[LUNES]])</f>
        <v>0</v>
      </c>
      <c r="N549" s="59">
        <f>SUMIFS(Eventos!$G:$G,Eventos!$F:$F,$L549,Eventos!$D:$D,$C$2,Eventos!$B:$B,PANES_SEMANALES[[#ALL],[MARTES]])</f>
        <v>0</v>
      </c>
      <c r="O549" s="59">
        <f>SUMIFS(Eventos!$G:$G,Eventos!$F:$F,$L549,Eventos!$D:$D,$C$2,Eventos!$B:$B,PANES_SEMANALES[[#ALL],[MIÉRCOLES]])</f>
        <v>0</v>
      </c>
      <c r="P549" s="59">
        <f>SUMIFS(Eventos!$G:$G,Eventos!$F:$F,$L549,Eventos!$D:$D,$C$2,Eventos!$B:$B,PANES_SEMANALES[[#ALL],[JUEVES]])</f>
        <v>0</v>
      </c>
      <c r="Q549" s="59">
        <f>IF(P549&lt;&gt;"",SUMIFS(Eventos!$G:$G,Eventos!$B:$B,Q$2,Eventos!$D:$D,$C$2,Eventos!$F:$F,$L549),"")</f>
        <v>0</v>
      </c>
      <c r="R549" s="59">
        <f>SUMIFS(Eventos!$G:$G,Eventos!$F:$F,$L549,Eventos!$D:$D,$C$2,Eventos!$B:$B,PANES_SEMANALES[[#ALL],[SÁBADO]])</f>
        <v>0</v>
      </c>
      <c r="S549" s="59">
        <f>SUMIFS(Eventos!$G:$G,Eventos!$F:$F,$L549,Eventos!$D:$D,$C$2,Eventos!$B:$B,PANES_SEMANALES[[#ALL],[DOMINGO]])</f>
        <v>0</v>
      </c>
      <c r="T549" s="59">
        <f t="shared" si="1"/>
        <v>0</v>
      </c>
    </row>
    <row r="550" ht="22.5" customHeight="1">
      <c r="M550" s="59">
        <f>SUMIFS(Eventos!$G:$G,Eventos!$F:$F,$L550,Eventos!$D:$D,$C$2,Eventos!$B:$B,PANES_SEMANALES[[#ALL],[LUNES]])</f>
        <v>0</v>
      </c>
      <c r="N550" s="59">
        <f>SUMIFS(Eventos!$G:$G,Eventos!$F:$F,$L550,Eventos!$D:$D,$C$2,Eventos!$B:$B,PANES_SEMANALES[[#ALL],[MARTES]])</f>
        <v>0</v>
      </c>
      <c r="O550" s="59">
        <f>SUMIFS(Eventos!$G:$G,Eventos!$F:$F,$L550,Eventos!$D:$D,$C$2,Eventos!$B:$B,PANES_SEMANALES[[#ALL],[MIÉRCOLES]])</f>
        <v>0</v>
      </c>
      <c r="P550" s="59">
        <f>SUMIFS(Eventos!$G:$G,Eventos!$F:$F,$L550,Eventos!$D:$D,$C$2,Eventos!$B:$B,PANES_SEMANALES[[#ALL],[JUEVES]])</f>
        <v>0</v>
      </c>
      <c r="Q550" s="59">
        <f>IF(P550&lt;&gt;"",SUMIFS(Eventos!$G:$G,Eventos!$B:$B,Q$2,Eventos!$D:$D,$C$2,Eventos!$F:$F,$L550),"")</f>
        <v>0</v>
      </c>
      <c r="R550" s="59">
        <f>SUMIFS(Eventos!$G:$G,Eventos!$F:$F,$L550,Eventos!$D:$D,$C$2,Eventos!$B:$B,PANES_SEMANALES[[#ALL],[SÁBADO]])</f>
        <v>0</v>
      </c>
      <c r="S550" s="59">
        <f>SUMIFS(Eventos!$G:$G,Eventos!$F:$F,$L550,Eventos!$D:$D,$C$2,Eventos!$B:$B,PANES_SEMANALES[[#ALL],[DOMINGO]])</f>
        <v>0</v>
      </c>
      <c r="T550" s="59">
        <f t="shared" si="1"/>
        <v>0</v>
      </c>
    </row>
    <row r="551" ht="22.5" customHeight="1">
      <c r="M551" s="59">
        <f>SUMIFS(Eventos!$G:$G,Eventos!$F:$F,$L551,Eventos!$D:$D,$C$2,Eventos!$B:$B,PANES_SEMANALES[[#ALL],[LUNES]])</f>
        <v>0</v>
      </c>
      <c r="N551" s="59">
        <f>SUMIFS(Eventos!$G:$G,Eventos!$F:$F,$L551,Eventos!$D:$D,$C$2,Eventos!$B:$B,PANES_SEMANALES[[#ALL],[MARTES]])</f>
        <v>0</v>
      </c>
      <c r="O551" s="59">
        <f>SUMIFS(Eventos!$G:$G,Eventos!$F:$F,$L551,Eventos!$D:$D,$C$2,Eventos!$B:$B,PANES_SEMANALES[[#ALL],[MIÉRCOLES]])</f>
        <v>0</v>
      </c>
      <c r="P551" s="59">
        <f>SUMIFS(Eventos!$G:$G,Eventos!$F:$F,$L551,Eventos!$D:$D,$C$2,Eventos!$B:$B,PANES_SEMANALES[[#ALL],[JUEVES]])</f>
        <v>0</v>
      </c>
      <c r="Q551" s="59">
        <f>IF(P551&lt;&gt;"",SUMIFS(Eventos!$G:$G,Eventos!$B:$B,Q$2,Eventos!$D:$D,$C$2,Eventos!$F:$F,$L551),"")</f>
        <v>0</v>
      </c>
      <c r="R551" s="59">
        <f>SUMIFS(Eventos!$G:$G,Eventos!$F:$F,$L551,Eventos!$D:$D,$C$2,Eventos!$B:$B,PANES_SEMANALES[[#ALL],[SÁBADO]])</f>
        <v>0</v>
      </c>
      <c r="S551" s="59">
        <f>SUMIFS(Eventos!$G:$G,Eventos!$F:$F,$L551,Eventos!$D:$D,$C$2,Eventos!$B:$B,PANES_SEMANALES[[#ALL],[DOMINGO]])</f>
        <v>0</v>
      </c>
      <c r="T551" s="59">
        <f t="shared" si="1"/>
        <v>0</v>
      </c>
    </row>
    <row r="552" ht="22.5" customHeight="1">
      <c r="M552" s="59">
        <f>SUMIFS(Eventos!$G:$G,Eventos!$F:$F,$L552,Eventos!$D:$D,$C$2,Eventos!$B:$B,PANES_SEMANALES[[#ALL],[LUNES]])</f>
        <v>0</v>
      </c>
      <c r="N552" s="59">
        <f>SUMIFS(Eventos!$G:$G,Eventos!$F:$F,$L552,Eventos!$D:$D,$C$2,Eventos!$B:$B,PANES_SEMANALES[[#ALL],[MARTES]])</f>
        <v>0</v>
      </c>
      <c r="O552" s="59">
        <f>SUMIFS(Eventos!$G:$G,Eventos!$F:$F,$L552,Eventos!$D:$D,$C$2,Eventos!$B:$B,PANES_SEMANALES[[#ALL],[MIÉRCOLES]])</f>
        <v>0</v>
      </c>
      <c r="P552" s="59">
        <f>SUMIFS(Eventos!$G:$G,Eventos!$F:$F,$L552,Eventos!$D:$D,$C$2,Eventos!$B:$B,PANES_SEMANALES[[#ALL],[JUEVES]])</f>
        <v>0</v>
      </c>
      <c r="Q552" s="59">
        <f>IF(P552&lt;&gt;"",SUMIFS(Eventos!$G:$G,Eventos!$B:$B,Q$2,Eventos!$D:$D,$C$2,Eventos!$F:$F,$L552),"")</f>
        <v>0</v>
      </c>
      <c r="R552" s="59">
        <f>SUMIFS(Eventos!$G:$G,Eventos!$F:$F,$L552,Eventos!$D:$D,$C$2,Eventos!$B:$B,PANES_SEMANALES[[#ALL],[SÁBADO]])</f>
        <v>0</v>
      </c>
      <c r="S552" s="59">
        <f>SUMIFS(Eventos!$G:$G,Eventos!$F:$F,$L552,Eventos!$D:$D,$C$2,Eventos!$B:$B,PANES_SEMANALES[[#ALL],[DOMINGO]])</f>
        <v>0</v>
      </c>
      <c r="T552" s="59">
        <f t="shared" si="1"/>
        <v>0</v>
      </c>
    </row>
    <row r="553" ht="22.5" customHeight="1">
      <c r="M553" s="59">
        <f>SUMIFS(Eventos!$G:$G,Eventos!$F:$F,$L553,Eventos!$D:$D,$C$2,Eventos!$B:$B,PANES_SEMANALES[[#ALL],[LUNES]])</f>
        <v>0</v>
      </c>
      <c r="N553" s="59">
        <f>SUMIFS(Eventos!$G:$G,Eventos!$F:$F,$L553,Eventos!$D:$D,$C$2,Eventos!$B:$B,PANES_SEMANALES[[#ALL],[MARTES]])</f>
        <v>0</v>
      </c>
      <c r="O553" s="59">
        <f>SUMIFS(Eventos!$G:$G,Eventos!$F:$F,$L553,Eventos!$D:$D,$C$2,Eventos!$B:$B,PANES_SEMANALES[[#ALL],[MIÉRCOLES]])</f>
        <v>0</v>
      </c>
      <c r="P553" s="59">
        <f>SUMIFS(Eventos!$G:$G,Eventos!$F:$F,$L553,Eventos!$D:$D,$C$2,Eventos!$B:$B,PANES_SEMANALES[[#ALL],[JUEVES]])</f>
        <v>0</v>
      </c>
      <c r="Q553" s="59">
        <f>IF(P553&lt;&gt;"",SUMIFS(Eventos!$G:$G,Eventos!$B:$B,Q$2,Eventos!$D:$D,$C$2,Eventos!$F:$F,$L553),"")</f>
        <v>0</v>
      </c>
      <c r="R553" s="59">
        <f>SUMIFS(Eventos!$G:$G,Eventos!$F:$F,$L553,Eventos!$D:$D,$C$2,Eventos!$B:$B,PANES_SEMANALES[[#ALL],[SÁBADO]])</f>
        <v>0</v>
      </c>
      <c r="S553" s="59">
        <f>SUMIFS(Eventos!$G:$G,Eventos!$F:$F,$L553,Eventos!$D:$D,$C$2,Eventos!$B:$B,PANES_SEMANALES[[#ALL],[DOMINGO]])</f>
        <v>0</v>
      </c>
      <c r="T553" s="59">
        <f t="shared" si="1"/>
        <v>0</v>
      </c>
    </row>
    <row r="554" ht="22.5" customHeight="1">
      <c r="M554" s="59">
        <f>SUMIFS(Eventos!$G:$G,Eventos!$F:$F,$L554,Eventos!$D:$D,$C$2,Eventos!$B:$B,PANES_SEMANALES[[#ALL],[LUNES]])</f>
        <v>0</v>
      </c>
      <c r="N554" s="59">
        <f>SUMIFS(Eventos!$G:$G,Eventos!$F:$F,$L554,Eventos!$D:$D,$C$2,Eventos!$B:$B,PANES_SEMANALES[[#ALL],[MARTES]])</f>
        <v>0</v>
      </c>
      <c r="O554" s="59">
        <f>SUMIFS(Eventos!$G:$G,Eventos!$F:$F,$L554,Eventos!$D:$D,$C$2,Eventos!$B:$B,PANES_SEMANALES[[#ALL],[MIÉRCOLES]])</f>
        <v>0</v>
      </c>
      <c r="P554" s="59">
        <f>SUMIFS(Eventos!$G:$G,Eventos!$F:$F,$L554,Eventos!$D:$D,$C$2,Eventos!$B:$B,PANES_SEMANALES[[#ALL],[JUEVES]])</f>
        <v>0</v>
      </c>
      <c r="Q554" s="59">
        <f>IF(P554&lt;&gt;"",SUMIFS(Eventos!$G:$G,Eventos!$B:$B,Q$2,Eventos!$D:$D,$C$2,Eventos!$F:$F,$L554),"")</f>
        <v>0</v>
      </c>
      <c r="R554" s="59">
        <f>SUMIFS(Eventos!$G:$G,Eventos!$F:$F,$L554,Eventos!$D:$D,$C$2,Eventos!$B:$B,PANES_SEMANALES[[#ALL],[SÁBADO]])</f>
        <v>0</v>
      </c>
      <c r="S554" s="59">
        <f>SUMIFS(Eventos!$G:$G,Eventos!$F:$F,$L554,Eventos!$D:$D,$C$2,Eventos!$B:$B,PANES_SEMANALES[[#ALL],[DOMINGO]])</f>
        <v>0</v>
      </c>
      <c r="T554" s="59">
        <f t="shared" si="1"/>
        <v>0</v>
      </c>
    </row>
    <row r="555" ht="22.5" customHeight="1">
      <c r="M555" s="59">
        <f>SUMIFS(Eventos!$G:$G,Eventos!$F:$F,$L555,Eventos!$D:$D,$C$2,Eventos!$B:$B,PANES_SEMANALES[[#ALL],[LUNES]])</f>
        <v>0</v>
      </c>
      <c r="N555" s="59">
        <f>SUMIFS(Eventos!$G:$G,Eventos!$F:$F,$L555,Eventos!$D:$D,$C$2,Eventos!$B:$B,PANES_SEMANALES[[#ALL],[MARTES]])</f>
        <v>0</v>
      </c>
      <c r="O555" s="59">
        <f>SUMIFS(Eventos!$G:$G,Eventos!$F:$F,$L555,Eventos!$D:$D,$C$2,Eventos!$B:$B,PANES_SEMANALES[[#ALL],[MIÉRCOLES]])</f>
        <v>0</v>
      </c>
      <c r="P555" s="59">
        <f>SUMIFS(Eventos!$G:$G,Eventos!$F:$F,$L555,Eventos!$D:$D,$C$2,Eventos!$B:$B,PANES_SEMANALES[[#ALL],[JUEVES]])</f>
        <v>0</v>
      </c>
      <c r="Q555" s="59">
        <f>IF(P555&lt;&gt;"",SUMIFS(Eventos!$G:$G,Eventos!$B:$B,Q$2,Eventos!$D:$D,$C$2,Eventos!$F:$F,$L555),"")</f>
        <v>0</v>
      </c>
      <c r="R555" s="59">
        <f>SUMIFS(Eventos!$G:$G,Eventos!$F:$F,$L555,Eventos!$D:$D,$C$2,Eventos!$B:$B,PANES_SEMANALES[[#ALL],[SÁBADO]])</f>
        <v>0</v>
      </c>
      <c r="S555" s="59">
        <f>SUMIFS(Eventos!$G:$G,Eventos!$F:$F,$L555,Eventos!$D:$D,$C$2,Eventos!$B:$B,PANES_SEMANALES[[#ALL],[DOMINGO]])</f>
        <v>0</v>
      </c>
      <c r="T555" s="59">
        <f t="shared" si="1"/>
        <v>0</v>
      </c>
    </row>
    <row r="556" ht="22.5" customHeight="1">
      <c r="M556" s="59">
        <f>SUMIFS(Eventos!$G:$G,Eventos!$F:$F,$L556,Eventos!$D:$D,$C$2,Eventos!$B:$B,PANES_SEMANALES[[#ALL],[LUNES]])</f>
        <v>0</v>
      </c>
      <c r="N556" s="59">
        <f>SUMIFS(Eventos!$G:$G,Eventos!$F:$F,$L556,Eventos!$D:$D,$C$2,Eventos!$B:$B,PANES_SEMANALES[[#ALL],[MARTES]])</f>
        <v>0</v>
      </c>
      <c r="O556" s="59">
        <f>SUMIFS(Eventos!$G:$G,Eventos!$F:$F,$L556,Eventos!$D:$D,$C$2,Eventos!$B:$B,PANES_SEMANALES[[#ALL],[MIÉRCOLES]])</f>
        <v>0</v>
      </c>
      <c r="P556" s="59">
        <f>SUMIFS(Eventos!$G:$G,Eventos!$F:$F,$L556,Eventos!$D:$D,$C$2,Eventos!$B:$B,PANES_SEMANALES[[#ALL],[JUEVES]])</f>
        <v>0</v>
      </c>
      <c r="Q556" s="59">
        <f>IF(P556&lt;&gt;"",SUMIFS(Eventos!$G:$G,Eventos!$B:$B,Q$2,Eventos!$D:$D,$C$2,Eventos!$F:$F,$L556),"")</f>
        <v>0</v>
      </c>
      <c r="R556" s="59">
        <f>SUMIFS(Eventos!$G:$G,Eventos!$F:$F,$L556,Eventos!$D:$D,$C$2,Eventos!$B:$B,PANES_SEMANALES[[#ALL],[SÁBADO]])</f>
        <v>0</v>
      </c>
      <c r="S556" s="59">
        <f>SUMIFS(Eventos!$G:$G,Eventos!$F:$F,$L556,Eventos!$D:$D,$C$2,Eventos!$B:$B,PANES_SEMANALES[[#ALL],[DOMINGO]])</f>
        <v>0</v>
      </c>
      <c r="T556" s="59">
        <f t="shared" si="1"/>
        <v>0</v>
      </c>
    </row>
    <row r="557" ht="22.5" customHeight="1">
      <c r="M557" s="59">
        <f>SUMIFS(Eventos!$G:$G,Eventos!$F:$F,$L557,Eventos!$D:$D,$C$2,Eventos!$B:$B,PANES_SEMANALES[[#ALL],[LUNES]])</f>
        <v>0</v>
      </c>
      <c r="N557" s="59">
        <f>SUMIFS(Eventos!$G:$G,Eventos!$F:$F,$L557,Eventos!$D:$D,$C$2,Eventos!$B:$B,PANES_SEMANALES[[#ALL],[MARTES]])</f>
        <v>0</v>
      </c>
      <c r="O557" s="59">
        <f>SUMIFS(Eventos!$G:$G,Eventos!$F:$F,$L557,Eventos!$D:$D,$C$2,Eventos!$B:$B,PANES_SEMANALES[[#ALL],[MIÉRCOLES]])</f>
        <v>0</v>
      </c>
      <c r="P557" s="59">
        <f>SUMIFS(Eventos!$G:$G,Eventos!$F:$F,$L557,Eventos!$D:$D,$C$2,Eventos!$B:$B,PANES_SEMANALES[[#ALL],[JUEVES]])</f>
        <v>0</v>
      </c>
      <c r="Q557" s="59">
        <f>IF(P557&lt;&gt;"",SUMIFS(Eventos!$G:$G,Eventos!$B:$B,Q$2,Eventos!$D:$D,$C$2,Eventos!$F:$F,$L557),"")</f>
        <v>0</v>
      </c>
      <c r="R557" s="59">
        <f>SUMIFS(Eventos!$G:$G,Eventos!$F:$F,$L557,Eventos!$D:$D,$C$2,Eventos!$B:$B,PANES_SEMANALES[[#ALL],[SÁBADO]])</f>
        <v>0</v>
      </c>
      <c r="S557" s="59">
        <f>SUMIFS(Eventos!$G:$G,Eventos!$F:$F,$L557,Eventos!$D:$D,$C$2,Eventos!$B:$B,PANES_SEMANALES[[#ALL],[DOMINGO]])</f>
        <v>0</v>
      </c>
      <c r="T557" s="59">
        <f t="shared" si="1"/>
        <v>0</v>
      </c>
    </row>
    <row r="558" ht="22.5" customHeight="1">
      <c r="M558" s="59">
        <f>SUMIFS(Eventos!$G:$G,Eventos!$F:$F,$L558,Eventos!$D:$D,$C$2,Eventos!$B:$B,PANES_SEMANALES[[#ALL],[LUNES]])</f>
        <v>0</v>
      </c>
      <c r="N558" s="59">
        <f>SUMIFS(Eventos!$G:$G,Eventos!$F:$F,$L558,Eventos!$D:$D,$C$2,Eventos!$B:$B,PANES_SEMANALES[[#ALL],[MARTES]])</f>
        <v>0</v>
      </c>
      <c r="O558" s="59">
        <f>SUMIFS(Eventos!$G:$G,Eventos!$F:$F,$L558,Eventos!$D:$D,$C$2,Eventos!$B:$B,PANES_SEMANALES[[#ALL],[MIÉRCOLES]])</f>
        <v>0</v>
      </c>
      <c r="P558" s="59">
        <f>SUMIFS(Eventos!$G:$G,Eventos!$F:$F,$L558,Eventos!$D:$D,$C$2,Eventos!$B:$B,PANES_SEMANALES[[#ALL],[JUEVES]])</f>
        <v>0</v>
      </c>
      <c r="Q558" s="59">
        <f>IF(P558&lt;&gt;"",SUMIFS(Eventos!$G:$G,Eventos!$B:$B,Q$2,Eventos!$D:$D,$C$2,Eventos!$F:$F,$L558),"")</f>
        <v>0</v>
      </c>
      <c r="R558" s="59">
        <f>SUMIFS(Eventos!$G:$G,Eventos!$F:$F,$L558,Eventos!$D:$D,$C$2,Eventos!$B:$B,PANES_SEMANALES[[#ALL],[SÁBADO]])</f>
        <v>0</v>
      </c>
      <c r="S558" s="59">
        <f>SUMIFS(Eventos!$G:$G,Eventos!$F:$F,$L558,Eventos!$D:$D,$C$2,Eventos!$B:$B,PANES_SEMANALES[[#ALL],[DOMINGO]])</f>
        <v>0</v>
      </c>
      <c r="T558" s="59">
        <f t="shared" si="1"/>
        <v>0</v>
      </c>
    </row>
    <row r="559" ht="22.5" customHeight="1">
      <c r="M559" s="59">
        <f>SUMIFS(Eventos!$G:$G,Eventos!$F:$F,$L559,Eventos!$D:$D,$C$2,Eventos!$B:$B,PANES_SEMANALES[[#ALL],[LUNES]])</f>
        <v>0</v>
      </c>
      <c r="N559" s="59">
        <f>SUMIFS(Eventos!$G:$G,Eventos!$F:$F,$L559,Eventos!$D:$D,$C$2,Eventos!$B:$B,PANES_SEMANALES[[#ALL],[MARTES]])</f>
        <v>0</v>
      </c>
      <c r="O559" s="59">
        <f>SUMIFS(Eventos!$G:$G,Eventos!$F:$F,$L559,Eventos!$D:$D,$C$2,Eventos!$B:$B,PANES_SEMANALES[[#ALL],[MIÉRCOLES]])</f>
        <v>0</v>
      </c>
      <c r="P559" s="59">
        <f>SUMIFS(Eventos!$G:$G,Eventos!$F:$F,$L559,Eventos!$D:$D,$C$2,Eventos!$B:$B,PANES_SEMANALES[[#ALL],[JUEVES]])</f>
        <v>0</v>
      </c>
      <c r="Q559" s="59">
        <f>IF(P559&lt;&gt;"",SUMIFS(Eventos!$G:$G,Eventos!$B:$B,Q$2,Eventos!$D:$D,$C$2,Eventos!$F:$F,$L559),"")</f>
        <v>0</v>
      </c>
      <c r="R559" s="59">
        <f>SUMIFS(Eventos!$G:$G,Eventos!$F:$F,$L559,Eventos!$D:$D,$C$2,Eventos!$B:$B,PANES_SEMANALES[[#ALL],[SÁBADO]])</f>
        <v>0</v>
      </c>
      <c r="S559" s="59">
        <f>SUMIFS(Eventos!$G:$G,Eventos!$F:$F,$L559,Eventos!$D:$D,$C$2,Eventos!$B:$B,PANES_SEMANALES[[#ALL],[DOMINGO]])</f>
        <v>0</v>
      </c>
      <c r="T559" s="59">
        <f t="shared" si="1"/>
        <v>0</v>
      </c>
    </row>
    <row r="560" ht="22.5" customHeight="1">
      <c r="M560" s="59">
        <f>SUMIFS(Eventos!$G:$G,Eventos!$F:$F,$L560,Eventos!$D:$D,$C$2,Eventos!$B:$B,PANES_SEMANALES[[#ALL],[LUNES]])</f>
        <v>0</v>
      </c>
      <c r="N560" s="59">
        <f>SUMIFS(Eventos!$G:$G,Eventos!$F:$F,$L560,Eventos!$D:$D,$C$2,Eventos!$B:$B,PANES_SEMANALES[[#ALL],[MARTES]])</f>
        <v>0</v>
      </c>
      <c r="O560" s="59">
        <f>SUMIFS(Eventos!$G:$G,Eventos!$F:$F,$L560,Eventos!$D:$D,$C$2,Eventos!$B:$B,PANES_SEMANALES[[#ALL],[MIÉRCOLES]])</f>
        <v>0</v>
      </c>
      <c r="P560" s="59">
        <f>SUMIFS(Eventos!$G:$G,Eventos!$F:$F,$L560,Eventos!$D:$D,$C$2,Eventos!$B:$B,PANES_SEMANALES[[#ALL],[JUEVES]])</f>
        <v>0</v>
      </c>
      <c r="Q560" s="59">
        <f>IF(P560&lt;&gt;"",SUMIFS(Eventos!$G:$G,Eventos!$B:$B,Q$2,Eventos!$D:$D,$C$2,Eventos!$F:$F,$L560),"")</f>
        <v>0</v>
      </c>
      <c r="R560" s="59">
        <f>SUMIFS(Eventos!$G:$G,Eventos!$F:$F,$L560,Eventos!$D:$D,$C$2,Eventos!$B:$B,PANES_SEMANALES[[#ALL],[SÁBADO]])</f>
        <v>0</v>
      </c>
      <c r="S560" s="59">
        <f>SUMIFS(Eventos!$G:$G,Eventos!$F:$F,$L560,Eventos!$D:$D,$C$2,Eventos!$B:$B,PANES_SEMANALES[[#ALL],[DOMINGO]])</f>
        <v>0</v>
      </c>
      <c r="T560" s="59">
        <f t="shared" si="1"/>
        <v>0</v>
      </c>
    </row>
    <row r="561" ht="22.5" customHeight="1">
      <c r="M561" s="59">
        <f>SUMIFS(Eventos!$G:$G,Eventos!$F:$F,$L561,Eventos!$D:$D,$C$2,Eventos!$B:$B,PANES_SEMANALES[[#ALL],[LUNES]])</f>
        <v>0</v>
      </c>
      <c r="N561" s="59">
        <f>SUMIFS(Eventos!$G:$G,Eventos!$F:$F,$L561,Eventos!$D:$D,$C$2,Eventos!$B:$B,PANES_SEMANALES[[#ALL],[MARTES]])</f>
        <v>0</v>
      </c>
      <c r="O561" s="59">
        <f>SUMIFS(Eventos!$G:$G,Eventos!$F:$F,$L561,Eventos!$D:$D,$C$2,Eventos!$B:$B,PANES_SEMANALES[[#ALL],[MIÉRCOLES]])</f>
        <v>0</v>
      </c>
      <c r="P561" s="59">
        <f>SUMIFS(Eventos!$G:$G,Eventos!$F:$F,$L561,Eventos!$D:$D,$C$2,Eventos!$B:$B,PANES_SEMANALES[[#ALL],[JUEVES]])</f>
        <v>0</v>
      </c>
      <c r="Q561" s="59">
        <f>IF(P561&lt;&gt;"",SUMIFS(Eventos!$G:$G,Eventos!$B:$B,Q$2,Eventos!$D:$D,$C$2,Eventos!$F:$F,$L561),"")</f>
        <v>0</v>
      </c>
      <c r="R561" s="59">
        <f>SUMIFS(Eventos!$G:$G,Eventos!$F:$F,$L561,Eventos!$D:$D,$C$2,Eventos!$B:$B,PANES_SEMANALES[[#ALL],[SÁBADO]])</f>
        <v>0</v>
      </c>
      <c r="S561" s="59">
        <f>SUMIFS(Eventos!$G:$G,Eventos!$F:$F,$L561,Eventos!$D:$D,$C$2,Eventos!$B:$B,PANES_SEMANALES[[#ALL],[DOMINGO]])</f>
        <v>0</v>
      </c>
      <c r="T561" s="59">
        <f t="shared" si="1"/>
        <v>0</v>
      </c>
    </row>
    <row r="562" ht="22.5" customHeight="1">
      <c r="M562" s="59">
        <f>SUMIFS(Eventos!$G:$G,Eventos!$F:$F,$L562,Eventos!$D:$D,$C$2,Eventos!$B:$B,PANES_SEMANALES[[#ALL],[LUNES]])</f>
        <v>0</v>
      </c>
      <c r="N562" s="59">
        <f>SUMIFS(Eventos!$G:$G,Eventos!$F:$F,$L562,Eventos!$D:$D,$C$2,Eventos!$B:$B,PANES_SEMANALES[[#ALL],[MARTES]])</f>
        <v>0</v>
      </c>
      <c r="O562" s="59">
        <f>SUMIFS(Eventos!$G:$G,Eventos!$F:$F,$L562,Eventos!$D:$D,$C$2,Eventos!$B:$B,PANES_SEMANALES[[#ALL],[MIÉRCOLES]])</f>
        <v>0</v>
      </c>
      <c r="P562" s="59">
        <f>SUMIFS(Eventos!$G:$G,Eventos!$F:$F,$L562,Eventos!$D:$D,$C$2,Eventos!$B:$B,PANES_SEMANALES[[#ALL],[JUEVES]])</f>
        <v>0</v>
      </c>
      <c r="Q562" s="59">
        <f>IF(P562&lt;&gt;"",SUMIFS(Eventos!$G:$G,Eventos!$B:$B,Q$2,Eventos!$D:$D,$C$2,Eventos!$F:$F,$L562),"")</f>
        <v>0</v>
      </c>
      <c r="R562" s="59">
        <f>SUMIFS(Eventos!$G:$G,Eventos!$F:$F,$L562,Eventos!$D:$D,$C$2,Eventos!$B:$B,PANES_SEMANALES[[#ALL],[SÁBADO]])</f>
        <v>0</v>
      </c>
      <c r="S562" s="59">
        <f>SUMIFS(Eventos!$G:$G,Eventos!$F:$F,$L562,Eventos!$D:$D,$C$2,Eventos!$B:$B,PANES_SEMANALES[[#ALL],[DOMINGO]])</f>
        <v>0</v>
      </c>
      <c r="T562" s="59">
        <f t="shared" si="1"/>
        <v>0</v>
      </c>
    </row>
    <row r="563" ht="22.5" customHeight="1">
      <c r="M563" s="59">
        <f>SUMIFS(Eventos!$G:$G,Eventos!$F:$F,$L563,Eventos!$D:$D,$C$2,Eventos!$B:$B,PANES_SEMANALES[[#ALL],[LUNES]])</f>
        <v>0</v>
      </c>
      <c r="N563" s="59">
        <f>SUMIFS(Eventos!$G:$G,Eventos!$F:$F,$L563,Eventos!$D:$D,$C$2,Eventos!$B:$B,PANES_SEMANALES[[#ALL],[MARTES]])</f>
        <v>0</v>
      </c>
      <c r="O563" s="59">
        <f>SUMIFS(Eventos!$G:$G,Eventos!$F:$F,$L563,Eventos!$D:$D,$C$2,Eventos!$B:$B,PANES_SEMANALES[[#ALL],[MIÉRCOLES]])</f>
        <v>0</v>
      </c>
      <c r="P563" s="59">
        <f>SUMIFS(Eventos!$G:$G,Eventos!$F:$F,$L563,Eventos!$D:$D,$C$2,Eventos!$B:$B,PANES_SEMANALES[[#ALL],[JUEVES]])</f>
        <v>0</v>
      </c>
      <c r="Q563" s="59">
        <f>IF(P563&lt;&gt;"",SUMIFS(Eventos!$G:$G,Eventos!$B:$B,Q$2,Eventos!$D:$D,$C$2,Eventos!$F:$F,$L563),"")</f>
        <v>0</v>
      </c>
      <c r="R563" s="59">
        <f>SUMIFS(Eventos!$G:$G,Eventos!$F:$F,$L563,Eventos!$D:$D,$C$2,Eventos!$B:$B,PANES_SEMANALES[[#ALL],[SÁBADO]])</f>
        <v>0</v>
      </c>
      <c r="S563" s="59">
        <f>SUMIFS(Eventos!$G:$G,Eventos!$F:$F,$L563,Eventos!$D:$D,$C$2,Eventos!$B:$B,PANES_SEMANALES[[#ALL],[DOMINGO]])</f>
        <v>0</v>
      </c>
      <c r="T563" s="59">
        <f t="shared" si="1"/>
        <v>0</v>
      </c>
    </row>
    <row r="564" ht="22.5" customHeight="1">
      <c r="M564" s="59">
        <f>SUMIFS(Eventos!$G:$G,Eventos!$F:$F,$L564,Eventos!$D:$D,$C$2,Eventos!$B:$B,PANES_SEMANALES[[#ALL],[LUNES]])</f>
        <v>0</v>
      </c>
      <c r="N564" s="59">
        <f>SUMIFS(Eventos!$G:$G,Eventos!$F:$F,$L564,Eventos!$D:$D,$C$2,Eventos!$B:$B,PANES_SEMANALES[[#ALL],[MARTES]])</f>
        <v>0</v>
      </c>
      <c r="O564" s="59">
        <f>SUMIFS(Eventos!$G:$G,Eventos!$F:$F,$L564,Eventos!$D:$D,$C$2,Eventos!$B:$B,PANES_SEMANALES[[#ALL],[MIÉRCOLES]])</f>
        <v>0</v>
      </c>
      <c r="P564" s="59">
        <f>SUMIFS(Eventos!$G:$G,Eventos!$F:$F,$L564,Eventos!$D:$D,$C$2,Eventos!$B:$B,PANES_SEMANALES[[#ALL],[JUEVES]])</f>
        <v>0</v>
      </c>
      <c r="Q564" s="59">
        <f>IF(P564&lt;&gt;"",SUMIFS(Eventos!$G:$G,Eventos!$B:$B,Q$2,Eventos!$D:$D,$C$2,Eventos!$F:$F,$L564),"")</f>
        <v>0</v>
      </c>
      <c r="R564" s="59">
        <f>SUMIFS(Eventos!$G:$G,Eventos!$F:$F,$L564,Eventos!$D:$D,$C$2,Eventos!$B:$B,PANES_SEMANALES[[#ALL],[SÁBADO]])</f>
        <v>0</v>
      </c>
      <c r="S564" s="59">
        <f>SUMIFS(Eventos!$G:$G,Eventos!$F:$F,$L564,Eventos!$D:$D,$C$2,Eventos!$B:$B,PANES_SEMANALES[[#ALL],[DOMINGO]])</f>
        <v>0</v>
      </c>
      <c r="T564" s="59">
        <f t="shared" si="1"/>
        <v>0</v>
      </c>
    </row>
    <row r="565" ht="22.5" customHeight="1">
      <c r="M565" s="59">
        <f>SUMIFS(Eventos!$G:$G,Eventos!$F:$F,$L565,Eventos!$D:$D,$C$2,Eventos!$B:$B,PANES_SEMANALES[[#ALL],[LUNES]])</f>
        <v>0</v>
      </c>
      <c r="N565" s="59">
        <f>SUMIFS(Eventos!$G:$G,Eventos!$F:$F,$L565,Eventos!$D:$D,$C$2,Eventos!$B:$B,PANES_SEMANALES[[#ALL],[MARTES]])</f>
        <v>0</v>
      </c>
      <c r="O565" s="59">
        <f>SUMIFS(Eventos!$G:$G,Eventos!$F:$F,$L565,Eventos!$D:$D,$C$2,Eventos!$B:$B,PANES_SEMANALES[[#ALL],[MIÉRCOLES]])</f>
        <v>0</v>
      </c>
      <c r="P565" s="59">
        <f>SUMIFS(Eventos!$G:$G,Eventos!$F:$F,$L565,Eventos!$D:$D,$C$2,Eventos!$B:$B,PANES_SEMANALES[[#ALL],[JUEVES]])</f>
        <v>0</v>
      </c>
      <c r="Q565" s="59">
        <f>IF(P565&lt;&gt;"",SUMIFS(Eventos!$G:$G,Eventos!$B:$B,Q$2,Eventos!$D:$D,$C$2,Eventos!$F:$F,$L565),"")</f>
        <v>0</v>
      </c>
      <c r="R565" s="59">
        <f>SUMIFS(Eventos!$G:$G,Eventos!$F:$F,$L565,Eventos!$D:$D,$C$2,Eventos!$B:$B,PANES_SEMANALES[[#ALL],[SÁBADO]])</f>
        <v>0</v>
      </c>
      <c r="S565" s="59">
        <f>SUMIFS(Eventos!$G:$G,Eventos!$F:$F,$L565,Eventos!$D:$D,$C$2,Eventos!$B:$B,PANES_SEMANALES[[#ALL],[DOMINGO]])</f>
        <v>0</v>
      </c>
      <c r="T565" s="59">
        <f t="shared" si="1"/>
        <v>0</v>
      </c>
    </row>
    <row r="566" ht="22.5" customHeight="1">
      <c r="M566" s="59">
        <f>SUMIFS(Eventos!$G:$G,Eventos!$F:$F,$L566,Eventos!$D:$D,$C$2,Eventos!$B:$B,PANES_SEMANALES[[#ALL],[LUNES]])</f>
        <v>0</v>
      </c>
      <c r="N566" s="59">
        <f>SUMIFS(Eventos!$G:$G,Eventos!$F:$F,$L566,Eventos!$D:$D,$C$2,Eventos!$B:$B,PANES_SEMANALES[[#ALL],[MARTES]])</f>
        <v>0</v>
      </c>
      <c r="O566" s="59">
        <f>SUMIFS(Eventos!$G:$G,Eventos!$F:$F,$L566,Eventos!$D:$D,$C$2,Eventos!$B:$B,PANES_SEMANALES[[#ALL],[MIÉRCOLES]])</f>
        <v>0</v>
      </c>
      <c r="P566" s="59">
        <f>SUMIFS(Eventos!$G:$G,Eventos!$F:$F,$L566,Eventos!$D:$D,$C$2,Eventos!$B:$B,PANES_SEMANALES[[#ALL],[JUEVES]])</f>
        <v>0</v>
      </c>
      <c r="Q566" s="59">
        <f>IF(P566&lt;&gt;"",SUMIFS(Eventos!$G:$G,Eventos!$B:$B,Q$2,Eventos!$D:$D,$C$2,Eventos!$F:$F,$L566),"")</f>
        <v>0</v>
      </c>
      <c r="R566" s="59">
        <f>SUMIFS(Eventos!$G:$G,Eventos!$F:$F,$L566,Eventos!$D:$D,$C$2,Eventos!$B:$B,PANES_SEMANALES[[#ALL],[SÁBADO]])</f>
        <v>0</v>
      </c>
      <c r="S566" s="59">
        <f>SUMIFS(Eventos!$G:$G,Eventos!$F:$F,$L566,Eventos!$D:$D,$C$2,Eventos!$B:$B,PANES_SEMANALES[[#ALL],[DOMINGO]])</f>
        <v>0</v>
      </c>
      <c r="T566" s="59">
        <f t="shared" si="1"/>
        <v>0</v>
      </c>
    </row>
    <row r="567" ht="22.5" customHeight="1">
      <c r="M567" s="59">
        <f>SUMIFS(Eventos!$G:$G,Eventos!$F:$F,$L567,Eventos!$D:$D,$C$2,Eventos!$B:$B,PANES_SEMANALES[[#ALL],[LUNES]])</f>
        <v>0</v>
      </c>
      <c r="N567" s="59">
        <f>SUMIFS(Eventos!$G:$G,Eventos!$F:$F,$L567,Eventos!$D:$D,$C$2,Eventos!$B:$B,PANES_SEMANALES[[#ALL],[MARTES]])</f>
        <v>0</v>
      </c>
      <c r="O567" s="59">
        <f>SUMIFS(Eventos!$G:$G,Eventos!$F:$F,$L567,Eventos!$D:$D,$C$2,Eventos!$B:$B,PANES_SEMANALES[[#ALL],[MIÉRCOLES]])</f>
        <v>0</v>
      </c>
      <c r="P567" s="59">
        <f>SUMIFS(Eventos!$G:$G,Eventos!$F:$F,$L567,Eventos!$D:$D,$C$2,Eventos!$B:$B,PANES_SEMANALES[[#ALL],[JUEVES]])</f>
        <v>0</v>
      </c>
      <c r="Q567" s="59">
        <f>IF(P567&lt;&gt;"",SUMIFS(Eventos!$G:$G,Eventos!$B:$B,Q$2,Eventos!$D:$D,$C$2,Eventos!$F:$F,$L567),"")</f>
        <v>0</v>
      </c>
      <c r="R567" s="59">
        <f>SUMIFS(Eventos!$G:$G,Eventos!$F:$F,$L567,Eventos!$D:$D,$C$2,Eventos!$B:$B,PANES_SEMANALES[[#ALL],[SÁBADO]])</f>
        <v>0</v>
      </c>
      <c r="S567" s="59">
        <f>SUMIFS(Eventos!$G:$G,Eventos!$F:$F,$L567,Eventos!$D:$D,$C$2,Eventos!$B:$B,PANES_SEMANALES[[#ALL],[DOMINGO]])</f>
        <v>0</v>
      </c>
      <c r="T567" s="59">
        <f t="shared" si="1"/>
        <v>0</v>
      </c>
    </row>
    <row r="568" ht="22.5" customHeight="1">
      <c r="M568" s="59">
        <f>SUMIFS(Eventos!$G:$G,Eventos!$F:$F,$L568,Eventos!$D:$D,$C$2,Eventos!$B:$B,PANES_SEMANALES[[#ALL],[LUNES]])</f>
        <v>0</v>
      </c>
      <c r="N568" s="59">
        <f>SUMIFS(Eventos!$G:$G,Eventos!$F:$F,$L568,Eventos!$D:$D,$C$2,Eventos!$B:$B,PANES_SEMANALES[[#ALL],[MARTES]])</f>
        <v>0</v>
      </c>
      <c r="O568" s="59">
        <f>SUMIFS(Eventos!$G:$G,Eventos!$F:$F,$L568,Eventos!$D:$D,$C$2,Eventos!$B:$B,PANES_SEMANALES[[#ALL],[MIÉRCOLES]])</f>
        <v>0</v>
      </c>
      <c r="P568" s="59">
        <f>SUMIFS(Eventos!$G:$G,Eventos!$F:$F,$L568,Eventos!$D:$D,$C$2,Eventos!$B:$B,PANES_SEMANALES[[#ALL],[JUEVES]])</f>
        <v>0</v>
      </c>
      <c r="Q568" s="59">
        <f>IF(P568&lt;&gt;"",SUMIFS(Eventos!$G:$G,Eventos!$B:$B,Q$2,Eventos!$D:$D,$C$2,Eventos!$F:$F,$L568),"")</f>
        <v>0</v>
      </c>
      <c r="R568" s="59">
        <f>SUMIFS(Eventos!$G:$G,Eventos!$F:$F,$L568,Eventos!$D:$D,$C$2,Eventos!$B:$B,PANES_SEMANALES[[#ALL],[SÁBADO]])</f>
        <v>0</v>
      </c>
      <c r="S568" s="59">
        <f>SUMIFS(Eventos!$G:$G,Eventos!$F:$F,$L568,Eventos!$D:$D,$C$2,Eventos!$B:$B,PANES_SEMANALES[[#ALL],[DOMINGO]])</f>
        <v>0</v>
      </c>
      <c r="T568" s="59">
        <f t="shared" si="1"/>
        <v>0</v>
      </c>
    </row>
    <row r="569" ht="22.5" customHeight="1">
      <c r="M569" s="59">
        <f>SUMIFS(Eventos!$G:$G,Eventos!$F:$F,$L569,Eventos!$D:$D,$C$2,Eventos!$B:$B,PANES_SEMANALES[[#ALL],[LUNES]])</f>
        <v>0</v>
      </c>
      <c r="N569" s="59">
        <f>SUMIFS(Eventos!$G:$G,Eventos!$F:$F,$L569,Eventos!$D:$D,$C$2,Eventos!$B:$B,PANES_SEMANALES[[#ALL],[MARTES]])</f>
        <v>0</v>
      </c>
      <c r="O569" s="59">
        <f>SUMIFS(Eventos!$G:$G,Eventos!$F:$F,$L569,Eventos!$D:$D,$C$2,Eventos!$B:$B,PANES_SEMANALES[[#ALL],[MIÉRCOLES]])</f>
        <v>0</v>
      </c>
      <c r="P569" s="59">
        <f>SUMIFS(Eventos!$G:$G,Eventos!$F:$F,$L569,Eventos!$D:$D,$C$2,Eventos!$B:$B,PANES_SEMANALES[[#ALL],[JUEVES]])</f>
        <v>0</v>
      </c>
      <c r="Q569" s="59">
        <f>IF(P569&lt;&gt;"",SUMIFS(Eventos!$G:$G,Eventos!$B:$B,Q$2,Eventos!$D:$D,$C$2,Eventos!$F:$F,$L569),"")</f>
        <v>0</v>
      </c>
      <c r="R569" s="59">
        <f>SUMIFS(Eventos!$G:$G,Eventos!$F:$F,$L569,Eventos!$D:$D,$C$2,Eventos!$B:$B,PANES_SEMANALES[[#ALL],[SÁBADO]])</f>
        <v>0</v>
      </c>
      <c r="S569" s="59">
        <f>SUMIFS(Eventos!$G:$G,Eventos!$F:$F,$L569,Eventos!$D:$D,$C$2,Eventos!$B:$B,PANES_SEMANALES[[#ALL],[DOMINGO]])</f>
        <v>0</v>
      </c>
      <c r="T569" s="59">
        <f t="shared" si="1"/>
        <v>0</v>
      </c>
    </row>
    <row r="570" ht="22.5" customHeight="1">
      <c r="M570" s="59">
        <f>SUMIFS(Eventos!$G:$G,Eventos!$F:$F,$L570,Eventos!$D:$D,$C$2,Eventos!$B:$B,PANES_SEMANALES[[#ALL],[LUNES]])</f>
        <v>0</v>
      </c>
      <c r="N570" s="59">
        <f>SUMIFS(Eventos!$G:$G,Eventos!$F:$F,$L570,Eventos!$D:$D,$C$2,Eventos!$B:$B,PANES_SEMANALES[[#ALL],[MARTES]])</f>
        <v>0</v>
      </c>
      <c r="O570" s="59">
        <f>SUMIFS(Eventos!$G:$G,Eventos!$F:$F,$L570,Eventos!$D:$D,$C$2,Eventos!$B:$B,PANES_SEMANALES[[#ALL],[MIÉRCOLES]])</f>
        <v>0</v>
      </c>
      <c r="P570" s="59">
        <f>SUMIFS(Eventos!$G:$G,Eventos!$F:$F,$L570,Eventos!$D:$D,$C$2,Eventos!$B:$B,PANES_SEMANALES[[#ALL],[JUEVES]])</f>
        <v>0</v>
      </c>
      <c r="Q570" s="59">
        <f>IF(P570&lt;&gt;"",SUMIFS(Eventos!$G:$G,Eventos!$B:$B,Q$2,Eventos!$D:$D,$C$2,Eventos!$F:$F,$L570),"")</f>
        <v>0</v>
      </c>
      <c r="R570" s="59">
        <f>SUMIFS(Eventos!$G:$G,Eventos!$F:$F,$L570,Eventos!$D:$D,$C$2,Eventos!$B:$B,PANES_SEMANALES[[#ALL],[SÁBADO]])</f>
        <v>0</v>
      </c>
      <c r="S570" s="59">
        <f>SUMIFS(Eventos!$G:$G,Eventos!$F:$F,$L570,Eventos!$D:$D,$C$2,Eventos!$B:$B,PANES_SEMANALES[[#ALL],[DOMINGO]])</f>
        <v>0</v>
      </c>
      <c r="T570" s="59">
        <f t="shared" si="1"/>
        <v>0</v>
      </c>
    </row>
    <row r="571" ht="22.5" customHeight="1">
      <c r="M571" s="59">
        <f>SUMIFS(Eventos!$G:$G,Eventos!$F:$F,$L571,Eventos!$D:$D,$C$2,Eventos!$B:$B,PANES_SEMANALES[[#ALL],[LUNES]])</f>
        <v>0</v>
      </c>
      <c r="N571" s="59">
        <f>SUMIFS(Eventos!$G:$G,Eventos!$F:$F,$L571,Eventos!$D:$D,$C$2,Eventos!$B:$B,PANES_SEMANALES[[#ALL],[MARTES]])</f>
        <v>0</v>
      </c>
      <c r="O571" s="59">
        <f>SUMIFS(Eventos!$G:$G,Eventos!$F:$F,$L571,Eventos!$D:$D,$C$2,Eventos!$B:$B,PANES_SEMANALES[[#ALL],[MIÉRCOLES]])</f>
        <v>0</v>
      </c>
      <c r="P571" s="59">
        <f>SUMIFS(Eventos!$G:$G,Eventos!$F:$F,$L571,Eventos!$D:$D,$C$2,Eventos!$B:$B,PANES_SEMANALES[[#ALL],[JUEVES]])</f>
        <v>0</v>
      </c>
      <c r="Q571" s="59">
        <f>IF(P571&lt;&gt;"",SUMIFS(Eventos!$G:$G,Eventos!$B:$B,Q$2,Eventos!$D:$D,$C$2,Eventos!$F:$F,$L571),"")</f>
        <v>0</v>
      </c>
      <c r="R571" s="59">
        <f>SUMIFS(Eventos!$G:$G,Eventos!$F:$F,$L571,Eventos!$D:$D,$C$2,Eventos!$B:$B,PANES_SEMANALES[[#ALL],[SÁBADO]])</f>
        <v>0</v>
      </c>
      <c r="S571" s="59">
        <f>SUMIFS(Eventos!$G:$G,Eventos!$F:$F,$L571,Eventos!$D:$D,$C$2,Eventos!$B:$B,PANES_SEMANALES[[#ALL],[DOMINGO]])</f>
        <v>0</v>
      </c>
      <c r="T571" s="59">
        <f t="shared" si="1"/>
        <v>0</v>
      </c>
    </row>
    <row r="572" ht="22.5" customHeight="1">
      <c r="M572" s="59">
        <f>SUMIFS(Eventos!$G:$G,Eventos!$F:$F,$L572,Eventos!$D:$D,$C$2,Eventos!$B:$B,PANES_SEMANALES[[#ALL],[LUNES]])</f>
        <v>0</v>
      </c>
      <c r="N572" s="59">
        <f>SUMIFS(Eventos!$G:$G,Eventos!$F:$F,$L572,Eventos!$D:$D,$C$2,Eventos!$B:$B,PANES_SEMANALES[[#ALL],[MARTES]])</f>
        <v>0</v>
      </c>
      <c r="O572" s="59">
        <f>SUMIFS(Eventos!$G:$G,Eventos!$F:$F,$L572,Eventos!$D:$D,$C$2,Eventos!$B:$B,PANES_SEMANALES[[#ALL],[MIÉRCOLES]])</f>
        <v>0</v>
      </c>
      <c r="P572" s="59">
        <f>SUMIFS(Eventos!$G:$G,Eventos!$F:$F,$L572,Eventos!$D:$D,$C$2,Eventos!$B:$B,PANES_SEMANALES[[#ALL],[JUEVES]])</f>
        <v>0</v>
      </c>
      <c r="Q572" s="59">
        <f>IF(P572&lt;&gt;"",SUMIFS(Eventos!$G:$G,Eventos!$B:$B,Q$2,Eventos!$D:$D,$C$2,Eventos!$F:$F,$L572),"")</f>
        <v>0</v>
      </c>
      <c r="R572" s="59">
        <f>SUMIFS(Eventos!$G:$G,Eventos!$F:$F,$L572,Eventos!$D:$D,$C$2,Eventos!$B:$B,PANES_SEMANALES[[#ALL],[SÁBADO]])</f>
        <v>0</v>
      </c>
      <c r="S572" s="59">
        <f>SUMIFS(Eventos!$G:$G,Eventos!$F:$F,$L572,Eventos!$D:$D,$C$2,Eventos!$B:$B,PANES_SEMANALES[[#ALL],[DOMINGO]])</f>
        <v>0</v>
      </c>
      <c r="T572" s="59">
        <f t="shared" si="1"/>
        <v>0</v>
      </c>
    </row>
    <row r="573" ht="22.5" customHeight="1">
      <c r="M573" s="59">
        <f>SUMIFS(Eventos!$G:$G,Eventos!$F:$F,$L573,Eventos!$D:$D,$C$2,Eventos!$B:$B,PANES_SEMANALES[[#ALL],[LUNES]])</f>
        <v>0</v>
      </c>
      <c r="N573" s="59">
        <f>SUMIFS(Eventos!$G:$G,Eventos!$F:$F,$L573,Eventos!$D:$D,$C$2,Eventos!$B:$B,PANES_SEMANALES[[#ALL],[MARTES]])</f>
        <v>0</v>
      </c>
      <c r="O573" s="59">
        <f>SUMIFS(Eventos!$G:$G,Eventos!$F:$F,$L573,Eventos!$D:$D,$C$2,Eventos!$B:$B,PANES_SEMANALES[[#ALL],[MIÉRCOLES]])</f>
        <v>0</v>
      </c>
      <c r="P573" s="59">
        <f>SUMIFS(Eventos!$G:$G,Eventos!$F:$F,$L573,Eventos!$D:$D,$C$2,Eventos!$B:$B,PANES_SEMANALES[[#ALL],[JUEVES]])</f>
        <v>0</v>
      </c>
      <c r="Q573" s="59">
        <f>IF(P573&lt;&gt;"",SUMIFS(Eventos!$G:$G,Eventos!$B:$B,Q$2,Eventos!$D:$D,$C$2,Eventos!$F:$F,$L573),"")</f>
        <v>0</v>
      </c>
      <c r="R573" s="59">
        <f>SUMIFS(Eventos!$G:$G,Eventos!$F:$F,$L573,Eventos!$D:$D,$C$2,Eventos!$B:$B,PANES_SEMANALES[[#ALL],[SÁBADO]])</f>
        <v>0</v>
      </c>
      <c r="S573" s="59">
        <f>SUMIFS(Eventos!$G:$G,Eventos!$F:$F,$L573,Eventos!$D:$D,$C$2,Eventos!$B:$B,PANES_SEMANALES[[#ALL],[DOMINGO]])</f>
        <v>0</v>
      </c>
      <c r="T573" s="59">
        <f t="shared" si="1"/>
        <v>0</v>
      </c>
    </row>
    <row r="574" ht="22.5" customHeight="1">
      <c r="M574" s="59">
        <f>SUMIFS(Eventos!$G:$G,Eventos!$F:$F,$L574,Eventos!$D:$D,$C$2,Eventos!$B:$B,PANES_SEMANALES[[#ALL],[LUNES]])</f>
        <v>0</v>
      </c>
      <c r="N574" s="59">
        <f>SUMIFS(Eventos!$G:$G,Eventos!$F:$F,$L574,Eventos!$D:$D,$C$2,Eventos!$B:$B,PANES_SEMANALES[[#ALL],[MARTES]])</f>
        <v>0</v>
      </c>
      <c r="O574" s="59">
        <f>SUMIFS(Eventos!$G:$G,Eventos!$F:$F,$L574,Eventos!$D:$D,$C$2,Eventos!$B:$B,PANES_SEMANALES[[#ALL],[MIÉRCOLES]])</f>
        <v>0</v>
      </c>
      <c r="P574" s="59">
        <f>SUMIFS(Eventos!$G:$G,Eventos!$F:$F,$L574,Eventos!$D:$D,$C$2,Eventos!$B:$B,PANES_SEMANALES[[#ALL],[JUEVES]])</f>
        <v>0</v>
      </c>
      <c r="Q574" s="59">
        <f>IF(P574&lt;&gt;"",SUMIFS(Eventos!$G:$G,Eventos!$B:$B,Q$2,Eventos!$D:$D,$C$2,Eventos!$F:$F,$L574),"")</f>
        <v>0</v>
      </c>
      <c r="R574" s="59">
        <f>SUMIFS(Eventos!$G:$G,Eventos!$F:$F,$L574,Eventos!$D:$D,$C$2,Eventos!$B:$B,PANES_SEMANALES[[#ALL],[SÁBADO]])</f>
        <v>0</v>
      </c>
      <c r="S574" s="59">
        <f>SUMIFS(Eventos!$G:$G,Eventos!$F:$F,$L574,Eventos!$D:$D,$C$2,Eventos!$B:$B,PANES_SEMANALES[[#ALL],[DOMINGO]])</f>
        <v>0</v>
      </c>
      <c r="T574" s="59">
        <f t="shared" si="1"/>
        <v>0</v>
      </c>
    </row>
    <row r="575" ht="22.5" customHeight="1">
      <c r="M575" s="59">
        <f>SUMIFS(Eventos!$G:$G,Eventos!$F:$F,$L575,Eventos!$D:$D,$C$2,Eventos!$B:$B,PANES_SEMANALES[[#ALL],[LUNES]])</f>
        <v>0</v>
      </c>
      <c r="N575" s="59">
        <f>SUMIFS(Eventos!$G:$G,Eventos!$F:$F,$L575,Eventos!$D:$D,$C$2,Eventos!$B:$B,PANES_SEMANALES[[#ALL],[MARTES]])</f>
        <v>0</v>
      </c>
      <c r="O575" s="59">
        <f>SUMIFS(Eventos!$G:$G,Eventos!$F:$F,$L575,Eventos!$D:$D,$C$2,Eventos!$B:$B,PANES_SEMANALES[[#ALL],[MIÉRCOLES]])</f>
        <v>0</v>
      </c>
      <c r="P575" s="59">
        <f>SUMIFS(Eventos!$G:$G,Eventos!$F:$F,$L575,Eventos!$D:$D,$C$2,Eventos!$B:$B,PANES_SEMANALES[[#ALL],[JUEVES]])</f>
        <v>0</v>
      </c>
      <c r="Q575" s="59">
        <f>IF(P575&lt;&gt;"",SUMIFS(Eventos!$G:$G,Eventos!$B:$B,Q$2,Eventos!$D:$D,$C$2,Eventos!$F:$F,$L575),"")</f>
        <v>0</v>
      </c>
      <c r="R575" s="59">
        <f>SUMIFS(Eventos!$G:$G,Eventos!$F:$F,$L575,Eventos!$D:$D,$C$2,Eventos!$B:$B,PANES_SEMANALES[[#ALL],[SÁBADO]])</f>
        <v>0</v>
      </c>
      <c r="S575" s="59">
        <f>SUMIFS(Eventos!$G:$G,Eventos!$F:$F,$L575,Eventos!$D:$D,$C$2,Eventos!$B:$B,PANES_SEMANALES[[#ALL],[DOMINGO]])</f>
        <v>0</v>
      </c>
      <c r="T575" s="59">
        <f t="shared" si="1"/>
        <v>0</v>
      </c>
    </row>
    <row r="576" ht="22.5" customHeight="1">
      <c r="M576" s="59">
        <f>SUMIFS(Eventos!$G:$G,Eventos!$F:$F,$L576,Eventos!$D:$D,$C$2,Eventos!$B:$B,PANES_SEMANALES[[#ALL],[LUNES]])</f>
        <v>0</v>
      </c>
      <c r="N576" s="59">
        <f>SUMIFS(Eventos!$G:$G,Eventos!$F:$F,$L576,Eventos!$D:$D,$C$2,Eventos!$B:$B,PANES_SEMANALES[[#ALL],[MARTES]])</f>
        <v>0</v>
      </c>
      <c r="O576" s="59">
        <f>SUMIFS(Eventos!$G:$G,Eventos!$F:$F,$L576,Eventos!$D:$D,$C$2,Eventos!$B:$B,PANES_SEMANALES[[#ALL],[MIÉRCOLES]])</f>
        <v>0</v>
      </c>
      <c r="P576" s="59">
        <f>SUMIFS(Eventos!$G:$G,Eventos!$F:$F,$L576,Eventos!$D:$D,$C$2,Eventos!$B:$B,PANES_SEMANALES[[#ALL],[JUEVES]])</f>
        <v>0</v>
      </c>
      <c r="Q576" s="59">
        <f>IF(P576&lt;&gt;"",SUMIFS(Eventos!$G:$G,Eventos!$B:$B,Q$2,Eventos!$D:$D,$C$2,Eventos!$F:$F,$L576),"")</f>
        <v>0</v>
      </c>
      <c r="R576" s="59">
        <f>SUMIFS(Eventos!$G:$G,Eventos!$F:$F,$L576,Eventos!$D:$D,$C$2,Eventos!$B:$B,PANES_SEMANALES[[#ALL],[SÁBADO]])</f>
        <v>0</v>
      </c>
      <c r="S576" s="59">
        <f>SUMIFS(Eventos!$G:$G,Eventos!$F:$F,$L576,Eventos!$D:$D,$C$2,Eventos!$B:$B,PANES_SEMANALES[[#ALL],[DOMINGO]])</f>
        <v>0</v>
      </c>
      <c r="T576" s="59">
        <f t="shared" si="1"/>
        <v>0</v>
      </c>
    </row>
    <row r="577" ht="22.5" customHeight="1">
      <c r="M577" s="59">
        <f>SUMIFS(Eventos!$G:$G,Eventos!$F:$F,$L577,Eventos!$D:$D,$C$2,Eventos!$B:$B,PANES_SEMANALES[[#ALL],[LUNES]])</f>
        <v>0</v>
      </c>
      <c r="N577" s="59">
        <f>SUMIFS(Eventos!$G:$G,Eventos!$F:$F,$L577,Eventos!$D:$D,$C$2,Eventos!$B:$B,PANES_SEMANALES[[#ALL],[MARTES]])</f>
        <v>0</v>
      </c>
      <c r="O577" s="59">
        <f>SUMIFS(Eventos!$G:$G,Eventos!$F:$F,$L577,Eventos!$D:$D,$C$2,Eventos!$B:$B,PANES_SEMANALES[[#ALL],[MIÉRCOLES]])</f>
        <v>0</v>
      </c>
      <c r="P577" s="59">
        <f>SUMIFS(Eventos!$G:$G,Eventos!$F:$F,$L577,Eventos!$D:$D,$C$2,Eventos!$B:$B,PANES_SEMANALES[[#ALL],[JUEVES]])</f>
        <v>0</v>
      </c>
      <c r="Q577" s="59">
        <f>IF(P577&lt;&gt;"",SUMIFS(Eventos!$G:$G,Eventos!$B:$B,Q$2,Eventos!$D:$D,$C$2,Eventos!$F:$F,$L577),"")</f>
        <v>0</v>
      </c>
      <c r="R577" s="59">
        <f>SUMIFS(Eventos!$G:$G,Eventos!$F:$F,$L577,Eventos!$D:$D,$C$2,Eventos!$B:$B,PANES_SEMANALES[[#ALL],[SÁBADO]])</f>
        <v>0</v>
      </c>
      <c r="S577" s="59">
        <f>SUMIFS(Eventos!$G:$G,Eventos!$F:$F,$L577,Eventos!$D:$D,$C$2,Eventos!$B:$B,PANES_SEMANALES[[#ALL],[DOMINGO]])</f>
        <v>0</v>
      </c>
      <c r="T577" s="59">
        <f t="shared" si="1"/>
        <v>0</v>
      </c>
    </row>
    <row r="578" ht="22.5" customHeight="1">
      <c r="M578" s="59">
        <f>SUMIFS(Eventos!$G:$G,Eventos!$F:$F,$L578,Eventos!$D:$D,$C$2,Eventos!$B:$B,PANES_SEMANALES[[#ALL],[LUNES]])</f>
        <v>0</v>
      </c>
      <c r="N578" s="59">
        <f>SUMIFS(Eventos!$G:$G,Eventos!$F:$F,$L578,Eventos!$D:$D,$C$2,Eventos!$B:$B,PANES_SEMANALES[[#ALL],[MARTES]])</f>
        <v>0</v>
      </c>
      <c r="O578" s="59">
        <f>SUMIFS(Eventos!$G:$G,Eventos!$F:$F,$L578,Eventos!$D:$D,$C$2,Eventos!$B:$B,PANES_SEMANALES[[#ALL],[MIÉRCOLES]])</f>
        <v>0</v>
      </c>
      <c r="P578" s="59">
        <f>SUMIFS(Eventos!$G:$G,Eventos!$F:$F,$L578,Eventos!$D:$D,$C$2,Eventos!$B:$B,PANES_SEMANALES[[#ALL],[JUEVES]])</f>
        <v>0</v>
      </c>
      <c r="Q578" s="59">
        <f>IF(P578&lt;&gt;"",SUMIFS(Eventos!$G:$G,Eventos!$B:$B,Q$2,Eventos!$D:$D,$C$2,Eventos!$F:$F,$L578),"")</f>
        <v>0</v>
      </c>
      <c r="R578" s="59">
        <f>SUMIFS(Eventos!$G:$G,Eventos!$F:$F,$L578,Eventos!$D:$D,$C$2,Eventos!$B:$B,PANES_SEMANALES[[#ALL],[SÁBADO]])</f>
        <v>0</v>
      </c>
      <c r="S578" s="59">
        <f>SUMIFS(Eventos!$G:$G,Eventos!$F:$F,$L578,Eventos!$D:$D,$C$2,Eventos!$B:$B,PANES_SEMANALES[[#ALL],[DOMINGO]])</f>
        <v>0</v>
      </c>
      <c r="T578" s="59">
        <f t="shared" si="1"/>
        <v>0</v>
      </c>
    </row>
    <row r="579" ht="22.5" customHeight="1">
      <c r="M579" s="59">
        <f>SUMIFS(Eventos!$G:$G,Eventos!$F:$F,$L579,Eventos!$D:$D,$C$2,Eventos!$B:$B,PANES_SEMANALES[[#ALL],[LUNES]])</f>
        <v>0</v>
      </c>
      <c r="N579" s="59">
        <f>SUMIFS(Eventos!$G:$G,Eventos!$F:$F,$L579,Eventos!$D:$D,$C$2,Eventos!$B:$B,PANES_SEMANALES[[#ALL],[MARTES]])</f>
        <v>0</v>
      </c>
      <c r="O579" s="59">
        <f>SUMIFS(Eventos!$G:$G,Eventos!$F:$F,$L579,Eventos!$D:$D,$C$2,Eventos!$B:$B,PANES_SEMANALES[[#ALL],[MIÉRCOLES]])</f>
        <v>0</v>
      </c>
      <c r="P579" s="59">
        <f>SUMIFS(Eventos!$G:$G,Eventos!$F:$F,$L579,Eventos!$D:$D,$C$2,Eventos!$B:$B,PANES_SEMANALES[[#ALL],[JUEVES]])</f>
        <v>0</v>
      </c>
      <c r="Q579" s="59">
        <f>IF(P579&lt;&gt;"",SUMIFS(Eventos!$G:$G,Eventos!$B:$B,Q$2,Eventos!$D:$D,$C$2,Eventos!$F:$F,$L579),"")</f>
        <v>0</v>
      </c>
      <c r="R579" s="59">
        <f>SUMIFS(Eventos!$G:$G,Eventos!$F:$F,$L579,Eventos!$D:$D,$C$2,Eventos!$B:$B,PANES_SEMANALES[[#ALL],[SÁBADO]])</f>
        <v>0</v>
      </c>
      <c r="S579" s="59">
        <f>SUMIFS(Eventos!$G:$G,Eventos!$F:$F,$L579,Eventos!$D:$D,$C$2,Eventos!$B:$B,PANES_SEMANALES[[#ALL],[DOMINGO]])</f>
        <v>0</v>
      </c>
      <c r="T579" s="59">
        <f t="shared" si="1"/>
        <v>0</v>
      </c>
    </row>
    <row r="580" ht="22.5" customHeight="1">
      <c r="M580" s="59">
        <f>SUMIFS(Eventos!$G:$G,Eventos!$F:$F,$L580,Eventos!$D:$D,$C$2,Eventos!$B:$B,PANES_SEMANALES[[#ALL],[LUNES]])</f>
        <v>0</v>
      </c>
      <c r="N580" s="59">
        <f>SUMIFS(Eventos!$G:$G,Eventos!$F:$F,$L580,Eventos!$D:$D,$C$2,Eventos!$B:$B,PANES_SEMANALES[[#ALL],[MARTES]])</f>
        <v>0</v>
      </c>
      <c r="O580" s="59">
        <f>SUMIFS(Eventos!$G:$G,Eventos!$F:$F,$L580,Eventos!$D:$D,$C$2,Eventos!$B:$B,PANES_SEMANALES[[#ALL],[MIÉRCOLES]])</f>
        <v>0</v>
      </c>
      <c r="P580" s="59">
        <f>SUMIFS(Eventos!$G:$G,Eventos!$F:$F,$L580,Eventos!$D:$D,$C$2,Eventos!$B:$B,PANES_SEMANALES[[#ALL],[JUEVES]])</f>
        <v>0</v>
      </c>
      <c r="Q580" s="59">
        <f>IF(P580&lt;&gt;"",SUMIFS(Eventos!$G:$G,Eventos!$B:$B,Q$2,Eventos!$D:$D,$C$2,Eventos!$F:$F,$L580),"")</f>
        <v>0</v>
      </c>
      <c r="R580" s="59">
        <f>SUMIFS(Eventos!$G:$G,Eventos!$F:$F,$L580,Eventos!$D:$D,$C$2,Eventos!$B:$B,PANES_SEMANALES[[#ALL],[SÁBADO]])</f>
        <v>0</v>
      </c>
      <c r="S580" s="59">
        <f>SUMIFS(Eventos!$G:$G,Eventos!$F:$F,$L580,Eventos!$D:$D,$C$2,Eventos!$B:$B,PANES_SEMANALES[[#ALL],[DOMINGO]])</f>
        <v>0</v>
      </c>
      <c r="T580" s="59">
        <f t="shared" si="1"/>
        <v>0</v>
      </c>
    </row>
    <row r="581" ht="22.5" customHeight="1">
      <c r="M581" s="59">
        <f>SUMIFS(Eventos!$G:$G,Eventos!$F:$F,$L581,Eventos!$D:$D,$C$2,Eventos!$B:$B,PANES_SEMANALES[[#ALL],[LUNES]])</f>
        <v>0</v>
      </c>
      <c r="N581" s="59">
        <f>SUMIFS(Eventos!$G:$G,Eventos!$F:$F,$L581,Eventos!$D:$D,$C$2,Eventos!$B:$B,PANES_SEMANALES[[#ALL],[MARTES]])</f>
        <v>0</v>
      </c>
      <c r="O581" s="59">
        <f>SUMIFS(Eventos!$G:$G,Eventos!$F:$F,$L581,Eventos!$D:$D,$C$2,Eventos!$B:$B,PANES_SEMANALES[[#ALL],[MIÉRCOLES]])</f>
        <v>0</v>
      </c>
      <c r="P581" s="59">
        <f>SUMIFS(Eventos!$G:$G,Eventos!$F:$F,$L581,Eventos!$D:$D,$C$2,Eventos!$B:$B,PANES_SEMANALES[[#ALL],[JUEVES]])</f>
        <v>0</v>
      </c>
      <c r="Q581" s="59">
        <f>IF(P581&lt;&gt;"",SUMIFS(Eventos!$G:$G,Eventos!$B:$B,Q$2,Eventos!$D:$D,$C$2,Eventos!$F:$F,$L581),"")</f>
        <v>0</v>
      </c>
      <c r="R581" s="59">
        <f>SUMIFS(Eventos!$G:$G,Eventos!$F:$F,$L581,Eventos!$D:$D,$C$2,Eventos!$B:$B,PANES_SEMANALES[[#ALL],[SÁBADO]])</f>
        <v>0</v>
      </c>
      <c r="S581" s="59">
        <f>SUMIFS(Eventos!$G:$G,Eventos!$F:$F,$L581,Eventos!$D:$D,$C$2,Eventos!$B:$B,PANES_SEMANALES[[#ALL],[DOMINGO]])</f>
        <v>0</v>
      </c>
      <c r="T581" s="59">
        <f t="shared" si="1"/>
        <v>0</v>
      </c>
    </row>
    <row r="582" ht="22.5" customHeight="1">
      <c r="M582" s="59">
        <f>SUMIFS(Eventos!$G:$G,Eventos!$F:$F,$L582,Eventos!$D:$D,$C$2,Eventos!$B:$B,PANES_SEMANALES[[#ALL],[LUNES]])</f>
        <v>0</v>
      </c>
      <c r="N582" s="59">
        <f>SUMIFS(Eventos!$G:$G,Eventos!$F:$F,$L582,Eventos!$D:$D,$C$2,Eventos!$B:$B,PANES_SEMANALES[[#ALL],[MARTES]])</f>
        <v>0</v>
      </c>
      <c r="O582" s="59">
        <f>SUMIFS(Eventos!$G:$G,Eventos!$F:$F,$L582,Eventos!$D:$D,$C$2,Eventos!$B:$B,PANES_SEMANALES[[#ALL],[MIÉRCOLES]])</f>
        <v>0</v>
      </c>
      <c r="P582" s="59">
        <f>SUMIFS(Eventos!$G:$G,Eventos!$F:$F,$L582,Eventos!$D:$D,$C$2,Eventos!$B:$B,PANES_SEMANALES[[#ALL],[JUEVES]])</f>
        <v>0</v>
      </c>
      <c r="Q582" s="59">
        <f>IF(P582&lt;&gt;"",SUMIFS(Eventos!$G:$G,Eventos!$B:$B,Q$2,Eventos!$D:$D,$C$2,Eventos!$F:$F,$L582),"")</f>
        <v>0</v>
      </c>
      <c r="R582" s="59">
        <f>SUMIFS(Eventos!$G:$G,Eventos!$F:$F,$L582,Eventos!$D:$D,$C$2,Eventos!$B:$B,PANES_SEMANALES[[#ALL],[SÁBADO]])</f>
        <v>0</v>
      </c>
      <c r="S582" s="59">
        <f>SUMIFS(Eventos!$G:$G,Eventos!$F:$F,$L582,Eventos!$D:$D,$C$2,Eventos!$B:$B,PANES_SEMANALES[[#ALL],[DOMINGO]])</f>
        <v>0</v>
      </c>
      <c r="T582" s="59">
        <f t="shared" si="1"/>
        <v>0</v>
      </c>
    </row>
    <row r="583" ht="22.5" customHeight="1">
      <c r="M583" s="59">
        <f>SUMIFS(Eventos!$G:$G,Eventos!$F:$F,$L583,Eventos!$D:$D,$C$2,Eventos!$B:$B,PANES_SEMANALES[[#ALL],[LUNES]])</f>
        <v>0</v>
      </c>
      <c r="N583" s="59">
        <f>SUMIFS(Eventos!$G:$G,Eventos!$F:$F,$L583,Eventos!$D:$D,$C$2,Eventos!$B:$B,PANES_SEMANALES[[#ALL],[MARTES]])</f>
        <v>0</v>
      </c>
      <c r="O583" s="59">
        <f>SUMIFS(Eventos!$G:$G,Eventos!$F:$F,$L583,Eventos!$D:$D,$C$2,Eventos!$B:$B,PANES_SEMANALES[[#ALL],[MIÉRCOLES]])</f>
        <v>0</v>
      </c>
      <c r="P583" s="59">
        <f>SUMIFS(Eventos!$G:$G,Eventos!$F:$F,$L583,Eventos!$D:$D,$C$2,Eventos!$B:$B,PANES_SEMANALES[[#ALL],[JUEVES]])</f>
        <v>0</v>
      </c>
      <c r="Q583" s="59">
        <f>IF(P583&lt;&gt;"",SUMIFS(Eventos!$G:$G,Eventos!$B:$B,Q$2,Eventos!$D:$D,$C$2,Eventos!$F:$F,$L583),"")</f>
        <v>0</v>
      </c>
      <c r="R583" s="59">
        <f>SUMIFS(Eventos!$G:$G,Eventos!$F:$F,$L583,Eventos!$D:$D,$C$2,Eventos!$B:$B,PANES_SEMANALES[[#ALL],[SÁBADO]])</f>
        <v>0</v>
      </c>
      <c r="S583" s="59">
        <f>SUMIFS(Eventos!$G:$G,Eventos!$F:$F,$L583,Eventos!$D:$D,$C$2,Eventos!$B:$B,PANES_SEMANALES[[#ALL],[DOMINGO]])</f>
        <v>0</v>
      </c>
      <c r="T583" s="59">
        <f t="shared" si="1"/>
        <v>0</v>
      </c>
    </row>
    <row r="584" ht="22.5" customHeight="1">
      <c r="M584" s="59">
        <f>SUMIFS(Eventos!$G:$G,Eventos!$F:$F,$L584,Eventos!$D:$D,$C$2,Eventos!$B:$B,PANES_SEMANALES[[#ALL],[LUNES]])</f>
        <v>0</v>
      </c>
      <c r="N584" s="59">
        <f>SUMIFS(Eventos!$G:$G,Eventos!$F:$F,$L584,Eventos!$D:$D,$C$2,Eventos!$B:$B,PANES_SEMANALES[[#ALL],[MARTES]])</f>
        <v>0</v>
      </c>
      <c r="O584" s="59">
        <f>SUMIFS(Eventos!$G:$G,Eventos!$F:$F,$L584,Eventos!$D:$D,$C$2,Eventos!$B:$B,PANES_SEMANALES[[#ALL],[MIÉRCOLES]])</f>
        <v>0</v>
      </c>
      <c r="P584" s="59">
        <f>SUMIFS(Eventos!$G:$G,Eventos!$F:$F,$L584,Eventos!$D:$D,$C$2,Eventos!$B:$B,PANES_SEMANALES[[#ALL],[JUEVES]])</f>
        <v>0</v>
      </c>
      <c r="Q584" s="59">
        <f>IF(P584&lt;&gt;"",SUMIFS(Eventos!$G:$G,Eventos!$B:$B,Q$2,Eventos!$D:$D,$C$2,Eventos!$F:$F,$L584),"")</f>
        <v>0</v>
      </c>
      <c r="R584" s="59">
        <f>SUMIFS(Eventos!$G:$G,Eventos!$F:$F,$L584,Eventos!$D:$D,$C$2,Eventos!$B:$B,PANES_SEMANALES[[#ALL],[SÁBADO]])</f>
        <v>0</v>
      </c>
      <c r="S584" s="59">
        <f>SUMIFS(Eventos!$G:$G,Eventos!$F:$F,$L584,Eventos!$D:$D,$C$2,Eventos!$B:$B,PANES_SEMANALES[[#ALL],[DOMINGO]])</f>
        <v>0</v>
      </c>
      <c r="T584" s="59">
        <f t="shared" si="1"/>
        <v>0</v>
      </c>
    </row>
    <row r="585" ht="22.5" customHeight="1">
      <c r="M585" s="59">
        <f>SUMIFS(Eventos!$G:$G,Eventos!$F:$F,$L585,Eventos!$D:$D,$C$2,Eventos!$B:$B,PANES_SEMANALES[[#ALL],[LUNES]])</f>
        <v>0</v>
      </c>
      <c r="N585" s="59">
        <f>SUMIFS(Eventos!$G:$G,Eventos!$F:$F,$L585,Eventos!$D:$D,$C$2,Eventos!$B:$B,PANES_SEMANALES[[#ALL],[MARTES]])</f>
        <v>0</v>
      </c>
      <c r="O585" s="59">
        <f>SUMIFS(Eventos!$G:$G,Eventos!$F:$F,$L585,Eventos!$D:$D,$C$2,Eventos!$B:$B,PANES_SEMANALES[[#ALL],[MIÉRCOLES]])</f>
        <v>0</v>
      </c>
      <c r="P585" s="59">
        <f>SUMIFS(Eventos!$G:$G,Eventos!$F:$F,$L585,Eventos!$D:$D,$C$2,Eventos!$B:$B,PANES_SEMANALES[[#ALL],[JUEVES]])</f>
        <v>0</v>
      </c>
      <c r="Q585" s="59">
        <f>IF(P585&lt;&gt;"",SUMIFS(Eventos!$G:$G,Eventos!$B:$B,Q$2,Eventos!$D:$D,$C$2,Eventos!$F:$F,$L585),"")</f>
        <v>0</v>
      </c>
      <c r="R585" s="59">
        <f>SUMIFS(Eventos!$G:$G,Eventos!$F:$F,$L585,Eventos!$D:$D,$C$2,Eventos!$B:$B,PANES_SEMANALES[[#ALL],[SÁBADO]])</f>
        <v>0</v>
      </c>
      <c r="S585" s="59">
        <f>SUMIFS(Eventos!$G:$G,Eventos!$F:$F,$L585,Eventos!$D:$D,$C$2,Eventos!$B:$B,PANES_SEMANALES[[#ALL],[DOMINGO]])</f>
        <v>0</v>
      </c>
      <c r="T585" s="59">
        <f t="shared" si="1"/>
        <v>0</v>
      </c>
    </row>
    <row r="586" ht="22.5" customHeight="1">
      <c r="M586" s="59">
        <f>SUMIFS(Eventos!$G:$G,Eventos!$F:$F,$L586,Eventos!$D:$D,$C$2,Eventos!$B:$B,PANES_SEMANALES[[#ALL],[LUNES]])</f>
        <v>0</v>
      </c>
      <c r="N586" s="59">
        <f>SUMIFS(Eventos!$G:$G,Eventos!$F:$F,$L586,Eventos!$D:$D,$C$2,Eventos!$B:$B,PANES_SEMANALES[[#ALL],[MARTES]])</f>
        <v>0</v>
      </c>
      <c r="O586" s="59">
        <f>SUMIFS(Eventos!$G:$G,Eventos!$F:$F,$L586,Eventos!$D:$D,$C$2,Eventos!$B:$B,PANES_SEMANALES[[#ALL],[MIÉRCOLES]])</f>
        <v>0</v>
      </c>
      <c r="P586" s="59">
        <f>SUMIFS(Eventos!$G:$G,Eventos!$F:$F,$L586,Eventos!$D:$D,$C$2,Eventos!$B:$B,PANES_SEMANALES[[#ALL],[JUEVES]])</f>
        <v>0</v>
      </c>
      <c r="Q586" s="59">
        <f>IF(P586&lt;&gt;"",SUMIFS(Eventos!$G:$G,Eventos!$B:$B,Q$2,Eventos!$D:$D,$C$2,Eventos!$F:$F,$L586),"")</f>
        <v>0</v>
      </c>
      <c r="R586" s="59">
        <f>SUMIFS(Eventos!$G:$G,Eventos!$F:$F,$L586,Eventos!$D:$D,$C$2,Eventos!$B:$B,PANES_SEMANALES[[#ALL],[SÁBADO]])</f>
        <v>0</v>
      </c>
      <c r="S586" s="59">
        <f>SUMIFS(Eventos!$G:$G,Eventos!$F:$F,$L586,Eventos!$D:$D,$C$2,Eventos!$B:$B,PANES_SEMANALES[[#ALL],[DOMINGO]])</f>
        <v>0</v>
      </c>
      <c r="T586" s="59">
        <f t="shared" si="1"/>
        <v>0</v>
      </c>
    </row>
    <row r="587" ht="22.5" customHeight="1">
      <c r="M587" s="59">
        <f>SUMIFS(Eventos!$G:$G,Eventos!$F:$F,$L587,Eventos!$D:$D,$C$2,Eventos!$B:$B,PANES_SEMANALES[[#ALL],[LUNES]])</f>
        <v>0</v>
      </c>
      <c r="N587" s="59">
        <f>SUMIFS(Eventos!$G:$G,Eventos!$F:$F,$L587,Eventos!$D:$D,$C$2,Eventos!$B:$B,PANES_SEMANALES[[#ALL],[MARTES]])</f>
        <v>0</v>
      </c>
      <c r="O587" s="59">
        <f>SUMIFS(Eventos!$G:$G,Eventos!$F:$F,$L587,Eventos!$D:$D,$C$2,Eventos!$B:$B,PANES_SEMANALES[[#ALL],[MIÉRCOLES]])</f>
        <v>0</v>
      </c>
      <c r="P587" s="59">
        <f>SUMIFS(Eventos!$G:$G,Eventos!$F:$F,$L587,Eventos!$D:$D,$C$2,Eventos!$B:$B,PANES_SEMANALES[[#ALL],[JUEVES]])</f>
        <v>0</v>
      </c>
      <c r="Q587" s="59">
        <f>IF(P587&lt;&gt;"",SUMIFS(Eventos!$G:$G,Eventos!$B:$B,Q$2,Eventos!$D:$D,$C$2,Eventos!$F:$F,$L587),"")</f>
        <v>0</v>
      </c>
      <c r="R587" s="59">
        <f>SUMIFS(Eventos!$G:$G,Eventos!$F:$F,$L587,Eventos!$D:$D,$C$2,Eventos!$B:$B,PANES_SEMANALES[[#ALL],[SÁBADO]])</f>
        <v>0</v>
      </c>
      <c r="S587" s="59">
        <f>SUMIFS(Eventos!$G:$G,Eventos!$F:$F,$L587,Eventos!$D:$D,$C$2,Eventos!$B:$B,PANES_SEMANALES[[#ALL],[DOMINGO]])</f>
        <v>0</v>
      </c>
      <c r="T587" s="59">
        <f t="shared" si="1"/>
        <v>0</v>
      </c>
    </row>
    <row r="588" ht="22.5" customHeight="1">
      <c r="M588" s="59">
        <f>SUMIFS(Eventos!$G:$G,Eventos!$F:$F,$L588,Eventos!$D:$D,$C$2,Eventos!$B:$B,PANES_SEMANALES[[#ALL],[LUNES]])</f>
        <v>0</v>
      </c>
      <c r="N588" s="59">
        <f>SUMIFS(Eventos!$G:$G,Eventos!$F:$F,$L588,Eventos!$D:$D,$C$2,Eventos!$B:$B,PANES_SEMANALES[[#ALL],[MARTES]])</f>
        <v>0</v>
      </c>
      <c r="O588" s="59">
        <f>SUMIFS(Eventos!$G:$G,Eventos!$F:$F,$L588,Eventos!$D:$D,$C$2,Eventos!$B:$B,PANES_SEMANALES[[#ALL],[MIÉRCOLES]])</f>
        <v>0</v>
      </c>
      <c r="P588" s="59">
        <f>SUMIFS(Eventos!$G:$G,Eventos!$F:$F,$L588,Eventos!$D:$D,$C$2,Eventos!$B:$B,PANES_SEMANALES[[#ALL],[JUEVES]])</f>
        <v>0</v>
      </c>
      <c r="Q588" s="59">
        <f>IF(P588&lt;&gt;"",SUMIFS(Eventos!$G:$G,Eventos!$B:$B,Q$2,Eventos!$D:$D,$C$2,Eventos!$F:$F,$L588),"")</f>
        <v>0</v>
      </c>
      <c r="R588" s="59">
        <f>SUMIFS(Eventos!$G:$G,Eventos!$F:$F,$L588,Eventos!$D:$D,$C$2,Eventos!$B:$B,PANES_SEMANALES[[#ALL],[SÁBADO]])</f>
        <v>0</v>
      </c>
      <c r="S588" s="59">
        <f>SUMIFS(Eventos!$G:$G,Eventos!$F:$F,$L588,Eventos!$D:$D,$C$2,Eventos!$B:$B,PANES_SEMANALES[[#ALL],[DOMINGO]])</f>
        <v>0</v>
      </c>
      <c r="T588" s="59">
        <f t="shared" si="1"/>
        <v>0</v>
      </c>
    </row>
    <row r="589" ht="22.5" customHeight="1">
      <c r="M589" s="59">
        <f>SUMIFS(Eventos!$G:$G,Eventos!$F:$F,$L589,Eventos!$D:$D,$C$2,Eventos!$B:$B,PANES_SEMANALES[[#ALL],[LUNES]])</f>
        <v>0</v>
      </c>
      <c r="N589" s="59">
        <f>SUMIFS(Eventos!$G:$G,Eventos!$F:$F,$L589,Eventos!$D:$D,$C$2,Eventos!$B:$B,PANES_SEMANALES[[#ALL],[MARTES]])</f>
        <v>0</v>
      </c>
      <c r="O589" s="59">
        <f>SUMIFS(Eventos!$G:$G,Eventos!$F:$F,$L589,Eventos!$D:$D,$C$2,Eventos!$B:$B,PANES_SEMANALES[[#ALL],[MIÉRCOLES]])</f>
        <v>0</v>
      </c>
      <c r="P589" s="59">
        <f>SUMIFS(Eventos!$G:$G,Eventos!$F:$F,$L589,Eventos!$D:$D,$C$2,Eventos!$B:$B,PANES_SEMANALES[[#ALL],[JUEVES]])</f>
        <v>0</v>
      </c>
      <c r="Q589" s="59">
        <f>IF(P589&lt;&gt;"",SUMIFS(Eventos!$G:$G,Eventos!$B:$B,Q$2,Eventos!$D:$D,$C$2,Eventos!$F:$F,$L589),"")</f>
        <v>0</v>
      </c>
      <c r="R589" s="59">
        <f>SUMIFS(Eventos!$G:$G,Eventos!$F:$F,$L589,Eventos!$D:$D,$C$2,Eventos!$B:$B,PANES_SEMANALES[[#ALL],[SÁBADO]])</f>
        <v>0</v>
      </c>
      <c r="S589" s="59">
        <f>SUMIFS(Eventos!$G:$G,Eventos!$F:$F,$L589,Eventos!$D:$D,$C$2,Eventos!$B:$B,PANES_SEMANALES[[#ALL],[DOMINGO]])</f>
        <v>0</v>
      </c>
      <c r="T589" s="59">
        <f t="shared" si="1"/>
        <v>0</v>
      </c>
    </row>
    <row r="590" ht="22.5" customHeight="1">
      <c r="M590" s="59">
        <f>SUMIFS(Eventos!$G:$G,Eventos!$F:$F,$L590,Eventos!$D:$D,$C$2,Eventos!$B:$B,PANES_SEMANALES[[#ALL],[LUNES]])</f>
        <v>0</v>
      </c>
      <c r="N590" s="59">
        <f>SUMIFS(Eventos!$G:$G,Eventos!$F:$F,$L590,Eventos!$D:$D,$C$2,Eventos!$B:$B,PANES_SEMANALES[[#ALL],[MARTES]])</f>
        <v>0</v>
      </c>
      <c r="O590" s="59">
        <f>SUMIFS(Eventos!$G:$G,Eventos!$F:$F,$L590,Eventos!$D:$D,$C$2,Eventos!$B:$B,PANES_SEMANALES[[#ALL],[MIÉRCOLES]])</f>
        <v>0</v>
      </c>
      <c r="P590" s="59">
        <f>SUMIFS(Eventos!$G:$G,Eventos!$F:$F,$L590,Eventos!$D:$D,$C$2,Eventos!$B:$B,PANES_SEMANALES[[#ALL],[JUEVES]])</f>
        <v>0</v>
      </c>
      <c r="Q590" s="59">
        <f>IF(P590&lt;&gt;"",SUMIFS(Eventos!$G:$G,Eventos!$B:$B,Q$2,Eventos!$D:$D,$C$2,Eventos!$F:$F,$L590),"")</f>
        <v>0</v>
      </c>
      <c r="R590" s="59">
        <f>SUMIFS(Eventos!$G:$G,Eventos!$F:$F,$L590,Eventos!$D:$D,$C$2,Eventos!$B:$B,PANES_SEMANALES[[#ALL],[SÁBADO]])</f>
        <v>0</v>
      </c>
      <c r="S590" s="59">
        <f>SUMIFS(Eventos!$G:$G,Eventos!$F:$F,$L590,Eventos!$D:$D,$C$2,Eventos!$B:$B,PANES_SEMANALES[[#ALL],[DOMINGO]])</f>
        <v>0</v>
      </c>
      <c r="T590" s="59">
        <f t="shared" si="1"/>
        <v>0</v>
      </c>
    </row>
    <row r="591" ht="22.5" customHeight="1">
      <c r="M591" s="59">
        <f>SUMIFS(Eventos!$G:$G,Eventos!$F:$F,$L591,Eventos!$D:$D,$C$2,Eventos!$B:$B,PANES_SEMANALES[[#ALL],[LUNES]])</f>
        <v>0</v>
      </c>
      <c r="N591" s="59">
        <f>SUMIFS(Eventos!$G:$G,Eventos!$F:$F,$L591,Eventos!$D:$D,$C$2,Eventos!$B:$B,PANES_SEMANALES[[#ALL],[MARTES]])</f>
        <v>0</v>
      </c>
      <c r="O591" s="59">
        <f>SUMIFS(Eventos!$G:$G,Eventos!$F:$F,$L591,Eventos!$D:$D,$C$2,Eventos!$B:$B,PANES_SEMANALES[[#ALL],[MIÉRCOLES]])</f>
        <v>0</v>
      </c>
      <c r="P591" s="59">
        <f>SUMIFS(Eventos!$G:$G,Eventos!$F:$F,$L591,Eventos!$D:$D,$C$2,Eventos!$B:$B,PANES_SEMANALES[[#ALL],[JUEVES]])</f>
        <v>0</v>
      </c>
      <c r="Q591" s="59">
        <f>IF(P591&lt;&gt;"",SUMIFS(Eventos!$G:$G,Eventos!$B:$B,Q$2,Eventos!$D:$D,$C$2,Eventos!$F:$F,$L591),"")</f>
        <v>0</v>
      </c>
      <c r="R591" s="59">
        <f>SUMIFS(Eventos!$G:$G,Eventos!$F:$F,$L591,Eventos!$D:$D,$C$2,Eventos!$B:$B,PANES_SEMANALES[[#ALL],[SÁBADO]])</f>
        <v>0</v>
      </c>
      <c r="S591" s="59">
        <f>SUMIFS(Eventos!$G:$G,Eventos!$F:$F,$L591,Eventos!$D:$D,$C$2,Eventos!$B:$B,PANES_SEMANALES[[#ALL],[DOMINGO]])</f>
        <v>0</v>
      </c>
      <c r="T591" s="59">
        <f t="shared" si="1"/>
        <v>0</v>
      </c>
    </row>
    <row r="592" ht="22.5" customHeight="1">
      <c r="M592" s="59">
        <f>SUMIFS(Eventos!$G:$G,Eventos!$F:$F,$L592,Eventos!$D:$D,$C$2,Eventos!$B:$B,PANES_SEMANALES[[#ALL],[LUNES]])</f>
        <v>0</v>
      </c>
      <c r="N592" s="59">
        <f>SUMIFS(Eventos!$G:$G,Eventos!$F:$F,$L592,Eventos!$D:$D,$C$2,Eventos!$B:$B,PANES_SEMANALES[[#ALL],[MARTES]])</f>
        <v>0</v>
      </c>
      <c r="O592" s="59">
        <f>SUMIFS(Eventos!$G:$G,Eventos!$F:$F,$L592,Eventos!$D:$D,$C$2,Eventos!$B:$B,PANES_SEMANALES[[#ALL],[MIÉRCOLES]])</f>
        <v>0</v>
      </c>
      <c r="P592" s="59">
        <f>SUMIFS(Eventos!$G:$G,Eventos!$F:$F,$L592,Eventos!$D:$D,$C$2,Eventos!$B:$B,PANES_SEMANALES[[#ALL],[JUEVES]])</f>
        <v>0</v>
      </c>
      <c r="Q592" s="59">
        <f>IF(P592&lt;&gt;"",SUMIFS(Eventos!$G:$G,Eventos!$B:$B,Q$2,Eventos!$D:$D,$C$2,Eventos!$F:$F,$L592),"")</f>
        <v>0</v>
      </c>
      <c r="R592" s="59">
        <f>SUMIFS(Eventos!$G:$G,Eventos!$F:$F,$L592,Eventos!$D:$D,$C$2,Eventos!$B:$B,PANES_SEMANALES[[#ALL],[SÁBADO]])</f>
        <v>0</v>
      </c>
      <c r="S592" s="59">
        <f>SUMIFS(Eventos!$G:$G,Eventos!$F:$F,$L592,Eventos!$D:$D,$C$2,Eventos!$B:$B,PANES_SEMANALES[[#ALL],[DOMINGO]])</f>
        <v>0</v>
      </c>
      <c r="T592" s="59">
        <f t="shared" si="1"/>
        <v>0</v>
      </c>
    </row>
    <row r="593" ht="22.5" customHeight="1">
      <c r="M593" s="59">
        <f>SUMIFS(Eventos!$G:$G,Eventos!$F:$F,$L593,Eventos!$D:$D,$C$2,Eventos!$B:$B,PANES_SEMANALES[[#ALL],[LUNES]])</f>
        <v>0</v>
      </c>
      <c r="N593" s="59">
        <f>SUMIFS(Eventos!$G:$G,Eventos!$F:$F,$L593,Eventos!$D:$D,$C$2,Eventos!$B:$B,PANES_SEMANALES[[#ALL],[MARTES]])</f>
        <v>0</v>
      </c>
      <c r="O593" s="59">
        <f>SUMIFS(Eventos!$G:$G,Eventos!$F:$F,$L593,Eventos!$D:$D,$C$2,Eventos!$B:$B,PANES_SEMANALES[[#ALL],[MIÉRCOLES]])</f>
        <v>0</v>
      </c>
      <c r="P593" s="59">
        <f>SUMIFS(Eventos!$G:$G,Eventos!$F:$F,$L593,Eventos!$D:$D,$C$2,Eventos!$B:$B,PANES_SEMANALES[[#ALL],[JUEVES]])</f>
        <v>0</v>
      </c>
      <c r="Q593" s="59">
        <f>IF(P593&lt;&gt;"",SUMIFS(Eventos!$G:$G,Eventos!$B:$B,Q$2,Eventos!$D:$D,$C$2,Eventos!$F:$F,$L593),"")</f>
        <v>0</v>
      </c>
      <c r="R593" s="59">
        <f>SUMIFS(Eventos!$G:$G,Eventos!$F:$F,$L593,Eventos!$D:$D,$C$2,Eventos!$B:$B,PANES_SEMANALES[[#ALL],[SÁBADO]])</f>
        <v>0</v>
      </c>
      <c r="S593" s="59">
        <f>SUMIFS(Eventos!$G:$G,Eventos!$F:$F,$L593,Eventos!$D:$D,$C$2,Eventos!$B:$B,PANES_SEMANALES[[#ALL],[DOMINGO]])</f>
        <v>0</v>
      </c>
      <c r="T593" s="59">
        <f t="shared" si="1"/>
        <v>0</v>
      </c>
    </row>
    <row r="594" ht="22.5" customHeight="1">
      <c r="M594" s="59">
        <f>SUMIFS(Eventos!$G:$G,Eventos!$F:$F,$L594,Eventos!$D:$D,$C$2,Eventos!$B:$B,PANES_SEMANALES[[#ALL],[LUNES]])</f>
        <v>0</v>
      </c>
      <c r="N594" s="59">
        <f>SUMIFS(Eventos!$G:$G,Eventos!$F:$F,$L594,Eventos!$D:$D,$C$2,Eventos!$B:$B,PANES_SEMANALES[[#ALL],[MARTES]])</f>
        <v>0</v>
      </c>
      <c r="O594" s="59">
        <f>SUMIFS(Eventos!$G:$G,Eventos!$F:$F,$L594,Eventos!$D:$D,$C$2,Eventos!$B:$B,PANES_SEMANALES[[#ALL],[MIÉRCOLES]])</f>
        <v>0</v>
      </c>
      <c r="P594" s="59">
        <f>SUMIFS(Eventos!$G:$G,Eventos!$F:$F,$L594,Eventos!$D:$D,$C$2,Eventos!$B:$B,PANES_SEMANALES[[#ALL],[JUEVES]])</f>
        <v>0</v>
      </c>
      <c r="Q594" s="59">
        <f>IF(P594&lt;&gt;"",SUMIFS(Eventos!$G:$G,Eventos!$B:$B,Q$2,Eventos!$D:$D,$C$2,Eventos!$F:$F,$L594),"")</f>
        <v>0</v>
      </c>
      <c r="R594" s="59">
        <f>SUMIFS(Eventos!$G:$G,Eventos!$F:$F,$L594,Eventos!$D:$D,$C$2,Eventos!$B:$B,PANES_SEMANALES[[#ALL],[SÁBADO]])</f>
        <v>0</v>
      </c>
      <c r="S594" s="59">
        <f>SUMIFS(Eventos!$G:$G,Eventos!$F:$F,$L594,Eventos!$D:$D,$C$2,Eventos!$B:$B,PANES_SEMANALES[[#ALL],[DOMINGO]])</f>
        <v>0</v>
      </c>
      <c r="T594" s="59">
        <f t="shared" si="1"/>
        <v>0</v>
      </c>
    </row>
    <row r="595" ht="22.5" customHeight="1">
      <c r="M595" s="59">
        <f>SUMIFS(Eventos!$G:$G,Eventos!$F:$F,$L595,Eventos!$D:$D,$C$2,Eventos!$B:$B,PANES_SEMANALES[[#ALL],[LUNES]])</f>
        <v>0</v>
      </c>
      <c r="N595" s="59">
        <f>SUMIFS(Eventos!$G:$G,Eventos!$F:$F,$L595,Eventos!$D:$D,$C$2,Eventos!$B:$B,PANES_SEMANALES[[#ALL],[MARTES]])</f>
        <v>0</v>
      </c>
      <c r="O595" s="59">
        <f>SUMIFS(Eventos!$G:$G,Eventos!$F:$F,$L595,Eventos!$D:$D,$C$2,Eventos!$B:$B,PANES_SEMANALES[[#ALL],[MIÉRCOLES]])</f>
        <v>0</v>
      </c>
      <c r="P595" s="59">
        <f>SUMIFS(Eventos!$G:$G,Eventos!$F:$F,$L595,Eventos!$D:$D,$C$2,Eventos!$B:$B,PANES_SEMANALES[[#ALL],[JUEVES]])</f>
        <v>0</v>
      </c>
      <c r="Q595" s="59">
        <f>IF(P595&lt;&gt;"",SUMIFS(Eventos!$G:$G,Eventos!$B:$B,Q$2,Eventos!$D:$D,$C$2,Eventos!$F:$F,$L595),"")</f>
        <v>0</v>
      </c>
      <c r="R595" s="59">
        <f>SUMIFS(Eventos!$G:$G,Eventos!$F:$F,$L595,Eventos!$D:$D,$C$2,Eventos!$B:$B,PANES_SEMANALES[[#ALL],[SÁBADO]])</f>
        <v>0</v>
      </c>
      <c r="S595" s="59">
        <f>SUMIFS(Eventos!$G:$G,Eventos!$F:$F,$L595,Eventos!$D:$D,$C$2,Eventos!$B:$B,PANES_SEMANALES[[#ALL],[DOMINGO]])</f>
        <v>0</v>
      </c>
      <c r="T595" s="59">
        <f t="shared" si="1"/>
        <v>0</v>
      </c>
    </row>
    <row r="596" ht="22.5" customHeight="1">
      <c r="M596" s="59">
        <f>SUMIFS(Eventos!$G:$G,Eventos!$F:$F,$L596,Eventos!$D:$D,$C$2,Eventos!$B:$B,PANES_SEMANALES[[#ALL],[LUNES]])</f>
        <v>0</v>
      </c>
      <c r="N596" s="59">
        <f>SUMIFS(Eventos!$G:$G,Eventos!$F:$F,$L596,Eventos!$D:$D,$C$2,Eventos!$B:$B,PANES_SEMANALES[[#ALL],[MARTES]])</f>
        <v>0</v>
      </c>
      <c r="O596" s="59">
        <f>SUMIFS(Eventos!$G:$G,Eventos!$F:$F,$L596,Eventos!$D:$D,$C$2,Eventos!$B:$B,PANES_SEMANALES[[#ALL],[MIÉRCOLES]])</f>
        <v>0</v>
      </c>
      <c r="P596" s="59">
        <f>SUMIFS(Eventos!$G:$G,Eventos!$F:$F,$L596,Eventos!$D:$D,$C$2,Eventos!$B:$B,PANES_SEMANALES[[#ALL],[JUEVES]])</f>
        <v>0</v>
      </c>
      <c r="Q596" s="59">
        <f>IF(P596&lt;&gt;"",SUMIFS(Eventos!$G:$G,Eventos!$B:$B,Q$2,Eventos!$D:$D,$C$2,Eventos!$F:$F,$L596),"")</f>
        <v>0</v>
      </c>
      <c r="R596" s="59">
        <f>SUMIFS(Eventos!$G:$G,Eventos!$F:$F,$L596,Eventos!$D:$D,$C$2,Eventos!$B:$B,PANES_SEMANALES[[#ALL],[SÁBADO]])</f>
        <v>0</v>
      </c>
      <c r="S596" s="59">
        <f>SUMIFS(Eventos!$G:$G,Eventos!$F:$F,$L596,Eventos!$D:$D,$C$2,Eventos!$B:$B,PANES_SEMANALES[[#ALL],[DOMINGO]])</f>
        <v>0</v>
      </c>
      <c r="T596" s="59">
        <f t="shared" si="1"/>
        <v>0</v>
      </c>
    </row>
    <row r="597" ht="22.5" customHeight="1">
      <c r="M597" s="59">
        <f>SUMIFS(Eventos!$G:$G,Eventos!$F:$F,$L597,Eventos!$D:$D,$C$2,Eventos!$B:$B,PANES_SEMANALES[[#ALL],[LUNES]])</f>
        <v>0</v>
      </c>
      <c r="N597" s="59">
        <f>SUMIFS(Eventos!$G:$G,Eventos!$F:$F,$L597,Eventos!$D:$D,$C$2,Eventos!$B:$B,PANES_SEMANALES[[#ALL],[MARTES]])</f>
        <v>0</v>
      </c>
      <c r="O597" s="59">
        <f>SUMIFS(Eventos!$G:$G,Eventos!$F:$F,$L597,Eventos!$D:$D,$C$2,Eventos!$B:$B,PANES_SEMANALES[[#ALL],[MIÉRCOLES]])</f>
        <v>0</v>
      </c>
      <c r="P597" s="59">
        <f>SUMIFS(Eventos!$G:$G,Eventos!$F:$F,$L597,Eventos!$D:$D,$C$2,Eventos!$B:$B,PANES_SEMANALES[[#ALL],[JUEVES]])</f>
        <v>0</v>
      </c>
      <c r="Q597" s="59">
        <f>IF(P597&lt;&gt;"",SUMIFS(Eventos!$G:$G,Eventos!$B:$B,Q$2,Eventos!$D:$D,$C$2,Eventos!$F:$F,$L597),"")</f>
        <v>0</v>
      </c>
      <c r="R597" s="59">
        <f>SUMIFS(Eventos!$G:$G,Eventos!$F:$F,$L597,Eventos!$D:$D,$C$2,Eventos!$B:$B,PANES_SEMANALES[[#ALL],[SÁBADO]])</f>
        <v>0</v>
      </c>
      <c r="S597" s="59">
        <f>SUMIFS(Eventos!$G:$G,Eventos!$F:$F,$L597,Eventos!$D:$D,$C$2,Eventos!$B:$B,PANES_SEMANALES[[#ALL],[DOMINGO]])</f>
        <v>0</v>
      </c>
      <c r="T597" s="59">
        <f t="shared" si="1"/>
        <v>0</v>
      </c>
    </row>
    <row r="598" ht="22.5" customHeight="1">
      <c r="M598" s="59">
        <f>SUMIFS(Eventos!$G:$G,Eventos!$F:$F,$L598,Eventos!$D:$D,$C$2,Eventos!$B:$B,PANES_SEMANALES[[#ALL],[LUNES]])</f>
        <v>0</v>
      </c>
      <c r="N598" s="59">
        <f>SUMIFS(Eventos!$G:$G,Eventos!$F:$F,$L598,Eventos!$D:$D,$C$2,Eventos!$B:$B,PANES_SEMANALES[[#ALL],[MARTES]])</f>
        <v>0</v>
      </c>
      <c r="O598" s="59">
        <f>SUMIFS(Eventos!$G:$G,Eventos!$F:$F,$L598,Eventos!$D:$D,$C$2,Eventos!$B:$B,PANES_SEMANALES[[#ALL],[MIÉRCOLES]])</f>
        <v>0</v>
      </c>
      <c r="P598" s="59">
        <f>SUMIFS(Eventos!$G:$G,Eventos!$F:$F,$L598,Eventos!$D:$D,$C$2,Eventos!$B:$B,PANES_SEMANALES[[#ALL],[JUEVES]])</f>
        <v>0</v>
      </c>
      <c r="Q598" s="59">
        <f>IF(P598&lt;&gt;"",SUMIFS(Eventos!$G:$G,Eventos!$B:$B,Q$2,Eventos!$D:$D,$C$2,Eventos!$F:$F,$L598),"")</f>
        <v>0</v>
      </c>
      <c r="R598" s="59">
        <f>SUMIFS(Eventos!$G:$G,Eventos!$F:$F,$L598,Eventos!$D:$D,$C$2,Eventos!$B:$B,PANES_SEMANALES[[#ALL],[SÁBADO]])</f>
        <v>0</v>
      </c>
      <c r="S598" s="59">
        <f>SUMIFS(Eventos!$G:$G,Eventos!$F:$F,$L598,Eventos!$D:$D,$C$2,Eventos!$B:$B,PANES_SEMANALES[[#ALL],[DOMINGO]])</f>
        <v>0</v>
      </c>
      <c r="T598" s="59">
        <f t="shared" si="1"/>
        <v>0</v>
      </c>
    </row>
    <row r="599" ht="22.5" customHeight="1">
      <c r="M599" s="59">
        <f>SUMIFS(Eventos!$G:$G,Eventos!$F:$F,$L599,Eventos!$D:$D,$C$2,Eventos!$B:$B,PANES_SEMANALES[[#ALL],[LUNES]])</f>
        <v>0</v>
      </c>
      <c r="N599" s="59">
        <f>SUMIFS(Eventos!$G:$G,Eventos!$F:$F,$L599,Eventos!$D:$D,$C$2,Eventos!$B:$B,PANES_SEMANALES[[#ALL],[MARTES]])</f>
        <v>0</v>
      </c>
      <c r="O599" s="59">
        <f>SUMIFS(Eventos!$G:$G,Eventos!$F:$F,$L599,Eventos!$D:$D,$C$2,Eventos!$B:$B,PANES_SEMANALES[[#ALL],[MIÉRCOLES]])</f>
        <v>0</v>
      </c>
      <c r="P599" s="59">
        <f>SUMIFS(Eventos!$G:$G,Eventos!$F:$F,$L599,Eventos!$D:$D,$C$2,Eventos!$B:$B,PANES_SEMANALES[[#ALL],[JUEVES]])</f>
        <v>0</v>
      </c>
      <c r="Q599" s="59">
        <f>IF(P599&lt;&gt;"",SUMIFS(Eventos!$G:$G,Eventos!$B:$B,Q$2,Eventos!$D:$D,$C$2,Eventos!$F:$F,$L599),"")</f>
        <v>0</v>
      </c>
      <c r="R599" s="59">
        <f>SUMIFS(Eventos!$G:$G,Eventos!$F:$F,$L599,Eventos!$D:$D,$C$2,Eventos!$B:$B,PANES_SEMANALES[[#ALL],[SÁBADO]])</f>
        <v>0</v>
      </c>
      <c r="S599" s="59">
        <f>SUMIFS(Eventos!$G:$G,Eventos!$F:$F,$L599,Eventos!$D:$D,$C$2,Eventos!$B:$B,PANES_SEMANALES[[#ALL],[DOMINGO]])</f>
        <v>0</v>
      </c>
      <c r="T599" s="59">
        <f t="shared" si="1"/>
        <v>0</v>
      </c>
    </row>
    <row r="600" ht="22.5" customHeight="1">
      <c r="M600" s="59">
        <f>SUMIFS(Eventos!$G:$G,Eventos!$F:$F,$L600,Eventos!$D:$D,$C$2,Eventos!$B:$B,PANES_SEMANALES[[#ALL],[LUNES]])</f>
        <v>0</v>
      </c>
      <c r="N600" s="59">
        <f>SUMIFS(Eventos!$G:$G,Eventos!$F:$F,$L600,Eventos!$D:$D,$C$2,Eventos!$B:$B,PANES_SEMANALES[[#ALL],[MARTES]])</f>
        <v>0</v>
      </c>
      <c r="O600" s="59">
        <f>SUMIFS(Eventos!$G:$G,Eventos!$F:$F,$L600,Eventos!$D:$D,$C$2,Eventos!$B:$B,PANES_SEMANALES[[#ALL],[MIÉRCOLES]])</f>
        <v>0</v>
      </c>
      <c r="P600" s="59">
        <f>SUMIFS(Eventos!$G:$G,Eventos!$F:$F,$L600,Eventos!$D:$D,$C$2,Eventos!$B:$B,PANES_SEMANALES[[#ALL],[JUEVES]])</f>
        <v>0</v>
      </c>
      <c r="Q600" s="59">
        <f>IF(P600&lt;&gt;"",SUMIFS(Eventos!$G:$G,Eventos!$B:$B,Q$2,Eventos!$D:$D,$C$2,Eventos!$F:$F,$L600),"")</f>
        <v>0</v>
      </c>
      <c r="R600" s="59">
        <f>SUMIFS(Eventos!$G:$G,Eventos!$F:$F,$L600,Eventos!$D:$D,$C$2,Eventos!$B:$B,PANES_SEMANALES[[#ALL],[SÁBADO]])</f>
        <v>0</v>
      </c>
      <c r="S600" s="59">
        <f>SUMIFS(Eventos!$G:$G,Eventos!$F:$F,$L600,Eventos!$D:$D,$C$2,Eventos!$B:$B,PANES_SEMANALES[[#ALL],[DOMINGO]])</f>
        <v>0</v>
      </c>
      <c r="T600" s="59">
        <f t="shared" si="1"/>
        <v>0</v>
      </c>
    </row>
    <row r="601" ht="22.5" customHeight="1">
      <c r="M601" s="59">
        <f>SUMIFS(Eventos!$G:$G,Eventos!$F:$F,$L601,Eventos!$D:$D,$C$2,Eventos!$B:$B,PANES_SEMANALES[[#ALL],[LUNES]])</f>
        <v>0</v>
      </c>
      <c r="N601" s="59">
        <f>SUMIFS(Eventos!$G:$G,Eventos!$F:$F,$L601,Eventos!$D:$D,$C$2,Eventos!$B:$B,PANES_SEMANALES[[#ALL],[MARTES]])</f>
        <v>0</v>
      </c>
      <c r="O601" s="59">
        <f>SUMIFS(Eventos!$G:$G,Eventos!$F:$F,$L601,Eventos!$D:$D,$C$2,Eventos!$B:$B,PANES_SEMANALES[[#ALL],[MIÉRCOLES]])</f>
        <v>0</v>
      </c>
      <c r="P601" s="59">
        <f>SUMIFS(Eventos!$G:$G,Eventos!$F:$F,$L601,Eventos!$D:$D,$C$2,Eventos!$B:$B,PANES_SEMANALES[[#ALL],[JUEVES]])</f>
        <v>0</v>
      </c>
      <c r="Q601" s="59">
        <f>IF(P601&lt;&gt;"",SUMIFS(Eventos!$G:$G,Eventos!$B:$B,Q$2,Eventos!$D:$D,$C$2,Eventos!$F:$F,$L601),"")</f>
        <v>0</v>
      </c>
      <c r="R601" s="59">
        <f>SUMIFS(Eventos!$G:$G,Eventos!$F:$F,$L601,Eventos!$D:$D,$C$2,Eventos!$B:$B,PANES_SEMANALES[[#ALL],[SÁBADO]])</f>
        <v>0</v>
      </c>
      <c r="S601" s="59">
        <f>SUMIFS(Eventos!$G:$G,Eventos!$F:$F,$L601,Eventos!$D:$D,$C$2,Eventos!$B:$B,PANES_SEMANALES[[#ALL],[DOMINGO]])</f>
        <v>0</v>
      </c>
      <c r="T601" s="59">
        <f t="shared" si="1"/>
        <v>0</v>
      </c>
    </row>
    <row r="602" ht="22.5" customHeight="1">
      <c r="M602" s="59">
        <f>SUMIFS(Eventos!$G:$G,Eventos!$F:$F,$L602,Eventos!$D:$D,$C$2,Eventos!$B:$B,PANES_SEMANALES[[#ALL],[LUNES]])</f>
        <v>0</v>
      </c>
      <c r="N602" s="59">
        <f>SUMIFS(Eventos!$G:$G,Eventos!$F:$F,$L602,Eventos!$D:$D,$C$2,Eventos!$B:$B,PANES_SEMANALES[[#ALL],[MARTES]])</f>
        <v>0</v>
      </c>
      <c r="O602" s="59">
        <f>SUMIFS(Eventos!$G:$G,Eventos!$F:$F,$L602,Eventos!$D:$D,$C$2,Eventos!$B:$B,PANES_SEMANALES[[#ALL],[MIÉRCOLES]])</f>
        <v>0</v>
      </c>
      <c r="P602" s="59">
        <f>SUMIFS(Eventos!$G:$G,Eventos!$F:$F,$L602,Eventos!$D:$D,$C$2,Eventos!$B:$B,PANES_SEMANALES[[#ALL],[JUEVES]])</f>
        <v>0</v>
      </c>
      <c r="Q602" s="59">
        <f>IF(P602&lt;&gt;"",SUMIFS(Eventos!$G:$G,Eventos!$B:$B,Q$2,Eventos!$D:$D,$C$2,Eventos!$F:$F,$L602),"")</f>
        <v>0</v>
      </c>
      <c r="R602" s="59">
        <f>SUMIFS(Eventos!$G:$G,Eventos!$F:$F,$L602,Eventos!$D:$D,$C$2,Eventos!$B:$B,PANES_SEMANALES[[#ALL],[SÁBADO]])</f>
        <v>0</v>
      </c>
      <c r="S602" s="59">
        <f>SUMIFS(Eventos!$G:$G,Eventos!$F:$F,$L602,Eventos!$D:$D,$C$2,Eventos!$B:$B,PANES_SEMANALES[[#ALL],[DOMINGO]])</f>
        <v>0</v>
      </c>
      <c r="T602" s="59">
        <f t="shared" si="1"/>
        <v>0</v>
      </c>
    </row>
    <row r="603" ht="22.5" customHeight="1">
      <c r="M603" s="59">
        <f>SUMIFS(Eventos!$G:$G,Eventos!$F:$F,$L603,Eventos!$D:$D,$C$2,Eventos!$B:$B,PANES_SEMANALES[[#ALL],[LUNES]])</f>
        <v>0</v>
      </c>
      <c r="N603" s="59">
        <f>SUMIFS(Eventos!$G:$G,Eventos!$F:$F,$L603,Eventos!$D:$D,$C$2,Eventos!$B:$B,PANES_SEMANALES[[#ALL],[MARTES]])</f>
        <v>0</v>
      </c>
      <c r="O603" s="59">
        <f>SUMIFS(Eventos!$G:$G,Eventos!$F:$F,$L603,Eventos!$D:$D,$C$2,Eventos!$B:$B,PANES_SEMANALES[[#ALL],[MIÉRCOLES]])</f>
        <v>0</v>
      </c>
      <c r="P603" s="59">
        <f>SUMIFS(Eventos!$G:$G,Eventos!$F:$F,$L603,Eventos!$D:$D,$C$2,Eventos!$B:$B,PANES_SEMANALES[[#ALL],[JUEVES]])</f>
        <v>0</v>
      </c>
      <c r="Q603" s="59">
        <f>IF(P603&lt;&gt;"",SUMIFS(Eventos!$G:$G,Eventos!$B:$B,Q$2,Eventos!$D:$D,$C$2,Eventos!$F:$F,$L603),"")</f>
        <v>0</v>
      </c>
      <c r="R603" s="59">
        <f>SUMIFS(Eventos!$G:$G,Eventos!$F:$F,$L603,Eventos!$D:$D,$C$2,Eventos!$B:$B,PANES_SEMANALES[[#ALL],[SÁBADO]])</f>
        <v>0</v>
      </c>
      <c r="S603" s="59">
        <f>SUMIFS(Eventos!$G:$G,Eventos!$F:$F,$L603,Eventos!$D:$D,$C$2,Eventos!$B:$B,PANES_SEMANALES[[#ALL],[DOMINGO]])</f>
        <v>0</v>
      </c>
      <c r="T603" s="59">
        <f t="shared" si="1"/>
        <v>0</v>
      </c>
    </row>
    <row r="604" ht="22.5" customHeight="1">
      <c r="M604" s="59">
        <f>SUMIFS(Eventos!$G:$G,Eventos!$F:$F,$L604,Eventos!$D:$D,$C$2,Eventos!$B:$B,PANES_SEMANALES[[#ALL],[LUNES]])</f>
        <v>0</v>
      </c>
      <c r="N604" s="59">
        <f>SUMIFS(Eventos!$G:$G,Eventos!$F:$F,$L604,Eventos!$D:$D,$C$2,Eventos!$B:$B,PANES_SEMANALES[[#ALL],[MARTES]])</f>
        <v>0</v>
      </c>
      <c r="O604" s="59">
        <f>SUMIFS(Eventos!$G:$G,Eventos!$F:$F,$L604,Eventos!$D:$D,$C$2,Eventos!$B:$B,PANES_SEMANALES[[#ALL],[MIÉRCOLES]])</f>
        <v>0</v>
      </c>
      <c r="P604" s="59">
        <f>SUMIFS(Eventos!$G:$G,Eventos!$F:$F,$L604,Eventos!$D:$D,$C$2,Eventos!$B:$B,PANES_SEMANALES[[#ALL],[JUEVES]])</f>
        <v>0</v>
      </c>
      <c r="Q604" s="59">
        <f>IF(P604&lt;&gt;"",SUMIFS(Eventos!$G:$G,Eventos!$B:$B,Q$2,Eventos!$D:$D,$C$2,Eventos!$F:$F,$L604),"")</f>
        <v>0</v>
      </c>
      <c r="R604" s="59">
        <f>SUMIFS(Eventos!$G:$G,Eventos!$F:$F,$L604,Eventos!$D:$D,$C$2,Eventos!$B:$B,PANES_SEMANALES[[#ALL],[SÁBADO]])</f>
        <v>0</v>
      </c>
      <c r="S604" s="59">
        <f>SUMIFS(Eventos!$G:$G,Eventos!$F:$F,$L604,Eventos!$D:$D,$C$2,Eventos!$B:$B,PANES_SEMANALES[[#ALL],[DOMINGO]])</f>
        <v>0</v>
      </c>
      <c r="T604" s="59">
        <f t="shared" si="1"/>
        <v>0</v>
      </c>
    </row>
    <row r="605" ht="22.5" customHeight="1">
      <c r="M605" s="59">
        <f>SUMIFS(Eventos!$G:$G,Eventos!$F:$F,$L605,Eventos!$D:$D,$C$2,Eventos!$B:$B,PANES_SEMANALES[[#ALL],[LUNES]])</f>
        <v>0</v>
      </c>
      <c r="N605" s="59">
        <f>SUMIFS(Eventos!$G:$G,Eventos!$F:$F,$L605,Eventos!$D:$D,$C$2,Eventos!$B:$B,PANES_SEMANALES[[#ALL],[MARTES]])</f>
        <v>0</v>
      </c>
      <c r="O605" s="59">
        <f>SUMIFS(Eventos!$G:$G,Eventos!$F:$F,$L605,Eventos!$D:$D,$C$2,Eventos!$B:$B,PANES_SEMANALES[[#ALL],[MIÉRCOLES]])</f>
        <v>0</v>
      </c>
      <c r="P605" s="59">
        <f>SUMIFS(Eventos!$G:$G,Eventos!$F:$F,$L605,Eventos!$D:$D,$C$2,Eventos!$B:$B,PANES_SEMANALES[[#ALL],[JUEVES]])</f>
        <v>0</v>
      </c>
      <c r="Q605" s="59">
        <f>IF(P605&lt;&gt;"",SUMIFS(Eventos!$G:$G,Eventos!$B:$B,Q$2,Eventos!$D:$D,$C$2,Eventos!$F:$F,$L605),"")</f>
        <v>0</v>
      </c>
      <c r="R605" s="59">
        <f>SUMIFS(Eventos!$G:$G,Eventos!$F:$F,$L605,Eventos!$D:$D,$C$2,Eventos!$B:$B,PANES_SEMANALES[[#ALL],[SÁBADO]])</f>
        <v>0</v>
      </c>
      <c r="S605" s="59">
        <f>SUMIFS(Eventos!$G:$G,Eventos!$F:$F,$L605,Eventos!$D:$D,$C$2,Eventos!$B:$B,PANES_SEMANALES[[#ALL],[DOMINGO]])</f>
        <v>0</v>
      </c>
      <c r="T605" s="59">
        <f t="shared" si="1"/>
        <v>0</v>
      </c>
    </row>
    <row r="606" ht="22.5" customHeight="1">
      <c r="M606" s="59">
        <f>SUMIFS(Eventos!$G:$G,Eventos!$F:$F,$L606,Eventos!$D:$D,$C$2,Eventos!$B:$B,PANES_SEMANALES[[#ALL],[LUNES]])</f>
        <v>0</v>
      </c>
      <c r="N606" s="59">
        <f>SUMIFS(Eventos!$G:$G,Eventos!$F:$F,$L606,Eventos!$D:$D,$C$2,Eventos!$B:$B,PANES_SEMANALES[[#ALL],[MARTES]])</f>
        <v>0</v>
      </c>
      <c r="O606" s="59">
        <f>SUMIFS(Eventos!$G:$G,Eventos!$F:$F,$L606,Eventos!$D:$D,$C$2,Eventos!$B:$B,PANES_SEMANALES[[#ALL],[MIÉRCOLES]])</f>
        <v>0</v>
      </c>
      <c r="P606" s="59">
        <f>SUMIFS(Eventos!$G:$G,Eventos!$F:$F,$L606,Eventos!$D:$D,$C$2,Eventos!$B:$B,PANES_SEMANALES[[#ALL],[JUEVES]])</f>
        <v>0</v>
      </c>
      <c r="Q606" s="59">
        <f>IF(P606&lt;&gt;"",SUMIFS(Eventos!$G:$G,Eventos!$B:$B,Q$2,Eventos!$D:$D,$C$2,Eventos!$F:$F,$L606),"")</f>
        <v>0</v>
      </c>
      <c r="R606" s="59">
        <f>SUMIFS(Eventos!$G:$G,Eventos!$F:$F,$L606,Eventos!$D:$D,$C$2,Eventos!$B:$B,PANES_SEMANALES[[#ALL],[SÁBADO]])</f>
        <v>0</v>
      </c>
      <c r="S606" s="59">
        <f>SUMIFS(Eventos!$G:$G,Eventos!$F:$F,$L606,Eventos!$D:$D,$C$2,Eventos!$B:$B,PANES_SEMANALES[[#ALL],[DOMINGO]])</f>
        <v>0</v>
      </c>
      <c r="T606" s="59">
        <f t="shared" si="1"/>
        <v>0</v>
      </c>
    </row>
    <row r="607" ht="22.5" customHeight="1">
      <c r="M607" s="59">
        <f>SUMIFS(Eventos!$G:$G,Eventos!$F:$F,$L607,Eventos!$D:$D,$C$2,Eventos!$B:$B,PANES_SEMANALES[[#ALL],[LUNES]])</f>
        <v>0</v>
      </c>
      <c r="N607" s="59">
        <f>SUMIFS(Eventos!$G:$G,Eventos!$F:$F,$L607,Eventos!$D:$D,$C$2,Eventos!$B:$B,PANES_SEMANALES[[#ALL],[MARTES]])</f>
        <v>0</v>
      </c>
      <c r="O607" s="59">
        <f>SUMIFS(Eventos!$G:$G,Eventos!$F:$F,$L607,Eventos!$D:$D,$C$2,Eventos!$B:$B,PANES_SEMANALES[[#ALL],[MIÉRCOLES]])</f>
        <v>0</v>
      </c>
      <c r="P607" s="59">
        <f>SUMIFS(Eventos!$G:$G,Eventos!$F:$F,$L607,Eventos!$D:$D,$C$2,Eventos!$B:$B,PANES_SEMANALES[[#ALL],[JUEVES]])</f>
        <v>0</v>
      </c>
      <c r="Q607" s="59">
        <f>IF(P607&lt;&gt;"",SUMIFS(Eventos!$G:$G,Eventos!$B:$B,Q$2,Eventos!$D:$D,$C$2,Eventos!$F:$F,$L607),"")</f>
        <v>0</v>
      </c>
      <c r="R607" s="59">
        <f>SUMIFS(Eventos!$G:$G,Eventos!$F:$F,$L607,Eventos!$D:$D,$C$2,Eventos!$B:$B,PANES_SEMANALES[[#ALL],[SÁBADO]])</f>
        <v>0</v>
      </c>
      <c r="S607" s="59">
        <f>SUMIFS(Eventos!$G:$G,Eventos!$F:$F,$L607,Eventos!$D:$D,$C$2,Eventos!$B:$B,PANES_SEMANALES[[#ALL],[DOMINGO]])</f>
        <v>0</v>
      </c>
      <c r="T607" s="59">
        <f t="shared" si="1"/>
        <v>0</v>
      </c>
    </row>
    <row r="608" ht="22.5" customHeight="1">
      <c r="M608" s="59">
        <f>SUMIFS(Eventos!$G:$G,Eventos!$F:$F,$L608,Eventos!$D:$D,$C$2,Eventos!$B:$B,PANES_SEMANALES[[#ALL],[LUNES]])</f>
        <v>0</v>
      </c>
      <c r="N608" s="59">
        <f>SUMIFS(Eventos!$G:$G,Eventos!$F:$F,$L608,Eventos!$D:$D,$C$2,Eventos!$B:$B,PANES_SEMANALES[[#ALL],[MARTES]])</f>
        <v>0</v>
      </c>
      <c r="O608" s="59">
        <f>SUMIFS(Eventos!$G:$G,Eventos!$F:$F,$L608,Eventos!$D:$D,$C$2,Eventos!$B:$B,PANES_SEMANALES[[#ALL],[MIÉRCOLES]])</f>
        <v>0</v>
      </c>
      <c r="P608" s="59">
        <f>SUMIFS(Eventos!$G:$G,Eventos!$F:$F,$L608,Eventos!$D:$D,$C$2,Eventos!$B:$B,PANES_SEMANALES[[#ALL],[JUEVES]])</f>
        <v>0</v>
      </c>
      <c r="Q608" s="59">
        <f>IF(P608&lt;&gt;"",SUMIFS(Eventos!$G:$G,Eventos!$B:$B,Q$2,Eventos!$D:$D,$C$2,Eventos!$F:$F,$L608),"")</f>
        <v>0</v>
      </c>
      <c r="R608" s="59">
        <f>SUMIFS(Eventos!$G:$G,Eventos!$F:$F,$L608,Eventos!$D:$D,$C$2,Eventos!$B:$B,PANES_SEMANALES[[#ALL],[SÁBADO]])</f>
        <v>0</v>
      </c>
      <c r="S608" s="59">
        <f>SUMIFS(Eventos!$G:$G,Eventos!$F:$F,$L608,Eventos!$D:$D,$C$2,Eventos!$B:$B,PANES_SEMANALES[[#ALL],[DOMINGO]])</f>
        <v>0</v>
      </c>
      <c r="T608" s="59">
        <f t="shared" si="1"/>
        <v>0</v>
      </c>
    </row>
    <row r="609" ht="22.5" customHeight="1">
      <c r="M609" s="59">
        <f>SUMIFS(Eventos!$G:$G,Eventos!$F:$F,$L609,Eventos!$D:$D,$C$2,Eventos!$B:$B,PANES_SEMANALES[[#ALL],[LUNES]])</f>
        <v>0</v>
      </c>
      <c r="N609" s="59">
        <f>SUMIFS(Eventos!$G:$G,Eventos!$F:$F,$L609,Eventos!$D:$D,$C$2,Eventos!$B:$B,PANES_SEMANALES[[#ALL],[MARTES]])</f>
        <v>0</v>
      </c>
      <c r="O609" s="59">
        <f>SUMIFS(Eventos!$G:$G,Eventos!$F:$F,$L609,Eventos!$D:$D,$C$2,Eventos!$B:$B,PANES_SEMANALES[[#ALL],[MIÉRCOLES]])</f>
        <v>0</v>
      </c>
      <c r="P609" s="59">
        <f>SUMIFS(Eventos!$G:$G,Eventos!$F:$F,$L609,Eventos!$D:$D,$C$2,Eventos!$B:$B,PANES_SEMANALES[[#ALL],[JUEVES]])</f>
        <v>0</v>
      </c>
      <c r="Q609" s="59">
        <f>IF(P609&lt;&gt;"",SUMIFS(Eventos!$G:$G,Eventos!$B:$B,Q$2,Eventos!$D:$D,$C$2,Eventos!$F:$F,$L609),"")</f>
        <v>0</v>
      </c>
      <c r="R609" s="59">
        <f>SUMIFS(Eventos!$G:$G,Eventos!$F:$F,$L609,Eventos!$D:$D,$C$2,Eventos!$B:$B,PANES_SEMANALES[[#ALL],[SÁBADO]])</f>
        <v>0</v>
      </c>
      <c r="S609" s="59">
        <f>SUMIFS(Eventos!$G:$G,Eventos!$F:$F,$L609,Eventos!$D:$D,$C$2,Eventos!$B:$B,PANES_SEMANALES[[#ALL],[DOMINGO]])</f>
        <v>0</v>
      </c>
      <c r="T609" s="59">
        <f t="shared" si="1"/>
        <v>0</v>
      </c>
    </row>
    <row r="610" ht="22.5" customHeight="1">
      <c r="M610" s="59">
        <f>SUMIFS(Eventos!$G:$G,Eventos!$F:$F,$L610,Eventos!$D:$D,$C$2,Eventos!$B:$B,PANES_SEMANALES[[#ALL],[LUNES]])</f>
        <v>0</v>
      </c>
      <c r="N610" s="59">
        <f>SUMIFS(Eventos!$G:$G,Eventos!$F:$F,$L610,Eventos!$D:$D,$C$2,Eventos!$B:$B,PANES_SEMANALES[[#ALL],[MARTES]])</f>
        <v>0</v>
      </c>
      <c r="O610" s="59">
        <f>SUMIFS(Eventos!$G:$G,Eventos!$F:$F,$L610,Eventos!$D:$D,$C$2,Eventos!$B:$B,PANES_SEMANALES[[#ALL],[MIÉRCOLES]])</f>
        <v>0</v>
      </c>
      <c r="P610" s="59">
        <f>SUMIFS(Eventos!$G:$G,Eventos!$F:$F,$L610,Eventos!$D:$D,$C$2,Eventos!$B:$B,PANES_SEMANALES[[#ALL],[JUEVES]])</f>
        <v>0</v>
      </c>
      <c r="Q610" s="59">
        <f>IF(P610&lt;&gt;"",SUMIFS(Eventos!$G:$G,Eventos!$B:$B,Q$2,Eventos!$D:$D,$C$2,Eventos!$F:$F,$L610),"")</f>
        <v>0</v>
      </c>
      <c r="R610" s="59">
        <f>SUMIFS(Eventos!$G:$G,Eventos!$F:$F,$L610,Eventos!$D:$D,$C$2,Eventos!$B:$B,PANES_SEMANALES[[#ALL],[SÁBADO]])</f>
        <v>0</v>
      </c>
      <c r="S610" s="59">
        <f>SUMIFS(Eventos!$G:$G,Eventos!$F:$F,$L610,Eventos!$D:$D,$C$2,Eventos!$B:$B,PANES_SEMANALES[[#ALL],[DOMINGO]])</f>
        <v>0</v>
      </c>
      <c r="T610" s="59">
        <f t="shared" si="1"/>
        <v>0</v>
      </c>
    </row>
    <row r="611" ht="22.5" customHeight="1">
      <c r="M611" s="59">
        <f>SUMIFS(Eventos!$G:$G,Eventos!$F:$F,$L611,Eventos!$D:$D,$C$2,Eventos!$B:$B,PANES_SEMANALES[[#ALL],[LUNES]])</f>
        <v>0</v>
      </c>
      <c r="N611" s="59">
        <f>SUMIFS(Eventos!$G:$G,Eventos!$F:$F,$L611,Eventos!$D:$D,$C$2,Eventos!$B:$B,PANES_SEMANALES[[#ALL],[MARTES]])</f>
        <v>0</v>
      </c>
      <c r="O611" s="59">
        <f>SUMIFS(Eventos!$G:$G,Eventos!$F:$F,$L611,Eventos!$D:$D,$C$2,Eventos!$B:$B,PANES_SEMANALES[[#ALL],[MIÉRCOLES]])</f>
        <v>0</v>
      </c>
      <c r="P611" s="59">
        <f>SUMIFS(Eventos!$G:$G,Eventos!$F:$F,$L611,Eventos!$D:$D,$C$2,Eventos!$B:$B,PANES_SEMANALES[[#ALL],[JUEVES]])</f>
        <v>0</v>
      </c>
      <c r="Q611" s="59">
        <f>IF(P611&lt;&gt;"",SUMIFS(Eventos!$G:$G,Eventos!$B:$B,Q$2,Eventos!$D:$D,$C$2,Eventos!$F:$F,$L611),"")</f>
        <v>0</v>
      </c>
      <c r="R611" s="59">
        <f>SUMIFS(Eventos!$G:$G,Eventos!$F:$F,$L611,Eventos!$D:$D,$C$2,Eventos!$B:$B,PANES_SEMANALES[[#ALL],[SÁBADO]])</f>
        <v>0</v>
      </c>
      <c r="S611" s="59">
        <f>SUMIFS(Eventos!$G:$G,Eventos!$F:$F,$L611,Eventos!$D:$D,$C$2,Eventos!$B:$B,PANES_SEMANALES[[#ALL],[DOMINGO]])</f>
        <v>0</v>
      </c>
      <c r="T611" s="59">
        <f t="shared" si="1"/>
        <v>0</v>
      </c>
    </row>
    <row r="612" ht="22.5" customHeight="1">
      <c r="M612" s="59">
        <f>SUMIFS(Eventos!$G:$G,Eventos!$F:$F,$L612,Eventos!$D:$D,$C$2,Eventos!$B:$B,PANES_SEMANALES[[#ALL],[LUNES]])</f>
        <v>0</v>
      </c>
      <c r="N612" s="59">
        <f>SUMIFS(Eventos!$G:$G,Eventos!$F:$F,$L612,Eventos!$D:$D,$C$2,Eventos!$B:$B,PANES_SEMANALES[[#ALL],[MARTES]])</f>
        <v>0</v>
      </c>
      <c r="O612" s="59">
        <f>SUMIFS(Eventos!$G:$G,Eventos!$F:$F,$L612,Eventos!$D:$D,$C$2,Eventos!$B:$B,PANES_SEMANALES[[#ALL],[MIÉRCOLES]])</f>
        <v>0</v>
      </c>
      <c r="P612" s="59">
        <f>SUMIFS(Eventos!$G:$G,Eventos!$F:$F,$L612,Eventos!$D:$D,$C$2,Eventos!$B:$B,PANES_SEMANALES[[#ALL],[JUEVES]])</f>
        <v>0</v>
      </c>
      <c r="Q612" s="59">
        <f>IF(P612&lt;&gt;"",SUMIFS(Eventos!$G:$G,Eventos!$B:$B,Q$2,Eventos!$D:$D,$C$2,Eventos!$F:$F,$L612),"")</f>
        <v>0</v>
      </c>
      <c r="R612" s="59">
        <f>SUMIFS(Eventos!$G:$G,Eventos!$F:$F,$L612,Eventos!$D:$D,$C$2,Eventos!$B:$B,PANES_SEMANALES[[#ALL],[SÁBADO]])</f>
        <v>0</v>
      </c>
      <c r="S612" s="59">
        <f>SUMIFS(Eventos!$G:$G,Eventos!$F:$F,$L612,Eventos!$D:$D,$C$2,Eventos!$B:$B,PANES_SEMANALES[[#ALL],[DOMINGO]])</f>
        <v>0</v>
      </c>
      <c r="T612" s="59">
        <f t="shared" si="1"/>
        <v>0</v>
      </c>
    </row>
    <row r="613" ht="22.5" customHeight="1">
      <c r="M613" s="59">
        <f>SUMIFS(Eventos!$G:$G,Eventos!$F:$F,$L613,Eventos!$D:$D,$C$2,Eventos!$B:$B,PANES_SEMANALES[[#ALL],[LUNES]])</f>
        <v>0</v>
      </c>
      <c r="N613" s="59">
        <f>SUMIFS(Eventos!$G:$G,Eventos!$F:$F,$L613,Eventos!$D:$D,$C$2,Eventos!$B:$B,PANES_SEMANALES[[#ALL],[MARTES]])</f>
        <v>0</v>
      </c>
      <c r="O613" s="59">
        <f>SUMIFS(Eventos!$G:$G,Eventos!$F:$F,$L613,Eventos!$D:$D,$C$2,Eventos!$B:$B,PANES_SEMANALES[[#ALL],[MIÉRCOLES]])</f>
        <v>0</v>
      </c>
      <c r="P613" s="59">
        <f>SUMIFS(Eventos!$G:$G,Eventos!$F:$F,$L613,Eventos!$D:$D,$C$2,Eventos!$B:$B,PANES_SEMANALES[[#ALL],[JUEVES]])</f>
        <v>0</v>
      </c>
      <c r="Q613" s="59">
        <f>IF(P613&lt;&gt;"",SUMIFS(Eventos!$G:$G,Eventos!$B:$B,Q$2,Eventos!$D:$D,$C$2,Eventos!$F:$F,$L613),"")</f>
        <v>0</v>
      </c>
      <c r="R613" s="59">
        <f>SUMIFS(Eventos!$G:$G,Eventos!$F:$F,$L613,Eventos!$D:$D,$C$2,Eventos!$B:$B,PANES_SEMANALES[[#ALL],[SÁBADO]])</f>
        <v>0</v>
      </c>
      <c r="S613" s="59">
        <f>SUMIFS(Eventos!$G:$G,Eventos!$F:$F,$L613,Eventos!$D:$D,$C$2,Eventos!$B:$B,PANES_SEMANALES[[#ALL],[DOMINGO]])</f>
        <v>0</v>
      </c>
      <c r="T613" s="59">
        <f t="shared" si="1"/>
        <v>0</v>
      </c>
    </row>
    <row r="614" ht="22.5" customHeight="1">
      <c r="M614" s="59">
        <f>SUMIFS(Eventos!$G:$G,Eventos!$F:$F,$L614,Eventos!$D:$D,$C$2,Eventos!$B:$B,PANES_SEMANALES[[#ALL],[LUNES]])</f>
        <v>0</v>
      </c>
      <c r="N614" s="59">
        <f>SUMIFS(Eventos!$G:$G,Eventos!$F:$F,$L614,Eventos!$D:$D,$C$2,Eventos!$B:$B,PANES_SEMANALES[[#ALL],[MARTES]])</f>
        <v>0</v>
      </c>
      <c r="O614" s="59">
        <f>SUMIFS(Eventos!$G:$G,Eventos!$F:$F,$L614,Eventos!$D:$D,$C$2,Eventos!$B:$B,PANES_SEMANALES[[#ALL],[MIÉRCOLES]])</f>
        <v>0</v>
      </c>
      <c r="P614" s="59">
        <f>SUMIFS(Eventos!$G:$G,Eventos!$F:$F,$L614,Eventos!$D:$D,$C$2,Eventos!$B:$B,PANES_SEMANALES[[#ALL],[JUEVES]])</f>
        <v>0</v>
      </c>
      <c r="Q614" s="59">
        <f>IF(P614&lt;&gt;"",SUMIFS(Eventos!$G:$G,Eventos!$B:$B,Q$2,Eventos!$D:$D,$C$2,Eventos!$F:$F,$L614),"")</f>
        <v>0</v>
      </c>
      <c r="R614" s="59">
        <f>SUMIFS(Eventos!$G:$G,Eventos!$F:$F,$L614,Eventos!$D:$D,$C$2,Eventos!$B:$B,PANES_SEMANALES[[#ALL],[SÁBADO]])</f>
        <v>0</v>
      </c>
      <c r="S614" s="59">
        <f>SUMIFS(Eventos!$G:$G,Eventos!$F:$F,$L614,Eventos!$D:$D,$C$2,Eventos!$B:$B,PANES_SEMANALES[[#ALL],[DOMINGO]])</f>
        <v>0</v>
      </c>
      <c r="T614" s="59">
        <f t="shared" si="1"/>
        <v>0</v>
      </c>
    </row>
    <row r="615" ht="22.5" customHeight="1">
      <c r="M615" s="59">
        <f>SUMIFS(Eventos!$G:$G,Eventos!$F:$F,$L615,Eventos!$D:$D,$C$2,Eventos!$B:$B,PANES_SEMANALES[[#ALL],[LUNES]])</f>
        <v>0</v>
      </c>
      <c r="N615" s="59">
        <f>SUMIFS(Eventos!$G:$G,Eventos!$F:$F,$L615,Eventos!$D:$D,$C$2,Eventos!$B:$B,PANES_SEMANALES[[#ALL],[MARTES]])</f>
        <v>0</v>
      </c>
      <c r="O615" s="59">
        <f>SUMIFS(Eventos!$G:$G,Eventos!$F:$F,$L615,Eventos!$D:$D,$C$2,Eventos!$B:$B,PANES_SEMANALES[[#ALL],[MIÉRCOLES]])</f>
        <v>0</v>
      </c>
      <c r="P615" s="59">
        <f>SUMIFS(Eventos!$G:$G,Eventos!$F:$F,$L615,Eventos!$D:$D,$C$2,Eventos!$B:$B,PANES_SEMANALES[[#ALL],[JUEVES]])</f>
        <v>0</v>
      </c>
      <c r="Q615" s="59">
        <f>IF(P615&lt;&gt;"",SUMIFS(Eventos!$G:$G,Eventos!$B:$B,Q$2,Eventos!$D:$D,$C$2,Eventos!$F:$F,$L615),"")</f>
        <v>0</v>
      </c>
      <c r="R615" s="59">
        <f>SUMIFS(Eventos!$G:$G,Eventos!$F:$F,$L615,Eventos!$D:$D,$C$2,Eventos!$B:$B,PANES_SEMANALES[[#ALL],[SÁBADO]])</f>
        <v>0</v>
      </c>
      <c r="S615" s="59">
        <f>SUMIFS(Eventos!$G:$G,Eventos!$F:$F,$L615,Eventos!$D:$D,$C$2,Eventos!$B:$B,PANES_SEMANALES[[#ALL],[DOMINGO]])</f>
        <v>0</v>
      </c>
      <c r="T615" s="59">
        <f t="shared" si="1"/>
        <v>0</v>
      </c>
    </row>
    <row r="616" ht="22.5" customHeight="1">
      <c r="M616" s="59">
        <f>SUMIFS(Eventos!$G:$G,Eventos!$F:$F,$L616,Eventos!$D:$D,$C$2,Eventos!$B:$B,PANES_SEMANALES[[#ALL],[LUNES]])</f>
        <v>0</v>
      </c>
      <c r="N616" s="59">
        <f>SUMIFS(Eventos!$G:$G,Eventos!$F:$F,$L616,Eventos!$D:$D,$C$2,Eventos!$B:$B,PANES_SEMANALES[[#ALL],[MARTES]])</f>
        <v>0</v>
      </c>
      <c r="O616" s="59">
        <f>SUMIFS(Eventos!$G:$G,Eventos!$F:$F,$L616,Eventos!$D:$D,$C$2,Eventos!$B:$B,PANES_SEMANALES[[#ALL],[MIÉRCOLES]])</f>
        <v>0</v>
      </c>
      <c r="P616" s="59">
        <f>SUMIFS(Eventos!$G:$G,Eventos!$F:$F,$L616,Eventos!$D:$D,$C$2,Eventos!$B:$B,PANES_SEMANALES[[#ALL],[JUEVES]])</f>
        <v>0</v>
      </c>
      <c r="Q616" s="59">
        <f>IF(P616&lt;&gt;"",SUMIFS(Eventos!$G:$G,Eventos!$B:$B,Q$2,Eventos!$D:$D,$C$2,Eventos!$F:$F,$L616),"")</f>
        <v>0</v>
      </c>
      <c r="R616" s="59">
        <f>SUMIFS(Eventos!$G:$G,Eventos!$F:$F,$L616,Eventos!$D:$D,$C$2,Eventos!$B:$B,PANES_SEMANALES[[#ALL],[SÁBADO]])</f>
        <v>0</v>
      </c>
      <c r="S616" s="59">
        <f>SUMIFS(Eventos!$G:$G,Eventos!$F:$F,$L616,Eventos!$D:$D,$C$2,Eventos!$B:$B,PANES_SEMANALES[[#ALL],[DOMINGO]])</f>
        <v>0</v>
      </c>
      <c r="T616" s="59">
        <f t="shared" si="1"/>
        <v>0</v>
      </c>
    </row>
    <row r="617" ht="22.5" customHeight="1">
      <c r="M617" s="59">
        <f>SUMIFS(Eventos!$G:$G,Eventos!$F:$F,$L617,Eventos!$D:$D,$C$2,Eventos!$B:$B,PANES_SEMANALES[[#ALL],[LUNES]])</f>
        <v>0</v>
      </c>
      <c r="N617" s="59">
        <f>SUMIFS(Eventos!$G:$G,Eventos!$F:$F,$L617,Eventos!$D:$D,$C$2,Eventos!$B:$B,PANES_SEMANALES[[#ALL],[MARTES]])</f>
        <v>0</v>
      </c>
      <c r="O617" s="59">
        <f>SUMIFS(Eventos!$G:$G,Eventos!$F:$F,$L617,Eventos!$D:$D,$C$2,Eventos!$B:$B,PANES_SEMANALES[[#ALL],[MIÉRCOLES]])</f>
        <v>0</v>
      </c>
      <c r="P617" s="59">
        <f>SUMIFS(Eventos!$G:$G,Eventos!$F:$F,$L617,Eventos!$D:$D,$C$2,Eventos!$B:$B,PANES_SEMANALES[[#ALL],[JUEVES]])</f>
        <v>0</v>
      </c>
      <c r="Q617" s="59">
        <f>IF(P617&lt;&gt;"",SUMIFS(Eventos!$G:$G,Eventos!$B:$B,Q$2,Eventos!$D:$D,$C$2,Eventos!$F:$F,$L617),"")</f>
        <v>0</v>
      </c>
      <c r="R617" s="59">
        <f>SUMIFS(Eventos!$G:$G,Eventos!$F:$F,$L617,Eventos!$D:$D,$C$2,Eventos!$B:$B,PANES_SEMANALES[[#ALL],[SÁBADO]])</f>
        <v>0</v>
      </c>
      <c r="S617" s="59">
        <f>SUMIFS(Eventos!$G:$G,Eventos!$F:$F,$L617,Eventos!$D:$D,$C$2,Eventos!$B:$B,PANES_SEMANALES[[#ALL],[DOMINGO]])</f>
        <v>0</v>
      </c>
      <c r="T617" s="59">
        <f t="shared" si="1"/>
        <v>0</v>
      </c>
    </row>
    <row r="618" ht="22.5" customHeight="1">
      <c r="M618" s="59">
        <f>SUMIFS(Eventos!$G:$G,Eventos!$F:$F,$L618,Eventos!$D:$D,$C$2,Eventos!$B:$B,PANES_SEMANALES[[#ALL],[LUNES]])</f>
        <v>0</v>
      </c>
      <c r="N618" s="59">
        <f>SUMIFS(Eventos!$G:$G,Eventos!$F:$F,$L618,Eventos!$D:$D,$C$2,Eventos!$B:$B,PANES_SEMANALES[[#ALL],[MARTES]])</f>
        <v>0</v>
      </c>
      <c r="O618" s="59">
        <f>SUMIFS(Eventos!$G:$G,Eventos!$F:$F,$L618,Eventos!$D:$D,$C$2,Eventos!$B:$B,PANES_SEMANALES[[#ALL],[MIÉRCOLES]])</f>
        <v>0</v>
      </c>
      <c r="P618" s="59">
        <f>SUMIFS(Eventos!$G:$G,Eventos!$F:$F,$L618,Eventos!$D:$D,$C$2,Eventos!$B:$B,PANES_SEMANALES[[#ALL],[JUEVES]])</f>
        <v>0</v>
      </c>
      <c r="Q618" s="59">
        <f>IF(P618&lt;&gt;"",SUMIFS(Eventos!$G:$G,Eventos!$B:$B,Q$2,Eventos!$D:$D,$C$2,Eventos!$F:$F,$L618),"")</f>
        <v>0</v>
      </c>
      <c r="R618" s="59">
        <f>SUMIFS(Eventos!$G:$G,Eventos!$F:$F,$L618,Eventos!$D:$D,$C$2,Eventos!$B:$B,PANES_SEMANALES[[#ALL],[SÁBADO]])</f>
        <v>0</v>
      </c>
      <c r="S618" s="59">
        <f>SUMIFS(Eventos!$G:$G,Eventos!$F:$F,$L618,Eventos!$D:$D,$C$2,Eventos!$B:$B,PANES_SEMANALES[[#ALL],[DOMINGO]])</f>
        <v>0</v>
      </c>
      <c r="T618" s="59">
        <f t="shared" si="1"/>
        <v>0</v>
      </c>
    </row>
    <row r="619" ht="22.5" customHeight="1">
      <c r="M619" s="59">
        <f>SUMIFS(Eventos!$G:$G,Eventos!$F:$F,$L619,Eventos!$D:$D,$C$2,Eventos!$B:$B,PANES_SEMANALES[[#ALL],[LUNES]])</f>
        <v>0</v>
      </c>
      <c r="N619" s="59">
        <f>SUMIFS(Eventos!$G:$G,Eventos!$F:$F,$L619,Eventos!$D:$D,$C$2,Eventos!$B:$B,PANES_SEMANALES[[#ALL],[MARTES]])</f>
        <v>0</v>
      </c>
      <c r="O619" s="59">
        <f>SUMIFS(Eventos!$G:$G,Eventos!$F:$F,$L619,Eventos!$D:$D,$C$2,Eventos!$B:$B,PANES_SEMANALES[[#ALL],[MIÉRCOLES]])</f>
        <v>0</v>
      </c>
      <c r="P619" s="59">
        <f>SUMIFS(Eventos!$G:$G,Eventos!$F:$F,$L619,Eventos!$D:$D,$C$2,Eventos!$B:$B,PANES_SEMANALES[[#ALL],[JUEVES]])</f>
        <v>0</v>
      </c>
      <c r="Q619" s="59">
        <f>IF(P619&lt;&gt;"",SUMIFS(Eventos!$G:$G,Eventos!$B:$B,Q$2,Eventos!$D:$D,$C$2,Eventos!$F:$F,$L619),"")</f>
        <v>0</v>
      </c>
      <c r="R619" s="59">
        <f>SUMIFS(Eventos!$G:$G,Eventos!$F:$F,$L619,Eventos!$D:$D,$C$2,Eventos!$B:$B,PANES_SEMANALES[[#ALL],[SÁBADO]])</f>
        <v>0</v>
      </c>
      <c r="S619" s="59">
        <f>SUMIFS(Eventos!$G:$G,Eventos!$F:$F,$L619,Eventos!$D:$D,$C$2,Eventos!$B:$B,PANES_SEMANALES[[#ALL],[DOMINGO]])</f>
        <v>0</v>
      </c>
      <c r="T619" s="59">
        <f t="shared" si="1"/>
        <v>0</v>
      </c>
    </row>
    <row r="620" ht="22.5" customHeight="1">
      <c r="M620" s="59">
        <f>SUMIFS(Eventos!$G:$G,Eventos!$F:$F,$L620,Eventos!$D:$D,$C$2,Eventos!$B:$B,PANES_SEMANALES[[#ALL],[LUNES]])</f>
        <v>0</v>
      </c>
      <c r="N620" s="59">
        <f>SUMIFS(Eventos!$G:$G,Eventos!$F:$F,$L620,Eventos!$D:$D,$C$2,Eventos!$B:$B,PANES_SEMANALES[[#ALL],[MARTES]])</f>
        <v>0</v>
      </c>
      <c r="O620" s="59">
        <f>SUMIFS(Eventos!$G:$G,Eventos!$F:$F,$L620,Eventos!$D:$D,$C$2,Eventos!$B:$B,PANES_SEMANALES[[#ALL],[MIÉRCOLES]])</f>
        <v>0</v>
      </c>
      <c r="P620" s="59">
        <f>SUMIFS(Eventos!$G:$G,Eventos!$F:$F,$L620,Eventos!$D:$D,$C$2,Eventos!$B:$B,PANES_SEMANALES[[#ALL],[JUEVES]])</f>
        <v>0</v>
      </c>
      <c r="Q620" s="59">
        <f>IF(P620&lt;&gt;"",SUMIFS(Eventos!$G:$G,Eventos!$B:$B,Q$2,Eventos!$D:$D,$C$2,Eventos!$F:$F,$L620),"")</f>
        <v>0</v>
      </c>
      <c r="R620" s="59">
        <f>SUMIFS(Eventos!$G:$G,Eventos!$F:$F,$L620,Eventos!$D:$D,$C$2,Eventos!$B:$B,PANES_SEMANALES[[#ALL],[SÁBADO]])</f>
        <v>0</v>
      </c>
      <c r="S620" s="59">
        <f>SUMIFS(Eventos!$G:$G,Eventos!$F:$F,$L620,Eventos!$D:$D,$C$2,Eventos!$B:$B,PANES_SEMANALES[[#ALL],[DOMINGO]])</f>
        <v>0</v>
      </c>
      <c r="T620" s="59">
        <f t="shared" si="1"/>
        <v>0</v>
      </c>
    </row>
    <row r="621" ht="22.5" customHeight="1">
      <c r="M621" s="59">
        <f>SUMIFS(Eventos!$G:$G,Eventos!$F:$F,$L621,Eventos!$D:$D,$C$2,Eventos!$B:$B,PANES_SEMANALES[[#ALL],[LUNES]])</f>
        <v>0</v>
      </c>
      <c r="N621" s="59">
        <f>SUMIFS(Eventos!$G:$G,Eventos!$F:$F,$L621,Eventos!$D:$D,$C$2,Eventos!$B:$B,PANES_SEMANALES[[#ALL],[MARTES]])</f>
        <v>0</v>
      </c>
      <c r="O621" s="59">
        <f>SUMIFS(Eventos!$G:$G,Eventos!$F:$F,$L621,Eventos!$D:$D,$C$2,Eventos!$B:$B,PANES_SEMANALES[[#ALL],[MIÉRCOLES]])</f>
        <v>0</v>
      </c>
      <c r="P621" s="59">
        <f>SUMIFS(Eventos!$G:$G,Eventos!$F:$F,$L621,Eventos!$D:$D,$C$2,Eventos!$B:$B,PANES_SEMANALES[[#ALL],[JUEVES]])</f>
        <v>0</v>
      </c>
      <c r="Q621" s="59">
        <f>IF(P621&lt;&gt;"",SUMIFS(Eventos!$G:$G,Eventos!$B:$B,Q$2,Eventos!$D:$D,$C$2,Eventos!$F:$F,$L621),"")</f>
        <v>0</v>
      </c>
      <c r="R621" s="59">
        <f>SUMIFS(Eventos!$G:$G,Eventos!$F:$F,$L621,Eventos!$D:$D,$C$2,Eventos!$B:$B,PANES_SEMANALES[[#ALL],[SÁBADO]])</f>
        <v>0</v>
      </c>
      <c r="S621" s="59">
        <f>SUMIFS(Eventos!$G:$G,Eventos!$F:$F,$L621,Eventos!$D:$D,$C$2,Eventos!$B:$B,PANES_SEMANALES[[#ALL],[DOMINGO]])</f>
        <v>0</v>
      </c>
      <c r="T621" s="59">
        <f t="shared" si="1"/>
        <v>0</v>
      </c>
    </row>
    <row r="622" ht="22.5" customHeight="1">
      <c r="M622" s="59">
        <f>SUMIFS(Eventos!$G:$G,Eventos!$F:$F,$L622,Eventos!$D:$D,$C$2,Eventos!$B:$B,PANES_SEMANALES[[#ALL],[LUNES]])</f>
        <v>0</v>
      </c>
      <c r="N622" s="59">
        <f>SUMIFS(Eventos!$G:$G,Eventos!$F:$F,$L622,Eventos!$D:$D,$C$2,Eventos!$B:$B,PANES_SEMANALES[[#ALL],[MARTES]])</f>
        <v>0</v>
      </c>
      <c r="O622" s="59">
        <f>SUMIFS(Eventos!$G:$G,Eventos!$F:$F,$L622,Eventos!$D:$D,$C$2,Eventos!$B:$B,PANES_SEMANALES[[#ALL],[MIÉRCOLES]])</f>
        <v>0</v>
      </c>
      <c r="P622" s="59">
        <f>SUMIFS(Eventos!$G:$G,Eventos!$F:$F,$L622,Eventos!$D:$D,$C$2,Eventos!$B:$B,PANES_SEMANALES[[#ALL],[JUEVES]])</f>
        <v>0</v>
      </c>
      <c r="Q622" s="59">
        <f>IF(P622&lt;&gt;"",SUMIFS(Eventos!$G:$G,Eventos!$B:$B,Q$2,Eventos!$D:$D,$C$2,Eventos!$F:$F,$L622),"")</f>
        <v>0</v>
      </c>
      <c r="R622" s="59">
        <f>SUMIFS(Eventos!$G:$G,Eventos!$F:$F,$L622,Eventos!$D:$D,$C$2,Eventos!$B:$B,PANES_SEMANALES[[#ALL],[SÁBADO]])</f>
        <v>0</v>
      </c>
      <c r="S622" s="59">
        <f>SUMIFS(Eventos!$G:$G,Eventos!$F:$F,$L622,Eventos!$D:$D,$C$2,Eventos!$B:$B,PANES_SEMANALES[[#ALL],[DOMINGO]])</f>
        <v>0</v>
      </c>
      <c r="T622" s="59">
        <f t="shared" si="1"/>
        <v>0</v>
      </c>
    </row>
    <row r="623" ht="22.5" customHeight="1">
      <c r="M623" s="59">
        <f>SUMIFS(Eventos!$G:$G,Eventos!$F:$F,$L623,Eventos!$D:$D,$C$2,Eventos!$B:$B,PANES_SEMANALES[[#ALL],[LUNES]])</f>
        <v>0</v>
      </c>
      <c r="N623" s="59">
        <f>SUMIFS(Eventos!$G:$G,Eventos!$F:$F,$L623,Eventos!$D:$D,$C$2,Eventos!$B:$B,PANES_SEMANALES[[#ALL],[MARTES]])</f>
        <v>0</v>
      </c>
      <c r="O623" s="59">
        <f>SUMIFS(Eventos!$G:$G,Eventos!$F:$F,$L623,Eventos!$D:$D,$C$2,Eventos!$B:$B,PANES_SEMANALES[[#ALL],[MIÉRCOLES]])</f>
        <v>0</v>
      </c>
      <c r="P623" s="59">
        <f>SUMIFS(Eventos!$G:$G,Eventos!$F:$F,$L623,Eventos!$D:$D,$C$2,Eventos!$B:$B,PANES_SEMANALES[[#ALL],[JUEVES]])</f>
        <v>0</v>
      </c>
      <c r="Q623" s="59">
        <f>IF(P623&lt;&gt;"",SUMIFS(Eventos!$G:$G,Eventos!$B:$B,Q$2,Eventos!$D:$D,$C$2,Eventos!$F:$F,$L623),"")</f>
        <v>0</v>
      </c>
      <c r="R623" s="59">
        <f>SUMIFS(Eventos!$G:$G,Eventos!$F:$F,$L623,Eventos!$D:$D,$C$2,Eventos!$B:$B,PANES_SEMANALES[[#ALL],[SÁBADO]])</f>
        <v>0</v>
      </c>
      <c r="S623" s="59">
        <f>SUMIFS(Eventos!$G:$G,Eventos!$F:$F,$L623,Eventos!$D:$D,$C$2,Eventos!$B:$B,PANES_SEMANALES[[#ALL],[DOMINGO]])</f>
        <v>0</v>
      </c>
      <c r="T623" s="59">
        <f t="shared" si="1"/>
        <v>0</v>
      </c>
    </row>
    <row r="624" ht="22.5" customHeight="1">
      <c r="M624" s="59">
        <f>SUMIFS(Eventos!$G:$G,Eventos!$F:$F,$L624,Eventos!$D:$D,$C$2,Eventos!$B:$B,PANES_SEMANALES[[#ALL],[LUNES]])</f>
        <v>0</v>
      </c>
      <c r="N624" s="59">
        <f>SUMIFS(Eventos!$G:$G,Eventos!$F:$F,$L624,Eventos!$D:$D,$C$2,Eventos!$B:$B,PANES_SEMANALES[[#ALL],[MARTES]])</f>
        <v>0</v>
      </c>
      <c r="O624" s="59">
        <f>SUMIFS(Eventos!$G:$G,Eventos!$F:$F,$L624,Eventos!$D:$D,$C$2,Eventos!$B:$B,PANES_SEMANALES[[#ALL],[MIÉRCOLES]])</f>
        <v>0</v>
      </c>
      <c r="P624" s="59">
        <f>SUMIFS(Eventos!$G:$G,Eventos!$F:$F,$L624,Eventos!$D:$D,$C$2,Eventos!$B:$B,PANES_SEMANALES[[#ALL],[JUEVES]])</f>
        <v>0</v>
      </c>
      <c r="Q624" s="59">
        <f>IF(P624&lt;&gt;"",SUMIFS(Eventos!$G:$G,Eventos!$B:$B,Q$2,Eventos!$D:$D,$C$2,Eventos!$F:$F,$L624),"")</f>
        <v>0</v>
      </c>
      <c r="R624" s="59">
        <f>SUMIFS(Eventos!$G:$G,Eventos!$F:$F,$L624,Eventos!$D:$D,$C$2,Eventos!$B:$B,PANES_SEMANALES[[#ALL],[SÁBADO]])</f>
        <v>0</v>
      </c>
      <c r="S624" s="59">
        <f>SUMIFS(Eventos!$G:$G,Eventos!$F:$F,$L624,Eventos!$D:$D,$C$2,Eventos!$B:$B,PANES_SEMANALES[[#ALL],[DOMINGO]])</f>
        <v>0</v>
      </c>
      <c r="T624" s="59">
        <f t="shared" si="1"/>
        <v>0</v>
      </c>
    </row>
    <row r="625" ht="22.5" customHeight="1">
      <c r="M625" s="59">
        <f>SUMIFS(Eventos!$G:$G,Eventos!$F:$F,$L625,Eventos!$D:$D,$C$2,Eventos!$B:$B,PANES_SEMANALES[[#ALL],[LUNES]])</f>
        <v>0</v>
      </c>
      <c r="N625" s="59">
        <f>SUMIFS(Eventos!$G:$G,Eventos!$F:$F,$L625,Eventos!$D:$D,$C$2,Eventos!$B:$B,PANES_SEMANALES[[#ALL],[MARTES]])</f>
        <v>0</v>
      </c>
      <c r="O625" s="59">
        <f>SUMIFS(Eventos!$G:$G,Eventos!$F:$F,$L625,Eventos!$D:$D,$C$2,Eventos!$B:$B,PANES_SEMANALES[[#ALL],[MIÉRCOLES]])</f>
        <v>0</v>
      </c>
      <c r="P625" s="59">
        <f>SUMIFS(Eventos!$G:$G,Eventos!$F:$F,$L625,Eventos!$D:$D,$C$2,Eventos!$B:$B,PANES_SEMANALES[[#ALL],[JUEVES]])</f>
        <v>0</v>
      </c>
      <c r="Q625" s="59">
        <f>IF(P625&lt;&gt;"",SUMIFS(Eventos!$G:$G,Eventos!$B:$B,Q$2,Eventos!$D:$D,$C$2,Eventos!$F:$F,$L625),"")</f>
        <v>0</v>
      </c>
      <c r="R625" s="59">
        <f>SUMIFS(Eventos!$G:$G,Eventos!$F:$F,$L625,Eventos!$D:$D,$C$2,Eventos!$B:$B,PANES_SEMANALES[[#ALL],[SÁBADO]])</f>
        <v>0</v>
      </c>
      <c r="S625" s="59">
        <f>SUMIFS(Eventos!$G:$G,Eventos!$F:$F,$L625,Eventos!$D:$D,$C$2,Eventos!$B:$B,PANES_SEMANALES[[#ALL],[DOMINGO]])</f>
        <v>0</v>
      </c>
      <c r="T625" s="59">
        <f t="shared" si="1"/>
        <v>0</v>
      </c>
    </row>
    <row r="626" ht="22.5" customHeight="1">
      <c r="M626" s="59">
        <f>SUMIFS(Eventos!$G:$G,Eventos!$F:$F,$L626,Eventos!$D:$D,$C$2,Eventos!$B:$B,PANES_SEMANALES[[#ALL],[LUNES]])</f>
        <v>0</v>
      </c>
      <c r="N626" s="59">
        <f>SUMIFS(Eventos!$G:$G,Eventos!$F:$F,$L626,Eventos!$D:$D,$C$2,Eventos!$B:$B,PANES_SEMANALES[[#ALL],[MARTES]])</f>
        <v>0</v>
      </c>
      <c r="O626" s="59">
        <f>SUMIFS(Eventos!$G:$G,Eventos!$F:$F,$L626,Eventos!$D:$D,$C$2,Eventos!$B:$B,PANES_SEMANALES[[#ALL],[MIÉRCOLES]])</f>
        <v>0</v>
      </c>
      <c r="P626" s="59">
        <f>SUMIFS(Eventos!$G:$G,Eventos!$F:$F,$L626,Eventos!$D:$D,$C$2,Eventos!$B:$B,PANES_SEMANALES[[#ALL],[JUEVES]])</f>
        <v>0</v>
      </c>
      <c r="Q626" s="59">
        <f>IF(P626&lt;&gt;"",SUMIFS(Eventos!$G:$G,Eventos!$B:$B,Q$2,Eventos!$D:$D,$C$2,Eventos!$F:$F,$L626),"")</f>
        <v>0</v>
      </c>
      <c r="R626" s="59">
        <f>SUMIFS(Eventos!$G:$G,Eventos!$F:$F,$L626,Eventos!$D:$D,$C$2,Eventos!$B:$B,PANES_SEMANALES[[#ALL],[SÁBADO]])</f>
        <v>0</v>
      </c>
      <c r="S626" s="59">
        <f>SUMIFS(Eventos!$G:$G,Eventos!$F:$F,$L626,Eventos!$D:$D,$C$2,Eventos!$B:$B,PANES_SEMANALES[[#ALL],[DOMINGO]])</f>
        <v>0</v>
      </c>
      <c r="T626" s="59">
        <f t="shared" si="1"/>
        <v>0</v>
      </c>
    </row>
    <row r="627" ht="22.5" customHeight="1">
      <c r="M627" s="59">
        <f>SUMIFS(Eventos!$G:$G,Eventos!$F:$F,$L627,Eventos!$D:$D,$C$2,Eventos!$B:$B,PANES_SEMANALES[[#ALL],[LUNES]])</f>
        <v>0</v>
      </c>
      <c r="N627" s="59">
        <f>SUMIFS(Eventos!$G:$G,Eventos!$F:$F,$L627,Eventos!$D:$D,$C$2,Eventos!$B:$B,PANES_SEMANALES[[#ALL],[MARTES]])</f>
        <v>0</v>
      </c>
      <c r="O627" s="59">
        <f>SUMIFS(Eventos!$G:$G,Eventos!$F:$F,$L627,Eventos!$D:$D,$C$2,Eventos!$B:$B,PANES_SEMANALES[[#ALL],[MIÉRCOLES]])</f>
        <v>0</v>
      </c>
      <c r="P627" s="59">
        <f>SUMIFS(Eventos!$G:$G,Eventos!$F:$F,$L627,Eventos!$D:$D,$C$2,Eventos!$B:$B,PANES_SEMANALES[[#ALL],[JUEVES]])</f>
        <v>0</v>
      </c>
      <c r="Q627" s="59">
        <f>IF(P627&lt;&gt;"",SUMIFS(Eventos!$G:$G,Eventos!$B:$B,Q$2,Eventos!$D:$D,$C$2,Eventos!$F:$F,$L627),"")</f>
        <v>0</v>
      </c>
      <c r="R627" s="59">
        <f>SUMIFS(Eventos!$G:$G,Eventos!$F:$F,$L627,Eventos!$D:$D,$C$2,Eventos!$B:$B,PANES_SEMANALES[[#ALL],[SÁBADO]])</f>
        <v>0</v>
      </c>
      <c r="S627" s="59">
        <f>SUMIFS(Eventos!$G:$G,Eventos!$F:$F,$L627,Eventos!$D:$D,$C$2,Eventos!$B:$B,PANES_SEMANALES[[#ALL],[DOMINGO]])</f>
        <v>0</v>
      </c>
      <c r="T627" s="59">
        <f t="shared" si="1"/>
        <v>0</v>
      </c>
    </row>
    <row r="628" ht="22.5" customHeight="1">
      <c r="M628" s="59">
        <f>SUMIFS(Eventos!$G:$G,Eventos!$F:$F,$L628,Eventos!$D:$D,$C$2,Eventos!$B:$B,PANES_SEMANALES[[#ALL],[LUNES]])</f>
        <v>0</v>
      </c>
      <c r="N628" s="59">
        <f>SUMIFS(Eventos!$G:$G,Eventos!$F:$F,$L628,Eventos!$D:$D,$C$2,Eventos!$B:$B,PANES_SEMANALES[[#ALL],[MARTES]])</f>
        <v>0</v>
      </c>
      <c r="O628" s="59">
        <f>SUMIFS(Eventos!$G:$G,Eventos!$F:$F,$L628,Eventos!$D:$D,$C$2,Eventos!$B:$B,PANES_SEMANALES[[#ALL],[MIÉRCOLES]])</f>
        <v>0</v>
      </c>
      <c r="P628" s="59">
        <f>SUMIFS(Eventos!$G:$G,Eventos!$F:$F,$L628,Eventos!$D:$D,$C$2,Eventos!$B:$B,PANES_SEMANALES[[#ALL],[JUEVES]])</f>
        <v>0</v>
      </c>
      <c r="Q628" s="59">
        <f>IF(P628&lt;&gt;"",SUMIFS(Eventos!$G:$G,Eventos!$B:$B,Q$2,Eventos!$D:$D,$C$2,Eventos!$F:$F,$L628),"")</f>
        <v>0</v>
      </c>
      <c r="R628" s="59">
        <f>SUMIFS(Eventos!$G:$G,Eventos!$F:$F,$L628,Eventos!$D:$D,$C$2,Eventos!$B:$B,PANES_SEMANALES[[#ALL],[SÁBADO]])</f>
        <v>0</v>
      </c>
      <c r="S628" s="59">
        <f>SUMIFS(Eventos!$G:$G,Eventos!$F:$F,$L628,Eventos!$D:$D,$C$2,Eventos!$B:$B,PANES_SEMANALES[[#ALL],[DOMINGO]])</f>
        <v>0</v>
      </c>
      <c r="T628" s="59">
        <f t="shared" si="1"/>
        <v>0</v>
      </c>
    </row>
    <row r="629" ht="22.5" customHeight="1">
      <c r="M629" s="59">
        <f>SUMIFS(Eventos!$G:$G,Eventos!$F:$F,$L629,Eventos!$D:$D,$C$2,Eventos!$B:$B,PANES_SEMANALES[[#ALL],[LUNES]])</f>
        <v>0</v>
      </c>
      <c r="N629" s="59">
        <f>SUMIFS(Eventos!$G:$G,Eventos!$F:$F,$L629,Eventos!$D:$D,$C$2,Eventos!$B:$B,PANES_SEMANALES[[#ALL],[MARTES]])</f>
        <v>0</v>
      </c>
      <c r="O629" s="59">
        <f>SUMIFS(Eventos!$G:$G,Eventos!$F:$F,$L629,Eventos!$D:$D,$C$2,Eventos!$B:$B,PANES_SEMANALES[[#ALL],[MIÉRCOLES]])</f>
        <v>0</v>
      </c>
      <c r="P629" s="59">
        <f>SUMIFS(Eventos!$G:$G,Eventos!$F:$F,$L629,Eventos!$D:$D,$C$2,Eventos!$B:$B,PANES_SEMANALES[[#ALL],[JUEVES]])</f>
        <v>0</v>
      </c>
      <c r="Q629" s="59">
        <f>IF(P629&lt;&gt;"",SUMIFS(Eventos!$G:$G,Eventos!$B:$B,Q$2,Eventos!$D:$D,$C$2,Eventos!$F:$F,$L629),"")</f>
        <v>0</v>
      </c>
      <c r="R629" s="59">
        <f>SUMIFS(Eventos!$G:$G,Eventos!$F:$F,$L629,Eventos!$D:$D,$C$2,Eventos!$B:$B,PANES_SEMANALES[[#ALL],[SÁBADO]])</f>
        <v>0</v>
      </c>
      <c r="S629" s="59">
        <f>SUMIFS(Eventos!$G:$G,Eventos!$F:$F,$L629,Eventos!$D:$D,$C$2,Eventos!$B:$B,PANES_SEMANALES[[#ALL],[DOMINGO]])</f>
        <v>0</v>
      </c>
      <c r="T629" s="59">
        <f t="shared" si="1"/>
        <v>0</v>
      </c>
    </row>
    <row r="630" ht="22.5" customHeight="1">
      <c r="M630" s="59">
        <f>SUMIFS(Eventos!$G:$G,Eventos!$F:$F,$L630,Eventos!$D:$D,$C$2,Eventos!$B:$B,PANES_SEMANALES[[#ALL],[LUNES]])</f>
        <v>0</v>
      </c>
      <c r="N630" s="59">
        <f>SUMIFS(Eventos!$G:$G,Eventos!$F:$F,$L630,Eventos!$D:$D,$C$2,Eventos!$B:$B,PANES_SEMANALES[[#ALL],[MARTES]])</f>
        <v>0</v>
      </c>
      <c r="O630" s="59">
        <f>SUMIFS(Eventos!$G:$G,Eventos!$F:$F,$L630,Eventos!$D:$D,$C$2,Eventos!$B:$B,PANES_SEMANALES[[#ALL],[MIÉRCOLES]])</f>
        <v>0</v>
      </c>
      <c r="P630" s="59">
        <f>SUMIFS(Eventos!$G:$G,Eventos!$F:$F,$L630,Eventos!$D:$D,$C$2,Eventos!$B:$B,PANES_SEMANALES[[#ALL],[JUEVES]])</f>
        <v>0</v>
      </c>
      <c r="Q630" s="59">
        <f>IF(P630&lt;&gt;"",SUMIFS(Eventos!$G:$G,Eventos!$B:$B,Q$2,Eventos!$D:$D,$C$2,Eventos!$F:$F,$L630),"")</f>
        <v>0</v>
      </c>
      <c r="R630" s="59">
        <f>SUMIFS(Eventos!$G:$G,Eventos!$F:$F,$L630,Eventos!$D:$D,$C$2,Eventos!$B:$B,PANES_SEMANALES[[#ALL],[SÁBADO]])</f>
        <v>0</v>
      </c>
      <c r="S630" s="59">
        <f>SUMIFS(Eventos!$G:$G,Eventos!$F:$F,$L630,Eventos!$D:$D,$C$2,Eventos!$B:$B,PANES_SEMANALES[[#ALL],[DOMINGO]])</f>
        <v>0</v>
      </c>
      <c r="T630" s="59">
        <f t="shared" si="1"/>
        <v>0</v>
      </c>
    </row>
    <row r="631" ht="22.5" customHeight="1">
      <c r="M631" s="59">
        <f>SUMIFS(Eventos!$G:$G,Eventos!$F:$F,$L631,Eventos!$D:$D,$C$2,Eventos!$B:$B,PANES_SEMANALES[[#ALL],[LUNES]])</f>
        <v>0</v>
      </c>
      <c r="N631" s="59">
        <f>SUMIFS(Eventos!$G:$G,Eventos!$F:$F,$L631,Eventos!$D:$D,$C$2,Eventos!$B:$B,PANES_SEMANALES[[#ALL],[MARTES]])</f>
        <v>0</v>
      </c>
      <c r="O631" s="59">
        <f>SUMIFS(Eventos!$G:$G,Eventos!$F:$F,$L631,Eventos!$D:$D,$C$2,Eventos!$B:$B,PANES_SEMANALES[[#ALL],[MIÉRCOLES]])</f>
        <v>0</v>
      </c>
      <c r="P631" s="59">
        <f>SUMIFS(Eventos!$G:$G,Eventos!$F:$F,$L631,Eventos!$D:$D,$C$2,Eventos!$B:$B,PANES_SEMANALES[[#ALL],[JUEVES]])</f>
        <v>0</v>
      </c>
      <c r="Q631" s="59">
        <f>IF(P631&lt;&gt;"",SUMIFS(Eventos!$G:$G,Eventos!$B:$B,Q$2,Eventos!$D:$D,$C$2,Eventos!$F:$F,$L631),"")</f>
        <v>0</v>
      </c>
      <c r="R631" s="59">
        <f>SUMIFS(Eventos!$G:$G,Eventos!$F:$F,$L631,Eventos!$D:$D,$C$2,Eventos!$B:$B,PANES_SEMANALES[[#ALL],[SÁBADO]])</f>
        <v>0</v>
      </c>
      <c r="S631" s="59">
        <f>SUMIFS(Eventos!$G:$G,Eventos!$F:$F,$L631,Eventos!$D:$D,$C$2,Eventos!$B:$B,PANES_SEMANALES[[#ALL],[DOMINGO]])</f>
        <v>0</v>
      </c>
      <c r="T631" s="59">
        <f t="shared" si="1"/>
        <v>0</v>
      </c>
    </row>
    <row r="632" ht="22.5" customHeight="1">
      <c r="M632" s="59">
        <f>SUMIFS(Eventos!$G:$G,Eventos!$F:$F,$L632,Eventos!$D:$D,$C$2,Eventos!$B:$B,PANES_SEMANALES[[#ALL],[LUNES]])</f>
        <v>0</v>
      </c>
      <c r="N632" s="59">
        <f>SUMIFS(Eventos!$G:$G,Eventos!$F:$F,$L632,Eventos!$D:$D,$C$2,Eventos!$B:$B,PANES_SEMANALES[[#ALL],[MARTES]])</f>
        <v>0</v>
      </c>
      <c r="O632" s="59">
        <f>SUMIFS(Eventos!$G:$G,Eventos!$F:$F,$L632,Eventos!$D:$D,$C$2,Eventos!$B:$B,PANES_SEMANALES[[#ALL],[MIÉRCOLES]])</f>
        <v>0</v>
      </c>
      <c r="P632" s="59">
        <f>SUMIFS(Eventos!$G:$G,Eventos!$F:$F,$L632,Eventos!$D:$D,$C$2,Eventos!$B:$B,PANES_SEMANALES[[#ALL],[JUEVES]])</f>
        <v>0</v>
      </c>
      <c r="Q632" s="59">
        <f>IF(P632&lt;&gt;"",SUMIFS(Eventos!$G:$G,Eventos!$B:$B,Q$2,Eventos!$D:$D,$C$2,Eventos!$F:$F,$L632),"")</f>
        <v>0</v>
      </c>
      <c r="R632" s="59">
        <f>SUMIFS(Eventos!$G:$G,Eventos!$F:$F,$L632,Eventos!$D:$D,$C$2,Eventos!$B:$B,PANES_SEMANALES[[#ALL],[SÁBADO]])</f>
        <v>0</v>
      </c>
      <c r="S632" s="59">
        <f>SUMIFS(Eventos!$G:$G,Eventos!$F:$F,$L632,Eventos!$D:$D,$C$2,Eventos!$B:$B,PANES_SEMANALES[[#ALL],[DOMINGO]])</f>
        <v>0</v>
      </c>
      <c r="T632" s="59">
        <f t="shared" si="1"/>
        <v>0</v>
      </c>
    </row>
    <row r="633" ht="22.5" customHeight="1">
      <c r="M633" s="59">
        <f>SUMIFS(Eventos!$G:$G,Eventos!$F:$F,$L633,Eventos!$D:$D,$C$2,Eventos!$B:$B,PANES_SEMANALES[[#ALL],[LUNES]])</f>
        <v>0</v>
      </c>
      <c r="N633" s="59">
        <f>SUMIFS(Eventos!$G:$G,Eventos!$F:$F,$L633,Eventos!$D:$D,$C$2,Eventos!$B:$B,PANES_SEMANALES[[#ALL],[MARTES]])</f>
        <v>0</v>
      </c>
      <c r="O633" s="59">
        <f>SUMIFS(Eventos!$G:$G,Eventos!$F:$F,$L633,Eventos!$D:$D,$C$2,Eventos!$B:$B,PANES_SEMANALES[[#ALL],[MIÉRCOLES]])</f>
        <v>0</v>
      </c>
      <c r="P633" s="59">
        <f>SUMIFS(Eventos!$G:$G,Eventos!$F:$F,$L633,Eventos!$D:$D,$C$2,Eventos!$B:$B,PANES_SEMANALES[[#ALL],[JUEVES]])</f>
        <v>0</v>
      </c>
      <c r="Q633" s="59">
        <f>IF(P633&lt;&gt;"",SUMIFS(Eventos!$G:$G,Eventos!$B:$B,Q$2,Eventos!$D:$D,$C$2,Eventos!$F:$F,$L633),"")</f>
        <v>0</v>
      </c>
      <c r="R633" s="59">
        <f>SUMIFS(Eventos!$G:$G,Eventos!$F:$F,$L633,Eventos!$D:$D,$C$2,Eventos!$B:$B,PANES_SEMANALES[[#ALL],[SÁBADO]])</f>
        <v>0</v>
      </c>
      <c r="S633" s="59">
        <f>SUMIFS(Eventos!$G:$G,Eventos!$F:$F,$L633,Eventos!$D:$D,$C$2,Eventos!$B:$B,PANES_SEMANALES[[#ALL],[DOMINGO]])</f>
        <v>0</v>
      </c>
      <c r="T633" s="59">
        <f t="shared" si="1"/>
        <v>0</v>
      </c>
    </row>
    <row r="634" ht="22.5" customHeight="1">
      <c r="M634" s="59">
        <f>SUMIFS(Eventos!$G:$G,Eventos!$F:$F,$L634,Eventos!$D:$D,$C$2,Eventos!$B:$B,PANES_SEMANALES[[#ALL],[LUNES]])</f>
        <v>0</v>
      </c>
      <c r="N634" s="59">
        <f>SUMIFS(Eventos!$G:$G,Eventos!$F:$F,$L634,Eventos!$D:$D,$C$2,Eventos!$B:$B,PANES_SEMANALES[[#ALL],[MARTES]])</f>
        <v>0</v>
      </c>
      <c r="O634" s="59">
        <f>SUMIFS(Eventos!$G:$G,Eventos!$F:$F,$L634,Eventos!$D:$D,$C$2,Eventos!$B:$B,PANES_SEMANALES[[#ALL],[MIÉRCOLES]])</f>
        <v>0</v>
      </c>
      <c r="P634" s="59">
        <f>SUMIFS(Eventos!$G:$G,Eventos!$F:$F,$L634,Eventos!$D:$D,$C$2,Eventos!$B:$B,PANES_SEMANALES[[#ALL],[JUEVES]])</f>
        <v>0</v>
      </c>
      <c r="Q634" s="59">
        <f>IF(P634&lt;&gt;"",SUMIFS(Eventos!$G:$G,Eventos!$B:$B,Q$2,Eventos!$D:$D,$C$2,Eventos!$F:$F,$L634),"")</f>
        <v>0</v>
      </c>
      <c r="R634" s="59">
        <f>SUMIFS(Eventos!$G:$G,Eventos!$F:$F,$L634,Eventos!$D:$D,$C$2,Eventos!$B:$B,PANES_SEMANALES[[#ALL],[SÁBADO]])</f>
        <v>0</v>
      </c>
      <c r="S634" s="59">
        <f>SUMIFS(Eventos!$G:$G,Eventos!$F:$F,$L634,Eventos!$D:$D,$C$2,Eventos!$B:$B,PANES_SEMANALES[[#ALL],[DOMINGO]])</f>
        <v>0</v>
      </c>
      <c r="T634" s="59">
        <f t="shared" si="1"/>
        <v>0</v>
      </c>
    </row>
    <row r="635" ht="22.5" customHeight="1">
      <c r="M635" s="59">
        <f>SUMIFS(Eventos!$G:$G,Eventos!$F:$F,$L635,Eventos!$D:$D,$C$2,Eventos!$B:$B,PANES_SEMANALES[[#ALL],[LUNES]])</f>
        <v>0</v>
      </c>
      <c r="N635" s="59">
        <f>SUMIFS(Eventos!$G:$G,Eventos!$F:$F,$L635,Eventos!$D:$D,$C$2,Eventos!$B:$B,PANES_SEMANALES[[#ALL],[MARTES]])</f>
        <v>0</v>
      </c>
      <c r="O635" s="59">
        <f>SUMIFS(Eventos!$G:$G,Eventos!$F:$F,$L635,Eventos!$D:$D,$C$2,Eventos!$B:$B,PANES_SEMANALES[[#ALL],[MIÉRCOLES]])</f>
        <v>0</v>
      </c>
      <c r="P635" s="59">
        <f>SUMIFS(Eventos!$G:$G,Eventos!$F:$F,$L635,Eventos!$D:$D,$C$2,Eventos!$B:$B,PANES_SEMANALES[[#ALL],[JUEVES]])</f>
        <v>0</v>
      </c>
      <c r="Q635" s="59">
        <f>IF(P635&lt;&gt;"",SUMIFS(Eventos!$G:$G,Eventos!$B:$B,Q$2,Eventos!$D:$D,$C$2,Eventos!$F:$F,$L635),"")</f>
        <v>0</v>
      </c>
      <c r="R635" s="59">
        <f>SUMIFS(Eventos!$G:$G,Eventos!$F:$F,$L635,Eventos!$D:$D,$C$2,Eventos!$B:$B,PANES_SEMANALES[[#ALL],[SÁBADO]])</f>
        <v>0</v>
      </c>
      <c r="S635" s="59">
        <f>SUMIFS(Eventos!$G:$G,Eventos!$F:$F,$L635,Eventos!$D:$D,$C$2,Eventos!$B:$B,PANES_SEMANALES[[#ALL],[DOMINGO]])</f>
        <v>0</v>
      </c>
      <c r="T635" s="59">
        <f t="shared" si="1"/>
        <v>0</v>
      </c>
    </row>
    <row r="636" ht="22.5" customHeight="1">
      <c r="M636" s="59">
        <f>SUMIFS(Eventos!$G:$G,Eventos!$F:$F,$L636,Eventos!$D:$D,$C$2,Eventos!$B:$B,PANES_SEMANALES[[#ALL],[LUNES]])</f>
        <v>0</v>
      </c>
      <c r="N636" s="59">
        <f>SUMIFS(Eventos!$G:$G,Eventos!$F:$F,$L636,Eventos!$D:$D,$C$2,Eventos!$B:$B,PANES_SEMANALES[[#ALL],[MARTES]])</f>
        <v>0</v>
      </c>
      <c r="O636" s="59">
        <f>SUMIFS(Eventos!$G:$G,Eventos!$F:$F,$L636,Eventos!$D:$D,$C$2,Eventos!$B:$B,PANES_SEMANALES[[#ALL],[MIÉRCOLES]])</f>
        <v>0</v>
      </c>
      <c r="P636" s="59">
        <f>SUMIFS(Eventos!$G:$G,Eventos!$F:$F,$L636,Eventos!$D:$D,$C$2,Eventos!$B:$B,PANES_SEMANALES[[#ALL],[JUEVES]])</f>
        <v>0</v>
      </c>
      <c r="Q636" s="59">
        <f>IF(P636&lt;&gt;"",SUMIFS(Eventos!$G:$G,Eventos!$B:$B,Q$2,Eventos!$D:$D,$C$2,Eventos!$F:$F,$L636),"")</f>
        <v>0</v>
      </c>
      <c r="R636" s="59">
        <f>SUMIFS(Eventos!$G:$G,Eventos!$F:$F,$L636,Eventos!$D:$D,$C$2,Eventos!$B:$B,PANES_SEMANALES[[#ALL],[SÁBADO]])</f>
        <v>0</v>
      </c>
      <c r="S636" s="59">
        <f>SUMIFS(Eventos!$G:$G,Eventos!$F:$F,$L636,Eventos!$D:$D,$C$2,Eventos!$B:$B,PANES_SEMANALES[[#ALL],[DOMINGO]])</f>
        <v>0</v>
      </c>
      <c r="T636" s="59">
        <f t="shared" si="1"/>
        <v>0</v>
      </c>
    </row>
    <row r="637" ht="22.5" customHeight="1">
      <c r="M637" s="59">
        <f>SUMIFS(Eventos!$G:$G,Eventos!$F:$F,$L637,Eventos!$D:$D,$C$2,Eventos!$B:$B,PANES_SEMANALES[[#ALL],[LUNES]])</f>
        <v>0</v>
      </c>
      <c r="N637" s="59">
        <f>SUMIFS(Eventos!$G:$G,Eventos!$F:$F,$L637,Eventos!$D:$D,$C$2,Eventos!$B:$B,PANES_SEMANALES[[#ALL],[MARTES]])</f>
        <v>0</v>
      </c>
      <c r="O637" s="59">
        <f>SUMIFS(Eventos!$G:$G,Eventos!$F:$F,$L637,Eventos!$D:$D,$C$2,Eventos!$B:$B,PANES_SEMANALES[[#ALL],[MIÉRCOLES]])</f>
        <v>0</v>
      </c>
      <c r="P637" s="59">
        <f>SUMIFS(Eventos!$G:$G,Eventos!$F:$F,$L637,Eventos!$D:$D,$C$2,Eventos!$B:$B,PANES_SEMANALES[[#ALL],[JUEVES]])</f>
        <v>0</v>
      </c>
      <c r="Q637" s="59">
        <f>IF(P637&lt;&gt;"",SUMIFS(Eventos!$G:$G,Eventos!$B:$B,Q$2,Eventos!$D:$D,$C$2,Eventos!$F:$F,$L637),"")</f>
        <v>0</v>
      </c>
      <c r="R637" s="59">
        <f>SUMIFS(Eventos!$G:$G,Eventos!$F:$F,$L637,Eventos!$D:$D,$C$2,Eventos!$B:$B,PANES_SEMANALES[[#ALL],[SÁBADO]])</f>
        <v>0</v>
      </c>
      <c r="S637" s="59">
        <f>SUMIFS(Eventos!$G:$G,Eventos!$F:$F,$L637,Eventos!$D:$D,$C$2,Eventos!$B:$B,PANES_SEMANALES[[#ALL],[DOMINGO]])</f>
        <v>0</v>
      </c>
      <c r="T637" s="59">
        <f t="shared" si="1"/>
        <v>0</v>
      </c>
    </row>
    <row r="638" ht="22.5" customHeight="1">
      <c r="M638" s="59">
        <f>SUMIFS(Eventos!$G:$G,Eventos!$F:$F,$L638,Eventos!$D:$D,$C$2,Eventos!$B:$B,PANES_SEMANALES[[#ALL],[LUNES]])</f>
        <v>0</v>
      </c>
      <c r="N638" s="59">
        <f>SUMIFS(Eventos!$G:$G,Eventos!$F:$F,$L638,Eventos!$D:$D,$C$2,Eventos!$B:$B,PANES_SEMANALES[[#ALL],[MARTES]])</f>
        <v>0</v>
      </c>
      <c r="O638" s="59">
        <f>SUMIFS(Eventos!$G:$G,Eventos!$F:$F,$L638,Eventos!$D:$D,$C$2,Eventos!$B:$B,PANES_SEMANALES[[#ALL],[MIÉRCOLES]])</f>
        <v>0</v>
      </c>
      <c r="P638" s="59">
        <f>SUMIFS(Eventos!$G:$G,Eventos!$F:$F,$L638,Eventos!$D:$D,$C$2,Eventos!$B:$B,PANES_SEMANALES[[#ALL],[JUEVES]])</f>
        <v>0</v>
      </c>
      <c r="Q638" s="59">
        <f>IF(P638&lt;&gt;"",SUMIFS(Eventos!$G:$G,Eventos!$B:$B,Q$2,Eventos!$D:$D,$C$2,Eventos!$F:$F,$L638),"")</f>
        <v>0</v>
      </c>
      <c r="R638" s="59">
        <f>SUMIFS(Eventos!$G:$G,Eventos!$F:$F,$L638,Eventos!$D:$D,$C$2,Eventos!$B:$B,PANES_SEMANALES[[#ALL],[SÁBADO]])</f>
        <v>0</v>
      </c>
      <c r="S638" s="59">
        <f>SUMIFS(Eventos!$G:$G,Eventos!$F:$F,$L638,Eventos!$D:$D,$C$2,Eventos!$B:$B,PANES_SEMANALES[[#ALL],[DOMINGO]])</f>
        <v>0</v>
      </c>
      <c r="T638" s="59">
        <f t="shared" si="1"/>
        <v>0</v>
      </c>
    </row>
    <row r="639" ht="22.5" customHeight="1">
      <c r="M639" s="59">
        <f>SUMIFS(Eventos!$G:$G,Eventos!$F:$F,$L639,Eventos!$D:$D,$C$2,Eventos!$B:$B,PANES_SEMANALES[[#ALL],[LUNES]])</f>
        <v>0</v>
      </c>
      <c r="N639" s="59">
        <f>SUMIFS(Eventos!$G:$G,Eventos!$F:$F,$L639,Eventos!$D:$D,$C$2,Eventos!$B:$B,PANES_SEMANALES[[#ALL],[MARTES]])</f>
        <v>0</v>
      </c>
      <c r="O639" s="59">
        <f>SUMIFS(Eventos!$G:$G,Eventos!$F:$F,$L639,Eventos!$D:$D,$C$2,Eventos!$B:$B,PANES_SEMANALES[[#ALL],[MIÉRCOLES]])</f>
        <v>0</v>
      </c>
      <c r="P639" s="59">
        <f>SUMIFS(Eventos!$G:$G,Eventos!$F:$F,$L639,Eventos!$D:$D,$C$2,Eventos!$B:$B,PANES_SEMANALES[[#ALL],[JUEVES]])</f>
        <v>0</v>
      </c>
      <c r="Q639" s="59">
        <f>IF(P639&lt;&gt;"",SUMIFS(Eventos!$G:$G,Eventos!$B:$B,Q$2,Eventos!$D:$D,$C$2,Eventos!$F:$F,$L639),"")</f>
        <v>0</v>
      </c>
      <c r="R639" s="59">
        <f>SUMIFS(Eventos!$G:$G,Eventos!$F:$F,$L639,Eventos!$D:$D,$C$2,Eventos!$B:$B,PANES_SEMANALES[[#ALL],[SÁBADO]])</f>
        <v>0</v>
      </c>
      <c r="S639" s="59">
        <f>SUMIFS(Eventos!$G:$G,Eventos!$F:$F,$L639,Eventos!$D:$D,$C$2,Eventos!$B:$B,PANES_SEMANALES[[#ALL],[DOMINGO]])</f>
        <v>0</v>
      </c>
      <c r="T639" s="59">
        <f t="shared" si="1"/>
        <v>0</v>
      </c>
    </row>
    <row r="640" ht="22.5" customHeight="1">
      <c r="M640" s="59">
        <f>SUMIFS(Eventos!$G:$G,Eventos!$F:$F,$L640,Eventos!$D:$D,$C$2,Eventos!$B:$B,PANES_SEMANALES[[#ALL],[LUNES]])</f>
        <v>0</v>
      </c>
      <c r="N640" s="59">
        <f>SUMIFS(Eventos!$G:$G,Eventos!$F:$F,$L640,Eventos!$D:$D,$C$2,Eventos!$B:$B,PANES_SEMANALES[[#ALL],[MARTES]])</f>
        <v>0</v>
      </c>
      <c r="O640" s="59">
        <f>SUMIFS(Eventos!$G:$G,Eventos!$F:$F,$L640,Eventos!$D:$D,$C$2,Eventos!$B:$B,PANES_SEMANALES[[#ALL],[MIÉRCOLES]])</f>
        <v>0</v>
      </c>
      <c r="P640" s="59">
        <f>SUMIFS(Eventos!$G:$G,Eventos!$F:$F,$L640,Eventos!$D:$D,$C$2,Eventos!$B:$B,PANES_SEMANALES[[#ALL],[JUEVES]])</f>
        <v>0</v>
      </c>
      <c r="Q640" s="59">
        <f>IF(P640&lt;&gt;"",SUMIFS(Eventos!$G:$G,Eventos!$B:$B,Q$2,Eventos!$D:$D,$C$2,Eventos!$F:$F,$L640),"")</f>
        <v>0</v>
      </c>
      <c r="R640" s="59">
        <f>SUMIFS(Eventos!$G:$G,Eventos!$F:$F,$L640,Eventos!$D:$D,$C$2,Eventos!$B:$B,PANES_SEMANALES[[#ALL],[SÁBADO]])</f>
        <v>0</v>
      </c>
      <c r="S640" s="59">
        <f>SUMIFS(Eventos!$G:$G,Eventos!$F:$F,$L640,Eventos!$D:$D,$C$2,Eventos!$B:$B,PANES_SEMANALES[[#ALL],[DOMINGO]])</f>
        <v>0</v>
      </c>
      <c r="T640" s="59">
        <f t="shared" si="1"/>
        <v>0</v>
      </c>
    </row>
    <row r="641" ht="22.5" customHeight="1">
      <c r="M641" s="59">
        <f>SUMIFS(Eventos!$G:$G,Eventos!$F:$F,$L641,Eventos!$D:$D,$C$2,Eventos!$B:$B,PANES_SEMANALES[[#ALL],[LUNES]])</f>
        <v>0</v>
      </c>
      <c r="N641" s="59">
        <f>SUMIFS(Eventos!$G:$G,Eventos!$F:$F,$L641,Eventos!$D:$D,$C$2,Eventos!$B:$B,PANES_SEMANALES[[#ALL],[MARTES]])</f>
        <v>0</v>
      </c>
      <c r="O641" s="59">
        <f>SUMIFS(Eventos!$G:$G,Eventos!$F:$F,$L641,Eventos!$D:$D,$C$2,Eventos!$B:$B,PANES_SEMANALES[[#ALL],[MIÉRCOLES]])</f>
        <v>0</v>
      </c>
      <c r="P641" s="59">
        <f>SUMIFS(Eventos!$G:$G,Eventos!$F:$F,$L641,Eventos!$D:$D,$C$2,Eventos!$B:$B,PANES_SEMANALES[[#ALL],[JUEVES]])</f>
        <v>0</v>
      </c>
      <c r="Q641" s="59">
        <f>IF(P641&lt;&gt;"",SUMIFS(Eventos!$G:$G,Eventos!$B:$B,Q$2,Eventos!$D:$D,$C$2,Eventos!$F:$F,$L641),"")</f>
        <v>0</v>
      </c>
      <c r="R641" s="59">
        <f>SUMIFS(Eventos!$G:$G,Eventos!$F:$F,$L641,Eventos!$D:$D,$C$2,Eventos!$B:$B,PANES_SEMANALES[[#ALL],[SÁBADO]])</f>
        <v>0</v>
      </c>
      <c r="S641" s="59">
        <f>SUMIFS(Eventos!$G:$G,Eventos!$F:$F,$L641,Eventos!$D:$D,$C$2,Eventos!$B:$B,PANES_SEMANALES[[#ALL],[DOMINGO]])</f>
        <v>0</v>
      </c>
      <c r="T641" s="59">
        <f t="shared" si="1"/>
        <v>0</v>
      </c>
    </row>
    <row r="642" ht="22.5" customHeight="1">
      <c r="M642" s="59">
        <f>SUMIFS(Eventos!$G:$G,Eventos!$F:$F,$L642,Eventos!$D:$D,$C$2,Eventos!$B:$B,PANES_SEMANALES[[#ALL],[LUNES]])</f>
        <v>0</v>
      </c>
      <c r="N642" s="59">
        <f>SUMIFS(Eventos!$G:$G,Eventos!$F:$F,$L642,Eventos!$D:$D,$C$2,Eventos!$B:$B,PANES_SEMANALES[[#ALL],[MARTES]])</f>
        <v>0</v>
      </c>
      <c r="O642" s="59">
        <f>SUMIFS(Eventos!$G:$G,Eventos!$F:$F,$L642,Eventos!$D:$D,$C$2,Eventos!$B:$B,PANES_SEMANALES[[#ALL],[MIÉRCOLES]])</f>
        <v>0</v>
      </c>
      <c r="P642" s="59">
        <f>SUMIFS(Eventos!$G:$G,Eventos!$F:$F,$L642,Eventos!$D:$D,$C$2,Eventos!$B:$B,PANES_SEMANALES[[#ALL],[JUEVES]])</f>
        <v>0</v>
      </c>
      <c r="Q642" s="59">
        <f>IF(P642&lt;&gt;"",SUMIFS(Eventos!$G:$G,Eventos!$B:$B,Q$2,Eventos!$D:$D,$C$2,Eventos!$F:$F,$L642),"")</f>
        <v>0</v>
      </c>
      <c r="R642" s="59">
        <f>SUMIFS(Eventos!$G:$G,Eventos!$F:$F,$L642,Eventos!$D:$D,$C$2,Eventos!$B:$B,PANES_SEMANALES[[#ALL],[SÁBADO]])</f>
        <v>0</v>
      </c>
      <c r="S642" s="59">
        <f>SUMIFS(Eventos!$G:$G,Eventos!$F:$F,$L642,Eventos!$D:$D,$C$2,Eventos!$B:$B,PANES_SEMANALES[[#ALL],[DOMINGO]])</f>
        <v>0</v>
      </c>
      <c r="T642" s="59">
        <f t="shared" si="1"/>
        <v>0</v>
      </c>
    </row>
    <row r="643" ht="22.5" customHeight="1">
      <c r="M643" s="59">
        <f>SUMIFS(Eventos!$G:$G,Eventos!$F:$F,$L643,Eventos!$D:$D,$C$2,Eventos!$B:$B,PANES_SEMANALES[[#ALL],[LUNES]])</f>
        <v>0</v>
      </c>
      <c r="N643" s="59">
        <f>SUMIFS(Eventos!$G:$G,Eventos!$F:$F,$L643,Eventos!$D:$D,$C$2,Eventos!$B:$B,PANES_SEMANALES[[#ALL],[MARTES]])</f>
        <v>0</v>
      </c>
      <c r="O643" s="59">
        <f>SUMIFS(Eventos!$G:$G,Eventos!$F:$F,$L643,Eventos!$D:$D,$C$2,Eventos!$B:$B,PANES_SEMANALES[[#ALL],[MIÉRCOLES]])</f>
        <v>0</v>
      </c>
      <c r="P643" s="59">
        <f>SUMIFS(Eventos!$G:$G,Eventos!$F:$F,$L643,Eventos!$D:$D,$C$2,Eventos!$B:$B,PANES_SEMANALES[[#ALL],[JUEVES]])</f>
        <v>0</v>
      </c>
      <c r="Q643" s="59">
        <f>IF(P643&lt;&gt;"",SUMIFS(Eventos!$G:$G,Eventos!$B:$B,Q$2,Eventos!$D:$D,$C$2,Eventos!$F:$F,$L643),"")</f>
        <v>0</v>
      </c>
      <c r="R643" s="59">
        <f>SUMIFS(Eventos!$G:$G,Eventos!$F:$F,$L643,Eventos!$D:$D,$C$2,Eventos!$B:$B,PANES_SEMANALES[[#ALL],[SÁBADO]])</f>
        <v>0</v>
      </c>
      <c r="S643" s="59">
        <f>SUMIFS(Eventos!$G:$G,Eventos!$F:$F,$L643,Eventos!$D:$D,$C$2,Eventos!$B:$B,PANES_SEMANALES[[#ALL],[DOMINGO]])</f>
        <v>0</v>
      </c>
      <c r="T643" s="59">
        <f t="shared" si="1"/>
        <v>0</v>
      </c>
    </row>
    <row r="644" ht="22.5" customHeight="1">
      <c r="M644" s="59">
        <f>SUMIFS(Eventos!$G:$G,Eventos!$F:$F,$L644,Eventos!$D:$D,$C$2,Eventos!$B:$B,PANES_SEMANALES[[#ALL],[LUNES]])</f>
        <v>0</v>
      </c>
      <c r="N644" s="59">
        <f>SUMIFS(Eventos!$G:$G,Eventos!$F:$F,$L644,Eventos!$D:$D,$C$2,Eventos!$B:$B,PANES_SEMANALES[[#ALL],[MARTES]])</f>
        <v>0</v>
      </c>
      <c r="O644" s="59">
        <f>SUMIFS(Eventos!$G:$G,Eventos!$F:$F,$L644,Eventos!$D:$D,$C$2,Eventos!$B:$B,PANES_SEMANALES[[#ALL],[MIÉRCOLES]])</f>
        <v>0</v>
      </c>
      <c r="P644" s="59">
        <f>SUMIFS(Eventos!$G:$G,Eventos!$F:$F,$L644,Eventos!$D:$D,$C$2,Eventos!$B:$B,PANES_SEMANALES[[#ALL],[JUEVES]])</f>
        <v>0</v>
      </c>
      <c r="Q644" s="59">
        <f>IF(P644&lt;&gt;"",SUMIFS(Eventos!$G:$G,Eventos!$B:$B,Q$2,Eventos!$D:$D,$C$2,Eventos!$F:$F,$L644),"")</f>
        <v>0</v>
      </c>
      <c r="R644" s="59">
        <f>SUMIFS(Eventos!$G:$G,Eventos!$F:$F,$L644,Eventos!$D:$D,$C$2,Eventos!$B:$B,PANES_SEMANALES[[#ALL],[SÁBADO]])</f>
        <v>0</v>
      </c>
      <c r="S644" s="59">
        <f>SUMIFS(Eventos!$G:$G,Eventos!$F:$F,$L644,Eventos!$D:$D,$C$2,Eventos!$B:$B,PANES_SEMANALES[[#ALL],[DOMINGO]])</f>
        <v>0</v>
      </c>
      <c r="T644" s="59">
        <f t="shared" si="1"/>
        <v>0</v>
      </c>
    </row>
    <row r="645" ht="22.5" customHeight="1">
      <c r="M645" s="59">
        <f>SUMIFS(Eventos!$G:$G,Eventos!$F:$F,$L645,Eventos!$D:$D,$C$2,Eventos!$B:$B,PANES_SEMANALES[[#ALL],[LUNES]])</f>
        <v>0</v>
      </c>
      <c r="N645" s="59">
        <f>SUMIFS(Eventos!$G:$G,Eventos!$F:$F,$L645,Eventos!$D:$D,$C$2,Eventos!$B:$B,PANES_SEMANALES[[#ALL],[MARTES]])</f>
        <v>0</v>
      </c>
      <c r="O645" s="59">
        <f>SUMIFS(Eventos!$G:$G,Eventos!$F:$F,$L645,Eventos!$D:$D,$C$2,Eventos!$B:$B,PANES_SEMANALES[[#ALL],[MIÉRCOLES]])</f>
        <v>0</v>
      </c>
      <c r="P645" s="59">
        <f>SUMIFS(Eventos!$G:$G,Eventos!$F:$F,$L645,Eventos!$D:$D,$C$2,Eventos!$B:$B,PANES_SEMANALES[[#ALL],[JUEVES]])</f>
        <v>0</v>
      </c>
      <c r="Q645" s="59">
        <f>IF(P645&lt;&gt;"",SUMIFS(Eventos!$G:$G,Eventos!$B:$B,Q$2,Eventos!$D:$D,$C$2,Eventos!$F:$F,$L645),"")</f>
        <v>0</v>
      </c>
      <c r="R645" s="59">
        <f>SUMIFS(Eventos!$G:$G,Eventos!$F:$F,$L645,Eventos!$D:$D,$C$2,Eventos!$B:$B,PANES_SEMANALES[[#ALL],[SÁBADO]])</f>
        <v>0</v>
      </c>
      <c r="S645" s="59">
        <f>SUMIFS(Eventos!$G:$G,Eventos!$F:$F,$L645,Eventos!$D:$D,$C$2,Eventos!$B:$B,PANES_SEMANALES[[#ALL],[DOMINGO]])</f>
        <v>0</v>
      </c>
      <c r="T645" s="59">
        <f t="shared" si="1"/>
        <v>0</v>
      </c>
    </row>
    <row r="646" ht="22.5" customHeight="1">
      <c r="M646" s="59">
        <f>SUMIFS(Eventos!$G:$G,Eventos!$F:$F,$L646,Eventos!$D:$D,$C$2,Eventos!$B:$B,PANES_SEMANALES[[#ALL],[LUNES]])</f>
        <v>0</v>
      </c>
      <c r="N646" s="59">
        <f>SUMIFS(Eventos!$G:$G,Eventos!$F:$F,$L646,Eventos!$D:$D,$C$2,Eventos!$B:$B,PANES_SEMANALES[[#ALL],[MARTES]])</f>
        <v>0</v>
      </c>
      <c r="O646" s="59">
        <f>SUMIFS(Eventos!$G:$G,Eventos!$F:$F,$L646,Eventos!$D:$D,$C$2,Eventos!$B:$B,PANES_SEMANALES[[#ALL],[MIÉRCOLES]])</f>
        <v>0</v>
      </c>
      <c r="P646" s="59">
        <f>SUMIFS(Eventos!$G:$G,Eventos!$F:$F,$L646,Eventos!$D:$D,$C$2,Eventos!$B:$B,PANES_SEMANALES[[#ALL],[JUEVES]])</f>
        <v>0</v>
      </c>
      <c r="Q646" s="59">
        <f>IF(P646&lt;&gt;"",SUMIFS(Eventos!$G:$G,Eventos!$B:$B,Q$2,Eventos!$D:$D,$C$2,Eventos!$F:$F,$L646),"")</f>
        <v>0</v>
      </c>
      <c r="R646" s="59">
        <f>SUMIFS(Eventos!$G:$G,Eventos!$F:$F,$L646,Eventos!$D:$D,$C$2,Eventos!$B:$B,PANES_SEMANALES[[#ALL],[SÁBADO]])</f>
        <v>0</v>
      </c>
      <c r="S646" s="59">
        <f>SUMIFS(Eventos!$G:$G,Eventos!$F:$F,$L646,Eventos!$D:$D,$C$2,Eventos!$B:$B,PANES_SEMANALES[[#ALL],[DOMINGO]])</f>
        <v>0</v>
      </c>
      <c r="T646" s="59">
        <f t="shared" si="1"/>
        <v>0</v>
      </c>
    </row>
    <row r="647" ht="22.5" customHeight="1">
      <c r="M647" s="59">
        <f>SUMIFS(Eventos!$G:$G,Eventos!$F:$F,$L647,Eventos!$D:$D,$C$2,Eventos!$B:$B,PANES_SEMANALES[[#ALL],[LUNES]])</f>
        <v>0</v>
      </c>
      <c r="N647" s="59">
        <f>SUMIFS(Eventos!$G:$G,Eventos!$F:$F,$L647,Eventos!$D:$D,$C$2,Eventos!$B:$B,PANES_SEMANALES[[#ALL],[MARTES]])</f>
        <v>0</v>
      </c>
      <c r="O647" s="59">
        <f>SUMIFS(Eventos!$G:$G,Eventos!$F:$F,$L647,Eventos!$D:$D,$C$2,Eventos!$B:$B,PANES_SEMANALES[[#ALL],[MIÉRCOLES]])</f>
        <v>0</v>
      </c>
      <c r="P647" s="59">
        <f>SUMIFS(Eventos!$G:$G,Eventos!$F:$F,$L647,Eventos!$D:$D,$C$2,Eventos!$B:$B,PANES_SEMANALES[[#ALL],[JUEVES]])</f>
        <v>0</v>
      </c>
      <c r="Q647" s="59">
        <f>IF(P647&lt;&gt;"",SUMIFS(Eventos!$G:$G,Eventos!$B:$B,Q$2,Eventos!$D:$D,$C$2,Eventos!$F:$F,$L647),"")</f>
        <v>0</v>
      </c>
      <c r="R647" s="59">
        <f>SUMIFS(Eventos!$G:$G,Eventos!$F:$F,$L647,Eventos!$D:$D,$C$2,Eventos!$B:$B,PANES_SEMANALES[[#ALL],[SÁBADO]])</f>
        <v>0</v>
      </c>
      <c r="S647" s="59">
        <f>SUMIFS(Eventos!$G:$G,Eventos!$F:$F,$L647,Eventos!$D:$D,$C$2,Eventos!$B:$B,PANES_SEMANALES[[#ALL],[DOMINGO]])</f>
        <v>0</v>
      </c>
      <c r="T647" s="59">
        <f t="shared" si="1"/>
        <v>0</v>
      </c>
    </row>
    <row r="648" ht="22.5" customHeight="1">
      <c r="M648" s="59">
        <f>SUMIFS(Eventos!$G:$G,Eventos!$F:$F,$L648,Eventos!$D:$D,$C$2,Eventos!$B:$B,PANES_SEMANALES[[#ALL],[LUNES]])</f>
        <v>0</v>
      </c>
      <c r="N648" s="59">
        <f>SUMIFS(Eventos!$G:$G,Eventos!$F:$F,$L648,Eventos!$D:$D,$C$2,Eventos!$B:$B,PANES_SEMANALES[[#ALL],[MARTES]])</f>
        <v>0</v>
      </c>
      <c r="O648" s="59">
        <f>SUMIFS(Eventos!$G:$G,Eventos!$F:$F,$L648,Eventos!$D:$D,$C$2,Eventos!$B:$B,PANES_SEMANALES[[#ALL],[MIÉRCOLES]])</f>
        <v>0</v>
      </c>
      <c r="P648" s="59">
        <f>SUMIFS(Eventos!$G:$G,Eventos!$F:$F,$L648,Eventos!$D:$D,$C$2,Eventos!$B:$B,PANES_SEMANALES[[#ALL],[JUEVES]])</f>
        <v>0</v>
      </c>
      <c r="Q648" s="59">
        <f>IF(P648&lt;&gt;"",SUMIFS(Eventos!$G:$G,Eventos!$B:$B,Q$2,Eventos!$D:$D,$C$2,Eventos!$F:$F,$L648),"")</f>
        <v>0</v>
      </c>
      <c r="R648" s="59">
        <f>SUMIFS(Eventos!$G:$G,Eventos!$F:$F,$L648,Eventos!$D:$D,$C$2,Eventos!$B:$B,PANES_SEMANALES[[#ALL],[SÁBADO]])</f>
        <v>0</v>
      </c>
      <c r="S648" s="59">
        <f>SUMIFS(Eventos!$G:$G,Eventos!$F:$F,$L648,Eventos!$D:$D,$C$2,Eventos!$B:$B,PANES_SEMANALES[[#ALL],[DOMINGO]])</f>
        <v>0</v>
      </c>
      <c r="T648" s="59">
        <f t="shared" si="1"/>
        <v>0</v>
      </c>
    </row>
    <row r="649" ht="22.5" customHeight="1">
      <c r="M649" s="59">
        <f>SUMIFS(Eventos!$G:$G,Eventos!$F:$F,$L649,Eventos!$D:$D,$C$2,Eventos!$B:$B,PANES_SEMANALES[[#ALL],[LUNES]])</f>
        <v>0</v>
      </c>
      <c r="N649" s="59">
        <f>SUMIFS(Eventos!$G:$G,Eventos!$F:$F,$L649,Eventos!$D:$D,$C$2,Eventos!$B:$B,PANES_SEMANALES[[#ALL],[MARTES]])</f>
        <v>0</v>
      </c>
      <c r="O649" s="59">
        <f>SUMIFS(Eventos!$G:$G,Eventos!$F:$F,$L649,Eventos!$D:$D,$C$2,Eventos!$B:$B,PANES_SEMANALES[[#ALL],[MIÉRCOLES]])</f>
        <v>0</v>
      </c>
      <c r="P649" s="59">
        <f>SUMIFS(Eventos!$G:$G,Eventos!$F:$F,$L649,Eventos!$D:$D,$C$2,Eventos!$B:$B,PANES_SEMANALES[[#ALL],[JUEVES]])</f>
        <v>0</v>
      </c>
      <c r="Q649" s="59">
        <f>IF(P649&lt;&gt;"",SUMIFS(Eventos!$G:$G,Eventos!$B:$B,Q$2,Eventos!$D:$D,$C$2,Eventos!$F:$F,$L649),"")</f>
        <v>0</v>
      </c>
      <c r="R649" s="59">
        <f>SUMIFS(Eventos!$G:$G,Eventos!$F:$F,$L649,Eventos!$D:$D,$C$2,Eventos!$B:$B,PANES_SEMANALES[[#ALL],[SÁBADO]])</f>
        <v>0</v>
      </c>
      <c r="S649" s="59">
        <f>SUMIFS(Eventos!$G:$G,Eventos!$F:$F,$L649,Eventos!$D:$D,$C$2,Eventos!$B:$B,PANES_SEMANALES[[#ALL],[DOMINGO]])</f>
        <v>0</v>
      </c>
      <c r="T649" s="59">
        <f t="shared" si="1"/>
        <v>0</v>
      </c>
    </row>
    <row r="650" ht="22.5" customHeight="1">
      <c r="M650" s="59">
        <f>SUMIFS(Eventos!$G:$G,Eventos!$F:$F,$L650,Eventos!$D:$D,$C$2,Eventos!$B:$B,PANES_SEMANALES[[#ALL],[LUNES]])</f>
        <v>0</v>
      </c>
      <c r="N650" s="59">
        <f>SUMIFS(Eventos!$G:$G,Eventos!$F:$F,$L650,Eventos!$D:$D,$C$2,Eventos!$B:$B,PANES_SEMANALES[[#ALL],[MARTES]])</f>
        <v>0</v>
      </c>
      <c r="O650" s="59">
        <f>SUMIFS(Eventos!$G:$G,Eventos!$F:$F,$L650,Eventos!$D:$D,$C$2,Eventos!$B:$B,PANES_SEMANALES[[#ALL],[MIÉRCOLES]])</f>
        <v>0</v>
      </c>
      <c r="P650" s="59">
        <f>SUMIFS(Eventos!$G:$G,Eventos!$F:$F,$L650,Eventos!$D:$D,$C$2,Eventos!$B:$B,PANES_SEMANALES[[#ALL],[JUEVES]])</f>
        <v>0</v>
      </c>
      <c r="Q650" s="59">
        <f>IF(P650&lt;&gt;"",SUMIFS(Eventos!$G:$G,Eventos!$B:$B,Q$2,Eventos!$D:$D,$C$2,Eventos!$F:$F,$L650),"")</f>
        <v>0</v>
      </c>
      <c r="R650" s="59">
        <f>SUMIFS(Eventos!$G:$G,Eventos!$F:$F,$L650,Eventos!$D:$D,$C$2,Eventos!$B:$B,PANES_SEMANALES[[#ALL],[SÁBADO]])</f>
        <v>0</v>
      </c>
      <c r="S650" s="59">
        <f>SUMIFS(Eventos!$G:$G,Eventos!$F:$F,$L650,Eventos!$D:$D,$C$2,Eventos!$B:$B,PANES_SEMANALES[[#ALL],[DOMINGO]])</f>
        <v>0</v>
      </c>
      <c r="T650" s="59">
        <f t="shared" si="1"/>
        <v>0</v>
      </c>
    </row>
    <row r="651" ht="22.5" customHeight="1">
      <c r="M651" s="59">
        <f>SUMIFS(Eventos!$G:$G,Eventos!$F:$F,$L651,Eventos!$D:$D,$C$2,Eventos!$B:$B,PANES_SEMANALES[[#ALL],[LUNES]])</f>
        <v>0</v>
      </c>
      <c r="N651" s="59">
        <f>SUMIFS(Eventos!$G:$G,Eventos!$F:$F,$L651,Eventos!$D:$D,$C$2,Eventos!$B:$B,PANES_SEMANALES[[#ALL],[MARTES]])</f>
        <v>0</v>
      </c>
      <c r="O651" s="59">
        <f>SUMIFS(Eventos!$G:$G,Eventos!$F:$F,$L651,Eventos!$D:$D,$C$2,Eventos!$B:$B,PANES_SEMANALES[[#ALL],[MIÉRCOLES]])</f>
        <v>0</v>
      </c>
      <c r="P651" s="59">
        <f>SUMIFS(Eventos!$G:$G,Eventos!$F:$F,$L651,Eventos!$D:$D,$C$2,Eventos!$B:$B,PANES_SEMANALES[[#ALL],[JUEVES]])</f>
        <v>0</v>
      </c>
      <c r="Q651" s="59">
        <f>IF(P651&lt;&gt;"",SUMIFS(Eventos!$G:$G,Eventos!$B:$B,Q$2,Eventos!$D:$D,$C$2,Eventos!$F:$F,$L651),"")</f>
        <v>0</v>
      </c>
      <c r="R651" s="59">
        <f>SUMIFS(Eventos!$G:$G,Eventos!$F:$F,$L651,Eventos!$D:$D,$C$2,Eventos!$B:$B,PANES_SEMANALES[[#ALL],[SÁBADO]])</f>
        <v>0</v>
      </c>
      <c r="S651" s="59">
        <f>SUMIFS(Eventos!$G:$G,Eventos!$F:$F,$L651,Eventos!$D:$D,$C$2,Eventos!$B:$B,PANES_SEMANALES[[#ALL],[DOMINGO]])</f>
        <v>0</v>
      </c>
      <c r="T651" s="59">
        <f t="shared" si="1"/>
        <v>0</v>
      </c>
    </row>
    <row r="652" ht="22.5" customHeight="1">
      <c r="M652" s="59">
        <f>SUMIFS(Eventos!$G:$G,Eventos!$F:$F,$L652,Eventos!$D:$D,$C$2,Eventos!$B:$B,PANES_SEMANALES[[#ALL],[LUNES]])</f>
        <v>0</v>
      </c>
      <c r="N652" s="59">
        <f>SUMIFS(Eventos!$G:$G,Eventos!$F:$F,$L652,Eventos!$D:$D,$C$2,Eventos!$B:$B,PANES_SEMANALES[[#ALL],[MARTES]])</f>
        <v>0</v>
      </c>
      <c r="O652" s="59">
        <f>SUMIFS(Eventos!$G:$G,Eventos!$F:$F,$L652,Eventos!$D:$D,$C$2,Eventos!$B:$B,PANES_SEMANALES[[#ALL],[MIÉRCOLES]])</f>
        <v>0</v>
      </c>
      <c r="P652" s="59">
        <f>SUMIFS(Eventos!$G:$G,Eventos!$F:$F,$L652,Eventos!$D:$D,$C$2,Eventos!$B:$B,PANES_SEMANALES[[#ALL],[JUEVES]])</f>
        <v>0</v>
      </c>
      <c r="Q652" s="59">
        <f>IF(P652&lt;&gt;"",SUMIFS(Eventos!$G:$G,Eventos!$B:$B,Q$2,Eventos!$D:$D,$C$2,Eventos!$F:$F,$L652),"")</f>
        <v>0</v>
      </c>
      <c r="R652" s="59">
        <f>SUMIFS(Eventos!$G:$G,Eventos!$F:$F,$L652,Eventos!$D:$D,$C$2,Eventos!$B:$B,PANES_SEMANALES[[#ALL],[SÁBADO]])</f>
        <v>0</v>
      </c>
      <c r="S652" s="59">
        <f>SUMIFS(Eventos!$G:$G,Eventos!$F:$F,$L652,Eventos!$D:$D,$C$2,Eventos!$B:$B,PANES_SEMANALES[[#ALL],[DOMINGO]])</f>
        <v>0</v>
      </c>
      <c r="T652" s="59">
        <f t="shared" si="1"/>
        <v>0</v>
      </c>
    </row>
    <row r="653" ht="22.5" customHeight="1">
      <c r="M653" s="59">
        <f>SUMIFS(Eventos!$G:$G,Eventos!$F:$F,$L653,Eventos!$D:$D,$C$2,Eventos!$B:$B,PANES_SEMANALES[[#ALL],[LUNES]])</f>
        <v>0</v>
      </c>
      <c r="N653" s="59">
        <f>SUMIFS(Eventos!$G:$G,Eventos!$F:$F,$L653,Eventos!$D:$D,$C$2,Eventos!$B:$B,PANES_SEMANALES[[#ALL],[MARTES]])</f>
        <v>0</v>
      </c>
      <c r="O653" s="59">
        <f>SUMIFS(Eventos!$G:$G,Eventos!$F:$F,$L653,Eventos!$D:$D,$C$2,Eventos!$B:$B,PANES_SEMANALES[[#ALL],[MIÉRCOLES]])</f>
        <v>0</v>
      </c>
      <c r="P653" s="59">
        <f>SUMIFS(Eventos!$G:$G,Eventos!$F:$F,$L653,Eventos!$D:$D,$C$2,Eventos!$B:$B,PANES_SEMANALES[[#ALL],[JUEVES]])</f>
        <v>0</v>
      </c>
      <c r="Q653" s="59">
        <f>IF(P653&lt;&gt;"",SUMIFS(Eventos!$G:$G,Eventos!$B:$B,Q$2,Eventos!$D:$D,$C$2,Eventos!$F:$F,$L653),"")</f>
        <v>0</v>
      </c>
      <c r="R653" s="59">
        <f>SUMIFS(Eventos!$G:$G,Eventos!$F:$F,$L653,Eventos!$D:$D,$C$2,Eventos!$B:$B,PANES_SEMANALES[[#ALL],[SÁBADO]])</f>
        <v>0</v>
      </c>
      <c r="S653" s="59">
        <f>SUMIFS(Eventos!$G:$G,Eventos!$F:$F,$L653,Eventos!$D:$D,$C$2,Eventos!$B:$B,PANES_SEMANALES[[#ALL],[DOMINGO]])</f>
        <v>0</v>
      </c>
      <c r="T653" s="59">
        <f t="shared" si="1"/>
        <v>0</v>
      </c>
    </row>
    <row r="654" ht="22.5" customHeight="1">
      <c r="M654" s="59">
        <f>SUMIFS(Eventos!$G:$G,Eventos!$F:$F,$L654,Eventos!$D:$D,$C$2,Eventos!$B:$B,PANES_SEMANALES[[#ALL],[LUNES]])</f>
        <v>0</v>
      </c>
      <c r="N654" s="59">
        <f>SUMIFS(Eventos!$G:$G,Eventos!$F:$F,$L654,Eventos!$D:$D,$C$2,Eventos!$B:$B,PANES_SEMANALES[[#ALL],[MARTES]])</f>
        <v>0</v>
      </c>
      <c r="O654" s="59">
        <f>SUMIFS(Eventos!$G:$G,Eventos!$F:$F,$L654,Eventos!$D:$D,$C$2,Eventos!$B:$B,PANES_SEMANALES[[#ALL],[MIÉRCOLES]])</f>
        <v>0</v>
      </c>
      <c r="P654" s="59">
        <f>SUMIFS(Eventos!$G:$G,Eventos!$F:$F,$L654,Eventos!$D:$D,$C$2,Eventos!$B:$B,PANES_SEMANALES[[#ALL],[JUEVES]])</f>
        <v>0</v>
      </c>
      <c r="Q654" s="59">
        <f>IF(P654&lt;&gt;"",SUMIFS(Eventos!$G:$G,Eventos!$B:$B,Q$2,Eventos!$D:$D,$C$2,Eventos!$F:$F,$L654),"")</f>
        <v>0</v>
      </c>
      <c r="R654" s="59">
        <f>SUMIFS(Eventos!$G:$G,Eventos!$F:$F,$L654,Eventos!$D:$D,$C$2,Eventos!$B:$B,PANES_SEMANALES[[#ALL],[SÁBADO]])</f>
        <v>0</v>
      </c>
      <c r="S654" s="59">
        <f>SUMIFS(Eventos!$G:$G,Eventos!$F:$F,$L654,Eventos!$D:$D,$C$2,Eventos!$B:$B,PANES_SEMANALES[[#ALL],[DOMINGO]])</f>
        <v>0</v>
      </c>
      <c r="T654" s="59">
        <f t="shared" si="1"/>
        <v>0</v>
      </c>
    </row>
    <row r="655" ht="22.5" customHeight="1">
      <c r="M655" s="59">
        <f>SUMIFS(Eventos!$G:$G,Eventos!$F:$F,$L655,Eventos!$D:$D,$C$2,Eventos!$B:$B,PANES_SEMANALES[[#ALL],[LUNES]])</f>
        <v>0</v>
      </c>
      <c r="N655" s="59">
        <f>SUMIFS(Eventos!$G:$G,Eventos!$F:$F,$L655,Eventos!$D:$D,$C$2,Eventos!$B:$B,PANES_SEMANALES[[#ALL],[MARTES]])</f>
        <v>0</v>
      </c>
      <c r="O655" s="59">
        <f>SUMIFS(Eventos!$G:$G,Eventos!$F:$F,$L655,Eventos!$D:$D,$C$2,Eventos!$B:$B,PANES_SEMANALES[[#ALL],[MIÉRCOLES]])</f>
        <v>0</v>
      </c>
      <c r="P655" s="59">
        <f>SUMIFS(Eventos!$G:$G,Eventos!$F:$F,$L655,Eventos!$D:$D,$C$2,Eventos!$B:$B,PANES_SEMANALES[[#ALL],[JUEVES]])</f>
        <v>0</v>
      </c>
      <c r="Q655" s="59">
        <f>IF(P655&lt;&gt;"",SUMIFS(Eventos!$G:$G,Eventos!$B:$B,Q$2,Eventos!$D:$D,$C$2,Eventos!$F:$F,$L655),"")</f>
        <v>0</v>
      </c>
      <c r="R655" s="59">
        <f>SUMIFS(Eventos!$G:$G,Eventos!$F:$F,$L655,Eventos!$D:$D,$C$2,Eventos!$B:$B,PANES_SEMANALES[[#ALL],[SÁBADO]])</f>
        <v>0</v>
      </c>
      <c r="S655" s="59">
        <f>SUMIFS(Eventos!$G:$G,Eventos!$F:$F,$L655,Eventos!$D:$D,$C$2,Eventos!$B:$B,PANES_SEMANALES[[#ALL],[DOMINGO]])</f>
        <v>0</v>
      </c>
      <c r="T655" s="59">
        <f t="shared" si="1"/>
        <v>0</v>
      </c>
    </row>
    <row r="656" ht="22.5" customHeight="1">
      <c r="M656" s="59">
        <f>SUMIFS(Eventos!$G:$G,Eventos!$F:$F,$L656,Eventos!$D:$D,$C$2,Eventos!$B:$B,PANES_SEMANALES[[#ALL],[LUNES]])</f>
        <v>0</v>
      </c>
      <c r="N656" s="59">
        <f>SUMIFS(Eventos!$G:$G,Eventos!$F:$F,$L656,Eventos!$D:$D,$C$2,Eventos!$B:$B,PANES_SEMANALES[[#ALL],[MARTES]])</f>
        <v>0</v>
      </c>
      <c r="O656" s="59">
        <f>SUMIFS(Eventos!$G:$G,Eventos!$F:$F,$L656,Eventos!$D:$D,$C$2,Eventos!$B:$B,PANES_SEMANALES[[#ALL],[MIÉRCOLES]])</f>
        <v>0</v>
      </c>
      <c r="P656" s="59">
        <f>SUMIFS(Eventos!$G:$G,Eventos!$F:$F,$L656,Eventos!$D:$D,$C$2,Eventos!$B:$B,PANES_SEMANALES[[#ALL],[JUEVES]])</f>
        <v>0</v>
      </c>
      <c r="Q656" s="59">
        <f>IF(P656&lt;&gt;"",SUMIFS(Eventos!$G:$G,Eventos!$B:$B,Q$2,Eventos!$D:$D,$C$2,Eventos!$F:$F,$L656),"")</f>
        <v>0</v>
      </c>
      <c r="R656" s="59">
        <f>SUMIFS(Eventos!$G:$G,Eventos!$F:$F,$L656,Eventos!$D:$D,$C$2,Eventos!$B:$B,PANES_SEMANALES[[#ALL],[SÁBADO]])</f>
        <v>0</v>
      </c>
      <c r="S656" s="59">
        <f>SUMIFS(Eventos!$G:$G,Eventos!$F:$F,$L656,Eventos!$D:$D,$C$2,Eventos!$B:$B,PANES_SEMANALES[[#ALL],[DOMINGO]])</f>
        <v>0</v>
      </c>
      <c r="T656" s="59">
        <f t="shared" si="1"/>
        <v>0</v>
      </c>
    </row>
    <row r="657" ht="22.5" customHeight="1">
      <c r="M657" s="59">
        <f>SUMIFS(Eventos!$G:$G,Eventos!$F:$F,$L657,Eventos!$D:$D,$C$2,Eventos!$B:$B,PANES_SEMANALES[[#ALL],[LUNES]])</f>
        <v>0</v>
      </c>
      <c r="N657" s="59">
        <f>SUMIFS(Eventos!$G:$G,Eventos!$F:$F,$L657,Eventos!$D:$D,$C$2,Eventos!$B:$B,PANES_SEMANALES[[#ALL],[MARTES]])</f>
        <v>0</v>
      </c>
      <c r="O657" s="59">
        <f>SUMIFS(Eventos!$G:$G,Eventos!$F:$F,$L657,Eventos!$D:$D,$C$2,Eventos!$B:$B,PANES_SEMANALES[[#ALL],[MIÉRCOLES]])</f>
        <v>0</v>
      </c>
      <c r="P657" s="59">
        <f>SUMIFS(Eventos!$G:$G,Eventos!$F:$F,$L657,Eventos!$D:$D,$C$2,Eventos!$B:$B,PANES_SEMANALES[[#ALL],[JUEVES]])</f>
        <v>0</v>
      </c>
      <c r="Q657" s="59">
        <f>IF(P657&lt;&gt;"",SUMIFS(Eventos!$G:$G,Eventos!$B:$B,Q$2,Eventos!$D:$D,$C$2,Eventos!$F:$F,$L657),"")</f>
        <v>0</v>
      </c>
      <c r="R657" s="59">
        <f>SUMIFS(Eventos!$G:$G,Eventos!$F:$F,$L657,Eventos!$D:$D,$C$2,Eventos!$B:$B,PANES_SEMANALES[[#ALL],[SÁBADO]])</f>
        <v>0</v>
      </c>
      <c r="S657" s="59">
        <f>SUMIFS(Eventos!$G:$G,Eventos!$F:$F,$L657,Eventos!$D:$D,$C$2,Eventos!$B:$B,PANES_SEMANALES[[#ALL],[DOMINGO]])</f>
        <v>0</v>
      </c>
      <c r="T657" s="59">
        <f t="shared" si="1"/>
        <v>0</v>
      </c>
    </row>
    <row r="658" ht="22.5" customHeight="1">
      <c r="M658" s="59">
        <f>SUMIFS(Eventos!$G:$G,Eventos!$F:$F,$L658,Eventos!$D:$D,$C$2,Eventos!$B:$B,PANES_SEMANALES[[#ALL],[LUNES]])</f>
        <v>0</v>
      </c>
      <c r="N658" s="59">
        <f>SUMIFS(Eventos!$G:$G,Eventos!$F:$F,$L658,Eventos!$D:$D,$C$2,Eventos!$B:$B,PANES_SEMANALES[[#ALL],[MARTES]])</f>
        <v>0</v>
      </c>
      <c r="O658" s="59">
        <f>SUMIFS(Eventos!$G:$G,Eventos!$F:$F,$L658,Eventos!$D:$D,$C$2,Eventos!$B:$B,PANES_SEMANALES[[#ALL],[MIÉRCOLES]])</f>
        <v>0</v>
      </c>
      <c r="P658" s="59">
        <f>SUMIFS(Eventos!$G:$G,Eventos!$F:$F,$L658,Eventos!$D:$D,$C$2,Eventos!$B:$B,PANES_SEMANALES[[#ALL],[JUEVES]])</f>
        <v>0</v>
      </c>
      <c r="Q658" s="59">
        <f>IF(P658&lt;&gt;"",SUMIFS(Eventos!$G:$G,Eventos!$B:$B,Q$2,Eventos!$D:$D,$C$2,Eventos!$F:$F,$L658),"")</f>
        <v>0</v>
      </c>
      <c r="R658" s="59">
        <f>SUMIFS(Eventos!$G:$G,Eventos!$F:$F,$L658,Eventos!$D:$D,$C$2,Eventos!$B:$B,PANES_SEMANALES[[#ALL],[SÁBADO]])</f>
        <v>0</v>
      </c>
      <c r="S658" s="59">
        <f>SUMIFS(Eventos!$G:$G,Eventos!$F:$F,$L658,Eventos!$D:$D,$C$2,Eventos!$B:$B,PANES_SEMANALES[[#ALL],[DOMINGO]])</f>
        <v>0</v>
      </c>
      <c r="T658" s="59">
        <f t="shared" si="1"/>
        <v>0</v>
      </c>
    </row>
    <row r="659" ht="22.5" customHeight="1">
      <c r="M659" s="59">
        <f>SUMIFS(Eventos!$G:$G,Eventos!$F:$F,$L659,Eventos!$D:$D,$C$2,Eventos!$B:$B,PANES_SEMANALES[[#ALL],[LUNES]])</f>
        <v>0</v>
      </c>
      <c r="N659" s="59">
        <f>SUMIFS(Eventos!$G:$G,Eventos!$F:$F,$L659,Eventos!$D:$D,$C$2,Eventos!$B:$B,PANES_SEMANALES[[#ALL],[MARTES]])</f>
        <v>0</v>
      </c>
      <c r="O659" s="59">
        <f>SUMIFS(Eventos!$G:$G,Eventos!$F:$F,$L659,Eventos!$D:$D,$C$2,Eventos!$B:$B,PANES_SEMANALES[[#ALL],[MIÉRCOLES]])</f>
        <v>0</v>
      </c>
      <c r="P659" s="59">
        <f>SUMIFS(Eventos!$G:$G,Eventos!$F:$F,$L659,Eventos!$D:$D,$C$2,Eventos!$B:$B,PANES_SEMANALES[[#ALL],[JUEVES]])</f>
        <v>0</v>
      </c>
      <c r="Q659" s="59">
        <f>IF(P659&lt;&gt;"",SUMIFS(Eventos!$G:$G,Eventos!$B:$B,Q$2,Eventos!$D:$D,$C$2,Eventos!$F:$F,$L659),"")</f>
        <v>0</v>
      </c>
      <c r="R659" s="59">
        <f>SUMIFS(Eventos!$G:$G,Eventos!$F:$F,$L659,Eventos!$D:$D,$C$2,Eventos!$B:$B,PANES_SEMANALES[[#ALL],[SÁBADO]])</f>
        <v>0</v>
      </c>
      <c r="S659" s="59">
        <f>SUMIFS(Eventos!$G:$G,Eventos!$F:$F,$L659,Eventos!$D:$D,$C$2,Eventos!$B:$B,PANES_SEMANALES[[#ALL],[DOMINGO]])</f>
        <v>0</v>
      </c>
      <c r="T659" s="59">
        <f t="shared" si="1"/>
        <v>0</v>
      </c>
    </row>
    <row r="660" ht="22.5" customHeight="1">
      <c r="M660" s="59">
        <f>SUMIFS(Eventos!$G:$G,Eventos!$F:$F,$L660,Eventos!$D:$D,$C$2,Eventos!$B:$B,PANES_SEMANALES[[#ALL],[LUNES]])</f>
        <v>0</v>
      </c>
      <c r="N660" s="59">
        <f>SUMIFS(Eventos!$G:$G,Eventos!$F:$F,$L660,Eventos!$D:$D,$C$2,Eventos!$B:$B,PANES_SEMANALES[[#ALL],[MARTES]])</f>
        <v>0</v>
      </c>
      <c r="O660" s="59">
        <f>SUMIFS(Eventos!$G:$G,Eventos!$F:$F,$L660,Eventos!$D:$D,$C$2,Eventos!$B:$B,PANES_SEMANALES[[#ALL],[MIÉRCOLES]])</f>
        <v>0</v>
      </c>
      <c r="P660" s="59">
        <f>SUMIFS(Eventos!$G:$G,Eventos!$F:$F,$L660,Eventos!$D:$D,$C$2,Eventos!$B:$B,PANES_SEMANALES[[#ALL],[JUEVES]])</f>
        <v>0</v>
      </c>
      <c r="Q660" s="59">
        <f>IF(P660&lt;&gt;"",SUMIFS(Eventos!$G:$G,Eventos!$B:$B,Q$2,Eventos!$D:$D,$C$2,Eventos!$F:$F,$L660),"")</f>
        <v>0</v>
      </c>
      <c r="R660" s="59">
        <f>SUMIFS(Eventos!$G:$G,Eventos!$F:$F,$L660,Eventos!$D:$D,$C$2,Eventos!$B:$B,PANES_SEMANALES[[#ALL],[SÁBADO]])</f>
        <v>0</v>
      </c>
      <c r="S660" s="59">
        <f>SUMIFS(Eventos!$G:$G,Eventos!$F:$F,$L660,Eventos!$D:$D,$C$2,Eventos!$B:$B,PANES_SEMANALES[[#ALL],[DOMINGO]])</f>
        <v>0</v>
      </c>
      <c r="T660" s="59">
        <f t="shared" si="1"/>
        <v>0</v>
      </c>
    </row>
    <row r="661" ht="22.5" customHeight="1">
      <c r="M661" s="59">
        <f>SUMIFS(Eventos!$G:$G,Eventos!$F:$F,$L661,Eventos!$D:$D,$C$2,Eventos!$B:$B,PANES_SEMANALES[[#ALL],[LUNES]])</f>
        <v>0</v>
      </c>
      <c r="N661" s="59">
        <f>SUMIFS(Eventos!$G:$G,Eventos!$F:$F,$L661,Eventos!$D:$D,$C$2,Eventos!$B:$B,PANES_SEMANALES[[#ALL],[MARTES]])</f>
        <v>0</v>
      </c>
      <c r="O661" s="59">
        <f>SUMIFS(Eventos!$G:$G,Eventos!$F:$F,$L661,Eventos!$D:$D,$C$2,Eventos!$B:$B,PANES_SEMANALES[[#ALL],[MIÉRCOLES]])</f>
        <v>0</v>
      </c>
      <c r="P661" s="59">
        <f>SUMIFS(Eventos!$G:$G,Eventos!$F:$F,$L661,Eventos!$D:$D,$C$2,Eventos!$B:$B,PANES_SEMANALES[[#ALL],[JUEVES]])</f>
        <v>0</v>
      </c>
      <c r="Q661" s="59">
        <f>IF(P661&lt;&gt;"",SUMIFS(Eventos!$G:$G,Eventos!$B:$B,Q$2,Eventos!$D:$D,$C$2,Eventos!$F:$F,$L661),"")</f>
        <v>0</v>
      </c>
      <c r="R661" s="59">
        <f>SUMIFS(Eventos!$G:$G,Eventos!$F:$F,$L661,Eventos!$D:$D,$C$2,Eventos!$B:$B,PANES_SEMANALES[[#ALL],[SÁBADO]])</f>
        <v>0</v>
      </c>
      <c r="S661" s="59">
        <f>SUMIFS(Eventos!$G:$G,Eventos!$F:$F,$L661,Eventos!$D:$D,$C$2,Eventos!$B:$B,PANES_SEMANALES[[#ALL],[DOMINGO]])</f>
        <v>0</v>
      </c>
      <c r="T661" s="59">
        <f t="shared" si="1"/>
        <v>0</v>
      </c>
    </row>
    <row r="662" ht="22.5" customHeight="1">
      <c r="M662" s="59">
        <f>SUMIFS(Eventos!$G:$G,Eventos!$F:$F,$L662,Eventos!$D:$D,$C$2,Eventos!$B:$B,PANES_SEMANALES[[#ALL],[LUNES]])</f>
        <v>0</v>
      </c>
      <c r="N662" s="59">
        <f>SUMIFS(Eventos!$G:$G,Eventos!$F:$F,$L662,Eventos!$D:$D,$C$2,Eventos!$B:$B,PANES_SEMANALES[[#ALL],[MARTES]])</f>
        <v>0</v>
      </c>
      <c r="O662" s="59">
        <f>SUMIFS(Eventos!$G:$G,Eventos!$F:$F,$L662,Eventos!$D:$D,$C$2,Eventos!$B:$B,PANES_SEMANALES[[#ALL],[MIÉRCOLES]])</f>
        <v>0</v>
      </c>
      <c r="P662" s="59">
        <f>SUMIFS(Eventos!$G:$G,Eventos!$F:$F,$L662,Eventos!$D:$D,$C$2,Eventos!$B:$B,PANES_SEMANALES[[#ALL],[JUEVES]])</f>
        <v>0</v>
      </c>
      <c r="Q662" s="59">
        <f>IF(P662&lt;&gt;"",SUMIFS(Eventos!$G:$G,Eventos!$B:$B,Q$2,Eventos!$D:$D,$C$2,Eventos!$F:$F,$L662),"")</f>
        <v>0</v>
      </c>
      <c r="R662" s="59">
        <f>SUMIFS(Eventos!$G:$G,Eventos!$F:$F,$L662,Eventos!$D:$D,$C$2,Eventos!$B:$B,PANES_SEMANALES[[#ALL],[SÁBADO]])</f>
        <v>0</v>
      </c>
      <c r="S662" s="59">
        <f>SUMIFS(Eventos!$G:$G,Eventos!$F:$F,$L662,Eventos!$D:$D,$C$2,Eventos!$B:$B,PANES_SEMANALES[[#ALL],[DOMINGO]])</f>
        <v>0</v>
      </c>
      <c r="T662" s="59">
        <f t="shared" si="1"/>
        <v>0</v>
      </c>
    </row>
    <row r="663" ht="22.5" customHeight="1">
      <c r="M663" s="59">
        <f>SUMIFS(Eventos!$G:$G,Eventos!$F:$F,$L663,Eventos!$D:$D,$C$2,Eventos!$B:$B,PANES_SEMANALES[[#ALL],[LUNES]])</f>
        <v>0</v>
      </c>
      <c r="N663" s="59">
        <f>SUMIFS(Eventos!$G:$G,Eventos!$F:$F,$L663,Eventos!$D:$D,$C$2,Eventos!$B:$B,PANES_SEMANALES[[#ALL],[MARTES]])</f>
        <v>0</v>
      </c>
      <c r="O663" s="59">
        <f>SUMIFS(Eventos!$G:$G,Eventos!$F:$F,$L663,Eventos!$D:$D,$C$2,Eventos!$B:$B,PANES_SEMANALES[[#ALL],[MIÉRCOLES]])</f>
        <v>0</v>
      </c>
      <c r="P663" s="59">
        <f>SUMIFS(Eventos!$G:$G,Eventos!$F:$F,$L663,Eventos!$D:$D,$C$2,Eventos!$B:$B,PANES_SEMANALES[[#ALL],[JUEVES]])</f>
        <v>0</v>
      </c>
      <c r="Q663" s="59">
        <f>IF(P663&lt;&gt;"",SUMIFS(Eventos!$G:$G,Eventos!$B:$B,Q$2,Eventos!$D:$D,$C$2,Eventos!$F:$F,$L663),"")</f>
        <v>0</v>
      </c>
      <c r="R663" s="59">
        <f>SUMIFS(Eventos!$G:$G,Eventos!$F:$F,$L663,Eventos!$D:$D,$C$2,Eventos!$B:$B,PANES_SEMANALES[[#ALL],[SÁBADO]])</f>
        <v>0</v>
      </c>
      <c r="S663" s="59">
        <f>SUMIFS(Eventos!$G:$G,Eventos!$F:$F,$L663,Eventos!$D:$D,$C$2,Eventos!$B:$B,PANES_SEMANALES[[#ALL],[DOMINGO]])</f>
        <v>0</v>
      </c>
      <c r="T663" s="59">
        <f t="shared" si="1"/>
        <v>0</v>
      </c>
    </row>
    <row r="664" ht="22.5" customHeight="1">
      <c r="M664" s="59">
        <f>SUMIFS(Eventos!$G:$G,Eventos!$F:$F,$L664,Eventos!$D:$D,$C$2,Eventos!$B:$B,PANES_SEMANALES[[#ALL],[LUNES]])</f>
        <v>0</v>
      </c>
      <c r="N664" s="59">
        <f>SUMIFS(Eventos!$G:$G,Eventos!$F:$F,$L664,Eventos!$D:$D,$C$2,Eventos!$B:$B,PANES_SEMANALES[[#ALL],[MARTES]])</f>
        <v>0</v>
      </c>
      <c r="O664" s="59">
        <f>SUMIFS(Eventos!$G:$G,Eventos!$F:$F,$L664,Eventos!$D:$D,$C$2,Eventos!$B:$B,PANES_SEMANALES[[#ALL],[MIÉRCOLES]])</f>
        <v>0</v>
      </c>
      <c r="P664" s="59">
        <f>SUMIFS(Eventos!$G:$G,Eventos!$F:$F,$L664,Eventos!$D:$D,$C$2,Eventos!$B:$B,PANES_SEMANALES[[#ALL],[JUEVES]])</f>
        <v>0</v>
      </c>
      <c r="Q664" s="59">
        <f>IF(P664&lt;&gt;"",SUMIFS(Eventos!$G:$G,Eventos!$B:$B,Q$2,Eventos!$D:$D,$C$2,Eventos!$F:$F,$L664),"")</f>
        <v>0</v>
      </c>
      <c r="R664" s="59">
        <f>SUMIFS(Eventos!$G:$G,Eventos!$F:$F,$L664,Eventos!$D:$D,$C$2,Eventos!$B:$B,PANES_SEMANALES[[#ALL],[SÁBADO]])</f>
        <v>0</v>
      </c>
      <c r="S664" s="59">
        <f>SUMIFS(Eventos!$G:$G,Eventos!$F:$F,$L664,Eventos!$D:$D,$C$2,Eventos!$B:$B,PANES_SEMANALES[[#ALL],[DOMINGO]])</f>
        <v>0</v>
      </c>
      <c r="T664" s="59">
        <f t="shared" si="1"/>
        <v>0</v>
      </c>
    </row>
    <row r="665" ht="22.5" customHeight="1">
      <c r="M665" s="59">
        <f>SUMIFS(Eventos!$G:$G,Eventos!$F:$F,$L665,Eventos!$D:$D,$C$2,Eventos!$B:$B,PANES_SEMANALES[[#ALL],[LUNES]])</f>
        <v>0</v>
      </c>
      <c r="N665" s="59">
        <f>SUMIFS(Eventos!$G:$G,Eventos!$F:$F,$L665,Eventos!$D:$D,$C$2,Eventos!$B:$B,PANES_SEMANALES[[#ALL],[MARTES]])</f>
        <v>0</v>
      </c>
      <c r="O665" s="59">
        <f>SUMIFS(Eventos!$G:$G,Eventos!$F:$F,$L665,Eventos!$D:$D,$C$2,Eventos!$B:$B,PANES_SEMANALES[[#ALL],[MIÉRCOLES]])</f>
        <v>0</v>
      </c>
      <c r="P665" s="59">
        <f>SUMIFS(Eventos!$G:$G,Eventos!$F:$F,$L665,Eventos!$D:$D,$C$2,Eventos!$B:$B,PANES_SEMANALES[[#ALL],[JUEVES]])</f>
        <v>0</v>
      </c>
      <c r="Q665" s="59">
        <f>IF(P665&lt;&gt;"",SUMIFS(Eventos!$G:$G,Eventos!$B:$B,Q$2,Eventos!$D:$D,$C$2,Eventos!$F:$F,$L665),"")</f>
        <v>0</v>
      </c>
      <c r="R665" s="59">
        <f>SUMIFS(Eventos!$G:$G,Eventos!$F:$F,$L665,Eventos!$D:$D,$C$2,Eventos!$B:$B,PANES_SEMANALES[[#ALL],[SÁBADO]])</f>
        <v>0</v>
      </c>
      <c r="S665" s="59">
        <f>SUMIFS(Eventos!$G:$G,Eventos!$F:$F,$L665,Eventos!$D:$D,$C$2,Eventos!$B:$B,PANES_SEMANALES[[#ALL],[DOMINGO]])</f>
        <v>0</v>
      </c>
      <c r="T665" s="59">
        <f t="shared" si="1"/>
        <v>0</v>
      </c>
    </row>
    <row r="666" ht="22.5" customHeight="1">
      <c r="M666" s="59">
        <f>SUMIFS(Eventos!$G:$G,Eventos!$F:$F,$L666,Eventos!$D:$D,$C$2,Eventos!$B:$B,PANES_SEMANALES[[#ALL],[LUNES]])</f>
        <v>0</v>
      </c>
      <c r="N666" s="59">
        <f>SUMIFS(Eventos!$G:$G,Eventos!$F:$F,$L666,Eventos!$D:$D,$C$2,Eventos!$B:$B,PANES_SEMANALES[[#ALL],[MARTES]])</f>
        <v>0</v>
      </c>
      <c r="O666" s="59">
        <f>SUMIFS(Eventos!$G:$G,Eventos!$F:$F,$L666,Eventos!$D:$D,$C$2,Eventos!$B:$B,PANES_SEMANALES[[#ALL],[MIÉRCOLES]])</f>
        <v>0</v>
      </c>
      <c r="P666" s="59">
        <f>SUMIFS(Eventos!$G:$G,Eventos!$F:$F,$L666,Eventos!$D:$D,$C$2,Eventos!$B:$B,PANES_SEMANALES[[#ALL],[JUEVES]])</f>
        <v>0</v>
      </c>
      <c r="Q666" s="59">
        <f>IF(P666&lt;&gt;"",SUMIFS(Eventos!$G:$G,Eventos!$B:$B,Q$2,Eventos!$D:$D,$C$2,Eventos!$F:$F,$L666),"")</f>
        <v>0</v>
      </c>
      <c r="R666" s="59">
        <f>SUMIFS(Eventos!$G:$G,Eventos!$F:$F,$L666,Eventos!$D:$D,$C$2,Eventos!$B:$B,PANES_SEMANALES[[#ALL],[SÁBADO]])</f>
        <v>0</v>
      </c>
      <c r="S666" s="59">
        <f>SUMIFS(Eventos!$G:$G,Eventos!$F:$F,$L666,Eventos!$D:$D,$C$2,Eventos!$B:$B,PANES_SEMANALES[[#ALL],[DOMINGO]])</f>
        <v>0</v>
      </c>
      <c r="T666" s="59">
        <f t="shared" si="1"/>
        <v>0</v>
      </c>
    </row>
    <row r="667" ht="22.5" customHeight="1">
      <c r="M667" s="59">
        <f>SUMIFS(Eventos!$G:$G,Eventos!$F:$F,$L667,Eventos!$D:$D,$C$2,Eventos!$B:$B,PANES_SEMANALES[[#ALL],[LUNES]])</f>
        <v>0</v>
      </c>
      <c r="N667" s="59">
        <f>SUMIFS(Eventos!$G:$G,Eventos!$F:$F,$L667,Eventos!$D:$D,$C$2,Eventos!$B:$B,PANES_SEMANALES[[#ALL],[MARTES]])</f>
        <v>0</v>
      </c>
      <c r="O667" s="59">
        <f>SUMIFS(Eventos!$G:$G,Eventos!$F:$F,$L667,Eventos!$D:$D,$C$2,Eventos!$B:$B,PANES_SEMANALES[[#ALL],[MIÉRCOLES]])</f>
        <v>0</v>
      </c>
      <c r="P667" s="59">
        <f>SUMIFS(Eventos!$G:$G,Eventos!$F:$F,$L667,Eventos!$D:$D,$C$2,Eventos!$B:$B,PANES_SEMANALES[[#ALL],[JUEVES]])</f>
        <v>0</v>
      </c>
      <c r="Q667" s="59">
        <f>IF(P667&lt;&gt;"",SUMIFS(Eventos!$G:$G,Eventos!$B:$B,Q$2,Eventos!$D:$D,$C$2,Eventos!$F:$F,$L667),"")</f>
        <v>0</v>
      </c>
      <c r="R667" s="59">
        <f>SUMIFS(Eventos!$G:$G,Eventos!$F:$F,$L667,Eventos!$D:$D,$C$2,Eventos!$B:$B,PANES_SEMANALES[[#ALL],[SÁBADO]])</f>
        <v>0</v>
      </c>
      <c r="S667" s="59">
        <f>SUMIFS(Eventos!$G:$G,Eventos!$F:$F,$L667,Eventos!$D:$D,$C$2,Eventos!$B:$B,PANES_SEMANALES[[#ALL],[DOMINGO]])</f>
        <v>0</v>
      </c>
      <c r="T667" s="59">
        <f t="shared" si="1"/>
        <v>0</v>
      </c>
    </row>
    <row r="668" ht="22.5" customHeight="1">
      <c r="M668" s="59">
        <f>SUMIFS(Eventos!$G:$G,Eventos!$F:$F,$L668,Eventos!$D:$D,$C$2,Eventos!$B:$B,PANES_SEMANALES[[#ALL],[LUNES]])</f>
        <v>0</v>
      </c>
      <c r="N668" s="59">
        <f>SUMIFS(Eventos!$G:$G,Eventos!$F:$F,$L668,Eventos!$D:$D,$C$2,Eventos!$B:$B,PANES_SEMANALES[[#ALL],[MARTES]])</f>
        <v>0</v>
      </c>
      <c r="O668" s="59">
        <f>SUMIFS(Eventos!$G:$G,Eventos!$F:$F,$L668,Eventos!$D:$D,$C$2,Eventos!$B:$B,PANES_SEMANALES[[#ALL],[MIÉRCOLES]])</f>
        <v>0</v>
      </c>
      <c r="P668" s="59">
        <f>SUMIFS(Eventos!$G:$G,Eventos!$F:$F,$L668,Eventos!$D:$D,$C$2,Eventos!$B:$B,PANES_SEMANALES[[#ALL],[JUEVES]])</f>
        <v>0</v>
      </c>
      <c r="Q668" s="59">
        <f>IF(P668&lt;&gt;"",SUMIFS(Eventos!$G:$G,Eventos!$B:$B,Q$2,Eventos!$D:$D,$C$2,Eventos!$F:$F,$L668),"")</f>
        <v>0</v>
      </c>
      <c r="R668" s="59">
        <f>SUMIFS(Eventos!$G:$G,Eventos!$F:$F,$L668,Eventos!$D:$D,$C$2,Eventos!$B:$B,PANES_SEMANALES[[#ALL],[SÁBADO]])</f>
        <v>0</v>
      </c>
      <c r="S668" s="59">
        <f>SUMIFS(Eventos!$G:$G,Eventos!$F:$F,$L668,Eventos!$D:$D,$C$2,Eventos!$B:$B,PANES_SEMANALES[[#ALL],[DOMINGO]])</f>
        <v>0</v>
      </c>
      <c r="T668" s="59">
        <f t="shared" si="1"/>
        <v>0</v>
      </c>
    </row>
    <row r="669" ht="22.5" customHeight="1">
      <c r="M669" s="59">
        <f>SUMIFS(Eventos!$G:$G,Eventos!$F:$F,$L669,Eventos!$D:$D,$C$2,Eventos!$B:$B,PANES_SEMANALES[[#ALL],[LUNES]])</f>
        <v>0</v>
      </c>
      <c r="N669" s="59">
        <f>SUMIFS(Eventos!$G:$G,Eventos!$F:$F,$L669,Eventos!$D:$D,$C$2,Eventos!$B:$B,PANES_SEMANALES[[#ALL],[MARTES]])</f>
        <v>0</v>
      </c>
      <c r="O669" s="59">
        <f>SUMIFS(Eventos!$G:$G,Eventos!$F:$F,$L669,Eventos!$D:$D,$C$2,Eventos!$B:$B,PANES_SEMANALES[[#ALL],[MIÉRCOLES]])</f>
        <v>0</v>
      </c>
      <c r="P669" s="59">
        <f>SUMIFS(Eventos!$G:$G,Eventos!$F:$F,$L669,Eventos!$D:$D,$C$2,Eventos!$B:$B,PANES_SEMANALES[[#ALL],[JUEVES]])</f>
        <v>0</v>
      </c>
      <c r="Q669" s="59">
        <f>IF(P669&lt;&gt;"",SUMIFS(Eventos!$G:$G,Eventos!$B:$B,Q$2,Eventos!$D:$D,$C$2,Eventos!$F:$F,$L669),"")</f>
        <v>0</v>
      </c>
      <c r="R669" s="59">
        <f>SUMIFS(Eventos!$G:$G,Eventos!$F:$F,$L669,Eventos!$D:$D,$C$2,Eventos!$B:$B,PANES_SEMANALES[[#ALL],[SÁBADO]])</f>
        <v>0</v>
      </c>
      <c r="S669" s="59">
        <f>SUMIFS(Eventos!$G:$G,Eventos!$F:$F,$L669,Eventos!$D:$D,$C$2,Eventos!$B:$B,PANES_SEMANALES[[#ALL],[DOMINGO]])</f>
        <v>0</v>
      </c>
      <c r="T669" s="59">
        <f t="shared" si="1"/>
        <v>0</v>
      </c>
    </row>
    <row r="670" ht="22.5" customHeight="1">
      <c r="M670" s="59">
        <f>SUMIFS(Eventos!$G:$G,Eventos!$F:$F,$L670,Eventos!$D:$D,$C$2,Eventos!$B:$B,PANES_SEMANALES[[#ALL],[LUNES]])</f>
        <v>0</v>
      </c>
      <c r="N670" s="59">
        <f>SUMIFS(Eventos!$G:$G,Eventos!$F:$F,$L670,Eventos!$D:$D,$C$2,Eventos!$B:$B,PANES_SEMANALES[[#ALL],[MARTES]])</f>
        <v>0</v>
      </c>
      <c r="O670" s="59">
        <f>SUMIFS(Eventos!$G:$G,Eventos!$F:$F,$L670,Eventos!$D:$D,$C$2,Eventos!$B:$B,PANES_SEMANALES[[#ALL],[MIÉRCOLES]])</f>
        <v>0</v>
      </c>
      <c r="P670" s="59">
        <f>SUMIFS(Eventos!$G:$G,Eventos!$F:$F,$L670,Eventos!$D:$D,$C$2,Eventos!$B:$B,PANES_SEMANALES[[#ALL],[JUEVES]])</f>
        <v>0</v>
      </c>
      <c r="Q670" s="59">
        <f>IF(P670&lt;&gt;"",SUMIFS(Eventos!$G:$G,Eventos!$B:$B,Q$2,Eventos!$D:$D,$C$2,Eventos!$F:$F,$L670),"")</f>
        <v>0</v>
      </c>
      <c r="R670" s="59">
        <f>SUMIFS(Eventos!$G:$G,Eventos!$F:$F,$L670,Eventos!$D:$D,$C$2,Eventos!$B:$B,PANES_SEMANALES[[#ALL],[SÁBADO]])</f>
        <v>0</v>
      </c>
      <c r="S670" s="59">
        <f>SUMIFS(Eventos!$G:$G,Eventos!$F:$F,$L670,Eventos!$D:$D,$C$2,Eventos!$B:$B,PANES_SEMANALES[[#ALL],[DOMINGO]])</f>
        <v>0</v>
      </c>
      <c r="T670" s="59">
        <f t="shared" si="1"/>
        <v>0</v>
      </c>
    </row>
    <row r="671" ht="22.5" customHeight="1">
      <c r="M671" s="59">
        <f>SUMIFS(Eventos!$G:$G,Eventos!$F:$F,$L671,Eventos!$D:$D,$C$2,Eventos!$B:$B,PANES_SEMANALES[[#ALL],[LUNES]])</f>
        <v>0</v>
      </c>
      <c r="N671" s="59">
        <f>SUMIFS(Eventos!$G:$G,Eventos!$F:$F,$L671,Eventos!$D:$D,$C$2,Eventos!$B:$B,PANES_SEMANALES[[#ALL],[MARTES]])</f>
        <v>0</v>
      </c>
      <c r="O671" s="59">
        <f>SUMIFS(Eventos!$G:$G,Eventos!$F:$F,$L671,Eventos!$D:$D,$C$2,Eventos!$B:$B,PANES_SEMANALES[[#ALL],[MIÉRCOLES]])</f>
        <v>0</v>
      </c>
      <c r="P671" s="59">
        <f>SUMIFS(Eventos!$G:$G,Eventos!$F:$F,$L671,Eventos!$D:$D,$C$2,Eventos!$B:$B,PANES_SEMANALES[[#ALL],[JUEVES]])</f>
        <v>0</v>
      </c>
      <c r="Q671" s="59">
        <f>IF(P671&lt;&gt;"",SUMIFS(Eventos!$G:$G,Eventos!$B:$B,Q$2,Eventos!$D:$D,$C$2,Eventos!$F:$F,$L671),"")</f>
        <v>0</v>
      </c>
      <c r="R671" s="59">
        <f>SUMIFS(Eventos!$G:$G,Eventos!$F:$F,$L671,Eventos!$D:$D,$C$2,Eventos!$B:$B,PANES_SEMANALES[[#ALL],[SÁBADO]])</f>
        <v>0</v>
      </c>
      <c r="S671" s="59">
        <f>SUMIFS(Eventos!$G:$G,Eventos!$F:$F,$L671,Eventos!$D:$D,$C$2,Eventos!$B:$B,PANES_SEMANALES[[#ALL],[DOMINGO]])</f>
        <v>0</v>
      </c>
      <c r="T671" s="59">
        <f t="shared" si="1"/>
        <v>0</v>
      </c>
    </row>
    <row r="672" ht="22.5" customHeight="1">
      <c r="M672" s="59">
        <f>SUMIFS(Eventos!$G:$G,Eventos!$F:$F,$L672,Eventos!$D:$D,$C$2,Eventos!$B:$B,PANES_SEMANALES[[#ALL],[LUNES]])</f>
        <v>0</v>
      </c>
      <c r="N672" s="59">
        <f>SUMIFS(Eventos!$G:$G,Eventos!$F:$F,$L672,Eventos!$D:$D,$C$2,Eventos!$B:$B,PANES_SEMANALES[[#ALL],[MARTES]])</f>
        <v>0</v>
      </c>
      <c r="O672" s="59">
        <f>SUMIFS(Eventos!$G:$G,Eventos!$F:$F,$L672,Eventos!$D:$D,$C$2,Eventos!$B:$B,PANES_SEMANALES[[#ALL],[MIÉRCOLES]])</f>
        <v>0</v>
      </c>
      <c r="P672" s="59">
        <f>SUMIFS(Eventos!$G:$G,Eventos!$F:$F,$L672,Eventos!$D:$D,$C$2,Eventos!$B:$B,PANES_SEMANALES[[#ALL],[JUEVES]])</f>
        <v>0</v>
      </c>
      <c r="Q672" s="59">
        <f>IF(P672&lt;&gt;"",SUMIFS(Eventos!$G:$G,Eventos!$B:$B,Q$2,Eventos!$D:$D,$C$2,Eventos!$F:$F,$L672),"")</f>
        <v>0</v>
      </c>
      <c r="R672" s="59">
        <f>SUMIFS(Eventos!$G:$G,Eventos!$F:$F,$L672,Eventos!$D:$D,$C$2,Eventos!$B:$B,PANES_SEMANALES[[#ALL],[SÁBADO]])</f>
        <v>0</v>
      </c>
      <c r="S672" s="59">
        <f>SUMIFS(Eventos!$G:$G,Eventos!$F:$F,$L672,Eventos!$D:$D,$C$2,Eventos!$B:$B,PANES_SEMANALES[[#ALL],[DOMINGO]])</f>
        <v>0</v>
      </c>
      <c r="T672" s="59">
        <f t="shared" si="1"/>
        <v>0</v>
      </c>
    </row>
    <row r="673" ht="22.5" customHeight="1">
      <c r="M673" s="59">
        <f>SUMIFS(Eventos!$G:$G,Eventos!$F:$F,$L673,Eventos!$D:$D,$C$2,Eventos!$B:$B,PANES_SEMANALES[[#ALL],[LUNES]])</f>
        <v>0</v>
      </c>
      <c r="N673" s="59">
        <f>SUMIFS(Eventos!$G:$G,Eventos!$F:$F,$L673,Eventos!$D:$D,$C$2,Eventos!$B:$B,PANES_SEMANALES[[#ALL],[MARTES]])</f>
        <v>0</v>
      </c>
      <c r="O673" s="59">
        <f>SUMIFS(Eventos!$G:$G,Eventos!$F:$F,$L673,Eventos!$D:$D,$C$2,Eventos!$B:$B,PANES_SEMANALES[[#ALL],[MIÉRCOLES]])</f>
        <v>0</v>
      </c>
      <c r="P673" s="59">
        <f>SUMIFS(Eventos!$G:$G,Eventos!$F:$F,$L673,Eventos!$D:$D,$C$2,Eventos!$B:$B,PANES_SEMANALES[[#ALL],[JUEVES]])</f>
        <v>0</v>
      </c>
      <c r="Q673" s="59">
        <f>IF(P673&lt;&gt;"",SUMIFS(Eventos!$G:$G,Eventos!$B:$B,Q$2,Eventos!$D:$D,$C$2,Eventos!$F:$F,$L673),"")</f>
        <v>0</v>
      </c>
      <c r="R673" s="59">
        <f>SUMIFS(Eventos!$G:$G,Eventos!$F:$F,$L673,Eventos!$D:$D,$C$2,Eventos!$B:$B,PANES_SEMANALES[[#ALL],[SÁBADO]])</f>
        <v>0</v>
      </c>
      <c r="S673" s="59">
        <f>SUMIFS(Eventos!$G:$G,Eventos!$F:$F,$L673,Eventos!$D:$D,$C$2,Eventos!$B:$B,PANES_SEMANALES[[#ALL],[DOMINGO]])</f>
        <v>0</v>
      </c>
      <c r="T673" s="59">
        <f t="shared" si="1"/>
        <v>0</v>
      </c>
    </row>
    <row r="674" ht="22.5" customHeight="1">
      <c r="M674" s="59">
        <f>SUMIFS(Eventos!$G:$G,Eventos!$F:$F,$L674,Eventos!$D:$D,$C$2,Eventos!$B:$B,PANES_SEMANALES[[#ALL],[LUNES]])</f>
        <v>0</v>
      </c>
      <c r="N674" s="59">
        <f>SUMIFS(Eventos!$G:$G,Eventos!$F:$F,$L674,Eventos!$D:$D,$C$2,Eventos!$B:$B,PANES_SEMANALES[[#ALL],[MARTES]])</f>
        <v>0</v>
      </c>
      <c r="O674" s="59">
        <f>SUMIFS(Eventos!$G:$G,Eventos!$F:$F,$L674,Eventos!$D:$D,$C$2,Eventos!$B:$B,PANES_SEMANALES[[#ALL],[MIÉRCOLES]])</f>
        <v>0</v>
      </c>
      <c r="P674" s="59">
        <f>SUMIFS(Eventos!$G:$G,Eventos!$F:$F,$L674,Eventos!$D:$D,$C$2,Eventos!$B:$B,PANES_SEMANALES[[#ALL],[JUEVES]])</f>
        <v>0</v>
      </c>
      <c r="Q674" s="59">
        <f>IF(P674&lt;&gt;"",SUMIFS(Eventos!$G:$G,Eventos!$B:$B,Q$2,Eventos!$D:$D,$C$2,Eventos!$F:$F,$L674),"")</f>
        <v>0</v>
      </c>
      <c r="R674" s="59">
        <f>SUMIFS(Eventos!$G:$G,Eventos!$F:$F,$L674,Eventos!$D:$D,$C$2,Eventos!$B:$B,PANES_SEMANALES[[#ALL],[SÁBADO]])</f>
        <v>0</v>
      </c>
      <c r="S674" s="59">
        <f>SUMIFS(Eventos!$G:$G,Eventos!$F:$F,$L674,Eventos!$D:$D,$C$2,Eventos!$B:$B,PANES_SEMANALES[[#ALL],[DOMINGO]])</f>
        <v>0</v>
      </c>
      <c r="T674" s="59">
        <f t="shared" si="1"/>
        <v>0</v>
      </c>
    </row>
    <row r="675" ht="22.5" customHeight="1">
      <c r="M675" s="59">
        <f>SUMIFS(Eventos!$G:$G,Eventos!$F:$F,$L675,Eventos!$D:$D,$C$2,Eventos!$B:$B,PANES_SEMANALES[[#ALL],[LUNES]])</f>
        <v>0</v>
      </c>
      <c r="N675" s="59">
        <f>SUMIFS(Eventos!$G:$G,Eventos!$F:$F,$L675,Eventos!$D:$D,$C$2,Eventos!$B:$B,PANES_SEMANALES[[#ALL],[MARTES]])</f>
        <v>0</v>
      </c>
      <c r="O675" s="59">
        <f>SUMIFS(Eventos!$G:$G,Eventos!$F:$F,$L675,Eventos!$D:$D,$C$2,Eventos!$B:$B,PANES_SEMANALES[[#ALL],[MIÉRCOLES]])</f>
        <v>0</v>
      </c>
      <c r="P675" s="59">
        <f>SUMIFS(Eventos!$G:$G,Eventos!$F:$F,$L675,Eventos!$D:$D,$C$2,Eventos!$B:$B,PANES_SEMANALES[[#ALL],[JUEVES]])</f>
        <v>0</v>
      </c>
      <c r="Q675" s="59">
        <f>IF(P675&lt;&gt;"",SUMIFS(Eventos!$G:$G,Eventos!$B:$B,Q$2,Eventos!$D:$D,$C$2,Eventos!$F:$F,$L675),"")</f>
        <v>0</v>
      </c>
      <c r="R675" s="59">
        <f>SUMIFS(Eventos!$G:$G,Eventos!$F:$F,$L675,Eventos!$D:$D,$C$2,Eventos!$B:$B,PANES_SEMANALES[[#ALL],[SÁBADO]])</f>
        <v>0</v>
      </c>
      <c r="S675" s="59">
        <f>SUMIFS(Eventos!$G:$G,Eventos!$F:$F,$L675,Eventos!$D:$D,$C$2,Eventos!$B:$B,PANES_SEMANALES[[#ALL],[DOMINGO]])</f>
        <v>0</v>
      </c>
      <c r="T675" s="59">
        <f t="shared" si="1"/>
        <v>0</v>
      </c>
    </row>
    <row r="676" ht="22.5" customHeight="1">
      <c r="M676" s="59">
        <f>SUMIFS(Eventos!$G:$G,Eventos!$F:$F,$L676,Eventos!$D:$D,$C$2,Eventos!$B:$B,PANES_SEMANALES[[#ALL],[LUNES]])</f>
        <v>0</v>
      </c>
      <c r="N676" s="59">
        <f>SUMIFS(Eventos!$G:$G,Eventos!$F:$F,$L676,Eventos!$D:$D,$C$2,Eventos!$B:$B,PANES_SEMANALES[[#ALL],[MARTES]])</f>
        <v>0</v>
      </c>
      <c r="O676" s="59">
        <f>SUMIFS(Eventos!$G:$G,Eventos!$F:$F,$L676,Eventos!$D:$D,$C$2,Eventos!$B:$B,PANES_SEMANALES[[#ALL],[MIÉRCOLES]])</f>
        <v>0</v>
      </c>
      <c r="P676" s="59">
        <f>SUMIFS(Eventos!$G:$G,Eventos!$F:$F,$L676,Eventos!$D:$D,$C$2,Eventos!$B:$B,PANES_SEMANALES[[#ALL],[JUEVES]])</f>
        <v>0</v>
      </c>
      <c r="Q676" s="59">
        <f>IF(P676&lt;&gt;"",SUMIFS(Eventos!$G:$G,Eventos!$B:$B,Q$2,Eventos!$D:$D,$C$2,Eventos!$F:$F,$L676),"")</f>
        <v>0</v>
      </c>
      <c r="R676" s="59">
        <f>SUMIFS(Eventos!$G:$G,Eventos!$F:$F,$L676,Eventos!$D:$D,$C$2,Eventos!$B:$B,PANES_SEMANALES[[#ALL],[SÁBADO]])</f>
        <v>0</v>
      </c>
      <c r="S676" s="59">
        <f>SUMIFS(Eventos!$G:$G,Eventos!$F:$F,$L676,Eventos!$D:$D,$C$2,Eventos!$B:$B,PANES_SEMANALES[[#ALL],[DOMINGO]])</f>
        <v>0</v>
      </c>
      <c r="T676" s="59">
        <f t="shared" si="1"/>
        <v>0</v>
      </c>
    </row>
    <row r="677" ht="22.5" customHeight="1">
      <c r="M677" s="59">
        <f>SUMIFS(Eventos!$G:$G,Eventos!$F:$F,$L677,Eventos!$D:$D,$C$2,Eventos!$B:$B,PANES_SEMANALES[[#ALL],[LUNES]])</f>
        <v>0</v>
      </c>
      <c r="N677" s="59">
        <f>SUMIFS(Eventos!$G:$G,Eventos!$F:$F,$L677,Eventos!$D:$D,$C$2,Eventos!$B:$B,PANES_SEMANALES[[#ALL],[MARTES]])</f>
        <v>0</v>
      </c>
      <c r="O677" s="59">
        <f>SUMIFS(Eventos!$G:$G,Eventos!$F:$F,$L677,Eventos!$D:$D,$C$2,Eventos!$B:$B,PANES_SEMANALES[[#ALL],[MIÉRCOLES]])</f>
        <v>0</v>
      </c>
      <c r="P677" s="59">
        <f>SUMIFS(Eventos!$G:$G,Eventos!$F:$F,$L677,Eventos!$D:$D,$C$2,Eventos!$B:$B,PANES_SEMANALES[[#ALL],[JUEVES]])</f>
        <v>0</v>
      </c>
      <c r="Q677" s="59">
        <f>IF(P677&lt;&gt;"",SUMIFS(Eventos!$G:$G,Eventos!$B:$B,Q$2,Eventos!$D:$D,$C$2,Eventos!$F:$F,$L677),"")</f>
        <v>0</v>
      </c>
      <c r="R677" s="59">
        <f>SUMIFS(Eventos!$G:$G,Eventos!$F:$F,$L677,Eventos!$D:$D,$C$2,Eventos!$B:$B,PANES_SEMANALES[[#ALL],[SÁBADO]])</f>
        <v>0</v>
      </c>
      <c r="S677" s="59">
        <f>SUMIFS(Eventos!$G:$G,Eventos!$F:$F,$L677,Eventos!$D:$D,$C$2,Eventos!$B:$B,PANES_SEMANALES[[#ALL],[DOMINGO]])</f>
        <v>0</v>
      </c>
      <c r="T677" s="59">
        <f t="shared" si="1"/>
        <v>0</v>
      </c>
    </row>
    <row r="678" ht="22.5" customHeight="1">
      <c r="M678" s="59">
        <f>SUMIFS(Eventos!$G:$G,Eventos!$F:$F,$L678,Eventos!$D:$D,$C$2,Eventos!$B:$B,PANES_SEMANALES[[#ALL],[LUNES]])</f>
        <v>0</v>
      </c>
      <c r="N678" s="59">
        <f>SUMIFS(Eventos!$G:$G,Eventos!$F:$F,$L678,Eventos!$D:$D,$C$2,Eventos!$B:$B,PANES_SEMANALES[[#ALL],[MARTES]])</f>
        <v>0</v>
      </c>
      <c r="O678" s="59">
        <f>SUMIFS(Eventos!$G:$G,Eventos!$F:$F,$L678,Eventos!$D:$D,$C$2,Eventos!$B:$B,PANES_SEMANALES[[#ALL],[MIÉRCOLES]])</f>
        <v>0</v>
      </c>
      <c r="P678" s="59">
        <f>SUMIFS(Eventos!$G:$G,Eventos!$F:$F,$L678,Eventos!$D:$D,$C$2,Eventos!$B:$B,PANES_SEMANALES[[#ALL],[JUEVES]])</f>
        <v>0</v>
      </c>
      <c r="Q678" s="59">
        <f>IF(P678&lt;&gt;"",SUMIFS(Eventos!$G:$G,Eventos!$B:$B,Q$2,Eventos!$D:$D,$C$2,Eventos!$F:$F,$L678),"")</f>
        <v>0</v>
      </c>
      <c r="R678" s="59">
        <f>SUMIFS(Eventos!$G:$G,Eventos!$F:$F,$L678,Eventos!$D:$D,$C$2,Eventos!$B:$B,PANES_SEMANALES[[#ALL],[SÁBADO]])</f>
        <v>0</v>
      </c>
      <c r="S678" s="59">
        <f>SUMIFS(Eventos!$G:$G,Eventos!$F:$F,$L678,Eventos!$D:$D,$C$2,Eventos!$B:$B,PANES_SEMANALES[[#ALL],[DOMINGO]])</f>
        <v>0</v>
      </c>
      <c r="T678" s="59">
        <f t="shared" si="1"/>
        <v>0</v>
      </c>
    </row>
    <row r="679" ht="22.5" customHeight="1">
      <c r="M679" s="59">
        <f>SUMIFS(Eventos!$G:$G,Eventos!$F:$F,$L679,Eventos!$D:$D,$C$2,Eventos!$B:$B,PANES_SEMANALES[[#ALL],[LUNES]])</f>
        <v>0</v>
      </c>
      <c r="N679" s="59">
        <f>SUMIFS(Eventos!$G:$G,Eventos!$F:$F,$L679,Eventos!$D:$D,$C$2,Eventos!$B:$B,PANES_SEMANALES[[#ALL],[MARTES]])</f>
        <v>0</v>
      </c>
      <c r="O679" s="59">
        <f>SUMIFS(Eventos!$G:$G,Eventos!$F:$F,$L679,Eventos!$D:$D,$C$2,Eventos!$B:$B,PANES_SEMANALES[[#ALL],[MIÉRCOLES]])</f>
        <v>0</v>
      </c>
      <c r="P679" s="59">
        <f>SUMIFS(Eventos!$G:$G,Eventos!$F:$F,$L679,Eventos!$D:$D,$C$2,Eventos!$B:$B,PANES_SEMANALES[[#ALL],[JUEVES]])</f>
        <v>0</v>
      </c>
      <c r="Q679" s="59">
        <f>IF(P679&lt;&gt;"",SUMIFS(Eventos!$G:$G,Eventos!$B:$B,Q$2,Eventos!$D:$D,$C$2,Eventos!$F:$F,$L679),"")</f>
        <v>0</v>
      </c>
      <c r="R679" s="59">
        <f>SUMIFS(Eventos!$G:$G,Eventos!$F:$F,$L679,Eventos!$D:$D,$C$2,Eventos!$B:$B,PANES_SEMANALES[[#ALL],[SÁBADO]])</f>
        <v>0</v>
      </c>
      <c r="S679" s="59">
        <f>SUMIFS(Eventos!$G:$G,Eventos!$F:$F,$L679,Eventos!$D:$D,$C$2,Eventos!$B:$B,PANES_SEMANALES[[#ALL],[DOMINGO]])</f>
        <v>0</v>
      </c>
      <c r="T679" s="59">
        <f t="shared" si="1"/>
        <v>0</v>
      </c>
    </row>
    <row r="680" ht="22.5" customHeight="1">
      <c r="M680" s="59">
        <f>SUMIFS(Eventos!$G:$G,Eventos!$F:$F,$L680,Eventos!$D:$D,$C$2,Eventos!$B:$B,PANES_SEMANALES[[#ALL],[LUNES]])</f>
        <v>0</v>
      </c>
      <c r="N680" s="59">
        <f>SUMIFS(Eventos!$G:$G,Eventos!$F:$F,$L680,Eventos!$D:$D,$C$2,Eventos!$B:$B,PANES_SEMANALES[[#ALL],[MARTES]])</f>
        <v>0</v>
      </c>
      <c r="O680" s="59">
        <f>SUMIFS(Eventos!$G:$G,Eventos!$F:$F,$L680,Eventos!$D:$D,$C$2,Eventos!$B:$B,PANES_SEMANALES[[#ALL],[MIÉRCOLES]])</f>
        <v>0</v>
      </c>
      <c r="P680" s="59">
        <f>SUMIFS(Eventos!$G:$G,Eventos!$F:$F,$L680,Eventos!$D:$D,$C$2,Eventos!$B:$B,PANES_SEMANALES[[#ALL],[JUEVES]])</f>
        <v>0</v>
      </c>
      <c r="Q680" s="59">
        <f>IF(P680&lt;&gt;"",SUMIFS(Eventos!$G:$G,Eventos!$B:$B,Q$2,Eventos!$D:$D,$C$2,Eventos!$F:$F,$L680),"")</f>
        <v>0</v>
      </c>
      <c r="R680" s="59">
        <f>SUMIFS(Eventos!$G:$G,Eventos!$F:$F,$L680,Eventos!$D:$D,$C$2,Eventos!$B:$B,PANES_SEMANALES[[#ALL],[SÁBADO]])</f>
        <v>0</v>
      </c>
      <c r="S680" s="59">
        <f>SUMIFS(Eventos!$G:$G,Eventos!$F:$F,$L680,Eventos!$D:$D,$C$2,Eventos!$B:$B,PANES_SEMANALES[[#ALL],[DOMINGO]])</f>
        <v>0</v>
      </c>
      <c r="T680" s="59">
        <f t="shared" si="1"/>
        <v>0</v>
      </c>
    </row>
    <row r="681" ht="22.5" customHeight="1">
      <c r="M681" s="59">
        <f>SUMIFS(Eventos!$G:$G,Eventos!$F:$F,$L681,Eventos!$D:$D,$C$2,Eventos!$B:$B,PANES_SEMANALES[[#ALL],[LUNES]])</f>
        <v>0</v>
      </c>
      <c r="N681" s="59">
        <f>SUMIFS(Eventos!$G:$G,Eventos!$F:$F,$L681,Eventos!$D:$D,$C$2,Eventos!$B:$B,PANES_SEMANALES[[#ALL],[MARTES]])</f>
        <v>0</v>
      </c>
      <c r="O681" s="59">
        <f>SUMIFS(Eventos!$G:$G,Eventos!$F:$F,$L681,Eventos!$D:$D,$C$2,Eventos!$B:$B,PANES_SEMANALES[[#ALL],[MIÉRCOLES]])</f>
        <v>0</v>
      </c>
      <c r="P681" s="59">
        <f>SUMIFS(Eventos!$G:$G,Eventos!$F:$F,$L681,Eventos!$D:$D,$C$2,Eventos!$B:$B,PANES_SEMANALES[[#ALL],[JUEVES]])</f>
        <v>0</v>
      </c>
      <c r="Q681" s="59">
        <f>IF(P681&lt;&gt;"",SUMIFS(Eventos!$G:$G,Eventos!$B:$B,Q$2,Eventos!$D:$D,$C$2,Eventos!$F:$F,$L681),"")</f>
        <v>0</v>
      </c>
      <c r="R681" s="59">
        <f>SUMIFS(Eventos!$G:$G,Eventos!$F:$F,$L681,Eventos!$D:$D,$C$2,Eventos!$B:$B,PANES_SEMANALES[[#ALL],[SÁBADO]])</f>
        <v>0</v>
      </c>
      <c r="S681" s="59">
        <f>SUMIFS(Eventos!$G:$G,Eventos!$F:$F,$L681,Eventos!$D:$D,$C$2,Eventos!$B:$B,PANES_SEMANALES[[#ALL],[DOMINGO]])</f>
        <v>0</v>
      </c>
      <c r="T681" s="59">
        <f t="shared" si="1"/>
        <v>0</v>
      </c>
    </row>
    <row r="682" ht="22.5" customHeight="1">
      <c r="M682" s="59">
        <f>SUMIFS(Eventos!$G:$G,Eventos!$F:$F,$L682,Eventos!$D:$D,$C$2,Eventos!$B:$B,PANES_SEMANALES[[#ALL],[LUNES]])</f>
        <v>0</v>
      </c>
      <c r="N682" s="59">
        <f>SUMIFS(Eventos!$G:$G,Eventos!$F:$F,$L682,Eventos!$D:$D,$C$2,Eventos!$B:$B,PANES_SEMANALES[[#ALL],[MARTES]])</f>
        <v>0</v>
      </c>
      <c r="O682" s="59">
        <f>SUMIFS(Eventos!$G:$G,Eventos!$F:$F,$L682,Eventos!$D:$D,$C$2,Eventos!$B:$B,PANES_SEMANALES[[#ALL],[MIÉRCOLES]])</f>
        <v>0</v>
      </c>
      <c r="P682" s="59">
        <f>SUMIFS(Eventos!$G:$G,Eventos!$F:$F,$L682,Eventos!$D:$D,$C$2,Eventos!$B:$B,PANES_SEMANALES[[#ALL],[JUEVES]])</f>
        <v>0</v>
      </c>
      <c r="Q682" s="59">
        <f>IF(P682&lt;&gt;"",SUMIFS(Eventos!$G:$G,Eventos!$B:$B,Q$2,Eventos!$D:$D,$C$2,Eventos!$F:$F,$L682),"")</f>
        <v>0</v>
      </c>
      <c r="R682" s="59">
        <f>SUMIFS(Eventos!$G:$G,Eventos!$F:$F,$L682,Eventos!$D:$D,$C$2,Eventos!$B:$B,PANES_SEMANALES[[#ALL],[SÁBADO]])</f>
        <v>0</v>
      </c>
      <c r="S682" s="59">
        <f>SUMIFS(Eventos!$G:$G,Eventos!$F:$F,$L682,Eventos!$D:$D,$C$2,Eventos!$B:$B,PANES_SEMANALES[[#ALL],[DOMINGO]])</f>
        <v>0</v>
      </c>
      <c r="T682" s="59">
        <f t="shared" si="1"/>
        <v>0</v>
      </c>
    </row>
    <row r="683" ht="22.5" customHeight="1">
      <c r="M683" s="59">
        <f>SUMIFS(Eventos!$G:$G,Eventos!$F:$F,$L683,Eventos!$D:$D,$C$2,Eventos!$B:$B,PANES_SEMANALES[[#ALL],[LUNES]])</f>
        <v>0</v>
      </c>
      <c r="N683" s="59">
        <f>SUMIFS(Eventos!$G:$G,Eventos!$F:$F,$L683,Eventos!$D:$D,$C$2,Eventos!$B:$B,PANES_SEMANALES[[#ALL],[MARTES]])</f>
        <v>0</v>
      </c>
      <c r="O683" s="59">
        <f>SUMIFS(Eventos!$G:$G,Eventos!$F:$F,$L683,Eventos!$D:$D,$C$2,Eventos!$B:$B,PANES_SEMANALES[[#ALL],[MIÉRCOLES]])</f>
        <v>0</v>
      </c>
      <c r="P683" s="59">
        <f>SUMIFS(Eventos!$G:$G,Eventos!$F:$F,$L683,Eventos!$D:$D,$C$2,Eventos!$B:$B,PANES_SEMANALES[[#ALL],[JUEVES]])</f>
        <v>0</v>
      </c>
      <c r="Q683" s="59">
        <f>IF(P683&lt;&gt;"",SUMIFS(Eventos!$G:$G,Eventos!$B:$B,Q$2,Eventos!$D:$D,$C$2,Eventos!$F:$F,$L683),"")</f>
        <v>0</v>
      </c>
      <c r="R683" s="59">
        <f>SUMIFS(Eventos!$G:$G,Eventos!$F:$F,$L683,Eventos!$D:$D,$C$2,Eventos!$B:$B,PANES_SEMANALES[[#ALL],[SÁBADO]])</f>
        <v>0</v>
      </c>
      <c r="S683" s="59">
        <f>SUMIFS(Eventos!$G:$G,Eventos!$F:$F,$L683,Eventos!$D:$D,$C$2,Eventos!$B:$B,PANES_SEMANALES[[#ALL],[DOMINGO]])</f>
        <v>0</v>
      </c>
      <c r="T683" s="59">
        <f t="shared" si="1"/>
        <v>0</v>
      </c>
    </row>
    <row r="684" ht="22.5" customHeight="1">
      <c r="M684" s="59">
        <f>SUMIFS(Eventos!$G:$G,Eventos!$F:$F,$L684,Eventos!$D:$D,$C$2,Eventos!$B:$B,PANES_SEMANALES[[#ALL],[LUNES]])</f>
        <v>0</v>
      </c>
      <c r="N684" s="59">
        <f>SUMIFS(Eventos!$G:$G,Eventos!$F:$F,$L684,Eventos!$D:$D,$C$2,Eventos!$B:$B,PANES_SEMANALES[[#ALL],[MARTES]])</f>
        <v>0</v>
      </c>
      <c r="O684" s="59">
        <f>SUMIFS(Eventos!$G:$G,Eventos!$F:$F,$L684,Eventos!$D:$D,$C$2,Eventos!$B:$B,PANES_SEMANALES[[#ALL],[MIÉRCOLES]])</f>
        <v>0</v>
      </c>
      <c r="P684" s="59">
        <f>SUMIFS(Eventos!$G:$G,Eventos!$F:$F,$L684,Eventos!$D:$D,$C$2,Eventos!$B:$B,PANES_SEMANALES[[#ALL],[JUEVES]])</f>
        <v>0</v>
      </c>
      <c r="Q684" s="59">
        <f>IF(P684&lt;&gt;"",SUMIFS(Eventos!$G:$G,Eventos!$B:$B,Q$2,Eventos!$D:$D,$C$2,Eventos!$F:$F,$L684),"")</f>
        <v>0</v>
      </c>
      <c r="R684" s="59">
        <f>SUMIFS(Eventos!$G:$G,Eventos!$F:$F,$L684,Eventos!$D:$D,$C$2,Eventos!$B:$B,PANES_SEMANALES[[#ALL],[SÁBADO]])</f>
        <v>0</v>
      </c>
      <c r="S684" s="59">
        <f>SUMIFS(Eventos!$G:$G,Eventos!$F:$F,$L684,Eventos!$D:$D,$C$2,Eventos!$B:$B,PANES_SEMANALES[[#ALL],[DOMINGO]])</f>
        <v>0</v>
      </c>
      <c r="T684" s="59">
        <f t="shared" si="1"/>
        <v>0</v>
      </c>
    </row>
    <row r="685" ht="22.5" customHeight="1">
      <c r="M685" s="59">
        <f>SUMIFS(Eventos!$G:$G,Eventos!$F:$F,$L685,Eventos!$D:$D,$C$2,Eventos!$B:$B,PANES_SEMANALES[[#ALL],[LUNES]])</f>
        <v>0</v>
      </c>
      <c r="N685" s="59">
        <f>SUMIFS(Eventos!$G:$G,Eventos!$F:$F,$L685,Eventos!$D:$D,$C$2,Eventos!$B:$B,PANES_SEMANALES[[#ALL],[MARTES]])</f>
        <v>0</v>
      </c>
      <c r="O685" s="59">
        <f>SUMIFS(Eventos!$G:$G,Eventos!$F:$F,$L685,Eventos!$D:$D,$C$2,Eventos!$B:$B,PANES_SEMANALES[[#ALL],[MIÉRCOLES]])</f>
        <v>0</v>
      </c>
      <c r="P685" s="59">
        <f>SUMIFS(Eventos!$G:$G,Eventos!$F:$F,$L685,Eventos!$D:$D,$C$2,Eventos!$B:$B,PANES_SEMANALES[[#ALL],[JUEVES]])</f>
        <v>0</v>
      </c>
      <c r="Q685" s="59">
        <f>IF(P685&lt;&gt;"",SUMIFS(Eventos!$G:$G,Eventos!$B:$B,Q$2,Eventos!$D:$D,$C$2,Eventos!$F:$F,$L685),"")</f>
        <v>0</v>
      </c>
      <c r="R685" s="59">
        <f>SUMIFS(Eventos!$G:$G,Eventos!$F:$F,$L685,Eventos!$D:$D,$C$2,Eventos!$B:$B,PANES_SEMANALES[[#ALL],[SÁBADO]])</f>
        <v>0</v>
      </c>
      <c r="S685" s="59">
        <f>SUMIFS(Eventos!$G:$G,Eventos!$F:$F,$L685,Eventos!$D:$D,$C$2,Eventos!$B:$B,PANES_SEMANALES[[#ALL],[DOMINGO]])</f>
        <v>0</v>
      </c>
      <c r="T685" s="59">
        <f t="shared" si="1"/>
        <v>0</v>
      </c>
    </row>
    <row r="686" ht="22.5" customHeight="1">
      <c r="M686" s="59">
        <f>SUMIFS(Eventos!$G:$G,Eventos!$F:$F,$L686,Eventos!$D:$D,$C$2,Eventos!$B:$B,PANES_SEMANALES[[#ALL],[LUNES]])</f>
        <v>0</v>
      </c>
      <c r="N686" s="59">
        <f>SUMIFS(Eventos!$G:$G,Eventos!$F:$F,$L686,Eventos!$D:$D,$C$2,Eventos!$B:$B,PANES_SEMANALES[[#ALL],[MARTES]])</f>
        <v>0</v>
      </c>
      <c r="O686" s="59">
        <f>SUMIFS(Eventos!$G:$G,Eventos!$F:$F,$L686,Eventos!$D:$D,$C$2,Eventos!$B:$B,PANES_SEMANALES[[#ALL],[MIÉRCOLES]])</f>
        <v>0</v>
      </c>
      <c r="P686" s="59">
        <f>SUMIFS(Eventos!$G:$G,Eventos!$F:$F,$L686,Eventos!$D:$D,$C$2,Eventos!$B:$B,PANES_SEMANALES[[#ALL],[JUEVES]])</f>
        <v>0</v>
      </c>
      <c r="Q686" s="59">
        <f>IF(P686&lt;&gt;"",SUMIFS(Eventos!$G:$G,Eventos!$B:$B,Q$2,Eventos!$D:$D,$C$2,Eventos!$F:$F,$L686),"")</f>
        <v>0</v>
      </c>
      <c r="R686" s="59">
        <f>SUMIFS(Eventos!$G:$G,Eventos!$F:$F,$L686,Eventos!$D:$D,$C$2,Eventos!$B:$B,PANES_SEMANALES[[#ALL],[SÁBADO]])</f>
        <v>0</v>
      </c>
      <c r="S686" s="59">
        <f>SUMIFS(Eventos!$G:$G,Eventos!$F:$F,$L686,Eventos!$D:$D,$C$2,Eventos!$B:$B,PANES_SEMANALES[[#ALL],[DOMINGO]])</f>
        <v>0</v>
      </c>
      <c r="T686" s="59">
        <f t="shared" si="1"/>
        <v>0</v>
      </c>
    </row>
    <row r="687" ht="22.5" customHeight="1">
      <c r="M687" s="59">
        <f>SUMIFS(Eventos!$G:$G,Eventos!$F:$F,$L687,Eventos!$D:$D,$C$2,Eventos!$B:$B,PANES_SEMANALES[[#ALL],[LUNES]])</f>
        <v>0</v>
      </c>
      <c r="N687" s="59">
        <f>SUMIFS(Eventos!$G:$G,Eventos!$F:$F,$L687,Eventos!$D:$D,$C$2,Eventos!$B:$B,PANES_SEMANALES[[#ALL],[MARTES]])</f>
        <v>0</v>
      </c>
      <c r="O687" s="59">
        <f>SUMIFS(Eventos!$G:$G,Eventos!$F:$F,$L687,Eventos!$D:$D,$C$2,Eventos!$B:$B,PANES_SEMANALES[[#ALL],[MIÉRCOLES]])</f>
        <v>0</v>
      </c>
      <c r="P687" s="59">
        <f>SUMIFS(Eventos!$G:$G,Eventos!$F:$F,$L687,Eventos!$D:$D,$C$2,Eventos!$B:$B,PANES_SEMANALES[[#ALL],[JUEVES]])</f>
        <v>0</v>
      </c>
      <c r="Q687" s="59">
        <f>IF(P687&lt;&gt;"",SUMIFS(Eventos!$G:$G,Eventos!$B:$B,Q$2,Eventos!$D:$D,$C$2,Eventos!$F:$F,$L687),"")</f>
        <v>0</v>
      </c>
      <c r="R687" s="59">
        <f>SUMIFS(Eventos!$G:$G,Eventos!$F:$F,$L687,Eventos!$D:$D,$C$2,Eventos!$B:$B,PANES_SEMANALES[[#ALL],[SÁBADO]])</f>
        <v>0</v>
      </c>
      <c r="S687" s="59">
        <f>SUMIFS(Eventos!$G:$G,Eventos!$F:$F,$L687,Eventos!$D:$D,$C$2,Eventos!$B:$B,PANES_SEMANALES[[#ALL],[DOMINGO]])</f>
        <v>0</v>
      </c>
      <c r="T687" s="59">
        <f t="shared" si="1"/>
        <v>0</v>
      </c>
    </row>
    <row r="688" ht="22.5" customHeight="1">
      <c r="M688" s="59">
        <f>SUMIFS(Eventos!$G:$G,Eventos!$F:$F,$L688,Eventos!$D:$D,$C$2,Eventos!$B:$B,PANES_SEMANALES[[#ALL],[LUNES]])</f>
        <v>0</v>
      </c>
      <c r="N688" s="59">
        <f>SUMIFS(Eventos!$G:$G,Eventos!$F:$F,$L688,Eventos!$D:$D,$C$2,Eventos!$B:$B,PANES_SEMANALES[[#ALL],[MARTES]])</f>
        <v>0</v>
      </c>
      <c r="O688" s="59">
        <f>SUMIFS(Eventos!$G:$G,Eventos!$F:$F,$L688,Eventos!$D:$D,$C$2,Eventos!$B:$B,PANES_SEMANALES[[#ALL],[MIÉRCOLES]])</f>
        <v>0</v>
      </c>
      <c r="P688" s="59">
        <f>SUMIFS(Eventos!$G:$G,Eventos!$F:$F,$L688,Eventos!$D:$D,$C$2,Eventos!$B:$B,PANES_SEMANALES[[#ALL],[JUEVES]])</f>
        <v>0</v>
      </c>
      <c r="Q688" s="59">
        <f>IF(P688&lt;&gt;"",SUMIFS(Eventos!$G:$G,Eventos!$B:$B,Q$2,Eventos!$D:$D,$C$2,Eventos!$F:$F,$L688),"")</f>
        <v>0</v>
      </c>
      <c r="R688" s="59">
        <f>SUMIFS(Eventos!$G:$G,Eventos!$F:$F,$L688,Eventos!$D:$D,$C$2,Eventos!$B:$B,PANES_SEMANALES[[#ALL],[SÁBADO]])</f>
        <v>0</v>
      </c>
      <c r="S688" s="59">
        <f>SUMIFS(Eventos!$G:$G,Eventos!$F:$F,$L688,Eventos!$D:$D,$C$2,Eventos!$B:$B,PANES_SEMANALES[[#ALL],[DOMINGO]])</f>
        <v>0</v>
      </c>
      <c r="T688" s="59">
        <f t="shared" si="1"/>
        <v>0</v>
      </c>
    </row>
    <row r="689" ht="22.5" customHeight="1">
      <c r="M689" s="59">
        <f>SUMIFS(Eventos!$G:$G,Eventos!$F:$F,$L689,Eventos!$D:$D,$C$2,Eventos!$B:$B,PANES_SEMANALES[[#ALL],[LUNES]])</f>
        <v>0</v>
      </c>
      <c r="N689" s="59">
        <f>SUMIFS(Eventos!$G:$G,Eventos!$F:$F,$L689,Eventos!$D:$D,$C$2,Eventos!$B:$B,PANES_SEMANALES[[#ALL],[MARTES]])</f>
        <v>0</v>
      </c>
      <c r="O689" s="59">
        <f>SUMIFS(Eventos!$G:$G,Eventos!$F:$F,$L689,Eventos!$D:$D,$C$2,Eventos!$B:$B,PANES_SEMANALES[[#ALL],[MIÉRCOLES]])</f>
        <v>0</v>
      </c>
      <c r="P689" s="59">
        <f>SUMIFS(Eventos!$G:$G,Eventos!$F:$F,$L689,Eventos!$D:$D,$C$2,Eventos!$B:$B,PANES_SEMANALES[[#ALL],[JUEVES]])</f>
        <v>0</v>
      </c>
      <c r="Q689" s="59">
        <f>IF(P689&lt;&gt;"",SUMIFS(Eventos!$G:$G,Eventos!$B:$B,Q$2,Eventos!$D:$D,$C$2,Eventos!$F:$F,$L689),"")</f>
        <v>0</v>
      </c>
      <c r="R689" s="59">
        <f>SUMIFS(Eventos!$G:$G,Eventos!$F:$F,$L689,Eventos!$D:$D,$C$2,Eventos!$B:$B,PANES_SEMANALES[[#ALL],[SÁBADO]])</f>
        <v>0</v>
      </c>
      <c r="S689" s="59">
        <f>SUMIFS(Eventos!$G:$G,Eventos!$F:$F,$L689,Eventos!$D:$D,$C$2,Eventos!$B:$B,PANES_SEMANALES[[#ALL],[DOMINGO]])</f>
        <v>0</v>
      </c>
      <c r="T689" s="59">
        <f t="shared" si="1"/>
        <v>0</v>
      </c>
    </row>
    <row r="690" ht="22.5" customHeight="1">
      <c r="M690" s="59">
        <f>SUMIFS(Eventos!$G:$G,Eventos!$F:$F,$L690,Eventos!$D:$D,$C$2,Eventos!$B:$B,PANES_SEMANALES[[#ALL],[LUNES]])</f>
        <v>0</v>
      </c>
      <c r="N690" s="59">
        <f>SUMIFS(Eventos!$G:$G,Eventos!$F:$F,$L690,Eventos!$D:$D,$C$2,Eventos!$B:$B,PANES_SEMANALES[[#ALL],[MARTES]])</f>
        <v>0</v>
      </c>
      <c r="O690" s="59">
        <f>SUMIFS(Eventos!$G:$G,Eventos!$F:$F,$L690,Eventos!$D:$D,$C$2,Eventos!$B:$B,PANES_SEMANALES[[#ALL],[MIÉRCOLES]])</f>
        <v>0</v>
      </c>
      <c r="P690" s="59">
        <f>SUMIFS(Eventos!$G:$G,Eventos!$F:$F,$L690,Eventos!$D:$D,$C$2,Eventos!$B:$B,PANES_SEMANALES[[#ALL],[JUEVES]])</f>
        <v>0</v>
      </c>
      <c r="Q690" s="59">
        <f>IF(P690&lt;&gt;"",SUMIFS(Eventos!$G:$G,Eventos!$B:$B,Q$2,Eventos!$D:$D,$C$2,Eventos!$F:$F,$L690),"")</f>
        <v>0</v>
      </c>
      <c r="R690" s="59">
        <f>SUMIFS(Eventos!$G:$G,Eventos!$F:$F,$L690,Eventos!$D:$D,$C$2,Eventos!$B:$B,PANES_SEMANALES[[#ALL],[SÁBADO]])</f>
        <v>0</v>
      </c>
      <c r="S690" s="59">
        <f>SUMIFS(Eventos!$G:$G,Eventos!$F:$F,$L690,Eventos!$D:$D,$C$2,Eventos!$B:$B,PANES_SEMANALES[[#ALL],[DOMINGO]])</f>
        <v>0</v>
      </c>
      <c r="T690" s="59">
        <f t="shared" si="1"/>
        <v>0</v>
      </c>
    </row>
    <row r="691" ht="22.5" customHeight="1">
      <c r="M691" s="59">
        <f>SUMIFS(Eventos!$G:$G,Eventos!$F:$F,$L691,Eventos!$D:$D,$C$2,Eventos!$B:$B,PANES_SEMANALES[[#ALL],[LUNES]])</f>
        <v>0</v>
      </c>
      <c r="N691" s="59">
        <f>SUMIFS(Eventos!$G:$G,Eventos!$F:$F,$L691,Eventos!$D:$D,$C$2,Eventos!$B:$B,PANES_SEMANALES[[#ALL],[MARTES]])</f>
        <v>0</v>
      </c>
      <c r="O691" s="59">
        <f>SUMIFS(Eventos!$G:$G,Eventos!$F:$F,$L691,Eventos!$D:$D,$C$2,Eventos!$B:$B,PANES_SEMANALES[[#ALL],[MIÉRCOLES]])</f>
        <v>0</v>
      </c>
      <c r="P691" s="59">
        <f>SUMIFS(Eventos!$G:$G,Eventos!$F:$F,$L691,Eventos!$D:$D,$C$2,Eventos!$B:$B,PANES_SEMANALES[[#ALL],[JUEVES]])</f>
        <v>0</v>
      </c>
      <c r="Q691" s="59">
        <f>IF(P691&lt;&gt;"",SUMIFS(Eventos!$G:$G,Eventos!$B:$B,Q$2,Eventos!$D:$D,$C$2,Eventos!$F:$F,$L691),"")</f>
        <v>0</v>
      </c>
      <c r="R691" s="59">
        <f>SUMIFS(Eventos!$G:$G,Eventos!$F:$F,$L691,Eventos!$D:$D,$C$2,Eventos!$B:$B,PANES_SEMANALES[[#ALL],[SÁBADO]])</f>
        <v>0</v>
      </c>
      <c r="S691" s="59">
        <f>SUMIFS(Eventos!$G:$G,Eventos!$F:$F,$L691,Eventos!$D:$D,$C$2,Eventos!$B:$B,PANES_SEMANALES[[#ALL],[DOMINGO]])</f>
        <v>0</v>
      </c>
      <c r="T691" s="59">
        <f t="shared" si="1"/>
        <v>0</v>
      </c>
    </row>
    <row r="692" ht="22.5" customHeight="1">
      <c r="M692" s="59">
        <f>SUMIFS(Eventos!$G:$G,Eventos!$F:$F,$L692,Eventos!$D:$D,$C$2,Eventos!$B:$B,PANES_SEMANALES[[#ALL],[LUNES]])</f>
        <v>0</v>
      </c>
      <c r="N692" s="59">
        <f>SUMIFS(Eventos!$G:$G,Eventos!$F:$F,$L692,Eventos!$D:$D,$C$2,Eventos!$B:$B,PANES_SEMANALES[[#ALL],[MARTES]])</f>
        <v>0</v>
      </c>
      <c r="O692" s="59">
        <f>SUMIFS(Eventos!$G:$G,Eventos!$F:$F,$L692,Eventos!$D:$D,$C$2,Eventos!$B:$B,PANES_SEMANALES[[#ALL],[MIÉRCOLES]])</f>
        <v>0</v>
      </c>
      <c r="P692" s="59">
        <f>SUMIFS(Eventos!$G:$G,Eventos!$F:$F,$L692,Eventos!$D:$D,$C$2,Eventos!$B:$B,PANES_SEMANALES[[#ALL],[JUEVES]])</f>
        <v>0</v>
      </c>
      <c r="Q692" s="59">
        <f>IF(P692&lt;&gt;"",SUMIFS(Eventos!$G:$G,Eventos!$B:$B,Q$2,Eventos!$D:$D,$C$2,Eventos!$F:$F,$L692),"")</f>
        <v>0</v>
      </c>
      <c r="R692" s="59">
        <f>SUMIFS(Eventos!$G:$G,Eventos!$F:$F,$L692,Eventos!$D:$D,$C$2,Eventos!$B:$B,PANES_SEMANALES[[#ALL],[SÁBADO]])</f>
        <v>0</v>
      </c>
      <c r="S692" s="59">
        <f>SUMIFS(Eventos!$G:$G,Eventos!$F:$F,$L692,Eventos!$D:$D,$C$2,Eventos!$B:$B,PANES_SEMANALES[[#ALL],[DOMINGO]])</f>
        <v>0</v>
      </c>
      <c r="T692" s="59">
        <f t="shared" si="1"/>
        <v>0</v>
      </c>
    </row>
    <row r="693" ht="22.5" customHeight="1">
      <c r="M693" s="59">
        <f>SUMIFS(Eventos!$G:$G,Eventos!$F:$F,$L693,Eventos!$D:$D,$C$2,Eventos!$B:$B,PANES_SEMANALES[[#ALL],[LUNES]])</f>
        <v>0</v>
      </c>
      <c r="N693" s="59">
        <f>SUMIFS(Eventos!$G:$G,Eventos!$F:$F,$L693,Eventos!$D:$D,$C$2,Eventos!$B:$B,PANES_SEMANALES[[#ALL],[MARTES]])</f>
        <v>0</v>
      </c>
      <c r="O693" s="59">
        <f>SUMIFS(Eventos!$G:$G,Eventos!$F:$F,$L693,Eventos!$D:$D,$C$2,Eventos!$B:$B,PANES_SEMANALES[[#ALL],[MIÉRCOLES]])</f>
        <v>0</v>
      </c>
      <c r="P693" s="59">
        <f>SUMIFS(Eventos!$G:$G,Eventos!$F:$F,$L693,Eventos!$D:$D,$C$2,Eventos!$B:$B,PANES_SEMANALES[[#ALL],[JUEVES]])</f>
        <v>0</v>
      </c>
      <c r="Q693" s="59">
        <f>IF(P693&lt;&gt;"",SUMIFS(Eventos!$G:$G,Eventos!$B:$B,Q$2,Eventos!$D:$D,$C$2,Eventos!$F:$F,$L693),"")</f>
        <v>0</v>
      </c>
      <c r="R693" s="59">
        <f>SUMIFS(Eventos!$G:$G,Eventos!$F:$F,$L693,Eventos!$D:$D,$C$2,Eventos!$B:$B,PANES_SEMANALES[[#ALL],[SÁBADO]])</f>
        <v>0</v>
      </c>
      <c r="S693" s="59">
        <f>SUMIFS(Eventos!$G:$G,Eventos!$F:$F,$L693,Eventos!$D:$D,$C$2,Eventos!$B:$B,PANES_SEMANALES[[#ALL],[DOMINGO]])</f>
        <v>0</v>
      </c>
      <c r="T693" s="59">
        <f t="shared" si="1"/>
        <v>0</v>
      </c>
    </row>
    <row r="694" ht="22.5" customHeight="1">
      <c r="M694" s="59">
        <f>SUMIFS(Eventos!$G:$G,Eventos!$F:$F,$L694,Eventos!$D:$D,$C$2,Eventos!$B:$B,PANES_SEMANALES[[#ALL],[LUNES]])</f>
        <v>0</v>
      </c>
      <c r="N694" s="59">
        <f>SUMIFS(Eventos!$G:$G,Eventos!$F:$F,$L694,Eventos!$D:$D,$C$2,Eventos!$B:$B,PANES_SEMANALES[[#ALL],[MARTES]])</f>
        <v>0</v>
      </c>
      <c r="O694" s="59">
        <f>SUMIFS(Eventos!$G:$G,Eventos!$F:$F,$L694,Eventos!$D:$D,$C$2,Eventos!$B:$B,PANES_SEMANALES[[#ALL],[MIÉRCOLES]])</f>
        <v>0</v>
      </c>
      <c r="P694" s="59">
        <f>SUMIFS(Eventos!$G:$G,Eventos!$F:$F,$L694,Eventos!$D:$D,$C$2,Eventos!$B:$B,PANES_SEMANALES[[#ALL],[JUEVES]])</f>
        <v>0</v>
      </c>
      <c r="Q694" s="59">
        <f>IF(P694&lt;&gt;"",SUMIFS(Eventos!$G:$G,Eventos!$B:$B,Q$2,Eventos!$D:$D,$C$2,Eventos!$F:$F,$L694),"")</f>
        <v>0</v>
      </c>
      <c r="R694" s="59">
        <f>SUMIFS(Eventos!$G:$G,Eventos!$F:$F,$L694,Eventos!$D:$D,$C$2,Eventos!$B:$B,PANES_SEMANALES[[#ALL],[SÁBADO]])</f>
        <v>0</v>
      </c>
      <c r="S694" s="59">
        <f>SUMIFS(Eventos!$G:$G,Eventos!$F:$F,$L694,Eventos!$D:$D,$C$2,Eventos!$B:$B,PANES_SEMANALES[[#ALL],[DOMINGO]])</f>
        <v>0</v>
      </c>
      <c r="T694" s="59">
        <f t="shared" si="1"/>
        <v>0</v>
      </c>
    </row>
    <row r="695" ht="22.5" customHeight="1">
      <c r="M695" s="59">
        <f>SUMIFS(Eventos!$G:$G,Eventos!$F:$F,$L695,Eventos!$D:$D,$C$2,Eventos!$B:$B,PANES_SEMANALES[[#ALL],[LUNES]])</f>
        <v>0</v>
      </c>
      <c r="N695" s="59">
        <f>SUMIFS(Eventos!$G:$G,Eventos!$F:$F,$L695,Eventos!$D:$D,$C$2,Eventos!$B:$B,PANES_SEMANALES[[#ALL],[MARTES]])</f>
        <v>0</v>
      </c>
      <c r="O695" s="59">
        <f>SUMIFS(Eventos!$G:$G,Eventos!$F:$F,$L695,Eventos!$D:$D,$C$2,Eventos!$B:$B,PANES_SEMANALES[[#ALL],[MIÉRCOLES]])</f>
        <v>0</v>
      </c>
      <c r="P695" s="59">
        <f>SUMIFS(Eventos!$G:$G,Eventos!$F:$F,$L695,Eventos!$D:$D,$C$2,Eventos!$B:$B,PANES_SEMANALES[[#ALL],[JUEVES]])</f>
        <v>0</v>
      </c>
      <c r="Q695" s="59">
        <f>IF(P695&lt;&gt;"",SUMIFS(Eventos!$G:$G,Eventos!$B:$B,Q$2,Eventos!$D:$D,$C$2,Eventos!$F:$F,$L695),"")</f>
        <v>0</v>
      </c>
      <c r="R695" s="59">
        <f>SUMIFS(Eventos!$G:$G,Eventos!$F:$F,$L695,Eventos!$D:$D,$C$2,Eventos!$B:$B,PANES_SEMANALES[[#ALL],[SÁBADO]])</f>
        <v>0</v>
      </c>
      <c r="S695" s="59">
        <f>SUMIFS(Eventos!$G:$G,Eventos!$F:$F,$L695,Eventos!$D:$D,$C$2,Eventos!$B:$B,PANES_SEMANALES[[#ALL],[DOMINGO]])</f>
        <v>0</v>
      </c>
      <c r="T695" s="59">
        <f t="shared" si="1"/>
        <v>0</v>
      </c>
    </row>
    <row r="696" ht="22.5" customHeight="1">
      <c r="M696" s="59">
        <f>SUMIFS(Eventos!$G:$G,Eventos!$F:$F,$L696,Eventos!$D:$D,$C$2,Eventos!$B:$B,PANES_SEMANALES[[#ALL],[LUNES]])</f>
        <v>0</v>
      </c>
      <c r="N696" s="59">
        <f>SUMIFS(Eventos!$G:$G,Eventos!$F:$F,$L696,Eventos!$D:$D,$C$2,Eventos!$B:$B,PANES_SEMANALES[[#ALL],[MARTES]])</f>
        <v>0</v>
      </c>
      <c r="O696" s="59">
        <f>SUMIFS(Eventos!$G:$G,Eventos!$F:$F,$L696,Eventos!$D:$D,$C$2,Eventos!$B:$B,PANES_SEMANALES[[#ALL],[MIÉRCOLES]])</f>
        <v>0</v>
      </c>
      <c r="P696" s="59">
        <f>SUMIFS(Eventos!$G:$G,Eventos!$F:$F,$L696,Eventos!$D:$D,$C$2,Eventos!$B:$B,PANES_SEMANALES[[#ALL],[JUEVES]])</f>
        <v>0</v>
      </c>
      <c r="Q696" s="59">
        <f>IF(P696&lt;&gt;"",SUMIFS(Eventos!$G:$G,Eventos!$B:$B,Q$2,Eventos!$D:$D,$C$2,Eventos!$F:$F,$L696),"")</f>
        <v>0</v>
      </c>
      <c r="R696" s="59">
        <f>SUMIFS(Eventos!$G:$G,Eventos!$F:$F,$L696,Eventos!$D:$D,$C$2,Eventos!$B:$B,PANES_SEMANALES[[#ALL],[SÁBADO]])</f>
        <v>0</v>
      </c>
      <c r="S696" s="59">
        <f>SUMIFS(Eventos!$G:$G,Eventos!$F:$F,$L696,Eventos!$D:$D,$C$2,Eventos!$B:$B,PANES_SEMANALES[[#ALL],[DOMINGO]])</f>
        <v>0</v>
      </c>
      <c r="T696" s="59">
        <f t="shared" si="1"/>
        <v>0</v>
      </c>
    </row>
    <row r="697" ht="22.5" customHeight="1">
      <c r="M697" s="59">
        <f>SUMIFS(Eventos!$G:$G,Eventos!$F:$F,$L697,Eventos!$D:$D,$C$2,Eventos!$B:$B,PANES_SEMANALES[[#ALL],[LUNES]])</f>
        <v>0</v>
      </c>
      <c r="N697" s="59">
        <f>SUMIFS(Eventos!$G:$G,Eventos!$F:$F,$L697,Eventos!$D:$D,$C$2,Eventos!$B:$B,PANES_SEMANALES[[#ALL],[MARTES]])</f>
        <v>0</v>
      </c>
      <c r="O697" s="59">
        <f>SUMIFS(Eventos!$G:$G,Eventos!$F:$F,$L697,Eventos!$D:$D,$C$2,Eventos!$B:$B,PANES_SEMANALES[[#ALL],[MIÉRCOLES]])</f>
        <v>0</v>
      </c>
      <c r="P697" s="59">
        <f>SUMIFS(Eventos!$G:$G,Eventos!$F:$F,$L697,Eventos!$D:$D,$C$2,Eventos!$B:$B,PANES_SEMANALES[[#ALL],[JUEVES]])</f>
        <v>0</v>
      </c>
      <c r="Q697" s="59">
        <f>IF(P697&lt;&gt;"",SUMIFS(Eventos!$G:$G,Eventos!$B:$B,Q$2,Eventos!$D:$D,$C$2,Eventos!$F:$F,$L697),"")</f>
        <v>0</v>
      </c>
      <c r="R697" s="59">
        <f>SUMIFS(Eventos!$G:$G,Eventos!$F:$F,$L697,Eventos!$D:$D,$C$2,Eventos!$B:$B,PANES_SEMANALES[[#ALL],[SÁBADO]])</f>
        <v>0</v>
      </c>
      <c r="S697" s="59">
        <f>SUMIFS(Eventos!$G:$G,Eventos!$F:$F,$L697,Eventos!$D:$D,$C$2,Eventos!$B:$B,PANES_SEMANALES[[#ALL],[DOMINGO]])</f>
        <v>0</v>
      </c>
      <c r="T697" s="59">
        <f t="shared" si="1"/>
        <v>0</v>
      </c>
    </row>
    <row r="698" ht="22.5" customHeight="1">
      <c r="M698" s="59">
        <f>SUMIFS(Eventos!$G:$G,Eventos!$F:$F,$L698,Eventos!$D:$D,$C$2,Eventos!$B:$B,PANES_SEMANALES[[#ALL],[LUNES]])</f>
        <v>0</v>
      </c>
      <c r="N698" s="59">
        <f>SUMIFS(Eventos!$G:$G,Eventos!$F:$F,$L698,Eventos!$D:$D,$C$2,Eventos!$B:$B,PANES_SEMANALES[[#ALL],[MARTES]])</f>
        <v>0</v>
      </c>
      <c r="O698" s="59">
        <f>SUMIFS(Eventos!$G:$G,Eventos!$F:$F,$L698,Eventos!$D:$D,$C$2,Eventos!$B:$B,PANES_SEMANALES[[#ALL],[MIÉRCOLES]])</f>
        <v>0</v>
      </c>
      <c r="P698" s="59">
        <f>SUMIFS(Eventos!$G:$G,Eventos!$F:$F,$L698,Eventos!$D:$D,$C$2,Eventos!$B:$B,PANES_SEMANALES[[#ALL],[JUEVES]])</f>
        <v>0</v>
      </c>
      <c r="Q698" s="59">
        <f>IF(P698&lt;&gt;"",SUMIFS(Eventos!$G:$G,Eventos!$B:$B,Q$2,Eventos!$D:$D,$C$2,Eventos!$F:$F,$L698),"")</f>
        <v>0</v>
      </c>
      <c r="R698" s="59">
        <f>SUMIFS(Eventos!$G:$G,Eventos!$F:$F,$L698,Eventos!$D:$D,$C$2,Eventos!$B:$B,PANES_SEMANALES[[#ALL],[SÁBADO]])</f>
        <v>0</v>
      </c>
      <c r="S698" s="59">
        <f>SUMIFS(Eventos!$G:$G,Eventos!$F:$F,$L698,Eventos!$D:$D,$C$2,Eventos!$B:$B,PANES_SEMANALES[[#ALL],[DOMINGO]])</f>
        <v>0</v>
      </c>
      <c r="T698" s="59">
        <f t="shared" si="1"/>
        <v>0</v>
      </c>
    </row>
    <row r="699" ht="22.5" customHeight="1">
      <c r="M699" s="59">
        <f>SUMIFS(Eventos!$G:$G,Eventos!$F:$F,$L699,Eventos!$D:$D,$C$2,Eventos!$B:$B,PANES_SEMANALES[[#ALL],[LUNES]])</f>
        <v>0</v>
      </c>
      <c r="N699" s="59">
        <f>SUMIFS(Eventos!$G:$G,Eventos!$F:$F,$L699,Eventos!$D:$D,$C$2,Eventos!$B:$B,PANES_SEMANALES[[#ALL],[MARTES]])</f>
        <v>0</v>
      </c>
      <c r="O699" s="59">
        <f>SUMIFS(Eventos!$G:$G,Eventos!$F:$F,$L699,Eventos!$D:$D,$C$2,Eventos!$B:$B,PANES_SEMANALES[[#ALL],[MIÉRCOLES]])</f>
        <v>0</v>
      </c>
      <c r="P699" s="59">
        <f>SUMIFS(Eventos!$G:$G,Eventos!$F:$F,$L699,Eventos!$D:$D,$C$2,Eventos!$B:$B,PANES_SEMANALES[[#ALL],[JUEVES]])</f>
        <v>0</v>
      </c>
      <c r="Q699" s="59">
        <f>IF(P699&lt;&gt;"",SUMIFS(Eventos!$G:$G,Eventos!$B:$B,Q$2,Eventos!$D:$D,$C$2,Eventos!$F:$F,$L699),"")</f>
        <v>0</v>
      </c>
      <c r="R699" s="59">
        <f>SUMIFS(Eventos!$G:$G,Eventos!$F:$F,$L699,Eventos!$D:$D,$C$2,Eventos!$B:$B,PANES_SEMANALES[[#ALL],[SÁBADO]])</f>
        <v>0</v>
      </c>
      <c r="S699" s="59">
        <f>SUMIFS(Eventos!$G:$G,Eventos!$F:$F,$L699,Eventos!$D:$D,$C$2,Eventos!$B:$B,PANES_SEMANALES[[#ALL],[DOMINGO]])</f>
        <v>0</v>
      </c>
      <c r="T699" s="59">
        <f t="shared" si="1"/>
        <v>0</v>
      </c>
    </row>
    <row r="700" ht="22.5" customHeight="1">
      <c r="M700" s="59">
        <f>SUMIFS(Eventos!$G:$G,Eventos!$F:$F,$L700,Eventos!$D:$D,$C$2,Eventos!$B:$B,PANES_SEMANALES[[#ALL],[LUNES]])</f>
        <v>0</v>
      </c>
      <c r="N700" s="59">
        <f>SUMIFS(Eventos!$G:$G,Eventos!$F:$F,$L700,Eventos!$D:$D,$C$2,Eventos!$B:$B,PANES_SEMANALES[[#ALL],[MARTES]])</f>
        <v>0</v>
      </c>
      <c r="O700" s="59">
        <f>SUMIFS(Eventos!$G:$G,Eventos!$F:$F,$L700,Eventos!$D:$D,$C$2,Eventos!$B:$B,PANES_SEMANALES[[#ALL],[MIÉRCOLES]])</f>
        <v>0</v>
      </c>
      <c r="P700" s="59">
        <f>SUMIFS(Eventos!$G:$G,Eventos!$F:$F,$L700,Eventos!$D:$D,$C$2,Eventos!$B:$B,PANES_SEMANALES[[#ALL],[JUEVES]])</f>
        <v>0</v>
      </c>
      <c r="Q700" s="59">
        <f>IF(P700&lt;&gt;"",SUMIFS(Eventos!$G:$G,Eventos!$B:$B,Q$2,Eventos!$D:$D,$C$2,Eventos!$F:$F,$L700),"")</f>
        <v>0</v>
      </c>
      <c r="R700" s="59">
        <f>SUMIFS(Eventos!$G:$G,Eventos!$F:$F,$L700,Eventos!$D:$D,$C$2,Eventos!$B:$B,PANES_SEMANALES[[#ALL],[SÁBADO]])</f>
        <v>0</v>
      </c>
      <c r="S700" s="59">
        <f>SUMIFS(Eventos!$G:$G,Eventos!$F:$F,$L700,Eventos!$D:$D,$C$2,Eventos!$B:$B,PANES_SEMANALES[[#ALL],[DOMINGO]])</f>
        <v>0</v>
      </c>
      <c r="T700" s="59">
        <f t="shared" si="1"/>
        <v>0</v>
      </c>
    </row>
    <row r="701" ht="22.5" customHeight="1">
      <c r="M701" s="59">
        <f>SUMIFS(Eventos!$G:$G,Eventos!$F:$F,$L701,Eventos!$D:$D,$C$2,Eventos!$B:$B,PANES_SEMANALES[[#ALL],[LUNES]])</f>
        <v>0</v>
      </c>
      <c r="N701" s="59">
        <f>SUMIFS(Eventos!$G:$G,Eventos!$F:$F,$L701,Eventos!$D:$D,$C$2,Eventos!$B:$B,PANES_SEMANALES[[#ALL],[MARTES]])</f>
        <v>0</v>
      </c>
      <c r="O701" s="59">
        <f>SUMIFS(Eventos!$G:$G,Eventos!$F:$F,$L701,Eventos!$D:$D,$C$2,Eventos!$B:$B,PANES_SEMANALES[[#ALL],[MIÉRCOLES]])</f>
        <v>0</v>
      </c>
      <c r="P701" s="59">
        <f>SUMIFS(Eventos!$G:$G,Eventos!$F:$F,$L701,Eventos!$D:$D,$C$2,Eventos!$B:$B,PANES_SEMANALES[[#ALL],[JUEVES]])</f>
        <v>0</v>
      </c>
      <c r="Q701" s="59">
        <f>IF(P701&lt;&gt;"",SUMIFS(Eventos!$G:$G,Eventos!$B:$B,Q$2,Eventos!$D:$D,$C$2,Eventos!$F:$F,$L701),"")</f>
        <v>0</v>
      </c>
      <c r="R701" s="59">
        <f>SUMIFS(Eventos!$G:$G,Eventos!$F:$F,$L701,Eventos!$D:$D,$C$2,Eventos!$B:$B,PANES_SEMANALES[[#ALL],[SÁBADO]])</f>
        <v>0</v>
      </c>
      <c r="S701" s="59">
        <f>SUMIFS(Eventos!$G:$G,Eventos!$F:$F,$L701,Eventos!$D:$D,$C$2,Eventos!$B:$B,PANES_SEMANALES[[#ALL],[DOMINGO]])</f>
        <v>0</v>
      </c>
      <c r="T701" s="59">
        <f t="shared" si="1"/>
        <v>0</v>
      </c>
    </row>
    <row r="702" ht="22.5" customHeight="1">
      <c r="M702" s="59">
        <f>SUMIFS(Eventos!$G:$G,Eventos!$F:$F,$L702,Eventos!$D:$D,$C$2,Eventos!$B:$B,PANES_SEMANALES[[#ALL],[LUNES]])</f>
        <v>0</v>
      </c>
      <c r="N702" s="59">
        <f>SUMIFS(Eventos!$G:$G,Eventos!$F:$F,$L702,Eventos!$D:$D,$C$2,Eventos!$B:$B,PANES_SEMANALES[[#ALL],[MARTES]])</f>
        <v>0</v>
      </c>
      <c r="O702" s="59">
        <f>SUMIFS(Eventos!$G:$G,Eventos!$F:$F,$L702,Eventos!$D:$D,$C$2,Eventos!$B:$B,PANES_SEMANALES[[#ALL],[MIÉRCOLES]])</f>
        <v>0</v>
      </c>
      <c r="P702" s="59">
        <f>SUMIFS(Eventos!$G:$G,Eventos!$F:$F,$L702,Eventos!$D:$D,$C$2,Eventos!$B:$B,PANES_SEMANALES[[#ALL],[JUEVES]])</f>
        <v>0</v>
      </c>
      <c r="Q702" s="59">
        <f>IF(P702&lt;&gt;"",SUMIFS(Eventos!$G:$G,Eventos!$B:$B,Q$2,Eventos!$D:$D,$C$2,Eventos!$F:$F,$L702),"")</f>
        <v>0</v>
      </c>
      <c r="R702" s="59">
        <f>SUMIFS(Eventos!$G:$G,Eventos!$F:$F,$L702,Eventos!$D:$D,$C$2,Eventos!$B:$B,PANES_SEMANALES[[#ALL],[SÁBADO]])</f>
        <v>0</v>
      </c>
      <c r="S702" s="59">
        <f>SUMIFS(Eventos!$G:$G,Eventos!$F:$F,$L702,Eventos!$D:$D,$C$2,Eventos!$B:$B,PANES_SEMANALES[[#ALL],[DOMINGO]])</f>
        <v>0</v>
      </c>
      <c r="T702" s="59">
        <f t="shared" si="1"/>
        <v>0</v>
      </c>
    </row>
    <row r="703" ht="22.5" customHeight="1">
      <c r="M703" s="59">
        <f>SUMIFS(Eventos!$G:$G,Eventos!$F:$F,$L703,Eventos!$D:$D,$C$2,Eventos!$B:$B,PANES_SEMANALES[[#ALL],[LUNES]])</f>
        <v>0</v>
      </c>
      <c r="N703" s="59">
        <f>SUMIFS(Eventos!$G:$G,Eventos!$F:$F,$L703,Eventos!$D:$D,$C$2,Eventos!$B:$B,PANES_SEMANALES[[#ALL],[MARTES]])</f>
        <v>0</v>
      </c>
      <c r="O703" s="59">
        <f>SUMIFS(Eventos!$G:$G,Eventos!$F:$F,$L703,Eventos!$D:$D,$C$2,Eventos!$B:$B,PANES_SEMANALES[[#ALL],[MIÉRCOLES]])</f>
        <v>0</v>
      </c>
      <c r="P703" s="59">
        <f>SUMIFS(Eventos!$G:$G,Eventos!$F:$F,$L703,Eventos!$D:$D,$C$2,Eventos!$B:$B,PANES_SEMANALES[[#ALL],[JUEVES]])</f>
        <v>0</v>
      </c>
      <c r="Q703" s="59">
        <f>IF(P703&lt;&gt;"",SUMIFS(Eventos!$G:$G,Eventos!$B:$B,Q$2,Eventos!$D:$D,$C$2,Eventos!$F:$F,$L703),"")</f>
        <v>0</v>
      </c>
      <c r="R703" s="59">
        <f>SUMIFS(Eventos!$G:$G,Eventos!$F:$F,$L703,Eventos!$D:$D,$C$2,Eventos!$B:$B,PANES_SEMANALES[[#ALL],[SÁBADO]])</f>
        <v>0</v>
      </c>
      <c r="S703" s="59">
        <f>SUMIFS(Eventos!$G:$G,Eventos!$F:$F,$L703,Eventos!$D:$D,$C$2,Eventos!$B:$B,PANES_SEMANALES[[#ALL],[DOMINGO]])</f>
        <v>0</v>
      </c>
      <c r="T703" s="59">
        <f t="shared" si="1"/>
        <v>0</v>
      </c>
    </row>
    <row r="704" ht="22.5" customHeight="1">
      <c r="M704" s="59">
        <f>SUMIFS(Eventos!$G:$G,Eventos!$F:$F,$L704,Eventos!$D:$D,$C$2,Eventos!$B:$B,PANES_SEMANALES[[#ALL],[LUNES]])</f>
        <v>0</v>
      </c>
      <c r="N704" s="59">
        <f>SUMIFS(Eventos!$G:$G,Eventos!$F:$F,$L704,Eventos!$D:$D,$C$2,Eventos!$B:$B,PANES_SEMANALES[[#ALL],[MARTES]])</f>
        <v>0</v>
      </c>
      <c r="O704" s="59">
        <f>SUMIFS(Eventos!$G:$G,Eventos!$F:$F,$L704,Eventos!$D:$D,$C$2,Eventos!$B:$B,PANES_SEMANALES[[#ALL],[MIÉRCOLES]])</f>
        <v>0</v>
      </c>
      <c r="P704" s="59">
        <f>SUMIFS(Eventos!$G:$G,Eventos!$F:$F,$L704,Eventos!$D:$D,$C$2,Eventos!$B:$B,PANES_SEMANALES[[#ALL],[JUEVES]])</f>
        <v>0</v>
      </c>
      <c r="Q704" s="59">
        <f>IF(P704&lt;&gt;"",SUMIFS(Eventos!$G:$G,Eventos!$B:$B,Q$2,Eventos!$D:$D,$C$2,Eventos!$F:$F,$L704),"")</f>
        <v>0</v>
      </c>
      <c r="R704" s="59">
        <f>SUMIFS(Eventos!$G:$G,Eventos!$F:$F,$L704,Eventos!$D:$D,$C$2,Eventos!$B:$B,PANES_SEMANALES[[#ALL],[SÁBADO]])</f>
        <v>0</v>
      </c>
      <c r="S704" s="59">
        <f>SUMIFS(Eventos!$G:$G,Eventos!$F:$F,$L704,Eventos!$D:$D,$C$2,Eventos!$B:$B,PANES_SEMANALES[[#ALL],[DOMINGO]])</f>
        <v>0</v>
      </c>
      <c r="T704" s="59">
        <f t="shared" si="1"/>
        <v>0</v>
      </c>
    </row>
    <row r="705" ht="22.5" customHeight="1">
      <c r="M705" s="59">
        <f>SUMIFS(Eventos!$G:$G,Eventos!$F:$F,$L705,Eventos!$D:$D,$C$2,Eventos!$B:$B,PANES_SEMANALES[[#ALL],[LUNES]])</f>
        <v>0</v>
      </c>
      <c r="N705" s="59">
        <f>SUMIFS(Eventos!$G:$G,Eventos!$F:$F,$L705,Eventos!$D:$D,$C$2,Eventos!$B:$B,PANES_SEMANALES[[#ALL],[MARTES]])</f>
        <v>0</v>
      </c>
      <c r="O705" s="59">
        <f>SUMIFS(Eventos!$G:$G,Eventos!$F:$F,$L705,Eventos!$D:$D,$C$2,Eventos!$B:$B,PANES_SEMANALES[[#ALL],[MIÉRCOLES]])</f>
        <v>0</v>
      </c>
      <c r="P705" s="59">
        <f>SUMIFS(Eventos!$G:$G,Eventos!$F:$F,$L705,Eventos!$D:$D,$C$2,Eventos!$B:$B,PANES_SEMANALES[[#ALL],[JUEVES]])</f>
        <v>0</v>
      </c>
      <c r="Q705" s="59">
        <f>IF(P705&lt;&gt;"",SUMIFS(Eventos!$G:$G,Eventos!$B:$B,Q$2,Eventos!$D:$D,$C$2,Eventos!$F:$F,$L705),"")</f>
        <v>0</v>
      </c>
      <c r="R705" s="59">
        <f>SUMIFS(Eventos!$G:$G,Eventos!$F:$F,$L705,Eventos!$D:$D,$C$2,Eventos!$B:$B,PANES_SEMANALES[[#ALL],[SÁBADO]])</f>
        <v>0</v>
      </c>
      <c r="S705" s="59">
        <f>SUMIFS(Eventos!$G:$G,Eventos!$F:$F,$L705,Eventos!$D:$D,$C$2,Eventos!$B:$B,PANES_SEMANALES[[#ALL],[DOMINGO]])</f>
        <v>0</v>
      </c>
      <c r="T705" s="59">
        <f t="shared" si="1"/>
        <v>0</v>
      </c>
    </row>
    <row r="706" ht="22.5" customHeight="1">
      <c r="M706" s="59">
        <f>SUMIFS(Eventos!$G:$G,Eventos!$F:$F,$L706,Eventos!$D:$D,$C$2,Eventos!$B:$B,PANES_SEMANALES[[#ALL],[LUNES]])</f>
        <v>0</v>
      </c>
      <c r="N706" s="59">
        <f>SUMIFS(Eventos!$G:$G,Eventos!$F:$F,$L706,Eventos!$D:$D,$C$2,Eventos!$B:$B,PANES_SEMANALES[[#ALL],[MARTES]])</f>
        <v>0</v>
      </c>
      <c r="O706" s="59">
        <f>SUMIFS(Eventos!$G:$G,Eventos!$F:$F,$L706,Eventos!$D:$D,$C$2,Eventos!$B:$B,PANES_SEMANALES[[#ALL],[MIÉRCOLES]])</f>
        <v>0</v>
      </c>
      <c r="P706" s="59">
        <f>SUMIFS(Eventos!$G:$G,Eventos!$F:$F,$L706,Eventos!$D:$D,$C$2,Eventos!$B:$B,PANES_SEMANALES[[#ALL],[JUEVES]])</f>
        <v>0</v>
      </c>
      <c r="Q706" s="59">
        <f>IF(P706&lt;&gt;"",SUMIFS(Eventos!$G:$G,Eventos!$B:$B,Q$2,Eventos!$D:$D,$C$2,Eventos!$F:$F,$L706),"")</f>
        <v>0</v>
      </c>
      <c r="R706" s="59">
        <f>SUMIFS(Eventos!$G:$G,Eventos!$F:$F,$L706,Eventos!$D:$D,$C$2,Eventos!$B:$B,PANES_SEMANALES[[#ALL],[SÁBADO]])</f>
        <v>0</v>
      </c>
      <c r="S706" s="59">
        <f>SUMIFS(Eventos!$G:$G,Eventos!$F:$F,$L706,Eventos!$D:$D,$C$2,Eventos!$B:$B,PANES_SEMANALES[[#ALL],[DOMINGO]])</f>
        <v>0</v>
      </c>
      <c r="T706" s="59">
        <f t="shared" si="1"/>
        <v>0</v>
      </c>
    </row>
    <row r="707" ht="22.5" customHeight="1">
      <c r="M707" s="59">
        <f>SUMIFS(Eventos!$G:$G,Eventos!$F:$F,$L707,Eventos!$D:$D,$C$2,Eventos!$B:$B,PANES_SEMANALES[[#ALL],[LUNES]])</f>
        <v>0</v>
      </c>
      <c r="N707" s="59">
        <f>SUMIFS(Eventos!$G:$G,Eventos!$F:$F,$L707,Eventos!$D:$D,$C$2,Eventos!$B:$B,PANES_SEMANALES[[#ALL],[MARTES]])</f>
        <v>0</v>
      </c>
      <c r="O707" s="59">
        <f>SUMIFS(Eventos!$G:$G,Eventos!$F:$F,$L707,Eventos!$D:$D,$C$2,Eventos!$B:$B,PANES_SEMANALES[[#ALL],[MIÉRCOLES]])</f>
        <v>0</v>
      </c>
      <c r="P707" s="59">
        <f>SUMIFS(Eventos!$G:$G,Eventos!$F:$F,$L707,Eventos!$D:$D,$C$2,Eventos!$B:$B,PANES_SEMANALES[[#ALL],[JUEVES]])</f>
        <v>0</v>
      </c>
      <c r="Q707" s="59">
        <f>IF(P707&lt;&gt;"",SUMIFS(Eventos!$G:$G,Eventos!$B:$B,Q$2,Eventos!$D:$D,$C$2,Eventos!$F:$F,$L707),"")</f>
        <v>0</v>
      </c>
      <c r="R707" s="59">
        <f>SUMIFS(Eventos!$G:$G,Eventos!$F:$F,$L707,Eventos!$D:$D,$C$2,Eventos!$B:$B,PANES_SEMANALES[[#ALL],[SÁBADO]])</f>
        <v>0</v>
      </c>
      <c r="S707" s="59">
        <f>SUMIFS(Eventos!$G:$G,Eventos!$F:$F,$L707,Eventos!$D:$D,$C$2,Eventos!$B:$B,PANES_SEMANALES[[#ALL],[DOMINGO]])</f>
        <v>0</v>
      </c>
      <c r="T707" s="59">
        <f t="shared" si="1"/>
        <v>0</v>
      </c>
    </row>
    <row r="708" ht="22.5" customHeight="1">
      <c r="M708" s="59">
        <f>SUMIFS(Eventos!$G:$G,Eventos!$F:$F,$L708,Eventos!$D:$D,$C$2,Eventos!$B:$B,PANES_SEMANALES[[#ALL],[LUNES]])</f>
        <v>0</v>
      </c>
      <c r="N708" s="59">
        <f>SUMIFS(Eventos!$G:$G,Eventos!$F:$F,$L708,Eventos!$D:$D,$C$2,Eventos!$B:$B,PANES_SEMANALES[[#ALL],[MARTES]])</f>
        <v>0</v>
      </c>
      <c r="O708" s="59">
        <f>SUMIFS(Eventos!$G:$G,Eventos!$F:$F,$L708,Eventos!$D:$D,$C$2,Eventos!$B:$B,PANES_SEMANALES[[#ALL],[MIÉRCOLES]])</f>
        <v>0</v>
      </c>
      <c r="P708" s="59">
        <f>SUMIFS(Eventos!$G:$G,Eventos!$F:$F,$L708,Eventos!$D:$D,$C$2,Eventos!$B:$B,PANES_SEMANALES[[#ALL],[JUEVES]])</f>
        <v>0</v>
      </c>
      <c r="Q708" s="59">
        <f>IF(P708&lt;&gt;"",SUMIFS(Eventos!$G:$G,Eventos!$B:$B,Q$2,Eventos!$D:$D,$C$2,Eventos!$F:$F,$L708),"")</f>
        <v>0</v>
      </c>
      <c r="R708" s="59">
        <f>SUMIFS(Eventos!$G:$G,Eventos!$F:$F,$L708,Eventos!$D:$D,$C$2,Eventos!$B:$B,PANES_SEMANALES[[#ALL],[SÁBADO]])</f>
        <v>0</v>
      </c>
      <c r="S708" s="59">
        <f>SUMIFS(Eventos!$G:$G,Eventos!$F:$F,$L708,Eventos!$D:$D,$C$2,Eventos!$B:$B,PANES_SEMANALES[[#ALL],[DOMINGO]])</f>
        <v>0</v>
      </c>
      <c r="T708" s="59">
        <f t="shared" si="1"/>
        <v>0</v>
      </c>
    </row>
    <row r="709" ht="22.5" customHeight="1">
      <c r="M709" s="59">
        <f>SUMIFS(Eventos!$G:$G,Eventos!$F:$F,$L709,Eventos!$D:$D,$C$2,Eventos!$B:$B,PANES_SEMANALES[[#ALL],[LUNES]])</f>
        <v>0</v>
      </c>
      <c r="N709" s="59">
        <f>SUMIFS(Eventos!$G:$G,Eventos!$F:$F,$L709,Eventos!$D:$D,$C$2,Eventos!$B:$B,PANES_SEMANALES[[#ALL],[MARTES]])</f>
        <v>0</v>
      </c>
      <c r="O709" s="59">
        <f>SUMIFS(Eventos!$G:$G,Eventos!$F:$F,$L709,Eventos!$D:$D,$C$2,Eventos!$B:$B,PANES_SEMANALES[[#ALL],[MIÉRCOLES]])</f>
        <v>0</v>
      </c>
      <c r="P709" s="59">
        <f>SUMIFS(Eventos!$G:$G,Eventos!$F:$F,$L709,Eventos!$D:$D,$C$2,Eventos!$B:$B,PANES_SEMANALES[[#ALL],[JUEVES]])</f>
        <v>0</v>
      </c>
      <c r="Q709" s="59">
        <f>IF(P709&lt;&gt;"",SUMIFS(Eventos!$G:$G,Eventos!$B:$B,Q$2,Eventos!$D:$D,$C$2,Eventos!$F:$F,$L709),"")</f>
        <v>0</v>
      </c>
      <c r="R709" s="59">
        <f>SUMIFS(Eventos!$G:$G,Eventos!$F:$F,$L709,Eventos!$D:$D,$C$2,Eventos!$B:$B,PANES_SEMANALES[[#ALL],[SÁBADO]])</f>
        <v>0</v>
      </c>
      <c r="S709" s="59">
        <f>SUMIFS(Eventos!$G:$G,Eventos!$F:$F,$L709,Eventos!$D:$D,$C$2,Eventos!$B:$B,PANES_SEMANALES[[#ALL],[DOMINGO]])</f>
        <v>0</v>
      </c>
      <c r="T709" s="59">
        <f t="shared" si="1"/>
        <v>0</v>
      </c>
    </row>
    <row r="710" ht="22.5" customHeight="1">
      <c r="M710" s="59">
        <f>SUMIFS(Eventos!$G:$G,Eventos!$F:$F,$L710,Eventos!$D:$D,$C$2,Eventos!$B:$B,PANES_SEMANALES[[#ALL],[LUNES]])</f>
        <v>0</v>
      </c>
      <c r="N710" s="59">
        <f>SUMIFS(Eventos!$G:$G,Eventos!$F:$F,$L710,Eventos!$D:$D,$C$2,Eventos!$B:$B,PANES_SEMANALES[[#ALL],[MARTES]])</f>
        <v>0</v>
      </c>
      <c r="O710" s="59">
        <f>SUMIFS(Eventos!$G:$G,Eventos!$F:$F,$L710,Eventos!$D:$D,$C$2,Eventos!$B:$B,PANES_SEMANALES[[#ALL],[MIÉRCOLES]])</f>
        <v>0</v>
      </c>
      <c r="P710" s="59">
        <f>SUMIFS(Eventos!$G:$G,Eventos!$F:$F,$L710,Eventos!$D:$D,$C$2,Eventos!$B:$B,PANES_SEMANALES[[#ALL],[JUEVES]])</f>
        <v>0</v>
      </c>
      <c r="Q710" s="59">
        <f>IF(P710&lt;&gt;"",SUMIFS(Eventos!$G:$G,Eventos!$B:$B,Q$2,Eventos!$D:$D,$C$2,Eventos!$F:$F,$L710),"")</f>
        <v>0</v>
      </c>
      <c r="R710" s="59">
        <f>SUMIFS(Eventos!$G:$G,Eventos!$F:$F,$L710,Eventos!$D:$D,$C$2,Eventos!$B:$B,PANES_SEMANALES[[#ALL],[SÁBADO]])</f>
        <v>0</v>
      </c>
      <c r="S710" s="59">
        <f>SUMIFS(Eventos!$G:$G,Eventos!$F:$F,$L710,Eventos!$D:$D,$C$2,Eventos!$B:$B,PANES_SEMANALES[[#ALL],[DOMINGO]])</f>
        <v>0</v>
      </c>
      <c r="T710" s="59">
        <f t="shared" si="1"/>
        <v>0</v>
      </c>
    </row>
    <row r="711" ht="22.5" customHeight="1">
      <c r="M711" s="59">
        <f>SUMIFS(Eventos!$G:$G,Eventos!$F:$F,$L711,Eventos!$D:$D,$C$2,Eventos!$B:$B,PANES_SEMANALES[[#ALL],[LUNES]])</f>
        <v>0</v>
      </c>
      <c r="N711" s="59">
        <f>SUMIFS(Eventos!$G:$G,Eventos!$F:$F,$L711,Eventos!$D:$D,$C$2,Eventos!$B:$B,PANES_SEMANALES[[#ALL],[MARTES]])</f>
        <v>0</v>
      </c>
      <c r="O711" s="59">
        <f>SUMIFS(Eventos!$G:$G,Eventos!$F:$F,$L711,Eventos!$D:$D,$C$2,Eventos!$B:$B,PANES_SEMANALES[[#ALL],[MIÉRCOLES]])</f>
        <v>0</v>
      </c>
      <c r="P711" s="59">
        <f>SUMIFS(Eventos!$G:$G,Eventos!$F:$F,$L711,Eventos!$D:$D,$C$2,Eventos!$B:$B,PANES_SEMANALES[[#ALL],[JUEVES]])</f>
        <v>0</v>
      </c>
      <c r="Q711" s="59">
        <f>IF(P711&lt;&gt;"",SUMIFS(Eventos!$G:$G,Eventos!$B:$B,Q$2,Eventos!$D:$D,$C$2,Eventos!$F:$F,$L711),"")</f>
        <v>0</v>
      </c>
      <c r="R711" s="59">
        <f>SUMIFS(Eventos!$G:$G,Eventos!$F:$F,$L711,Eventos!$D:$D,$C$2,Eventos!$B:$B,PANES_SEMANALES[[#ALL],[SÁBADO]])</f>
        <v>0</v>
      </c>
      <c r="S711" s="59">
        <f>SUMIFS(Eventos!$G:$G,Eventos!$F:$F,$L711,Eventos!$D:$D,$C$2,Eventos!$B:$B,PANES_SEMANALES[[#ALL],[DOMINGO]])</f>
        <v>0</v>
      </c>
      <c r="T711" s="59">
        <f t="shared" si="1"/>
        <v>0</v>
      </c>
    </row>
    <row r="712" ht="22.5" customHeight="1">
      <c r="M712" s="59">
        <f>SUMIFS(Eventos!$G:$G,Eventos!$F:$F,$L712,Eventos!$D:$D,$C$2,Eventos!$B:$B,PANES_SEMANALES[[#ALL],[LUNES]])</f>
        <v>0</v>
      </c>
      <c r="N712" s="59">
        <f>SUMIFS(Eventos!$G:$G,Eventos!$F:$F,$L712,Eventos!$D:$D,$C$2,Eventos!$B:$B,PANES_SEMANALES[[#ALL],[MARTES]])</f>
        <v>0</v>
      </c>
      <c r="O712" s="59">
        <f>SUMIFS(Eventos!$G:$G,Eventos!$F:$F,$L712,Eventos!$D:$D,$C$2,Eventos!$B:$B,PANES_SEMANALES[[#ALL],[MIÉRCOLES]])</f>
        <v>0</v>
      </c>
      <c r="P712" s="59">
        <f>SUMIFS(Eventos!$G:$G,Eventos!$F:$F,$L712,Eventos!$D:$D,$C$2,Eventos!$B:$B,PANES_SEMANALES[[#ALL],[JUEVES]])</f>
        <v>0</v>
      </c>
      <c r="Q712" s="59">
        <f>IF(P712&lt;&gt;"",SUMIFS(Eventos!$G:$G,Eventos!$B:$B,Q$2,Eventos!$D:$D,$C$2,Eventos!$F:$F,$L712),"")</f>
        <v>0</v>
      </c>
      <c r="R712" s="59">
        <f>SUMIFS(Eventos!$G:$G,Eventos!$F:$F,$L712,Eventos!$D:$D,$C$2,Eventos!$B:$B,PANES_SEMANALES[[#ALL],[SÁBADO]])</f>
        <v>0</v>
      </c>
      <c r="S712" s="59">
        <f>SUMIFS(Eventos!$G:$G,Eventos!$F:$F,$L712,Eventos!$D:$D,$C$2,Eventos!$B:$B,PANES_SEMANALES[[#ALL],[DOMINGO]])</f>
        <v>0</v>
      </c>
      <c r="T712" s="59">
        <f t="shared" si="1"/>
        <v>0</v>
      </c>
    </row>
    <row r="713" ht="22.5" customHeight="1">
      <c r="M713" s="59">
        <f>SUMIFS(Eventos!$G:$G,Eventos!$F:$F,$L713,Eventos!$D:$D,$C$2,Eventos!$B:$B,PANES_SEMANALES[[#ALL],[LUNES]])</f>
        <v>0</v>
      </c>
      <c r="N713" s="59">
        <f>SUMIFS(Eventos!$G:$G,Eventos!$F:$F,$L713,Eventos!$D:$D,$C$2,Eventos!$B:$B,PANES_SEMANALES[[#ALL],[MARTES]])</f>
        <v>0</v>
      </c>
      <c r="O713" s="59">
        <f>SUMIFS(Eventos!$G:$G,Eventos!$F:$F,$L713,Eventos!$D:$D,$C$2,Eventos!$B:$B,PANES_SEMANALES[[#ALL],[MIÉRCOLES]])</f>
        <v>0</v>
      </c>
      <c r="P713" s="59">
        <f>SUMIFS(Eventos!$G:$G,Eventos!$F:$F,$L713,Eventos!$D:$D,$C$2,Eventos!$B:$B,PANES_SEMANALES[[#ALL],[JUEVES]])</f>
        <v>0</v>
      </c>
      <c r="Q713" s="59">
        <f>IF(P713&lt;&gt;"",SUMIFS(Eventos!$G:$G,Eventos!$B:$B,Q$2,Eventos!$D:$D,$C$2,Eventos!$F:$F,$L713),"")</f>
        <v>0</v>
      </c>
      <c r="R713" s="59">
        <f>SUMIFS(Eventos!$G:$G,Eventos!$F:$F,$L713,Eventos!$D:$D,$C$2,Eventos!$B:$B,PANES_SEMANALES[[#ALL],[SÁBADO]])</f>
        <v>0</v>
      </c>
      <c r="S713" s="59">
        <f>SUMIFS(Eventos!$G:$G,Eventos!$F:$F,$L713,Eventos!$D:$D,$C$2,Eventos!$B:$B,PANES_SEMANALES[[#ALL],[DOMINGO]])</f>
        <v>0</v>
      </c>
      <c r="T713" s="59">
        <f t="shared" si="1"/>
        <v>0</v>
      </c>
    </row>
    <row r="714" ht="22.5" customHeight="1">
      <c r="M714" s="59">
        <f>SUMIFS(Eventos!$G:$G,Eventos!$F:$F,$L714,Eventos!$D:$D,$C$2,Eventos!$B:$B,PANES_SEMANALES[[#ALL],[LUNES]])</f>
        <v>0</v>
      </c>
      <c r="N714" s="59">
        <f>SUMIFS(Eventos!$G:$G,Eventos!$F:$F,$L714,Eventos!$D:$D,$C$2,Eventos!$B:$B,PANES_SEMANALES[[#ALL],[MARTES]])</f>
        <v>0</v>
      </c>
      <c r="O714" s="59">
        <f>SUMIFS(Eventos!$G:$G,Eventos!$F:$F,$L714,Eventos!$D:$D,$C$2,Eventos!$B:$B,PANES_SEMANALES[[#ALL],[MIÉRCOLES]])</f>
        <v>0</v>
      </c>
      <c r="P714" s="59">
        <f>SUMIFS(Eventos!$G:$G,Eventos!$F:$F,$L714,Eventos!$D:$D,$C$2,Eventos!$B:$B,PANES_SEMANALES[[#ALL],[JUEVES]])</f>
        <v>0</v>
      </c>
      <c r="Q714" s="59">
        <f>IF(P714&lt;&gt;"",SUMIFS(Eventos!$G:$G,Eventos!$B:$B,Q$2,Eventos!$D:$D,$C$2,Eventos!$F:$F,$L714),"")</f>
        <v>0</v>
      </c>
      <c r="R714" s="59">
        <f>SUMIFS(Eventos!$G:$G,Eventos!$F:$F,$L714,Eventos!$D:$D,$C$2,Eventos!$B:$B,PANES_SEMANALES[[#ALL],[SÁBADO]])</f>
        <v>0</v>
      </c>
      <c r="S714" s="59">
        <f>SUMIFS(Eventos!$G:$G,Eventos!$F:$F,$L714,Eventos!$D:$D,$C$2,Eventos!$B:$B,PANES_SEMANALES[[#ALL],[DOMINGO]])</f>
        <v>0</v>
      </c>
      <c r="T714" s="59">
        <f t="shared" si="1"/>
        <v>0</v>
      </c>
    </row>
    <row r="715" ht="22.5" customHeight="1">
      <c r="M715" s="59">
        <f>SUMIFS(Eventos!$G:$G,Eventos!$F:$F,$L715,Eventos!$D:$D,$C$2,Eventos!$B:$B,PANES_SEMANALES[[#ALL],[LUNES]])</f>
        <v>0</v>
      </c>
      <c r="N715" s="59">
        <f>SUMIFS(Eventos!$G:$G,Eventos!$F:$F,$L715,Eventos!$D:$D,$C$2,Eventos!$B:$B,PANES_SEMANALES[[#ALL],[MARTES]])</f>
        <v>0</v>
      </c>
      <c r="O715" s="59">
        <f>SUMIFS(Eventos!$G:$G,Eventos!$F:$F,$L715,Eventos!$D:$D,$C$2,Eventos!$B:$B,PANES_SEMANALES[[#ALL],[MIÉRCOLES]])</f>
        <v>0</v>
      </c>
      <c r="P715" s="59">
        <f>SUMIFS(Eventos!$G:$G,Eventos!$F:$F,$L715,Eventos!$D:$D,$C$2,Eventos!$B:$B,PANES_SEMANALES[[#ALL],[JUEVES]])</f>
        <v>0</v>
      </c>
      <c r="Q715" s="59">
        <f>IF(P715&lt;&gt;"",SUMIFS(Eventos!$G:$G,Eventos!$B:$B,Q$2,Eventos!$D:$D,$C$2,Eventos!$F:$F,$L715),"")</f>
        <v>0</v>
      </c>
      <c r="R715" s="59">
        <f>SUMIFS(Eventos!$G:$G,Eventos!$F:$F,$L715,Eventos!$D:$D,$C$2,Eventos!$B:$B,PANES_SEMANALES[[#ALL],[SÁBADO]])</f>
        <v>0</v>
      </c>
      <c r="S715" s="59">
        <f>SUMIFS(Eventos!$G:$G,Eventos!$F:$F,$L715,Eventos!$D:$D,$C$2,Eventos!$B:$B,PANES_SEMANALES[[#ALL],[DOMINGO]])</f>
        <v>0</v>
      </c>
      <c r="T715" s="59">
        <f t="shared" si="1"/>
        <v>0</v>
      </c>
    </row>
    <row r="716" ht="22.5" customHeight="1">
      <c r="M716" s="59">
        <f>SUMIFS(Eventos!$G:$G,Eventos!$F:$F,$L716,Eventos!$D:$D,$C$2,Eventos!$B:$B,PANES_SEMANALES[[#ALL],[LUNES]])</f>
        <v>0</v>
      </c>
      <c r="N716" s="59">
        <f>SUMIFS(Eventos!$G:$G,Eventos!$F:$F,$L716,Eventos!$D:$D,$C$2,Eventos!$B:$B,PANES_SEMANALES[[#ALL],[MARTES]])</f>
        <v>0</v>
      </c>
      <c r="O716" s="59">
        <f>SUMIFS(Eventos!$G:$G,Eventos!$F:$F,$L716,Eventos!$D:$D,$C$2,Eventos!$B:$B,PANES_SEMANALES[[#ALL],[MIÉRCOLES]])</f>
        <v>0</v>
      </c>
      <c r="P716" s="59">
        <f>SUMIFS(Eventos!$G:$G,Eventos!$F:$F,$L716,Eventos!$D:$D,$C$2,Eventos!$B:$B,PANES_SEMANALES[[#ALL],[JUEVES]])</f>
        <v>0</v>
      </c>
      <c r="Q716" s="59">
        <f>IF(P716&lt;&gt;"",SUMIFS(Eventos!$G:$G,Eventos!$B:$B,Q$2,Eventos!$D:$D,$C$2,Eventos!$F:$F,$L716),"")</f>
        <v>0</v>
      </c>
      <c r="R716" s="59">
        <f>SUMIFS(Eventos!$G:$G,Eventos!$F:$F,$L716,Eventos!$D:$D,$C$2,Eventos!$B:$B,PANES_SEMANALES[[#ALL],[SÁBADO]])</f>
        <v>0</v>
      </c>
      <c r="S716" s="59">
        <f>SUMIFS(Eventos!$G:$G,Eventos!$F:$F,$L716,Eventos!$D:$D,$C$2,Eventos!$B:$B,PANES_SEMANALES[[#ALL],[DOMINGO]])</f>
        <v>0</v>
      </c>
      <c r="T716" s="59">
        <f t="shared" si="1"/>
        <v>0</v>
      </c>
    </row>
    <row r="717" ht="22.5" customHeight="1">
      <c r="M717" s="59">
        <f>SUMIFS(Eventos!$G:$G,Eventos!$F:$F,$L717,Eventos!$D:$D,$C$2,Eventos!$B:$B,PANES_SEMANALES[[#ALL],[LUNES]])</f>
        <v>0</v>
      </c>
      <c r="N717" s="59">
        <f>SUMIFS(Eventos!$G:$G,Eventos!$F:$F,$L717,Eventos!$D:$D,$C$2,Eventos!$B:$B,PANES_SEMANALES[[#ALL],[MARTES]])</f>
        <v>0</v>
      </c>
      <c r="O717" s="59">
        <f>SUMIFS(Eventos!$G:$G,Eventos!$F:$F,$L717,Eventos!$D:$D,$C$2,Eventos!$B:$B,PANES_SEMANALES[[#ALL],[MIÉRCOLES]])</f>
        <v>0</v>
      </c>
      <c r="P717" s="59">
        <f>SUMIFS(Eventos!$G:$G,Eventos!$F:$F,$L717,Eventos!$D:$D,$C$2,Eventos!$B:$B,PANES_SEMANALES[[#ALL],[JUEVES]])</f>
        <v>0</v>
      </c>
      <c r="Q717" s="59">
        <f>IF(P717&lt;&gt;"",SUMIFS(Eventos!$G:$G,Eventos!$B:$B,Q$2,Eventos!$D:$D,$C$2,Eventos!$F:$F,$L717),"")</f>
        <v>0</v>
      </c>
      <c r="R717" s="59">
        <f>SUMIFS(Eventos!$G:$G,Eventos!$F:$F,$L717,Eventos!$D:$D,$C$2,Eventos!$B:$B,PANES_SEMANALES[[#ALL],[SÁBADO]])</f>
        <v>0</v>
      </c>
      <c r="S717" s="59">
        <f>SUMIFS(Eventos!$G:$G,Eventos!$F:$F,$L717,Eventos!$D:$D,$C$2,Eventos!$B:$B,PANES_SEMANALES[[#ALL],[DOMINGO]])</f>
        <v>0</v>
      </c>
      <c r="T717" s="59">
        <f t="shared" si="1"/>
        <v>0</v>
      </c>
    </row>
    <row r="718" ht="22.5" customHeight="1">
      <c r="M718" s="59">
        <f>SUMIFS(Eventos!$G:$G,Eventos!$F:$F,$L718,Eventos!$D:$D,$C$2,Eventos!$B:$B,PANES_SEMANALES[[#ALL],[LUNES]])</f>
        <v>0</v>
      </c>
      <c r="N718" s="59">
        <f>SUMIFS(Eventos!$G:$G,Eventos!$F:$F,$L718,Eventos!$D:$D,$C$2,Eventos!$B:$B,PANES_SEMANALES[[#ALL],[MARTES]])</f>
        <v>0</v>
      </c>
      <c r="O718" s="59">
        <f>SUMIFS(Eventos!$G:$G,Eventos!$F:$F,$L718,Eventos!$D:$D,$C$2,Eventos!$B:$B,PANES_SEMANALES[[#ALL],[MIÉRCOLES]])</f>
        <v>0</v>
      </c>
      <c r="P718" s="59">
        <f>SUMIFS(Eventos!$G:$G,Eventos!$F:$F,$L718,Eventos!$D:$D,$C$2,Eventos!$B:$B,PANES_SEMANALES[[#ALL],[JUEVES]])</f>
        <v>0</v>
      </c>
      <c r="Q718" s="59">
        <f>IF(P718&lt;&gt;"",SUMIFS(Eventos!$G:$G,Eventos!$B:$B,Q$2,Eventos!$D:$D,$C$2,Eventos!$F:$F,$L718),"")</f>
        <v>0</v>
      </c>
      <c r="R718" s="59">
        <f>SUMIFS(Eventos!$G:$G,Eventos!$F:$F,$L718,Eventos!$D:$D,$C$2,Eventos!$B:$B,PANES_SEMANALES[[#ALL],[SÁBADO]])</f>
        <v>0</v>
      </c>
      <c r="S718" s="59">
        <f>SUMIFS(Eventos!$G:$G,Eventos!$F:$F,$L718,Eventos!$D:$D,$C$2,Eventos!$B:$B,PANES_SEMANALES[[#ALL],[DOMINGO]])</f>
        <v>0</v>
      </c>
      <c r="T718" s="59">
        <f t="shared" si="1"/>
        <v>0</v>
      </c>
    </row>
    <row r="719" ht="22.5" customHeight="1">
      <c r="M719" s="59">
        <f>SUMIFS(Eventos!$G:$G,Eventos!$F:$F,$L719,Eventos!$D:$D,$C$2,Eventos!$B:$B,PANES_SEMANALES[[#ALL],[LUNES]])</f>
        <v>0</v>
      </c>
      <c r="N719" s="59">
        <f>SUMIFS(Eventos!$G:$G,Eventos!$F:$F,$L719,Eventos!$D:$D,$C$2,Eventos!$B:$B,PANES_SEMANALES[[#ALL],[MARTES]])</f>
        <v>0</v>
      </c>
      <c r="O719" s="59">
        <f>SUMIFS(Eventos!$G:$G,Eventos!$F:$F,$L719,Eventos!$D:$D,$C$2,Eventos!$B:$B,PANES_SEMANALES[[#ALL],[MIÉRCOLES]])</f>
        <v>0</v>
      </c>
      <c r="P719" s="59">
        <f>SUMIFS(Eventos!$G:$G,Eventos!$F:$F,$L719,Eventos!$D:$D,$C$2,Eventos!$B:$B,PANES_SEMANALES[[#ALL],[JUEVES]])</f>
        <v>0</v>
      </c>
      <c r="Q719" s="59">
        <f>IF(P719&lt;&gt;"",SUMIFS(Eventos!$G:$G,Eventos!$B:$B,Q$2,Eventos!$D:$D,$C$2,Eventos!$F:$F,$L719),"")</f>
        <v>0</v>
      </c>
      <c r="R719" s="59">
        <f>SUMIFS(Eventos!$G:$G,Eventos!$F:$F,$L719,Eventos!$D:$D,$C$2,Eventos!$B:$B,PANES_SEMANALES[[#ALL],[SÁBADO]])</f>
        <v>0</v>
      </c>
      <c r="S719" s="59">
        <f>SUMIFS(Eventos!$G:$G,Eventos!$F:$F,$L719,Eventos!$D:$D,$C$2,Eventos!$B:$B,PANES_SEMANALES[[#ALL],[DOMINGO]])</f>
        <v>0</v>
      </c>
      <c r="T719" s="59">
        <f t="shared" si="1"/>
        <v>0</v>
      </c>
    </row>
    <row r="720" ht="22.5" customHeight="1">
      <c r="M720" s="59">
        <f>SUMIFS(Eventos!$G:$G,Eventos!$F:$F,$L720,Eventos!$D:$D,$C$2,Eventos!$B:$B,PANES_SEMANALES[[#ALL],[LUNES]])</f>
        <v>0</v>
      </c>
      <c r="N720" s="59">
        <f>SUMIFS(Eventos!$G:$G,Eventos!$F:$F,$L720,Eventos!$D:$D,$C$2,Eventos!$B:$B,PANES_SEMANALES[[#ALL],[MARTES]])</f>
        <v>0</v>
      </c>
      <c r="O720" s="59">
        <f>SUMIFS(Eventos!$G:$G,Eventos!$F:$F,$L720,Eventos!$D:$D,$C$2,Eventos!$B:$B,PANES_SEMANALES[[#ALL],[MIÉRCOLES]])</f>
        <v>0</v>
      </c>
      <c r="P720" s="59">
        <f>SUMIFS(Eventos!$G:$G,Eventos!$F:$F,$L720,Eventos!$D:$D,$C$2,Eventos!$B:$B,PANES_SEMANALES[[#ALL],[JUEVES]])</f>
        <v>0</v>
      </c>
      <c r="Q720" s="59">
        <f>IF(P720&lt;&gt;"",SUMIFS(Eventos!$G:$G,Eventos!$B:$B,Q$2,Eventos!$D:$D,$C$2,Eventos!$F:$F,$L720),"")</f>
        <v>0</v>
      </c>
      <c r="R720" s="59">
        <f>SUMIFS(Eventos!$G:$G,Eventos!$F:$F,$L720,Eventos!$D:$D,$C$2,Eventos!$B:$B,PANES_SEMANALES[[#ALL],[SÁBADO]])</f>
        <v>0</v>
      </c>
      <c r="S720" s="59">
        <f>SUMIFS(Eventos!$G:$G,Eventos!$F:$F,$L720,Eventos!$D:$D,$C$2,Eventos!$B:$B,PANES_SEMANALES[[#ALL],[DOMINGO]])</f>
        <v>0</v>
      </c>
      <c r="T720" s="59">
        <f t="shared" si="1"/>
        <v>0</v>
      </c>
    </row>
    <row r="721" ht="22.5" customHeight="1">
      <c r="M721" s="59">
        <f>SUMIFS(Eventos!$G:$G,Eventos!$F:$F,$L721,Eventos!$D:$D,$C$2,Eventos!$B:$B,PANES_SEMANALES[[#ALL],[LUNES]])</f>
        <v>0</v>
      </c>
      <c r="N721" s="59">
        <f>SUMIFS(Eventos!$G:$G,Eventos!$F:$F,$L721,Eventos!$D:$D,$C$2,Eventos!$B:$B,PANES_SEMANALES[[#ALL],[MARTES]])</f>
        <v>0</v>
      </c>
      <c r="O721" s="59">
        <f>SUMIFS(Eventos!$G:$G,Eventos!$F:$F,$L721,Eventos!$D:$D,$C$2,Eventos!$B:$B,PANES_SEMANALES[[#ALL],[MIÉRCOLES]])</f>
        <v>0</v>
      </c>
      <c r="P721" s="59">
        <f>SUMIFS(Eventos!$G:$G,Eventos!$F:$F,$L721,Eventos!$D:$D,$C$2,Eventos!$B:$B,PANES_SEMANALES[[#ALL],[JUEVES]])</f>
        <v>0</v>
      </c>
      <c r="Q721" s="59">
        <f>IF(P721&lt;&gt;"",SUMIFS(Eventos!$G:$G,Eventos!$B:$B,Q$2,Eventos!$D:$D,$C$2,Eventos!$F:$F,$L721),"")</f>
        <v>0</v>
      </c>
      <c r="R721" s="59">
        <f>SUMIFS(Eventos!$G:$G,Eventos!$F:$F,$L721,Eventos!$D:$D,$C$2,Eventos!$B:$B,PANES_SEMANALES[[#ALL],[SÁBADO]])</f>
        <v>0</v>
      </c>
      <c r="S721" s="59">
        <f>SUMIFS(Eventos!$G:$G,Eventos!$F:$F,$L721,Eventos!$D:$D,$C$2,Eventos!$B:$B,PANES_SEMANALES[[#ALL],[DOMINGO]])</f>
        <v>0</v>
      </c>
      <c r="T721" s="59">
        <f t="shared" si="1"/>
        <v>0</v>
      </c>
    </row>
    <row r="722" ht="22.5" customHeight="1">
      <c r="M722" s="59">
        <f>SUMIFS(Eventos!$G:$G,Eventos!$F:$F,$L722,Eventos!$D:$D,$C$2,Eventos!$B:$B,PANES_SEMANALES[[#ALL],[LUNES]])</f>
        <v>0</v>
      </c>
      <c r="N722" s="59">
        <f>SUMIFS(Eventos!$G:$G,Eventos!$F:$F,$L722,Eventos!$D:$D,$C$2,Eventos!$B:$B,PANES_SEMANALES[[#ALL],[MARTES]])</f>
        <v>0</v>
      </c>
      <c r="O722" s="59">
        <f>SUMIFS(Eventos!$G:$G,Eventos!$F:$F,$L722,Eventos!$D:$D,$C$2,Eventos!$B:$B,PANES_SEMANALES[[#ALL],[MIÉRCOLES]])</f>
        <v>0</v>
      </c>
      <c r="P722" s="59">
        <f>SUMIFS(Eventos!$G:$G,Eventos!$F:$F,$L722,Eventos!$D:$D,$C$2,Eventos!$B:$B,PANES_SEMANALES[[#ALL],[JUEVES]])</f>
        <v>0</v>
      </c>
      <c r="Q722" s="59">
        <f>IF(P722&lt;&gt;"",SUMIFS(Eventos!$G:$G,Eventos!$B:$B,Q$2,Eventos!$D:$D,$C$2,Eventos!$F:$F,$L722),"")</f>
        <v>0</v>
      </c>
      <c r="R722" s="59">
        <f>SUMIFS(Eventos!$G:$G,Eventos!$F:$F,$L722,Eventos!$D:$D,$C$2,Eventos!$B:$B,PANES_SEMANALES[[#ALL],[SÁBADO]])</f>
        <v>0</v>
      </c>
      <c r="S722" s="59">
        <f>SUMIFS(Eventos!$G:$G,Eventos!$F:$F,$L722,Eventos!$D:$D,$C$2,Eventos!$B:$B,PANES_SEMANALES[[#ALL],[DOMINGO]])</f>
        <v>0</v>
      </c>
      <c r="T722" s="59">
        <f t="shared" si="1"/>
        <v>0</v>
      </c>
    </row>
    <row r="723" ht="22.5" customHeight="1">
      <c r="M723" s="59">
        <f>SUMIFS(Eventos!$G:$G,Eventos!$F:$F,$L723,Eventos!$D:$D,$C$2,Eventos!$B:$B,PANES_SEMANALES[[#ALL],[LUNES]])</f>
        <v>0</v>
      </c>
      <c r="N723" s="59">
        <f>SUMIFS(Eventos!$G:$G,Eventos!$F:$F,$L723,Eventos!$D:$D,$C$2,Eventos!$B:$B,PANES_SEMANALES[[#ALL],[MARTES]])</f>
        <v>0</v>
      </c>
      <c r="O723" s="59">
        <f>SUMIFS(Eventos!$G:$G,Eventos!$F:$F,$L723,Eventos!$D:$D,$C$2,Eventos!$B:$B,PANES_SEMANALES[[#ALL],[MIÉRCOLES]])</f>
        <v>0</v>
      </c>
      <c r="P723" s="59">
        <f>SUMIFS(Eventos!$G:$G,Eventos!$F:$F,$L723,Eventos!$D:$D,$C$2,Eventos!$B:$B,PANES_SEMANALES[[#ALL],[JUEVES]])</f>
        <v>0</v>
      </c>
      <c r="Q723" s="59">
        <f>IF(P723&lt;&gt;"",SUMIFS(Eventos!$G:$G,Eventos!$B:$B,Q$2,Eventos!$D:$D,$C$2,Eventos!$F:$F,$L723),"")</f>
        <v>0</v>
      </c>
      <c r="R723" s="59">
        <f>SUMIFS(Eventos!$G:$G,Eventos!$F:$F,$L723,Eventos!$D:$D,$C$2,Eventos!$B:$B,PANES_SEMANALES[[#ALL],[SÁBADO]])</f>
        <v>0</v>
      </c>
      <c r="S723" s="59">
        <f>SUMIFS(Eventos!$G:$G,Eventos!$F:$F,$L723,Eventos!$D:$D,$C$2,Eventos!$B:$B,PANES_SEMANALES[[#ALL],[DOMINGO]])</f>
        <v>0</v>
      </c>
      <c r="T723" s="59">
        <f t="shared" si="1"/>
        <v>0</v>
      </c>
    </row>
    <row r="724" ht="22.5" customHeight="1">
      <c r="M724" s="59">
        <f>SUMIFS(Eventos!$G:$G,Eventos!$F:$F,$L724,Eventos!$D:$D,$C$2,Eventos!$B:$B,PANES_SEMANALES[[#ALL],[LUNES]])</f>
        <v>0</v>
      </c>
      <c r="N724" s="59">
        <f>SUMIFS(Eventos!$G:$G,Eventos!$F:$F,$L724,Eventos!$D:$D,$C$2,Eventos!$B:$B,PANES_SEMANALES[[#ALL],[MARTES]])</f>
        <v>0</v>
      </c>
      <c r="O724" s="59">
        <f>SUMIFS(Eventos!$G:$G,Eventos!$F:$F,$L724,Eventos!$D:$D,$C$2,Eventos!$B:$B,PANES_SEMANALES[[#ALL],[MIÉRCOLES]])</f>
        <v>0</v>
      </c>
      <c r="P724" s="59">
        <f>SUMIFS(Eventos!$G:$G,Eventos!$F:$F,$L724,Eventos!$D:$D,$C$2,Eventos!$B:$B,PANES_SEMANALES[[#ALL],[JUEVES]])</f>
        <v>0</v>
      </c>
      <c r="Q724" s="59">
        <f>IF(P724&lt;&gt;"",SUMIFS(Eventos!$G:$G,Eventos!$B:$B,Q$2,Eventos!$D:$D,$C$2,Eventos!$F:$F,$L724),"")</f>
        <v>0</v>
      </c>
      <c r="R724" s="59">
        <f>SUMIFS(Eventos!$G:$G,Eventos!$F:$F,$L724,Eventos!$D:$D,$C$2,Eventos!$B:$B,PANES_SEMANALES[[#ALL],[SÁBADO]])</f>
        <v>0</v>
      </c>
      <c r="S724" s="59">
        <f>SUMIFS(Eventos!$G:$G,Eventos!$F:$F,$L724,Eventos!$D:$D,$C$2,Eventos!$B:$B,PANES_SEMANALES[[#ALL],[DOMINGO]])</f>
        <v>0</v>
      </c>
      <c r="T724" s="59">
        <f t="shared" si="1"/>
        <v>0</v>
      </c>
    </row>
    <row r="725" ht="22.5" customHeight="1">
      <c r="M725" s="59">
        <f>SUMIFS(Eventos!$G:$G,Eventos!$F:$F,$L725,Eventos!$D:$D,$C$2,Eventos!$B:$B,PANES_SEMANALES[[#ALL],[LUNES]])</f>
        <v>0</v>
      </c>
      <c r="N725" s="59">
        <f>SUMIFS(Eventos!$G:$G,Eventos!$F:$F,$L725,Eventos!$D:$D,$C$2,Eventos!$B:$B,PANES_SEMANALES[[#ALL],[MARTES]])</f>
        <v>0</v>
      </c>
      <c r="O725" s="59">
        <f>SUMIFS(Eventos!$G:$G,Eventos!$F:$F,$L725,Eventos!$D:$D,$C$2,Eventos!$B:$B,PANES_SEMANALES[[#ALL],[MIÉRCOLES]])</f>
        <v>0</v>
      </c>
      <c r="P725" s="59">
        <f>SUMIFS(Eventos!$G:$G,Eventos!$F:$F,$L725,Eventos!$D:$D,$C$2,Eventos!$B:$B,PANES_SEMANALES[[#ALL],[JUEVES]])</f>
        <v>0</v>
      </c>
      <c r="Q725" s="59">
        <f>IF(P725&lt;&gt;"",SUMIFS(Eventos!$G:$G,Eventos!$B:$B,Q$2,Eventos!$D:$D,$C$2,Eventos!$F:$F,$L725),"")</f>
        <v>0</v>
      </c>
      <c r="R725" s="59">
        <f>SUMIFS(Eventos!$G:$G,Eventos!$F:$F,$L725,Eventos!$D:$D,$C$2,Eventos!$B:$B,PANES_SEMANALES[[#ALL],[SÁBADO]])</f>
        <v>0</v>
      </c>
      <c r="S725" s="59">
        <f>SUMIFS(Eventos!$G:$G,Eventos!$F:$F,$L725,Eventos!$D:$D,$C$2,Eventos!$B:$B,PANES_SEMANALES[[#ALL],[DOMINGO]])</f>
        <v>0</v>
      </c>
      <c r="T725" s="59">
        <f t="shared" si="1"/>
        <v>0</v>
      </c>
    </row>
    <row r="726" ht="22.5" customHeight="1">
      <c r="M726" s="59">
        <f>SUMIFS(Eventos!$G:$G,Eventos!$F:$F,$L726,Eventos!$D:$D,$C$2,Eventos!$B:$B,PANES_SEMANALES[[#ALL],[LUNES]])</f>
        <v>0</v>
      </c>
      <c r="N726" s="59">
        <f>SUMIFS(Eventos!$G:$G,Eventos!$F:$F,$L726,Eventos!$D:$D,$C$2,Eventos!$B:$B,PANES_SEMANALES[[#ALL],[MARTES]])</f>
        <v>0</v>
      </c>
      <c r="O726" s="59">
        <f>SUMIFS(Eventos!$G:$G,Eventos!$F:$F,$L726,Eventos!$D:$D,$C$2,Eventos!$B:$B,PANES_SEMANALES[[#ALL],[MIÉRCOLES]])</f>
        <v>0</v>
      </c>
      <c r="P726" s="59">
        <f>SUMIFS(Eventos!$G:$G,Eventos!$F:$F,$L726,Eventos!$D:$D,$C$2,Eventos!$B:$B,PANES_SEMANALES[[#ALL],[JUEVES]])</f>
        <v>0</v>
      </c>
      <c r="Q726" s="59">
        <f>IF(P726&lt;&gt;"",SUMIFS(Eventos!$G:$G,Eventos!$B:$B,Q$2,Eventos!$D:$D,$C$2,Eventos!$F:$F,$L726),"")</f>
        <v>0</v>
      </c>
      <c r="R726" s="59">
        <f>SUMIFS(Eventos!$G:$G,Eventos!$F:$F,$L726,Eventos!$D:$D,$C$2,Eventos!$B:$B,PANES_SEMANALES[[#ALL],[SÁBADO]])</f>
        <v>0</v>
      </c>
      <c r="S726" s="59">
        <f>SUMIFS(Eventos!$G:$G,Eventos!$F:$F,$L726,Eventos!$D:$D,$C$2,Eventos!$B:$B,PANES_SEMANALES[[#ALL],[DOMINGO]])</f>
        <v>0</v>
      </c>
      <c r="T726" s="59">
        <f t="shared" si="1"/>
        <v>0</v>
      </c>
    </row>
    <row r="727" ht="22.5" customHeight="1">
      <c r="M727" s="59">
        <f>SUMIFS(Eventos!$G:$G,Eventos!$F:$F,$L727,Eventos!$D:$D,$C$2,Eventos!$B:$B,PANES_SEMANALES[[#ALL],[LUNES]])</f>
        <v>0</v>
      </c>
      <c r="N727" s="59">
        <f>SUMIFS(Eventos!$G:$G,Eventos!$F:$F,$L727,Eventos!$D:$D,$C$2,Eventos!$B:$B,PANES_SEMANALES[[#ALL],[MARTES]])</f>
        <v>0</v>
      </c>
      <c r="O727" s="59">
        <f>SUMIFS(Eventos!$G:$G,Eventos!$F:$F,$L727,Eventos!$D:$D,$C$2,Eventos!$B:$B,PANES_SEMANALES[[#ALL],[MIÉRCOLES]])</f>
        <v>0</v>
      </c>
      <c r="P727" s="59">
        <f>SUMIFS(Eventos!$G:$G,Eventos!$F:$F,$L727,Eventos!$D:$D,$C$2,Eventos!$B:$B,PANES_SEMANALES[[#ALL],[JUEVES]])</f>
        <v>0</v>
      </c>
      <c r="Q727" s="59">
        <f>IF(P727&lt;&gt;"",SUMIFS(Eventos!$G:$G,Eventos!$B:$B,Q$2,Eventos!$D:$D,$C$2,Eventos!$F:$F,$L727),"")</f>
        <v>0</v>
      </c>
      <c r="R727" s="59">
        <f>SUMIFS(Eventos!$G:$G,Eventos!$F:$F,$L727,Eventos!$D:$D,$C$2,Eventos!$B:$B,PANES_SEMANALES[[#ALL],[SÁBADO]])</f>
        <v>0</v>
      </c>
      <c r="S727" s="59">
        <f>SUMIFS(Eventos!$G:$G,Eventos!$F:$F,$L727,Eventos!$D:$D,$C$2,Eventos!$B:$B,PANES_SEMANALES[[#ALL],[DOMINGO]])</f>
        <v>0</v>
      </c>
      <c r="T727" s="59">
        <f t="shared" si="1"/>
        <v>0</v>
      </c>
    </row>
    <row r="728" ht="22.5" customHeight="1">
      <c r="M728" s="59">
        <f>SUMIFS(Eventos!$G:$G,Eventos!$F:$F,$L728,Eventos!$D:$D,$C$2,Eventos!$B:$B,PANES_SEMANALES[[#ALL],[LUNES]])</f>
        <v>0</v>
      </c>
      <c r="N728" s="59">
        <f>SUMIFS(Eventos!$G:$G,Eventos!$F:$F,$L728,Eventos!$D:$D,$C$2,Eventos!$B:$B,PANES_SEMANALES[[#ALL],[MARTES]])</f>
        <v>0</v>
      </c>
      <c r="O728" s="59">
        <f>SUMIFS(Eventos!$G:$G,Eventos!$F:$F,$L728,Eventos!$D:$D,$C$2,Eventos!$B:$B,PANES_SEMANALES[[#ALL],[MIÉRCOLES]])</f>
        <v>0</v>
      </c>
      <c r="P728" s="59">
        <f>SUMIFS(Eventos!$G:$G,Eventos!$F:$F,$L728,Eventos!$D:$D,$C$2,Eventos!$B:$B,PANES_SEMANALES[[#ALL],[JUEVES]])</f>
        <v>0</v>
      </c>
      <c r="Q728" s="59">
        <f>IF(P728&lt;&gt;"",SUMIFS(Eventos!$G:$G,Eventos!$B:$B,Q$2,Eventos!$D:$D,$C$2,Eventos!$F:$F,$L728),"")</f>
        <v>0</v>
      </c>
      <c r="R728" s="59">
        <f>SUMIFS(Eventos!$G:$G,Eventos!$F:$F,$L728,Eventos!$D:$D,$C$2,Eventos!$B:$B,PANES_SEMANALES[[#ALL],[SÁBADO]])</f>
        <v>0</v>
      </c>
      <c r="S728" s="59">
        <f>SUMIFS(Eventos!$G:$G,Eventos!$F:$F,$L728,Eventos!$D:$D,$C$2,Eventos!$B:$B,PANES_SEMANALES[[#ALL],[DOMINGO]])</f>
        <v>0</v>
      </c>
      <c r="T728" s="59">
        <f t="shared" si="1"/>
        <v>0</v>
      </c>
    </row>
    <row r="729" ht="22.5" customHeight="1">
      <c r="M729" s="59">
        <f>SUMIFS(Eventos!$G:$G,Eventos!$F:$F,$L729,Eventos!$D:$D,$C$2,Eventos!$B:$B,PANES_SEMANALES[[#ALL],[LUNES]])</f>
        <v>0</v>
      </c>
      <c r="N729" s="59">
        <f>SUMIFS(Eventos!$G:$G,Eventos!$F:$F,$L729,Eventos!$D:$D,$C$2,Eventos!$B:$B,PANES_SEMANALES[[#ALL],[MARTES]])</f>
        <v>0</v>
      </c>
      <c r="O729" s="59">
        <f>SUMIFS(Eventos!$G:$G,Eventos!$F:$F,$L729,Eventos!$D:$D,$C$2,Eventos!$B:$B,PANES_SEMANALES[[#ALL],[MIÉRCOLES]])</f>
        <v>0</v>
      </c>
      <c r="P729" s="59">
        <f>SUMIFS(Eventos!$G:$G,Eventos!$F:$F,$L729,Eventos!$D:$D,$C$2,Eventos!$B:$B,PANES_SEMANALES[[#ALL],[JUEVES]])</f>
        <v>0</v>
      </c>
      <c r="Q729" s="59">
        <f>IF(P729&lt;&gt;"",SUMIFS(Eventos!$G:$G,Eventos!$B:$B,Q$2,Eventos!$D:$D,$C$2,Eventos!$F:$F,$L729),"")</f>
        <v>0</v>
      </c>
      <c r="R729" s="59">
        <f>SUMIFS(Eventos!$G:$G,Eventos!$F:$F,$L729,Eventos!$D:$D,$C$2,Eventos!$B:$B,PANES_SEMANALES[[#ALL],[SÁBADO]])</f>
        <v>0</v>
      </c>
      <c r="S729" s="59">
        <f>SUMIFS(Eventos!$G:$G,Eventos!$F:$F,$L729,Eventos!$D:$D,$C$2,Eventos!$B:$B,PANES_SEMANALES[[#ALL],[DOMINGO]])</f>
        <v>0</v>
      </c>
      <c r="T729" s="59">
        <f t="shared" si="1"/>
        <v>0</v>
      </c>
    </row>
    <row r="730" ht="22.5" customHeight="1">
      <c r="M730" s="59">
        <f>SUMIFS(Eventos!$G:$G,Eventos!$F:$F,$L730,Eventos!$D:$D,$C$2,Eventos!$B:$B,PANES_SEMANALES[[#ALL],[LUNES]])</f>
        <v>0</v>
      </c>
      <c r="N730" s="59">
        <f>SUMIFS(Eventos!$G:$G,Eventos!$F:$F,$L730,Eventos!$D:$D,$C$2,Eventos!$B:$B,PANES_SEMANALES[[#ALL],[MARTES]])</f>
        <v>0</v>
      </c>
      <c r="O730" s="59">
        <f>SUMIFS(Eventos!$G:$G,Eventos!$F:$F,$L730,Eventos!$D:$D,$C$2,Eventos!$B:$B,PANES_SEMANALES[[#ALL],[MIÉRCOLES]])</f>
        <v>0</v>
      </c>
      <c r="P730" s="59">
        <f>SUMIFS(Eventos!$G:$G,Eventos!$F:$F,$L730,Eventos!$D:$D,$C$2,Eventos!$B:$B,PANES_SEMANALES[[#ALL],[JUEVES]])</f>
        <v>0</v>
      </c>
      <c r="Q730" s="59">
        <f>IF(P730&lt;&gt;"",SUMIFS(Eventos!$G:$G,Eventos!$B:$B,Q$2,Eventos!$D:$D,$C$2,Eventos!$F:$F,$L730),"")</f>
        <v>0</v>
      </c>
      <c r="R730" s="59">
        <f>SUMIFS(Eventos!$G:$G,Eventos!$F:$F,$L730,Eventos!$D:$D,$C$2,Eventos!$B:$B,PANES_SEMANALES[[#ALL],[SÁBADO]])</f>
        <v>0</v>
      </c>
      <c r="S730" s="59">
        <f>SUMIFS(Eventos!$G:$G,Eventos!$F:$F,$L730,Eventos!$D:$D,$C$2,Eventos!$B:$B,PANES_SEMANALES[[#ALL],[DOMINGO]])</f>
        <v>0</v>
      </c>
      <c r="T730" s="59">
        <f t="shared" si="1"/>
        <v>0</v>
      </c>
    </row>
    <row r="731" ht="22.5" customHeight="1">
      <c r="M731" s="59">
        <f>SUMIFS(Eventos!$G:$G,Eventos!$F:$F,$L731,Eventos!$D:$D,$C$2,Eventos!$B:$B,PANES_SEMANALES[[#ALL],[LUNES]])</f>
        <v>0</v>
      </c>
      <c r="N731" s="59">
        <f>SUMIFS(Eventos!$G:$G,Eventos!$F:$F,$L731,Eventos!$D:$D,$C$2,Eventos!$B:$B,PANES_SEMANALES[[#ALL],[MARTES]])</f>
        <v>0</v>
      </c>
      <c r="O731" s="59">
        <f>SUMIFS(Eventos!$G:$G,Eventos!$F:$F,$L731,Eventos!$D:$D,$C$2,Eventos!$B:$B,PANES_SEMANALES[[#ALL],[MIÉRCOLES]])</f>
        <v>0</v>
      </c>
      <c r="P731" s="59">
        <f>SUMIFS(Eventos!$G:$G,Eventos!$F:$F,$L731,Eventos!$D:$D,$C$2,Eventos!$B:$B,PANES_SEMANALES[[#ALL],[JUEVES]])</f>
        <v>0</v>
      </c>
      <c r="Q731" s="59">
        <f>IF(P731&lt;&gt;"",SUMIFS(Eventos!$G:$G,Eventos!$B:$B,Q$2,Eventos!$D:$D,$C$2,Eventos!$F:$F,$L731),"")</f>
        <v>0</v>
      </c>
      <c r="R731" s="59">
        <f>SUMIFS(Eventos!$G:$G,Eventos!$F:$F,$L731,Eventos!$D:$D,$C$2,Eventos!$B:$B,PANES_SEMANALES[[#ALL],[SÁBADO]])</f>
        <v>0</v>
      </c>
      <c r="S731" s="59">
        <f>SUMIFS(Eventos!$G:$G,Eventos!$F:$F,$L731,Eventos!$D:$D,$C$2,Eventos!$B:$B,PANES_SEMANALES[[#ALL],[DOMINGO]])</f>
        <v>0</v>
      </c>
      <c r="T731" s="59">
        <f t="shared" si="1"/>
        <v>0</v>
      </c>
    </row>
    <row r="732" ht="22.5" customHeight="1">
      <c r="M732" s="59">
        <f>SUMIFS(Eventos!$G:$G,Eventos!$F:$F,$L732,Eventos!$D:$D,$C$2,Eventos!$B:$B,PANES_SEMANALES[[#ALL],[LUNES]])</f>
        <v>0</v>
      </c>
      <c r="N732" s="59">
        <f>SUMIFS(Eventos!$G:$G,Eventos!$F:$F,$L732,Eventos!$D:$D,$C$2,Eventos!$B:$B,PANES_SEMANALES[[#ALL],[MARTES]])</f>
        <v>0</v>
      </c>
      <c r="O732" s="59">
        <f>SUMIFS(Eventos!$G:$G,Eventos!$F:$F,$L732,Eventos!$D:$D,$C$2,Eventos!$B:$B,PANES_SEMANALES[[#ALL],[MIÉRCOLES]])</f>
        <v>0</v>
      </c>
      <c r="P732" s="59">
        <f>SUMIFS(Eventos!$G:$G,Eventos!$F:$F,$L732,Eventos!$D:$D,$C$2,Eventos!$B:$B,PANES_SEMANALES[[#ALL],[JUEVES]])</f>
        <v>0</v>
      </c>
      <c r="Q732" s="59">
        <f>IF(P732&lt;&gt;"",SUMIFS(Eventos!$G:$G,Eventos!$B:$B,Q$2,Eventos!$D:$D,$C$2,Eventos!$F:$F,$L732),"")</f>
        <v>0</v>
      </c>
      <c r="R732" s="59">
        <f>SUMIFS(Eventos!$G:$G,Eventos!$F:$F,$L732,Eventos!$D:$D,$C$2,Eventos!$B:$B,PANES_SEMANALES[[#ALL],[SÁBADO]])</f>
        <v>0</v>
      </c>
      <c r="S732" s="59">
        <f>SUMIFS(Eventos!$G:$G,Eventos!$F:$F,$L732,Eventos!$D:$D,$C$2,Eventos!$B:$B,PANES_SEMANALES[[#ALL],[DOMINGO]])</f>
        <v>0</v>
      </c>
      <c r="T732" s="59">
        <f t="shared" si="1"/>
        <v>0</v>
      </c>
    </row>
    <row r="733" ht="22.5" customHeight="1">
      <c r="M733" s="59">
        <f>SUMIFS(Eventos!$G:$G,Eventos!$F:$F,$L733,Eventos!$D:$D,$C$2,Eventos!$B:$B,PANES_SEMANALES[[#ALL],[LUNES]])</f>
        <v>0</v>
      </c>
      <c r="N733" s="59">
        <f>SUMIFS(Eventos!$G:$G,Eventos!$F:$F,$L733,Eventos!$D:$D,$C$2,Eventos!$B:$B,PANES_SEMANALES[[#ALL],[MARTES]])</f>
        <v>0</v>
      </c>
      <c r="O733" s="59">
        <f>SUMIFS(Eventos!$G:$G,Eventos!$F:$F,$L733,Eventos!$D:$D,$C$2,Eventos!$B:$B,PANES_SEMANALES[[#ALL],[MIÉRCOLES]])</f>
        <v>0</v>
      </c>
      <c r="P733" s="59">
        <f>SUMIFS(Eventos!$G:$G,Eventos!$F:$F,$L733,Eventos!$D:$D,$C$2,Eventos!$B:$B,PANES_SEMANALES[[#ALL],[JUEVES]])</f>
        <v>0</v>
      </c>
      <c r="Q733" s="59">
        <f>IF(P733&lt;&gt;"",SUMIFS(Eventos!$G:$G,Eventos!$B:$B,Q$2,Eventos!$D:$D,$C$2,Eventos!$F:$F,$L733),"")</f>
        <v>0</v>
      </c>
      <c r="R733" s="59">
        <f>SUMIFS(Eventos!$G:$G,Eventos!$F:$F,$L733,Eventos!$D:$D,$C$2,Eventos!$B:$B,PANES_SEMANALES[[#ALL],[SÁBADO]])</f>
        <v>0</v>
      </c>
      <c r="S733" s="59">
        <f>SUMIFS(Eventos!$G:$G,Eventos!$F:$F,$L733,Eventos!$D:$D,$C$2,Eventos!$B:$B,PANES_SEMANALES[[#ALL],[DOMINGO]])</f>
        <v>0</v>
      </c>
      <c r="T733" s="59">
        <f t="shared" si="1"/>
        <v>0</v>
      </c>
    </row>
    <row r="734" ht="22.5" customHeight="1">
      <c r="M734" s="59">
        <f>SUMIFS(Eventos!$G:$G,Eventos!$F:$F,$L734,Eventos!$D:$D,$C$2,Eventos!$B:$B,PANES_SEMANALES[[#ALL],[LUNES]])</f>
        <v>0</v>
      </c>
      <c r="N734" s="59">
        <f>SUMIFS(Eventos!$G:$G,Eventos!$F:$F,$L734,Eventos!$D:$D,$C$2,Eventos!$B:$B,PANES_SEMANALES[[#ALL],[MARTES]])</f>
        <v>0</v>
      </c>
      <c r="O734" s="59">
        <f>SUMIFS(Eventos!$G:$G,Eventos!$F:$F,$L734,Eventos!$D:$D,$C$2,Eventos!$B:$B,PANES_SEMANALES[[#ALL],[MIÉRCOLES]])</f>
        <v>0</v>
      </c>
      <c r="P734" s="59">
        <f>SUMIFS(Eventos!$G:$G,Eventos!$F:$F,$L734,Eventos!$D:$D,$C$2,Eventos!$B:$B,PANES_SEMANALES[[#ALL],[JUEVES]])</f>
        <v>0</v>
      </c>
      <c r="Q734" s="59">
        <f>IF(P734&lt;&gt;"",SUMIFS(Eventos!$G:$G,Eventos!$B:$B,Q$2,Eventos!$D:$D,$C$2,Eventos!$F:$F,$L734),"")</f>
        <v>0</v>
      </c>
      <c r="R734" s="59">
        <f>SUMIFS(Eventos!$G:$G,Eventos!$F:$F,$L734,Eventos!$D:$D,$C$2,Eventos!$B:$B,PANES_SEMANALES[[#ALL],[SÁBADO]])</f>
        <v>0</v>
      </c>
      <c r="S734" s="59">
        <f>SUMIFS(Eventos!$G:$G,Eventos!$F:$F,$L734,Eventos!$D:$D,$C$2,Eventos!$B:$B,PANES_SEMANALES[[#ALL],[DOMINGO]])</f>
        <v>0</v>
      </c>
      <c r="T734" s="59">
        <f t="shared" si="1"/>
        <v>0</v>
      </c>
    </row>
    <row r="735" ht="22.5" customHeight="1">
      <c r="M735" s="59">
        <f>SUMIFS(Eventos!$G:$G,Eventos!$F:$F,$L735,Eventos!$D:$D,$C$2,Eventos!$B:$B,PANES_SEMANALES[[#ALL],[LUNES]])</f>
        <v>0</v>
      </c>
      <c r="N735" s="59">
        <f>SUMIFS(Eventos!$G:$G,Eventos!$F:$F,$L735,Eventos!$D:$D,$C$2,Eventos!$B:$B,PANES_SEMANALES[[#ALL],[MARTES]])</f>
        <v>0</v>
      </c>
      <c r="O735" s="59">
        <f>SUMIFS(Eventos!$G:$G,Eventos!$F:$F,$L735,Eventos!$D:$D,$C$2,Eventos!$B:$B,PANES_SEMANALES[[#ALL],[MIÉRCOLES]])</f>
        <v>0</v>
      </c>
      <c r="P735" s="59">
        <f>SUMIFS(Eventos!$G:$G,Eventos!$F:$F,$L735,Eventos!$D:$D,$C$2,Eventos!$B:$B,PANES_SEMANALES[[#ALL],[JUEVES]])</f>
        <v>0</v>
      </c>
      <c r="Q735" s="59">
        <f>IF(P735&lt;&gt;"",SUMIFS(Eventos!$G:$G,Eventos!$B:$B,Q$2,Eventos!$D:$D,$C$2,Eventos!$F:$F,$L735),"")</f>
        <v>0</v>
      </c>
      <c r="R735" s="59">
        <f>SUMIFS(Eventos!$G:$G,Eventos!$F:$F,$L735,Eventos!$D:$D,$C$2,Eventos!$B:$B,PANES_SEMANALES[[#ALL],[SÁBADO]])</f>
        <v>0</v>
      </c>
      <c r="S735" s="59">
        <f>SUMIFS(Eventos!$G:$G,Eventos!$F:$F,$L735,Eventos!$D:$D,$C$2,Eventos!$B:$B,PANES_SEMANALES[[#ALL],[DOMINGO]])</f>
        <v>0</v>
      </c>
      <c r="T735" s="59">
        <f t="shared" si="1"/>
        <v>0</v>
      </c>
    </row>
    <row r="736" ht="22.5" customHeight="1">
      <c r="M736" s="59">
        <f>SUMIFS(Eventos!$G:$G,Eventos!$F:$F,$L736,Eventos!$D:$D,$C$2,Eventos!$B:$B,PANES_SEMANALES[[#ALL],[LUNES]])</f>
        <v>0</v>
      </c>
      <c r="N736" s="59">
        <f>SUMIFS(Eventos!$G:$G,Eventos!$F:$F,$L736,Eventos!$D:$D,$C$2,Eventos!$B:$B,PANES_SEMANALES[[#ALL],[MARTES]])</f>
        <v>0</v>
      </c>
      <c r="O736" s="59">
        <f>SUMIFS(Eventos!$G:$G,Eventos!$F:$F,$L736,Eventos!$D:$D,$C$2,Eventos!$B:$B,PANES_SEMANALES[[#ALL],[MIÉRCOLES]])</f>
        <v>0</v>
      </c>
      <c r="P736" s="59">
        <f>SUMIFS(Eventos!$G:$G,Eventos!$F:$F,$L736,Eventos!$D:$D,$C$2,Eventos!$B:$B,PANES_SEMANALES[[#ALL],[JUEVES]])</f>
        <v>0</v>
      </c>
      <c r="Q736" s="59">
        <f>IF(P736&lt;&gt;"",SUMIFS(Eventos!$G:$G,Eventos!$B:$B,Q$2,Eventos!$D:$D,$C$2,Eventos!$F:$F,$L736),"")</f>
        <v>0</v>
      </c>
      <c r="R736" s="59">
        <f>SUMIFS(Eventos!$G:$G,Eventos!$F:$F,$L736,Eventos!$D:$D,$C$2,Eventos!$B:$B,PANES_SEMANALES[[#ALL],[SÁBADO]])</f>
        <v>0</v>
      </c>
      <c r="S736" s="59">
        <f>SUMIFS(Eventos!$G:$G,Eventos!$F:$F,$L736,Eventos!$D:$D,$C$2,Eventos!$B:$B,PANES_SEMANALES[[#ALL],[DOMINGO]])</f>
        <v>0</v>
      </c>
      <c r="T736" s="59">
        <f t="shared" si="1"/>
        <v>0</v>
      </c>
    </row>
    <row r="737" ht="22.5" customHeight="1">
      <c r="M737" s="59">
        <f>SUMIFS(Eventos!$G:$G,Eventos!$F:$F,$L737,Eventos!$D:$D,$C$2,Eventos!$B:$B,PANES_SEMANALES[[#ALL],[LUNES]])</f>
        <v>0</v>
      </c>
      <c r="N737" s="59">
        <f>SUMIFS(Eventos!$G:$G,Eventos!$F:$F,$L737,Eventos!$D:$D,$C$2,Eventos!$B:$B,PANES_SEMANALES[[#ALL],[MARTES]])</f>
        <v>0</v>
      </c>
      <c r="O737" s="59">
        <f>SUMIFS(Eventos!$G:$G,Eventos!$F:$F,$L737,Eventos!$D:$D,$C$2,Eventos!$B:$B,PANES_SEMANALES[[#ALL],[MIÉRCOLES]])</f>
        <v>0</v>
      </c>
      <c r="P737" s="59">
        <f>SUMIFS(Eventos!$G:$G,Eventos!$F:$F,$L737,Eventos!$D:$D,$C$2,Eventos!$B:$B,PANES_SEMANALES[[#ALL],[JUEVES]])</f>
        <v>0</v>
      </c>
      <c r="Q737" s="59">
        <f>IF(P737&lt;&gt;"",SUMIFS(Eventos!$G:$G,Eventos!$B:$B,Q$2,Eventos!$D:$D,$C$2,Eventos!$F:$F,$L737),"")</f>
        <v>0</v>
      </c>
      <c r="R737" s="59">
        <f>SUMIFS(Eventos!$G:$G,Eventos!$F:$F,$L737,Eventos!$D:$D,$C$2,Eventos!$B:$B,PANES_SEMANALES[[#ALL],[SÁBADO]])</f>
        <v>0</v>
      </c>
      <c r="S737" s="59">
        <f>SUMIFS(Eventos!$G:$G,Eventos!$F:$F,$L737,Eventos!$D:$D,$C$2,Eventos!$B:$B,PANES_SEMANALES[[#ALL],[DOMINGO]])</f>
        <v>0</v>
      </c>
      <c r="T737" s="59">
        <f t="shared" si="1"/>
        <v>0</v>
      </c>
    </row>
    <row r="738" ht="22.5" customHeight="1">
      <c r="M738" s="59">
        <f>SUMIFS(Eventos!$G:$G,Eventos!$F:$F,$L738,Eventos!$D:$D,$C$2,Eventos!$B:$B,PANES_SEMANALES[[#ALL],[LUNES]])</f>
        <v>0</v>
      </c>
      <c r="N738" s="59">
        <f>SUMIFS(Eventos!$G:$G,Eventos!$F:$F,$L738,Eventos!$D:$D,$C$2,Eventos!$B:$B,PANES_SEMANALES[[#ALL],[MARTES]])</f>
        <v>0</v>
      </c>
      <c r="O738" s="59">
        <f>SUMIFS(Eventos!$G:$G,Eventos!$F:$F,$L738,Eventos!$D:$D,$C$2,Eventos!$B:$B,PANES_SEMANALES[[#ALL],[MIÉRCOLES]])</f>
        <v>0</v>
      </c>
      <c r="P738" s="59">
        <f>SUMIFS(Eventos!$G:$G,Eventos!$F:$F,$L738,Eventos!$D:$D,$C$2,Eventos!$B:$B,PANES_SEMANALES[[#ALL],[JUEVES]])</f>
        <v>0</v>
      </c>
      <c r="Q738" s="59">
        <f>IF(P738&lt;&gt;"",SUMIFS(Eventos!$G:$G,Eventos!$B:$B,Q$2,Eventos!$D:$D,$C$2,Eventos!$F:$F,$L738),"")</f>
        <v>0</v>
      </c>
      <c r="R738" s="59">
        <f>SUMIFS(Eventos!$G:$G,Eventos!$F:$F,$L738,Eventos!$D:$D,$C$2,Eventos!$B:$B,PANES_SEMANALES[[#ALL],[SÁBADO]])</f>
        <v>0</v>
      </c>
      <c r="S738" s="59">
        <f>SUMIFS(Eventos!$G:$G,Eventos!$F:$F,$L738,Eventos!$D:$D,$C$2,Eventos!$B:$B,PANES_SEMANALES[[#ALL],[DOMINGO]])</f>
        <v>0</v>
      </c>
      <c r="T738" s="59">
        <f t="shared" si="1"/>
        <v>0</v>
      </c>
    </row>
    <row r="739" ht="22.5" customHeight="1">
      <c r="M739" s="59">
        <f>SUMIFS(Eventos!$G:$G,Eventos!$F:$F,$L739,Eventos!$D:$D,$C$2,Eventos!$B:$B,PANES_SEMANALES[[#ALL],[LUNES]])</f>
        <v>0</v>
      </c>
      <c r="N739" s="59">
        <f>SUMIFS(Eventos!$G:$G,Eventos!$F:$F,$L739,Eventos!$D:$D,$C$2,Eventos!$B:$B,PANES_SEMANALES[[#ALL],[MARTES]])</f>
        <v>0</v>
      </c>
      <c r="O739" s="59">
        <f>SUMIFS(Eventos!$G:$G,Eventos!$F:$F,$L739,Eventos!$D:$D,$C$2,Eventos!$B:$B,PANES_SEMANALES[[#ALL],[MIÉRCOLES]])</f>
        <v>0</v>
      </c>
      <c r="P739" s="59">
        <f>SUMIFS(Eventos!$G:$G,Eventos!$F:$F,$L739,Eventos!$D:$D,$C$2,Eventos!$B:$B,PANES_SEMANALES[[#ALL],[JUEVES]])</f>
        <v>0</v>
      </c>
      <c r="Q739" s="59">
        <f>IF(P739&lt;&gt;"",SUMIFS(Eventos!$G:$G,Eventos!$B:$B,Q$2,Eventos!$D:$D,$C$2,Eventos!$F:$F,$L739),"")</f>
        <v>0</v>
      </c>
      <c r="R739" s="59">
        <f>SUMIFS(Eventos!$G:$G,Eventos!$F:$F,$L739,Eventos!$D:$D,$C$2,Eventos!$B:$B,PANES_SEMANALES[[#ALL],[SÁBADO]])</f>
        <v>0</v>
      </c>
      <c r="S739" s="59">
        <f>SUMIFS(Eventos!$G:$G,Eventos!$F:$F,$L739,Eventos!$D:$D,$C$2,Eventos!$B:$B,PANES_SEMANALES[[#ALL],[DOMINGO]])</f>
        <v>0</v>
      </c>
      <c r="T739" s="59">
        <f t="shared" si="1"/>
        <v>0</v>
      </c>
    </row>
    <row r="740" ht="22.5" customHeight="1">
      <c r="M740" s="59">
        <f>SUMIFS(Eventos!$G:$G,Eventos!$F:$F,$L740,Eventos!$D:$D,$C$2,Eventos!$B:$B,PANES_SEMANALES[[#ALL],[LUNES]])</f>
        <v>0</v>
      </c>
      <c r="N740" s="59">
        <f>SUMIFS(Eventos!$G:$G,Eventos!$F:$F,$L740,Eventos!$D:$D,$C$2,Eventos!$B:$B,PANES_SEMANALES[[#ALL],[MARTES]])</f>
        <v>0</v>
      </c>
      <c r="O740" s="59">
        <f>SUMIFS(Eventos!$G:$G,Eventos!$F:$F,$L740,Eventos!$D:$D,$C$2,Eventos!$B:$B,PANES_SEMANALES[[#ALL],[MIÉRCOLES]])</f>
        <v>0</v>
      </c>
      <c r="P740" s="59">
        <f>SUMIFS(Eventos!$G:$G,Eventos!$F:$F,$L740,Eventos!$D:$D,$C$2,Eventos!$B:$B,PANES_SEMANALES[[#ALL],[JUEVES]])</f>
        <v>0</v>
      </c>
      <c r="Q740" s="59">
        <f>IF(P740&lt;&gt;"",SUMIFS(Eventos!$G:$G,Eventos!$B:$B,Q$2,Eventos!$D:$D,$C$2,Eventos!$F:$F,$L740),"")</f>
        <v>0</v>
      </c>
      <c r="R740" s="59">
        <f>SUMIFS(Eventos!$G:$G,Eventos!$F:$F,$L740,Eventos!$D:$D,$C$2,Eventos!$B:$B,PANES_SEMANALES[[#ALL],[SÁBADO]])</f>
        <v>0</v>
      </c>
      <c r="S740" s="59">
        <f>SUMIFS(Eventos!$G:$G,Eventos!$F:$F,$L740,Eventos!$D:$D,$C$2,Eventos!$B:$B,PANES_SEMANALES[[#ALL],[DOMINGO]])</f>
        <v>0</v>
      </c>
      <c r="T740" s="59">
        <f t="shared" si="1"/>
        <v>0</v>
      </c>
    </row>
    <row r="741" ht="22.5" customHeight="1">
      <c r="M741" s="59">
        <f>SUMIFS(Eventos!$G:$G,Eventos!$F:$F,$L741,Eventos!$D:$D,$C$2,Eventos!$B:$B,PANES_SEMANALES[[#ALL],[LUNES]])</f>
        <v>0</v>
      </c>
      <c r="N741" s="59">
        <f>SUMIFS(Eventos!$G:$G,Eventos!$F:$F,$L741,Eventos!$D:$D,$C$2,Eventos!$B:$B,PANES_SEMANALES[[#ALL],[MARTES]])</f>
        <v>0</v>
      </c>
      <c r="O741" s="59">
        <f>SUMIFS(Eventos!$G:$G,Eventos!$F:$F,$L741,Eventos!$D:$D,$C$2,Eventos!$B:$B,PANES_SEMANALES[[#ALL],[MIÉRCOLES]])</f>
        <v>0</v>
      </c>
      <c r="P741" s="59">
        <f>SUMIFS(Eventos!$G:$G,Eventos!$F:$F,$L741,Eventos!$D:$D,$C$2,Eventos!$B:$B,PANES_SEMANALES[[#ALL],[JUEVES]])</f>
        <v>0</v>
      </c>
      <c r="Q741" s="59">
        <f>IF(P741&lt;&gt;"",SUMIFS(Eventos!$G:$G,Eventos!$B:$B,Q$2,Eventos!$D:$D,$C$2,Eventos!$F:$F,$L741),"")</f>
        <v>0</v>
      </c>
      <c r="R741" s="59">
        <f>SUMIFS(Eventos!$G:$G,Eventos!$F:$F,$L741,Eventos!$D:$D,$C$2,Eventos!$B:$B,PANES_SEMANALES[[#ALL],[SÁBADO]])</f>
        <v>0</v>
      </c>
      <c r="S741" s="59">
        <f>SUMIFS(Eventos!$G:$G,Eventos!$F:$F,$L741,Eventos!$D:$D,$C$2,Eventos!$B:$B,PANES_SEMANALES[[#ALL],[DOMINGO]])</f>
        <v>0</v>
      </c>
      <c r="T741" s="59">
        <f t="shared" si="1"/>
        <v>0</v>
      </c>
    </row>
    <row r="742" ht="22.5" customHeight="1">
      <c r="M742" s="59">
        <f>SUMIFS(Eventos!$G:$G,Eventos!$F:$F,$L742,Eventos!$D:$D,$C$2,Eventos!$B:$B,PANES_SEMANALES[[#ALL],[LUNES]])</f>
        <v>0</v>
      </c>
      <c r="N742" s="59">
        <f>SUMIFS(Eventos!$G:$G,Eventos!$F:$F,$L742,Eventos!$D:$D,$C$2,Eventos!$B:$B,PANES_SEMANALES[[#ALL],[MARTES]])</f>
        <v>0</v>
      </c>
      <c r="O742" s="59">
        <f>SUMIFS(Eventos!$G:$G,Eventos!$F:$F,$L742,Eventos!$D:$D,$C$2,Eventos!$B:$B,PANES_SEMANALES[[#ALL],[MIÉRCOLES]])</f>
        <v>0</v>
      </c>
      <c r="P742" s="59">
        <f>SUMIFS(Eventos!$G:$G,Eventos!$F:$F,$L742,Eventos!$D:$D,$C$2,Eventos!$B:$B,PANES_SEMANALES[[#ALL],[JUEVES]])</f>
        <v>0</v>
      </c>
      <c r="Q742" s="59">
        <f>IF(P742&lt;&gt;"",SUMIFS(Eventos!$G:$G,Eventos!$B:$B,Q$2,Eventos!$D:$D,$C$2,Eventos!$F:$F,$L742),"")</f>
        <v>0</v>
      </c>
      <c r="R742" s="59">
        <f>SUMIFS(Eventos!$G:$G,Eventos!$F:$F,$L742,Eventos!$D:$D,$C$2,Eventos!$B:$B,PANES_SEMANALES[[#ALL],[SÁBADO]])</f>
        <v>0</v>
      </c>
      <c r="S742" s="59">
        <f>SUMIFS(Eventos!$G:$G,Eventos!$F:$F,$L742,Eventos!$D:$D,$C$2,Eventos!$B:$B,PANES_SEMANALES[[#ALL],[DOMINGO]])</f>
        <v>0</v>
      </c>
      <c r="T742" s="59">
        <f t="shared" si="1"/>
        <v>0</v>
      </c>
    </row>
    <row r="743" ht="22.5" customHeight="1">
      <c r="M743" s="59">
        <f>SUMIFS(Eventos!$G:$G,Eventos!$F:$F,$L743,Eventos!$D:$D,$C$2,Eventos!$B:$B,PANES_SEMANALES[[#ALL],[LUNES]])</f>
        <v>0</v>
      </c>
      <c r="N743" s="59">
        <f>SUMIFS(Eventos!$G:$G,Eventos!$F:$F,$L743,Eventos!$D:$D,$C$2,Eventos!$B:$B,PANES_SEMANALES[[#ALL],[MARTES]])</f>
        <v>0</v>
      </c>
      <c r="O743" s="59">
        <f>SUMIFS(Eventos!$G:$G,Eventos!$F:$F,$L743,Eventos!$D:$D,$C$2,Eventos!$B:$B,PANES_SEMANALES[[#ALL],[MIÉRCOLES]])</f>
        <v>0</v>
      </c>
      <c r="P743" s="59">
        <f>SUMIFS(Eventos!$G:$G,Eventos!$F:$F,$L743,Eventos!$D:$D,$C$2,Eventos!$B:$B,PANES_SEMANALES[[#ALL],[JUEVES]])</f>
        <v>0</v>
      </c>
      <c r="Q743" s="59">
        <f>IF(P743&lt;&gt;"",SUMIFS(Eventos!$G:$G,Eventos!$B:$B,Q$2,Eventos!$D:$D,$C$2,Eventos!$F:$F,$L743),"")</f>
        <v>0</v>
      </c>
      <c r="R743" s="59">
        <f>SUMIFS(Eventos!$G:$G,Eventos!$F:$F,$L743,Eventos!$D:$D,$C$2,Eventos!$B:$B,PANES_SEMANALES[[#ALL],[SÁBADO]])</f>
        <v>0</v>
      </c>
      <c r="S743" s="59">
        <f>SUMIFS(Eventos!$G:$G,Eventos!$F:$F,$L743,Eventos!$D:$D,$C$2,Eventos!$B:$B,PANES_SEMANALES[[#ALL],[DOMINGO]])</f>
        <v>0</v>
      </c>
      <c r="T743" s="59">
        <f t="shared" si="1"/>
        <v>0</v>
      </c>
    </row>
    <row r="744" ht="22.5" customHeight="1">
      <c r="M744" s="59">
        <f>SUMIFS(Eventos!$G:$G,Eventos!$F:$F,$L744,Eventos!$D:$D,$C$2,Eventos!$B:$B,PANES_SEMANALES[[#ALL],[LUNES]])</f>
        <v>0</v>
      </c>
      <c r="N744" s="59">
        <f>SUMIFS(Eventos!$G:$G,Eventos!$F:$F,$L744,Eventos!$D:$D,$C$2,Eventos!$B:$B,PANES_SEMANALES[[#ALL],[MARTES]])</f>
        <v>0</v>
      </c>
      <c r="O744" s="59">
        <f>SUMIFS(Eventos!$G:$G,Eventos!$F:$F,$L744,Eventos!$D:$D,$C$2,Eventos!$B:$B,PANES_SEMANALES[[#ALL],[MIÉRCOLES]])</f>
        <v>0</v>
      </c>
      <c r="P744" s="59">
        <f>SUMIFS(Eventos!$G:$G,Eventos!$F:$F,$L744,Eventos!$D:$D,$C$2,Eventos!$B:$B,PANES_SEMANALES[[#ALL],[JUEVES]])</f>
        <v>0</v>
      </c>
      <c r="Q744" s="59">
        <f>IF(P744&lt;&gt;"",SUMIFS(Eventos!$G:$G,Eventos!$B:$B,Q$2,Eventos!$D:$D,$C$2,Eventos!$F:$F,$L744),"")</f>
        <v>0</v>
      </c>
      <c r="R744" s="59">
        <f>SUMIFS(Eventos!$G:$G,Eventos!$F:$F,$L744,Eventos!$D:$D,$C$2,Eventos!$B:$B,PANES_SEMANALES[[#ALL],[SÁBADO]])</f>
        <v>0</v>
      </c>
      <c r="S744" s="59">
        <f>SUMIFS(Eventos!$G:$G,Eventos!$F:$F,$L744,Eventos!$D:$D,$C$2,Eventos!$B:$B,PANES_SEMANALES[[#ALL],[DOMINGO]])</f>
        <v>0</v>
      </c>
      <c r="T744" s="59">
        <f t="shared" si="1"/>
        <v>0</v>
      </c>
    </row>
    <row r="745" ht="22.5" customHeight="1">
      <c r="M745" s="59">
        <f>SUMIFS(Eventos!$G:$G,Eventos!$F:$F,$L745,Eventos!$D:$D,$C$2,Eventos!$B:$B,PANES_SEMANALES[[#ALL],[LUNES]])</f>
        <v>0</v>
      </c>
      <c r="N745" s="59">
        <f>SUMIFS(Eventos!$G:$G,Eventos!$F:$F,$L745,Eventos!$D:$D,$C$2,Eventos!$B:$B,PANES_SEMANALES[[#ALL],[MARTES]])</f>
        <v>0</v>
      </c>
      <c r="O745" s="59">
        <f>SUMIFS(Eventos!$G:$G,Eventos!$F:$F,$L745,Eventos!$D:$D,$C$2,Eventos!$B:$B,PANES_SEMANALES[[#ALL],[MIÉRCOLES]])</f>
        <v>0</v>
      </c>
      <c r="P745" s="59">
        <f>SUMIFS(Eventos!$G:$G,Eventos!$F:$F,$L745,Eventos!$D:$D,$C$2,Eventos!$B:$B,PANES_SEMANALES[[#ALL],[JUEVES]])</f>
        <v>0</v>
      </c>
      <c r="Q745" s="59">
        <f>IF(P745&lt;&gt;"",SUMIFS(Eventos!$G:$G,Eventos!$B:$B,Q$2,Eventos!$D:$D,$C$2,Eventos!$F:$F,$L745),"")</f>
        <v>0</v>
      </c>
      <c r="R745" s="59">
        <f>SUMIFS(Eventos!$G:$G,Eventos!$F:$F,$L745,Eventos!$D:$D,$C$2,Eventos!$B:$B,PANES_SEMANALES[[#ALL],[SÁBADO]])</f>
        <v>0</v>
      </c>
      <c r="S745" s="59">
        <f>SUMIFS(Eventos!$G:$G,Eventos!$F:$F,$L745,Eventos!$D:$D,$C$2,Eventos!$B:$B,PANES_SEMANALES[[#ALL],[DOMINGO]])</f>
        <v>0</v>
      </c>
      <c r="T745" s="59">
        <f t="shared" si="1"/>
        <v>0</v>
      </c>
    </row>
    <row r="746" ht="22.5" customHeight="1">
      <c r="M746" s="59">
        <f>SUMIFS(Eventos!$G:$G,Eventos!$F:$F,$L746,Eventos!$D:$D,$C$2,Eventos!$B:$B,PANES_SEMANALES[[#ALL],[LUNES]])</f>
        <v>0</v>
      </c>
      <c r="N746" s="59">
        <f>SUMIFS(Eventos!$G:$G,Eventos!$F:$F,$L746,Eventos!$D:$D,$C$2,Eventos!$B:$B,PANES_SEMANALES[[#ALL],[MARTES]])</f>
        <v>0</v>
      </c>
      <c r="O746" s="59">
        <f>SUMIFS(Eventos!$G:$G,Eventos!$F:$F,$L746,Eventos!$D:$D,$C$2,Eventos!$B:$B,PANES_SEMANALES[[#ALL],[MIÉRCOLES]])</f>
        <v>0</v>
      </c>
      <c r="P746" s="59">
        <f>SUMIFS(Eventos!$G:$G,Eventos!$F:$F,$L746,Eventos!$D:$D,$C$2,Eventos!$B:$B,PANES_SEMANALES[[#ALL],[JUEVES]])</f>
        <v>0</v>
      </c>
      <c r="Q746" s="59">
        <f>IF(P746&lt;&gt;"",SUMIFS(Eventos!$G:$G,Eventos!$B:$B,Q$2,Eventos!$D:$D,$C$2,Eventos!$F:$F,$L746),"")</f>
        <v>0</v>
      </c>
      <c r="R746" s="59">
        <f>SUMIFS(Eventos!$G:$G,Eventos!$F:$F,$L746,Eventos!$D:$D,$C$2,Eventos!$B:$B,PANES_SEMANALES[[#ALL],[SÁBADO]])</f>
        <v>0</v>
      </c>
      <c r="S746" s="59">
        <f>SUMIFS(Eventos!$G:$G,Eventos!$F:$F,$L746,Eventos!$D:$D,$C$2,Eventos!$B:$B,PANES_SEMANALES[[#ALL],[DOMINGO]])</f>
        <v>0</v>
      </c>
      <c r="T746" s="59">
        <f t="shared" si="1"/>
        <v>0</v>
      </c>
    </row>
    <row r="747" ht="22.5" customHeight="1">
      <c r="M747" s="59">
        <f>SUMIFS(Eventos!$G:$G,Eventos!$F:$F,$L747,Eventos!$D:$D,$C$2,Eventos!$B:$B,PANES_SEMANALES[[#ALL],[LUNES]])</f>
        <v>0</v>
      </c>
      <c r="N747" s="59">
        <f>SUMIFS(Eventos!$G:$G,Eventos!$F:$F,$L747,Eventos!$D:$D,$C$2,Eventos!$B:$B,PANES_SEMANALES[[#ALL],[MARTES]])</f>
        <v>0</v>
      </c>
      <c r="O747" s="59">
        <f>SUMIFS(Eventos!$G:$G,Eventos!$F:$F,$L747,Eventos!$D:$D,$C$2,Eventos!$B:$B,PANES_SEMANALES[[#ALL],[MIÉRCOLES]])</f>
        <v>0</v>
      </c>
      <c r="P747" s="59">
        <f>SUMIFS(Eventos!$G:$G,Eventos!$F:$F,$L747,Eventos!$D:$D,$C$2,Eventos!$B:$B,PANES_SEMANALES[[#ALL],[JUEVES]])</f>
        <v>0</v>
      </c>
      <c r="Q747" s="59">
        <f>IF(P747&lt;&gt;"",SUMIFS(Eventos!$G:$G,Eventos!$B:$B,Q$2,Eventos!$D:$D,$C$2,Eventos!$F:$F,$L747),"")</f>
        <v>0</v>
      </c>
      <c r="R747" s="59">
        <f>SUMIFS(Eventos!$G:$G,Eventos!$F:$F,$L747,Eventos!$D:$D,$C$2,Eventos!$B:$B,PANES_SEMANALES[[#ALL],[SÁBADO]])</f>
        <v>0</v>
      </c>
      <c r="S747" s="59">
        <f>SUMIFS(Eventos!$G:$G,Eventos!$F:$F,$L747,Eventos!$D:$D,$C$2,Eventos!$B:$B,PANES_SEMANALES[[#ALL],[DOMINGO]])</f>
        <v>0</v>
      </c>
      <c r="T747" s="59">
        <f t="shared" si="1"/>
        <v>0</v>
      </c>
    </row>
    <row r="748" ht="22.5" customHeight="1">
      <c r="M748" s="59">
        <f>SUMIFS(Eventos!$G:$G,Eventos!$F:$F,$L748,Eventos!$D:$D,$C$2,Eventos!$B:$B,PANES_SEMANALES[[#ALL],[LUNES]])</f>
        <v>0</v>
      </c>
      <c r="N748" s="59">
        <f>SUMIFS(Eventos!$G:$G,Eventos!$F:$F,$L748,Eventos!$D:$D,$C$2,Eventos!$B:$B,PANES_SEMANALES[[#ALL],[MARTES]])</f>
        <v>0</v>
      </c>
      <c r="O748" s="59">
        <f>SUMIFS(Eventos!$G:$G,Eventos!$F:$F,$L748,Eventos!$D:$D,$C$2,Eventos!$B:$B,PANES_SEMANALES[[#ALL],[MIÉRCOLES]])</f>
        <v>0</v>
      </c>
      <c r="P748" s="59">
        <f>SUMIFS(Eventos!$G:$G,Eventos!$F:$F,$L748,Eventos!$D:$D,$C$2,Eventos!$B:$B,PANES_SEMANALES[[#ALL],[JUEVES]])</f>
        <v>0</v>
      </c>
      <c r="Q748" s="59">
        <f>IF(P748&lt;&gt;"",SUMIFS(Eventos!$G:$G,Eventos!$B:$B,Q$2,Eventos!$D:$D,$C$2,Eventos!$F:$F,$L748),"")</f>
        <v>0</v>
      </c>
      <c r="R748" s="59">
        <f>SUMIFS(Eventos!$G:$G,Eventos!$F:$F,$L748,Eventos!$D:$D,$C$2,Eventos!$B:$B,PANES_SEMANALES[[#ALL],[SÁBADO]])</f>
        <v>0</v>
      </c>
      <c r="S748" s="59">
        <f>SUMIFS(Eventos!$G:$G,Eventos!$F:$F,$L748,Eventos!$D:$D,$C$2,Eventos!$B:$B,PANES_SEMANALES[[#ALL],[DOMINGO]])</f>
        <v>0</v>
      </c>
      <c r="T748" s="59">
        <f t="shared" si="1"/>
        <v>0</v>
      </c>
    </row>
    <row r="749" ht="22.5" customHeight="1">
      <c r="M749" s="59">
        <f>SUMIFS(Eventos!$G:$G,Eventos!$F:$F,$L749,Eventos!$D:$D,$C$2,Eventos!$B:$B,PANES_SEMANALES[[#ALL],[LUNES]])</f>
        <v>0</v>
      </c>
      <c r="N749" s="59">
        <f>SUMIFS(Eventos!$G:$G,Eventos!$F:$F,$L749,Eventos!$D:$D,$C$2,Eventos!$B:$B,PANES_SEMANALES[[#ALL],[MARTES]])</f>
        <v>0</v>
      </c>
      <c r="O749" s="59">
        <f>SUMIFS(Eventos!$G:$G,Eventos!$F:$F,$L749,Eventos!$D:$D,$C$2,Eventos!$B:$B,PANES_SEMANALES[[#ALL],[MIÉRCOLES]])</f>
        <v>0</v>
      </c>
      <c r="P749" s="59">
        <f>SUMIFS(Eventos!$G:$G,Eventos!$F:$F,$L749,Eventos!$D:$D,$C$2,Eventos!$B:$B,PANES_SEMANALES[[#ALL],[JUEVES]])</f>
        <v>0</v>
      </c>
      <c r="Q749" s="59">
        <f>IF(P749&lt;&gt;"",SUMIFS(Eventos!$G:$G,Eventos!$B:$B,Q$2,Eventos!$D:$D,$C$2,Eventos!$F:$F,$L749),"")</f>
        <v>0</v>
      </c>
      <c r="R749" s="59">
        <f>SUMIFS(Eventos!$G:$G,Eventos!$F:$F,$L749,Eventos!$D:$D,$C$2,Eventos!$B:$B,PANES_SEMANALES[[#ALL],[SÁBADO]])</f>
        <v>0</v>
      </c>
      <c r="S749" s="59">
        <f>SUMIFS(Eventos!$G:$G,Eventos!$F:$F,$L749,Eventos!$D:$D,$C$2,Eventos!$B:$B,PANES_SEMANALES[[#ALL],[DOMINGO]])</f>
        <v>0</v>
      </c>
      <c r="T749" s="59">
        <f t="shared" si="1"/>
        <v>0</v>
      </c>
    </row>
    <row r="750" ht="22.5" customHeight="1">
      <c r="M750" s="59">
        <f>SUMIFS(Eventos!$G:$G,Eventos!$F:$F,$L750,Eventos!$D:$D,$C$2,Eventos!$B:$B,PANES_SEMANALES[[#ALL],[LUNES]])</f>
        <v>0</v>
      </c>
      <c r="N750" s="59">
        <f>SUMIFS(Eventos!$G:$G,Eventos!$F:$F,$L750,Eventos!$D:$D,$C$2,Eventos!$B:$B,PANES_SEMANALES[[#ALL],[MARTES]])</f>
        <v>0</v>
      </c>
      <c r="O750" s="59">
        <f>SUMIFS(Eventos!$G:$G,Eventos!$F:$F,$L750,Eventos!$D:$D,$C$2,Eventos!$B:$B,PANES_SEMANALES[[#ALL],[MIÉRCOLES]])</f>
        <v>0</v>
      </c>
      <c r="P750" s="59">
        <f>SUMIFS(Eventos!$G:$G,Eventos!$F:$F,$L750,Eventos!$D:$D,$C$2,Eventos!$B:$B,PANES_SEMANALES[[#ALL],[JUEVES]])</f>
        <v>0</v>
      </c>
      <c r="Q750" s="59">
        <f>IF(P750&lt;&gt;"",SUMIFS(Eventos!$G:$G,Eventos!$B:$B,Q$2,Eventos!$D:$D,$C$2,Eventos!$F:$F,$L750),"")</f>
        <v>0</v>
      </c>
      <c r="R750" s="59">
        <f>SUMIFS(Eventos!$G:$G,Eventos!$F:$F,$L750,Eventos!$D:$D,$C$2,Eventos!$B:$B,PANES_SEMANALES[[#ALL],[SÁBADO]])</f>
        <v>0</v>
      </c>
      <c r="S750" s="59">
        <f>SUMIFS(Eventos!$G:$G,Eventos!$F:$F,$L750,Eventos!$D:$D,$C$2,Eventos!$B:$B,PANES_SEMANALES[[#ALL],[DOMINGO]])</f>
        <v>0</v>
      </c>
      <c r="T750" s="59">
        <f t="shared" si="1"/>
        <v>0</v>
      </c>
    </row>
    <row r="751" ht="22.5" customHeight="1">
      <c r="M751" s="59">
        <f>SUMIFS(Eventos!$G:$G,Eventos!$F:$F,$L751,Eventos!$D:$D,$C$2,Eventos!$B:$B,PANES_SEMANALES[[#ALL],[LUNES]])</f>
        <v>0</v>
      </c>
      <c r="N751" s="59">
        <f>SUMIFS(Eventos!$G:$G,Eventos!$F:$F,$L751,Eventos!$D:$D,$C$2,Eventos!$B:$B,PANES_SEMANALES[[#ALL],[MARTES]])</f>
        <v>0</v>
      </c>
      <c r="O751" s="59">
        <f>SUMIFS(Eventos!$G:$G,Eventos!$F:$F,$L751,Eventos!$D:$D,$C$2,Eventos!$B:$B,PANES_SEMANALES[[#ALL],[MIÉRCOLES]])</f>
        <v>0</v>
      </c>
      <c r="P751" s="59">
        <f>SUMIFS(Eventos!$G:$G,Eventos!$F:$F,$L751,Eventos!$D:$D,$C$2,Eventos!$B:$B,PANES_SEMANALES[[#ALL],[JUEVES]])</f>
        <v>0</v>
      </c>
      <c r="Q751" s="59">
        <f>IF(P751&lt;&gt;"",SUMIFS(Eventos!$G:$G,Eventos!$B:$B,Q$2,Eventos!$D:$D,$C$2,Eventos!$F:$F,$L751),"")</f>
        <v>0</v>
      </c>
      <c r="R751" s="59">
        <f>SUMIFS(Eventos!$G:$G,Eventos!$F:$F,$L751,Eventos!$D:$D,$C$2,Eventos!$B:$B,PANES_SEMANALES[[#ALL],[SÁBADO]])</f>
        <v>0</v>
      </c>
      <c r="S751" s="59">
        <f>SUMIFS(Eventos!$G:$G,Eventos!$F:$F,$L751,Eventos!$D:$D,$C$2,Eventos!$B:$B,PANES_SEMANALES[[#ALL],[DOMINGO]])</f>
        <v>0</v>
      </c>
      <c r="T751" s="59">
        <f t="shared" si="1"/>
        <v>0</v>
      </c>
    </row>
    <row r="752" ht="22.5" customHeight="1">
      <c r="M752" s="59">
        <f>SUMIFS(Eventos!$G:$G,Eventos!$F:$F,$L752,Eventos!$D:$D,$C$2,Eventos!$B:$B,PANES_SEMANALES[[#ALL],[LUNES]])</f>
        <v>0</v>
      </c>
      <c r="N752" s="59">
        <f>SUMIFS(Eventos!$G:$G,Eventos!$F:$F,$L752,Eventos!$D:$D,$C$2,Eventos!$B:$B,PANES_SEMANALES[[#ALL],[MARTES]])</f>
        <v>0</v>
      </c>
      <c r="O752" s="59">
        <f>SUMIFS(Eventos!$G:$G,Eventos!$F:$F,$L752,Eventos!$D:$D,$C$2,Eventos!$B:$B,PANES_SEMANALES[[#ALL],[MIÉRCOLES]])</f>
        <v>0</v>
      </c>
      <c r="P752" s="59">
        <f>SUMIFS(Eventos!$G:$G,Eventos!$F:$F,$L752,Eventos!$D:$D,$C$2,Eventos!$B:$B,PANES_SEMANALES[[#ALL],[JUEVES]])</f>
        <v>0</v>
      </c>
      <c r="Q752" s="59">
        <f>IF(P752&lt;&gt;"",SUMIFS(Eventos!$G:$G,Eventos!$B:$B,Q$2,Eventos!$D:$D,$C$2,Eventos!$F:$F,$L752),"")</f>
        <v>0</v>
      </c>
      <c r="R752" s="59">
        <f>SUMIFS(Eventos!$G:$G,Eventos!$F:$F,$L752,Eventos!$D:$D,$C$2,Eventos!$B:$B,PANES_SEMANALES[[#ALL],[SÁBADO]])</f>
        <v>0</v>
      </c>
      <c r="S752" s="59">
        <f>SUMIFS(Eventos!$G:$G,Eventos!$F:$F,$L752,Eventos!$D:$D,$C$2,Eventos!$B:$B,PANES_SEMANALES[[#ALL],[DOMINGO]])</f>
        <v>0</v>
      </c>
      <c r="T752" s="59">
        <f t="shared" si="1"/>
        <v>0</v>
      </c>
    </row>
    <row r="753" ht="22.5" customHeight="1">
      <c r="M753" s="59">
        <f>SUMIFS(Eventos!$G:$G,Eventos!$F:$F,$L753,Eventos!$D:$D,$C$2,Eventos!$B:$B,PANES_SEMANALES[[#ALL],[LUNES]])</f>
        <v>0</v>
      </c>
      <c r="N753" s="59">
        <f>SUMIFS(Eventos!$G:$G,Eventos!$F:$F,$L753,Eventos!$D:$D,$C$2,Eventos!$B:$B,PANES_SEMANALES[[#ALL],[MARTES]])</f>
        <v>0</v>
      </c>
      <c r="O753" s="59">
        <f>SUMIFS(Eventos!$G:$G,Eventos!$F:$F,$L753,Eventos!$D:$D,$C$2,Eventos!$B:$B,PANES_SEMANALES[[#ALL],[MIÉRCOLES]])</f>
        <v>0</v>
      </c>
      <c r="P753" s="59">
        <f>SUMIFS(Eventos!$G:$G,Eventos!$F:$F,$L753,Eventos!$D:$D,$C$2,Eventos!$B:$B,PANES_SEMANALES[[#ALL],[JUEVES]])</f>
        <v>0</v>
      </c>
      <c r="Q753" s="59">
        <f>IF(P753&lt;&gt;"",SUMIFS(Eventos!$G:$G,Eventos!$B:$B,Q$2,Eventos!$D:$D,$C$2,Eventos!$F:$F,$L753),"")</f>
        <v>0</v>
      </c>
      <c r="R753" s="59">
        <f>SUMIFS(Eventos!$G:$G,Eventos!$F:$F,$L753,Eventos!$D:$D,$C$2,Eventos!$B:$B,PANES_SEMANALES[[#ALL],[SÁBADO]])</f>
        <v>0</v>
      </c>
      <c r="S753" s="59">
        <f>SUMIFS(Eventos!$G:$G,Eventos!$F:$F,$L753,Eventos!$D:$D,$C$2,Eventos!$B:$B,PANES_SEMANALES[[#ALL],[DOMINGO]])</f>
        <v>0</v>
      </c>
      <c r="T753" s="59">
        <f t="shared" si="1"/>
        <v>0</v>
      </c>
    </row>
    <row r="754" ht="22.5" customHeight="1">
      <c r="M754" s="59">
        <f>SUMIFS(Eventos!$G:$G,Eventos!$F:$F,$L754,Eventos!$D:$D,$C$2,Eventos!$B:$B,PANES_SEMANALES[[#ALL],[LUNES]])</f>
        <v>0</v>
      </c>
      <c r="N754" s="59">
        <f>SUMIFS(Eventos!$G:$G,Eventos!$F:$F,$L754,Eventos!$D:$D,$C$2,Eventos!$B:$B,PANES_SEMANALES[[#ALL],[MARTES]])</f>
        <v>0</v>
      </c>
      <c r="O754" s="59">
        <f>SUMIFS(Eventos!$G:$G,Eventos!$F:$F,$L754,Eventos!$D:$D,$C$2,Eventos!$B:$B,PANES_SEMANALES[[#ALL],[MIÉRCOLES]])</f>
        <v>0</v>
      </c>
      <c r="P754" s="59">
        <f>SUMIFS(Eventos!$G:$G,Eventos!$F:$F,$L754,Eventos!$D:$D,$C$2,Eventos!$B:$B,PANES_SEMANALES[[#ALL],[JUEVES]])</f>
        <v>0</v>
      </c>
      <c r="Q754" s="59">
        <f>IF(P754&lt;&gt;"",SUMIFS(Eventos!$G:$G,Eventos!$B:$B,Q$2,Eventos!$D:$D,$C$2,Eventos!$F:$F,$L754),"")</f>
        <v>0</v>
      </c>
      <c r="R754" s="59">
        <f>SUMIFS(Eventos!$G:$G,Eventos!$F:$F,$L754,Eventos!$D:$D,$C$2,Eventos!$B:$B,PANES_SEMANALES[[#ALL],[SÁBADO]])</f>
        <v>0</v>
      </c>
      <c r="S754" s="59">
        <f>SUMIFS(Eventos!$G:$G,Eventos!$F:$F,$L754,Eventos!$D:$D,$C$2,Eventos!$B:$B,PANES_SEMANALES[[#ALL],[DOMINGO]])</f>
        <v>0</v>
      </c>
      <c r="T754" s="59">
        <f t="shared" si="1"/>
        <v>0</v>
      </c>
    </row>
    <row r="755" ht="22.5" customHeight="1">
      <c r="M755" s="59">
        <f>SUMIFS(Eventos!$G:$G,Eventos!$F:$F,$L755,Eventos!$D:$D,$C$2,Eventos!$B:$B,PANES_SEMANALES[[#ALL],[LUNES]])</f>
        <v>0</v>
      </c>
      <c r="N755" s="59">
        <f>SUMIFS(Eventos!$G:$G,Eventos!$F:$F,$L755,Eventos!$D:$D,$C$2,Eventos!$B:$B,PANES_SEMANALES[[#ALL],[MARTES]])</f>
        <v>0</v>
      </c>
      <c r="O755" s="59">
        <f>SUMIFS(Eventos!$G:$G,Eventos!$F:$F,$L755,Eventos!$D:$D,$C$2,Eventos!$B:$B,PANES_SEMANALES[[#ALL],[MIÉRCOLES]])</f>
        <v>0</v>
      </c>
      <c r="P755" s="59">
        <f>SUMIFS(Eventos!$G:$G,Eventos!$F:$F,$L755,Eventos!$D:$D,$C$2,Eventos!$B:$B,PANES_SEMANALES[[#ALL],[JUEVES]])</f>
        <v>0</v>
      </c>
      <c r="Q755" s="59">
        <f>IF(P755&lt;&gt;"",SUMIFS(Eventos!$G:$G,Eventos!$B:$B,Q$2,Eventos!$D:$D,$C$2,Eventos!$F:$F,$L755),"")</f>
        <v>0</v>
      </c>
      <c r="R755" s="59">
        <f>SUMIFS(Eventos!$G:$G,Eventos!$F:$F,$L755,Eventos!$D:$D,$C$2,Eventos!$B:$B,PANES_SEMANALES[[#ALL],[SÁBADO]])</f>
        <v>0</v>
      </c>
      <c r="S755" s="59">
        <f>SUMIFS(Eventos!$G:$G,Eventos!$F:$F,$L755,Eventos!$D:$D,$C$2,Eventos!$B:$B,PANES_SEMANALES[[#ALL],[DOMINGO]])</f>
        <v>0</v>
      </c>
      <c r="T755" s="59">
        <f t="shared" si="1"/>
        <v>0</v>
      </c>
    </row>
    <row r="756" ht="22.5" customHeight="1">
      <c r="M756" s="59">
        <f>SUMIFS(Eventos!$G:$G,Eventos!$F:$F,$L756,Eventos!$D:$D,$C$2,Eventos!$B:$B,PANES_SEMANALES[[#ALL],[LUNES]])</f>
        <v>0</v>
      </c>
      <c r="N756" s="59">
        <f>SUMIFS(Eventos!$G:$G,Eventos!$F:$F,$L756,Eventos!$D:$D,$C$2,Eventos!$B:$B,PANES_SEMANALES[[#ALL],[MARTES]])</f>
        <v>0</v>
      </c>
      <c r="O756" s="59">
        <f>SUMIFS(Eventos!$G:$G,Eventos!$F:$F,$L756,Eventos!$D:$D,$C$2,Eventos!$B:$B,PANES_SEMANALES[[#ALL],[MIÉRCOLES]])</f>
        <v>0</v>
      </c>
      <c r="P756" s="59">
        <f>SUMIFS(Eventos!$G:$G,Eventos!$F:$F,$L756,Eventos!$D:$D,$C$2,Eventos!$B:$B,PANES_SEMANALES[[#ALL],[JUEVES]])</f>
        <v>0</v>
      </c>
      <c r="Q756" s="59">
        <f>IF(P756&lt;&gt;"",SUMIFS(Eventos!$G:$G,Eventos!$B:$B,Q$2,Eventos!$D:$D,$C$2,Eventos!$F:$F,$L756),"")</f>
        <v>0</v>
      </c>
      <c r="R756" s="59">
        <f>SUMIFS(Eventos!$G:$G,Eventos!$F:$F,$L756,Eventos!$D:$D,$C$2,Eventos!$B:$B,PANES_SEMANALES[[#ALL],[SÁBADO]])</f>
        <v>0</v>
      </c>
      <c r="S756" s="59">
        <f>SUMIFS(Eventos!$G:$G,Eventos!$F:$F,$L756,Eventos!$D:$D,$C$2,Eventos!$B:$B,PANES_SEMANALES[[#ALL],[DOMINGO]])</f>
        <v>0</v>
      </c>
      <c r="T756" s="59">
        <f t="shared" si="1"/>
        <v>0</v>
      </c>
    </row>
    <row r="757" ht="22.5" customHeight="1">
      <c r="M757" s="59">
        <f>SUMIFS(Eventos!$G:$G,Eventos!$F:$F,$L757,Eventos!$D:$D,$C$2,Eventos!$B:$B,PANES_SEMANALES[[#ALL],[LUNES]])</f>
        <v>0</v>
      </c>
      <c r="N757" s="59">
        <f>SUMIFS(Eventos!$G:$G,Eventos!$F:$F,$L757,Eventos!$D:$D,$C$2,Eventos!$B:$B,PANES_SEMANALES[[#ALL],[MARTES]])</f>
        <v>0</v>
      </c>
      <c r="O757" s="59">
        <f>SUMIFS(Eventos!$G:$G,Eventos!$F:$F,$L757,Eventos!$D:$D,$C$2,Eventos!$B:$B,PANES_SEMANALES[[#ALL],[MIÉRCOLES]])</f>
        <v>0</v>
      </c>
      <c r="P757" s="59">
        <f>SUMIFS(Eventos!$G:$G,Eventos!$F:$F,$L757,Eventos!$D:$D,$C$2,Eventos!$B:$B,PANES_SEMANALES[[#ALL],[JUEVES]])</f>
        <v>0</v>
      </c>
      <c r="Q757" s="59">
        <f>IF(P757&lt;&gt;"",SUMIFS(Eventos!$G:$G,Eventos!$B:$B,Q$2,Eventos!$D:$D,$C$2,Eventos!$F:$F,$L757),"")</f>
        <v>0</v>
      </c>
      <c r="R757" s="59">
        <f>SUMIFS(Eventos!$G:$G,Eventos!$F:$F,$L757,Eventos!$D:$D,$C$2,Eventos!$B:$B,PANES_SEMANALES[[#ALL],[SÁBADO]])</f>
        <v>0</v>
      </c>
      <c r="S757" s="59">
        <f>SUMIFS(Eventos!$G:$G,Eventos!$F:$F,$L757,Eventos!$D:$D,$C$2,Eventos!$B:$B,PANES_SEMANALES[[#ALL],[DOMINGO]])</f>
        <v>0</v>
      </c>
      <c r="T757" s="59">
        <f t="shared" si="1"/>
        <v>0</v>
      </c>
    </row>
    <row r="758" ht="22.5" customHeight="1">
      <c r="M758" s="59">
        <f>SUMIFS(Eventos!$G:$G,Eventos!$F:$F,$L758,Eventos!$D:$D,$C$2,Eventos!$B:$B,PANES_SEMANALES[[#ALL],[LUNES]])</f>
        <v>0</v>
      </c>
      <c r="N758" s="59">
        <f>SUMIFS(Eventos!$G:$G,Eventos!$F:$F,$L758,Eventos!$D:$D,$C$2,Eventos!$B:$B,PANES_SEMANALES[[#ALL],[MARTES]])</f>
        <v>0</v>
      </c>
      <c r="O758" s="59">
        <f>SUMIFS(Eventos!$G:$G,Eventos!$F:$F,$L758,Eventos!$D:$D,$C$2,Eventos!$B:$B,PANES_SEMANALES[[#ALL],[MIÉRCOLES]])</f>
        <v>0</v>
      </c>
      <c r="P758" s="59">
        <f>SUMIFS(Eventos!$G:$G,Eventos!$F:$F,$L758,Eventos!$D:$D,$C$2,Eventos!$B:$B,PANES_SEMANALES[[#ALL],[JUEVES]])</f>
        <v>0</v>
      </c>
      <c r="Q758" s="59">
        <f>IF(P758&lt;&gt;"",SUMIFS(Eventos!$G:$G,Eventos!$B:$B,Q$2,Eventos!$D:$D,$C$2,Eventos!$F:$F,$L758),"")</f>
        <v>0</v>
      </c>
      <c r="R758" s="59">
        <f>SUMIFS(Eventos!$G:$G,Eventos!$F:$F,$L758,Eventos!$D:$D,$C$2,Eventos!$B:$B,PANES_SEMANALES[[#ALL],[SÁBADO]])</f>
        <v>0</v>
      </c>
      <c r="S758" s="59">
        <f>SUMIFS(Eventos!$G:$G,Eventos!$F:$F,$L758,Eventos!$D:$D,$C$2,Eventos!$B:$B,PANES_SEMANALES[[#ALL],[DOMINGO]])</f>
        <v>0</v>
      </c>
      <c r="T758" s="59">
        <f t="shared" si="1"/>
        <v>0</v>
      </c>
    </row>
    <row r="759" ht="22.5" customHeight="1">
      <c r="M759" s="59">
        <f>SUMIFS(Eventos!$G:$G,Eventos!$F:$F,$L759,Eventos!$D:$D,$C$2,Eventos!$B:$B,PANES_SEMANALES[[#ALL],[LUNES]])</f>
        <v>0</v>
      </c>
      <c r="N759" s="59">
        <f>SUMIFS(Eventos!$G:$G,Eventos!$F:$F,$L759,Eventos!$D:$D,$C$2,Eventos!$B:$B,PANES_SEMANALES[[#ALL],[MARTES]])</f>
        <v>0</v>
      </c>
      <c r="O759" s="59">
        <f>SUMIFS(Eventos!$G:$G,Eventos!$F:$F,$L759,Eventos!$D:$D,$C$2,Eventos!$B:$B,PANES_SEMANALES[[#ALL],[MIÉRCOLES]])</f>
        <v>0</v>
      </c>
      <c r="P759" s="59">
        <f>SUMIFS(Eventos!$G:$G,Eventos!$F:$F,$L759,Eventos!$D:$D,$C$2,Eventos!$B:$B,PANES_SEMANALES[[#ALL],[JUEVES]])</f>
        <v>0</v>
      </c>
      <c r="Q759" s="59">
        <f>IF(P759&lt;&gt;"",SUMIFS(Eventos!$G:$G,Eventos!$B:$B,Q$2,Eventos!$D:$D,$C$2,Eventos!$F:$F,$L759),"")</f>
        <v>0</v>
      </c>
      <c r="R759" s="59">
        <f>SUMIFS(Eventos!$G:$G,Eventos!$F:$F,$L759,Eventos!$D:$D,$C$2,Eventos!$B:$B,PANES_SEMANALES[[#ALL],[SÁBADO]])</f>
        <v>0</v>
      </c>
      <c r="S759" s="59">
        <f>SUMIFS(Eventos!$G:$G,Eventos!$F:$F,$L759,Eventos!$D:$D,$C$2,Eventos!$B:$B,PANES_SEMANALES[[#ALL],[DOMINGO]])</f>
        <v>0</v>
      </c>
      <c r="T759" s="59">
        <f t="shared" si="1"/>
        <v>0</v>
      </c>
    </row>
    <row r="760" ht="22.5" customHeight="1">
      <c r="M760" s="59">
        <f>SUMIFS(Eventos!$G:$G,Eventos!$F:$F,$L760,Eventos!$D:$D,$C$2,Eventos!$B:$B,PANES_SEMANALES[[#ALL],[LUNES]])</f>
        <v>0</v>
      </c>
      <c r="N760" s="59">
        <f>SUMIFS(Eventos!$G:$G,Eventos!$F:$F,$L760,Eventos!$D:$D,$C$2,Eventos!$B:$B,PANES_SEMANALES[[#ALL],[MARTES]])</f>
        <v>0</v>
      </c>
      <c r="O760" s="59">
        <f>SUMIFS(Eventos!$G:$G,Eventos!$F:$F,$L760,Eventos!$D:$D,$C$2,Eventos!$B:$B,PANES_SEMANALES[[#ALL],[MIÉRCOLES]])</f>
        <v>0</v>
      </c>
      <c r="P760" s="59">
        <f>SUMIFS(Eventos!$G:$G,Eventos!$F:$F,$L760,Eventos!$D:$D,$C$2,Eventos!$B:$B,PANES_SEMANALES[[#ALL],[JUEVES]])</f>
        <v>0</v>
      </c>
      <c r="Q760" s="59">
        <f>IF(P760&lt;&gt;"",SUMIFS(Eventos!$G:$G,Eventos!$B:$B,Q$2,Eventos!$D:$D,$C$2,Eventos!$F:$F,$L760),"")</f>
        <v>0</v>
      </c>
      <c r="R760" s="59">
        <f>SUMIFS(Eventos!$G:$G,Eventos!$F:$F,$L760,Eventos!$D:$D,$C$2,Eventos!$B:$B,PANES_SEMANALES[[#ALL],[SÁBADO]])</f>
        <v>0</v>
      </c>
      <c r="S760" s="59">
        <f>SUMIFS(Eventos!$G:$G,Eventos!$F:$F,$L760,Eventos!$D:$D,$C$2,Eventos!$B:$B,PANES_SEMANALES[[#ALL],[DOMINGO]])</f>
        <v>0</v>
      </c>
      <c r="T760" s="59">
        <f t="shared" si="1"/>
        <v>0</v>
      </c>
    </row>
    <row r="761" ht="22.5" customHeight="1">
      <c r="M761" s="59">
        <f>SUMIFS(Eventos!$G:$G,Eventos!$F:$F,$L761,Eventos!$D:$D,$C$2,Eventos!$B:$B,PANES_SEMANALES[[#ALL],[LUNES]])</f>
        <v>0</v>
      </c>
      <c r="N761" s="59">
        <f>SUMIFS(Eventos!$G:$G,Eventos!$F:$F,$L761,Eventos!$D:$D,$C$2,Eventos!$B:$B,PANES_SEMANALES[[#ALL],[MARTES]])</f>
        <v>0</v>
      </c>
      <c r="O761" s="59">
        <f>SUMIFS(Eventos!$G:$G,Eventos!$F:$F,$L761,Eventos!$D:$D,$C$2,Eventos!$B:$B,PANES_SEMANALES[[#ALL],[MIÉRCOLES]])</f>
        <v>0</v>
      </c>
      <c r="P761" s="59">
        <f>SUMIFS(Eventos!$G:$G,Eventos!$F:$F,$L761,Eventos!$D:$D,$C$2,Eventos!$B:$B,PANES_SEMANALES[[#ALL],[JUEVES]])</f>
        <v>0</v>
      </c>
      <c r="Q761" s="59">
        <f>IF(P761&lt;&gt;"",SUMIFS(Eventos!$G:$G,Eventos!$B:$B,Q$2,Eventos!$D:$D,$C$2,Eventos!$F:$F,$L761),"")</f>
        <v>0</v>
      </c>
      <c r="R761" s="59">
        <f>SUMIFS(Eventos!$G:$G,Eventos!$F:$F,$L761,Eventos!$D:$D,$C$2,Eventos!$B:$B,PANES_SEMANALES[[#ALL],[SÁBADO]])</f>
        <v>0</v>
      </c>
      <c r="S761" s="59">
        <f>SUMIFS(Eventos!$G:$G,Eventos!$F:$F,$L761,Eventos!$D:$D,$C$2,Eventos!$B:$B,PANES_SEMANALES[[#ALL],[DOMINGO]])</f>
        <v>0</v>
      </c>
      <c r="T761" s="59">
        <f t="shared" si="1"/>
        <v>0</v>
      </c>
    </row>
    <row r="762" ht="22.5" customHeight="1">
      <c r="M762" s="59">
        <f>SUMIFS(Eventos!$G:$G,Eventos!$F:$F,$L762,Eventos!$D:$D,$C$2,Eventos!$B:$B,PANES_SEMANALES[[#ALL],[LUNES]])</f>
        <v>0</v>
      </c>
      <c r="N762" s="59">
        <f>SUMIFS(Eventos!$G:$G,Eventos!$F:$F,$L762,Eventos!$D:$D,$C$2,Eventos!$B:$B,PANES_SEMANALES[[#ALL],[MARTES]])</f>
        <v>0</v>
      </c>
      <c r="O762" s="59">
        <f>SUMIFS(Eventos!$G:$G,Eventos!$F:$F,$L762,Eventos!$D:$D,$C$2,Eventos!$B:$B,PANES_SEMANALES[[#ALL],[MIÉRCOLES]])</f>
        <v>0</v>
      </c>
      <c r="P762" s="59">
        <f>SUMIFS(Eventos!$G:$G,Eventos!$F:$F,$L762,Eventos!$D:$D,$C$2,Eventos!$B:$B,PANES_SEMANALES[[#ALL],[JUEVES]])</f>
        <v>0</v>
      </c>
      <c r="Q762" s="59">
        <f>IF(P762&lt;&gt;"",SUMIFS(Eventos!$G:$G,Eventos!$B:$B,Q$2,Eventos!$D:$D,$C$2,Eventos!$F:$F,$L762),"")</f>
        <v>0</v>
      </c>
      <c r="R762" s="59">
        <f>SUMIFS(Eventos!$G:$G,Eventos!$F:$F,$L762,Eventos!$D:$D,$C$2,Eventos!$B:$B,PANES_SEMANALES[[#ALL],[SÁBADO]])</f>
        <v>0</v>
      </c>
      <c r="S762" s="59">
        <f>SUMIFS(Eventos!$G:$G,Eventos!$F:$F,$L762,Eventos!$D:$D,$C$2,Eventos!$B:$B,PANES_SEMANALES[[#ALL],[DOMINGO]])</f>
        <v>0</v>
      </c>
      <c r="T762" s="59">
        <f t="shared" si="1"/>
        <v>0</v>
      </c>
    </row>
    <row r="763" ht="22.5" customHeight="1">
      <c r="M763" s="59">
        <f>SUMIFS(Eventos!$G:$G,Eventos!$F:$F,$L763,Eventos!$D:$D,$C$2,Eventos!$B:$B,PANES_SEMANALES[[#ALL],[LUNES]])</f>
        <v>0</v>
      </c>
      <c r="N763" s="59">
        <f>SUMIFS(Eventos!$G:$G,Eventos!$F:$F,$L763,Eventos!$D:$D,$C$2,Eventos!$B:$B,PANES_SEMANALES[[#ALL],[MARTES]])</f>
        <v>0</v>
      </c>
      <c r="O763" s="59">
        <f>SUMIFS(Eventos!$G:$G,Eventos!$F:$F,$L763,Eventos!$D:$D,$C$2,Eventos!$B:$B,PANES_SEMANALES[[#ALL],[MIÉRCOLES]])</f>
        <v>0</v>
      </c>
      <c r="P763" s="59">
        <f>SUMIFS(Eventos!$G:$G,Eventos!$F:$F,$L763,Eventos!$D:$D,$C$2,Eventos!$B:$B,PANES_SEMANALES[[#ALL],[JUEVES]])</f>
        <v>0</v>
      </c>
      <c r="Q763" s="59">
        <f>IF(P763&lt;&gt;"",SUMIFS(Eventos!$G:$G,Eventos!$B:$B,Q$2,Eventos!$D:$D,$C$2,Eventos!$F:$F,$L763),"")</f>
        <v>0</v>
      </c>
      <c r="R763" s="59">
        <f>SUMIFS(Eventos!$G:$G,Eventos!$F:$F,$L763,Eventos!$D:$D,$C$2,Eventos!$B:$B,PANES_SEMANALES[[#ALL],[SÁBADO]])</f>
        <v>0</v>
      </c>
      <c r="S763" s="59">
        <f>SUMIFS(Eventos!$G:$G,Eventos!$F:$F,$L763,Eventos!$D:$D,$C$2,Eventos!$B:$B,PANES_SEMANALES[[#ALL],[DOMINGO]])</f>
        <v>0</v>
      </c>
      <c r="T763" s="59">
        <f t="shared" si="1"/>
        <v>0</v>
      </c>
    </row>
    <row r="764" ht="22.5" customHeight="1">
      <c r="M764" s="59">
        <f>SUMIFS(Eventos!$G:$G,Eventos!$F:$F,$L764,Eventos!$D:$D,$C$2,Eventos!$B:$B,PANES_SEMANALES[[#ALL],[LUNES]])</f>
        <v>0</v>
      </c>
      <c r="N764" s="59">
        <f>SUMIFS(Eventos!$G:$G,Eventos!$F:$F,$L764,Eventos!$D:$D,$C$2,Eventos!$B:$B,PANES_SEMANALES[[#ALL],[MARTES]])</f>
        <v>0</v>
      </c>
      <c r="O764" s="59">
        <f>SUMIFS(Eventos!$G:$G,Eventos!$F:$F,$L764,Eventos!$D:$D,$C$2,Eventos!$B:$B,PANES_SEMANALES[[#ALL],[MIÉRCOLES]])</f>
        <v>0</v>
      </c>
      <c r="P764" s="59">
        <f>SUMIFS(Eventos!$G:$G,Eventos!$F:$F,$L764,Eventos!$D:$D,$C$2,Eventos!$B:$B,PANES_SEMANALES[[#ALL],[JUEVES]])</f>
        <v>0</v>
      </c>
      <c r="Q764" s="59">
        <f>IF(P764&lt;&gt;"",SUMIFS(Eventos!$G:$G,Eventos!$B:$B,Q$2,Eventos!$D:$D,$C$2,Eventos!$F:$F,$L764),"")</f>
        <v>0</v>
      </c>
      <c r="R764" s="59">
        <f>SUMIFS(Eventos!$G:$G,Eventos!$F:$F,$L764,Eventos!$D:$D,$C$2,Eventos!$B:$B,PANES_SEMANALES[[#ALL],[SÁBADO]])</f>
        <v>0</v>
      </c>
      <c r="S764" s="59">
        <f>SUMIFS(Eventos!$G:$G,Eventos!$F:$F,$L764,Eventos!$D:$D,$C$2,Eventos!$B:$B,PANES_SEMANALES[[#ALL],[DOMINGO]])</f>
        <v>0</v>
      </c>
      <c r="T764" s="59">
        <f t="shared" si="1"/>
        <v>0</v>
      </c>
    </row>
    <row r="765" ht="22.5" customHeight="1">
      <c r="M765" s="59">
        <f>SUMIFS(Eventos!$G:$G,Eventos!$F:$F,$L765,Eventos!$D:$D,$C$2,Eventos!$B:$B,PANES_SEMANALES[[#ALL],[LUNES]])</f>
        <v>0</v>
      </c>
      <c r="N765" s="59">
        <f>SUMIFS(Eventos!$G:$G,Eventos!$F:$F,$L765,Eventos!$D:$D,$C$2,Eventos!$B:$B,PANES_SEMANALES[[#ALL],[MARTES]])</f>
        <v>0</v>
      </c>
      <c r="O765" s="59">
        <f>SUMIFS(Eventos!$G:$G,Eventos!$F:$F,$L765,Eventos!$D:$D,$C$2,Eventos!$B:$B,PANES_SEMANALES[[#ALL],[MIÉRCOLES]])</f>
        <v>0</v>
      </c>
      <c r="P765" s="59">
        <f>SUMIFS(Eventos!$G:$G,Eventos!$F:$F,$L765,Eventos!$D:$D,$C$2,Eventos!$B:$B,PANES_SEMANALES[[#ALL],[JUEVES]])</f>
        <v>0</v>
      </c>
      <c r="Q765" s="59">
        <f>IF(P765&lt;&gt;"",SUMIFS(Eventos!$G:$G,Eventos!$B:$B,Q$2,Eventos!$D:$D,$C$2,Eventos!$F:$F,$L765),"")</f>
        <v>0</v>
      </c>
      <c r="R765" s="59">
        <f>SUMIFS(Eventos!$G:$G,Eventos!$F:$F,$L765,Eventos!$D:$D,$C$2,Eventos!$B:$B,PANES_SEMANALES[[#ALL],[SÁBADO]])</f>
        <v>0</v>
      </c>
      <c r="S765" s="59">
        <f>SUMIFS(Eventos!$G:$G,Eventos!$F:$F,$L765,Eventos!$D:$D,$C$2,Eventos!$B:$B,PANES_SEMANALES[[#ALL],[DOMINGO]])</f>
        <v>0</v>
      </c>
      <c r="T765" s="59">
        <f t="shared" si="1"/>
        <v>0</v>
      </c>
    </row>
    <row r="766" ht="22.5" customHeight="1">
      <c r="M766" s="59">
        <f>SUMIFS(Eventos!$G:$G,Eventos!$F:$F,$L766,Eventos!$D:$D,$C$2,Eventos!$B:$B,PANES_SEMANALES[[#ALL],[LUNES]])</f>
        <v>0</v>
      </c>
      <c r="N766" s="59">
        <f>SUMIFS(Eventos!$G:$G,Eventos!$F:$F,$L766,Eventos!$D:$D,$C$2,Eventos!$B:$B,PANES_SEMANALES[[#ALL],[MARTES]])</f>
        <v>0</v>
      </c>
      <c r="O766" s="59">
        <f>SUMIFS(Eventos!$G:$G,Eventos!$F:$F,$L766,Eventos!$D:$D,$C$2,Eventos!$B:$B,PANES_SEMANALES[[#ALL],[MIÉRCOLES]])</f>
        <v>0</v>
      </c>
      <c r="P766" s="59">
        <f>SUMIFS(Eventos!$G:$G,Eventos!$F:$F,$L766,Eventos!$D:$D,$C$2,Eventos!$B:$B,PANES_SEMANALES[[#ALL],[JUEVES]])</f>
        <v>0</v>
      </c>
      <c r="Q766" s="59">
        <f>IF(P766&lt;&gt;"",SUMIFS(Eventos!$G:$G,Eventos!$B:$B,Q$2,Eventos!$D:$D,$C$2,Eventos!$F:$F,$L766),"")</f>
        <v>0</v>
      </c>
      <c r="R766" s="59">
        <f>SUMIFS(Eventos!$G:$G,Eventos!$F:$F,$L766,Eventos!$D:$D,$C$2,Eventos!$B:$B,PANES_SEMANALES[[#ALL],[SÁBADO]])</f>
        <v>0</v>
      </c>
      <c r="S766" s="59">
        <f>SUMIFS(Eventos!$G:$G,Eventos!$F:$F,$L766,Eventos!$D:$D,$C$2,Eventos!$B:$B,PANES_SEMANALES[[#ALL],[DOMINGO]])</f>
        <v>0</v>
      </c>
      <c r="T766" s="59">
        <f t="shared" si="1"/>
        <v>0</v>
      </c>
    </row>
    <row r="767" ht="22.5" customHeight="1">
      <c r="M767" s="59">
        <f>SUMIFS(Eventos!$G:$G,Eventos!$F:$F,$L767,Eventos!$D:$D,$C$2,Eventos!$B:$B,PANES_SEMANALES[[#ALL],[LUNES]])</f>
        <v>0</v>
      </c>
      <c r="N767" s="59">
        <f>SUMIFS(Eventos!$G:$G,Eventos!$F:$F,$L767,Eventos!$D:$D,$C$2,Eventos!$B:$B,PANES_SEMANALES[[#ALL],[MARTES]])</f>
        <v>0</v>
      </c>
      <c r="O767" s="59">
        <f>SUMIFS(Eventos!$G:$G,Eventos!$F:$F,$L767,Eventos!$D:$D,$C$2,Eventos!$B:$B,PANES_SEMANALES[[#ALL],[MIÉRCOLES]])</f>
        <v>0</v>
      </c>
      <c r="P767" s="59">
        <f>SUMIFS(Eventos!$G:$G,Eventos!$F:$F,$L767,Eventos!$D:$D,$C$2,Eventos!$B:$B,PANES_SEMANALES[[#ALL],[JUEVES]])</f>
        <v>0</v>
      </c>
      <c r="Q767" s="59">
        <f>IF(P767&lt;&gt;"",SUMIFS(Eventos!$G:$G,Eventos!$B:$B,Q$2,Eventos!$D:$D,$C$2,Eventos!$F:$F,$L767),"")</f>
        <v>0</v>
      </c>
      <c r="R767" s="59">
        <f>SUMIFS(Eventos!$G:$G,Eventos!$F:$F,$L767,Eventos!$D:$D,$C$2,Eventos!$B:$B,PANES_SEMANALES[[#ALL],[SÁBADO]])</f>
        <v>0</v>
      </c>
      <c r="S767" s="59">
        <f>SUMIFS(Eventos!$G:$G,Eventos!$F:$F,$L767,Eventos!$D:$D,$C$2,Eventos!$B:$B,PANES_SEMANALES[[#ALL],[DOMINGO]])</f>
        <v>0</v>
      </c>
      <c r="T767" s="59">
        <f t="shared" si="1"/>
        <v>0</v>
      </c>
    </row>
    <row r="768" ht="22.5" customHeight="1">
      <c r="M768" s="59">
        <f>SUMIFS(Eventos!$G:$G,Eventos!$F:$F,$L768,Eventos!$D:$D,$C$2,Eventos!$B:$B,PANES_SEMANALES[[#ALL],[LUNES]])</f>
        <v>0</v>
      </c>
      <c r="N768" s="59">
        <f>SUMIFS(Eventos!$G:$G,Eventos!$F:$F,$L768,Eventos!$D:$D,$C$2,Eventos!$B:$B,PANES_SEMANALES[[#ALL],[MARTES]])</f>
        <v>0</v>
      </c>
      <c r="O768" s="59">
        <f>SUMIFS(Eventos!$G:$G,Eventos!$F:$F,$L768,Eventos!$D:$D,$C$2,Eventos!$B:$B,PANES_SEMANALES[[#ALL],[MIÉRCOLES]])</f>
        <v>0</v>
      </c>
      <c r="P768" s="59">
        <f>SUMIFS(Eventos!$G:$G,Eventos!$F:$F,$L768,Eventos!$D:$D,$C$2,Eventos!$B:$B,PANES_SEMANALES[[#ALL],[JUEVES]])</f>
        <v>0</v>
      </c>
      <c r="Q768" s="59">
        <f>IF(P768&lt;&gt;"",SUMIFS(Eventos!$G:$G,Eventos!$B:$B,Q$2,Eventos!$D:$D,$C$2,Eventos!$F:$F,$L768),"")</f>
        <v>0</v>
      </c>
      <c r="R768" s="59">
        <f>SUMIFS(Eventos!$G:$G,Eventos!$F:$F,$L768,Eventos!$D:$D,$C$2,Eventos!$B:$B,PANES_SEMANALES[[#ALL],[SÁBADO]])</f>
        <v>0</v>
      </c>
      <c r="S768" s="59">
        <f>SUMIFS(Eventos!$G:$G,Eventos!$F:$F,$L768,Eventos!$D:$D,$C$2,Eventos!$B:$B,PANES_SEMANALES[[#ALL],[DOMINGO]])</f>
        <v>0</v>
      </c>
      <c r="T768" s="59">
        <f t="shared" si="1"/>
        <v>0</v>
      </c>
    </row>
    <row r="769" ht="22.5" customHeight="1">
      <c r="M769" s="59">
        <f>SUMIFS(Eventos!$G:$G,Eventos!$F:$F,$L769,Eventos!$D:$D,$C$2,Eventos!$B:$B,PANES_SEMANALES[[#ALL],[LUNES]])</f>
        <v>0</v>
      </c>
      <c r="N769" s="59">
        <f>SUMIFS(Eventos!$G:$G,Eventos!$F:$F,$L769,Eventos!$D:$D,$C$2,Eventos!$B:$B,PANES_SEMANALES[[#ALL],[MARTES]])</f>
        <v>0</v>
      </c>
      <c r="O769" s="59">
        <f>SUMIFS(Eventos!$G:$G,Eventos!$F:$F,$L769,Eventos!$D:$D,$C$2,Eventos!$B:$B,PANES_SEMANALES[[#ALL],[MIÉRCOLES]])</f>
        <v>0</v>
      </c>
      <c r="P769" s="59">
        <f>SUMIFS(Eventos!$G:$G,Eventos!$F:$F,$L769,Eventos!$D:$D,$C$2,Eventos!$B:$B,PANES_SEMANALES[[#ALL],[JUEVES]])</f>
        <v>0</v>
      </c>
      <c r="Q769" s="59">
        <f>IF(P769&lt;&gt;"",SUMIFS(Eventos!$G:$G,Eventos!$B:$B,Q$2,Eventos!$D:$D,$C$2,Eventos!$F:$F,$L769),"")</f>
        <v>0</v>
      </c>
      <c r="R769" s="59">
        <f>SUMIFS(Eventos!$G:$G,Eventos!$F:$F,$L769,Eventos!$D:$D,$C$2,Eventos!$B:$B,PANES_SEMANALES[[#ALL],[SÁBADO]])</f>
        <v>0</v>
      </c>
      <c r="S769" s="59">
        <f>SUMIFS(Eventos!$G:$G,Eventos!$F:$F,$L769,Eventos!$D:$D,$C$2,Eventos!$B:$B,PANES_SEMANALES[[#ALL],[DOMINGO]])</f>
        <v>0</v>
      </c>
      <c r="T769" s="59">
        <f t="shared" si="1"/>
        <v>0</v>
      </c>
    </row>
    <row r="770" ht="22.5" customHeight="1">
      <c r="M770" s="59">
        <f>SUMIFS(Eventos!$G:$G,Eventos!$F:$F,$L770,Eventos!$D:$D,$C$2,Eventos!$B:$B,PANES_SEMANALES[[#ALL],[LUNES]])</f>
        <v>0</v>
      </c>
      <c r="N770" s="59">
        <f>SUMIFS(Eventos!$G:$G,Eventos!$F:$F,$L770,Eventos!$D:$D,$C$2,Eventos!$B:$B,PANES_SEMANALES[[#ALL],[MARTES]])</f>
        <v>0</v>
      </c>
      <c r="O770" s="59">
        <f>SUMIFS(Eventos!$G:$G,Eventos!$F:$F,$L770,Eventos!$D:$D,$C$2,Eventos!$B:$B,PANES_SEMANALES[[#ALL],[MIÉRCOLES]])</f>
        <v>0</v>
      </c>
      <c r="P770" s="59">
        <f>SUMIFS(Eventos!$G:$G,Eventos!$F:$F,$L770,Eventos!$D:$D,$C$2,Eventos!$B:$B,PANES_SEMANALES[[#ALL],[JUEVES]])</f>
        <v>0</v>
      </c>
      <c r="Q770" s="59">
        <f>IF(P770&lt;&gt;"",SUMIFS(Eventos!$G:$G,Eventos!$B:$B,Q$2,Eventos!$D:$D,$C$2,Eventos!$F:$F,$L770),"")</f>
        <v>0</v>
      </c>
      <c r="R770" s="59">
        <f>SUMIFS(Eventos!$G:$G,Eventos!$F:$F,$L770,Eventos!$D:$D,$C$2,Eventos!$B:$B,PANES_SEMANALES[[#ALL],[SÁBADO]])</f>
        <v>0</v>
      </c>
      <c r="S770" s="59">
        <f>SUMIFS(Eventos!$G:$G,Eventos!$F:$F,$L770,Eventos!$D:$D,$C$2,Eventos!$B:$B,PANES_SEMANALES[[#ALL],[DOMINGO]])</f>
        <v>0</v>
      </c>
      <c r="T770" s="59">
        <f t="shared" si="1"/>
        <v>0</v>
      </c>
    </row>
    <row r="771" ht="22.5" customHeight="1">
      <c r="M771" s="59">
        <f>SUMIFS(Eventos!$G:$G,Eventos!$F:$F,$L771,Eventos!$D:$D,$C$2,Eventos!$B:$B,PANES_SEMANALES[[#ALL],[LUNES]])</f>
        <v>0</v>
      </c>
      <c r="N771" s="59">
        <f>SUMIFS(Eventos!$G:$G,Eventos!$F:$F,$L771,Eventos!$D:$D,$C$2,Eventos!$B:$B,PANES_SEMANALES[[#ALL],[MARTES]])</f>
        <v>0</v>
      </c>
      <c r="O771" s="59">
        <f>SUMIFS(Eventos!$G:$G,Eventos!$F:$F,$L771,Eventos!$D:$D,$C$2,Eventos!$B:$B,PANES_SEMANALES[[#ALL],[MIÉRCOLES]])</f>
        <v>0</v>
      </c>
      <c r="P771" s="59">
        <f>SUMIFS(Eventos!$G:$G,Eventos!$F:$F,$L771,Eventos!$D:$D,$C$2,Eventos!$B:$B,PANES_SEMANALES[[#ALL],[JUEVES]])</f>
        <v>0</v>
      </c>
      <c r="Q771" s="59">
        <f>IF(P771&lt;&gt;"",SUMIFS(Eventos!$G:$G,Eventos!$B:$B,Q$2,Eventos!$D:$D,$C$2,Eventos!$F:$F,$L771),"")</f>
        <v>0</v>
      </c>
      <c r="R771" s="59">
        <f>SUMIFS(Eventos!$G:$G,Eventos!$F:$F,$L771,Eventos!$D:$D,$C$2,Eventos!$B:$B,PANES_SEMANALES[[#ALL],[SÁBADO]])</f>
        <v>0</v>
      </c>
      <c r="S771" s="59">
        <f>SUMIFS(Eventos!$G:$G,Eventos!$F:$F,$L771,Eventos!$D:$D,$C$2,Eventos!$B:$B,PANES_SEMANALES[[#ALL],[DOMINGO]])</f>
        <v>0</v>
      </c>
      <c r="T771" s="59">
        <f t="shared" si="1"/>
        <v>0</v>
      </c>
    </row>
    <row r="772" ht="22.5" customHeight="1">
      <c r="M772" s="59">
        <f>SUMIFS(Eventos!$G:$G,Eventos!$F:$F,$L772,Eventos!$D:$D,$C$2,Eventos!$B:$B,PANES_SEMANALES[[#ALL],[LUNES]])</f>
        <v>0</v>
      </c>
      <c r="N772" s="59">
        <f>SUMIFS(Eventos!$G:$G,Eventos!$F:$F,$L772,Eventos!$D:$D,$C$2,Eventos!$B:$B,PANES_SEMANALES[[#ALL],[MARTES]])</f>
        <v>0</v>
      </c>
      <c r="O772" s="59">
        <f>SUMIFS(Eventos!$G:$G,Eventos!$F:$F,$L772,Eventos!$D:$D,$C$2,Eventos!$B:$B,PANES_SEMANALES[[#ALL],[MIÉRCOLES]])</f>
        <v>0</v>
      </c>
      <c r="P772" s="59">
        <f>SUMIFS(Eventos!$G:$G,Eventos!$F:$F,$L772,Eventos!$D:$D,$C$2,Eventos!$B:$B,PANES_SEMANALES[[#ALL],[JUEVES]])</f>
        <v>0</v>
      </c>
      <c r="Q772" s="59">
        <f>IF(P772&lt;&gt;"",SUMIFS(Eventos!$G:$G,Eventos!$B:$B,Q$2,Eventos!$D:$D,$C$2,Eventos!$F:$F,$L772),"")</f>
        <v>0</v>
      </c>
      <c r="R772" s="59">
        <f>SUMIFS(Eventos!$G:$G,Eventos!$F:$F,$L772,Eventos!$D:$D,$C$2,Eventos!$B:$B,PANES_SEMANALES[[#ALL],[SÁBADO]])</f>
        <v>0</v>
      </c>
      <c r="S772" s="59">
        <f>SUMIFS(Eventos!$G:$G,Eventos!$F:$F,$L772,Eventos!$D:$D,$C$2,Eventos!$B:$B,PANES_SEMANALES[[#ALL],[DOMINGO]])</f>
        <v>0</v>
      </c>
      <c r="T772" s="59">
        <f t="shared" si="1"/>
        <v>0</v>
      </c>
    </row>
    <row r="773" ht="22.5" customHeight="1">
      <c r="M773" s="59">
        <f>SUMIFS(Eventos!$G:$G,Eventos!$F:$F,$L773,Eventos!$D:$D,$C$2,Eventos!$B:$B,PANES_SEMANALES[[#ALL],[LUNES]])</f>
        <v>0</v>
      </c>
      <c r="N773" s="59">
        <f>SUMIFS(Eventos!$G:$G,Eventos!$F:$F,$L773,Eventos!$D:$D,$C$2,Eventos!$B:$B,PANES_SEMANALES[[#ALL],[MARTES]])</f>
        <v>0</v>
      </c>
      <c r="O773" s="59">
        <f>SUMIFS(Eventos!$G:$G,Eventos!$F:$F,$L773,Eventos!$D:$D,$C$2,Eventos!$B:$B,PANES_SEMANALES[[#ALL],[MIÉRCOLES]])</f>
        <v>0</v>
      </c>
      <c r="P773" s="59">
        <f>SUMIFS(Eventos!$G:$G,Eventos!$F:$F,$L773,Eventos!$D:$D,$C$2,Eventos!$B:$B,PANES_SEMANALES[[#ALL],[JUEVES]])</f>
        <v>0</v>
      </c>
      <c r="Q773" s="59">
        <f>IF(P773&lt;&gt;"",SUMIFS(Eventos!$G:$G,Eventos!$B:$B,Q$2,Eventos!$D:$D,$C$2,Eventos!$F:$F,$L773),"")</f>
        <v>0</v>
      </c>
      <c r="R773" s="59">
        <f>SUMIFS(Eventos!$G:$G,Eventos!$F:$F,$L773,Eventos!$D:$D,$C$2,Eventos!$B:$B,PANES_SEMANALES[[#ALL],[SÁBADO]])</f>
        <v>0</v>
      </c>
      <c r="S773" s="59">
        <f>SUMIFS(Eventos!$G:$G,Eventos!$F:$F,$L773,Eventos!$D:$D,$C$2,Eventos!$B:$B,PANES_SEMANALES[[#ALL],[DOMINGO]])</f>
        <v>0</v>
      </c>
      <c r="T773" s="59">
        <f t="shared" si="1"/>
        <v>0</v>
      </c>
    </row>
    <row r="774" ht="22.5" customHeight="1">
      <c r="M774" s="59">
        <f>SUMIFS(Eventos!$G:$G,Eventos!$F:$F,$L774,Eventos!$D:$D,$C$2,Eventos!$B:$B,PANES_SEMANALES[[#ALL],[LUNES]])</f>
        <v>0</v>
      </c>
      <c r="N774" s="59">
        <f>SUMIFS(Eventos!$G:$G,Eventos!$F:$F,$L774,Eventos!$D:$D,$C$2,Eventos!$B:$B,PANES_SEMANALES[[#ALL],[MARTES]])</f>
        <v>0</v>
      </c>
      <c r="O774" s="59">
        <f>SUMIFS(Eventos!$G:$G,Eventos!$F:$F,$L774,Eventos!$D:$D,$C$2,Eventos!$B:$B,PANES_SEMANALES[[#ALL],[MIÉRCOLES]])</f>
        <v>0</v>
      </c>
      <c r="P774" s="59">
        <f>SUMIFS(Eventos!$G:$G,Eventos!$F:$F,$L774,Eventos!$D:$D,$C$2,Eventos!$B:$B,PANES_SEMANALES[[#ALL],[JUEVES]])</f>
        <v>0</v>
      </c>
      <c r="Q774" s="59">
        <f>IF(P774&lt;&gt;"",SUMIFS(Eventos!$G:$G,Eventos!$B:$B,Q$2,Eventos!$D:$D,$C$2,Eventos!$F:$F,$L774),"")</f>
        <v>0</v>
      </c>
      <c r="R774" s="59">
        <f>SUMIFS(Eventos!$G:$G,Eventos!$F:$F,$L774,Eventos!$D:$D,$C$2,Eventos!$B:$B,PANES_SEMANALES[[#ALL],[SÁBADO]])</f>
        <v>0</v>
      </c>
      <c r="S774" s="59">
        <f>SUMIFS(Eventos!$G:$G,Eventos!$F:$F,$L774,Eventos!$D:$D,$C$2,Eventos!$B:$B,PANES_SEMANALES[[#ALL],[DOMINGO]])</f>
        <v>0</v>
      </c>
      <c r="T774" s="59">
        <f t="shared" si="1"/>
        <v>0</v>
      </c>
    </row>
    <row r="775" ht="22.5" customHeight="1">
      <c r="M775" s="59">
        <f>SUMIFS(Eventos!$G:$G,Eventos!$F:$F,$L775,Eventos!$D:$D,$C$2,Eventos!$B:$B,PANES_SEMANALES[[#ALL],[LUNES]])</f>
        <v>0</v>
      </c>
      <c r="N775" s="59">
        <f>SUMIFS(Eventos!$G:$G,Eventos!$F:$F,$L775,Eventos!$D:$D,$C$2,Eventos!$B:$B,PANES_SEMANALES[[#ALL],[MARTES]])</f>
        <v>0</v>
      </c>
      <c r="O775" s="59">
        <f>SUMIFS(Eventos!$G:$G,Eventos!$F:$F,$L775,Eventos!$D:$D,$C$2,Eventos!$B:$B,PANES_SEMANALES[[#ALL],[MIÉRCOLES]])</f>
        <v>0</v>
      </c>
      <c r="P775" s="59">
        <f>SUMIFS(Eventos!$G:$G,Eventos!$F:$F,$L775,Eventos!$D:$D,$C$2,Eventos!$B:$B,PANES_SEMANALES[[#ALL],[JUEVES]])</f>
        <v>0</v>
      </c>
      <c r="Q775" s="59">
        <f>IF(P775&lt;&gt;"",SUMIFS(Eventos!$G:$G,Eventos!$B:$B,Q$2,Eventos!$D:$D,$C$2,Eventos!$F:$F,$L775),"")</f>
        <v>0</v>
      </c>
      <c r="R775" s="59">
        <f>SUMIFS(Eventos!$G:$G,Eventos!$F:$F,$L775,Eventos!$D:$D,$C$2,Eventos!$B:$B,PANES_SEMANALES[[#ALL],[SÁBADO]])</f>
        <v>0</v>
      </c>
      <c r="S775" s="59">
        <f>SUMIFS(Eventos!$G:$G,Eventos!$F:$F,$L775,Eventos!$D:$D,$C$2,Eventos!$B:$B,PANES_SEMANALES[[#ALL],[DOMINGO]])</f>
        <v>0</v>
      </c>
      <c r="T775" s="59">
        <f t="shared" si="1"/>
        <v>0</v>
      </c>
    </row>
    <row r="776" ht="22.5" customHeight="1">
      <c r="M776" s="59">
        <f>SUMIFS(Eventos!$G:$G,Eventos!$F:$F,$L776,Eventos!$D:$D,$C$2,Eventos!$B:$B,PANES_SEMANALES[[#ALL],[LUNES]])</f>
        <v>0</v>
      </c>
      <c r="N776" s="59">
        <f>SUMIFS(Eventos!$G:$G,Eventos!$F:$F,$L776,Eventos!$D:$D,$C$2,Eventos!$B:$B,PANES_SEMANALES[[#ALL],[MARTES]])</f>
        <v>0</v>
      </c>
      <c r="O776" s="59">
        <f>SUMIFS(Eventos!$G:$G,Eventos!$F:$F,$L776,Eventos!$D:$D,$C$2,Eventos!$B:$B,PANES_SEMANALES[[#ALL],[MIÉRCOLES]])</f>
        <v>0</v>
      </c>
      <c r="P776" s="59">
        <f>SUMIFS(Eventos!$G:$G,Eventos!$F:$F,$L776,Eventos!$D:$D,$C$2,Eventos!$B:$B,PANES_SEMANALES[[#ALL],[JUEVES]])</f>
        <v>0</v>
      </c>
      <c r="Q776" s="59">
        <f>IF(P776&lt;&gt;"",SUMIFS(Eventos!$G:$G,Eventos!$B:$B,Q$2,Eventos!$D:$D,$C$2,Eventos!$F:$F,$L776),"")</f>
        <v>0</v>
      </c>
      <c r="R776" s="59">
        <f>SUMIFS(Eventos!$G:$G,Eventos!$F:$F,$L776,Eventos!$D:$D,$C$2,Eventos!$B:$B,PANES_SEMANALES[[#ALL],[SÁBADO]])</f>
        <v>0</v>
      </c>
      <c r="S776" s="59">
        <f>SUMIFS(Eventos!$G:$G,Eventos!$F:$F,$L776,Eventos!$D:$D,$C$2,Eventos!$B:$B,PANES_SEMANALES[[#ALL],[DOMINGO]])</f>
        <v>0</v>
      </c>
      <c r="T776" s="59">
        <f t="shared" si="1"/>
        <v>0</v>
      </c>
    </row>
    <row r="777" ht="22.5" customHeight="1">
      <c r="M777" s="59">
        <f>SUMIFS(Eventos!$G:$G,Eventos!$F:$F,$L777,Eventos!$D:$D,$C$2,Eventos!$B:$B,PANES_SEMANALES[[#ALL],[LUNES]])</f>
        <v>0</v>
      </c>
      <c r="N777" s="59">
        <f>SUMIFS(Eventos!$G:$G,Eventos!$F:$F,$L777,Eventos!$D:$D,$C$2,Eventos!$B:$B,PANES_SEMANALES[[#ALL],[MARTES]])</f>
        <v>0</v>
      </c>
      <c r="O777" s="59">
        <f>SUMIFS(Eventos!$G:$G,Eventos!$F:$F,$L777,Eventos!$D:$D,$C$2,Eventos!$B:$B,PANES_SEMANALES[[#ALL],[MIÉRCOLES]])</f>
        <v>0</v>
      </c>
      <c r="P777" s="59">
        <f>SUMIFS(Eventos!$G:$G,Eventos!$F:$F,$L777,Eventos!$D:$D,$C$2,Eventos!$B:$B,PANES_SEMANALES[[#ALL],[JUEVES]])</f>
        <v>0</v>
      </c>
      <c r="Q777" s="59">
        <f>IF(P777&lt;&gt;"",SUMIFS(Eventos!$G:$G,Eventos!$B:$B,Q$2,Eventos!$D:$D,$C$2,Eventos!$F:$F,$L777),"")</f>
        <v>0</v>
      </c>
      <c r="R777" s="59">
        <f>SUMIFS(Eventos!$G:$G,Eventos!$F:$F,$L777,Eventos!$D:$D,$C$2,Eventos!$B:$B,PANES_SEMANALES[[#ALL],[SÁBADO]])</f>
        <v>0</v>
      </c>
      <c r="S777" s="59">
        <f>SUMIFS(Eventos!$G:$G,Eventos!$F:$F,$L777,Eventos!$D:$D,$C$2,Eventos!$B:$B,PANES_SEMANALES[[#ALL],[DOMINGO]])</f>
        <v>0</v>
      </c>
      <c r="T777" s="59">
        <f t="shared" si="1"/>
        <v>0</v>
      </c>
    </row>
    <row r="778" ht="22.5" customHeight="1">
      <c r="M778" s="59">
        <f>SUMIFS(Eventos!$G:$G,Eventos!$F:$F,$L778,Eventos!$D:$D,$C$2,Eventos!$B:$B,PANES_SEMANALES[[#ALL],[LUNES]])</f>
        <v>0</v>
      </c>
      <c r="N778" s="59">
        <f>SUMIFS(Eventos!$G:$G,Eventos!$F:$F,$L778,Eventos!$D:$D,$C$2,Eventos!$B:$B,PANES_SEMANALES[[#ALL],[MARTES]])</f>
        <v>0</v>
      </c>
      <c r="O778" s="59">
        <f>SUMIFS(Eventos!$G:$G,Eventos!$F:$F,$L778,Eventos!$D:$D,$C$2,Eventos!$B:$B,PANES_SEMANALES[[#ALL],[MIÉRCOLES]])</f>
        <v>0</v>
      </c>
      <c r="P778" s="59">
        <f>SUMIFS(Eventos!$G:$G,Eventos!$F:$F,$L778,Eventos!$D:$D,$C$2,Eventos!$B:$B,PANES_SEMANALES[[#ALL],[JUEVES]])</f>
        <v>0</v>
      </c>
      <c r="Q778" s="59">
        <f>IF(P778&lt;&gt;"",SUMIFS(Eventos!$G:$G,Eventos!$B:$B,Q$2,Eventos!$D:$D,$C$2,Eventos!$F:$F,$L778),"")</f>
        <v>0</v>
      </c>
      <c r="R778" s="59">
        <f>SUMIFS(Eventos!$G:$G,Eventos!$F:$F,$L778,Eventos!$D:$D,$C$2,Eventos!$B:$B,PANES_SEMANALES[[#ALL],[SÁBADO]])</f>
        <v>0</v>
      </c>
      <c r="S778" s="59">
        <f>SUMIFS(Eventos!$G:$G,Eventos!$F:$F,$L778,Eventos!$D:$D,$C$2,Eventos!$B:$B,PANES_SEMANALES[[#ALL],[DOMINGO]])</f>
        <v>0</v>
      </c>
      <c r="T778" s="59">
        <f t="shared" si="1"/>
        <v>0</v>
      </c>
    </row>
    <row r="779" ht="22.5" customHeight="1">
      <c r="M779" s="59">
        <f>SUMIFS(Eventos!$G:$G,Eventos!$F:$F,$L779,Eventos!$D:$D,$C$2,Eventos!$B:$B,PANES_SEMANALES[[#ALL],[LUNES]])</f>
        <v>0</v>
      </c>
      <c r="N779" s="59">
        <f>SUMIFS(Eventos!$G:$G,Eventos!$F:$F,$L779,Eventos!$D:$D,$C$2,Eventos!$B:$B,PANES_SEMANALES[[#ALL],[MARTES]])</f>
        <v>0</v>
      </c>
      <c r="O779" s="59">
        <f>SUMIFS(Eventos!$G:$G,Eventos!$F:$F,$L779,Eventos!$D:$D,$C$2,Eventos!$B:$B,PANES_SEMANALES[[#ALL],[MIÉRCOLES]])</f>
        <v>0</v>
      </c>
      <c r="P779" s="59">
        <f>SUMIFS(Eventos!$G:$G,Eventos!$F:$F,$L779,Eventos!$D:$D,$C$2,Eventos!$B:$B,PANES_SEMANALES[[#ALL],[JUEVES]])</f>
        <v>0</v>
      </c>
      <c r="Q779" s="59">
        <f>IF(P779&lt;&gt;"",SUMIFS(Eventos!$G:$G,Eventos!$B:$B,Q$2,Eventos!$D:$D,$C$2,Eventos!$F:$F,$L779),"")</f>
        <v>0</v>
      </c>
      <c r="R779" s="59">
        <f>SUMIFS(Eventos!$G:$G,Eventos!$F:$F,$L779,Eventos!$D:$D,$C$2,Eventos!$B:$B,PANES_SEMANALES[[#ALL],[SÁBADO]])</f>
        <v>0</v>
      </c>
      <c r="S779" s="59">
        <f>SUMIFS(Eventos!$G:$G,Eventos!$F:$F,$L779,Eventos!$D:$D,$C$2,Eventos!$B:$B,PANES_SEMANALES[[#ALL],[DOMINGO]])</f>
        <v>0</v>
      </c>
      <c r="T779" s="59">
        <f t="shared" si="1"/>
        <v>0</v>
      </c>
    </row>
    <row r="780" ht="22.5" customHeight="1">
      <c r="M780" s="59">
        <f>SUMIFS(Eventos!$G:$G,Eventos!$F:$F,$L780,Eventos!$D:$D,$C$2,Eventos!$B:$B,PANES_SEMANALES[[#ALL],[LUNES]])</f>
        <v>0</v>
      </c>
      <c r="N780" s="59">
        <f>SUMIFS(Eventos!$G:$G,Eventos!$F:$F,$L780,Eventos!$D:$D,$C$2,Eventos!$B:$B,PANES_SEMANALES[[#ALL],[MARTES]])</f>
        <v>0</v>
      </c>
      <c r="O780" s="59">
        <f>SUMIFS(Eventos!$G:$G,Eventos!$F:$F,$L780,Eventos!$D:$D,$C$2,Eventos!$B:$B,PANES_SEMANALES[[#ALL],[MIÉRCOLES]])</f>
        <v>0</v>
      </c>
      <c r="P780" s="59">
        <f>SUMIFS(Eventos!$G:$G,Eventos!$F:$F,$L780,Eventos!$D:$D,$C$2,Eventos!$B:$B,PANES_SEMANALES[[#ALL],[JUEVES]])</f>
        <v>0</v>
      </c>
      <c r="Q780" s="59">
        <f>IF(P780&lt;&gt;"",SUMIFS(Eventos!$G:$G,Eventos!$B:$B,Q$2,Eventos!$D:$D,$C$2,Eventos!$F:$F,$L780),"")</f>
        <v>0</v>
      </c>
      <c r="R780" s="59">
        <f>SUMIFS(Eventos!$G:$G,Eventos!$F:$F,$L780,Eventos!$D:$D,$C$2,Eventos!$B:$B,PANES_SEMANALES[[#ALL],[SÁBADO]])</f>
        <v>0</v>
      </c>
      <c r="S780" s="59">
        <f>SUMIFS(Eventos!$G:$G,Eventos!$F:$F,$L780,Eventos!$D:$D,$C$2,Eventos!$B:$B,PANES_SEMANALES[[#ALL],[DOMINGO]])</f>
        <v>0</v>
      </c>
      <c r="T780" s="59">
        <f t="shared" si="1"/>
        <v>0</v>
      </c>
    </row>
    <row r="781" ht="22.5" customHeight="1">
      <c r="M781" s="59">
        <f>SUMIFS(Eventos!$G:$G,Eventos!$F:$F,$L781,Eventos!$D:$D,$C$2,Eventos!$B:$B,PANES_SEMANALES[[#ALL],[LUNES]])</f>
        <v>0</v>
      </c>
      <c r="N781" s="59">
        <f>SUMIFS(Eventos!$G:$G,Eventos!$F:$F,$L781,Eventos!$D:$D,$C$2,Eventos!$B:$B,PANES_SEMANALES[[#ALL],[MARTES]])</f>
        <v>0</v>
      </c>
      <c r="O781" s="59">
        <f>SUMIFS(Eventos!$G:$G,Eventos!$F:$F,$L781,Eventos!$D:$D,$C$2,Eventos!$B:$B,PANES_SEMANALES[[#ALL],[MIÉRCOLES]])</f>
        <v>0</v>
      </c>
      <c r="P781" s="59">
        <f>SUMIFS(Eventos!$G:$G,Eventos!$F:$F,$L781,Eventos!$D:$D,$C$2,Eventos!$B:$B,PANES_SEMANALES[[#ALL],[JUEVES]])</f>
        <v>0</v>
      </c>
      <c r="Q781" s="59">
        <f>IF(P781&lt;&gt;"",SUMIFS(Eventos!$G:$G,Eventos!$B:$B,Q$2,Eventos!$D:$D,$C$2,Eventos!$F:$F,$L781),"")</f>
        <v>0</v>
      </c>
      <c r="R781" s="59">
        <f>SUMIFS(Eventos!$G:$G,Eventos!$F:$F,$L781,Eventos!$D:$D,$C$2,Eventos!$B:$B,PANES_SEMANALES[[#ALL],[SÁBADO]])</f>
        <v>0</v>
      </c>
      <c r="S781" s="59">
        <f>SUMIFS(Eventos!$G:$G,Eventos!$F:$F,$L781,Eventos!$D:$D,$C$2,Eventos!$B:$B,PANES_SEMANALES[[#ALL],[DOMINGO]])</f>
        <v>0</v>
      </c>
      <c r="T781" s="59">
        <f t="shared" si="1"/>
        <v>0</v>
      </c>
    </row>
    <row r="782" ht="22.5" customHeight="1">
      <c r="M782" s="59">
        <f>SUMIFS(Eventos!$G:$G,Eventos!$F:$F,$L782,Eventos!$D:$D,$C$2,Eventos!$B:$B,PANES_SEMANALES[[#ALL],[LUNES]])</f>
        <v>0</v>
      </c>
      <c r="N782" s="59">
        <f>SUMIFS(Eventos!$G:$G,Eventos!$F:$F,$L782,Eventos!$D:$D,$C$2,Eventos!$B:$B,PANES_SEMANALES[[#ALL],[MARTES]])</f>
        <v>0</v>
      </c>
      <c r="O782" s="59">
        <f>SUMIFS(Eventos!$G:$G,Eventos!$F:$F,$L782,Eventos!$D:$D,$C$2,Eventos!$B:$B,PANES_SEMANALES[[#ALL],[MIÉRCOLES]])</f>
        <v>0</v>
      </c>
      <c r="P782" s="59">
        <f>SUMIFS(Eventos!$G:$G,Eventos!$F:$F,$L782,Eventos!$D:$D,$C$2,Eventos!$B:$B,PANES_SEMANALES[[#ALL],[JUEVES]])</f>
        <v>0</v>
      </c>
      <c r="Q782" s="59">
        <f>IF(P782&lt;&gt;"",SUMIFS(Eventos!$G:$G,Eventos!$B:$B,Q$2,Eventos!$D:$D,$C$2,Eventos!$F:$F,$L782),"")</f>
        <v>0</v>
      </c>
      <c r="R782" s="59">
        <f>SUMIFS(Eventos!$G:$G,Eventos!$F:$F,$L782,Eventos!$D:$D,$C$2,Eventos!$B:$B,PANES_SEMANALES[[#ALL],[SÁBADO]])</f>
        <v>0</v>
      </c>
      <c r="S782" s="59">
        <f>SUMIFS(Eventos!$G:$G,Eventos!$F:$F,$L782,Eventos!$D:$D,$C$2,Eventos!$B:$B,PANES_SEMANALES[[#ALL],[DOMINGO]])</f>
        <v>0</v>
      </c>
      <c r="T782" s="59">
        <f t="shared" si="1"/>
        <v>0</v>
      </c>
    </row>
    <row r="783" ht="22.5" customHeight="1">
      <c r="M783" s="59">
        <f>SUMIFS(Eventos!$G:$G,Eventos!$F:$F,$L783,Eventos!$D:$D,$C$2,Eventos!$B:$B,PANES_SEMANALES[[#ALL],[LUNES]])</f>
        <v>0</v>
      </c>
      <c r="N783" s="59">
        <f>SUMIFS(Eventos!$G:$G,Eventos!$F:$F,$L783,Eventos!$D:$D,$C$2,Eventos!$B:$B,PANES_SEMANALES[[#ALL],[MARTES]])</f>
        <v>0</v>
      </c>
      <c r="O783" s="59">
        <f>SUMIFS(Eventos!$G:$G,Eventos!$F:$F,$L783,Eventos!$D:$D,$C$2,Eventos!$B:$B,PANES_SEMANALES[[#ALL],[MIÉRCOLES]])</f>
        <v>0</v>
      </c>
      <c r="P783" s="59">
        <f>SUMIFS(Eventos!$G:$G,Eventos!$F:$F,$L783,Eventos!$D:$D,$C$2,Eventos!$B:$B,PANES_SEMANALES[[#ALL],[JUEVES]])</f>
        <v>0</v>
      </c>
      <c r="Q783" s="59">
        <f>IF(P783&lt;&gt;"",SUMIFS(Eventos!$G:$G,Eventos!$B:$B,Q$2,Eventos!$D:$D,$C$2,Eventos!$F:$F,$L783),"")</f>
        <v>0</v>
      </c>
      <c r="R783" s="59">
        <f>SUMIFS(Eventos!$G:$G,Eventos!$F:$F,$L783,Eventos!$D:$D,$C$2,Eventos!$B:$B,PANES_SEMANALES[[#ALL],[SÁBADO]])</f>
        <v>0</v>
      </c>
      <c r="S783" s="59">
        <f>SUMIFS(Eventos!$G:$G,Eventos!$F:$F,$L783,Eventos!$D:$D,$C$2,Eventos!$B:$B,PANES_SEMANALES[[#ALL],[DOMINGO]])</f>
        <v>0</v>
      </c>
      <c r="T783" s="59">
        <f t="shared" si="1"/>
        <v>0</v>
      </c>
    </row>
    <row r="784" ht="22.5" customHeight="1">
      <c r="M784" s="59">
        <f>SUMIFS(Eventos!$G:$G,Eventos!$F:$F,$L784,Eventos!$D:$D,$C$2,Eventos!$B:$B,PANES_SEMANALES[[#ALL],[LUNES]])</f>
        <v>0</v>
      </c>
      <c r="N784" s="59">
        <f>SUMIFS(Eventos!$G:$G,Eventos!$F:$F,$L784,Eventos!$D:$D,$C$2,Eventos!$B:$B,PANES_SEMANALES[[#ALL],[MARTES]])</f>
        <v>0</v>
      </c>
      <c r="O784" s="59">
        <f>SUMIFS(Eventos!$G:$G,Eventos!$F:$F,$L784,Eventos!$D:$D,$C$2,Eventos!$B:$B,PANES_SEMANALES[[#ALL],[MIÉRCOLES]])</f>
        <v>0</v>
      </c>
      <c r="P784" s="59">
        <f>SUMIFS(Eventos!$G:$G,Eventos!$F:$F,$L784,Eventos!$D:$D,$C$2,Eventos!$B:$B,PANES_SEMANALES[[#ALL],[JUEVES]])</f>
        <v>0</v>
      </c>
      <c r="Q784" s="59">
        <f>IF(P784&lt;&gt;"",SUMIFS(Eventos!$G:$G,Eventos!$B:$B,Q$2,Eventos!$D:$D,$C$2,Eventos!$F:$F,$L784),"")</f>
        <v>0</v>
      </c>
      <c r="R784" s="59">
        <f>SUMIFS(Eventos!$G:$G,Eventos!$F:$F,$L784,Eventos!$D:$D,$C$2,Eventos!$B:$B,PANES_SEMANALES[[#ALL],[SÁBADO]])</f>
        <v>0</v>
      </c>
      <c r="S784" s="59">
        <f>SUMIFS(Eventos!$G:$G,Eventos!$F:$F,$L784,Eventos!$D:$D,$C$2,Eventos!$B:$B,PANES_SEMANALES[[#ALL],[DOMINGO]])</f>
        <v>0</v>
      </c>
      <c r="T784" s="59">
        <f t="shared" si="1"/>
        <v>0</v>
      </c>
    </row>
    <row r="785" ht="22.5" customHeight="1">
      <c r="M785" s="59">
        <f>SUMIFS(Eventos!$G:$G,Eventos!$F:$F,$L785,Eventos!$D:$D,$C$2,Eventos!$B:$B,PANES_SEMANALES[[#ALL],[LUNES]])</f>
        <v>0</v>
      </c>
      <c r="N785" s="59">
        <f>SUMIFS(Eventos!$G:$G,Eventos!$F:$F,$L785,Eventos!$D:$D,$C$2,Eventos!$B:$B,PANES_SEMANALES[[#ALL],[MARTES]])</f>
        <v>0</v>
      </c>
      <c r="O785" s="59">
        <f>SUMIFS(Eventos!$G:$G,Eventos!$F:$F,$L785,Eventos!$D:$D,$C$2,Eventos!$B:$B,PANES_SEMANALES[[#ALL],[MIÉRCOLES]])</f>
        <v>0</v>
      </c>
      <c r="P785" s="59">
        <f>SUMIFS(Eventos!$G:$G,Eventos!$F:$F,$L785,Eventos!$D:$D,$C$2,Eventos!$B:$B,PANES_SEMANALES[[#ALL],[JUEVES]])</f>
        <v>0</v>
      </c>
      <c r="Q785" s="59">
        <f>IF(P785&lt;&gt;"",SUMIFS(Eventos!$G:$G,Eventos!$B:$B,Q$2,Eventos!$D:$D,$C$2,Eventos!$F:$F,$L785),"")</f>
        <v>0</v>
      </c>
      <c r="R785" s="59">
        <f>SUMIFS(Eventos!$G:$G,Eventos!$F:$F,$L785,Eventos!$D:$D,$C$2,Eventos!$B:$B,PANES_SEMANALES[[#ALL],[SÁBADO]])</f>
        <v>0</v>
      </c>
      <c r="S785" s="59">
        <f>SUMIFS(Eventos!$G:$G,Eventos!$F:$F,$L785,Eventos!$D:$D,$C$2,Eventos!$B:$B,PANES_SEMANALES[[#ALL],[DOMINGO]])</f>
        <v>0</v>
      </c>
      <c r="T785" s="59">
        <f t="shared" si="1"/>
        <v>0</v>
      </c>
    </row>
    <row r="786" ht="22.5" customHeight="1">
      <c r="M786" s="59">
        <f>SUMIFS(Eventos!$G:$G,Eventos!$F:$F,$L786,Eventos!$D:$D,$C$2,Eventos!$B:$B,PANES_SEMANALES[[#ALL],[LUNES]])</f>
        <v>0</v>
      </c>
      <c r="N786" s="59">
        <f>SUMIFS(Eventos!$G:$G,Eventos!$F:$F,$L786,Eventos!$D:$D,$C$2,Eventos!$B:$B,PANES_SEMANALES[[#ALL],[MARTES]])</f>
        <v>0</v>
      </c>
      <c r="O786" s="59">
        <f>SUMIFS(Eventos!$G:$G,Eventos!$F:$F,$L786,Eventos!$D:$D,$C$2,Eventos!$B:$B,PANES_SEMANALES[[#ALL],[MIÉRCOLES]])</f>
        <v>0</v>
      </c>
      <c r="P786" s="59">
        <f>SUMIFS(Eventos!$G:$G,Eventos!$F:$F,$L786,Eventos!$D:$D,$C$2,Eventos!$B:$B,PANES_SEMANALES[[#ALL],[JUEVES]])</f>
        <v>0</v>
      </c>
      <c r="Q786" s="59">
        <f>IF(P786&lt;&gt;"",SUMIFS(Eventos!$G:$G,Eventos!$B:$B,Q$2,Eventos!$D:$D,$C$2,Eventos!$F:$F,$L786),"")</f>
        <v>0</v>
      </c>
      <c r="R786" s="59">
        <f>SUMIFS(Eventos!$G:$G,Eventos!$F:$F,$L786,Eventos!$D:$D,$C$2,Eventos!$B:$B,PANES_SEMANALES[[#ALL],[SÁBADO]])</f>
        <v>0</v>
      </c>
      <c r="S786" s="59">
        <f>SUMIFS(Eventos!$G:$G,Eventos!$F:$F,$L786,Eventos!$D:$D,$C$2,Eventos!$B:$B,PANES_SEMANALES[[#ALL],[DOMINGO]])</f>
        <v>0</v>
      </c>
      <c r="T786" s="59">
        <f t="shared" si="1"/>
        <v>0</v>
      </c>
    </row>
    <row r="787" ht="22.5" customHeight="1">
      <c r="M787" s="59">
        <f>SUMIFS(Eventos!$G:$G,Eventos!$F:$F,$L787,Eventos!$D:$D,$C$2,Eventos!$B:$B,PANES_SEMANALES[[#ALL],[LUNES]])</f>
        <v>0</v>
      </c>
      <c r="N787" s="59">
        <f>SUMIFS(Eventos!$G:$G,Eventos!$F:$F,$L787,Eventos!$D:$D,$C$2,Eventos!$B:$B,PANES_SEMANALES[[#ALL],[MARTES]])</f>
        <v>0</v>
      </c>
      <c r="O787" s="59">
        <f>SUMIFS(Eventos!$G:$G,Eventos!$F:$F,$L787,Eventos!$D:$D,$C$2,Eventos!$B:$B,PANES_SEMANALES[[#ALL],[MIÉRCOLES]])</f>
        <v>0</v>
      </c>
      <c r="P787" s="59">
        <f>SUMIFS(Eventos!$G:$G,Eventos!$F:$F,$L787,Eventos!$D:$D,$C$2,Eventos!$B:$B,PANES_SEMANALES[[#ALL],[JUEVES]])</f>
        <v>0</v>
      </c>
      <c r="Q787" s="59">
        <f>IF(P787&lt;&gt;"",SUMIFS(Eventos!$G:$G,Eventos!$B:$B,Q$2,Eventos!$D:$D,$C$2,Eventos!$F:$F,$L787),"")</f>
        <v>0</v>
      </c>
      <c r="R787" s="59">
        <f>SUMIFS(Eventos!$G:$G,Eventos!$F:$F,$L787,Eventos!$D:$D,$C$2,Eventos!$B:$B,PANES_SEMANALES[[#ALL],[SÁBADO]])</f>
        <v>0</v>
      </c>
      <c r="S787" s="59">
        <f>SUMIFS(Eventos!$G:$G,Eventos!$F:$F,$L787,Eventos!$D:$D,$C$2,Eventos!$B:$B,PANES_SEMANALES[[#ALL],[DOMINGO]])</f>
        <v>0</v>
      </c>
      <c r="T787" s="59">
        <f t="shared" si="1"/>
        <v>0</v>
      </c>
    </row>
    <row r="788" ht="22.5" customHeight="1">
      <c r="M788" s="59">
        <f>SUMIFS(Eventos!$G:$G,Eventos!$F:$F,$L788,Eventos!$D:$D,$C$2,Eventos!$B:$B,PANES_SEMANALES[[#ALL],[LUNES]])</f>
        <v>0</v>
      </c>
      <c r="N788" s="59">
        <f>SUMIFS(Eventos!$G:$G,Eventos!$F:$F,$L788,Eventos!$D:$D,$C$2,Eventos!$B:$B,PANES_SEMANALES[[#ALL],[MARTES]])</f>
        <v>0</v>
      </c>
      <c r="O788" s="59">
        <f>SUMIFS(Eventos!$G:$G,Eventos!$F:$F,$L788,Eventos!$D:$D,$C$2,Eventos!$B:$B,PANES_SEMANALES[[#ALL],[MIÉRCOLES]])</f>
        <v>0</v>
      </c>
      <c r="P788" s="59">
        <f>SUMIFS(Eventos!$G:$G,Eventos!$F:$F,$L788,Eventos!$D:$D,$C$2,Eventos!$B:$B,PANES_SEMANALES[[#ALL],[JUEVES]])</f>
        <v>0</v>
      </c>
      <c r="Q788" s="59">
        <f>IF(P788&lt;&gt;"",SUMIFS(Eventos!$G:$G,Eventos!$B:$B,Q$2,Eventos!$D:$D,$C$2,Eventos!$F:$F,$L788),"")</f>
        <v>0</v>
      </c>
      <c r="R788" s="59">
        <f>SUMIFS(Eventos!$G:$G,Eventos!$F:$F,$L788,Eventos!$D:$D,$C$2,Eventos!$B:$B,PANES_SEMANALES[[#ALL],[SÁBADO]])</f>
        <v>0</v>
      </c>
      <c r="S788" s="59">
        <f>SUMIFS(Eventos!$G:$G,Eventos!$F:$F,$L788,Eventos!$D:$D,$C$2,Eventos!$B:$B,PANES_SEMANALES[[#ALL],[DOMINGO]])</f>
        <v>0</v>
      </c>
      <c r="T788" s="59">
        <f t="shared" si="1"/>
        <v>0</v>
      </c>
    </row>
    <row r="789" ht="22.5" customHeight="1">
      <c r="M789" s="59">
        <f>SUMIFS(Eventos!$G:$G,Eventos!$F:$F,$L789,Eventos!$D:$D,$C$2,Eventos!$B:$B,PANES_SEMANALES[[#ALL],[LUNES]])</f>
        <v>0</v>
      </c>
      <c r="N789" s="59">
        <f>SUMIFS(Eventos!$G:$G,Eventos!$F:$F,$L789,Eventos!$D:$D,$C$2,Eventos!$B:$B,PANES_SEMANALES[[#ALL],[MARTES]])</f>
        <v>0</v>
      </c>
      <c r="O789" s="59">
        <f>SUMIFS(Eventos!$G:$G,Eventos!$F:$F,$L789,Eventos!$D:$D,$C$2,Eventos!$B:$B,PANES_SEMANALES[[#ALL],[MIÉRCOLES]])</f>
        <v>0</v>
      </c>
      <c r="P789" s="59">
        <f>SUMIFS(Eventos!$G:$G,Eventos!$F:$F,$L789,Eventos!$D:$D,$C$2,Eventos!$B:$B,PANES_SEMANALES[[#ALL],[JUEVES]])</f>
        <v>0</v>
      </c>
      <c r="Q789" s="59">
        <f>IF(P789&lt;&gt;"",SUMIFS(Eventos!$G:$G,Eventos!$B:$B,Q$2,Eventos!$D:$D,$C$2,Eventos!$F:$F,$L789),"")</f>
        <v>0</v>
      </c>
      <c r="R789" s="59">
        <f>SUMIFS(Eventos!$G:$G,Eventos!$F:$F,$L789,Eventos!$D:$D,$C$2,Eventos!$B:$B,PANES_SEMANALES[[#ALL],[SÁBADO]])</f>
        <v>0</v>
      </c>
      <c r="S789" s="59">
        <f>SUMIFS(Eventos!$G:$G,Eventos!$F:$F,$L789,Eventos!$D:$D,$C$2,Eventos!$B:$B,PANES_SEMANALES[[#ALL],[DOMINGO]])</f>
        <v>0</v>
      </c>
      <c r="T789" s="59">
        <f t="shared" si="1"/>
        <v>0</v>
      </c>
    </row>
    <row r="790" ht="22.5" customHeight="1">
      <c r="M790" s="59">
        <f>SUMIFS(Eventos!$G:$G,Eventos!$F:$F,$L790,Eventos!$D:$D,$C$2,Eventos!$B:$B,PANES_SEMANALES[[#ALL],[LUNES]])</f>
        <v>0</v>
      </c>
      <c r="N790" s="59">
        <f>SUMIFS(Eventos!$G:$G,Eventos!$F:$F,$L790,Eventos!$D:$D,$C$2,Eventos!$B:$B,PANES_SEMANALES[[#ALL],[MARTES]])</f>
        <v>0</v>
      </c>
      <c r="O790" s="59">
        <f>SUMIFS(Eventos!$G:$G,Eventos!$F:$F,$L790,Eventos!$D:$D,$C$2,Eventos!$B:$B,PANES_SEMANALES[[#ALL],[MIÉRCOLES]])</f>
        <v>0</v>
      </c>
      <c r="P790" s="59">
        <f>SUMIFS(Eventos!$G:$G,Eventos!$F:$F,$L790,Eventos!$D:$D,$C$2,Eventos!$B:$B,PANES_SEMANALES[[#ALL],[JUEVES]])</f>
        <v>0</v>
      </c>
      <c r="Q790" s="59">
        <f>IF(P790&lt;&gt;"",SUMIFS(Eventos!$G:$G,Eventos!$B:$B,Q$2,Eventos!$D:$D,$C$2,Eventos!$F:$F,$L790),"")</f>
        <v>0</v>
      </c>
      <c r="R790" s="59">
        <f>SUMIFS(Eventos!$G:$G,Eventos!$F:$F,$L790,Eventos!$D:$D,$C$2,Eventos!$B:$B,PANES_SEMANALES[[#ALL],[SÁBADO]])</f>
        <v>0</v>
      </c>
      <c r="S790" s="59">
        <f>SUMIFS(Eventos!$G:$G,Eventos!$F:$F,$L790,Eventos!$D:$D,$C$2,Eventos!$B:$B,PANES_SEMANALES[[#ALL],[DOMINGO]])</f>
        <v>0</v>
      </c>
      <c r="T790" s="59">
        <f t="shared" si="1"/>
        <v>0</v>
      </c>
    </row>
    <row r="791" ht="22.5" customHeight="1">
      <c r="M791" s="59">
        <f>SUMIFS(Eventos!$G:$G,Eventos!$F:$F,$L791,Eventos!$D:$D,$C$2,Eventos!$B:$B,PANES_SEMANALES[[#ALL],[LUNES]])</f>
        <v>0</v>
      </c>
      <c r="N791" s="59">
        <f>SUMIFS(Eventos!$G:$G,Eventos!$F:$F,$L791,Eventos!$D:$D,$C$2,Eventos!$B:$B,PANES_SEMANALES[[#ALL],[MARTES]])</f>
        <v>0</v>
      </c>
      <c r="O791" s="59">
        <f>SUMIFS(Eventos!$G:$G,Eventos!$F:$F,$L791,Eventos!$D:$D,$C$2,Eventos!$B:$B,PANES_SEMANALES[[#ALL],[MIÉRCOLES]])</f>
        <v>0</v>
      </c>
      <c r="P791" s="59">
        <f>SUMIFS(Eventos!$G:$G,Eventos!$F:$F,$L791,Eventos!$D:$D,$C$2,Eventos!$B:$B,PANES_SEMANALES[[#ALL],[JUEVES]])</f>
        <v>0</v>
      </c>
      <c r="Q791" s="59">
        <f>IF(P791&lt;&gt;"",SUMIFS(Eventos!$G:$G,Eventos!$B:$B,Q$2,Eventos!$D:$D,$C$2,Eventos!$F:$F,$L791),"")</f>
        <v>0</v>
      </c>
      <c r="R791" s="59">
        <f>SUMIFS(Eventos!$G:$G,Eventos!$F:$F,$L791,Eventos!$D:$D,$C$2,Eventos!$B:$B,PANES_SEMANALES[[#ALL],[SÁBADO]])</f>
        <v>0</v>
      </c>
      <c r="S791" s="59">
        <f>SUMIFS(Eventos!$G:$G,Eventos!$F:$F,$L791,Eventos!$D:$D,$C$2,Eventos!$B:$B,PANES_SEMANALES[[#ALL],[DOMINGO]])</f>
        <v>0</v>
      </c>
      <c r="T791" s="59">
        <f t="shared" si="1"/>
        <v>0</v>
      </c>
    </row>
    <row r="792" ht="22.5" customHeight="1">
      <c r="M792" s="59">
        <f>SUMIFS(Eventos!$G:$G,Eventos!$F:$F,$L792,Eventos!$D:$D,$C$2,Eventos!$B:$B,PANES_SEMANALES[[#ALL],[LUNES]])</f>
        <v>0</v>
      </c>
      <c r="N792" s="59">
        <f>SUMIFS(Eventos!$G:$G,Eventos!$F:$F,$L792,Eventos!$D:$D,$C$2,Eventos!$B:$B,PANES_SEMANALES[[#ALL],[MARTES]])</f>
        <v>0</v>
      </c>
      <c r="O792" s="59">
        <f>SUMIFS(Eventos!$G:$G,Eventos!$F:$F,$L792,Eventos!$D:$D,$C$2,Eventos!$B:$B,PANES_SEMANALES[[#ALL],[MIÉRCOLES]])</f>
        <v>0</v>
      </c>
      <c r="P792" s="59">
        <f>SUMIFS(Eventos!$G:$G,Eventos!$F:$F,$L792,Eventos!$D:$D,$C$2,Eventos!$B:$B,PANES_SEMANALES[[#ALL],[JUEVES]])</f>
        <v>0</v>
      </c>
      <c r="Q792" s="59">
        <f>IF(P792&lt;&gt;"",SUMIFS(Eventos!$G:$G,Eventos!$B:$B,Q$2,Eventos!$D:$D,$C$2,Eventos!$F:$F,$L792),"")</f>
        <v>0</v>
      </c>
      <c r="R792" s="59">
        <f>SUMIFS(Eventos!$G:$G,Eventos!$F:$F,$L792,Eventos!$D:$D,$C$2,Eventos!$B:$B,PANES_SEMANALES[[#ALL],[SÁBADO]])</f>
        <v>0</v>
      </c>
      <c r="S792" s="59">
        <f>SUMIFS(Eventos!$G:$G,Eventos!$F:$F,$L792,Eventos!$D:$D,$C$2,Eventos!$B:$B,PANES_SEMANALES[[#ALL],[DOMINGO]])</f>
        <v>0</v>
      </c>
      <c r="T792" s="59">
        <f t="shared" si="1"/>
        <v>0</v>
      </c>
    </row>
    <row r="793" ht="22.5" customHeight="1">
      <c r="M793" s="59">
        <f>SUMIFS(Eventos!$G:$G,Eventos!$F:$F,$L793,Eventos!$D:$D,$C$2,Eventos!$B:$B,PANES_SEMANALES[[#ALL],[LUNES]])</f>
        <v>0</v>
      </c>
      <c r="N793" s="59">
        <f>SUMIFS(Eventos!$G:$G,Eventos!$F:$F,$L793,Eventos!$D:$D,$C$2,Eventos!$B:$B,PANES_SEMANALES[[#ALL],[MARTES]])</f>
        <v>0</v>
      </c>
      <c r="O793" s="59">
        <f>SUMIFS(Eventos!$G:$G,Eventos!$F:$F,$L793,Eventos!$D:$D,$C$2,Eventos!$B:$B,PANES_SEMANALES[[#ALL],[MIÉRCOLES]])</f>
        <v>0</v>
      </c>
      <c r="P793" s="59">
        <f>SUMIFS(Eventos!$G:$G,Eventos!$F:$F,$L793,Eventos!$D:$D,$C$2,Eventos!$B:$B,PANES_SEMANALES[[#ALL],[JUEVES]])</f>
        <v>0</v>
      </c>
      <c r="Q793" s="59">
        <f>IF(P793&lt;&gt;"",SUMIFS(Eventos!$G:$G,Eventos!$B:$B,Q$2,Eventos!$D:$D,$C$2,Eventos!$F:$F,$L793),"")</f>
        <v>0</v>
      </c>
      <c r="R793" s="59">
        <f>SUMIFS(Eventos!$G:$G,Eventos!$F:$F,$L793,Eventos!$D:$D,$C$2,Eventos!$B:$B,PANES_SEMANALES[[#ALL],[SÁBADO]])</f>
        <v>0</v>
      </c>
      <c r="S793" s="59">
        <f>SUMIFS(Eventos!$G:$G,Eventos!$F:$F,$L793,Eventos!$D:$D,$C$2,Eventos!$B:$B,PANES_SEMANALES[[#ALL],[DOMINGO]])</f>
        <v>0</v>
      </c>
      <c r="T793" s="59">
        <f t="shared" si="1"/>
        <v>0</v>
      </c>
    </row>
    <row r="794" ht="22.5" customHeight="1">
      <c r="M794" s="59">
        <f>SUMIFS(Eventos!$G:$G,Eventos!$F:$F,$L794,Eventos!$D:$D,$C$2,Eventos!$B:$B,PANES_SEMANALES[[#ALL],[LUNES]])</f>
        <v>0</v>
      </c>
      <c r="N794" s="59">
        <f>SUMIFS(Eventos!$G:$G,Eventos!$F:$F,$L794,Eventos!$D:$D,$C$2,Eventos!$B:$B,PANES_SEMANALES[[#ALL],[MARTES]])</f>
        <v>0</v>
      </c>
      <c r="O794" s="59">
        <f>SUMIFS(Eventos!$G:$G,Eventos!$F:$F,$L794,Eventos!$D:$D,$C$2,Eventos!$B:$B,PANES_SEMANALES[[#ALL],[MIÉRCOLES]])</f>
        <v>0</v>
      </c>
      <c r="P794" s="59">
        <f>SUMIFS(Eventos!$G:$G,Eventos!$F:$F,$L794,Eventos!$D:$D,$C$2,Eventos!$B:$B,PANES_SEMANALES[[#ALL],[JUEVES]])</f>
        <v>0</v>
      </c>
      <c r="Q794" s="59">
        <f>IF(P794&lt;&gt;"",SUMIFS(Eventos!$G:$G,Eventos!$B:$B,Q$2,Eventos!$D:$D,$C$2,Eventos!$F:$F,$L794),"")</f>
        <v>0</v>
      </c>
      <c r="R794" s="59">
        <f>SUMIFS(Eventos!$G:$G,Eventos!$F:$F,$L794,Eventos!$D:$D,$C$2,Eventos!$B:$B,PANES_SEMANALES[[#ALL],[SÁBADO]])</f>
        <v>0</v>
      </c>
      <c r="S794" s="59">
        <f>SUMIFS(Eventos!$G:$G,Eventos!$F:$F,$L794,Eventos!$D:$D,$C$2,Eventos!$B:$B,PANES_SEMANALES[[#ALL],[DOMINGO]])</f>
        <v>0</v>
      </c>
      <c r="T794" s="59">
        <f t="shared" si="1"/>
        <v>0</v>
      </c>
    </row>
    <row r="795" ht="22.5" customHeight="1">
      <c r="M795" s="59">
        <f>SUMIFS(Eventos!$G:$G,Eventos!$F:$F,$L795,Eventos!$D:$D,$C$2,Eventos!$B:$B,PANES_SEMANALES[[#ALL],[LUNES]])</f>
        <v>0</v>
      </c>
      <c r="N795" s="59">
        <f>SUMIFS(Eventos!$G:$G,Eventos!$F:$F,$L795,Eventos!$D:$D,$C$2,Eventos!$B:$B,PANES_SEMANALES[[#ALL],[MARTES]])</f>
        <v>0</v>
      </c>
      <c r="O795" s="59">
        <f>SUMIFS(Eventos!$G:$G,Eventos!$F:$F,$L795,Eventos!$D:$D,$C$2,Eventos!$B:$B,PANES_SEMANALES[[#ALL],[MIÉRCOLES]])</f>
        <v>0</v>
      </c>
      <c r="P795" s="59">
        <f>SUMIFS(Eventos!$G:$G,Eventos!$F:$F,$L795,Eventos!$D:$D,$C$2,Eventos!$B:$B,PANES_SEMANALES[[#ALL],[JUEVES]])</f>
        <v>0</v>
      </c>
      <c r="Q795" s="59">
        <f>IF(P795&lt;&gt;"",SUMIFS(Eventos!$G:$G,Eventos!$B:$B,Q$2,Eventos!$D:$D,$C$2,Eventos!$F:$F,$L795),"")</f>
        <v>0</v>
      </c>
      <c r="R795" s="59">
        <f>SUMIFS(Eventos!$G:$G,Eventos!$F:$F,$L795,Eventos!$D:$D,$C$2,Eventos!$B:$B,PANES_SEMANALES[[#ALL],[SÁBADO]])</f>
        <v>0</v>
      </c>
      <c r="S795" s="59">
        <f>SUMIFS(Eventos!$G:$G,Eventos!$F:$F,$L795,Eventos!$D:$D,$C$2,Eventos!$B:$B,PANES_SEMANALES[[#ALL],[DOMINGO]])</f>
        <v>0</v>
      </c>
      <c r="T795" s="59">
        <f t="shared" si="1"/>
        <v>0</v>
      </c>
    </row>
    <row r="796" ht="22.5" customHeight="1">
      <c r="M796" s="59">
        <f>SUMIFS(Eventos!$G:$G,Eventos!$F:$F,$L796,Eventos!$D:$D,$C$2,Eventos!$B:$B,PANES_SEMANALES[[#ALL],[LUNES]])</f>
        <v>0</v>
      </c>
      <c r="N796" s="59">
        <f>SUMIFS(Eventos!$G:$G,Eventos!$F:$F,$L796,Eventos!$D:$D,$C$2,Eventos!$B:$B,PANES_SEMANALES[[#ALL],[MARTES]])</f>
        <v>0</v>
      </c>
      <c r="O796" s="59">
        <f>SUMIFS(Eventos!$G:$G,Eventos!$F:$F,$L796,Eventos!$D:$D,$C$2,Eventos!$B:$B,PANES_SEMANALES[[#ALL],[MIÉRCOLES]])</f>
        <v>0</v>
      </c>
      <c r="P796" s="59">
        <f>SUMIFS(Eventos!$G:$G,Eventos!$F:$F,$L796,Eventos!$D:$D,$C$2,Eventos!$B:$B,PANES_SEMANALES[[#ALL],[JUEVES]])</f>
        <v>0</v>
      </c>
      <c r="Q796" s="59">
        <f>IF(P796&lt;&gt;"",SUMIFS(Eventos!$G:$G,Eventos!$B:$B,Q$2,Eventos!$D:$D,$C$2,Eventos!$F:$F,$L796),"")</f>
        <v>0</v>
      </c>
      <c r="R796" s="59">
        <f>SUMIFS(Eventos!$G:$G,Eventos!$F:$F,$L796,Eventos!$D:$D,$C$2,Eventos!$B:$B,PANES_SEMANALES[[#ALL],[SÁBADO]])</f>
        <v>0</v>
      </c>
      <c r="S796" s="59">
        <f>SUMIFS(Eventos!$G:$G,Eventos!$F:$F,$L796,Eventos!$D:$D,$C$2,Eventos!$B:$B,PANES_SEMANALES[[#ALL],[DOMINGO]])</f>
        <v>0</v>
      </c>
      <c r="T796" s="59">
        <f t="shared" si="1"/>
        <v>0</v>
      </c>
    </row>
    <row r="797" ht="22.5" customHeight="1">
      <c r="M797" s="59">
        <f>SUMIFS(Eventos!$G:$G,Eventos!$F:$F,$L797,Eventos!$D:$D,$C$2,Eventos!$B:$B,PANES_SEMANALES[[#ALL],[LUNES]])</f>
        <v>0</v>
      </c>
      <c r="N797" s="59">
        <f>SUMIFS(Eventos!$G:$G,Eventos!$F:$F,$L797,Eventos!$D:$D,$C$2,Eventos!$B:$B,PANES_SEMANALES[[#ALL],[MARTES]])</f>
        <v>0</v>
      </c>
      <c r="O797" s="59">
        <f>SUMIFS(Eventos!$G:$G,Eventos!$F:$F,$L797,Eventos!$D:$D,$C$2,Eventos!$B:$B,PANES_SEMANALES[[#ALL],[MIÉRCOLES]])</f>
        <v>0</v>
      </c>
      <c r="P797" s="59">
        <f>SUMIFS(Eventos!$G:$G,Eventos!$F:$F,$L797,Eventos!$D:$D,$C$2,Eventos!$B:$B,PANES_SEMANALES[[#ALL],[JUEVES]])</f>
        <v>0</v>
      </c>
      <c r="Q797" s="59">
        <f>IF(P797&lt;&gt;"",SUMIFS(Eventos!$G:$G,Eventos!$B:$B,Q$2,Eventos!$D:$D,$C$2,Eventos!$F:$F,$L797),"")</f>
        <v>0</v>
      </c>
      <c r="R797" s="59">
        <f>SUMIFS(Eventos!$G:$G,Eventos!$F:$F,$L797,Eventos!$D:$D,$C$2,Eventos!$B:$B,PANES_SEMANALES[[#ALL],[SÁBADO]])</f>
        <v>0</v>
      </c>
      <c r="S797" s="59">
        <f>SUMIFS(Eventos!$G:$G,Eventos!$F:$F,$L797,Eventos!$D:$D,$C$2,Eventos!$B:$B,PANES_SEMANALES[[#ALL],[DOMINGO]])</f>
        <v>0</v>
      </c>
      <c r="T797" s="59">
        <f t="shared" si="1"/>
        <v>0</v>
      </c>
    </row>
    <row r="798" ht="22.5" customHeight="1">
      <c r="M798" s="59">
        <f>SUMIFS(Eventos!$G:$G,Eventos!$F:$F,$L798,Eventos!$D:$D,$C$2,Eventos!$B:$B,PANES_SEMANALES[[#ALL],[LUNES]])</f>
        <v>0</v>
      </c>
      <c r="N798" s="59">
        <f>SUMIFS(Eventos!$G:$G,Eventos!$F:$F,$L798,Eventos!$D:$D,$C$2,Eventos!$B:$B,PANES_SEMANALES[[#ALL],[MARTES]])</f>
        <v>0</v>
      </c>
      <c r="O798" s="59">
        <f>SUMIFS(Eventos!$G:$G,Eventos!$F:$F,$L798,Eventos!$D:$D,$C$2,Eventos!$B:$B,PANES_SEMANALES[[#ALL],[MIÉRCOLES]])</f>
        <v>0</v>
      </c>
      <c r="P798" s="59">
        <f>SUMIFS(Eventos!$G:$G,Eventos!$F:$F,$L798,Eventos!$D:$D,$C$2,Eventos!$B:$B,PANES_SEMANALES[[#ALL],[JUEVES]])</f>
        <v>0</v>
      </c>
      <c r="Q798" s="59">
        <f>IF(P798&lt;&gt;"",SUMIFS(Eventos!$G:$G,Eventos!$B:$B,Q$2,Eventos!$D:$D,$C$2,Eventos!$F:$F,$L798),"")</f>
        <v>0</v>
      </c>
      <c r="R798" s="59">
        <f>SUMIFS(Eventos!$G:$G,Eventos!$F:$F,$L798,Eventos!$D:$D,$C$2,Eventos!$B:$B,PANES_SEMANALES[[#ALL],[SÁBADO]])</f>
        <v>0</v>
      </c>
      <c r="S798" s="59">
        <f>SUMIFS(Eventos!$G:$G,Eventos!$F:$F,$L798,Eventos!$D:$D,$C$2,Eventos!$B:$B,PANES_SEMANALES[[#ALL],[DOMINGO]])</f>
        <v>0</v>
      </c>
      <c r="T798" s="59">
        <f t="shared" si="1"/>
        <v>0</v>
      </c>
    </row>
    <row r="799" ht="22.5" customHeight="1">
      <c r="M799" s="59">
        <f>SUMIFS(Eventos!$G:$G,Eventos!$F:$F,$L799,Eventos!$D:$D,$C$2,Eventos!$B:$B,PANES_SEMANALES[[#ALL],[LUNES]])</f>
        <v>0</v>
      </c>
      <c r="N799" s="59">
        <f>SUMIFS(Eventos!$G:$G,Eventos!$F:$F,$L799,Eventos!$D:$D,$C$2,Eventos!$B:$B,PANES_SEMANALES[[#ALL],[MARTES]])</f>
        <v>0</v>
      </c>
      <c r="O799" s="59">
        <f>SUMIFS(Eventos!$G:$G,Eventos!$F:$F,$L799,Eventos!$D:$D,$C$2,Eventos!$B:$B,PANES_SEMANALES[[#ALL],[MIÉRCOLES]])</f>
        <v>0</v>
      </c>
      <c r="P799" s="59">
        <f>SUMIFS(Eventos!$G:$G,Eventos!$F:$F,$L799,Eventos!$D:$D,$C$2,Eventos!$B:$B,PANES_SEMANALES[[#ALL],[JUEVES]])</f>
        <v>0</v>
      </c>
      <c r="Q799" s="59">
        <f>IF(P799&lt;&gt;"",SUMIFS(Eventos!$G:$G,Eventos!$B:$B,Q$2,Eventos!$D:$D,$C$2,Eventos!$F:$F,$L799),"")</f>
        <v>0</v>
      </c>
      <c r="R799" s="59">
        <f>SUMIFS(Eventos!$G:$G,Eventos!$F:$F,$L799,Eventos!$D:$D,$C$2,Eventos!$B:$B,PANES_SEMANALES[[#ALL],[SÁBADO]])</f>
        <v>0</v>
      </c>
      <c r="S799" s="59">
        <f>SUMIFS(Eventos!$G:$G,Eventos!$F:$F,$L799,Eventos!$D:$D,$C$2,Eventos!$B:$B,PANES_SEMANALES[[#ALL],[DOMINGO]])</f>
        <v>0</v>
      </c>
      <c r="T799" s="59">
        <f t="shared" si="1"/>
        <v>0</v>
      </c>
    </row>
    <row r="800" ht="22.5" customHeight="1">
      <c r="M800" s="59">
        <f>SUMIFS(Eventos!$G:$G,Eventos!$F:$F,$L800,Eventos!$D:$D,$C$2,Eventos!$B:$B,PANES_SEMANALES[[#ALL],[LUNES]])</f>
        <v>0</v>
      </c>
      <c r="N800" s="59">
        <f>SUMIFS(Eventos!$G:$G,Eventos!$F:$F,$L800,Eventos!$D:$D,$C$2,Eventos!$B:$B,PANES_SEMANALES[[#ALL],[MARTES]])</f>
        <v>0</v>
      </c>
      <c r="O800" s="59">
        <f>SUMIFS(Eventos!$G:$G,Eventos!$F:$F,$L800,Eventos!$D:$D,$C$2,Eventos!$B:$B,PANES_SEMANALES[[#ALL],[MIÉRCOLES]])</f>
        <v>0</v>
      </c>
      <c r="P800" s="59">
        <f>SUMIFS(Eventos!$G:$G,Eventos!$F:$F,$L800,Eventos!$D:$D,$C$2,Eventos!$B:$B,PANES_SEMANALES[[#ALL],[JUEVES]])</f>
        <v>0</v>
      </c>
      <c r="Q800" s="59">
        <f>IF(P800&lt;&gt;"",SUMIFS(Eventos!$G:$G,Eventos!$B:$B,Q$2,Eventos!$D:$D,$C$2,Eventos!$F:$F,$L800),"")</f>
        <v>0</v>
      </c>
      <c r="R800" s="59">
        <f>SUMIFS(Eventos!$G:$G,Eventos!$F:$F,$L800,Eventos!$D:$D,$C$2,Eventos!$B:$B,PANES_SEMANALES[[#ALL],[SÁBADO]])</f>
        <v>0</v>
      </c>
      <c r="S800" s="59">
        <f>SUMIFS(Eventos!$G:$G,Eventos!$F:$F,$L800,Eventos!$D:$D,$C$2,Eventos!$B:$B,PANES_SEMANALES[[#ALL],[DOMINGO]])</f>
        <v>0</v>
      </c>
      <c r="T800" s="59">
        <f t="shared" si="1"/>
        <v>0</v>
      </c>
    </row>
    <row r="801" ht="22.5" customHeight="1">
      <c r="M801" s="59">
        <f>SUMIFS(Eventos!$G:$G,Eventos!$F:$F,$L801,Eventos!$D:$D,$C$2,Eventos!$B:$B,PANES_SEMANALES[[#ALL],[LUNES]])</f>
        <v>0</v>
      </c>
      <c r="N801" s="59">
        <f>SUMIFS(Eventos!$G:$G,Eventos!$F:$F,$L801,Eventos!$D:$D,$C$2,Eventos!$B:$B,PANES_SEMANALES[[#ALL],[MARTES]])</f>
        <v>0</v>
      </c>
      <c r="O801" s="59">
        <f>SUMIFS(Eventos!$G:$G,Eventos!$F:$F,$L801,Eventos!$D:$D,$C$2,Eventos!$B:$B,PANES_SEMANALES[[#ALL],[MIÉRCOLES]])</f>
        <v>0</v>
      </c>
      <c r="P801" s="59">
        <f>SUMIFS(Eventos!$G:$G,Eventos!$F:$F,$L801,Eventos!$D:$D,$C$2,Eventos!$B:$B,PANES_SEMANALES[[#ALL],[JUEVES]])</f>
        <v>0</v>
      </c>
      <c r="Q801" s="59">
        <f>IF(P801&lt;&gt;"",SUMIFS(Eventos!$G:$G,Eventos!$B:$B,Q$2,Eventos!$D:$D,$C$2,Eventos!$F:$F,$L801),"")</f>
        <v>0</v>
      </c>
      <c r="R801" s="59">
        <f>SUMIFS(Eventos!$G:$G,Eventos!$F:$F,$L801,Eventos!$D:$D,$C$2,Eventos!$B:$B,PANES_SEMANALES[[#ALL],[SÁBADO]])</f>
        <v>0</v>
      </c>
      <c r="S801" s="59">
        <f>SUMIFS(Eventos!$G:$G,Eventos!$F:$F,$L801,Eventos!$D:$D,$C$2,Eventos!$B:$B,PANES_SEMANALES[[#ALL],[DOMINGO]])</f>
        <v>0</v>
      </c>
      <c r="T801" s="59">
        <f t="shared" si="1"/>
        <v>0</v>
      </c>
    </row>
    <row r="802" ht="22.5" customHeight="1">
      <c r="M802" s="59">
        <f>SUMIFS(Eventos!$G:$G,Eventos!$F:$F,$L802,Eventos!$D:$D,$C$2,Eventos!$B:$B,PANES_SEMANALES[[#ALL],[LUNES]])</f>
        <v>0</v>
      </c>
      <c r="N802" s="59">
        <f>SUMIFS(Eventos!$G:$G,Eventos!$F:$F,$L802,Eventos!$D:$D,$C$2,Eventos!$B:$B,PANES_SEMANALES[[#ALL],[MARTES]])</f>
        <v>0</v>
      </c>
      <c r="O802" s="59">
        <f>SUMIFS(Eventos!$G:$G,Eventos!$F:$F,$L802,Eventos!$D:$D,$C$2,Eventos!$B:$B,PANES_SEMANALES[[#ALL],[MIÉRCOLES]])</f>
        <v>0</v>
      </c>
      <c r="P802" s="59">
        <f>SUMIFS(Eventos!$G:$G,Eventos!$F:$F,$L802,Eventos!$D:$D,$C$2,Eventos!$B:$B,PANES_SEMANALES[[#ALL],[JUEVES]])</f>
        <v>0</v>
      </c>
      <c r="Q802" s="59">
        <f>IF(P802&lt;&gt;"",SUMIFS(Eventos!$G:$G,Eventos!$B:$B,Q$2,Eventos!$D:$D,$C$2,Eventos!$F:$F,$L802),"")</f>
        <v>0</v>
      </c>
      <c r="R802" s="59">
        <f>SUMIFS(Eventos!$G:$G,Eventos!$F:$F,$L802,Eventos!$D:$D,$C$2,Eventos!$B:$B,PANES_SEMANALES[[#ALL],[SÁBADO]])</f>
        <v>0</v>
      </c>
      <c r="S802" s="59">
        <f>SUMIFS(Eventos!$G:$G,Eventos!$F:$F,$L802,Eventos!$D:$D,$C$2,Eventos!$B:$B,PANES_SEMANALES[[#ALL],[DOMINGO]])</f>
        <v>0</v>
      </c>
      <c r="T802" s="59">
        <f t="shared" si="1"/>
        <v>0</v>
      </c>
    </row>
    <row r="803" ht="22.5" customHeight="1">
      <c r="M803" s="59">
        <f>SUMIFS(Eventos!$G:$G,Eventos!$F:$F,$L803,Eventos!$D:$D,$C$2,Eventos!$B:$B,PANES_SEMANALES[[#ALL],[LUNES]])</f>
        <v>0</v>
      </c>
      <c r="N803" s="59">
        <f>SUMIFS(Eventos!$G:$G,Eventos!$F:$F,$L803,Eventos!$D:$D,$C$2,Eventos!$B:$B,PANES_SEMANALES[[#ALL],[MARTES]])</f>
        <v>0</v>
      </c>
      <c r="O803" s="59">
        <f>SUMIFS(Eventos!$G:$G,Eventos!$F:$F,$L803,Eventos!$D:$D,$C$2,Eventos!$B:$B,PANES_SEMANALES[[#ALL],[MIÉRCOLES]])</f>
        <v>0</v>
      </c>
      <c r="P803" s="59">
        <f>SUMIFS(Eventos!$G:$G,Eventos!$F:$F,$L803,Eventos!$D:$D,$C$2,Eventos!$B:$B,PANES_SEMANALES[[#ALL],[JUEVES]])</f>
        <v>0</v>
      </c>
      <c r="Q803" s="59">
        <f>IF(P803&lt;&gt;"",SUMIFS(Eventos!$G:$G,Eventos!$B:$B,Q$2,Eventos!$D:$D,$C$2,Eventos!$F:$F,$L803),"")</f>
        <v>0</v>
      </c>
      <c r="R803" s="59">
        <f>SUMIFS(Eventos!$G:$G,Eventos!$F:$F,$L803,Eventos!$D:$D,$C$2,Eventos!$B:$B,PANES_SEMANALES[[#ALL],[SÁBADO]])</f>
        <v>0</v>
      </c>
      <c r="S803" s="59">
        <f>SUMIFS(Eventos!$G:$G,Eventos!$F:$F,$L803,Eventos!$D:$D,$C$2,Eventos!$B:$B,PANES_SEMANALES[[#ALL],[DOMINGO]])</f>
        <v>0</v>
      </c>
      <c r="T803" s="59">
        <f t="shared" si="1"/>
        <v>0</v>
      </c>
    </row>
    <row r="804" ht="22.5" customHeight="1">
      <c r="M804" s="59">
        <f>SUMIFS(Eventos!$G:$G,Eventos!$F:$F,$L804,Eventos!$D:$D,$C$2,Eventos!$B:$B,PANES_SEMANALES[[#ALL],[LUNES]])</f>
        <v>0</v>
      </c>
      <c r="N804" s="59">
        <f>SUMIFS(Eventos!$G:$G,Eventos!$F:$F,$L804,Eventos!$D:$D,$C$2,Eventos!$B:$B,PANES_SEMANALES[[#ALL],[MARTES]])</f>
        <v>0</v>
      </c>
      <c r="O804" s="59">
        <f>SUMIFS(Eventos!$G:$G,Eventos!$F:$F,$L804,Eventos!$D:$D,$C$2,Eventos!$B:$B,PANES_SEMANALES[[#ALL],[MIÉRCOLES]])</f>
        <v>0</v>
      </c>
      <c r="P804" s="59">
        <f>SUMIFS(Eventos!$G:$G,Eventos!$F:$F,$L804,Eventos!$D:$D,$C$2,Eventos!$B:$B,PANES_SEMANALES[[#ALL],[JUEVES]])</f>
        <v>0</v>
      </c>
      <c r="Q804" s="59">
        <f>IF(P804&lt;&gt;"",SUMIFS(Eventos!$G:$G,Eventos!$B:$B,Q$2,Eventos!$D:$D,$C$2,Eventos!$F:$F,$L804),"")</f>
        <v>0</v>
      </c>
      <c r="R804" s="59">
        <f>SUMIFS(Eventos!$G:$G,Eventos!$F:$F,$L804,Eventos!$D:$D,$C$2,Eventos!$B:$B,PANES_SEMANALES[[#ALL],[SÁBADO]])</f>
        <v>0</v>
      </c>
      <c r="S804" s="59">
        <f>SUMIFS(Eventos!$G:$G,Eventos!$F:$F,$L804,Eventos!$D:$D,$C$2,Eventos!$B:$B,PANES_SEMANALES[[#ALL],[DOMINGO]])</f>
        <v>0</v>
      </c>
      <c r="T804" s="59">
        <f t="shared" si="1"/>
        <v>0</v>
      </c>
    </row>
    <row r="805" ht="22.5" customHeight="1">
      <c r="M805" s="59">
        <f>SUMIFS(Eventos!$G:$G,Eventos!$F:$F,$L805,Eventos!$D:$D,$C$2,Eventos!$B:$B,PANES_SEMANALES[[#ALL],[LUNES]])</f>
        <v>0</v>
      </c>
      <c r="N805" s="59">
        <f>SUMIFS(Eventos!$G:$G,Eventos!$F:$F,$L805,Eventos!$D:$D,$C$2,Eventos!$B:$B,PANES_SEMANALES[[#ALL],[MARTES]])</f>
        <v>0</v>
      </c>
      <c r="O805" s="59">
        <f>SUMIFS(Eventos!$G:$G,Eventos!$F:$F,$L805,Eventos!$D:$D,$C$2,Eventos!$B:$B,PANES_SEMANALES[[#ALL],[MIÉRCOLES]])</f>
        <v>0</v>
      </c>
      <c r="P805" s="59">
        <f>SUMIFS(Eventos!$G:$G,Eventos!$F:$F,$L805,Eventos!$D:$D,$C$2,Eventos!$B:$B,PANES_SEMANALES[[#ALL],[JUEVES]])</f>
        <v>0</v>
      </c>
      <c r="Q805" s="59">
        <f>IF(P805&lt;&gt;"",SUMIFS(Eventos!$G:$G,Eventos!$B:$B,Q$2,Eventos!$D:$D,$C$2,Eventos!$F:$F,$L805),"")</f>
        <v>0</v>
      </c>
      <c r="R805" s="59">
        <f>SUMIFS(Eventos!$G:$G,Eventos!$F:$F,$L805,Eventos!$D:$D,$C$2,Eventos!$B:$B,PANES_SEMANALES[[#ALL],[SÁBADO]])</f>
        <v>0</v>
      </c>
      <c r="S805" s="59">
        <f>SUMIFS(Eventos!$G:$G,Eventos!$F:$F,$L805,Eventos!$D:$D,$C$2,Eventos!$B:$B,PANES_SEMANALES[[#ALL],[DOMINGO]])</f>
        <v>0</v>
      </c>
      <c r="T805" s="59">
        <f t="shared" si="1"/>
        <v>0</v>
      </c>
    </row>
    <row r="806" ht="22.5" customHeight="1">
      <c r="M806" s="59">
        <f>SUMIFS(Eventos!$G:$G,Eventos!$F:$F,$L806,Eventos!$D:$D,$C$2,Eventos!$B:$B,PANES_SEMANALES[[#ALL],[LUNES]])</f>
        <v>0</v>
      </c>
      <c r="N806" s="59">
        <f>SUMIFS(Eventos!$G:$G,Eventos!$F:$F,$L806,Eventos!$D:$D,$C$2,Eventos!$B:$B,PANES_SEMANALES[[#ALL],[MARTES]])</f>
        <v>0</v>
      </c>
      <c r="O806" s="59">
        <f>SUMIFS(Eventos!$G:$G,Eventos!$F:$F,$L806,Eventos!$D:$D,$C$2,Eventos!$B:$B,PANES_SEMANALES[[#ALL],[MIÉRCOLES]])</f>
        <v>0</v>
      </c>
      <c r="P806" s="59">
        <f>SUMIFS(Eventos!$G:$G,Eventos!$F:$F,$L806,Eventos!$D:$D,$C$2,Eventos!$B:$B,PANES_SEMANALES[[#ALL],[JUEVES]])</f>
        <v>0</v>
      </c>
      <c r="Q806" s="59">
        <f>IF(P806&lt;&gt;"",SUMIFS(Eventos!$G:$G,Eventos!$B:$B,Q$2,Eventos!$D:$D,$C$2,Eventos!$F:$F,$L806),"")</f>
        <v>0</v>
      </c>
      <c r="R806" s="59">
        <f>SUMIFS(Eventos!$G:$G,Eventos!$F:$F,$L806,Eventos!$D:$D,$C$2,Eventos!$B:$B,PANES_SEMANALES[[#ALL],[SÁBADO]])</f>
        <v>0</v>
      </c>
      <c r="S806" s="59">
        <f>SUMIFS(Eventos!$G:$G,Eventos!$F:$F,$L806,Eventos!$D:$D,$C$2,Eventos!$B:$B,PANES_SEMANALES[[#ALL],[DOMINGO]])</f>
        <v>0</v>
      </c>
      <c r="T806" s="59">
        <f t="shared" si="1"/>
        <v>0</v>
      </c>
    </row>
    <row r="807" ht="22.5" customHeight="1">
      <c r="M807" s="59">
        <f>SUMIFS(Eventos!$G:$G,Eventos!$F:$F,$L807,Eventos!$D:$D,$C$2,Eventos!$B:$B,PANES_SEMANALES[[#ALL],[LUNES]])</f>
        <v>0</v>
      </c>
      <c r="N807" s="59">
        <f>SUMIFS(Eventos!$G:$G,Eventos!$F:$F,$L807,Eventos!$D:$D,$C$2,Eventos!$B:$B,PANES_SEMANALES[[#ALL],[MARTES]])</f>
        <v>0</v>
      </c>
      <c r="O807" s="59">
        <f>SUMIFS(Eventos!$G:$G,Eventos!$F:$F,$L807,Eventos!$D:$D,$C$2,Eventos!$B:$B,PANES_SEMANALES[[#ALL],[MIÉRCOLES]])</f>
        <v>0</v>
      </c>
      <c r="P807" s="59">
        <f>SUMIFS(Eventos!$G:$G,Eventos!$F:$F,$L807,Eventos!$D:$D,$C$2,Eventos!$B:$B,PANES_SEMANALES[[#ALL],[JUEVES]])</f>
        <v>0</v>
      </c>
      <c r="Q807" s="59">
        <f>IF(P807&lt;&gt;"",SUMIFS(Eventos!$G:$G,Eventos!$B:$B,Q$2,Eventos!$D:$D,$C$2,Eventos!$F:$F,$L807),"")</f>
        <v>0</v>
      </c>
      <c r="R807" s="59">
        <f>SUMIFS(Eventos!$G:$G,Eventos!$F:$F,$L807,Eventos!$D:$D,$C$2,Eventos!$B:$B,PANES_SEMANALES[[#ALL],[SÁBADO]])</f>
        <v>0</v>
      </c>
      <c r="S807" s="59">
        <f>SUMIFS(Eventos!$G:$G,Eventos!$F:$F,$L807,Eventos!$D:$D,$C$2,Eventos!$B:$B,PANES_SEMANALES[[#ALL],[DOMINGO]])</f>
        <v>0</v>
      </c>
      <c r="T807" s="59">
        <f t="shared" si="1"/>
        <v>0</v>
      </c>
    </row>
    <row r="808" ht="22.5" customHeight="1">
      <c r="M808" s="59">
        <f>SUMIFS(Eventos!$G:$G,Eventos!$F:$F,$L808,Eventos!$D:$D,$C$2,Eventos!$B:$B,PANES_SEMANALES[[#ALL],[LUNES]])</f>
        <v>0</v>
      </c>
      <c r="N808" s="59">
        <f>SUMIFS(Eventos!$G:$G,Eventos!$F:$F,$L808,Eventos!$D:$D,$C$2,Eventos!$B:$B,PANES_SEMANALES[[#ALL],[MARTES]])</f>
        <v>0</v>
      </c>
      <c r="O808" s="59">
        <f>SUMIFS(Eventos!$G:$G,Eventos!$F:$F,$L808,Eventos!$D:$D,$C$2,Eventos!$B:$B,PANES_SEMANALES[[#ALL],[MIÉRCOLES]])</f>
        <v>0</v>
      </c>
      <c r="P808" s="59">
        <f>SUMIFS(Eventos!$G:$G,Eventos!$F:$F,$L808,Eventos!$D:$D,$C$2,Eventos!$B:$B,PANES_SEMANALES[[#ALL],[JUEVES]])</f>
        <v>0</v>
      </c>
      <c r="Q808" s="59">
        <f>IF(P808&lt;&gt;"",SUMIFS(Eventos!$G:$G,Eventos!$B:$B,Q$2,Eventos!$D:$D,$C$2,Eventos!$F:$F,$L808),"")</f>
        <v>0</v>
      </c>
      <c r="R808" s="59">
        <f>SUMIFS(Eventos!$G:$G,Eventos!$F:$F,$L808,Eventos!$D:$D,$C$2,Eventos!$B:$B,PANES_SEMANALES[[#ALL],[SÁBADO]])</f>
        <v>0</v>
      </c>
      <c r="S808" s="59">
        <f>SUMIFS(Eventos!$G:$G,Eventos!$F:$F,$L808,Eventos!$D:$D,$C$2,Eventos!$B:$B,PANES_SEMANALES[[#ALL],[DOMINGO]])</f>
        <v>0</v>
      </c>
      <c r="T808" s="59">
        <f t="shared" si="1"/>
        <v>0</v>
      </c>
    </row>
    <row r="809" ht="22.5" customHeight="1">
      <c r="M809" s="59">
        <f>SUMIFS(Eventos!$G:$G,Eventos!$F:$F,$L809,Eventos!$D:$D,$C$2,Eventos!$B:$B,PANES_SEMANALES[[#ALL],[LUNES]])</f>
        <v>0</v>
      </c>
      <c r="N809" s="59">
        <f>SUMIFS(Eventos!$G:$G,Eventos!$F:$F,$L809,Eventos!$D:$D,$C$2,Eventos!$B:$B,PANES_SEMANALES[[#ALL],[MARTES]])</f>
        <v>0</v>
      </c>
      <c r="O809" s="59">
        <f>SUMIFS(Eventos!$G:$G,Eventos!$F:$F,$L809,Eventos!$D:$D,$C$2,Eventos!$B:$B,PANES_SEMANALES[[#ALL],[MIÉRCOLES]])</f>
        <v>0</v>
      </c>
      <c r="P809" s="59">
        <f>SUMIFS(Eventos!$G:$G,Eventos!$F:$F,$L809,Eventos!$D:$D,$C$2,Eventos!$B:$B,PANES_SEMANALES[[#ALL],[JUEVES]])</f>
        <v>0</v>
      </c>
      <c r="Q809" s="59">
        <f>IF(P809&lt;&gt;"",SUMIFS(Eventos!$G:$G,Eventos!$B:$B,Q$2,Eventos!$D:$D,$C$2,Eventos!$F:$F,$L809),"")</f>
        <v>0</v>
      </c>
      <c r="R809" s="59">
        <f>SUMIFS(Eventos!$G:$G,Eventos!$F:$F,$L809,Eventos!$D:$D,$C$2,Eventos!$B:$B,PANES_SEMANALES[[#ALL],[SÁBADO]])</f>
        <v>0</v>
      </c>
      <c r="S809" s="59">
        <f>SUMIFS(Eventos!$G:$G,Eventos!$F:$F,$L809,Eventos!$D:$D,$C$2,Eventos!$B:$B,PANES_SEMANALES[[#ALL],[DOMINGO]])</f>
        <v>0</v>
      </c>
      <c r="T809" s="59">
        <f t="shared" si="1"/>
        <v>0</v>
      </c>
    </row>
    <row r="810" ht="22.5" customHeight="1">
      <c r="M810" s="59">
        <f>SUMIFS(Eventos!$G:$G,Eventos!$F:$F,$L810,Eventos!$D:$D,$C$2,Eventos!$B:$B,PANES_SEMANALES[[#ALL],[LUNES]])</f>
        <v>0</v>
      </c>
      <c r="N810" s="59">
        <f>SUMIFS(Eventos!$G:$G,Eventos!$F:$F,$L810,Eventos!$D:$D,$C$2,Eventos!$B:$B,PANES_SEMANALES[[#ALL],[MARTES]])</f>
        <v>0</v>
      </c>
      <c r="O810" s="59">
        <f>SUMIFS(Eventos!$G:$G,Eventos!$F:$F,$L810,Eventos!$D:$D,$C$2,Eventos!$B:$B,PANES_SEMANALES[[#ALL],[MIÉRCOLES]])</f>
        <v>0</v>
      </c>
      <c r="P810" s="59">
        <f>SUMIFS(Eventos!$G:$G,Eventos!$F:$F,$L810,Eventos!$D:$D,$C$2,Eventos!$B:$B,PANES_SEMANALES[[#ALL],[JUEVES]])</f>
        <v>0</v>
      </c>
      <c r="Q810" s="59">
        <f>IF(P810&lt;&gt;"",SUMIFS(Eventos!$G:$G,Eventos!$B:$B,Q$2,Eventos!$D:$D,$C$2,Eventos!$F:$F,$L810),"")</f>
        <v>0</v>
      </c>
      <c r="R810" s="59">
        <f>SUMIFS(Eventos!$G:$G,Eventos!$F:$F,$L810,Eventos!$D:$D,$C$2,Eventos!$B:$B,PANES_SEMANALES[[#ALL],[SÁBADO]])</f>
        <v>0</v>
      </c>
      <c r="S810" s="59">
        <f>SUMIFS(Eventos!$G:$G,Eventos!$F:$F,$L810,Eventos!$D:$D,$C$2,Eventos!$B:$B,PANES_SEMANALES[[#ALL],[DOMINGO]])</f>
        <v>0</v>
      </c>
      <c r="T810" s="59">
        <f t="shared" si="1"/>
        <v>0</v>
      </c>
    </row>
    <row r="811" ht="22.5" customHeight="1">
      <c r="M811" s="59">
        <f>SUMIFS(Eventos!$G:$G,Eventos!$F:$F,$L811,Eventos!$D:$D,$C$2,Eventos!$B:$B,PANES_SEMANALES[[#ALL],[LUNES]])</f>
        <v>0</v>
      </c>
      <c r="N811" s="59">
        <f>SUMIFS(Eventos!$G:$G,Eventos!$F:$F,$L811,Eventos!$D:$D,$C$2,Eventos!$B:$B,PANES_SEMANALES[[#ALL],[MARTES]])</f>
        <v>0</v>
      </c>
      <c r="O811" s="59">
        <f>SUMIFS(Eventos!$G:$G,Eventos!$F:$F,$L811,Eventos!$D:$D,$C$2,Eventos!$B:$B,PANES_SEMANALES[[#ALL],[MIÉRCOLES]])</f>
        <v>0</v>
      </c>
      <c r="P811" s="59">
        <f>SUMIFS(Eventos!$G:$G,Eventos!$F:$F,$L811,Eventos!$D:$D,$C$2,Eventos!$B:$B,PANES_SEMANALES[[#ALL],[JUEVES]])</f>
        <v>0</v>
      </c>
      <c r="Q811" s="59">
        <f>IF(P811&lt;&gt;"",SUMIFS(Eventos!$G:$G,Eventos!$B:$B,Q$2,Eventos!$D:$D,$C$2,Eventos!$F:$F,$L811),"")</f>
        <v>0</v>
      </c>
      <c r="R811" s="59">
        <f>SUMIFS(Eventos!$G:$G,Eventos!$F:$F,$L811,Eventos!$D:$D,$C$2,Eventos!$B:$B,PANES_SEMANALES[[#ALL],[SÁBADO]])</f>
        <v>0</v>
      </c>
      <c r="S811" s="59">
        <f>SUMIFS(Eventos!$G:$G,Eventos!$F:$F,$L811,Eventos!$D:$D,$C$2,Eventos!$B:$B,PANES_SEMANALES[[#ALL],[DOMINGO]])</f>
        <v>0</v>
      </c>
      <c r="T811" s="59">
        <f t="shared" si="1"/>
        <v>0</v>
      </c>
    </row>
    <row r="812" ht="22.5" customHeight="1">
      <c r="M812" s="59">
        <f>SUMIFS(Eventos!$G:$G,Eventos!$F:$F,$L812,Eventos!$D:$D,$C$2,Eventos!$B:$B,PANES_SEMANALES[[#ALL],[LUNES]])</f>
        <v>0</v>
      </c>
      <c r="N812" s="59">
        <f>SUMIFS(Eventos!$G:$G,Eventos!$F:$F,$L812,Eventos!$D:$D,$C$2,Eventos!$B:$B,PANES_SEMANALES[[#ALL],[MARTES]])</f>
        <v>0</v>
      </c>
      <c r="O812" s="59">
        <f>SUMIFS(Eventos!$G:$G,Eventos!$F:$F,$L812,Eventos!$D:$D,$C$2,Eventos!$B:$B,PANES_SEMANALES[[#ALL],[MIÉRCOLES]])</f>
        <v>0</v>
      </c>
      <c r="P812" s="59">
        <f>SUMIFS(Eventos!$G:$G,Eventos!$F:$F,$L812,Eventos!$D:$D,$C$2,Eventos!$B:$B,PANES_SEMANALES[[#ALL],[JUEVES]])</f>
        <v>0</v>
      </c>
      <c r="Q812" s="59">
        <f>IF(P812&lt;&gt;"",SUMIFS(Eventos!$G:$G,Eventos!$B:$B,Q$2,Eventos!$D:$D,$C$2,Eventos!$F:$F,$L812),"")</f>
        <v>0</v>
      </c>
      <c r="R812" s="59">
        <f>SUMIFS(Eventos!$G:$G,Eventos!$F:$F,$L812,Eventos!$D:$D,$C$2,Eventos!$B:$B,PANES_SEMANALES[[#ALL],[SÁBADO]])</f>
        <v>0</v>
      </c>
      <c r="S812" s="59">
        <f>SUMIFS(Eventos!$G:$G,Eventos!$F:$F,$L812,Eventos!$D:$D,$C$2,Eventos!$B:$B,PANES_SEMANALES[[#ALL],[DOMINGO]])</f>
        <v>0</v>
      </c>
      <c r="T812" s="59">
        <f t="shared" si="1"/>
        <v>0</v>
      </c>
    </row>
    <row r="813" ht="22.5" customHeight="1">
      <c r="M813" s="59">
        <f>SUMIFS(Eventos!$G:$G,Eventos!$F:$F,$L813,Eventos!$D:$D,$C$2,Eventos!$B:$B,PANES_SEMANALES[[#ALL],[LUNES]])</f>
        <v>0</v>
      </c>
      <c r="N813" s="59">
        <f>SUMIFS(Eventos!$G:$G,Eventos!$F:$F,$L813,Eventos!$D:$D,$C$2,Eventos!$B:$B,PANES_SEMANALES[[#ALL],[MARTES]])</f>
        <v>0</v>
      </c>
      <c r="O813" s="59">
        <f>SUMIFS(Eventos!$G:$G,Eventos!$F:$F,$L813,Eventos!$D:$D,$C$2,Eventos!$B:$B,PANES_SEMANALES[[#ALL],[MIÉRCOLES]])</f>
        <v>0</v>
      </c>
      <c r="P813" s="59">
        <f>SUMIFS(Eventos!$G:$G,Eventos!$F:$F,$L813,Eventos!$D:$D,$C$2,Eventos!$B:$B,PANES_SEMANALES[[#ALL],[JUEVES]])</f>
        <v>0</v>
      </c>
      <c r="Q813" s="59">
        <f>IF(P813&lt;&gt;"",SUMIFS(Eventos!$G:$G,Eventos!$B:$B,Q$2,Eventos!$D:$D,$C$2,Eventos!$F:$F,$L813),"")</f>
        <v>0</v>
      </c>
      <c r="R813" s="59">
        <f>SUMIFS(Eventos!$G:$G,Eventos!$F:$F,$L813,Eventos!$D:$D,$C$2,Eventos!$B:$B,PANES_SEMANALES[[#ALL],[SÁBADO]])</f>
        <v>0</v>
      </c>
      <c r="S813" s="59">
        <f>SUMIFS(Eventos!$G:$G,Eventos!$F:$F,$L813,Eventos!$D:$D,$C$2,Eventos!$B:$B,PANES_SEMANALES[[#ALL],[DOMINGO]])</f>
        <v>0</v>
      </c>
      <c r="T813" s="59">
        <f t="shared" si="1"/>
        <v>0</v>
      </c>
    </row>
    <row r="814" ht="22.5" customHeight="1">
      <c r="M814" s="59">
        <f>SUMIFS(Eventos!$G:$G,Eventos!$F:$F,$L814,Eventos!$D:$D,$C$2,Eventos!$B:$B,PANES_SEMANALES[[#ALL],[LUNES]])</f>
        <v>0</v>
      </c>
      <c r="N814" s="59">
        <f>SUMIFS(Eventos!$G:$G,Eventos!$F:$F,$L814,Eventos!$D:$D,$C$2,Eventos!$B:$B,PANES_SEMANALES[[#ALL],[MARTES]])</f>
        <v>0</v>
      </c>
      <c r="O814" s="59">
        <f>SUMIFS(Eventos!$G:$G,Eventos!$F:$F,$L814,Eventos!$D:$D,$C$2,Eventos!$B:$B,PANES_SEMANALES[[#ALL],[MIÉRCOLES]])</f>
        <v>0</v>
      </c>
      <c r="P814" s="59">
        <f>SUMIFS(Eventos!$G:$G,Eventos!$F:$F,$L814,Eventos!$D:$D,$C$2,Eventos!$B:$B,PANES_SEMANALES[[#ALL],[JUEVES]])</f>
        <v>0</v>
      </c>
      <c r="Q814" s="59">
        <f>IF(P814&lt;&gt;"",SUMIFS(Eventos!$G:$G,Eventos!$B:$B,Q$2,Eventos!$D:$D,$C$2,Eventos!$F:$F,$L814),"")</f>
        <v>0</v>
      </c>
      <c r="R814" s="59">
        <f>SUMIFS(Eventos!$G:$G,Eventos!$F:$F,$L814,Eventos!$D:$D,$C$2,Eventos!$B:$B,PANES_SEMANALES[[#ALL],[SÁBADO]])</f>
        <v>0</v>
      </c>
      <c r="S814" s="59">
        <f>SUMIFS(Eventos!$G:$G,Eventos!$F:$F,$L814,Eventos!$D:$D,$C$2,Eventos!$B:$B,PANES_SEMANALES[[#ALL],[DOMINGO]])</f>
        <v>0</v>
      </c>
      <c r="T814" s="59">
        <f t="shared" si="1"/>
        <v>0</v>
      </c>
    </row>
    <row r="815" ht="22.5" customHeight="1">
      <c r="M815" s="59">
        <f>SUMIFS(Eventos!$G:$G,Eventos!$F:$F,$L815,Eventos!$D:$D,$C$2,Eventos!$B:$B,PANES_SEMANALES[[#ALL],[LUNES]])</f>
        <v>0</v>
      </c>
      <c r="N815" s="59">
        <f>SUMIFS(Eventos!$G:$G,Eventos!$F:$F,$L815,Eventos!$D:$D,$C$2,Eventos!$B:$B,PANES_SEMANALES[[#ALL],[MARTES]])</f>
        <v>0</v>
      </c>
      <c r="O815" s="59">
        <f>SUMIFS(Eventos!$G:$G,Eventos!$F:$F,$L815,Eventos!$D:$D,$C$2,Eventos!$B:$B,PANES_SEMANALES[[#ALL],[MIÉRCOLES]])</f>
        <v>0</v>
      </c>
      <c r="P815" s="59">
        <f>SUMIFS(Eventos!$G:$G,Eventos!$F:$F,$L815,Eventos!$D:$D,$C$2,Eventos!$B:$B,PANES_SEMANALES[[#ALL],[JUEVES]])</f>
        <v>0</v>
      </c>
      <c r="Q815" s="59">
        <f>IF(P815&lt;&gt;"",SUMIFS(Eventos!$G:$G,Eventos!$B:$B,Q$2,Eventos!$D:$D,$C$2,Eventos!$F:$F,$L815),"")</f>
        <v>0</v>
      </c>
      <c r="R815" s="59">
        <f>SUMIFS(Eventos!$G:$G,Eventos!$F:$F,$L815,Eventos!$D:$D,$C$2,Eventos!$B:$B,PANES_SEMANALES[[#ALL],[SÁBADO]])</f>
        <v>0</v>
      </c>
      <c r="S815" s="59">
        <f>SUMIFS(Eventos!$G:$G,Eventos!$F:$F,$L815,Eventos!$D:$D,$C$2,Eventos!$B:$B,PANES_SEMANALES[[#ALL],[DOMINGO]])</f>
        <v>0</v>
      </c>
      <c r="T815" s="59">
        <f t="shared" si="1"/>
        <v>0</v>
      </c>
    </row>
    <row r="816" ht="22.5" customHeight="1">
      <c r="M816" s="59">
        <f>SUMIFS(Eventos!$G:$G,Eventos!$F:$F,$L816,Eventos!$D:$D,$C$2,Eventos!$B:$B,PANES_SEMANALES[[#ALL],[LUNES]])</f>
        <v>0</v>
      </c>
      <c r="N816" s="59">
        <f>SUMIFS(Eventos!$G:$G,Eventos!$F:$F,$L816,Eventos!$D:$D,$C$2,Eventos!$B:$B,PANES_SEMANALES[[#ALL],[MARTES]])</f>
        <v>0</v>
      </c>
      <c r="O816" s="59">
        <f>SUMIFS(Eventos!$G:$G,Eventos!$F:$F,$L816,Eventos!$D:$D,$C$2,Eventos!$B:$B,PANES_SEMANALES[[#ALL],[MIÉRCOLES]])</f>
        <v>0</v>
      </c>
      <c r="P816" s="59">
        <f>SUMIFS(Eventos!$G:$G,Eventos!$F:$F,$L816,Eventos!$D:$D,$C$2,Eventos!$B:$B,PANES_SEMANALES[[#ALL],[JUEVES]])</f>
        <v>0</v>
      </c>
      <c r="Q816" s="59">
        <f>IF(P816&lt;&gt;"",SUMIFS(Eventos!$G:$G,Eventos!$B:$B,Q$2,Eventos!$D:$D,$C$2,Eventos!$F:$F,$L816),"")</f>
        <v>0</v>
      </c>
      <c r="R816" s="59">
        <f>SUMIFS(Eventos!$G:$G,Eventos!$F:$F,$L816,Eventos!$D:$D,$C$2,Eventos!$B:$B,PANES_SEMANALES[[#ALL],[SÁBADO]])</f>
        <v>0</v>
      </c>
      <c r="S816" s="59">
        <f>SUMIFS(Eventos!$G:$G,Eventos!$F:$F,$L816,Eventos!$D:$D,$C$2,Eventos!$B:$B,PANES_SEMANALES[[#ALL],[DOMINGO]])</f>
        <v>0</v>
      </c>
      <c r="T816" s="59">
        <f t="shared" si="1"/>
        <v>0</v>
      </c>
    </row>
    <row r="817" ht="22.5" customHeight="1">
      <c r="M817" s="59">
        <f>SUMIFS(Eventos!$G:$G,Eventos!$F:$F,$L817,Eventos!$D:$D,$C$2,Eventos!$B:$B,PANES_SEMANALES[[#ALL],[LUNES]])</f>
        <v>0</v>
      </c>
      <c r="N817" s="59">
        <f>SUMIFS(Eventos!$G:$G,Eventos!$F:$F,$L817,Eventos!$D:$D,$C$2,Eventos!$B:$B,PANES_SEMANALES[[#ALL],[MARTES]])</f>
        <v>0</v>
      </c>
      <c r="O817" s="59">
        <f>SUMIFS(Eventos!$G:$G,Eventos!$F:$F,$L817,Eventos!$D:$D,$C$2,Eventos!$B:$B,PANES_SEMANALES[[#ALL],[MIÉRCOLES]])</f>
        <v>0</v>
      </c>
      <c r="P817" s="59">
        <f>SUMIFS(Eventos!$G:$G,Eventos!$F:$F,$L817,Eventos!$D:$D,$C$2,Eventos!$B:$B,PANES_SEMANALES[[#ALL],[JUEVES]])</f>
        <v>0</v>
      </c>
      <c r="Q817" s="59">
        <f>IF(P817&lt;&gt;"",SUMIFS(Eventos!$G:$G,Eventos!$B:$B,Q$2,Eventos!$D:$D,$C$2,Eventos!$F:$F,$L817),"")</f>
        <v>0</v>
      </c>
      <c r="R817" s="59">
        <f>SUMIFS(Eventos!$G:$G,Eventos!$F:$F,$L817,Eventos!$D:$D,$C$2,Eventos!$B:$B,PANES_SEMANALES[[#ALL],[SÁBADO]])</f>
        <v>0</v>
      </c>
      <c r="S817" s="59">
        <f>SUMIFS(Eventos!$G:$G,Eventos!$F:$F,$L817,Eventos!$D:$D,$C$2,Eventos!$B:$B,PANES_SEMANALES[[#ALL],[DOMINGO]])</f>
        <v>0</v>
      </c>
      <c r="T817" s="59">
        <f t="shared" si="1"/>
        <v>0</v>
      </c>
    </row>
    <row r="818" ht="22.5" customHeight="1">
      <c r="M818" s="59">
        <f>SUMIFS(Eventos!$G:$G,Eventos!$F:$F,$L818,Eventos!$D:$D,$C$2,Eventos!$B:$B,PANES_SEMANALES[[#ALL],[LUNES]])</f>
        <v>0</v>
      </c>
      <c r="N818" s="59">
        <f>SUMIFS(Eventos!$G:$G,Eventos!$F:$F,$L818,Eventos!$D:$D,$C$2,Eventos!$B:$B,PANES_SEMANALES[[#ALL],[MARTES]])</f>
        <v>0</v>
      </c>
      <c r="O818" s="59">
        <f>SUMIFS(Eventos!$G:$G,Eventos!$F:$F,$L818,Eventos!$D:$D,$C$2,Eventos!$B:$B,PANES_SEMANALES[[#ALL],[MIÉRCOLES]])</f>
        <v>0</v>
      </c>
      <c r="P818" s="59">
        <f>SUMIFS(Eventos!$G:$G,Eventos!$F:$F,$L818,Eventos!$D:$D,$C$2,Eventos!$B:$B,PANES_SEMANALES[[#ALL],[JUEVES]])</f>
        <v>0</v>
      </c>
      <c r="Q818" s="59">
        <f>IF(P818&lt;&gt;"",SUMIFS(Eventos!$G:$G,Eventos!$B:$B,Q$2,Eventos!$D:$D,$C$2,Eventos!$F:$F,$L818),"")</f>
        <v>0</v>
      </c>
      <c r="R818" s="59">
        <f>SUMIFS(Eventos!$G:$G,Eventos!$F:$F,$L818,Eventos!$D:$D,$C$2,Eventos!$B:$B,PANES_SEMANALES[[#ALL],[SÁBADO]])</f>
        <v>0</v>
      </c>
      <c r="S818" s="59">
        <f>SUMIFS(Eventos!$G:$G,Eventos!$F:$F,$L818,Eventos!$D:$D,$C$2,Eventos!$B:$B,PANES_SEMANALES[[#ALL],[DOMINGO]])</f>
        <v>0</v>
      </c>
      <c r="T818" s="59">
        <f t="shared" si="1"/>
        <v>0</v>
      </c>
    </row>
    <row r="819" ht="22.5" customHeight="1">
      <c r="M819" s="59">
        <f>SUMIFS(Eventos!$G:$G,Eventos!$F:$F,$L819,Eventos!$D:$D,$C$2,Eventos!$B:$B,PANES_SEMANALES[[#ALL],[LUNES]])</f>
        <v>0</v>
      </c>
      <c r="N819" s="59">
        <f>SUMIFS(Eventos!$G:$G,Eventos!$F:$F,$L819,Eventos!$D:$D,$C$2,Eventos!$B:$B,PANES_SEMANALES[[#ALL],[MARTES]])</f>
        <v>0</v>
      </c>
      <c r="O819" s="59">
        <f>SUMIFS(Eventos!$G:$G,Eventos!$F:$F,$L819,Eventos!$D:$D,$C$2,Eventos!$B:$B,PANES_SEMANALES[[#ALL],[MIÉRCOLES]])</f>
        <v>0</v>
      </c>
      <c r="P819" s="59">
        <f>SUMIFS(Eventos!$G:$G,Eventos!$F:$F,$L819,Eventos!$D:$D,$C$2,Eventos!$B:$B,PANES_SEMANALES[[#ALL],[JUEVES]])</f>
        <v>0</v>
      </c>
      <c r="Q819" s="59">
        <f>IF(P819&lt;&gt;"",SUMIFS(Eventos!$G:$G,Eventos!$B:$B,Q$2,Eventos!$D:$D,$C$2,Eventos!$F:$F,$L819),"")</f>
        <v>0</v>
      </c>
      <c r="R819" s="59">
        <f>SUMIFS(Eventos!$G:$G,Eventos!$F:$F,$L819,Eventos!$D:$D,$C$2,Eventos!$B:$B,PANES_SEMANALES[[#ALL],[SÁBADO]])</f>
        <v>0</v>
      </c>
      <c r="S819" s="59">
        <f>SUMIFS(Eventos!$G:$G,Eventos!$F:$F,$L819,Eventos!$D:$D,$C$2,Eventos!$B:$B,PANES_SEMANALES[[#ALL],[DOMINGO]])</f>
        <v>0</v>
      </c>
      <c r="T819" s="59">
        <f t="shared" si="1"/>
        <v>0</v>
      </c>
    </row>
    <row r="820" ht="22.5" customHeight="1">
      <c r="M820" s="59">
        <f>SUMIFS(Eventos!$G:$G,Eventos!$F:$F,$L820,Eventos!$D:$D,$C$2,Eventos!$B:$B,PANES_SEMANALES[[#ALL],[LUNES]])</f>
        <v>0</v>
      </c>
      <c r="N820" s="59">
        <f>SUMIFS(Eventos!$G:$G,Eventos!$F:$F,$L820,Eventos!$D:$D,$C$2,Eventos!$B:$B,PANES_SEMANALES[[#ALL],[MARTES]])</f>
        <v>0</v>
      </c>
      <c r="O820" s="59">
        <f>SUMIFS(Eventos!$G:$G,Eventos!$F:$F,$L820,Eventos!$D:$D,$C$2,Eventos!$B:$B,PANES_SEMANALES[[#ALL],[MIÉRCOLES]])</f>
        <v>0</v>
      </c>
      <c r="P820" s="59">
        <f>SUMIFS(Eventos!$G:$G,Eventos!$F:$F,$L820,Eventos!$D:$D,$C$2,Eventos!$B:$B,PANES_SEMANALES[[#ALL],[JUEVES]])</f>
        <v>0</v>
      </c>
      <c r="Q820" s="59">
        <f>IF(P820&lt;&gt;"",SUMIFS(Eventos!$G:$G,Eventos!$B:$B,Q$2,Eventos!$D:$D,$C$2,Eventos!$F:$F,$L820),"")</f>
        <v>0</v>
      </c>
      <c r="R820" s="59">
        <f>SUMIFS(Eventos!$G:$G,Eventos!$F:$F,$L820,Eventos!$D:$D,$C$2,Eventos!$B:$B,PANES_SEMANALES[[#ALL],[SÁBADO]])</f>
        <v>0</v>
      </c>
      <c r="S820" s="59">
        <f>SUMIFS(Eventos!$G:$G,Eventos!$F:$F,$L820,Eventos!$D:$D,$C$2,Eventos!$B:$B,PANES_SEMANALES[[#ALL],[DOMINGO]])</f>
        <v>0</v>
      </c>
      <c r="T820" s="59">
        <f t="shared" si="1"/>
        <v>0</v>
      </c>
    </row>
    <row r="821" ht="22.5" customHeight="1">
      <c r="M821" s="59">
        <f>SUMIFS(Eventos!$G:$G,Eventos!$F:$F,$L821,Eventos!$D:$D,$C$2,Eventos!$B:$B,PANES_SEMANALES[[#ALL],[LUNES]])</f>
        <v>0</v>
      </c>
      <c r="N821" s="59">
        <f>SUMIFS(Eventos!$G:$G,Eventos!$F:$F,$L821,Eventos!$D:$D,$C$2,Eventos!$B:$B,PANES_SEMANALES[[#ALL],[MARTES]])</f>
        <v>0</v>
      </c>
      <c r="O821" s="59">
        <f>SUMIFS(Eventos!$G:$G,Eventos!$F:$F,$L821,Eventos!$D:$D,$C$2,Eventos!$B:$B,PANES_SEMANALES[[#ALL],[MIÉRCOLES]])</f>
        <v>0</v>
      </c>
      <c r="P821" s="59">
        <f>SUMIFS(Eventos!$G:$G,Eventos!$F:$F,$L821,Eventos!$D:$D,$C$2,Eventos!$B:$B,PANES_SEMANALES[[#ALL],[JUEVES]])</f>
        <v>0</v>
      </c>
      <c r="Q821" s="59">
        <f>IF(P821&lt;&gt;"",SUMIFS(Eventos!$G:$G,Eventos!$B:$B,Q$2,Eventos!$D:$D,$C$2,Eventos!$F:$F,$L821),"")</f>
        <v>0</v>
      </c>
      <c r="R821" s="59">
        <f>SUMIFS(Eventos!$G:$G,Eventos!$F:$F,$L821,Eventos!$D:$D,$C$2,Eventos!$B:$B,PANES_SEMANALES[[#ALL],[SÁBADO]])</f>
        <v>0</v>
      </c>
      <c r="S821" s="59">
        <f>SUMIFS(Eventos!$G:$G,Eventos!$F:$F,$L821,Eventos!$D:$D,$C$2,Eventos!$B:$B,PANES_SEMANALES[[#ALL],[DOMINGO]])</f>
        <v>0</v>
      </c>
      <c r="T821" s="59">
        <f t="shared" si="1"/>
        <v>0</v>
      </c>
    </row>
    <row r="822" ht="22.5" customHeight="1">
      <c r="M822" s="59">
        <f>SUMIFS(Eventos!$G:$G,Eventos!$F:$F,$L822,Eventos!$D:$D,$C$2,Eventos!$B:$B,PANES_SEMANALES[[#ALL],[LUNES]])</f>
        <v>0</v>
      </c>
      <c r="N822" s="59">
        <f>SUMIFS(Eventos!$G:$G,Eventos!$F:$F,$L822,Eventos!$D:$D,$C$2,Eventos!$B:$B,PANES_SEMANALES[[#ALL],[MARTES]])</f>
        <v>0</v>
      </c>
      <c r="O822" s="59">
        <f>SUMIFS(Eventos!$G:$G,Eventos!$F:$F,$L822,Eventos!$D:$D,$C$2,Eventos!$B:$B,PANES_SEMANALES[[#ALL],[MIÉRCOLES]])</f>
        <v>0</v>
      </c>
      <c r="P822" s="59">
        <f>SUMIFS(Eventos!$G:$G,Eventos!$F:$F,$L822,Eventos!$D:$D,$C$2,Eventos!$B:$B,PANES_SEMANALES[[#ALL],[JUEVES]])</f>
        <v>0</v>
      </c>
      <c r="Q822" s="59">
        <f>IF(P822&lt;&gt;"",SUMIFS(Eventos!$G:$G,Eventos!$B:$B,Q$2,Eventos!$D:$D,$C$2,Eventos!$F:$F,$L822),"")</f>
        <v>0</v>
      </c>
      <c r="R822" s="59">
        <f>SUMIFS(Eventos!$G:$G,Eventos!$F:$F,$L822,Eventos!$D:$D,$C$2,Eventos!$B:$B,PANES_SEMANALES[[#ALL],[SÁBADO]])</f>
        <v>0</v>
      </c>
      <c r="S822" s="59">
        <f>SUMIFS(Eventos!$G:$G,Eventos!$F:$F,$L822,Eventos!$D:$D,$C$2,Eventos!$B:$B,PANES_SEMANALES[[#ALL],[DOMINGO]])</f>
        <v>0</v>
      </c>
      <c r="T822" s="59">
        <f t="shared" si="1"/>
        <v>0</v>
      </c>
    </row>
    <row r="823" ht="22.5" customHeight="1">
      <c r="M823" s="59">
        <f>SUMIFS(Eventos!$G:$G,Eventos!$F:$F,$L823,Eventos!$D:$D,$C$2,Eventos!$B:$B,PANES_SEMANALES[[#ALL],[LUNES]])</f>
        <v>0</v>
      </c>
      <c r="N823" s="59">
        <f>SUMIFS(Eventos!$G:$G,Eventos!$F:$F,$L823,Eventos!$D:$D,$C$2,Eventos!$B:$B,PANES_SEMANALES[[#ALL],[MARTES]])</f>
        <v>0</v>
      </c>
      <c r="O823" s="59">
        <f>SUMIFS(Eventos!$G:$G,Eventos!$F:$F,$L823,Eventos!$D:$D,$C$2,Eventos!$B:$B,PANES_SEMANALES[[#ALL],[MIÉRCOLES]])</f>
        <v>0</v>
      </c>
      <c r="P823" s="59">
        <f>SUMIFS(Eventos!$G:$G,Eventos!$F:$F,$L823,Eventos!$D:$D,$C$2,Eventos!$B:$B,PANES_SEMANALES[[#ALL],[JUEVES]])</f>
        <v>0</v>
      </c>
      <c r="Q823" s="59">
        <f>IF(P823&lt;&gt;"",SUMIFS(Eventos!$G:$G,Eventos!$B:$B,Q$2,Eventos!$D:$D,$C$2,Eventos!$F:$F,$L823),"")</f>
        <v>0</v>
      </c>
      <c r="R823" s="59">
        <f>SUMIFS(Eventos!$G:$G,Eventos!$F:$F,$L823,Eventos!$D:$D,$C$2,Eventos!$B:$B,PANES_SEMANALES[[#ALL],[SÁBADO]])</f>
        <v>0</v>
      </c>
      <c r="S823" s="59">
        <f>SUMIFS(Eventos!$G:$G,Eventos!$F:$F,$L823,Eventos!$D:$D,$C$2,Eventos!$B:$B,PANES_SEMANALES[[#ALL],[DOMINGO]])</f>
        <v>0</v>
      </c>
      <c r="T823" s="59">
        <f t="shared" si="1"/>
        <v>0</v>
      </c>
    </row>
    <row r="824" ht="22.5" customHeight="1">
      <c r="M824" s="59">
        <f>SUMIFS(Eventos!$G:$G,Eventos!$F:$F,$L824,Eventos!$D:$D,$C$2,Eventos!$B:$B,PANES_SEMANALES[[#ALL],[LUNES]])</f>
        <v>0</v>
      </c>
      <c r="N824" s="59">
        <f>SUMIFS(Eventos!$G:$G,Eventos!$F:$F,$L824,Eventos!$D:$D,$C$2,Eventos!$B:$B,PANES_SEMANALES[[#ALL],[MARTES]])</f>
        <v>0</v>
      </c>
      <c r="O824" s="59">
        <f>SUMIFS(Eventos!$G:$G,Eventos!$F:$F,$L824,Eventos!$D:$D,$C$2,Eventos!$B:$B,PANES_SEMANALES[[#ALL],[MIÉRCOLES]])</f>
        <v>0</v>
      </c>
      <c r="P824" s="59">
        <f>SUMIFS(Eventos!$G:$G,Eventos!$F:$F,$L824,Eventos!$D:$D,$C$2,Eventos!$B:$B,PANES_SEMANALES[[#ALL],[JUEVES]])</f>
        <v>0</v>
      </c>
      <c r="Q824" s="59">
        <f>IF(P824&lt;&gt;"",SUMIFS(Eventos!$G:$G,Eventos!$B:$B,Q$2,Eventos!$D:$D,$C$2,Eventos!$F:$F,$L824),"")</f>
        <v>0</v>
      </c>
      <c r="R824" s="59">
        <f>SUMIFS(Eventos!$G:$G,Eventos!$F:$F,$L824,Eventos!$D:$D,$C$2,Eventos!$B:$B,PANES_SEMANALES[[#ALL],[SÁBADO]])</f>
        <v>0</v>
      </c>
      <c r="S824" s="59">
        <f>SUMIFS(Eventos!$G:$G,Eventos!$F:$F,$L824,Eventos!$D:$D,$C$2,Eventos!$B:$B,PANES_SEMANALES[[#ALL],[DOMINGO]])</f>
        <v>0</v>
      </c>
      <c r="T824" s="59">
        <f t="shared" si="1"/>
        <v>0</v>
      </c>
    </row>
    <row r="825" ht="22.5" customHeight="1">
      <c r="M825" s="59">
        <f>SUMIFS(Eventos!$G:$G,Eventos!$F:$F,$L825,Eventos!$D:$D,$C$2,Eventos!$B:$B,PANES_SEMANALES[[#ALL],[LUNES]])</f>
        <v>0</v>
      </c>
      <c r="N825" s="59">
        <f>SUMIFS(Eventos!$G:$G,Eventos!$F:$F,$L825,Eventos!$D:$D,$C$2,Eventos!$B:$B,PANES_SEMANALES[[#ALL],[MARTES]])</f>
        <v>0</v>
      </c>
      <c r="O825" s="59">
        <f>SUMIFS(Eventos!$G:$G,Eventos!$F:$F,$L825,Eventos!$D:$D,$C$2,Eventos!$B:$B,PANES_SEMANALES[[#ALL],[MIÉRCOLES]])</f>
        <v>0</v>
      </c>
      <c r="P825" s="59">
        <f>SUMIFS(Eventos!$G:$G,Eventos!$F:$F,$L825,Eventos!$D:$D,$C$2,Eventos!$B:$B,PANES_SEMANALES[[#ALL],[JUEVES]])</f>
        <v>0</v>
      </c>
      <c r="Q825" s="59">
        <f>IF(P825&lt;&gt;"",SUMIFS(Eventos!$G:$G,Eventos!$B:$B,Q$2,Eventos!$D:$D,$C$2,Eventos!$F:$F,$L825),"")</f>
        <v>0</v>
      </c>
      <c r="R825" s="59">
        <f>SUMIFS(Eventos!$G:$G,Eventos!$F:$F,$L825,Eventos!$D:$D,$C$2,Eventos!$B:$B,PANES_SEMANALES[[#ALL],[SÁBADO]])</f>
        <v>0</v>
      </c>
      <c r="S825" s="59">
        <f>SUMIFS(Eventos!$G:$G,Eventos!$F:$F,$L825,Eventos!$D:$D,$C$2,Eventos!$B:$B,PANES_SEMANALES[[#ALL],[DOMINGO]])</f>
        <v>0</v>
      </c>
      <c r="T825" s="59">
        <f t="shared" si="1"/>
        <v>0</v>
      </c>
    </row>
    <row r="826" ht="22.5" customHeight="1">
      <c r="M826" s="59">
        <f>SUMIFS(Eventos!$G:$G,Eventos!$F:$F,$L826,Eventos!$D:$D,$C$2,Eventos!$B:$B,PANES_SEMANALES[[#ALL],[LUNES]])</f>
        <v>0</v>
      </c>
      <c r="N826" s="59">
        <f>SUMIFS(Eventos!$G:$G,Eventos!$F:$F,$L826,Eventos!$D:$D,$C$2,Eventos!$B:$B,PANES_SEMANALES[[#ALL],[MARTES]])</f>
        <v>0</v>
      </c>
      <c r="O826" s="59">
        <f>SUMIFS(Eventos!$G:$G,Eventos!$F:$F,$L826,Eventos!$D:$D,$C$2,Eventos!$B:$B,PANES_SEMANALES[[#ALL],[MIÉRCOLES]])</f>
        <v>0</v>
      </c>
      <c r="P826" s="59">
        <f>SUMIFS(Eventos!$G:$G,Eventos!$F:$F,$L826,Eventos!$D:$D,$C$2,Eventos!$B:$B,PANES_SEMANALES[[#ALL],[JUEVES]])</f>
        <v>0</v>
      </c>
      <c r="Q826" s="59">
        <f>IF(P826&lt;&gt;"",SUMIFS(Eventos!$G:$G,Eventos!$B:$B,Q$2,Eventos!$D:$D,$C$2,Eventos!$F:$F,$L826),"")</f>
        <v>0</v>
      </c>
      <c r="R826" s="59">
        <f>SUMIFS(Eventos!$G:$G,Eventos!$F:$F,$L826,Eventos!$D:$D,$C$2,Eventos!$B:$B,PANES_SEMANALES[[#ALL],[SÁBADO]])</f>
        <v>0</v>
      </c>
      <c r="S826" s="59">
        <f>SUMIFS(Eventos!$G:$G,Eventos!$F:$F,$L826,Eventos!$D:$D,$C$2,Eventos!$B:$B,PANES_SEMANALES[[#ALL],[DOMINGO]])</f>
        <v>0</v>
      </c>
      <c r="T826" s="59">
        <f t="shared" si="1"/>
        <v>0</v>
      </c>
    </row>
    <row r="827" ht="22.5" customHeight="1">
      <c r="M827" s="59">
        <f>SUMIFS(Eventos!$G:$G,Eventos!$F:$F,$L827,Eventos!$D:$D,$C$2,Eventos!$B:$B,PANES_SEMANALES[[#ALL],[LUNES]])</f>
        <v>0</v>
      </c>
      <c r="N827" s="59">
        <f>SUMIFS(Eventos!$G:$G,Eventos!$F:$F,$L827,Eventos!$D:$D,$C$2,Eventos!$B:$B,PANES_SEMANALES[[#ALL],[MARTES]])</f>
        <v>0</v>
      </c>
      <c r="O827" s="59">
        <f>SUMIFS(Eventos!$G:$G,Eventos!$F:$F,$L827,Eventos!$D:$D,$C$2,Eventos!$B:$B,PANES_SEMANALES[[#ALL],[MIÉRCOLES]])</f>
        <v>0</v>
      </c>
      <c r="P827" s="59">
        <f>SUMIFS(Eventos!$G:$G,Eventos!$F:$F,$L827,Eventos!$D:$D,$C$2,Eventos!$B:$B,PANES_SEMANALES[[#ALL],[JUEVES]])</f>
        <v>0</v>
      </c>
      <c r="Q827" s="59">
        <f>IF(P827&lt;&gt;"",SUMIFS(Eventos!$G:$G,Eventos!$B:$B,Q$2,Eventos!$D:$D,$C$2,Eventos!$F:$F,$L827),"")</f>
        <v>0</v>
      </c>
      <c r="R827" s="59">
        <f>SUMIFS(Eventos!$G:$G,Eventos!$F:$F,$L827,Eventos!$D:$D,$C$2,Eventos!$B:$B,PANES_SEMANALES[[#ALL],[SÁBADO]])</f>
        <v>0</v>
      </c>
      <c r="S827" s="59">
        <f>SUMIFS(Eventos!$G:$G,Eventos!$F:$F,$L827,Eventos!$D:$D,$C$2,Eventos!$B:$B,PANES_SEMANALES[[#ALL],[DOMINGO]])</f>
        <v>0</v>
      </c>
      <c r="T827" s="59">
        <f t="shared" si="1"/>
        <v>0</v>
      </c>
    </row>
    <row r="828" ht="22.5" customHeight="1">
      <c r="M828" s="59">
        <f>SUMIFS(Eventos!$G:$G,Eventos!$F:$F,$L828,Eventos!$D:$D,$C$2,Eventos!$B:$B,PANES_SEMANALES[[#ALL],[LUNES]])</f>
        <v>0</v>
      </c>
      <c r="N828" s="59">
        <f>SUMIFS(Eventos!$G:$G,Eventos!$F:$F,$L828,Eventos!$D:$D,$C$2,Eventos!$B:$B,PANES_SEMANALES[[#ALL],[MARTES]])</f>
        <v>0</v>
      </c>
      <c r="O828" s="59">
        <f>SUMIFS(Eventos!$G:$G,Eventos!$F:$F,$L828,Eventos!$D:$D,$C$2,Eventos!$B:$B,PANES_SEMANALES[[#ALL],[MIÉRCOLES]])</f>
        <v>0</v>
      </c>
      <c r="P828" s="59">
        <f>SUMIFS(Eventos!$G:$G,Eventos!$F:$F,$L828,Eventos!$D:$D,$C$2,Eventos!$B:$B,PANES_SEMANALES[[#ALL],[JUEVES]])</f>
        <v>0</v>
      </c>
      <c r="Q828" s="59">
        <f>IF(P828&lt;&gt;"",SUMIFS(Eventos!$G:$G,Eventos!$B:$B,Q$2,Eventos!$D:$D,$C$2,Eventos!$F:$F,$L828),"")</f>
        <v>0</v>
      </c>
      <c r="R828" s="59">
        <f>SUMIFS(Eventos!$G:$G,Eventos!$F:$F,$L828,Eventos!$D:$D,$C$2,Eventos!$B:$B,PANES_SEMANALES[[#ALL],[SÁBADO]])</f>
        <v>0</v>
      </c>
      <c r="S828" s="59">
        <f>SUMIFS(Eventos!$G:$G,Eventos!$F:$F,$L828,Eventos!$D:$D,$C$2,Eventos!$B:$B,PANES_SEMANALES[[#ALL],[DOMINGO]])</f>
        <v>0</v>
      </c>
      <c r="T828" s="59">
        <f t="shared" si="1"/>
        <v>0</v>
      </c>
    </row>
    <row r="829" ht="22.5" customHeight="1">
      <c r="M829" s="59">
        <f>SUMIFS(Eventos!$G:$G,Eventos!$F:$F,$L829,Eventos!$D:$D,$C$2,Eventos!$B:$B,PANES_SEMANALES[[#ALL],[LUNES]])</f>
        <v>0</v>
      </c>
      <c r="N829" s="59">
        <f>SUMIFS(Eventos!$G:$G,Eventos!$F:$F,$L829,Eventos!$D:$D,$C$2,Eventos!$B:$B,PANES_SEMANALES[[#ALL],[MARTES]])</f>
        <v>0</v>
      </c>
      <c r="O829" s="59">
        <f>SUMIFS(Eventos!$G:$G,Eventos!$F:$F,$L829,Eventos!$D:$D,$C$2,Eventos!$B:$B,PANES_SEMANALES[[#ALL],[MIÉRCOLES]])</f>
        <v>0</v>
      </c>
      <c r="P829" s="59">
        <f>SUMIFS(Eventos!$G:$G,Eventos!$F:$F,$L829,Eventos!$D:$D,$C$2,Eventos!$B:$B,PANES_SEMANALES[[#ALL],[JUEVES]])</f>
        <v>0</v>
      </c>
      <c r="Q829" s="59">
        <f>IF(P829&lt;&gt;"",SUMIFS(Eventos!$G:$G,Eventos!$B:$B,Q$2,Eventos!$D:$D,$C$2,Eventos!$F:$F,$L829),"")</f>
        <v>0</v>
      </c>
      <c r="R829" s="59">
        <f>SUMIFS(Eventos!$G:$G,Eventos!$F:$F,$L829,Eventos!$D:$D,$C$2,Eventos!$B:$B,PANES_SEMANALES[[#ALL],[SÁBADO]])</f>
        <v>0</v>
      </c>
      <c r="S829" s="59">
        <f>SUMIFS(Eventos!$G:$G,Eventos!$F:$F,$L829,Eventos!$D:$D,$C$2,Eventos!$B:$B,PANES_SEMANALES[[#ALL],[DOMINGO]])</f>
        <v>0</v>
      </c>
      <c r="T829" s="59">
        <f t="shared" si="1"/>
        <v>0</v>
      </c>
    </row>
    <row r="830" ht="22.5" customHeight="1">
      <c r="M830" s="59">
        <f>SUMIFS(Eventos!$G:$G,Eventos!$F:$F,$L830,Eventos!$D:$D,$C$2,Eventos!$B:$B,PANES_SEMANALES[[#ALL],[LUNES]])</f>
        <v>0</v>
      </c>
      <c r="N830" s="59">
        <f>SUMIFS(Eventos!$G:$G,Eventos!$F:$F,$L830,Eventos!$D:$D,$C$2,Eventos!$B:$B,PANES_SEMANALES[[#ALL],[MARTES]])</f>
        <v>0</v>
      </c>
      <c r="O830" s="59">
        <f>SUMIFS(Eventos!$G:$G,Eventos!$F:$F,$L830,Eventos!$D:$D,$C$2,Eventos!$B:$B,PANES_SEMANALES[[#ALL],[MIÉRCOLES]])</f>
        <v>0</v>
      </c>
      <c r="P830" s="59">
        <f>SUMIFS(Eventos!$G:$G,Eventos!$F:$F,$L830,Eventos!$D:$D,$C$2,Eventos!$B:$B,PANES_SEMANALES[[#ALL],[JUEVES]])</f>
        <v>0</v>
      </c>
      <c r="Q830" s="59">
        <f>IF(P830&lt;&gt;"",SUMIFS(Eventos!$G:$G,Eventos!$B:$B,Q$2,Eventos!$D:$D,$C$2,Eventos!$F:$F,$L830),"")</f>
        <v>0</v>
      </c>
      <c r="R830" s="59">
        <f>SUMIFS(Eventos!$G:$G,Eventos!$F:$F,$L830,Eventos!$D:$D,$C$2,Eventos!$B:$B,PANES_SEMANALES[[#ALL],[SÁBADO]])</f>
        <v>0</v>
      </c>
      <c r="S830" s="59">
        <f>SUMIFS(Eventos!$G:$G,Eventos!$F:$F,$L830,Eventos!$D:$D,$C$2,Eventos!$B:$B,PANES_SEMANALES[[#ALL],[DOMINGO]])</f>
        <v>0</v>
      </c>
      <c r="T830" s="59">
        <f t="shared" si="1"/>
        <v>0</v>
      </c>
    </row>
    <row r="831" ht="22.5" customHeight="1">
      <c r="M831" s="59">
        <f>SUMIFS(Eventos!$G:$G,Eventos!$F:$F,$L831,Eventos!$D:$D,$C$2,Eventos!$B:$B,PANES_SEMANALES[[#ALL],[LUNES]])</f>
        <v>0</v>
      </c>
      <c r="N831" s="59">
        <f>SUMIFS(Eventos!$G:$G,Eventos!$F:$F,$L831,Eventos!$D:$D,$C$2,Eventos!$B:$B,PANES_SEMANALES[[#ALL],[MARTES]])</f>
        <v>0</v>
      </c>
      <c r="O831" s="59">
        <f>SUMIFS(Eventos!$G:$G,Eventos!$F:$F,$L831,Eventos!$D:$D,$C$2,Eventos!$B:$B,PANES_SEMANALES[[#ALL],[MIÉRCOLES]])</f>
        <v>0</v>
      </c>
      <c r="P831" s="59">
        <f>SUMIFS(Eventos!$G:$G,Eventos!$F:$F,$L831,Eventos!$D:$D,$C$2,Eventos!$B:$B,PANES_SEMANALES[[#ALL],[JUEVES]])</f>
        <v>0</v>
      </c>
      <c r="Q831" s="59">
        <f>IF(P831&lt;&gt;"",SUMIFS(Eventos!$G:$G,Eventos!$B:$B,Q$2,Eventos!$D:$D,$C$2,Eventos!$F:$F,$L831),"")</f>
        <v>0</v>
      </c>
      <c r="R831" s="59">
        <f>SUMIFS(Eventos!$G:$G,Eventos!$F:$F,$L831,Eventos!$D:$D,$C$2,Eventos!$B:$B,PANES_SEMANALES[[#ALL],[SÁBADO]])</f>
        <v>0</v>
      </c>
      <c r="S831" s="59">
        <f>SUMIFS(Eventos!$G:$G,Eventos!$F:$F,$L831,Eventos!$D:$D,$C$2,Eventos!$B:$B,PANES_SEMANALES[[#ALL],[DOMINGO]])</f>
        <v>0</v>
      </c>
      <c r="T831" s="59">
        <f t="shared" si="1"/>
        <v>0</v>
      </c>
    </row>
    <row r="832" ht="22.5" customHeight="1">
      <c r="M832" s="59">
        <f>SUMIFS(Eventos!$G:$G,Eventos!$F:$F,$L832,Eventos!$D:$D,$C$2,Eventos!$B:$B,PANES_SEMANALES[[#ALL],[LUNES]])</f>
        <v>0</v>
      </c>
      <c r="N832" s="59">
        <f>SUMIFS(Eventos!$G:$G,Eventos!$F:$F,$L832,Eventos!$D:$D,$C$2,Eventos!$B:$B,PANES_SEMANALES[[#ALL],[MARTES]])</f>
        <v>0</v>
      </c>
      <c r="O832" s="59">
        <f>SUMIFS(Eventos!$G:$G,Eventos!$F:$F,$L832,Eventos!$D:$D,$C$2,Eventos!$B:$B,PANES_SEMANALES[[#ALL],[MIÉRCOLES]])</f>
        <v>0</v>
      </c>
      <c r="P832" s="59">
        <f>SUMIFS(Eventos!$G:$G,Eventos!$F:$F,$L832,Eventos!$D:$D,$C$2,Eventos!$B:$B,PANES_SEMANALES[[#ALL],[JUEVES]])</f>
        <v>0</v>
      </c>
      <c r="Q832" s="59">
        <f>IF(P832&lt;&gt;"",SUMIFS(Eventos!$G:$G,Eventos!$B:$B,Q$2,Eventos!$D:$D,$C$2,Eventos!$F:$F,$L832),"")</f>
        <v>0</v>
      </c>
      <c r="R832" s="59">
        <f>SUMIFS(Eventos!$G:$G,Eventos!$F:$F,$L832,Eventos!$D:$D,$C$2,Eventos!$B:$B,PANES_SEMANALES[[#ALL],[SÁBADO]])</f>
        <v>0</v>
      </c>
      <c r="S832" s="59">
        <f>SUMIFS(Eventos!$G:$G,Eventos!$F:$F,$L832,Eventos!$D:$D,$C$2,Eventos!$B:$B,PANES_SEMANALES[[#ALL],[DOMINGO]])</f>
        <v>0</v>
      </c>
      <c r="T832" s="59">
        <f t="shared" si="1"/>
        <v>0</v>
      </c>
    </row>
    <row r="833" ht="22.5" customHeight="1">
      <c r="M833" s="59">
        <f>SUMIFS(Eventos!$G:$G,Eventos!$F:$F,$L833,Eventos!$D:$D,$C$2,Eventos!$B:$B,PANES_SEMANALES[[#ALL],[LUNES]])</f>
        <v>0</v>
      </c>
      <c r="N833" s="59">
        <f>SUMIFS(Eventos!$G:$G,Eventos!$F:$F,$L833,Eventos!$D:$D,$C$2,Eventos!$B:$B,PANES_SEMANALES[[#ALL],[MARTES]])</f>
        <v>0</v>
      </c>
      <c r="O833" s="59">
        <f>SUMIFS(Eventos!$G:$G,Eventos!$F:$F,$L833,Eventos!$D:$D,$C$2,Eventos!$B:$B,PANES_SEMANALES[[#ALL],[MIÉRCOLES]])</f>
        <v>0</v>
      </c>
      <c r="P833" s="59">
        <f>SUMIFS(Eventos!$G:$G,Eventos!$F:$F,$L833,Eventos!$D:$D,$C$2,Eventos!$B:$B,PANES_SEMANALES[[#ALL],[JUEVES]])</f>
        <v>0</v>
      </c>
      <c r="Q833" s="59">
        <f>IF(P833&lt;&gt;"",SUMIFS(Eventos!$G:$G,Eventos!$B:$B,Q$2,Eventos!$D:$D,$C$2,Eventos!$F:$F,$L833),"")</f>
        <v>0</v>
      </c>
      <c r="R833" s="59">
        <f>SUMIFS(Eventos!$G:$G,Eventos!$F:$F,$L833,Eventos!$D:$D,$C$2,Eventos!$B:$B,PANES_SEMANALES[[#ALL],[SÁBADO]])</f>
        <v>0</v>
      </c>
      <c r="S833" s="59">
        <f>SUMIFS(Eventos!$G:$G,Eventos!$F:$F,$L833,Eventos!$D:$D,$C$2,Eventos!$B:$B,PANES_SEMANALES[[#ALL],[DOMINGO]])</f>
        <v>0</v>
      </c>
      <c r="T833" s="59">
        <f t="shared" si="1"/>
        <v>0</v>
      </c>
    </row>
    <row r="834" ht="22.5" customHeight="1">
      <c r="M834" s="59">
        <f>SUMIFS(Eventos!$G:$G,Eventos!$F:$F,$L834,Eventos!$D:$D,$C$2,Eventos!$B:$B,PANES_SEMANALES[[#ALL],[LUNES]])</f>
        <v>0</v>
      </c>
      <c r="N834" s="59">
        <f>SUMIFS(Eventos!$G:$G,Eventos!$F:$F,$L834,Eventos!$D:$D,$C$2,Eventos!$B:$B,PANES_SEMANALES[[#ALL],[MARTES]])</f>
        <v>0</v>
      </c>
      <c r="O834" s="59">
        <f>SUMIFS(Eventos!$G:$G,Eventos!$F:$F,$L834,Eventos!$D:$D,$C$2,Eventos!$B:$B,PANES_SEMANALES[[#ALL],[MIÉRCOLES]])</f>
        <v>0</v>
      </c>
      <c r="P834" s="59">
        <f>SUMIFS(Eventos!$G:$G,Eventos!$F:$F,$L834,Eventos!$D:$D,$C$2,Eventos!$B:$B,PANES_SEMANALES[[#ALL],[JUEVES]])</f>
        <v>0</v>
      </c>
      <c r="Q834" s="59">
        <f>IF(P834&lt;&gt;"",SUMIFS(Eventos!$G:$G,Eventos!$B:$B,Q$2,Eventos!$D:$D,$C$2,Eventos!$F:$F,$L834),"")</f>
        <v>0</v>
      </c>
      <c r="R834" s="59">
        <f>SUMIFS(Eventos!$G:$G,Eventos!$F:$F,$L834,Eventos!$D:$D,$C$2,Eventos!$B:$B,PANES_SEMANALES[[#ALL],[SÁBADO]])</f>
        <v>0</v>
      </c>
      <c r="S834" s="59">
        <f>SUMIFS(Eventos!$G:$G,Eventos!$F:$F,$L834,Eventos!$D:$D,$C$2,Eventos!$B:$B,PANES_SEMANALES[[#ALL],[DOMINGO]])</f>
        <v>0</v>
      </c>
      <c r="T834" s="59">
        <f t="shared" si="1"/>
        <v>0</v>
      </c>
    </row>
    <row r="835" ht="22.5" customHeight="1">
      <c r="M835" s="59">
        <f>SUMIFS(Eventos!$G:$G,Eventos!$F:$F,$L835,Eventos!$D:$D,$C$2,Eventos!$B:$B,PANES_SEMANALES[[#ALL],[LUNES]])</f>
        <v>0</v>
      </c>
      <c r="N835" s="59">
        <f>SUMIFS(Eventos!$G:$G,Eventos!$F:$F,$L835,Eventos!$D:$D,$C$2,Eventos!$B:$B,PANES_SEMANALES[[#ALL],[MARTES]])</f>
        <v>0</v>
      </c>
      <c r="O835" s="59">
        <f>SUMIFS(Eventos!$G:$G,Eventos!$F:$F,$L835,Eventos!$D:$D,$C$2,Eventos!$B:$B,PANES_SEMANALES[[#ALL],[MIÉRCOLES]])</f>
        <v>0</v>
      </c>
      <c r="P835" s="59">
        <f>SUMIFS(Eventos!$G:$G,Eventos!$F:$F,$L835,Eventos!$D:$D,$C$2,Eventos!$B:$B,PANES_SEMANALES[[#ALL],[JUEVES]])</f>
        <v>0</v>
      </c>
      <c r="Q835" s="59">
        <f>IF(P835&lt;&gt;"",SUMIFS(Eventos!$G:$G,Eventos!$B:$B,Q$2,Eventos!$D:$D,$C$2,Eventos!$F:$F,$L835),"")</f>
        <v>0</v>
      </c>
      <c r="R835" s="59">
        <f>SUMIFS(Eventos!$G:$G,Eventos!$F:$F,$L835,Eventos!$D:$D,$C$2,Eventos!$B:$B,PANES_SEMANALES[[#ALL],[SÁBADO]])</f>
        <v>0</v>
      </c>
      <c r="S835" s="59">
        <f>SUMIFS(Eventos!$G:$G,Eventos!$F:$F,$L835,Eventos!$D:$D,$C$2,Eventos!$B:$B,PANES_SEMANALES[[#ALL],[DOMINGO]])</f>
        <v>0</v>
      </c>
      <c r="T835" s="59">
        <f t="shared" si="1"/>
        <v>0</v>
      </c>
    </row>
    <row r="836" ht="22.5" customHeight="1">
      <c r="M836" s="59">
        <f>SUMIFS(Eventos!$G:$G,Eventos!$F:$F,$L836,Eventos!$D:$D,$C$2,Eventos!$B:$B,PANES_SEMANALES[[#ALL],[LUNES]])</f>
        <v>0</v>
      </c>
      <c r="N836" s="59">
        <f>SUMIFS(Eventos!$G:$G,Eventos!$F:$F,$L836,Eventos!$D:$D,$C$2,Eventos!$B:$B,PANES_SEMANALES[[#ALL],[MARTES]])</f>
        <v>0</v>
      </c>
      <c r="O836" s="59">
        <f>SUMIFS(Eventos!$G:$G,Eventos!$F:$F,$L836,Eventos!$D:$D,$C$2,Eventos!$B:$B,PANES_SEMANALES[[#ALL],[MIÉRCOLES]])</f>
        <v>0</v>
      </c>
      <c r="P836" s="59">
        <f>SUMIFS(Eventos!$G:$G,Eventos!$F:$F,$L836,Eventos!$D:$D,$C$2,Eventos!$B:$B,PANES_SEMANALES[[#ALL],[JUEVES]])</f>
        <v>0</v>
      </c>
      <c r="Q836" s="59">
        <f>IF(P836&lt;&gt;"",SUMIFS(Eventos!$G:$G,Eventos!$B:$B,Q$2,Eventos!$D:$D,$C$2,Eventos!$F:$F,$L836),"")</f>
        <v>0</v>
      </c>
      <c r="R836" s="59">
        <f>SUMIFS(Eventos!$G:$G,Eventos!$F:$F,$L836,Eventos!$D:$D,$C$2,Eventos!$B:$B,PANES_SEMANALES[[#ALL],[SÁBADO]])</f>
        <v>0</v>
      </c>
      <c r="S836" s="59">
        <f>SUMIFS(Eventos!$G:$G,Eventos!$F:$F,$L836,Eventos!$D:$D,$C$2,Eventos!$B:$B,PANES_SEMANALES[[#ALL],[DOMINGO]])</f>
        <v>0</v>
      </c>
      <c r="T836" s="59">
        <f t="shared" si="1"/>
        <v>0</v>
      </c>
    </row>
    <row r="837" ht="22.5" customHeight="1">
      <c r="M837" s="59">
        <f>SUMIFS(Eventos!$G:$G,Eventos!$F:$F,$L837,Eventos!$D:$D,$C$2,Eventos!$B:$B,PANES_SEMANALES[[#ALL],[LUNES]])</f>
        <v>0</v>
      </c>
      <c r="N837" s="59">
        <f>SUMIFS(Eventos!$G:$G,Eventos!$F:$F,$L837,Eventos!$D:$D,$C$2,Eventos!$B:$B,PANES_SEMANALES[[#ALL],[MARTES]])</f>
        <v>0</v>
      </c>
      <c r="O837" s="59">
        <f>SUMIFS(Eventos!$G:$G,Eventos!$F:$F,$L837,Eventos!$D:$D,$C$2,Eventos!$B:$B,PANES_SEMANALES[[#ALL],[MIÉRCOLES]])</f>
        <v>0</v>
      </c>
      <c r="P837" s="59">
        <f>SUMIFS(Eventos!$G:$G,Eventos!$F:$F,$L837,Eventos!$D:$D,$C$2,Eventos!$B:$B,PANES_SEMANALES[[#ALL],[JUEVES]])</f>
        <v>0</v>
      </c>
      <c r="Q837" s="59">
        <f>IF(P837&lt;&gt;"",SUMIFS(Eventos!$G:$G,Eventos!$B:$B,Q$2,Eventos!$D:$D,$C$2,Eventos!$F:$F,$L837),"")</f>
        <v>0</v>
      </c>
      <c r="R837" s="59">
        <f>SUMIFS(Eventos!$G:$G,Eventos!$F:$F,$L837,Eventos!$D:$D,$C$2,Eventos!$B:$B,PANES_SEMANALES[[#ALL],[SÁBADO]])</f>
        <v>0</v>
      </c>
      <c r="S837" s="59">
        <f>SUMIFS(Eventos!$G:$G,Eventos!$F:$F,$L837,Eventos!$D:$D,$C$2,Eventos!$B:$B,PANES_SEMANALES[[#ALL],[DOMINGO]])</f>
        <v>0</v>
      </c>
      <c r="T837" s="59">
        <f t="shared" si="1"/>
        <v>0</v>
      </c>
    </row>
    <row r="838" ht="22.5" customHeight="1">
      <c r="M838" s="59">
        <f>SUMIFS(Eventos!$G:$G,Eventos!$F:$F,$L838,Eventos!$D:$D,$C$2,Eventos!$B:$B,PANES_SEMANALES[[#ALL],[LUNES]])</f>
        <v>0</v>
      </c>
      <c r="N838" s="59">
        <f>SUMIFS(Eventos!$G:$G,Eventos!$F:$F,$L838,Eventos!$D:$D,$C$2,Eventos!$B:$B,PANES_SEMANALES[[#ALL],[MARTES]])</f>
        <v>0</v>
      </c>
      <c r="O838" s="59">
        <f>SUMIFS(Eventos!$G:$G,Eventos!$F:$F,$L838,Eventos!$D:$D,$C$2,Eventos!$B:$B,PANES_SEMANALES[[#ALL],[MIÉRCOLES]])</f>
        <v>0</v>
      </c>
      <c r="P838" s="59">
        <f>SUMIFS(Eventos!$G:$G,Eventos!$F:$F,$L838,Eventos!$D:$D,$C$2,Eventos!$B:$B,PANES_SEMANALES[[#ALL],[JUEVES]])</f>
        <v>0</v>
      </c>
      <c r="Q838" s="59">
        <f>IF(P838&lt;&gt;"",SUMIFS(Eventos!$G:$G,Eventos!$B:$B,Q$2,Eventos!$D:$D,$C$2,Eventos!$F:$F,$L838),"")</f>
        <v>0</v>
      </c>
      <c r="R838" s="59">
        <f>SUMIFS(Eventos!$G:$G,Eventos!$F:$F,$L838,Eventos!$D:$D,$C$2,Eventos!$B:$B,PANES_SEMANALES[[#ALL],[SÁBADO]])</f>
        <v>0</v>
      </c>
      <c r="S838" s="59">
        <f>SUMIFS(Eventos!$G:$G,Eventos!$F:$F,$L838,Eventos!$D:$D,$C$2,Eventos!$B:$B,PANES_SEMANALES[[#ALL],[DOMINGO]])</f>
        <v>0</v>
      </c>
      <c r="T838" s="59">
        <f t="shared" si="1"/>
        <v>0</v>
      </c>
    </row>
    <row r="839" ht="22.5" customHeight="1">
      <c r="M839" s="59">
        <f>SUMIFS(Eventos!$G:$G,Eventos!$F:$F,$L839,Eventos!$D:$D,$C$2,Eventos!$B:$B,PANES_SEMANALES[[#ALL],[LUNES]])</f>
        <v>0</v>
      </c>
      <c r="N839" s="59">
        <f>SUMIFS(Eventos!$G:$G,Eventos!$F:$F,$L839,Eventos!$D:$D,$C$2,Eventos!$B:$B,PANES_SEMANALES[[#ALL],[MARTES]])</f>
        <v>0</v>
      </c>
      <c r="O839" s="59">
        <f>SUMIFS(Eventos!$G:$G,Eventos!$F:$F,$L839,Eventos!$D:$D,$C$2,Eventos!$B:$B,PANES_SEMANALES[[#ALL],[MIÉRCOLES]])</f>
        <v>0</v>
      </c>
      <c r="P839" s="59">
        <f>SUMIFS(Eventos!$G:$G,Eventos!$F:$F,$L839,Eventos!$D:$D,$C$2,Eventos!$B:$B,PANES_SEMANALES[[#ALL],[JUEVES]])</f>
        <v>0</v>
      </c>
      <c r="Q839" s="59">
        <f>IF(P839&lt;&gt;"",SUMIFS(Eventos!$G:$G,Eventos!$B:$B,Q$2,Eventos!$D:$D,$C$2,Eventos!$F:$F,$L839),"")</f>
        <v>0</v>
      </c>
      <c r="R839" s="59">
        <f>SUMIFS(Eventos!$G:$G,Eventos!$F:$F,$L839,Eventos!$D:$D,$C$2,Eventos!$B:$B,PANES_SEMANALES[[#ALL],[SÁBADO]])</f>
        <v>0</v>
      </c>
      <c r="S839" s="59">
        <f>SUMIFS(Eventos!$G:$G,Eventos!$F:$F,$L839,Eventos!$D:$D,$C$2,Eventos!$B:$B,PANES_SEMANALES[[#ALL],[DOMINGO]])</f>
        <v>0</v>
      </c>
      <c r="T839" s="59">
        <f t="shared" si="1"/>
        <v>0</v>
      </c>
    </row>
    <row r="840" ht="22.5" customHeight="1">
      <c r="M840" s="59">
        <f>SUMIFS(Eventos!$G:$G,Eventos!$F:$F,$L840,Eventos!$D:$D,$C$2,Eventos!$B:$B,PANES_SEMANALES[[#ALL],[LUNES]])</f>
        <v>0</v>
      </c>
      <c r="N840" s="59">
        <f>SUMIFS(Eventos!$G:$G,Eventos!$F:$F,$L840,Eventos!$D:$D,$C$2,Eventos!$B:$B,PANES_SEMANALES[[#ALL],[MARTES]])</f>
        <v>0</v>
      </c>
      <c r="O840" s="59">
        <f>SUMIFS(Eventos!$G:$G,Eventos!$F:$F,$L840,Eventos!$D:$D,$C$2,Eventos!$B:$B,PANES_SEMANALES[[#ALL],[MIÉRCOLES]])</f>
        <v>0</v>
      </c>
      <c r="P840" s="59">
        <f>SUMIFS(Eventos!$G:$G,Eventos!$F:$F,$L840,Eventos!$D:$D,$C$2,Eventos!$B:$B,PANES_SEMANALES[[#ALL],[JUEVES]])</f>
        <v>0</v>
      </c>
      <c r="Q840" s="59">
        <f>IF(P840&lt;&gt;"",SUMIFS(Eventos!$G:$G,Eventos!$B:$B,Q$2,Eventos!$D:$D,$C$2,Eventos!$F:$F,$L840),"")</f>
        <v>0</v>
      </c>
      <c r="R840" s="59">
        <f>SUMIFS(Eventos!$G:$G,Eventos!$F:$F,$L840,Eventos!$D:$D,$C$2,Eventos!$B:$B,PANES_SEMANALES[[#ALL],[SÁBADO]])</f>
        <v>0</v>
      </c>
      <c r="S840" s="59">
        <f>SUMIFS(Eventos!$G:$G,Eventos!$F:$F,$L840,Eventos!$D:$D,$C$2,Eventos!$B:$B,PANES_SEMANALES[[#ALL],[DOMINGO]])</f>
        <v>0</v>
      </c>
      <c r="T840" s="59">
        <f t="shared" si="1"/>
        <v>0</v>
      </c>
    </row>
    <row r="841" ht="22.5" customHeight="1">
      <c r="M841" s="59">
        <f>SUMIFS(Eventos!$G:$G,Eventos!$F:$F,$L841,Eventos!$D:$D,$C$2,Eventos!$B:$B,PANES_SEMANALES[[#ALL],[LUNES]])</f>
        <v>0</v>
      </c>
      <c r="N841" s="59">
        <f>SUMIFS(Eventos!$G:$G,Eventos!$F:$F,$L841,Eventos!$D:$D,$C$2,Eventos!$B:$B,PANES_SEMANALES[[#ALL],[MARTES]])</f>
        <v>0</v>
      </c>
      <c r="O841" s="59">
        <f>SUMIFS(Eventos!$G:$G,Eventos!$F:$F,$L841,Eventos!$D:$D,$C$2,Eventos!$B:$B,PANES_SEMANALES[[#ALL],[MIÉRCOLES]])</f>
        <v>0</v>
      </c>
      <c r="P841" s="59">
        <f>SUMIFS(Eventos!$G:$G,Eventos!$F:$F,$L841,Eventos!$D:$D,$C$2,Eventos!$B:$B,PANES_SEMANALES[[#ALL],[JUEVES]])</f>
        <v>0</v>
      </c>
      <c r="Q841" s="59">
        <f>IF(P841&lt;&gt;"",SUMIFS(Eventos!$G:$G,Eventos!$B:$B,Q$2,Eventos!$D:$D,$C$2,Eventos!$F:$F,$L841),"")</f>
        <v>0</v>
      </c>
      <c r="R841" s="59">
        <f>SUMIFS(Eventos!$G:$G,Eventos!$F:$F,$L841,Eventos!$D:$D,$C$2,Eventos!$B:$B,PANES_SEMANALES[[#ALL],[SÁBADO]])</f>
        <v>0</v>
      </c>
      <c r="S841" s="59">
        <f>SUMIFS(Eventos!$G:$G,Eventos!$F:$F,$L841,Eventos!$D:$D,$C$2,Eventos!$B:$B,PANES_SEMANALES[[#ALL],[DOMINGO]])</f>
        <v>0</v>
      </c>
      <c r="T841" s="59">
        <f t="shared" si="1"/>
        <v>0</v>
      </c>
    </row>
    <row r="842" ht="22.5" customHeight="1">
      <c r="M842" s="59">
        <f>SUMIFS(Eventos!$G:$G,Eventos!$F:$F,$L842,Eventos!$D:$D,$C$2,Eventos!$B:$B,PANES_SEMANALES[[#ALL],[LUNES]])</f>
        <v>0</v>
      </c>
      <c r="N842" s="59">
        <f>SUMIFS(Eventos!$G:$G,Eventos!$F:$F,$L842,Eventos!$D:$D,$C$2,Eventos!$B:$B,PANES_SEMANALES[[#ALL],[MARTES]])</f>
        <v>0</v>
      </c>
      <c r="O842" s="59">
        <f>SUMIFS(Eventos!$G:$G,Eventos!$F:$F,$L842,Eventos!$D:$D,$C$2,Eventos!$B:$B,PANES_SEMANALES[[#ALL],[MIÉRCOLES]])</f>
        <v>0</v>
      </c>
      <c r="P842" s="59">
        <f>SUMIFS(Eventos!$G:$G,Eventos!$F:$F,$L842,Eventos!$D:$D,$C$2,Eventos!$B:$B,PANES_SEMANALES[[#ALL],[JUEVES]])</f>
        <v>0</v>
      </c>
      <c r="Q842" s="59">
        <f>IF(P842&lt;&gt;"",SUMIFS(Eventos!$G:$G,Eventos!$B:$B,Q$2,Eventos!$D:$D,$C$2,Eventos!$F:$F,$L842),"")</f>
        <v>0</v>
      </c>
      <c r="R842" s="59">
        <f>SUMIFS(Eventos!$G:$G,Eventos!$F:$F,$L842,Eventos!$D:$D,$C$2,Eventos!$B:$B,PANES_SEMANALES[[#ALL],[SÁBADO]])</f>
        <v>0</v>
      </c>
      <c r="S842" s="59">
        <f>SUMIFS(Eventos!$G:$G,Eventos!$F:$F,$L842,Eventos!$D:$D,$C$2,Eventos!$B:$B,PANES_SEMANALES[[#ALL],[DOMINGO]])</f>
        <v>0</v>
      </c>
      <c r="T842" s="59">
        <f t="shared" si="1"/>
        <v>0</v>
      </c>
    </row>
    <row r="843" ht="22.5" customHeight="1">
      <c r="M843" s="59">
        <f>SUMIFS(Eventos!$G:$G,Eventos!$F:$F,$L843,Eventos!$D:$D,$C$2,Eventos!$B:$B,PANES_SEMANALES[[#ALL],[LUNES]])</f>
        <v>0</v>
      </c>
      <c r="N843" s="59">
        <f>SUMIFS(Eventos!$G:$G,Eventos!$F:$F,$L843,Eventos!$D:$D,$C$2,Eventos!$B:$B,PANES_SEMANALES[[#ALL],[MARTES]])</f>
        <v>0</v>
      </c>
      <c r="O843" s="59">
        <f>SUMIFS(Eventos!$G:$G,Eventos!$F:$F,$L843,Eventos!$D:$D,$C$2,Eventos!$B:$B,PANES_SEMANALES[[#ALL],[MIÉRCOLES]])</f>
        <v>0</v>
      </c>
      <c r="P843" s="59">
        <f>SUMIFS(Eventos!$G:$G,Eventos!$F:$F,$L843,Eventos!$D:$D,$C$2,Eventos!$B:$B,PANES_SEMANALES[[#ALL],[JUEVES]])</f>
        <v>0</v>
      </c>
      <c r="Q843" s="59">
        <f>IF(P843&lt;&gt;"",SUMIFS(Eventos!$G:$G,Eventos!$B:$B,Q$2,Eventos!$D:$D,$C$2,Eventos!$F:$F,$L843),"")</f>
        <v>0</v>
      </c>
      <c r="R843" s="59">
        <f>SUMIFS(Eventos!$G:$G,Eventos!$F:$F,$L843,Eventos!$D:$D,$C$2,Eventos!$B:$B,PANES_SEMANALES[[#ALL],[SÁBADO]])</f>
        <v>0</v>
      </c>
      <c r="S843" s="59">
        <f>SUMIFS(Eventos!$G:$G,Eventos!$F:$F,$L843,Eventos!$D:$D,$C$2,Eventos!$B:$B,PANES_SEMANALES[[#ALL],[DOMINGO]])</f>
        <v>0</v>
      </c>
      <c r="T843" s="59">
        <f t="shared" si="1"/>
        <v>0</v>
      </c>
    </row>
    <row r="844" ht="22.5" customHeight="1">
      <c r="M844" s="59">
        <f>SUMIFS(Eventos!$G:$G,Eventos!$F:$F,$L844,Eventos!$D:$D,$C$2,Eventos!$B:$B,PANES_SEMANALES[[#ALL],[LUNES]])</f>
        <v>0</v>
      </c>
      <c r="N844" s="59">
        <f>SUMIFS(Eventos!$G:$G,Eventos!$F:$F,$L844,Eventos!$D:$D,$C$2,Eventos!$B:$B,PANES_SEMANALES[[#ALL],[MARTES]])</f>
        <v>0</v>
      </c>
      <c r="O844" s="59">
        <f>SUMIFS(Eventos!$G:$G,Eventos!$F:$F,$L844,Eventos!$D:$D,$C$2,Eventos!$B:$B,PANES_SEMANALES[[#ALL],[MIÉRCOLES]])</f>
        <v>0</v>
      </c>
      <c r="P844" s="59">
        <f>SUMIFS(Eventos!$G:$G,Eventos!$F:$F,$L844,Eventos!$D:$D,$C$2,Eventos!$B:$B,PANES_SEMANALES[[#ALL],[JUEVES]])</f>
        <v>0</v>
      </c>
      <c r="Q844" s="59">
        <f>IF(P844&lt;&gt;"",SUMIFS(Eventos!$G:$G,Eventos!$B:$B,Q$2,Eventos!$D:$D,$C$2,Eventos!$F:$F,$L844),"")</f>
        <v>0</v>
      </c>
      <c r="R844" s="59">
        <f>SUMIFS(Eventos!$G:$G,Eventos!$F:$F,$L844,Eventos!$D:$D,$C$2,Eventos!$B:$B,PANES_SEMANALES[[#ALL],[SÁBADO]])</f>
        <v>0</v>
      </c>
      <c r="S844" s="59">
        <f>SUMIFS(Eventos!$G:$G,Eventos!$F:$F,$L844,Eventos!$D:$D,$C$2,Eventos!$B:$B,PANES_SEMANALES[[#ALL],[DOMINGO]])</f>
        <v>0</v>
      </c>
      <c r="T844" s="59">
        <f t="shared" si="1"/>
        <v>0</v>
      </c>
    </row>
    <row r="845" ht="22.5" customHeight="1">
      <c r="M845" s="59">
        <f>SUMIFS(Eventos!$G:$G,Eventos!$F:$F,$L845,Eventos!$D:$D,$C$2,Eventos!$B:$B,PANES_SEMANALES[[#ALL],[LUNES]])</f>
        <v>0</v>
      </c>
      <c r="N845" s="59">
        <f>SUMIFS(Eventos!$G:$G,Eventos!$F:$F,$L845,Eventos!$D:$D,$C$2,Eventos!$B:$B,PANES_SEMANALES[[#ALL],[MARTES]])</f>
        <v>0</v>
      </c>
      <c r="O845" s="59">
        <f>SUMIFS(Eventos!$G:$G,Eventos!$F:$F,$L845,Eventos!$D:$D,$C$2,Eventos!$B:$B,PANES_SEMANALES[[#ALL],[MIÉRCOLES]])</f>
        <v>0</v>
      </c>
      <c r="P845" s="59">
        <f>SUMIFS(Eventos!$G:$G,Eventos!$F:$F,$L845,Eventos!$D:$D,$C$2,Eventos!$B:$B,PANES_SEMANALES[[#ALL],[JUEVES]])</f>
        <v>0</v>
      </c>
      <c r="Q845" s="59">
        <f>IF(P845&lt;&gt;"",SUMIFS(Eventos!$G:$G,Eventos!$B:$B,Q$2,Eventos!$D:$D,$C$2,Eventos!$F:$F,$L845),"")</f>
        <v>0</v>
      </c>
      <c r="R845" s="59">
        <f>SUMIFS(Eventos!$G:$G,Eventos!$F:$F,$L845,Eventos!$D:$D,$C$2,Eventos!$B:$B,PANES_SEMANALES[[#ALL],[SÁBADO]])</f>
        <v>0</v>
      </c>
      <c r="S845" s="59">
        <f>SUMIFS(Eventos!$G:$G,Eventos!$F:$F,$L845,Eventos!$D:$D,$C$2,Eventos!$B:$B,PANES_SEMANALES[[#ALL],[DOMINGO]])</f>
        <v>0</v>
      </c>
      <c r="T845" s="59">
        <f t="shared" si="1"/>
        <v>0</v>
      </c>
    </row>
    <row r="846" ht="22.5" customHeight="1">
      <c r="M846" s="59">
        <f>SUMIFS(Eventos!$G:$G,Eventos!$F:$F,$L846,Eventos!$D:$D,$C$2,Eventos!$B:$B,PANES_SEMANALES[[#ALL],[LUNES]])</f>
        <v>0</v>
      </c>
      <c r="N846" s="59">
        <f>SUMIFS(Eventos!$G:$G,Eventos!$F:$F,$L846,Eventos!$D:$D,$C$2,Eventos!$B:$B,PANES_SEMANALES[[#ALL],[MARTES]])</f>
        <v>0</v>
      </c>
      <c r="O846" s="59">
        <f>SUMIFS(Eventos!$G:$G,Eventos!$F:$F,$L846,Eventos!$D:$D,$C$2,Eventos!$B:$B,PANES_SEMANALES[[#ALL],[MIÉRCOLES]])</f>
        <v>0</v>
      </c>
      <c r="P846" s="59">
        <f>SUMIFS(Eventos!$G:$G,Eventos!$F:$F,$L846,Eventos!$D:$D,$C$2,Eventos!$B:$B,PANES_SEMANALES[[#ALL],[JUEVES]])</f>
        <v>0</v>
      </c>
      <c r="Q846" s="59">
        <f>IF(P846&lt;&gt;"",SUMIFS(Eventos!$G:$G,Eventos!$B:$B,Q$2,Eventos!$D:$D,$C$2,Eventos!$F:$F,$L846),"")</f>
        <v>0</v>
      </c>
      <c r="R846" s="59">
        <f>SUMIFS(Eventos!$G:$G,Eventos!$F:$F,$L846,Eventos!$D:$D,$C$2,Eventos!$B:$B,PANES_SEMANALES[[#ALL],[SÁBADO]])</f>
        <v>0</v>
      </c>
      <c r="S846" s="59">
        <f>SUMIFS(Eventos!$G:$G,Eventos!$F:$F,$L846,Eventos!$D:$D,$C$2,Eventos!$B:$B,PANES_SEMANALES[[#ALL],[DOMINGO]])</f>
        <v>0</v>
      </c>
      <c r="T846" s="59">
        <f t="shared" si="1"/>
        <v>0</v>
      </c>
    </row>
    <row r="847" ht="22.5" customHeight="1">
      <c r="M847" s="59">
        <f>SUMIFS(Eventos!$G:$G,Eventos!$F:$F,$L847,Eventos!$D:$D,$C$2,Eventos!$B:$B,PANES_SEMANALES[[#ALL],[LUNES]])</f>
        <v>0</v>
      </c>
      <c r="N847" s="59">
        <f>SUMIFS(Eventos!$G:$G,Eventos!$F:$F,$L847,Eventos!$D:$D,$C$2,Eventos!$B:$B,PANES_SEMANALES[[#ALL],[MARTES]])</f>
        <v>0</v>
      </c>
      <c r="O847" s="59">
        <f>SUMIFS(Eventos!$G:$G,Eventos!$F:$F,$L847,Eventos!$D:$D,$C$2,Eventos!$B:$B,PANES_SEMANALES[[#ALL],[MIÉRCOLES]])</f>
        <v>0</v>
      </c>
      <c r="P847" s="59">
        <f>SUMIFS(Eventos!$G:$G,Eventos!$F:$F,$L847,Eventos!$D:$D,$C$2,Eventos!$B:$B,PANES_SEMANALES[[#ALL],[JUEVES]])</f>
        <v>0</v>
      </c>
      <c r="Q847" s="59">
        <f>IF(P847&lt;&gt;"",SUMIFS(Eventos!$G:$G,Eventos!$B:$B,Q$2,Eventos!$D:$D,$C$2,Eventos!$F:$F,$L847),"")</f>
        <v>0</v>
      </c>
      <c r="R847" s="59">
        <f>SUMIFS(Eventos!$G:$G,Eventos!$F:$F,$L847,Eventos!$D:$D,$C$2,Eventos!$B:$B,PANES_SEMANALES[[#ALL],[SÁBADO]])</f>
        <v>0</v>
      </c>
      <c r="S847" s="59">
        <f>SUMIFS(Eventos!$G:$G,Eventos!$F:$F,$L847,Eventos!$D:$D,$C$2,Eventos!$B:$B,PANES_SEMANALES[[#ALL],[DOMINGO]])</f>
        <v>0</v>
      </c>
      <c r="T847" s="59">
        <f t="shared" si="1"/>
        <v>0</v>
      </c>
    </row>
    <row r="848" ht="22.5" customHeight="1">
      <c r="M848" s="59">
        <f>SUMIFS(Eventos!$G:$G,Eventos!$F:$F,$L848,Eventos!$D:$D,$C$2,Eventos!$B:$B,PANES_SEMANALES[[#ALL],[LUNES]])</f>
        <v>0</v>
      </c>
      <c r="N848" s="59">
        <f>SUMIFS(Eventos!$G:$G,Eventos!$F:$F,$L848,Eventos!$D:$D,$C$2,Eventos!$B:$B,PANES_SEMANALES[[#ALL],[MARTES]])</f>
        <v>0</v>
      </c>
      <c r="O848" s="59">
        <f>SUMIFS(Eventos!$G:$G,Eventos!$F:$F,$L848,Eventos!$D:$D,$C$2,Eventos!$B:$B,PANES_SEMANALES[[#ALL],[MIÉRCOLES]])</f>
        <v>0</v>
      </c>
      <c r="P848" s="59">
        <f>SUMIFS(Eventos!$G:$G,Eventos!$F:$F,$L848,Eventos!$D:$D,$C$2,Eventos!$B:$B,PANES_SEMANALES[[#ALL],[JUEVES]])</f>
        <v>0</v>
      </c>
      <c r="Q848" s="59">
        <f>IF(P848&lt;&gt;"",SUMIFS(Eventos!$G:$G,Eventos!$B:$B,Q$2,Eventos!$D:$D,$C$2,Eventos!$F:$F,$L848),"")</f>
        <v>0</v>
      </c>
      <c r="R848" s="59">
        <f>SUMIFS(Eventos!$G:$G,Eventos!$F:$F,$L848,Eventos!$D:$D,$C$2,Eventos!$B:$B,PANES_SEMANALES[[#ALL],[SÁBADO]])</f>
        <v>0</v>
      </c>
      <c r="S848" s="59">
        <f>SUMIFS(Eventos!$G:$G,Eventos!$F:$F,$L848,Eventos!$D:$D,$C$2,Eventos!$B:$B,PANES_SEMANALES[[#ALL],[DOMINGO]])</f>
        <v>0</v>
      </c>
      <c r="T848" s="59">
        <f t="shared" si="1"/>
        <v>0</v>
      </c>
    </row>
    <row r="849" ht="22.5" customHeight="1">
      <c r="M849" s="59">
        <f>SUMIFS(Eventos!$G:$G,Eventos!$F:$F,$L849,Eventos!$D:$D,$C$2,Eventos!$B:$B,PANES_SEMANALES[[#ALL],[LUNES]])</f>
        <v>0</v>
      </c>
      <c r="N849" s="59">
        <f>SUMIFS(Eventos!$G:$G,Eventos!$F:$F,$L849,Eventos!$D:$D,$C$2,Eventos!$B:$B,PANES_SEMANALES[[#ALL],[MARTES]])</f>
        <v>0</v>
      </c>
      <c r="O849" s="59">
        <f>SUMIFS(Eventos!$G:$G,Eventos!$F:$F,$L849,Eventos!$D:$D,$C$2,Eventos!$B:$B,PANES_SEMANALES[[#ALL],[MIÉRCOLES]])</f>
        <v>0</v>
      </c>
      <c r="P849" s="59">
        <f>SUMIFS(Eventos!$G:$G,Eventos!$F:$F,$L849,Eventos!$D:$D,$C$2,Eventos!$B:$B,PANES_SEMANALES[[#ALL],[JUEVES]])</f>
        <v>0</v>
      </c>
      <c r="Q849" s="59">
        <f>IF(P849&lt;&gt;"",SUMIFS(Eventos!$G:$G,Eventos!$B:$B,Q$2,Eventos!$D:$D,$C$2,Eventos!$F:$F,$L849),"")</f>
        <v>0</v>
      </c>
      <c r="R849" s="59">
        <f>SUMIFS(Eventos!$G:$G,Eventos!$F:$F,$L849,Eventos!$D:$D,$C$2,Eventos!$B:$B,PANES_SEMANALES[[#ALL],[SÁBADO]])</f>
        <v>0</v>
      </c>
      <c r="S849" s="59">
        <f>SUMIFS(Eventos!$G:$G,Eventos!$F:$F,$L849,Eventos!$D:$D,$C$2,Eventos!$B:$B,PANES_SEMANALES[[#ALL],[DOMINGO]])</f>
        <v>0</v>
      </c>
      <c r="T849" s="59">
        <f t="shared" si="1"/>
        <v>0</v>
      </c>
    </row>
    <row r="850" ht="22.5" customHeight="1">
      <c r="M850" s="59">
        <f>SUMIFS(Eventos!$G:$G,Eventos!$F:$F,$L850,Eventos!$D:$D,$C$2,Eventos!$B:$B,PANES_SEMANALES[[#ALL],[LUNES]])</f>
        <v>0</v>
      </c>
      <c r="N850" s="59">
        <f>SUMIFS(Eventos!$G:$G,Eventos!$F:$F,$L850,Eventos!$D:$D,$C$2,Eventos!$B:$B,PANES_SEMANALES[[#ALL],[MARTES]])</f>
        <v>0</v>
      </c>
      <c r="O850" s="59">
        <f>SUMIFS(Eventos!$G:$G,Eventos!$F:$F,$L850,Eventos!$D:$D,$C$2,Eventos!$B:$B,PANES_SEMANALES[[#ALL],[MIÉRCOLES]])</f>
        <v>0</v>
      </c>
      <c r="P850" s="59">
        <f>SUMIFS(Eventos!$G:$G,Eventos!$F:$F,$L850,Eventos!$D:$D,$C$2,Eventos!$B:$B,PANES_SEMANALES[[#ALL],[JUEVES]])</f>
        <v>0</v>
      </c>
      <c r="Q850" s="59">
        <f>IF(P850&lt;&gt;"",SUMIFS(Eventos!$G:$G,Eventos!$B:$B,Q$2,Eventos!$D:$D,$C$2,Eventos!$F:$F,$L850),"")</f>
        <v>0</v>
      </c>
      <c r="R850" s="59">
        <f>SUMIFS(Eventos!$G:$G,Eventos!$F:$F,$L850,Eventos!$D:$D,$C$2,Eventos!$B:$B,PANES_SEMANALES[[#ALL],[SÁBADO]])</f>
        <v>0</v>
      </c>
      <c r="S850" s="59">
        <f>SUMIFS(Eventos!$G:$G,Eventos!$F:$F,$L850,Eventos!$D:$D,$C$2,Eventos!$B:$B,PANES_SEMANALES[[#ALL],[DOMINGO]])</f>
        <v>0</v>
      </c>
      <c r="T850" s="59">
        <f t="shared" si="1"/>
        <v>0</v>
      </c>
    </row>
    <row r="851" ht="22.5" customHeight="1">
      <c r="M851" s="59">
        <f>SUMIFS(Eventos!$G:$G,Eventos!$F:$F,$L851,Eventos!$D:$D,$C$2,Eventos!$B:$B,PANES_SEMANALES[[#ALL],[LUNES]])</f>
        <v>0</v>
      </c>
      <c r="N851" s="59">
        <f>SUMIFS(Eventos!$G:$G,Eventos!$F:$F,$L851,Eventos!$D:$D,$C$2,Eventos!$B:$B,PANES_SEMANALES[[#ALL],[MARTES]])</f>
        <v>0</v>
      </c>
      <c r="O851" s="59">
        <f>SUMIFS(Eventos!$G:$G,Eventos!$F:$F,$L851,Eventos!$D:$D,$C$2,Eventos!$B:$B,PANES_SEMANALES[[#ALL],[MIÉRCOLES]])</f>
        <v>0</v>
      </c>
      <c r="P851" s="59">
        <f>SUMIFS(Eventos!$G:$G,Eventos!$F:$F,$L851,Eventos!$D:$D,$C$2,Eventos!$B:$B,PANES_SEMANALES[[#ALL],[JUEVES]])</f>
        <v>0</v>
      </c>
      <c r="Q851" s="59">
        <f>IF(P851&lt;&gt;"",SUMIFS(Eventos!$G:$G,Eventos!$B:$B,Q$2,Eventos!$D:$D,$C$2,Eventos!$F:$F,$L851),"")</f>
        <v>0</v>
      </c>
      <c r="R851" s="59">
        <f>SUMIFS(Eventos!$G:$G,Eventos!$F:$F,$L851,Eventos!$D:$D,$C$2,Eventos!$B:$B,PANES_SEMANALES[[#ALL],[SÁBADO]])</f>
        <v>0</v>
      </c>
      <c r="S851" s="59">
        <f>SUMIFS(Eventos!$G:$G,Eventos!$F:$F,$L851,Eventos!$D:$D,$C$2,Eventos!$B:$B,PANES_SEMANALES[[#ALL],[DOMINGO]])</f>
        <v>0</v>
      </c>
      <c r="T851" s="59">
        <f t="shared" si="1"/>
        <v>0</v>
      </c>
    </row>
    <row r="852" ht="22.5" customHeight="1">
      <c r="M852" s="59">
        <f>SUMIFS(Eventos!$G:$G,Eventos!$F:$F,$L852,Eventos!$D:$D,$C$2,Eventos!$B:$B,PANES_SEMANALES[[#ALL],[LUNES]])</f>
        <v>0</v>
      </c>
      <c r="N852" s="59">
        <f>SUMIFS(Eventos!$G:$G,Eventos!$F:$F,$L852,Eventos!$D:$D,$C$2,Eventos!$B:$B,PANES_SEMANALES[[#ALL],[MARTES]])</f>
        <v>0</v>
      </c>
      <c r="O852" s="59">
        <f>SUMIFS(Eventos!$G:$G,Eventos!$F:$F,$L852,Eventos!$D:$D,$C$2,Eventos!$B:$B,PANES_SEMANALES[[#ALL],[MIÉRCOLES]])</f>
        <v>0</v>
      </c>
      <c r="P852" s="59">
        <f>SUMIFS(Eventos!$G:$G,Eventos!$F:$F,$L852,Eventos!$D:$D,$C$2,Eventos!$B:$B,PANES_SEMANALES[[#ALL],[JUEVES]])</f>
        <v>0</v>
      </c>
      <c r="Q852" s="59">
        <f>IF(P852&lt;&gt;"",SUMIFS(Eventos!$G:$G,Eventos!$B:$B,Q$2,Eventos!$D:$D,$C$2,Eventos!$F:$F,$L852),"")</f>
        <v>0</v>
      </c>
      <c r="R852" s="59">
        <f>SUMIFS(Eventos!$G:$G,Eventos!$F:$F,$L852,Eventos!$D:$D,$C$2,Eventos!$B:$B,PANES_SEMANALES[[#ALL],[SÁBADO]])</f>
        <v>0</v>
      </c>
      <c r="S852" s="59">
        <f>SUMIFS(Eventos!$G:$G,Eventos!$F:$F,$L852,Eventos!$D:$D,$C$2,Eventos!$B:$B,PANES_SEMANALES[[#ALL],[DOMINGO]])</f>
        <v>0</v>
      </c>
      <c r="T852" s="59">
        <f t="shared" si="1"/>
        <v>0</v>
      </c>
    </row>
    <row r="853" ht="22.5" customHeight="1">
      <c r="M853" s="59">
        <f>SUMIFS(Eventos!$G:$G,Eventos!$F:$F,$L853,Eventos!$D:$D,$C$2,Eventos!$B:$B,PANES_SEMANALES[[#ALL],[LUNES]])</f>
        <v>0</v>
      </c>
      <c r="N853" s="59">
        <f>SUMIFS(Eventos!$G:$G,Eventos!$F:$F,$L853,Eventos!$D:$D,$C$2,Eventos!$B:$B,PANES_SEMANALES[[#ALL],[MARTES]])</f>
        <v>0</v>
      </c>
      <c r="O853" s="59">
        <f>SUMIFS(Eventos!$G:$G,Eventos!$F:$F,$L853,Eventos!$D:$D,$C$2,Eventos!$B:$B,PANES_SEMANALES[[#ALL],[MIÉRCOLES]])</f>
        <v>0</v>
      </c>
      <c r="P853" s="59">
        <f>SUMIFS(Eventos!$G:$G,Eventos!$F:$F,$L853,Eventos!$D:$D,$C$2,Eventos!$B:$B,PANES_SEMANALES[[#ALL],[JUEVES]])</f>
        <v>0</v>
      </c>
      <c r="Q853" s="59">
        <f>IF(P853&lt;&gt;"",SUMIFS(Eventos!$G:$G,Eventos!$B:$B,Q$2,Eventos!$D:$D,$C$2,Eventos!$F:$F,$L853),"")</f>
        <v>0</v>
      </c>
      <c r="R853" s="59">
        <f>SUMIFS(Eventos!$G:$G,Eventos!$F:$F,$L853,Eventos!$D:$D,$C$2,Eventos!$B:$B,PANES_SEMANALES[[#ALL],[SÁBADO]])</f>
        <v>0</v>
      </c>
      <c r="S853" s="59">
        <f>SUMIFS(Eventos!$G:$G,Eventos!$F:$F,$L853,Eventos!$D:$D,$C$2,Eventos!$B:$B,PANES_SEMANALES[[#ALL],[DOMINGO]])</f>
        <v>0</v>
      </c>
      <c r="T853" s="59">
        <f t="shared" si="1"/>
        <v>0</v>
      </c>
    </row>
    <row r="854" ht="22.5" customHeight="1">
      <c r="M854" s="59">
        <f>SUMIFS(Eventos!$G:$G,Eventos!$F:$F,$L854,Eventos!$D:$D,$C$2,Eventos!$B:$B,PANES_SEMANALES[[#ALL],[LUNES]])</f>
        <v>0</v>
      </c>
      <c r="N854" s="59">
        <f>SUMIFS(Eventos!$G:$G,Eventos!$F:$F,$L854,Eventos!$D:$D,$C$2,Eventos!$B:$B,PANES_SEMANALES[[#ALL],[MARTES]])</f>
        <v>0</v>
      </c>
      <c r="O854" s="59">
        <f>SUMIFS(Eventos!$G:$G,Eventos!$F:$F,$L854,Eventos!$D:$D,$C$2,Eventos!$B:$B,PANES_SEMANALES[[#ALL],[MIÉRCOLES]])</f>
        <v>0</v>
      </c>
      <c r="P854" s="59">
        <f>SUMIFS(Eventos!$G:$G,Eventos!$F:$F,$L854,Eventos!$D:$D,$C$2,Eventos!$B:$B,PANES_SEMANALES[[#ALL],[JUEVES]])</f>
        <v>0</v>
      </c>
      <c r="Q854" s="59">
        <f>IF(P854&lt;&gt;"",SUMIFS(Eventos!$G:$G,Eventos!$B:$B,Q$2,Eventos!$D:$D,$C$2,Eventos!$F:$F,$L854),"")</f>
        <v>0</v>
      </c>
      <c r="R854" s="59">
        <f>SUMIFS(Eventos!$G:$G,Eventos!$F:$F,$L854,Eventos!$D:$D,$C$2,Eventos!$B:$B,PANES_SEMANALES[[#ALL],[SÁBADO]])</f>
        <v>0</v>
      </c>
      <c r="S854" s="59">
        <f>SUMIFS(Eventos!$G:$G,Eventos!$F:$F,$L854,Eventos!$D:$D,$C$2,Eventos!$B:$B,PANES_SEMANALES[[#ALL],[DOMINGO]])</f>
        <v>0</v>
      </c>
      <c r="T854" s="59">
        <f t="shared" si="1"/>
        <v>0</v>
      </c>
    </row>
    <row r="855" ht="22.5" customHeight="1">
      <c r="M855" s="59">
        <f>SUMIFS(Eventos!$G:$G,Eventos!$F:$F,$L855,Eventos!$D:$D,$C$2,Eventos!$B:$B,PANES_SEMANALES[[#ALL],[LUNES]])</f>
        <v>0</v>
      </c>
      <c r="N855" s="59">
        <f>SUMIFS(Eventos!$G:$G,Eventos!$F:$F,$L855,Eventos!$D:$D,$C$2,Eventos!$B:$B,PANES_SEMANALES[[#ALL],[MARTES]])</f>
        <v>0</v>
      </c>
      <c r="O855" s="59">
        <f>SUMIFS(Eventos!$G:$G,Eventos!$F:$F,$L855,Eventos!$D:$D,$C$2,Eventos!$B:$B,PANES_SEMANALES[[#ALL],[MIÉRCOLES]])</f>
        <v>0</v>
      </c>
      <c r="P855" s="59">
        <f>SUMIFS(Eventos!$G:$G,Eventos!$F:$F,$L855,Eventos!$D:$D,$C$2,Eventos!$B:$B,PANES_SEMANALES[[#ALL],[JUEVES]])</f>
        <v>0</v>
      </c>
      <c r="Q855" s="59">
        <f>IF(P855&lt;&gt;"",SUMIFS(Eventos!$G:$G,Eventos!$B:$B,Q$2,Eventos!$D:$D,$C$2,Eventos!$F:$F,$L855),"")</f>
        <v>0</v>
      </c>
      <c r="R855" s="59">
        <f>SUMIFS(Eventos!$G:$G,Eventos!$F:$F,$L855,Eventos!$D:$D,$C$2,Eventos!$B:$B,PANES_SEMANALES[[#ALL],[SÁBADO]])</f>
        <v>0</v>
      </c>
      <c r="S855" s="59">
        <f>SUMIFS(Eventos!$G:$G,Eventos!$F:$F,$L855,Eventos!$D:$D,$C$2,Eventos!$B:$B,PANES_SEMANALES[[#ALL],[DOMINGO]])</f>
        <v>0</v>
      </c>
      <c r="T855" s="59">
        <f t="shared" si="1"/>
        <v>0</v>
      </c>
    </row>
    <row r="856" ht="22.5" customHeight="1">
      <c r="M856" s="59">
        <f>SUMIFS(Eventos!$G:$G,Eventos!$F:$F,$L856,Eventos!$D:$D,$C$2,Eventos!$B:$B,PANES_SEMANALES[[#ALL],[LUNES]])</f>
        <v>0</v>
      </c>
      <c r="N856" s="59">
        <f>SUMIFS(Eventos!$G:$G,Eventos!$F:$F,$L856,Eventos!$D:$D,$C$2,Eventos!$B:$B,PANES_SEMANALES[[#ALL],[MARTES]])</f>
        <v>0</v>
      </c>
      <c r="O856" s="59">
        <f>SUMIFS(Eventos!$G:$G,Eventos!$F:$F,$L856,Eventos!$D:$D,$C$2,Eventos!$B:$B,PANES_SEMANALES[[#ALL],[MIÉRCOLES]])</f>
        <v>0</v>
      </c>
      <c r="P856" s="59">
        <f>SUMIFS(Eventos!$G:$G,Eventos!$F:$F,$L856,Eventos!$D:$D,$C$2,Eventos!$B:$B,PANES_SEMANALES[[#ALL],[JUEVES]])</f>
        <v>0</v>
      </c>
      <c r="Q856" s="59">
        <f>IF(P856&lt;&gt;"",SUMIFS(Eventos!$G:$G,Eventos!$B:$B,Q$2,Eventos!$D:$D,$C$2,Eventos!$F:$F,$L856),"")</f>
        <v>0</v>
      </c>
      <c r="R856" s="59">
        <f>SUMIFS(Eventos!$G:$G,Eventos!$F:$F,$L856,Eventos!$D:$D,$C$2,Eventos!$B:$B,PANES_SEMANALES[[#ALL],[SÁBADO]])</f>
        <v>0</v>
      </c>
      <c r="S856" s="59">
        <f>SUMIFS(Eventos!$G:$G,Eventos!$F:$F,$L856,Eventos!$D:$D,$C$2,Eventos!$B:$B,PANES_SEMANALES[[#ALL],[DOMINGO]])</f>
        <v>0</v>
      </c>
      <c r="T856" s="59">
        <f t="shared" si="1"/>
        <v>0</v>
      </c>
    </row>
    <row r="857" ht="22.5" customHeight="1">
      <c r="M857" s="59">
        <f>SUMIFS(Eventos!$G:$G,Eventos!$F:$F,$L857,Eventos!$D:$D,$C$2,Eventos!$B:$B,PANES_SEMANALES[[#ALL],[LUNES]])</f>
        <v>0</v>
      </c>
      <c r="N857" s="59">
        <f>SUMIFS(Eventos!$G:$G,Eventos!$F:$F,$L857,Eventos!$D:$D,$C$2,Eventos!$B:$B,PANES_SEMANALES[[#ALL],[MARTES]])</f>
        <v>0</v>
      </c>
      <c r="O857" s="59">
        <f>SUMIFS(Eventos!$G:$G,Eventos!$F:$F,$L857,Eventos!$D:$D,$C$2,Eventos!$B:$B,PANES_SEMANALES[[#ALL],[MIÉRCOLES]])</f>
        <v>0</v>
      </c>
      <c r="P857" s="59">
        <f>SUMIFS(Eventos!$G:$G,Eventos!$F:$F,$L857,Eventos!$D:$D,$C$2,Eventos!$B:$B,PANES_SEMANALES[[#ALL],[JUEVES]])</f>
        <v>0</v>
      </c>
      <c r="Q857" s="59">
        <f>IF(P857&lt;&gt;"",SUMIFS(Eventos!$G:$G,Eventos!$B:$B,Q$2,Eventos!$D:$D,$C$2,Eventos!$F:$F,$L857),"")</f>
        <v>0</v>
      </c>
      <c r="R857" s="59">
        <f>SUMIFS(Eventos!$G:$G,Eventos!$F:$F,$L857,Eventos!$D:$D,$C$2,Eventos!$B:$B,PANES_SEMANALES[[#ALL],[SÁBADO]])</f>
        <v>0</v>
      </c>
      <c r="S857" s="59">
        <f>SUMIFS(Eventos!$G:$G,Eventos!$F:$F,$L857,Eventos!$D:$D,$C$2,Eventos!$B:$B,PANES_SEMANALES[[#ALL],[DOMINGO]])</f>
        <v>0</v>
      </c>
      <c r="T857" s="59">
        <f t="shared" si="1"/>
        <v>0</v>
      </c>
    </row>
    <row r="858" ht="22.5" customHeight="1">
      <c r="M858" s="59">
        <f>SUMIFS(Eventos!$G:$G,Eventos!$F:$F,$L858,Eventos!$D:$D,$C$2,Eventos!$B:$B,PANES_SEMANALES[[#ALL],[LUNES]])</f>
        <v>0</v>
      </c>
      <c r="N858" s="59">
        <f>SUMIFS(Eventos!$G:$G,Eventos!$F:$F,$L858,Eventos!$D:$D,$C$2,Eventos!$B:$B,PANES_SEMANALES[[#ALL],[MARTES]])</f>
        <v>0</v>
      </c>
      <c r="O858" s="59">
        <f>SUMIFS(Eventos!$G:$G,Eventos!$F:$F,$L858,Eventos!$D:$D,$C$2,Eventos!$B:$B,PANES_SEMANALES[[#ALL],[MIÉRCOLES]])</f>
        <v>0</v>
      </c>
      <c r="P858" s="59">
        <f>SUMIFS(Eventos!$G:$G,Eventos!$F:$F,$L858,Eventos!$D:$D,$C$2,Eventos!$B:$B,PANES_SEMANALES[[#ALL],[JUEVES]])</f>
        <v>0</v>
      </c>
      <c r="Q858" s="59">
        <f>IF(P858&lt;&gt;"",SUMIFS(Eventos!$G:$G,Eventos!$B:$B,Q$2,Eventos!$D:$D,$C$2,Eventos!$F:$F,$L858),"")</f>
        <v>0</v>
      </c>
      <c r="R858" s="59">
        <f>SUMIFS(Eventos!$G:$G,Eventos!$F:$F,$L858,Eventos!$D:$D,$C$2,Eventos!$B:$B,PANES_SEMANALES[[#ALL],[SÁBADO]])</f>
        <v>0</v>
      </c>
      <c r="S858" s="59">
        <f>SUMIFS(Eventos!$G:$G,Eventos!$F:$F,$L858,Eventos!$D:$D,$C$2,Eventos!$B:$B,PANES_SEMANALES[[#ALL],[DOMINGO]])</f>
        <v>0</v>
      </c>
      <c r="T858" s="59">
        <f t="shared" si="1"/>
        <v>0</v>
      </c>
    </row>
    <row r="859" ht="22.5" customHeight="1">
      <c r="M859" s="59">
        <f>SUMIFS(Eventos!$G:$G,Eventos!$F:$F,$L859,Eventos!$D:$D,$C$2,Eventos!$B:$B,PANES_SEMANALES[[#ALL],[LUNES]])</f>
        <v>0</v>
      </c>
      <c r="N859" s="59">
        <f>SUMIFS(Eventos!$G:$G,Eventos!$F:$F,$L859,Eventos!$D:$D,$C$2,Eventos!$B:$B,PANES_SEMANALES[[#ALL],[MARTES]])</f>
        <v>0</v>
      </c>
      <c r="O859" s="59">
        <f>SUMIFS(Eventos!$G:$G,Eventos!$F:$F,$L859,Eventos!$D:$D,$C$2,Eventos!$B:$B,PANES_SEMANALES[[#ALL],[MIÉRCOLES]])</f>
        <v>0</v>
      </c>
      <c r="P859" s="59">
        <f>SUMIFS(Eventos!$G:$G,Eventos!$F:$F,$L859,Eventos!$D:$D,$C$2,Eventos!$B:$B,PANES_SEMANALES[[#ALL],[JUEVES]])</f>
        <v>0</v>
      </c>
      <c r="Q859" s="59">
        <f>IF(P859&lt;&gt;"",SUMIFS(Eventos!$G:$G,Eventos!$B:$B,Q$2,Eventos!$D:$D,$C$2,Eventos!$F:$F,$L859),"")</f>
        <v>0</v>
      </c>
      <c r="R859" s="59">
        <f>SUMIFS(Eventos!$G:$G,Eventos!$F:$F,$L859,Eventos!$D:$D,$C$2,Eventos!$B:$B,PANES_SEMANALES[[#ALL],[SÁBADO]])</f>
        <v>0</v>
      </c>
      <c r="S859" s="59">
        <f>SUMIFS(Eventos!$G:$G,Eventos!$F:$F,$L859,Eventos!$D:$D,$C$2,Eventos!$B:$B,PANES_SEMANALES[[#ALL],[DOMINGO]])</f>
        <v>0</v>
      </c>
      <c r="T859" s="59">
        <f t="shared" si="1"/>
        <v>0</v>
      </c>
    </row>
    <row r="860" ht="22.5" customHeight="1">
      <c r="M860" s="59">
        <f>SUMIFS(Eventos!$G:$G,Eventos!$F:$F,$L860,Eventos!$D:$D,$C$2,Eventos!$B:$B,PANES_SEMANALES[[#ALL],[LUNES]])</f>
        <v>0</v>
      </c>
      <c r="N860" s="59">
        <f>SUMIFS(Eventos!$G:$G,Eventos!$F:$F,$L860,Eventos!$D:$D,$C$2,Eventos!$B:$B,PANES_SEMANALES[[#ALL],[MARTES]])</f>
        <v>0</v>
      </c>
      <c r="O860" s="59">
        <f>SUMIFS(Eventos!$G:$G,Eventos!$F:$F,$L860,Eventos!$D:$D,$C$2,Eventos!$B:$B,PANES_SEMANALES[[#ALL],[MIÉRCOLES]])</f>
        <v>0</v>
      </c>
      <c r="P860" s="59">
        <f>SUMIFS(Eventos!$G:$G,Eventos!$F:$F,$L860,Eventos!$D:$D,$C$2,Eventos!$B:$B,PANES_SEMANALES[[#ALL],[JUEVES]])</f>
        <v>0</v>
      </c>
      <c r="Q860" s="59">
        <f>IF(P860&lt;&gt;"",SUMIFS(Eventos!$G:$G,Eventos!$B:$B,Q$2,Eventos!$D:$D,$C$2,Eventos!$F:$F,$L860),"")</f>
        <v>0</v>
      </c>
      <c r="R860" s="59">
        <f>SUMIFS(Eventos!$G:$G,Eventos!$F:$F,$L860,Eventos!$D:$D,$C$2,Eventos!$B:$B,PANES_SEMANALES[[#ALL],[SÁBADO]])</f>
        <v>0</v>
      </c>
      <c r="S860" s="59">
        <f>SUMIFS(Eventos!$G:$G,Eventos!$F:$F,$L860,Eventos!$D:$D,$C$2,Eventos!$B:$B,PANES_SEMANALES[[#ALL],[DOMINGO]])</f>
        <v>0</v>
      </c>
      <c r="T860" s="59">
        <f t="shared" si="1"/>
        <v>0</v>
      </c>
    </row>
    <row r="861" ht="22.5" customHeight="1">
      <c r="M861" s="59">
        <f>SUMIFS(Eventos!$G:$G,Eventos!$F:$F,$L861,Eventos!$D:$D,$C$2,Eventos!$B:$B,PANES_SEMANALES[[#ALL],[LUNES]])</f>
        <v>0</v>
      </c>
      <c r="N861" s="59">
        <f>SUMIFS(Eventos!$G:$G,Eventos!$F:$F,$L861,Eventos!$D:$D,$C$2,Eventos!$B:$B,PANES_SEMANALES[[#ALL],[MARTES]])</f>
        <v>0</v>
      </c>
      <c r="O861" s="59">
        <f>SUMIFS(Eventos!$G:$G,Eventos!$F:$F,$L861,Eventos!$D:$D,$C$2,Eventos!$B:$B,PANES_SEMANALES[[#ALL],[MIÉRCOLES]])</f>
        <v>0</v>
      </c>
      <c r="P861" s="59">
        <f>SUMIFS(Eventos!$G:$G,Eventos!$F:$F,$L861,Eventos!$D:$D,$C$2,Eventos!$B:$B,PANES_SEMANALES[[#ALL],[JUEVES]])</f>
        <v>0</v>
      </c>
      <c r="Q861" s="59">
        <f>IF(P861&lt;&gt;"",SUMIFS(Eventos!$G:$G,Eventos!$B:$B,Q$2,Eventos!$D:$D,$C$2,Eventos!$F:$F,$L861),"")</f>
        <v>0</v>
      </c>
      <c r="R861" s="59">
        <f>SUMIFS(Eventos!$G:$G,Eventos!$F:$F,$L861,Eventos!$D:$D,$C$2,Eventos!$B:$B,PANES_SEMANALES[[#ALL],[SÁBADO]])</f>
        <v>0</v>
      </c>
      <c r="S861" s="59">
        <f>SUMIFS(Eventos!$G:$G,Eventos!$F:$F,$L861,Eventos!$D:$D,$C$2,Eventos!$B:$B,PANES_SEMANALES[[#ALL],[DOMINGO]])</f>
        <v>0</v>
      </c>
      <c r="T861" s="59">
        <f t="shared" si="1"/>
        <v>0</v>
      </c>
    </row>
    <row r="862" ht="22.5" customHeight="1">
      <c r="M862" s="59">
        <f>SUMIFS(Eventos!$G:$G,Eventos!$F:$F,$L862,Eventos!$D:$D,$C$2,Eventos!$B:$B,PANES_SEMANALES[[#ALL],[LUNES]])</f>
        <v>0</v>
      </c>
      <c r="N862" s="59">
        <f>SUMIFS(Eventos!$G:$G,Eventos!$F:$F,$L862,Eventos!$D:$D,$C$2,Eventos!$B:$B,PANES_SEMANALES[[#ALL],[MARTES]])</f>
        <v>0</v>
      </c>
      <c r="O862" s="59">
        <f>SUMIFS(Eventos!$G:$G,Eventos!$F:$F,$L862,Eventos!$D:$D,$C$2,Eventos!$B:$B,PANES_SEMANALES[[#ALL],[MIÉRCOLES]])</f>
        <v>0</v>
      </c>
      <c r="P862" s="59">
        <f>SUMIFS(Eventos!$G:$G,Eventos!$F:$F,$L862,Eventos!$D:$D,$C$2,Eventos!$B:$B,PANES_SEMANALES[[#ALL],[JUEVES]])</f>
        <v>0</v>
      </c>
      <c r="Q862" s="59">
        <f>IF(P862&lt;&gt;"",SUMIFS(Eventos!$G:$G,Eventos!$B:$B,Q$2,Eventos!$D:$D,$C$2,Eventos!$F:$F,$L862),"")</f>
        <v>0</v>
      </c>
      <c r="R862" s="59">
        <f>SUMIFS(Eventos!$G:$G,Eventos!$F:$F,$L862,Eventos!$D:$D,$C$2,Eventos!$B:$B,PANES_SEMANALES[[#ALL],[SÁBADO]])</f>
        <v>0</v>
      </c>
      <c r="S862" s="59">
        <f>SUMIFS(Eventos!$G:$G,Eventos!$F:$F,$L862,Eventos!$D:$D,$C$2,Eventos!$B:$B,PANES_SEMANALES[[#ALL],[DOMINGO]])</f>
        <v>0</v>
      </c>
      <c r="T862" s="59">
        <f t="shared" si="1"/>
        <v>0</v>
      </c>
    </row>
    <row r="863" ht="22.5" customHeight="1">
      <c r="M863" s="59">
        <f>SUMIFS(Eventos!$G:$G,Eventos!$F:$F,$L863,Eventos!$D:$D,$C$2,Eventos!$B:$B,PANES_SEMANALES[[#ALL],[LUNES]])</f>
        <v>0</v>
      </c>
      <c r="N863" s="59">
        <f>SUMIFS(Eventos!$G:$G,Eventos!$F:$F,$L863,Eventos!$D:$D,$C$2,Eventos!$B:$B,PANES_SEMANALES[[#ALL],[MARTES]])</f>
        <v>0</v>
      </c>
      <c r="O863" s="59">
        <f>SUMIFS(Eventos!$G:$G,Eventos!$F:$F,$L863,Eventos!$D:$D,$C$2,Eventos!$B:$B,PANES_SEMANALES[[#ALL],[MIÉRCOLES]])</f>
        <v>0</v>
      </c>
      <c r="P863" s="59">
        <f>SUMIFS(Eventos!$G:$G,Eventos!$F:$F,$L863,Eventos!$D:$D,$C$2,Eventos!$B:$B,PANES_SEMANALES[[#ALL],[JUEVES]])</f>
        <v>0</v>
      </c>
      <c r="Q863" s="59">
        <f>IF(P863&lt;&gt;"",SUMIFS(Eventos!$G:$G,Eventos!$B:$B,Q$2,Eventos!$D:$D,$C$2,Eventos!$F:$F,$L863),"")</f>
        <v>0</v>
      </c>
      <c r="R863" s="59">
        <f>SUMIFS(Eventos!$G:$G,Eventos!$F:$F,$L863,Eventos!$D:$D,$C$2,Eventos!$B:$B,PANES_SEMANALES[[#ALL],[SÁBADO]])</f>
        <v>0</v>
      </c>
      <c r="S863" s="59">
        <f>SUMIFS(Eventos!$G:$G,Eventos!$F:$F,$L863,Eventos!$D:$D,$C$2,Eventos!$B:$B,PANES_SEMANALES[[#ALL],[DOMINGO]])</f>
        <v>0</v>
      </c>
      <c r="T863" s="59">
        <f t="shared" si="1"/>
        <v>0</v>
      </c>
    </row>
    <row r="864" ht="22.5" customHeight="1">
      <c r="M864" s="59">
        <f>SUMIFS(Eventos!$G:$G,Eventos!$F:$F,$L864,Eventos!$D:$D,$C$2,Eventos!$B:$B,PANES_SEMANALES[[#ALL],[LUNES]])</f>
        <v>0</v>
      </c>
      <c r="N864" s="59">
        <f>SUMIFS(Eventos!$G:$G,Eventos!$F:$F,$L864,Eventos!$D:$D,$C$2,Eventos!$B:$B,PANES_SEMANALES[[#ALL],[MARTES]])</f>
        <v>0</v>
      </c>
      <c r="O864" s="59">
        <f>SUMIFS(Eventos!$G:$G,Eventos!$F:$F,$L864,Eventos!$D:$D,$C$2,Eventos!$B:$B,PANES_SEMANALES[[#ALL],[MIÉRCOLES]])</f>
        <v>0</v>
      </c>
      <c r="P864" s="59">
        <f>SUMIFS(Eventos!$G:$G,Eventos!$F:$F,$L864,Eventos!$D:$D,$C$2,Eventos!$B:$B,PANES_SEMANALES[[#ALL],[JUEVES]])</f>
        <v>0</v>
      </c>
      <c r="Q864" s="59">
        <f>IF(P864&lt;&gt;"",SUMIFS(Eventos!$G:$G,Eventos!$B:$B,Q$2,Eventos!$D:$D,$C$2,Eventos!$F:$F,$L864),"")</f>
        <v>0</v>
      </c>
      <c r="R864" s="59">
        <f>SUMIFS(Eventos!$G:$G,Eventos!$F:$F,$L864,Eventos!$D:$D,$C$2,Eventos!$B:$B,PANES_SEMANALES[[#ALL],[SÁBADO]])</f>
        <v>0</v>
      </c>
      <c r="S864" s="59">
        <f>SUMIFS(Eventos!$G:$G,Eventos!$F:$F,$L864,Eventos!$D:$D,$C$2,Eventos!$B:$B,PANES_SEMANALES[[#ALL],[DOMINGO]])</f>
        <v>0</v>
      </c>
      <c r="T864" s="59">
        <f t="shared" si="1"/>
        <v>0</v>
      </c>
    </row>
    <row r="865" ht="22.5" customHeight="1">
      <c r="M865" s="59">
        <f>SUMIFS(Eventos!$G:$G,Eventos!$F:$F,$L865,Eventos!$D:$D,$C$2,Eventos!$B:$B,PANES_SEMANALES[[#ALL],[LUNES]])</f>
        <v>0</v>
      </c>
      <c r="N865" s="59">
        <f>SUMIFS(Eventos!$G:$G,Eventos!$F:$F,$L865,Eventos!$D:$D,$C$2,Eventos!$B:$B,PANES_SEMANALES[[#ALL],[MARTES]])</f>
        <v>0</v>
      </c>
      <c r="O865" s="59">
        <f>SUMIFS(Eventos!$G:$G,Eventos!$F:$F,$L865,Eventos!$D:$D,$C$2,Eventos!$B:$B,PANES_SEMANALES[[#ALL],[MIÉRCOLES]])</f>
        <v>0</v>
      </c>
      <c r="P865" s="59">
        <f>SUMIFS(Eventos!$G:$G,Eventos!$F:$F,$L865,Eventos!$D:$D,$C$2,Eventos!$B:$B,PANES_SEMANALES[[#ALL],[JUEVES]])</f>
        <v>0</v>
      </c>
      <c r="Q865" s="59">
        <f>IF(P865&lt;&gt;"",SUMIFS(Eventos!$G:$G,Eventos!$B:$B,Q$2,Eventos!$D:$D,$C$2,Eventos!$F:$F,$L865),"")</f>
        <v>0</v>
      </c>
      <c r="R865" s="59">
        <f>SUMIFS(Eventos!$G:$G,Eventos!$F:$F,$L865,Eventos!$D:$D,$C$2,Eventos!$B:$B,PANES_SEMANALES[[#ALL],[SÁBADO]])</f>
        <v>0</v>
      </c>
      <c r="S865" s="59">
        <f>SUMIFS(Eventos!$G:$G,Eventos!$F:$F,$L865,Eventos!$D:$D,$C$2,Eventos!$B:$B,PANES_SEMANALES[[#ALL],[DOMINGO]])</f>
        <v>0</v>
      </c>
      <c r="T865" s="59">
        <f t="shared" si="1"/>
        <v>0</v>
      </c>
    </row>
    <row r="866" ht="22.5" customHeight="1">
      <c r="M866" s="59">
        <f>SUMIFS(Eventos!$G:$G,Eventos!$F:$F,$L866,Eventos!$D:$D,$C$2,Eventos!$B:$B,PANES_SEMANALES[[#ALL],[LUNES]])</f>
        <v>0</v>
      </c>
      <c r="N866" s="59">
        <f>SUMIFS(Eventos!$G:$G,Eventos!$F:$F,$L866,Eventos!$D:$D,$C$2,Eventos!$B:$B,PANES_SEMANALES[[#ALL],[MARTES]])</f>
        <v>0</v>
      </c>
      <c r="O866" s="59">
        <f>SUMIFS(Eventos!$G:$G,Eventos!$F:$F,$L866,Eventos!$D:$D,$C$2,Eventos!$B:$B,PANES_SEMANALES[[#ALL],[MIÉRCOLES]])</f>
        <v>0</v>
      </c>
      <c r="P866" s="59">
        <f>SUMIFS(Eventos!$G:$G,Eventos!$F:$F,$L866,Eventos!$D:$D,$C$2,Eventos!$B:$B,PANES_SEMANALES[[#ALL],[JUEVES]])</f>
        <v>0</v>
      </c>
      <c r="Q866" s="59">
        <f>IF(P866&lt;&gt;"",SUMIFS(Eventos!$G:$G,Eventos!$B:$B,Q$2,Eventos!$D:$D,$C$2,Eventos!$F:$F,$L866),"")</f>
        <v>0</v>
      </c>
      <c r="R866" s="59">
        <f>SUMIFS(Eventos!$G:$G,Eventos!$F:$F,$L866,Eventos!$D:$D,$C$2,Eventos!$B:$B,PANES_SEMANALES[[#ALL],[SÁBADO]])</f>
        <v>0</v>
      </c>
      <c r="S866" s="59">
        <f>SUMIFS(Eventos!$G:$G,Eventos!$F:$F,$L866,Eventos!$D:$D,$C$2,Eventos!$B:$B,PANES_SEMANALES[[#ALL],[DOMINGO]])</f>
        <v>0</v>
      </c>
      <c r="T866" s="59">
        <f t="shared" si="1"/>
        <v>0</v>
      </c>
    </row>
    <row r="867" ht="22.5" customHeight="1">
      <c r="M867" s="59">
        <f>SUMIFS(Eventos!$G:$G,Eventos!$F:$F,$L867,Eventos!$D:$D,$C$2,Eventos!$B:$B,PANES_SEMANALES[[#ALL],[LUNES]])</f>
        <v>0</v>
      </c>
      <c r="N867" s="59">
        <f>SUMIFS(Eventos!$G:$G,Eventos!$F:$F,$L867,Eventos!$D:$D,$C$2,Eventos!$B:$B,PANES_SEMANALES[[#ALL],[MARTES]])</f>
        <v>0</v>
      </c>
      <c r="O867" s="59">
        <f>SUMIFS(Eventos!$G:$G,Eventos!$F:$F,$L867,Eventos!$D:$D,$C$2,Eventos!$B:$B,PANES_SEMANALES[[#ALL],[MIÉRCOLES]])</f>
        <v>0</v>
      </c>
      <c r="P867" s="59">
        <f>SUMIFS(Eventos!$G:$G,Eventos!$F:$F,$L867,Eventos!$D:$D,$C$2,Eventos!$B:$B,PANES_SEMANALES[[#ALL],[JUEVES]])</f>
        <v>0</v>
      </c>
      <c r="Q867" s="59">
        <f>IF(P867&lt;&gt;"",SUMIFS(Eventos!$G:$G,Eventos!$B:$B,Q$2,Eventos!$D:$D,$C$2,Eventos!$F:$F,$L867),"")</f>
        <v>0</v>
      </c>
      <c r="R867" s="59">
        <f>SUMIFS(Eventos!$G:$G,Eventos!$F:$F,$L867,Eventos!$D:$D,$C$2,Eventos!$B:$B,PANES_SEMANALES[[#ALL],[SÁBADO]])</f>
        <v>0</v>
      </c>
      <c r="S867" s="59">
        <f>SUMIFS(Eventos!$G:$G,Eventos!$F:$F,$L867,Eventos!$D:$D,$C$2,Eventos!$B:$B,PANES_SEMANALES[[#ALL],[DOMINGO]])</f>
        <v>0</v>
      </c>
      <c r="T867" s="59">
        <f t="shared" si="1"/>
        <v>0</v>
      </c>
    </row>
    <row r="868" ht="22.5" customHeight="1">
      <c r="M868" s="59">
        <f>SUMIFS(Eventos!$G:$G,Eventos!$F:$F,$L868,Eventos!$D:$D,$C$2,Eventos!$B:$B,PANES_SEMANALES[[#ALL],[LUNES]])</f>
        <v>0</v>
      </c>
      <c r="N868" s="59">
        <f>SUMIFS(Eventos!$G:$G,Eventos!$F:$F,$L868,Eventos!$D:$D,$C$2,Eventos!$B:$B,PANES_SEMANALES[[#ALL],[MARTES]])</f>
        <v>0</v>
      </c>
      <c r="O868" s="59">
        <f>SUMIFS(Eventos!$G:$G,Eventos!$F:$F,$L868,Eventos!$D:$D,$C$2,Eventos!$B:$B,PANES_SEMANALES[[#ALL],[MIÉRCOLES]])</f>
        <v>0</v>
      </c>
      <c r="P868" s="59">
        <f>SUMIFS(Eventos!$G:$G,Eventos!$F:$F,$L868,Eventos!$D:$D,$C$2,Eventos!$B:$B,PANES_SEMANALES[[#ALL],[JUEVES]])</f>
        <v>0</v>
      </c>
      <c r="Q868" s="59">
        <f>IF(P868&lt;&gt;"",SUMIFS(Eventos!$G:$G,Eventos!$B:$B,Q$2,Eventos!$D:$D,$C$2,Eventos!$F:$F,$L868),"")</f>
        <v>0</v>
      </c>
      <c r="R868" s="59">
        <f>SUMIFS(Eventos!$G:$G,Eventos!$F:$F,$L868,Eventos!$D:$D,$C$2,Eventos!$B:$B,PANES_SEMANALES[[#ALL],[SÁBADO]])</f>
        <v>0</v>
      </c>
      <c r="S868" s="59">
        <f>SUMIFS(Eventos!$G:$G,Eventos!$F:$F,$L868,Eventos!$D:$D,$C$2,Eventos!$B:$B,PANES_SEMANALES[[#ALL],[DOMINGO]])</f>
        <v>0</v>
      </c>
      <c r="T868" s="59">
        <f t="shared" si="1"/>
        <v>0</v>
      </c>
    </row>
    <row r="869" ht="22.5" customHeight="1">
      <c r="M869" s="59">
        <f>SUMIFS(Eventos!$G:$G,Eventos!$F:$F,$L869,Eventos!$D:$D,$C$2,Eventos!$B:$B,PANES_SEMANALES[[#ALL],[LUNES]])</f>
        <v>0</v>
      </c>
      <c r="N869" s="59">
        <f>SUMIFS(Eventos!$G:$G,Eventos!$F:$F,$L869,Eventos!$D:$D,$C$2,Eventos!$B:$B,PANES_SEMANALES[[#ALL],[MARTES]])</f>
        <v>0</v>
      </c>
      <c r="O869" s="59">
        <f>SUMIFS(Eventos!$G:$G,Eventos!$F:$F,$L869,Eventos!$D:$D,$C$2,Eventos!$B:$B,PANES_SEMANALES[[#ALL],[MIÉRCOLES]])</f>
        <v>0</v>
      </c>
      <c r="P869" s="59">
        <f>SUMIFS(Eventos!$G:$G,Eventos!$F:$F,$L869,Eventos!$D:$D,$C$2,Eventos!$B:$B,PANES_SEMANALES[[#ALL],[JUEVES]])</f>
        <v>0</v>
      </c>
      <c r="Q869" s="59">
        <f>IF(P869&lt;&gt;"",SUMIFS(Eventos!$G:$G,Eventos!$B:$B,Q$2,Eventos!$D:$D,$C$2,Eventos!$F:$F,$L869),"")</f>
        <v>0</v>
      </c>
      <c r="R869" s="59">
        <f>SUMIFS(Eventos!$G:$G,Eventos!$F:$F,$L869,Eventos!$D:$D,$C$2,Eventos!$B:$B,PANES_SEMANALES[[#ALL],[SÁBADO]])</f>
        <v>0</v>
      </c>
      <c r="S869" s="59">
        <f>SUMIFS(Eventos!$G:$G,Eventos!$F:$F,$L869,Eventos!$D:$D,$C$2,Eventos!$B:$B,PANES_SEMANALES[[#ALL],[DOMINGO]])</f>
        <v>0</v>
      </c>
      <c r="T869" s="59">
        <f t="shared" si="1"/>
        <v>0</v>
      </c>
    </row>
    <row r="870" ht="22.5" customHeight="1">
      <c r="M870" s="59">
        <f>SUMIFS(Eventos!$G:$G,Eventos!$F:$F,$L870,Eventos!$D:$D,$C$2,Eventos!$B:$B,PANES_SEMANALES[[#ALL],[LUNES]])</f>
        <v>0</v>
      </c>
      <c r="N870" s="59">
        <f>SUMIFS(Eventos!$G:$G,Eventos!$F:$F,$L870,Eventos!$D:$D,$C$2,Eventos!$B:$B,PANES_SEMANALES[[#ALL],[MARTES]])</f>
        <v>0</v>
      </c>
      <c r="O870" s="59">
        <f>SUMIFS(Eventos!$G:$G,Eventos!$F:$F,$L870,Eventos!$D:$D,$C$2,Eventos!$B:$B,PANES_SEMANALES[[#ALL],[MIÉRCOLES]])</f>
        <v>0</v>
      </c>
      <c r="P870" s="59">
        <f>SUMIFS(Eventos!$G:$G,Eventos!$F:$F,$L870,Eventos!$D:$D,$C$2,Eventos!$B:$B,PANES_SEMANALES[[#ALL],[JUEVES]])</f>
        <v>0</v>
      </c>
      <c r="Q870" s="59">
        <f>IF(P870&lt;&gt;"",SUMIFS(Eventos!$G:$G,Eventos!$B:$B,Q$2,Eventos!$D:$D,$C$2,Eventos!$F:$F,$L870),"")</f>
        <v>0</v>
      </c>
      <c r="R870" s="59">
        <f>SUMIFS(Eventos!$G:$G,Eventos!$F:$F,$L870,Eventos!$D:$D,$C$2,Eventos!$B:$B,PANES_SEMANALES[[#ALL],[SÁBADO]])</f>
        <v>0</v>
      </c>
      <c r="S870" s="59">
        <f>SUMIFS(Eventos!$G:$G,Eventos!$F:$F,$L870,Eventos!$D:$D,$C$2,Eventos!$B:$B,PANES_SEMANALES[[#ALL],[DOMINGO]])</f>
        <v>0</v>
      </c>
      <c r="T870" s="59">
        <f t="shared" si="1"/>
        <v>0</v>
      </c>
    </row>
    <row r="871" ht="22.5" customHeight="1">
      <c r="M871" s="59">
        <f>SUMIFS(Eventos!$G:$G,Eventos!$F:$F,$L871,Eventos!$D:$D,$C$2,Eventos!$B:$B,PANES_SEMANALES[[#ALL],[LUNES]])</f>
        <v>0</v>
      </c>
      <c r="N871" s="59">
        <f>SUMIFS(Eventos!$G:$G,Eventos!$F:$F,$L871,Eventos!$D:$D,$C$2,Eventos!$B:$B,PANES_SEMANALES[[#ALL],[MARTES]])</f>
        <v>0</v>
      </c>
      <c r="O871" s="59">
        <f>SUMIFS(Eventos!$G:$G,Eventos!$F:$F,$L871,Eventos!$D:$D,$C$2,Eventos!$B:$B,PANES_SEMANALES[[#ALL],[MIÉRCOLES]])</f>
        <v>0</v>
      </c>
      <c r="P871" s="59">
        <f>SUMIFS(Eventos!$G:$G,Eventos!$F:$F,$L871,Eventos!$D:$D,$C$2,Eventos!$B:$B,PANES_SEMANALES[[#ALL],[JUEVES]])</f>
        <v>0</v>
      </c>
      <c r="Q871" s="59">
        <f>IF(P871&lt;&gt;"",SUMIFS(Eventos!$G:$G,Eventos!$B:$B,Q$2,Eventos!$D:$D,$C$2,Eventos!$F:$F,$L871),"")</f>
        <v>0</v>
      </c>
      <c r="R871" s="59">
        <f>SUMIFS(Eventos!$G:$G,Eventos!$F:$F,$L871,Eventos!$D:$D,$C$2,Eventos!$B:$B,PANES_SEMANALES[[#ALL],[SÁBADO]])</f>
        <v>0</v>
      </c>
      <c r="S871" s="59">
        <f>SUMIFS(Eventos!$G:$G,Eventos!$F:$F,$L871,Eventos!$D:$D,$C$2,Eventos!$B:$B,PANES_SEMANALES[[#ALL],[DOMINGO]])</f>
        <v>0</v>
      </c>
      <c r="T871" s="59">
        <f t="shared" si="1"/>
        <v>0</v>
      </c>
    </row>
    <row r="872" ht="22.5" customHeight="1">
      <c r="M872" s="59">
        <f>SUMIFS(Eventos!$G:$G,Eventos!$F:$F,$L872,Eventos!$D:$D,$C$2,Eventos!$B:$B,PANES_SEMANALES[[#ALL],[LUNES]])</f>
        <v>0</v>
      </c>
      <c r="N872" s="59">
        <f>SUMIFS(Eventos!$G:$G,Eventos!$F:$F,$L872,Eventos!$D:$D,$C$2,Eventos!$B:$B,PANES_SEMANALES[[#ALL],[MARTES]])</f>
        <v>0</v>
      </c>
      <c r="O872" s="59">
        <f>SUMIFS(Eventos!$G:$G,Eventos!$F:$F,$L872,Eventos!$D:$D,$C$2,Eventos!$B:$B,PANES_SEMANALES[[#ALL],[MIÉRCOLES]])</f>
        <v>0</v>
      </c>
      <c r="P872" s="59">
        <f>SUMIFS(Eventos!$G:$G,Eventos!$F:$F,$L872,Eventos!$D:$D,$C$2,Eventos!$B:$B,PANES_SEMANALES[[#ALL],[JUEVES]])</f>
        <v>0</v>
      </c>
      <c r="Q872" s="59">
        <f>IF(P872&lt;&gt;"",SUMIFS(Eventos!$G:$G,Eventos!$B:$B,Q$2,Eventos!$D:$D,$C$2,Eventos!$F:$F,$L872),"")</f>
        <v>0</v>
      </c>
      <c r="R872" s="59">
        <f>SUMIFS(Eventos!$G:$G,Eventos!$F:$F,$L872,Eventos!$D:$D,$C$2,Eventos!$B:$B,PANES_SEMANALES[[#ALL],[SÁBADO]])</f>
        <v>0</v>
      </c>
      <c r="S872" s="59">
        <f>SUMIFS(Eventos!$G:$G,Eventos!$F:$F,$L872,Eventos!$D:$D,$C$2,Eventos!$B:$B,PANES_SEMANALES[[#ALL],[DOMINGO]])</f>
        <v>0</v>
      </c>
      <c r="T872" s="59">
        <f t="shared" si="1"/>
        <v>0</v>
      </c>
    </row>
    <row r="873" ht="22.5" customHeight="1">
      <c r="M873" s="59">
        <f>SUMIFS(Eventos!$G:$G,Eventos!$F:$F,$L873,Eventos!$D:$D,$C$2,Eventos!$B:$B,PANES_SEMANALES[[#ALL],[LUNES]])</f>
        <v>0</v>
      </c>
      <c r="N873" s="59">
        <f>SUMIFS(Eventos!$G:$G,Eventos!$F:$F,$L873,Eventos!$D:$D,$C$2,Eventos!$B:$B,PANES_SEMANALES[[#ALL],[MARTES]])</f>
        <v>0</v>
      </c>
      <c r="O873" s="59">
        <f>SUMIFS(Eventos!$G:$G,Eventos!$F:$F,$L873,Eventos!$D:$D,$C$2,Eventos!$B:$B,PANES_SEMANALES[[#ALL],[MIÉRCOLES]])</f>
        <v>0</v>
      </c>
      <c r="P873" s="59">
        <f>SUMIFS(Eventos!$G:$G,Eventos!$F:$F,$L873,Eventos!$D:$D,$C$2,Eventos!$B:$B,PANES_SEMANALES[[#ALL],[JUEVES]])</f>
        <v>0</v>
      </c>
      <c r="Q873" s="59">
        <f>IF(P873&lt;&gt;"",SUMIFS(Eventos!$G:$G,Eventos!$B:$B,Q$2,Eventos!$D:$D,$C$2,Eventos!$F:$F,$L873),"")</f>
        <v>0</v>
      </c>
      <c r="R873" s="59">
        <f>SUMIFS(Eventos!$G:$G,Eventos!$F:$F,$L873,Eventos!$D:$D,$C$2,Eventos!$B:$B,PANES_SEMANALES[[#ALL],[SÁBADO]])</f>
        <v>0</v>
      </c>
      <c r="S873" s="59">
        <f>SUMIFS(Eventos!$G:$G,Eventos!$F:$F,$L873,Eventos!$D:$D,$C$2,Eventos!$B:$B,PANES_SEMANALES[[#ALL],[DOMINGO]])</f>
        <v>0</v>
      </c>
      <c r="T873" s="59">
        <f t="shared" si="1"/>
        <v>0</v>
      </c>
    </row>
    <row r="874" ht="22.5" customHeight="1">
      <c r="M874" s="59">
        <f>SUMIFS(Eventos!$G:$G,Eventos!$F:$F,$L874,Eventos!$D:$D,$C$2,Eventos!$B:$B,PANES_SEMANALES[[#ALL],[LUNES]])</f>
        <v>0</v>
      </c>
      <c r="N874" s="59">
        <f>SUMIFS(Eventos!$G:$G,Eventos!$F:$F,$L874,Eventos!$D:$D,$C$2,Eventos!$B:$B,PANES_SEMANALES[[#ALL],[MARTES]])</f>
        <v>0</v>
      </c>
      <c r="O874" s="59">
        <f>SUMIFS(Eventos!$G:$G,Eventos!$F:$F,$L874,Eventos!$D:$D,$C$2,Eventos!$B:$B,PANES_SEMANALES[[#ALL],[MIÉRCOLES]])</f>
        <v>0</v>
      </c>
      <c r="P874" s="59">
        <f>SUMIFS(Eventos!$G:$G,Eventos!$F:$F,$L874,Eventos!$D:$D,$C$2,Eventos!$B:$B,PANES_SEMANALES[[#ALL],[JUEVES]])</f>
        <v>0</v>
      </c>
      <c r="Q874" s="59">
        <f>IF(P874&lt;&gt;"",SUMIFS(Eventos!$G:$G,Eventos!$B:$B,Q$2,Eventos!$D:$D,$C$2,Eventos!$F:$F,$L874),"")</f>
        <v>0</v>
      </c>
      <c r="R874" s="59">
        <f>SUMIFS(Eventos!$G:$G,Eventos!$F:$F,$L874,Eventos!$D:$D,$C$2,Eventos!$B:$B,PANES_SEMANALES[[#ALL],[SÁBADO]])</f>
        <v>0</v>
      </c>
      <c r="S874" s="59">
        <f>SUMIFS(Eventos!$G:$G,Eventos!$F:$F,$L874,Eventos!$D:$D,$C$2,Eventos!$B:$B,PANES_SEMANALES[[#ALL],[DOMINGO]])</f>
        <v>0</v>
      </c>
      <c r="T874" s="59">
        <f t="shared" si="1"/>
        <v>0</v>
      </c>
    </row>
    <row r="875" ht="22.5" customHeight="1">
      <c r="M875" s="59">
        <f>SUMIFS(Eventos!$G:$G,Eventos!$F:$F,$L875,Eventos!$D:$D,$C$2,Eventos!$B:$B,PANES_SEMANALES[[#ALL],[LUNES]])</f>
        <v>0</v>
      </c>
      <c r="N875" s="59">
        <f>SUMIFS(Eventos!$G:$G,Eventos!$F:$F,$L875,Eventos!$D:$D,$C$2,Eventos!$B:$B,PANES_SEMANALES[[#ALL],[MARTES]])</f>
        <v>0</v>
      </c>
      <c r="O875" s="59">
        <f>SUMIFS(Eventos!$G:$G,Eventos!$F:$F,$L875,Eventos!$D:$D,$C$2,Eventos!$B:$B,PANES_SEMANALES[[#ALL],[MIÉRCOLES]])</f>
        <v>0</v>
      </c>
      <c r="P875" s="59">
        <f>SUMIFS(Eventos!$G:$G,Eventos!$F:$F,$L875,Eventos!$D:$D,$C$2,Eventos!$B:$B,PANES_SEMANALES[[#ALL],[JUEVES]])</f>
        <v>0</v>
      </c>
      <c r="Q875" s="59">
        <f>IF(P875&lt;&gt;"",SUMIFS(Eventos!$G:$G,Eventos!$B:$B,Q$2,Eventos!$D:$D,$C$2,Eventos!$F:$F,$L875),"")</f>
        <v>0</v>
      </c>
      <c r="R875" s="59">
        <f>SUMIFS(Eventos!$G:$G,Eventos!$F:$F,$L875,Eventos!$D:$D,$C$2,Eventos!$B:$B,PANES_SEMANALES[[#ALL],[SÁBADO]])</f>
        <v>0</v>
      </c>
      <c r="S875" s="59">
        <f>SUMIFS(Eventos!$G:$G,Eventos!$F:$F,$L875,Eventos!$D:$D,$C$2,Eventos!$B:$B,PANES_SEMANALES[[#ALL],[DOMINGO]])</f>
        <v>0</v>
      </c>
      <c r="T875" s="59">
        <f t="shared" si="1"/>
        <v>0</v>
      </c>
    </row>
    <row r="876" ht="22.5" customHeight="1">
      <c r="M876" s="59">
        <f>SUMIFS(Eventos!$G:$G,Eventos!$F:$F,$L876,Eventos!$D:$D,$C$2,Eventos!$B:$B,PANES_SEMANALES[[#ALL],[LUNES]])</f>
        <v>0</v>
      </c>
      <c r="N876" s="59">
        <f>SUMIFS(Eventos!$G:$G,Eventos!$F:$F,$L876,Eventos!$D:$D,$C$2,Eventos!$B:$B,PANES_SEMANALES[[#ALL],[MARTES]])</f>
        <v>0</v>
      </c>
      <c r="O876" s="59">
        <f>SUMIFS(Eventos!$G:$G,Eventos!$F:$F,$L876,Eventos!$D:$D,$C$2,Eventos!$B:$B,PANES_SEMANALES[[#ALL],[MIÉRCOLES]])</f>
        <v>0</v>
      </c>
      <c r="P876" s="59">
        <f>SUMIFS(Eventos!$G:$G,Eventos!$F:$F,$L876,Eventos!$D:$D,$C$2,Eventos!$B:$B,PANES_SEMANALES[[#ALL],[JUEVES]])</f>
        <v>0</v>
      </c>
      <c r="Q876" s="59">
        <f>IF(P876&lt;&gt;"",SUMIFS(Eventos!$G:$G,Eventos!$B:$B,Q$2,Eventos!$D:$D,$C$2,Eventos!$F:$F,$L876),"")</f>
        <v>0</v>
      </c>
      <c r="R876" s="59">
        <f>SUMIFS(Eventos!$G:$G,Eventos!$F:$F,$L876,Eventos!$D:$D,$C$2,Eventos!$B:$B,PANES_SEMANALES[[#ALL],[SÁBADO]])</f>
        <v>0</v>
      </c>
      <c r="S876" s="59">
        <f>SUMIFS(Eventos!$G:$G,Eventos!$F:$F,$L876,Eventos!$D:$D,$C$2,Eventos!$B:$B,PANES_SEMANALES[[#ALL],[DOMINGO]])</f>
        <v>0</v>
      </c>
      <c r="T876" s="59">
        <f t="shared" si="1"/>
        <v>0</v>
      </c>
    </row>
    <row r="877" ht="22.5" customHeight="1">
      <c r="M877" s="59">
        <f>SUMIFS(Eventos!$G:$G,Eventos!$F:$F,$L877,Eventos!$D:$D,$C$2,Eventos!$B:$B,PANES_SEMANALES[[#ALL],[LUNES]])</f>
        <v>0</v>
      </c>
      <c r="N877" s="59">
        <f>SUMIFS(Eventos!$G:$G,Eventos!$F:$F,$L877,Eventos!$D:$D,$C$2,Eventos!$B:$B,PANES_SEMANALES[[#ALL],[MARTES]])</f>
        <v>0</v>
      </c>
      <c r="O877" s="59">
        <f>SUMIFS(Eventos!$G:$G,Eventos!$F:$F,$L877,Eventos!$D:$D,$C$2,Eventos!$B:$B,PANES_SEMANALES[[#ALL],[MIÉRCOLES]])</f>
        <v>0</v>
      </c>
      <c r="P877" s="59">
        <f>SUMIFS(Eventos!$G:$G,Eventos!$F:$F,$L877,Eventos!$D:$D,$C$2,Eventos!$B:$B,PANES_SEMANALES[[#ALL],[JUEVES]])</f>
        <v>0</v>
      </c>
      <c r="Q877" s="59">
        <f>IF(P877&lt;&gt;"",SUMIFS(Eventos!$G:$G,Eventos!$B:$B,Q$2,Eventos!$D:$D,$C$2,Eventos!$F:$F,$L877),"")</f>
        <v>0</v>
      </c>
      <c r="R877" s="59">
        <f>SUMIFS(Eventos!$G:$G,Eventos!$F:$F,$L877,Eventos!$D:$D,$C$2,Eventos!$B:$B,PANES_SEMANALES[[#ALL],[SÁBADO]])</f>
        <v>0</v>
      </c>
      <c r="S877" s="59">
        <f>SUMIFS(Eventos!$G:$G,Eventos!$F:$F,$L877,Eventos!$D:$D,$C$2,Eventos!$B:$B,PANES_SEMANALES[[#ALL],[DOMINGO]])</f>
        <v>0</v>
      </c>
      <c r="T877" s="59">
        <f t="shared" si="1"/>
        <v>0</v>
      </c>
    </row>
    <row r="878" ht="22.5" customHeight="1">
      <c r="M878" s="59">
        <f>SUMIFS(Eventos!$G:$G,Eventos!$F:$F,$L878,Eventos!$D:$D,$C$2,Eventos!$B:$B,PANES_SEMANALES[[#ALL],[LUNES]])</f>
        <v>0</v>
      </c>
      <c r="N878" s="59">
        <f>SUMIFS(Eventos!$G:$G,Eventos!$F:$F,$L878,Eventos!$D:$D,$C$2,Eventos!$B:$B,PANES_SEMANALES[[#ALL],[MARTES]])</f>
        <v>0</v>
      </c>
      <c r="O878" s="59">
        <f>SUMIFS(Eventos!$G:$G,Eventos!$F:$F,$L878,Eventos!$D:$D,$C$2,Eventos!$B:$B,PANES_SEMANALES[[#ALL],[MIÉRCOLES]])</f>
        <v>0</v>
      </c>
      <c r="P878" s="59">
        <f>SUMIFS(Eventos!$G:$G,Eventos!$F:$F,$L878,Eventos!$D:$D,$C$2,Eventos!$B:$B,PANES_SEMANALES[[#ALL],[JUEVES]])</f>
        <v>0</v>
      </c>
      <c r="Q878" s="59">
        <f>IF(P878&lt;&gt;"",SUMIFS(Eventos!$G:$G,Eventos!$B:$B,Q$2,Eventos!$D:$D,$C$2,Eventos!$F:$F,$L878),"")</f>
        <v>0</v>
      </c>
      <c r="R878" s="59">
        <f>SUMIFS(Eventos!$G:$G,Eventos!$F:$F,$L878,Eventos!$D:$D,$C$2,Eventos!$B:$B,PANES_SEMANALES[[#ALL],[SÁBADO]])</f>
        <v>0</v>
      </c>
      <c r="S878" s="59">
        <f>SUMIFS(Eventos!$G:$G,Eventos!$F:$F,$L878,Eventos!$D:$D,$C$2,Eventos!$B:$B,PANES_SEMANALES[[#ALL],[DOMINGO]])</f>
        <v>0</v>
      </c>
      <c r="T878" s="59">
        <f t="shared" si="1"/>
        <v>0</v>
      </c>
    </row>
    <row r="879" ht="22.5" customHeight="1">
      <c r="M879" s="59">
        <f>SUMIFS(Eventos!$G:$G,Eventos!$F:$F,$L879,Eventos!$D:$D,$C$2,Eventos!$B:$B,PANES_SEMANALES[[#ALL],[LUNES]])</f>
        <v>0</v>
      </c>
      <c r="N879" s="59">
        <f>SUMIFS(Eventos!$G:$G,Eventos!$F:$F,$L879,Eventos!$D:$D,$C$2,Eventos!$B:$B,PANES_SEMANALES[[#ALL],[MARTES]])</f>
        <v>0</v>
      </c>
      <c r="O879" s="59">
        <f>SUMIFS(Eventos!$G:$G,Eventos!$F:$F,$L879,Eventos!$D:$D,$C$2,Eventos!$B:$B,PANES_SEMANALES[[#ALL],[MIÉRCOLES]])</f>
        <v>0</v>
      </c>
      <c r="P879" s="59">
        <f>SUMIFS(Eventos!$G:$G,Eventos!$F:$F,$L879,Eventos!$D:$D,$C$2,Eventos!$B:$B,PANES_SEMANALES[[#ALL],[JUEVES]])</f>
        <v>0</v>
      </c>
      <c r="Q879" s="59">
        <f>IF(P879&lt;&gt;"",SUMIFS(Eventos!$G:$G,Eventos!$B:$B,Q$2,Eventos!$D:$D,$C$2,Eventos!$F:$F,$L879),"")</f>
        <v>0</v>
      </c>
      <c r="R879" s="59">
        <f>SUMIFS(Eventos!$G:$G,Eventos!$F:$F,$L879,Eventos!$D:$D,$C$2,Eventos!$B:$B,PANES_SEMANALES[[#ALL],[SÁBADO]])</f>
        <v>0</v>
      </c>
      <c r="S879" s="59">
        <f>SUMIFS(Eventos!$G:$G,Eventos!$F:$F,$L879,Eventos!$D:$D,$C$2,Eventos!$B:$B,PANES_SEMANALES[[#ALL],[DOMINGO]])</f>
        <v>0</v>
      </c>
      <c r="T879" s="59">
        <f t="shared" si="1"/>
        <v>0</v>
      </c>
    </row>
    <row r="880" ht="22.5" customHeight="1">
      <c r="M880" s="59">
        <f>SUMIFS(Eventos!$G:$G,Eventos!$F:$F,$L880,Eventos!$D:$D,$C$2,Eventos!$B:$B,PANES_SEMANALES[[#ALL],[LUNES]])</f>
        <v>0</v>
      </c>
      <c r="N880" s="59">
        <f>SUMIFS(Eventos!$G:$G,Eventos!$F:$F,$L880,Eventos!$D:$D,$C$2,Eventos!$B:$B,PANES_SEMANALES[[#ALL],[MARTES]])</f>
        <v>0</v>
      </c>
      <c r="O880" s="59">
        <f>SUMIFS(Eventos!$G:$G,Eventos!$F:$F,$L880,Eventos!$D:$D,$C$2,Eventos!$B:$B,PANES_SEMANALES[[#ALL],[MIÉRCOLES]])</f>
        <v>0</v>
      </c>
      <c r="P880" s="59">
        <f>SUMIFS(Eventos!$G:$G,Eventos!$F:$F,$L880,Eventos!$D:$D,$C$2,Eventos!$B:$B,PANES_SEMANALES[[#ALL],[JUEVES]])</f>
        <v>0</v>
      </c>
      <c r="Q880" s="59">
        <f>IF(P880&lt;&gt;"",SUMIFS(Eventos!$G:$G,Eventos!$B:$B,Q$2,Eventos!$D:$D,$C$2,Eventos!$F:$F,$L880),"")</f>
        <v>0</v>
      </c>
      <c r="R880" s="59">
        <f>SUMIFS(Eventos!$G:$G,Eventos!$F:$F,$L880,Eventos!$D:$D,$C$2,Eventos!$B:$B,PANES_SEMANALES[[#ALL],[SÁBADO]])</f>
        <v>0</v>
      </c>
      <c r="S880" s="59">
        <f>SUMIFS(Eventos!$G:$G,Eventos!$F:$F,$L880,Eventos!$D:$D,$C$2,Eventos!$B:$B,PANES_SEMANALES[[#ALL],[DOMINGO]])</f>
        <v>0</v>
      </c>
      <c r="T880" s="59">
        <f t="shared" si="1"/>
        <v>0</v>
      </c>
    </row>
    <row r="881" ht="22.5" customHeight="1">
      <c r="M881" s="59">
        <f>SUMIFS(Eventos!$G:$G,Eventos!$F:$F,$L881,Eventos!$D:$D,$C$2,Eventos!$B:$B,PANES_SEMANALES[[#ALL],[LUNES]])</f>
        <v>0</v>
      </c>
      <c r="N881" s="59">
        <f>SUMIFS(Eventos!$G:$G,Eventos!$F:$F,$L881,Eventos!$D:$D,$C$2,Eventos!$B:$B,PANES_SEMANALES[[#ALL],[MARTES]])</f>
        <v>0</v>
      </c>
      <c r="O881" s="59">
        <f>SUMIFS(Eventos!$G:$G,Eventos!$F:$F,$L881,Eventos!$D:$D,$C$2,Eventos!$B:$B,PANES_SEMANALES[[#ALL],[MIÉRCOLES]])</f>
        <v>0</v>
      </c>
      <c r="P881" s="59">
        <f>SUMIFS(Eventos!$G:$G,Eventos!$F:$F,$L881,Eventos!$D:$D,$C$2,Eventos!$B:$B,PANES_SEMANALES[[#ALL],[JUEVES]])</f>
        <v>0</v>
      </c>
      <c r="Q881" s="59">
        <f>IF(P881&lt;&gt;"",SUMIFS(Eventos!$G:$G,Eventos!$B:$B,Q$2,Eventos!$D:$D,$C$2,Eventos!$F:$F,$L881),"")</f>
        <v>0</v>
      </c>
      <c r="R881" s="59">
        <f>SUMIFS(Eventos!$G:$G,Eventos!$F:$F,$L881,Eventos!$D:$D,$C$2,Eventos!$B:$B,PANES_SEMANALES[[#ALL],[SÁBADO]])</f>
        <v>0</v>
      </c>
      <c r="S881" s="59">
        <f>SUMIFS(Eventos!$G:$G,Eventos!$F:$F,$L881,Eventos!$D:$D,$C$2,Eventos!$B:$B,PANES_SEMANALES[[#ALL],[DOMINGO]])</f>
        <v>0</v>
      </c>
      <c r="T881" s="59">
        <f t="shared" si="1"/>
        <v>0</v>
      </c>
    </row>
    <row r="882" ht="22.5" customHeight="1">
      <c r="M882" s="59">
        <f>SUMIFS(Eventos!$G:$G,Eventos!$F:$F,$L882,Eventos!$D:$D,$C$2,Eventos!$B:$B,PANES_SEMANALES[[#ALL],[LUNES]])</f>
        <v>0</v>
      </c>
      <c r="N882" s="59">
        <f>SUMIFS(Eventos!$G:$G,Eventos!$F:$F,$L882,Eventos!$D:$D,$C$2,Eventos!$B:$B,PANES_SEMANALES[[#ALL],[MARTES]])</f>
        <v>0</v>
      </c>
      <c r="O882" s="59">
        <f>SUMIFS(Eventos!$G:$G,Eventos!$F:$F,$L882,Eventos!$D:$D,$C$2,Eventos!$B:$B,PANES_SEMANALES[[#ALL],[MIÉRCOLES]])</f>
        <v>0</v>
      </c>
      <c r="P882" s="59">
        <f>SUMIFS(Eventos!$G:$G,Eventos!$F:$F,$L882,Eventos!$D:$D,$C$2,Eventos!$B:$B,PANES_SEMANALES[[#ALL],[JUEVES]])</f>
        <v>0</v>
      </c>
      <c r="Q882" s="59">
        <f>IF(P882&lt;&gt;"",SUMIFS(Eventos!$G:$G,Eventos!$B:$B,Q$2,Eventos!$D:$D,$C$2,Eventos!$F:$F,$L882),"")</f>
        <v>0</v>
      </c>
      <c r="R882" s="59">
        <f>SUMIFS(Eventos!$G:$G,Eventos!$F:$F,$L882,Eventos!$D:$D,$C$2,Eventos!$B:$B,PANES_SEMANALES[[#ALL],[SÁBADO]])</f>
        <v>0</v>
      </c>
      <c r="S882" s="59">
        <f>SUMIFS(Eventos!$G:$G,Eventos!$F:$F,$L882,Eventos!$D:$D,$C$2,Eventos!$B:$B,PANES_SEMANALES[[#ALL],[DOMINGO]])</f>
        <v>0</v>
      </c>
      <c r="T882" s="59">
        <f t="shared" si="1"/>
        <v>0</v>
      </c>
    </row>
    <row r="883" ht="22.5" customHeight="1">
      <c r="M883" s="59">
        <f>SUMIFS(Eventos!$G:$G,Eventos!$F:$F,$L883,Eventos!$D:$D,$C$2,Eventos!$B:$B,PANES_SEMANALES[[#ALL],[LUNES]])</f>
        <v>0</v>
      </c>
      <c r="N883" s="59">
        <f>SUMIFS(Eventos!$G:$G,Eventos!$F:$F,$L883,Eventos!$D:$D,$C$2,Eventos!$B:$B,PANES_SEMANALES[[#ALL],[MARTES]])</f>
        <v>0</v>
      </c>
      <c r="O883" s="59">
        <f>SUMIFS(Eventos!$G:$G,Eventos!$F:$F,$L883,Eventos!$D:$D,$C$2,Eventos!$B:$B,PANES_SEMANALES[[#ALL],[MIÉRCOLES]])</f>
        <v>0</v>
      </c>
      <c r="P883" s="59">
        <f>SUMIFS(Eventos!$G:$G,Eventos!$F:$F,$L883,Eventos!$D:$D,$C$2,Eventos!$B:$B,PANES_SEMANALES[[#ALL],[JUEVES]])</f>
        <v>0</v>
      </c>
      <c r="Q883" s="59">
        <f>IF(P883&lt;&gt;"",SUMIFS(Eventos!$G:$G,Eventos!$B:$B,Q$2,Eventos!$D:$D,$C$2,Eventos!$F:$F,$L883),"")</f>
        <v>0</v>
      </c>
      <c r="R883" s="59">
        <f>SUMIFS(Eventos!$G:$G,Eventos!$F:$F,$L883,Eventos!$D:$D,$C$2,Eventos!$B:$B,PANES_SEMANALES[[#ALL],[SÁBADO]])</f>
        <v>0</v>
      </c>
      <c r="S883" s="59">
        <f>SUMIFS(Eventos!$G:$G,Eventos!$F:$F,$L883,Eventos!$D:$D,$C$2,Eventos!$B:$B,PANES_SEMANALES[[#ALL],[DOMINGO]])</f>
        <v>0</v>
      </c>
      <c r="T883" s="59">
        <f t="shared" si="1"/>
        <v>0</v>
      </c>
    </row>
    <row r="884" ht="22.5" customHeight="1">
      <c r="M884" s="59">
        <f>SUMIFS(Eventos!$G:$G,Eventos!$F:$F,$L884,Eventos!$D:$D,$C$2,Eventos!$B:$B,PANES_SEMANALES[[#ALL],[LUNES]])</f>
        <v>0</v>
      </c>
      <c r="N884" s="59">
        <f>SUMIFS(Eventos!$G:$G,Eventos!$F:$F,$L884,Eventos!$D:$D,$C$2,Eventos!$B:$B,PANES_SEMANALES[[#ALL],[MARTES]])</f>
        <v>0</v>
      </c>
      <c r="O884" s="59">
        <f>SUMIFS(Eventos!$G:$G,Eventos!$F:$F,$L884,Eventos!$D:$D,$C$2,Eventos!$B:$B,PANES_SEMANALES[[#ALL],[MIÉRCOLES]])</f>
        <v>0</v>
      </c>
      <c r="P884" s="59">
        <f>SUMIFS(Eventos!$G:$G,Eventos!$F:$F,$L884,Eventos!$D:$D,$C$2,Eventos!$B:$B,PANES_SEMANALES[[#ALL],[JUEVES]])</f>
        <v>0</v>
      </c>
      <c r="Q884" s="59">
        <f>IF(P884&lt;&gt;"",SUMIFS(Eventos!$G:$G,Eventos!$B:$B,Q$2,Eventos!$D:$D,$C$2,Eventos!$F:$F,$L884),"")</f>
        <v>0</v>
      </c>
      <c r="R884" s="59">
        <f>SUMIFS(Eventos!$G:$G,Eventos!$F:$F,$L884,Eventos!$D:$D,$C$2,Eventos!$B:$B,PANES_SEMANALES[[#ALL],[SÁBADO]])</f>
        <v>0</v>
      </c>
      <c r="S884" s="59">
        <f>SUMIFS(Eventos!$G:$G,Eventos!$F:$F,$L884,Eventos!$D:$D,$C$2,Eventos!$B:$B,PANES_SEMANALES[[#ALL],[DOMINGO]])</f>
        <v>0</v>
      </c>
      <c r="T884" s="59">
        <f t="shared" si="1"/>
        <v>0</v>
      </c>
    </row>
    <row r="885" ht="22.5" customHeight="1">
      <c r="M885" s="59">
        <f>SUMIFS(Eventos!$G:$G,Eventos!$F:$F,$L885,Eventos!$D:$D,$C$2,Eventos!$B:$B,PANES_SEMANALES[[#ALL],[LUNES]])</f>
        <v>0</v>
      </c>
      <c r="N885" s="59">
        <f>SUMIFS(Eventos!$G:$G,Eventos!$F:$F,$L885,Eventos!$D:$D,$C$2,Eventos!$B:$B,PANES_SEMANALES[[#ALL],[MARTES]])</f>
        <v>0</v>
      </c>
      <c r="O885" s="59">
        <f>SUMIFS(Eventos!$G:$G,Eventos!$F:$F,$L885,Eventos!$D:$D,$C$2,Eventos!$B:$B,PANES_SEMANALES[[#ALL],[MIÉRCOLES]])</f>
        <v>0</v>
      </c>
      <c r="P885" s="59">
        <f>SUMIFS(Eventos!$G:$G,Eventos!$F:$F,$L885,Eventos!$D:$D,$C$2,Eventos!$B:$B,PANES_SEMANALES[[#ALL],[JUEVES]])</f>
        <v>0</v>
      </c>
      <c r="Q885" s="59">
        <f>IF(P885&lt;&gt;"",SUMIFS(Eventos!$G:$G,Eventos!$B:$B,Q$2,Eventos!$D:$D,$C$2,Eventos!$F:$F,$L885),"")</f>
        <v>0</v>
      </c>
      <c r="R885" s="59">
        <f>SUMIFS(Eventos!$G:$G,Eventos!$F:$F,$L885,Eventos!$D:$D,$C$2,Eventos!$B:$B,PANES_SEMANALES[[#ALL],[SÁBADO]])</f>
        <v>0</v>
      </c>
      <c r="S885" s="59">
        <f>SUMIFS(Eventos!$G:$G,Eventos!$F:$F,$L885,Eventos!$D:$D,$C$2,Eventos!$B:$B,PANES_SEMANALES[[#ALL],[DOMINGO]])</f>
        <v>0</v>
      </c>
      <c r="T885" s="59">
        <f t="shared" si="1"/>
        <v>0</v>
      </c>
    </row>
    <row r="886" ht="22.5" customHeight="1">
      <c r="M886" s="59">
        <f>SUMIFS(Eventos!$G:$G,Eventos!$F:$F,$L886,Eventos!$D:$D,$C$2,Eventos!$B:$B,PANES_SEMANALES[[#ALL],[LUNES]])</f>
        <v>0</v>
      </c>
      <c r="N886" s="59">
        <f>SUMIFS(Eventos!$G:$G,Eventos!$F:$F,$L886,Eventos!$D:$D,$C$2,Eventos!$B:$B,PANES_SEMANALES[[#ALL],[MARTES]])</f>
        <v>0</v>
      </c>
      <c r="O886" s="59">
        <f>SUMIFS(Eventos!$G:$G,Eventos!$F:$F,$L886,Eventos!$D:$D,$C$2,Eventos!$B:$B,PANES_SEMANALES[[#ALL],[MIÉRCOLES]])</f>
        <v>0</v>
      </c>
      <c r="P886" s="59">
        <f>SUMIFS(Eventos!$G:$G,Eventos!$F:$F,$L886,Eventos!$D:$D,$C$2,Eventos!$B:$B,PANES_SEMANALES[[#ALL],[JUEVES]])</f>
        <v>0</v>
      </c>
      <c r="Q886" s="59">
        <f>IF(P886&lt;&gt;"",SUMIFS(Eventos!$G:$G,Eventos!$B:$B,Q$2,Eventos!$D:$D,$C$2,Eventos!$F:$F,$L886),"")</f>
        <v>0</v>
      </c>
      <c r="R886" s="59">
        <f>SUMIFS(Eventos!$G:$G,Eventos!$F:$F,$L886,Eventos!$D:$D,$C$2,Eventos!$B:$B,PANES_SEMANALES[[#ALL],[SÁBADO]])</f>
        <v>0</v>
      </c>
      <c r="S886" s="59">
        <f>SUMIFS(Eventos!$G:$G,Eventos!$F:$F,$L886,Eventos!$D:$D,$C$2,Eventos!$B:$B,PANES_SEMANALES[[#ALL],[DOMINGO]])</f>
        <v>0</v>
      </c>
      <c r="T886" s="59">
        <f t="shared" si="1"/>
        <v>0</v>
      </c>
    </row>
    <row r="887" ht="22.5" customHeight="1">
      <c r="M887" s="59">
        <f>SUMIFS(Eventos!$G:$G,Eventos!$F:$F,$L887,Eventos!$D:$D,$C$2,Eventos!$B:$B,PANES_SEMANALES[[#ALL],[LUNES]])</f>
        <v>0</v>
      </c>
      <c r="N887" s="59">
        <f>SUMIFS(Eventos!$G:$G,Eventos!$F:$F,$L887,Eventos!$D:$D,$C$2,Eventos!$B:$B,PANES_SEMANALES[[#ALL],[MARTES]])</f>
        <v>0</v>
      </c>
      <c r="O887" s="59">
        <f>SUMIFS(Eventos!$G:$G,Eventos!$F:$F,$L887,Eventos!$D:$D,$C$2,Eventos!$B:$B,PANES_SEMANALES[[#ALL],[MIÉRCOLES]])</f>
        <v>0</v>
      </c>
      <c r="P887" s="59">
        <f>SUMIFS(Eventos!$G:$G,Eventos!$F:$F,$L887,Eventos!$D:$D,$C$2,Eventos!$B:$B,PANES_SEMANALES[[#ALL],[JUEVES]])</f>
        <v>0</v>
      </c>
      <c r="Q887" s="59">
        <f>IF(P887&lt;&gt;"",SUMIFS(Eventos!$G:$G,Eventos!$B:$B,Q$2,Eventos!$D:$D,$C$2,Eventos!$F:$F,$L887),"")</f>
        <v>0</v>
      </c>
      <c r="R887" s="59">
        <f>SUMIFS(Eventos!$G:$G,Eventos!$F:$F,$L887,Eventos!$D:$D,$C$2,Eventos!$B:$B,PANES_SEMANALES[[#ALL],[SÁBADO]])</f>
        <v>0</v>
      </c>
      <c r="S887" s="59">
        <f>SUMIFS(Eventos!$G:$G,Eventos!$F:$F,$L887,Eventos!$D:$D,$C$2,Eventos!$B:$B,PANES_SEMANALES[[#ALL],[DOMINGO]])</f>
        <v>0</v>
      </c>
      <c r="T887" s="59">
        <f t="shared" si="1"/>
        <v>0</v>
      </c>
    </row>
    <row r="888" ht="22.5" customHeight="1">
      <c r="M888" s="59">
        <f>SUMIFS(Eventos!$G:$G,Eventos!$F:$F,$L888,Eventos!$D:$D,$C$2,Eventos!$B:$B,PANES_SEMANALES[[#ALL],[LUNES]])</f>
        <v>0</v>
      </c>
      <c r="N888" s="59">
        <f>SUMIFS(Eventos!$G:$G,Eventos!$F:$F,$L888,Eventos!$D:$D,$C$2,Eventos!$B:$B,PANES_SEMANALES[[#ALL],[MARTES]])</f>
        <v>0</v>
      </c>
      <c r="O888" s="59">
        <f>SUMIFS(Eventos!$G:$G,Eventos!$F:$F,$L888,Eventos!$D:$D,$C$2,Eventos!$B:$B,PANES_SEMANALES[[#ALL],[MIÉRCOLES]])</f>
        <v>0</v>
      </c>
      <c r="P888" s="59">
        <f>SUMIFS(Eventos!$G:$G,Eventos!$F:$F,$L888,Eventos!$D:$D,$C$2,Eventos!$B:$B,PANES_SEMANALES[[#ALL],[JUEVES]])</f>
        <v>0</v>
      </c>
      <c r="Q888" s="59">
        <f>IF(P888&lt;&gt;"",SUMIFS(Eventos!$G:$G,Eventos!$B:$B,Q$2,Eventos!$D:$D,$C$2,Eventos!$F:$F,$L888),"")</f>
        <v>0</v>
      </c>
      <c r="R888" s="59">
        <f>SUMIFS(Eventos!$G:$G,Eventos!$F:$F,$L888,Eventos!$D:$D,$C$2,Eventos!$B:$B,PANES_SEMANALES[[#ALL],[SÁBADO]])</f>
        <v>0</v>
      </c>
      <c r="S888" s="59">
        <f>SUMIFS(Eventos!$G:$G,Eventos!$F:$F,$L888,Eventos!$D:$D,$C$2,Eventos!$B:$B,PANES_SEMANALES[[#ALL],[DOMINGO]])</f>
        <v>0</v>
      </c>
      <c r="T888" s="59">
        <f t="shared" si="1"/>
        <v>0</v>
      </c>
    </row>
    <row r="889" ht="22.5" customHeight="1">
      <c r="M889" s="59">
        <f>SUMIFS(Eventos!$G:$G,Eventos!$F:$F,$L889,Eventos!$D:$D,$C$2,Eventos!$B:$B,PANES_SEMANALES[[#ALL],[LUNES]])</f>
        <v>0</v>
      </c>
      <c r="N889" s="59">
        <f>SUMIFS(Eventos!$G:$G,Eventos!$F:$F,$L889,Eventos!$D:$D,$C$2,Eventos!$B:$B,PANES_SEMANALES[[#ALL],[MARTES]])</f>
        <v>0</v>
      </c>
      <c r="O889" s="59">
        <f>SUMIFS(Eventos!$G:$G,Eventos!$F:$F,$L889,Eventos!$D:$D,$C$2,Eventos!$B:$B,PANES_SEMANALES[[#ALL],[MIÉRCOLES]])</f>
        <v>0</v>
      </c>
      <c r="P889" s="59">
        <f>SUMIFS(Eventos!$G:$G,Eventos!$F:$F,$L889,Eventos!$D:$D,$C$2,Eventos!$B:$B,PANES_SEMANALES[[#ALL],[JUEVES]])</f>
        <v>0</v>
      </c>
      <c r="Q889" s="59">
        <f>IF(P889&lt;&gt;"",SUMIFS(Eventos!$G:$G,Eventos!$B:$B,Q$2,Eventos!$D:$D,$C$2,Eventos!$F:$F,$L889),"")</f>
        <v>0</v>
      </c>
      <c r="R889" s="59">
        <f>SUMIFS(Eventos!$G:$G,Eventos!$F:$F,$L889,Eventos!$D:$D,$C$2,Eventos!$B:$B,PANES_SEMANALES[[#ALL],[SÁBADO]])</f>
        <v>0</v>
      </c>
      <c r="S889" s="59">
        <f>SUMIFS(Eventos!$G:$G,Eventos!$F:$F,$L889,Eventos!$D:$D,$C$2,Eventos!$B:$B,PANES_SEMANALES[[#ALL],[DOMINGO]])</f>
        <v>0</v>
      </c>
      <c r="T889" s="59">
        <f t="shared" si="1"/>
        <v>0</v>
      </c>
    </row>
    <row r="890" ht="22.5" customHeight="1">
      <c r="M890" s="59">
        <f>SUMIFS(Eventos!$G:$G,Eventos!$F:$F,$L890,Eventos!$D:$D,$C$2,Eventos!$B:$B,PANES_SEMANALES[[#ALL],[LUNES]])</f>
        <v>0</v>
      </c>
      <c r="N890" s="59">
        <f>SUMIFS(Eventos!$G:$G,Eventos!$F:$F,$L890,Eventos!$D:$D,$C$2,Eventos!$B:$B,PANES_SEMANALES[[#ALL],[MARTES]])</f>
        <v>0</v>
      </c>
      <c r="O890" s="59">
        <f>SUMIFS(Eventos!$G:$G,Eventos!$F:$F,$L890,Eventos!$D:$D,$C$2,Eventos!$B:$B,PANES_SEMANALES[[#ALL],[MIÉRCOLES]])</f>
        <v>0</v>
      </c>
      <c r="P890" s="59">
        <f>SUMIFS(Eventos!$G:$G,Eventos!$F:$F,$L890,Eventos!$D:$D,$C$2,Eventos!$B:$B,PANES_SEMANALES[[#ALL],[JUEVES]])</f>
        <v>0</v>
      </c>
      <c r="Q890" s="59">
        <f>IF(P890&lt;&gt;"",SUMIFS(Eventos!$G:$G,Eventos!$B:$B,Q$2,Eventos!$D:$D,$C$2,Eventos!$F:$F,$L890),"")</f>
        <v>0</v>
      </c>
      <c r="R890" s="59">
        <f>SUMIFS(Eventos!$G:$G,Eventos!$F:$F,$L890,Eventos!$D:$D,$C$2,Eventos!$B:$B,PANES_SEMANALES[[#ALL],[SÁBADO]])</f>
        <v>0</v>
      </c>
      <c r="S890" s="59">
        <f>SUMIFS(Eventos!$G:$G,Eventos!$F:$F,$L890,Eventos!$D:$D,$C$2,Eventos!$B:$B,PANES_SEMANALES[[#ALL],[DOMINGO]])</f>
        <v>0</v>
      </c>
      <c r="T890" s="59">
        <f t="shared" si="1"/>
        <v>0</v>
      </c>
    </row>
    <row r="891" ht="22.5" customHeight="1">
      <c r="M891" s="59">
        <f>SUMIFS(Eventos!$G:$G,Eventos!$F:$F,$L891,Eventos!$D:$D,$C$2,Eventos!$B:$B,PANES_SEMANALES[[#ALL],[LUNES]])</f>
        <v>0</v>
      </c>
      <c r="N891" s="59">
        <f>SUMIFS(Eventos!$G:$G,Eventos!$F:$F,$L891,Eventos!$D:$D,$C$2,Eventos!$B:$B,PANES_SEMANALES[[#ALL],[MARTES]])</f>
        <v>0</v>
      </c>
      <c r="O891" s="59">
        <f>SUMIFS(Eventos!$G:$G,Eventos!$F:$F,$L891,Eventos!$D:$D,$C$2,Eventos!$B:$B,PANES_SEMANALES[[#ALL],[MIÉRCOLES]])</f>
        <v>0</v>
      </c>
      <c r="P891" s="59">
        <f>SUMIFS(Eventos!$G:$G,Eventos!$F:$F,$L891,Eventos!$D:$D,$C$2,Eventos!$B:$B,PANES_SEMANALES[[#ALL],[JUEVES]])</f>
        <v>0</v>
      </c>
      <c r="Q891" s="59">
        <f>IF(P891&lt;&gt;"",SUMIFS(Eventos!$G:$G,Eventos!$B:$B,Q$2,Eventos!$D:$D,$C$2,Eventos!$F:$F,$L891),"")</f>
        <v>0</v>
      </c>
      <c r="R891" s="59">
        <f>SUMIFS(Eventos!$G:$G,Eventos!$F:$F,$L891,Eventos!$D:$D,$C$2,Eventos!$B:$B,PANES_SEMANALES[[#ALL],[SÁBADO]])</f>
        <v>0</v>
      </c>
      <c r="S891" s="59">
        <f>SUMIFS(Eventos!$G:$G,Eventos!$F:$F,$L891,Eventos!$D:$D,$C$2,Eventos!$B:$B,PANES_SEMANALES[[#ALL],[DOMINGO]])</f>
        <v>0</v>
      </c>
      <c r="T891" s="59">
        <f t="shared" si="1"/>
        <v>0</v>
      </c>
    </row>
    <row r="892" ht="22.5" customHeight="1">
      <c r="M892" s="59">
        <f>SUMIFS(Eventos!$G:$G,Eventos!$F:$F,$L892,Eventos!$D:$D,$C$2,Eventos!$B:$B,PANES_SEMANALES[[#ALL],[LUNES]])</f>
        <v>0</v>
      </c>
      <c r="N892" s="59">
        <f>SUMIFS(Eventos!$G:$G,Eventos!$F:$F,$L892,Eventos!$D:$D,$C$2,Eventos!$B:$B,PANES_SEMANALES[[#ALL],[MARTES]])</f>
        <v>0</v>
      </c>
      <c r="O892" s="59">
        <f>SUMIFS(Eventos!$G:$G,Eventos!$F:$F,$L892,Eventos!$D:$D,$C$2,Eventos!$B:$B,PANES_SEMANALES[[#ALL],[MIÉRCOLES]])</f>
        <v>0</v>
      </c>
      <c r="P892" s="59">
        <f>SUMIFS(Eventos!$G:$G,Eventos!$F:$F,$L892,Eventos!$D:$D,$C$2,Eventos!$B:$B,PANES_SEMANALES[[#ALL],[JUEVES]])</f>
        <v>0</v>
      </c>
      <c r="Q892" s="59">
        <f>IF(P892&lt;&gt;"",SUMIFS(Eventos!$G:$G,Eventos!$B:$B,Q$2,Eventos!$D:$D,$C$2,Eventos!$F:$F,$L892),"")</f>
        <v>0</v>
      </c>
      <c r="R892" s="59">
        <f>SUMIFS(Eventos!$G:$G,Eventos!$F:$F,$L892,Eventos!$D:$D,$C$2,Eventos!$B:$B,PANES_SEMANALES[[#ALL],[SÁBADO]])</f>
        <v>0</v>
      </c>
      <c r="S892" s="59">
        <f>SUMIFS(Eventos!$G:$G,Eventos!$F:$F,$L892,Eventos!$D:$D,$C$2,Eventos!$B:$B,PANES_SEMANALES[[#ALL],[DOMINGO]])</f>
        <v>0</v>
      </c>
      <c r="T892" s="59">
        <f t="shared" si="1"/>
        <v>0</v>
      </c>
    </row>
    <row r="893" ht="22.5" customHeight="1">
      <c r="M893" s="59">
        <f>SUMIFS(Eventos!$G:$G,Eventos!$F:$F,$L893,Eventos!$D:$D,$C$2,Eventos!$B:$B,PANES_SEMANALES[[#ALL],[LUNES]])</f>
        <v>0</v>
      </c>
      <c r="N893" s="59">
        <f>SUMIFS(Eventos!$G:$G,Eventos!$F:$F,$L893,Eventos!$D:$D,$C$2,Eventos!$B:$B,PANES_SEMANALES[[#ALL],[MARTES]])</f>
        <v>0</v>
      </c>
      <c r="O893" s="59">
        <f>SUMIFS(Eventos!$G:$G,Eventos!$F:$F,$L893,Eventos!$D:$D,$C$2,Eventos!$B:$B,PANES_SEMANALES[[#ALL],[MIÉRCOLES]])</f>
        <v>0</v>
      </c>
      <c r="P893" s="59">
        <f>SUMIFS(Eventos!$G:$G,Eventos!$F:$F,$L893,Eventos!$D:$D,$C$2,Eventos!$B:$B,PANES_SEMANALES[[#ALL],[JUEVES]])</f>
        <v>0</v>
      </c>
      <c r="Q893" s="59">
        <f>IF(P893&lt;&gt;"",SUMIFS(Eventos!$G:$G,Eventos!$B:$B,Q$2,Eventos!$D:$D,$C$2,Eventos!$F:$F,$L893),"")</f>
        <v>0</v>
      </c>
      <c r="R893" s="59">
        <f>SUMIFS(Eventos!$G:$G,Eventos!$F:$F,$L893,Eventos!$D:$D,$C$2,Eventos!$B:$B,PANES_SEMANALES[[#ALL],[SÁBADO]])</f>
        <v>0</v>
      </c>
      <c r="S893" s="59">
        <f>SUMIFS(Eventos!$G:$G,Eventos!$F:$F,$L893,Eventos!$D:$D,$C$2,Eventos!$B:$B,PANES_SEMANALES[[#ALL],[DOMINGO]])</f>
        <v>0</v>
      </c>
      <c r="T893" s="59">
        <f t="shared" si="1"/>
        <v>0</v>
      </c>
    </row>
    <row r="894" ht="22.5" customHeight="1">
      <c r="M894" s="59">
        <f>SUMIFS(Eventos!$G:$G,Eventos!$F:$F,$L894,Eventos!$D:$D,$C$2,Eventos!$B:$B,PANES_SEMANALES[[#ALL],[LUNES]])</f>
        <v>0</v>
      </c>
      <c r="N894" s="59">
        <f>SUMIFS(Eventos!$G:$G,Eventos!$F:$F,$L894,Eventos!$D:$D,$C$2,Eventos!$B:$B,PANES_SEMANALES[[#ALL],[MARTES]])</f>
        <v>0</v>
      </c>
      <c r="O894" s="59">
        <f>SUMIFS(Eventos!$G:$G,Eventos!$F:$F,$L894,Eventos!$D:$D,$C$2,Eventos!$B:$B,PANES_SEMANALES[[#ALL],[MIÉRCOLES]])</f>
        <v>0</v>
      </c>
      <c r="P894" s="59">
        <f>SUMIFS(Eventos!$G:$G,Eventos!$F:$F,$L894,Eventos!$D:$D,$C$2,Eventos!$B:$B,PANES_SEMANALES[[#ALL],[JUEVES]])</f>
        <v>0</v>
      </c>
      <c r="Q894" s="59">
        <f>IF(P894&lt;&gt;"",SUMIFS(Eventos!$G:$G,Eventos!$B:$B,Q$2,Eventos!$D:$D,$C$2,Eventos!$F:$F,$L894),"")</f>
        <v>0</v>
      </c>
      <c r="R894" s="59">
        <f>SUMIFS(Eventos!$G:$G,Eventos!$F:$F,$L894,Eventos!$D:$D,$C$2,Eventos!$B:$B,PANES_SEMANALES[[#ALL],[SÁBADO]])</f>
        <v>0</v>
      </c>
      <c r="S894" s="59">
        <f>SUMIFS(Eventos!$G:$G,Eventos!$F:$F,$L894,Eventos!$D:$D,$C$2,Eventos!$B:$B,PANES_SEMANALES[[#ALL],[DOMINGO]])</f>
        <v>0</v>
      </c>
      <c r="T894" s="59">
        <f t="shared" si="1"/>
        <v>0</v>
      </c>
    </row>
    <row r="895" ht="22.5" customHeight="1">
      <c r="M895" s="59">
        <f>SUMIFS(Eventos!$G:$G,Eventos!$F:$F,$L895,Eventos!$D:$D,$C$2,Eventos!$B:$B,PANES_SEMANALES[[#ALL],[LUNES]])</f>
        <v>0</v>
      </c>
      <c r="N895" s="59">
        <f>SUMIFS(Eventos!$G:$G,Eventos!$F:$F,$L895,Eventos!$D:$D,$C$2,Eventos!$B:$B,PANES_SEMANALES[[#ALL],[MARTES]])</f>
        <v>0</v>
      </c>
      <c r="O895" s="59">
        <f>SUMIFS(Eventos!$G:$G,Eventos!$F:$F,$L895,Eventos!$D:$D,$C$2,Eventos!$B:$B,PANES_SEMANALES[[#ALL],[MIÉRCOLES]])</f>
        <v>0</v>
      </c>
      <c r="P895" s="59">
        <f>SUMIFS(Eventos!$G:$G,Eventos!$F:$F,$L895,Eventos!$D:$D,$C$2,Eventos!$B:$B,PANES_SEMANALES[[#ALL],[JUEVES]])</f>
        <v>0</v>
      </c>
      <c r="Q895" s="59">
        <f>IF(P895&lt;&gt;"",SUMIFS(Eventos!$G:$G,Eventos!$B:$B,Q$2,Eventos!$D:$D,$C$2,Eventos!$F:$F,$L895),"")</f>
        <v>0</v>
      </c>
      <c r="R895" s="59">
        <f>SUMIFS(Eventos!$G:$G,Eventos!$F:$F,$L895,Eventos!$D:$D,$C$2,Eventos!$B:$B,PANES_SEMANALES[[#ALL],[SÁBADO]])</f>
        <v>0</v>
      </c>
      <c r="S895" s="59">
        <f>SUMIFS(Eventos!$G:$G,Eventos!$F:$F,$L895,Eventos!$D:$D,$C$2,Eventos!$B:$B,PANES_SEMANALES[[#ALL],[DOMINGO]])</f>
        <v>0</v>
      </c>
      <c r="T895" s="59">
        <f t="shared" si="1"/>
        <v>0</v>
      </c>
    </row>
    <row r="896" ht="22.5" customHeight="1">
      <c r="M896" s="59">
        <f>SUMIFS(Eventos!$G:$G,Eventos!$F:$F,$L896,Eventos!$D:$D,$C$2,Eventos!$B:$B,PANES_SEMANALES[[#ALL],[LUNES]])</f>
        <v>0</v>
      </c>
      <c r="N896" s="59">
        <f>SUMIFS(Eventos!$G:$G,Eventos!$F:$F,$L896,Eventos!$D:$D,$C$2,Eventos!$B:$B,PANES_SEMANALES[[#ALL],[MARTES]])</f>
        <v>0</v>
      </c>
      <c r="O896" s="59">
        <f>SUMIFS(Eventos!$G:$G,Eventos!$F:$F,$L896,Eventos!$D:$D,$C$2,Eventos!$B:$B,PANES_SEMANALES[[#ALL],[MIÉRCOLES]])</f>
        <v>0</v>
      </c>
      <c r="P896" s="59">
        <f>SUMIFS(Eventos!$G:$G,Eventos!$F:$F,$L896,Eventos!$D:$D,$C$2,Eventos!$B:$B,PANES_SEMANALES[[#ALL],[JUEVES]])</f>
        <v>0</v>
      </c>
      <c r="Q896" s="59">
        <f>IF(P896&lt;&gt;"",SUMIFS(Eventos!$G:$G,Eventos!$B:$B,Q$2,Eventos!$D:$D,$C$2,Eventos!$F:$F,$L896),"")</f>
        <v>0</v>
      </c>
      <c r="R896" s="59">
        <f>SUMIFS(Eventos!$G:$G,Eventos!$F:$F,$L896,Eventos!$D:$D,$C$2,Eventos!$B:$B,PANES_SEMANALES[[#ALL],[SÁBADO]])</f>
        <v>0</v>
      </c>
      <c r="S896" s="59">
        <f>SUMIFS(Eventos!$G:$G,Eventos!$F:$F,$L896,Eventos!$D:$D,$C$2,Eventos!$B:$B,PANES_SEMANALES[[#ALL],[DOMINGO]])</f>
        <v>0</v>
      </c>
      <c r="T896" s="59">
        <f t="shared" si="1"/>
        <v>0</v>
      </c>
    </row>
    <row r="897" ht="22.5" customHeight="1">
      <c r="M897" s="59">
        <f>SUMIFS(Eventos!$G:$G,Eventos!$F:$F,$L897,Eventos!$D:$D,$C$2,Eventos!$B:$B,PANES_SEMANALES[[#ALL],[LUNES]])</f>
        <v>0</v>
      </c>
      <c r="N897" s="59">
        <f>SUMIFS(Eventos!$G:$G,Eventos!$F:$F,$L897,Eventos!$D:$D,$C$2,Eventos!$B:$B,PANES_SEMANALES[[#ALL],[MARTES]])</f>
        <v>0</v>
      </c>
      <c r="O897" s="59">
        <f>SUMIFS(Eventos!$G:$G,Eventos!$F:$F,$L897,Eventos!$D:$D,$C$2,Eventos!$B:$B,PANES_SEMANALES[[#ALL],[MIÉRCOLES]])</f>
        <v>0</v>
      </c>
      <c r="P897" s="59">
        <f>SUMIFS(Eventos!$G:$G,Eventos!$F:$F,$L897,Eventos!$D:$D,$C$2,Eventos!$B:$B,PANES_SEMANALES[[#ALL],[JUEVES]])</f>
        <v>0</v>
      </c>
      <c r="Q897" s="59">
        <f>IF(P897&lt;&gt;"",SUMIFS(Eventos!$G:$G,Eventos!$B:$B,Q$2,Eventos!$D:$D,$C$2,Eventos!$F:$F,$L897),"")</f>
        <v>0</v>
      </c>
      <c r="R897" s="59">
        <f>SUMIFS(Eventos!$G:$G,Eventos!$F:$F,$L897,Eventos!$D:$D,$C$2,Eventos!$B:$B,PANES_SEMANALES[[#ALL],[SÁBADO]])</f>
        <v>0</v>
      </c>
      <c r="S897" s="59">
        <f>SUMIFS(Eventos!$G:$G,Eventos!$F:$F,$L897,Eventos!$D:$D,$C$2,Eventos!$B:$B,PANES_SEMANALES[[#ALL],[DOMINGO]])</f>
        <v>0</v>
      </c>
      <c r="T897" s="59">
        <f t="shared" si="1"/>
        <v>0</v>
      </c>
    </row>
    <row r="898" ht="22.5" customHeight="1">
      <c r="M898" s="59">
        <f>SUMIFS(Eventos!$G:$G,Eventos!$F:$F,$L898,Eventos!$D:$D,$C$2,Eventos!$B:$B,PANES_SEMANALES[[#ALL],[LUNES]])</f>
        <v>0</v>
      </c>
      <c r="N898" s="59">
        <f>SUMIFS(Eventos!$G:$G,Eventos!$F:$F,$L898,Eventos!$D:$D,$C$2,Eventos!$B:$B,PANES_SEMANALES[[#ALL],[MARTES]])</f>
        <v>0</v>
      </c>
      <c r="O898" s="59">
        <f>SUMIFS(Eventos!$G:$G,Eventos!$F:$F,$L898,Eventos!$D:$D,$C$2,Eventos!$B:$B,PANES_SEMANALES[[#ALL],[MIÉRCOLES]])</f>
        <v>0</v>
      </c>
      <c r="P898" s="59">
        <f>SUMIFS(Eventos!$G:$G,Eventos!$F:$F,$L898,Eventos!$D:$D,$C$2,Eventos!$B:$B,PANES_SEMANALES[[#ALL],[JUEVES]])</f>
        <v>0</v>
      </c>
      <c r="Q898" s="59">
        <f>IF(P898&lt;&gt;"",SUMIFS(Eventos!$G:$G,Eventos!$B:$B,Q$2,Eventos!$D:$D,$C$2,Eventos!$F:$F,$L898),"")</f>
        <v>0</v>
      </c>
      <c r="R898" s="59">
        <f>SUMIFS(Eventos!$G:$G,Eventos!$F:$F,$L898,Eventos!$D:$D,$C$2,Eventos!$B:$B,PANES_SEMANALES[[#ALL],[SÁBADO]])</f>
        <v>0</v>
      </c>
      <c r="S898" s="59">
        <f>SUMIFS(Eventos!$G:$G,Eventos!$F:$F,$L898,Eventos!$D:$D,$C$2,Eventos!$B:$B,PANES_SEMANALES[[#ALL],[DOMINGO]])</f>
        <v>0</v>
      </c>
      <c r="T898" s="59">
        <f t="shared" si="1"/>
        <v>0</v>
      </c>
    </row>
    <row r="899" ht="22.5" customHeight="1">
      <c r="M899" s="59">
        <f>SUMIFS(Eventos!$G:$G,Eventos!$F:$F,$L899,Eventos!$D:$D,$C$2,Eventos!$B:$B,PANES_SEMANALES[[#ALL],[LUNES]])</f>
        <v>0</v>
      </c>
      <c r="N899" s="59">
        <f>SUMIFS(Eventos!$G:$G,Eventos!$F:$F,$L899,Eventos!$D:$D,$C$2,Eventos!$B:$B,PANES_SEMANALES[[#ALL],[MARTES]])</f>
        <v>0</v>
      </c>
      <c r="O899" s="59">
        <f>SUMIFS(Eventos!$G:$G,Eventos!$F:$F,$L899,Eventos!$D:$D,$C$2,Eventos!$B:$B,PANES_SEMANALES[[#ALL],[MIÉRCOLES]])</f>
        <v>0</v>
      </c>
      <c r="P899" s="59">
        <f>SUMIFS(Eventos!$G:$G,Eventos!$F:$F,$L899,Eventos!$D:$D,$C$2,Eventos!$B:$B,PANES_SEMANALES[[#ALL],[JUEVES]])</f>
        <v>0</v>
      </c>
      <c r="Q899" s="59">
        <f>IF(P899&lt;&gt;"",SUMIFS(Eventos!$G:$G,Eventos!$B:$B,Q$2,Eventos!$D:$D,$C$2,Eventos!$F:$F,$L899),"")</f>
        <v>0</v>
      </c>
      <c r="R899" s="59">
        <f>SUMIFS(Eventos!$G:$G,Eventos!$F:$F,$L899,Eventos!$D:$D,$C$2,Eventos!$B:$B,PANES_SEMANALES[[#ALL],[SÁBADO]])</f>
        <v>0</v>
      </c>
      <c r="S899" s="59">
        <f>SUMIFS(Eventos!$G:$G,Eventos!$F:$F,$L899,Eventos!$D:$D,$C$2,Eventos!$B:$B,PANES_SEMANALES[[#ALL],[DOMINGO]])</f>
        <v>0</v>
      </c>
      <c r="T899" s="59">
        <f t="shared" si="1"/>
        <v>0</v>
      </c>
    </row>
    <row r="900" ht="22.5" customHeight="1">
      <c r="M900" s="59">
        <f>SUMIFS(Eventos!$G:$G,Eventos!$F:$F,$L900,Eventos!$D:$D,$C$2,Eventos!$B:$B,PANES_SEMANALES[[#ALL],[LUNES]])</f>
        <v>0</v>
      </c>
      <c r="N900" s="59">
        <f>SUMIFS(Eventos!$G:$G,Eventos!$F:$F,$L900,Eventos!$D:$D,$C$2,Eventos!$B:$B,PANES_SEMANALES[[#ALL],[MARTES]])</f>
        <v>0</v>
      </c>
      <c r="O900" s="59">
        <f>SUMIFS(Eventos!$G:$G,Eventos!$F:$F,$L900,Eventos!$D:$D,$C$2,Eventos!$B:$B,PANES_SEMANALES[[#ALL],[MIÉRCOLES]])</f>
        <v>0</v>
      </c>
      <c r="P900" s="59">
        <f>SUMIFS(Eventos!$G:$G,Eventos!$F:$F,$L900,Eventos!$D:$D,$C$2,Eventos!$B:$B,PANES_SEMANALES[[#ALL],[JUEVES]])</f>
        <v>0</v>
      </c>
      <c r="Q900" s="59">
        <f>IF(P900&lt;&gt;"",SUMIFS(Eventos!$G:$G,Eventos!$B:$B,Q$2,Eventos!$D:$D,$C$2,Eventos!$F:$F,$L900),"")</f>
        <v>0</v>
      </c>
      <c r="R900" s="59">
        <f>SUMIFS(Eventos!$G:$G,Eventos!$F:$F,$L900,Eventos!$D:$D,$C$2,Eventos!$B:$B,PANES_SEMANALES[[#ALL],[SÁBADO]])</f>
        <v>0</v>
      </c>
      <c r="S900" s="59">
        <f>SUMIFS(Eventos!$G:$G,Eventos!$F:$F,$L900,Eventos!$D:$D,$C$2,Eventos!$B:$B,PANES_SEMANALES[[#ALL],[DOMINGO]])</f>
        <v>0</v>
      </c>
      <c r="T900" s="59">
        <f t="shared" si="1"/>
        <v>0</v>
      </c>
    </row>
    <row r="901" ht="22.5" customHeight="1">
      <c r="M901" s="59">
        <f>SUMIFS(Eventos!$G:$G,Eventos!$F:$F,$L901,Eventos!$D:$D,$C$2,Eventos!$B:$B,PANES_SEMANALES[[#ALL],[LUNES]])</f>
        <v>0</v>
      </c>
      <c r="N901" s="59">
        <f>SUMIFS(Eventos!$G:$G,Eventos!$F:$F,$L901,Eventos!$D:$D,$C$2,Eventos!$B:$B,PANES_SEMANALES[[#ALL],[MARTES]])</f>
        <v>0</v>
      </c>
      <c r="O901" s="59">
        <f>SUMIFS(Eventos!$G:$G,Eventos!$F:$F,$L901,Eventos!$D:$D,$C$2,Eventos!$B:$B,PANES_SEMANALES[[#ALL],[MIÉRCOLES]])</f>
        <v>0</v>
      </c>
      <c r="P901" s="59">
        <f>SUMIFS(Eventos!$G:$G,Eventos!$F:$F,$L901,Eventos!$D:$D,$C$2,Eventos!$B:$B,PANES_SEMANALES[[#ALL],[JUEVES]])</f>
        <v>0</v>
      </c>
      <c r="Q901" s="59">
        <f>IF(P901&lt;&gt;"",SUMIFS(Eventos!$G:$G,Eventos!$B:$B,Q$2,Eventos!$D:$D,$C$2,Eventos!$F:$F,$L901),"")</f>
        <v>0</v>
      </c>
      <c r="R901" s="59">
        <f>SUMIFS(Eventos!$G:$G,Eventos!$F:$F,$L901,Eventos!$D:$D,$C$2,Eventos!$B:$B,PANES_SEMANALES[[#ALL],[SÁBADO]])</f>
        <v>0</v>
      </c>
      <c r="S901" s="59">
        <f>SUMIFS(Eventos!$G:$G,Eventos!$F:$F,$L901,Eventos!$D:$D,$C$2,Eventos!$B:$B,PANES_SEMANALES[[#ALL],[DOMINGO]])</f>
        <v>0</v>
      </c>
      <c r="T901" s="59">
        <f t="shared" si="1"/>
        <v>0</v>
      </c>
    </row>
    <row r="902" ht="22.5" customHeight="1">
      <c r="M902" s="59">
        <f>SUMIFS(Eventos!$G:$G,Eventos!$F:$F,$L902,Eventos!$D:$D,$C$2,Eventos!$B:$B,PANES_SEMANALES[[#ALL],[LUNES]])</f>
        <v>0</v>
      </c>
      <c r="N902" s="59">
        <f>SUMIFS(Eventos!$G:$G,Eventos!$F:$F,$L902,Eventos!$D:$D,$C$2,Eventos!$B:$B,PANES_SEMANALES[[#ALL],[MARTES]])</f>
        <v>0</v>
      </c>
      <c r="O902" s="59">
        <f>SUMIFS(Eventos!$G:$G,Eventos!$F:$F,$L902,Eventos!$D:$D,$C$2,Eventos!$B:$B,PANES_SEMANALES[[#ALL],[MIÉRCOLES]])</f>
        <v>0</v>
      </c>
      <c r="P902" s="59">
        <f>SUMIFS(Eventos!$G:$G,Eventos!$F:$F,$L902,Eventos!$D:$D,$C$2,Eventos!$B:$B,PANES_SEMANALES[[#ALL],[JUEVES]])</f>
        <v>0</v>
      </c>
      <c r="Q902" s="59">
        <f>IF(P902&lt;&gt;"",SUMIFS(Eventos!$G:$G,Eventos!$B:$B,Q$2,Eventos!$D:$D,$C$2,Eventos!$F:$F,$L902),"")</f>
        <v>0</v>
      </c>
      <c r="R902" s="59">
        <f>SUMIFS(Eventos!$G:$G,Eventos!$F:$F,$L902,Eventos!$D:$D,$C$2,Eventos!$B:$B,PANES_SEMANALES[[#ALL],[SÁBADO]])</f>
        <v>0</v>
      </c>
      <c r="S902" s="59">
        <f>SUMIFS(Eventos!$G:$G,Eventos!$F:$F,$L902,Eventos!$D:$D,$C$2,Eventos!$B:$B,PANES_SEMANALES[[#ALL],[DOMINGO]])</f>
        <v>0</v>
      </c>
      <c r="T902" s="59">
        <f t="shared" si="1"/>
        <v>0</v>
      </c>
    </row>
    <row r="903" ht="22.5" customHeight="1">
      <c r="M903" s="59">
        <f>SUMIFS(Eventos!$G:$G,Eventos!$F:$F,$L903,Eventos!$D:$D,$C$2,Eventos!$B:$B,PANES_SEMANALES[[#ALL],[LUNES]])</f>
        <v>0</v>
      </c>
      <c r="N903" s="59">
        <f>SUMIFS(Eventos!$G:$G,Eventos!$F:$F,$L903,Eventos!$D:$D,$C$2,Eventos!$B:$B,PANES_SEMANALES[[#ALL],[MARTES]])</f>
        <v>0</v>
      </c>
      <c r="O903" s="59">
        <f>SUMIFS(Eventos!$G:$G,Eventos!$F:$F,$L903,Eventos!$D:$D,$C$2,Eventos!$B:$B,PANES_SEMANALES[[#ALL],[MIÉRCOLES]])</f>
        <v>0</v>
      </c>
      <c r="P903" s="59">
        <f>SUMIFS(Eventos!$G:$G,Eventos!$F:$F,$L903,Eventos!$D:$D,$C$2,Eventos!$B:$B,PANES_SEMANALES[[#ALL],[JUEVES]])</f>
        <v>0</v>
      </c>
      <c r="Q903" s="59">
        <f>IF(P903&lt;&gt;"",SUMIFS(Eventos!$G:$G,Eventos!$B:$B,Q$2,Eventos!$D:$D,$C$2,Eventos!$F:$F,$L903),"")</f>
        <v>0</v>
      </c>
      <c r="R903" s="59">
        <f>SUMIFS(Eventos!$G:$G,Eventos!$F:$F,$L903,Eventos!$D:$D,$C$2,Eventos!$B:$B,PANES_SEMANALES[[#ALL],[SÁBADO]])</f>
        <v>0</v>
      </c>
      <c r="S903" s="59">
        <f>SUMIFS(Eventos!$G:$G,Eventos!$F:$F,$L903,Eventos!$D:$D,$C$2,Eventos!$B:$B,PANES_SEMANALES[[#ALL],[DOMINGO]])</f>
        <v>0</v>
      </c>
      <c r="T903" s="59">
        <f t="shared" si="1"/>
        <v>0</v>
      </c>
    </row>
    <row r="904" ht="22.5" customHeight="1">
      <c r="M904" s="59">
        <f>SUMIFS(Eventos!$G:$G,Eventos!$F:$F,$L904,Eventos!$D:$D,$C$2,Eventos!$B:$B,PANES_SEMANALES[[#ALL],[LUNES]])</f>
        <v>0</v>
      </c>
      <c r="N904" s="59">
        <f>SUMIFS(Eventos!$G:$G,Eventos!$F:$F,$L904,Eventos!$D:$D,$C$2,Eventos!$B:$B,PANES_SEMANALES[[#ALL],[MARTES]])</f>
        <v>0</v>
      </c>
      <c r="O904" s="59">
        <f>SUMIFS(Eventos!$G:$G,Eventos!$F:$F,$L904,Eventos!$D:$D,$C$2,Eventos!$B:$B,PANES_SEMANALES[[#ALL],[MIÉRCOLES]])</f>
        <v>0</v>
      </c>
      <c r="P904" s="59">
        <f>SUMIFS(Eventos!$G:$G,Eventos!$F:$F,$L904,Eventos!$D:$D,$C$2,Eventos!$B:$B,PANES_SEMANALES[[#ALL],[JUEVES]])</f>
        <v>0</v>
      </c>
      <c r="Q904" s="59">
        <f>IF(P904&lt;&gt;"",SUMIFS(Eventos!$G:$G,Eventos!$B:$B,Q$2,Eventos!$D:$D,$C$2,Eventos!$F:$F,$L904),"")</f>
        <v>0</v>
      </c>
      <c r="R904" s="59">
        <f>SUMIFS(Eventos!$G:$G,Eventos!$F:$F,$L904,Eventos!$D:$D,$C$2,Eventos!$B:$B,PANES_SEMANALES[[#ALL],[SÁBADO]])</f>
        <v>0</v>
      </c>
      <c r="S904" s="59">
        <f>SUMIFS(Eventos!$G:$G,Eventos!$F:$F,$L904,Eventos!$D:$D,$C$2,Eventos!$B:$B,PANES_SEMANALES[[#ALL],[DOMINGO]])</f>
        <v>0</v>
      </c>
      <c r="T904" s="59">
        <f t="shared" si="1"/>
        <v>0</v>
      </c>
    </row>
    <row r="905" ht="22.5" customHeight="1">
      <c r="M905" s="59">
        <f>SUMIFS(Eventos!$G:$G,Eventos!$F:$F,$L905,Eventos!$D:$D,$C$2,Eventos!$B:$B,PANES_SEMANALES[[#ALL],[LUNES]])</f>
        <v>0</v>
      </c>
      <c r="N905" s="59">
        <f>SUMIFS(Eventos!$G:$G,Eventos!$F:$F,$L905,Eventos!$D:$D,$C$2,Eventos!$B:$B,PANES_SEMANALES[[#ALL],[MARTES]])</f>
        <v>0</v>
      </c>
      <c r="O905" s="59">
        <f>SUMIFS(Eventos!$G:$G,Eventos!$F:$F,$L905,Eventos!$D:$D,$C$2,Eventos!$B:$B,PANES_SEMANALES[[#ALL],[MIÉRCOLES]])</f>
        <v>0</v>
      </c>
      <c r="P905" s="59">
        <f>SUMIFS(Eventos!$G:$G,Eventos!$F:$F,$L905,Eventos!$D:$D,$C$2,Eventos!$B:$B,PANES_SEMANALES[[#ALL],[JUEVES]])</f>
        <v>0</v>
      </c>
      <c r="Q905" s="59">
        <f>IF(P905&lt;&gt;"",SUMIFS(Eventos!$G:$G,Eventos!$B:$B,Q$2,Eventos!$D:$D,$C$2,Eventos!$F:$F,$L905),"")</f>
        <v>0</v>
      </c>
      <c r="R905" s="59">
        <f>SUMIFS(Eventos!$G:$G,Eventos!$F:$F,$L905,Eventos!$D:$D,$C$2,Eventos!$B:$B,PANES_SEMANALES[[#ALL],[SÁBADO]])</f>
        <v>0</v>
      </c>
      <c r="S905" s="59">
        <f>SUMIFS(Eventos!$G:$G,Eventos!$F:$F,$L905,Eventos!$D:$D,$C$2,Eventos!$B:$B,PANES_SEMANALES[[#ALL],[DOMINGO]])</f>
        <v>0</v>
      </c>
      <c r="T905" s="59">
        <f t="shared" si="1"/>
        <v>0</v>
      </c>
    </row>
    <row r="906" ht="22.5" customHeight="1">
      <c r="M906" s="59">
        <f>SUMIFS(Eventos!$G:$G,Eventos!$F:$F,$L906,Eventos!$D:$D,$C$2,Eventos!$B:$B,PANES_SEMANALES[[#ALL],[LUNES]])</f>
        <v>0</v>
      </c>
      <c r="N906" s="59">
        <f>SUMIFS(Eventos!$G:$G,Eventos!$F:$F,$L906,Eventos!$D:$D,$C$2,Eventos!$B:$B,PANES_SEMANALES[[#ALL],[MARTES]])</f>
        <v>0</v>
      </c>
      <c r="O906" s="59">
        <f>SUMIFS(Eventos!$G:$G,Eventos!$F:$F,$L906,Eventos!$D:$D,$C$2,Eventos!$B:$B,PANES_SEMANALES[[#ALL],[MIÉRCOLES]])</f>
        <v>0</v>
      </c>
      <c r="P906" s="59">
        <f>SUMIFS(Eventos!$G:$G,Eventos!$F:$F,$L906,Eventos!$D:$D,$C$2,Eventos!$B:$B,PANES_SEMANALES[[#ALL],[JUEVES]])</f>
        <v>0</v>
      </c>
      <c r="Q906" s="59">
        <f>IF(P906&lt;&gt;"",SUMIFS(Eventos!$G:$G,Eventos!$B:$B,Q$2,Eventos!$D:$D,$C$2,Eventos!$F:$F,$L906),"")</f>
        <v>0</v>
      </c>
      <c r="R906" s="59">
        <f>SUMIFS(Eventos!$G:$G,Eventos!$F:$F,$L906,Eventos!$D:$D,$C$2,Eventos!$B:$B,PANES_SEMANALES[[#ALL],[SÁBADO]])</f>
        <v>0</v>
      </c>
      <c r="S906" s="59">
        <f>SUMIFS(Eventos!$G:$G,Eventos!$F:$F,$L906,Eventos!$D:$D,$C$2,Eventos!$B:$B,PANES_SEMANALES[[#ALL],[DOMINGO]])</f>
        <v>0</v>
      </c>
      <c r="T906" s="59">
        <f t="shared" si="1"/>
        <v>0</v>
      </c>
    </row>
    <row r="907" ht="22.5" customHeight="1">
      <c r="M907" s="59">
        <f>SUMIFS(Eventos!$G:$G,Eventos!$F:$F,$L907,Eventos!$D:$D,$C$2,Eventos!$B:$B,PANES_SEMANALES[[#ALL],[LUNES]])</f>
        <v>0</v>
      </c>
      <c r="N907" s="59">
        <f>SUMIFS(Eventos!$G:$G,Eventos!$F:$F,$L907,Eventos!$D:$D,$C$2,Eventos!$B:$B,PANES_SEMANALES[[#ALL],[MARTES]])</f>
        <v>0</v>
      </c>
      <c r="O907" s="59">
        <f>SUMIFS(Eventos!$G:$G,Eventos!$F:$F,$L907,Eventos!$D:$D,$C$2,Eventos!$B:$B,PANES_SEMANALES[[#ALL],[MIÉRCOLES]])</f>
        <v>0</v>
      </c>
      <c r="P907" s="59">
        <f>SUMIFS(Eventos!$G:$G,Eventos!$F:$F,$L907,Eventos!$D:$D,$C$2,Eventos!$B:$B,PANES_SEMANALES[[#ALL],[JUEVES]])</f>
        <v>0</v>
      </c>
      <c r="Q907" s="59">
        <f>IF(P907&lt;&gt;"",SUMIFS(Eventos!$G:$G,Eventos!$B:$B,Q$2,Eventos!$D:$D,$C$2,Eventos!$F:$F,$L907),"")</f>
        <v>0</v>
      </c>
      <c r="R907" s="59">
        <f>SUMIFS(Eventos!$G:$G,Eventos!$F:$F,$L907,Eventos!$D:$D,$C$2,Eventos!$B:$B,PANES_SEMANALES[[#ALL],[SÁBADO]])</f>
        <v>0</v>
      </c>
      <c r="S907" s="59">
        <f>SUMIFS(Eventos!$G:$G,Eventos!$F:$F,$L907,Eventos!$D:$D,$C$2,Eventos!$B:$B,PANES_SEMANALES[[#ALL],[DOMINGO]])</f>
        <v>0</v>
      </c>
      <c r="T907" s="59">
        <f t="shared" si="1"/>
        <v>0</v>
      </c>
    </row>
    <row r="908" ht="22.5" customHeight="1">
      <c r="M908" s="59">
        <f>SUMIFS(Eventos!$G:$G,Eventos!$F:$F,$L908,Eventos!$D:$D,$C$2,Eventos!$B:$B,PANES_SEMANALES[[#ALL],[LUNES]])</f>
        <v>0</v>
      </c>
      <c r="N908" s="59">
        <f>SUMIFS(Eventos!$G:$G,Eventos!$F:$F,$L908,Eventos!$D:$D,$C$2,Eventos!$B:$B,PANES_SEMANALES[[#ALL],[MARTES]])</f>
        <v>0</v>
      </c>
      <c r="O908" s="59">
        <f>SUMIFS(Eventos!$G:$G,Eventos!$F:$F,$L908,Eventos!$D:$D,$C$2,Eventos!$B:$B,PANES_SEMANALES[[#ALL],[MIÉRCOLES]])</f>
        <v>0</v>
      </c>
      <c r="P908" s="59">
        <f>SUMIFS(Eventos!$G:$G,Eventos!$F:$F,$L908,Eventos!$D:$D,$C$2,Eventos!$B:$B,PANES_SEMANALES[[#ALL],[JUEVES]])</f>
        <v>0</v>
      </c>
      <c r="Q908" s="59">
        <f>IF(P908&lt;&gt;"",SUMIFS(Eventos!$G:$G,Eventos!$B:$B,Q$2,Eventos!$D:$D,$C$2,Eventos!$F:$F,$L908),"")</f>
        <v>0</v>
      </c>
      <c r="R908" s="59">
        <f>SUMIFS(Eventos!$G:$G,Eventos!$F:$F,$L908,Eventos!$D:$D,$C$2,Eventos!$B:$B,PANES_SEMANALES[[#ALL],[SÁBADO]])</f>
        <v>0</v>
      </c>
      <c r="S908" s="59">
        <f>SUMIFS(Eventos!$G:$G,Eventos!$F:$F,$L908,Eventos!$D:$D,$C$2,Eventos!$B:$B,PANES_SEMANALES[[#ALL],[DOMINGO]])</f>
        <v>0</v>
      </c>
      <c r="T908" s="59">
        <f t="shared" si="1"/>
        <v>0</v>
      </c>
    </row>
    <row r="909" ht="22.5" customHeight="1">
      <c r="M909" s="59">
        <f>SUMIFS(Eventos!$G:$G,Eventos!$F:$F,$L909,Eventos!$D:$D,$C$2,Eventos!$B:$B,PANES_SEMANALES[[#ALL],[LUNES]])</f>
        <v>0</v>
      </c>
      <c r="N909" s="59">
        <f>SUMIFS(Eventos!$G:$G,Eventos!$F:$F,$L909,Eventos!$D:$D,$C$2,Eventos!$B:$B,PANES_SEMANALES[[#ALL],[MARTES]])</f>
        <v>0</v>
      </c>
      <c r="O909" s="59">
        <f>SUMIFS(Eventos!$G:$G,Eventos!$F:$F,$L909,Eventos!$D:$D,$C$2,Eventos!$B:$B,PANES_SEMANALES[[#ALL],[MIÉRCOLES]])</f>
        <v>0</v>
      </c>
      <c r="P909" s="59">
        <f>SUMIFS(Eventos!$G:$G,Eventos!$F:$F,$L909,Eventos!$D:$D,$C$2,Eventos!$B:$B,PANES_SEMANALES[[#ALL],[JUEVES]])</f>
        <v>0</v>
      </c>
      <c r="Q909" s="59">
        <f>IF(P909&lt;&gt;"",SUMIFS(Eventos!$G:$G,Eventos!$B:$B,Q$2,Eventos!$D:$D,$C$2,Eventos!$F:$F,$L909),"")</f>
        <v>0</v>
      </c>
      <c r="R909" s="59">
        <f>SUMIFS(Eventos!$G:$G,Eventos!$F:$F,$L909,Eventos!$D:$D,$C$2,Eventos!$B:$B,PANES_SEMANALES[[#ALL],[SÁBADO]])</f>
        <v>0</v>
      </c>
      <c r="S909" s="59">
        <f>SUMIFS(Eventos!$G:$G,Eventos!$F:$F,$L909,Eventos!$D:$D,$C$2,Eventos!$B:$B,PANES_SEMANALES[[#ALL],[DOMINGO]])</f>
        <v>0</v>
      </c>
      <c r="T909" s="59">
        <f t="shared" si="1"/>
        <v>0</v>
      </c>
    </row>
    <row r="910" ht="22.5" customHeight="1">
      <c r="M910" s="59">
        <f>SUMIFS(Eventos!$G:$G,Eventos!$F:$F,$L910,Eventos!$D:$D,$C$2,Eventos!$B:$B,PANES_SEMANALES[[#ALL],[LUNES]])</f>
        <v>0</v>
      </c>
      <c r="N910" s="59">
        <f>SUMIFS(Eventos!$G:$G,Eventos!$F:$F,$L910,Eventos!$D:$D,$C$2,Eventos!$B:$B,PANES_SEMANALES[[#ALL],[MARTES]])</f>
        <v>0</v>
      </c>
      <c r="O910" s="59">
        <f>SUMIFS(Eventos!$G:$G,Eventos!$F:$F,$L910,Eventos!$D:$D,$C$2,Eventos!$B:$B,PANES_SEMANALES[[#ALL],[MIÉRCOLES]])</f>
        <v>0</v>
      </c>
      <c r="P910" s="59">
        <f>SUMIFS(Eventos!$G:$G,Eventos!$F:$F,$L910,Eventos!$D:$D,$C$2,Eventos!$B:$B,PANES_SEMANALES[[#ALL],[JUEVES]])</f>
        <v>0</v>
      </c>
      <c r="Q910" s="59">
        <f>IF(P910&lt;&gt;"",SUMIFS(Eventos!$G:$G,Eventos!$B:$B,Q$2,Eventos!$D:$D,$C$2,Eventos!$F:$F,$L910),"")</f>
        <v>0</v>
      </c>
      <c r="R910" s="59">
        <f>SUMIFS(Eventos!$G:$G,Eventos!$F:$F,$L910,Eventos!$D:$D,$C$2,Eventos!$B:$B,PANES_SEMANALES[[#ALL],[SÁBADO]])</f>
        <v>0</v>
      </c>
      <c r="S910" s="59">
        <f>SUMIFS(Eventos!$G:$G,Eventos!$F:$F,$L910,Eventos!$D:$D,$C$2,Eventos!$B:$B,PANES_SEMANALES[[#ALL],[DOMINGO]])</f>
        <v>0</v>
      </c>
      <c r="T910" s="59">
        <f t="shared" si="1"/>
        <v>0</v>
      </c>
    </row>
    <row r="911" ht="22.5" customHeight="1">
      <c r="M911" s="59">
        <f>SUMIFS(Eventos!$G:$G,Eventos!$F:$F,$L911,Eventos!$D:$D,$C$2,Eventos!$B:$B,PANES_SEMANALES[[#ALL],[LUNES]])</f>
        <v>0</v>
      </c>
      <c r="N911" s="59">
        <f>SUMIFS(Eventos!$G:$G,Eventos!$F:$F,$L911,Eventos!$D:$D,$C$2,Eventos!$B:$B,PANES_SEMANALES[[#ALL],[MARTES]])</f>
        <v>0</v>
      </c>
      <c r="O911" s="59">
        <f>SUMIFS(Eventos!$G:$G,Eventos!$F:$F,$L911,Eventos!$D:$D,$C$2,Eventos!$B:$B,PANES_SEMANALES[[#ALL],[MIÉRCOLES]])</f>
        <v>0</v>
      </c>
      <c r="P911" s="59">
        <f>SUMIFS(Eventos!$G:$G,Eventos!$F:$F,$L911,Eventos!$D:$D,$C$2,Eventos!$B:$B,PANES_SEMANALES[[#ALL],[JUEVES]])</f>
        <v>0</v>
      </c>
      <c r="Q911" s="59">
        <f>IF(P911&lt;&gt;"",SUMIFS(Eventos!$G:$G,Eventos!$B:$B,Q$2,Eventos!$D:$D,$C$2,Eventos!$F:$F,$L911),"")</f>
        <v>0</v>
      </c>
      <c r="R911" s="59">
        <f>SUMIFS(Eventos!$G:$G,Eventos!$F:$F,$L911,Eventos!$D:$D,$C$2,Eventos!$B:$B,PANES_SEMANALES[[#ALL],[SÁBADO]])</f>
        <v>0</v>
      </c>
      <c r="S911" s="59">
        <f>SUMIFS(Eventos!$G:$G,Eventos!$F:$F,$L911,Eventos!$D:$D,$C$2,Eventos!$B:$B,PANES_SEMANALES[[#ALL],[DOMINGO]])</f>
        <v>0</v>
      </c>
      <c r="T911" s="59">
        <f t="shared" si="1"/>
        <v>0</v>
      </c>
    </row>
    <row r="912" ht="22.5" customHeight="1">
      <c r="M912" s="59">
        <f>SUMIFS(Eventos!$G:$G,Eventos!$F:$F,$L912,Eventos!$D:$D,$C$2,Eventos!$B:$B,PANES_SEMANALES[[#ALL],[LUNES]])</f>
        <v>0</v>
      </c>
      <c r="N912" s="59">
        <f>SUMIFS(Eventos!$G:$G,Eventos!$F:$F,$L912,Eventos!$D:$D,$C$2,Eventos!$B:$B,PANES_SEMANALES[[#ALL],[MARTES]])</f>
        <v>0</v>
      </c>
      <c r="O912" s="59">
        <f>SUMIFS(Eventos!$G:$G,Eventos!$F:$F,$L912,Eventos!$D:$D,$C$2,Eventos!$B:$B,PANES_SEMANALES[[#ALL],[MIÉRCOLES]])</f>
        <v>0</v>
      </c>
      <c r="P912" s="59">
        <f>SUMIFS(Eventos!$G:$G,Eventos!$F:$F,$L912,Eventos!$D:$D,$C$2,Eventos!$B:$B,PANES_SEMANALES[[#ALL],[JUEVES]])</f>
        <v>0</v>
      </c>
      <c r="Q912" s="59">
        <f>IF(P912&lt;&gt;"",SUMIFS(Eventos!$G:$G,Eventos!$B:$B,Q$2,Eventos!$D:$D,$C$2,Eventos!$F:$F,$L912),"")</f>
        <v>0</v>
      </c>
      <c r="R912" s="59">
        <f>SUMIFS(Eventos!$G:$G,Eventos!$F:$F,$L912,Eventos!$D:$D,$C$2,Eventos!$B:$B,PANES_SEMANALES[[#ALL],[SÁBADO]])</f>
        <v>0</v>
      </c>
      <c r="S912" s="59">
        <f>SUMIFS(Eventos!$G:$G,Eventos!$F:$F,$L912,Eventos!$D:$D,$C$2,Eventos!$B:$B,PANES_SEMANALES[[#ALL],[DOMINGO]])</f>
        <v>0</v>
      </c>
      <c r="T912" s="59">
        <f t="shared" si="1"/>
        <v>0</v>
      </c>
    </row>
    <row r="913" ht="22.5" customHeight="1">
      <c r="M913" s="59">
        <f>SUMIFS(Eventos!$G:$G,Eventos!$F:$F,$L913,Eventos!$D:$D,$C$2,Eventos!$B:$B,PANES_SEMANALES[[#ALL],[LUNES]])</f>
        <v>0</v>
      </c>
      <c r="N913" s="59">
        <f>SUMIFS(Eventos!$G:$G,Eventos!$F:$F,$L913,Eventos!$D:$D,$C$2,Eventos!$B:$B,PANES_SEMANALES[[#ALL],[MARTES]])</f>
        <v>0</v>
      </c>
      <c r="O913" s="59">
        <f>SUMIFS(Eventos!$G:$G,Eventos!$F:$F,$L913,Eventos!$D:$D,$C$2,Eventos!$B:$B,PANES_SEMANALES[[#ALL],[MIÉRCOLES]])</f>
        <v>0</v>
      </c>
      <c r="P913" s="59">
        <f>SUMIFS(Eventos!$G:$G,Eventos!$F:$F,$L913,Eventos!$D:$D,$C$2,Eventos!$B:$B,PANES_SEMANALES[[#ALL],[JUEVES]])</f>
        <v>0</v>
      </c>
      <c r="Q913" s="59">
        <f>IF(P913&lt;&gt;"",SUMIFS(Eventos!$G:$G,Eventos!$B:$B,Q$2,Eventos!$D:$D,$C$2,Eventos!$F:$F,$L913),"")</f>
        <v>0</v>
      </c>
      <c r="R913" s="59">
        <f>SUMIFS(Eventos!$G:$G,Eventos!$F:$F,$L913,Eventos!$D:$D,$C$2,Eventos!$B:$B,PANES_SEMANALES[[#ALL],[SÁBADO]])</f>
        <v>0</v>
      </c>
      <c r="S913" s="59">
        <f>SUMIFS(Eventos!$G:$G,Eventos!$F:$F,$L913,Eventos!$D:$D,$C$2,Eventos!$B:$B,PANES_SEMANALES[[#ALL],[DOMINGO]])</f>
        <v>0</v>
      </c>
      <c r="T913" s="59">
        <f t="shared" si="1"/>
        <v>0</v>
      </c>
    </row>
    <row r="914" ht="22.5" customHeight="1">
      <c r="M914" s="59">
        <f>SUMIFS(Eventos!$G:$G,Eventos!$F:$F,$L914,Eventos!$D:$D,$C$2,Eventos!$B:$B,PANES_SEMANALES[[#ALL],[LUNES]])</f>
        <v>0</v>
      </c>
      <c r="N914" s="59">
        <f>SUMIFS(Eventos!$G:$G,Eventos!$F:$F,$L914,Eventos!$D:$D,$C$2,Eventos!$B:$B,PANES_SEMANALES[[#ALL],[MARTES]])</f>
        <v>0</v>
      </c>
      <c r="O914" s="59">
        <f>SUMIFS(Eventos!$G:$G,Eventos!$F:$F,$L914,Eventos!$D:$D,$C$2,Eventos!$B:$B,PANES_SEMANALES[[#ALL],[MIÉRCOLES]])</f>
        <v>0</v>
      </c>
      <c r="P914" s="59">
        <f>SUMIFS(Eventos!$G:$G,Eventos!$F:$F,$L914,Eventos!$D:$D,$C$2,Eventos!$B:$B,PANES_SEMANALES[[#ALL],[JUEVES]])</f>
        <v>0</v>
      </c>
      <c r="Q914" s="59">
        <f>IF(P914&lt;&gt;"",SUMIFS(Eventos!$G:$G,Eventos!$B:$B,Q$2,Eventos!$D:$D,$C$2,Eventos!$F:$F,$L914),"")</f>
        <v>0</v>
      </c>
      <c r="R914" s="59">
        <f>SUMIFS(Eventos!$G:$G,Eventos!$F:$F,$L914,Eventos!$D:$D,$C$2,Eventos!$B:$B,PANES_SEMANALES[[#ALL],[SÁBADO]])</f>
        <v>0</v>
      </c>
      <c r="S914" s="59">
        <f>SUMIFS(Eventos!$G:$G,Eventos!$F:$F,$L914,Eventos!$D:$D,$C$2,Eventos!$B:$B,PANES_SEMANALES[[#ALL],[DOMINGO]])</f>
        <v>0</v>
      </c>
      <c r="T914" s="59">
        <f t="shared" si="1"/>
        <v>0</v>
      </c>
    </row>
    <row r="915" ht="22.5" customHeight="1">
      <c r="M915" s="59">
        <f>SUMIFS(Eventos!$G:$G,Eventos!$F:$F,$L915,Eventos!$D:$D,$C$2,Eventos!$B:$B,PANES_SEMANALES[[#ALL],[LUNES]])</f>
        <v>0</v>
      </c>
      <c r="N915" s="59">
        <f>SUMIFS(Eventos!$G:$G,Eventos!$F:$F,$L915,Eventos!$D:$D,$C$2,Eventos!$B:$B,PANES_SEMANALES[[#ALL],[MARTES]])</f>
        <v>0</v>
      </c>
      <c r="O915" s="59">
        <f>SUMIFS(Eventos!$G:$G,Eventos!$F:$F,$L915,Eventos!$D:$D,$C$2,Eventos!$B:$B,PANES_SEMANALES[[#ALL],[MIÉRCOLES]])</f>
        <v>0</v>
      </c>
      <c r="P915" s="59">
        <f>SUMIFS(Eventos!$G:$G,Eventos!$F:$F,$L915,Eventos!$D:$D,$C$2,Eventos!$B:$B,PANES_SEMANALES[[#ALL],[JUEVES]])</f>
        <v>0</v>
      </c>
      <c r="Q915" s="59">
        <f>IF(P915&lt;&gt;"",SUMIFS(Eventos!$G:$G,Eventos!$B:$B,Q$2,Eventos!$D:$D,$C$2,Eventos!$F:$F,$L915),"")</f>
        <v>0</v>
      </c>
      <c r="R915" s="59">
        <f>SUMIFS(Eventos!$G:$G,Eventos!$F:$F,$L915,Eventos!$D:$D,$C$2,Eventos!$B:$B,PANES_SEMANALES[[#ALL],[SÁBADO]])</f>
        <v>0</v>
      </c>
      <c r="S915" s="59">
        <f>SUMIFS(Eventos!$G:$G,Eventos!$F:$F,$L915,Eventos!$D:$D,$C$2,Eventos!$B:$B,PANES_SEMANALES[[#ALL],[DOMINGO]])</f>
        <v>0</v>
      </c>
      <c r="T915" s="59">
        <f t="shared" si="1"/>
        <v>0</v>
      </c>
    </row>
    <row r="916" ht="22.5" customHeight="1">
      <c r="M916" s="59">
        <f>SUMIFS(Eventos!$G:$G,Eventos!$F:$F,$L916,Eventos!$D:$D,$C$2,Eventos!$B:$B,PANES_SEMANALES[[#ALL],[LUNES]])</f>
        <v>0</v>
      </c>
      <c r="N916" s="59">
        <f>SUMIFS(Eventos!$G:$G,Eventos!$F:$F,$L916,Eventos!$D:$D,$C$2,Eventos!$B:$B,PANES_SEMANALES[[#ALL],[MARTES]])</f>
        <v>0</v>
      </c>
      <c r="O916" s="59">
        <f>SUMIFS(Eventos!$G:$G,Eventos!$F:$F,$L916,Eventos!$D:$D,$C$2,Eventos!$B:$B,PANES_SEMANALES[[#ALL],[MIÉRCOLES]])</f>
        <v>0</v>
      </c>
      <c r="P916" s="59">
        <f>SUMIFS(Eventos!$G:$G,Eventos!$F:$F,$L916,Eventos!$D:$D,$C$2,Eventos!$B:$B,PANES_SEMANALES[[#ALL],[JUEVES]])</f>
        <v>0</v>
      </c>
      <c r="Q916" s="59">
        <f>IF(P916&lt;&gt;"",SUMIFS(Eventos!$G:$G,Eventos!$B:$B,Q$2,Eventos!$D:$D,$C$2,Eventos!$F:$F,$L916),"")</f>
        <v>0</v>
      </c>
      <c r="R916" s="59">
        <f>SUMIFS(Eventos!$G:$G,Eventos!$F:$F,$L916,Eventos!$D:$D,$C$2,Eventos!$B:$B,PANES_SEMANALES[[#ALL],[SÁBADO]])</f>
        <v>0</v>
      </c>
      <c r="S916" s="59">
        <f>SUMIFS(Eventos!$G:$G,Eventos!$F:$F,$L916,Eventos!$D:$D,$C$2,Eventos!$B:$B,PANES_SEMANALES[[#ALL],[DOMINGO]])</f>
        <v>0</v>
      </c>
      <c r="T916" s="59">
        <f t="shared" si="1"/>
        <v>0</v>
      </c>
    </row>
    <row r="917" ht="22.5" customHeight="1">
      <c r="M917" s="59">
        <f>SUMIFS(Eventos!$G:$G,Eventos!$F:$F,$L917,Eventos!$D:$D,$C$2,Eventos!$B:$B,PANES_SEMANALES[[#ALL],[LUNES]])</f>
        <v>0</v>
      </c>
      <c r="N917" s="59">
        <f>SUMIFS(Eventos!$G:$G,Eventos!$F:$F,$L917,Eventos!$D:$D,$C$2,Eventos!$B:$B,PANES_SEMANALES[[#ALL],[MARTES]])</f>
        <v>0</v>
      </c>
      <c r="O917" s="59">
        <f>SUMIFS(Eventos!$G:$G,Eventos!$F:$F,$L917,Eventos!$D:$D,$C$2,Eventos!$B:$B,PANES_SEMANALES[[#ALL],[MIÉRCOLES]])</f>
        <v>0</v>
      </c>
      <c r="P917" s="59">
        <f>SUMIFS(Eventos!$G:$G,Eventos!$F:$F,$L917,Eventos!$D:$D,$C$2,Eventos!$B:$B,PANES_SEMANALES[[#ALL],[JUEVES]])</f>
        <v>0</v>
      </c>
      <c r="Q917" s="59">
        <f>IF(P917&lt;&gt;"",SUMIFS(Eventos!$G:$G,Eventos!$B:$B,Q$2,Eventos!$D:$D,$C$2,Eventos!$F:$F,$L917),"")</f>
        <v>0</v>
      </c>
      <c r="R917" s="59">
        <f>SUMIFS(Eventos!$G:$G,Eventos!$F:$F,$L917,Eventos!$D:$D,$C$2,Eventos!$B:$B,PANES_SEMANALES[[#ALL],[SÁBADO]])</f>
        <v>0</v>
      </c>
      <c r="S917" s="59">
        <f>SUMIFS(Eventos!$G:$G,Eventos!$F:$F,$L917,Eventos!$D:$D,$C$2,Eventos!$B:$B,PANES_SEMANALES[[#ALL],[DOMINGO]])</f>
        <v>0</v>
      </c>
      <c r="T917" s="59">
        <f t="shared" si="1"/>
        <v>0</v>
      </c>
    </row>
    <row r="918" ht="22.5" customHeight="1">
      <c r="M918" s="59">
        <f>SUMIFS(Eventos!$G:$G,Eventos!$F:$F,$L918,Eventos!$D:$D,$C$2,Eventos!$B:$B,PANES_SEMANALES[[#ALL],[LUNES]])</f>
        <v>0</v>
      </c>
      <c r="N918" s="59">
        <f>SUMIFS(Eventos!$G:$G,Eventos!$F:$F,$L918,Eventos!$D:$D,$C$2,Eventos!$B:$B,PANES_SEMANALES[[#ALL],[MARTES]])</f>
        <v>0</v>
      </c>
      <c r="O918" s="59">
        <f>SUMIFS(Eventos!$G:$G,Eventos!$F:$F,$L918,Eventos!$D:$D,$C$2,Eventos!$B:$B,PANES_SEMANALES[[#ALL],[MIÉRCOLES]])</f>
        <v>0</v>
      </c>
      <c r="P918" s="59">
        <f>SUMIFS(Eventos!$G:$G,Eventos!$F:$F,$L918,Eventos!$D:$D,$C$2,Eventos!$B:$B,PANES_SEMANALES[[#ALL],[JUEVES]])</f>
        <v>0</v>
      </c>
      <c r="Q918" s="59">
        <f>IF(P918&lt;&gt;"",SUMIFS(Eventos!$G:$G,Eventos!$B:$B,Q$2,Eventos!$D:$D,$C$2,Eventos!$F:$F,$L918),"")</f>
        <v>0</v>
      </c>
      <c r="R918" s="59">
        <f>SUMIFS(Eventos!$G:$G,Eventos!$F:$F,$L918,Eventos!$D:$D,$C$2,Eventos!$B:$B,PANES_SEMANALES[[#ALL],[SÁBADO]])</f>
        <v>0</v>
      </c>
      <c r="S918" s="59">
        <f>SUMIFS(Eventos!$G:$G,Eventos!$F:$F,$L918,Eventos!$D:$D,$C$2,Eventos!$B:$B,PANES_SEMANALES[[#ALL],[DOMINGO]])</f>
        <v>0</v>
      </c>
      <c r="T918" s="59">
        <f t="shared" si="1"/>
        <v>0</v>
      </c>
    </row>
    <row r="919" ht="22.5" customHeight="1">
      <c r="M919" s="59">
        <f>SUMIFS(Eventos!$G:$G,Eventos!$F:$F,$L919,Eventos!$D:$D,$C$2,Eventos!$B:$B,PANES_SEMANALES[[#ALL],[LUNES]])</f>
        <v>0</v>
      </c>
      <c r="N919" s="59">
        <f>SUMIFS(Eventos!$G:$G,Eventos!$F:$F,$L919,Eventos!$D:$D,$C$2,Eventos!$B:$B,PANES_SEMANALES[[#ALL],[MARTES]])</f>
        <v>0</v>
      </c>
      <c r="O919" s="59">
        <f>SUMIFS(Eventos!$G:$G,Eventos!$F:$F,$L919,Eventos!$D:$D,$C$2,Eventos!$B:$B,PANES_SEMANALES[[#ALL],[MIÉRCOLES]])</f>
        <v>0</v>
      </c>
      <c r="P919" s="59">
        <f>SUMIFS(Eventos!$G:$G,Eventos!$F:$F,$L919,Eventos!$D:$D,$C$2,Eventos!$B:$B,PANES_SEMANALES[[#ALL],[JUEVES]])</f>
        <v>0</v>
      </c>
      <c r="Q919" s="59">
        <f>IF(P919&lt;&gt;"",SUMIFS(Eventos!$G:$G,Eventos!$B:$B,Q$2,Eventos!$D:$D,$C$2,Eventos!$F:$F,$L919),"")</f>
        <v>0</v>
      </c>
      <c r="R919" s="59">
        <f>SUMIFS(Eventos!$G:$G,Eventos!$F:$F,$L919,Eventos!$D:$D,$C$2,Eventos!$B:$B,PANES_SEMANALES[[#ALL],[SÁBADO]])</f>
        <v>0</v>
      </c>
      <c r="S919" s="59">
        <f>SUMIFS(Eventos!$G:$G,Eventos!$F:$F,$L919,Eventos!$D:$D,$C$2,Eventos!$B:$B,PANES_SEMANALES[[#ALL],[DOMINGO]])</f>
        <v>0</v>
      </c>
      <c r="T919" s="59">
        <f t="shared" si="1"/>
        <v>0</v>
      </c>
    </row>
    <row r="920" ht="22.5" customHeight="1">
      <c r="M920" s="59">
        <f>SUMIFS(Eventos!$G:$G,Eventos!$F:$F,$L920,Eventos!$D:$D,$C$2,Eventos!$B:$B,PANES_SEMANALES[[#ALL],[LUNES]])</f>
        <v>0</v>
      </c>
      <c r="N920" s="59">
        <f>SUMIFS(Eventos!$G:$G,Eventos!$F:$F,$L920,Eventos!$D:$D,$C$2,Eventos!$B:$B,PANES_SEMANALES[[#ALL],[MARTES]])</f>
        <v>0</v>
      </c>
      <c r="O920" s="59">
        <f>SUMIFS(Eventos!$G:$G,Eventos!$F:$F,$L920,Eventos!$D:$D,$C$2,Eventos!$B:$B,PANES_SEMANALES[[#ALL],[MIÉRCOLES]])</f>
        <v>0</v>
      </c>
      <c r="P920" s="59">
        <f>SUMIFS(Eventos!$G:$G,Eventos!$F:$F,$L920,Eventos!$D:$D,$C$2,Eventos!$B:$B,PANES_SEMANALES[[#ALL],[JUEVES]])</f>
        <v>0</v>
      </c>
      <c r="Q920" s="59">
        <f>IF(P920&lt;&gt;"",SUMIFS(Eventos!$G:$G,Eventos!$B:$B,Q$2,Eventos!$D:$D,$C$2,Eventos!$F:$F,$L920),"")</f>
        <v>0</v>
      </c>
      <c r="R920" s="59">
        <f>SUMIFS(Eventos!$G:$G,Eventos!$F:$F,$L920,Eventos!$D:$D,$C$2,Eventos!$B:$B,PANES_SEMANALES[[#ALL],[SÁBADO]])</f>
        <v>0</v>
      </c>
      <c r="S920" s="59">
        <f>SUMIFS(Eventos!$G:$G,Eventos!$F:$F,$L920,Eventos!$D:$D,$C$2,Eventos!$B:$B,PANES_SEMANALES[[#ALL],[DOMINGO]])</f>
        <v>0</v>
      </c>
      <c r="T920" s="59">
        <f t="shared" si="1"/>
        <v>0</v>
      </c>
    </row>
    <row r="921" ht="22.5" customHeight="1">
      <c r="M921" s="59">
        <f>SUMIFS(Eventos!$G:$G,Eventos!$F:$F,$L921,Eventos!$D:$D,$C$2,Eventos!$B:$B,PANES_SEMANALES[[#ALL],[LUNES]])</f>
        <v>0</v>
      </c>
      <c r="N921" s="59">
        <f>SUMIFS(Eventos!$G:$G,Eventos!$F:$F,$L921,Eventos!$D:$D,$C$2,Eventos!$B:$B,PANES_SEMANALES[[#ALL],[MARTES]])</f>
        <v>0</v>
      </c>
      <c r="O921" s="59">
        <f>SUMIFS(Eventos!$G:$G,Eventos!$F:$F,$L921,Eventos!$D:$D,$C$2,Eventos!$B:$B,PANES_SEMANALES[[#ALL],[MIÉRCOLES]])</f>
        <v>0</v>
      </c>
      <c r="P921" s="59">
        <f>SUMIFS(Eventos!$G:$G,Eventos!$F:$F,$L921,Eventos!$D:$D,$C$2,Eventos!$B:$B,PANES_SEMANALES[[#ALL],[JUEVES]])</f>
        <v>0</v>
      </c>
      <c r="Q921" s="59">
        <f>IF(P921&lt;&gt;"",SUMIFS(Eventos!$G:$G,Eventos!$B:$B,Q$2,Eventos!$D:$D,$C$2,Eventos!$F:$F,$L921),"")</f>
        <v>0</v>
      </c>
      <c r="R921" s="59">
        <f>SUMIFS(Eventos!$G:$G,Eventos!$F:$F,$L921,Eventos!$D:$D,$C$2,Eventos!$B:$B,PANES_SEMANALES[[#ALL],[SÁBADO]])</f>
        <v>0</v>
      </c>
      <c r="S921" s="59">
        <f>SUMIFS(Eventos!$G:$G,Eventos!$F:$F,$L921,Eventos!$D:$D,$C$2,Eventos!$B:$B,PANES_SEMANALES[[#ALL],[DOMINGO]])</f>
        <v>0</v>
      </c>
      <c r="T921" s="59">
        <f t="shared" si="1"/>
        <v>0</v>
      </c>
    </row>
    <row r="922" ht="22.5" customHeight="1">
      <c r="M922" s="59">
        <f>SUMIFS(Eventos!$G:$G,Eventos!$F:$F,$L922,Eventos!$D:$D,$C$2,Eventos!$B:$B,PANES_SEMANALES[[#ALL],[LUNES]])</f>
        <v>0</v>
      </c>
      <c r="N922" s="59">
        <f>SUMIFS(Eventos!$G:$G,Eventos!$F:$F,$L922,Eventos!$D:$D,$C$2,Eventos!$B:$B,PANES_SEMANALES[[#ALL],[MARTES]])</f>
        <v>0</v>
      </c>
      <c r="O922" s="59">
        <f>SUMIFS(Eventos!$G:$G,Eventos!$F:$F,$L922,Eventos!$D:$D,$C$2,Eventos!$B:$B,PANES_SEMANALES[[#ALL],[MIÉRCOLES]])</f>
        <v>0</v>
      </c>
      <c r="P922" s="59">
        <f>SUMIFS(Eventos!$G:$G,Eventos!$F:$F,$L922,Eventos!$D:$D,$C$2,Eventos!$B:$B,PANES_SEMANALES[[#ALL],[JUEVES]])</f>
        <v>0</v>
      </c>
      <c r="Q922" s="59">
        <f>IF(P922&lt;&gt;"",SUMIFS(Eventos!$G:$G,Eventos!$B:$B,Q$2,Eventos!$D:$D,$C$2,Eventos!$F:$F,$L922),"")</f>
        <v>0</v>
      </c>
      <c r="R922" s="59">
        <f>SUMIFS(Eventos!$G:$G,Eventos!$F:$F,$L922,Eventos!$D:$D,$C$2,Eventos!$B:$B,PANES_SEMANALES[[#ALL],[SÁBADO]])</f>
        <v>0</v>
      </c>
      <c r="S922" s="59">
        <f>SUMIFS(Eventos!$G:$G,Eventos!$F:$F,$L922,Eventos!$D:$D,$C$2,Eventos!$B:$B,PANES_SEMANALES[[#ALL],[DOMINGO]])</f>
        <v>0</v>
      </c>
      <c r="T922" s="59">
        <f t="shared" si="1"/>
        <v>0</v>
      </c>
    </row>
    <row r="923" ht="22.5" customHeight="1">
      <c r="M923" s="59">
        <f>SUMIFS(Eventos!$G:$G,Eventos!$F:$F,$L923,Eventos!$D:$D,$C$2,Eventos!$B:$B,PANES_SEMANALES[[#ALL],[LUNES]])</f>
        <v>0</v>
      </c>
      <c r="N923" s="59">
        <f>SUMIFS(Eventos!$G:$G,Eventos!$F:$F,$L923,Eventos!$D:$D,$C$2,Eventos!$B:$B,PANES_SEMANALES[[#ALL],[MARTES]])</f>
        <v>0</v>
      </c>
      <c r="O923" s="59">
        <f>SUMIFS(Eventos!$G:$G,Eventos!$F:$F,$L923,Eventos!$D:$D,$C$2,Eventos!$B:$B,PANES_SEMANALES[[#ALL],[MIÉRCOLES]])</f>
        <v>0</v>
      </c>
      <c r="P923" s="59">
        <f>SUMIFS(Eventos!$G:$G,Eventos!$F:$F,$L923,Eventos!$D:$D,$C$2,Eventos!$B:$B,PANES_SEMANALES[[#ALL],[JUEVES]])</f>
        <v>0</v>
      </c>
      <c r="Q923" s="59">
        <f>IF(P923&lt;&gt;"",SUMIFS(Eventos!$G:$G,Eventos!$B:$B,Q$2,Eventos!$D:$D,$C$2,Eventos!$F:$F,$L923),"")</f>
        <v>0</v>
      </c>
      <c r="R923" s="59">
        <f>SUMIFS(Eventos!$G:$G,Eventos!$F:$F,$L923,Eventos!$D:$D,$C$2,Eventos!$B:$B,PANES_SEMANALES[[#ALL],[SÁBADO]])</f>
        <v>0</v>
      </c>
      <c r="S923" s="59">
        <f>SUMIFS(Eventos!$G:$G,Eventos!$F:$F,$L923,Eventos!$D:$D,$C$2,Eventos!$B:$B,PANES_SEMANALES[[#ALL],[DOMINGO]])</f>
        <v>0</v>
      </c>
      <c r="T923" s="59">
        <f t="shared" si="1"/>
        <v>0</v>
      </c>
    </row>
    <row r="924" ht="22.5" customHeight="1">
      <c r="M924" s="59">
        <f>SUMIFS(Eventos!$G:$G,Eventos!$F:$F,$L924,Eventos!$D:$D,$C$2,Eventos!$B:$B,PANES_SEMANALES[[#ALL],[LUNES]])</f>
        <v>0</v>
      </c>
      <c r="N924" s="59">
        <f>SUMIFS(Eventos!$G:$G,Eventos!$F:$F,$L924,Eventos!$D:$D,$C$2,Eventos!$B:$B,PANES_SEMANALES[[#ALL],[MARTES]])</f>
        <v>0</v>
      </c>
      <c r="O924" s="59">
        <f>SUMIFS(Eventos!$G:$G,Eventos!$F:$F,$L924,Eventos!$D:$D,$C$2,Eventos!$B:$B,PANES_SEMANALES[[#ALL],[MIÉRCOLES]])</f>
        <v>0</v>
      </c>
      <c r="P924" s="59">
        <f>SUMIFS(Eventos!$G:$G,Eventos!$F:$F,$L924,Eventos!$D:$D,$C$2,Eventos!$B:$B,PANES_SEMANALES[[#ALL],[JUEVES]])</f>
        <v>0</v>
      </c>
      <c r="Q924" s="59">
        <f>IF(P924&lt;&gt;"",SUMIFS(Eventos!$G:$G,Eventos!$B:$B,Q$2,Eventos!$D:$D,$C$2,Eventos!$F:$F,$L924),"")</f>
        <v>0</v>
      </c>
      <c r="R924" s="59">
        <f>SUMIFS(Eventos!$G:$G,Eventos!$F:$F,$L924,Eventos!$D:$D,$C$2,Eventos!$B:$B,PANES_SEMANALES[[#ALL],[SÁBADO]])</f>
        <v>0</v>
      </c>
      <c r="S924" s="59">
        <f>SUMIFS(Eventos!$G:$G,Eventos!$F:$F,$L924,Eventos!$D:$D,$C$2,Eventos!$B:$B,PANES_SEMANALES[[#ALL],[DOMINGO]])</f>
        <v>0</v>
      </c>
      <c r="T924" s="59">
        <f t="shared" si="1"/>
        <v>0</v>
      </c>
    </row>
    <row r="925" ht="22.5" customHeight="1">
      <c r="M925" s="59">
        <f>SUMIFS(Eventos!$G:$G,Eventos!$F:$F,$L925,Eventos!$D:$D,$C$2,Eventos!$B:$B,PANES_SEMANALES[[#ALL],[LUNES]])</f>
        <v>0</v>
      </c>
      <c r="N925" s="59">
        <f>SUMIFS(Eventos!$G:$G,Eventos!$F:$F,$L925,Eventos!$D:$D,$C$2,Eventos!$B:$B,PANES_SEMANALES[[#ALL],[MARTES]])</f>
        <v>0</v>
      </c>
      <c r="O925" s="59">
        <f>SUMIFS(Eventos!$G:$G,Eventos!$F:$F,$L925,Eventos!$D:$D,$C$2,Eventos!$B:$B,PANES_SEMANALES[[#ALL],[MIÉRCOLES]])</f>
        <v>0</v>
      </c>
      <c r="P925" s="59">
        <f>SUMIFS(Eventos!$G:$G,Eventos!$F:$F,$L925,Eventos!$D:$D,$C$2,Eventos!$B:$B,PANES_SEMANALES[[#ALL],[JUEVES]])</f>
        <v>0</v>
      </c>
      <c r="Q925" s="59">
        <f>IF(P925&lt;&gt;"",SUMIFS(Eventos!$G:$G,Eventos!$B:$B,Q$2,Eventos!$D:$D,$C$2,Eventos!$F:$F,$L925),"")</f>
        <v>0</v>
      </c>
      <c r="R925" s="59">
        <f>SUMIFS(Eventos!$G:$G,Eventos!$F:$F,$L925,Eventos!$D:$D,$C$2,Eventos!$B:$B,PANES_SEMANALES[[#ALL],[SÁBADO]])</f>
        <v>0</v>
      </c>
      <c r="S925" s="59">
        <f>SUMIFS(Eventos!$G:$G,Eventos!$F:$F,$L925,Eventos!$D:$D,$C$2,Eventos!$B:$B,PANES_SEMANALES[[#ALL],[DOMINGO]])</f>
        <v>0</v>
      </c>
      <c r="T925" s="59">
        <f t="shared" si="1"/>
        <v>0</v>
      </c>
    </row>
    <row r="926" ht="22.5" customHeight="1">
      <c r="M926" s="59">
        <f>SUMIFS(Eventos!$G:$G,Eventos!$F:$F,$L926,Eventos!$D:$D,$C$2,Eventos!$B:$B,PANES_SEMANALES[[#ALL],[LUNES]])</f>
        <v>0</v>
      </c>
      <c r="N926" s="59">
        <f>SUMIFS(Eventos!$G:$G,Eventos!$F:$F,$L926,Eventos!$D:$D,$C$2,Eventos!$B:$B,PANES_SEMANALES[[#ALL],[MARTES]])</f>
        <v>0</v>
      </c>
      <c r="O926" s="59">
        <f>SUMIFS(Eventos!$G:$G,Eventos!$F:$F,$L926,Eventos!$D:$D,$C$2,Eventos!$B:$B,PANES_SEMANALES[[#ALL],[MIÉRCOLES]])</f>
        <v>0</v>
      </c>
      <c r="P926" s="59">
        <f>SUMIFS(Eventos!$G:$G,Eventos!$F:$F,$L926,Eventos!$D:$D,$C$2,Eventos!$B:$B,PANES_SEMANALES[[#ALL],[JUEVES]])</f>
        <v>0</v>
      </c>
      <c r="Q926" s="59">
        <f>IF(P926&lt;&gt;"",SUMIFS(Eventos!$G:$G,Eventos!$B:$B,Q$2,Eventos!$D:$D,$C$2,Eventos!$F:$F,$L926),"")</f>
        <v>0</v>
      </c>
      <c r="R926" s="59">
        <f>SUMIFS(Eventos!$G:$G,Eventos!$F:$F,$L926,Eventos!$D:$D,$C$2,Eventos!$B:$B,PANES_SEMANALES[[#ALL],[SÁBADO]])</f>
        <v>0</v>
      </c>
      <c r="S926" s="59">
        <f>SUMIFS(Eventos!$G:$G,Eventos!$F:$F,$L926,Eventos!$D:$D,$C$2,Eventos!$B:$B,PANES_SEMANALES[[#ALL],[DOMINGO]])</f>
        <v>0</v>
      </c>
      <c r="T926" s="59">
        <f t="shared" si="1"/>
        <v>0</v>
      </c>
    </row>
    <row r="927" ht="22.5" customHeight="1">
      <c r="M927" s="59">
        <f>SUMIFS(Eventos!$G:$G,Eventos!$F:$F,$L927,Eventos!$D:$D,$C$2,Eventos!$B:$B,PANES_SEMANALES[[#ALL],[LUNES]])</f>
        <v>0</v>
      </c>
      <c r="N927" s="59">
        <f>SUMIFS(Eventos!$G:$G,Eventos!$F:$F,$L927,Eventos!$D:$D,$C$2,Eventos!$B:$B,PANES_SEMANALES[[#ALL],[MARTES]])</f>
        <v>0</v>
      </c>
      <c r="O927" s="59">
        <f>SUMIFS(Eventos!$G:$G,Eventos!$F:$F,$L927,Eventos!$D:$D,$C$2,Eventos!$B:$B,PANES_SEMANALES[[#ALL],[MIÉRCOLES]])</f>
        <v>0</v>
      </c>
      <c r="P927" s="59">
        <f>SUMIFS(Eventos!$G:$G,Eventos!$F:$F,$L927,Eventos!$D:$D,$C$2,Eventos!$B:$B,PANES_SEMANALES[[#ALL],[JUEVES]])</f>
        <v>0</v>
      </c>
      <c r="Q927" s="59">
        <f>IF(P927&lt;&gt;"",SUMIFS(Eventos!$G:$G,Eventos!$B:$B,Q$2,Eventos!$D:$D,$C$2,Eventos!$F:$F,$L927),"")</f>
        <v>0</v>
      </c>
      <c r="R927" s="59">
        <f>SUMIFS(Eventos!$G:$G,Eventos!$F:$F,$L927,Eventos!$D:$D,$C$2,Eventos!$B:$B,PANES_SEMANALES[[#ALL],[SÁBADO]])</f>
        <v>0</v>
      </c>
      <c r="S927" s="59">
        <f>SUMIFS(Eventos!$G:$G,Eventos!$F:$F,$L927,Eventos!$D:$D,$C$2,Eventos!$B:$B,PANES_SEMANALES[[#ALL],[DOMINGO]])</f>
        <v>0</v>
      </c>
      <c r="T927" s="59">
        <f t="shared" si="1"/>
        <v>0</v>
      </c>
    </row>
    <row r="928" ht="22.5" customHeight="1">
      <c r="M928" s="59">
        <f>SUMIFS(Eventos!$G:$G,Eventos!$F:$F,$L928,Eventos!$D:$D,$C$2,Eventos!$B:$B,PANES_SEMANALES[[#ALL],[LUNES]])</f>
        <v>0</v>
      </c>
      <c r="N928" s="59">
        <f>SUMIFS(Eventos!$G:$G,Eventos!$F:$F,$L928,Eventos!$D:$D,$C$2,Eventos!$B:$B,PANES_SEMANALES[[#ALL],[MARTES]])</f>
        <v>0</v>
      </c>
      <c r="O928" s="59">
        <f>SUMIFS(Eventos!$G:$G,Eventos!$F:$F,$L928,Eventos!$D:$D,$C$2,Eventos!$B:$B,PANES_SEMANALES[[#ALL],[MIÉRCOLES]])</f>
        <v>0</v>
      </c>
      <c r="P928" s="59">
        <f>SUMIFS(Eventos!$G:$G,Eventos!$F:$F,$L928,Eventos!$D:$D,$C$2,Eventos!$B:$B,PANES_SEMANALES[[#ALL],[JUEVES]])</f>
        <v>0</v>
      </c>
      <c r="Q928" s="59">
        <f>IF(P928&lt;&gt;"",SUMIFS(Eventos!$G:$G,Eventos!$B:$B,Q$2,Eventos!$D:$D,$C$2,Eventos!$F:$F,$L928),"")</f>
        <v>0</v>
      </c>
      <c r="R928" s="59">
        <f>SUMIFS(Eventos!$G:$G,Eventos!$F:$F,$L928,Eventos!$D:$D,$C$2,Eventos!$B:$B,PANES_SEMANALES[[#ALL],[SÁBADO]])</f>
        <v>0</v>
      </c>
      <c r="S928" s="59">
        <f>SUMIFS(Eventos!$G:$G,Eventos!$F:$F,$L928,Eventos!$D:$D,$C$2,Eventos!$B:$B,PANES_SEMANALES[[#ALL],[DOMINGO]])</f>
        <v>0</v>
      </c>
      <c r="T928" s="59">
        <f t="shared" si="1"/>
        <v>0</v>
      </c>
    </row>
    <row r="929" ht="22.5" customHeight="1">
      <c r="M929" s="59">
        <f>SUMIFS(Eventos!$G:$G,Eventos!$F:$F,$L929,Eventos!$D:$D,$C$2,Eventos!$B:$B,PANES_SEMANALES[[#ALL],[LUNES]])</f>
        <v>0</v>
      </c>
      <c r="N929" s="59">
        <f>SUMIFS(Eventos!$G:$G,Eventos!$F:$F,$L929,Eventos!$D:$D,$C$2,Eventos!$B:$B,PANES_SEMANALES[[#ALL],[MARTES]])</f>
        <v>0</v>
      </c>
      <c r="O929" s="59">
        <f>SUMIFS(Eventos!$G:$G,Eventos!$F:$F,$L929,Eventos!$D:$D,$C$2,Eventos!$B:$B,PANES_SEMANALES[[#ALL],[MIÉRCOLES]])</f>
        <v>0</v>
      </c>
      <c r="P929" s="59">
        <f>SUMIFS(Eventos!$G:$G,Eventos!$F:$F,$L929,Eventos!$D:$D,$C$2,Eventos!$B:$B,PANES_SEMANALES[[#ALL],[JUEVES]])</f>
        <v>0</v>
      </c>
      <c r="Q929" s="59">
        <f>IF(P929&lt;&gt;"",SUMIFS(Eventos!$G:$G,Eventos!$B:$B,Q$2,Eventos!$D:$D,$C$2,Eventos!$F:$F,$L929),"")</f>
        <v>0</v>
      </c>
      <c r="R929" s="59">
        <f>SUMIFS(Eventos!$G:$G,Eventos!$F:$F,$L929,Eventos!$D:$D,$C$2,Eventos!$B:$B,PANES_SEMANALES[[#ALL],[SÁBADO]])</f>
        <v>0</v>
      </c>
      <c r="S929" s="59">
        <f>SUMIFS(Eventos!$G:$G,Eventos!$F:$F,$L929,Eventos!$D:$D,$C$2,Eventos!$B:$B,PANES_SEMANALES[[#ALL],[DOMINGO]])</f>
        <v>0</v>
      </c>
      <c r="T929" s="59">
        <f t="shared" si="1"/>
        <v>0</v>
      </c>
    </row>
    <row r="930" ht="22.5" customHeight="1">
      <c r="M930" s="59">
        <f>SUMIFS(Eventos!$G:$G,Eventos!$F:$F,$L930,Eventos!$D:$D,$C$2,Eventos!$B:$B,PANES_SEMANALES[[#ALL],[LUNES]])</f>
        <v>0</v>
      </c>
      <c r="N930" s="59">
        <f>SUMIFS(Eventos!$G:$G,Eventos!$F:$F,$L930,Eventos!$D:$D,$C$2,Eventos!$B:$B,PANES_SEMANALES[[#ALL],[MARTES]])</f>
        <v>0</v>
      </c>
      <c r="O930" s="59">
        <f>SUMIFS(Eventos!$G:$G,Eventos!$F:$F,$L930,Eventos!$D:$D,$C$2,Eventos!$B:$B,PANES_SEMANALES[[#ALL],[MIÉRCOLES]])</f>
        <v>0</v>
      </c>
      <c r="P930" s="59">
        <f>SUMIFS(Eventos!$G:$G,Eventos!$F:$F,$L930,Eventos!$D:$D,$C$2,Eventos!$B:$B,PANES_SEMANALES[[#ALL],[JUEVES]])</f>
        <v>0</v>
      </c>
      <c r="Q930" s="59">
        <f>IF(P930&lt;&gt;"",SUMIFS(Eventos!$G:$G,Eventos!$B:$B,Q$2,Eventos!$D:$D,$C$2,Eventos!$F:$F,$L930),"")</f>
        <v>0</v>
      </c>
      <c r="R930" s="59">
        <f>SUMIFS(Eventos!$G:$G,Eventos!$F:$F,$L930,Eventos!$D:$D,$C$2,Eventos!$B:$B,PANES_SEMANALES[[#ALL],[SÁBADO]])</f>
        <v>0</v>
      </c>
      <c r="S930" s="59">
        <f>SUMIFS(Eventos!$G:$G,Eventos!$F:$F,$L930,Eventos!$D:$D,$C$2,Eventos!$B:$B,PANES_SEMANALES[[#ALL],[DOMINGO]])</f>
        <v>0</v>
      </c>
      <c r="T930" s="59">
        <f t="shared" si="1"/>
        <v>0</v>
      </c>
    </row>
    <row r="931" ht="22.5" customHeight="1">
      <c r="M931" s="59">
        <f>SUMIFS(Eventos!$G:$G,Eventos!$F:$F,$L931,Eventos!$D:$D,$C$2,Eventos!$B:$B,PANES_SEMANALES[[#ALL],[LUNES]])</f>
        <v>0</v>
      </c>
      <c r="N931" s="59">
        <f>SUMIFS(Eventos!$G:$G,Eventos!$F:$F,$L931,Eventos!$D:$D,$C$2,Eventos!$B:$B,PANES_SEMANALES[[#ALL],[MARTES]])</f>
        <v>0</v>
      </c>
      <c r="O931" s="59">
        <f>SUMIFS(Eventos!$G:$G,Eventos!$F:$F,$L931,Eventos!$D:$D,$C$2,Eventos!$B:$B,PANES_SEMANALES[[#ALL],[MIÉRCOLES]])</f>
        <v>0</v>
      </c>
      <c r="P931" s="59">
        <f>SUMIFS(Eventos!$G:$G,Eventos!$F:$F,$L931,Eventos!$D:$D,$C$2,Eventos!$B:$B,PANES_SEMANALES[[#ALL],[JUEVES]])</f>
        <v>0</v>
      </c>
      <c r="Q931" s="59">
        <f>IF(P931&lt;&gt;"",SUMIFS(Eventos!$G:$G,Eventos!$B:$B,Q$2,Eventos!$D:$D,$C$2,Eventos!$F:$F,$L931),"")</f>
        <v>0</v>
      </c>
      <c r="R931" s="59">
        <f>SUMIFS(Eventos!$G:$G,Eventos!$F:$F,$L931,Eventos!$D:$D,$C$2,Eventos!$B:$B,PANES_SEMANALES[[#ALL],[SÁBADO]])</f>
        <v>0</v>
      </c>
      <c r="S931" s="59">
        <f>SUMIFS(Eventos!$G:$G,Eventos!$F:$F,$L931,Eventos!$D:$D,$C$2,Eventos!$B:$B,PANES_SEMANALES[[#ALL],[DOMINGO]])</f>
        <v>0</v>
      </c>
      <c r="T931" s="59">
        <f t="shared" si="1"/>
        <v>0</v>
      </c>
    </row>
    <row r="932" ht="22.5" customHeight="1">
      <c r="M932" s="59">
        <f>SUMIFS(Eventos!$G:$G,Eventos!$F:$F,$L932,Eventos!$D:$D,$C$2,Eventos!$B:$B,PANES_SEMANALES[[#ALL],[LUNES]])</f>
        <v>0</v>
      </c>
      <c r="N932" s="59">
        <f>SUMIFS(Eventos!$G:$G,Eventos!$F:$F,$L932,Eventos!$D:$D,$C$2,Eventos!$B:$B,PANES_SEMANALES[[#ALL],[MARTES]])</f>
        <v>0</v>
      </c>
      <c r="O932" s="59">
        <f>SUMIFS(Eventos!$G:$G,Eventos!$F:$F,$L932,Eventos!$D:$D,$C$2,Eventos!$B:$B,PANES_SEMANALES[[#ALL],[MIÉRCOLES]])</f>
        <v>0</v>
      </c>
      <c r="P932" s="59">
        <f>SUMIFS(Eventos!$G:$G,Eventos!$F:$F,$L932,Eventos!$D:$D,$C$2,Eventos!$B:$B,PANES_SEMANALES[[#ALL],[JUEVES]])</f>
        <v>0</v>
      </c>
      <c r="Q932" s="59">
        <f>IF(P932&lt;&gt;"",SUMIFS(Eventos!$G:$G,Eventos!$B:$B,Q$2,Eventos!$D:$D,$C$2,Eventos!$F:$F,$L932),"")</f>
        <v>0</v>
      </c>
      <c r="R932" s="59">
        <f>SUMIFS(Eventos!$G:$G,Eventos!$F:$F,$L932,Eventos!$D:$D,$C$2,Eventos!$B:$B,PANES_SEMANALES[[#ALL],[SÁBADO]])</f>
        <v>0</v>
      </c>
      <c r="S932" s="59">
        <f>SUMIFS(Eventos!$G:$G,Eventos!$F:$F,$L932,Eventos!$D:$D,$C$2,Eventos!$B:$B,PANES_SEMANALES[[#ALL],[DOMINGO]])</f>
        <v>0</v>
      </c>
      <c r="T932" s="59">
        <f t="shared" si="1"/>
        <v>0</v>
      </c>
    </row>
    <row r="933" ht="22.5" customHeight="1">
      <c r="M933" s="59">
        <f>SUMIFS(Eventos!$G:$G,Eventos!$F:$F,$L933,Eventos!$D:$D,$C$2,Eventos!$B:$B,PANES_SEMANALES[[#ALL],[LUNES]])</f>
        <v>0</v>
      </c>
      <c r="N933" s="59">
        <f>SUMIFS(Eventos!$G:$G,Eventos!$F:$F,$L933,Eventos!$D:$D,$C$2,Eventos!$B:$B,PANES_SEMANALES[[#ALL],[MARTES]])</f>
        <v>0</v>
      </c>
      <c r="O933" s="59">
        <f>SUMIFS(Eventos!$G:$G,Eventos!$F:$F,$L933,Eventos!$D:$D,$C$2,Eventos!$B:$B,PANES_SEMANALES[[#ALL],[MIÉRCOLES]])</f>
        <v>0</v>
      </c>
      <c r="P933" s="59">
        <f>SUMIFS(Eventos!$G:$G,Eventos!$F:$F,$L933,Eventos!$D:$D,$C$2,Eventos!$B:$B,PANES_SEMANALES[[#ALL],[JUEVES]])</f>
        <v>0</v>
      </c>
      <c r="Q933" s="59">
        <f>IF(P933&lt;&gt;"",SUMIFS(Eventos!$G:$G,Eventos!$B:$B,Q$2,Eventos!$D:$D,$C$2,Eventos!$F:$F,$L933),"")</f>
        <v>0</v>
      </c>
      <c r="R933" s="59">
        <f>SUMIFS(Eventos!$G:$G,Eventos!$F:$F,$L933,Eventos!$D:$D,$C$2,Eventos!$B:$B,PANES_SEMANALES[[#ALL],[SÁBADO]])</f>
        <v>0</v>
      </c>
      <c r="S933" s="59">
        <f>SUMIFS(Eventos!$G:$G,Eventos!$F:$F,$L933,Eventos!$D:$D,$C$2,Eventos!$B:$B,PANES_SEMANALES[[#ALL],[DOMINGO]])</f>
        <v>0</v>
      </c>
      <c r="T933" s="59">
        <f t="shared" si="1"/>
        <v>0</v>
      </c>
    </row>
    <row r="934" ht="22.5" customHeight="1">
      <c r="M934" s="59">
        <f>SUMIFS(Eventos!$G:$G,Eventos!$F:$F,$L934,Eventos!$D:$D,$C$2,Eventos!$B:$B,PANES_SEMANALES[[#ALL],[LUNES]])</f>
        <v>0</v>
      </c>
      <c r="N934" s="59">
        <f>SUMIFS(Eventos!$G:$G,Eventos!$F:$F,$L934,Eventos!$D:$D,$C$2,Eventos!$B:$B,PANES_SEMANALES[[#ALL],[MARTES]])</f>
        <v>0</v>
      </c>
      <c r="O934" s="59">
        <f>SUMIFS(Eventos!$G:$G,Eventos!$F:$F,$L934,Eventos!$D:$D,$C$2,Eventos!$B:$B,PANES_SEMANALES[[#ALL],[MIÉRCOLES]])</f>
        <v>0</v>
      </c>
      <c r="P934" s="59">
        <f>SUMIFS(Eventos!$G:$G,Eventos!$F:$F,$L934,Eventos!$D:$D,$C$2,Eventos!$B:$B,PANES_SEMANALES[[#ALL],[JUEVES]])</f>
        <v>0</v>
      </c>
      <c r="Q934" s="59">
        <f>IF(P934&lt;&gt;"",SUMIFS(Eventos!$G:$G,Eventos!$B:$B,Q$2,Eventos!$D:$D,$C$2,Eventos!$F:$F,$L934),"")</f>
        <v>0</v>
      </c>
      <c r="R934" s="59">
        <f>SUMIFS(Eventos!$G:$G,Eventos!$F:$F,$L934,Eventos!$D:$D,$C$2,Eventos!$B:$B,PANES_SEMANALES[[#ALL],[SÁBADO]])</f>
        <v>0</v>
      </c>
      <c r="S934" s="59">
        <f>SUMIFS(Eventos!$G:$G,Eventos!$F:$F,$L934,Eventos!$D:$D,$C$2,Eventos!$B:$B,PANES_SEMANALES[[#ALL],[DOMINGO]])</f>
        <v>0</v>
      </c>
      <c r="T934" s="59">
        <f t="shared" si="1"/>
        <v>0</v>
      </c>
    </row>
    <row r="935" ht="22.5" customHeight="1">
      <c r="M935" s="59">
        <f>SUMIFS(Eventos!$G:$G,Eventos!$F:$F,$L935,Eventos!$D:$D,$C$2,Eventos!$B:$B,PANES_SEMANALES[[#ALL],[LUNES]])</f>
        <v>0</v>
      </c>
      <c r="N935" s="59">
        <f>SUMIFS(Eventos!$G:$G,Eventos!$F:$F,$L935,Eventos!$D:$D,$C$2,Eventos!$B:$B,PANES_SEMANALES[[#ALL],[MARTES]])</f>
        <v>0</v>
      </c>
      <c r="O935" s="59">
        <f>SUMIFS(Eventos!$G:$G,Eventos!$F:$F,$L935,Eventos!$D:$D,$C$2,Eventos!$B:$B,PANES_SEMANALES[[#ALL],[MIÉRCOLES]])</f>
        <v>0</v>
      </c>
      <c r="P935" s="59">
        <f>SUMIFS(Eventos!$G:$G,Eventos!$F:$F,$L935,Eventos!$D:$D,$C$2,Eventos!$B:$B,PANES_SEMANALES[[#ALL],[JUEVES]])</f>
        <v>0</v>
      </c>
      <c r="Q935" s="59">
        <f>IF(P935&lt;&gt;"",SUMIFS(Eventos!$G:$G,Eventos!$B:$B,Q$2,Eventos!$D:$D,$C$2,Eventos!$F:$F,$L935),"")</f>
        <v>0</v>
      </c>
      <c r="R935" s="59">
        <f>SUMIFS(Eventos!$G:$G,Eventos!$F:$F,$L935,Eventos!$D:$D,$C$2,Eventos!$B:$B,PANES_SEMANALES[[#ALL],[SÁBADO]])</f>
        <v>0</v>
      </c>
      <c r="S935" s="59">
        <f>SUMIFS(Eventos!$G:$G,Eventos!$F:$F,$L935,Eventos!$D:$D,$C$2,Eventos!$B:$B,PANES_SEMANALES[[#ALL],[DOMINGO]])</f>
        <v>0</v>
      </c>
      <c r="T935" s="59">
        <f t="shared" si="1"/>
        <v>0</v>
      </c>
    </row>
    <row r="936" ht="22.5" customHeight="1">
      <c r="M936" s="59">
        <f>SUMIFS(Eventos!$G:$G,Eventos!$F:$F,$L936,Eventos!$D:$D,$C$2,Eventos!$B:$B,PANES_SEMANALES[[#ALL],[LUNES]])</f>
        <v>0</v>
      </c>
      <c r="N936" s="59">
        <f>SUMIFS(Eventos!$G:$G,Eventos!$F:$F,$L936,Eventos!$D:$D,$C$2,Eventos!$B:$B,PANES_SEMANALES[[#ALL],[MARTES]])</f>
        <v>0</v>
      </c>
      <c r="O936" s="59">
        <f>SUMIFS(Eventos!$G:$G,Eventos!$F:$F,$L936,Eventos!$D:$D,$C$2,Eventos!$B:$B,PANES_SEMANALES[[#ALL],[MIÉRCOLES]])</f>
        <v>0</v>
      </c>
      <c r="P936" s="59">
        <f>SUMIFS(Eventos!$G:$G,Eventos!$F:$F,$L936,Eventos!$D:$D,$C$2,Eventos!$B:$B,PANES_SEMANALES[[#ALL],[JUEVES]])</f>
        <v>0</v>
      </c>
      <c r="Q936" s="59">
        <f>IF(P936&lt;&gt;"",SUMIFS(Eventos!$G:$G,Eventos!$B:$B,Q$2,Eventos!$D:$D,$C$2,Eventos!$F:$F,$L936),"")</f>
        <v>0</v>
      </c>
      <c r="R936" s="59">
        <f>SUMIFS(Eventos!$G:$G,Eventos!$F:$F,$L936,Eventos!$D:$D,$C$2,Eventos!$B:$B,PANES_SEMANALES[[#ALL],[SÁBADO]])</f>
        <v>0</v>
      </c>
      <c r="S936" s="59">
        <f>SUMIFS(Eventos!$G:$G,Eventos!$F:$F,$L936,Eventos!$D:$D,$C$2,Eventos!$B:$B,PANES_SEMANALES[[#ALL],[DOMINGO]])</f>
        <v>0</v>
      </c>
      <c r="T936" s="59">
        <f t="shared" si="1"/>
        <v>0</v>
      </c>
    </row>
    <row r="937" ht="22.5" customHeight="1">
      <c r="M937" s="59">
        <f>SUMIFS(Eventos!$G:$G,Eventos!$F:$F,$L937,Eventos!$D:$D,$C$2,Eventos!$B:$B,PANES_SEMANALES[[#ALL],[LUNES]])</f>
        <v>0</v>
      </c>
      <c r="N937" s="59">
        <f>SUMIFS(Eventos!$G:$G,Eventos!$F:$F,$L937,Eventos!$D:$D,$C$2,Eventos!$B:$B,PANES_SEMANALES[[#ALL],[MARTES]])</f>
        <v>0</v>
      </c>
      <c r="O937" s="59">
        <f>SUMIFS(Eventos!$G:$G,Eventos!$F:$F,$L937,Eventos!$D:$D,$C$2,Eventos!$B:$B,PANES_SEMANALES[[#ALL],[MIÉRCOLES]])</f>
        <v>0</v>
      </c>
      <c r="P937" s="59">
        <f>SUMIFS(Eventos!$G:$G,Eventos!$F:$F,$L937,Eventos!$D:$D,$C$2,Eventos!$B:$B,PANES_SEMANALES[[#ALL],[JUEVES]])</f>
        <v>0</v>
      </c>
      <c r="Q937" s="59">
        <f>IF(P937&lt;&gt;"",SUMIFS(Eventos!$G:$G,Eventos!$B:$B,Q$2,Eventos!$D:$D,$C$2,Eventos!$F:$F,$L937),"")</f>
        <v>0</v>
      </c>
      <c r="R937" s="59">
        <f>SUMIFS(Eventos!$G:$G,Eventos!$F:$F,$L937,Eventos!$D:$D,$C$2,Eventos!$B:$B,PANES_SEMANALES[[#ALL],[SÁBADO]])</f>
        <v>0</v>
      </c>
      <c r="S937" s="59">
        <f>SUMIFS(Eventos!$G:$G,Eventos!$F:$F,$L937,Eventos!$D:$D,$C$2,Eventos!$B:$B,PANES_SEMANALES[[#ALL],[DOMINGO]])</f>
        <v>0</v>
      </c>
      <c r="T937" s="59">
        <f t="shared" si="1"/>
        <v>0</v>
      </c>
    </row>
    <row r="938" ht="22.5" customHeight="1">
      <c r="M938" s="59">
        <f>SUMIFS(Eventos!$G:$G,Eventos!$F:$F,$L938,Eventos!$D:$D,$C$2,Eventos!$B:$B,PANES_SEMANALES[[#ALL],[LUNES]])</f>
        <v>0</v>
      </c>
      <c r="N938" s="59">
        <f>SUMIFS(Eventos!$G:$G,Eventos!$F:$F,$L938,Eventos!$D:$D,$C$2,Eventos!$B:$B,PANES_SEMANALES[[#ALL],[MARTES]])</f>
        <v>0</v>
      </c>
      <c r="O938" s="59">
        <f>SUMIFS(Eventos!$G:$G,Eventos!$F:$F,$L938,Eventos!$D:$D,$C$2,Eventos!$B:$B,PANES_SEMANALES[[#ALL],[MIÉRCOLES]])</f>
        <v>0</v>
      </c>
      <c r="P938" s="59">
        <f>SUMIFS(Eventos!$G:$G,Eventos!$F:$F,$L938,Eventos!$D:$D,$C$2,Eventos!$B:$B,PANES_SEMANALES[[#ALL],[JUEVES]])</f>
        <v>0</v>
      </c>
      <c r="Q938" s="59">
        <f>IF(P938&lt;&gt;"",SUMIFS(Eventos!$G:$G,Eventos!$B:$B,Q$2,Eventos!$D:$D,$C$2,Eventos!$F:$F,$L938),"")</f>
        <v>0</v>
      </c>
      <c r="R938" s="59">
        <f>SUMIFS(Eventos!$G:$G,Eventos!$F:$F,$L938,Eventos!$D:$D,$C$2,Eventos!$B:$B,PANES_SEMANALES[[#ALL],[SÁBADO]])</f>
        <v>0</v>
      </c>
      <c r="S938" s="59">
        <f>SUMIFS(Eventos!$G:$G,Eventos!$F:$F,$L938,Eventos!$D:$D,$C$2,Eventos!$B:$B,PANES_SEMANALES[[#ALL],[DOMINGO]])</f>
        <v>0</v>
      </c>
      <c r="T938" s="59">
        <f t="shared" si="1"/>
        <v>0</v>
      </c>
    </row>
    <row r="939" ht="22.5" customHeight="1">
      <c r="M939" s="59">
        <f>SUMIFS(Eventos!$G:$G,Eventos!$F:$F,$L939,Eventos!$D:$D,$C$2,Eventos!$B:$B,PANES_SEMANALES[[#ALL],[LUNES]])</f>
        <v>0</v>
      </c>
      <c r="N939" s="59">
        <f>SUMIFS(Eventos!$G:$G,Eventos!$F:$F,$L939,Eventos!$D:$D,$C$2,Eventos!$B:$B,PANES_SEMANALES[[#ALL],[MARTES]])</f>
        <v>0</v>
      </c>
      <c r="O939" s="59">
        <f>SUMIFS(Eventos!$G:$G,Eventos!$F:$F,$L939,Eventos!$D:$D,$C$2,Eventos!$B:$B,PANES_SEMANALES[[#ALL],[MIÉRCOLES]])</f>
        <v>0</v>
      </c>
      <c r="P939" s="59">
        <f>SUMIFS(Eventos!$G:$G,Eventos!$F:$F,$L939,Eventos!$D:$D,$C$2,Eventos!$B:$B,PANES_SEMANALES[[#ALL],[JUEVES]])</f>
        <v>0</v>
      </c>
      <c r="Q939" s="59">
        <f>IF(P939&lt;&gt;"",SUMIFS(Eventos!$G:$G,Eventos!$B:$B,Q$2,Eventos!$D:$D,$C$2,Eventos!$F:$F,$L939),"")</f>
        <v>0</v>
      </c>
      <c r="R939" s="59">
        <f>SUMIFS(Eventos!$G:$G,Eventos!$F:$F,$L939,Eventos!$D:$D,$C$2,Eventos!$B:$B,PANES_SEMANALES[[#ALL],[SÁBADO]])</f>
        <v>0</v>
      </c>
      <c r="S939" s="59">
        <f>SUMIFS(Eventos!$G:$G,Eventos!$F:$F,$L939,Eventos!$D:$D,$C$2,Eventos!$B:$B,PANES_SEMANALES[[#ALL],[DOMINGO]])</f>
        <v>0</v>
      </c>
      <c r="T939" s="59">
        <f t="shared" si="1"/>
        <v>0</v>
      </c>
    </row>
    <row r="940" ht="22.5" customHeight="1">
      <c r="M940" s="59">
        <f>SUMIFS(Eventos!$G:$G,Eventos!$F:$F,$L940,Eventos!$D:$D,$C$2,Eventos!$B:$B,PANES_SEMANALES[[#ALL],[LUNES]])</f>
        <v>0</v>
      </c>
      <c r="N940" s="59">
        <f>SUMIFS(Eventos!$G:$G,Eventos!$F:$F,$L940,Eventos!$D:$D,$C$2,Eventos!$B:$B,PANES_SEMANALES[[#ALL],[MARTES]])</f>
        <v>0</v>
      </c>
      <c r="O940" s="59">
        <f>SUMIFS(Eventos!$G:$G,Eventos!$F:$F,$L940,Eventos!$D:$D,$C$2,Eventos!$B:$B,PANES_SEMANALES[[#ALL],[MIÉRCOLES]])</f>
        <v>0</v>
      </c>
      <c r="P940" s="59">
        <f>SUMIFS(Eventos!$G:$G,Eventos!$F:$F,$L940,Eventos!$D:$D,$C$2,Eventos!$B:$B,PANES_SEMANALES[[#ALL],[JUEVES]])</f>
        <v>0</v>
      </c>
      <c r="Q940" s="59">
        <f>IF(P940&lt;&gt;"",SUMIFS(Eventos!$G:$G,Eventos!$B:$B,Q$2,Eventos!$D:$D,$C$2,Eventos!$F:$F,$L940),"")</f>
        <v>0</v>
      </c>
      <c r="R940" s="59">
        <f>SUMIFS(Eventos!$G:$G,Eventos!$F:$F,$L940,Eventos!$D:$D,$C$2,Eventos!$B:$B,PANES_SEMANALES[[#ALL],[SÁBADO]])</f>
        <v>0</v>
      </c>
      <c r="S940" s="59">
        <f>SUMIFS(Eventos!$G:$G,Eventos!$F:$F,$L940,Eventos!$D:$D,$C$2,Eventos!$B:$B,PANES_SEMANALES[[#ALL],[DOMINGO]])</f>
        <v>0</v>
      </c>
      <c r="T940" s="59">
        <f t="shared" si="1"/>
        <v>0</v>
      </c>
    </row>
    <row r="941" ht="22.5" customHeight="1">
      <c r="M941" s="59">
        <f>SUMIFS(Eventos!$G:$G,Eventos!$F:$F,$L941,Eventos!$D:$D,$C$2,Eventos!$B:$B,PANES_SEMANALES[[#ALL],[LUNES]])</f>
        <v>0</v>
      </c>
      <c r="N941" s="59">
        <f>SUMIFS(Eventos!$G:$G,Eventos!$F:$F,$L941,Eventos!$D:$D,$C$2,Eventos!$B:$B,PANES_SEMANALES[[#ALL],[MARTES]])</f>
        <v>0</v>
      </c>
      <c r="O941" s="59">
        <f>SUMIFS(Eventos!$G:$G,Eventos!$F:$F,$L941,Eventos!$D:$D,$C$2,Eventos!$B:$B,PANES_SEMANALES[[#ALL],[MIÉRCOLES]])</f>
        <v>0</v>
      </c>
      <c r="P941" s="59">
        <f>SUMIFS(Eventos!$G:$G,Eventos!$F:$F,$L941,Eventos!$D:$D,$C$2,Eventos!$B:$B,PANES_SEMANALES[[#ALL],[JUEVES]])</f>
        <v>0</v>
      </c>
      <c r="Q941" s="59">
        <f>IF(P941&lt;&gt;"",SUMIFS(Eventos!$G:$G,Eventos!$B:$B,Q$2,Eventos!$D:$D,$C$2,Eventos!$F:$F,$L941),"")</f>
        <v>0</v>
      </c>
      <c r="R941" s="59">
        <f>SUMIFS(Eventos!$G:$G,Eventos!$F:$F,$L941,Eventos!$D:$D,$C$2,Eventos!$B:$B,PANES_SEMANALES[[#ALL],[SÁBADO]])</f>
        <v>0</v>
      </c>
      <c r="S941" s="59">
        <f>SUMIFS(Eventos!$G:$G,Eventos!$F:$F,$L941,Eventos!$D:$D,$C$2,Eventos!$B:$B,PANES_SEMANALES[[#ALL],[DOMINGO]])</f>
        <v>0</v>
      </c>
      <c r="T941" s="59">
        <f t="shared" si="1"/>
        <v>0</v>
      </c>
    </row>
    <row r="942" ht="22.5" customHeight="1">
      <c r="M942" s="59">
        <f>SUMIFS(Eventos!$G:$G,Eventos!$F:$F,$L942,Eventos!$D:$D,$C$2,Eventos!$B:$B,PANES_SEMANALES[[#ALL],[LUNES]])</f>
        <v>0</v>
      </c>
      <c r="N942" s="59">
        <f>SUMIFS(Eventos!$G:$G,Eventos!$F:$F,$L942,Eventos!$D:$D,$C$2,Eventos!$B:$B,PANES_SEMANALES[[#ALL],[MARTES]])</f>
        <v>0</v>
      </c>
      <c r="O942" s="59">
        <f>SUMIFS(Eventos!$G:$G,Eventos!$F:$F,$L942,Eventos!$D:$D,$C$2,Eventos!$B:$B,PANES_SEMANALES[[#ALL],[MIÉRCOLES]])</f>
        <v>0</v>
      </c>
      <c r="P942" s="59">
        <f>SUMIFS(Eventos!$G:$G,Eventos!$F:$F,$L942,Eventos!$D:$D,$C$2,Eventos!$B:$B,PANES_SEMANALES[[#ALL],[JUEVES]])</f>
        <v>0</v>
      </c>
      <c r="Q942" s="59">
        <f>IF(P942&lt;&gt;"",SUMIFS(Eventos!$G:$G,Eventos!$B:$B,Q$2,Eventos!$D:$D,$C$2,Eventos!$F:$F,$L942),"")</f>
        <v>0</v>
      </c>
      <c r="R942" s="59">
        <f>SUMIFS(Eventos!$G:$G,Eventos!$F:$F,$L942,Eventos!$D:$D,$C$2,Eventos!$B:$B,PANES_SEMANALES[[#ALL],[SÁBADO]])</f>
        <v>0</v>
      </c>
      <c r="S942" s="59">
        <f>SUMIFS(Eventos!$G:$G,Eventos!$F:$F,$L942,Eventos!$D:$D,$C$2,Eventos!$B:$B,PANES_SEMANALES[[#ALL],[DOMINGO]])</f>
        <v>0</v>
      </c>
      <c r="T942" s="59">
        <f t="shared" si="1"/>
        <v>0</v>
      </c>
    </row>
    <row r="943" ht="22.5" customHeight="1">
      <c r="M943" s="59">
        <f>SUMIFS(Eventos!$G:$G,Eventos!$F:$F,$L943,Eventos!$D:$D,$C$2,Eventos!$B:$B,PANES_SEMANALES[[#ALL],[LUNES]])</f>
        <v>0</v>
      </c>
      <c r="N943" s="59">
        <f>SUMIFS(Eventos!$G:$G,Eventos!$F:$F,$L943,Eventos!$D:$D,$C$2,Eventos!$B:$B,PANES_SEMANALES[[#ALL],[MARTES]])</f>
        <v>0</v>
      </c>
      <c r="O943" s="59">
        <f>SUMIFS(Eventos!$G:$G,Eventos!$F:$F,$L943,Eventos!$D:$D,$C$2,Eventos!$B:$B,PANES_SEMANALES[[#ALL],[MIÉRCOLES]])</f>
        <v>0</v>
      </c>
      <c r="P943" s="59">
        <f>SUMIFS(Eventos!$G:$G,Eventos!$F:$F,$L943,Eventos!$D:$D,$C$2,Eventos!$B:$B,PANES_SEMANALES[[#ALL],[JUEVES]])</f>
        <v>0</v>
      </c>
      <c r="Q943" s="59">
        <f>IF(P943&lt;&gt;"",SUMIFS(Eventos!$G:$G,Eventos!$B:$B,Q$2,Eventos!$D:$D,$C$2,Eventos!$F:$F,$L943),"")</f>
        <v>0</v>
      </c>
      <c r="R943" s="59">
        <f>SUMIFS(Eventos!$G:$G,Eventos!$F:$F,$L943,Eventos!$D:$D,$C$2,Eventos!$B:$B,PANES_SEMANALES[[#ALL],[SÁBADO]])</f>
        <v>0</v>
      </c>
      <c r="S943" s="59">
        <f>SUMIFS(Eventos!$G:$G,Eventos!$F:$F,$L943,Eventos!$D:$D,$C$2,Eventos!$B:$B,PANES_SEMANALES[[#ALL],[DOMINGO]])</f>
        <v>0</v>
      </c>
      <c r="T943" s="59">
        <f t="shared" si="1"/>
        <v>0</v>
      </c>
    </row>
    <row r="944" ht="22.5" customHeight="1">
      <c r="M944" s="59">
        <f>SUMIFS(Eventos!$G:$G,Eventos!$F:$F,$L944,Eventos!$D:$D,$C$2,Eventos!$B:$B,PANES_SEMANALES[[#ALL],[LUNES]])</f>
        <v>0</v>
      </c>
      <c r="N944" s="59">
        <f>SUMIFS(Eventos!$G:$G,Eventos!$F:$F,$L944,Eventos!$D:$D,$C$2,Eventos!$B:$B,PANES_SEMANALES[[#ALL],[MARTES]])</f>
        <v>0</v>
      </c>
      <c r="O944" s="59">
        <f>SUMIFS(Eventos!$G:$G,Eventos!$F:$F,$L944,Eventos!$D:$D,$C$2,Eventos!$B:$B,PANES_SEMANALES[[#ALL],[MIÉRCOLES]])</f>
        <v>0</v>
      </c>
      <c r="P944" s="59">
        <f>SUMIFS(Eventos!$G:$G,Eventos!$F:$F,$L944,Eventos!$D:$D,$C$2,Eventos!$B:$B,PANES_SEMANALES[[#ALL],[JUEVES]])</f>
        <v>0</v>
      </c>
      <c r="Q944" s="59">
        <f>IF(P944&lt;&gt;"",SUMIFS(Eventos!$G:$G,Eventos!$B:$B,Q$2,Eventos!$D:$D,$C$2,Eventos!$F:$F,$L944),"")</f>
        <v>0</v>
      </c>
      <c r="R944" s="59">
        <f>SUMIFS(Eventos!$G:$G,Eventos!$F:$F,$L944,Eventos!$D:$D,$C$2,Eventos!$B:$B,PANES_SEMANALES[[#ALL],[SÁBADO]])</f>
        <v>0</v>
      </c>
      <c r="S944" s="59">
        <f>SUMIFS(Eventos!$G:$G,Eventos!$F:$F,$L944,Eventos!$D:$D,$C$2,Eventos!$B:$B,PANES_SEMANALES[[#ALL],[DOMINGO]])</f>
        <v>0</v>
      </c>
      <c r="T944" s="59">
        <f t="shared" si="1"/>
        <v>0</v>
      </c>
    </row>
    <row r="945" ht="22.5" customHeight="1">
      <c r="M945" s="59">
        <f>SUMIFS(Eventos!$G:$G,Eventos!$F:$F,$L945,Eventos!$D:$D,$C$2,Eventos!$B:$B,PANES_SEMANALES[[#ALL],[LUNES]])</f>
        <v>0</v>
      </c>
      <c r="N945" s="59">
        <f>SUMIFS(Eventos!$G:$G,Eventos!$F:$F,$L945,Eventos!$D:$D,$C$2,Eventos!$B:$B,PANES_SEMANALES[[#ALL],[MARTES]])</f>
        <v>0</v>
      </c>
      <c r="O945" s="59">
        <f>SUMIFS(Eventos!$G:$G,Eventos!$F:$F,$L945,Eventos!$D:$D,$C$2,Eventos!$B:$B,PANES_SEMANALES[[#ALL],[MIÉRCOLES]])</f>
        <v>0</v>
      </c>
      <c r="P945" s="59">
        <f>SUMIFS(Eventos!$G:$G,Eventos!$F:$F,$L945,Eventos!$D:$D,$C$2,Eventos!$B:$B,PANES_SEMANALES[[#ALL],[JUEVES]])</f>
        <v>0</v>
      </c>
      <c r="Q945" s="59">
        <f>IF(P945&lt;&gt;"",SUMIFS(Eventos!$G:$G,Eventos!$B:$B,Q$2,Eventos!$D:$D,$C$2,Eventos!$F:$F,$L945),"")</f>
        <v>0</v>
      </c>
      <c r="R945" s="59">
        <f>SUMIFS(Eventos!$G:$G,Eventos!$F:$F,$L945,Eventos!$D:$D,$C$2,Eventos!$B:$B,PANES_SEMANALES[[#ALL],[SÁBADO]])</f>
        <v>0</v>
      </c>
      <c r="S945" s="59">
        <f>SUMIFS(Eventos!$G:$G,Eventos!$F:$F,$L945,Eventos!$D:$D,$C$2,Eventos!$B:$B,PANES_SEMANALES[[#ALL],[DOMINGO]])</f>
        <v>0</v>
      </c>
      <c r="T945" s="59">
        <f t="shared" si="1"/>
        <v>0</v>
      </c>
    </row>
    <row r="946" ht="22.5" customHeight="1">
      <c r="M946" s="59">
        <f>SUMIFS(Eventos!$G:$G,Eventos!$F:$F,$L946,Eventos!$D:$D,$C$2,Eventos!$B:$B,PANES_SEMANALES[[#ALL],[LUNES]])</f>
        <v>0</v>
      </c>
      <c r="N946" s="59">
        <f>SUMIFS(Eventos!$G:$G,Eventos!$F:$F,$L946,Eventos!$D:$D,$C$2,Eventos!$B:$B,PANES_SEMANALES[[#ALL],[MARTES]])</f>
        <v>0</v>
      </c>
      <c r="O946" s="59">
        <f>SUMIFS(Eventos!$G:$G,Eventos!$F:$F,$L946,Eventos!$D:$D,$C$2,Eventos!$B:$B,PANES_SEMANALES[[#ALL],[MIÉRCOLES]])</f>
        <v>0</v>
      </c>
      <c r="P946" s="59">
        <f>SUMIFS(Eventos!$G:$G,Eventos!$F:$F,$L946,Eventos!$D:$D,$C$2,Eventos!$B:$B,PANES_SEMANALES[[#ALL],[JUEVES]])</f>
        <v>0</v>
      </c>
      <c r="Q946" s="59">
        <f>IF(P946&lt;&gt;"",SUMIFS(Eventos!$G:$G,Eventos!$B:$B,Q$2,Eventos!$D:$D,$C$2,Eventos!$F:$F,$L946),"")</f>
        <v>0</v>
      </c>
      <c r="R946" s="59">
        <f>SUMIFS(Eventos!$G:$G,Eventos!$F:$F,$L946,Eventos!$D:$D,$C$2,Eventos!$B:$B,PANES_SEMANALES[[#ALL],[SÁBADO]])</f>
        <v>0</v>
      </c>
      <c r="S946" s="59">
        <f>SUMIFS(Eventos!$G:$G,Eventos!$F:$F,$L946,Eventos!$D:$D,$C$2,Eventos!$B:$B,PANES_SEMANALES[[#ALL],[DOMINGO]])</f>
        <v>0</v>
      </c>
      <c r="T946" s="59">
        <f t="shared" si="1"/>
        <v>0</v>
      </c>
    </row>
    <row r="947" ht="22.5" customHeight="1">
      <c r="M947" s="59">
        <f>SUMIFS(Eventos!$G:$G,Eventos!$F:$F,$L947,Eventos!$D:$D,$C$2,Eventos!$B:$B,PANES_SEMANALES[[#ALL],[LUNES]])</f>
        <v>0</v>
      </c>
      <c r="N947" s="59">
        <f>SUMIFS(Eventos!$G:$G,Eventos!$F:$F,$L947,Eventos!$D:$D,$C$2,Eventos!$B:$B,PANES_SEMANALES[[#ALL],[MARTES]])</f>
        <v>0</v>
      </c>
      <c r="O947" s="59">
        <f>SUMIFS(Eventos!$G:$G,Eventos!$F:$F,$L947,Eventos!$D:$D,$C$2,Eventos!$B:$B,PANES_SEMANALES[[#ALL],[MIÉRCOLES]])</f>
        <v>0</v>
      </c>
      <c r="P947" s="59">
        <f>SUMIFS(Eventos!$G:$G,Eventos!$F:$F,$L947,Eventos!$D:$D,$C$2,Eventos!$B:$B,PANES_SEMANALES[[#ALL],[JUEVES]])</f>
        <v>0</v>
      </c>
      <c r="Q947" s="59">
        <f>IF(P947&lt;&gt;"",SUMIFS(Eventos!$G:$G,Eventos!$B:$B,Q$2,Eventos!$D:$D,$C$2,Eventos!$F:$F,$L947),"")</f>
        <v>0</v>
      </c>
      <c r="R947" s="59">
        <f>SUMIFS(Eventos!$G:$G,Eventos!$F:$F,$L947,Eventos!$D:$D,$C$2,Eventos!$B:$B,PANES_SEMANALES[[#ALL],[SÁBADO]])</f>
        <v>0</v>
      </c>
      <c r="S947" s="59">
        <f>SUMIFS(Eventos!$G:$G,Eventos!$F:$F,$L947,Eventos!$D:$D,$C$2,Eventos!$B:$B,PANES_SEMANALES[[#ALL],[DOMINGO]])</f>
        <v>0</v>
      </c>
      <c r="T947" s="59">
        <f t="shared" si="1"/>
        <v>0</v>
      </c>
    </row>
    <row r="948" ht="22.5" customHeight="1">
      <c r="M948" s="59">
        <f>SUMIFS(Eventos!$G:$G,Eventos!$F:$F,$L948,Eventos!$D:$D,$C$2,Eventos!$B:$B,PANES_SEMANALES[[#ALL],[LUNES]])</f>
        <v>0</v>
      </c>
      <c r="N948" s="59">
        <f>SUMIFS(Eventos!$G:$G,Eventos!$F:$F,$L948,Eventos!$D:$D,$C$2,Eventos!$B:$B,PANES_SEMANALES[[#ALL],[MARTES]])</f>
        <v>0</v>
      </c>
      <c r="O948" s="59">
        <f>SUMIFS(Eventos!$G:$G,Eventos!$F:$F,$L948,Eventos!$D:$D,$C$2,Eventos!$B:$B,PANES_SEMANALES[[#ALL],[MIÉRCOLES]])</f>
        <v>0</v>
      </c>
      <c r="P948" s="59">
        <f>SUMIFS(Eventos!$G:$G,Eventos!$F:$F,$L948,Eventos!$D:$D,$C$2,Eventos!$B:$B,PANES_SEMANALES[[#ALL],[JUEVES]])</f>
        <v>0</v>
      </c>
      <c r="Q948" s="59">
        <f>IF(P948&lt;&gt;"",SUMIFS(Eventos!$G:$G,Eventos!$B:$B,Q$2,Eventos!$D:$D,$C$2,Eventos!$F:$F,$L948),"")</f>
        <v>0</v>
      </c>
      <c r="R948" s="59">
        <f>SUMIFS(Eventos!$G:$G,Eventos!$F:$F,$L948,Eventos!$D:$D,$C$2,Eventos!$B:$B,PANES_SEMANALES[[#ALL],[SÁBADO]])</f>
        <v>0</v>
      </c>
      <c r="S948" s="59">
        <f>SUMIFS(Eventos!$G:$G,Eventos!$F:$F,$L948,Eventos!$D:$D,$C$2,Eventos!$B:$B,PANES_SEMANALES[[#ALL],[DOMINGO]])</f>
        <v>0</v>
      </c>
      <c r="T948" s="59">
        <f t="shared" si="1"/>
        <v>0</v>
      </c>
    </row>
    <row r="949" ht="22.5" customHeight="1">
      <c r="M949" s="59">
        <f>SUMIFS(Eventos!$G:$G,Eventos!$F:$F,$L949,Eventos!$D:$D,$C$2,Eventos!$B:$B,PANES_SEMANALES[[#ALL],[LUNES]])</f>
        <v>0</v>
      </c>
      <c r="N949" s="59">
        <f>SUMIFS(Eventos!$G:$G,Eventos!$F:$F,$L949,Eventos!$D:$D,$C$2,Eventos!$B:$B,PANES_SEMANALES[[#ALL],[MARTES]])</f>
        <v>0</v>
      </c>
      <c r="O949" s="59">
        <f>SUMIFS(Eventos!$G:$G,Eventos!$F:$F,$L949,Eventos!$D:$D,$C$2,Eventos!$B:$B,PANES_SEMANALES[[#ALL],[MIÉRCOLES]])</f>
        <v>0</v>
      </c>
      <c r="P949" s="59">
        <f>SUMIFS(Eventos!$G:$G,Eventos!$F:$F,$L949,Eventos!$D:$D,$C$2,Eventos!$B:$B,PANES_SEMANALES[[#ALL],[JUEVES]])</f>
        <v>0</v>
      </c>
      <c r="Q949" s="59">
        <f>IF(P949&lt;&gt;"",SUMIFS(Eventos!$G:$G,Eventos!$B:$B,Q$2,Eventos!$D:$D,$C$2,Eventos!$F:$F,$L949),"")</f>
        <v>0</v>
      </c>
      <c r="R949" s="59">
        <f>SUMIFS(Eventos!$G:$G,Eventos!$F:$F,$L949,Eventos!$D:$D,$C$2,Eventos!$B:$B,PANES_SEMANALES[[#ALL],[SÁBADO]])</f>
        <v>0</v>
      </c>
      <c r="S949" s="59">
        <f>SUMIFS(Eventos!$G:$G,Eventos!$F:$F,$L949,Eventos!$D:$D,$C$2,Eventos!$B:$B,PANES_SEMANALES[[#ALL],[DOMINGO]])</f>
        <v>0</v>
      </c>
      <c r="T949" s="59">
        <f t="shared" si="1"/>
        <v>0</v>
      </c>
    </row>
    <row r="950" ht="22.5" customHeight="1">
      <c r="M950" s="59">
        <f>SUMIFS(Eventos!$G:$G,Eventos!$F:$F,$L950,Eventos!$D:$D,$C$2,Eventos!$B:$B,PANES_SEMANALES[[#ALL],[LUNES]])</f>
        <v>0</v>
      </c>
      <c r="N950" s="59">
        <f>SUMIFS(Eventos!$G:$G,Eventos!$F:$F,$L950,Eventos!$D:$D,$C$2,Eventos!$B:$B,PANES_SEMANALES[[#ALL],[MARTES]])</f>
        <v>0</v>
      </c>
      <c r="O950" s="59">
        <f>SUMIFS(Eventos!$G:$G,Eventos!$F:$F,$L950,Eventos!$D:$D,$C$2,Eventos!$B:$B,PANES_SEMANALES[[#ALL],[MIÉRCOLES]])</f>
        <v>0</v>
      </c>
      <c r="P950" s="59">
        <f>SUMIFS(Eventos!$G:$G,Eventos!$F:$F,$L950,Eventos!$D:$D,$C$2,Eventos!$B:$B,PANES_SEMANALES[[#ALL],[JUEVES]])</f>
        <v>0</v>
      </c>
      <c r="Q950" s="59">
        <f>IF(P950&lt;&gt;"",SUMIFS(Eventos!$G:$G,Eventos!$B:$B,Q$2,Eventos!$D:$D,$C$2,Eventos!$F:$F,$L950),"")</f>
        <v>0</v>
      </c>
      <c r="R950" s="59">
        <f>SUMIFS(Eventos!$G:$G,Eventos!$F:$F,$L950,Eventos!$D:$D,$C$2,Eventos!$B:$B,PANES_SEMANALES[[#ALL],[SÁBADO]])</f>
        <v>0</v>
      </c>
      <c r="S950" s="59">
        <f>SUMIFS(Eventos!$G:$G,Eventos!$F:$F,$L950,Eventos!$D:$D,$C$2,Eventos!$B:$B,PANES_SEMANALES[[#ALL],[DOMINGO]])</f>
        <v>0</v>
      </c>
      <c r="T950" s="59">
        <f t="shared" si="1"/>
        <v>0</v>
      </c>
    </row>
    <row r="951" ht="22.5" customHeight="1">
      <c r="M951" s="59">
        <f>SUMIFS(Eventos!$G:$G,Eventos!$F:$F,$L951,Eventos!$D:$D,$C$2,Eventos!$B:$B,PANES_SEMANALES[[#ALL],[LUNES]])</f>
        <v>0</v>
      </c>
      <c r="N951" s="59">
        <f>SUMIFS(Eventos!$G:$G,Eventos!$F:$F,$L951,Eventos!$D:$D,$C$2,Eventos!$B:$B,PANES_SEMANALES[[#ALL],[MARTES]])</f>
        <v>0</v>
      </c>
      <c r="O951" s="59">
        <f>SUMIFS(Eventos!$G:$G,Eventos!$F:$F,$L951,Eventos!$D:$D,$C$2,Eventos!$B:$B,PANES_SEMANALES[[#ALL],[MIÉRCOLES]])</f>
        <v>0</v>
      </c>
      <c r="P951" s="59">
        <f>SUMIFS(Eventos!$G:$G,Eventos!$F:$F,$L951,Eventos!$D:$D,$C$2,Eventos!$B:$B,PANES_SEMANALES[[#ALL],[JUEVES]])</f>
        <v>0</v>
      </c>
      <c r="Q951" s="59">
        <f>IF(P951&lt;&gt;"",SUMIFS(Eventos!$G:$G,Eventos!$B:$B,Q$2,Eventos!$D:$D,$C$2,Eventos!$F:$F,$L951),"")</f>
        <v>0</v>
      </c>
      <c r="R951" s="59">
        <f>SUMIFS(Eventos!$G:$G,Eventos!$F:$F,$L951,Eventos!$D:$D,$C$2,Eventos!$B:$B,PANES_SEMANALES[[#ALL],[SÁBADO]])</f>
        <v>0</v>
      </c>
      <c r="S951" s="59">
        <f>SUMIFS(Eventos!$G:$G,Eventos!$F:$F,$L951,Eventos!$D:$D,$C$2,Eventos!$B:$B,PANES_SEMANALES[[#ALL],[DOMINGO]])</f>
        <v>0</v>
      </c>
      <c r="T951" s="59">
        <f t="shared" si="1"/>
        <v>0</v>
      </c>
    </row>
    <row r="952" ht="22.5" customHeight="1">
      <c r="M952" s="59">
        <f>SUMIFS(Eventos!$G:$G,Eventos!$F:$F,$L952,Eventos!$D:$D,$C$2,Eventos!$B:$B,PANES_SEMANALES[[#ALL],[LUNES]])</f>
        <v>0</v>
      </c>
      <c r="N952" s="59">
        <f>SUMIFS(Eventos!$G:$G,Eventos!$F:$F,$L952,Eventos!$D:$D,$C$2,Eventos!$B:$B,PANES_SEMANALES[[#ALL],[MARTES]])</f>
        <v>0</v>
      </c>
      <c r="O952" s="59">
        <f>SUMIFS(Eventos!$G:$G,Eventos!$F:$F,$L952,Eventos!$D:$D,$C$2,Eventos!$B:$B,PANES_SEMANALES[[#ALL],[MIÉRCOLES]])</f>
        <v>0</v>
      </c>
      <c r="P952" s="59">
        <f>SUMIFS(Eventos!$G:$G,Eventos!$F:$F,$L952,Eventos!$D:$D,$C$2,Eventos!$B:$B,PANES_SEMANALES[[#ALL],[JUEVES]])</f>
        <v>0</v>
      </c>
      <c r="Q952" s="59">
        <f>IF(P952&lt;&gt;"",SUMIFS(Eventos!$G:$G,Eventos!$B:$B,Q$2,Eventos!$D:$D,$C$2,Eventos!$F:$F,$L952),"")</f>
        <v>0</v>
      </c>
      <c r="R952" s="59">
        <f>SUMIFS(Eventos!$G:$G,Eventos!$F:$F,$L952,Eventos!$D:$D,$C$2,Eventos!$B:$B,PANES_SEMANALES[[#ALL],[SÁBADO]])</f>
        <v>0</v>
      </c>
      <c r="S952" s="59">
        <f>SUMIFS(Eventos!$G:$G,Eventos!$F:$F,$L952,Eventos!$D:$D,$C$2,Eventos!$B:$B,PANES_SEMANALES[[#ALL],[DOMINGO]])</f>
        <v>0</v>
      </c>
      <c r="T952" s="59">
        <f t="shared" si="1"/>
        <v>0</v>
      </c>
    </row>
    <row r="953" ht="22.5" customHeight="1">
      <c r="M953" s="59">
        <f>SUMIFS(Eventos!$G:$G,Eventos!$F:$F,$L953,Eventos!$D:$D,$C$2,Eventos!$B:$B,PANES_SEMANALES[[#ALL],[LUNES]])</f>
        <v>0</v>
      </c>
      <c r="N953" s="59">
        <f>SUMIFS(Eventos!$G:$G,Eventos!$F:$F,$L953,Eventos!$D:$D,$C$2,Eventos!$B:$B,PANES_SEMANALES[[#ALL],[MARTES]])</f>
        <v>0</v>
      </c>
      <c r="O953" s="59">
        <f>SUMIFS(Eventos!$G:$G,Eventos!$F:$F,$L953,Eventos!$D:$D,$C$2,Eventos!$B:$B,PANES_SEMANALES[[#ALL],[MIÉRCOLES]])</f>
        <v>0</v>
      </c>
      <c r="P953" s="59">
        <f>SUMIFS(Eventos!$G:$G,Eventos!$F:$F,$L953,Eventos!$D:$D,$C$2,Eventos!$B:$B,PANES_SEMANALES[[#ALL],[JUEVES]])</f>
        <v>0</v>
      </c>
      <c r="Q953" s="59">
        <f>IF(P953&lt;&gt;"",SUMIFS(Eventos!$G:$G,Eventos!$B:$B,Q$2,Eventos!$D:$D,$C$2,Eventos!$F:$F,$L953),"")</f>
        <v>0</v>
      </c>
      <c r="R953" s="59">
        <f>SUMIFS(Eventos!$G:$G,Eventos!$F:$F,$L953,Eventos!$D:$D,$C$2,Eventos!$B:$B,PANES_SEMANALES[[#ALL],[SÁBADO]])</f>
        <v>0</v>
      </c>
      <c r="S953" s="59">
        <f>SUMIFS(Eventos!$G:$G,Eventos!$F:$F,$L953,Eventos!$D:$D,$C$2,Eventos!$B:$B,PANES_SEMANALES[[#ALL],[DOMINGO]])</f>
        <v>0</v>
      </c>
      <c r="T953" s="59">
        <f t="shared" si="1"/>
        <v>0</v>
      </c>
    </row>
    <row r="954" ht="22.5" customHeight="1">
      <c r="M954" s="59">
        <f>SUMIFS(Eventos!$G:$G,Eventos!$F:$F,$L954,Eventos!$D:$D,$C$2,Eventos!$B:$B,PANES_SEMANALES[[#ALL],[LUNES]])</f>
        <v>0</v>
      </c>
      <c r="N954" s="59">
        <f>SUMIFS(Eventos!$G:$G,Eventos!$F:$F,$L954,Eventos!$D:$D,$C$2,Eventos!$B:$B,PANES_SEMANALES[[#ALL],[MARTES]])</f>
        <v>0</v>
      </c>
      <c r="O954" s="59">
        <f>SUMIFS(Eventos!$G:$G,Eventos!$F:$F,$L954,Eventos!$D:$D,$C$2,Eventos!$B:$B,PANES_SEMANALES[[#ALL],[MIÉRCOLES]])</f>
        <v>0</v>
      </c>
      <c r="P954" s="59">
        <f>SUMIFS(Eventos!$G:$G,Eventos!$F:$F,$L954,Eventos!$D:$D,$C$2,Eventos!$B:$B,PANES_SEMANALES[[#ALL],[JUEVES]])</f>
        <v>0</v>
      </c>
      <c r="Q954" s="59">
        <f>IF(P954&lt;&gt;"",SUMIFS(Eventos!$G:$G,Eventos!$B:$B,Q$2,Eventos!$D:$D,$C$2,Eventos!$F:$F,$L954),"")</f>
        <v>0</v>
      </c>
      <c r="R954" s="59">
        <f>SUMIFS(Eventos!$G:$G,Eventos!$F:$F,$L954,Eventos!$D:$D,$C$2,Eventos!$B:$B,PANES_SEMANALES[[#ALL],[SÁBADO]])</f>
        <v>0</v>
      </c>
      <c r="S954" s="59">
        <f>SUMIFS(Eventos!$G:$G,Eventos!$F:$F,$L954,Eventos!$D:$D,$C$2,Eventos!$B:$B,PANES_SEMANALES[[#ALL],[DOMINGO]])</f>
        <v>0</v>
      </c>
      <c r="T954" s="59">
        <f t="shared" si="1"/>
        <v>0</v>
      </c>
    </row>
    <row r="955" ht="22.5" customHeight="1">
      <c r="M955" s="59">
        <f>SUMIFS(Eventos!$G:$G,Eventos!$F:$F,$L955,Eventos!$D:$D,$C$2,Eventos!$B:$B,PANES_SEMANALES[[#ALL],[LUNES]])</f>
        <v>0</v>
      </c>
      <c r="N955" s="59">
        <f>SUMIFS(Eventos!$G:$G,Eventos!$F:$F,$L955,Eventos!$D:$D,$C$2,Eventos!$B:$B,PANES_SEMANALES[[#ALL],[MARTES]])</f>
        <v>0</v>
      </c>
      <c r="O955" s="59">
        <f>SUMIFS(Eventos!$G:$G,Eventos!$F:$F,$L955,Eventos!$D:$D,$C$2,Eventos!$B:$B,PANES_SEMANALES[[#ALL],[MIÉRCOLES]])</f>
        <v>0</v>
      </c>
      <c r="P955" s="59">
        <f>SUMIFS(Eventos!$G:$G,Eventos!$F:$F,$L955,Eventos!$D:$D,$C$2,Eventos!$B:$B,PANES_SEMANALES[[#ALL],[JUEVES]])</f>
        <v>0</v>
      </c>
      <c r="Q955" s="59">
        <f>IF(P955&lt;&gt;"",SUMIFS(Eventos!$G:$G,Eventos!$B:$B,Q$2,Eventos!$D:$D,$C$2,Eventos!$F:$F,$L955),"")</f>
        <v>0</v>
      </c>
      <c r="R955" s="59">
        <f>SUMIFS(Eventos!$G:$G,Eventos!$F:$F,$L955,Eventos!$D:$D,$C$2,Eventos!$B:$B,PANES_SEMANALES[[#ALL],[SÁBADO]])</f>
        <v>0</v>
      </c>
      <c r="S955" s="59">
        <f>SUMIFS(Eventos!$G:$G,Eventos!$F:$F,$L955,Eventos!$D:$D,$C$2,Eventos!$B:$B,PANES_SEMANALES[[#ALL],[DOMINGO]])</f>
        <v>0</v>
      </c>
      <c r="T955" s="59">
        <f t="shared" si="1"/>
        <v>0</v>
      </c>
    </row>
    <row r="956" ht="22.5" customHeight="1">
      <c r="M956" s="59">
        <f>SUMIFS(Eventos!$G:$G,Eventos!$F:$F,$L956,Eventos!$D:$D,$C$2,Eventos!$B:$B,PANES_SEMANALES[[#ALL],[LUNES]])</f>
        <v>0</v>
      </c>
      <c r="N956" s="59">
        <f>SUMIFS(Eventos!$G:$G,Eventos!$F:$F,$L956,Eventos!$D:$D,$C$2,Eventos!$B:$B,PANES_SEMANALES[[#ALL],[MARTES]])</f>
        <v>0</v>
      </c>
      <c r="O956" s="59">
        <f>SUMIFS(Eventos!$G:$G,Eventos!$F:$F,$L956,Eventos!$D:$D,$C$2,Eventos!$B:$B,PANES_SEMANALES[[#ALL],[MIÉRCOLES]])</f>
        <v>0</v>
      </c>
      <c r="P956" s="59">
        <f>SUMIFS(Eventos!$G:$G,Eventos!$F:$F,$L956,Eventos!$D:$D,$C$2,Eventos!$B:$B,PANES_SEMANALES[[#ALL],[JUEVES]])</f>
        <v>0</v>
      </c>
      <c r="Q956" s="59">
        <f>IF(P956&lt;&gt;"",SUMIFS(Eventos!$G:$G,Eventos!$B:$B,Q$2,Eventos!$D:$D,$C$2,Eventos!$F:$F,$L956),"")</f>
        <v>0</v>
      </c>
      <c r="R956" s="59">
        <f>SUMIFS(Eventos!$G:$G,Eventos!$F:$F,$L956,Eventos!$D:$D,$C$2,Eventos!$B:$B,PANES_SEMANALES[[#ALL],[SÁBADO]])</f>
        <v>0</v>
      </c>
      <c r="S956" s="59">
        <f>SUMIFS(Eventos!$G:$G,Eventos!$F:$F,$L956,Eventos!$D:$D,$C$2,Eventos!$B:$B,PANES_SEMANALES[[#ALL],[DOMINGO]])</f>
        <v>0</v>
      </c>
      <c r="T956" s="59">
        <f t="shared" si="1"/>
        <v>0</v>
      </c>
    </row>
    <row r="957" ht="22.5" customHeight="1">
      <c r="M957" s="59">
        <f>SUMIFS(Eventos!$G:$G,Eventos!$F:$F,$L957,Eventos!$D:$D,$C$2,Eventos!$B:$B,PANES_SEMANALES[[#ALL],[LUNES]])</f>
        <v>0</v>
      </c>
      <c r="N957" s="59">
        <f>SUMIFS(Eventos!$G:$G,Eventos!$F:$F,$L957,Eventos!$D:$D,$C$2,Eventos!$B:$B,PANES_SEMANALES[[#ALL],[MARTES]])</f>
        <v>0</v>
      </c>
      <c r="O957" s="59">
        <f>SUMIFS(Eventos!$G:$G,Eventos!$F:$F,$L957,Eventos!$D:$D,$C$2,Eventos!$B:$B,PANES_SEMANALES[[#ALL],[MIÉRCOLES]])</f>
        <v>0</v>
      </c>
      <c r="P957" s="59">
        <f>SUMIFS(Eventos!$G:$G,Eventos!$F:$F,$L957,Eventos!$D:$D,$C$2,Eventos!$B:$B,PANES_SEMANALES[[#ALL],[JUEVES]])</f>
        <v>0</v>
      </c>
      <c r="Q957" s="59">
        <f>IF(P957&lt;&gt;"",SUMIFS(Eventos!$G:$G,Eventos!$B:$B,Q$2,Eventos!$D:$D,$C$2,Eventos!$F:$F,$L957),"")</f>
        <v>0</v>
      </c>
      <c r="R957" s="59">
        <f>SUMIFS(Eventos!$G:$G,Eventos!$F:$F,$L957,Eventos!$D:$D,$C$2,Eventos!$B:$B,PANES_SEMANALES[[#ALL],[SÁBADO]])</f>
        <v>0</v>
      </c>
      <c r="S957" s="59">
        <f>SUMIFS(Eventos!$G:$G,Eventos!$F:$F,$L957,Eventos!$D:$D,$C$2,Eventos!$B:$B,PANES_SEMANALES[[#ALL],[DOMINGO]])</f>
        <v>0</v>
      </c>
      <c r="T957" s="59">
        <f t="shared" si="1"/>
        <v>0</v>
      </c>
    </row>
    <row r="958" ht="22.5" customHeight="1">
      <c r="M958" s="59">
        <f>SUMIFS(Eventos!$G:$G,Eventos!$F:$F,$L958,Eventos!$D:$D,$C$2,Eventos!$B:$B,PANES_SEMANALES[[#ALL],[LUNES]])</f>
        <v>0</v>
      </c>
      <c r="N958" s="59">
        <f>SUMIFS(Eventos!$G:$G,Eventos!$F:$F,$L958,Eventos!$D:$D,$C$2,Eventos!$B:$B,PANES_SEMANALES[[#ALL],[MARTES]])</f>
        <v>0</v>
      </c>
      <c r="O958" s="59">
        <f>SUMIFS(Eventos!$G:$G,Eventos!$F:$F,$L958,Eventos!$D:$D,$C$2,Eventos!$B:$B,PANES_SEMANALES[[#ALL],[MIÉRCOLES]])</f>
        <v>0</v>
      </c>
      <c r="P958" s="59">
        <f>SUMIFS(Eventos!$G:$G,Eventos!$F:$F,$L958,Eventos!$D:$D,$C$2,Eventos!$B:$B,PANES_SEMANALES[[#ALL],[JUEVES]])</f>
        <v>0</v>
      </c>
      <c r="Q958" s="59">
        <f>IF(P958&lt;&gt;"",SUMIFS(Eventos!$G:$G,Eventos!$B:$B,Q$2,Eventos!$D:$D,$C$2,Eventos!$F:$F,$L958),"")</f>
        <v>0</v>
      </c>
      <c r="R958" s="59">
        <f>SUMIFS(Eventos!$G:$G,Eventos!$F:$F,$L958,Eventos!$D:$D,$C$2,Eventos!$B:$B,PANES_SEMANALES[[#ALL],[SÁBADO]])</f>
        <v>0</v>
      </c>
      <c r="S958" s="59">
        <f>SUMIFS(Eventos!$G:$G,Eventos!$F:$F,$L958,Eventos!$D:$D,$C$2,Eventos!$B:$B,PANES_SEMANALES[[#ALL],[DOMINGO]])</f>
        <v>0</v>
      </c>
      <c r="T958" s="59">
        <f t="shared" si="1"/>
        <v>0</v>
      </c>
    </row>
    <row r="959" ht="22.5" customHeight="1">
      <c r="M959" s="59">
        <f>SUMIFS(Eventos!$G:$G,Eventos!$F:$F,$L959,Eventos!$D:$D,$C$2,Eventos!$B:$B,PANES_SEMANALES[[#ALL],[LUNES]])</f>
        <v>0</v>
      </c>
      <c r="N959" s="59">
        <f>SUMIFS(Eventos!$G:$G,Eventos!$F:$F,$L959,Eventos!$D:$D,$C$2,Eventos!$B:$B,PANES_SEMANALES[[#ALL],[MARTES]])</f>
        <v>0</v>
      </c>
      <c r="O959" s="59">
        <f>SUMIFS(Eventos!$G:$G,Eventos!$F:$F,$L959,Eventos!$D:$D,$C$2,Eventos!$B:$B,PANES_SEMANALES[[#ALL],[MIÉRCOLES]])</f>
        <v>0</v>
      </c>
      <c r="P959" s="59">
        <f>SUMIFS(Eventos!$G:$G,Eventos!$F:$F,$L959,Eventos!$D:$D,$C$2,Eventos!$B:$B,PANES_SEMANALES[[#ALL],[JUEVES]])</f>
        <v>0</v>
      </c>
      <c r="Q959" s="59">
        <f>IF(P959&lt;&gt;"",SUMIFS(Eventos!$G:$G,Eventos!$B:$B,Q$2,Eventos!$D:$D,$C$2,Eventos!$F:$F,$L959),"")</f>
        <v>0</v>
      </c>
      <c r="R959" s="59">
        <f>SUMIFS(Eventos!$G:$G,Eventos!$F:$F,$L959,Eventos!$D:$D,$C$2,Eventos!$B:$B,PANES_SEMANALES[[#ALL],[SÁBADO]])</f>
        <v>0</v>
      </c>
      <c r="S959" s="59">
        <f>SUMIFS(Eventos!$G:$G,Eventos!$F:$F,$L959,Eventos!$D:$D,$C$2,Eventos!$B:$B,PANES_SEMANALES[[#ALL],[DOMINGO]])</f>
        <v>0</v>
      </c>
      <c r="T959" s="59">
        <f t="shared" si="1"/>
        <v>0</v>
      </c>
    </row>
    <row r="960" ht="22.5" customHeight="1">
      <c r="M960" s="59">
        <f>SUMIFS(Eventos!$G:$G,Eventos!$F:$F,$L960,Eventos!$D:$D,$C$2,Eventos!$B:$B,PANES_SEMANALES[[#ALL],[LUNES]])</f>
        <v>0</v>
      </c>
      <c r="N960" s="59">
        <f>SUMIFS(Eventos!$G:$G,Eventos!$F:$F,$L960,Eventos!$D:$D,$C$2,Eventos!$B:$B,PANES_SEMANALES[[#ALL],[MARTES]])</f>
        <v>0</v>
      </c>
      <c r="O960" s="59">
        <f>SUMIFS(Eventos!$G:$G,Eventos!$F:$F,$L960,Eventos!$D:$D,$C$2,Eventos!$B:$B,PANES_SEMANALES[[#ALL],[MIÉRCOLES]])</f>
        <v>0</v>
      </c>
      <c r="P960" s="59">
        <f>SUMIFS(Eventos!$G:$G,Eventos!$F:$F,$L960,Eventos!$D:$D,$C$2,Eventos!$B:$B,PANES_SEMANALES[[#ALL],[JUEVES]])</f>
        <v>0</v>
      </c>
      <c r="Q960" s="59">
        <f>IF(P960&lt;&gt;"",SUMIFS(Eventos!$G:$G,Eventos!$B:$B,Q$2,Eventos!$D:$D,$C$2,Eventos!$F:$F,$L960),"")</f>
        <v>0</v>
      </c>
      <c r="R960" s="59">
        <f>SUMIFS(Eventos!$G:$G,Eventos!$F:$F,$L960,Eventos!$D:$D,$C$2,Eventos!$B:$B,PANES_SEMANALES[[#ALL],[SÁBADO]])</f>
        <v>0</v>
      </c>
      <c r="S960" s="59">
        <f>SUMIFS(Eventos!$G:$G,Eventos!$F:$F,$L960,Eventos!$D:$D,$C$2,Eventos!$B:$B,PANES_SEMANALES[[#ALL],[DOMINGO]])</f>
        <v>0</v>
      </c>
      <c r="T960" s="59">
        <f t="shared" si="1"/>
        <v>0</v>
      </c>
    </row>
    <row r="961" ht="22.5" customHeight="1">
      <c r="M961" s="59">
        <f>SUMIFS(Eventos!$G:$G,Eventos!$F:$F,$L961,Eventos!$D:$D,$C$2,Eventos!$B:$B,PANES_SEMANALES[[#ALL],[LUNES]])</f>
        <v>0</v>
      </c>
      <c r="N961" s="59">
        <f>SUMIFS(Eventos!$G:$G,Eventos!$F:$F,$L961,Eventos!$D:$D,$C$2,Eventos!$B:$B,PANES_SEMANALES[[#ALL],[MARTES]])</f>
        <v>0</v>
      </c>
      <c r="O961" s="59">
        <f>SUMIFS(Eventos!$G:$G,Eventos!$F:$F,$L961,Eventos!$D:$D,$C$2,Eventos!$B:$B,PANES_SEMANALES[[#ALL],[MIÉRCOLES]])</f>
        <v>0</v>
      </c>
      <c r="P961" s="59">
        <f>SUMIFS(Eventos!$G:$G,Eventos!$F:$F,$L961,Eventos!$D:$D,$C$2,Eventos!$B:$B,PANES_SEMANALES[[#ALL],[JUEVES]])</f>
        <v>0</v>
      </c>
      <c r="Q961" s="59">
        <f>IF(P961&lt;&gt;"",SUMIFS(Eventos!$G:$G,Eventos!$B:$B,Q$2,Eventos!$D:$D,$C$2,Eventos!$F:$F,$L961),"")</f>
        <v>0</v>
      </c>
      <c r="R961" s="59">
        <f>SUMIFS(Eventos!$G:$G,Eventos!$F:$F,$L961,Eventos!$D:$D,$C$2,Eventos!$B:$B,PANES_SEMANALES[[#ALL],[SÁBADO]])</f>
        <v>0</v>
      </c>
      <c r="S961" s="59">
        <f>SUMIFS(Eventos!$G:$G,Eventos!$F:$F,$L961,Eventos!$D:$D,$C$2,Eventos!$B:$B,PANES_SEMANALES[[#ALL],[DOMINGO]])</f>
        <v>0</v>
      </c>
      <c r="T961" s="59">
        <f t="shared" si="1"/>
        <v>0</v>
      </c>
    </row>
    <row r="962" ht="22.5" customHeight="1">
      <c r="M962" s="59">
        <f>SUMIFS(Eventos!$G:$G,Eventos!$F:$F,$L962,Eventos!$D:$D,$C$2,Eventos!$B:$B,PANES_SEMANALES[[#ALL],[LUNES]])</f>
        <v>0</v>
      </c>
      <c r="N962" s="59">
        <f>SUMIFS(Eventos!$G:$G,Eventos!$F:$F,$L962,Eventos!$D:$D,$C$2,Eventos!$B:$B,PANES_SEMANALES[[#ALL],[MARTES]])</f>
        <v>0</v>
      </c>
      <c r="O962" s="59">
        <f>SUMIFS(Eventos!$G:$G,Eventos!$F:$F,$L962,Eventos!$D:$D,$C$2,Eventos!$B:$B,PANES_SEMANALES[[#ALL],[MIÉRCOLES]])</f>
        <v>0</v>
      </c>
      <c r="P962" s="59">
        <f>SUMIFS(Eventos!$G:$G,Eventos!$F:$F,$L962,Eventos!$D:$D,$C$2,Eventos!$B:$B,PANES_SEMANALES[[#ALL],[JUEVES]])</f>
        <v>0</v>
      </c>
      <c r="Q962" s="59">
        <f>IF(P962&lt;&gt;"",SUMIFS(Eventos!$G:$G,Eventos!$B:$B,Q$2,Eventos!$D:$D,$C$2,Eventos!$F:$F,$L962),"")</f>
        <v>0</v>
      </c>
      <c r="R962" s="59">
        <f>SUMIFS(Eventos!$G:$G,Eventos!$F:$F,$L962,Eventos!$D:$D,$C$2,Eventos!$B:$B,PANES_SEMANALES[[#ALL],[SÁBADO]])</f>
        <v>0</v>
      </c>
      <c r="S962" s="59">
        <f>SUMIFS(Eventos!$G:$G,Eventos!$F:$F,$L962,Eventos!$D:$D,$C$2,Eventos!$B:$B,PANES_SEMANALES[[#ALL],[DOMINGO]])</f>
        <v>0</v>
      </c>
      <c r="T962" s="59">
        <f t="shared" si="1"/>
        <v>0</v>
      </c>
    </row>
    <row r="963" ht="22.5" customHeight="1">
      <c r="M963" s="59">
        <f>SUMIFS(Eventos!$G:$G,Eventos!$F:$F,$L963,Eventos!$D:$D,$C$2,Eventos!$B:$B,PANES_SEMANALES[[#ALL],[LUNES]])</f>
        <v>0</v>
      </c>
      <c r="N963" s="59">
        <f>SUMIFS(Eventos!$G:$G,Eventos!$F:$F,$L963,Eventos!$D:$D,$C$2,Eventos!$B:$B,PANES_SEMANALES[[#ALL],[MARTES]])</f>
        <v>0</v>
      </c>
      <c r="O963" s="59">
        <f>SUMIFS(Eventos!$G:$G,Eventos!$F:$F,$L963,Eventos!$D:$D,$C$2,Eventos!$B:$B,PANES_SEMANALES[[#ALL],[MIÉRCOLES]])</f>
        <v>0</v>
      </c>
      <c r="P963" s="59">
        <f>SUMIFS(Eventos!$G:$G,Eventos!$F:$F,$L963,Eventos!$D:$D,$C$2,Eventos!$B:$B,PANES_SEMANALES[[#ALL],[JUEVES]])</f>
        <v>0</v>
      </c>
      <c r="Q963" s="59">
        <f>IF(P963&lt;&gt;"",SUMIFS(Eventos!$G:$G,Eventos!$B:$B,Q$2,Eventos!$D:$D,$C$2,Eventos!$F:$F,$L963),"")</f>
        <v>0</v>
      </c>
      <c r="R963" s="59">
        <f>SUMIFS(Eventos!$G:$G,Eventos!$F:$F,$L963,Eventos!$D:$D,$C$2,Eventos!$B:$B,PANES_SEMANALES[[#ALL],[SÁBADO]])</f>
        <v>0</v>
      </c>
      <c r="S963" s="59">
        <f>SUMIFS(Eventos!$G:$G,Eventos!$F:$F,$L963,Eventos!$D:$D,$C$2,Eventos!$B:$B,PANES_SEMANALES[[#ALL],[DOMINGO]])</f>
        <v>0</v>
      </c>
      <c r="T963" s="59">
        <f t="shared" si="1"/>
        <v>0</v>
      </c>
    </row>
    <row r="964" ht="22.5" customHeight="1">
      <c r="M964" s="59">
        <f>SUMIFS(Eventos!$G:$G,Eventos!$F:$F,$L964,Eventos!$D:$D,$C$2,Eventos!$B:$B,PANES_SEMANALES[[#ALL],[LUNES]])</f>
        <v>0</v>
      </c>
      <c r="N964" s="59">
        <f>SUMIFS(Eventos!$G:$G,Eventos!$F:$F,$L964,Eventos!$D:$D,$C$2,Eventos!$B:$B,PANES_SEMANALES[[#ALL],[MARTES]])</f>
        <v>0</v>
      </c>
      <c r="O964" s="59">
        <f>SUMIFS(Eventos!$G:$G,Eventos!$F:$F,$L964,Eventos!$D:$D,$C$2,Eventos!$B:$B,PANES_SEMANALES[[#ALL],[MIÉRCOLES]])</f>
        <v>0</v>
      </c>
      <c r="P964" s="59">
        <f>SUMIFS(Eventos!$G:$G,Eventos!$F:$F,$L964,Eventos!$D:$D,$C$2,Eventos!$B:$B,PANES_SEMANALES[[#ALL],[JUEVES]])</f>
        <v>0</v>
      </c>
      <c r="Q964" s="59">
        <f>IF(P964&lt;&gt;"",SUMIFS(Eventos!$G:$G,Eventos!$B:$B,Q$2,Eventos!$D:$D,$C$2,Eventos!$F:$F,$L964),"")</f>
        <v>0</v>
      </c>
      <c r="R964" s="59">
        <f>SUMIFS(Eventos!$G:$G,Eventos!$F:$F,$L964,Eventos!$D:$D,$C$2,Eventos!$B:$B,PANES_SEMANALES[[#ALL],[SÁBADO]])</f>
        <v>0</v>
      </c>
      <c r="S964" s="59">
        <f>SUMIFS(Eventos!$G:$G,Eventos!$F:$F,$L964,Eventos!$D:$D,$C$2,Eventos!$B:$B,PANES_SEMANALES[[#ALL],[DOMINGO]])</f>
        <v>0</v>
      </c>
      <c r="T964" s="59">
        <f t="shared" si="1"/>
        <v>0</v>
      </c>
    </row>
    <row r="965" ht="22.5" customHeight="1">
      <c r="M965" s="59">
        <f>SUMIFS(Eventos!$G:$G,Eventos!$F:$F,$L965,Eventos!$D:$D,$C$2,Eventos!$B:$B,PANES_SEMANALES[[#ALL],[LUNES]])</f>
        <v>0</v>
      </c>
      <c r="N965" s="59">
        <f>SUMIFS(Eventos!$G:$G,Eventos!$F:$F,$L965,Eventos!$D:$D,$C$2,Eventos!$B:$B,PANES_SEMANALES[[#ALL],[MARTES]])</f>
        <v>0</v>
      </c>
      <c r="O965" s="59">
        <f>SUMIFS(Eventos!$G:$G,Eventos!$F:$F,$L965,Eventos!$D:$D,$C$2,Eventos!$B:$B,PANES_SEMANALES[[#ALL],[MIÉRCOLES]])</f>
        <v>0</v>
      </c>
      <c r="P965" s="59">
        <f>SUMIFS(Eventos!$G:$G,Eventos!$F:$F,$L965,Eventos!$D:$D,$C$2,Eventos!$B:$B,PANES_SEMANALES[[#ALL],[JUEVES]])</f>
        <v>0</v>
      </c>
      <c r="Q965" s="59">
        <f>IF(P965&lt;&gt;"",SUMIFS(Eventos!$G:$G,Eventos!$B:$B,Q$2,Eventos!$D:$D,$C$2,Eventos!$F:$F,$L965),"")</f>
        <v>0</v>
      </c>
      <c r="R965" s="59">
        <f>SUMIFS(Eventos!$G:$G,Eventos!$F:$F,$L965,Eventos!$D:$D,$C$2,Eventos!$B:$B,PANES_SEMANALES[[#ALL],[SÁBADO]])</f>
        <v>0</v>
      </c>
      <c r="S965" s="59">
        <f>SUMIFS(Eventos!$G:$G,Eventos!$F:$F,$L965,Eventos!$D:$D,$C$2,Eventos!$B:$B,PANES_SEMANALES[[#ALL],[DOMINGO]])</f>
        <v>0</v>
      </c>
      <c r="T965" s="59">
        <f t="shared" si="1"/>
        <v>0</v>
      </c>
    </row>
    <row r="966" ht="22.5" customHeight="1">
      <c r="M966" s="59">
        <f>SUMIFS(Eventos!$G:$G,Eventos!$F:$F,$L966,Eventos!$D:$D,$C$2,Eventos!$B:$B,PANES_SEMANALES[[#ALL],[LUNES]])</f>
        <v>0</v>
      </c>
      <c r="N966" s="59">
        <f>SUMIFS(Eventos!$G:$G,Eventos!$F:$F,$L966,Eventos!$D:$D,$C$2,Eventos!$B:$B,PANES_SEMANALES[[#ALL],[MARTES]])</f>
        <v>0</v>
      </c>
      <c r="O966" s="59">
        <f>SUMIFS(Eventos!$G:$G,Eventos!$F:$F,$L966,Eventos!$D:$D,$C$2,Eventos!$B:$B,PANES_SEMANALES[[#ALL],[MIÉRCOLES]])</f>
        <v>0</v>
      </c>
      <c r="P966" s="59">
        <f>SUMIFS(Eventos!$G:$G,Eventos!$F:$F,$L966,Eventos!$D:$D,$C$2,Eventos!$B:$B,PANES_SEMANALES[[#ALL],[JUEVES]])</f>
        <v>0</v>
      </c>
      <c r="Q966" s="59">
        <f>IF(P966&lt;&gt;"",SUMIFS(Eventos!$G:$G,Eventos!$B:$B,Q$2,Eventos!$D:$D,$C$2,Eventos!$F:$F,$L966),"")</f>
        <v>0</v>
      </c>
      <c r="R966" s="59">
        <f>SUMIFS(Eventos!$G:$G,Eventos!$F:$F,$L966,Eventos!$D:$D,$C$2,Eventos!$B:$B,PANES_SEMANALES[[#ALL],[SÁBADO]])</f>
        <v>0</v>
      </c>
      <c r="S966" s="59">
        <f>SUMIFS(Eventos!$G:$G,Eventos!$F:$F,$L966,Eventos!$D:$D,$C$2,Eventos!$B:$B,PANES_SEMANALES[[#ALL],[DOMINGO]])</f>
        <v>0</v>
      </c>
      <c r="T966" s="59">
        <f t="shared" si="1"/>
        <v>0</v>
      </c>
    </row>
    <row r="967" ht="22.5" customHeight="1">
      <c r="M967" s="59">
        <f>SUMIFS(Eventos!$G:$G,Eventos!$F:$F,$L967,Eventos!$D:$D,$C$2,Eventos!$B:$B,PANES_SEMANALES[[#ALL],[LUNES]])</f>
        <v>0</v>
      </c>
      <c r="N967" s="59">
        <f>SUMIFS(Eventos!$G:$G,Eventos!$F:$F,$L967,Eventos!$D:$D,$C$2,Eventos!$B:$B,PANES_SEMANALES[[#ALL],[MARTES]])</f>
        <v>0</v>
      </c>
      <c r="O967" s="59">
        <f>SUMIFS(Eventos!$G:$G,Eventos!$F:$F,$L967,Eventos!$D:$D,$C$2,Eventos!$B:$B,PANES_SEMANALES[[#ALL],[MIÉRCOLES]])</f>
        <v>0</v>
      </c>
      <c r="P967" s="59">
        <f>SUMIFS(Eventos!$G:$G,Eventos!$F:$F,$L967,Eventos!$D:$D,$C$2,Eventos!$B:$B,PANES_SEMANALES[[#ALL],[JUEVES]])</f>
        <v>0</v>
      </c>
      <c r="Q967" s="59">
        <f>IF(P967&lt;&gt;"",SUMIFS(Eventos!$G:$G,Eventos!$B:$B,Q$2,Eventos!$D:$D,$C$2,Eventos!$F:$F,$L967),"")</f>
        <v>0</v>
      </c>
      <c r="R967" s="59">
        <f>SUMIFS(Eventos!$G:$G,Eventos!$F:$F,$L967,Eventos!$D:$D,$C$2,Eventos!$B:$B,PANES_SEMANALES[[#ALL],[SÁBADO]])</f>
        <v>0</v>
      </c>
      <c r="S967" s="59">
        <f>SUMIFS(Eventos!$G:$G,Eventos!$F:$F,$L967,Eventos!$D:$D,$C$2,Eventos!$B:$B,PANES_SEMANALES[[#ALL],[DOMINGO]])</f>
        <v>0</v>
      </c>
      <c r="T967" s="59">
        <f t="shared" si="1"/>
        <v>0</v>
      </c>
    </row>
    <row r="968" ht="22.5" customHeight="1">
      <c r="M968" s="59">
        <f>SUMIFS(Eventos!$G:$G,Eventos!$F:$F,$L968,Eventos!$D:$D,$C$2,Eventos!$B:$B,PANES_SEMANALES[[#ALL],[LUNES]])</f>
        <v>0</v>
      </c>
      <c r="N968" s="59">
        <f>SUMIFS(Eventos!$G:$G,Eventos!$F:$F,$L968,Eventos!$D:$D,$C$2,Eventos!$B:$B,PANES_SEMANALES[[#ALL],[MARTES]])</f>
        <v>0</v>
      </c>
      <c r="O968" s="59">
        <f>SUMIFS(Eventos!$G:$G,Eventos!$F:$F,$L968,Eventos!$D:$D,$C$2,Eventos!$B:$B,PANES_SEMANALES[[#ALL],[MIÉRCOLES]])</f>
        <v>0</v>
      </c>
      <c r="P968" s="59">
        <f>SUMIFS(Eventos!$G:$G,Eventos!$F:$F,$L968,Eventos!$D:$D,$C$2,Eventos!$B:$B,PANES_SEMANALES[[#ALL],[JUEVES]])</f>
        <v>0</v>
      </c>
      <c r="Q968" s="59">
        <f>IF(P968&lt;&gt;"",SUMIFS(Eventos!$G:$G,Eventos!$B:$B,Q$2,Eventos!$D:$D,$C$2,Eventos!$F:$F,$L968),"")</f>
        <v>0</v>
      </c>
      <c r="R968" s="59">
        <f>SUMIFS(Eventos!$G:$G,Eventos!$F:$F,$L968,Eventos!$D:$D,$C$2,Eventos!$B:$B,PANES_SEMANALES[[#ALL],[SÁBADO]])</f>
        <v>0</v>
      </c>
      <c r="S968" s="59">
        <f>SUMIFS(Eventos!$G:$G,Eventos!$F:$F,$L968,Eventos!$D:$D,$C$2,Eventos!$B:$B,PANES_SEMANALES[[#ALL],[DOMINGO]])</f>
        <v>0</v>
      </c>
      <c r="T968" s="59">
        <f t="shared" si="1"/>
        <v>0</v>
      </c>
    </row>
    <row r="969" ht="22.5" customHeight="1">
      <c r="M969" s="59">
        <f>SUMIFS(Eventos!$G:$G,Eventos!$F:$F,$L969,Eventos!$D:$D,$C$2,Eventos!$B:$B,PANES_SEMANALES[[#ALL],[LUNES]])</f>
        <v>0</v>
      </c>
      <c r="N969" s="59">
        <f>SUMIFS(Eventos!$G:$G,Eventos!$F:$F,$L969,Eventos!$D:$D,$C$2,Eventos!$B:$B,PANES_SEMANALES[[#ALL],[MARTES]])</f>
        <v>0</v>
      </c>
      <c r="O969" s="59">
        <f>SUMIFS(Eventos!$G:$G,Eventos!$F:$F,$L969,Eventos!$D:$D,$C$2,Eventos!$B:$B,PANES_SEMANALES[[#ALL],[MIÉRCOLES]])</f>
        <v>0</v>
      </c>
      <c r="P969" s="59">
        <f>SUMIFS(Eventos!$G:$G,Eventos!$F:$F,$L969,Eventos!$D:$D,$C$2,Eventos!$B:$B,PANES_SEMANALES[[#ALL],[JUEVES]])</f>
        <v>0</v>
      </c>
      <c r="Q969" s="59">
        <f>IF(P969&lt;&gt;"",SUMIFS(Eventos!$G:$G,Eventos!$B:$B,Q$2,Eventos!$D:$D,$C$2,Eventos!$F:$F,$L969),"")</f>
        <v>0</v>
      </c>
      <c r="R969" s="59">
        <f>SUMIFS(Eventos!$G:$G,Eventos!$F:$F,$L969,Eventos!$D:$D,$C$2,Eventos!$B:$B,PANES_SEMANALES[[#ALL],[SÁBADO]])</f>
        <v>0</v>
      </c>
      <c r="S969" s="59">
        <f>SUMIFS(Eventos!$G:$G,Eventos!$F:$F,$L969,Eventos!$D:$D,$C$2,Eventos!$B:$B,PANES_SEMANALES[[#ALL],[DOMINGO]])</f>
        <v>0</v>
      </c>
      <c r="T969" s="59">
        <f t="shared" si="1"/>
        <v>0</v>
      </c>
    </row>
    <row r="970" ht="22.5" customHeight="1">
      <c r="M970" s="59">
        <f>SUMIFS(Eventos!$G:$G,Eventos!$F:$F,$L970,Eventos!$D:$D,$C$2,Eventos!$B:$B,PANES_SEMANALES[[#ALL],[LUNES]])</f>
        <v>0</v>
      </c>
      <c r="N970" s="59">
        <f>SUMIFS(Eventos!$G:$G,Eventos!$F:$F,$L970,Eventos!$D:$D,$C$2,Eventos!$B:$B,PANES_SEMANALES[[#ALL],[MARTES]])</f>
        <v>0</v>
      </c>
      <c r="O970" s="59">
        <f>SUMIFS(Eventos!$G:$G,Eventos!$F:$F,$L970,Eventos!$D:$D,$C$2,Eventos!$B:$B,PANES_SEMANALES[[#ALL],[MIÉRCOLES]])</f>
        <v>0</v>
      </c>
      <c r="P970" s="59">
        <f>SUMIFS(Eventos!$G:$G,Eventos!$F:$F,$L970,Eventos!$D:$D,$C$2,Eventos!$B:$B,PANES_SEMANALES[[#ALL],[JUEVES]])</f>
        <v>0</v>
      </c>
      <c r="Q970" s="59">
        <f>IF(P970&lt;&gt;"",SUMIFS(Eventos!$G:$G,Eventos!$B:$B,Q$2,Eventos!$D:$D,$C$2,Eventos!$F:$F,$L970),"")</f>
        <v>0</v>
      </c>
      <c r="R970" s="59">
        <f>SUMIFS(Eventos!$G:$G,Eventos!$F:$F,$L970,Eventos!$D:$D,$C$2,Eventos!$B:$B,PANES_SEMANALES[[#ALL],[SÁBADO]])</f>
        <v>0</v>
      </c>
      <c r="S970" s="59">
        <f>SUMIFS(Eventos!$G:$G,Eventos!$F:$F,$L970,Eventos!$D:$D,$C$2,Eventos!$B:$B,PANES_SEMANALES[[#ALL],[DOMINGO]])</f>
        <v>0</v>
      </c>
      <c r="T970" s="59">
        <f t="shared" si="1"/>
        <v>0</v>
      </c>
    </row>
    <row r="971" ht="22.5" customHeight="1">
      <c r="M971" s="59">
        <f>SUMIFS(Eventos!$G:$G,Eventos!$F:$F,$L971,Eventos!$D:$D,$C$2,Eventos!$B:$B,PANES_SEMANALES[[#ALL],[LUNES]])</f>
        <v>0</v>
      </c>
      <c r="N971" s="59">
        <f>SUMIFS(Eventos!$G:$G,Eventos!$F:$F,$L971,Eventos!$D:$D,$C$2,Eventos!$B:$B,PANES_SEMANALES[[#ALL],[MARTES]])</f>
        <v>0</v>
      </c>
      <c r="O971" s="59">
        <f>SUMIFS(Eventos!$G:$G,Eventos!$F:$F,$L971,Eventos!$D:$D,$C$2,Eventos!$B:$B,PANES_SEMANALES[[#ALL],[MIÉRCOLES]])</f>
        <v>0</v>
      </c>
      <c r="P971" s="59">
        <f>SUMIFS(Eventos!$G:$G,Eventos!$F:$F,$L971,Eventos!$D:$D,$C$2,Eventos!$B:$B,PANES_SEMANALES[[#ALL],[JUEVES]])</f>
        <v>0</v>
      </c>
      <c r="Q971" s="59">
        <f>IF(P971&lt;&gt;"",SUMIFS(Eventos!$G:$G,Eventos!$B:$B,Q$2,Eventos!$D:$D,$C$2,Eventos!$F:$F,$L971),"")</f>
        <v>0</v>
      </c>
      <c r="R971" s="59">
        <f>SUMIFS(Eventos!$G:$G,Eventos!$F:$F,$L971,Eventos!$D:$D,$C$2,Eventos!$B:$B,PANES_SEMANALES[[#ALL],[SÁBADO]])</f>
        <v>0</v>
      </c>
      <c r="S971" s="59">
        <f>SUMIFS(Eventos!$G:$G,Eventos!$F:$F,$L971,Eventos!$D:$D,$C$2,Eventos!$B:$B,PANES_SEMANALES[[#ALL],[DOMINGO]])</f>
        <v>0</v>
      </c>
      <c r="T971" s="59">
        <f t="shared" si="1"/>
        <v>0</v>
      </c>
    </row>
    <row r="972" ht="22.5" customHeight="1">
      <c r="M972" s="59">
        <f>SUMIFS(Eventos!$G:$G,Eventos!$F:$F,$L972,Eventos!$D:$D,$C$2,Eventos!$B:$B,PANES_SEMANALES[[#ALL],[LUNES]])</f>
        <v>0</v>
      </c>
      <c r="N972" s="59">
        <f>SUMIFS(Eventos!$G:$G,Eventos!$F:$F,$L972,Eventos!$D:$D,$C$2,Eventos!$B:$B,PANES_SEMANALES[[#ALL],[MARTES]])</f>
        <v>0</v>
      </c>
      <c r="O972" s="59">
        <f>SUMIFS(Eventos!$G:$G,Eventos!$F:$F,$L972,Eventos!$D:$D,$C$2,Eventos!$B:$B,PANES_SEMANALES[[#ALL],[MIÉRCOLES]])</f>
        <v>0</v>
      </c>
      <c r="P972" s="59">
        <f>SUMIFS(Eventos!$G:$G,Eventos!$F:$F,$L972,Eventos!$D:$D,$C$2,Eventos!$B:$B,PANES_SEMANALES[[#ALL],[JUEVES]])</f>
        <v>0</v>
      </c>
      <c r="Q972" s="59">
        <f>IF(P972&lt;&gt;"",SUMIFS(Eventos!$G:$G,Eventos!$B:$B,Q$2,Eventos!$D:$D,$C$2,Eventos!$F:$F,$L972),"")</f>
        <v>0</v>
      </c>
      <c r="R972" s="59">
        <f>SUMIFS(Eventos!$G:$G,Eventos!$F:$F,$L972,Eventos!$D:$D,$C$2,Eventos!$B:$B,PANES_SEMANALES[[#ALL],[SÁBADO]])</f>
        <v>0</v>
      </c>
      <c r="S972" s="59">
        <f>SUMIFS(Eventos!$G:$G,Eventos!$F:$F,$L972,Eventos!$D:$D,$C$2,Eventos!$B:$B,PANES_SEMANALES[[#ALL],[DOMINGO]])</f>
        <v>0</v>
      </c>
      <c r="T972" s="59">
        <f t="shared" si="1"/>
        <v>0</v>
      </c>
    </row>
    <row r="973" ht="22.5" customHeight="1">
      <c r="M973" s="59">
        <f>SUMIFS(Eventos!$G:$G,Eventos!$F:$F,$L973,Eventos!$D:$D,$C$2,Eventos!$B:$B,PANES_SEMANALES[[#ALL],[LUNES]])</f>
        <v>0</v>
      </c>
      <c r="N973" s="59">
        <f>SUMIFS(Eventos!$G:$G,Eventos!$F:$F,$L973,Eventos!$D:$D,$C$2,Eventos!$B:$B,PANES_SEMANALES[[#ALL],[MARTES]])</f>
        <v>0</v>
      </c>
      <c r="O973" s="59">
        <f>SUMIFS(Eventos!$G:$G,Eventos!$F:$F,$L973,Eventos!$D:$D,$C$2,Eventos!$B:$B,PANES_SEMANALES[[#ALL],[MIÉRCOLES]])</f>
        <v>0</v>
      </c>
      <c r="P973" s="59">
        <f>SUMIFS(Eventos!$G:$G,Eventos!$F:$F,$L973,Eventos!$D:$D,$C$2,Eventos!$B:$B,PANES_SEMANALES[[#ALL],[JUEVES]])</f>
        <v>0</v>
      </c>
      <c r="Q973" s="59">
        <f>IF(P973&lt;&gt;"",SUMIFS(Eventos!$G:$G,Eventos!$B:$B,Q$2,Eventos!$D:$D,$C$2,Eventos!$F:$F,$L973),"")</f>
        <v>0</v>
      </c>
      <c r="R973" s="59">
        <f>SUMIFS(Eventos!$G:$G,Eventos!$F:$F,$L973,Eventos!$D:$D,$C$2,Eventos!$B:$B,PANES_SEMANALES[[#ALL],[SÁBADO]])</f>
        <v>0</v>
      </c>
      <c r="S973" s="59">
        <f>SUMIFS(Eventos!$G:$G,Eventos!$F:$F,$L973,Eventos!$D:$D,$C$2,Eventos!$B:$B,PANES_SEMANALES[[#ALL],[DOMINGO]])</f>
        <v>0</v>
      </c>
      <c r="T973" s="59">
        <f t="shared" si="1"/>
        <v>0</v>
      </c>
    </row>
    <row r="974" ht="22.5" customHeight="1">
      <c r="M974" s="59">
        <f>SUMIFS(Eventos!$G:$G,Eventos!$F:$F,$L974,Eventos!$D:$D,$C$2,Eventos!$B:$B,PANES_SEMANALES[[#ALL],[LUNES]])</f>
        <v>0</v>
      </c>
      <c r="N974" s="59">
        <f>SUMIFS(Eventos!$G:$G,Eventos!$F:$F,$L974,Eventos!$D:$D,$C$2,Eventos!$B:$B,PANES_SEMANALES[[#ALL],[MARTES]])</f>
        <v>0</v>
      </c>
      <c r="O974" s="59">
        <f>SUMIFS(Eventos!$G:$G,Eventos!$F:$F,$L974,Eventos!$D:$D,$C$2,Eventos!$B:$B,PANES_SEMANALES[[#ALL],[MIÉRCOLES]])</f>
        <v>0</v>
      </c>
      <c r="P974" s="59">
        <f>SUMIFS(Eventos!$G:$G,Eventos!$F:$F,$L974,Eventos!$D:$D,$C$2,Eventos!$B:$B,PANES_SEMANALES[[#ALL],[JUEVES]])</f>
        <v>0</v>
      </c>
      <c r="Q974" s="59">
        <f>IF(P974&lt;&gt;"",SUMIFS(Eventos!$G:$G,Eventos!$B:$B,Q$2,Eventos!$D:$D,$C$2,Eventos!$F:$F,$L974),"")</f>
        <v>0</v>
      </c>
      <c r="R974" s="59">
        <f>SUMIFS(Eventos!$G:$G,Eventos!$F:$F,$L974,Eventos!$D:$D,$C$2,Eventos!$B:$B,PANES_SEMANALES[[#ALL],[SÁBADO]])</f>
        <v>0</v>
      </c>
      <c r="S974" s="59">
        <f>SUMIFS(Eventos!$G:$G,Eventos!$F:$F,$L974,Eventos!$D:$D,$C$2,Eventos!$B:$B,PANES_SEMANALES[[#ALL],[DOMINGO]])</f>
        <v>0</v>
      </c>
      <c r="T974" s="59">
        <f t="shared" si="1"/>
        <v>0</v>
      </c>
    </row>
    <row r="975" ht="22.5" customHeight="1">
      <c r="M975" s="59">
        <f>SUMIFS(Eventos!$G:$G,Eventos!$F:$F,$L975,Eventos!$D:$D,$C$2,Eventos!$B:$B,PANES_SEMANALES[[#ALL],[LUNES]])</f>
        <v>0</v>
      </c>
      <c r="N975" s="59">
        <f>SUMIFS(Eventos!$G:$G,Eventos!$F:$F,$L975,Eventos!$D:$D,$C$2,Eventos!$B:$B,PANES_SEMANALES[[#ALL],[MARTES]])</f>
        <v>0</v>
      </c>
      <c r="O975" s="59">
        <f>SUMIFS(Eventos!$G:$G,Eventos!$F:$F,$L975,Eventos!$D:$D,$C$2,Eventos!$B:$B,PANES_SEMANALES[[#ALL],[MIÉRCOLES]])</f>
        <v>0</v>
      </c>
      <c r="P975" s="59">
        <f>SUMIFS(Eventos!$G:$G,Eventos!$F:$F,$L975,Eventos!$D:$D,$C$2,Eventos!$B:$B,PANES_SEMANALES[[#ALL],[JUEVES]])</f>
        <v>0</v>
      </c>
      <c r="Q975" s="59">
        <f>IF(P975&lt;&gt;"",SUMIFS(Eventos!$G:$G,Eventos!$B:$B,Q$2,Eventos!$D:$D,$C$2,Eventos!$F:$F,$L975),"")</f>
        <v>0</v>
      </c>
      <c r="R975" s="59">
        <f>SUMIFS(Eventos!$G:$G,Eventos!$F:$F,$L975,Eventos!$D:$D,$C$2,Eventos!$B:$B,PANES_SEMANALES[[#ALL],[SÁBADO]])</f>
        <v>0</v>
      </c>
      <c r="S975" s="59">
        <f>SUMIFS(Eventos!$G:$G,Eventos!$F:$F,$L975,Eventos!$D:$D,$C$2,Eventos!$B:$B,PANES_SEMANALES[[#ALL],[DOMINGO]])</f>
        <v>0</v>
      </c>
      <c r="T975" s="59">
        <f t="shared" si="1"/>
        <v>0</v>
      </c>
    </row>
    <row r="976" ht="22.5" customHeight="1">
      <c r="M976" s="59">
        <f>SUMIFS(Eventos!$G:$G,Eventos!$F:$F,$L976,Eventos!$D:$D,$C$2,Eventos!$B:$B,PANES_SEMANALES[[#ALL],[LUNES]])</f>
        <v>0</v>
      </c>
      <c r="N976" s="59">
        <f>SUMIFS(Eventos!$G:$G,Eventos!$F:$F,$L976,Eventos!$D:$D,$C$2,Eventos!$B:$B,PANES_SEMANALES[[#ALL],[MARTES]])</f>
        <v>0</v>
      </c>
      <c r="O976" s="59">
        <f>SUMIFS(Eventos!$G:$G,Eventos!$F:$F,$L976,Eventos!$D:$D,$C$2,Eventos!$B:$B,PANES_SEMANALES[[#ALL],[MIÉRCOLES]])</f>
        <v>0</v>
      </c>
      <c r="P976" s="59">
        <f>SUMIFS(Eventos!$G:$G,Eventos!$F:$F,$L976,Eventos!$D:$D,$C$2,Eventos!$B:$B,PANES_SEMANALES[[#ALL],[JUEVES]])</f>
        <v>0</v>
      </c>
      <c r="Q976" s="59">
        <f>IF(P976&lt;&gt;"",SUMIFS(Eventos!$G:$G,Eventos!$B:$B,Q$2,Eventos!$D:$D,$C$2,Eventos!$F:$F,$L976),"")</f>
        <v>0</v>
      </c>
      <c r="R976" s="59">
        <f>SUMIFS(Eventos!$G:$G,Eventos!$F:$F,$L976,Eventos!$D:$D,$C$2,Eventos!$B:$B,PANES_SEMANALES[[#ALL],[SÁBADO]])</f>
        <v>0</v>
      </c>
      <c r="S976" s="59">
        <f>SUMIFS(Eventos!$G:$G,Eventos!$F:$F,$L976,Eventos!$D:$D,$C$2,Eventos!$B:$B,PANES_SEMANALES[[#ALL],[DOMINGO]])</f>
        <v>0</v>
      </c>
      <c r="T976" s="59">
        <f t="shared" si="1"/>
        <v>0</v>
      </c>
    </row>
    <row r="977" ht="22.5" customHeight="1">
      <c r="M977" s="59">
        <f>SUMIFS(Eventos!$G:$G,Eventos!$F:$F,$L977,Eventos!$D:$D,$C$2,Eventos!$B:$B,PANES_SEMANALES[[#ALL],[LUNES]])</f>
        <v>0</v>
      </c>
      <c r="N977" s="59">
        <f>SUMIFS(Eventos!$G:$G,Eventos!$F:$F,$L977,Eventos!$D:$D,$C$2,Eventos!$B:$B,PANES_SEMANALES[[#ALL],[MARTES]])</f>
        <v>0</v>
      </c>
      <c r="O977" s="59">
        <f>SUMIFS(Eventos!$G:$G,Eventos!$F:$F,$L977,Eventos!$D:$D,$C$2,Eventos!$B:$B,PANES_SEMANALES[[#ALL],[MIÉRCOLES]])</f>
        <v>0</v>
      </c>
      <c r="P977" s="59">
        <f>SUMIFS(Eventos!$G:$G,Eventos!$F:$F,$L977,Eventos!$D:$D,$C$2,Eventos!$B:$B,PANES_SEMANALES[[#ALL],[JUEVES]])</f>
        <v>0</v>
      </c>
      <c r="Q977" s="59">
        <f>IF(P977&lt;&gt;"",SUMIFS(Eventos!$G:$G,Eventos!$B:$B,Q$2,Eventos!$D:$D,$C$2,Eventos!$F:$F,$L977),"")</f>
        <v>0</v>
      </c>
      <c r="R977" s="59">
        <f>SUMIFS(Eventos!$G:$G,Eventos!$F:$F,$L977,Eventos!$D:$D,$C$2,Eventos!$B:$B,PANES_SEMANALES[[#ALL],[SÁBADO]])</f>
        <v>0</v>
      </c>
      <c r="S977" s="59">
        <f>SUMIFS(Eventos!$G:$G,Eventos!$F:$F,$L977,Eventos!$D:$D,$C$2,Eventos!$B:$B,PANES_SEMANALES[[#ALL],[DOMINGO]])</f>
        <v>0</v>
      </c>
      <c r="T977" s="59">
        <f t="shared" si="1"/>
        <v>0</v>
      </c>
    </row>
    <row r="978" ht="22.5" customHeight="1">
      <c r="M978" s="59">
        <f>SUMIFS(Eventos!$G:$G,Eventos!$F:$F,$L978,Eventos!$D:$D,$C$2,Eventos!$B:$B,PANES_SEMANALES[[#ALL],[LUNES]])</f>
        <v>0</v>
      </c>
      <c r="N978" s="59">
        <f>SUMIFS(Eventos!$G:$G,Eventos!$F:$F,$L978,Eventos!$D:$D,$C$2,Eventos!$B:$B,PANES_SEMANALES[[#ALL],[MARTES]])</f>
        <v>0</v>
      </c>
      <c r="O978" s="59">
        <f>SUMIFS(Eventos!$G:$G,Eventos!$F:$F,$L978,Eventos!$D:$D,$C$2,Eventos!$B:$B,PANES_SEMANALES[[#ALL],[MIÉRCOLES]])</f>
        <v>0</v>
      </c>
      <c r="P978" s="59">
        <f>SUMIFS(Eventos!$G:$G,Eventos!$F:$F,$L978,Eventos!$D:$D,$C$2,Eventos!$B:$B,PANES_SEMANALES[[#ALL],[JUEVES]])</f>
        <v>0</v>
      </c>
      <c r="Q978" s="59">
        <f>IF(P978&lt;&gt;"",SUMIFS(Eventos!$G:$G,Eventos!$B:$B,Q$2,Eventos!$D:$D,$C$2,Eventos!$F:$F,$L978),"")</f>
        <v>0</v>
      </c>
      <c r="R978" s="59">
        <f>SUMIFS(Eventos!$G:$G,Eventos!$F:$F,$L978,Eventos!$D:$D,$C$2,Eventos!$B:$B,PANES_SEMANALES[[#ALL],[SÁBADO]])</f>
        <v>0</v>
      </c>
      <c r="S978" s="59">
        <f>SUMIFS(Eventos!$G:$G,Eventos!$F:$F,$L978,Eventos!$D:$D,$C$2,Eventos!$B:$B,PANES_SEMANALES[[#ALL],[DOMINGO]])</f>
        <v>0</v>
      </c>
      <c r="T978" s="59">
        <f t="shared" si="1"/>
        <v>0</v>
      </c>
    </row>
    <row r="979" ht="22.5" customHeight="1">
      <c r="M979" s="59">
        <f>SUMIFS(Eventos!$G:$G,Eventos!$F:$F,$L979,Eventos!$D:$D,$C$2,Eventos!$B:$B,PANES_SEMANALES[[#ALL],[LUNES]])</f>
        <v>0</v>
      </c>
      <c r="N979" s="59">
        <f>SUMIFS(Eventos!$G:$G,Eventos!$F:$F,$L979,Eventos!$D:$D,$C$2,Eventos!$B:$B,PANES_SEMANALES[[#ALL],[MARTES]])</f>
        <v>0</v>
      </c>
      <c r="O979" s="59">
        <f>SUMIFS(Eventos!$G:$G,Eventos!$F:$F,$L979,Eventos!$D:$D,$C$2,Eventos!$B:$B,PANES_SEMANALES[[#ALL],[MIÉRCOLES]])</f>
        <v>0</v>
      </c>
      <c r="P979" s="59">
        <f>SUMIFS(Eventos!$G:$G,Eventos!$F:$F,$L979,Eventos!$D:$D,$C$2,Eventos!$B:$B,PANES_SEMANALES[[#ALL],[JUEVES]])</f>
        <v>0</v>
      </c>
      <c r="Q979" s="59">
        <f>IF(P979&lt;&gt;"",SUMIFS(Eventos!$G:$G,Eventos!$B:$B,Q$2,Eventos!$D:$D,$C$2,Eventos!$F:$F,$L979),"")</f>
        <v>0</v>
      </c>
      <c r="R979" s="59">
        <f>SUMIFS(Eventos!$G:$G,Eventos!$F:$F,$L979,Eventos!$D:$D,$C$2,Eventos!$B:$B,PANES_SEMANALES[[#ALL],[SÁBADO]])</f>
        <v>0</v>
      </c>
      <c r="S979" s="59">
        <f>SUMIFS(Eventos!$G:$G,Eventos!$F:$F,$L979,Eventos!$D:$D,$C$2,Eventos!$B:$B,PANES_SEMANALES[[#ALL],[DOMINGO]])</f>
        <v>0</v>
      </c>
      <c r="T979" s="59">
        <f t="shared" si="1"/>
        <v>0</v>
      </c>
    </row>
    <row r="980" ht="22.5" customHeight="1">
      <c r="M980" s="59">
        <f>SUMIFS(Eventos!$G:$G,Eventos!$F:$F,$L980,Eventos!$D:$D,$C$2,Eventos!$B:$B,PANES_SEMANALES[[#ALL],[LUNES]])</f>
        <v>0</v>
      </c>
      <c r="N980" s="59">
        <f>SUMIFS(Eventos!$G:$G,Eventos!$F:$F,$L980,Eventos!$D:$D,$C$2,Eventos!$B:$B,PANES_SEMANALES[[#ALL],[MARTES]])</f>
        <v>0</v>
      </c>
      <c r="O980" s="59">
        <f>SUMIFS(Eventos!$G:$G,Eventos!$F:$F,$L980,Eventos!$D:$D,$C$2,Eventos!$B:$B,PANES_SEMANALES[[#ALL],[MIÉRCOLES]])</f>
        <v>0</v>
      </c>
      <c r="P980" s="59">
        <f>SUMIFS(Eventos!$G:$G,Eventos!$F:$F,$L980,Eventos!$D:$D,$C$2,Eventos!$B:$B,PANES_SEMANALES[[#ALL],[JUEVES]])</f>
        <v>0</v>
      </c>
      <c r="Q980" s="59">
        <f>IF(P980&lt;&gt;"",SUMIFS(Eventos!$G:$G,Eventos!$B:$B,Q$2,Eventos!$D:$D,$C$2,Eventos!$F:$F,$L980),"")</f>
        <v>0</v>
      </c>
      <c r="R980" s="59">
        <f>SUMIFS(Eventos!$G:$G,Eventos!$F:$F,$L980,Eventos!$D:$D,$C$2,Eventos!$B:$B,PANES_SEMANALES[[#ALL],[SÁBADO]])</f>
        <v>0</v>
      </c>
      <c r="S980" s="59">
        <f>SUMIFS(Eventos!$G:$G,Eventos!$F:$F,$L980,Eventos!$D:$D,$C$2,Eventos!$B:$B,PANES_SEMANALES[[#ALL],[DOMINGO]])</f>
        <v>0</v>
      </c>
      <c r="T980" s="59">
        <f t="shared" si="1"/>
        <v>0</v>
      </c>
    </row>
    <row r="981" ht="22.5" customHeight="1">
      <c r="M981" s="59">
        <f>SUMIFS(Eventos!$G:$G,Eventos!$F:$F,$L981,Eventos!$D:$D,$C$2,Eventos!$B:$B,PANES_SEMANALES[[#ALL],[LUNES]])</f>
        <v>0</v>
      </c>
      <c r="N981" s="59">
        <f>SUMIFS(Eventos!$G:$G,Eventos!$F:$F,$L981,Eventos!$D:$D,$C$2,Eventos!$B:$B,PANES_SEMANALES[[#ALL],[MARTES]])</f>
        <v>0</v>
      </c>
      <c r="O981" s="59">
        <f>SUMIFS(Eventos!$G:$G,Eventos!$F:$F,$L981,Eventos!$D:$D,$C$2,Eventos!$B:$B,PANES_SEMANALES[[#ALL],[MIÉRCOLES]])</f>
        <v>0</v>
      </c>
      <c r="P981" s="59">
        <f>SUMIFS(Eventos!$G:$G,Eventos!$F:$F,$L981,Eventos!$D:$D,$C$2,Eventos!$B:$B,PANES_SEMANALES[[#ALL],[JUEVES]])</f>
        <v>0</v>
      </c>
      <c r="Q981" s="59">
        <f>IF(P981&lt;&gt;"",SUMIFS(Eventos!$G:$G,Eventos!$B:$B,Q$2,Eventos!$D:$D,$C$2,Eventos!$F:$F,$L981),"")</f>
        <v>0</v>
      </c>
      <c r="R981" s="59">
        <f>SUMIFS(Eventos!$G:$G,Eventos!$F:$F,$L981,Eventos!$D:$D,$C$2,Eventos!$B:$B,PANES_SEMANALES[[#ALL],[SÁBADO]])</f>
        <v>0</v>
      </c>
      <c r="S981" s="59">
        <f>SUMIFS(Eventos!$G:$G,Eventos!$F:$F,$L981,Eventos!$D:$D,$C$2,Eventos!$B:$B,PANES_SEMANALES[[#ALL],[DOMINGO]])</f>
        <v>0</v>
      </c>
      <c r="T981" s="59">
        <f t="shared" si="1"/>
        <v>0</v>
      </c>
    </row>
    <row r="982" ht="22.5" customHeight="1">
      <c r="M982" s="59">
        <f>SUMIFS(Eventos!$G:$G,Eventos!$F:$F,$L982,Eventos!$D:$D,$C$2,Eventos!$B:$B,PANES_SEMANALES[[#ALL],[LUNES]])</f>
        <v>0</v>
      </c>
      <c r="N982" s="59">
        <f>SUMIFS(Eventos!$G:$G,Eventos!$F:$F,$L982,Eventos!$D:$D,$C$2,Eventos!$B:$B,PANES_SEMANALES[[#ALL],[MARTES]])</f>
        <v>0</v>
      </c>
      <c r="O982" s="59">
        <f>SUMIFS(Eventos!$G:$G,Eventos!$F:$F,$L982,Eventos!$D:$D,$C$2,Eventos!$B:$B,PANES_SEMANALES[[#ALL],[MIÉRCOLES]])</f>
        <v>0</v>
      </c>
      <c r="P982" s="59">
        <f>SUMIFS(Eventos!$G:$G,Eventos!$F:$F,$L982,Eventos!$D:$D,$C$2,Eventos!$B:$B,PANES_SEMANALES[[#ALL],[JUEVES]])</f>
        <v>0</v>
      </c>
      <c r="Q982" s="59">
        <f>IF(P982&lt;&gt;"",SUMIFS(Eventos!$G:$G,Eventos!$B:$B,Q$2,Eventos!$D:$D,$C$2,Eventos!$F:$F,$L982),"")</f>
        <v>0</v>
      </c>
      <c r="R982" s="59">
        <f>SUMIFS(Eventos!$G:$G,Eventos!$F:$F,$L982,Eventos!$D:$D,$C$2,Eventos!$B:$B,PANES_SEMANALES[[#ALL],[SÁBADO]])</f>
        <v>0</v>
      </c>
      <c r="S982" s="59">
        <f>SUMIFS(Eventos!$G:$G,Eventos!$F:$F,$L982,Eventos!$D:$D,$C$2,Eventos!$B:$B,PANES_SEMANALES[[#ALL],[DOMINGO]])</f>
        <v>0</v>
      </c>
      <c r="T982" s="59">
        <f t="shared" si="1"/>
        <v>0</v>
      </c>
    </row>
    <row r="983" ht="22.5" customHeight="1">
      <c r="M983" s="59">
        <f>SUMIFS(Eventos!$G:$G,Eventos!$F:$F,$L983,Eventos!$D:$D,$C$2,Eventos!$B:$B,PANES_SEMANALES[[#ALL],[LUNES]])</f>
        <v>0</v>
      </c>
      <c r="N983" s="59">
        <f>SUMIFS(Eventos!$G:$G,Eventos!$F:$F,$L983,Eventos!$D:$D,$C$2,Eventos!$B:$B,PANES_SEMANALES[[#ALL],[MARTES]])</f>
        <v>0</v>
      </c>
      <c r="O983" s="59">
        <f>SUMIFS(Eventos!$G:$G,Eventos!$F:$F,$L983,Eventos!$D:$D,$C$2,Eventos!$B:$B,PANES_SEMANALES[[#ALL],[MIÉRCOLES]])</f>
        <v>0</v>
      </c>
      <c r="P983" s="59">
        <f>SUMIFS(Eventos!$G:$G,Eventos!$F:$F,$L983,Eventos!$D:$D,$C$2,Eventos!$B:$B,PANES_SEMANALES[[#ALL],[JUEVES]])</f>
        <v>0</v>
      </c>
      <c r="Q983" s="59">
        <f>IF(P983&lt;&gt;"",SUMIFS(Eventos!$G:$G,Eventos!$B:$B,Q$2,Eventos!$D:$D,$C$2,Eventos!$F:$F,$L983),"")</f>
        <v>0</v>
      </c>
      <c r="R983" s="59">
        <f>SUMIFS(Eventos!$G:$G,Eventos!$F:$F,$L983,Eventos!$D:$D,$C$2,Eventos!$B:$B,PANES_SEMANALES[[#ALL],[SÁBADO]])</f>
        <v>0</v>
      </c>
      <c r="S983" s="59">
        <f>SUMIFS(Eventos!$G:$G,Eventos!$F:$F,$L983,Eventos!$D:$D,$C$2,Eventos!$B:$B,PANES_SEMANALES[[#ALL],[DOMINGO]])</f>
        <v>0</v>
      </c>
      <c r="T983" s="59">
        <f t="shared" si="1"/>
        <v>0</v>
      </c>
    </row>
    <row r="984" ht="22.5" customHeight="1">
      <c r="M984" s="59">
        <f>SUMIFS(Eventos!$G:$G,Eventos!$F:$F,$L984,Eventos!$D:$D,$C$2,Eventos!$B:$B,PANES_SEMANALES[[#ALL],[LUNES]])</f>
        <v>0</v>
      </c>
      <c r="N984" s="59">
        <f>SUMIFS(Eventos!$G:$G,Eventos!$F:$F,$L984,Eventos!$D:$D,$C$2,Eventos!$B:$B,PANES_SEMANALES[[#ALL],[MARTES]])</f>
        <v>0</v>
      </c>
      <c r="O984" s="59">
        <f>SUMIFS(Eventos!$G:$G,Eventos!$F:$F,$L984,Eventos!$D:$D,$C$2,Eventos!$B:$B,PANES_SEMANALES[[#ALL],[MIÉRCOLES]])</f>
        <v>0</v>
      </c>
      <c r="P984" s="59">
        <f>SUMIFS(Eventos!$G:$G,Eventos!$F:$F,$L984,Eventos!$D:$D,$C$2,Eventos!$B:$B,PANES_SEMANALES[[#ALL],[JUEVES]])</f>
        <v>0</v>
      </c>
      <c r="Q984" s="59">
        <f>IF(P984&lt;&gt;"",SUMIFS(Eventos!$G:$G,Eventos!$B:$B,Q$2,Eventos!$D:$D,$C$2,Eventos!$F:$F,$L984),"")</f>
        <v>0</v>
      </c>
      <c r="R984" s="59">
        <f>SUMIFS(Eventos!$G:$G,Eventos!$F:$F,$L984,Eventos!$D:$D,$C$2,Eventos!$B:$B,PANES_SEMANALES[[#ALL],[SÁBADO]])</f>
        <v>0</v>
      </c>
      <c r="S984" s="59">
        <f>SUMIFS(Eventos!$G:$G,Eventos!$F:$F,$L984,Eventos!$D:$D,$C$2,Eventos!$B:$B,PANES_SEMANALES[[#ALL],[DOMINGO]])</f>
        <v>0</v>
      </c>
      <c r="T984" s="59">
        <f t="shared" si="1"/>
        <v>0</v>
      </c>
    </row>
    <row r="985" ht="22.5" customHeight="1">
      <c r="M985" s="59">
        <f>SUMIFS(Eventos!$G:$G,Eventos!$F:$F,$L985,Eventos!$D:$D,$C$2,Eventos!$B:$B,PANES_SEMANALES[[#ALL],[LUNES]])</f>
        <v>0</v>
      </c>
      <c r="N985" s="59">
        <f>SUMIFS(Eventos!$G:$G,Eventos!$F:$F,$L985,Eventos!$D:$D,$C$2,Eventos!$B:$B,PANES_SEMANALES[[#ALL],[MARTES]])</f>
        <v>0</v>
      </c>
      <c r="O985" s="59">
        <f>SUMIFS(Eventos!$G:$G,Eventos!$F:$F,$L985,Eventos!$D:$D,$C$2,Eventos!$B:$B,PANES_SEMANALES[[#ALL],[MIÉRCOLES]])</f>
        <v>0</v>
      </c>
      <c r="P985" s="59">
        <f>SUMIFS(Eventos!$G:$G,Eventos!$F:$F,$L985,Eventos!$D:$D,$C$2,Eventos!$B:$B,PANES_SEMANALES[[#ALL],[JUEVES]])</f>
        <v>0</v>
      </c>
      <c r="Q985" s="59">
        <f>IF(P985&lt;&gt;"",SUMIFS(Eventos!$G:$G,Eventos!$B:$B,Q$2,Eventos!$D:$D,$C$2,Eventos!$F:$F,$L985),"")</f>
        <v>0</v>
      </c>
      <c r="R985" s="59">
        <f>SUMIFS(Eventos!$G:$G,Eventos!$F:$F,$L985,Eventos!$D:$D,$C$2,Eventos!$B:$B,PANES_SEMANALES[[#ALL],[SÁBADO]])</f>
        <v>0</v>
      </c>
      <c r="S985" s="59">
        <f>SUMIFS(Eventos!$G:$G,Eventos!$F:$F,$L985,Eventos!$D:$D,$C$2,Eventos!$B:$B,PANES_SEMANALES[[#ALL],[DOMINGO]])</f>
        <v>0</v>
      </c>
      <c r="T985" s="59">
        <f t="shared" si="1"/>
        <v>0</v>
      </c>
    </row>
    <row r="986" ht="22.5" customHeight="1">
      <c r="M986" s="59">
        <f>SUMIFS(Eventos!$G:$G,Eventos!$F:$F,$L986,Eventos!$D:$D,$C$2,Eventos!$B:$B,PANES_SEMANALES[[#ALL],[LUNES]])</f>
        <v>0</v>
      </c>
      <c r="N986" s="59">
        <f>SUMIFS(Eventos!$G:$G,Eventos!$F:$F,$L986,Eventos!$D:$D,$C$2,Eventos!$B:$B,PANES_SEMANALES[[#ALL],[MARTES]])</f>
        <v>0</v>
      </c>
      <c r="O986" s="59">
        <f>SUMIFS(Eventos!$G:$G,Eventos!$F:$F,$L986,Eventos!$D:$D,$C$2,Eventos!$B:$B,PANES_SEMANALES[[#ALL],[MIÉRCOLES]])</f>
        <v>0</v>
      </c>
      <c r="P986" s="59">
        <f>SUMIFS(Eventos!$G:$G,Eventos!$F:$F,$L986,Eventos!$D:$D,$C$2,Eventos!$B:$B,PANES_SEMANALES[[#ALL],[JUEVES]])</f>
        <v>0</v>
      </c>
      <c r="Q986" s="59">
        <f>IF(P986&lt;&gt;"",SUMIFS(Eventos!$G:$G,Eventos!$B:$B,Q$2,Eventos!$D:$D,$C$2,Eventos!$F:$F,$L986),"")</f>
        <v>0</v>
      </c>
      <c r="R986" s="59">
        <f>SUMIFS(Eventos!$G:$G,Eventos!$F:$F,$L986,Eventos!$D:$D,$C$2,Eventos!$B:$B,PANES_SEMANALES[[#ALL],[SÁBADO]])</f>
        <v>0</v>
      </c>
      <c r="S986" s="59">
        <f>SUMIFS(Eventos!$G:$G,Eventos!$F:$F,$L986,Eventos!$D:$D,$C$2,Eventos!$B:$B,PANES_SEMANALES[[#ALL],[DOMINGO]])</f>
        <v>0</v>
      </c>
      <c r="T986" s="59">
        <f t="shared" si="1"/>
        <v>0</v>
      </c>
    </row>
    <row r="987" ht="22.5" customHeight="1">
      <c r="M987" s="59">
        <f>SUMIFS(Eventos!$G:$G,Eventos!$F:$F,$L987,Eventos!$D:$D,$C$2,Eventos!$B:$B,PANES_SEMANALES[[#ALL],[LUNES]])</f>
        <v>0</v>
      </c>
      <c r="N987" s="59">
        <f>SUMIFS(Eventos!$G:$G,Eventos!$F:$F,$L987,Eventos!$D:$D,$C$2,Eventos!$B:$B,PANES_SEMANALES[[#ALL],[MARTES]])</f>
        <v>0</v>
      </c>
      <c r="O987" s="59">
        <f>SUMIFS(Eventos!$G:$G,Eventos!$F:$F,$L987,Eventos!$D:$D,$C$2,Eventos!$B:$B,PANES_SEMANALES[[#ALL],[MIÉRCOLES]])</f>
        <v>0</v>
      </c>
      <c r="P987" s="59">
        <f>SUMIFS(Eventos!$G:$G,Eventos!$F:$F,$L987,Eventos!$D:$D,$C$2,Eventos!$B:$B,PANES_SEMANALES[[#ALL],[JUEVES]])</f>
        <v>0</v>
      </c>
      <c r="Q987" s="59">
        <f>IF(P987&lt;&gt;"",SUMIFS(Eventos!$G:$G,Eventos!$B:$B,Q$2,Eventos!$D:$D,$C$2,Eventos!$F:$F,$L987),"")</f>
        <v>0</v>
      </c>
      <c r="R987" s="59">
        <f>SUMIFS(Eventos!$G:$G,Eventos!$F:$F,$L987,Eventos!$D:$D,$C$2,Eventos!$B:$B,PANES_SEMANALES[[#ALL],[SÁBADO]])</f>
        <v>0</v>
      </c>
      <c r="S987" s="59">
        <f>SUMIFS(Eventos!$G:$G,Eventos!$F:$F,$L987,Eventos!$D:$D,$C$2,Eventos!$B:$B,PANES_SEMANALES[[#ALL],[DOMINGO]])</f>
        <v>0</v>
      </c>
      <c r="T987" s="59">
        <f t="shared" si="1"/>
        <v>0</v>
      </c>
    </row>
    <row r="988" ht="22.5" customHeight="1">
      <c r="M988" s="59">
        <f>SUMIFS(Eventos!$G:$G,Eventos!$F:$F,$L988,Eventos!$D:$D,$C$2,Eventos!$B:$B,PANES_SEMANALES[[#ALL],[LUNES]])</f>
        <v>0</v>
      </c>
      <c r="N988" s="59">
        <f>SUMIFS(Eventos!$G:$G,Eventos!$F:$F,$L988,Eventos!$D:$D,$C$2,Eventos!$B:$B,PANES_SEMANALES[[#ALL],[MARTES]])</f>
        <v>0</v>
      </c>
      <c r="O988" s="59">
        <f>SUMIFS(Eventos!$G:$G,Eventos!$F:$F,$L988,Eventos!$D:$D,$C$2,Eventos!$B:$B,PANES_SEMANALES[[#ALL],[MIÉRCOLES]])</f>
        <v>0</v>
      </c>
      <c r="P988" s="59">
        <f>SUMIFS(Eventos!$G:$G,Eventos!$F:$F,$L988,Eventos!$D:$D,$C$2,Eventos!$B:$B,PANES_SEMANALES[[#ALL],[JUEVES]])</f>
        <v>0</v>
      </c>
      <c r="Q988" s="59">
        <f>IF(P988&lt;&gt;"",SUMIFS(Eventos!$G:$G,Eventos!$B:$B,Q$2,Eventos!$D:$D,$C$2,Eventos!$F:$F,$L988),"")</f>
        <v>0</v>
      </c>
      <c r="R988" s="59">
        <f>SUMIFS(Eventos!$G:$G,Eventos!$F:$F,$L988,Eventos!$D:$D,$C$2,Eventos!$B:$B,PANES_SEMANALES[[#ALL],[SÁBADO]])</f>
        <v>0</v>
      </c>
      <c r="S988" s="59">
        <f>SUMIFS(Eventos!$G:$G,Eventos!$F:$F,$L988,Eventos!$D:$D,$C$2,Eventos!$B:$B,PANES_SEMANALES[[#ALL],[DOMINGO]])</f>
        <v>0</v>
      </c>
      <c r="T988" s="59">
        <f t="shared" si="1"/>
        <v>0</v>
      </c>
    </row>
    <row r="989" ht="22.5" customHeight="1">
      <c r="M989" s="59">
        <f>SUMIFS(Eventos!$G:$G,Eventos!$F:$F,$L989,Eventos!$D:$D,$C$2,Eventos!$B:$B,PANES_SEMANALES[[#ALL],[LUNES]])</f>
        <v>0</v>
      </c>
      <c r="N989" s="59">
        <f>SUMIFS(Eventos!$G:$G,Eventos!$F:$F,$L989,Eventos!$D:$D,$C$2,Eventos!$B:$B,PANES_SEMANALES[[#ALL],[MARTES]])</f>
        <v>0</v>
      </c>
      <c r="O989" s="59">
        <f>SUMIFS(Eventos!$G:$G,Eventos!$F:$F,$L989,Eventos!$D:$D,$C$2,Eventos!$B:$B,PANES_SEMANALES[[#ALL],[MIÉRCOLES]])</f>
        <v>0</v>
      </c>
      <c r="P989" s="59">
        <f>SUMIFS(Eventos!$G:$G,Eventos!$F:$F,$L989,Eventos!$D:$D,$C$2,Eventos!$B:$B,PANES_SEMANALES[[#ALL],[JUEVES]])</f>
        <v>0</v>
      </c>
      <c r="Q989" s="59">
        <f>IF(P989&lt;&gt;"",SUMIFS(Eventos!$G:$G,Eventos!$B:$B,Q$2,Eventos!$D:$D,$C$2,Eventos!$F:$F,$L989),"")</f>
        <v>0</v>
      </c>
      <c r="R989" s="59">
        <f>SUMIFS(Eventos!$G:$G,Eventos!$F:$F,$L989,Eventos!$D:$D,$C$2,Eventos!$B:$B,PANES_SEMANALES[[#ALL],[SÁBADO]])</f>
        <v>0</v>
      </c>
      <c r="S989" s="59">
        <f>SUMIFS(Eventos!$G:$G,Eventos!$F:$F,$L989,Eventos!$D:$D,$C$2,Eventos!$B:$B,PANES_SEMANALES[[#ALL],[DOMINGO]])</f>
        <v>0</v>
      </c>
      <c r="T989" s="59">
        <f t="shared" si="1"/>
        <v>0</v>
      </c>
    </row>
    <row r="990" ht="22.5" customHeight="1">
      <c r="M990" s="59">
        <f>SUMIFS(Eventos!$G:$G,Eventos!$F:$F,$L990,Eventos!$D:$D,$C$2,Eventos!$B:$B,PANES_SEMANALES[[#ALL],[LUNES]])</f>
        <v>0</v>
      </c>
      <c r="N990" s="59">
        <f>SUMIFS(Eventos!$G:$G,Eventos!$F:$F,$L990,Eventos!$D:$D,$C$2,Eventos!$B:$B,PANES_SEMANALES[[#ALL],[MARTES]])</f>
        <v>0</v>
      </c>
      <c r="O990" s="59">
        <f>SUMIFS(Eventos!$G:$G,Eventos!$F:$F,$L990,Eventos!$D:$D,$C$2,Eventos!$B:$B,PANES_SEMANALES[[#ALL],[MIÉRCOLES]])</f>
        <v>0</v>
      </c>
      <c r="P990" s="59">
        <f>SUMIFS(Eventos!$G:$G,Eventos!$F:$F,$L990,Eventos!$D:$D,$C$2,Eventos!$B:$B,PANES_SEMANALES[[#ALL],[JUEVES]])</f>
        <v>0</v>
      </c>
      <c r="Q990" s="59">
        <f>IF(P990&lt;&gt;"",SUMIFS(Eventos!$G:$G,Eventos!$B:$B,Q$2,Eventos!$D:$D,$C$2,Eventos!$F:$F,$L990),"")</f>
        <v>0</v>
      </c>
      <c r="R990" s="59">
        <f>SUMIFS(Eventos!$G:$G,Eventos!$F:$F,$L990,Eventos!$D:$D,$C$2,Eventos!$B:$B,PANES_SEMANALES[[#ALL],[SÁBADO]])</f>
        <v>0</v>
      </c>
      <c r="S990" s="59">
        <f>SUMIFS(Eventos!$G:$G,Eventos!$F:$F,$L990,Eventos!$D:$D,$C$2,Eventos!$B:$B,PANES_SEMANALES[[#ALL],[DOMINGO]])</f>
        <v>0</v>
      </c>
      <c r="T990" s="59">
        <f t="shared" si="1"/>
        <v>0</v>
      </c>
    </row>
    <row r="991" ht="22.5" customHeight="1">
      <c r="M991" s="59">
        <f>SUMIFS(Eventos!$G:$G,Eventos!$F:$F,$L991,Eventos!$D:$D,$C$2,Eventos!$B:$B,PANES_SEMANALES[[#ALL],[LUNES]])</f>
        <v>0</v>
      </c>
      <c r="N991" s="59">
        <f>SUMIFS(Eventos!$G:$G,Eventos!$F:$F,$L991,Eventos!$D:$D,$C$2,Eventos!$B:$B,PANES_SEMANALES[[#ALL],[MARTES]])</f>
        <v>0</v>
      </c>
      <c r="O991" s="59">
        <f>SUMIFS(Eventos!$G:$G,Eventos!$F:$F,$L991,Eventos!$D:$D,$C$2,Eventos!$B:$B,PANES_SEMANALES[[#ALL],[MIÉRCOLES]])</f>
        <v>0</v>
      </c>
      <c r="P991" s="59">
        <f>SUMIFS(Eventos!$G:$G,Eventos!$F:$F,$L991,Eventos!$D:$D,$C$2,Eventos!$B:$B,PANES_SEMANALES[[#ALL],[JUEVES]])</f>
        <v>0</v>
      </c>
      <c r="Q991" s="59">
        <f>IF(P991&lt;&gt;"",SUMIFS(Eventos!$G:$G,Eventos!$B:$B,Q$2,Eventos!$D:$D,$C$2,Eventos!$F:$F,$L991),"")</f>
        <v>0</v>
      </c>
      <c r="R991" s="59">
        <f>SUMIFS(Eventos!$G:$G,Eventos!$F:$F,$L991,Eventos!$D:$D,$C$2,Eventos!$B:$B,PANES_SEMANALES[[#ALL],[SÁBADO]])</f>
        <v>0</v>
      </c>
      <c r="S991" s="59">
        <f>SUMIFS(Eventos!$G:$G,Eventos!$F:$F,$L991,Eventos!$D:$D,$C$2,Eventos!$B:$B,PANES_SEMANALES[[#ALL],[DOMINGO]])</f>
        <v>0</v>
      </c>
      <c r="T991" s="59">
        <f t="shared" si="1"/>
        <v>0</v>
      </c>
    </row>
    <row r="992" ht="22.5" customHeight="1">
      <c r="M992" s="59">
        <f>SUMIFS(Eventos!$G:$G,Eventos!$F:$F,$L992,Eventos!$D:$D,$C$2,Eventos!$B:$B,PANES_SEMANALES[[#ALL],[LUNES]])</f>
        <v>0</v>
      </c>
      <c r="N992" s="59">
        <f>SUMIFS(Eventos!$G:$G,Eventos!$F:$F,$L992,Eventos!$D:$D,$C$2,Eventos!$B:$B,PANES_SEMANALES[[#ALL],[MARTES]])</f>
        <v>0</v>
      </c>
      <c r="O992" s="59">
        <f>SUMIFS(Eventos!$G:$G,Eventos!$F:$F,$L992,Eventos!$D:$D,$C$2,Eventos!$B:$B,PANES_SEMANALES[[#ALL],[MIÉRCOLES]])</f>
        <v>0</v>
      </c>
      <c r="P992" s="59">
        <f>SUMIFS(Eventos!$G:$G,Eventos!$F:$F,$L992,Eventos!$D:$D,$C$2,Eventos!$B:$B,PANES_SEMANALES[[#ALL],[JUEVES]])</f>
        <v>0</v>
      </c>
      <c r="Q992" s="59">
        <f>IF(P992&lt;&gt;"",SUMIFS(Eventos!$G:$G,Eventos!$B:$B,Q$2,Eventos!$D:$D,$C$2,Eventos!$F:$F,$L992),"")</f>
        <v>0</v>
      </c>
      <c r="R992" s="59">
        <f>SUMIFS(Eventos!$G:$G,Eventos!$F:$F,$L992,Eventos!$D:$D,$C$2,Eventos!$B:$B,PANES_SEMANALES[[#ALL],[SÁBADO]])</f>
        <v>0</v>
      </c>
      <c r="S992" s="59">
        <f>SUMIFS(Eventos!$G:$G,Eventos!$F:$F,$L992,Eventos!$D:$D,$C$2,Eventos!$B:$B,PANES_SEMANALES[[#ALL],[DOMINGO]])</f>
        <v>0</v>
      </c>
      <c r="T992" s="59">
        <f t="shared" si="1"/>
        <v>0</v>
      </c>
    </row>
    <row r="993" ht="22.5" customHeight="1">
      <c r="M993" s="59">
        <f>SUMIFS(Eventos!$G:$G,Eventos!$F:$F,$L993,Eventos!$D:$D,$C$2,Eventos!$B:$B,PANES_SEMANALES[[#ALL],[LUNES]])</f>
        <v>0</v>
      </c>
      <c r="N993" s="59">
        <f>SUMIFS(Eventos!$G:$G,Eventos!$F:$F,$L993,Eventos!$D:$D,$C$2,Eventos!$B:$B,PANES_SEMANALES[[#ALL],[MARTES]])</f>
        <v>0</v>
      </c>
      <c r="O993" s="59">
        <f>SUMIFS(Eventos!$G:$G,Eventos!$F:$F,$L993,Eventos!$D:$D,$C$2,Eventos!$B:$B,PANES_SEMANALES[[#ALL],[MIÉRCOLES]])</f>
        <v>0</v>
      </c>
      <c r="P993" s="59">
        <f>SUMIFS(Eventos!$G:$G,Eventos!$F:$F,$L993,Eventos!$D:$D,$C$2,Eventos!$B:$B,PANES_SEMANALES[[#ALL],[JUEVES]])</f>
        <v>0</v>
      </c>
      <c r="Q993" s="59">
        <f>IF(P993&lt;&gt;"",SUMIFS(Eventos!$G:$G,Eventos!$B:$B,Q$2,Eventos!$D:$D,$C$2,Eventos!$F:$F,$L993),"")</f>
        <v>0</v>
      </c>
      <c r="R993" s="59">
        <f>SUMIFS(Eventos!$G:$G,Eventos!$F:$F,$L993,Eventos!$D:$D,$C$2,Eventos!$B:$B,PANES_SEMANALES[[#ALL],[SÁBADO]])</f>
        <v>0</v>
      </c>
      <c r="S993" s="59">
        <f>SUMIFS(Eventos!$G:$G,Eventos!$F:$F,$L993,Eventos!$D:$D,$C$2,Eventos!$B:$B,PANES_SEMANALES[[#ALL],[DOMINGO]])</f>
        <v>0</v>
      </c>
      <c r="T993" s="59">
        <f t="shared" si="1"/>
        <v>0</v>
      </c>
    </row>
    <row r="994" ht="22.5" customHeight="1">
      <c r="M994" s="59">
        <f>SUMIFS(Eventos!$G:$G,Eventos!$F:$F,$L994,Eventos!$D:$D,$C$2,Eventos!$B:$B,PANES_SEMANALES[[#ALL],[LUNES]])</f>
        <v>0</v>
      </c>
      <c r="N994" s="59">
        <f>SUMIFS(Eventos!$G:$G,Eventos!$F:$F,$L994,Eventos!$D:$D,$C$2,Eventos!$B:$B,PANES_SEMANALES[[#ALL],[MARTES]])</f>
        <v>0</v>
      </c>
      <c r="O994" s="59">
        <f>SUMIFS(Eventos!$G:$G,Eventos!$F:$F,$L994,Eventos!$D:$D,$C$2,Eventos!$B:$B,PANES_SEMANALES[[#ALL],[MIÉRCOLES]])</f>
        <v>0</v>
      </c>
      <c r="P994" s="59">
        <f>SUMIFS(Eventos!$G:$G,Eventos!$F:$F,$L994,Eventos!$D:$D,$C$2,Eventos!$B:$B,PANES_SEMANALES[[#ALL],[JUEVES]])</f>
        <v>0</v>
      </c>
      <c r="Q994" s="59">
        <f>IF(P994&lt;&gt;"",SUMIFS(Eventos!$G:$G,Eventos!$B:$B,Q$2,Eventos!$D:$D,$C$2,Eventos!$F:$F,$L994),"")</f>
        <v>0</v>
      </c>
      <c r="R994" s="59">
        <f>SUMIFS(Eventos!$G:$G,Eventos!$F:$F,$L994,Eventos!$D:$D,$C$2,Eventos!$B:$B,PANES_SEMANALES[[#ALL],[SÁBADO]])</f>
        <v>0</v>
      </c>
      <c r="S994" s="59">
        <f>SUMIFS(Eventos!$G:$G,Eventos!$F:$F,$L994,Eventos!$D:$D,$C$2,Eventos!$B:$B,PANES_SEMANALES[[#ALL],[DOMINGO]])</f>
        <v>0</v>
      </c>
      <c r="T994" s="59">
        <f t="shared" si="1"/>
        <v>0</v>
      </c>
    </row>
    <row r="995" ht="22.5" customHeight="1">
      <c r="M995" s="59">
        <f>SUMIFS(Eventos!$G:$G,Eventos!$F:$F,$L995,Eventos!$D:$D,$C$2,Eventos!$B:$B,PANES_SEMANALES[[#ALL],[LUNES]])</f>
        <v>0</v>
      </c>
      <c r="N995" s="59">
        <f>SUMIFS(Eventos!$G:$G,Eventos!$F:$F,$L995,Eventos!$D:$D,$C$2,Eventos!$B:$B,PANES_SEMANALES[[#ALL],[MARTES]])</f>
        <v>0</v>
      </c>
      <c r="O995" s="59">
        <f>SUMIFS(Eventos!$G:$G,Eventos!$F:$F,$L995,Eventos!$D:$D,$C$2,Eventos!$B:$B,PANES_SEMANALES[[#ALL],[MIÉRCOLES]])</f>
        <v>0</v>
      </c>
      <c r="P995" s="59">
        <f>SUMIFS(Eventos!$G:$G,Eventos!$F:$F,$L995,Eventos!$D:$D,$C$2,Eventos!$B:$B,PANES_SEMANALES[[#ALL],[JUEVES]])</f>
        <v>0</v>
      </c>
      <c r="Q995" s="59">
        <f>IF(P995&lt;&gt;"",SUMIFS(Eventos!$G:$G,Eventos!$B:$B,Q$2,Eventos!$D:$D,$C$2,Eventos!$F:$F,$L995),"")</f>
        <v>0</v>
      </c>
      <c r="R995" s="59">
        <f>SUMIFS(Eventos!$G:$G,Eventos!$F:$F,$L995,Eventos!$D:$D,$C$2,Eventos!$B:$B,PANES_SEMANALES[[#ALL],[SÁBADO]])</f>
        <v>0</v>
      </c>
      <c r="S995" s="59">
        <f>SUMIFS(Eventos!$G:$G,Eventos!$F:$F,$L995,Eventos!$D:$D,$C$2,Eventos!$B:$B,PANES_SEMANALES[[#ALL],[DOMINGO]])</f>
        <v>0</v>
      </c>
      <c r="T995" s="59">
        <f t="shared" si="1"/>
        <v>0</v>
      </c>
    </row>
    <row r="996" ht="22.5" customHeight="1">
      <c r="M996" s="59">
        <f>SUMIFS(Eventos!$G:$G,Eventos!$F:$F,$L996,Eventos!$D:$D,$C$2,Eventos!$B:$B,PANES_SEMANALES[[#ALL],[LUNES]])</f>
        <v>0</v>
      </c>
      <c r="N996" s="59">
        <f>SUMIFS(Eventos!$G:$G,Eventos!$F:$F,$L996,Eventos!$D:$D,$C$2,Eventos!$B:$B,PANES_SEMANALES[[#ALL],[MARTES]])</f>
        <v>0</v>
      </c>
      <c r="O996" s="59">
        <f>SUMIFS(Eventos!$G:$G,Eventos!$F:$F,$L996,Eventos!$D:$D,$C$2,Eventos!$B:$B,PANES_SEMANALES[[#ALL],[MIÉRCOLES]])</f>
        <v>0</v>
      </c>
      <c r="P996" s="59">
        <f>SUMIFS(Eventos!$G:$G,Eventos!$F:$F,$L996,Eventos!$D:$D,$C$2,Eventos!$B:$B,PANES_SEMANALES[[#ALL],[JUEVES]])</f>
        <v>0</v>
      </c>
      <c r="Q996" s="59">
        <f>IF(P996&lt;&gt;"",SUMIFS(Eventos!$G:$G,Eventos!$B:$B,Q$2,Eventos!$D:$D,$C$2,Eventos!$F:$F,$L996),"")</f>
        <v>0</v>
      </c>
      <c r="R996" s="59">
        <f>SUMIFS(Eventos!$G:$G,Eventos!$F:$F,$L996,Eventos!$D:$D,$C$2,Eventos!$B:$B,PANES_SEMANALES[[#ALL],[SÁBADO]])</f>
        <v>0</v>
      </c>
      <c r="S996" s="59">
        <f>SUMIFS(Eventos!$G:$G,Eventos!$F:$F,$L996,Eventos!$D:$D,$C$2,Eventos!$B:$B,PANES_SEMANALES[[#ALL],[DOMINGO]])</f>
        <v>0</v>
      </c>
      <c r="T996" s="59">
        <f t="shared" si="1"/>
        <v>0</v>
      </c>
    </row>
    <row r="997" ht="22.5" customHeight="1">
      <c r="M997" s="59">
        <f>SUMIFS(Eventos!$G:$G,Eventos!$F:$F,$L997,Eventos!$D:$D,$C$2,Eventos!$B:$B,PANES_SEMANALES[[#ALL],[LUNES]])</f>
        <v>0</v>
      </c>
      <c r="N997" s="59">
        <f>SUMIFS(Eventos!$G:$G,Eventos!$F:$F,$L997,Eventos!$D:$D,$C$2,Eventos!$B:$B,PANES_SEMANALES[[#ALL],[MARTES]])</f>
        <v>0</v>
      </c>
      <c r="O997" s="59">
        <f>SUMIFS(Eventos!$G:$G,Eventos!$F:$F,$L997,Eventos!$D:$D,$C$2,Eventos!$B:$B,PANES_SEMANALES[[#ALL],[MIÉRCOLES]])</f>
        <v>0</v>
      </c>
      <c r="P997" s="59">
        <f>SUMIFS(Eventos!$G:$G,Eventos!$F:$F,$L997,Eventos!$D:$D,$C$2,Eventos!$B:$B,PANES_SEMANALES[[#ALL],[JUEVES]])</f>
        <v>0</v>
      </c>
      <c r="Q997" s="59">
        <f>IF(P997&lt;&gt;"",SUMIFS(Eventos!$G:$G,Eventos!$B:$B,Q$2,Eventos!$D:$D,$C$2,Eventos!$F:$F,$L997),"")</f>
        <v>0</v>
      </c>
      <c r="R997" s="59">
        <f>SUMIFS(Eventos!$G:$G,Eventos!$F:$F,$L997,Eventos!$D:$D,$C$2,Eventos!$B:$B,PANES_SEMANALES[[#ALL],[SÁBADO]])</f>
        <v>0</v>
      </c>
      <c r="S997" s="59">
        <f>SUMIFS(Eventos!$G:$G,Eventos!$F:$F,$L997,Eventos!$D:$D,$C$2,Eventos!$B:$B,PANES_SEMANALES[[#ALL],[DOMINGO]])</f>
        <v>0</v>
      </c>
      <c r="T997" s="59">
        <f t="shared" si="1"/>
        <v>0</v>
      </c>
    </row>
    <row r="998" ht="22.5" customHeight="1">
      <c r="M998" s="59">
        <f>SUMIFS(Eventos!$G:$G,Eventos!$F:$F,$L998,Eventos!$D:$D,$C$2,Eventos!$B:$B,PANES_SEMANALES[[#ALL],[LUNES]])</f>
        <v>0</v>
      </c>
      <c r="N998" s="59">
        <f>SUMIFS(Eventos!$G:$G,Eventos!$F:$F,$L998,Eventos!$D:$D,$C$2,Eventos!$B:$B,PANES_SEMANALES[[#ALL],[MARTES]])</f>
        <v>0</v>
      </c>
      <c r="O998" s="59">
        <f>SUMIFS(Eventos!$G:$G,Eventos!$F:$F,$L998,Eventos!$D:$D,$C$2,Eventos!$B:$B,PANES_SEMANALES[[#ALL],[MIÉRCOLES]])</f>
        <v>0</v>
      </c>
      <c r="P998" s="59">
        <f>SUMIFS(Eventos!$G:$G,Eventos!$F:$F,$L998,Eventos!$D:$D,$C$2,Eventos!$B:$B,PANES_SEMANALES[[#ALL],[JUEVES]])</f>
        <v>0</v>
      </c>
      <c r="Q998" s="59">
        <f>IF(P998&lt;&gt;"",SUMIFS(Eventos!$G:$G,Eventos!$B:$B,Q$2,Eventos!$D:$D,$C$2,Eventos!$F:$F,$L998),"")</f>
        <v>0</v>
      </c>
      <c r="R998" s="59">
        <f>SUMIFS(Eventos!$G:$G,Eventos!$F:$F,$L998,Eventos!$D:$D,$C$2,Eventos!$B:$B,PANES_SEMANALES[[#ALL],[SÁBADO]])</f>
        <v>0</v>
      </c>
      <c r="S998" s="59">
        <f>SUMIFS(Eventos!$G:$G,Eventos!$F:$F,$L998,Eventos!$D:$D,$C$2,Eventos!$B:$B,PANES_SEMANALES[[#ALL],[DOMINGO]])</f>
        <v>0</v>
      </c>
      <c r="T998" s="59">
        <f t="shared" si="1"/>
        <v>0</v>
      </c>
    </row>
    <row r="999" ht="22.5" customHeight="1">
      <c r="M999" s="59">
        <f>SUMIFS(Eventos!$G:$G,Eventos!$F:$F,$L999,Eventos!$D:$D,$C$2,Eventos!$B:$B,PANES_SEMANALES[[#ALL],[LUNES]])</f>
        <v>0</v>
      </c>
      <c r="N999" s="59">
        <f>SUMIFS(Eventos!$G:$G,Eventos!$F:$F,$L999,Eventos!$D:$D,$C$2,Eventos!$B:$B,PANES_SEMANALES[[#ALL],[MARTES]])</f>
        <v>0</v>
      </c>
      <c r="O999" s="59">
        <f>SUMIFS(Eventos!$G:$G,Eventos!$F:$F,$L999,Eventos!$D:$D,$C$2,Eventos!$B:$B,PANES_SEMANALES[[#ALL],[MIÉRCOLES]])</f>
        <v>0</v>
      </c>
      <c r="P999" s="59">
        <f>SUMIFS(Eventos!$G:$G,Eventos!$F:$F,$L999,Eventos!$D:$D,$C$2,Eventos!$B:$B,PANES_SEMANALES[[#ALL],[JUEVES]])</f>
        <v>0</v>
      </c>
      <c r="Q999" s="59">
        <f>IF(P999&lt;&gt;"",SUMIFS(Eventos!$G:$G,Eventos!$B:$B,Q$2,Eventos!$D:$D,$C$2,Eventos!$F:$F,$L999),"")</f>
        <v>0</v>
      </c>
      <c r="R999" s="59">
        <f>SUMIFS(Eventos!$G:$G,Eventos!$F:$F,$L999,Eventos!$D:$D,$C$2,Eventos!$B:$B,PANES_SEMANALES[[#ALL],[SÁBADO]])</f>
        <v>0</v>
      </c>
      <c r="S999" s="59">
        <f>SUMIFS(Eventos!$G:$G,Eventos!$F:$F,$L999,Eventos!$D:$D,$C$2,Eventos!$B:$B,PANES_SEMANALES[[#ALL],[DOMINGO]])</f>
        <v>0</v>
      </c>
      <c r="T999" s="59">
        <f t="shared" si="1"/>
        <v>0</v>
      </c>
    </row>
    <row r="1000" ht="22.5" customHeight="1">
      <c r="M1000" s="59">
        <f>SUMIFS(Eventos!$G:$G,Eventos!$F:$F,$L1000,Eventos!$D:$D,$C$2,Eventos!$B:$B,PANES_SEMANALES[[#ALL],[LUNES]])</f>
        <v>0</v>
      </c>
      <c r="N1000" s="59">
        <f>SUMIFS(Eventos!$G:$G,Eventos!$F:$F,$L1000,Eventos!$D:$D,$C$2,Eventos!$B:$B,PANES_SEMANALES[[#ALL],[MARTES]])</f>
        <v>0</v>
      </c>
      <c r="O1000" s="59">
        <f>SUMIFS(Eventos!$G:$G,Eventos!$F:$F,$L1000,Eventos!$D:$D,$C$2,Eventos!$B:$B,PANES_SEMANALES[[#ALL],[MIÉRCOLES]])</f>
        <v>0</v>
      </c>
      <c r="P1000" s="59">
        <f>SUMIFS(Eventos!$G:$G,Eventos!$F:$F,$L1000,Eventos!$D:$D,$C$2,Eventos!$B:$B,PANES_SEMANALES[[#ALL],[JUEVES]])</f>
        <v>0</v>
      </c>
      <c r="Q1000" s="59">
        <f>IF(P1000&lt;&gt;"",SUMIFS(Eventos!$G:$G,Eventos!$B:$B,Q$2,Eventos!$D:$D,$C$2,Eventos!$F:$F,$L1000),"")</f>
        <v>0</v>
      </c>
      <c r="R1000" s="59">
        <f>SUMIFS(Eventos!$G:$G,Eventos!$F:$F,$L1000,Eventos!$D:$D,$C$2,Eventos!$B:$B,PANES_SEMANALES[[#ALL],[SÁBADO]])</f>
        <v>0</v>
      </c>
      <c r="S1000" s="59">
        <f>SUMIFS(Eventos!$G:$G,Eventos!$F:$F,$L1000,Eventos!$D:$D,$C$2,Eventos!$B:$B,PANES_SEMANALES[[#ALL],[DOMINGO]])</f>
        <v>0</v>
      </c>
      <c r="T1000" s="59">
        <f t="shared" si="1"/>
        <v>0</v>
      </c>
    </row>
    <row r="1001" ht="22.5" customHeight="1">
      <c r="M1001" s="59">
        <f>SUMIFS(Eventos!$G:$G,Eventos!$F:$F,$L1001,Eventos!$D:$D,$C$2,Eventos!$B:$B,PANES_SEMANALES[[#ALL],[LUNES]])</f>
        <v>0</v>
      </c>
      <c r="N1001" s="59">
        <f>SUMIFS(Eventos!$G:$G,Eventos!$F:$F,$L1001,Eventos!$D:$D,$C$2,Eventos!$B:$B,PANES_SEMANALES[[#ALL],[MARTES]])</f>
        <v>0</v>
      </c>
      <c r="O1001" s="59">
        <f>SUMIFS(Eventos!$G:$G,Eventos!$F:$F,$L1001,Eventos!$D:$D,$C$2,Eventos!$B:$B,PANES_SEMANALES[[#ALL],[MIÉRCOLES]])</f>
        <v>0</v>
      </c>
      <c r="P1001" s="59">
        <f>SUMIFS(Eventos!$G:$G,Eventos!$F:$F,$L1001,Eventos!$D:$D,$C$2,Eventos!$B:$B,PANES_SEMANALES[[#ALL],[JUEVES]])</f>
        <v>0</v>
      </c>
      <c r="Q1001" s="59">
        <f>IF(P1001&lt;&gt;"",SUMIFS(Eventos!$G:$G,Eventos!$B:$B,Q$2,Eventos!$D:$D,$C$2,Eventos!$F:$F,$L1001),"")</f>
        <v>0</v>
      </c>
      <c r="R1001" s="59">
        <f>SUMIFS(Eventos!$G:$G,Eventos!$F:$F,$L1001,Eventos!$D:$D,$C$2,Eventos!$B:$B,PANES_SEMANALES[[#ALL],[SÁBADO]])</f>
        <v>0</v>
      </c>
      <c r="S1001" s="59">
        <f>SUMIFS(Eventos!$G:$G,Eventos!$F:$F,$L1001,Eventos!$D:$D,$C$2,Eventos!$B:$B,PANES_SEMANALES[[#ALL],[DOMINGO]])</f>
        <v>0</v>
      </c>
      <c r="T1001" s="59">
        <f t="shared" si="1"/>
        <v>0</v>
      </c>
    </row>
    <row r="1002" ht="22.5" customHeight="1">
      <c r="M1002" s="59">
        <f>SUMIFS(Eventos!$G:$G,Eventos!$F:$F,$L1002,Eventos!$D:$D,$C$2,Eventos!$B:$B,PANES_SEMANALES[[#ALL],[LUNES]])</f>
        <v>0</v>
      </c>
      <c r="N1002" s="59">
        <f>SUMIFS(Eventos!$G:$G,Eventos!$F:$F,$L1002,Eventos!$D:$D,$C$2,Eventos!$B:$B,PANES_SEMANALES[[#ALL],[MARTES]])</f>
        <v>0</v>
      </c>
      <c r="O1002" s="59">
        <f>SUMIFS(Eventos!$G:$G,Eventos!$F:$F,$L1002,Eventos!$D:$D,$C$2,Eventos!$B:$B,PANES_SEMANALES[[#ALL],[MIÉRCOLES]])</f>
        <v>0</v>
      </c>
      <c r="P1002" s="59">
        <f>SUMIFS(Eventos!$G:$G,Eventos!$F:$F,$L1002,Eventos!$D:$D,$C$2,Eventos!$B:$B,PANES_SEMANALES[[#ALL],[JUEVES]])</f>
        <v>0</v>
      </c>
      <c r="Q1002" s="59">
        <f>IF(P1002&lt;&gt;"",SUMIFS(Eventos!$G:$G,Eventos!$B:$B,Q$2,Eventos!$D:$D,$C$2,Eventos!$F:$F,$L1002),"")</f>
        <v>0</v>
      </c>
      <c r="R1002" s="59">
        <f>SUMIFS(Eventos!$G:$G,Eventos!$F:$F,$L1002,Eventos!$D:$D,$C$2,Eventos!$B:$B,PANES_SEMANALES[[#ALL],[SÁBADO]])</f>
        <v>0</v>
      </c>
      <c r="S1002" s="59">
        <f>SUMIFS(Eventos!$G:$G,Eventos!$F:$F,$L1002,Eventos!$D:$D,$C$2,Eventos!$B:$B,PANES_SEMANALES[[#ALL],[DOMINGO]])</f>
        <v>0</v>
      </c>
      <c r="T1002" s="59">
        <f t="shared" si="1"/>
        <v>0</v>
      </c>
    </row>
    <row r="1003" ht="22.5" customHeight="1">
      <c r="M1003" s="59">
        <f>SUMIFS(Eventos!$G:$G,Eventos!$F:$F,$L1003,Eventos!$D:$D,$C$2,Eventos!$B:$B,PANES_SEMANALES[[#ALL],[LUNES]])</f>
        <v>0</v>
      </c>
      <c r="N1003" s="59">
        <f>SUMIFS(Eventos!$G:$G,Eventos!$F:$F,$L1003,Eventos!$D:$D,$C$2,Eventos!$B:$B,PANES_SEMANALES[[#ALL],[MARTES]])</f>
        <v>0</v>
      </c>
      <c r="O1003" s="59">
        <f>SUMIFS(Eventos!$G:$G,Eventos!$F:$F,$L1003,Eventos!$D:$D,$C$2,Eventos!$B:$B,PANES_SEMANALES[[#ALL],[MIÉRCOLES]])</f>
        <v>0</v>
      </c>
      <c r="P1003" s="59">
        <f>SUMIFS(Eventos!$G:$G,Eventos!$F:$F,$L1003,Eventos!$D:$D,$C$2,Eventos!$B:$B,PANES_SEMANALES[[#ALL],[JUEVES]])</f>
        <v>0</v>
      </c>
      <c r="Q1003" s="59">
        <f>IF(P1003&lt;&gt;"",SUMIFS(Eventos!$G:$G,Eventos!$B:$B,Q$2,Eventos!$D:$D,$C$2,Eventos!$F:$F,$L1003),"")</f>
        <v>0</v>
      </c>
      <c r="R1003" s="59">
        <f>SUMIFS(Eventos!$G:$G,Eventos!$F:$F,$L1003,Eventos!$D:$D,$C$2,Eventos!$B:$B,PANES_SEMANALES[[#ALL],[SÁBADO]])</f>
        <v>0</v>
      </c>
      <c r="S1003" s="59">
        <f>SUMIFS(Eventos!$G:$G,Eventos!$F:$F,$L1003,Eventos!$D:$D,$C$2,Eventos!$B:$B,PANES_SEMANALES[[#ALL],[DOMINGO]])</f>
        <v>0</v>
      </c>
      <c r="T1003" s="59">
        <f t="shared" si="1"/>
        <v>0</v>
      </c>
    </row>
    <row r="1004" ht="22.5" customHeight="1">
      <c r="M1004" s="59">
        <f>SUMIFS(Eventos!$G:$G,Eventos!$F:$F,$L1004,Eventos!$D:$D,$C$2,Eventos!$B:$B,PANES_SEMANALES[[#ALL],[LUNES]])</f>
        <v>0</v>
      </c>
      <c r="N1004" s="59">
        <f>SUMIFS(Eventos!$G:$G,Eventos!$F:$F,$L1004,Eventos!$D:$D,$C$2,Eventos!$B:$B,PANES_SEMANALES[[#ALL],[MARTES]])</f>
        <v>0</v>
      </c>
      <c r="O1004" s="59">
        <f>SUMIFS(Eventos!$G:$G,Eventos!$F:$F,$L1004,Eventos!$D:$D,$C$2,Eventos!$B:$B,PANES_SEMANALES[[#ALL],[MIÉRCOLES]])</f>
        <v>0</v>
      </c>
      <c r="P1004" s="59">
        <f>SUMIFS(Eventos!$G:$G,Eventos!$F:$F,$L1004,Eventos!$D:$D,$C$2,Eventos!$B:$B,PANES_SEMANALES[[#ALL],[JUEVES]])</f>
        <v>0</v>
      </c>
      <c r="Q1004" s="59">
        <f>IF(P1004&lt;&gt;"",SUMIFS(Eventos!$G:$G,Eventos!$B:$B,Q$2,Eventos!$D:$D,$C$2,Eventos!$F:$F,$L1004),"")</f>
        <v>0</v>
      </c>
      <c r="R1004" s="59">
        <f>SUMIFS(Eventos!$G:$G,Eventos!$F:$F,$L1004,Eventos!$D:$D,$C$2,Eventos!$B:$B,PANES_SEMANALES[[#ALL],[SÁBADO]])</f>
        <v>0</v>
      </c>
      <c r="S1004" s="59">
        <f>SUMIFS(Eventos!$G:$G,Eventos!$F:$F,$L1004,Eventos!$D:$D,$C$2,Eventos!$B:$B,PANES_SEMANALES[[#ALL],[DOMINGO]])</f>
        <v>0</v>
      </c>
      <c r="T1004" s="59">
        <f t="shared" si="1"/>
        <v>0</v>
      </c>
    </row>
    <row r="1005" ht="22.5" customHeight="1">
      <c r="M1005" s="59">
        <f>SUMIFS(Eventos!$G:$G,Eventos!$F:$F,$L1005,Eventos!$D:$D,$C$2,Eventos!$B:$B,PANES_SEMANALES[[#ALL],[LUNES]])</f>
        <v>0</v>
      </c>
      <c r="N1005" s="59">
        <f>SUMIFS(Eventos!$G:$G,Eventos!$F:$F,$L1005,Eventos!$D:$D,$C$2,Eventos!$B:$B,PANES_SEMANALES[[#ALL],[MARTES]])</f>
        <v>0</v>
      </c>
      <c r="O1005" s="59">
        <f>SUMIFS(Eventos!$G:$G,Eventos!$F:$F,$L1005,Eventos!$D:$D,$C$2,Eventos!$B:$B,PANES_SEMANALES[[#ALL],[MIÉRCOLES]])</f>
        <v>0</v>
      </c>
      <c r="P1005" s="59">
        <f>SUMIFS(Eventos!$G:$G,Eventos!$F:$F,$L1005,Eventos!$D:$D,$C$2,Eventos!$B:$B,PANES_SEMANALES[[#ALL],[JUEVES]])</f>
        <v>0</v>
      </c>
      <c r="Q1005" s="59">
        <f>IF(P1005&lt;&gt;"",SUMIFS(Eventos!$G:$G,Eventos!$B:$B,Q$2,Eventos!$D:$D,$C$2,Eventos!$F:$F,$L1005),"")</f>
        <v>0</v>
      </c>
      <c r="R1005" s="59">
        <f>SUMIFS(Eventos!$G:$G,Eventos!$F:$F,$L1005,Eventos!$D:$D,$C$2,Eventos!$B:$B,PANES_SEMANALES[[#ALL],[SÁBADO]])</f>
        <v>0</v>
      </c>
      <c r="S1005" s="59">
        <f>SUMIFS(Eventos!$G:$G,Eventos!$F:$F,$L1005,Eventos!$D:$D,$C$2,Eventos!$B:$B,PANES_SEMANALES[[#ALL],[DOMINGO]])</f>
        <v>0</v>
      </c>
      <c r="T1005" s="59">
        <f t="shared" si="1"/>
        <v>0</v>
      </c>
    </row>
    <row r="1006" ht="22.5" customHeight="1">
      <c r="M1006" s="59">
        <f>SUMIFS(Eventos!$G:$G,Eventos!$F:$F,$L1006,Eventos!$D:$D,$C$2,Eventos!$B:$B,PANES_SEMANALES[[#ALL],[LUNES]])</f>
        <v>0</v>
      </c>
      <c r="N1006" s="59">
        <f>SUMIFS(Eventos!$G:$G,Eventos!$F:$F,$L1006,Eventos!$D:$D,$C$2,Eventos!$B:$B,PANES_SEMANALES[[#ALL],[MARTES]])</f>
        <v>0</v>
      </c>
      <c r="O1006" s="59">
        <f>SUMIFS(Eventos!$G:$G,Eventos!$F:$F,$L1006,Eventos!$D:$D,$C$2,Eventos!$B:$B,PANES_SEMANALES[[#ALL],[MIÉRCOLES]])</f>
        <v>0</v>
      </c>
      <c r="P1006" s="59">
        <f>SUMIFS(Eventos!$G:$G,Eventos!$F:$F,$L1006,Eventos!$D:$D,$C$2,Eventos!$B:$B,PANES_SEMANALES[[#ALL],[JUEVES]])</f>
        <v>0</v>
      </c>
      <c r="Q1006" s="59">
        <f>IF(P1006&lt;&gt;"",SUMIFS(Eventos!$G:$G,Eventos!$B:$B,Q$2,Eventos!$D:$D,$C$2,Eventos!$F:$F,$L1006),"")</f>
        <v>0</v>
      </c>
      <c r="R1006" s="59">
        <f>SUMIFS(Eventos!$G:$G,Eventos!$F:$F,$L1006,Eventos!$D:$D,$C$2,Eventos!$B:$B,PANES_SEMANALES[[#ALL],[SÁBADO]])</f>
        <v>0</v>
      </c>
      <c r="S1006" s="59">
        <f>SUMIFS(Eventos!$G:$G,Eventos!$F:$F,$L1006,Eventos!$D:$D,$C$2,Eventos!$B:$B,PANES_SEMANALES[[#ALL],[DOMINGO]])</f>
        <v>0</v>
      </c>
      <c r="T1006" s="59">
        <f t="shared" si="1"/>
        <v>0</v>
      </c>
    </row>
    <row r="1007" ht="22.5" customHeight="1">
      <c r="M1007" s="59">
        <f>SUMIFS(Eventos!$G:$G,Eventos!$F:$F,$L1007,Eventos!$D:$D,$C$2,Eventos!$B:$B,PANES_SEMANALES[[#ALL],[LUNES]])</f>
        <v>0</v>
      </c>
      <c r="N1007" s="59">
        <f>SUMIFS(Eventos!$G:$G,Eventos!$F:$F,$L1007,Eventos!$D:$D,$C$2,Eventos!$B:$B,PANES_SEMANALES[[#ALL],[MARTES]])</f>
        <v>0</v>
      </c>
      <c r="O1007" s="59">
        <f>SUMIFS(Eventos!$G:$G,Eventos!$F:$F,$L1007,Eventos!$D:$D,$C$2,Eventos!$B:$B,PANES_SEMANALES[[#ALL],[MIÉRCOLES]])</f>
        <v>0</v>
      </c>
      <c r="P1007" s="59">
        <f>SUMIFS(Eventos!$G:$G,Eventos!$F:$F,$L1007,Eventos!$D:$D,$C$2,Eventos!$B:$B,PANES_SEMANALES[[#ALL],[JUEVES]])</f>
        <v>0</v>
      </c>
      <c r="Q1007" s="59">
        <f>IF(P1007&lt;&gt;"",SUMIFS(Eventos!$G:$G,Eventos!$B:$B,Q$2,Eventos!$D:$D,$C$2,Eventos!$F:$F,$L1007),"")</f>
        <v>0</v>
      </c>
      <c r="R1007" s="59">
        <f>SUMIFS(Eventos!$G:$G,Eventos!$F:$F,$L1007,Eventos!$D:$D,$C$2,Eventos!$B:$B,PANES_SEMANALES[[#ALL],[SÁBADO]])</f>
        <v>0</v>
      </c>
      <c r="S1007" s="59">
        <f>SUMIFS(Eventos!$G:$G,Eventos!$F:$F,$L1007,Eventos!$D:$D,$C$2,Eventos!$B:$B,PANES_SEMANALES[[#ALL],[DOMINGO]])</f>
        <v>0</v>
      </c>
      <c r="T1007" s="59">
        <f t="shared" si="1"/>
        <v>0</v>
      </c>
    </row>
    <row r="1008" ht="22.5" customHeight="1">
      <c r="M1008" s="59">
        <f>SUMIFS(Eventos!$G:$G,Eventos!$F:$F,$L1008,Eventos!$D:$D,$C$2,Eventos!$B:$B,PANES_SEMANALES[[#ALL],[LUNES]])</f>
        <v>0</v>
      </c>
      <c r="N1008" s="59">
        <f>SUMIFS(Eventos!$G:$G,Eventos!$F:$F,$L1008,Eventos!$D:$D,$C$2,Eventos!$B:$B,PANES_SEMANALES[[#ALL],[MARTES]])</f>
        <v>0</v>
      </c>
      <c r="O1008" s="59">
        <f>SUMIFS(Eventos!$G:$G,Eventos!$F:$F,$L1008,Eventos!$D:$D,$C$2,Eventos!$B:$B,PANES_SEMANALES[[#ALL],[MIÉRCOLES]])</f>
        <v>0</v>
      </c>
      <c r="P1008" s="59">
        <f>SUMIFS(Eventos!$G:$G,Eventos!$F:$F,$L1008,Eventos!$D:$D,$C$2,Eventos!$B:$B,PANES_SEMANALES[[#ALL],[JUEVES]])</f>
        <v>0</v>
      </c>
      <c r="Q1008" s="59">
        <f>IF(P1008&lt;&gt;"",SUMIFS(Eventos!$G:$G,Eventos!$B:$B,Q$2,Eventos!$D:$D,$C$2,Eventos!$F:$F,$L1008),"")</f>
        <v>0</v>
      </c>
      <c r="R1008" s="59">
        <f>SUMIFS(Eventos!$G:$G,Eventos!$F:$F,$L1008,Eventos!$D:$D,$C$2,Eventos!$B:$B,PANES_SEMANALES[[#ALL],[SÁBADO]])</f>
        <v>0</v>
      </c>
      <c r="S1008" s="59">
        <f>SUMIFS(Eventos!$G:$G,Eventos!$F:$F,$L1008,Eventos!$D:$D,$C$2,Eventos!$B:$B,PANES_SEMANALES[[#ALL],[DOMINGO]])</f>
        <v>0</v>
      </c>
      <c r="T1008" s="59">
        <f t="shared" si="1"/>
        <v>0</v>
      </c>
    </row>
    <row r="1009" ht="22.5" customHeight="1">
      <c r="M1009" s="59">
        <f>SUMIFS(Eventos!$G:$G,Eventos!$F:$F,$L1009,Eventos!$D:$D,$C$2,Eventos!$B:$B,PANES_SEMANALES[[#ALL],[LUNES]])</f>
        <v>0</v>
      </c>
      <c r="N1009" s="59">
        <f>SUMIFS(Eventos!$G:$G,Eventos!$F:$F,$L1009,Eventos!$D:$D,$C$2,Eventos!$B:$B,PANES_SEMANALES[[#ALL],[MARTES]])</f>
        <v>0</v>
      </c>
      <c r="O1009" s="59">
        <f>SUMIFS(Eventos!$G:$G,Eventos!$F:$F,$L1009,Eventos!$D:$D,$C$2,Eventos!$B:$B,PANES_SEMANALES[[#ALL],[MIÉRCOLES]])</f>
        <v>0</v>
      </c>
      <c r="P1009" s="59">
        <f>SUMIFS(Eventos!$G:$G,Eventos!$F:$F,$L1009,Eventos!$D:$D,$C$2,Eventos!$B:$B,PANES_SEMANALES[[#ALL],[JUEVES]])</f>
        <v>0</v>
      </c>
      <c r="Q1009" s="59">
        <f>IF(P1009&lt;&gt;"",SUMIFS(Eventos!$G:$G,Eventos!$B:$B,Q$2,Eventos!$D:$D,$C$2,Eventos!$F:$F,$L1009),"")</f>
        <v>0</v>
      </c>
      <c r="R1009" s="59">
        <f>SUMIFS(Eventos!$G:$G,Eventos!$F:$F,$L1009,Eventos!$D:$D,$C$2,Eventos!$B:$B,PANES_SEMANALES[[#ALL],[SÁBADO]])</f>
        <v>0</v>
      </c>
      <c r="S1009" s="59">
        <f>SUMIFS(Eventos!$G:$G,Eventos!$F:$F,$L1009,Eventos!$D:$D,$C$2,Eventos!$B:$B,PANES_SEMANALES[[#ALL],[DOMINGO]])</f>
        <v>0</v>
      </c>
      <c r="T1009" s="59">
        <f t="shared" si="1"/>
        <v>0</v>
      </c>
    </row>
    <row r="1010" ht="22.5" customHeight="1">
      <c r="M1010" s="59">
        <f>SUMIFS(Eventos!$G:$G,Eventos!$F:$F,$L1010,Eventos!$D:$D,$C$2,Eventos!$B:$B,PANES_SEMANALES[[#ALL],[LUNES]])</f>
        <v>0</v>
      </c>
      <c r="N1010" s="59">
        <f>SUMIFS(Eventos!$G:$G,Eventos!$F:$F,$L1010,Eventos!$D:$D,$C$2,Eventos!$B:$B,PANES_SEMANALES[[#ALL],[MARTES]])</f>
        <v>0</v>
      </c>
      <c r="O1010" s="59">
        <f>SUMIFS(Eventos!$G:$G,Eventos!$F:$F,$L1010,Eventos!$D:$D,$C$2,Eventos!$B:$B,PANES_SEMANALES[[#ALL],[MIÉRCOLES]])</f>
        <v>0</v>
      </c>
      <c r="P1010" s="59">
        <f>SUMIFS(Eventos!$G:$G,Eventos!$F:$F,$L1010,Eventos!$D:$D,$C$2,Eventos!$B:$B,PANES_SEMANALES[[#ALL],[JUEVES]])</f>
        <v>0</v>
      </c>
      <c r="Q1010" s="59">
        <f>IF(P1010&lt;&gt;"",SUMIFS(Eventos!$G:$G,Eventos!$B:$B,Q$2,Eventos!$D:$D,$C$2,Eventos!$F:$F,$L1010),"")</f>
        <v>0</v>
      </c>
      <c r="R1010" s="59">
        <f>SUMIFS(Eventos!$G:$G,Eventos!$F:$F,$L1010,Eventos!$D:$D,$C$2,Eventos!$B:$B,PANES_SEMANALES[[#ALL],[SÁBADO]])</f>
        <v>0</v>
      </c>
      <c r="S1010" s="59">
        <f>SUMIFS(Eventos!$G:$G,Eventos!$F:$F,$L1010,Eventos!$D:$D,$C$2,Eventos!$B:$B,PANES_SEMANALES[[#ALL],[DOMINGO]])</f>
        <v>0</v>
      </c>
      <c r="T1010" s="59">
        <f t="shared" si="1"/>
        <v>0</v>
      </c>
    </row>
    <row r="1011" ht="22.5" customHeight="1">
      <c r="M1011" s="59">
        <f>SUMIFS(Eventos!$G:$G,Eventos!$F:$F,$L1011,Eventos!$D:$D,$C$2,Eventos!$B:$B,PANES_SEMANALES[[#ALL],[LUNES]])</f>
        <v>0</v>
      </c>
      <c r="N1011" s="59">
        <f>SUMIFS(Eventos!$G:$G,Eventos!$F:$F,$L1011,Eventos!$D:$D,$C$2,Eventos!$B:$B,PANES_SEMANALES[[#ALL],[MARTES]])</f>
        <v>0</v>
      </c>
      <c r="O1011" s="59">
        <f>SUMIFS(Eventos!$G:$G,Eventos!$F:$F,$L1011,Eventos!$D:$D,$C$2,Eventos!$B:$B,PANES_SEMANALES[[#ALL],[MIÉRCOLES]])</f>
        <v>0</v>
      </c>
      <c r="P1011" s="59">
        <f>SUMIFS(Eventos!$G:$G,Eventos!$F:$F,$L1011,Eventos!$D:$D,$C$2,Eventos!$B:$B,PANES_SEMANALES[[#ALL],[JUEVES]])</f>
        <v>0</v>
      </c>
      <c r="Q1011" s="59">
        <f>IF(P1011&lt;&gt;"",SUMIFS(Eventos!$G:$G,Eventos!$B:$B,Q$2,Eventos!$D:$D,$C$2,Eventos!$F:$F,$L1011),"")</f>
        <v>0</v>
      </c>
      <c r="R1011" s="59">
        <f>SUMIFS(Eventos!$G:$G,Eventos!$F:$F,$L1011,Eventos!$D:$D,$C$2,Eventos!$B:$B,PANES_SEMANALES[[#ALL],[SÁBADO]])</f>
        <v>0</v>
      </c>
      <c r="S1011" s="59">
        <f>SUMIFS(Eventos!$G:$G,Eventos!$F:$F,$L1011,Eventos!$D:$D,$C$2,Eventos!$B:$B,PANES_SEMANALES[[#ALL],[DOMINGO]])</f>
        <v>0</v>
      </c>
      <c r="T1011" s="59">
        <f t="shared" si="1"/>
        <v>0</v>
      </c>
    </row>
    <row r="1012" ht="22.5" customHeight="1">
      <c r="M1012" s="59">
        <f>SUMIFS(Eventos!$G:$G,Eventos!$F:$F,$L1012,Eventos!$D:$D,$C$2,Eventos!$B:$B,PANES_SEMANALES[[#ALL],[LUNES]])</f>
        <v>0</v>
      </c>
      <c r="N1012" s="59">
        <f>SUMIFS(Eventos!$G:$G,Eventos!$F:$F,$L1012,Eventos!$D:$D,$C$2,Eventos!$B:$B,PANES_SEMANALES[[#ALL],[MARTES]])</f>
        <v>0</v>
      </c>
      <c r="O1012" s="59">
        <f>SUMIFS(Eventos!$G:$G,Eventos!$F:$F,$L1012,Eventos!$D:$D,$C$2,Eventos!$B:$B,PANES_SEMANALES[[#ALL],[MIÉRCOLES]])</f>
        <v>0</v>
      </c>
      <c r="P1012" s="59">
        <f>SUMIFS(Eventos!$G:$G,Eventos!$F:$F,$L1012,Eventos!$D:$D,$C$2,Eventos!$B:$B,PANES_SEMANALES[[#ALL],[JUEVES]])</f>
        <v>0</v>
      </c>
      <c r="Q1012" s="59">
        <f>IF(P1012&lt;&gt;"",SUMIFS(Eventos!$G:$G,Eventos!$B:$B,Q$2,Eventos!$D:$D,$C$2,Eventos!$F:$F,$L1012),"")</f>
        <v>0</v>
      </c>
      <c r="R1012" s="59">
        <f>SUMIFS(Eventos!$G:$G,Eventos!$F:$F,$L1012,Eventos!$D:$D,$C$2,Eventos!$B:$B,PANES_SEMANALES[[#ALL],[SÁBADO]])</f>
        <v>0</v>
      </c>
      <c r="S1012" s="59">
        <f>SUMIFS(Eventos!$G:$G,Eventos!$F:$F,$L1012,Eventos!$D:$D,$C$2,Eventos!$B:$B,PANES_SEMANALES[[#ALL],[DOMINGO]])</f>
        <v>0</v>
      </c>
      <c r="T1012" s="59">
        <f t="shared" si="1"/>
        <v>0</v>
      </c>
    </row>
    <row r="1013" ht="22.5" customHeight="1">
      <c r="M1013" s="59">
        <f>SUMIFS(Eventos!$G:$G,Eventos!$F:$F,$L1013,Eventos!$D:$D,$C$2,Eventos!$B:$B,PANES_SEMANALES[[#ALL],[LUNES]])</f>
        <v>0</v>
      </c>
      <c r="N1013" s="59">
        <f>SUMIFS(Eventos!$G:$G,Eventos!$F:$F,$L1013,Eventos!$D:$D,$C$2,Eventos!$B:$B,PANES_SEMANALES[[#ALL],[MARTES]])</f>
        <v>0</v>
      </c>
      <c r="O1013" s="59">
        <f>SUMIFS(Eventos!$G:$G,Eventos!$F:$F,$L1013,Eventos!$D:$D,$C$2,Eventos!$B:$B,PANES_SEMANALES[[#ALL],[MIÉRCOLES]])</f>
        <v>0</v>
      </c>
      <c r="P1013" s="59">
        <f>SUMIFS(Eventos!$G:$G,Eventos!$F:$F,$L1013,Eventos!$D:$D,$C$2,Eventos!$B:$B,PANES_SEMANALES[[#ALL],[JUEVES]])</f>
        <v>0</v>
      </c>
      <c r="Q1013" s="59">
        <f>IF(P1013&lt;&gt;"",SUMIFS(Eventos!$G:$G,Eventos!$B:$B,Q$2,Eventos!$D:$D,$C$2,Eventos!$F:$F,$L1013),"")</f>
        <v>0</v>
      </c>
      <c r="R1013" s="59">
        <f>SUMIFS(Eventos!$G:$G,Eventos!$F:$F,$L1013,Eventos!$D:$D,$C$2,Eventos!$B:$B,PANES_SEMANALES[[#ALL],[SÁBADO]])</f>
        <v>0</v>
      </c>
      <c r="S1013" s="59">
        <f>SUMIFS(Eventos!$G:$G,Eventos!$F:$F,$L1013,Eventos!$D:$D,$C$2,Eventos!$B:$B,PANES_SEMANALES[[#ALL],[DOMINGO]])</f>
        <v>0</v>
      </c>
      <c r="T1013" s="59">
        <f t="shared" si="1"/>
        <v>0</v>
      </c>
    </row>
    <row r="1014" ht="22.5" customHeight="1">
      <c r="M1014" s="59">
        <f>SUMIFS(Eventos!$G:$G,Eventos!$F:$F,$L1014,Eventos!$D:$D,$C$2,Eventos!$B:$B,PANES_SEMANALES[[#ALL],[LUNES]])</f>
        <v>0</v>
      </c>
      <c r="N1014" s="59">
        <f>SUMIFS(Eventos!$G:$G,Eventos!$F:$F,$L1014,Eventos!$D:$D,$C$2,Eventos!$B:$B,PANES_SEMANALES[[#ALL],[MARTES]])</f>
        <v>0</v>
      </c>
      <c r="O1014" s="59">
        <f>SUMIFS(Eventos!$G:$G,Eventos!$F:$F,$L1014,Eventos!$D:$D,$C$2,Eventos!$B:$B,PANES_SEMANALES[[#ALL],[MIÉRCOLES]])</f>
        <v>0</v>
      </c>
      <c r="P1014" s="59">
        <f>SUMIFS(Eventos!$G:$G,Eventos!$F:$F,$L1014,Eventos!$D:$D,$C$2,Eventos!$B:$B,PANES_SEMANALES[[#ALL],[JUEVES]])</f>
        <v>0</v>
      </c>
      <c r="Q1014" s="59">
        <f>IF(P1014&lt;&gt;"",SUMIFS(Eventos!$G:$G,Eventos!$B:$B,Q$2,Eventos!$D:$D,$C$2,Eventos!$F:$F,$L1014),"")</f>
        <v>0</v>
      </c>
      <c r="R1014" s="59">
        <f>SUMIFS(Eventos!$G:$G,Eventos!$F:$F,$L1014,Eventos!$D:$D,$C$2,Eventos!$B:$B,PANES_SEMANALES[[#ALL],[SÁBADO]])</f>
        <v>0</v>
      </c>
      <c r="S1014" s="59">
        <f>SUMIFS(Eventos!$G:$G,Eventos!$F:$F,$L1014,Eventos!$D:$D,$C$2,Eventos!$B:$B,PANES_SEMANALES[[#ALL],[DOMINGO]])</f>
        <v>0</v>
      </c>
      <c r="T1014" s="59">
        <f t="shared" si="1"/>
        <v>0</v>
      </c>
    </row>
    <row r="1015" ht="22.5" customHeight="1">
      <c r="M1015" s="59">
        <f>SUMIFS(Eventos!$G:$G,Eventos!$F:$F,$L1015,Eventos!$D:$D,$C$2,Eventos!$B:$B,PANES_SEMANALES[[#ALL],[LUNES]])</f>
        <v>0</v>
      </c>
      <c r="N1015" s="59">
        <f>SUMIFS(Eventos!$G:$G,Eventos!$F:$F,$L1015,Eventos!$D:$D,$C$2,Eventos!$B:$B,PANES_SEMANALES[[#ALL],[MARTES]])</f>
        <v>0</v>
      </c>
      <c r="O1015" s="59">
        <f>SUMIFS(Eventos!$G:$G,Eventos!$F:$F,$L1015,Eventos!$D:$D,$C$2,Eventos!$B:$B,PANES_SEMANALES[[#ALL],[MIÉRCOLES]])</f>
        <v>0</v>
      </c>
      <c r="P1015" s="59">
        <f>SUMIFS(Eventos!$G:$G,Eventos!$F:$F,$L1015,Eventos!$D:$D,$C$2,Eventos!$B:$B,PANES_SEMANALES[[#ALL],[JUEVES]])</f>
        <v>0</v>
      </c>
      <c r="Q1015" s="59">
        <f>IF(P1015&lt;&gt;"",SUMIFS(Eventos!$G:$G,Eventos!$B:$B,Q$2,Eventos!$D:$D,$C$2,Eventos!$F:$F,$L1015),"")</f>
        <v>0</v>
      </c>
      <c r="R1015" s="59">
        <f>SUMIFS(Eventos!$G:$G,Eventos!$F:$F,$L1015,Eventos!$D:$D,$C$2,Eventos!$B:$B,PANES_SEMANALES[[#ALL],[SÁBADO]])</f>
        <v>0</v>
      </c>
      <c r="S1015" s="59">
        <f>SUMIFS(Eventos!$G:$G,Eventos!$F:$F,$L1015,Eventos!$D:$D,$C$2,Eventos!$B:$B,PANES_SEMANALES[[#ALL],[DOMINGO]])</f>
        <v>0</v>
      </c>
      <c r="T1015" s="59">
        <f t="shared" si="1"/>
        <v>0</v>
      </c>
    </row>
    <row r="1016" ht="22.5" customHeight="1">
      <c r="M1016" s="59">
        <f>SUMIFS(Eventos!$G:$G,Eventos!$F:$F,$L1016,Eventos!$D:$D,$C$2,Eventos!$B:$B,PANES_SEMANALES[[#ALL],[LUNES]])</f>
        <v>0</v>
      </c>
      <c r="N1016" s="59">
        <f>SUMIFS(Eventos!$G:$G,Eventos!$F:$F,$L1016,Eventos!$D:$D,$C$2,Eventos!$B:$B,PANES_SEMANALES[[#ALL],[MARTES]])</f>
        <v>0</v>
      </c>
      <c r="O1016" s="59">
        <f>SUMIFS(Eventos!$G:$G,Eventos!$F:$F,$L1016,Eventos!$D:$D,$C$2,Eventos!$B:$B,PANES_SEMANALES[[#ALL],[MIÉRCOLES]])</f>
        <v>0</v>
      </c>
      <c r="P1016" s="59">
        <f>SUMIFS(Eventos!$G:$G,Eventos!$F:$F,$L1016,Eventos!$D:$D,$C$2,Eventos!$B:$B,PANES_SEMANALES[[#ALL],[JUEVES]])</f>
        <v>0</v>
      </c>
      <c r="Q1016" s="59">
        <f>IF(P1016&lt;&gt;"",SUMIFS(Eventos!$G:$G,Eventos!$B:$B,Q$2,Eventos!$D:$D,$C$2,Eventos!$F:$F,$L1016),"")</f>
        <v>0</v>
      </c>
      <c r="R1016" s="59">
        <f>SUMIFS(Eventos!$G:$G,Eventos!$F:$F,$L1016,Eventos!$D:$D,$C$2,Eventos!$B:$B,PANES_SEMANALES[[#ALL],[SÁBADO]])</f>
        <v>0</v>
      </c>
      <c r="S1016" s="59">
        <f>SUMIFS(Eventos!$G:$G,Eventos!$F:$F,$L1016,Eventos!$D:$D,$C$2,Eventos!$B:$B,PANES_SEMANALES[[#ALL],[DOMINGO]])</f>
        <v>0</v>
      </c>
      <c r="T1016" s="59">
        <f t="shared" si="1"/>
        <v>0</v>
      </c>
    </row>
    <row r="1017" ht="22.5" customHeight="1">
      <c r="M1017" s="59">
        <f>SUMIFS(Eventos!$G:$G,Eventos!$F:$F,$L1017,Eventos!$D:$D,$C$2,Eventos!$B:$B,PANES_SEMANALES[[#ALL],[LUNES]])</f>
        <v>0</v>
      </c>
      <c r="N1017" s="59">
        <f>SUMIFS(Eventos!$G:$G,Eventos!$F:$F,$L1017,Eventos!$D:$D,$C$2,Eventos!$B:$B,PANES_SEMANALES[[#ALL],[MARTES]])</f>
        <v>0</v>
      </c>
      <c r="O1017" s="59">
        <f>SUMIFS(Eventos!$G:$G,Eventos!$F:$F,$L1017,Eventos!$D:$D,$C$2,Eventos!$B:$B,PANES_SEMANALES[[#ALL],[MIÉRCOLES]])</f>
        <v>0</v>
      </c>
      <c r="P1017" s="59">
        <f>SUMIFS(Eventos!$G:$G,Eventos!$F:$F,$L1017,Eventos!$D:$D,$C$2,Eventos!$B:$B,PANES_SEMANALES[[#ALL],[JUEVES]])</f>
        <v>0</v>
      </c>
      <c r="Q1017" s="59">
        <f>IF(P1017&lt;&gt;"",SUMIFS(Eventos!$G:$G,Eventos!$B:$B,Q$2,Eventos!$D:$D,$C$2,Eventos!$F:$F,$L1017),"")</f>
        <v>0</v>
      </c>
      <c r="R1017" s="59">
        <f>SUMIFS(Eventos!$G:$G,Eventos!$F:$F,$L1017,Eventos!$D:$D,$C$2,Eventos!$B:$B,PANES_SEMANALES[[#ALL],[SÁBADO]])</f>
        <v>0</v>
      </c>
      <c r="S1017" s="59">
        <f>SUMIFS(Eventos!$G:$G,Eventos!$F:$F,$L1017,Eventos!$D:$D,$C$2,Eventos!$B:$B,PANES_SEMANALES[[#ALL],[DOMINGO]])</f>
        <v>0</v>
      </c>
      <c r="T1017" s="59">
        <f t="shared" si="1"/>
        <v>0</v>
      </c>
    </row>
    <row r="1018" ht="22.5" customHeight="1">
      <c r="M1018" s="59">
        <f>SUMIFS(Eventos!$G:$G,Eventos!$F:$F,$L1018,Eventos!$D:$D,$C$2,Eventos!$B:$B,PANES_SEMANALES[[#ALL],[LUNES]])</f>
        <v>0</v>
      </c>
      <c r="N1018" s="59">
        <f>SUMIFS(Eventos!$G:$G,Eventos!$F:$F,$L1018,Eventos!$D:$D,$C$2,Eventos!$B:$B,PANES_SEMANALES[[#ALL],[MARTES]])</f>
        <v>0</v>
      </c>
      <c r="O1018" s="59">
        <f>SUMIFS(Eventos!$G:$G,Eventos!$F:$F,$L1018,Eventos!$D:$D,$C$2,Eventos!$B:$B,PANES_SEMANALES[[#ALL],[MIÉRCOLES]])</f>
        <v>0</v>
      </c>
      <c r="P1018" s="59">
        <f>SUMIFS(Eventos!$G:$G,Eventos!$F:$F,$L1018,Eventos!$D:$D,$C$2,Eventos!$B:$B,PANES_SEMANALES[[#ALL],[JUEVES]])</f>
        <v>0</v>
      </c>
      <c r="Q1018" s="59">
        <f>IF(P1018&lt;&gt;"",SUMIFS(Eventos!$G:$G,Eventos!$B:$B,Q$2,Eventos!$D:$D,$C$2,Eventos!$F:$F,$L1018),"")</f>
        <v>0</v>
      </c>
      <c r="R1018" s="59">
        <f>SUMIFS(Eventos!$G:$G,Eventos!$F:$F,$L1018,Eventos!$D:$D,$C$2,Eventos!$B:$B,PANES_SEMANALES[[#ALL],[SÁBADO]])</f>
        <v>0</v>
      </c>
      <c r="S1018" s="59">
        <f>SUMIFS(Eventos!$G:$G,Eventos!$F:$F,$L1018,Eventos!$D:$D,$C$2,Eventos!$B:$B,PANES_SEMANALES[[#ALL],[DOMINGO]])</f>
        <v>0</v>
      </c>
      <c r="T1018" s="59">
        <f t="shared" si="1"/>
        <v>0</v>
      </c>
    </row>
    <row r="1019" ht="22.5" customHeight="1">
      <c r="M1019" s="59">
        <f>SUMIFS(Eventos!$G:$G,Eventos!$F:$F,$L1019,Eventos!$D:$D,$C$2,Eventos!$B:$B,PANES_SEMANALES[[#ALL],[LUNES]])</f>
        <v>0</v>
      </c>
      <c r="N1019" s="59">
        <f>SUMIFS(Eventos!$G:$G,Eventos!$F:$F,$L1019,Eventos!$D:$D,$C$2,Eventos!$B:$B,PANES_SEMANALES[[#ALL],[MARTES]])</f>
        <v>0</v>
      </c>
      <c r="O1019" s="59">
        <f>SUMIFS(Eventos!$G:$G,Eventos!$F:$F,$L1019,Eventos!$D:$D,$C$2,Eventos!$B:$B,PANES_SEMANALES[[#ALL],[MIÉRCOLES]])</f>
        <v>0</v>
      </c>
      <c r="P1019" s="59">
        <f>SUMIFS(Eventos!$G:$G,Eventos!$F:$F,$L1019,Eventos!$D:$D,$C$2,Eventos!$B:$B,PANES_SEMANALES[[#ALL],[JUEVES]])</f>
        <v>0</v>
      </c>
      <c r="Q1019" s="59">
        <f>IF(P1019&lt;&gt;"",SUMIFS(Eventos!$G:$G,Eventos!$B:$B,Q$2,Eventos!$D:$D,$C$2,Eventos!$F:$F,$L1019),"")</f>
        <v>0</v>
      </c>
      <c r="R1019" s="59">
        <f>SUMIFS(Eventos!$G:$G,Eventos!$F:$F,$L1019,Eventos!$D:$D,$C$2,Eventos!$B:$B,PANES_SEMANALES[[#ALL],[SÁBADO]])</f>
        <v>0</v>
      </c>
      <c r="S1019" s="59">
        <f>SUMIFS(Eventos!$G:$G,Eventos!$F:$F,$L1019,Eventos!$D:$D,$C$2,Eventos!$B:$B,PANES_SEMANALES[[#ALL],[DOMINGO]])</f>
        <v>0</v>
      </c>
      <c r="T1019" s="59">
        <f t="shared" si="1"/>
        <v>0</v>
      </c>
    </row>
    <row r="1020" ht="22.5" customHeight="1">
      <c r="M1020" s="59">
        <f>SUMIFS(Eventos!$G:$G,Eventos!$F:$F,$L1020,Eventos!$D:$D,$C$2,Eventos!$B:$B,PANES_SEMANALES[[#ALL],[LUNES]])</f>
        <v>0</v>
      </c>
      <c r="N1020" s="59">
        <f>SUMIFS(Eventos!$G:$G,Eventos!$F:$F,$L1020,Eventos!$D:$D,$C$2,Eventos!$B:$B,PANES_SEMANALES[[#ALL],[MARTES]])</f>
        <v>0</v>
      </c>
      <c r="O1020" s="59">
        <f>SUMIFS(Eventos!$G:$G,Eventos!$F:$F,$L1020,Eventos!$D:$D,$C$2,Eventos!$B:$B,PANES_SEMANALES[[#ALL],[MIÉRCOLES]])</f>
        <v>0</v>
      </c>
      <c r="P1020" s="59">
        <f>SUMIFS(Eventos!$G:$G,Eventos!$F:$F,$L1020,Eventos!$D:$D,$C$2,Eventos!$B:$B,PANES_SEMANALES[[#ALL],[JUEVES]])</f>
        <v>0</v>
      </c>
      <c r="Q1020" s="59">
        <f>IF(P1020&lt;&gt;"",SUMIFS(Eventos!$G:$G,Eventos!$B:$B,Q$2,Eventos!$D:$D,$C$2,Eventos!$F:$F,$L1020),"")</f>
        <v>0</v>
      </c>
      <c r="R1020" s="59">
        <f>SUMIFS(Eventos!$G:$G,Eventos!$F:$F,$L1020,Eventos!$D:$D,$C$2,Eventos!$B:$B,PANES_SEMANALES[[#ALL],[SÁBADO]])</f>
        <v>0</v>
      </c>
      <c r="S1020" s="59">
        <f>SUMIFS(Eventos!$G:$G,Eventos!$F:$F,$L1020,Eventos!$D:$D,$C$2,Eventos!$B:$B,PANES_SEMANALES[[#ALL],[DOMINGO]])</f>
        <v>0</v>
      </c>
      <c r="T1020" s="59">
        <f t="shared" si="1"/>
        <v>0</v>
      </c>
    </row>
    <row r="1021" ht="22.5" customHeight="1">
      <c r="M1021" s="59">
        <f>SUMIFS(Eventos!$G:$G,Eventos!$F:$F,$L1021,Eventos!$D:$D,$C$2,Eventos!$B:$B,PANES_SEMANALES[[#ALL],[LUNES]])</f>
        <v>0</v>
      </c>
      <c r="N1021" s="59">
        <f>SUMIFS(Eventos!$G:$G,Eventos!$F:$F,$L1021,Eventos!$D:$D,$C$2,Eventos!$B:$B,PANES_SEMANALES[[#ALL],[MARTES]])</f>
        <v>0</v>
      </c>
      <c r="O1021" s="59">
        <f>SUMIFS(Eventos!$G:$G,Eventos!$F:$F,$L1021,Eventos!$D:$D,$C$2,Eventos!$B:$B,PANES_SEMANALES[[#ALL],[MIÉRCOLES]])</f>
        <v>0</v>
      </c>
      <c r="P1021" s="59">
        <f>SUMIFS(Eventos!$G:$G,Eventos!$F:$F,$L1021,Eventos!$D:$D,$C$2,Eventos!$B:$B,PANES_SEMANALES[[#ALL],[JUEVES]])</f>
        <v>0</v>
      </c>
      <c r="Q1021" s="59">
        <f>IF(P1021&lt;&gt;"",SUMIFS(Eventos!$G:$G,Eventos!$B:$B,Q$2,Eventos!$D:$D,$C$2,Eventos!$F:$F,$L1021),"")</f>
        <v>0</v>
      </c>
      <c r="R1021" s="59">
        <f>SUMIFS(Eventos!$G:$G,Eventos!$F:$F,$L1021,Eventos!$D:$D,$C$2,Eventos!$B:$B,PANES_SEMANALES[[#ALL],[SÁBADO]])</f>
        <v>0</v>
      </c>
      <c r="S1021" s="59">
        <f>SUMIFS(Eventos!$G:$G,Eventos!$F:$F,$L1021,Eventos!$D:$D,$C$2,Eventos!$B:$B,PANES_SEMANALES[[#ALL],[DOMINGO]])</f>
        <v>0</v>
      </c>
      <c r="T1021" s="59">
        <f t="shared" si="1"/>
        <v>0</v>
      </c>
    </row>
    <row r="1022" ht="22.5" customHeight="1">
      <c r="M1022" s="59">
        <f>SUMIFS(Eventos!$G:$G,Eventos!$F:$F,$L1022,Eventos!$D:$D,$C$2,Eventos!$B:$B,PANES_SEMANALES[[#ALL],[LUNES]])</f>
        <v>0</v>
      </c>
      <c r="N1022" s="59">
        <f>SUMIFS(Eventos!$G:$G,Eventos!$F:$F,$L1022,Eventos!$D:$D,$C$2,Eventos!$B:$B,PANES_SEMANALES[[#ALL],[MARTES]])</f>
        <v>0</v>
      </c>
      <c r="O1022" s="59">
        <f>SUMIFS(Eventos!$G:$G,Eventos!$F:$F,$L1022,Eventos!$D:$D,$C$2,Eventos!$B:$B,PANES_SEMANALES[[#ALL],[MIÉRCOLES]])</f>
        <v>0</v>
      </c>
      <c r="P1022" s="59">
        <f>SUMIFS(Eventos!$G:$G,Eventos!$F:$F,$L1022,Eventos!$D:$D,$C$2,Eventos!$B:$B,PANES_SEMANALES[[#ALL],[JUEVES]])</f>
        <v>0</v>
      </c>
      <c r="Q1022" s="59">
        <f>IF(P1022&lt;&gt;"",SUMIFS(Eventos!$G:$G,Eventos!$B:$B,Q$2,Eventos!$D:$D,$C$2,Eventos!$F:$F,$L1022),"")</f>
        <v>0</v>
      </c>
      <c r="R1022" s="59">
        <f>SUMIFS(Eventos!$G:$G,Eventos!$F:$F,$L1022,Eventos!$D:$D,$C$2,Eventos!$B:$B,PANES_SEMANALES[[#ALL],[SÁBADO]])</f>
        <v>0</v>
      </c>
      <c r="S1022" s="59">
        <f>SUMIFS(Eventos!$G:$G,Eventos!$F:$F,$L1022,Eventos!$D:$D,$C$2,Eventos!$B:$B,PANES_SEMANALES[[#ALL],[DOMINGO]])</f>
        <v>0</v>
      </c>
      <c r="T1022" s="59">
        <f t="shared" si="1"/>
        <v>0</v>
      </c>
    </row>
    <row r="1023" ht="22.5" customHeight="1">
      <c r="M1023" s="59">
        <f>SUMIFS(Eventos!$G:$G,Eventos!$F:$F,$L1023,Eventos!$D:$D,$C$2,Eventos!$B:$B,PANES_SEMANALES[[#ALL],[LUNES]])</f>
        <v>0</v>
      </c>
      <c r="N1023" s="59">
        <f>SUMIFS(Eventos!$G:$G,Eventos!$F:$F,$L1023,Eventos!$D:$D,$C$2,Eventos!$B:$B,PANES_SEMANALES[[#ALL],[MARTES]])</f>
        <v>0</v>
      </c>
      <c r="O1023" s="59">
        <f>SUMIFS(Eventos!$G:$G,Eventos!$F:$F,$L1023,Eventos!$D:$D,$C$2,Eventos!$B:$B,PANES_SEMANALES[[#ALL],[MIÉRCOLES]])</f>
        <v>0</v>
      </c>
      <c r="P1023" s="59">
        <f>SUMIFS(Eventos!$G:$G,Eventos!$F:$F,$L1023,Eventos!$D:$D,$C$2,Eventos!$B:$B,PANES_SEMANALES[[#ALL],[JUEVES]])</f>
        <v>0</v>
      </c>
      <c r="Q1023" s="59">
        <f>IF(P1023&lt;&gt;"",SUMIFS(Eventos!$G:$G,Eventos!$B:$B,Q$2,Eventos!$D:$D,$C$2,Eventos!$F:$F,$L1023),"")</f>
        <v>0</v>
      </c>
      <c r="R1023" s="59">
        <f>SUMIFS(Eventos!$G:$G,Eventos!$F:$F,$L1023,Eventos!$D:$D,$C$2,Eventos!$B:$B,PANES_SEMANALES[[#ALL],[SÁBADO]])</f>
        <v>0</v>
      </c>
      <c r="S1023" s="59">
        <f>SUMIFS(Eventos!$G:$G,Eventos!$F:$F,$L1023,Eventos!$D:$D,$C$2,Eventos!$B:$B,PANES_SEMANALES[[#ALL],[DOMINGO]])</f>
        <v>0</v>
      </c>
      <c r="T1023" s="59">
        <f t="shared" si="1"/>
        <v>0</v>
      </c>
    </row>
    <row r="1024" ht="22.5" customHeight="1">
      <c r="M1024" s="59">
        <f>SUMIFS(Eventos!$G:$G,Eventos!$F:$F,$L1024,Eventos!$D:$D,$C$2,Eventos!$B:$B,PANES_SEMANALES[[#ALL],[LUNES]])</f>
        <v>0</v>
      </c>
      <c r="N1024" s="59">
        <f>SUMIFS(Eventos!$G:$G,Eventos!$F:$F,$L1024,Eventos!$D:$D,$C$2,Eventos!$B:$B,PANES_SEMANALES[[#ALL],[MARTES]])</f>
        <v>0</v>
      </c>
      <c r="O1024" s="59">
        <f>SUMIFS(Eventos!$G:$G,Eventos!$F:$F,$L1024,Eventos!$D:$D,$C$2,Eventos!$B:$B,PANES_SEMANALES[[#ALL],[MIÉRCOLES]])</f>
        <v>0</v>
      </c>
      <c r="P1024" s="59">
        <f>SUMIFS(Eventos!$G:$G,Eventos!$F:$F,$L1024,Eventos!$D:$D,$C$2,Eventos!$B:$B,PANES_SEMANALES[[#ALL],[JUEVES]])</f>
        <v>0</v>
      </c>
      <c r="Q1024" s="59">
        <f>IF(P1024&lt;&gt;"",SUMIFS(Eventos!$G:$G,Eventos!$B:$B,Q$2,Eventos!$D:$D,$C$2,Eventos!$F:$F,$L1024),"")</f>
        <v>0</v>
      </c>
      <c r="R1024" s="59">
        <f>SUMIFS(Eventos!$G:$G,Eventos!$F:$F,$L1024,Eventos!$D:$D,$C$2,Eventos!$B:$B,PANES_SEMANALES[[#ALL],[SÁBADO]])</f>
        <v>0</v>
      </c>
      <c r="S1024" s="59">
        <f>SUMIFS(Eventos!$G:$G,Eventos!$F:$F,$L1024,Eventos!$D:$D,$C$2,Eventos!$B:$B,PANES_SEMANALES[[#ALL],[DOMINGO]])</f>
        <v>0</v>
      </c>
      <c r="T1024" s="59">
        <f t="shared" si="1"/>
        <v>0</v>
      </c>
    </row>
    <row r="1025" ht="22.5" customHeight="1">
      <c r="M1025" s="59">
        <f>SUMIFS(Eventos!$G:$G,Eventos!$F:$F,$L1025,Eventos!$D:$D,$C$2,Eventos!$B:$B,PANES_SEMANALES[[#ALL],[LUNES]])</f>
        <v>0</v>
      </c>
      <c r="N1025" s="59">
        <f>SUMIFS(Eventos!$G:$G,Eventos!$F:$F,$L1025,Eventos!$D:$D,$C$2,Eventos!$B:$B,PANES_SEMANALES[[#ALL],[MARTES]])</f>
        <v>0</v>
      </c>
      <c r="O1025" s="59">
        <f>SUMIFS(Eventos!$G:$G,Eventos!$F:$F,$L1025,Eventos!$D:$D,$C$2,Eventos!$B:$B,PANES_SEMANALES[[#ALL],[MIÉRCOLES]])</f>
        <v>0</v>
      </c>
      <c r="P1025" s="59">
        <f>SUMIFS(Eventos!$G:$G,Eventos!$F:$F,$L1025,Eventos!$D:$D,$C$2,Eventos!$B:$B,PANES_SEMANALES[[#ALL],[JUEVES]])</f>
        <v>0</v>
      </c>
      <c r="Q1025" s="59">
        <f>IF(P1025&lt;&gt;"",SUMIFS(Eventos!$G:$G,Eventos!$B:$B,Q$2,Eventos!$D:$D,$C$2,Eventos!$F:$F,$L1025),"")</f>
        <v>0</v>
      </c>
      <c r="R1025" s="59">
        <f>SUMIFS(Eventos!$G:$G,Eventos!$F:$F,$L1025,Eventos!$D:$D,$C$2,Eventos!$B:$B,PANES_SEMANALES[[#ALL],[SÁBADO]])</f>
        <v>0</v>
      </c>
      <c r="S1025" s="59">
        <f>SUMIFS(Eventos!$G:$G,Eventos!$F:$F,$L1025,Eventos!$D:$D,$C$2,Eventos!$B:$B,PANES_SEMANALES[[#ALL],[DOMINGO]])</f>
        <v>0</v>
      </c>
      <c r="T1025" s="59">
        <f t="shared" si="1"/>
        <v>0</v>
      </c>
    </row>
    <row r="1026" ht="22.5" customHeight="1">
      <c r="M1026" s="59">
        <f>SUMIFS(Eventos!$G:$G,Eventos!$F:$F,$L1026,Eventos!$D:$D,$C$2,Eventos!$B:$B,PANES_SEMANALES[[#ALL],[LUNES]])</f>
        <v>0</v>
      </c>
      <c r="N1026" s="59">
        <f>SUMIFS(Eventos!$G:$G,Eventos!$F:$F,$L1026,Eventos!$D:$D,$C$2,Eventos!$B:$B,PANES_SEMANALES[[#ALL],[MARTES]])</f>
        <v>0</v>
      </c>
      <c r="O1026" s="59">
        <f>SUMIFS(Eventos!$G:$G,Eventos!$F:$F,$L1026,Eventos!$D:$D,$C$2,Eventos!$B:$B,PANES_SEMANALES[[#ALL],[MIÉRCOLES]])</f>
        <v>0</v>
      </c>
      <c r="P1026" s="59">
        <f>SUMIFS(Eventos!$G:$G,Eventos!$F:$F,$L1026,Eventos!$D:$D,$C$2,Eventos!$B:$B,PANES_SEMANALES[[#ALL],[JUEVES]])</f>
        <v>0</v>
      </c>
      <c r="Q1026" s="59">
        <f>IF(P1026&lt;&gt;"",SUMIFS(Eventos!$G:$G,Eventos!$B:$B,Q$2,Eventos!$D:$D,$C$2,Eventos!$F:$F,$L1026),"")</f>
        <v>0</v>
      </c>
      <c r="R1026" s="59">
        <f>SUMIFS(Eventos!$G:$G,Eventos!$F:$F,$L1026,Eventos!$D:$D,$C$2,Eventos!$B:$B,PANES_SEMANALES[[#ALL],[SÁBADO]])</f>
        <v>0</v>
      </c>
      <c r="S1026" s="59">
        <f>SUMIFS(Eventos!$G:$G,Eventos!$F:$F,$L1026,Eventos!$D:$D,$C$2,Eventos!$B:$B,PANES_SEMANALES[[#ALL],[DOMINGO]])</f>
        <v>0</v>
      </c>
      <c r="T1026" s="59">
        <f t="shared" si="1"/>
        <v>0</v>
      </c>
    </row>
    <row r="1027" ht="22.5" customHeight="1">
      <c r="M1027" s="59">
        <f>SUMIFS(Eventos!$G:$G,Eventos!$F:$F,$L1027,Eventos!$D:$D,$C$2,Eventos!$B:$B,PANES_SEMANALES[[#ALL],[LUNES]])</f>
        <v>0</v>
      </c>
      <c r="N1027" s="59">
        <f>SUMIFS(Eventos!$G:$G,Eventos!$F:$F,$L1027,Eventos!$D:$D,$C$2,Eventos!$B:$B,PANES_SEMANALES[[#ALL],[MARTES]])</f>
        <v>0</v>
      </c>
      <c r="O1027" s="59">
        <f>SUMIFS(Eventos!$G:$G,Eventos!$F:$F,$L1027,Eventos!$D:$D,$C$2,Eventos!$B:$B,PANES_SEMANALES[[#ALL],[MIÉRCOLES]])</f>
        <v>0</v>
      </c>
      <c r="P1027" s="59">
        <f>SUMIFS(Eventos!$G:$G,Eventos!$F:$F,$L1027,Eventos!$D:$D,$C$2,Eventos!$B:$B,PANES_SEMANALES[[#ALL],[JUEVES]])</f>
        <v>0</v>
      </c>
      <c r="Q1027" s="59">
        <f>IF(P1027&lt;&gt;"",SUMIFS(Eventos!$G:$G,Eventos!$B:$B,Q$2,Eventos!$D:$D,$C$2,Eventos!$F:$F,$L1027),"")</f>
        <v>0</v>
      </c>
      <c r="R1027" s="59">
        <f>SUMIFS(Eventos!$G:$G,Eventos!$F:$F,$L1027,Eventos!$D:$D,$C$2,Eventos!$B:$B,PANES_SEMANALES[[#ALL],[SÁBADO]])</f>
        <v>0</v>
      </c>
      <c r="S1027" s="59">
        <f>SUMIFS(Eventos!$G:$G,Eventos!$F:$F,$L1027,Eventos!$D:$D,$C$2,Eventos!$B:$B,PANES_SEMANALES[[#ALL],[DOMINGO]])</f>
        <v>0</v>
      </c>
      <c r="T1027" s="59">
        <f t="shared" si="1"/>
        <v>0</v>
      </c>
    </row>
    <row r="1028" ht="22.5" customHeight="1">
      <c r="M1028" s="59">
        <f>SUMIFS(Eventos!$G:$G,Eventos!$F:$F,$L1028,Eventos!$D:$D,$C$2,Eventos!$B:$B,PANES_SEMANALES[[#ALL],[LUNES]])</f>
        <v>0</v>
      </c>
      <c r="N1028" s="59">
        <f>SUMIFS(Eventos!$G:$G,Eventos!$F:$F,$L1028,Eventos!$D:$D,$C$2,Eventos!$B:$B,PANES_SEMANALES[[#ALL],[MARTES]])</f>
        <v>0</v>
      </c>
      <c r="O1028" s="59">
        <f>SUMIFS(Eventos!$G:$G,Eventos!$F:$F,$L1028,Eventos!$D:$D,$C$2,Eventos!$B:$B,PANES_SEMANALES[[#ALL],[MIÉRCOLES]])</f>
        <v>0</v>
      </c>
      <c r="P1028" s="59">
        <f>SUMIFS(Eventos!$G:$G,Eventos!$F:$F,$L1028,Eventos!$D:$D,$C$2,Eventos!$B:$B,PANES_SEMANALES[[#ALL],[JUEVES]])</f>
        <v>0</v>
      </c>
      <c r="Q1028" s="59">
        <f>IF(P1028&lt;&gt;"",SUMIFS(Eventos!$G:$G,Eventos!$B:$B,Q$2,Eventos!$D:$D,$C$2,Eventos!$F:$F,$L1028),"")</f>
        <v>0</v>
      </c>
      <c r="R1028" s="59">
        <f>SUMIFS(Eventos!$G:$G,Eventos!$F:$F,$L1028,Eventos!$D:$D,$C$2,Eventos!$B:$B,PANES_SEMANALES[[#ALL],[SÁBADO]])</f>
        <v>0</v>
      </c>
      <c r="S1028" s="59">
        <f>SUMIFS(Eventos!$G:$G,Eventos!$F:$F,$L1028,Eventos!$D:$D,$C$2,Eventos!$B:$B,PANES_SEMANALES[[#ALL],[DOMINGO]])</f>
        <v>0</v>
      </c>
      <c r="T1028" s="59">
        <f t="shared" si="1"/>
        <v>0</v>
      </c>
    </row>
    <row r="1029" ht="22.5" customHeight="1">
      <c r="M1029" s="59">
        <f>SUMIFS(Eventos!$G:$G,Eventos!$F:$F,$L1029,Eventos!$D:$D,$C$2,Eventos!$B:$B,PANES_SEMANALES[[#ALL],[LUNES]])</f>
        <v>0</v>
      </c>
      <c r="N1029" s="59">
        <f>SUMIFS(Eventos!$G:$G,Eventos!$F:$F,$L1029,Eventos!$D:$D,$C$2,Eventos!$B:$B,PANES_SEMANALES[[#ALL],[MARTES]])</f>
        <v>0</v>
      </c>
      <c r="O1029" s="59">
        <f>SUMIFS(Eventos!$G:$G,Eventos!$F:$F,$L1029,Eventos!$D:$D,$C$2,Eventos!$B:$B,PANES_SEMANALES[[#ALL],[MIÉRCOLES]])</f>
        <v>0</v>
      </c>
      <c r="P1029" s="59">
        <f>SUMIFS(Eventos!$G:$G,Eventos!$F:$F,$L1029,Eventos!$D:$D,$C$2,Eventos!$B:$B,PANES_SEMANALES[[#ALL],[JUEVES]])</f>
        <v>0</v>
      </c>
      <c r="Q1029" s="59">
        <f>IF(P1029&lt;&gt;"",SUMIFS(Eventos!$G:$G,Eventos!$B:$B,Q$2,Eventos!$D:$D,$C$2,Eventos!$F:$F,$L1029),"")</f>
        <v>0</v>
      </c>
      <c r="R1029" s="59">
        <f>SUMIFS(Eventos!$G:$G,Eventos!$F:$F,$L1029,Eventos!$D:$D,$C$2,Eventos!$B:$B,PANES_SEMANALES[[#ALL],[SÁBADO]])</f>
        <v>0</v>
      </c>
      <c r="S1029" s="59">
        <f>SUMIFS(Eventos!$G:$G,Eventos!$F:$F,$L1029,Eventos!$D:$D,$C$2,Eventos!$B:$B,PANES_SEMANALES[[#ALL],[DOMINGO]])</f>
        <v>0</v>
      </c>
      <c r="T1029" s="59">
        <f t="shared" si="1"/>
        <v>0</v>
      </c>
    </row>
    <row r="1030" ht="22.5" customHeight="1">
      <c r="M1030" s="59">
        <f>SUMIFS(Eventos!$G:$G,Eventos!$F:$F,$L1030,Eventos!$D:$D,$C$2,Eventos!$B:$B,PANES_SEMANALES[[#ALL],[LUNES]])</f>
        <v>0</v>
      </c>
      <c r="N1030" s="59">
        <f>SUMIFS(Eventos!$G:$G,Eventos!$F:$F,$L1030,Eventos!$D:$D,$C$2,Eventos!$B:$B,PANES_SEMANALES[[#ALL],[MARTES]])</f>
        <v>0</v>
      </c>
      <c r="O1030" s="59">
        <f>SUMIFS(Eventos!$G:$G,Eventos!$F:$F,$L1030,Eventos!$D:$D,$C$2,Eventos!$B:$B,PANES_SEMANALES[[#ALL],[MIÉRCOLES]])</f>
        <v>0</v>
      </c>
      <c r="P1030" s="59">
        <f>SUMIFS(Eventos!$G:$G,Eventos!$F:$F,$L1030,Eventos!$D:$D,$C$2,Eventos!$B:$B,PANES_SEMANALES[[#ALL],[JUEVES]])</f>
        <v>0</v>
      </c>
      <c r="Q1030" s="59">
        <f>IF(P1030&lt;&gt;"",SUMIFS(Eventos!$G:$G,Eventos!$B:$B,Q$2,Eventos!$D:$D,$C$2,Eventos!$F:$F,$L1030),"")</f>
        <v>0</v>
      </c>
      <c r="R1030" s="59">
        <f>SUMIFS(Eventos!$G:$G,Eventos!$F:$F,$L1030,Eventos!$D:$D,$C$2,Eventos!$B:$B,PANES_SEMANALES[[#ALL],[SÁBADO]])</f>
        <v>0</v>
      </c>
      <c r="S1030" s="59">
        <f>SUMIFS(Eventos!$G:$G,Eventos!$F:$F,$L1030,Eventos!$D:$D,$C$2,Eventos!$B:$B,PANES_SEMANALES[[#ALL],[DOMINGO]])</f>
        <v>0</v>
      </c>
      <c r="T1030" s="59">
        <f t="shared" si="1"/>
        <v>0</v>
      </c>
    </row>
    <row r="1031" ht="22.5" customHeight="1">
      <c r="M1031" s="59">
        <f>SUMIFS(Eventos!$G:$G,Eventos!$F:$F,$L1031,Eventos!$D:$D,$C$2,Eventos!$B:$B,PANES_SEMANALES[[#ALL],[LUNES]])</f>
        <v>0</v>
      </c>
      <c r="N1031" s="59">
        <f>SUMIFS(Eventos!$G:$G,Eventos!$F:$F,$L1031,Eventos!$D:$D,$C$2,Eventos!$B:$B,PANES_SEMANALES[[#ALL],[MARTES]])</f>
        <v>0</v>
      </c>
      <c r="O1031" s="59">
        <f>SUMIFS(Eventos!$G:$G,Eventos!$F:$F,$L1031,Eventos!$D:$D,$C$2,Eventos!$B:$B,PANES_SEMANALES[[#ALL],[MIÉRCOLES]])</f>
        <v>0</v>
      </c>
      <c r="P1031" s="59">
        <f>SUMIFS(Eventos!$G:$G,Eventos!$F:$F,$L1031,Eventos!$D:$D,$C$2,Eventos!$B:$B,PANES_SEMANALES[[#ALL],[JUEVES]])</f>
        <v>0</v>
      </c>
      <c r="Q1031" s="59">
        <f>IF(P1031&lt;&gt;"",SUMIFS(Eventos!$G:$G,Eventos!$B:$B,Q$2,Eventos!$D:$D,$C$2,Eventos!$F:$F,$L1031),"")</f>
        <v>0</v>
      </c>
      <c r="R1031" s="59">
        <f>SUMIFS(Eventos!$G:$G,Eventos!$F:$F,$L1031,Eventos!$D:$D,$C$2,Eventos!$B:$B,PANES_SEMANALES[[#ALL],[SÁBADO]])</f>
        <v>0</v>
      </c>
      <c r="S1031" s="59">
        <f>SUMIFS(Eventos!$G:$G,Eventos!$F:$F,$L1031,Eventos!$D:$D,$C$2,Eventos!$B:$B,PANES_SEMANALES[[#ALL],[DOMINGO]])</f>
        <v>0</v>
      </c>
      <c r="T1031" s="59">
        <f t="shared" si="1"/>
        <v>0</v>
      </c>
    </row>
    <row r="1032" ht="22.5" customHeight="1">
      <c r="M1032" s="59">
        <f>SUMIFS(Eventos!$G:$G,Eventos!$F:$F,$L1032,Eventos!$D:$D,$C$2,Eventos!$B:$B,PANES_SEMANALES[[#ALL],[LUNES]])</f>
        <v>0</v>
      </c>
      <c r="N1032" s="59">
        <f>SUMIFS(Eventos!$G:$G,Eventos!$F:$F,$L1032,Eventos!$D:$D,$C$2,Eventos!$B:$B,PANES_SEMANALES[[#ALL],[MARTES]])</f>
        <v>0</v>
      </c>
      <c r="O1032" s="59">
        <f>SUMIFS(Eventos!$G:$G,Eventos!$F:$F,$L1032,Eventos!$D:$D,$C$2,Eventos!$B:$B,PANES_SEMANALES[[#ALL],[MIÉRCOLES]])</f>
        <v>0</v>
      </c>
      <c r="P1032" s="59">
        <f>SUMIFS(Eventos!$G:$G,Eventos!$F:$F,$L1032,Eventos!$D:$D,$C$2,Eventos!$B:$B,PANES_SEMANALES[[#ALL],[JUEVES]])</f>
        <v>0</v>
      </c>
      <c r="Q1032" s="59">
        <f>IF(P1032&lt;&gt;"",SUMIFS(Eventos!$G:$G,Eventos!$B:$B,Q$2,Eventos!$D:$D,$C$2,Eventos!$F:$F,$L1032),"")</f>
        <v>0</v>
      </c>
      <c r="R1032" s="59">
        <f>SUMIFS(Eventos!$G:$G,Eventos!$F:$F,$L1032,Eventos!$D:$D,$C$2,Eventos!$B:$B,PANES_SEMANALES[[#ALL],[SÁBADO]])</f>
        <v>0</v>
      </c>
      <c r="S1032" s="59">
        <f>SUMIFS(Eventos!$G:$G,Eventos!$F:$F,$L1032,Eventos!$D:$D,$C$2,Eventos!$B:$B,PANES_SEMANALES[[#ALL],[DOMINGO]])</f>
        <v>0</v>
      </c>
      <c r="T1032" s="59">
        <f t="shared" si="1"/>
        <v>0</v>
      </c>
    </row>
    <row r="1033" ht="22.5" customHeight="1">
      <c r="M1033" s="59">
        <f>SUMIFS(Eventos!$G:$G,Eventos!$F:$F,$L1033,Eventos!$D:$D,$C$2,Eventos!$B:$B,PANES_SEMANALES[[#ALL],[LUNES]])</f>
        <v>0</v>
      </c>
      <c r="N1033" s="59">
        <f>SUMIFS(Eventos!$G:$G,Eventos!$F:$F,$L1033,Eventos!$D:$D,$C$2,Eventos!$B:$B,PANES_SEMANALES[[#ALL],[MARTES]])</f>
        <v>0</v>
      </c>
      <c r="O1033" s="59">
        <f>SUMIFS(Eventos!$G:$G,Eventos!$F:$F,$L1033,Eventos!$D:$D,$C$2,Eventos!$B:$B,PANES_SEMANALES[[#ALL],[MIÉRCOLES]])</f>
        <v>0</v>
      </c>
      <c r="P1033" s="59">
        <f>SUMIFS(Eventos!$G:$G,Eventos!$F:$F,$L1033,Eventos!$D:$D,$C$2,Eventos!$B:$B,PANES_SEMANALES[[#ALL],[JUEVES]])</f>
        <v>0</v>
      </c>
      <c r="Q1033" s="59">
        <f>IF(P1033&lt;&gt;"",SUMIFS(Eventos!$G:$G,Eventos!$B:$B,Q$2,Eventos!$D:$D,$C$2,Eventos!$F:$F,$L1033),"")</f>
        <v>0</v>
      </c>
      <c r="R1033" s="59">
        <f>SUMIFS(Eventos!$G:$G,Eventos!$F:$F,$L1033,Eventos!$D:$D,$C$2,Eventos!$B:$B,PANES_SEMANALES[[#ALL],[SÁBADO]])</f>
        <v>0</v>
      </c>
      <c r="S1033" s="59">
        <f>SUMIFS(Eventos!$G:$G,Eventos!$F:$F,$L1033,Eventos!$D:$D,$C$2,Eventos!$B:$B,PANES_SEMANALES[[#ALL],[DOMINGO]])</f>
        <v>0</v>
      </c>
      <c r="T1033" s="59">
        <f t="shared" si="1"/>
        <v>0</v>
      </c>
    </row>
    <row r="1034" ht="22.5" customHeight="1">
      <c r="M1034" s="59">
        <f>SUMIFS(Eventos!$G:$G,Eventos!$F:$F,$L1034,Eventos!$D:$D,$C$2,Eventos!$B:$B,PANES_SEMANALES[[#ALL],[LUNES]])</f>
        <v>0</v>
      </c>
      <c r="N1034" s="59">
        <f>SUMIFS(Eventos!$G:$G,Eventos!$F:$F,$L1034,Eventos!$D:$D,$C$2,Eventos!$B:$B,PANES_SEMANALES[[#ALL],[MARTES]])</f>
        <v>0</v>
      </c>
      <c r="O1034" s="59">
        <f>SUMIFS(Eventos!$G:$G,Eventos!$F:$F,$L1034,Eventos!$D:$D,$C$2,Eventos!$B:$B,PANES_SEMANALES[[#ALL],[MIÉRCOLES]])</f>
        <v>0</v>
      </c>
      <c r="P1034" s="59">
        <f>SUMIFS(Eventos!$G:$G,Eventos!$F:$F,$L1034,Eventos!$D:$D,$C$2,Eventos!$B:$B,PANES_SEMANALES[[#ALL],[JUEVES]])</f>
        <v>0</v>
      </c>
      <c r="Q1034" s="59">
        <f>IF(P1034&lt;&gt;"",SUMIFS(Eventos!$G:$G,Eventos!$B:$B,Q$2,Eventos!$D:$D,$C$2,Eventos!$F:$F,$L1034),"")</f>
        <v>0</v>
      </c>
      <c r="R1034" s="59">
        <f>SUMIFS(Eventos!$G:$G,Eventos!$F:$F,$L1034,Eventos!$D:$D,$C$2,Eventos!$B:$B,PANES_SEMANALES[[#ALL],[SÁBADO]])</f>
        <v>0</v>
      </c>
      <c r="S1034" s="59">
        <f>SUMIFS(Eventos!$G:$G,Eventos!$F:$F,$L1034,Eventos!$D:$D,$C$2,Eventos!$B:$B,PANES_SEMANALES[[#ALL],[DOMINGO]])</f>
        <v>0</v>
      </c>
      <c r="T1034" s="59">
        <f t="shared" si="1"/>
        <v>0</v>
      </c>
    </row>
    <row r="1035" ht="22.5" customHeight="1">
      <c r="M1035" s="59">
        <f>SUMIFS(Eventos!$G:$G,Eventos!$F:$F,$L1035,Eventos!$D:$D,$C$2,Eventos!$B:$B,PANES_SEMANALES[[#ALL],[LUNES]])</f>
        <v>0</v>
      </c>
      <c r="N1035" s="59">
        <f>SUMIFS(Eventos!$G:$G,Eventos!$F:$F,$L1035,Eventos!$D:$D,$C$2,Eventos!$B:$B,PANES_SEMANALES[[#ALL],[MARTES]])</f>
        <v>0</v>
      </c>
      <c r="O1035" s="59">
        <f>SUMIFS(Eventos!$G:$G,Eventos!$F:$F,$L1035,Eventos!$D:$D,$C$2,Eventos!$B:$B,PANES_SEMANALES[[#ALL],[MIÉRCOLES]])</f>
        <v>0</v>
      </c>
      <c r="P1035" s="59">
        <f>SUMIFS(Eventos!$G:$G,Eventos!$F:$F,$L1035,Eventos!$D:$D,$C$2,Eventos!$B:$B,PANES_SEMANALES[[#ALL],[JUEVES]])</f>
        <v>0</v>
      </c>
      <c r="Q1035" s="59">
        <f>IF(P1035&lt;&gt;"",SUMIFS(Eventos!$G:$G,Eventos!$B:$B,Q$2,Eventos!$D:$D,$C$2,Eventos!$F:$F,$L1035),"")</f>
        <v>0</v>
      </c>
      <c r="R1035" s="59">
        <f>SUMIFS(Eventos!$G:$G,Eventos!$F:$F,$L1035,Eventos!$D:$D,$C$2,Eventos!$B:$B,PANES_SEMANALES[[#ALL],[SÁBADO]])</f>
        <v>0</v>
      </c>
      <c r="S1035" s="59">
        <f>SUMIFS(Eventos!$G:$G,Eventos!$F:$F,$L1035,Eventos!$D:$D,$C$2,Eventos!$B:$B,PANES_SEMANALES[[#ALL],[DOMINGO]])</f>
        <v>0</v>
      </c>
      <c r="T1035" s="59">
        <f t="shared" si="1"/>
        <v>0</v>
      </c>
    </row>
    <row r="1036" ht="22.5" customHeight="1">
      <c r="M1036" s="59">
        <f>SUMIFS(Eventos!$G:$G,Eventos!$F:$F,$L1036,Eventos!$D:$D,$C$2,Eventos!$B:$B,PANES_SEMANALES[[#ALL],[LUNES]])</f>
        <v>0</v>
      </c>
      <c r="N1036" s="59">
        <f>SUMIFS(Eventos!$G:$G,Eventos!$F:$F,$L1036,Eventos!$D:$D,$C$2,Eventos!$B:$B,PANES_SEMANALES[[#ALL],[MARTES]])</f>
        <v>0</v>
      </c>
      <c r="O1036" s="59">
        <f>SUMIFS(Eventos!$G:$G,Eventos!$F:$F,$L1036,Eventos!$D:$D,$C$2,Eventos!$B:$B,PANES_SEMANALES[[#ALL],[MIÉRCOLES]])</f>
        <v>0</v>
      </c>
      <c r="P1036" s="59">
        <f>SUMIFS(Eventos!$G:$G,Eventos!$F:$F,$L1036,Eventos!$D:$D,$C$2,Eventos!$B:$B,PANES_SEMANALES[[#ALL],[JUEVES]])</f>
        <v>0</v>
      </c>
      <c r="Q1036" s="59">
        <f>IF(P1036&lt;&gt;"",SUMIFS(Eventos!$G:$G,Eventos!$B:$B,Q$2,Eventos!$D:$D,$C$2,Eventos!$F:$F,$L1036),"")</f>
        <v>0</v>
      </c>
      <c r="R1036" s="59">
        <f>SUMIFS(Eventos!$G:$G,Eventos!$F:$F,$L1036,Eventos!$D:$D,$C$2,Eventos!$B:$B,PANES_SEMANALES[[#ALL],[SÁBADO]])</f>
        <v>0</v>
      </c>
      <c r="S1036" s="59">
        <f>SUMIFS(Eventos!$G:$G,Eventos!$F:$F,$L1036,Eventos!$D:$D,$C$2,Eventos!$B:$B,PANES_SEMANALES[[#ALL],[DOMINGO]])</f>
        <v>0</v>
      </c>
      <c r="T1036" s="59">
        <f t="shared" si="1"/>
        <v>0</v>
      </c>
    </row>
    <row r="1037" ht="22.5" customHeight="1">
      <c r="M1037" s="59">
        <f>SUMIFS(Eventos!$G:$G,Eventos!$F:$F,$L1037,Eventos!$D:$D,$C$2,Eventos!$B:$B,PANES_SEMANALES[[#ALL],[LUNES]])</f>
        <v>0</v>
      </c>
      <c r="N1037" s="59">
        <f>SUMIFS(Eventos!$G:$G,Eventos!$F:$F,$L1037,Eventos!$D:$D,$C$2,Eventos!$B:$B,PANES_SEMANALES[[#ALL],[MARTES]])</f>
        <v>0</v>
      </c>
      <c r="O1037" s="59">
        <f>SUMIFS(Eventos!$G:$G,Eventos!$F:$F,$L1037,Eventos!$D:$D,$C$2,Eventos!$B:$B,PANES_SEMANALES[[#ALL],[MIÉRCOLES]])</f>
        <v>0</v>
      </c>
      <c r="P1037" s="59">
        <f>SUMIFS(Eventos!$G:$G,Eventos!$F:$F,$L1037,Eventos!$D:$D,$C$2,Eventos!$B:$B,PANES_SEMANALES[[#ALL],[JUEVES]])</f>
        <v>0</v>
      </c>
      <c r="Q1037" s="59">
        <f>IF(P1037&lt;&gt;"",SUMIFS(Eventos!$G:$G,Eventos!$B:$B,Q$2,Eventos!$D:$D,$C$2,Eventos!$F:$F,$L1037),"")</f>
        <v>0</v>
      </c>
      <c r="R1037" s="59">
        <f>SUMIFS(Eventos!$G:$G,Eventos!$F:$F,$L1037,Eventos!$D:$D,$C$2,Eventos!$B:$B,PANES_SEMANALES[[#ALL],[SÁBADO]])</f>
        <v>0</v>
      </c>
      <c r="S1037" s="59">
        <f>SUMIFS(Eventos!$G:$G,Eventos!$F:$F,$L1037,Eventos!$D:$D,$C$2,Eventos!$B:$B,PANES_SEMANALES[[#ALL],[DOMINGO]])</f>
        <v>0</v>
      </c>
      <c r="T1037" s="59">
        <f t="shared" si="1"/>
        <v>0</v>
      </c>
    </row>
    <row r="1038" ht="22.5" customHeight="1">
      <c r="M1038" s="59">
        <f>SUMIFS(Eventos!$G:$G,Eventos!$F:$F,$L1038,Eventos!$D:$D,$C$2,Eventos!$B:$B,PANES_SEMANALES[[#ALL],[LUNES]])</f>
        <v>0</v>
      </c>
      <c r="N1038" s="59">
        <f>SUMIFS(Eventos!$G:$G,Eventos!$F:$F,$L1038,Eventos!$D:$D,$C$2,Eventos!$B:$B,PANES_SEMANALES[[#ALL],[MARTES]])</f>
        <v>0</v>
      </c>
      <c r="O1038" s="59">
        <f>SUMIFS(Eventos!$G:$G,Eventos!$F:$F,$L1038,Eventos!$D:$D,$C$2,Eventos!$B:$B,PANES_SEMANALES[[#ALL],[MIÉRCOLES]])</f>
        <v>0</v>
      </c>
      <c r="P1038" s="59">
        <f>SUMIFS(Eventos!$G:$G,Eventos!$F:$F,$L1038,Eventos!$D:$D,$C$2,Eventos!$B:$B,PANES_SEMANALES[[#ALL],[JUEVES]])</f>
        <v>0</v>
      </c>
      <c r="Q1038" s="59">
        <f>IF(P1038&lt;&gt;"",SUMIFS(Eventos!$G:$G,Eventos!$B:$B,Q$2,Eventos!$D:$D,$C$2,Eventos!$F:$F,$L1038),"")</f>
        <v>0</v>
      </c>
      <c r="R1038" s="59">
        <f>SUMIFS(Eventos!$G:$G,Eventos!$F:$F,$L1038,Eventos!$D:$D,$C$2,Eventos!$B:$B,PANES_SEMANALES[[#ALL],[SÁBADO]])</f>
        <v>0</v>
      </c>
      <c r="S1038" s="59">
        <f>SUMIFS(Eventos!$G:$G,Eventos!$F:$F,$L1038,Eventos!$D:$D,$C$2,Eventos!$B:$B,PANES_SEMANALES[[#ALL],[DOMINGO]])</f>
        <v>0</v>
      </c>
      <c r="T1038" s="59">
        <f t="shared" si="1"/>
        <v>0</v>
      </c>
    </row>
    <row r="1039" ht="22.5" customHeight="1">
      <c r="M1039" s="59">
        <f>SUMIFS(Eventos!$G:$G,Eventos!$F:$F,$L1039,Eventos!$D:$D,$C$2,Eventos!$B:$B,PANES_SEMANALES[[#ALL],[LUNES]])</f>
        <v>0</v>
      </c>
      <c r="N1039" s="59">
        <f>SUMIFS(Eventos!$G:$G,Eventos!$F:$F,$L1039,Eventos!$D:$D,$C$2,Eventos!$B:$B,PANES_SEMANALES[[#ALL],[MARTES]])</f>
        <v>0</v>
      </c>
      <c r="O1039" s="59">
        <f>SUMIFS(Eventos!$G:$G,Eventos!$F:$F,$L1039,Eventos!$D:$D,$C$2,Eventos!$B:$B,PANES_SEMANALES[[#ALL],[MIÉRCOLES]])</f>
        <v>0</v>
      </c>
      <c r="P1039" s="59">
        <f>SUMIFS(Eventos!$G:$G,Eventos!$F:$F,$L1039,Eventos!$D:$D,$C$2,Eventos!$B:$B,PANES_SEMANALES[[#ALL],[JUEVES]])</f>
        <v>0</v>
      </c>
      <c r="Q1039" s="59">
        <f>IF(P1039&lt;&gt;"",SUMIFS(Eventos!$G:$G,Eventos!$B:$B,Q$2,Eventos!$D:$D,$C$2,Eventos!$F:$F,$L1039),"")</f>
        <v>0</v>
      </c>
      <c r="R1039" s="59">
        <f>SUMIFS(Eventos!$G:$G,Eventos!$F:$F,$L1039,Eventos!$D:$D,$C$2,Eventos!$B:$B,PANES_SEMANALES[[#ALL],[SÁBADO]])</f>
        <v>0</v>
      </c>
      <c r="S1039" s="59">
        <f>SUMIFS(Eventos!$G:$G,Eventos!$F:$F,$L1039,Eventos!$D:$D,$C$2,Eventos!$B:$B,PANES_SEMANALES[[#ALL],[DOMINGO]])</f>
        <v>0</v>
      </c>
      <c r="T1039" s="59">
        <f t="shared" si="1"/>
        <v>0</v>
      </c>
    </row>
    <row r="1040" ht="22.5" customHeight="1">
      <c r="M1040" s="59">
        <f>SUMIFS(Eventos!$G:$G,Eventos!$F:$F,$L1040,Eventos!$D:$D,$C$2,Eventos!$B:$B,PANES_SEMANALES[[#ALL],[LUNES]])</f>
        <v>0</v>
      </c>
      <c r="N1040" s="59">
        <f>SUMIFS(Eventos!$G:$G,Eventos!$F:$F,$L1040,Eventos!$D:$D,$C$2,Eventos!$B:$B,PANES_SEMANALES[[#ALL],[MARTES]])</f>
        <v>0</v>
      </c>
      <c r="O1040" s="59">
        <f>SUMIFS(Eventos!$G:$G,Eventos!$F:$F,$L1040,Eventos!$D:$D,$C$2,Eventos!$B:$B,PANES_SEMANALES[[#ALL],[MIÉRCOLES]])</f>
        <v>0</v>
      </c>
      <c r="P1040" s="59">
        <f>SUMIFS(Eventos!$G:$G,Eventos!$F:$F,$L1040,Eventos!$D:$D,$C$2,Eventos!$B:$B,PANES_SEMANALES[[#ALL],[JUEVES]])</f>
        <v>0</v>
      </c>
      <c r="Q1040" s="59">
        <f>IF(P1040&lt;&gt;"",SUMIFS(Eventos!$G:$G,Eventos!$B:$B,Q$2,Eventos!$D:$D,$C$2,Eventos!$F:$F,$L1040),"")</f>
        <v>0</v>
      </c>
      <c r="R1040" s="59">
        <f>SUMIFS(Eventos!$G:$G,Eventos!$F:$F,$L1040,Eventos!$D:$D,$C$2,Eventos!$B:$B,PANES_SEMANALES[[#ALL],[SÁBADO]])</f>
        <v>0</v>
      </c>
      <c r="S1040" s="59">
        <f>SUMIFS(Eventos!$G:$G,Eventos!$F:$F,$L1040,Eventos!$D:$D,$C$2,Eventos!$B:$B,PANES_SEMANALES[[#ALL],[DOMINGO]])</f>
        <v>0</v>
      </c>
      <c r="T1040" s="59">
        <f t="shared" si="1"/>
        <v>0</v>
      </c>
    </row>
    <row r="1041" ht="22.5" customHeight="1">
      <c r="M1041" s="59">
        <f>SUMIFS(Eventos!$G:$G,Eventos!$F:$F,$L1041,Eventos!$D:$D,$C$2,Eventos!$B:$B,PANES_SEMANALES[[#ALL],[LUNES]])</f>
        <v>0</v>
      </c>
      <c r="N1041" s="59">
        <f>SUMIFS(Eventos!$G:$G,Eventos!$F:$F,$L1041,Eventos!$D:$D,$C$2,Eventos!$B:$B,PANES_SEMANALES[[#ALL],[MARTES]])</f>
        <v>0</v>
      </c>
      <c r="O1041" s="59">
        <f>SUMIFS(Eventos!$G:$G,Eventos!$F:$F,$L1041,Eventos!$D:$D,$C$2,Eventos!$B:$B,PANES_SEMANALES[[#ALL],[MIÉRCOLES]])</f>
        <v>0</v>
      </c>
      <c r="P1041" s="59">
        <f>SUMIFS(Eventos!$G:$G,Eventos!$F:$F,$L1041,Eventos!$D:$D,$C$2,Eventos!$B:$B,PANES_SEMANALES[[#ALL],[JUEVES]])</f>
        <v>0</v>
      </c>
      <c r="Q1041" s="59">
        <f>IF(P1041&lt;&gt;"",SUMIFS(Eventos!$G:$G,Eventos!$B:$B,Q$2,Eventos!$D:$D,$C$2,Eventos!$F:$F,$L1041),"")</f>
        <v>0</v>
      </c>
      <c r="R1041" s="59">
        <f>SUMIFS(Eventos!$G:$G,Eventos!$F:$F,$L1041,Eventos!$D:$D,$C$2,Eventos!$B:$B,PANES_SEMANALES[[#ALL],[SÁBADO]])</f>
        <v>0</v>
      </c>
      <c r="S1041" s="59">
        <f>SUMIFS(Eventos!$G:$G,Eventos!$F:$F,$L1041,Eventos!$D:$D,$C$2,Eventos!$B:$B,PANES_SEMANALES[[#ALL],[DOMINGO]])</f>
        <v>0</v>
      </c>
      <c r="T1041" s="59">
        <f t="shared" si="1"/>
        <v>0</v>
      </c>
    </row>
    <row r="1042" ht="22.5" customHeight="1">
      <c r="M1042" s="59">
        <f>SUMIFS(Eventos!$G:$G,Eventos!$F:$F,$L1042,Eventos!$D:$D,$C$2,Eventos!$B:$B,PANES_SEMANALES[[#ALL],[LUNES]])</f>
        <v>0</v>
      </c>
      <c r="N1042" s="59">
        <f>SUMIFS(Eventos!$G:$G,Eventos!$F:$F,$L1042,Eventos!$D:$D,$C$2,Eventos!$B:$B,PANES_SEMANALES[[#ALL],[MARTES]])</f>
        <v>0</v>
      </c>
      <c r="O1042" s="59">
        <f>SUMIFS(Eventos!$G:$G,Eventos!$F:$F,$L1042,Eventos!$D:$D,$C$2,Eventos!$B:$B,PANES_SEMANALES[[#ALL],[MIÉRCOLES]])</f>
        <v>0</v>
      </c>
      <c r="P1042" s="59">
        <f>SUMIFS(Eventos!$G:$G,Eventos!$F:$F,$L1042,Eventos!$D:$D,$C$2,Eventos!$B:$B,PANES_SEMANALES[[#ALL],[JUEVES]])</f>
        <v>0</v>
      </c>
      <c r="Q1042" s="59">
        <f>IF(P1042&lt;&gt;"",SUMIFS(Eventos!$G:$G,Eventos!$B:$B,Q$2,Eventos!$D:$D,$C$2,Eventos!$F:$F,$L1042),"")</f>
        <v>0</v>
      </c>
      <c r="R1042" s="59">
        <f>SUMIFS(Eventos!$G:$G,Eventos!$F:$F,$L1042,Eventos!$D:$D,$C$2,Eventos!$B:$B,PANES_SEMANALES[[#ALL],[SÁBADO]])</f>
        <v>0</v>
      </c>
      <c r="S1042" s="59">
        <f>SUMIFS(Eventos!$G:$G,Eventos!$F:$F,$L1042,Eventos!$D:$D,$C$2,Eventos!$B:$B,PANES_SEMANALES[[#ALL],[DOMINGO]])</f>
        <v>0</v>
      </c>
      <c r="T1042" s="59">
        <f t="shared" si="1"/>
        <v>0</v>
      </c>
    </row>
    <row r="1043" ht="22.5" customHeight="1">
      <c r="M1043" s="59">
        <f>SUMIFS(Eventos!$G:$G,Eventos!$F:$F,$L1043,Eventos!$D:$D,$C$2,Eventos!$B:$B,PANES_SEMANALES[[#ALL],[LUNES]])</f>
        <v>0</v>
      </c>
      <c r="N1043" s="59">
        <f>SUMIFS(Eventos!$G:$G,Eventos!$F:$F,$L1043,Eventos!$D:$D,$C$2,Eventos!$B:$B,PANES_SEMANALES[[#ALL],[MARTES]])</f>
        <v>0</v>
      </c>
      <c r="O1043" s="59">
        <f>SUMIFS(Eventos!$G:$G,Eventos!$F:$F,$L1043,Eventos!$D:$D,$C$2,Eventos!$B:$B,PANES_SEMANALES[[#ALL],[MIÉRCOLES]])</f>
        <v>0</v>
      </c>
      <c r="P1043" s="59">
        <f>SUMIFS(Eventos!$G:$G,Eventos!$F:$F,$L1043,Eventos!$D:$D,$C$2,Eventos!$B:$B,PANES_SEMANALES[[#ALL],[JUEVES]])</f>
        <v>0</v>
      </c>
      <c r="Q1043" s="59">
        <f>IF(P1043&lt;&gt;"",SUMIFS(Eventos!$G:$G,Eventos!$B:$B,Q$2,Eventos!$D:$D,$C$2,Eventos!$F:$F,$L1043),"")</f>
        <v>0</v>
      </c>
      <c r="R1043" s="59">
        <f>SUMIFS(Eventos!$G:$G,Eventos!$F:$F,$L1043,Eventos!$D:$D,$C$2,Eventos!$B:$B,PANES_SEMANALES[[#ALL],[SÁBADO]])</f>
        <v>0</v>
      </c>
      <c r="S1043" s="59">
        <f>SUMIFS(Eventos!$G:$G,Eventos!$F:$F,$L1043,Eventos!$D:$D,$C$2,Eventos!$B:$B,PANES_SEMANALES[[#ALL],[DOMINGO]])</f>
        <v>0</v>
      </c>
      <c r="T1043" s="59">
        <f t="shared" si="1"/>
        <v>0</v>
      </c>
    </row>
    <row r="1044" ht="22.5" customHeight="1">
      <c r="M1044" s="59">
        <f>SUMIFS(Eventos!$G:$G,Eventos!$F:$F,$L1044,Eventos!$D:$D,$C$2,Eventos!$B:$B,PANES_SEMANALES[[#ALL],[LUNES]])</f>
        <v>0</v>
      </c>
      <c r="N1044" s="59">
        <f>SUMIFS(Eventos!$G:$G,Eventos!$F:$F,$L1044,Eventos!$D:$D,$C$2,Eventos!$B:$B,PANES_SEMANALES[[#ALL],[MARTES]])</f>
        <v>0</v>
      </c>
      <c r="O1044" s="59">
        <f>SUMIFS(Eventos!$G:$G,Eventos!$F:$F,$L1044,Eventos!$D:$D,$C$2,Eventos!$B:$B,PANES_SEMANALES[[#ALL],[MIÉRCOLES]])</f>
        <v>0</v>
      </c>
      <c r="P1044" s="59">
        <f>SUMIFS(Eventos!$G:$G,Eventos!$F:$F,$L1044,Eventos!$D:$D,$C$2,Eventos!$B:$B,PANES_SEMANALES[[#ALL],[JUEVES]])</f>
        <v>0</v>
      </c>
      <c r="Q1044" s="59">
        <f>IF(P1044&lt;&gt;"",SUMIFS(Eventos!$G:$G,Eventos!$B:$B,Q$2,Eventos!$D:$D,$C$2,Eventos!$F:$F,$L1044),"")</f>
        <v>0</v>
      </c>
      <c r="R1044" s="59">
        <f>SUMIFS(Eventos!$G:$G,Eventos!$F:$F,$L1044,Eventos!$D:$D,$C$2,Eventos!$B:$B,PANES_SEMANALES[[#ALL],[SÁBADO]])</f>
        <v>0</v>
      </c>
      <c r="S1044" s="59">
        <f>SUMIFS(Eventos!$G:$G,Eventos!$F:$F,$L1044,Eventos!$D:$D,$C$2,Eventos!$B:$B,PANES_SEMANALES[[#ALL],[DOMINGO]])</f>
        <v>0</v>
      </c>
      <c r="T1044" s="59">
        <f t="shared" si="1"/>
        <v>0</v>
      </c>
    </row>
    <row r="1045" ht="22.5" customHeight="1">
      <c r="M1045" s="59">
        <f>SUMIFS(Eventos!$G:$G,Eventos!$F:$F,$L1045,Eventos!$D:$D,$C$2,Eventos!$B:$B,PANES_SEMANALES[[#ALL],[LUNES]])</f>
        <v>0</v>
      </c>
      <c r="N1045" s="59">
        <f>SUMIFS(Eventos!$G:$G,Eventos!$F:$F,$L1045,Eventos!$D:$D,$C$2,Eventos!$B:$B,PANES_SEMANALES[[#ALL],[MARTES]])</f>
        <v>0</v>
      </c>
      <c r="O1045" s="59">
        <f>SUMIFS(Eventos!$G:$G,Eventos!$F:$F,$L1045,Eventos!$D:$D,$C$2,Eventos!$B:$B,PANES_SEMANALES[[#ALL],[MIÉRCOLES]])</f>
        <v>0</v>
      </c>
      <c r="P1045" s="59">
        <f>SUMIFS(Eventos!$G:$G,Eventos!$F:$F,$L1045,Eventos!$D:$D,$C$2,Eventos!$B:$B,PANES_SEMANALES[[#ALL],[JUEVES]])</f>
        <v>0</v>
      </c>
      <c r="Q1045" s="59">
        <f>IF(P1045&lt;&gt;"",SUMIFS(Eventos!$G:$G,Eventos!$B:$B,Q$2,Eventos!$D:$D,$C$2,Eventos!$F:$F,$L1045),"")</f>
        <v>0</v>
      </c>
      <c r="R1045" s="59">
        <f>SUMIFS(Eventos!$G:$G,Eventos!$F:$F,$L1045,Eventos!$D:$D,$C$2,Eventos!$B:$B,PANES_SEMANALES[[#ALL],[SÁBADO]])</f>
        <v>0</v>
      </c>
      <c r="S1045" s="59">
        <f>SUMIFS(Eventos!$G:$G,Eventos!$F:$F,$L1045,Eventos!$D:$D,$C$2,Eventos!$B:$B,PANES_SEMANALES[[#ALL],[DOMINGO]])</f>
        <v>0</v>
      </c>
      <c r="T1045" s="59">
        <f t="shared" si="1"/>
        <v>0</v>
      </c>
    </row>
    <row r="1046" ht="22.5" customHeight="1">
      <c r="M1046" s="59">
        <f>SUMIFS(Eventos!$G:$G,Eventos!$F:$F,$L1046,Eventos!$D:$D,$C$2,Eventos!$B:$B,PANES_SEMANALES[[#ALL],[LUNES]])</f>
        <v>0</v>
      </c>
      <c r="N1046" s="59">
        <f>SUMIFS(Eventos!$G:$G,Eventos!$F:$F,$L1046,Eventos!$D:$D,$C$2,Eventos!$B:$B,PANES_SEMANALES[[#ALL],[MARTES]])</f>
        <v>0</v>
      </c>
      <c r="O1046" s="59">
        <f>SUMIFS(Eventos!$G:$G,Eventos!$F:$F,$L1046,Eventos!$D:$D,$C$2,Eventos!$B:$B,PANES_SEMANALES[[#ALL],[MIÉRCOLES]])</f>
        <v>0</v>
      </c>
      <c r="P1046" s="59">
        <f>SUMIFS(Eventos!$G:$G,Eventos!$F:$F,$L1046,Eventos!$D:$D,$C$2,Eventos!$B:$B,PANES_SEMANALES[[#ALL],[JUEVES]])</f>
        <v>0</v>
      </c>
      <c r="Q1046" s="59">
        <f>IF(P1046&lt;&gt;"",SUMIFS(Eventos!$G:$G,Eventos!$B:$B,Q$2,Eventos!$D:$D,$C$2,Eventos!$F:$F,$L1046),"")</f>
        <v>0</v>
      </c>
      <c r="R1046" s="59">
        <f>SUMIFS(Eventos!$G:$G,Eventos!$F:$F,$L1046,Eventos!$D:$D,$C$2,Eventos!$B:$B,PANES_SEMANALES[[#ALL],[SÁBADO]])</f>
        <v>0</v>
      </c>
      <c r="S1046" s="59">
        <f>SUMIFS(Eventos!$G:$G,Eventos!$F:$F,$L1046,Eventos!$D:$D,$C$2,Eventos!$B:$B,PANES_SEMANALES[[#ALL],[DOMINGO]])</f>
        <v>0</v>
      </c>
      <c r="T1046" s="59">
        <f t="shared" si="1"/>
        <v>0</v>
      </c>
    </row>
    <row r="1047" ht="22.5" customHeight="1">
      <c r="M1047" s="59">
        <f>SUMIFS(Eventos!$G:$G,Eventos!$F:$F,$L1047,Eventos!$D:$D,$C$2,Eventos!$B:$B,PANES_SEMANALES[[#ALL],[LUNES]])</f>
        <v>0</v>
      </c>
      <c r="N1047" s="59">
        <f>SUMIFS(Eventos!$G:$G,Eventos!$F:$F,$L1047,Eventos!$D:$D,$C$2,Eventos!$B:$B,PANES_SEMANALES[[#ALL],[MARTES]])</f>
        <v>0</v>
      </c>
      <c r="O1047" s="59">
        <f>SUMIFS(Eventos!$G:$G,Eventos!$F:$F,$L1047,Eventos!$D:$D,$C$2,Eventos!$B:$B,PANES_SEMANALES[[#ALL],[MIÉRCOLES]])</f>
        <v>0</v>
      </c>
      <c r="P1047" s="59">
        <f>SUMIFS(Eventos!$G:$G,Eventos!$F:$F,$L1047,Eventos!$D:$D,$C$2,Eventos!$B:$B,PANES_SEMANALES[[#ALL],[JUEVES]])</f>
        <v>0</v>
      </c>
      <c r="Q1047" s="59">
        <f>IF(P1047&lt;&gt;"",SUMIFS(Eventos!$G:$G,Eventos!$B:$B,Q$2,Eventos!$D:$D,$C$2,Eventos!$F:$F,$L1047),"")</f>
        <v>0</v>
      </c>
      <c r="R1047" s="59">
        <f>SUMIFS(Eventos!$G:$G,Eventos!$F:$F,$L1047,Eventos!$D:$D,$C$2,Eventos!$B:$B,PANES_SEMANALES[[#ALL],[SÁBADO]])</f>
        <v>0</v>
      </c>
      <c r="S1047" s="59">
        <f>SUMIFS(Eventos!$G:$G,Eventos!$F:$F,$L1047,Eventos!$D:$D,$C$2,Eventos!$B:$B,PANES_SEMANALES[[#ALL],[DOMINGO]])</f>
        <v>0</v>
      </c>
      <c r="T1047" s="59">
        <f t="shared" si="1"/>
        <v>0</v>
      </c>
    </row>
    <row r="1048" ht="22.5" customHeight="1">
      <c r="M1048" s="59">
        <f>SUMIFS(Eventos!$G:$G,Eventos!$F:$F,$L1048,Eventos!$D:$D,$C$2,Eventos!$B:$B,PANES_SEMANALES[[#ALL],[LUNES]])</f>
        <v>0</v>
      </c>
      <c r="N1048" s="59">
        <f>SUMIFS(Eventos!$G:$G,Eventos!$F:$F,$L1048,Eventos!$D:$D,$C$2,Eventos!$B:$B,PANES_SEMANALES[[#ALL],[MARTES]])</f>
        <v>0</v>
      </c>
      <c r="O1048" s="59">
        <f>SUMIFS(Eventos!$G:$G,Eventos!$F:$F,$L1048,Eventos!$D:$D,$C$2,Eventos!$B:$B,PANES_SEMANALES[[#ALL],[MIÉRCOLES]])</f>
        <v>0</v>
      </c>
      <c r="P1048" s="59">
        <f>SUMIFS(Eventos!$G:$G,Eventos!$F:$F,$L1048,Eventos!$D:$D,$C$2,Eventos!$B:$B,PANES_SEMANALES[[#ALL],[JUEVES]])</f>
        <v>0</v>
      </c>
      <c r="Q1048" s="59">
        <f>IF(P1048&lt;&gt;"",SUMIFS(Eventos!$G:$G,Eventos!$B:$B,Q$2,Eventos!$D:$D,$C$2,Eventos!$F:$F,$L1048),"")</f>
        <v>0</v>
      </c>
      <c r="R1048" s="59">
        <f>SUMIFS(Eventos!$G:$G,Eventos!$F:$F,$L1048,Eventos!$D:$D,$C$2,Eventos!$B:$B,PANES_SEMANALES[[#ALL],[SÁBADO]])</f>
        <v>0</v>
      </c>
      <c r="S1048" s="59">
        <f>SUMIFS(Eventos!$G:$G,Eventos!$F:$F,$L1048,Eventos!$D:$D,$C$2,Eventos!$B:$B,PANES_SEMANALES[[#ALL],[DOMINGO]])</f>
        <v>0</v>
      </c>
      <c r="T1048" s="59">
        <f t="shared" si="1"/>
        <v>0</v>
      </c>
    </row>
    <row r="1049" ht="22.5" customHeight="1">
      <c r="M1049" s="59">
        <f>SUMIFS(Eventos!$G:$G,Eventos!$F:$F,$L1049,Eventos!$D:$D,$C$2,Eventos!$B:$B,PANES_SEMANALES[[#ALL],[LUNES]])</f>
        <v>0</v>
      </c>
      <c r="N1049" s="59">
        <f>SUMIFS(Eventos!$G:$G,Eventos!$F:$F,$L1049,Eventos!$D:$D,$C$2,Eventos!$B:$B,PANES_SEMANALES[[#ALL],[MARTES]])</f>
        <v>0</v>
      </c>
      <c r="O1049" s="59">
        <f>SUMIFS(Eventos!$G:$G,Eventos!$F:$F,$L1049,Eventos!$D:$D,$C$2,Eventos!$B:$B,PANES_SEMANALES[[#ALL],[MIÉRCOLES]])</f>
        <v>0</v>
      </c>
      <c r="P1049" s="59">
        <f>SUMIFS(Eventos!$G:$G,Eventos!$F:$F,$L1049,Eventos!$D:$D,$C$2,Eventos!$B:$B,PANES_SEMANALES[[#ALL],[JUEVES]])</f>
        <v>0</v>
      </c>
      <c r="Q1049" s="59">
        <f>IF(P1049&lt;&gt;"",SUMIFS(Eventos!$G:$G,Eventos!$B:$B,Q$2,Eventos!$D:$D,$C$2,Eventos!$F:$F,$L1049),"")</f>
        <v>0</v>
      </c>
      <c r="R1049" s="59">
        <f>SUMIFS(Eventos!$G:$G,Eventos!$F:$F,$L1049,Eventos!$D:$D,$C$2,Eventos!$B:$B,PANES_SEMANALES[[#ALL],[SÁBADO]])</f>
        <v>0</v>
      </c>
      <c r="S1049" s="59">
        <f>SUMIFS(Eventos!$G:$G,Eventos!$F:$F,$L1049,Eventos!$D:$D,$C$2,Eventos!$B:$B,PANES_SEMANALES[[#ALL],[DOMINGO]])</f>
        <v>0</v>
      </c>
      <c r="T1049" s="59">
        <f t="shared" si="1"/>
        <v>0</v>
      </c>
    </row>
    <row r="1050" ht="22.5" customHeight="1">
      <c r="M1050" s="59">
        <f>SUMIFS(Eventos!$G:$G,Eventos!$F:$F,$L1050,Eventos!$D:$D,$C$2,Eventos!$B:$B,PANES_SEMANALES[[#ALL],[LUNES]])</f>
        <v>0</v>
      </c>
      <c r="N1050" s="59">
        <f>SUMIFS(Eventos!$G:$G,Eventos!$F:$F,$L1050,Eventos!$D:$D,$C$2,Eventos!$B:$B,PANES_SEMANALES[[#ALL],[MARTES]])</f>
        <v>0</v>
      </c>
      <c r="O1050" s="59">
        <f>SUMIFS(Eventos!$G:$G,Eventos!$F:$F,$L1050,Eventos!$D:$D,$C$2,Eventos!$B:$B,PANES_SEMANALES[[#ALL],[MIÉRCOLES]])</f>
        <v>0</v>
      </c>
      <c r="P1050" s="59">
        <f>SUMIFS(Eventos!$G:$G,Eventos!$F:$F,$L1050,Eventos!$D:$D,$C$2,Eventos!$B:$B,PANES_SEMANALES[[#ALL],[JUEVES]])</f>
        <v>0</v>
      </c>
      <c r="Q1050" s="59">
        <f>IF(P1050&lt;&gt;"",SUMIFS(Eventos!$G:$G,Eventos!$B:$B,Q$2,Eventos!$D:$D,$C$2,Eventos!$F:$F,$L1050),"")</f>
        <v>0</v>
      </c>
      <c r="R1050" s="59">
        <f>SUMIFS(Eventos!$G:$G,Eventos!$F:$F,$L1050,Eventos!$D:$D,$C$2,Eventos!$B:$B,PANES_SEMANALES[[#ALL],[SÁBADO]])</f>
        <v>0</v>
      </c>
      <c r="S1050" s="59">
        <f>SUMIFS(Eventos!$G:$G,Eventos!$F:$F,$L1050,Eventos!$D:$D,$C$2,Eventos!$B:$B,PANES_SEMANALES[[#ALL],[DOMINGO]])</f>
        <v>0</v>
      </c>
      <c r="T1050" s="59">
        <f t="shared" si="1"/>
        <v>0</v>
      </c>
    </row>
    <row r="1051" ht="22.5" customHeight="1">
      <c r="M1051" s="59">
        <f>SUMIFS(Eventos!$G:$G,Eventos!$F:$F,$L1051,Eventos!$D:$D,$C$2,Eventos!$B:$B,PANES_SEMANALES[[#ALL],[LUNES]])</f>
        <v>0</v>
      </c>
      <c r="N1051" s="59">
        <f>SUMIFS(Eventos!$G:$G,Eventos!$F:$F,$L1051,Eventos!$D:$D,$C$2,Eventos!$B:$B,PANES_SEMANALES[[#ALL],[MARTES]])</f>
        <v>0</v>
      </c>
      <c r="O1051" s="59">
        <f>SUMIFS(Eventos!$G:$G,Eventos!$F:$F,$L1051,Eventos!$D:$D,$C$2,Eventos!$B:$B,PANES_SEMANALES[[#ALL],[MIÉRCOLES]])</f>
        <v>0</v>
      </c>
      <c r="P1051" s="59">
        <f>SUMIFS(Eventos!$G:$G,Eventos!$F:$F,$L1051,Eventos!$D:$D,$C$2,Eventos!$B:$B,PANES_SEMANALES[[#ALL],[JUEVES]])</f>
        <v>0</v>
      </c>
      <c r="Q1051" s="59">
        <f>IF(P1051&lt;&gt;"",SUMIFS(Eventos!$G:$G,Eventos!$B:$B,Q$2,Eventos!$D:$D,$C$2,Eventos!$F:$F,$L1051),"")</f>
        <v>0</v>
      </c>
      <c r="R1051" s="59">
        <f>SUMIFS(Eventos!$G:$G,Eventos!$F:$F,$L1051,Eventos!$D:$D,$C$2,Eventos!$B:$B,PANES_SEMANALES[[#ALL],[SÁBADO]])</f>
        <v>0</v>
      </c>
      <c r="S1051" s="59">
        <f>SUMIFS(Eventos!$G:$G,Eventos!$F:$F,$L1051,Eventos!$D:$D,$C$2,Eventos!$B:$B,PANES_SEMANALES[[#ALL],[DOMINGO]])</f>
        <v>0</v>
      </c>
      <c r="T1051" s="59">
        <f t="shared" si="1"/>
        <v>0</v>
      </c>
    </row>
    <row r="1052" ht="22.5" customHeight="1">
      <c r="M1052" s="59">
        <f>SUMIFS(Eventos!$G:$G,Eventos!$F:$F,$L1052,Eventos!$D:$D,$C$2,Eventos!$B:$B,PANES_SEMANALES[[#ALL],[LUNES]])</f>
        <v>0</v>
      </c>
      <c r="N1052" s="59">
        <f>SUMIFS(Eventos!$G:$G,Eventos!$F:$F,$L1052,Eventos!$D:$D,$C$2,Eventos!$B:$B,PANES_SEMANALES[[#ALL],[MARTES]])</f>
        <v>0</v>
      </c>
      <c r="O1052" s="59">
        <f>SUMIFS(Eventos!$G:$G,Eventos!$F:$F,$L1052,Eventos!$D:$D,$C$2,Eventos!$B:$B,PANES_SEMANALES[[#ALL],[MIÉRCOLES]])</f>
        <v>0</v>
      </c>
      <c r="P1052" s="59">
        <f>SUMIFS(Eventos!$G:$G,Eventos!$F:$F,$L1052,Eventos!$D:$D,$C$2,Eventos!$B:$B,PANES_SEMANALES[[#ALL],[JUEVES]])</f>
        <v>0</v>
      </c>
      <c r="Q1052" s="59">
        <f>IF(P1052&lt;&gt;"",SUMIFS(Eventos!$G:$G,Eventos!$B:$B,Q$2,Eventos!$D:$D,$C$2,Eventos!$F:$F,$L1052),"")</f>
        <v>0</v>
      </c>
      <c r="R1052" s="59">
        <f>SUMIFS(Eventos!$G:$G,Eventos!$F:$F,$L1052,Eventos!$D:$D,$C$2,Eventos!$B:$B,PANES_SEMANALES[[#ALL],[SÁBADO]])</f>
        <v>0</v>
      </c>
      <c r="S1052" s="59">
        <f>SUMIFS(Eventos!$G:$G,Eventos!$F:$F,$L1052,Eventos!$D:$D,$C$2,Eventos!$B:$B,PANES_SEMANALES[[#ALL],[DOMINGO]])</f>
        <v>0</v>
      </c>
      <c r="T1052" s="59">
        <f t="shared" si="1"/>
        <v>0</v>
      </c>
    </row>
    <row r="1053" ht="22.5" customHeight="1">
      <c r="M1053" s="59">
        <f>SUMIFS(Eventos!$G:$G,Eventos!$F:$F,$L1053,Eventos!$D:$D,$C$2,Eventos!$B:$B,PANES_SEMANALES[[#ALL],[LUNES]])</f>
        <v>0</v>
      </c>
      <c r="N1053" s="59">
        <f>SUMIFS(Eventos!$G:$G,Eventos!$F:$F,$L1053,Eventos!$D:$D,$C$2,Eventos!$B:$B,PANES_SEMANALES[[#ALL],[MARTES]])</f>
        <v>0</v>
      </c>
      <c r="O1053" s="59">
        <f>SUMIFS(Eventos!$G:$G,Eventos!$F:$F,$L1053,Eventos!$D:$D,$C$2,Eventos!$B:$B,PANES_SEMANALES[[#ALL],[MIÉRCOLES]])</f>
        <v>0</v>
      </c>
      <c r="P1053" s="59">
        <f>SUMIFS(Eventos!$G:$G,Eventos!$F:$F,$L1053,Eventos!$D:$D,$C$2,Eventos!$B:$B,PANES_SEMANALES[[#ALL],[JUEVES]])</f>
        <v>0</v>
      </c>
      <c r="Q1053" s="59">
        <f>IF(P1053&lt;&gt;"",SUMIFS(Eventos!$G:$G,Eventos!$B:$B,Q$2,Eventos!$D:$D,$C$2,Eventos!$F:$F,$L1053),"")</f>
        <v>0</v>
      </c>
      <c r="R1053" s="59">
        <f>SUMIFS(Eventos!$G:$G,Eventos!$F:$F,$L1053,Eventos!$D:$D,$C$2,Eventos!$B:$B,PANES_SEMANALES[[#ALL],[SÁBADO]])</f>
        <v>0</v>
      </c>
      <c r="S1053" s="59">
        <f>SUMIFS(Eventos!$G:$G,Eventos!$F:$F,$L1053,Eventos!$D:$D,$C$2,Eventos!$B:$B,PANES_SEMANALES[[#ALL],[DOMINGO]])</f>
        <v>0</v>
      </c>
      <c r="T1053" s="59">
        <f t="shared" si="1"/>
        <v>0</v>
      </c>
    </row>
    <row r="1054" ht="22.5" customHeight="1">
      <c r="M1054" s="59">
        <f>SUMIFS(Eventos!$G:$G,Eventos!$F:$F,$L1054,Eventos!$D:$D,$C$2,Eventos!$B:$B,PANES_SEMANALES[[#ALL],[LUNES]])</f>
        <v>0</v>
      </c>
      <c r="N1054" s="59">
        <f>SUMIFS(Eventos!$G:$G,Eventos!$F:$F,$L1054,Eventos!$D:$D,$C$2,Eventos!$B:$B,PANES_SEMANALES[[#ALL],[MARTES]])</f>
        <v>0</v>
      </c>
      <c r="O1054" s="59">
        <f>SUMIFS(Eventos!$G:$G,Eventos!$F:$F,$L1054,Eventos!$D:$D,$C$2,Eventos!$B:$B,PANES_SEMANALES[[#ALL],[MIÉRCOLES]])</f>
        <v>0</v>
      </c>
      <c r="P1054" s="59">
        <f>SUMIFS(Eventos!$G:$G,Eventos!$F:$F,$L1054,Eventos!$D:$D,$C$2,Eventos!$B:$B,PANES_SEMANALES[[#ALL],[JUEVES]])</f>
        <v>0</v>
      </c>
      <c r="Q1054" s="59">
        <f>IF(P1054&lt;&gt;"",SUMIFS(Eventos!$G:$G,Eventos!$B:$B,Q$2,Eventos!$D:$D,$C$2,Eventos!$F:$F,$L1054),"")</f>
        <v>0</v>
      </c>
      <c r="R1054" s="59">
        <f>SUMIFS(Eventos!$G:$G,Eventos!$F:$F,$L1054,Eventos!$D:$D,$C$2,Eventos!$B:$B,PANES_SEMANALES[[#ALL],[SÁBADO]])</f>
        <v>0</v>
      </c>
      <c r="S1054" s="59">
        <f>SUMIFS(Eventos!$G:$G,Eventos!$F:$F,$L1054,Eventos!$D:$D,$C$2,Eventos!$B:$B,PANES_SEMANALES[[#ALL],[DOMINGO]])</f>
        <v>0</v>
      </c>
      <c r="T1054" s="59">
        <f t="shared" si="1"/>
        <v>0</v>
      </c>
    </row>
    <row r="1055" ht="22.5" customHeight="1">
      <c r="M1055" s="59">
        <f>SUMIFS(Eventos!$G:$G,Eventos!$F:$F,$L1055,Eventos!$D:$D,$C$2,Eventos!$B:$B,PANES_SEMANALES[[#ALL],[LUNES]])</f>
        <v>0</v>
      </c>
      <c r="N1055" s="59">
        <f>SUMIFS(Eventos!$G:$G,Eventos!$F:$F,$L1055,Eventos!$D:$D,$C$2,Eventos!$B:$B,PANES_SEMANALES[[#ALL],[MARTES]])</f>
        <v>0</v>
      </c>
      <c r="O1055" s="59">
        <f>SUMIFS(Eventos!$G:$G,Eventos!$F:$F,$L1055,Eventos!$D:$D,$C$2,Eventos!$B:$B,PANES_SEMANALES[[#ALL],[MIÉRCOLES]])</f>
        <v>0</v>
      </c>
      <c r="P1055" s="59">
        <f>SUMIFS(Eventos!$G:$G,Eventos!$F:$F,$L1055,Eventos!$D:$D,$C$2,Eventos!$B:$B,PANES_SEMANALES[[#ALL],[JUEVES]])</f>
        <v>0</v>
      </c>
      <c r="Q1055" s="59">
        <f>IF(P1055&lt;&gt;"",SUMIFS(Eventos!$G:$G,Eventos!$B:$B,Q$2,Eventos!$D:$D,$C$2,Eventos!$F:$F,$L1055),"")</f>
        <v>0</v>
      </c>
      <c r="R1055" s="59">
        <f>SUMIFS(Eventos!$G:$G,Eventos!$F:$F,$L1055,Eventos!$D:$D,$C$2,Eventos!$B:$B,PANES_SEMANALES[[#ALL],[SÁBADO]])</f>
        <v>0</v>
      </c>
      <c r="S1055" s="59">
        <f>SUMIFS(Eventos!$G:$G,Eventos!$F:$F,$L1055,Eventos!$D:$D,$C$2,Eventos!$B:$B,PANES_SEMANALES[[#ALL],[DOMINGO]])</f>
        <v>0</v>
      </c>
      <c r="T1055" s="59">
        <f t="shared" si="1"/>
        <v>0</v>
      </c>
    </row>
    <row r="1056" ht="22.5" customHeight="1">
      <c r="M1056" s="59">
        <f>SUMIFS(Eventos!$G:$G,Eventos!$F:$F,$L1056,Eventos!$D:$D,$C$2,Eventos!$B:$B,PANES_SEMANALES[[#ALL],[LUNES]])</f>
        <v>0</v>
      </c>
      <c r="N1056" s="59">
        <f>SUMIFS(Eventos!$G:$G,Eventos!$F:$F,$L1056,Eventos!$D:$D,$C$2,Eventos!$B:$B,PANES_SEMANALES[[#ALL],[MARTES]])</f>
        <v>0</v>
      </c>
      <c r="O1056" s="59">
        <f>SUMIFS(Eventos!$G:$G,Eventos!$F:$F,$L1056,Eventos!$D:$D,$C$2,Eventos!$B:$B,PANES_SEMANALES[[#ALL],[MIÉRCOLES]])</f>
        <v>0</v>
      </c>
      <c r="P1056" s="59">
        <f>SUMIFS(Eventos!$G:$G,Eventos!$F:$F,$L1056,Eventos!$D:$D,$C$2,Eventos!$B:$B,PANES_SEMANALES[[#ALL],[JUEVES]])</f>
        <v>0</v>
      </c>
      <c r="Q1056" s="59">
        <f>IF(P1056&lt;&gt;"",SUMIFS(Eventos!$G:$G,Eventos!$B:$B,Q$2,Eventos!$D:$D,$C$2,Eventos!$F:$F,$L1056),"")</f>
        <v>0</v>
      </c>
      <c r="R1056" s="59">
        <f>SUMIFS(Eventos!$G:$G,Eventos!$F:$F,$L1056,Eventos!$D:$D,$C$2,Eventos!$B:$B,PANES_SEMANALES[[#ALL],[SÁBADO]])</f>
        <v>0</v>
      </c>
      <c r="S1056" s="59">
        <f>SUMIFS(Eventos!$G:$G,Eventos!$F:$F,$L1056,Eventos!$D:$D,$C$2,Eventos!$B:$B,PANES_SEMANALES[[#ALL],[DOMINGO]])</f>
        <v>0</v>
      </c>
      <c r="T1056" s="59">
        <f t="shared" si="1"/>
        <v>0</v>
      </c>
    </row>
    <row r="1057" ht="22.5" customHeight="1">
      <c r="M1057" s="59">
        <f>SUMIFS(Eventos!$G:$G,Eventos!$F:$F,$L1057,Eventos!$D:$D,$C$2,Eventos!$B:$B,PANES_SEMANALES[[#ALL],[LUNES]])</f>
        <v>0</v>
      </c>
      <c r="N1057" s="59">
        <f>SUMIFS(Eventos!$G:$G,Eventos!$F:$F,$L1057,Eventos!$D:$D,$C$2,Eventos!$B:$B,PANES_SEMANALES[[#ALL],[MARTES]])</f>
        <v>0</v>
      </c>
      <c r="O1057" s="59">
        <f>SUMIFS(Eventos!$G:$G,Eventos!$F:$F,$L1057,Eventos!$D:$D,$C$2,Eventos!$B:$B,PANES_SEMANALES[[#ALL],[MIÉRCOLES]])</f>
        <v>0</v>
      </c>
      <c r="P1057" s="59">
        <f>SUMIFS(Eventos!$G:$G,Eventos!$F:$F,$L1057,Eventos!$D:$D,$C$2,Eventos!$B:$B,PANES_SEMANALES[[#ALL],[JUEVES]])</f>
        <v>0</v>
      </c>
      <c r="Q1057" s="59">
        <f>IF(P1057&lt;&gt;"",SUMIFS(Eventos!$G:$G,Eventos!$B:$B,Q$2,Eventos!$D:$D,$C$2,Eventos!$F:$F,$L1057),"")</f>
        <v>0</v>
      </c>
      <c r="R1057" s="59">
        <f>SUMIFS(Eventos!$G:$G,Eventos!$F:$F,$L1057,Eventos!$D:$D,$C$2,Eventos!$B:$B,PANES_SEMANALES[[#ALL],[SÁBADO]])</f>
        <v>0</v>
      </c>
      <c r="S1057" s="59">
        <f>SUMIFS(Eventos!$G:$G,Eventos!$F:$F,$L1057,Eventos!$D:$D,$C$2,Eventos!$B:$B,PANES_SEMANALES[[#ALL],[DOMINGO]])</f>
        <v>0</v>
      </c>
      <c r="T1057" s="59">
        <f t="shared" si="1"/>
        <v>0</v>
      </c>
    </row>
    <row r="1058" ht="22.5" customHeight="1">
      <c r="M1058" s="59">
        <f>SUMIFS(Eventos!$G:$G,Eventos!$F:$F,$L1058,Eventos!$D:$D,$C$2,Eventos!$B:$B,PANES_SEMANALES[[#ALL],[LUNES]])</f>
        <v>0</v>
      </c>
      <c r="N1058" s="59">
        <f>SUMIFS(Eventos!$G:$G,Eventos!$F:$F,$L1058,Eventos!$D:$D,$C$2,Eventos!$B:$B,PANES_SEMANALES[[#ALL],[MARTES]])</f>
        <v>0</v>
      </c>
      <c r="O1058" s="59">
        <f>SUMIFS(Eventos!$G:$G,Eventos!$F:$F,$L1058,Eventos!$D:$D,$C$2,Eventos!$B:$B,PANES_SEMANALES[[#ALL],[MIÉRCOLES]])</f>
        <v>0</v>
      </c>
      <c r="P1058" s="59">
        <f>SUMIFS(Eventos!$G:$G,Eventos!$F:$F,$L1058,Eventos!$D:$D,$C$2,Eventos!$B:$B,PANES_SEMANALES[[#ALL],[JUEVES]])</f>
        <v>0</v>
      </c>
      <c r="Q1058" s="59">
        <f>IF(P1058&lt;&gt;"",SUMIFS(Eventos!$G:$G,Eventos!$B:$B,Q$2,Eventos!$D:$D,$C$2,Eventos!$F:$F,$L1058),"")</f>
        <v>0</v>
      </c>
      <c r="R1058" s="59">
        <f>SUMIFS(Eventos!$G:$G,Eventos!$F:$F,$L1058,Eventos!$D:$D,$C$2,Eventos!$B:$B,PANES_SEMANALES[[#ALL],[SÁBADO]])</f>
        <v>0</v>
      </c>
      <c r="S1058" s="59">
        <f>SUMIFS(Eventos!$G:$G,Eventos!$F:$F,$L1058,Eventos!$D:$D,$C$2,Eventos!$B:$B,PANES_SEMANALES[[#ALL],[DOMINGO]])</f>
        <v>0</v>
      </c>
      <c r="T1058" s="59">
        <f t="shared" si="1"/>
        <v>0</v>
      </c>
    </row>
    <row r="1059" ht="22.5" customHeight="1">
      <c r="M1059" s="59">
        <f>SUMIFS(Eventos!$G:$G,Eventos!$F:$F,$L1059,Eventos!$D:$D,$C$2,Eventos!$B:$B,PANES_SEMANALES[[#ALL],[LUNES]])</f>
        <v>0</v>
      </c>
      <c r="N1059" s="59">
        <f>SUMIFS(Eventos!$G:$G,Eventos!$F:$F,$L1059,Eventos!$D:$D,$C$2,Eventos!$B:$B,PANES_SEMANALES[[#ALL],[MARTES]])</f>
        <v>0</v>
      </c>
      <c r="O1059" s="59">
        <f>SUMIFS(Eventos!$G:$G,Eventos!$F:$F,$L1059,Eventos!$D:$D,$C$2,Eventos!$B:$B,PANES_SEMANALES[[#ALL],[MIÉRCOLES]])</f>
        <v>0</v>
      </c>
      <c r="P1059" s="59">
        <f>SUMIFS(Eventos!$G:$G,Eventos!$F:$F,$L1059,Eventos!$D:$D,$C$2,Eventos!$B:$B,PANES_SEMANALES[[#ALL],[JUEVES]])</f>
        <v>0</v>
      </c>
      <c r="Q1059" s="59">
        <f>IF(P1059&lt;&gt;"",SUMIFS(Eventos!$G:$G,Eventos!$B:$B,Q$2,Eventos!$D:$D,$C$2,Eventos!$F:$F,$L1059),"")</f>
        <v>0</v>
      </c>
      <c r="R1059" s="59">
        <f>SUMIFS(Eventos!$G:$G,Eventos!$F:$F,$L1059,Eventos!$D:$D,$C$2,Eventos!$B:$B,PANES_SEMANALES[[#ALL],[SÁBADO]])</f>
        <v>0</v>
      </c>
      <c r="S1059" s="59">
        <f>SUMIFS(Eventos!$G:$G,Eventos!$F:$F,$L1059,Eventos!$D:$D,$C$2,Eventos!$B:$B,PANES_SEMANALES[[#ALL],[DOMINGO]])</f>
        <v>0</v>
      </c>
      <c r="T1059" s="59">
        <f t="shared" si="1"/>
        <v>0</v>
      </c>
    </row>
    <row r="1060" ht="22.5" customHeight="1">
      <c r="M1060" s="59">
        <f>SUMIFS(Eventos!$G:$G,Eventos!$F:$F,$L1060,Eventos!$D:$D,$C$2,Eventos!$B:$B,PANES_SEMANALES[[#ALL],[LUNES]])</f>
        <v>0</v>
      </c>
      <c r="N1060" s="59">
        <f>SUMIFS(Eventos!$G:$G,Eventos!$F:$F,$L1060,Eventos!$D:$D,$C$2,Eventos!$B:$B,PANES_SEMANALES[[#ALL],[MARTES]])</f>
        <v>0</v>
      </c>
      <c r="O1060" s="59">
        <f>SUMIFS(Eventos!$G:$G,Eventos!$F:$F,$L1060,Eventos!$D:$D,$C$2,Eventos!$B:$B,PANES_SEMANALES[[#ALL],[MIÉRCOLES]])</f>
        <v>0</v>
      </c>
      <c r="P1060" s="59">
        <f>SUMIFS(Eventos!$G:$G,Eventos!$F:$F,$L1060,Eventos!$D:$D,$C$2,Eventos!$B:$B,PANES_SEMANALES[[#ALL],[JUEVES]])</f>
        <v>0</v>
      </c>
      <c r="Q1060" s="59">
        <f>IF(P1060&lt;&gt;"",SUMIFS(Eventos!$G:$G,Eventos!$B:$B,Q$2,Eventos!$D:$D,$C$2,Eventos!$F:$F,$L1060),"")</f>
        <v>0</v>
      </c>
      <c r="R1060" s="59">
        <f>SUMIFS(Eventos!$G:$G,Eventos!$F:$F,$L1060,Eventos!$D:$D,$C$2,Eventos!$B:$B,PANES_SEMANALES[[#ALL],[SÁBADO]])</f>
        <v>0</v>
      </c>
      <c r="S1060" s="59">
        <f>SUMIFS(Eventos!$G:$G,Eventos!$F:$F,$L1060,Eventos!$D:$D,$C$2,Eventos!$B:$B,PANES_SEMANALES[[#ALL],[DOMINGO]])</f>
        <v>0</v>
      </c>
      <c r="T1060" s="59">
        <f t="shared" si="1"/>
        <v>0</v>
      </c>
    </row>
    <row r="1061" ht="22.5" customHeight="1">
      <c r="M1061" s="59">
        <f>SUMIFS(Eventos!$G:$G,Eventos!$F:$F,$L1061,Eventos!$D:$D,$C$2,Eventos!$B:$B,PANES_SEMANALES[[#ALL],[LUNES]])</f>
        <v>0</v>
      </c>
      <c r="N1061" s="59">
        <f>SUMIFS(Eventos!$G:$G,Eventos!$F:$F,$L1061,Eventos!$D:$D,$C$2,Eventos!$B:$B,PANES_SEMANALES[[#ALL],[MARTES]])</f>
        <v>0</v>
      </c>
      <c r="O1061" s="59">
        <f>SUMIFS(Eventos!$G:$G,Eventos!$F:$F,$L1061,Eventos!$D:$D,$C$2,Eventos!$B:$B,PANES_SEMANALES[[#ALL],[MIÉRCOLES]])</f>
        <v>0</v>
      </c>
      <c r="P1061" s="59">
        <f>SUMIFS(Eventos!$G:$G,Eventos!$F:$F,$L1061,Eventos!$D:$D,$C$2,Eventos!$B:$B,PANES_SEMANALES[[#ALL],[JUEVES]])</f>
        <v>0</v>
      </c>
      <c r="Q1061" s="59">
        <f>IF(P1061&lt;&gt;"",SUMIFS(Eventos!$G:$G,Eventos!$B:$B,Q$2,Eventos!$D:$D,$C$2,Eventos!$F:$F,$L1061),"")</f>
        <v>0</v>
      </c>
      <c r="R1061" s="59">
        <f>SUMIFS(Eventos!$G:$G,Eventos!$F:$F,$L1061,Eventos!$D:$D,$C$2,Eventos!$B:$B,PANES_SEMANALES[[#ALL],[SÁBADO]])</f>
        <v>0</v>
      </c>
      <c r="S1061" s="59">
        <f>SUMIFS(Eventos!$G:$G,Eventos!$F:$F,$L1061,Eventos!$D:$D,$C$2,Eventos!$B:$B,PANES_SEMANALES[[#ALL],[DOMINGO]])</f>
        <v>0</v>
      </c>
      <c r="T1061" s="59">
        <f t="shared" si="1"/>
        <v>0</v>
      </c>
    </row>
    <row r="1062" ht="22.5" customHeight="1">
      <c r="M1062" s="59">
        <f>SUMIFS(Eventos!$G:$G,Eventos!$F:$F,$L1062,Eventos!$D:$D,$C$2,Eventos!$B:$B,PANES_SEMANALES[[#ALL],[LUNES]])</f>
        <v>0</v>
      </c>
      <c r="N1062" s="59">
        <f>SUMIFS(Eventos!$G:$G,Eventos!$F:$F,$L1062,Eventos!$D:$D,$C$2,Eventos!$B:$B,PANES_SEMANALES[[#ALL],[MARTES]])</f>
        <v>0</v>
      </c>
      <c r="O1062" s="59">
        <f>SUMIFS(Eventos!$G:$G,Eventos!$F:$F,$L1062,Eventos!$D:$D,$C$2,Eventos!$B:$B,PANES_SEMANALES[[#ALL],[MIÉRCOLES]])</f>
        <v>0</v>
      </c>
      <c r="P1062" s="59">
        <f>SUMIFS(Eventos!$G:$G,Eventos!$F:$F,$L1062,Eventos!$D:$D,$C$2,Eventos!$B:$B,PANES_SEMANALES[[#ALL],[JUEVES]])</f>
        <v>0</v>
      </c>
      <c r="Q1062" s="59">
        <f>IF(P1062&lt;&gt;"",SUMIFS(Eventos!$G:$G,Eventos!$B:$B,Q$2,Eventos!$D:$D,$C$2,Eventos!$F:$F,$L1062),"")</f>
        <v>0</v>
      </c>
      <c r="R1062" s="59">
        <f>SUMIFS(Eventos!$G:$G,Eventos!$F:$F,$L1062,Eventos!$D:$D,$C$2,Eventos!$B:$B,PANES_SEMANALES[[#ALL],[SÁBADO]])</f>
        <v>0</v>
      </c>
      <c r="S1062" s="59">
        <f>SUMIFS(Eventos!$G:$G,Eventos!$F:$F,$L1062,Eventos!$D:$D,$C$2,Eventos!$B:$B,PANES_SEMANALES[[#ALL],[DOMINGO]])</f>
        <v>0</v>
      </c>
      <c r="T1062" s="59">
        <f t="shared" si="1"/>
        <v>0</v>
      </c>
    </row>
    <row r="1063" ht="22.5" customHeight="1">
      <c r="M1063" s="59">
        <f>SUMIFS(Eventos!$G:$G,Eventos!$F:$F,$L1063,Eventos!$D:$D,$C$2,Eventos!$B:$B,PANES_SEMANALES[[#ALL],[LUNES]])</f>
        <v>0</v>
      </c>
      <c r="N1063" s="59">
        <f>SUMIFS(Eventos!$G:$G,Eventos!$F:$F,$L1063,Eventos!$D:$D,$C$2,Eventos!$B:$B,PANES_SEMANALES[[#ALL],[MARTES]])</f>
        <v>0</v>
      </c>
      <c r="O1063" s="59">
        <f>SUMIFS(Eventos!$G:$G,Eventos!$F:$F,$L1063,Eventos!$D:$D,$C$2,Eventos!$B:$B,PANES_SEMANALES[[#ALL],[MIÉRCOLES]])</f>
        <v>0</v>
      </c>
      <c r="P1063" s="59">
        <f>SUMIFS(Eventos!$G:$G,Eventos!$F:$F,$L1063,Eventos!$D:$D,$C$2,Eventos!$B:$B,PANES_SEMANALES[[#ALL],[JUEVES]])</f>
        <v>0</v>
      </c>
      <c r="Q1063" s="59">
        <f>IF(P1063&lt;&gt;"",SUMIFS(Eventos!$G:$G,Eventos!$B:$B,Q$2,Eventos!$D:$D,$C$2,Eventos!$F:$F,$L1063),"")</f>
        <v>0</v>
      </c>
      <c r="R1063" s="59">
        <f>SUMIFS(Eventos!$G:$G,Eventos!$F:$F,$L1063,Eventos!$D:$D,$C$2,Eventos!$B:$B,PANES_SEMANALES[[#ALL],[SÁBADO]])</f>
        <v>0</v>
      </c>
      <c r="S1063" s="59">
        <f>SUMIFS(Eventos!$G:$G,Eventos!$F:$F,$L1063,Eventos!$D:$D,$C$2,Eventos!$B:$B,PANES_SEMANALES[[#ALL],[DOMINGO]])</f>
        <v>0</v>
      </c>
      <c r="T1063" s="59">
        <f t="shared" si="1"/>
        <v>0</v>
      </c>
    </row>
    <row r="1064" ht="22.5" customHeight="1">
      <c r="M1064" s="59">
        <f>SUMIFS(Eventos!$G:$G,Eventos!$F:$F,$L1064,Eventos!$D:$D,$C$2,Eventos!$B:$B,PANES_SEMANALES[[#ALL],[LUNES]])</f>
        <v>0</v>
      </c>
      <c r="N1064" s="59">
        <f>SUMIFS(Eventos!$G:$G,Eventos!$F:$F,$L1064,Eventos!$D:$D,$C$2,Eventos!$B:$B,PANES_SEMANALES[[#ALL],[MARTES]])</f>
        <v>0</v>
      </c>
      <c r="O1064" s="59">
        <f>SUMIFS(Eventos!$G:$G,Eventos!$F:$F,$L1064,Eventos!$D:$D,$C$2,Eventos!$B:$B,PANES_SEMANALES[[#ALL],[MIÉRCOLES]])</f>
        <v>0</v>
      </c>
      <c r="P1064" s="59">
        <f>SUMIFS(Eventos!$G:$G,Eventos!$F:$F,$L1064,Eventos!$D:$D,$C$2,Eventos!$B:$B,PANES_SEMANALES[[#ALL],[JUEVES]])</f>
        <v>0</v>
      </c>
      <c r="Q1064" s="59">
        <f>IF(P1064&lt;&gt;"",SUMIFS(Eventos!$G:$G,Eventos!$B:$B,Q$2,Eventos!$D:$D,$C$2,Eventos!$F:$F,$L1064),"")</f>
        <v>0</v>
      </c>
      <c r="R1064" s="59">
        <f>SUMIFS(Eventos!$G:$G,Eventos!$F:$F,$L1064,Eventos!$D:$D,$C$2,Eventos!$B:$B,PANES_SEMANALES[[#ALL],[SÁBADO]])</f>
        <v>0</v>
      </c>
      <c r="S1064" s="59">
        <f>SUMIFS(Eventos!$G:$G,Eventos!$F:$F,$L1064,Eventos!$D:$D,$C$2,Eventos!$B:$B,PANES_SEMANALES[[#ALL],[DOMINGO]])</f>
        <v>0</v>
      </c>
      <c r="T1064" s="59">
        <f t="shared" si="1"/>
        <v>0</v>
      </c>
    </row>
    <row r="1065" ht="22.5" customHeight="1">
      <c r="M1065" s="59">
        <f>SUMIFS(Eventos!$G:$G,Eventos!$F:$F,$L1065,Eventos!$D:$D,$C$2,Eventos!$B:$B,PANES_SEMANALES[[#ALL],[LUNES]])</f>
        <v>0</v>
      </c>
      <c r="N1065" s="59">
        <f>SUMIFS(Eventos!$G:$G,Eventos!$F:$F,$L1065,Eventos!$D:$D,$C$2,Eventos!$B:$B,PANES_SEMANALES[[#ALL],[MARTES]])</f>
        <v>0</v>
      </c>
      <c r="O1065" s="59">
        <f>SUMIFS(Eventos!$G:$G,Eventos!$F:$F,$L1065,Eventos!$D:$D,$C$2,Eventos!$B:$B,PANES_SEMANALES[[#ALL],[MIÉRCOLES]])</f>
        <v>0</v>
      </c>
      <c r="P1065" s="59">
        <f>SUMIFS(Eventos!$G:$G,Eventos!$F:$F,$L1065,Eventos!$D:$D,$C$2,Eventos!$B:$B,PANES_SEMANALES[[#ALL],[JUEVES]])</f>
        <v>0</v>
      </c>
      <c r="Q1065" s="59">
        <f>IF(P1065&lt;&gt;"",SUMIFS(Eventos!$G:$G,Eventos!$B:$B,Q$2,Eventos!$D:$D,$C$2,Eventos!$F:$F,$L1065),"")</f>
        <v>0</v>
      </c>
      <c r="R1065" s="59">
        <f>SUMIFS(Eventos!$G:$G,Eventos!$F:$F,$L1065,Eventos!$D:$D,$C$2,Eventos!$B:$B,PANES_SEMANALES[[#ALL],[SÁBADO]])</f>
        <v>0</v>
      </c>
      <c r="S1065" s="59">
        <f>SUMIFS(Eventos!$G:$G,Eventos!$F:$F,$L1065,Eventos!$D:$D,$C$2,Eventos!$B:$B,PANES_SEMANALES[[#ALL],[DOMINGO]])</f>
        <v>0</v>
      </c>
      <c r="T1065" s="59">
        <f t="shared" si="1"/>
        <v>0</v>
      </c>
    </row>
    <row r="1066" ht="22.5" customHeight="1">
      <c r="M1066" s="59">
        <f>SUMIFS(Eventos!$G:$G,Eventos!$F:$F,$L1066,Eventos!$D:$D,$C$2,Eventos!$B:$B,PANES_SEMANALES[[#ALL],[LUNES]])</f>
        <v>0</v>
      </c>
      <c r="N1066" s="59">
        <f>SUMIFS(Eventos!$G:$G,Eventos!$F:$F,$L1066,Eventos!$D:$D,$C$2,Eventos!$B:$B,PANES_SEMANALES[[#ALL],[MARTES]])</f>
        <v>0</v>
      </c>
      <c r="O1066" s="59">
        <f>SUMIFS(Eventos!$G:$G,Eventos!$F:$F,$L1066,Eventos!$D:$D,$C$2,Eventos!$B:$B,PANES_SEMANALES[[#ALL],[MIÉRCOLES]])</f>
        <v>0</v>
      </c>
      <c r="P1066" s="59">
        <f>SUMIFS(Eventos!$G:$G,Eventos!$F:$F,$L1066,Eventos!$D:$D,$C$2,Eventos!$B:$B,PANES_SEMANALES[[#ALL],[JUEVES]])</f>
        <v>0</v>
      </c>
      <c r="Q1066" s="59">
        <f>IF(P1066&lt;&gt;"",SUMIFS(Eventos!$G:$G,Eventos!$B:$B,Q$2,Eventos!$D:$D,$C$2,Eventos!$F:$F,$L1066),"")</f>
        <v>0</v>
      </c>
      <c r="R1066" s="59">
        <f>SUMIFS(Eventos!$G:$G,Eventos!$F:$F,$L1066,Eventos!$D:$D,$C$2,Eventos!$B:$B,PANES_SEMANALES[[#ALL],[SÁBADO]])</f>
        <v>0</v>
      </c>
      <c r="S1066" s="59">
        <f>SUMIFS(Eventos!$G:$G,Eventos!$F:$F,$L1066,Eventos!$D:$D,$C$2,Eventos!$B:$B,PANES_SEMANALES[[#ALL],[DOMINGO]])</f>
        <v>0</v>
      </c>
      <c r="T1066" s="59">
        <f t="shared" si="1"/>
        <v>0</v>
      </c>
    </row>
    <row r="1067" ht="22.5" customHeight="1">
      <c r="M1067" s="59">
        <f>SUMIFS(Eventos!$G:$G,Eventos!$F:$F,$L1067,Eventos!$D:$D,$C$2,Eventos!$B:$B,PANES_SEMANALES[[#ALL],[LUNES]])</f>
        <v>0</v>
      </c>
      <c r="N1067" s="59">
        <f>SUMIFS(Eventos!$G:$G,Eventos!$F:$F,$L1067,Eventos!$D:$D,$C$2,Eventos!$B:$B,PANES_SEMANALES[[#ALL],[MARTES]])</f>
        <v>0</v>
      </c>
      <c r="O1067" s="59">
        <f>SUMIFS(Eventos!$G:$G,Eventos!$F:$F,$L1067,Eventos!$D:$D,$C$2,Eventos!$B:$B,PANES_SEMANALES[[#ALL],[MIÉRCOLES]])</f>
        <v>0</v>
      </c>
      <c r="P1067" s="59">
        <f>SUMIFS(Eventos!$G:$G,Eventos!$F:$F,$L1067,Eventos!$D:$D,$C$2,Eventos!$B:$B,PANES_SEMANALES[[#ALL],[JUEVES]])</f>
        <v>0</v>
      </c>
      <c r="Q1067" s="59">
        <f>IF(P1067&lt;&gt;"",SUMIFS(Eventos!$G:$G,Eventos!$B:$B,Q$2,Eventos!$D:$D,$C$2,Eventos!$F:$F,$L1067),"")</f>
        <v>0</v>
      </c>
      <c r="R1067" s="59">
        <f>SUMIFS(Eventos!$G:$G,Eventos!$F:$F,$L1067,Eventos!$D:$D,$C$2,Eventos!$B:$B,PANES_SEMANALES[[#ALL],[SÁBADO]])</f>
        <v>0</v>
      </c>
      <c r="S1067" s="59">
        <f>SUMIFS(Eventos!$G:$G,Eventos!$F:$F,$L1067,Eventos!$D:$D,$C$2,Eventos!$B:$B,PANES_SEMANALES[[#ALL],[DOMINGO]])</f>
        <v>0</v>
      </c>
      <c r="T1067" s="59">
        <f t="shared" si="1"/>
        <v>0</v>
      </c>
    </row>
    <row r="1068" ht="22.5" customHeight="1">
      <c r="M1068" s="59">
        <f>SUMIFS(Eventos!$G:$G,Eventos!$F:$F,$L1068,Eventos!$D:$D,$C$2,Eventos!$B:$B,PANES_SEMANALES[[#ALL],[LUNES]])</f>
        <v>0</v>
      </c>
      <c r="N1068" s="59">
        <f>SUMIFS(Eventos!$G:$G,Eventos!$F:$F,$L1068,Eventos!$D:$D,$C$2,Eventos!$B:$B,PANES_SEMANALES[[#ALL],[MARTES]])</f>
        <v>0</v>
      </c>
      <c r="O1068" s="59">
        <f>SUMIFS(Eventos!$G:$G,Eventos!$F:$F,$L1068,Eventos!$D:$D,$C$2,Eventos!$B:$B,PANES_SEMANALES[[#ALL],[MIÉRCOLES]])</f>
        <v>0</v>
      </c>
      <c r="P1068" s="59">
        <f>SUMIFS(Eventos!$G:$G,Eventos!$F:$F,$L1068,Eventos!$D:$D,$C$2,Eventos!$B:$B,PANES_SEMANALES[[#ALL],[JUEVES]])</f>
        <v>0</v>
      </c>
      <c r="Q1068" s="59">
        <f>IF(P1068&lt;&gt;"",SUMIFS(Eventos!$G:$G,Eventos!$B:$B,Q$2,Eventos!$D:$D,$C$2,Eventos!$F:$F,$L1068),"")</f>
        <v>0</v>
      </c>
      <c r="R1068" s="59">
        <f>SUMIFS(Eventos!$G:$G,Eventos!$F:$F,$L1068,Eventos!$D:$D,$C$2,Eventos!$B:$B,PANES_SEMANALES[[#ALL],[SÁBADO]])</f>
        <v>0</v>
      </c>
      <c r="S1068" s="59">
        <f>SUMIFS(Eventos!$G:$G,Eventos!$F:$F,$L1068,Eventos!$D:$D,$C$2,Eventos!$B:$B,PANES_SEMANALES[[#ALL],[DOMINGO]])</f>
        <v>0</v>
      </c>
      <c r="T1068" s="59">
        <f t="shared" si="1"/>
        <v>0</v>
      </c>
    </row>
    <row r="1069" ht="22.5" customHeight="1">
      <c r="M1069" s="59">
        <f>SUMIFS(Eventos!$G:$G,Eventos!$F:$F,$L1069,Eventos!$D:$D,$C$2,Eventos!$B:$B,PANES_SEMANALES[[#ALL],[LUNES]])</f>
        <v>0</v>
      </c>
      <c r="N1069" s="59">
        <f>SUMIFS(Eventos!$G:$G,Eventos!$F:$F,$L1069,Eventos!$D:$D,$C$2,Eventos!$B:$B,PANES_SEMANALES[[#ALL],[MARTES]])</f>
        <v>0</v>
      </c>
      <c r="O1069" s="59">
        <f>SUMIFS(Eventos!$G:$G,Eventos!$F:$F,$L1069,Eventos!$D:$D,$C$2,Eventos!$B:$B,PANES_SEMANALES[[#ALL],[MIÉRCOLES]])</f>
        <v>0</v>
      </c>
      <c r="P1069" s="59">
        <f>SUMIFS(Eventos!$G:$G,Eventos!$F:$F,$L1069,Eventos!$D:$D,$C$2,Eventos!$B:$B,PANES_SEMANALES[[#ALL],[JUEVES]])</f>
        <v>0</v>
      </c>
      <c r="Q1069" s="59">
        <f>IF(P1069&lt;&gt;"",SUMIFS(Eventos!$G:$G,Eventos!$B:$B,Q$2,Eventos!$D:$D,$C$2,Eventos!$F:$F,$L1069),"")</f>
        <v>0</v>
      </c>
      <c r="R1069" s="59">
        <f>SUMIFS(Eventos!$G:$G,Eventos!$F:$F,$L1069,Eventos!$D:$D,$C$2,Eventos!$B:$B,PANES_SEMANALES[[#ALL],[SÁBADO]])</f>
        <v>0</v>
      </c>
      <c r="S1069" s="59">
        <f>SUMIFS(Eventos!$G:$G,Eventos!$F:$F,$L1069,Eventos!$D:$D,$C$2,Eventos!$B:$B,PANES_SEMANALES[[#ALL],[DOMINGO]])</f>
        <v>0</v>
      </c>
      <c r="T1069" s="59">
        <f t="shared" si="1"/>
        <v>0</v>
      </c>
    </row>
    <row r="1070" ht="22.5" customHeight="1">
      <c r="M1070" s="59">
        <f>SUMIFS(Eventos!$G:$G,Eventos!$F:$F,$L1070,Eventos!$D:$D,$C$2,Eventos!$B:$B,PANES_SEMANALES[[#ALL],[LUNES]])</f>
        <v>0</v>
      </c>
      <c r="N1070" s="59">
        <f>SUMIFS(Eventos!$G:$G,Eventos!$F:$F,$L1070,Eventos!$D:$D,$C$2,Eventos!$B:$B,PANES_SEMANALES[[#ALL],[MARTES]])</f>
        <v>0</v>
      </c>
      <c r="O1070" s="59">
        <f>SUMIFS(Eventos!$G:$G,Eventos!$F:$F,$L1070,Eventos!$D:$D,$C$2,Eventos!$B:$B,PANES_SEMANALES[[#ALL],[MIÉRCOLES]])</f>
        <v>0</v>
      </c>
      <c r="P1070" s="59">
        <f>SUMIFS(Eventos!$G:$G,Eventos!$F:$F,$L1070,Eventos!$D:$D,$C$2,Eventos!$B:$B,PANES_SEMANALES[[#ALL],[JUEVES]])</f>
        <v>0</v>
      </c>
      <c r="Q1070" s="59">
        <f>IF(P1070&lt;&gt;"",SUMIFS(Eventos!$G:$G,Eventos!$B:$B,Q$2,Eventos!$D:$D,$C$2,Eventos!$F:$F,$L1070),"")</f>
        <v>0</v>
      </c>
      <c r="R1070" s="59">
        <f>SUMIFS(Eventos!$G:$G,Eventos!$F:$F,$L1070,Eventos!$D:$D,$C$2,Eventos!$B:$B,PANES_SEMANALES[[#ALL],[SÁBADO]])</f>
        <v>0</v>
      </c>
      <c r="S1070" s="59">
        <f>SUMIFS(Eventos!$G:$G,Eventos!$F:$F,$L1070,Eventos!$D:$D,$C$2,Eventos!$B:$B,PANES_SEMANALES[[#ALL],[DOMINGO]])</f>
        <v>0</v>
      </c>
      <c r="T1070" s="59">
        <f t="shared" si="1"/>
        <v>0</v>
      </c>
    </row>
    <row r="1071" ht="22.5" customHeight="1">
      <c r="M1071" s="59">
        <f>SUMIFS(Eventos!$G:$G,Eventos!$F:$F,$L1071,Eventos!$D:$D,$C$2,Eventos!$B:$B,PANES_SEMANALES[[#ALL],[LUNES]])</f>
        <v>0</v>
      </c>
      <c r="N1071" s="59">
        <f>SUMIFS(Eventos!$G:$G,Eventos!$F:$F,$L1071,Eventos!$D:$D,$C$2,Eventos!$B:$B,PANES_SEMANALES[[#ALL],[MARTES]])</f>
        <v>0</v>
      </c>
      <c r="O1071" s="59">
        <f>SUMIFS(Eventos!$G:$G,Eventos!$F:$F,$L1071,Eventos!$D:$D,$C$2,Eventos!$B:$B,PANES_SEMANALES[[#ALL],[MIÉRCOLES]])</f>
        <v>0</v>
      </c>
      <c r="P1071" s="59">
        <f>SUMIFS(Eventos!$G:$G,Eventos!$F:$F,$L1071,Eventos!$D:$D,$C$2,Eventos!$B:$B,PANES_SEMANALES[[#ALL],[JUEVES]])</f>
        <v>0</v>
      </c>
      <c r="Q1071" s="59">
        <f>IF(P1071&lt;&gt;"",SUMIFS(Eventos!$G:$G,Eventos!$B:$B,Q$2,Eventos!$D:$D,$C$2,Eventos!$F:$F,$L1071),"")</f>
        <v>0</v>
      </c>
      <c r="R1071" s="59">
        <f>SUMIFS(Eventos!$G:$G,Eventos!$F:$F,$L1071,Eventos!$D:$D,$C$2,Eventos!$B:$B,PANES_SEMANALES[[#ALL],[SÁBADO]])</f>
        <v>0</v>
      </c>
      <c r="S1071" s="59">
        <f>SUMIFS(Eventos!$G:$G,Eventos!$F:$F,$L1071,Eventos!$D:$D,$C$2,Eventos!$B:$B,PANES_SEMANALES[[#ALL],[DOMINGO]])</f>
        <v>0</v>
      </c>
      <c r="T1071" s="59">
        <f t="shared" si="1"/>
        <v>0</v>
      </c>
    </row>
    <row r="1072" ht="22.5" customHeight="1">
      <c r="M1072" s="59">
        <f>SUMIFS(Eventos!$G:$G,Eventos!$F:$F,$L1072,Eventos!$D:$D,$C$2,Eventos!$B:$B,PANES_SEMANALES[[#ALL],[LUNES]])</f>
        <v>0</v>
      </c>
      <c r="N1072" s="59">
        <f>SUMIFS(Eventos!$G:$G,Eventos!$F:$F,$L1072,Eventos!$D:$D,$C$2,Eventos!$B:$B,PANES_SEMANALES[[#ALL],[MARTES]])</f>
        <v>0</v>
      </c>
      <c r="O1072" s="59">
        <f>SUMIFS(Eventos!$G:$G,Eventos!$F:$F,$L1072,Eventos!$D:$D,$C$2,Eventos!$B:$B,PANES_SEMANALES[[#ALL],[MIÉRCOLES]])</f>
        <v>0</v>
      </c>
      <c r="P1072" s="59">
        <f>SUMIFS(Eventos!$G:$G,Eventos!$F:$F,$L1072,Eventos!$D:$D,$C$2,Eventos!$B:$B,PANES_SEMANALES[[#ALL],[JUEVES]])</f>
        <v>0</v>
      </c>
      <c r="Q1072" s="59">
        <f>IF(P1072&lt;&gt;"",SUMIFS(Eventos!$G:$G,Eventos!$B:$B,Q$2,Eventos!$D:$D,$C$2,Eventos!$F:$F,$L1072),"")</f>
        <v>0</v>
      </c>
      <c r="R1072" s="59">
        <f>SUMIFS(Eventos!$G:$G,Eventos!$F:$F,$L1072,Eventos!$D:$D,$C$2,Eventos!$B:$B,PANES_SEMANALES[[#ALL],[SÁBADO]])</f>
        <v>0</v>
      </c>
      <c r="S1072" s="59">
        <f>SUMIFS(Eventos!$G:$G,Eventos!$F:$F,$L1072,Eventos!$D:$D,$C$2,Eventos!$B:$B,PANES_SEMANALES[[#ALL],[DOMINGO]])</f>
        <v>0</v>
      </c>
      <c r="T1072" s="59">
        <f t="shared" si="1"/>
        <v>0</v>
      </c>
    </row>
    <row r="1073" ht="22.5" customHeight="1">
      <c r="M1073" s="59">
        <f>SUMIFS(Eventos!$G:$G,Eventos!$F:$F,$L1073,Eventos!$D:$D,$C$2,Eventos!$B:$B,PANES_SEMANALES[[#ALL],[LUNES]])</f>
        <v>0</v>
      </c>
      <c r="N1073" s="59">
        <f>SUMIFS(Eventos!$G:$G,Eventos!$F:$F,$L1073,Eventos!$D:$D,$C$2,Eventos!$B:$B,PANES_SEMANALES[[#ALL],[MARTES]])</f>
        <v>0</v>
      </c>
      <c r="O1073" s="59">
        <f>SUMIFS(Eventos!$G:$G,Eventos!$F:$F,$L1073,Eventos!$D:$D,$C$2,Eventos!$B:$B,PANES_SEMANALES[[#ALL],[MIÉRCOLES]])</f>
        <v>0</v>
      </c>
      <c r="P1073" s="59">
        <f>SUMIFS(Eventos!$G:$G,Eventos!$F:$F,$L1073,Eventos!$D:$D,$C$2,Eventos!$B:$B,PANES_SEMANALES[[#ALL],[JUEVES]])</f>
        <v>0</v>
      </c>
      <c r="Q1073" s="59">
        <f>IF(P1073&lt;&gt;"",SUMIFS(Eventos!$G:$G,Eventos!$B:$B,Q$2,Eventos!$D:$D,$C$2,Eventos!$F:$F,$L1073),"")</f>
        <v>0</v>
      </c>
      <c r="R1073" s="59">
        <f>SUMIFS(Eventos!$G:$G,Eventos!$F:$F,$L1073,Eventos!$D:$D,$C$2,Eventos!$B:$B,PANES_SEMANALES[[#ALL],[SÁBADO]])</f>
        <v>0</v>
      </c>
      <c r="S1073" s="59">
        <f>SUMIFS(Eventos!$G:$G,Eventos!$F:$F,$L1073,Eventos!$D:$D,$C$2,Eventos!$B:$B,PANES_SEMANALES[[#ALL],[DOMINGO]])</f>
        <v>0</v>
      </c>
      <c r="T1073" s="59">
        <f t="shared" si="1"/>
        <v>0</v>
      </c>
    </row>
    <row r="1074" ht="22.5" customHeight="1">
      <c r="M1074" s="59">
        <f>SUMIFS(Eventos!$G:$G,Eventos!$F:$F,$L1074,Eventos!$D:$D,$C$2,Eventos!$B:$B,PANES_SEMANALES[[#ALL],[LUNES]])</f>
        <v>0</v>
      </c>
      <c r="N1074" s="59">
        <f>SUMIFS(Eventos!$G:$G,Eventos!$F:$F,$L1074,Eventos!$D:$D,$C$2,Eventos!$B:$B,PANES_SEMANALES[[#ALL],[MARTES]])</f>
        <v>0</v>
      </c>
      <c r="O1074" s="59">
        <f>SUMIFS(Eventos!$G:$G,Eventos!$F:$F,$L1074,Eventos!$D:$D,$C$2,Eventos!$B:$B,PANES_SEMANALES[[#ALL],[MIÉRCOLES]])</f>
        <v>0</v>
      </c>
      <c r="P1074" s="59">
        <f>SUMIFS(Eventos!$G:$G,Eventos!$F:$F,$L1074,Eventos!$D:$D,$C$2,Eventos!$B:$B,PANES_SEMANALES[[#ALL],[JUEVES]])</f>
        <v>0</v>
      </c>
      <c r="Q1074" s="59">
        <f>IF(P1074&lt;&gt;"",SUMIFS(Eventos!$G:$G,Eventos!$B:$B,Q$2,Eventos!$D:$D,$C$2,Eventos!$F:$F,$L1074),"")</f>
        <v>0</v>
      </c>
      <c r="R1074" s="59">
        <f>SUMIFS(Eventos!$G:$G,Eventos!$F:$F,$L1074,Eventos!$D:$D,$C$2,Eventos!$B:$B,PANES_SEMANALES[[#ALL],[SÁBADO]])</f>
        <v>0</v>
      </c>
      <c r="S1074" s="59">
        <f>SUMIFS(Eventos!$G:$G,Eventos!$F:$F,$L1074,Eventos!$D:$D,$C$2,Eventos!$B:$B,PANES_SEMANALES[[#ALL],[DOMINGO]])</f>
        <v>0</v>
      </c>
      <c r="T1074" s="59">
        <f t="shared" si="1"/>
        <v>0</v>
      </c>
    </row>
    <row r="1075" ht="22.5" customHeight="1">
      <c r="M1075" s="59">
        <f>SUMIFS(Eventos!$G:$G,Eventos!$F:$F,$L1075,Eventos!$D:$D,$C$2,Eventos!$B:$B,PANES_SEMANALES[[#ALL],[LUNES]])</f>
        <v>0</v>
      </c>
      <c r="N1075" s="59">
        <f>SUMIFS(Eventos!$G:$G,Eventos!$F:$F,$L1075,Eventos!$D:$D,$C$2,Eventos!$B:$B,PANES_SEMANALES[[#ALL],[MARTES]])</f>
        <v>0</v>
      </c>
      <c r="O1075" s="59">
        <f>SUMIFS(Eventos!$G:$G,Eventos!$F:$F,$L1075,Eventos!$D:$D,$C$2,Eventos!$B:$B,PANES_SEMANALES[[#ALL],[MIÉRCOLES]])</f>
        <v>0</v>
      </c>
      <c r="P1075" s="59">
        <f>SUMIFS(Eventos!$G:$G,Eventos!$F:$F,$L1075,Eventos!$D:$D,$C$2,Eventos!$B:$B,PANES_SEMANALES[[#ALL],[JUEVES]])</f>
        <v>0</v>
      </c>
      <c r="Q1075" s="59">
        <f>IF(P1075&lt;&gt;"",SUMIFS(Eventos!$G:$G,Eventos!$B:$B,Q$2,Eventos!$D:$D,$C$2,Eventos!$F:$F,$L1075),"")</f>
        <v>0</v>
      </c>
      <c r="R1075" s="59">
        <f>SUMIFS(Eventos!$G:$G,Eventos!$F:$F,$L1075,Eventos!$D:$D,$C$2,Eventos!$B:$B,PANES_SEMANALES[[#ALL],[SÁBADO]])</f>
        <v>0</v>
      </c>
      <c r="S1075" s="59">
        <f>SUMIFS(Eventos!$G:$G,Eventos!$F:$F,$L1075,Eventos!$D:$D,$C$2,Eventos!$B:$B,PANES_SEMANALES[[#ALL],[DOMINGO]])</f>
        <v>0</v>
      </c>
      <c r="T1075" s="59">
        <f t="shared" si="1"/>
        <v>0</v>
      </c>
    </row>
    <row r="1076" ht="22.5" customHeight="1">
      <c r="M1076" s="59">
        <f>SUMIFS(Eventos!$G:$G,Eventos!$F:$F,$L1076,Eventos!$D:$D,$C$2,Eventos!$B:$B,PANES_SEMANALES[[#ALL],[LUNES]])</f>
        <v>0</v>
      </c>
      <c r="N1076" s="59">
        <f>SUMIFS(Eventos!$G:$G,Eventos!$F:$F,$L1076,Eventos!$D:$D,$C$2,Eventos!$B:$B,PANES_SEMANALES[[#ALL],[MARTES]])</f>
        <v>0</v>
      </c>
      <c r="O1076" s="59">
        <f>SUMIFS(Eventos!$G:$G,Eventos!$F:$F,$L1076,Eventos!$D:$D,$C$2,Eventos!$B:$B,PANES_SEMANALES[[#ALL],[MIÉRCOLES]])</f>
        <v>0</v>
      </c>
      <c r="P1076" s="59">
        <f>SUMIFS(Eventos!$G:$G,Eventos!$F:$F,$L1076,Eventos!$D:$D,$C$2,Eventos!$B:$B,PANES_SEMANALES[[#ALL],[JUEVES]])</f>
        <v>0</v>
      </c>
      <c r="Q1076" s="59">
        <f>IF(P1076&lt;&gt;"",SUMIFS(Eventos!$G:$G,Eventos!$B:$B,Q$2,Eventos!$D:$D,$C$2,Eventos!$F:$F,$L1076),"")</f>
        <v>0</v>
      </c>
      <c r="R1076" s="59">
        <f>SUMIFS(Eventos!$G:$G,Eventos!$F:$F,$L1076,Eventos!$D:$D,$C$2,Eventos!$B:$B,PANES_SEMANALES[[#ALL],[SÁBADO]])</f>
        <v>0</v>
      </c>
      <c r="S1076" s="59">
        <f>SUMIFS(Eventos!$G:$G,Eventos!$F:$F,$L1076,Eventos!$D:$D,$C$2,Eventos!$B:$B,PANES_SEMANALES[[#ALL],[DOMINGO]])</f>
        <v>0</v>
      </c>
      <c r="T1076" s="59">
        <f t="shared" si="1"/>
        <v>0</v>
      </c>
    </row>
    <row r="1077" ht="22.5" customHeight="1">
      <c r="M1077" s="59">
        <f>SUMIFS(Eventos!$G:$G,Eventos!$F:$F,$L1077,Eventos!$D:$D,$C$2,Eventos!$B:$B,PANES_SEMANALES[[#ALL],[LUNES]])</f>
        <v>0</v>
      </c>
      <c r="N1077" s="59">
        <f>SUMIFS(Eventos!$G:$G,Eventos!$F:$F,$L1077,Eventos!$D:$D,$C$2,Eventos!$B:$B,PANES_SEMANALES[[#ALL],[MARTES]])</f>
        <v>0</v>
      </c>
      <c r="O1077" s="59">
        <f>SUMIFS(Eventos!$G:$G,Eventos!$F:$F,$L1077,Eventos!$D:$D,$C$2,Eventos!$B:$B,PANES_SEMANALES[[#ALL],[MIÉRCOLES]])</f>
        <v>0</v>
      </c>
      <c r="P1077" s="59">
        <f>SUMIFS(Eventos!$G:$G,Eventos!$F:$F,$L1077,Eventos!$D:$D,$C$2,Eventos!$B:$B,PANES_SEMANALES[[#ALL],[JUEVES]])</f>
        <v>0</v>
      </c>
      <c r="Q1077" s="59">
        <f>IF(P1077&lt;&gt;"",SUMIFS(Eventos!$G:$G,Eventos!$B:$B,Q$2,Eventos!$D:$D,$C$2,Eventos!$F:$F,$L1077),"")</f>
        <v>0</v>
      </c>
      <c r="R1077" s="59">
        <f>SUMIFS(Eventos!$G:$G,Eventos!$F:$F,$L1077,Eventos!$D:$D,$C$2,Eventos!$B:$B,PANES_SEMANALES[[#ALL],[SÁBADO]])</f>
        <v>0</v>
      </c>
      <c r="S1077" s="59">
        <f>SUMIFS(Eventos!$G:$G,Eventos!$F:$F,$L1077,Eventos!$D:$D,$C$2,Eventos!$B:$B,PANES_SEMANALES[[#ALL],[DOMINGO]])</f>
        <v>0</v>
      </c>
      <c r="T1077" s="59">
        <f t="shared" si="1"/>
        <v>0</v>
      </c>
    </row>
    <row r="1078" ht="22.5" customHeight="1">
      <c r="M1078" s="59">
        <f>SUMIFS(Eventos!$G:$G,Eventos!$F:$F,$L1078,Eventos!$D:$D,$C$2,Eventos!$B:$B,PANES_SEMANALES[[#ALL],[LUNES]])</f>
        <v>0</v>
      </c>
      <c r="N1078" s="59">
        <f>SUMIFS(Eventos!$G:$G,Eventos!$F:$F,$L1078,Eventos!$D:$D,$C$2,Eventos!$B:$B,PANES_SEMANALES[[#ALL],[MARTES]])</f>
        <v>0</v>
      </c>
      <c r="O1078" s="59">
        <f>SUMIFS(Eventos!$G:$G,Eventos!$F:$F,$L1078,Eventos!$D:$D,$C$2,Eventos!$B:$B,PANES_SEMANALES[[#ALL],[MIÉRCOLES]])</f>
        <v>0</v>
      </c>
      <c r="P1078" s="59">
        <f>SUMIFS(Eventos!$G:$G,Eventos!$F:$F,$L1078,Eventos!$D:$D,$C$2,Eventos!$B:$B,PANES_SEMANALES[[#ALL],[JUEVES]])</f>
        <v>0</v>
      </c>
      <c r="Q1078" s="59">
        <f>IF(P1078&lt;&gt;"",SUMIFS(Eventos!$G:$G,Eventos!$B:$B,Q$2,Eventos!$D:$D,$C$2,Eventos!$F:$F,$L1078),"")</f>
        <v>0</v>
      </c>
      <c r="R1078" s="59">
        <f>SUMIFS(Eventos!$G:$G,Eventos!$F:$F,$L1078,Eventos!$D:$D,$C$2,Eventos!$B:$B,PANES_SEMANALES[[#ALL],[SÁBADO]])</f>
        <v>0</v>
      </c>
      <c r="S1078" s="59">
        <f>SUMIFS(Eventos!$G:$G,Eventos!$F:$F,$L1078,Eventos!$D:$D,$C$2,Eventos!$B:$B,PANES_SEMANALES[[#ALL],[DOMINGO]])</f>
        <v>0</v>
      </c>
      <c r="T1078" s="59">
        <f t="shared" si="1"/>
        <v>0</v>
      </c>
    </row>
    <row r="1079" ht="22.5" customHeight="1">
      <c r="M1079" s="59">
        <f>SUMIFS(Eventos!$G:$G,Eventos!$F:$F,$L1079,Eventos!$D:$D,$C$2,Eventos!$B:$B,PANES_SEMANALES[[#ALL],[LUNES]])</f>
        <v>0</v>
      </c>
      <c r="N1079" s="59">
        <f>SUMIFS(Eventos!$G:$G,Eventos!$F:$F,$L1079,Eventos!$D:$D,$C$2,Eventos!$B:$B,PANES_SEMANALES[[#ALL],[MARTES]])</f>
        <v>0</v>
      </c>
      <c r="O1079" s="59">
        <f>SUMIFS(Eventos!$G:$G,Eventos!$F:$F,$L1079,Eventos!$D:$D,$C$2,Eventos!$B:$B,PANES_SEMANALES[[#ALL],[MIÉRCOLES]])</f>
        <v>0</v>
      </c>
      <c r="P1079" s="59">
        <f>SUMIFS(Eventos!$G:$G,Eventos!$F:$F,$L1079,Eventos!$D:$D,$C$2,Eventos!$B:$B,PANES_SEMANALES[[#ALL],[JUEVES]])</f>
        <v>0</v>
      </c>
      <c r="Q1079" s="59">
        <f>IF(P1079&lt;&gt;"",SUMIFS(Eventos!$G:$G,Eventos!$B:$B,Q$2,Eventos!$D:$D,$C$2,Eventos!$F:$F,$L1079),"")</f>
        <v>0</v>
      </c>
      <c r="R1079" s="59">
        <f>SUMIFS(Eventos!$G:$G,Eventos!$F:$F,$L1079,Eventos!$D:$D,$C$2,Eventos!$B:$B,PANES_SEMANALES[[#ALL],[SÁBADO]])</f>
        <v>0</v>
      </c>
      <c r="S1079" s="59">
        <f>SUMIFS(Eventos!$G:$G,Eventos!$F:$F,$L1079,Eventos!$D:$D,$C$2,Eventos!$B:$B,PANES_SEMANALES[[#ALL],[DOMINGO]])</f>
        <v>0</v>
      </c>
      <c r="T1079" s="59">
        <f t="shared" si="1"/>
        <v>0</v>
      </c>
    </row>
    <row r="1080" ht="22.5" customHeight="1">
      <c r="M1080" s="59">
        <f>SUMIFS(Eventos!$G:$G,Eventos!$F:$F,$L1080,Eventos!$D:$D,$C$2,Eventos!$B:$B,PANES_SEMANALES[[#ALL],[LUNES]])</f>
        <v>0</v>
      </c>
      <c r="N1080" s="59">
        <f>SUMIFS(Eventos!$G:$G,Eventos!$F:$F,$L1080,Eventos!$D:$D,$C$2,Eventos!$B:$B,PANES_SEMANALES[[#ALL],[MARTES]])</f>
        <v>0</v>
      </c>
      <c r="O1080" s="59">
        <f>SUMIFS(Eventos!$G:$G,Eventos!$F:$F,$L1080,Eventos!$D:$D,$C$2,Eventos!$B:$B,PANES_SEMANALES[[#ALL],[MIÉRCOLES]])</f>
        <v>0</v>
      </c>
      <c r="P1080" s="59">
        <f>SUMIFS(Eventos!$G:$G,Eventos!$F:$F,$L1080,Eventos!$D:$D,$C$2,Eventos!$B:$B,PANES_SEMANALES[[#ALL],[JUEVES]])</f>
        <v>0</v>
      </c>
      <c r="Q1080" s="59">
        <f>IF(P1080&lt;&gt;"",SUMIFS(Eventos!$G:$G,Eventos!$B:$B,Q$2,Eventos!$D:$D,$C$2,Eventos!$F:$F,$L1080),"")</f>
        <v>0</v>
      </c>
      <c r="R1080" s="59">
        <f>SUMIFS(Eventos!$G:$G,Eventos!$F:$F,$L1080,Eventos!$D:$D,$C$2,Eventos!$B:$B,PANES_SEMANALES[[#ALL],[SÁBADO]])</f>
        <v>0</v>
      </c>
      <c r="S1080" s="59">
        <f>SUMIFS(Eventos!$G:$G,Eventos!$F:$F,$L1080,Eventos!$D:$D,$C$2,Eventos!$B:$B,PANES_SEMANALES[[#ALL],[DOMINGO]])</f>
        <v>0</v>
      </c>
      <c r="T1080" s="59">
        <f t="shared" si="1"/>
        <v>0</v>
      </c>
    </row>
    <row r="1081" ht="22.5" customHeight="1">
      <c r="M1081" s="59">
        <f>SUMIFS(Eventos!$G:$G,Eventos!$F:$F,$L1081,Eventos!$D:$D,$C$2,Eventos!$B:$B,PANES_SEMANALES[[#ALL],[LUNES]])</f>
        <v>0</v>
      </c>
      <c r="N1081" s="59">
        <f>SUMIFS(Eventos!$G:$G,Eventos!$F:$F,$L1081,Eventos!$D:$D,$C$2,Eventos!$B:$B,PANES_SEMANALES[[#ALL],[MARTES]])</f>
        <v>0</v>
      </c>
      <c r="O1081" s="59">
        <f>SUMIFS(Eventos!$G:$G,Eventos!$F:$F,$L1081,Eventos!$D:$D,$C$2,Eventos!$B:$B,PANES_SEMANALES[[#ALL],[MIÉRCOLES]])</f>
        <v>0</v>
      </c>
      <c r="P1081" s="59">
        <f>SUMIFS(Eventos!$G:$G,Eventos!$F:$F,$L1081,Eventos!$D:$D,$C$2,Eventos!$B:$B,PANES_SEMANALES[[#ALL],[JUEVES]])</f>
        <v>0</v>
      </c>
      <c r="Q1081" s="59">
        <f>IF(P1081&lt;&gt;"",SUMIFS(Eventos!$G:$G,Eventos!$B:$B,Q$2,Eventos!$D:$D,$C$2,Eventos!$F:$F,$L1081),"")</f>
        <v>0</v>
      </c>
      <c r="R1081" s="59">
        <f>SUMIFS(Eventos!$G:$G,Eventos!$F:$F,$L1081,Eventos!$D:$D,$C$2,Eventos!$B:$B,PANES_SEMANALES[[#ALL],[SÁBADO]])</f>
        <v>0</v>
      </c>
      <c r="S1081" s="59">
        <f>SUMIFS(Eventos!$G:$G,Eventos!$F:$F,$L1081,Eventos!$D:$D,$C$2,Eventos!$B:$B,PANES_SEMANALES[[#ALL],[DOMINGO]])</f>
        <v>0</v>
      </c>
      <c r="T1081" s="59">
        <f t="shared" si="1"/>
        <v>0</v>
      </c>
    </row>
    <row r="1082" ht="22.5" customHeight="1">
      <c r="M1082" s="59">
        <f>SUMIFS(Eventos!$G:$G,Eventos!$F:$F,$L1082,Eventos!$D:$D,$C$2,Eventos!$B:$B,PANES_SEMANALES[[#ALL],[LUNES]])</f>
        <v>0</v>
      </c>
      <c r="N1082" s="59">
        <f>SUMIFS(Eventos!$G:$G,Eventos!$F:$F,$L1082,Eventos!$D:$D,$C$2,Eventos!$B:$B,PANES_SEMANALES[[#ALL],[MARTES]])</f>
        <v>0</v>
      </c>
      <c r="O1082" s="59">
        <f>SUMIFS(Eventos!$G:$G,Eventos!$F:$F,$L1082,Eventos!$D:$D,$C$2,Eventos!$B:$B,PANES_SEMANALES[[#ALL],[MIÉRCOLES]])</f>
        <v>0</v>
      </c>
      <c r="P1082" s="59">
        <f>SUMIFS(Eventos!$G:$G,Eventos!$F:$F,$L1082,Eventos!$D:$D,$C$2,Eventos!$B:$B,PANES_SEMANALES[[#ALL],[JUEVES]])</f>
        <v>0</v>
      </c>
      <c r="Q1082" s="59">
        <f>IF(P1082&lt;&gt;"",SUMIFS(Eventos!$G:$G,Eventos!$B:$B,Q$2,Eventos!$D:$D,$C$2,Eventos!$F:$F,$L1082),"")</f>
        <v>0</v>
      </c>
      <c r="R1082" s="59">
        <f>SUMIFS(Eventos!$G:$G,Eventos!$F:$F,$L1082,Eventos!$D:$D,$C$2,Eventos!$B:$B,PANES_SEMANALES[[#ALL],[SÁBADO]])</f>
        <v>0</v>
      </c>
      <c r="S1082" s="59">
        <f>SUMIFS(Eventos!$G:$G,Eventos!$F:$F,$L1082,Eventos!$D:$D,$C$2,Eventos!$B:$B,PANES_SEMANALES[[#ALL],[DOMINGO]])</f>
        <v>0</v>
      </c>
      <c r="T1082" s="59">
        <f t="shared" si="1"/>
        <v>0</v>
      </c>
    </row>
    <row r="1083" ht="22.5" customHeight="1">
      <c r="M1083" s="59">
        <f>SUMIFS(Eventos!$G:$G,Eventos!$F:$F,$L1083,Eventos!$D:$D,$C$2,Eventos!$B:$B,PANES_SEMANALES[[#ALL],[LUNES]])</f>
        <v>0</v>
      </c>
      <c r="N1083" s="59">
        <f>SUMIFS(Eventos!$G:$G,Eventos!$F:$F,$L1083,Eventos!$D:$D,$C$2,Eventos!$B:$B,PANES_SEMANALES[[#ALL],[MARTES]])</f>
        <v>0</v>
      </c>
      <c r="O1083" s="59">
        <f>SUMIFS(Eventos!$G:$G,Eventos!$F:$F,$L1083,Eventos!$D:$D,$C$2,Eventos!$B:$B,PANES_SEMANALES[[#ALL],[MIÉRCOLES]])</f>
        <v>0</v>
      </c>
      <c r="P1083" s="59">
        <f>SUMIFS(Eventos!$G:$G,Eventos!$F:$F,$L1083,Eventos!$D:$D,$C$2,Eventos!$B:$B,PANES_SEMANALES[[#ALL],[JUEVES]])</f>
        <v>0</v>
      </c>
      <c r="Q1083" s="59">
        <f>IF(P1083&lt;&gt;"",SUMIFS(Eventos!$G:$G,Eventos!$B:$B,Q$2,Eventos!$D:$D,$C$2,Eventos!$F:$F,$L1083),"")</f>
        <v>0</v>
      </c>
      <c r="R1083" s="59">
        <f>SUMIFS(Eventos!$G:$G,Eventos!$F:$F,$L1083,Eventos!$D:$D,$C$2,Eventos!$B:$B,PANES_SEMANALES[[#ALL],[SÁBADO]])</f>
        <v>0</v>
      </c>
      <c r="S1083" s="59">
        <f>SUMIFS(Eventos!$G:$G,Eventos!$F:$F,$L1083,Eventos!$D:$D,$C$2,Eventos!$B:$B,PANES_SEMANALES[[#ALL],[DOMINGO]])</f>
        <v>0</v>
      </c>
      <c r="T1083" s="59">
        <f t="shared" si="1"/>
        <v>0</v>
      </c>
    </row>
    <row r="1084" ht="22.5" customHeight="1">
      <c r="M1084" s="59">
        <f>SUMIFS(Eventos!$G:$G,Eventos!$F:$F,$L1084,Eventos!$D:$D,$C$2,Eventos!$B:$B,PANES_SEMANALES[[#ALL],[LUNES]])</f>
        <v>0</v>
      </c>
      <c r="N1084" s="59">
        <f>SUMIFS(Eventos!$G:$G,Eventos!$F:$F,$L1084,Eventos!$D:$D,$C$2,Eventos!$B:$B,PANES_SEMANALES[[#ALL],[MARTES]])</f>
        <v>0</v>
      </c>
      <c r="O1084" s="59">
        <f>SUMIFS(Eventos!$G:$G,Eventos!$F:$F,$L1084,Eventos!$D:$D,$C$2,Eventos!$B:$B,PANES_SEMANALES[[#ALL],[MIÉRCOLES]])</f>
        <v>0</v>
      </c>
      <c r="P1084" s="59">
        <f>SUMIFS(Eventos!$G:$G,Eventos!$F:$F,$L1084,Eventos!$D:$D,$C$2,Eventos!$B:$B,PANES_SEMANALES[[#ALL],[JUEVES]])</f>
        <v>0</v>
      </c>
      <c r="Q1084" s="59">
        <f>IF(P1084&lt;&gt;"",SUMIFS(Eventos!$G:$G,Eventos!$B:$B,Q$2,Eventos!$D:$D,$C$2,Eventos!$F:$F,$L1084),"")</f>
        <v>0</v>
      </c>
      <c r="R1084" s="59">
        <f>SUMIFS(Eventos!$G:$G,Eventos!$F:$F,$L1084,Eventos!$D:$D,$C$2,Eventos!$B:$B,PANES_SEMANALES[[#ALL],[SÁBADO]])</f>
        <v>0</v>
      </c>
      <c r="S1084" s="59">
        <f>SUMIFS(Eventos!$G:$G,Eventos!$F:$F,$L1084,Eventos!$D:$D,$C$2,Eventos!$B:$B,PANES_SEMANALES[[#ALL],[DOMINGO]])</f>
        <v>0</v>
      </c>
      <c r="T1084" s="59">
        <f t="shared" si="1"/>
        <v>0</v>
      </c>
    </row>
    <row r="1085" ht="22.5" customHeight="1">
      <c r="M1085" s="59">
        <f>SUMIFS(Eventos!$G:$G,Eventos!$F:$F,$L1085,Eventos!$D:$D,$C$2,Eventos!$B:$B,PANES_SEMANALES[[#ALL],[LUNES]])</f>
        <v>0</v>
      </c>
      <c r="N1085" s="59">
        <f>SUMIFS(Eventos!$G:$G,Eventos!$F:$F,$L1085,Eventos!$D:$D,$C$2,Eventos!$B:$B,PANES_SEMANALES[[#ALL],[MARTES]])</f>
        <v>0</v>
      </c>
      <c r="O1085" s="59">
        <f>SUMIFS(Eventos!$G:$G,Eventos!$F:$F,$L1085,Eventos!$D:$D,$C$2,Eventos!$B:$B,PANES_SEMANALES[[#ALL],[MIÉRCOLES]])</f>
        <v>0</v>
      </c>
      <c r="P1085" s="59">
        <f>SUMIFS(Eventos!$G:$G,Eventos!$F:$F,$L1085,Eventos!$D:$D,$C$2,Eventos!$B:$B,PANES_SEMANALES[[#ALL],[JUEVES]])</f>
        <v>0</v>
      </c>
      <c r="Q1085" s="59">
        <f>IF(P1085&lt;&gt;"",SUMIFS(Eventos!$G:$G,Eventos!$B:$B,Q$2,Eventos!$D:$D,$C$2,Eventos!$F:$F,$L1085),"")</f>
        <v>0</v>
      </c>
      <c r="R1085" s="59">
        <f>SUMIFS(Eventos!$G:$G,Eventos!$F:$F,$L1085,Eventos!$D:$D,$C$2,Eventos!$B:$B,PANES_SEMANALES[[#ALL],[SÁBADO]])</f>
        <v>0</v>
      </c>
      <c r="S1085" s="59">
        <f>SUMIFS(Eventos!$G:$G,Eventos!$F:$F,$L1085,Eventos!$D:$D,$C$2,Eventos!$B:$B,PANES_SEMANALES[[#ALL],[DOMINGO]])</f>
        <v>0</v>
      </c>
      <c r="T1085" s="59">
        <f t="shared" si="1"/>
        <v>0</v>
      </c>
    </row>
    <row r="1086" ht="22.5" customHeight="1">
      <c r="M1086" s="59">
        <f>SUMIFS(Eventos!$G:$G,Eventos!$F:$F,$L1086,Eventos!$D:$D,$C$2,Eventos!$B:$B,PANES_SEMANALES[[#ALL],[LUNES]])</f>
        <v>0</v>
      </c>
      <c r="N1086" s="59">
        <f>SUMIFS(Eventos!$G:$G,Eventos!$F:$F,$L1086,Eventos!$D:$D,$C$2,Eventos!$B:$B,PANES_SEMANALES[[#ALL],[MARTES]])</f>
        <v>0</v>
      </c>
      <c r="O1086" s="59">
        <f>SUMIFS(Eventos!$G:$G,Eventos!$F:$F,$L1086,Eventos!$D:$D,$C$2,Eventos!$B:$B,PANES_SEMANALES[[#ALL],[MIÉRCOLES]])</f>
        <v>0</v>
      </c>
      <c r="P1086" s="59">
        <f>SUMIFS(Eventos!$G:$G,Eventos!$F:$F,$L1086,Eventos!$D:$D,$C$2,Eventos!$B:$B,PANES_SEMANALES[[#ALL],[JUEVES]])</f>
        <v>0</v>
      </c>
      <c r="Q1086" s="59">
        <f>IF(P1086&lt;&gt;"",SUMIFS(Eventos!$G:$G,Eventos!$B:$B,Q$2,Eventos!$D:$D,$C$2,Eventos!$F:$F,$L1086),"")</f>
        <v>0</v>
      </c>
      <c r="R1086" s="59">
        <f>SUMIFS(Eventos!$G:$G,Eventos!$F:$F,$L1086,Eventos!$D:$D,$C$2,Eventos!$B:$B,PANES_SEMANALES[[#ALL],[SÁBADO]])</f>
        <v>0</v>
      </c>
      <c r="S1086" s="59">
        <f>SUMIFS(Eventos!$G:$G,Eventos!$F:$F,$L1086,Eventos!$D:$D,$C$2,Eventos!$B:$B,PANES_SEMANALES[[#ALL],[DOMINGO]])</f>
        <v>0</v>
      </c>
      <c r="T1086" s="59">
        <f t="shared" si="1"/>
        <v>0</v>
      </c>
    </row>
    <row r="1087" ht="22.5" customHeight="1">
      <c r="M1087" s="59">
        <f>SUMIFS(Eventos!$G:$G,Eventos!$F:$F,$L1087,Eventos!$D:$D,$C$2,Eventos!$B:$B,PANES_SEMANALES[[#ALL],[LUNES]])</f>
        <v>0</v>
      </c>
      <c r="N1087" s="59">
        <f>SUMIFS(Eventos!$G:$G,Eventos!$F:$F,$L1087,Eventos!$D:$D,$C$2,Eventos!$B:$B,PANES_SEMANALES[[#ALL],[MARTES]])</f>
        <v>0</v>
      </c>
      <c r="O1087" s="59">
        <f>SUMIFS(Eventos!$G:$G,Eventos!$F:$F,$L1087,Eventos!$D:$D,$C$2,Eventos!$B:$B,PANES_SEMANALES[[#ALL],[MIÉRCOLES]])</f>
        <v>0</v>
      </c>
      <c r="P1087" s="59">
        <f>SUMIFS(Eventos!$G:$G,Eventos!$F:$F,$L1087,Eventos!$D:$D,$C$2,Eventos!$B:$B,PANES_SEMANALES[[#ALL],[JUEVES]])</f>
        <v>0</v>
      </c>
      <c r="Q1087" s="59">
        <f>IF(P1087&lt;&gt;"",SUMIFS(Eventos!$G:$G,Eventos!$B:$B,Q$2,Eventos!$D:$D,$C$2,Eventos!$F:$F,$L1087),"")</f>
        <v>0</v>
      </c>
      <c r="R1087" s="59">
        <f>SUMIFS(Eventos!$G:$G,Eventos!$F:$F,$L1087,Eventos!$D:$D,$C$2,Eventos!$B:$B,PANES_SEMANALES[[#ALL],[SÁBADO]])</f>
        <v>0</v>
      </c>
      <c r="S1087" s="59">
        <f>SUMIFS(Eventos!$G:$G,Eventos!$F:$F,$L1087,Eventos!$D:$D,$C$2,Eventos!$B:$B,PANES_SEMANALES[[#ALL],[DOMINGO]])</f>
        <v>0</v>
      </c>
      <c r="T1087" s="59">
        <f t="shared" si="1"/>
        <v>0</v>
      </c>
    </row>
    <row r="1088" ht="22.5" customHeight="1">
      <c r="M1088" s="59">
        <f>SUMIFS(Eventos!$G:$G,Eventos!$F:$F,$L1088,Eventos!$D:$D,$C$2,Eventos!$B:$B,PANES_SEMANALES[[#ALL],[LUNES]])</f>
        <v>0</v>
      </c>
      <c r="N1088" s="59">
        <f>SUMIFS(Eventos!$G:$G,Eventos!$F:$F,$L1088,Eventos!$D:$D,$C$2,Eventos!$B:$B,PANES_SEMANALES[[#ALL],[MARTES]])</f>
        <v>0</v>
      </c>
      <c r="O1088" s="59">
        <f>SUMIFS(Eventos!$G:$G,Eventos!$F:$F,$L1088,Eventos!$D:$D,$C$2,Eventos!$B:$B,PANES_SEMANALES[[#ALL],[MIÉRCOLES]])</f>
        <v>0</v>
      </c>
      <c r="P1088" s="59">
        <f>SUMIFS(Eventos!$G:$G,Eventos!$F:$F,$L1088,Eventos!$D:$D,$C$2,Eventos!$B:$B,PANES_SEMANALES[[#ALL],[JUEVES]])</f>
        <v>0</v>
      </c>
      <c r="Q1088" s="59">
        <f>IF(P1088&lt;&gt;"",SUMIFS(Eventos!$G:$G,Eventos!$B:$B,Q$2,Eventos!$D:$D,$C$2,Eventos!$F:$F,$L1088),"")</f>
        <v>0</v>
      </c>
      <c r="R1088" s="59">
        <f>SUMIFS(Eventos!$G:$G,Eventos!$F:$F,$L1088,Eventos!$D:$D,$C$2,Eventos!$B:$B,PANES_SEMANALES[[#ALL],[SÁBADO]])</f>
        <v>0</v>
      </c>
      <c r="S1088" s="59">
        <f>SUMIFS(Eventos!$G:$G,Eventos!$F:$F,$L1088,Eventos!$D:$D,$C$2,Eventos!$B:$B,PANES_SEMANALES[[#ALL],[DOMINGO]])</f>
        <v>0</v>
      </c>
      <c r="T1088" s="59">
        <f t="shared" si="1"/>
        <v>0</v>
      </c>
    </row>
    <row r="1089" ht="22.5" customHeight="1">
      <c r="M1089" s="59">
        <f>SUMIFS(Eventos!$G:$G,Eventos!$F:$F,$L1089,Eventos!$D:$D,$C$2,Eventos!$B:$B,PANES_SEMANALES[[#ALL],[LUNES]])</f>
        <v>0</v>
      </c>
      <c r="N1089" s="59">
        <f>SUMIFS(Eventos!$G:$G,Eventos!$F:$F,$L1089,Eventos!$D:$D,$C$2,Eventos!$B:$B,PANES_SEMANALES[[#ALL],[MARTES]])</f>
        <v>0</v>
      </c>
      <c r="O1089" s="59">
        <f>SUMIFS(Eventos!$G:$G,Eventos!$F:$F,$L1089,Eventos!$D:$D,$C$2,Eventos!$B:$B,PANES_SEMANALES[[#ALL],[MIÉRCOLES]])</f>
        <v>0</v>
      </c>
      <c r="P1089" s="59">
        <f>SUMIFS(Eventos!$G:$G,Eventos!$F:$F,$L1089,Eventos!$D:$D,$C$2,Eventos!$B:$B,PANES_SEMANALES[[#ALL],[JUEVES]])</f>
        <v>0</v>
      </c>
      <c r="Q1089" s="59">
        <f>IF(P1089&lt;&gt;"",SUMIFS(Eventos!$G:$G,Eventos!$B:$B,Q$2,Eventos!$D:$D,$C$2,Eventos!$F:$F,$L1089),"")</f>
        <v>0</v>
      </c>
      <c r="R1089" s="59">
        <f>SUMIFS(Eventos!$G:$G,Eventos!$F:$F,$L1089,Eventos!$D:$D,$C$2,Eventos!$B:$B,PANES_SEMANALES[[#ALL],[SÁBADO]])</f>
        <v>0</v>
      </c>
      <c r="S1089" s="59">
        <f>SUMIFS(Eventos!$G:$G,Eventos!$F:$F,$L1089,Eventos!$D:$D,$C$2,Eventos!$B:$B,PANES_SEMANALES[[#ALL],[DOMINGO]])</f>
        <v>0</v>
      </c>
      <c r="T1089" s="59">
        <f t="shared" si="1"/>
        <v>0</v>
      </c>
    </row>
    <row r="1090" ht="22.5" customHeight="1">
      <c r="M1090" s="59">
        <f>SUMIFS(Eventos!$G:$G,Eventos!$F:$F,$L1090,Eventos!$D:$D,$C$2,Eventos!$B:$B,PANES_SEMANALES[[#ALL],[LUNES]])</f>
        <v>0</v>
      </c>
      <c r="N1090" s="59">
        <f>SUMIFS(Eventos!$G:$G,Eventos!$F:$F,$L1090,Eventos!$D:$D,$C$2,Eventos!$B:$B,PANES_SEMANALES[[#ALL],[MARTES]])</f>
        <v>0</v>
      </c>
      <c r="O1090" s="59">
        <f>SUMIFS(Eventos!$G:$G,Eventos!$F:$F,$L1090,Eventos!$D:$D,$C$2,Eventos!$B:$B,PANES_SEMANALES[[#ALL],[MIÉRCOLES]])</f>
        <v>0</v>
      </c>
      <c r="P1090" s="59">
        <f>SUMIFS(Eventos!$G:$G,Eventos!$F:$F,$L1090,Eventos!$D:$D,$C$2,Eventos!$B:$B,PANES_SEMANALES[[#ALL],[JUEVES]])</f>
        <v>0</v>
      </c>
      <c r="Q1090" s="59">
        <f>IF(P1090&lt;&gt;"",SUMIFS(Eventos!$G:$G,Eventos!$B:$B,Q$2,Eventos!$D:$D,$C$2,Eventos!$F:$F,$L1090),"")</f>
        <v>0</v>
      </c>
      <c r="R1090" s="59">
        <f>SUMIFS(Eventos!$G:$G,Eventos!$F:$F,$L1090,Eventos!$D:$D,$C$2,Eventos!$B:$B,PANES_SEMANALES[[#ALL],[SÁBADO]])</f>
        <v>0</v>
      </c>
      <c r="S1090" s="59">
        <f>SUMIFS(Eventos!$G:$G,Eventos!$F:$F,$L1090,Eventos!$D:$D,$C$2,Eventos!$B:$B,PANES_SEMANALES[[#ALL],[DOMINGO]])</f>
        <v>0</v>
      </c>
      <c r="T1090" s="59">
        <f t="shared" si="1"/>
        <v>0</v>
      </c>
    </row>
    <row r="1091" ht="22.5" customHeight="1">
      <c r="M1091" s="59">
        <f>SUMIFS(Eventos!$G:$G,Eventos!$F:$F,$L1091,Eventos!$D:$D,$C$2,Eventos!$B:$B,PANES_SEMANALES[[#ALL],[LUNES]])</f>
        <v>0</v>
      </c>
      <c r="N1091" s="59">
        <f>SUMIFS(Eventos!$G:$G,Eventos!$F:$F,$L1091,Eventos!$D:$D,$C$2,Eventos!$B:$B,PANES_SEMANALES[[#ALL],[MARTES]])</f>
        <v>0</v>
      </c>
      <c r="O1091" s="59">
        <f>SUMIFS(Eventos!$G:$G,Eventos!$F:$F,$L1091,Eventos!$D:$D,$C$2,Eventos!$B:$B,PANES_SEMANALES[[#ALL],[MIÉRCOLES]])</f>
        <v>0</v>
      </c>
      <c r="P1091" s="59">
        <f>SUMIFS(Eventos!$G:$G,Eventos!$F:$F,$L1091,Eventos!$D:$D,$C$2,Eventos!$B:$B,PANES_SEMANALES[[#ALL],[JUEVES]])</f>
        <v>0</v>
      </c>
      <c r="Q1091" s="59">
        <f>IF(P1091&lt;&gt;"",SUMIFS(Eventos!$G:$G,Eventos!$B:$B,Q$2,Eventos!$D:$D,$C$2,Eventos!$F:$F,$L1091),"")</f>
        <v>0</v>
      </c>
      <c r="R1091" s="59">
        <f>SUMIFS(Eventos!$G:$G,Eventos!$F:$F,$L1091,Eventos!$D:$D,$C$2,Eventos!$B:$B,PANES_SEMANALES[[#ALL],[SÁBADO]])</f>
        <v>0</v>
      </c>
      <c r="S1091" s="59">
        <f>SUMIFS(Eventos!$G:$G,Eventos!$F:$F,$L1091,Eventos!$D:$D,$C$2,Eventos!$B:$B,PANES_SEMANALES[[#ALL],[DOMINGO]])</f>
        <v>0</v>
      </c>
      <c r="T1091" s="59">
        <f t="shared" si="1"/>
        <v>0</v>
      </c>
    </row>
    <row r="1092" ht="22.5" customHeight="1">
      <c r="M1092" s="59">
        <f>SUMIFS(Eventos!$G:$G,Eventos!$F:$F,$L1092,Eventos!$D:$D,$C$2,Eventos!$B:$B,PANES_SEMANALES[[#ALL],[LUNES]])</f>
        <v>0</v>
      </c>
      <c r="N1092" s="59">
        <f>SUMIFS(Eventos!$G:$G,Eventos!$F:$F,$L1092,Eventos!$D:$D,$C$2,Eventos!$B:$B,PANES_SEMANALES[[#ALL],[MARTES]])</f>
        <v>0</v>
      </c>
      <c r="O1092" s="59">
        <f>SUMIFS(Eventos!$G:$G,Eventos!$F:$F,$L1092,Eventos!$D:$D,$C$2,Eventos!$B:$B,PANES_SEMANALES[[#ALL],[MIÉRCOLES]])</f>
        <v>0</v>
      </c>
      <c r="P1092" s="59">
        <f>SUMIFS(Eventos!$G:$G,Eventos!$F:$F,$L1092,Eventos!$D:$D,$C$2,Eventos!$B:$B,PANES_SEMANALES[[#ALL],[JUEVES]])</f>
        <v>0</v>
      </c>
      <c r="Q1092" s="59">
        <f>IF(P1092&lt;&gt;"",SUMIFS(Eventos!$G:$G,Eventos!$B:$B,Q$2,Eventos!$D:$D,$C$2,Eventos!$F:$F,$L1092),"")</f>
        <v>0</v>
      </c>
      <c r="R1092" s="59">
        <f>SUMIFS(Eventos!$G:$G,Eventos!$F:$F,$L1092,Eventos!$D:$D,$C$2,Eventos!$B:$B,PANES_SEMANALES[[#ALL],[SÁBADO]])</f>
        <v>0</v>
      </c>
      <c r="S1092" s="59">
        <f>SUMIFS(Eventos!$G:$G,Eventos!$F:$F,$L1092,Eventos!$D:$D,$C$2,Eventos!$B:$B,PANES_SEMANALES[[#ALL],[DOMINGO]])</f>
        <v>0</v>
      </c>
      <c r="T1092" s="59">
        <f t="shared" si="1"/>
        <v>0</v>
      </c>
    </row>
    <row r="1093" ht="22.5" customHeight="1">
      <c r="M1093" s="59">
        <f>SUMIFS(Eventos!$G:$G,Eventos!$F:$F,$L1093,Eventos!$D:$D,$C$2,Eventos!$B:$B,PANES_SEMANALES[[#ALL],[LUNES]])</f>
        <v>0</v>
      </c>
      <c r="N1093" s="59">
        <f>SUMIFS(Eventos!$G:$G,Eventos!$F:$F,$L1093,Eventos!$D:$D,$C$2,Eventos!$B:$B,PANES_SEMANALES[[#ALL],[MARTES]])</f>
        <v>0</v>
      </c>
      <c r="O1093" s="59">
        <f>SUMIFS(Eventos!$G:$G,Eventos!$F:$F,$L1093,Eventos!$D:$D,$C$2,Eventos!$B:$B,PANES_SEMANALES[[#ALL],[MIÉRCOLES]])</f>
        <v>0</v>
      </c>
      <c r="P1093" s="59">
        <f>SUMIFS(Eventos!$G:$G,Eventos!$F:$F,$L1093,Eventos!$D:$D,$C$2,Eventos!$B:$B,PANES_SEMANALES[[#ALL],[JUEVES]])</f>
        <v>0</v>
      </c>
      <c r="Q1093" s="59">
        <f>IF(P1093&lt;&gt;"",SUMIFS(Eventos!$G:$G,Eventos!$B:$B,Q$2,Eventos!$D:$D,$C$2,Eventos!$F:$F,$L1093),"")</f>
        <v>0</v>
      </c>
      <c r="R1093" s="59">
        <f>SUMIFS(Eventos!$G:$G,Eventos!$F:$F,$L1093,Eventos!$D:$D,$C$2,Eventos!$B:$B,PANES_SEMANALES[[#ALL],[SÁBADO]])</f>
        <v>0</v>
      </c>
      <c r="S1093" s="59">
        <f>SUMIFS(Eventos!$G:$G,Eventos!$F:$F,$L1093,Eventos!$D:$D,$C$2,Eventos!$B:$B,PANES_SEMANALES[[#ALL],[DOMINGO]])</f>
        <v>0</v>
      </c>
      <c r="T1093" s="59">
        <f t="shared" si="1"/>
        <v>0</v>
      </c>
    </row>
    <row r="1094" ht="22.5" customHeight="1">
      <c r="M1094" s="59">
        <f>SUMIFS(Eventos!$G:$G,Eventos!$F:$F,$L1094,Eventos!$D:$D,$C$2,Eventos!$B:$B,PANES_SEMANALES[[#ALL],[LUNES]])</f>
        <v>0</v>
      </c>
      <c r="N1094" s="59">
        <f>SUMIFS(Eventos!$G:$G,Eventos!$F:$F,$L1094,Eventos!$D:$D,$C$2,Eventos!$B:$B,PANES_SEMANALES[[#ALL],[MARTES]])</f>
        <v>0</v>
      </c>
      <c r="O1094" s="59">
        <f>SUMIFS(Eventos!$G:$G,Eventos!$F:$F,$L1094,Eventos!$D:$D,$C$2,Eventos!$B:$B,PANES_SEMANALES[[#ALL],[MIÉRCOLES]])</f>
        <v>0</v>
      </c>
      <c r="P1094" s="59">
        <f>SUMIFS(Eventos!$G:$G,Eventos!$F:$F,$L1094,Eventos!$D:$D,$C$2,Eventos!$B:$B,PANES_SEMANALES[[#ALL],[JUEVES]])</f>
        <v>0</v>
      </c>
      <c r="Q1094" s="59">
        <f>IF(P1094&lt;&gt;"",SUMIFS(Eventos!$G:$G,Eventos!$B:$B,Q$2,Eventos!$D:$D,$C$2,Eventos!$F:$F,$L1094),"")</f>
        <v>0</v>
      </c>
      <c r="R1094" s="59">
        <f>SUMIFS(Eventos!$G:$G,Eventos!$F:$F,$L1094,Eventos!$D:$D,$C$2,Eventos!$B:$B,PANES_SEMANALES[[#ALL],[SÁBADO]])</f>
        <v>0</v>
      </c>
      <c r="S1094" s="59">
        <f>SUMIFS(Eventos!$G:$G,Eventos!$F:$F,$L1094,Eventos!$D:$D,$C$2,Eventos!$B:$B,PANES_SEMANALES[[#ALL],[DOMINGO]])</f>
        <v>0</v>
      </c>
      <c r="T1094" s="59">
        <f t="shared" si="1"/>
        <v>0</v>
      </c>
    </row>
    <row r="1095" ht="22.5" customHeight="1">
      <c r="M1095" s="59">
        <f>SUMIFS(Eventos!$G:$G,Eventos!$F:$F,$L1095,Eventos!$D:$D,$C$2,Eventos!$B:$B,PANES_SEMANALES[[#ALL],[LUNES]])</f>
        <v>0</v>
      </c>
      <c r="N1095" s="59">
        <f>SUMIFS(Eventos!$G:$G,Eventos!$F:$F,$L1095,Eventos!$D:$D,$C$2,Eventos!$B:$B,PANES_SEMANALES[[#ALL],[MARTES]])</f>
        <v>0</v>
      </c>
      <c r="O1095" s="59">
        <f>SUMIFS(Eventos!$G:$G,Eventos!$F:$F,$L1095,Eventos!$D:$D,$C$2,Eventos!$B:$B,PANES_SEMANALES[[#ALL],[MIÉRCOLES]])</f>
        <v>0</v>
      </c>
      <c r="P1095" s="59">
        <f>SUMIFS(Eventos!$G:$G,Eventos!$F:$F,$L1095,Eventos!$D:$D,$C$2,Eventos!$B:$B,PANES_SEMANALES[[#ALL],[JUEVES]])</f>
        <v>0</v>
      </c>
      <c r="Q1095" s="59">
        <f>IF(P1095&lt;&gt;"",SUMIFS(Eventos!$G:$G,Eventos!$B:$B,Q$2,Eventos!$D:$D,$C$2,Eventos!$F:$F,$L1095),"")</f>
        <v>0</v>
      </c>
      <c r="R1095" s="59">
        <f>SUMIFS(Eventos!$G:$G,Eventos!$F:$F,$L1095,Eventos!$D:$D,$C$2,Eventos!$B:$B,PANES_SEMANALES[[#ALL],[SÁBADO]])</f>
        <v>0</v>
      </c>
      <c r="S1095" s="59">
        <f>SUMIFS(Eventos!$G:$G,Eventos!$F:$F,$L1095,Eventos!$D:$D,$C$2,Eventos!$B:$B,PANES_SEMANALES[[#ALL],[DOMINGO]])</f>
        <v>0</v>
      </c>
      <c r="T1095" s="59">
        <f t="shared" si="1"/>
        <v>0</v>
      </c>
    </row>
    <row r="1096" ht="22.5" customHeight="1">
      <c r="M1096" s="59">
        <f>SUMIFS(Eventos!$G:$G,Eventos!$F:$F,$L1096,Eventos!$D:$D,$C$2,Eventos!$B:$B,PANES_SEMANALES[[#ALL],[LUNES]])</f>
        <v>0</v>
      </c>
      <c r="N1096" s="59">
        <f>SUMIFS(Eventos!$G:$G,Eventos!$F:$F,$L1096,Eventos!$D:$D,$C$2,Eventos!$B:$B,PANES_SEMANALES[[#ALL],[MARTES]])</f>
        <v>0</v>
      </c>
      <c r="O1096" s="59">
        <f>SUMIFS(Eventos!$G:$G,Eventos!$F:$F,$L1096,Eventos!$D:$D,$C$2,Eventos!$B:$B,PANES_SEMANALES[[#ALL],[MIÉRCOLES]])</f>
        <v>0</v>
      </c>
      <c r="P1096" s="59">
        <f>SUMIFS(Eventos!$G:$G,Eventos!$F:$F,$L1096,Eventos!$D:$D,$C$2,Eventos!$B:$B,PANES_SEMANALES[[#ALL],[JUEVES]])</f>
        <v>0</v>
      </c>
      <c r="Q1096" s="59">
        <f>IF(P1096&lt;&gt;"",SUMIFS(Eventos!$G:$G,Eventos!$B:$B,Q$2,Eventos!$D:$D,$C$2,Eventos!$F:$F,$L1096),"")</f>
        <v>0</v>
      </c>
      <c r="R1096" s="59">
        <f>SUMIFS(Eventos!$G:$G,Eventos!$F:$F,$L1096,Eventos!$D:$D,$C$2,Eventos!$B:$B,PANES_SEMANALES[[#ALL],[SÁBADO]])</f>
        <v>0</v>
      </c>
      <c r="S1096" s="59">
        <f>SUMIFS(Eventos!$G:$G,Eventos!$F:$F,$L1096,Eventos!$D:$D,$C$2,Eventos!$B:$B,PANES_SEMANALES[[#ALL],[DOMINGO]])</f>
        <v>0</v>
      </c>
      <c r="T1096" s="59">
        <f t="shared" si="1"/>
        <v>0</v>
      </c>
    </row>
    <row r="1097" ht="22.5" customHeight="1">
      <c r="M1097" s="59">
        <f>SUMIFS(Eventos!$G:$G,Eventos!$F:$F,$L1097,Eventos!$D:$D,$C$2,Eventos!$B:$B,PANES_SEMANALES[[#ALL],[LUNES]])</f>
        <v>0</v>
      </c>
      <c r="N1097" s="59">
        <f>SUMIFS(Eventos!$G:$G,Eventos!$F:$F,$L1097,Eventos!$D:$D,$C$2,Eventos!$B:$B,PANES_SEMANALES[[#ALL],[MARTES]])</f>
        <v>0</v>
      </c>
      <c r="O1097" s="59">
        <f>SUMIFS(Eventos!$G:$G,Eventos!$F:$F,$L1097,Eventos!$D:$D,$C$2,Eventos!$B:$B,PANES_SEMANALES[[#ALL],[MIÉRCOLES]])</f>
        <v>0</v>
      </c>
      <c r="P1097" s="59">
        <f>SUMIFS(Eventos!$G:$G,Eventos!$F:$F,$L1097,Eventos!$D:$D,$C$2,Eventos!$B:$B,PANES_SEMANALES[[#ALL],[JUEVES]])</f>
        <v>0</v>
      </c>
      <c r="Q1097" s="59">
        <f>IF(P1097&lt;&gt;"",SUMIFS(Eventos!$G:$G,Eventos!$B:$B,Q$2,Eventos!$D:$D,$C$2,Eventos!$F:$F,$L1097),"")</f>
        <v>0</v>
      </c>
      <c r="R1097" s="59">
        <f>SUMIFS(Eventos!$G:$G,Eventos!$F:$F,$L1097,Eventos!$D:$D,$C$2,Eventos!$B:$B,PANES_SEMANALES[[#ALL],[SÁBADO]])</f>
        <v>0</v>
      </c>
      <c r="S1097" s="59">
        <f>SUMIFS(Eventos!$G:$G,Eventos!$F:$F,$L1097,Eventos!$D:$D,$C$2,Eventos!$B:$B,PANES_SEMANALES[[#ALL],[DOMINGO]])</f>
        <v>0</v>
      </c>
      <c r="T1097" s="59">
        <f t="shared" si="1"/>
        <v>0</v>
      </c>
    </row>
    <row r="1098" ht="22.5" customHeight="1">
      <c r="M1098" s="59">
        <f>SUMIFS(Eventos!$G:$G,Eventos!$F:$F,$L1098,Eventos!$D:$D,$C$2,Eventos!$B:$B,PANES_SEMANALES[[#ALL],[LUNES]])</f>
        <v>0</v>
      </c>
      <c r="N1098" s="59">
        <f>SUMIFS(Eventos!$G:$G,Eventos!$F:$F,$L1098,Eventos!$D:$D,$C$2,Eventos!$B:$B,PANES_SEMANALES[[#ALL],[MARTES]])</f>
        <v>0</v>
      </c>
      <c r="O1098" s="59">
        <f>SUMIFS(Eventos!$G:$G,Eventos!$F:$F,$L1098,Eventos!$D:$D,$C$2,Eventos!$B:$B,PANES_SEMANALES[[#ALL],[MIÉRCOLES]])</f>
        <v>0</v>
      </c>
      <c r="P1098" s="59">
        <f>SUMIFS(Eventos!$G:$G,Eventos!$F:$F,$L1098,Eventos!$D:$D,$C$2,Eventos!$B:$B,PANES_SEMANALES[[#ALL],[JUEVES]])</f>
        <v>0</v>
      </c>
      <c r="Q1098" s="59">
        <f>IF(P1098&lt;&gt;"",SUMIFS(Eventos!$G:$G,Eventos!$B:$B,Q$2,Eventos!$D:$D,$C$2,Eventos!$F:$F,$L1098),"")</f>
        <v>0</v>
      </c>
      <c r="R1098" s="59">
        <f>SUMIFS(Eventos!$G:$G,Eventos!$F:$F,$L1098,Eventos!$D:$D,$C$2,Eventos!$B:$B,PANES_SEMANALES[[#ALL],[SÁBADO]])</f>
        <v>0</v>
      </c>
      <c r="S1098" s="59">
        <f>SUMIFS(Eventos!$G:$G,Eventos!$F:$F,$L1098,Eventos!$D:$D,$C$2,Eventos!$B:$B,PANES_SEMANALES[[#ALL],[DOMINGO]])</f>
        <v>0</v>
      </c>
      <c r="T1098" s="59">
        <f t="shared" si="1"/>
        <v>0</v>
      </c>
    </row>
    <row r="1099" ht="22.5" customHeight="1">
      <c r="M1099" s="59">
        <f>SUMIFS(Eventos!$G:$G,Eventos!$F:$F,$L1099,Eventos!$D:$D,$C$2,Eventos!$B:$B,PANES_SEMANALES[[#ALL],[LUNES]])</f>
        <v>0</v>
      </c>
      <c r="N1099" s="59">
        <f>SUMIFS(Eventos!$G:$G,Eventos!$F:$F,$L1099,Eventos!$D:$D,$C$2,Eventos!$B:$B,PANES_SEMANALES[[#ALL],[MARTES]])</f>
        <v>0</v>
      </c>
      <c r="O1099" s="59">
        <f>SUMIFS(Eventos!$G:$G,Eventos!$F:$F,$L1099,Eventos!$D:$D,$C$2,Eventos!$B:$B,PANES_SEMANALES[[#ALL],[MIÉRCOLES]])</f>
        <v>0</v>
      </c>
      <c r="P1099" s="59">
        <f>SUMIFS(Eventos!$G:$G,Eventos!$F:$F,$L1099,Eventos!$D:$D,$C$2,Eventos!$B:$B,PANES_SEMANALES[[#ALL],[JUEVES]])</f>
        <v>0</v>
      </c>
      <c r="Q1099" s="59">
        <f>IF(P1099&lt;&gt;"",SUMIFS(Eventos!$G:$G,Eventos!$B:$B,Q$2,Eventos!$D:$D,$C$2,Eventos!$F:$F,$L1099),"")</f>
        <v>0</v>
      </c>
      <c r="R1099" s="59">
        <f>SUMIFS(Eventos!$G:$G,Eventos!$F:$F,$L1099,Eventos!$D:$D,$C$2,Eventos!$B:$B,PANES_SEMANALES[[#ALL],[SÁBADO]])</f>
        <v>0</v>
      </c>
      <c r="S1099" s="59">
        <f>SUMIFS(Eventos!$G:$G,Eventos!$F:$F,$L1099,Eventos!$D:$D,$C$2,Eventos!$B:$B,PANES_SEMANALES[[#ALL],[DOMINGO]])</f>
        <v>0</v>
      </c>
      <c r="T1099" s="59">
        <f t="shared" si="1"/>
        <v>0</v>
      </c>
    </row>
    <row r="1100" ht="22.5" customHeight="1">
      <c r="M1100" s="59">
        <f>SUMIFS(Eventos!$G:$G,Eventos!$F:$F,$L1100,Eventos!$D:$D,$C$2,Eventos!$B:$B,PANES_SEMANALES[[#ALL],[LUNES]])</f>
        <v>0</v>
      </c>
      <c r="N1100" s="59">
        <f>SUMIFS(Eventos!$G:$G,Eventos!$F:$F,$L1100,Eventos!$D:$D,$C$2,Eventos!$B:$B,PANES_SEMANALES[[#ALL],[MARTES]])</f>
        <v>0</v>
      </c>
      <c r="O1100" s="59">
        <f>SUMIFS(Eventos!$G:$G,Eventos!$F:$F,$L1100,Eventos!$D:$D,$C$2,Eventos!$B:$B,PANES_SEMANALES[[#ALL],[MIÉRCOLES]])</f>
        <v>0</v>
      </c>
      <c r="P1100" s="59">
        <f>SUMIFS(Eventos!$G:$G,Eventos!$F:$F,$L1100,Eventos!$D:$D,$C$2,Eventos!$B:$B,PANES_SEMANALES[[#ALL],[JUEVES]])</f>
        <v>0</v>
      </c>
      <c r="Q1100" s="59">
        <f>IF(P1100&lt;&gt;"",SUMIFS(Eventos!$G:$G,Eventos!$B:$B,Q$2,Eventos!$D:$D,$C$2,Eventos!$F:$F,$L1100),"")</f>
        <v>0</v>
      </c>
      <c r="R1100" s="59">
        <f>SUMIFS(Eventos!$G:$G,Eventos!$F:$F,$L1100,Eventos!$D:$D,$C$2,Eventos!$B:$B,PANES_SEMANALES[[#ALL],[SÁBADO]])</f>
        <v>0</v>
      </c>
      <c r="S1100" s="59">
        <f>SUMIFS(Eventos!$G:$G,Eventos!$F:$F,$L1100,Eventos!$D:$D,$C$2,Eventos!$B:$B,PANES_SEMANALES[[#ALL],[DOMINGO]])</f>
        <v>0</v>
      </c>
      <c r="T1100" s="59">
        <f t="shared" si="1"/>
        <v>0</v>
      </c>
    </row>
    <row r="1101" ht="22.5" customHeight="1">
      <c r="M1101" s="59">
        <f>SUMIFS(Eventos!$G:$G,Eventos!$F:$F,$L1101,Eventos!$D:$D,$C$2,Eventos!$B:$B,PANES_SEMANALES[[#ALL],[LUNES]])</f>
        <v>0</v>
      </c>
      <c r="N1101" s="59">
        <f>SUMIFS(Eventos!$G:$G,Eventos!$F:$F,$L1101,Eventos!$D:$D,$C$2,Eventos!$B:$B,PANES_SEMANALES[[#ALL],[MARTES]])</f>
        <v>0</v>
      </c>
      <c r="O1101" s="59">
        <f>SUMIFS(Eventos!$G:$G,Eventos!$F:$F,$L1101,Eventos!$D:$D,$C$2,Eventos!$B:$B,PANES_SEMANALES[[#ALL],[MIÉRCOLES]])</f>
        <v>0</v>
      </c>
      <c r="P1101" s="59">
        <f>SUMIFS(Eventos!$G:$G,Eventos!$F:$F,$L1101,Eventos!$D:$D,$C$2,Eventos!$B:$B,PANES_SEMANALES[[#ALL],[JUEVES]])</f>
        <v>0</v>
      </c>
      <c r="Q1101" s="59">
        <f>IF(P1101&lt;&gt;"",SUMIFS(Eventos!$G:$G,Eventos!$B:$B,Q$2,Eventos!$D:$D,$C$2,Eventos!$F:$F,$L1101),"")</f>
        <v>0</v>
      </c>
      <c r="R1101" s="59">
        <f>SUMIFS(Eventos!$G:$G,Eventos!$F:$F,$L1101,Eventos!$D:$D,$C$2,Eventos!$B:$B,PANES_SEMANALES[[#ALL],[SÁBADO]])</f>
        <v>0</v>
      </c>
      <c r="S1101" s="59">
        <f>SUMIFS(Eventos!$G:$G,Eventos!$F:$F,$L1101,Eventos!$D:$D,$C$2,Eventos!$B:$B,PANES_SEMANALES[[#ALL],[DOMINGO]])</f>
        <v>0</v>
      </c>
      <c r="T1101" s="59">
        <f t="shared" si="1"/>
        <v>0</v>
      </c>
    </row>
    <row r="1102" ht="22.5" customHeight="1">
      <c r="M1102" s="59">
        <f>SUMIFS(Eventos!$G:$G,Eventos!$F:$F,$L1102,Eventos!$D:$D,$C$2,Eventos!$B:$B,PANES_SEMANALES[[#ALL],[LUNES]])</f>
        <v>0</v>
      </c>
      <c r="N1102" s="59">
        <f>SUMIFS(Eventos!$G:$G,Eventos!$F:$F,$L1102,Eventos!$D:$D,$C$2,Eventos!$B:$B,PANES_SEMANALES[[#ALL],[MARTES]])</f>
        <v>0</v>
      </c>
      <c r="O1102" s="59">
        <f>SUMIFS(Eventos!$G:$G,Eventos!$F:$F,$L1102,Eventos!$D:$D,$C$2,Eventos!$B:$B,PANES_SEMANALES[[#ALL],[MIÉRCOLES]])</f>
        <v>0</v>
      </c>
      <c r="P1102" s="59">
        <f>SUMIFS(Eventos!$G:$G,Eventos!$F:$F,$L1102,Eventos!$D:$D,$C$2,Eventos!$B:$B,PANES_SEMANALES[[#ALL],[JUEVES]])</f>
        <v>0</v>
      </c>
      <c r="Q1102" s="59">
        <f>IF(P1102&lt;&gt;"",SUMIFS(Eventos!$G:$G,Eventos!$B:$B,Q$2,Eventos!$D:$D,$C$2,Eventos!$F:$F,$L1102),"")</f>
        <v>0</v>
      </c>
      <c r="R1102" s="59">
        <f>SUMIFS(Eventos!$G:$G,Eventos!$F:$F,$L1102,Eventos!$D:$D,$C$2,Eventos!$B:$B,PANES_SEMANALES[[#ALL],[SÁBADO]])</f>
        <v>0</v>
      </c>
      <c r="S1102" s="59">
        <f>SUMIFS(Eventos!$G:$G,Eventos!$F:$F,$L1102,Eventos!$D:$D,$C$2,Eventos!$B:$B,PANES_SEMANALES[[#ALL],[DOMINGO]])</f>
        <v>0</v>
      </c>
      <c r="T1102" s="59">
        <f t="shared" si="1"/>
        <v>0</v>
      </c>
    </row>
    <row r="1103" ht="22.5" customHeight="1">
      <c r="M1103" s="59">
        <f>SUMIFS(Eventos!$G:$G,Eventos!$F:$F,$L1103,Eventos!$D:$D,$C$2,Eventos!$B:$B,PANES_SEMANALES[[#ALL],[LUNES]])</f>
        <v>0</v>
      </c>
      <c r="N1103" s="59">
        <f>SUMIFS(Eventos!$G:$G,Eventos!$F:$F,$L1103,Eventos!$D:$D,$C$2,Eventos!$B:$B,PANES_SEMANALES[[#ALL],[MARTES]])</f>
        <v>0</v>
      </c>
      <c r="O1103" s="59">
        <f>SUMIFS(Eventos!$G:$G,Eventos!$F:$F,$L1103,Eventos!$D:$D,$C$2,Eventos!$B:$B,PANES_SEMANALES[[#ALL],[MIÉRCOLES]])</f>
        <v>0</v>
      </c>
      <c r="P1103" s="59">
        <f>SUMIFS(Eventos!$G:$G,Eventos!$F:$F,$L1103,Eventos!$D:$D,$C$2,Eventos!$B:$B,PANES_SEMANALES[[#ALL],[JUEVES]])</f>
        <v>0</v>
      </c>
      <c r="Q1103" s="59">
        <f>IF(P1103&lt;&gt;"",SUMIFS(Eventos!$G:$G,Eventos!$B:$B,Q$2,Eventos!$D:$D,$C$2,Eventos!$F:$F,$L1103),"")</f>
        <v>0</v>
      </c>
      <c r="R1103" s="59">
        <f>SUMIFS(Eventos!$G:$G,Eventos!$F:$F,$L1103,Eventos!$D:$D,$C$2,Eventos!$B:$B,PANES_SEMANALES[[#ALL],[SÁBADO]])</f>
        <v>0</v>
      </c>
      <c r="S1103" s="59">
        <f>SUMIFS(Eventos!$G:$G,Eventos!$F:$F,$L1103,Eventos!$D:$D,$C$2,Eventos!$B:$B,PANES_SEMANALES[[#ALL],[DOMINGO]])</f>
        <v>0</v>
      </c>
      <c r="T1103" s="59">
        <f t="shared" si="1"/>
        <v>0</v>
      </c>
    </row>
    <row r="1104" ht="22.5" customHeight="1">
      <c r="M1104" s="59">
        <f>SUMIFS(Eventos!$G:$G,Eventos!$F:$F,$L1104,Eventos!$D:$D,$C$2,Eventos!$B:$B,PANES_SEMANALES[[#ALL],[LUNES]])</f>
        <v>0</v>
      </c>
      <c r="N1104" s="59">
        <f>SUMIFS(Eventos!$G:$G,Eventos!$F:$F,$L1104,Eventos!$D:$D,$C$2,Eventos!$B:$B,PANES_SEMANALES[[#ALL],[MARTES]])</f>
        <v>0</v>
      </c>
      <c r="O1104" s="59">
        <f>SUMIFS(Eventos!$G:$G,Eventos!$F:$F,$L1104,Eventos!$D:$D,$C$2,Eventos!$B:$B,PANES_SEMANALES[[#ALL],[MIÉRCOLES]])</f>
        <v>0</v>
      </c>
      <c r="P1104" s="59">
        <f>SUMIFS(Eventos!$G:$G,Eventos!$F:$F,$L1104,Eventos!$D:$D,$C$2,Eventos!$B:$B,PANES_SEMANALES[[#ALL],[JUEVES]])</f>
        <v>0</v>
      </c>
      <c r="Q1104" s="59">
        <f>IF(P1104&lt;&gt;"",SUMIFS(Eventos!$G:$G,Eventos!$B:$B,Q$2,Eventos!$D:$D,$C$2,Eventos!$F:$F,$L1104),"")</f>
        <v>0</v>
      </c>
      <c r="R1104" s="59">
        <f>SUMIFS(Eventos!$G:$G,Eventos!$F:$F,$L1104,Eventos!$D:$D,$C$2,Eventos!$B:$B,PANES_SEMANALES[[#ALL],[SÁBADO]])</f>
        <v>0</v>
      </c>
      <c r="S1104" s="59">
        <f>SUMIFS(Eventos!$G:$G,Eventos!$F:$F,$L1104,Eventos!$D:$D,$C$2,Eventos!$B:$B,PANES_SEMANALES[[#ALL],[DOMINGO]])</f>
        <v>0</v>
      </c>
      <c r="T1104" s="59">
        <f t="shared" si="1"/>
        <v>0</v>
      </c>
    </row>
    <row r="1105" ht="22.5" customHeight="1">
      <c r="M1105" s="59">
        <f>SUMIFS(Eventos!$G:$G,Eventos!$F:$F,$L1105,Eventos!$D:$D,$C$2,Eventos!$B:$B,PANES_SEMANALES[[#ALL],[LUNES]])</f>
        <v>0</v>
      </c>
      <c r="N1105" s="59">
        <f>SUMIFS(Eventos!$G:$G,Eventos!$F:$F,$L1105,Eventos!$D:$D,$C$2,Eventos!$B:$B,PANES_SEMANALES[[#ALL],[MARTES]])</f>
        <v>0</v>
      </c>
      <c r="O1105" s="59">
        <f>SUMIFS(Eventos!$G:$G,Eventos!$F:$F,$L1105,Eventos!$D:$D,$C$2,Eventos!$B:$B,PANES_SEMANALES[[#ALL],[MIÉRCOLES]])</f>
        <v>0</v>
      </c>
      <c r="P1105" s="59">
        <f>SUMIFS(Eventos!$G:$G,Eventos!$F:$F,$L1105,Eventos!$D:$D,$C$2,Eventos!$B:$B,PANES_SEMANALES[[#ALL],[JUEVES]])</f>
        <v>0</v>
      </c>
      <c r="Q1105" s="59">
        <f>IF(P1105&lt;&gt;"",SUMIFS(Eventos!$G:$G,Eventos!$B:$B,Q$2,Eventos!$D:$D,$C$2,Eventos!$F:$F,$L1105),"")</f>
        <v>0</v>
      </c>
      <c r="R1105" s="59">
        <f>SUMIFS(Eventos!$G:$G,Eventos!$F:$F,$L1105,Eventos!$D:$D,$C$2,Eventos!$B:$B,PANES_SEMANALES[[#ALL],[SÁBADO]])</f>
        <v>0</v>
      </c>
      <c r="S1105" s="59">
        <f>SUMIFS(Eventos!$G:$G,Eventos!$F:$F,$L1105,Eventos!$D:$D,$C$2,Eventos!$B:$B,PANES_SEMANALES[[#ALL],[DOMINGO]])</f>
        <v>0</v>
      </c>
      <c r="T1105" s="59">
        <f t="shared" si="1"/>
        <v>0</v>
      </c>
    </row>
    <row r="1106" ht="22.5" customHeight="1">
      <c r="M1106" s="59">
        <f>SUMIFS(Eventos!$G:$G,Eventos!$F:$F,$L1106,Eventos!$D:$D,$C$2,Eventos!$B:$B,PANES_SEMANALES[[#ALL],[LUNES]])</f>
        <v>0</v>
      </c>
      <c r="N1106" s="59">
        <f>SUMIFS(Eventos!$G:$G,Eventos!$F:$F,$L1106,Eventos!$D:$D,$C$2,Eventos!$B:$B,PANES_SEMANALES[[#ALL],[MARTES]])</f>
        <v>0</v>
      </c>
      <c r="O1106" s="59">
        <f>SUMIFS(Eventos!$G:$G,Eventos!$F:$F,$L1106,Eventos!$D:$D,$C$2,Eventos!$B:$B,PANES_SEMANALES[[#ALL],[MIÉRCOLES]])</f>
        <v>0</v>
      </c>
      <c r="P1106" s="59">
        <f>SUMIFS(Eventos!$G:$G,Eventos!$F:$F,$L1106,Eventos!$D:$D,$C$2,Eventos!$B:$B,PANES_SEMANALES[[#ALL],[JUEVES]])</f>
        <v>0</v>
      </c>
      <c r="Q1106" s="59">
        <f>IF(P1106&lt;&gt;"",SUMIFS(Eventos!$G:$G,Eventos!$B:$B,Q$2,Eventos!$D:$D,$C$2,Eventos!$F:$F,$L1106),"")</f>
        <v>0</v>
      </c>
      <c r="R1106" s="59">
        <f>SUMIFS(Eventos!$G:$G,Eventos!$F:$F,$L1106,Eventos!$D:$D,$C$2,Eventos!$B:$B,PANES_SEMANALES[[#ALL],[SÁBADO]])</f>
        <v>0</v>
      </c>
      <c r="S1106" s="59">
        <f>SUMIFS(Eventos!$G:$G,Eventos!$F:$F,$L1106,Eventos!$D:$D,$C$2,Eventos!$B:$B,PANES_SEMANALES[[#ALL],[DOMINGO]])</f>
        <v>0</v>
      </c>
      <c r="T1106" s="59">
        <f t="shared" si="1"/>
        <v>0</v>
      </c>
    </row>
    <row r="1107" ht="22.5" customHeight="1">
      <c r="M1107" s="59">
        <f>SUMIFS(Eventos!$G:$G,Eventos!$F:$F,$L1107,Eventos!$D:$D,$C$2,Eventos!$B:$B,PANES_SEMANALES[[#ALL],[LUNES]])</f>
        <v>0</v>
      </c>
      <c r="N1107" s="59">
        <f>SUMIFS(Eventos!$G:$G,Eventos!$F:$F,$L1107,Eventos!$D:$D,$C$2,Eventos!$B:$B,PANES_SEMANALES[[#ALL],[MARTES]])</f>
        <v>0</v>
      </c>
      <c r="O1107" s="59">
        <f>SUMIFS(Eventos!$G:$G,Eventos!$F:$F,$L1107,Eventos!$D:$D,$C$2,Eventos!$B:$B,PANES_SEMANALES[[#ALL],[MIÉRCOLES]])</f>
        <v>0</v>
      </c>
      <c r="P1107" s="59">
        <f>SUMIFS(Eventos!$G:$G,Eventos!$F:$F,$L1107,Eventos!$D:$D,$C$2,Eventos!$B:$B,PANES_SEMANALES[[#ALL],[JUEVES]])</f>
        <v>0</v>
      </c>
      <c r="Q1107" s="59">
        <f>IF(P1107&lt;&gt;"",SUMIFS(Eventos!$G:$G,Eventos!$B:$B,Q$2,Eventos!$D:$D,$C$2,Eventos!$F:$F,$L1107),"")</f>
        <v>0</v>
      </c>
      <c r="R1107" s="59">
        <f>SUMIFS(Eventos!$G:$G,Eventos!$F:$F,$L1107,Eventos!$D:$D,$C$2,Eventos!$B:$B,PANES_SEMANALES[[#ALL],[SÁBADO]])</f>
        <v>0</v>
      </c>
      <c r="S1107" s="59">
        <f>SUMIFS(Eventos!$G:$G,Eventos!$F:$F,$L1107,Eventos!$D:$D,$C$2,Eventos!$B:$B,PANES_SEMANALES[[#ALL],[DOMINGO]])</f>
        <v>0</v>
      </c>
      <c r="T1107" s="59">
        <f t="shared" si="1"/>
        <v>0</v>
      </c>
    </row>
    <row r="1108" ht="22.5" customHeight="1">
      <c r="M1108" s="59">
        <f>SUMIFS(Eventos!$G:$G,Eventos!$F:$F,$L1108,Eventos!$D:$D,$C$2,Eventos!$B:$B,PANES_SEMANALES[[#ALL],[LUNES]])</f>
        <v>0</v>
      </c>
      <c r="N1108" s="59">
        <f>SUMIFS(Eventos!$G:$G,Eventos!$F:$F,$L1108,Eventos!$D:$D,$C$2,Eventos!$B:$B,PANES_SEMANALES[[#ALL],[MARTES]])</f>
        <v>0</v>
      </c>
      <c r="O1108" s="59">
        <f>SUMIFS(Eventos!$G:$G,Eventos!$F:$F,$L1108,Eventos!$D:$D,$C$2,Eventos!$B:$B,PANES_SEMANALES[[#ALL],[MIÉRCOLES]])</f>
        <v>0</v>
      </c>
      <c r="P1108" s="59">
        <f>SUMIFS(Eventos!$G:$G,Eventos!$F:$F,$L1108,Eventos!$D:$D,$C$2,Eventos!$B:$B,PANES_SEMANALES[[#ALL],[JUEVES]])</f>
        <v>0</v>
      </c>
      <c r="Q1108" s="59">
        <f>IF(P1108&lt;&gt;"",SUMIFS(Eventos!$G:$G,Eventos!$B:$B,Q$2,Eventos!$D:$D,$C$2,Eventos!$F:$F,$L1108),"")</f>
        <v>0</v>
      </c>
      <c r="R1108" s="59">
        <f>SUMIFS(Eventos!$G:$G,Eventos!$F:$F,$L1108,Eventos!$D:$D,$C$2,Eventos!$B:$B,PANES_SEMANALES[[#ALL],[SÁBADO]])</f>
        <v>0</v>
      </c>
      <c r="S1108" s="59">
        <f>SUMIFS(Eventos!$G:$G,Eventos!$F:$F,$L1108,Eventos!$D:$D,$C$2,Eventos!$B:$B,PANES_SEMANALES[[#ALL],[DOMINGO]])</f>
        <v>0</v>
      </c>
      <c r="T1108" s="59">
        <f t="shared" si="1"/>
        <v>0</v>
      </c>
    </row>
    <row r="1109" ht="22.5" customHeight="1">
      <c r="M1109" s="59">
        <f>SUMIFS(Eventos!$G:$G,Eventos!$F:$F,$L1109,Eventos!$D:$D,$C$2,Eventos!$B:$B,PANES_SEMANALES[[#ALL],[LUNES]])</f>
        <v>0</v>
      </c>
      <c r="N1109" s="59">
        <f>SUMIFS(Eventos!$G:$G,Eventos!$F:$F,$L1109,Eventos!$D:$D,$C$2,Eventos!$B:$B,PANES_SEMANALES[[#ALL],[MARTES]])</f>
        <v>0</v>
      </c>
      <c r="O1109" s="59">
        <f>SUMIFS(Eventos!$G:$G,Eventos!$F:$F,$L1109,Eventos!$D:$D,$C$2,Eventos!$B:$B,PANES_SEMANALES[[#ALL],[MIÉRCOLES]])</f>
        <v>0</v>
      </c>
      <c r="P1109" s="59">
        <f>SUMIFS(Eventos!$G:$G,Eventos!$F:$F,$L1109,Eventos!$D:$D,$C$2,Eventos!$B:$B,PANES_SEMANALES[[#ALL],[JUEVES]])</f>
        <v>0</v>
      </c>
      <c r="Q1109" s="59">
        <f>IF(P1109&lt;&gt;"",SUMIFS(Eventos!$G:$G,Eventos!$B:$B,Q$2,Eventos!$D:$D,$C$2,Eventos!$F:$F,$L1109),"")</f>
        <v>0</v>
      </c>
      <c r="R1109" s="59">
        <f>SUMIFS(Eventos!$G:$G,Eventos!$F:$F,$L1109,Eventos!$D:$D,$C$2,Eventos!$B:$B,PANES_SEMANALES[[#ALL],[SÁBADO]])</f>
        <v>0</v>
      </c>
      <c r="S1109" s="59">
        <f>SUMIFS(Eventos!$G:$G,Eventos!$F:$F,$L1109,Eventos!$D:$D,$C$2,Eventos!$B:$B,PANES_SEMANALES[[#ALL],[DOMINGO]])</f>
        <v>0</v>
      </c>
      <c r="T1109" s="59">
        <f t="shared" si="1"/>
        <v>0</v>
      </c>
    </row>
    <row r="1110" ht="22.5" customHeight="1">
      <c r="M1110" s="59">
        <f>SUMIFS(Eventos!$G:$G,Eventos!$F:$F,$L1110,Eventos!$D:$D,$C$2,Eventos!$B:$B,PANES_SEMANALES[[#ALL],[LUNES]])</f>
        <v>0</v>
      </c>
      <c r="N1110" s="59">
        <f>SUMIFS(Eventos!$G:$G,Eventos!$F:$F,$L1110,Eventos!$D:$D,$C$2,Eventos!$B:$B,PANES_SEMANALES[[#ALL],[MARTES]])</f>
        <v>0</v>
      </c>
      <c r="O1110" s="59">
        <f>SUMIFS(Eventos!$G:$G,Eventos!$F:$F,$L1110,Eventos!$D:$D,$C$2,Eventos!$B:$B,PANES_SEMANALES[[#ALL],[MIÉRCOLES]])</f>
        <v>0</v>
      </c>
      <c r="P1110" s="59">
        <f>SUMIFS(Eventos!$G:$G,Eventos!$F:$F,$L1110,Eventos!$D:$D,$C$2,Eventos!$B:$B,PANES_SEMANALES[[#ALL],[JUEVES]])</f>
        <v>0</v>
      </c>
      <c r="Q1110" s="59">
        <f>IF(P1110&lt;&gt;"",SUMIFS(Eventos!$G:$G,Eventos!$B:$B,Q$2,Eventos!$D:$D,$C$2,Eventos!$F:$F,$L1110),"")</f>
        <v>0</v>
      </c>
      <c r="R1110" s="59">
        <f>SUMIFS(Eventos!$G:$G,Eventos!$F:$F,$L1110,Eventos!$D:$D,$C$2,Eventos!$B:$B,PANES_SEMANALES[[#ALL],[SÁBADO]])</f>
        <v>0</v>
      </c>
      <c r="S1110" s="59">
        <f>SUMIFS(Eventos!$G:$G,Eventos!$F:$F,$L1110,Eventos!$D:$D,$C$2,Eventos!$B:$B,PANES_SEMANALES[[#ALL],[DOMINGO]])</f>
        <v>0</v>
      </c>
      <c r="T1110" s="59">
        <f t="shared" si="1"/>
        <v>0</v>
      </c>
    </row>
    <row r="1111" ht="22.5" customHeight="1">
      <c r="M1111" s="59">
        <f>SUMIFS(Eventos!$G:$G,Eventos!$F:$F,$L1111,Eventos!$D:$D,$C$2,Eventos!$B:$B,PANES_SEMANALES[[#ALL],[LUNES]])</f>
        <v>0</v>
      </c>
      <c r="N1111" s="59">
        <f>SUMIFS(Eventos!$G:$G,Eventos!$F:$F,$L1111,Eventos!$D:$D,$C$2,Eventos!$B:$B,PANES_SEMANALES[[#ALL],[MARTES]])</f>
        <v>0</v>
      </c>
      <c r="O1111" s="59">
        <f>SUMIFS(Eventos!$G:$G,Eventos!$F:$F,$L1111,Eventos!$D:$D,$C$2,Eventos!$B:$B,PANES_SEMANALES[[#ALL],[MIÉRCOLES]])</f>
        <v>0</v>
      </c>
      <c r="P1111" s="59">
        <f>SUMIFS(Eventos!$G:$G,Eventos!$F:$F,$L1111,Eventos!$D:$D,$C$2,Eventos!$B:$B,PANES_SEMANALES[[#ALL],[JUEVES]])</f>
        <v>0</v>
      </c>
      <c r="Q1111" s="59">
        <f>IF(P1111&lt;&gt;"",SUMIFS(Eventos!$G:$G,Eventos!$B:$B,Q$2,Eventos!$D:$D,$C$2,Eventos!$F:$F,$L1111),"")</f>
        <v>0</v>
      </c>
      <c r="R1111" s="59">
        <f>SUMIFS(Eventos!$G:$G,Eventos!$F:$F,$L1111,Eventos!$D:$D,$C$2,Eventos!$B:$B,PANES_SEMANALES[[#ALL],[SÁBADO]])</f>
        <v>0</v>
      </c>
      <c r="S1111" s="59">
        <f>SUMIFS(Eventos!$G:$G,Eventos!$F:$F,$L1111,Eventos!$D:$D,$C$2,Eventos!$B:$B,PANES_SEMANALES[[#ALL],[DOMINGO]])</f>
        <v>0</v>
      </c>
      <c r="T1111" s="59">
        <f t="shared" si="1"/>
        <v>0</v>
      </c>
    </row>
    <row r="1112" ht="22.5" customHeight="1">
      <c r="M1112" s="59">
        <f>SUMIFS(Eventos!$G:$G,Eventos!$F:$F,$L1112,Eventos!$D:$D,$C$2,Eventos!$B:$B,PANES_SEMANALES[[#ALL],[LUNES]])</f>
        <v>0</v>
      </c>
      <c r="N1112" s="59">
        <f>SUMIFS(Eventos!$G:$G,Eventos!$F:$F,$L1112,Eventos!$D:$D,$C$2,Eventos!$B:$B,PANES_SEMANALES[[#ALL],[MARTES]])</f>
        <v>0</v>
      </c>
      <c r="O1112" s="59">
        <f>SUMIFS(Eventos!$G:$G,Eventos!$F:$F,$L1112,Eventos!$D:$D,$C$2,Eventos!$B:$B,PANES_SEMANALES[[#ALL],[MIÉRCOLES]])</f>
        <v>0</v>
      </c>
      <c r="P1112" s="59">
        <f>SUMIFS(Eventos!$G:$G,Eventos!$F:$F,$L1112,Eventos!$D:$D,$C$2,Eventos!$B:$B,PANES_SEMANALES[[#ALL],[JUEVES]])</f>
        <v>0</v>
      </c>
      <c r="Q1112" s="59">
        <f>IF(P1112&lt;&gt;"",SUMIFS(Eventos!$G:$G,Eventos!$B:$B,Q$2,Eventos!$D:$D,$C$2,Eventos!$F:$F,$L1112),"")</f>
        <v>0</v>
      </c>
      <c r="R1112" s="59">
        <f>SUMIFS(Eventos!$G:$G,Eventos!$F:$F,$L1112,Eventos!$D:$D,$C$2,Eventos!$B:$B,PANES_SEMANALES[[#ALL],[SÁBADO]])</f>
        <v>0</v>
      </c>
      <c r="S1112" s="59">
        <f>SUMIFS(Eventos!$G:$G,Eventos!$F:$F,$L1112,Eventos!$D:$D,$C$2,Eventos!$B:$B,PANES_SEMANALES[[#ALL],[DOMINGO]])</f>
        <v>0</v>
      </c>
      <c r="T1112" s="59">
        <f t="shared" si="1"/>
        <v>0</v>
      </c>
    </row>
    <row r="1113" ht="22.5" customHeight="1">
      <c r="M1113" s="59">
        <f>SUMIFS(Eventos!$G:$G,Eventos!$F:$F,$L1113,Eventos!$D:$D,$C$2,Eventos!$B:$B,PANES_SEMANALES[[#ALL],[LUNES]])</f>
        <v>0</v>
      </c>
      <c r="N1113" s="59">
        <f>SUMIFS(Eventos!$G:$G,Eventos!$F:$F,$L1113,Eventos!$D:$D,$C$2,Eventos!$B:$B,PANES_SEMANALES[[#ALL],[MARTES]])</f>
        <v>0</v>
      </c>
      <c r="O1113" s="59">
        <f>SUMIFS(Eventos!$G:$G,Eventos!$F:$F,$L1113,Eventos!$D:$D,$C$2,Eventos!$B:$B,PANES_SEMANALES[[#ALL],[MIÉRCOLES]])</f>
        <v>0</v>
      </c>
      <c r="P1113" s="59">
        <f>SUMIFS(Eventos!$G:$G,Eventos!$F:$F,$L1113,Eventos!$D:$D,$C$2,Eventos!$B:$B,PANES_SEMANALES[[#ALL],[JUEVES]])</f>
        <v>0</v>
      </c>
      <c r="Q1113" s="59">
        <f>IF(P1113&lt;&gt;"",SUMIFS(Eventos!$G:$G,Eventos!$B:$B,Q$2,Eventos!$D:$D,$C$2,Eventos!$F:$F,$L1113),"")</f>
        <v>0</v>
      </c>
      <c r="R1113" s="59">
        <f>SUMIFS(Eventos!$G:$G,Eventos!$F:$F,$L1113,Eventos!$D:$D,$C$2,Eventos!$B:$B,PANES_SEMANALES[[#ALL],[SÁBADO]])</f>
        <v>0</v>
      </c>
      <c r="S1113" s="59">
        <f>SUMIFS(Eventos!$G:$G,Eventos!$F:$F,$L1113,Eventos!$D:$D,$C$2,Eventos!$B:$B,PANES_SEMANALES[[#ALL],[DOMINGO]])</f>
        <v>0</v>
      </c>
      <c r="T1113" s="59">
        <f t="shared" si="1"/>
        <v>0</v>
      </c>
    </row>
    <row r="1114" ht="22.5" customHeight="1">
      <c r="M1114" s="59">
        <f>SUMIFS(Eventos!$G:$G,Eventos!$F:$F,$L1114,Eventos!$D:$D,$C$2,Eventos!$B:$B,PANES_SEMANALES[[#ALL],[LUNES]])</f>
        <v>0</v>
      </c>
      <c r="N1114" s="59">
        <f>SUMIFS(Eventos!$G:$G,Eventos!$F:$F,$L1114,Eventos!$D:$D,$C$2,Eventos!$B:$B,PANES_SEMANALES[[#ALL],[MARTES]])</f>
        <v>0</v>
      </c>
      <c r="O1114" s="59">
        <f>SUMIFS(Eventos!$G:$G,Eventos!$F:$F,$L1114,Eventos!$D:$D,$C$2,Eventos!$B:$B,PANES_SEMANALES[[#ALL],[MIÉRCOLES]])</f>
        <v>0</v>
      </c>
      <c r="P1114" s="59">
        <f>SUMIFS(Eventos!$G:$G,Eventos!$F:$F,$L1114,Eventos!$D:$D,$C$2,Eventos!$B:$B,PANES_SEMANALES[[#ALL],[JUEVES]])</f>
        <v>0</v>
      </c>
      <c r="Q1114" s="59">
        <f>IF(P1114&lt;&gt;"",SUMIFS(Eventos!$G:$G,Eventos!$B:$B,Q$2,Eventos!$D:$D,$C$2,Eventos!$F:$F,$L1114),"")</f>
        <v>0</v>
      </c>
      <c r="R1114" s="59">
        <f>SUMIFS(Eventos!$G:$G,Eventos!$F:$F,$L1114,Eventos!$D:$D,$C$2,Eventos!$B:$B,PANES_SEMANALES[[#ALL],[SÁBADO]])</f>
        <v>0</v>
      </c>
      <c r="S1114" s="59">
        <f>SUMIFS(Eventos!$G:$G,Eventos!$F:$F,$L1114,Eventos!$D:$D,$C$2,Eventos!$B:$B,PANES_SEMANALES[[#ALL],[DOMINGO]])</f>
        <v>0</v>
      </c>
      <c r="T1114" s="59">
        <f t="shared" si="1"/>
        <v>0</v>
      </c>
    </row>
    <row r="1115" ht="22.5" customHeight="1">
      <c r="M1115" s="59">
        <f>SUMIFS(Eventos!$G:$G,Eventos!$F:$F,$L1115,Eventos!$D:$D,$C$2,Eventos!$B:$B,PANES_SEMANALES[[#ALL],[LUNES]])</f>
        <v>0</v>
      </c>
      <c r="N1115" s="59">
        <f>SUMIFS(Eventos!$G:$G,Eventos!$F:$F,$L1115,Eventos!$D:$D,$C$2,Eventos!$B:$B,PANES_SEMANALES[[#ALL],[MARTES]])</f>
        <v>0</v>
      </c>
      <c r="O1115" s="59">
        <f>SUMIFS(Eventos!$G:$G,Eventos!$F:$F,$L1115,Eventos!$D:$D,$C$2,Eventos!$B:$B,PANES_SEMANALES[[#ALL],[MIÉRCOLES]])</f>
        <v>0</v>
      </c>
      <c r="P1115" s="59">
        <f>SUMIFS(Eventos!$G:$G,Eventos!$F:$F,$L1115,Eventos!$D:$D,$C$2,Eventos!$B:$B,PANES_SEMANALES[[#ALL],[JUEVES]])</f>
        <v>0</v>
      </c>
      <c r="Q1115" s="59">
        <f>IF(P1115&lt;&gt;"",SUMIFS(Eventos!$G:$G,Eventos!$B:$B,Q$2,Eventos!$D:$D,$C$2,Eventos!$F:$F,$L1115),"")</f>
        <v>0</v>
      </c>
      <c r="R1115" s="59">
        <f>SUMIFS(Eventos!$G:$G,Eventos!$F:$F,$L1115,Eventos!$D:$D,$C$2,Eventos!$B:$B,PANES_SEMANALES[[#ALL],[SÁBADO]])</f>
        <v>0</v>
      </c>
      <c r="S1115" s="59">
        <f>SUMIFS(Eventos!$G:$G,Eventos!$F:$F,$L1115,Eventos!$D:$D,$C$2,Eventos!$B:$B,PANES_SEMANALES[[#ALL],[DOMINGO]])</f>
        <v>0</v>
      </c>
      <c r="T1115" s="59">
        <f t="shared" si="1"/>
        <v>0</v>
      </c>
    </row>
    <row r="1116" ht="22.5" customHeight="1">
      <c r="M1116" s="59">
        <f>SUMIFS(Eventos!$G:$G,Eventos!$F:$F,$L1116,Eventos!$D:$D,$C$2,Eventos!$B:$B,PANES_SEMANALES[[#ALL],[LUNES]])</f>
        <v>0</v>
      </c>
      <c r="N1116" s="59">
        <f>SUMIFS(Eventos!$G:$G,Eventos!$F:$F,$L1116,Eventos!$D:$D,$C$2,Eventos!$B:$B,PANES_SEMANALES[[#ALL],[MARTES]])</f>
        <v>0</v>
      </c>
      <c r="O1116" s="59">
        <f>SUMIFS(Eventos!$G:$G,Eventos!$F:$F,$L1116,Eventos!$D:$D,$C$2,Eventos!$B:$B,PANES_SEMANALES[[#ALL],[MIÉRCOLES]])</f>
        <v>0</v>
      </c>
      <c r="P1116" s="59">
        <f>SUMIFS(Eventos!$G:$G,Eventos!$F:$F,$L1116,Eventos!$D:$D,$C$2,Eventos!$B:$B,PANES_SEMANALES[[#ALL],[JUEVES]])</f>
        <v>0</v>
      </c>
      <c r="Q1116" s="59">
        <f>IF(P1116&lt;&gt;"",SUMIFS(Eventos!$G:$G,Eventos!$B:$B,Q$2,Eventos!$D:$D,$C$2,Eventos!$F:$F,$L1116),"")</f>
        <v>0</v>
      </c>
      <c r="R1116" s="59">
        <f>SUMIFS(Eventos!$G:$G,Eventos!$F:$F,$L1116,Eventos!$D:$D,$C$2,Eventos!$B:$B,PANES_SEMANALES[[#ALL],[SÁBADO]])</f>
        <v>0</v>
      </c>
      <c r="S1116" s="59">
        <f>SUMIFS(Eventos!$G:$G,Eventos!$F:$F,$L1116,Eventos!$D:$D,$C$2,Eventos!$B:$B,PANES_SEMANALES[[#ALL],[DOMINGO]])</f>
        <v>0</v>
      </c>
      <c r="T1116" s="59">
        <f t="shared" si="1"/>
        <v>0</v>
      </c>
    </row>
    <row r="1117" ht="22.5" customHeight="1">
      <c r="M1117" s="59">
        <f>SUMIFS(Eventos!$G:$G,Eventos!$F:$F,$L1117,Eventos!$D:$D,$C$2,Eventos!$B:$B,PANES_SEMANALES[[#ALL],[LUNES]])</f>
        <v>0</v>
      </c>
      <c r="N1117" s="59">
        <f>SUMIFS(Eventos!$G:$G,Eventos!$F:$F,$L1117,Eventos!$D:$D,$C$2,Eventos!$B:$B,PANES_SEMANALES[[#ALL],[MARTES]])</f>
        <v>0</v>
      </c>
      <c r="O1117" s="59">
        <f>SUMIFS(Eventos!$G:$G,Eventos!$F:$F,$L1117,Eventos!$D:$D,$C$2,Eventos!$B:$B,PANES_SEMANALES[[#ALL],[MIÉRCOLES]])</f>
        <v>0</v>
      </c>
      <c r="P1117" s="59">
        <f>SUMIFS(Eventos!$G:$G,Eventos!$F:$F,$L1117,Eventos!$D:$D,$C$2,Eventos!$B:$B,PANES_SEMANALES[[#ALL],[JUEVES]])</f>
        <v>0</v>
      </c>
      <c r="Q1117" s="59">
        <f>IF(P1117&lt;&gt;"",SUMIFS(Eventos!$G:$G,Eventos!$B:$B,Q$2,Eventos!$D:$D,$C$2,Eventos!$F:$F,$L1117),"")</f>
        <v>0</v>
      </c>
      <c r="R1117" s="59">
        <f>SUMIFS(Eventos!$G:$G,Eventos!$F:$F,$L1117,Eventos!$D:$D,$C$2,Eventos!$B:$B,PANES_SEMANALES[[#ALL],[SÁBADO]])</f>
        <v>0</v>
      </c>
      <c r="S1117" s="59">
        <f>SUMIFS(Eventos!$G:$G,Eventos!$F:$F,$L1117,Eventos!$D:$D,$C$2,Eventos!$B:$B,PANES_SEMANALES[[#ALL],[DOMINGO]])</f>
        <v>0</v>
      </c>
      <c r="T1117" s="59">
        <f t="shared" si="1"/>
        <v>0</v>
      </c>
    </row>
    <row r="1118" ht="22.5" customHeight="1">
      <c r="M1118" s="59">
        <f>SUMIFS(Eventos!$G:$G,Eventos!$F:$F,$L1118,Eventos!$D:$D,$C$2,Eventos!$B:$B,PANES_SEMANALES[[#ALL],[LUNES]])</f>
        <v>0</v>
      </c>
      <c r="N1118" s="59">
        <f>SUMIFS(Eventos!$G:$G,Eventos!$F:$F,$L1118,Eventos!$D:$D,$C$2,Eventos!$B:$B,PANES_SEMANALES[[#ALL],[MARTES]])</f>
        <v>0</v>
      </c>
      <c r="O1118" s="59">
        <f>SUMIFS(Eventos!$G:$G,Eventos!$F:$F,$L1118,Eventos!$D:$D,$C$2,Eventos!$B:$B,PANES_SEMANALES[[#ALL],[MIÉRCOLES]])</f>
        <v>0</v>
      </c>
      <c r="P1118" s="59">
        <f>SUMIFS(Eventos!$G:$G,Eventos!$F:$F,$L1118,Eventos!$D:$D,$C$2,Eventos!$B:$B,PANES_SEMANALES[[#ALL],[JUEVES]])</f>
        <v>0</v>
      </c>
      <c r="Q1118" s="59">
        <f>IF(P1118&lt;&gt;"",SUMIFS(Eventos!$G:$G,Eventos!$B:$B,Q$2,Eventos!$D:$D,$C$2,Eventos!$F:$F,$L1118),"")</f>
        <v>0</v>
      </c>
      <c r="R1118" s="59">
        <f>SUMIFS(Eventos!$G:$G,Eventos!$F:$F,$L1118,Eventos!$D:$D,$C$2,Eventos!$B:$B,PANES_SEMANALES[[#ALL],[SÁBADO]])</f>
        <v>0</v>
      </c>
      <c r="S1118" s="59">
        <f>SUMIFS(Eventos!$G:$G,Eventos!$F:$F,$L1118,Eventos!$D:$D,$C$2,Eventos!$B:$B,PANES_SEMANALES[[#ALL],[DOMINGO]])</f>
        <v>0</v>
      </c>
      <c r="T1118" s="59">
        <f t="shared" si="1"/>
        <v>0</v>
      </c>
    </row>
    <row r="1119" ht="22.5" customHeight="1">
      <c r="M1119" s="59">
        <f>SUMIFS(Eventos!$G:$G,Eventos!$F:$F,$L1119,Eventos!$D:$D,$C$2,Eventos!$B:$B,PANES_SEMANALES[[#ALL],[LUNES]])</f>
        <v>0</v>
      </c>
      <c r="N1119" s="59">
        <f>SUMIFS(Eventos!$G:$G,Eventos!$F:$F,$L1119,Eventos!$D:$D,$C$2,Eventos!$B:$B,PANES_SEMANALES[[#ALL],[MARTES]])</f>
        <v>0</v>
      </c>
      <c r="O1119" s="59">
        <f>SUMIFS(Eventos!$G:$G,Eventos!$F:$F,$L1119,Eventos!$D:$D,$C$2,Eventos!$B:$B,PANES_SEMANALES[[#ALL],[MIÉRCOLES]])</f>
        <v>0</v>
      </c>
      <c r="P1119" s="59">
        <f>SUMIFS(Eventos!$G:$G,Eventos!$F:$F,$L1119,Eventos!$D:$D,$C$2,Eventos!$B:$B,PANES_SEMANALES[[#ALL],[JUEVES]])</f>
        <v>0</v>
      </c>
      <c r="Q1119" s="59">
        <f>IF(P1119&lt;&gt;"",SUMIFS(Eventos!$G:$G,Eventos!$B:$B,Q$2,Eventos!$D:$D,$C$2,Eventos!$F:$F,$L1119),"")</f>
        <v>0</v>
      </c>
      <c r="R1119" s="59">
        <f>SUMIFS(Eventos!$G:$G,Eventos!$F:$F,$L1119,Eventos!$D:$D,$C$2,Eventos!$B:$B,PANES_SEMANALES[[#ALL],[SÁBADO]])</f>
        <v>0</v>
      </c>
      <c r="S1119" s="59">
        <f>SUMIFS(Eventos!$G:$G,Eventos!$F:$F,$L1119,Eventos!$D:$D,$C$2,Eventos!$B:$B,PANES_SEMANALES[[#ALL],[DOMINGO]])</f>
        <v>0</v>
      </c>
      <c r="T1119" s="59">
        <f t="shared" si="1"/>
        <v>0</v>
      </c>
    </row>
    <row r="1120" ht="22.5" customHeight="1">
      <c r="M1120" s="59">
        <f>SUMIFS(Eventos!$G:$G,Eventos!$F:$F,$L1120,Eventos!$D:$D,$C$2,Eventos!$B:$B,PANES_SEMANALES[[#ALL],[LUNES]])</f>
        <v>0</v>
      </c>
      <c r="N1120" s="59">
        <f>SUMIFS(Eventos!$G:$G,Eventos!$F:$F,$L1120,Eventos!$D:$D,$C$2,Eventos!$B:$B,PANES_SEMANALES[[#ALL],[MARTES]])</f>
        <v>0</v>
      </c>
      <c r="O1120" s="59">
        <f>SUMIFS(Eventos!$G:$G,Eventos!$F:$F,$L1120,Eventos!$D:$D,$C$2,Eventos!$B:$B,PANES_SEMANALES[[#ALL],[MIÉRCOLES]])</f>
        <v>0</v>
      </c>
      <c r="P1120" s="59">
        <f>SUMIFS(Eventos!$G:$G,Eventos!$F:$F,$L1120,Eventos!$D:$D,$C$2,Eventos!$B:$B,PANES_SEMANALES[[#ALL],[JUEVES]])</f>
        <v>0</v>
      </c>
      <c r="Q1120" s="59">
        <f>IF(P1120&lt;&gt;"",SUMIFS(Eventos!$G:$G,Eventos!$B:$B,Q$2,Eventos!$D:$D,$C$2,Eventos!$F:$F,$L1120),"")</f>
        <v>0</v>
      </c>
      <c r="R1120" s="59">
        <f>SUMIFS(Eventos!$G:$G,Eventos!$F:$F,$L1120,Eventos!$D:$D,$C$2,Eventos!$B:$B,PANES_SEMANALES[[#ALL],[SÁBADO]])</f>
        <v>0</v>
      </c>
      <c r="S1120" s="59">
        <f>SUMIFS(Eventos!$G:$G,Eventos!$F:$F,$L1120,Eventos!$D:$D,$C$2,Eventos!$B:$B,PANES_SEMANALES[[#ALL],[DOMINGO]])</f>
        <v>0</v>
      </c>
      <c r="T1120" s="59">
        <f t="shared" si="1"/>
        <v>0</v>
      </c>
    </row>
    <row r="1121" ht="22.5" customHeight="1">
      <c r="M1121" s="59">
        <f>SUMIFS(Eventos!$G:$G,Eventos!$F:$F,$L1121,Eventos!$D:$D,$C$2,Eventos!$B:$B,PANES_SEMANALES[[#ALL],[LUNES]])</f>
        <v>0</v>
      </c>
      <c r="N1121" s="59">
        <f>SUMIFS(Eventos!$G:$G,Eventos!$F:$F,$L1121,Eventos!$D:$D,$C$2,Eventos!$B:$B,PANES_SEMANALES[[#ALL],[MARTES]])</f>
        <v>0</v>
      </c>
      <c r="O1121" s="59">
        <f>SUMIFS(Eventos!$G:$G,Eventos!$F:$F,$L1121,Eventos!$D:$D,$C$2,Eventos!$B:$B,PANES_SEMANALES[[#ALL],[MIÉRCOLES]])</f>
        <v>0</v>
      </c>
      <c r="P1121" s="59">
        <f>SUMIFS(Eventos!$G:$G,Eventos!$F:$F,$L1121,Eventos!$D:$D,$C$2,Eventos!$B:$B,PANES_SEMANALES[[#ALL],[JUEVES]])</f>
        <v>0</v>
      </c>
      <c r="Q1121" s="59">
        <f>IF(P1121&lt;&gt;"",SUMIFS(Eventos!$G:$G,Eventos!$B:$B,Q$2,Eventos!$D:$D,$C$2,Eventos!$F:$F,$L1121),"")</f>
        <v>0</v>
      </c>
      <c r="R1121" s="59">
        <f>SUMIFS(Eventos!$G:$G,Eventos!$F:$F,$L1121,Eventos!$D:$D,$C$2,Eventos!$B:$B,PANES_SEMANALES[[#ALL],[SÁBADO]])</f>
        <v>0</v>
      </c>
      <c r="S1121" s="59">
        <f>SUMIFS(Eventos!$G:$G,Eventos!$F:$F,$L1121,Eventos!$D:$D,$C$2,Eventos!$B:$B,PANES_SEMANALES[[#ALL],[DOMINGO]])</f>
        <v>0</v>
      </c>
      <c r="T1121" s="59">
        <f t="shared" si="1"/>
        <v>0</v>
      </c>
    </row>
    <row r="1122" ht="22.5" customHeight="1">
      <c r="M1122" s="59">
        <f>SUMIFS(Eventos!$G:$G,Eventos!$F:$F,$L1122,Eventos!$D:$D,$C$2,Eventos!$B:$B,PANES_SEMANALES[[#ALL],[LUNES]])</f>
        <v>0</v>
      </c>
      <c r="N1122" s="59">
        <f>SUMIFS(Eventos!$G:$G,Eventos!$F:$F,$L1122,Eventos!$D:$D,$C$2,Eventos!$B:$B,PANES_SEMANALES[[#ALL],[MARTES]])</f>
        <v>0</v>
      </c>
      <c r="O1122" s="59">
        <f>SUMIFS(Eventos!$G:$G,Eventos!$F:$F,$L1122,Eventos!$D:$D,$C$2,Eventos!$B:$B,PANES_SEMANALES[[#ALL],[MIÉRCOLES]])</f>
        <v>0</v>
      </c>
      <c r="P1122" s="59">
        <f>SUMIFS(Eventos!$G:$G,Eventos!$F:$F,$L1122,Eventos!$D:$D,$C$2,Eventos!$B:$B,PANES_SEMANALES[[#ALL],[JUEVES]])</f>
        <v>0</v>
      </c>
      <c r="Q1122" s="59">
        <f>IF(P1122&lt;&gt;"",SUMIFS(Eventos!$G:$G,Eventos!$B:$B,Q$2,Eventos!$D:$D,$C$2,Eventos!$F:$F,$L1122),"")</f>
        <v>0</v>
      </c>
      <c r="R1122" s="59">
        <f>SUMIFS(Eventos!$G:$G,Eventos!$F:$F,$L1122,Eventos!$D:$D,$C$2,Eventos!$B:$B,PANES_SEMANALES[[#ALL],[SÁBADO]])</f>
        <v>0</v>
      </c>
      <c r="S1122" s="59">
        <f>SUMIFS(Eventos!$G:$G,Eventos!$F:$F,$L1122,Eventos!$D:$D,$C$2,Eventos!$B:$B,PANES_SEMANALES[[#ALL],[DOMINGO]])</f>
        <v>0</v>
      </c>
      <c r="T1122" s="59">
        <f t="shared" si="1"/>
        <v>0</v>
      </c>
    </row>
    <row r="1123" ht="22.5" customHeight="1">
      <c r="M1123" s="59">
        <f>SUMIFS(Eventos!$G:$G,Eventos!$F:$F,$L1123,Eventos!$D:$D,$C$2,Eventos!$B:$B,PANES_SEMANALES[[#ALL],[LUNES]])</f>
        <v>0</v>
      </c>
      <c r="N1123" s="59">
        <f>SUMIFS(Eventos!$G:$G,Eventos!$F:$F,$L1123,Eventos!$D:$D,$C$2,Eventos!$B:$B,PANES_SEMANALES[[#ALL],[MARTES]])</f>
        <v>0</v>
      </c>
      <c r="O1123" s="59">
        <f>SUMIFS(Eventos!$G:$G,Eventos!$F:$F,$L1123,Eventos!$D:$D,$C$2,Eventos!$B:$B,PANES_SEMANALES[[#ALL],[MIÉRCOLES]])</f>
        <v>0</v>
      </c>
      <c r="P1123" s="59">
        <f>SUMIFS(Eventos!$G:$G,Eventos!$F:$F,$L1123,Eventos!$D:$D,$C$2,Eventos!$B:$B,PANES_SEMANALES[[#ALL],[JUEVES]])</f>
        <v>0</v>
      </c>
      <c r="Q1123" s="59">
        <f>IF(P1123&lt;&gt;"",SUMIFS(Eventos!$G:$G,Eventos!$B:$B,Q$2,Eventos!$D:$D,$C$2,Eventos!$F:$F,$L1123),"")</f>
        <v>0</v>
      </c>
      <c r="R1123" s="59">
        <f>SUMIFS(Eventos!$G:$G,Eventos!$F:$F,$L1123,Eventos!$D:$D,$C$2,Eventos!$B:$B,PANES_SEMANALES[[#ALL],[SÁBADO]])</f>
        <v>0</v>
      </c>
      <c r="S1123" s="59">
        <f>SUMIFS(Eventos!$G:$G,Eventos!$F:$F,$L1123,Eventos!$D:$D,$C$2,Eventos!$B:$B,PANES_SEMANALES[[#ALL],[DOMINGO]])</f>
        <v>0</v>
      </c>
      <c r="T1123" s="59">
        <f t="shared" si="1"/>
        <v>0</v>
      </c>
    </row>
    <row r="1124" ht="22.5" customHeight="1">
      <c r="M1124" s="59">
        <f>SUMIFS(Eventos!$G:$G,Eventos!$F:$F,$L1124,Eventos!$D:$D,$C$2,Eventos!$B:$B,PANES_SEMANALES[[#ALL],[LUNES]])</f>
        <v>0</v>
      </c>
      <c r="N1124" s="59">
        <f>SUMIFS(Eventos!$G:$G,Eventos!$F:$F,$L1124,Eventos!$D:$D,$C$2,Eventos!$B:$B,PANES_SEMANALES[[#ALL],[MARTES]])</f>
        <v>0</v>
      </c>
      <c r="O1124" s="59">
        <f>SUMIFS(Eventos!$G:$G,Eventos!$F:$F,$L1124,Eventos!$D:$D,$C$2,Eventos!$B:$B,PANES_SEMANALES[[#ALL],[MIÉRCOLES]])</f>
        <v>0</v>
      </c>
      <c r="P1124" s="59">
        <f>SUMIFS(Eventos!$G:$G,Eventos!$F:$F,$L1124,Eventos!$D:$D,$C$2,Eventos!$B:$B,PANES_SEMANALES[[#ALL],[JUEVES]])</f>
        <v>0</v>
      </c>
      <c r="Q1124" s="59">
        <f>IF(P1124&lt;&gt;"",SUMIFS(Eventos!$G:$G,Eventos!$B:$B,Q$2,Eventos!$D:$D,$C$2,Eventos!$F:$F,$L1124),"")</f>
        <v>0</v>
      </c>
      <c r="R1124" s="59">
        <f>SUMIFS(Eventos!$G:$G,Eventos!$F:$F,$L1124,Eventos!$D:$D,$C$2,Eventos!$B:$B,PANES_SEMANALES[[#ALL],[SÁBADO]])</f>
        <v>0</v>
      </c>
      <c r="S1124" s="59">
        <f>SUMIFS(Eventos!$G:$G,Eventos!$F:$F,$L1124,Eventos!$D:$D,$C$2,Eventos!$B:$B,PANES_SEMANALES[[#ALL],[DOMINGO]])</f>
        <v>0</v>
      </c>
      <c r="T1124" s="59">
        <f t="shared" si="1"/>
        <v>0</v>
      </c>
    </row>
    <row r="1125" ht="22.5" customHeight="1">
      <c r="M1125" s="59">
        <f>SUMIFS(Eventos!$G:$G,Eventos!$F:$F,$L1125,Eventos!$D:$D,$C$2,Eventos!$B:$B,PANES_SEMANALES[[#ALL],[LUNES]])</f>
        <v>0</v>
      </c>
      <c r="N1125" s="59">
        <f>SUMIFS(Eventos!$G:$G,Eventos!$F:$F,$L1125,Eventos!$D:$D,$C$2,Eventos!$B:$B,PANES_SEMANALES[[#ALL],[MARTES]])</f>
        <v>0</v>
      </c>
      <c r="O1125" s="59">
        <f>SUMIFS(Eventos!$G:$G,Eventos!$F:$F,$L1125,Eventos!$D:$D,$C$2,Eventos!$B:$B,PANES_SEMANALES[[#ALL],[MIÉRCOLES]])</f>
        <v>0</v>
      </c>
      <c r="P1125" s="59">
        <f>SUMIFS(Eventos!$G:$G,Eventos!$F:$F,$L1125,Eventos!$D:$D,$C$2,Eventos!$B:$B,PANES_SEMANALES[[#ALL],[JUEVES]])</f>
        <v>0</v>
      </c>
      <c r="Q1125" s="59">
        <f>IF(P1125&lt;&gt;"",SUMIFS(Eventos!$G:$G,Eventos!$B:$B,Q$2,Eventos!$D:$D,$C$2,Eventos!$F:$F,$L1125),"")</f>
        <v>0</v>
      </c>
      <c r="R1125" s="59">
        <f>SUMIFS(Eventos!$G:$G,Eventos!$F:$F,$L1125,Eventos!$D:$D,$C$2,Eventos!$B:$B,PANES_SEMANALES[[#ALL],[SÁBADO]])</f>
        <v>0</v>
      </c>
      <c r="S1125" s="59">
        <f>SUMIFS(Eventos!$G:$G,Eventos!$F:$F,$L1125,Eventos!$D:$D,$C$2,Eventos!$B:$B,PANES_SEMANALES[[#ALL],[DOMINGO]])</f>
        <v>0</v>
      </c>
      <c r="T1125" s="59">
        <f t="shared" si="1"/>
        <v>0</v>
      </c>
    </row>
    <row r="1126" ht="22.5" customHeight="1">
      <c r="M1126" s="59">
        <f>SUMIFS(Eventos!$G:$G,Eventos!$F:$F,$L1126,Eventos!$D:$D,$C$2,Eventos!$B:$B,PANES_SEMANALES[[#ALL],[LUNES]])</f>
        <v>0</v>
      </c>
      <c r="N1126" s="59">
        <f>SUMIFS(Eventos!$G:$G,Eventos!$F:$F,$L1126,Eventos!$D:$D,$C$2,Eventos!$B:$B,PANES_SEMANALES[[#ALL],[MARTES]])</f>
        <v>0</v>
      </c>
      <c r="O1126" s="59">
        <f>SUMIFS(Eventos!$G:$G,Eventos!$F:$F,$L1126,Eventos!$D:$D,$C$2,Eventos!$B:$B,PANES_SEMANALES[[#ALL],[MIÉRCOLES]])</f>
        <v>0</v>
      </c>
      <c r="P1126" s="59">
        <f>SUMIFS(Eventos!$G:$G,Eventos!$F:$F,$L1126,Eventos!$D:$D,$C$2,Eventos!$B:$B,PANES_SEMANALES[[#ALL],[JUEVES]])</f>
        <v>0</v>
      </c>
      <c r="Q1126" s="59">
        <f>IF(P1126&lt;&gt;"",SUMIFS(Eventos!$G:$G,Eventos!$B:$B,Q$2,Eventos!$D:$D,$C$2,Eventos!$F:$F,$L1126),"")</f>
        <v>0</v>
      </c>
      <c r="R1126" s="59">
        <f>SUMIFS(Eventos!$G:$G,Eventos!$F:$F,$L1126,Eventos!$D:$D,$C$2,Eventos!$B:$B,PANES_SEMANALES[[#ALL],[SÁBADO]])</f>
        <v>0</v>
      </c>
      <c r="S1126" s="59">
        <f>SUMIFS(Eventos!$G:$G,Eventos!$F:$F,$L1126,Eventos!$D:$D,$C$2,Eventos!$B:$B,PANES_SEMANALES[[#ALL],[DOMINGO]])</f>
        <v>0</v>
      </c>
      <c r="T1126" s="59">
        <f t="shared" si="1"/>
        <v>0</v>
      </c>
    </row>
    <row r="1127" ht="22.5" customHeight="1">
      <c r="M1127" s="59">
        <f>SUMIFS(Eventos!$G:$G,Eventos!$F:$F,$L1127,Eventos!$D:$D,$C$2,Eventos!$B:$B,PANES_SEMANALES[[#ALL],[LUNES]])</f>
        <v>0</v>
      </c>
      <c r="N1127" s="59">
        <f>SUMIFS(Eventos!$G:$G,Eventos!$F:$F,$L1127,Eventos!$D:$D,$C$2,Eventos!$B:$B,PANES_SEMANALES[[#ALL],[MARTES]])</f>
        <v>0</v>
      </c>
      <c r="O1127" s="59">
        <f>SUMIFS(Eventos!$G:$G,Eventos!$F:$F,$L1127,Eventos!$D:$D,$C$2,Eventos!$B:$B,PANES_SEMANALES[[#ALL],[MIÉRCOLES]])</f>
        <v>0</v>
      </c>
      <c r="P1127" s="59">
        <f>SUMIFS(Eventos!$G:$G,Eventos!$F:$F,$L1127,Eventos!$D:$D,$C$2,Eventos!$B:$B,PANES_SEMANALES[[#ALL],[JUEVES]])</f>
        <v>0</v>
      </c>
      <c r="Q1127" s="59">
        <f>IF(P1127&lt;&gt;"",SUMIFS(Eventos!$G:$G,Eventos!$B:$B,Q$2,Eventos!$D:$D,$C$2,Eventos!$F:$F,$L1127),"")</f>
        <v>0</v>
      </c>
      <c r="R1127" s="59">
        <f>SUMIFS(Eventos!$G:$G,Eventos!$F:$F,$L1127,Eventos!$D:$D,$C$2,Eventos!$B:$B,PANES_SEMANALES[[#ALL],[SÁBADO]])</f>
        <v>0</v>
      </c>
      <c r="S1127" s="59">
        <f>SUMIFS(Eventos!$G:$G,Eventos!$F:$F,$L1127,Eventos!$D:$D,$C$2,Eventos!$B:$B,PANES_SEMANALES[[#ALL],[DOMINGO]])</f>
        <v>0</v>
      </c>
      <c r="T1127" s="59">
        <f t="shared" si="1"/>
        <v>0</v>
      </c>
    </row>
    <row r="1128" ht="22.5" customHeight="1">
      <c r="M1128" s="59">
        <f>SUMIFS(Eventos!$G:$G,Eventos!$F:$F,$L1128,Eventos!$D:$D,$C$2,Eventos!$B:$B,PANES_SEMANALES[[#ALL],[LUNES]])</f>
        <v>0</v>
      </c>
      <c r="N1128" s="59">
        <f>SUMIFS(Eventos!$G:$G,Eventos!$F:$F,$L1128,Eventos!$D:$D,$C$2,Eventos!$B:$B,PANES_SEMANALES[[#ALL],[MARTES]])</f>
        <v>0</v>
      </c>
      <c r="O1128" s="59">
        <f>SUMIFS(Eventos!$G:$G,Eventos!$F:$F,$L1128,Eventos!$D:$D,$C$2,Eventos!$B:$B,PANES_SEMANALES[[#ALL],[MIÉRCOLES]])</f>
        <v>0</v>
      </c>
      <c r="P1128" s="59">
        <f>SUMIFS(Eventos!$G:$G,Eventos!$F:$F,$L1128,Eventos!$D:$D,$C$2,Eventos!$B:$B,PANES_SEMANALES[[#ALL],[JUEVES]])</f>
        <v>0</v>
      </c>
      <c r="Q1128" s="59">
        <f>IF(P1128&lt;&gt;"",SUMIFS(Eventos!$G:$G,Eventos!$B:$B,Q$2,Eventos!$D:$D,$C$2,Eventos!$F:$F,$L1128),"")</f>
        <v>0</v>
      </c>
      <c r="R1128" s="59">
        <f>SUMIFS(Eventos!$G:$G,Eventos!$F:$F,$L1128,Eventos!$D:$D,$C$2,Eventos!$B:$B,PANES_SEMANALES[[#ALL],[SÁBADO]])</f>
        <v>0</v>
      </c>
      <c r="S1128" s="59">
        <f>SUMIFS(Eventos!$G:$G,Eventos!$F:$F,$L1128,Eventos!$D:$D,$C$2,Eventos!$B:$B,PANES_SEMANALES[[#ALL],[DOMINGO]])</f>
        <v>0</v>
      </c>
      <c r="T1128" s="59">
        <f t="shared" si="1"/>
        <v>0</v>
      </c>
    </row>
    <row r="1129" ht="22.5" customHeight="1">
      <c r="M1129" s="59">
        <f>SUMIFS(Eventos!$G:$G,Eventos!$F:$F,$L1129,Eventos!$D:$D,$C$2,Eventos!$B:$B,PANES_SEMANALES[[#ALL],[LUNES]])</f>
        <v>0</v>
      </c>
      <c r="N1129" s="59">
        <f>SUMIFS(Eventos!$G:$G,Eventos!$F:$F,$L1129,Eventos!$D:$D,$C$2,Eventos!$B:$B,PANES_SEMANALES[[#ALL],[MARTES]])</f>
        <v>0</v>
      </c>
      <c r="O1129" s="59">
        <f>SUMIFS(Eventos!$G:$G,Eventos!$F:$F,$L1129,Eventos!$D:$D,$C$2,Eventos!$B:$B,PANES_SEMANALES[[#ALL],[MIÉRCOLES]])</f>
        <v>0</v>
      </c>
      <c r="P1129" s="59">
        <f>SUMIFS(Eventos!$G:$G,Eventos!$F:$F,$L1129,Eventos!$D:$D,$C$2,Eventos!$B:$B,PANES_SEMANALES[[#ALL],[JUEVES]])</f>
        <v>0</v>
      </c>
      <c r="Q1129" s="59">
        <f>IF(P1129&lt;&gt;"",SUMIFS(Eventos!$G:$G,Eventos!$B:$B,Q$2,Eventos!$D:$D,$C$2,Eventos!$F:$F,$L1129),"")</f>
        <v>0</v>
      </c>
      <c r="R1129" s="59">
        <f>SUMIFS(Eventos!$G:$G,Eventos!$F:$F,$L1129,Eventos!$D:$D,$C$2,Eventos!$B:$B,PANES_SEMANALES[[#ALL],[SÁBADO]])</f>
        <v>0</v>
      </c>
      <c r="S1129" s="59">
        <f>SUMIFS(Eventos!$G:$G,Eventos!$F:$F,$L1129,Eventos!$D:$D,$C$2,Eventos!$B:$B,PANES_SEMANALES[[#ALL],[DOMINGO]])</f>
        <v>0</v>
      </c>
      <c r="T1129" s="59">
        <f t="shared" si="1"/>
        <v>0</v>
      </c>
    </row>
    <row r="1130" ht="22.5" customHeight="1">
      <c r="M1130" s="59">
        <f>SUMIFS(Eventos!$G:$G,Eventos!$F:$F,$L1130,Eventos!$D:$D,$C$2,Eventos!$B:$B,PANES_SEMANALES[[#ALL],[LUNES]])</f>
        <v>0</v>
      </c>
      <c r="N1130" s="59">
        <f>SUMIFS(Eventos!$G:$G,Eventos!$F:$F,$L1130,Eventos!$D:$D,$C$2,Eventos!$B:$B,PANES_SEMANALES[[#ALL],[MARTES]])</f>
        <v>0</v>
      </c>
      <c r="O1130" s="59">
        <f>SUMIFS(Eventos!$G:$G,Eventos!$F:$F,$L1130,Eventos!$D:$D,$C$2,Eventos!$B:$B,PANES_SEMANALES[[#ALL],[MIÉRCOLES]])</f>
        <v>0</v>
      </c>
      <c r="P1130" s="59">
        <f>SUMIFS(Eventos!$G:$G,Eventos!$F:$F,$L1130,Eventos!$D:$D,$C$2,Eventos!$B:$B,PANES_SEMANALES[[#ALL],[JUEVES]])</f>
        <v>0</v>
      </c>
      <c r="Q1130" s="59">
        <f>IF(P1130&lt;&gt;"",SUMIFS(Eventos!$G:$G,Eventos!$B:$B,Q$2,Eventos!$D:$D,$C$2,Eventos!$F:$F,$L1130),"")</f>
        <v>0</v>
      </c>
      <c r="R1130" s="59">
        <f>SUMIFS(Eventos!$G:$G,Eventos!$F:$F,$L1130,Eventos!$D:$D,$C$2,Eventos!$B:$B,PANES_SEMANALES[[#ALL],[SÁBADO]])</f>
        <v>0</v>
      </c>
      <c r="S1130" s="59">
        <f>SUMIFS(Eventos!$G:$G,Eventos!$F:$F,$L1130,Eventos!$D:$D,$C$2,Eventos!$B:$B,PANES_SEMANALES[[#ALL],[DOMINGO]])</f>
        <v>0</v>
      </c>
      <c r="T1130" s="59">
        <f t="shared" si="1"/>
        <v>0</v>
      </c>
    </row>
    <row r="1131" ht="22.5" customHeight="1">
      <c r="M1131" s="59">
        <f>SUMIFS(Eventos!$G:$G,Eventos!$F:$F,$L1131,Eventos!$D:$D,$C$2,Eventos!$B:$B,PANES_SEMANALES[[#ALL],[LUNES]])</f>
        <v>0</v>
      </c>
      <c r="N1131" s="59">
        <f>SUMIFS(Eventos!$G:$G,Eventos!$F:$F,$L1131,Eventos!$D:$D,$C$2,Eventos!$B:$B,PANES_SEMANALES[[#ALL],[MARTES]])</f>
        <v>0</v>
      </c>
      <c r="O1131" s="59">
        <f>SUMIFS(Eventos!$G:$G,Eventos!$F:$F,$L1131,Eventos!$D:$D,$C$2,Eventos!$B:$B,PANES_SEMANALES[[#ALL],[MIÉRCOLES]])</f>
        <v>0</v>
      </c>
      <c r="P1131" s="59">
        <f>SUMIFS(Eventos!$G:$G,Eventos!$F:$F,$L1131,Eventos!$D:$D,$C$2,Eventos!$B:$B,PANES_SEMANALES[[#ALL],[JUEVES]])</f>
        <v>0</v>
      </c>
      <c r="Q1131" s="59">
        <f>IF(P1131&lt;&gt;"",SUMIFS(Eventos!$G:$G,Eventos!$B:$B,Q$2,Eventos!$D:$D,$C$2,Eventos!$F:$F,$L1131),"")</f>
        <v>0</v>
      </c>
      <c r="R1131" s="59">
        <f>SUMIFS(Eventos!$G:$G,Eventos!$F:$F,$L1131,Eventos!$D:$D,$C$2,Eventos!$B:$B,PANES_SEMANALES[[#ALL],[SÁBADO]])</f>
        <v>0</v>
      </c>
      <c r="S1131" s="59">
        <f>SUMIFS(Eventos!$G:$G,Eventos!$F:$F,$L1131,Eventos!$D:$D,$C$2,Eventos!$B:$B,PANES_SEMANALES[[#ALL],[DOMINGO]])</f>
        <v>0</v>
      </c>
      <c r="T1131" s="59">
        <f t="shared" si="1"/>
        <v>0</v>
      </c>
    </row>
    <row r="1132" ht="22.5" customHeight="1">
      <c r="M1132" s="59">
        <f>SUMIFS(Eventos!$G:$G,Eventos!$F:$F,$L1132,Eventos!$D:$D,$C$2,Eventos!$B:$B,PANES_SEMANALES[[#ALL],[LUNES]])</f>
        <v>0</v>
      </c>
      <c r="N1132" s="59">
        <f>SUMIFS(Eventos!$G:$G,Eventos!$F:$F,$L1132,Eventos!$D:$D,$C$2,Eventos!$B:$B,PANES_SEMANALES[[#ALL],[MARTES]])</f>
        <v>0</v>
      </c>
      <c r="O1132" s="59">
        <f>SUMIFS(Eventos!$G:$G,Eventos!$F:$F,$L1132,Eventos!$D:$D,$C$2,Eventos!$B:$B,PANES_SEMANALES[[#ALL],[MIÉRCOLES]])</f>
        <v>0</v>
      </c>
      <c r="P1132" s="59">
        <f>SUMIFS(Eventos!$G:$G,Eventos!$F:$F,$L1132,Eventos!$D:$D,$C$2,Eventos!$B:$B,PANES_SEMANALES[[#ALL],[JUEVES]])</f>
        <v>0</v>
      </c>
      <c r="Q1132" s="59">
        <f>IF(P1132&lt;&gt;"",SUMIFS(Eventos!$G:$G,Eventos!$B:$B,Q$2,Eventos!$D:$D,$C$2,Eventos!$F:$F,$L1132),"")</f>
        <v>0</v>
      </c>
      <c r="R1132" s="59">
        <f>SUMIFS(Eventos!$G:$G,Eventos!$F:$F,$L1132,Eventos!$D:$D,$C$2,Eventos!$B:$B,PANES_SEMANALES[[#ALL],[SÁBADO]])</f>
        <v>0</v>
      </c>
      <c r="S1132" s="59">
        <f>SUMIFS(Eventos!$G:$G,Eventos!$F:$F,$L1132,Eventos!$D:$D,$C$2,Eventos!$B:$B,PANES_SEMANALES[[#ALL],[DOMINGO]])</f>
        <v>0</v>
      </c>
      <c r="T1132" s="59">
        <f t="shared" si="1"/>
        <v>0</v>
      </c>
    </row>
    <row r="1133" ht="22.5" customHeight="1">
      <c r="M1133" s="59">
        <f>SUMIFS(Eventos!$G:$G,Eventos!$F:$F,$L1133,Eventos!$D:$D,$C$2,Eventos!$B:$B,PANES_SEMANALES[[#ALL],[LUNES]])</f>
        <v>0</v>
      </c>
      <c r="N1133" s="59">
        <f>SUMIFS(Eventos!$G:$G,Eventos!$F:$F,$L1133,Eventos!$D:$D,$C$2,Eventos!$B:$B,PANES_SEMANALES[[#ALL],[MARTES]])</f>
        <v>0</v>
      </c>
      <c r="O1133" s="59">
        <f>SUMIFS(Eventos!$G:$G,Eventos!$F:$F,$L1133,Eventos!$D:$D,$C$2,Eventos!$B:$B,PANES_SEMANALES[[#ALL],[MIÉRCOLES]])</f>
        <v>0</v>
      </c>
      <c r="P1133" s="59">
        <f>SUMIFS(Eventos!$G:$G,Eventos!$F:$F,$L1133,Eventos!$D:$D,$C$2,Eventos!$B:$B,PANES_SEMANALES[[#ALL],[JUEVES]])</f>
        <v>0</v>
      </c>
      <c r="Q1133" s="59">
        <f>IF(P1133&lt;&gt;"",SUMIFS(Eventos!$G:$G,Eventos!$B:$B,Q$2,Eventos!$D:$D,$C$2,Eventos!$F:$F,$L1133),"")</f>
        <v>0</v>
      </c>
      <c r="R1133" s="59">
        <f>SUMIFS(Eventos!$G:$G,Eventos!$F:$F,$L1133,Eventos!$D:$D,$C$2,Eventos!$B:$B,PANES_SEMANALES[[#ALL],[SÁBADO]])</f>
        <v>0</v>
      </c>
      <c r="S1133" s="59">
        <f>SUMIFS(Eventos!$G:$G,Eventos!$F:$F,$L1133,Eventos!$D:$D,$C$2,Eventos!$B:$B,PANES_SEMANALES[[#ALL],[DOMINGO]])</f>
        <v>0</v>
      </c>
      <c r="T1133" s="59">
        <f t="shared" si="1"/>
        <v>0</v>
      </c>
    </row>
    <row r="1134" ht="22.5" customHeight="1">
      <c r="M1134" s="59">
        <f>SUMIFS(Eventos!$G:$G,Eventos!$F:$F,$L1134,Eventos!$D:$D,$C$2,Eventos!$B:$B,PANES_SEMANALES[[#ALL],[LUNES]])</f>
        <v>0</v>
      </c>
      <c r="N1134" s="59">
        <f>SUMIFS(Eventos!$G:$G,Eventos!$F:$F,$L1134,Eventos!$D:$D,$C$2,Eventos!$B:$B,PANES_SEMANALES[[#ALL],[MARTES]])</f>
        <v>0</v>
      </c>
      <c r="O1134" s="59">
        <f>SUMIFS(Eventos!$G:$G,Eventos!$F:$F,$L1134,Eventos!$D:$D,$C$2,Eventos!$B:$B,PANES_SEMANALES[[#ALL],[MIÉRCOLES]])</f>
        <v>0</v>
      </c>
      <c r="P1134" s="59">
        <f>SUMIFS(Eventos!$G:$G,Eventos!$F:$F,$L1134,Eventos!$D:$D,$C$2,Eventos!$B:$B,PANES_SEMANALES[[#ALL],[JUEVES]])</f>
        <v>0</v>
      </c>
      <c r="Q1134" s="59">
        <f>IF(P1134&lt;&gt;"",SUMIFS(Eventos!$G:$G,Eventos!$B:$B,Q$2,Eventos!$D:$D,$C$2,Eventos!$F:$F,$L1134),"")</f>
        <v>0</v>
      </c>
      <c r="R1134" s="59">
        <f>SUMIFS(Eventos!$G:$G,Eventos!$F:$F,$L1134,Eventos!$D:$D,$C$2,Eventos!$B:$B,PANES_SEMANALES[[#ALL],[SÁBADO]])</f>
        <v>0</v>
      </c>
      <c r="S1134" s="59">
        <f>SUMIFS(Eventos!$G:$G,Eventos!$F:$F,$L1134,Eventos!$D:$D,$C$2,Eventos!$B:$B,PANES_SEMANALES[[#ALL],[DOMINGO]])</f>
        <v>0</v>
      </c>
      <c r="T1134" s="59">
        <f t="shared" si="1"/>
        <v>0</v>
      </c>
    </row>
    <row r="1135" ht="22.5" customHeight="1">
      <c r="M1135" s="59">
        <f>SUMIFS(Eventos!$G:$G,Eventos!$F:$F,$L1135,Eventos!$D:$D,$C$2,Eventos!$B:$B,PANES_SEMANALES[[#ALL],[LUNES]])</f>
        <v>0</v>
      </c>
      <c r="N1135" s="59">
        <f>SUMIFS(Eventos!$G:$G,Eventos!$F:$F,$L1135,Eventos!$D:$D,$C$2,Eventos!$B:$B,PANES_SEMANALES[[#ALL],[MARTES]])</f>
        <v>0</v>
      </c>
      <c r="O1135" s="59">
        <f>SUMIFS(Eventos!$G:$G,Eventos!$F:$F,$L1135,Eventos!$D:$D,$C$2,Eventos!$B:$B,PANES_SEMANALES[[#ALL],[MIÉRCOLES]])</f>
        <v>0</v>
      </c>
      <c r="P1135" s="59">
        <f>SUMIFS(Eventos!$G:$G,Eventos!$F:$F,$L1135,Eventos!$D:$D,$C$2,Eventos!$B:$B,PANES_SEMANALES[[#ALL],[JUEVES]])</f>
        <v>0</v>
      </c>
      <c r="Q1135" s="59">
        <f>IF(P1135&lt;&gt;"",SUMIFS(Eventos!$G:$G,Eventos!$B:$B,Q$2,Eventos!$D:$D,$C$2,Eventos!$F:$F,$L1135),"")</f>
        <v>0</v>
      </c>
      <c r="R1135" s="59">
        <f>SUMIFS(Eventos!$G:$G,Eventos!$F:$F,$L1135,Eventos!$D:$D,$C$2,Eventos!$B:$B,PANES_SEMANALES[[#ALL],[SÁBADO]])</f>
        <v>0</v>
      </c>
      <c r="S1135" s="59">
        <f>SUMIFS(Eventos!$G:$G,Eventos!$F:$F,$L1135,Eventos!$D:$D,$C$2,Eventos!$B:$B,PANES_SEMANALES[[#ALL],[DOMINGO]])</f>
        <v>0</v>
      </c>
      <c r="T1135" s="59">
        <f t="shared" si="1"/>
        <v>0</v>
      </c>
    </row>
    <row r="1136" ht="22.5" customHeight="1">
      <c r="M1136" s="59">
        <f>SUMIFS(Eventos!$G:$G,Eventos!$F:$F,$L1136,Eventos!$D:$D,$C$2,Eventos!$B:$B,PANES_SEMANALES[[#ALL],[LUNES]])</f>
        <v>0</v>
      </c>
      <c r="N1136" s="59">
        <f>SUMIFS(Eventos!$G:$G,Eventos!$F:$F,$L1136,Eventos!$D:$D,$C$2,Eventos!$B:$B,PANES_SEMANALES[[#ALL],[MARTES]])</f>
        <v>0</v>
      </c>
      <c r="O1136" s="59">
        <f>SUMIFS(Eventos!$G:$G,Eventos!$F:$F,$L1136,Eventos!$D:$D,$C$2,Eventos!$B:$B,PANES_SEMANALES[[#ALL],[MIÉRCOLES]])</f>
        <v>0</v>
      </c>
      <c r="P1136" s="59">
        <f>SUMIFS(Eventos!$G:$G,Eventos!$F:$F,$L1136,Eventos!$D:$D,$C$2,Eventos!$B:$B,PANES_SEMANALES[[#ALL],[JUEVES]])</f>
        <v>0</v>
      </c>
      <c r="Q1136" s="59">
        <f>IF(P1136&lt;&gt;"",SUMIFS(Eventos!$G:$G,Eventos!$B:$B,Q$2,Eventos!$D:$D,$C$2,Eventos!$F:$F,$L1136),"")</f>
        <v>0</v>
      </c>
      <c r="R1136" s="59">
        <f>SUMIFS(Eventos!$G:$G,Eventos!$F:$F,$L1136,Eventos!$D:$D,$C$2,Eventos!$B:$B,PANES_SEMANALES[[#ALL],[SÁBADO]])</f>
        <v>0</v>
      </c>
      <c r="S1136" s="59">
        <f>SUMIFS(Eventos!$G:$G,Eventos!$F:$F,$L1136,Eventos!$D:$D,$C$2,Eventos!$B:$B,PANES_SEMANALES[[#ALL],[DOMINGO]])</f>
        <v>0</v>
      </c>
      <c r="T1136" s="59">
        <f t="shared" si="1"/>
        <v>0</v>
      </c>
    </row>
    <row r="1137" ht="22.5" customHeight="1">
      <c r="M1137" s="59">
        <f>SUMIFS(Eventos!$G:$G,Eventos!$F:$F,$L1137,Eventos!$D:$D,$C$2,Eventos!$B:$B,PANES_SEMANALES[[#ALL],[LUNES]])</f>
        <v>0</v>
      </c>
      <c r="N1137" s="59">
        <f>SUMIFS(Eventos!$G:$G,Eventos!$F:$F,$L1137,Eventos!$D:$D,$C$2,Eventos!$B:$B,PANES_SEMANALES[[#ALL],[MARTES]])</f>
        <v>0</v>
      </c>
      <c r="O1137" s="59">
        <f>SUMIFS(Eventos!$G:$G,Eventos!$F:$F,$L1137,Eventos!$D:$D,$C$2,Eventos!$B:$B,PANES_SEMANALES[[#ALL],[MIÉRCOLES]])</f>
        <v>0</v>
      </c>
      <c r="P1137" s="59">
        <f>SUMIFS(Eventos!$G:$G,Eventos!$F:$F,$L1137,Eventos!$D:$D,$C$2,Eventos!$B:$B,PANES_SEMANALES[[#ALL],[JUEVES]])</f>
        <v>0</v>
      </c>
      <c r="Q1137" s="59">
        <f>IF(P1137&lt;&gt;"",SUMIFS(Eventos!$G:$G,Eventos!$B:$B,Q$2,Eventos!$D:$D,$C$2,Eventos!$F:$F,$L1137),"")</f>
        <v>0</v>
      </c>
      <c r="R1137" s="59">
        <f>SUMIFS(Eventos!$G:$G,Eventos!$F:$F,$L1137,Eventos!$D:$D,$C$2,Eventos!$B:$B,PANES_SEMANALES[[#ALL],[SÁBADO]])</f>
        <v>0</v>
      </c>
      <c r="S1137" s="59">
        <f>SUMIFS(Eventos!$G:$G,Eventos!$F:$F,$L1137,Eventos!$D:$D,$C$2,Eventos!$B:$B,PANES_SEMANALES[[#ALL],[DOMINGO]])</f>
        <v>0</v>
      </c>
      <c r="T1137" s="59">
        <f t="shared" si="1"/>
        <v>0</v>
      </c>
    </row>
    <row r="1138" ht="22.5" customHeight="1">
      <c r="M1138" s="59">
        <f>SUMIFS(Eventos!$G:$G,Eventos!$F:$F,$L1138,Eventos!$D:$D,$C$2,Eventos!$B:$B,PANES_SEMANALES[[#ALL],[LUNES]])</f>
        <v>0</v>
      </c>
      <c r="N1138" s="59">
        <f>SUMIFS(Eventos!$G:$G,Eventos!$F:$F,$L1138,Eventos!$D:$D,$C$2,Eventos!$B:$B,PANES_SEMANALES[[#ALL],[MARTES]])</f>
        <v>0</v>
      </c>
      <c r="O1138" s="59">
        <f>SUMIFS(Eventos!$G:$G,Eventos!$F:$F,$L1138,Eventos!$D:$D,$C$2,Eventos!$B:$B,PANES_SEMANALES[[#ALL],[MIÉRCOLES]])</f>
        <v>0</v>
      </c>
      <c r="P1138" s="59">
        <f>SUMIFS(Eventos!$G:$G,Eventos!$F:$F,$L1138,Eventos!$D:$D,$C$2,Eventos!$B:$B,PANES_SEMANALES[[#ALL],[JUEVES]])</f>
        <v>0</v>
      </c>
      <c r="Q1138" s="59">
        <f>IF(P1138&lt;&gt;"",SUMIFS(Eventos!$G:$G,Eventos!$B:$B,Q$2,Eventos!$D:$D,$C$2,Eventos!$F:$F,$L1138),"")</f>
        <v>0</v>
      </c>
      <c r="R1138" s="59">
        <f>SUMIFS(Eventos!$G:$G,Eventos!$F:$F,$L1138,Eventos!$D:$D,$C$2,Eventos!$B:$B,PANES_SEMANALES[[#ALL],[SÁBADO]])</f>
        <v>0</v>
      </c>
      <c r="S1138" s="59">
        <f>SUMIFS(Eventos!$G:$G,Eventos!$F:$F,$L1138,Eventos!$D:$D,$C$2,Eventos!$B:$B,PANES_SEMANALES[[#ALL],[DOMINGO]])</f>
        <v>0</v>
      </c>
      <c r="T1138" s="59">
        <f t="shared" si="1"/>
        <v>0</v>
      </c>
    </row>
    <row r="1139" ht="22.5" customHeight="1">
      <c r="M1139" s="59">
        <f>SUMIFS(Eventos!$G:$G,Eventos!$F:$F,$L1139,Eventos!$D:$D,$C$2,Eventos!$B:$B,PANES_SEMANALES[[#ALL],[LUNES]])</f>
        <v>0</v>
      </c>
      <c r="N1139" s="59">
        <f>SUMIFS(Eventos!$G:$G,Eventos!$F:$F,$L1139,Eventos!$D:$D,$C$2,Eventos!$B:$B,PANES_SEMANALES[[#ALL],[MARTES]])</f>
        <v>0</v>
      </c>
      <c r="O1139" s="59">
        <f>SUMIFS(Eventos!$G:$G,Eventos!$F:$F,$L1139,Eventos!$D:$D,$C$2,Eventos!$B:$B,PANES_SEMANALES[[#ALL],[MIÉRCOLES]])</f>
        <v>0</v>
      </c>
      <c r="P1139" s="59">
        <f>SUMIFS(Eventos!$G:$G,Eventos!$F:$F,$L1139,Eventos!$D:$D,$C$2,Eventos!$B:$B,PANES_SEMANALES[[#ALL],[JUEVES]])</f>
        <v>0</v>
      </c>
      <c r="Q1139" s="59">
        <f>IF(P1139&lt;&gt;"",SUMIFS(Eventos!$G:$G,Eventos!$B:$B,Q$2,Eventos!$D:$D,$C$2,Eventos!$F:$F,$L1139),"")</f>
        <v>0</v>
      </c>
      <c r="R1139" s="59">
        <f>SUMIFS(Eventos!$G:$G,Eventos!$F:$F,$L1139,Eventos!$D:$D,$C$2,Eventos!$B:$B,PANES_SEMANALES[[#ALL],[SÁBADO]])</f>
        <v>0</v>
      </c>
      <c r="S1139" s="59">
        <f>SUMIFS(Eventos!$G:$G,Eventos!$F:$F,$L1139,Eventos!$D:$D,$C$2,Eventos!$B:$B,PANES_SEMANALES[[#ALL],[DOMINGO]])</f>
        <v>0</v>
      </c>
      <c r="T1139" s="59">
        <f t="shared" si="1"/>
        <v>0</v>
      </c>
    </row>
    <row r="1140" ht="22.5" customHeight="1">
      <c r="M1140" s="59">
        <f>SUMIFS(Eventos!$G:$G,Eventos!$F:$F,$L1140,Eventos!$D:$D,$C$2,Eventos!$B:$B,PANES_SEMANALES[[#ALL],[LUNES]])</f>
        <v>0</v>
      </c>
      <c r="N1140" s="59">
        <f>SUMIFS(Eventos!$G:$G,Eventos!$F:$F,$L1140,Eventos!$D:$D,$C$2,Eventos!$B:$B,PANES_SEMANALES[[#ALL],[MARTES]])</f>
        <v>0</v>
      </c>
      <c r="O1140" s="59">
        <f>SUMIFS(Eventos!$G:$G,Eventos!$F:$F,$L1140,Eventos!$D:$D,$C$2,Eventos!$B:$B,PANES_SEMANALES[[#ALL],[MIÉRCOLES]])</f>
        <v>0</v>
      </c>
      <c r="P1140" s="59">
        <f>SUMIFS(Eventos!$G:$G,Eventos!$F:$F,$L1140,Eventos!$D:$D,$C$2,Eventos!$B:$B,PANES_SEMANALES[[#ALL],[JUEVES]])</f>
        <v>0</v>
      </c>
      <c r="Q1140" s="59">
        <f>IF(P1140&lt;&gt;"",SUMIFS(Eventos!$G:$G,Eventos!$B:$B,Q$2,Eventos!$D:$D,$C$2,Eventos!$F:$F,$L1140),"")</f>
        <v>0</v>
      </c>
      <c r="R1140" s="59">
        <f>SUMIFS(Eventos!$G:$G,Eventos!$F:$F,$L1140,Eventos!$D:$D,$C$2,Eventos!$B:$B,PANES_SEMANALES[[#ALL],[SÁBADO]])</f>
        <v>0</v>
      </c>
      <c r="S1140" s="59">
        <f>SUMIFS(Eventos!$G:$G,Eventos!$F:$F,$L1140,Eventos!$D:$D,$C$2,Eventos!$B:$B,PANES_SEMANALES[[#ALL],[DOMINGO]])</f>
        <v>0</v>
      </c>
      <c r="T1140" s="59">
        <f t="shared" si="1"/>
        <v>0</v>
      </c>
    </row>
    <row r="1141" ht="22.5" customHeight="1">
      <c r="M1141" s="59">
        <f>SUMIFS(Eventos!$G:$G,Eventos!$F:$F,$L1141,Eventos!$D:$D,$C$2,Eventos!$B:$B,PANES_SEMANALES[[#ALL],[LUNES]])</f>
        <v>0</v>
      </c>
      <c r="N1141" s="59">
        <f>SUMIFS(Eventos!$G:$G,Eventos!$F:$F,$L1141,Eventos!$D:$D,$C$2,Eventos!$B:$B,PANES_SEMANALES[[#ALL],[MARTES]])</f>
        <v>0</v>
      </c>
      <c r="O1141" s="59">
        <f>SUMIFS(Eventos!$G:$G,Eventos!$F:$F,$L1141,Eventos!$D:$D,$C$2,Eventos!$B:$B,PANES_SEMANALES[[#ALL],[MIÉRCOLES]])</f>
        <v>0</v>
      </c>
      <c r="P1141" s="59">
        <f>SUMIFS(Eventos!$G:$G,Eventos!$F:$F,$L1141,Eventos!$D:$D,$C$2,Eventos!$B:$B,PANES_SEMANALES[[#ALL],[JUEVES]])</f>
        <v>0</v>
      </c>
      <c r="Q1141" s="59">
        <f>IF(P1141&lt;&gt;"",SUMIFS(Eventos!$G:$G,Eventos!$B:$B,Q$2,Eventos!$D:$D,$C$2,Eventos!$F:$F,$L1141),"")</f>
        <v>0</v>
      </c>
      <c r="R1141" s="59">
        <f>SUMIFS(Eventos!$G:$G,Eventos!$F:$F,$L1141,Eventos!$D:$D,$C$2,Eventos!$B:$B,PANES_SEMANALES[[#ALL],[SÁBADO]])</f>
        <v>0</v>
      </c>
      <c r="S1141" s="59">
        <f>SUMIFS(Eventos!$G:$G,Eventos!$F:$F,$L1141,Eventos!$D:$D,$C$2,Eventos!$B:$B,PANES_SEMANALES[[#ALL],[DOMINGO]])</f>
        <v>0</v>
      </c>
      <c r="T1141" s="59">
        <f t="shared" si="1"/>
        <v>0</v>
      </c>
    </row>
    <row r="1142" ht="22.5" customHeight="1">
      <c r="M1142" s="59">
        <f>SUMIFS(Eventos!$G:$G,Eventos!$F:$F,$L1142,Eventos!$D:$D,$C$2,Eventos!$B:$B,PANES_SEMANALES[[#ALL],[LUNES]])</f>
        <v>0</v>
      </c>
      <c r="N1142" s="59">
        <f>SUMIFS(Eventos!$G:$G,Eventos!$F:$F,$L1142,Eventos!$D:$D,$C$2,Eventos!$B:$B,PANES_SEMANALES[[#ALL],[MARTES]])</f>
        <v>0</v>
      </c>
      <c r="O1142" s="59">
        <f>SUMIFS(Eventos!$G:$G,Eventos!$F:$F,$L1142,Eventos!$D:$D,$C$2,Eventos!$B:$B,PANES_SEMANALES[[#ALL],[MIÉRCOLES]])</f>
        <v>0</v>
      </c>
      <c r="P1142" s="59">
        <f>SUMIFS(Eventos!$G:$G,Eventos!$F:$F,$L1142,Eventos!$D:$D,$C$2,Eventos!$B:$B,PANES_SEMANALES[[#ALL],[JUEVES]])</f>
        <v>0</v>
      </c>
      <c r="Q1142" s="59">
        <f>IF(P1142&lt;&gt;"",SUMIFS(Eventos!$G:$G,Eventos!$B:$B,Q$2,Eventos!$D:$D,$C$2,Eventos!$F:$F,$L1142),"")</f>
        <v>0</v>
      </c>
      <c r="R1142" s="59">
        <f>SUMIFS(Eventos!$G:$G,Eventos!$F:$F,$L1142,Eventos!$D:$D,$C$2,Eventos!$B:$B,PANES_SEMANALES[[#ALL],[SÁBADO]])</f>
        <v>0</v>
      </c>
      <c r="S1142" s="59">
        <f>SUMIFS(Eventos!$G:$G,Eventos!$F:$F,$L1142,Eventos!$D:$D,$C$2,Eventos!$B:$B,PANES_SEMANALES[[#ALL],[DOMINGO]])</f>
        <v>0</v>
      </c>
      <c r="T1142" s="59">
        <f t="shared" si="1"/>
        <v>0</v>
      </c>
    </row>
    <row r="1143" ht="22.5" customHeight="1">
      <c r="M1143" s="59">
        <f>SUMIFS(Eventos!$G:$G,Eventos!$F:$F,$L1143,Eventos!$D:$D,$C$2,Eventos!$B:$B,PANES_SEMANALES[[#ALL],[LUNES]])</f>
        <v>0</v>
      </c>
      <c r="N1143" s="59">
        <f>SUMIFS(Eventos!$G:$G,Eventos!$F:$F,$L1143,Eventos!$D:$D,$C$2,Eventos!$B:$B,PANES_SEMANALES[[#ALL],[MARTES]])</f>
        <v>0</v>
      </c>
      <c r="O1143" s="59">
        <f>SUMIFS(Eventos!$G:$G,Eventos!$F:$F,$L1143,Eventos!$D:$D,$C$2,Eventos!$B:$B,PANES_SEMANALES[[#ALL],[MIÉRCOLES]])</f>
        <v>0</v>
      </c>
      <c r="P1143" s="59">
        <f>SUMIFS(Eventos!$G:$G,Eventos!$F:$F,$L1143,Eventos!$D:$D,$C$2,Eventos!$B:$B,PANES_SEMANALES[[#ALL],[JUEVES]])</f>
        <v>0</v>
      </c>
      <c r="Q1143" s="59">
        <f>IF(P1143&lt;&gt;"",SUMIFS(Eventos!$G:$G,Eventos!$B:$B,Q$2,Eventos!$D:$D,$C$2,Eventos!$F:$F,$L1143),"")</f>
        <v>0</v>
      </c>
      <c r="R1143" s="59">
        <f>SUMIFS(Eventos!$G:$G,Eventos!$F:$F,$L1143,Eventos!$D:$D,$C$2,Eventos!$B:$B,PANES_SEMANALES[[#ALL],[SÁBADO]])</f>
        <v>0</v>
      </c>
      <c r="S1143" s="59">
        <f>SUMIFS(Eventos!$G:$G,Eventos!$F:$F,$L1143,Eventos!$D:$D,$C$2,Eventos!$B:$B,PANES_SEMANALES[[#ALL],[DOMINGO]])</f>
        <v>0</v>
      </c>
      <c r="T1143" s="59">
        <f t="shared" si="1"/>
        <v>0</v>
      </c>
    </row>
    <row r="1144" ht="22.5" customHeight="1">
      <c r="M1144" s="59">
        <f>SUMIFS(Eventos!$G:$G,Eventos!$F:$F,$L1144,Eventos!$D:$D,$C$2,Eventos!$B:$B,PANES_SEMANALES[[#ALL],[LUNES]])</f>
        <v>0</v>
      </c>
      <c r="N1144" s="59">
        <f>SUMIFS(Eventos!$G:$G,Eventos!$F:$F,$L1144,Eventos!$D:$D,$C$2,Eventos!$B:$B,PANES_SEMANALES[[#ALL],[MARTES]])</f>
        <v>0</v>
      </c>
      <c r="O1144" s="59">
        <f>SUMIFS(Eventos!$G:$G,Eventos!$F:$F,$L1144,Eventos!$D:$D,$C$2,Eventos!$B:$B,PANES_SEMANALES[[#ALL],[MIÉRCOLES]])</f>
        <v>0</v>
      </c>
      <c r="P1144" s="59">
        <f>SUMIFS(Eventos!$G:$G,Eventos!$F:$F,$L1144,Eventos!$D:$D,$C$2,Eventos!$B:$B,PANES_SEMANALES[[#ALL],[JUEVES]])</f>
        <v>0</v>
      </c>
      <c r="Q1144" s="59">
        <f>IF(P1144&lt;&gt;"",SUMIFS(Eventos!$G:$G,Eventos!$B:$B,Q$2,Eventos!$D:$D,$C$2,Eventos!$F:$F,$L1144),"")</f>
        <v>0</v>
      </c>
      <c r="R1144" s="59">
        <f>SUMIFS(Eventos!$G:$G,Eventos!$F:$F,$L1144,Eventos!$D:$D,$C$2,Eventos!$B:$B,PANES_SEMANALES[[#ALL],[SÁBADO]])</f>
        <v>0</v>
      </c>
      <c r="S1144" s="59">
        <f>SUMIFS(Eventos!$G:$G,Eventos!$F:$F,$L1144,Eventos!$D:$D,$C$2,Eventos!$B:$B,PANES_SEMANALES[[#ALL],[DOMINGO]])</f>
        <v>0</v>
      </c>
      <c r="T1144" s="59">
        <f t="shared" si="1"/>
        <v>0</v>
      </c>
    </row>
    <row r="1145" ht="22.5" customHeight="1">
      <c r="M1145" s="59">
        <f>SUMIFS(Eventos!$G:$G,Eventos!$F:$F,$L1145,Eventos!$D:$D,$C$2,Eventos!$B:$B,PANES_SEMANALES[[#ALL],[LUNES]])</f>
        <v>0</v>
      </c>
      <c r="N1145" s="59">
        <f>SUMIFS(Eventos!$G:$G,Eventos!$F:$F,$L1145,Eventos!$D:$D,$C$2,Eventos!$B:$B,PANES_SEMANALES[[#ALL],[MARTES]])</f>
        <v>0</v>
      </c>
      <c r="O1145" s="59">
        <f>SUMIFS(Eventos!$G:$G,Eventos!$F:$F,$L1145,Eventos!$D:$D,$C$2,Eventos!$B:$B,PANES_SEMANALES[[#ALL],[MIÉRCOLES]])</f>
        <v>0</v>
      </c>
      <c r="P1145" s="59">
        <f>SUMIFS(Eventos!$G:$G,Eventos!$F:$F,$L1145,Eventos!$D:$D,$C$2,Eventos!$B:$B,PANES_SEMANALES[[#ALL],[JUEVES]])</f>
        <v>0</v>
      </c>
      <c r="Q1145" s="59">
        <f>IF(P1145&lt;&gt;"",SUMIFS(Eventos!$G:$G,Eventos!$B:$B,Q$2,Eventos!$D:$D,$C$2,Eventos!$F:$F,$L1145),"")</f>
        <v>0</v>
      </c>
      <c r="R1145" s="59">
        <f>SUMIFS(Eventos!$G:$G,Eventos!$F:$F,$L1145,Eventos!$D:$D,$C$2,Eventos!$B:$B,PANES_SEMANALES[[#ALL],[SÁBADO]])</f>
        <v>0</v>
      </c>
      <c r="S1145" s="59">
        <f>SUMIFS(Eventos!$G:$G,Eventos!$F:$F,$L1145,Eventos!$D:$D,$C$2,Eventos!$B:$B,PANES_SEMANALES[[#ALL],[DOMINGO]])</f>
        <v>0</v>
      </c>
      <c r="T1145" s="59">
        <f t="shared" si="1"/>
        <v>0</v>
      </c>
    </row>
    <row r="1146" ht="22.5" customHeight="1">
      <c r="M1146" s="59">
        <f>SUMIFS(Eventos!$G:$G,Eventos!$F:$F,$L1146,Eventos!$D:$D,$C$2,Eventos!$B:$B,PANES_SEMANALES[[#ALL],[LUNES]])</f>
        <v>0</v>
      </c>
      <c r="N1146" s="59">
        <f>SUMIFS(Eventos!$G:$G,Eventos!$F:$F,$L1146,Eventos!$D:$D,$C$2,Eventos!$B:$B,PANES_SEMANALES[[#ALL],[MARTES]])</f>
        <v>0</v>
      </c>
      <c r="O1146" s="59">
        <f>SUMIFS(Eventos!$G:$G,Eventos!$F:$F,$L1146,Eventos!$D:$D,$C$2,Eventos!$B:$B,PANES_SEMANALES[[#ALL],[MIÉRCOLES]])</f>
        <v>0</v>
      </c>
      <c r="P1146" s="59">
        <f>SUMIFS(Eventos!$G:$G,Eventos!$F:$F,$L1146,Eventos!$D:$D,$C$2,Eventos!$B:$B,PANES_SEMANALES[[#ALL],[JUEVES]])</f>
        <v>0</v>
      </c>
      <c r="Q1146" s="59">
        <f>IF(P1146&lt;&gt;"",SUMIFS(Eventos!$G:$G,Eventos!$B:$B,Q$2,Eventos!$D:$D,$C$2,Eventos!$F:$F,$L1146),"")</f>
        <v>0</v>
      </c>
      <c r="R1146" s="59">
        <f>SUMIFS(Eventos!$G:$G,Eventos!$F:$F,$L1146,Eventos!$D:$D,$C$2,Eventos!$B:$B,PANES_SEMANALES[[#ALL],[SÁBADO]])</f>
        <v>0</v>
      </c>
      <c r="S1146" s="59">
        <f>SUMIFS(Eventos!$G:$G,Eventos!$F:$F,$L1146,Eventos!$D:$D,$C$2,Eventos!$B:$B,PANES_SEMANALES[[#ALL],[DOMINGO]])</f>
        <v>0</v>
      </c>
      <c r="T1146" s="59">
        <f t="shared" si="1"/>
        <v>0</v>
      </c>
    </row>
    <row r="1147" ht="22.5" customHeight="1">
      <c r="M1147" s="59">
        <f>SUMIFS(Eventos!$G:$G,Eventos!$F:$F,$L1147,Eventos!$D:$D,$C$2,Eventos!$B:$B,PANES_SEMANALES[[#ALL],[LUNES]])</f>
        <v>0</v>
      </c>
      <c r="N1147" s="59">
        <f>SUMIFS(Eventos!$G:$G,Eventos!$F:$F,$L1147,Eventos!$D:$D,$C$2,Eventos!$B:$B,PANES_SEMANALES[[#ALL],[MARTES]])</f>
        <v>0</v>
      </c>
      <c r="O1147" s="59">
        <f>SUMIFS(Eventos!$G:$G,Eventos!$F:$F,$L1147,Eventos!$D:$D,$C$2,Eventos!$B:$B,PANES_SEMANALES[[#ALL],[MIÉRCOLES]])</f>
        <v>0</v>
      </c>
      <c r="P1147" s="59">
        <f>SUMIFS(Eventos!$G:$G,Eventos!$F:$F,$L1147,Eventos!$D:$D,$C$2,Eventos!$B:$B,PANES_SEMANALES[[#ALL],[JUEVES]])</f>
        <v>0</v>
      </c>
      <c r="Q1147" s="59">
        <f>IF(P1147&lt;&gt;"",SUMIFS(Eventos!$G:$G,Eventos!$B:$B,Q$2,Eventos!$D:$D,$C$2,Eventos!$F:$F,$L1147),"")</f>
        <v>0</v>
      </c>
      <c r="R1147" s="59">
        <f>SUMIFS(Eventos!$G:$G,Eventos!$F:$F,$L1147,Eventos!$D:$D,$C$2,Eventos!$B:$B,PANES_SEMANALES[[#ALL],[SÁBADO]])</f>
        <v>0</v>
      </c>
      <c r="S1147" s="59">
        <f>SUMIFS(Eventos!$G:$G,Eventos!$F:$F,$L1147,Eventos!$D:$D,$C$2,Eventos!$B:$B,PANES_SEMANALES[[#ALL],[DOMINGO]])</f>
        <v>0</v>
      </c>
      <c r="T1147" s="59">
        <f t="shared" si="1"/>
        <v>0</v>
      </c>
    </row>
    <row r="1148" ht="22.5" customHeight="1">
      <c r="M1148" s="59">
        <f>SUMIFS(Eventos!$G:$G,Eventos!$F:$F,$L1148,Eventos!$D:$D,$C$2,Eventos!$B:$B,PANES_SEMANALES[[#ALL],[LUNES]])</f>
        <v>0</v>
      </c>
      <c r="N1148" s="59">
        <f>SUMIFS(Eventos!$G:$G,Eventos!$F:$F,$L1148,Eventos!$D:$D,$C$2,Eventos!$B:$B,PANES_SEMANALES[[#ALL],[MARTES]])</f>
        <v>0</v>
      </c>
      <c r="O1148" s="59">
        <f>SUMIFS(Eventos!$G:$G,Eventos!$F:$F,$L1148,Eventos!$D:$D,$C$2,Eventos!$B:$B,PANES_SEMANALES[[#ALL],[MIÉRCOLES]])</f>
        <v>0</v>
      </c>
      <c r="P1148" s="59">
        <f>SUMIFS(Eventos!$G:$G,Eventos!$F:$F,$L1148,Eventos!$D:$D,$C$2,Eventos!$B:$B,PANES_SEMANALES[[#ALL],[JUEVES]])</f>
        <v>0</v>
      </c>
      <c r="Q1148" s="59">
        <f>IF(P1148&lt;&gt;"",SUMIFS(Eventos!$G:$G,Eventos!$B:$B,Q$2,Eventos!$D:$D,$C$2,Eventos!$F:$F,$L1148),"")</f>
        <v>0</v>
      </c>
      <c r="R1148" s="59">
        <f>SUMIFS(Eventos!$G:$G,Eventos!$F:$F,$L1148,Eventos!$D:$D,$C$2,Eventos!$B:$B,PANES_SEMANALES[[#ALL],[SÁBADO]])</f>
        <v>0</v>
      </c>
      <c r="S1148" s="59">
        <f>SUMIFS(Eventos!$G:$G,Eventos!$F:$F,$L1148,Eventos!$D:$D,$C$2,Eventos!$B:$B,PANES_SEMANALES[[#ALL],[DOMINGO]])</f>
        <v>0</v>
      </c>
      <c r="T1148" s="59">
        <f t="shared" si="1"/>
        <v>0</v>
      </c>
    </row>
    <row r="1149" ht="22.5" customHeight="1">
      <c r="M1149" s="59">
        <f>SUMIFS(Eventos!$G:$G,Eventos!$F:$F,$L1149,Eventos!$D:$D,$C$2,Eventos!$B:$B,PANES_SEMANALES[[#ALL],[LUNES]])</f>
        <v>0</v>
      </c>
      <c r="N1149" s="59">
        <f>SUMIFS(Eventos!$G:$G,Eventos!$F:$F,$L1149,Eventos!$D:$D,$C$2,Eventos!$B:$B,PANES_SEMANALES[[#ALL],[MARTES]])</f>
        <v>0</v>
      </c>
      <c r="O1149" s="59">
        <f>SUMIFS(Eventos!$G:$G,Eventos!$F:$F,$L1149,Eventos!$D:$D,$C$2,Eventos!$B:$B,PANES_SEMANALES[[#ALL],[MIÉRCOLES]])</f>
        <v>0</v>
      </c>
      <c r="P1149" s="59">
        <f>SUMIFS(Eventos!$G:$G,Eventos!$F:$F,$L1149,Eventos!$D:$D,$C$2,Eventos!$B:$B,PANES_SEMANALES[[#ALL],[JUEVES]])</f>
        <v>0</v>
      </c>
      <c r="Q1149" s="59">
        <f>IF(P1149&lt;&gt;"",SUMIFS(Eventos!$G:$G,Eventos!$B:$B,Q$2,Eventos!$D:$D,$C$2,Eventos!$F:$F,$L1149),"")</f>
        <v>0</v>
      </c>
      <c r="R1149" s="59">
        <f>SUMIFS(Eventos!$G:$G,Eventos!$F:$F,$L1149,Eventos!$D:$D,$C$2,Eventos!$B:$B,PANES_SEMANALES[[#ALL],[SÁBADO]])</f>
        <v>0</v>
      </c>
      <c r="S1149" s="59">
        <f>SUMIFS(Eventos!$G:$G,Eventos!$F:$F,$L1149,Eventos!$D:$D,$C$2,Eventos!$B:$B,PANES_SEMANALES[[#ALL],[DOMINGO]])</f>
        <v>0</v>
      </c>
      <c r="T1149" s="59">
        <f t="shared" si="1"/>
        <v>0</v>
      </c>
    </row>
    <row r="1150" ht="22.5" customHeight="1">
      <c r="M1150" s="59">
        <f>SUMIFS(Eventos!$G:$G,Eventos!$F:$F,$L1150,Eventos!$D:$D,$C$2,Eventos!$B:$B,PANES_SEMANALES[[#ALL],[LUNES]])</f>
        <v>0</v>
      </c>
      <c r="N1150" s="59">
        <f>SUMIFS(Eventos!$G:$G,Eventos!$F:$F,$L1150,Eventos!$D:$D,$C$2,Eventos!$B:$B,PANES_SEMANALES[[#ALL],[MARTES]])</f>
        <v>0</v>
      </c>
      <c r="O1150" s="59">
        <f>SUMIFS(Eventos!$G:$G,Eventos!$F:$F,$L1150,Eventos!$D:$D,$C$2,Eventos!$B:$B,PANES_SEMANALES[[#ALL],[MIÉRCOLES]])</f>
        <v>0</v>
      </c>
      <c r="P1150" s="59">
        <f>SUMIFS(Eventos!$G:$G,Eventos!$F:$F,$L1150,Eventos!$D:$D,$C$2,Eventos!$B:$B,PANES_SEMANALES[[#ALL],[JUEVES]])</f>
        <v>0</v>
      </c>
      <c r="Q1150" s="59">
        <f>IF(P1150&lt;&gt;"",SUMIFS(Eventos!$G:$G,Eventos!$B:$B,Q$2,Eventos!$D:$D,$C$2,Eventos!$F:$F,$L1150),"")</f>
        <v>0</v>
      </c>
      <c r="R1150" s="59">
        <f>SUMIFS(Eventos!$G:$G,Eventos!$F:$F,$L1150,Eventos!$D:$D,$C$2,Eventos!$B:$B,PANES_SEMANALES[[#ALL],[SÁBADO]])</f>
        <v>0</v>
      </c>
      <c r="S1150" s="59">
        <f>SUMIFS(Eventos!$G:$G,Eventos!$F:$F,$L1150,Eventos!$D:$D,$C$2,Eventos!$B:$B,PANES_SEMANALES[[#ALL],[DOMINGO]])</f>
        <v>0</v>
      </c>
      <c r="T1150" s="59">
        <f t="shared" si="1"/>
        <v>0</v>
      </c>
    </row>
    <row r="1151" ht="22.5" customHeight="1">
      <c r="M1151" s="59">
        <f>SUMIFS(Eventos!$G:$G,Eventos!$F:$F,$L1151,Eventos!$D:$D,$C$2,Eventos!$B:$B,PANES_SEMANALES[[#ALL],[LUNES]])</f>
        <v>0</v>
      </c>
      <c r="N1151" s="59">
        <f>SUMIFS(Eventos!$G:$G,Eventos!$F:$F,$L1151,Eventos!$D:$D,$C$2,Eventos!$B:$B,PANES_SEMANALES[[#ALL],[MARTES]])</f>
        <v>0</v>
      </c>
      <c r="O1151" s="59">
        <f>SUMIFS(Eventos!$G:$G,Eventos!$F:$F,$L1151,Eventos!$D:$D,$C$2,Eventos!$B:$B,PANES_SEMANALES[[#ALL],[MIÉRCOLES]])</f>
        <v>0</v>
      </c>
      <c r="P1151" s="59">
        <f>SUMIFS(Eventos!$G:$G,Eventos!$F:$F,$L1151,Eventos!$D:$D,$C$2,Eventos!$B:$B,PANES_SEMANALES[[#ALL],[JUEVES]])</f>
        <v>0</v>
      </c>
      <c r="Q1151" s="59">
        <f>IF(P1151&lt;&gt;"",SUMIFS(Eventos!$G:$G,Eventos!$B:$B,Q$2,Eventos!$D:$D,$C$2,Eventos!$F:$F,$L1151),"")</f>
        <v>0</v>
      </c>
      <c r="R1151" s="59">
        <f>SUMIFS(Eventos!$G:$G,Eventos!$F:$F,$L1151,Eventos!$D:$D,$C$2,Eventos!$B:$B,PANES_SEMANALES[[#ALL],[SÁBADO]])</f>
        <v>0</v>
      </c>
      <c r="S1151" s="59">
        <f>SUMIFS(Eventos!$G:$G,Eventos!$F:$F,$L1151,Eventos!$D:$D,$C$2,Eventos!$B:$B,PANES_SEMANALES[[#ALL],[DOMINGO]])</f>
        <v>0</v>
      </c>
      <c r="T1151" s="59">
        <f t="shared" si="1"/>
        <v>0</v>
      </c>
    </row>
    <row r="1152" ht="22.5" customHeight="1">
      <c r="M1152" s="59">
        <f>SUMIFS(Eventos!$G:$G,Eventos!$F:$F,$L1152,Eventos!$D:$D,$C$2,Eventos!$B:$B,PANES_SEMANALES[[#ALL],[LUNES]])</f>
        <v>0</v>
      </c>
      <c r="N1152" s="59">
        <f>SUMIFS(Eventos!$G:$G,Eventos!$F:$F,$L1152,Eventos!$D:$D,$C$2,Eventos!$B:$B,PANES_SEMANALES[[#ALL],[MARTES]])</f>
        <v>0</v>
      </c>
      <c r="O1152" s="59">
        <f>SUMIFS(Eventos!$G:$G,Eventos!$F:$F,$L1152,Eventos!$D:$D,$C$2,Eventos!$B:$B,PANES_SEMANALES[[#ALL],[MIÉRCOLES]])</f>
        <v>0</v>
      </c>
      <c r="P1152" s="59">
        <f>SUMIFS(Eventos!$G:$G,Eventos!$F:$F,$L1152,Eventos!$D:$D,$C$2,Eventos!$B:$B,PANES_SEMANALES[[#ALL],[JUEVES]])</f>
        <v>0</v>
      </c>
      <c r="Q1152" s="59">
        <f>IF(P1152&lt;&gt;"",SUMIFS(Eventos!$G:$G,Eventos!$B:$B,Q$2,Eventos!$D:$D,$C$2,Eventos!$F:$F,$L1152),"")</f>
        <v>0</v>
      </c>
      <c r="R1152" s="59">
        <f>SUMIFS(Eventos!$G:$G,Eventos!$F:$F,$L1152,Eventos!$D:$D,$C$2,Eventos!$B:$B,PANES_SEMANALES[[#ALL],[SÁBADO]])</f>
        <v>0</v>
      </c>
      <c r="S1152" s="59">
        <f>SUMIFS(Eventos!$G:$G,Eventos!$F:$F,$L1152,Eventos!$D:$D,$C$2,Eventos!$B:$B,PANES_SEMANALES[[#ALL],[DOMINGO]])</f>
        <v>0</v>
      </c>
      <c r="T1152" s="59">
        <f t="shared" si="1"/>
        <v>0</v>
      </c>
    </row>
    <row r="1153" ht="22.5" customHeight="1">
      <c r="M1153" s="59">
        <f>SUMIFS(Eventos!$G:$G,Eventos!$F:$F,$L1153,Eventos!$D:$D,$C$2,Eventos!$B:$B,PANES_SEMANALES[[#ALL],[LUNES]])</f>
        <v>0</v>
      </c>
      <c r="N1153" s="59">
        <f>SUMIFS(Eventos!$G:$G,Eventos!$F:$F,$L1153,Eventos!$D:$D,$C$2,Eventos!$B:$B,PANES_SEMANALES[[#ALL],[MARTES]])</f>
        <v>0</v>
      </c>
      <c r="O1153" s="59">
        <f>SUMIFS(Eventos!$G:$G,Eventos!$F:$F,$L1153,Eventos!$D:$D,$C$2,Eventos!$B:$B,PANES_SEMANALES[[#ALL],[MIÉRCOLES]])</f>
        <v>0</v>
      </c>
      <c r="P1153" s="59">
        <f>SUMIFS(Eventos!$G:$G,Eventos!$F:$F,$L1153,Eventos!$D:$D,$C$2,Eventos!$B:$B,PANES_SEMANALES[[#ALL],[JUEVES]])</f>
        <v>0</v>
      </c>
      <c r="Q1153" s="59">
        <f>IF(P1153&lt;&gt;"",SUMIFS(Eventos!$G:$G,Eventos!$B:$B,Q$2,Eventos!$D:$D,$C$2,Eventos!$F:$F,$L1153),"")</f>
        <v>0</v>
      </c>
      <c r="R1153" s="59">
        <f>SUMIFS(Eventos!$G:$G,Eventos!$F:$F,$L1153,Eventos!$D:$D,$C$2,Eventos!$B:$B,PANES_SEMANALES[[#ALL],[SÁBADO]])</f>
        <v>0</v>
      </c>
      <c r="S1153" s="59">
        <f>SUMIFS(Eventos!$G:$G,Eventos!$F:$F,$L1153,Eventos!$D:$D,$C$2,Eventos!$B:$B,PANES_SEMANALES[[#ALL],[DOMINGO]])</f>
        <v>0</v>
      </c>
      <c r="T1153" s="59">
        <f t="shared" si="1"/>
        <v>0</v>
      </c>
    </row>
    <row r="1154" ht="22.5" customHeight="1">
      <c r="M1154" s="59">
        <f>SUMIFS(Eventos!$G:$G,Eventos!$F:$F,$L1154,Eventos!$D:$D,$C$2,Eventos!$B:$B,PANES_SEMANALES[[#ALL],[LUNES]])</f>
        <v>0</v>
      </c>
      <c r="N1154" s="59">
        <f>SUMIFS(Eventos!$G:$G,Eventos!$F:$F,$L1154,Eventos!$D:$D,$C$2,Eventos!$B:$B,PANES_SEMANALES[[#ALL],[MARTES]])</f>
        <v>0</v>
      </c>
      <c r="O1154" s="59">
        <f>SUMIFS(Eventos!$G:$G,Eventos!$F:$F,$L1154,Eventos!$D:$D,$C$2,Eventos!$B:$B,PANES_SEMANALES[[#ALL],[MIÉRCOLES]])</f>
        <v>0</v>
      </c>
      <c r="P1154" s="59">
        <f>SUMIFS(Eventos!$G:$G,Eventos!$F:$F,$L1154,Eventos!$D:$D,$C$2,Eventos!$B:$B,PANES_SEMANALES[[#ALL],[JUEVES]])</f>
        <v>0</v>
      </c>
      <c r="Q1154" s="59">
        <f>IF(P1154&lt;&gt;"",SUMIFS(Eventos!$G:$G,Eventos!$B:$B,Q$2,Eventos!$D:$D,$C$2,Eventos!$F:$F,$L1154),"")</f>
        <v>0</v>
      </c>
      <c r="R1154" s="59">
        <f>SUMIFS(Eventos!$G:$G,Eventos!$F:$F,$L1154,Eventos!$D:$D,$C$2,Eventos!$B:$B,PANES_SEMANALES[[#ALL],[SÁBADO]])</f>
        <v>0</v>
      </c>
      <c r="S1154" s="59">
        <f>SUMIFS(Eventos!$G:$G,Eventos!$F:$F,$L1154,Eventos!$D:$D,$C$2,Eventos!$B:$B,PANES_SEMANALES[[#ALL],[DOMINGO]])</f>
        <v>0</v>
      </c>
      <c r="T1154" s="59">
        <f t="shared" si="1"/>
        <v>0</v>
      </c>
    </row>
    <row r="1155" ht="22.5" customHeight="1">
      <c r="M1155" s="59">
        <f>SUMIFS(Eventos!$G:$G,Eventos!$F:$F,$L1155,Eventos!$D:$D,$C$2,Eventos!$B:$B,PANES_SEMANALES[[#ALL],[LUNES]])</f>
        <v>0</v>
      </c>
      <c r="N1155" s="59">
        <f>SUMIFS(Eventos!$G:$G,Eventos!$F:$F,$L1155,Eventos!$D:$D,$C$2,Eventos!$B:$B,PANES_SEMANALES[[#ALL],[MARTES]])</f>
        <v>0</v>
      </c>
      <c r="O1155" s="59">
        <f>SUMIFS(Eventos!$G:$G,Eventos!$F:$F,$L1155,Eventos!$D:$D,$C$2,Eventos!$B:$B,PANES_SEMANALES[[#ALL],[MIÉRCOLES]])</f>
        <v>0</v>
      </c>
      <c r="P1155" s="59">
        <f>SUMIFS(Eventos!$G:$G,Eventos!$F:$F,$L1155,Eventos!$D:$D,$C$2,Eventos!$B:$B,PANES_SEMANALES[[#ALL],[JUEVES]])</f>
        <v>0</v>
      </c>
      <c r="Q1155" s="59">
        <f>IF(P1155&lt;&gt;"",SUMIFS(Eventos!$G:$G,Eventos!$B:$B,Q$2,Eventos!$D:$D,$C$2,Eventos!$F:$F,$L1155),"")</f>
        <v>0</v>
      </c>
      <c r="R1155" s="59">
        <f>SUMIFS(Eventos!$G:$G,Eventos!$F:$F,$L1155,Eventos!$D:$D,$C$2,Eventos!$B:$B,PANES_SEMANALES[[#ALL],[SÁBADO]])</f>
        <v>0</v>
      </c>
      <c r="S1155" s="59">
        <f>SUMIFS(Eventos!$G:$G,Eventos!$F:$F,$L1155,Eventos!$D:$D,$C$2,Eventos!$B:$B,PANES_SEMANALES[[#ALL],[DOMINGO]])</f>
        <v>0</v>
      </c>
      <c r="T1155" s="59">
        <f t="shared" si="1"/>
        <v>0</v>
      </c>
    </row>
    <row r="1156" ht="22.5" customHeight="1">
      <c r="M1156" s="59">
        <f>SUMIFS(Eventos!$G:$G,Eventos!$F:$F,$L1156,Eventos!$D:$D,$C$2,Eventos!$B:$B,PANES_SEMANALES[[#ALL],[LUNES]])</f>
        <v>0</v>
      </c>
      <c r="N1156" s="59">
        <f>SUMIFS(Eventos!$G:$G,Eventos!$F:$F,$L1156,Eventos!$D:$D,$C$2,Eventos!$B:$B,PANES_SEMANALES[[#ALL],[MARTES]])</f>
        <v>0</v>
      </c>
      <c r="O1156" s="59">
        <f>SUMIFS(Eventos!$G:$G,Eventos!$F:$F,$L1156,Eventos!$D:$D,$C$2,Eventos!$B:$B,PANES_SEMANALES[[#ALL],[MIÉRCOLES]])</f>
        <v>0</v>
      </c>
      <c r="P1156" s="59">
        <f>SUMIFS(Eventos!$G:$G,Eventos!$F:$F,$L1156,Eventos!$D:$D,$C$2,Eventos!$B:$B,PANES_SEMANALES[[#ALL],[JUEVES]])</f>
        <v>0</v>
      </c>
      <c r="Q1156" s="59">
        <f>IF(P1156&lt;&gt;"",SUMIFS(Eventos!$G:$G,Eventos!$B:$B,Q$2,Eventos!$D:$D,$C$2,Eventos!$F:$F,$L1156),"")</f>
        <v>0</v>
      </c>
      <c r="R1156" s="59">
        <f>SUMIFS(Eventos!$G:$G,Eventos!$F:$F,$L1156,Eventos!$D:$D,$C$2,Eventos!$B:$B,PANES_SEMANALES[[#ALL],[SÁBADO]])</f>
        <v>0</v>
      </c>
      <c r="S1156" s="59">
        <f>SUMIFS(Eventos!$G:$G,Eventos!$F:$F,$L1156,Eventos!$D:$D,$C$2,Eventos!$B:$B,PANES_SEMANALES[[#ALL],[DOMINGO]])</f>
        <v>0</v>
      </c>
      <c r="T1156" s="59">
        <f t="shared" si="1"/>
        <v>0</v>
      </c>
    </row>
    <row r="1157" ht="22.5" customHeight="1">
      <c r="M1157" s="59">
        <f>SUMIFS(Eventos!$G:$G,Eventos!$F:$F,$L1157,Eventos!$D:$D,$C$2,Eventos!$B:$B,PANES_SEMANALES[[#ALL],[LUNES]])</f>
        <v>0</v>
      </c>
      <c r="N1157" s="59">
        <f>SUMIFS(Eventos!$G:$G,Eventos!$F:$F,$L1157,Eventos!$D:$D,$C$2,Eventos!$B:$B,PANES_SEMANALES[[#ALL],[MARTES]])</f>
        <v>0</v>
      </c>
      <c r="O1157" s="59">
        <f>SUMIFS(Eventos!$G:$G,Eventos!$F:$F,$L1157,Eventos!$D:$D,$C$2,Eventos!$B:$B,PANES_SEMANALES[[#ALL],[MIÉRCOLES]])</f>
        <v>0</v>
      </c>
      <c r="P1157" s="59">
        <f>SUMIFS(Eventos!$G:$G,Eventos!$F:$F,$L1157,Eventos!$D:$D,$C$2,Eventos!$B:$B,PANES_SEMANALES[[#ALL],[JUEVES]])</f>
        <v>0</v>
      </c>
      <c r="Q1157" s="59">
        <f>IF(P1157&lt;&gt;"",SUMIFS(Eventos!$G:$G,Eventos!$B:$B,Q$2,Eventos!$D:$D,$C$2,Eventos!$F:$F,$L1157),"")</f>
        <v>0</v>
      </c>
      <c r="R1157" s="59">
        <f>SUMIFS(Eventos!$G:$G,Eventos!$F:$F,$L1157,Eventos!$D:$D,$C$2,Eventos!$B:$B,PANES_SEMANALES[[#ALL],[SÁBADO]])</f>
        <v>0</v>
      </c>
      <c r="S1157" s="59">
        <f>SUMIFS(Eventos!$G:$G,Eventos!$F:$F,$L1157,Eventos!$D:$D,$C$2,Eventos!$B:$B,PANES_SEMANALES[[#ALL],[DOMINGO]])</f>
        <v>0</v>
      </c>
      <c r="T1157" s="59">
        <f t="shared" si="1"/>
        <v>0</v>
      </c>
    </row>
    <row r="1158" ht="22.5" customHeight="1">
      <c r="M1158" s="59">
        <f>SUMIFS(Eventos!$G:$G,Eventos!$F:$F,$L1158,Eventos!$D:$D,$C$2,Eventos!$B:$B,PANES_SEMANALES[[#ALL],[LUNES]])</f>
        <v>0</v>
      </c>
      <c r="N1158" s="59">
        <f>SUMIFS(Eventos!$G:$G,Eventos!$F:$F,$L1158,Eventos!$D:$D,$C$2,Eventos!$B:$B,PANES_SEMANALES[[#ALL],[MARTES]])</f>
        <v>0</v>
      </c>
      <c r="O1158" s="59">
        <f>SUMIFS(Eventos!$G:$G,Eventos!$F:$F,$L1158,Eventos!$D:$D,$C$2,Eventos!$B:$B,PANES_SEMANALES[[#ALL],[MIÉRCOLES]])</f>
        <v>0</v>
      </c>
      <c r="P1158" s="59">
        <f>SUMIFS(Eventos!$G:$G,Eventos!$F:$F,$L1158,Eventos!$D:$D,$C$2,Eventos!$B:$B,PANES_SEMANALES[[#ALL],[JUEVES]])</f>
        <v>0</v>
      </c>
      <c r="Q1158" s="59">
        <f>IF(P1158&lt;&gt;"",SUMIFS(Eventos!$G:$G,Eventos!$B:$B,Q$2,Eventos!$D:$D,$C$2,Eventos!$F:$F,$L1158),"")</f>
        <v>0</v>
      </c>
      <c r="R1158" s="59">
        <f>SUMIFS(Eventos!$G:$G,Eventos!$F:$F,$L1158,Eventos!$D:$D,$C$2,Eventos!$B:$B,PANES_SEMANALES[[#ALL],[SÁBADO]])</f>
        <v>0</v>
      </c>
      <c r="S1158" s="59">
        <f>SUMIFS(Eventos!$G:$G,Eventos!$F:$F,$L1158,Eventos!$D:$D,$C$2,Eventos!$B:$B,PANES_SEMANALES[[#ALL],[DOMINGO]])</f>
        <v>0</v>
      </c>
      <c r="T1158" s="59">
        <f t="shared" si="1"/>
        <v>0</v>
      </c>
    </row>
    <row r="1159" ht="22.5" customHeight="1">
      <c r="M1159" s="59">
        <f>SUMIFS(Eventos!$G:$G,Eventos!$F:$F,$L1159,Eventos!$D:$D,$C$2,Eventos!$B:$B,PANES_SEMANALES[[#ALL],[LUNES]])</f>
        <v>0</v>
      </c>
      <c r="N1159" s="59">
        <f>SUMIFS(Eventos!$G:$G,Eventos!$F:$F,$L1159,Eventos!$D:$D,$C$2,Eventos!$B:$B,PANES_SEMANALES[[#ALL],[MARTES]])</f>
        <v>0</v>
      </c>
      <c r="O1159" s="59">
        <f>SUMIFS(Eventos!$G:$G,Eventos!$F:$F,$L1159,Eventos!$D:$D,$C$2,Eventos!$B:$B,PANES_SEMANALES[[#ALL],[MIÉRCOLES]])</f>
        <v>0</v>
      </c>
      <c r="P1159" s="59">
        <f>SUMIFS(Eventos!$G:$G,Eventos!$F:$F,$L1159,Eventos!$D:$D,$C$2,Eventos!$B:$B,PANES_SEMANALES[[#ALL],[JUEVES]])</f>
        <v>0</v>
      </c>
      <c r="Q1159" s="59">
        <f>IF(P1159&lt;&gt;"",SUMIFS(Eventos!$G:$G,Eventos!$B:$B,Q$2,Eventos!$D:$D,$C$2,Eventos!$F:$F,$L1159),"")</f>
        <v>0</v>
      </c>
      <c r="R1159" s="59">
        <f>SUMIFS(Eventos!$G:$G,Eventos!$F:$F,$L1159,Eventos!$D:$D,$C$2,Eventos!$B:$B,PANES_SEMANALES[[#ALL],[SÁBADO]])</f>
        <v>0</v>
      </c>
      <c r="S1159" s="59">
        <f>SUMIFS(Eventos!$G:$G,Eventos!$F:$F,$L1159,Eventos!$D:$D,$C$2,Eventos!$B:$B,PANES_SEMANALES[[#ALL],[DOMINGO]])</f>
        <v>0</v>
      </c>
      <c r="T1159" s="59">
        <f t="shared" si="1"/>
        <v>0</v>
      </c>
    </row>
    <row r="1160" ht="22.5" customHeight="1">
      <c r="M1160" s="59">
        <f>SUMIFS(Eventos!$G:$G,Eventos!$F:$F,$L1160,Eventos!$D:$D,$C$2,Eventos!$B:$B,PANES_SEMANALES[[#ALL],[LUNES]])</f>
        <v>0</v>
      </c>
      <c r="N1160" s="59">
        <f>SUMIFS(Eventos!$G:$G,Eventos!$F:$F,$L1160,Eventos!$D:$D,$C$2,Eventos!$B:$B,PANES_SEMANALES[[#ALL],[MARTES]])</f>
        <v>0</v>
      </c>
      <c r="O1160" s="59">
        <f>SUMIFS(Eventos!$G:$G,Eventos!$F:$F,$L1160,Eventos!$D:$D,$C$2,Eventos!$B:$B,PANES_SEMANALES[[#ALL],[MIÉRCOLES]])</f>
        <v>0</v>
      </c>
      <c r="P1160" s="59">
        <f>SUMIFS(Eventos!$G:$G,Eventos!$F:$F,$L1160,Eventos!$D:$D,$C$2,Eventos!$B:$B,PANES_SEMANALES[[#ALL],[JUEVES]])</f>
        <v>0</v>
      </c>
      <c r="Q1160" s="59">
        <f>IF(P1160&lt;&gt;"",SUMIFS(Eventos!$G:$G,Eventos!$B:$B,Q$2,Eventos!$D:$D,$C$2,Eventos!$F:$F,$L1160),"")</f>
        <v>0</v>
      </c>
      <c r="R1160" s="59">
        <f>SUMIFS(Eventos!$G:$G,Eventos!$F:$F,$L1160,Eventos!$D:$D,$C$2,Eventos!$B:$B,PANES_SEMANALES[[#ALL],[SÁBADO]])</f>
        <v>0</v>
      </c>
      <c r="S1160" s="59">
        <f>SUMIFS(Eventos!$G:$G,Eventos!$F:$F,$L1160,Eventos!$D:$D,$C$2,Eventos!$B:$B,PANES_SEMANALES[[#ALL],[DOMINGO]])</f>
        <v>0</v>
      </c>
      <c r="T1160" s="59">
        <f t="shared" si="1"/>
        <v>0</v>
      </c>
    </row>
    <row r="1161" ht="22.5" customHeight="1">
      <c r="M1161" s="59">
        <f>SUMIFS(Eventos!$G:$G,Eventos!$F:$F,$L1161,Eventos!$D:$D,$C$2,Eventos!$B:$B,PANES_SEMANALES[[#ALL],[LUNES]])</f>
        <v>0</v>
      </c>
      <c r="N1161" s="59">
        <f>SUMIFS(Eventos!$G:$G,Eventos!$F:$F,$L1161,Eventos!$D:$D,$C$2,Eventos!$B:$B,PANES_SEMANALES[[#ALL],[MARTES]])</f>
        <v>0</v>
      </c>
      <c r="O1161" s="59">
        <f>SUMIFS(Eventos!$G:$G,Eventos!$F:$F,$L1161,Eventos!$D:$D,$C$2,Eventos!$B:$B,PANES_SEMANALES[[#ALL],[MIÉRCOLES]])</f>
        <v>0</v>
      </c>
      <c r="P1161" s="59">
        <f>SUMIFS(Eventos!$G:$G,Eventos!$F:$F,$L1161,Eventos!$D:$D,$C$2,Eventos!$B:$B,PANES_SEMANALES[[#ALL],[JUEVES]])</f>
        <v>0</v>
      </c>
      <c r="Q1161" s="59">
        <f>IF(P1161&lt;&gt;"",SUMIFS(Eventos!$G:$G,Eventos!$B:$B,Q$2,Eventos!$D:$D,$C$2,Eventos!$F:$F,$L1161),"")</f>
        <v>0</v>
      </c>
      <c r="R1161" s="59">
        <f>SUMIFS(Eventos!$G:$G,Eventos!$F:$F,$L1161,Eventos!$D:$D,$C$2,Eventos!$B:$B,PANES_SEMANALES[[#ALL],[SÁBADO]])</f>
        <v>0</v>
      </c>
      <c r="S1161" s="59">
        <f>SUMIFS(Eventos!$G:$G,Eventos!$F:$F,$L1161,Eventos!$D:$D,$C$2,Eventos!$B:$B,PANES_SEMANALES[[#ALL],[DOMINGO]])</f>
        <v>0</v>
      </c>
      <c r="T1161" s="59">
        <f t="shared" si="1"/>
        <v>0</v>
      </c>
    </row>
    <row r="1162" ht="22.5" customHeight="1">
      <c r="M1162" s="59">
        <f>SUMIFS(Eventos!$G:$G,Eventos!$F:$F,$L1162,Eventos!$D:$D,$C$2,Eventos!$B:$B,PANES_SEMANALES[[#ALL],[LUNES]])</f>
        <v>0</v>
      </c>
      <c r="N1162" s="59">
        <f>SUMIFS(Eventos!$G:$G,Eventos!$F:$F,$L1162,Eventos!$D:$D,$C$2,Eventos!$B:$B,PANES_SEMANALES[[#ALL],[MARTES]])</f>
        <v>0</v>
      </c>
      <c r="O1162" s="59">
        <f>SUMIFS(Eventos!$G:$G,Eventos!$F:$F,$L1162,Eventos!$D:$D,$C$2,Eventos!$B:$B,PANES_SEMANALES[[#ALL],[MIÉRCOLES]])</f>
        <v>0</v>
      </c>
      <c r="P1162" s="59">
        <f>SUMIFS(Eventos!$G:$G,Eventos!$F:$F,$L1162,Eventos!$D:$D,$C$2,Eventos!$B:$B,PANES_SEMANALES[[#ALL],[JUEVES]])</f>
        <v>0</v>
      </c>
      <c r="Q1162" s="59">
        <f>IF(P1162&lt;&gt;"",SUMIFS(Eventos!$G:$G,Eventos!$B:$B,Q$2,Eventos!$D:$D,$C$2,Eventos!$F:$F,$L1162),"")</f>
        <v>0</v>
      </c>
      <c r="R1162" s="59">
        <f>SUMIFS(Eventos!$G:$G,Eventos!$F:$F,$L1162,Eventos!$D:$D,$C$2,Eventos!$B:$B,PANES_SEMANALES[[#ALL],[SÁBADO]])</f>
        <v>0</v>
      </c>
      <c r="S1162" s="59">
        <f>SUMIFS(Eventos!$G:$G,Eventos!$F:$F,$L1162,Eventos!$D:$D,$C$2,Eventos!$B:$B,PANES_SEMANALES[[#ALL],[DOMINGO]])</f>
        <v>0</v>
      </c>
      <c r="T1162" s="59">
        <f t="shared" si="1"/>
        <v>0</v>
      </c>
    </row>
    <row r="1163" ht="22.5" customHeight="1">
      <c r="M1163" s="59">
        <f>SUMIFS(Eventos!$G:$G,Eventos!$F:$F,$L1163,Eventos!$D:$D,$C$2,Eventos!$B:$B,PANES_SEMANALES[[#ALL],[LUNES]])</f>
        <v>0</v>
      </c>
      <c r="N1163" s="59">
        <f>SUMIFS(Eventos!$G:$G,Eventos!$F:$F,$L1163,Eventos!$D:$D,$C$2,Eventos!$B:$B,PANES_SEMANALES[[#ALL],[MARTES]])</f>
        <v>0</v>
      </c>
      <c r="O1163" s="59">
        <f>SUMIFS(Eventos!$G:$G,Eventos!$F:$F,$L1163,Eventos!$D:$D,$C$2,Eventos!$B:$B,PANES_SEMANALES[[#ALL],[MIÉRCOLES]])</f>
        <v>0</v>
      </c>
      <c r="P1163" s="59">
        <f>SUMIFS(Eventos!$G:$G,Eventos!$F:$F,$L1163,Eventos!$D:$D,$C$2,Eventos!$B:$B,PANES_SEMANALES[[#ALL],[JUEVES]])</f>
        <v>0</v>
      </c>
      <c r="Q1163" s="59">
        <f>IF(P1163&lt;&gt;"",SUMIFS(Eventos!$G:$G,Eventos!$B:$B,Q$2,Eventos!$D:$D,$C$2,Eventos!$F:$F,$L1163),"")</f>
        <v>0</v>
      </c>
      <c r="R1163" s="59">
        <f>SUMIFS(Eventos!$G:$G,Eventos!$F:$F,$L1163,Eventos!$D:$D,$C$2,Eventos!$B:$B,PANES_SEMANALES[[#ALL],[SÁBADO]])</f>
        <v>0</v>
      </c>
      <c r="S1163" s="59">
        <f>SUMIFS(Eventos!$G:$G,Eventos!$F:$F,$L1163,Eventos!$D:$D,$C$2,Eventos!$B:$B,PANES_SEMANALES[[#ALL],[DOMINGO]])</f>
        <v>0</v>
      </c>
      <c r="T1163" s="59">
        <f t="shared" si="1"/>
        <v>0</v>
      </c>
    </row>
    <row r="1164" ht="22.5" customHeight="1">
      <c r="M1164" s="59">
        <f>SUMIFS(Eventos!$G:$G,Eventos!$F:$F,$L1164,Eventos!$D:$D,$C$2,Eventos!$B:$B,PANES_SEMANALES[[#ALL],[LUNES]])</f>
        <v>0</v>
      </c>
      <c r="N1164" s="59">
        <f>SUMIFS(Eventos!$G:$G,Eventos!$F:$F,$L1164,Eventos!$D:$D,$C$2,Eventos!$B:$B,PANES_SEMANALES[[#ALL],[MARTES]])</f>
        <v>0</v>
      </c>
      <c r="O1164" s="59">
        <f>SUMIFS(Eventos!$G:$G,Eventos!$F:$F,$L1164,Eventos!$D:$D,$C$2,Eventos!$B:$B,PANES_SEMANALES[[#ALL],[MIÉRCOLES]])</f>
        <v>0</v>
      </c>
      <c r="P1164" s="59">
        <f>SUMIFS(Eventos!$G:$G,Eventos!$F:$F,$L1164,Eventos!$D:$D,$C$2,Eventos!$B:$B,PANES_SEMANALES[[#ALL],[JUEVES]])</f>
        <v>0</v>
      </c>
      <c r="Q1164" s="59">
        <f>IF(P1164&lt;&gt;"",SUMIFS(Eventos!$G:$G,Eventos!$B:$B,Q$2,Eventos!$D:$D,$C$2,Eventos!$F:$F,$L1164),"")</f>
        <v>0</v>
      </c>
      <c r="R1164" s="59">
        <f>SUMIFS(Eventos!$G:$G,Eventos!$F:$F,$L1164,Eventos!$D:$D,$C$2,Eventos!$B:$B,PANES_SEMANALES[[#ALL],[SÁBADO]])</f>
        <v>0</v>
      </c>
      <c r="S1164" s="59">
        <f>SUMIFS(Eventos!$G:$G,Eventos!$F:$F,$L1164,Eventos!$D:$D,$C$2,Eventos!$B:$B,PANES_SEMANALES[[#ALL],[DOMINGO]])</f>
        <v>0</v>
      </c>
      <c r="T1164" s="59">
        <f t="shared" si="1"/>
        <v>0</v>
      </c>
    </row>
    <row r="1165" ht="22.5" customHeight="1">
      <c r="M1165" s="59">
        <f>SUMIFS(Eventos!$G:$G,Eventos!$F:$F,$L1165,Eventos!$D:$D,$C$2,Eventos!$B:$B,PANES_SEMANALES[[#ALL],[LUNES]])</f>
        <v>0</v>
      </c>
      <c r="N1165" s="59">
        <f>SUMIFS(Eventos!$G:$G,Eventos!$F:$F,$L1165,Eventos!$D:$D,$C$2,Eventos!$B:$B,PANES_SEMANALES[[#ALL],[MARTES]])</f>
        <v>0</v>
      </c>
      <c r="O1165" s="59">
        <f>SUMIFS(Eventos!$G:$G,Eventos!$F:$F,$L1165,Eventos!$D:$D,$C$2,Eventos!$B:$B,PANES_SEMANALES[[#ALL],[MIÉRCOLES]])</f>
        <v>0</v>
      </c>
      <c r="P1165" s="59">
        <f>SUMIFS(Eventos!$G:$G,Eventos!$F:$F,$L1165,Eventos!$D:$D,$C$2,Eventos!$B:$B,PANES_SEMANALES[[#ALL],[JUEVES]])</f>
        <v>0</v>
      </c>
      <c r="Q1165" s="59">
        <f>IF(P1165&lt;&gt;"",SUMIFS(Eventos!$G:$G,Eventos!$B:$B,Q$2,Eventos!$D:$D,$C$2,Eventos!$F:$F,$L1165),"")</f>
        <v>0</v>
      </c>
      <c r="R1165" s="59">
        <f>SUMIFS(Eventos!$G:$G,Eventos!$F:$F,$L1165,Eventos!$D:$D,$C$2,Eventos!$B:$B,PANES_SEMANALES[[#ALL],[SÁBADO]])</f>
        <v>0</v>
      </c>
      <c r="S1165" s="59">
        <f>SUMIFS(Eventos!$G:$G,Eventos!$F:$F,$L1165,Eventos!$D:$D,$C$2,Eventos!$B:$B,PANES_SEMANALES[[#ALL],[DOMINGO]])</f>
        <v>0</v>
      </c>
      <c r="T1165" s="59">
        <f t="shared" si="1"/>
        <v>0</v>
      </c>
    </row>
    <row r="1166" ht="22.5" customHeight="1">
      <c r="M1166" s="59">
        <f>SUMIFS(Eventos!$G:$G,Eventos!$F:$F,$L1166,Eventos!$D:$D,$C$2,Eventos!$B:$B,PANES_SEMANALES[[#ALL],[LUNES]])</f>
        <v>0</v>
      </c>
      <c r="N1166" s="59">
        <f>SUMIFS(Eventos!$G:$G,Eventos!$F:$F,$L1166,Eventos!$D:$D,$C$2,Eventos!$B:$B,PANES_SEMANALES[[#ALL],[MARTES]])</f>
        <v>0</v>
      </c>
      <c r="O1166" s="59">
        <f>SUMIFS(Eventos!$G:$G,Eventos!$F:$F,$L1166,Eventos!$D:$D,$C$2,Eventos!$B:$B,PANES_SEMANALES[[#ALL],[MIÉRCOLES]])</f>
        <v>0</v>
      </c>
      <c r="P1166" s="59">
        <f>SUMIFS(Eventos!$G:$G,Eventos!$F:$F,$L1166,Eventos!$D:$D,$C$2,Eventos!$B:$B,PANES_SEMANALES[[#ALL],[JUEVES]])</f>
        <v>0</v>
      </c>
      <c r="Q1166" s="59">
        <f>IF(P1166&lt;&gt;"",SUMIFS(Eventos!$G:$G,Eventos!$B:$B,Q$2,Eventos!$D:$D,$C$2,Eventos!$F:$F,$L1166),"")</f>
        <v>0</v>
      </c>
      <c r="R1166" s="59">
        <f>SUMIFS(Eventos!$G:$G,Eventos!$F:$F,$L1166,Eventos!$D:$D,$C$2,Eventos!$B:$B,PANES_SEMANALES[[#ALL],[SÁBADO]])</f>
        <v>0</v>
      </c>
      <c r="S1166" s="59">
        <f>SUMIFS(Eventos!$G:$G,Eventos!$F:$F,$L1166,Eventos!$D:$D,$C$2,Eventos!$B:$B,PANES_SEMANALES[[#ALL],[DOMINGO]])</f>
        <v>0</v>
      </c>
      <c r="T1166" s="59">
        <f t="shared" si="1"/>
        <v>0</v>
      </c>
    </row>
    <row r="1167" ht="22.5" customHeight="1">
      <c r="M1167" s="59">
        <f>SUMIFS(Eventos!$G:$G,Eventos!$F:$F,$L1167,Eventos!$D:$D,$C$2,Eventos!$B:$B,PANES_SEMANALES[[#ALL],[LUNES]])</f>
        <v>0</v>
      </c>
      <c r="N1167" s="59">
        <f>SUMIFS(Eventos!$G:$G,Eventos!$F:$F,$L1167,Eventos!$D:$D,$C$2,Eventos!$B:$B,PANES_SEMANALES[[#ALL],[MARTES]])</f>
        <v>0</v>
      </c>
      <c r="O1167" s="59">
        <f>SUMIFS(Eventos!$G:$G,Eventos!$F:$F,$L1167,Eventos!$D:$D,$C$2,Eventos!$B:$B,PANES_SEMANALES[[#ALL],[MIÉRCOLES]])</f>
        <v>0</v>
      </c>
      <c r="P1167" s="59">
        <f>SUMIFS(Eventos!$G:$G,Eventos!$F:$F,$L1167,Eventos!$D:$D,$C$2,Eventos!$B:$B,PANES_SEMANALES[[#ALL],[JUEVES]])</f>
        <v>0</v>
      </c>
      <c r="Q1167" s="59">
        <f>IF(P1167&lt;&gt;"",SUMIFS(Eventos!$G:$G,Eventos!$B:$B,Q$2,Eventos!$D:$D,$C$2,Eventos!$F:$F,$L1167),"")</f>
        <v>0</v>
      </c>
      <c r="R1167" s="59">
        <f>SUMIFS(Eventos!$G:$G,Eventos!$F:$F,$L1167,Eventos!$D:$D,$C$2,Eventos!$B:$B,PANES_SEMANALES[[#ALL],[SÁBADO]])</f>
        <v>0</v>
      </c>
      <c r="S1167" s="59">
        <f>SUMIFS(Eventos!$G:$G,Eventos!$F:$F,$L1167,Eventos!$D:$D,$C$2,Eventos!$B:$B,PANES_SEMANALES[[#ALL],[DOMINGO]])</f>
        <v>0</v>
      </c>
      <c r="T1167" s="59">
        <f t="shared" si="1"/>
        <v>0</v>
      </c>
    </row>
    <row r="1168" ht="22.5" customHeight="1">
      <c r="M1168" s="59">
        <f>SUMIFS(Eventos!$G:$G,Eventos!$F:$F,$L1168,Eventos!$D:$D,$C$2,Eventos!$B:$B,PANES_SEMANALES[[#ALL],[LUNES]])</f>
        <v>0</v>
      </c>
      <c r="N1168" s="59">
        <f>SUMIFS(Eventos!$G:$G,Eventos!$F:$F,$L1168,Eventos!$D:$D,$C$2,Eventos!$B:$B,PANES_SEMANALES[[#ALL],[MARTES]])</f>
        <v>0</v>
      </c>
      <c r="O1168" s="59">
        <f>SUMIFS(Eventos!$G:$G,Eventos!$F:$F,$L1168,Eventos!$D:$D,$C$2,Eventos!$B:$B,PANES_SEMANALES[[#ALL],[MIÉRCOLES]])</f>
        <v>0</v>
      </c>
      <c r="P1168" s="59">
        <f>SUMIFS(Eventos!$G:$G,Eventos!$F:$F,$L1168,Eventos!$D:$D,$C$2,Eventos!$B:$B,PANES_SEMANALES[[#ALL],[JUEVES]])</f>
        <v>0</v>
      </c>
      <c r="Q1168" s="59">
        <f>IF(P1168&lt;&gt;"",SUMIFS(Eventos!$G:$G,Eventos!$B:$B,Q$2,Eventos!$D:$D,$C$2,Eventos!$F:$F,$L1168),"")</f>
        <v>0</v>
      </c>
      <c r="R1168" s="59">
        <f>SUMIFS(Eventos!$G:$G,Eventos!$F:$F,$L1168,Eventos!$D:$D,$C$2,Eventos!$B:$B,PANES_SEMANALES[[#ALL],[SÁBADO]])</f>
        <v>0</v>
      </c>
      <c r="S1168" s="59">
        <f>SUMIFS(Eventos!$G:$G,Eventos!$F:$F,$L1168,Eventos!$D:$D,$C$2,Eventos!$B:$B,PANES_SEMANALES[[#ALL],[DOMINGO]])</f>
        <v>0</v>
      </c>
      <c r="T1168" s="59">
        <f t="shared" si="1"/>
        <v>0</v>
      </c>
    </row>
    <row r="1169" ht="22.5" customHeight="1">
      <c r="M1169" s="59">
        <f>SUMIFS(Eventos!$G:$G,Eventos!$F:$F,$L1169,Eventos!$D:$D,$C$2,Eventos!$B:$B,PANES_SEMANALES[[#ALL],[LUNES]])</f>
        <v>0</v>
      </c>
      <c r="N1169" s="59">
        <f>SUMIFS(Eventos!$G:$G,Eventos!$F:$F,$L1169,Eventos!$D:$D,$C$2,Eventos!$B:$B,PANES_SEMANALES[[#ALL],[MARTES]])</f>
        <v>0</v>
      </c>
      <c r="O1169" s="59">
        <f>SUMIFS(Eventos!$G:$G,Eventos!$F:$F,$L1169,Eventos!$D:$D,$C$2,Eventos!$B:$B,PANES_SEMANALES[[#ALL],[MIÉRCOLES]])</f>
        <v>0</v>
      </c>
      <c r="P1169" s="59">
        <f>SUMIFS(Eventos!$G:$G,Eventos!$F:$F,$L1169,Eventos!$D:$D,$C$2,Eventos!$B:$B,PANES_SEMANALES[[#ALL],[JUEVES]])</f>
        <v>0</v>
      </c>
      <c r="Q1169" s="59">
        <f>IF(P1169&lt;&gt;"",SUMIFS(Eventos!$G:$G,Eventos!$B:$B,Q$2,Eventos!$D:$D,$C$2,Eventos!$F:$F,$L1169),"")</f>
        <v>0</v>
      </c>
      <c r="R1169" s="59">
        <f>SUMIFS(Eventos!$G:$G,Eventos!$F:$F,$L1169,Eventos!$D:$D,$C$2,Eventos!$B:$B,PANES_SEMANALES[[#ALL],[SÁBADO]])</f>
        <v>0</v>
      </c>
      <c r="S1169" s="59">
        <f>SUMIFS(Eventos!$G:$G,Eventos!$F:$F,$L1169,Eventos!$D:$D,$C$2,Eventos!$B:$B,PANES_SEMANALES[[#ALL],[DOMINGO]])</f>
        <v>0</v>
      </c>
      <c r="T1169" s="59">
        <f t="shared" si="1"/>
        <v>0</v>
      </c>
    </row>
    <row r="1170" ht="22.5" customHeight="1">
      <c r="M1170" s="59">
        <f>SUMIFS(Eventos!$G:$G,Eventos!$F:$F,$L1170,Eventos!$D:$D,$C$2,Eventos!$B:$B,PANES_SEMANALES[[#ALL],[LUNES]])</f>
        <v>0</v>
      </c>
      <c r="N1170" s="59">
        <f>SUMIFS(Eventos!$G:$G,Eventos!$F:$F,$L1170,Eventos!$D:$D,$C$2,Eventos!$B:$B,PANES_SEMANALES[[#ALL],[MARTES]])</f>
        <v>0</v>
      </c>
      <c r="O1170" s="59">
        <f>SUMIFS(Eventos!$G:$G,Eventos!$F:$F,$L1170,Eventos!$D:$D,$C$2,Eventos!$B:$B,PANES_SEMANALES[[#ALL],[MIÉRCOLES]])</f>
        <v>0</v>
      </c>
      <c r="P1170" s="59">
        <f>SUMIFS(Eventos!$G:$G,Eventos!$F:$F,$L1170,Eventos!$D:$D,$C$2,Eventos!$B:$B,PANES_SEMANALES[[#ALL],[JUEVES]])</f>
        <v>0</v>
      </c>
      <c r="Q1170" s="59">
        <f>IF(P1170&lt;&gt;"",SUMIFS(Eventos!$G:$G,Eventos!$B:$B,Q$2,Eventos!$D:$D,$C$2,Eventos!$F:$F,$L1170),"")</f>
        <v>0</v>
      </c>
      <c r="R1170" s="59">
        <f>SUMIFS(Eventos!$G:$G,Eventos!$F:$F,$L1170,Eventos!$D:$D,$C$2,Eventos!$B:$B,PANES_SEMANALES[[#ALL],[SÁBADO]])</f>
        <v>0</v>
      </c>
      <c r="S1170" s="59">
        <f>SUMIFS(Eventos!$G:$G,Eventos!$F:$F,$L1170,Eventos!$D:$D,$C$2,Eventos!$B:$B,PANES_SEMANALES[[#ALL],[DOMINGO]])</f>
        <v>0</v>
      </c>
      <c r="T1170" s="59">
        <f t="shared" si="1"/>
        <v>0</v>
      </c>
    </row>
    <row r="1171" ht="22.5" customHeight="1">
      <c r="M1171" s="59">
        <f>SUMIFS(Eventos!$G:$G,Eventos!$F:$F,$L1171,Eventos!$D:$D,$C$2,Eventos!$B:$B,PANES_SEMANALES[[#ALL],[LUNES]])</f>
        <v>0</v>
      </c>
      <c r="N1171" s="59">
        <f>SUMIFS(Eventos!$G:$G,Eventos!$F:$F,$L1171,Eventos!$D:$D,$C$2,Eventos!$B:$B,PANES_SEMANALES[[#ALL],[MARTES]])</f>
        <v>0</v>
      </c>
      <c r="O1171" s="59">
        <f>SUMIFS(Eventos!$G:$G,Eventos!$F:$F,$L1171,Eventos!$D:$D,$C$2,Eventos!$B:$B,PANES_SEMANALES[[#ALL],[MIÉRCOLES]])</f>
        <v>0</v>
      </c>
      <c r="P1171" s="59">
        <f>SUMIFS(Eventos!$G:$G,Eventos!$F:$F,$L1171,Eventos!$D:$D,$C$2,Eventos!$B:$B,PANES_SEMANALES[[#ALL],[JUEVES]])</f>
        <v>0</v>
      </c>
      <c r="Q1171" s="59">
        <f>IF(P1171&lt;&gt;"",SUMIFS(Eventos!$G:$G,Eventos!$B:$B,Q$2,Eventos!$D:$D,$C$2,Eventos!$F:$F,$L1171),"")</f>
        <v>0</v>
      </c>
      <c r="R1171" s="59">
        <f>SUMIFS(Eventos!$G:$G,Eventos!$F:$F,$L1171,Eventos!$D:$D,$C$2,Eventos!$B:$B,PANES_SEMANALES[[#ALL],[SÁBADO]])</f>
        <v>0</v>
      </c>
      <c r="S1171" s="59">
        <f>SUMIFS(Eventos!$G:$G,Eventos!$F:$F,$L1171,Eventos!$D:$D,$C$2,Eventos!$B:$B,PANES_SEMANALES[[#ALL],[DOMINGO]])</f>
        <v>0</v>
      </c>
      <c r="T1171" s="59">
        <f t="shared" si="1"/>
        <v>0</v>
      </c>
    </row>
    <row r="1172" ht="22.5" customHeight="1">
      <c r="M1172" s="59">
        <f>SUMIFS(Eventos!$G:$G,Eventos!$F:$F,$L1172,Eventos!$D:$D,$C$2,Eventos!$B:$B,PANES_SEMANALES[[#ALL],[LUNES]])</f>
        <v>0</v>
      </c>
      <c r="N1172" s="59">
        <f>SUMIFS(Eventos!$G:$G,Eventos!$F:$F,$L1172,Eventos!$D:$D,$C$2,Eventos!$B:$B,PANES_SEMANALES[[#ALL],[MARTES]])</f>
        <v>0</v>
      </c>
      <c r="O1172" s="59">
        <f>SUMIFS(Eventos!$G:$G,Eventos!$F:$F,$L1172,Eventos!$D:$D,$C$2,Eventos!$B:$B,PANES_SEMANALES[[#ALL],[MIÉRCOLES]])</f>
        <v>0</v>
      </c>
      <c r="P1172" s="59">
        <f>SUMIFS(Eventos!$G:$G,Eventos!$F:$F,$L1172,Eventos!$D:$D,$C$2,Eventos!$B:$B,PANES_SEMANALES[[#ALL],[JUEVES]])</f>
        <v>0</v>
      </c>
      <c r="Q1172" s="59">
        <f>IF(P1172&lt;&gt;"",SUMIFS(Eventos!$G:$G,Eventos!$B:$B,Q$2,Eventos!$D:$D,$C$2,Eventos!$F:$F,$L1172),"")</f>
        <v>0</v>
      </c>
      <c r="R1172" s="59">
        <f>SUMIFS(Eventos!$G:$G,Eventos!$F:$F,$L1172,Eventos!$D:$D,$C$2,Eventos!$B:$B,PANES_SEMANALES[[#ALL],[SÁBADO]])</f>
        <v>0</v>
      </c>
      <c r="S1172" s="59">
        <f>SUMIFS(Eventos!$G:$G,Eventos!$F:$F,$L1172,Eventos!$D:$D,$C$2,Eventos!$B:$B,PANES_SEMANALES[[#ALL],[DOMINGO]])</f>
        <v>0</v>
      </c>
      <c r="T1172" s="59">
        <f t="shared" si="1"/>
        <v>0</v>
      </c>
    </row>
    <row r="1173" ht="22.5" customHeight="1">
      <c r="M1173" s="59">
        <f>SUMIFS(Eventos!$G:$G,Eventos!$F:$F,$L1173,Eventos!$D:$D,$C$2,Eventos!$B:$B,PANES_SEMANALES[[#ALL],[LUNES]])</f>
        <v>0</v>
      </c>
      <c r="N1173" s="59">
        <f>SUMIFS(Eventos!$G:$G,Eventos!$F:$F,$L1173,Eventos!$D:$D,$C$2,Eventos!$B:$B,PANES_SEMANALES[[#ALL],[MARTES]])</f>
        <v>0</v>
      </c>
      <c r="O1173" s="59">
        <f>SUMIFS(Eventos!$G:$G,Eventos!$F:$F,$L1173,Eventos!$D:$D,$C$2,Eventos!$B:$B,PANES_SEMANALES[[#ALL],[MIÉRCOLES]])</f>
        <v>0</v>
      </c>
      <c r="P1173" s="59">
        <f>SUMIFS(Eventos!$G:$G,Eventos!$F:$F,$L1173,Eventos!$D:$D,$C$2,Eventos!$B:$B,PANES_SEMANALES[[#ALL],[JUEVES]])</f>
        <v>0</v>
      </c>
      <c r="Q1173" s="59">
        <f>IF(P1173&lt;&gt;"",SUMIFS(Eventos!$G:$G,Eventos!$B:$B,Q$2,Eventos!$D:$D,$C$2,Eventos!$F:$F,$L1173),"")</f>
        <v>0</v>
      </c>
      <c r="R1173" s="59">
        <f>SUMIFS(Eventos!$G:$G,Eventos!$F:$F,$L1173,Eventos!$D:$D,$C$2,Eventos!$B:$B,PANES_SEMANALES[[#ALL],[SÁBADO]])</f>
        <v>0</v>
      </c>
      <c r="S1173" s="59">
        <f>SUMIFS(Eventos!$G:$G,Eventos!$F:$F,$L1173,Eventos!$D:$D,$C$2,Eventos!$B:$B,PANES_SEMANALES[[#ALL],[DOMINGO]])</f>
        <v>0</v>
      </c>
      <c r="T1173" s="59">
        <f t="shared" si="1"/>
        <v>0</v>
      </c>
    </row>
    <row r="1174" ht="22.5" customHeight="1">
      <c r="M1174" s="59">
        <f>SUMIFS(Eventos!$G:$G,Eventos!$F:$F,$L1174,Eventos!$D:$D,$C$2,Eventos!$B:$B,PANES_SEMANALES[[#ALL],[LUNES]])</f>
        <v>0</v>
      </c>
      <c r="N1174" s="59">
        <f>SUMIFS(Eventos!$G:$G,Eventos!$F:$F,$L1174,Eventos!$D:$D,$C$2,Eventos!$B:$B,PANES_SEMANALES[[#ALL],[MARTES]])</f>
        <v>0</v>
      </c>
      <c r="O1174" s="59">
        <f>SUMIFS(Eventos!$G:$G,Eventos!$F:$F,$L1174,Eventos!$D:$D,$C$2,Eventos!$B:$B,PANES_SEMANALES[[#ALL],[MIÉRCOLES]])</f>
        <v>0</v>
      </c>
      <c r="P1174" s="59">
        <f>SUMIFS(Eventos!$G:$G,Eventos!$F:$F,$L1174,Eventos!$D:$D,$C$2,Eventos!$B:$B,PANES_SEMANALES[[#ALL],[JUEVES]])</f>
        <v>0</v>
      </c>
      <c r="Q1174" s="59">
        <f>IF(P1174&lt;&gt;"",SUMIFS(Eventos!$G:$G,Eventos!$B:$B,Q$2,Eventos!$D:$D,$C$2,Eventos!$F:$F,$L1174),"")</f>
        <v>0</v>
      </c>
      <c r="R1174" s="59">
        <f>SUMIFS(Eventos!$G:$G,Eventos!$F:$F,$L1174,Eventos!$D:$D,$C$2,Eventos!$B:$B,PANES_SEMANALES[[#ALL],[SÁBADO]])</f>
        <v>0</v>
      </c>
      <c r="S1174" s="59">
        <f>SUMIFS(Eventos!$G:$G,Eventos!$F:$F,$L1174,Eventos!$D:$D,$C$2,Eventos!$B:$B,PANES_SEMANALES[[#ALL],[DOMINGO]])</f>
        <v>0</v>
      </c>
      <c r="T1174" s="59">
        <f t="shared" si="1"/>
        <v>0</v>
      </c>
    </row>
    <row r="1175" ht="22.5" customHeight="1">
      <c r="M1175" s="59">
        <f>SUMIFS(Eventos!$G:$G,Eventos!$F:$F,$L1175,Eventos!$D:$D,$C$2,Eventos!$B:$B,PANES_SEMANALES[[#ALL],[LUNES]])</f>
        <v>0</v>
      </c>
      <c r="N1175" s="59">
        <f>SUMIFS(Eventos!$G:$G,Eventos!$F:$F,$L1175,Eventos!$D:$D,$C$2,Eventos!$B:$B,PANES_SEMANALES[[#ALL],[MARTES]])</f>
        <v>0</v>
      </c>
      <c r="O1175" s="59">
        <f>SUMIFS(Eventos!$G:$G,Eventos!$F:$F,$L1175,Eventos!$D:$D,$C$2,Eventos!$B:$B,PANES_SEMANALES[[#ALL],[MIÉRCOLES]])</f>
        <v>0</v>
      </c>
      <c r="P1175" s="59">
        <f>SUMIFS(Eventos!$G:$G,Eventos!$F:$F,$L1175,Eventos!$D:$D,$C$2,Eventos!$B:$B,PANES_SEMANALES[[#ALL],[JUEVES]])</f>
        <v>0</v>
      </c>
      <c r="Q1175" s="59">
        <f>IF(P1175&lt;&gt;"",SUMIFS(Eventos!$G:$G,Eventos!$B:$B,Q$2,Eventos!$D:$D,$C$2,Eventos!$F:$F,$L1175),"")</f>
        <v>0</v>
      </c>
      <c r="R1175" s="59">
        <f>SUMIFS(Eventos!$G:$G,Eventos!$F:$F,$L1175,Eventos!$D:$D,$C$2,Eventos!$B:$B,PANES_SEMANALES[[#ALL],[SÁBADO]])</f>
        <v>0</v>
      </c>
      <c r="S1175" s="59">
        <f>SUMIFS(Eventos!$G:$G,Eventos!$F:$F,$L1175,Eventos!$D:$D,$C$2,Eventos!$B:$B,PANES_SEMANALES[[#ALL],[DOMINGO]])</f>
        <v>0</v>
      </c>
      <c r="T1175" s="59">
        <f t="shared" si="1"/>
        <v>0</v>
      </c>
    </row>
    <row r="1176" ht="22.5" customHeight="1">
      <c r="M1176" s="59">
        <f>SUMIFS(Eventos!$G:$G,Eventos!$F:$F,$L1176,Eventos!$D:$D,$C$2,Eventos!$B:$B,PANES_SEMANALES[[#ALL],[LUNES]])</f>
        <v>0</v>
      </c>
      <c r="N1176" s="59">
        <f>SUMIFS(Eventos!$G:$G,Eventos!$F:$F,$L1176,Eventos!$D:$D,$C$2,Eventos!$B:$B,PANES_SEMANALES[[#ALL],[MARTES]])</f>
        <v>0</v>
      </c>
      <c r="O1176" s="59">
        <f>SUMIFS(Eventos!$G:$G,Eventos!$F:$F,$L1176,Eventos!$D:$D,$C$2,Eventos!$B:$B,PANES_SEMANALES[[#ALL],[MIÉRCOLES]])</f>
        <v>0</v>
      </c>
      <c r="P1176" s="59">
        <f>SUMIFS(Eventos!$G:$G,Eventos!$F:$F,$L1176,Eventos!$D:$D,$C$2,Eventos!$B:$B,PANES_SEMANALES[[#ALL],[JUEVES]])</f>
        <v>0</v>
      </c>
      <c r="Q1176" s="59">
        <f>IF(P1176&lt;&gt;"",SUMIFS(Eventos!$G:$G,Eventos!$B:$B,Q$2,Eventos!$D:$D,$C$2,Eventos!$F:$F,$L1176),"")</f>
        <v>0</v>
      </c>
      <c r="R1176" s="59">
        <f>SUMIFS(Eventos!$G:$G,Eventos!$F:$F,$L1176,Eventos!$D:$D,$C$2,Eventos!$B:$B,PANES_SEMANALES[[#ALL],[SÁBADO]])</f>
        <v>0</v>
      </c>
      <c r="S1176" s="59">
        <f>SUMIFS(Eventos!$G:$G,Eventos!$F:$F,$L1176,Eventos!$D:$D,$C$2,Eventos!$B:$B,PANES_SEMANALES[[#ALL],[DOMINGO]])</f>
        <v>0</v>
      </c>
      <c r="T1176" s="59">
        <f t="shared" si="1"/>
        <v>0</v>
      </c>
    </row>
    <row r="1177" ht="22.5" customHeight="1">
      <c r="M1177" s="59">
        <f>SUMIFS(Eventos!$G:$G,Eventos!$F:$F,$L1177,Eventos!$D:$D,$C$2,Eventos!$B:$B,PANES_SEMANALES[[#ALL],[LUNES]])</f>
        <v>0</v>
      </c>
      <c r="N1177" s="59">
        <f>SUMIFS(Eventos!$G:$G,Eventos!$F:$F,$L1177,Eventos!$D:$D,$C$2,Eventos!$B:$B,PANES_SEMANALES[[#ALL],[MARTES]])</f>
        <v>0</v>
      </c>
      <c r="O1177" s="59">
        <f>SUMIFS(Eventos!$G:$G,Eventos!$F:$F,$L1177,Eventos!$D:$D,$C$2,Eventos!$B:$B,PANES_SEMANALES[[#ALL],[MIÉRCOLES]])</f>
        <v>0</v>
      </c>
      <c r="P1177" s="59">
        <f>SUMIFS(Eventos!$G:$G,Eventos!$F:$F,$L1177,Eventos!$D:$D,$C$2,Eventos!$B:$B,PANES_SEMANALES[[#ALL],[JUEVES]])</f>
        <v>0</v>
      </c>
      <c r="Q1177" s="59">
        <f>IF(P1177&lt;&gt;"",SUMIFS(Eventos!$G:$G,Eventos!$B:$B,Q$2,Eventos!$D:$D,$C$2,Eventos!$F:$F,$L1177),"")</f>
        <v>0</v>
      </c>
      <c r="R1177" s="59">
        <f>SUMIFS(Eventos!$G:$G,Eventos!$F:$F,$L1177,Eventos!$D:$D,$C$2,Eventos!$B:$B,PANES_SEMANALES[[#ALL],[SÁBADO]])</f>
        <v>0</v>
      </c>
      <c r="S1177" s="59">
        <f>SUMIFS(Eventos!$G:$G,Eventos!$F:$F,$L1177,Eventos!$D:$D,$C$2,Eventos!$B:$B,PANES_SEMANALES[[#ALL],[DOMINGO]])</f>
        <v>0</v>
      </c>
      <c r="T1177" s="59">
        <f t="shared" si="1"/>
        <v>0</v>
      </c>
    </row>
    <row r="1178" ht="22.5" customHeight="1">
      <c r="M1178" s="59">
        <f>SUMIFS(Eventos!$G:$G,Eventos!$F:$F,$L1178,Eventos!$D:$D,$C$2,Eventos!$B:$B,PANES_SEMANALES[[#ALL],[LUNES]])</f>
        <v>0</v>
      </c>
      <c r="N1178" s="59">
        <f>SUMIFS(Eventos!$G:$G,Eventos!$F:$F,$L1178,Eventos!$D:$D,$C$2,Eventos!$B:$B,PANES_SEMANALES[[#ALL],[MARTES]])</f>
        <v>0</v>
      </c>
      <c r="O1178" s="59">
        <f>SUMIFS(Eventos!$G:$G,Eventos!$F:$F,$L1178,Eventos!$D:$D,$C$2,Eventos!$B:$B,PANES_SEMANALES[[#ALL],[MIÉRCOLES]])</f>
        <v>0</v>
      </c>
      <c r="P1178" s="59">
        <f>SUMIFS(Eventos!$G:$G,Eventos!$F:$F,$L1178,Eventos!$D:$D,$C$2,Eventos!$B:$B,PANES_SEMANALES[[#ALL],[JUEVES]])</f>
        <v>0</v>
      </c>
      <c r="Q1178" s="59">
        <f>IF(P1178&lt;&gt;"",SUMIFS(Eventos!$G:$G,Eventos!$B:$B,Q$2,Eventos!$D:$D,$C$2,Eventos!$F:$F,$L1178),"")</f>
        <v>0</v>
      </c>
      <c r="R1178" s="59">
        <f>SUMIFS(Eventos!$G:$G,Eventos!$F:$F,$L1178,Eventos!$D:$D,$C$2,Eventos!$B:$B,PANES_SEMANALES[[#ALL],[SÁBADO]])</f>
        <v>0</v>
      </c>
      <c r="S1178" s="59">
        <f>SUMIFS(Eventos!$G:$G,Eventos!$F:$F,$L1178,Eventos!$D:$D,$C$2,Eventos!$B:$B,PANES_SEMANALES[[#ALL],[DOMINGO]])</f>
        <v>0</v>
      </c>
      <c r="T1178" s="59">
        <f t="shared" si="1"/>
        <v>0</v>
      </c>
    </row>
    <row r="1179" ht="22.5" customHeight="1">
      <c r="M1179" s="59">
        <f>SUMIFS(Eventos!$G:$G,Eventos!$F:$F,$L1179,Eventos!$D:$D,$C$2,Eventos!$B:$B,PANES_SEMANALES[[#ALL],[LUNES]])</f>
        <v>0</v>
      </c>
      <c r="N1179" s="59">
        <f>SUMIFS(Eventos!$G:$G,Eventos!$F:$F,$L1179,Eventos!$D:$D,$C$2,Eventos!$B:$B,PANES_SEMANALES[[#ALL],[MARTES]])</f>
        <v>0</v>
      </c>
      <c r="O1179" s="59">
        <f>SUMIFS(Eventos!$G:$G,Eventos!$F:$F,$L1179,Eventos!$D:$D,$C$2,Eventos!$B:$B,PANES_SEMANALES[[#ALL],[MIÉRCOLES]])</f>
        <v>0</v>
      </c>
      <c r="P1179" s="59">
        <f>SUMIFS(Eventos!$G:$G,Eventos!$F:$F,$L1179,Eventos!$D:$D,$C$2,Eventos!$B:$B,PANES_SEMANALES[[#ALL],[JUEVES]])</f>
        <v>0</v>
      </c>
      <c r="Q1179" s="59">
        <f>IF(P1179&lt;&gt;"",SUMIFS(Eventos!$G:$G,Eventos!$B:$B,Q$2,Eventos!$D:$D,$C$2,Eventos!$F:$F,$L1179),"")</f>
        <v>0</v>
      </c>
      <c r="R1179" s="59">
        <f>SUMIFS(Eventos!$G:$G,Eventos!$F:$F,$L1179,Eventos!$D:$D,$C$2,Eventos!$B:$B,PANES_SEMANALES[[#ALL],[SÁBADO]])</f>
        <v>0</v>
      </c>
      <c r="S1179" s="59">
        <f>SUMIFS(Eventos!$G:$G,Eventos!$F:$F,$L1179,Eventos!$D:$D,$C$2,Eventos!$B:$B,PANES_SEMANALES[[#ALL],[DOMINGO]])</f>
        <v>0</v>
      </c>
      <c r="T1179" s="59">
        <f t="shared" si="1"/>
        <v>0</v>
      </c>
    </row>
    <row r="1180" ht="22.5" customHeight="1">
      <c r="M1180" s="59">
        <f>SUMIFS(Eventos!$G:$G,Eventos!$F:$F,$L1180,Eventos!$D:$D,$C$2,Eventos!$B:$B,PANES_SEMANALES[[#ALL],[LUNES]])</f>
        <v>0</v>
      </c>
      <c r="N1180" s="59">
        <f>SUMIFS(Eventos!$G:$G,Eventos!$F:$F,$L1180,Eventos!$D:$D,$C$2,Eventos!$B:$B,PANES_SEMANALES[[#ALL],[MARTES]])</f>
        <v>0</v>
      </c>
      <c r="O1180" s="59">
        <f>SUMIFS(Eventos!$G:$G,Eventos!$F:$F,$L1180,Eventos!$D:$D,$C$2,Eventos!$B:$B,PANES_SEMANALES[[#ALL],[MIÉRCOLES]])</f>
        <v>0</v>
      </c>
      <c r="P1180" s="59">
        <f>SUMIFS(Eventos!$G:$G,Eventos!$F:$F,$L1180,Eventos!$D:$D,$C$2,Eventos!$B:$B,PANES_SEMANALES[[#ALL],[JUEVES]])</f>
        <v>0</v>
      </c>
      <c r="Q1180" s="59">
        <f>IF(P1180&lt;&gt;"",SUMIFS(Eventos!$G:$G,Eventos!$B:$B,Q$2,Eventos!$D:$D,$C$2,Eventos!$F:$F,$L1180),"")</f>
        <v>0</v>
      </c>
      <c r="R1180" s="59">
        <f>SUMIFS(Eventos!$G:$G,Eventos!$F:$F,$L1180,Eventos!$D:$D,$C$2,Eventos!$B:$B,PANES_SEMANALES[[#ALL],[SÁBADO]])</f>
        <v>0</v>
      </c>
      <c r="S1180" s="59">
        <f>SUMIFS(Eventos!$G:$G,Eventos!$F:$F,$L1180,Eventos!$D:$D,$C$2,Eventos!$B:$B,PANES_SEMANALES[[#ALL],[DOMINGO]])</f>
        <v>0</v>
      </c>
      <c r="T1180" s="59">
        <f t="shared" si="1"/>
        <v>0</v>
      </c>
    </row>
    <row r="1181" ht="22.5" customHeight="1">
      <c r="M1181" s="59">
        <f>SUMIFS(Eventos!$G:$G,Eventos!$F:$F,$L1181,Eventos!$D:$D,$C$2,Eventos!$B:$B,PANES_SEMANALES[[#ALL],[LUNES]])</f>
        <v>0</v>
      </c>
      <c r="N1181" s="59">
        <f>SUMIFS(Eventos!$G:$G,Eventos!$F:$F,$L1181,Eventos!$D:$D,$C$2,Eventos!$B:$B,PANES_SEMANALES[[#ALL],[MARTES]])</f>
        <v>0</v>
      </c>
      <c r="O1181" s="59">
        <f>SUMIFS(Eventos!$G:$G,Eventos!$F:$F,$L1181,Eventos!$D:$D,$C$2,Eventos!$B:$B,PANES_SEMANALES[[#ALL],[MIÉRCOLES]])</f>
        <v>0</v>
      </c>
      <c r="P1181" s="59">
        <f>SUMIFS(Eventos!$G:$G,Eventos!$F:$F,$L1181,Eventos!$D:$D,$C$2,Eventos!$B:$B,PANES_SEMANALES[[#ALL],[JUEVES]])</f>
        <v>0</v>
      </c>
      <c r="Q1181" s="59">
        <f>IF(P1181&lt;&gt;"",SUMIFS(Eventos!$G:$G,Eventos!$B:$B,Q$2,Eventos!$D:$D,$C$2,Eventos!$F:$F,$L1181),"")</f>
        <v>0</v>
      </c>
      <c r="R1181" s="59">
        <f>SUMIFS(Eventos!$G:$G,Eventos!$F:$F,$L1181,Eventos!$D:$D,$C$2,Eventos!$B:$B,PANES_SEMANALES[[#ALL],[SÁBADO]])</f>
        <v>0</v>
      </c>
      <c r="S1181" s="59">
        <f>SUMIFS(Eventos!$G:$G,Eventos!$F:$F,$L1181,Eventos!$D:$D,$C$2,Eventos!$B:$B,PANES_SEMANALES[[#ALL],[DOMINGO]])</f>
        <v>0</v>
      </c>
      <c r="T1181" s="59">
        <f t="shared" si="1"/>
        <v>0</v>
      </c>
    </row>
    <row r="1182" ht="22.5" customHeight="1">
      <c r="M1182" s="59">
        <f>SUMIFS(Eventos!$G:$G,Eventos!$F:$F,$L1182,Eventos!$D:$D,$C$2,Eventos!$B:$B,PANES_SEMANALES[[#ALL],[LUNES]])</f>
        <v>0</v>
      </c>
      <c r="N1182" s="59">
        <f>SUMIFS(Eventos!$G:$G,Eventos!$F:$F,$L1182,Eventos!$D:$D,$C$2,Eventos!$B:$B,PANES_SEMANALES[[#ALL],[MARTES]])</f>
        <v>0</v>
      </c>
      <c r="O1182" s="59">
        <f>SUMIFS(Eventos!$G:$G,Eventos!$F:$F,$L1182,Eventos!$D:$D,$C$2,Eventos!$B:$B,PANES_SEMANALES[[#ALL],[MIÉRCOLES]])</f>
        <v>0</v>
      </c>
      <c r="P1182" s="59">
        <f>SUMIFS(Eventos!$G:$G,Eventos!$F:$F,$L1182,Eventos!$D:$D,$C$2,Eventos!$B:$B,PANES_SEMANALES[[#ALL],[JUEVES]])</f>
        <v>0</v>
      </c>
      <c r="Q1182" s="59">
        <f>IF(P1182&lt;&gt;"",SUMIFS(Eventos!$G:$G,Eventos!$B:$B,Q$2,Eventos!$D:$D,$C$2,Eventos!$F:$F,$L1182),"")</f>
        <v>0</v>
      </c>
      <c r="R1182" s="59">
        <f>SUMIFS(Eventos!$G:$G,Eventos!$F:$F,$L1182,Eventos!$D:$D,$C$2,Eventos!$B:$B,PANES_SEMANALES[[#ALL],[SÁBADO]])</f>
        <v>0</v>
      </c>
      <c r="S1182" s="59">
        <f>SUMIFS(Eventos!$G:$G,Eventos!$F:$F,$L1182,Eventos!$D:$D,$C$2,Eventos!$B:$B,PANES_SEMANALES[[#ALL],[DOMINGO]])</f>
        <v>0</v>
      </c>
      <c r="T1182" s="59">
        <f t="shared" si="1"/>
        <v>0</v>
      </c>
    </row>
    <row r="1183" ht="22.5" customHeight="1">
      <c r="M1183" s="59">
        <f>SUMIFS(Eventos!$G:$G,Eventos!$F:$F,$L1183,Eventos!$D:$D,$C$2,Eventos!$B:$B,PANES_SEMANALES[[#ALL],[LUNES]])</f>
        <v>0</v>
      </c>
      <c r="N1183" s="59">
        <f>SUMIFS(Eventos!$G:$G,Eventos!$F:$F,$L1183,Eventos!$D:$D,$C$2,Eventos!$B:$B,PANES_SEMANALES[[#ALL],[MARTES]])</f>
        <v>0</v>
      </c>
      <c r="O1183" s="59">
        <f>SUMIFS(Eventos!$G:$G,Eventos!$F:$F,$L1183,Eventos!$D:$D,$C$2,Eventos!$B:$B,PANES_SEMANALES[[#ALL],[MIÉRCOLES]])</f>
        <v>0</v>
      </c>
      <c r="P1183" s="59">
        <f>SUMIFS(Eventos!$G:$G,Eventos!$F:$F,$L1183,Eventos!$D:$D,$C$2,Eventos!$B:$B,PANES_SEMANALES[[#ALL],[JUEVES]])</f>
        <v>0</v>
      </c>
      <c r="Q1183" s="59">
        <f>IF(P1183&lt;&gt;"",SUMIFS(Eventos!$G:$G,Eventos!$B:$B,Q$2,Eventos!$D:$D,$C$2,Eventos!$F:$F,$L1183),"")</f>
        <v>0</v>
      </c>
      <c r="R1183" s="59">
        <f>SUMIFS(Eventos!$G:$G,Eventos!$F:$F,$L1183,Eventos!$D:$D,$C$2,Eventos!$B:$B,PANES_SEMANALES[[#ALL],[SÁBADO]])</f>
        <v>0</v>
      </c>
      <c r="S1183" s="59">
        <f>SUMIFS(Eventos!$G:$G,Eventos!$F:$F,$L1183,Eventos!$D:$D,$C$2,Eventos!$B:$B,PANES_SEMANALES[[#ALL],[DOMINGO]])</f>
        <v>0</v>
      </c>
      <c r="T1183" s="59">
        <f t="shared" si="1"/>
        <v>0</v>
      </c>
    </row>
    <row r="1184" ht="22.5" customHeight="1">
      <c r="M1184" s="59">
        <f>SUMIFS(Eventos!$G:$G,Eventos!$F:$F,$L1184,Eventos!$D:$D,$C$2,Eventos!$B:$B,PANES_SEMANALES[[#ALL],[LUNES]])</f>
        <v>0</v>
      </c>
      <c r="N1184" s="59">
        <f>SUMIFS(Eventos!$G:$G,Eventos!$F:$F,$L1184,Eventos!$D:$D,$C$2,Eventos!$B:$B,PANES_SEMANALES[[#ALL],[MARTES]])</f>
        <v>0</v>
      </c>
      <c r="O1184" s="59">
        <f>SUMIFS(Eventos!$G:$G,Eventos!$F:$F,$L1184,Eventos!$D:$D,$C$2,Eventos!$B:$B,PANES_SEMANALES[[#ALL],[MIÉRCOLES]])</f>
        <v>0</v>
      </c>
      <c r="P1184" s="59">
        <f>SUMIFS(Eventos!$G:$G,Eventos!$F:$F,$L1184,Eventos!$D:$D,$C$2,Eventos!$B:$B,PANES_SEMANALES[[#ALL],[JUEVES]])</f>
        <v>0</v>
      </c>
      <c r="Q1184" s="59">
        <f>IF(P1184&lt;&gt;"",SUMIFS(Eventos!$G:$G,Eventos!$B:$B,Q$2,Eventos!$D:$D,$C$2,Eventos!$F:$F,$L1184),"")</f>
        <v>0</v>
      </c>
      <c r="R1184" s="59">
        <f>SUMIFS(Eventos!$G:$G,Eventos!$F:$F,$L1184,Eventos!$D:$D,$C$2,Eventos!$B:$B,PANES_SEMANALES[[#ALL],[SÁBADO]])</f>
        <v>0</v>
      </c>
      <c r="S1184" s="59">
        <f>SUMIFS(Eventos!$G:$G,Eventos!$F:$F,$L1184,Eventos!$D:$D,$C$2,Eventos!$B:$B,PANES_SEMANALES[[#ALL],[DOMINGO]])</f>
        <v>0</v>
      </c>
      <c r="T1184" s="59">
        <f t="shared" si="1"/>
        <v>0</v>
      </c>
    </row>
    <row r="1185" ht="22.5" customHeight="1">
      <c r="M1185" s="59">
        <f>SUMIFS(Eventos!$G:$G,Eventos!$F:$F,$L1185,Eventos!$D:$D,$C$2,Eventos!$B:$B,PANES_SEMANALES[[#ALL],[LUNES]])</f>
        <v>0</v>
      </c>
      <c r="N1185" s="59">
        <f>SUMIFS(Eventos!$G:$G,Eventos!$F:$F,$L1185,Eventos!$D:$D,$C$2,Eventos!$B:$B,PANES_SEMANALES[[#ALL],[MARTES]])</f>
        <v>0</v>
      </c>
      <c r="O1185" s="59">
        <f>SUMIFS(Eventos!$G:$G,Eventos!$F:$F,$L1185,Eventos!$D:$D,$C$2,Eventos!$B:$B,PANES_SEMANALES[[#ALL],[MIÉRCOLES]])</f>
        <v>0</v>
      </c>
      <c r="P1185" s="59">
        <f>SUMIFS(Eventos!$G:$G,Eventos!$F:$F,$L1185,Eventos!$D:$D,$C$2,Eventos!$B:$B,PANES_SEMANALES[[#ALL],[JUEVES]])</f>
        <v>0</v>
      </c>
      <c r="Q1185" s="59">
        <f>IF(P1185&lt;&gt;"",SUMIFS(Eventos!$G:$G,Eventos!$B:$B,Q$2,Eventos!$D:$D,$C$2,Eventos!$F:$F,$L1185),"")</f>
        <v>0</v>
      </c>
      <c r="R1185" s="59">
        <f>SUMIFS(Eventos!$G:$G,Eventos!$F:$F,$L1185,Eventos!$D:$D,$C$2,Eventos!$B:$B,PANES_SEMANALES[[#ALL],[SÁBADO]])</f>
        <v>0</v>
      </c>
      <c r="S1185" s="59">
        <f>SUMIFS(Eventos!$G:$G,Eventos!$F:$F,$L1185,Eventos!$D:$D,$C$2,Eventos!$B:$B,PANES_SEMANALES[[#ALL],[DOMINGO]])</f>
        <v>0</v>
      </c>
      <c r="T1185" s="59">
        <f t="shared" si="1"/>
        <v>0</v>
      </c>
    </row>
    <row r="1186" ht="22.5" customHeight="1">
      <c r="M1186" s="59">
        <f>SUMIFS(Eventos!$G:$G,Eventos!$F:$F,$L1186,Eventos!$D:$D,$C$2,Eventos!$B:$B,PANES_SEMANALES[[#ALL],[LUNES]])</f>
        <v>0</v>
      </c>
      <c r="N1186" s="59">
        <f>SUMIFS(Eventos!$G:$G,Eventos!$F:$F,$L1186,Eventos!$D:$D,$C$2,Eventos!$B:$B,PANES_SEMANALES[[#ALL],[MARTES]])</f>
        <v>0</v>
      </c>
      <c r="O1186" s="59">
        <f>SUMIFS(Eventos!$G:$G,Eventos!$F:$F,$L1186,Eventos!$D:$D,$C$2,Eventos!$B:$B,PANES_SEMANALES[[#ALL],[MIÉRCOLES]])</f>
        <v>0</v>
      </c>
      <c r="P1186" s="59">
        <f>SUMIFS(Eventos!$G:$G,Eventos!$F:$F,$L1186,Eventos!$D:$D,$C$2,Eventos!$B:$B,PANES_SEMANALES[[#ALL],[JUEVES]])</f>
        <v>0</v>
      </c>
      <c r="Q1186" s="59">
        <f>IF(P1186&lt;&gt;"",SUMIFS(Eventos!$G:$G,Eventos!$B:$B,Q$2,Eventos!$D:$D,$C$2,Eventos!$F:$F,$L1186),"")</f>
        <v>0</v>
      </c>
      <c r="R1186" s="59">
        <f>SUMIFS(Eventos!$G:$G,Eventos!$F:$F,$L1186,Eventos!$D:$D,$C$2,Eventos!$B:$B,PANES_SEMANALES[[#ALL],[SÁBADO]])</f>
        <v>0</v>
      </c>
      <c r="S1186" s="59">
        <f>SUMIFS(Eventos!$G:$G,Eventos!$F:$F,$L1186,Eventos!$D:$D,$C$2,Eventos!$B:$B,PANES_SEMANALES[[#ALL],[DOMINGO]])</f>
        <v>0</v>
      </c>
      <c r="T1186" s="59">
        <f t="shared" si="1"/>
        <v>0</v>
      </c>
    </row>
    <row r="1187" ht="22.5" customHeight="1">
      <c r="M1187" s="59">
        <f>SUMIFS(Eventos!$G:$G,Eventos!$F:$F,$L1187,Eventos!$D:$D,$C$2,Eventos!$B:$B,PANES_SEMANALES[[#ALL],[LUNES]])</f>
        <v>0</v>
      </c>
      <c r="N1187" s="59">
        <f>SUMIFS(Eventos!$G:$G,Eventos!$F:$F,$L1187,Eventos!$D:$D,$C$2,Eventos!$B:$B,PANES_SEMANALES[[#ALL],[MARTES]])</f>
        <v>0</v>
      </c>
      <c r="O1187" s="59">
        <f>SUMIFS(Eventos!$G:$G,Eventos!$F:$F,$L1187,Eventos!$D:$D,$C$2,Eventos!$B:$B,PANES_SEMANALES[[#ALL],[MIÉRCOLES]])</f>
        <v>0</v>
      </c>
      <c r="P1187" s="59">
        <f>SUMIFS(Eventos!$G:$G,Eventos!$F:$F,$L1187,Eventos!$D:$D,$C$2,Eventos!$B:$B,PANES_SEMANALES[[#ALL],[JUEVES]])</f>
        <v>0</v>
      </c>
      <c r="Q1187" s="59">
        <f>IF(P1187&lt;&gt;"",SUMIFS(Eventos!$G:$G,Eventos!$B:$B,Q$2,Eventos!$D:$D,$C$2,Eventos!$F:$F,$L1187),"")</f>
        <v>0</v>
      </c>
      <c r="R1187" s="59">
        <f>SUMIFS(Eventos!$G:$G,Eventos!$F:$F,$L1187,Eventos!$D:$D,$C$2,Eventos!$B:$B,PANES_SEMANALES[[#ALL],[SÁBADO]])</f>
        <v>0</v>
      </c>
      <c r="S1187" s="59">
        <f>SUMIFS(Eventos!$G:$G,Eventos!$F:$F,$L1187,Eventos!$D:$D,$C$2,Eventos!$B:$B,PANES_SEMANALES[[#ALL],[DOMINGO]])</f>
        <v>0</v>
      </c>
      <c r="T1187" s="59">
        <f t="shared" si="1"/>
        <v>0</v>
      </c>
    </row>
    <row r="1188" ht="22.5" customHeight="1">
      <c r="M1188" s="59">
        <f>SUMIFS(Eventos!$G:$G,Eventos!$F:$F,$L1188,Eventos!$D:$D,$C$2,Eventos!$B:$B,PANES_SEMANALES[[#ALL],[LUNES]])</f>
        <v>0</v>
      </c>
      <c r="N1188" s="59">
        <f>SUMIFS(Eventos!$G:$G,Eventos!$F:$F,$L1188,Eventos!$D:$D,$C$2,Eventos!$B:$B,PANES_SEMANALES[[#ALL],[MARTES]])</f>
        <v>0</v>
      </c>
      <c r="O1188" s="59">
        <f>SUMIFS(Eventos!$G:$G,Eventos!$F:$F,$L1188,Eventos!$D:$D,$C$2,Eventos!$B:$B,PANES_SEMANALES[[#ALL],[MIÉRCOLES]])</f>
        <v>0</v>
      </c>
      <c r="P1188" s="59">
        <f>SUMIFS(Eventos!$G:$G,Eventos!$F:$F,$L1188,Eventos!$D:$D,$C$2,Eventos!$B:$B,PANES_SEMANALES[[#ALL],[JUEVES]])</f>
        <v>0</v>
      </c>
      <c r="Q1188" s="59">
        <f>IF(P1188&lt;&gt;"",SUMIFS(Eventos!$G:$G,Eventos!$B:$B,Q$2,Eventos!$D:$D,$C$2,Eventos!$F:$F,$L1188),"")</f>
        <v>0</v>
      </c>
      <c r="R1188" s="59">
        <f>SUMIFS(Eventos!$G:$G,Eventos!$F:$F,$L1188,Eventos!$D:$D,$C$2,Eventos!$B:$B,PANES_SEMANALES[[#ALL],[SÁBADO]])</f>
        <v>0</v>
      </c>
      <c r="S1188" s="59">
        <f>SUMIFS(Eventos!$G:$G,Eventos!$F:$F,$L1188,Eventos!$D:$D,$C$2,Eventos!$B:$B,PANES_SEMANALES[[#ALL],[DOMINGO]])</f>
        <v>0</v>
      </c>
      <c r="T1188" s="59">
        <f t="shared" si="1"/>
        <v>0</v>
      </c>
    </row>
    <row r="1189" ht="22.5" customHeight="1">
      <c r="M1189" s="59">
        <f>SUMIFS(Eventos!$G:$G,Eventos!$F:$F,$L1189,Eventos!$D:$D,$C$2,Eventos!$B:$B,PANES_SEMANALES[[#ALL],[LUNES]])</f>
        <v>0</v>
      </c>
      <c r="N1189" s="59">
        <f>SUMIFS(Eventos!$G:$G,Eventos!$F:$F,$L1189,Eventos!$D:$D,$C$2,Eventos!$B:$B,PANES_SEMANALES[[#ALL],[MARTES]])</f>
        <v>0</v>
      </c>
      <c r="O1189" s="59">
        <f>SUMIFS(Eventos!$G:$G,Eventos!$F:$F,$L1189,Eventos!$D:$D,$C$2,Eventos!$B:$B,PANES_SEMANALES[[#ALL],[MIÉRCOLES]])</f>
        <v>0</v>
      </c>
      <c r="P1189" s="59">
        <f>SUMIFS(Eventos!$G:$G,Eventos!$F:$F,$L1189,Eventos!$D:$D,$C$2,Eventos!$B:$B,PANES_SEMANALES[[#ALL],[JUEVES]])</f>
        <v>0</v>
      </c>
      <c r="Q1189" s="59">
        <f>IF(P1189&lt;&gt;"",SUMIFS(Eventos!$G:$G,Eventos!$B:$B,Q$2,Eventos!$D:$D,$C$2,Eventos!$F:$F,$L1189),"")</f>
        <v>0</v>
      </c>
      <c r="R1189" s="59">
        <f>SUMIFS(Eventos!$G:$G,Eventos!$F:$F,$L1189,Eventos!$D:$D,$C$2,Eventos!$B:$B,PANES_SEMANALES[[#ALL],[SÁBADO]])</f>
        <v>0</v>
      </c>
      <c r="S1189" s="59">
        <f>SUMIFS(Eventos!$G:$G,Eventos!$F:$F,$L1189,Eventos!$D:$D,$C$2,Eventos!$B:$B,PANES_SEMANALES[[#ALL],[DOMINGO]])</f>
        <v>0</v>
      </c>
      <c r="T1189" s="59">
        <f t="shared" si="1"/>
        <v>0</v>
      </c>
    </row>
    <row r="1190" ht="22.5" customHeight="1">
      <c r="M1190" s="59">
        <f>SUMIFS(Eventos!$G:$G,Eventos!$F:$F,$L1190,Eventos!$D:$D,$C$2,Eventos!$B:$B,PANES_SEMANALES[[#ALL],[LUNES]])</f>
        <v>0</v>
      </c>
      <c r="N1190" s="59">
        <f>SUMIFS(Eventos!$G:$G,Eventos!$F:$F,$L1190,Eventos!$D:$D,$C$2,Eventos!$B:$B,PANES_SEMANALES[[#ALL],[MARTES]])</f>
        <v>0</v>
      </c>
      <c r="O1190" s="59">
        <f>SUMIFS(Eventos!$G:$G,Eventos!$F:$F,$L1190,Eventos!$D:$D,$C$2,Eventos!$B:$B,PANES_SEMANALES[[#ALL],[MIÉRCOLES]])</f>
        <v>0</v>
      </c>
      <c r="P1190" s="59">
        <f>SUMIFS(Eventos!$G:$G,Eventos!$F:$F,$L1190,Eventos!$D:$D,$C$2,Eventos!$B:$B,PANES_SEMANALES[[#ALL],[JUEVES]])</f>
        <v>0</v>
      </c>
      <c r="Q1190" s="59">
        <f>IF(P1190&lt;&gt;"",SUMIFS(Eventos!$G:$G,Eventos!$B:$B,Q$2,Eventos!$D:$D,$C$2,Eventos!$F:$F,$L1190),"")</f>
        <v>0</v>
      </c>
      <c r="R1190" s="59">
        <f>SUMIFS(Eventos!$G:$G,Eventos!$F:$F,$L1190,Eventos!$D:$D,$C$2,Eventos!$B:$B,PANES_SEMANALES[[#ALL],[SÁBADO]])</f>
        <v>0</v>
      </c>
      <c r="S1190" s="59">
        <f>SUMIFS(Eventos!$G:$G,Eventos!$F:$F,$L1190,Eventos!$D:$D,$C$2,Eventos!$B:$B,PANES_SEMANALES[[#ALL],[DOMINGO]])</f>
        <v>0</v>
      </c>
      <c r="T1190" s="59">
        <f t="shared" si="1"/>
        <v>0</v>
      </c>
    </row>
    <row r="1191" ht="22.5" customHeight="1">
      <c r="M1191" s="59">
        <f>SUMIFS(Eventos!$G:$G,Eventos!$F:$F,$L1191,Eventos!$D:$D,$C$2,Eventos!$B:$B,PANES_SEMANALES[[#ALL],[LUNES]])</f>
        <v>0</v>
      </c>
      <c r="N1191" s="59">
        <f>SUMIFS(Eventos!$G:$G,Eventos!$F:$F,$L1191,Eventos!$D:$D,$C$2,Eventos!$B:$B,PANES_SEMANALES[[#ALL],[MARTES]])</f>
        <v>0</v>
      </c>
      <c r="O1191" s="59">
        <f>SUMIFS(Eventos!$G:$G,Eventos!$F:$F,$L1191,Eventos!$D:$D,$C$2,Eventos!$B:$B,PANES_SEMANALES[[#ALL],[MIÉRCOLES]])</f>
        <v>0</v>
      </c>
      <c r="P1191" s="59">
        <f>SUMIFS(Eventos!$G:$G,Eventos!$F:$F,$L1191,Eventos!$D:$D,$C$2,Eventos!$B:$B,PANES_SEMANALES[[#ALL],[JUEVES]])</f>
        <v>0</v>
      </c>
      <c r="Q1191" s="59">
        <f>IF(P1191&lt;&gt;"",SUMIFS(Eventos!$G:$G,Eventos!$B:$B,Q$2,Eventos!$D:$D,$C$2,Eventos!$F:$F,$L1191),"")</f>
        <v>0</v>
      </c>
      <c r="R1191" s="59">
        <f>SUMIFS(Eventos!$G:$G,Eventos!$F:$F,$L1191,Eventos!$D:$D,$C$2,Eventos!$B:$B,PANES_SEMANALES[[#ALL],[SÁBADO]])</f>
        <v>0</v>
      </c>
      <c r="S1191" s="59">
        <f>SUMIFS(Eventos!$G:$G,Eventos!$F:$F,$L1191,Eventos!$D:$D,$C$2,Eventos!$B:$B,PANES_SEMANALES[[#ALL],[DOMINGO]])</f>
        <v>0</v>
      </c>
      <c r="T1191" s="59">
        <f t="shared" si="1"/>
        <v>0</v>
      </c>
    </row>
    <row r="1192" ht="22.5" customHeight="1">
      <c r="M1192" s="59">
        <f>SUMIFS(Eventos!$G:$G,Eventos!$F:$F,$L1192,Eventos!$D:$D,$C$2,Eventos!$B:$B,PANES_SEMANALES[[#ALL],[LUNES]])</f>
        <v>0</v>
      </c>
      <c r="N1192" s="59">
        <f>SUMIFS(Eventos!$G:$G,Eventos!$F:$F,$L1192,Eventos!$D:$D,$C$2,Eventos!$B:$B,PANES_SEMANALES[[#ALL],[MARTES]])</f>
        <v>0</v>
      </c>
      <c r="O1192" s="59">
        <f>SUMIFS(Eventos!$G:$G,Eventos!$F:$F,$L1192,Eventos!$D:$D,$C$2,Eventos!$B:$B,PANES_SEMANALES[[#ALL],[MIÉRCOLES]])</f>
        <v>0</v>
      </c>
      <c r="P1192" s="59">
        <f>SUMIFS(Eventos!$G:$G,Eventos!$F:$F,$L1192,Eventos!$D:$D,$C$2,Eventos!$B:$B,PANES_SEMANALES[[#ALL],[JUEVES]])</f>
        <v>0</v>
      </c>
      <c r="Q1192" s="59">
        <f>IF(P1192&lt;&gt;"",SUMIFS(Eventos!$G:$G,Eventos!$B:$B,Q$2,Eventos!$D:$D,$C$2,Eventos!$F:$F,$L1192),"")</f>
        <v>0</v>
      </c>
      <c r="R1192" s="59">
        <f>SUMIFS(Eventos!$G:$G,Eventos!$F:$F,$L1192,Eventos!$D:$D,$C$2,Eventos!$B:$B,PANES_SEMANALES[[#ALL],[SÁBADO]])</f>
        <v>0</v>
      </c>
      <c r="S1192" s="59">
        <f>SUMIFS(Eventos!$G:$G,Eventos!$F:$F,$L1192,Eventos!$D:$D,$C$2,Eventos!$B:$B,PANES_SEMANALES[[#ALL],[DOMINGO]])</f>
        <v>0</v>
      </c>
      <c r="T1192" s="59">
        <f t="shared" si="1"/>
        <v>0</v>
      </c>
    </row>
    <row r="1193" ht="22.5" customHeight="1">
      <c r="M1193" s="59">
        <f>SUMIFS(Eventos!$G:$G,Eventos!$F:$F,$L1193,Eventos!$D:$D,$C$2,Eventos!$B:$B,PANES_SEMANALES[[#ALL],[LUNES]])</f>
        <v>0</v>
      </c>
      <c r="N1193" s="59">
        <f>SUMIFS(Eventos!$G:$G,Eventos!$F:$F,$L1193,Eventos!$D:$D,$C$2,Eventos!$B:$B,PANES_SEMANALES[[#ALL],[MARTES]])</f>
        <v>0</v>
      </c>
      <c r="O1193" s="59">
        <f>SUMIFS(Eventos!$G:$G,Eventos!$F:$F,$L1193,Eventos!$D:$D,$C$2,Eventos!$B:$B,PANES_SEMANALES[[#ALL],[MIÉRCOLES]])</f>
        <v>0</v>
      </c>
      <c r="P1193" s="59">
        <f>SUMIFS(Eventos!$G:$G,Eventos!$F:$F,$L1193,Eventos!$D:$D,$C$2,Eventos!$B:$B,PANES_SEMANALES[[#ALL],[JUEVES]])</f>
        <v>0</v>
      </c>
      <c r="Q1193" s="59">
        <f>IF(P1193&lt;&gt;"",SUMIFS(Eventos!$G:$G,Eventos!$B:$B,Q$2,Eventos!$D:$D,$C$2,Eventos!$F:$F,$L1193),"")</f>
        <v>0</v>
      </c>
      <c r="R1193" s="59">
        <f>SUMIFS(Eventos!$G:$G,Eventos!$F:$F,$L1193,Eventos!$D:$D,$C$2,Eventos!$B:$B,PANES_SEMANALES[[#ALL],[SÁBADO]])</f>
        <v>0</v>
      </c>
      <c r="S1193" s="59">
        <f>SUMIFS(Eventos!$G:$G,Eventos!$F:$F,$L1193,Eventos!$D:$D,$C$2,Eventos!$B:$B,PANES_SEMANALES[[#ALL],[DOMINGO]])</f>
        <v>0</v>
      </c>
      <c r="T1193" s="59">
        <f t="shared" si="1"/>
        <v>0</v>
      </c>
    </row>
    <row r="1194" ht="22.5" customHeight="1">
      <c r="M1194" s="59">
        <f>SUMIFS(Eventos!$G:$G,Eventos!$F:$F,$L1194,Eventos!$D:$D,$C$2,Eventos!$B:$B,PANES_SEMANALES[[#ALL],[LUNES]])</f>
        <v>0</v>
      </c>
      <c r="N1194" s="59">
        <f>SUMIFS(Eventos!$G:$G,Eventos!$F:$F,$L1194,Eventos!$D:$D,$C$2,Eventos!$B:$B,PANES_SEMANALES[[#ALL],[MARTES]])</f>
        <v>0</v>
      </c>
      <c r="O1194" s="59">
        <f>SUMIFS(Eventos!$G:$G,Eventos!$F:$F,$L1194,Eventos!$D:$D,$C$2,Eventos!$B:$B,PANES_SEMANALES[[#ALL],[MIÉRCOLES]])</f>
        <v>0</v>
      </c>
      <c r="P1194" s="59">
        <f>SUMIFS(Eventos!$G:$G,Eventos!$F:$F,$L1194,Eventos!$D:$D,$C$2,Eventos!$B:$B,PANES_SEMANALES[[#ALL],[JUEVES]])</f>
        <v>0</v>
      </c>
      <c r="Q1194" s="59">
        <f>IF(P1194&lt;&gt;"",SUMIFS(Eventos!$G:$G,Eventos!$B:$B,Q$2,Eventos!$D:$D,$C$2,Eventos!$F:$F,$L1194),"")</f>
        <v>0</v>
      </c>
      <c r="R1194" s="59">
        <f>SUMIFS(Eventos!$G:$G,Eventos!$F:$F,$L1194,Eventos!$D:$D,$C$2,Eventos!$B:$B,PANES_SEMANALES[[#ALL],[SÁBADO]])</f>
        <v>0</v>
      </c>
      <c r="S1194" s="59">
        <f>SUMIFS(Eventos!$G:$G,Eventos!$F:$F,$L1194,Eventos!$D:$D,$C$2,Eventos!$B:$B,PANES_SEMANALES[[#ALL],[DOMINGO]])</f>
        <v>0</v>
      </c>
      <c r="T1194" s="59">
        <f t="shared" si="1"/>
        <v>0</v>
      </c>
    </row>
    <row r="1195" ht="22.5" customHeight="1">
      <c r="M1195" s="59">
        <f>SUMIFS(Eventos!$G:$G,Eventos!$F:$F,$L1195,Eventos!$D:$D,$C$2,Eventos!$B:$B,PANES_SEMANALES[[#ALL],[LUNES]])</f>
        <v>0</v>
      </c>
      <c r="N1195" s="59">
        <f>SUMIFS(Eventos!$G:$G,Eventos!$F:$F,$L1195,Eventos!$D:$D,$C$2,Eventos!$B:$B,PANES_SEMANALES[[#ALL],[MARTES]])</f>
        <v>0</v>
      </c>
      <c r="O1195" s="59">
        <f>SUMIFS(Eventos!$G:$G,Eventos!$F:$F,$L1195,Eventos!$D:$D,$C$2,Eventos!$B:$B,PANES_SEMANALES[[#ALL],[MIÉRCOLES]])</f>
        <v>0</v>
      </c>
      <c r="P1195" s="59">
        <f>SUMIFS(Eventos!$G:$G,Eventos!$F:$F,$L1195,Eventos!$D:$D,$C$2,Eventos!$B:$B,PANES_SEMANALES[[#ALL],[JUEVES]])</f>
        <v>0</v>
      </c>
      <c r="Q1195" s="59">
        <f>IF(P1195&lt;&gt;"",SUMIFS(Eventos!$G:$G,Eventos!$B:$B,Q$2,Eventos!$D:$D,$C$2,Eventos!$F:$F,$L1195),"")</f>
        <v>0</v>
      </c>
      <c r="R1195" s="59">
        <f>SUMIFS(Eventos!$G:$G,Eventos!$F:$F,$L1195,Eventos!$D:$D,$C$2,Eventos!$B:$B,PANES_SEMANALES[[#ALL],[SÁBADO]])</f>
        <v>0</v>
      </c>
      <c r="S1195" s="59">
        <f>SUMIFS(Eventos!$G:$G,Eventos!$F:$F,$L1195,Eventos!$D:$D,$C$2,Eventos!$B:$B,PANES_SEMANALES[[#ALL],[DOMINGO]])</f>
        <v>0</v>
      </c>
      <c r="T1195" s="59">
        <f t="shared" si="1"/>
        <v>0</v>
      </c>
    </row>
    <row r="1196" ht="22.5" customHeight="1">
      <c r="M1196" s="59">
        <f>SUMIFS(Eventos!$G:$G,Eventos!$F:$F,$L1196,Eventos!$D:$D,$C$2,Eventos!$B:$B,PANES_SEMANALES[[#ALL],[LUNES]])</f>
        <v>0</v>
      </c>
      <c r="N1196" s="59">
        <f>SUMIFS(Eventos!$G:$G,Eventos!$F:$F,$L1196,Eventos!$D:$D,$C$2,Eventos!$B:$B,PANES_SEMANALES[[#ALL],[MARTES]])</f>
        <v>0</v>
      </c>
      <c r="O1196" s="59">
        <f>SUMIFS(Eventos!$G:$G,Eventos!$F:$F,$L1196,Eventos!$D:$D,$C$2,Eventos!$B:$B,PANES_SEMANALES[[#ALL],[MIÉRCOLES]])</f>
        <v>0</v>
      </c>
      <c r="P1196" s="59">
        <f>SUMIFS(Eventos!$G:$G,Eventos!$F:$F,$L1196,Eventos!$D:$D,$C$2,Eventos!$B:$B,PANES_SEMANALES[[#ALL],[JUEVES]])</f>
        <v>0</v>
      </c>
      <c r="Q1196" s="59">
        <f>IF(P1196&lt;&gt;"",SUMIFS(Eventos!$G:$G,Eventos!$B:$B,Q$2,Eventos!$D:$D,$C$2,Eventos!$F:$F,$L1196),"")</f>
        <v>0</v>
      </c>
      <c r="R1196" s="59">
        <f>SUMIFS(Eventos!$G:$G,Eventos!$F:$F,$L1196,Eventos!$D:$D,$C$2,Eventos!$B:$B,PANES_SEMANALES[[#ALL],[SÁBADO]])</f>
        <v>0</v>
      </c>
      <c r="S1196" s="59">
        <f>SUMIFS(Eventos!$G:$G,Eventos!$F:$F,$L1196,Eventos!$D:$D,$C$2,Eventos!$B:$B,PANES_SEMANALES[[#ALL],[DOMINGO]])</f>
        <v>0</v>
      </c>
      <c r="T1196" s="59">
        <f t="shared" si="1"/>
        <v>0</v>
      </c>
    </row>
    <row r="1197" ht="22.5" customHeight="1">
      <c r="M1197" s="59">
        <f>SUMIFS(Eventos!$G:$G,Eventos!$F:$F,$L1197,Eventos!$D:$D,$C$2,Eventos!$B:$B,PANES_SEMANALES[[#ALL],[LUNES]])</f>
        <v>0</v>
      </c>
      <c r="N1197" s="59">
        <f>SUMIFS(Eventos!$G:$G,Eventos!$F:$F,$L1197,Eventos!$D:$D,$C$2,Eventos!$B:$B,PANES_SEMANALES[[#ALL],[MARTES]])</f>
        <v>0</v>
      </c>
      <c r="O1197" s="59">
        <f>SUMIFS(Eventos!$G:$G,Eventos!$F:$F,$L1197,Eventos!$D:$D,$C$2,Eventos!$B:$B,PANES_SEMANALES[[#ALL],[MIÉRCOLES]])</f>
        <v>0</v>
      </c>
      <c r="P1197" s="59">
        <f>SUMIFS(Eventos!$G:$G,Eventos!$F:$F,$L1197,Eventos!$D:$D,$C$2,Eventos!$B:$B,PANES_SEMANALES[[#ALL],[JUEVES]])</f>
        <v>0</v>
      </c>
      <c r="Q1197" s="59">
        <f>IF(P1197&lt;&gt;"",SUMIFS(Eventos!$G:$G,Eventos!$B:$B,Q$2,Eventos!$D:$D,$C$2,Eventos!$F:$F,$L1197),"")</f>
        <v>0</v>
      </c>
      <c r="R1197" s="59">
        <f>SUMIFS(Eventos!$G:$G,Eventos!$F:$F,$L1197,Eventos!$D:$D,$C$2,Eventos!$B:$B,PANES_SEMANALES[[#ALL],[SÁBADO]])</f>
        <v>0</v>
      </c>
      <c r="S1197" s="59">
        <f>SUMIFS(Eventos!$G:$G,Eventos!$F:$F,$L1197,Eventos!$D:$D,$C$2,Eventos!$B:$B,PANES_SEMANALES[[#ALL],[DOMINGO]])</f>
        <v>0</v>
      </c>
      <c r="T1197" s="59">
        <f t="shared" si="1"/>
        <v>0</v>
      </c>
    </row>
    <row r="1198" ht="22.5" customHeight="1">
      <c r="M1198" s="59">
        <f>SUMIFS(Eventos!$G:$G,Eventos!$F:$F,$L1198,Eventos!$D:$D,$C$2,Eventos!$B:$B,PANES_SEMANALES[[#ALL],[LUNES]])</f>
        <v>0</v>
      </c>
      <c r="N1198" s="59">
        <f>SUMIFS(Eventos!$G:$G,Eventos!$F:$F,$L1198,Eventos!$D:$D,$C$2,Eventos!$B:$B,PANES_SEMANALES[[#ALL],[MARTES]])</f>
        <v>0</v>
      </c>
      <c r="O1198" s="59">
        <f>SUMIFS(Eventos!$G:$G,Eventos!$F:$F,$L1198,Eventos!$D:$D,$C$2,Eventos!$B:$B,PANES_SEMANALES[[#ALL],[MIÉRCOLES]])</f>
        <v>0</v>
      </c>
      <c r="P1198" s="59">
        <f>SUMIFS(Eventos!$G:$G,Eventos!$F:$F,$L1198,Eventos!$D:$D,$C$2,Eventos!$B:$B,PANES_SEMANALES[[#ALL],[JUEVES]])</f>
        <v>0</v>
      </c>
      <c r="Q1198" s="59">
        <f>IF(P1198&lt;&gt;"",SUMIFS(Eventos!$G:$G,Eventos!$B:$B,Q$2,Eventos!$D:$D,$C$2,Eventos!$F:$F,$L1198),"")</f>
        <v>0</v>
      </c>
      <c r="R1198" s="59">
        <f>SUMIFS(Eventos!$G:$G,Eventos!$F:$F,$L1198,Eventos!$D:$D,$C$2,Eventos!$B:$B,PANES_SEMANALES[[#ALL],[SÁBADO]])</f>
        <v>0</v>
      </c>
      <c r="S1198" s="59">
        <f>SUMIFS(Eventos!$G:$G,Eventos!$F:$F,$L1198,Eventos!$D:$D,$C$2,Eventos!$B:$B,PANES_SEMANALES[[#ALL],[DOMINGO]])</f>
        <v>0</v>
      </c>
      <c r="T1198" s="59">
        <f t="shared" si="1"/>
        <v>0</v>
      </c>
    </row>
    <row r="1199" ht="22.5" customHeight="1">
      <c r="M1199" s="59">
        <f>SUMIFS(Eventos!$G:$G,Eventos!$F:$F,$L1199,Eventos!$D:$D,$C$2,Eventos!$B:$B,PANES_SEMANALES[[#ALL],[LUNES]])</f>
        <v>0</v>
      </c>
      <c r="N1199" s="59">
        <f>SUMIFS(Eventos!$G:$G,Eventos!$F:$F,$L1199,Eventos!$D:$D,$C$2,Eventos!$B:$B,PANES_SEMANALES[[#ALL],[MARTES]])</f>
        <v>0</v>
      </c>
      <c r="O1199" s="59">
        <f>SUMIFS(Eventos!$G:$G,Eventos!$F:$F,$L1199,Eventos!$D:$D,$C$2,Eventos!$B:$B,PANES_SEMANALES[[#ALL],[MIÉRCOLES]])</f>
        <v>0</v>
      </c>
      <c r="P1199" s="59">
        <f>SUMIFS(Eventos!$G:$G,Eventos!$F:$F,$L1199,Eventos!$D:$D,$C$2,Eventos!$B:$B,PANES_SEMANALES[[#ALL],[JUEVES]])</f>
        <v>0</v>
      </c>
      <c r="Q1199" s="59">
        <f>IF(P1199&lt;&gt;"",SUMIFS(Eventos!$G:$G,Eventos!$B:$B,Q$2,Eventos!$D:$D,$C$2,Eventos!$F:$F,$L1199),"")</f>
        <v>0</v>
      </c>
      <c r="R1199" s="59">
        <f>SUMIFS(Eventos!$G:$G,Eventos!$F:$F,$L1199,Eventos!$D:$D,$C$2,Eventos!$B:$B,PANES_SEMANALES[[#ALL],[SÁBADO]])</f>
        <v>0</v>
      </c>
      <c r="S1199" s="59">
        <f>SUMIFS(Eventos!$G:$G,Eventos!$F:$F,$L1199,Eventos!$D:$D,$C$2,Eventos!$B:$B,PANES_SEMANALES[[#ALL],[DOMINGO]])</f>
        <v>0</v>
      </c>
      <c r="T1199" s="59">
        <f t="shared" si="1"/>
        <v>0</v>
      </c>
    </row>
    <row r="1200" ht="22.5" customHeight="1">
      <c r="M1200" s="59">
        <f>SUMIFS(Eventos!$G:$G,Eventos!$F:$F,$L1200,Eventos!$D:$D,$C$2,Eventos!$B:$B,PANES_SEMANALES[[#ALL],[LUNES]])</f>
        <v>0</v>
      </c>
      <c r="N1200" s="59">
        <f>SUMIFS(Eventos!$G:$G,Eventos!$F:$F,$L1200,Eventos!$D:$D,$C$2,Eventos!$B:$B,PANES_SEMANALES[[#ALL],[MARTES]])</f>
        <v>0</v>
      </c>
      <c r="O1200" s="59">
        <f>SUMIFS(Eventos!$G:$G,Eventos!$F:$F,$L1200,Eventos!$D:$D,$C$2,Eventos!$B:$B,PANES_SEMANALES[[#ALL],[MIÉRCOLES]])</f>
        <v>0</v>
      </c>
      <c r="P1200" s="59">
        <f>SUMIFS(Eventos!$G:$G,Eventos!$F:$F,$L1200,Eventos!$D:$D,$C$2,Eventos!$B:$B,PANES_SEMANALES[[#ALL],[JUEVES]])</f>
        <v>0</v>
      </c>
      <c r="Q1200" s="59">
        <f>IF(P1200&lt;&gt;"",SUMIFS(Eventos!$G:$G,Eventos!$B:$B,Q$2,Eventos!$D:$D,$C$2,Eventos!$F:$F,$L1200),"")</f>
        <v>0</v>
      </c>
      <c r="R1200" s="59">
        <f>SUMIFS(Eventos!$G:$G,Eventos!$F:$F,$L1200,Eventos!$D:$D,$C$2,Eventos!$B:$B,PANES_SEMANALES[[#ALL],[SÁBADO]])</f>
        <v>0</v>
      </c>
      <c r="S1200" s="59">
        <f>SUMIFS(Eventos!$G:$G,Eventos!$F:$F,$L1200,Eventos!$D:$D,$C$2,Eventos!$B:$B,PANES_SEMANALES[[#ALL],[DOMINGO]])</f>
        <v>0</v>
      </c>
      <c r="T1200" s="59">
        <f t="shared" si="1"/>
        <v>0</v>
      </c>
    </row>
    <row r="1201" ht="22.5" customHeight="1">
      <c r="M1201" s="59">
        <f>SUMIFS(Eventos!$G:$G,Eventos!$F:$F,$L1201,Eventos!$D:$D,$C$2,Eventos!$B:$B,PANES_SEMANALES[[#ALL],[LUNES]])</f>
        <v>0</v>
      </c>
      <c r="N1201" s="59">
        <f>SUMIFS(Eventos!$G:$G,Eventos!$F:$F,$L1201,Eventos!$D:$D,$C$2,Eventos!$B:$B,PANES_SEMANALES[[#ALL],[MARTES]])</f>
        <v>0</v>
      </c>
      <c r="O1201" s="59">
        <f>SUMIFS(Eventos!$G:$G,Eventos!$F:$F,$L1201,Eventos!$D:$D,$C$2,Eventos!$B:$B,PANES_SEMANALES[[#ALL],[MIÉRCOLES]])</f>
        <v>0</v>
      </c>
      <c r="P1201" s="59">
        <f>SUMIFS(Eventos!$G:$G,Eventos!$F:$F,$L1201,Eventos!$D:$D,$C$2,Eventos!$B:$B,PANES_SEMANALES[[#ALL],[JUEVES]])</f>
        <v>0</v>
      </c>
      <c r="Q1201" s="59">
        <f>IF(P1201&lt;&gt;"",SUMIFS(Eventos!$G:$G,Eventos!$B:$B,Q$2,Eventos!$D:$D,$C$2,Eventos!$F:$F,$L1201),"")</f>
        <v>0</v>
      </c>
      <c r="R1201" s="59">
        <f>SUMIFS(Eventos!$G:$G,Eventos!$F:$F,$L1201,Eventos!$D:$D,$C$2,Eventos!$B:$B,PANES_SEMANALES[[#ALL],[SÁBADO]])</f>
        <v>0</v>
      </c>
      <c r="S1201" s="59">
        <f>SUMIFS(Eventos!$G:$G,Eventos!$F:$F,$L1201,Eventos!$D:$D,$C$2,Eventos!$B:$B,PANES_SEMANALES[[#ALL],[DOMINGO]])</f>
        <v>0</v>
      </c>
      <c r="T1201" s="59">
        <f t="shared" si="1"/>
        <v>0</v>
      </c>
    </row>
    <row r="1202" ht="22.5" customHeight="1">
      <c r="M1202" s="59">
        <f>SUMIFS(Eventos!$G:$G,Eventos!$F:$F,$L1202,Eventos!$D:$D,$C$2,Eventos!$B:$B,PANES_SEMANALES[[#ALL],[LUNES]])</f>
        <v>0</v>
      </c>
      <c r="N1202" s="59">
        <f>SUMIFS(Eventos!$G:$G,Eventos!$F:$F,$L1202,Eventos!$D:$D,$C$2,Eventos!$B:$B,PANES_SEMANALES[[#ALL],[MARTES]])</f>
        <v>0</v>
      </c>
      <c r="O1202" s="59">
        <f>SUMIFS(Eventos!$G:$G,Eventos!$F:$F,$L1202,Eventos!$D:$D,$C$2,Eventos!$B:$B,PANES_SEMANALES[[#ALL],[MIÉRCOLES]])</f>
        <v>0</v>
      </c>
      <c r="P1202" s="59">
        <f>SUMIFS(Eventos!$G:$G,Eventos!$F:$F,$L1202,Eventos!$D:$D,$C$2,Eventos!$B:$B,PANES_SEMANALES[[#ALL],[JUEVES]])</f>
        <v>0</v>
      </c>
      <c r="Q1202" s="59">
        <f>IF(P1202&lt;&gt;"",SUMIFS(Eventos!$G:$G,Eventos!$B:$B,Q$2,Eventos!$D:$D,$C$2,Eventos!$F:$F,$L1202),"")</f>
        <v>0</v>
      </c>
      <c r="R1202" s="59">
        <f>SUMIFS(Eventos!$G:$G,Eventos!$F:$F,$L1202,Eventos!$D:$D,$C$2,Eventos!$B:$B,PANES_SEMANALES[[#ALL],[SÁBADO]])</f>
        <v>0</v>
      </c>
      <c r="S1202" s="59">
        <f>SUMIFS(Eventos!$G:$G,Eventos!$F:$F,$L1202,Eventos!$D:$D,$C$2,Eventos!$B:$B,PANES_SEMANALES[[#ALL],[DOMINGO]])</f>
        <v>0</v>
      </c>
      <c r="T1202" s="59">
        <f t="shared" si="1"/>
        <v>0</v>
      </c>
    </row>
    <row r="1203" ht="22.5" customHeight="1">
      <c r="M1203" s="59">
        <f>SUMIFS(Eventos!$G:$G,Eventos!$F:$F,$L1203,Eventos!$D:$D,$C$2,Eventos!$B:$B,PANES_SEMANALES[[#ALL],[LUNES]])</f>
        <v>0</v>
      </c>
      <c r="N1203" s="59">
        <f>SUMIFS(Eventos!$G:$G,Eventos!$F:$F,$L1203,Eventos!$D:$D,$C$2,Eventos!$B:$B,PANES_SEMANALES[[#ALL],[MARTES]])</f>
        <v>0</v>
      </c>
      <c r="O1203" s="59">
        <f>SUMIFS(Eventos!$G:$G,Eventos!$F:$F,$L1203,Eventos!$D:$D,$C$2,Eventos!$B:$B,PANES_SEMANALES[[#ALL],[MIÉRCOLES]])</f>
        <v>0</v>
      </c>
      <c r="P1203" s="59">
        <f>SUMIFS(Eventos!$G:$G,Eventos!$F:$F,$L1203,Eventos!$D:$D,$C$2,Eventos!$B:$B,PANES_SEMANALES[[#ALL],[JUEVES]])</f>
        <v>0</v>
      </c>
      <c r="Q1203" s="59">
        <f>IF(P1203&lt;&gt;"",SUMIFS(Eventos!$G:$G,Eventos!$B:$B,Q$2,Eventos!$D:$D,$C$2,Eventos!$F:$F,$L1203),"")</f>
        <v>0</v>
      </c>
      <c r="R1203" s="59">
        <f>SUMIFS(Eventos!$G:$G,Eventos!$F:$F,$L1203,Eventos!$D:$D,$C$2,Eventos!$B:$B,PANES_SEMANALES[[#ALL],[SÁBADO]])</f>
        <v>0</v>
      </c>
      <c r="S1203" s="59">
        <f>SUMIFS(Eventos!$G:$G,Eventos!$F:$F,$L1203,Eventos!$D:$D,$C$2,Eventos!$B:$B,PANES_SEMANALES[[#ALL],[DOMINGO]])</f>
        <v>0</v>
      </c>
      <c r="T1203" s="59">
        <f t="shared" si="1"/>
        <v>0</v>
      </c>
    </row>
    <row r="1204" ht="22.5" customHeight="1">
      <c r="M1204" s="59">
        <f>SUMIFS(Eventos!$G:$G,Eventos!$F:$F,$L1204,Eventos!$D:$D,$C$2,Eventos!$B:$B,PANES_SEMANALES[[#ALL],[LUNES]])</f>
        <v>0</v>
      </c>
      <c r="N1204" s="59">
        <f>SUMIFS(Eventos!$G:$G,Eventos!$F:$F,$L1204,Eventos!$D:$D,$C$2,Eventos!$B:$B,PANES_SEMANALES[[#ALL],[MARTES]])</f>
        <v>0</v>
      </c>
      <c r="O1204" s="59">
        <f>SUMIFS(Eventos!$G:$G,Eventos!$F:$F,$L1204,Eventos!$D:$D,$C$2,Eventos!$B:$B,PANES_SEMANALES[[#ALL],[MIÉRCOLES]])</f>
        <v>0</v>
      </c>
      <c r="P1204" s="59">
        <f>SUMIFS(Eventos!$G:$G,Eventos!$F:$F,$L1204,Eventos!$D:$D,$C$2,Eventos!$B:$B,PANES_SEMANALES[[#ALL],[JUEVES]])</f>
        <v>0</v>
      </c>
      <c r="Q1204" s="59">
        <f>IF(P1204&lt;&gt;"",SUMIFS(Eventos!$G:$G,Eventos!$B:$B,Q$2,Eventos!$D:$D,$C$2,Eventos!$F:$F,$L1204),"")</f>
        <v>0</v>
      </c>
      <c r="R1204" s="59">
        <f>SUMIFS(Eventos!$G:$G,Eventos!$F:$F,$L1204,Eventos!$D:$D,$C$2,Eventos!$B:$B,PANES_SEMANALES[[#ALL],[SÁBADO]])</f>
        <v>0</v>
      </c>
      <c r="S1204" s="59">
        <f>SUMIFS(Eventos!$G:$G,Eventos!$F:$F,$L1204,Eventos!$D:$D,$C$2,Eventos!$B:$B,PANES_SEMANALES[[#ALL],[DOMINGO]])</f>
        <v>0</v>
      </c>
      <c r="T1204" s="59">
        <f t="shared" si="1"/>
        <v>0</v>
      </c>
    </row>
    <row r="1205" ht="22.5" customHeight="1">
      <c r="M1205" s="59">
        <f>SUMIFS(Eventos!$G:$G,Eventos!$F:$F,$L1205,Eventos!$D:$D,$C$2,Eventos!$B:$B,PANES_SEMANALES[[#ALL],[LUNES]])</f>
        <v>0</v>
      </c>
      <c r="N1205" s="59">
        <f>SUMIFS(Eventos!$G:$G,Eventos!$F:$F,$L1205,Eventos!$D:$D,$C$2,Eventos!$B:$B,PANES_SEMANALES[[#ALL],[MARTES]])</f>
        <v>0</v>
      </c>
      <c r="O1205" s="59">
        <f>SUMIFS(Eventos!$G:$G,Eventos!$F:$F,$L1205,Eventos!$D:$D,$C$2,Eventos!$B:$B,PANES_SEMANALES[[#ALL],[MIÉRCOLES]])</f>
        <v>0</v>
      </c>
      <c r="P1205" s="59">
        <f>SUMIFS(Eventos!$G:$G,Eventos!$F:$F,$L1205,Eventos!$D:$D,$C$2,Eventos!$B:$B,PANES_SEMANALES[[#ALL],[JUEVES]])</f>
        <v>0</v>
      </c>
      <c r="Q1205" s="59">
        <f>IF(P1205&lt;&gt;"",SUMIFS(Eventos!$G:$G,Eventos!$B:$B,Q$2,Eventos!$D:$D,$C$2,Eventos!$F:$F,$L1205),"")</f>
        <v>0</v>
      </c>
      <c r="R1205" s="59">
        <f>SUMIFS(Eventos!$G:$G,Eventos!$F:$F,$L1205,Eventos!$D:$D,$C$2,Eventos!$B:$B,PANES_SEMANALES[[#ALL],[SÁBADO]])</f>
        <v>0</v>
      </c>
      <c r="S1205" s="59">
        <f>SUMIFS(Eventos!$G:$G,Eventos!$F:$F,$L1205,Eventos!$D:$D,$C$2,Eventos!$B:$B,PANES_SEMANALES[[#ALL],[DOMINGO]])</f>
        <v>0</v>
      </c>
      <c r="T1205" s="59">
        <f t="shared" si="1"/>
        <v>0</v>
      </c>
    </row>
    <row r="1206" ht="22.5" customHeight="1">
      <c r="M1206" s="59">
        <f>SUMIFS(Eventos!$G:$G,Eventos!$F:$F,$L1206,Eventos!$D:$D,$C$2,Eventos!$B:$B,PANES_SEMANALES[[#ALL],[LUNES]])</f>
        <v>0</v>
      </c>
      <c r="N1206" s="59">
        <f>SUMIFS(Eventos!$G:$G,Eventos!$F:$F,$L1206,Eventos!$D:$D,$C$2,Eventos!$B:$B,PANES_SEMANALES[[#ALL],[MARTES]])</f>
        <v>0</v>
      </c>
      <c r="O1206" s="59">
        <f>SUMIFS(Eventos!$G:$G,Eventos!$F:$F,$L1206,Eventos!$D:$D,$C$2,Eventos!$B:$B,PANES_SEMANALES[[#ALL],[MIÉRCOLES]])</f>
        <v>0</v>
      </c>
      <c r="P1206" s="59">
        <f>SUMIFS(Eventos!$G:$G,Eventos!$F:$F,$L1206,Eventos!$D:$D,$C$2,Eventos!$B:$B,PANES_SEMANALES[[#ALL],[JUEVES]])</f>
        <v>0</v>
      </c>
      <c r="Q1206" s="59">
        <f>IF(P1206&lt;&gt;"",SUMIFS(Eventos!$G:$G,Eventos!$B:$B,Q$2,Eventos!$D:$D,$C$2,Eventos!$F:$F,$L1206),"")</f>
        <v>0</v>
      </c>
      <c r="R1206" s="59">
        <f>SUMIFS(Eventos!$G:$G,Eventos!$F:$F,$L1206,Eventos!$D:$D,$C$2,Eventos!$B:$B,PANES_SEMANALES[[#ALL],[SÁBADO]])</f>
        <v>0</v>
      </c>
      <c r="S1206" s="59">
        <f>SUMIFS(Eventos!$G:$G,Eventos!$F:$F,$L1206,Eventos!$D:$D,$C$2,Eventos!$B:$B,PANES_SEMANALES[[#ALL],[DOMINGO]])</f>
        <v>0</v>
      </c>
      <c r="T1206" s="59">
        <f t="shared" si="1"/>
        <v>0</v>
      </c>
    </row>
    <row r="1207" ht="22.5" customHeight="1">
      <c r="M1207" s="59">
        <f>SUMIFS(Eventos!$G:$G,Eventos!$F:$F,$L1207,Eventos!$D:$D,$C$2,Eventos!$B:$B,PANES_SEMANALES[[#ALL],[LUNES]])</f>
        <v>0</v>
      </c>
      <c r="N1207" s="59">
        <f>SUMIFS(Eventos!$G:$G,Eventos!$F:$F,$L1207,Eventos!$D:$D,$C$2,Eventos!$B:$B,PANES_SEMANALES[[#ALL],[MARTES]])</f>
        <v>0</v>
      </c>
      <c r="O1207" s="59">
        <f>SUMIFS(Eventos!$G:$G,Eventos!$F:$F,$L1207,Eventos!$D:$D,$C$2,Eventos!$B:$B,PANES_SEMANALES[[#ALL],[MIÉRCOLES]])</f>
        <v>0</v>
      </c>
      <c r="P1207" s="59">
        <f>SUMIFS(Eventos!$G:$G,Eventos!$F:$F,$L1207,Eventos!$D:$D,$C$2,Eventos!$B:$B,PANES_SEMANALES[[#ALL],[JUEVES]])</f>
        <v>0</v>
      </c>
      <c r="Q1207" s="59">
        <f>IF(P1207&lt;&gt;"",SUMIFS(Eventos!$G:$G,Eventos!$B:$B,Q$2,Eventos!$D:$D,$C$2,Eventos!$F:$F,$L1207),"")</f>
        <v>0</v>
      </c>
      <c r="R1207" s="59">
        <f>SUMIFS(Eventos!$G:$G,Eventos!$F:$F,$L1207,Eventos!$D:$D,$C$2,Eventos!$B:$B,PANES_SEMANALES[[#ALL],[SÁBADO]])</f>
        <v>0</v>
      </c>
      <c r="S1207" s="59">
        <f>SUMIFS(Eventos!$G:$G,Eventos!$F:$F,$L1207,Eventos!$D:$D,$C$2,Eventos!$B:$B,PANES_SEMANALES[[#ALL],[DOMINGO]])</f>
        <v>0</v>
      </c>
      <c r="T1207" s="59">
        <f t="shared" si="1"/>
        <v>0</v>
      </c>
    </row>
    <row r="1208" ht="22.5" customHeight="1">
      <c r="M1208" s="59">
        <f>SUMIFS(Eventos!$G:$G,Eventos!$F:$F,$L1208,Eventos!$D:$D,$C$2,Eventos!$B:$B,PANES_SEMANALES[[#ALL],[LUNES]])</f>
        <v>0</v>
      </c>
      <c r="N1208" s="59">
        <f>SUMIFS(Eventos!$G:$G,Eventos!$F:$F,$L1208,Eventos!$D:$D,$C$2,Eventos!$B:$B,PANES_SEMANALES[[#ALL],[MARTES]])</f>
        <v>0</v>
      </c>
      <c r="O1208" s="59">
        <f>SUMIFS(Eventos!$G:$G,Eventos!$F:$F,$L1208,Eventos!$D:$D,$C$2,Eventos!$B:$B,PANES_SEMANALES[[#ALL],[MIÉRCOLES]])</f>
        <v>0</v>
      </c>
      <c r="P1208" s="59">
        <f>SUMIFS(Eventos!$G:$G,Eventos!$F:$F,$L1208,Eventos!$D:$D,$C$2,Eventos!$B:$B,PANES_SEMANALES[[#ALL],[JUEVES]])</f>
        <v>0</v>
      </c>
      <c r="Q1208" s="59">
        <f>IF(P1208&lt;&gt;"",SUMIFS(Eventos!$G:$G,Eventos!$B:$B,Q$2,Eventos!$D:$D,$C$2,Eventos!$F:$F,$L1208),"")</f>
        <v>0</v>
      </c>
      <c r="R1208" s="59">
        <f>SUMIFS(Eventos!$G:$G,Eventos!$F:$F,$L1208,Eventos!$D:$D,$C$2,Eventos!$B:$B,PANES_SEMANALES[[#ALL],[SÁBADO]])</f>
        <v>0</v>
      </c>
      <c r="S1208" s="59">
        <f>SUMIFS(Eventos!$G:$G,Eventos!$F:$F,$L1208,Eventos!$D:$D,$C$2,Eventos!$B:$B,PANES_SEMANALES[[#ALL],[DOMINGO]])</f>
        <v>0</v>
      </c>
      <c r="T1208" s="59">
        <f t="shared" si="1"/>
        <v>0</v>
      </c>
    </row>
    <row r="1209" ht="22.5" customHeight="1">
      <c r="M1209" s="59">
        <f>SUMIFS(Eventos!$G:$G,Eventos!$F:$F,$L1209,Eventos!$D:$D,$C$2,Eventos!$B:$B,PANES_SEMANALES[[#ALL],[LUNES]])</f>
        <v>0</v>
      </c>
      <c r="N1209" s="59">
        <f>SUMIFS(Eventos!$G:$G,Eventos!$F:$F,$L1209,Eventos!$D:$D,$C$2,Eventos!$B:$B,PANES_SEMANALES[[#ALL],[MARTES]])</f>
        <v>0</v>
      </c>
      <c r="O1209" s="59">
        <f>SUMIFS(Eventos!$G:$G,Eventos!$F:$F,$L1209,Eventos!$D:$D,$C$2,Eventos!$B:$B,PANES_SEMANALES[[#ALL],[MIÉRCOLES]])</f>
        <v>0</v>
      </c>
      <c r="P1209" s="59">
        <f>SUMIFS(Eventos!$G:$G,Eventos!$F:$F,$L1209,Eventos!$D:$D,$C$2,Eventos!$B:$B,PANES_SEMANALES[[#ALL],[JUEVES]])</f>
        <v>0</v>
      </c>
      <c r="Q1209" s="59">
        <f>IF(P1209&lt;&gt;"",SUMIFS(Eventos!$G:$G,Eventos!$B:$B,Q$2,Eventos!$D:$D,$C$2,Eventos!$F:$F,$L1209),"")</f>
        <v>0</v>
      </c>
      <c r="R1209" s="59">
        <f>SUMIFS(Eventos!$G:$G,Eventos!$F:$F,$L1209,Eventos!$D:$D,$C$2,Eventos!$B:$B,PANES_SEMANALES[[#ALL],[SÁBADO]])</f>
        <v>0</v>
      </c>
      <c r="S1209" s="59">
        <f>SUMIFS(Eventos!$G:$G,Eventos!$F:$F,$L1209,Eventos!$D:$D,$C$2,Eventos!$B:$B,PANES_SEMANALES[[#ALL],[DOMINGO]])</f>
        <v>0</v>
      </c>
      <c r="T1209" s="59">
        <f t="shared" si="1"/>
        <v>0</v>
      </c>
    </row>
    <row r="1210" ht="22.5" customHeight="1">
      <c r="M1210" s="59">
        <f>SUMIFS(Eventos!$G:$G,Eventos!$F:$F,$L1210,Eventos!$D:$D,$C$2,Eventos!$B:$B,PANES_SEMANALES[[#ALL],[LUNES]])</f>
        <v>0</v>
      </c>
      <c r="N1210" s="59">
        <f>SUMIFS(Eventos!$G:$G,Eventos!$F:$F,$L1210,Eventos!$D:$D,$C$2,Eventos!$B:$B,PANES_SEMANALES[[#ALL],[MARTES]])</f>
        <v>0</v>
      </c>
      <c r="O1210" s="59">
        <f>SUMIFS(Eventos!$G:$G,Eventos!$F:$F,$L1210,Eventos!$D:$D,$C$2,Eventos!$B:$B,PANES_SEMANALES[[#ALL],[MIÉRCOLES]])</f>
        <v>0</v>
      </c>
      <c r="P1210" s="59">
        <f>SUMIFS(Eventos!$G:$G,Eventos!$F:$F,$L1210,Eventos!$D:$D,$C$2,Eventos!$B:$B,PANES_SEMANALES[[#ALL],[JUEVES]])</f>
        <v>0</v>
      </c>
      <c r="Q1210" s="59">
        <f>IF(P1210&lt;&gt;"",SUMIFS(Eventos!$G:$G,Eventos!$B:$B,Q$2,Eventos!$D:$D,$C$2,Eventos!$F:$F,$L1210),"")</f>
        <v>0</v>
      </c>
      <c r="R1210" s="59">
        <f>SUMIFS(Eventos!$G:$G,Eventos!$F:$F,$L1210,Eventos!$D:$D,$C$2,Eventos!$B:$B,PANES_SEMANALES[[#ALL],[SÁBADO]])</f>
        <v>0</v>
      </c>
      <c r="S1210" s="59">
        <f>SUMIFS(Eventos!$G:$G,Eventos!$F:$F,$L1210,Eventos!$D:$D,$C$2,Eventos!$B:$B,PANES_SEMANALES[[#ALL],[DOMINGO]])</f>
        <v>0</v>
      </c>
      <c r="T1210" s="59">
        <f t="shared" si="1"/>
        <v>0</v>
      </c>
    </row>
    <row r="1211" ht="22.5" customHeight="1">
      <c r="M1211" s="59">
        <f>SUMIFS(Eventos!$G:$G,Eventos!$F:$F,$L1211,Eventos!$D:$D,$C$2,Eventos!$B:$B,PANES_SEMANALES[[#ALL],[LUNES]])</f>
        <v>0</v>
      </c>
      <c r="N1211" s="59">
        <f>SUMIFS(Eventos!$G:$G,Eventos!$F:$F,$L1211,Eventos!$D:$D,$C$2,Eventos!$B:$B,PANES_SEMANALES[[#ALL],[MARTES]])</f>
        <v>0</v>
      </c>
      <c r="O1211" s="59">
        <f>SUMIFS(Eventos!$G:$G,Eventos!$F:$F,$L1211,Eventos!$D:$D,$C$2,Eventos!$B:$B,PANES_SEMANALES[[#ALL],[MIÉRCOLES]])</f>
        <v>0</v>
      </c>
      <c r="P1211" s="59">
        <f>SUMIFS(Eventos!$G:$G,Eventos!$F:$F,$L1211,Eventos!$D:$D,$C$2,Eventos!$B:$B,PANES_SEMANALES[[#ALL],[JUEVES]])</f>
        <v>0</v>
      </c>
      <c r="Q1211" s="59">
        <f>IF(P1211&lt;&gt;"",SUMIFS(Eventos!$G:$G,Eventos!$B:$B,Q$2,Eventos!$D:$D,$C$2,Eventos!$F:$F,$L1211),"")</f>
        <v>0</v>
      </c>
      <c r="R1211" s="59">
        <f>SUMIFS(Eventos!$G:$G,Eventos!$F:$F,$L1211,Eventos!$D:$D,$C$2,Eventos!$B:$B,PANES_SEMANALES[[#ALL],[SÁBADO]])</f>
        <v>0</v>
      </c>
      <c r="S1211" s="59">
        <f>SUMIFS(Eventos!$G:$G,Eventos!$F:$F,$L1211,Eventos!$D:$D,$C$2,Eventos!$B:$B,PANES_SEMANALES[[#ALL],[DOMINGO]])</f>
        <v>0</v>
      </c>
      <c r="T1211" s="59">
        <f t="shared" si="1"/>
        <v>0</v>
      </c>
    </row>
    <row r="1212" ht="22.5" customHeight="1">
      <c r="M1212" s="59">
        <f>SUMIFS(Eventos!$G:$G,Eventos!$F:$F,$L1212,Eventos!$D:$D,$C$2,Eventos!$B:$B,PANES_SEMANALES[[#ALL],[LUNES]])</f>
        <v>0</v>
      </c>
      <c r="N1212" s="59">
        <f>SUMIFS(Eventos!$G:$G,Eventos!$F:$F,$L1212,Eventos!$D:$D,$C$2,Eventos!$B:$B,PANES_SEMANALES[[#ALL],[MARTES]])</f>
        <v>0</v>
      </c>
      <c r="O1212" s="59">
        <f>SUMIFS(Eventos!$G:$G,Eventos!$F:$F,$L1212,Eventos!$D:$D,$C$2,Eventos!$B:$B,PANES_SEMANALES[[#ALL],[MIÉRCOLES]])</f>
        <v>0</v>
      </c>
      <c r="P1212" s="59">
        <f>SUMIFS(Eventos!$G:$G,Eventos!$F:$F,$L1212,Eventos!$D:$D,$C$2,Eventos!$B:$B,PANES_SEMANALES[[#ALL],[JUEVES]])</f>
        <v>0</v>
      </c>
      <c r="Q1212" s="59">
        <f>IF(P1212&lt;&gt;"",SUMIFS(Eventos!$G:$G,Eventos!$B:$B,Q$2,Eventos!$D:$D,$C$2,Eventos!$F:$F,$L1212),"")</f>
        <v>0</v>
      </c>
      <c r="R1212" s="59">
        <f>SUMIFS(Eventos!$G:$G,Eventos!$F:$F,$L1212,Eventos!$D:$D,$C$2,Eventos!$B:$B,PANES_SEMANALES[[#ALL],[SÁBADO]])</f>
        <v>0</v>
      </c>
      <c r="S1212" s="59">
        <f>SUMIFS(Eventos!$G:$G,Eventos!$F:$F,$L1212,Eventos!$D:$D,$C$2,Eventos!$B:$B,PANES_SEMANALES[[#ALL],[DOMINGO]])</f>
        <v>0</v>
      </c>
      <c r="T1212" s="59">
        <f t="shared" si="1"/>
        <v>0</v>
      </c>
    </row>
    <row r="1213" ht="22.5" customHeight="1">
      <c r="M1213" s="59">
        <f>SUMIFS(Eventos!$G:$G,Eventos!$F:$F,$L1213,Eventos!$D:$D,$C$2,Eventos!$B:$B,PANES_SEMANALES[[#ALL],[LUNES]])</f>
        <v>0</v>
      </c>
      <c r="N1213" s="59">
        <f>SUMIFS(Eventos!$G:$G,Eventos!$F:$F,$L1213,Eventos!$D:$D,$C$2,Eventos!$B:$B,PANES_SEMANALES[[#ALL],[MARTES]])</f>
        <v>0</v>
      </c>
      <c r="O1213" s="59">
        <f>SUMIFS(Eventos!$G:$G,Eventos!$F:$F,$L1213,Eventos!$D:$D,$C$2,Eventos!$B:$B,PANES_SEMANALES[[#ALL],[MIÉRCOLES]])</f>
        <v>0</v>
      </c>
      <c r="P1213" s="59">
        <f>SUMIFS(Eventos!$G:$G,Eventos!$F:$F,$L1213,Eventos!$D:$D,$C$2,Eventos!$B:$B,PANES_SEMANALES[[#ALL],[JUEVES]])</f>
        <v>0</v>
      </c>
      <c r="Q1213" s="59">
        <f>IF(P1213&lt;&gt;"",SUMIFS(Eventos!$G:$G,Eventos!$B:$B,Q$2,Eventos!$D:$D,$C$2,Eventos!$F:$F,$L1213),"")</f>
        <v>0</v>
      </c>
      <c r="R1213" s="59">
        <f>SUMIFS(Eventos!$G:$G,Eventos!$F:$F,$L1213,Eventos!$D:$D,$C$2,Eventos!$B:$B,PANES_SEMANALES[[#ALL],[SÁBADO]])</f>
        <v>0</v>
      </c>
      <c r="S1213" s="59">
        <f>SUMIFS(Eventos!$G:$G,Eventos!$F:$F,$L1213,Eventos!$D:$D,$C$2,Eventos!$B:$B,PANES_SEMANALES[[#ALL],[DOMINGO]])</f>
        <v>0</v>
      </c>
      <c r="T1213" s="59">
        <f t="shared" si="1"/>
        <v>0</v>
      </c>
    </row>
    <row r="1214" ht="22.5" customHeight="1">
      <c r="M1214" s="59">
        <f>SUMIFS(Eventos!$G:$G,Eventos!$F:$F,$L1214,Eventos!$D:$D,$C$2,Eventos!$B:$B,PANES_SEMANALES[[#ALL],[LUNES]])</f>
        <v>0</v>
      </c>
      <c r="N1214" s="59">
        <f>SUMIFS(Eventos!$G:$G,Eventos!$F:$F,$L1214,Eventos!$D:$D,$C$2,Eventos!$B:$B,PANES_SEMANALES[[#ALL],[MARTES]])</f>
        <v>0</v>
      </c>
      <c r="O1214" s="59">
        <f>SUMIFS(Eventos!$G:$G,Eventos!$F:$F,$L1214,Eventos!$D:$D,$C$2,Eventos!$B:$B,PANES_SEMANALES[[#ALL],[MIÉRCOLES]])</f>
        <v>0</v>
      </c>
      <c r="P1214" s="59">
        <f>SUMIFS(Eventos!$G:$G,Eventos!$F:$F,$L1214,Eventos!$D:$D,$C$2,Eventos!$B:$B,PANES_SEMANALES[[#ALL],[JUEVES]])</f>
        <v>0</v>
      </c>
      <c r="Q1214" s="59">
        <f>IF(P1214&lt;&gt;"",SUMIFS(Eventos!$G:$G,Eventos!$B:$B,Q$2,Eventos!$D:$D,$C$2,Eventos!$F:$F,$L1214),"")</f>
        <v>0</v>
      </c>
      <c r="R1214" s="59">
        <f>SUMIFS(Eventos!$G:$G,Eventos!$F:$F,$L1214,Eventos!$D:$D,$C$2,Eventos!$B:$B,PANES_SEMANALES[[#ALL],[SÁBADO]])</f>
        <v>0</v>
      </c>
      <c r="S1214" s="59">
        <f>SUMIFS(Eventos!$G:$G,Eventos!$F:$F,$L1214,Eventos!$D:$D,$C$2,Eventos!$B:$B,PANES_SEMANALES[[#ALL],[DOMINGO]])</f>
        <v>0</v>
      </c>
      <c r="T1214" s="59">
        <f t="shared" si="1"/>
        <v>0</v>
      </c>
    </row>
    <row r="1215" ht="22.5" customHeight="1">
      <c r="M1215" s="59">
        <f>SUMIFS(Eventos!$G:$G,Eventos!$F:$F,$L1215,Eventos!$D:$D,$C$2,Eventos!$B:$B,PANES_SEMANALES[[#ALL],[LUNES]])</f>
        <v>0</v>
      </c>
      <c r="N1215" s="59">
        <f>SUMIFS(Eventos!$G:$G,Eventos!$F:$F,$L1215,Eventos!$D:$D,$C$2,Eventos!$B:$B,PANES_SEMANALES[[#ALL],[MARTES]])</f>
        <v>0</v>
      </c>
      <c r="O1215" s="59">
        <f>SUMIFS(Eventos!$G:$G,Eventos!$F:$F,$L1215,Eventos!$D:$D,$C$2,Eventos!$B:$B,PANES_SEMANALES[[#ALL],[MIÉRCOLES]])</f>
        <v>0</v>
      </c>
      <c r="P1215" s="59">
        <f>SUMIFS(Eventos!$G:$G,Eventos!$F:$F,$L1215,Eventos!$D:$D,$C$2,Eventos!$B:$B,PANES_SEMANALES[[#ALL],[JUEVES]])</f>
        <v>0</v>
      </c>
      <c r="Q1215" s="59">
        <f>IF(P1215&lt;&gt;"",SUMIFS(Eventos!$G:$G,Eventos!$B:$B,Q$2,Eventos!$D:$D,$C$2,Eventos!$F:$F,$L1215),"")</f>
        <v>0</v>
      </c>
      <c r="R1215" s="59">
        <f>SUMIFS(Eventos!$G:$G,Eventos!$F:$F,$L1215,Eventos!$D:$D,$C$2,Eventos!$B:$B,PANES_SEMANALES[[#ALL],[SÁBADO]])</f>
        <v>0</v>
      </c>
      <c r="S1215" s="59">
        <f>SUMIFS(Eventos!$G:$G,Eventos!$F:$F,$L1215,Eventos!$D:$D,$C$2,Eventos!$B:$B,PANES_SEMANALES[[#ALL],[DOMINGO]])</f>
        <v>0</v>
      </c>
      <c r="T1215" s="59">
        <f t="shared" si="1"/>
        <v>0</v>
      </c>
    </row>
    <row r="1216" ht="22.5" customHeight="1">
      <c r="M1216" s="59">
        <f>SUMIFS(Eventos!$G:$G,Eventos!$F:$F,$L1216,Eventos!$D:$D,$C$2,Eventos!$B:$B,PANES_SEMANALES[[#ALL],[LUNES]])</f>
        <v>0</v>
      </c>
      <c r="N1216" s="59">
        <f>SUMIFS(Eventos!$G:$G,Eventos!$F:$F,$L1216,Eventos!$D:$D,$C$2,Eventos!$B:$B,PANES_SEMANALES[[#ALL],[MARTES]])</f>
        <v>0</v>
      </c>
      <c r="O1216" s="59">
        <f>SUMIFS(Eventos!$G:$G,Eventos!$F:$F,$L1216,Eventos!$D:$D,$C$2,Eventos!$B:$B,PANES_SEMANALES[[#ALL],[MIÉRCOLES]])</f>
        <v>0</v>
      </c>
      <c r="P1216" s="59">
        <f>SUMIFS(Eventos!$G:$G,Eventos!$F:$F,$L1216,Eventos!$D:$D,$C$2,Eventos!$B:$B,PANES_SEMANALES[[#ALL],[JUEVES]])</f>
        <v>0</v>
      </c>
      <c r="Q1216" s="59">
        <f>IF(P1216&lt;&gt;"",SUMIFS(Eventos!$G:$G,Eventos!$B:$B,Q$2,Eventos!$D:$D,$C$2,Eventos!$F:$F,$L1216),"")</f>
        <v>0</v>
      </c>
      <c r="R1216" s="59">
        <f>SUMIFS(Eventos!$G:$G,Eventos!$F:$F,$L1216,Eventos!$D:$D,$C$2,Eventos!$B:$B,PANES_SEMANALES[[#ALL],[SÁBADO]])</f>
        <v>0</v>
      </c>
      <c r="S1216" s="59">
        <f>SUMIFS(Eventos!$G:$G,Eventos!$F:$F,$L1216,Eventos!$D:$D,$C$2,Eventos!$B:$B,PANES_SEMANALES[[#ALL],[DOMINGO]])</f>
        <v>0</v>
      </c>
      <c r="T1216" s="59">
        <f t="shared" si="1"/>
        <v>0</v>
      </c>
    </row>
    <row r="1217" ht="22.5" customHeight="1">
      <c r="M1217" s="59">
        <f>SUMIFS(Eventos!$G:$G,Eventos!$F:$F,$L1217,Eventos!$D:$D,$C$2,Eventos!$B:$B,PANES_SEMANALES[[#ALL],[LUNES]])</f>
        <v>0</v>
      </c>
      <c r="N1217" s="59">
        <f>SUMIFS(Eventos!$G:$G,Eventos!$F:$F,$L1217,Eventos!$D:$D,$C$2,Eventos!$B:$B,PANES_SEMANALES[[#ALL],[MARTES]])</f>
        <v>0</v>
      </c>
      <c r="O1217" s="59">
        <f>SUMIFS(Eventos!$G:$G,Eventos!$F:$F,$L1217,Eventos!$D:$D,$C$2,Eventos!$B:$B,PANES_SEMANALES[[#ALL],[MIÉRCOLES]])</f>
        <v>0</v>
      </c>
      <c r="P1217" s="59">
        <f>SUMIFS(Eventos!$G:$G,Eventos!$F:$F,$L1217,Eventos!$D:$D,$C$2,Eventos!$B:$B,PANES_SEMANALES[[#ALL],[JUEVES]])</f>
        <v>0</v>
      </c>
      <c r="Q1217" s="59">
        <f>IF(P1217&lt;&gt;"",SUMIFS(Eventos!$G:$G,Eventos!$B:$B,Q$2,Eventos!$D:$D,$C$2,Eventos!$F:$F,$L1217),"")</f>
        <v>0</v>
      </c>
      <c r="R1217" s="59">
        <f>SUMIFS(Eventos!$G:$G,Eventos!$F:$F,$L1217,Eventos!$D:$D,$C$2,Eventos!$B:$B,PANES_SEMANALES[[#ALL],[SÁBADO]])</f>
        <v>0</v>
      </c>
      <c r="S1217" s="59">
        <f>SUMIFS(Eventos!$G:$G,Eventos!$F:$F,$L1217,Eventos!$D:$D,$C$2,Eventos!$B:$B,PANES_SEMANALES[[#ALL],[DOMINGO]])</f>
        <v>0</v>
      </c>
      <c r="T1217" s="59">
        <f t="shared" si="1"/>
        <v>0</v>
      </c>
    </row>
    <row r="1218" ht="22.5" customHeight="1">
      <c r="M1218" s="59">
        <f>SUMIFS(Eventos!$G:$G,Eventos!$F:$F,$L1218,Eventos!$D:$D,$C$2,Eventos!$B:$B,PANES_SEMANALES[[#ALL],[LUNES]])</f>
        <v>0</v>
      </c>
      <c r="N1218" s="59">
        <f>SUMIFS(Eventos!$G:$G,Eventos!$F:$F,$L1218,Eventos!$D:$D,$C$2,Eventos!$B:$B,PANES_SEMANALES[[#ALL],[MARTES]])</f>
        <v>0</v>
      </c>
      <c r="O1218" s="59">
        <f>SUMIFS(Eventos!$G:$G,Eventos!$F:$F,$L1218,Eventos!$D:$D,$C$2,Eventos!$B:$B,PANES_SEMANALES[[#ALL],[MIÉRCOLES]])</f>
        <v>0</v>
      </c>
      <c r="P1218" s="59">
        <f>SUMIFS(Eventos!$G:$G,Eventos!$F:$F,$L1218,Eventos!$D:$D,$C$2,Eventos!$B:$B,PANES_SEMANALES[[#ALL],[JUEVES]])</f>
        <v>0</v>
      </c>
      <c r="Q1218" s="59">
        <f>IF(P1218&lt;&gt;"",SUMIFS(Eventos!$G:$G,Eventos!$B:$B,Q$2,Eventos!$D:$D,$C$2,Eventos!$F:$F,$L1218),"")</f>
        <v>0</v>
      </c>
      <c r="R1218" s="59">
        <f>SUMIFS(Eventos!$G:$G,Eventos!$F:$F,$L1218,Eventos!$D:$D,$C$2,Eventos!$B:$B,PANES_SEMANALES[[#ALL],[SÁBADO]])</f>
        <v>0</v>
      </c>
      <c r="S1218" s="59">
        <f>SUMIFS(Eventos!$G:$G,Eventos!$F:$F,$L1218,Eventos!$D:$D,$C$2,Eventos!$B:$B,PANES_SEMANALES[[#ALL],[DOMINGO]])</f>
        <v>0</v>
      </c>
      <c r="T1218" s="59">
        <f t="shared" si="1"/>
        <v>0</v>
      </c>
    </row>
    <row r="1219" ht="22.5" customHeight="1">
      <c r="M1219" s="59">
        <f>SUMIFS(Eventos!$G:$G,Eventos!$F:$F,$L1219,Eventos!$D:$D,$C$2,Eventos!$B:$B,PANES_SEMANALES[[#ALL],[LUNES]])</f>
        <v>0</v>
      </c>
      <c r="N1219" s="59">
        <f>SUMIFS(Eventos!$G:$G,Eventos!$F:$F,$L1219,Eventos!$D:$D,$C$2,Eventos!$B:$B,PANES_SEMANALES[[#ALL],[MARTES]])</f>
        <v>0</v>
      </c>
      <c r="O1219" s="59">
        <f>SUMIFS(Eventos!$G:$G,Eventos!$F:$F,$L1219,Eventos!$D:$D,$C$2,Eventos!$B:$B,PANES_SEMANALES[[#ALL],[MIÉRCOLES]])</f>
        <v>0</v>
      </c>
      <c r="P1219" s="59">
        <f>SUMIFS(Eventos!$G:$G,Eventos!$F:$F,$L1219,Eventos!$D:$D,$C$2,Eventos!$B:$B,PANES_SEMANALES[[#ALL],[JUEVES]])</f>
        <v>0</v>
      </c>
      <c r="Q1219" s="59">
        <f>IF(P1219&lt;&gt;"",SUMIFS(Eventos!$G:$G,Eventos!$B:$B,Q$2,Eventos!$D:$D,$C$2,Eventos!$F:$F,$L1219),"")</f>
        <v>0</v>
      </c>
      <c r="R1219" s="59">
        <f>SUMIFS(Eventos!$G:$G,Eventos!$F:$F,$L1219,Eventos!$D:$D,$C$2,Eventos!$B:$B,PANES_SEMANALES[[#ALL],[SÁBADO]])</f>
        <v>0</v>
      </c>
      <c r="S1219" s="59">
        <f>SUMIFS(Eventos!$G:$G,Eventos!$F:$F,$L1219,Eventos!$D:$D,$C$2,Eventos!$B:$B,PANES_SEMANALES[[#ALL],[DOMINGO]])</f>
        <v>0</v>
      </c>
      <c r="T1219" s="59">
        <f t="shared" si="1"/>
        <v>0</v>
      </c>
    </row>
    <row r="1220" ht="22.5" customHeight="1">
      <c r="M1220" s="59">
        <f>SUMIFS(Eventos!$G:$G,Eventos!$F:$F,$L1220,Eventos!$D:$D,$C$2,Eventos!$B:$B,PANES_SEMANALES[[#ALL],[LUNES]])</f>
        <v>0</v>
      </c>
      <c r="N1220" s="59">
        <f>SUMIFS(Eventos!$G:$G,Eventos!$F:$F,$L1220,Eventos!$D:$D,$C$2,Eventos!$B:$B,PANES_SEMANALES[[#ALL],[MARTES]])</f>
        <v>0</v>
      </c>
      <c r="O1220" s="59">
        <f>SUMIFS(Eventos!$G:$G,Eventos!$F:$F,$L1220,Eventos!$D:$D,$C$2,Eventos!$B:$B,PANES_SEMANALES[[#ALL],[MIÉRCOLES]])</f>
        <v>0</v>
      </c>
      <c r="P1220" s="59">
        <f>SUMIFS(Eventos!$G:$G,Eventos!$F:$F,$L1220,Eventos!$D:$D,$C$2,Eventos!$B:$B,PANES_SEMANALES[[#ALL],[JUEVES]])</f>
        <v>0</v>
      </c>
      <c r="Q1220" s="59">
        <f>IF(P1220&lt;&gt;"",SUMIFS(Eventos!$G:$G,Eventos!$B:$B,Q$2,Eventos!$D:$D,$C$2,Eventos!$F:$F,$L1220),"")</f>
        <v>0</v>
      </c>
      <c r="R1220" s="59">
        <f>SUMIFS(Eventos!$G:$G,Eventos!$F:$F,$L1220,Eventos!$D:$D,$C$2,Eventos!$B:$B,PANES_SEMANALES[[#ALL],[SÁBADO]])</f>
        <v>0</v>
      </c>
      <c r="S1220" s="59">
        <f>SUMIFS(Eventos!$G:$G,Eventos!$F:$F,$L1220,Eventos!$D:$D,$C$2,Eventos!$B:$B,PANES_SEMANALES[[#ALL],[DOMINGO]])</f>
        <v>0</v>
      </c>
      <c r="T1220" s="59">
        <f t="shared" si="1"/>
        <v>0</v>
      </c>
    </row>
    <row r="1221" ht="22.5" customHeight="1">
      <c r="M1221" s="59">
        <f>SUMIFS(Eventos!$G:$G,Eventos!$F:$F,$L1221,Eventos!$D:$D,$C$2,Eventos!$B:$B,PANES_SEMANALES[[#ALL],[LUNES]])</f>
        <v>0</v>
      </c>
      <c r="N1221" s="59">
        <f>SUMIFS(Eventos!$G:$G,Eventos!$F:$F,$L1221,Eventos!$D:$D,$C$2,Eventos!$B:$B,PANES_SEMANALES[[#ALL],[MARTES]])</f>
        <v>0</v>
      </c>
      <c r="O1221" s="59">
        <f>SUMIFS(Eventos!$G:$G,Eventos!$F:$F,$L1221,Eventos!$D:$D,$C$2,Eventos!$B:$B,PANES_SEMANALES[[#ALL],[MIÉRCOLES]])</f>
        <v>0</v>
      </c>
      <c r="P1221" s="59">
        <f>SUMIFS(Eventos!$G:$G,Eventos!$F:$F,$L1221,Eventos!$D:$D,$C$2,Eventos!$B:$B,PANES_SEMANALES[[#ALL],[JUEVES]])</f>
        <v>0</v>
      </c>
      <c r="Q1221" s="59">
        <f>IF(P1221&lt;&gt;"",SUMIFS(Eventos!$G:$G,Eventos!$B:$B,Q$2,Eventos!$D:$D,$C$2,Eventos!$F:$F,$L1221),"")</f>
        <v>0</v>
      </c>
      <c r="R1221" s="59">
        <f>SUMIFS(Eventos!$G:$G,Eventos!$F:$F,$L1221,Eventos!$D:$D,$C$2,Eventos!$B:$B,PANES_SEMANALES[[#ALL],[SÁBADO]])</f>
        <v>0</v>
      </c>
      <c r="S1221" s="59">
        <f>SUMIFS(Eventos!$G:$G,Eventos!$F:$F,$L1221,Eventos!$D:$D,$C$2,Eventos!$B:$B,PANES_SEMANALES[[#ALL],[DOMINGO]])</f>
        <v>0</v>
      </c>
      <c r="T1221" s="59">
        <f t="shared" si="1"/>
        <v>0</v>
      </c>
    </row>
    <row r="1222" ht="22.5" customHeight="1">
      <c r="M1222" s="59">
        <f>SUMIFS(Eventos!$G:$G,Eventos!$F:$F,$L1222,Eventos!$D:$D,$C$2,Eventos!$B:$B,PANES_SEMANALES[[#ALL],[LUNES]])</f>
        <v>0</v>
      </c>
      <c r="N1222" s="59">
        <f>SUMIFS(Eventos!$G:$G,Eventos!$F:$F,$L1222,Eventos!$D:$D,$C$2,Eventos!$B:$B,PANES_SEMANALES[[#ALL],[MARTES]])</f>
        <v>0</v>
      </c>
      <c r="O1222" s="59">
        <f>SUMIFS(Eventos!$G:$G,Eventos!$F:$F,$L1222,Eventos!$D:$D,$C$2,Eventos!$B:$B,PANES_SEMANALES[[#ALL],[MIÉRCOLES]])</f>
        <v>0</v>
      </c>
      <c r="P1222" s="59">
        <f>SUMIFS(Eventos!$G:$G,Eventos!$F:$F,$L1222,Eventos!$D:$D,$C$2,Eventos!$B:$B,PANES_SEMANALES[[#ALL],[JUEVES]])</f>
        <v>0</v>
      </c>
      <c r="Q1222" s="59">
        <f>IF(P1222&lt;&gt;"",SUMIFS(Eventos!$G:$G,Eventos!$B:$B,Q$2,Eventos!$D:$D,$C$2,Eventos!$F:$F,$L1222),"")</f>
        <v>0</v>
      </c>
      <c r="R1222" s="59">
        <f>SUMIFS(Eventos!$G:$G,Eventos!$F:$F,$L1222,Eventos!$D:$D,$C$2,Eventos!$B:$B,PANES_SEMANALES[[#ALL],[SÁBADO]])</f>
        <v>0</v>
      </c>
      <c r="S1222" s="59">
        <f>SUMIFS(Eventos!$G:$G,Eventos!$F:$F,$L1222,Eventos!$D:$D,$C$2,Eventos!$B:$B,PANES_SEMANALES[[#ALL],[DOMINGO]])</f>
        <v>0</v>
      </c>
      <c r="T1222" s="59">
        <f t="shared" si="1"/>
        <v>0</v>
      </c>
    </row>
    <row r="1223" ht="22.5" customHeight="1">
      <c r="M1223" s="59">
        <f>SUMIFS(Eventos!$G:$G,Eventos!$F:$F,$L1223,Eventos!$D:$D,$C$2,Eventos!$B:$B,PANES_SEMANALES[[#ALL],[LUNES]])</f>
        <v>0</v>
      </c>
      <c r="N1223" s="59">
        <f>SUMIFS(Eventos!$G:$G,Eventos!$F:$F,$L1223,Eventos!$D:$D,$C$2,Eventos!$B:$B,PANES_SEMANALES[[#ALL],[MARTES]])</f>
        <v>0</v>
      </c>
      <c r="O1223" s="59">
        <f>SUMIFS(Eventos!$G:$G,Eventos!$F:$F,$L1223,Eventos!$D:$D,$C$2,Eventos!$B:$B,PANES_SEMANALES[[#ALL],[MIÉRCOLES]])</f>
        <v>0</v>
      </c>
      <c r="P1223" s="59">
        <f>SUMIFS(Eventos!$G:$G,Eventos!$F:$F,$L1223,Eventos!$D:$D,$C$2,Eventos!$B:$B,PANES_SEMANALES[[#ALL],[JUEVES]])</f>
        <v>0</v>
      </c>
      <c r="Q1223" s="59">
        <f>IF(P1223&lt;&gt;"",SUMIFS(Eventos!$G:$G,Eventos!$B:$B,Q$2,Eventos!$D:$D,$C$2,Eventos!$F:$F,$L1223),"")</f>
        <v>0</v>
      </c>
      <c r="R1223" s="59">
        <f>SUMIFS(Eventos!$G:$G,Eventos!$F:$F,$L1223,Eventos!$D:$D,$C$2,Eventos!$B:$B,PANES_SEMANALES[[#ALL],[SÁBADO]])</f>
        <v>0</v>
      </c>
      <c r="S1223" s="59">
        <f>SUMIFS(Eventos!$G:$G,Eventos!$F:$F,$L1223,Eventos!$D:$D,$C$2,Eventos!$B:$B,PANES_SEMANALES[[#ALL],[DOMINGO]])</f>
        <v>0</v>
      </c>
      <c r="T1223" s="59">
        <f t="shared" si="1"/>
        <v>0</v>
      </c>
    </row>
    <row r="1224" ht="22.5" customHeight="1">
      <c r="M1224" s="59">
        <f>SUMIFS(Eventos!$G:$G,Eventos!$F:$F,$L1224,Eventos!$D:$D,$C$2,Eventos!$B:$B,PANES_SEMANALES[[#ALL],[LUNES]])</f>
        <v>0</v>
      </c>
      <c r="N1224" s="59">
        <f>SUMIFS(Eventos!$G:$G,Eventos!$F:$F,$L1224,Eventos!$D:$D,$C$2,Eventos!$B:$B,PANES_SEMANALES[[#ALL],[MARTES]])</f>
        <v>0</v>
      </c>
      <c r="O1224" s="59">
        <f>SUMIFS(Eventos!$G:$G,Eventos!$F:$F,$L1224,Eventos!$D:$D,$C$2,Eventos!$B:$B,PANES_SEMANALES[[#ALL],[MIÉRCOLES]])</f>
        <v>0</v>
      </c>
      <c r="P1224" s="59">
        <f>SUMIFS(Eventos!$G:$G,Eventos!$F:$F,$L1224,Eventos!$D:$D,$C$2,Eventos!$B:$B,PANES_SEMANALES[[#ALL],[JUEVES]])</f>
        <v>0</v>
      </c>
      <c r="Q1224" s="59">
        <f>IF(P1224&lt;&gt;"",SUMIFS(Eventos!$G:$G,Eventos!$B:$B,Q$2,Eventos!$D:$D,$C$2,Eventos!$F:$F,$L1224),"")</f>
        <v>0</v>
      </c>
      <c r="R1224" s="59">
        <f>SUMIFS(Eventos!$G:$G,Eventos!$F:$F,$L1224,Eventos!$D:$D,$C$2,Eventos!$B:$B,PANES_SEMANALES[[#ALL],[SÁBADO]])</f>
        <v>0</v>
      </c>
      <c r="S1224" s="59">
        <f>SUMIFS(Eventos!$G:$G,Eventos!$F:$F,$L1224,Eventos!$D:$D,$C$2,Eventos!$B:$B,PANES_SEMANALES[[#ALL],[DOMINGO]])</f>
        <v>0</v>
      </c>
      <c r="T1224" s="59">
        <f t="shared" si="1"/>
        <v>0</v>
      </c>
    </row>
    <row r="1225" ht="22.5" customHeight="1">
      <c r="M1225" s="59">
        <f>SUMIFS(Eventos!$G:$G,Eventos!$F:$F,$L1225,Eventos!$D:$D,$C$2,Eventos!$B:$B,PANES_SEMANALES[[#ALL],[LUNES]])</f>
        <v>0</v>
      </c>
      <c r="N1225" s="59">
        <f>SUMIFS(Eventos!$G:$G,Eventos!$F:$F,$L1225,Eventos!$D:$D,$C$2,Eventos!$B:$B,PANES_SEMANALES[[#ALL],[MARTES]])</f>
        <v>0</v>
      </c>
      <c r="O1225" s="59">
        <f>SUMIFS(Eventos!$G:$G,Eventos!$F:$F,$L1225,Eventos!$D:$D,$C$2,Eventos!$B:$B,PANES_SEMANALES[[#ALL],[MIÉRCOLES]])</f>
        <v>0</v>
      </c>
      <c r="P1225" s="59">
        <f>SUMIFS(Eventos!$G:$G,Eventos!$F:$F,$L1225,Eventos!$D:$D,$C$2,Eventos!$B:$B,PANES_SEMANALES[[#ALL],[JUEVES]])</f>
        <v>0</v>
      </c>
      <c r="Q1225" s="59">
        <f>IF(P1225&lt;&gt;"",SUMIFS(Eventos!$G:$G,Eventos!$B:$B,Q$2,Eventos!$D:$D,$C$2,Eventos!$F:$F,$L1225),"")</f>
        <v>0</v>
      </c>
      <c r="R1225" s="59">
        <f>SUMIFS(Eventos!$G:$G,Eventos!$F:$F,$L1225,Eventos!$D:$D,$C$2,Eventos!$B:$B,PANES_SEMANALES[[#ALL],[SÁBADO]])</f>
        <v>0</v>
      </c>
      <c r="S1225" s="59">
        <f>SUMIFS(Eventos!$G:$G,Eventos!$F:$F,$L1225,Eventos!$D:$D,$C$2,Eventos!$B:$B,PANES_SEMANALES[[#ALL],[DOMINGO]])</f>
        <v>0</v>
      </c>
      <c r="T1225" s="59">
        <f t="shared" si="1"/>
        <v>0</v>
      </c>
    </row>
    <row r="1226" ht="22.5" customHeight="1">
      <c r="M1226" s="59">
        <f>SUMIFS(Eventos!$G:$G,Eventos!$F:$F,$L1226,Eventos!$D:$D,$C$2,Eventos!$B:$B,PANES_SEMANALES[[#ALL],[LUNES]])</f>
        <v>0</v>
      </c>
      <c r="N1226" s="59">
        <f>SUMIFS(Eventos!$G:$G,Eventos!$F:$F,$L1226,Eventos!$D:$D,$C$2,Eventos!$B:$B,PANES_SEMANALES[[#ALL],[MARTES]])</f>
        <v>0</v>
      </c>
      <c r="O1226" s="59">
        <f>SUMIFS(Eventos!$G:$G,Eventos!$F:$F,$L1226,Eventos!$D:$D,$C$2,Eventos!$B:$B,PANES_SEMANALES[[#ALL],[MIÉRCOLES]])</f>
        <v>0</v>
      </c>
      <c r="P1226" s="59">
        <f>SUMIFS(Eventos!$G:$G,Eventos!$F:$F,$L1226,Eventos!$D:$D,$C$2,Eventos!$B:$B,PANES_SEMANALES[[#ALL],[JUEVES]])</f>
        <v>0</v>
      </c>
      <c r="Q1226" s="59">
        <f>IF(P1226&lt;&gt;"",SUMIFS(Eventos!$G:$G,Eventos!$B:$B,Q$2,Eventos!$D:$D,$C$2,Eventos!$F:$F,$L1226),"")</f>
        <v>0</v>
      </c>
      <c r="R1226" s="59">
        <f>SUMIFS(Eventos!$G:$G,Eventos!$F:$F,$L1226,Eventos!$D:$D,$C$2,Eventos!$B:$B,PANES_SEMANALES[[#ALL],[SÁBADO]])</f>
        <v>0</v>
      </c>
      <c r="S1226" s="59">
        <f>SUMIFS(Eventos!$G:$G,Eventos!$F:$F,$L1226,Eventos!$D:$D,$C$2,Eventos!$B:$B,PANES_SEMANALES[[#ALL],[DOMINGO]])</f>
        <v>0</v>
      </c>
      <c r="T1226" s="59">
        <f t="shared" si="1"/>
        <v>0</v>
      </c>
    </row>
    <row r="1227" ht="22.5" customHeight="1">
      <c r="M1227" s="59">
        <f>SUMIFS(Eventos!$G:$G,Eventos!$F:$F,$L1227,Eventos!$D:$D,$C$2,Eventos!$B:$B,PANES_SEMANALES[[#ALL],[LUNES]])</f>
        <v>0</v>
      </c>
      <c r="N1227" s="59">
        <f>SUMIFS(Eventos!$G:$G,Eventos!$F:$F,$L1227,Eventos!$D:$D,$C$2,Eventos!$B:$B,PANES_SEMANALES[[#ALL],[MARTES]])</f>
        <v>0</v>
      </c>
      <c r="O1227" s="59">
        <f>SUMIFS(Eventos!$G:$G,Eventos!$F:$F,$L1227,Eventos!$D:$D,$C$2,Eventos!$B:$B,PANES_SEMANALES[[#ALL],[MIÉRCOLES]])</f>
        <v>0</v>
      </c>
      <c r="P1227" s="59">
        <f>SUMIFS(Eventos!$G:$G,Eventos!$F:$F,$L1227,Eventos!$D:$D,$C$2,Eventos!$B:$B,PANES_SEMANALES[[#ALL],[JUEVES]])</f>
        <v>0</v>
      </c>
      <c r="Q1227" s="59">
        <f>IF(P1227&lt;&gt;"",SUMIFS(Eventos!$G:$G,Eventos!$B:$B,Q$2,Eventos!$D:$D,$C$2,Eventos!$F:$F,$L1227),"")</f>
        <v>0</v>
      </c>
      <c r="R1227" s="59">
        <f>SUMIFS(Eventos!$G:$G,Eventos!$F:$F,$L1227,Eventos!$D:$D,$C$2,Eventos!$B:$B,PANES_SEMANALES[[#ALL],[SÁBADO]])</f>
        <v>0</v>
      </c>
      <c r="S1227" s="59">
        <f>SUMIFS(Eventos!$G:$G,Eventos!$F:$F,$L1227,Eventos!$D:$D,$C$2,Eventos!$B:$B,PANES_SEMANALES[[#ALL],[DOMINGO]])</f>
        <v>0</v>
      </c>
      <c r="T1227" s="59">
        <f t="shared" si="1"/>
        <v>0</v>
      </c>
    </row>
    <row r="1228" ht="22.5" customHeight="1">
      <c r="M1228" s="59">
        <f>SUMIFS(Eventos!$G:$G,Eventos!$F:$F,$L1228,Eventos!$D:$D,$C$2,Eventos!$B:$B,PANES_SEMANALES[[#ALL],[LUNES]])</f>
        <v>0</v>
      </c>
      <c r="N1228" s="59">
        <f>SUMIFS(Eventos!$G:$G,Eventos!$F:$F,$L1228,Eventos!$D:$D,$C$2,Eventos!$B:$B,PANES_SEMANALES[[#ALL],[MARTES]])</f>
        <v>0</v>
      </c>
      <c r="O1228" s="59">
        <f>SUMIFS(Eventos!$G:$G,Eventos!$F:$F,$L1228,Eventos!$D:$D,$C$2,Eventos!$B:$B,PANES_SEMANALES[[#ALL],[MIÉRCOLES]])</f>
        <v>0</v>
      </c>
      <c r="P1228" s="59">
        <f>SUMIFS(Eventos!$G:$G,Eventos!$F:$F,$L1228,Eventos!$D:$D,$C$2,Eventos!$B:$B,PANES_SEMANALES[[#ALL],[JUEVES]])</f>
        <v>0</v>
      </c>
      <c r="Q1228" s="59">
        <f>IF(P1228&lt;&gt;"",SUMIFS(Eventos!$G:$G,Eventos!$B:$B,Q$2,Eventos!$D:$D,$C$2,Eventos!$F:$F,$L1228),"")</f>
        <v>0</v>
      </c>
      <c r="R1228" s="59">
        <f>SUMIFS(Eventos!$G:$G,Eventos!$F:$F,$L1228,Eventos!$D:$D,$C$2,Eventos!$B:$B,PANES_SEMANALES[[#ALL],[SÁBADO]])</f>
        <v>0</v>
      </c>
      <c r="S1228" s="59">
        <f>SUMIFS(Eventos!$G:$G,Eventos!$F:$F,$L1228,Eventos!$D:$D,$C$2,Eventos!$B:$B,PANES_SEMANALES[[#ALL],[DOMINGO]])</f>
        <v>0</v>
      </c>
      <c r="T1228" s="59">
        <f t="shared" si="1"/>
        <v>0</v>
      </c>
    </row>
    <row r="1229" ht="22.5" customHeight="1">
      <c r="M1229" s="59">
        <f>SUMIFS(Eventos!$G:$G,Eventos!$F:$F,$L1229,Eventos!$D:$D,$C$2,Eventos!$B:$B,PANES_SEMANALES[[#ALL],[LUNES]])</f>
        <v>0</v>
      </c>
      <c r="N1229" s="59">
        <f>SUMIFS(Eventos!$G:$G,Eventos!$F:$F,$L1229,Eventos!$D:$D,$C$2,Eventos!$B:$B,PANES_SEMANALES[[#ALL],[MARTES]])</f>
        <v>0</v>
      </c>
      <c r="O1229" s="59">
        <f>SUMIFS(Eventos!$G:$G,Eventos!$F:$F,$L1229,Eventos!$D:$D,$C$2,Eventos!$B:$B,PANES_SEMANALES[[#ALL],[MIÉRCOLES]])</f>
        <v>0</v>
      </c>
      <c r="P1229" s="59">
        <f>SUMIFS(Eventos!$G:$G,Eventos!$F:$F,$L1229,Eventos!$D:$D,$C$2,Eventos!$B:$B,PANES_SEMANALES[[#ALL],[JUEVES]])</f>
        <v>0</v>
      </c>
      <c r="Q1229" s="59">
        <f>IF(P1229&lt;&gt;"",SUMIFS(Eventos!$G:$G,Eventos!$B:$B,Q$2,Eventos!$D:$D,$C$2,Eventos!$F:$F,$L1229),"")</f>
        <v>0</v>
      </c>
      <c r="R1229" s="59">
        <f>SUMIFS(Eventos!$G:$G,Eventos!$F:$F,$L1229,Eventos!$D:$D,$C$2,Eventos!$B:$B,PANES_SEMANALES[[#ALL],[SÁBADO]])</f>
        <v>0</v>
      </c>
      <c r="S1229" s="59">
        <f>SUMIFS(Eventos!$G:$G,Eventos!$F:$F,$L1229,Eventos!$D:$D,$C$2,Eventos!$B:$B,PANES_SEMANALES[[#ALL],[DOMINGO]])</f>
        <v>0</v>
      </c>
      <c r="T1229" s="59">
        <f t="shared" si="1"/>
        <v>0</v>
      </c>
    </row>
    <row r="1230" ht="22.5" customHeight="1">
      <c r="M1230" s="59">
        <f>SUMIFS(Eventos!$G:$G,Eventos!$F:$F,$L1230,Eventos!$D:$D,$C$2,Eventos!$B:$B,PANES_SEMANALES[[#ALL],[LUNES]])</f>
        <v>0</v>
      </c>
      <c r="N1230" s="59">
        <f>SUMIFS(Eventos!$G:$G,Eventos!$F:$F,$L1230,Eventos!$D:$D,$C$2,Eventos!$B:$B,PANES_SEMANALES[[#ALL],[MARTES]])</f>
        <v>0</v>
      </c>
      <c r="O1230" s="59">
        <f>SUMIFS(Eventos!$G:$G,Eventos!$F:$F,$L1230,Eventos!$D:$D,$C$2,Eventos!$B:$B,PANES_SEMANALES[[#ALL],[MIÉRCOLES]])</f>
        <v>0</v>
      </c>
      <c r="P1230" s="59">
        <f>SUMIFS(Eventos!$G:$G,Eventos!$F:$F,$L1230,Eventos!$D:$D,$C$2,Eventos!$B:$B,PANES_SEMANALES[[#ALL],[JUEVES]])</f>
        <v>0</v>
      </c>
      <c r="Q1230" s="59">
        <f>IF(P1230&lt;&gt;"",SUMIFS(Eventos!$G:$G,Eventos!$B:$B,Q$2,Eventos!$D:$D,$C$2,Eventos!$F:$F,$L1230),"")</f>
        <v>0</v>
      </c>
      <c r="R1230" s="59">
        <f>SUMIFS(Eventos!$G:$G,Eventos!$F:$F,$L1230,Eventos!$D:$D,$C$2,Eventos!$B:$B,PANES_SEMANALES[[#ALL],[SÁBADO]])</f>
        <v>0</v>
      </c>
      <c r="S1230" s="59">
        <f>SUMIFS(Eventos!$G:$G,Eventos!$F:$F,$L1230,Eventos!$D:$D,$C$2,Eventos!$B:$B,PANES_SEMANALES[[#ALL],[DOMINGO]])</f>
        <v>0</v>
      </c>
      <c r="T1230" s="59">
        <f t="shared" si="1"/>
        <v>0</v>
      </c>
    </row>
    <row r="1231" ht="22.5" customHeight="1">
      <c r="M1231" s="59">
        <f>SUMIFS(Eventos!$G:$G,Eventos!$F:$F,$L1231,Eventos!$D:$D,$C$2,Eventos!$B:$B,PANES_SEMANALES[[#ALL],[LUNES]])</f>
        <v>0</v>
      </c>
      <c r="N1231" s="59">
        <f>SUMIFS(Eventos!$G:$G,Eventos!$F:$F,$L1231,Eventos!$D:$D,$C$2,Eventos!$B:$B,PANES_SEMANALES[[#ALL],[MARTES]])</f>
        <v>0</v>
      </c>
      <c r="O1231" s="59">
        <f>SUMIFS(Eventos!$G:$G,Eventos!$F:$F,$L1231,Eventos!$D:$D,$C$2,Eventos!$B:$B,PANES_SEMANALES[[#ALL],[MIÉRCOLES]])</f>
        <v>0</v>
      </c>
      <c r="P1231" s="59">
        <f>SUMIFS(Eventos!$G:$G,Eventos!$F:$F,$L1231,Eventos!$D:$D,$C$2,Eventos!$B:$B,PANES_SEMANALES[[#ALL],[JUEVES]])</f>
        <v>0</v>
      </c>
      <c r="Q1231" s="59">
        <f>IF(P1231&lt;&gt;"",SUMIFS(Eventos!$G:$G,Eventos!$B:$B,Q$2,Eventos!$D:$D,$C$2,Eventos!$F:$F,$L1231),"")</f>
        <v>0</v>
      </c>
      <c r="R1231" s="59">
        <f>SUMIFS(Eventos!$G:$G,Eventos!$F:$F,$L1231,Eventos!$D:$D,$C$2,Eventos!$B:$B,PANES_SEMANALES[[#ALL],[SÁBADO]])</f>
        <v>0</v>
      </c>
      <c r="S1231" s="59">
        <f>SUMIFS(Eventos!$G:$G,Eventos!$F:$F,$L1231,Eventos!$D:$D,$C$2,Eventos!$B:$B,PANES_SEMANALES[[#ALL],[DOMINGO]])</f>
        <v>0</v>
      </c>
      <c r="T1231" s="59">
        <f t="shared" si="1"/>
        <v>0</v>
      </c>
    </row>
    <row r="1232" ht="22.5" customHeight="1">
      <c r="M1232" s="59">
        <f>SUMIFS(Eventos!$G:$G,Eventos!$F:$F,$L1232,Eventos!$D:$D,$C$2,Eventos!$B:$B,PANES_SEMANALES[[#ALL],[LUNES]])</f>
        <v>0</v>
      </c>
      <c r="N1232" s="59">
        <f>SUMIFS(Eventos!$G:$G,Eventos!$F:$F,$L1232,Eventos!$D:$D,$C$2,Eventos!$B:$B,PANES_SEMANALES[[#ALL],[MARTES]])</f>
        <v>0</v>
      </c>
      <c r="O1232" s="59">
        <f>SUMIFS(Eventos!$G:$G,Eventos!$F:$F,$L1232,Eventos!$D:$D,$C$2,Eventos!$B:$B,PANES_SEMANALES[[#ALL],[MIÉRCOLES]])</f>
        <v>0</v>
      </c>
      <c r="P1232" s="59">
        <f>SUMIFS(Eventos!$G:$G,Eventos!$F:$F,$L1232,Eventos!$D:$D,$C$2,Eventos!$B:$B,PANES_SEMANALES[[#ALL],[JUEVES]])</f>
        <v>0</v>
      </c>
      <c r="Q1232" s="59">
        <f>IF(P1232&lt;&gt;"",SUMIFS(Eventos!$G:$G,Eventos!$B:$B,Q$2,Eventos!$D:$D,$C$2,Eventos!$F:$F,$L1232),"")</f>
        <v>0</v>
      </c>
      <c r="R1232" s="59">
        <f>SUMIFS(Eventos!$G:$G,Eventos!$F:$F,$L1232,Eventos!$D:$D,$C$2,Eventos!$B:$B,PANES_SEMANALES[[#ALL],[SÁBADO]])</f>
        <v>0</v>
      </c>
      <c r="S1232" s="59">
        <f>SUMIFS(Eventos!$G:$G,Eventos!$F:$F,$L1232,Eventos!$D:$D,$C$2,Eventos!$B:$B,PANES_SEMANALES[[#ALL],[DOMINGO]])</f>
        <v>0</v>
      </c>
      <c r="T1232" s="59">
        <f t="shared" si="1"/>
        <v>0</v>
      </c>
    </row>
    <row r="1233" ht="22.5" customHeight="1">
      <c r="M1233" s="59">
        <f>SUMIFS(Eventos!$G:$G,Eventos!$F:$F,$L1233,Eventos!$D:$D,$C$2,Eventos!$B:$B,PANES_SEMANALES[[#ALL],[LUNES]])</f>
        <v>0</v>
      </c>
      <c r="N1233" s="59">
        <f>SUMIFS(Eventos!$G:$G,Eventos!$F:$F,$L1233,Eventos!$D:$D,$C$2,Eventos!$B:$B,PANES_SEMANALES[[#ALL],[MARTES]])</f>
        <v>0</v>
      </c>
      <c r="O1233" s="59">
        <f>SUMIFS(Eventos!$G:$G,Eventos!$F:$F,$L1233,Eventos!$D:$D,$C$2,Eventos!$B:$B,PANES_SEMANALES[[#ALL],[MIÉRCOLES]])</f>
        <v>0</v>
      </c>
      <c r="P1233" s="59">
        <f>SUMIFS(Eventos!$G:$G,Eventos!$F:$F,$L1233,Eventos!$D:$D,$C$2,Eventos!$B:$B,PANES_SEMANALES[[#ALL],[JUEVES]])</f>
        <v>0</v>
      </c>
      <c r="Q1233" s="59">
        <f>IF(P1233&lt;&gt;"",SUMIFS(Eventos!$G:$G,Eventos!$B:$B,Q$2,Eventos!$D:$D,$C$2,Eventos!$F:$F,$L1233),"")</f>
        <v>0</v>
      </c>
      <c r="R1233" s="59">
        <f>SUMIFS(Eventos!$G:$G,Eventos!$F:$F,$L1233,Eventos!$D:$D,$C$2,Eventos!$B:$B,PANES_SEMANALES[[#ALL],[SÁBADO]])</f>
        <v>0</v>
      </c>
      <c r="S1233" s="59">
        <f>SUMIFS(Eventos!$G:$G,Eventos!$F:$F,$L1233,Eventos!$D:$D,$C$2,Eventos!$B:$B,PANES_SEMANALES[[#ALL],[DOMINGO]])</f>
        <v>0</v>
      </c>
      <c r="T1233" s="59">
        <f t="shared" si="1"/>
        <v>0</v>
      </c>
    </row>
    <row r="1234" ht="22.5" customHeight="1">
      <c r="M1234" s="59">
        <f>SUMIFS(Eventos!$G:$G,Eventos!$F:$F,$L1234,Eventos!$D:$D,$C$2,Eventos!$B:$B,PANES_SEMANALES[[#ALL],[LUNES]])</f>
        <v>0</v>
      </c>
      <c r="N1234" s="59">
        <f>SUMIFS(Eventos!$G:$G,Eventos!$F:$F,$L1234,Eventos!$D:$D,$C$2,Eventos!$B:$B,PANES_SEMANALES[[#ALL],[MARTES]])</f>
        <v>0</v>
      </c>
      <c r="O1234" s="59">
        <f>SUMIFS(Eventos!$G:$G,Eventos!$F:$F,$L1234,Eventos!$D:$D,$C$2,Eventos!$B:$B,PANES_SEMANALES[[#ALL],[MIÉRCOLES]])</f>
        <v>0</v>
      </c>
      <c r="P1234" s="59">
        <f>SUMIFS(Eventos!$G:$G,Eventos!$F:$F,$L1234,Eventos!$D:$D,$C$2,Eventos!$B:$B,PANES_SEMANALES[[#ALL],[JUEVES]])</f>
        <v>0</v>
      </c>
      <c r="Q1234" s="59">
        <f>IF(P1234&lt;&gt;"",SUMIFS(Eventos!$G:$G,Eventos!$B:$B,Q$2,Eventos!$D:$D,$C$2,Eventos!$F:$F,$L1234),"")</f>
        <v>0</v>
      </c>
      <c r="R1234" s="59">
        <f>SUMIFS(Eventos!$G:$G,Eventos!$F:$F,$L1234,Eventos!$D:$D,$C$2,Eventos!$B:$B,PANES_SEMANALES[[#ALL],[SÁBADO]])</f>
        <v>0</v>
      </c>
      <c r="S1234" s="59">
        <f>SUMIFS(Eventos!$G:$G,Eventos!$F:$F,$L1234,Eventos!$D:$D,$C$2,Eventos!$B:$B,PANES_SEMANALES[[#ALL],[DOMINGO]])</f>
        <v>0</v>
      </c>
      <c r="T1234" s="59">
        <f t="shared" si="1"/>
        <v>0</v>
      </c>
    </row>
    <row r="1235" ht="22.5" customHeight="1">
      <c r="M1235" s="59">
        <f>SUMIFS(Eventos!$G:$G,Eventos!$F:$F,$L1235,Eventos!$D:$D,$C$2,Eventos!$B:$B,PANES_SEMANALES[[#ALL],[LUNES]])</f>
        <v>0</v>
      </c>
      <c r="N1235" s="59">
        <f>SUMIFS(Eventos!$G:$G,Eventos!$F:$F,$L1235,Eventos!$D:$D,$C$2,Eventos!$B:$B,PANES_SEMANALES[[#ALL],[MARTES]])</f>
        <v>0</v>
      </c>
      <c r="O1235" s="59">
        <f>SUMIFS(Eventos!$G:$G,Eventos!$F:$F,$L1235,Eventos!$D:$D,$C$2,Eventos!$B:$B,PANES_SEMANALES[[#ALL],[MIÉRCOLES]])</f>
        <v>0</v>
      </c>
      <c r="P1235" s="59">
        <f>SUMIFS(Eventos!$G:$G,Eventos!$F:$F,$L1235,Eventos!$D:$D,$C$2,Eventos!$B:$B,PANES_SEMANALES[[#ALL],[JUEVES]])</f>
        <v>0</v>
      </c>
      <c r="Q1235" s="59">
        <f>IF(P1235&lt;&gt;"",SUMIFS(Eventos!$G:$G,Eventos!$B:$B,Q$2,Eventos!$D:$D,$C$2,Eventos!$F:$F,$L1235),"")</f>
        <v>0</v>
      </c>
      <c r="R1235" s="59">
        <f>SUMIFS(Eventos!$G:$G,Eventos!$F:$F,$L1235,Eventos!$D:$D,$C$2,Eventos!$B:$B,PANES_SEMANALES[[#ALL],[SÁBADO]])</f>
        <v>0</v>
      </c>
      <c r="S1235" s="59">
        <f>SUMIFS(Eventos!$G:$G,Eventos!$F:$F,$L1235,Eventos!$D:$D,$C$2,Eventos!$B:$B,PANES_SEMANALES[[#ALL],[DOMINGO]])</f>
        <v>0</v>
      </c>
      <c r="T1235" s="59">
        <f t="shared" si="1"/>
        <v>0</v>
      </c>
    </row>
    <row r="1236" ht="22.5" customHeight="1">
      <c r="M1236" s="59">
        <f>SUMIFS(Eventos!$G:$G,Eventos!$F:$F,$L1236,Eventos!$D:$D,$C$2,Eventos!$B:$B,PANES_SEMANALES[[#ALL],[LUNES]])</f>
        <v>0</v>
      </c>
      <c r="N1236" s="59">
        <f>SUMIFS(Eventos!$G:$G,Eventos!$F:$F,$L1236,Eventos!$D:$D,$C$2,Eventos!$B:$B,PANES_SEMANALES[[#ALL],[MARTES]])</f>
        <v>0</v>
      </c>
      <c r="O1236" s="59">
        <f>SUMIFS(Eventos!$G:$G,Eventos!$F:$F,$L1236,Eventos!$D:$D,$C$2,Eventos!$B:$B,PANES_SEMANALES[[#ALL],[MIÉRCOLES]])</f>
        <v>0</v>
      </c>
      <c r="P1236" s="59">
        <f>SUMIFS(Eventos!$G:$G,Eventos!$F:$F,$L1236,Eventos!$D:$D,$C$2,Eventos!$B:$B,PANES_SEMANALES[[#ALL],[JUEVES]])</f>
        <v>0</v>
      </c>
      <c r="Q1236" s="59">
        <f>IF(P1236&lt;&gt;"",SUMIFS(Eventos!$G:$G,Eventos!$B:$B,Q$2,Eventos!$D:$D,$C$2,Eventos!$F:$F,$L1236),"")</f>
        <v>0</v>
      </c>
      <c r="R1236" s="59">
        <f>SUMIFS(Eventos!$G:$G,Eventos!$F:$F,$L1236,Eventos!$D:$D,$C$2,Eventos!$B:$B,PANES_SEMANALES[[#ALL],[SÁBADO]])</f>
        <v>0</v>
      </c>
      <c r="S1236" s="59">
        <f>SUMIFS(Eventos!$G:$G,Eventos!$F:$F,$L1236,Eventos!$D:$D,$C$2,Eventos!$B:$B,PANES_SEMANALES[[#ALL],[DOMINGO]])</f>
        <v>0</v>
      </c>
      <c r="T1236" s="59">
        <f t="shared" si="1"/>
        <v>0</v>
      </c>
    </row>
    <row r="1237" ht="22.5" customHeight="1">
      <c r="M1237" s="59">
        <f>SUMIFS(Eventos!$G:$G,Eventos!$F:$F,$L1237,Eventos!$D:$D,$C$2,Eventos!$B:$B,PANES_SEMANALES[[#ALL],[LUNES]])</f>
        <v>0</v>
      </c>
      <c r="N1237" s="59">
        <f>SUMIFS(Eventos!$G:$G,Eventos!$F:$F,$L1237,Eventos!$D:$D,$C$2,Eventos!$B:$B,PANES_SEMANALES[[#ALL],[MARTES]])</f>
        <v>0</v>
      </c>
      <c r="O1237" s="59">
        <f>SUMIFS(Eventos!$G:$G,Eventos!$F:$F,$L1237,Eventos!$D:$D,$C$2,Eventos!$B:$B,PANES_SEMANALES[[#ALL],[MIÉRCOLES]])</f>
        <v>0</v>
      </c>
      <c r="P1237" s="59">
        <f>SUMIFS(Eventos!$G:$G,Eventos!$F:$F,$L1237,Eventos!$D:$D,$C$2,Eventos!$B:$B,PANES_SEMANALES[[#ALL],[JUEVES]])</f>
        <v>0</v>
      </c>
      <c r="Q1237" s="59">
        <f>IF(P1237&lt;&gt;"",SUMIFS(Eventos!$G:$G,Eventos!$B:$B,Q$2,Eventos!$D:$D,$C$2,Eventos!$F:$F,$L1237),"")</f>
        <v>0</v>
      </c>
      <c r="R1237" s="59">
        <f>SUMIFS(Eventos!$G:$G,Eventos!$F:$F,$L1237,Eventos!$D:$D,$C$2,Eventos!$B:$B,PANES_SEMANALES[[#ALL],[SÁBADO]])</f>
        <v>0</v>
      </c>
      <c r="S1237" s="59">
        <f>SUMIFS(Eventos!$G:$G,Eventos!$F:$F,$L1237,Eventos!$D:$D,$C$2,Eventos!$B:$B,PANES_SEMANALES[[#ALL],[DOMINGO]])</f>
        <v>0</v>
      </c>
      <c r="T1237" s="59">
        <f t="shared" si="1"/>
        <v>0</v>
      </c>
    </row>
    <row r="1238" ht="22.5" customHeight="1">
      <c r="M1238" s="59">
        <f>SUMIFS(Eventos!$G:$G,Eventos!$F:$F,$L1238,Eventos!$D:$D,$C$2,Eventos!$B:$B,PANES_SEMANALES[[#ALL],[LUNES]])</f>
        <v>0</v>
      </c>
      <c r="N1238" s="59">
        <f>SUMIFS(Eventos!$G:$G,Eventos!$F:$F,$L1238,Eventos!$D:$D,$C$2,Eventos!$B:$B,PANES_SEMANALES[[#ALL],[MARTES]])</f>
        <v>0</v>
      </c>
      <c r="O1238" s="59">
        <f>SUMIFS(Eventos!$G:$G,Eventos!$F:$F,$L1238,Eventos!$D:$D,$C$2,Eventos!$B:$B,PANES_SEMANALES[[#ALL],[MIÉRCOLES]])</f>
        <v>0</v>
      </c>
      <c r="P1238" s="59">
        <f>SUMIFS(Eventos!$G:$G,Eventos!$F:$F,$L1238,Eventos!$D:$D,$C$2,Eventos!$B:$B,PANES_SEMANALES[[#ALL],[JUEVES]])</f>
        <v>0</v>
      </c>
      <c r="Q1238" s="59">
        <f>IF(P1238&lt;&gt;"",SUMIFS(Eventos!$G:$G,Eventos!$B:$B,Q$2,Eventos!$D:$D,$C$2,Eventos!$F:$F,$L1238),"")</f>
        <v>0</v>
      </c>
      <c r="R1238" s="59">
        <f>SUMIFS(Eventos!$G:$G,Eventos!$F:$F,$L1238,Eventos!$D:$D,$C$2,Eventos!$B:$B,PANES_SEMANALES[[#ALL],[SÁBADO]])</f>
        <v>0</v>
      </c>
      <c r="S1238" s="59">
        <f>SUMIFS(Eventos!$G:$G,Eventos!$F:$F,$L1238,Eventos!$D:$D,$C$2,Eventos!$B:$B,PANES_SEMANALES[[#ALL],[DOMINGO]])</f>
        <v>0</v>
      </c>
      <c r="T1238" s="59">
        <f t="shared" si="1"/>
        <v>0</v>
      </c>
    </row>
    <row r="1239" ht="22.5" customHeight="1">
      <c r="M1239" s="59">
        <f>SUMIFS(Eventos!$G:$G,Eventos!$F:$F,$L1239,Eventos!$D:$D,$C$2,Eventos!$B:$B,PANES_SEMANALES[[#ALL],[LUNES]])</f>
        <v>0</v>
      </c>
      <c r="N1239" s="59">
        <f>SUMIFS(Eventos!$G:$G,Eventos!$F:$F,$L1239,Eventos!$D:$D,$C$2,Eventos!$B:$B,PANES_SEMANALES[[#ALL],[MARTES]])</f>
        <v>0</v>
      </c>
      <c r="O1239" s="59">
        <f>SUMIFS(Eventos!$G:$G,Eventos!$F:$F,$L1239,Eventos!$D:$D,$C$2,Eventos!$B:$B,PANES_SEMANALES[[#ALL],[MIÉRCOLES]])</f>
        <v>0</v>
      </c>
      <c r="P1239" s="59">
        <f>SUMIFS(Eventos!$G:$G,Eventos!$F:$F,$L1239,Eventos!$D:$D,$C$2,Eventos!$B:$B,PANES_SEMANALES[[#ALL],[JUEVES]])</f>
        <v>0</v>
      </c>
      <c r="Q1239" s="59">
        <f>IF(P1239&lt;&gt;"",SUMIFS(Eventos!$G:$G,Eventos!$B:$B,Q$2,Eventos!$D:$D,$C$2,Eventos!$F:$F,$L1239),"")</f>
        <v>0</v>
      </c>
      <c r="R1239" s="59">
        <f>SUMIFS(Eventos!$G:$G,Eventos!$F:$F,$L1239,Eventos!$D:$D,$C$2,Eventos!$B:$B,PANES_SEMANALES[[#ALL],[SÁBADO]])</f>
        <v>0</v>
      </c>
      <c r="S1239" s="59">
        <f>SUMIFS(Eventos!$G:$G,Eventos!$F:$F,$L1239,Eventos!$D:$D,$C$2,Eventos!$B:$B,PANES_SEMANALES[[#ALL],[DOMINGO]])</f>
        <v>0</v>
      </c>
      <c r="T1239" s="59">
        <f t="shared" si="1"/>
        <v>0</v>
      </c>
    </row>
    <row r="1240" ht="22.5" customHeight="1">
      <c r="M1240" s="59">
        <f>SUMIFS(Eventos!$G:$G,Eventos!$F:$F,$L1240,Eventos!$D:$D,$C$2,Eventos!$B:$B,PANES_SEMANALES[[#ALL],[LUNES]])</f>
        <v>0</v>
      </c>
      <c r="N1240" s="59">
        <f>SUMIFS(Eventos!$G:$G,Eventos!$F:$F,$L1240,Eventos!$D:$D,$C$2,Eventos!$B:$B,PANES_SEMANALES[[#ALL],[MARTES]])</f>
        <v>0</v>
      </c>
      <c r="O1240" s="59">
        <f>SUMIFS(Eventos!$G:$G,Eventos!$F:$F,$L1240,Eventos!$D:$D,$C$2,Eventos!$B:$B,PANES_SEMANALES[[#ALL],[MIÉRCOLES]])</f>
        <v>0</v>
      </c>
      <c r="P1240" s="59">
        <f>SUMIFS(Eventos!$G:$G,Eventos!$F:$F,$L1240,Eventos!$D:$D,$C$2,Eventos!$B:$B,PANES_SEMANALES[[#ALL],[JUEVES]])</f>
        <v>0</v>
      </c>
      <c r="Q1240" s="59">
        <f>IF(P1240&lt;&gt;"",SUMIFS(Eventos!$G:$G,Eventos!$B:$B,Q$2,Eventos!$D:$D,$C$2,Eventos!$F:$F,$L1240),"")</f>
        <v>0</v>
      </c>
      <c r="R1240" s="59">
        <f>SUMIFS(Eventos!$G:$G,Eventos!$F:$F,$L1240,Eventos!$D:$D,$C$2,Eventos!$B:$B,PANES_SEMANALES[[#ALL],[SÁBADO]])</f>
        <v>0</v>
      </c>
      <c r="S1240" s="59">
        <f>SUMIFS(Eventos!$G:$G,Eventos!$F:$F,$L1240,Eventos!$D:$D,$C$2,Eventos!$B:$B,PANES_SEMANALES[[#ALL],[DOMINGO]])</f>
        <v>0</v>
      </c>
      <c r="T1240" s="59">
        <f t="shared" si="1"/>
        <v>0</v>
      </c>
    </row>
    <row r="1241" ht="22.5" customHeight="1">
      <c r="M1241" s="59">
        <f>SUMIFS(Eventos!$G:$G,Eventos!$F:$F,$L1241,Eventos!$D:$D,$C$2,Eventos!$B:$B,PANES_SEMANALES[[#ALL],[LUNES]])</f>
        <v>0</v>
      </c>
      <c r="N1241" s="59">
        <f>SUMIFS(Eventos!$G:$G,Eventos!$F:$F,$L1241,Eventos!$D:$D,$C$2,Eventos!$B:$B,PANES_SEMANALES[[#ALL],[MARTES]])</f>
        <v>0</v>
      </c>
      <c r="O1241" s="59">
        <f>SUMIFS(Eventos!$G:$G,Eventos!$F:$F,$L1241,Eventos!$D:$D,$C$2,Eventos!$B:$B,PANES_SEMANALES[[#ALL],[MIÉRCOLES]])</f>
        <v>0</v>
      </c>
      <c r="P1241" s="59">
        <f>SUMIFS(Eventos!$G:$G,Eventos!$F:$F,$L1241,Eventos!$D:$D,$C$2,Eventos!$B:$B,PANES_SEMANALES[[#ALL],[JUEVES]])</f>
        <v>0</v>
      </c>
      <c r="Q1241" s="59">
        <f>IF(P1241&lt;&gt;"",SUMIFS(Eventos!$G:$G,Eventos!$B:$B,Q$2,Eventos!$D:$D,$C$2,Eventos!$F:$F,$L1241),"")</f>
        <v>0</v>
      </c>
      <c r="R1241" s="59">
        <f>SUMIFS(Eventos!$G:$G,Eventos!$F:$F,$L1241,Eventos!$D:$D,$C$2,Eventos!$B:$B,PANES_SEMANALES[[#ALL],[SÁBADO]])</f>
        <v>0</v>
      </c>
      <c r="S1241" s="59">
        <f>SUMIFS(Eventos!$G:$G,Eventos!$F:$F,$L1241,Eventos!$D:$D,$C$2,Eventos!$B:$B,PANES_SEMANALES[[#ALL],[DOMINGO]])</f>
        <v>0</v>
      </c>
      <c r="T1241" s="59">
        <f t="shared" si="1"/>
        <v>0</v>
      </c>
    </row>
    <row r="1242" ht="22.5" customHeight="1">
      <c r="M1242" s="59">
        <f>SUMIFS(Eventos!$G:$G,Eventos!$F:$F,$L1242,Eventos!$D:$D,$C$2,Eventos!$B:$B,PANES_SEMANALES[[#ALL],[LUNES]])</f>
        <v>0</v>
      </c>
      <c r="N1242" s="59">
        <f>SUMIFS(Eventos!$G:$G,Eventos!$F:$F,$L1242,Eventos!$D:$D,$C$2,Eventos!$B:$B,PANES_SEMANALES[[#ALL],[MARTES]])</f>
        <v>0</v>
      </c>
      <c r="O1242" s="59">
        <f>SUMIFS(Eventos!$G:$G,Eventos!$F:$F,$L1242,Eventos!$D:$D,$C$2,Eventos!$B:$B,PANES_SEMANALES[[#ALL],[MIÉRCOLES]])</f>
        <v>0</v>
      </c>
      <c r="P1242" s="59">
        <f>SUMIFS(Eventos!$G:$G,Eventos!$F:$F,$L1242,Eventos!$D:$D,$C$2,Eventos!$B:$B,PANES_SEMANALES[[#ALL],[JUEVES]])</f>
        <v>0</v>
      </c>
      <c r="Q1242" s="59">
        <f>IF(P1242&lt;&gt;"",SUMIFS(Eventos!$G:$G,Eventos!$B:$B,Q$2,Eventos!$D:$D,$C$2,Eventos!$F:$F,$L1242),"")</f>
        <v>0</v>
      </c>
      <c r="R1242" s="59">
        <f>SUMIFS(Eventos!$G:$G,Eventos!$F:$F,$L1242,Eventos!$D:$D,$C$2,Eventos!$B:$B,PANES_SEMANALES[[#ALL],[SÁBADO]])</f>
        <v>0</v>
      </c>
      <c r="S1242" s="59">
        <f>SUMIFS(Eventos!$G:$G,Eventos!$F:$F,$L1242,Eventos!$D:$D,$C$2,Eventos!$B:$B,PANES_SEMANALES[[#ALL],[DOMINGO]])</f>
        <v>0</v>
      </c>
      <c r="T1242" s="59">
        <f t="shared" si="1"/>
        <v>0</v>
      </c>
    </row>
    <row r="1243" ht="22.5" customHeight="1">
      <c r="M1243" s="59">
        <f>SUMIFS(Eventos!$G:$G,Eventos!$F:$F,$L1243,Eventos!$D:$D,$C$2,Eventos!$B:$B,PANES_SEMANALES[[#ALL],[LUNES]])</f>
        <v>0</v>
      </c>
      <c r="N1243" s="59">
        <f>SUMIFS(Eventos!$G:$G,Eventos!$F:$F,$L1243,Eventos!$D:$D,$C$2,Eventos!$B:$B,PANES_SEMANALES[[#ALL],[MARTES]])</f>
        <v>0</v>
      </c>
      <c r="O1243" s="59">
        <f>SUMIFS(Eventos!$G:$G,Eventos!$F:$F,$L1243,Eventos!$D:$D,$C$2,Eventos!$B:$B,PANES_SEMANALES[[#ALL],[MIÉRCOLES]])</f>
        <v>0</v>
      </c>
      <c r="P1243" s="59">
        <f>SUMIFS(Eventos!$G:$G,Eventos!$F:$F,$L1243,Eventos!$D:$D,$C$2,Eventos!$B:$B,PANES_SEMANALES[[#ALL],[JUEVES]])</f>
        <v>0</v>
      </c>
      <c r="Q1243" s="59">
        <f>IF(P1243&lt;&gt;"",SUMIFS(Eventos!$G:$G,Eventos!$B:$B,Q$2,Eventos!$D:$D,$C$2,Eventos!$F:$F,$L1243),"")</f>
        <v>0</v>
      </c>
      <c r="R1243" s="59">
        <f>SUMIFS(Eventos!$G:$G,Eventos!$F:$F,$L1243,Eventos!$D:$D,$C$2,Eventos!$B:$B,PANES_SEMANALES[[#ALL],[SÁBADO]])</f>
        <v>0</v>
      </c>
      <c r="S1243" s="59">
        <f>SUMIFS(Eventos!$G:$G,Eventos!$F:$F,$L1243,Eventos!$D:$D,$C$2,Eventos!$B:$B,PANES_SEMANALES[[#ALL],[DOMINGO]])</f>
        <v>0</v>
      </c>
      <c r="T1243" s="59">
        <f t="shared" si="1"/>
        <v>0</v>
      </c>
    </row>
    <row r="1244" ht="22.5" customHeight="1">
      <c r="M1244" s="59">
        <f>SUMIFS(Eventos!$G:$G,Eventos!$F:$F,$L1244,Eventos!$D:$D,$C$2,Eventos!$B:$B,PANES_SEMANALES[[#ALL],[LUNES]])</f>
        <v>0</v>
      </c>
      <c r="N1244" s="59">
        <f>SUMIFS(Eventos!$G:$G,Eventos!$F:$F,$L1244,Eventos!$D:$D,$C$2,Eventos!$B:$B,PANES_SEMANALES[[#ALL],[MARTES]])</f>
        <v>0</v>
      </c>
      <c r="O1244" s="59">
        <f>SUMIFS(Eventos!$G:$G,Eventos!$F:$F,$L1244,Eventos!$D:$D,$C$2,Eventos!$B:$B,PANES_SEMANALES[[#ALL],[MIÉRCOLES]])</f>
        <v>0</v>
      </c>
      <c r="P1244" s="59">
        <f>SUMIFS(Eventos!$G:$G,Eventos!$F:$F,$L1244,Eventos!$D:$D,$C$2,Eventos!$B:$B,PANES_SEMANALES[[#ALL],[JUEVES]])</f>
        <v>0</v>
      </c>
      <c r="Q1244" s="59">
        <f>IF(P1244&lt;&gt;"",SUMIFS(Eventos!$G:$G,Eventos!$B:$B,Q$2,Eventos!$D:$D,$C$2,Eventos!$F:$F,$L1244),"")</f>
        <v>0</v>
      </c>
      <c r="R1244" s="59">
        <f>SUMIFS(Eventos!$G:$G,Eventos!$F:$F,$L1244,Eventos!$D:$D,$C$2,Eventos!$B:$B,PANES_SEMANALES[[#ALL],[SÁBADO]])</f>
        <v>0</v>
      </c>
      <c r="S1244" s="59">
        <f>SUMIFS(Eventos!$G:$G,Eventos!$F:$F,$L1244,Eventos!$D:$D,$C$2,Eventos!$B:$B,PANES_SEMANALES[[#ALL],[DOMINGO]])</f>
        <v>0</v>
      </c>
      <c r="T1244" s="59">
        <f t="shared" si="1"/>
        <v>0</v>
      </c>
    </row>
    <row r="1245" ht="22.5" customHeight="1">
      <c r="M1245" s="59">
        <f>SUMIFS(Eventos!$G:$G,Eventos!$F:$F,$L1245,Eventos!$D:$D,$C$2,Eventos!$B:$B,PANES_SEMANALES[[#ALL],[LUNES]])</f>
        <v>0</v>
      </c>
      <c r="N1245" s="59">
        <f>SUMIFS(Eventos!$G:$G,Eventos!$F:$F,$L1245,Eventos!$D:$D,$C$2,Eventos!$B:$B,PANES_SEMANALES[[#ALL],[MARTES]])</f>
        <v>0</v>
      </c>
      <c r="O1245" s="59">
        <f>SUMIFS(Eventos!$G:$G,Eventos!$F:$F,$L1245,Eventos!$D:$D,$C$2,Eventos!$B:$B,PANES_SEMANALES[[#ALL],[MIÉRCOLES]])</f>
        <v>0</v>
      </c>
      <c r="P1245" s="59">
        <f>SUMIFS(Eventos!$G:$G,Eventos!$F:$F,$L1245,Eventos!$D:$D,$C$2,Eventos!$B:$B,PANES_SEMANALES[[#ALL],[JUEVES]])</f>
        <v>0</v>
      </c>
      <c r="Q1245" s="59">
        <f>IF(P1245&lt;&gt;"",SUMIFS(Eventos!$G:$G,Eventos!$B:$B,Q$2,Eventos!$D:$D,$C$2,Eventos!$F:$F,$L1245),"")</f>
        <v>0</v>
      </c>
      <c r="R1245" s="59">
        <f>SUMIFS(Eventos!$G:$G,Eventos!$F:$F,$L1245,Eventos!$D:$D,$C$2,Eventos!$B:$B,PANES_SEMANALES[[#ALL],[SÁBADO]])</f>
        <v>0</v>
      </c>
      <c r="S1245" s="59">
        <f>SUMIFS(Eventos!$G:$G,Eventos!$F:$F,$L1245,Eventos!$D:$D,$C$2,Eventos!$B:$B,PANES_SEMANALES[[#ALL],[DOMINGO]])</f>
        <v>0</v>
      </c>
      <c r="T1245" s="59">
        <f t="shared" si="1"/>
        <v>0</v>
      </c>
    </row>
    <row r="1246" ht="22.5" customHeight="1">
      <c r="M1246" s="59">
        <f>SUMIFS(Eventos!$G:$G,Eventos!$F:$F,$L1246,Eventos!$D:$D,$C$2,Eventos!$B:$B,PANES_SEMANALES[[#ALL],[LUNES]])</f>
        <v>0</v>
      </c>
      <c r="N1246" s="59">
        <f>SUMIFS(Eventos!$G:$G,Eventos!$F:$F,$L1246,Eventos!$D:$D,$C$2,Eventos!$B:$B,PANES_SEMANALES[[#ALL],[MARTES]])</f>
        <v>0</v>
      </c>
      <c r="O1246" s="59">
        <f>SUMIFS(Eventos!$G:$G,Eventos!$F:$F,$L1246,Eventos!$D:$D,$C$2,Eventos!$B:$B,PANES_SEMANALES[[#ALL],[MIÉRCOLES]])</f>
        <v>0</v>
      </c>
      <c r="P1246" s="59">
        <f>SUMIFS(Eventos!$G:$G,Eventos!$F:$F,$L1246,Eventos!$D:$D,$C$2,Eventos!$B:$B,PANES_SEMANALES[[#ALL],[JUEVES]])</f>
        <v>0</v>
      </c>
      <c r="Q1246" s="59">
        <f>IF(P1246&lt;&gt;"",SUMIFS(Eventos!$G:$G,Eventos!$B:$B,Q$2,Eventos!$D:$D,$C$2,Eventos!$F:$F,$L1246),"")</f>
        <v>0</v>
      </c>
      <c r="R1246" s="59">
        <f>SUMIFS(Eventos!$G:$G,Eventos!$F:$F,$L1246,Eventos!$D:$D,$C$2,Eventos!$B:$B,PANES_SEMANALES[[#ALL],[SÁBADO]])</f>
        <v>0</v>
      </c>
      <c r="S1246" s="59">
        <f>SUMIFS(Eventos!$G:$G,Eventos!$F:$F,$L1246,Eventos!$D:$D,$C$2,Eventos!$B:$B,PANES_SEMANALES[[#ALL],[DOMINGO]])</f>
        <v>0</v>
      </c>
      <c r="T1246" s="59">
        <f t="shared" si="1"/>
        <v>0</v>
      </c>
    </row>
    <row r="1247" ht="22.5" customHeight="1">
      <c r="M1247" s="59">
        <f>SUMIFS(Eventos!$G:$G,Eventos!$F:$F,$L1247,Eventos!$D:$D,$C$2,Eventos!$B:$B,PANES_SEMANALES[[#ALL],[LUNES]])</f>
        <v>0</v>
      </c>
      <c r="N1247" s="59">
        <f>SUMIFS(Eventos!$G:$G,Eventos!$F:$F,$L1247,Eventos!$D:$D,$C$2,Eventos!$B:$B,PANES_SEMANALES[[#ALL],[MARTES]])</f>
        <v>0</v>
      </c>
      <c r="O1247" s="59">
        <f>SUMIFS(Eventos!$G:$G,Eventos!$F:$F,$L1247,Eventos!$D:$D,$C$2,Eventos!$B:$B,PANES_SEMANALES[[#ALL],[MIÉRCOLES]])</f>
        <v>0</v>
      </c>
      <c r="P1247" s="59">
        <f>SUMIFS(Eventos!$G:$G,Eventos!$F:$F,$L1247,Eventos!$D:$D,$C$2,Eventos!$B:$B,PANES_SEMANALES[[#ALL],[JUEVES]])</f>
        <v>0</v>
      </c>
      <c r="Q1247" s="59">
        <f>IF(P1247&lt;&gt;"",SUMIFS(Eventos!$G:$G,Eventos!$B:$B,Q$2,Eventos!$D:$D,$C$2,Eventos!$F:$F,$L1247),"")</f>
        <v>0</v>
      </c>
      <c r="R1247" s="59">
        <f>SUMIFS(Eventos!$G:$G,Eventos!$F:$F,$L1247,Eventos!$D:$D,$C$2,Eventos!$B:$B,PANES_SEMANALES[[#ALL],[SÁBADO]])</f>
        <v>0</v>
      </c>
      <c r="S1247" s="59">
        <f>SUMIFS(Eventos!$G:$G,Eventos!$F:$F,$L1247,Eventos!$D:$D,$C$2,Eventos!$B:$B,PANES_SEMANALES[[#ALL],[DOMINGO]])</f>
        <v>0</v>
      </c>
      <c r="T1247" s="59">
        <f t="shared" si="1"/>
        <v>0</v>
      </c>
    </row>
    <row r="1248" ht="22.5" customHeight="1">
      <c r="M1248" s="59">
        <f>SUMIFS(Eventos!$G:$G,Eventos!$F:$F,$L1248,Eventos!$D:$D,$C$2,Eventos!$B:$B,PANES_SEMANALES[[#ALL],[LUNES]])</f>
        <v>0</v>
      </c>
      <c r="N1248" s="59">
        <f>SUMIFS(Eventos!$G:$G,Eventos!$F:$F,$L1248,Eventos!$D:$D,$C$2,Eventos!$B:$B,PANES_SEMANALES[[#ALL],[MARTES]])</f>
        <v>0</v>
      </c>
      <c r="O1248" s="59">
        <f>SUMIFS(Eventos!$G:$G,Eventos!$F:$F,$L1248,Eventos!$D:$D,$C$2,Eventos!$B:$B,PANES_SEMANALES[[#ALL],[MIÉRCOLES]])</f>
        <v>0</v>
      </c>
      <c r="P1248" s="59">
        <f>SUMIFS(Eventos!$G:$G,Eventos!$F:$F,$L1248,Eventos!$D:$D,$C$2,Eventos!$B:$B,PANES_SEMANALES[[#ALL],[JUEVES]])</f>
        <v>0</v>
      </c>
      <c r="Q1248" s="59">
        <f>IF(P1248&lt;&gt;"",SUMIFS(Eventos!$G:$G,Eventos!$B:$B,Q$2,Eventos!$D:$D,$C$2,Eventos!$F:$F,$L1248),"")</f>
        <v>0</v>
      </c>
      <c r="R1248" s="59">
        <f>SUMIFS(Eventos!$G:$G,Eventos!$F:$F,$L1248,Eventos!$D:$D,$C$2,Eventos!$B:$B,PANES_SEMANALES[[#ALL],[SÁBADO]])</f>
        <v>0</v>
      </c>
      <c r="S1248" s="59">
        <f>SUMIFS(Eventos!$G:$G,Eventos!$F:$F,$L1248,Eventos!$D:$D,$C$2,Eventos!$B:$B,PANES_SEMANALES[[#ALL],[DOMINGO]])</f>
        <v>0</v>
      </c>
      <c r="T1248" s="59">
        <f t="shared" si="1"/>
        <v>0</v>
      </c>
    </row>
    <row r="1249" ht="22.5" customHeight="1">
      <c r="M1249" s="59">
        <f>SUMIFS(Eventos!$G:$G,Eventos!$F:$F,$L1249,Eventos!$D:$D,$C$2,Eventos!$B:$B,PANES_SEMANALES[[#ALL],[LUNES]])</f>
        <v>0</v>
      </c>
      <c r="N1249" s="59">
        <f>SUMIFS(Eventos!$G:$G,Eventos!$F:$F,$L1249,Eventos!$D:$D,$C$2,Eventos!$B:$B,PANES_SEMANALES[[#ALL],[MARTES]])</f>
        <v>0</v>
      </c>
      <c r="O1249" s="59">
        <f>SUMIFS(Eventos!$G:$G,Eventos!$F:$F,$L1249,Eventos!$D:$D,$C$2,Eventos!$B:$B,PANES_SEMANALES[[#ALL],[MIÉRCOLES]])</f>
        <v>0</v>
      </c>
      <c r="P1249" s="59">
        <f>SUMIFS(Eventos!$G:$G,Eventos!$F:$F,$L1249,Eventos!$D:$D,$C$2,Eventos!$B:$B,PANES_SEMANALES[[#ALL],[JUEVES]])</f>
        <v>0</v>
      </c>
      <c r="Q1249" s="59">
        <f>IF(P1249&lt;&gt;"",SUMIFS(Eventos!$G:$G,Eventos!$B:$B,Q$2,Eventos!$D:$D,$C$2,Eventos!$F:$F,$L1249),"")</f>
        <v>0</v>
      </c>
      <c r="R1249" s="59">
        <f>SUMIFS(Eventos!$G:$G,Eventos!$F:$F,$L1249,Eventos!$D:$D,$C$2,Eventos!$B:$B,PANES_SEMANALES[[#ALL],[SÁBADO]])</f>
        <v>0</v>
      </c>
      <c r="S1249" s="59">
        <f>SUMIFS(Eventos!$G:$G,Eventos!$F:$F,$L1249,Eventos!$D:$D,$C$2,Eventos!$B:$B,PANES_SEMANALES[[#ALL],[DOMINGO]])</f>
        <v>0</v>
      </c>
      <c r="T1249" s="59">
        <f t="shared" si="1"/>
        <v>0</v>
      </c>
    </row>
    <row r="1250" ht="22.5" customHeight="1">
      <c r="M1250" s="59">
        <f>SUMIFS(Eventos!$G:$G,Eventos!$F:$F,$L1250,Eventos!$D:$D,$C$2,Eventos!$B:$B,PANES_SEMANALES[[#ALL],[LUNES]])</f>
        <v>0</v>
      </c>
      <c r="N1250" s="59">
        <f>SUMIFS(Eventos!$G:$G,Eventos!$F:$F,$L1250,Eventos!$D:$D,$C$2,Eventos!$B:$B,PANES_SEMANALES[[#ALL],[MARTES]])</f>
        <v>0</v>
      </c>
      <c r="O1250" s="59">
        <f>SUMIFS(Eventos!$G:$G,Eventos!$F:$F,$L1250,Eventos!$D:$D,$C$2,Eventos!$B:$B,PANES_SEMANALES[[#ALL],[MIÉRCOLES]])</f>
        <v>0</v>
      </c>
      <c r="P1250" s="59">
        <f>SUMIFS(Eventos!$G:$G,Eventos!$F:$F,$L1250,Eventos!$D:$D,$C$2,Eventos!$B:$B,PANES_SEMANALES[[#ALL],[JUEVES]])</f>
        <v>0</v>
      </c>
      <c r="Q1250" s="59">
        <f>IF(P1250&lt;&gt;"",SUMIFS(Eventos!$G:$G,Eventos!$B:$B,Q$2,Eventos!$D:$D,$C$2,Eventos!$F:$F,$L1250),"")</f>
        <v>0</v>
      </c>
      <c r="R1250" s="59">
        <f>SUMIFS(Eventos!$G:$G,Eventos!$F:$F,$L1250,Eventos!$D:$D,$C$2,Eventos!$B:$B,PANES_SEMANALES[[#ALL],[SÁBADO]])</f>
        <v>0</v>
      </c>
      <c r="S1250" s="59">
        <f>SUMIFS(Eventos!$G:$G,Eventos!$F:$F,$L1250,Eventos!$D:$D,$C$2,Eventos!$B:$B,PANES_SEMANALES[[#ALL],[DOMINGO]])</f>
        <v>0</v>
      </c>
      <c r="T1250" s="59">
        <f t="shared" si="1"/>
        <v>0</v>
      </c>
    </row>
    <row r="1251" ht="22.5" customHeight="1">
      <c r="M1251" s="59">
        <f>SUMIFS(Eventos!$G:$G,Eventos!$F:$F,$L1251,Eventos!$D:$D,$C$2,Eventos!$B:$B,PANES_SEMANALES[[#ALL],[LUNES]])</f>
        <v>0</v>
      </c>
      <c r="N1251" s="59">
        <f>SUMIFS(Eventos!$G:$G,Eventos!$F:$F,$L1251,Eventos!$D:$D,$C$2,Eventos!$B:$B,PANES_SEMANALES[[#ALL],[MARTES]])</f>
        <v>0</v>
      </c>
      <c r="O1251" s="59">
        <f>SUMIFS(Eventos!$G:$G,Eventos!$F:$F,$L1251,Eventos!$D:$D,$C$2,Eventos!$B:$B,PANES_SEMANALES[[#ALL],[MIÉRCOLES]])</f>
        <v>0</v>
      </c>
      <c r="P1251" s="59">
        <f>SUMIFS(Eventos!$G:$G,Eventos!$F:$F,$L1251,Eventos!$D:$D,$C$2,Eventos!$B:$B,PANES_SEMANALES[[#ALL],[JUEVES]])</f>
        <v>0</v>
      </c>
      <c r="Q1251" s="59">
        <f>IF(P1251&lt;&gt;"",SUMIFS(Eventos!$G:$G,Eventos!$B:$B,Q$2,Eventos!$D:$D,$C$2,Eventos!$F:$F,$L1251),"")</f>
        <v>0</v>
      </c>
      <c r="R1251" s="59">
        <f>SUMIFS(Eventos!$G:$G,Eventos!$F:$F,$L1251,Eventos!$D:$D,$C$2,Eventos!$B:$B,PANES_SEMANALES[[#ALL],[SÁBADO]])</f>
        <v>0</v>
      </c>
      <c r="S1251" s="59">
        <f>SUMIFS(Eventos!$G:$G,Eventos!$F:$F,$L1251,Eventos!$D:$D,$C$2,Eventos!$B:$B,PANES_SEMANALES[[#ALL],[DOMINGO]])</f>
        <v>0</v>
      </c>
      <c r="T1251" s="59">
        <f t="shared" si="1"/>
        <v>0</v>
      </c>
    </row>
    <row r="1252" ht="22.5" customHeight="1">
      <c r="M1252" s="59">
        <f>SUMIFS(Eventos!$G:$G,Eventos!$F:$F,$L1252,Eventos!$D:$D,$C$2,Eventos!$B:$B,PANES_SEMANALES[[#ALL],[LUNES]])</f>
        <v>0</v>
      </c>
      <c r="N1252" s="59">
        <f>SUMIFS(Eventos!$G:$G,Eventos!$F:$F,$L1252,Eventos!$D:$D,$C$2,Eventos!$B:$B,PANES_SEMANALES[[#ALL],[MARTES]])</f>
        <v>0</v>
      </c>
      <c r="O1252" s="59">
        <f>SUMIFS(Eventos!$G:$G,Eventos!$F:$F,$L1252,Eventos!$D:$D,$C$2,Eventos!$B:$B,PANES_SEMANALES[[#ALL],[MIÉRCOLES]])</f>
        <v>0</v>
      </c>
      <c r="P1252" s="59">
        <f>SUMIFS(Eventos!$G:$G,Eventos!$F:$F,$L1252,Eventos!$D:$D,$C$2,Eventos!$B:$B,PANES_SEMANALES[[#ALL],[JUEVES]])</f>
        <v>0</v>
      </c>
      <c r="Q1252" s="59">
        <f>IF(P1252&lt;&gt;"",SUMIFS(Eventos!$G:$G,Eventos!$B:$B,Q$2,Eventos!$D:$D,$C$2,Eventos!$F:$F,$L1252),"")</f>
        <v>0</v>
      </c>
      <c r="R1252" s="59">
        <f>SUMIFS(Eventos!$G:$G,Eventos!$F:$F,$L1252,Eventos!$D:$D,$C$2,Eventos!$B:$B,PANES_SEMANALES[[#ALL],[SÁBADO]])</f>
        <v>0</v>
      </c>
      <c r="S1252" s="59">
        <f>SUMIFS(Eventos!$G:$G,Eventos!$F:$F,$L1252,Eventos!$D:$D,$C$2,Eventos!$B:$B,PANES_SEMANALES[[#ALL],[DOMINGO]])</f>
        <v>0</v>
      </c>
      <c r="T1252" s="59">
        <f t="shared" si="1"/>
        <v>0</v>
      </c>
    </row>
    <row r="1253" ht="22.5" customHeight="1">
      <c r="M1253" s="59">
        <f>SUMIFS(Eventos!$G:$G,Eventos!$F:$F,$L1253,Eventos!$D:$D,$C$2,Eventos!$B:$B,PANES_SEMANALES[[#ALL],[LUNES]])</f>
        <v>0</v>
      </c>
      <c r="N1253" s="59">
        <f>SUMIFS(Eventos!$G:$G,Eventos!$F:$F,$L1253,Eventos!$D:$D,$C$2,Eventos!$B:$B,PANES_SEMANALES[[#ALL],[MARTES]])</f>
        <v>0</v>
      </c>
      <c r="O1253" s="59">
        <f>SUMIFS(Eventos!$G:$G,Eventos!$F:$F,$L1253,Eventos!$D:$D,$C$2,Eventos!$B:$B,PANES_SEMANALES[[#ALL],[MIÉRCOLES]])</f>
        <v>0</v>
      </c>
      <c r="P1253" s="59">
        <f>SUMIFS(Eventos!$G:$G,Eventos!$F:$F,$L1253,Eventos!$D:$D,$C$2,Eventos!$B:$B,PANES_SEMANALES[[#ALL],[JUEVES]])</f>
        <v>0</v>
      </c>
      <c r="Q1253" s="59">
        <f>IF(P1253&lt;&gt;"",SUMIFS(Eventos!$G:$G,Eventos!$B:$B,Q$2,Eventos!$D:$D,$C$2,Eventos!$F:$F,$L1253),"")</f>
        <v>0</v>
      </c>
      <c r="R1253" s="59">
        <f>SUMIFS(Eventos!$G:$G,Eventos!$F:$F,$L1253,Eventos!$D:$D,$C$2,Eventos!$B:$B,PANES_SEMANALES[[#ALL],[SÁBADO]])</f>
        <v>0</v>
      </c>
      <c r="S1253" s="59">
        <f>SUMIFS(Eventos!$G:$G,Eventos!$F:$F,$L1253,Eventos!$D:$D,$C$2,Eventos!$B:$B,PANES_SEMANALES[[#ALL],[DOMINGO]])</f>
        <v>0</v>
      </c>
      <c r="T1253" s="59">
        <f t="shared" si="1"/>
        <v>0</v>
      </c>
    </row>
    <row r="1254" ht="22.5" customHeight="1">
      <c r="M1254" s="59">
        <f>SUMIFS(Eventos!$G:$G,Eventos!$F:$F,$L1254,Eventos!$D:$D,$C$2,Eventos!$B:$B,PANES_SEMANALES[[#ALL],[LUNES]])</f>
        <v>0</v>
      </c>
      <c r="N1254" s="59">
        <f>SUMIFS(Eventos!$G:$G,Eventos!$F:$F,$L1254,Eventos!$D:$D,$C$2,Eventos!$B:$B,PANES_SEMANALES[[#ALL],[MARTES]])</f>
        <v>0</v>
      </c>
      <c r="O1254" s="59">
        <f>SUMIFS(Eventos!$G:$G,Eventos!$F:$F,$L1254,Eventos!$D:$D,$C$2,Eventos!$B:$B,PANES_SEMANALES[[#ALL],[MIÉRCOLES]])</f>
        <v>0</v>
      </c>
      <c r="P1254" s="59">
        <f>SUMIFS(Eventos!$G:$G,Eventos!$F:$F,$L1254,Eventos!$D:$D,$C$2,Eventos!$B:$B,PANES_SEMANALES[[#ALL],[JUEVES]])</f>
        <v>0</v>
      </c>
      <c r="Q1254" s="59">
        <f>IF(P1254&lt;&gt;"",SUMIFS(Eventos!$G:$G,Eventos!$B:$B,Q$2,Eventos!$D:$D,$C$2,Eventos!$F:$F,$L1254),"")</f>
        <v>0</v>
      </c>
      <c r="R1254" s="59">
        <f>SUMIFS(Eventos!$G:$G,Eventos!$F:$F,$L1254,Eventos!$D:$D,$C$2,Eventos!$B:$B,PANES_SEMANALES[[#ALL],[SÁBADO]])</f>
        <v>0</v>
      </c>
      <c r="S1254" s="59">
        <f>SUMIFS(Eventos!$G:$G,Eventos!$F:$F,$L1254,Eventos!$D:$D,$C$2,Eventos!$B:$B,PANES_SEMANALES[[#ALL],[DOMINGO]])</f>
        <v>0</v>
      </c>
      <c r="T1254" s="59">
        <f t="shared" si="1"/>
        <v>0</v>
      </c>
    </row>
    <row r="1255" ht="22.5" customHeight="1">
      <c r="M1255" s="59">
        <f>SUMIFS(Eventos!$G:$G,Eventos!$F:$F,$L1255,Eventos!$D:$D,$C$2,Eventos!$B:$B,PANES_SEMANALES[[#ALL],[LUNES]])</f>
        <v>0</v>
      </c>
      <c r="N1255" s="59">
        <f>SUMIFS(Eventos!$G:$G,Eventos!$F:$F,$L1255,Eventos!$D:$D,$C$2,Eventos!$B:$B,PANES_SEMANALES[[#ALL],[MARTES]])</f>
        <v>0</v>
      </c>
      <c r="O1255" s="59">
        <f>SUMIFS(Eventos!$G:$G,Eventos!$F:$F,$L1255,Eventos!$D:$D,$C$2,Eventos!$B:$B,PANES_SEMANALES[[#ALL],[MIÉRCOLES]])</f>
        <v>0</v>
      </c>
      <c r="P1255" s="59">
        <f>SUMIFS(Eventos!$G:$G,Eventos!$F:$F,$L1255,Eventos!$D:$D,$C$2,Eventos!$B:$B,PANES_SEMANALES[[#ALL],[JUEVES]])</f>
        <v>0</v>
      </c>
      <c r="Q1255" s="59">
        <f>IF(P1255&lt;&gt;"",SUMIFS(Eventos!$G:$G,Eventos!$B:$B,Q$2,Eventos!$D:$D,$C$2,Eventos!$F:$F,$L1255),"")</f>
        <v>0</v>
      </c>
      <c r="R1255" s="59">
        <f>SUMIFS(Eventos!$G:$G,Eventos!$F:$F,$L1255,Eventos!$D:$D,$C$2,Eventos!$B:$B,PANES_SEMANALES[[#ALL],[SÁBADO]])</f>
        <v>0</v>
      </c>
      <c r="S1255" s="59">
        <f>SUMIFS(Eventos!$G:$G,Eventos!$F:$F,$L1255,Eventos!$D:$D,$C$2,Eventos!$B:$B,PANES_SEMANALES[[#ALL],[DOMINGO]])</f>
        <v>0</v>
      </c>
      <c r="T1255" s="59">
        <f t="shared" si="1"/>
        <v>0</v>
      </c>
    </row>
    <row r="1256" ht="22.5" customHeight="1">
      <c r="M1256" s="59">
        <f>SUMIFS(Eventos!$G:$G,Eventos!$F:$F,$L1256,Eventos!$D:$D,$C$2,Eventos!$B:$B,PANES_SEMANALES[[#ALL],[LUNES]])</f>
        <v>0</v>
      </c>
      <c r="N1256" s="59">
        <f>SUMIFS(Eventos!$G:$G,Eventos!$F:$F,$L1256,Eventos!$D:$D,$C$2,Eventos!$B:$B,PANES_SEMANALES[[#ALL],[MARTES]])</f>
        <v>0</v>
      </c>
      <c r="O1256" s="59">
        <f>SUMIFS(Eventos!$G:$G,Eventos!$F:$F,$L1256,Eventos!$D:$D,$C$2,Eventos!$B:$B,PANES_SEMANALES[[#ALL],[MIÉRCOLES]])</f>
        <v>0</v>
      </c>
      <c r="P1256" s="59">
        <f>SUMIFS(Eventos!$G:$G,Eventos!$F:$F,$L1256,Eventos!$D:$D,$C$2,Eventos!$B:$B,PANES_SEMANALES[[#ALL],[JUEVES]])</f>
        <v>0</v>
      </c>
      <c r="Q1256" s="59">
        <f>IF(P1256&lt;&gt;"",SUMIFS(Eventos!$G:$G,Eventos!$B:$B,Q$2,Eventos!$D:$D,$C$2,Eventos!$F:$F,$L1256),"")</f>
        <v>0</v>
      </c>
      <c r="R1256" s="59">
        <f>SUMIFS(Eventos!$G:$G,Eventos!$F:$F,$L1256,Eventos!$D:$D,$C$2,Eventos!$B:$B,PANES_SEMANALES[[#ALL],[SÁBADO]])</f>
        <v>0</v>
      </c>
      <c r="S1256" s="59">
        <f>SUMIFS(Eventos!$G:$G,Eventos!$F:$F,$L1256,Eventos!$D:$D,$C$2,Eventos!$B:$B,PANES_SEMANALES[[#ALL],[DOMINGO]])</f>
        <v>0</v>
      </c>
      <c r="T1256" s="59">
        <f t="shared" si="1"/>
        <v>0</v>
      </c>
    </row>
    <row r="1257" ht="22.5" customHeight="1">
      <c r="M1257" s="59">
        <f>SUMIFS(Eventos!$G:$G,Eventos!$F:$F,$L1257,Eventos!$D:$D,$C$2,Eventos!$B:$B,PANES_SEMANALES[[#ALL],[LUNES]])</f>
        <v>0</v>
      </c>
      <c r="N1257" s="59">
        <f>SUMIFS(Eventos!$G:$G,Eventos!$F:$F,$L1257,Eventos!$D:$D,$C$2,Eventos!$B:$B,PANES_SEMANALES[[#ALL],[MARTES]])</f>
        <v>0</v>
      </c>
      <c r="O1257" s="59">
        <f>SUMIFS(Eventos!$G:$G,Eventos!$F:$F,$L1257,Eventos!$D:$D,$C$2,Eventos!$B:$B,PANES_SEMANALES[[#ALL],[MIÉRCOLES]])</f>
        <v>0</v>
      </c>
      <c r="P1257" s="59">
        <f>SUMIFS(Eventos!$G:$G,Eventos!$F:$F,$L1257,Eventos!$D:$D,$C$2,Eventos!$B:$B,PANES_SEMANALES[[#ALL],[JUEVES]])</f>
        <v>0</v>
      </c>
      <c r="Q1257" s="59">
        <f>IF(P1257&lt;&gt;"",SUMIFS(Eventos!$G:$G,Eventos!$B:$B,Q$2,Eventos!$D:$D,$C$2,Eventos!$F:$F,$L1257),"")</f>
        <v>0</v>
      </c>
      <c r="R1257" s="59">
        <f>SUMIFS(Eventos!$G:$G,Eventos!$F:$F,$L1257,Eventos!$D:$D,$C$2,Eventos!$B:$B,PANES_SEMANALES[[#ALL],[SÁBADO]])</f>
        <v>0</v>
      </c>
      <c r="S1257" s="59">
        <f>SUMIFS(Eventos!$G:$G,Eventos!$F:$F,$L1257,Eventos!$D:$D,$C$2,Eventos!$B:$B,PANES_SEMANALES[[#ALL],[DOMINGO]])</f>
        <v>0</v>
      </c>
      <c r="T1257" s="59">
        <f t="shared" si="1"/>
        <v>0</v>
      </c>
    </row>
    <row r="1258" ht="22.5" customHeight="1">
      <c r="M1258" s="59">
        <f>SUMIFS(Eventos!$G:$G,Eventos!$F:$F,$L1258,Eventos!$D:$D,$C$2,Eventos!$B:$B,PANES_SEMANALES[[#ALL],[LUNES]])</f>
        <v>0</v>
      </c>
      <c r="N1258" s="59">
        <f>SUMIFS(Eventos!$G:$G,Eventos!$F:$F,$L1258,Eventos!$D:$D,$C$2,Eventos!$B:$B,PANES_SEMANALES[[#ALL],[MARTES]])</f>
        <v>0</v>
      </c>
      <c r="O1258" s="59">
        <f>SUMIFS(Eventos!$G:$G,Eventos!$F:$F,$L1258,Eventos!$D:$D,$C$2,Eventos!$B:$B,PANES_SEMANALES[[#ALL],[MIÉRCOLES]])</f>
        <v>0</v>
      </c>
      <c r="P1258" s="59">
        <f>SUMIFS(Eventos!$G:$G,Eventos!$F:$F,$L1258,Eventos!$D:$D,$C$2,Eventos!$B:$B,PANES_SEMANALES[[#ALL],[JUEVES]])</f>
        <v>0</v>
      </c>
      <c r="Q1258" s="59">
        <f>IF(P1258&lt;&gt;"",SUMIFS(Eventos!$G:$G,Eventos!$B:$B,Q$2,Eventos!$D:$D,$C$2,Eventos!$F:$F,$L1258),"")</f>
        <v>0</v>
      </c>
      <c r="R1258" s="59">
        <f>SUMIFS(Eventos!$G:$G,Eventos!$F:$F,$L1258,Eventos!$D:$D,$C$2,Eventos!$B:$B,PANES_SEMANALES[[#ALL],[SÁBADO]])</f>
        <v>0</v>
      </c>
      <c r="S1258" s="59">
        <f>SUMIFS(Eventos!$G:$G,Eventos!$F:$F,$L1258,Eventos!$D:$D,$C$2,Eventos!$B:$B,PANES_SEMANALES[[#ALL],[DOMINGO]])</f>
        <v>0</v>
      </c>
      <c r="T1258" s="59">
        <f t="shared" si="1"/>
        <v>0</v>
      </c>
    </row>
    <row r="1259" ht="22.5" customHeight="1">
      <c r="M1259" s="59">
        <f>SUMIFS(Eventos!$G:$G,Eventos!$F:$F,$L1259,Eventos!$D:$D,$C$2,Eventos!$B:$B,PANES_SEMANALES[[#ALL],[LUNES]])</f>
        <v>0</v>
      </c>
      <c r="N1259" s="59">
        <f>SUMIFS(Eventos!$G:$G,Eventos!$F:$F,$L1259,Eventos!$D:$D,$C$2,Eventos!$B:$B,PANES_SEMANALES[[#ALL],[MARTES]])</f>
        <v>0</v>
      </c>
      <c r="O1259" s="59">
        <f>SUMIFS(Eventos!$G:$G,Eventos!$F:$F,$L1259,Eventos!$D:$D,$C$2,Eventos!$B:$B,PANES_SEMANALES[[#ALL],[MIÉRCOLES]])</f>
        <v>0</v>
      </c>
      <c r="P1259" s="59">
        <f>SUMIFS(Eventos!$G:$G,Eventos!$F:$F,$L1259,Eventos!$D:$D,$C$2,Eventos!$B:$B,PANES_SEMANALES[[#ALL],[JUEVES]])</f>
        <v>0</v>
      </c>
      <c r="Q1259" s="59">
        <f>IF(P1259&lt;&gt;"",SUMIFS(Eventos!$G:$G,Eventos!$B:$B,Q$2,Eventos!$D:$D,$C$2,Eventos!$F:$F,$L1259),"")</f>
        <v>0</v>
      </c>
      <c r="R1259" s="59">
        <f>SUMIFS(Eventos!$G:$G,Eventos!$F:$F,$L1259,Eventos!$D:$D,$C$2,Eventos!$B:$B,PANES_SEMANALES[[#ALL],[SÁBADO]])</f>
        <v>0</v>
      </c>
      <c r="S1259" s="59">
        <f>SUMIFS(Eventos!$G:$G,Eventos!$F:$F,$L1259,Eventos!$D:$D,$C$2,Eventos!$B:$B,PANES_SEMANALES[[#ALL],[DOMINGO]])</f>
        <v>0</v>
      </c>
      <c r="T1259" s="59">
        <f t="shared" si="1"/>
        <v>0</v>
      </c>
    </row>
    <row r="1260" ht="22.5" customHeight="1">
      <c r="M1260" s="59">
        <f>SUMIFS(Eventos!$G:$G,Eventos!$F:$F,$L1260,Eventos!$D:$D,$C$2,Eventos!$B:$B,PANES_SEMANALES[[#ALL],[LUNES]])</f>
        <v>0</v>
      </c>
      <c r="N1260" s="59">
        <f>SUMIFS(Eventos!$G:$G,Eventos!$F:$F,$L1260,Eventos!$D:$D,$C$2,Eventos!$B:$B,PANES_SEMANALES[[#ALL],[MARTES]])</f>
        <v>0</v>
      </c>
      <c r="O1260" s="59">
        <f>SUMIFS(Eventos!$G:$G,Eventos!$F:$F,$L1260,Eventos!$D:$D,$C$2,Eventos!$B:$B,PANES_SEMANALES[[#ALL],[MIÉRCOLES]])</f>
        <v>0</v>
      </c>
      <c r="P1260" s="59">
        <f>SUMIFS(Eventos!$G:$G,Eventos!$F:$F,$L1260,Eventos!$D:$D,$C$2,Eventos!$B:$B,PANES_SEMANALES[[#ALL],[JUEVES]])</f>
        <v>0</v>
      </c>
      <c r="Q1260" s="59">
        <f>IF(P1260&lt;&gt;"",SUMIFS(Eventos!$G:$G,Eventos!$B:$B,Q$2,Eventos!$D:$D,$C$2,Eventos!$F:$F,$L1260),"")</f>
        <v>0</v>
      </c>
      <c r="R1260" s="59">
        <f>SUMIFS(Eventos!$G:$G,Eventos!$F:$F,$L1260,Eventos!$D:$D,$C$2,Eventos!$B:$B,PANES_SEMANALES[[#ALL],[SÁBADO]])</f>
        <v>0</v>
      </c>
      <c r="S1260" s="59">
        <f>SUMIFS(Eventos!$G:$G,Eventos!$F:$F,$L1260,Eventos!$D:$D,$C$2,Eventos!$B:$B,PANES_SEMANALES[[#ALL],[DOMINGO]])</f>
        <v>0</v>
      </c>
      <c r="T1260" s="59">
        <f t="shared" si="1"/>
        <v>0</v>
      </c>
    </row>
    <row r="1261" ht="22.5" customHeight="1">
      <c r="M1261" s="59">
        <f>SUMIFS(Eventos!$G:$G,Eventos!$F:$F,$L1261,Eventos!$D:$D,$C$2,Eventos!$B:$B,PANES_SEMANALES[[#ALL],[LUNES]])</f>
        <v>0</v>
      </c>
      <c r="N1261" s="59">
        <f>SUMIFS(Eventos!$G:$G,Eventos!$F:$F,$L1261,Eventos!$D:$D,$C$2,Eventos!$B:$B,PANES_SEMANALES[[#ALL],[MARTES]])</f>
        <v>0</v>
      </c>
      <c r="O1261" s="59">
        <f>SUMIFS(Eventos!$G:$G,Eventos!$F:$F,$L1261,Eventos!$D:$D,$C$2,Eventos!$B:$B,PANES_SEMANALES[[#ALL],[MIÉRCOLES]])</f>
        <v>0</v>
      </c>
      <c r="P1261" s="59">
        <f>SUMIFS(Eventos!$G:$G,Eventos!$F:$F,$L1261,Eventos!$D:$D,$C$2,Eventos!$B:$B,PANES_SEMANALES[[#ALL],[JUEVES]])</f>
        <v>0</v>
      </c>
      <c r="Q1261" s="59">
        <f>IF(P1261&lt;&gt;"",SUMIFS(Eventos!$G:$G,Eventos!$B:$B,Q$2,Eventos!$D:$D,$C$2,Eventos!$F:$F,$L1261),"")</f>
        <v>0</v>
      </c>
      <c r="R1261" s="59">
        <f>SUMIFS(Eventos!$G:$G,Eventos!$F:$F,$L1261,Eventos!$D:$D,$C$2,Eventos!$B:$B,PANES_SEMANALES[[#ALL],[SÁBADO]])</f>
        <v>0</v>
      </c>
      <c r="S1261" s="59">
        <f>SUMIFS(Eventos!$G:$G,Eventos!$F:$F,$L1261,Eventos!$D:$D,$C$2,Eventos!$B:$B,PANES_SEMANALES[[#ALL],[DOMINGO]])</f>
        <v>0</v>
      </c>
      <c r="T1261" s="59">
        <f t="shared" si="1"/>
        <v>0</v>
      </c>
    </row>
    <row r="1262" ht="22.5" customHeight="1">
      <c r="M1262" s="59">
        <f>SUMIFS(Eventos!$G:$G,Eventos!$F:$F,$L1262,Eventos!$D:$D,$C$2,Eventos!$B:$B,PANES_SEMANALES[[#ALL],[LUNES]])</f>
        <v>0</v>
      </c>
      <c r="N1262" s="59">
        <f>SUMIFS(Eventos!$G:$G,Eventos!$F:$F,$L1262,Eventos!$D:$D,$C$2,Eventos!$B:$B,PANES_SEMANALES[[#ALL],[MARTES]])</f>
        <v>0</v>
      </c>
      <c r="O1262" s="59">
        <f>SUMIFS(Eventos!$G:$G,Eventos!$F:$F,$L1262,Eventos!$D:$D,$C$2,Eventos!$B:$B,PANES_SEMANALES[[#ALL],[MIÉRCOLES]])</f>
        <v>0</v>
      </c>
      <c r="P1262" s="59">
        <f>SUMIFS(Eventos!$G:$G,Eventos!$F:$F,$L1262,Eventos!$D:$D,$C$2,Eventos!$B:$B,PANES_SEMANALES[[#ALL],[JUEVES]])</f>
        <v>0</v>
      </c>
      <c r="Q1262" s="59">
        <f>IF(P1262&lt;&gt;"",SUMIFS(Eventos!$G:$G,Eventos!$B:$B,Q$2,Eventos!$D:$D,$C$2,Eventos!$F:$F,$L1262),"")</f>
        <v>0</v>
      </c>
      <c r="R1262" s="59">
        <f>SUMIFS(Eventos!$G:$G,Eventos!$F:$F,$L1262,Eventos!$D:$D,$C$2,Eventos!$B:$B,PANES_SEMANALES[[#ALL],[SÁBADO]])</f>
        <v>0</v>
      </c>
      <c r="S1262" s="59">
        <f>SUMIFS(Eventos!$G:$G,Eventos!$F:$F,$L1262,Eventos!$D:$D,$C$2,Eventos!$B:$B,PANES_SEMANALES[[#ALL],[DOMINGO]])</f>
        <v>0</v>
      </c>
      <c r="T1262" s="59">
        <f t="shared" si="1"/>
        <v>0</v>
      </c>
    </row>
    <row r="1263" ht="22.5" customHeight="1">
      <c r="M1263" s="59">
        <f>SUMIFS(Eventos!$G:$G,Eventos!$F:$F,$L1263,Eventos!$D:$D,$C$2,Eventos!$B:$B,PANES_SEMANALES[[#ALL],[LUNES]])</f>
        <v>0</v>
      </c>
      <c r="N1263" s="59">
        <f>SUMIFS(Eventos!$G:$G,Eventos!$F:$F,$L1263,Eventos!$D:$D,$C$2,Eventos!$B:$B,PANES_SEMANALES[[#ALL],[MARTES]])</f>
        <v>0</v>
      </c>
      <c r="O1263" s="59">
        <f>SUMIFS(Eventos!$G:$G,Eventos!$F:$F,$L1263,Eventos!$D:$D,$C$2,Eventos!$B:$B,PANES_SEMANALES[[#ALL],[MIÉRCOLES]])</f>
        <v>0</v>
      </c>
      <c r="P1263" s="59">
        <f>SUMIFS(Eventos!$G:$G,Eventos!$F:$F,$L1263,Eventos!$D:$D,$C$2,Eventos!$B:$B,PANES_SEMANALES[[#ALL],[JUEVES]])</f>
        <v>0</v>
      </c>
      <c r="Q1263" s="59">
        <f>IF(P1263&lt;&gt;"",SUMIFS(Eventos!$G:$G,Eventos!$B:$B,Q$2,Eventos!$D:$D,$C$2,Eventos!$F:$F,$L1263),"")</f>
        <v>0</v>
      </c>
      <c r="R1263" s="59">
        <f>SUMIFS(Eventos!$G:$G,Eventos!$F:$F,$L1263,Eventos!$D:$D,$C$2,Eventos!$B:$B,PANES_SEMANALES[[#ALL],[SÁBADO]])</f>
        <v>0</v>
      </c>
      <c r="S1263" s="59">
        <f>SUMIFS(Eventos!$G:$G,Eventos!$F:$F,$L1263,Eventos!$D:$D,$C$2,Eventos!$B:$B,PANES_SEMANALES[[#ALL],[DOMINGO]])</f>
        <v>0</v>
      </c>
      <c r="T1263" s="59">
        <f t="shared" si="1"/>
        <v>0</v>
      </c>
    </row>
    <row r="1264" ht="22.5" customHeight="1">
      <c r="M1264" s="59">
        <f>SUMIFS(Eventos!$G:$G,Eventos!$F:$F,$L1264,Eventos!$D:$D,$C$2,Eventos!$B:$B,PANES_SEMANALES[[#ALL],[LUNES]])</f>
        <v>0</v>
      </c>
      <c r="N1264" s="59">
        <f>SUMIFS(Eventos!$G:$G,Eventos!$F:$F,$L1264,Eventos!$D:$D,$C$2,Eventos!$B:$B,PANES_SEMANALES[[#ALL],[MARTES]])</f>
        <v>0</v>
      </c>
      <c r="O1264" s="59">
        <f>SUMIFS(Eventos!$G:$G,Eventos!$F:$F,$L1264,Eventos!$D:$D,$C$2,Eventos!$B:$B,PANES_SEMANALES[[#ALL],[MIÉRCOLES]])</f>
        <v>0</v>
      </c>
      <c r="P1264" s="59">
        <f>SUMIFS(Eventos!$G:$G,Eventos!$F:$F,$L1264,Eventos!$D:$D,$C$2,Eventos!$B:$B,PANES_SEMANALES[[#ALL],[JUEVES]])</f>
        <v>0</v>
      </c>
      <c r="Q1264" s="59">
        <f>IF(P1264&lt;&gt;"",SUMIFS(Eventos!$G:$G,Eventos!$B:$B,Q$2,Eventos!$D:$D,$C$2,Eventos!$F:$F,$L1264),"")</f>
        <v>0</v>
      </c>
      <c r="R1264" s="59">
        <f>SUMIFS(Eventos!$G:$G,Eventos!$F:$F,$L1264,Eventos!$D:$D,$C$2,Eventos!$B:$B,PANES_SEMANALES[[#ALL],[SÁBADO]])</f>
        <v>0</v>
      </c>
      <c r="S1264" s="59">
        <f>SUMIFS(Eventos!$G:$G,Eventos!$F:$F,$L1264,Eventos!$D:$D,$C$2,Eventos!$B:$B,PANES_SEMANALES[[#ALL],[DOMINGO]])</f>
        <v>0</v>
      </c>
      <c r="T1264" s="59">
        <f t="shared" si="1"/>
        <v>0</v>
      </c>
    </row>
    <row r="1265" ht="22.5" customHeight="1">
      <c r="M1265" s="59">
        <f>SUMIFS(Eventos!$G:$G,Eventos!$F:$F,$L1265,Eventos!$D:$D,$C$2,Eventos!$B:$B,PANES_SEMANALES[[#ALL],[LUNES]])</f>
        <v>0</v>
      </c>
      <c r="N1265" s="59">
        <f>SUMIFS(Eventos!$G:$G,Eventos!$F:$F,$L1265,Eventos!$D:$D,$C$2,Eventos!$B:$B,PANES_SEMANALES[[#ALL],[MARTES]])</f>
        <v>0</v>
      </c>
      <c r="O1265" s="59">
        <f>SUMIFS(Eventos!$G:$G,Eventos!$F:$F,$L1265,Eventos!$D:$D,$C$2,Eventos!$B:$B,PANES_SEMANALES[[#ALL],[MIÉRCOLES]])</f>
        <v>0</v>
      </c>
      <c r="P1265" s="59">
        <f>SUMIFS(Eventos!$G:$G,Eventos!$F:$F,$L1265,Eventos!$D:$D,$C$2,Eventos!$B:$B,PANES_SEMANALES[[#ALL],[JUEVES]])</f>
        <v>0</v>
      </c>
      <c r="Q1265" s="59">
        <f>IF(P1265&lt;&gt;"",SUMIFS(Eventos!$G:$G,Eventos!$B:$B,Q$2,Eventos!$D:$D,$C$2,Eventos!$F:$F,$L1265),"")</f>
        <v>0</v>
      </c>
      <c r="R1265" s="59">
        <f>SUMIFS(Eventos!$G:$G,Eventos!$F:$F,$L1265,Eventos!$D:$D,$C$2,Eventos!$B:$B,PANES_SEMANALES[[#ALL],[SÁBADO]])</f>
        <v>0</v>
      </c>
      <c r="S1265" s="59">
        <f>SUMIFS(Eventos!$G:$G,Eventos!$F:$F,$L1265,Eventos!$D:$D,$C$2,Eventos!$B:$B,PANES_SEMANALES[[#ALL],[DOMINGO]])</f>
        <v>0</v>
      </c>
      <c r="T1265" s="59">
        <f t="shared" si="1"/>
        <v>0</v>
      </c>
    </row>
    <row r="1266" ht="22.5" customHeight="1">
      <c r="M1266" s="59">
        <f>SUMIFS(Eventos!$G:$G,Eventos!$F:$F,$L1266,Eventos!$D:$D,$C$2,Eventos!$B:$B,PANES_SEMANALES[[#ALL],[LUNES]])</f>
        <v>0</v>
      </c>
      <c r="N1266" s="59">
        <f>SUMIFS(Eventos!$G:$G,Eventos!$F:$F,$L1266,Eventos!$D:$D,$C$2,Eventos!$B:$B,PANES_SEMANALES[[#ALL],[MARTES]])</f>
        <v>0</v>
      </c>
      <c r="O1266" s="59">
        <f>SUMIFS(Eventos!$G:$G,Eventos!$F:$F,$L1266,Eventos!$D:$D,$C$2,Eventos!$B:$B,PANES_SEMANALES[[#ALL],[MIÉRCOLES]])</f>
        <v>0</v>
      </c>
      <c r="P1266" s="59">
        <f>SUMIFS(Eventos!$G:$G,Eventos!$F:$F,$L1266,Eventos!$D:$D,$C$2,Eventos!$B:$B,PANES_SEMANALES[[#ALL],[JUEVES]])</f>
        <v>0</v>
      </c>
      <c r="Q1266" s="59">
        <f>IF(P1266&lt;&gt;"",SUMIFS(Eventos!$G:$G,Eventos!$B:$B,Q$2,Eventos!$D:$D,$C$2,Eventos!$F:$F,$L1266),"")</f>
        <v>0</v>
      </c>
      <c r="R1266" s="59">
        <f>SUMIFS(Eventos!$G:$G,Eventos!$F:$F,$L1266,Eventos!$D:$D,$C$2,Eventos!$B:$B,PANES_SEMANALES[[#ALL],[SÁBADO]])</f>
        <v>0</v>
      </c>
      <c r="S1266" s="59">
        <f>SUMIFS(Eventos!$G:$G,Eventos!$F:$F,$L1266,Eventos!$D:$D,$C$2,Eventos!$B:$B,PANES_SEMANALES[[#ALL],[DOMINGO]])</f>
        <v>0</v>
      </c>
      <c r="T1266" s="59">
        <f t="shared" si="1"/>
        <v>0</v>
      </c>
    </row>
    <row r="1267" ht="22.5" customHeight="1">
      <c r="M1267" s="59">
        <f>SUMIFS(Eventos!$G:$G,Eventos!$F:$F,$L1267,Eventos!$D:$D,$C$2,Eventos!$B:$B,PANES_SEMANALES[[#ALL],[LUNES]])</f>
        <v>0</v>
      </c>
      <c r="N1267" s="59">
        <f>SUMIFS(Eventos!$G:$G,Eventos!$F:$F,$L1267,Eventos!$D:$D,$C$2,Eventos!$B:$B,PANES_SEMANALES[[#ALL],[MARTES]])</f>
        <v>0</v>
      </c>
      <c r="O1267" s="59">
        <f>SUMIFS(Eventos!$G:$G,Eventos!$F:$F,$L1267,Eventos!$D:$D,$C$2,Eventos!$B:$B,PANES_SEMANALES[[#ALL],[MIÉRCOLES]])</f>
        <v>0</v>
      </c>
      <c r="P1267" s="59">
        <f>SUMIFS(Eventos!$G:$G,Eventos!$F:$F,$L1267,Eventos!$D:$D,$C$2,Eventos!$B:$B,PANES_SEMANALES[[#ALL],[JUEVES]])</f>
        <v>0</v>
      </c>
      <c r="Q1267" s="59">
        <f>IF(P1267&lt;&gt;"",SUMIFS(Eventos!$G:$G,Eventos!$B:$B,Q$2,Eventos!$D:$D,$C$2,Eventos!$F:$F,$L1267),"")</f>
        <v>0</v>
      </c>
      <c r="R1267" s="59">
        <f>SUMIFS(Eventos!$G:$G,Eventos!$F:$F,$L1267,Eventos!$D:$D,$C$2,Eventos!$B:$B,PANES_SEMANALES[[#ALL],[SÁBADO]])</f>
        <v>0</v>
      </c>
      <c r="S1267" s="59">
        <f>SUMIFS(Eventos!$G:$G,Eventos!$F:$F,$L1267,Eventos!$D:$D,$C$2,Eventos!$B:$B,PANES_SEMANALES[[#ALL],[DOMINGO]])</f>
        <v>0</v>
      </c>
      <c r="T1267" s="59">
        <f t="shared" si="1"/>
        <v>0</v>
      </c>
    </row>
    <row r="1268" ht="22.5" customHeight="1">
      <c r="M1268" s="59">
        <f>SUMIFS(Eventos!$G:$G,Eventos!$F:$F,$L1268,Eventos!$D:$D,$C$2,Eventos!$B:$B,PANES_SEMANALES[[#ALL],[LUNES]])</f>
        <v>0</v>
      </c>
      <c r="N1268" s="59">
        <f>SUMIFS(Eventos!$G:$G,Eventos!$F:$F,$L1268,Eventos!$D:$D,$C$2,Eventos!$B:$B,PANES_SEMANALES[[#ALL],[MARTES]])</f>
        <v>0</v>
      </c>
      <c r="O1268" s="59">
        <f>SUMIFS(Eventos!$G:$G,Eventos!$F:$F,$L1268,Eventos!$D:$D,$C$2,Eventos!$B:$B,PANES_SEMANALES[[#ALL],[MIÉRCOLES]])</f>
        <v>0</v>
      </c>
      <c r="P1268" s="59">
        <f>SUMIFS(Eventos!$G:$G,Eventos!$F:$F,$L1268,Eventos!$D:$D,$C$2,Eventos!$B:$B,PANES_SEMANALES[[#ALL],[JUEVES]])</f>
        <v>0</v>
      </c>
      <c r="Q1268" s="59">
        <f>IF(P1268&lt;&gt;"",SUMIFS(Eventos!$G:$G,Eventos!$B:$B,Q$2,Eventos!$D:$D,$C$2,Eventos!$F:$F,$L1268),"")</f>
        <v>0</v>
      </c>
      <c r="R1268" s="59">
        <f>SUMIFS(Eventos!$G:$G,Eventos!$F:$F,$L1268,Eventos!$D:$D,$C$2,Eventos!$B:$B,PANES_SEMANALES[[#ALL],[SÁBADO]])</f>
        <v>0</v>
      </c>
      <c r="S1268" s="59">
        <f>SUMIFS(Eventos!$G:$G,Eventos!$F:$F,$L1268,Eventos!$D:$D,$C$2,Eventos!$B:$B,PANES_SEMANALES[[#ALL],[DOMINGO]])</f>
        <v>0</v>
      </c>
      <c r="T1268" s="59">
        <f t="shared" si="1"/>
        <v>0</v>
      </c>
    </row>
    <row r="1269" ht="22.5" customHeight="1">
      <c r="M1269" s="59">
        <f>SUMIFS(Eventos!$G:$G,Eventos!$F:$F,$L1269,Eventos!$D:$D,$C$2,Eventos!$B:$B,PANES_SEMANALES[[#ALL],[LUNES]])</f>
        <v>0</v>
      </c>
      <c r="N1269" s="59">
        <f>SUMIFS(Eventos!$G:$G,Eventos!$F:$F,$L1269,Eventos!$D:$D,$C$2,Eventos!$B:$B,PANES_SEMANALES[[#ALL],[MARTES]])</f>
        <v>0</v>
      </c>
      <c r="O1269" s="59">
        <f>SUMIFS(Eventos!$G:$G,Eventos!$F:$F,$L1269,Eventos!$D:$D,$C$2,Eventos!$B:$B,PANES_SEMANALES[[#ALL],[MIÉRCOLES]])</f>
        <v>0</v>
      </c>
      <c r="P1269" s="59">
        <f>SUMIFS(Eventos!$G:$G,Eventos!$F:$F,$L1269,Eventos!$D:$D,$C$2,Eventos!$B:$B,PANES_SEMANALES[[#ALL],[JUEVES]])</f>
        <v>0</v>
      </c>
      <c r="Q1269" s="59">
        <f>IF(P1269&lt;&gt;"",SUMIFS(Eventos!$G:$G,Eventos!$B:$B,Q$2,Eventos!$D:$D,$C$2,Eventos!$F:$F,$L1269),"")</f>
        <v>0</v>
      </c>
      <c r="R1269" s="59">
        <f>SUMIFS(Eventos!$G:$G,Eventos!$F:$F,$L1269,Eventos!$D:$D,$C$2,Eventos!$B:$B,PANES_SEMANALES[[#ALL],[SÁBADO]])</f>
        <v>0</v>
      </c>
      <c r="S1269" s="59">
        <f>SUMIFS(Eventos!$G:$G,Eventos!$F:$F,$L1269,Eventos!$D:$D,$C$2,Eventos!$B:$B,PANES_SEMANALES[[#ALL],[DOMINGO]])</f>
        <v>0</v>
      </c>
      <c r="T1269" s="59">
        <f t="shared" si="1"/>
        <v>0</v>
      </c>
    </row>
    <row r="1270" ht="22.5" customHeight="1">
      <c r="M1270" s="59">
        <f>SUMIFS(Eventos!$G:$G,Eventos!$F:$F,$L1270,Eventos!$D:$D,$C$2,Eventos!$B:$B,PANES_SEMANALES[[#ALL],[LUNES]])</f>
        <v>0</v>
      </c>
      <c r="N1270" s="59">
        <f>SUMIFS(Eventos!$G:$G,Eventos!$F:$F,$L1270,Eventos!$D:$D,$C$2,Eventos!$B:$B,PANES_SEMANALES[[#ALL],[MARTES]])</f>
        <v>0</v>
      </c>
      <c r="O1270" s="59">
        <f>SUMIFS(Eventos!$G:$G,Eventos!$F:$F,$L1270,Eventos!$D:$D,$C$2,Eventos!$B:$B,PANES_SEMANALES[[#ALL],[MIÉRCOLES]])</f>
        <v>0</v>
      </c>
      <c r="P1270" s="59">
        <f>SUMIFS(Eventos!$G:$G,Eventos!$F:$F,$L1270,Eventos!$D:$D,$C$2,Eventos!$B:$B,PANES_SEMANALES[[#ALL],[JUEVES]])</f>
        <v>0</v>
      </c>
      <c r="Q1270" s="59">
        <f>IF(P1270&lt;&gt;"",SUMIFS(Eventos!$G:$G,Eventos!$B:$B,Q$2,Eventos!$D:$D,$C$2,Eventos!$F:$F,$L1270),"")</f>
        <v>0</v>
      </c>
      <c r="R1270" s="59">
        <f>SUMIFS(Eventos!$G:$G,Eventos!$F:$F,$L1270,Eventos!$D:$D,$C$2,Eventos!$B:$B,PANES_SEMANALES[[#ALL],[SÁBADO]])</f>
        <v>0</v>
      </c>
      <c r="S1270" s="59">
        <f>SUMIFS(Eventos!$G:$G,Eventos!$F:$F,$L1270,Eventos!$D:$D,$C$2,Eventos!$B:$B,PANES_SEMANALES[[#ALL],[DOMINGO]])</f>
        <v>0</v>
      </c>
      <c r="T1270" s="59">
        <f t="shared" si="1"/>
        <v>0</v>
      </c>
    </row>
    <row r="1271" ht="22.5" customHeight="1">
      <c r="M1271" s="59">
        <f>SUMIFS(Eventos!$G:$G,Eventos!$F:$F,$L1271,Eventos!$D:$D,$C$2,Eventos!$B:$B,PANES_SEMANALES[[#ALL],[LUNES]])</f>
        <v>0</v>
      </c>
      <c r="N1271" s="59">
        <f>SUMIFS(Eventos!$G:$G,Eventos!$F:$F,$L1271,Eventos!$D:$D,$C$2,Eventos!$B:$B,PANES_SEMANALES[[#ALL],[MARTES]])</f>
        <v>0</v>
      </c>
      <c r="O1271" s="59">
        <f>SUMIFS(Eventos!$G:$G,Eventos!$F:$F,$L1271,Eventos!$D:$D,$C$2,Eventos!$B:$B,PANES_SEMANALES[[#ALL],[MIÉRCOLES]])</f>
        <v>0</v>
      </c>
      <c r="P1271" s="59">
        <f>SUMIFS(Eventos!$G:$G,Eventos!$F:$F,$L1271,Eventos!$D:$D,$C$2,Eventos!$B:$B,PANES_SEMANALES[[#ALL],[JUEVES]])</f>
        <v>0</v>
      </c>
      <c r="Q1271" s="59">
        <f>IF(P1271&lt;&gt;"",SUMIFS(Eventos!$G:$G,Eventos!$B:$B,Q$2,Eventos!$D:$D,$C$2,Eventos!$F:$F,$L1271),"")</f>
        <v>0</v>
      </c>
      <c r="R1271" s="59">
        <f>SUMIFS(Eventos!$G:$G,Eventos!$F:$F,$L1271,Eventos!$D:$D,$C$2,Eventos!$B:$B,PANES_SEMANALES[[#ALL],[SÁBADO]])</f>
        <v>0</v>
      </c>
      <c r="S1271" s="59">
        <f>SUMIFS(Eventos!$G:$G,Eventos!$F:$F,$L1271,Eventos!$D:$D,$C$2,Eventos!$B:$B,PANES_SEMANALES[[#ALL],[DOMINGO]])</f>
        <v>0</v>
      </c>
      <c r="T1271" s="59">
        <f t="shared" si="1"/>
        <v>0</v>
      </c>
    </row>
    <row r="1272" ht="22.5" customHeight="1">
      <c r="M1272" s="59">
        <f>SUMIFS(Eventos!$G:$G,Eventos!$F:$F,$L1272,Eventos!$D:$D,$C$2,Eventos!$B:$B,PANES_SEMANALES[[#ALL],[LUNES]])</f>
        <v>0</v>
      </c>
      <c r="N1272" s="59">
        <f>SUMIFS(Eventos!$G:$G,Eventos!$F:$F,$L1272,Eventos!$D:$D,$C$2,Eventos!$B:$B,PANES_SEMANALES[[#ALL],[MARTES]])</f>
        <v>0</v>
      </c>
      <c r="O1272" s="59">
        <f>SUMIFS(Eventos!$G:$G,Eventos!$F:$F,$L1272,Eventos!$D:$D,$C$2,Eventos!$B:$B,PANES_SEMANALES[[#ALL],[MIÉRCOLES]])</f>
        <v>0</v>
      </c>
      <c r="P1272" s="59">
        <f>SUMIFS(Eventos!$G:$G,Eventos!$F:$F,$L1272,Eventos!$D:$D,$C$2,Eventos!$B:$B,PANES_SEMANALES[[#ALL],[JUEVES]])</f>
        <v>0</v>
      </c>
      <c r="Q1272" s="59">
        <f>IF(P1272&lt;&gt;"",SUMIFS(Eventos!$G:$G,Eventos!$B:$B,Q$2,Eventos!$D:$D,$C$2,Eventos!$F:$F,$L1272),"")</f>
        <v>0</v>
      </c>
      <c r="R1272" s="59">
        <f>SUMIFS(Eventos!$G:$G,Eventos!$F:$F,$L1272,Eventos!$D:$D,$C$2,Eventos!$B:$B,PANES_SEMANALES[[#ALL],[SÁBADO]])</f>
        <v>0</v>
      </c>
      <c r="S1272" s="59">
        <f>SUMIFS(Eventos!$G:$G,Eventos!$F:$F,$L1272,Eventos!$D:$D,$C$2,Eventos!$B:$B,PANES_SEMANALES[[#ALL],[DOMINGO]])</f>
        <v>0</v>
      </c>
      <c r="T1272" s="59">
        <f t="shared" si="1"/>
        <v>0</v>
      </c>
    </row>
    <row r="1273" ht="22.5" customHeight="1">
      <c r="M1273" s="59">
        <f>SUMIFS(Eventos!$G:$G,Eventos!$F:$F,$L1273,Eventos!$D:$D,$C$2,Eventos!$B:$B,PANES_SEMANALES[[#ALL],[LUNES]])</f>
        <v>0</v>
      </c>
      <c r="N1273" s="59">
        <f>SUMIFS(Eventos!$G:$G,Eventos!$F:$F,$L1273,Eventos!$D:$D,$C$2,Eventos!$B:$B,PANES_SEMANALES[[#ALL],[MARTES]])</f>
        <v>0</v>
      </c>
      <c r="O1273" s="59">
        <f>SUMIFS(Eventos!$G:$G,Eventos!$F:$F,$L1273,Eventos!$D:$D,$C$2,Eventos!$B:$B,PANES_SEMANALES[[#ALL],[MIÉRCOLES]])</f>
        <v>0</v>
      </c>
      <c r="P1273" s="59">
        <f>SUMIFS(Eventos!$G:$G,Eventos!$F:$F,$L1273,Eventos!$D:$D,$C$2,Eventos!$B:$B,PANES_SEMANALES[[#ALL],[JUEVES]])</f>
        <v>0</v>
      </c>
      <c r="Q1273" s="59">
        <f>IF(P1273&lt;&gt;"",SUMIFS(Eventos!$G:$G,Eventos!$B:$B,Q$2,Eventos!$D:$D,$C$2,Eventos!$F:$F,$L1273),"")</f>
        <v>0</v>
      </c>
      <c r="R1273" s="59">
        <f>SUMIFS(Eventos!$G:$G,Eventos!$F:$F,$L1273,Eventos!$D:$D,$C$2,Eventos!$B:$B,PANES_SEMANALES[[#ALL],[SÁBADO]])</f>
        <v>0</v>
      </c>
      <c r="S1273" s="59">
        <f>SUMIFS(Eventos!$G:$G,Eventos!$F:$F,$L1273,Eventos!$D:$D,$C$2,Eventos!$B:$B,PANES_SEMANALES[[#ALL],[DOMINGO]])</f>
        <v>0</v>
      </c>
      <c r="T1273" s="59">
        <f t="shared" si="1"/>
        <v>0</v>
      </c>
    </row>
    <row r="1274" ht="22.5" customHeight="1">
      <c r="M1274" s="59">
        <f>SUMIFS(Eventos!$G:$G,Eventos!$F:$F,$L1274,Eventos!$D:$D,$C$2,Eventos!$B:$B,PANES_SEMANALES[[#ALL],[LUNES]])</f>
        <v>0</v>
      </c>
      <c r="N1274" s="59">
        <f>SUMIFS(Eventos!$G:$G,Eventos!$F:$F,$L1274,Eventos!$D:$D,$C$2,Eventos!$B:$B,PANES_SEMANALES[[#ALL],[MARTES]])</f>
        <v>0</v>
      </c>
      <c r="O1274" s="59">
        <f>SUMIFS(Eventos!$G:$G,Eventos!$F:$F,$L1274,Eventos!$D:$D,$C$2,Eventos!$B:$B,PANES_SEMANALES[[#ALL],[MIÉRCOLES]])</f>
        <v>0</v>
      </c>
      <c r="P1274" s="59">
        <f>SUMIFS(Eventos!$G:$G,Eventos!$F:$F,$L1274,Eventos!$D:$D,$C$2,Eventos!$B:$B,PANES_SEMANALES[[#ALL],[JUEVES]])</f>
        <v>0</v>
      </c>
      <c r="Q1274" s="59">
        <f>IF(P1274&lt;&gt;"",SUMIFS(Eventos!$G:$G,Eventos!$B:$B,Q$2,Eventos!$D:$D,$C$2,Eventos!$F:$F,$L1274),"")</f>
        <v>0</v>
      </c>
      <c r="R1274" s="59">
        <f>SUMIFS(Eventos!$G:$G,Eventos!$F:$F,$L1274,Eventos!$D:$D,$C$2,Eventos!$B:$B,PANES_SEMANALES[[#ALL],[SÁBADO]])</f>
        <v>0</v>
      </c>
      <c r="S1274" s="59">
        <f>SUMIFS(Eventos!$G:$G,Eventos!$F:$F,$L1274,Eventos!$D:$D,$C$2,Eventos!$B:$B,PANES_SEMANALES[[#ALL],[DOMINGO]])</f>
        <v>0</v>
      </c>
      <c r="T1274" s="59">
        <f t="shared" si="1"/>
        <v>0</v>
      </c>
    </row>
    <row r="1275" ht="22.5" customHeight="1">
      <c r="M1275" s="59">
        <f>SUMIFS(Eventos!$G:$G,Eventos!$F:$F,$L1275,Eventos!$D:$D,$C$2,Eventos!$B:$B,PANES_SEMANALES[[#ALL],[LUNES]])</f>
        <v>0</v>
      </c>
      <c r="N1275" s="59">
        <f>SUMIFS(Eventos!$G:$G,Eventos!$F:$F,$L1275,Eventos!$D:$D,$C$2,Eventos!$B:$B,PANES_SEMANALES[[#ALL],[MARTES]])</f>
        <v>0</v>
      </c>
      <c r="O1275" s="59">
        <f>SUMIFS(Eventos!$G:$G,Eventos!$F:$F,$L1275,Eventos!$D:$D,$C$2,Eventos!$B:$B,PANES_SEMANALES[[#ALL],[MIÉRCOLES]])</f>
        <v>0</v>
      </c>
      <c r="P1275" s="59">
        <f>SUMIFS(Eventos!$G:$G,Eventos!$F:$F,$L1275,Eventos!$D:$D,$C$2,Eventos!$B:$B,PANES_SEMANALES[[#ALL],[JUEVES]])</f>
        <v>0</v>
      </c>
      <c r="Q1275" s="59">
        <f>IF(P1275&lt;&gt;"",SUMIFS(Eventos!$G:$G,Eventos!$B:$B,Q$2,Eventos!$D:$D,$C$2,Eventos!$F:$F,$L1275),"")</f>
        <v>0</v>
      </c>
      <c r="R1275" s="59">
        <f>SUMIFS(Eventos!$G:$G,Eventos!$F:$F,$L1275,Eventos!$D:$D,$C$2,Eventos!$B:$B,PANES_SEMANALES[[#ALL],[SÁBADO]])</f>
        <v>0</v>
      </c>
      <c r="S1275" s="59">
        <f>SUMIFS(Eventos!$G:$G,Eventos!$F:$F,$L1275,Eventos!$D:$D,$C$2,Eventos!$B:$B,PANES_SEMANALES[[#ALL],[DOMINGO]])</f>
        <v>0</v>
      </c>
      <c r="T1275" s="59">
        <f t="shared" si="1"/>
        <v>0</v>
      </c>
    </row>
    <row r="1276" ht="22.5" customHeight="1">
      <c r="M1276" s="59">
        <f>SUMIFS(Eventos!$G:$G,Eventos!$F:$F,$L1276,Eventos!$D:$D,$C$2,Eventos!$B:$B,PANES_SEMANALES[[#ALL],[LUNES]])</f>
        <v>0</v>
      </c>
      <c r="N1276" s="59">
        <f>SUMIFS(Eventos!$G:$G,Eventos!$F:$F,$L1276,Eventos!$D:$D,$C$2,Eventos!$B:$B,PANES_SEMANALES[[#ALL],[MARTES]])</f>
        <v>0</v>
      </c>
      <c r="O1276" s="59">
        <f>SUMIFS(Eventos!$G:$G,Eventos!$F:$F,$L1276,Eventos!$D:$D,$C$2,Eventos!$B:$B,PANES_SEMANALES[[#ALL],[MIÉRCOLES]])</f>
        <v>0</v>
      </c>
      <c r="P1276" s="59">
        <f>SUMIFS(Eventos!$G:$G,Eventos!$F:$F,$L1276,Eventos!$D:$D,$C$2,Eventos!$B:$B,PANES_SEMANALES[[#ALL],[JUEVES]])</f>
        <v>0</v>
      </c>
      <c r="Q1276" s="59">
        <f>IF(P1276&lt;&gt;"",SUMIFS(Eventos!$G:$G,Eventos!$B:$B,Q$2,Eventos!$D:$D,$C$2,Eventos!$F:$F,$L1276),"")</f>
        <v>0</v>
      </c>
      <c r="R1276" s="59">
        <f>SUMIFS(Eventos!$G:$G,Eventos!$F:$F,$L1276,Eventos!$D:$D,$C$2,Eventos!$B:$B,PANES_SEMANALES[[#ALL],[SÁBADO]])</f>
        <v>0</v>
      </c>
      <c r="S1276" s="59">
        <f>SUMIFS(Eventos!$G:$G,Eventos!$F:$F,$L1276,Eventos!$D:$D,$C$2,Eventos!$B:$B,PANES_SEMANALES[[#ALL],[DOMINGO]])</f>
        <v>0</v>
      </c>
      <c r="T1276" s="59">
        <f t="shared" si="1"/>
        <v>0</v>
      </c>
    </row>
    <row r="1277" ht="22.5" customHeight="1">
      <c r="M1277" s="59">
        <f>SUMIFS(Eventos!$G:$G,Eventos!$F:$F,$L1277,Eventos!$D:$D,$C$2,Eventos!$B:$B,PANES_SEMANALES[[#ALL],[LUNES]])</f>
        <v>0</v>
      </c>
      <c r="N1277" s="59">
        <f>SUMIFS(Eventos!$G:$G,Eventos!$F:$F,$L1277,Eventos!$D:$D,$C$2,Eventos!$B:$B,PANES_SEMANALES[[#ALL],[MARTES]])</f>
        <v>0</v>
      </c>
      <c r="O1277" s="59">
        <f>SUMIFS(Eventos!$G:$G,Eventos!$F:$F,$L1277,Eventos!$D:$D,$C$2,Eventos!$B:$B,PANES_SEMANALES[[#ALL],[MIÉRCOLES]])</f>
        <v>0</v>
      </c>
      <c r="P1277" s="59">
        <f>SUMIFS(Eventos!$G:$G,Eventos!$F:$F,$L1277,Eventos!$D:$D,$C$2,Eventos!$B:$B,PANES_SEMANALES[[#ALL],[JUEVES]])</f>
        <v>0</v>
      </c>
      <c r="Q1277" s="59">
        <f>IF(P1277&lt;&gt;"",SUMIFS(Eventos!$G:$G,Eventos!$B:$B,Q$2,Eventos!$D:$D,$C$2,Eventos!$F:$F,$L1277),"")</f>
        <v>0</v>
      </c>
      <c r="R1277" s="59">
        <f>SUMIFS(Eventos!$G:$G,Eventos!$F:$F,$L1277,Eventos!$D:$D,$C$2,Eventos!$B:$B,PANES_SEMANALES[[#ALL],[SÁBADO]])</f>
        <v>0</v>
      </c>
      <c r="S1277" s="59">
        <f>SUMIFS(Eventos!$G:$G,Eventos!$F:$F,$L1277,Eventos!$D:$D,$C$2,Eventos!$B:$B,PANES_SEMANALES[[#ALL],[DOMINGO]])</f>
        <v>0</v>
      </c>
      <c r="T1277" s="59">
        <f t="shared" si="1"/>
        <v>0</v>
      </c>
    </row>
    <row r="1278" ht="22.5" customHeight="1">
      <c r="M1278" s="59">
        <f>SUMIFS(Eventos!$G:$G,Eventos!$F:$F,$L1278,Eventos!$D:$D,$C$2,Eventos!$B:$B,PANES_SEMANALES[[#ALL],[LUNES]])</f>
        <v>0</v>
      </c>
      <c r="N1278" s="59">
        <f>SUMIFS(Eventos!$G:$G,Eventos!$F:$F,$L1278,Eventos!$D:$D,$C$2,Eventos!$B:$B,PANES_SEMANALES[[#ALL],[MARTES]])</f>
        <v>0</v>
      </c>
      <c r="O1278" s="59">
        <f>SUMIFS(Eventos!$G:$G,Eventos!$F:$F,$L1278,Eventos!$D:$D,$C$2,Eventos!$B:$B,PANES_SEMANALES[[#ALL],[MIÉRCOLES]])</f>
        <v>0</v>
      </c>
      <c r="P1278" s="59">
        <f>SUMIFS(Eventos!$G:$G,Eventos!$F:$F,$L1278,Eventos!$D:$D,$C$2,Eventos!$B:$B,PANES_SEMANALES[[#ALL],[JUEVES]])</f>
        <v>0</v>
      </c>
      <c r="Q1278" s="59">
        <f>IF(P1278&lt;&gt;"",SUMIFS(Eventos!$G:$G,Eventos!$B:$B,Q$2,Eventos!$D:$D,$C$2,Eventos!$F:$F,$L1278),"")</f>
        <v>0</v>
      </c>
      <c r="R1278" s="59">
        <f>SUMIFS(Eventos!$G:$G,Eventos!$F:$F,$L1278,Eventos!$D:$D,$C$2,Eventos!$B:$B,PANES_SEMANALES[[#ALL],[SÁBADO]])</f>
        <v>0</v>
      </c>
      <c r="S1278" s="59">
        <f>SUMIFS(Eventos!$G:$G,Eventos!$F:$F,$L1278,Eventos!$D:$D,$C$2,Eventos!$B:$B,PANES_SEMANALES[[#ALL],[DOMINGO]])</f>
        <v>0</v>
      </c>
      <c r="T1278" s="59">
        <f t="shared" si="1"/>
        <v>0</v>
      </c>
    </row>
    <row r="1279" ht="22.5" customHeight="1">
      <c r="M1279" s="59">
        <f>SUMIFS(Eventos!$G:$G,Eventos!$F:$F,$L1279,Eventos!$D:$D,$C$2,Eventos!$B:$B,PANES_SEMANALES[[#ALL],[LUNES]])</f>
        <v>0</v>
      </c>
      <c r="N1279" s="59">
        <f>SUMIFS(Eventos!$G:$G,Eventos!$F:$F,$L1279,Eventos!$D:$D,$C$2,Eventos!$B:$B,PANES_SEMANALES[[#ALL],[MARTES]])</f>
        <v>0</v>
      </c>
      <c r="O1279" s="59">
        <f>SUMIFS(Eventos!$G:$G,Eventos!$F:$F,$L1279,Eventos!$D:$D,$C$2,Eventos!$B:$B,PANES_SEMANALES[[#ALL],[MIÉRCOLES]])</f>
        <v>0</v>
      </c>
      <c r="P1279" s="59">
        <f>SUMIFS(Eventos!$G:$G,Eventos!$F:$F,$L1279,Eventos!$D:$D,$C$2,Eventos!$B:$B,PANES_SEMANALES[[#ALL],[JUEVES]])</f>
        <v>0</v>
      </c>
      <c r="Q1279" s="59">
        <f>IF(P1279&lt;&gt;"",SUMIFS(Eventos!$G:$G,Eventos!$B:$B,Q$2,Eventos!$D:$D,$C$2,Eventos!$F:$F,$L1279),"")</f>
        <v>0</v>
      </c>
      <c r="R1279" s="59">
        <f>SUMIFS(Eventos!$G:$G,Eventos!$F:$F,$L1279,Eventos!$D:$D,$C$2,Eventos!$B:$B,PANES_SEMANALES[[#ALL],[SÁBADO]])</f>
        <v>0</v>
      </c>
      <c r="S1279" s="59">
        <f>SUMIFS(Eventos!$G:$G,Eventos!$F:$F,$L1279,Eventos!$D:$D,$C$2,Eventos!$B:$B,PANES_SEMANALES[[#ALL],[DOMINGO]])</f>
        <v>0</v>
      </c>
      <c r="T1279" s="59">
        <f t="shared" si="1"/>
        <v>0</v>
      </c>
    </row>
    <row r="1280" ht="22.5" customHeight="1">
      <c r="M1280" s="59">
        <f>SUMIFS(Eventos!$G:$G,Eventos!$F:$F,$L1280,Eventos!$D:$D,$C$2,Eventos!$B:$B,PANES_SEMANALES[[#ALL],[LUNES]])</f>
        <v>0</v>
      </c>
      <c r="N1280" s="59">
        <f>SUMIFS(Eventos!$G:$G,Eventos!$F:$F,$L1280,Eventos!$D:$D,$C$2,Eventos!$B:$B,PANES_SEMANALES[[#ALL],[MARTES]])</f>
        <v>0</v>
      </c>
      <c r="O1280" s="59">
        <f>SUMIFS(Eventos!$G:$G,Eventos!$F:$F,$L1280,Eventos!$D:$D,$C$2,Eventos!$B:$B,PANES_SEMANALES[[#ALL],[MIÉRCOLES]])</f>
        <v>0</v>
      </c>
      <c r="P1280" s="59">
        <f>SUMIFS(Eventos!$G:$G,Eventos!$F:$F,$L1280,Eventos!$D:$D,$C$2,Eventos!$B:$B,PANES_SEMANALES[[#ALL],[JUEVES]])</f>
        <v>0</v>
      </c>
      <c r="Q1280" s="59">
        <f>IF(P1280&lt;&gt;"",SUMIFS(Eventos!$G:$G,Eventos!$B:$B,Q$2,Eventos!$D:$D,$C$2,Eventos!$F:$F,$L1280),"")</f>
        <v>0</v>
      </c>
      <c r="R1280" s="59">
        <f>SUMIFS(Eventos!$G:$G,Eventos!$F:$F,$L1280,Eventos!$D:$D,$C$2,Eventos!$B:$B,PANES_SEMANALES[[#ALL],[SÁBADO]])</f>
        <v>0</v>
      </c>
      <c r="S1280" s="59">
        <f>SUMIFS(Eventos!$G:$G,Eventos!$F:$F,$L1280,Eventos!$D:$D,$C$2,Eventos!$B:$B,PANES_SEMANALES[[#ALL],[DOMINGO]])</f>
        <v>0</v>
      </c>
      <c r="T1280" s="59">
        <f t="shared" si="1"/>
        <v>0</v>
      </c>
    </row>
    <row r="1281" ht="22.5" customHeight="1">
      <c r="M1281" s="59">
        <f>SUMIFS(Eventos!$G:$G,Eventos!$F:$F,$L1281,Eventos!$D:$D,$C$2,Eventos!$B:$B,PANES_SEMANALES[[#ALL],[LUNES]])</f>
        <v>0</v>
      </c>
      <c r="N1281" s="59">
        <f>SUMIFS(Eventos!$G:$G,Eventos!$F:$F,$L1281,Eventos!$D:$D,$C$2,Eventos!$B:$B,PANES_SEMANALES[[#ALL],[MARTES]])</f>
        <v>0</v>
      </c>
      <c r="O1281" s="59">
        <f>SUMIFS(Eventos!$G:$G,Eventos!$F:$F,$L1281,Eventos!$D:$D,$C$2,Eventos!$B:$B,PANES_SEMANALES[[#ALL],[MIÉRCOLES]])</f>
        <v>0</v>
      </c>
      <c r="P1281" s="59">
        <f>SUMIFS(Eventos!$G:$G,Eventos!$F:$F,$L1281,Eventos!$D:$D,$C$2,Eventos!$B:$B,PANES_SEMANALES[[#ALL],[JUEVES]])</f>
        <v>0</v>
      </c>
      <c r="Q1281" s="59">
        <f>IF(P1281&lt;&gt;"",SUMIFS(Eventos!$G:$G,Eventos!$B:$B,Q$2,Eventos!$D:$D,$C$2,Eventos!$F:$F,$L1281),"")</f>
        <v>0</v>
      </c>
      <c r="R1281" s="59">
        <f>SUMIFS(Eventos!$G:$G,Eventos!$F:$F,$L1281,Eventos!$D:$D,$C$2,Eventos!$B:$B,PANES_SEMANALES[[#ALL],[SÁBADO]])</f>
        <v>0</v>
      </c>
      <c r="S1281" s="59">
        <f>SUMIFS(Eventos!$G:$G,Eventos!$F:$F,$L1281,Eventos!$D:$D,$C$2,Eventos!$B:$B,PANES_SEMANALES[[#ALL],[DOMINGO]])</f>
        <v>0</v>
      </c>
      <c r="T1281" s="59">
        <f t="shared" si="1"/>
        <v>0</v>
      </c>
    </row>
    <row r="1282" ht="22.5" customHeight="1">
      <c r="M1282" s="59">
        <f>SUMIFS(Eventos!$G:$G,Eventos!$F:$F,$L1282,Eventos!$D:$D,$C$2,Eventos!$B:$B,PANES_SEMANALES[[#ALL],[LUNES]])</f>
        <v>0</v>
      </c>
      <c r="N1282" s="59">
        <f>SUMIFS(Eventos!$G:$G,Eventos!$F:$F,$L1282,Eventos!$D:$D,$C$2,Eventos!$B:$B,PANES_SEMANALES[[#ALL],[MARTES]])</f>
        <v>0</v>
      </c>
      <c r="O1282" s="59">
        <f>SUMIFS(Eventos!$G:$G,Eventos!$F:$F,$L1282,Eventos!$D:$D,$C$2,Eventos!$B:$B,PANES_SEMANALES[[#ALL],[MIÉRCOLES]])</f>
        <v>0</v>
      </c>
      <c r="P1282" s="59">
        <f>SUMIFS(Eventos!$G:$G,Eventos!$F:$F,$L1282,Eventos!$D:$D,$C$2,Eventos!$B:$B,PANES_SEMANALES[[#ALL],[JUEVES]])</f>
        <v>0</v>
      </c>
      <c r="Q1282" s="59">
        <f>IF(P1282&lt;&gt;"",SUMIFS(Eventos!$G:$G,Eventos!$B:$B,Q$2,Eventos!$D:$D,$C$2,Eventos!$F:$F,$L1282),"")</f>
        <v>0</v>
      </c>
      <c r="R1282" s="59">
        <f>SUMIFS(Eventos!$G:$G,Eventos!$F:$F,$L1282,Eventos!$D:$D,$C$2,Eventos!$B:$B,PANES_SEMANALES[[#ALL],[SÁBADO]])</f>
        <v>0</v>
      </c>
      <c r="S1282" s="59">
        <f>SUMIFS(Eventos!$G:$G,Eventos!$F:$F,$L1282,Eventos!$D:$D,$C$2,Eventos!$B:$B,PANES_SEMANALES[[#ALL],[DOMINGO]])</f>
        <v>0</v>
      </c>
      <c r="T1282" s="59">
        <f t="shared" si="1"/>
        <v>0</v>
      </c>
    </row>
    <row r="1283" ht="22.5" customHeight="1">
      <c r="M1283" s="59">
        <f>SUMIFS(Eventos!$G:$G,Eventos!$F:$F,$L1283,Eventos!$D:$D,$C$2,Eventos!$B:$B,PANES_SEMANALES[[#ALL],[LUNES]])</f>
        <v>0</v>
      </c>
      <c r="N1283" s="59">
        <f>SUMIFS(Eventos!$G:$G,Eventos!$F:$F,$L1283,Eventos!$D:$D,$C$2,Eventos!$B:$B,PANES_SEMANALES[[#ALL],[MARTES]])</f>
        <v>0</v>
      </c>
      <c r="O1283" s="59">
        <f>SUMIFS(Eventos!$G:$G,Eventos!$F:$F,$L1283,Eventos!$D:$D,$C$2,Eventos!$B:$B,PANES_SEMANALES[[#ALL],[MIÉRCOLES]])</f>
        <v>0</v>
      </c>
      <c r="P1283" s="59">
        <f>SUMIFS(Eventos!$G:$G,Eventos!$F:$F,$L1283,Eventos!$D:$D,$C$2,Eventos!$B:$B,PANES_SEMANALES[[#ALL],[JUEVES]])</f>
        <v>0</v>
      </c>
      <c r="Q1283" s="59">
        <f>IF(P1283&lt;&gt;"",SUMIFS(Eventos!$G:$G,Eventos!$B:$B,Q$2,Eventos!$D:$D,$C$2,Eventos!$F:$F,$L1283),"")</f>
        <v>0</v>
      </c>
      <c r="R1283" s="59">
        <f>SUMIFS(Eventos!$G:$G,Eventos!$F:$F,$L1283,Eventos!$D:$D,$C$2,Eventos!$B:$B,PANES_SEMANALES[[#ALL],[SÁBADO]])</f>
        <v>0</v>
      </c>
      <c r="S1283" s="59">
        <f>SUMIFS(Eventos!$G:$G,Eventos!$F:$F,$L1283,Eventos!$D:$D,$C$2,Eventos!$B:$B,PANES_SEMANALES[[#ALL],[DOMINGO]])</f>
        <v>0</v>
      </c>
      <c r="T1283" s="59">
        <f t="shared" si="1"/>
        <v>0</v>
      </c>
    </row>
    <row r="1284" ht="22.5" customHeight="1">
      <c r="M1284" s="59">
        <f>SUMIFS(Eventos!$G:$G,Eventos!$F:$F,$L1284,Eventos!$D:$D,$C$2,Eventos!$B:$B,PANES_SEMANALES[[#ALL],[LUNES]])</f>
        <v>0</v>
      </c>
      <c r="N1284" s="59">
        <f>SUMIFS(Eventos!$G:$G,Eventos!$F:$F,$L1284,Eventos!$D:$D,$C$2,Eventos!$B:$B,PANES_SEMANALES[[#ALL],[MARTES]])</f>
        <v>0</v>
      </c>
      <c r="O1284" s="59">
        <f>SUMIFS(Eventos!$G:$G,Eventos!$F:$F,$L1284,Eventos!$D:$D,$C$2,Eventos!$B:$B,PANES_SEMANALES[[#ALL],[MIÉRCOLES]])</f>
        <v>0</v>
      </c>
      <c r="P1284" s="59">
        <f>SUMIFS(Eventos!$G:$G,Eventos!$F:$F,$L1284,Eventos!$D:$D,$C$2,Eventos!$B:$B,PANES_SEMANALES[[#ALL],[JUEVES]])</f>
        <v>0</v>
      </c>
      <c r="Q1284" s="59">
        <f>IF(P1284&lt;&gt;"",SUMIFS(Eventos!$G:$G,Eventos!$B:$B,Q$2,Eventos!$D:$D,$C$2,Eventos!$F:$F,$L1284),"")</f>
        <v>0</v>
      </c>
      <c r="R1284" s="59">
        <f>SUMIFS(Eventos!$G:$G,Eventos!$F:$F,$L1284,Eventos!$D:$D,$C$2,Eventos!$B:$B,PANES_SEMANALES[[#ALL],[SÁBADO]])</f>
        <v>0</v>
      </c>
      <c r="S1284" s="59">
        <f>SUMIFS(Eventos!$G:$G,Eventos!$F:$F,$L1284,Eventos!$D:$D,$C$2,Eventos!$B:$B,PANES_SEMANALES[[#ALL],[DOMINGO]])</f>
        <v>0</v>
      </c>
      <c r="T1284" s="59">
        <f t="shared" si="1"/>
        <v>0</v>
      </c>
    </row>
    <row r="1285" ht="22.5" customHeight="1">
      <c r="M1285" s="59">
        <f>SUMIFS(Eventos!$G:$G,Eventos!$F:$F,$L1285,Eventos!$D:$D,$C$2,Eventos!$B:$B,PANES_SEMANALES[[#ALL],[LUNES]])</f>
        <v>0</v>
      </c>
      <c r="N1285" s="59">
        <f>SUMIFS(Eventos!$G:$G,Eventos!$F:$F,$L1285,Eventos!$D:$D,$C$2,Eventos!$B:$B,PANES_SEMANALES[[#ALL],[MARTES]])</f>
        <v>0</v>
      </c>
      <c r="O1285" s="59">
        <f>SUMIFS(Eventos!$G:$G,Eventos!$F:$F,$L1285,Eventos!$D:$D,$C$2,Eventos!$B:$B,PANES_SEMANALES[[#ALL],[MIÉRCOLES]])</f>
        <v>0</v>
      </c>
      <c r="P1285" s="59">
        <f>SUMIFS(Eventos!$G:$G,Eventos!$F:$F,$L1285,Eventos!$D:$D,$C$2,Eventos!$B:$B,PANES_SEMANALES[[#ALL],[JUEVES]])</f>
        <v>0</v>
      </c>
      <c r="Q1285" s="59">
        <f>IF(P1285&lt;&gt;"",SUMIFS(Eventos!$G:$G,Eventos!$B:$B,Q$2,Eventos!$D:$D,$C$2,Eventos!$F:$F,$L1285),"")</f>
        <v>0</v>
      </c>
      <c r="R1285" s="59">
        <f>SUMIFS(Eventos!$G:$G,Eventos!$F:$F,$L1285,Eventos!$D:$D,$C$2,Eventos!$B:$B,PANES_SEMANALES[[#ALL],[SÁBADO]])</f>
        <v>0</v>
      </c>
      <c r="S1285" s="59">
        <f>SUMIFS(Eventos!$G:$G,Eventos!$F:$F,$L1285,Eventos!$D:$D,$C$2,Eventos!$B:$B,PANES_SEMANALES[[#ALL],[DOMINGO]])</f>
        <v>0</v>
      </c>
      <c r="T1285" s="59">
        <f t="shared" si="1"/>
        <v>0</v>
      </c>
    </row>
    <row r="1286" ht="22.5" customHeight="1">
      <c r="M1286" s="59">
        <f>SUMIFS(Eventos!$G:$G,Eventos!$F:$F,$L1286,Eventos!$D:$D,$C$2,Eventos!$B:$B,PANES_SEMANALES[[#ALL],[LUNES]])</f>
        <v>0</v>
      </c>
      <c r="N1286" s="59">
        <f>SUMIFS(Eventos!$G:$G,Eventos!$F:$F,$L1286,Eventos!$D:$D,$C$2,Eventos!$B:$B,PANES_SEMANALES[[#ALL],[MARTES]])</f>
        <v>0</v>
      </c>
      <c r="O1286" s="59">
        <f>SUMIFS(Eventos!$G:$G,Eventos!$F:$F,$L1286,Eventos!$D:$D,$C$2,Eventos!$B:$B,PANES_SEMANALES[[#ALL],[MIÉRCOLES]])</f>
        <v>0</v>
      </c>
      <c r="P1286" s="59">
        <f>SUMIFS(Eventos!$G:$G,Eventos!$F:$F,$L1286,Eventos!$D:$D,$C$2,Eventos!$B:$B,PANES_SEMANALES[[#ALL],[JUEVES]])</f>
        <v>0</v>
      </c>
      <c r="Q1286" s="59">
        <f>IF(P1286&lt;&gt;"",SUMIFS(Eventos!$G:$G,Eventos!$B:$B,Q$2,Eventos!$D:$D,$C$2,Eventos!$F:$F,$L1286),"")</f>
        <v>0</v>
      </c>
      <c r="R1286" s="59">
        <f>SUMIFS(Eventos!$G:$G,Eventos!$F:$F,$L1286,Eventos!$D:$D,$C$2,Eventos!$B:$B,PANES_SEMANALES[[#ALL],[SÁBADO]])</f>
        <v>0</v>
      </c>
      <c r="S1286" s="59">
        <f>SUMIFS(Eventos!$G:$G,Eventos!$F:$F,$L1286,Eventos!$D:$D,$C$2,Eventos!$B:$B,PANES_SEMANALES[[#ALL],[DOMINGO]])</f>
        <v>0</v>
      </c>
      <c r="T1286" s="59">
        <f t="shared" si="1"/>
        <v>0</v>
      </c>
    </row>
    <row r="1287" ht="22.5" customHeight="1">
      <c r="M1287" s="59">
        <f>SUMIFS(Eventos!$G:$G,Eventos!$F:$F,$L1287,Eventos!$D:$D,$C$2,Eventos!$B:$B,PANES_SEMANALES[[#ALL],[LUNES]])</f>
        <v>0</v>
      </c>
      <c r="N1287" s="59">
        <f>SUMIFS(Eventos!$G:$G,Eventos!$F:$F,$L1287,Eventos!$D:$D,$C$2,Eventos!$B:$B,PANES_SEMANALES[[#ALL],[MARTES]])</f>
        <v>0</v>
      </c>
      <c r="O1287" s="59">
        <f>SUMIFS(Eventos!$G:$G,Eventos!$F:$F,$L1287,Eventos!$D:$D,$C$2,Eventos!$B:$B,PANES_SEMANALES[[#ALL],[MIÉRCOLES]])</f>
        <v>0</v>
      </c>
      <c r="P1287" s="59">
        <f>SUMIFS(Eventos!$G:$G,Eventos!$F:$F,$L1287,Eventos!$D:$D,$C$2,Eventos!$B:$B,PANES_SEMANALES[[#ALL],[JUEVES]])</f>
        <v>0</v>
      </c>
      <c r="Q1287" s="59">
        <f>IF(P1287&lt;&gt;"",SUMIFS(Eventos!$G:$G,Eventos!$B:$B,Q$2,Eventos!$D:$D,$C$2,Eventos!$F:$F,$L1287),"")</f>
        <v>0</v>
      </c>
      <c r="R1287" s="59">
        <f>SUMIFS(Eventos!$G:$G,Eventos!$F:$F,$L1287,Eventos!$D:$D,$C$2,Eventos!$B:$B,PANES_SEMANALES[[#ALL],[SÁBADO]])</f>
        <v>0</v>
      </c>
      <c r="S1287" s="59">
        <f>SUMIFS(Eventos!$G:$G,Eventos!$F:$F,$L1287,Eventos!$D:$D,$C$2,Eventos!$B:$B,PANES_SEMANALES[[#ALL],[DOMINGO]])</f>
        <v>0</v>
      </c>
      <c r="T1287" s="59">
        <f t="shared" si="1"/>
        <v>0</v>
      </c>
    </row>
    <row r="1288" ht="22.5" customHeight="1">
      <c r="M1288" s="59">
        <f>SUMIFS(Eventos!$G:$G,Eventos!$F:$F,$L1288,Eventos!$D:$D,$C$2,Eventos!$B:$B,PANES_SEMANALES[[#ALL],[LUNES]])</f>
        <v>0</v>
      </c>
      <c r="N1288" s="59">
        <f>SUMIFS(Eventos!$G:$G,Eventos!$F:$F,$L1288,Eventos!$D:$D,$C$2,Eventos!$B:$B,PANES_SEMANALES[[#ALL],[MARTES]])</f>
        <v>0</v>
      </c>
      <c r="O1288" s="59">
        <f>SUMIFS(Eventos!$G:$G,Eventos!$F:$F,$L1288,Eventos!$D:$D,$C$2,Eventos!$B:$B,PANES_SEMANALES[[#ALL],[MIÉRCOLES]])</f>
        <v>0</v>
      </c>
      <c r="P1288" s="59">
        <f>SUMIFS(Eventos!$G:$G,Eventos!$F:$F,$L1288,Eventos!$D:$D,$C$2,Eventos!$B:$B,PANES_SEMANALES[[#ALL],[JUEVES]])</f>
        <v>0</v>
      </c>
      <c r="Q1288" s="59">
        <f>IF(P1288&lt;&gt;"",SUMIFS(Eventos!$G:$G,Eventos!$B:$B,Q$2,Eventos!$D:$D,$C$2,Eventos!$F:$F,$L1288),"")</f>
        <v>0</v>
      </c>
      <c r="R1288" s="59">
        <f>SUMIFS(Eventos!$G:$G,Eventos!$F:$F,$L1288,Eventos!$D:$D,$C$2,Eventos!$B:$B,PANES_SEMANALES[[#ALL],[SÁBADO]])</f>
        <v>0</v>
      </c>
      <c r="S1288" s="59">
        <f>SUMIFS(Eventos!$G:$G,Eventos!$F:$F,$L1288,Eventos!$D:$D,$C$2,Eventos!$B:$B,PANES_SEMANALES[[#ALL],[DOMINGO]])</f>
        <v>0</v>
      </c>
      <c r="T1288" s="59">
        <f t="shared" si="1"/>
        <v>0</v>
      </c>
    </row>
    <row r="1289" ht="22.5" customHeight="1">
      <c r="M1289" s="59">
        <f>SUMIFS(Eventos!$G:$G,Eventos!$F:$F,$L1289,Eventos!$D:$D,$C$2,Eventos!$B:$B,PANES_SEMANALES[[#ALL],[LUNES]])</f>
        <v>0</v>
      </c>
      <c r="N1289" s="59">
        <f>SUMIFS(Eventos!$G:$G,Eventos!$F:$F,$L1289,Eventos!$D:$D,$C$2,Eventos!$B:$B,PANES_SEMANALES[[#ALL],[MARTES]])</f>
        <v>0</v>
      </c>
      <c r="O1289" s="59">
        <f>SUMIFS(Eventos!$G:$G,Eventos!$F:$F,$L1289,Eventos!$D:$D,$C$2,Eventos!$B:$B,PANES_SEMANALES[[#ALL],[MIÉRCOLES]])</f>
        <v>0</v>
      </c>
      <c r="P1289" s="59">
        <f>SUMIFS(Eventos!$G:$G,Eventos!$F:$F,$L1289,Eventos!$D:$D,$C$2,Eventos!$B:$B,PANES_SEMANALES[[#ALL],[JUEVES]])</f>
        <v>0</v>
      </c>
      <c r="Q1289" s="59">
        <f>IF(P1289&lt;&gt;"",SUMIFS(Eventos!$G:$G,Eventos!$B:$B,Q$2,Eventos!$D:$D,$C$2,Eventos!$F:$F,$L1289),"")</f>
        <v>0</v>
      </c>
      <c r="R1289" s="59">
        <f>SUMIFS(Eventos!$G:$G,Eventos!$F:$F,$L1289,Eventos!$D:$D,$C$2,Eventos!$B:$B,PANES_SEMANALES[[#ALL],[SÁBADO]])</f>
        <v>0</v>
      </c>
      <c r="S1289" s="59">
        <f>SUMIFS(Eventos!$G:$G,Eventos!$F:$F,$L1289,Eventos!$D:$D,$C$2,Eventos!$B:$B,PANES_SEMANALES[[#ALL],[DOMINGO]])</f>
        <v>0</v>
      </c>
      <c r="T1289" s="59">
        <f t="shared" si="1"/>
        <v>0</v>
      </c>
    </row>
    <row r="1290" ht="22.5" customHeight="1">
      <c r="M1290" s="59">
        <f>SUMIFS(Eventos!$G:$G,Eventos!$F:$F,$L1290,Eventos!$D:$D,$C$2,Eventos!$B:$B,PANES_SEMANALES[[#ALL],[LUNES]])</f>
        <v>0</v>
      </c>
      <c r="N1290" s="59">
        <f>SUMIFS(Eventos!$G:$G,Eventos!$F:$F,$L1290,Eventos!$D:$D,$C$2,Eventos!$B:$B,PANES_SEMANALES[[#ALL],[MARTES]])</f>
        <v>0</v>
      </c>
      <c r="O1290" s="59">
        <f>SUMIFS(Eventos!$G:$G,Eventos!$F:$F,$L1290,Eventos!$D:$D,$C$2,Eventos!$B:$B,PANES_SEMANALES[[#ALL],[MIÉRCOLES]])</f>
        <v>0</v>
      </c>
      <c r="P1290" s="59">
        <f>SUMIFS(Eventos!$G:$G,Eventos!$F:$F,$L1290,Eventos!$D:$D,$C$2,Eventos!$B:$B,PANES_SEMANALES[[#ALL],[JUEVES]])</f>
        <v>0</v>
      </c>
      <c r="Q1290" s="59">
        <f>IF(P1290&lt;&gt;"",SUMIFS(Eventos!$G:$G,Eventos!$B:$B,Q$2,Eventos!$D:$D,$C$2,Eventos!$F:$F,$L1290),"")</f>
        <v>0</v>
      </c>
      <c r="R1290" s="59">
        <f>SUMIFS(Eventos!$G:$G,Eventos!$F:$F,$L1290,Eventos!$D:$D,$C$2,Eventos!$B:$B,PANES_SEMANALES[[#ALL],[SÁBADO]])</f>
        <v>0</v>
      </c>
      <c r="S1290" s="59">
        <f>SUMIFS(Eventos!$G:$G,Eventos!$F:$F,$L1290,Eventos!$D:$D,$C$2,Eventos!$B:$B,PANES_SEMANALES[[#ALL],[DOMINGO]])</f>
        <v>0</v>
      </c>
      <c r="T1290" s="59">
        <f t="shared" si="1"/>
        <v>0</v>
      </c>
    </row>
    <row r="1291" ht="22.5" customHeight="1">
      <c r="M1291" s="59">
        <f>SUMIFS(Eventos!$G:$G,Eventos!$F:$F,$L1291,Eventos!$D:$D,$C$2,Eventos!$B:$B,PANES_SEMANALES[[#ALL],[LUNES]])</f>
        <v>0</v>
      </c>
      <c r="N1291" s="59">
        <f>SUMIFS(Eventos!$G:$G,Eventos!$F:$F,$L1291,Eventos!$D:$D,$C$2,Eventos!$B:$B,PANES_SEMANALES[[#ALL],[MARTES]])</f>
        <v>0</v>
      </c>
      <c r="O1291" s="59">
        <f>SUMIFS(Eventos!$G:$G,Eventos!$F:$F,$L1291,Eventos!$D:$D,$C$2,Eventos!$B:$B,PANES_SEMANALES[[#ALL],[MIÉRCOLES]])</f>
        <v>0</v>
      </c>
      <c r="P1291" s="59">
        <f>SUMIFS(Eventos!$G:$G,Eventos!$F:$F,$L1291,Eventos!$D:$D,$C$2,Eventos!$B:$B,PANES_SEMANALES[[#ALL],[JUEVES]])</f>
        <v>0</v>
      </c>
      <c r="Q1291" s="59">
        <f>IF(P1291&lt;&gt;"",SUMIFS(Eventos!$G:$G,Eventos!$B:$B,Q$2,Eventos!$D:$D,$C$2,Eventos!$F:$F,$L1291),"")</f>
        <v>0</v>
      </c>
      <c r="R1291" s="59">
        <f>SUMIFS(Eventos!$G:$G,Eventos!$F:$F,$L1291,Eventos!$D:$D,$C$2,Eventos!$B:$B,PANES_SEMANALES[[#ALL],[SÁBADO]])</f>
        <v>0</v>
      </c>
      <c r="S1291" s="59">
        <f>SUMIFS(Eventos!$G:$G,Eventos!$F:$F,$L1291,Eventos!$D:$D,$C$2,Eventos!$B:$B,PANES_SEMANALES[[#ALL],[DOMINGO]])</f>
        <v>0</v>
      </c>
      <c r="T1291" s="59">
        <f t="shared" si="1"/>
        <v>0</v>
      </c>
    </row>
    <row r="1292" ht="22.5" customHeight="1">
      <c r="M1292" s="59">
        <f>SUMIFS(Eventos!$G:$G,Eventos!$F:$F,$L1292,Eventos!$D:$D,$C$2,Eventos!$B:$B,PANES_SEMANALES[[#ALL],[LUNES]])</f>
        <v>0</v>
      </c>
      <c r="N1292" s="59">
        <f>SUMIFS(Eventos!$G:$G,Eventos!$F:$F,$L1292,Eventos!$D:$D,$C$2,Eventos!$B:$B,PANES_SEMANALES[[#ALL],[MARTES]])</f>
        <v>0</v>
      </c>
      <c r="O1292" s="59">
        <f>SUMIFS(Eventos!$G:$G,Eventos!$F:$F,$L1292,Eventos!$D:$D,$C$2,Eventos!$B:$B,PANES_SEMANALES[[#ALL],[MIÉRCOLES]])</f>
        <v>0</v>
      </c>
      <c r="P1292" s="59">
        <f>SUMIFS(Eventos!$G:$G,Eventos!$F:$F,$L1292,Eventos!$D:$D,$C$2,Eventos!$B:$B,PANES_SEMANALES[[#ALL],[JUEVES]])</f>
        <v>0</v>
      </c>
      <c r="Q1292" s="59">
        <f>IF(P1292&lt;&gt;"",SUMIFS(Eventos!$G:$G,Eventos!$B:$B,Q$2,Eventos!$D:$D,$C$2,Eventos!$F:$F,$L1292),"")</f>
        <v>0</v>
      </c>
      <c r="R1292" s="59">
        <f>SUMIFS(Eventos!$G:$G,Eventos!$F:$F,$L1292,Eventos!$D:$D,$C$2,Eventos!$B:$B,PANES_SEMANALES[[#ALL],[SÁBADO]])</f>
        <v>0</v>
      </c>
      <c r="S1292" s="59">
        <f>SUMIFS(Eventos!$G:$G,Eventos!$F:$F,$L1292,Eventos!$D:$D,$C$2,Eventos!$B:$B,PANES_SEMANALES[[#ALL],[DOMINGO]])</f>
        <v>0</v>
      </c>
      <c r="T1292" s="59">
        <f t="shared" si="1"/>
        <v>0</v>
      </c>
    </row>
    <row r="1293" ht="22.5" customHeight="1">
      <c r="M1293" s="59">
        <f>SUMIFS(Eventos!$G:$G,Eventos!$F:$F,$L1293,Eventos!$D:$D,$C$2,Eventos!$B:$B,PANES_SEMANALES[[#ALL],[LUNES]])</f>
        <v>0</v>
      </c>
      <c r="N1293" s="59">
        <f>SUMIFS(Eventos!$G:$G,Eventos!$F:$F,$L1293,Eventos!$D:$D,$C$2,Eventos!$B:$B,PANES_SEMANALES[[#ALL],[MARTES]])</f>
        <v>0</v>
      </c>
      <c r="O1293" s="59">
        <f>SUMIFS(Eventos!$G:$G,Eventos!$F:$F,$L1293,Eventos!$D:$D,$C$2,Eventos!$B:$B,PANES_SEMANALES[[#ALL],[MIÉRCOLES]])</f>
        <v>0</v>
      </c>
      <c r="P1293" s="59">
        <f>SUMIFS(Eventos!$G:$G,Eventos!$F:$F,$L1293,Eventos!$D:$D,$C$2,Eventos!$B:$B,PANES_SEMANALES[[#ALL],[JUEVES]])</f>
        <v>0</v>
      </c>
      <c r="Q1293" s="59">
        <f>IF(P1293&lt;&gt;"",SUMIFS(Eventos!$G:$G,Eventos!$B:$B,Q$2,Eventos!$D:$D,$C$2,Eventos!$F:$F,$L1293),"")</f>
        <v>0</v>
      </c>
      <c r="R1293" s="59">
        <f>SUMIFS(Eventos!$G:$G,Eventos!$F:$F,$L1293,Eventos!$D:$D,$C$2,Eventos!$B:$B,PANES_SEMANALES[[#ALL],[SÁBADO]])</f>
        <v>0</v>
      </c>
      <c r="S1293" s="59">
        <f>SUMIFS(Eventos!$G:$G,Eventos!$F:$F,$L1293,Eventos!$D:$D,$C$2,Eventos!$B:$B,PANES_SEMANALES[[#ALL],[DOMINGO]])</f>
        <v>0</v>
      </c>
      <c r="T1293" s="59">
        <f t="shared" si="1"/>
        <v>0</v>
      </c>
    </row>
    <row r="1294" ht="22.5" customHeight="1">
      <c r="M1294" s="59">
        <f>SUMIFS(Eventos!$G:$G,Eventos!$F:$F,$L1294,Eventos!$D:$D,$C$2,Eventos!$B:$B,PANES_SEMANALES[[#ALL],[LUNES]])</f>
        <v>0</v>
      </c>
      <c r="N1294" s="59">
        <f>SUMIFS(Eventos!$G:$G,Eventos!$F:$F,$L1294,Eventos!$D:$D,$C$2,Eventos!$B:$B,PANES_SEMANALES[[#ALL],[MARTES]])</f>
        <v>0</v>
      </c>
      <c r="O1294" s="59">
        <f>SUMIFS(Eventos!$G:$G,Eventos!$F:$F,$L1294,Eventos!$D:$D,$C$2,Eventos!$B:$B,PANES_SEMANALES[[#ALL],[MIÉRCOLES]])</f>
        <v>0</v>
      </c>
      <c r="P1294" s="59">
        <f>SUMIFS(Eventos!$G:$G,Eventos!$F:$F,$L1294,Eventos!$D:$D,$C$2,Eventos!$B:$B,PANES_SEMANALES[[#ALL],[JUEVES]])</f>
        <v>0</v>
      </c>
      <c r="Q1294" s="59">
        <f>IF(P1294&lt;&gt;"",SUMIFS(Eventos!$G:$G,Eventos!$B:$B,Q$2,Eventos!$D:$D,$C$2,Eventos!$F:$F,$L1294),"")</f>
        <v>0</v>
      </c>
      <c r="R1294" s="59">
        <f>SUMIFS(Eventos!$G:$G,Eventos!$F:$F,$L1294,Eventos!$D:$D,$C$2,Eventos!$B:$B,PANES_SEMANALES[[#ALL],[SÁBADO]])</f>
        <v>0</v>
      </c>
      <c r="S1294" s="59">
        <f>SUMIFS(Eventos!$G:$G,Eventos!$F:$F,$L1294,Eventos!$D:$D,$C$2,Eventos!$B:$B,PANES_SEMANALES[[#ALL],[DOMINGO]])</f>
        <v>0</v>
      </c>
      <c r="T1294" s="59">
        <f t="shared" si="1"/>
        <v>0</v>
      </c>
    </row>
    <row r="1295" ht="22.5" customHeight="1">
      <c r="M1295" s="59">
        <f>SUMIFS(Eventos!$G:$G,Eventos!$F:$F,$L1295,Eventos!$D:$D,$C$2,Eventos!$B:$B,PANES_SEMANALES[[#ALL],[LUNES]])</f>
        <v>0</v>
      </c>
      <c r="N1295" s="59">
        <f>SUMIFS(Eventos!$G:$G,Eventos!$F:$F,$L1295,Eventos!$D:$D,$C$2,Eventos!$B:$B,PANES_SEMANALES[[#ALL],[MARTES]])</f>
        <v>0</v>
      </c>
      <c r="O1295" s="59">
        <f>SUMIFS(Eventos!$G:$G,Eventos!$F:$F,$L1295,Eventos!$D:$D,$C$2,Eventos!$B:$B,PANES_SEMANALES[[#ALL],[MIÉRCOLES]])</f>
        <v>0</v>
      </c>
      <c r="P1295" s="59">
        <f>SUMIFS(Eventos!$G:$G,Eventos!$F:$F,$L1295,Eventos!$D:$D,$C$2,Eventos!$B:$B,PANES_SEMANALES[[#ALL],[JUEVES]])</f>
        <v>0</v>
      </c>
      <c r="Q1295" s="59">
        <f>IF(P1295&lt;&gt;"",SUMIFS(Eventos!$G:$G,Eventos!$B:$B,Q$2,Eventos!$D:$D,$C$2,Eventos!$F:$F,$L1295),"")</f>
        <v>0</v>
      </c>
      <c r="R1295" s="59">
        <f>SUMIFS(Eventos!$G:$G,Eventos!$F:$F,$L1295,Eventos!$D:$D,$C$2,Eventos!$B:$B,PANES_SEMANALES[[#ALL],[SÁBADO]])</f>
        <v>0</v>
      </c>
      <c r="S1295" s="59">
        <f>SUMIFS(Eventos!$G:$G,Eventos!$F:$F,$L1295,Eventos!$D:$D,$C$2,Eventos!$B:$B,PANES_SEMANALES[[#ALL],[DOMINGO]])</f>
        <v>0</v>
      </c>
      <c r="T1295" s="59">
        <f t="shared" si="1"/>
        <v>0</v>
      </c>
    </row>
    <row r="1296" ht="22.5" customHeight="1">
      <c r="M1296" s="59">
        <f>SUMIFS(Eventos!$G:$G,Eventos!$F:$F,$L1296,Eventos!$D:$D,$C$2,Eventos!$B:$B,PANES_SEMANALES[[#ALL],[LUNES]])</f>
        <v>0</v>
      </c>
      <c r="N1296" s="59">
        <f>SUMIFS(Eventos!$G:$G,Eventos!$F:$F,$L1296,Eventos!$D:$D,$C$2,Eventos!$B:$B,PANES_SEMANALES[[#ALL],[MARTES]])</f>
        <v>0</v>
      </c>
      <c r="O1296" s="59">
        <f>SUMIFS(Eventos!$G:$G,Eventos!$F:$F,$L1296,Eventos!$D:$D,$C$2,Eventos!$B:$B,PANES_SEMANALES[[#ALL],[MIÉRCOLES]])</f>
        <v>0</v>
      </c>
      <c r="P1296" s="59">
        <f>SUMIFS(Eventos!$G:$G,Eventos!$F:$F,$L1296,Eventos!$D:$D,$C$2,Eventos!$B:$B,PANES_SEMANALES[[#ALL],[JUEVES]])</f>
        <v>0</v>
      </c>
      <c r="Q1296" s="59">
        <f>IF(P1296&lt;&gt;"",SUMIFS(Eventos!$G:$G,Eventos!$B:$B,Q$2,Eventos!$D:$D,$C$2,Eventos!$F:$F,$L1296),"")</f>
        <v>0</v>
      </c>
      <c r="R1296" s="59">
        <f>SUMIFS(Eventos!$G:$G,Eventos!$F:$F,$L1296,Eventos!$D:$D,$C$2,Eventos!$B:$B,PANES_SEMANALES[[#ALL],[SÁBADO]])</f>
        <v>0</v>
      </c>
      <c r="S1296" s="59">
        <f>SUMIFS(Eventos!$G:$G,Eventos!$F:$F,$L1296,Eventos!$D:$D,$C$2,Eventos!$B:$B,PANES_SEMANALES[[#ALL],[DOMINGO]])</f>
        <v>0</v>
      </c>
      <c r="T1296" s="59">
        <f t="shared" si="1"/>
        <v>0</v>
      </c>
    </row>
    <row r="1297" ht="22.5" customHeight="1">
      <c r="M1297" s="59">
        <f>SUMIFS(Eventos!$G:$G,Eventos!$F:$F,$L1297,Eventos!$D:$D,$C$2,Eventos!$B:$B,PANES_SEMANALES[[#ALL],[LUNES]])</f>
        <v>0</v>
      </c>
      <c r="N1297" s="59">
        <f>SUMIFS(Eventos!$G:$G,Eventos!$F:$F,$L1297,Eventos!$D:$D,$C$2,Eventos!$B:$B,PANES_SEMANALES[[#ALL],[MARTES]])</f>
        <v>0</v>
      </c>
      <c r="O1297" s="59">
        <f>SUMIFS(Eventos!$G:$G,Eventos!$F:$F,$L1297,Eventos!$D:$D,$C$2,Eventos!$B:$B,PANES_SEMANALES[[#ALL],[MIÉRCOLES]])</f>
        <v>0</v>
      </c>
      <c r="P1297" s="59">
        <f>SUMIFS(Eventos!$G:$G,Eventos!$F:$F,$L1297,Eventos!$D:$D,$C$2,Eventos!$B:$B,PANES_SEMANALES[[#ALL],[JUEVES]])</f>
        <v>0</v>
      </c>
      <c r="Q1297" s="59">
        <f>IF(P1297&lt;&gt;"",SUMIFS(Eventos!$G:$G,Eventos!$B:$B,Q$2,Eventos!$D:$D,$C$2,Eventos!$F:$F,$L1297),"")</f>
        <v>0</v>
      </c>
      <c r="R1297" s="59">
        <f>SUMIFS(Eventos!$G:$G,Eventos!$F:$F,$L1297,Eventos!$D:$D,$C$2,Eventos!$B:$B,PANES_SEMANALES[[#ALL],[SÁBADO]])</f>
        <v>0</v>
      </c>
      <c r="S1297" s="59">
        <f>SUMIFS(Eventos!$G:$G,Eventos!$F:$F,$L1297,Eventos!$D:$D,$C$2,Eventos!$B:$B,PANES_SEMANALES[[#ALL],[DOMINGO]])</f>
        <v>0</v>
      </c>
      <c r="T1297" s="59">
        <f t="shared" si="1"/>
        <v>0</v>
      </c>
    </row>
    <row r="1298" ht="22.5" customHeight="1">
      <c r="M1298" s="59">
        <f>SUMIFS(Eventos!$G:$G,Eventos!$F:$F,$L1298,Eventos!$D:$D,$C$2,Eventos!$B:$B,PANES_SEMANALES[[#ALL],[LUNES]])</f>
        <v>0</v>
      </c>
      <c r="N1298" s="59">
        <f>SUMIFS(Eventos!$G:$G,Eventos!$F:$F,$L1298,Eventos!$D:$D,$C$2,Eventos!$B:$B,PANES_SEMANALES[[#ALL],[MARTES]])</f>
        <v>0</v>
      </c>
      <c r="O1298" s="59">
        <f>SUMIFS(Eventos!$G:$G,Eventos!$F:$F,$L1298,Eventos!$D:$D,$C$2,Eventos!$B:$B,PANES_SEMANALES[[#ALL],[MIÉRCOLES]])</f>
        <v>0</v>
      </c>
      <c r="P1298" s="59">
        <f>SUMIFS(Eventos!$G:$G,Eventos!$F:$F,$L1298,Eventos!$D:$D,$C$2,Eventos!$B:$B,PANES_SEMANALES[[#ALL],[JUEVES]])</f>
        <v>0</v>
      </c>
      <c r="Q1298" s="59">
        <f>IF(P1298&lt;&gt;"",SUMIFS(Eventos!$G:$G,Eventos!$B:$B,Q$2,Eventos!$D:$D,$C$2,Eventos!$F:$F,$L1298),"")</f>
        <v>0</v>
      </c>
      <c r="R1298" s="59">
        <f>SUMIFS(Eventos!$G:$G,Eventos!$F:$F,$L1298,Eventos!$D:$D,$C$2,Eventos!$B:$B,PANES_SEMANALES[[#ALL],[SÁBADO]])</f>
        <v>0</v>
      </c>
      <c r="S1298" s="59">
        <f>SUMIFS(Eventos!$G:$G,Eventos!$F:$F,$L1298,Eventos!$D:$D,$C$2,Eventos!$B:$B,PANES_SEMANALES[[#ALL],[DOMINGO]])</f>
        <v>0</v>
      </c>
      <c r="T1298" s="59">
        <f t="shared" si="1"/>
        <v>0</v>
      </c>
    </row>
    <row r="1299" ht="22.5" customHeight="1">
      <c r="M1299" s="59">
        <f>SUMIFS(Eventos!$G:$G,Eventos!$F:$F,$L1299,Eventos!$D:$D,$C$2,Eventos!$B:$B,PANES_SEMANALES[[#ALL],[LUNES]])</f>
        <v>0</v>
      </c>
      <c r="N1299" s="59">
        <f>SUMIFS(Eventos!$G:$G,Eventos!$F:$F,$L1299,Eventos!$D:$D,$C$2,Eventos!$B:$B,PANES_SEMANALES[[#ALL],[MARTES]])</f>
        <v>0</v>
      </c>
      <c r="O1299" s="59">
        <f>SUMIFS(Eventos!$G:$G,Eventos!$F:$F,$L1299,Eventos!$D:$D,$C$2,Eventos!$B:$B,PANES_SEMANALES[[#ALL],[MIÉRCOLES]])</f>
        <v>0</v>
      </c>
      <c r="P1299" s="59">
        <f>SUMIFS(Eventos!$G:$G,Eventos!$F:$F,$L1299,Eventos!$D:$D,$C$2,Eventos!$B:$B,PANES_SEMANALES[[#ALL],[JUEVES]])</f>
        <v>0</v>
      </c>
      <c r="Q1299" s="59">
        <f>IF(P1299&lt;&gt;"",SUMIFS(Eventos!$G:$G,Eventos!$B:$B,Q$2,Eventos!$D:$D,$C$2,Eventos!$F:$F,$L1299),"")</f>
        <v>0</v>
      </c>
      <c r="R1299" s="59">
        <f>SUMIFS(Eventos!$G:$G,Eventos!$F:$F,$L1299,Eventos!$D:$D,$C$2,Eventos!$B:$B,PANES_SEMANALES[[#ALL],[SÁBADO]])</f>
        <v>0</v>
      </c>
      <c r="S1299" s="59">
        <f>SUMIFS(Eventos!$G:$G,Eventos!$F:$F,$L1299,Eventos!$D:$D,$C$2,Eventos!$B:$B,PANES_SEMANALES[[#ALL],[DOMINGO]])</f>
        <v>0</v>
      </c>
      <c r="T1299" s="59">
        <f t="shared" si="1"/>
        <v>0</v>
      </c>
    </row>
    <row r="1300" ht="22.5" customHeight="1">
      <c r="M1300" s="59">
        <f>SUMIFS(Eventos!$G:$G,Eventos!$F:$F,$L1300,Eventos!$D:$D,$C$2,Eventos!$B:$B,PANES_SEMANALES[[#ALL],[LUNES]])</f>
        <v>0</v>
      </c>
      <c r="N1300" s="59">
        <f>SUMIFS(Eventos!$G:$G,Eventos!$F:$F,$L1300,Eventos!$D:$D,$C$2,Eventos!$B:$B,PANES_SEMANALES[[#ALL],[MARTES]])</f>
        <v>0</v>
      </c>
      <c r="O1300" s="59">
        <f>SUMIFS(Eventos!$G:$G,Eventos!$F:$F,$L1300,Eventos!$D:$D,$C$2,Eventos!$B:$B,PANES_SEMANALES[[#ALL],[MIÉRCOLES]])</f>
        <v>0</v>
      </c>
      <c r="P1300" s="59">
        <f>SUMIFS(Eventos!$G:$G,Eventos!$F:$F,$L1300,Eventos!$D:$D,$C$2,Eventos!$B:$B,PANES_SEMANALES[[#ALL],[JUEVES]])</f>
        <v>0</v>
      </c>
      <c r="Q1300" s="59">
        <f>IF(P1300&lt;&gt;"",SUMIFS(Eventos!$G:$G,Eventos!$B:$B,Q$2,Eventos!$D:$D,$C$2,Eventos!$F:$F,$L1300),"")</f>
        <v>0</v>
      </c>
      <c r="R1300" s="59">
        <f>SUMIFS(Eventos!$G:$G,Eventos!$F:$F,$L1300,Eventos!$D:$D,$C$2,Eventos!$B:$B,PANES_SEMANALES[[#ALL],[SÁBADO]])</f>
        <v>0</v>
      </c>
      <c r="S1300" s="59">
        <f>SUMIFS(Eventos!$G:$G,Eventos!$F:$F,$L1300,Eventos!$D:$D,$C$2,Eventos!$B:$B,PANES_SEMANALES[[#ALL],[DOMINGO]])</f>
        <v>0</v>
      </c>
      <c r="T1300" s="59">
        <f t="shared" si="1"/>
        <v>0</v>
      </c>
    </row>
    <row r="1301" ht="22.5" customHeight="1">
      <c r="M1301" s="59">
        <f>SUMIFS(Eventos!$G:$G,Eventos!$F:$F,$L1301,Eventos!$D:$D,$C$2,Eventos!$B:$B,PANES_SEMANALES[[#ALL],[LUNES]])</f>
        <v>0</v>
      </c>
      <c r="N1301" s="59">
        <f>SUMIFS(Eventos!$G:$G,Eventos!$F:$F,$L1301,Eventos!$D:$D,$C$2,Eventos!$B:$B,PANES_SEMANALES[[#ALL],[MARTES]])</f>
        <v>0</v>
      </c>
      <c r="O1301" s="59">
        <f>SUMIFS(Eventos!$G:$G,Eventos!$F:$F,$L1301,Eventos!$D:$D,$C$2,Eventos!$B:$B,PANES_SEMANALES[[#ALL],[MIÉRCOLES]])</f>
        <v>0</v>
      </c>
      <c r="P1301" s="59">
        <f>SUMIFS(Eventos!$G:$G,Eventos!$F:$F,$L1301,Eventos!$D:$D,$C$2,Eventos!$B:$B,PANES_SEMANALES[[#ALL],[JUEVES]])</f>
        <v>0</v>
      </c>
      <c r="Q1301" s="59">
        <f>IF(P1301&lt;&gt;"",SUMIFS(Eventos!$G:$G,Eventos!$B:$B,Q$2,Eventos!$D:$D,$C$2,Eventos!$F:$F,$L1301),"")</f>
        <v>0</v>
      </c>
      <c r="R1301" s="59">
        <f>SUMIFS(Eventos!$G:$G,Eventos!$F:$F,$L1301,Eventos!$D:$D,$C$2,Eventos!$B:$B,PANES_SEMANALES[[#ALL],[SÁBADO]])</f>
        <v>0</v>
      </c>
      <c r="S1301" s="59">
        <f>SUMIFS(Eventos!$G:$G,Eventos!$F:$F,$L1301,Eventos!$D:$D,$C$2,Eventos!$B:$B,PANES_SEMANALES[[#ALL],[DOMINGO]])</f>
        <v>0</v>
      </c>
      <c r="T1301" s="59">
        <f t="shared" si="1"/>
        <v>0</v>
      </c>
    </row>
    <row r="1302" ht="22.5" customHeight="1">
      <c r="M1302" s="59">
        <f>SUMIFS(Eventos!$G:$G,Eventos!$F:$F,$L1302,Eventos!$D:$D,$C$2,Eventos!$B:$B,PANES_SEMANALES[[#ALL],[LUNES]])</f>
        <v>0</v>
      </c>
      <c r="N1302" s="59">
        <f>SUMIFS(Eventos!$G:$G,Eventos!$F:$F,$L1302,Eventos!$D:$D,$C$2,Eventos!$B:$B,PANES_SEMANALES[[#ALL],[MARTES]])</f>
        <v>0</v>
      </c>
      <c r="O1302" s="59">
        <f>SUMIFS(Eventos!$G:$G,Eventos!$F:$F,$L1302,Eventos!$D:$D,$C$2,Eventos!$B:$B,PANES_SEMANALES[[#ALL],[MIÉRCOLES]])</f>
        <v>0</v>
      </c>
      <c r="P1302" s="59">
        <f>SUMIFS(Eventos!$G:$G,Eventos!$F:$F,$L1302,Eventos!$D:$D,$C$2,Eventos!$B:$B,PANES_SEMANALES[[#ALL],[JUEVES]])</f>
        <v>0</v>
      </c>
      <c r="Q1302" s="59">
        <f>IF(P1302&lt;&gt;"",SUMIFS(Eventos!$G:$G,Eventos!$B:$B,Q$2,Eventos!$D:$D,$C$2,Eventos!$F:$F,$L1302),"")</f>
        <v>0</v>
      </c>
      <c r="R1302" s="59">
        <f>SUMIFS(Eventos!$G:$G,Eventos!$F:$F,$L1302,Eventos!$D:$D,$C$2,Eventos!$B:$B,PANES_SEMANALES[[#ALL],[SÁBADO]])</f>
        <v>0</v>
      </c>
      <c r="S1302" s="59">
        <f>SUMIFS(Eventos!$G:$G,Eventos!$F:$F,$L1302,Eventos!$D:$D,$C$2,Eventos!$B:$B,PANES_SEMANALES[[#ALL],[DOMINGO]])</f>
        <v>0</v>
      </c>
      <c r="T1302" s="59">
        <f t="shared" si="1"/>
        <v>0</v>
      </c>
    </row>
    <row r="1303" ht="22.5" customHeight="1">
      <c r="M1303" s="59">
        <f>SUMIFS(Eventos!$G:$G,Eventos!$F:$F,$L1303,Eventos!$D:$D,$C$2,Eventos!$B:$B,PANES_SEMANALES[[#ALL],[LUNES]])</f>
        <v>0</v>
      </c>
      <c r="N1303" s="59">
        <f>SUMIFS(Eventos!$G:$G,Eventos!$F:$F,$L1303,Eventos!$D:$D,$C$2,Eventos!$B:$B,PANES_SEMANALES[[#ALL],[MARTES]])</f>
        <v>0</v>
      </c>
      <c r="O1303" s="59">
        <f>SUMIFS(Eventos!$G:$G,Eventos!$F:$F,$L1303,Eventos!$D:$D,$C$2,Eventos!$B:$B,PANES_SEMANALES[[#ALL],[MIÉRCOLES]])</f>
        <v>0</v>
      </c>
      <c r="P1303" s="59">
        <f>SUMIFS(Eventos!$G:$G,Eventos!$F:$F,$L1303,Eventos!$D:$D,$C$2,Eventos!$B:$B,PANES_SEMANALES[[#ALL],[JUEVES]])</f>
        <v>0</v>
      </c>
      <c r="Q1303" s="59">
        <f>IF(P1303&lt;&gt;"",SUMIFS(Eventos!$G:$G,Eventos!$B:$B,Q$2,Eventos!$D:$D,$C$2,Eventos!$F:$F,$L1303),"")</f>
        <v>0</v>
      </c>
      <c r="R1303" s="59">
        <f>SUMIFS(Eventos!$G:$G,Eventos!$F:$F,$L1303,Eventos!$D:$D,$C$2,Eventos!$B:$B,PANES_SEMANALES[[#ALL],[SÁBADO]])</f>
        <v>0</v>
      </c>
      <c r="S1303" s="59">
        <f>SUMIFS(Eventos!$G:$G,Eventos!$F:$F,$L1303,Eventos!$D:$D,$C$2,Eventos!$B:$B,PANES_SEMANALES[[#ALL],[DOMINGO]])</f>
        <v>0</v>
      </c>
      <c r="T1303" s="59">
        <f t="shared" si="1"/>
        <v>0</v>
      </c>
    </row>
    <row r="1304" ht="22.5" customHeight="1">
      <c r="M1304" s="59">
        <f>SUMIFS(Eventos!$G:$G,Eventos!$F:$F,$L1304,Eventos!$D:$D,$C$2,Eventos!$B:$B,PANES_SEMANALES[[#ALL],[LUNES]])</f>
        <v>0</v>
      </c>
      <c r="N1304" s="59">
        <f>SUMIFS(Eventos!$G:$G,Eventos!$F:$F,$L1304,Eventos!$D:$D,$C$2,Eventos!$B:$B,PANES_SEMANALES[[#ALL],[MARTES]])</f>
        <v>0</v>
      </c>
      <c r="O1304" s="59">
        <f>SUMIFS(Eventos!$G:$G,Eventos!$F:$F,$L1304,Eventos!$D:$D,$C$2,Eventos!$B:$B,PANES_SEMANALES[[#ALL],[MIÉRCOLES]])</f>
        <v>0</v>
      </c>
      <c r="P1304" s="59">
        <f>SUMIFS(Eventos!$G:$G,Eventos!$F:$F,$L1304,Eventos!$D:$D,$C$2,Eventos!$B:$B,PANES_SEMANALES[[#ALL],[JUEVES]])</f>
        <v>0</v>
      </c>
      <c r="Q1304" s="59">
        <f>IF(P1304&lt;&gt;"",SUMIFS(Eventos!$G:$G,Eventos!$B:$B,Q$2,Eventos!$D:$D,$C$2,Eventos!$F:$F,$L1304),"")</f>
        <v>0</v>
      </c>
      <c r="R1304" s="59">
        <f>SUMIFS(Eventos!$G:$G,Eventos!$F:$F,$L1304,Eventos!$D:$D,$C$2,Eventos!$B:$B,PANES_SEMANALES[[#ALL],[SÁBADO]])</f>
        <v>0</v>
      </c>
      <c r="S1304" s="59">
        <f>SUMIFS(Eventos!$G:$G,Eventos!$F:$F,$L1304,Eventos!$D:$D,$C$2,Eventos!$B:$B,PANES_SEMANALES[[#ALL],[DOMINGO]])</f>
        <v>0</v>
      </c>
      <c r="T1304" s="59">
        <f t="shared" si="1"/>
        <v>0</v>
      </c>
    </row>
    <row r="1305" ht="22.5" customHeight="1">
      <c r="M1305" s="59">
        <f>SUMIFS(Eventos!$G:$G,Eventos!$F:$F,$L1305,Eventos!$D:$D,$C$2,Eventos!$B:$B,PANES_SEMANALES[[#ALL],[LUNES]])</f>
        <v>0</v>
      </c>
      <c r="N1305" s="59">
        <f>SUMIFS(Eventos!$G:$G,Eventos!$F:$F,$L1305,Eventos!$D:$D,$C$2,Eventos!$B:$B,PANES_SEMANALES[[#ALL],[MARTES]])</f>
        <v>0</v>
      </c>
      <c r="O1305" s="59">
        <f>SUMIFS(Eventos!$G:$G,Eventos!$F:$F,$L1305,Eventos!$D:$D,$C$2,Eventos!$B:$B,PANES_SEMANALES[[#ALL],[MIÉRCOLES]])</f>
        <v>0</v>
      </c>
      <c r="P1305" s="59">
        <f>SUMIFS(Eventos!$G:$G,Eventos!$F:$F,$L1305,Eventos!$D:$D,$C$2,Eventos!$B:$B,PANES_SEMANALES[[#ALL],[JUEVES]])</f>
        <v>0</v>
      </c>
      <c r="Q1305" s="59">
        <f>IF(P1305&lt;&gt;"",SUMIFS(Eventos!$G:$G,Eventos!$B:$B,Q$2,Eventos!$D:$D,$C$2,Eventos!$F:$F,$L1305),"")</f>
        <v>0</v>
      </c>
      <c r="R1305" s="59">
        <f>SUMIFS(Eventos!$G:$G,Eventos!$F:$F,$L1305,Eventos!$D:$D,$C$2,Eventos!$B:$B,PANES_SEMANALES[[#ALL],[SÁBADO]])</f>
        <v>0</v>
      </c>
      <c r="S1305" s="59">
        <f>SUMIFS(Eventos!$G:$G,Eventos!$F:$F,$L1305,Eventos!$D:$D,$C$2,Eventos!$B:$B,PANES_SEMANALES[[#ALL],[DOMINGO]])</f>
        <v>0</v>
      </c>
      <c r="T1305" s="59">
        <f t="shared" si="1"/>
        <v>0</v>
      </c>
    </row>
    <row r="1306" ht="22.5" customHeight="1">
      <c r="M1306" s="59">
        <f>SUMIFS(Eventos!$G:$G,Eventos!$F:$F,$L1306,Eventos!$D:$D,$C$2,Eventos!$B:$B,PANES_SEMANALES[[#ALL],[LUNES]])</f>
        <v>0</v>
      </c>
      <c r="N1306" s="59">
        <f>SUMIFS(Eventos!$G:$G,Eventos!$F:$F,$L1306,Eventos!$D:$D,$C$2,Eventos!$B:$B,PANES_SEMANALES[[#ALL],[MARTES]])</f>
        <v>0</v>
      </c>
      <c r="O1306" s="59">
        <f>SUMIFS(Eventos!$G:$G,Eventos!$F:$F,$L1306,Eventos!$D:$D,$C$2,Eventos!$B:$B,PANES_SEMANALES[[#ALL],[MIÉRCOLES]])</f>
        <v>0</v>
      </c>
      <c r="P1306" s="59">
        <f>SUMIFS(Eventos!$G:$G,Eventos!$F:$F,$L1306,Eventos!$D:$D,$C$2,Eventos!$B:$B,PANES_SEMANALES[[#ALL],[JUEVES]])</f>
        <v>0</v>
      </c>
      <c r="Q1306" s="59">
        <f>IF(P1306&lt;&gt;"",SUMIFS(Eventos!$G:$G,Eventos!$B:$B,Q$2,Eventos!$D:$D,$C$2,Eventos!$F:$F,$L1306),"")</f>
        <v>0</v>
      </c>
      <c r="R1306" s="59">
        <f>SUMIFS(Eventos!$G:$G,Eventos!$F:$F,$L1306,Eventos!$D:$D,$C$2,Eventos!$B:$B,PANES_SEMANALES[[#ALL],[SÁBADO]])</f>
        <v>0</v>
      </c>
      <c r="S1306" s="59">
        <f>SUMIFS(Eventos!$G:$G,Eventos!$F:$F,$L1306,Eventos!$D:$D,$C$2,Eventos!$B:$B,PANES_SEMANALES[[#ALL],[DOMINGO]])</f>
        <v>0</v>
      </c>
      <c r="T1306" s="59">
        <f t="shared" si="1"/>
        <v>0</v>
      </c>
    </row>
    <row r="1307" ht="22.5" customHeight="1">
      <c r="M1307" s="59">
        <f>SUMIFS(Eventos!$G:$G,Eventos!$F:$F,$L1307,Eventos!$D:$D,$C$2,Eventos!$B:$B,PANES_SEMANALES[[#ALL],[LUNES]])</f>
        <v>0</v>
      </c>
      <c r="N1307" s="59">
        <f>SUMIFS(Eventos!$G:$G,Eventos!$F:$F,$L1307,Eventos!$D:$D,$C$2,Eventos!$B:$B,PANES_SEMANALES[[#ALL],[MARTES]])</f>
        <v>0</v>
      </c>
      <c r="O1307" s="59">
        <f>SUMIFS(Eventos!$G:$G,Eventos!$F:$F,$L1307,Eventos!$D:$D,$C$2,Eventos!$B:$B,PANES_SEMANALES[[#ALL],[MIÉRCOLES]])</f>
        <v>0</v>
      </c>
      <c r="P1307" s="59">
        <f>SUMIFS(Eventos!$G:$G,Eventos!$F:$F,$L1307,Eventos!$D:$D,$C$2,Eventos!$B:$B,PANES_SEMANALES[[#ALL],[JUEVES]])</f>
        <v>0</v>
      </c>
      <c r="Q1307" s="59">
        <f>IF(P1307&lt;&gt;"",SUMIFS(Eventos!$G:$G,Eventos!$B:$B,Q$2,Eventos!$D:$D,$C$2,Eventos!$F:$F,$L1307),"")</f>
        <v>0</v>
      </c>
      <c r="R1307" s="59">
        <f>SUMIFS(Eventos!$G:$G,Eventos!$F:$F,$L1307,Eventos!$D:$D,$C$2,Eventos!$B:$B,PANES_SEMANALES[[#ALL],[SÁBADO]])</f>
        <v>0</v>
      </c>
      <c r="S1307" s="59">
        <f>SUMIFS(Eventos!$G:$G,Eventos!$F:$F,$L1307,Eventos!$D:$D,$C$2,Eventos!$B:$B,PANES_SEMANALES[[#ALL],[DOMINGO]])</f>
        <v>0</v>
      </c>
      <c r="T1307" s="59">
        <f t="shared" si="1"/>
        <v>0</v>
      </c>
    </row>
    <row r="1308" ht="22.5" customHeight="1">
      <c r="M1308" s="59">
        <f>SUMIFS(Eventos!$G:$G,Eventos!$F:$F,$L1308,Eventos!$D:$D,$C$2,Eventos!$B:$B,PANES_SEMANALES[[#ALL],[LUNES]])</f>
        <v>0</v>
      </c>
      <c r="N1308" s="59">
        <f>SUMIFS(Eventos!$G:$G,Eventos!$F:$F,$L1308,Eventos!$D:$D,$C$2,Eventos!$B:$B,PANES_SEMANALES[[#ALL],[MARTES]])</f>
        <v>0</v>
      </c>
      <c r="O1308" s="59">
        <f>SUMIFS(Eventos!$G:$G,Eventos!$F:$F,$L1308,Eventos!$D:$D,$C$2,Eventos!$B:$B,PANES_SEMANALES[[#ALL],[MIÉRCOLES]])</f>
        <v>0</v>
      </c>
      <c r="P1308" s="59">
        <f>SUMIFS(Eventos!$G:$G,Eventos!$F:$F,$L1308,Eventos!$D:$D,$C$2,Eventos!$B:$B,PANES_SEMANALES[[#ALL],[JUEVES]])</f>
        <v>0</v>
      </c>
      <c r="Q1308" s="59">
        <f>IF(P1308&lt;&gt;"",SUMIFS(Eventos!$G:$G,Eventos!$B:$B,Q$2,Eventos!$D:$D,$C$2,Eventos!$F:$F,$L1308),"")</f>
        <v>0</v>
      </c>
      <c r="R1308" s="59">
        <f>SUMIFS(Eventos!$G:$G,Eventos!$F:$F,$L1308,Eventos!$D:$D,$C$2,Eventos!$B:$B,PANES_SEMANALES[[#ALL],[SÁBADO]])</f>
        <v>0</v>
      </c>
      <c r="S1308" s="59">
        <f>SUMIFS(Eventos!$G:$G,Eventos!$F:$F,$L1308,Eventos!$D:$D,$C$2,Eventos!$B:$B,PANES_SEMANALES[[#ALL],[DOMINGO]])</f>
        <v>0</v>
      </c>
      <c r="T1308" s="59">
        <f t="shared" si="1"/>
        <v>0</v>
      </c>
    </row>
    <row r="1309" ht="22.5" customHeight="1">
      <c r="M1309" s="59">
        <f>SUMIFS(Eventos!$G:$G,Eventos!$F:$F,$L1309,Eventos!$D:$D,$C$2,Eventos!$B:$B,PANES_SEMANALES[[#ALL],[LUNES]])</f>
        <v>0</v>
      </c>
      <c r="N1309" s="59">
        <f>SUMIFS(Eventos!$G:$G,Eventos!$F:$F,$L1309,Eventos!$D:$D,$C$2,Eventos!$B:$B,PANES_SEMANALES[[#ALL],[MARTES]])</f>
        <v>0</v>
      </c>
      <c r="O1309" s="59">
        <f>SUMIFS(Eventos!$G:$G,Eventos!$F:$F,$L1309,Eventos!$D:$D,$C$2,Eventos!$B:$B,PANES_SEMANALES[[#ALL],[MIÉRCOLES]])</f>
        <v>0</v>
      </c>
      <c r="P1309" s="59">
        <f>SUMIFS(Eventos!$G:$G,Eventos!$F:$F,$L1309,Eventos!$D:$D,$C$2,Eventos!$B:$B,PANES_SEMANALES[[#ALL],[JUEVES]])</f>
        <v>0</v>
      </c>
      <c r="Q1309" s="59">
        <f>IF(P1309&lt;&gt;"",SUMIFS(Eventos!$G:$G,Eventos!$B:$B,Q$2,Eventos!$D:$D,$C$2,Eventos!$F:$F,$L1309),"")</f>
        <v>0</v>
      </c>
      <c r="R1309" s="59">
        <f>SUMIFS(Eventos!$G:$G,Eventos!$F:$F,$L1309,Eventos!$D:$D,$C$2,Eventos!$B:$B,PANES_SEMANALES[[#ALL],[SÁBADO]])</f>
        <v>0</v>
      </c>
      <c r="S1309" s="59">
        <f>SUMIFS(Eventos!$G:$G,Eventos!$F:$F,$L1309,Eventos!$D:$D,$C$2,Eventos!$B:$B,PANES_SEMANALES[[#ALL],[DOMINGO]])</f>
        <v>0</v>
      </c>
      <c r="T1309" s="59">
        <f t="shared" si="1"/>
        <v>0</v>
      </c>
    </row>
    <row r="1310" ht="22.5" customHeight="1">
      <c r="M1310" s="59">
        <f>SUMIFS(Eventos!$G:$G,Eventos!$F:$F,$L1310,Eventos!$D:$D,$C$2,Eventos!$B:$B,PANES_SEMANALES[[#ALL],[LUNES]])</f>
        <v>0</v>
      </c>
      <c r="N1310" s="59">
        <f>SUMIFS(Eventos!$G:$G,Eventos!$F:$F,$L1310,Eventos!$D:$D,$C$2,Eventos!$B:$B,PANES_SEMANALES[[#ALL],[MARTES]])</f>
        <v>0</v>
      </c>
      <c r="O1310" s="59">
        <f>SUMIFS(Eventos!$G:$G,Eventos!$F:$F,$L1310,Eventos!$D:$D,$C$2,Eventos!$B:$B,PANES_SEMANALES[[#ALL],[MIÉRCOLES]])</f>
        <v>0</v>
      </c>
      <c r="P1310" s="59">
        <f>SUMIFS(Eventos!$G:$G,Eventos!$F:$F,$L1310,Eventos!$D:$D,$C$2,Eventos!$B:$B,PANES_SEMANALES[[#ALL],[JUEVES]])</f>
        <v>0</v>
      </c>
      <c r="Q1310" s="59">
        <f>IF(P1310&lt;&gt;"",SUMIFS(Eventos!$G:$G,Eventos!$B:$B,Q$2,Eventos!$D:$D,$C$2,Eventos!$F:$F,$L1310),"")</f>
        <v>0</v>
      </c>
      <c r="R1310" s="59">
        <f>SUMIFS(Eventos!$G:$G,Eventos!$F:$F,$L1310,Eventos!$D:$D,$C$2,Eventos!$B:$B,PANES_SEMANALES[[#ALL],[SÁBADO]])</f>
        <v>0</v>
      </c>
      <c r="S1310" s="59">
        <f>SUMIFS(Eventos!$G:$G,Eventos!$F:$F,$L1310,Eventos!$D:$D,$C$2,Eventos!$B:$B,PANES_SEMANALES[[#ALL],[DOMINGO]])</f>
        <v>0</v>
      </c>
      <c r="T1310" s="59">
        <f t="shared" si="1"/>
        <v>0</v>
      </c>
    </row>
    <row r="1311" ht="22.5" customHeight="1">
      <c r="M1311" s="59">
        <f>SUMIFS(Eventos!$G:$G,Eventos!$F:$F,$L1311,Eventos!$D:$D,$C$2,Eventos!$B:$B,PANES_SEMANALES[[#ALL],[LUNES]])</f>
        <v>0</v>
      </c>
      <c r="N1311" s="59">
        <f>SUMIFS(Eventos!$G:$G,Eventos!$F:$F,$L1311,Eventos!$D:$D,$C$2,Eventos!$B:$B,PANES_SEMANALES[[#ALL],[MARTES]])</f>
        <v>0</v>
      </c>
      <c r="O1311" s="59">
        <f>SUMIFS(Eventos!$G:$G,Eventos!$F:$F,$L1311,Eventos!$D:$D,$C$2,Eventos!$B:$B,PANES_SEMANALES[[#ALL],[MIÉRCOLES]])</f>
        <v>0</v>
      </c>
      <c r="P1311" s="59">
        <f>SUMIFS(Eventos!$G:$G,Eventos!$F:$F,$L1311,Eventos!$D:$D,$C$2,Eventos!$B:$B,PANES_SEMANALES[[#ALL],[JUEVES]])</f>
        <v>0</v>
      </c>
      <c r="Q1311" s="59">
        <f>IF(P1311&lt;&gt;"",SUMIFS(Eventos!$G:$G,Eventos!$B:$B,Q$2,Eventos!$D:$D,$C$2,Eventos!$F:$F,$L1311),"")</f>
        <v>0</v>
      </c>
      <c r="R1311" s="59">
        <f>SUMIFS(Eventos!$G:$G,Eventos!$F:$F,$L1311,Eventos!$D:$D,$C$2,Eventos!$B:$B,PANES_SEMANALES[[#ALL],[SÁBADO]])</f>
        <v>0</v>
      </c>
      <c r="S1311" s="59">
        <f>SUMIFS(Eventos!$G:$G,Eventos!$F:$F,$L1311,Eventos!$D:$D,$C$2,Eventos!$B:$B,PANES_SEMANALES[[#ALL],[DOMINGO]])</f>
        <v>0</v>
      </c>
      <c r="T1311" s="59">
        <f t="shared" si="1"/>
        <v>0</v>
      </c>
    </row>
    <row r="1312" ht="22.5" customHeight="1">
      <c r="M1312" s="59">
        <f>SUMIFS(Eventos!$G:$G,Eventos!$F:$F,$L1312,Eventos!$D:$D,$C$2,Eventos!$B:$B,PANES_SEMANALES[[#ALL],[LUNES]])</f>
        <v>0</v>
      </c>
      <c r="N1312" s="59">
        <f>SUMIFS(Eventos!$G:$G,Eventos!$F:$F,$L1312,Eventos!$D:$D,$C$2,Eventos!$B:$B,PANES_SEMANALES[[#ALL],[MARTES]])</f>
        <v>0</v>
      </c>
      <c r="O1312" s="59">
        <f>SUMIFS(Eventos!$G:$G,Eventos!$F:$F,$L1312,Eventos!$D:$D,$C$2,Eventos!$B:$B,PANES_SEMANALES[[#ALL],[MIÉRCOLES]])</f>
        <v>0</v>
      </c>
      <c r="P1312" s="59">
        <f>SUMIFS(Eventos!$G:$G,Eventos!$F:$F,$L1312,Eventos!$D:$D,$C$2,Eventos!$B:$B,PANES_SEMANALES[[#ALL],[JUEVES]])</f>
        <v>0</v>
      </c>
      <c r="Q1312" s="59">
        <f>IF(P1312&lt;&gt;"",SUMIFS(Eventos!$G:$G,Eventos!$B:$B,Q$2,Eventos!$D:$D,$C$2,Eventos!$F:$F,$L1312),"")</f>
        <v>0</v>
      </c>
      <c r="R1312" s="59">
        <f>SUMIFS(Eventos!$G:$G,Eventos!$F:$F,$L1312,Eventos!$D:$D,$C$2,Eventos!$B:$B,PANES_SEMANALES[[#ALL],[SÁBADO]])</f>
        <v>0</v>
      </c>
      <c r="S1312" s="59">
        <f>SUMIFS(Eventos!$G:$G,Eventos!$F:$F,$L1312,Eventos!$D:$D,$C$2,Eventos!$B:$B,PANES_SEMANALES[[#ALL],[DOMINGO]])</f>
        <v>0</v>
      </c>
      <c r="T1312" s="59">
        <f t="shared" si="1"/>
        <v>0</v>
      </c>
    </row>
    <row r="1313" ht="22.5" customHeight="1">
      <c r="M1313" s="59">
        <f>SUMIFS(Eventos!$G:$G,Eventos!$F:$F,$L1313,Eventos!$D:$D,$C$2,Eventos!$B:$B,PANES_SEMANALES[[#ALL],[LUNES]])</f>
        <v>0</v>
      </c>
      <c r="N1313" s="59">
        <f>SUMIFS(Eventos!$G:$G,Eventos!$F:$F,$L1313,Eventos!$D:$D,$C$2,Eventos!$B:$B,PANES_SEMANALES[[#ALL],[MARTES]])</f>
        <v>0</v>
      </c>
      <c r="O1313" s="59">
        <f>SUMIFS(Eventos!$G:$G,Eventos!$F:$F,$L1313,Eventos!$D:$D,$C$2,Eventos!$B:$B,PANES_SEMANALES[[#ALL],[MIÉRCOLES]])</f>
        <v>0</v>
      </c>
      <c r="P1313" s="59">
        <f>SUMIFS(Eventos!$G:$G,Eventos!$F:$F,$L1313,Eventos!$D:$D,$C$2,Eventos!$B:$B,PANES_SEMANALES[[#ALL],[JUEVES]])</f>
        <v>0</v>
      </c>
      <c r="Q1313" s="59">
        <f>IF(P1313&lt;&gt;"",SUMIFS(Eventos!$G:$G,Eventos!$B:$B,Q$2,Eventos!$D:$D,$C$2,Eventos!$F:$F,$L1313),"")</f>
        <v>0</v>
      </c>
      <c r="R1313" s="59">
        <f>SUMIFS(Eventos!$G:$G,Eventos!$F:$F,$L1313,Eventos!$D:$D,$C$2,Eventos!$B:$B,PANES_SEMANALES[[#ALL],[SÁBADO]])</f>
        <v>0</v>
      </c>
      <c r="S1313" s="59">
        <f>SUMIFS(Eventos!$G:$G,Eventos!$F:$F,$L1313,Eventos!$D:$D,$C$2,Eventos!$B:$B,PANES_SEMANALES[[#ALL],[DOMINGO]])</f>
        <v>0</v>
      </c>
      <c r="T1313" s="59">
        <f t="shared" si="1"/>
        <v>0</v>
      </c>
    </row>
    <row r="1314" ht="22.5" customHeight="1">
      <c r="M1314" s="59">
        <f>SUMIFS(Eventos!$G:$G,Eventos!$F:$F,$L1314,Eventos!$D:$D,$C$2,Eventos!$B:$B,PANES_SEMANALES[[#ALL],[LUNES]])</f>
        <v>0</v>
      </c>
      <c r="N1314" s="59">
        <f>SUMIFS(Eventos!$G:$G,Eventos!$F:$F,$L1314,Eventos!$D:$D,$C$2,Eventos!$B:$B,PANES_SEMANALES[[#ALL],[MARTES]])</f>
        <v>0</v>
      </c>
      <c r="O1314" s="59">
        <f>SUMIFS(Eventos!$G:$G,Eventos!$F:$F,$L1314,Eventos!$D:$D,$C$2,Eventos!$B:$B,PANES_SEMANALES[[#ALL],[MIÉRCOLES]])</f>
        <v>0</v>
      </c>
      <c r="P1314" s="59">
        <f>SUMIFS(Eventos!$G:$G,Eventos!$F:$F,$L1314,Eventos!$D:$D,$C$2,Eventos!$B:$B,PANES_SEMANALES[[#ALL],[JUEVES]])</f>
        <v>0</v>
      </c>
      <c r="Q1314" s="59">
        <f>IF(P1314&lt;&gt;"",SUMIFS(Eventos!$G:$G,Eventos!$B:$B,Q$2,Eventos!$D:$D,$C$2,Eventos!$F:$F,$L1314),"")</f>
        <v>0</v>
      </c>
      <c r="R1314" s="59">
        <f>SUMIFS(Eventos!$G:$G,Eventos!$F:$F,$L1314,Eventos!$D:$D,$C$2,Eventos!$B:$B,PANES_SEMANALES[[#ALL],[SÁBADO]])</f>
        <v>0</v>
      </c>
      <c r="S1314" s="59">
        <f>SUMIFS(Eventos!$G:$G,Eventos!$F:$F,$L1314,Eventos!$D:$D,$C$2,Eventos!$B:$B,PANES_SEMANALES[[#ALL],[DOMINGO]])</f>
        <v>0</v>
      </c>
      <c r="T1314" s="59">
        <f t="shared" si="1"/>
        <v>0</v>
      </c>
    </row>
    <row r="1315" ht="22.5" customHeight="1">
      <c r="M1315" s="59">
        <f>SUMIFS(Eventos!$G:$G,Eventos!$F:$F,$L1315,Eventos!$D:$D,$C$2,Eventos!$B:$B,PANES_SEMANALES[[#ALL],[LUNES]])</f>
        <v>0</v>
      </c>
      <c r="N1315" s="59">
        <f>SUMIFS(Eventos!$G:$G,Eventos!$F:$F,$L1315,Eventos!$D:$D,$C$2,Eventos!$B:$B,PANES_SEMANALES[[#ALL],[MARTES]])</f>
        <v>0</v>
      </c>
      <c r="O1315" s="59">
        <f>SUMIFS(Eventos!$G:$G,Eventos!$F:$F,$L1315,Eventos!$D:$D,$C$2,Eventos!$B:$B,PANES_SEMANALES[[#ALL],[MIÉRCOLES]])</f>
        <v>0</v>
      </c>
      <c r="P1315" s="59">
        <f>SUMIFS(Eventos!$G:$G,Eventos!$F:$F,$L1315,Eventos!$D:$D,$C$2,Eventos!$B:$B,PANES_SEMANALES[[#ALL],[JUEVES]])</f>
        <v>0</v>
      </c>
      <c r="Q1315" s="59">
        <f>IF(P1315&lt;&gt;"",SUMIFS(Eventos!$G:$G,Eventos!$B:$B,Q$2,Eventos!$D:$D,$C$2,Eventos!$F:$F,$L1315),"")</f>
        <v>0</v>
      </c>
      <c r="R1315" s="59">
        <f>SUMIFS(Eventos!$G:$G,Eventos!$F:$F,$L1315,Eventos!$D:$D,$C$2,Eventos!$B:$B,PANES_SEMANALES[[#ALL],[SÁBADO]])</f>
        <v>0</v>
      </c>
      <c r="S1315" s="59">
        <f>SUMIFS(Eventos!$G:$G,Eventos!$F:$F,$L1315,Eventos!$D:$D,$C$2,Eventos!$B:$B,PANES_SEMANALES[[#ALL],[DOMINGO]])</f>
        <v>0</v>
      </c>
      <c r="T1315" s="59">
        <f t="shared" si="1"/>
        <v>0</v>
      </c>
    </row>
    <row r="1316" ht="22.5" customHeight="1">
      <c r="M1316" s="59">
        <f>SUMIFS(Eventos!$G:$G,Eventos!$F:$F,$L1316,Eventos!$D:$D,$C$2,Eventos!$B:$B,PANES_SEMANALES[[#ALL],[LUNES]])</f>
        <v>0</v>
      </c>
      <c r="N1316" s="59">
        <f>SUMIFS(Eventos!$G:$G,Eventos!$F:$F,$L1316,Eventos!$D:$D,$C$2,Eventos!$B:$B,PANES_SEMANALES[[#ALL],[MARTES]])</f>
        <v>0</v>
      </c>
      <c r="O1316" s="59">
        <f>SUMIFS(Eventos!$G:$G,Eventos!$F:$F,$L1316,Eventos!$D:$D,$C$2,Eventos!$B:$B,PANES_SEMANALES[[#ALL],[MIÉRCOLES]])</f>
        <v>0</v>
      </c>
      <c r="P1316" s="59">
        <f>SUMIFS(Eventos!$G:$G,Eventos!$F:$F,$L1316,Eventos!$D:$D,$C$2,Eventos!$B:$B,PANES_SEMANALES[[#ALL],[JUEVES]])</f>
        <v>0</v>
      </c>
      <c r="Q1316" s="59">
        <f>IF(P1316&lt;&gt;"",SUMIFS(Eventos!$G:$G,Eventos!$B:$B,Q$2,Eventos!$D:$D,$C$2,Eventos!$F:$F,$L1316),"")</f>
        <v>0</v>
      </c>
      <c r="R1316" s="59">
        <f>SUMIFS(Eventos!$G:$G,Eventos!$F:$F,$L1316,Eventos!$D:$D,$C$2,Eventos!$B:$B,PANES_SEMANALES[[#ALL],[SÁBADO]])</f>
        <v>0</v>
      </c>
      <c r="S1316" s="59">
        <f>SUMIFS(Eventos!$G:$G,Eventos!$F:$F,$L1316,Eventos!$D:$D,$C$2,Eventos!$B:$B,PANES_SEMANALES[[#ALL],[DOMINGO]])</f>
        <v>0</v>
      </c>
      <c r="T1316" s="59">
        <f t="shared" si="1"/>
        <v>0</v>
      </c>
    </row>
    <row r="1317" ht="22.5" customHeight="1">
      <c r="M1317" s="59">
        <f>SUMIFS(Eventos!$G:$G,Eventos!$F:$F,$L1317,Eventos!$D:$D,$C$2,Eventos!$B:$B,PANES_SEMANALES[[#ALL],[LUNES]])</f>
        <v>0</v>
      </c>
      <c r="N1317" s="59">
        <f>SUMIFS(Eventos!$G:$G,Eventos!$F:$F,$L1317,Eventos!$D:$D,$C$2,Eventos!$B:$B,PANES_SEMANALES[[#ALL],[MARTES]])</f>
        <v>0</v>
      </c>
      <c r="O1317" s="59">
        <f>SUMIFS(Eventos!$G:$G,Eventos!$F:$F,$L1317,Eventos!$D:$D,$C$2,Eventos!$B:$B,PANES_SEMANALES[[#ALL],[MIÉRCOLES]])</f>
        <v>0</v>
      </c>
      <c r="P1317" s="59">
        <f>SUMIFS(Eventos!$G:$G,Eventos!$F:$F,$L1317,Eventos!$D:$D,$C$2,Eventos!$B:$B,PANES_SEMANALES[[#ALL],[JUEVES]])</f>
        <v>0</v>
      </c>
      <c r="Q1317" s="59">
        <f>IF(P1317&lt;&gt;"",SUMIFS(Eventos!$G:$G,Eventos!$B:$B,Q$2,Eventos!$D:$D,$C$2,Eventos!$F:$F,$L1317),"")</f>
        <v>0</v>
      </c>
      <c r="R1317" s="59">
        <f>SUMIFS(Eventos!$G:$G,Eventos!$F:$F,$L1317,Eventos!$D:$D,$C$2,Eventos!$B:$B,PANES_SEMANALES[[#ALL],[SÁBADO]])</f>
        <v>0</v>
      </c>
      <c r="S1317" s="59">
        <f>SUMIFS(Eventos!$G:$G,Eventos!$F:$F,$L1317,Eventos!$D:$D,$C$2,Eventos!$B:$B,PANES_SEMANALES[[#ALL],[DOMINGO]])</f>
        <v>0</v>
      </c>
      <c r="T1317" s="59">
        <f t="shared" si="1"/>
        <v>0</v>
      </c>
    </row>
    <row r="1318" ht="22.5" customHeight="1">
      <c r="M1318" s="59">
        <f>SUMIFS(Eventos!$G:$G,Eventos!$F:$F,$L1318,Eventos!$D:$D,$C$2,Eventos!$B:$B,PANES_SEMANALES[[#ALL],[LUNES]])</f>
        <v>0</v>
      </c>
      <c r="N1318" s="59">
        <f>SUMIFS(Eventos!$G:$G,Eventos!$F:$F,$L1318,Eventos!$D:$D,$C$2,Eventos!$B:$B,PANES_SEMANALES[[#ALL],[MARTES]])</f>
        <v>0</v>
      </c>
      <c r="O1318" s="59">
        <f>SUMIFS(Eventos!$G:$G,Eventos!$F:$F,$L1318,Eventos!$D:$D,$C$2,Eventos!$B:$B,PANES_SEMANALES[[#ALL],[MIÉRCOLES]])</f>
        <v>0</v>
      </c>
      <c r="P1318" s="59">
        <f>SUMIFS(Eventos!$G:$G,Eventos!$F:$F,$L1318,Eventos!$D:$D,$C$2,Eventos!$B:$B,PANES_SEMANALES[[#ALL],[JUEVES]])</f>
        <v>0</v>
      </c>
      <c r="Q1318" s="59">
        <f>IF(P1318&lt;&gt;"",SUMIFS(Eventos!$G:$G,Eventos!$B:$B,Q$2,Eventos!$D:$D,$C$2,Eventos!$F:$F,$L1318),"")</f>
        <v>0</v>
      </c>
      <c r="R1318" s="59">
        <f>SUMIFS(Eventos!$G:$G,Eventos!$F:$F,$L1318,Eventos!$D:$D,$C$2,Eventos!$B:$B,PANES_SEMANALES[[#ALL],[SÁBADO]])</f>
        <v>0</v>
      </c>
      <c r="S1318" s="59">
        <f>SUMIFS(Eventos!$G:$G,Eventos!$F:$F,$L1318,Eventos!$D:$D,$C$2,Eventos!$B:$B,PANES_SEMANALES[[#ALL],[DOMINGO]])</f>
        <v>0</v>
      </c>
      <c r="T1318" s="59">
        <f t="shared" si="1"/>
        <v>0</v>
      </c>
    </row>
    <row r="1319" ht="22.5" customHeight="1">
      <c r="M1319" s="59">
        <f>SUMIFS(Eventos!$G:$G,Eventos!$F:$F,$L1319,Eventos!$D:$D,$C$2,Eventos!$B:$B,PANES_SEMANALES[[#ALL],[LUNES]])</f>
        <v>0</v>
      </c>
      <c r="N1319" s="59">
        <f>SUMIFS(Eventos!$G:$G,Eventos!$F:$F,$L1319,Eventos!$D:$D,$C$2,Eventos!$B:$B,PANES_SEMANALES[[#ALL],[MARTES]])</f>
        <v>0</v>
      </c>
      <c r="O1319" s="59">
        <f>SUMIFS(Eventos!$G:$G,Eventos!$F:$F,$L1319,Eventos!$D:$D,$C$2,Eventos!$B:$B,PANES_SEMANALES[[#ALL],[MIÉRCOLES]])</f>
        <v>0</v>
      </c>
      <c r="P1319" s="59">
        <f>SUMIFS(Eventos!$G:$G,Eventos!$F:$F,$L1319,Eventos!$D:$D,$C$2,Eventos!$B:$B,PANES_SEMANALES[[#ALL],[JUEVES]])</f>
        <v>0</v>
      </c>
      <c r="Q1319" s="59">
        <f>IF(P1319&lt;&gt;"",SUMIFS(Eventos!$G:$G,Eventos!$B:$B,Q$2,Eventos!$D:$D,$C$2,Eventos!$F:$F,$L1319),"")</f>
        <v>0</v>
      </c>
      <c r="R1319" s="59">
        <f>SUMIFS(Eventos!$G:$G,Eventos!$F:$F,$L1319,Eventos!$D:$D,$C$2,Eventos!$B:$B,PANES_SEMANALES[[#ALL],[SÁBADO]])</f>
        <v>0</v>
      </c>
      <c r="S1319" s="59">
        <f>SUMIFS(Eventos!$G:$G,Eventos!$F:$F,$L1319,Eventos!$D:$D,$C$2,Eventos!$B:$B,PANES_SEMANALES[[#ALL],[DOMINGO]])</f>
        <v>0</v>
      </c>
      <c r="T1319" s="59">
        <f t="shared" si="1"/>
        <v>0</v>
      </c>
    </row>
    <row r="1320" ht="22.5" customHeight="1">
      <c r="M1320" s="59">
        <f>SUMIFS(Eventos!$G:$G,Eventos!$F:$F,$L1320,Eventos!$D:$D,$C$2,Eventos!$B:$B,PANES_SEMANALES[[#ALL],[LUNES]])</f>
        <v>0</v>
      </c>
      <c r="N1320" s="59">
        <f>SUMIFS(Eventos!$G:$G,Eventos!$F:$F,$L1320,Eventos!$D:$D,$C$2,Eventos!$B:$B,PANES_SEMANALES[[#ALL],[MARTES]])</f>
        <v>0</v>
      </c>
      <c r="O1320" s="59">
        <f>SUMIFS(Eventos!$G:$G,Eventos!$F:$F,$L1320,Eventos!$D:$D,$C$2,Eventos!$B:$B,PANES_SEMANALES[[#ALL],[MIÉRCOLES]])</f>
        <v>0</v>
      </c>
      <c r="P1320" s="59">
        <f>SUMIFS(Eventos!$G:$G,Eventos!$F:$F,$L1320,Eventos!$D:$D,$C$2,Eventos!$B:$B,PANES_SEMANALES[[#ALL],[JUEVES]])</f>
        <v>0</v>
      </c>
      <c r="Q1320" s="59">
        <f>IF(P1320&lt;&gt;"",SUMIFS(Eventos!$G:$G,Eventos!$B:$B,Q$2,Eventos!$D:$D,$C$2,Eventos!$F:$F,$L1320),"")</f>
        <v>0</v>
      </c>
      <c r="R1320" s="59">
        <f>SUMIFS(Eventos!$G:$G,Eventos!$F:$F,$L1320,Eventos!$D:$D,$C$2,Eventos!$B:$B,PANES_SEMANALES[[#ALL],[SÁBADO]])</f>
        <v>0</v>
      </c>
      <c r="S1320" s="59">
        <f>SUMIFS(Eventos!$G:$G,Eventos!$F:$F,$L1320,Eventos!$D:$D,$C$2,Eventos!$B:$B,PANES_SEMANALES[[#ALL],[DOMINGO]])</f>
        <v>0</v>
      </c>
      <c r="T1320" s="59">
        <f t="shared" si="1"/>
        <v>0</v>
      </c>
    </row>
    <row r="1321" ht="22.5" customHeight="1">
      <c r="M1321" s="59">
        <f>SUMIFS(Eventos!$G:$G,Eventos!$F:$F,$L1321,Eventos!$D:$D,$C$2,Eventos!$B:$B,PANES_SEMANALES[[#ALL],[LUNES]])</f>
        <v>0</v>
      </c>
      <c r="N1321" s="59">
        <f>SUMIFS(Eventos!$G:$G,Eventos!$F:$F,$L1321,Eventos!$D:$D,$C$2,Eventos!$B:$B,PANES_SEMANALES[[#ALL],[MARTES]])</f>
        <v>0</v>
      </c>
      <c r="O1321" s="59">
        <f>SUMIFS(Eventos!$G:$G,Eventos!$F:$F,$L1321,Eventos!$D:$D,$C$2,Eventos!$B:$B,PANES_SEMANALES[[#ALL],[MIÉRCOLES]])</f>
        <v>0</v>
      </c>
      <c r="P1321" s="59">
        <f>SUMIFS(Eventos!$G:$G,Eventos!$F:$F,$L1321,Eventos!$D:$D,$C$2,Eventos!$B:$B,PANES_SEMANALES[[#ALL],[JUEVES]])</f>
        <v>0</v>
      </c>
      <c r="Q1321" s="59">
        <f>IF(P1321&lt;&gt;"",SUMIFS(Eventos!$G:$G,Eventos!$B:$B,Q$2,Eventos!$D:$D,$C$2,Eventos!$F:$F,$L1321),"")</f>
        <v>0</v>
      </c>
      <c r="R1321" s="59">
        <f>SUMIFS(Eventos!$G:$G,Eventos!$F:$F,$L1321,Eventos!$D:$D,$C$2,Eventos!$B:$B,PANES_SEMANALES[[#ALL],[SÁBADO]])</f>
        <v>0</v>
      </c>
      <c r="S1321" s="59">
        <f>SUMIFS(Eventos!$G:$G,Eventos!$F:$F,$L1321,Eventos!$D:$D,$C$2,Eventos!$B:$B,PANES_SEMANALES[[#ALL],[DOMINGO]])</f>
        <v>0</v>
      </c>
      <c r="T1321" s="59">
        <f t="shared" si="1"/>
        <v>0</v>
      </c>
    </row>
    <row r="1322" ht="22.5" customHeight="1">
      <c r="M1322" s="59">
        <f>SUMIFS(Eventos!$G:$G,Eventos!$F:$F,$L1322,Eventos!$D:$D,$C$2,Eventos!$B:$B,PANES_SEMANALES[[#ALL],[LUNES]])</f>
        <v>0</v>
      </c>
      <c r="N1322" s="59">
        <f>SUMIFS(Eventos!$G:$G,Eventos!$F:$F,$L1322,Eventos!$D:$D,$C$2,Eventos!$B:$B,PANES_SEMANALES[[#ALL],[MARTES]])</f>
        <v>0</v>
      </c>
      <c r="O1322" s="59">
        <f>SUMIFS(Eventos!$G:$G,Eventos!$F:$F,$L1322,Eventos!$D:$D,$C$2,Eventos!$B:$B,PANES_SEMANALES[[#ALL],[MIÉRCOLES]])</f>
        <v>0</v>
      </c>
      <c r="P1322" s="59">
        <f>SUMIFS(Eventos!$G:$G,Eventos!$F:$F,$L1322,Eventos!$D:$D,$C$2,Eventos!$B:$B,PANES_SEMANALES[[#ALL],[JUEVES]])</f>
        <v>0</v>
      </c>
      <c r="Q1322" s="59">
        <f>IF(P1322&lt;&gt;"",SUMIFS(Eventos!$G:$G,Eventos!$B:$B,Q$2,Eventos!$D:$D,$C$2,Eventos!$F:$F,$L1322),"")</f>
        <v>0</v>
      </c>
      <c r="R1322" s="59">
        <f>SUMIFS(Eventos!$G:$G,Eventos!$F:$F,$L1322,Eventos!$D:$D,$C$2,Eventos!$B:$B,PANES_SEMANALES[[#ALL],[SÁBADO]])</f>
        <v>0</v>
      </c>
      <c r="S1322" s="59">
        <f>SUMIFS(Eventos!$G:$G,Eventos!$F:$F,$L1322,Eventos!$D:$D,$C$2,Eventos!$B:$B,PANES_SEMANALES[[#ALL],[DOMINGO]])</f>
        <v>0</v>
      </c>
      <c r="T1322" s="59">
        <f t="shared" si="1"/>
        <v>0</v>
      </c>
    </row>
    <row r="1323" ht="22.5" customHeight="1">
      <c r="M1323" s="59">
        <f>SUMIFS(Eventos!$G:$G,Eventos!$F:$F,$L1323,Eventos!$D:$D,$C$2,Eventos!$B:$B,PANES_SEMANALES[[#ALL],[LUNES]])</f>
        <v>0</v>
      </c>
      <c r="N1323" s="59">
        <f>SUMIFS(Eventos!$G:$G,Eventos!$F:$F,$L1323,Eventos!$D:$D,$C$2,Eventos!$B:$B,PANES_SEMANALES[[#ALL],[MARTES]])</f>
        <v>0</v>
      </c>
      <c r="O1323" s="59">
        <f>SUMIFS(Eventos!$G:$G,Eventos!$F:$F,$L1323,Eventos!$D:$D,$C$2,Eventos!$B:$B,PANES_SEMANALES[[#ALL],[MIÉRCOLES]])</f>
        <v>0</v>
      </c>
      <c r="P1323" s="59">
        <f>SUMIFS(Eventos!$G:$G,Eventos!$F:$F,$L1323,Eventos!$D:$D,$C$2,Eventos!$B:$B,PANES_SEMANALES[[#ALL],[JUEVES]])</f>
        <v>0</v>
      </c>
      <c r="Q1323" s="59">
        <f>IF(P1323&lt;&gt;"",SUMIFS(Eventos!$G:$G,Eventos!$B:$B,Q$2,Eventos!$D:$D,$C$2,Eventos!$F:$F,$L1323),"")</f>
        <v>0</v>
      </c>
      <c r="R1323" s="59">
        <f>SUMIFS(Eventos!$G:$G,Eventos!$F:$F,$L1323,Eventos!$D:$D,$C$2,Eventos!$B:$B,PANES_SEMANALES[[#ALL],[SÁBADO]])</f>
        <v>0</v>
      </c>
      <c r="S1323" s="59">
        <f>SUMIFS(Eventos!$G:$G,Eventos!$F:$F,$L1323,Eventos!$D:$D,$C$2,Eventos!$B:$B,PANES_SEMANALES[[#ALL],[DOMINGO]])</f>
        <v>0</v>
      </c>
      <c r="T1323" s="59">
        <f t="shared" si="1"/>
        <v>0</v>
      </c>
    </row>
    <row r="1324" ht="22.5" customHeight="1">
      <c r="M1324" s="59">
        <f>SUMIFS(Eventos!$G:$G,Eventos!$F:$F,$L1324,Eventos!$D:$D,$C$2,Eventos!$B:$B,PANES_SEMANALES[[#ALL],[LUNES]])</f>
        <v>0</v>
      </c>
      <c r="N1324" s="59">
        <f>SUMIFS(Eventos!$G:$G,Eventos!$F:$F,$L1324,Eventos!$D:$D,$C$2,Eventos!$B:$B,PANES_SEMANALES[[#ALL],[MARTES]])</f>
        <v>0</v>
      </c>
      <c r="O1324" s="59">
        <f>SUMIFS(Eventos!$G:$G,Eventos!$F:$F,$L1324,Eventos!$D:$D,$C$2,Eventos!$B:$B,PANES_SEMANALES[[#ALL],[MIÉRCOLES]])</f>
        <v>0</v>
      </c>
      <c r="P1324" s="59">
        <f>SUMIFS(Eventos!$G:$G,Eventos!$F:$F,$L1324,Eventos!$D:$D,$C$2,Eventos!$B:$B,PANES_SEMANALES[[#ALL],[JUEVES]])</f>
        <v>0</v>
      </c>
      <c r="Q1324" s="59">
        <f>IF(P1324&lt;&gt;"",SUMIFS(Eventos!$G:$G,Eventos!$B:$B,Q$2,Eventos!$D:$D,$C$2,Eventos!$F:$F,$L1324),"")</f>
        <v>0</v>
      </c>
      <c r="R1324" s="59">
        <f>SUMIFS(Eventos!$G:$G,Eventos!$F:$F,$L1324,Eventos!$D:$D,$C$2,Eventos!$B:$B,PANES_SEMANALES[[#ALL],[SÁBADO]])</f>
        <v>0</v>
      </c>
      <c r="S1324" s="59">
        <f>SUMIFS(Eventos!$G:$G,Eventos!$F:$F,$L1324,Eventos!$D:$D,$C$2,Eventos!$B:$B,PANES_SEMANALES[[#ALL],[DOMINGO]])</f>
        <v>0</v>
      </c>
      <c r="T1324" s="59">
        <f t="shared" si="1"/>
        <v>0</v>
      </c>
    </row>
    <row r="1325" ht="22.5" customHeight="1">
      <c r="M1325" s="59">
        <f>SUMIFS(Eventos!$G:$G,Eventos!$F:$F,$L1325,Eventos!$D:$D,$C$2,Eventos!$B:$B,PANES_SEMANALES[[#ALL],[LUNES]])</f>
        <v>0</v>
      </c>
      <c r="N1325" s="59">
        <f>SUMIFS(Eventos!$G:$G,Eventos!$F:$F,$L1325,Eventos!$D:$D,$C$2,Eventos!$B:$B,PANES_SEMANALES[[#ALL],[MARTES]])</f>
        <v>0</v>
      </c>
      <c r="O1325" s="59">
        <f>SUMIFS(Eventos!$G:$G,Eventos!$F:$F,$L1325,Eventos!$D:$D,$C$2,Eventos!$B:$B,PANES_SEMANALES[[#ALL],[MIÉRCOLES]])</f>
        <v>0</v>
      </c>
      <c r="P1325" s="59">
        <f>SUMIFS(Eventos!$G:$G,Eventos!$F:$F,$L1325,Eventos!$D:$D,$C$2,Eventos!$B:$B,PANES_SEMANALES[[#ALL],[JUEVES]])</f>
        <v>0</v>
      </c>
      <c r="Q1325" s="59">
        <f>IF(P1325&lt;&gt;"",SUMIFS(Eventos!$G:$G,Eventos!$B:$B,Q$2,Eventos!$D:$D,$C$2,Eventos!$F:$F,$L1325),"")</f>
        <v>0</v>
      </c>
      <c r="R1325" s="59">
        <f>SUMIFS(Eventos!$G:$G,Eventos!$F:$F,$L1325,Eventos!$D:$D,$C$2,Eventos!$B:$B,PANES_SEMANALES[[#ALL],[SÁBADO]])</f>
        <v>0</v>
      </c>
      <c r="S1325" s="59">
        <f>SUMIFS(Eventos!$G:$G,Eventos!$F:$F,$L1325,Eventos!$D:$D,$C$2,Eventos!$B:$B,PANES_SEMANALES[[#ALL],[DOMINGO]])</f>
        <v>0</v>
      </c>
      <c r="T1325" s="59">
        <f t="shared" si="1"/>
        <v>0</v>
      </c>
    </row>
    <row r="1326" ht="22.5" customHeight="1">
      <c r="M1326" s="59">
        <f>SUMIFS(Eventos!$G:$G,Eventos!$F:$F,$L1326,Eventos!$D:$D,$C$2,Eventos!$B:$B,PANES_SEMANALES[[#ALL],[LUNES]])</f>
        <v>0</v>
      </c>
      <c r="N1326" s="59">
        <f>SUMIFS(Eventos!$G:$G,Eventos!$F:$F,$L1326,Eventos!$D:$D,$C$2,Eventos!$B:$B,PANES_SEMANALES[[#ALL],[MARTES]])</f>
        <v>0</v>
      </c>
      <c r="O1326" s="59">
        <f>SUMIFS(Eventos!$G:$G,Eventos!$F:$F,$L1326,Eventos!$D:$D,$C$2,Eventos!$B:$B,PANES_SEMANALES[[#ALL],[MIÉRCOLES]])</f>
        <v>0</v>
      </c>
      <c r="P1326" s="59">
        <f>SUMIFS(Eventos!$G:$G,Eventos!$F:$F,$L1326,Eventos!$D:$D,$C$2,Eventos!$B:$B,PANES_SEMANALES[[#ALL],[JUEVES]])</f>
        <v>0</v>
      </c>
      <c r="Q1326" s="59">
        <f>IF(P1326&lt;&gt;"",SUMIFS(Eventos!$G:$G,Eventos!$B:$B,Q$2,Eventos!$D:$D,$C$2,Eventos!$F:$F,$L1326),"")</f>
        <v>0</v>
      </c>
      <c r="R1326" s="59">
        <f>SUMIFS(Eventos!$G:$G,Eventos!$F:$F,$L1326,Eventos!$D:$D,$C$2,Eventos!$B:$B,PANES_SEMANALES[[#ALL],[SÁBADO]])</f>
        <v>0</v>
      </c>
      <c r="S1326" s="59">
        <f>SUMIFS(Eventos!$G:$G,Eventos!$F:$F,$L1326,Eventos!$D:$D,$C$2,Eventos!$B:$B,PANES_SEMANALES[[#ALL],[DOMINGO]])</f>
        <v>0</v>
      </c>
      <c r="T1326" s="59">
        <f t="shared" si="1"/>
        <v>0</v>
      </c>
    </row>
    <row r="1327" ht="22.5" customHeight="1">
      <c r="M1327" s="59">
        <f>SUMIFS(Eventos!$G:$G,Eventos!$F:$F,$L1327,Eventos!$D:$D,$C$2,Eventos!$B:$B,PANES_SEMANALES[[#ALL],[LUNES]])</f>
        <v>0</v>
      </c>
      <c r="N1327" s="59">
        <f>SUMIFS(Eventos!$G:$G,Eventos!$F:$F,$L1327,Eventos!$D:$D,$C$2,Eventos!$B:$B,PANES_SEMANALES[[#ALL],[MARTES]])</f>
        <v>0</v>
      </c>
      <c r="O1327" s="59">
        <f>SUMIFS(Eventos!$G:$G,Eventos!$F:$F,$L1327,Eventos!$D:$D,$C$2,Eventos!$B:$B,PANES_SEMANALES[[#ALL],[MIÉRCOLES]])</f>
        <v>0</v>
      </c>
      <c r="P1327" s="59">
        <f>SUMIFS(Eventos!$G:$G,Eventos!$F:$F,$L1327,Eventos!$D:$D,$C$2,Eventos!$B:$B,PANES_SEMANALES[[#ALL],[JUEVES]])</f>
        <v>0</v>
      </c>
      <c r="Q1327" s="59">
        <f>IF(P1327&lt;&gt;"",SUMIFS(Eventos!$G:$G,Eventos!$B:$B,Q$2,Eventos!$D:$D,$C$2,Eventos!$F:$F,$L1327),"")</f>
        <v>0</v>
      </c>
      <c r="R1327" s="59">
        <f>SUMIFS(Eventos!$G:$G,Eventos!$F:$F,$L1327,Eventos!$D:$D,$C$2,Eventos!$B:$B,PANES_SEMANALES[[#ALL],[SÁBADO]])</f>
        <v>0</v>
      </c>
      <c r="S1327" s="59">
        <f>SUMIFS(Eventos!$G:$G,Eventos!$F:$F,$L1327,Eventos!$D:$D,$C$2,Eventos!$B:$B,PANES_SEMANALES[[#ALL],[DOMINGO]])</f>
        <v>0</v>
      </c>
      <c r="T1327" s="59">
        <f t="shared" si="1"/>
        <v>0</v>
      </c>
    </row>
    <row r="1328" ht="22.5" customHeight="1">
      <c r="M1328" s="59">
        <f>SUMIFS(Eventos!$G:$G,Eventos!$F:$F,$L1328,Eventos!$D:$D,$C$2,Eventos!$B:$B,PANES_SEMANALES[[#ALL],[LUNES]])</f>
        <v>0</v>
      </c>
      <c r="N1328" s="59">
        <f>SUMIFS(Eventos!$G:$G,Eventos!$F:$F,$L1328,Eventos!$D:$D,$C$2,Eventos!$B:$B,PANES_SEMANALES[[#ALL],[MARTES]])</f>
        <v>0</v>
      </c>
      <c r="O1328" s="59">
        <f>SUMIFS(Eventos!$G:$G,Eventos!$F:$F,$L1328,Eventos!$D:$D,$C$2,Eventos!$B:$B,PANES_SEMANALES[[#ALL],[MIÉRCOLES]])</f>
        <v>0</v>
      </c>
      <c r="P1328" s="59">
        <f>SUMIFS(Eventos!$G:$G,Eventos!$F:$F,$L1328,Eventos!$D:$D,$C$2,Eventos!$B:$B,PANES_SEMANALES[[#ALL],[JUEVES]])</f>
        <v>0</v>
      </c>
      <c r="Q1328" s="59">
        <f>IF(P1328&lt;&gt;"",SUMIFS(Eventos!$G:$G,Eventos!$B:$B,Q$2,Eventos!$D:$D,$C$2,Eventos!$F:$F,$L1328),"")</f>
        <v>0</v>
      </c>
      <c r="R1328" s="59">
        <f>SUMIFS(Eventos!$G:$G,Eventos!$F:$F,$L1328,Eventos!$D:$D,$C$2,Eventos!$B:$B,PANES_SEMANALES[[#ALL],[SÁBADO]])</f>
        <v>0</v>
      </c>
      <c r="S1328" s="59">
        <f>SUMIFS(Eventos!$G:$G,Eventos!$F:$F,$L1328,Eventos!$D:$D,$C$2,Eventos!$B:$B,PANES_SEMANALES[[#ALL],[DOMINGO]])</f>
        <v>0</v>
      </c>
      <c r="T1328" s="59">
        <f t="shared" si="1"/>
        <v>0</v>
      </c>
    </row>
    <row r="1329" ht="22.5" customHeight="1">
      <c r="M1329" s="59">
        <f>SUMIFS(Eventos!$G:$G,Eventos!$F:$F,$L1329,Eventos!$D:$D,$C$2,Eventos!$B:$B,PANES_SEMANALES[[#ALL],[LUNES]])</f>
        <v>0</v>
      </c>
      <c r="N1329" s="59">
        <f>SUMIFS(Eventos!$G:$G,Eventos!$F:$F,$L1329,Eventos!$D:$D,$C$2,Eventos!$B:$B,PANES_SEMANALES[[#ALL],[MARTES]])</f>
        <v>0</v>
      </c>
      <c r="O1329" s="59">
        <f>SUMIFS(Eventos!$G:$G,Eventos!$F:$F,$L1329,Eventos!$D:$D,$C$2,Eventos!$B:$B,PANES_SEMANALES[[#ALL],[MIÉRCOLES]])</f>
        <v>0</v>
      </c>
      <c r="P1329" s="59">
        <f>SUMIFS(Eventos!$G:$G,Eventos!$F:$F,$L1329,Eventos!$D:$D,$C$2,Eventos!$B:$B,PANES_SEMANALES[[#ALL],[JUEVES]])</f>
        <v>0</v>
      </c>
      <c r="Q1329" s="59">
        <f>IF(P1329&lt;&gt;"",SUMIFS(Eventos!$G:$G,Eventos!$B:$B,Q$2,Eventos!$D:$D,$C$2,Eventos!$F:$F,$L1329),"")</f>
        <v>0</v>
      </c>
      <c r="R1329" s="59">
        <f>SUMIFS(Eventos!$G:$G,Eventos!$F:$F,$L1329,Eventos!$D:$D,$C$2,Eventos!$B:$B,PANES_SEMANALES[[#ALL],[SÁBADO]])</f>
        <v>0</v>
      </c>
      <c r="S1329" s="59">
        <f>SUMIFS(Eventos!$G:$G,Eventos!$F:$F,$L1329,Eventos!$D:$D,$C$2,Eventos!$B:$B,PANES_SEMANALES[[#ALL],[DOMINGO]])</f>
        <v>0</v>
      </c>
      <c r="T1329" s="59">
        <f t="shared" si="1"/>
        <v>0</v>
      </c>
    </row>
    <row r="1330" ht="22.5" customHeight="1">
      <c r="M1330" s="59">
        <f>SUMIFS(Eventos!$G:$G,Eventos!$F:$F,$L1330,Eventos!$D:$D,$C$2,Eventos!$B:$B,PANES_SEMANALES[[#ALL],[LUNES]])</f>
        <v>0</v>
      </c>
      <c r="N1330" s="59">
        <f>SUMIFS(Eventos!$G:$G,Eventos!$F:$F,$L1330,Eventos!$D:$D,$C$2,Eventos!$B:$B,PANES_SEMANALES[[#ALL],[MARTES]])</f>
        <v>0</v>
      </c>
      <c r="O1330" s="59">
        <f>SUMIFS(Eventos!$G:$G,Eventos!$F:$F,$L1330,Eventos!$D:$D,$C$2,Eventos!$B:$B,PANES_SEMANALES[[#ALL],[MIÉRCOLES]])</f>
        <v>0</v>
      </c>
      <c r="P1330" s="59">
        <f>SUMIFS(Eventos!$G:$G,Eventos!$F:$F,$L1330,Eventos!$D:$D,$C$2,Eventos!$B:$B,PANES_SEMANALES[[#ALL],[JUEVES]])</f>
        <v>0</v>
      </c>
      <c r="Q1330" s="59">
        <f>IF(P1330&lt;&gt;"",SUMIFS(Eventos!$G:$G,Eventos!$B:$B,Q$2,Eventos!$D:$D,$C$2,Eventos!$F:$F,$L1330),"")</f>
        <v>0</v>
      </c>
      <c r="R1330" s="59">
        <f>SUMIFS(Eventos!$G:$G,Eventos!$F:$F,$L1330,Eventos!$D:$D,$C$2,Eventos!$B:$B,PANES_SEMANALES[[#ALL],[SÁBADO]])</f>
        <v>0</v>
      </c>
      <c r="S1330" s="59">
        <f>SUMIFS(Eventos!$G:$G,Eventos!$F:$F,$L1330,Eventos!$D:$D,$C$2,Eventos!$B:$B,PANES_SEMANALES[[#ALL],[DOMINGO]])</f>
        <v>0</v>
      </c>
      <c r="T1330" s="59">
        <f t="shared" si="1"/>
        <v>0</v>
      </c>
    </row>
    <row r="1331" ht="22.5" customHeight="1">
      <c r="M1331" s="59">
        <f>SUMIFS(Eventos!$G:$G,Eventos!$F:$F,$L1331,Eventos!$D:$D,$C$2,Eventos!$B:$B,PANES_SEMANALES[[#ALL],[LUNES]])</f>
        <v>0</v>
      </c>
      <c r="N1331" s="59">
        <f>SUMIFS(Eventos!$G:$G,Eventos!$F:$F,$L1331,Eventos!$D:$D,$C$2,Eventos!$B:$B,PANES_SEMANALES[[#ALL],[MARTES]])</f>
        <v>0</v>
      </c>
      <c r="O1331" s="59">
        <f>SUMIFS(Eventos!$G:$G,Eventos!$F:$F,$L1331,Eventos!$D:$D,$C$2,Eventos!$B:$B,PANES_SEMANALES[[#ALL],[MIÉRCOLES]])</f>
        <v>0</v>
      </c>
      <c r="P1331" s="59">
        <f>SUMIFS(Eventos!$G:$G,Eventos!$F:$F,$L1331,Eventos!$D:$D,$C$2,Eventos!$B:$B,PANES_SEMANALES[[#ALL],[JUEVES]])</f>
        <v>0</v>
      </c>
      <c r="Q1331" s="59">
        <f>IF(P1331&lt;&gt;"",SUMIFS(Eventos!$G:$G,Eventos!$B:$B,Q$2,Eventos!$D:$D,$C$2,Eventos!$F:$F,$L1331),"")</f>
        <v>0</v>
      </c>
      <c r="R1331" s="59">
        <f>SUMIFS(Eventos!$G:$G,Eventos!$F:$F,$L1331,Eventos!$D:$D,$C$2,Eventos!$B:$B,PANES_SEMANALES[[#ALL],[SÁBADO]])</f>
        <v>0</v>
      </c>
      <c r="S1331" s="59">
        <f>SUMIFS(Eventos!$G:$G,Eventos!$F:$F,$L1331,Eventos!$D:$D,$C$2,Eventos!$B:$B,PANES_SEMANALES[[#ALL],[DOMINGO]])</f>
        <v>0</v>
      </c>
      <c r="T1331" s="59">
        <f t="shared" si="1"/>
        <v>0</v>
      </c>
    </row>
    <row r="1332" ht="22.5" customHeight="1">
      <c r="M1332" s="59">
        <f>SUMIFS(Eventos!$G:$G,Eventos!$F:$F,$L1332,Eventos!$D:$D,$C$2,Eventos!$B:$B,PANES_SEMANALES[[#ALL],[LUNES]])</f>
        <v>0</v>
      </c>
      <c r="N1332" s="59">
        <f>SUMIFS(Eventos!$G:$G,Eventos!$F:$F,$L1332,Eventos!$D:$D,$C$2,Eventos!$B:$B,PANES_SEMANALES[[#ALL],[MARTES]])</f>
        <v>0</v>
      </c>
      <c r="O1332" s="59">
        <f>SUMIFS(Eventos!$G:$G,Eventos!$F:$F,$L1332,Eventos!$D:$D,$C$2,Eventos!$B:$B,PANES_SEMANALES[[#ALL],[MIÉRCOLES]])</f>
        <v>0</v>
      </c>
      <c r="P1332" s="59">
        <f>SUMIFS(Eventos!$G:$G,Eventos!$F:$F,$L1332,Eventos!$D:$D,$C$2,Eventos!$B:$B,PANES_SEMANALES[[#ALL],[JUEVES]])</f>
        <v>0</v>
      </c>
      <c r="Q1332" s="59">
        <f>IF(P1332&lt;&gt;"",SUMIFS(Eventos!$G:$G,Eventos!$B:$B,Q$2,Eventos!$D:$D,$C$2,Eventos!$F:$F,$L1332),"")</f>
        <v>0</v>
      </c>
      <c r="R1332" s="59">
        <f>SUMIFS(Eventos!$G:$G,Eventos!$F:$F,$L1332,Eventos!$D:$D,$C$2,Eventos!$B:$B,PANES_SEMANALES[[#ALL],[SÁBADO]])</f>
        <v>0</v>
      </c>
      <c r="S1332" s="59">
        <f>SUMIFS(Eventos!$G:$G,Eventos!$F:$F,$L1332,Eventos!$D:$D,$C$2,Eventos!$B:$B,PANES_SEMANALES[[#ALL],[DOMINGO]])</f>
        <v>0</v>
      </c>
      <c r="T1332" s="59">
        <f t="shared" si="1"/>
        <v>0</v>
      </c>
    </row>
    <row r="1333" ht="22.5" customHeight="1">
      <c r="M1333" s="59">
        <f>SUMIFS(Eventos!$G:$G,Eventos!$F:$F,$L1333,Eventos!$D:$D,$C$2,Eventos!$B:$B,PANES_SEMANALES[[#ALL],[LUNES]])</f>
        <v>0</v>
      </c>
      <c r="N1333" s="59">
        <f>SUMIFS(Eventos!$G:$G,Eventos!$F:$F,$L1333,Eventos!$D:$D,$C$2,Eventos!$B:$B,PANES_SEMANALES[[#ALL],[MARTES]])</f>
        <v>0</v>
      </c>
      <c r="O1333" s="59">
        <f>SUMIFS(Eventos!$G:$G,Eventos!$F:$F,$L1333,Eventos!$D:$D,$C$2,Eventos!$B:$B,PANES_SEMANALES[[#ALL],[MIÉRCOLES]])</f>
        <v>0</v>
      </c>
      <c r="P1333" s="59">
        <f>SUMIFS(Eventos!$G:$G,Eventos!$F:$F,$L1333,Eventos!$D:$D,$C$2,Eventos!$B:$B,PANES_SEMANALES[[#ALL],[JUEVES]])</f>
        <v>0</v>
      </c>
      <c r="Q1333" s="59">
        <f>IF(P1333&lt;&gt;"",SUMIFS(Eventos!$G:$G,Eventos!$B:$B,Q$2,Eventos!$D:$D,$C$2,Eventos!$F:$F,$L1333),"")</f>
        <v>0</v>
      </c>
      <c r="R1333" s="59">
        <f>SUMIFS(Eventos!$G:$G,Eventos!$F:$F,$L1333,Eventos!$D:$D,$C$2,Eventos!$B:$B,PANES_SEMANALES[[#ALL],[SÁBADO]])</f>
        <v>0</v>
      </c>
      <c r="S1333" s="59">
        <f>SUMIFS(Eventos!$G:$G,Eventos!$F:$F,$L1333,Eventos!$D:$D,$C$2,Eventos!$B:$B,PANES_SEMANALES[[#ALL],[DOMINGO]])</f>
        <v>0</v>
      </c>
      <c r="T1333" s="59">
        <f t="shared" si="1"/>
        <v>0</v>
      </c>
    </row>
    <row r="1334" ht="22.5" customHeight="1">
      <c r="M1334" s="59">
        <f>SUMIFS(Eventos!$G:$G,Eventos!$F:$F,$L1334,Eventos!$D:$D,$C$2,Eventos!$B:$B,PANES_SEMANALES[[#ALL],[LUNES]])</f>
        <v>0</v>
      </c>
      <c r="N1334" s="59">
        <f>SUMIFS(Eventos!$G:$G,Eventos!$F:$F,$L1334,Eventos!$D:$D,$C$2,Eventos!$B:$B,PANES_SEMANALES[[#ALL],[MARTES]])</f>
        <v>0</v>
      </c>
      <c r="O1334" s="59">
        <f>SUMIFS(Eventos!$G:$G,Eventos!$F:$F,$L1334,Eventos!$D:$D,$C$2,Eventos!$B:$B,PANES_SEMANALES[[#ALL],[MIÉRCOLES]])</f>
        <v>0</v>
      </c>
      <c r="P1334" s="59">
        <f>SUMIFS(Eventos!$G:$G,Eventos!$F:$F,$L1334,Eventos!$D:$D,$C$2,Eventos!$B:$B,PANES_SEMANALES[[#ALL],[JUEVES]])</f>
        <v>0</v>
      </c>
      <c r="Q1334" s="59">
        <f>IF(P1334&lt;&gt;"",SUMIFS(Eventos!$G:$G,Eventos!$B:$B,Q$2,Eventos!$D:$D,$C$2,Eventos!$F:$F,$L1334),"")</f>
        <v>0</v>
      </c>
      <c r="R1334" s="59">
        <f>SUMIFS(Eventos!$G:$G,Eventos!$F:$F,$L1334,Eventos!$D:$D,$C$2,Eventos!$B:$B,PANES_SEMANALES[[#ALL],[SÁBADO]])</f>
        <v>0</v>
      </c>
      <c r="S1334" s="59">
        <f>SUMIFS(Eventos!$G:$G,Eventos!$F:$F,$L1334,Eventos!$D:$D,$C$2,Eventos!$B:$B,PANES_SEMANALES[[#ALL],[DOMINGO]])</f>
        <v>0</v>
      </c>
      <c r="T1334" s="59">
        <f t="shared" si="1"/>
        <v>0</v>
      </c>
    </row>
    <row r="1335" ht="22.5" customHeight="1">
      <c r="M1335" s="59">
        <f>SUMIFS(Eventos!$G:$G,Eventos!$F:$F,$L1335,Eventos!$D:$D,$C$2,Eventos!$B:$B,PANES_SEMANALES[[#ALL],[LUNES]])</f>
        <v>0</v>
      </c>
      <c r="N1335" s="59">
        <f>SUMIFS(Eventos!$G:$G,Eventos!$F:$F,$L1335,Eventos!$D:$D,$C$2,Eventos!$B:$B,PANES_SEMANALES[[#ALL],[MARTES]])</f>
        <v>0</v>
      </c>
      <c r="O1335" s="59">
        <f>SUMIFS(Eventos!$G:$G,Eventos!$F:$F,$L1335,Eventos!$D:$D,$C$2,Eventos!$B:$B,PANES_SEMANALES[[#ALL],[MIÉRCOLES]])</f>
        <v>0</v>
      </c>
      <c r="P1335" s="59">
        <f>SUMIFS(Eventos!$G:$G,Eventos!$F:$F,$L1335,Eventos!$D:$D,$C$2,Eventos!$B:$B,PANES_SEMANALES[[#ALL],[JUEVES]])</f>
        <v>0</v>
      </c>
      <c r="Q1335" s="59">
        <f>IF(P1335&lt;&gt;"",SUMIFS(Eventos!$G:$G,Eventos!$B:$B,Q$2,Eventos!$D:$D,$C$2,Eventos!$F:$F,$L1335),"")</f>
        <v>0</v>
      </c>
      <c r="R1335" s="59">
        <f>SUMIFS(Eventos!$G:$G,Eventos!$F:$F,$L1335,Eventos!$D:$D,$C$2,Eventos!$B:$B,PANES_SEMANALES[[#ALL],[SÁBADO]])</f>
        <v>0</v>
      </c>
      <c r="S1335" s="59">
        <f>SUMIFS(Eventos!$G:$G,Eventos!$F:$F,$L1335,Eventos!$D:$D,$C$2,Eventos!$B:$B,PANES_SEMANALES[[#ALL],[DOMINGO]])</f>
        <v>0</v>
      </c>
      <c r="T1335" s="59">
        <f t="shared" si="1"/>
        <v>0</v>
      </c>
    </row>
    <row r="1336" ht="22.5" customHeight="1">
      <c r="M1336" s="59">
        <f>SUMIFS(Eventos!$G:$G,Eventos!$F:$F,$L1336,Eventos!$D:$D,$C$2,Eventos!$B:$B,PANES_SEMANALES[[#ALL],[LUNES]])</f>
        <v>0</v>
      </c>
      <c r="N1336" s="59">
        <f>SUMIFS(Eventos!$G:$G,Eventos!$F:$F,$L1336,Eventos!$D:$D,$C$2,Eventos!$B:$B,PANES_SEMANALES[[#ALL],[MARTES]])</f>
        <v>0</v>
      </c>
      <c r="O1336" s="59">
        <f>SUMIFS(Eventos!$G:$G,Eventos!$F:$F,$L1336,Eventos!$D:$D,$C$2,Eventos!$B:$B,PANES_SEMANALES[[#ALL],[MIÉRCOLES]])</f>
        <v>0</v>
      </c>
      <c r="P1336" s="59">
        <f>SUMIFS(Eventos!$G:$G,Eventos!$F:$F,$L1336,Eventos!$D:$D,$C$2,Eventos!$B:$B,PANES_SEMANALES[[#ALL],[JUEVES]])</f>
        <v>0</v>
      </c>
      <c r="Q1336" s="59">
        <f>IF(P1336&lt;&gt;"",SUMIFS(Eventos!$G:$G,Eventos!$B:$B,Q$2,Eventos!$D:$D,$C$2,Eventos!$F:$F,$L1336),"")</f>
        <v>0</v>
      </c>
      <c r="R1336" s="59">
        <f>SUMIFS(Eventos!$G:$G,Eventos!$F:$F,$L1336,Eventos!$D:$D,$C$2,Eventos!$B:$B,PANES_SEMANALES[[#ALL],[SÁBADO]])</f>
        <v>0</v>
      </c>
      <c r="S1336" s="59">
        <f>SUMIFS(Eventos!$G:$G,Eventos!$F:$F,$L1336,Eventos!$D:$D,$C$2,Eventos!$B:$B,PANES_SEMANALES[[#ALL],[DOMINGO]])</f>
        <v>0</v>
      </c>
      <c r="T1336" s="59">
        <f t="shared" si="1"/>
        <v>0</v>
      </c>
    </row>
    <row r="1337" ht="22.5" customHeight="1">
      <c r="M1337" s="59">
        <f>SUMIFS(Eventos!$G:$G,Eventos!$F:$F,$L1337,Eventos!$D:$D,$C$2,Eventos!$B:$B,PANES_SEMANALES[[#ALL],[LUNES]])</f>
        <v>0</v>
      </c>
      <c r="N1337" s="59">
        <f>SUMIFS(Eventos!$G:$G,Eventos!$F:$F,$L1337,Eventos!$D:$D,$C$2,Eventos!$B:$B,PANES_SEMANALES[[#ALL],[MARTES]])</f>
        <v>0</v>
      </c>
      <c r="O1337" s="59">
        <f>SUMIFS(Eventos!$G:$G,Eventos!$F:$F,$L1337,Eventos!$D:$D,$C$2,Eventos!$B:$B,PANES_SEMANALES[[#ALL],[MIÉRCOLES]])</f>
        <v>0</v>
      </c>
      <c r="P1337" s="59">
        <f>SUMIFS(Eventos!$G:$G,Eventos!$F:$F,$L1337,Eventos!$D:$D,$C$2,Eventos!$B:$B,PANES_SEMANALES[[#ALL],[JUEVES]])</f>
        <v>0</v>
      </c>
      <c r="Q1337" s="59">
        <f>IF(P1337&lt;&gt;"",SUMIFS(Eventos!$G:$G,Eventos!$B:$B,Q$2,Eventos!$D:$D,$C$2,Eventos!$F:$F,$L1337),"")</f>
        <v>0</v>
      </c>
      <c r="R1337" s="59">
        <f>SUMIFS(Eventos!$G:$G,Eventos!$F:$F,$L1337,Eventos!$D:$D,$C$2,Eventos!$B:$B,PANES_SEMANALES[[#ALL],[SÁBADO]])</f>
        <v>0</v>
      </c>
      <c r="S1337" s="59">
        <f>SUMIFS(Eventos!$G:$G,Eventos!$F:$F,$L1337,Eventos!$D:$D,$C$2,Eventos!$B:$B,PANES_SEMANALES[[#ALL],[DOMINGO]])</f>
        <v>0</v>
      </c>
      <c r="T1337" s="59">
        <f t="shared" si="1"/>
        <v>0</v>
      </c>
    </row>
    <row r="1338" ht="22.5" customHeight="1">
      <c r="M1338" s="59">
        <f>SUMIFS(Eventos!$G:$G,Eventos!$F:$F,$L1338,Eventos!$D:$D,$C$2,Eventos!$B:$B,PANES_SEMANALES[[#ALL],[LUNES]])</f>
        <v>0</v>
      </c>
      <c r="N1338" s="59">
        <f>SUMIFS(Eventos!$G:$G,Eventos!$F:$F,$L1338,Eventos!$D:$D,$C$2,Eventos!$B:$B,PANES_SEMANALES[[#ALL],[MARTES]])</f>
        <v>0</v>
      </c>
      <c r="O1338" s="59">
        <f>SUMIFS(Eventos!$G:$G,Eventos!$F:$F,$L1338,Eventos!$D:$D,$C$2,Eventos!$B:$B,PANES_SEMANALES[[#ALL],[MIÉRCOLES]])</f>
        <v>0</v>
      </c>
      <c r="P1338" s="59">
        <f>SUMIFS(Eventos!$G:$G,Eventos!$F:$F,$L1338,Eventos!$D:$D,$C$2,Eventos!$B:$B,PANES_SEMANALES[[#ALL],[JUEVES]])</f>
        <v>0</v>
      </c>
      <c r="Q1338" s="59">
        <f>IF(P1338&lt;&gt;"",SUMIFS(Eventos!$G:$G,Eventos!$B:$B,Q$2,Eventos!$D:$D,$C$2,Eventos!$F:$F,$L1338),"")</f>
        <v>0</v>
      </c>
      <c r="R1338" s="59">
        <f>SUMIFS(Eventos!$G:$G,Eventos!$F:$F,$L1338,Eventos!$D:$D,$C$2,Eventos!$B:$B,PANES_SEMANALES[[#ALL],[SÁBADO]])</f>
        <v>0</v>
      </c>
      <c r="S1338" s="59">
        <f>SUMIFS(Eventos!$G:$G,Eventos!$F:$F,$L1338,Eventos!$D:$D,$C$2,Eventos!$B:$B,PANES_SEMANALES[[#ALL],[DOMINGO]])</f>
        <v>0</v>
      </c>
      <c r="T1338" s="59">
        <f t="shared" si="1"/>
        <v>0</v>
      </c>
    </row>
    <row r="1339" ht="22.5" customHeight="1">
      <c r="M1339" s="59">
        <f>SUMIFS(Eventos!$G:$G,Eventos!$F:$F,$L1339,Eventos!$D:$D,$C$2,Eventos!$B:$B,PANES_SEMANALES[[#ALL],[LUNES]])</f>
        <v>0</v>
      </c>
      <c r="N1339" s="59">
        <f>SUMIFS(Eventos!$G:$G,Eventos!$F:$F,$L1339,Eventos!$D:$D,$C$2,Eventos!$B:$B,PANES_SEMANALES[[#ALL],[MARTES]])</f>
        <v>0</v>
      </c>
      <c r="O1339" s="59">
        <f>SUMIFS(Eventos!$G:$G,Eventos!$F:$F,$L1339,Eventos!$D:$D,$C$2,Eventos!$B:$B,PANES_SEMANALES[[#ALL],[MIÉRCOLES]])</f>
        <v>0</v>
      </c>
      <c r="P1339" s="59">
        <f>SUMIFS(Eventos!$G:$G,Eventos!$F:$F,$L1339,Eventos!$D:$D,$C$2,Eventos!$B:$B,PANES_SEMANALES[[#ALL],[JUEVES]])</f>
        <v>0</v>
      </c>
      <c r="Q1339" s="59">
        <f>IF(P1339&lt;&gt;"",SUMIFS(Eventos!$G:$G,Eventos!$B:$B,Q$2,Eventos!$D:$D,$C$2,Eventos!$F:$F,$L1339),"")</f>
        <v>0</v>
      </c>
      <c r="R1339" s="59">
        <f>SUMIFS(Eventos!$G:$G,Eventos!$F:$F,$L1339,Eventos!$D:$D,$C$2,Eventos!$B:$B,PANES_SEMANALES[[#ALL],[SÁBADO]])</f>
        <v>0</v>
      </c>
      <c r="S1339" s="59">
        <f>SUMIFS(Eventos!$G:$G,Eventos!$F:$F,$L1339,Eventos!$D:$D,$C$2,Eventos!$B:$B,PANES_SEMANALES[[#ALL],[DOMINGO]])</f>
        <v>0</v>
      </c>
      <c r="T1339" s="59">
        <f t="shared" si="1"/>
        <v>0</v>
      </c>
    </row>
    <row r="1340" ht="22.5" customHeight="1">
      <c r="M1340" s="59">
        <f>SUMIFS(Eventos!$G:$G,Eventos!$F:$F,$L1340,Eventos!$D:$D,$C$2,Eventos!$B:$B,PANES_SEMANALES[[#ALL],[LUNES]])</f>
        <v>0</v>
      </c>
      <c r="N1340" s="59">
        <f>SUMIFS(Eventos!$G:$G,Eventos!$F:$F,$L1340,Eventos!$D:$D,$C$2,Eventos!$B:$B,PANES_SEMANALES[[#ALL],[MARTES]])</f>
        <v>0</v>
      </c>
      <c r="O1340" s="59">
        <f>SUMIFS(Eventos!$G:$G,Eventos!$F:$F,$L1340,Eventos!$D:$D,$C$2,Eventos!$B:$B,PANES_SEMANALES[[#ALL],[MIÉRCOLES]])</f>
        <v>0</v>
      </c>
      <c r="P1340" s="59">
        <f>SUMIFS(Eventos!$G:$G,Eventos!$F:$F,$L1340,Eventos!$D:$D,$C$2,Eventos!$B:$B,PANES_SEMANALES[[#ALL],[JUEVES]])</f>
        <v>0</v>
      </c>
      <c r="Q1340" s="59">
        <f>IF(P1340&lt;&gt;"",SUMIFS(Eventos!$G:$G,Eventos!$B:$B,Q$2,Eventos!$D:$D,$C$2,Eventos!$F:$F,$L1340),"")</f>
        <v>0</v>
      </c>
      <c r="R1340" s="59">
        <f>SUMIFS(Eventos!$G:$G,Eventos!$F:$F,$L1340,Eventos!$D:$D,$C$2,Eventos!$B:$B,PANES_SEMANALES[[#ALL],[SÁBADO]])</f>
        <v>0</v>
      </c>
      <c r="S1340" s="59">
        <f>SUMIFS(Eventos!$G:$G,Eventos!$F:$F,$L1340,Eventos!$D:$D,$C$2,Eventos!$B:$B,PANES_SEMANALES[[#ALL],[DOMINGO]])</f>
        <v>0</v>
      </c>
      <c r="T1340" s="59">
        <f t="shared" si="1"/>
        <v>0</v>
      </c>
    </row>
    <row r="1341" ht="22.5" customHeight="1">
      <c r="M1341" s="59">
        <f>SUMIFS(Eventos!$G:$G,Eventos!$F:$F,$L1341,Eventos!$D:$D,$C$2,Eventos!$B:$B,PANES_SEMANALES[[#ALL],[LUNES]])</f>
        <v>0</v>
      </c>
      <c r="N1341" s="59">
        <f>SUMIFS(Eventos!$G:$G,Eventos!$F:$F,$L1341,Eventos!$D:$D,$C$2,Eventos!$B:$B,PANES_SEMANALES[[#ALL],[MARTES]])</f>
        <v>0</v>
      </c>
      <c r="O1341" s="59">
        <f>SUMIFS(Eventos!$G:$G,Eventos!$F:$F,$L1341,Eventos!$D:$D,$C$2,Eventos!$B:$B,PANES_SEMANALES[[#ALL],[MIÉRCOLES]])</f>
        <v>0</v>
      </c>
      <c r="P1341" s="59">
        <f>SUMIFS(Eventos!$G:$G,Eventos!$F:$F,$L1341,Eventos!$D:$D,$C$2,Eventos!$B:$B,PANES_SEMANALES[[#ALL],[JUEVES]])</f>
        <v>0</v>
      </c>
      <c r="Q1341" s="59">
        <f>IF(P1341&lt;&gt;"",SUMIFS(Eventos!$G:$G,Eventos!$B:$B,Q$2,Eventos!$D:$D,$C$2,Eventos!$F:$F,$L1341),"")</f>
        <v>0</v>
      </c>
      <c r="R1341" s="59">
        <f>SUMIFS(Eventos!$G:$G,Eventos!$F:$F,$L1341,Eventos!$D:$D,$C$2,Eventos!$B:$B,PANES_SEMANALES[[#ALL],[SÁBADO]])</f>
        <v>0</v>
      </c>
      <c r="S1341" s="59">
        <f>SUMIFS(Eventos!$G:$G,Eventos!$F:$F,$L1341,Eventos!$D:$D,$C$2,Eventos!$B:$B,PANES_SEMANALES[[#ALL],[DOMINGO]])</f>
        <v>0</v>
      </c>
      <c r="T1341" s="59">
        <f t="shared" si="1"/>
        <v>0</v>
      </c>
    </row>
    <row r="1342" ht="22.5" customHeight="1">
      <c r="M1342" s="59">
        <f>SUMIFS(Eventos!$G:$G,Eventos!$F:$F,$L1342,Eventos!$D:$D,$C$2,Eventos!$B:$B,PANES_SEMANALES[[#ALL],[LUNES]])</f>
        <v>0</v>
      </c>
      <c r="N1342" s="59">
        <f>SUMIFS(Eventos!$G:$G,Eventos!$F:$F,$L1342,Eventos!$D:$D,$C$2,Eventos!$B:$B,PANES_SEMANALES[[#ALL],[MARTES]])</f>
        <v>0</v>
      </c>
      <c r="O1342" s="59">
        <f>SUMIFS(Eventos!$G:$G,Eventos!$F:$F,$L1342,Eventos!$D:$D,$C$2,Eventos!$B:$B,PANES_SEMANALES[[#ALL],[MIÉRCOLES]])</f>
        <v>0</v>
      </c>
      <c r="P1342" s="59">
        <f>SUMIFS(Eventos!$G:$G,Eventos!$F:$F,$L1342,Eventos!$D:$D,$C$2,Eventos!$B:$B,PANES_SEMANALES[[#ALL],[JUEVES]])</f>
        <v>0</v>
      </c>
      <c r="Q1342" s="59">
        <f>IF(P1342&lt;&gt;"",SUMIFS(Eventos!$G:$G,Eventos!$B:$B,Q$2,Eventos!$D:$D,$C$2,Eventos!$F:$F,$L1342),"")</f>
        <v>0</v>
      </c>
      <c r="R1342" s="59">
        <f>SUMIFS(Eventos!$G:$G,Eventos!$F:$F,$L1342,Eventos!$D:$D,$C$2,Eventos!$B:$B,PANES_SEMANALES[[#ALL],[SÁBADO]])</f>
        <v>0</v>
      </c>
      <c r="S1342" s="59">
        <f>SUMIFS(Eventos!$G:$G,Eventos!$F:$F,$L1342,Eventos!$D:$D,$C$2,Eventos!$B:$B,PANES_SEMANALES[[#ALL],[DOMINGO]])</f>
        <v>0</v>
      </c>
      <c r="T1342" s="59">
        <f t="shared" si="1"/>
        <v>0</v>
      </c>
    </row>
    <row r="1343" ht="22.5" customHeight="1">
      <c r="M1343" s="59">
        <f>SUMIFS(Eventos!$G:$G,Eventos!$F:$F,$L1343,Eventos!$D:$D,$C$2,Eventos!$B:$B,PANES_SEMANALES[[#ALL],[LUNES]])</f>
        <v>0</v>
      </c>
      <c r="N1343" s="59">
        <f>SUMIFS(Eventos!$G:$G,Eventos!$F:$F,$L1343,Eventos!$D:$D,$C$2,Eventos!$B:$B,PANES_SEMANALES[[#ALL],[MARTES]])</f>
        <v>0</v>
      </c>
      <c r="O1343" s="59">
        <f>SUMIFS(Eventos!$G:$G,Eventos!$F:$F,$L1343,Eventos!$D:$D,$C$2,Eventos!$B:$B,PANES_SEMANALES[[#ALL],[MIÉRCOLES]])</f>
        <v>0</v>
      </c>
      <c r="P1343" s="59">
        <f>SUMIFS(Eventos!$G:$G,Eventos!$F:$F,$L1343,Eventos!$D:$D,$C$2,Eventos!$B:$B,PANES_SEMANALES[[#ALL],[JUEVES]])</f>
        <v>0</v>
      </c>
      <c r="Q1343" s="59">
        <f>IF(P1343&lt;&gt;"",SUMIFS(Eventos!$G:$G,Eventos!$B:$B,Q$2,Eventos!$D:$D,$C$2,Eventos!$F:$F,$L1343),"")</f>
        <v>0</v>
      </c>
      <c r="R1343" s="59">
        <f>SUMIFS(Eventos!$G:$G,Eventos!$F:$F,$L1343,Eventos!$D:$D,$C$2,Eventos!$B:$B,PANES_SEMANALES[[#ALL],[SÁBADO]])</f>
        <v>0</v>
      </c>
      <c r="S1343" s="59">
        <f>SUMIFS(Eventos!$G:$G,Eventos!$F:$F,$L1343,Eventos!$D:$D,$C$2,Eventos!$B:$B,PANES_SEMANALES[[#ALL],[DOMINGO]])</f>
        <v>0</v>
      </c>
      <c r="T1343" s="59">
        <f t="shared" si="1"/>
        <v>0</v>
      </c>
    </row>
    <row r="1344" ht="22.5" customHeight="1">
      <c r="M1344" s="59">
        <f>SUMIFS(Eventos!$G:$G,Eventos!$F:$F,$L1344,Eventos!$D:$D,$C$2,Eventos!$B:$B,PANES_SEMANALES[[#ALL],[LUNES]])</f>
        <v>0</v>
      </c>
      <c r="N1344" s="59">
        <f>SUMIFS(Eventos!$G:$G,Eventos!$F:$F,$L1344,Eventos!$D:$D,$C$2,Eventos!$B:$B,PANES_SEMANALES[[#ALL],[MARTES]])</f>
        <v>0</v>
      </c>
      <c r="O1344" s="59">
        <f>SUMIFS(Eventos!$G:$G,Eventos!$F:$F,$L1344,Eventos!$D:$D,$C$2,Eventos!$B:$B,PANES_SEMANALES[[#ALL],[MIÉRCOLES]])</f>
        <v>0</v>
      </c>
      <c r="P1344" s="59">
        <f>SUMIFS(Eventos!$G:$G,Eventos!$F:$F,$L1344,Eventos!$D:$D,$C$2,Eventos!$B:$B,PANES_SEMANALES[[#ALL],[JUEVES]])</f>
        <v>0</v>
      </c>
      <c r="Q1344" s="59">
        <f>IF(P1344&lt;&gt;"",SUMIFS(Eventos!$G:$G,Eventos!$B:$B,Q$2,Eventos!$D:$D,$C$2,Eventos!$F:$F,$L1344),"")</f>
        <v>0</v>
      </c>
      <c r="R1344" s="59">
        <f>SUMIFS(Eventos!$G:$G,Eventos!$F:$F,$L1344,Eventos!$D:$D,$C$2,Eventos!$B:$B,PANES_SEMANALES[[#ALL],[SÁBADO]])</f>
        <v>0</v>
      </c>
      <c r="S1344" s="59">
        <f>SUMIFS(Eventos!$G:$G,Eventos!$F:$F,$L1344,Eventos!$D:$D,$C$2,Eventos!$B:$B,PANES_SEMANALES[[#ALL],[DOMINGO]])</f>
        <v>0</v>
      </c>
      <c r="T1344" s="59">
        <f t="shared" si="1"/>
        <v>0</v>
      </c>
    </row>
    <row r="1345" ht="22.5" customHeight="1">
      <c r="M1345" s="59">
        <f>SUMIFS(Eventos!$G:$G,Eventos!$F:$F,$L1345,Eventos!$D:$D,$C$2,Eventos!$B:$B,PANES_SEMANALES[[#ALL],[LUNES]])</f>
        <v>0</v>
      </c>
      <c r="N1345" s="59">
        <f>SUMIFS(Eventos!$G:$G,Eventos!$F:$F,$L1345,Eventos!$D:$D,$C$2,Eventos!$B:$B,PANES_SEMANALES[[#ALL],[MARTES]])</f>
        <v>0</v>
      </c>
      <c r="O1345" s="59">
        <f>SUMIFS(Eventos!$G:$G,Eventos!$F:$F,$L1345,Eventos!$D:$D,$C$2,Eventos!$B:$B,PANES_SEMANALES[[#ALL],[MIÉRCOLES]])</f>
        <v>0</v>
      </c>
      <c r="P1345" s="59">
        <f>SUMIFS(Eventos!$G:$G,Eventos!$F:$F,$L1345,Eventos!$D:$D,$C$2,Eventos!$B:$B,PANES_SEMANALES[[#ALL],[JUEVES]])</f>
        <v>0</v>
      </c>
      <c r="Q1345" s="59">
        <f>IF(P1345&lt;&gt;"",SUMIFS(Eventos!$G:$G,Eventos!$B:$B,Q$2,Eventos!$D:$D,$C$2,Eventos!$F:$F,$L1345),"")</f>
        <v>0</v>
      </c>
      <c r="R1345" s="59">
        <f>SUMIFS(Eventos!$G:$G,Eventos!$F:$F,$L1345,Eventos!$D:$D,$C$2,Eventos!$B:$B,PANES_SEMANALES[[#ALL],[SÁBADO]])</f>
        <v>0</v>
      </c>
      <c r="S1345" s="59">
        <f>SUMIFS(Eventos!$G:$G,Eventos!$F:$F,$L1345,Eventos!$D:$D,$C$2,Eventos!$B:$B,PANES_SEMANALES[[#ALL],[DOMINGO]])</f>
        <v>0</v>
      </c>
      <c r="T1345" s="59">
        <f t="shared" si="1"/>
        <v>0</v>
      </c>
    </row>
    <row r="1346" ht="22.5" customHeight="1">
      <c r="M1346" s="59">
        <f>SUMIFS(Eventos!$G:$G,Eventos!$F:$F,$L1346,Eventos!$D:$D,$C$2,Eventos!$B:$B,PANES_SEMANALES[[#ALL],[LUNES]])</f>
        <v>0</v>
      </c>
      <c r="N1346" s="59">
        <f>SUMIFS(Eventos!$G:$G,Eventos!$F:$F,$L1346,Eventos!$D:$D,$C$2,Eventos!$B:$B,PANES_SEMANALES[[#ALL],[MARTES]])</f>
        <v>0</v>
      </c>
      <c r="O1346" s="59">
        <f>SUMIFS(Eventos!$G:$G,Eventos!$F:$F,$L1346,Eventos!$D:$D,$C$2,Eventos!$B:$B,PANES_SEMANALES[[#ALL],[MIÉRCOLES]])</f>
        <v>0</v>
      </c>
      <c r="P1346" s="59">
        <f>SUMIFS(Eventos!$G:$G,Eventos!$F:$F,$L1346,Eventos!$D:$D,$C$2,Eventos!$B:$B,PANES_SEMANALES[[#ALL],[JUEVES]])</f>
        <v>0</v>
      </c>
      <c r="Q1346" s="59">
        <f>IF(P1346&lt;&gt;"",SUMIFS(Eventos!$G:$G,Eventos!$B:$B,Q$2,Eventos!$D:$D,$C$2,Eventos!$F:$F,$L1346),"")</f>
        <v>0</v>
      </c>
      <c r="R1346" s="59">
        <f>SUMIFS(Eventos!$G:$G,Eventos!$F:$F,$L1346,Eventos!$D:$D,$C$2,Eventos!$B:$B,PANES_SEMANALES[[#ALL],[SÁBADO]])</f>
        <v>0</v>
      </c>
      <c r="S1346" s="59">
        <f>SUMIFS(Eventos!$G:$G,Eventos!$F:$F,$L1346,Eventos!$D:$D,$C$2,Eventos!$B:$B,PANES_SEMANALES[[#ALL],[DOMINGO]])</f>
        <v>0</v>
      </c>
      <c r="T1346" s="59">
        <f t="shared" si="1"/>
        <v>0</v>
      </c>
    </row>
    <row r="1347" ht="22.5" customHeight="1">
      <c r="M1347" s="59">
        <f>SUMIFS(Eventos!$G:$G,Eventos!$F:$F,$L1347,Eventos!$D:$D,$C$2,Eventos!$B:$B,PANES_SEMANALES[[#ALL],[LUNES]])</f>
        <v>0</v>
      </c>
      <c r="N1347" s="59">
        <f>SUMIFS(Eventos!$G:$G,Eventos!$F:$F,$L1347,Eventos!$D:$D,$C$2,Eventos!$B:$B,PANES_SEMANALES[[#ALL],[MARTES]])</f>
        <v>0</v>
      </c>
      <c r="O1347" s="59">
        <f>SUMIFS(Eventos!$G:$G,Eventos!$F:$F,$L1347,Eventos!$D:$D,$C$2,Eventos!$B:$B,PANES_SEMANALES[[#ALL],[MIÉRCOLES]])</f>
        <v>0</v>
      </c>
      <c r="P1347" s="59">
        <f>SUMIFS(Eventos!$G:$G,Eventos!$F:$F,$L1347,Eventos!$D:$D,$C$2,Eventos!$B:$B,PANES_SEMANALES[[#ALL],[JUEVES]])</f>
        <v>0</v>
      </c>
      <c r="Q1347" s="59">
        <f>IF(P1347&lt;&gt;"",SUMIFS(Eventos!$G:$G,Eventos!$B:$B,Q$2,Eventos!$D:$D,$C$2,Eventos!$F:$F,$L1347),"")</f>
        <v>0</v>
      </c>
      <c r="R1347" s="59">
        <f>SUMIFS(Eventos!$G:$G,Eventos!$F:$F,$L1347,Eventos!$D:$D,$C$2,Eventos!$B:$B,PANES_SEMANALES[[#ALL],[SÁBADO]])</f>
        <v>0</v>
      </c>
      <c r="S1347" s="59">
        <f>SUMIFS(Eventos!$G:$G,Eventos!$F:$F,$L1347,Eventos!$D:$D,$C$2,Eventos!$B:$B,PANES_SEMANALES[[#ALL],[DOMINGO]])</f>
        <v>0</v>
      </c>
      <c r="T1347" s="59">
        <f t="shared" si="1"/>
        <v>0</v>
      </c>
    </row>
    <row r="1348" ht="22.5" customHeight="1">
      <c r="M1348" s="59">
        <f>SUMIFS(Eventos!$G:$G,Eventos!$F:$F,$L1348,Eventos!$D:$D,$C$2,Eventos!$B:$B,PANES_SEMANALES[[#ALL],[LUNES]])</f>
        <v>0</v>
      </c>
      <c r="N1348" s="59">
        <f>SUMIFS(Eventos!$G:$G,Eventos!$F:$F,$L1348,Eventos!$D:$D,$C$2,Eventos!$B:$B,PANES_SEMANALES[[#ALL],[MARTES]])</f>
        <v>0</v>
      </c>
      <c r="O1348" s="59">
        <f>SUMIFS(Eventos!$G:$G,Eventos!$F:$F,$L1348,Eventos!$D:$D,$C$2,Eventos!$B:$B,PANES_SEMANALES[[#ALL],[MIÉRCOLES]])</f>
        <v>0</v>
      </c>
      <c r="P1348" s="59">
        <f>SUMIFS(Eventos!$G:$G,Eventos!$F:$F,$L1348,Eventos!$D:$D,$C$2,Eventos!$B:$B,PANES_SEMANALES[[#ALL],[JUEVES]])</f>
        <v>0</v>
      </c>
      <c r="Q1348" s="59">
        <f>IF(P1348&lt;&gt;"",SUMIFS(Eventos!$G:$G,Eventos!$B:$B,Q$2,Eventos!$D:$D,$C$2,Eventos!$F:$F,$L1348),"")</f>
        <v>0</v>
      </c>
      <c r="R1348" s="59">
        <f>SUMIFS(Eventos!$G:$G,Eventos!$F:$F,$L1348,Eventos!$D:$D,$C$2,Eventos!$B:$B,PANES_SEMANALES[[#ALL],[SÁBADO]])</f>
        <v>0</v>
      </c>
      <c r="S1348" s="59">
        <f>SUMIFS(Eventos!$G:$G,Eventos!$F:$F,$L1348,Eventos!$D:$D,$C$2,Eventos!$B:$B,PANES_SEMANALES[[#ALL],[DOMINGO]])</f>
        <v>0</v>
      </c>
      <c r="T1348" s="59">
        <f t="shared" si="1"/>
        <v>0</v>
      </c>
    </row>
    <row r="1349" ht="22.5" customHeight="1">
      <c r="M1349" s="59">
        <f>SUMIFS(Eventos!$G:$G,Eventos!$F:$F,$L1349,Eventos!$D:$D,$C$2,Eventos!$B:$B,PANES_SEMANALES[[#ALL],[LUNES]])</f>
        <v>0</v>
      </c>
      <c r="N1349" s="59">
        <f>SUMIFS(Eventos!$G:$G,Eventos!$F:$F,$L1349,Eventos!$D:$D,$C$2,Eventos!$B:$B,PANES_SEMANALES[[#ALL],[MARTES]])</f>
        <v>0</v>
      </c>
      <c r="O1349" s="59">
        <f>SUMIFS(Eventos!$G:$G,Eventos!$F:$F,$L1349,Eventos!$D:$D,$C$2,Eventos!$B:$B,PANES_SEMANALES[[#ALL],[MIÉRCOLES]])</f>
        <v>0</v>
      </c>
      <c r="P1349" s="59">
        <f>SUMIFS(Eventos!$G:$G,Eventos!$F:$F,$L1349,Eventos!$D:$D,$C$2,Eventos!$B:$B,PANES_SEMANALES[[#ALL],[JUEVES]])</f>
        <v>0</v>
      </c>
      <c r="Q1349" s="59">
        <f>IF(P1349&lt;&gt;"",SUMIFS(Eventos!$G:$G,Eventos!$B:$B,Q$2,Eventos!$D:$D,$C$2,Eventos!$F:$F,$L1349),"")</f>
        <v>0</v>
      </c>
      <c r="R1349" s="59">
        <f>SUMIFS(Eventos!$G:$G,Eventos!$F:$F,$L1349,Eventos!$D:$D,$C$2,Eventos!$B:$B,PANES_SEMANALES[[#ALL],[SÁBADO]])</f>
        <v>0</v>
      </c>
      <c r="S1349" s="59">
        <f>SUMIFS(Eventos!$G:$G,Eventos!$F:$F,$L1349,Eventos!$D:$D,$C$2,Eventos!$B:$B,PANES_SEMANALES[[#ALL],[DOMINGO]])</f>
        <v>0</v>
      </c>
      <c r="T1349" s="59">
        <f t="shared" si="1"/>
        <v>0</v>
      </c>
    </row>
    <row r="1350" ht="22.5" customHeight="1">
      <c r="M1350" s="59">
        <f>SUMIFS(Eventos!$G:$G,Eventos!$F:$F,$L1350,Eventos!$D:$D,$C$2,Eventos!$B:$B,PANES_SEMANALES[[#ALL],[LUNES]])</f>
        <v>0</v>
      </c>
      <c r="N1350" s="59">
        <f>SUMIFS(Eventos!$G:$G,Eventos!$F:$F,$L1350,Eventos!$D:$D,$C$2,Eventos!$B:$B,PANES_SEMANALES[[#ALL],[MARTES]])</f>
        <v>0</v>
      </c>
      <c r="O1350" s="59">
        <f>SUMIFS(Eventos!$G:$G,Eventos!$F:$F,$L1350,Eventos!$D:$D,$C$2,Eventos!$B:$B,PANES_SEMANALES[[#ALL],[MIÉRCOLES]])</f>
        <v>0</v>
      </c>
      <c r="P1350" s="59">
        <f>SUMIFS(Eventos!$G:$G,Eventos!$F:$F,$L1350,Eventos!$D:$D,$C$2,Eventos!$B:$B,PANES_SEMANALES[[#ALL],[JUEVES]])</f>
        <v>0</v>
      </c>
      <c r="Q1350" s="59">
        <f>IF(P1350&lt;&gt;"",SUMIFS(Eventos!$G:$G,Eventos!$B:$B,Q$2,Eventos!$D:$D,$C$2,Eventos!$F:$F,$L1350),"")</f>
        <v>0</v>
      </c>
      <c r="R1350" s="59">
        <f>SUMIFS(Eventos!$G:$G,Eventos!$F:$F,$L1350,Eventos!$D:$D,$C$2,Eventos!$B:$B,PANES_SEMANALES[[#ALL],[SÁBADO]])</f>
        <v>0</v>
      </c>
      <c r="S1350" s="59">
        <f>SUMIFS(Eventos!$G:$G,Eventos!$F:$F,$L1350,Eventos!$D:$D,$C$2,Eventos!$B:$B,PANES_SEMANALES[[#ALL],[DOMINGO]])</f>
        <v>0</v>
      </c>
      <c r="T1350" s="59">
        <f t="shared" si="1"/>
        <v>0</v>
      </c>
    </row>
    <row r="1351" ht="22.5" customHeight="1">
      <c r="M1351" s="59">
        <f>SUMIFS(Eventos!$G:$G,Eventos!$F:$F,$L1351,Eventos!$D:$D,$C$2,Eventos!$B:$B,PANES_SEMANALES[[#ALL],[LUNES]])</f>
        <v>0</v>
      </c>
      <c r="N1351" s="59">
        <f>SUMIFS(Eventos!$G:$G,Eventos!$F:$F,$L1351,Eventos!$D:$D,$C$2,Eventos!$B:$B,PANES_SEMANALES[[#ALL],[MARTES]])</f>
        <v>0</v>
      </c>
      <c r="O1351" s="59">
        <f>SUMIFS(Eventos!$G:$G,Eventos!$F:$F,$L1351,Eventos!$D:$D,$C$2,Eventos!$B:$B,PANES_SEMANALES[[#ALL],[MIÉRCOLES]])</f>
        <v>0</v>
      </c>
      <c r="P1351" s="59">
        <f>SUMIFS(Eventos!$G:$G,Eventos!$F:$F,$L1351,Eventos!$D:$D,$C$2,Eventos!$B:$B,PANES_SEMANALES[[#ALL],[JUEVES]])</f>
        <v>0</v>
      </c>
      <c r="Q1351" s="59">
        <f>IF(P1351&lt;&gt;"",SUMIFS(Eventos!$G:$G,Eventos!$B:$B,Q$2,Eventos!$D:$D,$C$2,Eventos!$F:$F,$L1351),"")</f>
        <v>0</v>
      </c>
      <c r="R1351" s="59">
        <f>SUMIFS(Eventos!$G:$G,Eventos!$F:$F,$L1351,Eventos!$D:$D,$C$2,Eventos!$B:$B,PANES_SEMANALES[[#ALL],[SÁBADO]])</f>
        <v>0</v>
      </c>
      <c r="S1351" s="59">
        <f>SUMIFS(Eventos!$G:$G,Eventos!$F:$F,$L1351,Eventos!$D:$D,$C$2,Eventos!$B:$B,PANES_SEMANALES[[#ALL],[DOMINGO]])</f>
        <v>0</v>
      </c>
      <c r="T1351" s="59">
        <f t="shared" si="1"/>
        <v>0</v>
      </c>
    </row>
    <row r="1352" ht="22.5" customHeight="1">
      <c r="M1352" s="59">
        <f>SUMIFS(Eventos!$G:$G,Eventos!$F:$F,$L1352,Eventos!$D:$D,$C$2,Eventos!$B:$B,PANES_SEMANALES[[#ALL],[LUNES]])</f>
        <v>0</v>
      </c>
      <c r="N1352" s="59">
        <f>SUMIFS(Eventos!$G:$G,Eventos!$F:$F,$L1352,Eventos!$D:$D,$C$2,Eventos!$B:$B,PANES_SEMANALES[[#ALL],[MARTES]])</f>
        <v>0</v>
      </c>
      <c r="O1352" s="59">
        <f>SUMIFS(Eventos!$G:$G,Eventos!$F:$F,$L1352,Eventos!$D:$D,$C$2,Eventos!$B:$B,PANES_SEMANALES[[#ALL],[MIÉRCOLES]])</f>
        <v>0</v>
      </c>
      <c r="P1352" s="59">
        <f>SUMIFS(Eventos!$G:$G,Eventos!$F:$F,$L1352,Eventos!$D:$D,$C$2,Eventos!$B:$B,PANES_SEMANALES[[#ALL],[JUEVES]])</f>
        <v>0</v>
      </c>
      <c r="Q1352" s="59">
        <f>IF(P1352&lt;&gt;"",SUMIFS(Eventos!$G:$G,Eventos!$B:$B,Q$2,Eventos!$D:$D,$C$2,Eventos!$F:$F,$L1352),"")</f>
        <v>0</v>
      </c>
      <c r="R1352" s="59">
        <f>SUMIFS(Eventos!$G:$G,Eventos!$F:$F,$L1352,Eventos!$D:$D,$C$2,Eventos!$B:$B,PANES_SEMANALES[[#ALL],[SÁBADO]])</f>
        <v>0</v>
      </c>
      <c r="S1352" s="59">
        <f>SUMIFS(Eventos!$G:$G,Eventos!$F:$F,$L1352,Eventos!$D:$D,$C$2,Eventos!$B:$B,PANES_SEMANALES[[#ALL],[DOMINGO]])</f>
        <v>0</v>
      </c>
      <c r="T1352" s="59">
        <f t="shared" si="1"/>
        <v>0</v>
      </c>
    </row>
    <row r="1353" ht="22.5" customHeight="1">
      <c r="M1353" s="59">
        <f>SUMIFS(Eventos!$G:$G,Eventos!$F:$F,$L1353,Eventos!$D:$D,$C$2,Eventos!$B:$B,PANES_SEMANALES[[#ALL],[LUNES]])</f>
        <v>0</v>
      </c>
      <c r="N1353" s="59">
        <f>SUMIFS(Eventos!$G:$G,Eventos!$F:$F,$L1353,Eventos!$D:$D,$C$2,Eventos!$B:$B,PANES_SEMANALES[[#ALL],[MARTES]])</f>
        <v>0</v>
      </c>
      <c r="O1353" s="59">
        <f>SUMIFS(Eventos!$G:$G,Eventos!$F:$F,$L1353,Eventos!$D:$D,$C$2,Eventos!$B:$B,PANES_SEMANALES[[#ALL],[MIÉRCOLES]])</f>
        <v>0</v>
      </c>
      <c r="P1353" s="59">
        <f>SUMIFS(Eventos!$G:$G,Eventos!$F:$F,$L1353,Eventos!$D:$D,$C$2,Eventos!$B:$B,PANES_SEMANALES[[#ALL],[JUEVES]])</f>
        <v>0</v>
      </c>
      <c r="Q1353" s="59">
        <f>IF(P1353&lt;&gt;"",SUMIFS(Eventos!$G:$G,Eventos!$B:$B,Q$2,Eventos!$D:$D,$C$2,Eventos!$F:$F,$L1353),"")</f>
        <v>0</v>
      </c>
      <c r="R1353" s="59">
        <f>SUMIFS(Eventos!$G:$G,Eventos!$F:$F,$L1353,Eventos!$D:$D,$C$2,Eventos!$B:$B,PANES_SEMANALES[[#ALL],[SÁBADO]])</f>
        <v>0</v>
      </c>
      <c r="S1353" s="59">
        <f>SUMIFS(Eventos!$G:$G,Eventos!$F:$F,$L1353,Eventos!$D:$D,$C$2,Eventos!$B:$B,PANES_SEMANALES[[#ALL],[DOMINGO]])</f>
        <v>0</v>
      </c>
      <c r="T1353" s="59">
        <f t="shared" si="1"/>
        <v>0</v>
      </c>
    </row>
    <row r="1354" ht="22.5" customHeight="1">
      <c r="M1354" s="59">
        <f>SUMIFS(Eventos!$G:$G,Eventos!$F:$F,$L1354,Eventos!$D:$D,$C$2,Eventos!$B:$B,PANES_SEMANALES[[#ALL],[LUNES]])</f>
        <v>0</v>
      </c>
      <c r="N1354" s="59">
        <f>SUMIFS(Eventos!$G:$G,Eventos!$F:$F,$L1354,Eventos!$D:$D,$C$2,Eventos!$B:$B,PANES_SEMANALES[[#ALL],[MARTES]])</f>
        <v>0</v>
      </c>
      <c r="O1354" s="59">
        <f>SUMIFS(Eventos!$G:$G,Eventos!$F:$F,$L1354,Eventos!$D:$D,$C$2,Eventos!$B:$B,PANES_SEMANALES[[#ALL],[MIÉRCOLES]])</f>
        <v>0</v>
      </c>
      <c r="P1354" s="59">
        <f>SUMIFS(Eventos!$G:$G,Eventos!$F:$F,$L1354,Eventos!$D:$D,$C$2,Eventos!$B:$B,PANES_SEMANALES[[#ALL],[JUEVES]])</f>
        <v>0</v>
      </c>
      <c r="Q1354" s="59">
        <f>IF(P1354&lt;&gt;"",SUMIFS(Eventos!$G:$G,Eventos!$B:$B,Q$2,Eventos!$D:$D,$C$2,Eventos!$F:$F,$L1354),"")</f>
        <v>0</v>
      </c>
      <c r="R1354" s="59">
        <f>SUMIFS(Eventos!$G:$G,Eventos!$F:$F,$L1354,Eventos!$D:$D,$C$2,Eventos!$B:$B,PANES_SEMANALES[[#ALL],[SÁBADO]])</f>
        <v>0</v>
      </c>
      <c r="S1354" s="59">
        <f>SUMIFS(Eventos!$G:$G,Eventos!$F:$F,$L1354,Eventos!$D:$D,$C$2,Eventos!$B:$B,PANES_SEMANALES[[#ALL],[DOMINGO]])</f>
        <v>0</v>
      </c>
      <c r="T1354" s="59">
        <f t="shared" si="1"/>
        <v>0</v>
      </c>
    </row>
    <row r="1355" ht="22.5" customHeight="1">
      <c r="M1355" s="59">
        <f>SUMIFS(Eventos!$G:$G,Eventos!$F:$F,$L1355,Eventos!$D:$D,$C$2,Eventos!$B:$B,PANES_SEMANALES[[#ALL],[LUNES]])</f>
        <v>0</v>
      </c>
      <c r="N1355" s="59">
        <f>SUMIFS(Eventos!$G:$G,Eventos!$F:$F,$L1355,Eventos!$D:$D,$C$2,Eventos!$B:$B,PANES_SEMANALES[[#ALL],[MARTES]])</f>
        <v>0</v>
      </c>
      <c r="O1355" s="59">
        <f>SUMIFS(Eventos!$G:$G,Eventos!$F:$F,$L1355,Eventos!$D:$D,$C$2,Eventos!$B:$B,PANES_SEMANALES[[#ALL],[MIÉRCOLES]])</f>
        <v>0</v>
      </c>
      <c r="P1355" s="59">
        <f>SUMIFS(Eventos!$G:$G,Eventos!$F:$F,$L1355,Eventos!$D:$D,$C$2,Eventos!$B:$B,PANES_SEMANALES[[#ALL],[JUEVES]])</f>
        <v>0</v>
      </c>
      <c r="Q1355" s="59">
        <f>IF(P1355&lt;&gt;"",SUMIFS(Eventos!$G:$G,Eventos!$B:$B,Q$2,Eventos!$D:$D,$C$2,Eventos!$F:$F,$L1355),"")</f>
        <v>0</v>
      </c>
      <c r="R1355" s="59">
        <f>SUMIFS(Eventos!$G:$G,Eventos!$F:$F,$L1355,Eventos!$D:$D,$C$2,Eventos!$B:$B,PANES_SEMANALES[[#ALL],[SÁBADO]])</f>
        <v>0</v>
      </c>
      <c r="S1355" s="59">
        <f>SUMIFS(Eventos!$G:$G,Eventos!$F:$F,$L1355,Eventos!$D:$D,$C$2,Eventos!$B:$B,PANES_SEMANALES[[#ALL],[DOMINGO]])</f>
        <v>0</v>
      </c>
      <c r="T1355" s="59">
        <f t="shared" si="1"/>
        <v>0</v>
      </c>
    </row>
    <row r="1356" ht="22.5" customHeight="1">
      <c r="M1356" s="59">
        <f>SUMIFS(Eventos!$G:$G,Eventos!$F:$F,$L1356,Eventos!$D:$D,$C$2,Eventos!$B:$B,PANES_SEMANALES[[#ALL],[LUNES]])</f>
        <v>0</v>
      </c>
      <c r="N1356" s="59">
        <f>SUMIFS(Eventos!$G:$G,Eventos!$F:$F,$L1356,Eventos!$D:$D,$C$2,Eventos!$B:$B,PANES_SEMANALES[[#ALL],[MARTES]])</f>
        <v>0</v>
      </c>
      <c r="O1356" s="59">
        <f>SUMIFS(Eventos!$G:$G,Eventos!$F:$F,$L1356,Eventos!$D:$D,$C$2,Eventos!$B:$B,PANES_SEMANALES[[#ALL],[MIÉRCOLES]])</f>
        <v>0</v>
      </c>
      <c r="P1356" s="59">
        <f>SUMIFS(Eventos!$G:$G,Eventos!$F:$F,$L1356,Eventos!$D:$D,$C$2,Eventos!$B:$B,PANES_SEMANALES[[#ALL],[JUEVES]])</f>
        <v>0</v>
      </c>
      <c r="Q1356" s="59">
        <f>IF(P1356&lt;&gt;"",SUMIFS(Eventos!$G:$G,Eventos!$B:$B,Q$2,Eventos!$D:$D,$C$2,Eventos!$F:$F,$L1356),"")</f>
        <v>0</v>
      </c>
      <c r="R1356" s="59">
        <f>SUMIFS(Eventos!$G:$G,Eventos!$F:$F,$L1356,Eventos!$D:$D,$C$2,Eventos!$B:$B,PANES_SEMANALES[[#ALL],[SÁBADO]])</f>
        <v>0</v>
      </c>
      <c r="S1356" s="59">
        <f>SUMIFS(Eventos!$G:$G,Eventos!$F:$F,$L1356,Eventos!$D:$D,$C$2,Eventos!$B:$B,PANES_SEMANALES[[#ALL],[DOMINGO]])</f>
        <v>0</v>
      </c>
      <c r="T1356" s="59">
        <f t="shared" si="1"/>
        <v>0</v>
      </c>
    </row>
    <row r="1357" ht="22.5" customHeight="1">
      <c r="M1357" s="59">
        <f>SUMIFS(Eventos!$G:$G,Eventos!$F:$F,$L1357,Eventos!$D:$D,$C$2,Eventos!$B:$B,PANES_SEMANALES[[#ALL],[LUNES]])</f>
        <v>0</v>
      </c>
      <c r="N1357" s="59">
        <f>SUMIFS(Eventos!$G:$G,Eventos!$F:$F,$L1357,Eventos!$D:$D,$C$2,Eventos!$B:$B,PANES_SEMANALES[[#ALL],[MARTES]])</f>
        <v>0</v>
      </c>
      <c r="O1357" s="59">
        <f>SUMIFS(Eventos!$G:$G,Eventos!$F:$F,$L1357,Eventos!$D:$D,$C$2,Eventos!$B:$B,PANES_SEMANALES[[#ALL],[MIÉRCOLES]])</f>
        <v>0</v>
      </c>
      <c r="P1357" s="59">
        <f>SUMIFS(Eventos!$G:$G,Eventos!$F:$F,$L1357,Eventos!$D:$D,$C$2,Eventos!$B:$B,PANES_SEMANALES[[#ALL],[JUEVES]])</f>
        <v>0</v>
      </c>
      <c r="Q1357" s="59">
        <f>IF(P1357&lt;&gt;"",SUMIFS(Eventos!$G:$G,Eventos!$B:$B,Q$2,Eventos!$D:$D,$C$2,Eventos!$F:$F,$L1357),"")</f>
        <v>0</v>
      </c>
      <c r="R1357" s="59">
        <f>SUMIFS(Eventos!$G:$G,Eventos!$F:$F,$L1357,Eventos!$D:$D,$C$2,Eventos!$B:$B,PANES_SEMANALES[[#ALL],[SÁBADO]])</f>
        <v>0</v>
      </c>
      <c r="S1357" s="59">
        <f>SUMIFS(Eventos!$G:$G,Eventos!$F:$F,$L1357,Eventos!$D:$D,$C$2,Eventos!$B:$B,PANES_SEMANALES[[#ALL],[DOMINGO]])</f>
        <v>0</v>
      </c>
      <c r="T1357" s="59">
        <f t="shared" si="1"/>
        <v>0</v>
      </c>
    </row>
    <row r="1358" ht="22.5" customHeight="1">
      <c r="M1358" s="59">
        <f>SUMIFS(Eventos!$G:$G,Eventos!$F:$F,$L1358,Eventos!$D:$D,$C$2,Eventos!$B:$B,PANES_SEMANALES[[#ALL],[LUNES]])</f>
        <v>0</v>
      </c>
      <c r="N1358" s="59">
        <f>SUMIFS(Eventos!$G:$G,Eventos!$F:$F,$L1358,Eventos!$D:$D,$C$2,Eventos!$B:$B,PANES_SEMANALES[[#ALL],[MARTES]])</f>
        <v>0</v>
      </c>
      <c r="O1358" s="59">
        <f>SUMIFS(Eventos!$G:$G,Eventos!$F:$F,$L1358,Eventos!$D:$D,$C$2,Eventos!$B:$B,PANES_SEMANALES[[#ALL],[MIÉRCOLES]])</f>
        <v>0</v>
      </c>
      <c r="P1358" s="59">
        <f>SUMIFS(Eventos!$G:$G,Eventos!$F:$F,$L1358,Eventos!$D:$D,$C$2,Eventos!$B:$B,PANES_SEMANALES[[#ALL],[JUEVES]])</f>
        <v>0</v>
      </c>
      <c r="Q1358" s="59">
        <f>IF(P1358&lt;&gt;"",SUMIFS(Eventos!$G:$G,Eventos!$B:$B,Q$2,Eventos!$D:$D,$C$2,Eventos!$F:$F,$L1358),"")</f>
        <v>0</v>
      </c>
      <c r="R1358" s="59">
        <f>SUMIFS(Eventos!$G:$G,Eventos!$F:$F,$L1358,Eventos!$D:$D,$C$2,Eventos!$B:$B,PANES_SEMANALES[[#ALL],[SÁBADO]])</f>
        <v>0</v>
      </c>
      <c r="S1358" s="59">
        <f>SUMIFS(Eventos!$G:$G,Eventos!$F:$F,$L1358,Eventos!$D:$D,$C$2,Eventos!$B:$B,PANES_SEMANALES[[#ALL],[DOMINGO]])</f>
        <v>0</v>
      </c>
      <c r="T1358" s="59">
        <f t="shared" si="1"/>
        <v>0</v>
      </c>
    </row>
    <row r="1359" ht="22.5" customHeight="1">
      <c r="M1359" s="59">
        <f>SUMIFS(Eventos!$G:$G,Eventos!$F:$F,$L1359,Eventos!$D:$D,$C$2,Eventos!$B:$B,PANES_SEMANALES[[#ALL],[LUNES]])</f>
        <v>0</v>
      </c>
      <c r="N1359" s="59">
        <f>SUMIFS(Eventos!$G:$G,Eventos!$F:$F,$L1359,Eventos!$D:$D,$C$2,Eventos!$B:$B,PANES_SEMANALES[[#ALL],[MARTES]])</f>
        <v>0</v>
      </c>
      <c r="O1359" s="59">
        <f>SUMIFS(Eventos!$G:$G,Eventos!$F:$F,$L1359,Eventos!$D:$D,$C$2,Eventos!$B:$B,PANES_SEMANALES[[#ALL],[MIÉRCOLES]])</f>
        <v>0</v>
      </c>
      <c r="P1359" s="59">
        <f>SUMIFS(Eventos!$G:$G,Eventos!$F:$F,$L1359,Eventos!$D:$D,$C$2,Eventos!$B:$B,PANES_SEMANALES[[#ALL],[JUEVES]])</f>
        <v>0</v>
      </c>
      <c r="Q1359" s="59">
        <f>IF(P1359&lt;&gt;"",SUMIFS(Eventos!$G:$G,Eventos!$B:$B,Q$2,Eventos!$D:$D,$C$2,Eventos!$F:$F,$L1359),"")</f>
        <v>0</v>
      </c>
      <c r="R1359" s="59">
        <f>SUMIFS(Eventos!$G:$G,Eventos!$F:$F,$L1359,Eventos!$D:$D,$C$2,Eventos!$B:$B,PANES_SEMANALES[[#ALL],[SÁBADO]])</f>
        <v>0</v>
      </c>
      <c r="S1359" s="59">
        <f>SUMIFS(Eventos!$G:$G,Eventos!$F:$F,$L1359,Eventos!$D:$D,$C$2,Eventos!$B:$B,PANES_SEMANALES[[#ALL],[DOMINGO]])</f>
        <v>0</v>
      </c>
      <c r="T1359" s="59">
        <f t="shared" si="1"/>
        <v>0</v>
      </c>
    </row>
    <row r="1360" ht="22.5" customHeight="1">
      <c r="M1360" s="59">
        <f>SUMIFS(Eventos!$G:$G,Eventos!$F:$F,$L1360,Eventos!$D:$D,$C$2,Eventos!$B:$B,PANES_SEMANALES[[#ALL],[LUNES]])</f>
        <v>0</v>
      </c>
      <c r="N1360" s="59">
        <f>SUMIFS(Eventos!$G:$G,Eventos!$F:$F,$L1360,Eventos!$D:$D,$C$2,Eventos!$B:$B,PANES_SEMANALES[[#ALL],[MARTES]])</f>
        <v>0</v>
      </c>
      <c r="O1360" s="59">
        <f>SUMIFS(Eventos!$G:$G,Eventos!$F:$F,$L1360,Eventos!$D:$D,$C$2,Eventos!$B:$B,PANES_SEMANALES[[#ALL],[MIÉRCOLES]])</f>
        <v>0</v>
      </c>
      <c r="P1360" s="59">
        <f>SUMIFS(Eventos!$G:$G,Eventos!$F:$F,$L1360,Eventos!$D:$D,$C$2,Eventos!$B:$B,PANES_SEMANALES[[#ALL],[JUEVES]])</f>
        <v>0</v>
      </c>
      <c r="Q1360" s="59">
        <f>IF(P1360&lt;&gt;"",SUMIFS(Eventos!$G:$G,Eventos!$B:$B,Q$2,Eventos!$D:$D,$C$2,Eventos!$F:$F,$L1360),"")</f>
        <v>0</v>
      </c>
      <c r="R1360" s="59">
        <f>SUMIFS(Eventos!$G:$G,Eventos!$F:$F,$L1360,Eventos!$D:$D,$C$2,Eventos!$B:$B,PANES_SEMANALES[[#ALL],[SÁBADO]])</f>
        <v>0</v>
      </c>
      <c r="S1360" s="59">
        <f>SUMIFS(Eventos!$G:$G,Eventos!$F:$F,$L1360,Eventos!$D:$D,$C$2,Eventos!$B:$B,PANES_SEMANALES[[#ALL],[DOMINGO]])</f>
        <v>0</v>
      </c>
      <c r="T1360" s="59">
        <f t="shared" si="1"/>
        <v>0</v>
      </c>
    </row>
    <row r="1361" ht="22.5" customHeight="1">
      <c r="M1361" s="59">
        <f>SUMIFS(Eventos!$G:$G,Eventos!$F:$F,$L1361,Eventos!$D:$D,$C$2,Eventos!$B:$B,PANES_SEMANALES[[#ALL],[LUNES]])</f>
        <v>0</v>
      </c>
      <c r="N1361" s="59">
        <f>SUMIFS(Eventos!$G:$G,Eventos!$F:$F,$L1361,Eventos!$D:$D,$C$2,Eventos!$B:$B,PANES_SEMANALES[[#ALL],[MARTES]])</f>
        <v>0</v>
      </c>
      <c r="O1361" s="59">
        <f>SUMIFS(Eventos!$G:$G,Eventos!$F:$F,$L1361,Eventos!$D:$D,$C$2,Eventos!$B:$B,PANES_SEMANALES[[#ALL],[MIÉRCOLES]])</f>
        <v>0</v>
      </c>
      <c r="P1361" s="59">
        <f>SUMIFS(Eventos!$G:$G,Eventos!$F:$F,$L1361,Eventos!$D:$D,$C$2,Eventos!$B:$B,PANES_SEMANALES[[#ALL],[JUEVES]])</f>
        <v>0</v>
      </c>
      <c r="Q1361" s="59">
        <f>IF(P1361&lt;&gt;"",SUMIFS(Eventos!$G:$G,Eventos!$B:$B,Q$2,Eventos!$D:$D,$C$2,Eventos!$F:$F,$L1361),"")</f>
        <v>0</v>
      </c>
      <c r="R1361" s="59">
        <f>SUMIFS(Eventos!$G:$G,Eventos!$F:$F,$L1361,Eventos!$D:$D,$C$2,Eventos!$B:$B,PANES_SEMANALES[[#ALL],[SÁBADO]])</f>
        <v>0</v>
      </c>
      <c r="S1361" s="59">
        <f>SUMIFS(Eventos!$G:$G,Eventos!$F:$F,$L1361,Eventos!$D:$D,$C$2,Eventos!$B:$B,PANES_SEMANALES[[#ALL],[DOMINGO]])</f>
        <v>0</v>
      </c>
      <c r="T1361" s="59">
        <f t="shared" si="1"/>
        <v>0</v>
      </c>
    </row>
    <row r="1362" ht="22.5" customHeight="1">
      <c r="M1362" s="59">
        <f>SUMIFS(Eventos!$G:$G,Eventos!$F:$F,$L1362,Eventos!$D:$D,$C$2,Eventos!$B:$B,PANES_SEMANALES[[#ALL],[LUNES]])</f>
        <v>0</v>
      </c>
      <c r="N1362" s="59">
        <f>SUMIFS(Eventos!$G:$G,Eventos!$F:$F,$L1362,Eventos!$D:$D,$C$2,Eventos!$B:$B,PANES_SEMANALES[[#ALL],[MARTES]])</f>
        <v>0</v>
      </c>
      <c r="O1362" s="59">
        <f>SUMIFS(Eventos!$G:$G,Eventos!$F:$F,$L1362,Eventos!$D:$D,$C$2,Eventos!$B:$B,PANES_SEMANALES[[#ALL],[MIÉRCOLES]])</f>
        <v>0</v>
      </c>
      <c r="P1362" s="59">
        <f>SUMIFS(Eventos!$G:$G,Eventos!$F:$F,$L1362,Eventos!$D:$D,$C$2,Eventos!$B:$B,PANES_SEMANALES[[#ALL],[JUEVES]])</f>
        <v>0</v>
      </c>
      <c r="Q1362" s="59">
        <f>IF(P1362&lt;&gt;"",SUMIFS(Eventos!$G:$G,Eventos!$B:$B,Q$2,Eventos!$D:$D,$C$2,Eventos!$F:$F,$L1362),"")</f>
        <v>0</v>
      </c>
      <c r="R1362" s="59">
        <f>SUMIFS(Eventos!$G:$G,Eventos!$F:$F,$L1362,Eventos!$D:$D,$C$2,Eventos!$B:$B,PANES_SEMANALES[[#ALL],[SÁBADO]])</f>
        <v>0</v>
      </c>
      <c r="S1362" s="59">
        <f>SUMIFS(Eventos!$G:$G,Eventos!$F:$F,$L1362,Eventos!$D:$D,$C$2,Eventos!$B:$B,PANES_SEMANALES[[#ALL],[DOMINGO]])</f>
        <v>0</v>
      </c>
      <c r="T1362" s="59">
        <f t="shared" si="1"/>
        <v>0</v>
      </c>
    </row>
    <row r="1363" ht="22.5" customHeight="1">
      <c r="M1363" s="59">
        <f>SUMIFS(Eventos!$G:$G,Eventos!$F:$F,$L1363,Eventos!$D:$D,$C$2,Eventos!$B:$B,PANES_SEMANALES[[#ALL],[LUNES]])</f>
        <v>0</v>
      </c>
      <c r="N1363" s="59">
        <f>SUMIFS(Eventos!$G:$G,Eventos!$F:$F,$L1363,Eventos!$D:$D,$C$2,Eventos!$B:$B,PANES_SEMANALES[[#ALL],[MARTES]])</f>
        <v>0</v>
      </c>
      <c r="O1363" s="59">
        <f>SUMIFS(Eventos!$G:$G,Eventos!$F:$F,$L1363,Eventos!$D:$D,$C$2,Eventos!$B:$B,PANES_SEMANALES[[#ALL],[MIÉRCOLES]])</f>
        <v>0</v>
      </c>
      <c r="P1363" s="59">
        <f>SUMIFS(Eventos!$G:$G,Eventos!$F:$F,$L1363,Eventos!$D:$D,$C$2,Eventos!$B:$B,PANES_SEMANALES[[#ALL],[JUEVES]])</f>
        <v>0</v>
      </c>
      <c r="Q1363" s="59">
        <f>IF(P1363&lt;&gt;"",SUMIFS(Eventos!$G:$G,Eventos!$B:$B,Q$2,Eventos!$D:$D,$C$2,Eventos!$F:$F,$L1363),"")</f>
        <v>0</v>
      </c>
      <c r="R1363" s="59">
        <f>SUMIFS(Eventos!$G:$G,Eventos!$F:$F,$L1363,Eventos!$D:$D,$C$2,Eventos!$B:$B,PANES_SEMANALES[[#ALL],[SÁBADO]])</f>
        <v>0</v>
      </c>
      <c r="S1363" s="59">
        <f>SUMIFS(Eventos!$G:$G,Eventos!$F:$F,$L1363,Eventos!$D:$D,$C$2,Eventos!$B:$B,PANES_SEMANALES[[#ALL],[DOMINGO]])</f>
        <v>0</v>
      </c>
      <c r="T1363" s="59">
        <f t="shared" si="1"/>
        <v>0</v>
      </c>
    </row>
    <row r="1364" ht="22.5" customHeight="1">
      <c r="M1364" s="59">
        <f>SUMIFS(Eventos!$G:$G,Eventos!$F:$F,$L1364,Eventos!$D:$D,$C$2,Eventos!$B:$B,PANES_SEMANALES[[#ALL],[LUNES]])</f>
        <v>0</v>
      </c>
      <c r="N1364" s="59">
        <f>SUMIFS(Eventos!$G:$G,Eventos!$F:$F,$L1364,Eventos!$D:$D,$C$2,Eventos!$B:$B,PANES_SEMANALES[[#ALL],[MARTES]])</f>
        <v>0</v>
      </c>
      <c r="O1364" s="59">
        <f>SUMIFS(Eventos!$G:$G,Eventos!$F:$F,$L1364,Eventos!$D:$D,$C$2,Eventos!$B:$B,PANES_SEMANALES[[#ALL],[MIÉRCOLES]])</f>
        <v>0</v>
      </c>
      <c r="P1364" s="59">
        <f>SUMIFS(Eventos!$G:$G,Eventos!$F:$F,$L1364,Eventos!$D:$D,$C$2,Eventos!$B:$B,PANES_SEMANALES[[#ALL],[JUEVES]])</f>
        <v>0</v>
      </c>
      <c r="Q1364" s="59">
        <f>IF(P1364&lt;&gt;"",SUMIFS(Eventos!$G:$G,Eventos!$B:$B,Q$2,Eventos!$D:$D,$C$2,Eventos!$F:$F,$L1364),"")</f>
        <v>0</v>
      </c>
      <c r="R1364" s="59">
        <f>SUMIFS(Eventos!$G:$G,Eventos!$F:$F,$L1364,Eventos!$D:$D,$C$2,Eventos!$B:$B,PANES_SEMANALES[[#ALL],[SÁBADO]])</f>
        <v>0</v>
      </c>
      <c r="S1364" s="59">
        <f>SUMIFS(Eventos!$G:$G,Eventos!$F:$F,$L1364,Eventos!$D:$D,$C$2,Eventos!$B:$B,PANES_SEMANALES[[#ALL],[DOMINGO]])</f>
        <v>0</v>
      </c>
      <c r="T1364" s="59">
        <f t="shared" si="1"/>
        <v>0</v>
      </c>
    </row>
    <row r="1365" ht="22.5" customHeight="1">
      <c r="M1365" s="59">
        <f>SUMIFS(Eventos!$G:$G,Eventos!$F:$F,$L1365,Eventos!$D:$D,$C$2,Eventos!$B:$B,PANES_SEMANALES[[#ALL],[LUNES]])</f>
        <v>0</v>
      </c>
      <c r="N1365" s="59">
        <f>SUMIFS(Eventos!$G:$G,Eventos!$F:$F,$L1365,Eventos!$D:$D,$C$2,Eventos!$B:$B,PANES_SEMANALES[[#ALL],[MARTES]])</f>
        <v>0</v>
      </c>
      <c r="O1365" s="59">
        <f>SUMIFS(Eventos!$G:$G,Eventos!$F:$F,$L1365,Eventos!$D:$D,$C$2,Eventos!$B:$B,PANES_SEMANALES[[#ALL],[MIÉRCOLES]])</f>
        <v>0</v>
      </c>
      <c r="P1365" s="59">
        <f>SUMIFS(Eventos!$G:$G,Eventos!$F:$F,$L1365,Eventos!$D:$D,$C$2,Eventos!$B:$B,PANES_SEMANALES[[#ALL],[JUEVES]])</f>
        <v>0</v>
      </c>
      <c r="Q1365" s="59">
        <f>IF(P1365&lt;&gt;"",SUMIFS(Eventos!$G:$G,Eventos!$B:$B,Q$2,Eventos!$D:$D,$C$2,Eventos!$F:$F,$L1365),"")</f>
        <v>0</v>
      </c>
      <c r="R1365" s="59">
        <f>SUMIFS(Eventos!$G:$G,Eventos!$F:$F,$L1365,Eventos!$D:$D,$C$2,Eventos!$B:$B,PANES_SEMANALES[[#ALL],[SÁBADO]])</f>
        <v>0</v>
      </c>
      <c r="S1365" s="59">
        <f>SUMIFS(Eventos!$G:$G,Eventos!$F:$F,$L1365,Eventos!$D:$D,$C$2,Eventos!$B:$B,PANES_SEMANALES[[#ALL],[DOMINGO]])</f>
        <v>0</v>
      </c>
      <c r="T1365" s="59">
        <f t="shared" si="1"/>
        <v>0</v>
      </c>
    </row>
    <row r="1366" ht="22.5" customHeight="1">
      <c r="M1366" s="59">
        <f>SUMIFS(Eventos!$G:$G,Eventos!$F:$F,$L1366,Eventos!$D:$D,$C$2,Eventos!$B:$B,PANES_SEMANALES[[#ALL],[LUNES]])</f>
        <v>0</v>
      </c>
      <c r="N1366" s="59">
        <f>SUMIFS(Eventos!$G:$G,Eventos!$F:$F,$L1366,Eventos!$D:$D,$C$2,Eventos!$B:$B,PANES_SEMANALES[[#ALL],[MARTES]])</f>
        <v>0</v>
      </c>
      <c r="O1366" s="59">
        <f>SUMIFS(Eventos!$G:$G,Eventos!$F:$F,$L1366,Eventos!$D:$D,$C$2,Eventos!$B:$B,PANES_SEMANALES[[#ALL],[MIÉRCOLES]])</f>
        <v>0</v>
      </c>
      <c r="P1366" s="59">
        <f>SUMIFS(Eventos!$G:$G,Eventos!$F:$F,$L1366,Eventos!$D:$D,$C$2,Eventos!$B:$B,PANES_SEMANALES[[#ALL],[JUEVES]])</f>
        <v>0</v>
      </c>
      <c r="Q1366" s="59">
        <f>IF(P1366&lt;&gt;"",SUMIFS(Eventos!$G:$G,Eventos!$B:$B,Q$2,Eventos!$D:$D,$C$2,Eventos!$F:$F,$L1366),"")</f>
        <v>0</v>
      </c>
      <c r="R1366" s="59">
        <f>SUMIFS(Eventos!$G:$G,Eventos!$F:$F,$L1366,Eventos!$D:$D,$C$2,Eventos!$B:$B,PANES_SEMANALES[[#ALL],[SÁBADO]])</f>
        <v>0</v>
      </c>
      <c r="S1366" s="59">
        <f>SUMIFS(Eventos!$G:$G,Eventos!$F:$F,$L1366,Eventos!$D:$D,$C$2,Eventos!$B:$B,PANES_SEMANALES[[#ALL],[DOMINGO]])</f>
        <v>0</v>
      </c>
      <c r="T1366" s="59">
        <f t="shared" si="1"/>
        <v>0</v>
      </c>
    </row>
    <row r="1367" ht="22.5" customHeight="1">
      <c r="M1367" s="59">
        <f>SUMIFS(Eventos!$G:$G,Eventos!$F:$F,$L1367,Eventos!$D:$D,$C$2,Eventos!$B:$B,PANES_SEMANALES[[#ALL],[LUNES]])</f>
        <v>0</v>
      </c>
      <c r="N1367" s="59">
        <f>SUMIFS(Eventos!$G:$G,Eventos!$F:$F,$L1367,Eventos!$D:$D,$C$2,Eventos!$B:$B,PANES_SEMANALES[[#ALL],[MARTES]])</f>
        <v>0</v>
      </c>
      <c r="O1367" s="59">
        <f>SUMIFS(Eventos!$G:$G,Eventos!$F:$F,$L1367,Eventos!$D:$D,$C$2,Eventos!$B:$B,PANES_SEMANALES[[#ALL],[MIÉRCOLES]])</f>
        <v>0</v>
      </c>
      <c r="P1367" s="59">
        <f>SUMIFS(Eventos!$G:$G,Eventos!$F:$F,$L1367,Eventos!$D:$D,$C$2,Eventos!$B:$B,PANES_SEMANALES[[#ALL],[JUEVES]])</f>
        <v>0</v>
      </c>
      <c r="Q1367" s="59">
        <f>IF(P1367&lt;&gt;"",SUMIFS(Eventos!$G:$G,Eventos!$B:$B,Q$2,Eventos!$D:$D,$C$2,Eventos!$F:$F,$L1367),"")</f>
        <v>0</v>
      </c>
      <c r="R1367" s="59">
        <f>SUMIFS(Eventos!$G:$G,Eventos!$F:$F,$L1367,Eventos!$D:$D,$C$2,Eventos!$B:$B,PANES_SEMANALES[[#ALL],[SÁBADO]])</f>
        <v>0</v>
      </c>
      <c r="S1367" s="59">
        <f>SUMIFS(Eventos!$G:$G,Eventos!$F:$F,$L1367,Eventos!$D:$D,$C$2,Eventos!$B:$B,PANES_SEMANALES[[#ALL],[DOMINGO]])</f>
        <v>0</v>
      </c>
      <c r="T1367" s="59">
        <f t="shared" si="1"/>
        <v>0</v>
      </c>
    </row>
    <row r="1368" ht="22.5" customHeight="1">
      <c r="M1368" s="59">
        <f>SUMIFS(Eventos!$G:$G,Eventos!$F:$F,$L1368,Eventos!$D:$D,$C$2,Eventos!$B:$B,PANES_SEMANALES[[#ALL],[LUNES]])</f>
        <v>0</v>
      </c>
      <c r="N1368" s="59">
        <f>SUMIFS(Eventos!$G:$G,Eventos!$F:$F,$L1368,Eventos!$D:$D,$C$2,Eventos!$B:$B,PANES_SEMANALES[[#ALL],[MARTES]])</f>
        <v>0</v>
      </c>
      <c r="O1368" s="59">
        <f>SUMIFS(Eventos!$G:$G,Eventos!$F:$F,$L1368,Eventos!$D:$D,$C$2,Eventos!$B:$B,PANES_SEMANALES[[#ALL],[MIÉRCOLES]])</f>
        <v>0</v>
      </c>
      <c r="P1368" s="59">
        <f>SUMIFS(Eventos!$G:$G,Eventos!$F:$F,$L1368,Eventos!$D:$D,$C$2,Eventos!$B:$B,PANES_SEMANALES[[#ALL],[JUEVES]])</f>
        <v>0</v>
      </c>
      <c r="Q1368" s="59">
        <f>IF(P1368&lt;&gt;"",SUMIFS(Eventos!$G:$G,Eventos!$B:$B,Q$2,Eventos!$D:$D,$C$2,Eventos!$F:$F,$L1368),"")</f>
        <v>0</v>
      </c>
      <c r="R1368" s="59">
        <f>SUMIFS(Eventos!$G:$G,Eventos!$F:$F,$L1368,Eventos!$D:$D,$C$2,Eventos!$B:$B,PANES_SEMANALES[[#ALL],[SÁBADO]])</f>
        <v>0</v>
      </c>
      <c r="S1368" s="59">
        <f>SUMIFS(Eventos!$G:$G,Eventos!$F:$F,$L1368,Eventos!$D:$D,$C$2,Eventos!$B:$B,PANES_SEMANALES[[#ALL],[DOMINGO]])</f>
        <v>0</v>
      </c>
      <c r="T1368" s="59">
        <f t="shared" si="1"/>
        <v>0</v>
      </c>
    </row>
    <row r="1369" ht="22.5" customHeight="1">
      <c r="M1369" s="59">
        <f>SUMIFS(Eventos!$G:$G,Eventos!$F:$F,$L1369,Eventos!$D:$D,$C$2,Eventos!$B:$B,PANES_SEMANALES[[#ALL],[LUNES]])</f>
        <v>0</v>
      </c>
      <c r="N1369" s="59">
        <f>SUMIFS(Eventos!$G:$G,Eventos!$F:$F,$L1369,Eventos!$D:$D,$C$2,Eventos!$B:$B,PANES_SEMANALES[[#ALL],[MARTES]])</f>
        <v>0</v>
      </c>
      <c r="O1369" s="59">
        <f>SUMIFS(Eventos!$G:$G,Eventos!$F:$F,$L1369,Eventos!$D:$D,$C$2,Eventos!$B:$B,PANES_SEMANALES[[#ALL],[MIÉRCOLES]])</f>
        <v>0</v>
      </c>
      <c r="P1369" s="59">
        <f>SUMIFS(Eventos!$G:$G,Eventos!$F:$F,$L1369,Eventos!$D:$D,$C$2,Eventos!$B:$B,PANES_SEMANALES[[#ALL],[JUEVES]])</f>
        <v>0</v>
      </c>
      <c r="Q1369" s="59">
        <f>IF(P1369&lt;&gt;"",SUMIFS(Eventos!$G:$G,Eventos!$B:$B,Q$2,Eventos!$D:$D,$C$2,Eventos!$F:$F,$L1369),"")</f>
        <v>0</v>
      </c>
      <c r="R1369" s="59">
        <f>SUMIFS(Eventos!$G:$G,Eventos!$F:$F,$L1369,Eventos!$D:$D,$C$2,Eventos!$B:$B,PANES_SEMANALES[[#ALL],[SÁBADO]])</f>
        <v>0</v>
      </c>
      <c r="S1369" s="59">
        <f>SUMIFS(Eventos!$G:$G,Eventos!$F:$F,$L1369,Eventos!$D:$D,$C$2,Eventos!$B:$B,PANES_SEMANALES[[#ALL],[DOMINGO]])</f>
        <v>0</v>
      </c>
      <c r="T1369" s="59">
        <f t="shared" si="1"/>
        <v>0</v>
      </c>
    </row>
    <row r="1370" ht="22.5" customHeight="1">
      <c r="M1370" s="59">
        <f>SUMIFS(Eventos!$G:$G,Eventos!$F:$F,$L1370,Eventos!$D:$D,$C$2,Eventos!$B:$B,PANES_SEMANALES[[#ALL],[LUNES]])</f>
        <v>0</v>
      </c>
      <c r="N1370" s="59">
        <f>SUMIFS(Eventos!$G:$G,Eventos!$F:$F,$L1370,Eventos!$D:$D,$C$2,Eventos!$B:$B,PANES_SEMANALES[[#ALL],[MARTES]])</f>
        <v>0</v>
      </c>
      <c r="O1370" s="59">
        <f>SUMIFS(Eventos!$G:$G,Eventos!$F:$F,$L1370,Eventos!$D:$D,$C$2,Eventos!$B:$B,PANES_SEMANALES[[#ALL],[MIÉRCOLES]])</f>
        <v>0</v>
      </c>
      <c r="P1370" s="59">
        <f>SUMIFS(Eventos!$G:$G,Eventos!$F:$F,$L1370,Eventos!$D:$D,$C$2,Eventos!$B:$B,PANES_SEMANALES[[#ALL],[JUEVES]])</f>
        <v>0</v>
      </c>
      <c r="Q1370" s="59">
        <f>IF(P1370&lt;&gt;"",SUMIFS(Eventos!$G:$G,Eventos!$B:$B,Q$2,Eventos!$D:$D,$C$2,Eventos!$F:$F,$L1370),"")</f>
        <v>0</v>
      </c>
      <c r="R1370" s="59">
        <f>SUMIFS(Eventos!$G:$G,Eventos!$F:$F,$L1370,Eventos!$D:$D,$C$2,Eventos!$B:$B,PANES_SEMANALES[[#ALL],[SÁBADO]])</f>
        <v>0</v>
      </c>
      <c r="S1370" s="59">
        <f>SUMIFS(Eventos!$G:$G,Eventos!$F:$F,$L1370,Eventos!$D:$D,$C$2,Eventos!$B:$B,PANES_SEMANALES[[#ALL],[DOMINGO]])</f>
        <v>0</v>
      </c>
      <c r="T1370" s="59">
        <f t="shared" si="1"/>
        <v>0</v>
      </c>
    </row>
    <row r="1371" ht="22.5" customHeight="1">
      <c r="M1371" s="59">
        <f>SUMIFS(Eventos!$G:$G,Eventos!$F:$F,$L1371,Eventos!$D:$D,$C$2,Eventos!$B:$B,PANES_SEMANALES[[#ALL],[LUNES]])</f>
        <v>0</v>
      </c>
      <c r="N1371" s="59">
        <f>SUMIFS(Eventos!$G:$G,Eventos!$F:$F,$L1371,Eventos!$D:$D,$C$2,Eventos!$B:$B,PANES_SEMANALES[[#ALL],[MARTES]])</f>
        <v>0</v>
      </c>
      <c r="O1371" s="59">
        <f>SUMIFS(Eventos!$G:$G,Eventos!$F:$F,$L1371,Eventos!$D:$D,$C$2,Eventos!$B:$B,PANES_SEMANALES[[#ALL],[MIÉRCOLES]])</f>
        <v>0</v>
      </c>
      <c r="P1371" s="59">
        <f>SUMIFS(Eventos!$G:$G,Eventos!$F:$F,$L1371,Eventos!$D:$D,$C$2,Eventos!$B:$B,PANES_SEMANALES[[#ALL],[JUEVES]])</f>
        <v>0</v>
      </c>
      <c r="Q1371" s="59">
        <f>IF(P1371&lt;&gt;"",SUMIFS(Eventos!$G:$G,Eventos!$B:$B,Q$2,Eventos!$D:$D,$C$2,Eventos!$F:$F,$L1371),"")</f>
        <v>0</v>
      </c>
      <c r="R1371" s="59">
        <f>SUMIFS(Eventos!$G:$G,Eventos!$F:$F,$L1371,Eventos!$D:$D,$C$2,Eventos!$B:$B,PANES_SEMANALES[[#ALL],[SÁBADO]])</f>
        <v>0</v>
      </c>
      <c r="S1371" s="59">
        <f>SUMIFS(Eventos!$G:$G,Eventos!$F:$F,$L1371,Eventos!$D:$D,$C$2,Eventos!$B:$B,PANES_SEMANALES[[#ALL],[DOMINGO]])</f>
        <v>0</v>
      </c>
      <c r="T1371" s="59">
        <f t="shared" si="1"/>
        <v>0</v>
      </c>
    </row>
    <row r="1372" ht="22.5" customHeight="1">
      <c r="M1372" s="59">
        <f>SUMIFS(Eventos!$G:$G,Eventos!$F:$F,$L1372,Eventos!$D:$D,$C$2,Eventos!$B:$B,PANES_SEMANALES[[#ALL],[LUNES]])</f>
        <v>0</v>
      </c>
      <c r="N1372" s="59">
        <f>SUMIFS(Eventos!$G:$G,Eventos!$F:$F,$L1372,Eventos!$D:$D,$C$2,Eventos!$B:$B,PANES_SEMANALES[[#ALL],[MARTES]])</f>
        <v>0</v>
      </c>
      <c r="O1372" s="59">
        <f>SUMIFS(Eventos!$G:$G,Eventos!$F:$F,$L1372,Eventos!$D:$D,$C$2,Eventos!$B:$B,PANES_SEMANALES[[#ALL],[MIÉRCOLES]])</f>
        <v>0</v>
      </c>
      <c r="P1372" s="59">
        <f>SUMIFS(Eventos!$G:$G,Eventos!$F:$F,$L1372,Eventos!$D:$D,$C$2,Eventos!$B:$B,PANES_SEMANALES[[#ALL],[JUEVES]])</f>
        <v>0</v>
      </c>
      <c r="Q1372" s="59">
        <f>IF(P1372&lt;&gt;"",SUMIFS(Eventos!$G:$G,Eventos!$B:$B,Q$2,Eventos!$D:$D,$C$2,Eventos!$F:$F,$L1372),"")</f>
        <v>0</v>
      </c>
      <c r="R1372" s="59">
        <f>SUMIFS(Eventos!$G:$G,Eventos!$F:$F,$L1372,Eventos!$D:$D,$C$2,Eventos!$B:$B,PANES_SEMANALES[[#ALL],[SÁBADO]])</f>
        <v>0</v>
      </c>
      <c r="S1372" s="59">
        <f>SUMIFS(Eventos!$G:$G,Eventos!$F:$F,$L1372,Eventos!$D:$D,$C$2,Eventos!$B:$B,PANES_SEMANALES[[#ALL],[DOMINGO]])</f>
        <v>0</v>
      </c>
      <c r="T1372" s="59">
        <f t="shared" si="1"/>
        <v>0</v>
      </c>
    </row>
    <row r="1373" ht="22.5" customHeight="1">
      <c r="M1373" s="59">
        <f>SUMIFS(Eventos!$G:$G,Eventos!$F:$F,$L1373,Eventos!$D:$D,$C$2,Eventos!$B:$B,PANES_SEMANALES[[#ALL],[LUNES]])</f>
        <v>0</v>
      </c>
      <c r="N1373" s="59">
        <f>SUMIFS(Eventos!$G:$G,Eventos!$F:$F,$L1373,Eventos!$D:$D,$C$2,Eventos!$B:$B,PANES_SEMANALES[[#ALL],[MARTES]])</f>
        <v>0</v>
      </c>
      <c r="O1373" s="59">
        <f>SUMIFS(Eventos!$G:$G,Eventos!$F:$F,$L1373,Eventos!$D:$D,$C$2,Eventos!$B:$B,PANES_SEMANALES[[#ALL],[MIÉRCOLES]])</f>
        <v>0</v>
      </c>
      <c r="P1373" s="59">
        <f>SUMIFS(Eventos!$G:$G,Eventos!$F:$F,$L1373,Eventos!$D:$D,$C$2,Eventos!$B:$B,PANES_SEMANALES[[#ALL],[JUEVES]])</f>
        <v>0</v>
      </c>
      <c r="Q1373" s="59">
        <f>IF(P1373&lt;&gt;"",SUMIFS(Eventos!$G:$G,Eventos!$B:$B,Q$2,Eventos!$D:$D,$C$2,Eventos!$F:$F,$L1373),"")</f>
        <v>0</v>
      </c>
      <c r="R1373" s="59">
        <f>SUMIFS(Eventos!$G:$G,Eventos!$F:$F,$L1373,Eventos!$D:$D,$C$2,Eventos!$B:$B,PANES_SEMANALES[[#ALL],[SÁBADO]])</f>
        <v>0</v>
      </c>
      <c r="S1373" s="59">
        <f>SUMIFS(Eventos!$G:$G,Eventos!$F:$F,$L1373,Eventos!$D:$D,$C$2,Eventos!$B:$B,PANES_SEMANALES[[#ALL],[DOMINGO]])</f>
        <v>0</v>
      </c>
      <c r="T1373" s="59">
        <f t="shared" si="1"/>
        <v>0</v>
      </c>
    </row>
    <row r="1374" ht="22.5" customHeight="1">
      <c r="M1374" s="59">
        <f>SUMIFS(Eventos!$G:$G,Eventos!$F:$F,$L1374,Eventos!$D:$D,$C$2,Eventos!$B:$B,PANES_SEMANALES[[#ALL],[LUNES]])</f>
        <v>0</v>
      </c>
      <c r="N1374" s="59">
        <f>SUMIFS(Eventos!$G:$G,Eventos!$F:$F,$L1374,Eventos!$D:$D,$C$2,Eventos!$B:$B,PANES_SEMANALES[[#ALL],[MARTES]])</f>
        <v>0</v>
      </c>
      <c r="O1374" s="59">
        <f>SUMIFS(Eventos!$G:$G,Eventos!$F:$F,$L1374,Eventos!$D:$D,$C$2,Eventos!$B:$B,PANES_SEMANALES[[#ALL],[MIÉRCOLES]])</f>
        <v>0</v>
      </c>
      <c r="P1374" s="59">
        <f>SUMIFS(Eventos!$G:$G,Eventos!$F:$F,$L1374,Eventos!$D:$D,$C$2,Eventos!$B:$B,PANES_SEMANALES[[#ALL],[JUEVES]])</f>
        <v>0</v>
      </c>
      <c r="Q1374" s="59">
        <f>IF(P1374&lt;&gt;"",SUMIFS(Eventos!$G:$G,Eventos!$B:$B,Q$2,Eventos!$D:$D,$C$2,Eventos!$F:$F,$L1374),"")</f>
        <v>0</v>
      </c>
      <c r="R1374" s="59">
        <f>SUMIFS(Eventos!$G:$G,Eventos!$F:$F,$L1374,Eventos!$D:$D,$C$2,Eventos!$B:$B,PANES_SEMANALES[[#ALL],[SÁBADO]])</f>
        <v>0</v>
      </c>
      <c r="S1374" s="59">
        <f>SUMIFS(Eventos!$G:$G,Eventos!$F:$F,$L1374,Eventos!$D:$D,$C$2,Eventos!$B:$B,PANES_SEMANALES[[#ALL],[DOMINGO]])</f>
        <v>0</v>
      </c>
      <c r="T1374" s="59">
        <f t="shared" si="1"/>
        <v>0</v>
      </c>
    </row>
    <row r="1375" ht="22.5" customHeight="1">
      <c r="M1375" s="59">
        <f>SUMIFS(Eventos!$G:$G,Eventos!$F:$F,$L1375,Eventos!$D:$D,$C$2,Eventos!$B:$B,PANES_SEMANALES[[#ALL],[LUNES]])</f>
        <v>0</v>
      </c>
      <c r="N1375" s="59">
        <f>SUMIFS(Eventos!$G:$G,Eventos!$F:$F,$L1375,Eventos!$D:$D,$C$2,Eventos!$B:$B,PANES_SEMANALES[[#ALL],[MARTES]])</f>
        <v>0</v>
      </c>
      <c r="O1375" s="59">
        <f>SUMIFS(Eventos!$G:$G,Eventos!$F:$F,$L1375,Eventos!$D:$D,$C$2,Eventos!$B:$B,PANES_SEMANALES[[#ALL],[MIÉRCOLES]])</f>
        <v>0</v>
      </c>
      <c r="P1375" s="59">
        <f>SUMIFS(Eventos!$G:$G,Eventos!$F:$F,$L1375,Eventos!$D:$D,$C$2,Eventos!$B:$B,PANES_SEMANALES[[#ALL],[JUEVES]])</f>
        <v>0</v>
      </c>
      <c r="Q1375" s="59">
        <f>IF(P1375&lt;&gt;"",SUMIFS(Eventos!$G:$G,Eventos!$B:$B,Q$2,Eventos!$D:$D,$C$2,Eventos!$F:$F,$L1375),"")</f>
        <v>0</v>
      </c>
      <c r="R1375" s="59">
        <f>SUMIFS(Eventos!$G:$G,Eventos!$F:$F,$L1375,Eventos!$D:$D,$C$2,Eventos!$B:$B,PANES_SEMANALES[[#ALL],[SÁBADO]])</f>
        <v>0</v>
      </c>
      <c r="S1375" s="59">
        <f>SUMIFS(Eventos!$G:$G,Eventos!$F:$F,$L1375,Eventos!$D:$D,$C$2,Eventos!$B:$B,PANES_SEMANALES[[#ALL],[DOMINGO]])</f>
        <v>0</v>
      </c>
      <c r="T1375" s="59">
        <f t="shared" si="1"/>
        <v>0</v>
      </c>
    </row>
    <row r="1376" ht="22.5" customHeight="1">
      <c r="M1376" s="59">
        <f>SUMIFS(Eventos!$G:$G,Eventos!$F:$F,$L1376,Eventos!$D:$D,$C$2,Eventos!$B:$B,PANES_SEMANALES[[#ALL],[LUNES]])</f>
        <v>0</v>
      </c>
      <c r="N1376" s="59">
        <f>SUMIFS(Eventos!$G:$G,Eventos!$F:$F,$L1376,Eventos!$D:$D,$C$2,Eventos!$B:$B,PANES_SEMANALES[[#ALL],[MARTES]])</f>
        <v>0</v>
      </c>
      <c r="O1376" s="59">
        <f>SUMIFS(Eventos!$G:$G,Eventos!$F:$F,$L1376,Eventos!$D:$D,$C$2,Eventos!$B:$B,PANES_SEMANALES[[#ALL],[MIÉRCOLES]])</f>
        <v>0</v>
      </c>
      <c r="P1376" s="59">
        <f>SUMIFS(Eventos!$G:$G,Eventos!$F:$F,$L1376,Eventos!$D:$D,$C$2,Eventos!$B:$B,PANES_SEMANALES[[#ALL],[JUEVES]])</f>
        <v>0</v>
      </c>
      <c r="Q1376" s="59">
        <f>IF(P1376&lt;&gt;"",SUMIFS(Eventos!$G:$G,Eventos!$B:$B,Q$2,Eventos!$D:$D,$C$2,Eventos!$F:$F,$L1376),"")</f>
        <v>0</v>
      </c>
      <c r="R1376" s="59">
        <f>SUMIFS(Eventos!$G:$G,Eventos!$F:$F,$L1376,Eventos!$D:$D,$C$2,Eventos!$B:$B,PANES_SEMANALES[[#ALL],[SÁBADO]])</f>
        <v>0</v>
      </c>
      <c r="S1376" s="59">
        <f>SUMIFS(Eventos!$G:$G,Eventos!$F:$F,$L1376,Eventos!$D:$D,$C$2,Eventos!$B:$B,PANES_SEMANALES[[#ALL],[DOMINGO]])</f>
        <v>0</v>
      </c>
      <c r="T1376" s="59">
        <f t="shared" si="1"/>
        <v>0</v>
      </c>
    </row>
    <row r="1377" ht="22.5" customHeight="1">
      <c r="M1377" s="59">
        <f>SUMIFS(Eventos!$G:$G,Eventos!$F:$F,$L1377,Eventos!$D:$D,$C$2,Eventos!$B:$B,PANES_SEMANALES[[#ALL],[LUNES]])</f>
        <v>0</v>
      </c>
      <c r="N1377" s="59">
        <f>SUMIFS(Eventos!$G:$G,Eventos!$F:$F,$L1377,Eventos!$D:$D,$C$2,Eventos!$B:$B,PANES_SEMANALES[[#ALL],[MARTES]])</f>
        <v>0</v>
      </c>
      <c r="O1377" s="59">
        <f>SUMIFS(Eventos!$G:$G,Eventos!$F:$F,$L1377,Eventos!$D:$D,$C$2,Eventos!$B:$B,PANES_SEMANALES[[#ALL],[MIÉRCOLES]])</f>
        <v>0</v>
      </c>
      <c r="P1377" s="59">
        <f>SUMIFS(Eventos!$G:$G,Eventos!$F:$F,$L1377,Eventos!$D:$D,$C$2,Eventos!$B:$B,PANES_SEMANALES[[#ALL],[JUEVES]])</f>
        <v>0</v>
      </c>
      <c r="Q1377" s="59">
        <f>IF(P1377&lt;&gt;"",SUMIFS(Eventos!$G:$G,Eventos!$B:$B,Q$2,Eventos!$D:$D,$C$2,Eventos!$F:$F,$L1377),"")</f>
        <v>0</v>
      </c>
      <c r="R1377" s="59">
        <f>SUMIFS(Eventos!$G:$G,Eventos!$F:$F,$L1377,Eventos!$D:$D,$C$2,Eventos!$B:$B,PANES_SEMANALES[[#ALL],[SÁBADO]])</f>
        <v>0</v>
      </c>
      <c r="S1377" s="59">
        <f>SUMIFS(Eventos!$G:$G,Eventos!$F:$F,$L1377,Eventos!$D:$D,$C$2,Eventos!$B:$B,PANES_SEMANALES[[#ALL],[DOMINGO]])</f>
        <v>0</v>
      </c>
      <c r="T1377" s="59">
        <f t="shared" si="1"/>
        <v>0</v>
      </c>
    </row>
    <row r="1378" ht="22.5" customHeight="1">
      <c r="M1378" s="59">
        <f>SUMIFS(Eventos!$G:$G,Eventos!$F:$F,$L1378,Eventos!$D:$D,$C$2,Eventos!$B:$B,PANES_SEMANALES[[#ALL],[LUNES]])</f>
        <v>0</v>
      </c>
      <c r="N1378" s="59">
        <f>SUMIFS(Eventos!$G:$G,Eventos!$F:$F,$L1378,Eventos!$D:$D,$C$2,Eventos!$B:$B,PANES_SEMANALES[[#ALL],[MARTES]])</f>
        <v>0</v>
      </c>
      <c r="O1378" s="59">
        <f>SUMIFS(Eventos!$G:$G,Eventos!$F:$F,$L1378,Eventos!$D:$D,$C$2,Eventos!$B:$B,PANES_SEMANALES[[#ALL],[MIÉRCOLES]])</f>
        <v>0</v>
      </c>
      <c r="P1378" s="59">
        <f>SUMIFS(Eventos!$G:$G,Eventos!$F:$F,$L1378,Eventos!$D:$D,$C$2,Eventos!$B:$B,PANES_SEMANALES[[#ALL],[JUEVES]])</f>
        <v>0</v>
      </c>
      <c r="Q1378" s="59">
        <f>IF(P1378&lt;&gt;"",SUMIFS(Eventos!$G:$G,Eventos!$B:$B,Q$2,Eventos!$D:$D,$C$2,Eventos!$F:$F,$L1378),"")</f>
        <v>0</v>
      </c>
      <c r="R1378" s="59">
        <f>SUMIFS(Eventos!$G:$G,Eventos!$F:$F,$L1378,Eventos!$D:$D,$C$2,Eventos!$B:$B,PANES_SEMANALES[[#ALL],[SÁBADO]])</f>
        <v>0</v>
      </c>
      <c r="S1378" s="59">
        <f>SUMIFS(Eventos!$G:$G,Eventos!$F:$F,$L1378,Eventos!$D:$D,$C$2,Eventos!$B:$B,PANES_SEMANALES[[#ALL],[DOMINGO]])</f>
        <v>0</v>
      </c>
      <c r="T1378" s="59">
        <f t="shared" si="1"/>
        <v>0</v>
      </c>
    </row>
    <row r="1379" ht="22.5" customHeight="1">
      <c r="M1379" s="59">
        <f>SUMIFS(Eventos!$G:$G,Eventos!$F:$F,$L1379,Eventos!$D:$D,$C$2,Eventos!$B:$B,PANES_SEMANALES[[#ALL],[LUNES]])</f>
        <v>0</v>
      </c>
      <c r="N1379" s="59">
        <f>SUMIFS(Eventos!$G:$G,Eventos!$F:$F,$L1379,Eventos!$D:$D,$C$2,Eventos!$B:$B,PANES_SEMANALES[[#ALL],[MARTES]])</f>
        <v>0</v>
      </c>
      <c r="O1379" s="59">
        <f>SUMIFS(Eventos!$G:$G,Eventos!$F:$F,$L1379,Eventos!$D:$D,$C$2,Eventos!$B:$B,PANES_SEMANALES[[#ALL],[MIÉRCOLES]])</f>
        <v>0</v>
      </c>
      <c r="P1379" s="59">
        <f>SUMIFS(Eventos!$G:$G,Eventos!$F:$F,$L1379,Eventos!$D:$D,$C$2,Eventos!$B:$B,PANES_SEMANALES[[#ALL],[JUEVES]])</f>
        <v>0</v>
      </c>
      <c r="Q1379" s="59">
        <f>IF(P1379&lt;&gt;"",SUMIFS(Eventos!$G:$G,Eventos!$B:$B,Q$2,Eventos!$D:$D,$C$2,Eventos!$F:$F,$L1379),"")</f>
        <v>0</v>
      </c>
      <c r="R1379" s="59">
        <f>SUMIFS(Eventos!$G:$G,Eventos!$F:$F,$L1379,Eventos!$D:$D,$C$2,Eventos!$B:$B,PANES_SEMANALES[[#ALL],[SÁBADO]])</f>
        <v>0</v>
      </c>
      <c r="S1379" s="59">
        <f>SUMIFS(Eventos!$G:$G,Eventos!$F:$F,$L1379,Eventos!$D:$D,$C$2,Eventos!$B:$B,PANES_SEMANALES[[#ALL],[DOMINGO]])</f>
        <v>0</v>
      </c>
      <c r="T1379" s="59">
        <f t="shared" si="1"/>
        <v>0</v>
      </c>
    </row>
    <row r="1380" ht="22.5" customHeight="1">
      <c r="M1380" s="59">
        <f>SUMIFS(Eventos!$G:$G,Eventos!$F:$F,$L1380,Eventos!$D:$D,$C$2,Eventos!$B:$B,PANES_SEMANALES[[#ALL],[LUNES]])</f>
        <v>0</v>
      </c>
      <c r="N1380" s="59">
        <f>SUMIFS(Eventos!$G:$G,Eventos!$F:$F,$L1380,Eventos!$D:$D,$C$2,Eventos!$B:$B,PANES_SEMANALES[[#ALL],[MARTES]])</f>
        <v>0</v>
      </c>
      <c r="O1380" s="59">
        <f>SUMIFS(Eventos!$G:$G,Eventos!$F:$F,$L1380,Eventos!$D:$D,$C$2,Eventos!$B:$B,PANES_SEMANALES[[#ALL],[MIÉRCOLES]])</f>
        <v>0</v>
      </c>
      <c r="P1380" s="59">
        <f>SUMIFS(Eventos!$G:$G,Eventos!$F:$F,$L1380,Eventos!$D:$D,$C$2,Eventos!$B:$B,PANES_SEMANALES[[#ALL],[JUEVES]])</f>
        <v>0</v>
      </c>
      <c r="Q1380" s="59">
        <f>IF(P1380&lt;&gt;"",SUMIFS(Eventos!$G:$G,Eventos!$B:$B,Q$2,Eventos!$D:$D,$C$2,Eventos!$F:$F,$L1380),"")</f>
        <v>0</v>
      </c>
      <c r="R1380" s="59">
        <f>SUMIFS(Eventos!$G:$G,Eventos!$F:$F,$L1380,Eventos!$D:$D,$C$2,Eventos!$B:$B,PANES_SEMANALES[[#ALL],[SÁBADO]])</f>
        <v>0</v>
      </c>
      <c r="S1380" s="59">
        <f>SUMIFS(Eventos!$G:$G,Eventos!$F:$F,$L1380,Eventos!$D:$D,$C$2,Eventos!$B:$B,PANES_SEMANALES[[#ALL],[DOMINGO]])</f>
        <v>0</v>
      </c>
      <c r="T1380" s="59">
        <f t="shared" si="1"/>
        <v>0</v>
      </c>
    </row>
    <row r="1381" ht="22.5" customHeight="1">
      <c r="M1381" s="59">
        <f>SUMIFS(Eventos!$G:$G,Eventos!$F:$F,$L1381,Eventos!$D:$D,$C$2,Eventos!$B:$B,PANES_SEMANALES[[#ALL],[LUNES]])</f>
        <v>0</v>
      </c>
      <c r="N1381" s="59">
        <f>SUMIFS(Eventos!$G:$G,Eventos!$F:$F,$L1381,Eventos!$D:$D,$C$2,Eventos!$B:$B,PANES_SEMANALES[[#ALL],[MARTES]])</f>
        <v>0</v>
      </c>
      <c r="O1381" s="59">
        <f>SUMIFS(Eventos!$G:$G,Eventos!$F:$F,$L1381,Eventos!$D:$D,$C$2,Eventos!$B:$B,PANES_SEMANALES[[#ALL],[MIÉRCOLES]])</f>
        <v>0</v>
      </c>
      <c r="P1381" s="59">
        <f>SUMIFS(Eventos!$G:$G,Eventos!$F:$F,$L1381,Eventos!$D:$D,$C$2,Eventos!$B:$B,PANES_SEMANALES[[#ALL],[JUEVES]])</f>
        <v>0</v>
      </c>
      <c r="Q1381" s="59">
        <f>IF(P1381&lt;&gt;"",SUMIFS(Eventos!$G:$G,Eventos!$B:$B,Q$2,Eventos!$D:$D,$C$2,Eventos!$F:$F,$L1381),"")</f>
        <v>0</v>
      </c>
      <c r="R1381" s="59">
        <f>SUMIFS(Eventos!$G:$G,Eventos!$F:$F,$L1381,Eventos!$D:$D,$C$2,Eventos!$B:$B,PANES_SEMANALES[[#ALL],[SÁBADO]])</f>
        <v>0</v>
      </c>
      <c r="S1381" s="59">
        <f>SUMIFS(Eventos!$G:$G,Eventos!$F:$F,$L1381,Eventos!$D:$D,$C$2,Eventos!$B:$B,PANES_SEMANALES[[#ALL],[DOMINGO]])</f>
        <v>0</v>
      </c>
      <c r="T1381" s="59">
        <f t="shared" si="1"/>
        <v>0</v>
      </c>
    </row>
    <row r="1382" ht="22.5" customHeight="1">
      <c r="M1382" s="59">
        <f>SUMIFS(Eventos!$G:$G,Eventos!$F:$F,$L1382,Eventos!$D:$D,$C$2,Eventos!$B:$B,PANES_SEMANALES[[#ALL],[LUNES]])</f>
        <v>0</v>
      </c>
      <c r="N1382" s="59">
        <f>SUMIFS(Eventos!$G:$G,Eventos!$F:$F,$L1382,Eventos!$D:$D,$C$2,Eventos!$B:$B,PANES_SEMANALES[[#ALL],[MARTES]])</f>
        <v>0</v>
      </c>
      <c r="O1382" s="59">
        <f>SUMIFS(Eventos!$G:$G,Eventos!$F:$F,$L1382,Eventos!$D:$D,$C$2,Eventos!$B:$B,PANES_SEMANALES[[#ALL],[MIÉRCOLES]])</f>
        <v>0</v>
      </c>
      <c r="P1382" s="59">
        <f>SUMIFS(Eventos!$G:$G,Eventos!$F:$F,$L1382,Eventos!$D:$D,$C$2,Eventos!$B:$B,PANES_SEMANALES[[#ALL],[JUEVES]])</f>
        <v>0</v>
      </c>
      <c r="Q1382" s="59">
        <f>IF(P1382&lt;&gt;"",SUMIFS(Eventos!$G:$G,Eventos!$B:$B,Q$2,Eventos!$D:$D,$C$2,Eventos!$F:$F,$L1382),"")</f>
        <v>0</v>
      </c>
      <c r="R1382" s="59">
        <f>SUMIFS(Eventos!$G:$G,Eventos!$F:$F,$L1382,Eventos!$D:$D,$C$2,Eventos!$B:$B,PANES_SEMANALES[[#ALL],[SÁBADO]])</f>
        <v>0</v>
      </c>
      <c r="S1382" s="59">
        <f>SUMIFS(Eventos!$G:$G,Eventos!$F:$F,$L1382,Eventos!$D:$D,$C$2,Eventos!$B:$B,PANES_SEMANALES[[#ALL],[DOMINGO]])</f>
        <v>0</v>
      </c>
      <c r="T1382" s="59">
        <f t="shared" si="1"/>
        <v>0</v>
      </c>
    </row>
    <row r="1383" ht="22.5" customHeight="1">
      <c r="M1383" s="59">
        <f>SUMIFS(Eventos!$G:$G,Eventos!$F:$F,$L1383,Eventos!$D:$D,$C$2,Eventos!$B:$B,PANES_SEMANALES[[#ALL],[LUNES]])</f>
        <v>0</v>
      </c>
      <c r="N1383" s="59">
        <f>SUMIFS(Eventos!$G:$G,Eventos!$F:$F,$L1383,Eventos!$D:$D,$C$2,Eventos!$B:$B,PANES_SEMANALES[[#ALL],[MARTES]])</f>
        <v>0</v>
      </c>
      <c r="O1383" s="59">
        <f>SUMIFS(Eventos!$G:$G,Eventos!$F:$F,$L1383,Eventos!$D:$D,$C$2,Eventos!$B:$B,PANES_SEMANALES[[#ALL],[MIÉRCOLES]])</f>
        <v>0</v>
      </c>
      <c r="P1383" s="59">
        <f>SUMIFS(Eventos!$G:$G,Eventos!$F:$F,$L1383,Eventos!$D:$D,$C$2,Eventos!$B:$B,PANES_SEMANALES[[#ALL],[JUEVES]])</f>
        <v>0</v>
      </c>
      <c r="Q1383" s="59">
        <f>IF(P1383&lt;&gt;"",SUMIFS(Eventos!$G:$G,Eventos!$B:$B,Q$2,Eventos!$D:$D,$C$2,Eventos!$F:$F,$L1383),"")</f>
        <v>0</v>
      </c>
      <c r="R1383" s="59">
        <f>SUMIFS(Eventos!$G:$G,Eventos!$F:$F,$L1383,Eventos!$D:$D,$C$2,Eventos!$B:$B,PANES_SEMANALES[[#ALL],[SÁBADO]])</f>
        <v>0</v>
      </c>
      <c r="S1383" s="59">
        <f>SUMIFS(Eventos!$G:$G,Eventos!$F:$F,$L1383,Eventos!$D:$D,$C$2,Eventos!$B:$B,PANES_SEMANALES[[#ALL],[DOMINGO]])</f>
        <v>0</v>
      </c>
      <c r="T1383" s="59">
        <f t="shared" si="1"/>
        <v>0</v>
      </c>
    </row>
    <row r="1384" ht="22.5" customHeight="1">
      <c r="M1384" s="59">
        <f>SUMIFS(Eventos!$G:$G,Eventos!$F:$F,$L1384,Eventos!$D:$D,$C$2,Eventos!$B:$B,PANES_SEMANALES[[#ALL],[LUNES]])</f>
        <v>0</v>
      </c>
      <c r="N1384" s="59">
        <f>SUMIFS(Eventos!$G:$G,Eventos!$F:$F,$L1384,Eventos!$D:$D,$C$2,Eventos!$B:$B,PANES_SEMANALES[[#ALL],[MARTES]])</f>
        <v>0</v>
      </c>
      <c r="O1384" s="59">
        <f>SUMIFS(Eventos!$G:$G,Eventos!$F:$F,$L1384,Eventos!$D:$D,$C$2,Eventos!$B:$B,PANES_SEMANALES[[#ALL],[MIÉRCOLES]])</f>
        <v>0</v>
      </c>
      <c r="P1384" s="59">
        <f>SUMIFS(Eventos!$G:$G,Eventos!$F:$F,$L1384,Eventos!$D:$D,$C$2,Eventos!$B:$B,PANES_SEMANALES[[#ALL],[JUEVES]])</f>
        <v>0</v>
      </c>
      <c r="Q1384" s="59">
        <f>IF(P1384&lt;&gt;"",SUMIFS(Eventos!$G:$G,Eventos!$B:$B,Q$2,Eventos!$D:$D,$C$2,Eventos!$F:$F,$L1384),"")</f>
        <v>0</v>
      </c>
      <c r="R1384" s="59">
        <f>SUMIFS(Eventos!$G:$G,Eventos!$F:$F,$L1384,Eventos!$D:$D,$C$2,Eventos!$B:$B,PANES_SEMANALES[[#ALL],[SÁBADO]])</f>
        <v>0</v>
      </c>
      <c r="S1384" s="59">
        <f>SUMIFS(Eventos!$G:$G,Eventos!$F:$F,$L1384,Eventos!$D:$D,$C$2,Eventos!$B:$B,PANES_SEMANALES[[#ALL],[DOMINGO]])</f>
        <v>0</v>
      </c>
      <c r="T1384" s="59">
        <f t="shared" si="1"/>
        <v>0</v>
      </c>
    </row>
    <row r="1385" ht="22.5" customHeight="1">
      <c r="M1385" s="59">
        <f>SUMIFS(Eventos!$G:$G,Eventos!$F:$F,$L1385,Eventos!$D:$D,$C$2,Eventos!$B:$B,PANES_SEMANALES[[#ALL],[LUNES]])</f>
        <v>0</v>
      </c>
      <c r="N1385" s="59">
        <f>SUMIFS(Eventos!$G:$G,Eventos!$F:$F,$L1385,Eventos!$D:$D,$C$2,Eventos!$B:$B,PANES_SEMANALES[[#ALL],[MARTES]])</f>
        <v>0</v>
      </c>
      <c r="O1385" s="59">
        <f>SUMIFS(Eventos!$G:$G,Eventos!$F:$F,$L1385,Eventos!$D:$D,$C$2,Eventos!$B:$B,PANES_SEMANALES[[#ALL],[MIÉRCOLES]])</f>
        <v>0</v>
      </c>
      <c r="P1385" s="59">
        <f>SUMIFS(Eventos!$G:$G,Eventos!$F:$F,$L1385,Eventos!$D:$D,$C$2,Eventos!$B:$B,PANES_SEMANALES[[#ALL],[JUEVES]])</f>
        <v>0</v>
      </c>
      <c r="Q1385" s="59">
        <f>IF(P1385&lt;&gt;"",SUMIFS(Eventos!$G:$G,Eventos!$B:$B,Q$2,Eventos!$D:$D,$C$2,Eventos!$F:$F,$L1385),"")</f>
        <v>0</v>
      </c>
      <c r="R1385" s="59">
        <f>SUMIFS(Eventos!$G:$G,Eventos!$F:$F,$L1385,Eventos!$D:$D,$C$2,Eventos!$B:$B,PANES_SEMANALES[[#ALL],[SÁBADO]])</f>
        <v>0</v>
      </c>
      <c r="S1385" s="59">
        <f>SUMIFS(Eventos!$G:$G,Eventos!$F:$F,$L1385,Eventos!$D:$D,$C$2,Eventos!$B:$B,PANES_SEMANALES[[#ALL],[DOMINGO]])</f>
        <v>0</v>
      </c>
      <c r="T1385" s="59">
        <f t="shared" si="1"/>
        <v>0</v>
      </c>
    </row>
    <row r="1386" ht="22.5" customHeight="1">
      <c r="M1386" s="59">
        <f>SUMIFS(Eventos!$G:$G,Eventos!$F:$F,$L1386,Eventos!$D:$D,$C$2,Eventos!$B:$B,PANES_SEMANALES[[#ALL],[LUNES]])</f>
        <v>0</v>
      </c>
      <c r="N1386" s="59">
        <f>SUMIFS(Eventos!$G:$G,Eventos!$F:$F,$L1386,Eventos!$D:$D,$C$2,Eventos!$B:$B,PANES_SEMANALES[[#ALL],[MARTES]])</f>
        <v>0</v>
      </c>
      <c r="O1386" s="59">
        <f>SUMIFS(Eventos!$G:$G,Eventos!$F:$F,$L1386,Eventos!$D:$D,$C$2,Eventos!$B:$B,PANES_SEMANALES[[#ALL],[MIÉRCOLES]])</f>
        <v>0</v>
      </c>
      <c r="P1386" s="59">
        <f>SUMIFS(Eventos!$G:$G,Eventos!$F:$F,$L1386,Eventos!$D:$D,$C$2,Eventos!$B:$B,PANES_SEMANALES[[#ALL],[JUEVES]])</f>
        <v>0</v>
      </c>
      <c r="Q1386" s="59">
        <f>IF(P1386&lt;&gt;"",SUMIFS(Eventos!$G:$G,Eventos!$B:$B,Q$2,Eventos!$D:$D,$C$2,Eventos!$F:$F,$L1386),"")</f>
        <v>0</v>
      </c>
      <c r="R1386" s="59">
        <f>SUMIFS(Eventos!$G:$G,Eventos!$F:$F,$L1386,Eventos!$D:$D,$C$2,Eventos!$B:$B,PANES_SEMANALES[[#ALL],[SÁBADO]])</f>
        <v>0</v>
      </c>
      <c r="S1386" s="59">
        <f>SUMIFS(Eventos!$G:$G,Eventos!$F:$F,$L1386,Eventos!$D:$D,$C$2,Eventos!$B:$B,PANES_SEMANALES[[#ALL],[DOMINGO]])</f>
        <v>0</v>
      </c>
      <c r="T1386" s="59">
        <f t="shared" si="1"/>
        <v>0</v>
      </c>
    </row>
    <row r="1387" ht="22.5" customHeight="1">
      <c r="M1387" s="59">
        <f>SUMIFS(Eventos!$G:$G,Eventos!$F:$F,$L1387,Eventos!$D:$D,$C$2,Eventos!$B:$B,PANES_SEMANALES[[#ALL],[LUNES]])</f>
        <v>0</v>
      </c>
      <c r="N1387" s="59">
        <f>SUMIFS(Eventos!$G:$G,Eventos!$F:$F,$L1387,Eventos!$D:$D,$C$2,Eventos!$B:$B,PANES_SEMANALES[[#ALL],[MARTES]])</f>
        <v>0</v>
      </c>
      <c r="O1387" s="59">
        <f>SUMIFS(Eventos!$G:$G,Eventos!$F:$F,$L1387,Eventos!$D:$D,$C$2,Eventos!$B:$B,PANES_SEMANALES[[#ALL],[MIÉRCOLES]])</f>
        <v>0</v>
      </c>
      <c r="P1387" s="59">
        <f>SUMIFS(Eventos!$G:$G,Eventos!$F:$F,$L1387,Eventos!$D:$D,$C$2,Eventos!$B:$B,PANES_SEMANALES[[#ALL],[JUEVES]])</f>
        <v>0</v>
      </c>
      <c r="Q1387" s="59">
        <f>IF(P1387&lt;&gt;"",SUMIFS(Eventos!$G:$G,Eventos!$B:$B,Q$2,Eventos!$D:$D,$C$2,Eventos!$F:$F,$L1387),"")</f>
        <v>0</v>
      </c>
      <c r="R1387" s="59">
        <f>SUMIFS(Eventos!$G:$G,Eventos!$F:$F,$L1387,Eventos!$D:$D,$C$2,Eventos!$B:$B,PANES_SEMANALES[[#ALL],[SÁBADO]])</f>
        <v>0</v>
      </c>
      <c r="S1387" s="59">
        <f>SUMIFS(Eventos!$G:$G,Eventos!$F:$F,$L1387,Eventos!$D:$D,$C$2,Eventos!$B:$B,PANES_SEMANALES[[#ALL],[DOMINGO]])</f>
        <v>0</v>
      </c>
      <c r="T1387" s="59">
        <f t="shared" si="1"/>
        <v>0</v>
      </c>
    </row>
    <row r="1388" ht="22.5" customHeight="1">
      <c r="M1388" s="59">
        <f>SUMIFS(Eventos!$G:$G,Eventos!$F:$F,$L1388,Eventos!$D:$D,$C$2,Eventos!$B:$B,PANES_SEMANALES[[#ALL],[LUNES]])</f>
        <v>0</v>
      </c>
      <c r="N1388" s="59">
        <f>SUMIFS(Eventos!$G:$G,Eventos!$F:$F,$L1388,Eventos!$D:$D,$C$2,Eventos!$B:$B,PANES_SEMANALES[[#ALL],[MARTES]])</f>
        <v>0</v>
      </c>
      <c r="O1388" s="59">
        <f>SUMIFS(Eventos!$G:$G,Eventos!$F:$F,$L1388,Eventos!$D:$D,$C$2,Eventos!$B:$B,PANES_SEMANALES[[#ALL],[MIÉRCOLES]])</f>
        <v>0</v>
      </c>
      <c r="P1388" s="59">
        <f>SUMIFS(Eventos!$G:$G,Eventos!$F:$F,$L1388,Eventos!$D:$D,$C$2,Eventos!$B:$B,PANES_SEMANALES[[#ALL],[JUEVES]])</f>
        <v>0</v>
      </c>
      <c r="Q1388" s="59">
        <f>IF(P1388&lt;&gt;"",SUMIFS(Eventos!$G:$G,Eventos!$B:$B,Q$2,Eventos!$D:$D,$C$2,Eventos!$F:$F,$L1388),"")</f>
        <v>0</v>
      </c>
      <c r="R1388" s="59">
        <f>SUMIFS(Eventos!$G:$G,Eventos!$F:$F,$L1388,Eventos!$D:$D,$C$2,Eventos!$B:$B,PANES_SEMANALES[[#ALL],[SÁBADO]])</f>
        <v>0</v>
      </c>
      <c r="S1388" s="59">
        <f>SUMIFS(Eventos!$G:$G,Eventos!$F:$F,$L1388,Eventos!$D:$D,$C$2,Eventos!$B:$B,PANES_SEMANALES[[#ALL],[DOMINGO]])</f>
        <v>0</v>
      </c>
      <c r="T1388" s="59">
        <f t="shared" si="1"/>
        <v>0</v>
      </c>
    </row>
    <row r="1389" ht="22.5" customHeight="1">
      <c r="M1389" s="59">
        <f>SUMIFS(Eventos!$G:$G,Eventos!$F:$F,$L1389,Eventos!$D:$D,$C$2,Eventos!$B:$B,PANES_SEMANALES[[#ALL],[LUNES]])</f>
        <v>0</v>
      </c>
      <c r="N1389" s="59">
        <f>SUMIFS(Eventos!$G:$G,Eventos!$F:$F,$L1389,Eventos!$D:$D,$C$2,Eventos!$B:$B,PANES_SEMANALES[[#ALL],[MARTES]])</f>
        <v>0</v>
      </c>
      <c r="O1389" s="59">
        <f>SUMIFS(Eventos!$G:$G,Eventos!$F:$F,$L1389,Eventos!$D:$D,$C$2,Eventos!$B:$B,PANES_SEMANALES[[#ALL],[MIÉRCOLES]])</f>
        <v>0</v>
      </c>
      <c r="P1389" s="59">
        <f>SUMIFS(Eventos!$G:$G,Eventos!$F:$F,$L1389,Eventos!$D:$D,$C$2,Eventos!$B:$B,PANES_SEMANALES[[#ALL],[JUEVES]])</f>
        <v>0</v>
      </c>
      <c r="Q1389" s="59">
        <f>IF(P1389&lt;&gt;"",SUMIFS(Eventos!$G:$G,Eventos!$B:$B,Q$2,Eventos!$D:$D,$C$2,Eventos!$F:$F,$L1389),"")</f>
        <v>0</v>
      </c>
      <c r="R1389" s="59">
        <f>SUMIFS(Eventos!$G:$G,Eventos!$F:$F,$L1389,Eventos!$D:$D,$C$2,Eventos!$B:$B,PANES_SEMANALES[[#ALL],[SÁBADO]])</f>
        <v>0</v>
      </c>
      <c r="S1389" s="59">
        <f>SUMIFS(Eventos!$G:$G,Eventos!$F:$F,$L1389,Eventos!$D:$D,$C$2,Eventos!$B:$B,PANES_SEMANALES[[#ALL],[DOMINGO]])</f>
        <v>0</v>
      </c>
      <c r="T1389" s="59">
        <f t="shared" si="1"/>
        <v>0</v>
      </c>
    </row>
    <row r="1390" ht="22.5" customHeight="1">
      <c r="M1390" s="59">
        <f>SUMIFS(Eventos!$G:$G,Eventos!$F:$F,$L1390,Eventos!$D:$D,$C$2,Eventos!$B:$B,PANES_SEMANALES[[#ALL],[LUNES]])</f>
        <v>0</v>
      </c>
      <c r="N1390" s="59">
        <f>SUMIFS(Eventos!$G:$G,Eventos!$F:$F,$L1390,Eventos!$D:$D,$C$2,Eventos!$B:$B,PANES_SEMANALES[[#ALL],[MARTES]])</f>
        <v>0</v>
      </c>
      <c r="O1390" s="59">
        <f>SUMIFS(Eventos!$G:$G,Eventos!$F:$F,$L1390,Eventos!$D:$D,$C$2,Eventos!$B:$B,PANES_SEMANALES[[#ALL],[MIÉRCOLES]])</f>
        <v>0</v>
      </c>
      <c r="P1390" s="59">
        <f>SUMIFS(Eventos!$G:$G,Eventos!$F:$F,$L1390,Eventos!$D:$D,$C$2,Eventos!$B:$B,PANES_SEMANALES[[#ALL],[JUEVES]])</f>
        <v>0</v>
      </c>
      <c r="Q1390" s="59">
        <f>IF(P1390&lt;&gt;"",SUMIFS(Eventos!$G:$G,Eventos!$B:$B,Q$2,Eventos!$D:$D,$C$2,Eventos!$F:$F,$L1390),"")</f>
        <v>0</v>
      </c>
      <c r="R1390" s="59">
        <f>SUMIFS(Eventos!$G:$G,Eventos!$F:$F,$L1390,Eventos!$D:$D,$C$2,Eventos!$B:$B,PANES_SEMANALES[[#ALL],[SÁBADO]])</f>
        <v>0</v>
      </c>
      <c r="S1390" s="59">
        <f>SUMIFS(Eventos!$G:$G,Eventos!$F:$F,$L1390,Eventos!$D:$D,$C$2,Eventos!$B:$B,PANES_SEMANALES[[#ALL],[DOMINGO]])</f>
        <v>0</v>
      </c>
      <c r="T1390" s="59">
        <f t="shared" si="1"/>
        <v>0</v>
      </c>
    </row>
    <row r="1391" ht="22.5" customHeight="1">
      <c r="M1391" s="59">
        <f>SUMIFS(Eventos!$G:$G,Eventos!$F:$F,$L1391,Eventos!$D:$D,$C$2,Eventos!$B:$B,PANES_SEMANALES[[#ALL],[LUNES]])</f>
        <v>0</v>
      </c>
      <c r="N1391" s="59">
        <f>SUMIFS(Eventos!$G:$G,Eventos!$F:$F,$L1391,Eventos!$D:$D,$C$2,Eventos!$B:$B,PANES_SEMANALES[[#ALL],[MARTES]])</f>
        <v>0</v>
      </c>
      <c r="O1391" s="59">
        <f>SUMIFS(Eventos!$G:$G,Eventos!$F:$F,$L1391,Eventos!$D:$D,$C$2,Eventos!$B:$B,PANES_SEMANALES[[#ALL],[MIÉRCOLES]])</f>
        <v>0</v>
      </c>
      <c r="P1391" s="59">
        <f>SUMIFS(Eventos!$G:$G,Eventos!$F:$F,$L1391,Eventos!$D:$D,$C$2,Eventos!$B:$B,PANES_SEMANALES[[#ALL],[JUEVES]])</f>
        <v>0</v>
      </c>
      <c r="Q1391" s="59">
        <f>IF(P1391&lt;&gt;"",SUMIFS(Eventos!$G:$G,Eventos!$B:$B,Q$2,Eventos!$D:$D,$C$2,Eventos!$F:$F,$L1391),"")</f>
        <v>0</v>
      </c>
      <c r="R1391" s="59">
        <f>SUMIFS(Eventos!$G:$G,Eventos!$F:$F,$L1391,Eventos!$D:$D,$C$2,Eventos!$B:$B,PANES_SEMANALES[[#ALL],[SÁBADO]])</f>
        <v>0</v>
      </c>
      <c r="S1391" s="59">
        <f>SUMIFS(Eventos!$G:$G,Eventos!$F:$F,$L1391,Eventos!$D:$D,$C$2,Eventos!$B:$B,PANES_SEMANALES[[#ALL],[DOMINGO]])</f>
        <v>0</v>
      </c>
      <c r="T1391" s="59">
        <f t="shared" si="1"/>
        <v>0</v>
      </c>
    </row>
    <row r="1392" ht="22.5" customHeight="1">
      <c r="M1392" s="59">
        <f>SUMIFS(Eventos!$G:$G,Eventos!$F:$F,$L1392,Eventos!$D:$D,$C$2,Eventos!$B:$B,PANES_SEMANALES[[#ALL],[LUNES]])</f>
        <v>0</v>
      </c>
      <c r="N1392" s="59">
        <f>SUMIFS(Eventos!$G:$G,Eventos!$F:$F,$L1392,Eventos!$D:$D,$C$2,Eventos!$B:$B,PANES_SEMANALES[[#ALL],[MARTES]])</f>
        <v>0</v>
      </c>
      <c r="O1392" s="59">
        <f>SUMIFS(Eventos!$G:$G,Eventos!$F:$F,$L1392,Eventos!$D:$D,$C$2,Eventos!$B:$B,PANES_SEMANALES[[#ALL],[MIÉRCOLES]])</f>
        <v>0</v>
      </c>
      <c r="P1392" s="59">
        <f>SUMIFS(Eventos!$G:$G,Eventos!$F:$F,$L1392,Eventos!$D:$D,$C$2,Eventos!$B:$B,PANES_SEMANALES[[#ALL],[JUEVES]])</f>
        <v>0</v>
      </c>
      <c r="Q1392" s="59">
        <f>IF(P1392&lt;&gt;"",SUMIFS(Eventos!$G:$G,Eventos!$B:$B,Q$2,Eventos!$D:$D,$C$2,Eventos!$F:$F,$L1392),"")</f>
        <v>0</v>
      </c>
      <c r="R1392" s="59">
        <f>SUMIFS(Eventos!$G:$G,Eventos!$F:$F,$L1392,Eventos!$D:$D,$C$2,Eventos!$B:$B,PANES_SEMANALES[[#ALL],[SÁBADO]])</f>
        <v>0</v>
      </c>
      <c r="S1392" s="59">
        <f>SUMIFS(Eventos!$G:$G,Eventos!$F:$F,$L1392,Eventos!$D:$D,$C$2,Eventos!$B:$B,PANES_SEMANALES[[#ALL],[DOMINGO]])</f>
        <v>0</v>
      </c>
      <c r="T1392" s="59">
        <f t="shared" si="1"/>
        <v>0</v>
      </c>
    </row>
    <row r="1393" ht="22.5" customHeight="1">
      <c r="M1393" s="59">
        <f>SUMIFS(Eventos!$G:$G,Eventos!$F:$F,$L1393,Eventos!$D:$D,$C$2,Eventos!$B:$B,PANES_SEMANALES[[#ALL],[LUNES]])</f>
        <v>0</v>
      </c>
      <c r="N1393" s="59">
        <f>SUMIFS(Eventos!$G:$G,Eventos!$F:$F,$L1393,Eventos!$D:$D,$C$2,Eventos!$B:$B,PANES_SEMANALES[[#ALL],[MARTES]])</f>
        <v>0</v>
      </c>
      <c r="O1393" s="59">
        <f>SUMIFS(Eventos!$G:$G,Eventos!$F:$F,$L1393,Eventos!$D:$D,$C$2,Eventos!$B:$B,PANES_SEMANALES[[#ALL],[MIÉRCOLES]])</f>
        <v>0</v>
      </c>
      <c r="P1393" s="59">
        <f>SUMIFS(Eventos!$G:$G,Eventos!$F:$F,$L1393,Eventos!$D:$D,$C$2,Eventos!$B:$B,PANES_SEMANALES[[#ALL],[JUEVES]])</f>
        <v>0</v>
      </c>
      <c r="Q1393" s="59">
        <f>IF(P1393&lt;&gt;"",SUMIFS(Eventos!$G:$G,Eventos!$B:$B,Q$2,Eventos!$D:$D,$C$2,Eventos!$F:$F,$L1393),"")</f>
        <v>0</v>
      </c>
      <c r="R1393" s="59">
        <f>SUMIFS(Eventos!$G:$G,Eventos!$F:$F,$L1393,Eventos!$D:$D,$C$2,Eventos!$B:$B,PANES_SEMANALES[[#ALL],[SÁBADO]])</f>
        <v>0</v>
      </c>
      <c r="S1393" s="59">
        <f>SUMIFS(Eventos!$G:$G,Eventos!$F:$F,$L1393,Eventos!$D:$D,$C$2,Eventos!$B:$B,PANES_SEMANALES[[#ALL],[DOMINGO]])</f>
        <v>0</v>
      </c>
      <c r="T1393" s="59">
        <f t="shared" si="1"/>
        <v>0</v>
      </c>
    </row>
    <row r="1394" ht="22.5" customHeight="1">
      <c r="M1394" s="59">
        <f>SUMIFS(Eventos!$G:$G,Eventos!$F:$F,$L1394,Eventos!$D:$D,$C$2,Eventos!$B:$B,PANES_SEMANALES[[#ALL],[LUNES]])</f>
        <v>0</v>
      </c>
      <c r="N1394" s="59">
        <f>SUMIFS(Eventos!$G:$G,Eventos!$F:$F,$L1394,Eventos!$D:$D,$C$2,Eventos!$B:$B,PANES_SEMANALES[[#ALL],[MARTES]])</f>
        <v>0</v>
      </c>
      <c r="O1394" s="59">
        <f>SUMIFS(Eventos!$G:$G,Eventos!$F:$F,$L1394,Eventos!$D:$D,$C$2,Eventos!$B:$B,PANES_SEMANALES[[#ALL],[MIÉRCOLES]])</f>
        <v>0</v>
      </c>
      <c r="P1394" s="59">
        <f>SUMIFS(Eventos!$G:$G,Eventos!$F:$F,$L1394,Eventos!$D:$D,$C$2,Eventos!$B:$B,PANES_SEMANALES[[#ALL],[JUEVES]])</f>
        <v>0</v>
      </c>
      <c r="Q1394" s="59">
        <f>IF(P1394&lt;&gt;"",SUMIFS(Eventos!$G:$G,Eventos!$B:$B,Q$2,Eventos!$D:$D,$C$2,Eventos!$F:$F,$L1394),"")</f>
        <v>0</v>
      </c>
      <c r="R1394" s="59">
        <f>SUMIFS(Eventos!$G:$G,Eventos!$F:$F,$L1394,Eventos!$D:$D,$C$2,Eventos!$B:$B,PANES_SEMANALES[[#ALL],[SÁBADO]])</f>
        <v>0</v>
      </c>
      <c r="S1394" s="59">
        <f>SUMIFS(Eventos!$G:$G,Eventos!$F:$F,$L1394,Eventos!$D:$D,$C$2,Eventos!$B:$B,PANES_SEMANALES[[#ALL],[DOMINGO]])</f>
        <v>0</v>
      </c>
      <c r="T1394" s="59">
        <f t="shared" si="1"/>
        <v>0</v>
      </c>
    </row>
    <row r="1395" ht="22.5" customHeight="1">
      <c r="M1395" s="59">
        <f>SUMIFS(Eventos!$G:$G,Eventos!$F:$F,$L1395,Eventos!$D:$D,$C$2,Eventos!$B:$B,PANES_SEMANALES[[#ALL],[LUNES]])</f>
        <v>0</v>
      </c>
      <c r="N1395" s="59">
        <f>SUMIFS(Eventos!$G:$G,Eventos!$F:$F,$L1395,Eventos!$D:$D,$C$2,Eventos!$B:$B,PANES_SEMANALES[[#ALL],[MARTES]])</f>
        <v>0</v>
      </c>
      <c r="O1395" s="59">
        <f>SUMIFS(Eventos!$G:$G,Eventos!$F:$F,$L1395,Eventos!$D:$D,$C$2,Eventos!$B:$B,PANES_SEMANALES[[#ALL],[MIÉRCOLES]])</f>
        <v>0</v>
      </c>
      <c r="P1395" s="59">
        <f>SUMIFS(Eventos!$G:$G,Eventos!$F:$F,$L1395,Eventos!$D:$D,$C$2,Eventos!$B:$B,PANES_SEMANALES[[#ALL],[JUEVES]])</f>
        <v>0</v>
      </c>
      <c r="Q1395" s="59">
        <f>IF(P1395&lt;&gt;"",SUMIFS(Eventos!$G:$G,Eventos!$B:$B,Q$2,Eventos!$D:$D,$C$2,Eventos!$F:$F,$L1395),"")</f>
        <v>0</v>
      </c>
      <c r="R1395" s="59">
        <f>SUMIFS(Eventos!$G:$G,Eventos!$F:$F,$L1395,Eventos!$D:$D,$C$2,Eventos!$B:$B,PANES_SEMANALES[[#ALL],[SÁBADO]])</f>
        <v>0</v>
      </c>
      <c r="S1395" s="59">
        <f>SUMIFS(Eventos!$G:$G,Eventos!$F:$F,$L1395,Eventos!$D:$D,$C$2,Eventos!$B:$B,PANES_SEMANALES[[#ALL],[DOMINGO]])</f>
        <v>0</v>
      </c>
      <c r="T1395" s="59">
        <f t="shared" si="1"/>
        <v>0</v>
      </c>
    </row>
    <row r="1396" ht="22.5" customHeight="1">
      <c r="M1396" s="59">
        <f>SUMIFS(Eventos!$G:$G,Eventos!$F:$F,$L1396,Eventos!$D:$D,$C$2,Eventos!$B:$B,PANES_SEMANALES[[#ALL],[LUNES]])</f>
        <v>0</v>
      </c>
      <c r="N1396" s="59">
        <f>SUMIFS(Eventos!$G:$G,Eventos!$F:$F,$L1396,Eventos!$D:$D,$C$2,Eventos!$B:$B,PANES_SEMANALES[[#ALL],[MARTES]])</f>
        <v>0</v>
      </c>
      <c r="O1396" s="59">
        <f>SUMIFS(Eventos!$G:$G,Eventos!$F:$F,$L1396,Eventos!$D:$D,$C$2,Eventos!$B:$B,PANES_SEMANALES[[#ALL],[MIÉRCOLES]])</f>
        <v>0</v>
      </c>
      <c r="P1396" s="59">
        <f>SUMIFS(Eventos!$G:$G,Eventos!$F:$F,$L1396,Eventos!$D:$D,$C$2,Eventos!$B:$B,PANES_SEMANALES[[#ALL],[JUEVES]])</f>
        <v>0</v>
      </c>
      <c r="Q1396" s="59">
        <f>IF(P1396&lt;&gt;"",SUMIFS(Eventos!$G:$G,Eventos!$B:$B,Q$2,Eventos!$D:$D,$C$2,Eventos!$F:$F,$L1396),"")</f>
        <v>0</v>
      </c>
      <c r="R1396" s="59">
        <f>SUMIFS(Eventos!$G:$G,Eventos!$F:$F,$L1396,Eventos!$D:$D,$C$2,Eventos!$B:$B,PANES_SEMANALES[[#ALL],[SÁBADO]])</f>
        <v>0</v>
      </c>
      <c r="S1396" s="59">
        <f>SUMIFS(Eventos!$G:$G,Eventos!$F:$F,$L1396,Eventos!$D:$D,$C$2,Eventos!$B:$B,PANES_SEMANALES[[#ALL],[DOMINGO]])</f>
        <v>0</v>
      </c>
      <c r="T1396" s="59">
        <f t="shared" si="1"/>
        <v>0</v>
      </c>
    </row>
    <row r="1397" ht="22.5" customHeight="1">
      <c r="M1397" s="59">
        <f>SUMIFS(Eventos!$G:$G,Eventos!$F:$F,$L1397,Eventos!$D:$D,$C$2,Eventos!$B:$B,PANES_SEMANALES[[#ALL],[LUNES]])</f>
        <v>0</v>
      </c>
      <c r="N1397" s="59">
        <f>SUMIFS(Eventos!$G:$G,Eventos!$F:$F,$L1397,Eventos!$D:$D,$C$2,Eventos!$B:$B,PANES_SEMANALES[[#ALL],[MARTES]])</f>
        <v>0</v>
      </c>
      <c r="O1397" s="59">
        <f>SUMIFS(Eventos!$G:$G,Eventos!$F:$F,$L1397,Eventos!$D:$D,$C$2,Eventos!$B:$B,PANES_SEMANALES[[#ALL],[MIÉRCOLES]])</f>
        <v>0</v>
      </c>
      <c r="P1397" s="59">
        <f>SUMIFS(Eventos!$G:$G,Eventos!$F:$F,$L1397,Eventos!$D:$D,$C$2,Eventos!$B:$B,PANES_SEMANALES[[#ALL],[JUEVES]])</f>
        <v>0</v>
      </c>
      <c r="Q1397" s="59">
        <f>IF(P1397&lt;&gt;"",SUMIFS(Eventos!$G:$G,Eventos!$B:$B,Q$2,Eventos!$D:$D,$C$2,Eventos!$F:$F,$L1397),"")</f>
        <v>0</v>
      </c>
      <c r="R1397" s="59">
        <f>SUMIFS(Eventos!$G:$G,Eventos!$F:$F,$L1397,Eventos!$D:$D,$C$2,Eventos!$B:$B,PANES_SEMANALES[[#ALL],[SÁBADO]])</f>
        <v>0</v>
      </c>
      <c r="S1397" s="59">
        <f>SUMIFS(Eventos!$G:$G,Eventos!$F:$F,$L1397,Eventos!$D:$D,$C$2,Eventos!$B:$B,PANES_SEMANALES[[#ALL],[DOMINGO]])</f>
        <v>0</v>
      </c>
      <c r="T1397" s="59">
        <f t="shared" si="1"/>
        <v>0</v>
      </c>
    </row>
    <row r="1398" ht="22.5" customHeight="1">
      <c r="M1398" s="59">
        <f>SUMIFS(Eventos!$G:$G,Eventos!$F:$F,$L1398,Eventos!$D:$D,$C$2,Eventos!$B:$B,PANES_SEMANALES[[#ALL],[LUNES]])</f>
        <v>0</v>
      </c>
      <c r="N1398" s="59">
        <f>SUMIFS(Eventos!$G:$G,Eventos!$F:$F,$L1398,Eventos!$D:$D,$C$2,Eventos!$B:$B,PANES_SEMANALES[[#ALL],[MARTES]])</f>
        <v>0</v>
      </c>
      <c r="O1398" s="59">
        <f>SUMIFS(Eventos!$G:$G,Eventos!$F:$F,$L1398,Eventos!$D:$D,$C$2,Eventos!$B:$B,PANES_SEMANALES[[#ALL],[MIÉRCOLES]])</f>
        <v>0</v>
      </c>
      <c r="P1398" s="59">
        <f>SUMIFS(Eventos!$G:$G,Eventos!$F:$F,$L1398,Eventos!$D:$D,$C$2,Eventos!$B:$B,PANES_SEMANALES[[#ALL],[JUEVES]])</f>
        <v>0</v>
      </c>
      <c r="Q1398" s="59">
        <f>IF(P1398&lt;&gt;"",SUMIFS(Eventos!$G:$G,Eventos!$B:$B,Q$2,Eventos!$D:$D,$C$2,Eventos!$F:$F,$L1398),"")</f>
        <v>0</v>
      </c>
      <c r="R1398" s="59">
        <f>SUMIFS(Eventos!$G:$G,Eventos!$F:$F,$L1398,Eventos!$D:$D,$C$2,Eventos!$B:$B,PANES_SEMANALES[[#ALL],[SÁBADO]])</f>
        <v>0</v>
      </c>
      <c r="S1398" s="59">
        <f>SUMIFS(Eventos!$G:$G,Eventos!$F:$F,$L1398,Eventos!$D:$D,$C$2,Eventos!$B:$B,PANES_SEMANALES[[#ALL],[DOMINGO]])</f>
        <v>0</v>
      </c>
      <c r="T1398" s="59">
        <f t="shared" si="1"/>
        <v>0</v>
      </c>
    </row>
    <row r="1399" ht="22.5" customHeight="1">
      <c r="M1399" s="59">
        <f>SUMIFS(Eventos!$G:$G,Eventos!$F:$F,$L1399,Eventos!$D:$D,$C$2,Eventos!$B:$B,PANES_SEMANALES[[#ALL],[LUNES]])</f>
        <v>0</v>
      </c>
      <c r="N1399" s="59">
        <f>SUMIFS(Eventos!$G:$G,Eventos!$F:$F,$L1399,Eventos!$D:$D,$C$2,Eventos!$B:$B,PANES_SEMANALES[[#ALL],[MARTES]])</f>
        <v>0</v>
      </c>
      <c r="O1399" s="59">
        <f>SUMIFS(Eventos!$G:$G,Eventos!$F:$F,$L1399,Eventos!$D:$D,$C$2,Eventos!$B:$B,PANES_SEMANALES[[#ALL],[MIÉRCOLES]])</f>
        <v>0</v>
      </c>
      <c r="P1399" s="59">
        <f>SUMIFS(Eventos!$G:$G,Eventos!$F:$F,$L1399,Eventos!$D:$D,$C$2,Eventos!$B:$B,PANES_SEMANALES[[#ALL],[JUEVES]])</f>
        <v>0</v>
      </c>
      <c r="Q1399" s="59">
        <f>IF(P1399&lt;&gt;"",SUMIFS(Eventos!$G:$G,Eventos!$B:$B,Q$2,Eventos!$D:$D,$C$2,Eventos!$F:$F,$L1399),"")</f>
        <v>0</v>
      </c>
      <c r="R1399" s="59">
        <f>SUMIFS(Eventos!$G:$G,Eventos!$F:$F,$L1399,Eventos!$D:$D,$C$2,Eventos!$B:$B,PANES_SEMANALES[[#ALL],[SÁBADO]])</f>
        <v>0</v>
      </c>
      <c r="S1399" s="59">
        <f>SUMIFS(Eventos!$G:$G,Eventos!$F:$F,$L1399,Eventos!$D:$D,$C$2,Eventos!$B:$B,PANES_SEMANALES[[#ALL],[DOMINGO]])</f>
        <v>0</v>
      </c>
      <c r="T1399" s="59">
        <f t="shared" si="1"/>
        <v>0</v>
      </c>
    </row>
    <row r="1400" ht="22.5" customHeight="1">
      <c r="M1400" s="59">
        <f>SUMIFS(Eventos!$G:$G,Eventos!$F:$F,$L1400,Eventos!$D:$D,$C$2,Eventos!$B:$B,PANES_SEMANALES[[#ALL],[LUNES]])</f>
        <v>0</v>
      </c>
      <c r="N1400" s="59">
        <f>SUMIFS(Eventos!$G:$G,Eventos!$F:$F,$L1400,Eventos!$D:$D,$C$2,Eventos!$B:$B,PANES_SEMANALES[[#ALL],[MARTES]])</f>
        <v>0</v>
      </c>
      <c r="O1400" s="59">
        <f>SUMIFS(Eventos!$G:$G,Eventos!$F:$F,$L1400,Eventos!$D:$D,$C$2,Eventos!$B:$B,PANES_SEMANALES[[#ALL],[MIÉRCOLES]])</f>
        <v>0</v>
      </c>
      <c r="P1400" s="59">
        <f>SUMIFS(Eventos!$G:$G,Eventos!$F:$F,$L1400,Eventos!$D:$D,$C$2,Eventos!$B:$B,PANES_SEMANALES[[#ALL],[JUEVES]])</f>
        <v>0</v>
      </c>
      <c r="Q1400" s="59">
        <f>IF(P1400&lt;&gt;"",SUMIFS(Eventos!$G:$G,Eventos!$B:$B,Q$2,Eventos!$D:$D,$C$2,Eventos!$F:$F,$L1400),"")</f>
        <v>0</v>
      </c>
      <c r="R1400" s="59">
        <f>SUMIFS(Eventos!$G:$G,Eventos!$F:$F,$L1400,Eventos!$D:$D,$C$2,Eventos!$B:$B,PANES_SEMANALES[[#ALL],[SÁBADO]])</f>
        <v>0</v>
      </c>
      <c r="S1400" s="59">
        <f>SUMIFS(Eventos!$G:$G,Eventos!$F:$F,$L1400,Eventos!$D:$D,$C$2,Eventos!$B:$B,PANES_SEMANALES[[#ALL],[DOMINGO]])</f>
        <v>0</v>
      </c>
      <c r="T1400" s="59">
        <f t="shared" si="1"/>
        <v>0</v>
      </c>
    </row>
    <row r="1401" ht="22.5" customHeight="1">
      <c r="M1401" s="59">
        <f>SUMIFS(Eventos!$G:$G,Eventos!$F:$F,$L1401,Eventos!$D:$D,$C$2,Eventos!$B:$B,PANES_SEMANALES[[#ALL],[LUNES]])</f>
        <v>0</v>
      </c>
      <c r="N1401" s="59">
        <f>SUMIFS(Eventos!$G:$G,Eventos!$F:$F,$L1401,Eventos!$D:$D,$C$2,Eventos!$B:$B,PANES_SEMANALES[[#ALL],[MARTES]])</f>
        <v>0</v>
      </c>
      <c r="O1401" s="59">
        <f>SUMIFS(Eventos!$G:$G,Eventos!$F:$F,$L1401,Eventos!$D:$D,$C$2,Eventos!$B:$B,PANES_SEMANALES[[#ALL],[MIÉRCOLES]])</f>
        <v>0</v>
      </c>
      <c r="P1401" s="59">
        <f>SUMIFS(Eventos!$G:$G,Eventos!$F:$F,$L1401,Eventos!$D:$D,$C$2,Eventos!$B:$B,PANES_SEMANALES[[#ALL],[JUEVES]])</f>
        <v>0</v>
      </c>
      <c r="Q1401" s="59">
        <f>IF(P1401&lt;&gt;"",SUMIFS(Eventos!$G:$G,Eventos!$B:$B,Q$2,Eventos!$D:$D,$C$2,Eventos!$F:$F,$L1401),"")</f>
        <v>0</v>
      </c>
      <c r="R1401" s="59">
        <f>SUMIFS(Eventos!$G:$G,Eventos!$F:$F,$L1401,Eventos!$D:$D,$C$2,Eventos!$B:$B,PANES_SEMANALES[[#ALL],[SÁBADO]])</f>
        <v>0</v>
      </c>
      <c r="S1401" s="59">
        <f>SUMIFS(Eventos!$G:$G,Eventos!$F:$F,$L1401,Eventos!$D:$D,$C$2,Eventos!$B:$B,PANES_SEMANALES[[#ALL],[DOMINGO]])</f>
        <v>0</v>
      </c>
      <c r="T1401" s="59">
        <f t="shared" si="1"/>
        <v>0</v>
      </c>
    </row>
    <row r="1402" ht="22.5" customHeight="1">
      <c r="M1402" s="59">
        <f>SUMIFS(Eventos!$G:$G,Eventos!$F:$F,$L1402,Eventos!$D:$D,$C$2,Eventos!$B:$B,PANES_SEMANALES[[#ALL],[LUNES]])</f>
        <v>0</v>
      </c>
      <c r="N1402" s="59">
        <f>SUMIFS(Eventos!$G:$G,Eventos!$F:$F,$L1402,Eventos!$D:$D,$C$2,Eventos!$B:$B,PANES_SEMANALES[[#ALL],[MARTES]])</f>
        <v>0</v>
      </c>
      <c r="O1402" s="59">
        <f>SUMIFS(Eventos!$G:$G,Eventos!$F:$F,$L1402,Eventos!$D:$D,$C$2,Eventos!$B:$B,PANES_SEMANALES[[#ALL],[MIÉRCOLES]])</f>
        <v>0</v>
      </c>
      <c r="P1402" s="59">
        <f>SUMIFS(Eventos!$G:$G,Eventos!$F:$F,$L1402,Eventos!$D:$D,$C$2,Eventos!$B:$B,PANES_SEMANALES[[#ALL],[JUEVES]])</f>
        <v>0</v>
      </c>
      <c r="Q1402" s="59">
        <f>IF(P1402&lt;&gt;"",SUMIFS(Eventos!$G:$G,Eventos!$B:$B,Q$2,Eventos!$D:$D,$C$2,Eventos!$F:$F,$L1402),"")</f>
        <v>0</v>
      </c>
      <c r="R1402" s="59">
        <f>SUMIFS(Eventos!$G:$G,Eventos!$F:$F,$L1402,Eventos!$D:$D,$C$2,Eventos!$B:$B,PANES_SEMANALES[[#ALL],[SÁBADO]])</f>
        <v>0</v>
      </c>
      <c r="S1402" s="59">
        <f>SUMIFS(Eventos!$G:$G,Eventos!$F:$F,$L1402,Eventos!$D:$D,$C$2,Eventos!$B:$B,PANES_SEMANALES[[#ALL],[DOMINGO]])</f>
        <v>0</v>
      </c>
      <c r="T1402" s="59">
        <f t="shared" si="1"/>
        <v>0</v>
      </c>
    </row>
    <row r="1403" ht="22.5" customHeight="1">
      <c r="M1403" s="59">
        <f>SUMIFS(Eventos!$G:$G,Eventos!$F:$F,$L1403,Eventos!$D:$D,$C$2,Eventos!$B:$B,PANES_SEMANALES[[#ALL],[LUNES]])</f>
        <v>0</v>
      </c>
      <c r="N1403" s="59">
        <f>SUMIFS(Eventos!$G:$G,Eventos!$F:$F,$L1403,Eventos!$D:$D,$C$2,Eventos!$B:$B,PANES_SEMANALES[[#ALL],[MARTES]])</f>
        <v>0</v>
      </c>
      <c r="O1403" s="59">
        <f>SUMIFS(Eventos!$G:$G,Eventos!$F:$F,$L1403,Eventos!$D:$D,$C$2,Eventos!$B:$B,PANES_SEMANALES[[#ALL],[MIÉRCOLES]])</f>
        <v>0</v>
      </c>
      <c r="P1403" s="59">
        <f>SUMIFS(Eventos!$G:$G,Eventos!$F:$F,$L1403,Eventos!$D:$D,$C$2,Eventos!$B:$B,PANES_SEMANALES[[#ALL],[JUEVES]])</f>
        <v>0</v>
      </c>
      <c r="Q1403" s="59">
        <f>IF(P1403&lt;&gt;"",SUMIFS(Eventos!$G:$G,Eventos!$B:$B,Q$2,Eventos!$D:$D,$C$2,Eventos!$F:$F,$L1403),"")</f>
        <v>0</v>
      </c>
      <c r="R1403" s="59">
        <f>SUMIFS(Eventos!$G:$G,Eventos!$F:$F,$L1403,Eventos!$D:$D,$C$2,Eventos!$B:$B,PANES_SEMANALES[[#ALL],[SÁBADO]])</f>
        <v>0</v>
      </c>
      <c r="S1403" s="59">
        <f>SUMIFS(Eventos!$G:$G,Eventos!$F:$F,$L1403,Eventos!$D:$D,$C$2,Eventos!$B:$B,PANES_SEMANALES[[#ALL],[DOMINGO]])</f>
        <v>0</v>
      </c>
      <c r="T1403" s="59">
        <f t="shared" si="1"/>
        <v>0</v>
      </c>
    </row>
    <row r="1404" ht="22.5" customHeight="1">
      <c r="M1404" s="59">
        <f>SUMIFS(Eventos!$G:$G,Eventos!$F:$F,$L1404,Eventos!$D:$D,$C$2,Eventos!$B:$B,PANES_SEMANALES[[#ALL],[LUNES]])</f>
        <v>0</v>
      </c>
      <c r="N1404" s="59">
        <f>SUMIFS(Eventos!$G:$G,Eventos!$F:$F,$L1404,Eventos!$D:$D,$C$2,Eventos!$B:$B,PANES_SEMANALES[[#ALL],[MARTES]])</f>
        <v>0</v>
      </c>
      <c r="O1404" s="59">
        <f>SUMIFS(Eventos!$G:$G,Eventos!$F:$F,$L1404,Eventos!$D:$D,$C$2,Eventos!$B:$B,PANES_SEMANALES[[#ALL],[MIÉRCOLES]])</f>
        <v>0</v>
      </c>
      <c r="P1404" s="59">
        <f>SUMIFS(Eventos!$G:$G,Eventos!$F:$F,$L1404,Eventos!$D:$D,$C$2,Eventos!$B:$B,PANES_SEMANALES[[#ALL],[JUEVES]])</f>
        <v>0</v>
      </c>
      <c r="Q1404" s="59">
        <f>IF(P1404&lt;&gt;"",SUMIFS(Eventos!$G:$G,Eventos!$B:$B,Q$2,Eventos!$D:$D,$C$2,Eventos!$F:$F,$L1404),"")</f>
        <v>0</v>
      </c>
      <c r="R1404" s="59">
        <f>SUMIFS(Eventos!$G:$G,Eventos!$F:$F,$L1404,Eventos!$D:$D,$C$2,Eventos!$B:$B,PANES_SEMANALES[[#ALL],[SÁBADO]])</f>
        <v>0</v>
      </c>
      <c r="S1404" s="59">
        <f>SUMIFS(Eventos!$G:$G,Eventos!$F:$F,$L1404,Eventos!$D:$D,$C$2,Eventos!$B:$B,PANES_SEMANALES[[#ALL],[DOMINGO]])</f>
        <v>0</v>
      </c>
      <c r="T1404" s="59">
        <f t="shared" si="1"/>
        <v>0</v>
      </c>
    </row>
    <row r="1405" ht="22.5" customHeight="1">
      <c r="M1405" s="59">
        <f>SUMIFS(Eventos!$G:$G,Eventos!$F:$F,$L1405,Eventos!$D:$D,$C$2,Eventos!$B:$B,PANES_SEMANALES[[#ALL],[LUNES]])</f>
        <v>0</v>
      </c>
      <c r="N1405" s="59">
        <f>SUMIFS(Eventos!$G:$G,Eventos!$F:$F,$L1405,Eventos!$D:$D,$C$2,Eventos!$B:$B,PANES_SEMANALES[[#ALL],[MARTES]])</f>
        <v>0</v>
      </c>
      <c r="O1405" s="59">
        <f>SUMIFS(Eventos!$G:$G,Eventos!$F:$F,$L1405,Eventos!$D:$D,$C$2,Eventos!$B:$B,PANES_SEMANALES[[#ALL],[MIÉRCOLES]])</f>
        <v>0</v>
      </c>
      <c r="P1405" s="59">
        <f>SUMIFS(Eventos!$G:$G,Eventos!$F:$F,$L1405,Eventos!$D:$D,$C$2,Eventos!$B:$B,PANES_SEMANALES[[#ALL],[JUEVES]])</f>
        <v>0</v>
      </c>
      <c r="Q1405" s="59">
        <f>IF(P1405&lt;&gt;"",SUMIFS(Eventos!$G:$G,Eventos!$B:$B,Q$2,Eventos!$D:$D,$C$2,Eventos!$F:$F,$L1405),"")</f>
        <v>0</v>
      </c>
      <c r="R1405" s="59">
        <f>SUMIFS(Eventos!$G:$G,Eventos!$F:$F,$L1405,Eventos!$D:$D,$C$2,Eventos!$B:$B,PANES_SEMANALES[[#ALL],[SÁBADO]])</f>
        <v>0</v>
      </c>
      <c r="S1405" s="59">
        <f>SUMIFS(Eventos!$G:$G,Eventos!$F:$F,$L1405,Eventos!$D:$D,$C$2,Eventos!$B:$B,PANES_SEMANALES[[#ALL],[DOMINGO]])</f>
        <v>0</v>
      </c>
      <c r="T1405" s="59">
        <f t="shared" si="1"/>
        <v>0</v>
      </c>
    </row>
    <row r="1406" ht="22.5" customHeight="1">
      <c r="M1406" s="59">
        <f>SUMIFS(Eventos!$G:$G,Eventos!$F:$F,$L1406,Eventos!$D:$D,$C$2,Eventos!$B:$B,PANES_SEMANALES[[#ALL],[LUNES]])</f>
        <v>0</v>
      </c>
      <c r="N1406" s="59">
        <f>SUMIFS(Eventos!$G:$G,Eventos!$F:$F,$L1406,Eventos!$D:$D,$C$2,Eventos!$B:$B,PANES_SEMANALES[[#ALL],[MARTES]])</f>
        <v>0</v>
      </c>
      <c r="O1406" s="59">
        <f>SUMIFS(Eventos!$G:$G,Eventos!$F:$F,$L1406,Eventos!$D:$D,$C$2,Eventos!$B:$B,PANES_SEMANALES[[#ALL],[MIÉRCOLES]])</f>
        <v>0</v>
      </c>
      <c r="P1406" s="59">
        <f>SUMIFS(Eventos!$G:$G,Eventos!$F:$F,$L1406,Eventos!$D:$D,$C$2,Eventos!$B:$B,PANES_SEMANALES[[#ALL],[JUEVES]])</f>
        <v>0</v>
      </c>
      <c r="Q1406" s="59">
        <f>IF(P1406&lt;&gt;"",SUMIFS(Eventos!$G:$G,Eventos!$B:$B,Q$2,Eventos!$D:$D,$C$2,Eventos!$F:$F,$L1406),"")</f>
        <v>0</v>
      </c>
      <c r="R1406" s="59">
        <f>SUMIFS(Eventos!$G:$G,Eventos!$F:$F,$L1406,Eventos!$D:$D,$C$2,Eventos!$B:$B,PANES_SEMANALES[[#ALL],[SÁBADO]])</f>
        <v>0</v>
      </c>
      <c r="S1406" s="59">
        <f>SUMIFS(Eventos!$G:$G,Eventos!$F:$F,$L1406,Eventos!$D:$D,$C$2,Eventos!$B:$B,PANES_SEMANALES[[#ALL],[DOMINGO]])</f>
        <v>0</v>
      </c>
      <c r="T1406" s="59">
        <f t="shared" si="1"/>
        <v>0</v>
      </c>
    </row>
    <row r="1407" ht="22.5" customHeight="1">
      <c r="M1407" s="59">
        <f>SUMIFS(Eventos!$G:$G,Eventos!$F:$F,$L1407,Eventos!$D:$D,$C$2,Eventos!$B:$B,PANES_SEMANALES[[#ALL],[LUNES]])</f>
        <v>0</v>
      </c>
      <c r="N1407" s="59">
        <f>SUMIFS(Eventos!$G:$G,Eventos!$F:$F,$L1407,Eventos!$D:$D,$C$2,Eventos!$B:$B,PANES_SEMANALES[[#ALL],[MARTES]])</f>
        <v>0</v>
      </c>
      <c r="O1407" s="59">
        <f>SUMIFS(Eventos!$G:$G,Eventos!$F:$F,$L1407,Eventos!$D:$D,$C$2,Eventos!$B:$B,PANES_SEMANALES[[#ALL],[MIÉRCOLES]])</f>
        <v>0</v>
      </c>
      <c r="P1407" s="59">
        <f>SUMIFS(Eventos!$G:$G,Eventos!$F:$F,$L1407,Eventos!$D:$D,$C$2,Eventos!$B:$B,PANES_SEMANALES[[#ALL],[JUEVES]])</f>
        <v>0</v>
      </c>
      <c r="Q1407" s="59">
        <f>IF(P1407&lt;&gt;"",SUMIFS(Eventos!$G:$G,Eventos!$B:$B,Q$2,Eventos!$D:$D,$C$2,Eventos!$F:$F,$L1407),"")</f>
        <v>0</v>
      </c>
      <c r="R1407" s="59">
        <f>SUMIFS(Eventos!$G:$G,Eventos!$F:$F,$L1407,Eventos!$D:$D,$C$2,Eventos!$B:$B,PANES_SEMANALES[[#ALL],[SÁBADO]])</f>
        <v>0</v>
      </c>
      <c r="S1407" s="59">
        <f>SUMIFS(Eventos!$G:$G,Eventos!$F:$F,$L1407,Eventos!$D:$D,$C$2,Eventos!$B:$B,PANES_SEMANALES[[#ALL],[DOMINGO]])</f>
        <v>0</v>
      </c>
      <c r="T1407" s="59">
        <f t="shared" si="1"/>
        <v>0</v>
      </c>
    </row>
    <row r="1408" ht="22.5" customHeight="1">
      <c r="M1408" s="59">
        <f>SUMIFS(Eventos!$G:$G,Eventos!$F:$F,$L1408,Eventos!$D:$D,$C$2,Eventos!$B:$B,PANES_SEMANALES[[#ALL],[LUNES]])</f>
        <v>0</v>
      </c>
      <c r="N1408" s="59">
        <f>SUMIFS(Eventos!$G:$G,Eventos!$F:$F,$L1408,Eventos!$D:$D,$C$2,Eventos!$B:$B,PANES_SEMANALES[[#ALL],[MARTES]])</f>
        <v>0</v>
      </c>
      <c r="O1408" s="59">
        <f>SUMIFS(Eventos!$G:$G,Eventos!$F:$F,$L1408,Eventos!$D:$D,$C$2,Eventos!$B:$B,PANES_SEMANALES[[#ALL],[MIÉRCOLES]])</f>
        <v>0</v>
      </c>
      <c r="P1408" s="59">
        <f>SUMIFS(Eventos!$G:$G,Eventos!$F:$F,$L1408,Eventos!$D:$D,$C$2,Eventos!$B:$B,PANES_SEMANALES[[#ALL],[JUEVES]])</f>
        <v>0</v>
      </c>
      <c r="Q1408" s="59">
        <f>IF(P1408&lt;&gt;"",SUMIFS(Eventos!$G:$G,Eventos!$B:$B,Q$2,Eventos!$D:$D,$C$2,Eventos!$F:$F,$L1408),"")</f>
        <v>0</v>
      </c>
      <c r="R1408" s="59">
        <f>SUMIFS(Eventos!$G:$G,Eventos!$F:$F,$L1408,Eventos!$D:$D,$C$2,Eventos!$B:$B,PANES_SEMANALES[[#ALL],[SÁBADO]])</f>
        <v>0</v>
      </c>
      <c r="S1408" s="59">
        <f>SUMIFS(Eventos!$G:$G,Eventos!$F:$F,$L1408,Eventos!$D:$D,$C$2,Eventos!$B:$B,PANES_SEMANALES[[#ALL],[DOMINGO]])</f>
        <v>0</v>
      </c>
      <c r="T1408" s="59">
        <f t="shared" si="1"/>
        <v>0</v>
      </c>
    </row>
    <row r="1409" ht="22.5" customHeight="1">
      <c r="M1409" s="59">
        <f>SUMIFS(Eventos!$G:$G,Eventos!$F:$F,$L1409,Eventos!$D:$D,$C$2,Eventos!$B:$B,PANES_SEMANALES[[#ALL],[LUNES]])</f>
        <v>0</v>
      </c>
      <c r="N1409" s="59">
        <f>SUMIFS(Eventos!$G:$G,Eventos!$F:$F,$L1409,Eventos!$D:$D,$C$2,Eventos!$B:$B,PANES_SEMANALES[[#ALL],[MARTES]])</f>
        <v>0</v>
      </c>
      <c r="O1409" s="59">
        <f>SUMIFS(Eventos!$G:$G,Eventos!$F:$F,$L1409,Eventos!$D:$D,$C$2,Eventos!$B:$B,PANES_SEMANALES[[#ALL],[MIÉRCOLES]])</f>
        <v>0</v>
      </c>
      <c r="P1409" s="59">
        <f>SUMIFS(Eventos!$G:$G,Eventos!$F:$F,$L1409,Eventos!$D:$D,$C$2,Eventos!$B:$B,PANES_SEMANALES[[#ALL],[JUEVES]])</f>
        <v>0</v>
      </c>
      <c r="Q1409" s="59">
        <f>IF(P1409&lt;&gt;"",SUMIFS(Eventos!$G:$G,Eventos!$B:$B,Q$2,Eventos!$D:$D,$C$2,Eventos!$F:$F,$L1409),"")</f>
        <v>0</v>
      </c>
      <c r="R1409" s="59">
        <f>SUMIFS(Eventos!$G:$G,Eventos!$F:$F,$L1409,Eventos!$D:$D,$C$2,Eventos!$B:$B,PANES_SEMANALES[[#ALL],[SÁBADO]])</f>
        <v>0</v>
      </c>
      <c r="S1409" s="59">
        <f>SUMIFS(Eventos!$G:$G,Eventos!$F:$F,$L1409,Eventos!$D:$D,$C$2,Eventos!$B:$B,PANES_SEMANALES[[#ALL],[DOMINGO]])</f>
        <v>0</v>
      </c>
      <c r="T1409" s="59">
        <f t="shared" si="1"/>
        <v>0</v>
      </c>
    </row>
    <row r="1410" ht="22.5" customHeight="1">
      <c r="M1410" s="59">
        <f>SUMIFS(Eventos!$G:$G,Eventos!$F:$F,$L1410,Eventos!$D:$D,$C$2,Eventos!$B:$B,PANES_SEMANALES[[#ALL],[LUNES]])</f>
        <v>0</v>
      </c>
      <c r="N1410" s="59">
        <f>SUMIFS(Eventos!$G:$G,Eventos!$F:$F,$L1410,Eventos!$D:$D,$C$2,Eventos!$B:$B,PANES_SEMANALES[[#ALL],[MARTES]])</f>
        <v>0</v>
      </c>
      <c r="O1410" s="59">
        <f>SUMIFS(Eventos!$G:$G,Eventos!$F:$F,$L1410,Eventos!$D:$D,$C$2,Eventos!$B:$B,PANES_SEMANALES[[#ALL],[MIÉRCOLES]])</f>
        <v>0</v>
      </c>
      <c r="P1410" s="59">
        <f>SUMIFS(Eventos!$G:$G,Eventos!$F:$F,$L1410,Eventos!$D:$D,$C$2,Eventos!$B:$B,PANES_SEMANALES[[#ALL],[JUEVES]])</f>
        <v>0</v>
      </c>
      <c r="Q1410" s="59">
        <f>IF(P1410&lt;&gt;"",SUMIFS(Eventos!$G:$G,Eventos!$B:$B,Q$2,Eventos!$D:$D,$C$2,Eventos!$F:$F,$L1410),"")</f>
        <v>0</v>
      </c>
      <c r="R1410" s="59">
        <f>SUMIFS(Eventos!$G:$G,Eventos!$F:$F,$L1410,Eventos!$D:$D,$C$2,Eventos!$B:$B,PANES_SEMANALES[[#ALL],[SÁBADO]])</f>
        <v>0</v>
      </c>
      <c r="S1410" s="59">
        <f>SUMIFS(Eventos!$G:$G,Eventos!$F:$F,$L1410,Eventos!$D:$D,$C$2,Eventos!$B:$B,PANES_SEMANALES[[#ALL],[DOMINGO]])</f>
        <v>0</v>
      </c>
      <c r="T1410" s="59">
        <f t="shared" si="1"/>
        <v>0</v>
      </c>
    </row>
    <row r="1411" ht="22.5" customHeight="1">
      <c r="M1411" s="59">
        <f>SUMIFS(Eventos!$G:$G,Eventos!$F:$F,$L1411,Eventos!$D:$D,$C$2,Eventos!$B:$B,PANES_SEMANALES[[#ALL],[LUNES]])</f>
        <v>0</v>
      </c>
      <c r="N1411" s="59">
        <f>SUMIFS(Eventos!$G:$G,Eventos!$F:$F,$L1411,Eventos!$D:$D,$C$2,Eventos!$B:$B,PANES_SEMANALES[[#ALL],[MARTES]])</f>
        <v>0</v>
      </c>
      <c r="O1411" s="59">
        <f>SUMIFS(Eventos!$G:$G,Eventos!$F:$F,$L1411,Eventos!$D:$D,$C$2,Eventos!$B:$B,PANES_SEMANALES[[#ALL],[MIÉRCOLES]])</f>
        <v>0</v>
      </c>
      <c r="P1411" s="59">
        <f>SUMIFS(Eventos!$G:$G,Eventos!$F:$F,$L1411,Eventos!$D:$D,$C$2,Eventos!$B:$B,PANES_SEMANALES[[#ALL],[JUEVES]])</f>
        <v>0</v>
      </c>
      <c r="Q1411" s="59">
        <f>IF(P1411&lt;&gt;"",SUMIFS(Eventos!$G:$G,Eventos!$B:$B,Q$2,Eventos!$D:$D,$C$2,Eventos!$F:$F,$L1411),"")</f>
        <v>0</v>
      </c>
      <c r="R1411" s="59">
        <f>SUMIFS(Eventos!$G:$G,Eventos!$F:$F,$L1411,Eventos!$D:$D,$C$2,Eventos!$B:$B,PANES_SEMANALES[[#ALL],[SÁBADO]])</f>
        <v>0</v>
      </c>
      <c r="S1411" s="59">
        <f>SUMIFS(Eventos!$G:$G,Eventos!$F:$F,$L1411,Eventos!$D:$D,$C$2,Eventos!$B:$B,PANES_SEMANALES[[#ALL],[DOMINGO]])</f>
        <v>0</v>
      </c>
      <c r="T1411" s="59">
        <f t="shared" si="1"/>
        <v>0</v>
      </c>
    </row>
    <row r="1412" ht="22.5" customHeight="1">
      <c r="M1412" s="59">
        <f>SUMIFS(Eventos!$G:$G,Eventos!$F:$F,$L1412,Eventos!$D:$D,$C$2,Eventos!$B:$B,PANES_SEMANALES[[#ALL],[LUNES]])</f>
        <v>0</v>
      </c>
      <c r="N1412" s="59">
        <f>SUMIFS(Eventos!$G:$G,Eventos!$F:$F,$L1412,Eventos!$D:$D,$C$2,Eventos!$B:$B,PANES_SEMANALES[[#ALL],[MARTES]])</f>
        <v>0</v>
      </c>
      <c r="O1412" s="59">
        <f>SUMIFS(Eventos!$G:$G,Eventos!$F:$F,$L1412,Eventos!$D:$D,$C$2,Eventos!$B:$B,PANES_SEMANALES[[#ALL],[MIÉRCOLES]])</f>
        <v>0</v>
      </c>
      <c r="P1412" s="59">
        <f>SUMIFS(Eventos!$G:$G,Eventos!$F:$F,$L1412,Eventos!$D:$D,$C$2,Eventos!$B:$B,PANES_SEMANALES[[#ALL],[JUEVES]])</f>
        <v>0</v>
      </c>
      <c r="Q1412" s="59">
        <f>IF(P1412&lt;&gt;"",SUMIFS(Eventos!$G:$G,Eventos!$B:$B,Q$2,Eventos!$D:$D,$C$2,Eventos!$F:$F,$L1412),"")</f>
        <v>0</v>
      </c>
      <c r="R1412" s="59">
        <f>SUMIFS(Eventos!$G:$G,Eventos!$F:$F,$L1412,Eventos!$D:$D,$C$2,Eventos!$B:$B,PANES_SEMANALES[[#ALL],[SÁBADO]])</f>
        <v>0</v>
      </c>
      <c r="S1412" s="59">
        <f>SUMIFS(Eventos!$G:$G,Eventos!$F:$F,$L1412,Eventos!$D:$D,$C$2,Eventos!$B:$B,PANES_SEMANALES[[#ALL],[DOMINGO]])</f>
        <v>0</v>
      </c>
      <c r="T1412" s="59">
        <f t="shared" si="1"/>
        <v>0</v>
      </c>
    </row>
    <row r="1413" ht="22.5" customHeight="1">
      <c r="M1413" s="59">
        <f>SUMIFS(Eventos!$G:$G,Eventos!$F:$F,$L1413,Eventos!$D:$D,$C$2,Eventos!$B:$B,PANES_SEMANALES[[#ALL],[LUNES]])</f>
        <v>0</v>
      </c>
      <c r="N1413" s="59">
        <f>SUMIFS(Eventos!$G:$G,Eventos!$F:$F,$L1413,Eventos!$D:$D,$C$2,Eventos!$B:$B,PANES_SEMANALES[[#ALL],[MARTES]])</f>
        <v>0</v>
      </c>
      <c r="O1413" s="59">
        <f>SUMIFS(Eventos!$G:$G,Eventos!$F:$F,$L1413,Eventos!$D:$D,$C$2,Eventos!$B:$B,PANES_SEMANALES[[#ALL],[MIÉRCOLES]])</f>
        <v>0</v>
      </c>
      <c r="P1413" s="59">
        <f>SUMIFS(Eventos!$G:$G,Eventos!$F:$F,$L1413,Eventos!$D:$D,$C$2,Eventos!$B:$B,PANES_SEMANALES[[#ALL],[JUEVES]])</f>
        <v>0</v>
      </c>
      <c r="Q1413" s="59">
        <f>IF(P1413&lt;&gt;"",SUMIFS(Eventos!$G:$G,Eventos!$B:$B,Q$2,Eventos!$D:$D,$C$2,Eventos!$F:$F,$L1413),"")</f>
        <v>0</v>
      </c>
      <c r="R1413" s="59">
        <f>SUMIFS(Eventos!$G:$G,Eventos!$F:$F,$L1413,Eventos!$D:$D,$C$2,Eventos!$B:$B,PANES_SEMANALES[[#ALL],[SÁBADO]])</f>
        <v>0</v>
      </c>
      <c r="S1413" s="59">
        <f>SUMIFS(Eventos!$G:$G,Eventos!$F:$F,$L1413,Eventos!$D:$D,$C$2,Eventos!$B:$B,PANES_SEMANALES[[#ALL],[DOMINGO]])</f>
        <v>0</v>
      </c>
      <c r="T1413" s="59">
        <f t="shared" si="1"/>
        <v>0</v>
      </c>
    </row>
    <row r="1414" ht="22.5" customHeight="1">
      <c r="M1414" s="59">
        <f>SUMIFS(Eventos!$G:$G,Eventos!$F:$F,$L1414,Eventos!$D:$D,$C$2,Eventos!$B:$B,PANES_SEMANALES[[#ALL],[LUNES]])</f>
        <v>0</v>
      </c>
      <c r="N1414" s="59">
        <f>SUMIFS(Eventos!$G:$G,Eventos!$F:$F,$L1414,Eventos!$D:$D,$C$2,Eventos!$B:$B,PANES_SEMANALES[[#ALL],[MARTES]])</f>
        <v>0</v>
      </c>
      <c r="O1414" s="59">
        <f>SUMIFS(Eventos!$G:$G,Eventos!$F:$F,$L1414,Eventos!$D:$D,$C$2,Eventos!$B:$B,PANES_SEMANALES[[#ALL],[MIÉRCOLES]])</f>
        <v>0</v>
      </c>
      <c r="P1414" s="59">
        <f>SUMIFS(Eventos!$G:$G,Eventos!$F:$F,$L1414,Eventos!$D:$D,$C$2,Eventos!$B:$B,PANES_SEMANALES[[#ALL],[JUEVES]])</f>
        <v>0</v>
      </c>
      <c r="Q1414" s="59">
        <f>IF(P1414&lt;&gt;"",SUMIFS(Eventos!$G:$G,Eventos!$B:$B,Q$2,Eventos!$D:$D,$C$2,Eventos!$F:$F,$L1414),"")</f>
        <v>0</v>
      </c>
      <c r="R1414" s="59">
        <f>SUMIFS(Eventos!$G:$G,Eventos!$F:$F,$L1414,Eventos!$D:$D,$C$2,Eventos!$B:$B,PANES_SEMANALES[[#ALL],[SÁBADO]])</f>
        <v>0</v>
      </c>
      <c r="S1414" s="59">
        <f>SUMIFS(Eventos!$G:$G,Eventos!$F:$F,$L1414,Eventos!$D:$D,$C$2,Eventos!$B:$B,PANES_SEMANALES[[#ALL],[DOMINGO]])</f>
        <v>0</v>
      </c>
      <c r="T1414" s="59">
        <f t="shared" si="1"/>
        <v>0</v>
      </c>
    </row>
    <row r="1415" ht="22.5" customHeight="1">
      <c r="M1415" s="59">
        <f>SUMIFS(Eventos!$G:$G,Eventos!$F:$F,$L1415,Eventos!$D:$D,$C$2,Eventos!$B:$B,PANES_SEMANALES[[#ALL],[LUNES]])</f>
        <v>0</v>
      </c>
      <c r="N1415" s="59">
        <f>SUMIFS(Eventos!$G:$G,Eventos!$F:$F,$L1415,Eventos!$D:$D,$C$2,Eventos!$B:$B,PANES_SEMANALES[[#ALL],[MARTES]])</f>
        <v>0</v>
      </c>
      <c r="O1415" s="59">
        <f>SUMIFS(Eventos!$G:$G,Eventos!$F:$F,$L1415,Eventos!$D:$D,$C$2,Eventos!$B:$B,PANES_SEMANALES[[#ALL],[MIÉRCOLES]])</f>
        <v>0</v>
      </c>
      <c r="P1415" s="59">
        <f>SUMIFS(Eventos!$G:$G,Eventos!$F:$F,$L1415,Eventos!$D:$D,$C$2,Eventos!$B:$B,PANES_SEMANALES[[#ALL],[JUEVES]])</f>
        <v>0</v>
      </c>
      <c r="Q1415" s="59">
        <f>IF(P1415&lt;&gt;"",SUMIFS(Eventos!$G:$G,Eventos!$B:$B,Q$2,Eventos!$D:$D,$C$2,Eventos!$F:$F,$L1415),"")</f>
        <v>0</v>
      </c>
      <c r="R1415" s="59">
        <f>SUMIFS(Eventos!$G:$G,Eventos!$F:$F,$L1415,Eventos!$D:$D,$C$2,Eventos!$B:$B,PANES_SEMANALES[[#ALL],[SÁBADO]])</f>
        <v>0</v>
      </c>
      <c r="S1415" s="59">
        <f>SUMIFS(Eventos!$G:$G,Eventos!$F:$F,$L1415,Eventos!$D:$D,$C$2,Eventos!$B:$B,PANES_SEMANALES[[#ALL],[DOMINGO]])</f>
        <v>0</v>
      </c>
      <c r="T1415" s="59">
        <f t="shared" si="1"/>
        <v>0</v>
      </c>
    </row>
    <row r="1416" ht="22.5" customHeight="1">
      <c r="M1416" s="59">
        <f>SUMIFS(Eventos!$G:$G,Eventos!$F:$F,$L1416,Eventos!$D:$D,$C$2,Eventos!$B:$B,PANES_SEMANALES[[#ALL],[LUNES]])</f>
        <v>0</v>
      </c>
      <c r="N1416" s="59">
        <f>SUMIFS(Eventos!$G:$G,Eventos!$F:$F,$L1416,Eventos!$D:$D,$C$2,Eventos!$B:$B,PANES_SEMANALES[[#ALL],[MARTES]])</f>
        <v>0</v>
      </c>
      <c r="O1416" s="59">
        <f>SUMIFS(Eventos!$G:$G,Eventos!$F:$F,$L1416,Eventos!$D:$D,$C$2,Eventos!$B:$B,PANES_SEMANALES[[#ALL],[MIÉRCOLES]])</f>
        <v>0</v>
      </c>
      <c r="P1416" s="59">
        <f>SUMIFS(Eventos!$G:$G,Eventos!$F:$F,$L1416,Eventos!$D:$D,$C$2,Eventos!$B:$B,PANES_SEMANALES[[#ALL],[JUEVES]])</f>
        <v>0</v>
      </c>
      <c r="Q1416" s="59">
        <f>IF(P1416&lt;&gt;"",SUMIFS(Eventos!$G:$G,Eventos!$B:$B,Q$2,Eventos!$D:$D,$C$2,Eventos!$F:$F,$L1416),"")</f>
        <v>0</v>
      </c>
      <c r="R1416" s="59">
        <f>SUMIFS(Eventos!$G:$G,Eventos!$F:$F,$L1416,Eventos!$D:$D,$C$2,Eventos!$B:$B,PANES_SEMANALES[[#ALL],[SÁBADO]])</f>
        <v>0</v>
      </c>
      <c r="S1416" s="59">
        <f>SUMIFS(Eventos!$G:$G,Eventos!$F:$F,$L1416,Eventos!$D:$D,$C$2,Eventos!$B:$B,PANES_SEMANALES[[#ALL],[DOMINGO]])</f>
        <v>0</v>
      </c>
      <c r="T1416" s="59">
        <f t="shared" si="1"/>
        <v>0</v>
      </c>
    </row>
    <row r="1417" ht="22.5" customHeight="1">
      <c r="M1417" s="59">
        <f>SUMIFS(Eventos!$G:$G,Eventos!$F:$F,$L1417,Eventos!$D:$D,$C$2,Eventos!$B:$B,PANES_SEMANALES[[#ALL],[LUNES]])</f>
        <v>0</v>
      </c>
      <c r="N1417" s="59">
        <f>SUMIFS(Eventos!$G:$G,Eventos!$F:$F,$L1417,Eventos!$D:$D,$C$2,Eventos!$B:$B,PANES_SEMANALES[[#ALL],[MARTES]])</f>
        <v>0</v>
      </c>
      <c r="O1417" s="59">
        <f>SUMIFS(Eventos!$G:$G,Eventos!$F:$F,$L1417,Eventos!$D:$D,$C$2,Eventos!$B:$B,PANES_SEMANALES[[#ALL],[MIÉRCOLES]])</f>
        <v>0</v>
      </c>
      <c r="P1417" s="59">
        <f>SUMIFS(Eventos!$G:$G,Eventos!$F:$F,$L1417,Eventos!$D:$D,$C$2,Eventos!$B:$B,PANES_SEMANALES[[#ALL],[JUEVES]])</f>
        <v>0</v>
      </c>
      <c r="Q1417" s="59">
        <f>IF(P1417&lt;&gt;"",SUMIFS(Eventos!$G:$G,Eventos!$B:$B,Q$2,Eventos!$D:$D,$C$2,Eventos!$F:$F,$L1417),"")</f>
        <v>0</v>
      </c>
      <c r="R1417" s="59">
        <f>SUMIFS(Eventos!$G:$G,Eventos!$F:$F,$L1417,Eventos!$D:$D,$C$2,Eventos!$B:$B,PANES_SEMANALES[[#ALL],[SÁBADO]])</f>
        <v>0</v>
      </c>
      <c r="S1417" s="59">
        <f>SUMIFS(Eventos!$G:$G,Eventos!$F:$F,$L1417,Eventos!$D:$D,$C$2,Eventos!$B:$B,PANES_SEMANALES[[#ALL],[DOMINGO]])</f>
        <v>0</v>
      </c>
      <c r="T1417" s="59">
        <f t="shared" si="1"/>
        <v>0</v>
      </c>
    </row>
    <row r="1418" ht="22.5" customHeight="1">
      <c r="M1418" s="59">
        <f>SUMIFS(Eventos!$G:$G,Eventos!$F:$F,$L1418,Eventos!$D:$D,$C$2,Eventos!$B:$B,PANES_SEMANALES[[#ALL],[LUNES]])</f>
        <v>0</v>
      </c>
      <c r="N1418" s="59">
        <f>SUMIFS(Eventos!$G:$G,Eventos!$F:$F,$L1418,Eventos!$D:$D,$C$2,Eventos!$B:$B,PANES_SEMANALES[[#ALL],[MARTES]])</f>
        <v>0</v>
      </c>
      <c r="O1418" s="59">
        <f>SUMIFS(Eventos!$G:$G,Eventos!$F:$F,$L1418,Eventos!$D:$D,$C$2,Eventos!$B:$B,PANES_SEMANALES[[#ALL],[MIÉRCOLES]])</f>
        <v>0</v>
      </c>
      <c r="P1418" s="59">
        <f>SUMIFS(Eventos!$G:$G,Eventos!$F:$F,$L1418,Eventos!$D:$D,$C$2,Eventos!$B:$B,PANES_SEMANALES[[#ALL],[JUEVES]])</f>
        <v>0</v>
      </c>
      <c r="Q1418" s="59">
        <f>IF(P1418&lt;&gt;"",SUMIFS(Eventos!$G:$G,Eventos!$B:$B,Q$2,Eventos!$D:$D,$C$2,Eventos!$F:$F,$L1418),"")</f>
        <v>0</v>
      </c>
      <c r="R1418" s="59">
        <f>SUMIFS(Eventos!$G:$G,Eventos!$F:$F,$L1418,Eventos!$D:$D,$C$2,Eventos!$B:$B,PANES_SEMANALES[[#ALL],[SÁBADO]])</f>
        <v>0</v>
      </c>
      <c r="S1418" s="59">
        <f>SUMIFS(Eventos!$G:$G,Eventos!$F:$F,$L1418,Eventos!$D:$D,$C$2,Eventos!$B:$B,PANES_SEMANALES[[#ALL],[DOMINGO]])</f>
        <v>0</v>
      </c>
      <c r="T1418" s="59">
        <f t="shared" si="1"/>
        <v>0</v>
      </c>
    </row>
    <row r="1419" ht="22.5" customHeight="1">
      <c r="M1419" s="59">
        <f>SUMIFS(Eventos!$G:$G,Eventos!$F:$F,$L1419,Eventos!$D:$D,$C$2,Eventos!$B:$B,PANES_SEMANALES[[#ALL],[LUNES]])</f>
        <v>0</v>
      </c>
      <c r="N1419" s="59">
        <f>SUMIFS(Eventos!$G:$G,Eventos!$F:$F,$L1419,Eventos!$D:$D,$C$2,Eventos!$B:$B,PANES_SEMANALES[[#ALL],[MARTES]])</f>
        <v>0</v>
      </c>
      <c r="O1419" s="59">
        <f>SUMIFS(Eventos!$G:$G,Eventos!$F:$F,$L1419,Eventos!$D:$D,$C$2,Eventos!$B:$B,PANES_SEMANALES[[#ALL],[MIÉRCOLES]])</f>
        <v>0</v>
      </c>
      <c r="P1419" s="59">
        <f>SUMIFS(Eventos!$G:$G,Eventos!$F:$F,$L1419,Eventos!$D:$D,$C$2,Eventos!$B:$B,PANES_SEMANALES[[#ALL],[JUEVES]])</f>
        <v>0</v>
      </c>
      <c r="Q1419" s="59">
        <f>IF(P1419&lt;&gt;"",SUMIFS(Eventos!$G:$G,Eventos!$B:$B,Q$2,Eventos!$D:$D,$C$2,Eventos!$F:$F,$L1419),"")</f>
        <v>0</v>
      </c>
      <c r="R1419" s="59">
        <f>SUMIFS(Eventos!$G:$G,Eventos!$F:$F,$L1419,Eventos!$D:$D,$C$2,Eventos!$B:$B,PANES_SEMANALES[[#ALL],[SÁBADO]])</f>
        <v>0</v>
      </c>
      <c r="S1419" s="59">
        <f>SUMIFS(Eventos!$G:$G,Eventos!$F:$F,$L1419,Eventos!$D:$D,$C$2,Eventos!$B:$B,PANES_SEMANALES[[#ALL],[DOMINGO]])</f>
        <v>0</v>
      </c>
      <c r="T1419" s="59">
        <f t="shared" si="1"/>
        <v>0</v>
      </c>
    </row>
    <row r="1420" ht="22.5" customHeight="1">
      <c r="M1420" s="59">
        <f>SUMIFS(Eventos!$G:$G,Eventos!$F:$F,$L1420,Eventos!$D:$D,$C$2,Eventos!$B:$B,PANES_SEMANALES[[#ALL],[LUNES]])</f>
        <v>0</v>
      </c>
      <c r="N1420" s="59">
        <f>SUMIFS(Eventos!$G:$G,Eventos!$F:$F,$L1420,Eventos!$D:$D,$C$2,Eventos!$B:$B,PANES_SEMANALES[[#ALL],[MARTES]])</f>
        <v>0</v>
      </c>
      <c r="O1420" s="59">
        <f>SUMIFS(Eventos!$G:$G,Eventos!$F:$F,$L1420,Eventos!$D:$D,$C$2,Eventos!$B:$B,PANES_SEMANALES[[#ALL],[MIÉRCOLES]])</f>
        <v>0</v>
      </c>
      <c r="P1420" s="59">
        <f>SUMIFS(Eventos!$G:$G,Eventos!$F:$F,$L1420,Eventos!$D:$D,$C$2,Eventos!$B:$B,PANES_SEMANALES[[#ALL],[JUEVES]])</f>
        <v>0</v>
      </c>
      <c r="Q1420" s="59">
        <f>IF(P1420&lt;&gt;"",SUMIFS(Eventos!$G:$G,Eventos!$B:$B,Q$2,Eventos!$D:$D,$C$2,Eventos!$F:$F,$L1420),"")</f>
        <v>0</v>
      </c>
      <c r="R1420" s="59">
        <f>SUMIFS(Eventos!$G:$G,Eventos!$F:$F,$L1420,Eventos!$D:$D,$C$2,Eventos!$B:$B,PANES_SEMANALES[[#ALL],[SÁBADO]])</f>
        <v>0</v>
      </c>
      <c r="S1420" s="59">
        <f>SUMIFS(Eventos!$G:$G,Eventos!$F:$F,$L1420,Eventos!$D:$D,$C$2,Eventos!$B:$B,PANES_SEMANALES[[#ALL],[DOMINGO]])</f>
        <v>0</v>
      </c>
      <c r="T1420" s="59">
        <f t="shared" si="1"/>
        <v>0</v>
      </c>
    </row>
    <row r="1421" ht="22.5" customHeight="1">
      <c r="M1421" s="59">
        <f>SUMIFS(Eventos!$G:$G,Eventos!$F:$F,$L1421,Eventos!$D:$D,$C$2,Eventos!$B:$B,PANES_SEMANALES[[#ALL],[LUNES]])</f>
        <v>0</v>
      </c>
      <c r="N1421" s="59">
        <f>SUMIFS(Eventos!$G:$G,Eventos!$F:$F,$L1421,Eventos!$D:$D,$C$2,Eventos!$B:$B,PANES_SEMANALES[[#ALL],[MARTES]])</f>
        <v>0</v>
      </c>
      <c r="O1421" s="59">
        <f>SUMIFS(Eventos!$G:$G,Eventos!$F:$F,$L1421,Eventos!$D:$D,$C$2,Eventos!$B:$B,PANES_SEMANALES[[#ALL],[MIÉRCOLES]])</f>
        <v>0</v>
      </c>
      <c r="P1421" s="59">
        <f>SUMIFS(Eventos!$G:$G,Eventos!$F:$F,$L1421,Eventos!$D:$D,$C$2,Eventos!$B:$B,PANES_SEMANALES[[#ALL],[JUEVES]])</f>
        <v>0</v>
      </c>
      <c r="Q1421" s="59">
        <f>IF(P1421&lt;&gt;"",SUMIFS(Eventos!$G:$G,Eventos!$B:$B,Q$2,Eventos!$D:$D,$C$2,Eventos!$F:$F,$L1421),"")</f>
        <v>0</v>
      </c>
      <c r="R1421" s="59">
        <f>SUMIFS(Eventos!$G:$G,Eventos!$F:$F,$L1421,Eventos!$D:$D,$C$2,Eventos!$B:$B,PANES_SEMANALES[[#ALL],[SÁBADO]])</f>
        <v>0</v>
      </c>
      <c r="S1421" s="59">
        <f>SUMIFS(Eventos!$G:$G,Eventos!$F:$F,$L1421,Eventos!$D:$D,$C$2,Eventos!$B:$B,PANES_SEMANALES[[#ALL],[DOMINGO]])</f>
        <v>0</v>
      </c>
      <c r="T1421" s="59">
        <f t="shared" si="1"/>
        <v>0</v>
      </c>
    </row>
    <row r="1422" ht="22.5" customHeight="1">
      <c r="M1422" s="59">
        <f>SUMIFS(Eventos!$G:$G,Eventos!$F:$F,$L1422,Eventos!$D:$D,$C$2,Eventos!$B:$B,PANES_SEMANALES[[#ALL],[LUNES]])</f>
        <v>0</v>
      </c>
      <c r="N1422" s="59">
        <f>SUMIFS(Eventos!$G:$G,Eventos!$F:$F,$L1422,Eventos!$D:$D,$C$2,Eventos!$B:$B,PANES_SEMANALES[[#ALL],[MARTES]])</f>
        <v>0</v>
      </c>
      <c r="O1422" s="59">
        <f>SUMIFS(Eventos!$G:$G,Eventos!$F:$F,$L1422,Eventos!$D:$D,$C$2,Eventos!$B:$B,PANES_SEMANALES[[#ALL],[MIÉRCOLES]])</f>
        <v>0</v>
      </c>
      <c r="P1422" s="59">
        <f>SUMIFS(Eventos!$G:$G,Eventos!$F:$F,$L1422,Eventos!$D:$D,$C$2,Eventos!$B:$B,PANES_SEMANALES[[#ALL],[JUEVES]])</f>
        <v>0</v>
      </c>
      <c r="Q1422" s="59">
        <f>IF(P1422&lt;&gt;"",SUMIFS(Eventos!$G:$G,Eventos!$B:$B,Q$2,Eventos!$D:$D,$C$2,Eventos!$F:$F,$L1422),"")</f>
        <v>0</v>
      </c>
      <c r="R1422" s="59">
        <f>SUMIFS(Eventos!$G:$G,Eventos!$F:$F,$L1422,Eventos!$D:$D,$C$2,Eventos!$B:$B,PANES_SEMANALES[[#ALL],[SÁBADO]])</f>
        <v>0</v>
      </c>
      <c r="S1422" s="59">
        <f>SUMIFS(Eventos!$G:$G,Eventos!$F:$F,$L1422,Eventos!$D:$D,$C$2,Eventos!$B:$B,PANES_SEMANALES[[#ALL],[DOMINGO]])</f>
        <v>0</v>
      </c>
      <c r="T1422" s="59">
        <f t="shared" si="1"/>
        <v>0</v>
      </c>
    </row>
    <row r="1423" ht="22.5" customHeight="1">
      <c r="M1423" s="59">
        <f>SUMIFS(Eventos!$G:$G,Eventos!$F:$F,$L1423,Eventos!$D:$D,$C$2,Eventos!$B:$B,PANES_SEMANALES[[#ALL],[LUNES]])</f>
        <v>0</v>
      </c>
      <c r="N1423" s="59">
        <f>SUMIFS(Eventos!$G:$G,Eventos!$F:$F,$L1423,Eventos!$D:$D,$C$2,Eventos!$B:$B,PANES_SEMANALES[[#ALL],[MARTES]])</f>
        <v>0</v>
      </c>
      <c r="O1423" s="59">
        <f>SUMIFS(Eventos!$G:$G,Eventos!$F:$F,$L1423,Eventos!$D:$D,$C$2,Eventos!$B:$B,PANES_SEMANALES[[#ALL],[MIÉRCOLES]])</f>
        <v>0</v>
      </c>
      <c r="P1423" s="59">
        <f>SUMIFS(Eventos!$G:$G,Eventos!$F:$F,$L1423,Eventos!$D:$D,$C$2,Eventos!$B:$B,PANES_SEMANALES[[#ALL],[JUEVES]])</f>
        <v>0</v>
      </c>
      <c r="Q1423" s="59">
        <f>IF(P1423&lt;&gt;"",SUMIFS(Eventos!$G:$G,Eventos!$B:$B,Q$2,Eventos!$D:$D,$C$2,Eventos!$F:$F,$L1423),"")</f>
        <v>0</v>
      </c>
      <c r="R1423" s="59">
        <f>SUMIFS(Eventos!$G:$G,Eventos!$F:$F,$L1423,Eventos!$D:$D,$C$2,Eventos!$B:$B,PANES_SEMANALES[[#ALL],[SÁBADO]])</f>
        <v>0</v>
      </c>
      <c r="S1423" s="59">
        <f>SUMIFS(Eventos!$G:$G,Eventos!$F:$F,$L1423,Eventos!$D:$D,$C$2,Eventos!$B:$B,PANES_SEMANALES[[#ALL],[DOMINGO]])</f>
        <v>0</v>
      </c>
      <c r="T1423" s="59">
        <f t="shared" si="1"/>
        <v>0</v>
      </c>
    </row>
    <row r="1424" ht="22.5" customHeight="1">
      <c r="M1424" s="59">
        <f>SUMIFS(Eventos!$G:$G,Eventos!$F:$F,$L1424,Eventos!$D:$D,$C$2,Eventos!$B:$B,PANES_SEMANALES[[#ALL],[LUNES]])</f>
        <v>0</v>
      </c>
      <c r="N1424" s="59">
        <f>SUMIFS(Eventos!$G:$G,Eventos!$F:$F,$L1424,Eventos!$D:$D,$C$2,Eventos!$B:$B,PANES_SEMANALES[[#ALL],[MARTES]])</f>
        <v>0</v>
      </c>
      <c r="O1424" s="59">
        <f>SUMIFS(Eventos!$G:$G,Eventos!$F:$F,$L1424,Eventos!$D:$D,$C$2,Eventos!$B:$B,PANES_SEMANALES[[#ALL],[MIÉRCOLES]])</f>
        <v>0</v>
      </c>
      <c r="P1424" s="59">
        <f>SUMIFS(Eventos!$G:$G,Eventos!$F:$F,$L1424,Eventos!$D:$D,$C$2,Eventos!$B:$B,PANES_SEMANALES[[#ALL],[JUEVES]])</f>
        <v>0</v>
      </c>
      <c r="Q1424" s="59">
        <f>IF(P1424&lt;&gt;"",SUMIFS(Eventos!$G:$G,Eventos!$B:$B,Q$2,Eventos!$D:$D,$C$2,Eventos!$F:$F,$L1424),"")</f>
        <v>0</v>
      </c>
      <c r="R1424" s="59">
        <f>SUMIFS(Eventos!$G:$G,Eventos!$F:$F,$L1424,Eventos!$D:$D,$C$2,Eventos!$B:$B,PANES_SEMANALES[[#ALL],[SÁBADO]])</f>
        <v>0</v>
      </c>
      <c r="S1424" s="59">
        <f>SUMIFS(Eventos!$G:$G,Eventos!$F:$F,$L1424,Eventos!$D:$D,$C$2,Eventos!$B:$B,PANES_SEMANALES[[#ALL],[DOMINGO]])</f>
        <v>0</v>
      </c>
      <c r="T1424" s="59">
        <f t="shared" si="1"/>
        <v>0</v>
      </c>
    </row>
    <row r="1425" ht="22.5" customHeight="1">
      <c r="M1425" s="59">
        <f>SUMIFS(Eventos!$G:$G,Eventos!$F:$F,$L1425,Eventos!$D:$D,$C$2,Eventos!$B:$B,PANES_SEMANALES[[#ALL],[LUNES]])</f>
        <v>0</v>
      </c>
      <c r="N1425" s="59">
        <f>SUMIFS(Eventos!$G:$G,Eventos!$F:$F,$L1425,Eventos!$D:$D,$C$2,Eventos!$B:$B,PANES_SEMANALES[[#ALL],[MARTES]])</f>
        <v>0</v>
      </c>
      <c r="O1425" s="59">
        <f>SUMIFS(Eventos!$G:$G,Eventos!$F:$F,$L1425,Eventos!$D:$D,$C$2,Eventos!$B:$B,PANES_SEMANALES[[#ALL],[MIÉRCOLES]])</f>
        <v>0</v>
      </c>
      <c r="P1425" s="59">
        <f>SUMIFS(Eventos!$G:$G,Eventos!$F:$F,$L1425,Eventos!$D:$D,$C$2,Eventos!$B:$B,PANES_SEMANALES[[#ALL],[JUEVES]])</f>
        <v>0</v>
      </c>
      <c r="Q1425" s="59">
        <f>IF(P1425&lt;&gt;"",SUMIFS(Eventos!$G:$G,Eventos!$B:$B,Q$2,Eventos!$D:$D,$C$2,Eventos!$F:$F,$L1425),"")</f>
        <v>0</v>
      </c>
      <c r="R1425" s="59">
        <f>SUMIFS(Eventos!$G:$G,Eventos!$F:$F,$L1425,Eventos!$D:$D,$C$2,Eventos!$B:$B,PANES_SEMANALES[[#ALL],[SÁBADO]])</f>
        <v>0</v>
      </c>
      <c r="S1425" s="59">
        <f>SUMIFS(Eventos!$G:$G,Eventos!$F:$F,$L1425,Eventos!$D:$D,$C$2,Eventos!$B:$B,PANES_SEMANALES[[#ALL],[DOMINGO]])</f>
        <v>0</v>
      </c>
      <c r="T1425" s="59">
        <f t="shared" si="1"/>
        <v>0</v>
      </c>
    </row>
    <row r="1426" ht="22.5" customHeight="1">
      <c r="M1426" s="59">
        <f>SUMIFS(Eventos!$G:$G,Eventos!$F:$F,$L1426,Eventos!$D:$D,$C$2,Eventos!$B:$B,PANES_SEMANALES[[#ALL],[LUNES]])</f>
        <v>0</v>
      </c>
      <c r="N1426" s="59">
        <f>SUMIFS(Eventos!$G:$G,Eventos!$F:$F,$L1426,Eventos!$D:$D,$C$2,Eventos!$B:$B,PANES_SEMANALES[[#ALL],[MARTES]])</f>
        <v>0</v>
      </c>
      <c r="O1426" s="59">
        <f>SUMIFS(Eventos!$G:$G,Eventos!$F:$F,$L1426,Eventos!$D:$D,$C$2,Eventos!$B:$B,PANES_SEMANALES[[#ALL],[MIÉRCOLES]])</f>
        <v>0</v>
      </c>
      <c r="P1426" s="59">
        <f>SUMIFS(Eventos!$G:$G,Eventos!$F:$F,$L1426,Eventos!$D:$D,$C$2,Eventos!$B:$B,PANES_SEMANALES[[#ALL],[JUEVES]])</f>
        <v>0</v>
      </c>
      <c r="Q1426" s="59">
        <f>IF(P1426&lt;&gt;"",SUMIFS(Eventos!$G:$G,Eventos!$B:$B,Q$2,Eventos!$D:$D,$C$2,Eventos!$F:$F,$L1426),"")</f>
        <v>0</v>
      </c>
      <c r="R1426" s="59">
        <f>SUMIFS(Eventos!$G:$G,Eventos!$F:$F,$L1426,Eventos!$D:$D,$C$2,Eventos!$B:$B,PANES_SEMANALES[[#ALL],[SÁBADO]])</f>
        <v>0</v>
      </c>
      <c r="S1426" s="59">
        <f>SUMIFS(Eventos!$G:$G,Eventos!$F:$F,$L1426,Eventos!$D:$D,$C$2,Eventos!$B:$B,PANES_SEMANALES[[#ALL],[DOMINGO]])</f>
        <v>0</v>
      </c>
      <c r="T1426" s="59">
        <f t="shared" si="1"/>
        <v>0</v>
      </c>
    </row>
    <row r="1427" ht="22.5" customHeight="1">
      <c r="M1427" s="59">
        <f>SUMIFS(Eventos!$G:$G,Eventos!$F:$F,$L1427,Eventos!$D:$D,$C$2,Eventos!$B:$B,PANES_SEMANALES[[#ALL],[LUNES]])</f>
        <v>0</v>
      </c>
      <c r="N1427" s="59">
        <f>SUMIFS(Eventos!$G:$G,Eventos!$F:$F,$L1427,Eventos!$D:$D,$C$2,Eventos!$B:$B,PANES_SEMANALES[[#ALL],[MARTES]])</f>
        <v>0</v>
      </c>
      <c r="O1427" s="59">
        <f>SUMIFS(Eventos!$G:$G,Eventos!$F:$F,$L1427,Eventos!$D:$D,$C$2,Eventos!$B:$B,PANES_SEMANALES[[#ALL],[MIÉRCOLES]])</f>
        <v>0</v>
      </c>
      <c r="P1427" s="59">
        <f>SUMIFS(Eventos!$G:$G,Eventos!$F:$F,$L1427,Eventos!$D:$D,$C$2,Eventos!$B:$B,PANES_SEMANALES[[#ALL],[JUEVES]])</f>
        <v>0</v>
      </c>
      <c r="Q1427" s="59">
        <f>IF(P1427&lt;&gt;"",SUMIFS(Eventos!$G:$G,Eventos!$B:$B,Q$2,Eventos!$D:$D,$C$2,Eventos!$F:$F,$L1427),"")</f>
        <v>0</v>
      </c>
      <c r="R1427" s="59">
        <f>SUMIFS(Eventos!$G:$G,Eventos!$F:$F,$L1427,Eventos!$D:$D,$C$2,Eventos!$B:$B,PANES_SEMANALES[[#ALL],[SÁBADO]])</f>
        <v>0</v>
      </c>
      <c r="S1427" s="59">
        <f>SUMIFS(Eventos!$G:$G,Eventos!$F:$F,$L1427,Eventos!$D:$D,$C$2,Eventos!$B:$B,PANES_SEMANALES[[#ALL],[DOMINGO]])</f>
        <v>0</v>
      </c>
      <c r="T1427" s="59">
        <f t="shared" si="1"/>
        <v>0</v>
      </c>
    </row>
    <row r="1428" ht="22.5" customHeight="1">
      <c r="M1428" s="59">
        <f>SUMIFS(Eventos!$G:$G,Eventos!$F:$F,$L1428,Eventos!$D:$D,$C$2,Eventos!$B:$B,PANES_SEMANALES[[#ALL],[LUNES]])</f>
        <v>0</v>
      </c>
      <c r="N1428" s="59">
        <f>SUMIFS(Eventos!$G:$G,Eventos!$F:$F,$L1428,Eventos!$D:$D,$C$2,Eventos!$B:$B,PANES_SEMANALES[[#ALL],[MARTES]])</f>
        <v>0</v>
      </c>
      <c r="O1428" s="59">
        <f>SUMIFS(Eventos!$G:$G,Eventos!$F:$F,$L1428,Eventos!$D:$D,$C$2,Eventos!$B:$B,PANES_SEMANALES[[#ALL],[MIÉRCOLES]])</f>
        <v>0</v>
      </c>
      <c r="P1428" s="59">
        <f>SUMIFS(Eventos!$G:$G,Eventos!$F:$F,$L1428,Eventos!$D:$D,$C$2,Eventos!$B:$B,PANES_SEMANALES[[#ALL],[JUEVES]])</f>
        <v>0</v>
      </c>
      <c r="Q1428" s="59">
        <f>IF(P1428&lt;&gt;"",SUMIFS(Eventos!$G:$G,Eventos!$B:$B,Q$2,Eventos!$D:$D,$C$2,Eventos!$F:$F,$L1428),"")</f>
        <v>0</v>
      </c>
      <c r="R1428" s="59">
        <f>SUMIFS(Eventos!$G:$G,Eventos!$F:$F,$L1428,Eventos!$D:$D,$C$2,Eventos!$B:$B,PANES_SEMANALES[[#ALL],[SÁBADO]])</f>
        <v>0</v>
      </c>
      <c r="S1428" s="59">
        <f>SUMIFS(Eventos!$G:$G,Eventos!$F:$F,$L1428,Eventos!$D:$D,$C$2,Eventos!$B:$B,PANES_SEMANALES[[#ALL],[DOMINGO]])</f>
        <v>0</v>
      </c>
      <c r="T1428" s="59">
        <f t="shared" si="1"/>
        <v>0</v>
      </c>
    </row>
    <row r="1429" ht="22.5" customHeight="1">
      <c r="M1429" s="59">
        <f>SUMIFS(Eventos!$G:$G,Eventos!$F:$F,$L1429,Eventos!$D:$D,$C$2,Eventos!$B:$B,PANES_SEMANALES[[#ALL],[LUNES]])</f>
        <v>0</v>
      </c>
      <c r="N1429" s="59">
        <f>SUMIFS(Eventos!$G:$G,Eventos!$F:$F,$L1429,Eventos!$D:$D,$C$2,Eventos!$B:$B,PANES_SEMANALES[[#ALL],[MARTES]])</f>
        <v>0</v>
      </c>
      <c r="O1429" s="59">
        <f>SUMIFS(Eventos!$G:$G,Eventos!$F:$F,$L1429,Eventos!$D:$D,$C$2,Eventos!$B:$B,PANES_SEMANALES[[#ALL],[MIÉRCOLES]])</f>
        <v>0</v>
      </c>
      <c r="P1429" s="59">
        <f>SUMIFS(Eventos!$G:$G,Eventos!$F:$F,$L1429,Eventos!$D:$D,$C$2,Eventos!$B:$B,PANES_SEMANALES[[#ALL],[JUEVES]])</f>
        <v>0</v>
      </c>
      <c r="Q1429" s="59">
        <f>IF(P1429&lt;&gt;"",SUMIFS(Eventos!$G:$G,Eventos!$B:$B,Q$2,Eventos!$D:$D,$C$2,Eventos!$F:$F,$L1429),"")</f>
        <v>0</v>
      </c>
      <c r="R1429" s="59">
        <f>SUMIFS(Eventos!$G:$G,Eventos!$F:$F,$L1429,Eventos!$D:$D,$C$2,Eventos!$B:$B,PANES_SEMANALES[[#ALL],[SÁBADO]])</f>
        <v>0</v>
      </c>
      <c r="S1429" s="59">
        <f>SUMIFS(Eventos!$G:$G,Eventos!$F:$F,$L1429,Eventos!$D:$D,$C$2,Eventos!$B:$B,PANES_SEMANALES[[#ALL],[DOMINGO]])</f>
        <v>0</v>
      </c>
      <c r="T1429" s="59">
        <f t="shared" si="1"/>
        <v>0</v>
      </c>
    </row>
    <row r="1430" ht="22.5" customHeight="1">
      <c r="M1430" s="59">
        <f>SUMIFS(Eventos!$G:$G,Eventos!$F:$F,$L1430,Eventos!$D:$D,$C$2,Eventos!$B:$B,PANES_SEMANALES[[#ALL],[LUNES]])</f>
        <v>0</v>
      </c>
      <c r="N1430" s="59">
        <f>SUMIFS(Eventos!$G:$G,Eventos!$F:$F,$L1430,Eventos!$D:$D,$C$2,Eventos!$B:$B,PANES_SEMANALES[[#ALL],[MARTES]])</f>
        <v>0</v>
      </c>
      <c r="O1430" s="59">
        <f>SUMIFS(Eventos!$G:$G,Eventos!$F:$F,$L1430,Eventos!$D:$D,$C$2,Eventos!$B:$B,PANES_SEMANALES[[#ALL],[MIÉRCOLES]])</f>
        <v>0</v>
      </c>
      <c r="P1430" s="59">
        <f>SUMIFS(Eventos!$G:$G,Eventos!$F:$F,$L1430,Eventos!$D:$D,$C$2,Eventos!$B:$B,PANES_SEMANALES[[#ALL],[JUEVES]])</f>
        <v>0</v>
      </c>
      <c r="Q1430" s="59">
        <f>IF(P1430&lt;&gt;"",SUMIFS(Eventos!$G:$G,Eventos!$B:$B,Q$2,Eventos!$D:$D,$C$2,Eventos!$F:$F,$L1430),"")</f>
        <v>0</v>
      </c>
      <c r="R1430" s="59">
        <f>SUMIFS(Eventos!$G:$G,Eventos!$F:$F,$L1430,Eventos!$D:$D,$C$2,Eventos!$B:$B,PANES_SEMANALES[[#ALL],[SÁBADO]])</f>
        <v>0</v>
      </c>
      <c r="S1430" s="59">
        <f>SUMIFS(Eventos!$G:$G,Eventos!$F:$F,$L1430,Eventos!$D:$D,$C$2,Eventos!$B:$B,PANES_SEMANALES[[#ALL],[DOMINGO]])</f>
        <v>0</v>
      </c>
      <c r="T1430" s="59">
        <f t="shared" si="1"/>
        <v>0</v>
      </c>
    </row>
    <row r="1431" ht="22.5" customHeight="1">
      <c r="M1431" s="59">
        <f>SUMIFS(Eventos!$G:$G,Eventos!$F:$F,$L1431,Eventos!$D:$D,$C$2,Eventos!$B:$B,PANES_SEMANALES[[#ALL],[LUNES]])</f>
        <v>0</v>
      </c>
      <c r="N1431" s="59">
        <f>SUMIFS(Eventos!$G:$G,Eventos!$F:$F,$L1431,Eventos!$D:$D,$C$2,Eventos!$B:$B,PANES_SEMANALES[[#ALL],[MARTES]])</f>
        <v>0</v>
      </c>
      <c r="O1431" s="59">
        <f>SUMIFS(Eventos!$G:$G,Eventos!$F:$F,$L1431,Eventos!$D:$D,$C$2,Eventos!$B:$B,PANES_SEMANALES[[#ALL],[MIÉRCOLES]])</f>
        <v>0</v>
      </c>
      <c r="P1431" s="59">
        <f>SUMIFS(Eventos!$G:$G,Eventos!$F:$F,$L1431,Eventos!$D:$D,$C$2,Eventos!$B:$B,PANES_SEMANALES[[#ALL],[JUEVES]])</f>
        <v>0</v>
      </c>
      <c r="Q1431" s="59">
        <f>IF(P1431&lt;&gt;"",SUMIFS(Eventos!$G:$G,Eventos!$B:$B,Q$2,Eventos!$D:$D,$C$2,Eventos!$F:$F,$L1431),"")</f>
        <v>0</v>
      </c>
      <c r="R1431" s="59">
        <f>SUMIFS(Eventos!$G:$G,Eventos!$F:$F,$L1431,Eventos!$D:$D,$C$2,Eventos!$B:$B,PANES_SEMANALES[[#ALL],[SÁBADO]])</f>
        <v>0</v>
      </c>
      <c r="S1431" s="59">
        <f>SUMIFS(Eventos!$G:$G,Eventos!$F:$F,$L1431,Eventos!$D:$D,$C$2,Eventos!$B:$B,PANES_SEMANALES[[#ALL],[DOMINGO]])</f>
        <v>0</v>
      </c>
      <c r="T1431" s="59">
        <f t="shared" si="1"/>
        <v>0</v>
      </c>
    </row>
    <row r="1432" ht="22.5" customHeight="1">
      <c r="M1432" s="59">
        <f>SUMIFS(Eventos!$G:$G,Eventos!$F:$F,$L1432,Eventos!$D:$D,$C$2,Eventos!$B:$B,PANES_SEMANALES[[#ALL],[LUNES]])</f>
        <v>0</v>
      </c>
      <c r="N1432" s="59">
        <f>SUMIFS(Eventos!$G:$G,Eventos!$F:$F,$L1432,Eventos!$D:$D,$C$2,Eventos!$B:$B,PANES_SEMANALES[[#ALL],[MARTES]])</f>
        <v>0</v>
      </c>
      <c r="O1432" s="59">
        <f>SUMIFS(Eventos!$G:$G,Eventos!$F:$F,$L1432,Eventos!$D:$D,$C$2,Eventos!$B:$B,PANES_SEMANALES[[#ALL],[MIÉRCOLES]])</f>
        <v>0</v>
      </c>
      <c r="P1432" s="59">
        <f>SUMIFS(Eventos!$G:$G,Eventos!$F:$F,$L1432,Eventos!$D:$D,$C$2,Eventos!$B:$B,PANES_SEMANALES[[#ALL],[JUEVES]])</f>
        <v>0</v>
      </c>
      <c r="Q1432" s="59">
        <f>IF(P1432&lt;&gt;"",SUMIFS(Eventos!$G:$G,Eventos!$B:$B,Q$2,Eventos!$D:$D,$C$2,Eventos!$F:$F,$L1432),"")</f>
        <v>0</v>
      </c>
      <c r="R1432" s="59">
        <f>SUMIFS(Eventos!$G:$G,Eventos!$F:$F,$L1432,Eventos!$D:$D,$C$2,Eventos!$B:$B,PANES_SEMANALES[[#ALL],[SÁBADO]])</f>
        <v>0</v>
      </c>
      <c r="S1432" s="59">
        <f>SUMIFS(Eventos!$G:$G,Eventos!$F:$F,$L1432,Eventos!$D:$D,$C$2,Eventos!$B:$B,PANES_SEMANALES[[#ALL],[DOMINGO]])</f>
        <v>0</v>
      </c>
      <c r="T1432" s="59">
        <f t="shared" si="1"/>
        <v>0</v>
      </c>
    </row>
    <row r="1433" ht="22.5" customHeight="1">
      <c r="M1433" s="59">
        <f>SUMIFS(Eventos!$G:$G,Eventos!$F:$F,$L1433,Eventos!$D:$D,$C$2,Eventos!$B:$B,PANES_SEMANALES[[#ALL],[LUNES]])</f>
        <v>0</v>
      </c>
      <c r="N1433" s="59">
        <f>SUMIFS(Eventos!$G:$G,Eventos!$F:$F,$L1433,Eventos!$D:$D,$C$2,Eventos!$B:$B,PANES_SEMANALES[[#ALL],[MARTES]])</f>
        <v>0</v>
      </c>
      <c r="O1433" s="59">
        <f>SUMIFS(Eventos!$G:$G,Eventos!$F:$F,$L1433,Eventos!$D:$D,$C$2,Eventos!$B:$B,PANES_SEMANALES[[#ALL],[MIÉRCOLES]])</f>
        <v>0</v>
      </c>
      <c r="P1433" s="59">
        <f>SUMIFS(Eventos!$G:$G,Eventos!$F:$F,$L1433,Eventos!$D:$D,$C$2,Eventos!$B:$B,PANES_SEMANALES[[#ALL],[JUEVES]])</f>
        <v>0</v>
      </c>
      <c r="Q1433" s="59">
        <f>IF(P1433&lt;&gt;"",SUMIFS(Eventos!$G:$G,Eventos!$B:$B,Q$2,Eventos!$D:$D,$C$2,Eventos!$F:$F,$L1433),"")</f>
        <v>0</v>
      </c>
      <c r="R1433" s="59">
        <f>SUMIFS(Eventos!$G:$G,Eventos!$F:$F,$L1433,Eventos!$D:$D,$C$2,Eventos!$B:$B,PANES_SEMANALES[[#ALL],[SÁBADO]])</f>
        <v>0</v>
      </c>
      <c r="S1433" s="59">
        <f>SUMIFS(Eventos!$G:$G,Eventos!$F:$F,$L1433,Eventos!$D:$D,$C$2,Eventos!$B:$B,PANES_SEMANALES[[#ALL],[DOMINGO]])</f>
        <v>0</v>
      </c>
      <c r="T1433" s="59">
        <f t="shared" si="1"/>
        <v>0</v>
      </c>
    </row>
    <row r="1434" ht="22.5" customHeight="1">
      <c r="M1434" s="59">
        <f>SUMIFS(Eventos!$G:$G,Eventos!$F:$F,$L1434,Eventos!$D:$D,$C$2,Eventos!$B:$B,PANES_SEMANALES[[#ALL],[LUNES]])</f>
        <v>0</v>
      </c>
      <c r="N1434" s="59">
        <f>SUMIFS(Eventos!$G:$G,Eventos!$F:$F,$L1434,Eventos!$D:$D,$C$2,Eventos!$B:$B,PANES_SEMANALES[[#ALL],[MARTES]])</f>
        <v>0</v>
      </c>
      <c r="O1434" s="59">
        <f>SUMIFS(Eventos!$G:$G,Eventos!$F:$F,$L1434,Eventos!$D:$D,$C$2,Eventos!$B:$B,PANES_SEMANALES[[#ALL],[MIÉRCOLES]])</f>
        <v>0</v>
      </c>
      <c r="P1434" s="59">
        <f>SUMIFS(Eventos!$G:$G,Eventos!$F:$F,$L1434,Eventos!$D:$D,$C$2,Eventos!$B:$B,PANES_SEMANALES[[#ALL],[JUEVES]])</f>
        <v>0</v>
      </c>
      <c r="Q1434" s="59">
        <f>IF(P1434&lt;&gt;"",SUMIFS(Eventos!$G:$G,Eventos!$B:$B,Q$2,Eventos!$D:$D,$C$2,Eventos!$F:$F,$L1434),"")</f>
        <v>0</v>
      </c>
      <c r="R1434" s="59">
        <f>SUMIFS(Eventos!$G:$G,Eventos!$F:$F,$L1434,Eventos!$D:$D,$C$2,Eventos!$B:$B,PANES_SEMANALES[[#ALL],[SÁBADO]])</f>
        <v>0</v>
      </c>
      <c r="S1434" s="59">
        <f>SUMIFS(Eventos!$G:$G,Eventos!$F:$F,$L1434,Eventos!$D:$D,$C$2,Eventos!$B:$B,PANES_SEMANALES[[#ALL],[DOMINGO]])</f>
        <v>0</v>
      </c>
      <c r="T1434" s="59">
        <f t="shared" si="1"/>
        <v>0</v>
      </c>
    </row>
    <row r="1435" ht="22.5" customHeight="1">
      <c r="M1435" s="59">
        <f>SUMIFS(Eventos!$G:$G,Eventos!$F:$F,$L1435,Eventos!$D:$D,$C$2,Eventos!$B:$B,PANES_SEMANALES[[#ALL],[LUNES]])</f>
        <v>0</v>
      </c>
      <c r="N1435" s="59">
        <f>SUMIFS(Eventos!$G:$G,Eventos!$F:$F,$L1435,Eventos!$D:$D,$C$2,Eventos!$B:$B,PANES_SEMANALES[[#ALL],[MARTES]])</f>
        <v>0</v>
      </c>
      <c r="O1435" s="59">
        <f>SUMIFS(Eventos!$G:$G,Eventos!$F:$F,$L1435,Eventos!$D:$D,$C$2,Eventos!$B:$B,PANES_SEMANALES[[#ALL],[MIÉRCOLES]])</f>
        <v>0</v>
      </c>
      <c r="P1435" s="59">
        <f>SUMIFS(Eventos!$G:$G,Eventos!$F:$F,$L1435,Eventos!$D:$D,$C$2,Eventos!$B:$B,PANES_SEMANALES[[#ALL],[JUEVES]])</f>
        <v>0</v>
      </c>
      <c r="Q1435" s="59">
        <f>IF(P1435&lt;&gt;"",SUMIFS(Eventos!$G:$G,Eventos!$B:$B,Q$2,Eventos!$D:$D,$C$2,Eventos!$F:$F,$L1435),"")</f>
        <v>0</v>
      </c>
      <c r="R1435" s="59">
        <f>SUMIFS(Eventos!$G:$G,Eventos!$F:$F,$L1435,Eventos!$D:$D,$C$2,Eventos!$B:$B,PANES_SEMANALES[[#ALL],[SÁBADO]])</f>
        <v>0</v>
      </c>
      <c r="S1435" s="59">
        <f>SUMIFS(Eventos!$G:$G,Eventos!$F:$F,$L1435,Eventos!$D:$D,$C$2,Eventos!$B:$B,PANES_SEMANALES[[#ALL],[DOMINGO]])</f>
        <v>0</v>
      </c>
      <c r="T1435" s="59">
        <f t="shared" si="1"/>
        <v>0</v>
      </c>
    </row>
    <row r="1436" ht="22.5" customHeight="1">
      <c r="M1436" s="59">
        <f>SUMIFS(Eventos!$G:$G,Eventos!$F:$F,$L1436,Eventos!$D:$D,$C$2,Eventos!$B:$B,PANES_SEMANALES[[#ALL],[LUNES]])</f>
        <v>0</v>
      </c>
      <c r="N1436" s="59">
        <f>SUMIFS(Eventos!$G:$G,Eventos!$F:$F,$L1436,Eventos!$D:$D,$C$2,Eventos!$B:$B,PANES_SEMANALES[[#ALL],[MARTES]])</f>
        <v>0</v>
      </c>
      <c r="O1436" s="59">
        <f>SUMIFS(Eventos!$G:$G,Eventos!$F:$F,$L1436,Eventos!$D:$D,$C$2,Eventos!$B:$B,PANES_SEMANALES[[#ALL],[MIÉRCOLES]])</f>
        <v>0</v>
      </c>
      <c r="P1436" s="59">
        <f>SUMIFS(Eventos!$G:$G,Eventos!$F:$F,$L1436,Eventos!$D:$D,$C$2,Eventos!$B:$B,PANES_SEMANALES[[#ALL],[JUEVES]])</f>
        <v>0</v>
      </c>
      <c r="Q1436" s="59">
        <f>IF(P1436&lt;&gt;"",SUMIFS(Eventos!$G:$G,Eventos!$B:$B,Q$2,Eventos!$D:$D,$C$2,Eventos!$F:$F,$L1436),"")</f>
        <v>0</v>
      </c>
      <c r="R1436" s="59">
        <f>SUMIFS(Eventos!$G:$G,Eventos!$F:$F,$L1436,Eventos!$D:$D,$C$2,Eventos!$B:$B,PANES_SEMANALES[[#ALL],[SÁBADO]])</f>
        <v>0</v>
      </c>
      <c r="S1436" s="59">
        <f>SUMIFS(Eventos!$G:$G,Eventos!$F:$F,$L1436,Eventos!$D:$D,$C$2,Eventos!$B:$B,PANES_SEMANALES[[#ALL],[DOMINGO]])</f>
        <v>0</v>
      </c>
      <c r="T1436" s="59">
        <f t="shared" si="1"/>
        <v>0</v>
      </c>
    </row>
    <row r="1437" ht="22.5" customHeight="1">
      <c r="M1437" s="59">
        <f>SUMIFS(Eventos!$G:$G,Eventos!$F:$F,$L1437,Eventos!$D:$D,$C$2,Eventos!$B:$B,PANES_SEMANALES[[#ALL],[LUNES]])</f>
        <v>0</v>
      </c>
      <c r="N1437" s="59">
        <f>SUMIFS(Eventos!$G:$G,Eventos!$F:$F,$L1437,Eventos!$D:$D,$C$2,Eventos!$B:$B,PANES_SEMANALES[[#ALL],[MARTES]])</f>
        <v>0</v>
      </c>
      <c r="O1437" s="59">
        <f>SUMIFS(Eventos!$G:$G,Eventos!$F:$F,$L1437,Eventos!$D:$D,$C$2,Eventos!$B:$B,PANES_SEMANALES[[#ALL],[MIÉRCOLES]])</f>
        <v>0</v>
      </c>
      <c r="P1437" s="59">
        <f>SUMIFS(Eventos!$G:$G,Eventos!$F:$F,$L1437,Eventos!$D:$D,$C$2,Eventos!$B:$B,PANES_SEMANALES[[#ALL],[JUEVES]])</f>
        <v>0</v>
      </c>
      <c r="Q1437" s="59">
        <f>IF(P1437&lt;&gt;"",SUMIFS(Eventos!$G:$G,Eventos!$B:$B,Q$2,Eventos!$D:$D,$C$2,Eventos!$F:$F,$L1437),"")</f>
        <v>0</v>
      </c>
      <c r="R1437" s="59">
        <f>SUMIFS(Eventos!$G:$G,Eventos!$F:$F,$L1437,Eventos!$D:$D,$C$2,Eventos!$B:$B,PANES_SEMANALES[[#ALL],[SÁBADO]])</f>
        <v>0</v>
      </c>
      <c r="S1437" s="59">
        <f>SUMIFS(Eventos!$G:$G,Eventos!$F:$F,$L1437,Eventos!$D:$D,$C$2,Eventos!$B:$B,PANES_SEMANALES[[#ALL],[DOMINGO]])</f>
        <v>0</v>
      </c>
      <c r="T1437" s="59">
        <f t="shared" si="1"/>
        <v>0</v>
      </c>
    </row>
    <row r="1438" ht="22.5" customHeight="1">
      <c r="M1438" s="59">
        <f>SUMIFS(Eventos!$G:$G,Eventos!$F:$F,$L1438,Eventos!$D:$D,$C$2,Eventos!$B:$B,PANES_SEMANALES[[#ALL],[LUNES]])</f>
        <v>0</v>
      </c>
      <c r="N1438" s="59">
        <f>SUMIFS(Eventos!$G:$G,Eventos!$F:$F,$L1438,Eventos!$D:$D,$C$2,Eventos!$B:$B,PANES_SEMANALES[[#ALL],[MARTES]])</f>
        <v>0</v>
      </c>
      <c r="O1438" s="59">
        <f>SUMIFS(Eventos!$G:$G,Eventos!$F:$F,$L1438,Eventos!$D:$D,$C$2,Eventos!$B:$B,PANES_SEMANALES[[#ALL],[MIÉRCOLES]])</f>
        <v>0</v>
      </c>
      <c r="P1438" s="59">
        <f>SUMIFS(Eventos!$G:$G,Eventos!$F:$F,$L1438,Eventos!$D:$D,$C$2,Eventos!$B:$B,PANES_SEMANALES[[#ALL],[JUEVES]])</f>
        <v>0</v>
      </c>
      <c r="Q1438" s="59">
        <f>IF(P1438&lt;&gt;"",SUMIFS(Eventos!$G:$G,Eventos!$B:$B,Q$2,Eventos!$D:$D,$C$2,Eventos!$F:$F,$L1438),"")</f>
        <v>0</v>
      </c>
      <c r="R1438" s="59">
        <f>SUMIFS(Eventos!$G:$G,Eventos!$F:$F,$L1438,Eventos!$D:$D,$C$2,Eventos!$B:$B,PANES_SEMANALES[[#ALL],[SÁBADO]])</f>
        <v>0</v>
      </c>
      <c r="S1438" s="59">
        <f>SUMIFS(Eventos!$G:$G,Eventos!$F:$F,$L1438,Eventos!$D:$D,$C$2,Eventos!$B:$B,PANES_SEMANALES[[#ALL],[DOMINGO]])</f>
        <v>0</v>
      </c>
      <c r="T1438" s="59">
        <f t="shared" si="1"/>
        <v>0</v>
      </c>
    </row>
    <row r="1439" ht="22.5" customHeight="1">
      <c r="M1439" s="59">
        <f>SUMIFS(Eventos!$G:$G,Eventos!$F:$F,$L1439,Eventos!$D:$D,$C$2,Eventos!$B:$B,PANES_SEMANALES[[#ALL],[LUNES]])</f>
        <v>0</v>
      </c>
      <c r="N1439" s="59">
        <f>SUMIFS(Eventos!$G:$G,Eventos!$F:$F,$L1439,Eventos!$D:$D,$C$2,Eventos!$B:$B,PANES_SEMANALES[[#ALL],[MARTES]])</f>
        <v>0</v>
      </c>
      <c r="O1439" s="59">
        <f>SUMIFS(Eventos!$G:$G,Eventos!$F:$F,$L1439,Eventos!$D:$D,$C$2,Eventos!$B:$B,PANES_SEMANALES[[#ALL],[MIÉRCOLES]])</f>
        <v>0</v>
      </c>
      <c r="P1439" s="59">
        <f>SUMIFS(Eventos!$G:$G,Eventos!$F:$F,$L1439,Eventos!$D:$D,$C$2,Eventos!$B:$B,PANES_SEMANALES[[#ALL],[JUEVES]])</f>
        <v>0</v>
      </c>
      <c r="Q1439" s="59">
        <f>IF(P1439&lt;&gt;"",SUMIFS(Eventos!$G:$G,Eventos!$B:$B,Q$2,Eventos!$D:$D,$C$2,Eventos!$F:$F,$L1439),"")</f>
        <v>0</v>
      </c>
      <c r="R1439" s="59">
        <f>SUMIFS(Eventos!$G:$G,Eventos!$F:$F,$L1439,Eventos!$D:$D,$C$2,Eventos!$B:$B,PANES_SEMANALES[[#ALL],[SÁBADO]])</f>
        <v>0</v>
      </c>
      <c r="S1439" s="59">
        <f>SUMIFS(Eventos!$G:$G,Eventos!$F:$F,$L1439,Eventos!$D:$D,$C$2,Eventos!$B:$B,PANES_SEMANALES[[#ALL],[DOMINGO]])</f>
        <v>0</v>
      </c>
      <c r="T1439" s="59">
        <f t="shared" si="1"/>
        <v>0</v>
      </c>
    </row>
    <row r="1440" ht="22.5" customHeight="1">
      <c r="M1440" s="59">
        <f>SUMIFS(Eventos!$G:$G,Eventos!$F:$F,$L1440,Eventos!$D:$D,$C$2,Eventos!$B:$B,PANES_SEMANALES[[#ALL],[LUNES]])</f>
        <v>0</v>
      </c>
      <c r="N1440" s="59">
        <f>SUMIFS(Eventos!$G:$G,Eventos!$F:$F,$L1440,Eventos!$D:$D,$C$2,Eventos!$B:$B,PANES_SEMANALES[[#ALL],[MARTES]])</f>
        <v>0</v>
      </c>
      <c r="O1440" s="59">
        <f>SUMIFS(Eventos!$G:$G,Eventos!$F:$F,$L1440,Eventos!$D:$D,$C$2,Eventos!$B:$B,PANES_SEMANALES[[#ALL],[MIÉRCOLES]])</f>
        <v>0</v>
      </c>
      <c r="P1440" s="59">
        <f>SUMIFS(Eventos!$G:$G,Eventos!$F:$F,$L1440,Eventos!$D:$D,$C$2,Eventos!$B:$B,PANES_SEMANALES[[#ALL],[JUEVES]])</f>
        <v>0</v>
      </c>
      <c r="Q1440" s="59">
        <f>IF(P1440&lt;&gt;"",SUMIFS(Eventos!$G:$G,Eventos!$B:$B,Q$2,Eventos!$D:$D,$C$2,Eventos!$F:$F,$L1440),"")</f>
        <v>0</v>
      </c>
      <c r="R1440" s="59">
        <f>SUMIFS(Eventos!$G:$G,Eventos!$F:$F,$L1440,Eventos!$D:$D,$C$2,Eventos!$B:$B,PANES_SEMANALES[[#ALL],[SÁBADO]])</f>
        <v>0</v>
      </c>
      <c r="S1440" s="59">
        <f>SUMIFS(Eventos!$G:$G,Eventos!$F:$F,$L1440,Eventos!$D:$D,$C$2,Eventos!$B:$B,PANES_SEMANALES[[#ALL],[DOMINGO]])</f>
        <v>0</v>
      </c>
      <c r="T1440" s="59">
        <f t="shared" si="1"/>
        <v>0</v>
      </c>
    </row>
    <row r="1441" ht="22.5" customHeight="1">
      <c r="M1441" s="59">
        <f>SUMIFS(Eventos!$G:$G,Eventos!$F:$F,$L1441,Eventos!$D:$D,$C$2,Eventos!$B:$B,PANES_SEMANALES[[#ALL],[LUNES]])</f>
        <v>0</v>
      </c>
      <c r="N1441" s="59">
        <f>SUMIFS(Eventos!$G:$G,Eventos!$F:$F,$L1441,Eventos!$D:$D,$C$2,Eventos!$B:$B,PANES_SEMANALES[[#ALL],[MARTES]])</f>
        <v>0</v>
      </c>
      <c r="O1441" s="59">
        <f>SUMIFS(Eventos!$G:$G,Eventos!$F:$F,$L1441,Eventos!$D:$D,$C$2,Eventos!$B:$B,PANES_SEMANALES[[#ALL],[MIÉRCOLES]])</f>
        <v>0</v>
      </c>
      <c r="P1441" s="59">
        <f>SUMIFS(Eventos!$G:$G,Eventos!$F:$F,$L1441,Eventos!$D:$D,$C$2,Eventos!$B:$B,PANES_SEMANALES[[#ALL],[JUEVES]])</f>
        <v>0</v>
      </c>
      <c r="Q1441" s="59">
        <f>IF(P1441&lt;&gt;"",SUMIFS(Eventos!$G:$G,Eventos!$B:$B,Q$2,Eventos!$D:$D,$C$2,Eventos!$F:$F,$L1441),"")</f>
        <v>0</v>
      </c>
      <c r="R1441" s="59">
        <f>SUMIFS(Eventos!$G:$G,Eventos!$F:$F,$L1441,Eventos!$D:$D,$C$2,Eventos!$B:$B,PANES_SEMANALES[[#ALL],[SÁBADO]])</f>
        <v>0</v>
      </c>
      <c r="S1441" s="59">
        <f>SUMIFS(Eventos!$G:$G,Eventos!$F:$F,$L1441,Eventos!$D:$D,$C$2,Eventos!$B:$B,PANES_SEMANALES[[#ALL],[DOMINGO]])</f>
        <v>0</v>
      </c>
      <c r="T1441" s="59">
        <f t="shared" si="1"/>
        <v>0</v>
      </c>
    </row>
    <row r="1442" ht="22.5" customHeight="1">
      <c r="M1442" s="59">
        <f>SUMIFS(Eventos!$G:$G,Eventos!$F:$F,$L1442,Eventos!$D:$D,$C$2,Eventos!$B:$B,PANES_SEMANALES[[#ALL],[LUNES]])</f>
        <v>0</v>
      </c>
      <c r="N1442" s="59">
        <f>SUMIFS(Eventos!$G:$G,Eventos!$F:$F,$L1442,Eventos!$D:$D,$C$2,Eventos!$B:$B,PANES_SEMANALES[[#ALL],[MARTES]])</f>
        <v>0</v>
      </c>
      <c r="O1442" s="59">
        <f>SUMIFS(Eventos!$G:$G,Eventos!$F:$F,$L1442,Eventos!$D:$D,$C$2,Eventos!$B:$B,PANES_SEMANALES[[#ALL],[MIÉRCOLES]])</f>
        <v>0</v>
      </c>
      <c r="P1442" s="59">
        <f>SUMIFS(Eventos!$G:$G,Eventos!$F:$F,$L1442,Eventos!$D:$D,$C$2,Eventos!$B:$B,PANES_SEMANALES[[#ALL],[JUEVES]])</f>
        <v>0</v>
      </c>
      <c r="Q1442" s="59">
        <f>IF(P1442&lt;&gt;"",SUMIFS(Eventos!$G:$G,Eventos!$B:$B,Q$2,Eventos!$D:$D,$C$2,Eventos!$F:$F,$L1442),"")</f>
        <v>0</v>
      </c>
      <c r="R1442" s="59">
        <f>SUMIFS(Eventos!$G:$G,Eventos!$F:$F,$L1442,Eventos!$D:$D,$C$2,Eventos!$B:$B,PANES_SEMANALES[[#ALL],[SÁBADO]])</f>
        <v>0</v>
      </c>
      <c r="S1442" s="59">
        <f>SUMIFS(Eventos!$G:$G,Eventos!$F:$F,$L1442,Eventos!$D:$D,$C$2,Eventos!$B:$B,PANES_SEMANALES[[#ALL],[DOMINGO]])</f>
        <v>0</v>
      </c>
      <c r="T1442" s="59">
        <f t="shared" si="1"/>
        <v>0</v>
      </c>
    </row>
    <row r="1443" ht="22.5" customHeight="1">
      <c r="M1443" s="59">
        <f>SUMIFS(Eventos!$G:$G,Eventos!$F:$F,$L1443,Eventos!$D:$D,$C$2,Eventos!$B:$B,PANES_SEMANALES[[#ALL],[LUNES]])</f>
        <v>0</v>
      </c>
      <c r="N1443" s="59">
        <f>SUMIFS(Eventos!$G:$G,Eventos!$F:$F,$L1443,Eventos!$D:$D,$C$2,Eventos!$B:$B,PANES_SEMANALES[[#ALL],[MARTES]])</f>
        <v>0</v>
      </c>
      <c r="O1443" s="59">
        <f>SUMIFS(Eventos!$G:$G,Eventos!$F:$F,$L1443,Eventos!$D:$D,$C$2,Eventos!$B:$B,PANES_SEMANALES[[#ALL],[MIÉRCOLES]])</f>
        <v>0</v>
      </c>
      <c r="P1443" s="59">
        <f>SUMIFS(Eventos!$G:$G,Eventos!$F:$F,$L1443,Eventos!$D:$D,$C$2,Eventos!$B:$B,PANES_SEMANALES[[#ALL],[JUEVES]])</f>
        <v>0</v>
      </c>
      <c r="Q1443" s="59">
        <f>IF(P1443&lt;&gt;"",SUMIFS(Eventos!$G:$G,Eventos!$B:$B,Q$2,Eventos!$D:$D,$C$2,Eventos!$F:$F,$L1443),"")</f>
        <v>0</v>
      </c>
      <c r="R1443" s="59">
        <f>SUMIFS(Eventos!$G:$G,Eventos!$F:$F,$L1443,Eventos!$D:$D,$C$2,Eventos!$B:$B,PANES_SEMANALES[[#ALL],[SÁBADO]])</f>
        <v>0</v>
      </c>
      <c r="S1443" s="59">
        <f>SUMIFS(Eventos!$G:$G,Eventos!$F:$F,$L1443,Eventos!$D:$D,$C$2,Eventos!$B:$B,PANES_SEMANALES[[#ALL],[DOMINGO]])</f>
        <v>0</v>
      </c>
      <c r="T1443" s="59">
        <f t="shared" si="1"/>
        <v>0</v>
      </c>
    </row>
    <row r="1444" ht="22.5" customHeight="1">
      <c r="M1444" s="59">
        <f>SUMIFS(Eventos!$G:$G,Eventos!$F:$F,$L1444,Eventos!$D:$D,$C$2,Eventos!$B:$B,PANES_SEMANALES[[#ALL],[LUNES]])</f>
        <v>0</v>
      </c>
      <c r="N1444" s="59">
        <f>SUMIFS(Eventos!$G:$G,Eventos!$F:$F,$L1444,Eventos!$D:$D,$C$2,Eventos!$B:$B,PANES_SEMANALES[[#ALL],[MARTES]])</f>
        <v>0</v>
      </c>
      <c r="O1444" s="59">
        <f>SUMIFS(Eventos!$G:$G,Eventos!$F:$F,$L1444,Eventos!$D:$D,$C$2,Eventos!$B:$B,PANES_SEMANALES[[#ALL],[MIÉRCOLES]])</f>
        <v>0</v>
      </c>
      <c r="P1444" s="59">
        <f>SUMIFS(Eventos!$G:$G,Eventos!$F:$F,$L1444,Eventos!$D:$D,$C$2,Eventos!$B:$B,PANES_SEMANALES[[#ALL],[JUEVES]])</f>
        <v>0</v>
      </c>
      <c r="Q1444" s="59">
        <f>IF(P1444&lt;&gt;"",SUMIFS(Eventos!$G:$G,Eventos!$B:$B,Q$2,Eventos!$D:$D,$C$2,Eventos!$F:$F,$L1444),"")</f>
        <v>0</v>
      </c>
      <c r="R1444" s="59">
        <f>SUMIFS(Eventos!$G:$G,Eventos!$F:$F,$L1444,Eventos!$D:$D,$C$2,Eventos!$B:$B,PANES_SEMANALES[[#ALL],[SÁBADO]])</f>
        <v>0</v>
      </c>
      <c r="S1444" s="59">
        <f>SUMIFS(Eventos!$G:$G,Eventos!$F:$F,$L1444,Eventos!$D:$D,$C$2,Eventos!$B:$B,PANES_SEMANALES[[#ALL],[DOMINGO]])</f>
        <v>0</v>
      </c>
      <c r="T1444" s="59">
        <f t="shared" si="1"/>
        <v>0</v>
      </c>
    </row>
    <row r="1445" ht="22.5" customHeight="1">
      <c r="M1445" s="59">
        <f>SUMIFS(Eventos!$G:$G,Eventos!$F:$F,$L1445,Eventos!$D:$D,$C$2,Eventos!$B:$B,PANES_SEMANALES[[#ALL],[LUNES]])</f>
        <v>0</v>
      </c>
      <c r="N1445" s="59">
        <f>SUMIFS(Eventos!$G:$G,Eventos!$F:$F,$L1445,Eventos!$D:$D,$C$2,Eventos!$B:$B,PANES_SEMANALES[[#ALL],[MARTES]])</f>
        <v>0</v>
      </c>
      <c r="O1445" s="59">
        <f>SUMIFS(Eventos!$G:$G,Eventos!$F:$F,$L1445,Eventos!$D:$D,$C$2,Eventos!$B:$B,PANES_SEMANALES[[#ALL],[MIÉRCOLES]])</f>
        <v>0</v>
      </c>
      <c r="P1445" s="59">
        <f>SUMIFS(Eventos!$G:$G,Eventos!$F:$F,$L1445,Eventos!$D:$D,$C$2,Eventos!$B:$B,PANES_SEMANALES[[#ALL],[JUEVES]])</f>
        <v>0</v>
      </c>
      <c r="Q1445" s="59">
        <f>IF(P1445&lt;&gt;"",SUMIFS(Eventos!$G:$G,Eventos!$B:$B,Q$2,Eventos!$D:$D,$C$2,Eventos!$F:$F,$L1445),"")</f>
        <v>0</v>
      </c>
      <c r="R1445" s="59">
        <f>SUMIFS(Eventos!$G:$G,Eventos!$F:$F,$L1445,Eventos!$D:$D,$C$2,Eventos!$B:$B,PANES_SEMANALES[[#ALL],[SÁBADO]])</f>
        <v>0</v>
      </c>
      <c r="S1445" s="59">
        <f>SUMIFS(Eventos!$G:$G,Eventos!$F:$F,$L1445,Eventos!$D:$D,$C$2,Eventos!$B:$B,PANES_SEMANALES[[#ALL],[DOMINGO]])</f>
        <v>0</v>
      </c>
      <c r="T1445" s="59">
        <f t="shared" si="1"/>
        <v>0</v>
      </c>
    </row>
    <row r="1446" ht="22.5" customHeight="1">
      <c r="M1446" s="59">
        <f>SUMIFS(Eventos!$G:$G,Eventos!$F:$F,$L1446,Eventos!$D:$D,$C$2,Eventos!$B:$B,PANES_SEMANALES[[#ALL],[LUNES]])</f>
        <v>0</v>
      </c>
      <c r="N1446" s="59">
        <f>SUMIFS(Eventos!$G:$G,Eventos!$F:$F,$L1446,Eventos!$D:$D,$C$2,Eventos!$B:$B,PANES_SEMANALES[[#ALL],[MARTES]])</f>
        <v>0</v>
      </c>
      <c r="O1446" s="59">
        <f>SUMIFS(Eventos!$G:$G,Eventos!$F:$F,$L1446,Eventos!$D:$D,$C$2,Eventos!$B:$B,PANES_SEMANALES[[#ALL],[MIÉRCOLES]])</f>
        <v>0</v>
      </c>
      <c r="P1446" s="59">
        <f>SUMIFS(Eventos!$G:$G,Eventos!$F:$F,$L1446,Eventos!$D:$D,$C$2,Eventos!$B:$B,PANES_SEMANALES[[#ALL],[JUEVES]])</f>
        <v>0</v>
      </c>
      <c r="Q1446" s="59">
        <f>IF(P1446&lt;&gt;"",SUMIFS(Eventos!$G:$G,Eventos!$B:$B,Q$2,Eventos!$D:$D,$C$2,Eventos!$F:$F,$L1446),"")</f>
        <v>0</v>
      </c>
      <c r="R1446" s="59">
        <f>SUMIFS(Eventos!$G:$G,Eventos!$F:$F,$L1446,Eventos!$D:$D,$C$2,Eventos!$B:$B,PANES_SEMANALES[[#ALL],[SÁBADO]])</f>
        <v>0</v>
      </c>
      <c r="S1446" s="59">
        <f>SUMIFS(Eventos!$G:$G,Eventos!$F:$F,$L1446,Eventos!$D:$D,$C$2,Eventos!$B:$B,PANES_SEMANALES[[#ALL],[DOMINGO]])</f>
        <v>0</v>
      </c>
      <c r="T1446" s="59">
        <f t="shared" si="1"/>
        <v>0</v>
      </c>
    </row>
    <row r="1447" ht="22.5" customHeight="1">
      <c r="M1447" s="59">
        <f>SUMIFS(Eventos!$G:$G,Eventos!$F:$F,$L1447,Eventos!$D:$D,$C$2,Eventos!$B:$B,PANES_SEMANALES[[#ALL],[LUNES]])</f>
        <v>0</v>
      </c>
      <c r="N1447" s="59">
        <f>SUMIFS(Eventos!$G:$G,Eventos!$F:$F,$L1447,Eventos!$D:$D,$C$2,Eventos!$B:$B,PANES_SEMANALES[[#ALL],[MARTES]])</f>
        <v>0</v>
      </c>
      <c r="O1447" s="59">
        <f>SUMIFS(Eventos!$G:$G,Eventos!$F:$F,$L1447,Eventos!$D:$D,$C$2,Eventos!$B:$B,PANES_SEMANALES[[#ALL],[MIÉRCOLES]])</f>
        <v>0</v>
      </c>
      <c r="P1447" s="59">
        <f>SUMIFS(Eventos!$G:$G,Eventos!$F:$F,$L1447,Eventos!$D:$D,$C$2,Eventos!$B:$B,PANES_SEMANALES[[#ALL],[JUEVES]])</f>
        <v>0</v>
      </c>
      <c r="Q1447" s="59">
        <f>IF(P1447&lt;&gt;"",SUMIFS(Eventos!$G:$G,Eventos!$B:$B,Q$2,Eventos!$D:$D,$C$2,Eventos!$F:$F,$L1447),"")</f>
        <v>0</v>
      </c>
      <c r="R1447" s="59">
        <f>SUMIFS(Eventos!$G:$G,Eventos!$F:$F,$L1447,Eventos!$D:$D,$C$2,Eventos!$B:$B,PANES_SEMANALES[[#ALL],[SÁBADO]])</f>
        <v>0</v>
      </c>
      <c r="S1447" s="59">
        <f>SUMIFS(Eventos!$G:$G,Eventos!$F:$F,$L1447,Eventos!$D:$D,$C$2,Eventos!$B:$B,PANES_SEMANALES[[#ALL],[DOMINGO]])</f>
        <v>0</v>
      </c>
      <c r="T1447" s="59">
        <f t="shared" si="1"/>
        <v>0</v>
      </c>
    </row>
    <row r="1448" ht="22.5" customHeight="1">
      <c r="M1448" s="59">
        <f>SUMIFS(Eventos!$G:$G,Eventos!$F:$F,$L1448,Eventos!$D:$D,$C$2,Eventos!$B:$B,PANES_SEMANALES[[#ALL],[LUNES]])</f>
        <v>0</v>
      </c>
      <c r="N1448" s="59">
        <f>SUMIFS(Eventos!$G:$G,Eventos!$F:$F,$L1448,Eventos!$D:$D,$C$2,Eventos!$B:$B,PANES_SEMANALES[[#ALL],[MARTES]])</f>
        <v>0</v>
      </c>
      <c r="O1448" s="59">
        <f>SUMIFS(Eventos!$G:$G,Eventos!$F:$F,$L1448,Eventos!$D:$D,$C$2,Eventos!$B:$B,PANES_SEMANALES[[#ALL],[MIÉRCOLES]])</f>
        <v>0</v>
      </c>
      <c r="P1448" s="59">
        <f>SUMIFS(Eventos!$G:$G,Eventos!$F:$F,$L1448,Eventos!$D:$D,$C$2,Eventos!$B:$B,PANES_SEMANALES[[#ALL],[JUEVES]])</f>
        <v>0</v>
      </c>
      <c r="Q1448" s="59">
        <f>IF(P1448&lt;&gt;"",SUMIFS(Eventos!$G:$G,Eventos!$B:$B,Q$2,Eventos!$D:$D,$C$2,Eventos!$F:$F,$L1448),"")</f>
        <v>0</v>
      </c>
      <c r="R1448" s="59">
        <f>SUMIFS(Eventos!$G:$G,Eventos!$F:$F,$L1448,Eventos!$D:$D,$C$2,Eventos!$B:$B,PANES_SEMANALES[[#ALL],[SÁBADO]])</f>
        <v>0</v>
      </c>
      <c r="S1448" s="59">
        <f>SUMIFS(Eventos!$G:$G,Eventos!$F:$F,$L1448,Eventos!$D:$D,$C$2,Eventos!$B:$B,PANES_SEMANALES[[#ALL],[DOMINGO]])</f>
        <v>0</v>
      </c>
      <c r="T1448" s="59">
        <f t="shared" si="1"/>
        <v>0</v>
      </c>
    </row>
    <row r="1449" ht="22.5" customHeight="1">
      <c r="M1449" s="59">
        <f>SUMIFS(Eventos!$G:$G,Eventos!$F:$F,$L1449,Eventos!$D:$D,$C$2,Eventos!$B:$B,PANES_SEMANALES[[#ALL],[LUNES]])</f>
        <v>0</v>
      </c>
      <c r="N1449" s="59">
        <f>SUMIFS(Eventos!$G:$G,Eventos!$F:$F,$L1449,Eventos!$D:$D,$C$2,Eventos!$B:$B,PANES_SEMANALES[[#ALL],[MARTES]])</f>
        <v>0</v>
      </c>
      <c r="O1449" s="59">
        <f>SUMIFS(Eventos!$G:$G,Eventos!$F:$F,$L1449,Eventos!$D:$D,$C$2,Eventos!$B:$B,PANES_SEMANALES[[#ALL],[MIÉRCOLES]])</f>
        <v>0</v>
      </c>
      <c r="P1449" s="59">
        <f>SUMIFS(Eventos!$G:$G,Eventos!$F:$F,$L1449,Eventos!$D:$D,$C$2,Eventos!$B:$B,PANES_SEMANALES[[#ALL],[JUEVES]])</f>
        <v>0</v>
      </c>
      <c r="Q1449" s="59">
        <f>IF(P1449&lt;&gt;"",SUMIFS(Eventos!$G:$G,Eventos!$B:$B,Q$2,Eventos!$D:$D,$C$2,Eventos!$F:$F,$L1449),"")</f>
        <v>0</v>
      </c>
      <c r="R1449" s="59">
        <f>SUMIFS(Eventos!$G:$G,Eventos!$F:$F,$L1449,Eventos!$D:$D,$C$2,Eventos!$B:$B,PANES_SEMANALES[[#ALL],[SÁBADO]])</f>
        <v>0</v>
      </c>
      <c r="S1449" s="59">
        <f>SUMIFS(Eventos!$G:$G,Eventos!$F:$F,$L1449,Eventos!$D:$D,$C$2,Eventos!$B:$B,PANES_SEMANALES[[#ALL],[DOMINGO]])</f>
        <v>0</v>
      </c>
      <c r="T1449" s="59">
        <f t="shared" si="1"/>
        <v>0</v>
      </c>
    </row>
    <row r="1450" ht="22.5" customHeight="1">
      <c r="M1450" s="59">
        <f>SUMIFS(Eventos!$G:$G,Eventos!$F:$F,$L1450,Eventos!$D:$D,$C$2,Eventos!$B:$B,PANES_SEMANALES[[#ALL],[LUNES]])</f>
        <v>0</v>
      </c>
      <c r="N1450" s="59">
        <f>SUMIFS(Eventos!$G:$G,Eventos!$F:$F,$L1450,Eventos!$D:$D,$C$2,Eventos!$B:$B,PANES_SEMANALES[[#ALL],[MARTES]])</f>
        <v>0</v>
      </c>
      <c r="O1450" s="59">
        <f>SUMIFS(Eventos!$G:$G,Eventos!$F:$F,$L1450,Eventos!$D:$D,$C$2,Eventos!$B:$B,PANES_SEMANALES[[#ALL],[MIÉRCOLES]])</f>
        <v>0</v>
      </c>
      <c r="P1450" s="59">
        <f>SUMIFS(Eventos!$G:$G,Eventos!$F:$F,$L1450,Eventos!$D:$D,$C$2,Eventos!$B:$B,PANES_SEMANALES[[#ALL],[JUEVES]])</f>
        <v>0</v>
      </c>
      <c r="Q1450" s="59">
        <f>IF(P1450&lt;&gt;"",SUMIFS(Eventos!$G:$G,Eventos!$B:$B,Q$2,Eventos!$D:$D,$C$2,Eventos!$F:$F,$L1450),"")</f>
        <v>0</v>
      </c>
      <c r="R1450" s="59">
        <f>SUMIFS(Eventos!$G:$G,Eventos!$F:$F,$L1450,Eventos!$D:$D,$C$2,Eventos!$B:$B,PANES_SEMANALES[[#ALL],[SÁBADO]])</f>
        <v>0</v>
      </c>
      <c r="S1450" s="59">
        <f>SUMIFS(Eventos!$G:$G,Eventos!$F:$F,$L1450,Eventos!$D:$D,$C$2,Eventos!$B:$B,PANES_SEMANALES[[#ALL],[DOMINGO]])</f>
        <v>0</v>
      </c>
      <c r="T1450" s="59">
        <f t="shared" si="1"/>
        <v>0</v>
      </c>
    </row>
    <row r="1451" ht="22.5" customHeight="1">
      <c r="M1451" s="59">
        <f>SUMIFS(Eventos!$G:$G,Eventos!$F:$F,$L1451,Eventos!$D:$D,$C$2,Eventos!$B:$B,PANES_SEMANALES[[#ALL],[LUNES]])</f>
        <v>0</v>
      </c>
      <c r="N1451" s="59">
        <f>SUMIFS(Eventos!$G:$G,Eventos!$F:$F,$L1451,Eventos!$D:$D,$C$2,Eventos!$B:$B,PANES_SEMANALES[[#ALL],[MARTES]])</f>
        <v>0</v>
      </c>
      <c r="O1451" s="59">
        <f>SUMIFS(Eventos!$G:$G,Eventos!$F:$F,$L1451,Eventos!$D:$D,$C$2,Eventos!$B:$B,PANES_SEMANALES[[#ALL],[MIÉRCOLES]])</f>
        <v>0</v>
      </c>
      <c r="P1451" s="59">
        <f>SUMIFS(Eventos!$G:$G,Eventos!$F:$F,$L1451,Eventos!$D:$D,$C$2,Eventos!$B:$B,PANES_SEMANALES[[#ALL],[JUEVES]])</f>
        <v>0</v>
      </c>
      <c r="Q1451" s="59">
        <f>IF(P1451&lt;&gt;"",SUMIFS(Eventos!$G:$G,Eventos!$B:$B,Q$2,Eventos!$D:$D,$C$2,Eventos!$F:$F,$L1451),"")</f>
        <v>0</v>
      </c>
      <c r="R1451" s="59">
        <f>SUMIFS(Eventos!$G:$G,Eventos!$F:$F,$L1451,Eventos!$D:$D,$C$2,Eventos!$B:$B,PANES_SEMANALES[[#ALL],[SÁBADO]])</f>
        <v>0</v>
      </c>
      <c r="S1451" s="59">
        <f>SUMIFS(Eventos!$G:$G,Eventos!$F:$F,$L1451,Eventos!$D:$D,$C$2,Eventos!$B:$B,PANES_SEMANALES[[#ALL],[DOMINGO]])</f>
        <v>0</v>
      </c>
      <c r="T1451" s="59">
        <f t="shared" si="1"/>
        <v>0</v>
      </c>
    </row>
    <row r="1452" ht="22.5" customHeight="1">
      <c r="M1452" s="59">
        <f>SUMIFS(Eventos!$G:$G,Eventos!$F:$F,$L1452,Eventos!$D:$D,$C$2,Eventos!$B:$B,PANES_SEMANALES[[#ALL],[LUNES]])</f>
        <v>0</v>
      </c>
      <c r="N1452" s="59">
        <f>SUMIFS(Eventos!$G:$G,Eventos!$F:$F,$L1452,Eventos!$D:$D,$C$2,Eventos!$B:$B,PANES_SEMANALES[[#ALL],[MARTES]])</f>
        <v>0</v>
      </c>
      <c r="O1452" s="59">
        <f>SUMIFS(Eventos!$G:$G,Eventos!$F:$F,$L1452,Eventos!$D:$D,$C$2,Eventos!$B:$B,PANES_SEMANALES[[#ALL],[MIÉRCOLES]])</f>
        <v>0</v>
      </c>
      <c r="P1452" s="59">
        <f>SUMIFS(Eventos!$G:$G,Eventos!$F:$F,$L1452,Eventos!$D:$D,$C$2,Eventos!$B:$B,PANES_SEMANALES[[#ALL],[JUEVES]])</f>
        <v>0</v>
      </c>
      <c r="Q1452" s="59">
        <f>IF(P1452&lt;&gt;"",SUMIFS(Eventos!$G:$G,Eventos!$B:$B,Q$2,Eventos!$D:$D,$C$2,Eventos!$F:$F,$L1452),"")</f>
        <v>0</v>
      </c>
      <c r="R1452" s="59">
        <f>SUMIFS(Eventos!$G:$G,Eventos!$F:$F,$L1452,Eventos!$D:$D,$C$2,Eventos!$B:$B,PANES_SEMANALES[[#ALL],[SÁBADO]])</f>
        <v>0</v>
      </c>
      <c r="S1452" s="59">
        <f>SUMIFS(Eventos!$G:$G,Eventos!$F:$F,$L1452,Eventos!$D:$D,$C$2,Eventos!$B:$B,PANES_SEMANALES[[#ALL],[DOMINGO]])</f>
        <v>0</v>
      </c>
      <c r="T1452" s="59">
        <f t="shared" si="1"/>
        <v>0</v>
      </c>
    </row>
    <row r="1453" ht="22.5" customHeight="1">
      <c r="M1453" s="59">
        <f>SUMIFS(Eventos!$G:$G,Eventos!$F:$F,$L1453,Eventos!$D:$D,$C$2,Eventos!$B:$B,PANES_SEMANALES[[#ALL],[LUNES]])</f>
        <v>0</v>
      </c>
      <c r="N1453" s="59">
        <f>SUMIFS(Eventos!$G:$G,Eventos!$F:$F,$L1453,Eventos!$D:$D,$C$2,Eventos!$B:$B,PANES_SEMANALES[[#ALL],[MARTES]])</f>
        <v>0</v>
      </c>
      <c r="O1453" s="59">
        <f>SUMIFS(Eventos!$G:$G,Eventos!$F:$F,$L1453,Eventos!$D:$D,$C$2,Eventos!$B:$B,PANES_SEMANALES[[#ALL],[MIÉRCOLES]])</f>
        <v>0</v>
      </c>
      <c r="P1453" s="59">
        <f>SUMIFS(Eventos!$G:$G,Eventos!$F:$F,$L1453,Eventos!$D:$D,$C$2,Eventos!$B:$B,PANES_SEMANALES[[#ALL],[JUEVES]])</f>
        <v>0</v>
      </c>
      <c r="Q1453" s="59">
        <f>IF(P1453&lt;&gt;"",SUMIFS(Eventos!$G:$G,Eventos!$B:$B,Q$2,Eventos!$D:$D,$C$2,Eventos!$F:$F,$L1453),"")</f>
        <v>0</v>
      </c>
      <c r="R1453" s="59">
        <f>SUMIFS(Eventos!$G:$G,Eventos!$F:$F,$L1453,Eventos!$D:$D,$C$2,Eventos!$B:$B,PANES_SEMANALES[[#ALL],[SÁBADO]])</f>
        <v>0</v>
      </c>
      <c r="S1453" s="59">
        <f>SUMIFS(Eventos!$G:$G,Eventos!$F:$F,$L1453,Eventos!$D:$D,$C$2,Eventos!$B:$B,PANES_SEMANALES[[#ALL],[DOMINGO]])</f>
        <v>0</v>
      </c>
      <c r="T1453" s="59">
        <f t="shared" si="1"/>
        <v>0</v>
      </c>
    </row>
    <row r="1454" ht="22.5" customHeight="1">
      <c r="M1454" s="59">
        <f>SUMIFS(Eventos!$G:$G,Eventos!$F:$F,$L1454,Eventos!$D:$D,$C$2,Eventos!$B:$B,PANES_SEMANALES[[#ALL],[LUNES]])</f>
        <v>0</v>
      </c>
      <c r="N1454" s="59">
        <f>SUMIFS(Eventos!$G:$G,Eventos!$F:$F,$L1454,Eventos!$D:$D,$C$2,Eventos!$B:$B,PANES_SEMANALES[[#ALL],[MARTES]])</f>
        <v>0</v>
      </c>
      <c r="O1454" s="59">
        <f>SUMIFS(Eventos!$G:$G,Eventos!$F:$F,$L1454,Eventos!$D:$D,$C$2,Eventos!$B:$B,PANES_SEMANALES[[#ALL],[MIÉRCOLES]])</f>
        <v>0</v>
      </c>
      <c r="P1454" s="59">
        <f>SUMIFS(Eventos!$G:$G,Eventos!$F:$F,$L1454,Eventos!$D:$D,$C$2,Eventos!$B:$B,PANES_SEMANALES[[#ALL],[JUEVES]])</f>
        <v>0</v>
      </c>
      <c r="Q1454" s="59">
        <f>IF(P1454&lt;&gt;"",SUMIFS(Eventos!$G:$G,Eventos!$B:$B,Q$2,Eventos!$D:$D,$C$2,Eventos!$F:$F,$L1454),"")</f>
        <v>0</v>
      </c>
      <c r="R1454" s="59">
        <f>SUMIFS(Eventos!$G:$G,Eventos!$F:$F,$L1454,Eventos!$D:$D,$C$2,Eventos!$B:$B,PANES_SEMANALES[[#ALL],[SÁBADO]])</f>
        <v>0</v>
      </c>
      <c r="S1454" s="59">
        <f>SUMIFS(Eventos!$G:$G,Eventos!$F:$F,$L1454,Eventos!$D:$D,$C$2,Eventos!$B:$B,PANES_SEMANALES[[#ALL],[DOMINGO]])</f>
        <v>0</v>
      </c>
      <c r="T1454" s="59">
        <f t="shared" si="1"/>
        <v>0</v>
      </c>
    </row>
    <row r="1455" ht="22.5" customHeight="1">
      <c r="M1455" s="59">
        <f>SUMIFS(Eventos!$G:$G,Eventos!$F:$F,$L1455,Eventos!$D:$D,$C$2,Eventos!$B:$B,PANES_SEMANALES[[#ALL],[LUNES]])</f>
        <v>0</v>
      </c>
      <c r="N1455" s="59">
        <f>SUMIFS(Eventos!$G:$G,Eventos!$F:$F,$L1455,Eventos!$D:$D,$C$2,Eventos!$B:$B,PANES_SEMANALES[[#ALL],[MARTES]])</f>
        <v>0</v>
      </c>
      <c r="O1455" s="59">
        <f>SUMIFS(Eventos!$G:$G,Eventos!$F:$F,$L1455,Eventos!$D:$D,$C$2,Eventos!$B:$B,PANES_SEMANALES[[#ALL],[MIÉRCOLES]])</f>
        <v>0</v>
      </c>
      <c r="P1455" s="59">
        <f>SUMIFS(Eventos!$G:$G,Eventos!$F:$F,$L1455,Eventos!$D:$D,$C$2,Eventos!$B:$B,PANES_SEMANALES[[#ALL],[JUEVES]])</f>
        <v>0</v>
      </c>
      <c r="Q1455" s="59">
        <f>IF(P1455&lt;&gt;"",SUMIFS(Eventos!$G:$G,Eventos!$B:$B,Q$2,Eventos!$D:$D,$C$2,Eventos!$F:$F,$L1455),"")</f>
        <v>0</v>
      </c>
      <c r="R1455" s="59">
        <f>SUMIFS(Eventos!$G:$G,Eventos!$F:$F,$L1455,Eventos!$D:$D,$C$2,Eventos!$B:$B,PANES_SEMANALES[[#ALL],[SÁBADO]])</f>
        <v>0</v>
      </c>
      <c r="S1455" s="59">
        <f>SUMIFS(Eventos!$G:$G,Eventos!$F:$F,$L1455,Eventos!$D:$D,$C$2,Eventos!$B:$B,PANES_SEMANALES[[#ALL],[DOMINGO]])</f>
        <v>0</v>
      </c>
      <c r="T1455" s="59">
        <f t="shared" si="1"/>
        <v>0</v>
      </c>
    </row>
    <row r="1456" ht="22.5" customHeight="1">
      <c r="M1456" s="59">
        <f>SUMIFS(Eventos!$G:$G,Eventos!$F:$F,$L1456,Eventos!$D:$D,$C$2,Eventos!$B:$B,PANES_SEMANALES[[#ALL],[LUNES]])</f>
        <v>0</v>
      </c>
      <c r="N1456" s="59">
        <f>SUMIFS(Eventos!$G:$G,Eventos!$F:$F,$L1456,Eventos!$D:$D,$C$2,Eventos!$B:$B,PANES_SEMANALES[[#ALL],[MARTES]])</f>
        <v>0</v>
      </c>
      <c r="O1456" s="59">
        <f>SUMIFS(Eventos!$G:$G,Eventos!$F:$F,$L1456,Eventos!$D:$D,$C$2,Eventos!$B:$B,PANES_SEMANALES[[#ALL],[MIÉRCOLES]])</f>
        <v>0</v>
      </c>
      <c r="P1456" s="59">
        <f>SUMIFS(Eventos!$G:$G,Eventos!$F:$F,$L1456,Eventos!$D:$D,$C$2,Eventos!$B:$B,PANES_SEMANALES[[#ALL],[JUEVES]])</f>
        <v>0</v>
      </c>
      <c r="Q1456" s="59">
        <f>IF(P1456&lt;&gt;"",SUMIFS(Eventos!$G:$G,Eventos!$B:$B,Q$2,Eventos!$D:$D,$C$2,Eventos!$F:$F,$L1456),"")</f>
        <v>0</v>
      </c>
      <c r="R1456" s="59">
        <f>SUMIFS(Eventos!$G:$G,Eventos!$F:$F,$L1456,Eventos!$D:$D,$C$2,Eventos!$B:$B,PANES_SEMANALES[[#ALL],[SÁBADO]])</f>
        <v>0</v>
      </c>
      <c r="S1456" s="59">
        <f>SUMIFS(Eventos!$G:$G,Eventos!$F:$F,$L1456,Eventos!$D:$D,$C$2,Eventos!$B:$B,PANES_SEMANALES[[#ALL],[DOMINGO]])</f>
        <v>0</v>
      </c>
      <c r="T1456" s="59">
        <f t="shared" si="1"/>
        <v>0</v>
      </c>
    </row>
    <row r="1457" ht="22.5" customHeight="1">
      <c r="M1457" s="59">
        <f>SUMIFS(Eventos!$G:$G,Eventos!$F:$F,$L1457,Eventos!$D:$D,$C$2,Eventos!$B:$B,PANES_SEMANALES[[#ALL],[LUNES]])</f>
        <v>0</v>
      </c>
      <c r="N1457" s="59">
        <f>SUMIFS(Eventos!$G:$G,Eventos!$F:$F,$L1457,Eventos!$D:$D,$C$2,Eventos!$B:$B,PANES_SEMANALES[[#ALL],[MARTES]])</f>
        <v>0</v>
      </c>
      <c r="O1457" s="59">
        <f>SUMIFS(Eventos!$G:$G,Eventos!$F:$F,$L1457,Eventos!$D:$D,$C$2,Eventos!$B:$B,PANES_SEMANALES[[#ALL],[MIÉRCOLES]])</f>
        <v>0</v>
      </c>
      <c r="P1457" s="59">
        <f>SUMIFS(Eventos!$G:$G,Eventos!$F:$F,$L1457,Eventos!$D:$D,$C$2,Eventos!$B:$B,PANES_SEMANALES[[#ALL],[JUEVES]])</f>
        <v>0</v>
      </c>
      <c r="Q1457" s="59">
        <f>IF(P1457&lt;&gt;"",SUMIFS(Eventos!$G:$G,Eventos!$B:$B,Q$2,Eventos!$D:$D,$C$2,Eventos!$F:$F,$L1457),"")</f>
        <v>0</v>
      </c>
      <c r="R1457" s="59">
        <f>SUMIFS(Eventos!$G:$G,Eventos!$F:$F,$L1457,Eventos!$D:$D,$C$2,Eventos!$B:$B,PANES_SEMANALES[[#ALL],[SÁBADO]])</f>
        <v>0</v>
      </c>
      <c r="S1457" s="59">
        <f>SUMIFS(Eventos!$G:$G,Eventos!$F:$F,$L1457,Eventos!$D:$D,$C$2,Eventos!$B:$B,PANES_SEMANALES[[#ALL],[DOMINGO]])</f>
        <v>0</v>
      </c>
      <c r="T1457" s="59">
        <f t="shared" si="1"/>
        <v>0</v>
      </c>
    </row>
    <row r="1458" ht="22.5" customHeight="1">
      <c r="M1458" s="59">
        <f>SUMIFS(Eventos!$G:$G,Eventos!$F:$F,$L1458,Eventos!$D:$D,$C$2,Eventos!$B:$B,PANES_SEMANALES[[#ALL],[LUNES]])</f>
        <v>0</v>
      </c>
      <c r="N1458" s="59">
        <f>SUMIFS(Eventos!$G:$G,Eventos!$F:$F,$L1458,Eventos!$D:$D,$C$2,Eventos!$B:$B,PANES_SEMANALES[[#ALL],[MARTES]])</f>
        <v>0</v>
      </c>
      <c r="O1458" s="59">
        <f>SUMIFS(Eventos!$G:$G,Eventos!$F:$F,$L1458,Eventos!$D:$D,$C$2,Eventos!$B:$B,PANES_SEMANALES[[#ALL],[MIÉRCOLES]])</f>
        <v>0</v>
      </c>
      <c r="P1458" s="59">
        <f>SUMIFS(Eventos!$G:$G,Eventos!$F:$F,$L1458,Eventos!$D:$D,$C$2,Eventos!$B:$B,PANES_SEMANALES[[#ALL],[JUEVES]])</f>
        <v>0</v>
      </c>
      <c r="Q1458" s="59">
        <f>IF(P1458&lt;&gt;"",SUMIFS(Eventos!$G:$G,Eventos!$B:$B,Q$2,Eventos!$D:$D,$C$2,Eventos!$F:$F,$L1458),"")</f>
        <v>0</v>
      </c>
      <c r="R1458" s="59">
        <f>SUMIFS(Eventos!$G:$G,Eventos!$F:$F,$L1458,Eventos!$D:$D,$C$2,Eventos!$B:$B,PANES_SEMANALES[[#ALL],[SÁBADO]])</f>
        <v>0</v>
      </c>
      <c r="S1458" s="59">
        <f>SUMIFS(Eventos!$G:$G,Eventos!$F:$F,$L1458,Eventos!$D:$D,$C$2,Eventos!$B:$B,PANES_SEMANALES[[#ALL],[DOMINGO]])</f>
        <v>0</v>
      </c>
      <c r="T1458" s="59">
        <f t="shared" si="1"/>
        <v>0</v>
      </c>
    </row>
    <row r="1459" ht="22.5" customHeight="1">
      <c r="M1459" s="59">
        <f>SUMIFS(Eventos!$G:$G,Eventos!$F:$F,$L1459,Eventos!$D:$D,$C$2,Eventos!$B:$B,PANES_SEMANALES[[#ALL],[LUNES]])</f>
        <v>0</v>
      </c>
      <c r="N1459" s="59">
        <f>SUMIFS(Eventos!$G:$G,Eventos!$F:$F,$L1459,Eventos!$D:$D,$C$2,Eventos!$B:$B,PANES_SEMANALES[[#ALL],[MARTES]])</f>
        <v>0</v>
      </c>
      <c r="O1459" s="59">
        <f>SUMIFS(Eventos!$G:$G,Eventos!$F:$F,$L1459,Eventos!$D:$D,$C$2,Eventos!$B:$B,PANES_SEMANALES[[#ALL],[MIÉRCOLES]])</f>
        <v>0</v>
      </c>
      <c r="P1459" s="59">
        <f>SUMIFS(Eventos!$G:$G,Eventos!$F:$F,$L1459,Eventos!$D:$D,$C$2,Eventos!$B:$B,PANES_SEMANALES[[#ALL],[JUEVES]])</f>
        <v>0</v>
      </c>
      <c r="Q1459" s="59">
        <f>IF(P1459&lt;&gt;"",SUMIFS(Eventos!$G:$G,Eventos!$B:$B,Q$2,Eventos!$D:$D,$C$2,Eventos!$F:$F,$L1459),"")</f>
        <v>0</v>
      </c>
      <c r="R1459" s="59">
        <f>SUMIFS(Eventos!$G:$G,Eventos!$F:$F,$L1459,Eventos!$D:$D,$C$2,Eventos!$B:$B,PANES_SEMANALES[[#ALL],[SÁBADO]])</f>
        <v>0</v>
      </c>
      <c r="S1459" s="59">
        <f>SUMIFS(Eventos!$G:$G,Eventos!$F:$F,$L1459,Eventos!$D:$D,$C$2,Eventos!$B:$B,PANES_SEMANALES[[#ALL],[DOMINGO]])</f>
        <v>0</v>
      </c>
      <c r="T1459" s="59">
        <f t="shared" si="1"/>
        <v>0</v>
      </c>
    </row>
    <row r="1460" ht="22.5" customHeight="1">
      <c r="M1460" s="59">
        <f>SUMIFS(Eventos!$G:$G,Eventos!$F:$F,$L1460,Eventos!$D:$D,$C$2,Eventos!$B:$B,PANES_SEMANALES[[#ALL],[LUNES]])</f>
        <v>0</v>
      </c>
      <c r="N1460" s="59">
        <f>SUMIFS(Eventos!$G:$G,Eventos!$F:$F,$L1460,Eventos!$D:$D,$C$2,Eventos!$B:$B,PANES_SEMANALES[[#ALL],[MARTES]])</f>
        <v>0</v>
      </c>
      <c r="O1460" s="59">
        <f>SUMIFS(Eventos!$G:$G,Eventos!$F:$F,$L1460,Eventos!$D:$D,$C$2,Eventos!$B:$B,PANES_SEMANALES[[#ALL],[MIÉRCOLES]])</f>
        <v>0</v>
      </c>
      <c r="P1460" s="59">
        <f>SUMIFS(Eventos!$G:$G,Eventos!$F:$F,$L1460,Eventos!$D:$D,$C$2,Eventos!$B:$B,PANES_SEMANALES[[#ALL],[JUEVES]])</f>
        <v>0</v>
      </c>
      <c r="Q1460" s="59">
        <f>IF(P1460&lt;&gt;"",SUMIFS(Eventos!$G:$G,Eventos!$B:$B,Q$2,Eventos!$D:$D,$C$2,Eventos!$F:$F,$L1460),"")</f>
        <v>0</v>
      </c>
      <c r="R1460" s="59">
        <f>SUMIFS(Eventos!$G:$G,Eventos!$F:$F,$L1460,Eventos!$D:$D,$C$2,Eventos!$B:$B,PANES_SEMANALES[[#ALL],[SÁBADO]])</f>
        <v>0</v>
      </c>
      <c r="S1460" s="59">
        <f>SUMIFS(Eventos!$G:$G,Eventos!$F:$F,$L1460,Eventos!$D:$D,$C$2,Eventos!$B:$B,PANES_SEMANALES[[#ALL],[DOMINGO]])</f>
        <v>0</v>
      </c>
      <c r="T1460" s="59">
        <f t="shared" si="1"/>
        <v>0</v>
      </c>
    </row>
    <row r="1461" ht="22.5" customHeight="1">
      <c r="M1461" s="59">
        <f>SUMIFS(Eventos!$G:$G,Eventos!$F:$F,$L1461,Eventos!$D:$D,$C$2,Eventos!$B:$B,PANES_SEMANALES[[#ALL],[LUNES]])</f>
        <v>0</v>
      </c>
      <c r="N1461" s="59">
        <f>SUMIFS(Eventos!$G:$G,Eventos!$F:$F,$L1461,Eventos!$D:$D,$C$2,Eventos!$B:$B,PANES_SEMANALES[[#ALL],[MARTES]])</f>
        <v>0</v>
      </c>
      <c r="O1461" s="59">
        <f>SUMIFS(Eventos!$G:$G,Eventos!$F:$F,$L1461,Eventos!$D:$D,$C$2,Eventos!$B:$B,PANES_SEMANALES[[#ALL],[MIÉRCOLES]])</f>
        <v>0</v>
      </c>
      <c r="P1461" s="59">
        <f>SUMIFS(Eventos!$G:$G,Eventos!$F:$F,$L1461,Eventos!$D:$D,$C$2,Eventos!$B:$B,PANES_SEMANALES[[#ALL],[JUEVES]])</f>
        <v>0</v>
      </c>
      <c r="Q1461" s="59">
        <f>IF(P1461&lt;&gt;"",SUMIFS(Eventos!$G:$G,Eventos!$B:$B,Q$2,Eventos!$D:$D,$C$2,Eventos!$F:$F,$L1461),"")</f>
        <v>0</v>
      </c>
      <c r="R1461" s="59">
        <f>SUMIFS(Eventos!$G:$G,Eventos!$F:$F,$L1461,Eventos!$D:$D,$C$2,Eventos!$B:$B,PANES_SEMANALES[[#ALL],[SÁBADO]])</f>
        <v>0</v>
      </c>
      <c r="S1461" s="59">
        <f>SUMIFS(Eventos!$G:$G,Eventos!$F:$F,$L1461,Eventos!$D:$D,$C$2,Eventos!$B:$B,PANES_SEMANALES[[#ALL],[DOMINGO]])</f>
        <v>0</v>
      </c>
      <c r="T1461" s="59">
        <f t="shared" si="1"/>
        <v>0</v>
      </c>
    </row>
    <row r="1462" ht="22.5" customHeight="1">
      <c r="M1462" s="59">
        <f>SUMIFS(Eventos!$G:$G,Eventos!$F:$F,$L1462,Eventos!$D:$D,$C$2,Eventos!$B:$B,PANES_SEMANALES[[#ALL],[LUNES]])</f>
        <v>0</v>
      </c>
      <c r="N1462" s="59">
        <f>SUMIFS(Eventos!$G:$G,Eventos!$F:$F,$L1462,Eventos!$D:$D,$C$2,Eventos!$B:$B,PANES_SEMANALES[[#ALL],[MARTES]])</f>
        <v>0</v>
      </c>
      <c r="O1462" s="59">
        <f>SUMIFS(Eventos!$G:$G,Eventos!$F:$F,$L1462,Eventos!$D:$D,$C$2,Eventos!$B:$B,PANES_SEMANALES[[#ALL],[MIÉRCOLES]])</f>
        <v>0</v>
      </c>
      <c r="P1462" s="59">
        <f>SUMIFS(Eventos!$G:$G,Eventos!$F:$F,$L1462,Eventos!$D:$D,$C$2,Eventos!$B:$B,PANES_SEMANALES[[#ALL],[JUEVES]])</f>
        <v>0</v>
      </c>
      <c r="Q1462" s="59">
        <f>IF(P1462&lt;&gt;"",SUMIFS(Eventos!$G:$G,Eventos!$B:$B,Q$2,Eventos!$D:$D,$C$2,Eventos!$F:$F,$L1462),"")</f>
        <v>0</v>
      </c>
      <c r="R1462" s="59">
        <f>SUMIFS(Eventos!$G:$G,Eventos!$F:$F,$L1462,Eventos!$D:$D,$C$2,Eventos!$B:$B,PANES_SEMANALES[[#ALL],[SÁBADO]])</f>
        <v>0</v>
      </c>
      <c r="S1462" s="59">
        <f>SUMIFS(Eventos!$G:$G,Eventos!$F:$F,$L1462,Eventos!$D:$D,$C$2,Eventos!$B:$B,PANES_SEMANALES[[#ALL],[DOMINGO]])</f>
        <v>0</v>
      </c>
      <c r="T1462" s="59">
        <f t="shared" si="1"/>
        <v>0</v>
      </c>
    </row>
    <row r="1463" ht="22.5" customHeight="1">
      <c r="M1463" s="59">
        <f>SUMIFS(Eventos!$G:$G,Eventos!$F:$F,$L1463,Eventos!$D:$D,$C$2,Eventos!$B:$B,PANES_SEMANALES[[#ALL],[LUNES]])</f>
        <v>0</v>
      </c>
      <c r="N1463" s="59">
        <f>SUMIFS(Eventos!$G:$G,Eventos!$F:$F,$L1463,Eventos!$D:$D,$C$2,Eventos!$B:$B,PANES_SEMANALES[[#ALL],[MARTES]])</f>
        <v>0</v>
      </c>
      <c r="O1463" s="59">
        <f>SUMIFS(Eventos!$G:$G,Eventos!$F:$F,$L1463,Eventos!$D:$D,$C$2,Eventos!$B:$B,PANES_SEMANALES[[#ALL],[MIÉRCOLES]])</f>
        <v>0</v>
      </c>
      <c r="P1463" s="59">
        <f>SUMIFS(Eventos!$G:$G,Eventos!$F:$F,$L1463,Eventos!$D:$D,$C$2,Eventos!$B:$B,PANES_SEMANALES[[#ALL],[JUEVES]])</f>
        <v>0</v>
      </c>
      <c r="Q1463" s="59">
        <f>IF(P1463&lt;&gt;"",SUMIFS(Eventos!$G:$G,Eventos!$B:$B,Q$2,Eventos!$D:$D,$C$2,Eventos!$F:$F,$L1463),"")</f>
        <v>0</v>
      </c>
      <c r="R1463" s="59">
        <f>SUMIFS(Eventos!$G:$G,Eventos!$F:$F,$L1463,Eventos!$D:$D,$C$2,Eventos!$B:$B,PANES_SEMANALES[[#ALL],[SÁBADO]])</f>
        <v>0</v>
      </c>
      <c r="S1463" s="59">
        <f>SUMIFS(Eventos!$G:$G,Eventos!$F:$F,$L1463,Eventos!$D:$D,$C$2,Eventos!$B:$B,PANES_SEMANALES[[#ALL],[DOMINGO]])</f>
        <v>0</v>
      </c>
      <c r="T1463" s="59">
        <f t="shared" si="1"/>
        <v>0</v>
      </c>
    </row>
    <row r="1464" ht="22.5" customHeight="1">
      <c r="M1464" s="59">
        <f>SUMIFS(Eventos!$G:$G,Eventos!$F:$F,$L1464,Eventos!$D:$D,$C$2,Eventos!$B:$B,PANES_SEMANALES[[#ALL],[LUNES]])</f>
        <v>0</v>
      </c>
      <c r="N1464" s="59">
        <f>SUMIFS(Eventos!$G:$G,Eventos!$F:$F,$L1464,Eventos!$D:$D,$C$2,Eventos!$B:$B,PANES_SEMANALES[[#ALL],[MARTES]])</f>
        <v>0</v>
      </c>
      <c r="O1464" s="59">
        <f>SUMIFS(Eventos!$G:$G,Eventos!$F:$F,$L1464,Eventos!$D:$D,$C$2,Eventos!$B:$B,PANES_SEMANALES[[#ALL],[MIÉRCOLES]])</f>
        <v>0</v>
      </c>
      <c r="P1464" s="59">
        <f>SUMIFS(Eventos!$G:$G,Eventos!$F:$F,$L1464,Eventos!$D:$D,$C$2,Eventos!$B:$B,PANES_SEMANALES[[#ALL],[JUEVES]])</f>
        <v>0</v>
      </c>
      <c r="Q1464" s="59">
        <f>IF(P1464&lt;&gt;"",SUMIFS(Eventos!$G:$G,Eventos!$B:$B,Q$2,Eventos!$D:$D,$C$2,Eventos!$F:$F,$L1464),"")</f>
        <v>0</v>
      </c>
      <c r="R1464" s="59">
        <f>SUMIFS(Eventos!$G:$G,Eventos!$F:$F,$L1464,Eventos!$D:$D,$C$2,Eventos!$B:$B,PANES_SEMANALES[[#ALL],[SÁBADO]])</f>
        <v>0</v>
      </c>
      <c r="S1464" s="59">
        <f>SUMIFS(Eventos!$G:$G,Eventos!$F:$F,$L1464,Eventos!$D:$D,$C$2,Eventos!$B:$B,PANES_SEMANALES[[#ALL],[DOMINGO]])</f>
        <v>0</v>
      </c>
      <c r="T1464" s="59">
        <f t="shared" si="1"/>
        <v>0</v>
      </c>
    </row>
    <row r="1465" ht="22.5" customHeight="1">
      <c r="M1465" s="59">
        <f>SUMIFS(Eventos!$G:$G,Eventos!$F:$F,$L1465,Eventos!$D:$D,$C$2,Eventos!$B:$B,PANES_SEMANALES[[#ALL],[LUNES]])</f>
        <v>0</v>
      </c>
      <c r="N1465" s="59">
        <f>SUMIFS(Eventos!$G:$G,Eventos!$F:$F,$L1465,Eventos!$D:$D,$C$2,Eventos!$B:$B,PANES_SEMANALES[[#ALL],[MARTES]])</f>
        <v>0</v>
      </c>
      <c r="O1465" s="59">
        <f>SUMIFS(Eventos!$G:$G,Eventos!$F:$F,$L1465,Eventos!$D:$D,$C$2,Eventos!$B:$B,PANES_SEMANALES[[#ALL],[MIÉRCOLES]])</f>
        <v>0</v>
      </c>
      <c r="P1465" s="59">
        <f>SUMIFS(Eventos!$G:$G,Eventos!$F:$F,$L1465,Eventos!$D:$D,$C$2,Eventos!$B:$B,PANES_SEMANALES[[#ALL],[JUEVES]])</f>
        <v>0</v>
      </c>
      <c r="Q1465" s="59">
        <f>IF(P1465&lt;&gt;"",SUMIFS(Eventos!$G:$G,Eventos!$B:$B,Q$2,Eventos!$D:$D,$C$2,Eventos!$F:$F,$L1465),"")</f>
        <v>0</v>
      </c>
      <c r="R1465" s="59">
        <f>SUMIFS(Eventos!$G:$G,Eventos!$F:$F,$L1465,Eventos!$D:$D,$C$2,Eventos!$B:$B,PANES_SEMANALES[[#ALL],[SÁBADO]])</f>
        <v>0</v>
      </c>
      <c r="S1465" s="59">
        <f>SUMIFS(Eventos!$G:$G,Eventos!$F:$F,$L1465,Eventos!$D:$D,$C$2,Eventos!$B:$B,PANES_SEMANALES[[#ALL],[DOMINGO]])</f>
        <v>0</v>
      </c>
      <c r="T1465" s="59">
        <f t="shared" si="1"/>
        <v>0</v>
      </c>
    </row>
    <row r="1466" ht="22.5" customHeight="1">
      <c r="M1466" s="59">
        <f>SUMIFS(Eventos!$G:$G,Eventos!$F:$F,$L1466,Eventos!$D:$D,$C$2,Eventos!$B:$B,PANES_SEMANALES[[#ALL],[LUNES]])</f>
        <v>0</v>
      </c>
      <c r="N1466" s="59">
        <f>SUMIFS(Eventos!$G:$G,Eventos!$F:$F,$L1466,Eventos!$D:$D,$C$2,Eventos!$B:$B,PANES_SEMANALES[[#ALL],[MARTES]])</f>
        <v>0</v>
      </c>
      <c r="O1466" s="59">
        <f>SUMIFS(Eventos!$G:$G,Eventos!$F:$F,$L1466,Eventos!$D:$D,$C$2,Eventos!$B:$B,PANES_SEMANALES[[#ALL],[MIÉRCOLES]])</f>
        <v>0</v>
      </c>
      <c r="P1466" s="59">
        <f>SUMIFS(Eventos!$G:$G,Eventos!$F:$F,$L1466,Eventos!$D:$D,$C$2,Eventos!$B:$B,PANES_SEMANALES[[#ALL],[JUEVES]])</f>
        <v>0</v>
      </c>
      <c r="Q1466" s="59">
        <f>IF(P1466&lt;&gt;"",SUMIFS(Eventos!$G:$G,Eventos!$B:$B,Q$2,Eventos!$D:$D,$C$2,Eventos!$F:$F,$L1466),"")</f>
        <v>0</v>
      </c>
      <c r="R1466" s="59">
        <f>SUMIFS(Eventos!$G:$G,Eventos!$F:$F,$L1466,Eventos!$D:$D,$C$2,Eventos!$B:$B,PANES_SEMANALES[[#ALL],[SÁBADO]])</f>
        <v>0</v>
      </c>
      <c r="S1466" s="59">
        <f>SUMIFS(Eventos!$G:$G,Eventos!$F:$F,$L1466,Eventos!$D:$D,$C$2,Eventos!$B:$B,PANES_SEMANALES[[#ALL],[DOMINGO]])</f>
        <v>0</v>
      </c>
      <c r="T1466" s="59">
        <f t="shared" si="1"/>
        <v>0</v>
      </c>
    </row>
    <row r="1467" ht="22.5" customHeight="1">
      <c r="M1467" s="59">
        <f>SUMIFS(Eventos!$G:$G,Eventos!$F:$F,$L1467,Eventos!$D:$D,$C$2,Eventos!$B:$B,PANES_SEMANALES[[#ALL],[LUNES]])</f>
        <v>0</v>
      </c>
      <c r="N1467" s="59">
        <f>SUMIFS(Eventos!$G:$G,Eventos!$F:$F,$L1467,Eventos!$D:$D,$C$2,Eventos!$B:$B,PANES_SEMANALES[[#ALL],[MARTES]])</f>
        <v>0</v>
      </c>
      <c r="O1467" s="59">
        <f>SUMIFS(Eventos!$G:$G,Eventos!$F:$F,$L1467,Eventos!$D:$D,$C$2,Eventos!$B:$B,PANES_SEMANALES[[#ALL],[MIÉRCOLES]])</f>
        <v>0</v>
      </c>
      <c r="P1467" s="59">
        <f>SUMIFS(Eventos!$G:$G,Eventos!$F:$F,$L1467,Eventos!$D:$D,$C$2,Eventos!$B:$B,PANES_SEMANALES[[#ALL],[JUEVES]])</f>
        <v>0</v>
      </c>
      <c r="Q1467" s="59">
        <f>IF(P1467&lt;&gt;"",SUMIFS(Eventos!$G:$G,Eventos!$B:$B,Q$2,Eventos!$D:$D,$C$2,Eventos!$F:$F,$L1467),"")</f>
        <v>0</v>
      </c>
      <c r="R1467" s="59">
        <f>SUMIFS(Eventos!$G:$G,Eventos!$F:$F,$L1467,Eventos!$D:$D,$C$2,Eventos!$B:$B,PANES_SEMANALES[[#ALL],[SÁBADO]])</f>
        <v>0</v>
      </c>
      <c r="S1467" s="59">
        <f>SUMIFS(Eventos!$G:$G,Eventos!$F:$F,$L1467,Eventos!$D:$D,$C$2,Eventos!$B:$B,PANES_SEMANALES[[#ALL],[DOMINGO]])</f>
        <v>0</v>
      </c>
      <c r="T1467" s="59">
        <f t="shared" si="1"/>
        <v>0</v>
      </c>
    </row>
    <row r="1468" ht="22.5" customHeight="1">
      <c r="M1468" s="59">
        <f>SUMIFS(Eventos!$G:$G,Eventos!$F:$F,$L1468,Eventos!$D:$D,$C$2,Eventos!$B:$B,PANES_SEMANALES[[#ALL],[LUNES]])</f>
        <v>0</v>
      </c>
      <c r="N1468" s="59">
        <f>SUMIFS(Eventos!$G:$G,Eventos!$F:$F,$L1468,Eventos!$D:$D,$C$2,Eventos!$B:$B,PANES_SEMANALES[[#ALL],[MARTES]])</f>
        <v>0</v>
      </c>
      <c r="O1468" s="59">
        <f>SUMIFS(Eventos!$G:$G,Eventos!$F:$F,$L1468,Eventos!$D:$D,$C$2,Eventos!$B:$B,PANES_SEMANALES[[#ALL],[MIÉRCOLES]])</f>
        <v>0</v>
      </c>
      <c r="P1468" s="59">
        <f>SUMIFS(Eventos!$G:$G,Eventos!$F:$F,$L1468,Eventos!$D:$D,$C$2,Eventos!$B:$B,PANES_SEMANALES[[#ALL],[JUEVES]])</f>
        <v>0</v>
      </c>
      <c r="Q1468" s="59">
        <f>IF(P1468&lt;&gt;"",SUMIFS(Eventos!$G:$G,Eventos!$B:$B,Q$2,Eventos!$D:$D,$C$2,Eventos!$F:$F,$L1468),"")</f>
        <v>0</v>
      </c>
      <c r="R1468" s="59">
        <f>SUMIFS(Eventos!$G:$G,Eventos!$F:$F,$L1468,Eventos!$D:$D,$C$2,Eventos!$B:$B,PANES_SEMANALES[[#ALL],[SÁBADO]])</f>
        <v>0</v>
      </c>
      <c r="S1468" s="59">
        <f>SUMIFS(Eventos!$G:$G,Eventos!$F:$F,$L1468,Eventos!$D:$D,$C$2,Eventos!$B:$B,PANES_SEMANALES[[#ALL],[DOMINGO]])</f>
        <v>0</v>
      </c>
      <c r="T1468" s="59">
        <f t="shared" si="1"/>
        <v>0</v>
      </c>
    </row>
    <row r="1469" ht="22.5" customHeight="1">
      <c r="M1469" s="59">
        <f>SUMIFS(Eventos!$G:$G,Eventos!$F:$F,$L1469,Eventos!$D:$D,$C$2,Eventos!$B:$B,PANES_SEMANALES[[#ALL],[LUNES]])</f>
        <v>0</v>
      </c>
      <c r="N1469" s="59">
        <f>SUMIFS(Eventos!$G:$G,Eventos!$F:$F,$L1469,Eventos!$D:$D,$C$2,Eventos!$B:$B,PANES_SEMANALES[[#ALL],[MARTES]])</f>
        <v>0</v>
      </c>
      <c r="O1469" s="59">
        <f>SUMIFS(Eventos!$G:$G,Eventos!$F:$F,$L1469,Eventos!$D:$D,$C$2,Eventos!$B:$B,PANES_SEMANALES[[#ALL],[MIÉRCOLES]])</f>
        <v>0</v>
      </c>
      <c r="P1469" s="59">
        <f>SUMIFS(Eventos!$G:$G,Eventos!$F:$F,$L1469,Eventos!$D:$D,$C$2,Eventos!$B:$B,PANES_SEMANALES[[#ALL],[JUEVES]])</f>
        <v>0</v>
      </c>
      <c r="Q1469" s="59">
        <f>IF(P1469&lt;&gt;"",SUMIFS(Eventos!$G:$G,Eventos!$B:$B,Q$2,Eventos!$D:$D,$C$2,Eventos!$F:$F,$L1469),"")</f>
        <v>0</v>
      </c>
      <c r="R1469" s="59">
        <f>SUMIFS(Eventos!$G:$G,Eventos!$F:$F,$L1469,Eventos!$D:$D,$C$2,Eventos!$B:$B,PANES_SEMANALES[[#ALL],[SÁBADO]])</f>
        <v>0</v>
      </c>
      <c r="S1469" s="59">
        <f>SUMIFS(Eventos!$G:$G,Eventos!$F:$F,$L1469,Eventos!$D:$D,$C$2,Eventos!$B:$B,PANES_SEMANALES[[#ALL],[DOMINGO]])</f>
        <v>0</v>
      </c>
      <c r="T1469" s="59">
        <f t="shared" si="1"/>
        <v>0</v>
      </c>
    </row>
    <row r="1470" ht="22.5" customHeight="1">
      <c r="M1470" s="59">
        <f>SUMIFS(Eventos!$G:$G,Eventos!$F:$F,$L1470,Eventos!$D:$D,$C$2,Eventos!$B:$B,PANES_SEMANALES[[#ALL],[LUNES]])</f>
        <v>0</v>
      </c>
      <c r="N1470" s="59">
        <f>SUMIFS(Eventos!$G:$G,Eventos!$F:$F,$L1470,Eventos!$D:$D,$C$2,Eventos!$B:$B,PANES_SEMANALES[[#ALL],[MARTES]])</f>
        <v>0</v>
      </c>
      <c r="O1470" s="59">
        <f>SUMIFS(Eventos!$G:$G,Eventos!$F:$F,$L1470,Eventos!$D:$D,$C$2,Eventos!$B:$B,PANES_SEMANALES[[#ALL],[MIÉRCOLES]])</f>
        <v>0</v>
      </c>
      <c r="P1470" s="59">
        <f>SUMIFS(Eventos!$G:$G,Eventos!$F:$F,$L1470,Eventos!$D:$D,$C$2,Eventos!$B:$B,PANES_SEMANALES[[#ALL],[JUEVES]])</f>
        <v>0</v>
      </c>
      <c r="Q1470" s="59">
        <f>IF(P1470&lt;&gt;"",SUMIFS(Eventos!$G:$G,Eventos!$B:$B,Q$2,Eventos!$D:$D,$C$2,Eventos!$F:$F,$L1470),"")</f>
        <v>0</v>
      </c>
      <c r="R1470" s="59">
        <f>SUMIFS(Eventos!$G:$G,Eventos!$F:$F,$L1470,Eventos!$D:$D,$C$2,Eventos!$B:$B,PANES_SEMANALES[[#ALL],[SÁBADO]])</f>
        <v>0</v>
      </c>
      <c r="S1470" s="59">
        <f>SUMIFS(Eventos!$G:$G,Eventos!$F:$F,$L1470,Eventos!$D:$D,$C$2,Eventos!$B:$B,PANES_SEMANALES[[#ALL],[DOMINGO]])</f>
        <v>0</v>
      </c>
      <c r="T1470" s="59">
        <f t="shared" si="1"/>
        <v>0</v>
      </c>
    </row>
    <row r="1471" ht="22.5" customHeight="1">
      <c r="M1471" s="59">
        <f>SUMIFS(Eventos!$G:$G,Eventos!$F:$F,$L1471,Eventos!$D:$D,$C$2,Eventos!$B:$B,PANES_SEMANALES[[#ALL],[LUNES]])</f>
        <v>0</v>
      </c>
      <c r="N1471" s="59">
        <f>SUMIFS(Eventos!$G:$G,Eventos!$F:$F,$L1471,Eventos!$D:$D,$C$2,Eventos!$B:$B,PANES_SEMANALES[[#ALL],[MARTES]])</f>
        <v>0</v>
      </c>
      <c r="O1471" s="59">
        <f>SUMIFS(Eventos!$G:$G,Eventos!$F:$F,$L1471,Eventos!$D:$D,$C$2,Eventos!$B:$B,PANES_SEMANALES[[#ALL],[MIÉRCOLES]])</f>
        <v>0</v>
      </c>
      <c r="P1471" s="59">
        <f>SUMIFS(Eventos!$G:$G,Eventos!$F:$F,$L1471,Eventos!$D:$D,$C$2,Eventos!$B:$B,PANES_SEMANALES[[#ALL],[JUEVES]])</f>
        <v>0</v>
      </c>
      <c r="Q1471" s="59">
        <f>IF(P1471&lt;&gt;"",SUMIFS(Eventos!$G:$G,Eventos!$B:$B,Q$2,Eventos!$D:$D,$C$2,Eventos!$F:$F,$L1471),"")</f>
        <v>0</v>
      </c>
      <c r="R1471" s="59">
        <f>SUMIFS(Eventos!$G:$G,Eventos!$F:$F,$L1471,Eventos!$D:$D,$C$2,Eventos!$B:$B,PANES_SEMANALES[[#ALL],[SÁBADO]])</f>
        <v>0</v>
      </c>
      <c r="S1471" s="59">
        <f>SUMIFS(Eventos!$G:$G,Eventos!$F:$F,$L1471,Eventos!$D:$D,$C$2,Eventos!$B:$B,PANES_SEMANALES[[#ALL],[DOMINGO]])</f>
        <v>0</v>
      </c>
      <c r="T1471" s="59">
        <f t="shared" si="1"/>
        <v>0</v>
      </c>
    </row>
    <row r="1472" ht="22.5" customHeight="1">
      <c r="M1472" s="59">
        <f>SUMIFS(Eventos!$G:$G,Eventos!$F:$F,$L1472,Eventos!$D:$D,$C$2,Eventos!$B:$B,PANES_SEMANALES[[#ALL],[LUNES]])</f>
        <v>0</v>
      </c>
      <c r="N1472" s="59">
        <f>SUMIFS(Eventos!$G:$G,Eventos!$F:$F,$L1472,Eventos!$D:$D,$C$2,Eventos!$B:$B,PANES_SEMANALES[[#ALL],[MARTES]])</f>
        <v>0</v>
      </c>
      <c r="O1472" s="59">
        <f>SUMIFS(Eventos!$G:$G,Eventos!$F:$F,$L1472,Eventos!$D:$D,$C$2,Eventos!$B:$B,PANES_SEMANALES[[#ALL],[MIÉRCOLES]])</f>
        <v>0</v>
      </c>
      <c r="P1472" s="59">
        <f>SUMIFS(Eventos!$G:$G,Eventos!$F:$F,$L1472,Eventos!$D:$D,$C$2,Eventos!$B:$B,PANES_SEMANALES[[#ALL],[JUEVES]])</f>
        <v>0</v>
      </c>
      <c r="Q1472" s="59">
        <f>IF(P1472&lt;&gt;"",SUMIFS(Eventos!$G:$G,Eventos!$B:$B,Q$2,Eventos!$D:$D,$C$2,Eventos!$F:$F,$L1472),"")</f>
        <v>0</v>
      </c>
      <c r="R1472" s="59">
        <f>SUMIFS(Eventos!$G:$G,Eventos!$F:$F,$L1472,Eventos!$D:$D,$C$2,Eventos!$B:$B,PANES_SEMANALES[[#ALL],[SÁBADO]])</f>
        <v>0</v>
      </c>
      <c r="S1472" s="59">
        <f>SUMIFS(Eventos!$G:$G,Eventos!$F:$F,$L1472,Eventos!$D:$D,$C$2,Eventos!$B:$B,PANES_SEMANALES[[#ALL],[DOMINGO]])</f>
        <v>0</v>
      </c>
      <c r="T1472" s="59">
        <f t="shared" si="1"/>
        <v>0</v>
      </c>
    </row>
    <row r="1473" ht="22.5" customHeight="1">
      <c r="M1473" s="59">
        <f>SUMIFS(Eventos!$G:$G,Eventos!$F:$F,$L1473,Eventos!$D:$D,$C$2,Eventos!$B:$B,PANES_SEMANALES[[#ALL],[LUNES]])</f>
        <v>0</v>
      </c>
      <c r="N1473" s="59">
        <f>SUMIFS(Eventos!$G:$G,Eventos!$F:$F,$L1473,Eventos!$D:$D,$C$2,Eventos!$B:$B,PANES_SEMANALES[[#ALL],[MARTES]])</f>
        <v>0</v>
      </c>
      <c r="O1473" s="59">
        <f>SUMIFS(Eventos!$G:$G,Eventos!$F:$F,$L1473,Eventos!$D:$D,$C$2,Eventos!$B:$B,PANES_SEMANALES[[#ALL],[MIÉRCOLES]])</f>
        <v>0</v>
      </c>
      <c r="P1473" s="59">
        <f>SUMIFS(Eventos!$G:$G,Eventos!$F:$F,$L1473,Eventos!$D:$D,$C$2,Eventos!$B:$B,PANES_SEMANALES[[#ALL],[JUEVES]])</f>
        <v>0</v>
      </c>
      <c r="Q1473" s="59">
        <f>IF(P1473&lt;&gt;"",SUMIFS(Eventos!$G:$G,Eventos!$B:$B,Q$2,Eventos!$D:$D,$C$2,Eventos!$F:$F,$L1473),"")</f>
        <v>0</v>
      </c>
      <c r="R1473" s="59">
        <f>SUMIFS(Eventos!$G:$G,Eventos!$F:$F,$L1473,Eventos!$D:$D,$C$2,Eventos!$B:$B,PANES_SEMANALES[[#ALL],[SÁBADO]])</f>
        <v>0</v>
      </c>
      <c r="S1473" s="59">
        <f>SUMIFS(Eventos!$G:$G,Eventos!$F:$F,$L1473,Eventos!$D:$D,$C$2,Eventos!$B:$B,PANES_SEMANALES[[#ALL],[DOMINGO]])</f>
        <v>0</v>
      </c>
      <c r="T1473" s="59">
        <f t="shared" si="1"/>
        <v>0</v>
      </c>
    </row>
    <row r="1474" ht="22.5" customHeight="1">
      <c r="M1474" s="59">
        <f>SUMIFS(Eventos!$G:$G,Eventos!$F:$F,$L1474,Eventos!$D:$D,$C$2,Eventos!$B:$B,PANES_SEMANALES[[#ALL],[LUNES]])</f>
        <v>0</v>
      </c>
      <c r="N1474" s="59">
        <f>SUMIFS(Eventos!$G:$G,Eventos!$F:$F,$L1474,Eventos!$D:$D,$C$2,Eventos!$B:$B,PANES_SEMANALES[[#ALL],[MARTES]])</f>
        <v>0</v>
      </c>
      <c r="O1474" s="59">
        <f>SUMIFS(Eventos!$G:$G,Eventos!$F:$F,$L1474,Eventos!$D:$D,$C$2,Eventos!$B:$B,PANES_SEMANALES[[#ALL],[MIÉRCOLES]])</f>
        <v>0</v>
      </c>
      <c r="P1474" s="59">
        <f>SUMIFS(Eventos!$G:$G,Eventos!$F:$F,$L1474,Eventos!$D:$D,$C$2,Eventos!$B:$B,PANES_SEMANALES[[#ALL],[JUEVES]])</f>
        <v>0</v>
      </c>
      <c r="Q1474" s="59">
        <f>IF(P1474&lt;&gt;"",SUMIFS(Eventos!$G:$G,Eventos!$B:$B,Q$2,Eventos!$D:$D,$C$2,Eventos!$F:$F,$L1474),"")</f>
        <v>0</v>
      </c>
      <c r="R1474" s="59">
        <f>SUMIFS(Eventos!$G:$G,Eventos!$F:$F,$L1474,Eventos!$D:$D,$C$2,Eventos!$B:$B,PANES_SEMANALES[[#ALL],[SÁBADO]])</f>
        <v>0</v>
      </c>
      <c r="S1474" s="59">
        <f>SUMIFS(Eventos!$G:$G,Eventos!$F:$F,$L1474,Eventos!$D:$D,$C$2,Eventos!$B:$B,PANES_SEMANALES[[#ALL],[DOMINGO]])</f>
        <v>0</v>
      </c>
      <c r="T1474" s="59">
        <f t="shared" si="1"/>
        <v>0</v>
      </c>
    </row>
    <row r="1475" ht="22.5" customHeight="1">
      <c r="M1475" s="59">
        <f>SUMIFS(Eventos!$G:$G,Eventos!$F:$F,$L1475,Eventos!$D:$D,$C$2,Eventos!$B:$B,PANES_SEMANALES[[#ALL],[LUNES]])</f>
        <v>0</v>
      </c>
      <c r="N1475" s="59">
        <f>SUMIFS(Eventos!$G:$G,Eventos!$F:$F,$L1475,Eventos!$D:$D,$C$2,Eventos!$B:$B,PANES_SEMANALES[[#ALL],[MARTES]])</f>
        <v>0</v>
      </c>
      <c r="O1475" s="59">
        <f>SUMIFS(Eventos!$G:$G,Eventos!$F:$F,$L1475,Eventos!$D:$D,$C$2,Eventos!$B:$B,PANES_SEMANALES[[#ALL],[MIÉRCOLES]])</f>
        <v>0</v>
      </c>
      <c r="P1475" s="59">
        <f>SUMIFS(Eventos!$G:$G,Eventos!$F:$F,$L1475,Eventos!$D:$D,$C$2,Eventos!$B:$B,PANES_SEMANALES[[#ALL],[JUEVES]])</f>
        <v>0</v>
      </c>
      <c r="Q1475" s="59">
        <f>IF(P1475&lt;&gt;"",SUMIFS(Eventos!$G:$G,Eventos!$B:$B,Q$2,Eventos!$D:$D,$C$2,Eventos!$F:$F,$L1475),"")</f>
        <v>0</v>
      </c>
      <c r="R1475" s="59">
        <f>SUMIFS(Eventos!$G:$G,Eventos!$F:$F,$L1475,Eventos!$D:$D,$C$2,Eventos!$B:$B,PANES_SEMANALES[[#ALL],[SÁBADO]])</f>
        <v>0</v>
      </c>
      <c r="S1475" s="59">
        <f>SUMIFS(Eventos!$G:$G,Eventos!$F:$F,$L1475,Eventos!$D:$D,$C$2,Eventos!$B:$B,PANES_SEMANALES[[#ALL],[DOMINGO]])</f>
        <v>0</v>
      </c>
      <c r="T1475" s="59">
        <f t="shared" si="1"/>
        <v>0</v>
      </c>
    </row>
    <row r="1476" ht="22.5" customHeight="1">
      <c r="M1476" s="59">
        <f>SUMIFS(Eventos!$G:$G,Eventos!$F:$F,$L1476,Eventos!$D:$D,$C$2,Eventos!$B:$B,PANES_SEMANALES[[#ALL],[LUNES]])</f>
        <v>0</v>
      </c>
      <c r="N1476" s="59">
        <f>SUMIFS(Eventos!$G:$G,Eventos!$F:$F,$L1476,Eventos!$D:$D,$C$2,Eventos!$B:$B,PANES_SEMANALES[[#ALL],[MARTES]])</f>
        <v>0</v>
      </c>
      <c r="O1476" s="59">
        <f>SUMIFS(Eventos!$G:$G,Eventos!$F:$F,$L1476,Eventos!$D:$D,$C$2,Eventos!$B:$B,PANES_SEMANALES[[#ALL],[MIÉRCOLES]])</f>
        <v>0</v>
      </c>
      <c r="P1476" s="59">
        <f>SUMIFS(Eventos!$G:$G,Eventos!$F:$F,$L1476,Eventos!$D:$D,$C$2,Eventos!$B:$B,PANES_SEMANALES[[#ALL],[JUEVES]])</f>
        <v>0</v>
      </c>
      <c r="Q1476" s="59">
        <f>IF(P1476&lt;&gt;"",SUMIFS(Eventos!$G:$G,Eventos!$B:$B,Q$2,Eventos!$D:$D,$C$2,Eventos!$F:$F,$L1476),"")</f>
        <v>0</v>
      </c>
      <c r="R1476" s="59">
        <f>SUMIFS(Eventos!$G:$G,Eventos!$F:$F,$L1476,Eventos!$D:$D,$C$2,Eventos!$B:$B,PANES_SEMANALES[[#ALL],[SÁBADO]])</f>
        <v>0</v>
      </c>
      <c r="S1476" s="59">
        <f>SUMIFS(Eventos!$G:$G,Eventos!$F:$F,$L1476,Eventos!$D:$D,$C$2,Eventos!$B:$B,PANES_SEMANALES[[#ALL],[DOMINGO]])</f>
        <v>0</v>
      </c>
      <c r="T1476" s="59">
        <f t="shared" si="1"/>
        <v>0</v>
      </c>
    </row>
    <row r="1477" ht="22.5" customHeight="1">
      <c r="M1477" s="59">
        <f>SUMIFS(Eventos!$G:$G,Eventos!$F:$F,$L1477,Eventos!$D:$D,$C$2,Eventos!$B:$B,PANES_SEMANALES[[#ALL],[LUNES]])</f>
        <v>0</v>
      </c>
      <c r="N1477" s="59">
        <f>SUMIFS(Eventos!$G:$G,Eventos!$F:$F,$L1477,Eventos!$D:$D,$C$2,Eventos!$B:$B,PANES_SEMANALES[[#ALL],[MARTES]])</f>
        <v>0</v>
      </c>
      <c r="O1477" s="59">
        <f>SUMIFS(Eventos!$G:$G,Eventos!$F:$F,$L1477,Eventos!$D:$D,$C$2,Eventos!$B:$B,PANES_SEMANALES[[#ALL],[MIÉRCOLES]])</f>
        <v>0</v>
      </c>
      <c r="P1477" s="59">
        <f>SUMIFS(Eventos!$G:$G,Eventos!$F:$F,$L1477,Eventos!$D:$D,$C$2,Eventos!$B:$B,PANES_SEMANALES[[#ALL],[JUEVES]])</f>
        <v>0</v>
      </c>
      <c r="Q1477" s="59">
        <f>IF(P1477&lt;&gt;"",SUMIFS(Eventos!$G:$G,Eventos!$B:$B,Q$2,Eventos!$D:$D,$C$2,Eventos!$F:$F,$L1477),"")</f>
        <v>0</v>
      </c>
      <c r="R1477" s="59">
        <f>SUMIFS(Eventos!$G:$G,Eventos!$F:$F,$L1477,Eventos!$D:$D,$C$2,Eventos!$B:$B,PANES_SEMANALES[[#ALL],[SÁBADO]])</f>
        <v>0</v>
      </c>
      <c r="S1477" s="59">
        <f>SUMIFS(Eventos!$G:$G,Eventos!$F:$F,$L1477,Eventos!$D:$D,$C$2,Eventos!$B:$B,PANES_SEMANALES[[#ALL],[DOMINGO]])</f>
        <v>0</v>
      </c>
      <c r="T1477" s="59">
        <f t="shared" si="1"/>
        <v>0</v>
      </c>
    </row>
    <row r="1478" ht="22.5" customHeight="1">
      <c r="M1478" s="59">
        <f>SUMIFS(Eventos!$G:$G,Eventos!$F:$F,$L1478,Eventos!$D:$D,$C$2,Eventos!$B:$B,PANES_SEMANALES[[#ALL],[LUNES]])</f>
        <v>0</v>
      </c>
      <c r="N1478" s="59">
        <f>SUMIFS(Eventos!$G:$G,Eventos!$F:$F,$L1478,Eventos!$D:$D,$C$2,Eventos!$B:$B,PANES_SEMANALES[[#ALL],[MARTES]])</f>
        <v>0</v>
      </c>
      <c r="O1478" s="59">
        <f>SUMIFS(Eventos!$G:$G,Eventos!$F:$F,$L1478,Eventos!$D:$D,$C$2,Eventos!$B:$B,PANES_SEMANALES[[#ALL],[MIÉRCOLES]])</f>
        <v>0</v>
      </c>
      <c r="P1478" s="59">
        <f>SUMIFS(Eventos!$G:$G,Eventos!$F:$F,$L1478,Eventos!$D:$D,$C$2,Eventos!$B:$B,PANES_SEMANALES[[#ALL],[JUEVES]])</f>
        <v>0</v>
      </c>
      <c r="Q1478" s="59">
        <f>IF(P1478&lt;&gt;"",SUMIFS(Eventos!$G:$G,Eventos!$B:$B,Q$2,Eventos!$D:$D,$C$2,Eventos!$F:$F,$L1478),"")</f>
        <v>0</v>
      </c>
      <c r="R1478" s="59">
        <f>SUMIFS(Eventos!$G:$G,Eventos!$F:$F,$L1478,Eventos!$D:$D,$C$2,Eventos!$B:$B,PANES_SEMANALES[[#ALL],[SÁBADO]])</f>
        <v>0</v>
      </c>
      <c r="S1478" s="59">
        <f>SUMIFS(Eventos!$G:$G,Eventos!$F:$F,$L1478,Eventos!$D:$D,$C$2,Eventos!$B:$B,PANES_SEMANALES[[#ALL],[DOMINGO]])</f>
        <v>0</v>
      </c>
      <c r="T1478" s="59">
        <f t="shared" si="1"/>
        <v>0</v>
      </c>
    </row>
    <row r="1479" ht="22.5" customHeight="1">
      <c r="M1479" s="59">
        <f>SUMIFS(Eventos!$G:$G,Eventos!$F:$F,$L1479,Eventos!$D:$D,$C$2,Eventos!$B:$B,PANES_SEMANALES[[#ALL],[LUNES]])</f>
        <v>0</v>
      </c>
      <c r="N1479" s="59">
        <f>SUMIFS(Eventos!$G:$G,Eventos!$F:$F,$L1479,Eventos!$D:$D,$C$2,Eventos!$B:$B,PANES_SEMANALES[[#ALL],[MARTES]])</f>
        <v>0</v>
      </c>
      <c r="O1479" s="59">
        <f>SUMIFS(Eventos!$G:$G,Eventos!$F:$F,$L1479,Eventos!$D:$D,$C$2,Eventos!$B:$B,PANES_SEMANALES[[#ALL],[MIÉRCOLES]])</f>
        <v>0</v>
      </c>
      <c r="P1479" s="59">
        <f>SUMIFS(Eventos!$G:$G,Eventos!$F:$F,$L1479,Eventos!$D:$D,$C$2,Eventos!$B:$B,PANES_SEMANALES[[#ALL],[JUEVES]])</f>
        <v>0</v>
      </c>
      <c r="Q1479" s="59">
        <f>IF(P1479&lt;&gt;"",SUMIFS(Eventos!$G:$G,Eventos!$B:$B,Q$2,Eventos!$D:$D,$C$2,Eventos!$F:$F,$L1479),"")</f>
        <v>0</v>
      </c>
      <c r="R1479" s="59">
        <f>SUMIFS(Eventos!$G:$G,Eventos!$F:$F,$L1479,Eventos!$D:$D,$C$2,Eventos!$B:$B,PANES_SEMANALES[[#ALL],[SÁBADO]])</f>
        <v>0</v>
      </c>
      <c r="S1479" s="59">
        <f>SUMIFS(Eventos!$G:$G,Eventos!$F:$F,$L1479,Eventos!$D:$D,$C$2,Eventos!$B:$B,PANES_SEMANALES[[#ALL],[DOMINGO]])</f>
        <v>0</v>
      </c>
      <c r="T1479" s="59">
        <f t="shared" si="1"/>
        <v>0</v>
      </c>
    </row>
    <row r="1480" ht="22.5" customHeight="1">
      <c r="M1480" s="59">
        <f>SUMIFS(Eventos!$G:$G,Eventos!$F:$F,$L1480,Eventos!$D:$D,$C$2,Eventos!$B:$B,PANES_SEMANALES[[#ALL],[LUNES]])</f>
        <v>0</v>
      </c>
      <c r="N1480" s="59">
        <f>SUMIFS(Eventos!$G:$G,Eventos!$F:$F,$L1480,Eventos!$D:$D,$C$2,Eventos!$B:$B,PANES_SEMANALES[[#ALL],[MARTES]])</f>
        <v>0</v>
      </c>
      <c r="O1480" s="59">
        <f>SUMIFS(Eventos!$G:$G,Eventos!$F:$F,$L1480,Eventos!$D:$D,$C$2,Eventos!$B:$B,PANES_SEMANALES[[#ALL],[MIÉRCOLES]])</f>
        <v>0</v>
      </c>
      <c r="P1480" s="59">
        <f>SUMIFS(Eventos!$G:$G,Eventos!$F:$F,$L1480,Eventos!$D:$D,$C$2,Eventos!$B:$B,PANES_SEMANALES[[#ALL],[JUEVES]])</f>
        <v>0</v>
      </c>
      <c r="Q1480" s="59">
        <f>IF(P1480&lt;&gt;"",SUMIFS(Eventos!$G:$G,Eventos!$B:$B,Q$2,Eventos!$D:$D,$C$2,Eventos!$F:$F,$L1480),"")</f>
        <v>0</v>
      </c>
      <c r="R1480" s="59">
        <f>SUMIFS(Eventos!$G:$G,Eventos!$F:$F,$L1480,Eventos!$D:$D,$C$2,Eventos!$B:$B,PANES_SEMANALES[[#ALL],[SÁBADO]])</f>
        <v>0</v>
      </c>
      <c r="S1480" s="59">
        <f>SUMIFS(Eventos!$G:$G,Eventos!$F:$F,$L1480,Eventos!$D:$D,$C$2,Eventos!$B:$B,PANES_SEMANALES[[#ALL],[DOMINGO]])</f>
        <v>0</v>
      </c>
      <c r="T1480" s="59">
        <f t="shared" si="1"/>
        <v>0</v>
      </c>
    </row>
    <row r="1481" ht="22.5" customHeight="1">
      <c r="M1481" s="59">
        <f>SUMIFS(Eventos!$G:$G,Eventos!$F:$F,$L1481,Eventos!$D:$D,$C$2,Eventos!$B:$B,PANES_SEMANALES[[#ALL],[LUNES]])</f>
        <v>0</v>
      </c>
      <c r="N1481" s="59">
        <f>SUMIFS(Eventos!$G:$G,Eventos!$F:$F,$L1481,Eventos!$D:$D,$C$2,Eventos!$B:$B,PANES_SEMANALES[[#ALL],[MARTES]])</f>
        <v>0</v>
      </c>
      <c r="O1481" s="59">
        <f>SUMIFS(Eventos!$G:$G,Eventos!$F:$F,$L1481,Eventos!$D:$D,$C$2,Eventos!$B:$B,PANES_SEMANALES[[#ALL],[MIÉRCOLES]])</f>
        <v>0</v>
      </c>
      <c r="P1481" s="59">
        <f>SUMIFS(Eventos!$G:$G,Eventos!$F:$F,$L1481,Eventos!$D:$D,$C$2,Eventos!$B:$B,PANES_SEMANALES[[#ALL],[JUEVES]])</f>
        <v>0</v>
      </c>
      <c r="Q1481" s="59">
        <f>IF(P1481&lt;&gt;"",SUMIFS(Eventos!$G:$G,Eventos!$B:$B,Q$2,Eventos!$D:$D,$C$2,Eventos!$F:$F,$L1481),"")</f>
        <v>0</v>
      </c>
      <c r="R1481" s="59">
        <f>SUMIFS(Eventos!$G:$G,Eventos!$F:$F,$L1481,Eventos!$D:$D,$C$2,Eventos!$B:$B,PANES_SEMANALES[[#ALL],[SÁBADO]])</f>
        <v>0</v>
      </c>
      <c r="S1481" s="59">
        <f>SUMIFS(Eventos!$G:$G,Eventos!$F:$F,$L1481,Eventos!$D:$D,$C$2,Eventos!$B:$B,PANES_SEMANALES[[#ALL],[DOMINGO]])</f>
        <v>0</v>
      </c>
      <c r="T1481" s="59">
        <f t="shared" si="1"/>
        <v>0</v>
      </c>
    </row>
    <row r="1482" ht="22.5" customHeight="1">
      <c r="M1482" s="59">
        <f>SUMIFS(Eventos!$G:$G,Eventos!$F:$F,$L1482,Eventos!$D:$D,$C$2,Eventos!$B:$B,PANES_SEMANALES[[#ALL],[LUNES]])</f>
        <v>0</v>
      </c>
      <c r="N1482" s="59">
        <f>SUMIFS(Eventos!$G:$G,Eventos!$F:$F,$L1482,Eventos!$D:$D,$C$2,Eventos!$B:$B,PANES_SEMANALES[[#ALL],[MARTES]])</f>
        <v>0</v>
      </c>
      <c r="O1482" s="59">
        <f>SUMIFS(Eventos!$G:$G,Eventos!$F:$F,$L1482,Eventos!$D:$D,$C$2,Eventos!$B:$B,PANES_SEMANALES[[#ALL],[MIÉRCOLES]])</f>
        <v>0</v>
      </c>
      <c r="P1482" s="59">
        <f>SUMIFS(Eventos!$G:$G,Eventos!$F:$F,$L1482,Eventos!$D:$D,$C$2,Eventos!$B:$B,PANES_SEMANALES[[#ALL],[JUEVES]])</f>
        <v>0</v>
      </c>
      <c r="Q1482" s="59">
        <f>IF(P1482&lt;&gt;"",SUMIFS(Eventos!$G:$G,Eventos!$B:$B,Q$2,Eventos!$D:$D,$C$2,Eventos!$F:$F,$L1482),"")</f>
        <v>0</v>
      </c>
      <c r="R1482" s="59">
        <f>SUMIFS(Eventos!$G:$G,Eventos!$F:$F,$L1482,Eventos!$D:$D,$C$2,Eventos!$B:$B,PANES_SEMANALES[[#ALL],[SÁBADO]])</f>
        <v>0</v>
      </c>
      <c r="S1482" s="59">
        <f>SUMIFS(Eventos!$G:$G,Eventos!$F:$F,$L1482,Eventos!$D:$D,$C$2,Eventos!$B:$B,PANES_SEMANALES[[#ALL],[DOMINGO]])</f>
        <v>0</v>
      </c>
      <c r="T1482" s="59">
        <f t="shared" si="1"/>
        <v>0</v>
      </c>
    </row>
    <row r="1483" ht="22.5" customHeight="1">
      <c r="M1483" s="59">
        <f>SUMIFS(Eventos!$G:$G,Eventos!$F:$F,$L1483,Eventos!$D:$D,$C$2,Eventos!$B:$B,PANES_SEMANALES[[#ALL],[LUNES]])</f>
        <v>0</v>
      </c>
      <c r="N1483" s="59">
        <f>SUMIFS(Eventos!$G:$G,Eventos!$F:$F,$L1483,Eventos!$D:$D,$C$2,Eventos!$B:$B,PANES_SEMANALES[[#ALL],[MARTES]])</f>
        <v>0</v>
      </c>
      <c r="O1483" s="59">
        <f>SUMIFS(Eventos!$G:$G,Eventos!$F:$F,$L1483,Eventos!$D:$D,$C$2,Eventos!$B:$B,PANES_SEMANALES[[#ALL],[MIÉRCOLES]])</f>
        <v>0</v>
      </c>
      <c r="P1483" s="59">
        <f>SUMIFS(Eventos!$G:$G,Eventos!$F:$F,$L1483,Eventos!$D:$D,$C$2,Eventos!$B:$B,PANES_SEMANALES[[#ALL],[JUEVES]])</f>
        <v>0</v>
      </c>
      <c r="Q1483" s="59">
        <f>IF(P1483&lt;&gt;"",SUMIFS(Eventos!$G:$G,Eventos!$B:$B,Q$2,Eventos!$D:$D,$C$2,Eventos!$F:$F,$L1483),"")</f>
        <v>0</v>
      </c>
      <c r="R1483" s="59">
        <f>SUMIFS(Eventos!$G:$G,Eventos!$F:$F,$L1483,Eventos!$D:$D,$C$2,Eventos!$B:$B,PANES_SEMANALES[[#ALL],[SÁBADO]])</f>
        <v>0</v>
      </c>
      <c r="S1483" s="59">
        <f>SUMIFS(Eventos!$G:$G,Eventos!$F:$F,$L1483,Eventos!$D:$D,$C$2,Eventos!$B:$B,PANES_SEMANALES[[#ALL],[DOMINGO]])</f>
        <v>0</v>
      </c>
      <c r="T1483" s="59">
        <f t="shared" si="1"/>
        <v>0</v>
      </c>
    </row>
    <row r="1484" ht="22.5" customHeight="1">
      <c r="M1484" s="59">
        <f>SUMIFS(Eventos!$G:$G,Eventos!$F:$F,$L1484,Eventos!$D:$D,$C$2,Eventos!$B:$B,PANES_SEMANALES[[#ALL],[LUNES]])</f>
        <v>0</v>
      </c>
      <c r="N1484" s="59">
        <f>SUMIFS(Eventos!$G:$G,Eventos!$F:$F,$L1484,Eventos!$D:$D,$C$2,Eventos!$B:$B,PANES_SEMANALES[[#ALL],[MARTES]])</f>
        <v>0</v>
      </c>
      <c r="O1484" s="59">
        <f>SUMIFS(Eventos!$G:$G,Eventos!$F:$F,$L1484,Eventos!$D:$D,$C$2,Eventos!$B:$B,PANES_SEMANALES[[#ALL],[MIÉRCOLES]])</f>
        <v>0</v>
      </c>
      <c r="P1484" s="59">
        <f>SUMIFS(Eventos!$G:$G,Eventos!$F:$F,$L1484,Eventos!$D:$D,$C$2,Eventos!$B:$B,PANES_SEMANALES[[#ALL],[JUEVES]])</f>
        <v>0</v>
      </c>
      <c r="Q1484" s="59">
        <f>IF(P1484&lt;&gt;"",SUMIFS(Eventos!$G:$G,Eventos!$B:$B,Q$2,Eventos!$D:$D,$C$2,Eventos!$F:$F,$L1484),"")</f>
        <v>0</v>
      </c>
      <c r="R1484" s="59">
        <f>SUMIFS(Eventos!$G:$G,Eventos!$F:$F,$L1484,Eventos!$D:$D,$C$2,Eventos!$B:$B,PANES_SEMANALES[[#ALL],[SÁBADO]])</f>
        <v>0</v>
      </c>
      <c r="S1484" s="59">
        <f>SUMIFS(Eventos!$G:$G,Eventos!$F:$F,$L1484,Eventos!$D:$D,$C$2,Eventos!$B:$B,PANES_SEMANALES[[#ALL],[DOMINGO]])</f>
        <v>0</v>
      </c>
      <c r="T1484" s="59">
        <f t="shared" si="1"/>
        <v>0</v>
      </c>
    </row>
    <row r="1485" ht="22.5" customHeight="1">
      <c r="M1485" s="59">
        <f>SUMIFS(Eventos!$G:$G,Eventos!$F:$F,$L1485,Eventos!$D:$D,$C$2,Eventos!$B:$B,PANES_SEMANALES[[#ALL],[LUNES]])</f>
        <v>0</v>
      </c>
      <c r="N1485" s="59">
        <f>SUMIFS(Eventos!$G:$G,Eventos!$F:$F,$L1485,Eventos!$D:$D,$C$2,Eventos!$B:$B,PANES_SEMANALES[[#ALL],[MARTES]])</f>
        <v>0</v>
      </c>
      <c r="O1485" s="59">
        <f>SUMIFS(Eventos!$G:$G,Eventos!$F:$F,$L1485,Eventos!$D:$D,$C$2,Eventos!$B:$B,PANES_SEMANALES[[#ALL],[MIÉRCOLES]])</f>
        <v>0</v>
      </c>
      <c r="P1485" s="59">
        <f>SUMIFS(Eventos!$G:$G,Eventos!$F:$F,$L1485,Eventos!$D:$D,$C$2,Eventos!$B:$B,PANES_SEMANALES[[#ALL],[JUEVES]])</f>
        <v>0</v>
      </c>
      <c r="Q1485" s="59">
        <f>IF(P1485&lt;&gt;"",SUMIFS(Eventos!$G:$G,Eventos!$B:$B,Q$2,Eventos!$D:$D,$C$2,Eventos!$F:$F,$L1485),"")</f>
        <v>0</v>
      </c>
      <c r="R1485" s="59">
        <f>SUMIFS(Eventos!$G:$G,Eventos!$F:$F,$L1485,Eventos!$D:$D,$C$2,Eventos!$B:$B,PANES_SEMANALES[[#ALL],[SÁBADO]])</f>
        <v>0</v>
      </c>
      <c r="S1485" s="59">
        <f>SUMIFS(Eventos!$G:$G,Eventos!$F:$F,$L1485,Eventos!$D:$D,$C$2,Eventos!$B:$B,PANES_SEMANALES[[#ALL],[DOMINGO]])</f>
        <v>0</v>
      </c>
      <c r="T1485" s="59">
        <f t="shared" si="1"/>
        <v>0</v>
      </c>
    </row>
    <row r="1486" ht="22.5" customHeight="1">
      <c r="M1486" s="59">
        <f>SUMIFS(Eventos!$G:$G,Eventos!$F:$F,$L1486,Eventos!$D:$D,$C$2,Eventos!$B:$B,PANES_SEMANALES[[#ALL],[LUNES]])</f>
        <v>0</v>
      </c>
      <c r="N1486" s="59">
        <f>SUMIFS(Eventos!$G:$G,Eventos!$F:$F,$L1486,Eventos!$D:$D,$C$2,Eventos!$B:$B,PANES_SEMANALES[[#ALL],[MARTES]])</f>
        <v>0</v>
      </c>
      <c r="O1486" s="59">
        <f>SUMIFS(Eventos!$G:$G,Eventos!$F:$F,$L1486,Eventos!$D:$D,$C$2,Eventos!$B:$B,PANES_SEMANALES[[#ALL],[MIÉRCOLES]])</f>
        <v>0</v>
      </c>
      <c r="P1486" s="59">
        <f>SUMIFS(Eventos!$G:$G,Eventos!$F:$F,$L1486,Eventos!$D:$D,$C$2,Eventos!$B:$B,PANES_SEMANALES[[#ALL],[JUEVES]])</f>
        <v>0</v>
      </c>
      <c r="Q1486" s="59">
        <f>IF(P1486&lt;&gt;"",SUMIFS(Eventos!$G:$G,Eventos!$B:$B,Q$2,Eventos!$D:$D,$C$2,Eventos!$F:$F,$L1486),"")</f>
        <v>0</v>
      </c>
      <c r="R1486" s="59">
        <f>SUMIFS(Eventos!$G:$G,Eventos!$F:$F,$L1486,Eventos!$D:$D,$C$2,Eventos!$B:$B,PANES_SEMANALES[[#ALL],[SÁBADO]])</f>
        <v>0</v>
      </c>
      <c r="S1486" s="59">
        <f>SUMIFS(Eventos!$G:$G,Eventos!$F:$F,$L1486,Eventos!$D:$D,$C$2,Eventos!$B:$B,PANES_SEMANALES[[#ALL],[DOMINGO]])</f>
        <v>0</v>
      </c>
      <c r="T1486" s="59">
        <f t="shared" si="1"/>
        <v>0</v>
      </c>
    </row>
    <row r="1487" ht="22.5" customHeight="1">
      <c r="M1487" s="59">
        <f>SUMIFS(Eventos!$G:$G,Eventos!$F:$F,$L1487,Eventos!$D:$D,$C$2,Eventos!$B:$B,PANES_SEMANALES[[#ALL],[LUNES]])</f>
        <v>0</v>
      </c>
      <c r="N1487" s="59">
        <f>SUMIFS(Eventos!$G:$G,Eventos!$F:$F,$L1487,Eventos!$D:$D,$C$2,Eventos!$B:$B,PANES_SEMANALES[[#ALL],[MARTES]])</f>
        <v>0</v>
      </c>
      <c r="O1487" s="59">
        <f>SUMIFS(Eventos!$G:$G,Eventos!$F:$F,$L1487,Eventos!$D:$D,$C$2,Eventos!$B:$B,PANES_SEMANALES[[#ALL],[MIÉRCOLES]])</f>
        <v>0</v>
      </c>
      <c r="P1487" s="59">
        <f>SUMIFS(Eventos!$G:$G,Eventos!$F:$F,$L1487,Eventos!$D:$D,$C$2,Eventos!$B:$B,PANES_SEMANALES[[#ALL],[JUEVES]])</f>
        <v>0</v>
      </c>
      <c r="Q1487" s="59">
        <f>IF(P1487&lt;&gt;"",SUMIFS(Eventos!$G:$G,Eventos!$B:$B,Q$2,Eventos!$D:$D,$C$2,Eventos!$F:$F,$L1487),"")</f>
        <v>0</v>
      </c>
      <c r="R1487" s="59">
        <f>SUMIFS(Eventos!$G:$G,Eventos!$F:$F,$L1487,Eventos!$D:$D,$C$2,Eventos!$B:$B,PANES_SEMANALES[[#ALL],[SÁBADO]])</f>
        <v>0</v>
      </c>
      <c r="S1487" s="59">
        <f>SUMIFS(Eventos!$G:$G,Eventos!$F:$F,$L1487,Eventos!$D:$D,$C$2,Eventos!$B:$B,PANES_SEMANALES[[#ALL],[DOMINGO]])</f>
        <v>0</v>
      </c>
      <c r="T1487" s="59">
        <f t="shared" si="1"/>
        <v>0</v>
      </c>
    </row>
    <row r="1488" ht="22.5" customHeight="1">
      <c r="M1488" s="59">
        <f>SUMIFS(Eventos!$G:$G,Eventos!$F:$F,$L1488,Eventos!$D:$D,$C$2,Eventos!$B:$B,PANES_SEMANALES[[#ALL],[LUNES]])</f>
        <v>0</v>
      </c>
      <c r="N1488" s="59">
        <f>SUMIFS(Eventos!$G:$G,Eventos!$F:$F,$L1488,Eventos!$D:$D,$C$2,Eventos!$B:$B,PANES_SEMANALES[[#ALL],[MARTES]])</f>
        <v>0</v>
      </c>
      <c r="O1488" s="59">
        <f>SUMIFS(Eventos!$G:$G,Eventos!$F:$F,$L1488,Eventos!$D:$D,$C$2,Eventos!$B:$B,PANES_SEMANALES[[#ALL],[MIÉRCOLES]])</f>
        <v>0</v>
      </c>
      <c r="P1488" s="59">
        <f>SUMIFS(Eventos!$G:$G,Eventos!$F:$F,$L1488,Eventos!$D:$D,$C$2,Eventos!$B:$B,PANES_SEMANALES[[#ALL],[JUEVES]])</f>
        <v>0</v>
      </c>
      <c r="Q1488" s="59">
        <f>IF(P1488&lt;&gt;"",SUMIFS(Eventos!$G:$G,Eventos!$B:$B,Q$2,Eventos!$D:$D,$C$2,Eventos!$F:$F,$L1488),"")</f>
        <v>0</v>
      </c>
      <c r="R1488" s="59">
        <f>SUMIFS(Eventos!$G:$G,Eventos!$F:$F,$L1488,Eventos!$D:$D,$C$2,Eventos!$B:$B,PANES_SEMANALES[[#ALL],[SÁBADO]])</f>
        <v>0</v>
      </c>
      <c r="S1488" s="59">
        <f>SUMIFS(Eventos!$G:$G,Eventos!$F:$F,$L1488,Eventos!$D:$D,$C$2,Eventos!$B:$B,PANES_SEMANALES[[#ALL],[DOMINGO]])</f>
        <v>0</v>
      </c>
      <c r="T1488" s="59">
        <f t="shared" si="1"/>
        <v>0</v>
      </c>
    </row>
    <row r="1489" ht="22.5" customHeight="1">
      <c r="M1489" s="59">
        <f>SUMIFS(Eventos!$G:$G,Eventos!$F:$F,$L1489,Eventos!$D:$D,$C$2,Eventos!$B:$B,PANES_SEMANALES[[#ALL],[LUNES]])</f>
        <v>0</v>
      </c>
      <c r="N1489" s="59">
        <f>SUMIFS(Eventos!$G:$G,Eventos!$F:$F,$L1489,Eventos!$D:$D,$C$2,Eventos!$B:$B,PANES_SEMANALES[[#ALL],[MARTES]])</f>
        <v>0</v>
      </c>
      <c r="O1489" s="59">
        <f>SUMIFS(Eventos!$G:$G,Eventos!$F:$F,$L1489,Eventos!$D:$D,$C$2,Eventos!$B:$B,PANES_SEMANALES[[#ALL],[MIÉRCOLES]])</f>
        <v>0</v>
      </c>
      <c r="P1489" s="59">
        <f>SUMIFS(Eventos!$G:$G,Eventos!$F:$F,$L1489,Eventos!$D:$D,$C$2,Eventos!$B:$B,PANES_SEMANALES[[#ALL],[JUEVES]])</f>
        <v>0</v>
      </c>
      <c r="Q1489" s="59">
        <f>IF(P1489&lt;&gt;"",SUMIFS(Eventos!$G:$G,Eventos!$B:$B,Q$2,Eventos!$D:$D,$C$2,Eventos!$F:$F,$L1489),"")</f>
        <v>0</v>
      </c>
      <c r="R1489" s="59">
        <f>SUMIFS(Eventos!$G:$G,Eventos!$F:$F,$L1489,Eventos!$D:$D,$C$2,Eventos!$B:$B,PANES_SEMANALES[[#ALL],[SÁBADO]])</f>
        <v>0</v>
      </c>
      <c r="S1489" s="59">
        <f>SUMIFS(Eventos!$G:$G,Eventos!$F:$F,$L1489,Eventos!$D:$D,$C$2,Eventos!$B:$B,PANES_SEMANALES[[#ALL],[DOMINGO]])</f>
        <v>0</v>
      </c>
      <c r="T1489" s="59">
        <f t="shared" si="1"/>
        <v>0</v>
      </c>
    </row>
    <row r="1490" ht="22.5" customHeight="1">
      <c r="M1490" s="59">
        <f>SUMIFS(Eventos!$G:$G,Eventos!$F:$F,$L1490,Eventos!$D:$D,$C$2,Eventos!$B:$B,PANES_SEMANALES[[#ALL],[LUNES]])</f>
        <v>0</v>
      </c>
      <c r="N1490" s="59">
        <f>SUMIFS(Eventos!$G:$G,Eventos!$F:$F,$L1490,Eventos!$D:$D,$C$2,Eventos!$B:$B,PANES_SEMANALES[[#ALL],[MARTES]])</f>
        <v>0</v>
      </c>
      <c r="O1490" s="59">
        <f>SUMIFS(Eventos!$G:$G,Eventos!$F:$F,$L1490,Eventos!$D:$D,$C$2,Eventos!$B:$B,PANES_SEMANALES[[#ALL],[MIÉRCOLES]])</f>
        <v>0</v>
      </c>
      <c r="P1490" s="59">
        <f>SUMIFS(Eventos!$G:$G,Eventos!$F:$F,$L1490,Eventos!$D:$D,$C$2,Eventos!$B:$B,PANES_SEMANALES[[#ALL],[JUEVES]])</f>
        <v>0</v>
      </c>
      <c r="Q1490" s="59">
        <f>IF(P1490&lt;&gt;"",SUMIFS(Eventos!$G:$G,Eventos!$B:$B,Q$2,Eventos!$D:$D,$C$2,Eventos!$F:$F,$L1490),"")</f>
        <v>0</v>
      </c>
      <c r="R1490" s="59">
        <f>SUMIFS(Eventos!$G:$G,Eventos!$F:$F,$L1490,Eventos!$D:$D,$C$2,Eventos!$B:$B,PANES_SEMANALES[[#ALL],[SÁBADO]])</f>
        <v>0</v>
      </c>
      <c r="S1490" s="59">
        <f>SUMIFS(Eventos!$G:$G,Eventos!$F:$F,$L1490,Eventos!$D:$D,$C$2,Eventos!$B:$B,PANES_SEMANALES[[#ALL],[DOMINGO]])</f>
        <v>0</v>
      </c>
      <c r="T1490" s="59">
        <f t="shared" si="1"/>
        <v>0</v>
      </c>
    </row>
    <row r="1491" ht="22.5" customHeight="1">
      <c r="M1491" s="59">
        <f>SUMIFS(Eventos!$G:$G,Eventos!$F:$F,$L1491,Eventos!$D:$D,$C$2,Eventos!$B:$B,PANES_SEMANALES[[#ALL],[LUNES]])</f>
        <v>0</v>
      </c>
      <c r="N1491" s="59">
        <f>SUMIFS(Eventos!$G:$G,Eventos!$F:$F,$L1491,Eventos!$D:$D,$C$2,Eventos!$B:$B,PANES_SEMANALES[[#ALL],[MARTES]])</f>
        <v>0</v>
      </c>
      <c r="O1491" s="59">
        <f>SUMIFS(Eventos!$G:$G,Eventos!$F:$F,$L1491,Eventos!$D:$D,$C$2,Eventos!$B:$B,PANES_SEMANALES[[#ALL],[MIÉRCOLES]])</f>
        <v>0</v>
      </c>
      <c r="P1491" s="59">
        <f>SUMIFS(Eventos!$G:$G,Eventos!$F:$F,$L1491,Eventos!$D:$D,$C$2,Eventos!$B:$B,PANES_SEMANALES[[#ALL],[JUEVES]])</f>
        <v>0</v>
      </c>
      <c r="Q1491" s="59">
        <f>IF(P1491&lt;&gt;"",SUMIFS(Eventos!$G:$G,Eventos!$B:$B,Q$2,Eventos!$D:$D,$C$2,Eventos!$F:$F,$L1491),"")</f>
        <v>0</v>
      </c>
      <c r="R1491" s="59">
        <f>SUMIFS(Eventos!$G:$G,Eventos!$F:$F,$L1491,Eventos!$D:$D,$C$2,Eventos!$B:$B,PANES_SEMANALES[[#ALL],[SÁBADO]])</f>
        <v>0</v>
      </c>
      <c r="S1491" s="59">
        <f>SUMIFS(Eventos!$G:$G,Eventos!$F:$F,$L1491,Eventos!$D:$D,$C$2,Eventos!$B:$B,PANES_SEMANALES[[#ALL],[DOMINGO]])</f>
        <v>0</v>
      </c>
      <c r="T1491" s="59">
        <f t="shared" si="1"/>
        <v>0</v>
      </c>
    </row>
    <row r="1492" ht="22.5" customHeight="1">
      <c r="M1492" s="59">
        <f>SUMIFS(Eventos!$G:$G,Eventos!$F:$F,$L1492,Eventos!$D:$D,$C$2,Eventos!$B:$B,PANES_SEMANALES[[#ALL],[LUNES]])</f>
        <v>0</v>
      </c>
      <c r="N1492" s="59">
        <f>SUMIFS(Eventos!$G:$G,Eventos!$F:$F,$L1492,Eventos!$D:$D,$C$2,Eventos!$B:$B,PANES_SEMANALES[[#ALL],[MARTES]])</f>
        <v>0</v>
      </c>
      <c r="O1492" s="59">
        <f>SUMIFS(Eventos!$G:$G,Eventos!$F:$F,$L1492,Eventos!$D:$D,$C$2,Eventos!$B:$B,PANES_SEMANALES[[#ALL],[MIÉRCOLES]])</f>
        <v>0</v>
      </c>
      <c r="P1492" s="59">
        <f>SUMIFS(Eventos!$G:$G,Eventos!$F:$F,$L1492,Eventos!$D:$D,$C$2,Eventos!$B:$B,PANES_SEMANALES[[#ALL],[JUEVES]])</f>
        <v>0</v>
      </c>
      <c r="Q1492" s="59">
        <f>IF(P1492&lt;&gt;"",SUMIFS(Eventos!$G:$G,Eventos!$B:$B,Q$2,Eventos!$D:$D,$C$2,Eventos!$F:$F,$L1492),"")</f>
        <v>0</v>
      </c>
      <c r="R1492" s="59">
        <f>SUMIFS(Eventos!$G:$G,Eventos!$F:$F,$L1492,Eventos!$D:$D,$C$2,Eventos!$B:$B,PANES_SEMANALES[[#ALL],[SÁBADO]])</f>
        <v>0</v>
      </c>
      <c r="S1492" s="59">
        <f>SUMIFS(Eventos!$G:$G,Eventos!$F:$F,$L1492,Eventos!$D:$D,$C$2,Eventos!$B:$B,PANES_SEMANALES[[#ALL],[DOMINGO]])</f>
        <v>0</v>
      </c>
      <c r="T1492" s="59">
        <f t="shared" si="1"/>
        <v>0</v>
      </c>
    </row>
    <row r="1493" ht="22.5" customHeight="1">
      <c r="M1493" s="59">
        <f>SUMIFS(Eventos!$G:$G,Eventos!$F:$F,$L1493,Eventos!$D:$D,$C$2,Eventos!$B:$B,PANES_SEMANALES[[#ALL],[LUNES]])</f>
        <v>0</v>
      </c>
      <c r="N1493" s="59">
        <f>SUMIFS(Eventos!$G:$G,Eventos!$F:$F,$L1493,Eventos!$D:$D,$C$2,Eventos!$B:$B,PANES_SEMANALES[[#ALL],[MARTES]])</f>
        <v>0</v>
      </c>
      <c r="O1493" s="59">
        <f>SUMIFS(Eventos!$G:$G,Eventos!$F:$F,$L1493,Eventos!$D:$D,$C$2,Eventos!$B:$B,PANES_SEMANALES[[#ALL],[MIÉRCOLES]])</f>
        <v>0</v>
      </c>
      <c r="P1493" s="59">
        <f>SUMIFS(Eventos!$G:$G,Eventos!$F:$F,$L1493,Eventos!$D:$D,$C$2,Eventos!$B:$B,PANES_SEMANALES[[#ALL],[JUEVES]])</f>
        <v>0</v>
      </c>
      <c r="Q1493" s="59">
        <f>IF(P1493&lt;&gt;"",SUMIFS(Eventos!$G:$G,Eventos!$B:$B,Q$2,Eventos!$D:$D,$C$2,Eventos!$F:$F,$L1493),"")</f>
        <v>0</v>
      </c>
      <c r="R1493" s="59">
        <f>SUMIFS(Eventos!$G:$G,Eventos!$F:$F,$L1493,Eventos!$D:$D,$C$2,Eventos!$B:$B,PANES_SEMANALES[[#ALL],[SÁBADO]])</f>
        <v>0</v>
      </c>
      <c r="S1493" s="59">
        <f>SUMIFS(Eventos!$G:$G,Eventos!$F:$F,$L1493,Eventos!$D:$D,$C$2,Eventos!$B:$B,PANES_SEMANALES[[#ALL],[DOMINGO]])</f>
        <v>0</v>
      </c>
      <c r="T1493" s="59">
        <f t="shared" si="1"/>
        <v>0</v>
      </c>
    </row>
    <row r="1494" ht="22.5" customHeight="1">
      <c r="M1494" s="59">
        <f>SUMIFS(Eventos!$G:$G,Eventos!$F:$F,$L1494,Eventos!$D:$D,$C$2,Eventos!$B:$B,PANES_SEMANALES[[#ALL],[LUNES]])</f>
        <v>0</v>
      </c>
      <c r="N1494" s="59">
        <f>SUMIFS(Eventos!$G:$G,Eventos!$F:$F,$L1494,Eventos!$D:$D,$C$2,Eventos!$B:$B,PANES_SEMANALES[[#ALL],[MARTES]])</f>
        <v>0</v>
      </c>
      <c r="O1494" s="59">
        <f>SUMIFS(Eventos!$G:$G,Eventos!$F:$F,$L1494,Eventos!$D:$D,$C$2,Eventos!$B:$B,PANES_SEMANALES[[#ALL],[MIÉRCOLES]])</f>
        <v>0</v>
      </c>
      <c r="P1494" s="59">
        <f>SUMIFS(Eventos!$G:$G,Eventos!$F:$F,$L1494,Eventos!$D:$D,$C$2,Eventos!$B:$B,PANES_SEMANALES[[#ALL],[JUEVES]])</f>
        <v>0</v>
      </c>
      <c r="Q1494" s="59">
        <f>IF(P1494&lt;&gt;"",SUMIFS(Eventos!$G:$G,Eventos!$B:$B,Q$2,Eventos!$D:$D,$C$2,Eventos!$F:$F,$L1494),"")</f>
        <v>0</v>
      </c>
      <c r="R1494" s="59">
        <f>SUMIFS(Eventos!$G:$G,Eventos!$F:$F,$L1494,Eventos!$D:$D,$C$2,Eventos!$B:$B,PANES_SEMANALES[[#ALL],[SÁBADO]])</f>
        <v>0</v>
      </c>
      <c r="S1494" s="59">
        <f>SUMIFS(Eventos!$G:$G,Eventos!$F:$F,$L1494,Eventos!$D:$D,$C$2,Eventos!$B:$B,PANES_SEMANALES[[#ALL],[DOMINGO]])</f>
        <v>0</v>
      </c>
      <c r="T1494" s="59">
        <f t="shared" si="1"/>
        <v>0</v>
      </c>
    </row>
    <row r="1495" ht="22.5" customHeight="1">
      <c r="M1495" s="59">
        <f>SUMIFS(Eventos!$G:$G,Eventos!$F:$F,$L1495,Eventos!$D:$D,$C$2,Eventos!$B:$B,PANES_SEMANALES[[#ALL],[LUNES]])</f>
        <v>0</v>
      </c>
      <c r="N1495" s="59">
        <f>SUMIFS(Eventos!$G:$G,Eventos!$F:$F,$L1495,Eventos!$D:$D,$C$2,Eventos!$B:$B,PANES_SEMANALES[[#ALL],[MARTES]])</f>
        <v>0</v>
      </c>
      <c r="O1495" s="59">
        <f>SUMIFS(Eventos!$G:$G,Eventos!$F:$F,$L1495,Eventos!$D:$D,$C$2,Eventos!$B:$B,PANES_SEMANALES[[#ALL],[MIÉRCOLES]])</f>
        <v>0</v>
      </c>
      <c r="P1495" s="59">
        <f>SUMIFS(Eventos!$G:$G,Eventos!$F:$F,$L1495,Eventos!$D:$D,$C$2,Eventos!$B:$B,PANES_SEMANALES[[#ALL],[JUEVES]])</f>
        <v>0</v>
      </c>
      <c r="Q1495" s="59">
        <f>IF(P1495&lt;&gt;"",SUMIFS(Eventos!$G:$G,Eventos!$B:$B,Q$2,Eventos!$D:$D,$C$2,Eventos!$F:$F,$L1495),"")</f>
        <v>0</v>
      </c>
      <c r="R1495" s="59">
        <f>SUMIFS(Eventos!$G:$G,Eventos!$F:$F,$L1495,Eventos!$D:$D,$C$2,Eventos!$B:$B,PANES_SEMANALES[[#ALL],[SÁBADO]])</f>
        <v>0</v>
      </c>
      <c r="S1495" s="59">
        <f>SUMIFS(Eventos!$G:$G,Eventos!$F:$F,$L1495,Eventos!$D:$D,$C$2,Eventos!$B:$B,PANES_SEMANALES[[#ALL],[DOMINGO]])</f>
        <v>0</v>
      </c>
      <c r="T1495" s="59">
        <f t="shared" si="1"/>
        <v>0</v>
      </c>
    </row>
    <row r="1496" ht="22.5" customHeight="1">
      <c r="M1496" s="59">
        <f>SUMIFS(Eventos!$G:$G,Eventos!$F:$F,$L1496,Eventos!$D:$D,$C$2,Eventos!$B:$B,PANES_SEMANALES[[#ALL],[LUNES]])</f>
        <v>0</v>
      </c>
      <c r="N1496" s="59">
        <f>SUMIFS(Eventos!$G:$G,Eventos!$F:$F,$L1496,Eventos!$D:$D,$C$2,Eventos!$B:$B,PANES_SEMANALES[[#ALL],[MARTES]])</f>
        <v>0</v>
      </c>
      <c r="O1496" s="59">
        <f>SUMIFS(Eventos!$G:$G,Eventos!$F:$F,$L1496,Eventos!$D:$D,$C$2,Eventos!$B:$B,PANES_SEMANALES[[#ALL],[MIÉRCOLES]])</f>
        <v>0</v>
      </c>
      <c r="P1496" s="59">
        <f>SUMIFS(Eventos!$G:$G,Eventos!$F:$F,$L1496,Eventos!$D:$D,$C$2,Eventos!$B:$B,PANES_SEMANALES[[#ALL],[JUEVES]])</f>
        <v>0</v>
      </c>
      <c r="Q1496" s="59">
        <f>IF(P1496&lt;&gt;"",SUMIFS(Eventos!$G:$G,Eventos!$B:$B,Q$2,Eventos!$D:$D,$C$2,Eventos!$F:$F,$L1496),"")</f>
        <v>0</v>
      </c>
      <c r="R1496" s="59">
        <f>SUMIFS(Eventos!$G:$G,Eventos!$F:$F,$L1496,Eventos!$D:$D,$C$2,Eventos!$B:$B,PANES_SEMANALES[[#ALL],[SÁBADO]])</f>
        <v>0</v>
      </c>
      <c r="S1496" s="59">
        <f>SUMIFS(Eventos!$G:$G,Eventos!$F:$F,$L1496,Eventos!$D:$D,$C$2,Eventos!$B:$B,PANES_SEMANALES[[#ALL],[DOMINGO]])</f>
        <v>0</v>
      </c>
      <c r="T1496" s="59">
        <f t="shared" si="1"/>
        <v>0</v>
      </c>
    </row>
  </sheetData>
  <customSheetViews>
    <customSheetView guid="{8A7E66BB-38D2-4FD0-86D6-003D18464A8B}" filter="1" showAutoFilter="1">
      <autoFilter ref="$B$5:$J$5"/>
    </customSheetView>
  </customSheetViews>
  <dataValidations>
    <dataValidation type="list" allowBlank="1" showErrorMessage="1" sqref="C2">
      <formula1>NUMSEM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8.0"/>
    <col customWidth="1" min="3" max="3" width="22.63"/>
    <col customWidth="1" min="4" max="4" width="18.25"/>
    <col customWidth="1" min="5" max="5" width="7.38"/>
    <col customWidth="1" min="6" max="6" width="12.0"/>
    <col customWidth="1" min="7" max="7" width="16.5"/>
    <col customWidth="1" min="8" max="8" width="14.0"/>
    <col customWidth="1" min="9" max="9" width="10.75"/>
    <col customWidth="1" min="10" max="11" width="16.63"/>
    <col customWidth="1" min="12" max="12" width="11.5"/>
    <col customWidth="1" min="13" max="14" width="13.13"/>
    <col customWidth="1" min="15" max="15" width="11.5"/>
  </cols>
  <sheetData>
    <row r="1">
      <c r="A1" s="60" t="s">
        <v>50</v>
      </c>
      <c r="B1" s="60" t="s">
        <v>51</v>
      </c>
      <c r="F1" s="61"/>
      <c r="G1" s="61"/>
      <c r="H1" s="61"/>
      <c r="I1" s="61"/>
      <c r="J1" s="61"/>
      <c r="K1" s="61"/>
      <c r="L1" s="61"/>
      <c r="M1" s="61"/>
      <c r="N1" s="61"/>
    </row>
    <row r="2">
      <c r="A2" s="62" t="s">
        <v>52</v>
      </c>
      <c r="B2" s="62" t="s">
        <v>53</v>
      </c>
      <c r="C2" s="62" t="s">
        <v>54</v>
      </c>
      <c r="D2" s="62" t="s">
        <v>55</v>
      </c>
      <c r="E2" s="62" t="s">
        <v>56</v>
      </c>
      <c r="F2" s="63" t="s">
        <v>57</v>
      </c>
    </row>
    <row r="3">
      <c r="C3" s="64" t="s">
        <v>58</v>
      </c>
      <c r="D3" s="65" t="s">
        <v>59</v>
      </c>
      <c r="E3" s="66">
        <v>50.0</v>
      </c>
      <c r="F3" s="67" t="s">
        <v>60</v>
      </c>
      <c r="G3" s="67" t="s">
        <v>61</v>
      </c>
      <c r="H3" s="67" t="s">
        <v>14</v>
      </c>
      <c r="I3" s="67" t="s">
        <v>15</v>
      </c>
      <c r="J3" s="67" t="s">
        <v>46</v>
      </c>
      <c r="K3" s="61"/>
      <c r="L3" s="61"/>
      <c r="M3" s="61"/>
      <c r="N3" s="61"/>
    </row>
    <row r="4">
      <c r="F4" s="68">
        <v>50.0</v>
      </c>
      <c r="G4" s="68">
        <v>50.0</v>
      </c>
      <c r="H4" s="68">
        <v>2000.0</v>
      </c>
      <c r="I4" s="68">
        <v>1750.0</v>
      </c>
      <c r="J4" s="68">
        <v>50.0</v>
      </c>
      <c r="K4" s="61"/>
      <c r="L4" s="61"/>
      <c r="M4" s="61"/>
      <c r="N4" s="61"/>
    </row>
    <row r="5">
      <c r="A5" s="60" t="s">
        <v>62</v>
      </c>
      <c r="B5" s="60" t="s">
        <v>63</v>
      </c>
      <c r="F5" s="61"/>
      <c r="G5" s="61"/>
      <c r="H5" s="61"/>
      <c r="I5" s="61"/>
      <c r="J5" s="61"/>
      <c r="K5" s="61"/>
      <c r="L5" s="61"/>
      <c r="M5" s="61"/>
      <c r="N5" s="61"/>
    </row>
    <row r="6">
      <c r="A6" s="62" t="s">
        <v>52</v>
      </c>
      <c r="B6" s="62" t="s">
        <v>53</v>
      </c>
      <c r="C6" s="62" t="s">
        <v>54</v>
      </c>
      <c r="D6" s="62" t="s">
        <v>55</v>
      </c>
      <c r="E6" s="62" t="s">
        <v>56</v>
      </c>
      <c r="F6" s="63" t="s">
        <v>57</v>
      </c>
    </row>
    <row r="7">
      <c r="C7" s="64" t="s">
        <v>64</v>
      </c>
      <c r="D7" s="65" t="s">
        <v>65</v>
      </c>
      <c r="E7" s="66">
        <v>150.0</v>
      </c>
      <c r="F7" s="67" t="s">
        <v>66</v>
      </c>
      <c r="G7" s="67" t="s">
        <v>38</v>
      </c>
      <c r="H7" s="67" t="s">
        <v>39</v>
      </c>
      <c r="I7" s="67" t="s">
        <v>40</v>
      </c>
      <c r="J7" s="61"/>
      <c r="K7" s="61"/>
      <c r="L7" s="61"/>
      <c r="M7" s="61"/>
      <c r="N7" s="61"/>
    </row>
    <row r="8">
      <c r="F8" s="68">
        <v>150.0</v>
      </c>
      <c r="G8" s="68">
        <v>18000.0</v>
      </c>
      <c r="H8" s="68">
        <v>30000.0</v>
      </c>
      <c r="I8" s="68">
        <v>13500.0</v>
      </c>
      <c r="J8" s="61"/>
      <c r="K8" s="61"/>
      <c r="L8" s="61"/>
      <c r="M8" s="61"/>
      <c r="N8" s="61"/>
    </row>
    <row r="9">
      <c r="D9" s="65" t="s">
        <v>67</v>
      </c>
      <c r="E9" s="66">
        <v>1.0</v>
      </c>
      <c r="F9" s="61"/>
      <c r="G9" s="61"/>
      <c r="H9" s="61"/>
      <c r="I9" s="61"/>
      <c r="J9" s="61"/>
      <c r="K9" s="61"/>
      <c r="L9" s="61"/>
      <c r="M9" s="61"/>
      <c r="N9" s="61"/>
    </row>
    <row r="10">
      <c r="F10" s="61"/>
      <c r="G10" s="61"/>
      <c r="H10" s="61"/>
      <c r="I10" s="61"/>
      <c r="J10" s="61"/>
      <c r="K10" s="61"/>
      <c r="L10" s="61"/>
      <c r="M10" s="61"/>
      <c r="N10" s="61"/>
    </row>
    <row r="11">
      <c r="A11" s="60" t="s">
        <v>62</v>
      </c>
      <c r="B11" s="60" t="s">
        <v>68</v>
      </c>
      <c r="F11" s="61"/>
      <c r="G11" s="61"/>
      <c r="H11" s="61"/>
      <c r="I11" s="61"/>
      <c r="J11" s="61"/>
      <c r="K11" s="61"/>
      <c r="L11" s="61"/>
      <c r="M11" s="61"/>
      <c r="N11" s="61"/>
    </row>
    <row r="12">
      <c r="A12" s="62" t="s">
        <v>52</v>
      </c>
      <c r="B12" s="62" t="s">
        <v>53</v>
      </c>
      <c r="C12" s="62" t="s">
        <v>54</v>
      </c>
      <c r="D12" s="62" t="s">
        <v>55</v>
      </c>
      <c r="E12" s="62" t="s">
        <v>56</v>
      </c>
      <c r="F12" s="63" t="s">
        <v>57</v>
      </c>
    </row>
    <row r="13">
      <c r="C13" s="64" t="s">
        <v>69</v>
      </c>
      <c r="D13" s="65" t="s">
        <v>70</v>
      </c>
      <c r="E13" s="66">
        <v>40.0</v>
      </c>
      <c r="F13" s="67" t="s">
        <v>71</v>
      </c>
      <c r="G13" s="67" t="s">
        <v>72</v>
      </c>
      <c r="H13" s="67" t="s">
        <v>13</v>
      </c>
      <c r="I13" s="67" t="s">
        <v>15</v>
      </c>
      <c r="J13" s="67" t="s">
        <v>47</v>
      </c>
      <c r="K13" s="61"/>
      <c r="L13" s="61"/>
      <c r="M13" s="61"/>
      <c r="N13" s="61"/>
    </row>
    <row r="14">
      <c r="F14" s="68">
        <v>40.0</v>
      </c>
      <c r="G14" s="68">
        <v>4000.0</v>
      </c>
      <c r="H14" s="68">
        <v>40.0</v>
      </c>
      <c r="I14" s="68">
        <v>1400.0</v>
      </c>
      <c r="J14" s="68">
        <v>40.0</v>
      </c>
      <c r="K14" s="61"/>
      <c r="L14" s="61"/>
      <c r="M14" s="61"/>
      <c r="N14" s="61"/>
    </row>
    <row r="15">
      <c r="D15" s="65" t="s">
        <v>73</v>
      </c>
      <c r="E15" s="66">
        <v>40.0</v>
      </c>
      <c r="F15" s="67" t="s">
        <v>60</v>
      </c>
      <c r="G15" s="67" t="s">
        <v>74</v>
      </c>
      <c r="H15" s="67" t="s">
        <v>19</v>
      </c>
      <c r="I15" s="67" t="s">
        <v>46</v>
      </c>
      <c r="J15" s="61"/>
      <c r="K15" s="61"/>
      <c r="L15" s="61"/>
      <c r="M15" s="61"/>
      <c r="N15" s="61"/>
    </row>
    <row r="16">
      <c r="F16" s="68">
        <v>40.0</v>
      </c>
      <c r="G16" s="68">
        <v>4000.0</v>
      </c>
      <c r="H16" s="68">
        <v>40.0</v>
      </c>
      <c r="I16" s="68">
        <v>40.0</v>
      </c>
      <c r="J16" s="61"/>
      <c r="K16" s="61"/>
      <c r="L16" s="61"/>
      <c r="M16" s="61"/>
      <c r="N16" s="61"/>
    </row>
    <row r="17">
      <c r="A17" s="60" t="s">
        <v>75</v>
      </c>
      <c r="B17" s="60" t="s">
        <v>68</v>
      </c>
      <c r="F17" s="61"/>
      <c r="G17" s="61"/>
      <c r="H17" s="61"/>
      <c r="I17" s="61"/>
      <c r="J17" s="61"/>
      <c r="K17" s="61"/>
      <c r="L17" s="61"/>
      <c r="M17" s="61"/>
      <c r="N17" s="61"/>
    </row>
    <row r="18">
      <c r="A18" s="62" t="s">
        <v>52</v>
      </c>
      <c r="B18" s="62" t="s">
        <v>53</v>
      </c>
      <c r="C18" s="62" t="s">
        <v>54</v>
      </c>
      <c r="D18" s="62" t="s">
        <v>55</v>
      </c>
      <c r="E18" s="62" t="s">
        <v>56</v>
      </c>
      <c r="F18" s="63" t="s">
        <v>57</v>
      </c>
    </row>
    <row r="19">
      <c r="C19" s="64" t="s">
        <v>76</v>
      </c>
      <c r="D19" s="65" t="s">
        <v>77</v>
      </c>
      <c r="E19" s="66">
        <v>98.0</v>
      </c>
      <c r="F19" s="67" t="s">
        <v>60</v>
      </c>
      <c r="G19" s="67" t="s">
        <v>61</v>
      </c>
      <c r="H19" s="67" t="s">
        <v>14</v>
      </c>
      <c r="I19" s="67" t="s">
        <v>15</v>
      </c>
      <c r="J19" s="67" t="s">
        <v>46</v>
      </c>
      <c r="K19" s="61"/>
      <c r="L19" s="61"/>
      <c r="M19" s="61"/>
      <c r="N19" s="61"/>
    </row>
    <row r="20">
      <c r="F20" s="68">
        <v>98.0</v>
      </c>
      <c r="G20" s="68">
        <v>98.0</v>
      </c>
      <c r="H20" s="68">
        <v>3920.0</v>
      </c>
      <c r="I20" s="68">
        <v>3430.0</v>
      </c>
      <c r="J20" s="68">
        <v>98.0</v>
      </c>
      <c r="K20" s="61"/>
      <c r="L20" s="61"/>
      <c r="M20" s="61"/>
      <c r="N20" s="61"/>
    </row>
    <row r="21">
      <c r="A21" s="60" t="s">
        <v>62</v>
      </c>
      <c r="B21" s="60" t="s">
        <v>78</v>
      </c>
      <c r="F21" s="61"/>
      <c r="G21" s="61"/>
      <c r="H21" s="61"/>
      <c r="I21" s="61"/>
      <c r="J21" s="61"/>
      <c r="K21" s="61"/>
      <c r="L21" s="61"/>
      <c r="M21" s="61"/>
      <c r="N21" s="61"/>
    </row>
    <row r="22">
      <c r="A22" s="62" t="s">
        <v>52</v>
      </c>
      <c r="B22" s="62" t="s">
        <v>53</v>
      </c>
      <c r="C22" s="62" t="s">
        <v>54</v>
      </c>
      <c r="D22" s="62" t="s">
        <v>55</v>
      </c>
      <c r="E22" s="62" t="s">
        <v>56</v>
      </c>
      <c r="F22" s="63" t="s">
        <v>57</v>
      </c>
    </row>
    <row r="23">
      <c r="C23" s="64" t="s">
        <v>79</v>
      </c>
      <c r="D23" s="65" t="s">
        <v>80</v>
      </c>
      <c r="E23" s="66">
        <v>50.0</v>
      </c>
      <c r="F23" s="67" t="s">
        <v>71</v>
      </c>
      <c r="G23" s="67" t="s">
        <v>81</v>
      </c>
      <c r="H23" s="67" t="s">
        <v>13</v>
      </c>
      <c r="I23" s="67" t="s">
        <v>19</v>
      </c>
      <c r="J23" s="67" t="s">
        <v>20</v>
      </c>
      <c r="K23" s="67" t="s">
        <v>32</v>
      </c>
      <c r="L23" s="67" t="s">
        <v>47</v>
      </c>
      <c r="M23" s="61"/>
      <c r="N23" s="61"/>
    </row>
    <row r="24">
      <c r="F24" s="68">
        <v>50.0</v>
      </c>
      <c r="G24" s="68">
        <v>50.0</v>
      </c>
      <c r="H24" s="68">
        <v>50.0</v>
      </c>
      <c r="I24" s="68">
        <v>50.0</v>
      </c>
      <c r="J24" s="68">
        <v>1000.0</v>
      </c>
      <c r="K24" s="68">
        <v>500.0</v>
      </c>
      <c r="L24" s="68">
        <v>50.0</v>
      </c>
      <c r="M24" s="61"/>
      <c r="N24" s="61"/>
    </row>
    <row r="25">
      <c r="A25" s="60" t="s">
        <v>75</v>
      </c>
      <c r="B25" s="60" t="s">
        <v>82</v>
      </c>
      <c r="F25" s="61"/>
      <c r="G25" s="61"/>
      <c r="H25" s="61"/>
      <c r="I25" s="61"/>
      <c r="J25" s="61"/>
      <c r="K25" s="61"/>
      <c r="L25" s="61"/>
      <c r="M25" s="61"/>
      <c r="N25" s="61"/>
    </row>
    <row r="26">
      <c r="A26" s="62" t="s">
        <v>52</v>
      </c>
      <c r="B26" s="62" t="s">
        <v>53</v>
      </c>
      <c r="C26" s="62" t="s">
        <v>54</v>
      </c>
      <c r="D26" s="62" t="s">
        <v>55</v>
      </c>
      <c r="E26" s="62" t="s">
        <v>56</v>
      </c>
      <c r="F26" s="63" t="s">
        <v>57</v>
      </c>
    </row>
    <row r="27">
      <c r="C27" s="64" t="s">
        <v>83</v>
      </c>
      <c r="D27" s="65" t="s">
        <v>84</v>
      </c>
      <c r="E27" s="66">
        <v>20.0</v>
      </c>
      <c r="F27" s="67" t="s">
        <v>71</v>
      </c>
      <c r="G27" s="67" t="s">
        <v>85</v>
      </c>
      <c r="H27" s="67" t="s">
        <v>13</v>
      </c>
      <c r="I27" s="67" t="s">
        <v>19</v>
      </c>
      <c r="J27" s="67" t="s">
        <v>20</v>
      </c>
      <c r="K27" s="67" t="s">
        <v>21</v>
      </c>
      <c r="L27" s="67" t="s">
        <v>27</v>
      </c>
      <c r="M27" s="67" t="s">
        <v>28</v>
      </c>
      <c r="N27" s="67" t="s">
        <v>29</v>
      </c>
      <c r="O27" s="69" t="s">
        <v>47</v>
      </c>
    </row>
    <row r="28">
      <c r="F28" s="68">
        <v>20.0</v>
      </c>
      <c r="G28" s="68">
        <v>2000.0</v>
      </c>
      <c r="H28" s="68">
        <v>20.0</v>
      </c>
      <c r="I28" s="68">
        <v>20.0</v>
      </c>
      <c r="J28" s="68">
        <v>400.0</v>
      </c>
      <c r="K28" s="68">
        <v>400.0</v>
      </c>
      <c r="L28" s="68">
        <v>200.0</v>
      </c>
      <c r="M28" s="68">
        <v>200.0</v>
      </c>
      <c r="N28" s="68">
        <v>200.0</v>
      </c>
      <c r="O28" s="70">
        <v>20.0</v>
      </c>
    </row>
    <row r="29">
      <c r="D29" s="65" t="s">
        <v>86</v>
      </c>
      <c r="E29" s="66">
        <v>20.0</v>
      </c>
      <c r="F29" s="67" t="s">
        <v>71</v>
      </c>
      <c r="G29" s="67" t="s">
        <v>74</v>
      </c>
      <c r="H29" s="67" t="s">
        <v>13</v>
      </c>
      <c r="I29" s="67" t="s">
        <v>20</v>
      </c>
      <c r="J29" s="67" t="s">
        <v>21</v>
      </c>
      <c r="K29" s="67" t="s">
        <v>26</v>
      </c>
      <c r="L29" s="67" t="s">
        <v>27</v>
      </c>
      <c r="M29" s="67" t="s">
        <v>29</v>
      </c>
      <c r="N29" s="67" t="s">
        <v>47</v>
      </c>
    </row>
    <row r="30">
      <c r="F30" s="68">
        <v>20.0</v>
      </c>
      <c r="G30" s="68">
        <v>2000.0</v>
      </c>
      <c r="H30" s="68">
        <v>20.0</v>
      </c>
      <c r="I30" s="68">
        <v>400.0</v>
      </c>
      <c r="J30" s="68">
        <v>400.0</v>
      </c>
      <c r="K30" s="68">
        <v>200.0</v>
      </c>
      <c r="L30" s="68">
        <v>200.0</v>
      </c>
      <c r="M30" s="68">
        <v>200.0</v>
      </c>
      <c r="N30" s="68">
        <v>20.0</v>
      </c>
    </row>
    <row r="31">
      <c r="A31" s="60" t="s">
        <v>75</v>
      </c>
      <c r="B31" s="60" t="s">
        <v>82</v>
      </c>
      <c r="F31" s="61"/>
      <c r="G31" s="61"/>
      <c r="H31" s="61"/>
      <c r="I31" s="61"/>
      <c r="J31" s="61"/>
      <c r="K31" s="61"/>
      <c r="L31" s="61"/>
      <c r="M31" s="61"/>
      <c r="N31" s="61"/>
    </row>
    <row r="32">
      <c r="A32" s="62" t="s">
        <v>52</v>
      </c>
      <c r="B32" s="62" t="s">
        <v>53</v>
      </c>
      <c r="C32" s="62" t="s">
        <v>54</v>
      </c>
      <c r="D32" s="62" t="s">
        <v>55</v>
      </c>
      <c r="E32" s="62" t="s">
        <v>56</v>
      </c>
      <c r="F32" s="63" t="s">
        <v>57</v>
      </c>
    </row>
    <row r="33">
      <c r="C33" s="64" t="s">
        <v>87</v>
      </c>
      <c r="D33" s="65" t="s">
        <v>88</v>
      </c>
      <c r="E33" s="66">
        <v>50.0</v>
      </c>
      <c r="F33" s="67" t="s">
        <v>71</v>
      </c>
      <c r="G33" s="67" t="s">
        <v>74</v>
      </c>
      <c r="H33" s="67" t="s">
        <v>13</v>
      </c>
      <c r="I33" s="67" t="s">
        <v>15</v>
      </c>
      <c r="J33" s="67" t="s">
        <v>47</v>
      </c>
      <c r="K33" s="61"/>
      <c r="L33" s="61"/>
      <c r="M33" s="61"/>
      <c r="N33" s="61"/>
    </row>
    <row r="34">
      <c r="F34" s="68">
        <v>50.0</v>
      </c>
      <c r="G34" s="68">
        <v>5000.0</v>
      </c>
      <c r="H34" s="68">
        <v>50.0</v>
      </c>
      <c r="I34" s="68">
        <v>1750.0</v>
      </c>
      <c r="J34" s="68">
        <v>50.0</v>
      </c>
      <c r="K34" s="61"/>
      <c r="L34" s="61"/>
      <c r="M34" s="61"/>
      <c r="N34" s="61"/>
    </row>
    <row r="35">
      <c r="A35" s="60" t="s">
        <v>89</v>
      </c>
      <c r="B35" s="60" t="s">
        <v>90</v>
      </c>
      <c r="F35" s="61"/>
      <c r="G35" s="61"/>
      <c r="H35" s="61"/>
      <c r="I35" s="61"/>
      <c r="J35" s="61"/>
      <c r="K35" s="61"/>
      <c r="L35" s="61"/>
      <c r="M35" s="61"/>
      <c r="N35" s="61"/>
    </row>
    <row r="36">
      <c r="A36" s="62" t="s">
        <v>52</v>
      </c>
      <c r="B36" s="62" t="s">
        <v>53</v>
      </c>
      <c r="C36" s="62" t="s">
        <v>54</v>
      </c>
      <c r="D36" s="62" t="s">
        <v>55</v>
      </c>
      <c r="E36" s="62" t="s">
        <v>56</v>
      </c>
      <c r="F36" s="63" t="s">
        <v>57</v>
      </c>
    </row>
    <row r="37">
      <c r="C37" s="64" t="s">
        <v>91</v>
      </c>
      <c r="D37" s="65" t="s">
        <v>59</v>
      </c>
      <c r="E37" s="66">
        <v>40.0</v>
      </c>
      <c r="F37" s="67" t="s">
        <v>60</v>
      </c>
      <c r="G37" s="67" t="s">
        <v>61</v>
      </c>
      <c r="H37" s="67" t="s">
        <v>14</v>
      </c>
      <c r="I37" s="67" t="s">
        <v>15</v>
      </c>
      <c r="J37" s="67" t="s">
        <v>46</v>
      </c>
      <c r="K37" s="61"/>
      <c r="L37" s="61"/>
      <c r="M37" s="61"/>
      <c r="N37" s="61"/>
    </row>
    <row r="38">
      <c r="F38" s="68">
        <v>40.0</v>
      </c>
      <c r="G38" s="68">
        <v>40.0</v>
      </c>
      <c r="H38" s="68">
        <v>1600.0</v>
      </c>
      <c r="I38" s="68">
        <v>1400.0</v>
      </c>
      <c r="J38" s="68">
        <v>40.0</v>
      </c>
      <c r="K38" s="61"/>
      <c r="L38" s="61"/>
      <c r="M38" s="61"/>
      <c r="N38" s="61"/>
    </row>
    <row r="39">
      <c r="A39" s="60" t="s">
        <v>50</v>
      </c>
      <c r="B39" s="60" t="s">
        <v>90</v>
      </c>
      <c r="F39" s="61"/>
      <c r="G39" s="61"/>
      <c r="H39" s="61"/>
      <c r="I39" s="61"/>
      <c r="J39" s="61"/>
      <c r="K39" s="61"/>
      <c r="L39" s="61"/>
      <c r="M39" s="61"/>
      <c r="N39" s="61"/>
    </row>
    <row r="40">
      <c r="A40" s="62" t="s">
        <v>52</v>
      </c>
      <c r="B40" s="62" t="s">
        <v>53</v>
      </c>
      <c r="C40" s="62" t="s">
        <v>54</v>
      </c>
      <c r="D40" s="62" t="s">
        <v>55</v>
      </c>
      <c r="E40" s="62" t="s">
        <v>56</v>
      </c>
      <c r="F40" s="63" t="s">
        <v>57</v>
      </c>
    </row>
    <row r="41">
      <c r="C41" s="64" t="s">
        <v>92</v>
      </c>
      <c r="D41" s="65" t="s">
        <v>88</v>
      </c>
      <c r="E41" s="66">
        <v>90.0</v>
      </c>
      <c r="F41" s="67" t="s">
        <v>71</v>
      </c>
      <c r="G41" s="67" t="s">
        <v>74</v>
      </c>
      <c r="H41" s="67" t="s">
        <v>13</v>
      </c>
      <c r="I41" s="67" t="s">
        <v>15</v>
      </c>
      <c r="J41" s="67" t="s">
        <v>47</v>
      </c>
      <c r="K41" s="61"/>
      <c r="L41" s="61"/>
      <c r="M41" s="61"/>
      <c r="N41" s="61"/>
    </row>
    <row r="42">
      <c r="F42" s="68">
        <v>90.0</v>
      </c>
      <c r="G42" s="68">
        <v>9000.0</v>
      </c>
      <c r="H42" s="68">
        <v>90.0</v>
      </c>
      <c r="I42" s="68">
        <v>3150.0</v>
      </c>
      <c r="J42" s="68">
        <v>90.0</v>
      </c>
      <c r="K42" s="61"/>
      <c r="L42" s="61"/>
      <c r="M42" s="61"/>
      <c r="N42" s="61"/>
    </row>
    <row r="43">
      <c r="F43" s="61"/>
      <c r="G43" s="61"/>
      <c r="H43" s="61"/>
      <c r="I43" s="61"/>
      <c r="J43" s="61"/>
      <c r="K43" s="61"/>
      <c r="L43" s="61"/>
      <c r="M43" s="61"/>
      <c r="N43" s="61"/>
    </row>
    <row r="44">
      <c r="F44" s="61"/>
      <c r="G44" s="61"/>
      <c r="H44" s="61"/>
      <c r="I44" s="61"/>
      <c r="J44" s="61"/>
      <c r="K44" s="61"/>
      <c r="L44" s="61"/>
      <c r="M44" s="61"/>
      <c r="N44" s="61"/>
    </row>
    <row r="45">
      <c r="F45" s="61"/>
      <c r="G45" s="61"/>
      <c r="H45" s="61"/>
      <c r="I45" s="61"/>
      <c r="J45" s="61"/>
      <c r="K45" s="61"/>
      <c r="L45" s="61"/>
      <c r="M45" s="61"/>
      <c r="N45" s="61"/>
    </row>
    <row r="46">
      <c r="F46" s="61"/>
      <c r="G46" s="61"/>
      <c r="H46" s="61"/>
      <c r="I46" s="61"/>
      <c r="J46" s="61"/>
      <c r="K46" s="61"/>
      <c r="L46" s="61"/>
      <c r="M46" s="61"/>
      <c r="N46" s="61"/>
    </row>
    <row r="47">
      <c r="F47" s="61"/>
      <c r="G47" s="61"/>
      <c r="H47" s="61"/>
      <c r="I47" s="61"/>
      <c r="J47" s="61"/>
      <c r="K47" s="61"/>
      <c r="L47" s="61"/>
      <c r="M47" s="61"/>
      <c r="N47" s="61"/>
    </row>
    <row r="48">
      <c r="F48" s="61"/>
      <c r="G48" s="61"/>
      <c r="H48" s="61"/>
      <c r="I48" s="61"/>
      <c r="J48" s="61"/>
      <c r="K48" s="61"/>
      <c r="L48" s="61"/>
      <c r="M48" s="61"/>
      <c r="N48" s="61"/>
    </row>
    <row r="49">
      <c r="F49" s="61"/>
      <c r="G49" s="61"/>
      <c r="H49" s="61"/>
      <c r="I49" s="61"/>
      <c r="J49" s="61"/>
      <c r="K49" s="61"/>
      <c r="L49" s="61"/>
      <c r="M49" s="61"/>
      <c r="N49" s="61"/>
    </row>
    <row r="50">
      <c r="F50" s="61"/>
      <c r="G50" s="61"/>
      <c r="H50" s="61"/>
      <c r="I50" s="61"/>
      <c r="J50" s="61"/>
      <c r="K50" s="61"/>
      <c r="L50" s="61"/>
      <c r="M50" s="61"/>
      <c r="N50" s="61"/>
    </row>
    <row r="51">
      <c r="F51" s="61"/>
      <c r="G51" s="61"/>
      <c r="H51" s="61"/>
      <c r="I51" s="61"/>
      <c r="J51" s="61"/>
      <c r="K51" s="61"/>
      <c r="L51" s="61"/>
      <c r="M51" s="61"/>
      <c r="N51" s="61"/>
    </row>
    <row r="52">
      <c r="F52" s="61"/>
      <c r="G52" s="61"/>
      <c r="H52" s="61"/>
      <c r="I52" s="61"/>
      <c r="J52" s="61"/>
      <c r="K52" s="61"/>
      <c r="L52" s="61"/>
      <c r="M52" s="61"/>
      <c r="N52" s="61"/>
    </row>
    <row r="53">
      <c r="F53" s="61"/>
      <c r="G53" s="61"/>
      <c r="H53" s="61"/>
      <c r="I53" s="61"/>
      <c r="J53" s="61"/>
      <c r="K53" s="61"/>
      <c r="L53" s="61"/>
      <c r="M53" s="61"/>
      <c r="N53" s="61"/>
    </row>
    <row r="54">
      <c r="F54" s="61"/>
      <c r="G54" s="61"/>
      <c r="H54" s="61"/>
      <c r="I54" s="61"/>
      <c r="J54" s="61"/>
      <c r="K54" s="61"/>
      <c r="L54" s="61"/>
      <c r="M54" s="61"/>
      <c r="N54" s="61"/>
    </row>
    <row r="55">
      <c r="F55" s="61"/>
      <c r="G55" s="61"/>
      <c r="H55" s="61"/>
      <c r="I55" s="61"/>
      <c r="J55" s="61"/>
      <c r="K55" s="61"/>
      <c r="L55" s="61"/>
      <c r="M55" s="61"/>
      <c r="N55" s="61"/>
    </row>
    <row r="56">
      <c r="F56" s="61"/>
      <c r="G56" s="61"/>
      <c r="H56" s="61"/>
      <c r="I56" s="61"/>
      <c r="J56" s="61"/>
      <c r="K56" s="61"/>
      <c r="L56" s="61"/>
      <c r="M56" s="61"/>
      <c r="N56" s="61"/>
    </row>
    <row r="57">
      <c r="F57" s="61"/>
      <c r="G57" s="61"/>
      <c r="H57" s="61"/>
      <c r="I57" s="61"/>
      <c r="J57" s="61"/>
      <c r="K57" s="61"/>
      <c r="L57" s="61"/>
      <c r="M57" s="61"/>
      <c r="N57" s="61"/>
    </row>
    <row r="58">
      <c r="F58" s="61"/>
      <c r="G58" s="61"/>
      <c r="H58" s="61"/>
      <c r="I58" s="61"/>
      <c r="J58" s="61"/>
      <c r="K58" s="61"/>
      <c r="L58" s="61"/>
      <c r="M58" s="61"/>
      <c r="N58" s="61"/>
    </row>
    <row r="59">
      <c r="F59" s="61"/>
      <c r="G59" s="61"/>
      <c r="H59" s="61"/>
      <c r="I59" s="61"/>
      <c r="J59" s="61"/>
      <c r="K59" s="61"/>
      <c r="L59" s="61"/>
      <c r="M59" s="61"/>
      <c r="N59" s="61"/>
    </row>
    <row r="60">
      <c r="F60" s="61"/>
      <c r="G60" s="61"/>
      <c r="H60" s="61"/>
      <c r="I60" s="61"/>
      <c r="J60" s="61"/>
      <c r="K60" s="61"/>
      <c r="L60" s="61"/>
      <c r="M60" s="61"/>
      <c r="N60" s="61"/>
    </row>
    <row r="61">
      <c r="F61" s="61"/>
      <c r="G61" s="61"/>
      <c r="H61" s="61"/>
      <c r="I61" s="61"/>
      <c r="J61" s="61"/>
      <c r="K61" s="61"/>
      <c r="L61" s="61"/>
      <c r="M61" s="61"/>
      <c r="N61" s="61"/>
    </row>
    <row r="62">
      <c r="F62" s="61"/>
      <c r="G62" s="61"/>
      <c r="H62" s="61"/>
      <c r="I62" s="61"/>
      <c r="J62" s="61"/>
      <c r="K62" s="61"/>
      <c r="L62" s="61"/>
      <c r="M62" s="61"/>
      <c r="N62" s="61"/>
    </row>
    <row r="63">
      <c r="F63" s="61"/>
      <c r="G63" s="61"/>
      <c r="H63" s="61"/>
      <c r="I63" s="61"/>
      <c r="J63" s="61"/>
      <c r="K63" s="61"/>
      <c r="L63" s="61"/>
      <c r="M63" s="61"/>
      <c r="N63" s="61"/>
    </row>
    <row r="64">
      <c r="F64" s="61"/>
      <c r="G64" s="61"/>
      <c r="H64" s="61"/>
      <c r="I64" s="61"/>
      <c r="J64" s="61"/>
      <c r="K64" s="61"/>
      <c r="L64" s="61"/>
      <c r="M64" s="61"/>
      <c r="N64" s="61"/>
    </row>
    <row r="65">
      <c r="F65" s="61"/>
      <c r="G65" s="61"/>
      <c r="H65" s="61"/>
      <c r="I65" s="61"/>
      <c r="J65" s="61"/>
      <c r="K65" s="61"/>
      <c r="L65" s="61"/>
      <c r="M65" s="61"/>
      <c r="N65" s="61"/>
    </row>
    <row r="66">
      <c r="F66" s="61"/>
      <c r="G66" s="61"/>
      <c r="H66" s="61"/>
      <c r="I66" s="61"/>
      <c r="J66" s="61"/>
      <c r="K66" s="61"/>
      <c r="L66" s="61"/>
      <c r="M66" s="61"/>
      <c r="N66" s="61"/>
    </row>
    <row r="67">
      <c r="F67" s="61"/>
      <c r="G67" s="61"/>
      <c r="H67" s="61"/>
      <c r="I67" s="61"/>
      <c r="J67" s="61"/>
      <c r="K67" s="61"/>
      <c r="L67" s="61"/>
      <c r="M67" s="61"/>
      <c r="N67" s="61"/>
    </row>
    <row r="68">
      <c r="F68" s="61"/>
      <c r="G68" s="61"/>
      <c r="H68" s="61"/>
      <c r="I68" s="61"/>
      <c r="J68" s="61"/>
      <c r="K68" s="61"/>
      <c r="L68" s="61"/>
      <c r="M68" s="61"/>
      <c r="N68" s="61"/>
    </row>
    <row r="69">
      <c r="F69" s="61"/>
      <c r="G69" s="61"/>
      <c r="H69" s="61"/>
      <c r="I69" s="61"/>
      <c r="J69" s="61"/>
      <c r="K69" s="61"/>
      <c r="L69" s="61"/>
      <c r="M69" s="61"/>
      <c r="N69" s="61"/>
    </row>
    <row r="70">
      <c r="F70" s="61"/>
      <c r="G70" s="61"/>
      <c r="H70" s="61"/>
      <c r="I70" s="61"/>
      <c r="J70" s="61"/>
      <c r="K70" s="61"/>
      <c r="L70" s="61"/>
      <c r="M70" s="61"/>
      <c r="N70" s="61"/>
    </row>
    <row r="71">
      <c r="F71" s="61"/>
      <c r="G71" s="61"/>
      <c r="H71" s="61"/>
      <c r="I71" s="61"/>
      <c r="J71" s="61"/>
      <c r="K71" s="61"/>
      <c r="L71" s="61"/>
      <c r="M71" s="61"/>
      <c r="N71" s="61"/>
    </row>
    <row r="72">
      <c r="F72" s="61"/>
      <c r="G72" s="61"/>
      <c r="H72" s="61"/>
      <c r="I72" s="61"/>
      <c r="J72" s="61"/>
      <c r="K72" s="61"/>
      <c r="L72" s="61"/>
      <c r="M72" s="61"/>
      <c r="N72" s="61"/>
    </row>
    <row r="73">
      <c r="F73" s="61"/>
      <c r="G73" s="61"/>
      <c r="H73" s="61"/>
      <c r="I73" s="61"/>
      <c r="J73" s="61"/>
      <c r="K73" s="61"/>
      <c r="L73" s="61"/>
      <c r="M73" s="61"/>
      <c r="N73" s="61"/>
    </row>
    <row r="74">
      <c r="F74" s="61"/>
      <c r="G74" s="61"/>
      <c r="H74" s="61"/>
      <c r="I74" s="61"/>
      <c r="J74" s="61"/>
      <c r="K74" s="61"/>
      <c r="L74" s="61"/>
      <c r="M74" s="61"/>
      <c r="N74" s="61"/>
    </row>
    <row r="75">
      <c r="F75" s="61"/>
      <c r="G75" s="61"/>
      <c r="H75" s="61"/>
      <c r="I75" s="61"/>
      <c r="J75" s="61"/>
      <c r="K75" s="61"/>
      <c r="L75" s="61"/>
      <c r="M75" s="61"/>
      <c r="N75" s="61"/>
    </row>
    <row r="76">
      <c r="F76" s="61"/>
      <c r="G76" s="61"/>
      <c r="H76" s="61"/>
      <c r="I76" s="61"/>
      <c r="J76" s="61"/>
      <c r="K76" s="61"/>
      <c r="L76" s="61"/>
      <c r="M76" s="61"/>
      <c r="N76" s="61"/>
    </row>
    <row r="77">
      <c r="F77" s="61"/>
      <c r="G77" s="61"/>
      <c r="H77" s="61"/>
      <c r="I77" s="61"/>
      <c r="J77" s="61"/>
      <c r="K77" s="61"/>
      <c r="L77" s="61"/>
      <c r="M77" s="61"/>
      <c r="N77" s="61"/>
    </row>
    <row r="78">
      <c r="F78" s="61"/>
      <c r="G78" s="61"/>
      <c r="H78" s="61"/>
      <c r="I78" s="61"/>
      <c r="J78" s="61"/>
      <c r="K78" s="61"/>
      <c r="L78" s="61"/>
      <c r="M78" s="61"/>
      <c r="N78" s="61"/>
    </row>
    <row r="79">
      <c r="F79" s="61"/>
      <c r="G79" s="61"/>
      <c r="H79" s="61"/>
      <c r="I79" s="61"/>
      <c r="J79" s="61"/>
      <c r="K79" s="61"/>
      <c r="L79" s="61"/>
      <c r="M79" s="61"/>
      <c r="N79" s="61"/>
    </row>
    <row r="80">
      <c r="F80" s="61"/>
      <c r="G80" s="61"/>
      <c r="H80" s="61"/>
      <c r="I80" s="61"/>
      <c r="J80" s="61"/>
      <c r="K80" s="61"/>
      <c r="L80" s="61"/>
      <c r="M80" s="61"/>
      <c r="N80" s="61"/>
    </row>
    <row r="81">
      <c r="F81" s="61"/>
      <c r="G81" s="61"/>
      <c r="H81" s="61"/>
      <c r="I81" s="61"/>
      <c r="J81" s="61"/>
      <c r="K81" s="61"/>
      <c r="L81" s="61"/>
      <c r="M81" s="61"/>
      <c r="N81" s="61"/>
    </row>
    <row r="82">
      <c r="F82" s="61"/>
      <c r="G82" s="61"/>
      <c r="H82" s="61"/>
      <c r="I82" s="61"/>
      <c r="J82" s="61"/>
      <c r="K82" s="61"/>
      <c r="L82" s="61"/>
      <c r="M82" s="61"/>
      <c r="N82" s="61"/>
    </row>
    <row r="83">
      <c r="F83" s="61"/>
      <c r="G83" s="61"/>
      <c r="H83" s="61"/>
      <c r="I83" s="61"/>
      <c r="J83" s="61"/>
      <c r="K83" s="61"/>
      <c r="L83" s="61"/>
      <c r="M83" s="61"/>
      <c r="N83" s="61"/>
    </row>
    <row r="84">
      <c r="F84" s="61"/>
      <c r="G84" s="61"/>
      <c r="H84" s="61"/>
      <c r="I84" s="61"/>
      <c r="J84" s="61"/>
      <c r="K84" s="61"/>
      <c r="L84" s="61"/>
      <c r="M84" s="61"/>
      <c r="N84" s="61"/>
    </row>
    <row r="85">
      <c r="F85" s="61"/>
      <c r="G85" s="61"/>
      <c r="H85" s="61"/>
      <c r="I85" s="61"/>
      <c r="J85" s="61"/>
      <c r="K85" s="61"/>
      <c r="L85" s="61"/>
      <c r="M85" s="61"/>
      <c r="N85" s="61"/>
    </row>
    <row r="86">
      <c r="F86" s="61"/>
      <c r="G86" s="61"/>
      <c r="H86" s="61"/>
      <c r="I86" s="61"/>
      <c r="J86" s="61"/>
      <c r="K86" s="61"/>
      <c r="L86" s="61"/>
      <c r="M86" s="61"/>
      <c r="N86" s="61"/>
    </row>
    <row r="87">
      <c r="F87" s="61"/>
      <c r="G87" s="61"/>
      <c r="H87" s="61"/>
      <c r="I87" s="61"/>
      <c r="J87" s="61"/>
      <c r="K87" s="61"/>
      <c r="L87" s="61"/>
      <c r="M87" s="61"/>
      <c r="N87" s="61"/>
    </row>
    <row r="88">
      <c r="F88" s="61"/>
      <c r="G88" s="61"/>
      <c r="H88" s="61"/>
      <c r="I88" s="61"/>
      <c r="J88" s="61"/>
      <c r="K88" s="61"/>
      <c r="L88" s="61"/>
      <c r="M88" s="61"/>
      <c r="N88" s="61"/>
    </row>
    <row r="89">
      <c r="F89" s="61"/>
      <c r="G89" s="61"/>
      <c r="H89" s="61"/>
      <c r="I89" s="61"/>
      <c r="J89" s="61"/>
      <c r="K89" s="61"/>
      <c r="L89" s="61"/>
      <c r="M89" s="61"/>
      <c r="N89" s="61"/>
    </row>
    <row r="90">
      <c r="F90" s="61"/>
      <c r="G90" s="61"/>
      <c r="H90" s="61"/>
      <c r="I90" s="61"/>
      <c r="J90" s="61"/>
      <c r="K90" s="61"/>
      <c r="L90" s="61"/>
      <c r="M90" s="61"/>
      <c r="N90" s="61"/>
    </row>
    <row r="91">
      <c r="F91" s="61"/>
      <c r="G91" s="61"/>
      <c r="H91" s="61"/>
      <c r="I91" s="61"/>
      <c r="J91" s="61"/>
      <c r="K91" s="61"/>
      <c r="L91" s="61"/>
      <c r="M91" s="61"/>
      <c r="N91" s="61"/>
    </row>
    <row r="92">
      <c r="F92" s="61"/>
      <c r="G92" s="61"/>
      <c r="H92" s="61"/>
      <c r="I92" s="61"/>
      <c r="J92" s="61"/>
      <c r="K92" s="61"/>
      <c r="L92" s="61"/>
      <c r="M92" s="61"/>
      <c r="N92" s="61"/>
    </row>
    <row r="93">
      <c r="F93" s="61"/>
      <c r="G93" s="61"/>
      <c r="H93" s="61"/>
      <c r="I93" s="61"/>
      <c r="J93" s="61"/>
      <c r="K93" s="61"/>
      <c r="L93" s="61"/>
      <c r="M93" s="61"/>
      <c r="N93" s="61"/>
    </row>
    <row r="94">
      <c r="F94" s="61"/>
      <c r="G94" s="61"/>
      <c r="H94" s="61"/>
      <c r="I94" s="61"/>
      <c r="J94" s="61"/>
      <c r="K94" s="61"/>
      <c r="L94" s="61"/>
      <c r="M94" s="61"/>
      <c r="N94" s="61"/>
    </row>
    <row r="95">
      <c r="F95" s="61"/>
      <c r="G95" s="61"/>
      <c r="H95" s="61"/>
      <c r="I95" s="61"/>
      <c r="J95" s="61"/>
      <c r="K95" s="61"/>
      <c r="L95" s="61"/>
      <c r="M95" s="61"/>
      <c r="N95" s="61"/>
    </row>
    <row r="96">
      <c r="F96" s="61"/>
      <c r="G96" s="61"/>
      <c r="H96" s="61"/>
      <c r="I96" s="61"/>
      <c r="J96" s="61"/>
      <c r="K96" s="61"/>
      <c r="L96" s="61"/>
      <c r="M96" s="61"/>
      <c r="N96" s="61"/>
    </row>
    <row r="97">
      <c r="F97" s="61"/>
      <c r="G97" s="61"/>
      <c r="H97" s="61"/>
      <c r="I97" s="61"/>
      <c r="J97" s="61"/>
      <c r="K97" s="61"/>
      <c r="L97" s="61"/>
      <c r="M97" s="61"/>
      <c r="N97" s="61"/>
    </row>
    <row r="98">
      <c r="F98" s="61"/>
      <c r="G98" s="61"/>
      <c r="H98" s="61"/>
      <c r="I98" s="61"/>
      <c r="J98" s="61"/>
      <c r="K98" s="61"/>
      <c r="L98" s="61"/>
      <c r="M98" s="61"/>
      <c r="N98" s="61"/>
    </row>
    <row r="99">
      <c r="F99" s="61"/>
      <c r="G99" s="61"/>
      <c r="H99" s="61"/>
      <c r="I99" s="61"/>
      <c r="J99" s="61"/>
      <c r="K99" s="61"/>
      <c r="L99" s="61"/>
      <c r="M99" s="61"/>
      <c r="N99" s="61"/>
    </row>
    <row r="100">
      <c r="F100" s="61"/>
      <c r="G100" s="61"/>
      <c r="H100" s="61"/>
      <c r="I100" s="61"/>
      <c r="J100" s="61"/>
      <c r="K100" s="61"/>
      <c r="L100" s="61"/>
      <c r="M100" s="61"/>
      <c r="N100" s="61"/>
    </row>
    <row r="101">
      <c r="F101" s="61"/>
      <c r="G101" s="61"/>
      <c r="H101" s="61"/>
      <c r="I101" s="61"/>
      <c r="J101" s="61"/>
      <c r="K101" s="61"/>
      <c r="L101" s="61"/>
      <c r="M101" s="61"/>
      <c r="N101" s="61"/>
    </row>
    <row r="102">
      <c r="F102" s="61"/>
      <c r="G102" s="61"/>
      <c r="H102" s="61"/>
      <c r="I102" s="61"/>
      <c r="J102" s="61"/>
      <c r="K102" s="61"/>
      <c r="L102" s="61"/>
      <c r="M102" s="61"/>
      <c r="N102" s="61"/>
    </row>
    <row r="103">
      <c r="F103" s="61"/>
      <c r="G103" s="61"/>
      <c r="H103" s="61"/>
      <c r="I103" s="61"/>
      <c r="J103" s="61"/>
      <c r="K103" s="61"/>
      <c r="L103" s="61"/>
      <c r="M103" s="61"/>
      <c r="N103" s="61"/>
    </row>
    <row r="104">
      <c r="F104" s="61"/>
      <c r="G104" s="61"/>
      <c r="H104" s="61"/>
      <c r="I104" s="61"/>
      <c r="J104" s="61"/>
      <c r="K104" s="61"/>
      <c r="L104" s="61"/>
      <c r="M104" s="61"/>
      <c r="N104" s="61"/>
    </row>
    <row r="105">
      <c r="F105" s="61"/>
      <c r="G105" s="61"/>
      <c r="H105" s="61"/>
      <c r="I105" s="61"/>
      <c r="J105" s="61"/>
      <c r="K105" s="61"/>
      <c r="L105" s="61"/>
      <c r="M105" s="61"/>
      <c r="N105" s="61"/>
    </row>
    <row r="106">
      <c r="F106" s="61"/>
      <c r="G106" s="61"/>
      <c r="H106" s="61"/>
      <c r="I106" s="61"/>
      <c r="J106" s="61"/>
      <c r="K106" s="61"/>
      <c r="L106" s="61"/>
      <c r="M106" s="61"/>
      <c r="N106" s="61"/>
    </row>
    <row r="107">
      <c r="F107" s="61"/>
      <c r="G107" s="61"/>
      <c r="H107" s="61"/>
      <c r="I107" s="61"/>
      <c r="J107" s="61"/>
      <c r="K107" s="61"/>
      <c r="L107" s="61"/>
      <c r="M107" s="61"/>
      <c r="N107" s="61"/>
    </row>
    <row r="108">
      <c r="F108" s="61"/>
      <c r="G108" s="61"/>
      <c r="H108" s="61"/>
      <c r="I108" s="61"/>
      <c r="J108" s="61"/>
      <c r="K108" s="61"/>
      <c r="L108" s="61"/>
      <c r="M108" s="61"/>
      <c r="N108" s="61"/>
    </row>
    <row r="109">
      <c r="F109" s="61"/>
      <c r="G109" s="61"/>
      <c r="H109" s="61"/>
      <c r="I109" s="61"/>
      <c r="J109" s="61"/>
      <c r="K109" s="61"/>
      <c r="L109" s="61"/>
      <c r="M109" s="61"/>
      <c r="N109" s="61"/>
    </row>
    <row r="110">
      <c r="F110" s="61"/>
      <c r="G110" s="61"/>
      <c r="H110" s="61"/>
      <c r="I110" s="61"/>
      <c r="J110" s="61"/>
      <c r="K110" s="61"/>
      <c r="L110" s="61"/>
      <c r="M110" s="61"/>
      <c r="N110" s="61"/>
    </row>
    <row r="111">
      <c r="F111" s="61"/>
      <c r="G111" s="61"/>
      <c r="H111" s="61"/>
      <c r="I111" s="61"/>
      <c r="J111" s="61"/>
      <c r="K111" s="61"/>
      <c r="L111" s="61"/>
      <c r="M111" s="61"/>
      <c r="N111" s="61"/>
    </row>
    <row r="112">
      <c r="F112" s="61"/>
      <c r="G112" s="61"/>
      <c r="H112" s="61"/>
      <c r="I112" s="61"/>
      <c r="J112" s="61"/>
      <c r="K112" s="61"/>
      <c r="L112" s="61"/>
      <c r="M112" s="61"/>
      <c r="N112" s="61"/>
    </row>
    <row r="113">
      <c r="F113" s="61"/>
      <c r="G113" s="61"/>
      <c r="H113" s="61"/>
      <c r="I113" s="61"/>
      <c r="J113" s="61"/>
      <c r="K113" s="61"/>
      <c r="L113" s="61"/>
      <c r="M113" s="61"/>
      <c r="N113" s="61"/>
    </row>
    <row r="114">
      <c r="F114" s="61"/>
      <c r="G114" s="61"/>
      <c r="H114" s="61"/>
      <c r="I114" s="61"/>
      <c r="J114" s="61"/>
      <c r="K114" s="61"/>
      <c r="L114" s="61"/>
      <c r="M114" s="61"/>
      <c r="N114" s="61"/>
    </row>
    <row r="115">
      <c r="F115" s="61"/>
      <c r="G115" s="61"/>
      <c r="H115" s="61"/>
      <c r="I115" s="61"/>
      <c r="J115" s="61"/>
      <c r="K115" s="61"/>
      <c r="L115" s="61"/>
      <c r="M115" s="61"/>
      <c r="N115" s="61"/>
    </row>
    <row r="116">
      <c r="F116" s="61"/>
      <c r="G116" s="61"/>
      <c r="H116" s="61"/>
      <c r="I116" s="61"/>
      <c r="J116" s="61"/>
      <c r="K116" s="61"/>
      <c r="L116" s="61"/>
      <c r="M116" s="61"/>
      <c r="N116" s="61"/>
    </row>
    <row r="117">
      <c r="F117" s="61"/>
      <c r="G117" s="61"/>
      <c r="H117" s="61"/>
      <c r="I117" s="61"/>
      <c r="J117" s="61"/>
      <c r="K117" s="61"/>
      <c r="L117" s="61"/>
      <c r="M117" s="61"/>
      <c r="N117" s="61"/>
    </row>
    <row r="118">
      <c r="F118" s="61"/>
      <c r="G118" s="61"/>
      <c r="H118" s="61"/>
      <c r="I118" s="61"/>
      <c r="J118" s="61"/>
      <c r="K118" s="61"/>
      <c r="L118" s="61"/>
      <c r="M118" s="61"/>
      <c r="N118" s="61"/>
    </row>
    <row r="119">
      <c r="F119" s="61"/>
      <c r="G119" s="61"/>
      <c r="H119" s="61"/>
      <c r="I119" s="61"/>
      <c r="J119" s="61"/>
      <c r="K119" s="61"/>
      <c r="L119" s="61"/>
      <c r="M119" s="61"/>
      <c r="N119" s="61"/>
    </row>
    <row r="120">
      <c r="F120" s="61"/>
      <c r="G120" s="61"/>
      <c r="H120" s="61"/>
      <c r="I120" s="61"/>
      <c r="J120" s="61"/>
      <c r="K120" s="61"/>
      <c r="L120" s="61"/>
      <c r="M120" s="61"/>
      <c r="N120" s="61"/>
    </row>
    <row r="121">
      <c r="F121" s="61"/>
      <c r="G121" s="61"/>
      <c r="H121" s="61"/>
      <c r="I121" s="61"/>
      <c r="J121" s="61"/>
      <c r="K121" s="61"/>
      <c r="L121" s="61"/>
      <c r="M121" s="61"/>
      <c r="N121" s="61"/>
    </row>
    <row r="122">
      <c r="F122" s="61"/>
      <c r="G122" s="61"/>
      <c r="H122" s="61"/>
      <c r="I122" s="61"/>
      <c r="J122" s="61"/>
      <c r="K122" s="61"/>
      <c r="L122" s="61"/>
      <c r="M122" s="61"/>
      <c r="N122" s="61"/>
    </row>
    <row r="123">
      <c r="F123" s="61"/>
      <c r="G123" s="61"/>
      <c r="H123" s="61"/>
      <c r="I123" s="61"/>
      <c r="J123" s="61"/>
      <c r="K123" s="61"/>
      <c r="L123" s="61"/>
      <c r="M123" s="61"/>
      <c r="N123" s="61"/>
    </row>
    <row r="124">
      <c r="F124" s="61"/>
      <c r="G124" s="61"/>
      <c r="H124" s="61"/>
      <c r="I124" s="61"/>
      <c r="J124" s="61"/>
      <c r="K124" s="61"/>
      <c r="L124" s="61"/>
      <c r="M124" s="61"/>
      <c r="N124" s="61"/>
    </row>
    <row r="125">
      <c r="F125" s="61"/>
      <c r="G125" s="61"/>
      <c r="H125" s="61"/>
      <c r="I125" s="61"/>
      <c r="J125" s="61"/>
      <c r="K125" s="61"/>
      <c r="L125" s="61"/>
      <c r="M125" s="61"/>
      <c r="N125" s="61"/>
    </row>
    <row r="126">
      <c r="F126" s="61"/>
      <c r="G126" s="61"/>
      <c r="H126" s="61"/>
      <c r="I126" s="61"/>
      <c r="J126" s="61"/>
      <c r="K126" s="61"/>
      <c r="L126" s="61"/>
      <c r="M126" s="61"/>
      <c r="N126" s="61"/>
    </row>
    <row r="127">
      <c r="F127" s="61"/>
      <c r="G127" s="61"/>
      <c r="H127" s="61"/>
      <c r="I127" s="61"/>
      <c r="J127" s="61"/>
      <c r="K127" s="61"/>
      <c r="L127" s="61"/>
      <c r="M127" s="61"/>
      <c r="N127" s="61"/>
    </row>
    <row r="128">
      <c r="F128" s="61"/>
      <c r="G128" s="61"/>
      <c r="H128" s="61"/>
      <c r="I128" s="61"/>
      <c r="J128" s="61"/>
      <c r="K128" s="61"/>
      <c r="L128" s="61"/>
      <c r="M128" s="61"/>
      <c r="N128" s="61"/>
    </row>
    <row r="129">
      <c r="F129" s="61"/>
      <c r="G129" s="61"/>
      <c r="H129" s="61"/>
      <c r="I129" s="61"/>
      <c r="J129" s="61"/>
      <c r="K129" s="61"/>
      <c r="L129" s="61"/>
      <c r="M129" s="61"/>
      <c r="N129" s="61"/>
    </row>
    <row r="130">
      <c r="F130" s="61"/>
      <c r="G130" s="61"/>
      <c r="H130" s="61"/>
      <c r="I130" s="61"/>
      <c r="J130" s="61"/>
      <c r="K130" s="61"/>
      <c r="L130" s="61"/>
      <c r="M130" s="61"/>
      <c r="N130" s="61"/>
    </row>
    <row r="131">
      <c r="F131" s="61"/>
      <c r="G131" s="61"/>
      <c r="H131" s="61"/>
      <c r="I131" s="61"/>
      <c r="J131" s="61"/>
      <c r="K131" s="61"/>
      <c r="L131" s="61"/>
      <c r="M131" s="61"/>
      <c r="N131" s="61"/>
    </row>
    <row r="132">
      <c r="F132" s="61"/>
      <c r="G132" s="61"/>
      <c r="H132" s="61"/>
      <c r="I132" s="61"/>
      <c r="J132" s="61"/>
      <c r="K132" s="61"/>
      <c r="L132" s="61"/>
      <c r="M132" s="61"/>
      <c r="N132" s="61"/>
    </row>
    <row r="133">
      <c r="F133" s="61"/>
      <c r="G133" s="61"/>
      <c r="H133" s="61"/>
      <c r="I133" s="61"/>
      <c r="J133" s="61"/>
      <c r="K133" s="61"/>
      <c r="L133" s="61"/>
      <c r="M133" s="61"/>
      <c r="N133" s="61"/>
    </row>
    <row r="134">
      <c r="F134" s="61"/>
      <c r="G134" s="61"/>
      <c r="H134" s="61"/>
      <c r="I134" s="61"/>
      <c r="J134" s="61"/>
      <c r="K134" s="61"/>
      <c r="L134" s="61"/>
      <c r="M134" s="61"/>
      <c r="N134" s="61"/>
    </row>
    <row r="135">
      <c r="F135" s="61"/>
      <c r="G135" s="61"/>
      <c r="H135" s="61"/>
      <c r="I135" s="61"/>
      <c r="J135" s="61"/>
      <c r="K135" s="61"/>
      <c r="L135" s="61"/>
      <c r="M135" s="61"/>
      <c r="N135" s="61"/>
    </row>
    <row r="136">
      <c r="F136" s="61"/>
      <c r="G136" s="61"/>
      <c r="H136" s="61"/>
      <c r="I136" s="61"/>
      <c r="J136" s="61"/>
      <c r="K136" s="61"/>
      <c r="L136" s="61"/>
      <c r="M136" s="61"/>
      <c r="N136" s="61"/>
    </row>
    <row r="137">
      <c r="F137" s="61"/>
      <c r="G137" s="61"/>
      <c r="H137" s="61"/>
      <c r="I137" s="61"/>
      <c r="J137" s="61"/>
      <c r="K137" s="61"/>
      <c r="L137" s="61"/>
      <c r="M137" s="61"/>
      <c r="N137" s="61"/>
    </row>
    <row r="138">
      <c r="F138" s="61"/>
      <c r="G138" s="61"/>
      <c r="H138" s="61"/>
      <c r="I138" s="61"/>
      <c r="J138" s="61"/>
      <c r="K138" s="61"/>
      <c r="L138" s="61"/>
      <c r="M138" s="61"/>
      <c r="N138" s="61"/>
    </row>
    <row r="139">
      <c r="F139" s="61"/>
      <c r="G139" s="61"/>
      <c r="H139" s="61"/>
      <c r="I139" s="61"/>
      <c r="J139" s="61"/>
      <c r="K139" s="61"/>
      <c r="L139" s="61"/>
      <c r="M139" s="61"/>
      <c r="N139" s="61"/>
    </row>
    <row r="140">
      <c r="F140" s="61"/>
      <c r="G140" s="61"/>
      <c r="H140" s="61"/>
      <c r="I140" s="61"/>
      <c r="J140" s="61"/>
      <c r="K140" s="61"/>
      <c r="L140" s="61"/>
      <c r="M140" s="61"/>
      <c r="N140" s="61"/>
    </row>
    <row r="141">
      <c r="F141" s="61"/>
      <c r="G141" s="61"/>
      <c r="H141" s="61"/>
      <c r="I141" s="61"/>
      <c r="J141" s="61"/>
      <c r="K141" s="61"/>
      <c r="L141" s="61"/>
      <c r="M141" s="61"/>
      <c r="N141" s="61"/>
    </row>
    <row r="142">
      <c r="F142" s="61"/>
      <c r="G142" s="61"/>
      <c r="H142" s="61"/>
      <c r="I142" s="61"/>
      <c r="J142" s="61"/>
      <c r="K142" s="61"/>
      <c r="L142" s="61"/>
      <c r="M142" s="61"/>
      <c r="N142" s="61"/>
    </row>
    <row r="143">
      <c r="F143" s="61"/>
      <c r="G143" s="61"/>
      <c r="H143" s="61"/>
      <c r="I143" s="61"/>
      <c r="J143" s="61"/>
      <c r="K143" s="61"/>
      <c r="L143" s="61"/>
      <c r="M143" s="61"/>
      <c r="N143" s="61"/>
    </row>
    <row r="144">
      <c r="F144" s="61"/>
      <c r="G144" s="61"/>
      <c r="H144" s="61"/>
      <c r="I144" s="61"/>
      <c r="J144" s="61"/>
      <c r="K144" s="61"/>
      <c r="L144" s="61"/>
      <c r="M144" s="61"/>
      <c r="N144" s="61"/>
    </row>
    <row r="145">
      <c r="F145" s="61"/>
      <c r="G145" s="61"/>
      <c r="H145" s="61"/>
      <c r="I145" s="61"/>
      <c r="J145" s="61"/>
      <c r="K145" s="61"/>
      <c r="L145" s="61"/>
      <c r="M145" s="61"/>
      <c r="N145" s="61"/>
    </row>
    <row r="146">
      <c r="F146" s="61"/>
      <c r="G146" s="61"/>
      <c r="H146" s="61"/>
      <c r="I146" s="61"/>
      <c r="J146" s="61"/>
      <c r="K146" s="61"/>
      <c r="L146" s="61"/>
      <c r="M146" s="61"/>
      <c r="N146" s="61"/>
    </row>
    <row r="147">
      <c r="F147" s="61"/>
      <c r="G147" s="61"/>
      <c r="H147" s="61"/>
      <c r="I147" s="61"/>
      <c r="J147" s="61"/>
      <c r="K147" s="61"/>
      <c r="L147" s="61"/>
      <c r="M147" s="61"/>
      <c r="N147" s="61"/>
    </row>
    <row r="148">
      <c r="F148" s="61"/>
      <c r="G148" s="61"/>
      <c r="H148" s="61"/>
      <c r="I148" s="61"/>
      <c r="J148" s="61"/>
      <c r="K148" s="61"/>
      <c r="L148" s="61"/>
      <c r="M148" s="61"/>
      <c r="N148" s="61"/>
    </row>
    <row r="149">
      <c r="F149" s="61"/>
      <c r="G149" s="61"/>
      <c r="H149" s="61"/>
      <c r="I149" s="61"/>
      <c r="J149" s="61"/>
      <c r="K149" s="61"/>
      <c r="L149" s="61"/>
      <c r="M149" s="61"/>
      <c r="N149" s="61"/>
    </row>
    <row r="150">
      <c r="F150" s="61"/>
      <c r="G150" s="61"/>
      <c r="H150" s="61"/>
      <c r="I150" s="61"/>
      <c r="J150" s="61"/>
      <c r="K150" s="61"/>
      <c r="L150" s="61"/>
      <c r="M150" s="61"/>
      <c r="N150" s="61"/>
    </row>
    <row r="151">
      <c r="F151" s="61"/>
      <c r="G151" s="61"/>
      <c r="H151" s="61"/>
      <c r="I151" s="61"/>
      <c r="J151" s="61"/>
      <c r="K151" s="61"/>
      <c r="L151" s="61"/>
      <c r="M151" s="61"/>
      <c r="N151" s="61"/>
    </row>
    <row r="152">
      <c r="F152" s="61"/>
      <c r="G152" s="61"/>
      <c r="H152" s="61"/>
      <c r="I152" s="61"/>
      <c r="J152" s="61"/>
      <c r="K152" s="61"/>
      <c r="L152" s="61"/>
      <c r="M152" s="61"/>
      <c r="N152" s="61"/>
    </row>
    <row r="153">
      <c r="F153" s="61"/>
      <c r="G153" s="61"/>
      <c r="H153" s="61"/>
      <c r="I153" s="61"/>
      <c r="J153" s="61"/>
      <c r="K153" s="61"/>
      <c r="L153" s="61"/>
      <c r="M153" s="61"/>
      <c r="N153" s="61"/>
    </row>
    <row r="154">
      <c r="F154" s="61"/>
      <c r="G154" s="61"/>
      <c r="H154" s="61"/>
      <c r="I154" s="61"/>
      <c r="J154" s="61"/>
      <c r="K154" s="61"/>
      <c r="L154" s="61"/>
      <c r="M154" s="61"/>
      <c r="N154" s="61"/>
    </row>
    <row r="155">
      <c r="F155" s="61"/>
      <c r="G155" s="61"/>
      <c r="H155" s="61"/>
      <c r="I155" s="61"/>
      <c r="J155" s="61"/>
      <c r="K155" s="61"/>
      <c r="L155" s="61"/>
      <c r="M155" s="61"/>
      <c r="N155" s="61"/>
    </row>
    <row r="156">
      <c r="F156" s="61"/>
      <c r="G156" s="61"/>
      <c r="H156" s="61"/>
      <c r="I156" s="61"/>
      <c r="J156" s="61"/>
      <c r="K156" s="61"/>
      <c r="L156" s="61"/>
      <c r="M156" s="61"/>
      <c r="N156" s="61"/>
    </row>
    <row r="157">
      <c r="F157" s="61"/>
      <c r="G157" s="61"/>
      <c r="H157" s="61"/>
      <c r="I157" s="61"/>
      <c r="J157" s="61"/>
      <c r="K157" s="61"/>
      <c r="L157" s="61"/>
      <c r="M157" s="61"/>
      <c r="N157" s="61"/>
    </row>
    <row r="158">
      <c r="F158" s="61"/>
      <c r="G158" s="61"/>
      <c r="H158" s="61"/>
      <c r="I158" s="61"/>
      <c r="J158" s="61"/>
      <c r="K158" s="61"/>
      <c r="L158" s="61"/>
      <c r="M158" s="61"/>
      <c r="N158" s="61"/>
    </row>
    <row r="159">
      <c r="F159" s="61"/>
      <c r="G159" s="61"/>
      <c r="H159" s="61"/>
      <c r="I159" s="61"/>
      <c r="J159" s="61"/>
      <c r="K159" s="61"/>
      <c r="L159" s="61"/>
      <c r="M159" s="61"/>
      <c r="N159" s="61"/>
    </row>
    <row r="160">
      <c r="F160" s="61"/>
      <c r="G160" s="61"/>
      <c r="H160" s="61"/>
      <c r="I160" s="61"/>
      <c r="J160" s="61"/>
      <c r="K160" s="61"/>
      <c r="L160" s="61"/>
      <c r="M160" s="61"/>
      <c r="N160" s="61"/>
    </row>
    <row r="161">
      <c r="F161" s="61"/>
      <c r="G161" s="61"/>
      <c r="H161" s="61"/>
      <c r="I161" s="61"/>
      <c r="J161" s="61"/>
      <c r="K161" s="61"/>
      <c r="L161" s="61"/>
      <c r="M161" s="61"/>
      <c r="N161" s="61"/>
    </row>
    <row r="162">
      <c r="F162" s="61"/>
      <c r="G162" s="61"/>
      <c r="H162" s="61"/>
      <c r="I162" s="61"/>
      <c r="J162" s="61"/>
      <c r="K162" s="61"/>
      <c r="L162" s="61"/>
      <c r="M162" s="61"/>
      <c r="N162" s="61"/>
    </row>
    <row r="163">
      <c r="F163" s="61"/>
      <c r="G163" s="61"/>
      <c r="H163" s="61"/>
      <c r="I163" s="61"/>
      <c r="J163" s="61"/>
      <c r="K163" s="61"/>
      <c r="L163" s="61"/>
      <c r="M163" s="61"/>
      <c r="N163" s="61"/>
    </row>
    <row r="164">
      <c r="F164" s="61"/>
      <c r="G164" s="61"/>
      <c r="H164" s="61"/>
      <c r="I164" s="61"/>
      <c r="J164" s="61"/>
      <c r="K164" s="61"/>
      <c r="L164" s="61"/>
      <c r="M164" s="61"/>
      <c r="N164" s="61"/>
    </row>
    <row r="165">
      <c r="F165" s="61"/>
      <c r="G165" s="61"/>
      <c r="H165" s="61"/>
      <c r="I165" s="61"/>
      <c r="J165" s="61"/>
      <c r="K165" s="61"/>
      <c r="L165" s="61"/>
      <c r="M165" s="61"/>
      <c r="N165" s="61"/>
    </row>
    <row r="166">
      <c r="F166" s="61"/>
      <c r="G166" s="61"/>
      <c r="H166" s="61"/>
      <c r="I166" s="61"/>
      <c r="J166" s="61"/>
      <c r="K166" s="61"/>
      <c r="L166" s="61"/>
      <c r="M166" s="61"/>
      <c r="N166" s="61"/>
    </row>
    <row r="167">
      <c r="F167" s="61"/>
      <c r="G167" s="61"/>
      <c r="H167" s="61"/>
      <c r="I167" s="61"/>
      <c r="J167" s="61"/>
      <c r="K167" s="61"/>
      <c r="L167" s="61"/>
      <c r="M167" s="61"/>
      <c r="N167" s="61"/>
    </row>
    <row r="168">
      <c r="F168" s="61"/>
      <c r="G168" s="61"/>
      <c r="H168" s="61"/>
      <c r="I168" s="61"/>
      <c r="J168" s="61"/>
      <c r="K168" s="61"/>
      <c r="L168" s="61"/>
      <c r="M168" s="61"/>
      <c r="N168" s="61"/>
    </row>
    <row r="169">
      <c r="F169" s="61"/>
      <c r="G169" s="61"/>
      <c r="H169" s="61"/>
      <c r="I169" s="61"/>
      <c r="J169" s="61"/>
      <c r="K169" s="61"/>
      <c r="L169" s="61"/>
      <c r="M169" s="61"/>
      <c r="N169" s="61"/>
    </row>
    <row r="170">
      <c r="F170" s="61"/>
      <c r="G170" s="61"/>
      <c r="H170" s="61"/>
      <c r="I170" s="61"/>
      <c r="J170" s="61"/>
      <c r="K170" s="61"/>
      <c r="L170" s="61"/>
      <c r="M170" s="61"/>
      <c r="N170" s="61"/>
    </row>
    <row r="171">
      <c r="F171" s="61"/>
      <c r="G171" s="61"/>
      <c r="H171" s="61"/>
      <c r="I171" s="61"/>
      <c r="J171" s="61"/>
      <c r="K171" s="61"/>
      <c r="L171" s="61"/>
      <c r="M171" s="61"/>
      <c r="N171" s="61"/>
    </row>
    <row r="172">
      <c r="F172" s="61"/>
      <c r="G172" s="61"/>
      <c r="H172" s="61"/>
      <c r="I172" s="61"/>
      <c r="J172" s="61"/>
      <c r="K172" s="61"/>
      <c r="L172" s="61"/>
      <c r="M172" s="61"/>
      <c r="N172" s="61"/>
    </row>
    <row r="173">
      <c r="F173" s="61"/>
      <c r="G173" s="61"/>
      <c r="H173" s="61"/>
      <c r="I173" s="61"/>
      <c r="J173" s="61"/>
      <c r="K173" s="61"/>
      <c r="L173" s="61"/>
      <c r="M173" s="61"/>
      <c r="N173" s="61"/>
    </row>
    <row r="174">
      <c r="F174" s="61"/>
      <c r="G174" s="61"/>
      <c r="H174" s="61"/>
      <c r="I174" s="61"/>
      <c r="J174" s="61"/>
      <c r="K174" s="61"/>
      <c r="L174" s="61"/>
      <c r="M174" s="61"/>
      <c r="N174" s="61"/>
    </row>
    <row r="175">
      <c r="F175" s="61"/>
      <c r="G175" s="61"/>
      <c r="H175" s="61"/>
      <c r="I175" s="61"/>
      <c r="J175" s="61"/>
      <c r="K175" s="61"/>
      <c r="L175" s="61"/>
      <c r="M175" s="61"/>
      <c r="N175" s="61"/>
    </row>
    <row r="176">
      <c r="F176" s="61"/>
      <c r="G176" s="61"/>
      <c r="H176" s="61"/>
      <c r="I176" s="61"/>
      <c r="J176" s="61"/>
      <c r="K176" s="61"/>
      <c r="L176" s="61"/>
      <c r="M176" s="61"/>
      <c r="N176" s="61"/>
    </row>
    <row r="177">
      <c r="F177" s="61"/>
      <c r="G177" s="61"/>
      <c r="H177" s="61"/>
      <c r="I177" s="61"/>
      <c r="J177" s="61"/>
      <c r="K177" s="61"/>
      <c r="L177" s="61"/>
      <c r="M177" s="61"/>
      <c r="N177" s="61"/>
    </row>
    <row r="178">
      <c r="F178" s="61"/>
      <c r="G178" s="61"/>
      <c r="H178" s="61"/>
      <c r="I178" s="61"/>
      <c r="J178" s="61"/>
      <c r="K178" s="61"/>
      <c r="L178" s="61"/>
      <c r="M178" s="61"/>
      <c r="N178" s="61"/>
    </row>
    <row r="179">
      <c r="F179" s="61"/>
      <c r="G179" s="61"/>
      <c r="H179" s="61"/>
      <c r="I179" s="61"/>
      <c r="J179" s="61"/>
      <c r="K179" s="61"/>
      <c r="L179" s="61"/>
      <c r="M179" s="61"/>
      <c r="N179" s="61"/>
    </row>
    <row r="180">
      <c r="F180" s="61"/>
      <c r="G180" s="61"/>
      <c r="H180" s="61"/>
      <c r="I180" s="61"/>
      <c r="J180" s="61"/>
      <c r="K180" s="61"/>
      <c r="L180" s="61"/>
      <c r="M180" s="61"/>
      <c r="N180" s="61"/>
    </row>
    <row r="181">
      <c r="F181" s="61"/>
      <c r="G181" s="61"/>
      <c r="H181" s="61"/>
      <c r="I181" s="61"/>
      <c r="J181" s="61"/>
      <c r="K181" s="61"/>
      <c r="L181" s="61"/>
      <c r="M181" s="61"/>
      <c r="N181" s="61"/>
    </row>
    <row r="182">
      <c r="F182" s="61"/>
      <c r="G182" s="61"/>
      <c r="H182" s="61"/>
      <c r="I182" s="61"/>
      <c r="J182" s="61"/>
      <c r="K182" s="61"/>
      <c r="L182" s="61"/>
      <c r="M182" s="61"/>
      <c r="N182" s="61"/>
    </row>
    <row r="183">
      <c r="F183" s="61"/>
      <c r="G183" s="61"/>
      <c r="H183" s="61"/>
      <c r="I183" s="61"/>
      <c r="J183" s="61"/>
      <c r="K183" s="61"/>
      <c r="L183" s="61"/>
      <c r="M183" s="61"/>
      <c r="N183" s="61"/>
    </row>
    <row r="184">
      <c r="F184" s="61"/>
      <c r="G184" s="61"/>
      <c r="H184" s="61"/>
      <c r="I184" s="61"/>
      <c r="J184" s="61"/>
      <c r="K184" s="61"/>
      <c r="L184" s="61"/>
      <c r="M184" s="61"/>
      <c r="N184" s="61"/>
    </row>
    <row r="185">
      <c r="F185" s="61"/>
      <c r="G185" s="61"/>
      <c r="H185" s="61"/>
      <c r="I185" s="61"/>
      <c r="J185" s="61"/>
      <c r="K185" s="61"/>
      <c r="L185" s="61"/>
      <c r="M185" s="61"/>
      <c r="N185" s="61"/>
    </row>
    <row r="186">
      <c r="F186" s="61"/>
      <c r="G186" s="61"/>
      <c r="H186" s="61"/>
      <c r="I186" s="61"/>
      <c r="J186" s="61"/>
      <c r="K186" s="61"/>
      <c r="L186" s="61"/>
      <c r="M186" s="61"/>
      <c r="N186" s="61"/>
    </row>
    <row r="187">
      <c r="F187" s="61"/>
      <c r="G187" s="61"/>
      <c r="H187" s="61"/>
      <c r="I187" s="61"/>
      <c r="J187" s="61"/>
      <c r="K187" s="61"/>
      <c r="L187" s="61"/>
      <c r="M187" s="61"/>
      <c r="N187" s="61"/>
    </row>
    <row r="188">
      <c r="F188" s="61"/>
      <c r="G188" s="61"/>
      <c r="H188" s="61"/>
      <c r="I188" s="61"/>
      <c r="J188" s="61"/>
      <c r="K188" s="61"/>
      <c r="L188" s="61"/>
      <c r="M188" s="61"/>
      <c r="N188" s="61"/>
    </row>
    <row r="189">
      <c r="F189" s="61"/>
      <c r="G189" s="61"/>
      <c r="H189" s="61"/>
      <c r="I189" s="61"/>
      <c r="J189" s="61"/>
      <c r="K189" s="61"/>
      <c r="L189" s="61"/>
      <c r="M189" s="61"/>
      <c r="N189" s="61"/>
    </row>
    <row r="190">
      <c r="F190" s="61"/>
      <c r="G190" s="61"/>
      <c r="H190" s="61"/>
      <c r="I190" s="61"/>
      <c r="J190" s="61"/>
      <c r="K190" s="61"/>
      <c r="L190" s="61"/>
      <c r="M190" s="61"/>
      <c r="N190" s="61"/>
    </row>
    <row r="191">
      <c r="F191" s="61"/>
      <c r="G191" s="61"/>
      <c r="H191" s="61"/>
      <c r="I191" s="61"/>
      <c r="J191" s="61"/>
      <c r="K191" s="61"/>
      <c r="L191" s="61"/>
      <c r="M191" s="61"/>
      <c r="N191" s="61"/>
    </row>
    <row r="192">
      <c r="F192" s="61"/>
      <c r="G192" s="61"/>
      <c r="H192" s="61"/>
      <c r="I192" s="61"/>
      <c r="J192" s="61"/>
      <c r="K192" s="61"/>
      <c r="L192" s="61"/>
      <c r="M192" s="61"/>
      <c r="N192" s="61"/>
    </row>
    <row r="193">
      <c r="F193" s="61"/>
      <c r="G193" s="61"/>
      <c r="H193" s="61"/>
      <c r="I193" s="61"/>
      <c r="J193" s="61"/>
      <c r="K193" s="61"/>
      <c r="L193" s="61"/>
      <c r="M193" s="61"/>
      <c r="N193" s="61"/>
    </row>
    <row r="194">
      <c r="F194" s="61"/>
      <c r="G194" s="61"/>
      <c r="H194" s="61"/>
      <c r="I194" s="61"/>
      <c r="J194" s="61"/>
      <c r="K194" s="61"/>
      <c r="L194" s="61"/>
      <c r="M194" s="61"/>
      <c r="N194" s="61"/>
    </row>
    <row r="195">
      <c r="F195" s="61"/>
      <c r="G195" s="61"/>
      <c r="H195" s="61"/>
      <c r="I195" s="61"/>
      <c r="J195" s="61"/>
      <c r="K195" s="61"/>
      <c r="L195" s="61"/>
      <c r="M195" s="61"/>
      <c r="N195" s="61"/>
    </row>
    <row r="196">
      <c r="F196" s="61"/>
      <c r="G196" s="61"/>
      <c r="H196" s="61"/>
      <c r="I196" s="61"/>
      <c r="J196" s="61"/>
      <c r="K196" s="61"/>
      <c r="L196" s="61"/>
      <c r="M196" s="61"/>
      <c r="N196" s="61"/>
    </row>
    <row r="197">
      <c r="F197" s="61"/>
      <c r="G197" s="61"/>
      <c r="H197" s="61"/>
      <c r="I197" s="61"/>
      <c r="J197" s="61"/>
      <c r="K197" s="61"/>
      <c r="L197" s="61"/>
      <c r="M197" s="61"/>
      <c r="N197" s="61"/>
    </row>
    <row r="198">
      <c r="F198" s="61"/>
      <c r="G198" s="61"/>
      <c r="H198" s="61"/>
      <c r="I198" s="61"/>
      <c r="J198" s="61"/>
      <c r="K198" s="61"/>
      <c r="L198" s="61"/>
      <c r="M198" s="61"/>
      <c r="N198" s="61"/>
    </row>
    <row r="199">
      <c r="F199" s="61"/>
      <c r="G199" s="61"/>
      <c r="H199" s="61"/>
      <c r="I199" s="61"/>
      <c r="J199" s="61"/>
      <c r="K199" s="61"/>
      <c r="L199" s="61"/>
      <c r="M199" s="61"/>
      <c r="N199" s="61"/>
    </row>
    <row r="200">
      <c r="F200" s="61"/>
      <c r="G200" s="61"/>
      <c r="H200" s="61"/>
      <c r="I200" s="61"/>
      <c r="J200" s="61"/>
      <c r="K200" s="61"/>
      <c r="L200" s="61"/>
      <c r="M200" s="61"/>
      <c r="N200" s="61"/>
    </row>
    <row r="201">
      <c r="F201" s="61"/>
      <c r="G201" s="61"/>
      <c r="H201" s="61"/>
      <c r="I201" s="61"/>
      <c r="J201" s="61"/>
      <c r="K201" s="61"/>
      <c r="L201" s="61"/>
      <c r="M201" s="61"/>
      <c r="N201" s="61"/>
    </row>
    <row r="202">
      <c r="F202" s="61"/>
      <c r="G202" s="61"/>
      <c r="H202" s="61"/>
      <c r="I202" s="61"/>
      <c r="J202" s="61"/>
      <c r="K202" s="61"/>
      <c r="L202" s="61"/>
      <c r="M202" s="61"/>
      <c r="N202" s="61"/>
    </row>
    <row r="203">
      <c r="F203" s="61"/>
      <c r="G203" s="61"/>
      <c r="H203" s="61"/>
      <c r="I203" s="61"/>
      <c r="J203" s="61"/>
      <c r="K203" s="61"/>
      <c r="L203" s="61"/>
      <c r="M203" s="61"/>
      <c r="N203" s="61"/>
    </row>
    <row r="204">
      <c r="F204" s="61"/>
      <c r="G204" s="61"/>
      <c r="H204" s="61"/>
      <c r="I204" s="61"/>
      <c r="J204" s="61"/>
      <c r="K204" s="61"/>
      <c r="L204" s="61"/>
      <c r="M204" s="61"/>
      <c r="N204" s="61"/>
    </row>
    <row r="205">
      <c r="F205" s="61"/>
      <c r="G205" s="61"/>
      <c r="H205" s="61"/>
      <c r="I205" s="61"/>
      <c r="J205" s="61"/>
      <c r="K205" s="61"/>
      <c r="L205" s="61"/>
      <c r="M205" s="61"/>
      <c r="N205" s="61"/>
    </row>
    <row r="206">
      <c r="F206" s="61"/>
      <c r="G206" s="61"/>
      <c r="H206" s="61"/>
      <c r="I206" s="61"/>
      <c r="J206" s="61"/>
      <c r="K206" s="61"/>
      <c r="L206" s="61"/>
      <c r="M206" s="61"/>
      <c r="N206" s="61"/>
    </row>
    <row r="207">
      <c r="F207" s="61"/>
      <c r="G207" s="61"/>
      <c r="H207" s="61"/>
      <c r="I207" s="61"/>
      <c r="J207" s="61"/>
      <c r="K207" s="61"/>
      <c r="L207" s="61"/>
      <c r="M207" s="61"/>
      <c r="N207" s="61"/>
    </row>
    <row r="208">
      <c r="F208" s="61"/>
      <c r="G208" s="61"/>
      <c r="H208" s="61"/>
      <c r="I208" s="61"/>
      <c r="J208" s="61"/>
      <c r="K208" s="61"/>
      <c r="L208" s="61"/>
      <c r="M208" s="61"/>
      <c r="N208" s="61"/>
    </row>
    <row r="209">
      <c r="F209" s="61"/>
      <c r="G209" s="61"/>
      <c r="H209" s="61"/>
      <c r="I209" s="61"/>
      <c r="J209" s="61"/>
      <c r="K209" s="61"/>
      <c r="L209" s="61"/>
      <c r="M209" s="61"/>
      <c r="N209" s="61"/>
    </row>
    <row r="210">
      <c r="F210" s="61"/>
      <c r="G210" s="61"/>
      <c r="H210" s="61"/>
      <c r="I210" s="61"/>
      <c r="J210" s="61"/>
      <c r="K210" s="61"/>
      <c r="L210" s="61"/>
      <c r="M210" s="61"/>
      <c r="N210" s="61"/>
    </row>
    <row r="211">
      <c r="F211" s="61"/>
      <c r="G211" s="61"/>
      <c r="H211" s="61"/>
      <c r="I211" s="61"/>
      <c r="J211" s="61"/>
      <c r="K211" s="61"/>
      <c r="L211" s="61"/>
      <c r="M211" s="61"/>
      <c r="N211" s="61"/>
    </row>
    <row r="212">
      <c r="F212" s="61"/>
      <c r="G212" s="61"/>
      <c r="H212" s="61"/>
      <c r="I212" s="61"/>
      <c r="J212" s="61"/>
      <c r="K212" s="61"/>
      <c r="L212" s="61"/>
      <c r="M212" s="61"/>
      <c r="N212" s="61"/>
    </row>
    <row r="213">
      <c r="F213" s="61"/>
      <c r="G213" s="61"/>
      <c r="H213" s="61"/>
      <c r="I213" s="61"/>
      <c r="J213" s="61"/>
      <c r="K213" s="61"/>
      <c r="L213" s="61"/>
      <c r="M213" s="61"/>
      <c r="N213" s="61"/>
    </row>
    <row r="214">
      <c r="F214" s="61"/>
      <c r="G214" s="61"/>
      <c r="H214" s="61"/>
      <c r="I214" s="61"/>
      <c r="J214" s="61"/>
      <c r="K214" s="61"/>
      <c r="L214" s="61"/>
      <c r="M214" s="61"/>
      <c r="N214" s="61"/>
    </row>
    <row r="215">
      <c r="F215" s="61"/>
      <c r="G215" s="61"/>
      <c r="H215" s="61"/>
      <c r="I215" s="61"/>
      <c r="J215" s="61"/>
      <c r="K215" s="61"/>
      <c r="L215" s="61"/>
      <c r="M215" s="61"/>
      <c r="N215" s="61"/>
    </row>
    <row r="216">
      <c r="F216" s="61"/>
      <c r="G216" s="61"/>
      <c r="H216" s="61"/>
      <c r="I216" s="61"/>
      <c r="J216" s="61"/>
      <c r="K216" s="61"/>
      <c r="L216" s="61"/>
      <c r="M216" s="61"/>
      <c r="N216" s="61"/>
    </row>
    <row r="217">
      <c r="F217" s="61"/>
      <c r="G217" s="61"/>
      <c r="H217" s="61"/>
      <c r="I217" s="61"/>
      <c r="J217" s="61"/>
      <c r="K217" s="61"/>
      <c r="L217" s="61"/>
      <c r="M217" s="61"/>
      <c r="N217" s="61"/>
    </row>
    <row r="218">
      <c r="F218" s="61"/>
      <c r="G218" s="61"/>
      <c r="H218" s="61"/>
      <c r="I218" s="61"/>
      <c r="J218" s="61"/>
      <c r="K218" s="61"/>
      <c r="L218" s="61"/>
      <c r="M218" s="61"/>
      <c r="N218" s="61"/>
    </row>
    <row r="219">
      <c r="F219" s="61"/>
      <c r="G219" s="61"/>
      <c r="H219" s="61"/>
      <c r="I219" s="61"/>
      <c r="J219" s="61"/>
      <c r="K219" s="61"/>
      <c r="L219" s="61"/>
      <c r="M219" s="61"/>
      <c r="N219" s="61"/>
    </row>
    <row r="220">
      <c r="F220" s="61"/>
      <c r="G220" s="61"/>
      <c r="H220" s="61"/>
      <c r="I220" s="61"/>
      <c r="J220" s="61"/>
      <c r="K220" s="61"/>
      <c r="L220" s="61"/>
      <c r="M220" s="61"/>
      <c r="N220" s="61"/>
    </row>
    <row r="221">
      <c r="F221" s="61"/>
      <c r="G221" s="61"/>
      <c r="H221" s="61"/>
      <c r="I221" s="61"/>
      <c r="J221" s="61"/>
      <c r="K221" s="61"/>
      <c r="L221" s="61"/>
      <c r="M221" s="61"/>
      <c r="N221" s="61"/>
    </row>
    <row r="222">
      <c r="F222" s="61"/>
      <c r="G222" s="61"/>
      <c r="H222" s="61"/>
      <c r="I222" s="61"/>
      <c r="J222" s="61"/>
      <c r="K222" s="61"/>
      <c r="L222" s="61"/>
      <c r="M222" s="61"/>
      <c r="N222" s="61"/>
    </row>
    <row r="223">
      <c r="F223" s="61"/>
      <c r="G223" s="61"/>
      <c r="H223" s="61"/>
      <c r="I223" s="61"/>
      <c r="J223" s="61"/>
      <c r="K223" s="61"/>
      <c r="L223" s="61"/>
      <c r="M223" s="61"/>
      <c r="N223" s="61"/>
    </row>
    <row r="224">
      <c r="F224" s="61"/>
      <c r="G224" s="61"/>
      <c r="H224" s="61"/>
      <c r="I224" s="61"/>
      <c r="J224" s="61"/>
      <c r="K224" s="61"/>
      <c r="L224" s="61"/>
      <c r="M224" s="61"/>
      <c r="N224" s="61"/>
    </row>
    <row r="225">
      <c r="F225" s="61"/>
      <c r="G225" s="61"/>
      <c r="H225" s="61"/>
      <c r="I225" s="61"/>
      <c r="J225" s="61"/>
      <c r="K225" s="61"/>
      <c r="L225" s="61"/>
      <c r="M225" s="61"/>
      <c r="N225" s="61"/>
    </row>
    <row r="226">
      <c r="F226" s="61"/>
      <c r="G226" s="61"/>
      <c r="H226" s="61"/>
      <c r="I226" s="61"/>
      <c r="J226" s="61"/>
      <c r="K226" s="61"/>
      <c r="L226" s="61"/>
      <c r="M226" s="61"/>
      <c r="N226" s="61"/>
    </row>
    <row r="227">
      <c r="F227" s="61"/>
      <c r="G227" s="61"/>
      <c r="H227" s="61"/>
      <c r="I227" s="61"/>
      <c r="J227" s="61"/>
      <c r="K227" s="61"/>
      <c r="L227" s="61"/>
      <c r="M227" s="61"/>
      <c r="N227" s="61"/>
    </row>
    <row r="228">
      <c r="F228" s="61"/>
      <c r="G228" s="61"/>
      <c r="H228" s="61"/>
      <c r="I228" s="61"/>
      <c r="J228" s="61"/>
      <c r="K228" s="61"/>
      <c r="L228" s="61"/>
      <c r="M228" s="61"/>
      <c r="N228" s="61"/>
    </row>
    <row r="229">
      <c r="F229" s="61"/>
      <c r="G229" s="61"/>
      <c r="H229" s="61"/>
      <c r="I229" s="61"/>
      <c r="J229" s="61"/>
      <c r="K229" s="61"/>
      <c r="L229" s="61"/>
      <c r="M229" s="61"/>
      <c r="N229" s="61"/>
    </row>
    <row r="230">
      <c r="F230" s="61"/>
      <c r="G230" s="61"/>
      <c r="H230" s="61"/>
      <c r="I230" s="61"/>
      <c r="J230" s="61"/>
      <c r="K230" s="61"/>
      <c r="L230" s="61"/>
      <c r="M230" s="61"/>
      <c r="N230" s="61"/>
    </row>
    <row r="231">
      <c r="F231" s="61"/>
      <c r="G231" s="61"/>
      <c r="H231" s="61"/>
      <c r="I231" s="61"/>
      <c r="J231" s="61"/>
      <c r="K231" s="61"/>
      <c r="L231" s="61"/>
      <c r="M231" s="61"/>
      <c r="N231" s="61"/>
    </row>
    <row r="232">
      <c r="F232" s="61"/>
      <c r="G232" s="61"/>
      <c r="H232" s="61"/>
      <c r="I232" s="61"/>
      <c r="J232" s="61"/>
      <c r="K232" s="61"/>
      <c r="L232" s="61"/>
      <c r="M232" s="61"/>
      <c r="N232" s="61"/>
    </row>
    <row r="233">
      <c r="F233" s="61"/>
      <c r="G233" s="61"/>
      <c r="H233" s="61"/>
      <c r="I233" s="61"/>
      <c r="J233" s="61"/>
      <c r="K233" s="61"/>
      <c r="L233" s="61"/>
      <c r="M233" s="61"/>
      <c r="N233" s="61"/>
    </row>
    <row r="234">
      <c r="F234" s="61"/>
      <c r="G234" s="61"/>
      <c r="H234" s="61"/>
      <c r="I234" s="61"/>
      <c r="J234" s="61"/>
      <c r="K234" s="61"/>
      <c r="L234" s="61"/>
      <c r="M234" s="61"/>
      <c r="N234" s="61"/>
    </row>
    <row r="235">
      <c r="F235" s="61"/>
      <c r="G235" s="61"/>
      <c r="H235" s="61"/>
      <c r="I235" s="61"/>
      <c r="J235" s="61"/>
      <c r="K235" s="61"/>
      <c r="L235" s="61"/>
      <c r="M235" s="61"/>
      <c r="N235" s="61"/>
    </row>
    <row r="236">
      <c r="F236" s="61"/>
      <c r="G236" s="61"/>
      <c r="H236" s="61"/>
      <c r="I236" s="61"/>
      <c r="J236" s="61"/>
      <c r="K236" s="61"/>
      <c r="L236" s="61"/>
      <c r="M236" s="61"/>
      <c r="N236" s="61"/>
    </row>
    <row r="237">
      <c r="F237" s="61"/>
      <c r="G237" s="61"/>
      <c r="H237" s="61"/>
      <c r="I237" s="61"/>
      <c r="J237" s="61"/>
      <c r="K237" s="61"/>
      <c r="L237" s="61"/>
      <c r="M237" s="61"/>
      <c r="N237" s="61"/>
    </row>
    <row r="238">
      <c r="F238" s="61"/>
      <c r="G238" s="61"/>
      <c r="H238" s="61"/>
      <c r="I238" s="61"/>
      <c r="J238" s="61"/>
      <c r="K238" s="61"/>
      <c r="L238" s="61"/>
      <c r="M238" s="61"/>
      <c r="N238" s="61"/>
    </row>
    <row r="239">
      <c r="F239" s="61"/>
      <c r="G239" s="61"/>
      <c r="H239" s="61"/>
      <c r="I239" s="61"/>
      <c r="J239" s="61"/>
      <c r="K239" s="61"/>
      <c r="L239" s="61"/>
      <c r="M239" s="61"/>
      <c r="N239" s="61"/>
    </row>
    <row r="240">
      <c r="F240" s="61"/>
      <c r="G240" s="61"/>
      <c r="H240" s="61"/>
      <c r="I240" s="61"/>
      <c r="J240" s="61"/>
      <c r="K240" s="61"/>
      <c r="L240" s="61"/>
      <c r="M240" s="61"/>
      <c r="N240" s="61"/>
    </row>
    <row r="241">
      <c r="F241" s="61"/>
      <c r="G241" s="61"/>
      <c r="H241" s="61"/>
      <c r="I241" s="61"/>
      <c r="J241" s="61"/>
      <c r="K241" s="61"/>
      <c r="L241" s="61"/>
      <c r="M241" s="61"/>
      <c r="N241" s="61"/>
    </row>
    <row r="242">
      <c r="F242" s="61"/>
      <c r="G242" s="61"/>
      <c r="H242" s="61"/>
      <c r="I242" s="61"/>
      <c r="J242" s="61"/>
      <c r="K242" s="61"/>
      <c r="L242" s="61"/>
      <c r="M242" s="61"/>
      <c r="N242" s="61"/>
    </row>
    <row r="243">
      <c r="F243" s="61"/>
      <c r="G243" s="61"/>
      <c r="H243" s="61"/>
      <c r="I243" s="61"/>
      <c r="J243" s="61"/>
      <c r="K243" s="61"/>
      <c r="L243" s="61"/>
      <c r="M243" s="61"/>
      <c r="N243" s="61"/>
    </row>
    <row r="244">
      <c r="F244" s="61"/>
      <c r="G244" s="61"/>
      <c r="H244" s="61"/>
      <c r="I244" s="61"/>
      <c r="J244" s="61"/>
      <c r="K244" s="61"/>
      <c r="L244" s="61"/>
      <c r="M244" s="61"/>
      <c r="N244" s="61"/>
    </row>
    <row r="245">
      <c r="F245" s="61"/>
      <c r="G245" s="61"/>
      <c r="H245" s="61"/>
      <c r="I245" s="61"/>
      <c r="J245" s="61"/>
      <c r="K245" s="61"/>
      <c r="L245" s="61"/>
      <c r="M245" s="61"/>
      <c r="N245" s="61"/>
    </row>
    <row r="246">
      <c r="F246" s="61"/>
      <c r="G246" s="61"/>
      <c r="H246" s="61"/>
      <c r="I246" s="61"/>
      <c r="J246" s="61"/>
      <c r="K246" s="61"/>
      <c r="L246" s="61"/>
      <c r="M246" s="61"/>
      <c r="N246" s="61"/>
    </row>
    <row r="247">
      <c r="F247" s="61"/>
      <c r="G247" s="61"/>
      <c r="H247" s="61"/>
      <c r="I247" s="61"/>
      <c r="J247" s="61"/>
      <c r="K247" s="61"/>
      <c r="L247" s="61"/>
      <c r="M247" s="61"/>
      <c r="N247" s="61"/>
    </row>
    <row r="248">
      <c r="F248" s="61"/>
      <c r="G248" s="61"/>
      <c r="H248" s="61"/>
      <c r="I248" s="61"/>
      <c r="J248" s="61"/>
      <c r="K248" s="61"/>
      <c r="L248" s="61"/>
      <c r="M248" s="61"/>
      <c r="N248" s="61"/>
    </row>
    <row r="249">
      <c r="F249" s="61"/>
      <c r="G249" s="61"/>
      <c r="H249" s="61"/>
      <c r="I249" s="61"/>
      <c r="J249" s="61"/>
      <c r="K249" s="61"/>
      <c r="L249" s="61"/>
      <c r="M249" s="61"/>
      <c r="N249" s="61"/>
    </row>
    <row r="250">
      <c r="F250" s="61"/>
      <c r="G250" s="61"/>
      <c r="H250" s="61"/>
      <c r="I250" s="61"/>
      <c r="J250" s="61"/>
      <c r="K250" s="61"/>
      <c r="L250" s="61"/>
      <c r="M250" s="61"/>
      <c r="N250" s="61"/>
    </row>
    <row r="251">
      <c r="F251" s="61"/>
      <c r="G251" s="61"/>
      <c r="H251" s="61"/>
      <c r="I251" s="61"/>
      <c r="J251" s="61"/>
      <c r="K251" s="61"/>
      <c r="L251" s="61"/>
      <c r="M251" s="61"/>
      <c r="N251" s="61"/>
    </row>
    <row r="252">
      <c r="F252" s="61"/>
      <c r="G252" s="61"/>
      <c r="H252" s="61"/>
      <c r="I252" s="61"/>
      <c r="J252" s="61"/>
      <c r="K252" s="61"/>
      <c r="L252" s="61"/>
      <c r="M252" s="61"/>
      <c r="N252" s="61"/>
    </row>
    <row r="253">
      <c r="F253" s="61"/>
      <c r="G253" s="61"/>
      <c r="H253" s="61"/>
      <c r="I253" s="61"/>
      <c r="J253" s="61"/>
      <c r="K253" s="61"/>
      <c r="L253" s="61"/>
      <c r="M253" s="61"/>
      <c r="N253" s="61"/>
    </row>
    <row r="254">
      <c r="F254" s="61"/>
      <c r="G254" s="61"/>
      <c r="H254" s="61"/>
      <c r="I254" s="61"/>
      <c r="J254" s="61"/>
      <c r="K254" s="61"/>
      <c r="L254" s="61"/>
      <c r="M254" s="61"/>
      <c r="N254" s="61"/>
    </row>
    <row r="255">
      <c r="F255" s="61"/>
      <c r="G255" s="61"/>
      <c r="H255" s="61"/>
      <c r="I255" s="61"/>
      <c r="J255" s="61"/>
      <c r="K255" s="61"/>
      <c r="L255" s="61"/>
      <c r="M255" s="61"/>
      <c r="N255" s="61"/>
    </row>
    <row r="256">
      <c r="F256" s="61"/>
      <c r="G256" s="61"/>
      <c r="H256" s="61"/>
      <c r="I256" s="61"/>
      <c r="J256" s="61"/>
      <c r="K256" s="61"/>
      <c r="L256" s="61"/>
      <c r="M256" s="61"/>
      <c r="N256" s="61"/>
    </row>
    <row r="257">
      <c r="F257" s="61"/>
      <c r="G257" s="61"/>
      <c r="H257" s="61"/>
      <c r="I257" s="61"/>
      <c r="J257" s="61"/>
      <c r="K257" s="61"/>
      <c r="L257" s="61"/>
      <c r="M257" s="61"/>
      <c r="N257" s="61"/>
    </row>
    <row r="258">
      <c r="F258" s="61"/>
      <c r="G258" s="61"/>
      <c r="H258" s="61"/>
      <c r="I258" s="61"/>
      <c r="J258" s="61"/>
      <c r="K258" s="61"/>
      <c r="L258" s="61"/>
      <c r="M258" s="61"/>
      <c r="N258" s="61"/>
    </row>
    <row r="259">
      <c r="F259" s="61"/>
      <c r="G259" s="61"/>
      <c r="H259" s="61"/>
      <c r="I259" s="61"/>
      <c r="J259" s="61"/>
      <c r="K259" s="61"/>
      <c r="L259" s="61"/>
      <c r="M259" s="61"/>
      <c r="N259" s="61"/>
    </row>
    <row r="260">
      <c r="F260" s="61"/>
      <c r="G260" s="61"/>
      <c r="H260" s="61"/>
      <c r="I260" s="61"/>
      <c r="J260" s="61"/>
      <c r="K260" s="61"/>
      <c r="L260" s="61"/>
      <c r="M260" s="61"/>
      <c r="N260" s="61"/>
    </row>
    <row r="261">
      <c r="F261" s="61"/>
      <c r="G261" s="61"/>
      <c r="H261" s="61"/>
      <c r="I261" s="61"/>
      <c r="J261" s="61"/>
      <c r="K261" s="61"/>
      <c r="L261" s="61"/>
      <c r="M261" s="61"/>
      <c r="N261" s="61"/>
    </row>
    <row r="262">
      <c r="F262" s="61"/>
      <c r="G262" s="61"/>
      <c r="H262" s="61"/>
      <c r="I262" s="61"/>
      <c r="J262" s="61"/>
      <c r="K262" s="61"/>
      <c r="L262" s="61"/>
      <c r="M262" s="61"/>
      <c r="N262" s="61"/>
    </row>
    <row r="263">
      <c r="F263" s="61"/>
      <c r="G263" s="61"/>
      <c r="H263" s="61"/>
      <c r="I263" s="61"/>
      <c r="J263" s="61"/>
      <c r="K263" s="61"/>
      <c r="L263" s="61"/>
      <c r="M263" s="61"/>
      <c r="N263" s="61"/>
    </row>
    <row r="264">
      <c r="F264" s="61"/>
      <c r="G264" s="61"/>
      <c r="H264" s="61"/>
      <c r="I264" s="61"/>
      <c r="J264" s="61"/>
      <c r="K264" s="61"/>
      <c r="L264" s="61"/>
      <c r="M264" s="61"/>
      <c r="N264" s="61"/>
    </row>
    <row r="265">
      <c r="F265" s="61"/>
      <c r="G265" s="61"/>
      <c r="H265" s="61"/>
      <c r="I265" s="61"/>
      <c r="J265" s="61"/>
      <c r="K265" s="61"/>
      <c r="L265" s="61"/>
      <c r="M265" s="61"/>
      <c r="N265" s="61"/>
    </row>
    <row r="266">
      <c r="F266" s="61"/>
      <c r="G266" s="61"/>
      <c r="H266" s="61"/>
      <c r="I266" s="61"/>
      <c r="J266" s="61"/>
      <c r="K266" s="61"/>
      <c r="L266" s="61"/>
      <c r="M266" s="61"/>
      <c r="N266" s="61"/>
    </row>
    <row r="267">
      <c r="F267" s="61"/>
      <c r="G267" s="61"/>
      <c r="H267" s="61"/>
      <c r="I267" s="61"/>
      <c r="J267" s="61"/>
      <c r="K267" s="61"/>
      <c r="L267" s="61"/>
      <c r="M267" s="61"/>
      <c r="N267" s="61"/>
    </row>
    <row r="268">
      <c r="F268" s="61"/>
      <c r="G268" s="61"/>
      <c r="H268" s="61"/>
      <c r="I268" s="61"/>
      <c r="J268" s="61"/>
      <c r="K268" s="61"/>
      <c r="L268" s="61"/>
      <c r="M268" s="61"/>
      <c r="N268" s="61"/>
    </row>
    <row r="269">
      <c r="F269" s="61"/>
      <c r="G269" s="61"/>
      <c r="H269" s="61"/>
      <c r="I269" s="61"/>
      <c r="J269" s="61"/>
      <c r="K269" s="61"/>
      <c r="L269" s="61"/>
      <c r="M269" s="61"/>
      <c r="N269" s="61"/>
    </row>
    <row r="270">
      <c r="F270" s="61"/>
      <c r="G270" s="61"/>
      <c r="H270" s="61"/>
      <c r="I270" s="61"/>
      <c r="J270" s="61"/>
      <c r="K270" s="61"/>
      <c r="L270" s="61"/>
      <c r="M270" s="61"/>
      <c r="N270" s="61"/>
    </row>
    <row r="271">
      <c r="F271" s="61"/>
      <c r="G271" s="61"/>
      <c r="H271" s="61"/>
      <c r="I271" s="61"/>
      <c r="J271" s="61"/>
      <c r="K271" s="61"/>
      <c r="L271" s="61"/>
      <c r="M271" s="61"/>
      <c r="N271" s="61"/>
    </row>
    <row r="272">
      <c r="F272" s="61"/>
      <c r="G272" s="61"/>
      <c r="H272" s="61"/>
      <c r="I272" s="61"/>
      <c r="J272" s="61"/>
      <c r="K272" s="61"/>
      <c r="L272" s="61"/>
      <c r="M272" s="61"/>
      <c r="N272" s="61"/>
    </row>
    <row r="273">
      <c r="F273" s="61"/>
      <c r="G273" s="61"/>
      <c r="H273" s="61"/>
      <c r="I273" s="61"/>
      <c r="J273" s="61"/>
      <c r="K273" s="61"/>
      <c r="L273" s="61"/>
      <c r="M273" s="61"/>
      <c r="N273" s="61"/>
    </row>
    <row r="274">
      <c r="F274" s="61"/>
      <c r="G274" s="61"/>
      <c r="H274" s="61"/>
      <c r="I274" s="61"/>
      <c r="J274" s="61"/>
      <c r="K274" s="61"/>
      <c r="L274" s="61"/>
      <c r="M274" s="61"/>
      <c r="N274" s="61"/>
    </row>
    <row r="275">
      <c r="F275" s="61"/>
      <c r="G275" s="61"/>
      <c r="H275" s="61"/>
      <c r="I275" s="61"/>
      <c r="J275" s="61"/>
      <c r="K275" s="61"/>
      <c r="L275" s="61"/>
      <c r="M275" s="61"/>
      <c r="N275" s="61"/>
    </row>
    <row r="276">
      <c r="F276" s="61"/>
      <c r="G276" s="61"/>
      <c r="H276" s="61"/>
      <c r="I276" s="61"/>
      <c r="J276" s="61"/>
      <c r="K276" s="61"/>
      <c r="L276" s="61"/>
      <c r="M276" s="61"/>
      <c r="N276" s="61"/>
    </row>
    <row r="277">
      <c r="F277" s="61"/>
      <c r="G277" s="61"/>
      <c r="H277" s="61"/>
      <c r="I277" s="61"/>
      <c r="J277" s="61"/>
      <c r="K277" s="61"/>
      <c r="L277" s="61"/>
      <c r="M277" s="61"/>
      <c r="N277" s="61"/>
    </row>
    <row r="278">
      <c r="F278" s="61"/>
      <c r="G278" s="61"/>
      <c r="H278" s="61"/>
      <c r="I278" s="61"/>
      <c r="J278" s="61"/>
      <c r="K278" s="61"/>
      <c r="L278" s="61"/>
      <c r="M278" s="61"/>
      <c r="N278" s="61"/>
    </row>
    <row r="279">
      <c r="F279" s="61"/>
      <c r="G279" s="61"/>
      <c r="H279" s="61"/>
      <c r="I279" s="61"/>
      <c r="J279" s="61"/>
      <c r="K279" s="61"/>
      <c r="L279" s="61"/>
      <c r="M279" s="61"/>
      <c r="N279" s="61"/>
    </row>
    <row r="280">
      <c r="F280" s="61"/>
      <c r="G280" s="61"/>
      <c r="H280" s="61"/>
      <c r="I280" s="61"/>
      <c r="J280" s="61"/>
      <c r="K280" s="61"/>
      <c r="L280" s="61"/>
      <c r="M280" s="61"/>
      <c r="N280" s="61"/>
    </row>
    <row r="281">
      <c r="F281" s="61"/>
      <c r="G281" s="61"/>
      <c r="H281" s="61"/>
      <c r="I281" s="61"/>
      <c r="J281" s="61"/>
      <c r="K281" s="61"/>
      <c r="L281" s="61"/>
      <c r="M281" s="61"/>
      <c r="N281" s="61"/>
    </row>
    <row r="282">
      <c r="F282" s="61"/>
      <c r="G282" s="61"/>
      <c r="H282" s="61"/>
      <c r="I282" s="61"/>
      <c r="J282" s="61"/>
      <c r="K282" s="61"/>
      <c r="L282" s="61"/>
      <c r="M282" s="61"/>
      <c r="N282" s="61"/>
    </row>
    <row r="283">
      <c r="F283" s="61"/>
      <c r="G283" s="61"/>
      <c r="H283" s="61"/>
      <c r="I283" s="61"/>
      <c r="J283" s="61"/>
      <c r="K283" s="61"/>
      <c r="L283" s="61"/>
      <c r="M283" s="61"/>
      <c r="N283" s="61"/>
    </row>
    <row r="284">
      <c r="F284" s="61"/>
      <c r="G284" s="61"/>
      <c r="H284" s="61"/>
      <c r="I284" s="61"/>
      <c r="J284" s="61"/>
      <c r="K284" s="61"/>
      <c r="L284" s="61"/>
      <c r="M284" s="61"/>
      <c r="N284" s="61"/>
    </row>
    <row r="285">
      <c r="F285" s="61"/>
      <c r="G285" s="61"/>
      <c r="H285" s="61"/>
      <c r="I285" s="61"/>
      <c r="J285" s="61"/>
      <c r="K285" s="61"/>
      <c r="L285" s="61"/>
      <c r="M285" s="61"/>
      <c r="N285" s="61"/>
    </row>
    <row r="286">
      <c r="F286" s="61"/>
      <c r="G286" s="61"/>
      <c r="H286" s="61"/>
      <c r="I286" s="61"/>
      <c r="J286" s="61"/>
      <c r="K286" s="61"/>
      <c r="L286" s="61"/>
      <c r="M286" s="61"/>
      <c r="N286" s="61"/>
    </row>
    <row r="287">
      <c r="F287" s="61"/>
      <c r="G287" s="61"/>
      <c r="H287" s="61"/>
      <c r="I287" s="61"/>
      <c r="J287" s="61"/>
      <c r="K287" s="61"/>
      <c r="L287" s="61"/>
      <c r="M287" s="61"/>
      <c r="N287" s="61"/>
    </row>
    <row r="288">
      <c r="F288" s="61"/>
      <c r="G288" s="61"/>
      <c r="H288" s="61"/>
      <c r="I288" s="61"/>
      <c r="J288" s="61"/>
      <c r="K288" s="61"/>
      <c r="L288" s="61"/>
      <c r="M288" s="61"/>
      <c r="N288" s="61"/>
    </row>
    <row r="289">
      <c r="F289" s="61"/>
      <c r="G289" s="61"/>
      <c r="H289" s="61"/>
      <c r="I289" s="61"/>
      <c r="J289" s="61"/>
      <c r="K289" s="61"/>
      <c r="L289" s="61"/>
      <c r="M289" s="61"/>
      <c r="N289" s="61"/>
    </row>
    <row r="290">
      <c r="F290" s="61"/>
      <c r="G290" s="61"/>
      <c r="H290" s="61"/>
      <c r="I290" s="61"/>
      <c r="J290" s="61"/>
      <c r="K290" s="61"/>
      <c r="L290" s="61"/>
      <c r="M290" s="61"/>
      <c r="N290" s="61"/>
    </row>
    <row r="291">
      <c r="F291" s="61"/>
      <c r="G291" s="61"/>
      <c r="H291" s="61"/>
      <c r="I291" s="61"/>
      <c r="J291" s="61"/>
      <c r="K291" s="61"/>
      <c r="L291" s="61"/>
      <c r="M291" s="61"/>
      <c r="N291" s="61"/>
    </row>
    <row r="292">
      <c r="F292" s="61"/>
      <c r="G292" s="61"/>
      <c r="H292" s="61"/>
      <c r="I292" s="61"/>
      <c r="J292" s="61"/>
      <c r="K292" s="61"/>
      <c r="L292" s="61"/>
      <c r="M292" s="61"/>
      <c r="N292" s="61"/>
    </row>
    <row r="293">
      <c r="F293" s="61"/>
      <c r="G293" s="61"/>
      <c r="H293" s="61"/>
      <c r="I293" s="61"/>
      <c r="J293" s="61"/>
      <c r="K293" s="61"/>
      <c r="L293" s="61"/>
      <c r="M293" s="61"/>
      <c r="N293" s="61"/>
    </row>
    <row r="294">
      <c r="F294" s="61"/>
      <c r="G294" s="61"/>
      <c r="H294" s="61"/>
      <c r="I294" s="61"/>
      <c r="J294" s="61"/>
      <c r="K294" s="61"/>
      <c r="L294" s="61"/>
      <c r="M294" s="61"/>
      <c r="N294" s="61"/>
    </row>
    <row r="295">
      <c r="F295" s="61"/>
      <c r="G295" s="61"/>
      <c r="H295" s="61"/>
      <c r="I295" s="61"/>
      <c r="J295" s="61"/>
      <c r="K295" s="61"/>
      <c r="L295" s="61"/>
      <c r="M295" s="61"/>
      <c r="N295" s="61"/>
    </row>
    <row r="296">
      <c r="F296" s="61"/>
      <c r="G296" s="61"/>
      <c r="H296" s="61"/>
      <c r="I296" s="61"/>
      <c r="J296" s="61"/>
      <c r="K296" s="61"/>
      <c r="L296" s="61"/>
      <c r="M296" s="61"/>
      <c r="N296" s="61"/>
    </row>
    <row r="297">
      <c r="F297" s="61"/>
      <c r="G297" s="61"/>
      <c r="H297" s="61"/>
      <c r="I297" s="61"/>
      <c r="J297" s="61"/>
      <c r="K297" s="61"/>
      <c r="L297" s="61"/>
      <c r="M297" s="61"/>
      <c r="N297" s="61"/>
    </row>
    <row r="298">
      <c r="F298" s="61"/>
      <c r="G298" s="61"/>
      <c r="H298" s="61"/>
      <c r="I298" s="61"/>
      <c r="J298" s="61"/>
      <c r="K298" s="61"/>
      <c r="L298" s="61"/>
      <c r="M298" s="61"/>
      <c r="N298" s="61"/>
    </row>
    <row r="299">
      <c r="F299" s="61"/>
      <c r="G299" s="61"/>
      <c r="H299" s="61"/>
      <c r="I299" s="61"/>
      <c r="J299" s="61"/>
      <c r="K299" s="61"/>
      <c r="L299" s="61"/>
      <c r="M299" s="61"/>
      <c r="N299" s="61"/>
    </row>
    <row r="300">
      <c r="F300" s="61"/>
      <c r="G300" s="61"/>
      <c r="H300" s="61"/>
      <c r="I300" s="61"/>
      <c r="J300" s="61"/>
      <c r="K300" s="61"/>
      <c r="L300" s="61"/>
      <c r="M300" s="61"/>
      <c r="N300" s="61"/>
    </row>
    <row r="301">
      <c r="F301" s="61"/>
      <c r="G301" s="61"/>
      <c r="H301" s="61"/>
      <c r="I301" s="61"/>
      <c r="J301" s="61"/>
      <c r="K301" s="61"/>
      <c r="L301" s="61"/>
      <c r="M301" s="61"/>
      <c r="N301" s="61"/>
    </row>
    <row r="302">
      <c r="F302" s="61"/>
      <c r="G302" s="61"/>
      <c r="H302" s="61"/>
      <c r="I302" s="61"/>
      <c r="J302" s="61"/>
      <c r="K302" s="61"/>
      <c r="L302" s="61"/>
      <c r="M302" s="61"/>
      <c r="N302" s="61"/>
    </row>
    <row r="303">
      <c r="F303" s="61"/>
      <c r="G303" s="61"/>
      <c r="H303" s="61"/>
      <c r="I303" s="61"/>
      <c r="J303" s="61"/>
      <c r="K303" s="61"/>
      <c r="L303" s="61"/>
      <c r="M303" s="61"/>
      <c r="N303" s="61"/>
    </row>
    <row r="304">
      <c r="F304" s="61"/>
      <c r="G304" s="61"/>
      <c r="H304" s="61"/>
      <c r="I304" s="61"/>
      <c r="J304" s="61"/>
      <c r="K304" s="61"/>
      <c r="L304" s="61"/>
      <c r="M304" s="61"/>
      <c r="N304" s="61"/>
    </row>
    <row r="305">
      <c r="F305" s="61"/>
      <c r="G305" s="61"/>
      <c r="H305" s="61"/>
      <c r="I305" s="61"/>
      <c r="J305" s="61"/>
      <c r="K305" s="61"/>
      <c r="L305" s="61"/>
      <c r="M305" s="61"/>
      <c r="N305" s="61"/>
    </row>
    <row r="306">
      <c r="F306" s="61"/>
      <c r="G306" s="61"/>
      <c r="H306" s="61"/>
      <c r="I306" s="61"/>
      <c r="J306" s="61"/>
      <c r="K306" s="61"/>
      <c r="L306" s="61"/>
      <c r="M306" s="61"/>
      <c r="N306" s="61"/>
    </row>
    <row r="307">
      <c r="F307" s="61"/>
      <c r="G307" s="61"/>
      <c r="H307" s="61"/>
      <c r="I307" s="61"/>
      <c r="J307" s="61"/>
      <c r="K307" s="61"/>
      <c r="L307" s="61"/>
      <c r="M307" s="61"/>
      <c r="N307" s="61"/>
    </row>
    <row r="308">
      <c r="F308" s="61"/>
      <c r="G308" s="61"/>
      <c r="H308" s="61"/>
      <c r="I308" s="61"/>
      <c r="J308" s="61"/>
      <c r="K308" s="61"/>
      <c r="L308" s="61"/>
      <c r="M308" s="61"/>
      <c r="N308" s="61"/>
    </row>
    <row r="309">
      <c r="F309" s="61"/>
      <c r="G309" s="61"/>
      <c r="H309" s="61"/>
      <c r="I309" s="61"/>
      <c r="J309" s="61"/>
      <c r="K309" s="61"/>
      <c r="L309" s="61"/>
      <c r="M309" s="61"/>
      <c r="N309" s="61"/>
    </row>
    <row r="310">
      <c r="F310" s="61"/>
      <c r="G310" s="61"/>
      <c r="H310" s="61"/>
      <c r="I310" s="61"/>
      <c r="J310" s="61"/>
      <c r="K310" s="61"/>
      <c r="L310" s="61"/>
      <c r="M310" s="61"/>
      <c r="N310" s="61"/>
    </row>
    <row r="311">
      <c r="F311" s="61"/>
      <c r="G311" s="61"/>
      <c r="H311" s="61"/>
      <c r="I311" s="61"/>
      <c r="J311" s="61"/>
      <c r="K311" s="61"/>
      <c r="L311" s="61"/>
      <c r="M311" s="61"/>
      <c r="N311" s="61"/>
    </row>
    <row r="312">
      <c r="F312" s="61"/>
      <c r="G312" s="61"/>
      <c r="H312" s="61"/>
      <c r="I312" s="61"/>
      <c r="J312" s="61"/>
      <c r="K312" s="61"/>
      <c r="L312" s="61"/>
      <c r="M312" s="61"/>
      <c r="N312" s="61"/>
    </row>
    <row r="313">
      <c r="F313" s="61"/>
      <c r="G313" s="61"/>
      <c r="H313" s="61"/>
      <c r="I313" s="61"/>
      <c r="J313" s="61"/>
      <c r="K313" s="61"/>
      <c r="L313" s="61"/>
      <c r="M313" s="61"/>
      <c r="N313" s="61"/>
    </row>
    <row r="314">
      <c r="F314" s="61"/>
      <c r="G314" s="61"/>
      <c r="H314" s="61"/>
      <c r="I314" s="61"/>
      <c r="J314" s="61"/>
      <c r="K314" s="61"/>
      <c r="L314" s="61"/>
      <c r="M314" s="61"/>
      <c r="N314" s="61"/>
    </row>
    <row r="315">
      <c r="F315" s="61"/>
      <c r="G315" s="61"/>
      <c r="H315" s="61"/>
      <c r="I315" s="61"/>
      <c r="J315" s="61"/>
      <c r="K315" s="61"/>
      <c r="L315" s="61"/>
      <c r="M315" s="61"/>
      <c r="N315" s="61"/>
    </row>
    <row r="316">
      <c r="F316" s="61"/>
      <c r="G316" s="61"/>
      <c r="H316" s="61"/>
      <c r="I316" s="61"/>
      <c r="J316" s="61"/>
      <c r="K316" s="61"/>
      <c r="L316" s="61"/>
      <c r="M316" s="61"/>
      <c r="N316" s="61"/>
    </row>
    <row r="317">
      <c r="F317" s="61"/>
      <c r="G317" s="61"/>
      <c r="H317" s="61"/>
      <c r="I317" s="61"/>
      <c r="J317" s="61"/>
      <c r="K317" s="61"/>
      <c r="L317" s="61"/>
      <c r="M317" s="61"/>
      <c r="N317" s="61"/>
    </row>
    <row r="318">
      <c r="F318" s="61"/>
      <c r="G318" s="61"/>
      <c r="H318" s="61"/>
      <c r="I318" s="61"/>
      <c r="J318" s="61"/>
      <c r="K318" s="61"/>
      <c r="L318" s="61"/>
      <c r="M318" s="61"/>
      <c r="N318" s="61"/>
    </row>
    <row r="319">
      <c r="F319" s="61"/>
      <c r="G319" s="61"/>
      <c r="H319" s="61"/>
      <c r="I319" s="61"/>
      <c r="J319" s="61"/>
      <c r="K319" s="61"/>
      <c r="L319" s="61"/>
      <c r="M319" s="61"/>
      <c r="N319" s="61"/>
    </row>
    <row r="320">
      <c r="F320" s="61"/>
      <c r="G320" s="61"/>
      <c r="H320" s="61"/>
      <c r="I320" s="61"/>
      <c r="J320" s="61"/>
      <c r="K320" s="61"/>
      <c r="L320" s="61"/>
      <c r="M320" s="61"/>
      <c r="N320" s="61"/>
    </row>
    <row r="321">
      <c r="F321" s="61"/>
      <c r="G321" s="61"/>
      <c r="H321" s="61"/>
      <c r="I321" s="61"/>
      <c r="J321" s="61"/>
      <c r="K321" s="61"/>
      <c r="L321" s="61"/>
      <c r="M321" s="61"/>
      <c r="N321" s="61"/>
    </row>
    <row r="322">
      <c r="F322" s="61"/>
      <c r="G322" s="61"/>
      <c r="H322" s="61"/>
      <c r="I322" s="61"/>
      <c r="J322" s="61"/>
      <c r="K322" s="61"/>
      <c r="L322" s="61"/>
      <c r="M322" s="61"/>
      <c r="N322" s="61"/>
    </row>
    <row r="323">
      <c r="F323" s="61"/>
      <c r="G323" s="61"/>
      <c r="H323" s="61"/>
      <c r="I323" s="61"/>
      <c r="J323" s="61"/>
      <c r="K323" s="61"/>
      <c r="L323" s="61"/>
      <c r="M323" s="61"/>
      <c r="N323" s="61"/>
    </row>
    <row r="324">
      <c r="F324" s="61"/>
      <c r="G324" s="61"/>
      <c r="H324" s="61"/>
      <c r="I324" s="61"/>
      <c r="J324" s="61"/>
      <c r="K324" s="61"/>
      <c r="L324" s="61"/>
      <c r="M324" s="61"/>
      <c r="N324" s="61"/>
    </row>
    <row r="325">
      <c r="F325" s="61"/>
      <c r="G325" s="61"/>
      <c r="H325" s="61"/>
      <c r="I325" s="61"/>
      <c r="J325" s="61"/>
      <c r="K325" s="61"/>
      <c r="L325" s="61"/>
      <c r="M325" s="61"/>
      <c r="N325" s="61"/>
    </row>
    <row r="326">
      <c r="F326" s="61"/>
      <c r="G326" s="61"/>
      <c r="H326" s="61"/>
      <c r="I326" s="61"/>
      <c r="J326" s="61"/>
      <c r="K326" s="61"/>
      <c r="L326" s="61"/>
      <c r="M326" s="61"/>
      <c r="N326" s="61"/>
    </row>
    <row r="327">
      <c r="F327" s="61"/>
      <c r="G327" s="61"/>
      <c r="H327" s="61"/>
      <c r="I327" s="61"/>
      <c r="J327" s="61"/>
      <c r="K327" s="61"/>
      <c r="L327" s="61"/>
      <c r="M327" s="61"/>
      <c r="N327" s="61"/>
    </row>
    <row r="328">
      <c r="F328" s="61"/>
      <c r="G328" s="61"/>
      <c r="H328" s="61"/>
      <c r="I328" s="61"/>
      <c r="J328" s="61"/>
      <c r="K328" s="61"/>
      <c r="L328" s="61"/>
      <c r="M328" s="61"/>
      <c r="N328" s="61"/>
    </row>
    <row r="329">
      <c r="F329" s="61"/>
      <c r="G329" s="61"/>
      <c r="H329" s="61"/>
      <c r="I329" s="61"/>
      <c r="J329" s="61"/>
      <c r="K329" s="61"/>
      <c r="L329" s="61"/>
      <c r="M329" s="61"/>
      <c r="N329" s="61"/>
    </row>
    <row r="330">
      <c r="F330" s="61"/>
      <c r="G330" s="61"/>
      <c r="H330" s="61"/>
      <c r="I330" s="61"/>
      <c r="J330" s="61"/>
      <c r="K330" s="61"/>
      <c r="L330" s="61"/>
      <c r="M330" s="61"/>
      <c r="N330" s="61"/>
    </row>
    <row r="331">
      <c r="F331" s="61"/>
      <c r="G331" s="61"/>
      <c r="H331" s="61"/>
      <c r="I331" s="61"/>
      <c r="J331" s="61"/>
      <c r="K331" s="61"/>
      <c r="L331" s="61"/>
      <c r="M331" s="61"/>
      <c r="N331" s="61"/>
    </row>
    <row r="332">
      <c r="F332" s="61"/>
      <c r="G332" s="61"/>
      <c r="H332" s="61"/>
      <c r="I332" s="61"/>
      <c r="J332" s="61"/>
      <c r="K332" s="61"/>
      <c r="L332" s="61"/>
      <c r="M332" s="61"/>
      <c r="N332" s="61"/>
    </row>
    <row r="333">
      <c r="F333" s="61"/>
      <c r="G333" s="61"/>
      <c r="H333" s="61"/>
      <c r="I333" s="61"/>
      <c r="J333" s="61"/>
      <c r="K333" s="61"/>
      <c r="L333" s="61"/>
      <c r="M333" s="61"/>
      <c r="N333" s="61"/>
    </row>
    <row r="334">
      <c r="F334" s="61"/>
      <c r="G334" s="61"/>
      <c r="H334" s="61"/>
      <c r="I334" s="61"/>
      <c r="J334" s="61"/>
      <c r="K334" s="61"/>
      <c r="L334" s="61"/>
      <c r="M334" s="61"/>
      <c r="N334" s="61"/>
    </row>
    <row r="335">
      <c r="F335" s="61"/>
      <c r="G335" s="61"/>
      <c r="H335" s="61"/>
      <c r="I335" s="61"/>
      <c r="J335" s="61"/>
      <c r="K335" s="61"/>
      <c r="L335" s="61"/>
      <c r="M335" s="61"/>
      <c r="N335" s="61"/>
    </row>
    <row r="336">
      <c r="F336" s="61"/>
      <c r="G336" s="61"/>
      <c r="H336" s="61"/>
      <c r="I336" s="61"/>
      <c r="J336" s="61"/>
      <c r="K336" s="61"/>
      <c r="L336" s="61"/>
      <c r="M336" s="61"/>
      <c r="N336" s="61"/>
    </row>
    <row r="337">
      <c r="F337" s="61"/>
      <c r="G337" s="61"/>
      <c r="H337" s="61"/>
      <c r="I337" s="61"/>
      <c r="J337" s="61"/>
      <c r="K337" s="61"/>
      <c r="L337" s="61"/>
      <c r="M337" s="61"/>
      <c r="N337" s="61"/>
    </row>
    <row r="338">
      <c r="F338" s="61"/>
      <c r="G338" s="61"/>
      <c r="H338" s="61"/>
      <c r="I338" s="61"/>
      <c r="J338" s="61"/>
      <c r="K338" s="61"/>
      <c r="L338" s="61"/>
      <c r="M338" s="61"/>
      <c r="N338" s="61"/>
    </row>
    <row r="339">
      <c r="F339" s="61"/>
      <c r="G339" s="61"/>
      <c r="H339" s="61"/>
      <c r="I339" s="61"/>
      <c r="J339" s="61"/>
      <c r="K339" s="61"/>
      <c r="L339" s="61"/>
      <c r="M339" s="61"/>
      <c r="N339" s="61"/>
    </row>
    <row r="340">
      <c r="F340" s="61"/>
      <c r="G340" s="61"/>
      <c r="H340" s="61"/>
      <c r="I340" s="61"/>
      <c r="J340" s="61"/>
      <c r="K340" s="61"/>
      <c r="L340" s="61"/>
      <c r="M340" s="61"/>
      <c r="N340" s="61"/>
    </row>
    <row r="341">
      <c r="F341" s="61"/>
      <c r="G341" s="61"/>
      <c r="H341" s="61"/>
      <c r="I341" s="61"/>
      <c r="J341" s="61"/>
      <c r="K341" s="61"/>
      <c r="L341" s="61"/>
      <c r="M341" s="61"/>
      <c r="N341" s="61"/>
    </row>
    <row r="342">
      <c r="F342" s="61"/>
      <c r="G342" s="61"/>
      <c r="H342" s="61"/>
      <c r="I342" s="61"/>
      <c r="J342" s="61"/>
      <c r="K342" s="61"/>
      <c r="L342" s="61"/>
      <c r="M342" s="61"/>
      <c r="N342" s="61"/>
    </row>
    <row r="343">
      <c r="F343" s="61"/>
      <c r="G343" s="61"/>
      <c r="H343" s="61"/>
      <c r="I343" s="61"/>
      <c r="J343" s="61"/>
      <c r="K343" s="61"/>
      <c r="L343" s="61"/>
      <c r="M343" s="61"/>
      <c r="N343" s="61"/>
    </row>
    <row r="344">
      <c r="F344" s="61"/>
      <c r="G344" s="61"/>
      <c r="H344" s="61"/>
      <c r="I344" s="61"/>
      <c r="J344" s="61"/>
      <c r="K344" s="61"/>
      <c r="L344" s="61"/>
      <c r="M344" s="61"/>
      <c r="N344" s="61"/>
    </row>
    <row r="345">
      <c r="F345" s="61"/>
      <c r="G345" s="61"/>
      <c r="H345" s="61"/>
      <c r="I345" s="61"/>
      <c r="J345" s="61"/>
      <c r="K345" s="61"/>
      <c r="L345" s="61"/>
      <c r="M345" s="61"/>
      <c r="N345" s="61"/>
    </row>
    <row r="346">
      <c r="F346" s="61"/>
      <c r="G346" s="61"/>
      <c r="H346" s="61"/>
      <c r="I346" s="61"/>
      <c r="J346" s="61"/>
      <c r="K346" s="61"/>
      <c r="L346" s="61"/>
      <c r="M346" s="61"/>
      <c r="N346" s="61"/>
    </row>
    <row r="347">
      <c r="F347" s="61"/>
      <c r="G347" s="61"/>
      <c r="H347" s="61"/>
      <c r="I347" s="61"/>
      <c r="J347" s="61"/>
      <c r="K347" s="61"/>
      <c r="L347" s="61"/>
      <c r="M347" s="61"/>
      <c r="N347" s="61"/>
    </row>
    <row r="348">
      <c r="F348" s="61"/>
      <c r="G348" s="61"/>
      <c r="H348" s="61"/>
      <c r="I348" s="61"/>
      <c r="J348" s="61"/>
      <c r="K348" s="61"/>
      <c r="L348" s="61"/>
      <c r="M348" s="61"/>
      <c r="N348" s="61"/>
    </row>
    <row r="349">
      <c r="F349" s="61"/>
      <c r="G349" s="61"/>
      <c r="H349" s="61"/>
      <c r="I349" s="61"/>
      <c r="J349" s="61"/>
      <c r="K349" s="61"/>
      <c r="L349" s="61"/>
      <c r="M349" s="61"/>
      <c r="N349" s="61"/>
    </row>
    <row r="350">
      <c r="F350" s="61"/>
      <c r="G350" s="61"/>
      <c r="H350" s="61"/>
      <c r="I350" s="61"/>
      <c r="J350" s="61"/>
      <c r="K350" s="61"/>
      <c r="L350" s="61"/>
      <c r="M350" s="61"/>
      <c r="N350" s="61"/>
    </row>
    <row r="351">
      <c r="F351" s="61"/>
      <c r="G351" s="61"/>
      <c r="H351" s="61"/>
      <c r="I351" s="61"/>
      <c r="J351" s="61"/>
      <c r="K351" s="61"/>
      <c r="L351" s="61"/>
      <c r="M351" s="61"/>
      <c r="N351" s="61"/>
    </row>
    <row r="352">
      <c r="F352" s="61"/>
      <c r="G352" s="61"/>
      <c r="H352" s="61"/>
      <c r="I352" s="61"/>
      <c r="J352" s="61"/>
      <c r="K352" s="61"/>
      <c r="L352" s="61"/>
      <c r="M352" s="61"/>
      <c r="N352" s="61"/>
    </row>
    <row r="353">
      <c r="F353" s="61"/>
      <c r="G353" s="61"/>
      <c r="H353" s="61"/>
      <c r="I353" s="61"/>
      <c r="J353" s="61"/>
      <c r="K353" s="61"/>
      <c r="L353" s="61"/>
      <c r="M353" s="61"/>
      <c r="N353" s="61"/>
    </row>
    <row r="354">
      <c r="F354" s="61"/>
      <c r="G354" s="61"/>
      <c r="H354" s="61"/>
      <c r="I354" s="61"/>
      <c r="J354" s="61"/>
      <c r="K354" s="61"/>
      <c r="L354" s="61"/>
      <c r="M354" s="61"/>
      <c r="N354" s="61"/>
    </row>
    <row r="355">
      <c r="F355" s="61"/>
      <c r="G355" s="61"/>
      <c r="H355" s="61"/>
      <c r="I355" s="61"/>
      <c r="J355" s="61"/>
      <c r="K355" s="61"/>
      <c r="L355" s="61"/>
      <c r="M355" s="61"/>
      <c r="N355" s="61"/>
    </row>
    <row r="356">
      <c r="F356" s="61"/>
      <c r="G356" s="61"/>
      <c r="H356" s="61"/>
      <c r="I356" s="61"/>
      <c r="J356" s="61"/>
      <c r="K356" s="61"/>
      <c r="L356" s="61"/>
      <c r="M356" s="61"/>
      <c r="N356" s="61"/>
    </row>
    <row r="357">
      <c r="F357" s="61"/>
      <c r="G357" s="61"/>
      <c r="H357" s="61"/>
      <c r="I357" s="61"/>
      <c r="J357" s="61"/>
      <c r="K357" s="61"/>
      <c r="L357" s="61"/>
      <c r="M357" s="61"/>
      <c r="N357" s="61"/>
    </row>
    <row r="358">
      <c r="F358" s="61"/>
      <c r="G358" s="61"/>
      <c r="H358" s="61"/>
      <c r="I358" s="61"/>
      <c r="J358" s="61"/>
      <c r="K358" s="61"/>
      <c r="L358" s="61"/>
      <c r="M358" s="61"/>
      <c r="N358" s="61"/>
    </row>
    <row r="359">
      <c r="F359" s="61"/>
      <c r="G359" s="61"/>
      <c r="H359" s="61"/>
      <c r="I359" s="61"/>
      <c r="J359" s="61"/>
      <c r="K359" s="61"/>
      <c r="L359" s="61"/>
      <c r="M359" s="61"/>
      <c r="N359" s="61"/>
    </row>
    <row r="360">
      <c r="F360" s="61"/>
      <c r="G360" s="61"/>
      <c r="H360" s="61"/>
      <c r="I360" s="61"/>
      <c r="J360" s="61"/>
      <c r="K360" s="61"/>
      <c r="L360" s="61"/>
      <c r="M360" s="61"/>
      <c r="N360" s="61"/>
    </row>
    <row r="361">
      <c r="F361" s="61"/>
      <c r="G361" s="61"/>
      <c r="H361" s="61"/>
      <c r="I361" s="61"/>
      <c r="J361" s="61"/>
      <c r="K361" s="61"/>
      <c r="L361" s="61"/>
      <c r="M361" s="61"/>
      <c r="N361" s="61"/>
    </row>
    <row r="362">
      <c r="F362" s="61"/>
      <c r="G362" s="61"/>
      <c r="H362" s="61"/>
      <c r="I362" s="61"/>
      <c r="J362" s="61"/>
      <c r="K362" s="61"/>
      <c r="L362" s="61"/>
      <c r="M362" s="61"/>
      <c r="N362" s="61"/>
    </row>
    <row r="363">
      <c r="F363" s="61"/>
      <c r="G363" s="61"/>
      <c r="H363" s="61"/>
      <c r="I363" s="61"/>
      <c r="J363" s="61"/>
      <c r="K363" s="61"/>
      <c r="L363" s="61"/>
      <c r="M363" s="61"/>
      <c r="N363" s="61"/>
    </row>
    <row r="364">
      <c r="F364" s="61"/>
      <c r="G364" s="61"/>
      <c r="H364" s="61"/>
      <c r="I364" s="61"/>
      <c r="J364" s="61"/>
      <c r="K364" s="61"/>
      <c r="L364" s="61"/>
      <c r="M364" s="61"/>
      <c r="N364" s="61"/>
    </row>
    <row r="365">
      <c r="F365" s="61"/>
      <c r="G365" s="61"/>
      <c r="H365" s="61"/>
      <c r="I365" s="61"/>
      <c r="J365" s="61"/>
      <c r="K365" s="61"/>
      <c r="L365" s="61"/>
      <c r="M365" s="61"/>
      <c r="N365" s="61"/>
    </row>
    <row r="366">
      <c r="F366" s="61"/>
      <c r="G366" s="61"/>
      <c r="H366" s="61"/>
      <c r="I366" s="61"/>
      <c r="J366" s="61"/>
      <c r="K366" s="61"/>
      <c r="L366" s="61"/>
      <c r="M366" s="61"/>
      <c r="N366" s="61"/>
    </row>
    <row r="367">
      <c r="F367" s="61"/>
      <c r="G367" s="61"/>
      <c r="H367" s="61"/>
      <c r="I367" s="61"/>
      <c r="J367" s="61"/>
      <c r="K367" s="61"/>
      <c r="L367" s="61"/>
      <c r="M367" s="61"/>
      <c r="N367" s="61"/>
    </row>
    <row r="368">
      <c r="F368" s="61"/>
      <c r="G368" s="61"/>
      <c r="H368" s="61"/>
      <c r="I368" s="61"/>
      <c r="J368" s="61"/>
      <c r="K368" s="61"/>
      <c r="L368" s="61"/>
      <c r="M368" s="61"/>
      <c r="N368" s="61"/>
    </row>
    <row r="369">
      <c r="F369" s="61"/>
      <c r="G369" s="61"/>
      <c r="H369" s="61"/>
      <c r="I369" s="61"/>
      <c r="J369" s="61"/>
      <c r="K369" s="61"/>
      <c r="L369" s="61"/>
      <c r="M369" s="61"/>
      <c r="N369" s="61"/>
    </row>
    <row r="370">
      <c r="F370" s="61"/>
      <c r="G370" s="61"/>
      <c r="H370" s="61"/>
      <c r="I370" s="61"/>
      <c r="J370" s="61"/>
      <c r="K370" s="61"/>
      <c r="L370" s="61"/>
      <c r="M370" s="61"/>
      <c r="N370" s="61"/>
    </row>
    <row r="371">
      <c r="F371" s="61"/>
      <c r="G371" s="61"/>
      <c r="H371" s="61"/>
      <c r="I371" s="61"/>
      <c r="J371" s="61"/>
      <c r="K371" s="61"/>
      <c r="L371" s="61"/>
      <c r="M371" s="61"/>
      <c r="N371" s="61"/>
    </row>
    <row r="372">
      <c r="F372" s="61"/>
      <c r="G372" s="61"/>
      <c r="H372" s="61"/>
      <c r="I372" s="61"/>
      <c r="J372" s="61"/>
      <c r="K372" s="61"/>
      <c r="L372" s="61"/>
      <c r="M372" s="61"/>
      <c r="N372" s="61"/>
    </row>
    <row r="373">
      <c r="F373" s="61"/>
      <c r="G373" s="61"/>
      <c r="H373" s="61"/>
      <c r="I373" s="61"/>
      <c r="J373" s="61"/>
      <c r="K373" s="61"/>
      <c r="L373" s="61"/>
      <c r="M373" s="61"/>
      <c r="N373" s="61"/>
    </row>
    <row r="374">
      <c r="F374" s="61"/>
      <c r="G374" s="61"/>
      <c r="H374" s="61"/>
      <c r="I374" s="61"/>
      <c r="J374" s="61"/>
      <c r="K374" s="61"/>
      <c r="L374" s="61"/>
      <c r="M374" s="61"/>
      <c r="N374" s="61"/>
    </row>
    <row r="375">
      <c r="F375" s="61"/>
      <c r="G375" s="61"/>
      <c r="H375" s="61"/>
      <c r="I375" s="61"/>
      <c r="J375" s="61"/>
      <c r="K375" s="61"/>
      <c r="L375" s="61"/>
      <c r="M375" s="61"/>
      <c r="N375" s="61"/>
    </row>
    <row r="376">
      <c r="F376" s="61"/>
      <c r="G376" s="61"/>
      <c r="H376" s="61"/>
      <c r="I376" s="61"/>
      <c r="J376" s="61"/>
      <c r="K376" s="61"/>
      <c r="L376" s="61"/>
      <c r="M376" s="61"/>
      <c r="N376" s="61"/>
    </row>
    <row r="377">
      <c r="F377" s="61"/>
      <c r="G377" s="61"/>
      <c r="H377" s="61"/>
      <c r="I377" s="61"/>
      <c r="J377" s="61"/>
      <c r="K377" s="61"/>
      <c r="L377" s="61"/>
      <c r="M377" s="61"/>
      <c r="N377" s="61"/>
    </row>
    <row r="378">
      <c r="F378" s="61"/>
      <c r="G378" s="61"/>
      <c r="H378" s="61"/>
      <c r="I378" s="61"/>
      <c r="J378" s="61"/>
      <c r="K378" s="61"/>
      <c r="L378" s="61"/>
      <c r="M378" s="61"/>
      <c r="N378" s="61"/>
    </row>
    <row r="379">
      <c r="F379" s="61"/>
      <c r="G379" s="61"/>
      <c r="H379" s="61"/>
      <c r="I379" s="61"/>
      <c r="J379" s="61"/>
      <c r="K379" s="61"/>
      <c r="L379" s="61"/>
      <c r="M379" s="61"/>
      <c r="N379" s="61"/>
    </row>
    <row r="380">
      <c r="F380" s="61"/>
      <c r="G380" s="61"/>
      <c r="H380" s="61"/>
      <c r="I380" s="61"/>
      <c r="J380" s="61"/>
      <c r="K380" s="61"/>
      <c r="L380" s="61"/>
      <c r="M380" s="61"/>
      <c r="N380" s="61"/>
    </row>
    <row r="381">
      <c r="F381" s="61"/>
      <c r="G381" s="61"/>
      <c r="H381" s="61"/>
      <c r="I381" s="61"/>
      <c r="J381" s="61"/>
      <c r="K381" s="61"/>
      <c r="L381" s="61"/>
      <c r="M381" s="61"/>
      <c r="N381" s="61"/>
    </row>
    <row r="382">
      <c r="F382" s="61"/>
      <c r="G382" s="61"/>
      <c r="H382" s="61"/>
      <c r="I382" s="61"/>
      <c r="J382" s="61"/>
      <c r="K382" s="61"/>
      <c r="L382" s="61"/>
      <c r="M382" s="61"/>
      <c r="N382" s="61"/>
    </row>
    <row r="383">
      <c r="F383" s="61"/>
      <c r="G383" s="61"/>
      <c r="H383" s="61"/>
      <c r="I383" s="61"/>
      <c r="J383" s="61"/>
      <c r="K383" s="61"/>
      <c r="L383" s="61"/>
      <c r="M383" s="61"/>
      <c r="N383" s="61"/>
    </row>
    <row r="384">
      <c r="F384" s="61"/>
      <c r="G384" s="61"/>
      <c r="H384" s="61"/>
      <c r="I384" s="61"/>
      <c r="J384" s="61"/>
      <c r="K384" s="61"/>
      <c r="L384" s="61"/>
      <c r="M384" s="61"/>
      <c r="N384" s="61"/>
    </row>
    <row r="385">
      <c r="F385" s="61"/>
      <c r="G385" s="61"/>
      <c r="H385" s="61"/>
      <c r="I385" s="61"/>
      <c r="J385" s="61"/>
      <c r="K385" s="61"/>
      <c r="L385" s="61"/>
      <c r="M385" s="61"/>
      <c r="N385" s="61"/>
    </row>
    <row r="386">
      <c r="F386" s="61"/>
      <c r="G386" s="61"/>
      <c r="H386" s="61"/>
      <c r="I386" s="61"/>
      <c r="J386" s="61"/>
      <c r="K386" s="61"/>
      <c r="L386" s="61"/>
      <c r="M386" s="61"/>
      <c r="N386" s="61"/>
    </row>
    <row r="387">
      <c r="F387" s="61"/>
      <c r="G387" s="61"/>
      <c r="H387" s="61"/>
      <c r="I387" s="61"/>
      <c r="J387" s="61"/>
      <c r="K387" s="61"/>
      <c r="L387" s="61"/>
      <c r="M387" s="61"/>
      <c r="N387" s="61"/>
    </row>
    <row r="388">
      <c r="F388" s="61"/>
      <c r="G388" s="61"/>
      <c r="H388" s="61"/>
      <c r="I388" s="61"/>
      <c r="J388" s="61"/>
      <c r="K388" s="61"/>
      <c r="L388" s="61"/>
      <c r="M388" s="61"/>
      <c r="N388" s="61"/>
    </row>
    <row r="389">
      <c r="F389" s="61"/>
      <c r="G389" s="61"/>
      <c r="H389" s="61"/>
      <c r="I389" s="61"/>
      <c r="J389" s="61"/>
      <c r="K389" s="61"/>
      <c r="L389" s="61"/>
      <c r="M389" s="61"/>
      <c r="N389" s="61"/>
    </row>
    <row r="390">
      <c r="F390" s="61"/>
      <c r="G390" s="61"/>
      <c r="H390" s="61"/>
      <c r="I390" s="61"/>
      <c r="J390" s="61"/>
      <c r="K390" s="61"/>
      <c r="L390" s="61"/>
      <c r="M390" s="61"/>
      <c r="N390" s="61"/>
    </row>
    <row r="391">
      <c r="F391" s="61"/>
      <c r="G391" s="61"/>
      <c r="H391" s="61"/>
      <c r="I391" s="61"/>
      <c r="J391" s="61"/>
      <c r="K391" s="61"/>
      <c r="L391" s="61"/>
      <c r="M391" s="61"/>
      <c r="N391" s="61"/>
    </row>
    <row r="392">
      <c r="F392" s="61"/>
      <c r="G392" s="61"/>
      <c r="H392" s="61"/>
      <c r="I392" s="61"/>
      <c r="J392" s="61"/>
      <c r="K392" s="61"/>
      <c r="L392" s="61"/>
      <c r="M392" s="61"/>
      <c r="N392" s="61"/>
    </row>
    <row r="393">
      <c r="F393" s="61"/>
      <c r="G393" s="61"/>
      <c r="H393" s="61"/>
      <c r="I393" s="61"/>
      <c r="J393" s="61"/>
      <c r="K393" s="61"/>
      <c r="L393" s="61"/>
      <c r="M393" s="61"/>
      <c r="N393" s="61"/>
    </row>
    <row r="394">
      <c r="F394" s="61"/>
      <c r="G394" s="61"/>
      <c r="H394" s="61"/>
      <c r="I394" s="61"/>
      <c r="J394" s="61"/>
      <c r="K394" s="61"/>
      <c r="L394" s="61"/>
      <c r="M394" s="61"/>
      <c r="N394" s="61"/>
    </row>
    <row r="395">
      <c r="F395" s="61"/>
      <c r="G395" s="61"/>
      <c r="H395" s="61"/>
      <c r="I395" s="61"/>
      <c r="J395" s="61"/>
      <c r="K395" s="61"/>
      <c r="L395" s="61"/>
      <c r="M395" s="61"/>
      <c r="N395" s="61"/>
    </row>
    <row r="396">
      <c r="F396" s="61"/>
      <c r="G396" s="61"/>
      <c r="H396" s="61"/>
      <c r="I396" s="61"/>
      <c r="J396" s="61"/>
      <c r="K396" s="61"/>
      <c r="L396" s="61"/>
      <c r="M396" s="61"/>
      <c r="N396" s="61"/>
    </row>
    <row r="397">
      <c r="F397" s="61"/>
      <c r="G397" s="61"/>
      <c r="H397" s="61"/>
      <c r="I397" s="61"/>
      <c r="J397" s="61"/>
      <c r="K397" s="61"/>
      <c r="L397" s="61"/>
      <c r="M397" s="61"/>
      <c r="N397" s="61"/>
    </row>
    <row r="398">
      <c r="F398" s="61"/>
      <c r="G398" s="61"/>
      <c r="H398" s="61"/>
      <c r="I398" s="61"/>
      <c r="J398" s="61"/>
      <c r="K398" s="61"/>
      <c r="L398" s="61"/>
      <c r="M398" s="61"/>
      <c r="N398" s="61"/>
    </row>
    <row r="399">
      <c r="F399" s="61"/>
      <c r="G399" s="61"/>
      <c r="H399" s="61"/>
      <c r="I399" s="61"/>
      <c r="J399" s="61"/>
      <c r="K399" s="61"/>
      <c r="L399" s="61"/>
      <c r="M399" s="61"/>
      <c r="N399" s="61"/>
    </row>
    <row r="400">
      <c r="F400" s="61"/>
      <c r="G400" s="61"/>
      <c r="H400" s="61"/>
      <c r="I400" s="61"/>
      <c r="J400" s="61"/>
      <c r="K400" s="61"/>
      <c r="L400" s="61"/>
      <c r="M400" s="61"/>
      <c r="N400" s="61"/>
    </row>
    <row r="401">
      <c r="F401" s="61"/>
      <c r="G401" s="61"/>
      <c r="H401" s="61"/>
      <c r="I401" s="61"/>
      <c r="J401" s="61"/>
      <c r="K401" s="61"/>
      <c r="L401" s="61"/>
      <c r="M401" s="61"/>
      <c r="N401" s="61"/>
    </row>
    <row r="402">
      <c r="F402" s="61"/>
      <c r="G402" s="61"/>
      <c r="H402" s="61"/>
      <c r="I402" s="61"/>
      <c r="J402" s="61"/>
      <c r="K402" s="61"/>
      <c r="L402" s="61"/>
      <c r="M402" s="61"/>
      <c r="N402" s="61"/>
    </row>
    <row r="403">
      <c r="F403" s="61"/>
      <c r="G403" s="61"/>
      <c r="H403" s="61"/>
      <c r="I403" s="61"/>
      <c r="J403" s="61"/>
      <c r="K403" s="61"/>
      <c r="L403" s="61"/>
      <c r="M403" s="61"/>
      <c r="N403" s="61"/>
    </row>
    <row r="404">
      <c r="F404" s="61"/>
      <c r="G404" s="61"/>
      <c r="H404" s="61"/>
      <c r="I404" s="61"/>
      <c r="J404" s="61"/>
      <c r="K404" s="61"/>
      <c r="L404" s="61"/>
      <c r="M404" s="61"/>
      <c r="N404" s="61"/>
    </row>
    <row r="405">
      <c r="F405" s="61"/>
      <c r="G405" s="61"/>
      <c r="H405" s="61"/>
      <c r="I405" s="61"/>
      <c r="J405" s="61"/>
      <c r="K405" s="61"/>
      <c r="L405" s="61"/>
      <c r="M405" s="61"/>
      <c r="N405" s="61"/>
    </row>
    <row r="406">
      <c r="F406" s="61"/>
      <c r="G406" s="61"/>
      <c r="H406" s="61"/>
      <c r="I406" s="61"/>
      <c r="J406" s="61"/>
      <c r="K406" s="61"/>
      <c r="L406" s="61"/>
      <c r="M406" s="61"/>
      <c r="N406" s="61"/>
    </row>
    <row r="407">
      <c r="F407" s="61"/>
      <c r="G407" s="61"/>
      <c r="H407" s="61"/>
      <c r="I407" s="61"/>
      <c r="J407" s="61"/>
      <c r="K407" s="61"/>
      <c r="L407" s="61"/>
      <c r="M407" s="61"/>
      <c r="N407" s="61"/>
    </row>
    <row r="408">
      <c r="F408" s="61"/>
      <c r="G408" s="61"/>
      <c r="H408" s="61"/>
      <c r="I408" s="61"/>
      <c r="J408" s="61"/>
      <c r="K408" s="61"/>
      <c r="L408" s="61"/>
      <c r="M408" s="61"/>
      <c r="N408" s="61"/>
    </row>
    <row r="409">
      <c r="F409" s="61"/>
      <c r="G409" s="61"/>
      <c r="H409" s="61"/>
      <c r="I409" s="61"/>
      <c r="J409" s="61"/>
      <c r="K409" s="61"/>
      <c r="L409" s="61"/>
      <c r="M409" s="61"/>
      <c r="N409" s="61"/>
    </row>
    <row r="410">
      <c r="F410" s="61"/>
      <c r="G410" s="61"/>
      <c r="H410" s="61"/>
      <c r="I410" s="61"/>
      <c r="J410" s="61"/>
      <c r="K410" s="61"/>
      <c r="L410" s="61"/>
      <c r="M410" s="61"/>
      <c r="N410" s="61"/>
    </row>
    <row r="411">
      <c r="F411" s="61"/>
      <c r="G411" s="61"/>
      <c r="H411" s="61"/>
      <c r="I411" s="61"/>
      <c r="J411" s="61"/>
      <c r="K411" s="61"/>
      <c r="L411" s="61"/>
      <c r="M411" s="61"/>
      <c r="N411" s="61"/>
    </row>
    <row r="412">
      <c r="F412" s="61"/>
      <c r="G412" s="61"/>
      <c r="H412" s="61"/>
      <c r="I412" s="61"/>
      <c r="J412" s="61"/>
      <c r="K412" s="61"/>
      <c r="L412" s="61"/>
      <c r="M412" s="61"/>
      <c r="N412" s="61"/>
    </row>
    <row r="413">
      <c r="F413" s="61"/>
      <c r="G413" s="61"/>
      <c r="H413" s="61"/>
      <c r="I413" s="61"/>
      <c r="J413" s="61"/>
      <c r="K413" s="61"/>
      <c r="L413" s="61"/>
      <c r="M413" s="61"/>
      <c r="N413" s="61"/>
    </row>
    <row r="414">
      <c r="F414" s="61"/>
      <c r="G414" s="61"/>
      <c r="H414" s="61"/>
      <c r="I414" s="61"/>
      <c r="J414" s="61"/>
      <c r="K414" s="61"/>
      <c r="L414" s="61"/>
      <c r="M414" s="61"/>
      <c r="N414" s="61"/>
    </row>
    <row r="415">
      <c r="F415" s="61"/>
      <c r="G415" s="61"/>
      <c r="H415" s="61"/>
      <c r="I415" s="61"/>
      <c r="J415" s="61"/>
      <c r="K415" s="61"/>
      <c r="L415" s="61"/>
      <c r="M415" s="61"/>
      <c r="N415" s="61"/>
    </row>
    <row r="416">
      <c r="F416" s="61"/>
      <c r="G416" s="61"/>
      <c r="H416" s="61"/>
      <c r="I416" s="61"/>
      <c r="J416" s="61"/>
      <c r="K416" s="61"/>
      <c r="L416" s="61"/>
      <c r="M416" s="61"/>
      <c r="N416" s="61"/>
    </row>
    <row r="417">
      <c r="F417" s="61"/>
      <c r="G417" s="61"/>
      <c r="H417" s="61"/>
      <c r="I417" s="61"/>
      <c r="J417" s="61"/>
      <c r="K417" s="61"/>
      <c r="L417" s="61"/>
      <c r="M417" s="61"/>
      <c r="N417" s="61"/>
    </row>
    <row r="418">
      <c r="F418" s="61"/>
      <c r="G418" s="61"/>
      <c r="H418" s="61"/>
      <c r="I418" s="61"/>
      <c r="J418" s="61"/>
      <c r="K418" s="61"/>
      <c r="L418" s="61"/>
      <c r="M418" s="61"/>
      <c r="N418" s="61"/>
    </row>
    <row r="419">
      <c r="F419" s="61"/>
      <c r="G419" s="61"/>
      <c r="H419" s="61"/>
      <c r="I419" s="61"/>
      <c r="J419" s="61"/>
      <c r="K419" s="61"/>
      <c r="L419" s="61"/>
      <c r="M419" s="61"/>
      <c r="N419" s="61"/>
    </row>
    <row r="420">
      <c r="F420" s="61"/>
      <c r="G420" s="61"/>
      <c r="H420" s="61"/>
      <c r="I420" s="61"/>
      <c r="J420" s="61"/>
      <c r="K420" s="61"/>
      <c r="L420" s="61"/>
      <c r="M420" s="61"/>
      <c r="N420" s="61"/>
    </row>
    <row r="421">
      <c r="F421" s="61"/>
      <c r="G421" s="61"/>
      <c r="H421" s="61"/>
      <c r="I421" s="61"/>
      <c r="J421" s="61"/>
      <c r="K421" s="61"/>
      <c r="L421" s="61"/>
      <c r="M421" s="61"/>
      <c r="N421" s="61"/>
    </row>
    <row r="422">
      <c r="F422" s="61"/>
      <c r="G422" s="61"/>
      <c r="H422" s="61"/>
      <c r="I422" s="61"/>
      <c r="J422" s="61"/>
      <c r="K422" s="61"/>
      <c r="L422" s="61"/>
      <c r="M422" s="61"/>
      <c r="N422" s="61"/>
    </row>
    <row r="423">
      <c r="F423" s="61"/>
      <c r="G423" s="61"/>
      <c r="H423" s="61"/>
      <c r="I423" s="61"/>
      <c r="J423" s="61"/>
      <c r="K423" s="61"/>
      <c r="L423" s="61"/>
      <c r="M423" s="61"/>
      <c r="N423" s="61"/>
    </row>
    <row r="424">
      <c r="F424" s="61"/>
      <c r="G424" s="61"/>
      <c r="H424" s="61"/>
      <c r="I424" s="61"/>
      <c r="J424" s="61"/>
      <c r="K424" s="61"/>
      <c r="L424" s="61"/>
      <c r="M424" s="61"/>
      <c r="N424" s="61"/>
    </row>
    <row r="425">
      <c r="F425" s="61"/>
      <c r="G425" s="61"/>
      <c r="H425" s="61"/>
      <c r="I425" s="61"/>
      <c r="J425" s="61"/>
      <c r="K425" s="61"/>
      <c r="L425" s="61"/>
      <c r="M425" s="61"/>
      <c r="N425" s="61"/>
    </row>
    <row r="426">
      <c r="F426" s="61"/>
      <c r="G426" s="61"/>
      <c r="H426" s="61"/>
      <c r="I426" s="61"/>
      <c r="J426" s="61"/>
      <c r="K426" s="61"/>
      <c r="L426" s="61"/>
      <c r="M426" s="61"/>
      <c r="N426" s="61"/>
    </row>
    <row r="427">
      <c r="F427" s="61"/>
      <c r="G427" s="61"/>
      <c r="H427" s="61"/>
      <c r="I427" s="61"/>
      <c r="J427" s="61"/>
      <c r="K427" s="61"/>
      <c r="L427" s="61"/>
      <c r="M427" s="61"/>
      <c r="N427" s="61"/>
    </row>
    <row r="428">
      <c r="F428" s="61"/>
      <c r="G428" s="61"/>
      <c r="H428" s="61"/>
      <c r="I428" s="61"/>
      <c r="J428" s="61"/>
      <c r="K428" s="61"/>
      <c r="L428" s="61"/>
      <c r="M428" s="61"/>
      <c r="N428" s="61"/>
    </row>
    <row r="429">
      <c r="F429" s="61"/>
      <c r="G429" s="61"/>
      <c r="H429" s="61"/>
      <c r="I429" s="61"/>
      <c r="J429" s="61"/>
      <c r="K429" s="61"/>
      <c r="L429" s="61"/>
      <c r="M429" s="61"/>
      <c r="N429" s="61"/>
    </row>
    <row r="430">
      <c r="F430" s="61"/>
      <c r="G430" s="61"/>
      <c r="H430" s="61"/>
      <c r="I430" s="61"/>
      <c r="J430" s="61"/>
      <c r="K430" s="61"/>
      <c r="L430" s="61"/>
      <c r="M430" s="61"/>
      <c r="N430" s="61"/>
    </row>
    <row r="431">
      <c r="F431" s="61"/>
      <c r="G431" s="61"/>
      <c r="H431" s="61"/>
      <c r="I431" s="61"/>
      <c r="J431" s="61"/>
      <c r="K431" s="61"/>
      <c r="L431" s="61"/>
      <c r="M431" s="61"/>
      <c r="N431" s="61"/>
    </row>
    <row r="432">
      <c r="F432" s="61"/>
      <c r="G432" s="61"/>
      <c r="H432" s="61"/>
      <c r="I432" s="61"/>
      <c r="J432" s="61"/>
      <c r="K432" s="61"/>
      <c r="L432" s="61"/>
      <c r="M432" s="61"/>
      <c r="N432" s="61"/>
    </row>
    <row r="433">
      <c r="F433" s="61"/>
      <c r="G433" s="61"/>
      <c r="H433" s="61"/>
      <c r="I433" s="61"/>
      <c r="J433" s="61"/>
      <c r="K433" s="61"/>
      <c r="L433" s="61"/>
      <c r="M433" s="61"/>
      <c r="N433" s="61"/>
    </row>
    <row r="434">
      <c r="F434" s="61"/>
      <c r="G434" s="61"/>
      <c r="H434" s="61"/>
      <c r="I434" s="61"/>
      <c r="J434" s="61"/>
      <c r="K434" s="61"/>
      <c r="L434" s="61"/>
      <c r="M434" s="61"/>
      <c r="N434" s="61"/>
    </row>
    <row r="435">
      <c r="F435" s="61"/>
      <c r="G435" s="61"/>
      <c r="H435" s="61"/>
      <c r="I435" s="61"/>
      <c r="J435" s="61"/>
      <c r="K435" s="61"/>
      <c r="L435" s="61"/>
      <c r="M435" s="61"/>
      <c r="N435" s="61"/>
    </row>
    <row r="436">
      <c r="F436" s="61"/>
      <c r="G436" s="61"/>
      <c r="H436" s="61"/>
      <c r="I436" s="61"/>
      <c r="J436" s="61"/>
      <c r="K436" s="61"/>
      <c r="L436" s="61"/>
      <c r="M436" s="61"/>
      <c r="N436" s="61"/>
    </row>
    <row r="437">
      <c r="F437" s="61"/>
      <c r="G437" s="61"/>
      <c r="H437" s="61"/>
      <c r="I437" s="61"/>
      <c r="J437" s="61"/>
      <c r="K437" s="61"/>
      <c r="L437" s="61"/>
      <c r="M437" s="61"/>
      <c r="N437" s="61"/>
    </row>
    <row r="438">
      <c r="F438" s="61"/>
      <c r="G438" s="61"/>
      <c r="H438" s="61"/>
      <c r="I438" s="61"/>
      <c r="J438" s="61"/>
      <c r="K438" s="61"/>
      <c r="L438" s="61"/>
      <c r="M438" s="61"/>
      <c r="N438" s="61"/>
    </row>
    <row r="439">
      <c r="F439" s="61"/>
      <c r="G439" s="61"/>
      <c r="H439" s="61"/>
      <c r="I439" s="61"/>
      <c r="J439" s="61"/>
      <c r="K439" s="61"/>
      <c r="L439" s="61"/>
      <c r="M439" s="61"/>
      <c r="N439" s="61"/>
    </row>
    <row r="440">
      <c r="F440" s="61"/>
      <c r="G440" s="61"/>
      <c r="H440" s="61"/>
      <c r="I440" s="61"/>
      <c r="J440" s="61"/>
      <c r="K440" s="61"/>
      <c r="L440" s="61"/>
      <c r="M440" s="61"/>
      <c r="N440" s="61"/>
    </row>
    <row r="441">
      <c r="F441" s="61"/>
      <c r="G441" s="61"/>
      <c r="H441" s="61"/>
      <c r="I441" s="61"/>
      <c r="J441" s="61"/>
      <c r="K441" s="61"/>
      <c r="L441" s="61"/>
      <c r="M441" s="61"/>
      <c r="N441" s="61"/>
    </row>
    <row r="442">
      <c r="F442" s="61"/>
      <c r="G442" s="61"/>
      <c r="H442" s="61"/>
      <c r="I442" s="61"/>
      <c r="J442" s="61"/>
      <c r="K442" s="61"/>
      <c r="L442" s="61"/>
      <c r="M442" s="61"/>
      <c r="N442" s="61"/>
    </row>
    <row r="443">
      <c r="F443" s="61"/>
      <c r="G443" s="61"/>
      <c r="H443" s="61"/>
      <c r="I443" s="61"/>
      <c r="J443" s="61"/>
      <c r="K443" s="61"/>
      <c r="L443" s="61"/>
      <c r="M443" s="61"/>
      <c r="N443" s="61"/>
    </row>
    <row r="444">
      <c r="F444" s="61"/>
      <c r="G444" s="61"/>
      <c r="H444" s="61"/>
      <c r="I444" s="61"/>
      <c r="J444" s="61"/>
      <c r="K444" s="61"/>
      <c r="L444" s="61"/>
      <c r="M444" s="61"/>
      <c r="N444" s="61"/>
    </row>
    <row r="445">
      <c r="F445" s="61"/>
      <c r="G445" s="61"/>
      <c r="H445" s="61"/>
      <c r="I445" s="61"/>
      <c r="J445" s="61"/>
      <c r="K445" s="61"/>
      <c r="L445" s="61"/>
      <c r="M445" s="61"/>
      <c r="N445" s="61"/>
    </row>
    <row r="446">
      <c r="F446" s="61"/>
      <c r="G446" s="61"/>
      <c r="H446" s="61"/>
      <c r="I446" s="61"/>
      <c r="J446" s="61"/>
      <c r="K446" s="61"/>
      <c r="L446" s="61"/>
      <c r="M446" s="61"/>
      <c r="N446" s="61"/>
    </row>
    <row r="447">
      <c r="F447" s="61"/>
      <c r="G447" s="61"/>
      <c r="H447" s="61"/>
      <c r="I447" s="61"/>
      <c r="J447" s="61"/>
      <c r="K447" s="61"/>
      <c r="L447" s="61"/>
      <c r="M447" s="61"/>
      <c r="N447" s="61"/>
    </row>
    <row r="448">
      <c r="F448" s="61"/>
      <c r="G448" s="61"/>
      <c r="H448" s="61"/>
      <c r="I448" s="61"/>
      <c r="J448" s="61"/>
      <c r="K448" s="61"/>
      <c r="L448" s="61"/>
      <c r="M448" s="61"/>
      <c r="N448" s="61"/>
    </row>
    <row r="449">
      <c r="F449" s="61"/>
      <c r="G449" s="61"/>
      <c r="H449" s="61"/>
      <c r="I449" s="61"/>
      <c r="J449" s="61"/>
      <c r="K449" s="61"/>
      <c r="L449" s="61"/>
      <c r="M449" s="61"/>
      <c r="N449" s="61"/>
    </row>
    <row r="450">
      <c r="F450" s="61"/>
      <c r="G450" s="61"/>
      <c r="H450" s="61"/>
      <c r="I450" s="61"/>
      <c r="J450" s="61"/>
      <c r="K450" s="61"/>
      <c r="L450" s="61"/>
      <c r="M450" s="61"/>
      <c r="N450" s="61"/>
    </row>
    <row r="451">
      <c r="F451" s="61"/>
      <c r="G451" s="61"/>
      <c r="H451" s="61"/>
      <c r="I451" s="61"/>
      <c r="J451" s="61"/>
      <c r="K451" s="61"/>
      <c r="L451" s="61"/>
      <c r="M451" s="61"/>
      <c r="N451" s="61"/>
    </row>
    <row r="452">
      <c r="F452" s="61"/>
      <c r="G452" s="61"/>
      <c r="H452" s="61"/>
      <c r="I452" s="61"/>
      <c r="J452" s="61"/>
      <c r="K452" s="61"/>
      <c r="L452" s="61"/>
      <c r="M452" s="61"/>
      <c r="N452" s="61"/>
    </row>
    <row r="453">
      <c r="F453" s="61"/>
      <c r="G453" s="61"/>
      <c r="H453" s="61"/>
      <c r="I453" s="61"/>
      <c r="J453" s="61"/>
      <c r="K453" s="61"/>
      <c r="L453" s="61"/>
      <c r="M453" s="61"/>
      <c r="N453" s="61"/>
    </row>
    <row r="454">
      <c r="F454" s="61"/>
      <c r="G454" s="61"/>
      <c r="H454" s="61"/>
      <c r="I454" s="61"/>
      <c r="J454" s="61"/>
      <c r="K454" s="61"/>
      <c r="L454" s="61"/>
      <c r="M454" s="61"/>
      <c r="N454" s="61"/>
    </row>
    <row r="455">
      <c r="F455" s="61"/>
      <c r="G455" s="61"/>
      <c r="H455" s="61"/>
      <c r="I455" s="61"/>
      <c r="J455" s="61"/>
      <c r="K455" s="61"/>
      <c r="L455" s="61"/>
      <c r="M455" s="61"/>
      <c r="N455" s="61"/>
    </row>
    <row r="456">
      <c r="F456" s="61"/>
      <c r="G456" s="61"/>
      <c r="H456" s="61"/>
      <c r="I456" s="61"/>
      <c r="J456" s="61"/>
      <c r="K456" s="61"/>
      <c r="L456" s="61"/>
      <c r="M456" s="61"/>
      <c r="N456" s="61"/>
    </row>
    <row r="457">
      <c r="F457" s="61"/>
      <c r="G457" s="61"/>
      <c r="H457" s="61"/>
      <c r="I457" s="61"/>
      <c r="J457" s="61"/>
      <c r="K457" s="61"/>
      <c r="L457" s="61"/>
      <c r="M457" s="61"/>
      <c r="N457" s="61"/>
    </row>
    <row r="458">
      <c r="F458" s="61"/>
      <c r="G458" s="61"/>
      <c r="H458" s="61"/>
      <c r="I458" s="61"/>
      <c r="J458" s="61"/>
      <c r="K458" s="61"/>
      <c r="L458" s="61"/>
      <c r="M458" s="61"/>
      <c r="N458" s="61"/>
    </row>
    <row r="459">
      <c r="F459" s="61"/>
      <c r="G459" s="61"/>
      <c r="H459" s="61"/>
      <c r="I459" s="61"/>
      <c r="J459" s="61"/>
      <c r="K459" s="61"/>
      <c r="L459" s="61"/>
      <c r="M459" s="61"/>
      <c r="N459" s="61"/>
    </row>
    <row r="460">
      <c r="F460" s="61"/>
      <c r="G460" s="61"/>
      <c r="H460" s="61"/>
      <c r="I460" s="61"/>
      <c r="J460" s="61"/>
      <c r="K460" s="61"/>
      <c r="L460" s="61"/>
      <c r="M460" s="61"/>
      <c r="N460" s="61"/>
    </row>
    <row r="461">
      <c r="F461" s="61"/>
      <c r="G461" s="61"/>
      <c r="H461" s="61"/>
      <c r="I461" s="61"/>
      <c r="J461" s="61"/>
      <c r="K461" s="61"/>
      <c r="L461" s="61"/>
      <c r="M461" s="61"/>
      <c r="N461" s="61"/>
    </row>
    <row r="462">
      <c r="F462" s="61"/>
      <c r="G462" s="61"/>
      <c r="H462" s="61"/>
      <c r="I462" s="61"/>
      <c r="J462" s="61"/>
      <c r="K462" s="61"/>
      <c r="L462" s="61"/>
      <c r="M462" s="61"/>
      <c r="N462" s="61"/>
    </row>
    <row r="463">
      <c r="F463" s="61"/>
      <c r="G463" s="61"/>
      <c r="H463" s="61"/>
      <c r="I463" s="61"/>
      <c r="J463" s="61"/>
      <c r="K463" s="61"/>
      <c r="L463" s="61"/>
      <c r="M463" s="61"/>
      <c r="N463" s="61"/>
    </row>
    <row r="464">
      <c r="F464" s="61"/>
      <c r="G464" s="61"/>
      <c r="H464" s="61"/>
      <c r="I464" s="61"/>
      <c r="J464" s="61"/>
      <c r="K464" s="61"/>
      <c r="L464" s="61"/>
      <c r="M464" s="61"/>
      <c r="N464" s="61"/>
    </row>
    <row r="465">
      <c r="F465" s="61"/>
      <c r="G465" s="61"/>
      <c r="H465" s="61"/>
      <c r="I465" s="61"/>
      <c r="J465" s="61"/>
      <c r="K465" s="61"/>
      <c r="L465" s="61"/>
      <c r="M465" s="61"/>
      <c r="N465" s="61"/>
    </row>
    <row r="466">
      <c r="F466" s="61"/>
      <c r="G466" s="61"/>
      <c r="H466" s="61"/>
      <c r="I466" s="61"/>
      <c r="J466" s="61"/>
      <c r="K466" s="61"/>
      <c r="L466" s="61"/>
      <c r="M466" s="61"/>
      <c r="N466" s="61"/>
    </row>
    <row r="467">
      <c r="F467" s="61"/>
      <c r="G467" s="61"/>
      <c r="H467" s="61"/>
      <c r="I467" s="61"/>
      <c r="J467" s="61"/>
      <c r="K467" s="61"/>
      <c r="L467" s="61"/>
      <c r="M467" s="61"/>
      <c r="N467" s="61"/>
    </row>
    <row r="468">
      <c r="F468" s="61"/>
      <c r="G468" s="61"/>
      <c r="H468" s="61"/>
      <c r="I468" s="61"/>
      <c r="J468" s="61"/>
      <c r="K468" s="61"/>
      <c r="L468" s="61"/>
      <c r="M468" s="61"/>
      <c r="N468" s="61"/>
    </row>
    <row r="469">
      <c r="F469" s="61"/>
      <c r="G469" s="61"/>
      <c r="H469" s="61"/>
      <c r="I469" s="61"/>
      <c r="J469" s="61"/>
      <c r="K469" s="61"/>
      <c r="L469" s="61"/>
      <c r="M469" s="61"/>
      <c r="N469" s="61"/>
    </row>
    <row r="470">
      <c r="F470" s="61"/>
      <c r="G470" s="61"/>
      <c r="H470" s="61"/>
      <c r="I470" s="61"/>
      <c r="J470" s="61"/>
      <c r="K470" s="61"/>
      <c r="L470" s="61"/>
      <c r="M470" s="61"/>
      <c r="N470" s="61"/>
    </row>
    <row r="471">
      <c r="F471" s="61"/>
      <c r="G471" s="61"/>
      <c r="H471" s="61"/>
      <c r="I471" s="61"/>
      <c r="J471" s="61"/>
      <c r="K471" s="61"/>
      <c r="L471" s="61"/>
      <c r="M471" s="61"/>
      <c r="N471" s="61"/>
    </row>
    <row r="472">
      <c r="F472" s="61"/>
      <c r="G472" s="61"/>
      <c r="H472" s="61"/>
      <c r="I472" s="61"/>
      <c r="J472" s="61"/>
      <c r="K472" s="61"/>
      <c r="L472" s="61"/>
      <c r="M472" s="61"/>
      <c r="N472" s="61"/>
    </row>
    <row r="473">
      <c r="F473" s="61"/>
      <c r="G473" s="61"/>
      <c r="H473" s="61"/>
      <c r="I473" s="61"/>
      <c r="J473" s="61"/>
      <c r="K473" s="61"/>
      <c r="L473" s="61"/>
      <c r="M473" s="61"/>
      <c r="N473" s="61"/>
    </row>
    <row r="474">
      <c r="F474" s="61"/>
      <c r="G474" s="61"/>
      <c r="H474" s="61"/>
      <c r="I474" s="61"/>
      <c r="J474" s="61"/>
      <c r="K474" s="61"/>
      <c r="L474" s="61"/>
      <c r="M474" s="61"/>
      <c r="N474" s="61"/>
    </row>
    <row r="475">
      <c r="F475" s="61"/>
      <c r="G475" s="61"/>
      <c r="H475" s="61"/>
      <c r="I475" s="61"/>
      <c r="J475" s="61"/>
      <c r="K475" s="61"/>
      <c r="L475" s="61"/>
      <c r="M475" s="61"/>
      <c r="N475" s="61"/>
    </row>
    <row r="476">
      <c r="F476" s="61"/>
      <c r="G476" s="61"/>
      <c r="H476" s="61"/>
      <c r="I476" s="61"/>
      <c r="J476" s="61"/>
      <c r="K476" s="61"/>
      <c r="L476" s="61"/>
      <c r="M476" s="61"/>
      <c r="N476" s="61"/>
    </row>
    <row r="477">
      <c r="F477" s="61"/>
      <c r="G477" s="61"/>
      <c r="H477" s="61"/>
      <c r="I477" s="61"/>
      <c r="J477" s="61"/>
      <c r="K477" s="61"/>
      <c r="L477" s="61"/>
      <c r="M477" s="61"/>
      <c r="N477" s="61"/>
    </row>
    <row r="478">
      <c r="F478" s="61"/>
      <c r="G478" s="61"/>
      <c r="H478" s="61"/>
      <c r="I478" s="61"/>
      <c r="J478" s="61"/>
      <c r="K478" s="61"/>
      <c r="L478" s="61"/>
      <c r="M478" s="61"/>
      <c r="N478" s="61"/>
    </row>
    <row r="479">
      <c r="F479" s="61"/>
      <c r="G479" s="61"/>
      <c r="H479" s="61"/>
      <c r="I479" s="61"/>
      <c r="J479" s="61"/>
      <c r="K479" s="61"/>
      <c r="L479" s="61"/>
      <c r="M479" s="61"/>
      <c r="N479" s="61"/>
    </row>
    <row r="480">
      <c r="F480" s="61"/>
      <c r="G480" s="61"/>
      <c r="H480" s="61"/>
      <c r="I480" s="61"/>
      <c r="J480" s="61"/>
      <c r="K480" s="61"/>
      <c r="L480" s="61"/>
      <c r="M480" s="61"/>
      <c r="N480" s="61"/>
    </row>
    <row r="481">
      <c r="F481" s="61"/>
      <c r="G481" s="61"/>
      <c r="H481" s="61"/>
      <c r="I481" s="61"/>
      <c r="J481" s="61"/>
      <c r="K481" s="61"/>
      <c r="L481" s="61"/>
      <c r="M481" s="61"/>
      <c r="N481" s="61"/>
    </row>
    <row r="482">
      <c r="F482" s="61"/>
      <c r="G482" s="61"/>
      <c r="H482" s="61"/>
      <c r="I482" s="61"/>
      <c r="J482" s="61"/>
      <c r="K482" s="61"/>
      <c r="L482" s="61"/>
      <c r="M482" s="61"/>
      <c r="N482" s="61"/>
    </row>
    <row r="483">
      <c r="F483" s="61"/>
      <c r="G483" s="61"/>
      <c r="H483" s="61"/>
      <c r="I483" s="61"/>
      <c r="J483" s="61"/>
      <c r="K483" s="61"/>
      <c r="L483" s="61"/>
      <c r="M483" s="61"/>
      <c r="N483" s="61"/>
    </row>
    <row r="484">
      <c r="F484" s="61"/>
      <c r="G484" s="61"/>
      <c r="H484" s="61"/>
      <c r="I484" s="61"/>
      <c r="J484" s="61"/>
      <c r="K484" s="61"/>
      <c r="L484" s="61"/>
      <c r="M484" s="61"/>
      <c r="N484" s="61"/>
    </row>
    <row r="485">
      <c r="F485" s="61"/>
      <c r="G485" s="61"/>
      <c r="H485" s="61"/>
      <c r="I485" s="61"/>
      <c r="J485" s="61"/>
      <c r="K485" s="61"/>
      <c r="L485" s="61"/>
      <c r="M485" s="61"/>
      <c r="N485" s="61"/>
    </row>
    <row r="486">
      <c r="F486" s="61"/>
      <c r="G486" s="61"/>
      <c r="H486" s="61"/>
      <c r="I486" s="61"/>
      <c r="J486" s="61"/>
      <c r="K486" s="61"/>
      <c r="L486" s="61"/>
      <c r="M486" s="61"/>
      <c r="N486" s="61"/>
    </row>
    <row r="487">
      <c r="F487" s="61"/>
      <c r="G487" s="61"/>
      <c r="H487" s="61"/>
      <c r="I487" s="61"/>
      <c r="J487" s="61"/>
      <c r="K487" s="61"/>
      <c r="L487" s="61"/>
      <c r="M487" s="61"/>
      <c r="N487" s="61"/>
    </row>
    <row r="488">
      <c r="F488" s="61"/>
      <c r="G488" s="61"/>
      <c r="H488" s="61"/>
      <c r="I488" s="61"/>
      <c r="J488" s="61"/>
      <c r="K488" s="61"/>
      <c r="L488" s="61"/>
      <c r="M488" s="61"/>
      <c r="N488" s="61"/>
    </row>
    <row r="489">
      <c r="F489" s="61"/>
      <c r="G489" s="61"/>
      <c r="H489" s="61"/>
      <c r="I489" s="61"/>
      <c r="J489" s="61"/>
      <c r="K489" s="61"/>
      <c r="L489" s="61"/>
      <c r="M489" s="61"/>
      <c r="N489" s="61"/>
    </row>
    <row r="490">
      <c r="F490" s="61"/>
      <c r="G490" s="61"/>
      <c r="H490" s="61"/>
      <c r="I490" s="61"/>
      <c r="J490" s="61"/>
      <c r="K490" s="61"/>
      <c r="L490" s="61"/>
      <c r="M490" s="61"/>
      <c r="N490" s="61"/>
    </row>
    <row r="491">
      <c r="F491" s="61"/>
      <c r="G491" s="61"/>
      <c r="H491" s="61"/>
      <c r="I491" s="61"/>
      <c r="J491" s="61"/>
      <c r="K491" s="61"/>
      <c r="L491" s="61"/>
      <c r="M491" s="61"/>
      <c r="N491" s="61"/>
    </row>
    <row r="492">
      <c r="F492" s="61"/>
      <c r="G492" s="61"/>
      <c r="H492" s="61"/>
      <c r="I492" s="61"/>
      <c r="J492" s="61"/>
      <c r="K492" s="61"/>
      <c r="L492" s="61"/>
      <c r="M492" s="61"/>
      <c r="N492" s="61"/>
    </row>
    <row r="493">
      <c r="F493" s="61"/>
      <c r="G493" s="61"/>
      <c r="H493" s="61"/>
      <c r="I493" s="61"/>
      <c r="J493" s="61"/>
      <c r="K493" s="61"/>
      <c r="L493" s="61"/>
      <c r="M493" s="61"/>
      <c r="N493" s="61"/>
    </row>
    <row r="494">
      <c r="F494" s="61"/>
      <c r="G494" s="61"/>
      <c r="H494" s="61"/>
      <c r="I494" s="61"/>
      <c r="J494" s="61"/>
      <c r="K494" s="61"/>
      <c r="L494" s="61"/>
      <c r="M494" s="61"/>
      <c r="N494" s="61"/>
    </row>
    <row r="495">
      <c r="F495" s="61"/>
      <c r="G495" s="61"/>
      <c r="H495" s="61"/>
      <c r="I495" s="61"/>
      <c r="J495" s="61"/>
      <c r="K495" s="61"/>
      <c r="L495" s="61"/>
      <c r="M495" s="61"/>
      <c r="N495" s="61"/>
    </row>
    <row r="496">
      <c r="F496" s="61"/>
      <c r="G496" s="61"/>
      <c r="H496" s="61"/>
      <c r="I496" s="61"/>
      <c r="J496" s="61"/>
      <c r="K496" s="61"/>
      <c r="L496" s="61"/>
      <c r="M496" s="61"/>
      <c r="N496" s="61"/>
    </row>
    <row r="497">
      <c r="F497" s="61"/>
      <c r="G497" s="61"/>
      <c r="H497" s="61"/>
      <c r="I497" s="61"/>
      <c r="J497" s="61"/>
      <c r="K497" s="61"/>
      <c r="L497" s="61"/>
      <c r="M497" s="61"/>
      <c r="N497" s="61"/>
    </row>
    <row r="498">
      <c r="F498" s="61"/>
      <c r="G498" s="61"/>
      <c r="H498" s="61"/>
      <c r="I498" s="61"/>
      <c r="J498" s="61"/>
      <c r="K498" s="61"/>
      <c r="L498" s="61"/>
      <c r="M498" s="61"/>
      <c r="N498" s="61"/>
    </row>
    <row r="499">
      <c r="F499" s="61"/>
      <c r="G499" s="61"/>
      <c r="H499" s="61"/>
      <c r="I499" s="61"/>
      <c r="J499" s="61"/>
      <c r="K499" s="61"/>
      <c r="L499" s="61"/>
      <c r="M499" s="61"/>
      <c r="N499" s="61"/>
    </row>
    <row r="500">
      <c r="F500" s="61"/>
      <c r="G500" s="61"/>
      <c r="H500" s="61"/>
      <c r="I500" s="61"/>
      <c r="J500" s="61"/>
      <c r="K500" s="61"/>
      <c r="L500" s="61"/>
      <c r="M500" s="61"/>
      <c r="N500" s="61"/>
    </row>
    <row r="501">
      <c r="F501" s="61"/>
      <c r="G501" s="61"/>
      <c r="H501" s="61"/>
      <c r="I501" s="61"/>
      <c r="J501" s="61"/>
      <c r="K501" s="61"/>
      <c r="L501" s="61"/>
      <c r="M501" s="61"/>
      <c r="N501" s="61"/>
    </row>
    <row r="502">
      <c r="F502" s="61"/>
      <c r="G502" s="61"/>
      <c r="H502" s="61"/>
      <c r="I502" s="61"/>
      <c r="J502" s="61"/>
      <c r="K502" s="61"/>
      <c r="L502" s="61"/>
      <c r="M502" s="61"/>
      <c r="N502" s="61"/>
    </row>
    <row r="503">
      <c r="F503" s="61"/>
      <c r="G503" s="61"/>
      <c r="H503" s="61"/>
      <c r="I503" s="61"/>
      <c r="J503" s="61"/>
      <c r="K503" s="61"/>
      <c r="L503" s="61"/>
      <c r="M503" s="61"/>
      <c r="N503" s="61"/>
    </row>
    <row r="504">
      <c r="F504" s="61"/>
      <c r="G504" s="61"/>
      <c r="H504" s="61"/>
      <c r="I504" s="61"/>
      <c r="J504" s="61"/>
      <c r="K504" s="61"/>
      <c r="L504" s="61"/>
      <c r="M504" s="61"/>
      <c r="N504" s="61"/>
    </row>
    <row r="505">
      <c r="F505" s="61"/>
      <c r="G505" s="61"/>
      <c r="H505" s="61"/>
      <c r="I505" s="61"/>
      <c r="J505" s="61"/>
      <c r="K505" s="61"/>
      <c r="L505" s="61"/>
      <c r="M505" s="61"/>
      <c r="N505" s="61"/>
    </row>
    <row r="506">
      <c r="F506" s="61"/>
      <c r="G506" s="61"/>
      <c r="H506" s="61"/>
      <c r="I506" s="61"/>
      <c r="J506" s="61"/>
      <c r="K506" s="61"/>
      <c r="L506" s="61"/>
      <c r="M506" s="61"/>
      <c r="N506" s="61"/>
    </row>
    <row r="507">
      <c r="F507" s="61"/>
      <c r="G507" s="61"/>
      <c r="H507" s="61"/>
      <c r="I507" s="61"/>
      <c r="J507" s="61"/>
      <c r="K507" s="61"/>
      <c r="L507" s="61"/>
      <c r="M507" s="61"/>
      <c r="N507" s="61"/>
    </row>
    <row r="508">
      <c r="F508" s="61"/>
      <c r="G508" s="61"/>
      <c r="H508" s="61"/>
      <c r="I508" s="61"/>
      <c r="J508" s="61"/>
      <c r="K508" s="61"/>
      <c r="L508" s="61"/>
      <c r="M508" s="61"/>
      <c r="N508" s="61"/>
    </row>
    <row r="509">
      <c r="F509" s="61"/>
      <c r="G509" s="61"/>
      <c r="H509" s="61"/>
      <c r="I509" s="61"/>
      <c r="J509" s="61"/>
      <c r="K509" s="61"/>
      <c r="L509" s="61"/>
      <c r="M509" s="61"/>
      <c r="N509" s="61"/>
    </row>
    <row r="510">
      <c r="F510" s="61"/>
      <c r="G510" s="61"/>
      <c r="H510" s="61"/>
      <c r="I510" s="61"/>
      <c r="J510" s="61"/>
      <c r="K510" s="61"/>
      <c r="L510" s="61"/>
      <c r="M510" s="61"/>
      <c r="N510" s="61"/>
    </row>
    <row r="511">
      <c r="F511" s="61"/>
      <c r="G511" s="61"/>
      <c r="H511" s="61"/>
      <c r="I511" s="61"/>
      <c r="J511" s="61"/>
      <c r="K511" s="61"/>
      <c r="L511" s="61"/>
      <c r="M511" s="61"/>
      <c r="N511" s="61"/>
    </row>
    <row r="512">
      <c r="F512" s="61"/>
      <c r="G512" s="61"/>
      <c r="H512" s="61"/>
      <c r="I512" s="61"/>
      <c r="J512" s="61"/>
      <c r="K512" s="61"/>
      <c r="L512" s="61"/>
      <c r="M512" s="61"/>
      <c r="N512" s="61"/>
    </row>
    <row r="513">
      <c r="F513" s="61"/>
      <c r="G513" s="61"/>
      <c r="H513" s="61"/>
      <c r="I513" s="61"/>
      <c r="J513" s="61"/>
      <c r="K513" s="61"/>
      <c r="L513" s="61"/>
      <c r="M513" s="61"/>
      <c r="N513" s="61"/>
    </row>
    <row r="514">
      <c r="F514" s="61"/>
      <c r="G514" s="61"/>
      <c r="H514" s="61"/>
      <c r="I514" s="61"/>
      <c r="J514" s="61"/>
      <c r="K514" s="61"/>
      <c r="L514" s="61"/>
      <c r="M514" s="61"/>
      <c r="N514" s="61"/>
    </row>
    <row r="515">
      <c r="F515" s="61"/>
      <c r="G515" s="61"/>
      <c r="H515" s="61"/>
      <c r="I515" s="61"/>
      <c r="J515" s="61"/>
      <c r="K515" s="61"/>
      <c r="L515" s="61"/>
      <c r="M515" s="61"/>
      <c r="N515" s="61"/>
    </row>
    <row r="516">
      <c r="F516" s="61"/>
      <c r="G516" s="61"/>
      <c r="H516" s="61"/>
      <c r="I516" s="61"/>
      <c r="J516" s="61"/>
      <c r="K516" s="61"/>
      <c r="L516" s="61"/>
      <c r="M516" s="61"/>
      <c r="N516" s="61"/>
    </row>
    <row r="517">
      <c r="F517" s="61"/>
      <c r="G517" s="61"/>
      <c r="H517" s="61"/>
      <c r="I517" s="61"/>
      <c r="J517" s="61"/>
      <c r="K517" s="61"/>
      <c r="L517" s="61"/>
      <c r="M517" s="61"/>
      <c r="N517" s="61"/>
    </row>
    <row r="518">
      <c r="F518" s="61"/>
      <c r="G518" s="61"/>
      <c r="H518" s="61"/>
      <c r="I518" s="61"/>
      <c r="J518" s="61"/>
      <c r="K518" s="61"/>
      <c r="L518" s="61"/>
      <c r="M518" s="61"/>
      <c r="N518" s="61"/>
    </row>
    <row r="519">
      <c r="F519" s="61"/>
      <c r="G519" s="61"/>
      <c r="H519" s="61"/>
      <c r="I519" s="61"/>
      <c r="J519" s="61"/>
      <c r="K519" s="61"/>
      <c r="L519" s="61"/>
      <c r="M519" s="61"/>
      <c r="N519" s="61"/>
    </row>
    <row r="520">
      <c r="F520" s="61"/>
      <c r="G520" s="61"/>
      <c r="H520" s="61"/>
      <c r="I520" s="61"/>
      <c r="J520" s="61"/>
      <c r="K520" s="61"/>
      <c r="L520" s="61"/>
      <c r="M520" s="61"/>
      <c r="N520" s="61"/>
    </row>
    <row r="521">
      <c r="F521" s="61"/>
      <c r="G521" s="61"/>
      <c r="H521" s="61"/>
      <c r="I521" s="61"/>
      <c r="J521" s="61"/>
      <c r="K521" s="61"/>
      <c r="L521" s="61"/>
      <c r="M521" s="61"/>
      <c r="N521" s="61"/>
    </row>
    <row r="522">
      <c r="F522" s="61"/>
      <c r="G522" s="61"/>
      <c r="H522" s="61"/>
      <c r="I522" s="61"/>
      <c r="J522" s="61"/>
      <c r="K522" s="61"/>
      <c r="L522" s="61"/>
      <c r="M522" s="61"/>
      <c r="N522" s="61"/>
    </row>
    <row r="523">
      <c r="F523" s="61"/>
      <c r="G523" s="61"/>
      <c r="H523" s="61"/>
      <c r="I523" s="61"/>
      <c r="J523" s="61"/>
      <c r="K523" s="61"/>
      <c r="L523" s="61"/>
      <c r="M523" s="61"/>
      <c r="N523" s="61"/>
    </row>
    <row r="524">
      <c r="F524" s="61"/>
      <c r="G524" s="61"/>
      <c r="H524" s="61"/>
      <c r="I524" s="61"/>
      <c r="J524" s="61"/>
      <c r="K524" s="61"/>
      <c r="L524" s="61"/>
      <c r="M524" s="61"/>
      <c r="N524" s="61"/>
    </row>
    <row r="525">
      <c r="F525" s="61"/>
      <c r="G525" s="61"/>
      <c r="H525" s="61"/>
      <c r="I525" s="61"/>
      <c r="J525" s="61"/>
      <c r="K525" s="61"/>
      <c r="L525" s="61"/>
      <c r="M525" s="61"/>
      <c r="N525" s="61"/>
    </row>
    <row r="526">
      <c r="F526" s="61"/>
      <c r="G526" s="61"/>
      <c r="H526" s="61"/>
      <c r="I526" s="61"/>
      <c r="J526" s="61"/>
      <c r="K526" s="61"/>
      <c r="L526" s="61"/>
      <c r="M526" s="61"/>
      <c r="N526" s="61"/>
    </row>
    <row r="527">
      <c r="F527" s="61"/>
      <c r="G527" s="61"/>
      <c r="H527" s="61"/>
      <c r="I527" s="61"/>
      <c r="J527" s="61"/>
      <c r="K527" s="61"/>
      <c r="L527" s="61"/>
      <c r="M527" s="61"/>
      <c r="N527" s="61"/>
    </row>
    <row r="528">
      <c r="F528" s="61"/>
      <c r="G528" s="61"/>
      <c r="H528" s="61"/>
      <c r="I528" s="61"/>
      <c r="J528" s="61"/>
      <c r="K528" s="61"/>
      <c r="L528" s="61"/>
      <c r="M528" s="61"/>
      <c r="N528" s="61"/>
    </row>
    <row r="529">
      <c r="F529" s="61"/>
      <c r="G529" s="61"/>
      <c r="H529" s="61"/>
      <c r="I529" s="61"/>
      <c r="J529" s="61"/>
      <c r="K529" s="61"/>
      <c r="L529" s="61"/>
      <c r="M529" s="61"/>
      <c r="N529" s="61"/>
    </row>
    <row r="530">
      <c r="F530" s="61"/>
      <c r="G530" s="61"/>
      <c r="H530" s="61"/>
      <c r="I530" s="61"/>
      <c r="J530" s="61"/>
      <c r="K530" s="61"/>
      <c r="L530" s="61"/>
      <c r="M530" s="61"/>
      <c r="N530" s="61"/>
    </row>
    <row r="531">
      <c r="F531" s="61"/>
      <c r="G531" s="61"/>
      <c r="H531" s="61"/>
      <c r="I531" s="61"/>
      <c r="J531" s="61"/>
      <c r="K531" s="61"/>
      <c r="L531" s="61"/>
      <c r="M531" s="61"/>
      <c r="N531" s="61"/>
    </row>
    <row r="532">
      <c r="F532" s="61"/>
      <c r="G532" s="61"/>
      <c r="H532" s="61"/>
      <c r="I532" s="61"/>
      <c r="J532" s="61"/>
      <c r="K532" s="61"/>
      <c r="L532" s="61"/>
      <c r="M532" s="61"/>
      <c r="N532" s="61"/>
    </row>
    <row r="533">
      <c r="F533" s="61"/>
      <c r="G533" s="61"/>
      <c r="H533" s="61"/>
      <c r="I533" s="61"/>
      <c r="J533" s="61"/>
      <c r="K533" s="61"/>
      <c r="L533" s="61"/>
      <c r="M533" s="61"/>
      <c r="N533" s="61"/>
    </row>
    <row r="534">
      <c r="F534" s="61"/>
      <c r="G534" s="61"/>
      <c r="H534" s="61"/>
      <c r="I534" s="61"/>
      <c r="J534" s="61"/>
      <c r="K534" s="61"/>
      <c r="L534" s="61"/>
      <c r="M534" s="61"/>
      <c r="N534" s="61"/>
    </row>
    <row r="535">
      <c r="F535" s="61"/>
      <c r="G535" s="61"/>
      <c r="H535" s="61"/>
      <c r="I535" s="61"/>
      <c r="J535" s="61"/>
      <c r="K535" s="61"/>
      <c r="L535" s="61"/>
      <c r="M535" s="61"/>
      <c r="N535" s="61"/>
    </row>
    <row r="536">
      <c r="F536" s="61"/>
      <c r="G536" s="61"/>
      <c r="H536" s="61"/>
      <c r="I536" s="61"/>
      <c r="J536" s="61"/>
      <c r="K536" s="61"/>
      <c r="L536" s="61"/>
      <c r="M536" s="61"/>
      <c r="N536" s="61"/>
    </row>
    <row r="537">
      <c r="F537" s="61"/>
      <c r="G537" s="61"/>
      <c r="H537" s="61"/>
      <c r="I537" s="61"/>
      <c r="J537" s="61"/>
      <c r="K537" s="61"/>
      <c r="L537" s="61"/>
      <c r="M537" s="61"/>
      <c r="N537" s="61"/>
    </row>
    <row r="538">
      <c r="F538" s="61"/>
      <c r="G538" s="61"/>
      <c r="H538" s="61"/>
      <c r="I538" s="61"/>
      <c r="J538" s="61"/>
      <c r="K538" s="61"/>
      <c r="L538" s="61"/>
      <c r="M538" s="61"/>
      <c r="N538" s="61"/>
    </row>
    <row r="539">
      <c r="F539" s="61"/>
      <c r="G539" s="61"/>
      <c r="H539" s="61"/>
      <c r="I539" s="61"/>
      <c r="J539" s="61"/>
      <c r="K539" s="61"/>
      <c r="L539" s="61"/>
      <c r="M539" s="61"/>
      <c r="N539" s="61"/>
    </row>
    <row r="540">
      <c r="F540" s="61"/>
      <c r="G540" s="61"/>
      <c r="H540" s="61"/>
      <c r="I540" s="61"/>
      <c r="J540" s="61"/>
      <c r="K540" s="61"/>
      <c r="L540" s="61"/>
      <c r="M540" s="61"/>
      <c r="N540" s="61"/>
    </row>
    <row r="541">
      <c r="F541" s="61"/>
      <c r="G541" s="61"/>
      <c r="H541" s="61"/>
      <c r="I541" s="61"/>
      <c r="J541" s="61"/>
      <c r="K541" s="61"/>
      <c r="L541" s="61"/>
      <c r="M541" s="61"/>
      <c r="N541" s="61"/>
    </row>
    <row r="542">
      <c r="F542" s="61"/>
      <c r="G542" s="61"/>
      <c r="H542" s="61"/>
      <c r="I542" s="61"/>
      <c r="J542" s="61"/>
      <c r="K542" s="61"/>
      <c r="L542" s="61"/>
      <c r="M542" s="61"/>
      <c r="N542" s="61"/>
    </row>
    <row r="543">
      <c r="F543" s="61"/>
      <c r="G543" s="61"/>
      <c r="H543" s="61"/>
      <c r="I543" s="61"/>
      <c r="J543" s="61"/>
      <c r="K543" s="61"/>
      <c r="L543" s="61"/>
      <c r="M543" s="61"/>
      <c r="N543" s="61"/>
    </row>
    <row r="544">
      <c r="F544" s="61"/>
      <c r="G544" s="61"/>
      <c r="H544" s="61"/>
      <c r="I544" s="61"/>
      <c r="J544" s="61"/>
      <c r="K544" s="61"/>
      <c r="L544" s="61"/>
      <c r="M544" s="61"/>
      <c r="N544" s="61"/>
    </row>
    <row r="545">
      <c r="F545" s="61"/>
      <c r="G545" s="61"/>
      <c r="H545" s="61"/>
      <c r="I545" s="61"/>
      <c r="J545" s="61"/>
      <c r="K545" s="61"/>
      <c r="L545" s="61"/>
      <c r="M545" s="61"/>
      <c r="N545" s="61"/>
    </row>
    <row r="546">
      <c r="F546" s="61"/>
      <c r="G546" s="61"/>
      <c r="H546" s="61"/>
      <c r="I546" s="61"/>
      <c r="J546" s="61"/>
      <c r="K546" s="61"/>
      <c r="L546" s="61"/>
      <c r="M546" s="61"/>
      <c r="N546" s="61"/>
    </row>
    <row r="547">
      <c r="F547" s="61"/>
      <c r="G547" s="61"/>
      <c r="H547" s="61"/>
      <c r="I547" s="61"/>
      <c r="J547" s="61"/>
      <c r="K547" s="61"/>
      <c r="L547" s="61"/>
      <c r="M547" s="61"/>
      <c r="N547" s="61"/>
    </row>
    <row r="548">
      <c r="F548" s="61"/>
      <c r="G548" s="61"/>
      <c r="H548" s="61"/>
      <c r="I548" s="61"/>
      <c r="J548" s="61"/>
      <c r="K548" s="61"/>
      <c r="L548" s="61"/>
      <c r="M548" s="61"/>
      <c r="N548" s="61"/>
    </row>
    <row r="549">
      <c r="F549" s="61"/>
      <c r="G549" s="61"/>
      <c r="H549" s="61"/>
      <c r="I549" s="61"/>
      <c r="J549" s="61"/>
      <c r="K549" s="61"/>
      <c r="L549" s="61"/>
      <c r="M549" s="61"/>
      <c r="N549" s="61"/>
    </row>
    <row r="550">
      <c r="F550" s="61"/>
      <c r="G550" s="61"/>
      <c r="H550" s="61"/>
      <c r="I550" s="61"/>
      <c r="J550" s="61"/>
      <c r="K550" s="61"/>
      <c r="L550" s="61"/>
      <c r="M550" s="61"/>
      <c r="N550" s="61"/>
    </row>
    <row r="551">
      <c r="F551" s="61"/>
      <c r="G551" s="61"/>
      <c r="H551" s="61"/>
      <c r="I551" s="61"/>
      <c r="J551" s="61"/>
      <c r="K551" s="61"/>
      <c r="L551" s="61"/>
      <c r="M551" s="61"/>
      <c r="N551" s="61"/>
    </row>
    <row r="552">
      <c r="F552" s="61"/>
      <c r="G552" s="61"/>
      <c r="H552" s="61"/>
      <c r="I552" s="61"/>
      <c r="J552" s="61"/>
      <c r="K552" s="61"/>
      <c r="L552" s="61"/>
      <c r="M552" s="61"/>
      <c r="N552" s="61"/>
    </row>
    <row r="553">
      <c r="F553" s="61"/>
      <c r="G553" s="61"/>
      <c r="H553" s="61"/>
      <c r="I553" s="61"/>
      <c r="J553" s="61"/>
      <c r="K553" s="61"/>
      <c r="L553" s="61"/>
      <c r="M553" s="61"/>
      <c r="N553" s="61"/>
    </row>
    <row r="554">
      <c r="F554" s="61"/>
      <c r="G554" s="61"/>
      <c r="H554" s="61"/>
      <c r="I554" s="61"/>
      <c r="J554" s="61"/>
      <c r="K554" s="61"/>
      <c r="L554" s="61"/>
      <c r="M554" s="61"/>
      <c r="N554" s="61"/>
    </row>
    <row r="555">
      <c r="F555" s="61"/>
      <c r="G555" s="61"/>
      <c r="H555" s="61"/>
      <c r="I555" s="61"/>
      <c r="J555" s="61"/>
      <c r="K555" s="61"/>
      <c r="L555" s="61"/>
      <c r="M555" s="61"/>
      <c r="N555" s="61"/>
    </row>
    <row r="556">
      <c r="F556" s="61"/>
      <c r="G556" s="61"/>
      <c r="H556" s="61"/>
      <c r="I556" s="61"/>
      <c r="J556" s="61"/>
      <c r="K556" s="61"/>
      <c r="L556" s="61"/>
      <c r="M556" s="61"/>
      <c r="N556" s="61"/>
    </row>
    <row r="557">
      <c r="F557" s="61"/>
      <c r="G557" s="61"/>
      <c r="H557" s="61"/>
      <c r="I557" s="61"/>
      <c r="J557" s="61"/>
      <c r="K557" s="61"/>
      <c r="L557" s="61"/>
      <c r="M557" s="61"/>
      <c r="N557" s="61"/>
    </row>
    <row r="558">
      <c r="F558" s="61"/>
      <c r="G558" s="61"/>
      <c r="H558" s="61"/>
      <c r="I558" s="61"/>
      <c r="J558" s="61"/>
      <c r="K558" s="61"/>
      <c r="L558" s="61"/>
      <c r="M558" s="61"/>
      <c r="N558" s="61"/>
    </row>
    <row r="559">
      <c r="F559" s="61"/>
      <c r="G559" s="61"/>
      <c r="H559" s="61"/>
      <c r="I559" s="61"/>
      <c r="J559" s="61"/>
      <c r="K559" s="61"/>
      <c r="L559" s="61"/>
      <c r="M559" s="61"/>
      <c r="N559" s="61"/>
    </row>
    <row r="560">
      <c r="F560" s="61"/>
      <c r="G560" s="61"/>
      <c r="H560" s="61"/>
      <c r="I560" s="61"/>
      <c r="J560" s="61"/>
      <c r="K560" s="61"/>
      <c r="L560" s="61"/>
      <c r="M560" s="61"/>
      <c r="N560" s="61"/>
    </row>
    <row r="561">
      <c r="F561" s="61"/>
      <c r="G561" s="61"/>
      <c r="H561" s="61"/>
      <c r="I561" s="61"/>
      <c r="J561" s="61"/>
      <c r="K561" s="61"/>
      <c r="L561" s="61"/>
      <c r="M561" s="61"/>
      <c r="N561" s="61"/>
    </row>
    <row r="562">
      <c r="F562" s="61"/>
      <c r="G562" s="61"/>
      <c r="H562" s="61"/>
      <c r="I562" s="61"/>
      <c r="J562" s="61"/>
      <c r="K562" s="61"/>
      <c r="L562" s="61"/>
      <c r="M562" s="61"/>
      <c r="N562" s="61"/>
    </row>
    <row r="563">
      <c r="F563" s="61"/>
      <c r="G563" s="61"/>
      <c r="H563" s="61"/>
      <c r="I563" s="61"/>
      <c r="J563" s="61"/>
      <c r="K563" s="61"/>
      <c r="L563" s="61"/>
      <c r="M563" s="61"/>
      <c r="N563" s="61"/>
    </row>
    <row r="564">
      <c r="F564" s="61"/>
      <c r="G564" s="61"/>
      <c r="H564" s="61"/>
      <c r="I564" s="61"/>
      <c r="J564" s="61"/>
      <c r="K564" s="61"/>
      <c r="L564" s="61"/>
      <c r="M564" s="61"/>
      <c r="N564" s="61"/>
    </row>
    <row r="565">
      <c r="F565" s="61"/>
      <c r="G565" s="61"/>
      <c r="H565" s="61"/>
      <c r="I565" s="61"/>
      <c r="J565" s="61"/>
      <c r="K565" s="61"/>
      <c r="L565" s="61"/>
      <c r="M565" s="61"/>
      <c r="N565" s="61"/>
    </row>
    <row r="566">
      <c r="F566" s="61"/>
      <c r="G566" s="61"/>
      <c r="H566" s="61"/>
      <c r="I566" s="61"/>
      <c r="J566" s="61"/>
      <c r="K566" s="61"/>
      <c r="L566" s="61"/>
      <c r="M566" s="61"/>
      <c r="N566" s="61"/>
    </row>
    <row r="567">
      <c r="F567" s="61"/>
      <c r="G567" s="61"/>
      <c r="H567" s="61"/>
      <c r="I567" s="61"/>
      <c r="J567" s="61"/>
      <c r="K567" s="61"/>
      <c r="L567" s="61"/>
      <c r="M567" s="61"/>
      <c r="N567" s="61"/>
    </row>
    <row r="568">
      <c r="F568" s="61"/>
      <c r="G568" s="61"/>
      <c r="H568" s="61"/>
      <c r="I568" s="61"/>
      <c r="J568" s="61"/>
      <c r="K568" s="61"/>
      <c r="L568" s="61"/>
      <c r="M568" s="61"/>
      <c r="N568" s="61"/>
    </row>
    <row r="569">
      <c r="F569" s="61"/>
      <c r="G569" s="61"/>
      <c r="H569" s="61"/>
      <c r="I569" s="61"/>
      <c r="J569" s="61"/>
      <c r="K569" s="61"/>
      <c r="L569" s="61"/>
      <c r="M569" s="61"/>
      <c r="N569" s="61"/>
    </row>
    <row r="570">
      <c r="F570" s="61"/>
      <c r="G570" s="61"/>
      <c r="H570" s="61"/>
      <c r="I570" s="61"/>
      <c r="J570" s="61"/>
      <c r="K570" s="61"/>
      <c r="L570" s="61"/>
      <c r="M570" s="61"/>
      <c r="N570" s="61"/>
    </row>
    <row r="571">
      <c r="F571" s="61"/>
      <c r="G571" s="61"/>
      <c r="H571" s="61"/>
      <c r="I571" s="61"/>
      <c r="J571" s="61"/>
      <c r="K571" s="61"/>
      <c r="L571" s="61"/>
      <c r="M571" s="61"/>
      <c r="N571" s="61"/>
    </row>
    <row r="572">
      <c r="F572" s="61"/>
      <c r="G572" s="61"/>
      <c r="H572" s="61"/>
      <c r="I572" s="61"/>
      <c r="J572" s="61"/>
      <c r="K572" s="61"/>
      <c r="L572" s="61"/>
      <c r="M572" s="61"/>
      <c r="N572" s="61"/>
    </row>
    <row r="573">
      <c r="F573" s="61"/>
      <c r="G573" s="61"/>
      <c r="H573" s="61"/>
      <c r="I573" s="61"/>
      <c r="J573" s="61"/>
      <c r="K573" s="61"/>
      <c r="L573" s="61"/>
      <c r="M573" s="61"/>
      <c r="N573" s="61"/>
    </row>
    <row r="574">
      <c r="F574" s="61"/>
      <c r="G574" s="61"/>
      <c r="H574" s="61"/>
      <c r="I574" s="61"/>
      <c r="J574" s="61"/>
      <c r="K574" s="61"/>
      <c r="L574" s="61"/>
      <c r="M574" s="61"/>
      <c r="N574" s="61"/>
    </row>
    <row r="575">
      <c r="F575" s="61"/>
      <c r="G575" s="61"/>
      <c r="H575" s="61"/>
      <c r="I575" s="61"/>
      <c r="J575" s="61"/>
      <c r="K575" s="61"/>
      <c r="L575" s="61"/>
      <c r="M575" s="61"/>
      <c r="N575" s="61"/>
    </row>
    <row r="576">
      <c r="F576" s="61"/>
      <c r="G576" s="61"/>
      <c r="H576" s="61"/>
      <c r="I576" s="61"/>
      <c r="J576" s="61"/>
      <c r="K576" s="61"/>
      <c r="L576" s="61"/>
      <c r="M576" s="61"/>
      <c r="N576" s="61"/>
    </row>
    <row r="577">
      <c r="F577" s="61"/>
      <c r="G577" s="61"/>
      <c r="H577" s="61"/>
      <c r="I577" s="61"/>
      <c r="J577" s="61"/>
      <c r="K577" s="61"/>
      <c r="L577" s="61"/>
      <c r="M577" s="61"/>
      <c r="N577" s="61"/>
    </row>
    <row r="578">
      <c r="F578" s="61"/>
      <c r="G578" s="61"/>
      <c r="H578" s="61"/>
      <c r="I578" s="61"/>
      <c r="J578" s="61"/>
      <c r="K578" s="61"/>
      <c r="L578" s="61"/>
      <c r="M578" s="61"/>
      <c r="N578" s="61"/>
    </row>
    <row r="579">
      <c r="F579" s="61"/>
      <c r="G579" s="61"/>
      <c r="H579" s="61"/>
      <c r="I579" s="61"/>
      <c r="J579" s="61"/>
      <c r="K579" s="61"/>
      <c r="L579" s="61"/>
      <c r="M579" s="61"/>
      <c r="N579" s="61"/>
    </row>
    <row r="580">
      <c r="F580" s="61"/>
      <c r="G580" s="61"/>
      <c r="H580" s="61"/>
      <c r="I580" s="61"/>
      <c r="J580" s="61"/>
      <c r="K580" s="61"/>
      <c r="L580" s="61"/>
      <c r="M580" s="61"/>
      <c r="N580" s="61"/>
    </row>
    <row r="581">
      <c r="F581" s="61"/>
      <c r="G581" s="61"/>
      <c r="H581" s="61"/>
      <c r="I581" s="61"/>
      <c r="J581" s="61"/>
      <c r="K581" s="61"/>
      <c r="L581" s="61"/>
      <c r="M581" s="61"/>
      <c r="N581" s="61"/>
    </row>
    <row r="582">
      <c r="F582" s="61"/>
      <c r="G582" s="61"/>
      <c r="H582" s="61"/>
      <c r="I582" s="61"/>
      <c r="J582" s="61"/>
      <c r="K582" s="61"/>
      <c r="L582" s="61"/>
      <c r="M582" s="61"/>
      <c r="N582" s="61"/>
    </row>
    <row r="583">
      <c r="F583" s="61"/>
      <c r="G583" s="61"/>
      <c r="H583" s="61"/>
      <c r="I583" s="61"/>
      <c r="J583" s="61"/>
      <c r="K583" s="61"/>
      <c r="L583" s="61"/>
      <c r="M583" s="61"/>
      <c r="N583" s="61"/>
    </row>
    <row r="584">
      <c r="F584" s="61"/>
      <c r="G584" s="61"/>
      <c r="H584" s="61"/>
      <c r="I584" s="61"/>
      <c r="J584" s="61"/>
      <c r="K584" s="61"/>
      <c r="L584" s="61"/>
      <c r="M584" s="61"/>
      <c r="N584" s="61"/>
    </row>
    <row r="585">
      <c r="F585" s="61"/>
      <c r="G585" s="61"/>
      <c r="H585" s="61"/>
      <c r="I585" s="61"/>
      <c r="J585" s="61"/>
      <c r="K585" s="61"/>
      <c r="L585" s="61"/>
      <c r="M585" s="61"/>
      <c r="N585" s="61"/>
    </row>
    <row r="586">
      <c r="F586" s="61"/>
      <c r="G586" s="61"/>
      <c r="H586" s="61"/>
      <c r="I586" s="61"/>
      <c r="J586" s="61"/>
      <c r="K586" s="61"/>
      <c r="L586" s="61"/>
      <c r="M586" s="61"/>
      <c r="N586" s="61"/>
    </row>
    <row r="587">
      <c r="F587" s="61"/>
      <c r="G587" s="61"/>
      <c r="H587" s="61"/>
      <c r="I587" s="61"/>
      <c r="J587" s="61"/>
      <c r="K587" s="61"/>
      <c r="L587" s="61"/>
      <c r="M587" s="61"/>
      <c r="N587" s="61"/>
    </row>
    <row r="588">
      <c r="F588" s="61"/>
      <c r="G588" s="61"/>
      <c r="H588" s="61"/>
      <c r="I588" s="61"/>
      <c r="J588" s="61"/>
      <c r="K588" s="61"/>
      <c r="L588" s="61"/>
      <c r="M588" s="61"/>
      <c r="N588" s="61"/>
    </row>
    <row r="589">
      <c r="F589" s="61"/>
      <c r="G589" s="61"/>
      <c r="H589" s="61"/>
      <c r="I589" s="61"/>
      <c r="J589" s="61"/>
      <c r="K589" s="61"/>
      <c r="L589" s="61"/>
      <c r="M589" s="61"/>
      <c r="N589" s="61"/>
    </row>
    <row r="590">
      <c r="F590" s="61"/>
      <c r="G590" s="61"/>
      <c r="H590" s="61"/>
      <c r="I590" s="61"/>
      <c r="J590" s="61"/>
      <c r="K590" s="61"/>
      <c r="L590" s="61"/>
      <c r="M590" s="61"/>
      <c r="N590" s="61"/>
    </row>
    <row r="591">
      <c r="F591" s="61"/>
      <c r="G591" s="61"/>
      <c r="H591" s="61"/>
      <c r="I591" s="61"/>
      <c r="J591" s="61"/>
      <c r="K591" s="61"/>
      <c r="L591" s="61"/>
      <c r="M591" s="61"/>
      <c r="N591" s="61"/>
    </row>
    <row r="592">
      <c r="F592" s="61"/>
      <c r="G592" s="61"/>
      <c r="H592" s="61"/>
      <c r="I592" s="61"/>
      <c r="J592" s="61"/>
      <c r="K592" s="61"/>
      <c r="L592" s="61"/>
      <c r="M592" s="61"/>
      <c r="N592" s="61"/>
    </row>
    <row r="593">
      <c r="F593" s="61"/>
      <c r="G593" s="61"/>
      <c r="H593" s="61"/>
      <c r="I593" s="61"/>
      <c r="J593" s="61"/>
      <c r="K593" s="61"/>
      <c r="L593" s="61"/>
      <c r="M593" s="61"/>
      <c r="N593" s="61"/>
    </row>
    <row r="594">
      <c r="F594" s="61"/>
      <c r="G594" s="61"/>
      <c r="H594" s="61"/>
      <c r="I594" s="61"/>
      <c r="J594" s="61"/>
      <c r="K594" s="61"/>
      <c r="L594" s="61"/>
      <c r="M594" s="61"/>
      <c r="N594" s="61"/>
    </row>
    <row r="595">
      <c r="F595" s="61"/>
      <c r="G595" s="61"/>
      <c r="H595" s="61"/>
      <c r="I595" s="61"/>
      <c r="J595" s="61"/>
      <c r="K595" s="61"/>
      <c r="L595" s="61"/>
      <c r="M595" s="61"/>
      <c r="N595" s="61"/>
    </row>
    <row r="596">
      <c r="F596" s="61"/>
      <c r="G596" s="61"/>
      <c r="H596" s="61"/>
      <c r="I596" s="61"/>
      <c r="J596" s="61"/>
      <c r="K596" s="61"/>
      <c r="L596" s="61"/>
      <c r="M596" s="61"/>
      <c r="N596" s="61"/>
    </row>
    <row r="597">
      <c r="F597" s="61"/>
      <c r="G597" s="61"/>
      <c r="H597" s="61"/>
      <c r="I597" s="61"/>
      <c r="J597" s="61"/>
      <c r="K597" s="61"/>
      <c r="L597" s="61"/>
      <c r="M597" s="61"/>
      <c r="N597" s="61"/>
    </row>
    <row r="598">
      <c r="F598" s="61"/>
      <c r="G598" s="61"/>
      <c r="H598" s="61"/>
      <c r="I598" s="61"/>
      <c r="J598" s="61"/>
      <c r="K598" s="61"/>
      <c r="L598" s="61"/>
      <c r="M598" s="61"/>
      <c r="N598" s="61"/>
    </row>
    <row r="599">
      <c r="F599" s="61"/>
      <c r="G599" s="61"/>
      <c r="H599" s="61"/>
      <c r="I599" s="61"/>
      <c r="J599" s="61"/>
      <c r="K599" s="61"/>
      <c r="L599" s="61"/>
      <c r="M599" s="61"/>
      <c r="N599" s="61"/>
    </row>
    <row r="600">
      <c r="F600" s="61"/>
      <c r="G600" s="61"/>
      <c r="H600" s="61"/>
      <c r="I600" s="61"/>
      <c r="J600" s="61"/>
      <c r="K600" s="61"/>
      <c r="L600" s="61"/>
      <c r="M600" s="61"/>
      <c r="N600" s="61"/>
    </row>
    <row r="601">
      <c r="F601" s="61"/>
      <c r="G601" s="61"/>
      <c r="H601" s="61"/>
      <c r="I601" s="61"/>
      <c r="J601" s="61"/>
      <c r="K601" s="61"/>
      <c r="L601" s="61"/>
      <c r="M601" s="61"/>
      <c r="N601" s="61"/>
    </row>
    <row r="602">
      <c r="F602" s="61"/>
      <c r="G602" s="61"/>
      <c r="H602" s="61"/>
      <c r="I602" s="61"/>
      <c r="J602" s="61"/>
      <c r="K602" s="61"/>
      <c r="L602" s="61"/>
      <c r="M602" s="61"/>
      <c r="N602" s="61"/>
    </row>
    <row r="603">
      <c r="F603" s="61"/>
      <c r="G603" s="61"/>
      <c r="H603" s="61"/>
      <c r="I603" s="61"/>
      <c r="J603" s="61"/>
      <c r="K603" s="61"/>
      <c r="L603" s="61"/>
      <c r="M603" s="61"/>
      <c r="N603" s="61"/>
    </row>
    <row r="604">
      <c r="F604" s="61"/>
      <c r="G604" s="61"/>
      <c r="H604" s="61"/>
      <c r="I604" s="61"/>
      <c r="J604" s="61"/>
      <c r="K604" s="61"/>
      <c r="L604" s="61"/>
      <c r="M604" s="61"/>
      <c r="N604" s="61"/>
    </row>
    <row r="605">
      <c r="F605" s="61"/>
      <c r="G605" s="61"/>
      <c r="H605" s="61"/>
      <c r="I605" s="61"/>
      <c r="J605" s="61"/>
      <c r="K605" s="61"/>
      <c r="L605" s="61"/>
      <c r="M605" s="61"/>
      <c r="N605" s="61"/>
    </row>
    <row r="606">
      <c r="F606" s="61"/>
      <c r="G606" s="61"/>
      <c r="H606" s="61"/>
      <c r="I606" s="61"/>
      <c r="J606" s="61"/>
      <c r="K606" s="61"/>
      <c r="L606" s="61"/>
      <c r="M606" s="61"/>
      <c r="N606" s="61"/>
    </row>
    <row r="607">
      <c r="F607" s="61"/>
      <c r="G607" s="61"/>
      <c r="H607" s="61"/>
      <c r="I607" s="61"/>
      <c r="J607" s="61"/>
      <c r="K607" s="61"/>
      <c r="L607" s="61"/>
      <c r="M607" s="61"/>
      <c r="N607" s="61"/>
    </row>
    <row r="608">
      <c r="F608" s="61"/>
      <c r="G608" s="61"/>
      <c r="H608" s="61"/>
      <c r="I608" s="61"/>
      <c r="J608" s="61"/>
      <c r="K608" s="61"/>
      <c r="L608" s="61"/>
      <c r="M608" s="61"/>
      <c r="N608" s="61"/>
    </row>
    <row r="609">
      <c r="F609" s="61"/>
      <c r="G609" s="61"/>
      <c r="H609" s="61"/>
      <c r="I609" s="61"/>
      <c r="J609" s="61"/>
      <c r="K609" s="61"/>
      <c r="L609" s="61"/>
      <c r="M609" s="61"/>
      <c r="N609" s="61"/>
    </row>
    <row r="610">
      <c r="F610" s="61"/>
      <c r="G610" s="61"/>
      <c r="H610" s="61"/>
      <c r="I610" s="61"/>
      <c r="J610" s="61"/>
      <c r="K610" s="61"/>
      <c r="L610" s="61"/>
      <c r="M610" s="61"/>
      <c r="N610" s="61"/>
    </row>
    <row r="611">
      <c r="F611" s="61"/>
      <c r="G611" s="61"/>
      <c r="H611" s="61"/>
      <c r="I611" s="61"/>
      <c r="J611" s="61"/>
      <c r="K611" s="61"/>
      <c r="L611" s="61"/>
      <c r="M611" s="61"/>
      <c r="N611" s="61"/>
    </row>
    <row r="612">
      <c r="F612" s="61"/>
      <c r="G612" s="61"/>
      <c r="H612" s="61"/>
      <c r="I612" s="61"/>
      <c r="J612" s="61"/>
      <c r="K612" s="61"/>
      <c r="L612" s="61"/>
      <c r="M612" s="61"/>
      <c r="N612" s="61"/>
    </row>
    <row r="613">
      <c r="F613" s="61"/>
      <c r="G613" s="61"/>
      <c r="H613" s="61"/>
      <c r="I613" s="61"/>
      <c r="J613" s="61"/>
      <c r="K613" s="61"/>
      <c r="L613" s="61"/>
      <c r="M613" s="61"/>
      <c r="N613" s="61"/>
    </row>
    <row r="614">
      <c r="F614" s="61"/>
      <c r="G614" s="61"/>
      <c r="H614" s="61"/>
      <c r="I614" s="61"/>
      <c r="J614" s="61"/>
      <c r="K614" s="61"/>
      <c r="L614" s="61"/>
      <c r="M614" s="61"/>
      <c r="N614" s="61"/>
    </row>
    <row r="615">
      <c r="F615" s="61"/>
      <c r="G615" s="61"/>
      <c r="H615" s="61"/>
      <c r="I615" s="61"/>
      <c r="J615" s="61"/>
      <c r="K615" s="61"/>
      <c r="L615" s="61"/>
      <c r="M615" s="61"/>
      <c r="N615" s="61"/>
    </row>
    <row r="616">
      <c r="F616" s="61"/>
      <c r="G616" s="61"/>
      <c r="H616" s="61"/>
      <c r="I616" s="61"/>
      <c r="J616" s="61"/>
      <c r="K616" s="61"/>
      <c r="L616" s="61"/>
      <c r="M616" s="61"/>
      <c r="N616" s="61"/>
    </row>
    <row r="617">
      <c r="F617" s="61"/>
      <c r="G617" s="61"/>
      <c r="H617" s="61"/>
      <c r="I617" s="61"/>
      <c r="J617" s="61"/>
      <c r="K617" s="61"/>
      <c r="L617" s="61"/>
      <c r="M617" s="61"/>
      <c r="N617" s="61"/>
    </row>
    <row r="618">
      <c r="F618" s="61"/>
      <c r="G618" s="61"/>
      <c r="H618" s="61"/>
      <c r="I618" s="61"/>
      <c r="J618" s="61"/>
      <c r="K618" s="61"/>
      <c r="L618" s="61"/>
      <c r="M618" s="61"/>
      <c r="N618" s="61"/>
    </row>
    <row r="619">
      <c r="F619" s="61"/>
      <c r="G619" s="61"/>
      <c r="H619" s="61"/>
      <c r="I619" s="61"/>
      <c r="J619" s="61"/>
      <c r="K619" s="61"/>
      <c r="L619" s="61"/>
      <c r="M619" s="61"/>
      <c r="N619" s="61"/>
    </row>
    <row r="620">
      <c r="F620" s="61"/>
      <c r="G620" s="61"/>
      <c r="H620" s="61"/>
      <c r="I620" s="61"/>
      <c r="J620" s="61"/>
      <c r="K620" s="61"/>
      <c r="L620" s="61"/>
      <c r="M620" s="61"/>
      <c r="N620" s="61"/>
    </row>
    <row r="621">
      <c r="F621" s="61"/>
      <c r="G621" s="61"/>
      <c r="H621" s="61"/>
      <c r="I621" s="61"/>
      <c r="J621" s="61"/>
      <c r="K621" s="61"/>
      <c r="L621" s="61"/>
      <c r="M621" s="61"/>
      <c r="N621" s="61"/>
    </row>
    <row r="622">
      <c r="F622" s="61"/>
      <c r="G622" s="61"/>
      <c r="H622" s="61"/>
      <c r="I622" s="61"/>
      <c r="J622" s="61"/>
      <c r="K622" s="61"/>
      <c r="L622" s="61"/>
      <c r="M622" s="61"/>
      <c r="N622" s="61"/>
    </row>
    <row r="623">
      <c r="F623" s="61"/>
      <c r="G623" s="61"/>
      <c r="H623" s="61"/>
      <c r="I623" s="61"/>
      <c r="J623" s="61"/>
      <c r="K623" s="61"/>
      <c r="L623" s="61"/>
      <c r="M623" s="61"/>
      <c r="N623" s="61"/>
    </row>
    <row r="624">
      <c r="F624" s="61"/>
      <c r="G624" s="61"/>
      <c r="H624" s="61"/>
      <c r="I624" s="61"/>
      <c r="J624" s="61"/>
      <c r="K624" s="61"/>
      <c r="L624" s="61"/>
      <c r="M624" s="61"/>
      <c r="N624" s="61"/>
    </row>
    <row r="625">
      <c r="F625" s="61"/>
      <c r="G625" s="61"/>
      <c r="H625" s="61"/>
      <c r="I625" s="61"/>
      <c r="J625" s="61"/>
      <c r="K625" s="61"/>
      <c r="L625" s="61"/>
      <c r="M625" s="61"/>
      <c r="N625" s="61"/>
    </row>
    <row r="626">
      <c r="F626" s="61"/>
      <c r="G626" s="61"/>
      <c r="H626" s="61"/>
      <c r="I626" s="61"/>
      <c r="J626" s="61"/>
      <c r="K626" s="61"/>
      <c r="L626" s="61"/>
      <c r="M626" s="61"/>
      <c r="N626" s="61"/>
    </row>
    <row r="627">
      <c r="F627" s="61"/>
      <c r="G627" s="61"/>
      <c r="H627" s="61"/>
      <c r="I627" s="61"/>
      <c r="J627" s="61"/>
      <c r="K627" s="61"/>
      <c r="L627" s="61"/>
      <c r="M627" s="61"/>
      <c r="N627" s="61"/>
    </row>
    <row r="628">
      <c r="F628" s="61"/>
      <c r="G628" s="61"/>
      <c r="H628" s="61"/>
      <c r="I628" s="61"/>
      <c r="J628" s="61"/>
      <c r="K628" s="61"/>
      <c r="L628" s="61"/>
      <c r="M628" s="61"/>
      <c r="N628" s="61"/>
    </row>
    <row r="629">
      <c r="F629" s="61"/>
      <c r="G629" s="61"/>
      <c r="H629" s="61"/>
      <c r="I629" s="61"/>
      <c r="J629" s="61"/>
      <c r="K629" s="61"/>
      <c r="L629" s="61"/>
      <c r="M629" s="61"/>
      <c r="N629" s="61"/>
    </row>
    <row r="630">
      <c r="F630" s="61"/>
      <c r="G630" s="61"/>
      <c r="H630" s="61"/>
      <c r="I630" s="61"/>
      <c r="J630" s="61"/>
      <c r="K630" s="61"/>
      <c r="L630" s="61"/>
      <c r="M630" s="61"/>
      <c r="N630" s="61"/>
    </row>
    <row r="631">
      <c r="F631" s="61"/>
      <c r="G631" s="61"/>
      <c r="H631" s="61"/>
      <c r="I631" s="61"/>
      <c r="J631" s="61"/>
      <c r="K631" s="61"/>
      <c r="L631" s="61"/>
      <c r="M631" s="61"/>
      <c r="N631" s="61"/>
    </row>
    <row r="632">
      <c r="F632" s="61"/>
      <c r="G632" s="61"/>
      <c r="H632" s="61"/>
      <c r="I632" s="61"/>
      <c r="J632" s="61"/>
      <c r="K632" s="61"/>
      <c r="L632" s="61"/>
      <c r="M632" s="61"/>
      <c r="N632" s="61"/>
    </row>
    <row r="633">
      <c r="F633" s="61"/>
      <c r="G633" s="61"/>
      <c r="H633" s="61"/>
      <c r="I633" s="61"/>
      <c r="J633" s="61"/>
      <c r="K633" s="61"/>
      <c r="L633" s="61"/>
      <c r="M633" s="61"/>
      <c r="N633" s="61"/>
    </row>
    <row r="634">
      <c r="F634" s="61"/>
      <c r="G634" s="61"/>
      <c r="H634" s="61"/>
      <c r="I634" s="61"/>
      <c r="J634" s="61"/>
      <c r="K634" s="61"/>
      <c r="L634" s="61"/>
      <c r="M634" s="61"/>
      <c r="N634" s="61"/>
    </row>
    <row r="635">
      <c r="F635" s="61"/>
      <c r="G635" s="61"/>
      <c r="H635" s="61"/>
      <c r="I635" s="61"/>
      <c r="J635" s="61"/>
      <c r="K635" s="61"/>
      <c r="L635" s="61"/>
      <c r="M635" s="61"/>
      <c r="N635" s="61"/>
    </row>
    <row r="636">
      <c r="F636" s="61"/>
      <c r="G636" s="61"/>
      <c r="H636" s="61"/>
      <c r="I636" s="61"/>
      <c r="J636" s="61"/>
      <c r="K636" s="61"/>
      <c r="L636" s="61"/>
      <c r="M636" s="61"/>
      <c r="N636" s="61"/>
    </row>
    <row r="637">
      <c r="F637" s="61"/>
      <c r="G637" s="61"/>
      <c r="H637" s="61"/>
      <c r="I637" s="61"/>
      <c r="J637" s="61"/>
      <c r="K637" s="61"/>
      <c r="L637" s="61"/>
      <c r="M637" s="61"/>
      <c r="N637" s="61"/>
    </row>
    <row r="638">
      <c r="F638" s="61"/>
      <c r="G638" s="61"/>
      <c r="H638" s="61"/>
      <c r="I638" s="61"/>
      <c r="J638" s="61"/>
      <c r="K638" s="61"/>
      <c r="L638" s="61"/>
      <c r="M638" s="61"/>
      <c r="N638" s="61"/>
    </row>
    <row r="639">
      <c r="F639" s="61"/>
      <c r="G639" s="61"/>
      <c r="H639" s="61"/>
      <c r="I639" s="61"/>
      <c r="J639" s="61"/>
      <c r="K639" s="61"/>
      <c r="L639" s="61"/>
      <c r="M639" s="61"/>
      <c r="N639" s="61"/>
    </row>
    <row r="640">
      <c r="F640" s="61"/>
      <c r="G640" s="61"/>
      <c r="H640" s="61"/>
      <c r="I640" s="61"/>
      <c r="J640" s="61"/>
      <c r="K640" s="61"/>
      <c r="L640" s="61"/>
      <c r="M640" s="61"/>
      <c r="N640" s="61"/>
    </row>
    <row r="641">
      <c r="F641" s="61"/>
      <c r="G641" s="61"/>
      <c r="H641" s="61"/>
      <c r="I641" s="61"/>
      <c r="J641" s="61"/>
      <c r="K641" s="61"/>
      <c r="L641" s="61"/>
      <c r="M641" s="61"/>
      <c r="N641" s="61"/>
    </row>
    <row r="642">
      <c r="F642" s="61"/>
      <c r="G642" s="61"/>
      <c r="H642" s="61"/>
      <c r="I642" s="61"/>
      <c r="J642" s="61"/>
      <c r="K642" s="61"/>
      <c r="L642" s="61"/>
      <c r="M642" s="61"/>
      <c r="N642" s="61"/>
    </row>
    <row r="643">
      <c r="F643" s="61"/>
      <c r="G643" s="61"/>
      <c r="H643" s="61"/>
      <c r="I643" s="61"/>
      <c r="J643" s="61"/>
      <c r="K643" s="61"/>
      <c r="L643" s="61"/>
      <c r="M643" s="61"/>
      <c r="N643" s="61"/>
    </row>
    <row r="644">
      <c r="F644" s="61"/>
      <c r="G644" s="61"/>
      <c r="H644" s="61"/>
      <c r="I644" s="61"/>
      <c r="J644" s="61"/>
      <c r="K644" s="61"/>
      <c r="L644" s="61"/>
      <c r="M644" s="61"/>
      <c r="N644" s="61"/>
    </row>
    <row r="645">
      <c r="F645" s="61"/>
      <c r="G645" s="61"/>
      <c r="H645" s="61"/>
      <c r="I645" s="61"/>
      <c r="J645" s="61"/>
      <c r="K645" s="61"/>
      <c r="L645" s="61"/>
      <c r="M645" s="61"/>
      <c r="N645" s="61"/>
    </row>
    <row r="646">
      <c r="F646" s="61"/>
      <c r="G646" s="61"/>
      <c r="H646" s="61"/>
      <c r="I646" s="61"/>
      <c r="J646" s="61"/>
      <c r="K646" s="61"/>
      <c r="L646" s="61"/>
      <c r="M646" s="61"/>
      <c r="N646" s="61"/>
    </row>
    <row r="647">
      <c r="F647" s="61"/>
      <c r="G647" s="61"/>
      <c r="H647" s="61"/>
      <c r="I647" s="61"/>
      <c r="J647" s="61"/>
      <c r="K647" s="61"/>
      <c r="L647" s="61"/>
      <c r="M647" s="61"/>
      <c r="N647" s="61"/>
    </row>
    <row r="648">
      <c r="F648" s="61"/>
      <c r="G648" s="61"/>
      <c r="H648" s="61"/>
      <c r="I648" s="61"/>
      <c r="J648" s="61"/>
      <c r="K648" s="61"/>
      <c r="L648" s="61"/>
      <c r="M648" s="61"/>
      <c r="N648" s="61"/>
    </row>
    <row r="649">
      <c r="F649" s="61"/>
      <c r="G649" s="61"/>
      <c r="H649" s="61"/>
      <c r="I649" s="61"/>
      <c r="J649" s="61"/>
      <c r="K649" s="61"/>
      <c r="L649" s="61"/>
      <c r="M649" s="61"/>
      <c r="N649" s="61"/>
    </row>
    <row r="650">
      <c r="F650" s="61"/>
      <c r="G650" s="61"/>
      <c r="H650" s="61"/>
      <c r="I650" s="61"/>
      <c r="J650" s="61"/>
      <c r="K650" s="61"/>
      <c r="L650" s="61"/>
      <c r="M650" s="61"/>
      <c r="N650" s="61"/>
    </row>
    <row r="651">
      <c r="F651" s="61"/>
      <c r="G651" s="61"/>
      <c r="H651" s="61"/>
      <c r="I651" s="61"/>
      <c r="J651" s="61"/>
      <c r="K651" s="61"/>
      <c r="L651" s="61"/>
      <c r="M651" s="61"/>
      <c r="N651" s="61"/>
    </row>
    <row r="652">
      <c r="F652" s="61"/>
      <c r="G652" s="61"/>
      <c r="H652" s="61"/>
      <c r="I652" s="61"/>
      <c r="J652" s="61"/>
      <c r="K652" s="61"/>
      <c r="L652" s="61"/>
      <c r="M652" s="61"/>
      <c r="N652" s="61"/>
    </row>
    <row r="653">
      <c r="F653" s="61"/>
      <c r="G653" s="61"/>
      <c r="H653" s="61"/>
      <c r="I653" s="61"/>
      <c r="J653" s="61"/>
      <c r="K653" s="61"/>
      <c r="L653" s="61"/>
      <c r="M653" s="61"/>
      <c r="N653" s="61"/>
    </row>
    <row r="654">
      <c r="F654" s="61"/>
      <c r="G654" s="61"/>
      <c r="H654" s="61"/>
      <c r="I654" s="61"/>
      <c r="J654" s="61"/>
      <c r="K654" s="61"/>
      <c r="L654" s="61"/>
      <c r="M654" s="61"/>
      <c r="N654" s="61"/>
    </row>
    <row r="655">
      <c r="F655" s="61"/>
      <c r="G655" s="61"/>
      <c r="H655" s="61"/>
      <c r="I655" s="61"/>
      <c r="J655" s="61"/>
      <c r="K655" s="61"/>
      <c r="L655" s="61"/>
      <c r="M655" s="61"/>
      <c r="N655" s="61"/>
    </row>
    <row r="656">
      <c r="F656" s="61"/>
      <c r="G656" s="61"/>
      <c r="H656" s="61"/>
      <c r="I656" s="61"/>
      <c r="J656" s="61"/>
      <c r="K656" s="61"/>
      <c r="L656" s="61"/>
      <c r="M656" s="61"/>
      <c r="N656" s="61"/>
    </row>
    <row r="657">
      <c r="F657" s="61"/>
      <c r="G657" s="61"/>
      <c r="H657" s="61"/>
      <c r="I657" s="61"/>
      <c r="J657" s="61"/>
      <c r="K657" s="61"/>
      <c r="L657" s="61"/>
      <c r="M657" s="61"/>
      <c r="N657" s="61"/>
    </row>
    <row r="658">
      <c r="F658" s="61"/>
      <c r="G658" s="61"/>
      <c r="H658" s="61"/>
      <c r="I658" s="61"/>
      <c r="J658" s="61"/>
      <c r="K658" s="61"/>
      <c r="L658" s="61"/>
      <c r="M658" s="61"/>
      <c r="N658" s="61"/>
    </row>
    <row r="659">
      <c r="F659" s="61"/>
      <c r="G659" s="61"/>
      <c r="H659" s="61"/>
      <c r="I659" s="61"/>
      <c r="J659" s="61"/>
      <c r="K659" s="61"/>
      <c r="L659" s="61"/>
      <c r="M659" s="61"/>
      <c r="N659" s="61"/>
    </row>
    <row r="660">
      <c r="F660" s="61"/>
      <c r="G660" s="61"/>
      <c r="H660" s="61"/>
      <c r="I660" s="61"/>
      <c r="J660" s="61"/>
      <c r="K660" s="61"/>
      <c r="L660" s="61"/>
      <c r="M660" s="61"/>
      <c r="N660" s="61"/>
    </row>
    <row r="661">
      <c r="F661" s="61"/>
      <c r="G661" s="61"/>
      <c r="H661" s="61"/>
      <c r="I661" s="61"/>
      <c r="J661" s="61"/>
      <c r="K661" s="61"/>
      <c r="L661" s="61"/>
      <c r="M661" s="61"/>
      <c r="N661" s="61"/>
    </row>
    <row r="662">
      <c r="F662" s="61"/>
      <c r="G662" s="61"/>
      <c r="H662" s="61"/>
      <c r="I662" s="61"/>
      <c r="J662" s="61"/>
      <c r="K662" s="61"/>
      <c r="L662" s="61"/>
      <c r="M662" s="61"/>
      <c r="N662" s="61"/>
    </row>
    <row r="663">
      <c r="F663" s="61"/>
      <c r="G663" s="61"/>
      <c r="H663" s="61"/>
      <c r="I663" s="61"/>
      <c r="J663" s="61"/>
      <c r="K663" s="61"/>
      <c r="L663" s="61"/>
      <c r="M663" s="61"/>
      <c r="N663" s="61"/>
    </row>
    <row r="664">
      <c r="F664" s="61"/>
      <c r="G664" s="61"/>
      <c r="H664" s="61"/>
      <c r="I664" s="61"/>
      <c r="J664" s="61"/>
      <c r="K664" s="61"/>
      <c r="L664" s="61"/>
      <c r="M664" s="61"/>
      <c r="N664" s="61"/>
    </row>
    <row r="665">
      <c r="F665" s="61"/>
      <c r="G665" s="61"/>
      <c r="H665" s="61"/>
      <c r="I665" s="61"/>
      <c r="J665" s="61"/>
      <c r="K665" s="61"/>
      <c r="L665" s="61"/>
      <c r="M665" s="61"/>
      <c r="N665" s="61"/>
    </row>
    <row r="666">
      <c r="F666" s="61"/>
      <c r="G666" s="61"/>
      <c r="H666" s="61"/>
      <c r="I666" s="61"/>
      <c r="J666" s="61"/>
      <c r="K666" s="61"/>
      <c r="L666" s="61"/>
      <c r="M666" s="61"/>
      <c r="N666" s="61"/>
    </row>
    <row r="667">
      <c r="F667" s="61"/>
      <c r="G667" s="61"/>
      <c r="H667" s="61"/>
      <c r="I667" s="61"/>
      <c r="J667" s="61"/>
      <c r="K667" s="61"/>
      <c r="L667" s="61"/>
      <c r="M667" s="61"/>
      <c r="N667" s="61"/>
    </row>
    <row r="668">
      <c r="F668" s="61"/>
      <c r="G668" s="61"/>
      <c r="H668" s="61"/>
      <c r="I668" s="61"/>
      <c r="J668" s="61"/>
      <c r="K668" s="61"/>
      <c r="L668" s="61"/>
      <c r="M668" s="61"/>
      <c r="N668" s="61"/>
    </row>
    <row r="669">
      <c r="F669" s="61"/>
      <c r="G669" s="61"/>
      <c r="H669" s="61"/>
      <c r="I669" s="61"/>
      <c r="J669" s="61"/>
      <c r="K669" s="61"/>
      <c r="L669" s="61"/>
      <c r="M669" s="61"/>
      <c r="N669" s="61"/>
    </row>
    <row r="670">
      <c r="F670" s="61"/>
      <c r="G670" s="61"/>
      <c r="H670" s="61"/>
      <c r="I670" s="61"/>
      <c r="J670" s="61"/>
      <c r="K670" s="61"/>
      <c r="L670" s="61"/>
      <c r="M670" s="61"/>
      <c r="N670" s="61"/>
    </row>
    <row r="671">
      <c r="F671" s="61"/>
      <c r="G671" s="61"/>
      <c r="H671" s="61"/>
      <c r="I671" s="61"/>
      <c r="J671" s="61"/>
      <c r="K671" s="61"/>
      <c r="L671" s="61"/>
      <c r="M671" s="61"/>
      <c r="N671" s="61"/>
    </row>
    <row r="672">
      <c r="F672" s="61"/>
      <c r="G672" s="61"/>
      <c r="H672" s="61"/>
      <c r="I672" s="61"/>
      <c r="J672" s="61"/>
      <c r="K672" s="61"/>
      <c r="L672" s="61"/>
      <c r="M672" s="61"/>
      <c r="N672" s="61"/>
    </row>
    <row r="673">
      <c r="F673" s="61"/>
      <c r="G673" s="61"/>
      <c r="H673" s="61"/>
      <c r="I673" s="61"/>
      <c r="J673" s="61"/>
      <c r="K673" s="61"/>
      <c r="L673" s="61"/>
      <c r="M673" s="61"/>
      <c r="N673" s="61"/>
    </row>
    <row r="674">
      <c r="F674" s="61"/>
      <c r="G674" s="61"/>
      <c r="H674" s="61"/>
      <c r="I674" s="61"/>
      <c r="J674" s="61"/>
      <c r="K674" s="61"/>
      <c r="L674" s="61"/>
      <c r="M674" s="61"/>
      <c r="N674" s="61"/>
    </row>
    <row r="675">
      <c r="F675" s="61"/>
      <c r="G675" s="61"/>
      <c r="H675" s="61"/>
      <c r="I675" s="61"/>
      <c r="J675" s="61"/>
      <c r="K675" s="61"/>
      <c r="L675" s="61"/>
      <c r="M675" s="61"/>
      <c r="N675" s="61"/>
    </row>
    <row r="676">
      <c r="F676" s="61"/>
      <c r="G676" s="61"/>
      <c r="H676" s="61"/>
      <c r="I676" s="61"/>
      <c r="J676" s="61"/>
      <c r="K676" s="61"/>
      <c r="L676" s="61"/>
      <c r="M676" s="61"/>
      <c r="N676" s="61"/>
    </row>
    <row r="677">
      <c r="F677" s="61"/>
      <c r="G677" s="61"/>
      <c r="H677" s="61"/>
      <c r="I677" s="61"/>
      <c r="J677" s="61"/>
      <c r="K677" s="61"/>
      <c r="L677" s="61"/>
      <c r="M677" s="61"/>
      <c r="N677" s="61"/>
    </row>
    <row r="678">
      <c r="F678" s="61"/>
      <c r="G678" s="61"/>
      <c r="H678" s="61"/>
      <c r="I678" s="61"/>
      <c r="J678" s="61"/>
      <c r="K678" s="61"/>
      <c r="L678" s="61"/>
      <c r="M678" s="61"/>
      <c r="N678" s="61"/>
    </row>
    <row r="679">
      <c r="F679" s="61"/>
      <c r="G679" s="61"/>
      <c r="H679" s="61"/>
      <c r="I679" s="61"/>
      <c r="J679" s="61"/>
      <c r="K679" s="61"/>
      <c r="L679" s="61"/>
      <c r="M679" s="61"/>
      <c r="N679" s="61"/>
    </row>
    <row r="680">
      <c r="F680" s="61"/>
      <c r="G680" s="61"/>
      <c r="H680" s="61"/>
      <c r="I680" s="61"/>
      <c r="J680" s="61"/>
      <c r="K680" s="61"/>
      <c r="L680" s="61"/>
      <c r="M680" s="61"/>
      <c r="N680" s="61"/>
    </row>
    <row r="681">
      <c r="F681" s="61"/>
      <c r="G681" s="61"/>
      <c r="H681" s="61"/>
      <c r="I681" s="61"/>
      <c r="J681" s="61"/>
      <c r="K681" s="61"/>
      <c r="L681" s="61"/>
      <c r="M681" s="61"/>
      <c r="N681" s="61"/>
    </row>
    <row r="682">
      <c r="F682" s="61"/>
      <c r="G682" s="61"/>
      <c r="H682" s="61"/>
      <c r="I682" s="61"/>
      <c r="J682" s="61"/>
      <c r="K682" s="61"/>
      <c r="L682" s="61"/>
      <c r="M682" s="61"/>
      <c r="N682" s="61"/>
    </row>
    <row r="683">
      <c r="F683" s="61"/>
      <c r="G683" s="61"/>
      <c r="H683" s="61"/>
      <c r="I683" s="61"/>
      <c r="J683" s="61"/>
      <c r="K683" s="61"/>
      <c r="L683" s="61"/>
      <c r="M683" s="61"/>
      <c r="N683" s="61"/>
    </row>
    <row r="684">
      <c r="F684" s="61"/>
      <c r="G684" s="61"/>
      <c r="H684" s="61"/>
      <c r="I684" s="61"/>
      <c r="J684" s="61"/>
      <c r="K684" s="61"/>
      <c r="L684" s="61"/>
      <c r="M684" s="61"/>
      <c r="N684" s="61"/>
    </row>
    <row r="685">
      <c r="F685" s="61"/>
      <c r="G685" s="61"/>
      <c r="H685" s="61"/>
      <c r="I685" s="61"/>
      <c r="J685" s="61"/>
      <c r="K685" s="61"/>
      <c r="L685" s="61"/>
      <c r="M685" s="61"/>
      <c r="N685" s="61"/>
    </row>
    <row r="686">
      <c r="F686" s="61"/>
      <c r="G686" s="61"/>
      <c r="H686" s="61"/>
      <c r="I686" s="61"/>
      <c r="J686" s="61"/>
      <c r="K686" s="61"/>
      <c r="L686" s="61"/>
      <c r="M686" s="61"/>
      <c r="N686" s="61"/>
    </row>
    <row r="687">
      <c r="F687" s="61"/>
      <c r="G687" s="61"/>
      <c r="H687" s="61"/>
      <c r="I687" s="61"/>
      <c r="J687" s="61"/>
      <c r="K687" s="61"/>
      <c r="L687" s="61"/>
      <c r="M687" s="61"/>
      <c r="N687" s="61"/>
    </row>
    <row r="688">
      <c r="F688" s="61"/>
      <c r="G688" s="61"/>
      <c r="H688" s="61"/>
      <c r="I688" s="61"/>
      <c r="J688" s="61"/>
      <c r="K688" s="61"/>
      <c r="L688" s="61"/>
      <c r="M688" s="61"/>
      <c r="N688" s="61"/>
    </row>
    <row r="689">
      <c r="F689" s="61"/>
      <c r="G689" s="61"/>
      <c r="H689" s="61"/>
      <c r="I689" s="61"/>
      <c r="J689" s="61"/>
      <c r="K689" s="61"/>
      <c r="L689" s="61"/>
      <c r="M689" s="61"/>
      <c r="N689" s="61"/>
    </row>
    <row r="690">
      <c r="F690" s="61"/>
      <c r="G690" s="61"/>
      <c r="H690" s="61"/>
      <c r="I690" s="61"/>
      <c r="J690" s="61"/>
      <c r="K690" s="61"/>
      <c r="L690" s="61"/>
      <c r="M690" s="61"/>
      <c r="N690" s="61"/>
    </row>
    <row r="691">
      <c r="F691" s="61"/>
      <c r="G691" s="61"/>
      <c r="H691" s="61"/>
      <c r="I691" s="61"/>
      <c r="J691" s="61"/>
      <c r="K691" s="61"/>
      <c r="L691" s="61"/>
      <c r="M691" s="61"/>
      <c r="N691" s="61"/>
    </row>
    <row r="692">
      <c r="F692" s="61"/>
      <c r="G692" s="61"/>
      <c r="H692" s="61"/>
      <c r="I692" s="61"/>
      <c r="J692" s="61"/>
      <c r="K692" s="61"/>
      <c r="L692" s="61"/>
      <c r="M692" s="61"/>
      <c r="N692" s="61"/>
    </row>
    <row r="693">
      <c r="F693" s="61"/>
      <c r="G693" s="61"/>
      <c r="H693" s="61"/>
      <c r="I693" s="61"/>
      <c r="J693" s="61"/>
      <c r="K693" s="61"/>
      <c r="L693" s="61"/>
      <c r="M693" s="61"/>
      <c r="N693" s="61"/>
    </row>
    <row r="694">
      <c r="F694" s="61"/>
      <c r="G694" s="61"/>
      <c r="H694" s="61"/>
      <c r="I694" s="61"/>
      <c r="J694" s="61"/>
      <c r="K694" s="61"/>
      <c r="L694" s="61"/>
      <c r="M694" s="61"/>
      <c r="N694" s="61"/>
    </row>
    <row r="695">
      <c r="F695" s="61"/>
      <c r="G695" s="61"/>
      <c r="H695" s="61"/>
      <c r="I695" s="61"/>
      <c r="J695" s="61"/>
      <c r="K695" s="61"/>
      <c r="L695" s="61"/>
      <c r="M695" s="61"/>
      <c r="N695" s="61"/>
    </row>
    <row r="696">
      <c r="F696" s="61"/>
      <c r="G696" s="61"/>
      <c r="H696" s="61"/>
      <c r="I696" s="61"/>
      <c r="J696" s="61"/>
      <c r="K696" s="61"/>
      <c r="L696" s="61"/>
      <c r="M696" s="61"/>
      <c r="N696" s="61"/>
    </row>
    <row r="697">
      <c r="F697" s="61"/>
      <c r="G697" s="61"/>
      <c r="H697" s="61"/>
      <c r="I697" s="61"/>
      <c r="J697" s="61"/>
      <c r="K697" s="61"/>
      <c r="L697" s="61"/>
      <c r="M697" s="61"/>
      <c r="N697" s="61"/>
    </row>
    <row r="698">
      <c r="F698" s="61"/>
      <c r="G698" s="61"/>
      <c r="H698" s="61"/>
      <c r="I698" s="61"/>
      <c r="J698" s="61"/>
      <c r="K698" s="61"/>
      <c r="L698" s="61"/>
      <c r="M698" s="61"/>
      <c r="N698" s="61"/>
    </row>
    <row r="699">
      <c r="F699" s="61"/>
      <c r="G699" s="61"/>
      <c r="H699" s="61"/>
      <c r="I699" s="61"/>
      <c r="J699" s="61"/>
      <c r="K699" s="61"/>
      <c r="L699" s="61"/>
      <c r="M699" s="61"/>
      <c r="N699" s="61"/>
    </row>
    <row r="700">
      <c r="F700" s="61"/>
      <c r="G700" s="61"/>
      <c r="H700" s="61"/>
      <c r="I700" s="61"/>
      <c r="J700" s="61"/>
      <c r="K700" s="61"/>
      <c r="L700" s="61"/>
      <c r="M700" s="61"/>
      <c r="N700" s="61"/>
    </row>
    <row r="701">
      <c r="F701" s="61"/>
      <c r="G701" s="61"/>
      <c r="H701" s="61"/>
      <c r="I701" s="61"/>
      <c r="J701" s="61"/>
      <c r="K701" s="61"/>
      <c r="L701" s="61"/>
      <c r="M701" s="61"/>
      <c r="N701" s="61"/>
    </row>
    <row r="702">
      <c r="F702" s="61"/>
      <c r="G702" s="61"/>
      <c r="H702" s="61"/>
      <c r="I702" s="61"/>
      <c r="J702" s="61"/>
      <c r="K702" s="61"/>
      <c r="L702" s="61"/>
      <c r="M702" s="61"/>
      <c r="N702" s="61"/>
    </row>
    <row r="703">
      <c r="F703" s="61"/>
      <c r="G703" s="61"/>
      <c r="H703" s="61"/>
      <c r="I703" s="61"/>
      <c r="J703" s="61"/>
      <c r="K703" s="61"/>
      <c r="L703" s="61"/>
      <c r="M703" s="61"/>
      <c r="N703" s="61"/>
    </row>
    <row r="704">
      <c r="F704" s="61"/>
      <c r="G704" s="61"/>
      <c r="H704" s="61"/>
      <c r="I704" s="61"/>
      <c r="J704" s="61"/>
      <c r="K704" s="61"/>
      <c r="L704" s="61"/>
      <c r="M704" s="61"/>
      <c r="N704" s="61"/>
    </row>
    <row r="705">
      <c r="F705" s="61"/>
      <c r="G705" s="61"/>
      <c r="H705" s="61"/>
      <c r="I705" s="61"/>
      <c r="J705" s="61"/>
      <c r="K705" s="61"/>
      <c r="L705" s="61"/>
      <c r="M705" s="61"/>
      <c r="N705" s="61"/>
    </row>
    <row r="706">
      <c r="F706" s="61"/>
      <c r="G706" s="61"/>
      <c r="H706" s="61"/>
      <c r="I706" s="61"/>
      <c r="J706" s="61"/>
      <c r="K706" s="61"/>
      <c r="L706" s="61"/>
      <c r="M706" s="61"/>
      <c r="N706" s="61"/>
    </row>
    <row r="707">
      <c r="F707" s="61"/>
      <c r="G707" s="61"/>
      <c r="H707" s="61"/>
      <c r="I707" s="61"/>
      <c r="J707" s="61"/>
      <c r="K707" s="61"/>
      <c r="L707" s="61"/>
      <c r="M707" s="61"/>
      <c r="N707" s="61"/>
    </row>
    <row r="708">
      <c r="F708" s="61"/>
      <c r="G708" s="61"/>
      <c r="H708" s="61"/>
      <c r="I708" s="61"/>
      <c r="J708" s="61"/>
      <c r="K708" s="61"/>
      <c r="L708" s="61"/>
      <c r="M708" s="61"/>
      <c r="N708" s="61"/>
    </row>
    <row r="709">
      <c r="F709" s="61"/>
      <c r="G709" s="61"/>
      <c r="H709" s="61"/>
      <c r="I709" s="61"/>
      <c r="J709" s="61"/>
      <c r="K709" s="61"/>
      <c r="L709" s="61"/>
      <c r="M709" s="61"/>
      <c r="N709" s="61"/>
    </row>
    <row r="710">
      <c r="F710" s="61"/>
      <c r="G710" s="61"/>
      <c r="H710" s="61"/>
      <c r="I710" s="61"/>
      <c r="J710" s="61"/>
      <c r="K710" s="61"/>
      <c r="L710" s="61"/>
      <c r="M710" s="61"/>
      <c r="N710" s="61"/>
    </row>
    <row r="711">
      <c r="F711" s="61"/>
      <c r="G711" s="61"/>
      <c r="H711" s="61"/>
      <c r="I711" s="61"/>
      <c r="J711" s="61"/>
      <c r="K711" s="61"/>
      <c r="L711" s="61"/>
      <c r="M711" s="61"/>
      <c r="N711" s="61"/>
    </row>
    <row r="712">
      <c r="F712" s="61"/>
      <c r="G712" s="61"/>
      <c r="H712" s="61"/>
      <c r="I712" s="61"/>
      <c r="J712" s="61"/>
      <c r="K712" s="61"/>
      <c r="L712" s="61"/>
      <c r="M712" s="61"/>
      <c r="N712" s="61"/>
    </row>
    <row r="713">
      <c r="F713" s="61"/>
      <c r="G713" s="61"/>
      <c r="H713" s="61"/>
      <c r="I713" s="61"/>
      <c r="J713" s="61"/>
      <c r="K713" s="61"/>
      <c r="L713" s="61"/>
      <c r="M713" s="61"/>
      <c r="N713" s="61"/>
    </row>
    <row r="714">
      <c r="F714" s="61"/>
      <c r="G714" s="61"/>
      <c r="H714" s="61"/>
      <c r="I714" s="61"/>
      <c r="J714" s="61"/>
      <c r="K714" s="61"/>
      <c r="L714" s="61"/>
      <c r="M714" s="61"/>
      <c r="N714" s="61"/>
    </row>
    <row r="715">
      <c r="F715" s="61"/>
      <c r="G715" s="61"/>
      <c r="H715" s="61"/>
      <c r="I715" s="61"/>
      <c r="J715" s="61"/>
      <c r="K715" s="61"/>
      <c r="L715" s="61"/>
      <c r="M715" s="61"/>
      <c r="N715" s="61"/>
    </row>
    <row r="716">
      <c r="F716" s="61"/>
      <c r="G716" s="61"/>
      <c r="H716" s="61"/>
      <c r="I716" s="61"/>
      <c r="J716" s="61"/>
      <c r="K716" s="61"/>
      <c r="L716" s="61"/>
      <c r="M716" s="61"/>
      <c r="N716" s="61"/>
    </row>
    <row r="717">
      <c r="F717" s="61"/>
      <c r="G717" s="61"/>
      <c r="H717" s="61"/>
      <c r="I717" s="61"/>
      <c r="J717" s="61"/>
      <c r="K717" s="61"/>
      <c r="L717" s="61"/>
      <c r="M717" s="61"/>
      <c r="N717" s="61"/>
    </row>
    <row r="718">
      <c r="F718" s="61"/>
      <c r="G718" s="61"/>
      <c r="H718" s="61"/>
      <c r="I718" s="61"/>
      <c r="J718" s="61"/>
      <c r="K718" s="61"/>
      <c r="L718" s="61"/>
      <c r="M718" s="61"/>
      <c r="N718" s="61"/>
    </row>
    <row r="719">
      <c r="F719" s="61"/>
      <c r="G719" s="61"/>
      <c r="H719" s="61"/>
      <c r="I719" s="61"/>
      <c r="J719" s="61"/>
      <c r="K719" s="61"/>
      <c r="L719" s="61"/>
      <c r="M719" s="61"/>
      <c r="N719" s="61"/>
    </row>
    <row r="720">
      <c r="F720" s="61"/>
      <c r="G720" s="61"/>
      <c r="H720" s="61"/>
      <c r="I720" s="61"/>
      <c r="J720" s="61"/>
      <c r="K720" s="61"/>
      <c r="L720" s="61"/>
      <c r="M720" s="61"/>
      <c r="N720" s="61"/>
    </row>
    <row r="721">
      <c r="F721" s="61"/>
      <c r="G721" s="61"/>
      <c r="H721" s="61"/>
      <c r="I721" s="61"/>
      <c r="J721" s="61"/>
      <c r="K721" s="61"/>
      <c r="L721" s="61"/>
      <c r="M721" s="61"/>
      <c r="N721" s="61"/>
    </row>
    <row r="722">
      <c r="F722" s="61"/>
      <c r="G722" s="61"/>
      <c r="H722" s="61"/>
      <c r="I722" s="61"/>
      <c r="J722" s="61"/>
      <c r="K722" s="61"/>
      <c r="L722" s="61"/>
      <c r="M722" s="61"/>
      <c r="N722" s="61"/>
    </row>
    <row r="723">
      <c r="F723" s="61"/>
      <c r="G723" s="61"/>
      <c r="H723" s="61"/>
      <c r="I723" s="61"/>
      <c r="J723" s="61"/>
      <c r="K723" s="61"/>
      <c r="L723" s="61"/>
      <c r="M723" s="61"/>
      <c r="N723" s="61"/>
    </row>
    <row r="724">
      <c r="F724" s="61"/>
      <c r="G724" s="61"/>
      <c r="H724" s="61"/>
      <c r="I724" s="61"/>
      <c r="J724" s="61"/>
      <c r="K724" s="61"/>
      <c r="L724" s="61"/>
      <c r="M724" s="61"/>
      <c r="N724" s="61"/>
    </row>
    <row r="725">
      <c r="F725" s="61"/>
      <c r="G725" s="61"/>
      <c r="H725" s="61"/>
      <c r="I725" s="61"/>
      <c r="J725" s="61"/>
      <c r="K725" s="61"/>
      <c r="L725" s="61"/>
      <c r="M725" s="61"/>
      <c r="N725" s="61"/>
    </row>
    <row r="726">
      <c r="F726" s="61"/>
      <c r="G726" s="61"/>
      <c r="H726" s="61"/>
      <c r="I726" s="61"/>
      <c r="J726" s="61"/>
      <c r="K726" s="61"/>
      <c r="L726" s="61"/>
      <c r="M726" s="61"/>
      <c r="N726" s="61"/>
    </row>
    <row r="727">
      <c r="F727" s="61"/>
      <c r="G727" s="61"/>
      <c r="H727" s="61"/>
      <c r="I727" s="61"/>
      <c r="J727" s="61"/>
      <c r="K727" s="61"/>
      <c r="L727" s="61"/>
      <c r="M727" s="61"/>
      <c r="N727" s="61"/>
    </row>
    <row r="728">
      <c r="F728" s="61"/>
      <c r="G728" s="61"/>
      <c r="H728" s="61"/>
      <c r="I728" s="61"/>
      <c r="J728" s="61"/>
      <c r="K728" s="61"/>
      <c r="L728" s="61"/>
      <c r="M728" s="61"/>
      <c r="N728" s="61"/>
    </row>
    <row r="729">
      <c r="F729" s="61"/>
      <c r="G729" s="61"/>
      <c r="H729" s="61"/>
      <c r="I729" s="61"/>
      <c r="J729" s="61"/>
      <c r="K729" s="61"/>
      <c r="L729" s="61"/>
      <c r="M729" s="61"/>
      <c r="N729" s="61"/>
    </row>
    <row r="730">
      <c r="F730" s="61"/>
      <c r="G730" s="61"/>
      <c r="H730" s="61"/>
      <c r="I730" s="61"/>
      <c r="J730" s="61"/>
      <c r="K730" s="61"/>
      <c r="L730" s="61"/>
      <c r="M730" s="61"/>
      <c r="N730" s="61"/>
    </row>
    <row r="731">
      <c r="F731" s="61"/>
      <c r="G731" s="61"/>
      <c r="H731" s="61"/>
      <c r="I731" s="61"/>
      <c r="J731" s="61"/>
      <c r="K731" s="61"/>
      <c r="L731" s="61"/>
      <c r="M731" s="61"/>
      <c r="N731" s="61"/>
    </row>
    <row r="732">
      <c r="F732" s="61"/>
      <c r="G732" s="61"/>
      <c r="H732" s="61"/>
      <c r="I732" s="61"/>
      <c r="J732" s="61"/>
      <c r="K732" s="61"/>
      <c r="L732" s="61"/>
      <c r="M732" s="61"/>
      <c r="N732" s="61"/>
    </row>
    <row r="733">
      <c r="F733" s="61"/>
      <c r="G733" s="61"/>
      <c r="H733" s="61"/>
      <c r="I733" s="61"/>
      <c r="J733" s="61"/>
      <c r="K733" s="61"/>
      <c r="L733" s="61"/>
      <c r="M733" s="61"/>
      <c r="N733" s="61"/>
    </row>
    <row r="734">
      <c r="F734" s="61"/>
      <c r="G734" s="61"/>
      <c r="H734" s="61"/>
      <c r="I734" s="61"/>
      <c r="J734" s="61"/>
      <c r="K734" s="61"/>
      <c r="L734" s="61"/>
      <c r="M734" s="61"/>
      <c r="N734" s="61"/>
    </row>
    <row r="735">
      <c r="F735" s="61"/>
      <c r="G735" s="61"/>
      <c r="H735" s="61"/>
      <c r="I735" s="61"/>
      <c r="J735" s="61"/>
      <c r="K735" s="61"/>
      <c r="L735" s="61"/>
      <c r="M735" s="61"/>
      <c r="N735" s="61"/>
    </row>
    <row r="736">
      <c r="F736" s="61"/>
      <c r="G736" s="61"/>
      <c r="H736" s="61"/>
      <c r="I736" s="61"/>
      <c r="J736" s="61"/>
      <c r="K736" s="61"/>
      <c r="L736" s="61"/>
      <c r="M736" s="61"/>
      <c r="N736" s="61"/>
    </row>
    <row r="737">
      <c r="F737" s="61"/>
      <c r="G737" s="61"/>
      <c r="H737" s="61"/>
      <c r="I737" s="61"/>
      <c r="J737" s="61"/>
      <c r="K737" s="61"/>
      <c r="L737" s="61"/>
      <c r="M737" s="61"/>
      <c r="N737" s="61"/>
    </row>
    <row r="738">
      <c r="F738" s="61"/>
      <c r="G738" s="61"/>
      <c r="H738" s="61"/>
      <c r="I738" s="61"/>
      <c r="J738" s="61"/>
      <c r="K738" s="61"/>
      <c r="L738" s="61"/>
      <c r="M738" s="61"/>
      <c r="N738" s="61"/>
    </row>
    <row r="739">
      <c r="F739" s="61"/>
      <c r="G739" s="61"/>
      <c r="H739" s="61"/>
      <c r="I739" s="61"/>
      <c r="J739" s="61"/>
      <c r="K739" s="61"/>
      <c r="L739" s="61"/>
      <c r="M739" s="61"/>
      <c r="N739" s="61"/>
    </row>
    <row r="740">
      <c r="F740" s="61"/>
      <c r="G740" s="61"/>
      <c r="H740" s="61"/>
      <c r="I740" s="61"/>
      <c r="J740" s="61"/>
      <c r="K740" s="61"/>
      <c r="L740" s="61"/>
      <c r="M740" s="61"/>
      <c r="N740" s="61"/>
    </row>
    <row r="741">
      <c r="F741" s="61"/>
      <c r="G741" s="61"/>
      <c r="H741" s="61"/>
      <c r="I741" s="61"/>
      <c r="J741" s="61"/>
      <c r="K741" s="61"/>
      <c r="L741" s="61"/>
      <c r="M741" s="61"/>
      <c r="N741" s="61"/>
    </row>
    <row r="742">
      <c r="F742" s="61"/>
      <c r="G742" s="61"/>
      <c r="H742" s="61"/>
      <c r="I742" s="61"/>
      <c r="J742" s="61"/>
      <c r="K742" s="61"/>
      <c r="L742" s="61"/>
      <c r="M742" s="61"/>
      <c r="N742" s="61"/>
    </row>
    <row r="743">
      <c r="F743" s="61"/>
      <c r="G743" s="61"/>
      <c r="H743" s="61"/>
      <c r="I743" s="61"/>
      <c r="J743" s="61"/>
      <c r="K743" s="61"/>
      <c r="L743" s="61"/>
      <c r="M743" s="61"/>
      <c r="N743" s="61"/>
    </row>
    <row r="744">
      <c r="F744" s="61"/>
      <c r="G744" s="61"/>
      <c r="H744" s="61"/>
      <c r="I744" s="61"/>
      <c r="J744" s="61"/>
      <c r="K744" s="61"/>
      <c r="L744" s="61"/>
      <c r="M744" s="61"/>
      <c r="N744" s="61"/>
    </row>
    <row r="745">
      <c r="F745" s="61"/>
      <c r="G745" s="61"/>
      <c r="H745" s="61"/>
      <c r="I745" s="61"/>
      <c r="J745" s="61"/>
      <c r="K745" s="61"/>
      <c r="L745" s="61"/>
      <c r="M745" s="61"/>
      <c r="N745" s="61"/>
    </row>
    <row r="746">
      <c r="F746" s="61"/>
      <c r="G746" s="61"/>
      <c r="H746" s="61"/>
      <c r="I746" s="61"/>
      <c r="J746" s="61"/>
      <c r="K746" s="61"/>
      <c r="L746" s="61"/>
      <c r="M746" s="61"/>
      <c r="N746" s="61"/>
    </row>
    <row r="747">
      <c r="F747" s="61"/>
      <c r="G747" s="61"/>
      <c r="H747" s="61"/>
      <c r="I747" s="61"/>
      <c r="J747" s="61"/>
      <c r="K747" s="61"/>
      <c r="L747" s="61"/>
      <c r="M747" s="61"/>
      <c r="N747" s="61"/>
    </row>
    <row r="748">
      <c r="F748" s="61"/>
      <c r="G748" s="61"/>
      <c r="H748" s="61"/>
      <c r="I748" s="61"/>
      <c r="J748" s="61"/>
      <c r="K748" s="61"/>
      <c r="L748" s="61"/>
      <c r="M748" s="61"/>
      <c r="N748" s="61"/>
    </row>
    <row r="749">
      <c r="F749" s="61"/>
      <c r="G749" s="61"/>
      <c r="H749" s="61"/>
      <c r="I749" s="61"/>
      <c r="J749" s="61"/>
      <c r="K749" s="61"/>
      <c r="L749" s="61"/>
      <c r="M749" s="61"/>
      <c r="N749" s="61"/>
    </row>
    <row r="750">
      <c r="F750" s="61"/>
      <c r="G750" s="61"/>
      <c r="H750" s="61"/>
      <c r="I750" s="61"/>
      <c r="J750" s="61"/>
      <c r="K750" s="61"/>
      <c r="L750" s="61"/>
      <c r="M750" s="61"/>
      <c r="N750" s="61"/>
    </row>
    <row r="751">
      <c r="F751" s="61"/>
      <c r="G751" s="61"/>
      <c r="H751" s="61"/>
      <c r="I751" s="61"/>
      <c r="J751" s="61"/>
      <c r="K751" s="61"/>
      <c r="L751" s="61"/>
      <c r="M751" s="61"/>
      <c r="N751" s="61"/>
    </row>
    <row r="752">
      <c r="F752" s="61"/>
      <c r="G752" s="61"/>
      <c r="H752" s="61"/>
      <c r="I752" s="61"/>
      <c r="J752" s="61"/>
      <c r="K752" s="61"/>
      <c r="L752" s="61"/>
      <c r="M752" s="61"/>
      <c r="N752" s="61"/>
    </row>
    <row r="753">
      <c r="F753" s="61"/>
      <c r="G753" s="61"/>
      <c r="H753" s="61"/>
      <c r="I753" s="61"/>
      <c r="J753" s="61"/>
      <c r="K753" s="61"/>
      <c r="L753" s="61"/>
      <c r="M753" s="61"/>
      <c r="N753" s="61"/>
    </row>
    <row r="754">
      <c r="F754" s="61"/>
      <c r="G754" s="61"/>
      <c r="H754" s="61"/>
      <c r="I754" s="61"/>
      <c r="J754" s="61"/>
      <c r="K754" s="61"/>
      <c r="L754" s="61"/>
      <c r="M754" s="61"/>
      <c r="N754" s="61"/>
    </row>
    <row r="755">
      <c r="F755" s="61"/>
      <c r="G755" s="61"/>
      <c r="H755" s="61"/>
      <c r="I755" s="61"/>
      <c r="J755" s="61"/>
      <c r="K755" s="61"/>
      <c r="L755" s="61"/>
      <c r="M755" s="61"/>
      <c r="N755" s="61"/>
    </row>
    <row r="756">
      <c r="F756" s="61"/>
      <c r="G756" s="61"/>
      <c r="H756" s="61"/>
      <c r="I756" s="61"/>
      <c r="J756" s="61"/>
      <c r="K756" s="61"/>
      <c r="L756" s="61"/>
      <c r="M756" s="61"/>
      <c r="N756" s="61"/>
    </row>
    <row r="757">
      <c r="F757" s="61"/>
      <c r="G757" s="61"/>
      <c r="H757" s="61"/>
      <c r="I757" s="61"/>
      <c r="J757" s="61"/>
      <c r="K757" s="61"/>
      <c r="L757" s="61"/>
      <c r="M757" s="61"/>
      <c r="N757" s="61"/>
    </row>
    <row r="758">
      <c r="F758" s="61"/>
      <c r="G758" s="61"/>
      <c r="H758" s="61"/>
      <c r="I758" s="61"/>
      <c r="J758" s="61"/>
      <c r="K758" s="61"/>
      <c r="L758" s="61"/>
      <c r="M758" s="61"/>
      <c r="N758" s="61"/>
    </row>
    <row r="759">
      <c r="F759" s="61"/>
      <c r="G759" s="61"/>
      <c r="H759" s="61"/>
      <c r="I759" s="61"/>
      <c r="J759" s="61"/>
      <c r="K759" s="61"/>
      <c r="L759" s="61"/>
      <c r="M759" s="61"/>
      <c r="N759" s="61"/>
    </row>
    <row r="760">
      <c r="F760" s="61"/>
      <c r="G760" s="61"/>
      <c r="H760" s="61"/>
      <c r="I760" s="61"/>
      <c r="J760" s="61"/>
      <c r="K760" s="61"/>
      <c r="L760" s="61"/>
      <c r="M760" s="61"/>
      <c r="N760" s="61"/>
    </row>
    <row r="761">
      <c r="F761" s="61"/>
      <c r="G761" s="61"/>
      <c r="H761" s="61"/>
      <c r="I761" s="61"/>
      <c r="J761" s="61"/>
      <c r="K761" s="61"/>
      <c r="L761" s="61"/>
      <c r="M761" s="61"/>
      <c r="N761" s="61"/>
    </row>
    <row r="762">
      <c r="F762" s="61"/>
      <c r="G762" s="61"/>
      <c r="H762" s="61"/>
      <c r="I762" s="61"/>
      <c r="J762" s="61"/>
      <c r="K762" s="61"/>
      <c r="L762" s="61"/>
      <c r="M762" s="61"/>
      <c r="N762" s="61"/>
    </row>
    <row r="763">
      <c r="F763" s="61"/>
      <c r="G763" s="61"/>
      <c r="H763" s="61"/>
      <c r="I763" s="61"/>
      <c r="J763" s="61"/>
      <c r="K763" s="61"/>
      <c r="L763" s="61"/>
      <c r="M763" s="61"/>
      <c r="N763" s="61"/>
    </row>
    <row r="764">
      <c r="F764" s="61"/>
      <c r="G764" s="61"/>
      <c r="H764" s="61"/>
      <c r="I764" s="61"/>
      <c r="J764" s="61"/>
      <c r="K764" s="61"/>
      <c r="L764" s="61"/>
      <c r="M764" s="61"/>
      <c r="N764" s="61"/>
    </row>
    <row r="765">
      <c r="F765" s="61"/>
      <c r="G765" s="61"/>
      <c r="H765" s="61"/>
      <c r="I765" s="61"/>
      <c r="J765" s="61"/>
      <c r="K765" s="61"/>
      <c r="L765" s="61"/>
      <c r="M765" s="61"/>
      <c r="N765" s="61"/>
    </row>
    <row r="766">
      <c r="F766" s="61"/>
      <c r="G766" s="61"/>
      <c r="H766" s="61"/>
      <c r="I766" s="61"/>
      <c r="J766" s="61"/>
      <c r="K766" s="61"/>
      <c r="L766" s="61"/>
      <c r="M766" s="61"/>
      <c r="N766" s="61"/>
    </row>
    <row r="767">
      <c r="F767" s="61"/>
      <c r="G767" s="61"/>
      <c r="H767" s="61"/>
      <c r="I767" s="61"/>
      <c r="J767" s="61"/>
      <c r="K767" s="61"/>
      <c r="L767" s="61"/>
      <c r="M767" s="61"/>
      <c r="N767" s="61"/>
    </row>
    <row r="768">
      <c r="F768" s="61"/>
      <c r="G768" s="61"/>
      <c r="H768" s="61"/>
      <c r="I768" s="61"/>
      <c r="J768" s="61"/>
      <c r="K768" s="61"/>
      <c r="L768" s="61"/>
      <c r="M768" s="61"/>
      <c r="N768" s="61"/>
    </row>
    <row r="769">
      <c r="F769" s="61"/>
      <c r="G769" s="61"/>
      <c r="H769" s="61"/>
      <c r="I769" s="61"/>
      <c r="J769" s="61"/>
      <c r="K769" s="61"/>
      <c r="L769" s="61"/>
      <c r="M769" s="61"/>
      <c r="N769" s="61"/>
    </row>
    <row r="770">
      <c r="F770" s="61"/>
      <c r="G770" s="61"/>
      <c r="H770" s="61"/>
      <c r="I770" s="61"/>
      <c r="J770" s="61"/>
      <c r="K770" s="61"/>
      <c r="L770" s="61"/>
      <c r="M770" s="61"/>
      <c r="N770" s="61"/>
    </row>
    <row r="771">
      <c r="F771" s="61"/>
      <c r="G771" s="61"/>
      <c r="H771" s="61"/>
      <c r="I771" s="61"/>
      <c r="J771" s="61"/>
      <c r="K771" s="61"/>
      <c r="L771" s="61"/>
      <c r="M771" s="61"/>
      <c r="N771" s="61"/>
    </row>
    <row r="772">
      <c r="F772" s="61"/>
      <c r="G772" s="61"/>
      <c r="H772" s="61"/>
      <c r="I772" s="61"/>
      <c r="J772" s="61"/>
      <c r="K772" s="61"/>
      <c r="L772" s="61"/>
      <c r="M772" s="61"/>
      <c r="N772" s="61"/>
    </row>
    <row r="773">
      <c r="F773" s="61"/>
      <c r="G773" s="61"/>
      <c r="H773" s="61"/>
      <c r="I773" s="61"/>
      <c r="J773" s="61"/>
      <c r="K773" s="61"/>
      <c r="L773" s="61"/>
      <c r="M773" s="61"/>
      <c r="N773" s="61"/>
    </row>
    <row r="774">
      <c r="F774" s="61"/>
      <c r="G774" s="61"/>
      <c r="H774" s="61"/>
      <c r="I774" s="61"/>
      <c r="J774" s="61"/>
      <c r="K774" s="61"/>
      <c r="L774" s="61"/>
      <c r="M774" s="61"/>
      <c r="N774" s="61"/>
    </row>
    <row r="775">
      <c r="F775" s="61"/>
      <c r="G775" s="61"/>
      <c r="H775" s="61"/>
      <c r="I775" s="61"/>
      <c r="J775" s="61"/>
      <c r="K775" s="61"/>
      <c r="L775" s="61"/>
      <c r="M775" s="61"/>
      <c r="N775" s="61"/>
    </row>
    <row r="776">
      <c r="F776" s="61"/>
      <c r="G776" s="61"/>
      <c r="H776" s="61"/>
      <c r="I776" s="61"/>
      <c r="J776" s="61"/>
      <c r="K776" s="61"/>
      <c r="L776" s="61"/>
      <c r="M776" s="61"/>
      <c r="N776" s="61"/>
    </row>
    <row r="777">
      <c r="F777" s="61"/>
      <c r="G777" s="61"/>
      <c r="H777" s="61"/>
      <c r="I777" s="61"/>
      <c r="J777" s="61"/>
      <c r="K777" s="61"/>
      <c r="L777" s="61"/>
      <c r="M777" s="61"/>
      <c r="N777" s="61"/>
    </row>
    <row r="778">
      <c r="F778" s="61"/>
      <c r="G778" s="61"/>
      <c r="H778" s="61"/>
      <c r="I778" s="61"/>
      <c r="J778" s="61"/>
      <c r="K778" s="61"/>
      <c r="L778" s="61"/>
      <c r="M778" s="61"/>
      <c r="N778" s="61"/>
    </row>
    <row r="779">
      <c r="F779" s="61"/>
      <c r="G779" s="61"/>
      <c r="H779" s="61"/>
      <c r="I779" s="61"/>
      <c r="J779" s="61"/>
      <c r="K779" s="61"/>
      <c r="L779" s="61"/>
      <c r="M779" s="61"/>
      <c r="N779" s="61"/>
    </row>
    <row r="780">
      <c r="F780" s="61"/>
      <c r="G780" s="61"/>
      <c r="H780" s="61"/>
      <c r="I780" s="61"/>
      <c r="J780" s="61"/>
      <c r="K780" s="61"/>
      <c r="L780" s="61"/>
      <c r="M780" s="61"/>
      <c r="N780" s="61"/>
    </row>
    <row r="781">
      <c r="F781" s="61"/>
      <c r="G781" s="61"/>
      <c r="H781" s="61"/>
      <c r="I781" s="61"/>
      <c r="J781" s="61"/>
      <c r="K781" s="61"/>
      <c r="L781" s="61"/>
      <c r="M781" s="61"/>
      <c r="N781" s="61"/>
    </row>
    <row r="782">
      <c r="F782" s="61"/>
      <c r="G782" s="61"/>
      <c r="H782" s="61"/>
      <c r="I782" s="61"/>
      <c r="J782" s="61"/>
      <c r="K782" s="61"/>
      <c r="L782" s="61"/>
      <c r="M782" s="61"/>
      <c r="N782" s="61"/>
    </row>
    <row r="783">
      <c r="F783" s="61"/>
      <c r="G783" s="61"/>
      <c r="H783" s="61"/>
      <c r="I783" s="61"/>
      <c r="J783" s="61"/>
      <c r="K783" s="61"/>
      <c r="L783" s="61"/>
      <c r="M783" s="61"/>
      <c r="N783" s="61"/>
    </row>
    <row r="784">
      <c r="F784" s="61"/>
      <c r="G784" s="61"/>
      <c r="H784" s="61"/>
      <c r="I784" s="61"/>
      <c r="J784" s="61"/>
      <c r="K784" s="61"/>
      <c r="L784" s="61"/>
      <c r="M784" s="61"/>
      <c r="N784" s="61"/>
    </row>
    <row r="785">
      <c r="F785" s="61"/>
      <c r="G785" s="61"/>
      <c r="H785" s="61"/>
      <c r="I785" s="61"/>
      <c r="J785" s="61"/>
      <c r="K785" s="61"/>
      <c r="L785" s="61"/>
      <c r="M785" s="61"/>
      <c r="N785" s="61"/>
    </row>
    <row r="786">
      <c r="F786" s="61"/>
      <c r="G786" s="61"/>
      <c r="H786" s="61"/>
      <c r="I786" s="61"/>
      <c r="J786" s="61"/>
      <c r="K786" s="61"/>
      <c r="L786" s="61"/>
      <c r="M786" s="61"/>
      <c r="N786" s="61"/>
    </row>
    <row r="787">
      <c r="F787" s="61"/>
      <c r="G787" s="61"/>
      <c r="H787" s="61"/>
      <c r="I787" s="61"/>
      <c r="J787" s="61"/>
      <c r="K787" s="61"/>
      <c r="L787" s="61"/>
      <c r="M787" s="61"/>
      <c r="N787" s="61"/>
    </row>
    <row r="788">
      <c r="F788" s="61"/>
      <c r="G788" s="61"/>
      <c r="H788" s="61"/>
      <c r="I788" s="61"/>
      <c r="J788" s="61"/>
      <c r="K788" s="61"/>
      <c r="L788" s="61"/>
      <c r="M788" s="61"/>
      <c r="N788" s="61"/>
    </row>
    <row r="789">
      <c r="F789" s="61"/>
      <c r="G789" s="61"/>
      <c r="H789" s="61"/>
      <c r="I789" s="61"/>
      <c r="J789" s="61"/>
      <c r="K789" s="61"/>
      <c r="L789" s="61"/>
      <c r="M789" s="61"/>
      <c r="N789" s="61"/>
    </row>
    <row r="790">
      <c r="F790" s="61"/>
      <c r="G790" s="61"/>
      <c r="H790" s="61"/>
      <c r="I790" s="61"/>
      <c r="J790" s="61"/>
      <c r="K790" s="61"/>
      <c r="L790" s="61"/>
      <c r="M790" s="61"/>
      <c r="N790" s="61"/>
    </row>
    <row r="791">
      <c r="F791" s="61"/>
      <c r="G791" s="61"/>
      <c r="H791" s="61"/>
      <c r="I791" s="61"/>
      <c r="J791" s="61"/>
      <c r="K791" s="61"/>
      <c r="L791" s="61"/>
      <c r="M791" s="61"/>
      <c r="N791" s="61"/>
    </row>
    <row r="792">
      <c r="F792" s="61"/>
      <c r="G792" s="61"/>
      <c r="H792" s="61"/>
      <c r="I792" s="61"/>
      <c r="J792" s="61"/>
      <c r="K792" s="61"/>
      <c r="L792" s="61"/>
      <c r="M792" s="61"/>
      <c r="N792" s="61"/>
    </row>
    <row r="793">
      <c r="F793" s="61"/>
      <c r="G793" s="61"/>
      <c r="H793" s="61"/>
      <c r="I793" s="61"/>
      <c r="J793" s="61"/>
      <c r="K793" s="61"/>
      <c r="L793" s="61"/>
      <c r="M793" s="61"/>
      <c r="N793" s="61"/>
    </row>
    <row r="794">
      <c r="F794" s="61"/>
      <c r="G794" s="61"/>
      <c r="H794" s="61"/>
      <c r="I794" s="61"/>
      <c r="J794" s="61"/>
      <c r="K794" s="61"/>
      <c r="L794" s="61"/>
      <c r="M794" s="61"/>
      <c r="N794" s="61"/>
    </row>
    <row r="795">
      <c r="F795" s="61"/>
      <c r="G795" s="61"/>
      <c r="H795" s="61"/>
      <c r="I795" s="61"/>
      <c r="J795" s="61"/>
      <c r="K795" s="61"/>
      <c r="L795" s="61"/>
      <c r="M795" s="61"/>
      <c r="N795" s="61"/>
    </row>
    <row r="796">
      <c r="F796" s="61"/>
      <c r="G796" s="61"/>
      <c r="H796" s="61"/>
      <c r="I796" s="61"/>
      <c r="J796" s="61"/>
      <c r="K796" s="61"/>
      <c r="L796" s="61"/>
      <c r="M796" s="61"/>
      <c r="N796" s="61"/>
    </row>
    <row r="797">
      <c r="F797" s="61"/>
      <c r="G797" s="61"/>
      <c r="H797" s="61"/>
      <c r="I797" s="61"/>
      <c r="J797" s="61"/>
      <c r="K797" s="61"/>
      <c r="L797" s="61"/>
      <c r="M797" s="61"/>
      <c r="N797" s="61"/>
    </row>
    <row r="798">
      <c r="F798" s="61"/>
      <c r="G798" s="61"/>
      <c r="H798" s="61"/>
      <c r="I798" s="61"/>
      <c r="J798" s="61"/>
      <c r="K798" s="61"/>
      <c r="L798" s="61"/>
      <c r="M798" s="61"/>
      <c r="N798" s="61"/>
    </row>
    <row r="799">
      <c r="F799" s="61"/>
      <c r="G799" s="61"/>
      <c r="H799" s="61"/>
      <c r="I799" s="61"/>
      <c r="J799" s="61"/>
      <c r="K799" s="61"/>
      <c r="L799" s="61"/>
      <c r="M799" s="61"/>
      <c r="N799" s="61"/>
    </row>
    <row r="800">
      <c r="F800" s="61"/>
      <c r="G800" s="61"/>
      <c r="H800" s="61"/>
      <c r="I800" s="61"/>
      <c r="J800" s="61"/>
      <c r="K800" s="61"/>
      <c r="L800" s="61"/>
      <c r="M800" s="61"/>
      <c r="N800" s="61"/>
    </row>
    <row r="801">
      <c r="F801" s="61"/>
      <c r="G801" s="61"/>
      <c r="H801" s="61"/>
      <c r="I801" s="61"/>
      <c r="J801" s="61"/>
      <c r="K801" s="61"/>
      <c r="L801" s="61"/>
      <c r="M801" s="61"/>
      <c r="N801" s="61"/>
    </row>
    <row r="802">
      <c r="F802" s="61"/>
      <c r="G802" s="61"/>
      <c r="H802" s="61"/>
      <c r="I802" s="61"/>
      <c r="J802" s="61"/>
      <c r="K802" s="61"/>
      <c r="L802" s="61"/>
      <c r="M802" s="61"/>
      <c r="N802" s="61"/>
    </row>
    <row r="803">
      <c r="F803" s="61"/>
      <c r="G803" s="61"/>
      <c r="H803" s="61"/>
      <c r="I803" s="61"/>
      <c r="J803" s="61"/>
      <c r="K803" s="61"/>
      <c r="L803" s="61"/>
      <c r="M803" s="61"/>
      <c r="N803" s="61"/>
    </row>
    <row r="804">
      <c r="F804" s="61"/>
      <c r="G804" s="61"/>
      <c r="H804" s="61"/>
      <c r="I804" s="61"/>
      <c r="J804" s="61"/>
      <c r="K804" s="61"/>
      <c r="L804" s="61"/>
      <c r="M804" s="61"/>
      <c r="N804" s="61"/>
    </row>
    <row r="805">
      <c r="F805" s="61"/>
      <c r="G805" s="61"/>
      <c r="H805" s="61"/>
      <c r="I805" s="61"/>
      <c r="J805" s="61"/>
      <c r="K805" s="61"/>
      <c r="L805" s="61"/>
      <c r="M805" s="61"/>
      <c r="N805" s="61"/>
    </row>
    <row r="806">
      <c r="F806" s="61"/>
      <c r="G806" s="61"/>
      <c r="H806" s="61"/>
      <c r="I806" s="61"/>
      <c r="J806" s="61"/>
      <c r="K806" s="61"/>
      <c r="L806" s="61"/>
      <c r="M806" s="61"/>
      <c r="N806" s="61"/>
    </row>
    <row r="807">
      <c r="F807" s="61"/>
      <c r="G807" s="61"/>
      <c r="H807" s="61"/>
      <c r="I807" s="61"/>
      <c r="J807" s="61"/>
      <c r="K807" s="61"/>
      <c r="L807" s="61"/>
      <c r="M807" s="61"/>
      <c r="N807" s="61"/>
    </row>
    <row r="808">
      <c r="F808" s="61"/>
      <c r="G808" s="61"/>
      <c r="H808" s="61"/>
      <c r="I808" s="61"/>
      <c r="J808" s="61"/>
      <c r="K808" s="61"/>
      <c r="L808" s="61"/>
      <c r="M808" s="61"/>
      <c r="N808" s="61"/>
    </row>
    <row r="809">
      <c r="F809" s="61"/>
      <c r="G809" s="61"/>
      <c r="H809" s="61"/>
      <c r="I809" s="61"/>
      <c r="J809" s="61"/>
      <c r="K809" s="61"/>
      <c r="L809" s="61"/>
      <c r="M809" s="61"/>
      <c r="N809" s="61"/>
    </row>
    <row r="810">
      <c r="F810" s="61"/>
      <c r="G810" s="61"/>
      <c r="H810" s="61"/>
      <c r="I810" s="61"/>
      <c r="J810" s="61"/>
      <c r="K810" s="61"/>
      <c r="L810" s="61"/>
      <c r="M810" s="61"/>
      <c r="N810" s="61"/>
    </row>
    <row r="811">
      <c r="F811" s="61"/>
      <c r="G811" s="61"/>
      <c r="H811" s="61"/>
      <c r="I811" s="61"/>
      <c r="J811" s="61"/>
      <c r="K811" s="61"/>
      <c r="L811" s="61"/>
      <c r="M811" s="61"/>
      <c r="N811" s="61"/>
    </row>
    <row r="812">
      <c r="F812" s="61"/>
      <c r="G812" s="61"/>
      <c r="H812" s="61"/>
      <c r="I812" s="61"/>
      <c r="J812" s="61"/>
      <c r="K812" s="61"/>
      <c r="L812" s="61"/>
      <c r="M812" s="61"/>
      <c r="N812" s="61"/>
    </row>
    <row r="813">
      <c r="F813" s="61"/>
      <c r="G813" s="61"/>
      <c r="H813" s="61"/>
      <c r="I813" s="61"/>
      <c r="J813" s="61"/>
      <c r="K813" s="61"/>
      <c r="L813" s="61"/>
      <c r="M813" s="61"/>
      <c r="N813" s="61"/>
    </row>
    <row r="814">
      <c r="F814" s="61"/>
      <c r="G814" s="61"/>
      <c r="H814" s="61"/>
      <c r="I814" s="61"/>
      <c r="J814" s="61"/>
      <c r="K814" s="61"/>
      <c r="L814" s="61"/>
      <c r="M814" s="61"/>
      <c r="N814" s="61"/>
    </row>
    <row r="815">
      <c r="F815" s="61"/>
      <c r="G815" s="61"/>
      <c r="H815" s="61"/>
      <c r="I815" s="61"/>
      <c r="J815" s="61"/>
      <c r="K815" s="61"/>
      <c r="L815" s="61"/>
      <c r="M815" s="61"/>
      <c r="N815" s="61"/>
    </row>
    <row r="816">
      <c r="F816" s="61"/>
      <c r="G816" s="61"/>
      <c r="H816" s="61"/>
      <c r="I816" s="61"/>
      <c r="J816" s="61"/>
      <c r="K816" s="61"/>
      <c r="L816" s="61"/>
      <c r="M816" s="61"/>
      <c r="N816" s="61"/>
    </row>
    <row r="817">
      <c r="F817" s="61"/>
      <c r="G817" s="61"/>
      <c r="H817" s="61"/>
      <c r="I817" s="61"/>
      <c r="J817" s="61"/>
      <c r="K817" s="61"/>
      <c r="L817" s="61"/>
      <c r="M817" s="61"/>
      <c r="N817" s="61"/>
    </row>
    <row r="818">
      <c r="F818" s="61"/>
      <c r="G818" s="61"/>
      <c r="H818" s="61"/>
      <c r="I818" s="61"/>
      <c r="J818" s="61"/>
      <c r="K818" s="61"/>
      <c r="L818" s="61"/>
      <c r="M818" s="61"/>
      <c r="N818" s="61"/>
    </row>
    <row r="819">
      <c r="F819" s="61"/>
      <c r="G819" s="61"/>
      <c r="H819" s="61"/>
      <c r="I819" s="61"/>
      <c r="J819" s="61"/>
      <c r="K819" s="61"/>
      <c r="L819" s="61"/>
      <c r="M819" s="61"/>
      <c r="N819" s="61"/>
    </row>
    <row r="820">
      <c r="F820" s="61"/>
      <c r="G820" s="61"/>
      <c r="H820" s="61"/>
      <c r="I820" s="61"/>
      <c r="J820" s="61"/>
      <c r="K820" s="61"/>
      <c r="L820" s="61"/>
      <c r="M820" s="61"/>
      <c r="N820" s="61"/>
    </row>
    <row r="821">
      <c r="F821" s="61"/>
      <c r="G821" s="61"/>
      <c r="H821" s="61"/>
      <c r="I821" s="61"/>
      <c r="J821" s="61"/>
      <c r="K821" s="61"/>
      <c r="L821" s="61"/>
      <c r="M821" s="61"/>
      <c r="N821" s="61"/>
    </row>
    <row r="822">
      <c r="F822" s="61"/>
      <c r="G822" s="61"/>
      <c r="H822" s="61"/>
      <c r="I822" s="61"/>
      <c r="J822" s="61"/>
      <c r="K822" s="61"/>
      <c r="L822" s="61"/>
      <c r="M822" s="61"/>
      <c r="N822" s="61"/>
    </row>
    <row r="823">
      <c r="F823" s="61"/>
      <c r="G823" s="61"/>
      <c r="H823" s="61"/>
      <c r="I823" s="61"/>
      <c r="J823" s="61"/>
      <c r="K823" s="61"/>
      <c r="L823" s="61"/>
      <c r="M823" s="61"/>
      <c r="N823" s="61"/>
    </row>
    <row r="824">
      <c r="F824" s="61"/>
      <c r="G824" s="61"/>
      <c r="H824" s="61"/>
      <c r="I824" s="61"/>
      <c r="J824" s="61"/>
      <c r="K824" s="61"/>
      <c r="L824" s="61"/>
      <c r="M824" s="61"/>
      <c r="N824" s="61"/>
    </row>
    <row r="825">
      <c r="F825" s="61"/>
      <c r="G825" s="61"/>
      <c r="H825" s="61"/>
      <c r="I825" s="61"/>
      <c r="J825" s="61"/>
      <c r="K825" s="61"/>
      <c r="L825" s="61"/>
      <c r="M825" s="61"/>
      <c r="N825" s="61"/>
    </row>
    <row r="826">
      <c r="F826" s="61"/>
      <c r="G826" s="61"/>
      <c r="H826" s="61"/>
      <c r="I826" s="61"/>
      <c r="J826" s="61"/>
      <c r="K826" s="61"/>
      <c r="L826" s="61"/>
      <c r="M826" s="61"/>
      <c r="N826" s="61"/>
    </row>
    <row r="827">
      <c r="F827" s="61"/>
      <c r="G827" s="61"/>
      <c r="H827" s="61"/>
      <c r="I827" s="61"/>
      <c r="J827" s="61"/>
      <c r="K827" s="61"/>
      <c r="L827" s="61"/>
      <c r="M827" s="61"/>
      <c r="N827" s="61"/>
    </row>
    <row r="828">
      <c r="F828" s="61"/>
      <c r="G828" s="61"/>
      <c r="H828" s="61"/>
      <c r="I828" s="61"/>
      <c r="J828" s="61"/>
      <c r="K828" s="61"/>
      <c r="L828" s="61"/>
      <c r="M828" s="61"/>
      <c r="N828" s="61"/>
    </row>
    <row r="829">
      <c r="F829" s="61"/>
      <c r="G829" s="61"/>
      <c r="H829" s="61"/>
      <c r="I829" s="61"/>
      <c r="J829" s="61"/>
      <c r="K829" s="61"/>
      <c r="L829" s="61"/>
      <c r="M829" s="61"/>
      <c r="N829" s="61"/>
    </row>
    <row r="830">
      <c r="F830" s="61"/>
      <c r="G830" s="61"/>
      <c r="H830" s="61"/>
      <c r="I830" s="61"/>
      <c r="J830" s="61"/>
      <c r="K830" s="61"/>
      <c r="L830" s="61"/>
      <c r="M830" s="61"/>
      <c r="N830" s="61"/>
    </row>
    <row r="831">
      <c r="F831" s="61"/>
      <c r="G831" s="61"/>
      <c r="H831" s="61"/>
      <c r="I831" s="61"/>
      <c r="J831" s="61"/>
      <c r="K831" s="61"/>
      <c r="L831" s="61"/>
      <c r="M831" s="61"/>
      <c r="N831" s="61"/>
    </row>
    <row r="832">
      <c r="F832" s="61"/>
      <c r="G832" s="61"/>
      <c r="H832" s="61"/>
      <c r="I832" s="61"/>
      <c r="J832" s="61"/>
      <c r="K832" s="61"/>
      <c r="L832" s="61"/>
      <c r="M832" s="61"/>
      <c r="N832" s="61"/>
    </row>
    <row r="833">
      <c r="F833" s="61"/>
      <c r="G833" s="61"/>
      <c r="H833" s="61"/>
      <c r="I833" s="61"/>
      <c r="J833" s="61"/>
      <c r="K833" s="61"/>
      <c r="L833" s="61"/>
      <c r="M833" s="61"/>
      <c r="N833" s="61"/>
    </row>
    <row r="834">
      <c r="F834" s="61"/>
      <c r="G834" s="61"/>
      <c r="H834" s="61"/>
      <c r="I834" s="61"/>
      <c r="J834" s="61"/>
      <c r="K834" s="61"/>
      <c r="L834" s="61"/>
      <c r="M834" s="61"/>
      <c r="N834" s="61"/>
    </row>
    <row r="835">
      <c r="F835" s="61"/>
      <c r="G835" s="61"/>
      <c r="H835" s="61"/>
      <c r="I835" s="61"/>
      <c r="J835" s="61"/>
      <c r="K835" s="61"/>
      <c r="L835" s="61"/>
      <c r="M835" s="61"/>
      <c r="N835" s="61"/>
    </row>
    <row r="836">
      <c r="F836" s="61"/>
      <c r="G836" s="61"/>
      <c r="H836" s="61"/>
      <c r="I836" s="61"/>
      <c r="J836" s="61"/>
      <c r="K836" s="61"/>
      <c r="L836" s="61"/>
      <c r="M836" s="61"/>
      <c r="N836" s="61"/>
    </row>
    <row r="837">
      <c r="F837" s="61"/>
      <c r="G837" s="61"/>
      <c r="H837" s="61"/>
      <c r="I837" s="61"/>
      <c r="J837" s="61"/>
      <c r="K837" s="61"/>
      <c r="L837" s="61"/>
      <c r="M837" s="61"/>
      <c r="N837" s="61"/>
    </row>
    <row r="838">
      <c r="F838" s="61"/>
      <c r="G838" s="61"/>
      <c r="H838" s="61"/>
      <c r="I838" s="61"/>
      <c r="J838" s="61"/>
      <c r="K838" s="61"/>
      <c r="L838" s="61"/>
      <c r="M838" s="61"/>
      <c r="N838" s="61"/>
    </row>
    <row r="839">
      <c r="F839" s="61"/>
      <c r="G839" s="61"/>
      <c r="H839" s="61"/>
      <c r="I839" s="61"/>
      <c r="J839" s="61"/>
      <c r="K839" s="61"/>
      <c r="L839" s="61"/>
      <c r="M839" s="61"/>
      <c r="N839" s="61"/>
    </row>
    <row r="840">
      <c r="F840" s="61"/>
      <c r="G840" s="61"/>
      <c r="H840" s="61"/>
      <c r="I840" s="61"/>
      <c r="J840" s="61"/>
      <c r="K840" s="61"/>
      <c r="L840" s="61"/>
      <c r="M840" s="61"/>
      <c r="N840" s="61"/>
    </row>
    <row r="841">
      <c r="F841" s="61"/>
      <c r="G841" s="61"/>
      <c r="H841" s="61"/>
      <c r="I841" s="61"/>
      <c r="J841" s="61"/>
      <c r="K841" s="61"/>
      <c r="L841" s="61"/>
      <c r="M841" s="61"/>
      <c r="N841" s="61"/>
    </row>
    <row r="842">
      <c r="F842" s="61"/>
      <c r="G842" s="61"/>
      <c r="H842" s="61"/>
      <c r="I842" s="61"/>
      <c r="J842" s="61"/>
      <c r="K842" s="61"/>
      <c r="L842" s="61"/>
      <c r="M842" s="61"/>
      <c r="N842" s="61"/>
    </row>
    <row r="843">
      <c r="F843" s="61"/>
      <c r="G843" s="61"/>
      <c r="H843" s="61"/>
      <c r="I843" s="61"/>
      <c r="J843" s="61"/>
      <c r="K843" s="61"/>
      <c r="L843" s="61"/>
      <c r="M843" s="61"/>
      <c r="N843" s="61"/>
    </row>
    <row r="844">
      <c r="F844" s="61"/>
      <c r="G844" s="61"/>
      <c r="H844" s="61"/>
      <c r="I844" s="61"/>
      <c r="J844" s="61"/>
      <c r="K844" s="61"/>
      <c r="L844" s="61"/>
      <c r="M844" s="61"/>
      <c r="N844" s="61"/>
    </row>
    <row r="845">
      <c r="F845" s="61"/>
      <c r="G845" s="61"/>
      <c r="H845" s="61"/>
      <c r="I845" s="61"/>
      <c r="J845" s="61"/>
      <c r="K845" s="61"/>
      <c r="L845" s="61"/>
      <c r="M845" s="61"/>
      <c r="N845" s="61"/>
    </row>
    <row r="846">
      <c r="F846" s="61"/>
      <c r="G846" s="61"/>
      <c r="H846" s="61"/>
      <c r="I846" s="61"/>
      <c r="J846" s="61"/>
      <c r="K846" s="61"/>
      <c r="L846" s="61"/>
      <c r="M846" s="61"/>
      <c r="N846" s="61"/>
    </row>
    <row r="847">
      <c r="F847" s="61"/>
      <c r="G847" s="61"/>
      <c r="H847" s="61"/>
      <c r="I847" s="61"/>
      <c r="J847" s="61"/>
      <c r="K847" s="61"/>
      <c r="L847" s="61"/>
      <c r="M847" s="61"/>
      <c r="N847" s="61"/>
    </row>
    <row r="848">
      <c r="F848" s="61"/>
      <c r="G848" s="61"/>
      <c r="H848" s="61"/>
      <c r="I848" s="61"/>
      <c r="J848" s="61"/>
      <c r="K848" s="61"/>
      <c r="L848" s="61"/>
      <c r="M848" s="61"/>
      <c r="N848" s="61"/>
    </row>
    <row r="849">
      <c r="F849" s="61"/>
      <c r="G849" s="61"/>
      <c r="H849" s="61"/>
      <c r="I849" s="61"/>
      <c r="J849" s="61"/>
      <c r="K849" s="61"/>
      <c r="L849" s="61"/>
      <c r="M849" s="61"/>
      <c r="N849" s="61"/>
    </row>
    <row r="850">
      <c r="F850" s="61"/>
      <c r="G850" s="61"/>
      <c r="H850" s="61"/>
      <c r="I850" s="61"/>
      <c r="J850" s="61"/>
      <c r="K850" s="61"/>
      <c r="L850" s="61"/>
      <c r="M850" s="61"/>
      <c r="N850" s="61"/>
    </row>
    <row r="851">
      <c r="F851" s="61"/>
      <c r="G851" s="61"/>
      <c r="H851" s="61"/>
      <c r="I851" s="61"/>
      <c r="J851" s="61"/>
      <c r="K851" s="61"/>
      <c r="L851" s="61"/>
      <c r="M851" s="61"/>
      <c r="N851" s="61"/>
    </row>
    <row r="852">
      <c r="F852" s="61"/>
      <c r="G852" s="61"/>
      <c r="H852" s="61"/>
      <c r="I852" s="61"/>
      <c r="J852" s="61"/>
      <c r="K852" s="61"/>
      <c r="L852" s="61"/>
      <c r="M852" s="61"/>
      <c r="N852" s="61"/>
    </row>
    <row r="853">
      <c r="F853" s="61"/>
      <c r="G853" s="61"/>
      <c r="H853" s="61"/>
      <c r="I853" s="61"/>
      <c r="J853" s="61"/>
      <c r="K853" s="61"/>
      <c r="L853" s="61"/>
      <c r="M853" s="61"/>
      <c r="N853" s="61"/>
    </row>
    <row r="854">
      <c r="F854" s="61"/>
      <c r="G854" s="61"/>
      <c r="H854" s="61"/>
      <c r="I854" s="61"/>
      <c r="J854" s="61"/>
      <c r="K854" s="61"/>
      <c r="L854" s="61"/>
      <c r="M854" s="61"/>
      <c r="N854" s="61"/>
    </row>
    <row r="855">
      <c r="F855" s="61"/>
      <c r="G855" s="61"/>
      <c r="H855" s="61"/>
      <c r="I855" s="61"/>
      <c r="J855" s="61"/>
      <c r="K855" s="61"/>
      <c r="L855" s="61"/>
      <c r="M855" s="61"/>
      <c r="N855" s="61"/>
    </row>
    <row r="856">
      <c r="F856" s="61"/>
      <c r="G856" s="61"/>
      <c r="H856" s="61"/>
      <c r="I856" s="61"/>
      <c r="J856" s="61"/>
      <c r="K856" s="61"/>
      <c r="L856" s="61"/>
      <c r="M856" s="61"/>
      <c r="N856" s="61"/>
    </row>
    <row r="857">
      <c r="F857" s="61"/>
      <c r="G857" s="61"/>
      <c r="H857" s="61"/>
      <c r="I857" s="61"/>
      <c r="J857" s="61"/>
      <c r="K857" s="61"/>
      <c r="L857" s="61"/>
      <c r="M857" s="61"/>
      <c r="N857" s="61"/>
    </row>
    <row r="858">
      <c r="F858" s="61"/>
      <c r="G858" s="61"/>
      <c r="H858" s="61"/>
      <c r="I858" s="61"/>
      <c r="J858" s="61"/>
      <c r="K858" s="61"/>
      <c r="L858" s="61"/>
      <c r="M858" s="61"/>
      <c r="N858" s="61"/>
    </row>
    <row r="859">
      <c r="F859" s="61"/>
      <c r="G859" s="61"/>
      <c r="H859" s="61"/>
      <c r="I859" s="61"/>
      <c r="J859" s="61"/>
      <c r="K859" s="61"/>
      <c r="L859" s="61"/>
      <c r="M859" s="61"/>
      <c r="N859" s="61"/>
    </row>
    <row r="860">
      <c r="F860" s="61"/>
      <c r="G860" s="61"/>
      <c r="H860" s="61"/>
      <c r="I860" s="61"/>
      <c r="J860" s="61"/>
      <c r="K860" s="61"/>
      <c r="L860" s="61"/>
      <c r="M860" s="61"/>
      <c r="N860" s="61"/>
    </row>
    <row r="861">
      <c r="F861" s="61"/>
      <c r="G861" s="61"/>
      <c r="H861" s="61"/>
      <c r="I861" s="61"/>
      <c r="J861" s="61"/>
      <c r="K861" s="61"/>
      <c r="L861" s="61"/>
      <c r="M861" s="61"/>
      <c r="N861" s="61"/>
    </row>
    <row r="862">
      <c r="F862" s="61"/>
      <c r="G862" s="61"/>
      <c r="H862" s="61"/>
      <c r="I862" s="61"/>
      <c r="J862" s="61"/>
      <c r="K862" s="61"/>
      <c r="L862" s="61"/>
      <c r="M862" s="61"/>
      <c r="N862" s="61"/>
    </row>
    <row r="863">
      <c r="F863" s="61"/>
      <c r="G863" s="61"/>
      <c r="H863" s="61"/>
      <c r="I863" s="61"/>
      <c r="J863" s="61"/>
      <c r="K863" s="61"/>
      <c r="L863" s="61"/>
      <c r="M863" s="61"/>
      <c r="N863" s="61"/>
    </row>
    <row r="864">
      <c r="F864" s="61"/>
      <c r="G864" s="61"/>
      <c r="H864" s="61"/>
      <c r="I864" s="61"/>
      <c r="J864" s="61"/>
      <c r="K864" s="61"/>
      <c r="L864" s="61"/>
      <c r="M864" s="61"/>
      <c r="N864" s="61"/>
    </row>
    <row r="865">
      <c r="F865" s="61"/>
      <c r="G865" s="61"/>
      <c r="H865" s="61"/>
      <c r="I865" s="61"/>
      <c r="J865" s="61"/>
      <c r="K865" s="61"/>
      <c r="L865" s="61"/>
      <c r="M865" s="61"/>
      <c r="N865" s="61"/>
    </row>
    <row r="866">
      <c r="F866" s="61"/>
      <c r="G866" s="61"/>
      <c r="H866" s="61"/>
      <c r="I866" s="61"/>
      <c r="J866" s="61"/>
      <c r="K866" s="61"/>
      <c r="L866" s="61"/>
      <c r="M866" s="61"/>
      <c r="N866" s="61"/>
    </row>
    <row r="867">
      <c r="F867" s="61"/>
      <c r="G867" s="61"/>
      <c r="H867" s="61"/>
      <c r="I867" s="61"/>
      <c r="J867" s="61"/>
      <c r="K867" s="61"/>
      <c r="L867" s="61"/>
      <c r="M867" s="61"/>
      <c r="N867" s="61"/>
    </row>
    <row r="868">
      <c r="F868" s="61"/>
      <c r="G868" s="61"/>
      <c r="H868" s="61"/>
      <c r="I868" s="61"/>
      <c r="J868" s="61"/>
      <c r="K868" s="61"/>
      <c r="L868" s="61"/>
      <c r="M868" s="61"/>
      <c r="N868" s="61"/>
    </row>
    <row r="869">
      <c r="F869" s="61"/>
      <c r="G869" s="61"/>
      <c r="H869" s="61"/>
      <c r="I869" s="61"/>
      <c r="J869" s="61"/>
      <c r="K869" s="61"/>
      <c r="L869" s="61"/>
      <c r="M869" s="61"/>
      <c r="N869" s="61"/>
    </row>
    <row r="870">
      <c r="F870" s="61"/>
      <c r="G870" s="61"/>
      <c r="H870" s="61"/>
      <c r="I870" s="61"/>
      <c r="J870" s="61"/>
      <c r="K870" s="61"/>
      <c r="L870" s="61"/>
      <c r="M870" s="61"/>
      <c r="N870" s="61"/>
    </row>
    <row r="871">
      <c r="F871" s="61"/>
      <c r="G871" s="61"/>
      <c r="H871" s="61"/>
      <c r="I871" s="61"/>
      <c r="J871" s="61"/>
      <c r="K871" s="61"/>
      <c r="L871" s="61"/>
      <c r="M871" s="61"/>
      <c r="N871" s="61"/>
    </row>
    <row r="872">
      <c r="F872" s="61"/>
      <c r="G872" s="61"/>
      <c r="H872" s="61"/>
      <c r="I872" s="61"/>
      <c r="J872" s="61"/>
      <c r="K872" s="61"/>
      <c r="L872" s="61"/>
      <c r="M872" s="61"/>
      <c r="N872" s="61"/>
    </row>
    <row r="873">
      <c r="F873" s="61"/>
      <c r="G873" s="61"/>
      <c r="H873" s="61"/>
      <c r="I873" s="61"/>
      <c r="J873" s="61"/>
      <c r="K873" s="61"/>
      <c r="L873" s="61"/>
      <c r="M873" s="61"/>
      <c r="N873" s="61"/>
    </row>
    <row r="874">
      <c r="F874" s="61"/>
      <c r="G874" s="61"/>
      <c r="H874" s="61"/>
      <c r="I874" s="61"/>
      <c r="J874" s="61"/>
      <c r="K874" s="61"/>
      <c r="L874" s="61"/>
      <c r="M874" s="61"/>
      <c r="N874" s="61"/>
    </row>
    <row r="875">
      <c r="F875" s="61"/>
      <c r="G875" s="61"/>
      <c r="H875" s="61"/>
      <c r="I875" s="61"/>
      <c r="J875" s="61"/>
      <c r="K875" s="61"/>
      <c r="L875" s="61"/>
      <c r="M875" s="61"/>
      <c r="N875" s="61"/>
    </row>
    <row r="876">
      <c r="F876" s="61"/>
      <c r="G876" s="61"/>
      <c r="H876" s="61"/>
      <c r="I876" s="61"/>
      <c r="J876" s="61"/>
      <c r="K876" s="61"/>
      <c r="L876" s="61"/>
      <c r="M876" s="61"/>
      <c r="N876" s="61"/>
    </row>
    <row r="877">
      <c r="F877" s="61"/>
      <c r="G877" s="61"/>
      <c r="H877" s="61"/>
      <c r="I877" s="61"/>
      <c r="J877" s="61"/>
      <c r="K877" s="61"/>
      <c r="L877" s="61"/>
      <c r="M877" s="61"/>
      <c r="N877" s="61"/>
    </row>
    <row r="878">
      <c r="F878" s="61"/>
      <c r="G878" s="61"/>
      <c r="H878" s="61"/>
      <c r="I878" s="61"/>
      <c r="J878" s="61"/>
      <c r="K878" s="61"/>
      <c r="L878" s="61"/>
      <c r="M878" s="61"/>
      <c r="N878" s="61"/>
    </row>
    <row r="879">
      <c r="F879" s="61"/>
      <c r="G879" s="61"/>
      <c r="H879" s="61"/>
      <c r="I879" s="61"/>
      <c r="J879" s="61"/>
      <c r="K879" s="61"/>
      <c r="L879" s="61"/>
      <c r="M879" s="61"/>
      <c r="N879" s="61"/>
    </row>
    <row r="880">
      <c r="F880" s="61"/>
      <c r="G880" s="61"/>
      <c r="H880" s="61"/>
      <c r="I880" s="61"/>
      <c r="J880" s="61"/>
      <c r="K880" s="61"/>
      <c r="L880" s="61"/>
      <c r="M880" s="61"/>
      <c r="N880" s="61"/>
    </row>
    <row r="881">
      <c r="F881" s="61"/>
      <c r="G881" s="61"/>
      <c r="H881" s="61"/>
      <c r="I881" s="61"/>
      <c r="J881" s="61"/>
      <c r="K881" s="61"/>
      <c r="L881" s="61"/>
      <c r="M881" s="61"/>
      <c r="N881" s="61"/>
    </row>
    <row r="882">
      <c r="F882" s="61"/>
      <c r="G882" s="61"/>
      <c r="H882" s="61"/>
      <c r="I882" s="61"/>
      <c r="J882" s="61"/>
      <c r="K882" s="61"/>
      <c r="L882" s="61"/>
      <c r="M882" s="61"/>
      <c r="N882" s="61"/>
    </row>
    <row r="883">
      <c r="F883" s="61"/>
      <c r="G883" s="61"/>
      <c r="H883" s="61"/>
      <c r="I883" s="61"/>
      <c r="J883" s="61"/>
      <c r="K883" s="61"/>
      <c r="L883" s="61"/>
      <c r="M883" s="61"/>
      <c r="N883" s="61"/>
    </row>
    <row r="884">
      <c r="F884" s="61"/>
      <c r="G884" s="61"/>
      <c r="H884" s="61"/>
      <c r="I884" s="61"/>
      <c r="J884" s="61"/>
      <c r="K884" s="61"/>
      <c r="L884" s="61"/>
      <c r="M884" s="61"/>
      <c r="N884" s="61"/>
    </row>
    <row r="885">
      <c r="F885" s="61"/>
      <c r="G885" s="61"/>
      <c r="H885" s="61"/>
      <c r="I885" s="61"/>
      <c r="J885" s="61"/>
      <c r="K885" s="61"/>
      <c r="L885" s="61"/>
      <c r="M885" s="61"/>
      <c r="N885" s="61"/>
    </row>
    <row r="886">
      <c r="F886" s="61"/>
      <c r="G886" s="61"/>
      <c r="H886" s="61"/>
      <c r="I886" s="61"/>
      <c r="J886" s="61"/>
      <c r="K886" s="61"/>
      <c r="L886" s="61"/>
      <c r="M886" s="61"/>
      <c r="N886" s="61"/>
    </row>
    <row r="887">
      <c r="F887" s="61"/>
      <c r="G887" s="61"/>
      <c r="H887" s="61"/>
      <c r="I887" s="61"/>
      <c r="J887" s="61"/>
      <c r="K887" s="61"/>
      <c r="L887" s="61"/>
      <c r="M887" s="61"/>
      <c r="N887" s="61"/>
    </row>
    <row r="888">
      <c r="F888" s="61"/>
      <c r="G888" s="61"/>
      <c r="H888" s="61"/>
      <c r="I888" s="61"/>
      <c r="J888" s="61"/>
      <c r="K888" s="61"/>
      <c r="L888" s="61"/>
      <c r="M888" s="61"/>
      <c r="N888" s="61"/>
    </row>
    <row r="889">
      <c r="F889" s="61"/>
      <c r="G889" s="61"/>
      <c r="H889" s="61"/>
      <c r="I889" s="61"/>
      <c r="J889" s="61"/>
      <c r="K889" s="61"/>
      <c r="L889" s="61"/>
      <c r="M889" s="61"/>
      <c r="N889" s="61"/>
    </row>
    <row r="890">
      <c r="F890" s="61"/>
      <c r="G890" s="61"/>
      <c r="H890" s="61"/>
      <c r="I890" s="61"/>
      <c r="J890" s="61"/>
      <c r="K890" s="61"/>
      <c r="L890" s="61"/>
      <c r="M890" s="61"/>
      <c r="N890" s="61"/>
    </row>
    <row r="891">
      <c r="F891" s="61"/>
      <c r="G891" s="61"/>
      <c r="H891" s="61"/>
      <c r="I891" s="61"/>
      <c r="J891" s="61"/>
      <c r="K891" s="61"/>
      <c r="L891" s="61"/>
      <c r="M891" s="61"/>
      <c r="N891" s="61"/>
    </row>
    <row r="892">
      <c r="F892" s="61"/>
      <c r="G892" s="61"/>
      <c r="H892" s="61"/>
      <c r="I892" s="61"/>
      <c r="J892" s="61"/>
      <c r="K892" s="61"/>
      <c r="L892" s="61"/>
      <c r="M892" s="61"/>
      <c r="N892" s="61"/>
    </row>
    <row r="893">
      <c r="F893" s="61"/>
      <c r="G893" s="61"/>
      <c r="H893" s="61"/>
      <c r="I893" s="61"/>
      <c r="J893" s="61"/>
      <c r="K893" s="61"/>
      <c r="L893" s="61"/>
      <c r="M893" s="61"/>
      <c r="N893" s="61"/>
    </row>
    <row r="894">
      <c r="F894" s="61"/>
      <c r="G894" s="61"/>
      <c r="H894" s="61"/>
      <c r="I894" s="61"/>
      <c r="J894" s="61"/>
      <c r="K894" s="61"/>
      <c r="L894" s="61"/>
      <c r="M894" s="61"/>
      <c r="N894" s="61"/>
    </row>
    <row r="895">
      <c r="F895" s="61"/>
      <c r="G895" s="61"/>
      <c r="H895" s="61"/>
      <c r="I895" s="61"/>
      <c r="J895" s="61"/>
      <c r="K895" s="61"/>
      <c r="L895" s="61"/>
      <c r="M895" s="61"/>
      <c r="N895" s="61"/>
    </row>
    <row r="896">
      <c r="F896" s="61"/>
      <c r="G896" s="61"/>
      <c r="H896" s="61"/>
      <c r="I896" s="61"/>
      <c r="J896" s="61"/>
      <c r="K896" s="61"/>
      <c r="L896" s="61"/>
      <c r="M896" s="61"/>
      <c r="N896" s="61"/>
    </row>
    <row r="897">
      <c r="F897" s="61"/>
      <c r="G897" s="61"/>
      <c r="H897" s="61"/>
      <c r="I897" s="61"/>
      <c r="J897" s="61"/>
      <c r="K897" s="61"/>
      <c r="L897" s="61"/>
      <c r="M897" s="61"/>
      <c r="N897" s="61"/>
    </row>
    <row r="898">
      <c r="F898" s="61"/>
      <c r="G898" s="61"/>
      <c r="H898" s="61"/>
      <c r="I898" s="61"/>
      <c r="J898" s="61"/>
      <c r="K898" s="61"/>
      <c r="L898" s="61"/>
      <c r="M898" s="61"/>
      <c r="N898" s="61"/>
    </row>
    <row r="899">
      <c r="F899" s="61"/>
      <c r="G899" s="61"/>
      <c r="H899" s="61"/>
      <c r="I899" s="61"/>
      <c r="J899" s="61"/>
      <c r="K899" s="61"/>
      <c r="L899" s="61"/>
      <c r="M899" s="61"/>
      <c r="N899" s="61"/>
    </row>
    <row r="900">
      <c r="F900" s="61"/>
      <c r="G900" s="61"/>
      <c r="H900" s="61"/>
      <c r="I900" s="61"/>
      <c r="J900" s="61"/>
      <c r="K900" s="61"/>
      <c r="L900" s="61"/>
      <c r="M900" s="61"/>
      <c r="N900" s="61"/>
    </row>
    <row r="901">
      <c r="F901" s="61"/>
      <c r="G901" s="61"/>
      <c r="H901" s="61"/>
      <c r="I901" s="61"/>
      <c r="J901" s="61"/>
      <c r="K901" s="61"/>
      <c r="L901" s="61"/>
      <c r="M901" s="61"/>
      <c r="N901" s="61"/>
    </row>
    <row r="902">
      <c r="F902" s="61"/>
      <c r="G902" s="61"/>
      <c r="H902" s="61"/>
      <c r="I902" s="61"/>
      <c r="J902" s="61"/>
      <c r="K902" s="61"/>
      <c r="L902" s="61"/>
      <c r="M902" s="61"/>
      <c r="N902" s="61"/>
    </row>
    <row r="903">
      <c r="F903" s="61"/>
      <c r="G903" s="61"/>
      <c r="H903" s="61"/>
      <c r="I903" s="61"/>
      <c r="J903" s="61"/>
      <c r="K903" s="61"/>
      <c r="L903" s="61"/>
      <c r="M903" s="61"/>
      <c r="N903" s="61"/>
    </row>
    <row r="904">
      <c r="F904" s="61"/>
      <c r="G904" s="61"/>
      <c r="H904" s="61"/>
      <c r="I904" s="61"/>
      <c r="J904" s="61"/>
      <c r="K904" s="61"/>
      <c r="L904" s="61"/>
      <c r="M904" s="61"/>
      <c r="N904" s="61"/>
    </row>
    <row r="905">
      <c r="F905" s="61"/>
      <c r="G905" s="61"/>
      <c r="H905" s="61"/>
      <c r="I905" s="61"/>
      <c r="J905" s="61"/>
      <c r="K905" s="61"/>
      <c r="L905" s="61"/>
      <c r="M905" s="61"/>
      <c r="N905" s="61"/>
    </row>
    <row r="906">
      <c r="F906" s="61"/>
      <c r="G906" s="61"/>
      <c r="H906" s="61"/>
      <c r="I906" s="61"/>
      <c r="J906" s="61"/>
      <c r="K906" s="61"/>
      <c r="L906" s="61"/>
      <c r="M906" s="61"/>
      <c r="N906" s="61"/>
    </row>
    <row r="907">
      <c r="F907" s="61"/>
      <c r="G907" s="61"/>
      <c r="H907" s="61"/>
      <c r="I907" s="61"/>
      <c r="J907" s="61"/>
      <c r="K907" s="61"/>
      <c r="L907" s="61"/>
      <c r="M907" s="61"/>
      <c r="N907" s="61"/>
    </row>
    <row r="908">
      <c r="F908" s="61"/>
      <c r="G908" s="61"/>
      <c r="H908" s="61"/>
      <c r="I908" s="61"/>
      <c r="J908" s="61"/>
      <c r="K908" s="61"/>
      <c r="L908" s="61"/>
      <c r="M908" s="61"/>
      <c r="N908" s="61"/>
    </row>
    <row r="909">
      <c r="F909" s="61"/>
      <c r="G909" s="61"/>
      <c r="H909" s="61"/>
      <c r="I909" s="61"/>
      <c r="J909" s="61"/>
      <c r="K909" s="61"/>
      <c r="L909" s="61"/>
      <c r="M909" s="61"/>
      <c r="N909" s="61"/>
    </row>
    <row r="910">
      <c r="F910" s="61"/>
      <c r="G910" s="61"/>
      <c r="H910" s="61"/>
      <c r="I910" s="61"/>
      <c r="J910" s="61"/>
      <c r="K910" s="61"/>
      <c r="L910" s="61"/>
      <c r="M910" s="61"/>
      <c r="N910" s="61"/>
    </row>
    <row r="911">
      <c r="F911" s="61"/>
      <c r="G911" s="61"/>
      <c r="H911" s="61"/>
      <c r="I911" s="61"/>
      <c r="J911" s="61"/>
      <c r="K911" s="61"/>
      <c r="L911" s="61"/>
      <c r="M911" s="61"/>
      <c r="N911" s="61"/>
    </row>
    <row r="912">
      <c r="F912" s="61"/>
      <c r="G912" s="61"/>
      <c r="H912" s="61"/>
      <c r="I912" s="61"/>
      <c r="J912" s="61"/>
      <c r="K912" s="61"/>
      <c r="L912" s="61"/>
      <c r="M912" s="61"/>
      <c r="N912" s="61"/>
    </row>
    <row r="913">
      <c r="F913" s="61"/>
      <c r="G913" s="61"/>
      <c r="H913" s="61"/>
      <c r="I913" s="61"/>
      <c r="J913" s="61"/>
      <c r="K913" s="61"/>
      <c r="L913" s="61"/>
      <c r="M913" s="61"/>
      <c r="N913" s="61"/>
    </row>
    <row r="914">
      <c r="F914" s="61"/>
      <c r="G914" s="61"/>
      <c r="H914" s="61"/>
      <c r="I914" s="61"/>
      <c r="J914" s="61"/>
      <c r="K914" s="61"/>
      <c r="L914" s="61"/>
      <c r="M914" s="61"/>
      <c r="N914" s="61"/>
    </row>
    <row r="915">
      <c r="F915" s="61"/>
      <c r="G915" s="61"/>
      <c r="H915" s="61"/>
      <c r="I915" s="61"/>
      <c r="J915" s="61"/>
      <c r="K915" s="61"/>
      <c r="L915" s="61"/>
      <c r="M915" s="61"/>
      <c r="N915" s="61"/>
    </row>
    <row r="916">
      <c r="F916" s="61"/>
      <c r="G916" s="61"/>
      <c r="H916" s="61"/>
      <c r="I916" s="61"/>
      <c r="J916" s="61"/>
      <c r="K916" s="61"/>
      <c r="L916" s="61"/>
      <c r="M916" s="61"/>
      <c r="N916" s="61"/>
    </row>
    <row r="917">
      <c r="F917" s="61"/>
      <c r="G917" s="61"/>
      <c r="H917" s="61"/>
      <c r="I917" s="61"/>
      <c r="J917" s="61"/>
      <c r="K917" s="61"/>
      <c r="L917" s="61"/>
      <c r="M917" s="61"/>
      <c r="N917" s="61"/>
    </row>
    <row r="918">
      <c r="F918" s="61"/>
      <c r="G918" s="61"/>
      <c r="H918" s="61"/>
      <c r="I918" s="61"/>
      <c r="J918" s="61"/>
      <c r="K918" s="61"/>
      <c r="L918" s="61"/>
      <c r="M918" s="61"/>
      <c r="N918" s="61"/>
    </row>
    <row r="919">
      <c r="F919" s="61"/>
      <c r="G919" s="61"/>
      <c r="H919" s="61"/>
      <c r="I919" s="61"/>
      <c r="J919" s="61"/>
      <c r="K919" s="61"/>
      <c r="L919" s="61"/>
      <c r="M919" s="61"/>
      <c r="N919" s="61"/>
    </row>
    <row r="920">
      <c r="F920" s="61"/>
      <c r="G920" s="61"/>
      <c r="H920" s="61"/>
      <c r="I920" s="61"/>
      <c r="J920" s="61"/>
      <c r="K920" s="61"/>
      <c r="L920" s="61"/>
      <c r="M920" s="61"/>
      <c r="N920" s="61"/>
    </row>
    <row r="921">
      <c r="F921" s="61"/>
      <c r="G921" s="61"/>
      <c r="H921" s="61"/>
      <c r="I921" s="61"/>
      <c r="J921" s="61"/>
      <c r="K921" s="61"/>
      <c r="L921" s="61"/>
      <c r="M921" s="61"/>
      <c r="N921" s="61"/>
    </row>
    <row r="922">
      <c r="F922" s="61"/>
      <c r="G922" s="61"/>
      <c r="H922" s="61"/>
      <c r="I922" s="61"/>
      <c r="J922" s="61"/>
      <c r="K922" s="61"/>
      <c r="L922" s="61"/>
      <c r="M922" s="61"/>
      <c r="N922" s="61"/>
    </row>
    <row r="923">
      <c r="F923" s="61"/>
      <c r="G923" s="61"/>
      <c r="H923" s="61"/>
      <c r="I923" s="61"/>
      <c r="J923" s="61"/>
      <c r="K923" s="61"/>
      <c r="L923" s="61"/>
      <c r="M923" s="61"/>
      <c r="N923" s="61"/>
    </row>
    <row r="924">
      <c r="F924" s="61"/>
      <c r="G924" s="61"/>
      <c r="H924" s="61"/>
      <c r="I924" s="61"/>
      <c r="J924" s="61"/>
      <c r="K924" s="61"/>
      <c r="L924" s="61"/>
      <c r="M924" s="61"/>
      <c r="N924" s="61"/>
    </row>
    <row r="925">
      <c r="F925" s="61"/>
      <c r="G925" s="61"/>
      <c r="H925" s="61"/>
      <c r="I925" s="61"/>
      <c r="J925" s="61"/>
      <c r="K925" s="61"/>
      <c r="L925" s="61"/>
      <c r="M925" s="61"/>
      <c r="N925" s="61"/>
    </row>
    <row r="926">
      <c r="F926" s="61"/>
      <c r="G926" s="61"/>
      <c r="H926" s="61"/>
      <c r="I926" s="61"/>
      <c r="J926" s="61"/>
      <c r="K926" s="61"/>
      <c r="L926" s="61"/>
      <c r="M926" s="61"/>
      <c r="N926" s="61"/>
    </row>
    <row r="927">
      <c r="F927" s="61"/>
      <c r="G927" s="61"/>
      <c r="H927" s="61"/>
      <c r="I927" s="61"/>
      <c r="J927" s="61"/>
      <c r="K927" s="61"/>
      <c r="L927" s="61"/>
      <c r="M927" s="61"/>
      <c r="N927" s="61"/>
    </row>
    <row r="928">
      <c r="F928" s="61"/>
      <c r="G928" s="61"/>
      <c r="H928" s="61"/>
      <c r="I928" s="61"/>
      <c r="J928" s="61"/>
      <c r="K928" s="61"/>
      <c r="L928" s="61"/>
      <c r="M928" s="61"/>
      <c r="N928" s="61"/>
    </row>
    <row r="929">
      <c r="F929" s="61"/>
      <c r="G929" s="61"/>
      <c r="H929" s="61"/>
      <c r="I929" s="61"/>
      <c r="J929" s="61"/>
      <c r="K929" s="61"/>
      <c r="L929" s="61"/>
      <c r="M929" s="61"/>
      <c r="N929" s="61"/>
    </row>
    <row r="930">
      <c r="F930" s="61"/>
      <c r="G930" s="61"/>
      <c r="H930" s="61"/>
      <c r="I930" s="61"/>
      <c r="J930" s="61"/>
      <c r="K930" s="61"/>
      <c r="L930" s="61"/>
      <c r="M930" s="61"/>
      <c r="N930" s="61"/>
    </row>
    <row r="931">
      <c r="F931" s="61"/>
      <c r="G931" s="61"/>
      <c r="H931" s="61"/>
      <c r="I931" s="61"/>
      <c r="J931" s="61"/>
      <c r="K931" s="61"/>
      <c r="L931" s="61"/>
      <c r="M931" s="61"/>
      <c r="N931" s="61"/>
    </row>
    <row r="932">
      <c r="F932" s="61"/>
      <c r="G932" s="61"/>
      <c r="H932" s="61"/>
      <c r="I932" s="61"/>
      <c r="J932" s="61"/>
      <c r="K932" s="61"/>
      <c r="L932" s="61"/>
      <c r="M932" s="61"/>
      <c r="N932" s="61"/>
    </row>
    <row r="933">
      <c r="F933" s="61"/>
      <c r="G933" s="61"/>
      <c r="H933" s="61"/>
      <c r="I933" s="61"/>
      <c r="J933" s="61"/>
      <c r="K933" s="61"/>
      <c r="L933" s="61"/>
      <c r="M933" s="61"/>
      <c r="N933" s="61"/>
    </row>
    <row r="934">
      <c r="F934" s="61"/>
      <c r="G934" s="61"/>
      <c r="H934" s="61"/>
      <c r="I934" s="61"/>
      <c r="J934" s="61"/>
      <c r="K934" s="61"/>
      <c r="L934" s="61"/>
      <c r="M934" s="61"/>
      <c r="N934" s="61"/>
    </row>
    <row r="935">
      <c r="F935" s="61"/>
      <c r="G935" s="61"/>
      <c r="H935" s="61"/>
      <c r="I935" s="61"/>
      <c r="J935" s="61"/>
      <c r="K935" s="61"/>
      <c r="L935" s="61"/>
      <c r="M935" s="61"/>
      <c r="N935" s="61"/>
    </row>
    <row r="936">
      <c r="F936" s="61"/>
      <c r="G936" s="61"/>
      <c r="H936" s="61"/>
      <c r="I936" s="61"/>
      <c r="J936" s="61"/>
      <c r="K936" s="61"/>
      <c r="L936" s="61"/>
      <c r="M936" s="61"/>
      <c r="N936" s="61"/>
    </row>
    <row r="937">
      <c r="F937" s="61"/>
      <c r="G937" s="61"/>
      <c r="H937" s="61"/>
      <c r="I937" s="61"/>
      <c r="J937" s="61"/>
      <c r="K937" s="61"/>
      <c r="L937" s="61"/>
      <c r="M937" s="61"/>
      <c r="N937" s="61"/>
    </row>
    <row r="938">
      <c r="F938" s="61"/>
      <c r="G938" s="61"/>
      <c r="H938" s="61"/>
      <c r="I938" s="61"/>
      <c r="J938" s="61"/>
      <c r="K938" s="61"/>
      <c r="L938" s="61"/>
      <c r="M938" s="61"/>
      <c r="N938" s="61"/>
    </row>
    <row r="939">
      <c r="F939" s="61"/>
      <c r="G939" s="61"/>
      <c r="H939" s="61"/>
      <c r="I939" s="61"/>
      <c r="J939" s="61"/>
      <c r="K939" s="61"/>
      <c r="L939" s="61"/>
      <c r="M939" s="61"/>
      <c r="N939" s="61"/>
    </row>
    <row r="940">
      <c r="F940" s="61"/>
      <c r="G940" s="61"/>
      <c r="H940" s="61"/>
      <c r="I940" s="61"/>
      <c r="J940" s="61"/>
      <c r="K940" s="61"/>
      <c r="L940" s="61"/>
      <c r="M940" s="61"/>
      <c r="N940" s="61"/>
    </row>
    <row r="941">
      <c r="F941" s="61"/>
      <c r="G941" s="61"/>
      <c r="H941" s="61"/>
      <c r="I941" s="61"/>
      <c r="J941" s="61"/>
      <c r="K941" s="61"/>
      <c r="L941" s="61"/>
      <c r="M941" s="61"/>
      <c r="N941" s="61"/>
    </row>
    <row r="942">
      <c r="F942" s="61"/>
      <c r="G942" s="61"/>
      <c r="H942" s="61"/>
      <c r="I942" s="61"/>
      <c r="J942" s="61"/>
      <c r="K942" s="61"/>
      <c r="L942" s="61"/>
      <c r="M942" s="61"/>
      <c r="N942" s="61"/>
    </row>
    <row r="943">
      <c r="F943" s="61"/>
      <c r="G943" s="61"/>
      <c r="H943" s="61"/>
      <c r="I943" s="61"/>
      <c r="J943" s="61"/>
      <c r="K943" s="61"/>
      <c r="L943" s="61"/>
      <c r="M943" s="61"/>
      <c r="N943" s="61"/>
    </row>
    <row r="944">
      <c r="F944" s="61"/>
      <c r="G944" s="61"/>
      <c r="H944" s="61"/>
      <c r="I944" s="61"/>
      <c r="J944" s="61"/>
      <c r="K944" s="61"/>
      <c r="L944" s="61"/>
      <c r="M944" s="61"/>
      <c r="N944" s="61"/>
    </row>
    <row r="945">
      <c r="F945" s="61"/>
      <c r="G945" s="61"/>
      <c r="H945" s="61"/>
      <c r="I945" s="61"/>
      <c r="J945" s="61"/>
      <c r="K945" s="61"/>
      <c r="L945" s="61"/>
      <c r="M945" s="61"/>
      <c r="N945" s="61"/>
    </row>
    <row r="946">
      <c r="F946" s="61"/>
      <c r="G946" s="61"/>
      <c r="H946" s="61"/>
      <c r="I946" s="61"/>
      <c r="J946" s="61"/>
      <c r="K946" s="61"/>
      <c r="L946" s="61"/>
      <c r="M946" s="61"/>
      <c r="N946" s="61"/>
    </row>
    <row r="947">
      <c r="F947" s="61"/>
      <c r="G947" s="61"/>
      <c r="H947" s="61"/>
      <c r="I947" s="61"/>
      <c r="J947" s="61"/>
      <c r="K947" s="61"/>
      <c r="L947" s="61"/>
      <c r="M947" s="61"/>
      <c r="N947" s="61"/>
    </row>
    <row r="948">
      <c r="F948" s="61"/>
      <c r="G948" s="61"/>
      <c r="H948" s="61"/>
      <c r="I948" s="61"/>
      <c r="J948" s="61"/>
      <c r="K948" s="61"/>
      <c r="L948" s="61"/>
      <c r="M948" s="61"/>
      <c r="N948" s="61"/>
    </row>
    <row r="949">
      <c r="F949" s="61"/>
      <c r="G949" s="61"/>
      <c r="H949" s="61"/>
      <c r="I949" s="61"/>
      <c r="J949" s="61"/>
      <c r="K949" s="61"/>
      <c r="L949" s="61"/>
      <c r="M949" s="61"/>
      <c r="N949" s="61"/>
    </row>
    <row r="950">
      <c r="F950" s="61"/>
      <c r="G950" s="61"/>
      <c r="H950" s="61"/>
      <c r="I950" s="61"/>
      <c r="J950" s="61"/>
      <c r="K950" s="61"/>
      <c r="L950" s="61"/>
      <c r="M950" s="61"/>
      <c r="N950" s="61"/>
    </row>
    <row r="951">
      <c r="F951" s="61"/>
      <c r="G951" s="61"/>
      <c r="H951" s="61"/>
      <c r="I951" s="61"/>
      <c r="J951" s="61"/>
      <c r="K951" s="61"/>
      <c r="L951" s="61"/>
      <c r="M951" s="61"/>
      <c r="N951" s="61"/>
    </row>
    <row r="952">
      <c r="F952" s="61"/>
      <c r="G952" s="61"/>
      <c r="H952" s="61"/>
      <c r="I952" s="61"/>
      <c r="J952" s="61"/>
      <c r="K952" s="61"/>
      <c r="L952" s="61"/>
      <c r="M952" s="61"/>
      <c r="N952" s="61"/>
    </row>
    <row r="953">
      <c r="F953" s="61"/>
      <c r="G953" s="61"/>
      <c r="H953" s="61"/>
      <c r="I953" s="61"/>
      <c r="J953" s="61"/>
      <c r="K953" s="61"/>
      <c r="L953" s="61"/>
      <c r="M953" s="61"/>
      <c r="N953" s="61"/>
    </row>
    <row r="954">
      <c r="F954" s="61"/>
      <c r="G954" s="61"/>
      <c r="H954" s="61"/>
      <c r="I954" s="61"/>
      <c r="J954" s="61"/>
      <c r="K954" s="61"/>
      <c r="L954" s="61"/>
      <c r="M954" s="61"/>
      <c r="N954" s="61"/>
    </row>
    <row r="955">
      <c r="F955" s="61"/>
      <c r="G955" s="61"/>
      <c r="H955" s="61"/>
      <c r="I955" s="61"/>
      <c r="J955" s="61"/>
      <c r="K955" s="61"/>
      <c r="L955" s="61"/>
      <c r="M955" s="61"/>
      <c r="N955" s="61"/>
    </row>
    <row r="956">
      <c r="F956" s="61"/>
      <c r="G956" s="61"/>
      <c r="H956" s="61"/>
      <c r="I956" s="61"/>
      <c r="J956" s="61"/>
      <c r="K956" s="61"/>
      <c r="L956" s="61"/>
      <c r="M956" s="61"/>
      <c r="N956" s="61"/>
    </row>
    <row r="957">
      <c r="F957" s="61"/>
      <c r="G957" s="61"/>
      <c r="H957" s="61"/>
      <c r="I957" s="61"/>
      <c r="J957" s="61"/>
      <c r="K957" s="61"/>
      <c r="L957" s="61"/>
      <c r="M957" s="61"/>
      <c r="N957" s="61"/>
    </row>
    <row r="958">
      <c r="F958" s="61"/>
      <c r="G958" s="61"/>
      <c r="H958" s="61"/>
      <c r="I958" s="61"/>
      <c r="J958" s="61"/>
      <c r="K958" s="61"/>
      <c r="L958" s="61"/>
      <c r="M958" s="61"/>
      <c r="N958" s="61"/>
    </row>
    <row r="959">
      <c r="F959" s="61"/>
      <c r="G959" s="61"/>
      <c r="H959" s="61"/>
      <c r="I959" s="61"/>
      <c r="J959" s="61"/>
      <c r="K959" s="61"/>
      <c r="L959" s="61"/>
      <c r="M959" s="61"/>
      <c r="N959" s="61"/>
    </row>
    <row r="960">
      <c r="F960" s="61"/>
      <c r="G960" s="61"/>
      <c r="H960" s="61"/>
      <c r="I960" s="61"/>
      <c r="J960" s="61"/>
      <c r="K960" s="61"/>
      <c r="L960" s="61"/>
      <c r="M960" s="61"/>
      <c r="N960" s="61"/>
    </row>
    <row r="961">
      <c r="F961" s="61"/>
      <c r="G961" s="61"/>
      <c r="H961" s="61"/>
      <c r="I961" s="61"/>
      <c r="J961" s="61"/>
      <c r="K961" s="61"/>
      <c r="L961" s="61"/>
      <c r="M961" s="61"/>
      <c r="N961" s="61"/>
    </row>
    <row r="962">
      <c r="F962" s="61"/>
      <c r="G962" s="61"/>
      <c r="H962" s="61"/>
      <c r="I962" s="61"/>
      <c r="J962" s="61"/>
      <c r="K962" s="61"/>
      <c r="L962" s="61"/>
      <c r="M962" s="61"/>
      <c r="N962" s="61"/>
    </row>
    <row r="963">
      <c r="F963" s="61"/>
      <c r="G963" s="61"/>
      <c r="H963" s="61"/>
      <c r="I963" s="61"/>
      <c r="J963" s="61"/>
      <c r="K963" s="61"/>
      <c r="L963" s="61"/>
      <c r="M963" s="61"/>
      <c r="N963" s="61"/>
    </row>
    <row r="964">
      <c r="F964" s="61"/>
      <c r="G964" s="61"/>
      <c r="H964" s="61"/>
      <c r="I964" s="61"/>
      <c r="J964" s="61"/>
      <c r="K964" s="61"/>
      <c r="L964" s="61"/>
      <c r="M964" s="61"/>
      <c r="N964" s="61"/>
    </row>
    <row r="965">
      <c r="F965" s="61"/>
      <c r="G965" s="61"/>
      <c r="H965" s="61"/>
      <c r="I965" s="61"/>
      <c r="J965" s="61"/>
      <c r="K965" s="61"/>
      <c r="L965" s="61"/>
      <c r="M965" s="61"/>
      <c r="N965" s="61"/>
    </row>
    <row r="966">
      <c r="F966" s="61"/>
      <c r="G966" s="61"/>
      <c r="H966" s="61"/>
      <c r="I966" s="61"/>
      <c r="J966" s="61"/>
      <c r="K966" s="61"/>
      <c r="L966" s="61"/>
      <c r="M966" s="61"/>
      <c r="N966" s="61"/>
    </row>
    <row r="967">
      <c r="F967" s="61"/>
      <c r="G967" s="61"/>
      <c r="H967" s="61"/>
      <c r="I967" s="61"/>
      <c r="J967" s="61"/>
      <c r="K967" s="61"/>
      <c r="L967" s="61"/>
      <c r="M967" s="61"/>
      <c r="N967" s="61"/>
    </row>
    <row r="968">
      <c r="F968" s="61"/>
      <c r="G968" s="61"/>
      <c r="H968" s="61"/>
      <c r="I968" s="61"/>
      <c r="J968" s="61"/>
      <c r="K968" s="61"/>
      <c r="L968" s="61"/>
      <c r="M968" s="61"/>
      <c r="N968" s="61"/>
    </row>
    <row r="969">
      <c r="F969" s="61"/>
      <c r="G969" s="61"/>
      <c r="H969" s="61"/>
      <c r="I969" s="61"/>
      <c r="J969" s="61"/>
      <c r="K969" s="61"/>
      <c r="L969" s="61"/>
      <c r="M969" s="61"/>
      <c r="N969" s="61"/>
    </row>
    <row r="970">
      <c r="F970" s="61"/>
      <c r="G970" s="61"/>
      <c r="H970" s="61"/>
      <c r="I970" s="61"/>
      <c r="J970" s="61"/>
      <c r="K970" s="61"/>
      <c r="L970" s="61"/>
      <c r="M970" s="61"/>
      <c r="N970" s="61"/>
    </row>
    <row r="971">
      <c r="F971" s="61"/>
      <c r="G971" s="61"/>
      <c r="H971" s="61"/>
      <c r="I971" s="61"/>
      <c r="J971" s="61"/>
      <c r="K971" s="61"/>
      <c r="L971" s="61"/>
      <c r="M971" s="61"/>
      <c r="N971" s="61"/>
    </row>
    <row r="972">
      <c r="F972" s="61"/>
      <c r="G972" s="61"/>
      <c r="H972" s="61"/>
      <c r="I972" s="61"/>
      <c r="J972" s="61"/>
      <c r="K972" s="61"/>
      <c r="L972" s="61"/>
      <c r="M972" s="61"/>
      <c r="N972" s="61"/>
    </row>
    <row r="973">
      <c r="F973" s="61"/>
      <c r="G973" s="61"/>
      <c r="H973" s="61"/>
      <c r="I973" s="61"/>
      <c r="J973" s="61"/>
      <c r="K973" s="61"/>
      <c r="L973" s="61"/>
      <c r="M973" s="61"/>
      <c r="N973" s="61"/>
    </row>
    <row r="974">
      <c r="F974" s="61"/>
      <c r="G974" s="61"/>
      <c r="H974" s="61"/>
      <c r="I974" s="61"/>
      <c r="J974" s="61"/>
      <c r="K974" s="61"/>
      <c r="L974" s="61"/>
      <c r="M974" s="61"/>
      <c r="N974" s="61"/>
    </row>
    <row r="975">
      <c r="F975" s="61"/>
      <c r="G975" s="61"/>
      <c r="H975" s="61"/>
      <c r="I975" s="61"/>
      <c r="J975" s="61"/>
      <c r="K975" s="61"/>
      <c r="L975" s="61"/>
      <c r="M975" s="61"/>
      <c r="N975" s="61"/>
    </row>
    <row r="976">
      <c r="F976" s="61"/>
      <c r="G976" s="61"/>
      <c r="H976" s="61"/>
      <c r="I976" s="61"/>
      <c r="J976" s="61"/>
      <c r="K976" s="61"/>
      <c r="L976" s="61"/>
      <c r="M976" s="61"/>
      <c r="N976" s="61"/>
    </row>
    <row r="977">
      <c r="F977" s="61"/>
      <c r="G977" s="61"/>
      <c r="H977" s="61"/>
      <c r="I977" s="61"/>
      <c r="J977" s="61"/>
      <c r="K977" s="61"/>
      <c r="L977" s="61"/>
      <c r="M977" s="61"/>
      <c r="N977" s="61"/>
    </row>
    <row r="978">
      <c r="F978" s="61"/>
      <c r="G978" s="61"/>
      <c r="H978" s="61"/>
      <c r="I978" s="61"/>
      <c r="J978" s="61"/>
      <c r="K978" s="61"/>
      <c r="L978" s="61"/>
      <c r="M978" s="61"/>
      <c r="N978" s="61"/>
    </row>
    <row r="979">
      <c r="F979" s="61"/>
      <c r="G979" s="61"/>
      <c r="H979" s="61"/>
      <c r="I979" s="61"/>
      <c r="J979" s="61"/>
      <c r="K979" s="61"/>
      <c r="L979" s="61"/>
      <c r="M979" s="61"/>
      <c r="N979" s="61"/>
    </row>
    <row r="980">
      <c r="F980" s="61"/>
      <c r="G980" s="61"/>
      <c r="H980" s="61"/>
      <c r="I980" s="61"/>
      <c r="J980" s="61"/>
      <c r="K980" s="61"/>
      <c r="L980" s="61"/>
      <c r="M980" s="61"/>
      <c r="N980" s="61"/>
    </row>
    <row r="981">
      <c r="F981" s="61"/>
      <c r="G981" s="61"/>
      <c r="H981" s="61"/>
      <c r="I981" s="61"/>
      <c r="J981" s="61"/>
      <c r="K981" s="61"/>
      <c r="L981" s="61"/>
      <c r="M981" s="61"/>
      <c r="N981" s="61"/>
    </row>
    <row r="982">
      <c r="F982" s="61"/>
      <c r="G982" s="61"/>
      <c r="H982" s="61"/>
      <c r="I982" s="61"/>
      <c r="J982" s="61"/>
      <c r="K982" s="61"/>
      <c r="L982" s="61"/>
      <c r="M982" s="61"/>
      <c r="N982" s="61"/>
    </row>
    <row r="983">
      <c r="F983" s="61"/>
      <c r="G983" s="61"/>
      <c r="H983" s="61"/>
      <c r="I983" s="61"/>
      <c r="J983" s="61"/>
      <c r="K983" s="61"/>
      <c r="L983" s="61"/>
      <c r="M983" s="61"/>
      <c r="N983" s="61"/>
    </row>
    <row r="984">
      <c r="F984" s="61"/>
      <c r="G984" s="61"/>
      <c r="H984" s="61"/>
      <c r="I984" s="61"/>
      <c r="J984" s="61"/>
      <c r="K984" s="61"/>
      <c r="L984" s="61"/>
      <c r="M984" s="61"/>
      <c r="N984" s="61"/>
    </row>
    <row r="985">
      <c r="F985" s="61"/>
      <c r="G985" s="61"/>
      <c r="H985" s="61"/>
      <c r="I985" s="61"/>
      <c r="J985" s="61"/>
      <c r="K985" s="61"/>
      <c r="L985" s="61"/>
      <c r="M985" s="61"/>
      <c r="N985" s="61"/>
    </row>
    <row r="986">
      <c r="F986" s="61"/>
      <c r="G986" s="61"/>
      <c r="H986" s="61"/>
      <c r="I986" s="61"/>
      <c r="J986" s="61"/>
      <c r="K986" s="61"/>
      <c r="L986" s="61"/>
      <c r="M986" s="61"/>
      <c r="N986" s="61"/>
    </row>
    <row r="987">
      <c r="F987" s="61"/>
      <c r="G987" s="61"/>
      <c r="H987" s="61"/>
      <c r="I987" s="61"/>
      <c r="J987" s="61"/>
      <c r="K987" s="61"/>
      <c r="L987" s="61"/>
      <c r="M987" s="61"/>
      <c r="N987" s="61"/>
    </row>
    <row r="988">
      <c r="F988" s="61"/>
      <c r="G988" s="61"/>
      <c r="H988" s="61"/>
      <c r="I988" s="61"/>
      <c r="J988" s="61"/>
      <c r="K988" s="61"/>
      <c r="L988" s="61"/>
      <c r="M988" s="61"/>
      <c r="N988" s="61"/>
    </row>
    <row r="989">
      <c r="F989" s="61"/>
      <c r="G989" s="61"/>
      <c r="H989" s="61"/>
      <c r="I989" s="61"/>
      <c r="J989" s="61"/>
      <c r="K989" s="61"/>
      <c r="L989" s="61"/>
      <c r="M989" s="61"/>
      <c r="N989" s="61"/>
    </row>
    <row r="990">
      <c r="F990" s="61"/>
      <c r="G990" s="61"/>
      <c r="H990" s="61"/>
      <c r="I990" s="61"/>
      <c r="J990" s="61"/>
      <c r="K990" s="61"/>
      <c r="L990" s="61"/>
      <c r="M990" s="61"/>
      <c r="N990" s="61"/>
    </row>
    <row r="991">
      <c r="F991" s="61"/>
      <c r="G991" s="61"/>
      <c r="H991" s="61"/>
      <c r="I991" s="61"/>
      <c r="J991" s="61"/>
      <c r="K991" s="61"/>
      <c r="L991" s="61"/>
      <c r="M991" s="61"/>
      <c r="N991" s="61"/>
    </row>
    <row r="992">
      <c r="F992" s="61"/>
      <c r="G992" s="61"/>
      <c r="H992" s="61"/>
      <c r="I992" s="61"/>
      <c r="J992" s="61"/>
      <c r="K992" s="61"/>
      <c r="L992" s="61"/>
      <c r="M992" s="61"/>
      <c r="N992" s="61"/>
    </row>
    <row r="993">
      <c r="F993" s="61"/>
      <c r="G993" s="61"/>
      <c r="H993" s="61"/>
      <c r="I993" s="61"/>
      <c r="J993" s="61"/>
      <c r="K993" s="61"/>
      <c r="L993" s="61"/>
      <c r="M993" s="61"/>
      <c r="N993" s="61"/>
    </row>
    <row r="994">
      <c r="F994" s="61"/>
      <c r="G994" s="61"/>
      <c r="H994" s="61"/>
      <c r="I994" s="61"/>
      <c r="J994" s="61"/>
      <c r="K994" s="61"/>
      <c r="L994" s="61"/>
      <c r="M994" s="61"/>
      <c r="N994" s="61"/>
    </row>
    <row r="995">
      <c r="F995" s="61"/>
      <c r="G995" s="61"/>
      <c r="H995" s="61"/>
      <c r="I995" s="61"/>
      <c r="J995" s="61"/>
      <c r="K995" s="61"/>
      <c r="L995" s="61"/>
      <c r="M995" s="61"/>
      <c r="N995" s="61"/>
    </row>
    <row r="996">
      <c r="F996" s="61"/>
      <c r="G996" s="61"/>
      <c r="H996" s="61"/>
      <c r="I996" s="61"/>
      <c r="J996" s="61"/>
      <c r="K996" s="61"/>
      <c r="L996" s="61"/>
      <c r="M996" s="61"/>
      <c r="N996" s="61"/>
    </row>
    <row r="997">
      <c r="F997" s="61"/>
      <c r="G997" s="61"/>
      <c r="H997" s="61"/>
      <c r="I997" s="61"/>
      <c r="J997" s="61"/>
      <c r="K997" s="61"/>
      <c r="L997" s="61"/>
      <c r="M997" s="61"/>
      <c r="N997" s="61"/>
    </row>
    <row r="998">
      <c r="F998" s="61"/>
      <c r="G998" s="61"/>
      <c r="H998" s="61"/>
      <c r="I998" s="61"/>
      <c r="J998" s="61"/>
      <c r="K998" s="61"/>
      <c r="L998" s="61"/>
      <c r="M998" s="61"/>
      <c r="N998" s="61"/>
    </row>
    <row r="999">
      <c r="F999" s="61"/>
      <c r="G999" s="61"/>
      <c r="H999" s="61"/>
      <c r="I999" s="61"/>
      <c r="J999" s="61"/>
      <c r="K999" s="61"/>
      <c r="L999" s="61"/>
      <c r="M999" s="61"/>
      <c r="N999" s="61"/>
    </row>
    <row r="1000">
      <c r="F1000" s="61"/>
      <c r="G1000" s="61"/>
      <c r="H1000" s="61"/>
      <c r="I1000" s="61"/>
      <c r="J1000" s="61"/>
      <c r="K1000" s="61"/>
      <c r="L1000" s="61"/>
      <c r="M1000" s="61"/>
      <c r="N1000" s="61"/>
    </row>
  </sheetData>
  <mergeCells count="9">
    <mergeCell ref="F36:N36"/>
    <mergeCell ref="F40:N40"/>
    <mergeCell ref="F2:N2"/>
    <mergeCell ref="F6:N6"/>
    <mergeCell ref="F12:N12"/>
    <mergeCell ref="F18:N18"/>
    <mergeCell ref="F22:N22"/>
    <mergeCell ref="F26:N26"/>
    <mergeCell ref="F32:N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8.0"/>
    <col customWidth="1" min="3" max="3" width="19.13"/>
    <col customWidth="1" min="4" max="4" width="26.75"/>
    <col customWidth="1" min="5" max="5" width="7.38"/>
    <col customWidth="1" min="6" max="6" width="14.63"/>
    <col customWidth="1" min="7" max="7" width="16.5"/>
    <col customWidth="1" min="8" max="8" width="14.0"/>
    <col customWidth="1" min="9" max="9" width="5.88"/>
    <col customWidth="1" min="10" max="10" width="11.5"/>
    <col customWidth="1" min="11" max="11" width="16.63"/>
    <col customWidth="1" min="12" max="13" width="11.5"/>
    <col customWidth="1" min="14" max="14" width="13.13"/>
    <col customWidth="1" min="15" max="15" width="11.5"/>
  </cols>
  <sheetData>
    <row r="1">
      <c r="A1" s="60" t="s">
        <v>89</v>
      </c>
      <c r="B1" s="60" t="s">
        <v>51</v>
      </c>
    </row>
    <row r="2">
      <c r="A2" s="62" t="s">
        <v>52</v>
      </c>
      <c r="B2" s="62" t="s">
        <v>53</v>
      </c>
      <c r="C2" s="62" t="s">
        <v>54</v>
      </c>
      <c r="D2" s="62" t="s">
        <v>55</v>
      </c>
      <c r="E2" s="62" t="s">
        <v>56</v>
      </c>
      <c r="F2" s="63" t="s">
        <v>57</v>
      </c>
    </row>
    <row r="3">
      <c r="C3" s="64" t="s">
        <v>93</v>
      </c>
      <c r="D3" s="65" t="s">
        <v>59</v>
      </c>
      <c r="E3" s="66">
        <v>60.0</v>
      </c>
    </row>
    <row r="5">
      <c r="A5" s="60" t="s">
        <v>75</v>
      </c>
      <c r="B5" s="60" t="s">
        <v>63</v>
      </c>
    </row>
    <row r="6">
      <c r="A6" s="62" t="s">
        <v>52</v>
      </c>
      <c r="B6" s="62" t="s">
        <v>53</v>
      </c>
      <c r="C6" s="62" t="s">
        <v>54</v>
      </c>
      <c r="D6" s="62" t="s">
        <v>55</v>
      </c>
      <c r="E6" s="62" t="s">
        <v>56</v>
      </c>
      <c r="F6" s="63" t="s">
        <v>57</v>
      </c>
    </row>
    <row r="7">
      <c r="C7" s="64" t="s">
        <v>94</v>
      </c>
      <c r="D7" s="65" t="s">
        <v>77</v>
      </c>
      <c r="E7" s="66">
        <v>150.0</v>
      </c>
      <c r="F7" s="69" t="s">
        <v>60</v>
      </c>
      <c r="G7" s="69" t="s">
        <v>61</v>
      </c>
      <c r="H7" s="69" t="s">
        <v>14</v>
      </c>
      <c r="I7" s="69" t="s">
        <v>15</v>
      </c>
      <c r="J7" s="69" t="s">
        <v>46</v>
      </c>
    </row>
    <row r="8">
      <c r="F8" s="70">
        <v>150.0</v>
      </c>
      <c r="G8" s="70">
        <v>150.0</v>
      </c>
      <c r="H8" s="70">
        <v>6000.0</v>
      </c>
      <c r="I8" s="70">
        <v>5250.0</v>
      </c>
      <c r="J8" s="70">
        <v>150.0</v>
      </c>
    </row>
    <row r="9">
      <c r="A9" s="60" t="s">
        <v>75</v>
      </c>
      <c r="B9" s="60" t="s">
        <v>63</v>
      </c>
    </row>
    <row r="10">
      <c r="A10" s="62" t="s">
        <v>52</v>
      </c>
      <c r="B10" s="62" t="s">
        <v>53</v>
      </c>
      <c r="C10" s="62" t="s">
        <v>54</v>
      </c>
      <c r="D10" s="62" t="s">
        <v>55</v>
      </c>
      <c r="E10" s="62" t="s">
        <v>56</v>
      </c>
      <c r="F10" s="63" t="s">
        <v>57</v>
      </c>
    </row>
    <row r="11">
      <c r="C11" s="64" t="s">
        <v>76</v>
      </c>
      <c r="D11" s="65" t="s">
        <v>88</v>
      </c>
      <c r="E11" s="66">
        <v>350.0</v>
      </c>
      <c r="F11" s="69" t="s">
        <v>71</v>
      </c>
      <c r="G11" s="69" t="s">
        <v>74</v>
      </c>
      <c r="H11" s="69" t="s">
        <v>13</v>
      </c>
      <c r="I11" s="69" t="s">
        <v>15</v>
      </c>
      <c r="J11" s="69" t="s">
        <v>47</v>
      </c>
    </row>
    <row r="12">
      <c r="F12" s="70">
        <v>350.0</v>
      </c>
      <c r="G12" s="70">
        <v>35000.0</v>
      </c>
      <c r="H12" s="70">
        <v>350.0</v>
      </c>
      <c r="I12" s="70">
        <v>12250.0</v>
      </c>
      <c r="J12" s="70">
        <v>350.0</v>
      </c>
    </row>
    <row r="13">
      <c r="A13" s="60" t="s">
        <v>75</v>
      </c>
      <c r="B13" s="60" t="s">
        <v>95</v>
      </c>
    </row>
    <row r="14">
      <c r="A14" s="62" t="s">
        <v>52</v>
      </c>
      <c r="B14" s="62" t="s">
        <v>53</v>
      </c>
      <c r="C14" s="62" t="s">
        <v>54</v>
      </c>
      <c r="D14" s="62" t="s">
        <v>55</v>
      </c>
      <c r="E14" s="62" t="s">
        <v>56</v>
      </c>
      <c r="F14" s="63" t="s">
        <v>57</v>
      </c>
    </row>
    <row r="15">
      <c r="C15" s="64" t="s">
        <v>96</v>
      </c>
      <c r="D15" s="65" t="s">
        <v>97</v>
      </c>
      <c r="E15" s="66">
        <v>108.0</v>
      </c>
    </row>
    <row r="17">
      <c r="D17" s="65" t="s">
        <v>98</v>
      </c>
      <c r="E17" s="66">
        <v>72.0</v>
      </c>
    </row>
    <row r="19">
      <c r="D19" s="65" t="s">
        <v>97</v>
      </c>
      <c r="E19" s="66">
        <v>69.0</v>
      </c>
    </row>
    <row r="21">
      <c r="D21" s="65" t="s">
        <v>98</v>
      </c>
      <c r="E21" s="66">
        <v>46.0</v>
      </c>
    </row>
    <row r="23">
      <c r="D23" s="65" t="s">
        <v>99</v>
      </c>
      <c r="E23" s="66">
        <v>1.0</v>
      </c>
    </row>
    <row r="25">
      <c r="D25" s="65" t="s">
        <v>100</v>
      </c>
      <c r="E25" s="66">
        <v>1.0</v>
      </c>
    </row>
    <row r="27">
      <c r="A27" s="60" t="s">
        <v>75</v>
      </c>
      <c r="B27" s="60" t="s">
        <v>68</v>
      </c>
    </row>
    <row r="28">
      <c r="A28" s="62" t="s">
        <v>52</v>
      </c>
      <c r="B28" s="62" t="s">
        <v>53</v>
      </c>
      <c r="C28" s="62" t="s">
        <v>54</v>
      </c>
      <c r="D28" s="62" t="s">
        <v>55</v>
      </c>
      <c r="E28" s="62" t="s">
        <v>56</v>
      </c>
      <c r="F28" s="63" t="s">
        <v>57</v>
      </c>
    </row>
    <row r="29">
      <c r="C29" s="64" t="s">
        <v>101</v>
      </c>
      <c r="D29" s="65" t="s">
        <v>77</v>
      </c>
      <c r="E29" s="66">
        <v>1025.0</v>
      </c>
      <c r="F29" s="69" t="s">
        <v>60</v>
      </c>
      <c r="G29" s="69" t="s">
        <v>61</v>
      </c>
      <c r="H29" s="69" t="s">
        <v>14</v>
      </c>
      <c r="I29" s="69" t="s">
        <v>15</v>
      </c>
      <c r="J29" s="69" t="s">
        <v>46</v>
      </c>
    </row>
    <row r="30">
      <c r="F30" s="70">
        <v>1025.0</v>
      </c>
      <c r="G30" s="70">
        <v>1025.0</v>
      </c>
      <c r="H30" s="70">
        <v>41000.0</v>
      </c>
      <c r="I30" s="70">
        <v>35875.0</v>
      </c>
      <c r="J30" s="70">
        <v>1025.0</v>
      </c>
    </row>
    <row r="31">
      <c r="D31" s="65" t="s">
        <v>102</v>
      </c>
      <c r="E31" s="66">
        <v>25.0</v>
      </c>
    </row>
    <row r="33">
      <c r="A33" s="60" t="s">
        <v>75</v>
      </c>
      <c r="B33" s="60" t="s">
        <v>68</v>
      </c>
    </row>
    <row r="34">
      <c r="A34" s="62" t="s">
        <v>52</v>
      </c>
      <c r="B34" s="62" t="s">
        <v>53</v>
      </c>
      <c r="C34" s="62" t="s">
        <v>54</v>
      </c>
      <c r="D34" s="62" t="s">
        <v>55</v>
      </c>
      <c r="E34" s="62" t="s">
        <v>56</v>
      </c>
      <c r="F34" s="63" t="s">
        <v>57</v>
      </c>
    </row>
    <row r="35">
      <c r="C35" s="64" t="s">
        <v>96</v>
      </c>
      <c r="D35" s="65" t="s">
        <v>97</v>
      </c>
      <c r="E35" s="66">
        <v>57.0</v>
      </c>
    </row>
    <row r="37">
      <c r="D37" s="65" t="s">
        <v>98</v>
      </c>
      <c r="E37" s="66">
        <v>38.0</v>
      </c>
    </row>
    <row r="39">
      <c r="A39" s="60" t="s">
        <v>75</v>
      </c>
      <c r="B39" s="60" t="s">
        <v>68</v>
      </c>
    </row>
    <row r="40">
      <c r="A40" s="62" t="s">
        <v>52</v>
      </c>
      <c r="B40" s="62" t="s">
        <v>53</v>
      </c>
      <c r="C40" s="62" t="s">
        <v>54</v>
      </c>
      <c r="D40" s="62" t="s">
        <v>55</v>
      </c>
      <c r="E40" s="62" t="s">
        <v>56</v>
      </c>
      <c r="F40" s="63" t="s">
        <v>57</v>
      </c>
    </row>
    <row r="41">
      <c r="C41" s="64" t="s">
        <v>103</v>
      </c>
      <c r="D41" s="65" t="s">
        <v>84</v>
      </c>
      <c r="E41" s="66">
        <v>60.0</v>
      </c>
      <c r="F41" s="69" t="s">
        <v>71</v>
      </c>
      <c r="G41" s="69" t="s">
        <v>85</v>
      </c>
      <c r="H41" s="69" t="s">
        <v>13</v>
      </c>
      <c r="I41" s="69" t="s">
        <v>19</v>
      </c>
      <c r="J41" s="69" t="s">
        <v>20</v>
      </c>
      <c r="K41" s="69" t="s">
        <v>21</v>
      </c>
      <c r="L41" s="69" t="s">
        <v>27</v>
      </c>
      <c r="M41" s="69" t="s">
        <v>28</v>
      </c>
      <c r="N41" s="69" t="s">
        <v>29</v>
      </c>
      <c r="O41" s="69" t="s">
        <v>47</v>
      </c>
    </row>
    <row r="42">
      <c r="F42" s="70">
        <v>60.0</v>
      </c>
      <c r="G42" s="70">
        <v>6000.0</v>
      </c>
      <c r="H42" s="70">
        <v>60.0</v>
      </c>
      <c r="I42" s="70">
        <v>60.0</v>
      </c>
      <c r="J42" s="70">
        <v>1200.0</v>
      </c>
      <c r="K42" s="70">
        <v>1200.0</v>
      </c>
      <c r="L42" s="70">
        <v>600.0</v>
      </c>
      <c r="M42" s="70">
        <v>600.0</v>
      </c>
      <c r="N42" s="70">
        <v>600.0</v>
      </c>
      <c r="O42" s="70">
        <v>60.0</v>
      </c>
    </row>
    <row r="43">
      <c r="D43" s="65" t="s">
        <v>104</v>
      </c>
      <c r="E43" s="66">
        <v>60.0</v>
      </c>
      <c r="F43" s="69" t="s">
        <v>71</v>
      </c>
      <c r="G43" s="69" t="s">
        <v>81</v>
      </c>
      <c r="H43" s="69" t="s">
        <v>13</v>
      </c>
      <c r="I43" s="69" t="s">
        <v>15</v>
      </c>
      <c r="J43" s="69" t="s">
        <v>47</v>
      </c>
    </row>
    <row r="44">
      <c r="F44" s="70">
        <v>60.0</v>
      </c>
      <c r="G44" s="70">
        <v>60.0</v>
      </c>
      <c r="H44" s="70">
        <v>60.0</v>
      </c>
      <c r="I44" s="70">
        <v>2100.0</v>
      </c>
      <c r="J44" s="70">
        <v>60.0</v>
      </c>
    </row>
    <row r="45">
      <c r="D45" s="65" t="s">
        <v>105</v>
      </c>
      <c r="E45" s="66">
        <v>3.0</v>
      </c>
    </row>
    <row r="47">
      <c r="D47" s="65" t="s">
        <v>106</v>
      </c>
      <c r="E47" s="66">
        <v>3.0</v>
      </c>
    </row>
    <row r="49">
      <c r="A49" s="60" t="s">
        <v>75</v>
      </c>
      <c r="B49" s="60" t="s">
        <v>68</v>
      </c>
    </row>
    <row r="50">
      <c r="A50" s="62" t="s">
        <v>52</v>
      </c>
      <c r="B50" s="62" t="s">
        <v>53</v>
      </c>
      <c r="C50" s="62" t="s">
        <v>54</v>
      </c>
      <c r="D50" s="62" t="s">
        <v>55</v>
      </c>
      <c r="E50" s="62" t="s">
        <v>56</v>
      </c>
      <c r="F50" s="63" t="s">
        <v>57</v>
      </c>
    </row>
    <row r="51">
      <c r="C51" s="64" t="s">
        <v>76</v>
      </c>
      <c r="D51" s="65" t="s">
        <v>77</v>
      </c>
      <c r="E51" s="66">
        <v>138.0</v>
      </c>
      <c r="F51" s="69" t="s">
        <v>60</v>
      </c>
      <c r="G51" s="69" t="s">
        <v>61</v>
      </c>
      <c r="H51" s="69" t="s">
        <v>14</v>
      </c>
      <c r="I51" s="69" t="s">
        <v>15</v>
      </c>
      <c r="J51" s="69" t="s">
        <v>46</v>
      </c>
    </row>
    <row r="52">
      <c r="F52" s="70">
        <v>138.0</v>
      </c>
      <c r="G52" s="70">
        <v>138.0</v>
      </c>
      <c r="H52" s="70">
        <v>5520.0</v>
      </c>
      <c r="I52" s="70">
        <v>4830.0</v>
      </c>
      <c r="J52" s="70">
        <v>138.0</v>
      </c>
    </row>
    <row r="53">
      <c r="A53" s="60" t="s">
        <v>75</v>
      </c>
      <c r="B53" s="60" t="s">
        <v>78</v>
      </c>
    </row>
    <row r="54">
      <c r="A54" s="62" t="s">
        <v>52</v>
      </c>
      <c r="B54" s="62" t="s">
        <v>53</v>
      </c>
      <c r="C54" s="62" t="s">
        <v>54</v>
      </c>
      <c r="D54" s="62" t="s">
        <v>55</v>
      </c>
      <c r="E54" s="62" t="s">
        <v>56</v>
      </c>
      <c r="F54" s="63" t="s">
        <v>57</v>
      </c>
    </row>
    <row r="55">
      <c r="C55" s="64" t="s">
        <v>107</v>
      </c>
      <c r="D55" s="65" t="s">
        <v>77</v>
      </c>
      <c r="E55" s="66">
        <v>80.0</v>
      </c>
      <c r="F55" s="69" t="s">
        <v>60</v>
      </c>
      <c r="G55" s="69" t="s">
        <v>61</v>
      </c>
      <c r="H55" s="69" t="s">
        <v>14</v>
      </c>
      <c r="I55" s="69" t="s">
        <v>15</v>
      </c>
      <c r="J55" s="69" t="s">
        <v>46</v>
      </c>
    </row>
    <row r="56">
      <c r="F56" s="70">
        <v>80.0</v>
      </c>
      <c r="G56" s="70">
        <v>80.0</v>
      </c>
      <c r="H56" s="70">
        <v>3200.0</v>
      </c>
      <c r="I56" s="70">
        <v>2800.0</v>
      </c>
      <c r="J56" s="70">
        <v>80.0</v>
      </c>
    </row>
    <row r="57">
      <c r="A57" s="60" t="s">
        <v>50</v>
      </c>
      <c r="B57" s="60" t="s">
        <v>82</v>
      </c>
    </row>
    <row r="58">
      <c r="A58" s="62" t="s">
        <v>52</v>
      </c>
      <c r="B58" s="62" t="s">
        <v>53</v>
      </c>
      <c r="C58" s="62" t="s">
        <v>54</v>
      </c>
      <c r="D58" s="62" t="s">
        <v>55</v>
      </c>
      <c r="E58" s="62" t="s">
        <v>56</v>
      </c>
      <c r="F58" s="63" t="s">
        <v>57</v>
      </c>
    </row>
    <row r="59">
      <c r="C59" s="64" t="s">
        <v>108</v>
      </c>
      <c r="D59" s="65" t="s">
        <v>109</v>
      </c>
      <c r="E59" s="66">
        <v>70.0</v>
      </c>
    </row>
    <row r="61">
      <c r="D61" s="65" t="s">
        <v>110</v>
      </c>
      <c r="E61" s="66">
        <v>20.0</v>
      </c>
    </row>
    <row r="63">
      <c r="A63" s="60" t="s">
        <v>62</v>
      </c>
      <c r="B63" s="60" t="s">
        <v>82</v>
      </c>
    </row>
    <row r="64">
      <c r="A64" s="62" t="s">
        <v>52</v>
      </c>
      <c r="B64" s="62" t="s">
        <v>53</v>
      </c>
      <c r="C64" s="62" t="s">
        <v>54</v>
      </c>
      <c r="D64" s="62" t="s">
        <v>55</v>
      </c>
      <c r="E64" s="62" t="s">
        <v>56</v>
      </c>
      <c r="F64" s="63" t="s">
        <v>57</v>
      </c>
    </row>
    <row r="65">
      <c r="C65" s="64" t="s">
        <v>111</v>
      </c>
      <c r="D65" s="65" t="s">
        <v>80</v>
      </c>
      <c r="E65" s="66">
        <v>90.0</v>
      </c>
      <c r="F65" s="69" t="s">
        <v>71</v>
      </c>
      <c r="G65" s="69" t="s">
        <v>81</v>
      </c>
      <c r="H65" s="69" t="s">
        <v>13</v>
      </c>
      <c r="I65" s="69" t="s">
        <v>19</v>
      </c>
      <c r="J65" s="69" t="s">
        <v>20</v>
      </c>
      <c r="K65" s="69" t="s">
        <v>32</v>
      </c>
      <c r="L65" s="69" t="s">
        <v>47</v>
      </c>
    </row>
    <row r="66">
      <c r="F66" s="70">
        <v>90.0</v>
      </c>
      <c r="G66" s="70">
        <v>90.0</v>
      </c>
      <c r="H66" s="70">
        <v>90.0</v>
      </c>
      <c r="I66" s="70">
        <v>90.0</v>
      </c>
      <c r="J66" s="70">
        <v>1800.0</v>
      </c>
      <c r="K66" s="70">
        <v>900.0</v>
      </c>
      <c r="L66" s="70">
        <v>90.0</v>
      </c>
    </row>
    <row r="67">
      <c r="D67" s="65" t="s">
        <v>112</v>
      </c>
      <c r="E67" s="66">
        <v>10.0</v>
      </c>
    </row>
    <row r="69">
      <c r="A69" s="60" t="s">
        <v>75</v>
      </c>
      <c r="B69" s="60" t="s">
        <v>82</v>
      </c>
    </row>
    <row r="70">
      <c r="A70" s="62" t="s">
        <v>52</v>
      </c>
      <c r="B70" s="62" t="s">
        <v>53</v>
      </c>
      <c r="C70" s="62" t="s">
        <v>54</v>
      </c>
      <c r="D70" s="62" t="s">
        <v>55</v>
      </c>
      <c r="E70" s="62" t="s">
        <v>56</v>
      </c>
      <c r="F70" s="63" t="s">
        <v>57</v>
      </c>
    </row>
    <row r="71">
      <c r="C71" s="64" t="s">
        <v>113</v>
      </c>
      <c r="D71" s="65" t="s">
        <v>77</v>
      </c>
      <c r="E71" s="66">
        <v>40.0</v>
      </c>
      <c r="F71" s="69" t="s">
        <v>60</v>
      </c>
      <c r="G71" s="69" t="s">
        <v>61</v>
      </c>
      <c r="H71" s="69" t="s">
        <v>14</v>
      </c>
      <c r="I71" s="69" t="s">
        <v>15</v>
      </c>
      <c r="J71" s="69" t="s">
        <v>46</v>
      </c>
    </row>
    <row r="72">
      <c r="F72" s="70">
        <v>40.0</v>
      </c>
      <c r="G72" s="70">
        <v>40.0</v>
      </c>
      <c r="H72" s="70">
        <v>1600.0</v>
      </c>
      <c r="I72" s="70">
        <v>1400.0</v>
      </c>
      <c r="J72" s="70">
        <v>40.0</v>
      </c>
    </row>
    <row r="73">
      <c r="D73" s="65" t="s">
        <v>114</v>
      </c>
      <c r="E73" s="66">
        <v>40.0</v>
      </c>
    </row>
    <row r="75">
      <c r="A75" s="60" t="s">
        <v>62</v>
      </c>
      <c r="B75" s="60" t="s">
        <v>82</v>
      </c>
    </row>
    <row r="76">
      <c r="A76" s="62" t="s">
        <v>52</v>
      </c>
      <c r="B76" s="62" t="s">
        <v>53</v>
      </c>
      <c r="C76" s="62" t="s">
        <v>54</v>
      </c>
      <c r="D76" s="62" t="s">
        <v>55</v>
      </c>
      <c r="E76" s="62" t="s">
        <v>56</v>
      </c>
      <c r="F76" s="63" t="s">
        <v>57</v>
      </c>
    </row>
    <row r="77">
      <c r="C77" s="64" t="s">
        <v>115</v>
      </c>
      <c r="D77" s="65" t="s">
        <v>116</v>
      </c>
      <c r="E77" s="66">
        <v>25.0</v>
      </c>
    </row>
    <row r="79">
      <c r="D79" s="65" t="s">
        <v>117</v>
      </c>
      <c r="E79" s="66">
        <v>25.0</v>
      </c>
    </row>
    <row r="81">
      <c r="A81" s="60" t="s">
        <v>75</v>
      </c>
      <c r="B81" s="60" t="s">
        <v>82</v>
      </c>
    </row>
    <row r="82">
      <c r="A82" s="62" t="s">
        <v>52</v>
      </c>
      <c r="B82" s="62" t="s">
        <v>53</v>
      </c>
      <c r="C82" s="62" t="s">
        <v>54</v>
      </c>
      <c r="D82" s="62" t="s">
        <v>55</v>
      </c>
      <c r="E82" s="62" t="s">
        <v>56</v>
      </c>
      <c r="F82" s="63" t="s">
        <v>57</v>
      </c>
    </row>
    <row r="83">
      <c r="C83" s="64" t="s">
        <v>118</v>
      </c>
      <c r="D83" s="65" t="s">
        <v>104</v>
      </c>
      <c r="E83" s="66">
        <v>50.0</v>
      </c>
      <c r="F83" s="69" t="s">
        <v>71</v>
      </c>
      <c r="G83" s="69" t="s">
        <v>81</v>
      </c>
      <c r="H83" s="69" t="s">
        <v>13</v>
      </c>
      <c r="I83" s="69" t="s">
        <v>15</v>
      </c>
      <c r="J83" s="69" t="s">
        <v>47</v>
      </c>
    </row>
    <row r="84">
      <c r="F84" s="70">
        <v>50.0</v>
      </c>
      <c r="G84" s="70">
        <v>50.0</v>
      </c>
      <c r="H84" s="70">
        <v>50.0</v>
      </c>
      <c r="I84" s="70">
        <v>1750.0</v>
      </c>
      <c r="J84" s="70">
        <v>50.0</v>
      </c>
    </row>
    <row r="85">
      <c r="D85" s="65" t="s">
        <v>119</v>
      </c>
      <c r="E85" s="66">
        <v>60.0</v>
      </c>
      <c r="F85" s="69" t="s">
        <v>119</v>
      </c>
      <c r="G85" s="69" t="s">
        <v>49</v>
      </c>
    </row>
    <row r="86">
      <c r="F86" s="70">
        <v>9000.0</v>
      </c>
      <c r="G86" s="70">
        <v>60.0</v>
      </c>
    </row>
    <row r="87">
      <c r="A87" s="60" t="s">
        <v>50</v>
      </c>
      <c r="B87" s="60" t="s">
        <v>90</v>
      </c>
    </row>
    <row r="88">
      <c r="A88" s="62" t="s">
        <v>52</v>
      </c>
      <c r="B88" s="62" t="s">
        <v>53</v>
      </c>
      <c r="C88" s="62" t="s">
        <v>54</v>
      </c>
      <c r="D88" s="62" t="s">
        <v>55</v>
      </c>
      <c r="E88" s="62" t="s">
        <v>56</v>
      </c>
      <c r="F88" s="63" t="s">
        <v>57</v>
      </c>
    </row>
    <row r="89">
      <c r="C89" s="64" t="s">
        <v>120</v>
      </c>
      <c r="D89" s="65" t="s">
        <v>59</v>
      </c>
      <c r="E89" s="66">
        <v>60.0</v>
      </c>
    </row>
    <row r="91">
      <c r="D91" s="65" t="s">
        <v>109</v>
      </c>
      <c r="E91" s="66">
        <v>60.0</v>
      </c>
    </row>
    <row r="93">
      <c r="D93" s="65" t="s">
        <v>119</v>
      </c>
      <c r="E93" s="66">
        <v>60.0</v>
      </c>
      <c r="F93" s="69" t="s">
        <v>119</v>
      </c>
      <c r="G93" s="69" t="s">
        <v>49</v>
      </c>
    </row>
    <row r="94">
      <c r="F94" s="70">
        <v>9000.0</v>
      </c>
      <c r="G94" s="70">
        <v>60.0</v>
      </c>
    </row>
    <row r="95">
      <c r="A95" s="60" t="s">
        <v>89</v>
      </c>
      <c r="B95" s="60" t="s">
        <v>90</v>
      </c>
    </row>
    <row r="96">
      <c r="A96" s="62" t="s">
        <v>52</v>
      </c>
      <c r="B96" s="62" t="s">
        <v>53</v>
      </c>
      <c r="C96" s="62" t="s">
        <v>54</v>
      </c>
      <c r="D96" s="62" t="s">
        <v>55</v>
      </c>
      <c r="E96" s="62" t="s">
        <v>56</v>
      </c>
      <c r="F96" s="63" t="s">
        <v>57</v>
      </c>
    </row>
    <row r="97">
      <c r="C97" s="64" t="s">
        <v>121</v>
      </c>
      <c r="D97" s="65" t="s">
        <v>122</v>
      </c>
      <c r="E97" s="66">
        <v>50.0</v>
      </c>
      <c r="F97" s="69" t="s">
        <v>123</v>
      </c>
      <c r="G97" s="69" t="s">
        <v>74</v>
      </c>
      <c r="H97" s="69" t="s">
        <v>14</v>
      </c>
      <c r="I97" s="69" t="s">
        <v>15</v>
      </c>
      <c r="J97" s="69" t="s">
        <v>19</v>
      </c>
      <c r="K97" s="69" t="s">
        <v>20</v>
      </c>
      <c r="L97" s="69" t="s">
        <v>22</v>
      </c>
      <c r="M97" s="69" t="s">
        <v>47</v>
      </c>
    </row>
    <row r="98">
      <c r="F98" s="70">
        <v>50.0</v>
      </c>
      <c r="G98" s="70">
        <v>5000.0</v>
      </c>
      <c r="H98" s="70">
        <v>1250.0</v>
      </c>
      <c r="I98" s="70">
        <v>1250.0</v>
      </c>
      <c r="J98" s="70">
        <v>1000.0</v>
      </c>
      <c r="K98" s="70">
        <v>1000.0</v>
      </c>
      <c r="L98" s="70">
        <v>500.0</v>
      </c>
      <c r="M98" s="70">
        <v>50.0</v>
      </c>
    </row>
    <row r="99">
      <c r="D99" s="65" t="s">
        <v>124</v>
      </c>
      <c r="E99" s="66">
        <v>50.0</v>
      </c>
      <c r="F99" s="69" t="s">
        <v>71</v>
      </c>
      <c r="G99" s="69" t="s">
        <v>125</v>
      </c>
      <c r="H99" s="69" t="s">
        <v>13</v>
      </c>
      <c r="I99" s="69" t="s">
        <v>15</v>
      </c>
      <c r="J99" s="69" t="s">
        <v>47</v>
      </c>
    </row>
    <row r="100">
      <c r="F100" s="70">
        <v>50.0</v>
      </c>
      <c r="G100" s="70">
        <v>5000.0</v>
      </c>
      <c r="H100" s="70">
        <v>50.0</v>
      </c>
      <c r="I100" s="70">
        <v>1750.0</v>
      </c>
      <c r="J100" s="70">
        <v>50.0</v>
      </c>
    </row>
    <row r="101">
      <c r="A101" s="60" t="s">
        <v>89</v>
      </c>
      <c r="B101" s="60" t="s">
        <v>90</v>
      </c>
    </row>
    <row r="102">
      <c r="A102" s="62" t="s">
        <v>52</v>
      </c>
      <c r="B102" s="62" t="s">
        <v>53</v>
      </c>
      <c r="C102" s="62" t="s">
        <v>54</v>
      </c>
      <c r="D102" s="62" t="s">
        <v>55</v>
      </c>
      <c r="E102" s="62" t="s">
        <v>56</v>
      </c>
      <c r="F102" s="63" t="s">
        <v>57</v>
      </c>
    </row>
    <row r="103">
      <c r="C103" s="64" t="s">
        <v>126</v>
      </c>
      <c r="D103" s="65" t="s">
        <v>127</v>
      </c>
      <c r="E103" s="66">
        <v>200.0</v>
      </c>
      <c r="F103" s="69" t="s">
        <v>128</v>
      </c>
      <c r="G103" s="69" t="s">
        <v>41</v>
      </c>
    </row>
    <row r="104">
      <c r="F104" s="70">
        <v>200.0</v>
      </c>
      <c r="G104" s="70">
        <v>4000.0</v>
      </c>
    </row>
    <row r="105">
      <c r="D105" s="65" t="s">
        <v>129</v>
      </c>
      <c r="E105" s="66">
        <v>1.0</v>
      </c>
    </row>
    <row r="107">
      <c r="A107" s="60" t="s">
        <v>89</v>
      </c>
      <c r="B107" s="60" t="s">
        <v>90</v>
      </c>
    </row>
    <row r="108">
      <c r="A108" s="62" t="s">
        <v>52</v>
      </c>
      <c r="B108" s="62" t="s">
        <v>53</v>
      </c>
      <c r="C108" s="62" t="s">
        <v>54</v>
      </c>
      <c r="D108" s="62" t="s">
        <v>55</v>
      </c>
      <c r="E108" s="62" t="s">
        <v>56</v>
      </c>
      <c r="F108" s="63" t="s">
        <v>57</v>
      </c>
    </row>
    <row r="109">
      <c r="C109" s="64" t="s">
        <v>130</v>
      </c>
      <c r="D109" s="65" t="s">
        <v>131</v>
      </c>
      <c r="E109" s="66">
        <v>90.0</v>
      </c>
      <c r="F109" s="69" t="s">
        <v>132</v>
      </c>
      <c r="G109" s="69" t="s">
        <v>61</v>
      </c>
      <c r="H109" s="69" t="s">
        <v>14</v>
      </c>
      <c r="I109" s="69" t="s">
        <v>15</v>
      </c>
      <c r="J109" s="69" t="s">
        <v>46</v>
      </c>
    </row>
    <row r="110">
      <c r="F110" s="70">
        <v>90.0</v>
      </c>
      <c r="G110" s="70">
        <v>45.0</v>
      </c>
      <c r="H110" s="70">
        <v>3600.0</v>
      </c>
      <c r="I110" s="70">
        <v>1800.0</v>
      </c>
      <c r="J110" s="70">
        <v>90.0</v>
      </c>
    </row>
    <row r="111">
      <c r="D111" s="65" t="s">
        <v>133</v>
      </c>
      <c r="E111" s="66">
        <v>90.0</v>
      </c>
      <c r="F111" s="69" t="s">
        <v>134</v>
      </c>
      <c r="G111" s="69" t="s">
        <v>85</v>
      </c>
      <c r="H111" s="69" t="s">
        <v>13</v>
      </c>
      <c r="I111" s="69" t="s">
        <v>15</v>
      </c>
      <c r="J111" s="69" t="s">
        <v>47</v>
      </c>
    </row>
    <row r="112">
      <c r="F112" s="70">
        <v>90.0</v>
      </c>
      <c r="G112" s="70">
        <v>5400.0</v>
      </c>
      <c r="H112" s="70">
        <v>90.0</v>
      </c>
      <c r="I112" s="70">
        <v>1800.0</v>
      </c>
      <c r="J112" s="70">
        <v>90.0</v>
      </c>
    </row>
    <row r="113">
      <c r="D113" s="65" t="s">
        <v>135</v>
      </c>
      <c r="E113" s="66">
        <v>60.0</v>
      </c>
      <c r="F113" s="69" t="s">
        <v>136</v>
      </c>
      <c r="G113" s="69" t="s">
        <v>137</v>
      </c>
      <c r="H113" s="69" t="s">
        <v>42</v>
      </c>
      <c r="I113" s="69" t="s">
        <v>43</v>
      </c>
      <c r="J113" s="69" t="s">
        <v>44</v>
      </c>
      <c r="K113" s="69" t="s">
        <v>47</v>
      </c>
    </row>
    <row r="114">
      <c r="F114" s="70">
        <v>60.0</v>
      </c>
      <c r="G114" s="70">
        <v>600.0</v>
      </c>
      <c r="H114" s="70">
        <v>20.400000000000002</v>
      </c>
      <c r="I114" s="70">
        <v>60.0</v>
      </c>
      <c r="J114" s="70">
        <v>60.0</v>
      </c>
      <c r="K114" s="70">
        <v>60.0</v>
      </c>
    </row>
    <row r="115">
      <c r="A115" s="60" t="s">
        <v>62</v>
      </c>
      <c r="B115" s="60" t="s">
        <v>90</v>
      </c>
    </row>
    <row r="116">
      <c r="A116" s="62" t="s">
        <v>52</v>
      </c>
      <c r="B116" s="62" t="s">
        <v>53</v>
      </c>
      <c r="C116" s="62" t="s">
        <v>54</v>
      </c>
      <c r="D116" s="62" t="s">
        <v>55</v>
      </c>
      <c r="E116" s="62" t="s">
        <v>56</v>
      </c>
      <c r="F116" s="63" t="s">
        <v>57</v>
      </c>
    </row>
    <row r="117">
      <c r="C117" s="64" t="s">
        <v>138</v>
      </c>
      <c r="D117" s="65" t="s">
        <v>139</v>
      </c>
      <c r="E117" s="66">
        <v>75.0</v>
      </c>
      <c r="F117" s="69" t="s">
        <v>71</v>
      </c>
      <c r="G117" s="69" t="s">
        <v>125</v>
      </c>
      <c r="H117" s="69" t="s">
        <v>13</v>
      </c>
      <c r="I117" s="69" t="s">
        <v>15</v>
      </c>
      <c r="J117" s="69" t="s">
        <v>47</v>
      </c>
    </row>
    <row r="118">
      <c r="F118" s="70">
        <v>75.0</v>
      </c>
      <c r="G118" s="70">
        <v>7500.0</v>
      </c>
      <c r="H118" s="70">
        <v>75.0</v>
      </c>
      <c r="I118" s="70">
        <v>2625.0</v>
      </c>
      <c r="J118" s="70">
        <v>75.0</v>
      </c>
    </row>
    <row r="119">
      <c r="D119" s="65" t="s">
        <v>70</v>
      </c>
      <c r="E119" s="66">
        <v>75.0</v>
      </c>
      <c r="F119" s="69" t="s">
        <v>71</v>
      </c>
      <c r="G119" s="69" t="s">
        <v>72</v>
      </c>
      <c r="H119" s="69" t="s">
        <v>13</v>
      </c>
      <c r="I119" s="69" t="s">
        <v>15</v>
      </c>
      <c r="J119" s="69" t="s">
        <v>47</v>
      </c>
    </row>
    <row r="120">
      <c r="F120" s="70">
        <v>75.0</v>
      </c>
      <c r="G120" s="70">
        <v>7500.0</v>
      </c>
      <c r="H120" s="70">
        <v>75.0</v>
      </c>
      <c r="I120" s="70">
        <v>2625.0</v>
      </c>
      <c r="J120" s="70">
        <v>75.0</v>
      </c>
    </row>
    <row r="121">
      <c r="A121" s="60" t="s">
        <v>75</v>
      </c>
      <c r="B121" s="60" t="s">
        <v>90</v>
      </c>
    </row>
    <row r="122">
      <c r="A122" s="62" t="s">
        <v>52</v>
      </c>
      <c r="B122" s="62" t="s">
        <v>53</v>
      </c>
      <c r="C122" s="62" t="s">
        <v>54</v>
      </c>
      <c r="D122" s="62" t="s">
        <v>55</v>
      </c>
      <c r="E122" s="62" t="s">
        <v>56</v>
      </c>
      <c r="F122" s="63" t="s">
        <v>57</v>
      </c>
    </row>
    <row r="123">
      <c r="C123" s="64" t="s">
        <v>140</v>
      </c>
      <c r="D123" s="65" t="s">
        <v>141</v>
      </c>
      <c r="E123" s="66">
        <v>60.0</v>
      </c>
    </row>
    <row r="125">
      <c r="D125" s="65" t="s">
        <v>142</v>
      </c>
      <c r="E125" s="66">
        <v>60.0</v>
      </c>
    </row>
    <row r="127">
      <c r="D127" s="65" t="s">
        <v>106</v>
      </c>
      <c r="E127" s="66">
        <v>7.0</v>
      </c>
    </row>
    <row r="129">
      <c r="A129" s="60" t="s">
        <v>62</v>
      </c>
      <c r="B129" s="60" t="s">
        <v>90</v>
      </c>
    </row>
    <row r="130">
      <c r="A130" s="62" t="s">
        <v>52</v>
      </c>
      <c r="B130" s="62" t="s">
        <v>53</v>
      </c>
      <c r="C130" s="62" t="s">
        <v>54</v>
      </c>
      <c r="D130" s="62" t="s">
        <v>55</v>
      </c>
      <c r="E130" s="62" t="s">
        <v>56</v>
      </c>
      <c r="F130" s="63" t="s">
        <v>57</v>
      </c>
    </row>
    <row r="131">
      <c r="C131" s="64" t="s">
        <v>143</v>
      </c>
      <c r="D131" s="65" t="s">
        <v>144</v>
      </c>
      <c r="E131" s="66">
        <v>35.0</v>
      </c>
      <c r="F131" s="69" t="s">
        <v>123</v>
      </c>
      <c r="G131" s="69" t="s">
        <v>145</v>
      </c>
      <c r="H131" s="69" t="s">
        <v>14</v>
      </c>
      <c r="I131" s="69" t="s">
        <v>15</v>
      </c>
      <c r="J131" s="69" t="s">
        <v>19</v>
      </c>
      <c r="K131" s="69" t="s">
        <v>20</v>
      </c>
      <c r="L131" s="69" t="s">
        <v>22</v>
      </c>
      <c r="M131" s="69" t="s">
        <v>47</v>
      </c>
    </row>
    <row r="132">
      <c r="F132" s="70">
        <v>35.0</v>
      </c>
      <c r="G132" s="70">
        <v>3500.0</v>
      </c>
      <c r="H132" s="70">
        <v>875.0</v>
      </c>
      <c r="I132" s="70">
        <v>875.0</v>
      </c>
      <c r="J132" s="70">
        <v>700.0</v>
      </c>
      <c r="K132" s="70">
        <v>700.0</v>
      </c>
      <c r="L132" s="70">
        <v>350.0</v>
      </c>
      <c r="M132" s="70">
        <v>35.0</v>
      </c>
    </row>
    <row r="133">
      <c r="D133" s="65" t="s">
        <v>146</v>
      </c>
      <c r="E133" s="66">
        <v>35.0</v>
      </c>
      <c r="F133" s="69" t="s">
        <v>123</v>
      </c>
      <c r="G133" s="69" t="s">
        <v>74</v>
      </c>
      <c r="H133" s="69" t="s">
        <v>14</v>
      </c>
      <c r="I133" s="69" t="s">
        <v>15</v>
      </c>
      <c r="J133" s="69" t="s">
        <v>19</v>
      </c>
      <c r="K133" s="69" t="s">
        <v>20</v>
      </c>
      <c r="L133" s="69" t="s">
        <v>22</v>
      </c>
      <c r="M133" s="69" t="s">
        <v>47</v>
      </c>
    </row>
    <row r="134">
      <c r="F134" s="70">
        <v>35.0</v>
      </c>
      <c r="G134" s="70">
        <v>3500.0</v>
      </c>
      <c r="H134" s="70">
        <v>875.0</v>
      </c>
      <c r="I134" s="70">
        <v>875.0</v>
      </c>
      <c r="J134" s="70">
        <v>700.0</v>
      </c>
      <c r="K134" s="70">
        <v>700.0</v>
      </c>
      <c r="L134" s="70">
        <v>350.0</v>
      </c>
      <c r="M134" s="70">
        <v>35.0</v>
      </c>
    </row>
    <row r="135">
      <c r="A135" s="60" t="s">
        <v>62</v>
      </c>
      <c r="B135" s="60" t="s">
        <v>90</v>
      </c>
    </row>
    <row r="136">
      <c r="A136" s="62" t="s">
        <v>52</v>
      </c>
      <c r="B136" s="62" t="s">
        <v>53</v>
      </c>
      <c r="C136" s="62" t="s">
        <v>54</v>
      </c>
      <c r="D136" s="62" t="s">
        <v>55</v>
      </c>
      <c r="E136" s="62" t="s">
        <v>56</v>
      </c>
      <c r="F136" s="63" t="s">
        <v>57</v>
      </c>
    </row>
    <row r="137">
      <c r="C137" s="64" t="s">
        <v>147</v>
      </c>
      <c r="D137" s="65" t="s">
        <v>148</v>
      </c>
      <c r="E137" s="66">
        <v>80.0</v>
      </c>
    </row>
    <row r="139">
      <c r="D139" s="65" t="s">
        <v>149</v>
      </c>
      <c r="E139" s="66">
        <v>80.0</v>
      </c>
    </row>
    <row r="141">
      <c r="D141" s="65" t="s">
        <v>65</v>
      </c>
      <c r="E141" s="66">
        <v>80.0</v>
      </c>
      <c r="F141" s="69" t="s">
        <v>66</v>
      </c>
      <c r="G141" s="69" t="s">
        <v>38</v>
      </c>
      <c r="H141" s="69" t="s">
        <v>39</v>
      </c>
      <c r="I141" s="69" t="s">
        <v>40</v>
      </c>
    </row>
    <row r="142">
      <c r="F142" s="70">
        <v>80.0</v>
      </c>
      <c r="G142" s="70">
        <v>9600.0</v>
      </c>
      <c r="H142" s="70">
        <v>16000.0</v>
      </c>
      <c r="I142" s="70">
        <v>7200.0</v>
      </c>
    </row>
    <row r="143">
      <c r="A143" s="60" t="s">
        <v>62</v>
      </c>
      <c r="B143" s="60" t="s">
        <v>90</v>
      </c>
    </row>
    <row r="144">
      <c r="A144" s="62" t="s">
        <v>52</v>
      </c>
      <c r="B144" s="62" t="s">
        <v>53</v>
      </c>
      <c r="C144" s="62" t="s">
        <v>54</v>
      </c>
      <c r="D144" s="62" t="s">
        <v>55</v>
      </c>
      <c r="E144" s="62" t="s">
        <v>56</v>
      </c>
      <c r="F144" s="63" t="s">
        <v>57</v>
      </c>
    </row>
    <row r="145">
      <c r="C145" s="64" t="s">
        <v>150</v>
      </c>
      <c r="D145" s="65" t="s">
        <v>148</v>
      </c>
      <c r="E145" s="66">
        <v>40.0</v>
      </c>
    </row>
    <row r="147">
      <c r="A147" s="60" t="s">
        <v>75</v>
      </c>
      <c r="B147" s="60" t="s">
        <v>90</v>
      </c>
    </row>
    <row r="148">
      <c r="A148" s="62" t="s">
        <v>52</v>
      </c>
      <c r="B148" s="62" t="s">
        <v>53</v>
      </c>
      <c r="C148" s="62" t="s">
        <v>54</v>
      </c>
      <c r="D148" s="62" t="s">
        <v>55</v>
      </c>
      <c r="E148" s="62" t="s">
        <v>56</v>
      </c>
      <c r="F148" s="63" t="s">
        <v>57</v>
      </c>
    </row>
    <row r="149">
      <c r="C149" s="64" t="s">
        <v>151</v>
      </c>
      <c r="D149" s="65" t="s">
        <v>77</v>
      </c>
      <c r="E149" s="66">
        <v>100.0</v>
      </c>
      <c r="F149" s="69" t="s">
        <v>60</v>
      </c>
      <c r="G149" s="69" t="s">
        <v>61</v>
      </c>
      <c r="H149" s="69" t="s">
        <v>14</v>
      </c>
      <c r="I149" s="69" t="s">
        <v>15</v>
      </c>
      <c r="J149" s="69" t="s">
        <v>46</v>
      </c>
    </row>
    <row r="150">
      <c r="F150" s="70">
        <v>100.0</v>
      </c>
      <c r="G150" s="70">
        <v>100.0</v>
      </c>
      <c r="H150" s="70">
        <v>4000.0</v>
      </c>
      <c r="I150" s="70">
        <v>3500.0</v>
      </c>
      <c r="J150" s="70">
        <v>100.0</v>
      </c>
    </row>
    <row r="151">
      <c r="D151" s="65" t="s">
        <v>119</v>
      </c>
      <c r="E151" s="66">
        <v>100.0</v>
      </c>
      <c r="F151" s="69" t="s">
        <v>119</v>
      </c>
      <c r="G151" s="69" t="s">
        <v>49</v>
      </c>
    </row>
    <row r="152">
      <c r="F152" s="70">
        <v>15000.0</v>
      </c>
      <c r="G152" s="70">
        <v>100.0</v>
      </c>
    </row>
  </sheetData>
  <mergeCells count="24">
    <mergeCell ref="F2:N2"/>
    <mergeCell ref="F6:N6"/>
    <mergeCell ref="F10:N10"/>
    <mergeCell ref="F14:N14"/>
    <mergeCell ref="F28:N28"/>
    <mergeCell ref="F34:N34"/>
    <mergeCell ref="F40:N40"/>
    <mergeCell ref="F50:N50"/>
    <mergeCell ref="F54:N54"/>
    <mergeCell ref="F58:N58"/>
    <mergeCell ref="F64:N64"/>
    <mergeCell ref="F70:N70"/>
    <mergeCell ref="F76:N76"/>
    <mergeCell ref="F82:N82"/>
    <mergeCell ref="F136:N136"/>
    <mergeCell ref="F144:N144"/>
    <mergeCell ref="F148:N148"/>
    <mergeCell ref="F88:N88"/>
    <mergeCell ref="F96:N96"/>
    <mergeCell ref="F102:N102"/>
    <mergeCell ref="F108:N108"/>
    <mergeCell ref="F116:N116"/>
    <mergeCell ref="F122:N122"/>
    <mergeCell ref="F130:N13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8.0"/>
    <col customWidth="1" min="3" max="3" width="17.38"/>
    <col customWidth="1" min="4" max="4" width="18.5"/>
    <col customWidth="1" min="5" max="5" width="7.38"/>
    <col customWidth="1" min="6" max="6" width="14.63"/>
    <col customWidth="1" min="7" max="7" width="16.5"/>
    <col customWidth="1" min="8" max="8" width="14.0"/>
    <col customWidth="1" min="9" max="9" width="5.5"/>
    <col customWidth="1" min="10" max="10" width="11.5"/>
  </cols>
  <sheetData>
    <row r="1">
      <c r="A1" s="71"/>
      <c r="B1" s="60" t="s">
        <v>68</v>
      </c>
    </row>
    <row r="2">
      <c r="A2" s="62" t="s">
        <v>52</v>
      </c>
      <c r="B2" s="62" t="s">
        <v>53</v>
      </c>
      <c r="C2" s="62" t="s">
        <v>54</v>
      </c>
      <c r="D2" s="62" t="s">
        <v>55</v>
      </c>
      <c r="E2" s="62" t="s">
        <v>56</v>
      </c>
      <c r="F2" s="63" t="s">
        <v>57</v>
      </c>
    </row>
    <row r="3">
      <c r="C3" s="64" t="s">
        <v>152</v>
      </c>
      <c r="D3" s="65" t="s">
        <v>104</v>
      </c>
      <c r="E3" s="66">
        <v>40.0</v>
      </c>
      <c r="F3" s="69" t="s">
        <v>71</v>
      </c>
      <c r="G3" s="69" t="s">
        <v>81</v>
      </c>
      <c r="H3" s="69" t="s">
        <v>13</v>
      </c>
      <c r="I3" s="69" t="s">
        <v>15</v>
      </c>
      <c r="J3" s="69" t="s">
        <v>47</v>
      </c>
    </row>
    <row r="4">
      <c r="F4" s="70">
        <v>40.0</v>
      </c>
      <c r="G4" s="70">
        <v>40.0</v>
      </c>
      <c r="H4" s="70">
        <v>40.0</v>
      </c>
      <c r="I4" s="70">
        <v>1400.0</v>
      </c>
      <c r="J4" s="70">
        <v>40.0</v>
      </c>
    </row>
    <row r="5">
      <c r="D5" s="65" t="s">
        <v>133</v>
      </c>
      <c r="E5" s="66">
        <v>20.0</v>
      </c>
      <c r="F5" s="69" t="s">
        <v>134</v>
      </c>
      <c r="G5" s="69" t="s">
        <v>85</v>
      </c>
      <c r="H5" s="69" t="s">
        <v>13</v>
      </c>
      <c r="I5" s="69" t="s">
        <v>15</v>
      </c>
      <c r="J5" s="69" t="s">
        <v>47</v>
      </c>
    </row>
    <row r="6">
      <c r="F6" s="70">
        <v>20.0</v>
      </c>
      <c r="G6" s="70">
        <v>1200.0</v>
      </c>
      <c r="H6" s="70">
        <v>20.0</v>
      </c>
      <c r="I6" s="70">
        <v>400.0</v>
      </c>
      <c r="J6" s="70">
        <v>20.0</v>
      </c>
    </row>
    <row r="7">
      <c r="A7" s="71"/>
      <c r="B7" s="60" t="s">
        <v>82</v>
      </c>
    </row>
    <row r="8">
      <c r="A8" s="62" t="s">
        <v>52</v>
      </c>
      <c r="B8" s="62" t="s">
        <v>53</v>
      </c>
      <c r="C8" s="62" t="s">
        <v>54</v>
      </c>
      <c r="D8" s="62" t="s">
        <v>55</v>
      </c>
      <c r="E8" s="62" t="s">
        <v>56</v>
      </c>
      <c r="F8" s="63" t="s">
        <v>57</v>
      </c>
    </row>
    <row r="9">
      <c r="C9" s="64" t="s">
        <v>153</v>
      </c>
      <c r="D9" s="65" t="s">
        <v>154</v>
      </c>
      <c r="E9" s="66">
        <v>40.0</v>
      </c>
      <c r="F9" s="69" t="s">
        <v>60</v>
      </c>
      <c r="G9" s="69" t="s">
        <v>74</v>
      </c>
      <c r="H9" s="69" t="s">
        <v>14</v>
      </c>
      <c r="I9" s="69" t="s">
        <v>15</v>
      </c>
      <c r="J9" s="69" t="s">
        <v>46</v>
      </c>
    </row>
    <row r="10">
      <c r="F10" s="70">
        <v>40.0</v>
      </c>
      <c r="G10" s="70">
        <v>4000.0</v>
      </c>
      <c r="H10" s="70">
        <v>1600.0</v>
      </c>
      <c r="I10" s="70">
        <v>1400.0</v>
      </c>
      <c r="J10" s="70">
        <v>40.0</v>
      </c>
    </row>
    <row r="11">
      <c r="D11" s="65" t="s">
        <v>104</v>
      </c>
      <c r="E11" s="66">
        <v>40.0</v>
      </c>
      <c r="F11" s="69" t="s">
        <v>71</v>
      </c>
      <c r="G11" s="69" t="s">
        <v>81</v>
      </c>
      <c r="H11" s="69" t="s">
        <v>13</v>
      </c>
      <c r="I11" s="69" t="s">
        <v>15</v>
      </c>
      <c r="J11" s="69" t="s">
        <v>47</v>
      </c>
    </row>
    <row r="12">
      <c r="F12" s="70">
        <v>40.0</v>
      </c>
      <c r="G12" s="70">
        <v>40.0</v>
      </c>
      <c r="H12" s="70">
        <v>40.0</v>
      </c>
      <c r="I12" s="70">
        <v>1400.0</v>
      </c>
      <c r="J12" s="70">
        <v>40.0</v>
      </c>
    </row>
    <row r="13">
      <c r="A13" s="71"/>
      <c r="B13" s="60" t="s">
        <v>82</v>
      </c>
    </row>
    <row r="14">
      <c r="A14" s="62" t="s">
        <v>52</v>
      </c>
      <c r="B14" s="62" t="s">
        <v>53</v>
      </c>
      <c r="C14" s="62" t="s">
        <v>54</v>
      </c>
      <c r="D14" s="62" t="s">
        <v>55</v>
      </c>
      <c r="E14" s="62" t="s">
        <v>56</v>
      </c>
      <c r="F14" s="63" t="s">
        <v>57</v>
      </c>
    </row>
    <row r="15">
      <c r="C15" s="64" t="s">
        <v>155</v>
      </c>
      <c r="D15" s="65" t="s">
        <v>59</v>
      </c>
      <c r="E15" s="66">
        <v>60.0</v>
      </c>
      <c r="F15" s="69" t="s">
        <v>60</v>
      </c>
      <c r="G15" s="69" t="s">
        <v>61</v>
      </c>
      <c r="H15" s="69" t="s">
        <v>14</v>
      </c>
      <c r="I15" s="69" t="s">
        <v>15</v>
      </c>
      <c r="J15" s="69" t="s">
        <v>46</v>
      </c>
    </row>
    <row r="16">
      <c r="F16" s="70">
        <v>60.0</v>
      </c>
      <c r="G16" s="70">
        <v>60.0</v>
      </c>
      <c r="H16" s="70">
        <v>2400.0</v>
      </c>
      <c r="I16" s="70">
        <v>2100.0</v>
      </c>
      <c r="J16" s="70">
        <v>60.0</v>
      </c>
    </row>
    <row r="17">
      <c r="D17" s="65" t="s">
        <v>88</v>
      </c>
      <c r="E17" s="66">
        <v>60.0</v>
      </c>
      <c r="F17" s="69" t="s">
        <v>71</v>
      </c>
      <c r="G17" s="69" t="s">
        <v>74</v>
      </c>
      <c r="H17" s="69" t="s">
        <v>13</v>
      </c>
      <c r="I17" s="69" t="s">
        <v>15</v>
      </c>
      <c r="J17" s="69" t="s">
        <v>47</v>
      </c>
    </row>
    <row r="18">
      <c r="F18" s="70">
        <v>60.0</v>
      </c>
      <c r="G18" s="70">
        <v>6000.0</v>
      </c>
      <c r="H18" s="70">
        <v>60.0</v>
      </c>
      <c r="I18" s="70">
        <v>2100.0</v>
      </c>
      <c r="J18" s="70">
        <v>60.0</v>
      </c>
    </row>
    <row r="19">
      <c r="A19" s="71"/>
      <c r="B19" s="60" t="s">
        <v>82</v>
      </c>
    </row>
    <row r="20">
      <c r="A20" s="62" t="s">
        <v>52</v>
      </c>
      <c r="B20" s="62" t="s">
        <v>53</v>
      </c>
      <c r="C20" s="62" t="s">
        <v>54</v>
      </c>
      <c r="D20" s="62" t="s">
        <v>55</v>
      </c>
      <c r="E20" s="62" t="s">
        <v>56</v>
      </c>
      <c r="F20" s="63" t="s">
        <v>57</v>
      </c>
    </row>
    <row r="21">
      <c r="C21" s="64" t="s">
        <v>156</v>
      </c>
      <c r="D21" s="65" t="s">
        <v>88</v>
      </c>
      <c r="E21" s="66">
        <v>50.0</v>
      </c>
      <c r="F21" s="69" t="s">
        <v>71</v>
      </c>
      <c r="G21" s="69" t="s">
        <v>74</v>
      </c>
      <c r="H21" s="69" t="s">
        <v>13</v>
      </c>
      <c r="I21" s="69" t="s">
        <v>15</v>
      </c>
      <c r="J21" s="69" t="s">
        <v>47</v>
      </c>
    </row>
    <row r="22">
      <c r="F22" s="70">
        <v>50.0</v>
      </c>
      <c r="G22" s="70">
        <v>5000.0</v>
      </c>
      <c r="H22" s="70">
        <v>50.0</v>
      </c>
      <c r="I22" s="70">
        <v>1750.0</v>
      </c>
      <c r="J22" s="70">
        <v>50.0</v>
      </c>
    </row>
    <row r="23">
      <c r="A23" s="71"/>
      <c r="B23" s="60" t="s">
        <v>82</v>
      </c>
    </row>
    <row r="24">
      <c r="A24" s="62" t="s">
        <v>52</v>
      </c>
      <c r="B24" s="62" t="s">
        <v>53</v>
      </c>
      <c r="C24" s="62" t="s">
        <v>54</v>
      </c>
      <c r="D24" s="62" t="s">
        <v>55</v>
      </c>
      <c r="E24" s="62" t="s">
        <v>56</v>
      </c>
      <c r="F24" s="63" t="s">
        <v>57</v>
      </c>
    </row>
    <row r="25">
      <c r="C25" s="64" t="s">
        <v>157</v>
      </c>
      <c r="D25" s="65" t="s">
        <v>104</v>
      </c>
      <c r="E25" s="66">
        <v>432.0</v>
      </c>
      <c r="F25" s="69" t="s">
        <v>71</v>
      </c>
      <c r="G25" s="69" t="s">
        <v>81</v>
      </c>
      <c r="H25" s="69" t="s">
        <v>13</v>
      </c>
      <c r="I25" s="69" t="s">
        <v>15</v>
      </c>
      <c r="J25" s="69" t="s">
        <v>47</v>
      </c>
    </row>
    <row r="26">
      <c r="F26" s="70">
        <v>432.0</v>
      </c>
      <c r="G26" s="70">
        <v>432.0</v>
      </c>
      <c r="H26" s="70">
        <v>432.0</v>
      </c>
      <c r="I26" s="70">
        <v>15120.0</v>
      </c>
      <c r="J26" s="70">
        <v>432.0</v>
      </c>
    </row>
    <row r="27">
      <c r="A27" s="71"/>
      <c r="B27" s="60" t="s">
        <v>90</v>
      </c>
    </row>
    <row r="28">
      <c r="A28" s="62" t="s">
        <v>52</v>
      </c>
      <c r="B28" s="62" t="s">
        <v>53</v>
      </c>
      <c r="C28" s="62" t="s">
        <v>54</v>
      </c>
      <c r="D28" s="62" t="s">
        <v>55</v>
      </c>
      <c r="E28" s="62" t="s">
        <v>56</v>
      </c>
      <c r="F28" s="63" t="s">
        <v>57</v>
      </c>
    </row>
    <row r="29">
      <c r="C29" s="64" t="s">
        <v>158</v>
      </c>
      <c r="D29" s="65" t="s">
        <v>59</v>
      </c>
      <c r="E29" s="66">
        <v>150.0</v>
      </c>
      <c r="F29" s="69" t="s">
        <v>60</v>
      </c>
      <c r="G29" s="69" t="s">
        <v>61</v>
      </c>
      <c r="H29" s="69" t="s">
        <v>14</v>
      </c>
      <c r="I29" s="69" t="s">
        <v>15</v>
      </c>
      <c r="J29" s="69" t="s">
        <v>46</v>
      </c>
    </row>
    <row r="30">
      <c r="F30" s="70">
        <v>150.0</v>
      </c>
      <c r="G30" s="70">
        <v>150.0</v>
      </c>
      <c r="H30" s="70">
        <v>6000.0</v>
      </c>
      <c r="I30" s="70">
        <v>5250.0</v>
      </c>
      <c r="J30" s="70">
        <v>150.0</v>
      </c>
    </row>
    <row r="31">
      <c r="D31" s="65" t="s">
        <v>159</v>
      </c>
      <c r="E31" s="66">
        <v>200.0</v>
      </c>
      <c r="F31" s="69" t="s">
        <v>160</v>
      </c>
    </row>
    <row r="32">
      <c r="F32" s="70">
        <v>200.0</v>
      </c>
    </row>
    <row r="33">
      <c r="D33" s="65" t="s">
        <v>161</v>
      </c>
      <c r="E33" s="66">
        <v>100.0</v>
      </c>
    </row>
    <row r="35">
      <c r="D35" s="65" t="s">
        <v>162</v>
      </c>
      <c r="E35" s="66">
        <v>150.0</v>
      </c>
    </row>
    <row r="37">
      <c r="D37" s="65" t="s">
        <v>127</v>
      </c>
      <c r="E37" s="66">
        <v>60.0</v>
      </c>
      <c r="F37" s="69" t="s">
        <v>128</v>
      </c>
      <c r="G37" s="69" t="s">
        <v>41</v>
      </c>
    </row>
    <row r="38">
      <c r="F38" s="70">
        <v>60.0</v>
      </c>
      <c r="G38" s="70">
        <v>1200.0</v>
      </c>
    </row>
    <row r="39">
      <c r="D39" s="65" t="s">
        <v>163</v>
      </c>
      <c r="E39" s="66">
        <v>1.0</v>
      </c>
    </row>
    <row r="41">
      <c r="A41" s="71"/>
      <c r="B41" s="60" t="s">
        <v>90</v>
      </c>
    </row>
    <row r="42">
      <c r="A42" s="62" t="s">
        <v>52</v>
      </c>
      <c r="B42" s="62" t="s">
        <v>53</v>
      </c>
      <c r="C42" s="62" t="s">
        <v>54</v>
      </c>
      <c r="D42" s="62" t="s">
        <v>55</v>
      </c>
      <c r="E42" s="62" t="s">
        <v>56</v>
      </c>
      <c r="F42" s="63" t="s">
        <v>57</v>
      </c>
    </row>
    <row r="43">
      <c r="C43" s="64" t="s">
        <v>164</v>
      </c>
      <c r="D43" s="65" t="s">
        <v>165</v>
      </c>
      <c r="E43" s="66">
        <v>50.0</v>
      </c>
    </row>
  </sheetData>
  <mergeCells count="7">
    <mergeCell ref="F2:N2"/>
    <mergeCell ref="F8:N8"/>
    <mergeCell ref="F14:N14"/>
    <mergeCell ref="F20:N20"/>
    <mergeCell ref="F24:N24"/>
    <mergeCell ref="F28:N28"/>
    <mergeCell ref="F42:N4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0.13"/>
    <col customWidth="1" min="2" max="2" width="24.0"/>
    <col customWidth="1" min="3" max="3" width="9.63"/>
    <col customWidth="1" min="4" max="4" width="18.38"/>
    <col customWidth="1" min="5" max="5" width="11.75"/>
    <col customWidth="1" min="6" max="6" width="15.5"/>
    <col customWidth="1" min="7" max="7" width="14.13"/>
    <col customWidth="1" min="8" max="8" width="9.5"/>
    <col customWidth="1" min="9" max="9" width="12.38"/>
    <col customWidth="1" min="10" max="10" width="10.25"/>
    <col customWidth="1" min="11" max="11" width="17.75"/>
    <col customWidth="1" min="12" max="12" width="11.88"/>
    <col customWidth="1" min="13" max="13" width="14.75"/>
    <col customWidth="1" min="14" max="14" width="21.63"/>
    <col customWidth="1" min="15" max="15" width="24.63"/>
    <col customWidth="1" min="16" max="16" width="15.0"/>
    <col customWidth="1" min="17" max="17" width="17.63"/>
    <col customWidth="1" min="18" max="18" width="14.0"/>
    <col customWidth="1" min="19" max="19" width="17.0"/>
    <col customWidth="1" min="20" max="20" width="8.75"/>
    <col customWidth="1" min="21" max="21" width="11.25"/>
    <col customWidth="1" min="22" max="22" width="14.25"/>
    <col customWidth="1" min="23" max="23" width="17.25"/>
    <col customWidth="1" min="24" max="24" width="11.38"/>
    <col customWidth="1" min="25" max="25" width="14.25"/>
    <col customWidth="1" min="26" max="26" width="12.13"/>
    <col customWidth="1" min="27" max="27" width="15.0"/>
    <col customWidth="1" min="28" max="28" width="13.5"/>
    <col customWidth="1" min="29" max="29" width="16.5"/>
    <col customWidth="1" min="30" max="30" width="18.0"/>
    <col customWidth="1" min="31" max="31" width="21.0"/>
    <col customWidth="1" min="32" max="32" width="15.38"/>
    <col customWidth="1" min="33" max="33" width="18.38"/>
    <col customWidth="1" min="34" max="34" width="17.13"/>
    <col customWidth="1" min="35" max="35" width="20.13"/>
    <col customWidth="1" min="36" max="36" width="12.75"/>
    <col customWidth="1" min="37" max="37" width="15.63"/>
    <col customWidth="1" min="38" max="38" width="19.5"/>
    <col customWidth="1" min="39" max="39" width="22.5"/>
    <col customWidth="1" min="40" max="40" width="10.5"/>
    <col customWidth="1" min="41" max="41" width="14.88"/>
    <col customWidth="1" min="42" max="42" width="14.63"/>
    <col customWidth="1" min="43" max="43" width="17.38"/>
    <col customWidth="1" min="44" max="44" width="15.38"/>
    <col customWidth="1" min="45" max="45" width="18.13"/>
    <col customWidth="1" min="46" max="46" width="15.88"/>
    <col customWidth="1" min="47" max="47" width="18.88"/>
    <col customWidth="1" min="48" max="48" width="10.63"/>
    <col customWidth="1" min="49" max="49" width="13.63"/>
    <col customWidth="1" min="50" max="50" width="9.13"/>
    <col customWidth="1" min="51" max="51" width="12.13"/>
    <col customWidth="1" min="52" max="52" width="10.13"/>
    <col customWidth="1" min="53" max="53" width="12.88"/>
    <col customWidth="1" min="54" max="54" width="14.75"/>
    <col customWidth="1" min="55" max="55" width="17.75"/>
    <col customWidth="1" min="56" max="56" width="11.13"/>
    <col customWidth="1" min="57" max="57" width="15.5"/>
    <col customWidth="1" min="58" max="58" width="10.5"/>
    <col customWidth="1" min="59" max="59" width="14.88"/>
    <col customWidth="1" min="60" max="60" width="15.63"/>
    <col customWidth="1" min="61" max="61" width="19.88"/>
    <col customWidth="1" min="62" max="62" width="13.5"/>
    <col customWidth="1" min="63" max="63" width="16.5"/>
    <col customWidth="1" min="64" max="64" width="15.63"/>
    <col customWidth="1" min="65" max="65" width="19.5"/>
    <col customWidth="1" min="66" max="66" width="16.38"/>
    <col customWidth="1" min="67" max="67" width="20.25"/>
    <col customWidth="1" min="68" max="68" width="14.75"/>
    <col customWidth="1" min="69" max="69" width="19.0"/>
    <col customWidth="1" min="70" max="70" width="21.13"/>
    <col customWidth="1" min="71" max="71" width="25.5"/>
  </cols>
  <sheetData>
    <row r="1" ht="22.5" customHeight="1">
      <c r="A1" s="72" t="s">
        <v>166</v>
      </c>
      <c r="B1" s="73" t="s">
        <v>167</v>
      </c>
      <c r="C1" s="74" t="s">
        <v>168</v>
      </c>
      <c r="D1" s="75" t="s">
        <v>169</v>
      </c>
      <c r="E1" s="74" t="s">
        <v>170</v>
      </c>
      <c r="F1" s="75" t="s">
        <v>171</v>
      </c>
      <c r="G1" s="76" t="s">
        <v>172</v>
      </c>
      <c r="H1" s="75" t="s">
        <v>15</v>
      </c>
      <c r="I1" s="77" t="s">
        <v>173</v>
      </c>
      <c r="J1" s="78" t="s">
        <v>19</v>
      </c>
      <c r="K1" s="79" t="s">
        <v>174</v>
      </c>
      <c r="L1" s="78" t="s">
        <v>20</v>
      </c>
      <c r="M1" s="79" t="s">
        <v>175</v>
      </c>
      <c r="N1" s="78" t="s">
        <v>21</v>
      </c>
      <c r="O1" s="79" t="s">
        <v>176</v>
      </c>
      <c r="P1" s="78" t="s">
        <v>22</v>
      </c>
      <c r="Q1" s="79" t="s">
        <v>177</v>
      </c>
      <c r="R1" s="78" t="s">
        <v>23</v>
      </c>
      <c r="S1" s="79" t="s">
        <v>178</v>
      </c>
      <c r="T1" s="78" t="s">
        <v>24</v>
      </c>
      <c r="U1" s="79" t="s">
        <v>179</v>
      </c>
      <c r="V1" s="78" t="s">
        <v>25</v>
      </c>
      <c r="W1" s="79" t="s">
        <v>180</v>
      </c>
      <c r="X1" s="78" t="s">
        <v>26</v>
      </c>
      <c r="Y1" s="79" t="s">
        <v>181</v>
      </c>
      <c r="Z1" s="78" t="s">
        <v>27</v>
      </c>
      <c r="AA1" s="79" t="s">
        <v>182</v>
      </c>
      <c r="AB1" s="78" t="s">
        <v>28</v>
      </c>
      <c r="AC1" s="79" t="s">
        <v>183</v>
      </c>
      <c r="AD1" s="78" t="s">
        <v>29</v>
      </c>
      <c r="AE1" s="79" t="s">
        <v>184</v>
      </c>
      <c r="AF1" s="78" t="s">
        <v>30</v>
      </c>
      <c r="AG1" s="79" t="s">
        <v>185</v>
      </c>
      <c r="AH1" s="78" t="s">
        <v>31</v>
      </c>
      <c r="AI1" s="79" t="s">
        <v>186</v>
      </c>
      <c r="AJ1" s="78" t="s">
        <v>32</v>
      </c>
      <c r="AK1" s="79" t="s">
        <v>187</v>
      </c>
      <c r="AL1" s="78" t="s">
        <v>33</v>
      </c>
      <c r="AM1" s="79" t="s">
        <v>188</v>
      </c>
      <c r="AN1" s="78" t="s">
        <v>34</v>
      </c>
      <c r="AO1" s="79" t="s">
        <v>189</v>
      </c>
      <c r="AP1" s="78" t="s">
        <v>35</v>
      </c>
      <c r="AQ1" s="79" t="s">
        <v>190</v>
      </c>
      <c r="AR1" s="78" t="s">
        <v>36</v>
      </c>
      <c r="AS1" s="79" t="s">
        <v>191</v>
      </c>
      <c r="AT1" s="78" t="s">
        <v>37</v>
      </c>
      <c r="AU1" s="79" t="s">
        <v>192</v>
      </c>
      <c r="AV1" s="78" t="s">
        <v>38</v>
      </c>
      <c r="AW1" s="79" t="s">
        <v>193</v>
      </c>
      <c r="AX1" s="78" t="s">
        <v>39</v>
      </c>
      <c r="AY1" s="79" t="s">
        <v>194</v>
      </c>
      <c r="AZ1" s="78" t="s">
        <v>40</v>
      </c>
      <c r="BA1" s="79" t="s">
        <v>195</v>
      </c>
      <c r="BB1" s="78" t="s">
        <v>41</v>
      </c>
      <c r="BC1" s="79" t="s">
        <v>196</v>
      </c>
      <c r="BD1" s="78" t="s">
        <v>42</v>
      </c>
      <c r="BE1" s="79" t="s">
        <v>197</v>
      </c>
      <c r="BF1" s="78" t="s">
        <v>43</v>
      </c>
      <c r="BG1" s="79" t="s">
        <v>198</v>
      </c>
      <c r="BH1" s="78" t="s">
        <v>44</v>
      </c>
      <c r="BI1" s="79" t="s">
        <v>199</v>
      </c>
      <c r="BJ1" s="78" t="s">
        <v>45</v>
      </c>
      <c r="BK1" s="79" t="s">
        <v>200</v>
      </c>
      <c r="BL1" s="78" t="s">
        <v>46</v>
      </c>
      <c r="BM1" s="79" t="s">
        <v>201</v>
      </c>
      <c r="BN1" s="78" t="s">
        <v>47</v>
      </c>
      <c r="BO1" s="79" t="s">
        <v>202</v>
      </c>
      <c r="BP1" s="78" t="s">
        <v>48</v>
      </c>
      <c r="BQ1" s="79" t="s">
        <v>203</v>
      </c>
      <c r="BR1" s="78" t="s">
        <v>49</v>
      </c>
      <c r="BS1" s="77" t="s">
        <v>204</v>
      </c>
    </row>
    <row r="2" ht="22.5" customHeight="1">
      <c r="A2" s="80" t="s">
        <v>205</v>
      </c>
      <c r="B2" s="81" t="s">
        <v>206</v>
      </c>
      <c r="C2" s="82">
        <v>1.0</v>
      </c>
      <c r="D2" s="83"/>
      <c r="E2" s="84"/>
      <c r="F2" s="83"/>
      <c r="G2" s="85"/>
      <c r="H2" s="86"/>
      <c r="I2" s="87"/>
      <c r="J2" s="86"/>
      <c r="K2" s="88"/>
      <c r="L2" s="86"/>
      <c r="M2" s="88"/>
      <c r="N2" s="86"/>
      <c r="O2" s="88"/>
      <c r="P2" s="86"/>
      <c r="Q2" s="88"/>
      <c r="R2" s="86"/>
      <c r="S2" s="88"/>
      <c r="T2" s="86"/>
      <c r="U2" s="88"/>
      <c r="V2" s="86"/>
      <c r="W2" s="88"/>
      <c r="X2" s="86"/>
      <c r="Y2" s="88"/>
      <c r="Z2" s="86"/>
      <c r="AA2" s="88"/>
      <c r="AB2" s="86"/>
      <c r="AC2" s="88"/>
      <c r="AD2" s="86"/>
      <c r="AE2" s="88"/>
      <c r="AF2" s="86"/>
      <c r="AG2" s="88"/>
      <c r="AH2" s="86"/>
      <c r="AI2" s="88"/>
      <c r="AJ2" s="86"/>
      <c r="AK2" s="88"/>
      <c r="AL2" s="86"/>
      <c r="AM2" s="88"/>
      <c r="AN2" s="86"/>
      <c r="AO2" s="88"/>
      <c r="AP2" s="86"/>
      <c r="AQ2" s="88"/>
      <c r="AR2" s="86"/>
      <c r="AS2" s="88"/>
      <c r="AT2" s="86"/>
      <c r="AU2" s="88"/>
      <c r="AV2" s="86"/>
      <c r="AW2" s="88"/>
      <c r="AX2" s="86"/>
      <c r="AY2" s="88"/>
      <c r="AZ2" s="86"/>
      <c r="BA2" s="88"/>
      <c r="BB2" s="86"/>
      <c r="BC2" s="88"/>
      <c r="BD2" s="86"/>
      <c r="BE2" s="88"/>
      <c r="BF2" s="86"/>
      <c r="BG2" s="88"/>
      <c r="BH2" s="86"/>
      <c r="BI2" s="88"/>
      <c r="BJ2" s="86"/>
      <c r="BK2" s="88"/>
      <c r="BL2" s="86"/>
      <c r="BM2" s="88"/>
      <c r="BN2" s="86"/>
      <c r="BO2" s="88"/>
      <c r="BP2" s="86"/>
      <c r="BQ2" s="88"/>
      <c r="BR2" s="86"/>
      <c r="BS2" s="87"/>
    </row>
    <row r="3" ht="22.5" customHeight="1">
      <c r="A3" s="89" t="s">
        <v>127</v>
      </c>
      <c r="B3" s="90" t="s">
        <v>128</v>
      </c>
      <c r="C3" s="91">
        <v>1.0</v>
      </c>
      <c r="D3" s="92"/>
      <c r="E3" s="91"/>
      <c r="F3" s="92"/>
      <c r="G3" s="93"/>
      <c r="H3" s="92"/>
      <c r="I3" s="94"/>
      <c r="J3" s="95"/>
      <c r="K3" s="96"/>
      <c r="L3" s="95"/>
      <c r="M3" s="96"/>
      <c r="N3" s="95"/>
      <c r="O3" s="96"/>
      <c r="P3" s="95"/>
      <c r="Q3" s="96"/>
      <c r="R3" s="95"/>
      <c r="S3" s="96"/>
      <c r="T3" s="95"/>
      <c r="U3" s="96"/>
      <c r="V3" s="95"/>
      <c r="W3" s="96"/>
      <c r="X3" s="95"/>
      <c r="Y3" s="96"/>
      <c r="Z3" s="95"/>
      <c r="AA3" s="96"/>
      <c r="AB3" s="95"/>
      <c r="AC3" s="96"/>
      <c r="AD3" s="95"/>
      <c r="AE3" s="96"/>
      <c r="AF3" s="95"/>
      <c r="AG3" s="96"/>
      <c r="AH3" s="95"/>
      <c r="AI3" s="96"/>
      <c r="AJ3" s="95"/>
      <c r="AK3" s="96"/>
      <c r="AL3" s="95"/>
      <c r="AM3" s="96"/>
      <c r="AN3" s="95"/>
      <c r="AO3" s="96"/>
      <c r="AP3" s="95"/>
      <c r="AQ3" s="96"/>
      <c r="AR3" s="95"/>
      <c r="AS3" s="96"/>
      <c r="AT3" s="95"/>
      <c r="AU3" s="96"/>
      <c r="AV3" s="95"/>
      <c r="AW3" s="96"/>
      <c r="AX3" s="95"/>
      <c r="AY3" s="96"/>
      <c r="AZ3" s="95"/>
      <c r="BA3" s="96"/>
      <c r="BB3" s="95" t="s">
        <v>41</v>
      </c>
      <c r="BC3" s="96">
        <v>20.0</v>
      </c>
      <c r="BD3" s="95"/>
      <c r="BE3" s="96"/>
      <c r="BF3" s="95"/>
      <c r="BG3" s="96"/>
      <c r="BH3" s="95"/>
      <c r="BI3" s="96"/>
      <c r="BJ3" s="95"/>
      <c r="BK3" s="96"/>
      <c r="BL3" s="95"/>
      <c r="BM3" s="96"/>
      <c r="BN3" s="95"/>
      <c r="BO3" s="96"/>
      <c r="BP3" s="95"/>
      <c r="BQ3" s="96"/>
      <c r="BR3" s="95"/>
      <c r="BS3" s="94"/>
    </row>
    <row r="4" ht="22.5" customHeight="1">
      <c r="A4" s="97" t="s">
        <v>207</v>
      </c>
      <c r="B4" s="98" t="s">
        <v>60</v>
      </c>
      <c r="C4" s="99">
        <v>1.0</v>
      </c>
      <c r="D4" s="98" t="s">
        <v>74</v>
      </c>
      <c r="E4" s="99">
        <v>100.0</v>
      </c>
      <c r="F4" s="100" t="s">
        <v>14</v>
      </c>
      <c r="G4" s="101" t="s">
        <v>208</v>
      </c>
      <c r="H4" s="98" t="s">
        <v>15</v>
      </c>
      <c r="I4" s="102" t="s">
        <v>209</v>
      </c>
      <c r="J4" s="86"/>
      <c r="K4" s="88"/>
      <c r="L4" s="86"/>
      <c r="M4" s="88"/>
      <c r="N4" s="86" t="s">
        <v>21</v>
      </c>
      <c r="O4" s="88">
        <v>20.0</v>
      </c>
      <c r="P4" s="86"/>
      <c r="Q4" s="88"/>
      <c r="R4" s="86"/>
      <c r="S4" s="88"/>
      <c r="T4" s="86"/>
      <c r="U4" s="88"/>
      <c r="V4" s="86"/>
      <c r="W4" s="88"/>
      <c r="X4" s="86"/>
      <c r="Y4" s="88"/>
      <c r="Z4" s="86"/>
      <c r="AA4" s="88"/>
      <c r="AB4" s="86" t="s">
        <v>28</v>
      </c>
      <c r="AC4" s="103">
        <v>20.0</v>
      </c>
      <c r="AD4" s="86"/>
      <c r="AE4" s="88"/>
      <c r="AF4" s="86"/>
      <c r="AG4" s="88"/>
      <c r="AH4" s="86"/>
      <c r="AI4" s="88"/>
      <c r="AJ4" s="86"/>
      <c r="AK4" s="88"/>
      <c r="AL4" s="86"/>
      <c r="AM4" s="88"/>
      <c r="AN4" s="86"/>
      <c r="AO4" s="88"/>
      <c r="AP4" s="86"/>
      <c r="AQ4" s="88"/>
      <c r="AR4" s="86"/>
      <c r="AS4" s="88"/>
      <c r="AT4" s="86"/>
      <c r="AU4" s="88"/>
      <c r="AV4" s="86"/>
      <c r="AW4" s="88"/>
      <c r="AX4" s="86"/>
      <c r="AY4" s="88"/>
      <c r="AZ4" s="86"/>
      <c r="BA4" s="88"/>
      <c r="BB4" s="86"/>
      <c r="BC4" s="88"/>
      <c r="BD4" s="86"/>
      <c r="BE4" s="88"/>
      <c r="BF4" s="86"/>
      <c r="BG4" s="88"/>
      <c r="BH4" s="86"/>
      <c r="BI4" s="88"/>
      <c r="BJ4" s="86"/>
      <c r="BK4" s="88"/>
      <c r="BL4" s="86" t="s">
        <v>46</v>
      </c>
      <c r="BM4" s="104">
        <v>1.0</v>
      </c>
      <c r="BN4" s="86"/>
      <c r="BO4" s="88"/>
      <c r="BP4" s="86"/>
      <c r="BQ4" s="88"/>
      <c r="BR4" s="86"/>
      <c r="BS4" s="87"/>
    </row>
    <row r="5" ht="22.5" customHeight="1">
      <c r="A5" s="89" t="s">
        <v>210</v>
      </c>
      <c r="B5" s="90" t="s">
        <v>60</v>
      </c>
      <c r="C5" s="91">
        <v>1.0</v>
      </c>
      <c r="D5" s="90" t="s">
        <v>74</v>
      </c>
      <c r="E5" s="91">
        <v>100.0</v>
      </c>
      <c r="F5" s="105" t="s">
        <v>14</v>
      </c>
      <c r="G5" s="106" t="s">
        <v>208</v>
      </c>
      <c r="H5" s="90" t="s">
        <v>15</v>
      </c>
      <c r="I5" s="102" t="s">
        <v>209</v>
      </c>
      <c r="J5" s="86" t="s">
        <v>19</v>
      </c>
      <c r="K5" s="88">
        <v>1.0</v>
      </c>
      <c r="L5" s="86"/>
      <c r="M5" s="88"/>
      <c r="N5" s="86" t="s">
        <v>21</v>
      </c>
      <c r="O5" s="88">
        <v>20.0</v>
      </c>
      <c r="P5" s="86"/>
      <c r="Q5" s="88"/>
      <c r="R5" s="86"/>
      <c r="S5" s="88"/>
      <c r="T5" s="86"/>
      <c r="U5" s="88"/>
      <c r="V5" s="86"/>
      <c r="W5" s="88"/>
      <c r="X5" s="86"/>
      <c r="Y5" s="88"/>
      <c r="Z5" s="86"/>
      <c r="AA5" s="88"/>
      <c r="AB5" s="86" t="s">
        <v>28</v>
      </c>
      <c r="AC5" s="103">
        <v>20.0</v>
      </c>
      <c r="AD5" s="86"/>
      <c r="AE5" s="88"/>
      <c r="AF5" s="86"/>
      <c r="AG5" s="88"/>
      <c r="AH5" s="86"/>
      <c r="AI5" s="88"/>
      <c r="AJ5" s="86"/>
      <c r="AK5" s="88"/>
      <c r="AL5" s="86"/>
      <c r="AM5" s="88"/>
      <c r="AN5" s="86"/>
      <c r="AO5" s="88"/>
      <c r="AP5" s="86"/>
      <c r="AQ5" s="88"/>
      <c r="AR5" s="86"/>
      <c r="AS5" s="88"/>
      <c r="AT5" s="86"/>
      <c r="AU5" s="88"/>
      <c r="AV5" s="86"/>
      <c r="AW5" s="88"/>
      <c r="AX5" s="86"/>
      <c r="AY5" s="88"/>
      <c r="AZ5" s="86"/>
      <c r="BA5" s="88"/>
      <c r="BB5" s="86"/>
      <c r="BC5" s="88"/>
      <c r="BD5" s="86"/>
      <c r="BE5" s="88"/>
      <c r="BF5" s="86"/>
      <c r="BG5" s="88"/>
      <c r="BH5" s="86"/>
      <c r="BI5" s="88"/>
      <c r="BJ5" s="86"/>
      <c r="BK5" s="88"/>
      <c r="BL5" s="86" t="s">
        <v>46</v>
      </c>
      <c r="BM5" s="104">
        <v>1.0</v>
      </c>
      <c r="BN5" s="86"/>
      <c r="BO5" s="88"/>
      <c r="BP5" s="86"/>
      <c r="BQ5" s="88"/>
      <c r="BR5" s="86"/>
      <c r="BS5" s="87"/>
    </row>
    <row r="6" ht="22.5" customHeight="1">
      <c r="A6" s="97" t="s">
        <v>211</v>
      </c>
      <c r="B6" s="98" t="s">
        <v>60</v>
      </c>
      <c r="C6" s="99">
        <v>1.0</v>
      </c>
      <c r="D6" s="98" t="s">
        <v>74</v>
      </c>
      <c r="E6" s="99">
        <v>100.0</v>
      </c>
      <c r="F6" s="98"/>
      <c r="G6" s="107"/>
      <c r="H6" s="98"/>
      <c r="I6" s="102"/>
      <c r="J6" s="86" t="s">
        <v>19</v>
      </c>
      <c r="K6" s="88">
        <v>1.0</v>
      </c>
      <c r="L6" s="86"/>
      <c r="M6" s="88"/>
      <c r="N6" s="86" t="s">
        <v>21</v>
      </c>
      <c r="O6" s="88">
        <v>20.0</v>
      </c>
      <c r="P6" s="86"/>
      <c r="Q6" s="88"/>
      <c r="R6" s="86" t="s">
        <v>23</v>
      </c>
      <c r="S6" s="103">
        <v>20.0</v>
      </c>
      <c r="T6" s="86" t="s">
        <v>24</v>
      </c>
      <c r="U6" s="88">
        <v>30.0</v>
      </c>
      <c r="V6" s="86"/>
      <c r="W6" s="88"/>
      <c r="X6" s="86"/>
      <c r="Y6" s="88"/>
      <c r="Z6" s="86"/>
      <c r="AA6" s="88"/>
      <c r="AB6" s="86"/>
      <c r="AC6" s="88"/>
      <c r="AD6" s="86"/>
      <c r="AE6" s="88"/>
      <c r="AF6" s="86"/>
      <c r="AG6" s="88"/>
      <c r="AH6" s="86"/>
      <c r="AI6" s="88"/>
      <c r="AJ6" s="86"/>
      <c r="AK6" s="88"/>
      <c r="AL6" s="86"/>
      <c r="AM6" s="88"/>
      <c r="AN6" s="86"/>
      <c r="AO6" s="88"/>
      <c r="AP6" s="86"/>
      <c r="AQ6" s="88"/>
      <c r="AR6" s="86"/>
      <c r="AS6" s="88"/>
      <c r="AT6" s="86"/>
      <c r="AU6" s="88"/>
      <c r="AV6" s="86"/>
      <c r="AW6" s="88"/>
      <c r="AX6" s="86"/>
      <c r="AY6" s="88"/>
      <c r="AZ6" s="86"/>
      <c r="BA6" s="88"/>
      <c r="BB6" s="86"/>
      <c r="BC6" s="88"/>
      <c r="BD6" s="86"/>
      <c r="BE6" s="88"/>
      <c r="BF6" s="86"/>
      <c r="BG6" s="88"/>
      <c r="BH6" s="86"/>
      <c r="BI6" s="88"/>
      <c r="BJ6" s="86"/>
      <c r="BK6" s="88"/>
      <c r="BL6" s="86" t="s">
        <v>46</v>
      </c>
      <c r="BM6" s="104">
        <v>1.0</v>
      </c>
      <c r="BN6" s="86"/>
      <c r="BO6" s="88"/>
      <c r="BP6" s="86"/>
      <c r="BQ6" s="88"/>
      <c r="BR6" s="86"/>
      <c r="BS6" s="87"/>
    </row>
    <row r="7" ht="22.5" customHeight="1">
      <c r="A7" s="89" t="s">
        <v>212</v>
      </c>
      <c r="B7" s="90" t="s">
        <v>213</v>
      </c>
      <c r="C7" s="91">
        <v>1.0</v>
      </c>
      <c r="D7" s="90" t="s">
        <v>74</v>
      </c>
      <c r="E7" s="91">
        <v>150.0</v>
      </c>
      <c r="F7" s="90"/>
      <c r="G7" s="108"/>
      <c r="H7" s="90"/>
      <c r="I7" s="102"/>
      <c r="J7" s="86" t="s">
        <v>19</v>
      </c>
      <c r="K7" s="88"/>
      <c r="L7" s="86"/>
      <c r="M7" s="88"/>
      <c r="N7" s="86" t="s">
        <v>21</v>
      </c>
      <c r="O7" s="88">
        <v>40.0</v>
      </c>
      <c r="P7" s="86"/>
      <c r="Q7" s="88"/>
      <c r="R7" s="86" t="s">
        <v>23</v>
      </c>
      <c r="S7" s="103">
        <v>40.0</v>
      </c>
      <c r="T7" s="86" t="s">
        <v>24</v>
      </c>
      <c r="U7" s="88">
        <v>30.0</v>
      </c>
      <c r="V7" s="86"/>
      <c r="W7" s="88"/>
      <c r="X7" s="86"/>
      <c r="Y7" s="88"/>
      <c r="Z7" s="86"/>
      <c r="AA7" s="88"/>
      <c r="AB7" s="86"/>
      <c r="AC7" s="88"/>
      <c r="AD7" s="86"/>
      <c r="AE7" s="88"/>
      <c r="AF7" s="86"/>
      <c r="AG7" s="88"/>
      <c r="AH7" s="86"/>
      <c r="AI7" s="88"/>
      <c r="AJ7" s="86"/>
      <c r="AK7" s="88"/>
      <c r="AL7" s="86"/>
      <c r="AM7" s="88"/>
      <c r="AN7" s="86"/>
      <c r="AO7" s="88"/>
      <c r="AP7" s="86"/>
      <c r="AQ7" s="88"/>
      <c r="AR7" s="86"/>
      <c r="AS7" s="88"/>
      <c r="AT7" s="86"/>
      <c r="AU7" s="88"/>
      <c r="AV7" s="86"/>
      <c r="AW7" s="88"/>
      <c r="AX7" s="86"/>
      <c r="AY7" s="88"/>
      <c r="AZ7" s="86"/>
      <c r="BA7" s="88"/>
      <c r="BB7" s="86"/>
      <c r="BC7" s="88"/>
      <c r="BD7" s="86"/>
      <c r="BE7" s="88"/>
      <c r="BF7" s="86"/>
      <c r="BG7" s="88"/>
      <c r="BH7" s="86"/>
      <c r="BI7" s="88"/>
      <c r="BJ7" s="86"/>
      <c r="BK7" s="88"/>
      <c r="BL7" s="86" t="s">
        <v>46</v>
      </c>
      <c r="BM7" s="104">
        <v>1.0</v>
      </c>
      <c r="BN7" s="86"/>
      <c r="BO7" s="88"/>
      <c r="BP7" s="86"/>
      <c r="BQ7" s="88"/>
      <c r="BR7" s="86"/>
      <c r="BS7" s="87"/>
    </row>
    <row r="8" ht="22.5" customHeight="1">
      <c r="A8" s="89" t="s">
        <v>154</v>
      </c>
      <c r="B8" s="90" t="s">
        <v>60</v>
      </c>
      <c r="C8" s="91">
        <v>1.0</v>
      </c>
      <c r="D8" s="90" t="s">
        <v>74</v>
      </c>
      <c r="E8" s="91">
        <v>100.0</v>
      </c>
      <c r="F8" s="90" t="s">
        <v>14</v>
      </c>
      <c r="G8" s="106" t="s">
        <v>208</v>
      </c>
      <c r="H8" s="105" t="s">
        <v>15</v>
      </c>
      <c r="I8" s="102" t="s">
        <v>209</v>
      </c>
      <c r="J8" s="86"/>
      <c r="K8" s="88"/>
      <c r="L8" s="86"/>
      <c r="M8" s="88"/>
      <c r="N8" s="86"/>
      <c r="O8" s="88"/>
      <c r="P8" s="86"/>
      <c r="Q8" s="88"/>
      <c r="R8" s="86"/>
      <c r="S8" s="88"/>
      <c r="T8" s="86"/>
      <c r="U8" s="88"/>
      <c r="V8" s="86"/>
      <c r="W8" s="88"/>
      <c r="X8" s="86"/>
      <c r="Y8" s="88"/>
      <c r="Z8" s="86"/>
      <c r="AA8" s="88"/>
      <c r="AB8" s="86"/>
      <c r="AC8" s="88"/>
      <c r="AD8" s="86"/>
      <c r="AE8" s="88"/>
      <c r="AF8" s="86"/>
      <c r="AG8" s="88"/>
      <c r="AH8" s="86"/>
      <c r="AI8" s="88"/>
      <c r="AJ8" s="86"/>
      <c r="AK8" s="88"/>
      <c r="AL8" s="86"/>
      <c r="AM8" s="88"/>
      <c r="AN8" s="86"/>
      <c r="AO8" s="88"/>
      <c r="AP8" s="86"/>
      <c r="AQ8" s="88"/>
      <c r="AR8" s="86"/>
      <c r="AS8" s="88"/>
      <c r="AT8" s="86"/>
      <c r="AU8" s="88"/>
      <c r="AV8" s="86"/>
      <c r="AW8" s="88"/>
      <c r="AX8" s="86"/>
      <c r="AY8" s="88"/>
      <c r="AZ8" s="86"/>
      <c r="BA8" s="88"/>
      <c r="BB8" s="86"/>
      <c r="BC8" s="88"/>
      <c r="BD8" s="86"/>
      <c r="BE8" s="88"/>
      <c r="BF8" s="86"/>
      <c r="BG8" s="88"/>
      <c r="BH8" s="86"/>
      <c r="BI8" s="88"/>
      <c r="BJ8" s="86"/>
      <c r="BK8" s="88"/>
      <c r="BL8" s="86" t="s">
        <v>46</v>
      </c>
      <c r="BM8" s="104">
        <v>1.0</v>
      </c>
      <c r="BN8" s="86"/>
      <c r="BO8" s="88"/>
      <c r="BP8" s="86"/>
      <c r="BQ8" s="88"/>
      <c r="BR8" s="86"/>
      <c r="BS8" s="87"/>
    </row>
    <row r="9" ht="22.5" customHeight="1">
      <c r="A9" s="89" t="s">
        <v>214</v>
      </c>
      <c r="B9" s="90" t="s">
        <v>213</v>
      </c>
      <c r="C9" s="91">
        <v>1.0</v>
      </c>
      <c r="D9" s="90" t="s">
        <v>74</v>
      </c>
      <c r="E9" s="91">
        <v>150.0</v>
      </c>
      <c r="F9" s="90" t="s">
        <v>14</v>
      </c>
      <c r="G9" s="109">
        <v>50.0</v>
      </c>
      <c r="H9" s="105" t="s">
        <v>15</v>
      </c>
      <c r="I9" s="102" t="s">
        <v>215</v>
      </c>
      <c r="J9" s="86"/>
      <c r="K9" s="88"/>
      <c r="L9" s="86"/>
      <c r="M9" s="88"/>
      <c r="N9" s="86"/>
      <c r="O9" s="88"/>
      <c r="P9" s="86"/>
      <c r="Q9" s="88"/>
      <c r="R9" s="86"/>
      <c r="S9" s="88"/>
      <c r="T9" s="86"/>
      <c r="U9" s="88"/>
      <c r="V9" s="86"/>
      <c r="W9" s="88"/>
      <c r="X9" s="86"/>
      <c r="Y9" s="88"/>
      <c r="Z9" s="86"/>
      <c r="AA9" s="88"/>
      <c r="AB9" s="86"/>
      <c r="AC9" s="88"/>
      <c r="AD9" s="86"/>
      <c r="AE9" s="88"/>
      <c r="AF9" s="86"/>
      <c r="AG9" s="88"/>
      <c r="AH9" s="86"/>
      <c r="AI9" s="88"/>
      <c r="AJ9" s="86"/>
      <c r="AK9" s="88"/>
      <c r="AL9" s="86"/>
      <c r="AM9" s="88"/>
      <c r="AN9" s="86"/>
      <c r="AO9" s="88"/>
      <c r="AP9" s="86"/>
      <c r="AQ9" s="88"/>
      <c r="AR9" s="86"/>
      <c r="AS9" s="88"/>
      <c r="AT9" s="86"/>
      <c r="AU9" s="88"/>
      <c r="AV9" s="86"/>
      <c r="AW9" s="88"/>
      <c r="AX9" s="86"/>
      <c r="AY9" s="88"/>
      <c r="AZ9" s="86"/>
      <c r="BA9" s="88"/>
      <c r="BB9" s="86"/>
      <c r="BC9" s="88"/>
      <c r="BD9" s="86"/>
      <c r="BE9" s="88"/>
      <c r="BF9" s="86"/>
      <c r="BG9" s="88"/>
      <c r="BH9" s="86"/>
      <c r="BI9" s="88"/>
      <c r="BJ9" s="86"/>
      <c r="BK9" s="88"/>
      <c r="BL9" s="110" t="s">
        <v>46</v>
      </c>
      <c r="BM9" s="111">
        <v>1.0</v>
      </c>
      <c r="BN9" s="86"/>
      <c r="BO9" s="88"/>
      <c r="BP9" s="86"/>
      <c r="BQ9" s="88"/>
      <c r="BR9" s="86"/>
      <c r="BS9" s="87"/>
    </row>
    <row r="10" ht="22.5" customHeight="1">
      <c r="A10" s="97" t="s">
        <v>73</v>
      </c>
      <c r="B10" s="98" t="s">
        <v>60</v>
      </c>
      <c r="C10" s="99">
        <v>1.0</v>
      </c>
      <c r="D10" s="98" t="s">
        <v>74</v>
      </c>
      <c r="E10" s="99">
        <v>100.0</v>
      </c>
      <c r="F10" s="98"/>
      <c r="G10" s="107"/>
      <c r="H10" s="100"/>
      <c r="I10" s="102"/>
      <c r="J10" s="86" t="s">
        <v>19</v>
      </c>
      <c r="K10" s="88">
        <v>1.0</v>
      </c>
      <c r="L10" s="86"/>
      <c r="M10" s="88"/>
      <c r="N10" s="86"/>
      <c r="O10" s="88"/>
      <c r="P10" s="86"/>
      <c r="Q10" s="88"/>
      <c r="R10" s="86"/>
      <c r="S10" s="88"/>
      <c r="T10" s="86"/>
      <c r="U10" s="88"/>
      <c r="V10" s="86"/>
      <c r="W10" s="88"/>
      <c r="X10" s="86"/>
      <c r="Y10" s="88"/>
      <c r="Z10" s="86"/>
      <c r="AA10" s="88"/>
      <c r="AB10" s="86"/>
      <c r="AC10" s="88"/>
      <c r="AD10" s="86"/>
      <c r="AE10" s="88"/>
      <c r="AF10" s="86"/>
      <c r="AG10" s="88"/>
      <c r="AH10" s="86"/>
      <c r="AI10" s="88"/>
      <c r="AJ10" s="86"/>
      <c r="AK10" s="88"/>
      <c r="AL10" s="86"/>
      <c r="AM10" s="88"/>
      <c r="AN10" s="86"/>
      <c r="AO10" s="88"/>
      <c r="AP10" s="86"/>
      <c r="AQ10" s="88"/>
      <c r="AR10" s="86"/>
      <c r="AS10" s="88"/>
      <c r="AT10" s="86"/>
      <c r="AU10" s="88"/>
      <c r="AV10" s="86"/>
      <c r="AW10" s="88"/>
      <c r="AX10" s="86"/>
      <c r="AY10" s="88"/>
      <c r="AZ10" s="86"/>
      <c r="BA10" s="88"/>
      <c r="BB10" s="86"/>
      <c r="BC10" s="88"/>
      <c r="BD10" s="86"/>
      <c r="BE10" s="88"/>
      <c r="BF10" s="86"/>
      <c r="BG10" s="88"/>
      <c r="BH10" s="86"/>
      <c r="BI10" s="88"/>
      <c r="BJ10" s="86"/>
      <c r="BK10" s="88"/>
      <c r="BL10" s="86" t="s">
        <v>46</v>
      </c>
      <c r="BM10" s="104">
        <v>1.0</v>
      </c>
      <c r="BN10" s="86"/>
      <c r="BO10" s="88"/>
      <c r="BP10" s="86"/>
      <c r="BQ10" s="88"/>
      <c r="BR10" s="86"/>
      <c r="BS10" s="87"/>
    </row>
    <row r="11" ht="22.5" customHeight="1">
      <c r="A11" s="89" t="s">
        <v>216</v>
      </c>
      <c r="B11" s="90" t="s">
        <v>213</v>
      </c>
      <c r="C11" s="91">
        <v>1.0</v>
      </c>
      <c r="D11" s="90" t="s">
        <v>74</v>
      </c>
      <c r="E11" s="91">
        <v>150.0</v>
      </c>
      <c r="F11" s="90"/>
      <c r="G11" s="108"/>
      <c r="H11" s="105"/>
      <c r="I11" s="102"/>
      <c r="J11" s="86" t="s">
        <v>19</v>
      </c>
      <c r="K11" s="103">
        <v>2.0</v>
      </c>
      <c r="L11" s="86"/>
      <c r="M11" s="88"/>
      <c r="N11" s="86"/>
      <c r="O11" s="88"/>
      <c r="P11" s="86"/>
      <c r="Q11" s="88"/>
      <c r="R11" s="86"/>
      <c r="S11" s="88"/>
      <c r="T11" s="86"/>
      <c r="U11" s="88"/>
      <c r="V11" s="86"/>
      <c r="W11" s="88"/>
      <c r="X11" s="86"/>
      <c r="Y11" s="88"/>
      <c r="Z11" s="86"/>
      <c r="AA11" s="88"/>
      <c r="AB11" s="86"/>
      <c r="AC11" s="88"/>
      <c r="AD11" s="86"/>
      <c r="AE11" s="88"/>
      <c r="AF11" s="86"/>
      <c r="AG11" s="88"/>
      <c r="AH11" s="86"/>
      <c r="AI11" s="88"/>
      <c r="AJ11" s="86"/>
      <c r="AK11" s="88"/>
      <c r="AL11" s="86"/>
      <c r="AM11" s="88"/>
      <c r="AN11" s="86"/>
      <c r="AO11" s="88"/>
      <c r="AP11" s="86"/>
      <c r="AQ11" s="88"/>
      <c r="AR11" s="86"/>
      <c r="AS11" s="88"/>
      <c r="AT11" s="86"/>
      <c r="AU11" s="88"/>
      <c r="AV11" s="86"/>
      <c r="AW11" s="88"/>
      <c r="AX11" s="86"/>
      <c r="AY11" s="88"/>
      <c r="AZ11" s="86"/>
      <c r="BA11" s="88"/>
      <c r="BB11" s="86"/>
      <c r="BC11" s="88"/>
      <c r="BD11" s="86"/>
      <c r="BE11" s="88"/>
      <c r="BF11" s="86"/>
      <c r="BG11" s="88"/>
      <c r="BH11" s="86"/>
      <c r="BI11" s="88"/>
      <c r="BJ11" s="86"/>
      <c r="BK11" s="88"/>
      <c r="BL11" s="86" t="s">
        <v>46</v>
      </c>
      <c r="BM11" s="104">
        <v>1.0</v>
      </c>
      <c r="BN11" s="86"/>
      <c r="BO11" s="88"/>
      <c r="BP11" s="86"/>
      <c r="BQ11" s="88"/>
      <c r="BR11" s="86"/>
      <c r="BS11" s="87"/>
    </row>
    <row r="12" ht="22.5" customHeight="1">
      <c r="A12" s="97" t="s">
        <v>159</v>
      </c>
      <c r="B12" s="100" t="s">
        <v>160</v>
      </c>
      <c r="C12" s="99">
        <v>1.0</v>
      </c>
      <c r="D12" s="100"/>
      <c r="E12" s="99"/>
      <c r="F12" s="100"/>
      <c r="G12" s="107"/>
      <c r="H12" s="100"/>
      <c r="I12" s="102"/>
      <c r="J12" s="86"/>
      <c r="K12" s="88"/>
      <c r="L12" s="86"/>
      <c r="M12" s="88"/>
      <c r="N12" s="86"/>
      <c r="O12" s="88"/>
      <c r="P12" s="86"/>
      <c r="Q12" s="88"/>
      <c r="R12" s="86"/>
      <c r="S12" s="88"/>
      <c r="T12" s="86"/>
      <c r="U12" s="88"/>
      <c r="V12" s="86"/>
      <c r="W12" s="88"/>
      <c r="X12" s="86"/>
      <c r="Y12" s="88"/>
      <c r="Z12" s="86"/>
      <c r="AA12" s="88"/>
      <c r="AB12" s="86"/>
      <c r="AC12" s="88"/>
      <c r="AD12" s="86"/>
      <c r="AE12" s="88"/>
      <c r="AF12" s="86"/>
      <c r="AG12" s="88"/>
      <c r="AH12" s="86"/>
      <c r="AI12" s="88"/>
      <c r="AJ12" s="86"/>
      <c r="AK12" s="88"/>
      <c r="AL12" s="86"/>
      <c r="AM12" s="88"/>
      <c r="AN12" s="86"/>
      <c r="AO12" s="88"/>
      <c r="AP12" s="86"/>
      <c r="AQ12" s="88"/>
      <c r="AR12" s="86"/>
      <c r="AS12" s="88"/>
      <c r="AT12" s="86"/>
      <c r="AU12" s="88"/>
      <c r="AV12" s="86"/>
      <c r="AW12" s="88"/>
      <c r="AX12" s="86"/>
      <c r="AY12" s="88"/>
      <c r="AZ12" s="86"/>
      <c r="BA12" s="88"/>
      <c r="BB12" s="86"/>
      <c r="BC12" s="88"/>
      <c r="BD12" s="86"/>
      <c r="BE12" s="88"/>
      <c r="BF12" s="86"/>
      <c r="BG12" s="88"/>
      <c r="BH12" s="86"/>
      <c r="BI12" s="88"/>
      <c r="BJ12" s="86"/>
      <c r="BK12" s="88"/>
      <c r="BL12" s="86"/>
      <c r="BM12" s="88"/>
      <c r="BN12" s="86"/>
      <c r="BO12" s="88"/>
      <c r="BP12" s="86"/>
      <c r="BQ12" s="88"/>
      <c r="BR12" s="86"/>
      <c r="BS12" s="87"/>
    </row>
    <row r="13" ht="22.5" customHeight="1">
      <c r="A13" s="80" t="s">
        <v>217</v>
      </c>
      <c r="B13" s="81" t="s">
        <v>218</v>
      </c>
      <c r="C13" s="82">
        <v>1.0</v>
      </c>
      <c r="D13" s="83"/>
      <c r="E13" s="84"/>
      <c r="F13" s="83"/>
      <c r="G13" s="85"/>
      <c r="H13" s="86"/>
      <c r="I13" s="87"/>
      <c r="J13" s="86"/>
      <c r="K13" s="88"/>
      <c r="L13" s="86"/>
      <c r="M13" s="88"/>
      <c r="N13" s="86"/>
      <c r="O13" s="88"/>
      <c r="P13" s="86"/>
      <c r="Q13" s="88"/>
      <c r="R13" s="86"/>
      <c r="S13" s="88"/>
      <c r="T13" s="86"/>
      <c r="U13" s="88"/>
      <c r="V13" s="86"/>
      <c r="W13" s="88"/>
      <c r="X13" s="86"/>
      <c r="Y13" s="88"/>
      <c r="Z13" s="86"/>
      <c r="AA13" s="88"/>
      <c r="AB13" s="86"/>
      <c r="AC13" s="88"/>
      <c r="AD13" s="86"/>
      <c r="AE13" s="88"/>
      <c r="AF13" s="86"/>
      <c r="AG13" s="88"/>
      <c r="AH13" s="86"/>
      <c r="AI13" s="88"/>
      <c r="AJ13" s="86"/>
      <c r="AK13" s="88"/>
      <c r="AL13" s="86"/>
      <c r="AM13" s="88"/>
      <c r="AN13" s="86"/>
      <c r="AO13" s="88"/>
      <c r="AP13" s="86"/>
      <c r="AQ13" s="88"/>
      <c r="AR13" s="86"/>
      <c r="AS13" s="88"/>
      <c r="AT13" s="86"/>
      <c r="AU13" s="88"/>
      <c r="AV13" s="86"/>
      <c r="AW13" s="88"/>
      <c r="AX13" s="86"/>
      <c r="AY13" s="88"/>
      <c r="AZ13" s="86"/>
      <c r="BA13" s="88"/>
      <c r="BB13" s="86"/>
      <c r="BC13" s="88"/>
      <c r="BD13" s="86"/>
      <c r="BE13" s="88"/>
      <c r="BF13" s="86"/>
      <c r="BG13" s="88"/>
      <c r="BH13" s="86"/>
      <c r="BI13" s="88"/>
      <c r="BJ13" s="86"/>
      <c r="BK13" s="88"/>
      <c r="BL13" s="86"/>
      <c r="BM13" s="88"/>
      <c r="BN13" s="86"/>
      <c r="BO13" s="88"/>
      <c r="BP13" s="86"/>
      <c r="BQ13" s="88"/>
      <c r="BR13" s="86"/>
      <c r="BS13" s="87"/>
    </row>
    <row r="14" ht="22.5" customHeight="1">
      <c r="A14" s="97" t="s">
        <v>135</v>
      </c>
      <c r="B14" s="100" t="s">
        <v>136</v>
      </c>
      <c r="C14" s="99">
        <v>1.0</v>
      </c>
      <c r="D14" s="112"/>
      <c r="E14" s="99"/>
      <c r="F14" s="112"/>
      <c r="G14" s="113"/>
      <c r="H14" s="112"/>
      <c r="I14" s="94"/>
      <c r="J14" s="95"/>
      <c r="K14" s="96"/>
      <c r="L14" s="95"/>
      <c r="M14" s="96"/>
      <c r="N14" s="95"/>
      <c r="O14" s="96"/>
      <c r="P14" s="95"/>
      <c r="Q14" s="96"/>
      <c r="R14" s="95"/>
      <c r="S14" s="96"/>
      <c r="T14" s="95"/>
      <c r="U14" s="96"/>
      <c r="V14" s="95"/>
      <c r="W14" s="96"/>
      <c r="X14" s="95"/>
      <c r="Y14" s="96"/>
      <c r="Z14" s="95"/>
      <c r="AA14" s="96"/>
      <c r="AB14" s="95"/>
      <c r="AC14" s="96"/>
      <c r="AD14" s="95"/>
      <c r="AE14" s="96"/>
      <c r="AF14" s="95"/>
      <c r="AG14" s="96"/>
      <c r="AH14" s="95"/>
      <c r="AI14" s="96"/>
      <c r="AJ14" s="95"/>
      <c r="AK14" s="96"/>
      <c r="AL14" s="95"/>
      <c r="AM14" s="96"/>
      <c r="AN14" s="95"/>
      <c r="AO14" s="96"/>
      <c r="AP14" s="95"/>
      <c r="AQ14" s="96"/>
      <c r="AR14" s="95" t="s">
        <v>137</v>
      </c>
      <c r="AS14" s="96">
        <v>10.0</v>
      </c>
      <c r="AT14" s="95"/>
      <c r="AU14" s="96"/>
      <c r="AV14" s="95"/>
      <c r="AW14" s="96"/>
      <c r="AX14" s="95"/>
      <c r="AY14" s="96"/>
      <c r="AZ14" s="95"/>
      <c r="BA14" s="96"/>
      <c r="BB14" s="95"/>
      <c r="BC14" s="96"/>
      <c r="BD14" s="95" t="s">
        <v>42</v>
      </c>
      <c r="BE14" s="96">
        <v>0.34</v>
      </c>
      <c r="BF14" s="95" t="s">
        <v>43</v>
      </c>
      <c r="BG14" s="96">
        <v>1.0</v>
      </c>
      <c r="BH14" s="95" t="s">
        <v>44</v>
      </c>
      <c r="BI14" s="96">
        <v>1.0</v>
      </c>
      <c r="BJ14" s="95"/>
      <c r="BK14" s="96"/>
      <c r="BL14" s="95"/>
      <c r="BM14" s="96"/>
      <c r="BN14" s="95" t="s">
        <v>47</v>
      </c>
      <c r="BO14" s="114">
        <v>1.0</v>
      </c>
      <c r="BP14" s="95"/>
      <c r="BQ14" s="96"/>
      <c r="BR14" s="95"/>
      <c r="BS14" s="94"/>
    </row>
    <row r="15" ht="22.5" customHeight="1">
      <c r="A15" s="80" t="s">
        <v>219</v>
      </c>
      <c r="B15" s="81" t="s">
        <v>219</v>
      </c>
      <c r="C15" s="82">
        <v>1.0</v>
      </c>
      <c r="D15" s="83"/>
      <c r="E15" s="84"/>
      <c r="F15" s="83"/>
      <c r="G15" s="85"/>
      <c r="H15" s="86"/>
      <c r="I15" s="87"/>
      <c r="J15" s="86"/>
      <c r="K15" s="88"/>
      <c r="L15" s="86"/>
      <c r="M15" s="88"/>
      <c r="N15" s="86"/>
      <c r="O15" s="88"/>
      <c r="P15" s="86"/>
      <c r="Q15" s="88"/>
      <c r="R15" s="86"/>
      <c r="S15" s="88"/>
      <c r="T15" s="86"/>
      <c r="U15" s="88"/>
      <c r="V15" s="86"/>
      <c r="W15" s="88"/>
      <c r="X15" s="86"/>
      <c r="Y15" s="88"/>
      <c r="Z15" s="86"/>
      <c r="AA15" s="88"/>
      <c r="AB15" s="86"/>
      <c r="AC15" s="88"/>
      <c r="AD15" s="86"/>
      <c r="AE15" s="88"/>
      <c r="AF15" s="86"/>
      <c r="AG15" s="88"/>
      <c r="AH15" s="86"/>
      <c r="AI15" s="88"/>
      <c r="AJ15" s="86"/>
      <c r="AK15" s="88"/>
      <c r="AL15" s="86"/>
      <c r="AM15" s="88"/>
      <c r="AN15" s="86"/>
      <c r="AO15" s="88"/>
      <c r="AP15" s="86"/>
      <c r="AQ15" s="88"/>
      <c r="AR15" s="86"/>
      <c r="AS15" s="88"/>
      <c r="AT15" s="86"/>
      <c r="AU15" s="88"/>
      <c r="AV15" s="86"/>
      <c r="AW15" s="88"/>
      <c r="AX15" s="86"/>
      <c r="AY15" s="88"/>
      <c r="AZ15" s="86"/>
      <c r="BA15" s="88"/>
      <c r="BB15" s="86"/>
      <c r="BC15" s="88"/>
      <c r="BD15" s="86"/>
      <c r="BE15" s="88"/>
      <c r="BF15" s="86"/>
      <c r="BG15" s="88"/>
      <c r="BH15" s="86"/>
      <c r="BI15" s="88"/>
      <c r="BJ15" s="86"/>
      <c r="BK15" s="88"/>
      <c r="BL15" s="86"/>
      <c r="BM15" s="88"/>
      <c r="BN15" s="86"/>
      <c r="BO15" s="88"/>
      <c r="BP15" s="86"/>
      <c r="BQ15" s="88"/>
      <c r="BR15" s="86"/>
      <c r="BS15" s="87"/>
    </row>
    <row r="16" ht="22.5" customHeight="1">
      <c r="A16" s="89" t="s">
        <v>220</v>
      </c>
      <c r="B16" s="90" t="s">
        <v>71</v>
      </c>
      <c r="C16" s="91">
        <v>1.0</v>
      </c>
      <c r="D16" s="90" t="s">
        <v>74</v>
      </c>
      <c r="E16" s="91">
        <v>100.0</v>
      </c>
      <c r="F16" s="90" t="s">
        <v>13</v>
      </c>
      <c r="G16" s="106" t="s">
        <v>221</v>
      </c>
      <c r="H16" s="90" t="s">
        <v>15</v>
      </c>
      <c r="I16" s="102" t="s">
        <v>209</v>
      </c>
      <c r="J16" s="86" t="s">
        <v>19</v>
      </c>
      <c r="K16" s="115" t="s">
        <v>221</v>
      </c>
      <c r="L16" s="86"/>
      <c r="M16" s="88"/>
      <c r="N16" s="86" t="s">
        <v>21</v>
      </c>
      <c r="O16" s="88">
        <v>20.0</v>
      </c>
      <c r="P16" s="86"/>
      <c r="Q16" s="88"/>
      <c r="R16" s="86"/>
      <c r="S16" s="88"/>
      <c r="T16" s="86"/>
      <c r="U16" s="88"/>
      <c r="V16" s="86"/>
      <c r="W16" s="88"/>
      <c r="X16" s="86"/>
      <c r="Y16" s="88"/>
      <c r="Z16" s="86"/>
      <c r="AA16" s="88"/>
      <c r="AB16" s="86"/>
      <c r="AC16" s="88"/>
      <c r="AD16" s="86"/>
      <c r="AE16" s="88"/>
      <c r="AF16" s="86"/>
      <c r="AG16" s="88"/>
      <c r="AH16" s="86"/>
      <c r="AI16" s="88"/>
      <c r="AJ16" s="86"/>
      <c r="AK16" s="88"/>
      <c r="AL16" s="86"/>
      <c r="AM16" s="88"/>
      <c r="AN16" s="86"/>
      <c r="AO16" s="88"/>
      <c r="AP16" s="86"/>
      <c r="AQ16" s="88"/>
      <c r="AR16" s="86"/>
      <c r="AS16" s="88"/>
      <c r="AT16" s="86"/>
      <c r="AU16" s="88"/>
      <c r="AV16" s="86"/>
      <c r="AW16" s="88"/>
      <c r="AX16" s="86"/>
      <c r="AY16" s="88"/>
      <c r="AZ16" s="86"/>
      <c r="BA16" s="88"/>
      <c r="BB16" s="86"/>
      <c r="BC16" s="88"/>
      <c r="BD16" s="86"/>
      <c r="BE16" s="88"/>
      <c r="BF16" s="86"/>
      <c r="BG16" s="88"/>
      <c r="BH16" s="86"/>
      <c r="BI16" s="88"/>
      <c r="BJ16" s="86"/>
      <c r="BK16" s="88"/>
      <c r="BL16" s="86"/>
      <c r="BM16" s="88"/>
      <c r="BN16" s="86" t="s">
        <v>47</v>
      </c>
      <c r="BO16" s="114">
        <v>1.0</v>
      </c>
      <c r="BP16" s="86"/>
      <c r="BQ16" s="88"/>
      <c r="BR16" s="86"/>
      <c r="BS16" s="87"/>
    </row>
    <row r="17" ht="22.5" customHeight="1">
      <c r="A17" s="116" t="s">
        <v>222</v>
      </c>
      <c r="B17" s="90" t="s">
        <v>71</v>
      </c>
      <c r="C17" s="91">
        <v>1.0</v>
      </c>
      <c r="D17" s="90" t="s">
        <v>74</v>
      </c>
      <c r="E17" s="91">
        <v>100.0</v>
      </c>
      <c r="F17" s="90" t="s">
        <v>13</v>
      </c>
      <c r="G17" s="106" t="s">
        <v>221</v>
      </c>
      <c r="H17" s="105"/>
      <c r="I17" s="102"/>
      <c r="J17" s="86" t="s">
        <v>19</v>
      </c>
      <c r="K17" s="115" t="s">
        <v>221</v>
      </c>
      <c r="L17" s="86" t="s">
        <v>20</v>
      </c>
      <c r="M17" s="88">
        <v>20.0</v>
      </c>
      <c r="N17" s="86"/>
      <c r="O17" s="88"/>
      <c r="P17" s="86"/>
      <c r="Q17" s="88"/>
      <c r="R17" s="86"/>
      <c r="S17" s="88"/>
      <c r="T17" s="86"/>
      <c r="U17" s="88"/>
      <c r="V17" s="86"/>
      <c r="W17" s="88"/>
      <c r="X17" s="86"/>
      <c r="Y17" s="88"/>
      <c r="Z17" s="86"/>
      <c r="AA17" s="88"/>
      <c r="AB17" s="86"/>
      <c r="AC17" s="88"/>
      <c r="AD17" s="86"/>
      <c r="AE17" s="88"/>
      <c r="AF17" s="86"/>
      <c r="AG17" s="88"/>
      <c r="AH17" s="86" t="s">
        <v>31</v>
      </c>
      <c r="AI17" s="104">
        <v>2.0</v>
      </c>
      <c r="AJ17" s="86" t="s">
        <v>32</v>
      </c>
      <c r="AK17" s="103">
        <v>10.0</v>
      </c>
      <c r="AL17" s="86"/>
      <c r="AM17" s="88"/>
      <c r="AN17" s="86"/>
      <c r="AO17" s="88"/>
      <c r="AP17" s="86"/>
      <c r="AQ17" s="88"/>
      <c r="AR17" s="86"/>
      <c r="AS17" s="88"/>
      <c r="AT17" s="86"/>
      <c r="AU17" s="88"/>
      <c r="AV17" s="86"/>
      <c r="AW17" s="88"/>
      <c r="AX17" s="86"/>
      <c r="AY17" s="88"/>
      <c r="AZ17" s="86"/>
      <c r="BA17" s="88"/>
      <c r="BB17" s="86"/>
      <c r="BC17" s="88"/>
      <c r="BD17" s="86"/>
      <c r="BE17" s="88"/>
      <c r="BF17" s="86"/>
      <c r="BG17" s="88"/>
      <c r="BH17" s="86"/>
      <c r="BI17" s="88"/>
      <c r="BJ17" s="86"/>
      <c r="BK17" s="88"/>
      <c r="BL17" s="86"/>
      <c r="BM17" s="88"/>
      <c r="BN17" s="86" t="s">
        <v>47</v>
      </c>
      <c r="BO17" s="114">
        <v>1.0</v>
      </c>
      <c r="BP17" s="86"/>
      <c r="BQ17" s="88"/>
      <c r="BR17" s="86"/>
      <c r="BS17" s="87"/>
    </row>
    <row r="18" ht="22.5" customHeight="1">
      <c r="A18" s="89" t="s">
        <v>223</v>
      </c>
      <c r="B18" s="90" t="s">
        <v>71</v>
      </c>
      <c r="C18" s="91">
        <v>1.0</v>
      </c>
      <c r="D18" s="90" t="s">
        <v>224</v>
      </c>
      <c r="E18" s="91">
        <v>100.0</v>
      </c>
      <c r="F18" s="105" t="s">
        <v>13</v>
      </c>
      <c r="G18" s="106" t="s">
        <v>221</v>
      </c>
      <c r="H18" s="105" t="s">
        <v>15</v>
      </c>
      <c r="I18" s="102" t="s">
        <v>209</v>
      </c>
      <c r="J18" s="86"/>
      <c r="K18" s="88"/>
      <c r="L18" s="86"/>
      <c r="M18" s="88"/>
      <c r="N18" s="86"/>
      <c r="O18" s="88"/>
      <c r="P18" s="86"/>
      <c r="Q18" s="88"/>
      <c r="R18" s="86"/>
      <c r="S18" s="88"/>
      <c r="T18" s="86"/>
      <c r="U18" s="88"/>
      <c r="V18" s="86"/>
      <c r="W18" s="88"/>
      <c r="X18" s="86"/>
      <c r="Y18" s="88"/>
      <c r="Z18" s="86"/>
      <c r="AA18" s="88"/>
      <c r="AB18" s="86"/>
      <c r="AC18" s="88"/>
      <c r="AD18" s="86"/>
      <c r="AE18" s="88"/>
      <c r="AF18" s="86"/>
      <c r="AG18" s="88"/>
      <c r="AH18" s="86"/>
      <c r="AI18" s="88"/>
      <c r="AJ18" s="86"/>
      <c r="AK18" s="88"/>
      <c r="AL18" s="86"/>
      <c r="AM18" s="88"/>
      <c r="AN18" s="86"/>
      <c r="AO18" s="88"/>
      <c r="AP18" s="86"/>
      <c r="AQ18" s="88"/>
      <c r="AR18" s="86"/>
      <c r="AS18" s="88"/>
      <c r="AT18" s="86"/>
      <c r="AU18" s="88"/>
      <c r="AV18" s="86"/>
      <c r="AW18" s="88"/>
      <c r="AX18" s="86"/>
      <c r="AY18" s="88"/>
      <c r="AZ18" s="86"/>
      <c r="BA18" s="88"/>
      <c r="BB18" s="86"/>
      <c r="BC18" s="88"/>
      <c r="BD18" s="86"/>
      <c r="BE18" s="88"/>
      <c r="BF18" s="86"/>
      <c r="BG18" s="88"/>
      <c r="BH18" s="86"/>
      <c r="BI18" s="88"/>
      <c r="BJ18" s="86"/>
      <c r="BK18" s="88"/>
      <c r="BL18" s="86"/>
      <c r="BM18" s="88"/>
      <c r="BN18" s="117" t="s">
        <v>47</v>
      </c>
      <c r="BO18" s="104">
        <v>1.0</v>
      </c>
      <c r="BP18" s="86"/>
      <c r="BQ18" s="88"/>
      <c r="BR18" s="86"/>
      <c r="BS18" s="87"/>
    </row>
    <row r="19" ht="22.5" customHeight="1">
      <c r="A19" s="97" t="s">
        <v>225</v>
      </c>
      <c r="B19" s="100" t="s">
        <v>71</v>
      </c>
      <c r="C19" s="99">
        <v>1.0</v>
      </c>
      <c r="D19" s="98" t="s">
        <v>74</v>
      </c>
      <c r="E19" s="99">
        <v>100.0</v>
      </c>
      <c r="F19" s="100" t="s">
        <v>13</v>
      </c>
      <c r="G19" s="101" t="s">
        <v>221</v>
      </c>
      <c r="H19" s="98"/>
      <c r="I19" s="102"/>
      <c r="J19" s="86" t="s">
        <v>19</v>
      </c>
      <c r="K19" s="115" t="s">
        <v>221</v>
      </c>
      <c r="L19" s="86" t="s">
        <v>20</v>
      </c>
      <c r="M19" s="88">
        <v>20.0</v>
      </c>
      <c r="N19" s="86" t="s">
        <v>21</v>
      </c>
      <c r="O19" s="88">
        <v>20.0</v>
      </c>
      <c r="P19" s="86"/>
      <c r="Q19" s="88"/>
      <c r="R19" s="86"/>
      <c r="S19" s="88"/>
      <c r="T19" s="86"/>
      <c r="U19" s="88"/>
      <c r="V19" s="86"/>
      <c r="W19" s="88"/>
      <c r="X19" s="86"/>
      <c r="Y19" s="88"/>
      <c r="Z19" s="86"/>
      <c r="AA19" s="88"/>
      <c r="AB19" s="86" t="s">
        <v>28</v>
      </c>
      <c r="AC19" s="103">
        <v>10.0</v>
      </c>
      <c r="AD19" s="86"/>
      <c r="AE19" s="88"/>
      <c r="AF19" s="86"/>
      <c r="AG19" s="88"/>
      <c r="AH19" s="86"/>
      <c r="AI19" s="88"/>
      <c r="AJ19" s="86"/>
      <c r="AK19" s="88"/>
      <c r="AL19" s="86" t="s">
        <v>33</v>
      </c>
      <c r="AM19" s="88">
        <v>20.0</v>
      </c>
      <c r="AN19" s="86"/>
      <c r="AO19" s="88"/>
      <c r="AP19" s="86"/>
      <c r="AQ19" s="88"/>
      <c r="AR19" s="86"/>
      <c r="AS19" s="88"/>
      <c r="AT19" s="86"/>
      <c r="AU19" s="88"/>
      <c r="AV19" s="86"/>
      <c r="AW19" s="88"/>
      <c r="AX19" s="86"/>
      <c r="AY19" s="88"/>
      <c r="AZ19" s="86"/>
      <c r="BA19" s="88"/>
      <c r="BB19" s="86"/>
      <c r="BC19" s="88"/>
      <c r="BD19" s="86"/>
      <c r="BE19" s="88"/>
      <c r="BF19" s="86"/>
      <c r="BG19" s="88"/>
      <c r="BH19" s="86"/>
      <c r="BI19" s="88"/>
      <c r="BJ19" s="86"/>
      <c r="BK19" s="88"/>
      <c r="BL19" s="86"/>
      <c r="BM19" s="88"/>
      <c r="BN19" s="86" t="s">
        <v>47</v>
      </c>
      <c r="BO19" s="114">
        <v>1.0</v>
      </c>
      <c r="BP19" s="86"/>
      <c r="BQ19" s="88"/>
      <c r="BR19" s="86"/>
      <c r="BS19" s="87"/>
    </row>
    <row r="20" ht="22.5" customHeight="1">
      <c r="A20" s="89" t="s">
        <v>86</v>
      </c>
      <c r="B20" s="90" t="s">
        <v>71</v>
      </c>
      <c r="C20" s="91">
        <v>1.0</v>
      </c>
      <c r="D20" s="90" t="s">
        <v>74</v>
      </c>
      <c r="E20" s="91">
        <v>100.0</v>
      </c>
      <c r="F20" s="105" t="s">
        <v>13</v>
      </c>
      <c r="G20" s="106" t="s">
        <v>221</v>
      </c>
      <c r="H20" s="90"/>
      <c r="I20" s="102"/>
      <c r="J20" s="86"/>
      <c r="K20" s="88"/>
      <c r="L20" s="86" t="s">
        <v>20</v>
      </c>
      <c r="M20" s="88">
        <v>20.0</v>
      </c>
      <c r="N20" s="86" t="s">
        <v>21</v>
      </c>
      <c r="O20" s="88">
        <v>20.0</v>
      </c>
      <c r="P20" s="86"/>
      <c r="Q20" s="88"/>
      <c r="R20" s="86"/>
      <c r="S20" s="88"/>
      <c r="T20" s="86"/>
      <c r="U20" s="88"/>
      <c r="V20" s="86"/>
      <c r="W20" s="88"/>
      <c r="X20" s="86" t="s">
        <v>26</v>
      </c>
      <c r="Y20" s="103">
        <v>10.0</v>
      </c>
      <c r="Z20" s="86" t="s">
        <v>27</v>
      </c>
      <c r="AA20" s="103">
        <v>10.0</v>
      </c>
      <c r="AB20" s="86"/>
      <c r="AC20" s="88"/>
      <c r="AD20" s="86" t="s">
        <v>29</v>
      </c>
      <c r="AE20" s="103">
        <v>10.0</v>
      </c>
      <c r="AF20" s="86"/>
      <c r="AG20" s="88"/>
      <c r="AH20" s="86"/>
      <c r="AI20" s="88"/>
      <c r="AJ20" s="86"/>
      <c r="AK20" s="88"/>
      <c r="AL20" s="86"/>
      <c r="AM20" s="88"/>
      <c r="AN20" s="86"/>
      <c r="AO20" s="88"/>
      <c r="AP20" s="86"/>
      <c r="AQ20" s="88"/>
      <c r="AR20" s="86"/>
      <c r="AS20" s="88"/>
      <c r="AT20" s="86"/>
      <c r="AU20" s="88"/>
      <c r="AV20" s="86"/>
      <c r="AW20" s="88"/>
      <c r="AX20" s="86"/>
      <c r="AY20" s="88"/>
      <c r="AZ20" s="86"/>
      <c r="BA20" s="88"/>
      <c r="BB20" s="86"/>
      <c r="BC20" s="88"/>
      <c r="BD20" s="86"/>
      <c r="BE20" s="88"/>
      <c r="BF20" s="86"/>
      <c r="BG20" s="88"/>
      <c r="BH20" s="86"/>
      <c r="BI20" s="88"/>
      <c r="BJ20" s="86"/>
      <c r="BK20" s="88"/>
      <c r="BL20" s="86"/>
      <c r="BM20" s="88"/>
      <c r="BN20" s="86" t="s">
        <v>47</v>
      </c>
      <c r="BO20" s="114">
        <v>1.0</v>
      </c>
      <c r="BP20" s="86"/>
      <c r="BQ20" s="88"/>
      <c r="BR20" s="86"/>
      <c r="BS20" s="87"/>
    </row>
    <row r="21" ht="22.5" customHeight="1">
      <c r="A21" s="97" t="s">
        <v>88</v>
      </c>
      <c r="B21" s="98" t="s">
        <v>71</v>
      </c>
      <c r="C21" s="99">
        <v>1.0</v>
      </c>
      <c r="D21" s="98" t="s">
        <v>74</v>
      </c>
      <c r="E21" s="99">
        <v>100.0</v>
      </c>
      <c r="F21" s="100" t="s">
        <v>13</v>
      </c>
      <c r="G21" s="101" t="s">
        <v>221</v>
      </c>
      <c r="H21" s="100" t="s">
        <v>15</v>
      </c>
      <c r="I21" s="102" t="s">
        <v>209</v>
      </c>
      <c r="J21" s="86"/>
      <c r="K21" s="88"/>
      <c r="L21" s="86"/>
      <c r="M21" s="88"/>
      <c r="N21" s="86"/>
      <c r="O21" s="88"/>
      <c r="P21" s="86"/>
      <c r="Q21" s="88"/>
      <c r="R21" s="86"/>
      <c r="S21" s="88"/>
      <c r="T21" s="86"/>
      <c r="U21" s="88"/>
      <c r="V21" s="86"/>
      <c r="W21" s="88"/>
      <c r="X21" s="86"/>
      <c r="Y21" s="88"/>
      <c r="Z21" s="86"/>
      <c r="AA21" s="88"/>
      <c r="AB21" s="86"/>
      <c r="AC21" s="88"/>
      <c r="AD21" s="86"/>
      <c r="AE21" s="88"/>
      <c r="AF21" s="86"/>
      <c r="AG21" s="88"/>
      <c r="AH21" s="86"/>
      <c r="AI21" s="88"/>
      <c r="AJ21" s="86"/>
      <c r="AK21" s="88"/>
      <c r="AL21" s="86"/>
      <c r="AM21" s="88"/>
      <c r="AN21" s="86"/>
      <c r="AO21" s="88"/>
      <c r="AP21" s="86"/>
      <c r="AQ21" s="88"/>
      <c r="AR21" s="86"/>
      <c r="AS21" s="88"/>
      <c r="AT21" s="86"/>
      <c r="AU21" s="88"/>
      <c r="AV21" s="86"/>
      <c r="AW21" s="88"/>
      <c r="AX21" s="86"/>
      <c r="AY21" s="88"/>
      <c r="AZ21" s="86"/>
      <c r="BA21" s="88"/>
      <c r="BB21" s="86"/>
      <c r="BC21" s="88"/>
      <c r="BD21" s="86"/>
      <c r="BE21" s="88"/>
      <c r="BF21" s="86"/>
      <c r="BG21" s="88"/>
      <c r="BH21" s="86"/>
      <c r="BI21" s="88"/>
      <c r="BJ21" s="86"/>
      <c r="BK21" s="88"/>
      <c r="BL21" s="86"/>
      <c r="BM21" s="88"/>
      <c r="BN21" s="86" t="s">
        <v>47</v>
      </c>
      <c r="BO21" s="114">
        <v>1.0</v>
      </c>
      <c r="BP21" s="86"/>
      <c r="BQ21" s="88"/>
      <c r="BR21" s="86"/>
      <c r="BS21" s="87"/>
    </row>
    <row r="22" ht="22.5" customHeight="1">
      <c r="A22" s="89" t="s">
        <v>226</v>
      </c>
      <c r="B22" s="90" t="s">
        <v>71</v>
      </c>
      <c r="C22" s="91">
        <v>1.0</v>
      </c>
      <c r="D22" s="90" t="s">
        <v>74</v>
      </c>
      <c r="E22" s="91">
        <v>100.0</v>
      </c>
      <c r="F22" s="90"/>
      <c r="G22" s="109"/>
      <c r="H22" s="105"/>
      <c r="I22" s="102"/>
      <c r="J22" s="86" t="s">
        <v>19</v>
      </c>
      <c r="K22" s="115" t="s">
        <v>221</v>
      </c>
      <c r="L22" s="86"/>
      <c r="M22" s="88"/>
      <c r="N22" s="86"/>
      <c r="O22" s="88"/>
      <c r="P22" s="86"/>
      <c r="Q22" s="88"/>
      <c r="R22" s="86"/>
      <c r="S22" s="88"/>
      <c r="T22" s="86"/>
      <c r="U22" s="88"/>
      <c r="V22" s="86"/>
      <c r="W22" s="88"/>
      <c r="X22" s="86"/>
      <c r="Y22" s="88"/>
      <c r="Z22" s="86"/>
      <c r="AA22" s="88"/>
      <c r="AB22" s="86"/>
      <c r="AC22" s="88"/>
      <c r="AD22" s="86"/>
      <c r="AE22" s="88"/>
      <c r="AF22" s="86"/>
      <c r="AG22" s="88"/>
      <c r="AH22" s="86"/>
      <c r="AI22" s="88"/>
      <c r="AJ22" s="86"/>
      <c r="AK22" s="88"/>
      <c r="AL22" s="86"/>
      <c r="AM22" s="88"/>
      <c r="AN22" s="86"/>
      <c r="AO22" s="88"/>
      <c r="AP22" s="86"/>
      <c r="AQ22" s="88"/>
      <c r="AR22" s="86"/>
      <c r="AS22" s="88"/>
      <c r="AT22" s="86"/>
      <c r="AU22" s="88"/>
      <c r="AV22" s="86"/>
      <c r="AW22" s="88"/>
      <c r="AX22" s="86"/>
      <c r="AY22" s="88"/>
      <c r="AZ22" s="86"/>
      <c r="BA22" s="88"/>
      <c r="BB22" s="86"/>
      <c r="BC22" s="88"/>
      <c r="BD22" s="86"/>
      <c r="BE22" s="88"/>
      <c r="BF22" s="86"/>
      <c r="BG22" s="88"/>
      <c r="BH22" s="86"/>
      <c r="BI22" s="88"/>
      <c r="BJ22" s="86"/>
      <c r="BK22" s="88"/>
      <c r="BL22" s="86"/>
      <c r="BM22" s="88"/>
      <c r="BN22" s="86" t="s">
        <v>47</v>
      </c>
      <c r="BO22" s="114">
        <v>1.0</v>
      </c>
      <c r="BP22" s="86"/>
      <c r="BQ22" s="88"/>
      <c r="BR22" s="86"/>
      <c r="BS22" s="87"/>
    </row>
    <row r="23" ht="22.5" customHeight="1">
      <c r="A23" s="89" t="s">
        <v>227</v>
      </c>
      <c r="B23" s="90" t="s">
        <v>228</v>
      </c>
      <c r="C23" s="91">
        <v>2.0</v>
      </c>
      <c r="D23" s="92"/>
      <c r="E23" s="91"/>
      <c r="F23" s="92"/>
      <c r="G23" s="93"/>
      <c r="H23" s="92"/>
      <c r="I23" s="94"/>
      <c r="J23" s="95"/>
      <c r="K23" s="96"/>
      <c r="L23" s="95"/>
      <c r="M23" s="96"/>
      <c r="N23" s="95"/>
      <c r="O23" s="96"/>
      <c r="P23" s="95"/>
      <c r="Q23" s="96"/>
      <c r="R23" s="95"/>
      <c r="S23" s="96"/>
      <c r="T23" s="95"/>
      <c r="U23" s="96"/>
      <c r="V23" s="95"/>
      <c r="W23" s="96"/>
      <c r="X23" s="95"/>
      <c r="Y23" s="96"/>
      <c r="Z23" s="95"/>
      <c r="AA23" s="96"/>
      <c r="AB23" s="95"/>
      <c r="AC23" s="96"/>
      <c r="AD23" s="95"/>
      <c r="AE23" s="96"/>
      <c r="AF23" s="95"/>
      <c r="AG23" s="96"/>
      <c r="AH23" s="95"/>
      <c r="AI23" s="96"/>
      <c r="AJ23" s="95"/>
      <c r="AK23" s="96"/>
      <c r="AL23" s="95"/>
      <c r="AM23" s="96"/>
      <c r="AN23" s="95"/>
      <c r="AO23" s="96"/>
      <c r="AP23" s="95"/>
      <c r="AQ23" s="96"/>
      <c r="AR23" s="95"/>
      <c r="AS23" s="96"/>
      <c r="AT23" s="95"/>
      <c r="AU23" s="96"/>
      <c r="AV23" s="95"/>
      <c r="AW23" s="96"/>
      <c r="AX23" s="95"/>
      <c r="AY23" s="96"/>
      <c r="AZ23" s="95"/>
      <c r="BA23" s="96"/>
      <c r="BB23" s="95"/>
      <c r="BC23" s="96"/>
      <c r="BD23" s="95"/>
      <c r="BE23" s="96"/>
      <c r="BF23" s="95"/>
      <c r="BG23" s="96"/>
      <c r="BH23" s="95"/>
      <c r="BI23" s="96"/>
      <c r="BJ23" s="95" t="s">
        <v>45</v>
      </c>
      <c r="BK23" s="96">
        <v>8.0</v>
      </c>
      <c r="BL23" s="95"/>
      <c r="BM23" s="96"/>
      <c r="BN23" s="95"/>
      <c r="BO23" s="96"/>
      <c r="BP23" s="95" t="s">
        <v>48</v>
      </c>
      <c r="BQ23" s="114">
        <v>1.0</v>
      </c>
      <c r="BR23" s="95"/>
      <c r="BS23" s="94"/>
    </row>
    <row r="24" ht="22.5" customHeight="1">
      <c r="A24" s="89" t="s">
        <v>229</v>
      </c>
      <c r="B24" s="90" t="s">
        <v>230</v>
      </c>
      <c r="C24" s="91">
        <v>1.0</v>
      </c>
      <c r="D24" s="92"/>
      <c r="E24" s="91"/>
      <c r="F24" s="92"/>
      <c r="G24" s="93"/>
      <c r="H24" s="92"/>
      <c r="I24" s="94"/>
      <c r="J24" s="95"/>
      <c r="K24" s="96"/>
      <c r="L24" s="95"/>
      <c r="M24" s="96"/>
      <c r="N24" s="95"/>
      <c r="O24" s="96"/>
      <c r="P24" s="95"/>
      <c r="Q24" s="96"/>
      <c r="R24" s="95"/>
      <c r="S24" s="96"/>
      <c r="T24" s="95"/>
      <c r="U24" s="96"/>
      <c r="V24" s="95"/>
      <c r="W24" s="96"/>
      <c r="X24" s="95"/>
      <c r="Y24" s="96"/>
      <c r="Z24" s="95"/>
      <c r="AA24" s="96"/>
      <c r="AB24" s="95"/>
      <c r="AC24" s="96"/>
      <c r="AD24" s="95"/>
      <c r="AE24" s="96"/>
      <c r="AF24" s="95"/>
      <c r="AG24" s="96"/>
      <c r="AH24" s="95"/>
      <c r="AI24" s="96"/>
      <c r="AJ24" s="95"/>
      <c r="AK24" s="96"/>
      <c r="AL24" s="95"/>
      <c r="AM24" s="96"/>
      <c r="AN24" s="95"/>
      <c r="AO24" s="96"/>
      <c r="AP24" s="95"/>
      <c r="AQ24" s="96"/>
      <c r="AR24" s="95"/>
      <c r="AS24" s="96"/>
      <c r="AT24" s="95"/>
      <c r="AU24" s="96"/>
      <c r="AV24" s="95"/>
      <c r="AW24" s="96"/>
      <c r="AX24" s="95"/>
      <c r="AY24" s="96"/>
      <c r="AZ24" s="95"/>
      <c r="BA24" s="96"/>
      <c r="BB24" s="95"/>
      <c r="BC24" s="96"/>
      <c r="BD24" s="95"/>
      <c r="BE24" s="96"/>
      <c r="BF24" s="95"/>
      <c r="BG24" s="96"/>
      <c r="BH24" s="95"/>
      <c r="BI24" s="96"/>
      <c r="BJ24" s="118" t="s">
        <v>45</v>
      </c>
      <c r="BK24" s="119">
        <v>8.0</v>
      </c>
      <c r="BL24" s="95"/>
      <c r="BM24" s="96"/>
      <c r="BN24" s="95"/>
      <c r="BO24" s="96"/>
      <c r="BP24" s="95" t="s">
        <v>48</v>
      </c>
      <c r="BQ24" s="114">
        <v>1.0</v>
      </c>
      <c r="BR24" s="95"/>
      <c r="BS24" s="94"/>
    </row>
    <row r="25" ht="22.5" customHeight="1">
      <c r="A25" s="80" t="s">
        <v>231</v>
      </c>
      <c r="B25" s="81" t="s">
        <v>231</v>
      </c>
      <c r="C25" s="82">
        <v>1.0</v>
      </c>
      <c r="D25" s="83"/>
      <c r="E25" s="84"/>
      <c r="F25" s="83"/>
      <c r="G25" s="85"/>
      <c r="H25" s="86"/>
      <c r="I25" s="87"/>
      <c r="J25" s="86"/>
      <c r="K25" s="88"/>
      <c r="L25" s="86"/>
      <c r="M25" s="88"/>
      <c r="N25" s="86"/>
      <c r="O25" s="88"/>
      <c r="P25" s="86"/>
      <c r="Q25" s="88"/>
      <c r="R25" s="86"/>
      <c r="S25" s="88"/>
      <c r="T25" s="86"/>
      <c r="U25" s="88"/>
      <c r="V25" s="86"/>
      <c r="W25" s="88"/>
      <c r="X25" s="86"/>
      <c r="Y25" s="88"/>
      <c r="Z25" s="86"/>
      <c r="AA25" s="88"/>
      <c r="AB25" s="86"/>
      <c r="AC25" s="88"/>
      <c r="AD25" s="86"/>
      <c r="AE25" s="88"/>
      <c r="AF25" s="86"/>
      <c r="AG25" s="88"/>
      <c r="AH25" s="86"/>
      <c r="AI25" s="88"/>
      <c r="AJ25" s="86"/>
      <c r="AK25" s="88"/>
      <c r="AL25" s="86"/>
      <c r="AM25" s="88"/>
      <c r="AN25" s="86"/>
      <c r="AO25" s="88"/>
      <c r="AP25" s="86"/>
      <c r="AQ25" s="88"/>
      <c r="AR25" s="86"/>
      <c r="AS25" s="88"/>
      <c r="AT25" s="86"/>
      <c r="AU25" s="88"/>
      <c r="AV25" s="86"/>
      <c r="AW25" s="88"/>
      <c r="AX25" s="86"/>
      <c r="AY25" s="88"/>
      <c r="AZ25" s="86"/>
      <c r="BA25" s="88"/>
      <c r="BB25" s="86"/>
      <c r="BC25" s="88"/>
      <c r="BD25" s="86"/>
      <c r="BE25" s="88"/>
      <c r="BF25" s="86"/>
      <c r="BG25" s="88"/>
      <c r="BH25" s="86"/>
      <c r="BI25" s="88"/>
      <c r="BJ25" s="86"/>
      <c r="BK25" s="88"/>
      <c r="BL25" s="86"/>
      <c r="BM25" s="88"/>
      <c r="BN25" s="86"/>
      <c r="BO25" s="88"/>
      <c r="BP25" s="86"/>
      <c r="BQ25" s="88"/>
      <c r="BR25" s="86"/>
      <c r="BS25" s="87"/>
    </row>
    <row r="26" ht="22.5" customHeight="1">
      <c r="A26" s="89" t="s">
        <v>232</v>
      </c>
      <c r="B26" s="90" t="s">
        <v>232</v>
      </c>
      <c r="C26" s="91">
        <v>1.0</v>
      </c>
      <c r="D26" s="92"/>
      <c r="E26" s="91"/>
      <c r="F26" s="92"/>
      <c r="G26" s="93"/>
      <c r="H26" s="92"/>
      <c r="I26" s="94"/>
      <c r="J26" s="95"/>
      <c r="K26" s="96"/>
      <c r="L26" s="95"/>
      <c r="M26" s="96"/>
      <c r="N26" s="95"/>
      <c r="O26" s="96"/>
      <c r="P26" s="95"/>
      <c r="Q26" s="96"/>
      <c r="R26" s="95"/>
      <c r="S26" s="96"/>
      <c r="T26" s="95"/>
      <c r="U26" s="96"/>
      <c r="V26" s="95"/>
      <c r="W26" s="96"/>
      <c r="X26" s="95"/>
      <c r="Y26" s="96"/>
      <c r="Z26" s="95"/>
      <c r="AA26" s="96"/>
      <c r="AB26" s="95"/>
      <c r="AC26" s="96"/>
      <c r="AD26" s="95"/>
      <c r="AE26" s="96"/>
      <c r="AF26" s="95"/>
      <c r="AG26" s="96"/>
      <c r="AH26" s="95"/>
      <c r="AI26" s="96"/>
      <c r="AJ26" s="95"/>
      <c r="AK26" s="96"/>
      <c r="AL26" s="95"/>
      <c r="AM26" s="96"/>
      <c r="AN26" s="95"/>
      <c r="AO26" s="96"/>
      <c r="AP26" s="95"/>
      <c r="AQ26" s="96"/>
      <c r="AR26" s="95"/>
      <c r="AS26" s="96"/>
      <c r="AT26" s="95"/>
      <c r="AU26" s="96"/>
      <c r="AV26" s="95"/>
      <c r="AW26" s="96"/>
      <c r="AX26" s="95"/>
      <c r="AY26" s="96"/>
      <c r="AZ26" s="95"/>
      <c r="BA26" s="96"/>
      <c r="BB26" s="95"/>
      <c r="BC26" s="96"/>
      <c r="BD26" s="95"/>
      <c r="BE26" s="96"/>
      <c r="BF26" s="95"/>
      <c r="BG26" s="96"/>
      <c r="BH26" s="95"/>
      <c r="BI26" s="96"/>
      <c r="BJ26" s="95"/>
      <c r="BK26" s="96"/>
      <c r="BL26" s="95"/>
      <c r="BM26" s="96"/>
      <c r="BN26" s="95" t="s">
        <v>47</v>
      </c>
      <c r="BO26" s="114">
        <v>1.0</v>
      </c>
      <c r="BP26" s="95"/>
      <c r="BQ26" s="96"/>
      <c r="BR26" s="95"/>
      <c r="BS26" s="94"/>
    </row>
    <row r="27" ht="22.5" customHeight="1">
      <c r="A27" s="80" t="s">
        <v>233</v>
      </c>
      <c r="B27" s="81" t="s">
        <v>233</v>
      </c>
      <c r="C27" s="82">
        <v>1.0</v>
      </c>
      <c r="D27" s="83"/>
      <c r="E27" s="84"/>
      <c r="F27" s="83"/>
      <c r="G27" s="85"/>
      <c r="H27" s="86"/>
      <c r="I27" s="87"/>
      <c r="J27" s="86"/>
      <c r="K27" s="88"/>
      <c r="L27" s="86"/>
      <c r="M27" s="88"/>
      <c r="N27" s="86"/>
      <c r="O27" s="88"/>
      <c r="P27" s="86"/>
      <c r="Q27" s="88"/>
      <c r="R27" s="86"/>
      <c r="S27" s="88"/>
      <c r="T27" s="86"/>
      <c r="U27" s="88"/>
      <c r="V27" s="86"/>
      <c r="W27" s="88"/>
      <c r="X27" s="86"/>
      <c r="Y27" s="88"/>
      <c r="Z27" s="86"/>
      <c r="AA27" s="88"/>
      <c r="AB27" s="86"/>
      <c r="AC27" s="88"/>
      <c r="AD27" s="86"/>
      <c r="AE27" s="88"/>
      <c r="AF27" s="86"/>
      <c r="AG27" s="88"/>
      <c r="AH27" s="86"/>
      <c r="AI27" s="88"/>
      <c r="AJ27" s="86"/>
      <c r="AK27" s="88"/>
      <c r="AL27" s="86"/>
      <c r="AM27" s="88"/>
      <c r="AN27" s="86"/>
      <c r="AO27" s="88"/>
      <c r="AP27" s="86"/>
      <c r="AQ27" s="88"/>
      <c r="AR27" s="86"/>
      <c r="AS27" s="88"/>
      <c r="AT27" s="86"/>
      <c r="AU27" s="88"/>
      <c r="AV27" s="86"/>
      <c r="AW27" s="88"/>
      <c r="AX27" s="86"/>
      <c r="AY27" s="88"/>
      <c r="AZ27" s="86"/>
      <c r="BA27" s="88"/>
      <c r="BB27" s="86"/>
      <c r="BC27" s="88"/>
      <c r="BD27" s="86"/>
      <c r="BE27" s="88"/>
      <c r="BF27" s="86"/>
      <c r="BG27" s="88"/>
      <c r="BH27" s="86"/>
      <c r="BI27" s="88"/>
      <c r="BJ27" s="86"/>
      <c r="BK27" s="88"/>
      <c r="BL27" s="86"/>
      <c r="BM27" s="88"/>
      <c r="BN27" s="86"/>
      <c r="BO27" s="88"/>
      <c r="BP27" s="86"/>
      <c r="BQ27" s="88"/>
      <c r="BR27" s="86"/>
      <c r="BS27" s="87"/>
    </row>
    <row r="28" ht="22.5" customHeight="1">
      <c r="A28" s="97" t="s">
        <v>234</v>
      </c>
      <c r="B28" s="98" t="s">
        <v>234</v>
      </c>
      <c r="C28" s="99">
        <v>3.0</v>
      </c>
      <c r="D28" s="112"/>
      <c r="E28" s="99"/>
      <c r="F28" s="112"/>
      <c r="G28" s="113"/>
      <c r="H28" s="112"/>
      <c r="I28" s="94"/>
      <c r="J28" s="95"/>
      <c r="K28" s="96"/>
      <c r="L28" s="95"/>
      <c r="M28" s="96"/>
      <c r="N28" s="95"/>
      <c r="O28" s="96"/>
      <c r="P28" s="95"/>
      <c r="Q28" s="96"/>
      <c r="R28" s="95"/>
      <c r="S28" s="96"/>
      <c r="T28" s="95"/>
      <c r="U28" s="96"/>
      <c r="V28" s="95"/>
      <c r="W28" s="96"/>
      <c r="X28" s="95"/>
      <c r="Y28" s="96"/>
      <c r="Z28" s="95"/>
      <c r="AA28" s="96"/>
      <c r="AB28" s="95"/>
      <c r="AC28" s="96"/>
      <c r="AD28" s="95"/>
      <c r="AE28" s="96"/>
      <c r="AF28" s="95"/>
      <c r="AG28" s="96"/>
      <c r="AH28" s="95"/>
      <c r="AI28" s="96"/>
      <c r="AJ28" s="95"/>
      <c r="AK28" s="96"/>
      <c r="AL28" s="95"/>
      <c r="AM28" s="96"/>
      <c r="AN28" s="95"/>
      <c r="AO28" s="96"/>
      <c r="AP28" s="95"/>
      <c r="AQ28" s="96"/>
      <c r="AR28" s="95"/>
      <c r="AS28" s="96"/>
      <c r="AT28" s="95"/>
      <c r="AU28" s="96"/>
      <c r="AV28" s="95"/>
      <c r="AW28" s="96"/>
      <c r="AX28" s="95"/>
      <c r="AY28" s="96"/>
      <c r="AZ28" s="95"/>
      <c r="BA28" s="96"/>
      <c r="BB28" s="95"/>
      <c r="BC28" s="96"/>
      <c r="BD28" s="95"/>
      <c r="BE28" s="96"/>
      <c r="BF28" s="95"/>
      <c r="BG28" s="96"/>
      <c r="BH28" s="95"/>
      <c r="BI28" s="96"/>
      <c r="BJ28" s="95"/>
      <c r="BK28" s="96"/>
      <c r="BL28" s="95"/>
      <c r="BM28" s="96"/>
      <c r="BN28" s="95" t="s">
        <v>47</v>
      </c>
      <c r="BO28" s="114">
        <v>1.0</v>
      </c>
      <c r="BP28" s="95"/>
      <c r="BQ28" s="96"/>
      <c r="BR28" s="95"/>
      <c r="BS28" s="94"/>
    </row>
    <row r="29" ht="22.5" customHeight="1">
      <c r="A29" s="120" t="s">
        <v>235</v>
      </c>
      <c r="B29" s="121" t="s">
        <v>236</v>
      </c>
      <c r="C29" s="122">
        <v>1.0</v>
      </c>
      <c r="D29" s="123"/>
      <c r="E29" s="122"/>
      <c r="F29" s="123"/>
      <c r="G29" s="124"/>
      <c r="H29" s="123"/>
      <c r="I29" s="125"/>
      <c r="J29" s="118"/>
      <c r="K29" s="119"/>
      <c r="L29" s="118"/>
      <c r="M29" s="119"/>
      <c r="N29" s="118"/>
      <c r="O29" s="119"/>
      <c r="P29" s="118"/>
      <c r="Q29" s="119"/>
      <c r="R29" s="118"/>
      <c r="S29" s="119"/>
      <c r="T29" s="118"/>
      <c r="U29" s="119"/>
      <c r="V29" s="118"/>
      <c r="W29" s="119"/>
      <c r="X29" s="118"/>
      <c r="Y29" s="119"/>
      <c r="Z29" s="118"/>
      <c r="AA29" s="119"/>
      <c r="AB29" s="118"/>
      <c r="AC29" s="119"/>
      <c r="AD29" s="118"/>
      <c r="AE29" s="119"/>
      <c r="AF29" s="118"/>
      <c r="AG29" s="119"/>
      <c r="AH29" s="118"/>
      <c r="AI29" s="119"/>
      <c r="AJ29" s="118"/>
      <c r="AK29" s="119"/>
      <c r="AL29" s="118"/>
      <c r="AM29" s="119"/>
      <c r="AN29" s="118"/>
      <c r="AO29" s="119"/>
      <c r="AP29" s="118"/>
      <c r="AQ29" s="119"/>
      <c r="AR29" s="118"/>
      <c r="AS29" s="119"/>
      <c r="AT29" s="118" t="s">
        <v>37</v>
      </c>
      <c r="AU29" s="119">
        <v>30.0</v>
      </c>
      <c r="AV29" s="118"/>
      <c r="AW29" s="119"/>
      <c r="AX29" s="118"/>
      <c r="AY29" s="119"/>
      <c r="AZ29" s="118"/>
      <c r="BA29" s="119"/>
      <c r="BB29" s="118"/>
      <c r="BC29" s="119"/>
      <c r="BD29" s="118"/>
      <c r="BE29" s="119"/>
      <c r="BF29" s="118"/>
      <c r="BG29" s="119"/>
      <c r="BH29" s="118"/>
      <c r="BI29" s="119"/>
      <c r="BJ29" s="118"/>
      <c r="BK29" s="119"/>
      <c r="BL29" s="118"/>
      <c r="BM29" s="119"/>
      <c r="BN29" s="118"/>
      <c r="BO29" s="119"/>
      <c r="BP29" s="118"/>
      <c r="BQ29" s="119"/>
      <c r="BR29" s="118"/>
      <c r="BS29" s="125"/>
    </row>
    <row r="30" ht="22.5" customHeight="1">
      <c r="A30" s="126" t="s">
        <v>237</v>
      </c>
      <c r="B30" s="98" t="s">
        <v>71</v>
      </c>
      <c r="C30" s="99">
        <v>1.0</v>
      </c>
      <c r="D30" s="81" t="s">
        <v>238</v>
      </c>
      <c r="E30" s="127">
        <v>1.0</v>
      </c>
      <c r="F30" s="105" t="s">
        <v>13</v>
      </c>
      <c r="G30" s="128" t="s">
        <v>221</v>
      </c>
      <c r="H30" s="105" t="s">
        <v>15</v>
      </c>
      <c r="I30" s="129" t="s">
        <v>209</v>
      </c>
      <c r="J30" s="86" t="s">
        <v>19</v>
      </c>
      <c r="K30" s="104">
        <v>1.0</v>
      </c>
      <c r="L30" s="86"/>
      <c r="M30" s="88"/>
      <c r="N30" s="86" t="s">
        <v>21</v>
      </c>
      <c r="O30" s="104">
        <v>20.0</v>
      </c>
      <c r="P30" s="86"/>
      <c r="Q30" s="88"/>
      <c r="R30" s="86"/>
      <c r="S30" s="88"/>
      <c r="T30" s="86"/>
      <c r="U30" s="88"/>
      <c r="V30" s="86"/>
      <c r="W30" s="88"/>
      <c r="X30" s="86"/>
      <c r="Y30" s="88"/>
      <c r="Z30" s="86"/>
      <c r="AA30" s="88"/>
      <c r="AB30" s="86"/>
      <c r="AC30" s="88"/>
      <c r="AD30" s="86"/>
      <c r="AE30" s="88"/>
      <c r="AF30" s="86"/>
      <c r="AG30" s="88"/>
      <c r="AH30" s="86"/>
      <c r="AI30" s="88"/>
      <c r="AJ30" s="86"/>
      <c r="AK30" s="88"/>
      <c r="AL30" s="86"/>
      <c r="AM30" s="88"/>
      <c r="AN30" s="86"/>
      <c r="AO30" s="88"/>
      <c r="AP30" s="86"/>
      <c r="AQ30" s="88"/>
      <c r="AR30" s="86"/>
      <c r="AS30" s="88"/>
      <c r="AT30" s="86"/>
      <c r="AU30" s="88"/>
      <c r="AV30" s="86"/>
      <c r="AW30" s="88"/>
      <c r="AX30" s="86"/>
      <c r="AY30" s="88"/>
      <c r="AZ30" s="86"/>
      <c r="BA30" s="88"/>
      <c r="BB30" s="86"/>
      <c r="BC30" s="88"/>
      <c r="BD30" s="86"/>
      <c r="BE30" s="88"/>
      <c r="BF30" s="86"/>
      <c r="BG30" s="88"/>
      <c r="BH30" s="86"/>
      <c r="BI30" s="88"/>
      <c r="BJ30" s="86"/>
      <c r="BK30" s="88"/>
      <c r="BL30" s="86"/>
      <c r="BM30" s="88"/>
      <c r="BN30" s="86" t="s">
        <v>47</v>
      </c>
      <c r="BO30" s="114">
        <v>1.0</v>
      </c>
      <c r="BP30" s="86"/>
      <c r="BQ30" s="88"/>
      <c r="BR30" s="86"/>
      <c r="BS30" s="87"/>
    </row>
    <row r="31" ht="22.5" customHeight="1">
      <c r="A31" s="130" t="s">
        <v>239</v>
      </c>
      <c r="B31" s="131" t="s">
        <v>71</v>
      </c>
      <c r="C31" s="122">
        <v>1.0</v>
      </c>
      <c r="D31" s="121" t="s">
        <v>81</v>
      </c>
      <c r="E31" s="132">
        <v>1.0</v>
      </c>
      <c r="F31" s="131" t="s">
        <v>13</v>
      </c>
      <c r="G31" s="133" t="s">
        <v>221</v>
      </c>
      <c r="H31" s="131"/>
      <c r="I31" s="134"/>
      <c r="J31" s="110" t="s">
        <v>19</v>
      </c>
      <c r="K31" s="135" t="s">
        <v>221</v>
      </c>
      <c r="L31" s="110" t="s">
        <v>20</v>
      </c>
      <c r="M31" s="136">
        <v>20.0</v>
      </c>
      <c r="N31" s="110"/>
      <c r="O31" s="136"/>
      <c r="P31" s="110"/>
      <c r="Q31" s="136"/>
      <c r="R31" s="110"/>
      <c r="S31" s="136"/>
      <c r="T31" s="110"/>
      <c r="U31" s="136"/>
      <c r="V31" s="110"/>
      <c r="W31" s="136"/>
      <c r="X31" s="110"/>
      <c r="Y31" s="136"/>
      <c r="Z31" s="110"/>
      <c r="AA31" s="136"/>
      <c r="AB31" s="110"/>
      <c r="AC31" s="136"/>
      <c r="AD31" s="110"/>
      <c r="AE31" s="136"/>
      <c r="AF31" s="110"/>
      <c r="AG31" s="136"/>
      <c r="AH31" s="110"/>
      <c r="AI31" s="136"/>
      <c r="AJ31" s="110" t="s">
        <v>32</v>
      </c>
      <c r="AK31" s="111">
        <v>10.0</v>
      </c>
      <c r="AL31" s="110"/>
      <c r="AM31" s="136"/>
      <c r="AN31" s="110"/>
      <c r="AO31" s="136"/>
      <c r="AP31" s="110"/>
      <c r="AQ31" s="136"/>
      <c r="AR31" s="110"/>
      <c r="AS31" s="136"/>
      <c r="AT31" s="110"/>
      <c r="AU31" s="136"/>
      <c r="AV31" s="110"/>
      <c r="AW31" s="136"/>
      <c r="AX31" s="110"/>
      <c r="AY31" s="136"/>
      <c r="AZ31" s="110"/>
      <c r="BA31" s="136"/>
      <c r="BB31" s="110"/>
      <c r="BC31" s="136"/>
      <c r="BD31" s="110"/>
      <c r="BE31" s="136"/>
      <c r="BF31" s="110"/>
      <c r="BG31" s="136"/>
      <c r="BH31" s="110"/>
      <c r="BI31" s="136"/>
      <c r="BJ31" s="110"/>
      <c r="BK31" s="136"/>
      <c r="BL31" s="110"/>
      <c r="BM31" s="136"/>
      <c r="BN31" s="110" t="s">
        <v>47</v>
      </c>
      <c r="BO31" s="137">
        <v>1.0</v>
      </c>
      <c r="BP31" s="110"/>
      <c r="BQ31" s="136"/>
      <c r="BR31" s="110"/>
      <c r="BS31" s="138"/>
    </row>
    <row r="32" ht="22.5" customHeight="1">
      <c r="A32" s="130" t="s">
        <v>109</v>
      </c>
      <c r="B32" s="121" t="s">
        <v>71</v>
      </c>
      <c r="C32" s="122">
        <v>1.0</v>
      </c>
      <c r="D32" s="121" t="s">
        <v>81</v>
      </c>
      <c r="E32" s="132">
        <v>1.0</v>
      </c>
      <c r="F32" s="121" t="s">
        <v>13</v>
      </c>
      <c r="G32" s="133" t="s">
        <v>221</v>
      </c>
      <c r="H32" s="131"/>
      <c r="I32" s="134"/>
      <c r="J32" s="110" t="s">
        <v>19</v>
      </c>
      <c r="K32" s="135" t="s">
        <v>221</v>
      </c>
      <c r="L32" s="110" t="s">
        <v>20</v>
      </c>
      <c r="M32" s="136">
        <v>20.0</v>
      </c>
      <c r="N32" s="110"/>
      <c r="O32" s="136"/>
      <c r="P32" s="110"/>
      <c r="Q32" s="136"/>
      <c r="R32" s="110"/>
      <c r="S32" s="136"/>
      <c r="T32" s="110"/>
      <c r="U32" s="136"/>
      <c r="V32" s="110"/>
      <c r="W32" s="136"/>
      <c r="X32" s="110"/>
      <c r="Y32" s="136"/>
      <c r="Z32" s="110"/>
      <c r="AA32" s="136"/>
      <c r="AB32" s="110"/>
      <c r="AC32" s="136"/>
      <c r="AD32" s="110"/>
      <c r="AE32" s="136"/>
      <c r="AF32" s="110"/>
      <c r="AG32" s="136"/>
      <c r="AH32" s="110" t="s">
        <v>31</v>
      </c>
      <c r="AI32" s="111">
        <v>2.0</v>
      </c>
      <c r="AJ32" s="110" t="s">
        <v>32</v>
      </c>
      <c r="AK32" s="111">
        <v>10.0</v>
      </c>
      <c r="AL32" s="110"/>
      <c r="AM32" s="136"/>
      <c r="AN32" s="110"/>
      <c r="AO32" s="136"/>
      <c r="AP32" s="110"/>
      <c r="AQ32" s="136"/>
      <c r="AR32" s="110"/>
      <c r="AS32" s="136"/>
      <c r="AT32" s="110"/>
      <c r="AU32" s="136"/>
      <c r="AV32" s="110"/>
      <c r="AW32" s="136"/>
      <c r="AX32" s="110"/>
      <c r="AY32" s="136"/>
      <c r="AZ32" s="110"/>
      <c r="BA32" s="136"/>
      <c r="BB32" s="110"/>
      <c r="BC32" s="136"/>
      <c r="BD32" s="110"/>
      <c r="BE32" s="136"/>
      <c r="BF32" s="110"/>
      <c r="BG32" s="136"/>
      <c r="BH32" s="110"/>
      <c r="BI32" s="136"/>
      <c r="BJ32" s="110"/>
      <c r="BK32" s="136"/>
      <c r="BL32" s="110"/>
      <c r="BM32" s="136"/>
      <c r="BN32" s="110" t="s">
        <v>47</v>
      </c>
      <c r="BO32" s="137">
        <v>1.0</v>
      </c>
      <c r="BP32" s="110"/>
      <c r="BQ32" s="136"/>
      <c r="BR32" s="110"/>
      <c r="BS32" s="138"/>
    </row>
    <row r="33" ht="22.5" customHeight="1">
      <c r="A33" s="80" t="s">
        <v>240</v>
      </c>
      <c r="B33" s="83" t="s">
        <v>71</v>
      </c>
      <c r="C33" s="84">
        <v>1.0</v>
      </c>
      <c r="D33" s="81" t="s">
        <v>238</v>
      </c>
      <c r="E33" s="82">
        <v>1.0</v>
      </c>
      <c r="F33" s="83" t="s">
        <v>13</v>
      </c>
      <c r="G33" s="139" t="s">
        <v>221</v>
      </c>
      <c r="H33" s="86"/>
      <c r="I33" s="102"/>
      <c r="J33" s="86" t="s">
        <v>19</v>
      </c>
      <c r="K33" s="115" t="s">
        <v>221</v>
      </c>
      <c r="L33" s="86" t="s">
        <v>20</v>
      </c>
      <c r="M33" s="88">
        <v>20.0</v>
      </c>
      <c r="N33" s="86"/>
      <c r="O33" s="88"/>
      <c r="P33" s="86"/>
      <c r="Q33" s="88"/>
      <c r="R33" s="86"/>
      <c r="S33" s="88"/>
      <c r="T33" s="86"/>
      <c r="U33" s="88"/>
      <c r="V33" s="86"/>
      <c r="W33" s="88"/>
      <c r="X33" s="86"/>
      <c r="Y33" s="88"/>
      <c r="Z33" s="86"/>
      <c r="AA33" s="88"/>
      <c r="AB33" s="86"/>
      <c r="AC33" s="88"/>
      <c r="AD33" s="86"/>
      <c r="AE33" s="88"/>
      <c r="AF33" s="86"/>
      <c r="AG33" s="88"/>
      <c r="AH33" s="86"/>
      <c r="AI33" s="88"/>
      <c r="AJ33" s="86" t="s">
        <v>32</v>
      </c>
      <c r="AK33" s="104">
        <v>10.0</v>
      </c>
      <c r="AL33" s="86"/>
      <c r="AM33" s="88"/>
      <c r="AN33" s="86"/>
      <c r="AO33" s="88"/>
      <c r="AP33" s="86"/>
      <c r="AQ33" s="88"/>
      <c r="AR33" s="86"/>
      <c r="AS33" s="88"/>
      <c r="AT33" s="86"/>
      <c r="AU33" s="88"/>
      <c r="AV33" s="86"/>
      <c r="AW33" s="88"/>
      <c r="AX33" s="86"/>
      <c r="AY33" s="88"/>
      <c r="AZ33" s="86"/>
      <c r="BA33" s="88"/>
      <c r="BB33" s="86"/>
      <c r="BC33" s="88"/>
      <c r="BD33" s="86"/>
      <c r="BE33" s="88"/>
      <c r="BF33" s="86"/>
      <c r="BG33" s="88"/>
      <c r="BH33" s="86"/>
      <c r="BI33" s="88"/>
      <c r="BJ33" s="86"/>
      <c r="BK33" s="88"/>
      <c r="BL33" s="86"/>
      <c r="BM33" s="88"/>
      <c r="BN33" s="86" t="s">
        <v>47</v>
      </c>
      <c r="BO33" s="114">
        <v>1.0</v>
      </c>
      <c r="BP33" s="86"/>
      <c r="BQ33" s="88"/>
      <c r="BR33" s="86"/>
      <c r="BS33" s="87"/>
    </row>
    <row r="34" ht="22.5" customHeight="1">
      <c r="A34" s="97" t="s">
        <v>241</v>
      </c>
      <c r="B34" s="98" t="s">
        <v>71</v>
      </c>
      <c r="C34" s="99">
        <v>1.0</v>
      </c>
      <c r="D34" s="98" t="s">
        <v>81</v>
      </c>
      <c r="E34" s="127">
        <v>1.0</v>
      </c>
      <c r="F34" s="98" t="s">
        <v>13</v>
      </c>
      <c r="G34" s="101" t="s">
        <v>221</v>
      </c>
      <c r="H34" s="98"/>
      <c r="I34" s="102"/>
      <c r="J34" s="86" t="s">
        <v>19</v>
      </c>
      <c r="K34" s="115" t="s">
        <v>221</v>
      </c>
      <c r="L34" s="86" t="s">
        <v>20</v>
      </c>
      <c r="M34" s="88">
        <v>20.0</v>
      </c>
      <c r="N34" s="86" t="s">
        <v>21</v>
      </c>
      <c r="O34" s="88">
        <v>20.0</v>
      </c>
      <c r="P34" s="86"/>
      <c r="Q34" s="88"/>
      <c r="R34" s="86"/>
      <c r="S34" s="88"/>
      <c r="T34" s="86"/>
      <c r="U34" s="88"/>
      <c r="V34" s="86"/>
      <c r="W34" s="88"/>
      <c r="X34" s="86"/>
      <c r="Y34" s="88"/>
      <c r="Z34" s="86"/>
      <c r="AA34" s="88"/>
      <c r="AB34" s="86" t="s">
        <v>28</v>
      </c>
      <c r="AC34" s="103">
        <v>10.0</v>
      </c>
      <c r="AD34" s="86"/>
      <c r="AE34" s="88"/>
      <c r="AF34" s="86"/>
      <c r="AG34" s="88"/>
      <c r="AH34" s="86"/>
      <c r="AI34" s="88"/>
      <c r="AJ34" s="86"/>
      <c r="AK34" s="88"/>
      <c r="AL34" s="86" t="s">
        <v>33</v>
      </c>
      <c r="AM34" s="88">
        <v>20.0</v>
      </c>
      <c r="AN34" s="86"/>
      <c r="AO34" s="88"/>
      <c r="AP34" s="86"/>
      <c r="AQ34" s="88"/>
      <c r="AR34" s="86"/>
      <c r="AS34" s="88"/>
      <c r="AT34" s="86"/>
      <c r="AU34" s="88"/>
      <c r="AV34" s="86"/>
      <c r="AW34" s="88"/>
      <c r="AX34" s="86"/>
      <c r="AY34" s="88"/>
      <c r="AZ34" s="86"/>
      <c r="BA34" s="88"/>
      <c r="BB34" s="86"/>
      <c r="BC34" s="88"/>
      <c r="BD34" s="86"/>
      <c r="BE34" s="88"/>
      <c r="BF34" s="86"/>
      <c r="BG34" s="88"/>
      <c r="BH34" s="86"/>
      <c r="BI34" s="88"/>
      <c r="BJ34" s="86"/>
      <c r="BK34" s="88"/>
      <c r="BL34" s="86"/>
      <c r="BM34" s="88"/>
      <c r="BN34" s="86" t="s">
        <v>47</v>
      </c>
      <c r="BO34" s="114">
        <v>1.0</v>
      </c>
      <c r="BP34" s="86"/>
      <c r="BQ34" s="88"/>
      <c r="BR34" s="86"/>
      <c r="BS34" s="87"/>
    </row>
    <row r="35" ht="22.5" customHeight="1">
      <c r="A35" s="140" t="s">
        <v>241</v>
      </c>
      <c r="B35" s="141" t="s">
        <v>71</v>
      </c>
      <c r="C35" s="84">
        <v>1.0</v>
      </c>
      <c r="D35" s="81" t="s">
        <v>238</v>
      </c>
      <c r="E35" s="82">
        <v>1.0</v>
      </c>
      <c r="F35" s="141" t="s">
        <v>13</v>
      </c>
      <c r="G35" s="139" t="s">
        <v>221</v>
      </c>
      <c r="H35" s="142"/>
      <c r="I35" s="102"/>
      <c r="J35" s="86" t="s">
        <v>19</v>
      </c>
      <c r="K35" s="115" t="s">
        <v>221</v>
      </c>
      <c r="L35" s="86" t="s">
        <v>20</v>
      </c>
      <c r="M35" s="88">
        <v>20.0</v>
      </c>
      <c r="N35" s="86" t="s">
        <v>21</v>
      </c>
      <c r="O35" s="88">
        <v>20.0</v>
      </c>
      <c r="P35" s="86"/>
      <c r="Q35" s="88"/>
      <c r="R35" s="86"/>
      <c r="S35" s="88"/>
      <c r="T35" s="86"/>
      <c r="U35" s="88"/>
      <c r="V35" s="86"/>
      <c r="W35" s="88"/>
      <c r="X35" s="86"/>
      <c r="Y35" s="88"/>
      <c r="Z35" s="86"/>
      <c r="AA35" s="88"/>
      <c r="AB35" s="86" t="s">
        <v>28</v>
      </c>
      <c r="AC35" s="104">
        <v>10.0</v>
      </c>
      <c r="AD35" s="86"/>
      <c r="AE35" s="88"/>
      <c r="AF35" s="86"/>
      <c r="AG35" s="88"/>
      <c r="AH35" s="86"/>
      <c r="AI35" s="88"/>
      <c r="AJ35" s="86"/>
      <c r="AK35" s="88"/>
      <c r="AL35" s="86" t="s">
        <v>33</v>
      </c>
      <c r="AM35" s="88">
        <v>20.0</v>
      </c>
      <c r="AN35" s="86"/>
      <c r="AO35" s="88"/>
      <c r="AP35" s="86"/>
      <c r="AQ35" s="88"/>
      <c r="AR35" s="86"/>
      <c r="AS35" s="88"/>
      <c r="AT35" s="86"/>
      <c r="AU35" s="88"/>
      <c r="AV35" s="86"/>
      <c r="AW35" s="88"/>
      <c r="AX35" s="86"/>
      <c r="AY35" s="88"/>
      <c r="AZ35" s="86"/>
      <c r="BA35" s="88"/>
      <c r="BB35" s="86"/>
      <c r="BC35" s="88"/>
      <c r="BD35" s="86"/>
      <c r="BE35" s="88"/>
      <c r="BF35" s="86"/>
      <c r="BG35" s="88"/>
      <c r="BH35" s="86"/>
      <c r="BI35" s="88"/>
      <c r="BJ35" s="86"/>
      <c r="BK35" s="88"/>
      <c r="BL35" s="86"/>
      <c r="BM35" s="88"/>
      <c r="BN35" s="86" t="s">
        <v>47</v>
      </c>
      <c r="BO35" s="114">
        <v>1.0</v>
      </c>
      <c r="BP35" s="86"/>
      <c r="BQ35" s="88"/>
      <c r="BR35" s="86"/>
      <c r="BS35" s="87"/>
    </row>
    <row r="36" ht="22.5" customHeight="1">
      <c r="A36" s="89" t="s">
        <v>84</v>
      </c>
      <c r="B36" s="90" t="s">
        <v>71</v>
      </c>
      <c r="C36" s="91">
        <v>1.0</v>
      </c>
      <c r="D36" s="90" t="s">
        <v>85</v>
      </c>
      <c r="E36" s="91">
        <v>100.0</v>
      </c>
      <c r="F36" s="90" t="s">
        <v>13</v>
      </c>
      <c r="G36" s="106" t="s">
        <v>221</v>
      </c>
      <c r="H36" s="90"/>
      <c r="I36" s="102"/>
      <c r="J36" s="86" t="s">
        <v>19</v>
      </c>
      <c r="K36" s="115" t="s">
        <v>221</v>
      </c>
      <c r="L36" s="86" t="s">
        <v>20</v>
      </c>
      <c r="M36" s="88">
        <v>20.0</v>
      </c>
      <c r="N36" s="86" t="s">
        <v>21</v>
      </c>
      <c r="O36" s="88">
        <v>20.0</v>
      </c>
      <c r="P36" s="86"/>
      <c r="Q36" s="88"/>
      <c r="R36" s="86"/>
      <c r="S36" s="88"/>
      <c r="T36" s="86"/>
      <c r="U36" s="88"/>
      <c r="V36" s="86"/>
      <c r="W36" s="88"/>
      <c r="X36" s="86"/>
      <c r="Y36" s="88"/>
      <c r="Z36" s="86" t="s">
        <v>27</v>
      </c>
      <c r="AA36" s="103">
        <v>10.0</v>
      </c>
      <c r="AB36" s="86" t="s">
        <v>28</v>
      </c>
      <c r="AC36" s="103">
        <v>10.0</v>
      </c>
      <c r="AD36" s="86" t="s">
        <v>29</v>
      </c>
      <c r="AE36" s="103">
        <v>10.0</v>
      </c>
      <c r="AF36" s="86"/>
      <c r="AG36" s="88"/>
      <c r="AH36" s="86"/>
      <c r="AI36" s="88"/>
      <c r="AJ36" s="86"/>
      <c r="AK36" s="88"/>
      <c r="AL36" s="86"/>
      <c r="AM36" s="88"/>
      <c r="AN36" s="86"/>
      <c r="AO36" s="88"/>
      <c r="AP36" s="86"/>
      <c r="AQ36" s="88"/>
      <c r="AR36" s="86"/>
      <c r="AS36" s="88"/>
      <c r="AT36" s="86"/>
      <c r="AU36" s="88"/>
      <c r="AV36" s="86"/>
      <c r="AW36" s="88"/>
      <c r="AX36" s="86"/>
      <c r="AY36" s="88"/>
      <c r="AZ36" s="86"/>
      <c r="BA36" s="88"/>
      <c r="BB36" s="86"/>
      <c r="BC36" s="88"/>
      <c r="BD36" s="86"/>
      <c r="BE36" s="88"/>
      <c r="BF36" s="86"/>
      <c r="BG36" s="88"/>
      <c r="BH36" s="86"/>
      <c r="BI36" s="88"/>
      <c r="BJ36" s="86"/>
      <c r="BK36" s="88"/>
      <c r="BL36" s="86"/>
      <c r="BM36" s="88"/>
      <c r="BN36" s="86" t="s">
        <v>47</v>
      </c>
      <c r="BO36" s="114">
        <v>1.0</v>
      </c>
      <c r="BP36" s="86"/>
      <c r="BQ36" s="88"/>
      <c r="BR36" s="86"/>
      <c r="BS36" s="87"/>
    </row>
    <row r="37" ht="22.5" customHeight="1">
      <c r="A37" s="80" t="s">
        <v>242</v>
      </c>
      <c r="B37" s="141" t="s">
        <v>71</v>
      </c>
      <c r="C37" s="84">
        <v>1.0</v>
      </c>
      <c r="D37" s="81" t="s">
        <v>238</v>
      </c>
      <c r="E37" s="84">
        <v>100.0</v>
      </c>
      <c r="F37" s="141" t="s">
        <v>13</v>
      </c>
      <c r="G37" s="139" t="s">
        <v>221</v>
      </c>
      <c r="H37" s="142"/>
      <c r="I37" s="102"/>
      <c r="J37" s="86" t="s">
        <v>19</v>
      </c>
      <c r="K37" s="115" t="s">
        <v>221</v>
      </c>
      <c r="L37" s="86" t="s">
        <v>20</v>
      </c>
      <c r="M37" s="88">
        <v>20.0</v>
      </c>
      <c r="N37" s="86" t="s">
        <v>21</v>
      </c>
      <c r="O37" s="88">
        <v>20.0</v>
      </c>
      <c r="P37" s="86"/>
      <c r="Q37" s="88"/>
      <c r="R37" s="86"/>
      <c r="S37" s="88"/>
      <c r="T37" s="86"/>
      <c r="U37" s="88"/>
      <c r="V37" s="86"/>
      <c r="W37" s="88"/>
      <c r="X37" s="86"/>
      <c r="Y37" s="88"/>
      <c r="Z37" s="86" t="s">
        <v>27</v>
      </c>
      <c r="AA37" s="104">
        <v>10.0</v>
      </c>
      <c r="AB37" s="86" t="s">
        <v>28</v>
      </c>
      <c r="AC37" s="104">
        <v>10.0</v>
      </c>
      <c r="AD37" s="86" t="s">
        <v>29</v>
      </c>
      <c r="AE37" s="104">
        <v>10.0</v>
      </c>
      <c r="AF37" s="86"/>
      <c r="AG37" s="88"/>
      <c r="AH37" s="86"/>
      <c r="AI37" s="88"/>
      <c r="AJ37" s="86"/>
      <c r="AK37" s="88"/>
      <c r="AL37" s="86"/>
      <c r="AM37" s="88"/>
      <c r="AN37" s="86"/>
      <c r="AO37" s="88"/>
      <c r="AP37" s="86"/>
      <c r="AQ37" s="88"/>
      <c r="AR37" s="86"/>
      <c r="AS37" s="88"/>
      <c r="AT37" s="86"/>
      <c r="AU37" s="88"/>
      <c r="AV37" s="86"/>
      <c r="AW37" s="88"/>
      <c r="AX37" s="86"/>
      <c r="AY37" s="88"/>
      <c r="AZ37" s="86"/>
      <c r="BA37" s="88"/>
      <c r="BB37" s="86"/>
      <c r="BC37" s="88"/>
      <c r="BD37" s="86"/>
      <c r="BE37" s="88"/>
      <c r="BF37" s="86"/>
      <c r="BG37" s="88"/>
      <c r="BH37" s="86"/>
      <c r="BI37" s="88"/>
      <c r="BJ37" s="86"/>
      <c r="BK37" s="88"/>
      <c r="BL37" s="86"/>
      <c r="BM37" s="88"/>
      <c r="BN37" s="86" t="s">
        <v>47</v>
      </c>
      <c r="BO37" s="114">
        <v>1.0</v>
      </c>
      <c r="BP37" s="86"/>
      <c r="BQ37" s="88"/>
      <c r="BR37" s="86"/>
      <c r="BS37" s="87"/>
    </row>
    <row r="38" ht="22.5" customHeight="1">
      <c r="A38" s="143" t="s">
        <v>243</v>
      </c>
      <c r="B38" s="90" t="s">
        <v>71</v>
      </c>
      <c r="C38" s="91">
        <v>1.0</v>
      </c>
      <c r="D38" s="90" t="s">
        <v>81</v>
      </c>
      <c r="E38" s="127">
        <v>1.0</v>
      </c>
      <c r="F38" s="105" t="s">
        <v>13</v>
      </c>
      <c r="G38" s="106" t="s">
        <v>221</v>
      </c>
      <c r="H38" s="105" t="s">
        <v>15</v>
      </c>
      <c r="I38" s="102" t="s">
        <v>209</v>
      </c>
      <c r="J38" s="86"/>
      <c r="K38" s="88"/>
      <c r="L38" s="86"/>
      <c r="M38" s="88"/>
      <c r="N38" s="86"/>
      <c r="O38" s="88"/>
      <c r="P38" s="86"/>
      <c r="Q38" s="88"/>
      <c r="R38" s="86"/>
      <c r="S38" s="88"/>
      <c r="T38" s="86"/>
      <c r="U38" s="88"/>
      <c r="V38" s="86"/>
      <c r="W38" s="88"/>
      <c r="X38" s="86"/>
      <c r="Y38" s="88"/>
      <c r="Z38" s="86"/>
      <c r="AA38" s="104" t="s">
        <v>104</v>
      </c>
      <c r="AB38" s="86"/>
      <c r="AC38" s="88"/>
      <c r="AD38" s="86"/>
      <c r="AE38" s="88"/>
      <c r="AF38" s="86"/>
      <c r="AG38" s="88"/>
      <c r="AH38" s="86"/>
      <c r="AI38" s="88"/>
      <c r="AJ38" s="86"/>
      <c r="AK38" s="88"/>
      <c r="AL38" s="86"/>
      <c r="AM38" s="88"/>
      <c r="AN38" s="86"/>
      <c r="AO38" s="88"/>
      <c r="AP38" s="86"/>
      <c r="AQ38" s="88"/>
      <c r="AR38" s="86"/>
      <c r="AS38" s="88"/>
      <c r="AT38" s="86"/>
      <c r="AU38" s="88"/>
      <c r="AV38" s="86"/>
      <c r="AW38" s="88"/>
      <c r="AX38" s="86"/>
      <c r="AY38" s="88"/>
      <c r="AZ38" s="86"/>
      <c r="BA38" s="88"/>
      <c r="BB38" s="86"/>
      <c r="BC38" s="88"/>
      <c r="BD38" s="86"/>
      <c r="BE38" s="88"/>
      <c r="BF38" s="86"/>
      <c r="BG38" s="88"/>
      <c r="BH38" s="86"/>
      <c r="BI38" s="88"/>
      <c r="BJ38" s="86"/>
      <c r="BK38" s="88"/>
      <c r="BL38" s="86"/>
      <c r="BM38" s="88"/>
      <c r="BN38" s="86" t="s">
        <v>47</v>
      </c>
      <c r="BO38" s="114">
        <v>1.0</v>
      </c>
      <c r="BP38" s="86"/>
      <c r="BQ38" s="88"/>
      <c r="BR38" s="86"/>
      <c r="BS38" s="87"/>
    </row>
    <row r="39" ht="22.5" customHeight="1">
      <c r="A39" s="104" t="s">
        <v>104</v>
      </c>
      <c r="B39" s="90" t="s">
        <v>71</v>
      </c>
      <c r="C39" s="91">
        <v>1.0</v>
      </c>
      <c r="D39" s="90" t="s">
        <v>81</v>
      </c>
      <c r="E39" s="127">
        <v>1.0</v>
      </c>
      <c r="F39" s="105" t="s">
        <v>13</v>
      </c>
      <c r="G39" s="106" t="s">
        <v>221</v>
      </c>
      <c r="H39" s="105" t="s">
        <v>15</v>
      </c>
      <c r="I39" s="102" t="s">
        <v>209</v>
      </c>
      <c r="J39" s="86"/>
      <c r="K39" s="88"/>
      <c r="L39" s="86"/>
      <c r="M39" s="88"/>
      <c r="N39" s="86"/>
      <c r="O39" s="88"/>
      <c r="P39" s="86"/>
      <c r="Q39" s="88"/>
      <c r="R39" s="86"/>
      <c r="S39" s="88"/>
      <c r="T39" s="86"/>
      <c r="U39" s="88"/>
      <c r="V39" s="86"/>
      <c r="W39" s="88"/>
      <c r="X39" s="86"/>
      <c r="Y39" s="88"/>
      <c r="Z39" s="86"/>
      <c r="AA39" s="104"/>
      <c r="AB39" s="86"/>
      <c r="AC39" s="88"/>
      <c r="AD39" s="86"/>
      <c r="AE39" s="88"/>
      <c r="AF39" s="86"/>
      <c r="AG39" s="88"/>
      <c r="AH39" s="86"/>
      <c r="AI39" s="88"/>
      <c r="AJ39" s="86"/>
      <c r="AK39" s="88"/>
      <c r="AL39" s="86"/>
      <c r="AM39" s="88"/>
      <c r="AN39" s="86"/>
      <c r="AO39" s="88"/>
      <c r="AP39" s="86"/>
      <c r="AQ39" s="88"/>
      <c r="AR39" s="86"/>
      <c r="AS39" s="88"/>
      <c r="AT39" s="86"/>
      <c r="AU39" s="88"/>
      <c r="AV39" s="86"/>
      <c r="AW39" s="88"/>
      <c r="AX39" s="86"/>
      <c r="AY39" s="88"/>
      <c r="AZ39" s="86"/>
      <c r="BA39" s="88"/>
      <c r="BB39" s="86"/>
      <c r="BC39" s="88"/>
      <c r="BD39" s="86"/>
      <c r="BE39" s="88"/>
      <c r="BF39" s="86"/>
      <c r="BG39" s="88"/>
      <c r="BH39" s="86"/>
      <c r="BI39" s="88"/>
      <c r="BJ39" s="86"/>
      <c r="BK39" s="88"/>
      <c r="BL39" s="86"/>
      <c r="BM39" s="88"/>
      <c r="BN39" s="86" t="s">
        <v>47</v>
      </c>
      <c r="BO39" s="114">
        <v>1.0</v>
      </c>
      <c r="BP39" s="86"/>
      <c r="BQ39" s="88"/>
      <c r="BR39" s="86"/>
      <c r="BS39" s="87"/>
    </row>
    <row r="40" ht="22.5" customHeight="1">
      <c r="A40" s="97" t="s">
        <v>244</v>
      </c>
      <c r="B40" s="98" t="s">
        <v>71</v>
      </c>
      <c r="C40" s="99">
        <v>1.0</v>
      </c>
      <c r="D40" s="100" t="s">
        <v>81</v>
      </c>
      <c r="E40" s="127">
        <v>1.0</v>
      </c>
      <c r="F40" s="105" t="s">
        <v>13</v>
      </c>
      <c r="G40" s="128" t="s">
        <v>221</v>
      </c>
      <c r="H40" s="105" t="s">
        <v>15</v>
      </c>
      <c r="I40" s="129" t="s">
        <v>209</v>
      </c>
      <c r="J40" s="86" t="s">
        <v>19</v>
      </c>
      <c r="K40" s="104">
        <v>1.0</v>
      </c>
      <c r="L40" s="86"/>
      <c r="M40" s="88"/>
      <c r="N40" s="86" t="s">
        <v>21</v>
      </c>
      <c r="O40" s="104">
        <v>20.0</v>
      </c>
      <c r="P40" s="86"/>
      <c r="Q40" s="88"/>
      <c r="R40" s="86"/>
      <c r="S40" s="88"/>
      <c r="T40" s="86"/>
      <c r="U40" s="88"/>
      <c r="V40" s="86"/>
      <c r="W40" s="88"/>
      <c r="X40" s="86"/>
      <c r="Y40" s="88"/>
      <c r="Z40" s="86"/>
      <c r="AA40" s="88"/>
      <c r="AB40" s="86"/>
      <c r="AC40" s="88"/>
      <c r="AD40" s="86"/>
      <c r="AE40" s="88"/>
      <c r="AF40" s="86"/>
      <c r="AG40" s="88"/>
      <c r="AH40" s="86"/>
      <c r="AI40" s="88"/>
      <c r="AJ40" s="86"/>
      <c r="AK40" s="88"/>
      <c r="AL40" s="86"/>
      <c r="AM40" s="88"/>
      <c r="AN40" s="86"/>
      <c r="AO40" s="88"/>
      <c r="AP40" s="86"/>
      <c r="AQ40" s="88"/>
      <c r="AR40" s="86"/>
      <c r="AS40" s="88"/>
      <c r="AT40" s="86"/>
      <c r="AU40" s="88"/>
      <c r="AV40" s="86"/>
      <c r="AW40" s="88"/>
      <c r="AX40" s="86"/>
      <c r="AY40" s="88"/>
      <c r="AZ40" s="86"/>
      <c r="BA40" s="88"/>
      <c r="BB40" s="86"/>
      <c r="BC40" s="88"/>
      <c r="BD40" s="86"/>
      <c r="BE40" s="88"/>
      <c r="BF40" s="86"/>
      <c r="BG40" s="88"/>
      <c r="BH40" s="86"/>
      <c r="BI40" s="88"/>
      <c r="BJ40" s="86"/>
      <c r="BK40" s="88"/>
      <c r="BL40" s="86"/>
      <c r="BM40" s="88"/>
      <c r="BN40" s="86" t="s">
        <v>47</v>
      </c>
      <c r="BO40" s="114">
        <v>1.0</v>
      </c>
      <c r="BP40" s="86"/>
      <c r="BQ40" s="88"/>
      <c r="BR40" s="86"/>
      <c r="BS40" s="87"/>
    </row>
    <row r="41" ht="22.5" customHeight="1">
      <c r="A41" s="143" t="s">
        <v>245</v>
      </c>
      <c r="B41" s="90" t="s">
        <v>71</v>
      </c>
      <c r="C41" s="91">
        <v>1.0</v>
      </c>
      <c r="D41" s="81" t="s">
        <v>238</v>
      </c>
      <c r="E41" s="127">
        <v>1.0</v>
      </c>
      <c r="F41" s="105" t="s">
        <v>13</v>
      </c>
      <c r="G41" s="106" t="s">
        <v>221</v>
      </c>
      <c r="H41" s="105" t="s">
        <v>15</v>
      </c>
      <c r="I41" s="102" t="s">
        <v>209</v>
      </c>
      <c r="J41" s="86"/>
      <c r="K41" s="88"/>
      <c r="L41" s="86"/>
      <c r="M41" s="88"/>
      <c r="N41" s="86"/>
      <c r="O41" s="88"/>
      <c r="P41" s="86"/>
      <c r="Q41" s="88"/>
      <c r="R41" s="86"/>
      <c r="S41" s="88"/>
      <c r="T41" s="86"/>
      <c r="U41" s="88"/>
      <c r="V41" s="86"/>
      <c r="W41" s="88"/>
      <c r="X41" s="86"/>
      <c r="Y41" s="88"/>
      <c r="Z41" s="86"/>
      <c r="AA41" s="88"/>
      <c r="AB41" s="86"/>
      <c r="AC41" s="88"/>
      <c r="AD41" s="86"/>
      <c r="AE41" s="88"/>
      <c r="AF41" s="86"/>
      <c r="AG41" s="88"/>
      <c r="AH41" s="86"/>
      <c r="AI41" s="88"/>
      <c r="AJ41" s="86"/>
      <c r="AK41" s="88"/>
      <c r="AL41" s="86"/>
      <c r="AM41" s="88"/>
      <c r="AN41" s="86"/>
      <c r="AO41" s="88"/>
      <c r="AP41" s="86"/>
      <c r="AQ41" s="88"/>
      <c r="AR41" s="86"/>
      <c r="AS41" s="88"/>
      <c r="AT41" s="86"/>
      <c r="AU41" s="88"/>
      <c r="AV41" s="86"/>
      <c r="AW41" s="88"/>
      <c r="AX41" s="86"/>
      <c r="AY41" s="88"/>
      <c r="AZ41" s="86"/>
      <c r="BA41" s="88"/>
      <c r="BB41" s="86"/>
      <c r="BC41" s="88"/>
      <c r="BD41" s="86"/>
      <c r="BE41" s="88"/>
      <c r="BF41" s="86"/>
      <c r="BG41" s="88"/>
      <c r="BH41" s="86"/>
      <c r="BI41" s="88"/>
      <c r="BJ41" s="86"/>
      <c r="BK41" s="88"/>
      <c r="BL41" s="86"/>
      <c r="BM41" s="88"/>
      <c r="BN41" s="86" t="s">
        <v>47</v>
      </c>
      <c r="BO41" s="114">
        <v>1.0</v>
      </c>
      <c r="BP41" s="86"/>
      <c r="BQ41" s="88"/>
      <c r="BR41" s="86"/>
      <c r="BS41" s="87"/>
    </row>
    <row r="42" ht="22.5" customHeight="1">
      <c r="A42" s="89" t="s">
        <v>246</v>
      </c>
      <c r="B42" s="90" t="s">
        <v>71</v>
      </c>
      <c r="C42" s="91">
        <v>1.0</v>
      </c>
      <c r="D42" s="105" t="s">
        <v>81</v>
      </c>
      <c r="E42" s="127">
        <v>1.0</v>
      </c>
      <c r="F42" s="90"/>
      <c r="G42" s="106"/>
      <c r="H42" s="105"/>
      <c r="I42" s="102"/>
      <c r="J42" s="86" t="s">
        <v>19</v>
      </c>
      <c r="K42" s="115" t="s">
        <v>221</v>
      </c>
      <c r="L42" s="86"/>
      <c r="M42" s="88"/>
      <c r="N42" s="86"/>
      <c r="O42" s="88"/>
      <c r="P42" s="86"/>
      <c r="Q42" s="88"/>
      <c r="R42" s="86"/>
      <c r="S42" s="88"/>
      <c r="T42" s="86"/>
      <c r="U42" s="88"/>
      <c r="V42" s="86"/>
      <c r="W42" s="88"/>
      <c r="X42" s="86"/>
      <c r="Y42" s="88"/>
      <c r="Z42" s="86"/>
      <c r="AA42" s="88"/>
      <c r="AB42" s="86"/>
      <c r="AC42" s="88"/>
      <c r="AD42" s="86"/>
      <c r="AE42" s="88"/>
      <c r="AF42" s="86"/>
      <c r="AG42" s="88"/>
      <c r="AH42" s="86"/>
      <c r="AI42" s="88"/>
      <c r="AJ42" s="86"/>
      <c r="AK42" s="88"/>
      <c r="AL42" s="86"/>
      <c r="AM42" s="88"/>
      <c r="AN42" s="86"/>
      <c r="AO42" s="88"/>
      <c r="AP42" s="86"/>
      <c r="AQ42" s="88"/>
      <c r="AR42" s="86"/>
      <c r="AS42" s="88"/>
      <c r="AT42" s="86"/>
      <c r="AU42" s="88"/>
      <c r="AV42" s="86"/>
      <c r="AW42" s="88"/>
      <c r="AX42" s="86"/>
      <c r="AY42" s="88"/>
      <c r="AZ42" s="86"/>
      <c r="BA42" s="88"/>
      <c r="BB42" s="86"/>
      <c r="BC42" s="88"/>
      <c r="BD42" s="86"/>
      <c r="BE42" s="88"/>
      <c r="BF42" s="86"/>
      <c r="BG42" s="88"/>
      <c r="BH42" s="86"/>
      <c r="BI42" s="88"/>
      <c r="BJ42" s="86"/>
      <c r="BK42" s="88"/>
      <c r="BL42" s="86"/>
      <c r="BM42" s="88"/>
      <c r="BN42" s="86" t="s">
        <v>47</v>
      </c>
      <c r="BO42" s="114">
        <v>1.0</v>
      </c>
      <c r="BP42" s="86"/>
      <c r="BQ42" s="88"/>
      <c r="BR42" s="86"/>
      <c r="BS42" s="87"/>
    </row>
    <row r="43" ht="22.5" customHeight="1">
      <c r="A43" s="143" t="s">
        <v>247</v>
      </c>
      <c r="B43" s="90" t="s">
        <v>71</v>
      </c>
      <c r="C43" s="91">
        <v>1.0</v>
      </c>
      <c r="D43" s="81" t="s">
        <v>238</v>
      </c>
      <c r="E43" s="127">
        <v>1.0</v>
      </c>
      <c r="F43" s="90"/>
      <c r="G43" s="106"/>
      <c r="H43" s="105"/>
      <c r="I43" s="102"/>
      <c r="J43" s="86" t="s">
        <v>19</v>
      </c>
      <c r="K43" s="115" t="s">
        <v>221</v>
      </c>
      <c r="L43" s="86"/>
      <c r="M43" s="88"/>
      <c r="N43" s="86"/>
      <c r="O43" s="88"/>
      <c r="P43" s="86"/>
      <c r="Q43" s="88"/>
      <c r="R43" s="86"/>
      <c r="S43" s="88"/>
      <c r="T43" s="117" t="s">
        <v>24</v>
      </c>
      <c r="U43" s="104">
        <v>30.0</v>
      </c>
      <c r="V43" s="86"/>
      <c r="W43" s="88"/>
      <c r="X43" s="86"/>
      <c r="Y43" s="88"/>
      <c r="Z43" s="86"/>
      <c r="AA43" s="88"/>
      <c r="AB43" s="86"/>
      <c r="AC43" s="88"/>
      <c r="AD43" s="86"/>
      <c r="AE43" s="88"/>
      <c r="AF43" s="86"/>
      <c r="AG43" s="88"/>
      <c r="AH43" s="86"/>
      <c r="AI43" s="88"/>
      <c r="AJ43" s="86"/>
      <c r="AK43" s="88"/>
      <c r="AL43" s="86"/>
      <c r="AM43" s="88"/>
      <c r="AN43" s="117" t="s">
        <v>248</v>
      </c>
      <c r="AO43" s="88"/>
      <c r="AP43" s="86"/>
      <c r="AQ43" s="88"/>
      <c r="AR43" s="86"/>
      <c r="AS43" s="88"/>
      <c r="AT43" s="86"/>
      <c r="AU43" s="88"/>
      <c r="AV43" s="86"/>
      <c r="AW43" s="88"/>
      <c r="AX43" s="86"/>
      <c r="AY43" s="88"/>
      <c r="AZ43" s="86"/>
      <c r="BA43" s="88"/>
      <c r="BB43" s="86"/>
      <c r="BC43" s="88"/>
      <c r="BD43" s="86"/>
      <c r="BE43" s="88"/>
      <c r="BF43" s="86"/>
      <c r="BG43" s="88"/>
      <c r="BH43" s="86"/>
      <c r="BI43" s="88"/>
      <c r="BJ43" s="86"/>
      <c r="BK43" s="88"/>
      <c r="BL43" s="86"/>
      <c r="BM43" s="88"/>
      <c r="BN43" s="86" t="s">
        <v>47</v>
      </c>
      <c r="BO43" s="114">
        <v>1.0</v>
      </c>
      <c r="BP43" s="86"/>
      <c r="BQ43" s="88"/>
      <c r="BR43" s="86"/>
      <c r="BS43" s="87"/>
    </row>
    <row r="44" ht="22.5" customHeight="1">
      <c r="A44" s="120" t="s">
        <v>249</v>
      </c>
      <c r="B44" s="121" t="s">
        <v>250</v>
      </c>
      <c r="C44" s="122">
        <v>1.0</v>
      </c>
      <c r="D44" s="123"/>
      <c r="E44" s="122"/>
      <c r="F44" s="123"/>
      <c r="G44" s="124"/>
      <c r="H44" s="123"/>
      <c r="I44" s="125"/>
      <c r="J44" s="118"/>
      <c r="K44" s="119"/>
      <c r="L44" s="118"/>
      <c r="M44" s="119"/>
      <c r="N44" s="118"/>
      <c r="O44" s="119"/>
      <c r="P44" s="118"/>
      <c r="Q44" s="119"/>
      <c r="R44" s="118"/>
      <c r="S44" s="119"/>
      <c r="T44" s="118"/>
      <c r="U44" s="119"/>
      <c r="V44" s="118"/>
      <c r="W44" s="119"/>
      <c r="X44" s="118"/>
      <c r="Y44" s="119"/>
      <c r="Z44" s="118"/>
      <c r="AA44" s="119"/>
      <c r="AB44" s="118"/>
      <c r="AC44" s="119"/>
      <c r="AD44" s="118"/>
      <c r="AE44" s="119"/>
      <c r="AF44" s="118"/>
      <c r="AG44" s="119"/>
      <c r="AH44" s="118"/>
      <c r="AI44" s="119"/>
      <c r="AJ44" s="118"/>
      <c r="AK44" s="119"/>
      <c r="AL44" s="118"/>
      <c r="AM44" s="119"/>
      <c r="AN44" s="118"/>
      <c r="AO44" s="119"/>
      <c r="AP44" s="118" t="s">
        <v>35</v>
      </c>
      <c r="AQ44" s="119">
        <v>100.0</v>
      </c>
      <c r="AR44" s="118"/>
      <c r="AS44" s="119"/>
      <c r="AT44" s="118"/>
      <c r="AU44" s="119"/>
      <c r="AV44" s="118"/>
      <c r="AW44" s="119"/>
      <c r="AX44" s="118"/>
      <c r="AY44" s="119"/>
      <c r="AZ44" s="118"/>
      <c r="BA44" s="119"/>
      <c r="BB44" s="118"/>
      <c r="BC44" s="119"/>
      <c r="BD44" s="118"/>
      <c r="BE44" s="119"/>
      <c r="BF44" s="118"/>
      <c r="BG44" s="119"/>
      <c r="BH44" s="118"/>
      <c r="BI44" s="119"/>
      <c r="BJ44" s="118"/>
      <c r="BK44" s="119"/>
      <c r="BL44" s="118"/>
      <c r="BM44" s="119"/>
      <c r="BN44" s="118"/>
      <c r="BO44" s="119"/>
      <c r="BP44" s="118"/>
      <c r="BQ44" s="119"/>
      <c r="BR44" s="118"/>
      <c r="BS44" s="125"/>
    </row>
    <row r="45" ht="22.5" customHeight="1">
      <c r="A45" s="120" t="s">
        <v>251</v>
      </c>
      <c r="B45" s="121" t="s">
        <v>252</v>
      </c>
      <c r="C45" s="122">
        <v>1.0</v>
      </c>
      <c r="D45" s="123"/>
      <c r="E45" s="122"/>
      <c r="F45" s="123"/>
      <c r="G45" s="124"/>
      <c r="H45" s="123"/>
      <c r="I45" s="125"/>
      <c r="J45" s="118"/>
      <c r="K45" s="119"/>
      <c r="L45" s="118"/>
      <c r="M45" s="119"/>
      <c r="N45" s="118"/>
      <c r="O45" s="119"/>
      <c r="P45" s="118"/>
      <c r="Q45" s="119"/>
      <c r="R45" s="118"/>
      <c r="S45" s="119"/>
      <c r="T45" s="118"/>
      <c r="U45" s="119"/>
      <c r="V45" s="118"/>
      <c r="W45" s="119"/>
      <c r="X45" s="118"/>
      <c r="Y45" s="119"/>
      <c r="Z45" s="118"/>
      <c r="AA45" s="119"/>
      <c r="AB45" s="118"/>
      <c r="AC45" s="119"/>
      <c r="AD45" s="118"/>
      <c r="AE45" s="119"/>
      <c r="AF45" s="118"/>
      <c r="AG45" s="119"/>
      <c r="AH45" s="118"/>
      <c r="AI45" s="119"/>
      <c r="AJ45" s="118"/>
      <c r="AK45" s="119"/>
      <c r="AL45" s="118"/>
      <c r="AM45" s="119"/>
      <c r="AN45" s="118"/>
      <c r="AO45" s="119"/>
      <c r="AP45" s="118" t="s">
        <v>35</v>
      </c>
      <c r="AQ45" s="119">
        <v>100.0</v>
      </c>
      <c r="AR45" s="118" t="s">
        <v>137</v>
      </c>
      <c r="AS45" s="119">
        <v>10.0</v>
      </c>
      <c r="AT45" s="118"/>
      <c r="AU45" s="119"/>
      <c r="AV45" s="118"/>
      <c r="AW45" s="119"/>
      <c r="AX45" s="118"/>
      <c r="AY45" s="119"/>
      <c r="AZ45" s="118"/>
      <c r="BA45" s="119"/>
      <c r="BB45" s="118"/>
      <c r="BC45" s="119"/>
      <c r="BD45" s="118"/>
      <c r="BE45" s="119"/>
      <c r="BF45" s="118"/>
      <c r="BG45" s="119"/>
      <c r="BH45" s="118"/>
      <c r="BI45" s="119"/>
      <c r="BJ45" s="118"/>
      <c r="BK45" s="119"/>
      <c r="BL45" s="118"/>
      <c r="BM45" s="119"/>
      <c r="BN45" s="118"/>
      <c r="BO45" s="119"/>
      <c r="BP45" s="118"/>
      <c r="BQ45" s="119"/>
      <c r="BR45" s="118"/>
      <c r="BS45" s="125"/>
    </row>
    <row r="46" ht="22.5" customHeight="1">
      <c r="A46" s="80" t="s">
        <v>253</v>
      </c>
      <c r="B46" s="81" t="s">
        <v>254</v>
      </c>
      <c r="C46" s="82">
        <v>1.0</v>
      </c>
      <c r="D46" s="83"/>
      <c r="E46" s="84"/>
      <c r="F46" s="83"/>
      <c r="G46" s="85"/>
      <c r="H46" s="86"/>
      <c r="I46" s="87"/>
      <c r="J46" s="86"/>
      <c r="K46" s="88"/>
      <c r="L46" s="86"/>
      <c r="M46" s="88"/>
      <c r="N46" s="86"/>
      <c r="O46" s="88"/>
      <c r="P46" s="86"/>
      <c r="Q46" s="88"/>
      <c r="R46" s="86"/>
      <c r="S46" s="88"/>
      <c r="T46" s="86"/>
      <c r="U46" s="88"/>
      <c r="V46" s="86"/>
      <c r="W46" s="88"/>
      <c r="X46" s="86"/>
      <c r="Y46" s="88"/>
      <c r="Z46" s="86"/>
      <c r="AA46" s="88"/>
      <c r="AB46" s="86"/>
      <c r="AC46" s="88"/>
      <c r="AD46" s="86"/>
      <c r="AE46" s="88"/>
      <c r="AF46" s="86"/>
      <c r="AG46" s="88"/>
      <c r="AH46" s="86"/>
      <c r="AI46" s="88"/>
      <c r="AJ46" s="86"/>
      <c r="AK46" s="88"/>
      <c r="AL46" s="86"/>
      <c r="AM46" s="88"/>
      <c r="AN46" s="86"/>
      <c r="AO46" s="88"/>
      <c r="AP46" s="86"/>
      <c r="AQ46" s="88"/>
      <c r="AR46" s="86"/>
      <c r="AS46" s="88"/>
      <c r="AT46" s="86"/>
      <c r="AU46" s="88"/>
      <c r="AV46" s="86"/>
      <c r="AW46" s="88"/>
      <c r="AX46" s="86"/>
      <c r="AY46" s="88"/>
      <c r="AZ46" s="86"/>
      <c r="BA46" s="88"/>
      <c r="BB46" s="86"/>
      <c r="BC46" s="88"/>
      <c r="BD46" s="86"/>
      <c r="BE46" s="88"/>
      <c r="BF46" s="86"/>
      <c r="BG46" s="88"/>
      <c r="BH46" s="86"/>
      <c r="BI46" s="88"/>
      <c r="BJ46" s="86"/>
      <c r="BK46" s="88"/>
      <c r="BL46" s="86"/>
      <c r="BM46" s="88"/>
      <c r="BN46" s="86"/>
      <c r="BO46" s="88"/>
      <c r="BP46" s="86"/>
      <c r="BQ46" s="88"/>
      <c r="BR46" s="86"/>
      <c r="BS46" s="87"/>
    </row>
    <row r="47" ht="22.5" customHeight="1">
      <c r="A47" s="80" t="s">
        <v>255</v>
      </c>
      <c r="B47" s="141" t="s">
        <v>60</v>
      </c>
      <c r="C47" s="84">
        <v>1.0</v>
      </c>
      <c r="D47" s="141" t="s">
        <v>61</v>
      </c>
      <c r="E47" s="84">
        <v>1.0</v>
      </c>
      <c r="F47" s="83"/>
      <c r="G47" s="85"/>
      <c r="H47" s="86"/>
      <c r="I47" s="87"/>
      <c r="J47" s="86"/>
      <c r="K47" s="88"/>
      <c r="L47" s="86"/>
      <c r="M47" s="88"/>
      <c r="N47" s="86"/>
      <c r="O47" s="88"/>
      <c r="P47" s="86"/>
      <c r="Q47" s="88"/>
      <c r="R47" s="86"/>
      <c r="S47" s="88"/>
      <c r="T47" s="86"/>
      <c r="U47" s="88"/>
      <c r="V47" s="86"/>
      <c r="W47" s="88"/>
      <c r="X47" s="86"/>
      <c r="Y47" s="88"/>
      <c r="Z47" s="86"/>
      <c r="AA47" s="88"/>
      <c r="AB47" s="86"/>
      <c r="AC47" s="88"/>
      <c r="AD47" s="86"/>
      <c r="AE47" s="88"/>
      <c r="AF47" s="86"/>
      <c r="AG47" s="88"/>
      <c r="AH47" s="86"/>
      <c r="AI47" s="88"/>
      <c r="AJ47" s="86"/>
      <c r="AK47" s="88"/>
      <c r="AL47" s="86"/>
      <c r="AM47" s="88"/>
      <c r="AN47" s="86"/>
      <c r="AO47" s="88"/>
      <c r="AP47" s="86"/>
      <c r="AQ47" s="88"/>
      <c r="AR47" s="86"/>
      <c r="AS47" s="88"/>
      <c r="AT47" s="86"/>
      <c r="AU47" s="88"/>
      <c r="AV47" s="86"/>
      <c r="AW47" s="88"/>
      <c r="AX47" s="86"/>
      <c r="AY47" s="88"/>
      <c r="AZ47" s="86"/>
      <c r="BA47" s="88"/>
      <c r="BB47" s="86"/>
      <c r="BC47" s="88"/>
      <c r="BD47" s="86"/>
      <c r="BE47" s="88"/>
      <c r="BF47" s="86"/>
      <c r="BG47" s="88"/>
      <c r="BH47" s="86"/>
      <c r="BI47" s="88"/>
      <c r="BJ47" s="86"/>
      <c r="BK47" s="88"/>
      <c r="BL47" s="86"/>
      <c r="BM47" s="88"/>
      <c r="BN47" s="86"/>
      <c r="BO47" s="88"/>
      <c r="BP47" s="86"/>
      <c r="BQ47" s="88"/>
      <c r="BR47" s="86"/>
      <c r="BS47" s="87"/>
    </row>
    <row r="48" ht="22.5" customHeight="1">
      <c r="A48" s="126" t="s">
        <v>256</v>
      </c>
      <c r="B48" s="98" t="s">
        <v>60</v>
      </c>
      <c r="C48" s="99">
        <v>1.0</v>
      </c>
      <c r="D48" s="98" t="s">
        <v>61</v>
      </c>
      <c r="E48" s="99">
        <v>1.0</v>
      </c>
      <c r="F48" s="100" t="s">
        <v>14</v>
      </c>
      <c r="G48" s="101" t="s">
        <v>208</v>
      </c>
      <c r="H48" s="98" t="s">
        <v>15</v>
      </c>
      <c r="I48" s="102" t="s">
        <v>209</v>
      </c>
      <c r="J48" s="86"/>
      <c r="K48" s="88"/>
      <c r="L48" s="86"/>
      <c r="M48" s="88"/>
      <c r="N48" s="86" t="s">
        <v>21</v>
      </c>
      <c r="O48" s="88">
        <v>20.0</v>
      </c>
      <c r="P48" s="86"/>
      <c r="Q48" s="88"/>
      <c r="R48" s="86"/>
      <c r="S48" s="88"/>
      <c r="T48" s="86"/>
      <c r="U48" s="88"/>
      <c r="V48" s="86"/>
      <c r="W48" s="88"/>
      <c r="X48" s="86"/>
      <c r="Y48" s="88"/>
      <c r="Z48" s="86"/>
      <c r="AA48" s="88"/>
      <c r="AB48" s="86" t="s">
        <v>28</v>
      </c>
      <c r="AC48" s="103">
        <v>10.0</v>
      </c>
      <c r="AD48" s="86"/>
      <c r="AE48" s="88"/>
      <c r="AF48" s="86"/>
      <c r="AG48" s="88"/>
      <c r="AH48" s="86"/>
      <c r="AI48" s="88"/>
      <c r="AJ48" s="86"/>
      <c r="AK48" s="88"/>
      <c r="AL48" s="86"/>
      <c r="AM48" s="88"/>
      <c r="AN48" s="86"/>
      <c r="AO48" s="88"/>
      <c r="AP48" s="86"/>
      <c r="AQ48" s="88"/>
      <c r="AR48" s="86"/>
      <c r="AS48" s="88"/>
      <c r="AT48" s="86"/>
      <c r="AU48" s="88"/>
      <c r="AV48" s="86"/>
      <c r="AW48" s="88"/>
      <c r="AX48" s="86"/>
      <c r="AY48" s="88"/>
      <c r="AZ48" s="86"/>
      <c r="BA48" s="88"/>
      <c r="BB48" s="86"/>
      <c r="BC48" s="88"/>
      <c r="BD48" s="86"/>
      <c r="BE48" s="88"/>
      <c r="BF48" s="86"/>
      <c r="BG48" s="88"/>
      <c r="BH48" s="86"/>
      <c r="BI48" s="88"/>
      <c r="BJ48" s="86"/>
      <c r="BK48" s="88"/>
      <c r="BL48" s="86" t="s">
        <v>46</v>
      </c>
      <c r="BM48" s="104">
        <v>1.0</v>
      </c>
      <c r="BN48" s="86"/>
      <c r="BO48" s="88"/>
      <c r="BP48" s="86"/>
      <c r="BQ48" s="88"/>
      <c r="BR48" s="86"/>
      <c r="BS48" s="87"/>
    </row>
    <row r="49" ht="22.5" customHeight="1">
      <c r="A49" s="80" t="s">
        <v>257</v>
      </c>
      <c r="B49" s="141" t="s">
        <v>60</v>
      </c>
      <c r="C49" s="84">
        <v>1.0</v>
      </c>
      <c r="D49" s="98" t="s">
        <v>258</v>
      </c>
      <c r="E49" s="84">
        <v>1.0</v>
      </c>
      <c r="F49" s="83" t="s">
        <v>14</v>
      </c>
      <c r="G49" s="139" t="s">
        <v>208</v>
      </c>
      <c r="H49" s="142" t="s">
        <v>15</v>
      </c>
      <c r="I49" s="102" t="s">
        <v>209</v>
      </c>
      <c r="J49" s="86"/>
      <c r="K49" s="88"/>
      <c r="L49" s="86"/>
      <c r="M49" s="88"/>
      <c r="N49" s="86" t="s">
        <v>21</v>
      </c>
      <c r="O49" s="88">
        <v>20.0</v>
      </c>
      <c r="P49" s="86"/>
      <c r="Q49" s="88"/>
      <c r="R49" s="86"/>
      <c r="S49" s="88"/>
      <c r="T49" s="86"/>
      <c r="U49" s="88"/>
      <c r="V49" s="86"/>
      <c r="W49" s="88"/>
      <c r="X49" s="86"/>
      <c r="Y49" s="88"/>
      <c r="Z49" s="86"/>
      <c r="AA49" s="88"/>
      <c r="AB49" s="86" t="s">
        <v>28</v>
      </c>
      <c r="AC49" s="104">
        <v>10.0</v>
      </c>
      <c r="AD49" s="86"/>
      <c r="AE49" s="88"/>
      <c r="AF49" s="86"/>
      <c r="AG49" s="88"/>
      <c r="AH49" s="86"/>
      <c r="AI49" s="88"/>
      <c r="AJ49" s="86"/>
      <c r="AK49" s="88"/>
      <c r="AL49" s="86"/>
      <c r="AM49" s="88"/>
      <c r="AN49" s="86"/>
      <c r="AO49" s="88"/>
      <c r="AP49" s="86"/>
      <c r="AQ49" s="88"/>
      <c r="AR49" s="86"/>
      <c r="AS49" s="88"/>
      <c r="AT49" s="86"/>
      <c r="AU49" s="88"/>
      <c r="AV49" s="86"/>
      <c r="AW49" s="88"/>
      <c r="AX49" s="86"/>
      <c r="AY49" s="88"/>
      <c r="AZ49" s="86"/>
      <c r="BA49" s="88"/>
      <c r="BB49" s="86"/>
      <c r="BC49" s="88"/>
      <c r="BD49" s="86"/>
      <c r="BE49" s="88"/>
      <c r="BF49" s="86"/>
      <c r="BG49" s="88"/>
      <c r="BH49" s="86"/>
      <c r="BI49" s="88"/>
      <c r="BJ49" s="86"/>
      <c r="BK49" s="88"/>
      <c r="BL49" s="86" t="s">
        <v>46</v>
      </c>
      <c r="BM49" s="104">
        <v>1.0</v>
      </c>
      <c r="BN49" s="86"/>
      <c r="BO49" s="88"/>
      <c r="BP49" s="86"/>
      <c r="BQ49" s="88"/>
      <c r="BR49" s="86"/>
      <c r="BS49" s="87"/>
    </row>
    <row r="50" ht="22.5" customHeight="1">
      <c r="A50" s="143" t="s">
        <v>259</v>
      </c>
      <c r="B50" s="90" t="s">
        <v>60</v>
      </c>
      <c r="C50" s="91">
        <v>1.0</v>
      </c>
      <c r="D50" s="90" t="s">
        <v>61</v>
      </c>
      <c r="E50" s="91">
        <v>1.0</v>
      </c>
      <c r="F50" s="105" t="s">
        <v>14</v>
      </c>
      <c r="G50" s="106" t="s">
        <v>208</v>
      </c>
      <c r="H50" s="105"/>
      <c r="I50" s="102"/>
      <c r="J50" s="86"/>
      <c r="K50" s="88"/>
      <c r="L50" s="86"/>
      <c r="M50" s="88"/>
      <c r="N50" s="86"/>
      <c r="O50" s="88"/>
      <c r="P50" s="86"/>
      <c r="Q50" s="88"/>
      <c r="R50" s="86"/>
      <c r="S50" s="88"/>
      <c r="T50" s="86"/>
      <c r="U50" s="88"/>
      <c r="V50" s="86" t="s">
        <v>25</v>
      </c>
      <c r="W50" s="88">
        <v>10.0</v>
      </c>
      <c r="X50" s="86"/>
      <c r="Y50" s="88"/>
      <c r="Z50" s="86" t="s">
        <v>27</v>
      </c>
      <c r="AA50" s="104">
        <v>10.0</v>
      </c>
      <c r="AB50" s="86"/>
      <c r="AC50" s="88"/>
      <c r="AD50" s="86"/>
      <c r="AE50" s="88"/>
      <c r="AF50" s="86"/>
      <c r="AG50" s="88"/>
      <c r="AH50" s="86"/>
      <c r="AI50" s="88"/>
      <c r="AJ50" s="86"/>
      <c r="AK50" s="88"/>
      <c r="AL50" s="86"/>
      <c r="AM50" s="88"/>
      <c r="AN50" s="86"/>
      <c r="AO50" s="88"/>
      <c r="AP50" s="86"/>
      <c r="AQ50" s="88"/>
      <c r="AR50" s="86"/>
      <c r="AS50" s="88"/>
      <c r="AT50" s="86"/>
      <c r="AU50" s="88"/>
      <c r="AV50" s="86"/>
      <c r="AW50" s="88"/>
      <c r="AX50" s="86"/>
      <c r="AY50" s="88"/>
      <c r="AZ50" s="86"/>
      <c r="BA50" s="88"/>
      <c r="BB50" s="86"/>
      <c r="BC50" s="88"/>
      <c r="BD50" s="86"/>
      <c r="BE50" s="88"/>
      <c r="BF50" s="86"/>
      <c r="BG50" s="88"/>
      <c r="BH50" s="86"/>
      <c r="BI50" s="88"/>
      <c r="BJ50" s="86"/>
      <c r="BK50" s="88"/>
      <c r="BL50" s="86" t="s">
        <v>46</v>
      </c>
      <c r="BM50" s="104">
        <v>1.0</v>
      </c>
      <c r="BN50" s="86"/>
      <c r="BO50" s="88"/>
      <c r="BP50" s="86"/>
      <c r="BQ50" s="88"/>
      <c r="BR50" s="86"/>
      <c r="BS50" s="87"/>
    </row>
    <row r="51" ht="22.5" customHeight="1">
      <c r="A51" s="80" t="s">
        <v>260</v>
      </c>
      <c r="B51" s="141" t="s">
        <v>60</v>
      </c>
      <c r="C51" s="84">
        <v>1.0</v>
      </c>
      <c r="D51" s="98" t="s">
        <v>258</v>
      </c>
      <c r="E51" s="84">
        <v>1.0</v>
      </c>
      <c r="F51" s="83" t="s">
        <v>14</v>
      </c>
      <c r="G51" s="139" t="s">
        <v>208</v>
      </c>
      <c r="H51" s="86"/>
      <c r="I51" s="102"/>
      <c r="J51" s="86"/>
      <c r="K51" s="88"/>
      <c r="L51" s="86"/>
      <c r="M51" s="88"/>
      <c r="N51" s="86"/>
      <c r="O51" s="88"/>
      <c r="P51" s="86"/>
      <c r="Q51" s="88"/>
      <c r="R51" s="86"/>
      <c r="S51" s="88"/>
      <c r="T51" s="86"/>
      <c r="U51" s="88"/>
      <c r="V51" s="86" t="s">
        <v>25</v>
      </c>
      <c r="W51" s="88">
        <v>10.0</v>
      </c>
      <c r="X51" s="86"/>
      <c r="Y51" s="88"/>
      <c r="Z51" s="86" t="s">
        <v>27</v>
      </c>
      <c r="AA51" s="104">
        <v>10.0</v>
      </c>
      <c r="AB51" s="86"/>
      <c r="AC51" s="88"/>
      <c r="AD51" s="86"/>
      <c r="AE51" s="88"/>
      <c r="AF51" s="86"/>
      <c r="AG51" s="88"/>
      <c r="AH51" s="86"/>
      <c r="AI51" s="88"/>
      <c r="AJ51" s="86"/>
      <c r="AK51" s="88"/>
      <c r="AL51" s="86"/>
      <c r="AM51" s="88"/>
      <c r="AN51" s="86"/>
      <c r="AO51" s="88"/>
      <c r="AP51" s="86"/>
      <c r="AQ51" s="88"/>
      <c r="AR51" s="86"/>
      <c r="AS51" s="88"/>
      <c r="AT51" s="86"/>
      <c r="AU51" s="88"/>
      <c r="AV51" s="86"/>
      <c r="AW51" s="88"/>
      <c r="AX51" s="86"/>
      <c r="AY51" s="88"/>
      <c r="AZ51" s="86"/>
      <c r="BA51" s="88"/>
      <c r="BB51" s="86"/>
      <c r="BC51" s="88"/>
      <c r="BD51" s="86"/>
      <c r="BE51" s="88"/>
      <c r="BF51" s="86"/>
      <c r="BG51" s="88"/>
      <c r="BH51" s="86"/>
      <c r="BI51" s="88"/>
      <c r="BJ51" s="86"/>
      <c r="BK51" s="88"/>
      <c r="BL51" s="86" t="s">
        <v>46</v>
      </c>
      <c r="BM51" s="104">
        <v>1.0</v>
      </c>
      <c r="BN51" s="86"/>
      <c r="BO51" s="88"/>
      <c r="BP51" s="86"/>
      <c r="BQ51" s="88"/>
      <c r="BR51" s="86"/>
      <c r="BS51" s="87"/>
    </row>
    <row r="52" ht="22.5" customHeight="1">
      <c r="A52" s="143" t="s">
        <v>261</v>
      </c>
      <c r="B52" s="90" t="s">
        <v>60</v>
      </c>
      <c r="C52" s="91">
        <v>1.0</v>
      </c>
      <c r="D52" s="90" t="s">
        <v>61</v>
      </c>
      <c r="E52" s="91">
        <v>1.0</v>
      </c>
      <c r="F52" s="105" t="s">
        <v>14</v>
      </c>
      <c r="G52" s="106" t="s">
        <v>208</v>
      </c>
      <c r="H52" s="90" t="s">
        <v>15</v>
      </c>
      <c r="I52" s="102" t="s">
        <v>209</v>
      </c>
      <c r="J52" s="86"/>
      <c r="K52" s="88"/>
      <c r="L52" s="86"/>
      <c r="M52" s="88"/>
      <c r="N52" s="86" t="s">
        <v>21</v>
      </c>
      <c r="O52" s="88">
        <v>20.0</v>
      </c>
      <c r="P52" s="86"/>
      <c r="Q52" s="88"/>
      <c r="R52" s="86"/>
      <c r="S52" s="88"/>
      <c r="T52" s="86"/>
      <c r="U52" s="88"/>
      <c r="V52" s="86"/>
      <c r="W52" s="88"/>
      <c r="X52" s="86"/>
      <c r="Y52" s="88"/>
      <c r="Z52" s="86"/>
      <c r="AA52" s="88"/>
      <c r="AB52" s="86" t="s">
        <v>28</v>
      </c>
      <c r="AC52" s="103">
        <v>10.0</v>
      </c>
      <c r="AD52" s="86"/>
      <c r="AE52" s="88"/>
      <c r="AF52" s="86"/>
      <c r="AG52" s="88"/>
      <c r="AH52" s="86"/>
      <c r="AI52" s="88"/>
      <c r="AJ52" s="86"/>
      <c r="AK52" s="88"/>
      <c r="AL52" s="86"/>
      <c r="AM52" s="88"/>
      <c r="AN52" s="86"/>
      <c r="AO52" s="88"/>
      <c r="AP52" s="86"/>
      <c r="AQ52" s="88"/>
      <c r="AR52" s="86"/>
      <c r="AS52" s="88"/>
      <c r="AT52" s="86"/>
      <c r="AU52" s="88"/>
      <c r="AV52" s="86"/>
      <c r="AW52" s="88"/>
      <c r="AX52" s="86"/>
      <c r="AY52" s="88"/>
      <c r="AZ52" s="86"/>
      <c r="BA52" s="88"/>
      <c r="BB52" s="86"/>
      <c r="BC52" s="88"/>
      <c r="BD52" s="86"/>
      <c r="BE52" s="88"/>
      <c r="BF52" s="86"/>
      <c r="BG52" s="88"/>
      <c r="BH52" s="86"/>
      <c r="BI52" s="88"/>
      <c r="BJ52" s="86"/>
      <c r="BK52" s="88"/>
      <c r="BL52" s="86" t="s">
        <v>46</v>
      </c>
      <c r="BM52" s="104">
        <v>1.0</v>
      </c>
      <c r="BN52" s="86"/>
      <c r="BO52" s="88"/>
      <c r="BP52" s="86"/>
      <c r="BQ52" s="88"/>
      <c r="BR52" s="86"/>
      <c r="BS52" s="87"/>
    </row>
    <row r="53" ht="22.5" customHeight="1">
      <c r="A53" s="80" t="s">
        <v>262</v>
      </c>
      <c r="B53" s="141" t="s">
        <v>60</v>
      </c>
      <c r="C53" s="84">
        <v>1.0</v>
      </c>
      <c r="D53" s="98" t="s">
        <v>258</v>
      </c>
      <c r="E53" s="84">
        <v>1.0</v>
      </c>
      <c r="F53" s="83" t="s">
        <v>14</v>
      </c>
      <c r="G53" s="139" t="s">
        <v>208</v>
      </c>
      <c r="H53" s="142" t="s">
        <v>15</v>
      </c>
      <c r="I53" s="102" t="s">
        <v>209</v>
      </c>
      <c r="J53" s="86"/>
      <c r="K53" s="88"/>
      <c r="L53" s="86"/>
      <c r="M53" s="88"/>
      <c r="N53" s="86" t="s">
        <v>21</v>
      </c>
      <c r="O53" s="88">
        <v>20.0</v>
      </c>
      <c r="P53" s="86"/>
      <c r="Q53" s="88"/>
      <c r="R53" s="86"/>
      <c r="S53" s="88"/>
      <c r="T53" s="86"/>
      <c r="U53" s="88"/>
      <c r="V53" s="86"/>
      <c r="W53" s="88"/>
      <c r="X53" s="86"/>
      <c r="Y53" s="88"/>
      <c r="Z53" s="86"/>
      <c r="AA53" s="88"/>
      <c r="AB53" s="86" t="s">
        <v>28</v>
      </c>
      <c r="AC53" s="104">
        <v>10.0</v>
      </c>
      <c r="AD53" s="86"/>
      <c r="AE53" s="88"/>
      <c r="AF53" s="86"/>
      <c r="AG53" s="88"/>
      <c r="AH53" s="86"/>
      <c r="AI53" s="88"/>
      <c r="AJ53" s="86"/>
      <c r="AK53" s="88"/>
      <c r="AL53" s="86"/>
      <c r="AM53" s="88"/>
      <c r="AN53" s="86"/>
      <c r="AO53" s="88"/>
      <c r="AP53" s="86"/>
      <c r="AQ53" s="88"/>
      <c r="AR53" s="86"/>
      <c r="AS53" s="88"/>
      <c r="AT53" s="86"/>
      <c r="AU53" s="88"/>
      <c r="AV53" s="86"/>
      <c r="AW53" s="88"/>
      <c r="AX53" s="86"/>
      <c r="AY53" s="88"/>
      <c r="AZ53" s="86"/>
      <c r="BA53" s="88"/>
      <c r="BB53" s="86"/>
      <c r="BC53" s="88"/>
      <c r="BD53" s="86"/>
      <c r="BE53" s="88"/>
      <c r="BF53" s="86"/>
      <c r="BG53" s="88"/>
      <c r="BH53" s="86"/>
      <c r="BI53" s="88"/>
      <c r="BJ53" s="86"/>
      <c r="BK53" s="88"/>
      <c r="BL53" s="86" t="s">
        <v>46</v>
      </c>
      <c r="BM53" s="104">
        <v>1.0</v>
      </c>
      <c r="BN53" s="86"/>
      <c r="BO53" s="88"/>
      <c r="BP53" s="86"/>
      <c r="BQ53" s="88"/>
      <c r="BR53" s="86"/>
      <c r="BS53" s="87"/>
    </row>
    <row r="54" ht="22.5" customHeight="1">
      <c r="A54" s="126" t="s">
        <v>263</v>
      </c>
      <c r="B54" s="98" t="s">
        <v>60</v>
      </c>
      <c r="C54" s="99">
        <v>1.0</v>
      </c>
      <c r="D54" s="98" t="s">
        <v>61</v>
      </c>
      <c r="E54" s="99">
        <v>1.0</v>
      </c>
      <c r="F54" s="100" t="s">
        <v>14</v>
      </c>
      <c r="G54" s="101" t="s">
        <v>208</v>
      </c>
      <c r="H54" s="100"/>
      <c r="I54" s="102"/>
      <c r="J54" s="86"/>
      <c r="K54" s="88"/>
      <c r="L54" s="86"/>
      <c r="M54" s="88"/>
      <c r="N54" s="86"/>
      <c r="O54" s="88"/>
      <c r="P54" s="86"/>
      <c r="Q54" s="88"/>
      <c r="R54" s="86"/>
      <c r="S54" s="88"/>
      <c r="T54" s="86"/>
      <c r="U54" s="88"/>
      <c r="V54" s="110" t="s">
        <v>25</v>
      </c>
      <c r="W54" s="136">
        <v>10.0</v>
      </c>
      <c r="X54" s="144" t="s">
        <v>26</v>
      </c>
      <c r="Y54" s="103">
        <v>10.0</v>
      </c>
      <c r="Z54" s="86"/>
      <c r="AA54" s="88"/>
      <c r="AB54" s="86"/>
      <c r="AC54" s="88"/>
      <c r="AD54" s="86" t="s">
        <v>29</v>
      </c>
      <c r="AE54" s="103">
        <v>10.0</v>
      </c>
      <c r="AF54" s="86"/>
      <c r="AG54" s="88"/>
      <c r="AH54" s="86"/>
      <c r="AI54" s="88"/>
      <c r="AJ54" s="86"/>
      <c r="AK54" s="88"/>
      <c r="AL54" s="86"/>
      <c r="AM54" s="88"/>
      <c r="AN54" s="86"/>
      <c r="AO54" s="88"/>
      <c r="AP54" s="86"/>
      <c r="AQ54" s="88"/>
      <c r="AR54" s="86"/>
      <c r="AS54" s="88"/>
      <c r="AT54" s="86"/>
      <c r="AU54" s="88"/>
      <c r="AV54" s="86"/>
      <c r="AW54" s="88"/>
      <c r="AX54" s="86"/>
      <c r="AY54" s="88"/>
      <c r="AZ54" s="86"/>
      <c r="BA54" s="88"/>
      <c r="BB54" s="86"/>
      <c r="BC54" s="88"/>
      <c r="BD54" s="86"/>
      <c r="BE54" s="88"/>
      <c r="BF54" s="86"/>
      <c r="BG54" s="88"/>
      <c r="BH54" s="86"/>
      <c r="BI54" s="88"/>
      <c r="BJ54" s="86"/>
      <c r="BK54" s="88"/>
      <c r="BL54" s="86" t="s">
        <v>46</v>
      </c>
      <c r="BM54" s="104">
        <v>1.0</v>
      </c>
      <c r="BN54" s="86"/>
      <c r="BO54" s="88"/>
      <c r="BP54" s="86"/>
      <c r="BQ54" s="88"/>
      <c r="BR54" s="86"/>
      <c r="BS54" s="87"/>
    </row>
    <row r="55" ht="22.5" customHeight="1">
      <c r="A55" s="126" t="s">
        <v>264</v>
      </c>
      <c r="B55" s="98" t="s">
        <v>60</v>
      </c>
      <c r="C55" s="99">
        <v>1.0</v>
      </c>
      <c r="D55" s="98" t="s">
        <v>258</v>
      </c>
      <c r="E55" s="127">
        <v>1.5</v>
      </c>
      <c r="F55" s="100" t="s">
        <v>14</v>
      </c>
      <c r="G55" s="101" t="s">
        <v>208</v>
      </c>
      <c r="H55" s="100"/>
      <c r="I55" s="102"/>
      <c r="J55" s="86"/>
      <c r="K55" s="88"/>
      <c r="L55" s="86"/>
      <c r="M55" s="88"/>
      <c r="N55" s="86"/>
      <c r="O55" s="88"/>
      <c r="P55" s="86"/>
      <c r="Q55" s="88"/>
      <c r="R55" s="86"/>
      <c r="S55" s="88"/>
      <c r="T55" s="86"/>
      <c r="U55" s="88"/>
      <c r="V55" s="110" t="s">
        <v>25</v>
      </c>
      <c r="W55" s="136">
        <v>10.0</v>
      </c>
      <c r="X55" s="144" t="s">
        <v>26</v>
      </c>
      <c r="Y55" s="103">
        <v>10.0</v>
      </c>
      <c r="Z55" s="86"/>
      <c r="AA55" s="88"/>
      <c r="AB55" s="86"/>
      <c r="AC55" s="88"/>
      <c r="AD55" s="86" t="s">
        <v>29</v>
      </c>
      <c r="AE55" s="103">
        <v>10.0</v>
      </c>
      <c r="AF55" s="86"/>
      <c r="AG55" s="88"/>
      <c r="AH55" s="86"/>
      <c r="AI55" s="88"/>
      <c r="AJ55" s="86"/>
      <c r="AK55" s="88"/>
      <c r="AL55" s="86"/>
      <c r="AM55" s="88"/>
      <c r="AN55" s="86"/>
      <c r="AO55" s="88"/>
      <c r="AP55" s="86"/>
      <c r="AQ55" s="88"/>
      <c r="AR55" s="86"/>
      <c r="AS55" s="88"/>
      <c r="AT55" s="86"/>
      <c r="AU55" s="88"/>
      <c r="AV55" s="86"/>
      <c r="AW55" s="88"/>
      <c r="AX55" s="86"/>
      <c r="AY55" s="88"/>
      <c r="AZ55" s="86"/>
      <c r="BA55" s="88"/>
      <c r="BB55" s="86"/>
      <c r="BC55" s="88"/>
      <c r="BD55" s="86"/>
      <c r="BE55" s="88"/>
      <c r="BF55" s="86"/>
      <c r="BG55" s="88"/>
      <c r="BH55" s="86"/>
      <c r="BI55" s="88"/>
      <c r="BJ55" s="86"/>
      <c r="BK55" s="88"/>
      <c r="BL55" s="86" t="s">
        <v>46</v>
      </c>
      <c r="BM55" s="104">
        <v>1.0</v>
      </c>
      <c r="BN55" s="86"/>
      <c r="BO55" s="88"/>
      <c r="BP55" s="86"/>
      <c r="BQ55" s="88"/>
      <c r="BR55" s="86"/>
      <c r="BS55" s="87"/>
    </row>
    <row r="56" ht="22.5" customHeight="1">
      <c r="A56" s="143" t="s">
        <v>265</v>
      </c>
      <c r="B56" s="90" t="s">
        <v>213</v>
      </c>
      <c r="C56" s="91">
        <v>1.0</v>
      </c>
      <c r="D56" s="90" t="s">
        <v>266</v>
      </c>
      <c r="E56" s="91">
        <v>1.0</v>
      </c>
      <c r="F56" s="90" t="s">
        <v>14</v>
      </c>
      <c r="G56" s="108">
        <v>50.0</v>
      </c>
      <c r="H56" s="105"/>
      <c r="I56" s="102"/>
      <c r="J56" s="86"/>
      <c r="K56" s="88"/>
      <c r="L56" s="86"/>
      <c r="M56" s="88"/>
      <c r="N56" s="86"/>
      <c r="O56" s="88"/>
      <c r="P56" s="86"/>
      <c r="Q56" s="88"/>
      <c r="R56" s="86"/>
      <c r="S56" s="88"/>
      <c r="T56" s="86"/>
      <c r="U56" s="88"/>
      <c r="V56" s="86" t="s">
        <v>25</v>
      </c>
      <c r="W56" s="88">
        <v>15.0</v>
      </c>
      <c r="X56" s="144" t="s">
        <v>267</v>
      </c>
      <c r="Y56" s="103">
        <v>15.0</v>
      </c>
      <c r="Z56" s="86"/>
      <c r="AA56" s="88"/>
      <c r="AB56" s="86"/>
      <c r="AC56" s="88"/>
      <c r="AD56" s="86" t="s">
        <v>29</v>
      </c>
      <c r="AE56" s="103">
        <v>15.0</v>
      </c>
      <c r="AF56" s="86"/>
      <c r="AG56" s="88"/>
      <c r="AH56" s="86"/>
      <c r="AI56" s="88"/>
      <c r="AJ56" s="86"/>
      <c r="AK56" s="88"/>
      <c r="AL56" s="86"/>
      <c r="AM56" s="88"/>
      <c r="AN56" s="86"/>
      <c r="AO56" s="88"/>
      <c r="AP56" s="86"/>
      <c r="AQ56" s="88"/>
      <c r="AR56" s="86"/>
      <c r="AS56" s="88"/>
      <c r="AT56" s="86"/>
      <c r="AU56" s="88"/>
      <c r="AV56" s="86"/>
      <c r="AW56" s="88"/>
      <c r="AX56" s="86"/>
      <c r="AY56" s="88"/>
      <c r="AZ56" s="86"/>
      <c r="BA56" s="88"/>
      <c r="BB56" s="86"/>
      <c r="BC56" s="88"/>
      <c r="BD56" s="86"/>
      <c r="BE56" s="88"/>
      <c r="BF56" s="86"/>
      <c r="BG56" s="88"/>
      <c r="BH56" s="86"/>
      <c r="BI56" s="88"/>
      <c r="BJ56" s="86"/>
      <c r="BK56" s="88"/>
      <c r="BL56" s="86"/>
      <c r="BM56" s="88"/>
      <c r="BN56" s="86"/>
      <c r="BO56" s="88"/>
      <c r="BP56" s="86"/>
      <c r="BQ56" s="88"/>
      <c r="BR56" s="86"/>
      <c r="BS56" s="87"/>
    </row>
    <row r="57" ht="22.5" customHeight="1">
      <c r="A57" s="143" t="s">
        <v>268</v>
      </c>
      <c r="B57" s="90" t="s">
        <v>213</v>
      </c>
      <c r="C57" s="91">
        <v>1.0</v>
      </c>
      <c r="D57" s="98" t="s">
        <v>258</v>
      </c>
      <c r="E57" s="145">
        <v>1.5</v>
      </c>
      <c r="F57" s="90" t="s">
        <v>14</v>
      </c>
      <c r="G57" s="108">
        <v>50.0</v>
      </c>
      <c r="H57" s="105"/>
      <c r="I57" s="102"/>
      <c r="J57" s="86"/>
      <c r="K57" s="88"/>
      <c r="L57" s="86"/>
      <c r="M57" s="88"/>
      <c r="N57" s="86"/>
      <c r="O57" s="88"/>
      <c r="P57" s="86"/>
      <c r="Q57" s="88"/>
      <c r="R57" s="86"/>
      <c r="S57" s="88"/>
      <c r="T57" s="86"/>
      <c r="U57" s="88"/>
      <c r="V57" s="86" t="s">
        <v>25</v>
      </c>
      <c r="W57" s="88">
        <v>15.0</v>
      </c>
      <c r="X57" s="144" t="s">
        <v>267</v>
      </c>
      <c r="Y57" s="103">
        <v>15.0</v>
      </c>
      <c r="Z57" s="86"/>
      <c r="AA57" s="88"/>
      <c r="AB57" s="86"/>
      <c r="AC57" s="88"/>
      <c r="AD57" s="86" t="s">
        <v>29</v>
      </c>
      <c r="AE57" s="103">
        <v>15.0</v>
      </c>
      <c r="AF57" s="86"/>
      <c r="AG57" s="88"/>
      <c r="AH57" s="86"/>
      <c r="AI57" s="88"/>
      <c r="AJ57" s="86"/>
      <c r="AK57" s="88"/>
      <c r="AL57" s="86"/>
      <c r="AM57" s="88"/>
      <c r="AN57" s="86"/>
      <c r="AO57" s="88"/>
      <c r="AP57" s="86"/>
      <c r="AQ57" s="88"/>
      <c r="AR57" s="86"/>
      <c r="AS57" s="88"/>
      <c r="AT57" s="86"/>
      <c r="AU57" s="88"/>
      <c r="AV57" s="86"/>
      <c r="AW57" s="88"/>
      <c r="AX57" s="86"/>
      <c r="AY57" s="88"/>
      <c r="AZ57" s="86"/>
      <c r="BA57" s="88"/>
      <c r="BB57" s="86"/>
      <c r="BC57" s="88"/>
      <c r="BD57" s="86"/>
      <c r="BE57" s="88"/>
      <c r="BF57" s="86"/>
      <c r="BG57" s="88"/>
      <c r="BH57" s="86"/>
      <c r="BI57" s="88"/>
      <c r="BJ57" s="86"/>
      <c r="BK57" s="88"/>
      <c r="BL57" s="86"/>
      <c r="BM57" s="88"/>
      <c r="BN57" s="86"/>
      <c r="BO57" s="88"/>
      <c r="BP57" s="86"/>
      <c r="BQ57" s="88"/>
      <c r="BR57" s="86"/>
      <c r="BS57" s="87"/>
    </row>
    <row r="58" ht="22.5" customHeight="1">
      <c r="A58" s="126" t="s">
        <v>269</v>
      </c>
      <c r="B58" s="98" t="s">
        <v>60</v>
      </c>
      <c r="C58" s="99">
        <v>1.0</v>
      </c>
      <c r="D58" s="98" t="s">
        <v>61</v>
      </c>
      <c r="E58" s="99">
        <v>1.0</v>
      </c>
      <c r="F58" s="98"/>
      <c r="G58" s="107"/>
      <c r="H58" s="98"/>
      <c r="I58" s="102"/>
      <c r="J58" s="86" t="s">
        <v>19</v>
      </c>
      <c r="K58" s="88">
        <v>1.0</v>
      </c>
      <c r="L58" s="86"/>
      <c r="M58" s="88"/>
      <c r="N58" s="86" t="s">
        <v>21</v>
      </c>
      <c r="O58" s="88">
        <v>20.0</v>
      </c>
      <c r="P58" s="86"/>
      <c r="Q58" s="88"/>
      <c r="R58" s="86" t="s">
        <v>23</v>
      </c>
      <c r="S58" s="103">
        <v>20.0</v>
      </c>
      <c r="T58" s="86" t="s">
        <v>24</v>
      </c>
      <c r="U58" s="103">
        <v>20.0</v>
      </c>
      <c r="V58" s="86"/>
      <c r="W58" s="88"/>
      <c r="X58" s="86"/>
      <c r="Y58" s="88"/>
      <c r="Z58" s="86"/>
      <c r="AA58" s="88"/>
      <c r="AB58" s="86"/>
      <c r="AC58" s="88"/>
      <c r="AD58" s="86"/>
      <c r="AE58" s="88"/>
      <c r="AF58" s="86"/>
      <c r="AG58" s="88"/>
      <c r="AH58" s="86"/>
      <c r="AI58" s="88"/>
      <c r="AJ58" s="86"/>
      <c r="AK58" s="88"/>
      <c r="AL58" s="86"/>
      <c r="AM58" s="88"/>
      <c r="AN58" s="86"/>
      <c r="AO58" s="88"/>
      <c r="AP58" s="86"/>
      <c r="AQ58" s="88"/>
      <c r="AR58" s="86"/>
      <c r="AS58" s="88"/>
      <c r="AT58" s="86"/>
      <c r="AU58" s="88"/>
      <c r="AV58" s="86"/>
      <c r="AW58" s="88"/>
      <c r="AX58" s="86"/>
      <c r="AY58" s="88"/>
      <c r="AZ58" s="86"/>
      <c r="BA58" s="88"/>
      <c r="BB58" s="86"/>
      <c r="BC58" s="88"/>
      <c r="BD58" s="86"/>
      <c r="BE58" s="88"/>
      <c r="BF58" s="86"/>
      <c r="BG58" s="88"/>
      <c r="BH58" s="86"/>
      <c r="BI58" s="88"/>
      <c r="BJ58" s="86"/>
      <c r="BK58" s="88"/>
      <c r="BL58" s="86" t="s">
        <v>46</v>
      </c>
      <c r="BM58" s="104">
        <v>1.0</v>
      </c>
      <c r="BN58" s="86"/>
      <c r="BO58" s="88"/>
      <c r="BP58" s="86"/>
      <c r="BQ58" s="88"/>
      <c r="BR58" s="86"/>
      <c r="BS58" s="87"/>
    </row>
    <row r="59" ht="22.5" customHeight="1">
      <c r="A59" s="80" t="s">
        <v>270</v>
      </c>
      <c r="B59" s="141" t="s">
        <v>60</v>
      </c>
      <c r="C59" s="84">
        <v>1.0</v>
      </c>
      <c r="D59" s="141" t="s">
        <v>258</v>
      </c>
      <c r="E59" s="84">
        <v>1.0</v>
      </c>
      <c r="F59" s="141"/>
      <c r="G59" s="85"/>
      <c r="H59" s="142"/>
      <c r="I59" s="102"/>
      <c r="J59" s="86" t="s">
        <v>19</v>
      </c>
      <c r="K59" s="88">
        <v>1.0</v>
      </c>
      <c r="L59" s="86"/>
      <c r="M59" s="88"/>
      <c r="N59" s="86" t="s">
        <v>21</v>
      </c>
      <c r="O59" s="88">
        <v>20.0</v>
      </c>
      <c r="P59" s="86"/>
      <c r="Q59" s="88"/>
      <c r="R59" s="86" t="s">
        <v>23</v>
      </c>
      <c r="S59" s="104">
        <v>20.0</v>
      </c>
      <c r="T59" s="86" t="s">
        <v>24</v>
      </c>
      <c r="U59" s="104">
        <v>20.0</v>
      </c>
      <c r="V59" s="86"/>
      <c r="W59" s="88"/>
      <c r="X59" s="86"/>
      <c r="Y59" s="88"/>
      <c r="Z59" s="86"/>
      <c r="AA59" s="88"/>
      <c r="AB59" s="86"/>
      <c r="AC59" s="88"/>
      <c r="AD59" s="86"/>
      <c r="AE59" s="88"/>
      <c r="AF59" s="86"/>
      <c r="AG59" s="88"/>
      <c r="AH59" s="86"/>
      <c r="AI59" s="88"/>
      <c r="AJ59" s="86"/>
      <c r="AK59" s="88"/>
      <c r="AL59" s="86"/>
      <c r="AM59" s="88"/>
      <c r="AN59" s="86"/>
      <c r="AO59" s="88"/>
      <c r="AP59" s="86"/>
      <c r="AQ59" s="88"/>
      <c r="AR59" s="86"/>
      <c r="AS59" s="88"/>
      <c r="AT59" s="86"/>
      <c r="AU59" s="88"/>
      <c r="AV59" s="86"/>
      <c r="AW59" s="88"/>
      <c r="AX59" s="86"/>
      <c r="AY59" s="88"/>
      <c r="AZ59" s="86"/>
      <c r="BA59" s="88"/>
      <c r="BB59" s="86"/>
      <c r="BC59" s="88"/>
      <c r="BD59" s="86"/>
      <c r="BE59" s="88"/>
      <c r="BF59" s="86"/>
      <c r="BG59" s="88"/>
      <c r="BH59" s="86"/>
      <c r="BI59" s="88"/>
      <c r="BJ59" s="86"/>
      <c r="BK59" s="88"/>
      <c r="BL59" s="86" t="s">
        <v>46</v>
      </c>
      <c r="BM59" s="104">
        <v>1.0</v>
      </c>
      <c r="BN59" s="86"/>
      <c r="BO59" s="88"/>
      <c r="BP59" s="86"/>
      <c r="BQ59" s="88"/>
      <c r="BR59" s="86"/>
      <c r="BS59" s="87"/>
    </row>
    <row r="60" ht="22.5" customHeight="1">
      <c r="A60" s="143" t="s">
        <v>271</v>
      </c>
      <c r="B60" s="90" t="s">
        <v>213</v>
      </c>
      <c r="C60" s="91">
        <v>1.0</v>
      </c>
      <c r="D60" s="90" t="s">
        <v>266</v>
      </c>
      <c r="E60" s="91">
        <v>1.0</v>
      </c>
      <c r="F60" s="90"/>
      <c r="G60" s="109"/>
      <c r="H60" s="90"/>
      <c r="I60" s="102"/>
      <c r="J60" s="86" t="s">
        <v>19</v>
      </c>
      <c r="K60" s="104">
        <v>1.5</v>
      </c>
      <c r="L60" s="86"/>
      <c r="M60" s="88"/>
      <c r="N60" s="86" t="s">
        <v>21</v>
      </c>
      <c r="O60" s="88">
        <v>40.0</v>
      </c>
      <c r="P60" s="86"/>
      <c r="Q60" s="88"/>
      <c r="R60" s="86" t="s">
        <v>23</v>
      </c>
      <c r="S60" s="103">
        <v>30.0</v>
      </c>
      <c r="T60" s="86" t="s">
        <v>24</v>
      </c>
      <c r="U60" s="146">
        <v>30.0</v>
      </c>
      <c r="V60" s="86"/>
      <c r="W60" s="88"/>
      <c r="X60" s="86"/>
      <c r="Y60" s="88"/>
      <c r="Z60" s="86"/>
      <c r="AA60" s="88"/>
      <c r="AB60" s="86"/>
      <c r="AC60" s="88"/>
      <c r="AD60" s="86"/>
      <c r="AE60" s="88"/>
      <c r="AF60" s="86"/>
      <c r="AG60" s="88"/>
      <c r="AH60" s="86"/>
      <c r="AI60" s="88"/>
      <c r="AJ60" s="86"/>
      <c r="AK60" s="88"/>
      <c r="AL60" s="86"/>
      <c r="AM60" s="88"/>
      <c r="AN60" s="86"/>
      <c r="AO60" s="88"/>
      <c r="AP60" s="86"/>
      <c r="AQ60" s="88"/>
      <c r="AR60" s="86"/>
      <c r="AS60" s="88"/>
      <c r="AT60" s="86"/>
      <c r="AU60" s="88"/>
      <c r="AV60" s="86"/>
      <c r="AW60" s="88"/>
      <c r="AX60" s="86"/>
      <c r="AY60" s="88"/>
      <c r="AZ60" s="86"/>
      <c r="BA60" s="88"/>
      <c r="BB60" s="86"/>
      <c r="BC60" s="88"/>
      <c r="BD60" s="86"/>
      <c r="BE60" s="88"/>
      <c r="BF60" s="86"/>
      <c r="BG60" s="88"/>
      <c r="BH60" s="86"/>
      <c r="BI60" s="88"/>
      <c r="BJ60" s="86"/>
      <c r="BK60" s="88"/>
      <c r="BL60" s="86"/>
      <c r="BM60" s="88"/>
      <c r="BN60" s="86"/>
      <c r="BO60" s="88"/>
      <c r="BP60" s="86"/>
      <c r="BQ60" s="88"/>
      <c r="BR60" s="86"/>
      <c r="BS60" s="87"/>
    </row>
    <row r="61" ht="22.5" customHeight="1">
      <c r="A61" s="80" t="s">
        <v>272</v>
      </c>
      <c r="B61" s="141" t="s">
        <v>213</v>
      </c>
      <c r="C61" s="84">
        <v>1.0</v>
      </c>
      <c r="D61" s="141" t="s">
        <v>258</v>
      </c>
      <c r="E61" s="82">
        <v>1.5</v>
      </c>
      <c r="F61" s="141"/>
      <c r="G61" s="147"/>
      <c r="H61" s="142"/>
      <c r="I61" s="102"/>
      <c r="J61" s="86" t="s">
        <v>19</v>
      </c>
      <c r="K61" s="104">
        <v>1.5</v>
      </c>
      <c r="L61" s="86"/>
      <c r="M61" s="88"/>
      <c r="N61" s="86" t="s">
        <v>21</v>
      </c>
      <c r="O61" s="88">
        <v>40.0</v>
      </c>
      <c r="P61" s="86"/>
      <c r="Q61" s="88"/>
      <c r="R61" s="86" t="s">
        <v>23</v>
      </c>
      <c r="S61" s="104">
        <v>30.0</v>
      </c>
      <c r="T61" s="86" t="s">
        <v>24</v>
      </c>
      <c r="U61" s="88">
        <v>30.0</v>
      </c>
      <c r="V61" s="86"/>
      <c r="W61" s="88"/>
      <c r="X61" s="86"/>
      <c r="Y61" s="88"/>
      <c r="Z61" s="86"/>
      <c r="AA61" s="88"/>
      <c r="AB61" s="86"/>
      <c r="AC61" s="88"/>
      <c r="AD61" s="86"/>
      <c r="AE61" s="88"/>
      <c r="AF61" s="86"/>
      <c r="AG61" s="88"/>
      <c r="AH61" s="86"/>
      <c r="AI61" s="88"/>
      <c r="AJ61" s="86"/>
      <c r="AK61" s="88"/>
      <c r="AL61" s="86"/>
      <c r="AM61" s="88"/>
      <c r="AN61" s="86"/>
      <c r="AO61" s="88"/>
      <c r="AP61" s="86"/>
      <c r="AQ61" s="88"/>
      <c r="AR61" s="86"/>
      <c r="AS61" s="88"/>
      <c r="AT61" s="86"/>
      <c r="AU61" s="88"/>
      <c r="AV61" s="86"/>
      <c r="AW61" s="88"/>
      <c r="AX61" s="86"/>
      <c r="AY61" s="88"/>
      <c r="AZ61" s="86"/>
      <c r="BA61" s="88"/>
      <c r="BB61" s="86"/>
      <c r="BC61" s="88"/>
      <c r="BD61" s="86"/>
      <c r="BE61" s="88"/>
      <c r="BF61" s="86"/>
      <c r="BG61" s="88"/>
      <c r="BH61" s="86"/>
      <c r="BI61" s="88"/>
      <c r="BJ61" s="86"/>
      <c r="BK61" s="88"/>
      <c r="BL61" s="86"/>
      <c r="BM61" s="88"/>
      <c r="BN61" s="86"/>
      <c r="BO61" s="88"/>
      <c r="BP61" s="86"/>
      <c r="BQ61" s="88"/>
      <c r="BR61" s="86"/>
      <c r="BS61" s="87"/>
    </row>
    <row r="62" ht="22.5" customHeight="1">
      <c r="A62" s="143" t="s">
        <v>59</v>
      </c>
      <c r="B62" s="90" t="s">
        <v>60</v>
      </c>
      <c r="C62" s="91">
        <v>1.0</v>
      </c>
      <c r="D62" s="90" t="s">
        <v>61</v>
      </c>
      <c r="E62" s="91">
        <v>1.0</v>
      </c>
      <c r="F62" s="105" t="s">
        <v>14</v>
      </c>
      <c r="G62" s="106" t="s">
        <v>208</v>
      </c>
      <c r="H62" s="105" t="s">
        <v>15</v>
      </c>
      <c r="I62" s="102" t="s">
        <v>209</v>
      </c>
      <c r="J62" s="86"/>
      <c r="K62" s="88"/>
      <c r="L62" s="86"/>
      <c r="M62" s="88"/>
      <c r="N62" s="86"/>
      <c r="O62" s="88"/>
      <c r="P62" s="86"/>
      <c r="Q62" s="88"/>
      <c r="R62" s="86"/>
      <c r="S62" s="88"/>
      <c r="T62" s="86"/>
      <c r="U62" s="88"/>
      <c r="V62" s="86"/>
      <c r="W62" s="88"/>
      <c r="X62" s="86"/>
      <c r="Y62" s="88"/>
      <c r="Z62" s="86"/>
      <c r="AA62" s="88"/>
      <c r="AB62" s="86"/>
      <c r="AC62" s="88"/>
      <c r="AD62" s="86"/>
      <c r="AE62" s="88"/>
      <c r="AF62" s="86"/>
      <c r="AG62" s="88"/>
      <c r="AH62" s="86"/>
      <c r="AI62" s="88"/>
      <c r="AJ62" s="86"/>
      <c r="AK62" s="88"/>
      <c r="AL62" s="86"/>
      <c r="AM62" s="88"/>
      <c r="AN62" s="86"/>
      <c r="AO62" s="88"/>
      <c r="AP62" s="86"/>
      <c r="AQ62" s="88"/>
      <c r="AR62" s="86"/>
      <c r="AS62" s="88"/>
      <c r="AT62" s="86"/>
      <c r="AU62" s="88"/>
      <c r="AV62" s="86"/>
      <c r="AW62" s="88"/>
      <c r="AX62" s="86"/>
      <c r="AY62" s="88"/>
      <c r="AZ62" s="86"/>
      <c r="BA62" s="88"/>
      <c r="BB62" s="86"/>
      <c r="BC62" s="88"/>
      <c r="BD62" s="86"/>
      <c r="BE62" s="88"/>
      <c r="BF62" s="86"/>
      <c r="BG62" s="88"/>
      <c r="BH62" s="86"/>
      <c r="BI62" s="88"/>
      <c r="BJ62" s="86"/>
      <c r="BK62" s="88"/>
      <c r="BL62" s="86" t="s">
        <v>46</v>
      </c>
      <c r="BM62" s="104">
        <v>1.0</v>
      </c>
      <c r="BN62" s="86"/>
      <c r="BO62" s="88"/>
      <c r="BP62" s="86"/>
      <c r="BQ62" s="88"/>
      <c r="BR62" s="86"/>
      <c r="BS62" s="87"/>
    </row>
    <row r="63" ht="22.5" customHeight="1">
      <c r="A63" s="143" t="s">
        <v>273</v>
      </c>
      <c r="B63" s="90" t="s">
        <v>60</v>
      </c>
      <c r="C63" s="91">
        <v>1.0</v>
      </c>
      <c r="D63" s="90" t="s">
        <v>258</v>
      </c>
      <c r="E63" s="91">
        <v>1.0</v>
      </c>
      <c r="F63" s="105" t="s">
        <v>14</v>
      </c>
      <c r="G63" s="106" t="s">
        <v>208</v>
      </c>
      <c r="H63" s="105" t="s">
        <v>15</v>
      </c>
      <c r="I63" s="102" t="s">
        <v>209</v>
      </c>
      <c r="J63" s="86"/>
      <c r="K63" s="88"/>
      <c r="L63" s="86"/>
      <c r="M63" s="88"/>
      <c r="N63" s="86"/>
      <c r="O63" s="88"/>
      <c r="P63" s="86"/>
      <c r="Q63" s="88"/>
      <c r="R63" s="86"/>
      <c r="S63" s="88"/>
      <c r="T63" s="86"/>
      <c r="U63" s="88"/>
      <c r="V63" s="86"/>
      <c r="W63" s="88"/>
      <c r="X63" s="86"/>
      <c r="Y63" s="88"/>
      <c r="Z63" s="86"/>
      <c r="AA63" s="88"/>
      <c r="AB63" s="86"/>
      <c r="AC63" s="88"/>
      <c r="AD63" s="86"/>
      <c r="AE63" s="88"/>
      <c r="AF63" s="86"/>
      <c r="AG63" s="88"/>
      <c r="AH63" s="86"/>
      <c r="AI63" s="88"/>
      <c r="AJ63" s="86"/>
      <c r="AK63" s="88"/>
      <c r="AL63" s="86"/>
      <c r="AM63" s="88"/>
      <c r="AN63" s="86"/>
      <c r="AO63" s="88"/>
      <c r="AP63" s="86"/>
      <c r="AQ63" s="88"/>
      <c r="AR63" s="86"/>
      <c r="AS63" s="88"/>
      <c r="AT63" s="86"/>
      <c r="AU63" s="88"/>
      <c r="AV63" s="86"/>
      <c r="AW63" s="88"/>
      <c r="AX63" s="86"/>
      <c r="AY63" s="88"/>
      <c r="AZ63" s="86"/>
      <c r="BA63" s="88"/>
      <c r="BB63" s="86"/>
      <c r="BC63" s="88"/>
      <c r="BD63" s="86"/>
      <c r="BE63" s="88"/>
      <c r="BF63" s="86"/>
      <c r="BG63" s="88"/>
      <c r="BH63" s="86"/>
      <c r="BI63" s="88"/>
      <c r="BJ63" s="86"/>
      <c r="BK63" s="88"/>
      <c r="BL63" s="117" t="s">
        <v>46</v>
      </c>
      <c r="BM63" s="104">
        <v>1.0</v>
      </c>
      <c r="BN63" s="86"/>
      <c r="BO63" s="88"/>
      <c r="BP63" s="86"/>
      <c r="BQ63" s="88"/>
      <c r="BR63" s="86"/>
      <c r="BS63" s="87"/>
    </row>
    <row r="64" ht="22.5" customHeight="1">
      <c r="A64" s="143" t="s">
        <v>274</v>
      </c>
      <c r="B64" s="90" t="s">
        <v>213</v>
      </c>
      <c r="C64" s="91">
        <v>1.0</v>
      </c>
      <c r="D64" s="90" t="s">
        <v>266</v>
      </c>
      <c r="E64" s="91">
        <v>1.0</v>
      </c>
      <c r="F64" s="90" t="s">
        <v>14</v>
      </c>
      <c r="G64" s="108">
        <v>50.0</v>
      </c>
      <c r="H64" s="105" t="s">
        <v>15</v>
      </c>
      <c r="I64" s="102" t="s">
        <v>215</v>
      </c>
      <c r="J64" s="86"/>
      <c r="K64" s="88"/>
      <c r="L64" s="86"/>
      <c r="M64" s="88"/>
      <c r="N64" s="86"/>
      <c r="O64" s="88"/>
      <c r="P64" s="86"/>
      <c r="Q64" s="88"/>
      <c r="R64" s="86"/>
      <c r="S64" s="88"/>
      <c r="T64" s="86"/>
      <c r="U64" s="88"/>
      <c r="V64" s="86"/>
      <c r="W64" s="88"/>
      <c r="X64" s="86"/>
      <c r="Y64" s="88"/>
      <c r="Z64" s="86"/>
      <c r="AA64" s="88"/>
      <c r="AB64" s="86"/>
      <c r="AC64" s="88"/>
      <c r="AD64" s="86"/>
      <c r="AE64" s="88"/>
      <c r="AF64" s="86"/>
      <c r="AG64" s="88"/>
      <c r="AH64" s="86"/>
      <c r="AI64" s="88"/>
      <c r="AJ64" s="86"/>
      <c r="AK64" s="88"/>
      <c r="AL64" s="86"/>
      <c r="AM64" s="88"/>
      <c r="AN64" s="86"/>
      <c r="AO64" s="88"/>
      <c r="AP64" s="86"/>
      <c r="AQ64" s="88"/>
      <c r="AR64" s="86"/>
      <c r="AS64" s="88"/>
      <c r="AT64" s="86"/>
      <c r="AU64" s="88"/>
      <c r="AV64" s="86"/>
      <c r="AW64" s="88"/>
      <c r="AX64" s="86"/>
      <c r="AY64" s="88"/>
      <c r="AZ64" s="86"/>
      <c r="BA64" s="88"/>
      <c r="BB64" s="86"/>
      <c r="BC64" s="88"/>
      <c r="BD64" s="86"/>
      <c r="BE64" s="88"/>
      <c r="BF64" s="86"/>
      <c r="BG64" s="88"/>
      <c r="BH64" s="86"/>
      <c r="BI64" s="88"/>
      <c r="BJ64" s="86"/>
      <c r="BK64" s="88"/>
      <c r="BL64" s="86"/>
      <c r="BM64" s="88"/>
      <c r="BN64" s="86"/>
      <c r="BO64" s="88"/>
      <c r="BP64" s="86"/>
      <c r="BQ64" s="88"/>
      <c r="BR64" s="86"/>
      <c r="BS64" s="87"/>
    </row>
    <row r="65" ht="22.5" customHeight="1">
      <c r="A65" s="80" t="s">
        <v>275</v>
      </c>
      <c r="B65" s="141" t="s">
        <v>213</v>
      </c>
      <c r="C65" s="84">
        <v>1.0</v>
      </c>
      <c r="D65" s="141" t="s">
        <v>258</v>
      </c>
      <c r="E65" s="82">
        <v>1.5</v>
      </c>
      <c r="F65" s="141" t="s">
        <v>14</v>
      </c>
      <c r="G65" s="85">
        <v>50.0</v>
      </c>
      <c r="H65" s="86" t="s">
        <v>15</v>
      </c>
      <c r="I65" s="102" t="s">
        <v>215</v>
      </c>
      <c r="J65" s="86"/>
      <c r="K65" s="88"/>
      <c r="L65" s="86"/>
      <c r="M65" s="88"/>
      <c r="N65" s="86"/>
      <c r="O65" s="88"/>
      <c r="P65" s="86"/>
      <c r="Q65" s="88"/>
      <c r="R65" s="86"/>
      <c r="S65" s="88"/>
      <c r="T65" s="86"/>
      <c r="U65" s="88"/>
      <c r="V65" s="86"/>
      <c r="W65" s="88"/>
      <c r="X65" s="86"/>
      <c r="Y65" s="88"/>
      <c r="Z65" s="86"/>
      <c r="AA65" s="88"/>
      <c r="AB65" s="86"/>
      <c r="AC65" s="88"/>
      <c r="AD65" s="86"/>
      <c r="AE65" s="88"/>
      <c r="AF65" s="86"/>
      <c r="AG65" s="88"/>
      <c r="AH65" s="86"/>
      <c r="AI65" s="88"/>
      <c r="AJ65" s="86"/>
      <c r="AK65" s="88"/>
      <c r="AL65" s="86"/>
      <c r="AM65" s="88"/>
      <c r="AN65" s="86"/>
      <c r="AO65" s="88"/>
      <c r="AP65" s="86"/>
      <c r="AQ65" s="88"/>
      <c r="AR65" s="86"/>
      <c r="AS65" s="88"/>
      <c r="AT65" s="86"/>
      <c r="AU65" s="88"/>
      <c r="AV65" s="86"/>
      <c r="AW65" s="88"/>
      <c r="AX65" s="86"/>
      <c r="AY65" s="88"/>
      <c r="AZ65" s="86"/>
      <c r="BA65" s="88"/>
      <c r="BB65" s="86"/>
      <c r="BC65" s="88"/>
      <c r="BD65" s="86"/>
      <c r="BE65" s="88"/>
      <c r="BF65" s="86"/>
      <c r="BG65" s="88"/>
      <c r="BH65" s="86"/>
      <c r="BI65" s="88"/>
      <c r="BJ65" s="86"/>
      <c r="BK65" s="88"/>
      <c r="BL65" s="86"/>
      <c r="BM65" s="88"/>
      <c r="BN65" s="86"/>
      <c r="BO65" s="88"/>
      <c r="BP65" s="86"/>
      <c r="BQ65" s="88"/>
      <c r="BR65" s="86"/>
      <c r="BS65" s="87"/>
    </row>
    <row r="66" ht="22.5" customHeight="1">
      <c r="A66" s="80" t="s">
        <v>276</v>
      </c>
      <c r="B66" s="141" t="s">
        <v>60</v>
      </c>
      <c r="C66" s="84">
        <v>1.0</v>
      </c>
      <c r="D66" s="141" t="s">
        <v>258</v>
      </c>
      <c r="E66" s="84">
        <v>1.0</v>
      </c>
      <c r="F66" s="83"/>
      <c r="G66" s="85"/>
      <c r="H66" s="86"/>
      <c r="I66" s="87"/>
      <c r="J66" s="86"/>
      <c r="K66" s="88"/>
      <c r="L66" s="86"/>
      <c r="M66" s="88"/>
      <c r="N66" s="86"/>
      <c r="O66" s="88"/>
      <c r="P66" s="86"/>
      <c r="Q66" s="88"/>
      <c r="R66" s="86"/>
      <c r="S66" s="88"/>
      <c r="T66" s="86"/>
      <c r="U66" s="88"/>
      <c r="V66" s="86"/>
      <c r="W66" s="88"/>
      <c r="X66" s="86"/>
      <c r="Y66" s="88"/>
      <c r="Z66" s="86"/>
      <c r="AA66" s="88"/>
      <c r="AB66" s="86"/>
      <c r="AC66" s="88"/>
      <c r="AD66" s="86"/>
      <c r="AE66" s="88"/>
      <c r="AF66" s="86"/>
      <c r="AG66" s="88"/>
      <c r="AH66" s="86"/>
      <c r="AI66" s="88"/>
      <c r="AJ66" s="86"/>
      <c r="AK66" s="88"/>
      <c r="AL66" s="86"/>
      <c r="AM66" s="88"/>
      <c r="AN66" s="86"/>
      <c r="AO66" s="88"/>
      <c r="AP66" s="86"/>
      <c r="AQ66" s="88"/>
      <c r="AR66" s="86"/>
      <c r="AS66" s="88"/>
      <c r="AT66" s="86"/>
      <c r="AU66" s="88"/>
      <c r="AV66" s="86"/>
      <c r="AW66" s="88"/>
      <c r="AX66" s="86"/>
      <c r="AY66" s="88"/>
      <c r="AZ66" s="86"/>
      <c r="BA66" s="88"/>
      <c r="BB66" s="86"/>
      <c r="BC66" s="88"/>
      <c r="BD66" s="86"/>
      <c r="BE66" s="88"/>
      <c r="BF66" s="86"/>
      <c r="BG66" s="88"/>
      <c r="BH66" s="86"/>
      <c r="BI66" s="88"/>
      <c r="BJ66" s="86"/>
      <c r="BK66" s="88"/>
      <c r="BL66" s="86"/>
      <c r="BM66" s="88"/>
      <c r="BN66" s="86"/>
      <c r="BO66" s="88"/>
      <c r="BP66" s="86"/>
      <c r="BQ66" s="88"/>
      <c r="BR66" s="86"/>
      <c r="BS66" s="87"/>
    </row>
    <row r="67" ht="22.5" customHeight="1">
      <c r="A67" s="89" t="s">
        <v>277</v>
      </c>
      <c r="B67" s="90" t="s">
        <v>278</v>
      </c>
      <c r="C67" s="91">
        <v>1.0</v>
      </c>
      <c r="D67" s="105"/>
      <c r="E67" s="91"/>
      <c r="F67" s="105"/>
      <c r="G67" s="108"/>
      <c r="H67" s="105"/>
      <c r="I67" s="102"/>
      <c r="J67" s="86"/>
      <c r="K67" s="88"/>
      <c r="L67" s="86"/>
      <c r="M67" s="88"/>
      <c r="N67" s="86"/>
      <c r="O67" s="88"/>
      <c r="P67" s="86"/>
      <c r="Q67" s="88"/>
      <c r="R67" s="86"/>
      <c r="S67" s="88"/>
      <c r="T67" s="86"/>
      <c r="U67" s="88"/>
      <c r="V67" s="86"/>
      <c r="W67" s="88"/>
      <c r="X67" s="86"/>
      <c r="Y67" s="88"/>
      <c r="Z67" s="86"/>
      <c r="AA67" s="88"/>
      <c r="AB67" s="86"/>
      <c r="AC67" s="88"/>
      <c r="AD67" s="86"/>
      <c r="AE67" s="88"/>
      <c r="AF67" s="86"/>
      <c r="AG67" s="88"/>
      <c r="AH67" s="86"/>
      <c r="AI67" s="88"/>
      <c r="AJ67" s="86"/>
      <c r="AK67" s="88"/>
      <c r="AL67" s="86"/>
      <c r="AM67" s="88"/>
      <c r="AN67" s="86"/>
      <c r="AO67" s="88"/>
      <c r="AP67" s="86"/>
      <c r="AQ67" s="88"/>
      <c r="AR67" s="86"/>
      <c r="AS67" s="88"/>
      <c r="AT67" s="86"/>
      <c r="AU67" s="88"/>
      <c r="AV67" s="86"/>
      <c r="AW67" s="88"/>
      <c r="AX67" s="86"/>
      <c r="AY67" s="88"/>
      <c r="AZ67" s="86"/>
      <c r="BA67" s="88"/>
      <c r="BB67" s="86"/>
      <c r="BC67" s="88"/>
      <c r="BD67" s="86"/>
      <c r="BE67" s="88"/>
      <c r="BF67" s="86"/>
      <c r="BG67" s="88"/>
      <c r="BH67" s="86"/>
      <c r="BI67" s="88"/>
      <c r="BJ67" s="86"/>
      <c r="BK67" s="88"/>
      <c r="BL67" s="86"/>
      <c r="BM67" s="88"/>
      <c r="BN67" s="86"/>
      <c r="BO67" s="88"/>
      <c r="BP67" s="86"/>
      <c r="BQ67" s="88"/>
      <c r="BR67" s="86"/>
      <c r="BS67" s="87"/>
    </row>
    <row r="68" ht="22.5" customHeight="1">
      <c r="A68" s="97" t="s">
        <v>279</v>
      </c>
      <c r="B68" s="98" t="s">
        <v>71</v>
      </c>
      <c r="C68" s="99">
        <v>1.0</v>
      </c>
      <c r="D68" s="98" t="s">
        <v>125</v>
      </c>
      <c r="E68" s="99">
        <v>100.0</v>
      </c>
      <c r="F68" s="100" t="s">
        <v>13</v>
      </c>
      <c r="G68" s="101" t="s">
        <v>221</v>
      </c>
      <c r="H68" s="98" t="s">
        <v>15</v>
      </c>
      <c r="I68" s="102" t="s">
        <v>209</v>
      </c>
      <c r="J68" s="86" t="s">
        <v>19</v>
      </c>
      <c r="K68" s="115" t="s">
        <v>221</v>
      </c>
      <c r="L68" s="86"/>
      <c r="M68" s="88"/>
      <c r="N68" s="86" t="s">
        <v>21</v>
      </c>
      <c r="O68" s="88">
        <v>20.0</v>
      </c>
      <c r="P68" s="86"/>
      <c r="Q68" s="88"/>
      <c r="R68" s="86"/>
      <c r="S68" s="88"/>
      <c r="T68" s="86"/>
      <c r="U68" s="88"/>
      <c r="V68" s="86"/>
      <c r="W68" s="88"/>
      <c r="X68" s="86"/>
      <c r="Y68" s="88"/>
      <c r="Z68" s="86"/>
      <c r="AA68" s="88"/>
      <c r="AB68" s="86"/>
      <c r="AC68" s="88"/>
      <c r="AD68" s="86"/>
      <c r="AE68" s="88"/>
      <c r="AF68" s="86"/>
      <c r="AG68" s="88"/>
      <c r="AH68" s="86"/>
      <c r="AI68" s="88"/>
      <c r="AJ68" s="86"/>
      <c r="AK68" s="88"/>
      <c r="AL68" s="86"/>
      <c r="AM68" s="88"/>
      <c r="AN68" s="86"/>
      <c r="AO68" s="88"/>
      <c r="AP68" s="86"/>
      <c r="AQ68" s="88"/>
      <c r="AR68" s="86"/>
      <c r="AS68" s="88"/>
      <c r="AT68" s="86"/>
      <c r="AU68" s="88"/>
      <c r="AV68" s="86"/>
      <c r="AW68" s="88"/>
      <c r="AX68" s="86"/>
      <c r="AY68" s="88"/>
      <c r="AZ68" s="86"/>
      <c r="BA68" s="88"/>
      <c r="BB68" s="86"/>
      <c r="BC68" s="88"/>
      <c r="BD68" s="86"/>
      <c r="BE68" s="88"/>
      <c r="BF68" s="86"/>
      <c r="BG68" s="88"/>
      <c r="BH68" s="86"/>
      <c r="BI68" s="88"/>
      <c r="BJ68" s="86"/>
      <c r="BK68" s="88"/>
      <c r="BL68" s="86"/>
      <c r="BM68" s="88"/>
      <c r="BN68" s="86" t="s">
        <v>47</v>
      </c>
      <c r="BO68" s="114">
        <v>1.0</v>
      </c>
      <c r="BP68" s="86"/>
      <c r="BQ68" s="88"/>
      <c r="BR68" s="86"/>
      <c r="BS68" s="87"/>
    </row>
    <row r="69" ht="22.5" customHeight="1">
      <c r="A69" s="97" t="s">
        <v>280</v>
      </c>
      <c r="B69" s="98" t="s">
        <v>71</v>
      </c>
      <c r="C69" s="99">
        <v>1.0</v>
      </c>
      <c r="D69" s="98" t="s">
        <v>125</v>
      </c>
      <c r="E69" s="99">
        <v>100.0</v>
      </c>
      <c r="F69" s="98" t="s">
        <v>13</v>
      </c>
      <c r="G69" s="101" t="s">
        <v>221</v>
      </c>
      <c r="H69" s="100"/>
      <c r="I69" s="102"/>
      <c r="J69" s="86" t="s">
        <v>19</v>
      </c>
      <c r="K69" s="115" t="s">
        <v>221</v>
      </c>
      <c r="L69" s="86" t="s">
        <v>20</v>
      </c>
      <c r="M69" s="88">
        <v>20.0</v>
      </c>
      <c r="N69" s="86"/>
      <c r="O69" s="88"/>
      <c r="P69" s="86"/>
      <c r="Q69" s="88"/>
      <c r="R69" s="86"/>
      <c r="S69" s="88"/>
      <c r="T69" s="86"/>
      <c r="U69" s="88"/>
      <c r="V69" s="86"/>
      <c r="W69" s="88"/>
      <c r="X69" s="86"/>
      <c r="Y69" s="88"/>
      <c r="Z69" s="86"/>
      <c r="AA69" s="88"/>
      <c r="AB69" s="86"/>
      <c r="AC69" s="88"/>
      <c r="AD69" s="86"/>
      <c r="AE69" s="88"/>
      <c r="AF69" s="86"/>
      <c r="AG69" s="88"/>
      <c r="AH69" s="86" t="s">
        <v>31</v>
      </c>
      <c r="AI69" s="104">
        <v>2.0</v>
      </c>
      <c r="AJ69" s="86" t="s">
        <v>32</v>
      </c>
      <c r="AK69" s="104">
        <v>10.0</v>
      </c>
      <c r="AL69" s="86"/>
      <c r="AM69" s="88"/>
      <c r="AN69" s="86"/>
      <c r="AO69" s="88"/>
      <c r="AP69" s="86"/>
      <c r="AQ69" s="88"/>
      <c r="AR69" s="86"/>
      <c r="AS69" s="88"/>
      <c r="AT69" s="86"/>
      <c r="AU69" s="88"/>
      <c r="AV69" s="86"/>
      <c r="AW69" s="88"/>
      <c r="AX69" s="86"/>
      <c r="AY69" s="88"/>
      <c r="AZ69" s="86"/>
      <c r="BA69" s="88"/>
      <c r="BB69" s="86"/>
      <c r="BC69" s="88"/>
      <c r="BD69" s="86"/>
      <c r="BE69" s="88"/>
      <c r="BF69" s="86"/>
      <c r="BG69" s="88"/>
      <c r="BH69" s="86"/>
      <c r="BI69" s="88"/>
      <c r="BJ69" s="86"/>
      <c r="BK69" s="88"/>
      <c r="BL69" s="86"/>
      <c r="BM69" s="88"/>
      <c r="BN69" s="86" t="s">
        <v>47</v>
      </c>
      <c r="BO69" s="114">
        <v>1.0</v>
      </c>
      <c r="BP69" s="86"/>
      <c r="BQ69" s="88"/>
      <c r="BR69" s="86"/>
      <c r="BS69" s="87"/>
    </row>
    <row r="70" ht="22.5" customHeight="1">
      <c r="A70" s="89" t="s">
        <v>281</v>
      </c>
      <c r="B70" s="90" t="s">
        <v>71</v>
      </c>
      <c r="C70" s="91">
        <v>1.0</v>
      </c>
      <c r="D70" s="90" t="s">
        <v>125</v>
      </c>
      <c r="E70" s="91">
        <v>100.0</v>
      </c>
      <c r="F70" s="98" t="s">
        <v>13</v>
      </c>
      <c r="G70" s="148">
        <v>1.0</v>
      </c>
      <c r="H70" s="105"/>
      <c r="I70" s="102"/>
      <c r="J70" s="117" t="s">
        <v>19</v>
      </c>
      <c r="K70" s="104">
        <v>1.0</v>
      </c>
      <c r="L70" s="117" t="s">
        <v>20</v>
      </c>
      <c r="M70" s="104">
        <v>20.0</v>
      </c>
      <c r="N70" s="86" t="s">
        <v>21</v>
      </c>
      <c r="O70" s="104">
        <v>20.0</v>
      </c>
      <c r="P70" s="86"/>
      <c r="Q70" s="88"/>
      <c r="R70" s="86"/>
      <c r="S70" s="88"/>
      <c r="T70" s="86"/>
      <c r="U70" s="88"/>
      <c r="V70" s="86"/>
      <c r="W70" s="88"/>
      <c r="X70" s="86"/>
      <c r="Y70" s="88"/>
      <c r="Z70" s="86"/>
      <c r="AA70" s="88"/>
      <c r="AB70" s="86" t="s">
        <v>28</v>
      </c>
      <c r="AC70" s="104">
        <v>10.0</v>
      </c>
      <c r="AD70" s="86"/>
      <c r="AE70" s="88"/>
      <c r="AF70" s="86"/>
      <c r="AG70" s="88"/>
      <c r="AH70" s="86"/>
      <c r="AI70" s="88"/>
      <c r="AJ70" s="86"/>
      <c r="AK70" s="88"/>
      <c r="AL70" s="117" t="s">
        <v>282</v>
      </c>
      <c r="AM70" s="104">
        <v>20.0</v>
      </c>
      <c r="AN70" s="86"/>
      <c r="AO70" s="88"/>
      <c r="AP70" s="86"/>
      <c r="AQ70" s="88"/>
      <c r="AR70" s="86"/>
      <c r="AS70" s="88"/>
      <c r="AT70" s="86"/>
      <c r="AU70" s="88"/>
      <c r="AV70" s="86"/>
      <c r="AW70" s="88"/>
      <c r="AX70" s="86"/>
      <c r="AY70" s="88"/>
      <c r="AZ70" s="86"/>
      <c r="BA70" s="88"/>
      <c r="BB70" s="86"/>
      <c r="BC70" s="88"/>
      <c r="BD70" s="86"/>
      <c r="BE70" s="88"/>
      <c r="BF70" s="86"/>
      <c r="BG70" s="88"/>
      <c r="BH70" s="86"/>
      <c r="BI70" s="88"/>
      <c r="BJ70" s="86"/>
      <c r="BK70" s="88"/>
      <c r="BL70" s="86"/>
      <c r="BM70" s="88"/>
      <c r="BN70" s="86" t="s">
        <v>47</v>
      </c>
      <c r="BO70" s="114">
        <v>1.0</v>
      </c>
      <c r="BP70" s="86"/>
      <c r="BQ70" s="88"/>
      <c r="BR70" s="86"/>
      <c r="BS70" s="87"/>
    </row>
    <row r="71" ht="22.5" customHeight="1">
      <c r="A71" s="89" t="s">
        <v>283</v>
      </c>
      <c r="B71" s="90" t="s">
        <v>71</v>
      </c>
      <c r="C71" s="91">
        <v>1.0</v>
      </c>
      <c r="D71" s="105" t="s">
        <v>125</v>
      </c>
      <c r="E71" s="91">
        <v>100.0</v>
      </c>
      <c r="F71" s="90"/>
      <c r="G71" s="109"/>
      <c r="H71" s="90"/>
      <c r="I71" s="102"/>
      <c r="J71" s="86" t="s">
        <v>19</v>
      </c>
      <c r="K71" s="115" t="s">
        <v>221</v>
      </c>
      <c r="L71" s="86"/>
      <c r="M71" s="88"/>
      <c r="N71" s="86" t="s">
        <v>21</v>
      </c>
      <c r="O71" s="88">
        <v>20.0</v>
      </c>
      <c r="P71" s="86"/>
      <c r="Q71" s="88"/>
      <c r="R71" s="86" t="s">
        <v>23</v>
      </c>
      <c r="S71" s="104">
        <v>20.0</v>
      </c>
      <c r="T71" s="86" t="s">
        <v>24</v>
      </c>
      <c r="U71" s="104">
        <v>20.0</v>
      </c>
      <c r="V71" s="86"/>
      <c r="W71" s="88"/>
      <c r="X71" s="86"/>
      <c r="Y71" s="88"/>
      <c r="Z71" s="86"/>
      <c r="AA71" s="88"/>
      <c r="AB71" s="86"/>
      <c r="AC71" s="88"/>
      <c r="AD71" s="86"/>
      <c r="AE71" s="88"/>
      <c r="AF71" s="86"/>
      <c r="AG71" s="88"/>
      <c r="AH71" s="86"/>
      <c r="AI71" s="88"/>
      <c r="AJ71" s="86"/>
      <c r="AK71" s="88"/>
      <c r="AL71" s="86"/>
      <c r="AM71" s="88"/>
      <c r="AN71" s="86"/>
      <c r="AO71" s="88"/>
      <c r="AP71" s="86"/>
      <c r="AQ71" s="88"/>
      <c r="AR71" s="86"/>
      <c r="AS71" s="88"/>
      <c r="AT71" s="86"/>
      <c r="AU71" s="88"/>
      <c r="AV71" s="86"/>
      <c r="AW71" s="88"/>
      <c r="AX71" s="86"/>
      <c r="AY71" s="88"/>
      <c r="AZ71" s="86"/>
      <c r="BA71" s="88"/>
      <c r="BB71" s="86"/>
      <c r="BC71" s="88"/>
      <c r="BD71" s="86"/>
      <c r="BE71" s="88"/>
      <c r="BF71" s="86"/>
      <c r="BG71" s="88"/>
      <c r="BH71" s="86"/>
      <c r="BI71" s="88"/>
      <c r="BJ71" s="86"/>
      <c r="BK71" s="88"/>
      <c r="BL71" s="86"/>
      <c r="BM71" s="88"/>
      <c r="BN71" s="86" t="s">
        <v>47</v>
      </c>
      <c r="BO71" s="114">
        <v>1.0</v>
      </c>
      <c r="BP71" s="86"/>
      <c r="BQ71" s="88"/>
      <c r="BR71" s="86"/>
      <c r="BS71" s="87"/>
    </row>
    <row r="72" ht="22.5" customHeight="1">
      <c r="A72" s="89" t="s">
        <v>124</v>
      </c>
      <c r="B72" s="90" t="s">
        <v>71</v>
      </c>
      <c r="C72" s="91">
        <v>1.0</v>
      </c>
      <c r="D72" s="90" t="s">
        <v>125</v>
      </c>
      <c r="E72" s="91">
        <v>100.0</v>
      </c>
      <c r="F72" s="105" t="s">
        <v>13</v>
      </c>
      <c r="G72" s="106" t="s">
        <v>221</v>
      </c>
      <c r="H72" s="105" t="s">
        <v>15</v>
      </c>
      <c r="I72" s="102" t="s">
        <v>209</v>
      </c>
      <c r="J72" s="86"/>
      <c r="K72" s="88"/>
      <c r="L72" s="86"/>
      <c r="M72" s="88"/>
      <c r="N72" s="86"/>
      <c r="O72" s="88"/>
      <c r="P72" s="86"/>
      <c r="Q72" s="88"/>
      <c r="R72" s="86"/>
      <c r="S72" s="88"/>
      <c r="T72" s="86"/>
      <c r="U72" s="88"/>
      <c r="V72" s="86"/>
      <c r="W72" s="88"/>
      <c r="X72" s="86"/>
      <c r="Y72" s="88"/>
      <c r="Z72" s="86"/>
      <c r="AA72" s="88"/>
      <c r="AB72" s="86"/>
      <c r="AC72" s="88"/>
      <c r="AD72" s="86"/>
      <c r="AE72" s="88"/>
      <c r="AF72" s="86"/>
      <c r="AG72" s="88"/>
      <c r="AH72" s="86"/>
      <c r="AI72" s="88"/>
      <c r="AJ72" s="86"/>
      <c r="AK72" s="88"/>
      <c r="AL72" s="86"/>
      <c r="AM72" s="88"/>
      <c r="AN72" s="86"/>
      <c r="AO72" s="88"/>
      <c r="AP72" s="86"/>
      <c r="AQ72" s="88"/>
      <c r="AR72" s="86"/>
      <c r="AS72" s="88"/>
      <c r="AT72" s="86"/>
      <c r="AU72" s="88"/>
      <c r="AV72" s="86"/>
      <c r="AW72" s="88"/>
      <c r="AX72" s="86"/>
      <c r="AY72" s="88"/>
      <c r="AZ72" s="86"/>
      <c r="BA72" s="88"/>
      <c r="BB72" s="86"/>
      <c r="BC72" s="88"/>
      <c r="BD72" s="86"/>
      <c r="BE72" s="88"/>
      <c r="BF72" s="86"/>
      <c r="BG72" s="88"/>
      <c r="BH72" s="86"/>
      <c r="BI72" s="88"/>
      <c r="BJ72" s="86"/>
      <c r="BK72" s="88"/>
      <c r="BL72" s="86"/>
      <c r="BM72" s="88"/>
      <c r="BN72" s="86" t="s">
        <v>47</v>
      </c>
      <c r="BO72" s="114">
        <v>1.0</v>
      </c>
      <c r="BP72" s="86"/>
      <c r="BQ72" s="88"/>
      <c r="BR72" s="86"/>
      <c r="BS72" s="87"/>
    </row>
    <row r="73" ht="22.5" customHeight="1">
      <c r="A73" s="89" t="s">
        <v>284</v>
      </c>
      <c r="B73" s="90" t="s">
        <v>71</v>
      </c>
      <c r="C73" s="91">
        <v>1.0</v>
      </c>
      <c r="D73" s="105" t="s">
        <v>125</v>
      </c>
      <c r="E73" s="91">
        <v>100.0</v>
      </c>
      <c r="F73" s="90"/>
      <c r="G73" s="108"/>
      <c r="H73" s="105"/>
      <c r="I73" s="102"/>
      <c r="J73" s="86" t="s">
        <v>19</v>
      </c>
      <c r="K73" s="115" t="s">
        <v>221</v>
      </c>
      <c r="L73" s="86"/>
      <c r="M73" s="88"/>
      <c r="N73" s="86"/>
      <c r="O73" s="88"/>
      <c r="P73" s="86"/>
      <c r="Q73" s="88"/>
      <c r="R73" s="86"/>
      <c r="S73" s="88"/>
      <c r="T73" s="86"/>
      <c r="U73" s="88"/>
      <c r="V73" s="86"/>
      <c r="W73" s="88"/>
      <c r="X73" s="86"/>
      <c r="Y73" s="88"/>
      <c r="Z73" s="86"/>
      <c r="AA73" s="88"/>
      <c r="AB73" s="86"/>
      <c r="AC73" s="88"/>
      <c r="AD73" s="86"/>
      <c r="AE73" s="88"/>
      <c r="AF73" s="86"/>
      <c r="AG73" s="88"/>
      <c r="AH73" s="86"/>
      <c r="AI73" s="88"/>
      <c r="AJ73" s="86"/>
      <c r="AK73" s="88"/>
      <c r="AL73" s="86"/>
      <c r="AM73" s="88"/>
      <c r="AN73" s="86"/>
      <c r="AO73" s="88"/>
      <c r="AP73" s="86"/>
      <c r="AQ73" s="88"/>
      <c r="AR73" s="86"/>
      <c r="AS73" s="88"/>
      <c r="AT73" s="86"/>
      <c r="AU73" s="88"/>
      <c r="AV73" s="86"/>
      <c r="AW73" s="88"/>
      <c r="AX73" s="86"/>
      <c r="AY73" s="88"/>
      <c r="AZ73" s="86"/>
      <c r="BA73" s="88"/>
      <c r="BB73" s="86"/>
      <c r="BC73" s="88"/>
      <c r="BD73" s="86"/>
      <c r="BE73" s="88"/>
      <c r="BF73" s="86"/>
      <c r="BG73" s="88"/>
      <c r="BH73" s="86"/>
      <c r="BI73" s="88"/>
      <c r="BJ73" s="86"/>
      <c r="BK73" s="88"/>
      <c r="BL73" s="86"/>
      <c r="BM73" s="88"/>
      <c r="BN73" s="86" t="s">
        <v>47</v>
      </c>
      <c r="BO73" s="114">
        <v>1.0</v>
      </c>
      <c r="BP73" s="86"/>
      <c r="BQ73" s="88"/>
      <c r="BR73" s="86"/>
      <c r="BS73" s="87"/>
    </row>
    <row r="74" ht="22.5" customHeight="1">
      <c r="A74" s="97" t="s">
        <v>285</v>
      </c>
      <c r="B74" s="100" t="s">
        <v>71</v>
      </c>
      <c r="C74" s="99">
        <v>1.0</v>
      </c>
      <c r="D74" s="98" t="s">
        <v>72</v>
      </c>
      <c r="E74" s="99">
        <v>100.0</v>
      </c>
      <c r="F74" s="100" t="s">
        <v>13</v>
      </c>
      <c r="G74" s="101" t="s">
        <v>221</v>
      </c>
      <c r="H74" s="100"/>
      <c r="I74" s="102"/>
      <c r="J74" s="86" t="s">
        <v>19</v>
      </c>
      <c r="K74" s="115" t="s">
        <v>221</v>
      </c>
      <c r="L74" s="86" t="s">
        <v>20</v>
      </c>
      <c r="M74" s="88">
        <v>20.0</v>
      </c>
      <c r="N74" s="86"/>
      <c r="O74" s="88"/>
      <c r="P74" s="86"/>
      <c r="Q74" s="88"/>
      <c r="R74" s="86"/>
      <c r="S74" s="88"/>
      <c r="T74" s="86"/>
      <c r="U74" s="88"/>
      <c r="V74" s="86"/>
      <c r="W74" s="88"/>
      <c r="X74" s="86"/>
      <c r="Y74" s="88"/>
      <c r="Z74" s="86"/>
      <c r="AA74" s="88"/>
      <c r="AB74" s="86"/>
      <c r="AC74" s="88"/>
      <c r="AD74" s="86"/>
      <c r="AE74" s="88"/>
      <c r="AF74" s="86"/>
      <c r="AG74" s="88"/>
      <c r="AH74" s="86" t="s">
        <v>31</v>
      </c>
      <c r="AI74" s="104">
        <v>2.0</v>
      </c>
      <c r="AJ74" s="86" t="s">
        <v>32</v>
      </c>
      <c r="AK74" s="104">
        <v>10.0</v>
      </c>
      <c r="AL74" s="86"/>
      <c r="AM74" s="88"/>
      <c r="AN74" s="86"/>
      <c r="AO74" s="88"/>
      <c r="AP74" s="86"/>
      <c r="AQ74" s="88"/>
      <c r="AR74" s="86"/>
      <c r="AS74" s="88"/>
      <c r="AT74" s="86"/>
      <c r="AU74" s="88"/>
      <c r="AV74" s="86"/>
      <c r="AW74" s="88"/>
      <c r="AX74" s="86"/>
      <c r="AY74" s="88"/>
      <c r="AZ74" s="86"/>
      <c r="BA74" s="88"/>
      <c r="BB74" s="86"/>
      <c r="BC74" s="88"/>
      <c r="BD74" s="86"/>
      <c r="BE74" s="88"/>
      <c r="BF74" s="86"/>
      <c r="BG74" s="88"/>
      <c r="BH74" s="86"/>
      <c r="BI74" s="88"/>
      <c r="BJ74" s="86"/>
      <c r="BK74" s="88"/>
      <c r="BL74" s="86"/>
      <c r="BM74" s="88"/>
      <c r="BN74" s="86" t="s">
        <v>47</v>
      </c>
      <c r="BO74" s="114">
        <v>1.0</v>
      </c>
      <c r="BP74" s="86"/>
      <c r="BQ74" s="88"/>
      <c r="BR74" s="86"/>
      <c r="BS74" s="87"/>
    </row>
    <row r="75" ht="22.5" customHeight="1">
      <c r="A75" s="89" t="s">
        <v>286</v>
      </c>
      <c r="B75" s="90" t="s">
        <v>71</v>
      </c>
      <c r="C75" s="91">
        <v>1.0</v>
      </c>
      <c r="D75" s="90" t="s">
        <v>72</v>
      </c>
      <c r="E75" s="91">
        <v>100.0</v>
      </c>
      <c r="F75" s="90" t="s">
        <v>13</v>
      </c>
      <c r="G75" s="106" t="s">
        <v>221</v>
      </c>
      <c r="H75" s="90"/>
      <c r="I75" s="102"/>
      <c r="J75" s="86" t="s">
        <v>19</v>
      </c>
      <c r="K75" s="115" t="s">
        <v>221</v>
      </c>
      <c r="L75" s="86" t="s">
        <v>20</v>
      </c>
      <c r="M75" s="88">
        <v>20.0</v>
      </c>
      <c r="N75" s="86" t="s">
        <v>21</v>
      </c>
      <c r="O75" s="88">
        <v>20.0</v>
      </c>
      <c r="P75" s="86"/>
      <c r="Q75" s="88"/>
      <c r="R75" s="86"/>
      <c r="S75" s="88"/>
      <c r="T75" s="86"/>
      <c r="U75" s="88"/>
      <c r="V75" s="86"/>
      <c r="W75" s="88"/>
      <c r="X75" s="86"/>
      <c r="Y75" s="88"/>
      <c r="Z75" s="86"/>
      <c r="AA75" s="88"/>
      <c r="AB75" s="86" t="s">
        <v>28</v>
      </c>
      <c r="AC75" s="104">
        <v>10.0</v>
      </c>
      <c r="AD75" s="86"/>
      <c r="AE75" s="88"/>
      <c r="AF75" s="86"/>
      <c r="AG75" s="88"/>
      <c r="AH75" s="86"/>
      <c r="AI75" s="88"/>
      <c r="AJ75" s="86"/>
      <c r="AK75" s="88"/>
      <c r="AL75" s="86" t="s">
        <v>33</v>
      </c>
      <c r="AM75" s="88">
        <v>20.0</v>
      </c>
      <c r="AN75" s="86"/>
      <c r="AO75" s="88"/>
      <c r="AP75" s="86"/>
      <c r="AQ75" s="88"/>
      <c r="AR75" s="86"/>
      <c r="AS75" s="88"/>
      <c r="AT75" s="86"/>
      <c r="AU75" s="88"/>
      <c r="AV75" s="86"/>
      <c r="AW75" s="88"/>
      <c r="AX75" s="86"/>
      <c r="AY75" s="88"/>
      <c r="AZ75" s="86"/>
      <c r="BA75" s="88"/>
      <c r="BB75" s="86"/>
      <c r="BC75" s="88"/>
      <c r="BD75" s="86"/>
      <c r="BE75" s="88"/>
      <c r="BF75" s="86"/>
      <c r="BG75" s="88"/>
      <c r="BH75" s="86"/>
      <c r="BI75" s="88"/>
      <c r="BJ75" s="86"/>
      <c r="BK75" s="88"/>
      <c r="BL75" s="86"/>
      <c r="BM75" s="88"/>
      <c r="BN75" s="86" t="s">
        <v>47</v>
      </c>
      <c r="BO75" s="114">
        <v>1.0</v>
      </c>
      <c r="BP75" s="86"/>
      <c r="BQ75" s="88"/>
      <c r="BR75" s="86"/>
      <c r="BS75" s="87"/>
    </row>
    <row r="76" ht="22.5" customHeight="1">
      <c r="A76" s="89" t="s">
        <v>287</v>
      </c>
      <c r="B76" s="90" t="s">
        <v>71</v>
      </c>
      <c r="C76" s="91">
        <v>1.0</v>
      </c>
      <c r="D76" s="90" t="s">
        <v>72</v>
      </c>
      <c r="E76" s="91">
        <v>100.0</v>
      </c>
      <c r="F76" s="90" t="s">
        <v>13</v>
      </c>
      <c r="G76" s="106" t="s">
        <v>221</v>
      </c>
      <c r="H76" s="90" t="s">
        <v>15</v>
      </c>
      <c r="I76" s="102" t="s">
        <v>209</v>
      </c>
      <c r="J76" s="86"/>
      <c r="K76" s="88"/>
      <c r="L76" s="86"/>
      <c r="M76" s="88"/>
      <c r="N76" s="86" t="s">
        <v>21</v>
      </c>
      <c r="O76" s="88">
        <v>20.0</v>
      </c>
      <c r="P76" s="86"/>
      <c r="Q76" s="88"/>
      <c r="R76" s="86"/>
      <c r="S76" s="88"/>
      <c r="T76" s="86"/>
      <c r="U76" s="88"/>
      <c r="V76" s="86"/>
      <c r="W76" s="88"/>
      <c r="X76" s="86"/>
      <c r="Y76" s="88"/>
      <c r="Z76" s="86" t="s">
        <v>27</v>
      </c>
      <c r="AA76" s="104">
        <v>10.0</v>
      </c>
      <c r="AB76" s="86"/>
      <c r="AC76" s="88"/>
      <c r="AD76" s="86" t="s">
        <v>29</v>
      </c>
      <c r="AE76" s="104">
        <v>10.0</v>
      </c>
      <c r="AF76" s="86"/>
      <c r="AG76" s="88"/>
      <c r="AH76" s="86"/>
      <c r="AI76" s="88"/>
      <c r="AJ76" s="86"/>
      <c r="AK76" s="88"/>
      <c r="AL76" s="86"/>
      <c r="AM76" s="88"/>
      <c r="AN76" s="86"/>
      <c r="AO76" s="88"/>
      <c r="AP76" s="86"/>
      <c r="AQ76" s="88"/>
      <c r="AR76" s="86"/>
      <c r="AS76" s="88"/>
      <c r="AT76" s="86"/>
      <c r="AU76" s="88"/>
      <c r="AV76" s="86"/>
      <c r="AW76" s="88"/>
      <c r="AX76" s="86"/>
      <c r="AY76" s="88"/>
      <c r="AZ76" s="86"/>
      <c r="BA76" s="88"/>
      <c r="BB76" s="86"/>
      <c r="BC76" s="88"/>
      <c r="BD76" s="86"/>
      <c r="BE76" s="88"/>
      <c r="BF76" s="86"/>
      <c r="BG76" s="88"/>
      <c r="BH76" s="86"/>
      <c r="BI76" s="88"/>
      <c r="BJ76" s="86"/>
      <c r="BK76" s="88"/>
      <c r="BL76" s="86"/>
      <c r="BM76" s="88"/>
      <c r="BN76" s="86" t="s">
        <v>47</v>
      </c>
      <c r="BO76" s="114">
        <v>1.0</v>
      </c>
      <c r="BP76" s="86"/>
      <c r="BQ76" s="88"/>
      <c r="BR76" s="86"/>
      <c r="BS76" s="87"/>
    </row>
    <row r="77" ht="22.5" customHeight="1">
      <c r="A77" s="97" t="s">
        <v>70</v>
      </c>
      <c r="B77" s="98" t="s">
        <v>71</v>
      </c>
      <c r="C77" s="99">
        <v>1.0</v>
      </c>
      <c r="D77" s="98" t="s">
        <v>72</v>
      </c>
      <c r="E77" s="99">
        <v>100.0</v>
      </c>
      <c r="F77" s="98" t="s">
        <v>13</v>
      </c>
      <c r="G77" s="101" t="s">
        <v>221</v>
      </c>
      <c r="H77" s="100" t="s">
        <v>15</v>
      </c>
      <c r="I77" s="102" t="s">
        <v>209</v>
      </c>
      <c r="J77" s="86"/>
      <c r="K77" s="88"/>
      <c r="L77" s="86"/>
      <c r="M77" s="88"/>
      <c r="N77" s="86"/>
      <c r="O77" s="88"/>
      <c r="P77" s="86"/>
      <c r="Q77" s="88"/>
      <c r="R77" s="86"/>
      <c r="S77" s="88"/>
      <c r="T77" s="86"/>
      <c r="U77" s="88"/>
      <c r="V77" s="86"/>
      <c r="W77" s="88"/>
      <c r="X77" s="86"/>
      <c r="Y77" s="88"/>
      <c r="Z77" s="86"/>
      <c r="AA77" s="88"/>
      <c r="AB77" s="86"/>
      <c r="AC77" s="88"/>
      <c r="AD77" s="86"/>
      <c r="AE77" s="88"/>
      <c r="AF77" s="86"/>
      <c r="AG77" s="88"/>
      <c r="AH77" s="86"/>
      <c r="AI77" s="88"/>
      <c r="AJ77" s="86"/>
      <c r="AK77" s="88"/>
      <c r="AL77" s="86"/>
      <c r="AM77" s="88"/>
      <c r="AN77" s="86"/>
      <c r="AO77" s="88"/>
      <c r="AP77" s="86"/>
      <c r="AQ77" s="88"/>
      <c r="AR77" s="86"/>
      <c r="AS77" s="88"/>
      <c r="AT77" s="86"/>
      <c r="AU77" s="88"/>
      <c r="AV77" s="86"/>
      <c r="AW77" s="88"/>
      <c r="AX77" s="86"/>
      <c r="AY77" s="88"/>
      <c r="AZ77" s="86"/>
      <c r="BA77" s="88"/>
      <c r="BB77" s="86"/>
      <c r="BC77" s="88"/>
      <c r="BD77" s="86"/>
      <c r="BE77" s="88"/>
      <c r="BF77" s="86"/>
      <c r="BG77" s="88"/>
      <c r="BH77" s="86"/>
      <c r="BI77" s="88"/>
      <c r="BJ77" s="86"/>
      <c r="BK77" s="88"/>
      <c r="BL77" s="86"/>
      <c r="BM77" s="88"/>
      <c r="BN77" s="86" t="s">
        <v>47</v>
      </c>
      <c r="BO77" s="114">
        <v>1.0</v>
      </c>
      <c r="BP77" s="86"/>
      <c r="BQ77" s="88"/>
      <c r="BR77" s="86"/>
      <c r="BS77" s="87"/>
    </row>
    <row r="78" ht="22.5" customHeight="1">
      <c r="A78" s="89" t="s">
        <v>288</v>
      </c>
      <c r="B78" s="90" t="s">
        <v>71</v>
      </c>
      <c r="C78" s="91">
        <v>1.0</v>
      </c>
      <c r="D78" s="90" t="s">
        <v>72</v>
      </c>
      <c r="E78" s="91">
        <v>100.0</v>
      </c>
      <c r="F78" s="90" t="s">
        <v>13</v>
      </c>
      <c r="G78" s="106" t="s">
        <v>221</v>
      </c>
      <c r="H78" s="90" t="s">
        <v>15</v>
      </c>
      <c r="I78" s="102" t="s">
        <v>209</v>
      </c>
      <c r="J78" s="86" t="s">
        <v>19</v>
      </c>
      <c r="K78" s="115" t="s">
        <v>221</v>
      </c>
      <c r="L78" s="86"/>
      <c r="M78" s="88"/>
      <c r="N78" s="86" t="s">
        <v>21</v>
      </c>
      <c r="O78" s="88">
        <v>20.0</v>
      </c>
      <c r="P78" s="86"/>
      <c r="Q78" s="88"/>
      <c r="R78" s="86"/>
      <c r="S78" s="88"/>
      <c r="T78" s="86"/>
      <c r="U78" s="88"/>
      <c r="V78" s="86"/>
      <c r="W78" s="88"/>
      <c r="X78" s="86"/>
      <c r="Y78" s="88"/>
      <c r="Z78" s="86"/>
      <c r="AA78" s="88"/>
      <c r="AB78" s="86"/>
      <c r="AC78" s="88"/>
      <c r="AD78" s="86"/>
      <c r="AE78" s="88"/>
      <c r="AF78" s="86"/>
      <c r="AG78" s="88"/>
      <c r="AH78" s="86"/>
      <c r="AI78" s="88"/>
      <c r="AJ78" s="86"/>
      <c r="AK78" s="88"/>
      <c r="AL78" s="86"/>
      <c r="AM78" s="88"/>
      <c r="AN78" s="86"/>
      <c r="AO78" s="88"/>
      <c r="AP78" s="86"/>
      <c r="AQ78" s="88"/>
      <c r="AR78" s="86"/>
      <c r="AS78" s="88"/>
      <c r="AT78" s="86"/>
      <c r="AU78" s="88"/>
      <c r="AV78" s="86"/>
      <c r="AW78" s="88"/>
      <c r="AX78" s="86"/>
      <c r="AY78" s="88"/>
      <c r="AZ78" s="86"/>
      <c r="BA78" s="88"/>
      <c r="BB78" s="86"/>
      <c r="BC78" s="88"/>
      <c r="BD78" s="86"/>
      <c r="BE78" s="88"/>
      <c r="BF78" s="86"/>
      <c r="BG78" s="88"/>
      <c r="BH78" s="86"/>
      <c r="BI78" s="88"/>
      <c r="BJ78" s="86"/>
      <c r="BK78" s="88"/>
      <c r="BL78" s="86"/>
      <c r="BM78" s="88"/>
      <c r="BN78" s="86" t="s">
        <v>47</v>
      </c>
      <c r="BO78" s="114">
        <v>1.0</v>
      </c>
      <c r="BP78" s="86"/>
      <c r="BQ78" s="88"/>
      <c r="BR78" s="86"/>
      <c r="BS78" s="87"/>
    </row>
    <row r="79" ht="22.5" customHeight="1">
      <c r="A79" s="89" t="s">
        <v>289</v>
      </c>
      <c r="B79" s="90" t="s">
        <v>71</v>
      </c>
      <c r="C79" s="91">
        <v>1.0</v>
      </c>
      <c r="D79" s="105" t="s">
        <v>72</v>
      </c>
      <c r="E79" s="91">
        <v>100.0</v>
      </c>
      <c r="F79" s="90"/>
      <c r="G79" s="108"/>
      <c r="H79" s="105"/>
      <c r="I79" s="102"/>
      <c r="J79" s="86" t="s">
        <v>19</v>
      </c>
      <c r="K79" s="115" t="s">
        <v>221</v>
      </c>
      <c r="L79" s="86"/>
      <c r="M79" s="88"/>
      <c r="N79" s="86"/>
      <c r="O79" s="88"/>
      <c r="P79" s="86"/>
      <c r="Q79" s="88"/>
      <c r="R79" s="86"/>
      <c r="S79" s="88"/>
      <c r="T79" s="86"/>
      <c r="U79" s="88"/>
      <c r="V79" s="86"/>
      <c r="W79" s="88"/>
      <c r="X79" s="86"/>
      <c r="Y79" s="88"/>
      <c r="Z79" s="86"/>
      <c r="AA79" s="88"/>
      <c r="AB79" s="86"/>
      <c r="AC79" s="88"/>
      <c r="AD79" s="86"/>
      <c r="AE79" s="88"/>
      <c r="AF79" s="86"/>
      <c r="AG79" s="88"/>
      <c r="AH79" s="86"/>
      <c r="AI79" s="88"/>
      <c r="AJ79" s="86"/>
      <c r="AK79" s="88"/>
      <c r="AL79" s="86"/>
      <c r="AM79" s="88"/>
      <c r="AN79" s="86"/>
      <c r="AO79" s="88"/>
      <c r="AP79" s="86"/>
      <c r="AQ79" s="88"/>
      <c r="AR79" s="86"/>
      <c r="AS79" s="88"/>
      <c r="AT79" s="86"/>
      <c r="AU79" s="88"/>
      <c r="AV79" s="86"/>
      <c r="AW79" s="88"/>
      <c r="AX79" s="86"/>
      <c r="AY79" s="88"/>
      <c r="AZ79" s="86"/>
      <c r="BA79" s="88"/>
      <c r="BB79" s="86"/>
      <c r="BC79" s="88"/>
      <c r="BD79" s="86"/>
      <c r="BE79" s="88"/>
      <c r="BF79" s="86"/>
      <c r="BG79" s="88"/>
      <c r="BH79" s="86"/>
      <c r="BI79" s="88"/>
      <c r="BJ79" s="86"/>
      <c r="BK79" s="88"/>
      <c r="BL79" s="86"/>
      <c r="BM79" s="88"/>
      <c r="BN79" s="86" t="s">
        <v>47</v>
      </c>
      <c r="BO79" s="114">
        <v>1.0</v>
      </c>
      <c r="BP79" s="86"/>
      <c r="BQ79" s="88"/>
      <c r="BR79" s="86"/>
      <c r="BS79" s="87"/>
    </row>
    <row r="80" ht="22.5" customHeight="1">
      <c r="A80" s="97" t="s">
        <v>290</v>
      </c>
      <c r="B80" s="100" t="s">
        <v>290</v>
      </c>
      <c r="C80" s="99">
        <v>1.0</v>
      </c>
      <c r="D80" s="112"/>
      <c r="E80" s="99"/>
      <c r="F80" s="112"/>
      <c r="G80" s="113"/>
      <c r="H80" s="112"/>
      <c r="I80" s="94"/>
      <c r="J80" s="95"/>
      <c r="K80" s="96"/>
      <c r="L80" s="95"/>
      <c r="M80" s="96"/>
      <c r="N80" s="95"/>
      <c r="O80" s="96"/>
      <c r="P80" s="95"/>
      <c r="Q80" s="96"/>
      <c r="R80" s="95"/>
      <c r="S80" s="96"/>
      <c r="T80" s="95"/>
      <c r="U80" s="96"/>
      <c r="V80" s="95"/>
      <c r="W80" s="96"/>
      <c r="X80" s="95"/>
      <c r="Y80" s="96"/>
      <c r="Z80" s="95"/>
      <c r="AA80" s="96"/>
      <c r="AB80" s="95"/>
      <c r="AC80" s="96"/>
      <c r="AD80" s="95"/>
      <c r="AE80" s="96"/>
      <c r="AF80" s="95"/>
      <c r="AG80" s="96"/>
      <c r="AH80" s="95"/>
      <c r="AI80" s="96"/>
      <c r="AJ80" s="95"/>
      <c r="AK80" s="96"/>
      <c r="AL80" s="95"/>
      <c r="AM80" s="96"/>
      <c r="AN80" s="95"/>
      <c r="AO80" s="96"/>
      <c r="AP80" s="95"/>
      <c r="AQ80" s="96"/>
      <c r="AR80" s="95"/>
      <c r="AS80" s="96"/>
      <c r="AT80" s="95"/>
      <c r="AU80" s="96"/>
      <c r="AV80" s="95"/>
      <c r="AW80" s="96"/>
      <c r="AX80" s="95"/>
      <c r="AY80" s="96"/>
      <c r="AZ80" s="95"/>
      <c r="BA80" s="96"/>
      <c r="BB80" s="95"/>
      <c r="BC80" s="96"/>
      <c r="BD80" s="95"/>
      <c r="BE80" s="96"/>
      <c r="BF80" s="95"/>
      <c r="BG80" s="96"/>
      <c r="BH80" s="95"/>
      <c r="BI80" s="96"/>
      <c r="BJ80" s="95"/>
      <c r="BK80" s="96"/>
      <c r="BL80" s="95"/>
      <c r="BM80" s="96"/>
      <c r="BN80" s="95" t="s">
        <v>47</v>
      </c>
      <c r="BO80" s="114">
        <v>1.0</v>
      </c>
      <c r="BP80" s="95"/>
      <c r="BQ80" s="96"/>
      <c r="BR80" s="95"/>
      <c r="BS80" s="94"/>
    </row>
    <row r="81" ht="22.5" customHeight="1">
      <c r="A81" s="97" t="s">
        <v>291</v>
      </c>
      <c r="B81" s="98" t="s">
        <v>292</v>
      </c>
      <c r="C81" s="99">
        <v>1.0</v>
      </c>
      <c r="D81" s="98" t="s">
        <v>74</v>
      </c>
      <c r="E81" s="99">
        <v>50.0</v>
      </c>
      <c r="F81" s="100" t="s">
        <v>14</v>
      </c>
      <c r="G81" s="128" t="s">
        <v>293</v>
      </c>
      <c r="H81" s="100" t="s">
        <v>15</v>
      </c>
      <c r="I81" s="102" t="s">
        <v>293</v>
      </c>
      <c r="J81" s="86"/>
      <c r="K81" s="88"/>
      <c r="L81" s="86"/>
      <c r="M81" s="88"/>
      <c r="N81" s="86"/>
      <c r="O81" s="88"/>
      <c r="P81" s="86"/>
      <c r="Q81" s="88"/>
      <c r="R81" s="86"/>
      <c r="S81" s="88"/>
      <c r="T81" s="86"/>
      <c r="U81" s="88"/>
      <c r="V81" s="86"/>
      <c r="W81" s="88"/>
      <c r="X81" s="86"/>
      <c r="Y81" s="88"/>
      <c r="Z81" s="86"/>
      <c r="AA81" s="88"/>
      <c r="AB81" s="86"/>
      <c r="AC81" s="88"/>
      <c r="AD81" s="86"/>
      <c r="AE81" s="88"/>
      <c r="AF81" s="86"/>
      <c r="AG81" s="88"/>
      <c r="AH81" s="86"/>
      <c r="AI81" s="88"/>
      <c r="AJ81" s="86"/>
      <c r="AK81" s="88"/>
      <c r="AL81" s="86"/>
      <c r="AM81" s="88"/>
      <c r="AN81" s="86"/>
      <c r="AO81" s="88"/>
      <c r="AP81" s="86"/>
      <c r="AQ81" s="88"/>
      <c r="AR81" s="86"/>
      <c r="AS81" s="88"/>
      <c r="AT81" s="86"/>
      <c r="AU81" s="88"/>
      <c r="AV81" s="86"/>
      <c r="AW81" s="88"/>
      <c r="AX81" s="86"/>
      <c r="AY81" s="88"/>
      <c r="AZ81" s="86"/>
      <c r="BA81" s="88"/>
      <c r="BB81" s="86"/>
      <c r="BC81" s="88"/>
      <c r="BD81" s="86"/>
      <c r="BE81" s="88"/>
      <c r="BF81" s="86"/>
      <c r="BG81" s="88"/>
      <c r="BH81" s="86"/>
      <c r="BI81" s="88"/>
      <c r="BJ81" s="86"/>
      <c r="BK81" s="88"/>
      <c r="BL81" s="86" t="s">
        <v>46</v>
      </c>
      <c r="BM81" s="104">
        <v>1.0</v>
      </c>
      <c r="BN81" s="86"/>
      <c r="BO81" s="88"/>
      <c r="BP81" s="86"/>
      <c r="BQ81" s="88"/>
      <c r="BR81" s="86"/>
      <c r="BS81" s="87"/>
    </row>
    <row r="82" ht="22.5" customHeight="1">
      <c r="A82" s="126" t="s">
        <v>294</v>
      </c>
      <c r="B82" s="100" t="s">
        <v>132</v>
      </c>
      <c r="C82" s="99">
        <v>1.0</v>
      </c>
      <c r="D82" s="100" t="s">
        <v>74</v>
      </c>
      <c r="E82" s="99">
        <v>50.0</v>
      </c>
      <c r="F82" s="100"/>
      <c r="G82" s="101"/>
      <c r="H82" s="100"/>
      <c r="I82" s="102"/>
      <c r="J82" s="86" t="s">
        <v>19</v>
      </c>
      <c r="K82" s="88">
        <v>0.5</v>
      </c>
      <c r="L82" s="86"/>
      <c r="M82" s="88"/>
      <c r="N82" s="86"/>
      <c r="O82" s="88"/>
      <c r="P82" s="86"/>
      <c r="Q82" s="88"/>
      <c r="R82" s="86"/>
      <c r="S82" s="88"/>
      <c r="T82" s="86"/>
      <c r="U82" s="88"/>
      <c r="V82" s="86"/>
      <c r="W82" s="88"/>
      <c r="X82" s="86"/>
      <c r="Y82" s="88"/>
      <c r="Z82" s="86"/>
      <c r="AA82" s="88"/>
      <c r="AB82" s="86"/>
      <c r="AC82" s="88"/>
      <c r="AD82" s="86"/>
      <c r="AE82" s="88"/>
      <c r="AF82" s="86"/>
      <c r="AG82" s="88"/>
      <c r="AH82" s="86"/>
      <c r="AI82" s="88"/>
      <c r="AJ82" s="86"/>
      <c r="AK82" s="88"/>
      <c r="AL82" s="86"/>
      <c r="AM82" s="88"/>
      <c r="AN82" s="86"/>
      <c r="AO82" s="88"/>
      <c r="AP82" s="86"/>
      <c r="AQ82" s="88"/>
      <c r="AR82" s="86"/>
      <c r="AS82" s="88"/>
      <c r="AT82" s="86"/>
      <c r="AU82" s="88"/>
      <c r="AV82" s="86"/>
      <c r="AW82" s="88"/>
      <c r="AX82" s="86"/>
      <c r="AY82" s="88"/>
      <c r="AZ82" s="86"/>
      <c r="BA82" s="88"/>
      <c r="BB82" s="86"/>
      <c r="BC82" s="88"/>
      <c r="BD82" s="86"/>
      <c r="BE82" s="88"/>
      <c r="BF82" s="86"/>
      <c r="BG82" s="88"/>
      <c r="BH82" s="86"/>
      <c r="BI82" s="88"/>
      <c r="BJ82" s="86"/>
      <c r="BK82" s="88"/>
      <c r="BL82" s="86" t="s">
        <v>46</v>
      </c>
      <c r="BM82" s="104">
        <v>1.0</v>
      </c>
      <c r="BN82" s="86"/>
      <c r="BO82" s="88"/>
      <c r="BP82" s="86"/>
      <c r="BQ82" s="88"/>
      <c r="BR82" s="86"/>
      <c r="BS82" s="87"/>
    </row>
    <row r="83" ht="22.5" customHeight="1">
      <c r="A83" s="97" t="s">
        <v>295</v>
      </c>
      <c r="B83" s="98" t="s">
        <v>134</v>
      </c>
      <c r="C83" s="99">
        <v>1.0</v>
      </c>
      <c r="D83" s="98" t="s">
        <v>85</v>
      </c>
      <c r="E83" s="99">
        <v>60.0</v>
      </c>
      <c r="F83" s="98" t="s">
        <v>13</v>
      </c>
      <c r="G83" s="149">
        <v>1.0</v>
      </c>
      <c r="H83" s="100"/>
      <c r="I83" s="102"/>
      <c r="J83" s="86" t="s">
        <v>19</v>
      </c>
      <c r="K83" s="88">
        <v>0.5</v>
      </c>
      <c r="L83" s="86" t="s">
        <v>20</v>
      </c>
      <c r="M83" s="88">
        <v>10.0</v>
      </c>
      <c r="N83" s="86"/>
      <c r="O83" s="88"/>
      <c r="P83" s="86"/>
      <c r="Q83" s="88"/>
      <c r="R83" s="86"/>
      <c r="S83" s="88"/>
      <c r="T83" s="86"/>
      <c r="U83" s="88"/>
      <c r="V83" s="86"/>
      <c r="W83" s="88"/>
      <c r="X83" s="86"/>
      <c r="Y83" s="88"/>
      <c r="Z83" s="86"/>
      <c r="AA83" s="88"/>
      <c r="AB83" s="86"/>
      <c r="AC83" s="88"/>
      <c r="AD83" s="86"/>
      <c r="AE83" s="88"/>
      <c r="AF83" s="86"/>
      <c r="AG83" s="88"/>
      <c r="AH83" s="86"/>
      <c r="AI83" s="88"/>
      <c r="AJ83" s="86"/>
      <c r="AK83" s="88"/>
      <c r="AL83" s="86"/>
      <c r="AM83" s="88"/>
      <c r="AN83" s="86"/>
      <c r="AO83" s="88"/>
      <c r="AP83" s="86"/>
      <c r="AQ83" s="88"/>
      <c r="AR83" s="86"/>
      <c r="AS83" s="88"/>
      <c r="AT83" s="86"/>
      <c r="AU83" s="88"/>
      <c r="AV83" s="86"/>
      <c r="AW83" s="88"/>
      <c r="AX83" s="86"/>
      <c r="AY83" s="88"/>
      <c r="AZ83" s="86"/>
      <c r="BA83" s="88"/>
      <c r="BB83" s="86"/>
      <c r="BC83" s="88"/>
      <c r="BD83" s="86"/>
      <c r="BE83" s="88"/>
      <c r="BF83" s="86"/>
      <c r="BG83" s="88"/>
      <c r="BH83" s="86"/>
      <c r="BI83" s="88"/>
      <c r="BJ83" s="86"/>
      <c r="BK83" s="88"/>
      <c r="BL83" s="86"/>
      <c r="BM83" s="88"/>
      <c r="BN83" s="86" t="s">
        <v>47</v>
      </c>
      <c r="BO83" s="114">
        <v>1.0</v>
      </c>
      <c r="BP83" s="86"/>
      <c r="BQ83" s="88"/>
      <c r="BR83" s="86"/>
      <c r="BS83" s="87"/>
    </row>
    <row r="84" ht="22.5" customHeight="1">
      <c r="A84" s="97" t="s">
        <v>133</v>
      </c>
      <c r="B84" s="98" t="s">
        <v>134</v>
      </c>
      <c r="C84" s="99">
        <v>1.0</v>
      </c>
      <c r="D84" s="98" t="s">
        <v>85</v>
      </c>
      <c r="E84" s="99">
        <v>60.0</v>
      </c>
      <c r="F84" s="100" t="s">
        <v>13</v>
      </c>
      <c r="G84" s="107">
        <v>1.0</v>
      </c>
      <c r="H84" s="100" t="s">
        <v>15</v>
      </c>
      <c r="I84" s="102" t="s">
        <v>293</v>
      </c>
      <c r="J84" s="86"/>
      <c r="K84" s="88"/>
      <c r="L84" s="86"/>
      <c r="M84" s="88"/>
      <c r="N84" s="86"/>
      <c r="O84" s="88"/>
      <c r="P84" s="86"/>
      <c r="Q84" s="88"/>
      <c r="R84" s="86"/>
      <c r="S84" s="88"/>
      <c r="T84" s="86"/>
      <c r="U84" s="88"/>
      <c r="V84" s="86"/>
      <c r="W84" s="88"/>
      <c r="X84" s="86"/>
      <c r="Y84" s="88"/>
      <c r="Z84" s="86"/>
      <c r="AA84" s="88"/>
      <c r="AB84" s="86"/>
      <c r="AC84" s="88"/>
      <c r="AD84" s="86"/>
      <c r="AE84" s="88"/>
      <c r="AF84" s="86"/>
      <c r="AG84" s="88"/>
      <c r="AH84" s="86"/>
      <c r="AI84" s="88"/>
      <c r="AJ84" s="86"/>
      <c r="AK84" s="88"/>
      <c r="AL84" s="86"/>
      <c r="AM84" s="88"/>
      <c r="AN84" s="86"/>
      <c r="AO84" s="88"/>
      <c r="AP84" s="86"/>
      <c r="AQ84" s="88"/>
      <c r="AR84" s="86"/>
      <c r="AS84" s="88"/>
      <c r="AT84" s="86"/>
      <c r="AU84" s="88"/>
      <c r="AV84" s="86"/>
      <c r="AW84" s="88"/>
      <c r="AX84" s="86"/>
      <c r="AY84" s="88"/>
      <c r="AZ84" s="86"/>
      <c r="BA84" s="88"/>
      <c r="BB84" s="86"/>
      <c r="BC84" s="88"/>
      <c r="BD84" s="86"/>
      <c r="BE84" s="88"/>
      <c r="BF84" s="86"/>
      <c r="BG84" s="88"/>
      <c r="BH84" s="86"/>
      <c r="BI84" s="88"/>
      <c r="BJ84" s="86"/>
      <c r="BK84" s="88"/>
      <c r="BL84" s="86"/>
      <c r="BM84" s="88"/>
      <c r="BN84" s="86" t="s">
        <v>47</v>
      </c>
      <c r="BO84" s="114">
        <v>1.0</v>
      </c>
      <c r="BP84" s="86"/>
      <c r="BQ84" s="88"/>
      <c r="BR84" s="86"/>
      <c r="BS84" s="87"/>
    </row>
    <row r="85" ht="22.5" customHeight="1">
      <c r="A85" s="143" t="s">
        <v>296</v>
      </c>
      <c r="B85" s="105" t="s">
        <v>134</v>
      </c>
      <c r="C85" s="91">
        <v>1.0</v>
      </c>
      <c r="D85" s="105" t="s">
        <v>85</v>
      </c>
      <c r="E85" s="91">
        <v>60.0</v>
      </c>
      <c r="F85" s="105"/>
      <c r="G85" s="108"/>
      <c r="H85" s="105"/>
      <c r="I85" s="102"/>
      <c r="J85" s="86" t="s">
        <v>19</v>
      </c>
      <c r="K85" s="88">
        <v>0.5</v>
      </c>
      <c r="L85" s="86"/>
      <c r="M85" s="88"/>
      <c r="N85" s="86"/>
      <c r="O85" s="88"/>
      <c r="P85" s="86"/>
      <c r="Q85" s="88"/>
      <c r="R85" s="86"/>
      <c r="S85" s="88"/>
      <c r="T85" s="86"/>
      <c r="U85" s="88"/>
      <c r="V85" s="86"/>
      <c r="W85" s="88"/>
      <c r="X85" s="86"/>
      <c r="Y85" s="88"/>
      <c r="Z85" s="86"/>
      <c r="AA85" s="88"/>
      <c r="AB85" s="86"/>
      <c r="AC85" s="88"/>
      <c r="AD85" s="86"/>
      <c r="AE85" s="88"/>
      <c r="AF85" s="86"/>
      <c r="AG85" s="88"/>
      <c r="AH85" s="86"/>
      <c r="AI85" s="88"/>
      <c r="AJ85" s="86"/>
      <c r="AK85" s="88"/>
      <c r="AL85" s="86"/>
      <c r="AM85" s="88"/>
      <c r="AN85" s="86"/>
      <c r="AO85" s="88"/>
      <c r="AP85" s="86"/>
      <c r="AQ85" s="88"/>
      <c r="AR85" s="86"/>
      <c r="AS85" s="88"/>
      <c r="AT85" s="86"/>
      <c r="AU85" s="88"/>
      <c r="AV85" s="86"/>
      <c r="AW85" s="88"/>
      <c r="AX85" s="86"/>
      <c r="AY85" s="88"/>
      <c r="AZ85" s="86"/>
      <c r="BA85" s="88"/>
      <c r="BB85" s="86"/>
      <c r="BC85" s="88"/>
      <c r="BD85" s="86"/>
      <c r="BE85" s="88"/>
      <c r="BF85" s="86"/>
      <c r="BG85" s="88"/>
      <c r="BH85" s="86"/>
      <c r="BI85" s="88"/>
      <c r="BJ85" s="86"/>
      <c r="BK85" s="88"/>
      <c r="BL85" s="86"/>
      <c r="BM85" s="88"/>
      <c r="BN85" s="86" t="s">
        <v>47</v>
      </c>
      <c r="BO85" s="114">
        <v>1.0</v>
      </c>
      <c r="BP85" s="86"/>
      <c r="BQ85" s="88"/>
      <c r="BR85" s="86"/>
      <c r="BS85" s="87"/>
    </row>
    <row r="86" ht="22.5" customHeight="1">
      <c r="A86" s="89" t="s">
        <v>297</v>
      </c>
      <c r="B86" s="90" t="s">
        <v>134</v>
      </c>
      <c r="C86" s="91">
        <v>1.0</v>
      </c>
      <c r="D86" s="90" t="s">
        <v>74</v>
      </c>
      <c r="E86" s="91">
        <v>50.0</v>
      </c>
      <c r="F86" s="90"/>
      <c r="G86" s="108"/>
      <c r="H86" s="90"/>
      <c r="I86" s="102"/>
      <c r="J86" s="86" t="s">
        <v>19</v>
      </c>
      <c r="K86" s="88">
        <v>0.5</v>
      </c>
      <c r="L86" s="86"/>
      <c r="M86" s="88"/>
      <c r="N86" s="86" t="s">
        <v>21</v>
      </c>
      <c r="O86" s="88">
        <v>10.0</v>
      </c>
      <c r="P86" s="86"/>
      <c r="Q86" s="88"/>
      <c r="R86" s="86"/>
      <c r="S86" s="88"/>
      <c r="T86" s="86" t="s">
        <v>24</v>
      </c>
      <c r="U86" s="88">
        <v>30.0</v>
      </c>
      <c r="V86" s="86"/>
      <c r="W86" s="88"/>
      <c r="X86" s="86"/>
      <c r="Y86" s="88"/>
      <c r="Z86" s="86"/>
      <c r="AA86" s="88"/>
      <c r="AB86" s="86"/>
      <c r="AC86" s="88"/>
      <c r="AD86" s="86"/>
      <c r="AE86" s="88"/>
      <c r="AF86" s="86"/>
      <c r="AG86" s="88"/>
      <c r="AH86" s="86"/>
      <c r="AI86" s="88"/>
      <c r="AJ86" s="86"/>
      <c r="AK86" s="88"/>
      <c r="AL86" s="86"/>
      <c r="AM86" s="88"/>
      <c r="AN86" s="86"/>
      <c r="AO86" s="88"/>
      <c r="AP86" s="86"/>
      <c r="AQ86" s="88"/>
      <c r="AR86" s="86"/>
      <c r="AS86" s="88"/>
      <c r="AT86" s="86"/>
      <c r="AU86" s="88"/>
      <c r="AV86" s="86"/>
      <c r="AW86" s="88"/>
      <c r="AX86" s="86"/>
      <c r="AY86" s="88"/>
      <c r="AZ86" s="86"/>
      <c r="BA86" s="88"/>
      <c r="BB86" s="86"/>
      <c r="BC86" s="88"/>
      <c r="BD86" s="86"/>
      <c r="BE86" s="88"/>
      <c r="BF86" s="86"/>
      <c r="BG86" s="88"/>
      <c r="BH86" s="86"/>
      <c r="BI86" s="88"/>
      <c r="BJ86" s="86"/>
      <c r="BK86" s="88"/>
      <c r="BL86" s="86"/>
      <c r="BM86" s="88"/>
      <c r="BN86" s="86" t="s">
        <v>47</v>
      </c>
      <c r="BO86" s="114">
        <v>1.0</v>
      </c>
      <c r="BP86" s="86"/>
      <c r="BQ86" s="88"/>
      <c r="BR86" s="86"/>
      <c r="BS86" s="87"/>
    </row>
    <row r="87" ht="22.5" customHeight="1">
      <c r="A87" s="97" t="s">
        <v>298</v>
      </c>
      <c r="B87" s="98" t="s">
        <v>134</v>
      </c>
      <c r="C87" s="99">
        <v>1.0</v>
      </c>
      <c r="D87" s="98" t="s">
        <v>74</v>
      </c>
      <c r="E87" s="99">
        <v>50.0</v>
      </c>
      <c r="F87" s="105" t="s">
        <v>13</v>
      </c>
      <c r="G87" s="101" t="s">
        <v>221</v>
      </c>
      <c r="H87" s="105" t="s">
        <v>15</v>
      </c>
      <c r="I87" s="102" t="s">
        <v>293</v>
      </c>
      <c r="J87" s="86"/>
      <c r="K87" s="88"/>
      <c r="L87" s="86"/>
      <c r="M87" s="88"/>
      <c r="N87" s="86"/>
      <c r="O87" s="88"/>
      <c r="P87" s="86"/>
      <c r="Q87" s="88"/>
      <c r="R87" s="86"/>
      <c r="S87" s="88"/>
      <c r="T87" s="86"/>
      <c r="U87" s="88"/>
      <c r="V87" s="86"/>
      <c r="W87" s="88"/>
      <c r="X87" s="86"/>
      <c r="Y87" s="88"/>
      <c r="Z87" s="86"/>
      <c r="AA87" s="88"/>
      <c r="AB87" s="86"/>
      <c r="AC87" s="88"/>
      <c r="AD87" s="86"/>
      <c r="AE87" s="88"/>
      <c r="AF87" s="86"/>
      <c r="AG87" s="88"/>
      <c r="AH87" s="86"/>
      <c r="AI87" s="88"/>
      <c r="AJ87" s="86"/>
      <c r="AK87" s="88"/>
      <c r="AL87" s="86"/>
      <c r="AM87" s="88"/>
      <c r="AN87" s="86"/>
      <c r="AO87" s="88"/>
      <c r="AP87" s="86"/>
      <c r="AQ87" s="88"/>
      <c r="AR87" s="86"/>
      <c r="AS87" s="88"/>
      <c r="AT87" s="86"/>
      <c r="AU87" s="88"/>
      <c r="AV87" s="86"/>
      <c r="AW87" s="88"/>
      <c r="AX87" s="86"/>
      <c r="AY87" s="88"/>
      <c r="AZ87" s="86"/>
      <c r="BA87" s="88"/>
      <c r="BB87" s="86"/>
      <c r="BC87" s="88"/>
      <c r="BD87" s="86"/>
      <c r="BE87" s="88"/>
      <c r="BF87" s="86"/>
      <c r="BG87" s="88"/>
      <c r="BH87" s="86"/>
      <c r="BI87" s="88"/>
      <c r="BJ87" s="86"/>
      <c r="BK87" s="88"/>
      <c r="BL87" s="86"/>
      <c r="BM87" s="88"/>
      <c r="BN87" s="86" t="s">
        <v>47</v>
      </c>
      <c r="BO87" s="114">
        <v>1.0</v>
      </c>
      <c r="BP87" s="86"/>
      <c r="BQ87" s="88"/>
      <c r="BR87" s="86"/>
      <c r="BS87" s="87"/>
    </row>
    <row r="88" ht="22.5" customHeight="1">
      <c r="A88" s="126" t="s">
        <v>131</v>
      </c>
      <c r="B88" s="98" t="s">
        <v>132</v>
      </c>
      <c r="C88" s="99">
        <v>1.0</v>
      </c>
      <c r="D88" s="98" t="s">
        <v>61</v>
      </c>
      <c r="E88" s="99">
        <v>0.5</v>
      </c>
      <c r="F88" s="100" t="s">
        <v>14</v>
      </c>
      <c r="G88" s="101" t="s">
        <v>208</v>
      </c>
      <c r="H88" s="100" t="s">
        <v>15</v>
      </c>
      <c r="I88" s="102" t="s">
        <v>293</v>
      </c>
      <c r="J88" s="86"/>
      <c r="K88" s="88"/>
      <c r="L88" s="86"/>
      <c r="M88" s="88"/>
      <c r="N88" s="86"/>
      <c r="O88" s="88"/>
      <c r="P88" s="86"/>
      <c r="Q88" s="88"/>
      <c r="R88" s="86"/>
      <c r="S88" s="88"/>
      <c r="T88" s="86"/>
      <c r="U88" s="88"/>
      <c r="V88" s="86"/>
      <c r="W88" s="88"/>
      <c r="X88" s="86"/>
      <c r="Y88" s="88"/>
      <c r="Z88" s="86"/>
      <c r="AA88" s="88"/>
      <c r="AB88" s="86"/>
      <c r="AC88" s="88"/>
      <c r="AD88" s="86"/>
      <c r="AE88" s="88"/>
      <c r="AF88" s="86"/>
      <c r="AG88" s="88"/>
      <c r="AH88" s="86"/>
      <c r="AI88" s="88"/>
      <c r="AJ88" s="86"/>
      <c r="AK88" s="88"/>
      <c r="AL88" s="86"/>
      <c r="AM88" s="88"/>
      <c r="AN88" s="86"/>
      <c r="AO88" s="88"/>
      <c r="AP88" s="86"/>
      <c r="AQ88" s="88"/>
      <c r="AR88" s="86"/>
      <c r="AS88" s="88"/>
      <c r="AT88" s="86"/>
      <c r="AU88" s="88"/>
      <c r="AV88" s="86"/>
      <c r="AW88" s="88"/>
      <c r="AX88" s="86"/>
      <c r="AY88" s="88"/>
      <c r="AZ88" s="86"/>
      <c r="BA88" s="88"/>
      <c r="BB88" s="86"/>
      <c r="BC88" s="88"/>
      <c r="BD88" s="86"/>
      <c r="BE88" s="88"/>
      <c r="BF88" s="86"/>
      <c r="BG88" s="88"/>
      <c r="BH88" s="86"/>
      <c r="BI88" s="88"/>
      <c r="BJ88" s="86"/>
      <c r="BK88" s="88"/>
      <c r="BL88" s="86" t="s">
        <v>46</v>
      </c>
      <c r="BM88" s="104">
        <v>1.0</v>
      </c>
      <c r="BN88" s="86"/>
      <c r="BO88" s="88"/>
      <c r="BP88" s="86"/>
      <c r="BQ88" s="88"/>
      <c r="BR88" s="86"/>
      <c r="BS88" s="87"/>
    </row>
    <row r="89" ht="22.5" customHeight="1">
      <c r="A89" s="89" t="s">
        <v>299</v>
      </c>
      <c r="B89" s="90" t="s">
        <v>132</v>
      </c>
      <c r="C89" s="91">
        <v>1.0</v>
      </c>
      <c r="D89" s="90" t="s">
        <v>125</v>
      </c>
      <c r="E89" s="91">
        <v>50.0</v>
      </c>
      <c r="F89" s="90"/>
      <c r="G89" s="108"/>
      <c r="H89" s="90"/>
      <c r="I89" s="102"/>
      <c r="J89" s="86" t="s">
        <v>19</v>
      </c>
      <c r="K89" s="88">
        <v>0.5</v>
      </c>
      <c r="L89" s="86"/>
      <c r="M89" s="88"/>
      <c r="N89" s="86" t="s">
        <v>21</v>
      </c>
      <c r="O89" s="88">
        <v>10.0</v>
      </c>
      <c r="P89" s="86"/>
      <c r="Q89" s="88"/>
      <c r="R89" s="86"/>
      <c r="S89" s="88"/>
      <c r="T89" s="86" t="s">
        <v>24</v>
      </c>
      <c r="U89" s="88">
        <v>30.0</v>
      </c>
      <c r="V89" s="86"/>
      <c r="W89" s="88"/>
      <c r="X89" s="86"/>
      <c r="Y89" s="88"/>
      <c r="Z89" s="86"/>
      <c r="AA89" s="88"/>
      <c r="AB89" s="86"/>
      <c r="AC89" s="88"/>
      <c r="AD89" s="86"/>
      <c r="AE89" s="88"/>
      <c r="AF89" s="86"/>
      <c r="AG89" s="88"/>
      <c r="AH89" s="86"/>
      <c r="AI89" s="88"/>
      <c r="AJ89" s="86"/>
      <c r="AK89" s="88"/>
      <c r="AL89" s="86"/>
      <c r="AM89" s="88"/>
      <c r="AN89" s="86"/>
      <c r="AO89" s="88"/>
      <c r="AP89" s="86"/>
      <c r="AQ89" s="88"/>
      <c r="AR89" s="86"/>
      <c r="AS89" s="88"/>
      <c r="AT89" s="86"/>
      <c r="AU89" s="88"/>
      <c r="AV89" s="86"/>
      <c r="AW89" s="88"/>
      <c r="AX89" s="86"/>
      <c r="AY89" s="88"/>
      <c r="AZ89" s="86"/>
      <c r="BA89" s="88"/>
      <c r="BB89" s="86"/>
      <c r="BC89" s="88"/>
      <c r="BD89" s="86"/>
      <c r="BE89" s="88"/>
      <c r="BF89" s="86"/>
      <c r="BG89" s="88"/>
      <c r="BH89" s="86"/>
      <c r="BI89" s="88"/>
      <c r="BJ89" s="86"/>
      <c r="BK89" s="88"/>
      <c r="BL89" s="86"/>
      <c r="BM89" s="88"/>
      <c r="BN89" s="86" t="s">
        <v>47</v>
      </c>
      <c r="BO89" s="114">
        <v>1.0</v>
      </c>
      <c r="BP89" s="86"/>
      <c r="BQ89" s="88"/>
      <c r="BR89" s="86"/>
      <c r="BS89" s="87"/>
    </row>
    <row r="90" ht="22.5" customHeight="1">
      <c r="A90" s="89" t="s">
        <v>300</v>
      </c>
      <c r="B90" s="90" t="s">
        <v>134</v>
      </c>
      <c r="C90" s="91">
        <v>1.0</v>
      </c>
      <c r="D90" s="90" t="s">
        <v>125</v>
      </c>
      <c r="E90" s="91">
        <v>50.0</v>
      </c>
      <c r="F90" s="90" t="s">
        <v>13</v>
      </c>
      <c r="G90" s="106" t="s">
        <v>221</v>
      </c>
      <c r="H90" s="105" t="s">
        <v>15</v>
      </c>
      <c r="I90" s="102" t="s">
        <v>293</v>
      </c>
      <c r="J90" s="86"/>
      <c r="K90" s="88"/>
      <c r="L90" s="86"/>
      <c r="M90" s="88"/>
      <c r="N90" s="86"/>
      <c r="O90" s="88"/>
      <c r="P90" s="86"/>
      <c r="Q90" s="88"/>
      <c r="R90" s="86"/>
      <c r="S90" s="88"/>
      <c r="T90" s="86"/>
      <c r="U90" s="88"/>
      <c r="V90" s="86"/>
      <c r="W90" s="88"/>
      <c r="X90" s="86"/>
      <c r="Y90" s="88"/>
      <c r="Z90" s="86"/>
      <c r="AA90" s="88"/>
      <c r="AB90" s="86"/>
      <c r="AC90" s="88"/>
      <c r="AD90" s="86"/>
      <c r="AE90" s="88"/>
      <c r="AF90" s="86"/>
      <c r="AG90" s="88"/>
      <c r="AH90" s="86"/>
      <c r="AI90" s="88"/>
      <c r="AJ90" s="86"/>
      <c r="AK90" s="88"/>
      <c r="AL90" s="86"/>
      <c r="AM90" s="88"/>
      <c r="AN90" s="86"/>
      <c r="AO90" s="88"/>
      <c r="AP90" s="86"/>
      <c r="AQ90" s="88"/>
      <c r="AR90" s="86"/>
      <c r="AS90" s="88"/>
      <c r="AT90" s="86"/>
      <c r="AU90" s="88"/>
      <c r="AV90" s="86"/>
      <c r="AW90" s="88"/>
      <c r="AX90" s="86"/>
      <c r="AY90" s="88"/>
      <c r="AZ90" s="86"/>
      <c r="BA90" s="88"/>
      <c r="BB90" s="86"/>
      <c r="BC90" s="88"/>
      <c r="BD90" s="86"/>
      <c r="BE90" s="88"/>
      <c r="BF90" s="86"/>
      <c r="BG90" s="88"/>
      <c r="BH90" s="86"/>
      <c r="BI90" s="88"/>
      <c r="BJ90" s="86"/>
      <c r="BK90" s="88"/>
      <c r="BL90" s="86"/>
      <c r="BM90" s="88"/>
      <c r="BN90" s="86" t="s">
        <v>47</v>
      </c>
      <c r="BO90" s="114">
        <v>1.0</v>
      </c>
      <c r="BP90" s="86"/>
      <c r="BQ90" s="88"/>
      <c r="BR90" s="86"/>
      <c r="BS90" s="87"/>
    </row>
    <row r="91" ht="22.5" customHeight="1">
      <c r="A91" s="89" t="s">
        <v>301</v>
      </c>
      <c r="B91" s="105" t="s">
        <v>132</v>
      </c>
      <c r="C91" s="91">
        <v>1.0</v>
      </c>
      <c r="D91" s="105" t="s">
        <v>74</v>
      </c>
      <c r="E91" s="91">
        <v>50.0</v>
      </c>
      <c r="F91" s="105"/>
      <c r="G91" s="108"/>
      <c r="H91" s="90"/>
      <c r="I91" s="102"/>
      <c r="J91" s="86" t="s">
        <v>19</v>
      </c>
      <c r="K91" s="88">
        <v>0.5</v>
      </c>
      <c r="L91" s="86"/>
      <c r="M91" s="88"/>
      <c r="N91" s="86" t="s">
        <v>21</v>
      </c>
      <c r="O91" s="88">
        <v>10.0</v>
      </c>
      <c r="P91" s="86"/>
      <c r="Q91" s="88"/>
      <c r="R91" s="86"/>
      <c r="S91" s="88"/>
      <c r="T91" s="86" t="s">
        <v>24</v>
      </c>
      <c r="U91" s="88">
        <v>30.0</v>
      </c>
      <c r="V91" s="86"/>
      <c r="W91" s="88"/>
      <c r="X91" s="86"/>
      <c r="Y91" s="88"/>
      <c r="Z91" s="86"/>
      <c r="AA91" s="88"/>
      <c r="AB91" s="86"/>
      <c r="AC91" s="88"/>
      <c r="AD91" s="86"/>
      <c r="AE91" s="88"/>
      <c r="AF91" s="86"/>
      <c r="AG91" s="88"/>
      <c r="AH91" s="86"/>
      <c r="AI91" s="88"/>
      <c r="AJ91" s="86"/>
      <c r="AK91" s="88"/>
      <c r="AL91" s="86"/>
      <c r="AM91" s="88"/>
      <c r="AN91" s="86"/>
      <c r="AO91" s="88"/>
      <c r="AP91" s="86"/>
      <c r="AQ91" s="88"/>
      <c r="AR91" s="86"/>
      <c r="AS91" s="88"/>
      <c r="AT91" s="86"/>
      <c r="AU91" s="88"/>
      <c r="AV91" s="86"/>
      <c r="AW91" s="88"/>
      <c r="AX91" s="86"/>
      <c r="AY91" s="88"/>
      <c r="AZ91" s="86"/>
      <c r="BA91" s="88"/>
      <c r="BB91" s="86"/>
      <c r="BC91" s="88"/>
      <c r="BD91" s="86"/>
      <c r="BE91" s="88"/>
      <c r="BF91" s="86"/>
      <c r="BG91" s="88"/>
      <c r="BH91" s="86"/>
      <c r="BI91" s="88"/>
      <c r="BJ91" s="86"/>
      <c r="BK91" s="88"/>
      <c r="BL91" s="86"/>
      <c r="BM91" s="88"/>
      <c r="BN91" s="86" t="s">
        <v>47</v>
      </c>
      <c r="BO91" s="114">
        <v>1.0</v>
      </c>
      <c r="BP91" s="86"/>
      <c r="BQ91" s="88"/>
      <c r="BR91" s="86"/>
      <c r="BS91" s="87"/>
    </row>
    <row r="92" ht="22.5" customHeight="1">
      <c r="A92" s="97" t="s">
        <v>302</v>
      </c>
      <c r="B92" s="98" t="s">
        <v>134</v>
      </c>
      <c r="C92" s="99">
        <v>1.0</v>
      </c>
      <c r="D92" s="98" t="s">
        <v>72</v>
      </c>
      <c r="E92" s="99">
        <v>50.0</v>
      </c>
      <c r="F92" s="100" t="s">
        <v>13</v>
      </c>
      <c r="G92" s="107">
        <v>1.0</v>
      </c>
      <c r="H92" s="100" t="s">
        <v>15</v>
      </c>
      <c r="I92" s="102" t="s">
        <v>293</v>
      </c>
      <c r="J92" s="86"/>
      <c r="K92" s="88"/>
      <c r="L92" s="86"/>
      <c r="M92" s="88"/>
      <c r="N92" s="86"/>
      <c r="O92" s="88"/>
      <c r="P92" s="86"/>
      <c r="Q92" s="88"/>
      <c r="R92" s="86"/>
      <c r="S92" s="88"/>
      <c r="T92" s="86"/>
      <c r="U92" s="88"/>
      <c r="V92" s="86"/>
      <c r="W92" s="88"/>
      <c r="X92" s="86"/>
      <c r="Y92" s="88"/>
      <c r="Z92" s="86"/>
      <c r="AA92" s="88"/>
      <c r="AB92" s="86"/>
      <c r="AC92" s="88"/>
      <c r="AD92" s="86"/>
      <c r="AE92" s="88"/>
      <c r="AF92" s="86"/>
      <c r="AG92" s="88"/>
      <c r="AH92" s="86"/>
      <c r="AI92" s="88"/>
      <c r="AJ92" s="86"/>
      <c r="AK92" s="88"/>
      <c r="AL92" s="86"/>
      <c r="AM92" s="88"/>
      <c r="AN92" s="86"/>
      <c r="AO92" s="88"/>
      <c r="AP92" s="86"/>
      <c r="AQ92" s="88"/>
      <c r="AR92" s="86"/>
      <c r="AS92" s="88"/>
      <c r="AT92" s="86"/>
      <c r="AU92" s="88"/>
      <c r="AV92" s="86"/>
      <c r="AW92" s="88"/>
      <c r="AX92" s="86"/>
      <c r="AY92" s="88"/>
      <c r="AZ92" s="86"/>
      <c r="BA92" s="88"/>
      <c r="BB92" s="86"/>
      <c r="BC92" s="88"/>
      <c r="BD92" s="86"/>
      <c r="BE92" s="88"/>
      <c r="BF92" s="86"/>
      <c r="BG92" s="88"/>
      <c r="BH92" s="86"/>
      <c r="BI92" s="88"/>
      <c r="BJ92" s="86"/>
      <c r="BK92" s="88"/>
      <c r="BL92" s="86"/>
      <c r="BM92" s="88"/>
      <c r="BN92" s="86" t="s">
        <v>47</v>
      </c>
      <c r="BO92" s="114">
        <v>1.0</v>
      </c>
      <c r="BP92" s="86"/>
      <c r="BQ92" s="88"/>
      <c r="BR92" s="86"/>
      <c r="BS92" s="87"/>
    </row>
    <row r="93" ht="22.5" customHeight="1">
      <c r="A93" s="97" t="s">
        <v>303</v>
      </c>
      <c r="B93" s="100" t="s">
        <v>303</v>
      </c>
      <c r="C93" s="99">
        <v>1.0</v>
      </c>
      <c r="D93" s="112"/>
      <c r="E93" s="99"/>
      <c r="F93" s="112"/>
      <c r="G93" s="113"/>
      <c r="H93" s="112"/>
      <c r="I93" s="94"/>
      <c r="J93" s="95"/>
      <c r="K93" s="96"/>
      <c r="L93" s="95"/>
      <c r="M93" s="96"/>
      <c r="N93" s="95"/>
      <c r="O93" s="96"/>
      <c r="P93" s="95"/>
      <c r="Q93" s="96"/>
      <c r="R93" s="95"/>
      <c r="S93" s="96"/>
      <c r="T93" s="95"/>
      <c r="U93" s="96"/>
      <c r="V93" s="95"/>
      <c r="W93" s="96"/>
      <c r="X93" s="95"/>
      <c r="Y93" s="96"/>
      <c r="Z93" s="95"/>
      <c r="AA93" s="96"/>
      <c r="AB93" s="95"/>
      <c r="AC93" s="96"/>
      <c r="AD93" s="95"/>
      <c r="AE93" s="96"/>
      <c r="AF93" s="95"/>
      <c r="AG93" s="96"/>
      <c r="AH93" s="95"/>
      <c r="AI93" s="96"/>
      <c r="AJ93" s="95"/>
      <c r="AK93" s="96"/>
      <c r="AL93" s="95"/>
      <c r="AM93" s="96"/>
      <c r="AN93" s="95"/>
      <c r="AO93" s="96"/>
      <c r="AP93" s="95"/>
      <c r="AQ93" s="96"/>
      <c r="AR93" s="95"/>
      <c r="AS93" s="96"/>
      <c r="AT93" s="95"/>
      <c r="AU93" s="96"/>
      <c r="AV93" s="95"/>
      <c r="AW93" s="96"/>
      <c r="AX93" s="95"/>
      <c r="AY93" s="96"/>
      <c r="AZ93" s="95"/>
      <c r="BA93" s="96"/>
      <c r="BB93" s="95"/>
      <c r="BC93" s="96"/>
      <c r="BD93" s="95"/>
      <c r="BE93" s="96"/>
      <c r="BF93" s="95"/>
      <c r="BG93" s="96"/>
      <c r="BH93" s="95"/>
      <c r="BI93" s="96"/>
      <c r="BJ93" s="95"/>
      <c r="BK93" s="96"/>
      <c r="BL93" s="95"/>
      <c r="BM93" s="96"/>
      <c r="BN93" s="95"/>
      <c r="BO93" s="96"/>
      <c r="BP93" s="95"/>
      <c r="BQ93" s="96"/>
      <c r="BR93" s="95"/>
      <c r="BS93" s="94"/>
    </row>
    <row r="94" ht="22.5" customHeight="1">
      <c r="A94" s="97" t="s">
        <v>304</v>
      </c>
      <c r="B94" s="98" t="s">
        <v>71</v>
      </c>
      <c r="C94" s="99">
        <v>1.0</v>
      </c>
      <c r="D94" s="98" t="s">
        <v>305</v>
      </c>
      <c r="E94" s="99">
        <v>100.0</v>
      </c>
      <c r="F94" s="100" t="s">
        <v>13</v>
      </c>
      <c r="G94" s="101" t="s">
        <v>221</v>
      </c>
      <c r="H94" s="100" t="s">
        <v>15</v>
      </c>
      <c r="I94" s="102" t="s">
        <v>209</v>
      </c>
      <c r="J94" s="86"/>
      <c r="K94" s="88"/>
      <c r="L94" s="86"/>
      <c r="M94" s="88"/>
      <c r="N94" s="86"/>
      <c r="O94" s="88"/>
      <c r="P94" s="86"/>
      <c r="Q94" s="88"/>
      <c r="R94" s="86"/>
      <c r="S94" s="88"/>
      <c r="T94" s="86"/>
      <c r="U94" s="88"/>
      <c r="V94" s="86"/>
      <c r="W94" s="88"/>
      <c r="X94" s="86"/>
      <c r="Y94" s="88"/>
      <c r="Z94" s="86"/>
      <c r="AA94" s="88"/>
      <c r="AB94" s="86"/>
      <c r="AC94" s="88"/>
      <c r="AD94" s="86"/>
      <c r="AE94" s="88"/>
      <c r="AF94" s="86"/>
      <c r="AG94" s="88"/>
      <c r="AH94" s="86"/>
      <c r="AI94" s="88"/>
      <c r="AJ94" s="86"/>
      <c r="AK94" s="88"/>
      <c r="AL94" s="86"/>
      <c r="AM94" s="88"/>
      <c r="AN94" s="86"/>
      <c r="AO94" s="88"/>
      <c r="AP94" s="86"/>
      <c r="AQ94" s="88"/>
      <c r="AR94" s="86"/>
      <c r="AS94" s="88"/>
      <c r="AT94" s="86"/>
      <c r="AU94" s="88"/>
      <c r="AV94" s="86"/>
      <c r="AW94" s="88"/>
      <c r="AX94" s="86"/>
      <c r="AY94" s="88"/>
      <c r="AZ94" s="86"/>
      <c r="BA94" s="88"/>
      <c r="BB94" s="86"/>
      <c r="BC94" s="88"/>
      <c r="BD94" s="86"/>
      <c r="BE94" s="88"/>
      <c r="BF94" s="86"/>
      <c r="BG94" s="88"/>
      <c r="BH94" s="86"/>
      <c r="BI94" s="88"/>
      <c r="BJ94" s="86"/>
      <c r="BK94" s="88"/>
      <c r="BL94" s="86"/>
      <c r="BM94" s="88"/>
      <c r="BN94" s="86"/>
      <c r="BO94" s="88"/>
      <c r="BP94" s="86"/>
      <c r="BQ94" s="88"/>
      <c r="BR94" s="86"/>
      <c r="BS94" s="87"/>
    </row>
    <row r="95" ht="22.5" customHeight="1">
      <c r="A95" s="97" t="s">
        <v>306</v>
      </c>
      <c r="B95" s="100" t="s">
        <v>306</v>
      </c>
      <c r="C95" s="99">
        <v>3.0</v>
      </c>
      <c r="D95" s="112"/>
      <c r="E95" s="99"/>
      <c r="F95" s="112"/>
      <c r="G95" s="113"/>
      <c r="H95" s="112"/>
      <c r="I95" s="94"/>
      <c r="J95" s="95"/>
      <c r="K95" s="96"/>
      <c r="L95" s="95"/>
      <c r="M95" s="96"/>
      <c r="N95" s="95"/>
      <c r="O95" s="96"/>
      <c r="P95" s="95"/>
      <c r="Q95" s="96"/>
      <c r="R95" s="95"/>
      <c r="S95" s="96"/>
      <c r="T95" s="95"/>
      <c r="U95" s="96"/>
      <c r="V95" s="95"/>
      <c r="W95" s="96"/>
      <c r="X95" s="95"/>
      <c r="Y95" s="96"/>
      <c r="Z95" s="95"/>
      <c r="AA95" s="96"/>
      <c r="AB95" s="95"/>
      <c r="AC95" s="96"/>
      <c r="AD95" s="95"/>
      <c r="AE95" s="96"/>
      <c r="AF95" s="95"/>
      <c r="AG95" s="96"/>
      <c r="AH95" s="95"/>
      <c r="AI95" s="96"/>
      <c r="AJ95" s="95"/>
      <c r="AK95" s="96"/>
      <c r="AL95" s="95"/>
      <c r="AM95" s="96"/>
      <c r="AN95" s="95"/>
      <c r="AO95" s="96"/>
      <c r="AP95" s="95"/>
      <c r="AQ95" s="96"/>
      <c r="AR95" s="95"/>
      <c r="AS95" s="96"/>
      <c r="AT95" s="95"/>
      <c r="AU95" s="96"/>
      <c r="AV95" s="95"/>
      <c r="AW95" s="96"/>
      <c r="AX95" s="95"/>
      <c r="AY95" s="96"/>
      <c r="AZ95" s="95"/>
      <c r="BA95" s="96"/>
      <c r="BB95" s="95"/>
      <c r="BC95" s="96"/>
      <c r="BD95" s="95"/>
      <c r="BE95" s="96"/>
      <c r="BF95" s="95"/>
      <c r="BG95" s="96"/>
      <c r="BH95" s="95"/>
      <c r="BI95" s="96"/>
      <c r="BJ95" s="95"/>
      <c r="BK95" s="96"/>
      <c r="BL95" s="95"/>
      <c r="BM95" s="96"/>
      <c r="BN95" s="95" t="s">
        <v>47</v>
      </c>
      <c r="BO95" s="114">
        <v>1.0</v>
      </c>
      <c r="BP95" s="95"/>
      <c r="BQ95" s="96"/>
      <c r="BR95" s="95"/>
      <c r="BS95" s="94"/>
    </row>
    <row r="96" ht="22.5" customHeight="1">
      <c r="A96" s="80" t="s">
        <v>307</v>
      </c>
      <c r="B96" s="81" t="s">
        <v>308</v>
      </c>
      <c r="C96" s="82">
        <v>1.0</v>
      </c>
      <c r="D96" s="83"/>
      <c r="E96" s="84"/>
      <c r="F96" s="83"/>
      <c r="G96" s="85"/>
      <c r="H96" s="86"/>
      <c r="I96" s="87"/>
      <c r="J96" s="86"/>
      <c r="K96" s="88"/>
      <c r="L96" s="86"/>
      <c r="M96" s="88"/>
      <c r="N96" s="86"/>
      <c r="O96" s="88"/>
      <c r="P96" s="86"/>
      <c r="Q96" s="88"/>
      <c r="R96" s="86"/>
      <c r="S96" s="88"/>
      <c r="T96" s="86"/>
      <c r="U96" s="88"/>
      <c r="V96" s="86"/>
      <c r="W96" s="88"/>
      <c r="X96" s="86"/>
      <c r="Y96" s="88"/>
      <c r="Z96" s="86"/>
      <c r="AA96" s="88"/>
      <c r="AB96" s="86"/>
      <c r="AC96" s="88"/>
      <c r="AD96" s="86"/>
      <c r="AE96" s="88"/>
      <c r="AF96" s="86"/>
      <c r="AG96" s="88"/>
      <c r="AH96" s="86"/>
      <c r="AI96" s="88"/>
      <c r="AJ96" s="86"/>
      <c r="AK96" s="88"/>
      <c r="AL96" s="86"/>
      <c r="AM96" s="88"/>
      <c r="AN96" s="86"/>
      <c r="AO96" s="88"/>
      <c r="AP96" s="86"/>
      <c r="AQ96" s="88"/>
      <c r="AR96" s="86"/>
      <c r="AS96" s="88"/>
      <c r="AT96" s="86"/>
      <c r="AU96" s="88"/>
      <c r="AV96" s="86"/>
      <c r="AW96" s="88"/>
      <c r="AX96" s="86"/>
      <c r="AY96" s="88"/>
      <c r="AZ96" s="86"/>
      <c r="BA96" s="88"/>
      <c r="BB96" s="86"/>
      <c r="BC96" s="88"/>
      <c r="BD96" s="86"/>
      <c r="BE96" s="88"/>
      <c r="BF96" s="86"/>
      <c r="BG96" s="88"/>
      <c r="BH96" s="86"/>
      <c r="BI96" s="88"/>
      <c r="BJ96" s="86"/>
      <c r="BK96" s="88"/>
      <c r="BL96" s="86"/>
      <c r="BM96" s="88"/>
      <c r="BN96" s="86"/>
      <c r="BO96" s="88"/>
      <c r="BP96" s="86"/>
      <c r="BQ96" s="88"/>
      <c r="BR96" s="86"/>
      <c r="BS96" s="87"/>
    </row>
    <row r="97" ht="22.5" customHeight="1">
      <c r="A97" s="97" t="s">
        <v>119</v>
      </c>
      <c r="B97" s="98" t="s">
        <v>119</v>
      </c>
      <c r="C97" s="113">
        <v>150.0</v>
      </c>
      <c r="D97" s="112"/>
      <c r="E97" s="113"/>
      <c r="F97" s="112"/>
      <c r="G97" s="113"/>
      <c r="H97" s="112"/>
      <c r="I97" s="94"/>
      <c r="J97" s="95"/>
      <c r="K97" s="96"/>
      <c r="L97" s="95"/>
      <c r="M97" s="96"/>
      <c r="N97" s="95"/>
      <c r="O97" s="96"/>
      <c r="P97" s="95"/>
      <c r="Q97" s="96"/>
      <c r="R97" s="95"/>
      <c r="S97" s="96"/>
      <c r="T97" s="95"/>
      <c r="U97" s="96"/>
      <c r="V97" s="95"/>
      <c r="W97" s="96"/>
      <c r="X97" s="95"/>
      <c r="Y97" s="96"/>
      <c r="Z97" s="95"/>
      <c r="AA97" s="96"/>
      <c r="AB97" s="95"/>
      <c r="AC97" s="96"/>
      <c r="AD97" s="95"/>
      <c r="AE97" s="96"/>
      <c r="AF97" s="95"/>
      <c r="AG97" s="96"/>
      <c r="AH97" s="95"/>
      <c r="AI97" s="96"/>
      <c r="AJ97" s="95"/>
      <c r="AK97" s="96"/>
      <c r="AL97" s="95"/>
      <c r="AM97" s="96"/>
      <c r="AN97" s="95"/>
      <c r="AO97" s="96"/>
      <c r="AP97" s="95"/>
      <c r="AQ97" s="96"/>
      <c r="AR97" s="95"/>
      <c r="AS97" s="96"/>
      <c r="AT97" s="95"/>
      <c r="AU97" s="96"/>
      <c r="AV97" s="95"/>
      <c r="AW97" s="96"/>
      <c r="AX97" s="95"/>
      <c r="AY97" s="96"/>
      <c r="AZ97" s="95"/>
      <c r="BA97" s="96"/>
      <c r="BB97" s="95"/>
      <c r="BC97" s="96"/>
      <c r="BD97" s="95"/>
      <c r="BE97" s="96"/>
      <c r="BF97" s="95"/>
      <c r="BG97" s="96"/>
      <c r="BH97" s="95"/>
      <c r="BI97" s="96"/>
      <c r="BJ97" s="95"/>
      <c r="BK97" s="96"/>
      <c r="BL97" s="95"/>
      <c r="BM97" s="96"/>
      <c r="BN97" s="95"/>
      <c r="BO97" s="96"/>
      <c r="BP97" s="95"/>
      <c r="BQ97" s="96"/>
      <c r="BR97" s="95" t="s">
        <v>49</v>
      </c>
      <c r="BS97" s="150">
        <v>1.0</v>
      </c>
    </row>
    <row r="98" ht="22.5" customHeight="1">
      <c r="A98" s="97" t="s">
        <v>309</v>
      </c>
      <c r="B98" s="98" t="s">
        <v>309</v>
      </c>
      <c r="C98" s="113">
        <v>1.0</v>
      </c>
      <c r="D98" s="112"/>
      <c r="E98" s="113"/>
      <c r="F98" s="112"/>
      <c r="G98" s="113"/>
      <c r="H98" s="112"/>
      <c r="I98" s="94"/>
      <c r="J98" s="95"/>
      <c r="K98" s="96"/>
      <c r="L98" s="95"/>
      <c r="M98" s="96"/>
      <c r="N98" s="95"/>
      <c r="O98" s="96"/>
      <c r="P98" s="95"/>
      <c r="Q98" s="96"/>
      <c r="R98" s="95"/>
      <c r="S98" s="96"/>
      <c r="T98" s="95"/>
      <c r="U98" s="96"/>
      <c r="V98" s="95"/>
      <c r="W98" s="96"/>
      <c r="X98" s="95"/>
      <c r="Y98" s="96"/>
      <c r="Z98" s="95"/>
      <c r="AA98" s="96"/>
      <c r="AB98" s="95"/>
      <c r="AC98" s="96"/>
      <c r="AD98" s="95"/>
      <c r="AE98" s="96"/>
      <c r="AF98" s="95"/>
      <c r="AG98" s="96"/>
      <c r="AH98" s="95"/>
      <c r="AI98" s="96"/>
      <c r="AJ98" s="95"/>
      <c r="AK98" s="96"/>
      <c r="AL98" s="95"/>
      <c r="AM98" s="96"/>
      <c r="AN98" s="95"/>
      <c r="AO98" s="96"/>
      <c r="AP98" s="95"/>
      <c r="AQ98" s="96"/>
      <c r="AR98" s="95"/>
      <c r="AS98" s="96"/>
      <c r="AT98" s="95"/>
      <c r="AU98" s="96"/>
      <c r="AV98" s="95"/>
      <c r="AW98" s="96"/>
      <c r="AX98" s="95"/>
      <c r="AY98" s="96"/>
      <c r="AZ98" s="95"/>
      <c r="BA98" s="96"/>
      <c r="BB98" s="95"/>
      <c r="BC98" s="96"/>
      <c r="BD98" s="95"/>
      <c r="BE98" s="96"/>
      <c r="BF98" s="95"/>
      <c r="BG98" s="96"/>
      <c r="BH98" s="95"/>
      <c r="BI98" s="96"/>
      <c r="BJ98" s="95"/>
      <c r="BK98" s="96"/>
      <c r="BL98" s="95"/>
      <c r="BM98" s="96"/>
      <c r="BN98" s="95" t="s">
        <v>47</v>
      </c>
      <c r="BO98" s="114">
        <v>1.0</v>
      </c>
      <c r="BP98" s="95"/>
      <c r="BQ98" s="96"/>
      <c r="BR98" s="95"/>
      <c r="BS98" s="94"/>
    </row>
    <row r="99" ht="22.5" customHeight="1">
      <c r="A99" s="89" t="s">
        <v>310</v>
      </c>
      <c r="B99" s="90" t="s">
        <v>310</v>
      </c>
      <c r="C99" s="93">
        <v>1.0</v>
      </c>
      <c r="D99" s="92"/>
      <c r="E99" s="93"/>
      <c r="F99" s="92"/>
      <c r="G99" s="93"/>
      <c r="H99" s="92"/>
      <c r="I99" s="94"/>
      <c r="J99" s="95"/>
      <c r="K99" s="96"/>
      <c r="L99" s="95"/>
      <c r="M99" s="96"/>
      <c r="N99" s="95"/>
      <c r="O99" s="96"/>
      <c r="P99" s="95"/>
      <c r="Q99" s="96"/>
      <c r="R99" s="95"/>
      <c r="S99" s="96"/>
      <c r="T99" s="95"/>
      <c r="U99" s="96"/>
      <c r="V99" s="95"/>
      <c r="W99" s="96"/>
      <c r="X99" s="95"/>
      <c r="Y99" s="96"/>
      <c r="Z99" s="95"/>
      <c r="AA99" s="96"/>
      <c r="AB99" s="95"/>
      <c r="AC99" s="96"/>
      <c r="AD99" s="95"/>
      <c r="AE99" s="96"/>
      <c r="AF99" s="95"/>
      <c r="AG99" s="96"/>
      <c r="AH99" s="95"/>
      <c r="AI99" s="96"/>
      <c r="AJ99" s="95"/>
      <c r="AK99" s="96"/>
      <c r="AL99" s="95"/>
      <c r="AM99" s="96"/>
      <c r="AN99" s="95"/>
      <c r="AO99" s="96"/>
      <c r="AP99" s="95"/>
      <c r="AQ99" s="96"/>
      <c r="AR99" s="95"/>
      <c r="AS99" s="96"/>
      <c r="AT99" s="95"/>
      <c r="AU99" s="96"/>
      <c r="AV99" s="95"/>
      <c r="AW99" s="96"/>
      <c r="AX99" s="95"/>
      <c r="AY99" s="96"/>
      <c r="AZ99" s="95"/>
      <c r="BA99" s="96"/>
      <c r="BB99" s="95"/>
      <c r="BC99" s="96"/>
      <c r="BD99" s="95"/>
      <c r="BE99" s="96"/>
      <c r="BF99" s="95"/>
      <c r="BG99" s="96"/>
      <c r="BH99" s="95"/>
      <c r="BI99" s="96"/>
      <c r="BJ99" s="95"/>
      <c r="BK99" s="96"/>
      <c r="BL99" s="95"/>
      <c r="BM99" s="96"/>
      <c r="BN99" s="95" t="s">
        <v>47</v>
      </c>
      <c r="BO99" s="114">
        <v>1.0</v>
      </c>
      <c r="BP99" s="95"/>
      <c r="BQ99" s="96"/>
      <c r="BR99" s="95"/>
      <c r="BS99" s="94"/>
    </row>
    <row r="100" ht="22.5" customHeight="1">
      <c r="A100" s="89" t="s">
        <v>311</v>
      </c>
      <c r="B100" s="105" t="s">
        <v>311</v>
      </c>
      <c r="C100" s="93">
        <v>1.0</v>
      </c>
      <c r="D100" s="92"/>
      <c r="E100" s="93"/>
      <c r="F100" s="92"/>
      <c r="G100" s="93"/>
      <c r="H100" s="92"/>
      <c r="I100" s="94"/>
      <c r="J100" s="95"/>
      <c r="K100" s="96"/>
      <c r="L100" s="95"/>
      <c r="M100" s="96"/>
      <c r="N100" s="95"/>
      <c r="O100" s="96"/>
      <c r="P100" s="95"/>
      <c r="Q100" s="96"/>
      <c r="R100" s="95"/>
      <c r="S100" s="96"/>
      <c r="T100" s="95"/>
      <c r="U100" s="96"/>
      <c r="V100" s="95"/>
      <c r="W100" s="96"/>
      <c r="X100" s="95"/>
      <c r="Y100" s="96"/>
      <c r="Z100" s="95"/>
      <c r="AA100" s="96"/>
      <c r="AB100" s="95"/>
      <c r="AC100" s="96"/>
      <c r="AD100" s="95"/>
      <c r="AE100" s="96"/>
      <c r="AF100" s="95"/>
      <c r="AG100" s="96"/>
      <c r="AH100" s="95"/>
      <c r="AI100" s="96"/>
      <c r="AJ100" s="95"/>
      <c r="AK100" s="96"/>
      <c r="AL100" s="95"/>
      <c r="AM100" s="96"/>
      <c r="AN100" s="95"/>
      <c r="AO100" s="96"/>
      <c r="AP100" s="95"/>
      <c r="AQ100" s="96"/>
      <c r="AR100" s="95"/>
      <c r="AS100" s="96"/>
      <c r="AT100" s="95"/>
      <c r="AU100" s="96"/>
      <c r="AV100" s="95"/>
      <c r="AW100" s="96"/>
      <c r="AX100" s="95"/>
      <c r="AY100" s="96"/>
      <c r="AZ100" s="95"/>
      <c r="BA100" s="96"/>
      <c r="BB100" s="95"/>
      <c r="BC100" s="96"/>
      <c r="BD100" s="95"/>
      <c r="BE100" s="96"/>
      <c r="BF100" s="95"/>
      <c r="BG100" s="96"/>
      <c r="BH100" s="95"/>
      <c r="BI100" s="96"/>
      <c r="BJ100" s="95"/>
      <c r="BK100" s="96"/>
      <c r="BL100" s="95"/>
      <c r="BM100" s="96"/>
      <c r="BN100" s="95" t="s">
        <v>47</v>
      </c>
      <c r="BO100" s="114">
        <v>1.0</v>
      </c>
      <c r="BP100" s="95"/>
      <c r="BQ100" s="96"/>
      <c r="BR100" s="95"/>
      <c r="BS100" s="94"/>
    </row>
    <row r="101" ht="22.5" customHeight="1">
      <c r="A101" s="97" t="s">
        <v>312</v>
      </c>
      <c r="B101" s="98" t="s">
        <v>312</v>
      </c>
      <c r="C101" s="113">
        <v>2.0</v>
      </c>
      <c r="D101" s="112"/>
      <c r="E101" s="113"/>
      <c r="F101" s="112"/>
      <c r="G101" s="113"/>
      <c r="H101" s="112"/>
      <c r="I101" s="94"/>
      <c r="J101" s="95"/>
      <c r="K101" s="96"/>
      <c r="L101" s="95"/>
      <c r="M101" s="96"/>
      <c r="N101" s="95"/>
      <c r="O101" s="96"/>
      <c r="P101" s="95"/>
      <c r="Q101" s="96"/>
      <c r="R101" s="95"/>
      <c r="S101" s="96"/>
      <c r="T101" s="95"/>
      <c r="U101" s="96"/>
      <c r="V101" s="95"/>
      <c r="W101" s="96"/>
      <c r="X101" s="95"/>
      <c r="Y101" s="96"/>
      <c r="Z101" s="95"/>
      <c r="AA101" s="96"/>
      <c r="AB101" s="95"/>
      <c r="AC101" s="96"/>
      <c r="AD101" s="95"/>
      <c r="AE101" s="96"/>
      <c r="AF101" s="95"/>
      <c r="AG101" s="96"/>
      <c r="AH101" s="95"/>
      <c r="AI101" s="96"/>
      <c r="AJ101" s="95"/>
      <c r="AK101" s="96"/>
      <c r="AL101" s="95"/>
      <c r="AM101" s="96"/>
      <c r="AN101" s="95"/>
      <c r="AO101" s="96"/>
      <c r="AP101" s="95"/>
      <c r="AQ101" s="96"/>
      <c r="AR101" s="95"/>
      <c r="AS101" s="96"/>
      <c r="AT101" s="95"/>
      <c r="AU101" s="96"/>
      <c r="AV101" s="95"/>
      <c r="AW101" s="96"/>
      <c r="AX101" s="95"/>
      <c r="AY101" s="96"/>
      <c r="AZ101" s="95"/>
      <c r="BA101" s="96"/>
      <c r="BB101" s="95"/>
      <c r="BC101" s="96"/>
      <c r="BD101" s="95"/>
      <c r="BE101" s="96"/>
      <c r="BF101" s="95"/>
      <c r="BG101" s="96"/>
      <c r="BH101" s="95"/>
      <c r="BI101" s="96"/>
      <c r="BJ101" s="95"/>
      <c r="BK101" s="96"/>
      <c r="BL101" s="95"/>
      <c r="BM101" s="96"/>
      <c r="BN101" s="95" t="s">
        <v>47</v>
      </c>
      <c r="BO101" s="114">
        <v>1.0</v>
      </c>
      <c r="BP101" s="95"/>
      <c r="BQ101" s="96"/>
      <c r="BR101" s="95"/>
      <c r="BS101" s="94"/>
    </row>
    <row r="102" ht="22.5" customHeight="1">
      <c r="A102" s="89" t="s">
        <v>313</v>
      </c>
      <c r="B102" s="105" t="s">
        <v>313</v>
      </c>
      <c r="C102" s="93">
        <v>2.0</v>
      </c>
      <c r="D102" s="92"/>
      <c r="E102" s="93"/>
      <c r="F102" s="92"/>
      <c r="G102" s="93"/>
      <c r="H102" s="92"/>
      <c r="I102" s="94"/>
      <c r="J102" s="95"/>
      <c r="K102" s="96"/>
      <c r="L102" s="95"/>
      <c r="M102" s="96"/>
      <c r="N102" s="95"/>
      <c r="O102" s="96"/>
      <c r="P102" s="95"/>
      <c r="Q102" s="96"/>
      <c r="R102" s="95"/>
      <c r="S102" s="96"/>
      <c r="T102" s="95"/>
      <c r="U102" s="96"/>
      <c r="V102" s="95"/>
      <c r="W102" s="96"/>
      <c r="X102" s="95"/>
      <c r="Y102" s="96"/>
      <c r="Z102" s="95"/>
      <c r="AA102" s="96"/>
      <c r="AB102" s="95"/>
      <c r="AC102" s="96"/>
      <c r="AD102" s="95"/>
      <c r="AE102" s="96"/>
      <c r="AF102" s="95"/>
      <c r="AG102" s="96"/>
      <c r="AH102" s="95"/>
      <c r="AI102" s="96"/>
      <c r="AJ102" s="95"/>
      <c r="AK102" s="96"/>
      <c r="AL102" s="95"/>
      <c r="AM102" s="96"/>
      <c r="AN102" s="95"/>
      <c r="AO102" s="96"/>
      <c r="AP102" s="95"/>
      <c r="AQ102" s="96"/>
      <c r="AR102" s="95"/>
      <c r="AS102" s="96"/>
      <c r="AT102" s="95"/>
      <c r="AU102" s="96"/>
      <c r="AV102" s="95"/>
      <c r="AW102" s="96"/>
      <c r="AX102" s="95"/>
      <c r="AY102" s="96"/>
      <c r="AZ102" s="95"/>
      <c r="BA102" s="96"/>
      <c r="BB102" s="95"/>
      <c r="BC102" s="96"/>
      <c r="BD102" s="95"/>
      <c r="BE102" s="96"/>
      <c r="BF102" s="95"/>
      <c r="BG102" s="96"/>
      <c r="BH102" s="95"/>
      <c r="BI102" s="96"/>
      <c r="BJ102" s="95"/>
      <c r="BK102" s="96"/>
      <c r="BL102" s="95"/>
      <c r="BM102" s="96"/>
      <c r="BN102" s="95" t="s">
        <v>47</v>
      </c>
      <c r="BO102" s="114">
        <v>1.0</v>
      </c>
      <c r="BP102" s="95"/>
      <c r="BQ102" s="96"/>
      <c r="BR102" s="95"/>
      <c r="BS102" s="94"/>
    </row>
    <row r="103" ht="22.5" customHeight="1">
      <c r="A103" s="97" t="s">
        <v>314</v>
      </c>
      <c r="B103" s="100" t="s">
        <v>314</v>
      </c>
      <c r="C103" s="113">
        <v>2.0</v>
      </c>
      <c r="D103" s="112"/>
      <c r="E103" s="113"/>
      <c r="F103" s="112"/>
      <c r="G103" s="113"/>
      <c r="H103" s="112"/>
      <c r="I103" s="94"/>
      <c r="J103" s="95"/>
      <c r="K103" s="96"/>
      <c r="L103" s="95"/>
      <c r="M103" s="96"/>
      <c r="N103" s="95"/>
      <c r="O103" s="96"/>
      <c r="P103" s="95"/>
      <c r="Q103" s="96"/>
      <c r="R103" s="95"/>
      <c r="S103" s="96"/>
      <c r="T103" s="95"/>
      <c r="U103" s="96"/>
      <c r="V103" s="95"/>
      <c r="W103" s="96"/>
      <c r="X103" s="95"/>
      <c r="Y103" s="96"/>
      <c r="Z103" s="95"/>
      <c r="AA103" s="96"/>
      <c r="AB103" s="95"/>
      <c r="AC103" s="96"/>
      <c r="AD103" s="95"/>
      <c r="AE103" s="96"/>
      <c r="AF103" s="95"/>
      <c r="AG103" s="96"/>
      <c r="AH103" s="95"/>
      <c r="AI103" s="96"/>
      <c r="AJ103" s="95"/>
      <c r="AK103" s="96"/>
      <c r="AL103" s="95"/>
      <c r="AM103" s="96"/>
      <c r="AN103" s="95"/>
      <c r="AO103" s="96"/>
      <c r="AP103" s="95"/>
      <c r="AQ103" s="96"/>
      <c r="AR103" s="95"/>
      <c r="AS103" s="96"/>
      <c r="AT103" s="95"/>
      <c r="AU103" s="96"/>
      <c r="AV103" s="95"/>
      <c r="AW103" s="96"/>
      <c r="AX103" s="95"/>
      <c r="AY103" s="96"/>
      <c r="AZ103" s="95"/>
      <c r="BA103" s="96"/>
      <c r="BB103" s="95"/>
      <c r="BC103" s="96"/>
      <c r="BD103" s="95"/>
      <c r="BE103" s="96"/>
      <c r="BF103" s="95"/>
      <c r="BG103" s="96"/>
      <c r="BH103" s="95"/>
      <c r="BI103" s="96"/>
      <c r="BJ103" s="95"/>
      <c r="BK103" s="96"/>
      <c r="BL103" s="95"/>
      <c r="BM103" s="96"/>
      <c r="BN103" s="95" t="s">
        <v>47</v>
      </c>
      <c r="BO103" s="114">
        <v>1.0</v>
      </c>
      <c r="BP103" s="95"/>
      <c r="BQ103" s="96"/>
      <c r="BR103" s="95"/>
      <c r="BS103" s="94"/>
    </row>
    <row r="104" ht="22.5" customHeight="1">
      <c r="A104" s="89" t="s">
        <v>315</v>
      </c>
      <c r="B104" s="105" t="s">
        <v>66</v>
      </c>
      <c r="C104" s="93">
        <v>1.0</v>
      </c>
      <c r="D104" s="92"/>
      <c r="E104" s="93"/>
      <c r="F104" s="92"/>
      <c r="G104" s="93"/>
      <c r="H104" s="92"/>
      <c r="I104" s="94"/>
      <c r="J104" s="95"/>
      <c r="K104" s="96"/>
      <c r="L104" s="95"/>
      <c r="M104" s="96"/>
      <c r="N104" s="95"/>
      <c r="O104" s="96"/>
      <c r="P104" s="95"/>
      <c r="Q104" s="96"/>
      <c r="R104" s="95"/>
      <c r="S104" s="96"/>
      <c r="T104" s="95"/>
      <c r="U104" s="96"/>
      <c r="V104" s="95"/>
      <c r="W104" s="96"/>
      <c r="X104" s="95"/>
      <c r="Y104" s="96"/>
      <c r="Z104" s="95"/>
      <c r="AA104" s="96"/>
      <c r="AB104" s="95"/>
      <c r="AC104" s="96"/>
      <c r="AD104" s="95"/>
      <c r="AE104" s="96"/>
      <c r="AF104" s="95"/>
      <c r="AG104" s="96"/>
      <c r="AH104" s="95"/>
      <c r="AI104" s="96"/>
      <c r="AJ104" s="95"/>
      <c r="AK104" s="96"/>
      <c r="AL104" s="95"/>
      <c r="AM104" s="96"/>
      <c r="AN104" s="95"/>
      <c r="AO104" s="96"/>
      <c r="AP104" s="95"/>
      <c r="AQ104" s="96"/>
      <c r="AR104" s="95"/>
      <c r="AS104" s="96"/>
      <c r="AT104" s="95"/>
      <c r="AU104" s="96"/>
      <c r="AV104" s="95" t="s">
        <v>38</v>
      </c>
      <c r="AW104" s="96">
        <v>120.0</v>
      </c>
      <c r="AX104" s="95" t="s">
        <v>39</v>
      </c>
      <c r="AY104" s="96">
        <v>200.0</v>
      </c>
      <c r="AZ104" s="95" t="s">
        <v>40</v>
      </c>
      <c r="BA104" s="96">
        <v>90.0</v>
      </c>
      <c r="BB104" s="95"/>
      <c r="BC104" s="96"/>
      <c r="BD104" s="95"/>
      <c r="BE104" s="96"/>
      <c r="BF104" s="95"/>
      <c r="BG104" s="96"/>
      <c r="BH104" s="95"/>
      <c r="BI104" s="96"/>
      <c r="BJ104" s="95"/>
      <c r="BK104" s="96"/>
      <c r="BL104" s="95"/>
      <c r="BM104" s="96"/>
      <c r="BN104" s="95"/>
      <c r="BO104" s="96"/>
      <c r="BP104" s="95"/>
      <c r="BQ104" s="96"/>
      <c r="BR104" s="95"/>
      <c r="BS104" s="94"/>
    </row>
    <row r="105" ht="22.5" customHeight="1">
      <c r="A105" s="80" t="s">
        <v>316</v>
      </c>
      <c r="B105" s="83"/>
      <c r="C105" s="151"/>
      <c r="D105" s="83"/>
      <c r="E105" s="151"/>
      <c r="F105" s="83"/>
      <c r="G105" s="85"/>
      <c r="H105" s="86"/>
      <c r="I105" s="87"/>
      <c r="J105" s="86"/>
      <c r="K105" s="88"/>
      <c r="L105" s="86"/>
      <c r="M105" s="88"/>
      <c r="N105" s="86"/>
      <c r="O105" s="88"/>
      <c r="P105" s="86"/>
      <c r="Q105" s="88"/>
      <c r="R105" s="86"/>
      <c r="S105" s="88"/>
      <c r="T105" s="86"/>
      <c r="U105" s="88"/>
      <c r="V105" s="86"/>
      <c r="W105" s="88"/>
      <c r="X105" s="86"/>
      <c r="Y105" s="88"/>
      <c r="Z105" s="117" t="s">
        <v>27</v>
      </c>
      <c r="AA105" s="104">
        <v>10.0</v>
      </c>
      <c r="AB105" s="86"/>
      <c r="AC105" s="88"/>
      <c r="AD105" s="86"/>
      <c r="AE105" s="88"/>
      <c r="AF105" s="86"/>
      <c r="AG105" s="88"/>
      <c r="AH105" s="86"/>
      <c r="AI105" s="88"/>
      <c r="AJ105" s="86"/>
      <c r="AK105" s="88"/>
      <c r="AL105" s="86"/>
      <c r="AM105" s="88"/>
      <c r="AN105" s="86"/>
      <c r="AO105" s="88"/>
      <c r="AP105" s="86"/>
      <c r="AQ105" s="88"/>
      <c r="AR105" s="86"/>
      <c r="AS105" s="88"/>
      <c r="AT105" s="86"/>
      <c r="AU105" s="88"/>
      <c r="AV105" s="86"/>
      <c r="AW105" s="88"/>
      <c r="AX105" s="86"/>
      <c r="AY105" s="88"/>
      <c r="AZ105" s="86"/>
      <c r="BA105" s="88"/>
      <c r="BB105" s="86"/>
      <c r="BC105" s="88"/>
      <c r="BD105" s="86"/>
      <c r="BE105" s="88"/>
      <c r="BF105" s="86"/>
      <c r="BG105" s="88"/>
      <c r="BH105" s="86"/>
      <c r="BI105" s="88"/>
      <c r="BJ105" s="86"/>
      <c r="BK105" s="88"/>
      <c r="BL105" s="86"/>
      <c r="BM105" s="88"/>
      <c r="BN105" s="86"/>
      <c r="BO105" s="88"/>
      <c r="BP105" s="86"/>
      <c r="BQ105" s="88"/>
      <c r="BR105" s="86"/>
      <c r="BS105" s="87"/>
    </row>
    <row r="106" ht="22.5" customHeight="1">
      <c r="A106" s="80" t="s">
        <v>317</v>
      </c>
      <c r="B106" s="83"/>
      <c r="C106" s="84"/>
      <c r="D106" s="83"/>
      <c r="E106" s="84"/>
      <c r="F106" s="83"/>
      <c r="G106" s="85"/>
      <c r="H106" s="86"/>
      <c r="I106" s="87"/>
      <c r="J106" s="86"/>
      <c r="K106" s="88"/>
      <c r="L106" s="86"/>
      <c r="M106" s="88"/>
      <c r="N106" s="86" t="s">
        <v>21</v>
      </c>
      <c r="O106" s="104">
        <v>20.0</v>
      </c>
      <c r="P106" s="86"/>
      <c r="Q106" s="88"/>
      <c r="R106" s="86"/>
      <c r="S106" s="88"/>
      <c r="T106" s="86"/>
      <c r="U106" s="88"/>
      <c r="V106" s="86"/>
      <c r="W106" s="88"/>
      <c r="X106" s="86"/>
      <c r="Y106" s="88"/>
      <c r="Z106" s="86"/>
      <c r="AA106" s="88"/>
      <c r="AB106" s="86"/>
      <c r="AC106" s="88"/>
      <c r="AD106" s="86"/>
      <c r="AE106" s="88"/>
      <c r="AF106" s="86"/>
      <c r="AG106" s="88"/>
      <c r="AH106" s="86"/>
      <c r="AI106" s="88"/>
      <c r="AJ106" s="86"/>
      <c r="AK106" s="88"/>
      <c r="AL106" s="86"/>
      <c r="AM106" s="88"/>
      <c r="AN106" s="86"/>
      <c r="AO106" s="88"/>
      <c r="AP106" s="86"/>
      <c r="AQ106" s="88"/>
      <c r="AR106" s="86"/>
      <c r="AS106" s="88"/>
      <c r="AT106" s="86"/>
      <c r="AU106" s="88"/>
      <c r="AV106" s="86"/>
      <c r="AW106" s="88"/>
      <c r="AX106" s="86"/>
      <c r="AY106" s="88"/>
      <c r="AZ106" s="86"/>
      <c r="BA106" s="88"/>
      <c r="BB106" s="86"/>
      <c r="BC106" s="88"/>
      <c r="BD106" s="86"/>
      <c r="BE106" s="88"/>
      <c r="BF106" s="86"/>
      <c r="BG106" s="88"/>
      <c r="BH106" s="86"/>
      <c r="BI106" s="88"/>
      <c r="BJ106" s="86"/>
      <c r="BK106" s="88"/>
      <c r="BL106" s="86"/>
      <c r="BM106" s="88"/>
      <c r="BN106" s="86"/>
      <c r="BO106" s="88"/>
      <c r="BP106" s="86"/>
      <c r="BQ106" s="88"/>
      <c r="BR106" s="86"/>
      <c r="BS106" s="87"/>
    </row>
    <row r="107" ht="22.5" customHeight="1">
      <c r="A107" s="126" t="s">
        <v>318</v>
      </c>
      <c r="B107" s="100"/>
      <c r="C107" s="113"/>
      <c r="D107" s="100"/>
      <c r="E107" s="113"/>
      <c r="F107" s="100"/>
      <c r="G107" s="107"/>
      <c r="H107" s="100"/>
      <c r="I107" s="102"/>
      <c r="J107" s="117" t="s">
        <v>19</v>
      </c>
      <c r="K107" s="104">
        <v>1.0</v>
      </c>
      <c r="L107" s="86"/>
      <c r="M107" s="88"/>
      <c r="N107" s="86"/>
      <c r="O107" s="88"/>
      <c r="P107" s="86"/>
      <c r="Q107" s="88"/>
      <c r="R107" s="86"/>
      <c r="S107" s="88"/>
      <c r="T107" s="86"/>
      <c r="U107" s="88"/>
      <c r="V107" s="86"/>
      <c r="W107" s="88"/>
      <c r="X107" s="86"/>
      <c r="Y107" s="88"/>
      <c r="Z107" s="86"/>
      <c r="AA107" s="88"/>
      <c r="AB107" s="86"/>
      <c r="AC107" s="88"/>
      <c r="AD107" s="86"/>
      <c r="AE107" s="88"/>
      <c r="AF107" s="86"/>
      <c r="AG107" s="88"/>
      <c r="AH107" s="86"/>
      <c r="AI107" s="88"/>
      <c r="AJ107" s="86"/>
      <c r="AK107" s="88"/>
      <c r="AL107" s="86"/>
      <c r="AM107" s="88"/>
      <c r="AN107" s="86"/>
      <c r="AO107" s="88"/>
      <c r="AP107" s="86"/>
      <c r="AQ107" s="88"/>
      <c r="AR107" s="86"/>
      <c r="AS107" s="88"/>
      <c r="AT107" s="86"/>
      <c r="AU107" s="88"/>
      <c r="AV107" s="86"/>
      <c r="AW107" s="88"/>
      <c r="AX107" s="86"/>
      <c r="AY107" s="88"/>
      <c r="AZ107" s="86"/>
      <c r="BA107" s="88"/>
      <c r="BB107" s="86"/>
      <c r="BC107" s="88"/>
      <c r="BD107" s="86"/>
      <c r="BE107" s="88"/>
      <c r="BF107" s="86"/>
      <c r="BG107" s="88"/>
      <c r="BH107" s="86"/>
      <c r="BI107" s="88"/>
      <c r="BJ107" s="86"/>
      <c r="BK107" s="88"/>
      <c r="BL107" s="86"/>
      <c r="BM107" s="88"/>
      <c r="BN107" s="86"/>
      <c r="BO107" s="88"/>
      <c r="BP107" s="86"/>
      <c r="BQ107" s="88"/>
      <c r="BR107" s="86"/>
      <c r="BS107" s="87"/>
    </row>
    <row r="108" ht="22.5" customHeight="1">
      <c r="A108" s="89" t="s">
        <v>319</v>
      </c>
      <c r="B108" s="105" t="s">
        <v>319</v>
      </c>
      <c r="C108" s="91">
        <v>1.0</v>
      </c>
      <c r="D108" s="92"/>
      <c r="E108" s="91"/>
      <c r="F108" s="92"/>
      <c r="G108" s="93"/>
      <c r="H108" s="92"/>
      <c r="I108" s="94"/>
      <c r="J108" s="95"/>
      <c r="K108" s="96"/>
      <c r="L108" s="95"/>
      <c r="M108" s="96"/>
      <c r="N108" s="95"/>
      <c r="O108" s="96"/>
      <c r="P108" s="95"/>
      <c r="Q108" s="96"/>
      <c r="R108" s="95"/>
      <c r="S108" s="96"/>
      <c r="T108" s="95"/>
      <c r="U108" s="96"/>
      <c r="V108" s="95"/>
      <c r="W108" s="96"/>
      <c r="X108" s="95"/>
      <c r="Y108" s="96"/>
      <c r="Z108" s="95"/>
      <c r="AA108" s="96"/>
      <c r="AB108" s="95"/>
      <c r="AC108" s="96"/>
      <c r="AD108" s="95"/>
      <c r="AE108" s="96"/>
      <c r="AF108" s="95"/>
      <c r="AG108" s="96"/>
      <c r="AH108" s="95"/>
      <c r="AI108" s="96"/>
      <c r="AJ108" s="95"/>
      <c r="AK108" s="96"/>
      <c r="AL108" s="95"/>
      <c r="AM108" s="96"/>
      <c r="AN108" s="95"/>
      <c r="AO108" s="96"/>
      <c r="AP108" s="95"/>
      <c r="AQ108" s="96"/>
      <c r="AR108" s="95" t="s">
        <v>137</v>
      </c>
      <c r="AS108" s="96">
        <v>10.0</v>
      </c>
      <c r="AT108" s="95"/>
      <c r="AU108" s="96"/>
      <c r="AV108" s="95"/>
      <c r="AW108" s="96"/>
      <c r="AX108" s="95"/>
      <c r="AY108" s="96"/>
      <c r="AZ108" s="95"/>
      <c r="BA108" s="96"/>
      <c r="BB108" s="95"/>
      <c r="BC108" s="96"/>
      <c r="BD108" s="95" t="s">
        <v>42</v>
      </c>
      <c r="BE108" s="96">
        <v>0.34</v>
      </c>
      <c r="BF108" s="95" t="s">
        <v>43</v>
      </c>
      <c r="BG108" s="96">
        <v>1.0</v>
      </c>
      <c r="BH108" s="95"/>
      <c r="BI108" s="96"/>
      <c r="BJ108" s="95"/>
      <c r="BK108" s="96"/>
      <c r="BL108" s="95"/>
      <c r="BM108" s="96"/>
      <c r="BN108" s="95" t="s">
        <v>47</v>
      </c>
      <c r="BO108" s="114">
        <v>1.0</v>
      </c>
      <c r="BP108" s="95"/>
      <c r="BQ108" s="96"/>
      <c r="BR108" s="95"/>
      <c r="BS108" s="94"/>
    </row>
    <row r="109" ht="22.5" customHeight="1">
      <c r="A109" s="89" t="s">
        <v>320</v>
      </c>
      <c r="B109" s="90" t="s">
        <v>123</v>
      </c>
      <c r="C109" s="91">
        <v>1.0</v>
      </c>
      <c r="D109" s="90" t="s">
        <v>74</v>
      </c>
      <c r="E109" s="91">
        <v>100.0</v>
      </c>
      <c r="F109" s="90" t="s">
        <v>14</v>
      </c>
      <c r="G109" s="106" t="s">
        <v>321</v>
      </c>
      <c r="H109" s="105" t="s">
        <v>15</v>
      </c>
      <c r="I109" s="102" t="s">
        <v>321</v>
      </c>
      <c r="J109" s="86" t="s">
        <v>19</v>
      </c>
      <c r="K109" s="88">
        <v>20.0</v>
      </c>
      <c r="L109" s="86" t="s">
        <v>20</v>
      </c>
      <c r="M109" s="88">
        <v>20.0</v>
      </c>
      <c r="N109" s="86"/>
      <c r="O109" s="88"/>
      <c r="P109" s="86" t="s">
        <v>22</v>
      </c>
      <c r="Q109" s="88">
        <v>10.0</v>
      </c>
      <c r="R109" s="86"/>
      <c r="S109" s="88"/>
      <c r="T109" s="86"/>
      <c r="U109" s="88"/>
      <c r="V109" s="86"/>
      <c r="W109" s="88"/>
      <c r="X109" s="86"/>
      <c r="Y109" s="88"/>
      <c r="Z109" s="86"/>
      <c r="AA109" s="88"/>
      <c r="AB109" s="86"/>
      <c r="AC109" s="88"/>
      <c r="AD109" s="86"/>
      <c r="AE109" s="88"/>
      <c r="AF109" s="86"/>
      <c r="AG109" s="88"/>
      <c r="AH109" s="86"/>
      <c r="AI109" s="88"/>
      <c r="AJ109" s="86"/>
      <c r="AK109" s="88"/>
      <c r="AL109" s="86"/>
      <c r="AM109" s="88"/>
      <c r="AN109" s="86"/>
      <c r="AO109" s="88"/>
      <c r="AP109" s="86"/>
      <c r="AQ109" s="88"/>
      <c r="AR109" s="86"/>
      <c r="AS109" s="88"/>
      <c r="AT109" s="86"/>
      <c r="AU109" s="88"/>
      <c r="AV109" s="86"/>
      <c r="AW109" s="88"/>
      <c r="AX109" s="86"/>
      <c r="AY109" s="88"/>
      <c r="AZ109" s="86"/>
      <c r="BA109" s="88"/>
      <c r="BB109" s="86"/>
      <c r="BC109" s="88"/>
      <c r="BD109" s="86"/>
      <c r="BE109" s="88"/>
      <c r="BF109" s="86"/>
      <c r="BG109" s="88"/>
      <c r="BH109" s="86"/>
      <c r="BI109" s="88"/>
      <c r="BJ109" s="86"/>
      <c r="BK109" s="88"/>
      <c r="BL109" s="86"/>
      <c r="BM109" s="88"/>
      <c r="BN109" s="95" t="s">
        <v>47</v>
      </c>
      <c r="BO109" s="114">
        <v>1.0</v>
      </c>
      <c r="BP109" s="86"/>
      <c r="BQ109" s="88"/>
      <c r="BR109" s="86"/>
      <c r="BS109" s="87"/>
    </row>
    <row r="110" ht="22.5" customHeight="1">
      <c r="A110" s="97" t="s">
        <v>322</v>
      </c>
      <c r="B110" s="98" t="s">
        <v>123</v>
      </c>
      <c r="C110" s="99">
        <v>1.0</v>
      </c>
      <c r="D110" s="98" t="s">
        <v>72</v>
      </c>
      <c r="E110" s="99">
        <v>100.0</v>
      </c>
      <c r="F110" s="98" t="s">
        <v>14</v>
      </c>
      <c r="G110" s="101" t="s">
        <v>321</v>
      </c>
      <c r="H110" s="100" t="s">
        <v>15</v>
      </c>
      <c r="I110" s="102" t="s">
        <v>321</v>
      </c>
      <c r="J110" s="86" t="s">
        <v>19</v>
      </c>
      <c r="K110" s="88">
        <v>20.0</v>
      </c>
      <c r="L110" s="86" t="s">
        <v>20</v>
      </c>
      <c r="M110" s="88">
        <v>20.0</v>
      </c>
      <c r="N110" s="86"/>
      <c r="O110" s="88"/>
      <c r="P110" s="86" t="s">
        <v>22</v>
      </c>
      <c r="Q110" s="88">
        <v>10.0</v>
      </c>
      <c r="R110" s="86"/>
      <c r="S110" s="88"/>
      <c r="T110" s="86"/>
      <c r="U110" s="88"/>
      <c r="V110" s="86"/>
      <c r="W110" s="88"/>
      <c r="X110" s="86"/>
      <c r="Y110" s="88"/>
      <c r="Z110" s="86"/>
      <c r="AA110" s="88"/>
      <c r="AB110" s="86"/>
      <c r="AC110" s="88"/>
      <c r="AD110" s="86"/>
      <c r="AE110" s="88"/>
      <c r="AF110" s="86" t="s">
        <v>30</v>
      </c>
      <c r="AG110" s="88">
        <v>20.0</v>
      </c>
      <c r="AH110" s="86"/>
      <c r="AI110" s="88"/>
      <c r="AJ110" s="86"/>
      <c r="AK110" s="88"/>
      <c r="AL110" s="86"/>
      <c r="AM110" s="88"/>
      <c r="AN110" s="86"/>
      <c r="AO110" s="88"/>
      <c r="AP110" s="86"/>
      <c r="AQ110" s="88"/>
      <c r="AR110" s="86"/>
      <c r="AS110" s="88"/>
      <c r="AT110" s="86"/>
      <c r="AU110" s="88"/>
      <c r="AV110" s="86"/>
      <c r="AW110" s="88"/>
      <c r="AX110" s="86"/>
      <c r="AY110" s="88"/>
      <c r="AZ110" s="86"/>
      <c r="BA110" s="88"/>
      <c r="BB110" s="86"/>
      <c r="BC110" s="88"/>
      <c r="BD110" s="86"/>
      <c r="BE110" s="88"/>
      <c r="BF110" s="86"/>
      <c r="BG110" s="88"/>
      <c r="BH110" s="86"/>
      <c r="BI110" s="88"/>
      <c r="BJ110" s="86"/>
      <c r="BK110" s="88"/>
      <c r="BL110" s="86"/>
      <c r="BM110" s="88"/>
      <c r="BN110" s="95" t="s">
        <v>47</v>
      </c>
      <c r="BO110" s="114">
        <v>1.0</v>
      </c>
      <c r="BP110" s="86"/>
      <c r="BQ110" s="88"/>
      <c r="BR110" s="86"/>
      <c r="BS110" s="87"/>
    </row>
    <row r="111" ht="22.5" customHeight="1">
      <c r="A111" s="97" t="s">
        <v>323</v>
      </c>
      <c r="B111" s="98" t="s">
        <v>123</v>
      </c>
      <c r="C111" s="99">
        <v>1.0</v>
      </c>
      <c r="D111" s="98" t="s">
        <v>72</v>
      </c>
      <c r="E111" s="99">
        <v>100.0</v>
      </c>
      <c r="F111" s="98" t="s">
        <v>14</v>
      </c>
      <c r="G111" s="101" t="s">
        <v>321</v>
      </c>
      <c r="H111" s="100" t="s">
        <v>15</v>
      </c>
      <c r="I111" s="102" t="s">
        <v>321</v>
      </c>
      <c r="J111" s="86" t="s">
        <v>19</v>
      </c>
      <c r="K111" s="88">
        <v>20.0</v>
      </c>
      <c r="L111" s="86" t="s">
        <v>20</v>
      </c>
      <c r="M111" s="88">
        <v>20.0</v>
      </c>
      <c r="N111" s="86"/>
      <c r="O111" s="88"/>
      <c r="P111" s="86" t="s">
        <v>22</v>
      </c>
      <c r="Q111" s="88">
        <v>10.0</v>
      </c>
      <c r="R111" s="86"/>
      <c r="S111" s="88"/>
      <c r="T111" s="86"/>
      <c r="U111" s="88"/>
      <c r="V111" s="86"/>
      <c r="W111" s="88"/>
      <c r="X111" s="86"/>
      <c r="Y111" s="88"/>
      <c r="Z111" s="86"/>
      <c r="AA111" s="88"/>
      <c r="AB111" s="86"/>
      <c r="AC111" s="88"/>
      <c r="AD111" s="86"/>
      <c r="AE111" s="88"/>
      <c r="AF111" s="86"/>
      <c r="AG111" s="88"/>
      <c r="AH111" s="86"/>
      <c r="AI111" s="88"/>
      <c r="AJ111" s="86"/>
      <c r="AK111" s="88"/>
      <c r="AL111" s="86"/>
      <c r="AM111" s="88"/>
      <c r="AN111" s="86"/>
      <c r="AO111" s="88"/>
      <c r="AP111" s="86"/>
      <c r="AQ111" s="88"/>
      <c r="AR111" s="86"/>
      <c r="AS111" s="88"/>
      <c r="AT111" s="86"/>
      <c r="AU111" s="88"/>
      <c r="AV111" s="86"/>
      <c r="AW111" s="88"/>
      <c r="AX111" s="86"/>
      <c r="AY111" s="88"/>
      <c r="AZ111" s="86"/>
      <c r="BA111" s="88"/>
      <c r="BB111" s="86"/>
      <c r="BC111" s="88"/>
      <c r="BD111" s="86"/>
      <c r="BE111" s="88"/>
      <c r="BF111" s="86"/>
      <c r="BG111" s="88"/>
      <c r="BH111" s="86"/>
      <c r="BI111" s="88"/>
      <c r="BJ111" s="86"/>
      <c r="BK111" s="88"/>
      <c r="BL111" s="86"/>
      <c r="BM111" s="88"/>
      <c r="BN111" s="95" t="s">
        <v>47</v>
      </c>
      <c r="BO111" s="114">
        <v>1.0</v>
      </c>
      <c r="BP111" s="86"/>
      <c r="BQ111" s="88"/>
      <c r="BR111" s="86"/>
      <c r="BS111" s="87"/>
    </row>
    <row r="112" ht="22.5" customHeight="1">
      <c r="A112" s="89" t="s">
        <v>324</v>
      </c>
      <c r="B112" s="90" t="s">
        <v>123</v>
      </c>
      <c r="C112" s="93">
        <v>1.0</v>
      </c>
      <c r="D112" s="90" t="s">
        <v>72</v>
      </c>
      <c r="E112" s="93">
        <v>100.0</v>
      </c>
      <c r="F112" s="105" t="s">
        <v>14</v>
      </c>
      <c r="G112" s="106" t="s">
        <v>321</v>
      </c>
      <c r="H112" s="90" t="s">
        <v>15</v>
      </c>
      <c r="I112" s="102" t="s">
        <v>321</v>
      </c>
      <c r="J112" s="86" t="s">
        <v>19</v>
      </c>
      <c r="K112" s="88">
        <v>20.0</v>
      </c>
      <c r="L112" s="86" t="s">
        <v>20</v>
      </c>
      <c r="M112" s="88">
        <v>20.0</v>
      </c>
      <c r="N112" s="86" t="s">
        <v>21</v>
      </c>
      <c r="O112" s="88">
        <v>20.0</v>
      </c>
      <c r="P112" s="86" t="s">
        <v>22</v>
      </c>
      <c r="Q112" s="88">
        <v>10.0</v>
      </c>
      <c r="R112" s="86"/>
      <c r="S112" s="88"/>
      <c r="T112" s="86"/>
      <c r="U112" s="88"/>
      <c r="V112" s="86"/>
      <c r="W112" s="88"/>
      <c r="X112" s="86"/>
      <c r="Y112" s="88"/>
      <c r="Z112" s="86"/>
      <c r="AA112" s="88"/>
      <c r="AB112" s="86"/>
      <c r="AC112" s="88"/>
      <c r="AD112" s="86"/>
      <c r="AE112" s="88"/>
      <c r="AF112" s="86" t="s">
        <v>30</v>
      </c>
      <c r="AG112" s="88">
        <v>20.0</v>
      </c>
      <c r="AH112" s="86"/>
      <c r="AI112" s="88"/>
      <c r="AJ112" s="86"/>
      <c r="AK112" s="88"/>
      <c r="AL112" s="86"/>
      <c r="AM112" s="88"/>
      <c r="AN112" s="86"/>
      <c r="AO112" s="88"/>
      <c r="AP112" s="86"/>
      <c r="AQ112" s="88"/>
      <c r="AR112" s="86"/>
      <c r="AS112" s="88"/>
      <c r="AT112" s="86"/>
      <c r="AU112" s="88"/>
      <c r="AV112" s="86"/>
      <c r="AW112" s="88"/>
      <c r="AX112" s="86"/>
      <c r="AY112" s="88"/>
      <c r="AZ112" s="86"/>
      <c r="BA112" s="88"/>
      <c r="BB112" s="86"/>
      <c r="BC112" s="88"/>
      <c r="BD112" s="86"/>
      <c r="BE112" s="88"/>
      <c r="BF112" s="86"/>
      <c r="BG112" s="88"/>
      <c r="BH112" s="86"/>
      <c r="BI112" s="88"/>
      <c r="BJ112" s="86"/>
      <c r="BK112" s="88"/>
      <c r="BL112" s="86"/>
      <c r="BM112" s="88"/>
      <c r="BN112" s="95" t="s">
        <v>47</v>
      </c>
      <c r="BO112" s="114">
        <v>1.0</v>
      </c>
      <c r="BP112" s="86"/>
      <c r="BQ112" s="88"/>
      <c r="BR112" s="86"/>
      <c r="BS112" s="87"/>
    </row>
    <row r="113" ht="22.5" customHeight="1">
      <c r="A113" s="97" t="s">
        <v>325</v>
      </c>
      <c r="B113" s="98" t="s">
        <v>123</v>
      </c>
      <c r="C113" s="113">
        <v>1.0</v>
      </c>
      <c r="D113" s="98" t="s">
        <v>72</v>
      </c>
      <c r="E113" s="113">
        <v>100.0</v>
      </c>
      <c r="F113" s="100" t="s">
        <v>14</v>
      </c>
      <c r="G113" s="101" t="s">
        <v>321</v>
      </c>
      <c r="H113" s="100" t="s">
        <v>15</v>
      </c>
      <c r="I113" s="102" t="s">
        <v>321</v>
      </c>
      <c r="J113" s="86" t="s">
        <v>19</v>
      </c>
      <c r="K113" s="88">
        <v>20.0</v>
      </c>
      <c r="L113" s="86" t="s">
        <v>20</v>
      </c>
      <c r="M113" s="88">
        <v>20.0</v>
      </c>
      <c r="N113" s="86"/>
      <c r="O113" s="88"/>
      <c r="P113" s="86" t="s">
        <v>22</v>
      </c>
      <c r="Q113" s="88">
        <v>10.0</v>
      </c>
      <c r="R113" s="86"/>
      <c r="S113" s="88"/>
      <c r="T113" s="86"/>
      <c r="U113" s="88"/>
      <c r="V113" s="86"/>
      <c r="W113" s="88"/>
      <c r="X113" s="86"/>
      <c r="Y113" s="88"/>
      <c r="Z113" s="86"/>
      <c r="AA113" s="88"/>
      <c r="AB113" s="86"/>
      <c r="AC113" s="88"/>
      <c r="AD113" s="86"/>
      <c r="AE113" s="88"/>
      <c r="AF113" s="86"/>
      <c r="AG113" s="88"/>
      <c r="AH113" s="86"/>
      <c r="AI113" s="88"/>
      <c r="AJ113" s="86"/>
      <c r="AK113" s="88"/>
      <c r="AL113" s="86"/>
      <c r="AM113" s="88"/>
      <c r="AN113" s="86"/>
      <c r="AO113" s="88"/>
      <c r="AP113" s="86"/>
      <c r="AQ113" s="88"/>
      <c r="AR113" s="86"/>
      <c r="AS113" s="88"/>
      <c r="AT113" s="86"/>
      <c r="AU113" s="88"/>
      <c r="AV113" s="86"/>
      <c r="AW113" s="88"/>
      <c r="AX113" s="86"/>
      <c r="AY113" s="88"/>
      <c r="AZ113" s="86"/>
      <c r="BA113" s="88"/>
      <c r="BB113" s="86"/>
      <c r="BC113" s="88"/>
      <c r="BD113" s="86"/>
      <c r="BE113" s="88"/>
      <c r="BF113" s="86"/>
      <c r="BG113" s="88"/>
      <c r="BH113" s="86"/>
      <c r="BI113" s="88"/>
      <c r="BJ113" s="86"/>
      <c r="BK113" s="88"/>
      <c r="BL113" s="86"/>
      <c r="BM113" s="88"/>
      <c r="BN113" s="95" t="s">
        <v>47</v>
      </c>
      <c r="BO113" s="114">
        <v>1.0</v>
      </c>
      <c r="BP113" s="86"/>
      <c r="BQ113" s="88"/>
      <c r="BR113" s="86"/>
      <c r="BS113" s="87"/>
    </row>
    <row r="114" ht="22.5" customHeight="1">
      <c r="A114" s="89" t="s">
        <v>326</v>
      </c>
      <c r="B114" s="90" t="s">
        <v>123</v>
      </c>
      <c r="C114" s="93">
        <v>1.0</v>
      </c>
      <c r="D114" s="90" t="s">
        <v>327</v>
      </c>
      <c r="E114" s="93">
        <v>100.0</v>
      </c>
      <c r="F114" s="105" t="s">
        <v>14</v>
      </c>
      <c r="G114" s="106" t="s">
        <v>321</v>
      </c>
      <c r="H114" s="90" t="s">
        <v>15</v>
      </c>
      <c r="I114" s="102" t="s">
        <v>321</v>
      </c>
      <c r="J114" s="86"/>
      <c r="K114" s="88"/>
      <c r="L114" s="86" t="s">
        <v>20</v>
      </c>
      <c r="M114" s="88">
        <v>20.0</v>
      </c>
      <c r="N114" s="86" t="s">
        <v>21</v>
      </c>
      <c r="O114" s="88">
        <v>20.0</v>
      </c>
      <c r="P114" s="86" t="s">
        <v>22</v>
      </c>
      <c r="Q114" s="88">
        <v>10.0</v>
      </c>
      <c r="R114" s="86"/>
      <c r="S114" s="88"/>
      <c r="T114" s="86"/>
      <c r="U114" s="88"/>
      <c r="V114" s="86"/>
      <c r="W114" s="88"/>
      <c r="X114" s="86"/>
      <c r="Y114" s="88"/>
      <c r="Z114" s="86"/>
      <c r="AA114" s="88"/>
      <c r="AB114" s="86"/>
      <c r="AC114" s="88"/>
      <c r="AD114" s="86"/>
      <c r="AE114" s="88"/>
      <c r="AF114" s="86" t="s">
        <v>30</v>
      </c>
      <c r="AG114" s="88">
        <v>20.0</v>
      </c>
      <c r="AH114" s="86"/>
      <c r="AI114" s="88"/>
      <c r="AJ114" s="86"/>
      <c r="AK114" s="88"/>
      <c r="AL114" s="86"/>
      <c r="AM114" s="88"/>
      <c r="AN114" s="86"/>
      <c r="AO114" s="88"/>
      <c r="AP114" s="86"/>
      <c r="AQ114" s="88"/>
      <c r="AR114" s="86"/>
      <c r="AS114" s="88"/>
      <c r="AT114" s="86"/>
      <c r="AU114" s="88"/>
      <c r="AV114" s="86"/>
      <c r="AW114" s="88"/>
      <c r="AX114" s="86"/>
      <c r="AY114" s="88"/>
      <c r="AZ114" s="86"/>
      <c r="BA114" s="88"/>
      <c r="BB114" s="86"/>
      <c r="BC114" s="88"/>
      <c r="BD114" s="86"/>
      <c r="BE114" s="88"/>
      <c r="BF114" s="86"/>
      <c r="BG114" s="88"/>
      <c r="BH114" s="86"/>
      <c r="BI114" s="88"/>
      <c r="BJ114" s="86"/>
      <c r="BK114" s="88"/>
      <c r="BL114" s="86"/>
      <c r="BM114" s="88"/>
      <c r="BN114" s="95" t="s">
        <v>47</v>
      </c>
      <c r="BO114" s="114">
        <v>1.0</v>
      </c>
      <c r="BP114" s="86"/>
      <c r="BQ114" s="88"/>
      <c r="BR114" s="86"/>
      <c r="BS114" s="87"/>
    </row>
    <row r="115" ht="22.5" customHeight="1">
      <c r="A115" s="89" t="s">
        <v>328</v>
      </c>
      <c r="B115" s="90" t="s">
        <v>123</v>
      </c>
      <c r="C115" s="93">
        <v>1.0</v>
      </c>
      <c r="D115" s="90" t="s">
        <v>327</v>
      </c>
      <c r="E115" s="93">
        <v>100.0</v>
      </c>
      <c r="F115" s="90" t="s">
        <v>14</v>
      </c>
      <c r="G115" s="106" t="s">
        <v>321</v>
      </c>
      <c r="H115" s="90" t="s">
        <v>15</v>
      </c>
      <c r="I115" s="102" t="s">
        <v>321</v>
      </c>
      <c r="J115" s="86" t="s">
        <v>19</v>
      </c>
      <c r="K115" s="88">
        <v>20.0</v>
      </c>
      <c r="L115" s="86" t="s">
        <v>20</v>
      </c>
      <c r="M115" s="88">
        <v>20.0</v>
      </c>
      <c r="N115" s="86" t="s">
        <v>21</v>
      </c>
      <c r="O115" s="88">
        <v>20.0</v>
      </c>
      <c r="P115" s="86" t="s">
        <v>22</v>
      </c>
      <c r="Q115" s="88">
        <v>10.0</v>
      </c>
      <c r="R115" s="86"/>
      <c r="S115" s="88"/>
      <c r="T115" s="86"/>
      <c r="U115" s="88"/>
      <c r="V115" s="86"/>
      <c r="W115" s="88"/>
      <c r="X115" s="86"/>
      <c r="Y115" s="88"/>
      <c r="Z115" s="86"/>
      <c r="AA115" s="88"/>
      <c r="AB115" s="86"/>
      <c r="AC115" s="88"/>
      <c r="AD115" s="86"/>
      <c r="AE115" s="88"/>
      <c r="AF115" s="86" t="s">
        <v>30</v>
      </c>
      <c r="AG115" s="88">
        <v>20.0</v>
      </c>
      <c r="AH115" s="86"/>
      <c r="AI115" s="88"/>
      <c r="AJ115" s="86"/>
      <c r="AK115" s="88"/>
      <c r="AL115" s="86"/>
      <c r="AM115" s="88"/>
      <c r="AN115" s="86"/>
      <c r="AO115" s="88"/>
      <c r="AP115" s="86"/>
      <c r="AQ115" s="88"/>
      <c r="AR115" s="86"/>
      <c r="AS115" s="88"/>
      <c r="AT115" s="86"/>
      <c r="AU115" s="88"/>
      <c r="AV115" s="86"/>
      <c r="AW115" s="88"/>
      <c r="AX115" s="86"/>
      <c r="AY115" s="88"/>
      <c r="AZ115" s="86"/>
      <c r="BA115" s="88"/>
      <c r="BB115" s="86"/>
      <c r="BC115" s="88"/>
      <c r="BD115" s="86"/>
      <c r="BE115" s="88"/>
      <c r="BF115" s="86"/>
      <c r="BG115" s="88"/>
      <c r="BH115" s="86"/>
      <c r="BI115" s="88"/>
      <c r="BJ115" s="86"/>
      <c r="BK115" s="88"/>
      <c r="BL115" s="86"/>
      <c r="BM115" s="88"/>
      <c r="BN115" s="95" t="s">
        <v>47</v>
      </c>
      <c r="BO115" s="114">
        <v>1.0</v>
      </c>
      <c r="BP115" s="86"/>
      <c r="BQ115" s="88"/>
      <c r="BR115" s="86"/>
      <c r="BS115" s="87"/>
    </row>
    <row r="116" ht="22.5" customHeight="1">
      <c r="A116" s="97" t="s">
        <v>122</v>
      </c>
      <c r="B116" s="98" t="s">
        <v>123</v>
      </c>
      <c r="C116" s="113">
        <v>1.0</v>
      </c>
      <c r="D116" s="98" t="s">
        <v>74</v>
      </c>
      <c r="E116" s="113">
        <v>100.0</v>
      </c>
      <c r="F116" s="98" t="s">
        <v>14</v>
      </c>
      <c r="G116" s="101" t="s">
        <v>321</v>
      </c>
      <c r="H116" s="100" t="s">
        <v>15</v>
      </c>
      <c r="I116" s="102" t="s">
        <v>321</v>
      </c>
      <c r="J116" s="86" t="s">
        <v>19</v>
      </c>
      <c r="K116" s="88">
        <v>20.0</v>
      </c>
      <c r="L116" s="86" t="s">
        <v>20</v>
      </c>
      <c r="M116" s="88">
        <v>20.0</v>
      </c>
      <c r="N116" s="86"/>
      <c r="O116" s="88"/>
      <c r="P116" s="86" t="s">
        <v>22</v>
      </c>
      <c r="Q116" s="88">
        <v>10.0</v>
      </c>
      <c r="R116" s="86"/>
      <c r="S116" s="88"/>
      <c r="T116" s="86"/>
      <c r="U116" s="88"/>
      <c r="V116" s="86"/>
      <c r="W116" s="88"/>
      <c r="X116" s="86"/>
      <c r="Y116" s="88"/>
      <c r="Z116" s="86"/>
      <c r="AA116" s="88"/>
      <c r="AB116" s="86"/>
      <c r="AC116" s="88"/>
      <c r="AD116" s="86"/>
      <c r="AE116" s="88"/>
      <c r="AF116" s="86"/>
      <c r="AG116" s="88"/>
      <c r="AH116" s="86"/>
      <c r="AI116" s="88"/>
      <c r="AJ116" s="86"/>
      <c r="AK116" s="88"/>
      <c r="AL116" s="86"/>
      <c r="AM116" s="88"/>
      <c r="AN116" s="86"/>
      <c r="AO116" s="88"/>
      <c r="AP116" s="86"/>
      <c r="AQ116" s="88"/>
      <c r="AR116" s="86"/>
      <c r="AS116" s="88"/>
      <c r="AT116" s="86"/>
      <c r="AU116" s="88"/>
      <c r="AV116" s="86"/>
      <c r="AW116" s="88"/>
      <c r="AX116" s="86"/>
      <c r="AY116" s="88"/>
      <c r="AZ116" s="86"/>
      <c r="BA116" s="88"/>
      <c r="BB116" s="86"/>
      <c r="BC116" s="88"/>
      <c r="BD116" s="86"/>
      <c r="BE116" s="88"/>
      <c r="BF116" s="86"/>
      <c r="BG116" s="88"/>
      <c r="BH116" s="86"/>
      <c r="BI116" s="88"/>
      <c r="BJ116" s="86"/>
      <c r="BK116" s="88"/>
      <c r="BL116" s="86"/>
      <c r="BM116" s="88"/>
      <c r="BN116" s="95" t="s">
        <v>47</v>
      </c>
      <c r="BO116" s="114">
        <v>1.0</v>
      </c>
      <c r="BP116" s="86"/>
      <c r="BQ116" s="88"/>
      <c r="BR116" s="86"/>
      <c r="BS116" s="87"/>
    </row>
    <row r="117" ht="22.5" customHeight="1">
      <c r="A117" s="89" t="s">
        <v>144</v>
      </c>
      <c r="B117" s="90" t="s">
        <v>123</v>
      </c>
      <c r="C117" s="93">
        <v>1.0</v>
      </c>
      <c r="D117" s="90" t="s">
        <v>145</v>
      </c>
      <c r="E117" s="93">
        <v>100.0</v>
      </c>
      <c r="F117" s="90" t="s">
        <v>14</v>
      </c>
      <c r="G117" s="106" t="s">
        <v>321</v>
      </c>
      <c r="H117" s="105" t="s">
        <v>15</v>
      </c>
      <c r="I117" s="102" t="s">
        <v>321</v>
      </c>
      <c r="J117" s="86" t="s">
        <v>19</v>
      </c>
      <c r="K117" s="88">
        <v>20.0</v>
      </c>
      <c r="L117" s="86" t="s">
        <v>20</v>
      </c>
      <c r="M117" s="88">
        <v>20.0</v>
      </c>
      <c r="N117" s="86"/>
      <c r="O117" s="88"/>
      <c r="P117" s="86" t="s">
        <v>22</v>
      </c>
      <c r="Q117" s="88">
        <v>10.0</v>
      </c>
      <c r="R117" s="86"/>
      <c r="S117" s="88"/>
      <c r="T117" s="86"/>
      <c r="U117" s="88"/>
      <c r="V117" s="86"/>
      <c r="W117" s="88"/>
      <c r="X117" s="86"/>
      <c r="Y117" s="88"/>
      <c r="Z117" s="86"/>
      <c r="AA117" s="88"/>
      <c r="AB117" s="86"/>
      <c r="AC117" s="88"/>
      <c r="AD117" s="86"/>
      <c r="AE117" s="88"/>
      <c r="AF117" s="86"/>
      <c r="AG117" s="88"/>
      <c r="AH117" s="86"/>
      <c r="AI117" s="88"/>
      <c r="AJ117" s="86"/>
      <c r="AK117" s="88"/>
      <c r="AL117" s="86"/>
      <c r="AM117" s="88"/>
      <c r="AN117" s="86"/>
      <c r="AO117" s="88"/>
      <c r="AP117" s="86"/>
      <c r="AQ117" s="88"/>
      <c r="AR117" s="86"/>
      <c r="AS117" s="88"/>
      <c r="AT117" s="86"/>
      <c r="AU117" s="88"/>
      <c r="AV117" s="86"/>
      <c r="AW117" s="88"/>
      <c r="AX117" s="86"/>
      <c r="AY117" s="88"/>
      <c r="AZ117" s="86"/>
      <c r="BA117" s="88"/>
      <c r="BB117" s="86"/>
      <c r="BC117" s="88"/>
      <c r="BD117" s="86"/>
      <c r="BE117" s="88"/>
      <c r="BF117" s="86"/>
      <c r="BG117" s="88"/>
      <c r="BH117" s="86"/>
      <c r="BI117" s="88"/>
      <c r="BJ117" s="86"/>
      <c r="BK117" s="88"/>
      <c r="BL117" s="86"/>
      <c r="BM117" s="88"/>
      <c r="BN117" s="95" t="s">
        <v>47</v>
      </c>
      <c r="BO117" s="114">
        <v>1.0</v>
      </c>
      <c r="BP117" s="86"/>
      <c r="BQ117" s="88"/>
      <c r="BR117" s="86"/>
      <c r="BS117" s="87"/>
    </row>
    <row r="118" ht="22.5" customHeight="1">
      <c r="A118" s="89" t="s">
        <v>329</v>
      </c>
      <c r="B118" s="90" t="s">
        <v>123</v>
      </c>
      <c r="C118" s="93">
        <v>1.0</v>
      </c>
      <c r="D118" s="90" t="s">
        <v>145</v>
      </c>
      <c r="E118" s="93">
        <v>100.0</v>
      </c>
      <c r="F118" s="105" t="s">
        <v>14</v>
      </c>
      <c r="G118" s="106" t="s">
        <v>321</v>
      </c>
      <c r="H118" s="90" t="s">
        <v>15</v>
      </c>
      <c r="I118" s="102" t="s">
        <v>321</v>
      </c>
      <c r="J118" s="86" t="s">
        <v>19</v>
      </c>
      <c r="K118" s="88">
        <v>20.0</v>
      </c>
      <c r="L118" s="86" t="s">
        <v>20</v>
      </c>
      <c r="M118" s="88">
        <v>20.0</v>
      </c>
      <c r="N118" s="86" t="s">
        <v>21</v>
      </c>
      <c r="O118" s="88">
        <v>20.0</v>
      </c>
      <c r="P118" s="86" t="s">
        <v>22</v>
      </c>
      <c r="Q118" s="88">
        <v>10.0</v>
      </c>
      <c r="R118" s="86"/>
      <c r="S118" s="88"/>
      <c r="T118" s="86"/>
      <c r="U118" s="88"/>
      <c r="V118" s="86"/>
      <c r="W118" s="88"/>
      <c r="X118" s="86"/>
      <c r="Y118" s="88"/>
      <c r="Z118" s="86"/>
      <c r="AA118" s="88"/>
      <c r="AB118" s="86"/>
      <c r="AC118" s="88"/>
      <c r="AD118" s="86"/>
      <c r="AE118" s="88"/>
      <c r="AF118" s="86" t="s">
        <v>30</v>
      </c>
      <c r="AG118" s="88">
        <v>20.0</v>
      </c>
      <c r="AH118" s="86"/>
      <c r="AI118" s="88"/>
      <c r="AJ118" s="86"/>
      <c r="AK118" s="88"/>
      <c r="AL118" s="86"/>
      <c r="AM118" s="88"/>
      <c r="AN118" s="86"/>
      <c r="AO118" s="88"/>
      <c r="AP118" s="86"/>
      <c r="AQ118" s="88"/>
      <c r="AR118" s="86"/>
      <c r="AS118" s="88"/>
      <c r="AT118" s="86"/>
      <c r="AU118" s="88"/>
      <c r="AV118" s="86"/>
      <c r="AW118" s="88"/>
      <c r="AX118" s="86"/>
      <c r="AY118" s="88"/>
      <c r="AZ118" s="86"/>
      <c r="BA118" s="88"/>
      <c r="BB118" s="86"/>
      <c r="BC118" s="88"/>
      <c r="BD118" s="86"/>
      <c r="BE118" s="88"/>
      <c r="BF118" s="86"/>
      <c r="BG118" s="88"/>
      <c r="BH118" s="86"/>
      <c r="BI118" s="88"/>
      <c r="BJ118" s="86"/>
      <c r="BK118" s="88"/>
      <c r="BL118" s="86"/>
      <c r="BM118" s="88"/>
      <c r="BN118" s="95" t="s">
        <v>47</v>
      </c>
      <c r="BO118" s="114">
        <v>1.0</v>
      </c>
      <c r="BP118" s="86"/>
      <c r="BQ118" s="88"/>
      <c r="BR118" s="86"/>
      <c r="BS118" s="87"/>
    </row>
    <row r="119" ht="22.5" customHeight="1">
      <c r="A119" s="97" t="s">
        <v>330</v>
      </c>
      <c r="B119" s="98" t="s">
        <v>123</v>
      </c>
      <c r="C119" s="113">
        <v>1.0</v>
      </c>
      <c r="D119" s="98" t="s">
        <v>145</v>
      </c>
      <c r="E119" s="113">
        <v>100.0</v>
      </c>
      <c r="F119" s="100" t="s">
        <v>14</v>
      </c>
      <c r="G119" s="101" t="s">
        <v>321</v>
      </c>
      <c r="H119" s="100" t="s">
        <v>15</v>
      </c>
      <c r="I119" s="102" t="s">
        <v>321</v>
      </c>
      <c r="J119" s="86" t="s">
        <v>19</v>
      </c>
      <c r="K119" s="88">
        <v>20.0</v>
      </c>
      <c r="L119" s="86" t="s">
        <v>20</v>
      </c>
      <c r="M119" s="88">
        <v>20.0</v>
      </c>
      <c r="N119" s="86"/>
      <c r="O119" s="88"/>
      <c r="P119" s="86" t="s">
        <v>22</v>
      </c>
      <c r="Q119" s="88">
        <v>10.0</v>
      </c>
      <c r="R119" s="86"/>
      <c r="S119" s="88"/>
      <c r="T119" s="86"/>
      <c r="U119" s="88"/>
      <c r="V119" s="86"/>
      <c r="W119" s="88"/>
      <c r="X119" s="86"/>
      <c r="Y119" s="88"/>
      <c r="Z119" s="86"/>
      <c r="AA119" s="88"/>
      <c r="AB119" s="86"/>
      <c r="AC119" s="88"/>
      <c r="AD119" s="86"/>
      <c r="AE119" s="88"/>
      <c r="AF119" s="86"/>
      <c r="AG119" s="88"/>
      <c r="AH119" s="86"/>
      <c r="AI119" s="88"/>
      <c r="AJ119" s="86"/>
      <c r="AK119" s="88"/>
      <c r="AL119" s="86"/>
      <c r="AM119" s="88"/>
      <c r="AN119" s="86"/>
      <c r="AO119" s="88"/>
      <c r="AP119" s="86"/>
      <c r="AQ119" s="88"/>
      <c r="AR119" s="86"/>
      <c r="AS119" s="88"/>
      <c r="AT119" s="86"/>
      <c r="AU119" s="88"/>
      <c r="AV119" s="86"/>
      <c r="AW119" s="88"/>
      <c r="AX119" s="86"/>
      <c r="AY119" s="88"/>
      <c r="AZ119" s="86"/>
      <c r="BA119" s="88"/>
      <c r="BB119" s="86"/>
      <c r="BC119" s="88"/>
      <c r="BD119" s="86"/>
      <c r="BE119" s="88"/>
      <c r="BF119" s="86"/>
      <c r="BG119" s="88"/>
      <c r="BH119" s="86"/>
      <c r="BI119" s="88"/>
      <c r="BJ119" s="86"/>
      <c r="BK119" s="88"/>
      <c r="BL119" s="86"/>
      <c r="BM119" s="88"/>
      <c r="BN119" s="95" t="s">
        <v>47</v>
      </c>
      <c r="BO119" s="114">
        <v>1.0</v>
      </c>
      <c r="BP119" s="86"/>
      <c r="BQ119" s="88"/>
      <c r="BR119" s="86"/>
      <c r="BS119" s="87"/>
    </row>
    <row r="120" ht="22.5" customHeight="1">
      <c r="A120" s="89" t="s">
        <v>146</v>
      </c>
      <c r="B120" s="90" t="s">
        <v>123</v>
      </c>
      <c r="C120" s="93">
        <v>1.0</v>
      </c>
      <c r="D120" s="90" t="s">
        <v>74</v>
      </c>
      <c r="E120" s="93">
        <v>100.0</v>
      </c>
      <c r="F120" s="90" t="s">
        <v>14</v>
      </c>
      <c r="G120" s="106" t="s">
        <v>321</v>
      </c>
      <c r="H120" s="105" t="s">
        <v>15</v>
      </c>
      <c r="I120" s="102" t="s">
        <v>321</v>
      </c>
      <c r="J120" s="86" t="s">
        <v>19</v>
      </c>
      <c r="K120" s="88">
        <v>20.0</v>
      </c>
      <c r="L120" s="86" t="s">
        <v>20</v>
      </c>
      <c r="M120" s="88">
        <v>20.0</v>
      </c>
      <c r="N120" s="86"/>
      <c r="O120" s="88"/>
      <c r="P120" s="86" t="s">
        <v>22</v>
      </c>
      <c r="Q120" s="88">
        <v>10.0</v>
      </c>
      <c r="R120" s="86"/>
      <c r="S120" s="88"/>
      <c r="T120" s="86"/>
      <c r="U120" s="88"/>
      <c r="V120" s="86"/>
      <c r="W120" s="88"/>
      <c r="X120" s="86"/>
      <c r="Y120" s="88"/>
      <c r="Z120" s="86"/>
      <c r="AA120" s="88"/>
      <c r="AB120" s="86"/>
      <c r="AC120" s="88"/>
      <c r="AD120" s="86"/>
      <c r="AE120" s="88"/>
      <c r="AF120" s="86"/>
      <c r="AG120" s="88"/>
      <c r="AH120" s="86"/>
      <c r="AI120" s="88"/>
      <c r="AJ120" s="86"/>
      <c r="AK120" s="88"/>
      <c r="AL120" s="86"/>
      <c r="AM120" s="88"/>
      <c r="AN120" s="86"/>
      <c r="AO120" s="88"/>
      <c r="AP120" s="86"/>
      <c r="AQ120" s="88"/>
      <c r="AR120" s="86"/>
      <c r="AS120" s="88"/>
      <c r="AT120" s="86"/>
      <c r="AU120" s="88"/>
      <c r="AV120" s="86"/>
      <c r="AW120" s="88"/>
      <c r="AX120" s="86"/>
      <c r="AY120" s="88"/>
      <c r="AZ120" s="86"/>
      <c r="BA120" s="88"/>
      <c r="BB120" s="86"/>
      <c r="BC120" s="88"/>
      <c r="BD120" s="86"/>
      <c r="BE120" s="88"/>
      <c r="BF120" s="86"/>
      <c r="BG120" s="88"/>
      <c r="BH120" s="86"/>
      <c r="BI120" s="88"/>
      <c r="BJ120" s="86"/>
      <c r="BK120" s="88"/>
      <c r="BL120" s="86"/>
      <c r="BM120" s="88"/>
      <c r="BN120" s="95" t="s">
        <v>47</v>
      </c>
      <c r="BO120" s="114">
        <v>1.0</v>
      </c>
      <c r="BP120" s="86"/>
      <c r="BQ120" s="88"/>
      <c r="BR120" s="86"/>
      <c r="BS120" s="87"/>
    </row>
    <row r="121" ht="22.5" customHeight="1">
      <c r="A121" s="89" t="s">
        <v>331</v>
      </c>
      <c r="B121" s="90" t="s">
        <v>123</v>
      </c>
      <c r="C121" s="93">
        <v>1.0</v>
      </c>
      <c r="D121" s="90" t="s">
        <v>74</v>
      </c>
      <c r="E121" s="93">
        <v>100.0</v>
      </c>
      <c r="F121" s="105" t="s">
        <v>14</v>
      </c>
      <c r="G121" s="106" t="s">
        <v>321</v>
      </c>
      <c r="H121" s="90" t="s">
        <v>15</v>
      </c>
      <c r="I121" s="102" t="s">
        <v>321</v>
      </c>
      <c r="J121" s="86" t="s">
        <v>19</v>
      </c>
      <c r="K121" s="88">
        <v>20.0</v>
      </c>
      <c r="L121" s="86" t="s">
        <v>20</v>
      </c>
      <c r="M121" s="88">
        <v>20.0</v>
      </c>
      <c r="N121" s="86" t="s">
        <v>21</v>
      </c>
      <c r="O121" s="88">
        <v>20.0</v>
      </c>
      <c r="P121" s="86" t="s">
        <v>22</v>
      </c>
      <c r="Q121" s="88">
        <v>10.0</v>
      </c>
      <c r="R121" s="86"/>
      <c r="S121" s="88"/>
      <c r="T121" s="86"/>
      <c r="U121" s="88"/>
      <c r="V121" s="86"/>
      <c r="W121" s="88"/>
      <c r="X121" s="86"/>
      <c r="Y121" s="88"/>
      <c r="Z121" s="86"/>
      <c r="AA121" s="88"/>
      <c r="AB121" s="86"/>
      <c r="AC121" s="88"/>
      <c r="AD121" s="86"/>
      <c r="AE121" s="88"/>
      <c r="AF121" s="86" t="s">
        <v>30</v>
      </c>
      <c r="AG121" s="88">
        <v>20.0</v>
      </c>
      <c r="AH121" s="86"/>
      <c r="AI121" s="88"/>
      <c r="AJ121" s="86"/>
      <c r="AK121" s="88"/>
      <c r="AL121" s="86"/>
      <c r="AM121" s="88"/>
      <c r="AN121" s="86"/>
      <c r="AO121" s="88"/>
      <c r="AP121" s="86"/>
      <c r="AQ121" s="88"/>
      <c r="AR121" s="86"/>
      <c r="AS121" s="88"/>
      <c r="AT121" s="86"/>
      <c r="AU121" s="88"/>
      <c r="AV121" s="86"/>
      <c r="AW121" s="88"/>
      <c r="AX121" s="86"/>
      <c r="AY121" s="88"/>
      <c r="AZ121" s="86"/>
      <c r="BA121" s="88"/>
      <c r="BB121" s="86"/>
      <c r="BC121" s="88"/>
      <c r="BD121" s="86"/>
      <c r="BE121" s="88"/>
      <c r="BF121" s="86"/>
      <c r="BG121" s="88"/>
      <c r="BH121" s="86"/>
      <c r="BI121" s="88"/>
      <c r="BJ121" s="86"/>
      <c r="BK121" s="88"/>
      <c r="BL121" s="86"/>
      <c r="BM121" s="88"/>
      <c r="BN121" s="95" t="s">
        <v>47</v>
      </c>
      <c r="BO121" s="114">
        <v>1.0</v>
      </c>
      <c r="BP121" s="86"/>
      <c r="BQ121" s="88"/>
      <c r="BR121" s="86"/>
      <c r="BS121" s="87"/>
    </row>
    <row r="122" ht="22.5" customHeight="1">
      <c r="A122" s="97" t="s">
        <v>332</v>
      </c>
      <c r="B122" s="98" t="s">
        <v>123</v>
      </c>
      <c r="C122" s="113">
        <v>1.0</v>
      </c>
      <c r="D122" s="98" t="s">
        <v>74</v>
      </c>
      <c r="E122" s="113">
        <v>100.0</v>
      </c>
      <c r="F122" s="100" t="s">
        <v>14</v>
      </c>
      <c r="G122" s="101" t="s">
        <v>321</v>
      </c>
      <c r="H122" s="100" t="s">
        <v>15</v>
      </c>
      <c r="I122" s="102" t="s">
        <v>321</v>
      </c>
      <c r="J122" s="86" t="s">
        <v>19</v>
      </c>
      <c r="K122" s="88">
        <v>20.0</v>
      </c>
      <c r="L122" s="86" t="s">
        <v>20</v>
      </c>
      <c r="M122" s="88">
        <v>20.0</v>
      </c>
      <c r="N122" s="86"/>
      <c r="O122" s="88"/>
      <c r="P122" s="86" t="s">
        <v>22</v>
      </c>
      <c r="Q122" s="88">
        <v>10.0</v>
      </c>
      <c r="R122" s="86"/>
      <c r="S122" s="88"/>
      <c r="T122" s="86"/>
      <c r="U122" s="88"/>
      <c r="V122" s="86"/>
      <c r="W122" s="88"/>
      <c r="X122" s="86"/>
      <c r="Y122" s="88"/>
      <c r="Z122" s="86"/>
      <c r="AA122" s="88"/>
      <c r="AB122" s="86"/>
      <c r="AC122" s="88"/>
      <c r="AD122" s="86"/>
      <c r="AE122" s="88"/>
      <c r="AF122" s="86"/>
      <c r="AG122" s="88"/>
      <c r="AH122" s="86"/>
      <c r="AI122" s="88"/>
      <c r="AJ122" s="86"/>
      <c r="AK122" s="88"/>
      <c r="AL122" s="86"/>
      <c r="AM122" s="88"/>
      <c r="AN122" s="86"/>
      <c r="AO122" s="88"/>
      <c r="AP122" s="86"/>
      <c r="AQ122" s="88"/>
      <c r="AR122" s="86"/>
      <c r="AS122" s="88"/>
      <c r="AT122" s="86"/>
      <c r="AU122" s="88"/>
      <c r="AV122" s="86"/>
      <c r="AW122" s="88"/>
      <c r="AX122" s="86"/>
      <c r="AY122" s="88"/>
      <c r="AZ122" s="86"/>
      <c r="BA122" s="88"/>
      <c r="BB122" s="86"/>
      <c r="BC122" s="88"/>
      <c r="BD122" s="86"/>
      <c r="BE122" s="88"/>
      <c r="BF122" s="86"/>
      <c r="BG122" s="88"/>
      <c r="BH122" s="86"/>
      <c r="BI122" s="88"/>
      <c r="BJ122" s="86"/>
      <c r="BK122" s="88"/>
      <c r="BL122" s="86"/>
      <c r="BM122" s="88"/>
      <c r="BN122" s="95" t="s">
        <v>47</v>
      </c>
      <c r="BO122" s="114">
        <v>1.0</v>
      </c>
      <c r="BP122" s="86"/>
      <c r="BQ122" s="88"/>
      <c r="BR122" s="86"/>
      <c r="BS122" s="87"/>
    </row>
    <row r="123" ht="22.5" customHeight="1">
      <c r="A123" s="80" t="s">
        <v>333</v>
      </c>
      <c r="B123" s="81" t="s">
        <v>278</v>
      </c>
      <c r="C123" s="152">
        <v>1.0</v>
      </c>
      <c r="D123" s="83"/>
      <c r="E123" s="151"/>
      <c r="F123" s="83"/>
      <c r="G123" s="85"/>
      <c r="H123" s="86"/>
      <c r="I123" s="87"/>
      <c r="J123" s="86"/>
      <c r="K123" s="88"/>
      <c r="L123" s="86"/>
      <c r="M123" s="88"/>
      <c r="N123" s="86"/>
      <c r="O123" s="88"/>
      <c r="P123" s="86"/>
      <c r="Q123" s="88"/>
      <c r="R123" s="86"/>
      <c r="S123" s="88"/>
      <c r="T123" s="86"/>
      <c r="U123" s="88"/>
      <c r="V123" s="86"/>
      <c r="W123" s="88"/>
      <c r="X123" s="86"/>
      <c r="Y123" s="88"/>
      <c r="Z123" s="86"/>
      <c r="AA123" s="88"/>
      <c r="AB123" s="86"/>
      <c r="AC123" s="88"/>
      <c r="AD123" s="86"/>
      <c r="AE123" s="88"/>
      <c r="AF123" s="86"/>
      <c r="AG123" s="88"/>
      <c r="AH123" s="86"/>
      <c r="AI123" s="88"/>
      <c r="AJ123" s="86"/>
      <c r="AK123" s="88"/>
      <c r="AL123" s="86"/>
      <c r="AM123" s="88"/>
      <c r="AN123" s="86"/>
      <c r="AO123" s="88"/>
      <c r="AP123" s="86"/>
      <c r="AQ123" s="88"/>
      <c r="AR123" s="86"/>
      <c r="AS123" s="88"/>
      <c r="AT123" s="86"/>
      <c r="AU123" s="88"/>
      <c r="AV123" s="86"/>
      <c r="AW123" s="88"/>
      <c r="AX123" s="86"/>
      <c r="AY123" s="88"/>
      <c r="AZ123" s="86"/>
      <c r="BA123" s="88"/>
      <c r="BB123" s="86"/>
      <c r="BC123" s="88"/>
      <c r="BD123" s="86"/>
      <c r="BE123" s="88"/>
      <c r="BF123" s="86"/>
      <c r="BG123" s="88"/>
      <c r="BH123" s="86"/>
      <c r="BI123" s="88"/>
      <c r="BJ123" s="86"/>
      <c r="BK123" s="88"/>
      <c r="BL123" s="86"/>
      <c r="BM123" s="88"/>
      <c r="BN123" s="86"/>
      <c r="BO123" s="88"/>
      <c r="BP123" s="86"/>
      <c r="BQ123" s="88"/>
      <c r="BR123" s="86"/>
      <c r="BS123" s="87"/>
    </row>
    <row r="124" ht="22.5" customHeight="1">
      <c r="A124" s="80" t="s">
        <v>99</v>
      </c>
      <c r="B124" s="81" t="s">
        <v>334</v>
      </c>
      <c r="C124" s="152">
        <v>1.0</v>
      </c>
      <c r="D124" s="83"/>
      <c r="E124" s="151"/>
      <c r="F124" s="83"/>
      <c r="G124" s="85"/>
      <c r="H124" s="86"/>
      <c r="I124" s="87"/>
      <c r="J124" s="86"/>
      <c r="K124" s="88"/>
      <c r="L124" s="86"/>
      <c r="M124" s="88"/>
      <c r="N124" s="86"/>
      <c r="O124" s="88"/>
      <c r="P124" s="86"/>
      <c r="Q124" s="88"/>
      <c r="R124" s="86"/>
      <c r="S124" s="88"/>
      <c r="T124" s="86"/>
      <c r="U124" s="88"/>
      <c r="V124" s="86"/>
      <c r="W124" s="88"/>
      <c r="X124" s="86"/>
      <c r="Y124" s="88"/>
      <c r="Z124" s="86"/>
      <c r="AA124" s="88"/>
      <c r="AB124" s="86"/>
      <c r="AC124" s="88"/>
      <c r="AD124" s="86"/>
      <c r="AE124" s="88"/>
      <c r="AF124" s="86"/>
      <c r="AG124" s="88"/>
      <c r="AH124" s="86"/>
      <c r="AI124" s="88"/>
      <c r="AJ124" s="86"/>
      <c r="AK124" s="88"/>
      <c r="AL124" s="86"/>
      <c r="AM124" s="88"/>
      <c r="AN124" s="86"/>
      <c r="AO124" s="88"/>
      <c r="AP124" s="86"/>
      <c r="AQ124" s="88"/>
      <c r="AR124" s="86"/>
      <c r="AS124" s="88"/>
      <c r="AT124" s="86"/>
      <c r="AU124" s="88"/>
      <c r="AV124" s="86"/>
      <c r="AW124" s="88"/>
      <c r="AX124" s="86"/>
      <c r="AY124" s="88"/>
      <c r="AZ124" s="86"/>
      <c r="BA124" s="88"/>
      <c r="BB124" s="86"/>
      <c r="BC124" s="88"/>
      <c r="BD124" s="86"/>
      <c r="BE124" s="88"/>
      <c r="BF124" s="86"/>
      <c r="BG124" s="88"/>
      <c r="BH124" s="86"/>
      <c r="BI124" s="88"/>
      <c r="BJ124" s="86"/>
      <c r="BK124" s="88"/>
      <c r="BL124" s="86"/>
      <c r="BM124" s="88"/>
      <c r="BN124" s="86"/>
      <c r="BO124" s="88"/>
      <c r="BP124" s="86"/>
      <c r="BQ124" s="88"/>
      <c r="BR124" s="86"/>
      <c r="BS124" s="87"/>
    </row>
    <row r="125" ht="22.5" customHeight="1">
      <c r="A125" s="80" t="s">
        <v>335</v>
      </c>
      <c r="B125" s="81" t="s">
        <v>336</v>
      </c>
      <c r="C125" s="152">
        <v>1.0</v>
      </c>
      <c r="D125" s="83"/>
      <c r="E125" s="151"/>
      <c r="F125" s="83"/>
      <c r="G125" s="85"/>
      <c r="H125" s="86"/>
      <c r="I125" s="87"/>
      <c r="J125" s="86"/>
      <c r="K125" s="88"/>
      <c r="L125" s="86"/>
      <c r="M125" s="88"/>
      <c r="N125" s="86"/>
      <c r="O125" s="88"/>
      <c r="P125" s="86"/>
      <c r="Q125" s="88"/>
      <c r="R125" s="86"/>
      <c r="S125" s="88"/>
      <c r="T125" s="86"/>
      <c r="U125" s="88"/>
      <c r="V125" s="86"/>
      <c r="W125" s="88"/>
      <c r="X125" s="86"/>
      <c r="Y125" s="88"/>
      <c r="Z125" s="86"/>
      <c r="AA125" s="88"/>
      <c r="AB125" s="86"/>
      <c r="AC125" s="88"/>
      <c r="AD125" s="86"/>
      <c r="AE125" s="88"/>
      <c r="AF125" s="86"/>
      <c r="AG125" s="88"/>
      <c r="AH125" s="86"/>
      <c r="AI125" s="88"/>
      <c r="AJ125" s="86"/>
      <c r="AK125" s="88"/>
      <c r="AL125" s="86"/>
      <c r="AM125" s="88"/>
      <c r="AN125" s="86"/>
      <c r="AO125" s="88"/>
      <c r="AP125" s="86"/>
      <c r="AQ125" s="88"/>
      <c r="AR125" s="86"/>
      <c r="AS125" s="88"/>
      <c r="AT125" s="86"/>
      <c r="AU125" s="88"/>
      <c r="AV125" s="86"/>
      <c r="AW125" s="88"/>
      <c r="AX125" s="86"/>
      <c r="AY125" s="88"/>
      <c r="AZ125" s="86"/>
      <c r="BA125" s="88"/>
      <c r="BB125" s="86"/>
      <c r="BC125" s="88"/>
      <c r="BD125" s="86"/>
      <c r="BE125" s="88"/>
      <c r="BF125" s="86"/>
      <c r="BG125" s="88"/>
      <c r="BH125" s="86"/>
      <c r="BI125" s="88"/>
      <c r="BJ125" s="86"/>
      <c r="BK125" s="88"/>
      <c r="BL125" s="86"/>
      <c r="BM125" s="88"/>
      <c r="BN125" s="86"/>
      <c r="BO125" s="88"/>
      <c r="BP125" s="86"/>
      <c r="BQ125" s="88"/>
      <c r="BR125" s="86"/>
      <c r="BS125" s="87"/>
    </row>
    <row r="126" ht="22.5" customHeight="1">
      <c r="A126" s="80" t="s">
        <v>337</v>
      </c>
      <c r="B126" s="81" t="s">
        <v>337</v>
      </c>
      <c r="C126" s="152">
        <v>1.0</v>
      </c>
      <c r="D126" s="83"/>
      <c r="E126" s="151"/>
      <c r="F126" s="83"/>
      <c r="G126" s="85"/>
      <c r="H126" s="86"/>
      <c r="I126" s="87"/>
      <c r="J126" s="86"/>
      <c r="K126" s="88"/>
      <c r="L126" s="86"/>
      <c r="M126" s="88"/>
      <c r="N126" s="86"/>
      <c r="O126" s="88"/>
      <c r="P126" s="86"/>
      <c r="Q126" s="88"/>
      <c r="R126" s="86"/>
      <c r="S126" s="88"/>
      <c r="T126" s="86"/>
      <c r="U126" s="88"/>
      <c r="V126" s="86"/>
      <c r="W126" s="88"/>
      <c r="X126" s="86"/>
      <c r="Y126" s="88"/>
      <c r="Z126" s="86"/>
      <c r="AA126" s="88"/>
      <c r="AB126" s="86"/>
      <c r="AC126" s="88"/>
      <c r="AD126" s="86"/>
      <c r="AE126" s="88"/>
      <c r="AF126" s="86"/>
      <c r="AG126" s="88"/>
      <c r="AH126" s="86"/>
      <c r="AI126" s="88"/>
      <c r="AJ126" s="86"/>
      <c r="AK126" s="88"/>
      <c r="AL126" s="86"/>
      <c r="AM126" s="88"/>
      <c r="AN126" s="86"/>
      <c r="AO126" s="88"/>
      <c r="AP126" s="86"/>
      <c r="AQ126" s="88"/>
      <c r="AR126" s="86"/>
      <c r="AS126" s="88"/>
      <c r="AT126" s="86"/>
      <c r="AU126" s="88"/>
      <c r="AV126" s="86"/>
      <c r="AW126" s="88"/>
      <c r="AX126" s="86"/>
      <c r="AY126" s="88"/>
      <c r="AZ126" s="86"/>
      <c r="BA126" s="88"/>
      <c r="BB126" s="86"/>
      <c r="BC126" s="88"/>
      <c r="BD126" s="86"/>
      <c r="BE126" s="88"/>
      <c r="BF126" s="86"/>
      <c r="BG126" s="88"/>
      <c r="BH126" s="86"/>
      <c r="BI126" s="88"/>
      <c r="BJ126" s="86"/>
      <c r="BK126" s="88"/>
      <c r="BL126" s="86"/>
      <c r="BM126" s="88"/>
      <c r="BN126" s="86"/>
      <c r="BO126" s="88"/>
      <c r="BP126" s="86"/>
      <c r="BQ126" s="88"/>
      <c r="BR126" s="86"/>
      <c r="BS126" s="87"/>
    </row>
    <row r="127" ht="22.5" customHeight="1">
      <c r="A127" s="80" t="s">
        <v>338</v>
      </c>
      <c r="B127" s="81" t="s">
        <v>338</v>
      </c>
      <c r="C127" s="152">
        <v>1.0</v>
      </c>
      <c r="D127" s="83"/>
      <c r="E127" s="151"/>
      <c r="F127" s="83"/>
      <c r="G127" s="85"/>
      <c r="H127" s="86"/>
      <c r="I127" s="87"/>
      <c r="J127" s="86"/>
      <c r="K127" s="88"/>
      <c r="L127" s="86"/>
      <c r="M127" s="88"/>
      <c r="N127" s="86"/>
      <c r="O127" s="88"/>
      <c r="P127" s="86"/>
      <c r="Q127" s="88"/>
      <c r="R127" s="86"/>
      <c r="S127" s="88"/>
      <c r="T127" s="86"/>
      <c r="U127" s="88"/>
      <c r="V127" s="86"/>
      <c r="W127" s="88"/>
      <c r="X127" s="86"/>
      <c r="Y127" s="88"/>
      <c r="Z127" s="86"/>
      <c r="AA127" s="88"/>
      <c r="AB127" s="86"/>
      <c r="AC127" s="88"/>
      <c r="AD127" s="86"/>
      <c r="AE127" s="88"/>
      <c r="AF127" s="86"/>
      <c r="AG127" s="88"/>
      <c r="AH127" s="86"/>
      <c r="AI127" s="88"/>
      <c r="AJ127" s="86"/>
      <c r="AK127" s="88"/>
      <c r="AL127" s="86"/>
      <c r="AM127" s="88"/>
      <c r="AN127" s="86"/>
      <c r="AO127" s="88"/>
      <c r="AP127" s="86"/>
      <c r="AQ127" s="88"/>
      <c r="AR127" s="86"/>
      <c r="AS127" s="88"/>
      <c r="AT127" s="86"/>
      <c r="AU127" s="88"/>
      <c r="AV127" s="86"/>
      <c r="AW127" s="88"/>
      <c r="AX127" s="86"/>
      <c r="AY127" s="88"/>
      <c r="AZ127" s="86"/>
      <c r="BA127" s="88"/>
      <c r="BB127" s="86"/>
      <c r="BC127" s="88"/>
      <c r="BD127" s="86"/>
      <c r="BE127" s="88"/>
      <c r="BF127" s="86"/>
      <c r="BG127" s="88"/>
      <c r="BH127" s="86"/>
      <c r="BI127" s="88"/>
      <c r="BJ127" s="86"/>
      <c r="BK127" s="88"/>
      <c r="BL127" s="86"/>
      <c r="BM127" s="88"/>
      <c r="BN127" s="86"/>
      <c r="BO127" s="88"/>
      <c r="BP127" s="86"/>
      <c r="BQ127" s="88"/>
      <c r="BR127" s="86"/>
      <c r="BS127" s="87"/>
    </row>
    <row r="128" ht="22.5" customHeight="1">
      <c r="A128" s="80" t="s">
        <v>339</v>
      </c>
      <c r="B128" s="81" t="s">
        <v>339</v>
      </c>
      <c r="C128" s="152">
        <v>1.0</v>
      </c>
      <c r="D128" s="83"/>
      <c r="E128" s="151"/>
      <c r="F128" s="83"/>
      <c r="G128" s="85"/>
      <c r="H128" s="86"/>
      <c r="I128" s="87"/>
      <c r="J128" s="86"/>
      <c r="K128" s="88"/>
      <c r="L128" s="86"/>
      <c r="M128" s="88"/>
      <c r="N128" s="86"/>
      <c r="O128" s="88"/>
      <c r="P128" s="86"/>
      <c r="Q128" s="88"/>
      <c r="R128" s="86"/>
      <c r="S128" s="88"/>
      <c r="T128" s="86"/>
      <c r="U128" s="88"/>
      <c r="V128" s="86"/>
      <c r="W128" s="88"/>
      <c r="X128" s="86"/>
      <c r="Y128" s="88"/>
      <c r="Z128" s="86"/>
      <c r="AA128" s="88"/>
      <c r="AB128" s="86"/>
      <c r="AC128" s="88"/>
      <c r="AD128" s="86"/>
      <c r="AE128" s="88"/>
      <c r="AF128" s="86"/>
      <c r="AG128" s="88"/>
      <c r="AH128" s="86"/>
      <c r="AI128" s="88"/>
      <c r="AJ128" s="86"/>
      <c r="AK128" s="88"/>
      <c r="AL128" s="86"/>
      <c r="AM128" s="88"/>
      <c r="AN128" s="86"/>
      <c r="AO128" s="88"/>
      <c r="AP128" s="86"/>
      <c r="AQ128" s="88"/>
      <c r="AR128" s="86"/>
      <c r="AS128" s="88"/>
      <c r="AT128" s="86"/>
      <c r="AU128" s="88"/>
      <c r="AV128" s="86"/>
      <c r="AW128" s="88"/>
      <c r="AX128" s="86"/>
      <c r="AY128" s="88"/>
      <c r="AZ128" s="86"/>
      <c r="BA128" s="88"/>
      <c r="BB128" s="86"/>
      <c r="BC128" s="88"/>
      <c r="BD128" s="86"/>
      <c r="BE128" s="88"/>
      <c r="BF128" s="86"/>
      <c r="BG128" s="88"/>
      <c r="BH128" s="86"/>
      <c r="BI128" s="88"/>
      <c r="BJ128" s="86"/>
      <c r="BK128" s="88"/>
      <c r="BL128" s="86"/>
      <c r="BM128" s="88"/>
      <c r="BN128" s="86"/>
      <c r="BO128" s="88"/>
      <c r="BP128" s="86"/>
      <c r="BQ128" s="88"/>
      <c r="BR128" s="86"/>
      <c r="BS128" s="87"/>
    </row>
    <row r="129" ht="22.5" customHeight="1">
      <c r="A129" s="80" t="s">
        <v>340</v>
      </c>
      <c r="B129" s="81" t="s">
        <v>340</v>
      </c>
      <c r="C129" s="152">
        <v>2.0</v>
      </c>
      <c r="D129" s="83"/>
      <c r="E129" s="151"/>
      <c r="F129" s="83"/>
      <c r="G129" s="85"/>
      <c r="H129" s="86"/>
      <c r="I129" s="87"/>
      <c r="J129" s="86"/>
      <c r="K129" s="88"/>
      <c r="L129" s="86"/>
      <c r="M129" s="88"/>
      <c r="N129" s="86"/>
      <c r="O129" s="88"/>
      <c r="P129" s="86"/>
      <c r="Q129" s="88"/>
      <c r="R129" s="86"/>
      <c r="S129" s="88"/>
      <c r="T129" s="86"/>
      <c r="U129" s="88"/>
      <c r="V129" s="86"/>
      <c r="W129" s="88"/>
      <c r="X129" s="86"/>
      <c r="Y129" s="88"/>
      <c r="Z129" s="86"/>
      <c r="AA129" s="88"/>
      <c r="AB129" s="86"/>
      <c r="AC129" s="88"/>
      <c r="AD129" s="86"/>
      <c r="AE129" s="88"/>
      <c r="AF129" s="86"/>
      <c r="AG129" s="88"/>
      <c r="AH129" s="86"/>
      <c r="AI129" s="88"/>
      <c r="AJ129" s="86"/>
      <c r="AK129" s="88"/>
      <c r="AL129" s="86"/>
      <c r="AM129" s="88"/>
      <c r="AN129" s="86"/>
      <c r="AO129" s="88"/>
      <c r="AP129" s="86"/>
      <c r="AQ129" s="88"/>
      <c r="AR129" s="86"/>
      <c r="AS129" s="88"/>
      <c r="AT129" s="86"/>
      <c r="AU129" s="88"/>
      <c r="AV129" s="86"/>
      <c r="AW129" s="88"/>
      <c r="AX129" s="86"/>
      <c r="AY129" s="88"/>
      <c r="AZ129" s="86"/>
      <c r="BA129" s="88"/>
      <c r="BB129" s="86"/>
      <c r="BC129" s="88"/>
      <c r="BD129" s="86"/>
      <c r="BE129" s="88"/>
      <c r="BF129" s="86"/>
      <c r="BG129" s="88"/>
      <c r="BH129" s="86"/>
      <c r="BI129" s="88"/>
      <c r="BJ129" s="86"/>
      <c r="BK129" s="88"/>
      <c r="BL129" s="86"/>
      <c r="BM129" s="88"/>
      <c r="BN129" s="86"/>
      <c r="BO129" s="88"/>
      <c r="BP129" s="86"/>
      <c r="BQ129" s="88"/>
      <c r="BR129" s="86"/>
      <c r="BS129" s="87"/>
    </row>
    <row r="130" ht="22.5" customHeight="1">
      <c r="A130" s="80" t="s">
        <v>341</v>
      </c>
      <c r="B130" s="81" t="s">
        <v>341</v>
      </c>
      <c r="C130" s="152">
        <v>2.0</v>
      </c>
      <c r="D130" s="83"/>
      <c r="E130" s="151"/>
      <c r="F130" s="83"/>
      <c r="G130" s="85"/>
      <c r="H130" s="86"/>
      <c r="I130" s="87"/>
      <c r="J130" s="86"/>
      <c r="K130" s="88"/>
      <c r="L130" s="86"/>
      <c r="M130" s="88"/>
      <c r="N130" s="86"/>
      <c r="O130" s="88"/>
      <c r="P130" s="86"/>
      <c r="Q130" s="88"/>
      <c r="R130" s="86"/>
      <c r="S130" s="88"/>
      <c r="T130" s="86"/>
      <c r="U130" s="88"/>
      <c r="V130" s="86"/>
      <c r="W130" s="88"/>
      <c r="X130" s="86"/>
      <c r="Y130" s="88"/>
      <c r="Z130" s="86"/>
      <c r="AA130" s="88"/>
      <c r="AB130" s="86"/>
      <c r="AC130" s="88"/>
      <c r="AD130" s="86"/>
      <c r="AE130" s="88"/>
      <c r="AF130" s="86"/>
      <c r="AG130" s="88"/>
      <c r="AH130" s="86"/>
      <c r="AI130" s="88"/>
      <c r="AJ130" s="86"/>
      <c r="AK130" s="88"/>
      <c r="AL130" s="86"/>
      <c r="AM130" s="88"/>
      <c r="AN130" s="86"/>
      <c r="AO130" s="88"/>
      <c r="AP130" s="86"/>
      <c r="AQ130" s="88"/>
      <c r="AR130" s="86"/>
      <c r="AS130" s="88"/>
      <c r="AT130" s="86"/>
      <c r="AU130" s="88"/>
      <c r="AV130" s="86"/>
      <c r="AW130" s="88"/>
      <c r="AX130" s="86"/>
      <c r="AY130" s="88"/>
      <c r="AZ130" s="86"/>
      <c r="BA130" s="88"/>
      <c r="BB130" s="86"/>
      <c r="BC130" s="88"/>
      <c r="BD130" s="86"/>
      <c r="BE130" s="88"/>
      <c r="BF130" s="86"/>
      <c r="BG130" s="88"/>
      <c r="BH130" s="86"/>
      <c r="BI130" s="88"/>
      <c r="BJ130" s="86"/>
      <c r="BK130" s="88"/>
      <c r="BL130" s="86"/>
      <c r="BM130" s="88"/>
      <c r="BN130" s="86"/>
      <c r="BO130" s="88"/>
      <c r="BP130" s="86"/>
      <c r="BQ130" s="88"/>
      <c r="BR130" s="86"/>
      <c r="BS130" s="87"/>
    </row>
    <row r="131" ht="22.5" customHeight="1">
      <c r="A131" s="80" t="s">
        <v>342</v>
      </c>
      <c r="B131" s="81" t="s">
        <v>342</v>
      </c>
      <c r="C131" s="152">
        <v>2.0</v>
      </c>
      <c r="D131" s="83"/>
      <c r="E131" s="151"/>
      <c r="F131" s="83"/>
      <c r="G131" s="85"/>
      <c r="H131" s="86"/>
      <c r="I131" s="87"/>
      <c r="J131" s="86"/>
      <c r="K131" s="88"/>
      <c r="L131" s="86"/>
      <c r="M131" s="88"/>
      <c r="N131" s="86"/>
      <c r="O131" s="88"/>
      <c r="P131" s="86"/>
      <c r="Q131" s="88"/>
      <c r="R131" s="86"/>
      <c r="S131" s="88"/>
      <c r="T131" s="86"/>
      <c r="U131" s="88"/>
      <c r="V131" s="86"/>
      <c r="W131" s="88"/>
      <c r="X131" s="86"/>
      <c r="Y131" s="88"/>
      <c r="Z131" s="86"/>
      <c r="AA131" s="88"/>
      <c r="AB131" s="86"/>
      <c r="AC131" s="88"/>
      <c r="AD131" s="86"/>
      <c r="AE131" s="88"/>
      <c r="AF131" s="86"/>
      <c r="AG131" s="88"/>
      <c r="AH131" s="86"/>
      <c r="AI131" s="88"/>
      <c r="AJ131" s="86"/>
      <c r="AK131" s="88"/>
      <c r="AL131" s="86"/>
      <c r="AM131" s="88"/>
      <c r="AN131" s="86"/>
      <c r="AO131" s="88"/>
      <c r="AP131" s="86"/>
      <c r="AQ131" s="88"/>
      <c r="AR131" s="86"/>
      <c r="AS131" s="88"/>
      <c r="AT131" s="86"/>
      <c r="AU131" s="88"/>
      <c r="AV131" s="86"/>
      <c r="AW131" s="88"/>
      <c r="AX131" s="86"/>
      <c r="AY131" s="88"/>
      <c r="AZ131" s="86"/>
      <c r="BA131" s="88"/>
      <c r="BB131" s="86"/>
      <c r="BC131" s="88"/>
      <c r="BD131" s="86"/>
      <c r="BE131" s="88"/>
      <c r="BF131" s="86"/>
      <c r="BG131" s="88"/>
      <c r="BH131" s="86"/>
      <c r="BI131" s="88"/>
      <c r="BJ131" s="86"/>
      <c r="BK131" s="88"/>
      <c r="BL131" s="86"/>
      <c r="BM131" s="88"/>
      <c r="BN131" s="86"/>
      <c r="BO131" s="88"/>
      <c r="BP131" s="86"/>
      <c r="BQ131" s="88"/>
      <c r="BR131" s="86"/>
      <c r="BS131" s="87"/>
    </row>
    <row r="132" ht="22.5" customHeight="1">
      <c r="A132" s="80" t="s">
        <v>343</v>
      </c>
      <c r="B132" s="81" t="s">
        <v>119</v>
      </c>
      <c r="C132" s="152">
        <v>150.0</v>
      </c>
      <c r="D132" s="81" t="s">
        <v>61</v>
      </c>
      <c r="E132" s="152">
        <v>2.0</v>
      </c>
      <c r="F132" s="83"/>
      <c r="G132" s="85"/>
      <c r="H132" s="86"/>
      <c r="I132" s="87"/>
      <c r="J132" s="86"/>
      <c r="K132" s="88"/>
      <c r="L132" s="86"/>
      <c r="M132" s="88"/>
      <c r="N132" s="86"/>
      <c r="O132" s="88"/>
      <c r="P132" s="86"/>
      <c r="Q132" s="88"/>
      <c r="R132" s="86"/>
      <c r="S132" s="88"/>
      <c r="T132" s="86"/>
      <c r="U132" s="88"/>
      <c r="V132" s="86"/>
      <c r="W132" s="88"/>
      <c r="X132" s="86"/>
      <c r="Y132" s="88"/>
      <c r="Z132" s="86"/>
      <c r="AA132" s="88"/>
      <c r="AB132" s="86"/>
      <c r="AC132" s="88"/>
      <c r="AD132" s="86"/>
      <c r="AE132" s="88"/>
      <c r="AF132" s="86"/>
      <c r="AG132" s="88"/>
      <c r="AH132" s="86"/>
      <c r="AI132" s="88"/>
      <c r="AJ132" s="86"/>
      <c r="AK132" s="88"/>
      <c r="AL132" s="86"/>
      <c r="AM132" s="88"/>
      <c r="AN132" s="86"/>
      <c r="AO132" s="88"/>
      <c r="AP132" s="86"/>
      <c r="AQ132" s="88"/>
      <c r="AR132" s="86"/>
      <c r="AS132" s="88"/>
      <c r="AT132" s="86"/>
      <c r="AU132" s="88"/>
      <c r="AV132" s="86"/>
      <c r="AW132" s="88"/>
      <c r="AX132" s="86"/>
      <c r="AY132" s="88"/>
      <c r="AZ132" s="86"/>
      <c r="BA132" s="88"/>
      <c r="BB132" s="86"/>
      <c r="BC132" s="88"/>
      <c r="BD132" s="86"/>
      <c r="BE132" s="88"/>
      <c r="BF132" s="86"/>
      <c r="BG132" s="88"/>
      <c r="BH132" s="86"/>
      <c r="BI132" s="88"/>
      <c r="BJ132" s="86"/>
      <c r="BK132" s="88"/>
      <c r="BL132" s="86"/>
      <c r="BM132" s="88"/>
      <c r="BN132" s="86"/>
      <c r="BO132" s="88"/>
      <c r="BP132" s="86"/>
      <c r="BQ132" s="88"/>
      <c r="BR132" s="86"/>
      <c r="BS132" s="87"/>
    </row>
    <row r="133" ht="22.5" customHeight="1">
      <c r="A133" s="80" t="s">
        <v>344</v>
      </c>
      <c r="B133" s="83"/>
      <c r="C133" s="151"/>
      <c r="D133" s="83"/>
      <c r="E133" s="151"/>
      <c r="F133" s="83"/>
      <c r="G133" s="85"/>
      <c r="H133" s="86"/>
      <c r="I133" s="87"/>
      <c r="J133" s="86"/>
      <c r="K133" s="88"/>
      <c r="L133" s="86"/>
      <c r="M133" s="88"/>
      <c r="N133" s="86"/>
      <c r="O133" s="88"/>
      <c r="P133" s="86"/>
      <c r="Q133" s="88"/>
      <c r="R133" s="86"/>
      <c r="S133" s="88"/>
      <c r="T133" s="86"/>
      <c r="U133" s="88"/>
      <c r="V133" s="86"/>
      <c r="W133" s="88"/>
      <c r="X133" s="86"/>
      <c r="Y133" s="88"/>
      <c r="Z133" s="86"/>
      <c r="AA133" s="88"/>
      <c r="AB133" s="86"/>
      <c r="AC133" s="88"/>
      <c r="AD133" s="153" t="s">
        <v>29</v>
      </c>
      <c r="AE133" s="104">
        <v>10.0</v>
      </c>
      <c r="AF133" s="86"/>
      <c r="AG133" s="88"/>
      <c r="AH133" s="86"/>
      <c r="AI133" s="88"/>
      <c r="AJ133" s="86"/>
      <c r="AK133" s="88"/>
      <c r="AL133" s="86"/>
      <c r="AM133" s="88"/>
      <c r="AN133" s="86"/>
      <c r="AO133" s="88"/>
      <c r="AP133" s="86"/>
      <c r="AQ133" s="88"/>
      <c r="AR133" s="86"/>
      <c r="AS133" s="88"/>
      <c r="AT133" s="86"/>
      <c r="AU133" s="88"/>
      <c r="AV133" s="86"/>
      <c r="AW133" s="88"/>
      <c r="AX133" s="86"/>
      <c r="AY133" s="88"/>
      <c r="AZ133" s="86"/>
      <c r="BA133" s="88"/>
      <c r="BB133" s="86"/>
      <c r="BC133" s="88"/>
      <c r="BD133" s="86"/>
      <c r="BE133" s="88"/>
      <c r="BF133" s="86"/>
      <c r="BG133" s="88"/>
      <c r="BH133" s="86"/>
      <c r="BI133" s="88"/>
      <c r="BJ133" s="86"/>
      <c r="BK133" s="88"/>
      <c r="BL133" s="86"/>
      <c r="BM133" s="88"/>
      <c r="BN133" s="86"/>
      <c r="BO133" s="88"/>
      <c r="BP133" s="86"/>
      <c r="BQ133" s="88"/>
      <c r="BR133" s="86"/>
      <c r="BS133" s="87"/>
    </row>
    <row r="134" ht="22.5" customHeight="1">
      <c r="A134" s="80" t="s">
        <v>345</v>
      </c>
      <c r="B134" s="83"/>
      <c r="C134" s="151"/>
      <c r="D134" s="83"/>
      <c r="E134" s="151"/>
      <c r="F134" s="83"/>
      <c r="G134" s="85"/>
      <c r="H134" s="86"/>
      <c r="I134" s="87"/>
      <c r="J134" s="86"/>
      <c r="K134" s="88"/>
      <c r="L134" s="86"/>
      <c r="M134" s="88"/>
      <c r="N134" s="86"/>
      <c r="O134" s="88"/>
      <c r="P134" s="86"/>
      <c r="Q134" s="88"/>
      <c r="R134" s="86"/>
      <c r="S134" s="88"/>
      <c r="T134" s="86"/>
      <c r="U134" s="88"/>
      <c r="V134" s="86"/>
      <c r="W134" s="88"/>
      <c r="X134" s="86"/>
      <c r="Y134" s="88"/>
      <c r="Z134" s="86"/>
      <c r="AA134" s="88"/>
      <c r="AB134" s="86"/>
      <c r="AC134" s="88"/>
      <c r="AD134" s="86"/>
      <c r="AE134" s="104">
        <v>10.0</v>
      </c>
      <c r="AF134" s="86"/>
      <c r="AG134" s="88"/>
      <c r="AH134" s="86"/>
      <c r="AI134" s="88"/>
      <c r="AJ134" s="86"/>
      <c r="AK134" s="88"/>
      <c r="AL134" s="86"/>
      <c r="AM134" s="88"/>
      <c r="AN134" s="86"/>
      <c r="AO134" s="88"/>
      <c r="AP134" s="86"/>
      <c r="AQ134" s="88"/>
      <c r="AR134" s="86"/>
      <c r="AS134" s="88"/>
      <c r="AT134" s="86"/>
      <c r="AU134" s="88"/>
      <c r="AV134" s="86"/>
      <c r="AW134" s="88"/>
      <c r="AX134" s="86"/>
      <c r="AY134" s="88"/>
      <c r="AZ134" s="86"/>
      <c r="BA134" s="88"/>
      <c r="BB134" s="86"/>
      <c r="BC134" s="88"/>
      <c r="BD134" s="86"/>
      <c r="BE134" s="88"/>
      <c r="BF134" s="86"/>
      <c r="BG134" s="88"/>
      <c r="BH134" s="86"/>
      <c r="BI134" s="88"/>
      <c r="BJ134" s="86"/>
      <c r="BK134" s="88"/>
      <c r="BL134" s="86"/>
      <c r="BM134" s="88"/>
      <c r="BN134" s="86"/>
      <c r="BO134" s="88"/>
      <c r="BP134" s="86"/>
      <c r="BQ134" s="88"/>
      <c r="BR134" s="86"/>
      <c r="BS134" s="87"/>
    </row>
    <row r="135" ht="22.5" customHeight="1">
      <c r="A135" s="154"/>
      <c r="B135" s="83"/>
      <c r="C135" s="151"/>
      <c r="D135" s="83"/>
      <c r="E135" s="151"/>
      <c r="F135" s="83"/>
      <c r="G135" s="85"/>
      <c r="H135" s="86"/>
      <c r="I135" s="87"/>
      <c r="J135" s="86"/>
      <c r="K135" s="88"/>
      <c r="L135" s="86"/>
      <c r="M135" s="88"/>
      <c r="N135" s="86"/>
      <c r="O135" s="88"/>
      <c r="P135" s="86"/>
      <c r="Q135" s="88"/>
      <c r="R135" s="86"/>
      <c r="S135" s="88"/>
      <c r="T135" s="86"/>
      <c r="U135" s="88"/>
      <c r="V135" s="86"/>
      <c r="W135" s="88"/>
      <c r="X135" s="86"/>
      <c r="Y135" s="88"/>
      <c r="Z135" s="86"/>
      <c r="AA135" s="88"/>
      <c r="AB135" s="86"/>
      <c r="AC135" s="88"/>
      <c r="AD135" s="86"/>
      <c r="AE135" s="88"/>
      <c r="AF135" s="86"/>
      <c r="AG135" s="88"/>
      <c r="AH135" s="86"/>
      <c r="AI135" s="88"/>
      <c r="AJ135" s="86"/>
      <c r="AK135" s="88"/>
      <c r="AL135" s="86"/>
      <c r="AM135" s="88"/>
      <c r="AN135" s="86"/>
      <c r="AO135" s="88"/>
      <c r="AP135" s="86"/>
      <c r="AQ135" s="88"/>
      <c r="AR135" s="86"/>
      <c r="AS135" s="88"/>
      <c r="AT135" s="86"/>
      <c r="AU135" s="88"/>
      <c r="AV135" s="86"/>
      <c r="AW135" s="88"/>
      <c r="AX135" s="86"/>
      <c r="AY135" s="88"/>
      <c r="AZ135" s="86"/>
      <c r="BA135" s="88"/>
      <c r="BB135" s="86"/>
      <c r="BC135" s="88"/>
      <c r="BD135" s="86"/>
      <c r="BE135" s="88"/>
      <c r="BF135" s="86"/>
      <c r="BG135" s="88"/>
      <c r="BH135" s="86"/>
      <c r="BI135" s="88"/>
      <c r="BJ135" s="86"/>
      <c r="BK135" s="88"/>
      <c r="BL135" s="86"/>
      <c r="BM135" s="88"/>
      <c r="BN135" s="86"/>
      <c r="BO135" s="88"/>
      <c r="BP135" s="86"/>
      <c r="BQ135" s="88"/>
      <c r="BR135" s="86"/>
      <c r="BS135" s="87"/>
    </row>
    <row r="136" ht="22.5" customHeight="1">
      <c r="A136" s="154"/>
      <c r="B136" s="83"/>
      <c r="C136" s="151"/>
      <c r="D136" s="83"/>
      <c r="E136" s="151"/>
      <c r="F136" s="83"/>
      <c r="G136" s="85"/>
      <c r="H136" s="86"/>
      <c r="I136" s="87"/>
      <c r="J136" s="86"/>
      <c r="K136" s="88"/>
      <c r="L136" s="86"/>
      <c r="M136" s="88"/>
      <c r="N136" s="86"/>
      <c r="O136" s="88"/>
      <c r="P136" s="86"/>
      <c r="Q136" s="88"/>
      <c r="R136" s="86"/>
      <c r="S136" s="88"/>
      <c r="T136" s="86"/>
      <c r="U136" s="88"/>
      <c r="V136" s="86"/>
      <c r="W136" s="88"/>
      <c r="X136" s="86"/>
      <c r="Y136" s="88"/>
      <c r="Z136" s="86"/>
      <c r="AA136" s="88"/>
      <c r="AB136" s="86"/>
      <c r="AC136" s="88"/>
      <c r="AD136" s="86"/>
      <c r="AE136" s="88"/>
      <c r="AF136" s="86"/>
      <c r="AG136" s="88"/>
      <c r="AH136" s="86"/>
      <c r="AI136" s="88"/>
      <c r="AJ136" s="86"/>
      <c r="AK136" s="88"/>
      <c r="AL136" s="86"/>
      <c r="AM136" s="88"/>
      <c r="AN136" s="86"/>
      <c r="AO136" s="88"/>
      <c r="AP136" s="86"/>
      <c r="AQ136" s="88"/>
      <c r="AR136" s="86"/>
      <c r="AS136" s="88"/>
      <c r="AT136" s="86"/>
      <c r="AU136" s="88"/>
      <c r="AV136" s="86"/>
      <c r="AW136" s="88"/>
      <c r="AX136" s="86"/>
      <c r="AY136" s="88"/>
      <c r="AZ136" s="86"/>
      <c r="BA136" s="88"/>
      <c r="BB136" s="86"/>
      <c r="BC136" s="88"/>
      <c r="BD136" s="86"/>
      <c r="BE136" s="88"/>
      <c r="BF136" s="86"/>
      <c r="BG136" s="88"/>
      <c r="BH136" s="86"/>
      <c r="BI136" s="88"/>
      <c r="BJ136" s="86"/>
      <c r="BK136" s="88"/>
      <c r="BL136" s="86"/>
      <c r="BM136" s="88"/>
      <c r="BN136" s="86"/>
      <c r="BO136" s="88"/>
      <c r="BP136" s="86"/>
      <c r="BQ136" s="88"/>
      <c r="BR136" s="86"/>
      <c r="BS136" s="87"/>
    </row>
    <row r="137" ht="22.5" customHeight="1">
      <c r="A137" s="154"/>
      <c r="B137" s="83"/>
      <c r="C137" s="151"/>
      <c r="D137" s="83"/>
      <c r="E137" s="151"/>
      <c r="F137" s="83"/>
      <c r="G137" s="85"/>
      <c r="H137" s="86"/>
      <c r="I137" s="87"/>
      <c r="J137" s="86"/>
      <c r="K137" s="88"/>
      <c r="L137" s="86"/>
      <c r="M137" s="88"/>
      <c r="N137" s="86"/>
      <c r="O137" s="88"/>
      <c r="P137" s="86"/>
      <c r="Q137" s="88"/>
      <c r="R137" s="86"/>
      <c r="S137" s="88"/>
      <c r="T137" s="86"/>
      <c r="U137" s="88"/>
      <c r="V137" s="86"/>
      <c r="W137" s="88"/>
      <c r="X137" s="86"/>
      <c r="Y137" s="88"/>
      <c r="Z137" s="86"/>
      <c r="AA137" s="88"/>
      <c r="AB137" s="86"/>
      <c r="AC137" s="88"/>
      <c r="AD137" s="86"/>
      <c r="AE137" s="88"/>
      <c r="AF137" s="86"/>
      <c r="AG137" s="88"/>
      <c r="AH137" s="86"/>
      <c r="AI137" s="88"/>
      <c r="AJ137" s="86"/>
      <c r="AK137" s="88"/>
      <c r="AL137" s="86"/>
      <c r="AM137" s="88"/>
      <c r="AN137" s="86"/>
      <c r="AO137" s="88"/>
      <c r="AP137" s="86"/>
      <c r="AQ137" s="88"/>
      <c r="AR137" s="86"/>
      <c r="AS137" s="88"/>
      <c r="AT137" s="86"/>
      <c r="AU137" s="88"/>
      <c r="AV137" s="86"/>
      <c r="AW137" s="88"/>
      <c r="AX137" s="86"/>
      <c r="AY137" s="88"/>
      <c r="AZ137" s="86"/>
      <c r="BA137" s="88"/>
      <c r="BB137" s="86"/>
      <c r="BC137" s="88"/>
      <c r="BD137" s="86"/>
      <c r="BE137" s="88"/>
      <c r="BF137" s="86"/>
      <c r="BG137" s="88"/>
      <c r="BH137" s="86"/>
      <c r="BI137" s="88"/>
      <c r="BJ137" s="86"/>
      <c r="BK137" s="88"/>
      <c r="BL137" s="86"/>
      <c r="BM137" s="88"/>
      <c r="BN137" s="86"/>
      <c r="BO137" s="88"/>
      <c r="BP137" s="86"/>
      <c r="BQ137" s="88"/>
      <c r="BR137" s="86"/>
      <c r="BS137" s="87"/>
    </row>
    <row r="138" ht="22.5" customHeight="1">
      <c r="A138" s="154"/>
      <c r="B138" s="83"/>
      <c r="C138" s="151"/>
      <c r="D138" s="83"/>
      <c r="E138" s="151"/>
      <c r="F138" s="83"/>
      <c r="G138" s="85"/>
      <c r="H138" s="86"/>
      <c r="I138" s="87"/>
      <c r="J138" s="86"/>
      <c r="K138" s="88"/>
      <c r="L138" s="86"/>
      <c r="M138" s="88"/>
      <c r="N138" s="86"/>
      <c r="O138" s="88"/>
      <c r="P138" s="86"/>
      <c r="Q138" s="88"/>
      <c r="R138" s="86"/>
      <c r="S138" s="88"/>
      <c r="T138" s="86"/>
      <c r="U138" s="88"/>
      <c r="V138" s="86"/>
      <c r="W138" s="88"/>
      <c r="X138" s="86"/>
      <c r="Y138" s="88"/>
      <c r="Z138" s="86"/>
      <c r="AA138" s="88"/>
      <c r="AB138" s="86"/>
      <c r="AC138" s="88"/>
      <c r="AD138" s="86"/>
      <c r="AE138" s="88"/>
      <c r="AF138" s="86"/>
      <c r="AG138" s="88"/>
      <c r="AH138" s="86"/>
      <c r="AI138" s="88"/>
      <c r="AJ138" s="86"/>
      <c r="AK138" s="88"/>
      <c r="AL138" s="86"/>
      <c r="AM138" s="88"/>
      <c r="AN138" s="86"/>
      <c r="AO138" s="88"/>
      <c r="AP138" s="86"/>
      <c r="AQ138" s="88"/>
      <c r="AR138" s="86"/>
      <c r="AS138" s="88"/>
      <c r="AT138" s="86"/>
      <c r="AU138" s="88"/>
      <c r="AV138" s="86"/>
      <c r="AW138" s="88"/>
      <c r="AX138" s="86"/>
      <c r="AY138" s="88"/>
      <c r="AZ138" s="86"/>
      <c r="BA138" s="88"/>
      <c r="BB138" s="86"/>
      <c r="BC138" s="88"/>
      <c r="BD138" s="86"/>
      <c r="BE138" s="88"/>
      <c r="BF138" s="86"/>
      <c r="BG138" s="88"/>
      <c r="BH138" s="86"/>
      <c r="BI138" s="88"/>
      <c r="BJ138" s="86"/>
      <c r="BK138" s="88"/>
      <c r="BL138" s="86"/>
      <c r="BM138" s="88"/>
      <c r="BN138" s="86"/>
      <c r="BO138" s="88"/>
      <c r="BP138" s="86"/>
      <c r="BQ138" s="88"/>
      <c r="BR138" s="86"/>
      <c r="BS138" s="87"/>
    </row>
    <row r="139" ht="22.5" customHeight="1">
      <c r="A139" s="154"/>
      <c r="B139" s="83"/>
      <c r="C139" s="151"/>
      <c r="D139" s="83"/>
      <c r="E139" s="151"/>
      <c r="F139" s="83"/>
      <c r="G139" s="85"/>
      <c r="H139" s="86"/>
      <c r="I139" s="87"/>
      <c r="J139" s="86"/>
      <c r="K139" s="88"/>
      <c r="L139" s="86"/>
      <c r="M139" s="88"/>
      <c r="N139" s="86"/>
      <c r="O139" s="88"/>
      <c r="P139" s="86"/>
      <c r="Q139" s="88"/>
      <c r="R139" s="86"/>
      <c r="S139" s="88"/>
      <c r="T139" s="86"/>
      <c r="U139" s="88"/>
      <c r="V139" s="86"/>
      <c r="W139" s="88"/>
      <c r="X139" s="86"/>
      <c r="Y139" s="88"/>
      <c r="Z139" s="86"/>
      <c r="AA139" s="88"/>
      <c r="AB139" s="86"/>
      <c r="AC139" s="88"/>
      <c r="AD139" s="86"/>
      <c r="AE139" s="88"/>
      <c r="AF139" s="86"/>
      <c r="AG139" s="88"/>
      <c r="AH139" s="86"/>
      <c r="AI139" s="88"/>
      <c r="AJ139" s="86"/>
      <c r="AK139" s="88"/>
      <c r="AL139" s="86"/>
      <c r="AM139" s="88"/>
      <c r="AN139" s="86"/>
      <c r="AO139" s="88"/>
      <c r="AP139" s="86"/>
      <c r="AQ139" s="88"/>
      <c r="AR139" s="86"/>
      <c r="AS139" s="88"/>
      <c r="AT139" s="86"/>
      <c r="AU139" s="88"/>
      <c r="AV139" s="86"/>
      <c r="AW139" s="88"/>
      <c r="AX139" s="86"/>
      <c r="AY139" s="88"/>
      <c r="AZ139" s="86"/>
      <c r="BA139" s="88"/>
      <c r="BB139" s="86"/>
      <c r="BC139" s="88"/>
      <c r="BD139" s="86"/>
      <c r="BE139" s="88"/>
      <c r="BF139" s="86"/>
      <c r="BG139" s="88"/>
      <c r="BH139" s="86"/>
      <c r="BI139" s="88"/>
      <c r="BJ139" s="86"/>
      <c r="BK139" s="88"/>
      <c r="BL139" s="86"/>
      <c r="BM139" s="88"/>
      <c r="BN139" s="86"/>
      <c r="BO139" s="88"/>
      <c r="BP139" s="86"/>
      <c r="BQ139" s="88"/>
      <c r="BR139" s="86"/>
      <c r="BS139" s="87"/>
    </row>
    <row r="140" ht="22.5" customHeight="1">
      <c r="A140" s="154"/>
      <c r="B140" s="83"/>
      <c r="C140" s="151"/>
      <c r="D140" s="83"/>
      <c r="E140" s="151"/>
      <c r="F140" s="83"/>
      <c r="G140" s="85"/>
      <c r="H140" s="86"/>
      <c r="I140" s="87"/>
      <c r="J140" s="86"/>
      <c r="K140" s="88"/>
      <c r="L140" s="86"/>
      <c r="M140" s="88"/>
      <c r="N140" s="86"/>
      <c r="O140" s="88"/>
      <c r="P140" s="86"/>
      <c r="Q140" s="88"/>
      <c r="R140" s="86"/>
      <c r="S140" s="88"/>
      <c r="T140" s="86"/>
      <c r="U140" s="88"/>
      <c r="V140" s="86"/>
      <c r="W140" s="88"/>
      <c r="X140" s="86"/>
      <c r="Y140" s="88"/>
      <c r="Z140" s="86"/>
      <c r="AA140" s="88"/>
      <c r="AB140" s="86"/>
      <c r="AC140" s="88"/>
      <c r="AD140" s="86"/>
      <c r="AE140" s="88"/>
      <c r="AF140" s="86"/>
      <c r="AG140" s="88"/>
      <c r="AH140" s="86"/>
      <c r="AI140" s="88"/>
      <c r="AJ140" s="86"/>
      <c r="AK140" s="88"/>
      <c r="AL140" s="86"/>
      <c r="AM140" s="88"/>
      <c r="AN140" s="86"/>
      <c r="AO140" s="88"/>
      <c r="AP140" s="86"/>
      <c r="AQ140" s="88"/>
      <c r="AR140" s="86"/>
      <c r="AS140" s="88"/>
      <c r="AT140" s="86"/>
      <c r="AU140" s="88"/>
      <c r="AV140" s="86"/>
      <c r="AW140" s="88"/>
      <c r="AX140" s="86"/>
      <c r="AY140" s="88"/>
      <c r="AZ140" s="86"/>
      <c r="BA140" s="88"/>
      <c r="BB140" s="86"/>
      <c r="BC140" s="88"/>
      <c r="BD140" s="86"/>
      <c r="BE140" s="88"/>
      <c r="BF140" s="86"/>
      <c r="BG140" s="88"/>
      <c r="BH140" s="86"/>
      <c r="BI140" s="88"/>
      <c r="BJ140" s="86"/>
      <c r="BK140" s="88"/>
      <c r="BL140" s="86"/>
      <c r="BM140" s="88"/>
      <c r="BN140" s="86"/>
      <c r="BO140" s="88"/>
      <c r="BP140" s="86"/>
      <c r="BQ140" s="88"/>
      <c r="BR140" s="86"/>
      <c r="BS140" s="87"/>
    </row>
    <row r="141" ht="22.5" customHeight="1">
      <c r="A141" s="154"/>
      <c r="B141" s="83"/>
      <c r="C141" s="151"/>
      <c r="D141" s="83"/>
      <c r="E141" s="151"/>
      <c r="F141" s="83"/>
      <c r="G141" s="85"/>
      <c r="H141" s="86"/>
      <c r="I141" s="87"/>
      <c r="J141" s="86"/>
      <c r="K141" s="88"/>
      <c r="L141" s="86"/>
      <c r="M141" s="88"/>
      <c r="N141" s="86"/>
      <c r="O141" s="88"/>
      <c r="P141" s="86"/>
      <c r="Q141" s="88"/>
      <c r="R141" s="86"/>
      <c r="S141" s="88"/>
      <c r="T141" s="86"/>
      <c r="U141" s="88"/>
      <c r="V141" s="86"/>
      <c r="W141" s="88"/>
      <c r="X141" s="86"/>
      <c r="Y141" s="88"/>
      <c r="Z141" s="86"/>
      <c r="AA141" s="88"/>
      <c r="AB141" s="86"/>
      <c r="AC141" s="88"/>
      <c r="AD141" s="86"/>
      <c r="AE141" s="88"/>
      <c r="AF141" s="86"/>
      <c r="AG141" s="88"/>
      <c r="AH141" s="86"/>
      <c r="AI141" s="88"/>
      <c r="AJ141" s="86"/>
      <c r="AK141" s="88"/>
      <c r="AL141" s="86"/>
      <c r="AM141" s="88"/>
      <c r="AN141" s="86"/>
      <c r="AO141" s="88"/>
      <c r="AP141" s="86"/>
      <c r="AQ141" s="88"/>
      <c r="AR141" s="86"/>
      <c r="AS141" s="88"/>
      <c r="AT141" s="86"/>
      <c r="AU141" s="88"/>
      <c r="AV141" s="86"/>
      <c r="AW141" s="88"/>
      <c r="AX141" s="86"/>
      <c r="AY141" s="88"/>
      <c r="AZ141" s="86"/>
      <c r="BA141" s="88"/>
      <c r="BB141" s="86"/>
      <c r="BC141" s="88"/>
      <c r="BD141" s="86"/>
      <c r="BE141" s="88"/>
      <c r="BF141" s="86"/>
      <c r="BG141" s="88"/>
      <c r="BH141" s="86"/>
      <c r="BI141" s="88"/>
      <c r="BJ141" s="86"/>
      <c r="BK141" s="88"/>
      <c r="BL141" s="86"/>
      <c r="BM141" s="88"/>
      <c r="BN141" s="86"/>
      <c r="BO141" s="88"/>
      <c r="BP141" s="86"/>
      <c r="BQ141" s="88"/>
      <c r="BR141" s="86"/>
      <c r="BS141" s="87"/>
    </row>
    <row r="142" ht="22.5" customHeight="1">
      <c r="A142" s="154"/>
      <c r="B142" s="83"/>
      <c r="C142" s="151"/>
      <c r="D142" s="83"/>
      <c r="E142" s="151"/>
      <c r="F142" s="83"/>
      <c r="G142" s="85"/>
      <c r="H142" s="86"/>
      <c r="I142" s="87"/>
      <c r="J142" s="86"/>
      <c r="K142" s="88"/>
      <c r="L142" s="86"/>
      <c r="M142" s="88"/>
      <c r="N142" s="86"/>
      <c r="O142" s="88"/>
      <c r="P142" s="86"/>
      <c r="Q142" s="88"/>
      <c r="R142" s="86"/>
      <c r="S142" s="88"/>
      <c r="T142" s="86"/>
      <c r="U142" s="88"/>
      <c r="V142" s="86"/>
      <c r="W142" s="88"/>
      <c r="X142" s="86"/>
      <c r="Y142" s="88"/>
      <c r="Z142" s="86"/>
      <c r="AA142" s="88"/>
      <c r="AB142" s="86"/>
      <c r="AC142" s="88"/>
      <c r="AD142" s="86"/>
      <c r="AE142" s="88"/>
      <c r="AF142" s="86"/>
      <c r="AG142" s="88"/>
      <c r="AH142" s="86"/>
      <c r="AI142" s="88"/>
      <c r="AJ142" s="86"/>
      <c r="AK142" s="88"/>
      <c r="AL142" s="86"/>
      <c r="AM142" s="88"/>
      <c r="AN142" s="86"/>
      <c r="AO142" s="88"/>
      <c r="AP142" s="86"/>
      <c r="AQ142" s="88"/>
      <c r="AR142" s="86"/>
      <c r="AS142" s="88"/>
      <c r="AT142" s="86"/>
      <c r="AU142" s="88"/>
      <c r="AV142" s="86"/>
      <c r="AW142" s="88"/>
      <c r="AX142" s="86"/>
      <c r="AY142" s="88"/>
      <c r="AZ142" s="86"/>
      <c r="BA142" s="88"/>
      <c r="BB142" s="86"/>
      <c r="BC142" s="88"/>
      <c r="BD142" s="86"/>
      <c r="BE142" s="88"/>
      <c r="BF142" s="86"/>
      <c r="BG142" s="88"/>
      <c r="BH142" s="86"/>
      <c r="BI142" s="88"/>
      <c r="BJ142" s="86"/>
      <c r="BK142" s="88"/>
      <c r="BL142" s="86"/>
      <c r="BM142" s="88"/>
      <c r="BN142" s="86"/>
      <c r="BO142" s="88"/>
      <c r="BP142" s="86"/>
      <c r="BQ142" s="88"/>
      <c r="BR142" s="86"/>
      <c r="BS142" s="87"/>
    </row>
    <row r="143" ht="22.5" customHeight="1">
      <c r="A143" s="154"/>
      <c r="B143" s="83"/>
      <c r="C143" s="151"/>
      <c r="D143" s="83"/>
      <c r="E143" s="151"/>
      <c r="F143" s="83"/>
      <c r="G143" s="85"/>
      <c r="H143" s="86"/>
      <c r="I143" s="87"/>
      <c r="J143" s="86"/>
      <c r="K143" s="88"/>
      <c r="L143" s="86"/>
      <c r="M143" s="88"/>
      <c r="N143" s="86"/>
      <c r="O143" s="88"/>
      <c r="P143" s="86"/>
      <c r="Q143" s="88"/>
      <c r="R143" s="86"/>
      <c r="S143" s="88"/>
      <c r="T143" s="86"/>
      <c r="U143" s="88"/>
      <c r="V143" s="86"/>
      <c r="W143" s="88"/>
      <c r="X143" s="86"/>
      <c r="Y143" s="88"/>
      <c r="Z143" s="86"/>
      <c r="AA143" s="88"/>
      <c r="AB143" s="86"/>
      <c r="AC143" s="88"/>
      <c r="AD143" s="86"/>
      <c r="AE143" s="88"/>
      <c r="AF143" s="86"/>
      <c r="AG143" s="88"/>
      <c r="AH143" s="86"/>
      <c r="AI143" s="88"/>
      <c r="AJ143" s="86"/>
      <c r="AK143" s="88"/>
      <c r="AL143" s="86"/>
      <c r="AM143" s="88"/>
      <c r="AN143" s="86"/>
      <c r="AO143" s="88"/>
      <c r="AP143" s="86"/>
      <c r="AQ143" s="88"/>
      <c r="AR143" s="86"/>
      <c r="AS143" s="88"/>
      <c r="AT143" s="86"/>
      <c r="AU143" s="88"/>
      <c r="AV143" s="86"/>
      <c r="AW143" s="88"/>
      <c r="AX143" s="86"/>
      <c r="AY143" s="88"/>
      <c r="AZ143" s="86"/>
      <c r="BA143" s="88"/>
      <c r="BB143" s="86"/>
      <c r="BC143" s="88"/>
      <c r="BD143" s="86"/>
      <c r="BE143" s="88"/>
      <c r="BF143" s="86"/>
      <c r="BG143" s="88"/>
      <c r="BH143" s="86"/>
      <c r="BI143" s="88"/>
      <c r="BJ143" s="86"/>
      <c r="BK143" s="88"/>
      <c r="BL143" s="86"/>
      <c r="BM143" s="88"/>
      <c r="BN143" s="86"/>
      <c r="BO143" s="88"/>
      <c r="BP143" s="86"/>
      <c r="BQ143" s="88"/>
      <c r="BR143" s="86"/>
      <c r="BS143" s="87"/>
    </row>
    <row r="144" ht="22.5" customHeight="1">
      <c r="A144" s="154"/>
      <c r="B144" s="83"/>
      <c r="C144" s="151"/>
      <c r="D144" s="83"/>
      <c r="E144" s="151"/>
      <c r="F144" s="83"/>
      <c r="G144" s="85"/>
      <c r="H144" s="86"/>
      <c r="I144" s="87"/>
      <c r="J144" s="86"/>
      <c r="K144" s="88"/>
      <c r="L144" s="86"/>
      <c r="M144" s="88"/>
      <c r="N144" s="86"/>
      <c r="O144" s="88"/>
      <c r="P144" s="86"/>
      <c r="Q144" s="88"/>
      <c r="R144" s="86"/>
      <c r="S144" s="88"/>
      <c r="T144" s="86"/>
      <c r="U144" s="88"/>
      <c r="V144" s="86"/>
      <c r="W144" s="88"/>
      <c r="X144" s="86"/>
      <c r="Y144" s="88"/>
      <c r="Z144" s="86"/>
      <c r="AA144" s="88"/>
      <c r="AB144" s="86"/>
      <c r="AC144" s="88"/>
      <c r="AD144" s="86"/>
      <c r="AE144" s="88"/>
      <c r="AF144" s="86"/>
      <c r="AG144" s="88"/>
      <c r="AH144" s="86"/>
      <c r="AI144" s="88"/>
      <c r="AJ144" s="86"/>
      <c r="AK144" s="88"/>
      <c r="AL144" s="86"/>
      <c r="AM144" s="88"/>
      <c r="AN144" s="86"/>
      <c r="AO144" s="88"/>
      <c r="AP144" s="86"/>
      <c r="AQ144" s="88"/>
      <c r="AR144" s="86"/>
      <c r="AS144" s="88"/>
      <c r="AT144" s="86"/>
      <c r="AU144" s="88"/>
      <c r="AV144" s="86"/>
      <c r="AW144" s="88"/>
      <c r="AX144" s="86"/>
      <c r="AY144" s="88"/>
      <c r="AZ144" s="86"/>
      <c r="BA144" s="88"/>
      <c r="BB144" s="86"/>
      <c r="BC144" s="88"/>
      <c r="BD144" s="86"/>
      <c r="BE144" s="88"/>
      <c r="BF144" s="86"/>
      <c r="BG144" s="88"/>
      <c r="BH144" s="86"/>
      <c r="BI144" s="88"/>
      <c r="BJ144" s="86"/>
      <c r="BK144" s="88"/>
      <c r="BL144" s="86"/>
      <c r="BM144" s="88"/>
      <c r="BN144" s="86"/>
      <c r="BO144" s="88"/>
      <c r="BP144" s="86"/>
      <c r="BQ144" s="88"/>
      <c r="BR144" s="86"/>
      <c r="BS144" s="87"/>
    </row>
    <row r="145" ht="22.5" customHeight="1">
      <c r="A145" s="154"/>
      <c r="B145" s="83"/>
      <c r="C145" s="151"/>
      <c r="D145" s="83"/>
      <c r="E145" s="151"/>
      <c r="F145" s="83"/>
      <c r="G145" s="85"/>
      <c r="H145" s="86"/>
      <c r="I145" s="87"/>
      <c r="J145" s="86"/>
      <c r="K145" s="88"/>
      <c r="L145" s="86"/>
      <c r="M145" s="88"/>
      <c r="N145" s="86"/>
      <c r="O145" s="88"/>
      <c r="P145" s="86"/>
      <c r="Q145" s="88"/>
      <c r="R145" s="86"/>
      <c r="S145" s="88"/>
      <c r="T145" s="86"/>
      <c r="U145" s="88"/>
      <c r="V145" s="86"/>
      <c r="W145" s="88"/>
      <c r="X145" s="86"/>
      <c r="Y145" s="88"/>
      <c r="Z145" s="86"/>
      <c r="AA145" s="88"/>
      <c r="AB145" s="86"/>
      <c r="AC145" s="88"/>
      <c r="AD145" s="86"/>
      <c r="AE145" s="88"/>
      <c r="AF145" s="86"/>
      <c r="AG145" s="88"/>
      <c r="AH145" s="86"/>
      <c r="AI145" s="88"/>
      <c r="AJ145" s="86"/>
      <c r="AK145" s="88"/>
      <c r="AL145" s="86"/>
      <c r="AM145" s="88"/>
      <c r="AN145" s="86"/>
      <c r="AO145" s="88"/>
      <c r="AP145" s="86"/>
      <c r="AQ145" s="88"/>
      <c r="AR145" s="86"/>
      <c r="AS145" s="88"/>
      <c r="AT145" s="86"/>
      <c r="AU145" s="88"/>
      <c r="AV145" s="86"/>
      <c r="AW145" s="88"/>
      <c r="AX145" s="86"/>
      <c r="AY145" s="88"/>
      <c r="AZ145" s="86"/>
      <c r="BA145" s="88"/>
      <c r="BB145" s="86"/>
      <c r="BC145" s="88"/>
      <c r="BD145" s="86"/>
      <c r="BE145" s="88"/>
      <c r="BF145" s="86"/>
      <c r="BG145" s="88"/>
      <c r="BH145" s="86"/>
      <c r="BI145" s="88"/>
      <c r="BJ145" s="86"/>
      <c r="BK145" s="88"/>
      <c r="BL145" s="86"/>
      <c r="BM145" s="88"/>
      <c r="BN145" s="86"/>
      <c r="BO145" s="88"/>
      <c r="BP145" s="86"/>
      <c r="BQ145" s="88"/>
      <c r="BR145" s="86"/>
      <c r="BS145" s="87"/>
    </row>
    <row r="146" ht="22.5" customHeight="1">
      <c r="A146" s="154"/>
      <c r="B146" s="83"/>
      <c r="C146" s="151"/>
      <c r="D146" s="83"/>
      <c r="E146" s="151"/>
      <c r="F146" s="83"/>
      <c r="G146" s="85"/>
      <c r="H146" s="86"/>
      <c r="I146" s="87"/>
      <c r="J146" s="86"/>
      <c r="K146" s="88"/>
      <c r="L146" s="86"/>
      <c r="M146" s="88"/>
      <c r="N146" s="86"/>
      <c r="O146" s="88"/>
      <c r="P146" s="86"/>
      <c r="Q146" s="88"/>
      <c r="R146" s="86"/>
      <c r="S146" s="88"/>
      <c r="T146" s="86"/>
      <c r="U146" s="88"/>
      <c r="V146" s="86"/>
      <c r="W146" s="88"/>
      <c r="X146" s="86"/>
      <c r="Y146" s="88"/>
      <c r="Z146" s="86"/>
      <c r="AA146" s="88"/>
      <c r="AB146" s="86"/>
      <c r="AC146" s="88"/>
      <c r="AD146" s="86"/>
      <c r="AE146" s="88"/>
      <c r="AF146" s="86"/>
      <c r="AG146" s="88"/>
      <c r="AH146" s="86"/>
      <c r="AI146" s="88"/>
      <c r="AJ146" s="86"/>
      <c r="AK146" s="88"/>
      <c r="AL146" s="86"/>
      <c r="AM146" s="88"/>
      <c r="AN146" s="86"/>
      <c r="AO146" s="88"/>
      <c r="AP146" s="86"/>
      <c r="AQ146" s="88"/>
      <c r="AR146" s="86"/>
      <c r="AS146" s="88"/>
      <c r="AT146" s="86"/>
      <c r="AU146" s="88"/>
      <c r="AV146" s="86"/>
      <c r="AW146" s="88"/>
      <c r="AX146" s="86"/>
      <c r="AY146" s="88"/>
      <c r="AZ146" s="86"/>
      <c r="BA146" s="88"/>
      <c r="BB146" s="86"/>
      <c r="BC146" s="88"/>
      <c r="BD146" s="86"/>
      <c r="BE146" s="88"/>
      <c r="BF146" s="86"/>
      <c r="BG146" s="88"/>
      <c r="BH146" s="86"/>
      <c r="BI146" s="88"/>
      <c r="BJ146" s="86"/>
      <c r="BK146" s="88"/>
      <c r="BL146" s="86"/>
      <c r="BM146" s="88"/>
      <c r="BN146" s="86"/>
      <c r="BO146" s="88"/>
      <c r="BP146" s="86"/>
      <c r="BQ146" s="88"/>
      <c r="BR146" s="86"/>
      <c r="BS146" s="87"/>
    </row>
    <row r="147" ht="22.5" customHeight="1">
      <c r="A147" s="154"/>
      <c r="B147" s="83"/>
      <c r="C147" s="151"/>
      <c r="D147" s="83"/>
      <c r="E147" s="151"/>
      <c r="F147" s="83"/>
      <c r="G147" s="85"/>
      <c r="H147" s="86"/>
      <c r="I147" s="87"/>
      <c r="J147" s="86"/>
      <c r="K147" s="88"/>
      <c r="L147" s="86"/>
      <c r="M147" s="88"/>
      <c r="N147" s="86"/>
      <c r="O147" s="88"/>
      <c r="P147" s="86"/>
      <c r="Q147" s="88"/>
      <c r="R147" s="86"/>
      <c r="S147" s="88"/>
      <c r="T147" s="86"/>
      <c r="U147" s="88"/>
      <c r="V147" s="86"/>
      <c r="W147" s="88"/>
      <c r="X147" s="86"/>
      <c r="Y147" s="88"/>
      <c r="Z147" s="86"/>
      <c r="AA147" s="88"/>
      <c r="AB147" s="86"/>
      <c r="AC147" s="88"/>
      <c r="AD147" s="86"/>
      <c r="AE147" s="88"/>
      <c r="AF147" s="86"/>
      <c r="AG147" s="88"/>
      <c r="AH147" s="86"/>
      <c r="AI147" s="88"/>
      <c r="AJ147" s="86"/>
      <c r="AK147" s="88"/>
      <c r="AL147" s="86"/>
      <c r="AM147" s="88"/>
      <c r="AN147" s="86"/>
      <c r="AO147" s="88"/>
      <c r="AP147" s="86"/>
      <c r="AQ147" s="88"/>
      <c r="AR147" s="86"/>
      <c r="AS147" s="88"/>
      <c r="AT147" s="86"/>
      <c r="AU147" s="88"/>
      <c r="AV147" s="86"/>
      <c r="AW147" s="88"/>
      <c r="AX147" s="86"/>
      <c r="AY147" s="88"/>
      <c r="AZ147" s="86"/>
      <c r="BA147" s="88"/>
      <c r="BB147" s="86"/>
      <c r="BC147" s="88"/>
      <c r="BD147" s="86"/>
      <c r="BE147" s="88"/>
      <c r="BF147" s="86"/>
      <c r="BG147" s="88"/>
      <c r="BH147" s="86"/>
      <c r="BI147" s="88"/>
      <c r="BJ147" s="86"/>
      <c r="BK147" s="88"/>
      <c r="BL147" s="86"/>
      <c r="BM147" s="88"/>
      <c r="BN147" s="86"/>
      <c r="BO147" s="88"/>
      <c r="BP147" s="86"/>
      <c r="BQ147" s="88"/>
      <c r="BR147" s="86"/>
      <c r="BS147" s="87"/>
    </row>
    <row r="148" ht="22.5" customHeight="1">
      <c r="A148" s="154"/>
      <c r="B148" s="83"/>
      <c r="C148" s="151"/>
      <c r="D148" s="83"/>
      <c r="E148" s="151"/>
      <c r="F148" s="83"/>
      <c r="G148" s="85"/>
      <c r="H148" s="86"/>
      <c r="I148" s="87"/>
      <c r="J148" s="86"/>
      <c r="K148" s="88"/>
      <c r="L148" s="86"/>
      <c r="M148" s="88"/>
      <c r="N148" s="86"/>
      <c r="O148" s="88"/>
      <c r="P148" s="86"/>
      <c r="Q148" s="88"/>
      <c r="R148" s="86"/>
      <c r="S148" s="88"/>
      <c r="T148" s="86"/>
      <c r="U148" s="88"/>
      <c r="V148" s="86"/>
      <c r="W148" s="88"/>
      <c r="X148" s="86"/>
      <c r="Y148" s="88"/>
      <c r="Z148" s="86"/>
      <c r="AA148" s="88"/>
      <c r="AB148" s="86"/>
      <c r="AC148" s="88"/>
      <c r="AD148" s="86"/>
      <c r="AE148" s="88"/>
      <c r="AF148" s="86"/>
      <c r="AG148" s="88"/>
      <c r="AH148" s="86"/>
      <c r="AI148" s="88"/>
      <c r="AJ148" s="86"/>
      <c r="AK148" s="88"/>
      <c r="AL148" s="86"/>
      <c r="AM148" s="88"/>
      <c r="AN148" s="86"/>
      <c r="AO148" s="88"/>
      <c r="AP148" s="86"/>
      <c r="AQ148" s="88"/>
      <c r="AR148" s="86"/>
      <c r="AS148" s="88"/>
      <c r="AT148" s="86"/>
      <c r="AU148" s="88"/>
      <c r="AV148" s="86"/>
      <c r="AW148" s="88"/>
      <c r="AX148" s="86"/>
      <c r="AY148" s="88"/>
      <c r="AZ148" s="86"/>
      <c r="BA148" s="88"/>
      <c r="BB148" s="86"/>
      <c r="BC148" s="88"/>
      <c r="BD148" s="86"/>
      <c r="BE148" s="88"/>
      <c r="BF148" s="86"/>
      <c r="BG148" s="88"/>
      <c r="BH148" s="86"/>
      <c r="BI148" s="88"/>
      <c r="BJ148" s="86"/>
      <c r="BK148" s="88"/>
      <c r="BL148" s="86"/>
      <c r="BM148" s="88"/>
      <c r="BN148" s="86"/>
      <c r="BO148" s="88"/>
      <c r="BP148" s="86"/>
      <c r="BQ148" s="88"/>
      <c r="BR148" s="86"/>
      <c r="BS148" s="87"/>
    </row>
    <row r="149" ht="22.5" customHeight="1">
      <c r="A149" s="154"/>
      <c r="B149" s="83"/>
      <c r="C149" s="151"/>
      <c r="D149" s="83"/>
      <c r="E149" s="151"/>
      <c r="F149" s="83"/>
      <c r="G149" s="85"/>
      <c r="H149" s="86"/>
      <c r="I149" s="87"/>
      <c r="J149" s="86"/>
      <c r="K149" s="88"/>
      <c r="L149" s="86"/>
      <c r="M149" s="88"/>
      <c r="N149" s="86"/>
      <c r="O149" s="88"/>
      <c r="P149" s="86"/>
      <c r="Q149" s="88"/>
      <c r="R149" s="86"/>
      <c r="S149" s="88"/>
      <c r="T149" s="86"/>
      <c r="U149" s="88"/>
      <c r="V149" s="86"/>
      <c r="W149" s="88"/>
      <c r="X149" s="86"/>
      <c r="Y149" s="88"/>
      <c r="Z149" s="86"/>
      <c r="AA149" s="88"/>
      <c r="AB149" s="86"/>
      <c r="AC149" s="88"/>
      <c r="AD149" s="86"/>
      <c r="AE149" s="88"/>
      <c r="AF149" s="86"/>
      <c r="AG149" s="88"/>
      <c r="AH149" s="86"/>
      <c r="AI149" s="88"/>
      <c r="AJ149" s="86"/>
      <c r="AK149" s="88"/>
      <c r="AL149" s="86"/>
      <c r="AM149" s="88"/>
      <c r="AN149" s="86"/>
      <c r="AO149" s="88"/>
      <c r="AP149" s="86"/>
      <c r="AQ149" s="88"/>
      <c r="AR149" s="86"/>
      <c r="AS149" s="88"/>
      <c r="AT149" s="86"/>
      <c r="AU149" s="88"/>
      <c r="AV149" s="86"/>
      <c r="AW149" s="88"/>
      <c r="AX149" s="86"/>
      <c r="AY149" s="88"/>
      <c r="AZ149" s="86"/>
      <c r="BA149" s="88"/>
      <c r="BB149" s="86"/>
      <c r="BC149" s="88"/>
      <c r="BD149" s="86"/>
      <c r="BE149" s="88"/>
      <c r="BF149" s="86"/>
      <c r="BG149" s="88"/>
      <c r="BH149" s="86"/>
      <c r="BI149" s="88"/>
      <c r="BJ149" s="86"/>
      <c r="BK149" s="88"/>
      <c r="BL149" s="86"/>
      <c r="BM149" s="88"/>
      <c r="BN149" s="86"/>
      <c r="BO149" s="88"/>
      <c r="BP149" s="86"/>
      <c r="BQ149" s="88"/>
      <c r="BR149" s="86"/>
      <c r="BS149" s="87"/>
    </row>
    <row r="150" ht="22.5" customHeight="1">
      <c r="A150" s="154"/>
      <c r="B150" s="83"/>
      <c r="C150" s="151"/>
      <c r="D150" s="83"/>
      <c r="E150" s="151"/>
      <c r="F150" s="83"/>
      <c r="G150" s="85"/>
      <c r="H150" s="86"/>
      <c r="I150" s="87"/>
      <c r="J150" s="86"/>
      <c r="K150" s="88"/>
      <c r="L150" s="86"/>
      <c r="M150" s="88"/>
      <c r="N150" s="86"/>
      <c r="O150" s="88"/>
      <c r="P150" s="86"/>
      <c r="Q150" s="88"/>
      <c r="R150" s="86"/>
      <c r="S150" s="88"/>
      <c r="T150" s="86"/>
      <c r="U150" s="88"/>
      <c r="V150" s="86"/>
      <c r="W150" s="88"/>
      <c r="X150" s="86"/>
      <c r="Y150" s="88"/>
      <c r="Z150" s="86"/>
      <c r="AA150" s="88"/>
      <c r="AB150" s="86"/>
      <c r="AC150" s="88"/>
      <c r="AD150" s="86"/>
      <c r="AE150" s="88"/>
      <c r="AF150" s="86"/>
      <c r="AG150" s="88"/>
      <c r="AH150" s="86"/>
      <c r="AI150" s="88"/>
      <c r="AJ150" s="86"/>
      <c r="AK150" s="88"/>
      <c r="AL150" s="86"/>
      <c r="AM150" s="88"/>
      <c r="AN150" s="86"/>
      <c r="AO150" s="88"/>
      <c r="AP150" s="86"/>
      <c r="AQ150" s="88"/>
      <c r="AR150" s="86"/>
      <c r="AS150" s="88"/>
      <c r="AT150" s="86"/>
      <c r="AU150" s="88"/>
      <c r="AV150" s="86"/>
      <c r="AW150" s="88"/>
      <c r="AX150" s="86"/>
      <c r="AY150" s="88"/>
      <c r="AZ150" s="86"/>
      <c r="BA150" s="88"/>
      <c r="BB150" s="86"/>
      <c r="BC150" s="88"/>
      <c r="BD150" s="86"/>
      <c r="BE150" s="88"/>
      <c r="BF150" s="86"/>
      <c r="BG150" s="88"/>
      <c r="BH150" s="86"/>
      <c r="BI150" s="88"/>
      <c r="BJ150" s="86"/>
      <c r="BK150" s="88"/>
      <c r="BL150" s="86"/>
      <c r="BM150" s="88"/>
      <c r="BN150" s="86"/>
      <c r="BO150" s="88"/>
      <c r="BP150" s="86"/>
      <c r="BQ150" s="88"/>
      <c r="BR150" s="86"/>
      <c r="BS150" s="87"/>
    </row>
    <row r="151" ht="22.5" customHeight="1">
      <c r="A151" s="154"/>
      <c r="B151" s="83"/>
      <c r="C151" s="151"/>
      <c r="D151" s="83"/>
      <c r="E151" s="151"/>
      <c r="F151" s="83"/>
      <c r="G151" s="85"/>
      <c r="H151" s="86"/>
      <c r="I151" s="87"/>
      <c r="J151" s="86"/>
      <c r="K151" s="88"/>
      <c r="L151" s="86"/>
      <c r="M151" s="88"/>
      <c r="N151" s="86"/>
      <c r="O151" s="88"/>
      <c r="P151" s="86"/>
      <c r="Q151" s="88"/>
      <c r="R151" s="86"/>
      <c r="S151" s="88"/>
      <c r="T151" s="86"/>
      <c r="U151" s="88"/>
      <c r="V151" s="86"/>
      <c r="W151" s="88"/>
      <c r="X151" s="86"/>
      <c r="Y151" s="88"/>
      <c r="Z151" s="86"/>
      <c r="AA151" s="88"/>
      <c r="AB151" s="86"/>
      <c r="AC151" s="88"/>
      <c r="AD151" s="86"/>
      <c r="AE151" s="88"/>
      <c r="AF151" s="86"/>
      <c r="AG151" s="88"/>
      <c r="AH151" s="86"/>
      <c r="AI151" s="88"/>
      <c r="AJ151" s="86"/>
      <c r="AK151" s="88"/>
      <c r="AL151" s="86"/>
      <c r="AM151" s="88"/>
      <c r="AN151" s="86"/>
      <c r="AO151" s="88"/>
      <c r="AP151" s="86"/>
      <c r="AQ151" s="88"/>
      <c r="AR151" s="86"/>
      <c r="AS151" s="88"/>
      <c r="AT151" s="86"/>
      <c r="AU151" s="88"/>
      <c r="AV151" s="86"/>
      <c r="AW151" s="88"/>
      <c r="AX151" s="86"/>
      <c r="AY151" s="88"/>
      <c r="AZ151" s="86"/>
      <c r="BA151" s="88"/>
      <c r="BB151" s="86"/>
      <c r="BC151" s="88"/>
      <c r="BD151" s="86"/>
      <c r="BE151" s="88"/>
      <c r="BF151" s="86"/>
      <c r="BG151" s="88"/>
      <c r="BH151" s="86"/>
      <c r="BI151" s="88"/>
      <c r="BJ151" s="86"/>
      <c r="BK151" s="88"/>
      <c r="BL151" s="86"/>
      <c r="BM151" s="88"/>
      <c r="BN151" s="86"/>
      <c r="BO151" s="88"/>
      <c r="BP151" s="86"/>
      <c r="BQ151" s="88"/>
      <c r="BR151" s="86"/>
      <c r="BS151" s="87"/>
    </row>
    <row r="152" ht="22.5" customHeight="1">
      <c r="A152" s="154"/>
      <c r="B152" s="83"/>
      <c r="C152" s="151"/>
      <c r="D152" s="83"/>
      <c r="E152" s="151"/>
      <c r="F152" s="83"/>
      <c r="G152" s="85"/>
      <c r="H152" s="86"/>
      <c r="I152" s="87"/>
      <c r="J152" s="86"/>
      <c r="K152" s="88"/>
      <c r="L152" s="86"/>
      <c r="M152" s="88"/>
      <c r="N152" s="86"/>
      <c r="O152" s="88"/>
      <c r="P152" s="86"/>
      <c r="Q152" s="88"/>
      <c r="R152" s="86"/>
      <c r="S152" s="88"/>
      <c r="T152" s="86"/>
      <c r="U152" s="88"/>
      <c r="V152" s="86"/>
      <c r="W152" s="88"/>
      <c r="X152" s="86"/>
      <c r="Y152" s="88"/>
      <c r="Z152" s="86"/>
      <c r="AA152" s="88"/>
      <c r="AB152" s="86"/>
      <c r="AC152" s="88"/>
      <c r="AD152" s="86"/>
      <c r="AE152" s="88"/>
      <c r="AF152" s="86"/>
      <c r="AG152" s="88"/>
      <c r="AH152" s="86"/>
      <c r="AI152" s="88"/>
      <c r="AJ152" s="86"/>
      <c r="AK152" s="88"/>
      <c r="AL152" s="86"/>
      <c r="AM152" s="88"/>
      <c r="AN152" s="86"/>
      <c r="AO152" s="88"/>
      <c r="AP152" s="86"/>
      <c r="AQ152" s="88"/>
      <c r="AR152" s="86"/>
      <c r="AS152" s="88"/>
      <c r="AT152" s="86"/>
      <c r="AU152" s="88"/>
      <c r="AV152" s="86"/>
      <c r="AW152" s="88"/>
      <c r="AX152" s="86"/>
      <c r="AY152" s="88"/>
      <c r="AZ152" s="86"/>
      <c r="BA152" s="88"/>
      <c r="BB152" s="86"/>
      <c r="BC152" s="88"/>
      <c r="BD152" s="86"/>
      <c r="BE152" s="88"/>
      <c r="BF152" s="86"/>
      <c r="BG152" s="88"/>
      <c r="BH152" s="86"/>
      <c r="BI152" s="88"/>
      <c r="BJ152" s="86"/>
      <c r="BK152" s="88"/>
      <c r="BL152" s="86"/>
      <c r="BM152" s="88"/>
      <c r="BN152" s="86"/>
      <c r="BO152" s="88"/>
      <c r="BP152" s="86"/>
      <c r="BQ152" s="88"/>
      <c r="BR152" s="86"/>
      <c r="BS152" s="87"/>
    </row>
    <row r="153" ht="22.5" customHeight="1">
      <c r="A153" s="154"/>
      <c r="B153" s="83"/>
      <c r="C153" s="151"/>
      <c r="D153" s="83"/>
      <c r="E153" s="151"/>
      <c r="F153" s="83"/>
      <c r="G153" s="85"/>
      <c r="H153" s="86"/>
      <c r="I153" s="87"/>
      <c r="J153" s="86"/>
      <c r="K153" s="88"/>
      <c r="L153" s="86"/>
      <c r="M153" s="88"/>
      <c r="N153" s="86"/>
      <c r="O153" s="88"/>
      <c r="P153" s="86"/>
      <c r="Q153" s="88"/>
      <c r="R153" s="86"/>
      <c r="S153" s="88"/>
      <c r="T153" s="86"/>
      <c r="U153" s="88"/>
      <c r="V153" s="86"/>
      <c r="W153" s="88"/>
      <c r="X153" s="86"/>
      <c r="Y153" s="88"/>
      <c r="Z153" s="86"/>
      <c r="AA153" s="88"/>
      <c r="AB153" s="86"/>
      <c r="AC153" s="88"/>
      <c r="AD153" s="86"/>
      <c r="AE153" s="88"/>
      <c r="AF153" s="86"/>
      <c r="AG153" s="88"/>
      <c r="AH153" s="86"/>
      <c r="AI153" s="88"/>
      <c r="AJ153" s="86"/>
      <c r="AK153" s="88"/>
      <c r="AL153" s="86"/>
      <c r="AM153" s="88"/>
      <c r="AN153" s="86"/>
      <c r="AO153" s="88"/>
      <c r="AP153" s="86"/>
      <c r="AQ153" s="88"/>
      <c r="AR153" s="86"/>
      <c r="AS153" s="88"/>
      <c r="AT153" s="86"/>
      <c r="AU153" s="88"/>
      <c r="AV153" s="86"/>
      <c r="AW153" s="88"/>
      <c r="AX153" s="86"/>
      <c r="AY153" s="88"/>
      <c r="AZ153" s="86"/>
      <c r="BA153" s="88"/>
      <c r="BB153" s="86"/>
      <c r="BC153" s="88"/>
      <c r="BD153" s="86"/>
      <c r="BE153" s="88"/>
      <c r="BF153" s="86"/>
      <c r="BG153" s="88"/>
      <c r="BH153" s="86"/>
      <c r="BI153" s="88"/>
      <c r="BJ153" s="86"/>
      <c r="BK153" s="88"/>
      <c r="BL153" s="86"/>
      <c r="BM153" s="88"/>
      <c r="BN153" s="86"/>
      <c r="BO153" s="88"/>
      <c r="BP153" s="86"/>
      <c r="BQ153" s="88"/>
      <c r="BR153" s="86"/>
      <c r="BS153" s="87"/>
    </row>
    <row r="154" ht="22.5" customHeight="1">
      <c r="A154" s="154"/>
      <c r="B154" s="83"/>
      <c r="C154" s="151"/>
      <c r="D154" s="83"/>
      <c r="E154" s="151"/>
      <c r="F154" s="83"/>
      <c r="G154" s="85"/>
      <c r="H154" s="86"/>
      <c r="I154" s="87"/>
      <c r="J154" s="86"/>
      <c r="K154" s="88"/>
      <c r="L154" s="86"/>
      <c r="M154" s="88"/>
      <c r="N154" s="86"/>
      <c r="O154" s="88"/>
      <c r="P154" s="86"/>
      <c r="Q154" s="88"/>
      <c r="R154" s="86"/>
      <c r="S154" s="88"/>
      <c r="T154" s="86"/>
      <c r="U154" s="88"/>
      <c r="V154" s="86"/>
      <c r="W154" s="88"/>
      <c r="X154" s="86"/>
      <c r="Y154" s="88"/>
      <c r="Z154" s="86"/>
      <c r="AA154" s="88"/>
      <c r="AB154" s="86"/>
      <c r="AC154" s="88"/>
      <c r="AD154" s="86"/>
      <c r="AE154" s="88"/>
      <c r="AF154" s="86"/>
      <c r="AG154" s="88"/>
      <c r="AH154" s="86"/>
      <c r="AI154" s="88"/>
      <c r="AJ154" s="86"/>
      <c r="AK154" s="88"/>
      <c r="AL154" s="86"/>
      <c r="AM154" s="88"/>
      <c r="AN154" s="86"/>
      <c r="AO154" s="88"/>
      <c r="AP154" s="86"/>
      <c r="AQ154" s="88"/>
      <c r="AR154" s="86"/>
      <c r="AS154" s="88"/>
      <c r="AT154" s="86"/>
      <c r="AU154" s="88"/>
      <c r="AV154" s="86"/>
      <c r="AW154" s="88"/>
      <c r="AX154" s="86"/>
      <c r="AY154" s="88"/>
      <c r="AZ154" s="86"/>
      <c r="BA154" s="88"/>
      <c r="BB154" s="86"/>
      <c r="BC154" s="88"/>
      <c r="BD154" s="86"/>
      <c r="BE154" s="88"/>
      <c r="BF154" s="86"/>
      <c r="BG154" s="88"/>
      <c r="BH154" s="86"/>
      <c r="BI154" s="88"/>
      <c r="BJ154" s="86"/>
      <c r="BK154" s="88"/>
      <c r="BL154" s="86"/>
      <c r="BM154" s="88"/>
      <c r="BN154" s="86"/>
      <c r="BO154" s="88"/>
      <c r="BP154" s="86"/>
      <c r="BQ154" s="88"/>
      <c r="BR154" s="86"/>
      <c r="BS154" s="87"/>
    </row>
    <row r="155" ht="22.5" customHeight="1">
      <c r="A155" s="154"/>
      <c r="B155" s="83"/>
      <c r="C155" s="151"/>
      <c r="D155" s="83"/>
      <c r="E155" s="151"/>
      <c r="F155" s="83"/>
      <c r="G155" s="85"/>
      <c r="H155" s="86"/>
      <c r="I155" s="87"/>
      <c r="J155" s="86"/>
      <c r="K155" s="88"/>
      <c r="L155" s="86"/>
      <c r="M155" s="88"/>
      <c r="N155" s="86"/>
      <c r="O155" s="88"/>
      <c r="P155" s="86"/>
      <c r="Q155" s="88"/>
      <c r="R155" s="86"/>
      <c r="S155" s="88"/>
      <c r="T155" s="86"/>
      <c r="U155" s="88"/>
      <c r="V155" s="86"/>
      <c r="W155" s="88"/>
      <c r="X155" s="86"/>
      <c r="Y155" s="88"/>
      <c r="Z155" s="86"/>
      <c r="AA155" s="88"/>
      <c r="AB155" s="86"/>
      <c r="AC155" s="88"/>
      <c r="AD155" s="86"/>
      <c r="AE155" s="88"/>
      <c r="AF155" s="86"/>
      <c r="AG155" s="88"/>
      <c r="AH155" s="86"/>
      <c r="AI155" s="88"/>
      <c r="AJ155" s="86"/>
      <c r="AK155" s="88"/>
      <c r="AL155" s="86"/>
      <c r="AM155" s="88"/>
      <c r="AN155" s="86"/>
      <c r="AO155" s="88"/>
      <c r="AP155" s="86"/>
      <c r="AQ155" s="88"/>
      <c r="AR155" s="86"/>
      <c r="AS155" s="88"/>
      <c r="AT155" s="86"/>
      <c r="AU155" s="88"/>
      <c r="AV155" s="86"/>
      <c r="AW155" s="88"/>
      <c r="AX155" s="86"/>
      <c r="AY155" s="88"/>
      <c r="AZ155" s="86"/>
      <c r="BA155" s="88"/>
      <c r="BB155" s="86"/>
      <c r="BC155" s="88"/>
      <c r="BD155" s="86"/>
      <c r="BE155" s="88"/>
      <c r="BF155" s="86"/>
      <c r="BG155" s="88"/>
      <c r="BH155" s="86"/>
      <c r="BI155" s="88"/>
      <c r="BJ155" s="86"/>
      <c r="BK155" s="88"/>
      <c r="BL155" s="86"/>
      <c r="BM155" s="88"/>
      <c r="BN155" s="86"/>
      <c r="BO155" s="88"/>
      <c r="BP155" s="86"/>
      <c r="BQ155" s="88"/>
      <c r="BR155" s="86"/>
      <c r="BS155" s="87"/>
    </row>
    <row r="156" ht="22.5" customHeight="1">
      <c r="A156" s="154"/>
      <c r="B156" s="83"/>
      <c r="C156" s="151"/>
      <c r="D156" s="83"/>
      <c r="E156" s="151"/>
      <c r="F156" s="83"/>
      <c r="G156" s="85"/>
      <c r="H156" s="86"/>
      <c r="I156" s="87"/>
      <c r="J156" s="86"/>
      <c r="K156" s="88"/>
      <c r="L156" s="86"/>
      <c r="M156" s="88"/>
      <c r="N156" s="86"/>
      <c r="O156" s="88"/>
      <c r="P156" s="86"/>
      <c r="Q156" s="88"/>
      <c r="R156" s="86"/>
      <c r="S156" s="88"/>
      <c r="T156" s="86"/>
      <c r="U156" s="88"/>
      <c r="V156" s="86"/>
      <c r="W156" s="88"/>
      <c r="X156" s="86"/>
      <c r="Y156" s="88"/>
      <c r="Z156" s="86"/>
      <c r="AA156" s="88"/>
      <c r="AB156" s="86"/>
      <c r="AC156" s="88"/>
      <c r="AD156" s="86"/>
      <c r="AE156" s="88"/>
      <c r="AF156" s="86"/>
      <c r="AG156" s="88"/>
      <c r="AH156" s="86"/>
      <c r="AI156" s="88"/>
      <c r="AJ156" s="86"/>
      <c r="AK156" s="88"/>
      <c r="AL156" s="86"/>
      <c r="AM156" s="88"/>
      <c r="AN156" s="86"/>
      <c r="AO156" s="88"/>
      <c r="AP156" s="86"/>
      <c r="AQ156" s="88"/>
      <c r="AR156" s="86"/>
      <c r="AS156" s="88"/>
      <c r="AT156" s="86"/>
      <c r="AU156" s="88"/>
      <c r="AV156" s="86"/>
      <c r="AW156" s="88"/>
      <c r="AX156" s="86"/>
      <c r="AY156" s="88"/>
      <c r="AZ156" s="86"/>
      <c r="BA156" s="88"/>
      <c r="BB156" s="86"/>
      <c r="BC156" s="88"/>
      <c r="BD156" s="86"/>
      <c r="BE156" s="88"/>
      <c r="BF156" s="86"/>
      <c r="BG156" s="88"/>
      <c r="BH156" s="86"/>
      <c r="BI156" s="88"/>
      <c r="BJ156" s="86"/>
      <c r="BK156" s="88"/>
      <c r="BL156" s="86"/>
      <c r="BM156" s="88"/>
      <c r="BN156" s="86"/>
      <c r="BO156" s="88"/>
      <c r="BP156" s="86"/>
      <c r="BQ156" s="88"/>
      <c r="BR156" s="86"/>
      <c r="BS156" s="87"/>
    </row>
    <row r="157" ht="22.5" customHeight="1">
      <c r="A157" s="154"/>
      <c r="B157" s="83"/>
      <c r="C157" s="151"/>
      <c r="D157" s="83"/>
      <c r="E157" s="151"/>
      <c r="F157" s="83"/>
      <c r="G157" s="85"/>
      <c r="H157" s="86"/>
      <c r="I157" s="87"/>
      <c r="J157" s="86"/>
      <c r="K157" s="88"/>
      <c r="L157" s="86"/>
      <c r="M157" s="88"/>
      <c r="N157" s="86"/>
      <c r="O157" s="88"/>
      <c r="P157" s="86"/>
      <c r="Q157" s="88"/>
      <c r="R157" s="86"/>
      <c r="S157" s="88"/>
      <c r="T157" s="86"/>
      <c r="U157" s="88"/>
      <c r="V157" s="86"/>
      <c r="W157" s="88"/>
      <c r="X157" s="86"/>
      <c r="Y157" s="88"/>
      <c r="Z157" s="86"/>
      <c r="AA157" s="88"/>
      <c r="AB157" s="86"/>
      <c r="AC157" s="88"/>
      <c r="AD157" s="86"/>
      <c r="AE157" s="88"/>
      <c r="AF157" s="86"/>
      <c r="AG157" s="88"/>
      <c r="AH157" s="86"/>
      <c r="AI157" s="88"/>
      <c r="AJ157" s="86"/>
      <c r="AK157" s="88"/>
      <c r="AL157" s="86"/>
      <c r="AM157" s="88"/>
      <c r="AN157" s="86"/>
      <c r="AO157" s="88"/>
      <c r="AP157" s="86"/>
      <c r="AQ157" s="88"/>
      <c r="AR157" s="86"/>
      <c r="AS157" s="88"/>
      <c r="AT157" s="86"/>
      <c r="AU157" s="88"/>
      <c r="AV157" s="86"/>
      <c r="AW157" s="88"/>
      <c r="AX157" s="86"/>
      <c r="AY157" s="88"/>
      <c r="AZ157" s="86"/>
      <c r="BA157" s="88"/>
      <c r="BB157" s="86"/>
      <c r="BC157" s="88"/>
      <c r="BD157" s="86"/>
      <c r="BE157" s="88"/>
      <c r="BF157" s="86"/>
      <c r="BG157" s="88"/>
      <c r="BH157" s="86"/>
      <c r="BI157" s="88"/>
      <c r="BJ157" s="86"/>
      <c r="BK157" s="88"/>
      <c r="BL157" s="86"/>
      <c r="BM157" s="88"/>
      <c r="BN157" s="86"/>
      <c r="BO157" s="88"/>
      <c r="BP157" s="86"/>
      <c r="BQ157" s="88"/>
      <c r="BR157" s="86"/>
      <c r="BS157" s="87"/>
    </row>
    <row r="158" ht="22.5" customHeight="1">
      <c r="A158" s="154"/>
      <c r="B158" s="83"/>
      <c r="C158" s="151"/>
      <c r="D158" s="83"/>
      <c r="E158" s="151"/>
      <c r="F158" s="83"/>
      <c r="G158" s="85"/>
      <c r="H158" s="86"/>
      <c r="I158" s="87"/>
      <c r="J158" s="86"/>
      <c r="K158" s="88"/>
      <c r="L158" s="86"/>
      <c r="M158" s="88"/>
      <c r="N158" s="86"/>
      <c r="O158" s="88"/>
      <c r="P158" s="86"/>
      <c r="Q158" s="88"/>
      <c r="R158" s="86"/>
      <c r="S158" s="88"/>
      <c r="T158" s="86"/>
      <c r="U158" s="88"/>
      <c r="V158" s="86"/>
      <c r="W158" s="88"/>
      <c r="X158" s="86"/>
      <c r="Y158" s="88"/>
      <c r="Z158" s="86"/>
      <c r="AA158" s="88"/>
      <c r="AB158" s="86"/>
      <c r="AC158" s="88"/>
      <c r="AD158" s="86"/>
      <c r="AE158" s="88"/>
      <c r="AF158" s="86"/>
      <c r="AG158" s="88"/>
      <c r="AH158" s="86"/>
      <c r="AI158" s="88"/>
      <c r="AJ158" s="86"/>
      <c r="AK158" s="88"/>
      <c r="AL158" s="86"/>
      <c r="AM158" s="88"/>
      <c r="AN158" s="86"/>
      <c r="AO158" s="88"/>
      <c r="AP158" s="86"/>
      <c r="AQ158" s="88"/>
      <c r="AR158" s="86"/>
      <c r="AS158" s="88"/>
      <c r="AT158" s="86"/>
      <c r="AU158" s="88"/>
      <c r="AV158" s="86"/>
      <c r="AW158" s="88"/>
      <c r="AX158" s="86"/>
      <c r="AY158" s="88"/>
      <c r="AZ158" s="86"/>
      <c r="BA158" s="88"/>
      <c r="BB158" s="86"/>
      <c r="BC158" s="88"/>
      <c r="BD158" s="86"/>
      <c r="BE158" s="88"/>
      <c r="BF158" s="86"/>
      <c r="BG158" s="88"/>
      <c r="BH158" s="86"/>
      <c r="BI158" s="88"/>
      <c r="BJ158" s="86"/>
      <c r="BK158" s="88"/>
      <c r="BL158" s="86"/>
      <c r="BM158" s="88"/>
      <c r="BN158" s="86"/>
      <c r="BO158" s="88"/>
      <c r="BP158" s="86"/>
      <c r="BQ158" s="88"/>
      <c r="BR158" s="86"/>
      <c r="BS158" s="87"/>
    </row>
    <row r="159" ht="22.5" customHeight="1">
      <c r="A159" s="154"/>
      <c r="B159" s="83"/>
      <c r="C159" s="151"/>
      <c r="D159" s="83"/>
      <c r="E159" s="151"/>
      <c r="F159" s="83"/>
      <c r="G159" s="85"/>
      <c r="H159" s="86"/>
      <c r="I159" s="87"/>
      <c r="J159" s="86"/>
      <c r="K159" s="88"/>
      <c r="L159" s="86"/>
      <c r="M159" s="88"/>
      <c r="N159" s="86"/>
      <c r="O159" s="88"/>
      <c r="P159" s="86"/>
      <c r="Q159" s="88"/>
      <c r="R159" s="86"/>
      <c r="S159" s="88"/>
      <c r="T159" s="86"/>
      <c r="U159" s="88"/>
      <c r="V159" s="86"/>
      <c r="W159" s="88"/>
      <c r="X159" s="86"/>
      <c r="Y159" s="88"/>
      <c r="Z159" s="86"/>
      <c r="AA159" s="88"/>
      <c r="AB159" s="86"/>
      <c r="AC159" s="88"/>
      <c r="AD159" s="86"/>
      <c r="AE159" s="88"/>
      <c r="AF159" s="86"/>
      <c r="AG159" s="88"/>
      <c r="AH159" s="86"/>
      <c r="AI159" s="88"/>
      <c r="AJ159" s="86"/>
      <c r="AK159" s="88"/>
      <c r="AL159" s="86"/>
      <c r="AM159" s="88"/>
      <c r="AN159" s="86"/>
      <c r="AO159" s="88"/>
      <c r="AP159" s="86"/>
      <c r="AQ159" s="88"/>
      <c r="AR159" s="86"/>
      <c r="AS159" s="88"/>
      <c r="AT159" s="86"/>
      <c r="AU159" s="88"/>
      <c r="AV159" s="86"/>
      <c r="AW159" s="88"/>
      <c r="AX159" s="86"/>
      <c r="AY159" s="88"/>
      <c r="AZ159" s="86"/>
      <c r="BA159" s="88"/>
      <c r="BB159" s="86"/>
      <c r="BC159" s="88"/>
      <c r="BD159" s="86"/>
      <c r="BE159" s="88"/>
      <c r="BF159" s="86"/>
      <c r="BG159" s="88"/>
      <c r="BH159" s="86"/>
      <c r="BI159" s="88"/>
      <c r="BJ159" s="86"/>
      <c r="BK159" s="88"/>
      <c r="BL159" s="86"/>
      <c r="BM159" s="88"/>
      <c r="BN159" s="86"/>
      <c r="BO159" s="88"/>
      <c r="BP159" s="86"/>
      <c r="BQ159" s="88"/>
      <c r="BR159" s="86"/>
      <c r="BS159" s="87"/>
    </row>
    <row r="160" ht="22.5" customHeight="1">
      <c r="A160" s="154"/>
      <c r="B160" s="83"/>
      <c r="C160" s="151"/>
      <c r="D160" s="83"/>
      <c r="E160" s="151"/>
      <c r="F160" s="83"/>
      <c r="G160" s="85"/>
      <c r="H160" s="86"/>
      <c r="I160" s="87"/>
      <c r="J160" s="86"/>
      <c r="K160" s="88"/>
      <c r="L160" s="86"/>
      <c r="M160" s="88"/>
      <c r="N160" s="86"/>
      <c r="O160" s="88"/>
      <c r="P160" s="86"/>
      <c r="Q160" s="88"/>
      <c r="R160" s="86"/>
      <c r="S160" s="88"/>
      <c r="T160" s="86"/>
      <c r="U160" s="88"/>
      <c r="V160" s="86"/>
      <c r="W160" s="88"/>
      <c r="X160" s="86"/>
      <c r="Y160" s="88"/>
      <c r="Z160" s="86"/>
      <c r="AA160" s="88"/>
      <c r="AB160" s="86"/>
      <c r="AC160" s="88"/>
      <c r="AD160" s="86"/>
      <c r="AE160" s="88"/>
      <c r="AF160" s="86"/>
      <c r="AG160" s="88"/>
      <c r="AH160" s="86"/>
      <c r="AI160" s="88"/>
      <c r="AJ160" s="86"/>
      <c r="AK160" s="88"/>
      <c r="AL160" s="86"/>
      <c r="AM160" s="88"/>
      <c r="AN160" s="86"/>
      <c r="AO160" s="88"/>
      <c r="AP160" s="86"/>
      <c r="AQ160" s="88"/>
      <c r="AR160" s="86"/>
      <c r="AS160" s="88"/>
      <c r="AT160" s="86"/>
      <c r="AU160" s="88"/>
      <c r="AV160" s="86"/>
      <c r="AW160" s="88"/>
      <c r="AX160" s="86"/>
      <c r="AY160" s="88"/>
      <c r="AZ160" s="86"/>
      <c r="BA160" s="88"/>
      <c r="BB160" s="86"/>
      <c r="BC160" s="88"/>
      <c r="BD160" s="86"/>
      <c r="BE160" s="88"/>
      <c r="BF160" s="86"/>
      <c r="BG160" s="88"/>
      <c r="BH160" s="86"/>
      <c r="BI160" s="88"/>
      <c r="BJ160" s="86"/>
      <c r="BK160" s="88"/>
      <c r="BL160" s="86"/>
      <c r="BM160" s="88"/>
      <c r="BN160" s="86"/>
      <c r="BO160" s="88"/>
      <c r="BP160" s="86"/>
      <c r="BQ160" s="88"/>
      <c r="BR160" s="86"/>
      <c r="BS160" s="87"/>
    </row>
    <row r="161" ht="22.5" customHeight="1">
      <c r="A161" s="154"/>
      <c r="B161" s="83"/>
      <c r="C161" s="151"/>
      <c r="D161" s="83"/>
      <c r="E161" s="151"/>
      <c r="F161" s="83"/>
      <c r="G161" s="85"/>
      <c r="H161" s="86"/>
      <c r="I161" s="87"/>
      <c r="J161" s="86"/>
      <c r="K161" s="88"/>
      <c r="L161" s="86"/>
      <c r="M161" s="88"/>
      <c r="N161" s="86"/>
      <c r="O161" s="88"/>
      <c r="P161" s="86"/>
      <c r="Q161" s="88"/>
      <c r="R161" s="86"/>
      <c r="S161" s="88"/>
      <c r="T161" s="86"/>
      <c r="U161" s="88"/>
      <c r="V161" s="86"/>
      <c r="W161" s="88"/>
      <c r="X161" s="86"/>
      <c r="Y161" s="88"/>
      <c r="Z161" s="86"/>
      <c r="AA161" s="88"/>
      <c r="AB161" s="86"/>
      <c r="AC161" s="88"/>
      <c r="AD161" s="86"/>
      <c r="AE161" s="88"/>
      <c r="AF161" s="86"/>
      <c r="AG161" s="88"/>
      <c r="AH161" s="86"/>
      <c r="AI161" s="88"/>
      <c r="AJ161" s="86"/>
      <c r="AK161" s="88"/>
      <c r="AL161" s="86"/>
      <c r="AM161" s="88"/>
      <c r="AN161" s="86"/>
      <c r="AO161" s="88"/>
      <c r="AP161" s="86"/>
      <c r="AQ161" s="88"/>
      <c r="AR161" s="86"/>
      <c r="AS161" s="88"/>
      <c r="AT161" s="86"/>
      <c r="AU161" s="88"/>
      <c r="AV161" s="86"/>
      <c r="AW161" s="88"/>
      <c r="AX161" s="86"/>
      <c r="AY161" s="88"/>
      <c r="AZ161" s="86"/>
      <c r="BA161" s="88"/>
      <c r="BB161" s="86"/>
      <c r="BC161" s="88"/>
      <c r="BD161" s="86"/>
      <c r="BE161" s="88"/>
      <c r="BF161" s="86"/>
      <c r="BG161" s="88"/>
      <c r="BH161" s="86"/>
      <c r="BI161" s="88"/>
      <c r="BJ161" s="86"/>
      <c r="BK161" s="88"/>
      <c r="BL161" s="86"/>
      <c r="BM161" s="88"/>
      <c r="BN161" s="86"/>
      <c r="BO161" s="88"/>
      <c r="BP161" s="86"/>
      <c r="BQ161" s="88"/>
      <c r="BR161" s="86"/>
      <c r="BS161" s="87"/>
    </row>
    <row r="162" ht="22.5" customHeight="1">
      <c r="A162" s="154"/>
      <c r="B162" s="83"/>
      <c r="C162" s="151"/>
      <c r="D162" s="83"/>
      <c r="E162" s="151"/>
      <c r="F162" s="83"/>
      <c r="G162" s="85"/>
      <c r="H162" s="86"/>
      <c r="I162" s="87"/>
      <c r="J162" s="86"/>
      <c r="K162" s="88"/>
      <c r="L162" s="86"/>
      <c r="M162" s="88"/>
      <c r="N162" s="86"/>
      <c r="O162" s="88"/>
      <c r="P162" s="86"/>
      <c r="Q162" s="88"/>
      <c r="R162" s="86"/>
      <c r="S162" s="88"/>
      <c r="T162" s="86"/>
      <c r="U162" s="88"/>
      <c r="V162" s="86"/>
      <c r="W162" s="88"/>
      <c r="X162" s="86"/>
      <c r="Y162" s="88"/>
      <c r="Z162" s="86"/>
      <c r="AA162" s="88"/>
      <c r="AB162" s="86"/>
      <c r="AC162" s="88"/>
      <c r="AD162" s="86"/>
      <c r="AE162" s="88"/>
      <c r="AF162" s="86"/>
      <c r="AG162" s="88"/>
      <c r="AH162" s="86"/>
      <c r="AI162" s="88"/>
      <c r="AJ162" s="86"/>
      <c r="AK162" s="88"/>
      <c r="AL162" s="86"/>
      <c r="AM162" s="88"/>
      <c r="AN162" s="86"/>
      <c r="AO162" s="88"/>
      <c r="AP162" s="86"/>
      <c r="AQ162" s="88"/>
      <c r="AR162" s="86"/>
      <c r="AS162" s="88"/>
      <c r="AT162" s="86"/>
      <c r="AU162" s="88"/>
      <c r="AV162" s="86"/>
      <c r="AW162" s="88"/>
      <c r="AX162" s="86"/>
      <c r="AY162" s="88"/>
      <c r="AZ162" s="86"/>
      <c r="BA162" s="88"/>
      <c r="BB162" s="86"/>
      <c r="BC162" s="88"/>
      <c r="BD162" s="86"/>
      <c r="BE162" s="88"/>
      <c r="BF162" s="86"/>
      <c r="BG162" s="88"/>
      <c r="BH162" s="86"/>
      <c r="BI162" s="88"/>
      <c r="BJ162" s="86"/>
      <c r="BK162" s="88"/>
      <c r="BL162" s="86"/>
      <c r="BM162" s="88"/>
      <c r="BN162" s="86"/>
      <c r="BO162" s="88"/>
      <c r="BP162" s="86"/>
      <c r="BQ162" s="88"/>
      <c r="BR162" s="86"/>
      <c r="BS162" s="87"/>
    </row>
    <row r="163" ht="22.5" customHeight="1">
      <c r="A163" s="154"/>
      <c r="B163" s="83"/>
      <c r="C163" s="151"/>
      <c r="D163" s="83"/>
      <c r="E163" s="151"/>
      <c r="F163" s="83"/>
      <c r="G163" s="85"/>
      <c r="H163" s="86"/>
      <c r="I163" s="87"/>
      <c r="J163" s="86"/>
      <c r="K163" s="88"/>
      <c r="L163" s="86"/>
      <c r="M163" s="88"/>
      <c r="N163" s="86"/>
      <c r="O163" s="88"/>
      <c r="P163" s="86"/>
      <c r="Q163" s="88"/>
      <c r="R163" s="86"/>
      <c r="S163" s="88"/>
      <c r="T163" s="86"/>
      <c r="U163" s="88"/>
      <c r="V163" s="86"/>
      <c r="W163" s="88"/>
      <c r="X163" s="86"/>
      <c r="Y163" s="88"/>
      <c r="Z163" s="86"/>
      <c r="AA163" s="88"/>
      <c r="AB163" s="86"/>
      <c r="AC163" s="88"/>
      <c r="AD163" s="86"/>
      <c r="AE163" s="88"/>
      <c r="AF163" s="86"/>
      <c r="AG163" s="88"/>
      <c r="AH163" s="86"/>
      <c r="AI163" s="88"/>
      <c r="AJ163" s="86"/>
      <c r="AK163" s="88"/>
      <c r="AL163" s="86"/>
      <c r="AM163" s="88"/>
      <c r="AN163" s="86"/>
      <c r="AO163" s="88"/>
      <c r="AP163" s="86"/>
      <c r="AQ163" s="88"/>
      <c r="AR163" s="86"/>
      <c r="AS163" s="88"/>
      <c r="AT163" s="86"/>
      <c r="AU163" s="88"/>
      <c r="AV163" s="86"/>
      <c r="AW163" s="88"/>
      <c r="AX163" s="86"/>
      <c r="AY163" s="88"/>
      <c r="AZ163" s="86"/>
      <c r="BA163" s="88"/>
      <c r="BB163" s="86"/>
      <c r="BC163" s="88"/>
      <c r="BD163" s="86"/>
      <c r="BE163" s="88"/>
      <c r="BF163" s="86"/>
      <c r="BG163" s="88"/>
      <c r="BH163" s="86"/>
      <c r="BI163" s="88"/>
      <c r="BJ163" s="86"/>
      <c r="BK163" s="88"/>
      <c r="BL163" s="86"/>
      <c r="BM163" s="88"/>
      <c r="BN163" s="86"/>
      <c r="BO163" s="88"/>
      <c r="BP163" s="86"/>
      <c r="BQ163" s="88"/>
      <c r="BR163" s="86"/>
      <c r="BS163" s="87"/>
    </row>
    <row r="164" ht="22.5" customHeight="1">
      <c r="A164" s="154"/>
      <c r="B164" s="83"/>
      <c r="C164" s="151"/>
      <c r="D164" s="83"/>
      <c r="E164" s="151"/>
      <c r="F164" s="83"/>
      <c r="G164" s="85"/>
      <c r="H164" s="86"/>
      <c r="I164" s="87"/>
      <c r="J164" s="86"/>
      <c r="K164" s="88"/>
      <c r="L164" s="86"/>
      <c r="M164" s="88"/>
      <c r="N164" s="86"/>
      <c r="O164" s="88"/>
      <c r="P164" s="86"/>
      <c r="Q164" s="88"/>
      <c r="R164" s="86"/>
      <c r="S164" s="88"/>
      <c r="T164" s="86"/>
      <c r="U164" s="88"/>
      <c r="V164" s="86"/>
      <c r="W164" s="88"/>
      <c r="X164" s="86"/>
      <c r="Y164" s="88"/>
      <c r="Z164" s="86"/>
      <c r="AA164" s="88"/>
      <c r="AB164" s="86"/>
      <c r="AC164" s="88"/>
      <c r="AD164" s="86"/>
      <c r="AE164" s="88"/>
      <c r="AF164" s="86"/>
      <c r="AG164" s="88"/>
      <c r="AH164" s="86"/>
      <c r="AI164" s="88"/>
      <c r="AJ164" s="86"/>
      <c r="AK164" s="88"/>
      <c r="AL164" s="86"/>
      <c r="AM164" s="88"/>
      <c r="AN164" s="86"/>
      <c r="AO164" s="88"/>
      <c r="AP164" s="86"/>
      <c r="AQ164" s="88"/>
      <c r="AR164" s="86"/>
      <c r="AS164" s="88"/>
      <c r="AT164" s="86"/>
      <c r="AU164" s="88"/>
      <c r="AV164" s="86"/>
      <c r="AW164" s="88"/>
      <c r="AX164" s="86"/>
      <c r="AY164" s="88"/>
      <c r="AZ164" s="86"/>
      <c r="BA164" s="88"/>
      <c r="BB164" s="86"/>
      <c r="BC164" s="88"/>
      <c r="BD164" s="86"/>
      <c r="BE164" s="88"/>
      <c r="BF164" s="86"/>
      <c r="BG164" s="88"/>
      <c r="BH164" s="86"/>
      <c r="BI164" s="88"/>
      <c r="BJ164" s="86"/>
      <c r="BK164" s="88"/>
      <c r="BL164" s="86"/>
      <c r="BM164" s="88"/>
      <c r="BN164" s="86"/>
      <c r="BO164" s="88"/>
      <c r="BP164" s="86"/>
      <c r="BQ164" s="88"/>
      <c r="BR164" s="86"/>
      <c r="BS164" s="87"/>
    </row>
    <row r="165" ht="22.5" customHeight="1">
      <c r="A165" s="154"/>
      <c r="B165" s="83"/>
      <c r="C165" s="151"/>
      <c r="D165" s="83"/>
      <c r="E165" s="151"/>
      <c r="F165" s="83"/>
      <c r="G165" s="85"/>
      <c r="H165" s="86"/>
      <c r="I165" s="87"/>
      <c r="J165" s="86"/>
      <c r="K165" s="88"/>
      <c r="L165" s="86"/>
      <c r="M165" s="88"/>
      <c r="N165" s="86"/>
      <c r="O165" s="88"/>
      <c r="P165" s="86"/>
      <c r="Q165" s="88"/>
      <c r="R165" s="86"/>
      <c r="S165" s="88"/>
      <c r="T165" s="86"/>
      <c r="U165" s="88"/>
      <c r="V165" s="86"/>
      <c r="W165" s="88"/>
      <c r="X165" s="86"/>
      <c r="Y165" s="88"/>
      <c r="Z165" s="86"/>
      <c r="AA165" s="88"/>
      <c r="AB165" s="86"/>
      <c r="AC165" s="88"/>
      <c r="AD165" s="86"/>
      <c r="AE165" s="88"/>
      <c r="AF165" s="86"/>
      <c r="AG165" s="88"/>
      <c r="AH165" s="86"/>
      <c r="AI165" s="88"/>
      <c r="AJ165" s="86"/>
      <c r="AK165" s="88"/>
      <c r="AL165" s="86"/>
      <c r="AM165" s="88"/>
      <c r="AN165" s="86"/>
      <c r="AO165" s="88"/>
      <c r="AP165" s="86"/>
      <c r="AQ165" s="88"/>
      <c r="AR165" s="86"/>
      <c r="AS165" s="88"/>
      <c r="AT165" s="86"/>
      <c r="AU165" s="88"/>
      <c r="AV165" s="86"/>
      <c r="AW165" s="88"/>
      <c r="AX165" s="86"/>
      <c r="AY165" s="88"/>
      <c r="AZ165" s="86"/>
      <c r="BA165" s="88"/>
      <c r="BB165" s="86"/>
      <c r="BC165" s="88"/>
      <c r="BD165" s="86"/>
      <c r="BE165" s="88"/>
      <c r="BF165" s="86"/>
      <c r="BG165" s="88"/>
      <c r="BH165" s="86"/>
      <c r="BI165" s="88"/>
      <c r="BJ165" s="86"/>
      <c r="BK165" s="88"/>
      <c r="BL165" s="86"/>
      <c r="BM165" s="88"/>
      <c r="BN165" s="86"/>
      <c r="BO165" s="88"/>
      <c r="BP165" s="86"/>
      <c r="BQ165" s="88"/>
      <c r="BR165" s="86"/>
      <c r="BS165" s="87"/>
    </row>
    <row r="166" ht="22.5" customHeight="1">
      <c r="A166" s="154"/>
      <c r="B166" s="83"/>
      <c r="C166" s="151"/>
      <c r="D166" s="83"/>
      <c r="E166" s="151"/>
      <c r="F166" s="83"/>
      <c r="G166" s="85"/>
      <c r="H166" s="86"/>
      <c r="I166" s="87"/>
      <c r="J166" s="86"/>
      <c r="K166" s="88"/>
      <c r="L166" s="86"/>
      <c r="M166" s="88"/>
      <c r="N166" s="86"/>
      <c r="O166" s="88"/>
      <c r="P166" s="86"/>
      <c r="Q166" s="88"/>
      <c r="R166" s="86"/>
      <c r="S166" s="88"/>
      <c r="T166" s="86"/>
      <c r="U166" s="88"/>
      <c r="V166" s="86"/>
      <c r="W166" s="88"/>
      <c r="X166" s="86"/>
      <c r="Y166" s="88"/>
      <c r="Z166" s="86"/>
      <c r="AA166" s="88"/>
      <c r="AB166" s="86"/>
      <c r="AC166" s="88"/>
      <c r="AD166" s="86"/>
      <c r="AE166" s="88"/>
      <c r="AF166" s="86"/>
      <c r="AG166" s="88"/>
      <c r="AH166" s="86"/>
      <c r="AI166" s="88"/>
      <c r="AJ166" s="86"/>
      <c r="AK166" s="88"/>
      <c r="AL166" s="86"/>
      <c r="AM166" s="88"/>
      <c r="AN166" s="86"/>
      <c r="AO166" s="88"/>
      <c r="AP166" s="86"/>
      <c r="AQ166" s="88"/>
      <c r="AR166" s="86"/>
      <c r="AS166" s="88"/>
      <c r="AT166" s="86"/>
      <c r="AU166" s="88"/>
      <c r="AV166" s="86"/>
      <c r="AW166" s="88"/>
      <c r="AX166" s="86"/>
      <c r="AY166" s="88"/>
      <c r="AZ166" s="86"/>
      <c r="BA166" s="88"/>
      <c r="BB166" s="86"/>
      <c r="BC166" s="88"/>
      <c r="BD166" s="86"/>
      <c r="BE166" s="88"/>
      <c r="BF166" s="86"/>
      <c r="BG166" s="88"/>
      <c r="BH166" s="86"/>
      <c r="BI166" s="88"/>
      <c r="BJ166" s="86"/>
      <c r="BK166" s="88"/>
      <c r="BL166" s="86"/>
      <c r="BM166" s="88"/>
      <c r="BN166" s="86"/>
      <c r="BO166" s="88"/>
      <c r="BP166" s="86"/>
      <c r="BQ166" s="88"/>
      <c r="BR166" s="86"/>
      <c r="BS166" s="87"/>
    </row>
    <row r="167" ht="22.5" customHeight="1">
      <c r="A167" s="154"/>
      <c r="B167" s="83"/>
      <c r="C167" s="151"/>
      <c r="D167" s="83"/>
      <c r="E167" s="151"/>
      <c r="F167" s="83"/>
      <c r="G167" s="85"/>
      <c r="H167" s="86"/>
      <c r="I167" s="87"/>
      <c r="J167" s="86"/>
      <c r="K167" s="88"/>
      <c r="L167" s="86"/>
      <c r="M167" s="88"/>
      <c r="N167" s="86"/>
      <c r="O167" s="88"/>
      <c r="P167" s="86"/>
      <c r="Q167" s="88"/>
      <c r="R167" s="86"/>
      <c r="S167" s="88"/>
      <c r="T167" s="86"/>
      <c r="U167" s="88"/>
      <c r="V167" s="86"/>
      <c r="W167" s="88"/>
      <c r="X167" s="86"/>
      <c r="Y167" s="88"/>
      <c r="Z167" s="86"/>
      <c r="AA167" s="88"/>
      <c r="AB167" s="86"/>
      <c r="AC167" s="88"/>
      <c r="AD167" s="86"/>
      <c r="AE167" s="88"/>
      <c r="AF167" s="86"/>
      <c r="AG167" s="88"/>
      <c r="AH167" s="86"/>
      <c r="AI167" s="88"/>
      <c r="AJ167" s="86"/>
      <c r="AK167" s="88"/>
      <c r="AL167" s="86"/>
      <c r="AM167" s="88"/>
      <c r="AN167" s="86"/>
      <c r="AO167" s="88"/>
      <c r="AP167" s="86"/>
      <c r="AQ167" s="88"/>
      <c r="AR167" s="86"/>
      <c r="AS167" s="88"/>
      <c r="AT167" s="86"/>
      <c r="AU167" s="88"/>
      <c r="AV167" s="86"/>
      <c r="AW167" s="88"/>
      <c r="AX167" s="86"/>
      <c r="AY167" s="88"/>
      <c r="AZ167" s="86"/>
      <c r="BA167" s="88"/>
      <c r="BB167" s="86"/>
      <c r="BC167" s="88"/>
      <c r="BD167" s="86"/>
      <c r="BE167" s="88"/>
      <c r="BF167" s="86"/>
      <c r="BG167" s="88"/>
      <c r="BH167" s="86"/>
      <c r="BI167" s="88"/>
      <c r="BJ167" s="86"/>
      <c r="BK167" s="88"/>
      <c r="BL167" s="86"/>
      <c r="BM167" s="88"/>
      <c r="BN167" s="86"/>
      <c r="BO167" s="88"/>
      <c r="BP167" s="86"/>
      <c r="BQ167" s="88"/>
      <c r="BR167" s="86"/>
      <c r="BS167" s="87"/>
    </row>
    <row r="168" ht="22.5" customHeight="1">
      <c r="A168" s="154"/>
      <c r="B168" s="83"/>
      <c r="C168" s="151"/>
      <c r="D168" s="83"/>
      <c r="E168" s="151"/>
      <c r="F168" s="83"/>
      <c r="G168" s="85"/>
      <c r="H168" s="86"/>
      <c r="I168" s="87"/>
      <c r="J168" s="86"/>
      <c r="K168" s="88"/>
      <c r="L168" s="86"/>
      <c r="M168" s="88"/>
      <c r="N168" s="86"/>
      <c r="O168" s="88"/>
      <c r="P168" s="86"/>
      <c r="Q168" s="88"/>
      <c r="R168" s="86"/>
      <c r="S168" s="88"/>
      <c r="T168" s="86"/>
      <c r="U168" s="88"/>
      <c r="V168" s="86"/>
      <c r="W168" s="88"/>
      <c r="X168" s="86"/>
      <c r="Y168" s="88"/>
      <c r="Z168" s="86"/>
      <c r="AA168" s="88"/>
      <c r="AB168" s="86"/>
      <c r="AC168" s="88"/>
      <c r="AD168" s="86"/>
      <c r="AE168" s="88"/>
      <c r="AF168" s="86"/>
      <c r="AG168" s="88"/>
      <c r="AH168" s="86"/>
      <c r="AI168" s="88"/>
      <c r="AJ168" s="86"/>
      <c r="AK168" s="88"/>
      <c r="AL168" s="86"/>
      <c r="AM168" s="88"/>
      <c r="AN168" s="86"/>
      <c r="AO168" s="88"/>
      <c r="AP168" s="86"/>
      <c r="AQ168" s="88"/>
      <c r="AR168" s="86"/>
      <c r="AS168" s="88"/>
      <c r="AT168" s="86"/>
      <c r="AU168" s="88"/>
      <c r="AV168" s="86"/>
      <c r="AW168" s="88"/>
      <c r="AX168" s="86"/>
      <c r="AY168" s="88"/>
      <c r="AZ168" s="86"/>
      <c r="BA168" s="88"/>
      <c r="BB168" s="86"/>
      <c r="BC168" s="88"/>
      <c r="BD168" s="86"/>
      <c r="BE168" s="88"/>
      <c r="BF168" s="86"/>
      <c r="BG168" s="88"/>
      <c r="BH168" s="86"/>
      <c r="BI168" s="88"/>
      <c r="BJ168" s="86"/>
      <c r="BK168" s="88"/>
      <c r="BL168" s="86"/>
      <c r="BM168" s="88"/>
      <c r="BN168" s="86"/>
      <c r="BO168" s="88"/>
      <c r="BP168" s="86"/>
      <c r="BQ168" s="88"/>
      <c r="BR168" s="86"/>
      <c r="BS168" s="87"/>
    </row>
    <row r="169" ht="22.5" customHeight="1">
      <c r="A169" s="154"/>
      <c r="B169" s="83"/>
      <c r="C169" s="151"/>
      <c r="D169" s="83"/>
      <c r="E169" s="151"/>
      <c r="F169" s="83"/>
      <c r="G169" s="85"/>
      <c r="H169" s="86"/>
      <c r="I169" s="87"/>
      <c r="J169" s="86"/>
      <c r="K169" s="88"/>
      <c r="L169" s="86"/>
      <c r="M169" s="88"/>
      <c r="N169" s="86"/>
      <c r="O169" s="88"/>
      <c r="P169" s="86"/>
      <c r="Q169" s="88"/>
      <c r="R169" s="86"/>
      <c r="S169" s="88"/>
      <c r="T169" s="86"/>
      <c r="U169" s="88"/>
      <c r="V169" s="86"/>
      <c r="W169" s="88"/>
      <c r="X169" s="86"/>
      <c r="Y169" s="88"/>
      <c r="Z169" s="86"/>
      <c r="AA169" s="88"/>
      <c r="AB169" s="86"/>
      <c r="AC169" s="88"/>
      <c r="AD169" s="86"/>
      <c r="AE169" s="88"/>
      <c r="AF169" s="86"/>
      <c r="AG169" s="88"/>
      <c r="AH169" s="86"/>
      <c r="AI169" s="88"/>
      <c r="AJ169" s="86"/>
      <c r="AK169" s="88"/>
      <c r="AL169" s="86"/>
      <c r="AM169" s="88"/>
      <c r="AN169" s="86"/>
      <c r="AO169" s="88"/>
      <c r="AP169" s="86"/>
      <c r="AQ169" s="88"/>
      <c r="AR169" s="86"/>
      <c r="AS169" s="88"/>
      <c r="AT169" s="86"/>
      <c r="AU169" s="88"/>
      <c r="AV169" s="86"/>
      <c r="AW169" s="88"/>
      <c r="AX169" s="86"/>
      <c r="AY169" s="88"/>
      <c r="AZ169" s="86"/>
      <c r="BA169" s="88"/>
      <c r="BB169" s="86"/>
      <c r="BC169" s="88"/>
      <c r="BD169" s="86"/>
      <c r="BE169" s="88"/>
      <c r="BF169" s="86"/>
      <c r="BG169" s="88"/>
      <c r="BH169" s="86"/>
      <c r="BI169" s="88"/>
      <c r="BJ169" s="86"/>
      <c r="BK169" s="88"/>
      <c r="BL169" s="86"/>
      <c r="BM169" s="88"/>
      <c r="BN169" s="86"/>
      <c r="BO169" s="88"/>
      <c r="BP169" s="86"/>
      <c r="BQ169" s="88"/>
      <c r="BR169" s="86"/>
      <c r="BS169" s="87"/>
    </row>
    <row r="170" ht="22.5" customHeight="1">
      <c r="A170" s="154"/>
      <c r="B170" s="83"/>
      <c r="C170" s="151"/>
      <c r="D170" s="83"/>
      <c r="E170" s="151"/>
      <c r="F170" s="83"/>
      <c r="G170" s="85"/>
      <c r="H170" s="86"/>
      <c r="I170" s="87"/>
      <c r="J170" s="86"/>
      <c r="K170" s="88"/>
      <c r="L170" s="86"/>
      <c r="M170" s="88"/>
      <c r="N170" s="86"/>
      <c r="O170" s="88"/>
      <c r="P170" s="86"/>
      <c r="Q170" s="88"/>
      <c r="R170" s="86"/>
      <c r="S170" s="88"/>
      <c r="T170" s="86"/>
      <c r="U170" s="88"/>
      <c r="V170" s="86"/>
      <c r="W170" s="88"/>
      <c r="X170" s="86"/>
      <c r="Y170" s="88"/>
      <c r="Z170" s="86"/>
      <c r="AA170" s="88"/>
      <c r="AB170" s="86"/>
      <c r="AC170" s="88"/>
      <c r="AD170" s="86"/>
      <c r="AE170" s="88"/>
      <c r="AF170" s="86"/>
      <c r="AG170" s="88"/>
      <c r="AH170" s="86"/>
      <c r="AI170" s="88"/>
      <c r="AJ170" s="86"/>
      <c r="AK170" s="88"/>
      <c r="AL170" s="86"/>
      <c r="AM170" s="88"/>
      <c r="AN170" s="86"/>
      <c r="AO170" s="88"/>
      <c r="AP170" s="86"/>
      <c r="AQ170" s="88"/>
      <c r="AR170" s="86"/>
      <c r="AS170" s="88"/>
      <c r="AT170" s="86"/>
      <c r="AU170" s="88"/>
      <c r="AV170" s="86"/>
      <c r="AW170" s="88"/>
      <c r="AX170" s="86"/>
      <c r="AY170" s="88"/>
      <c r="AZ170" s="86"/>
      <c r="BA170" s="88"/>
      <c r="BB170" s="86"/>
      <c r="BC170" s="88"/>
      <c r="BD170" s="86"/>
      <c r="BE170" s="88"/>
      <c r="BF170" s="86"/>
      <c r="BG170" s="88"/>
      <c r="BH170" s="86"/>
      <c r="BI170" s="88"/>
      <c r="BJ170" s="86"/>
      <c r="BK170" s="88"/>
      <c r="BL170" s="86"/>
      <c r="BM170" s="88"/>
      <c r="BN170" s="86"/>
      <c r="BO170" s="88"/>
      <c r="BP170" s="86"/>
      <c r="BQ170" s="88"/>
      <c r="BR170" s="86"/>
      <c r="BS170" s="87"/>
    </row>
    <row r="171" ht="22.5" customHeight="1">
      <c r="A171" s="154"/>
      <c r="B171" s="83"/>
      <c r="C171" s="151"/>
      <c r="D171" s="83"/>
      <c r="E171" s="151"/>
      <c r="F171" s="83"/>
      <c r="G171" s="85"/>
      <c r="H171" s="86"/>
      <c r="I171" s="87"/>
      <c r="J171" s="86"/>
      <c r="K171" s="88"/>
      <c r="L171" s="86"/>
      <c r="M171" s="88"/>
      <c r="N171" s="86"/>
      <c r="O171" s="88"/>
      <c r="P171" s="86"/>
      <c r="Q171" s="88"/>
      <c r="R171" s="86"/>
      <c r="S171" s="88"/>
      <c r="T171" s="86"/>
      <c r="U171" s="88"/>
      <c r="V171" s="86"/>
      <c r="W171" s="88"/>
      <c r="X171" s="86"/>
      <c r="Y171" s="88"/>
      <c r="Z171" s="86"/>
      <c r="AA171" s="88"/>
      <c r="AB171" s="86"/>
      <c r="AC171" s="88"/>
      <c r="AD171" s="86"/>
      <c r="AE171" s="88"/>
      <c r="AF171" s="86"/>
      <c r="AG171" s="88"/>
      <c r="AH171" s="86"/>
      <c r="AI171" s="88"/>
      <c r="AJ171" s="86"/>
      <c r="AK171" s="88"/>
      <c r="AL171" s="86"/>
      <c r="AM171" s="88"/>
      <c r="AN171" s="86"/>
      <c r="AO171" s="88"/>
      <c r="AP171" s="86"/>
      <c r="AQ171" s="88"/>
      <c r="AR171" s="86"/>
      <c r="AS171" s="88"/>
      <c r="AT171" s="86"/>
      <c r="AU171" s="88"/>
      <c r="AV171" s="86"/>
      <c r="AW171" s="88"/>
      <c r="AX171" s="86"/>
      <c r="AY171" s="88"/>
      <c r="AZ171" s="86"/>
      <c r="BA171" s="88"/>
      <c r="BB171" s="86"/>
      <c r="BC171" s="88"/>
      <c r="BD171" s="86"/>
      <c r="BE171" s="88"/>
      <c r="BF171" s="86"/>
      <c r="BG171" s="88"/>
      <c r="BH171" s="86"/>
      <c r="BI171" s="88"/>
      <c r="BJ171" s="86"/>
      <c r="BK171" s="88"/>
      <c r="BL171" s="86"/>
      <c r="BM171" s="88"/>
      <c r="BN171" s="86"/>
      <c r="BO171" s="88"/>
      <c r="BP171" s="86"/>
      <c r="BQ171" s="88"/>
      <c r="BR171" s="86"/>
      <c r="BS171" s="87"/>
    </row>
    <row r="172" ht="22.5" customHeight="1">
      <c r="A172" s="154"/>
      <c r="B172" s="83"/>
      <c r="C172" s="151"/>
      <c r="D172" s="83"/>
      <c r="E172" s="151"/>
      <c r="F172" s="83"/>
      <c r="G172" s="85"/>
      <c r="H172" s="86"/>
      <c r="I172" s="87"/>
      <c r="J172" s="86"/>
      <c r="K172" s="88"/>
      <c r="L172" s="86"/>
      <c r="M172" s="88"/>
      <c r="N172" s="86"/>
      <c r="O172" s="88"/>
      <c r="P172" s="86"/>
      <c r="Q172" s="88"/>
      <c r="R172" s="86"/>
      <c r="S172" s="88"/>
      <c r="T172" s="86"/>
      <c r="U172" s="88"/>
      <c r="V172" s="86"/>
      <c r="W172" s="88"/>
      <c r="X172" s="86"/>
      <c r="Y172" s="88"/>
      <c r="Z172" s="86"/>
      <c r="AA172" s="88"/>
      <c r="AB172" s="86"/>
      <c r="AC172" s="88"/>
      <c r="AD172" s="86"/>
      <c r="AE172" s="88"/>
      <c r="AF172" s="86"/>
      <c r="AG172" s="88"/>
      <c r="AH172" s="86"/>
      <c r="AI172" s="88"/>
      <c r="AJ172" s="86"/>
      <c r="AK172" s="88"/>
      <c r="AL172" s="86"/>
      <c r="AM172" s="88"/>
      <c r="AN172" s="86"/>
      <c r="AO172" s="88"/>
      <c r="AP172" s="86"/>
      <c r="AQ172" s="88"/>
      <c r="AR172" s="86"/>
      <c r="AS172" s="88"/>
      <c r="AT172" s="86"/>
      <c r="AU172" s="88"/>
      <c r="AV172" s="86"/>
      <c r="AW172" s="88"/>
      <c r="AX172" s="86"/>
      <c r="AY172" s="88"/>
      <c r="AZ172" s="86"/>
      <c r="BA172" s="88"/>
      <c r="BB172" s="86"/>
      <c r="BC172" s="88"/>
      <c r="BD172" s="86"/>
      <c r="BE172" s="88"/>
      <c r="BF172" s="86"/>
      <c r="BG172" s="88"/>
      <c r="BH172" s="86"/>
      <c r="BI172" s="88"/>
      <c r="BJ172" s="86"/>
      <c r="BK172" s="88"/>
      <c r="BL172" s="86"/>
      <c r="BM172" s="88"/>
      <c r="BN172" s="86"/>
      <c r="BO172" s="88"/>
      <c r="BP172" s="86"/>
      <c r="BQ172" s="88"/>
      <c r="BR172" s="86"/>
      <c r="BS172" s="87"/>
    </row>
    <row r="173" ht="22.5" customHeight="1">
      <c r="A173" s="154"/>
      <c r="B173" s="83"/>
      <c r="C173" s="151"/>
      <c r="D173" s="83"/>
      <c r="E173" s="151"/>
      <c r="F173" s="83"/>
      <c r="G173" s="85"/>
      <c r="H173" s="86"/>
      <c r="I173" s="87"/>
      <c r="J173" s="86"/>
      <c r="K173" s="88"/>
      <c r="L173" s="86"/>
      <c r="M173" s="88"/>
      <c r="N173" s="86"/>
      <c r="O173" s="88"/>
      <c r="P173" s="86"/>
      <c r="Q173" s="88"/>
      <c r="R173" s="86"/>
      <c r="S173" s="88"/>
      <c r="T173" s="86"/>
      <c r="U173" s="88"/>
      <c r="V173" s="86"/>
      <c r="W173" s="88"/>
      <c r="X173" s="86"/>
      <c r="Y173" s="88"/>
      <c r="Z173" s="86"/>
      <c r="AA173" s="88"/>
      <c r="AB173" s="86"/>
      <c r="AC173" s="88"/>
      <c r="AD173" s="86"/>
      <c r="AE173" s="88"/>
      <c r="AF173" s="86"/>
      <c r="AG173" s="88"/>
      <c r="AH173" s="86"/>
      <c r="AI173" s="88"/>
      <c r="AJ173" s="86"/>
      <c r="AK173" s="88"/>
      <c r="AL173" s="86"/>
      <c r="AM173" s="88"/>
      <c r="AN173" s="86"/>
      <c r="AO173" s="88"/>
      <c r="AP173" s="86"/>
      <c r="AQ173" s="88"/>
      <c r="AR173" s="86"/>
      <c r="AS173" s="88"/>
      <c r="AT173" s="86"/>
      <c r="AU173" s="88"/>
      <c r="AV173" s="86"/>
      <c r="AW173" s="88"/>
      <c r="AX173" s="86"/>
      <c r="AY173" s="88"/>
      <c r="AZ173" s="86"/>
      <c r="BA173" s="88"/>
      <c r="BB173" s="86"/>
      <c r="BC173" s="88"/>
      <c r="BD173" s="86"/>
      <c r="BE173" s="88"/>
      <c r="BF173" s="86"/>
      <c r="BG173" s="88"/>
      <c r="BH173" s="86"/>
      <c r="BI173" s="88"/>
      <c r="BJ173" s="86"/>
      <c r="BK173" s="88"/>
      <c r="BL173" s="86"/>
      <c r="BM173" s="88"/>
      <c r="BN173" s="86"/>
      <c r="BO173" s="88"/>
      <c r="BP173" s="86"/>
      <c r="BQ173" s="88"/>
      <c r="BR173" s="86"/>
      <c r="BS173" s="87"/>
    </row>
    <row r="174" ht="22.5" customHeight="1">
      <c r="A174" s="154"/>
      <c r="B174" s="83"/>
      <c r="C174" s="151"/>
      <c r="D174" s="83"/>
      <c r="E174" s="151"/>
      <c r="F174" s="83"/>
      <c r="G174" s="85"/>
      <c r="H174" s="86"/>
      <c r="I174" s="87"/>
      <c r="J174" s="86"/>
      <c r="K174" s="88"/>
      <c r="L174" s="86"/>
      <c r="M174" s="88"/>
      <c r="N174" s="86"/>
      <c r="O174" s="88"/>
      <c r="P174" s="86"/>
      <c r="Q174" s="88"/>
      <c r="R174" s="86"/>
      <c r="S174" s="88"/>
      <c r="T174" s="86"/>
      <c r="U174" s="88"/>
      <c r="V174" s="86"/>
      <c r="W174" s="88"/>
      <c r="X174" s="86"/>
      <c r="Y174" s="88"/>
      <c r="Z174" s="86"/>
      <c r="AA174" s="88"/>
      <c r="AB174" s="86"/>
      <c r="AC174" s="88"/>
      <c r="AD174" s="86"/>
      <c r="AE174" s="88"/>
      <c r="AF174" s="86"/>
      <c r="AG174" s="88"/>
      <c r="AH174" s="86"/>
      <c r="AI174" s="88"/>
      <c r="AJ174" s="86"/>
      <c r="AK174" s="88"/>
      <c r="AL174" s="86"/>
      <c r="AM174" s="88"/>
      <c r="AN174" s="86"/>
      <c r="AO174" s="88"/>
      <c r="AP174" s="86"/>
      <c r="AQ174" s="88"/>
      <c r="AR174" s="86"/>
      <c r="AS174" s="88"/>
      <c r="AT174" s="86"/>
      <c r="AU174" s="88"/>
      <c r="AV174" s="86"/>
      <c r="AW174" s="88"/>
      <c r="AX174" s="86"/>
      <c r="AY174" s="88"/>
      <c r="AZ174" s="86"/>
      <c r="BA174" s="88"/>
      <c r="BB174" s="86"/>
      <c r="BC174" s="88"/>
      <c r="BD174" s="86"/>
      <c r="BE174" s="88"/>
      <c r="BF174" s="86"/>
      <c r="BG174" s="88"/>
      <c r="BH174" s="86"/>
      <c r="BI174" s="88"/>
      <c r="BJ174" s="86"/>
      <c r="BK174" s="88"/>
      <c r="BL174" s="86"/>
      <c r="BM174" s="88"/>
      <c r="BN174" s="86"/>
      <c r="BO174" s="88"/>
      <c r="BP174" s="86"/>
      <c r="BQ174" s="88"/>
      <c r="BR174" s="86"/>
      <c r="BS174" s="87"/>
    </row>
    <row r="175" ht="22.5" customHeight="1">
      <c r="A175" s="154"/>
      <c r="B175" s="83"/>
      <c r="C175" s="151"/>
      <c r="D175" s="83"/>
      <c r="E175" s="151"/>
      <c r="F175" s="83"/>
      <c r="G175" s="85"/>
      <c r="H175" s="86"/>
      <c r="I175" s="87"/>
      <c r="J175" s="86"/>
      <c r="K175" s="88"/>
      <c r="L175" s="86"/>
      <c r="M175" s="88"/>
      <c r="N175" s="86"/>
      <c r="O175" s="88"/>
      <c r="P175" s="86"/>
      <c r="Q175" s="88"/>
      <c r="R175" s="86"/>
      <c r="S175" s="88"/>
      <c r="T175" s="86"/>
      <c r="U175" s="88"/>
      <c r="V175" s="86"/>
      <c r="W175" s="88"/>
      <c r="X175" s="86"/>
      <c r="Y175" s="88"/>
      <c r="Z175" s="86"/>
      <c r="AA175" s="88"/>
      <c r="AB175" s="86"/>
      <c r="AC175" s="88"/>
      <c r="AD175" s="86"/>
      <c r="AE175" s="88"/>
      <c r="AF175" s="86"/>
      <c r="AG175" s="88"/>
      <c r="AH175" s="86"/>
      <c r="AI175" s="88"/>
      <c r="AJ175" s="86"/>
      <c r="AK175" s="88"/>
      <c r="AL175" s="86"/>
      <c r="AM175" s="88"/>
      <c r="AN175" s="86"/>
      <c r="AO175" s="88"/>
      <c r="AP175" s="86"/>
      <c r="AQ175" s="88"/>
      <c r="AR175" s="86"/>
      <c r="AS175" s="88"/>
      <c r="AT175" s="86"/>
      <c r="AU175" s="88"/>
      <c r="AV175" s="86"/>
      <c r="AW175" s="88"/>
      <c r="AX175" s="86"/>
      <c r="AY175" s="88"/>
      <c r="AZ175" s="86"/>
      <c r="BA175" s="88"/>
      <c r="BB175" s="86"/>
      <c r="BC175" s="88"/>
      <c r="BD175" s="86"/>
      <c r="BE175" s="88"/>
      <c r="BF175" s="86"/>
      <c r="BG175" s="88"/>
      <c r="BH175" s="86"/>
      <c r="BI175" s="88"/>
      <c r="BJ175" s="86"/>
      <c r="BK175" s="88"/>
      <c r="BL175" s="86"/>
      <c r="BM175" s="88"/>
      <c r="BN175" s="86"/>
      <c r="BO175" s="88"/>
      <c r="BP175" s="86"/>
      <c r="BQ175" s="88"/>
      <c r="BR175" s="86"/>
      <c r="BS175" s="87"/>
    </row>
    <row r="176" ht="22.5" customHeight="1">
      <c r="A176" s="154"/>
      <c r="B176" s="83"/>
      <c r="C176" s="151"/>
      <c r="D176" s="83"/>
      <c r="E176" s="151"/>
      <c r="F176" s="83"/>
      <c r="G176" s="85"/>
      <c r="H176" s="86"/>
      <c r="I176" s="87"/>
      <c r="J176" s="86"/>
      <c r="K176" s="88"/>
      <c r="L176" s="86"/>
      <c r="M176" s="88"/>
      <c r="N176" s="86"/>
      <c r="O176" s="88"/>
      <c r="P176" s="86"/>
      <c r="Q176" s="88"/>
      <c r="R176" s="86"/>
      <c r="S176" s="88"/>
      <c r="T176" s="86"/>
      <c r="U176" s="88"/>
      <c r="V176" s="86"/>
      <c r="W176" s="88"/>
      <c r="X176" s="86"/>
      <c r="Y176" s="88"/>
      <c r="Z176" s="86"/>
      <c r="AA176" s="88"/>
      <c r="AB176" s="86"/>
      <c r="AC176" s="88"/>
      <c r="AD176" s="86"/>
      <c r="AE176" s="88"/>
      <c r="AF176" s="86"/>
      <c r="AG176" s="88"/>
      <c r="AH176" s="86"/>
      <c r="AI176" s="88"/>
      <c r="AJ176" s="86"/>
      <c r="AK176" s="88"/>
      <c r="AL176" s="86"/>
      <c r="AM176" s="88"/>
      <c r="AN176" s="86"/>
      <c r="AO176" s="88"/>
      <c r="AP176" s="86"/>
      <c r="AQ176" s="88"/>
      <c r="AR176" s="86"/>
      <c r="AS176" s="88"/>
      <c r="AT176" s="86"/>
      <c r="AU176" s="88"/>
      <c r="AV176" s="86"/>
      <c r="AW176" s="88"/>
      <c r="AX176" s="86"/>
      <c r="AY176" s="88"/>
      <c r="AZ176" s="86"/>
      <c r="BA176" s="88"/>
      <c r="BB176" s="86"/>
      <c r="BC176" s="88"/>
      <c r="BD176" s="86"/>
      <c r="BE176" s="88"/>
      <c r="BF176" s="86"/>
      <c r="BG176" s="88"/>
      <c r="BH176" s="86"/>
      <c r="BI176" s="88"/>
      <c r="BJ176" s="86"/>
      <c r="BK176" s="88"/>
      <c r="BL176" s="86"/>
      <c r="BM176" s="88"/>
      <c r="BN176" s="86"/>
      <c r="BO176" s="88"/>
      <c r="BP176" s="86"/>
      <c r="BQ176" s="88"/>
      <c r="BR176" s="86"/>
      <c r="BS176" s="87"/>
    </row>
    <row r="177" ht="22.5" customHeight="1">
      <c r="A177" s="154"/>
      <c r="B177" s="83"/>
      <c r="C177" s="151"/>
      <c r="D177" s="83"/>
      <c r="E177" s="151"/>
      <c r="F177" s="83"/>
      <c r="G177" s="85"/>
      <c r="H177" s="86"/>
      <c r="I177" s="87"/>
      <c r="J177" s="86"/>
      <c r="K177" s="88"/>
      <c r="L177" s="86"/>
      <c r="M177" s="88"/>
      <c r="N177" s="86"/>
      <c r="O177" s="88"/>
      <c r="P177" s="86"/>
      <c r="Q177" s="88"/>
      <c r="R177" s="86"/>
      <c r="S177" s="88"/>
      <c r="T177" s="86"/>
      <c r="U177" s="88"/>
      <c r="V177" s="86"/>
      <c r="W177" s="88"/>
      <c r="X177" s="86"/>
      <c r="Y177" s="88"/>
      <c r="Z177" s="86"/>
      <c r="AA177" s="88"/>
      <c r="AB177" s="86"/>
      <c r="AC177" s="88"/>
      <c r="AD177" s="86"/>
      <c r="AE177" s="88"/>
      <c r="AF177" s="86"/>
      <c r="AG177" s="88"/>
      <c r="AH177" s="86"/>
      <c r="AI177" s="88"/>
      <c r="AJ177" s="86"/>
      <c r="AK177" s="88"/>
      <c r="AL177" s="86"/>
      <c r="AM177" s="88"/>
      <c r="AN177" s="86"/>
      <c r="AO177" s="88"/>
      <c r="AP177" s="86"/>
      <c r="AQ177" s="88"/>
      <c r="AR177" s="86"/>
      <c r="AS177" s="88"/>
      <c r="AT177" s="86"/>
      <c r="AU177" s="88"/>
      <c r="AV177" s="86"/>
      <c r="AW177" s="88"/>
      <c r="AX177" s="86"/>
      <c r="AY177" s="88"/>
      <c r="AZ177" s="86"/>
      <c r="BA177" s="88"/>
      <c r="BB177" s="86"/>
      <c r="BC177" s="88"/>
      <c r="BD177" s="86"/>
      <c r="BE177" s="88"/>
      <c r="BF177" s="86"/>
      <c r="BG177" s="88"/>
      <c r="BH177" s="86"/>
      <c r="BI177" s="88"/>
      <c r="BJ177" s="86"/>
      <c r="BK177" s="88"/>
      <c r="BL177" s="86"/>
      <c r="BM177" s="88"/>
      <c r="BN177" s="86"/>
      <c r="BO177" s="88"/>
      <c r="BP177" s="86"/>
      <c r="BQ177" s="88"/>
      <c r="BR177" s="86"/>
      <c r="BS177" s="87"/>
    </row>
    <row r="178" ht="22.5" customHeight="1">
      <c r="A178" s="154"/>
      <c r="B178" s="83"/>
      <c r="C178" s="151"/>
      <c r="D178" s="83"/>
      <c r="E178" s="151"/>
      <c r="F178" s="83"/>
      <c r="G178" s="85"/>
      <c r="H178" s="86"/>
      <c r="I178" s="87"/>
      <c r="J178" s="86"/>
      <c r="K178" s="88"/>
      <c r="L178" s="86"/>
      <c r="M178" s="88"/>
      <c r="N178" s="86"/>
      <c r="O178" s="88"/>
      <c r="P178" s="86"/>
      <c r="Q178" s="88"/>
      <c r="R178" s="86"/>
      <c r="S178" s="88"/>
      <c r="T178" s="86"/>
      <c r="U178" s="88"/>
      <c r="V178" s="86"/>
      <c r="W178" s="88"/>
      <c r="X178" s="86"/>
      <c r="Y178" s="88"/>
      <c r="Z178" s="86"/>
      <c r="AA178" s="88"/>
      <c r="AB178" s="86"/>
      <c r="AC178" s="88"/>
      <c r="AD178" s="86"/>
      <c r="AE178" s="88"/>
      <c r="AF178" s="86"/>
      <c r="AG178" s="88"/>
      <c r="AH178" s="86"/>
      <c r="AI178" s="88"/>
      <c r="AJ178" s="86"/>
      <c r="AK178" s="88"/>
      <c r="AL178" s="86"/>
      <c r="AM178" s="88"/>
      <c r="AN178" s="86"/>
      <c r="AO178" s="88"/>
      <c r="AP178" s="86"/>
      <c r="AQ178" s="88"/>
      <c r="AR178" s="86"/>
      <c r="AS178" s="88"/>
      <c r="AT178" s="86"/>
      <c r="AU178" s="88"/>
      <c r="AV178" s="86"/>
      <c r="AW178" s="88"/>
      <c r="AX178" s="86"/>
      <c r="AY178" s="88"/>
      <c r="AZ178" s="86"/>
      <c r="BA178" s="88"/>
      <c r="BB178" s="86"/>
      <c r="BC178" s="88"/>
      <c r="BD178" s="86"/>
      <c r="BE178" s="88"/>
      <c r="BF178" s="86"/>
      <c r="BG178" s="88"/>
      <c r="BH178" s="86"/>
      <c r="BI178" s="88"/>
      <c r="BJ178" s="86"/>
      <c r="BK178" s="88"/>
      <c r="BL178" s="86"/>
      <c r="BM178" s="88"/>
      <c r="BN178" s="86"/>
      <c r="BO178" s="88"/>
      <c r="BP178" s="86"/>
      <c r="BQ178" s="88"/>
      <c r="BR178" s="86"/>
      <c r="BS178" s="87"/>
    </row>
    <row r="179" ht="22.5" customHeight="1">
      <c r="A179" s="154"/>
      <c r="B179" s="83"/>
      <c r="C179" s="151"/>
      <c r="D179" s="83"/>
      <c r="E179" s="151"/>
      <c r="F179" s="83"/>
      <c r="G179" s="85"/>
      <c r="H179" s="86"/>
      <c r="I179" s="87"/>
      <c r="J179" s="86"/>
      <c r="K179" s="88"/>
      <c r="L179" s="86"/>
      <c r="M179" s="88"/>
      <c r="N179" s="86"/>
      <c r="O179" s="88"/>
      <c r="P179" s="86"/>
      <c r="Q179" s="88"/>
      <c r="R179" s="86"/>
      <c r="S179" s="88"/>
      <c r="T179" s="86"/>
      <c r="U179" s="88"/>
      <c r="V179" s="86"/>
      <c r="W179" s="88"/>
      <c r="X179" s="86"/>
      <c r="Y179" s="88"/>
      <c r="Z179" s="86"/>
      <c r="AA179" s="88"/>
      <c r="AB179" s="86"/>
      <c r="AC179" s="88"/>
      <c r="AD179" s="86"/>
      <c r="AE179" s="88"/>
      <c r="AF179" s="86"/>
      <c r="AG179" s="88"/>
      <c r="AH179" s="86"/>
      <c r="AI179" s="88"/>
      <c r="AJ179" s="86"/>
      <c r="AK179" s="88"/>
      <c r="AL179" s="86"/>
      <c r="AM179" s="88"/>
      <c r="AN179" s="86"/>
      <c r="AO179" s="88"/>
      <c r="AP179" s="86"/>
      <c r="AQ179" s="88"/>
      <c r="AR179" s="86"/>
      <c r="AS179" s="88"/>
      <c r="AT179" s="86"/>
      <c r="AU179" s="88"/>
      <c r="AV179" s="86"/>
      <c r="AW179" s="88"/>
      <c r="AX179" s="86"/>
      <c r="AY179" s="88"/>
      <c r="AZ179" s="86"/>
      <c r="BA179" s="88"/>
      <c r="BB179" s="86"/>
      <c r="BC179" s="88"/>
      <c r="BD179" s="86"/>
      <c r="BE179" s="88"/>
      <c r="BF179" s="86"/>
      <c r="BG179" s="88"/>
      <c r="BH179" s="86"/>
      <c r="BI179" s="88"/>
      <c r="BJ179" s="86"/>
      <c r="BK179" s="88"/>
      <c r="BL179" s="86"/>
      <c r="BM179" s="88"/>
      <c r="BN179" s="86"/>
      <c r="BO179" s="88"/>
      <c r="BP179" s="86"/>
      <c r="BQ179" s="88"/>
      <c r="BR179" s="86"/>
      <c r="BS179" s="87"/>
    </row>
    <row r="180" ht="22.5" customHeight="1">
      <c r="A180" s="154"/>
      <c r="B180" s="83"/>
      <c r="C180" s="151"/>
      <c r="D180" s="83"/>
      <c r="E180" s="151"/>
      <c r="F180" s="83"/>
      <c r="G180" s="85"/>
      <c r="H180" s="86"/>
      <c r="I180" s="87"/>
      <c r="J180" s="86"/>
      <c r="K180" s="88"/>
      <c r="L180" s="86"/>
      <c r="M180" s="88"/>
      <c r="N180" s="86"/>
      <c r="O180" s="88"/>
      <c r="P180" s="86"/>
      <c r="Q180" s="88"/>
      <c r="R180" s="86"/>
      <c r="S180" s="88"/>
      <c r="T180" s="86"/>
      <c r="U180" s="88"/>
      <c r="V180" s="86"/>
      <c r="W180" s="88"/>
      <c r="X180" s="86"/>
      <c r="Y180" s="88"/>
      <c r="Z180" s="86"/>
      <c r="AA180" s="88"/>
      <c r="AB180" s="86"/>
      <c r="AC180" s="88"/>
      <c r="AD180" s="86"/>
      <c r="AE180" s="88"/>
      <c r="AF180" s="86"/>
      <c r="AG180" s="88"/>
      <c r="AH180" s="86"/>
      <c r="AI180" s="88"/>
      <c r="AJ180" s="86"/>
      <c r="AK180" s="88"/>
      <c r="AL180" s="86"/>
      <c r="AM180" s="88"/>
      <c r="AN180" s="86"/>
      <c r="AO180" s="88"/>
      <c r="AP180" s="86"/>
      <c r="AQ180" s="88"/>
      <c r="AR180" s="86"/>
      <c r="AS180" s="88"/>
      <c r="AT180" s="86"/>
      <c r="AU180" s="88"/>
      <c r="AV180" s="86"/>
      <c r="AW180" s="88"/>
      <c r="AX180" s="86"/>
      <c r="AY180" s="88"/>
      <c r="AZ180" s="86"/>
      <c r="BA180" s="88"/>
      <c r="BB180" s="86"/>
      <c r="BC180" s="88"/>
      <c r="BD180" s="86"/>
      <c r="BE180" s="88"/>
      <c r="BF180" s="86"/>
      <c r="BG180" s="88"/>
      <c r="BH180" s="86"/>
      <c r="BI180" s="88"/>
      <c r="BJ180" s="86"/>
      <c r="BK180" s="88"/>
      <c r="BL180" s="86"/>
      <c r="BM180" s="88"/>
      <c r="BN180" s="86"/>
      <c r="BO180" s="88"/>
      <c r="BP180" s="86"/>
      <c r="BQ180" s="88"/>
      <c r="BR180" s="86"/>
      <c r="BS180" s="87"/>
    </row>
    <row r="181" ht="22.5" customHeight="1">
      <c r="A181" s="154"/>
      <c r="B181" s="83"/>
      <c r="C181" s="151"/>
      <c r="D181" s="83"/>
      <c r="E181" s="151"/>
      <c r="F181" s="83"/>
      <c r="G181" s="85"/>
      <c r="H181" s="86"/>
      <c r="I181" s="87"/>
      <c r="J181" s="86"/>
      <c r="K181" s="88"/>
      <c r="L181" s="86"/>
      <c r="M181" s="88"/>
      <c r="N181" s="86"/>
      <c r="O181" s="88"/>
      <c r="P181" s="86"/>
      <c r="Q181" s="88"/>
      <c r="R181" s="86"/>
      <c r="S181" s="88"/>
      <c r="T181" s="86"/>
      <c r="U181" s="88"/>
      <c r="V181" s="86"/>
      <c r="W181" s="88"/>
      <c r="X181" s="86"/>
      <c r="Y181" s="88"/>
      <c r="Z181" s="86"/>
      <c r="AA181" s="88"/>
      <c r="AB181" s="86"/>
      <c r="AC181" s="88"/>
      <c r="AD181" s="86"/>
      <c r="AE181" s="88"/>
      <c r="AF181" s="86"/>
      <c r="AG181" s="88"/>
      <c r="AH181" s="86"/>
      <c r="AI181" s="88"/>
      <c r="AJ181" s="86"/>
      <c r="AK181" s="88"/>
      <c r="AL181" s="86"/>
      <c r="AM181" s="88"/>
      <c r="AN181" s="86"/>
      <c r="AO181" s="88"/>
      <c r="AP181" s="86"/>
      <c r="AQ181" s="88"/>
      <c r="AR181" s="86"/>
      <c r="AS181" s="88"/>
      <c r="AT181" s="86"/>
      <c r="AU181" s="88"/>
      <c r="AV181" s="86"/>
      <c r="AW181" s="88"/>
      <c r="AX181" s="86"/>
      <c r="AY181" s="88"/>
      <c r="AZ181" s="86"/>
      <c r="BA181" s="88"/>
      <c r="BB181" s="86"/>
      <c r="BC181" s="88"/>
      <c r="BD181" s="86"/>
      <c r="BE181" s="88"/>
      <c r="BF181" s="86"/>
      <c r="BG181" s="88"/>
      <c r="BH181" s="86"/>
      <c r="BI181" s="88"/>
      <c r="BJ181" s="86"/>
      <c r="BK181" s="88"/>
      <c r="BL181" s="86"/>
      <c r="BM181" s="88"/>
      <c r="BN181" s="86"/>
      <c r="BO181" s="88"/>
      <c r="BP181" s="86"/>
      <c r="BQ181" s="88"/>
      <c r="BR181" s="86"/>
      <c r="BS181" s="87"/>
    </row>
    <row r="182" ht="22.5" customHeight="1">
      <c r="A182" s="154"/>
      <c r="B182" s="83"/>
      <c r="C182" s="151"/>
      <c r="D182" s="83"/>
      <c r="E182" s="151"/>
      <c r="F182" s="83"/>
      <c r="G182" s="85"/>
      <c r="H182" s="86"/>
      <c r="I182" s="87"/>
      <c r="J182" s="86"/>
      <c r="K182" s="88"/>
      <c r="L182" s="86"/>
      <c r="M182" s="88"/>
      <c r="N182" s="86"/>
      <c r="O182" s="88"/>
      <c r="P182" s="86"/>
      <c r="Q182" s="88"/>
      <c r="R182" s="86"/>
      <c r="S182" s="88"/>
      <c r="T182" s="86"/>
      <c r="U182" s="88"/>
      <c r="V182" s="86"/>
      <c r="W182" s="88"/>
      <c r="X182" s="86"/>
      <c r="Y182" s="88"/>
      <c r="Z182" s="86"/>
      <c r="AA182" s="88"/>
      <c r="AB182" s="86"/>
      <c r="AC182" s="88"/>
      <c r="AD182" s="86"/>
      <c r="AE182" s="88"/>
      <c r="AF182" s="86"/>
      <c r="AG182" s="88"/>
      <c r="AH182" s="86"/>
      <c r="AI182" s="88"/>
      <c r="AJ182" s="86"/>
      <c r="AK182" s="88"/>
      <c r="AL182" s="86"/>
      <c r="AM182" s="88"/>
      <c r="AN182" s="86"/>
      <c r="AO182" s="88"/>
      <c r="AP182" s="86"/>
      <c r="AQ182" s="88"/>
      <c r="AR182" s="86"/>
      <c r="AS182" s="88"/>
      <c r="AT182" s="86"/>
      <c r="AU182" s="88"/>
      <c r="AV182" s="86"/>
      <c r="AW182" s="88"/>
      <c r="AX182" s="86"/>
      <c r="AY182" s="88"/>
      <c r="AZ182" s="86"/>
      <c r="BA182" s="88"/>
      <c r="BB182" s="86"/>
      <c r="BC182" s="88"/>
      <c r="BD182" s="86"/>
      <c r="BE182" s="88"/>
      <c r="BF182" s="86"/>
      <c r="BG182" s="88"/>
      <c r="BH182" s="86"/>
      <c r="BI182" s="88"/>
      <c r="BJ182" s="86"/>
      <c r="BK182" s="88"/>
      <c r="BL182" s="86"/>
      <c r="BM182" s="88"/>
      <c r="BN182" s="86"/>
      <c r="BO182" s="88"/>
      <c r="BP182" s="86"/>
      <c r="BQ182" s="88"/>
      <c r="BR182" s="86"/>
      <c r="BS182" s="87"/>
    </row>
    <row r="183" ht="22.5" customHeight="1">
      <c r="A183" s="154"/>
      <c r="B183" s="83"/>
      <c r="C183" s="151"/>
      <c r="D183" s="83"/>
      <c r="E183" s="151"/>
      <c r="F183" s="83"/>
      <c r="G183" s="85"/>
      <c r="H183" s="86"/>
      <c r="I183" s="87"/>
      <c r="J183" s="86"/>
      <c r="K183" s="88"/>
      <c r="L183" s="86"/>
      <c r="M183" s="88"/>
      <c r="N183" s="86"/>
      <c r="O183" s="88"/>
      <c r="P183" s="86"/>
      <c r="Q183" s="88"/>
      <c r="R183" s="86"/>
      <c r="S183" s="88"/>
      <c r="T183" s="86"/>
      <c r="U183" s="88"/>
      <c r="V183" s="86"/>
      <c r="W183" s="88"/>
      <c r="X183" s="86"/>
      <c r="Y183" s="88"/>
      <c r="Z183" s="86"/>
      <c r="AA183" s="88"/>
      <c r="AB183" s="86"/>
      <c r="AC183" s="88"/>
      <c r="AD183" s="86"/>
      <c r="AE183" s="88"/>
      <c r="AF183" s="86"/>
      <c r="AG183" s="88"/>
      <c r="AH183" s="86"/>
      <c r="AI183" s="88"/>
      <c r="AJ183" s="86"/>
      <c r="AK183" s="88"/>
      <c r="AL183" s="86"/>
      <c r="AM183" s="88"/>
      <c r="AN183" s="86"/>
      <c r="AO183" s="88"/>
      <c r="AP183" s="86"/>
      <c r="AQ183" s="88"/>
      <c r="AR183" s="86"/>
      <c r="AS183" s="88"/>
      <c r="AT183" s="86"/>
      <c r="AU183" s="88"/>
      <c r="AV183" s="86"/>
      <c r="AW183" s="88"/>
      <c r="AX183" s="86"/>
      <c r="AY183" s="88"/>
      <c r="AZ183" s="86"/>
      <c r="BA183" s="88"/>
      <c r="BB183" s="86"/>
      <c r="BC183" s="88"/>
      <c r="BD183" s="86"/>
      <c r="BE183" s="88"/>
      <c r="BF183" s="86"/>
      <c r="BG183" s="88"/>
      <c r="BH183" s="86"/>
      <c r="BI183" s="88"/>
      <c r="BJ183" s="86"/>
      <c r="BK183" s="88"/>
      <c r="BL183" s="86"/>
      <c r="BM183" s="88"/>
      <c r="BN183" s="86"/>
      <c r="BO183" s="88"/>
      <c r="BP183" s="86"/>
      <c r="BQ183" s="88"/>
      <c r="BR183" s="86"/>
      <c r="BS183" s="87"/>
    </row>
    <row r="184" ht="22.5" customHeight="1">
      <c r="A184" s="154"/>
      <c r="B184" s="83"/>
      <c r="C184" s="151"/>
      <c r="D184" s="83"/>
      <c r="E184" s="151"/>
      <c r="F184" s="83"/>
      <c r="G184" s="85"/>
      <c r="H184" s="86"/>
      <c r="I184" s="87"/>
      <c r="J184" s="86"/>
      <c r="K184" s="88"/>
      <c r="L184" s="86"/>
      <c r="M184" s="88"/>
      <c r="N184" s="86"/>
      <c r="O184" s="88"/>
      <c r="P184" s="86"/>
      <c r="Q184" s="88"/>
      <c r="R184" s="86"/>
      <c r="S184" s="88"/>
      <c r="T184" s="86"/>
      <c r="U184" s="88"/>
      <c r="V184" s="86"/>
      <c r="W184" s="88"/>
      <c r="X184" s="86"/>
      <c r="Y184" s="88"/>
      <c r="Z184" s="86"/>
      <c r="AA184" s="88"/>
      <c r="AB184" s="86"/>
      <c r="AC184" s="88"/>
      <c r="AD184" s="86"/>
      <c r="AE184" s="88"/>
      <c r="AF184" s="86"/>
      <c r="AG184" s="88"/>
      <c r="AH184" s="86"/>
      <c r="AI184" s="88"/>
      <c r="AJ184" s="86"/>
      <c r="AK184" s="88"/>
      <c r="AL184" s="86"/>
      <c r="AM184" s="88"/>
      <c r="AN184" s="86"/>
      <c r="AO184" s="88"/>
      <c r="AP184" s="86"/>
      <c r="AQ184" s="88"/>
      <c r="AR184" s="86"/>
      <c r="AS184" s="88"/>
      <c r="AT184" s="86"/>
      <c r="AU184" s="88"/>
      <c r="AV184" s="86"/>
      <c r="AW184" s="88"/>
      <c r="AX184" s="86"/>
      <c r="AY184" s="88"/>
      <c r="AZ184" s="86"/>
      <c r="BA184" s="88"/>
      <c r="BB184" s="86"/>
      <c r="BC184" s="88"/>
      <c r="BD184" s="86"/>
      <c r="BE184" s="88"/>
      <c r="BF184" s="86"/>
      <c r="BG184" s="88"/>
      <c r="BH184" s="86"/>
      <c r="BI184" s="88"/>
      <c r="BJ184" s="86"/>
      <c r="BK184" s="88"/>
      <c r="BL184" s="86"/>
      <c r="BM184" s="88"/>
      <c r="BN184" s="86"/>
      <c r="BO184" s="88"/>
      <c r="BP184" s="86"/>
      <c r="BQ184" s="88"/>
      <c r="BR184" s="86"/>
      <c r="BS184" s="87"/>
    </row>
    <row r="185" ht="22.5" customHeight="1">
      <c r="A185" s="154"/>
      <c r="B185" s="83"/>
      <c r="C185" s="151"/>
      <c r="D185" s="83"/>
      <c r="E185" s="151"/>
      <c r="F185" s="83"/>
      <c r="G185" s="85"/>
      <c r="H185" s="86"/>
      <c r="I185" s="87"/>
      <c r="J185" s="86"/>
      <c r="K185" s="88"/>
      <c r="L185" s="86"/>
      <c r="M185" s="88"/>
      <c r="N185" s="86"/>
      <c r="O185" s="88"/>
      <c r="P185" s="86"/>
      <c r="Q185" s="88"/>
      <c r="R185" s="86"/>
      <c r="S185" s="88"/>
      <c r="T185" s="86"/>
      <c r="U185" s="88"/>
      <c r="V185" s="86"/>
      <c r="W185" s="88"/>
      <c r="X185" s="86"/>
      <c r="Y185" s="88"/>
      <c r="Z185" s="86"/>
      <c r="AA185" s="88"/>
      <c r="AB185" s="86"/>
      <c r="AC185" s="88"/>
      <c r="AD185" s="86"/>
      <c r="AE185" s="88"/>
      <c r="AF185" s="86"/>
      <c r="AG185" s="88"/>
      <c r="AH185" s="86"/>
      <c r="AI185" s="88"/>
      <c r="AJ185" s="86"/>
      <c r="AK185" s="88"/>
      <c r="AL185" s="86"/>
      <c r="AM185" s="88"/>
      <c r="AN185" s="86"/>
      <c r="AO185" s="88"/>
      <c r="AP185" s="86"/>
      <c r="AQ185" s="88"/>
      <c r="AR185" s="86"/>
      <c r="AS185" s="88"/>
      <c r="AT185" s="86"/>
      <c r="AU185" s="88"/>
      <c r="AV185" s="86"/>
      <c r="AW185" s="88"/>
      <c r="AX185" s="86"/>
      <c r="AY185" s="88"/>
      <c r="AZ185" s="86"/>
      <c r="BA185" s="88"/>
      <c r="BB185" s="86"/>
      <c r="BC185" s="88"/>
      <c r="BD185" s="86"/>
      <c r="BE185" s="88"/>
      <c r="BF185" s="86"/>
      <c r="BG185" s="88"/>
      <c r="BH185" s="86"/>
      <c r="BI185" s="88"/>
      <c r="BJ185" s="86"/>
      <c r="BK185" s="88"/>
      <c r="BL185" s="86"/>
      <c r="BM185" s="88"/>
      <c r="BN185" s="86"/>
      <c r="BO185" s="88"/>
      <c r="BP185" s="86"/>
      <c r="BQ185" s="88"/>
      <c r="BR185" s="86"/>
      <c r="BS185" s="87"/>
    </row>
    <row r="186" ht="22.5" customHeight="1">
      <c r="A186" s="154"/>
      <c r="B186" s="83"/>
      <c r="C186" s="151"/>
      <c r="D186" s="83"/>
      <c r="E186" s="151"/>
      <c r="F186" s="83"/>
      <c r="G186" s="85"/>
      <c r="H186" s="86"/>
      <c r="I186" s="87"/>
      <c r="J186" s="86"/>
      <c r="K186" s="88"/>
      <c r="L186" s="86"/>
      <c r="M186" s="88"/>
      <c r="N186" s="86"/>
      <c r="O186" s="88"/>
      <c r="P186" s="86"/>
      <c r="Q186" s="88"/>
      <c r="R186" s="86"/>
      <c r="S186" s="88"/>
      <c r="T186" s="86"/>
      <c r="U186" s="88"/>
      <c r="V186" s="86"/>
      <c r="W186" s="88"/>
      <c r="X186" s="86"/>
      <c r="Y186" s="88"/>
      <c r="Z186" s="86"/>
      <c r="AA186" s="88"/>
      <c r="AB186" s="86"/>
      <c r="AC186" s="88"/>
      <c r="AD186" s="86"/>
      <c r="AE186" s="88"/>
      <c r="AF186" s="86"/>
      <c r="AG186" s="88"/>
      <c r="AH186" s="86"/>
      <c r="AI186" s="88"/>
      <c r="AJ186" s="86"/>
      <c r="AK186" s="88"/>
      <c r="AL186" s="86"/>
      <c r="AM186" s="88"/>
      <c r="AN186" s="86"/>
      <c r="AO186" s="88"/>
      <c r="AP186" s="86"/>
      <c r="AQ186" s="88"/>
      <c r="AR186" s="86"/>
      <c r="AS186" s="88"/>
      <c r="AT186" s="86"/>
      <c r="AU186" s="88"/>
      <c r="AV186" s="86"/>
      <c r="AW186" s="88"/>
      <c r="AX186" s="86"/>
      <c r="AY186" s="88"/>
      <c r="AZ186" s="86"/>
      <c r="BA186" s="88"/>
      <c r="BB186" s="86"/>
      <c r="BC186" s="88"/>
      <c r="BD186" s="86"/>
      <c r="BE186" s="88"/>
      <c r="BF186" s="86"/>
      <c r="BG186" s="88"/>
      <c r="BH186" s="86"/>
      <c r="BI186" s="88"/>
      <c r="BJ186" s="86"/>
      <c r="BK186" s="88"/>
      <c r="BL186" s="86"/>
      <c r="BM186" s="88"/>
      <c r="BN186" s="86"/>
      <c r="BO186" s="88"/>
      <c r="BP186" s="86"/>
      <c r="BQ186" s="88"/>
      <c r="BR186" s="86"/>
      <c r="BS186" s="87"/>
    </row>
    <row r="187" ht="22.5" customHeight="1">
      <c r="A187" s="154"/>
      <c r="B187" s="83"/>
      <c r="C187" s="151"/>
      <c r="D187" s="83"/>
      <c r="E187" s="151"/>
      <c r="F187" s="83"/>
      <c r="G187" s="85"/>
      <c r="H187" s="86"/>
      <c r="I187" s="87"/>
      <c r="J187" s="86"/>
      <c r="K187" s="88"/>
      <c r="L187" s="86"/>
      <c r="M187" s="88"/>
      <c r="N187" s="86"/>
      <c r="O187" s="88"/>
      <c r="P187" s="86"/>
      <c r="Q187" s="88"/>
      <c r="R187" s="86"/>
      <c r="S187" s="88"/>
      <c r="T187" s="86"/>
      <c r="U187" s="88"/>
      <c r="V187" s="86"/>
      <c r="W187" s="88"/>
      <c r="X187" s="86"/>
      <c r="Y187" s="88"/>
      <c r="Z187" s="86"/>
      <c r="AA187" s="88"/>
      <c r="AB187" s="86"/>
      <c r="AC187" s="88"/>
      <c r="AD187" s="86"/>
      <c r="AE187" s="88"/>
      <c r="AF187" s="86"/>
      <c r="AG187" s="88"/>
      <c r="AH187" s="86"/>
      <c r="AI187" s="88"/>
      <c r="AJ187" s="86"/>
      <c r="AK187" s="88"/>
      <c r="AL187" s="86"/>
      <c r="AM187" s="88"/>
      <c r="AN187" s="86"/>
      <c r="AO187" s="88"/>
      <c r="AP187" s="86"/>
      <c r="AQ187" s="88"/>
      <c r="AR187" s="86"/>
      <c r="AS187" s="88"/>
      <c r="AT187" s="86"/>
      <c r="AU187" s="88"/>
      <c r="AV187" s="86"/>
      <c r="AW187" s="88"/>
      <c r="AX187" s="86"/>
      <c r="AY187" s="88"/>
      <c r="AZ187" s="86"/>
      <c r="BA187" s="88"/>
      <c r="BB187" s="86"/>
      <c r="BC187" s="88"/>
      <c r="BD187" s="86"/>
      <c r="BE187" s="88"/>
      <c r="BF187" s="86"/>
      <c r="BG187" s="88"/>
      <c r="BH187" s="86"/>
      <c r="BI187" s="88"/>
      <c r="BJ187" s="86"/>
      <c r="BK187" s="88"/>
      <c r="BL187" s="86"/>
      <c r="BM187" s="88"/>
      <c r="BN187" s="86"/>
      <c r="BO187" s="88"/>
      <c r="BP187" s="86"/>
      <c r="BQ187" s="88"/>
      <c r="BR187" s="86"/>
      <c r="BS187" s="87"/>
    </row>
    <row r="188" ht="22.5" customHeight="1">
      <c r="A188" s="154"/>
      <c r="B188" s="83"/>
      <c r="C188" s="151"/>
      <c r="D188" s="83"/>
      <c r="E188" s="151"/>
      <c r="F188" s="83"/>
      <c r="G188" s="85"/>
      <c r="H188" s="86"/>
      <c r="I188" s="87"/>
      <c r="J188" s="86"/>
      <c r="K188" s="88"/>
      <c r="L188" s="86"/>
      <c r="M188" s="88"/>
      <c r="N188" s="86"/>
      <c r="O188" s="88"/>
      <c r="P188" s="86"/>
      <c r="Q188" s="88"/>
      <c r="R188" s="86"/>
      <c r="S188" s="88"/>
      <c r="T188" s="86"/>
      <c r="U188" s="88"/>
      <c r="V188" s="86"/>
      <c r="W188" s="88"/>
      <c r="X188" s="86"/>
      <c r="Y188" s="88"/>
      <c r="Z188" s="86"/>
      <c r="AA188" s="88"/>
      <c r="AB188" s="86"/>
      <c r="AC188" s="88"/>
      <c r="AD188" s="86"/>
      <c r="AE188" s="88"/>
      <c r="AF188" s="86"/>
      <c r="AG188" s="88"/>
      <c r="AH188" s="86"/>
      <c r="AI188" s="88"/>
      <c r="AJ188" s="86"/>
      <c r="AK188" s="88"/>
      <c r="AL188" s="86"/>
      <c r="AM188" s="88"/>
      <c r="AN188" s="86"/>
      <c r="AO188" s="88"/>
      <c r="AP188" s="86"/>
      <c r="AQ188" s="88"/>
      <c r="AR188" s="86"/>
      <c r="AS188" s="88"/>
      <c r="AT188" s="86"/>
      <c r="AU188" s="88"/>
      <c r="AV188" s="86"/>
      <c r="AW188" s="88"/>
      <c r="AX188" s="86"/>
      <c r="AY188" s="88"/>
      <c r="AZ188" s="86"/>
      <c r="BA188" s="88"/>
      <c r="BB188" s="86"/>
      <c r="BC188" s="88"/>
      <c r="BD188" s="86"/>
      <c r="BE188" s="88"/>
      <c r="BF188" s="86"/>
      <c r="BG188" s="88"/>
      <c r="BH188" s="86"/>
      <c r="BI188" s="88"/>
      <c r="BJ188" s="86"/>
      <c r="BK188" s="88"/>
      <c r="BL188" s="86"/>
      <c r="BM188" s="88"/>
      <c r="BN188" s="86"/>
      <c r="BO188" s="88"/>
      <c r="BP188" s="86"/>
      <c r="BQ188" s="88"/>
      <c r="BR188" s="86"/>
      <c r="BS188" s="87"/>
    </row>
    <row r="189" ht="22.5" customHeight="1">
      <c r="A189" s="154"/>
      <c r="B189" s="83"/>
      <c r="C189" s="151"/>
      <c r="D189" s="83"/>
      <c r="E189" s="151"/>
      <c r="F189" s="83"/>
      <c r="G189" s="85"/>
      <c r="H189" s="86"/>
      <c r="I189" s="87"/>
      <c r="J189" s="86"/>
      <c r="K189" s="88"/>
      <c r="L189" s="86"/>
      <c r="M189" s="88"/>
      <c r="N189" s="86"/>
      <c r="O189" s="88"/>
      <c r="P189" s="86"/>
      <c r="Q189" s="88"/>
      <c r="R189" s="86"/>
      <c r="S189" s="88"/>
      <c r="T189" s="86"/>
      <c r="U189" s="88"/>
      <c r="V189" s="86"/>
      <c r="W189" s="88"/>
      <c r="X189" s="86"/>
      <c r="Y189" s="88"/>
      <c r="Z189" s="86"/>
      <c r="AA189" s="88"/>
      <c r="AB189" s="86"/>
      <c r="AC189" s="88"/>
      <c r="AD189" s="86"/>
      <c r="AE189" s="88"/>
      <c r="AF189" s="86"/>
      <c r="AG189" s="88"/>
      <c r="AH189" s="86"/>
      <c r="AI189" s="88"/>
      <c r="AJ189" s="86"/>
      <c r="AK189" s="88"/>
      <c r="AL189" s="86"/>
      <c r="AM189" s="88"/>
      <c r="AN189" s="86"/>
      <c r="AO189" s="88"/>
      <c r="AP189" s="86"/>
      <c r="AQ189" s="88"/>
      <c r="AR189" s="86"/>
      <c r="AS189" s="88"/>
      <c r="AT189" s="86"/>
      <c r="AU189" s="88"/>
      <c r="AV189" s="86"/>
      <c r="AW189" s="88"/>
      <c r="AX189" s="86"/>
      <c r="AY189" s="88"/>
      <c r="AZ189" s="86"/>
      <c r="BA189" s="88"/>
      <c r="BB189" s="86"/>
      <c r="BC189" s="88"/>
      <c r="BD189" s="86"/>
      <c r="BE189" s="88"/>
      <c r="BF189" s="86"/>
      <c r="BG189" s="88"/>
      <c r="BH189" s="86"/>
      <c r="BI189" s="88"/>
      <c r="BJ189" s="86"/>
      <c r="BK189" s="88"/>
      <c r="BL189" s="86"/>
      <c r="BM189" s="88"/>
      <c r="BN189" s="86"/>
      <c r="BO189" s="88"/>
      <c r="BP189" s="86"/>
      <c r="BQ189" s="88"/>
      <c r="BR189" s="86"/>
      <c r="BS189" s="87"/>
    </row>
    <row r="190" ht="22.5" customHeight="1">
      <c r="A190" s="154"/>
      <c r="B190" s="83"/>
      <c r="C190" s="151"/>
      <c r="D190" s="83"/>
      <c r="E190" s="151"/>
      <c r="F190" s="83"/>
      <c r="G190" s="85"/>
      <c r="H190" s="86"/>
      <c r="I190" s="87"/>
      <c r="J190" s="86"/>
      <c r="K190" s="88"/>
      <c r="L190" s="86"/>
      <c r="M190" s="88"/>
      <c r="N190" s="86"/>
      <c r="O190" s="88"/>
      <c r="P190" s="86"/>
      <c r="Q190" s="88"/>
      <c r="R190" s="86"/>
      <c r="S190" s="88"/>
      <c r="T190" s="86"/>
      <c r="U190" s="88"/>
      <c r="V190" s="86"/>
      <c r="W190" s="88"/>
      <c r="X190" s="86"/>
      <c r="Y190" s="88"/>
      <c r="Z190" s="86"/>
      <c r="AA190" s="88"/>
      <c r="AB190" s="86"/>
      <c r="AC190" s="88"/>
      <c r="AD190" s="86"/>
      <c r="AE190" s="88"/>
      <c r="AF190" s="86"/>
      <c r="AG190" s="88"/>
      <c r="AH190" s="86"/>
      <c r="AI190" s="88"/>
      <c r="AJ190" s="86"/>
      <c r="AK190" s="88"/>
      <c r="AL190" s="86"/>
      <c r="AM190" s="88"/>
      <c r="AN190" s="86"/>
      <c r="AO190" s="88"/>
      <c r="AP190" s="86"/>
      <c r="AQ190" s="88"/>
      <c r="AR190" s="86"/>
      <c r="AS190" s="88"/>
      <c r="AT190" s="86"/>
      <c r="AU190" s="88"/>
      <c r="AV190" s="86"/>
      <c r="AW190" s="88"/>
      <c r="AX190" s="86"/>
      <c r="AY190" s="88"/>
      <c r="AZ190" s="86"/>
      <c r="BA190" s="88"/>
      <c r="BB190" s="86"/>
      <c r="BC190" s="88"/>
      <c r="BD190" s="86"/>
      <c r="BE190" s="88"/>
      <c r="BF190" s="86"/>
      <c r="BG190" s="88"/>
      <c r="BH190" s="86"/>
      <c r="BI190" s="88"/>
      <c r="BJ190" s="86"/>
      <c r="BK190" s="88"/>
      <c r="BL190" s="86"/>
      <c r="BM190" s="88"/>
      <c r="BN190" s="86"/>
      <c r="BO190" s="88"/>
      <c r="BP190" s="86"/>
      <c r="BQ190" s="88"/>
      <c r="BR190" s="86"/>
      <c r="BS190" s="87"/>
    </row>
    <row r="191" ht="22.5" customHeight="1">
      <c r="A191" s="154"/>
      <c r="B191" s="83"/>
      <c r="C191" s="151"/>
      <c r="D191" s="83"/>
      <c r="E191" s="151"/>
      <c r="F191" s="83"/>
      <c r="G191" s="85"/>
      <c r="H191" s="86"/>
      <c r="I191" s="87"/>
      <c r="J191" s="86"/>
      <c r="K191" s="88"/>
      <c r="L191" s="86"/>
      <c r="M191" s="88"/>
      <c r="N191" s="86"/>
      <c r="O191" s="88"/>
      <c r="P191" s="86"/>
      <c r="Q191" s="88"/>
      <c r="R191" s="86"/>
      <c r="S191" s="88"/>
      <c r="T191" s="86"/>
      <c r="U191" s="88"/>
      <c r="V191" s="86"/>
      <c r="W191" s="88"/>
      <c r="X191" s="86"/>
      <c r="Y191" s="88"/>
      <c r="Z191" s="86"/>
      <c r="AA191" s="88"/>
      <c r="AB191" s="86"/>
      <c r="AC191" s="88"/>
      <c r="AD191" s="86"/>
      <c r="AE191" s="88"/>
      <c r="AF191" s="86"/>
      <c r="AG191" s="88"/>
      <c r="AH191" s="86"/>
      <c r="AI191" s="88"/>
      <c r="AJ191" s="86"/>
      <c r="AK191" s="88"/>
      <c r="AL191" s="86"/>
      <c r="AM191" s="88"/>
      <c r="AN191" s="86"/>
      <c r="AO191" s="88"/>
      <c r="AP191" s="86"/>
      <c r="AQ191" s="88"/>
      <c r="AR191" s="86"/>
      <c r="AS191" s="88"/>
      <c r="AT191" s="86"/>
      <c r="AU191" s="88"/>
      <c r="AV191" s="86"/>
      <c r="AW191" s="88"/>
      <c r="AX191" s="86"/>
      <c r="AY191" s="88"/>
      <c r="AZ191" s="86"/>
      <c r="BA191" s="88"/>
      <c r="BB191" s="86"/>
      <c r="BC191" s="88"/>
      <c r="BD191" s="86"/>
      <c r="BE191" s="88"/>
      <c r="BF191" s="86"/>
      <c r="BG191" s="88"/>
      <c r="BH191" s="86"/>
      <c r="BI191" s="88"/>
      <c r="BJ191" s="86"/>
      <c r="BK191" s="88"/>
      <c r="BL191" s="86"/>
      <c r="BM191" s="88"/>
      <c r="BN191" s="86"/>
      <c r="BO191" s="88"/>
      <c r="BP191" s="86"/>
      <c r="BQ191" s="88"/>
      <c r="BR191" s="86"/>
      <c r="BS191" s="87"/>
    </row>
    <row r="192" ht="22.5" customHeight="1">
      <c r="A192" s="154"/>
      <c r="B192" s="83"/>
      <c r="C192" s="151"/>
      <c r="D192" s="83"/>
      <c r="E192" s="151"/>
      <c r="F192" s="83"/>
      <c r="G192" s="85"/>
      <c r="H192" s="86"/>
      <c r="I192" s="87"/>
      <c r="J192" s="86"/>
      <c r="K192" s="88"/>
      <c r="L192" s="86"/>
      <c r="M192" s="88"/>
      <c r="N192" s="86"/>
      <c r="O192" s="88"/>
      <c r="P192" s="86"/>
      <c r="Q192" s="88"/>
      <c r="R192" s="86"/>
      <c r="S192" s="88"/>
      <c r="T192" s="86"/>
      <c r="U192" s="88"/>
      <c r="V192" s="86"/>
      <c r="W192" s="88"/>
      <c r="X192" s="86"/>
      <c r="Y192" s="88"/>
      <c r="Z192" s="86"/>
      <c r="AA192" s="88"/>
      <c r="AB192" s="86"/>
      <c r="AC192" s="88"/>
      <c r="AD192" s="86"/>
      <c r="AE192" s="88"/>
      <c r="AF192" s="86"/>
      <c r="AG192" s="88"/>
      <c r="AH192" s="86"/>
      <c r="AI192" s="88"/>
      <c r="AJ192" s="86"/>
      <c r="AK192" s="88"/>
      <c r="AL192" s="86"/>
      <c r="AM192" s="88"/>
      <c r="AN192" s="86"/>
      <c r="AO192" s="88"/>
      <c r="AP192" s="86"/>
      <c r="AQ192" s="88"/>
      <c r="AR192" s="86"/>
      <c r="AS192" s="88"/>
      <c r="AT192" s="86"/>
      <c r="AU192" s="88"/>
      <c r="AV192" s="86"/>
      <c r="AW192" s="88"/>
      <c r="AX192" s="86"/>
      <c r="AY192" s="88"/>
      <c r="AZ192" s="86"/>
      <c r="BA192" s="88"/>
      <c r="BB192" s="86"/>
      <c r="BC192" s="88"/>
      <c r="BD192" s="86"/>
      <c r="BE192" s="88"/>
      <c r="BF192" s="86"/>
      <c r="BG192" s="88"/>
      <c r="BH192" s="86"/>
      <c r="BI192" s="88"/>
      <c r="BJ192" s="86"/>
      <c r="BK192" s="88"/>
      <c r="BL192" s="86"/>
      <c r="BM192" s="88"/>
      <c r="BN192" s="86"/>
      <c r="BO192" s="88"/>
      <c r="BP192" s="86"/>
      <c r="BQ192" s="88"/>
      <c r="BR192" s="86"/>
      <c r="BS192" s="87"/>
    </row>
    <row r="193" ht="22.5" customHeight="1">
      <c r="A193" s="154"/>
      <c r="B193" s="83"/>
      <c r="C193" s="151"/>
      <c r="D193" s="83"/>
      <c r="E193" s="151"/>
      <c r="F193" s="83"/>
      <c r="G193" s="85"/>
      <c r="H193" s="86"/>
      <c r="I193" s="87"/>
      <c r="J193" s="86"/>
      <c r="K193" s="88"/>
      <c r="L193" s="86"/>
      <c r="M193" s="88"/>
      <c r="N193" s="86"/>
      <c r="O193" s="88"/>
      <c r="P193" s="86"/>
      <c r="Q193" s="88"/>
      <c r="R193" s="86"/>
      <c r="S193" s="88"/>
      <c r="T193" s="86"/>
      <c r="U193" s="88"/>
      <c r="V193" s="86"/>
      <c r="W193" s="88"/>
      <c r="X193" s="86"/>
      <c r="Y193" s="88"/>
      <c r="Z193" s="86"/>
      <c r="AA193" s="88"/>
      <c r="AB193" s="86"/>
      <c r="AC193" s="88"/>
      <c r="AD193" s="86"/>
      <c r="AE193" s="88"/>
      <c r="AF193" s="86"/>
      <c r="AG193" s="88"/>
      <c r="AH193" s="86"/>
      <c r="AI193" s="88"/>
      <c r="AJ193" s="86"/>
      <c r="AK193" s="88"/>
      <c r="AL193" s="86"/>
      <c r="AM193" s="88"/>
      <c r="AN193" s="86"/>
      <c r="AO193" s="88"/>
      <c r="AP193" s="86"/>
      <c r="AQ193" s="88"/>
      <c r="AR193" s="86"/>
      <c r="AS193" s="88"/>
      <c r="AT193" s="86"/>
      <c r="AU193" s="88"/>
      <c r="AV193" s="86"/>
      <c r="AW193" s="88"/>
      <c r="AX193" s="86"/>
      <c r="AY193" s="88"/>
      <c r="AZ193" s="86"/>
      <c r="BA193" s="88"/>
      <c r="BB193" s="86"/>
      <c r="BC193" s="88"/>
      <c r="BD193" s="86"/>
      <c r="BE193" s="88"/>
      <c r="BF193" s="86"/>
      <c r="BG193" s="88"/>
      <c r="BH193" s="86"/>
      <c r="BI193" s="88"/>
      <c r="BJ193" s="86"/>
      <c r="BK193" s="88"/>
      <c r="BL193" s="86"/>
      <c r="BM193" s="88"/>
      <c r="BN193" s="86"/>
      <c r="BO193" s="88"/>
      <c r="BP193" s="86"/>
      <c r="BQ193" s="88"/>
      <c r="BR193" s="86"/>
      <c r="BS193" s="87"/>
    </row>
    <row r="194" ht="22.5" customHeight="1">
      <c r="A194" s="154"/>
      <c r="B194" s="83"/>
      <c r="C194" s="151"/>
      <c r="D194" s="83"/>
      <c r="E194" s="151"/>
      <c r="F194" s="83"/>
      <c r="G194" s="85"/>
      <c r="H194" s="86"/>
      <c r="I194" s="87"/>
      <c r="J194" s="86"/>
      <c r="K194" s="88"/>
      <c r="L194" s="86"/>
      <c r="M194" s="88"/>
      <c r="N194" s="86"/>
      <c r="O194" s="88"/>
      <c r="P194" s="86"/>
      <c r="Q194" s="88"/>
      <c r="R194" s="86"/>
      <c r="S194" s="88"/>
      <c r="T194" s="86"/>
      <c r="U194" s="88"/>
      <c r="V194" s="86"/>
      <c r="W194" s="88"/>
      <c r="X194" s="86"/>
      <c r="Y194" s="88"/>
      <c r="Z194" s="86"/>
      <c r="AA194" s="88"/>
      <c r="AB194" s="86"/>
      <c r="AC194" s="88"/>
      <c r="AD194" s="86"/>
      <c r="AE194" s="88"/>
      <c r="AF194" s="86"/>
      <c r="AG194" s="88"/>
      <c r="AH194" s="86"/>
      <c r="AI194" s="88"/>
      <c r="AJ194" s="86"/>
      <c r="AK194" s="88"/>
      <c r="AL194" s="86"/>
      <c r="AM194" s="88"/>
      <c r="AN194" s="86"/>
      <c r="AO194" s="88"/>
      <c r="AP194" s="86"/>
      <c r="AQ194" s="88"/>
      <c r="AR194" s="86"/>
      <c r="AS194" s="88"/>
      <c r="AT194" s="86"/>
      <c r="AU194" s="88"/>
      <c r="AV194" s="86"/>
      <c r="AW194" s="88"/>
      <c r="AX194" s="86"/>
      <c r="AY194" s="88"/>
      <c r="AZ194" s="86"/>
      <c r="BA194" s="88"/>
      <c r="BB194" s="86"/>
      <c r="BC194" s="88"/>
      <c r="BD194" s="86"/>
      <c r="BE194" s="88"/>
      <c r="BF194" s="86"/>
      <c r="BG194" s="88"/>
      <c r="BH194" s="86"/>
      <c r="BI194" s="88"/>
      <c r="BJ194" s="86"/>
      <c r="BK194" s="88"/>
      <c r="BL194" s="86"/>
      <c r="BM194" s="88"/>
      <c r="BN194" s="86"/>
      <c r="BO194" s="88"/>
      <c r="BP194" s="86"/>
      <c r="BQ194" s="88"/>
      <c r="BR194" s="86"/>
      <c r="BS194" s="87"/>
    </row>
    <row r="195" ht="22.5" customHeight="1">
      <c r="A195" s="154"/>
      <c r="B195" s="83"/>
      <c r="C195" s="151"/>
      <c r="D195" s="83"/>
      <c r="E195" s="151"/>
      <c r="F195" s="83"/>
      <c r="G195" s="85"/>
      <c r="H195" s="86"/>
      <c r="I195" s="87"/>
      <c r="J195" s="86"/>
      <c r="K195" s="88"/>
      <c r="L195" s="86"/>
      <c r="M195" s="88"/>
      <c r="N195" s="86"/>
      <c r="O195" s="88"/>
      <c r="P195" s="86"/>
      <c r="Q195" s="88"/>
      <c r="R195" s="86"/>
      <c r="S195" s="88"/>
      <c r="T195" s="86"/>
      <c r="U195" s="88"/>
      <c r="V195" s="86"/>
      <c r="W195" s="88"/>
      <c r="X195" s="86"/>
      <c r="Y195" s="88"/>
      <c r="Z195" s="86"/>
      <c r="AA195" s="88"/>
      <c r="AB195" s="86"/>
      <c r="AC195" s="88"/>
      <c r="AD195" s="86"/>
      <c r="AE195" s="88"/>
      <c r="AF195" s="86"/>
      <c r="AG195" s="88"/>
      <c r="AH195" s="86"/>
      <c r="AI195" s="88"/>
      <c r="AJ195" s="86"/>
      <c r="AK195" s="88"/>
      <c r="AL195" s="86"/>
      <c r="AM195" s="88"/>
      <c r="AN195" s="86"/>
      <c r="AO195" s="88"/>
      <c r="AP195" s="86"/>
      <c r="AQ195" s="88"/>
      <c r="AR195" s="86"/>
      <c r="AS195" s="88"/>
      <c r="AT195" s="86"/>
      <c r="AU195" s="88"/>
      <c r="AV195" s="86"/>
      <c r="AW195" s="88"/>
      <c r="AX195" s="86"/>
      <c r="AY195" s="88"/>
      <c r="AZ195" s="86"/>
      <c r="BA195" s="88"/>
      <c r="BB195" s="86"/>
      <c r="BC195" s="88"/>
      <c r="BD195" s="86"/>
      <c r="BE195" s="88"/>
      <c r="BF195" s="86"/>
      <c r="BG195" s="88"/>
      <c r="BH195" s="86"/>
      <c r="BI195" s="88"/>
      <c r="BJ195" s="86"/>
      <c r="BK195" s="88"/>
      <c r="BL195" s="86"/>
      <c r="BM195" s="88"/>
      <c r="BN195" s="86"/>
      <c r="BO195" s="88"/>
      <c r="BP195" s="86"/>
      <c r="BQ195" s="88"/>
      <c r="BR195" s="86"/>
      <c r="BS195" s="87"/>
    </row>
    <row r="196" ht="22.5" customHeight="1">
      <c r="A196" s="154"/>
      <c r="B196" s="83"/>
      <c r="C196" s="151"/>
      <c r="D196" s="83"/>
      <c r="E196" s="151"/>
      <c r="F196" s="83"/>
      <c r="G196" s="85"/>
      <c r="H196" s="86"/>
      <c r="I196" s="87"/>
      <c r="J196" s="86"/>
      <c r="K196" s="88"/>
      <c r="L196" s="86"/>
      <c r="M196" s="88"/>
      <c r="N196" s="86"/>
      <c r="O196" s="88"/>
      <c r="P196" s="86"/>
      <c r="Q196" s="88"/>
      <c r="R196" s="86"/>
      <c r="S196" s="88"/>
      <c r="T196" s="86"/>
      <c r="U196" s="88"/>
      <c r="V196" s="86"/>
      <c r="W196" s="88"/>
      <c r="X196" s="86"/>
      <c r="Y196" s="88"/>
      <c r="Z196" s="86"/>
      <c r="AA196" s="88"/>
      <c r="AB196" s="86"/>
      <c r="AC196" s="88"/>
      <c r="AD196" s="86"/>
      <c r="AE196" s="88"/>
      <c r="AF196" s="86"/>
      <c r="AG196" s="88"/>
      <c r="AH196" s="86"/>
      <c r="AI196" s="88"/>
      <c r="AJ196" s="86"/>
      <c r="AK196" s="88"/>
      <c r="AL196" s="86"/>
      <c r="AM196" s="88"/>
      <c r="AN196" s="86"/>
      <c r="AO196" s="88"/>
      <c r="AP196" s="86"/>
      <c r="AQ196" s="88"/>
      <c r="AR196" s="86"/>
      <c r="AS196" s="88"/>
      <c r="AT196" s="86"/>
      <c r="AU196" s="88"/>
      <c r="AV196" s="86"/>
      <c r="AW196" s="88"/>
      <c r="AX196" s="86"/>
      <c r="AY196" s="88"/>
      <c r="AZ196" s="86"/>
      <c r="BA196" s="88"/>
      <c r="BB196" s="86"/>
      <c r="BC196" s="88"/>
      <c r="BD196" s="86"/>
      <c r="BE196" s="88"/>
      <c r="BF196" s="86"/>
      <c r="BG196" s="88"/>
      <c r="BH196" s="86"/>
      <c r="BI196" s="88"/>
      <c r="BJ196" s="86"/>
      <c r="BK196" s="88"/>
      <c r="BL196" s="86"/>
      <c r="BM196" s="88"/>
      <c r="BN196" s="86"/>
      <c r="BO196" s="88"/>
      <c r="BP196" s="86"/>
      <c r="BQ196" s="88"/>
      <c r="BR196" s="86"/>
      <c r="BS196" s="87"/>
    </row>
    <row r="197" ht="22.5" customHeight="1">
      <c r="A197" s="154"/>
      <c r="B197" s="83"/>
      <c r="C197" s="151"/>
      <c r="D197" s="83"/>
      <c r="E197" s="151"/>
      <c r="F197" s="83"/>
      <c r="G197" s="85"/>
      <c r="H197" s="86"/>
      <c r="I197" s="87"/>
      <c r="J197" s="86"/>
      <c r="K197" s="88"/>
      <c r="L197" s="86"/>
      <c r="M197" s="88"/>
      <c r="N197" s="86"/>
      <c r="O197" s="88"/>
      <c r="P197" s="86"/>
      <c r="Q197" s="88"/>
      <c r="R197" s="86"/>
      <c r="S197" s="88"/>
      <c r="T197" s="86"/>
      <c r="U197" s="88"/>
      <c r="V197" s="86"/>
      <c r="W197" s="88"/>
      <c r="X197" s="86"/>
      <c r="Y197" s="88"/>
      <c r="Z197" s="86"/>
      <c r="AA197" s="88"/>
      <c r="AB197" s="86"/>
      <c r="AC197" s="88"/>
      <c r="AD197" s="86"/>
      <c r="AE197" s="88"/>
      <c r="AF197" s="86"/>
      <c r="AG197" s="88"/>
      <c r="AH197" s="86"/>
      <c r="AI197" s="88"/>
      <c r="AJ197" s="86"/>
      <c r="AK197" s="88"/>
      <c r="AL197" s="86"/>
      <c r="AM197" s="88"/>
      <c r="AN197" s="86"/>
      <c r="AO197" s="88"/>
      <c r="AP197" s="86"/>
      <c r="AQ197" s="88"/>
      <c r="AR197" s="86"/>
      <c r="AS197" s="88"/>
      <c r="AT197" s="86"/>
      <c r="AU197" s="88"/>
      <c r="AV197" s="86"/>
      <c r="AW197" s="88"/>
      <c r="AX197" s="86"/>
      <c r="AY197" s="88"/>
      <c r="AZ197" s="86"/>
      <c r="BA197" s="88"/>
      <c r="BB197" s="86"/>
      <c r="BC197" s="88"/>
      <c r="BD197" s="86"/>
      <c r="BE197" s="88"/>
      <c r="BF197" s="86"/>
      <c r="BG197" s="88"/>
      <c r="BH197" s="86"/>
      <c r="BI197" s="88"/>
      <c r="BJ197" s="86"/>
      <c r="BK197" s="88"/>
      <c r="BL197" s="86"/>
      <c r="BM197" s="88"/>
      <c r="BN197" s="86"/>
      <c r="BO197" s="88"/>
      <c r="BP197" s="86"/>
      <c r="BQ197" s="88"/>
      <c r="BR197" s="86"/>
      <c r="BS197" s="87"/>
    </row>
    <row r="198" ht="22.5" customHeight="1">
      <c r="A198" s="154"/>
      <c r="B198" s="83"/>
      <c r="C198" s="151"/>
      <c r="D198" s="83"/>
      <c r="E198" s="151"/>
      <c r="F198" s="83"/>
      <c r="G198" s="85"/>
      <c r="H198" s="86"/>
      <c r="I198" s="87"/>
      <c r="J198" s="86"/>
      <c r="K198" s="88"/>
      <c r="L198" s="86"/>
      <c r="M198" s="88"/>
      <c r="N198" s="86"/>
      <c r="O198" s="88"/>
      <c r="P198" s="86"/>
      <c r="Q198" s="88"/>
      <c r="R198" s="86"/>
      <c r="S198" s="88"/>
      <c r="T198" s="86"/>
      <c r="U198" s="88"/>
      <c r="V198" s="86"/>
      <c r="W198" s="88"/>
      <c r="X198" s="86"/>
      <c r="Y198" s="88"/>
      <c r="Z198" s="86"/>
      <c r="AA198" s="88"/>
      <c r="AB198" s="86"/>
      <c r="AC198" s="88"/>
      <c r="AD198" s="86"/>
      <c r="AE198" s="88"/>
      <c r="AF198" s="86"/>
      <c r="AG198" s="88"/>
      <c r="AH198" s="86"/>
      <c r="AI198" s="88"/>
      <c r="AJ198" s="86"/>
      <c r="AK198" s="88"/>
      <c r="AL198" s="86"/>
      <c r="AM198" s="88"/>
      <c r="AN198" s="86"/>
      <c r="AO198" s="88"/>
      <c r="AP198" s="86"/>
      <c r="AQ198" s="88"/>
      <c r="AR198" s="86"/>
      <c r="AS198" s="88"/>
      <c r="AT198" s="86"/>
      <c r="AU198" s="88"/>
      <c r="AV198" s="86"/>
      <c r="AW198" s="88"/>
      <c r="AX198" s="86"/>
      <c r="AY198" s="88"/>
      <c r="AZ198" s="86"/>
      <c r="BA198" s="88"/>
      <c r="BB198" s="86"/>
      <c r="BC198" s="88"/>
      <c r="BD198" s="86"/>
      <c r="BE198" s="88"/>
      <c r="BF198" s="86"/>
      <c r="BG198" s="88"/>
      <c r="BH198" s="86"/>
      <c r="BI198" s="88"/>
      <c r="BJ198" s="86"/>
      <c r="BK198" s="88"/>
      <c r="BL198" s="86"/>
      <c r="BM198" s="88"/>
      <c r="BN198" s="86"/>
      <c r="BO198" s="88"/>
      <c r="BP198" s="86"/>
      <c r="BQ198" s="88"/>
      <c r="BR198" s="86"/>
      <c r="BS198" s="87"/>
    </row>
    <row r="199" ht="22.5" customHeight="1">
      <c r="A199" s="154"/>
      <c r="B199" s="83"/>
      <c r="C199" s="151"/>
      <c r="D199" s="83"/>
      <c r="E199" s="151"/>
      <c r="F199" s="83"/>
      <c r="G199" s="85"/>
      <c r="H199" s="86"/>
      <c r="I199" s="87"/>
      <c r="J199" s="86"/>
      <c r="K199" s="88"/>
      <c r="L199" s="86"/>
      <c r="M199" s="88"/>
      <c r="N199" s="86"/>
      <c r="O199" s="88"/>
      <c r="P199" s="86"/>
      <c r="Q199" s="88"/>
      <c r="R199" s="86"/>
      <c r="S199" s="88"/>
      <c r="T199" s="86"/>
      <c r="U199" s="88"/>
      <c r="V199" s="86"/>
      <c r="W199" s="88"/>
      <c r="X199" s="86"/>
      <c r="Y199" s="88"/>
      <c r="Z199" s="86"/>
      <c r="AA199" s="88"/>
      <c r="AB199" s="86"/>
      <c r="AC199" s="88"/>
      <c r="AD199" s="86"/>
      <c r="AE199" s="88"/>
      <c r="AF199" s="86"/>
      <c r="AG199" s="88"/>
      <c r="AH199" s="86"/>
      <c r="AI199" s="88"/>
      <c r="AJ199" s="86"/>
      <c r="AK199" s="88"/>
      <c r="AL199" s="86"/>
      <c r="AM199" s="88"/>
      <c r="AN199" s="86"/>
      <c r="AO199" s="88"/>
      <c r="AP199" s="86"/>
      <c r="AQ199" s="88"/>
      <c r="AR199" s="86"/>
      <c r="AS199" s="88"/>
      <c r="AT199" s="86"/>
      <c r="AU199" s="88"/>
      <c r="AV199" s="86"/>
      <c r="AW199" s="88"/>
      <c r="AX199" s="86"/>
      <c r="AY199" s="88"/>
      <c r="AZ199" s="86"/>
      <c r="BA199" s="88"/>
      <c r="BB199" s="86"/>
      <c r="BC199" s="88"/>
      <c r="BD199" s="86"/>
      <c r="BE199" s="88"/>
      <c r="BF199" s="86"/>
      <c r="BG199" s="88"/>
      <c r="BH199" s="86"/>
      <c r="BI199" s="88"/>
      <c r="BJ199" s="86"/>
      <c r="BK199" s="88"/>
      <c r="BL199" s="86"/>
      <c r="BM199" s="88"/>
      <c r="BN199" s="86"/>
      <c r="BO199" s="88"/>
      <c r="BP199" s="86"/>
      <c r="BQ199" s="88"/>
      <c r="BR199" s="86"/>
      <c r="BS199" s="87"/>
    </row>
    <row r="200" ht="22.5" customHeight="1">
      <c r="A200" s="154"/>
      <c r="B200" s="83"/>
      <c r="C200" s="151"/>
      <c r="D200" s="83"/>
      <c r="E200" s="151"/>
      <c r="F200" s="83"/>
      <c r="G200" s="85"/>
      <c r="H200" s="86"/>
      <c r="I200" s="87"/>
      <c r="J200" s="86"/>
      <c r="K200" s="88"/>
      <c r="L200" s="86"/>
      <c r="M200" s="88"/>
      <c r="N200" s="86"/>
      <c r="O200" s="88"/>
      <c r="P200" s="86"/>
      <c r="Q200" s="88"/>
      <c r="R200" s="86"/>
      <c r="S200" s="88"/>
      <c r="T200" s="86"/>
      <c r="U200" s="88"/>
      <c r="V200" s="86"/>
      <c r="W200" s="88"/>
      <c r="X200" s="86"/>
      <c r="Y200" s="88"/>
      <c r="Z200" s="86"/>
      <c r="AA200" s="88"/>
      <c r="AB200" s="86"/>
      <c r="AC200" s="88"/>
      <c r="AD200" s="86"/>
      <c r="AE200" s="88"/>
      <c r="AF200" s="86"/>
      <c r="AG200" s="88"/>
      <c r="AH200" s="86"/>
      <c r="AI200" s="88"/>
      <c r="AJ200" s="86"/>
      <c r="AK200" s="88"/>
      <c r="AL200" s="86"/>
      <c r="AM200" s="88"/>
      <c r="AN200" s="86"/>
      <c r="AO200" s="88"/>
      <c r="AP200" s="86"/>
      <c r="AQ200" s="88"/>
      <c r="AR200" s="86"/>
      <c r="AS200" s="88"/>
      <c r="AT200" s="86"/>
      <c r="AU200" s="88"/>
      <c r="AV200" s="86"/>
      <c r="AW200" s="88"/>
      <c r="AX200" s="86"/>
      <c r="AY200" s="88"/>
      <c r="AZ200" s="86"/>
      <c r="BA200" s="88"/>
      <c r="BB200" s="86"/>
      <c r="BC200" s="88"/>
      <c r="BD200" s="86"/>
      <c r="BE200" s="88"/>
      <c r="BF200" s="86"/>
      <c r="BG200" s="88"/>
      <c r="BH200" s="86"/>
      <c r="BI200" s="88"/>
      <c r="BJ200" s="86"/>
      <c r="BK200" s="88"/>
      <c r="BL200" s="86"/>
      <c r="BM200" s="88"/>
      <c r="BN200" s="86"/>
      <c r="BO200" s="88"/>
      <c r="BP200" s="86"/>
      <c r="BQ200" s="88"/>
      <c r="BR200" s="86"/>
      <c r="BS200" s="87"/>
    </row>
    <row r="201" ht="22.5" customHeight="1">
      <c r="A201" s="154"/>
      <c r="B201" s="83"/>
      <c r="C201" s="151"/>
      <c r="D201" s="83"/>
      <c r="E201" s="151"/>
      <c r="F201" s="83"/>
      <c r="G201" s="85"/>
      <c r="H201" s="86"/>
      <c r="I201" s="87"/>
      <c r="J201" s="86"/>
      <c r="K201" s="88"/>
      <c r="L201" s="86"/>
      <c r="M201" s="88"/>
      <c r="N201" s="86"/>
      <c r="O201" s="88"/>
      <c r="P201" s="86"/>
      <c r="Q201" s="88"/>
      <c r="R201" s="86"/>
      <c r="S201" s="88"/>
      <c r="T201" s="86"/>
      <c r="U201" s="88"/>
      <c r="V201" s="86"/>
      <c r="W201" s="88"/>
      <c r="X201" s="86"/>
      <c r="Y201" s="88"/>
      <c r="Z201" s="86"/>
      <c r="AA201" s="88"/>
      <c r="AB201" s="86"/>
      <c r="AC201" s="88"/>
      <c r="AD201" s="86"/>
      <c r="AE201" s="88"/>
      <c r="AF201" s="86"/>
      <c r="AG201" s="88"/>
      <c r="AH201" s="86"/>
      <c r="AI201" s="88"/>
      <c r="AJ201" s="86"/>
      <c r="AK201" s="88"/>
      <c r="AL201" s="86"/>
      <c r="AM201" s="88"/>
      <c r="AN201" s="86"/>
      <c r="AO201" s="88"/>
      <c r="AP201" s="86"/>
      <c r="AQ201" s="88"/>
      <c r="AR201" s="86"/>
      <c r="AS201" s="88"/>
      <c r="AT201" s="86"/>
      <c r="AU201" s="88"/>
      <c r="AV201" s="86"/>
      <c r="AW201" s="88"/>
      <c r="AX201" s="86"/>
      <c r="AY201" s="88"/>
      <c r="AZ201" s="86"/>
      <c r="BA201" s="88"/>
      <c r="BB201" s="86"/>
      <c r="BC201" s="88"/>
      <c r="BD201" s="86"/>
      <c r="BE201" s="88"/>
      <c r="BF201" s="86"/>
      <c r="BG201" s="88"/>
      <c r="BH201" s="86"/>
      <c r="BI201" s="88"/>
      <c r="BJ201" s="86"/>
      <c r="BK201" s="88"/>
      <c r="BL201" s="86"/>
      <c r="BM201" s="88"/>
      <c r="BN201" s="86"/>
      <c r="BO201" s="88"/>
      <c r="BP201" s="86"/>
      <c r="BQ201" s="88"/>
      <c r="BR201" s="86"/>
      <c r="BS201" s="87"/>
    </row>
    <row r="202" ht="22.5" customHeight="1">
      <c r="A202" s="154"/>
      <c r="B202" s="83"/>
      <c r="C202" s="151"/>
      <c r="D202" s="83"/>
      <c r="E202" s="151"/>
      <c r="F202" s="83"/>
      <c r="G202" s="85"/>
      <c r="H202" s="86"/>
      <c r="I202" s="87"/>
      <c r="J202" s="86"/>
      <c r="K202" s="88"/>
      <c r="L202" s="86"/>
      <c r="M202" s="88"/>
      <c r="N202" s="86"/>
      <c r="O202" s="88"/>
      <c r="P202" s="86"/>
      <c r="Q202" s="88"/>
      <c r="R202" s="86"/>
      <c r="S202" s="88"/>
      <c r="T202" s="86"/>
      <c r="U202" s="88"/>
      <c r="V202" s="86"/>
      <c r="W202" s="88"/>
      <c r="X202" s="86"/>
      <c r="Y202" s="88"/>
      <c r="Z202" s="86"/>
      <c r="AA202" s="88"/>
      <c r="AB202" s="86"/>
      <c r="AC202" s="88"/>
      <c r="AD202" s="86"/>
      <c r="AE202" s="88"/>
      <c r="AF202" s="86"/>
      <c r="AG202" s="88"/>
      <c r="AH202" s="86"/>
      <c r="AI202" s="88"/>
      <c r="AJ202" s="86"/>
      <c r="AK202" s="88"/>
      <c r="AL202" s="86"/>
      <c r="AM202" s="88"/>
      <c r="AN202" s="86"/>
      <c r="AO202" s="88"/>
      <c r="AP202" s="86"/>
      <c r="AQ202" s="88"/>
      <c r="AR202" s="86"/>
      <c r="AS202" s="88"/>
      <c r="AT202" s="86"/>
      <c r="AU202" s="88"/>
      <c r="AV202" s="86"/>
      <c r="AW202" s="88"/>
      <c r="AX202" s="86"/>
      <c r="AY202" s="88"/>
      <c r="AZ202" s="86"/>
      <c r="BA202" s="88"/>
      <c r="BB202" s="86"/>
      <c r="BC202" s="88"/>
      <c r="BD202" s="86"/>
      <c r="BE202" s="88"/>
      <c r="BF202" s="86"/>
      <c r="BG202" s="88"/>
      <c r="BH202" s="86"/>
      <c r="BI202" s="88"/>
      <c r="BJ202" s="86"/>
      <c r="BK202" s="88"/>
      <c r="BL202" s="86"/>
      <c r="BM202" s="88"/>
      <c r="BN202" s="86"/>
      <c r="BO202" s="88"/>
      <c r="BP202" s="86"/>
      <c r="BQ202" s="88"/>
      <c r="BR202" s="86"/>
      <c r="BS202" s="87"/>
    </row>
    <row r="203" ht="22.5" customHeight="1">
      <c r="A203" s="154"/>
      <c r="B203" s="83"/>
      <c r="C203" s="151"/>
      <c r="D203" s="83"/>
      <c r="E203" s="151"/>
      <c r="F203" s="83"/>
      <c r="G203" s="85"/>
      <c r="H203" s="86"/>
      <c r="I203" s="87"/>
      <c r="J203" s="86"/>
      <c r="K203" s="88"/>
      <c r="L203" s="86"/>
      <c r="M203" s="88"/>
      <c r="N203" s="86"/>
      <c r="O203" s="88"/>
      <c r="P203" s="86"/>
      <c r="Q203" s="88"/>
      <c r="R203" s="86"/>
      <c r="S203" s="88"/>
      <c r="T203" s="86"/>
      <c r="U203" s="88"/>
      <c r="V203" s="86"/>
      <c r="W203" s="88"/>
      <c r="X203" s="86"/>
      <c r="Y203" s="88"/>
      <c r="Z203" s="86"/>
      <c r="AA203" s="88"/>
      <c r="AB203" s="86"/>
      <c r="AC203" s="88"/>
      <c r="AD203" s="86"/>
      <c r="AE203" s="88"/>
      <c r="AF203" s="86"/>
      <c r="AG203" s="88"/>
      <c r="AH203" s="86"/>
      <c r="AI203" s="88"/>
      <c r="AJ203" s="86"/>
      <c r="AK203" s="88"/>
      <c r="AL203" s="86"/>
      <c r="AM203" s="88"/>
      <c r="AN203" s="86"/>
      <c r="AO203" s="88"/>
      <c r="AP203" s="86"/>
      <c r="AQ203" s="88"/>
      <c r="AR203" s="86"/>
      <c r="AS203" s="88"/>
      <c r="AT203" s="86"/>
      <c r="AU203" s="88"/>
      <c r="AV203" s="86"/>
      <c r="AW203" s="88"/>
      <c r="AX203" s="86"/>
      <c r="AY203" s="88"/>
      <c r="AZ203" s="86"/>
      <c r="BA203" s="88"/>
      <c r="BB203" s="86"/>
      <c r="BC203" s="88"/>
      <c r="BD203" s="86"/>
      <c r="BE203" s="88"/>
      <c r="BF203" s="86"/>
      <c r="BG203" s="88"/>
      <c r="BH203" s="86"/>
      <c r="BI203" s="88"/>
      <c r="BJ203" s="86"/>
      <c r="BK203" s="88"/>
      <c r="BL203" s="86"/>
      <c r="BM203" s="88"/>
      <c r="BN203" s="86"/>
      <c r="BO203" s="88"/>
      <c r="BP203" s="86"/>
      <c r="BQ203" s="88"/>
      <c r="BR203" s="86"/>
      <c r="BS203" s="87"/>
    </row>
    <row r="204" ht="22.5" customHeight="1">
      <c r="A204" s="154"/>
      <c r="B204" s="83"/>
      <c r="C204" s="151"/>
      <c r="D204" s="83"/>
      <c r="E204" s="151"/>
      <c r="F204" s="83"/>
      <c r="G204" s="85"/>
      <c r="H204" s="86"/>
      <c r="I204" s="87"/>
      <c r="J204" s="86"/>
      <c r="K204" s="88"/>
      <c r="L204" s="86"/>
      <c r="M204" s="88"/>
      <c r="N204" s="86"/>
      <c r="O204" s="88"/>
      <c r="P204" s="86"/>
      <c r="Q204" s="88"/>
      <c r="R204" s="86"/>
      <c r="S204" s="88"/>
      <c r="T204" s="86"/>
      <c r="U204" s="88"/>
      <c r="V204" s="86"/>
      <c r="W204" s="88"/>
      <c r="X204" s="86"/>
      <c r="Y204" s="88"/>
      <c r="Z204" s="86"/>
      <c r="AA204" s="88"/>
      <c r="AB204" s="86"/>
      <c r="AC204" s="88"/>
      <c r="AD204" s="86"/>
      <c r="AE204" s="88"/>
      <c r="AF204" s="86"/>
      <c r="AG204" s="88"/>
      <c r="AH204" s="86"/>
      <c r="AI204" s="88"/>
      <c r="AJ204" s="86"/>
      <c r="AK204" s="88"/>
      <c r="AL204" s="86"/>
      <c r="AM204" s="88"/>
      <c r="AN204" s="86"/>
      <c r="AO204" s="88"/>
      <c r="AP204" s="86"/>
      <c r="AQ204" s="88"/>
      <c r="AR204" s="86"/>
      <c r="AS204" s="88"/>
      <c r="AT204" s="86"/>
      <c r="AU204" s="88"/>
      <c r="AV204" s="86"/>
      <c r="AW204" s="88"/>
      <c r="AX204" s="86"/>
      <c r="AY204" s="88"/>
      <c r="AZ204" s="86"/>
      <c r="BA204" s="88"/>
      <c r="BB204" s="86"/>
      <c r="BC204" s="88"/>
      <c r="BD204" s="86"/>
      <c r="BE204" s="88"/>
      <c r="BF204" s="86"/>
      <c r="BG204" s="88"/>
      <c r="BH204" s="86"/>
      <c r="BI204" s="88"/>
      <c r="BJ204" s="86"/>
      <c r="BK204" s="88"/>
      <c r="BL204" s="86"/>
      <c r="BM204" s="88"/>
      <c r="BN204" s="86"/>
      <c r="BO204" s="88"/>
      <c r="BP204" s="86"/>
      <c r="BQ204" s="88"/>
      <c r="BR204" s="86"/>
      <c r="BS204" s="87"/>
    </row>
    <row r="205" ht="22.5" customHeight="1">
      <c r="A205" s="154"/>
      <c r="B205" s="83"/>
      <c r="C205" s="151"/>
      <c r="D205" s="83"/>
      <c r="E205" s="151"/>
      <c r="F205" s="83"/>
      <c r="G205" s="85"/>
      <c r="H205" s="86"/>
      <c r="I205" s="87"/>
      <c r="J205" s="86"/>
      <c r="K205" s="88"/>
      <c r="L205" s="86"/>
      <c r="M205" s="88"/>
      <c r="N205" s="86"/>
      <c r="O205" s="88"/>
      <c r="P205" s="86"/>
      <c r="Q205" s="88"/>
      <c r="R205" s="86"/>
      <c r="S205" s="88"/>
      <c r="T205" s="86"/>
      <c r="U205" s="88"/>
      <c r="V205" s="86"/>
      <c r="W205" s="88"/>
      <c r="X205" s="86"/>
      <c r="Y205" s="88"/>
      <c r="Z205" s="86"/>
      <c r="AA205" s="88"/>
      <c r="AB205" s="86"/>
      <c r="AC205" s="88"/>
      <c r="AD205" s="86"/>
      <c r="AE205" s="88"/>
      <c r="AF205" s="86"/>
      <c r="AG205" s="88"/>
      <c r="AH205" s="86"/>
      <c r="AI205" s="88"/>
      <c r="AJ205" s="86"/>
      <c r="AK205" s="88"/>
      <c r="AL205" s="86"/>
      <c r="AM205" s="88"/>
      <c r="AN205" s="86"/>
      <c r="AO205" s="88"/>
      <c r="AP205" s="86"/>
      <c r="AQ205" s="88"/>
      <c r="AR205" s="86"/>
      <c r="AS205" s="88"/>
      <c r="AT205" s="86"/>
      <c r="AU205" s="88"/>
      <c r="AV205" s="86"/>
      <c r="AW205" s="88"/>
      <c r="AX205" s="86"/>
      <c r="AY205" s="88"/>
      <c r="AZ205" s="86"/>
      <c r="BA205" s="88"/>
      <c r="BB205" s="86"/>
      <c r="BC205" s="88"/>
      <c r="BD205" s="86"/>
      <c r="BE205" s="88"/>
      <c r="BF205" s="86"/>
      <c r="BG205" s="88"/>
      <c r="BH205" s="86"/>
      <c r="BI205" s="88"/>
      <c r="BJ205" s="86"/>
      <c r="BK205" s="88"/>
      <c r="BL205" s="86"/>
      <c r="BM205" s="88"/>
      <c r="BN205" s="86"/>
      <c r="BO205" s="88"/>
      <c r="BP205" s="86"/>
      <c r="BQ205" s="88"/>
      <c r="BR205" s="86"/>
      <c r="BS205" s="87"/>
    </row>
    <row r="206" ht="22.5" customHeight="1">
      <c r="A206" s="154"/>
      <c r="B206" s="83"/>
      <c r="C206" s="151"/>
      <c r="D206" s="83"/>
      <c r="E206" s="151"/>
      <c r="F206" s="83"/>
      <c r="G206" s="85"/>
      <c r="H206" s="86"/>
      <c r="I206" s="87"/>
      <c r="J206" s="86"/>
      <c r="K206" s="88"/>
      <c r="L206" s="86"/>
      <c r="M206" s="88"/>
      <c r="N206" s="86"/>
      <c r="O206" s="88"/>
      <c r="P206" s="86"/>
      <c r="Q206" s="88"/>
      <c r="R206" s="86"/>
      <c r="S206" s="88"/>
      <c r="T206" s="86"/>
      <c r="U206" s="88"/>
      <c r="V206" s="86"/>
      <c r="W206" s="88"/>
      <c r="X206" s="86"/>
      <c r="Y206" s="88"/>
      <c r="Z206" s="86"/>
      <c r="AA206" s="88"/>
      <c r="AB206" s="86"/>
      <c r="AC206" s="88"/>
      <c r="AD206" s="86"/>
      <c r="AE206" s="88"/>
      <c r="AF206" s="86"/>
      <c r="AG206" s="88"/>
      <c r="AH206" s="86"/>
      <c r="AI206" s="88"/>
      <c r="AJ206" s="86"/>
      <c r="AK206" s="88"/>
      <c r="AL206" s="86"/>
      <c r="AM206" s="88"/>
      <c r="AN206" s="86"/>
      <c r="AO206" s="88"/>
      <c r="AP206" s="86"/>
      <c r="AQ206" s="88"/>
      <c r="AR206" s="86"/>
      <c r="AS206" s="88"/>
      <c r="AT206" s="86"/>
      <c r="AU206" s="88"/>
      <c r="AV206" s="86"/>
      <c r="AW206" s="88"/>
      <c r="AX206" s="86"/>
      <c r="AY206" s="88"/>
      <c r="AZ206" s="86"/>
      <c r="BA206" s="88"/>
      <c r="BB206" s="86"/>
      <c r="BC206" s="88"/>
      <c r="BD206" s="86"/>
      <c r="BE206" s="88"/>
      <c r="BF206" s="86"/>
      <c r="BG206" s="88"/>
      <c r="BH206" s="86"/>
      <c r="BI206" s="88"/>
      <c r="BJ206" s="86"/>
      <c r="BK206" s="88"/>
      <c r="BL206" s="86"/>
      <c r="BM206" s="88"/>
      <c r="BN206" s="86"/>
      <c r="BO206" s="88"/>
      <c r="BP206" s="86"/>
      <c r="BQ206" s="88"/>
      <c r="BR206" s="86"/>
      <c r="BS206" s="87"/>
    </row>
    <row r="207" ht="22.5" customHeight="1">
      <c r="A207" s="154"/>
      <c r="B207" s="83"/>
      <c r="C207" s="151"/>
      <c r="D207" s="83"/>
      <c r="E207" s="151"/>
      <c r="F207" s="83"/>
      <c r="G207" s="85"/>
      <c r="H207" s="86"/>
      <c r="I207" s="87"/>
      <c r="J207" s="86"/>
      <c r="K207" s="88"/>
      <c r="L207" s="86"/>
      <c r="M207" s="88"/>
      <c r="N207" s="86"/>
      <c r="O207" s="88"/>
      <c r="P207" s="86"/>
      <c r="Q207" s="88"/>
      <c r="R207" s="86"/>
      <c r="S207" s="88"/>
      <c r="T207" s="86"/>
      <c r="U207" s="88"/>
      <c r="V207" s="86"/>
      <c r="W207" s="88"/>
      <c r="X207" s="86"/>
      <c r="Y207" s="88"/>
      <c r="Z207" s="86"/>
      <c r="AA207" s="88"/>
      <c r="AB207" s="86"/>
      <c r="AC207" s="88"/>
      <c r="AD207" s="86"/>
      <c r="AE207" s="88"/>
      <c r="AF207" s="86"/>
      <c r="AG207" s="88"/>
      <c r="AH207" s="86"/>
      <c r="AI207" s="88"/>
      <c r="AJ207" s="86"/>
      <c r="AK207" s="88"/>
      <c r="AL207" s="86"/>
      <c r="AM207" s="88"/>
      <c r="AN207" s="86"/>
      <c r="AO207" s="88"/>
      <c r="AP207" s="86"/>
      <c r="AQ207" s="88"/>
      <c r="AR207" s="86"/>
      <c r="AS207" s="88"/>
      <c r="AT207" s="86"/>
      <c r="AU207" s="88"/>
      <c r="AV207" s="86"/>
      <c r="AW207" s="88"/>
      <c r="AX207" s="86"/>
      <c r="AY207" s="88"/>
      <c r="AZ207" s="86"/>
      <c r="BA207" s="88"/>
      <c r="BB207" s="86"/>
      <c r="BC207" s="88"/>
      <c r="BD207" s="86"/>
      <c r="BE207" s="88"/>
      <c r="BF207" s="86"/>
      <c r="BG207" s="88"/>
      <c r="BH207" s="86"/>
      <c r="BI207" s="88"/>
      <c r="BJ207" s="86"/>
      <c r="BK207" s="88"/>
      <c r="BL207" s="86"/>
      <c r="BM207" s="88"/>
      <c r="BN207" s="86"/>
      <c r="BO207" s="88"/>
      <c r="BP207" s="86"/>
      <c r="BQ207" s="88"/>
      <c r="BR207" s="86"/>
      <c r="BS207" s="87"/>
    </row>
    <row r="208" ht="22.5" customHeight="1">
      <c r="A208" s="154"/>
      <c r="B208" s="83"/>
      <c r="C208" s="151"/>
      <c r="D208" s="83"/>
      <c r="E208" s="151"/>
      <c r="F208" s="83"/>
      <c r="G208" s="85"/>
      <c r="H208" s="86"/>
      <c r="I208" s="87"/>
      <c r="J208" s="86"/>
      <c r="K208" s="88"/>
      <c r="L208" s="86"/>
      <c r="M208" s="88"/>
      <c r="N208" s="86"/>
      <c r="O208" s="88"/>
      <c r="P208" s="86"/>
      <c r="Q208" s="88"/>
      <c r="R208" s="86"/>
      <c r="S208" s="88"/>
      <c r="T208" s="86"/>
      <c r="U208" s="88"/>
      <c r="V208" s="86"/>
      <c r="W208" s="88"/>
      <c r="X208" s="86"/>
      <c r="Y208" s="88"/>
      <c r="Z208" s="86"/>
      <c r="AA208" s="88"/>
      <c r="AB208" s="86"/>
      <c r="AC208" s="88"/>
      <c r="AD208" s="86"/>
      <c r="AE208" s="88"/>
      <c r="AF208" s="86"/>
      <c r="AG208" s="88"/>
      <c r="AH208" s="86"/>
      <c r="AI208" s="88"/>
      <c r="AJ208" s="86"/>
      <c r="AK208" s="88"/>
      <c r="AL208" s="86"/>
      <c r="AM208" s="88"/>
      <c r="AN208" s="86"/>
      <c r="AO208" s="88"/>
      <c r="AP208" s="86"/>
      <c r="AQ208" s="88"/>
      <c r="AR208" s="86"/>
      <c r="AS208" s="88"/>
      <c r="AT208" s="86"/>
      <c r="AU208" s="88"/>
      <c r="AV208" s="86"/>
      <c r="AW208" s="88"/>
      <c r="AX208" s="86"/>
      <c r="AY208" s="88"/>
      <c r="AZ208" s="86"/>
      <c r="BA208" s="88"/>
      <c r="BB208" s="86"/>
      <c r="BC208" s="88"/>
      <c r="BD208" s="86"/>
      <c r="BE208" s="88"/>
      <c r="BF208" s="86"/>
      <c r="BG208" s="88"/>
      <c r="BH208" s="86"/>
      <c r="BI208" s="88"/>
      <c r="BJ208" s="86"/>
      <c r="BK208" s="88"/>
      <c r="BL208" s="86"/>
      <c r="BM208" s="88"/>
      <c r="BN208" s="86"/>
      <c r="BO208" s="88"/>
      <c r="BP208" s="86"/>
      <c r="BQ208" s="88"/>
      <c r="BR208" s="86"/>
      <c r="BS208" s="87"/>
    </row>
    <row r="209" ht="22.5" customHeight="1">
      <c r="A209" s="154"/>
      <c r="B209" s="83"/>
      <c r="C209" s="151"/>
      <c r="D209" s="83"/>
      <c r="E209" s="151"/>
      <c r="F209" s="83"/>
      <c r="G209" s="85"/>
      <c r="H209" s="86"/>
      <c r="I209" s="87"/>
      <c r="J209" s="86"/>
      <c r="K209" s="88"/>
      <c r="L209" s="86"/>
      <c r="M209" s="88"/>
      <c r="N209" s="86"/>
      <c r="O209" s="88"/>
      <c r="P209" s="86"/>
      <c r="Q209" s="88"/>
      <c r="R209" s="86"/>
      <c r="S209" s="88"/>
      <c r="T209" s="86"/>
      <c r="U209" s="88"/>
      <c r="V209" s="86"/>
      <c r="W209" s="88"/>
      <c r="X209" s="86"/>
      <c r="Y209" s="88"/>
      <c r="Z209" s="86"/>
      <c r="AA209" s="88"/>
      <c r="AB209" s="86"/>
      <c r="AC209" s="88"/>
      <c r="AD209" s="86"/>
      <c r="AE209" s="88"/>
      <c r="AF209" s="86"/>
      <c r="AG209" s="88"/>
      <c r="AH209" s="86"/>
      <c r="AI209" s="88"/>
      <c r="AJ209" s="86"/>
      <c r="AK209" s="88"/>
      <c r="AL209" s="86"/>
      <c r="AM209" s="88"/>
      <c r="AN209" s="86"/>
      <c r="AO209" s="88"/>
      <c r="AP209" s="86"/>
      <c r="AQ209" s="88"/>
      <c r="AR209" s="86"/>
      <c r="AS209" s="88"/>
      <c r="AT209" s="86"/>
      <c r="AU209" s="88"/>
      <c r="AV209" s="86"/>
      <c r="AW209" s="88"/>
      <c r="AX209" s="86"/>
      <c r="AY209" s="88"/>
      <c r="AZ209" s="86"/>
      <c r="BA209" s="88"/>
      <c r="BB209" s="86"/>
      <c r="BC209" s="88"/>
      <c r="BD209" s="86"/>
      <c r="BE209" s="88"/>
      <c r="BF209" s="86"/>
      <c r="BG209" s="88"/>
      <c r="BH209" s="86"/>
      <c r="BI209" s="88"/>
      <c r="BJ209" s="86"/>
      <c r="BK209" s="88"/>
      <c r="BL209" s="86"/>
      <c r="BM209" s="88"/>
      <c r="BN209" s="86"/>
      <c r="BO209" s="88"/>
      <c r="BP209" s="86"/>
      <c r="BQ209" s="88"/>
      <c r="BR209" s="86"/>
      <c r="BS209" s="87"/>
    </row>
    <row r="210" ht="22.5" customHeight="1">
      <c r="A210" s="154"/>
      <c r="B210" s="83"/>
      <c r="C210" s="151"/>
      <c r="D210" s="83"/>
      <c r="E210" s="151"/>
      <c r="F210" s="83"/>
      <c r="G210" s="85"/>
      <c r="H210" s="86"/>
      <c r="I210" s="87"/>
      <c r="J210" s="86"/>
      <c r="K210" s="88"/>
      <c r="L210" s="86"/>
      <c r="M210" s="88"/>
      <c r="N210" s="86"/>
      <c r="O210" s="88"/>
      <c r="P210" s="86"/>
      <c r="Q210" s="88"/>
      <c r="R210" s="86"/>
      <c r="S210" s="88"/>
      <c r="T210" s="86"/>
      <c r="U210" s="88"/>
      <c r="V210" s="86"/>
      <c r="W210" s="88"/>
      <c r="X210" s="86"/>
      <c r="Y210" s="88"/>
      <c r="Z210" s="86"/>
      <c r="AA210" s="88"/>
      <c r="AB210" s="86"/>
      <c r="AC210" s="88"/>
      <c r="AD210" s="86"/>
      <c r="AE210" s="88"/>
      <c r="AF210" s="86"/>
      <c r="AG210" s="88"/>
      <c r="AH210" s="86"/>
      <c r="AI210" s="88"/>
      <c r="AJ210" s="86"/>
      <c r="AK210" s="88"/>
      <c r="AL210" s="86"/>
      <c r="AM210" s="88"/>
      <c r="AN210" s="86"/>
      <c r="AO210" s="88"/>
      <c r="AP210" s="86"/>
      <c r="AQ210" s="88"/>
      <c r="AR210" s="86"/>
      <c r="AS210" s="88"/>
      <c r="AT210" s="86"/>
      <c r="AU210" s="88"/>
      <c r="AV210" s="86"/>
      <c r="AW210" s="88"/>
      <c r="AX210" s="86"/>
      <c r="AY210" s="88"/>
      <c r="AZ210" s="86"/>
      <c r="BA210" s="88"/>
      <c r="BB210" s="86"/>
      <c r="BC210" s="88"/>
      <c r="BD210" s="86"/>
      <c r="BE210" s="88"/>
      <c r="BF210" s="86"/>
      <c r="BG210" s="88"/>
      <c r="BH210" s="86"/>
      <c r="BI210" s="88"/>
      <c r="BJ210" s="86"/>
      <c r="BK210" s="88"/>
      <c r="BL210" s="86"/>
      <c r="BM210" s="88"/>
      <c r="BN210" s="86"/>
      <c r="BO210" s="88"/>
      <c r="BP210" s="86"/>
      <c r="BQ210" s="88"/>
      <c r="BR210" s="86"/>
      <c r="BS210" s="87"/>
    </row>
    <row r="211" ht="22.5" customHeight="1">
      <c r="A211" s="154"/>
      <c r="B211" s="83"/>
      <c r="C211" s="151"/>
      <c r="D211" s="83"/>
      <c r="E211" s="151"/>
      <c r="F211" s="83"/>
      <c r="G211" s="85"/>
      <c r="H211" s="86"/>
      <c r="I211" s="87"/>
      <c r="J211" s="86"/>
      <c r="K211" s="88"/>
      <c r="L211" s="86"/>
      <c r="M211" s="88"/>
      <c r="N211" s="86"/>
      <c r="O211" s="88"/>
      <c r="P211" s="86"/>
      <c r="Q211" s="88"/>
      <c r="R211" s="86"/>
      <c r="S211" s="88"/>
      <c r="T211" s="86"/>
      <c r="U211" s="88"/>
      <c r="V211" s="86"/>
      <c r="W211" s="88"/>
      <c r="X211" s="86"/>
      <c r="Y211" s="88"/>
      <c r="Z211" s="86"/>
      <c r="AA211" s="88"/>
      <c r="AB211" s="86"/>
      <c r="AC211" s="88"/>
      <c r="AD211" s="86"/>
      <c r="AE211" s="88"/>
      <c r="AF211" s="86"/>
      <c r="AG211" s="88"/>
      <c r="AH211" s="86"/>
      <c r="AI211" s="88"/>
      <c r="AJ211" s="86"/>
      <c r="AK211" s="88"/>
      <c r="AL211" s="86"/>
      <c r="AM211" s="88"/>
      <c r="AN211" s="86"/>
      <c r="AO211" s="88"/>
      <c r="AP211" s="86"/>
      <c r="AQ211" s="88"/>
      <c r="AR211" s="86"/>
      <c r="AS211" s="88"/>
      <c r="AT211" s="86"/>
      <c r="AU211" s="88"/>
      <c r="AV211" s="86"/>
      <c r="AW211" s="88"/>
      <c r="AX211" s="86"/>
      <c r="AY211" s="88"/>
      <c r="AZ211" s="86"/>
      <c r="BA211" s="88"/>
      <c r="BB211" s="86"/>
      <c r="BC211" s="88"/>
      <c r="BD211" s="86"/>
      <c r="BE211" s="88"/>
      <c r="BF211" s="86"/>
      <c r="BG211" s="88"/>
      <c r="BH211" s="86"/>
      <c r="BI211" s="88"/>
      <c r="BJ211" s="86"/>
      <c r="BK211" s="88"/>
      <c r="BL211" s="86"/>
      <c r="BM211" s="88"/>
      <c r="BN211" s="86"/>
      <c r="BO211" s="88"/>
      <c r="BP211" s="86"/>
      <c r="BQ211" s="88"/>
      <c r="BR211" s="86"/>
      <c r="BS211" s="87"/>
    </row>
    <row r="212" ht="22.5" customHeight="1">
      <c r="A212" s="154"/>
      <c r="B212" s="83"/>
      <c r="C212" s="151"/>
      <c r="D212" s="83"/>
      <c r="E212" s="151"/>
      <c r="F212" s="83"/>
      <c r="G212" s="85"/>
      <c r="H212" s="86"/>
      <c r="I212" s="87"/>
      <c r="J212" s="86"/>
      <c r="K212" s="88"/>
      <c r="L212" s="86"/>
      <c r="M212" s="88"/>
      <c r="N212" s="86"/>
      <c r="O212" s="88"/>
      <c r="P212" s="86"/>
      <c r="Q212" s="88"/>
      <c r="R212" s="86"/>
      <c r="S212" s="88"/>
      <c r="T212" s="86"/>
      <c r="U212" s="88"/>
      <c r="V212" s="86"/>
      <c r="W212" s="88"/>
      <c r="X212" s="86"/>
      <c r="Y212" s="88"/>
      <c r="Z212" s="86"/>
      <c r="AA212" s="88"/>
      <c r="AB212" s="86"/>
      <c r="AC212" s="88"/>
      <c r="AD212" s="86"/>
      <c r="AE212" s="88"/>
      <c r="AF212" s="86"/>
      <c r="AG212" s="88"/>
      <c r="AH212" s="86"/>
      <c r="AI212" s="88"/>
      <c r="AJ212" s="86"/>
      <c r="AK212" s="88"/>
      <c r="AL212" s="86"/>
      <c r="AM212" s="88"/>
      <c r="AN212" s="86"/>
      <c r="AO212" s="88"/>
      <c r="AP212" s="86"/>
      <c r="AQ212" s="88"/>
      <c r="AR212" s="86"/>
      <c r="AS212" s="88"/>
      <c r="AT212" s="86"/>
      <c r="AU212" s="88"/>
      <c r="AV212" s="86"/>
      <c r="AW212" s="88"/>
      <c r="AX212" s="86"/>
      <c r="AY212" s="88"/>
      <c r="AZ212" s="86"/>
      <c r="BA212" s="88"/>
      <c r="BB212" s="86"/>
      <c r="BC212" s="88"/>
      <c r="BD212" s="86"/>
      <c r="BE212" s="88"/>
      <c r="BF212" s="86"/>
      <c r="BG212" s="88"/>
      <c r="BH212" s="86"/>
      <c r="BI212" s="88"/>
      <c r="BJ212" s="86"/>
      <c r="BK212" s="88"/>
      <c r="BL212" s="86"/>
      <c r="BM212" s="88"/>
      <c r="BN212" s="86"/>
      <c r="BO212" s="88"/>
      <c r="BP212" s="86"/>
      <c r="BQ212" s="88"/>
      <c r="BR212" s="86"/>
      <c r="BS212" s="87"/>
    </row>
    <row r="213" ht="22.5" customHeight="1">
      <c r="A213" s="154"/>
      <c r="B213" s="83"/>
      <c r="C213" s="151"/>
      <c r="D213" s="83"/>
      <c r="E213" s="151"/>
      <c r="F213" s="83"/>
      <c r="G213" s="85"/>
      <c r="H213" s="86"/>
      <c r="I213" s="87"/>
      <c r="J213" s="86"/>
      <c r="K213" s="88"/>
      <c r="L213" s="86"/>
      <c r="M213" s="88"/>
      <c r="N213" s="86"/>
      <c r="O213" s="88"/>
      <c r="P213" s="86"/>
      <c r="Q213" s="88"/>
      <c r="R213" s="86"/>
      <c r="S213" s="88"/>
      <c r="T213" s="86"/>
      <c r="U213" s="88"/>
      <c r="V213" s="86"/>
      <c r="W213" s="88"/>
      <c r="X213" s="86"/>
      <c r="Y213" s="88"/>
      <c r="Z213" s="86"/>
      <c r="AA213" s="88"/>
      <c r="AB213" s="86"/>
      <c r="AC213" s="88"/>
      <c r="AD213" s="86"/>
      <c r="AE213" s="88"/>
      <c r="AF213" s="86"/>
      <c r="AG213" s="88"/>
      <c r="AH213" s="86"/>
      <c r="AI213" s="88"/>
      <c r="AJ213" s="86"/>
      <c r="AK213" s="88"/>
      <c r="AL213" s="86"/>
      <c r="AM213" s="88"/>
      <c r="AN213" s="86"/>
      <c r="AO213" s="88"/>
      <c r="AP213" s="86"/>
      <c r="AQ213" s="88"/>
      <c r="AR213" s="86"/>
      <c r="AS213" s="88"/>
      <c r="AT213" s="86"/>
      <c r="AU213" s="88"/>
      <c r="AV213" s="86"/>
      <c r="AW213" s="88"/>
      <c r="AX213" s="86"/>
      <c r="AY213" s="88"/>
      <c r="AZ213" s="86"/>
      <c r="BA213" s="88"/>
      <c r="BB213" s="86"/>
      <c r="BC213" s="88"/>
      <c r="BD213" s="86"/>
      <c r="BE213" s="88"/>
      <c r="BF213" s="86"/>
      <c r="BG213" s="88"/>
      <c r="BH213" s="86"/>
      <c r="BI213" s="88"/>
      <c r="BJ213" s="86"/>
      <c r="BK213" s="88"/>
      <c r="BL213" s="86"/>
      <c r="BM213" s="88"/>
      <c r="BN213" s="86"/>
      <c r="BO213" s="88"/>
      <c r="BP213" s="86"/>
      <c r="BQ213" s="88"/>
      <c r="BR213" s="86"/>
      <c r="BS213" s="87"/>
    </row>
    <row r="214" ht="22.5" customHeight="1">
      <c r="A214" s="154"/>
      <c r="B214" s="83"/>
      <c r="C214" s="151"/>
      <c r="D214" s="83"/>
      <c r="E214" s="151"/>
      <c r="F214" s="83"/>
      <c r="G214" s="85"/>
      <c r="H214" s="86"/>
      <c r="I214" s="87"/>
      <c r="J214" s="86"/>
      <c r="K214" s="88"/>
      <c r="L214" s="86"/>
      <c r="M214" s="88"/>
      <c r="N214" s="86"/>
      <c r="O214" s="88"/>
      <c r="P214" s="86"/>
      <c r="Q214" s="88"/>
      <c r="R214" s="86"/>
      <c r="S214" s="88"/>
      <c r="T214" s="86"/>
      <c r="U214" s="88"/>
      <c r="V214" s="86"/>
      <c r="W214" s="88"/>
      <c r="X214" s="86"/>
      <c r="Y214" s="88"/>
      <c r="Z214" s="86"/>
      <c r="AA214" s="88"/>
      <c r="AB214" s="86"/>
      <c r="AC214" s="88"/>
      <c r="AD214" s="86"/>
      <c r="AE214" s="88"/>
      <c r="AF214" s="86"/>
      <c r="AG214" s="88"/>
      <c r="AH214" s="86"/>
      <c r="AI214" s="88"/>
      <c r="AJ214" s="86"/>
      <c r="AK214" s="88"/>
      <c r="AL214" s="86"/>
      <c r="AM214" s="88"/>
      <c r="AN214" s="86"/>
      <c r="AO214" s="88"/>
      <c r="AP214" s="86"/>
      <c r="AQ214" s="88"/>
      <c r="AR214" s="86"/>
      <c r="AS214" s="88"/>
      <c r="AT214" s="86"/>
      <c r="AU214" s="88"/>
      <c r="AV214" s="86"/>
      <c r="AW214" s="88"/>
      <c r="AX214" s="86"/>
      <c r="AY214" s="88"/>
      <c r="AZ214" s="86"/>
      <c r="BA214" s="88"/>
      <c r="BB214" s="86"/>
      <c r="BC214" s="88"/>
      <c r="BD214" s="86"/>
      <c r="BE214" s="88"/>
      <c r="BF214" s="86"/>
      <c r="BG214" s="88"/>
      <c r="BH214" s="86"/>
      <c r="BI214" s="88"/>
      <c r="BJ214" s="86"/>
      <c r="BK214" s="88"/>
      <c r="BL214" s="86"/>
      <c r="BM214" s="88"/>
      <c r="BN214" s="86"/>
      <c r="BO214" s="88"/>
      <c r="BP214" s="86"/>
      <c r="BQ214" s="88"/>
      <c r="BR214" s="86"/>
      <c r="BS214" s="87"/>
    </row>
    <row r="215" ht="22.5" customHeight="1">
      <c r="A215" s="154"/>
      <c r="B215" s="83"/>
      <c r="C215" s="151"/>
      <c r="D215" s="83"/>
      <c r="E215" s="151"/>
      <c r="F215" s="83"/>
      <c r="G215" s="85"/>
      <c r="H215" s="86"/>
      <c r="I215" s="87"/>
      <c r="J215" s="86"/>
      <c r="K215" s="88"/>
      <c r="L215" s="86"/>
      <c r="M215" s="88"/>
      <c r="N215" s="86"/>
      <c r="O215" s="88"/>
      <c r="P215" s="86"/>
      <c r="Q215" s="88"/>
      <c r="R215" s="86"/>
      <c r="S215" s="88"/>
      <c r="T215" s="86"/>
      <c r="U215" s="88"/>
      <c r="V215" s="86"/>
      <c r="W215" s="88"/>
      <c r="X215" s="86"/>
      <c r="Y215" s="88"/>
      <c r="Z215" s="86"/>
      <c r="AA215" s="88"/>
      <c r="AB215" s="86"/>
      <c r="AC215" s="88"/>
      <c r="AD215" s="86"/>
      <c r="AE215" s="88"/>
      <c r="AF215" s="86"/>
      <c r="AG215" s="88"/>
      <c r="AH215" s="86"/>
      <c r="AI215" s="88"/>
      <c r="AJ215" s="86"/>
      <c r="AK215" s="88"/>
      <c r="AL215" s="86"/>
      <c r="AM215" s="88"/>
      <c r="AN215" s="86"/>
      <c r="AO215" s="88"/>
      <c r="AP215" s="86"/>
      <c r="AQ215" s="88"/>
      <c r="AR215" s="86"/>
      <c r="AS215" s="88"/>
      <c r="AT215" s="86"/>
      <c r="AU215" s="88"/>
      <c r="AV215" s="86"/>
      <c r="AW215" s="88"/>
      <c r="AX215" s="86"/>
      <c r="AY215" s="88"/>
      <c r="AZ215" s="86"/>
      <c r="BA215" s="88"/>
      <c r="BB215" s="86"/>
      <c r="BC215" s="88"/>
      <c r="BD215" s="86"/>
      <c r="BE215" s="88"/>
      <c r="BF215" s="86"/>
      <c r="BG215" s="88"/>
      <c r="BH215" s="86"/>
      <c r="BI215" s="88"/>
      <c r="BJ215" s="86"/>
      <c r="BK215" s="88"/>
      <c r="BL215" s="86"/>
      <c r="BM215" s="88"/>
      <c r="BN215" s="86"/>
      <c r="BO215" s="88"/>
      <c r="BP215" s="86"/>
      <c r="BQ215" s="88"/>
      <c r="BR215" s="86"/>
      <c r="BS215" s="87"/>
    </row>
    <row r="216" ht="22.5" customHeight="1">
      <c r="A216" s="154"/>
      <c r="B216" s="83"/>
      <c r="C216" s="151"/>
      <c r="D216" s="83"/>
      <c r="E216" s="151"/>
      <c r="F216" s="83"/>
      <c r="G216" s="85"/>
      <c r="H216" s="86"/>
      <c r="I216" s="87"/>
      <c r="J216" s="86"/>
      <c r="K216" s="88"/>
      <c r="L216" s="86"/>
      <c r="M216" s="88"/>
      <c r="N216" s="86"/>
      <c r="O216" s="88"/>
      <c r="P216" s="86"/>
      <c r="Q216" s="88"/>
      <c r="R216" s="86"/>
      <c r="S216" s="88"/>
      <c r="T216" s="86"/>
      <c r="U216" s="88"/>
      <c r="V216" s="86"/>
      <c r="W216" s="88"/>
      <c r="X216" s="86"/>
      <c r="Y216" s="88"/>
      <c r="Z216" s="86"/>
      <c r="AA216" s="88"/>
      <c r="AB216" s="86"/>
      <c r="AC216" s="88"/>
      <c r="AD216" s="86"/>
      <c r="AE216" s="88"/>
      <c r="AF216" s="86"/>
      <c r="AG216" s="88"/>
      <c r="AH216" s="86"/>
      <c r="AI216" s="88"/>
      <c r="AJ216" s="86"/>
      <c r="AK216" s="88"/>
      <c r="AL216" s="86"/>
      <c r="AM216" s="88"/>
      <c r="AN216" s="86"/>
      <c r="AO216" s="88"/>
      <c r="AP216" s="86"/>
      <c r="AQ216" s="88"/>
      <c r="AR216" s="86"/>
      <c r="AS216" s="88"/>
      <c r="AT216" s="86"/>
      <c r="AU216" s="88"/>
      <c r="AV216" s="86"/>
      <c r="AW216" s="88"/>
      <c r="AX216" s="86"/>
      <c r="AY216" s="88"/>
      <c r="AZ216" s="86"/>
      <c r="BA216" s="88"/>
      <c r="BB216" s="86"/>
      <c r="BC216" s="88"/>
      <c r="BD216" s="86"/>
      <c r="BE216" s="88"/>
      <c r="BF216" s="86"/>
      <c r="BG216" s="88"/>
      <c r="BH216" s="86"/>
      <c r="BI216" s="88"/>
      <c r="BJ216" s="86"/>
      <c r="BK216" s="88"/>
      <c r="BL216" s="86"/>
      <c r="BM216" s="88"/>
      <c r="BN216" s="86"/>
      <c r="BO216" s="88"/>
      <c r="BP216" s="86"/>
      <c r="BQ216" s="88"/>
      <c r="BR216" s="86"/>
      <c r="BS216" s="87"/>
    </row>
    <row r="217" ht="22.5" customHeight="1">
      <c r="A217" s="154"/>
      <c r="B217" s="83"/>
      <c r="C217" s="151"/>
      <c r="D217" s="83"/>
      <c r="E217" s="151"/>
      <c r="F217" s="83"/>
      <c r="G217" s="85"/>
      <c r="H217" s="86"/>
      <c r="I217" s="87"/>
      <c r="J217" s="86"/>
      <c r="K217" s="88"/>
      <c r="L217" s="86"/>
      <c r="M217" s="88"/>
      <c r="N217" s="86"/>
      <c r="O217" s="88"/>
      <c r="P217" s="86"/>
      <c r="Q217" s="88"/>
      <c r="R217" s="86"/>
      <c r="S217" s="88"/>
      <c r="T217" s="86"/>
      <c r="U217" s="88"/>
      <c r="V217" s="86"/>
      <c r="W217" s="88"/>
      <c r="X217" s="86"/>
      <c r="Y217" s="88"/>
      <c r="Z217" s="86"/>
      <c r="AA217" s="88"/>
      <c r="AB217" s="86"/>
      <c r="AC217" s="88"/>
      <c r="AD217" s="86"/>
      <c r="AE217" s="88"/>
      <c r="AF217" s="86"/>
      <c r="AG217" s="88"/>
      <c r="AH217" s="86"/>
      <c r="AI217" s="88"/>
      <c r="AJ217" s="86"/>
      <c r="AK217" s="88"/>
      <c r="AL217" s="86"/>
      <c r="AM217" s="88"/>
      <c r="AN217" s="86"/>
      <c r="AO217" s="88"/>
      <c r="AP217" s="86"/>
      <c r="AQ217" s="88"/>
      <c r="AR217" s="86"/>
      <c r="AS217" s="88"/>
      <c r="AT217" s="86"/>
      <c r="AU217" s="88"/>
      <c r="AV217" s="86"/>
      <c r="AW217" s="88"/>
      <c r="AX217" s="86"/>
      <c r="AY217" s="88"/>
      <c r="AZ217" s="86"/>
      <c r="BA217" s="88"/>
      <c r="BB217" s="86"/>
      <c r="BC217" s="88"/>
      <c r="BD217" s="86"/>
      <c r="BE217" s="88"/>
      <c r="BF217" s="86"/>
      <c r="BG217" s="88"/>
      <c r="BH217" s="86"/>
      <c r="BI217" s="88"/>
      <c r="BJ217" s="86"/>
      <c r="BK217" s="88"/>
      <c r="BL217" s="86"/>
      <c r="BM217" s="88"/>
      <c r="BN217" s="86"/>
      <c r="BO217" s="88"/>
      <c r="BP217" s="86"/>
      <c r="BQ217" s="88"/>
      <c r="BR217" s="86"/>
      <c r="BS217" s="87"/>
    </row>
    <row r="218" ht="22.5" customHeight="1">
      <c r="A218" s="154"/>
      <c r="B218" s="83"/>
      <c r="C218" s="151"/>
      <c r="D218" s="83"/>
      <c r="E218" s="151"/>
      <c r="F218" s="83"/>
      <c r="G218" s="85"/>
      <c r="H218" s="86"/>
      <c r="I218" s="87"/>
      <c r="J218" s="86"/>
      <c r="K218" s="88"/>
      <c r="L218" s="86"/>
      <c r="M218" s="88"/>
      <c r="N218" s="86"/>
      <c r="O218" s="88"/>
      <c r="P218" s="86"/>
      <c r="Q218" s="88"/>
      <c r="R218" s="86"/>
      <c r="S218" s="88"/>
      <c r="T218" s="86"/>
      <c r="U218" s="88"/>
      <c r="V218" s="86"/>
      <c r="W218" s="88"/>
      <c r="X218" s="86"/>
      <c r="Y218" s="88"/>
      <c r="Z218" s="86"/>
      <c r="AA218" s="88"/>
      <c r="AB218" s="86"/>
      <c r="AC218" s="88"/>
      <c r="AD218" s="86"/>
      <c r="AE218" s="88"/>
      <c r="AF218" s="86"/>
      <c r="AG218" s="88"/>
      <c r="AH218" s="86"/>
      <c r="AI218" s="88"/>
      <c r="AJ218" s="86"/>
      <c r="AK218" s="88"/>
      <c r="AL218" s="86"/>
      <c r="AM218" s="88"/>
      <c r="AN218" s="86"/>
      <c r="AO218" s="88"/>
      <c r="AP218" s="86"/>
      <c r="AQ218" s="88"/>
      <c r="AR218" s="86"/>
      <c r="AS218" s="88"/>
      <c r="AT218" s="86"/>
      <c r="AU218" s="88"/>
      <c r="AV218" s="86"/>
      <c r="AW218" s="88"/>
      <c r="AX218" s="86"/>
      <c r="AY218" s="88"/>
      <c r="AZ218" s="86"/>
      <c r="BA218" s="88"/>
      <c r="BB218" s="86"/>
      <c r="BC218" s="88"/>
      <c r="BD218" s="86"/>
      <c r="BE218" s="88"/>
      <c r="BF218" s="86"/>
      <c r="BG218" s="88"/>
      <c r="BH218" s="86"/>
      <c r="BI218" s="88"/>
      <c r="BJ218" s="86"/>
      <c r="BK218" s="88"/>
      <c r="BL218" s="86"/>
      <c r="BM218" s="88"/>
      <c r="BN218" s="86"/>
      <c r="BO218" s="88"/>
      <c r="BP218" s="86"/>
      <c r="BQ218" s="88"/>
      <c r="BR218" s="86"/>
      <c r="BS218" s="87"/>
    </row>
    <row r="219" ht="22.5" customHeight="1">
      <c r="A219" s="154"/>
      <c r="B219" s="83"/>
      <c r="C219" s="151"/>
      <c r="D219" s="83"/>
      <c r="E219" s="151"/>
      <c r="F219" s="83"/>
      <c r="G219" s="85"/>
      <c r="H219" s="86"/>
      <c r="I219" s="87"/>
      <c r="J219" s="86"/>
      <c r="K219" s="88"/>
      <c r="L219" s="86"/>
      <c r="M219" s="88"/>
      <c r="N219" s="86"/>
      <c r="O219" s="88"/>
      <c r="P219" s="86"/>
      <c r="Q219" s="88"/>
      <c r="R219" s="86"/>
      <c r="S219" s="88"/>
      <c r="T219" s="86"/>
      <c r="U219" s="88"/>
      <c r="V219" s="86"/>
      <c r="W219" s="88"/>
      <c r="X219" s="86"/>
      <c r="Y219" s="88"/>
      <c r="Z219" s="86"/>
      <c r="AA219" s="88"/>
      <c r="AB219" s="86"/>
      <c r="AC219" s="88"/>
      <c r="AD219" s="86"/>
      <c r="AE219" s="88"/>
      <c r="AF219" s="86"/>
      <c r="AG219" s="88"/>
      <c r="AH219" s="86"/>
      <c r="AI219" s="88"/>
      <c r="AJ219" s="86"/>
      <c r="AK219" s="88"/>
      <c r="AL219" s="86"/>
      <c r="AM219" s="88"/>
      <c r="AN219" s="86"/>
      <c r="AO219" s="88"/>
      <c r="AP219" s="86"/>
      <c r="AQ219" s="88"/>
      <c r="AR219" s="86"/>
      <c r="AS219" s="88"/>
      <c r="AT219" s="86"/>
      <c r="AU219" s="88"/>
      <c r="AV219" s="86"/>
      <c r="AW219" s="88"/>
      <c r="AX219" s="86"/>
      <c r="AY219" s="88"/>
      <c r="AZ219" s="86"/>
      <c r="BA219" s="88"/>
      <c r="BB219" s="86"/>
      <c r="BC219" s="88"/>
      <c r="BD219" s="86"/>
      <c r="BE219" s="88"/>
      <c r="BF219" s="86"/>
      <c r="BG219" s="88"/>
      <c r="BH219" s="86"/>
      <c r="BI219" s="88"/>
      <c r="BJ219" s="86"/>
      <c r="BK219" s="88"/>
      <c r="BL219" s="86"/>
      <c r="BM219" s="88"/>
      <c r="BN219" s="86"/>
      <c r="BO219" s="88"/>
      <c r="BP219" s="86"/>
      <c r="BQ219" s="88"/>
      <c r="BR219" s="86"/>
      <c r="BS219" s="87"/>
    </row>
    <row r="220" ht="22.5" customHeight="1">
      <c r="A220" s="154"/>
      <c r="B220" s="83"/>
      <c r="C220" s="151"/>
      <c r="D220" s="83"/>
      <c r="E220" s="151"/>
      <c r="F220" s="83"/>
      <c r="G220" s="85"/>
      <c r="H220" s="86"/>
      <c r="I220" s="87"/>
      <c r="J220" s="86"/>
      <c r="K220" s="88"/>
      <c r="L220" s="86"/>
      <c r="M220" s="88"/>
      <c r="N220" s="86"/>
      <c r="O220" s="88"/>
      <c r="P220" s="86"/>
      <c r="Q220" s="88"/>
      <c r="R220" s="86"/>
      <c r="S220" s="88"/>
      <c r="T220" s="86"/>
      <c r="U220" s="88"/>
      <c r="V220" s="86"/>
      <c r="W220" s="88"/>
      <c r="X220" s="86"/>
      <c r="Y220" s="88"/>
      <c r="Z220" s="86"/>
      <c r="AA220" s="88"/>
      <c r="AB220" s="86"/>
      <c r="AC220" s="88"/>
      <c r="AD220" s="86"/>
      <c r="AE220" s="88"/>
      <c r="AF220" s="86"/>
      <c r="AG220" s="88"/>
      <c r="AH220" s="86"/>
      <c r="AI220" s="88"/>
      <c r="AJ220" s="86"/>
      <c r="AK220" s="88"/>
      <c r="AL220" s="86"/>
      <c r="AM220" s="88"/>
      <c r="AN220" s="86"/>
      <c r="AO220" s="88"/>
      <c r="AP220" s="86"/>
      <c r="AQ220" s="88"/>
      <c r="AR220" s="86"/>
      <c r="AS220" s="88"/>
      <c r="AT220" s="86"/>
      <c r="AU220" s="88"/>
      <c r="AV220" s="86"/>
      <c r="AW220" s="88"/>
      <c r="AX220" s="86"/>
      <c r="AY220" s="88"/>
      <c r="AZ220" s="86"/>
      <c r="BA220" s="88"/>
      <c r="BB220" s="86"/>
      <c r="BC220" s="88"/>
      <c r="BD220" s="86"/>
      <c r="BE220" s="88"/>
      <c r="BF220" s="86"/>
      <c r="BG220" s="88"/>
      <c r="BH220" s="86"/>
      <c r="BI220" s="88"/>
      <c r="BJ220" s="86"/>
      <c r="BK220" s="88"/>
      <c r="BL220" s="86"/>
      <c r="BM220" s="88"/>
      <c r="BN220" s="86"/>
      <c r="BO220" s="88"/>
      <c r="BP220" s="86"/>
      <c r="BQ220" s="88"/>
      <c r="BR220" s="86"/>
      <c r="BS220" s="87"/>
    </row>
    <row r="221" ht="22.5" customHeight="1">
      <c r="A221" s="154"/>
      <c r="B221" s="83"/>
      <c r="C221" s="151"/>
      <c r="D221" s="83"/>
      <c r="E221" s="151"/>
      <c r="F221" s="83"/>
      <c r="G221" s="85"/>
      <c r="H221" s="86"/>
      <c r="I221" s="87"/>
      <c r="J221" s="86"/>
      <c r="K221" s="88"/>
      <c r="L221" s="86"/>
      <c r="M221" s="88"/>
      <c r="N221" s="86"/>
      <c r="O221" s="88"/>
      <c r="P221" s="86"/>
      <c r="Q221" s="88"/>
      <c r="R221" s="86"/>
      <c r="S221" s="88"/>
      <c r="T221" s="86"/>
      <c r="U221" s="88"/>
      <c r="V221" s="86"/>
      <c r="W221" s="88"/>
      <c r="X221" s="86"/>
      <c r="Y221" s="88"/>
      <c r="Z221" s="86"/>
      <c r="AA221" s="88"/>
      <c r="AB221" s="86"/>
      <c r="AC221" s="88"/>
      <c r="AD221" s="86"/>
      <c r="AE221" s="88"/>
      <c r="AF221" s="86"/>
      <c r="AG221" s="88"/>
      <c r="AH221" s="86"/>
      <c r="AI221" s="88"/>
      <c r="AJ221" s="86"/>
      <c r="AK221" s="88"/>
      <c r="AL221" s="86"/>
      <c r="AM221" s="88"/>
      <c r="AN221" s="86"/>
      <c r="AO221" s="88"/>
      <c r="AP221" s="86"/>
      <c r="AQ221" s="88"/>
      <c r="AR221" s="86"/>
      <c r="AS221" s="88"/>
      <c r="AT221" s="86"/>
      <c r="AU221" s="88"/>
      <c r="AV221" s="86"/>
      <c r="AW221" s="88"/>
      <c r="AX221" s="86"/>
      <c r="AY221" s="88"/>
      <c r="AZ221" s="86"/>
      <c r="BA221" s="88"/>
      <c r="BB221" s="86"/>
      <c r="BC221" s="88"/>
      <c r="BD221" s="86"/>
      <c r="BE221" s="88"/>
      <c r="BF221" s="86"/>
      <c r="BG221" s="88"/>
      <c r="BH221" s="86"/>
      <c r="BI221" s="88"/>
      <c r="BJ221" s="86"/>
      <c r="BK221" s="88"/>
      <c r="BL221" s="86"/>
      <c r="BM221" s="88"/>
      <c r="BN221" s="86"/>
      <c r="BO221" s="88"/>
      <c r="BP221" s="86"/>
      <c r="BQ221" s="88"/>
      <c r="BR221" s="86"/>
      <c r="BS221" s="87"/>
    </row>
    <row r="222" ht="22.5" customHeight="1">
      <c r="A222" s="154"/>
      <c r="B222" s="83"/>
      <c r="C222" s="151"/>
      <c r="D222" s="83"/>
      <c r="E222" s="151"/>
      <c r="F222" s="83"/>
      <c r="G222" s="85"/>
      <c r="H222" s="86"/>
      <c r="I222" s="87"/>
      <c r="J222" s="86"/>
      <c r="K222" s="88"/>
      <c r="L222" s="86"/>
      <c r="M222" s="88"/>
      <c r="N222" s="86"/>
      <c r="O222" s="88"/>
      <c r="P222" s="86"/>
      <c r="Q222" s="88"/>
      <c r="R222" s="86"/>
      <c r="S222" s="88"/>
      <c r="T222" s="86"/>
      <c r="U222" s="88"/>
      <c r="V222" s="86"/>
      <c r="W222" s="88"/>
      <c r="X222" s="86"/>
      <c r="Y222" s="88"/>
      <c r="Z222" s="86"/>
      <c r="AA222" s="88"/>
      <c r="AB222" s="86"/>
      <c r="AC222" s="88"/>
      <c r="AD222" s="86"/>
      <c r="AE222" s="88"/>
      <c r="AF222" s="86"/>
      <c r="AG222" s="88"/>
      <c r="AH222" s="86"/>
      <c r="AI222" s="88"/>
      <c r="AJ222" s="86"/>
      <c r="AK222" s="88"/>
      <c r="AL222" s="86"/>
      <c r="AM222" s="88"/>
      <c r="AN222" s="86"/>
      <c r="AO222" s="88"/>
      <c r="AP222" s="86"/>
      <c r="AQ222" s="88"/>
      <c r="AR222" s="86"/>
      <c r="AS222" s="88"/>
      <c r="AT222" s="86"/>
      <c r="AU222" s="88"/>
      <c r="AV222" s="86"/>
      <c r="AW222" s="88"/>
      <c r="AX222" s="86"/>
      <c r="AY222" s="88"/>
      <c r="AZ222" s="86"/>
      <c r="BA222" s="88"/>
      <c r="BB222" s="86"/>
      <c r="BC222" s="88"/>
      <c r="BD222" s="86"/>
      <c r="BE222" s="88"/>
      <c r="BF222" s="86"/>
      <c r="BG222" s="88"/>
      <c r="BH222" s="86"/>
      <c r="BI222" s="88"/>
      <c r="BJ222" s="86"/>
      <c r="BK222" s="88"/>
      <c r="BL222" s="86"/>
      <c r="BM222" s="88"/>
      <c r="BN222" s="86"/>
      <c r="BO222" s="88"/>
      <c r="BP222" s="86"/>
      <c r="BQ222" s="88"/>
      <c r="BR222" s="86"/>
      <c r="BS222" s="87"/>
    </row>
    <row r="223" ht="22.5" customHeight="1">
      <c r="A223" s="154"/>
      <c r="B223" s="83"/>
      <c r="C223" s="151"/>
      <c r="D223" s="83"/>
      <c r="E223" s="151"/>
      <c r="F223" s="83"/>
      <c r="G223" s="85"/>
      <c r="H223" s="86"/>
      <c r="I223" s="87"/>
      <c r="J223" s="86"/>
      <c r="K223" s="88"/>
      <c r="L223" s="86"/>
      <c r="M223" s="88"/>
      <c r="N223" s="86"/>
      <c r="O223" s="88"/>
      <c r="P223" s="86"/>
      <c r="Q223" s="88"/>
      <c r="R223" s="86"/>
      <c r="S223" s="88"/>
      <c r="T223" s="86"/>
      <c r="U223" s="88"/>
      <c r="V223" s="86"/>
      <c r="W223" s="88"/>
      <c r="X223" s="86"/>
      <c r="Y223" s="88"/>
      <c r="Z223" s="86"/>
      <c r="AA223" s="88"/>
      <c r="AB223" s="86"/>
      <c r="AC223" s="88"/>
      <c r="AD223" s="86"/>
      <c r="AE223" s="88"/>
      <c r="AF223" s="86"/>
      <c r="AG223" s="88"/>
      <c r="AH223" s="86"/>
      <c r="AI223" s="88"/>
      <c r="AJ223" s="86"/>
      <c r="AK223" s="88"/>
      <c r="AL223" s="86"/>
      <c r="AM223" s="88"/>
      <c r="AN223" s="86"/>
      <c r="AO223" s="88"/>
      <c r="AP223" s="86"/>
      <c r="AQ223" s="88"/>
      <c r="AR223" s="86"/>
      <c r="AS223" s="88"/>
      <c r="AT223" s="86"/>
      <c r="AU223" s="88"/>
      <c r="AV223" s="86"/>
      <c r="AW223" s="88"/>
      <c r="AX223" s="86"/>
      <c r="AY223" s="88"/>
      <c r="AZ223" s="86"/>
      <c r="BA223" s="88"/>
      <c r="BB223" s="86"/>
      <c r="BC223" s="88"/>
      <c r="BD223" s="86"/>
      <c r="BE223" s="88"/>
      <c r="BF223" s="86"/>
      <c r="BG223" s="88"/>
      <c r="BH223" s="86"/>
      <c r="BI223" s="88"/>
      <c r="BJ223" s="86"/>
      <c r="BK223" s="88"/>
      <c r="BL223" s="86"/>
      <c r="BM223" s="88"/>
      <c r="BN223" s="86"/>
      <c r="BO223" s="88"/>
      <c r="BP223" s="86"/>
      <c r="BQ223" s="88"/>
      <c r="BR223" s="86"/>
      <c r="BS223" s="87"/>
    </row>
    <row r="224" ht="22.5" customHeight="1">
      <c r="A224" s="154"/>
      <c r="B224" s="83"/>
      <c r="C224" s="151"/>
      <c r="D224" s="83"/>
      <c r="E224" s="151"/>
      <c r="F224" s="83"/>
      <c r="G224" s="85"/>
      <c r="H224" s="86"/>
      <c r="I224" s="87"/>
      <c r="J224" s="86"/>
      <c r="K224" s="88"/>
      <c r="L224" s="86"/>
      <c r="M224" s="88"/>
      <c r="N224" s="86"/>
      <c r="O224" s="88"/>
      <c r="P224" s="86"/>
      <c r="Q224" s="88"/>
      <c r="R224" s="86"/>
      <c r="S224" s="88"/>
      <c r="T224" s="86"/>
      <c r="U224" s="88"/>
      <c r="V224" s="86"/>
      <c r="W224" s="88"/>
      <c r="X224" s="86"/>
      <c r="Y224" s="88"/>
      <c r="Z224" s="86"/>
      <c r="AA224" s="88"/>
      <c r="AB224" s="86"/>
      <c r="AC224" s="88"/>
      <c r="AD224" s="86"/>
      <c r="AE224" s="88"/>
      <c r="AF224" s="86"/>
      <c r="AG224" s="88"/>
      <c r="AH224" s="86"/>
      <c r="AI224" s="88"/>
      <c r="AJ224" s="86"/>
      <c r="AK224" s="88"/>
      <c r="AL224" s="86"/>
      <c r="AM224" s="88"/>
      <c r="AN224" s="86"/>
      <c r="AO224" s="88"/>
      <c r="AP224" s="86"/>
      <c r="AQ224" s="88"/>
      <c r="AR224" s="86"/>
      <c r="AS224" s="88"/>
      <c r="AT224" s="86"/>
      <c r="AU224" s="88"/>
      <c r="AV224" s="86"/>
      <c r="AW224" s="88"/>
      <c r="AX224" s="86"/>
      <c r="AY224" s="88"/>
      <c r="AZ224" s="86"/>
      <c r="BA224" s="88"/>
      <c r="BB224" s="86"/>
      <c r="BC224" s="88"/>
      <c r="BD224" s="86"/>
      <c r="BE224" s="88"/>
      <c r="BF224" s="86"/>
      <c r="BG224" s="88"/>
      <c r="BH224" s="86"/>
      <c r="BI224" s="88"/>
      <c r="BJ224" s="86"/>
      <c r="BK224" s="88"/>
      <c r="BL224" s="86"/>
      <c r="BM224" s="88"/>
      <c r="BN224" s="86"/>
      <c r="BO224" s="88"/>
      <c r="BP224" s="86"/>
      <c r="BQ224" s="88"/>
      <c r="BR224" s="86"/>
      <c r="BS224" s="87"/>
    </row>
    <row r="225" ht="22.5" customHeight="1">
      <c r="A225" s="154"/>
      <c r="B225" s="83"/>
      <c r="C225" s="151"/>
      <c r="D225" s="83"/>
      <c r="E225" s="151"/>
      <c r="F225" s="83"/>
      <c r="G225" s="85"/>
      <c r="H225" s="86"/>
      <c r="I225" s="87"/>
      <c r="J225" s="86"/>
      <c r="K225" s="88"/>
      <c r="L225" s="86"/>
      <c r="M225" s="88"/>
      <c r="N225" s="86"/>
      <c r="O225" s="88"/>
      <c r="P225" s="86"/>
      <c r="Q225" s="88"/>
      <c r="R225" s="86"/>
      <c r="S225" s="88"/>
      <c r="T225" s="86"/>
      <c r="U225" s="88"/>
      <c r="V225" s="86"/>
      <c r="W225" s="88"/>
      <c r="X225" s="86"/>
      <c r="Y225" s="88"/>
      <c r="Z225" s="86"/>
      <c r="AA225" s="88"/>
      <c r="AB225" s="86"/>
      <c r="AC225" s="88"/>
      <c r="AD225" s="86"/>
      <c r="AE225" s="88"/>
      <c r="AF225" s="86"/>
      <c r="AG225" s="88"/>
      <c r="AH225" s="86"/>
      <c r="AI225" s="88"/>
      <c r="AJ225" s="86"/>
      <c r="AK225" s="88"/>
      <c r="AL225" s="86"/>
      <c r="AM225" s="88"/>
      <c r="AN225" s="86"/>
      <c r="AO225" s="88"/>
      <c r="AP225" s="86"/>
      <c r="AQ225" s="88"/>
      <c r="AR225" s="86"/>
      <c r="AS225" s="88"/>
      <c r="AT225" s="86"/>
      <c r="AU225" s="88"/>
      <c r="AV225" s="86"/>
      <c r="AW225" s="88"/>
      <c r="AX225" s="86"/>
      <c r="AY225" s="88"/>
      <c r="AZ225" s="86"/>
      <c r="BA225" s="88"/>
      <c r="BB225" s="86"/>
      <c r="BC225" s="88"/>
      <c r="BD225" s="86"/>
      <c r="BE225" s="88"/>
      <c r="BF225" s="86"/>
      <c r="BG225" s="88"/>
      <c r="BH225" s="86"/>
      <c r="BI225" s="88"/>
      <c r="BJ225" s="86"/>
      <c r="BK225" s="88"/>
      <c r="BL225" s="86"/>
      <c r="BM225" s="88"/>
      <c r="BN225" s="86"/>
      <c r="BO225" s="88"/>
      <c r="BP225" s="86"/>
      <c r="BQ225" s="88"/>
      <c r="BR225" s="86"/>
      <c r="BS225" s="87"/>
    </row>
    <row r="226" ht="22.5" customHeight="1">
      <c r="A226" s="154"/>
      <c r="B226" s="83"/>
      <c r="C226" s="151"/>
      <c r="D226" s="83"/>
      <c r="E226" s="151"/>
      <c r="F226" s="83"/>
      <c r="G226" s="85"/>
      <c r="H226" s="86"/>
      <c r="I226" s="87"/>
      <c r="J226" s="86"/>
      <c r="K226" s="88"/>
      <c r="L226" s="86"/>
      <c r="M226" s="88"/>
      <c r="N226" s="86"/>
      <c r="O226" s="88"/>
      <c r="P226" s="86"/>
      <c r="Q226" s="88"/>
      <c r="R226" s="86"/>
      <c r="S226" s="88"/>
      <c r="T226" s="86"/>
      <c r="U226" s="88"/>
      <c r="V226" s="86"/>
      <c r="W226" s="88"/>
      <c r="X226" s="86"/>
      <c r="Y226" s="88"/>
      <c r="Z226" s="86"/>
      <c r="AA226" s="88"/>
      <c r="AB226" s="86"/>
      <c r="AC226" s="88"/>
      <c r="AD226" s="86"/>
      <c r="AE226" s="88"/>
      <c r="AF226" s="86"/>
      <c r="AG226" s="88"/>
      <c r="AH226" s="86"/>
      <c r="AI226" s="88"/>
      <c r="AJ226" s="86"/>
      <c r="AK226" s="88"/>
      <c r="AL226" s="86"/>
      <c r="AM226" s="88"/>
      <c r="AN226" s="86"/>
      <c r="AO226" s="88"/>
      <c r="AP226" s="86"/>
      <c r="AQ226" s="88"/>
      <c r="AR226" s="86"/>
      <c r="AS226" s="88"/>
      <c r="AT226" s="86"/>
      <c r="AU226" s="88"/>
      <c r="AV226" s="86"/>
      <c r="AW226" s="88"/>
      <c r="AX226" s="86"/>
      <c r="AY226" s="88"/>
      <c r="AZ226" s="86"/>
      <c r="BA226" s="88"/>
      <c r="BB226" s="86"/>
      <c r="BC226" s="88"/>
      <c r="BD226" s="86"/>
      <c r="BE226" s="88"/>
      <c r="BF226" s="86"/>
      <c r="BG226" s="88"/>
      <c r="BH226" s="86"/>
      <c r="BI226" s="88"/>
      <c r="BJ226" s="86"/>
      <c r="BK226" s="88"/>
      <c r="BL226" s="86"/>
      <c r="BM226" s="88"/>
      <c r="BN226" s="86"/>
      <c r="BO226" s="88"/>
      <c r="BP226" s="86"/>
      <c r="BQ226" s="88"/>
      <c r="BR226" s="86"/>
      <c r="BS226" s="87"/>
    </row>
    <row r="227" ht="22.5" customHeight="1">
      <c r="A227" s="154"/>
      <c r="B227" s="83"/>
      <c r="C227" s="151"/>
      <c r="D227" s="83"/>
      <c r="E227" s="151"/>
      <c r="F227" s="83"/>
      <c r="G227" s="85"/>
      <c r="H227" s="86"/>
      <c r="I227" s="87"/>
      <c r="J227" s="86"/>
      <c r="K227" s="88"/>
      <c r="L227" s="86"/>
      <c r="M227" s="88"/>
      <c r="N227" s="86"/>
      <c r="O227" s="88"/>
      <c r="P227" s="86"/>
      <c r="Q227" s="88"/>
      <c r="R227" s="86"/>
      <c r="S227" s="88"/>
      <c r="T227" s="86"/>
      <c r="U227" s="88"/>
      <c r="V227" s="86"/>
      <c r="W227" s="88"/>
      <c r="X227" s="86"/>
      <c r="Y227" s="88"/>
      <c r="Z227" s="86"/>
      <c r="AA227" s="88"/>
      <c r="AB227" s="86"/>
      <c r="AC227" s="88"/>
      <c r="AD227" s="86"/>
      <c r="AE227" s="88"/>
      <c r="AF227" s="86"/>
      <c r="AG227" s="88"/>
      <c r="AH227" s="86"/>
      <c r="AI227" s="88"/>
      <c r="AJ227" s="86"/>
      <c r="AK227" s="88"/>
      <c r="AL227" s="86"/>
      <c r="AM227" s="88"/>
      <c r="AN227" s="86"/>
      <c r="AO227" s="88"/>
      <c r="AP227" s="86"/>
      <c r="AQ227" s="88"/>
      <c r="AR227" s="86"/>
      <c r="AS227" s="88"/>
      <c r="AT227" s="86"/>
      <c r="AU227" s="88"/>
      <c r="AV227" s="86"/>
      <c r="AW227" s="88"/>
      <c r="AX227" s="86"/>
      <c r="AY227" s="88"/>
      <c r="AZ227" s="86"/>
      <c r="BA227" s="88"/>
      <c r="BB227" s="86"/>
      <c r="BC227" s="88"/>
      <c r="BD227" s="86"/>
      <c r="BE227" s="88"/>
      <c r="BF227" s="86"/>
      <c r="BG227" s="88"/>
      <c r="BH227" s="86"/>
      <c r="BI227" s="88"/>
      <c r="BJ227" s="86"/>
      <c r="BK227" s="88"/>
      <c r="BL227" s="86"/>
      <c r="BM227" s="88"/>
      <c r="BN227" s="86"/>
      <c r="BO227" s="88"/>
      <c r="BP227" s="86"/>
      <c r="BQ227" s="88"/>
      <c r="BR227" s="86"/>
      <c r="BS227" s="87"/>
    </row>
    <row r="228" ht="22.5" customHeight="1">
      <c r="A228" s="154"/>
      <c r="B228" s="83"/>
      <c r="C228" s="151"/>
      <c r="D228" s="83"/>
      <c r="E228" s="151"/>
      <c r="F228" s="83"/>
      <c r="G228" s="85"/>
      <c r="H228" s="86"/>
      <c r="I228" s="87"/>
      <c r="J228" s="86"/>
      <c r="K228" s="88"/>
      <c r="L228" s="86"/>
      <c r="M228" s="88"/>
      <c r="N228" s="86"/>
      <c r="O228" s="88"/>
      <c r="P228" s="86"/>
      <c r="Q228" s="88"/>
      <c r="R228" s="86"/>
      <c r="S228" s="88"/>
      <c r="T228" s="86"/>
      <c r="U228" s="88"/>
      <c r="V228" s="86"/>
      <c r="W228" s="88"/>
      <c r="X228" s="86"/>
      <c r="Y228" s="88"/>
      <c r="Z228" s="86"/>
      <c r="AA228" s="88"/>
      <c r="AB228" s="86"/>
      <c r="AC228" s="88"/>
      <c r="AD228" s="86"/>
      <c r="AE228" s="88"/>
      <c r="AF228" s="86"/>
      <c r="AG228" s="88"/>
      <c r="AH228" s="86"/>
      <c r="AI228" s="88"/>
      <c r="AJ228" s="86"/>
      <c r="AK228" s="88"/>
      <c r="AL228" s="86"/>
      <c r="AM228" s="88"/>
      <c r="AN228" s="86"/>
      <c r="AO228" s="88"/>
      <c r="AP228" s="86"/>
      <c r="AQ228" s="88"/>
      <c r="AR228" s="86"/>
      <c r="AS228" s="88"/>
      <c r="AT228" s="86"/>
      <c r="AU228" s="88"/>
      <c r="AV228" s="86"/>
      <c r="AW228" s="88"/>
      <c r="AX228" s="86"/>
      <c r="AY228" s="88"/>
      <c r="AZ228" s="86"/>
      <c r="BA228" s="88"/>
      <c r="BB228" s="86"/>
      <c r="BC228" s="88"/>
      <c r="BD228" s="86"/>
      <c r="BE228" s="88"/>
      <c r="BF228" s="86"/>
      <c r="BG228" s="88"/>
      <c r="BH228" s="86"/>
      <c r="BI228" s="88"/>
      <c r="BJ228" s="86"/>
      <c r="BK228" s="88"/>
      <c r="BL228" s="86"/>
      <c r="BM228" s="88"/>
      <c r="BN228" s="86"/>
      <c r="BO228" s="88"/>
      <c r="BP228" s="86"/>
      <c r="BQ228" s="88"/>
      <c r="BR228" s="86"/>
      <c r="BS228" s="87"/>
    </row>
    <row r="229" ht="22.5" customHeight="1">
      <c r="A229" s="154"/>
      <c r="B229" s="83"/>
      <c r="C229" s="151"/>
      <c r="D229" s="83"/>
      <c r="E229" s="151"/>
      <c r="F229" s="83"/>
      <c r="G229" s="85"/>
      <c r="H229" s="86"/>
      <c r="I229" s="87"/>
      <c r="J229" s="86"/>
      <c r="K229" s="88"/>
      <c r="L229" s="86"/>
      <c r="M229" s="88"/>
      <c r="N229" s="86"/>
      <c r="O229" s="88"/>
      <c r="P229" s="86"/>
      <c r="Q229" s="88"/>
      <c r="R229" s="86"/>
      <c r="S229" s="88"/>
      <c r="T229" s="86"/>
      <c r="U229" s="88"/>
      <c r="V229" s="86"/>
      <c r="W229" s="88"/>
      <c r="X229" s="86"/>
      <c r="Y229" s="88"/>
      <c r="Z229" s="86"/>
      <c r="AA229" s="88"/>
      <c r="AB229" s="86"/>
      <c r="AC229" s="88"/>
      <c r="AD229" s="86"/>
      <c r="AE229" s="88"/>
      <c r="AF229" s="86"/>
      <c r="AG229" s="88"/>
      <c r="AH229" s="86"/>
      <c r="AI229" s="88"/>
      <c r="AJ229" s="86"/>
      <c r="AK229" s="88"/>
      <c r="AL229" s="86"/>
      <c r="AM229" s="88"/>
      <c r="AN229" s="86"/>
      <c r="AO229" s="88"/>
      <c r="AP229" s="86"/>
      <c r="AQ229" s="88"/>
      <c r="AR229" s="86"/>
      <c r="AS229" s="88"/>
      <c r="AT229" s="86"/>
      <c r="AU229" s="88"/>
      <c r="AV229" s="86"/>
      <c r="AW229" s="88"/>
      <c r="AX229" s="86"/>
      <c r="AY229" s="88"/>
      <c r="AZ229" s="86"/>
      <c r="BA229" s="88"/>
      <c r="BB229" s="86"/>
      <c r="BC229" s="88"/>
      <c r="BD229" s="86"/>
      <c r="BE229" s="88"/>
      <c r="BF229" s="86"/>
      <c r="BG229" s="88"/>
      <c r="BH229" s="86"/>
      <c r="BI229" s="88"/>
      <c r="BJ229" s="86"/>
      <c r="BK229" s="88"/>
      <c r="BL229" s="86"/>
      <c r="BM229" s="88"/>
      <c r="BN229" s="86"/>
      <c r="BO229" s="88"/>
      <c r="BP229" s="86"/>
      <c r="BQ229" s="88"/>
      <c r="BR229" s="86"/>
      <c r="BS229" s="87"/>
    </row>
    <row r="230" ht="22.5" customHeight="1">
      <c r="A230" s="154"/>
      <c r="B230" s="83"/>
      <c r="C230" s="151"/>
      <c r="D230" s="83"/>
      <c r="E230" s="151"/>
      <c r="F230" s="83"/>
      <c r="G230" s="85"/>
      <c r="H230" s="86"/>
      <c r="I230" s="87"/>
      <c r="J230" s="86"/>
      <c r="K230" s="88"/>
      <c r="L230" s="86"/>
      <c r="M230" s="88"/>
      <c r="N230" s="86"/>
      <c r="O230" s="88"/>
      <c r="P230" s="86"/>
      <c r="Q230" s="88"/>
      <c r="R230" s="86"/>
      <c r="S230" s="88"/>
      <c r="T230" s="86"/>
      <c r="U230" s="88"/>
      <c r="V230" s="86"/>
      <c r="W230" s="88"/>
      <c r="X230" s="86"/>
      <c r="Y230" s="88"/>
      <c r="Z230" s="86"/>
      <c r="AA230" s="88"/>
      <c r="AB230" s="86"/>
      <c r="AC230" s="88"/>
      <c r="AD230" s="86"/>
      <c r="AE230" s="88"/>
      <c r="AF230" s="86"/>
      <c r="AG230" s="88"/>
      <c r="AH230" s="86"/>
      <c r="AI230" s="88"/>
      <c r="AJ230" s="86"/>
      <c r="AK230" s="88"/>
      <c r="AL230" s="86"/>
      <c r="AM230" s="88"/>
      <c r="AN230" s="86"/>
      <c r="AO230" s="88"/>
      <c r="AP230" s="86"/>
      <c r="AQ230" s="88"/>
      <c r="AR230" s="86"/>
      <c r="AS230" s="88"/>
      <c r="AT230" s="86"/>
      <c r="AU230" s="88"/>
      <c r="AV230" s="86"/>
      <c r="AW230" s="88"/>
      <c r="AX230" s="86"/>
      <c r="AY230" s="88"/>
      <c r="AZ230" s="86"/>
      <c r="BA230" s="88"/>
      <c r="BB230" s="86"/>
      <c r="BC230" s="88"/>
      <c r="BD230" s="86"/>
      <c r="BE230" s="88"/>
      <c r="BF230" s="86"/>
      <c r="BG230" s="88"/>
      <c r="BH230" s="86"/>
      <c r="BI230" s="88"/>
      <c r="BJ230" s="86"/>
      <c r="BK230" s="88"/>
      <c r="BL230" s="86"/>
      <c r="BM230" s="88"/>
      <c r="BN230" s="86"/>
      <c r="BO230" s="88"/>
      <c r="BP230" s="86"/>
      <c r="BQ230" s="88"/>
      <c r="BR230" s="86"/>
      <c r="BS230" s="87"/>
    </row>
    <row r="231" ht="22.5" customHeight="1">
      <c r="A231" s="154"/>
      <c r="B231" s="83"/>
      <c r="C231" s="151"/>
      <c r="D231" s="83"/>
      <c r="E231" s="151"/>
      <c r="F231" s="83"/>
      <c r="G231" s="85"/>
      <c r="H231" s="86"/>
      <c r="I231" s="87"/>
      <c r="J231" s="86"/>
      <c r="K231" s="88"/>
      <c r="L231" s="86"/>
      <c r="M231" s="88"/>
      <c r="N231" s="86"/>
      <c r="O231" s="88"/>
      <c r="P231" s="86"/>
      <c r="Q231" s="88"/>
      <c r="R231" s="86"/>
      <c r="S231" s="88"/>
      <c r="T231" s="86"/>
      <c r="U231" s="88"/>
      <c r="V231" s="86"/>
      <c r="W231" s="88"/>
      <c r="X231" s="86"/>
      <c r="Y231" s="88"/>
      <c r="Z231" s="86"/>
      <c r="AA231" s="88"/>
      <c r="AB231" s="86"/>
      <c r="AC231" s="88"/>
      <c r="AD231" s="86"/>
      <c r="AE231" s="88"/>
      <c r="AF231" s="86"/>
      <c r="AG231" s="88"/>
      <c r="AH231" s="86"/>
      <c r="AI231" s="88"/>
      <c r="AJ231" s="86"/>
      <c r="AK231" s="88"/>
      <c r="AL231" s="86"/>
      <c r="AM231" s="88"/>
      <c r="AN231" s="86"/>
      <c r="AO231" s="88"/>
      <c r="AP231" s="86"/>
      <c r="AQ231" s="88"/>
      <c r="AR231" s="86"/>
      <c r="AS231" s="88"/>
      <c r="AT231" s="86"/>
      <c r="AU231" s="88"/>
      <c r="AV231" s="86"/>
      <c r="AW231" s="88"/>
      <c r="AX231" s="86"/>
      <c r="AY231" s="88"/>
      <c r="AZ231" s="86"/>
      <c r="BA231" s="88"/>
      <c r="BB231" s="86"/>
      <c r="BC231" s="88"/>
      <c r="BD231" s="86"/>
      <c r="BE231" s="88"/>
      <c r="BF231" s="86"/>
      <c r="BG231" s="88"/>
      <c r="BH231" s="86"/>
      <c r="BI231" s="88"/>
      <c r="BJ231" s="86"/>
      <c r="BK231" s="88"/>
      <c r="BL231" s="86"/>
      <c r="BM231" s="88"/>
      <c r="BN231" s="86"/>
      <c r="BO231" s="88"/>
      <c r="BP231" s="86"/>
      <c r="BQ231" s="88"/>
      <c r="BR231" s="86"/>
      <c r="BS231" s="87"/>
    </row>
    <row r="232" ht="22.5" customHeight="1">
      <c r="A232" s="154"/>
      <c r="B232" s="83"/>
      <c r="C232" s="151"/>
      <c r="D232" s="83"/>
      <c r="E232" s="151"/>
      <c r="F232" s="83"/>
      <c r="G232" s="85"/>
      <c r="H232" s="86"/>
      <c r="I232" s="87"/>
      <c r="J232" s="86"/>
      <c r="K232" s="88"/>
      <c r="L232" s="86"/>
      <c r="M232" s="88"/>
      <c r="N232" s="86"/>
      <c r="O232" s="88"/>
      <c r="P232" s="86"/>
      <c r="Q232" s="88"/>
      <c r="R232" s="86"/>
      <c r="S232" s="88"/>
      <c r="T232" s="86"/>
      <c r="U232" s="88"/>
      <c r="V232" s="86"/>
      <c r="W232" s="88"/>
      <c r="X232" s="86"/>
      <c r="Y232" s="88"/>
      <c r="Z232" s="86"/>
      <c r="AA232" s="88"/>
      <c r="AB232" s="86"/>
      <c r="AC232" s="88"/>
      <c r="AD232" s="86"/>
      <c r="AE232" s="88"/>
      <c r="AF232" s="86"/>
      <c r="AG232" s="88"/>
      <c r="AH232" s="86"/>
      <c r="AI232" s="88"/>
      <c r="AJ232" s="86"/>
      <c r="AK232" s="88"/>
      <c r="AL232" s="86"/>
      <c r="AM232" s="88"/>
      <c r="AN232" s="86"/>
      <c r="AO232" s="88"/>
      <c r="AP232" s="86"/>
      <c r="AQ232" s="88"/>
      <c r="AR232" s="86"/>
      <c r="AS232" s="88"/>
      <c r="AT232" s="86"/>
      <c r="AU232" s="88"/>
      <c r="AV232" s="86"/>
      <c r="AW232" s="88"/>
      <c r="AX232" s="86"/>
      <c r="AY232" s="88"/>
      <c r="AZ232" s="86"/>
      <c r="BA232" s="88"/>
      <c r="BB232" s="86"/>
      <c r="BC232" s="88"/>
      <c r="BD232" s="86"/>
      <c r="BE232" s="88"/>
      <c r="BF232" s="86"/>
      <c r="BG232" s="88"/>
      <c r="BH232" s="86"/>
      <c r="BI232" s="88"/>
      <c r="BJ232" s="86"/>
      <c r="BK232" s="88"/>
      <c r="BL232" s="86"/>
      <c r="BM232" s="88"/>
      <c r="BN232" s="86"/>
      <c r="BO232" s="88"/>
      <c r="BP232" s="86"/>
      <c r="BQ232" s="88"/>
      <c r="BR232" s="86"/>
      <c r="BS232" s="87"/>
    </row>
    <row r="233" ht="22.5" customHeight="1">
      <c r="A233" s="154"/>
      <c r="B233" s="83"/>
      <c r="C233" s="151"/>
      <c r="D233" s="83"/>
      <c r="E233" s="151"/>
      <c r="F233" s="83"/>
      <c r="G233" s="85"/>
      <c r="H233" s="86"/>
      <c r="I233" s="87"/>
      <c r="J233" s="86"/>
      <c r="K233" s="88"/>
      <c r="L233" s="86"/>
      <c r="M233" s="88"/>
      <c r="N233" s="86"/>
      <c r="O233" s="88"/>
      <c r="P233" s="86"/>
      <c r="Q233" s="88"/>
      <c r="R233" s="86"/>
      <c r="S233" s="88"/>
      <c r="T233" s="86"/>
      <c r="U233" s="88"/>
      <c r="V233" s="86"/>
      <c r="W233" s="88"/>
      <c r="X233" s="86"/>
      <c r="Y233" s="88"/>
      <c r="Z233" s="86"/>
      <c r="AA233" s="88"/>
      <c r="AB233" s="86"/>
      <c r="AC233" s="88"/>
      <c r="AD233" s="86"/>
      <c r="AE233" s="88"/>
      <c r="AF233" s="86"/>
      <c r="AG233" s="88"/>
      <c r="AH233" s="86"/>
      <c r="AI233" s="88"/>
      <c r="AJ233" s="86"/>
      <c r="AK233" s="88"/>
      <c r="AL233" s="86"/>
      <c r="AM233" s="88"/>
      <c r="AN233" s="86"/>
      <c r="AO233" s="88"/>
      <c r="AP233" s="86"/>
      <c r="AQ233" s="88"/>
      <c r="AR233" s="86"/>
      <c r="AS233" s="88"/>
      <c r="AT233" s="86"/>
      <c r="AU233" s="88"/>
      <c r="AV233" s="86"/>
      <c r="AW233" s="88"/>
      <c r="AX233" s="86"/>
      <c r="AY233" s="88"/>
      <c r="AZ233" s="86"/>
      <c r="BA233" s="88"/>
      <c r="BB233" s="86"/>
      <c r="BC233" s="88"/>
      <c r="BD233" s="86"/>
      <c r="BE233" s="88"/>
      <c r="BF233" s="86"/>
      <c r="BG233" s="88"/>
      <c r="BH233" s="86"/>
      <c r="BI233" s="88"/>
      <c r="BJ233" s="86"/>
      <c r="BK233" s="88"/>
      <c r="BL233" s="86"/>
      <c r="BM233" s="88"/>
      <c r="BN233" s="86"/>
      <c r="BO233" s="88"/>
      <c r="BP233" s="86"/>
      <c r="BQ233" s="88"/>
      <c r="BR233" s="86"/>
      <c r="BS233" s="87"/>
    </row>
    <row r="234" ht="22.5" customHeight="1">
      <c r="A234" s="154"/>
      <c r="B234" s="83"/>
      <c r="C234" s="151"/>
      <c r="D234" s="83"/>
      <c r="E234" s="151"/>
      <c r="F234" s="83"/>
      <c r="G234" s="85"/>
      <c r="H234" s="86"/>
      <c r="I234" s="87"/>
      <c r="J234" s="86"/>
      <c r="K234" s="88"/>
      <c r="L234" s="86"/>
      <c r="M234" s="88"/>
      <c r="N234" s="86"/>
      <c r="O234" s="88"/>
      <c r="P234" s="86"/>
      <c r="Q234" s="88"/>
      <c r="R234" s="86"/>
      <c r="S234" s="88"/>
      <c r="T234" s="86"/>
      <c r="U234" s="88"/>
      <c r="V234" s="86"/>
      <c r="W234" s="88"/>
      <c r="X234" s="86"/>
      <c r="Y234" s="88"/>
      <c r="Z234" s="86"/>
      <c r="AA234" s="88"/>
      <c r="AB234" s="86"/>
      <c r="AC234" s="88"/>
      <c r="AD234" s="86"/>
      <c r="AE234" s="88"/>
      <c r="AF234" s="86"/>
      <c r="AG234" s="88"/>
      <c r="AH234" s="86"/>
      <c r="AI234" s="88"/>
      <c r="AJ234" s="86"/>
      <c r="AK234" s="88"/>
      <c r="AL234" s="86"/>
      <c r="AM234" s="88"/>
      <c r="AN234" s="86"/>
      <c r="AO234" s="88"/>
      <c r="AP234" s="86"/>
      <c r="AQ234" s="88"/>
      <c r="AR234" s="86"/>
      <c r="AS234" s="88"/>
      <c r="AT234" s="86"/>
      <c r="AU234" s="88"/>
      <c r="AV234" s="86"/>
      <c r="AW234" s="88"/>
      <c r="AX234" s="86"/>
      <c r="AY234" s="88"/>
      <c r="AZ234" s="86"/>
      <c r="BA234" s="88"/>
      <c r="BB234" s="86"/>
      <c r="BC234" s="88"/>
      <c r="BD234" s="86"/>
      <c r="BE234" s="88"/>
      <c r="BF234" s="86"/>
      <c r="BG234" s="88"/>
      <c r="BH234" s="86"/>
      <c r="BI234" s="88"/>
      <c r="BJ234" s="86"/>
      <c r="BK234" s="88"/>
      <c r="BL234" s="86"/>
      <c r="BM234" s="88"/>
      <c r="BN234" s="86"/>
      <c r="BO234" s="88"/>
      <c r="BP234" s="86"/>
      <c r="BQ234" s="88"/>
      <c r="BR234" s="86"/>
      <c r="BS234" s="87"/>
    </row>
    <row r="235" ht="22.5" customHeight="1">
      <c r="A235" s="154"/>
      <c r="B235" s="83"/>
      <c r="C235" s="151"/>
      <c r="D235" s="83"/>
      <c r="E235" s="151"/>
      <c r="F235" s="83"/>
      <c r="G235" s="85"/>
      <c r="H235" s="86"/>
      <c r="I235" s="87"/>
      <c r="J235" s="86"/>
      <c r="K235" s="88"/>
      <c r="L235" s="86"/>
      <c r="M235" s="88"/>
      <c r="N235" s="86"/>
      <c r="O235" s="88"/>
      <c r="P235" s="86"/>
      <c r="Q235" s="88"/>
      <c r="R235" s="86"/>
      <c r="S235" s="88"/>
      <c r="T235" s="86"/>
      <c r="U235" s="88"/>
      <c r="V235" s="86"/>
      <c r="W235" s="88"/>
      <c r="X235" s="86"/>
      <c r="Y235" s="88"/>
      <c r="Z235" s="86"/>
      <c r="AA235" s="88"/>
      <c r="AB235" s="86"/>
      <c r="AC235" s="88"/>
      <c r="AD235" s="86"/>
      <c r="AE235" s="88"/>
      <c r="AF235" s="86"/>
      <c r="AG235" s="88"/>
      <c r="AH235" s="86"/>
      <c r="AI235" s="88"/>
      <c r="AJ235" s="86"/>
      <c r="AK235" s="88"/>
      <c r="AL235" s="86"/>
      <c r="AM235" s="88"/>
      <c r="AN235" s="86"/>
      <c r="AO235" s="88"/>
      <c r="AP235" s="86"/>
      <c r="AQ235" s="88"/>
      <c r="AR235" s="86"/>
      <c r="AS235" s="88"/>
      <c r="AT235" s="86"/>
      <c r="AU235" s="88"/>
      <c r="AV235" s="86"/>
      <c r="AW235" s="88"/>
      <c r="AX235" s="86"/>
      <c r="AY235" s="88"/>
      <c r="AZ235" s="86"/>
      <c r="BA235" s="88"/>
      <c r="BB235" s="86"/>
      <c r="BC235" s="88"/>
      <c r="BD235" s="86"/>
      <c r="BE235" s="88"/>
      <c r="BF235" s="86"/>
      <c r="BG235" s="88"/>
      <c r="BH235" s="86"/>
      <c r="BI235" s="88"/>
      <c r="BJ235" s="86"/>
      <c r="BK235" s="88"/>
      <c r="BL235" s="86"/>
      <c r="BM235" s="88"/>
      <c r="BN235" s="86"/>
      <c r="BO235" s="88"/>
      <c r="BP235" s="86"/>
      <c r="BQ235" s="88"/>
      <c r="BR235" s="86"/>
      <c r="BS235" s="87"/>
    </row>
    <row r="236" ht="22.5" customHeight="1">
      <c r="A236" s="154"/>
      <c r="B236" s="83"/>
      <c r="C236" s="151"/>
      <c r="D236" s="83"/>
      <c r="E236" s="151"/>
      <c r="F236" s="83"/>
      <c r="G236" s="85"/>
      <c r="H236" s="86"/>
      <c r="I236" s="87"/>
      <c r="J236" s="86"/>
      <c r="K236" s="88"/>
      <c r="L236" s="86"/>
      <c r="M236" s="88"/>
      <c r="N236" s="86"/>
      <c r="O236" s="88"/>
      <c r="P236" s="86"/>
      <c r="Q236" s="88"/>
      <c r="R236" s="86"/>
      <c r="S236" s="88"/>
      <c r="T236" s="86"/>
      <c r="U236" s="88"/>
      <c r="V236" s="86"/>
      <c r="W236" s="88"/>
      <c r="X236" s="86"/>
      <c r="Y236" s="88"/>
      <c r="Z236" s="86"/>
      <c r="AA236" s="88"/>
      <c r="AB236" s="86"/>
      <c r="AC236" s="88"/>
      <c r="AD236" s="86"/>
      <c r="AE236" s="88"/>
      <c r="AF236" s="86"/>
      <c r="AG236" s="88"/>
      <c r="AH236" s="86"/>
      <c r="AI236" s="88"/>
      <c r="AJ236" s="86"/>
      <c r="AK236" s="88"/>
      <c r="AL236" s="86"/>
      <c r="AM236" s="88"/>
      <c r="AN236" s="86"/>
      <c r="AO236" s="88"/>
      <c r="AP236" s="86"/>
      <c r="AQ236" s="88"/>
      <c r="AR236" s="86"/>
      <c r="AS236" s="88"/>
      <c r="AT236" s="86"/>
      <c r="AU236" s="88"/>
      <c r="AV236" s="86"/>
      <c r="AW236" s="88"/>
      <c r="AX236" s="86"/>
      <c r="AY236" s="88"/>
      <c r="AZ236" s="86"/>
      <c r="BA236" s="88"/>
      <c r="BB236" s="86"/>
      <c r="BC236" s="88"/>
      <c r="BD236" s="86"/>
      <c r="BE236" s="88"/>
      <c r="BF236" s="86"/>
      <c r="BG236" s="88"/>
      <c r="BH236" s="86"/>
      <c r="BI236" s="88"/>
      <c r="BJ236" s="86"/>
      <c r="BK236" s="88"/>
      <c r="BL236" s="86"/>
      <c r="BM236" s="88"/>
      <c r="BN236" s="86"/>
      <c r="BO236" s="88"/>
      <c r="BP236" s="86"/>
      <c r="BQ236" s="88"/>
      <c r="BR236" s="86"/>
      <c r="BS236" s="87"/>
    </row>
    <row r="237" ht="22.5" customHeight="1">
      <c r="A237" s="154"/>
      <c r="B237" s="83"/>
      <c r="C237" s="151"/>
      <c r="D237" s="83"/>
      <c r="E237" s="151"/>
      <c r="F237" s="83"/>
      <c r="G237" s="85"/>
      <c r="H237" s="86"/>
      <c r="I237" s="87"/>
      <c r="J237" s="86"/>
      <c r="K237" s="88"/>
      <c r="L237" s="86"/>
      <c r="M237" s="88"/>
      <c r="N237" s="86"/>
      <c r="O237" s="88"/>
      <c r="P237" s="86"/>
      <c r="Q237" s="88"/>
      <c r="R237" s="86"/>
      <c r="S237" s="88"/>
      <c r="T237" s="86"/>
      <c r="U237" s="88"/>
      <c r="V237" s="86"/>
      <c r="W237" s="88"/>
      <c r="X237" s="86"/>
      <c r="Y237" s="88"/>
      <c r="Z237" s="86"/>
      <c r="AA237" s="88"/>
      <c r="AB237" s="86"/>
      <c r="AC237" s="88"/>
      <c r="AD237" s="86"/>
      <c r="AE237" s="88"/>
      <c r="AF237" s="86"/>
      <c r="AG237" s="88"/>
      <c r="AH237" s="86"/>
      <c r="AI237" s="88"/>
      <c r="AJ237" s="86"/>
      <c r="AK237" s="88"/>
      <c r="AL237" s="86"/>
      <c r="AM237" s="88"/>
      <c r="AN237" s="86"/>
      <c r="AO237" s="88"/>
      <c r="AP237" s="86"/>
      <c r="AQ237" s="88"/>
      <c r="AR237" s="86"/>
      <c r="AS237" s="88"/>
      <c r="AT237" s="86"/>
      <c r="AU237" s="88"/>
      <c r="AV237" s="86"/>
      <c r="AW237" s="88"/>
      <c r="AX237" s="86"/>
      <c r="AY237" s="88"/>
      <c r="AZ237" s="86"/>
      <c r="BA237" s="88"/>
      <c r="BB237" s="86"/>
      <c r="BC237" s="88"/>
      <c r="BD237" s="86"/>
      <c r="BE237" s="88"/>
      <c r="BF237" s="86"/>
      <c r="BG237" s="88"/>
      <c r="BH237" s="86"/>
      <c r="BI237" s="88"/>
      <c r="BJ237" s="86"/>
      <c r="BK237" s="88"/>
      <c r="BL237" s="86"/>
      <c r="BM237" s="88"/>
      <c r="BN237" s="86"/>
      <c r="BO237" s="88"/>
      <c r="BP237" s="86"/>
      <c r="BQ237" s="88"/>
      <c r="BR237" s="86"/>
      <c r="BS237" s="87"/>
    </row>
    <row r="238" ht="22.5" customHeight="1">
      <c r="A238" s="154"/>
      <c r="B238" s="83"/>
      <c r="C238" s="151"/>
      <c r="D238" s="83"/>
      <c r="E238" s="151"/>
      <c r="F238" s="83"/>
      <c r="G238" s="85"/>
      <c r="H238" s="86"/>
      <c r="I238" s="87"/>
      <c r="J238" s="86"/>
      <c r="K238" s="88"/>
      <c r="L238" s="86"/>
      <c r="M238" s="88"/>
      <c r="N238" s="86"/>
      <c r="O238" s="88"/>
      <c r="P238" s="86"/>
      <c r="Q238" s="88"/>
      <c r="R238" s="86"/>
      <c r="S238" s="88"/>
      <c r="T238" s="86"/>
      <c r="U238" s="88"/>
      <c r="V238" s="86"/>
      <c r="W238" s="88"/>
      <c r="X238" s="86"/>
      <c r="Y238" s="88"/>
      <c r="Z238" s="86"/>
      <c r="AA238" s="88"/>
      <c r="AB238" s="86"/>
      <c r="AC238" s="88"/>
      <c r="AD238" s="86"/>
      <c r="AE238" s="88"/>
      <c r="AF238" s="86"/>
      <c r="AG238" s="88"/>
      <c r="AH238" s="86"/>
      <c r="AI238" s="88"/>
      <c r="AJ238" s="86"/>
      <c r="AK238" s="88"/>
      <c r="AL238" s="86"/>
      <c r="AM238" s="88"/>
      <c r="AN238" s="86"/>
      <c r="AO238" s="88"/>
      <c r="AP238" s="86"/>
      <c r="AQ238" s="88"/>
      <c r="AR238" s="86"/>
      <c r="AS238" s="88"/>
      <c r="AT238" s="86"/>
      <c r="AU238" s="88"/>
      <c r="AV238" s="86"/>
      <c r="AW238" s="88"/>
      <c r="AX238" s="86"/>
      <c r="AY238" s="88"/>
      <c r="AZ238" s="86"/>
      <c r="BA238" s="88"/>
      <c r="BB238" s="86"/>
      <c r="BC238" s="88"/>
      <c r="BD238" s="86"/>
      <c r="BE238" s="88"/>
      <c r="BF238" s="86"/>
      <c r="BG238" s="88"/>
      <c r="BH238" s="86"/>
      <c r="BI238" s="88"/>
      <c r="BJ238" s="86"/>
      <c r="BK238" s="88"/>
      <c r="BL238" s="86"/>
      <c r="BM238" s="88"/>
      <c r="BN238" s="86"/>
      <c r="BO238" s="88"/>
      <c r="BP238" s="86"/>
      <c r="BQ238" s="88"/>
      <c r="BR238" s="86"/>
      <c r="BS238" s="87"/>
    </row>
    <row r="239" ht="22.5" customHeight="1">
      <c r="A239" s="154"/>
      <c r="B239" s="83"/>
      <c r="C239" s="151"/>
      <c r="D239" s="83"/>
      <c r="E239" s="151"/>
      <c r="F239" s="83"/>
      <c r="G239" s="85"/>
      <c r="H239" s="86"/>
      <c r="I239" s="87"/>
      <c r="J239" s="86"/>
      <c r="K239" s="88"/>
      <c r="L239" s="86"/>
      <c r="M239" s="88"/>
      <c r="N239" s="86"/>
      <c r="O239" s="88"/>
      <c r="P239" s="86"/>
      <c r="Q239" s="88"/>
      <c r="R239" s="86"/>
      <c r="S239" s="88"/>
      <c r="T239" s="86"/>
      <c r="U239" s="88"/>
      <c r="V239" s="86"/>
      <c r="W239" s="88"/>
      <c r="X239" s="86"/>
      <c r="Y239" s="88"/>
      <c r="Z239" s="86"/>
      <c r="AA239" s="88"/>
      <c r="AB239" s="86"/>
      <c r="AC239" s="88"/>
      <c r="AD239" s="86"/>
      <c r="AE239" s="88"/>
      <c r="AF239" s="86"/>
      <c r="AG239" s="88"/>
      <c r="AH239" s="86"/>
      <c r="AI239" s="88"/>
      <c r="AJ239" s="86"/>
      <c r="AK239" s="88"/>
      <c r="AL239" s="86"/>
      <c r="AM239" s="88"/>
      <c r="AN239" s="86"/>
      <c r="AO239" s="88"/>
      <c r="AP239" s="86"/>
      <c r="AQ239" s="88"/>
      <c r="AR239" s="86"/>
      <c r="AS239" s="88"/>
      <c r="AT239" s="86"/>
      <c r="AU239" s="88"/>
      <c r="AV239" s="86"/>
      <c r="AW239" s="88"/>
      <c r="AX239" s="86"/>
      <c r="AY239" s="88"/>
      <c r="AZ239" s="86"/>
      <c r="BA239" s="88"/>
      <c r="BB239" s="86"/>
      <c r="BC239" s="88"/>
      <c r="BD239" s="86"/>
      <c r="BE239" s="88"/>
      <c r="BF239" s="86"/>
      <c r="BG239" s="88"/>
      <c r="BH239" s="86"/>
      <c r="BI239" s="88"/>
      <c r="BJ239" s="86"/>
      <c r="BK239" s="88"/>
      <c r="BL239" s="86"/>
      <c r="BM239" s="88"/>
      <c r="BN239" s="86"/>
      <c r="BO239" s="88"/>
      <c r="BP239" s="86"/>
      <c r="BQ239" s="88"/>
      <c r="BR239" s="86"/>
      <c r="BS239" s="87"/>
    </row>
    <row r="240" ht="22.5" customHeight="1">
      <c r="A240" s="154"/>
      <c r="B240" s="83"/>
      <c r="C240" s="151"/>
      <c r="D240" s="83"/>
      <c r="E240" s="151"/>
      <c r="F240" s="83"/>
      <c r="G240" s="85"/>
      <c r="H240" s="86"/>
      <c r="I240" s="87"/>
      <c r="J240" s="86"/>
      <c r="K240" s="88"/>
      <c r="L240" s="86"/>
      <c r="M240" s="88"/>
      <c r="N240" s="86"/>
      <c r="O240" s="88"/>
      <c r="P240" s="86"/>
      <c r="Q240" s="88"/>
      <c r="R240" s="86"/>
      <c r="S240" s="88"/>
      <c r="T240" s="86"/>
      <c r="U240" s="88"/>
      <c r="V240" s="86"/>
      <c r="W240" s="88"/>
      <c r="X240" s="86"/>
      <c r="Y240" s="88"/>
      <c r="Z240" s="86"/>
      <c r="AA240" s="88"/>
      <c r="AB240" s="86"/>
      <c r="AC240" s="88"/>
      <c r="AD240" s="86"/>
      <c r="AE240" s="88"/>
      <c r="AF240" s="86"/>
      <c r="AG240" s="88"/>
      <c r="AH240" s="86"/>
      <c r="AI240" s="88"/>
      <c r="AJ240" s="86"/>
      <c r="AK240" s="88"/>
      <c r="AL240" s="86"/>
      <c r="AM240" s="88"/>
      <c r="AN240" s="86"/>
      <c r="AO240" s="88"/>
      <c r="AP240" s="86"/>
      <c r="AQ240" s="88"/>
      <c r="AR240" s="86"/>
      <c r="AS240" s="88"/>
      <c r="AT240" s="86"/>
      <c r="AU240" s="88"/>
      <c r="AV240" s="86"/>
      <c r="AW240" s="88"/>
      <c r="AX240" s="86"/>
      <c r="AY240" s="88"/>
      <c r="AZ240" s="86"/>
      <c r="BA240" s="88"/>
      <c r="BB240" s="86"/>
      <c r="BC240" s="88"/>
      <c r="BD240" s="86"/>
      <c r="BE240" s="88"/>
      <c r="BF240" s="86"/>
      <c r="BG240" s="88"/>
      <c r="BH240" s="86"/>
      <c r="BI240" s="88"/>
      <c r="BJ240" s="86"/>
      <c r="BK240" s="88"/>
      <c r="BL240" s="86"/>
      <c r="BM240" s="88"/>
      <c r="BN240" s="86"/>
      <c r="BO240" s="88"/>
      <c r="BP240" s="86"/>
      <c r="BQ240" s="88"/>
      <c r="BR240" s="86"/>
      <c r="BS240" s="87"/>
    </row>
    <row r="241" ht="22.5" customHeight="1">
      <c r="A241" s="154"/>
      <c r="B241" s="83"/>
      <c r="C241" s="151"/>
      <c r="D241" s="83"/>
      <c r="E241" s="151"/>
      <c r="F241" s="83"/>
      <c r="G241" s="85"/>
      <c r="H241" s="86"/>
      <c r="I241" s="87"/>
      <c r="J241" s="86"/>
      <c r="K241" s="88"/>
      <c r="L241" s="86"/>
      <c r="M241" s="88"/>
      <c r="N241" s="86"/>
      <c r="O241" s="88"/>
      <c r="P241" s="86"/>
      <c r="Q241" s="88"/>
      <c r="R241" s="86"/>
      <c r="S241" s="88"/>
      <c r="T241" s="86"/>
      <c r="U241" s="88"/>
      <c r="V241" s="86"/>
      <c r="W241" s="88"/>
      <c r="X241" s="86"/>
      <c r="Y241" s="88"/>
      <c r="Z241" s="86"/>
      <c r="AA241" s="88"/>
      <c r="AB241" s="86"/>
      <c r="AC241" s="88"/>
      <c r="AD241" s="86"/>
      <c r="AE241" s="88"/>
      <c r="AF241" s="86"/>
      <c r="AG241" s="88"/>
      <c r="AH241" s="86"/>
      <c r="AI241" s="88"/>
      <c r="AJ241" s="86"/>
      <c r="AK241" s="88"/>
      <c r="AL241" s="86"/>
      <c r="AM241" s="88"/>
      <c r="AN241" s="86"/>
      <c r="AO241" s="88"/>
      <c r="AP241" s="86"/>
      <c r="AQ241" s="88"/>
      <c r="AR241" s="86"/>
      <c r="AS241" s="88"/>
      <c r="AT241" s="86"/>
      <c r="AU241" s="88"/>
      <c r="AV241" s="86"/>
      <c r="AW241" s="88"/>
      <c r="AX241" s="86"/>
      <c r="AY241" s="88"/>
      <c r="AZ241" s="86"/>
      <c r="BA241" s="88"/>
      <c r="BB241" s="86"/>
      <c r="BC241" s="88"/>
      <c r="BD241" s="86"/>
      <c r="BE241" s="88"/>
      <c r="BF241" s="86"/>
      <c r="BG241" s="88"/>
      <c r="BH241" s="86"/>
      <c r="BI241" s="88"/>
      <c r="BJ241" s="86"/>
      <c r="BK241" s="88"/>
      <c r="BL241" s="86"/>
      <c r="BM241" s="88"/>
      <c r="BN241" s="86"/>
      <c r="BO241" s="88"/>
      <c r="BP241" s="86"/>
      <c r="BQ241" s="88"/>
      <c r="BR241" s="86"/>
      <c r="BS241" s="87"/>
    </row>
    <row r="242" ht="22.5" customHeight="1">
      <c r="A242" s="154"/>
      <c r="B242" s="83"/>
      <c r="C242" s="151"/>
      <c r="D242" s="83"/>
      <c r="E242" s="151"/>
      <c r="F242" s="83"/>
      <c r="G242" s="85"/>
      <c r="H242" s="86"/>
      <c r="I242" s="87"/>
      <c r="J242" s="86"/>
      <c r="K242" s="88"/>
      <c r="L242" s="86"/>
      <c r="M242" s="88"/>
      <c r="N242" s="86"/>
      <c r="O242" s="88"/>
      <c r="P242" s="86"/>
      <c r="Q242" s="88"/>
      <c r="R242" s="86"/>
      <c r="S242" s="88"/>
      <c r="T242" s="86"/>
      <c r="U242" s="88"/>
      <c r="V242" s="86"/>
      <c r="W242" s="88"/>
      <c r="X242" s="86"/>
      <c r="Y242" s="88"/>
      <c r="Z242" s="86"/>
      <c r="AA242" s="88"/>
      <c r="AB242" s="86"/>
      <c r="AC242" s="88"/>
      <c r="AD242" s="86"/>
      <c r="AE242" s="88"/>
      <c r="AF242" s="86"/>
      <c r="AG242" s="88"/>
      <c r="AH242" s="86"/>
      <c r="AI242" s="88"/>
      <c r="AJ242" s="86"/>
      <c r="AK242" s="88"/>
      <c r="AL242" s="86"/>
      <c r="AM242" s="88"/>
      <c r="AN242" s="86"/>
      <c r="AO242" s="88"/>
      <c r="AP242" s="86"/>
      <c r="AQ242" s="88"/>
      <c r="AR242" s="86"/>
      <c r="AS242" s="88"/>
      <c r="AT242" s="86"/>
      <c r="AU242" s="88"/>
      <c r="AV242" s="86"/>
      <c r="AW242" s="88"/>
      <c r="AX242" s="86"/>
      <c r="AY242" s="88"/>
      <c r="AZ242" s="86"/>
      <c r="BA242" s="88"/>
      <c r="BB242" s="86"/>
      <c r="BC242" s="88"/>
      <c r="BD242" s="86"/>
      <c r="BE242" s="88"/>
      <c r="BF242" s="86"/>
      <c r="BG242" s="88"/>
      <c r="BH242" s="86"/>
      <c r="BI242" s="88"/>
      <c r="BJ242" s="86"/>
      <c r="BK242" s="88"/>
      <c r="BL242" s="86"/>
      <c r="BM242" s="88"/>
      <c r="BN242" s="86"/>
      <c r="BO242" s="88"/>
      <c r="BP242" s="86"/>
      <c r="BQ242" s="88"/>
      <c r="BR242" s="86"/>
      <c r="BS242" s="87"/>
    </row>
    <row r="243" ht="22.5" customHeight="1">
      <c r="A243" s="154"/>
      <c r="B243" s="83"/>
      <c r="C243" s="151"/>
      <c r="D243" s="83"/>
      <c r="E243" s="151"/>
      <c r="F243" s="83"/>
      <c r="G243" s="85"/>
      <c r="H243" s="86"/>
      <c r="I243" s="87"/>
      <c r="J243" s="86"/>
      <c r="K243" s="88"/>
      <c r="L243" s="86"/>
      <c r="M243" s="88"/>
      <c r="N243" s="86"/>
      <c r="O243" s="88"/>
      <c r="P243" s="86"/>
      <c r="Q243" s="88"/>
      <c r="R243" s="86"/>
      <c r="S243" s="88"/>
      <c r="T243" s="86"/>
      <c r="U243" s="88"/>
      <c r="V243" s="86"/>
      <c r="W243" s="88"/>
      <c r="X243" s="86"/>
      <c r="Y243" s="88"/>
      <c r="Z243" s="86"/>
      <c r="AA243" s="88"/>
      <c r="AB243" s="86"/>
      <c r="AC243" s="88"/>
      <c r="AD243" s="86"/>
      <c r="AE243" s="88"/>
      <c r="AF243" s="86"/>
      <c r="AG243" s="88"/>
      <c r="AH243" s="86"/>
      <c r="AI243" s="88"/>
      <c r="AJ243" s="86"/>
      <c r="AK243" s="88"/>
      <c r="AL243" s="86"/>
      <c r="AM243" s="88"/>
      <c r="AN243" s="86"/>
      <c r="AO243" s="88"/>
      <c r="AP243" s="86"/>
      <c r="AQ243" s="88"/>
      <c r="AR243" s="86"/>
      <c r="AS243" s="88"/>
      <c r="AT243" s="86"/>
      <c r="AU243" s="88"/>
      <c r="AV243" s="86"/>
      <c r="AW243" s="88"/>
      <c r="AX243" s="86"/>
      <c r="AY243" s="88"/>
      <c r="AZ243" s="86"/>
      <c r="BA243" s="88"/>
      <c r="BB243" s="86"/>
      <c r="BC243" s="88"/>
      <c r="BD243" s="86"/>
      <c r="BE243" s="88"/>
      <c r="BF243" s="86"/>
      <c r="BG243" s="88"/>
      <c r="BH243" s="86"/>
      <c r="BI243" s="88"/>
      <c r="BJ243" s="86"/>
      <c r="BK243" s="88"/>
      <c r="BL243" s="86"/>
      <c r="BM243" s="88"/>
      <c r="BN243" s="86"/>
      <c r="BO243" s="88"/>
      <c r="BP243" s="86"/>
      <c r="BQ243" s="88"/>
      <c r="BR243" s="86"/>
      <c r="BS243" s="87"/>
    </row>
    <row r="244" ht="22.5" customHeight="1">
      <c r="A244" s="154"/>
      <c r="B244" s="83"/>
      <c r="C244" s="151"/>
      <c r="D244" s="83"/>
      <c r="E244" s="151"/>
      <c r="F244" s="83"/>
      <c r="G244" s="85"/>
      <c r="H244" s="86"/>
      <c r="I244" s="87"/>
      <c r="J244" s="86"/>
      <c r="K244" s="88"/>
      <c r="L244" s="86"/>
      <c r="M244" s="88"/>
      <c r="N244" s="86"/>
      <c r="O244" s="88"/>
      <c r="P244" s="86"/>
      <c r="Q244" s="88"/>
      <c r="R244" s="86"/>
      <c r="S244" s="88"/>
      <c r="T244" s="86"/>
      <c r="U244" s="88"/>
      <c r="V244" s="86"/>
      <c r="W244" s="88"/>
      <c r="X244" s="86"/>
      <c r="Y244" s="88"/>
      <c r="Z244" s="86"/>
      <c r="AA244" s="88"/>
      <c r="AB244" s="86"/>
      <c r="AC244" s="88"/>
      <c r="AD244" s="86"/>
      <c r="AE244" s="88"/>
      <c r="AF244" s="86"/>
      <c r="AG244" s="88"/>
      <c r="AH244" s="86"/>
      <c r="AI244" s="88"/>
      <c r="AJ244" s="86"/>
      <c r="AK244" s="88"/>
      <c r="AL244" s="86"/>
      <c r="AM244" s="88"/>
      <c r="AN244" s="86"/>
      <c r="AO244" s="88"/>
      <c r="AP244" s="86"/>
      <c r="AQ244" s="88"/>
      <c r="AR244" s="86"/>
      <c r="AS244" s="88"/>
      <c r="AT244" s="86"/>
      <c r="AU244" s="88"/>
      <c r="AV244" s="86"/>
      <c r="AW244" s="88"/>
      <c r="AX244" s="86"/>
      <c r="AY244" s="88"/>
      <c r="AZ244" s="86"/>
      <c r="BA244" s="88"/>
      <c r="BB244" s="86"/>
      <c r="BC244" s="88"/>
      <c r="BD244" s="86"/>
      <c r="BE244" s="88"/>
      <c r="BF244" s="86"/>
      <c r="BG244" s="88"/>
      <c r="BH244" s="86"/>
      <c r="BI244" s="88"/>
      <c r="BJ244" s="86"/>
      <c r="BK244" s="88"/>
      <c r="BL244" s="86"/>
      <c r="BM244" s="88"/>
      <c r="BN244" s="86"/>
      <c r="BO244" s="88"/>
      <c r="BP244" s="86"/>
      <c r="BQ244" s="88"/>
      <c r="BR244" s="86"/>
      <c r="BS244" s="87"/>
    </row>
    <row r="245" ht="22.5" customHeight="1">
      <c r="A245" s="154"/>
      <c r="B245" s="83"/>
      <c r="C245" s="151"/>
      <c r="D245" s="83"/>
      <c r="E245" s="151"/>
      <c r="F245" s="83"/>
      <c r="G245" s="85"/>
      <c r="H245" s="86"/>
      <c r="I245" s="87"/>
      <c r="J245" s="86"/>
      <c r="K245" s="88"/>
      <c r="L245" s="86"/>
      <c r="M245" s="88"/>
      <c r="N245" s="86"/>
      <c r="O245" s="88"/>
      <c r="P245" s="86"/>
      <c r="Q245" s="88"/>
      <c r="R245" s="86"/>
      <c r="S245" s="88"/>
      <c r="T245" s="86"/>
      <c r="U245" s="88"/>
      <c r="V245" s="86"/>
      <c r="W245" s="88"/>
      <c r="X245" s="86"/>
      <c r="Y245" s="88"/>
      <c r="Z245" s="86"/>
      <c r="AA245" s="88"/>
      <c r="AB245" s="86"/>
      <c r="AC245" s="88"/>
      <c r="AD245" s="86"/>
      <c r="AE245" s="88"/>
      <c r="AF245" s="86"/>
      <c r="AG245" s="88"/>
      <c r="AH245" s="86"/>
      <c r="AI245" s="88"/>
      <c r="AJ245" s="86"/>
      <c r="AK245" s="88"/>
      <c r="AL245" s="86"/>
      <c r="AM245" s="88"/>
      <c r="AN245" s="86"/>
      <c r="AO245" s="88"/>
      <c r="AP245" s="86"/>
      <c r="AQ245" s="88"/>
      <c r="AR245" s="86"/>
      <c r="AS245" s="88"/>
      <c r="AT245" s="86"/>
      <c r="AU245" s="88"/>
      <c r="AV245" s="86"/>
      <c r="AW245" s="88"/>
      <c r="AX245" s="86"/>
      <c r="AY245" s="88"/>
      <c r="AZ245" s="86"/>
      <c r="BA245" s="88"/>
      <c r="BB245" s="86"/>
      <c r="BC245" s="88"/>
      <c r="BD245" s="86"/>
      <c r="BE245" s="88"/>
      <c r="BF245" s="86"/>
      <c r="BG245" s="88"/>
      <c r="BH245" s="86"/>
      <c r="BI245" s="88"/>
      <c r="BJ245" s="86"/>
      <c r="BK245" s="88"/>
      <c r="BL245" s="86"/>
      <c r="BM245" s="88"/>
      <c r="BN245" s="86"/>
      <c r="BO245" s="88"/>
      <c r="BP245" s="86"/>
      <c r="BQ245" s="88"/>
      <c r="BR245" s="86"/>
      <c r="BS245" s="87"/>
    </row>
    <row r="246" ht="22.5" customHeight="1">
      <c r="A246" s="154"/>
      <c r="B246" s="83"/>
      <c r="C246" s="151"/>
      <c r="D246" s="83"/>
      <c r="E246" s="151"/>
      <c r="F246" s="83"/>
      <c r="G246" s="85"/>
      <c r="H246" s="86"/>
      <c r="I246" s="87"/>
      <c r="J246" s="86"/>
      <c r="K246" s="88"/>
      <c r="L246" s="86"/>
      <c r="M246" s="88"/>
      <c r="N246" s="86"/>
      <c r="O246" s="88"/>
      <c r="P246" s="86"/>
      <c r="Q246" s="88"/>
      <c r="R246" s="86"/>
      <c r="S246" s="88"/>
      <c r="T246" s="86"/>
      <c r="U246" s="88"/>
      <c r="V246" s="86"/>
      <c r="W246" s="88"/>
      <c r="X246" s="86"/>
      <c r="Y246" s="88"/>
      <c r="Z246" s="86"/>
      <c r="AA246" s="88"/>
      <c r="AB246" s="86"/>
      <c r="AC246" s="88"/>
      <c r="AD246" s="86"/>
      <c r="AE246" s="88"/>
      <c r="AF246" s="86"/>
      <c r="AG246" s="88"/>
      <c r="AH246" s="86"/>
      <c r="AI246" s="88"/>
      <c r="AJ246" s="86"/>
      <c r="AK246" s="88"/>
      <c r="AL246" s="86"/>
      <c r="AM246" s="88"/>
      <c r="AN246" s="86"/>
      <c r="AO246" s="88"/>
      <c r="AP246" s="86"/>
      <c r="AQ246" s="88"/>
      <c r="AR246" s="86"/>
      <c r="AS246" s="88"/>
      <c r="AT246" s="86"/>
      <c r="AU246" s="88"/>
      <c r="AV246" s="86"/>
      <c r="AW246" s="88"/>
      <c r="AX246" s="86"/>
      <c r="AY246" s="88"/>
      <c r="AZ246" s="86"/>
      <c r="BA246" s="88"/>
      <c r="BB246" s="86"/>
      <c r="BC246" s="88"/>
      <c r="BD246" s="86"/>
      <c r="BE246" s="88"/>
      <c r="BF246" s="86"/>
      <c r="BG246" s="88"/>
      <c r="BH246" s="86"/>
      <c r="BI246" s="88"/>
      <c r="BJ246" s="86"/>
      <c r="BK246" s="88"/>
      <c r="BL246" s="86"/>
      <c r="BM246" s="88"/>
      <c r="BN246" s="86"/>
      <c r="BO246" s="88"/>
      <c r="BP246" s="86"/>
      <c r="BQ246" s="88"/>
      <c r="BR246" s="86"/>
      <c r="BS246" s="87"/>
    </row>
    <row r="247" ht="22.5" customHeight="1">
      <c r="A247" s="154"/>
      <c r="B247" s="83"/>
      <c r="C247" s="151"/>
      <c r="D247" s="83"/>
      <c r="E247" s="151"/>
      <c r="F247" s="83"/>
      <c r="G247" s="85"/>
      <c r="H247" s="86"/>
      <c r="I247" s="87"/>
      <c r="J247" s="86"/>
      <c r="K247" s="88"/>
      <c r="L247" s="86"/>
      <c r="M247" s="88"/>
      <c r="N247" s="86"/>
      <c r="O247" s="88"/>
      <c r="P247" s="86"/>
      <c r="Q247" s="88"/>
      <c r="R247" s="86"/>
      <c r="S247" s="88"/>
      <c r="T247" s="86"/>
      <c r="U247" s="88"/>
      <c r="V247" s="86"/>
      <c r="W247" s="88"/>
      <c r="X247" s="86"/>
      <c r="Y247" s="88"/>
      <c r="Z247" s="86"/>
      <c r="AA247" s="88"/>
      <c r="AB247" s="86"/>
      <c r="AC247" s="88"/>
      <c r="AD247" s="86"/>
      <c r="AE247" s="88"/>
      <c r="AF247" s="86"/>
      <c r="AG247" s="88"/>
      <c r="AH247" s="86"/>
      <c r="AI247" s="88"/>
      <c r="AJ247" s="86"/>
      <c r="AK247" s="88"/>
      <c r="AL247" s="86"/>
      <c r="AM247" s="88"/>
      <c r="AN247" s="86"/>
      <c r="AO247" s="88"/>
      <c r="AP247" s="86"/>
      <c r="AQ247" s="88"/>
      <c r="AR247" s="86"/>
      <c r="AS247" s="88"/>
      <c r="AT247" s="86"/>
      <c r="AU247" s="88"/>
      <c r="AV247" s="86"/>
      <c r="AW247" s="88"/>
      <c r="AX247" s="86"/>
      <c r="AY247" s="88"/>
      <c r="AZ247" s="86"/>
      <c r="BA247" s="88"/>
      <c r="BB247" s="86"/>
      <c r="BC247" s="88"/>
      <c r="BD247" s="86"/>
      <c r="BE247" s="88"/>
      <c r="BF247" s="86"/>
      <c r="BG247" s="88"/>
      <c r="BH247" s="86"/>
      <c r="BI247" s="88"/>
      <c r="BJ247" s="86"/>
      <c r="BK247" s="88"/>
      <c r="BL247" s="86"/>
      <c r="BM247" s="88"/>
      <c r="BN247" s="86"/>
      <c r="BO247" s="88"/>
      <c r="BP247" s="86"/>
      <c r="BQ247" s="88"/>
      <c r="BR247" s="86"/>
      <c r="BS247" s="87"/>
    </row>
    <row r="248" ht="22.5" customHeight="1">
      <c r="A248" s="154"/>
      <c r="B248" s="83"/>
      <c r="C248" s="151"/>
      <c r="D248" s="83"/>
      <c r="E248" s="151"/>
      <c r="F248" s="83"/>
      <c r="G248" s="85"/>
      <c r="H248" s="86"/>
      <c r="I248" s="87"/>
      <c r="J248" s="86"/>
      <c r="K248" s="88"/>
      <c r="L248" s="86"/>
      <c r="M248" s="88"/>
      <c r="N248" s="86"/>
      <c r="O248" s="88"/>
      <c r="P248" s="86"/>
      <c r="Q248" s="88"/>
      <c r="R248" s="86"/>
      <c r="S248" s="88"/>
      <c r="T248" s="86"/>
      <c r="U248" s="88"/>
      <c r="V248" s="86"/>
      <c r="W248" s="88"/>
      <c r="X248" s="86"/>
      <c r="Y248" s="88"/>
      <c r="Z248" s="86"/>
      <c r="AA248" s="88"/>
      <c r="AB248" s="86"/>
      <c r="AC248" s="88"/>
      <c r="AD248" s="86"/>
      <c r="AE248" s="88"/>
      <c r="AF248" s="86"/>
      <c r="AG248" s="88"/>
      <c r="AH248" s="86"/>
      <c r="AI248" s="88"/>
      <c r="AJ248" s="86"/>
      <c r="AK248" s="88"/>
      <c r="AL248" s="86"/>
      <c r="AM248" s="88"/>
      <c r="AN248" s="86"/>
      <c r="AO248" s="88"/>
      <c r="AP248" s="86"/>
      <c r="AQ248" s="88"/>
      <c r="AR248" s="86"/>
      <c r="AS248" s="88"/>
      <c r="AT248" s="86"/>
      <c r="AU248" s="88"/>
      <c r="AV248" s="86"/>
      <c r="AW248" s="88"/>
      <c r="AX248" s="86"/>
      <c r="AY248" s="88"/>
      <c r="AZ248" s="86"/>
      <c r="BA248" s="88"/>
      <c r="BB248" s="86"/>
      <c r="BC248" s="88"/>
      <c r="BD248" s="86"/>
      <c r="BE248" s="88"/>
      <c r="BF248" s="86"/>
      <c r="BG248" s="88"/>
      <c r="BH248" s="86"/>
      <c r="BI248" s="88"/>
      <c r="BJ248" s="86"/>
      <c r="BK248" s="88"/>
      <c r="BL248" s="86"/>
      <c r="BM248" s="88"/>
      <c r="BN248" s="86"/>
      <c r="BO248" s="88"/>
      <c r="BP248" s="86"/>
      <c r="BQ248" s="88"/>
      <c r="BR248" s="86"/>
      <c r="BS248" s="87"/>
    </row>
    <row r="249" ht="22.5" customHeight="1">
      <c r="A249" s="154"/>
      <c r="B249" s="83"/>
      <c r="C249" s="151"/>
      <c r="D249" s="83"/>
      <c r="E249" s="151"/>
      <c r="F249" s="83"/>
      <c r="G249" s="85"/>
      <c r="H249" s="86"/>
      <c r="I249" s="87"/>
      <c r="J249" s="86"/>
      <c r="K249" s="88"/>
      <c r="L249" s="86"/>
      <c r="M249" s="88"/>
      <c r="N249" s="86"/>
      <c r="O249" s="88"/>
      <c r="P249" s="86"/>
      <c r="Q249" s="88"/>
      <c r="R249" s="86"/>
      <c r="S249" s="88"/>
      <c r="T249" s="86"/>
      <c r="U249" s="88"/>
      <c r="V249" s="86"/>
      <c r="W249" s="88"/>
      <c r="X249" s="86"/>
      <c r="Y249" s="88"/>
      <c r="Z249" s="86"/>
      <c r="AA249" s="88"/>
      <c r="AB249" s="86"/>
      <c r="AC249" s="88"/>
      <c r="AD249" s="86"/>
      <c r="AE249" s="88"/>
      <c r="AF249" s="86"/>
      <c r="AG249" s="88"/>
      <c r="AH249" s="86"/>
      <c r="AI249" s="88"/>
      <c r="AJ249" s="86"/>
      <c r="AK249" s="88"/>
      <c r="AL249" s="86"/>
      <c r="AM249" s="88"/>
      <c r="AN249" s="86"/>
      <c r="AO249" s="88"/>
      <c r="AP249" s="86"/>
      <c r="AQ249" s="88"/>
      <c r="AR249" s="86"/>
      <c r="AS249" s="88"/>
      <c r="AT249" s="86"/>
      <c r="AU249" s="88"/>
      <c r="AV249" s="86"/>
      <c r="AW249" s="88"/>
      <c r="AX249" s="86"/>
      <c r="AY249" s="88"/>
      <c r="AZ249" s="86"/>
      <c r="BA249" s="88"/>
      <c r="BB249" s="86"/>
      <c r="BC249" s="88"/>
      <c r="BD249" s="86"/>
      <c r="BE249" s="88"/>
      <c r="BF249" s="86"/>
      <c r="BG249" s="88"/>
      <c r="BH249" s="86"/>
      <c r="BI249" s="88"/>
      <c r="BJ249" s="86"/>
      <c r="BK249" s="88"/>
      <c r="BL249" s="86"/>
      <c r="BM249" s="88"/>
      <c r="BN249" s="86"/>
      <c r="BO249" s="88"/>
      <c r="BP249" s="86"/>
      <c r="BQ249" s="88"/>
      <c r="BR249" s="86"/>
      <c r="BS249" s="87"/>
    </row>
    <row r="250" ht="22.5" customHeight="1">
      <c r="A250" s="154"/>
      <c r="B250" s="83"/>
      <c r="C250" s="151"/>
      <c r="D250" s="83"/>
      <c r="E250" s="151"/>
      <c r="F250" s="83"/>
      <c r="G250" s="85"/>
      <c r="H250" s="86"/>
      <c r="I250" s="87"/>
      <c r="J250" s="86"/>
      <c r="K250" s="88"/>
      <c r="L250" s="86"/>
      <c r="M250" s="88"/>
      <c r="N250" s="86"/>
      <c r="O250" s="88"/>
      <c r="P250" s="86"/>
      <c r="Q250" s="88"/>
      <c r="R250" s="86"/>
      <c r="S250" s="88"/>
      <c r="T250" s="86"/>
      <c r="U250" s="88"/>
      <c r="V250" s="86"/>
      <c r="W250" s="88"/>
      <c r="X250" s="86"/>
      <c r="Y250" s="88"/>
      <c r="Z250" s="86"/>
      <c r="AA250" s="88"/>
      <c r="AB250" s="86"/>
      <c r="AC250" s="88"/>
      <c r="AD250" s="86"/>
      <c r="AE250" s="88"/>
      <c r="AF250" s="86"/>
      <c r="AG250" s="88"/>
      <c r="AH250" s="86"/>
      <c r="AI250" s="88"/>
      <c r="AJ250" s="86"/>
      <c r="AK250" s="88"/>
      <c r="AL250" s="86"/>
      <c r="AM250" s="88"/>
      <c r="AN250" s="86"/>
      <c r="AO250" s="88"/>
      <c r="AP250" s="86"/>
      <c r="AQ250" s="88"/>
      <c r="AR250" s="86"/>
      <c r="AS250" s="88"/>
      <c r="AT250" s="86"/>
      <c r="AU250" s="88"/>
      <c r="AV250" s="86"/>
      <c r="AW250" s="88"/>
      <c r="AX250" s="86"/>
      <c r="AY250" s="88"/>
      <c r="AZ250" s="86"/>
      <c r="BA250" s="88"/>
      <c r="BB250" s="86"/>
      <c r="BC250" s="88"/>
      <c r="BD250" s="86"/>
      <c r="BE250" s="88"/>
      <c r="BF250" s="86"/>
      <c r="BG250" s="88"/>
      <c r="BH250" s="86"/>
      <c r="BI250" s="88"/>
      <c r="BJ250" s="86"/>
      <c r="BK250" s="88"/>
      <c r="BL250" s="86"/>
      <c r="BM250" s="88"/>
      <c r="BN250" s="86"/>
      <c r="BO250" s="88"/>
      <c r="BP250" s="86"/>
      <c r="BQ250" s="88"/>
      <c r="BR250" s="86"/>
      <c r="BS250" s="87"/>
    </row>
    <row r="251" ht="22.5" customHeight="1">
      <c r="A251" s="154"/>
      <c r="B251" s="83"/>
      <c r="C251" s="151"/>
      <c r="D251" s="83"/>
      <c r="E251" s="151"/>
      <c r="F251" s="83"/>
      <c r="G251" s="85"/>
      <c r="H251" s="86"/>
      <c r="I251" s="87"/>
      <c r="J251" s="86"/>
      <c r="K251" s="88"/>
      <c r="L251" s="86"/>
      <c r="M251" s="88"/>
      <c r="N251" s="86"/>
      <c r="O251" s="88"/>
      <c r="P251" s="86"/>
      <c r="Q251" s="88"/>
      <c r="R251" s="86"/>
      <c r="S251" s="88"/>
      <c r="T251" s="86"/>
      <c r="U251" s="88"/>
      <c r="V251" s="86"/>
      <c r="W251" s="88"/>
      <c r="X251" s="86"/>
      <c r="Y251" s="88"/>
      <c r="Z251" s="86"/>
      <c r="AA251" s="88"/>
      <c r="AB251" s="86"/>
      <c r="AC251" s="88"/>
      <c r="AD251" s="86"/>
      <c r="AE251" s="88"/>
      <c r="AF251" s="86"/>
      <c r="AG251" s="88"/>
      <c r="AH251" s="86"/>
      <c r="AI251" s="88"/>
      <c r="AJ251" s="86"/>
      <c r="AK251" s="88"/>
      <c r="AL251" s="86"/>
      <c r="AM251" s="88"/>
      <c r="AN251" s="86"/>
      <c r="AO251" s="88"/>
      <c r="AP251" s="86"/>
      <c r="AQ251" s="88"/>
      <c r="AR251" s="86"/>
      <c r="AS251" s="88"/>
      <c r="AT251" s="86"/>
      <c r="AU251" s="88"/>
      <c r="AV251" s="86"/>
      <c r="AW251" s="88"/>
      <c r="AX251" s="86"/>
      <c r="AY251" s="88"/>
      <c r="AZ251" s="86"/>
      <c r="BA251" s="88"/>
      <c r="BB251" s="86"/>
      <c r="BC251" s="88"/>
      <c r="BD251" s="86"/>
      <c r="BE251" s="88"/>
      <c r="BF251" s="86"/>
      <c r="BG251" s="88"/>
      <c r="BH251" s="86"/>
      <c r="BI251" s="88"/>
      <c r="BJ251" s="86"/>
      <c r="BK251" s="88"/>
      <c r="BL251" s="86"/>
      <c r="BM251" s="88"/>
      <c r="BN251" s="86"/>
      <c r="BO251" s="88"/>
      <c r="BP251" s="86"/>
      <c r="BQ251" s="88"/>
      <c r="BR251" s="86"/>
      <c r="BS251" s="87"/>
    </row>
    <row r="252" ht="22.5" customHeight="1">
      <c r="A252" s="154"/>
      <c r="B252" s="83"/>
      <c r="C252" s="151"/>
      <c r="D252" s="83"/>
      <c r="E252" s="151"/>
      <c r="F252" s="83"/>
      <c r="G252" s="85"/>
      <c r="H252" s="86"/>
      <c r="I252" s="87"/>
      <c r="J252" s="86"/>
      <c r="K252" s="88"/>
      <c r="L252" s="86"/>
      <c r="M252" s="88"/>
      <c r="N252" s="86"/>
      <c r="O252" s="88"/>
      <c r="P252" s="86"/>
      <c r="Q252" s="88"/>
      <c r="R252" s="86"/>
      <c r="S252" s="88"/>
      <c r="T252" s="86"/>
      <c r="U252" s="88"/>
      <c r="V252" s="86"/>
      <c r="W252" s="88"/>
      <c r="X252" s="86"/>
      <c r="Y252" s="88"/>
      <c r="Z252" s="86"/>
      <c r="AA252" s="88"/>
      <c r="AB252" s="86"/>
      <c r="AC252" s="88"/>
      <c r="AD252" s="86"/>
      <c r="AE252" s="88"/>
      <c r="AF252" s="86"/>
      <c r="AG252" s="88"/>
      <c r="AH252" s="86"/>
      <c r="AI252" s="88"/>
      <c r="AJ252" s="86"/>
      <c r="AK252" s="88"/>
      <c r="AL252" s="86"/>
      <c r="AM252" s="88"/>
      <c r="AN252" s="86"/>
      <c r="AO252" s="88"/>
      <c r="AP252" s="86"/>
      <c r="AQ252" s="88"/>
      <c r="AR252" s="86"/>
      <c r="AS252" s="88"/>
      <c r="AT252" s="86"/>
      <c r="AU252" s="88"/>
      <c r="AV252" s="86"/>
      <c r="AW252" s="88"/>
      <c r="AX252" s="86"/>
      <c r="AY252" s="88"/>
      <c r="AZ252" s="86"/>
      <c r="BA252" s="88"/>
      <c r="BB252" s="86"/>
      <c r="BC252" s="88"/>
      <c r="BD252" s="86"/>
      <c r="BE252" s="88"/>
      <c r="BF252" s="86"/>
      <c r="BG252" s="88"/>
      <c r="BH252" s="86"/>
      <c r="BI252" s="88"/>
      <c r="BJ252" s="86"/>
      <c r="BK252" s="88"/>
      <c r="BL252" s="86"/>
      <c r="BM252" s="88"/>
      <c r="BN252" s="86"/>
      <c r="BO252" s="88"/>
      <c r="BP252" s="86"/>
      <c r="BQ252" s="88"/>
      <c r="BR252" s="86"/>
      <c r="BS252" s="87"/>
    </row>
    <row r="253" ht="22.5" customHeight="1">
      <c r="A253" s="154"/>
      <c r="B253" s="83"/>
      <c r="C253" s="151"/>
      <c r="D253" s="83"/>
      <c r="E253" s="151"/>
      <c r="F253" s="83"/>
      <c r="G253" s="85"/>
      <c r="H253" s="86"/>
      <c r="I253" s="87"/>
      <c r="J253" s="86"/>
      <c r="K253" s="88"/>
      <c r="L253" s="86"/>
      <c r="M253" s="88"/>
      <c r="N253" s="86"/>
      <c r="O253" s="88"/>
      <c r="P253" s="86"/>
      <c r="Q253" s="88"/>
      <c r="R253" s="86"/>
      <c r="S253" s="88"/>
      <c r="T253" s="86"/>
      <c r="U253" s="88"/>
      <c r="V253" s="86"/>
      <c r="W253" s="88"/>
      <c r="X253" s="86"/>
      <c r="Y253" s="88"/>
      <c r="Z253" s="86"/>
      <c r="AA253" s="88"/>
      <c r="AB253" s="86"/>
      <c r="AC253" s="88"/>
      <c r="AD253" s="86"/>
      <c r="AE253" s="88"/>
      <c r="AF253" s="86"/>
      <c r="AG253" s="88"/>
      <c r="AH253" s="86"/>
      <c r="AI253" s="88"/>
      <c r="AJ253" s="86"/>
      <c r="AK253" s="88"/>
      <c r="AL253" s="86"/>
      <c r="AM253" s="88"/>
      <c r="AN253" s="86"/>
      <c r="AO253" s="88"/>
      <c r="AP253" s="86"/>
      <c r="AQ253" s="88"/>
      <c r="AR253" s="86"/>
      <c r="AS253" s="88"/>
      <c r="AT253" s="86"/>
      <c r="AU253" s="88"/>
      <c r="AV253" s="86"/>
      <c r="AW253" s="88"/>
      <c r="AX253" s="86"/>
      <c r="AY253" s="88"/>
      <c r="AZ253" s="86"/>
      <c r="BA253" s="88"/>
      <c r="BB253" s="86"/>
      <c r="BC253" s="88"/>
      <c r="BD253" s="86"/>
      <c r="BE253" s="88"/>
      <c r="BF253" s="86"/>
      <c r="BG253" s="88"/>
      <c r="BH253" s="86"/>
      <c r="BI253" s="88"/>
      <c r="BJ253" s="86"/>
      <c r="BK253" s="88"/>
      <c r="BL253" s="86"/>
      <c r="BM253" s="88"/>
      <c r="BN253" s="86"/>
      <c r="BO253" s="88"/>
      <c r="BP253" s="86"/>
      <c r="BQ253" s="88"/>
      <c r="BR253" s="86"/>
      <c r="BS253" s="87"/>
    </row>
    <row r="254" ht="22.5" customHeight="1">
      <c r="A254" s="154"/>
      <c r="B254" s="83"/>
      <c r="C254" s="151"/>
      <c r="D254" s="83"/>
      <c r="E254" s="151"/>
      <c r="F254" s="83"/>
      <c r="G254" s="85"/>
      <c r="H254" s="86"/>
      <c r="I254" s="87"/>
      <c r="J254" s="86"/>
      <c r="K254" s="88"/>
      <c r="L254" s="86"/>
      <c r="M254" s="88"/>
      <c r="N254" s="86"/>
      <c r="O254" s="88"/>
      <c r="P254" s="86"/>
      <c r="Q254" s="88"/>
      <c r="R254" s="86"/>
      <c r="S254" s="88"/>
      <c r="T254" s="86"/>
      <c r="U254" s="88"/>
      <c r="V254" s="86"/>
      <c r="W254" s="88"/>
      <c r="X254" s="86"/>
      <c r="Y254" s="88"/>
      <c r="Z254" s="86"/>
      <c r="AA254" s="88"/>
      <c r="AB254" s="86"/>
      <c r="AC254" s="88"/>
      <c r="AD254" s="86"/>
      <c r="AE254" s="88"/>
      <c r="AF254" s="86"/>
      <c r="AG254" s="88"/>
      <c r="AH254" s="86"/>
      <c r="AI254" s="88"/>
      <c r="AJ254" s="86"/>
      <c r="AK254" s="88"/>
      <c r="AL254" s="86"/>
      <c r="AM254" s="88"/>
      <c r="AN254" s="86"/>
      <c r="AO254" s="88"/>
      <c r="AP254" s="86"/>
      <c r="AQ254" s="88"/>
      <c r="AR254" s="86"/>
      <c r="AS254" s="88"/>
      <c r="AT254" s="86"/>
      <c r="AU254" s="88"/>
      <c r="AV254" s="86"/>
      <c r="AW254" s="88"/>
      <c r="AX254" s="86"/>
      <c r="AY254" s="88"/>
      <c r="AZ254" s="86"/>
      <c r="BA254" s="88"/>
      <c r="BB254" s="86"/>
      <c r="BC254" s="88"/>
      <c r="BD254" s="86"/>
      <c r="BE254" s="88"/>
      <c r="BF254" s="86"/>
      <c r="BG254" s="88"/>
      <c r="BH254" s="86"/>
      <c r="BI254" s="88"/>
      <c r="BJ254" s="86"/>
      <c r="BK254" s="88"/>
      <c r="BL254" s="86"/>
      <c r="BM254" s="88"/>
      <c r="BN254" s="86"/>
      <c r="BO254" s="88"/>
      <c r="BP254" s="86"/>
      <c r="BQ254" s="88"/>
      <c r="BR254" s="86"/>
      <c r="BS254" s="87"/>
    </row>
    <row r="255" ht="22.5" customHeight="1">
      <c r="A255" s="154"/>
      <c r="B255" s="83"/>
      <c r="C255" s="151"/>
      <c r="D255" s="83"/>
      <c r="E255" s="151"/>
      <c r="F255" s="83"/>
      <c r="G255" s="85"/>
      <c r="H255" s="86"/>
      <c r="I255" s="87"/>
      <c r="J255" s="86"/>
      <c r="K255" s="88"/>
      <c r="L255" s="86"/>
      <c r="M255" s="88"/>
      <c r="N255" s="86"/>
      <c r="O255" s="88"/>
      <c r="P255" s="86"/>
      <c r="Q255" s="88"/>
      <c r="R255" s="86"/>
      <c r="S255" s="88"/>
      <c r="T255" s="86"/>
      <c r="U255" s="88"/>
      <c r="V255" s="86"/>
      <c r="W255" s="88"/>
      <c r="X255" s="86"/>
      <c r="Y255" s="88"/>
      <c r="Z255" s="86"/>
      <c r="AA255" s="88"/>
      <c r="AB255" s="86"/>
      <c r="AC255" s="88"/>
      <c r="AD255" s="86"/>
      <c r="AE255" s="88"/>
      <c r="AF255" s="86"/>
      <c r="AG255" s="88"/>
      <c r="AH255" s="86"/>
      <c r="AI255" s="88"/>
      <c r="AJ255" s="86"/>
      <c r="AK255" s="88"/>
      <c r="AL255" s="86"/>
      <c r="AM255" s="88"/>
      <c r="AN255" s="86"/>
      <c r="AO255" s="88"/>
      <c r="AP255" s="86"/>
      <c r="AQ255" s="88"/>
      <c r="AR255" s="86"/>
      <c r="AS255" s="88"/>
      <c r="AT255" s="86"/>
      <c r="AU255" s="88"/>
      <c r="AV255" s="86"/>
      <c r="AW255" s="88"/>
      <c r="AX255" s="86"/>
      <c r="AY255" s="88"/>
      <c r="AZ255" s="86"/>
      <c r="BA255" s="88"/>
      <c r="BB255" s="86"/>
      <c r="BC255" s="88"/>
      <c r="BD255" s="86"/>
      <c r="BE255" s="88"/>
      <c r="BF255" s="86"/>
      <c r="BG255" s="88"/>
      <c r="BH255" s="86"/>
      <c r="BI255" s="88"/>
      <c r="BJ255" s="86"/>
      <c r="BK255" s="88"/>
      <c r="BL255" s="86"/>
      <c r="BM255" s="88"/>
      <c r="BN255" s="86"/>
      <c r="BO255" s="88"/>
      <c r="BP255" s="86"/>
      <c r="BQ255" s="88"/>
      <c r="BR255" s="86"/>
      <c r="BS255" s="87"/>
    </row>
    <row r="256" ht="22.5" customHeight="1">
      <c r="A256" s="154"/>
      <c r="B256" s="83"/>
      <c r="C256" s="151"/>
      <c r="D256" s="83"/>
      <c r="E256" s="151"/>
      <c r="F256" s="83"/>
      <c r="G256" s="85"/>
      <c r="H256" s="86"/>
      <c r="I256" s="87"/>
      <c r="J256" s="86"/>
      <c r="K256" s="88"/>
      <c r="L256" s="86"/>
      <c r="M256" s="88"/>
      <c r="N256" s="86"/>
      <c r="O256" s="88"/>
      <c r="P256" s="86"/>
      <c r="Q256" s="88"/>
      <c r="R256" s="86"/>
      <c r="S256" s="88"/>
      <c r="T256" s="86"/>
      <c r="U256" s="88"/>
      <c r="V256" s="86"/>
      <c r="W256" s="88"/>
      <c r="X256" s="86"/>
      <c r="Y256" s="88"/>
      <c r="Z256" s="86"/>
      <c r="AA256" s="88"/>
      <c r="AB256" s="86"/>
      <c r="AC256" s="88"/>
      <c r="AD256" s="86"/>
      <c r="AE256" s="88"/>
      <c r="AF256" s="86"/>
      <c r="AG256" s="88"/>
      <c r="AH256" s="86"/>
      <c r="AI256" s="88"/>
      <c r="AJ256" s="86"/>
      <c r="AK256" s="88"/>
      <c r="AL256" s="86"/>
      <c r="AM256" s="88"/>
      <c r="AN256" s="86"/>
      <c r="AO256" s="88"/>
      <c r="AP256" s="86"/>
      <c r="AQ256" s="88"/>
      <c r="AR256" s="86"/>
      <c r="AS256" s="88"/>
      <c r="AT256" s="86"/>
      <c r="AU256" s="88"/>
      <c r="AV256" s="86"/>
      <c r="AW256" s="88"/>
      <c r="AX256" s="86"/>
      <c r="AY256" s="88"/>
      <c r="AZ256" s="86"/>
      <c r="BA256" s="88"/>
      <c r="BB256" s="86"/>
      <c r="BC256" s="88"/>
      <c r="BD256" s="86"/>
      <c r="BE256" s="88"/>
      <c r="BF256" s="86"/>
      <c r="BG256" s="88"/>
      <c r="BH256" s="86"/>
      <c r="BI256" s="88"/>
      <c r="BJ256" s="86"/>
      <c r="BK256" s="88"/>
      <c r="BL256" s="86"/>
      <c r="BM256" s="88"/>
      <c r="BN256" s="86"/>
      <c r="BO256" s="88"/>
      <c r="BP256" s="86"/>
      <c r="BQ256" s="88"/>
      <c r="BR256" s="86"/>
      <c r="BS256" s="87"/>
    </row>
    <row r="257" ht="22.5" customHeight="1">
      <c r="A257" s="154"/>
      <c r="B257" s="83"/>
      <c r="C257" s="151"/>
      <c r="D257" s="83"/>
      <c r="E257" s="151"/>
      <c r="F257" s="83"/>
      <c r="G257" s="85"/>
      <c r="H257" s="86"/>
      <c r="I257" s="87"/>
      <c r="J257" s="86"/>
      <c r="K257" s="88"/>
      <c r="L257" s="86"/>
      <c r="M257" s="88"/>
      <c r="N257" s="86"/>
      <c r="O257" s="88"/>
      <c r="P257" s="86"/>
      <c r="Q257" s="88"/>
      <c r="R257" s="86"/>
      <c r="S257" s="88"/>
      <c r="T257" s="86"/>
      <c r="U257" s="88"/>
      <c r="V257" s="86"/>
      <c r="W257" s="88"/>
      <c r="X257" s="86"/>
      <c r="Y257" s="88"/>
      <c r="Z257" s="86"/>
      <c r="AA257" s="88"/>
      <c r="AB257" s="86"/>
      <c r="AC257" s="88"/>
      <c r="AD257" s="86"/>
      <c r="AE257" s="88"/>
      <c r="AF257" s="86"/>
      <c r="AG257" s="88"/>
      <c r="AH257" s="86"/>
      <c r="AI257" s="88"/>
      <c r="AJ257" s="86"/>
      <c r="AK257" s="88"/>
      <c r="AL257" s="86"/>
      <c r="AM257" s="88"/>
      <c r="AN257" s="86"/>
      <c r="AO257" s="88"/>
      <c r="AP257" s="86"/>
      <c r="AQ257" s="88"/>
      <c r="AR257" s="86"/>
      <c r="AS257" s="88"/>
      <c r="AT257" s="86"/>
      <c r="AU257" s="88"/>
      <c r="AV257" s="86"/>
      <c r="AW257" s="88"/>
      <c r="AX257" s="86"/>
      <c r="AY257" s="88"/>
      <c r="AZ257" s="86"/>
      <c r="BA257" s="88"/>
      <c r="BB257" s="86"/>
      <c r="BC257" s="88"/>
      <c r="BD257" s="86"/>
      <c r="BE257" s="88"/>
      <c r="BF257" s="86"/>
      <c r="BG257" s="88"/>
      <c r="BH257" s="86"/>
      <c r="BI257" s="88"/>
      <c r="BJ257" s="86"/>
      <c r="BK257" s="88"/>
      <c r="BL257" s="86"/>
      <c r="BM257" s="88"/>
      <c r="BN257" s="86"/>
      <c r="BO257" s="88"/>
      <c r="BP257" s="86"/>
      <c r="BQ257" s="88"/>
      <c r="BR257" s="86"/>
      <c r="BS257" s="87"/>
    </row>
    <row r="258" ht="22.5" customHeight="1">
      <c r="A258" s="154"/>
      <c r="B258" s="83"/>
      <c r="C258" s="151"/>
      <c r="D258" s="83"/>
      <c r="E258" s="151"/>
      <c r="F258" s="83"/>
      <c r="G258" s="85"/>
      <c r="H258" s="86"/>
      <c r="I258" s="87"/>
      <c r="J258" s="86"/>
      <c r="K258" s="88"/>
      <c r="L258" s="86"/>
      <c r="M258" s="88"/>
      <c r="N258" s="86"/>
      <c r="O258" s="88"/>
      <c r="P258" s="86"/>
      <c r="Q258" s="88"/>
      <c r="R258" s="86"/>
      <c r="S258" s="88"/>
      <c r="T258" s="86"/>
      <c r="U258" s="88"/>
      <c r="V258" s="86"/>
      <c r="W258" s="88"/>
      <c r="X258" s="86"/>
      <c r="Y258" s="88"/>
      <c r="Z258" s="86"/>
      <c r="AA258" s="88"/>
      <c r="AB258" s="86"/>
      <c r="AC258" s="88"/>
      <c r="AD258" s="86"/>
      <c r="AE258" s="88"/>
      <c r="AF258" s="86"/>
      <c r="AG258" s="88"/>
      <c r="AH258" s="86"/>
      <c r="AI258" s="88"/>
      <c r="AJ258" s="86"/>
      <c r="AK258" s="88"/>
      <c r="AL258" s="86"/>
      <c r="AM258" s="88"/>
      <c r="AN258" s="86"/>
      <c r="AO258" s="88"/>
      <c r="AP258" s="86"/>
      <c r="AQ258" s="88"/>
      <c r="AR258" s="86"/>
      <c r="AS258" s="88"/>
      <c r="AT258" s="86"/>
      <c r="AU258" s="88"/>
      <c r="AV258" s="86"/>
      <c r="AW258" s="88"/>
      <c r="AX258" s="86"/>
      <c r="AY258" s="88"/>
      <c r="AZ258" s="86"/>
      <c r="BA258" s="88"/>
      <c r="BB258" s="86"/>
      <c r="BC258" s="88"/>
      <c r="BD258" s="86"/>
      <c r="BE258" s="88"/>
      <c r="BF258" s="86"/>
      <c r="BG258" s="88"/>
      <c r="BH258" s="86"/>
      <c r="BI258" s="88"/>
      <c r="BJ258" s="86"/>
      <c r="BK258" s="88"/>
      <c r="BL258" s="86"/>
      <c r="BM258" s="88"/>
      <c r="BN258" s="86"/>
      <c r="BO258" s="88"/>
      <c r="BP258" s="86"/>
      <c r="BQ258" s="88"/>
      <c r="BR258" s="86"/>
      <c r="BS258" s="87"/>
    </row>
    <row r="259" ht="22.5" customHeight="1">
      <c r="A259" s="154"/>
      <c r="B259" s="83"/>
      <c r="C259" s="151"/>
      <c r="D259" s="83"/>
      <c r="E259" s="151"/>
      <c r="F259" s="83"/>
      <c r="G259" s="85"/>
      <c r="H259" s="86"/>
      <c r="I259" s="87"/>
      <c r="J259" s="86"/>
      <c r="K259" s="88"/>
      <c r="L259" s="86"/>
      <c r="M259" s="88"/>
      <c r="N259" s="86"/>
      <c r="O259" s="88"/>
      <c r="P259" s="86"/>
      <c r="Q259" s="88"/>
      <c r="R259" s="86"/>
      <c r="S259" s="88"/>
      <c r="T259" s="86"/>
      <c r="U259" s="88"/>
      <c r="V259" s="86"/>
      <c r="W259" s="88"/>
      <c r="X259" s="86"/>
      <c r="Y259" s="88"/>
      <c r="Z259" s="86"/>
      <c r="AA259" s="88"/>
      <c r="AB259" s="86"/>
      <c r="AC259" s="88"/>
      <c r="AD259" s="86"/>
      <c r="AE259" s="88"/>
      <c r="AF259" s="86"/>
      <c r="AG259" s="88"/>
      <c r="AH259" s="86"/>
      <c r="AI259" s="88"/>
      <c r="AJ259" s="86"/>
      <c r="AK259" s="88"/>
      <c r="AL259" s="86"/>
      <c r="AM259" s="88"/>
      <c r="AN259" s="86"/>
      <c r="AO259" s="88"/>
      <c r="AP259" s="86"/>
      <c r="AQ259" s="88"/>
      <c r="AR259" s="86"/>
      <c r="AS259" s="88"/>
      <c r="AT259" s="86"/>
      <c r="AU259" s="88"/>
      <c r="AV259" s="86"/>
      <c r="AW259" s="88"/>
      <c r="AX259" s="86"/>
      <c r="AY259" s="88"/>
      <c r="AZ259" s="86"/>
      <c r="BA259" s="88"/>
      <c r="BB259" s="86"/>
      <c r="BC259" s="88"/>
      <c r="BD259" s="86"/>
      <c r="BE259" s="88"/>
      <c r="BF259" s="86"/>
      <c r="BG259" s="88"/>
      <c r="BH259" s="86"/>
      <c r="BI259" s="88"/>
      <c r="BJ259" s="86"/>
      <c r="BK259" s="88"/>
      <c r="BL259" s="86"/>
      <c r="BM259" s="88"/>
      <c r="BN259" s="86"/>
      <c r="BO259" s="88"/>
      <c r="BP259" s="86"/>
      <c r="BQ259" s="88"/>
      <c r="BR259" s="86"/>
      <c r="BS259" s="87"/>
    </row>
    <row r="260" ht="22.5" customHeight="1">
      <c r="A260" s="154"/>
      <c r="B260" s="83"/>
      <c r="C260" s="151"/>
      <c r="D260" s="83"/>
      <c r="E260" s="151"/>
      <c r="F260" s="83"/>
      <c r="G260" s="85"/>
      <c r="H260" s="86"/>
      <c r="I260" s="87"/>
      <c r="J260" s="86"/>
      <c r="K260" s="88"/>
      <c r="L260" s="86"/>
      <c r="M260" s="88"/>
      <c r="N260" s="86"/>
      <c r="O260" s="88"/>
      <c r="P260" s="86"/>
      <c r="Q260" s="88"/>
      <c r="R260" s="86"/>
      <c r="S260" s="88"/>
      <c r="T260" s="86"/>
      <c r="U260" s="88"/>
      <c r="V260" s="86"/>
      <c r="W260" s="88"/>
      <c r="X260" s="86"/>
      <c r="Y260" s="88"/>
      <c r="Z260" s="86"/>
      <c r="AA260" s="88"/>
      <c r="AB260" s="86"/>
      <c r="AC260" s="88"/>
      <c r="AD260" s="86"/>
      <c r="AE260" s="88"/>
      <c r="AF260" s="86"/>
      <c r="AG260" s="88"/>
      <c r="AH260" s="86"/>
      <c r="AI260" s="88"/>
      <c r="AJ260" s="86"/>
      <c r="AK260" s="88"/>
      <c r="AL260" s="86"/>
      <c r="AM260" s="88"/>
      <c r="AN260" s="86"/>
      <c r="AO260" s="88"/>
      <c r="AP260" s="86"/>
      <c r="AQ260" s="88"/>
      <c r="AR260" s="86"/>
      <c r="AS260" s="88"/>
      <c r="AT260" s="86"/>
      <c r="AU260" s="88"/>
      <c r="AV260" s="86"/>
      <c r="AW260" s="88"/>
      <c r="AX260" s="86"/>
      <c r="AY260" s="88"/>
      <c r="AZ260" s="86"/>
      <c r="BA260" s="88"/>
      <c r="BB260" s="86"/>
      <c r="BC260" s="88"/>
      <c r="BD260" s="86"/>
      <c r="BE260" s="88"/>
      <c r="BF260" s="86"/>
      <c r="BG260" s="88"/>
      <c r="BH260" s="86"/>
      <c r="BI260" s="88"/>
      <c r="BJ260" s="86"/>
      <c r="BK260" s="88"/>
      <c r="BL260" s="86"/>
      <c r="BM260" s="88"/>
      <c r="BN260" s="86"/>
      <c r="BO260" s="88"/>
      <c r="BP260" s="86"/>
      <c r="BQ260" s="88"/>
      <c r="BR260" s="86"/>
      <c r="BS260" s="87"/>
    </row>
    <row r="261" ht="22.5" customHeight="1">
      <c r="A261" s="154"/>
      <c r="B261" s="83"/>
      <c r="C261" s="151"/>
      <c r="D261" s="83"/>
      <c r="E261" s="151"/>
      <c r="F261" s="83"/>
      <c r="G261" s="85"/>
      <c r="H261" s="86"/>
      <c r="I261" s="87"/>
      <c r="J261" s="86"/>
      <c r="K261" s="88"/>
      <c r="L261" s="86"/>
      <c r="M261" s="88"/>
      <c r="N261" s="86"/>
      <c r="O261" s="88"/>
      <c r="P261" s="86"/>
      <c r="Q261" s="88"/>
      <c r="R261" s="86"/>
      <c r="S261" s="88"/>
      <c r="T261" s="86"/>
      <c r="U261" s="88"/>
      <c r="V261" s="86"/>
      <c r="W261" s="88"/>
      <c r="X261" s="86"/>
      <c r="Y261" s="88"/>
      <c r="Z261" s="86"/>
      <c r="AA261" s="88"/>
      <c r="AB261" s="86"/>
      <c r="AC261" s="88"/>
      <c r="AD261" s="86"/>
      <c r="AE261" s="88"/>
      <c r="AF261" s="86"/>
      <c r="AG261" s="88"/>
      <c r="AH261" s="86"/>
      <c r="AI261" s="88"/>
      <c r="AJ261" s="86"/>
      <c r="AK261" s="88"/>
      <c r="AL261" s="86"/>
      <c r="AM261" s="88"/>
      <c r="AN261" s="86"/>
      <c r="AO261" s="88"/>
      <c r="AP261" s="86"/>
      <c r="AQ261" s="88"/>
      <c r="AR261" s="86"/>
      <c r="AS261" s="88"/>
      <c r="AT261" s="86"/>
      <c r="AU261" s="88"/>
      <c r="AV261" s="86"/>
      <c r="AW261" s="88"/>
      <c r="AX261" s="86"/>
      <c r="AY261" s="88"/>
      <c r="AZ261" s="86"/>
      <c r="BA261" s="88"/>
      <c r="BB261" s="86"/>
      <c r="BC261" s="88"/>
      <c r="BD261" s="86"/>
      <c r="BE261" s="88"/>
      <c r="BF261" s="86"/>
      <c r="BG261" s="88"/>
      <c r="BH261" s="86"/>
      <c r="BI261" s="88"/>
      <c r="BJ261" s="86"/>
      <c r="BK261" s="88"/>
      <c r="BL261" s="86"/>
      <c r="BM261" s="88"/>
      <c r="BN261" s="86"/>
      <c r="BO261" s="88"/>
      <c r="BP261" s="86"/>
      <c r="BQ261" s="88"/>
      <c r="BR261" s="86"/>
      <c r="BS261" s="87"/>
    </row>
    <row r="262" ht="22.5" customHeight="1">
      <c r="A262" s="154"/>
      <c r="B262" s="83"/>
      <c r="C262" s="151"/>
      <c r="D262" s="83"/>
      <c r="E262" s="151"/>
      <c r="F262" s="83"/>
      <c r="G262" s="85"/>
      <c r="H262" s="86"/>
      <c r="I262" s="87"/>
      <c r="J262" s="86"/>
      <c r="K262" s="88"/>
      <c r="L262" s="86"/>
      <c r="M262" s="88"/>
      <c r="N262" s="86"/>
      <c r="O262" s="88"/>
      <c r="P262" s="86"/>
      <c r="Q262" s="88"/>
      <c r="R262" s="86"/>
      <c r="S262" s="88"/>
      <c r="T262" s="86"/>
      <c r="U262" s="88"/>
      <c r="V262" s="86"/>
      <c r="W262" s="88"/>
      <c r="X262" s="86"/>
      <c r="Y262" s="88"/>
      <c r="Z262" s="86"/>
      <c r="AA262" s="88"/>
      <c r="AB262" s="86"/>
      <c r="AC262" s="88"/>
      <c r="AD262" s="86"/>
      <c r="AE262" s="88"/>
      <c r="AF262" s="86"/>
      <c r="AG262" s="88"/>
      <c r="AH262" s="86"/>
      <c r="AI262" s="88"/>
      <c r="AJ262" s="86"/>
      <c r="AK262" s="88"/>
      <c r="AL262" s="86"/>
      <c r="AM262" s="88"/>
      <c r="AN262" s="86"/>
      <c r="AO262" s="88"/>
      <c r="AP262" s="86"/>
      <c r="AQ262" s="88"/>
      <c r="AR262" s="86"/>
      <c r="AS262" s="88"/>
      <c r="AT262" s="86"/>
      <c r="AU262" s="88"/>
      <c r="AV262" s="86"/>
      <c r="AW262" s="88"/>
      <c r="AX262" s="86"/>
      <c r="AY262" s="88"/>
      <c r="AZ262" s="86"/>
      <c r="BA262" s="88"/>
      <c r="BB262" s="86"/>
      <c r="BC262" s="88"/>
      <c r="BD262" s="86"/>
      <c r="BE262" s="88"/>
      <c r="BF262" s="86"/>
      <c r="BG262" s="88"/>
      <c r="BH262" s="86"/>
      <c r="BI262" s="88"/>
      <c r="BJ262" s="86"/>
      <c r="BK262" s="88"/>
      <c r="BL262" s="86"/>
      <c r="BM262" s="88"/>
      <c r="BN262" s="86"/>
      <c r="BO262" s="88"/>
      <c r="BP262" s="86"/>
      <c r="BQ262" s="88"/>
      <c r="BR262" s="86"/>
      <c r="BS262" s="87"/>
    </row>
    <row r="263" ht="22.5" customHeight="1">
      <c r="A263" s="154"/>
      <c r="B263" s="83"/>
      <c r="C263" s="151"/>
      <c r="D263" s="83"/>
      <c r="E263" s="151"/>
      <c r="F263" s="83"/>
      <c r="G263" s="85"/>
      <c r="H263" s="86"/>
      <c r="I263" s="87"/>
      <c r="J263" s="86"/>
      <c r="K263" s="88"/>
      <c r="L263" s="86"/>
      <c r="M263" s="88"/>
      <c r="N263" s="86"/>
      <c r="O263" s="88"/>
      <c r="P263" s="86"/>
      <c r="Q263" s="88"/>
      <c r="R263" s="86"/>
      <c r="S263" s="88"/>
      <c r="T263" s="86"/>
      <c r="U263" s="88"/>
      <c r="V263" s="86"/>
      <c r="W263" s="88"/>
      <c r="X263" s="86"/>
      <c r="Y263" s="88"/>
      <c r="Z263" s="86"/>
      <c r="AA263" s="88"/>
      <c r="AB263" s="86"/>
      <c r="AC263" s="88"/>
      <c r="AD263" s="86"/>
      <c r="AE263" s="88"/>
      <c r="AF263" s="86"/>
      <c r="AG263" s="88"/>
      <c r="AH263" s="86"/>
      <c r="AI263" s="88"/>
      <c r="AJ263" s="86"/>
      <c r="AK263" s="88"/>
      <c r="AL263" s="86"/>
      <c r="AM263" s="88"/>
      <c r="AN263" s="86"/>
      <c r="AO263" s="88"/>
      <c r="AP263" s="86"/>
      <c r="AQ263" s="88"/>
      <c r="AR263" s="86"/>
      <c r="AS263" s="88"/>
      <c r="AT263" s="86"/>
      <c r="AU263" s="88"/>
      <c r="AV263" s="86"/>
      <c r="AW263" s="88"/>
      <c r="AX263" s="86"/>
      <c r="AY263" s="88"/>
      <c r="AZ263" s="86"/>
      <c r="BA263" s="88"/>
      <c r="BB263" s="86"/>
      <c r="BC263" s="88"/>
      <c r="BD263" s="86"/>
      <c r="BE263" s="88"/>
      <c r="BF263" s="86"/>
      <c r="BG263" s="88"/>
      <c r="BH263" s="86"/>
      <c r="BI263" s="88"/>
      <c r="BJ263" s="86"/>
      <c r="BK263" s="88"/>
      <c r="BL263" s="86"/>
      <c r="BM263" s="88"/>
      <c r="BN263" s="86"/>
      <c r="BO263" s="88"/>
      <c r="BP263" s="86"/>
      <c r="BQ263" s="88"/>
      <c r="BR263" s="86"/>
      <c r="BS263" s="87"/>
    </row>
    <row r="264" ht="22.5" customHeight="1">
      <c r="A264" s="154"/>
      <c r="B264" s="83"/>
      <c r="C264" s="151"/>
      <c r="D264" s="83"/>
      <c r="E264" s="151"/>
      <c r="F264" s="83"/>
      <c r="G264" s="85"/>
      <c r="H264" s="86"/>
      <c r="I264" s="87"/>
      <c r="J264" s="86"/>
      <c r="K264" s="88"/>
      <c r="L264" s="86"/>
      <c r="M264" s="88"/>
      <c r="N264" s="86"/>
      <c r="O264" s="88"/>
      <c r="P264" s="86"/>
      <c r="Q264" s="88"/>
      <c r="R264" s="86"/>
      <c r="S264" s="88"/>
      <c r="T264" s="86"/>
      <c r="U264" s="88"/>
      <c r="V264" s="86"/>
      <c r="W264" s="88"/>
      <c r="X264" s="86"/>
      <c r="Y264" s="88"/>
      <c r="Z264" s="86"/>
      <c r="AA264" s="88"/>
      <c r="AB264" s="86"/>
      <c r="AC264" s="88"/>
      <c r="AD264" s="86"/>
      <c r="AE264" s="88"/>
      <c r="AF264" s="86"/>
      <c r="AG264" s="88"/>
      <c r="AH264" s="86"/>
      <c r="AI264" s="88"/>
      <c r="AJ264" s="86"/>
      <c r="AK264" s="88"/>
      <c r="AL264" s="86"/>
      <c r="AM264" s="88"/>
      <c r="AN264" s="86"/>
      <c r="AO264" s="88"/>
      <c r="AP264" s="86"/>
      <c r="AQ264" s="88"/>
      <c r="AR264" s="86"/>
      <c r="AS264" s="88"/>
      <c r="AT264" s="86"/>
      <c r="AU264" s="88"/>
      <c r="AV264" s="86"/>
      <c r="AW264" s="88"/>
      <c r="AX264" s="86"/>
      <c r="AY264" s="88"/>
      <c r="AZ264" s="86"/>
      <c r="BA264" s="88"/>
      <c r="BB264" s="86"/>
      <c r="BC264" s="88"/>
      <c r="BD264" s="86"/>
      <c r="BE264" s="88"/>
      <c r="BF264" s="86"/>
      <c r="BG264" s="88"/>
      <c r="BH264" s="86"/>
      <c r="BI264" s="88"/>
      <c r="BJ264" s="86"/>
      <c r="BK264" s="88"/>
      <c r="BL264" s="86"/>
      <c r="BM264" s="88"/>
      <c r="BN264" s="86"/>
      <c r="BO264" s="88"/>
      <c r="BP264" s="86"/>
      <c r="BQ264" s="88"/>
      <c r="BR264" s="86"/>
      <c r="BS264" s="87"/>
    </row>
    <row r="265" ht="22.5" customHeight="1">
      <c r="A265" s="154"/>
      <c r="B265" s="83"/>
      <c r="C265" s="151"/>
      <c r="D265" s="83"/>
      <c r="E265" s="151"/>
      <c r="F265" s="83"/>
      <c r="G265" s="85"/>
      <c r="H265" s="86"/>
      <c r="I265" s="87"/>
      <c r="J265" s="86"/>
      <c r="K265" s="88"/>
      <c r="L265" s="86"/>
      <c r="M265" s="88"/>
      <c r="N265" s="86"/>
      <c r="O265" s="88"/>
      <c r="P265" s="86"/>
      <c r="Q265" s="88"/>
      <c r="R265" s="86"/>
      <c r="S265" s="88"/>
      <c r="T265" s="86"/>
      <c r="U265" s="88"/>
      <c r="V265" s="86"/>
      <c r="W265" s="88"/>
      <c r="X265" s="86"/>
      <c r="Y265" s="88"/>
      <c r="Z265" s="86"/>
      <c r="AA265" s="88"/>
      <c r="AB265" s="86"/>
      <c r="AC265" s="88"/>
      <c r="AD265" s="86"/>
      <c r="AE265" s="88"/>
      <c r="AF265" s="86"/>
      <c r="AG265" s="88"/>
      <c r="AH265" s="86"/>
      <c r="AI265" s="88"/>
      <c r="AJ265" s="86"/>
      <c r="AK265" s="88"/>
      <c r="AL265" s="86"/>
      <c r="AM265" s="88"/>
      <c r="AN265" s="86"/>
      <c r="AO265" s="88"/>
      <c r="AP265" s="86"/>
      <c r="AQ265" s="88"/>
      <c r="AR265" s="86"/>
      <c r="AS265" s="88"/>
      <c r="AT265" s="86"/>
      <c r="AU265" s="88"/>
      <c r="AV265" s="86"/>
      <c r="AW265" s="88"/>
      <c r="AX265" s="86"/>
      <c r="AY265" s="88"/>
      <c r="AZ265" s="86"/>
      <c r="BA265" s="88"/>
      <c r="BB265" s="86"/>
      <c r="BC265" s="88"/>
      <c r="BD265" s="86"/>
      <c r="BE265" s="88"/>
      <c r="BF265" s="86"/>
      <c r="BG265" s="88"/>
      <c r="BH265" s="86"/>
      <c r="BI265" s="88"/>
      <c r="BJ265" s="86"/>
      <c r="BK265" s="88"/>
      <c r="BL265" s="86"/>
      <c r="BM265" s="88"/>
      <c r="BN265" s="86"/>
      <c r="BO265" s="88"/>
      <c r="BP265" s="86"/>
      <c r="BQ265" s="88"/>
      <c r="BR265" s="86"/>
      <c r="BS265" s="87"/>
    </row>
    <row r="266" ht="22.5" customHeight="1">
      <c r="A266" s="154"/>
      <c r="B266" s="83"/>
      <c r="C266" s="151"/>
      <c r="D266" s="83"/>
      <c r="E266" s="151"/>
      <c r="F266" s="83"/>
      <c r="G266" s="85"/>
      <c r="H266" s="86"/>
      <c r="I266" s="87"/>
      <c r="J266" s="86"/>
      <c r="K266" s="88"/>
      <c r="L266" s="86"/>
      <c r="M266" s="88"/>
      <c r="N266" s="86"/>
      <c r="O266" s="88"/>
      <c r="P266" s="86"/>
      <c r="Q266" s="88"/>
      <c r="R266" s="86"/>
      <c r="S266" s="88"/>
      <c r="T266" s="86"/>
      <c r="U266" s="88"/>
      <c r="V266" s="86"/>
      <c r="W266" s="88"/>
      <c r="X266" s="86"/>
      <c r="Y266" s="88"/>
      <c r="Z266" s="86"/>
      <c r="AA266" s="88"/>
      <c r="AB266" s="86"/>
      <c r="AC266" s="88"/>
      <c r="AD266" s="86"/>
      <c r="AE266" s="88"/>
      <c r="AF266" s="86"/>
      <c r="AG266" s="88"/>
      <c r="AH266" s="86"/>
      <c r="AI266" s="88"/>
      <c r="AJ266" s="86"/>
      <c r="AK266" s="88"/>
      <c r="AL266" s="86"/>
      <c r="AM266" s="88"/>
      <c r="AN266" s="86"/>
      <c r="AO266" s="88"/>
      <c r="AP266" s="86"/>
      <c r="AQ266" s="88"/>
      <c r="AR266" s="86"/>
      <c r="AS266" s="88"/>
      <c r="AT266" s="86"/>
      <c r="AU266" s="88"/>
      <c r="AV266" s="86"/>
      <c r="AW266" s="88"/>
      <c r="AX266" s="86"/>
      <c r="AY266" s="88"/>
      <c r="AZ266" s="86"/>
      <c r="BA266" s="88"/>
      <c r="BB266" s="86"/>
      <c r="BC266" s="88"/>
      <c r="BD266" s="86"/>
      <c r="BE266" s="88"/>
      <c r="BF266" s="86"/>
      <c r="BG266" s="88"/>
      <c r="BH266" s="86"/>
      <c r="BI266" s="88"/>
      <c r="BJ266" s="86"/>
      <c r="BK266" s="88"/>
      <c r="BL266" s="86"/>
      <c r="BM266" s="88"/>
      <c r="BN266" s="86"/>
      <c r="BO266" s="88"/>
      <c r="BP266" s="86"/>
      <c r="BQ266" s="88"/>
      <c r="BR266" s="86"/>
      <c r="BS266" s="87"/>
    </row>
    <row r="267" ht="22.5" customHeight="1">
      <c r="A267" s="154"/>
      <c r="B267" s="83"/>
      <c r="C267" s="151"/>
      <c r="D267" s="83"/>
      <c r="E267" s="151"/>
      <c r="F267" s="83"/>
      <c r="G267" s="85"/>
      <c r="H267" s="86"/>
      <c r="I267" s="87"/>
      <c r="J267" s="86"/>
      <c r="K267" s="88"/>
      <c r="L267" s="86"/>
      <c r="M267" s="88"/>
      <c r="N267" s="86"/>
      <c r="O267" s="88"/>
      <c r="P267" s="86"/>
      <c r="Q267" s="88"/>
      <c r="R267" s="86"/>
      <c r="S267" s="88"/>
      <c r="T267" s="86"/>
      <c r="U267" s="88"/>
      <c r="V267" s="86"/>
      <c r="W267" s="88"/>
      <c r="X267" s="86"/>
      <c r="Y267" s="88"/>
      <c r="Z267" s="86"/>
      <c r="AA267" s="88"/>
      <c r="AB267" s="86"/>
      <c r="AC267" s="88"/>
      <c r="AD267" s="86"/>
      <c r="AE267" s="88"/>
      <c r="AF267" s="86"/>
      <c r="AG267" s="88"/>
      <c r="AH267" s="86"/>
      <c r="AI267" s="88"/>
      <c r="AJ267" s="86"/>
      <c r="AK267" s="88"/>
      <c r="AL267" s="86"/>
      <c r="AM267" s="88"/>
      <c r="AN267" s="86"/>
      <c r="AO267" s="88"/>
      <c r="AP267" s="86"/>
      <c r="AQ267" s="88"/>
      <c r="AR267" s="86"/>
      <c r="AS267" s="88"/>
      <c r="AT267" s="86"/>
      <c r="AU267" s="88"/>
      <c r="AV267" s="86"/>
      <c r="AW267" s="88"/>
      <c r="AX267" s="86"/>
      <c r="AY267" s="88"/>
      <c r="AZ267" s="86"/>
      <c r="BA267" s="88"/>
      <c r="BB267" s="86"/>
      <c r="BC267" s="88"/>
      <c r="BD267" s="86"/>
      <c r="BE267" s="88"/>
      <c r="BF267" s="86"/>
      <c r="BG267" s="88"/>
      <c r="BH267" s="86"/>
      <c r="BI267" s="88"/>
      <c r="BJ267" s="86"/>
      <c r="BK267" s="88"/>
      <c r="BL267" s="86"/>
      <c r="BM267" s="88"/>
      <c r="BN267" s="86"/>
      <c r="BO267" s="88"/>
      <c r="BP267" s="86"/>
      <c r="BQ267" s="88"/>
      <c r="BR267" s="86"/>
      <c r="BS267" s="87"/>
    </row>
    <row r="268" ht="22.5" customHeight="1">
      <c r="A268" s="154"/>
      <c r="B268" s="83"/>
      <c r="C268" s="151"/>
      <c r="D268" s="83"/>
      <c r="E268" s="151"/>
      <c r="F268" s="83"/>
      <c r="G268" s="85"/>
      <c r="H268" s="86"/>
      <c r="I268" s="87"/>
      <c r="J268" s="86"/>
      <c r="K268" s="88"/>
      <c r="L268" s="86"/>
      <c r="M268" s="88"/>
      <c r="N268" s="86"/>
      <c r="O268" s="88"/>
      <c r="P268" s="86"/>
      <c r="Q268" s="88"/>
      <c r="R268" s="86"/>
      <c r="S268" s="88"/>
      <c r="T268" s="86"/>
      <c r="U268" s="88"/>
      <c r="V268" s="86"/>
      <c r="W268" s="88"/>
      <c r="X268" s="86"/>
      <c r="Y268" s="88"/>
      <c r="Z268" s="86"/>
      <c r="AA268" s="88"/>
      <c r="AB268" s="86"/>
      <c r="AC268" s="88"/>
      <c r="AD268" s="86"/>
      <c r="AE268" s="88"/>
      <c r="AF268" s="86"/>
      <c r="AG268" s="88"/>
      <c r="AH268" s="86"/>
      <c r="AI268" s="88"/>
      <c r="AJ268" s="86"/>
      <c r="AK268" s="88"/>
      <c r="AL268" s="86"/>
      <c r="AM268" s="88"/>
      <c r="AN268" s="86"/>
      <c r="AO268" s="88"/>
      <c r="AP268" s="86"/>
      <c r="AQ268" s="88"/>
      <c r="AR268" s="86"/>
      <c r="AS268" s="88"/>
      <c r="AT268" s="86"/>
      <c r="AU268" s="88"/>
      <c r="AV268" s="86"/>
      <c r="AW268" s="88"/>
      <c r="AX268" s="86"/>
      <c r="AY268" s="88"/>
      <c r="AZ268" s="86"/>
      <c r="BA268" s="88"/>
      <c r="BB268" s="86"/>
      <c r="BC268" s="88"/>
      <c r="BD268" s="86"/>
      <c r="BE268" s="88"/>
      <c r="BF268" s="86"/>
      <c r="BG268" s="88"/>
      <c r="BH268" s="86"/>
      <c r="BI268" s="88"/>
      <c r="BJ268" s="86"/>
      <c r="BK268" s="88"/>
      <c r="BL268" s="86"/>
      <c r="BM268" s="88"/>
      <c r="BN268" s="86"/>
      <c r="BO268" s="88"/>
      <c r="BP268" s="86"/>
      <c r="BQ268" s="88"/>
      <c r="BR268" s="86"/>
      <c r="BS268" s="87"/>
    </row>
    <row r="269" ht="22.5" customHeight="1">
      <c r="A269" s="154"/>
      <c r="B269" s="83"/>
      <c r="C269" s="151"/>
      <c r="D269" s="83"/>
      <c r="E269" s="151"/>
      <c r="F269" s="83"/>
      <c r="G269" s="85"/>
      <c r="H269" s="86"/>
      <c r="I269" s="87"/>
      <c r="J269" s="86"/>
      <c r="K269" s="88"/>
      <c r="L269" s="86"/>
      <c r="M269" s="88"/>
      <c r="N269" s="86"/>
      <c r="O269" s="88"/>
      <c r="P269" s="86"/>
      <c r="Q269" s="88"/>
      <c r="R269" s="86"/>
      <c r="S269" s="88"/>
      <c r="T269" s="86"/>
      <c r="U269" s="88"/>
      <c r="V269" s="86"/>
      <c r="W269" s="88"/>
      <c r="X269" s="86"/>
      <c r="Y269" s="88"/>
      <c r="Z269" s="86"/>
      <c r="AA269" s="88"/>
      <c r="AB269" s="86"/>
      <c r="AC269" s="88"/>
      <c r="AD269" s="86"/>
      <c r="AE269" s="88"/>
      <c r="AF269" s="86"/>
      <c r="AG269" s="88"/>
      <c r="AH269" s="86"/>
      <c r="AI269" s="88"/>
      <c r="AJ269" s="86"/>
      <c r="AK269" s="88"/>
      <c r="AL269" s="86"/>
      <c r="AM269" s="88"/>
      <c r="AN269" s="86"/>
      <c r="AO269" s="88"/>
      <c r="AP269" s="86"/>
      <c r="AQ269" s="88"/>
      <c r="AR269" s="86"/>
      <c r="AS269" s="88"/>
      <c r="AT269" s="86"/>
      <c r="AU269" s="88"/>
      <c r="AV269" s="86"/>
      <c r="AW269" s="88"/>
      <c r="AX269" s="86"/>
      <c r="AY269" s="88"/>
      <c r="AZ269" s="86"/>
      <c r="BA269" s="88"/>
      <c r="BB269" s="86"/>
      <c r="BC269" s="88"/>
      <c r="BD269" s="86"/>
      <c r="BE269" s="88"/>
      <c r="BF269" s="86"/>
      <c r="BG269" s="88"/>
      <c r="BH269" s="86"/>
      <c r="BI269" s="88"/>
      <c r="BJ269" s="86"/>
      <c r="BK269" s="88"/>
      <c r="BL269" s="86"/>
      <c r="BM269" s="88"/>
      <c r="BN269" s="86"/>
      <c r="BO269" s="88"/>
      <c r="BP269" s="86"/>
      <c r="BQ269" s="88"/>
      <c r="BR269" s="86"/>
      <c r="BS269" s="87"/>
    </row>
    <row r="270" ht="22.5" customHeight="1">
      <c r="A270" s="154"/>
      <c r="B270" s="83"/>
      <c r="C270" s="151"/>
      <c r="D270" s="83"/>
      <c r="E270" s="151"/>
      <c r="F270" s="83"/>
      <c r="G270" s="85"/>
      <c r="H270" s="86"/>
      <c r="I270" s="87"/>
      <c r="J270" s="86"/>
      <c r="K270" s="88"/>
      <c r="L270" s="86"/>
      <c r="M270" s="88"/>
      <c r="N270" s="86"/>
      <c r="O270" s="88"/>
      <c r="P270" s="86"/>
      <c r="Q270" s="88"/>
      <c r="R270" s="86"/>
      <c r="S270" s="88"/>
      <c r="T270" s="86"/>
      <c r="U270" s="88"/>
      <c r="V270" s="86"/>
      <c r="W270" s="88"/>
      <c r="X270" s="86"/>
      <c r="Y270" s="88"/>
      <c r="Z270" s="86"/>
      <c r="AA270" s="88"/>
      <c r="AB270" s="86"/>
      <c r="AC270" s="88"/>
      <c r="AD270" s="86"/>
      <c r="AE270" s="88"/>
      <c r="AF270" s="86"/>
      <c r="AG270" s="88"/>
      <c r="AH270" s="86"/>
      <c r="AI270" s="88"/>
      <c r="AJ270" s="86"/>
      <c r="AK270" s="88"/>
      <c r="AL270" s="86"/>
      <c r="AM270" s="88"/>
      <c r="AN270" s="86"/>
      <c r="AO270" s="88"/>
      <c r="AP270" s="86"/>
      <c r="AQ270" s="88"/>
      <c r="AR270" s="86"/>
      <c r="AS270" s="88"/>
      <c r="AT270" s="86"/>
      <c r="AU270" s="88"/>
      <c r="AV270" s="86"/>
      <c r="AW270" s="88"/>
      <c r="AX270" s="86"/>
      <c r="AY270" s="88"/>
      <c r="AZ270" s="86"/>
      <c r="BA270" s="88"/>
      <c r="BB270" s="86"/>
      <c r="BC270" s="88"/>
      <c r="BD270" s="86"/>
      <c r="BE270" s="88"/>
      <c r="BF270" s="86"/>
      <c r="BG270" s="88"/>
      <c r="BH270" s="86"/>
      <c r="BI270" s="88"/>
      <c r="BJ270" s="86"/>
      <c r="BK270" s="88"/>
      <c r="BL270" s="86"/>
      <c r="BM270" s="88"/>
      <c r="BN270" s="86"/>
      <c r="BO270" s="88"/>
      <c r="BP270" s="86"/>
      <c r="BQ270" s="88"/>
      <c r="BR270" s="86"/>
      <c r="BS270" s="87"/>
    </row>
    <row r="271" ht="22.5" customHeight="1">
      <c r="A271" s="154"/>
      <c r="B271" s="83"/>
      <c r="C271" s="151"/>
      <c r="D271" s="83"/>
      <c r="E271" s="151"/>
      <c r="F271" s="83"/>
      <c r="G271" s="85"/>
      <c r="H271" s="86"/>
      <c r="I271" s="87"/>
      <c r="J271" s="86"/>
      <c r="K271" s="88"/>
      <c r="L271" s="86"/>
      <c r="M271" s="88"/>
      <c r="N271" s="86"/>
      <c r="O271" s="88"/>
      <c r="P271" s="86"/>
      <c r="Q271" s="88"/>
      <c r="R271" s="86"/>
      <c r="S271" s="88"/>
      <c r="T271" s="86"/>
      <c r="U271" s="88"/>
      <c r="V271" s="86"/>
      <c r="W271" s="88"/>
      <c r="X271" s="86"/>
      <c r="Y271" s="88"/>
      <c r="Z271" s="86"/>
      <c r="AA271" s="88"/>
      <c r="AB271" s="86"/>
      <c r="AC271" s="88"/>
      <c r="AD271" s="86"/>
      <c r="AE271" s="88"/>
      <c r="AF271" s="86"/>
      <c r="AG271" s="88"/>
      <c r="AH271" s="86"/>
      <c r="AI271" s="88"/>
      <c r="AJ271" s="86"/>
      <c r="AK271" s="88"/>
      <c r="AL271" s="86"/>
      <c r="AM271" s="88"/>
      <c r="AN271" s="86"/>
      <c r="AO271" s="88"/>
      <c r="AP271" s="86"/>
      <c r="AQ271" s="88"/>
      <c r="AR271" s="86"/>
      <c r="AS271" s="88"/>
      <c r="AT271" s="86"/>
      <c r="AU271" s="88"/>
      <c r="AV271" s="86"/>
      <c r="AW271" s="88"/>
      <c r="AX271" s="86"/>
      <c r="AY271" s="88"/>
      <c r="AZ271" s="86"/>
      <c r="BA271" s="88"/>
      <c r="BB271" s="86"/>
      <c r="BC271" s="88"/>
      <c r="BD271" s="86"/>
      <c r="BE271" s="88"/>
      <c r="BF271" s="86"/>
      <c r="BG271" s="88"/>
      <c r="BH271" s="86"/>
      <c r="BI271" s="88"/>
      <c r="BJ271" s="86"/>
      <c r="BK271" s="88"/>
      <c r="BL271" s="86"/>
      <c r="BM271" s="88"/>
      <c r="BN271" s="86"/>
      <c r="BO271" s="88"/>
      <c r="BP271" s="86"/>
      <c r="BQ271" s="88"/>
      <c r="BR271" s="86"/>
      <c r="BS271" s="87"/>
    </row>
    <row r="272" ht="22.5" customHeight="1">
      <c r="A272" s="154"/>
      <c r="B272" s="83"/>
      <c r="C272" s="151"/>
      <c r="D272" s="83"/>
      <c r="E272" s="151"/>
      <c r="F272" s="83"/>
      <c r="G272" s="85"/>
      <c r="H272" s="86"/>
      <c r="I272" s="87"/>
      <c r="J272" s="86"/>
      <c r="K272" s="88"/>
      <c r="L272" s="86"/>
      <c r="M272" s="88"/>
      <c r="N272" s="86"/>
      <c r="O272" s="88"/>
      <c r="P272" s="86"/>
      <c r="Q272" s="88"/>
      <c r="R272" s="86"/>
      <c r="S272" s="88"/>
      <c r="T272" s="86"/>
      <c r="U272" s="88"/>
      <c r="V272" s="86"/>
      <c r="W272" s="88"/>
      <c r="X272" s="86"/>
      <c r="Y272" s="88"/>
      <c r="Z272" s="86"/>
      <c r="AA272" s="88"/>
      <c r="AB272" s="86"/>
      <c r="AC272" s="88"/>
      <c r="AD272" s="86"/>
      <c r="AE272" s="88"/>
      <c r="AF272" s="86"/>
      <c r="AG272" s="88"/>
      <c r="AH272" s="86"/>
      <c r="AI272" s="88"/>
      <c r="AJ272" s="86"/>
      <c r="AK272" s="88"/>
      <c r="AL272" s="86"/>
      <c r="AM272" s="88"/>
      <c r="AN272" s="86"/>
      <c r="AO272" s="88"/>
      <c r="AP272" s="86"/>
      <c r="AQ272" s="88"/>
      <c r="AR272" s="86"/>
      <c r="AS272" s="88"/>
      <c r="AT272" s="86"/>
      <c r="AU272" s="88"/>
      <c r="AV272" s="86"/>
      <c r="AW272" s="88"/>
      <c r="AX272" s="86"/>
      <c r="AY272" s="88"/>
      <c r="AZ272" s="86"/>
      <c r="BA272" s="88"/>
      <c r="BB272" s="86"/>
      <c r="BC272" s="88"/>
      <c r="BD272" s="86"/>
      <c r="BE272" s="88"/>
      <c r="BF272" s="86"/>
      <c r="BG272" s="88"/>
      <c r="BH272" s="86"/>
      <c r="BI272" s="88"/>
      <c r="BJ272" s="86"/>
      <c r="BK272" s="88"/>
      <c r="BL272" s="86"/>
      <c r="BM272" s="88"/>
      <c r="BN272" s="86"/>
      <c r="BO272" s="88"/>
      <c r="BP272" s="86"/>
      <c r="BQ272" s="88"/>
      <c r="BR272" s="86"/>
      <c r="BS272" s="87"/>
    </row>
    <row r="273" ht="22.5" customHeight="1">
      <c r="A273" s="154"/>
      <c r="B273" s="83"/>
      <c r="C273" s="151"/>
      <c r="D273" s="83"/>
      <c r="E273" s="151"/>
      <c r="F273" s="83"/>
      <c r="G273" s="85"/>
      <c r="H273" s="86"/>
      <c r="I273" s="87"/>
      <c r="J273" s="86"/>
      <c r="K273" s="88"/>
      <c r="L273" s="86"/>
      <c r="M273" s="88"/>
      <c r="N273" s="86"/>
      <c r="O273" s="88"/>
      <c r="P273" s="86"/>
      <c r="Q273" s="88"/>
      <c r="R273" s="86"/>
      <c r="S273" s="88"/>
      <c r="T273" s="86"/>
      <c r="U273" s="88"/>
      <c r="V273" s="86"/>
      <c r="W273" s="88"/>
      <c r="X273" s="86"/>
      <c r="Y273" s="88"/>
      <c r="Z273" s="86"/>
      <c r="AA273" s="88"/>
      <c r="AB273" s="86"/>
      <c r="AC273" s="88"/>
      <c r="AD273" s="86"/>
      <c r="AE273" s="88"/>
      <c r="AF273" s="86"/>
      <c r="AG273" s="88"/>
      <c r="AH273" s="86"/>
      <c r="AI273" s="88"/>
      <c r="AJ273" s="86"/>
      <c r="AK273" s="88"/>
      <c r="AL273" s="86"/>
      <c r="AM273" s="88"/>
      <c r="AN273" s="86"/>
      <c r="AO273" s="88"/>
      <c r="AP273" s="86"/>
      <c r="AQ273" s="88"/>
      <c r="AR273" s="86"/>
      <c r="AS273" s="88"/>
      <c r="AT273" s="86"/>
      <c r="AU273" s="88"/>
      <c r="AV273" s="86"/>
      <c r="AW273" s="88"/>
      <c r="AX273" s="86"/>
      <c r="AY273" s="88"/>
      <c r="AZ273" s="86"/>
      <c r="BA273" s="88"/>
      <c r="BB273" s="86"/>
      <c r="BC273" s="88"/>
      <c r="BD273" s="86"/>
      <c r="BE273" s="88"/>
      <c r="BF273" s="86"/>
      <c r="BG273" s="88"/>
      <c r="BH273" s="86"/>
      <c r="BI273" s="88"/>
      <c r="BJ273" s="86"/>
      <c r="BK273" s="88"/>
      <c r="BL273" s="86"/>
      <c r="BM273" s="88"/>
      <c r="BN273" s="86"/>
      <c r="BO273" s="88"/>
      <c r="BP273" s="86"/>
      <c r="BQ273" s="88"/>
      <c r="BR273" s="86"/>
      <c r="BS273" s="87"/>
    </row>
    <row r="274" ht="22.5" customHeight="1">
      <c r="A274" s="154"/>
      <c r="B274" s="83"/>
      <c r="C274" s="151"/>
      <c r="D274" s="83"/>
      <c r="E274" s="151"/>
      <c r="F274" s="83"/>
      <c r="G274" s="85"/>
      <c r="H274" s="86"/>
      <c r="I274" s="87"/>
      <c r="J274" s="86"/>
      <c r="K274" s="88"/>
      <c r="L274" s="86"/>
      <c r="M274" s="88"/>
      <c r="N274" s="86"/>
      <c r="O274" s="88"/>
      <c r="P274" s="86"/>
      <c r="Q274" s="88"/>
      <c r="R274" s="86"/>
      <c r="S274" s="88"/>
      <c r="T274" s="86"/>
      <c r="U274" s="88"/>
      <c r="V274" s="86"/>
      <c r="W274" s="88"/>
      <c r="X274" s="86"/>
      <c r="Y274" s="88"/>
      <c r="Z274" s="86"/>
      <c r="AA274" s="88"/>
      <c r="AB274" s="86"/>
      <c r="AC274" s="88"/>
      <c r="AD274" s="86"/>
      <c r="AE274" s="88"/>
      <c r="AF274" s="86"/>
      <c r="AG274" s="88"/>
      <c r="AH274" s="86"/>
      <c r="AI274" s="88"/>
      <c r="AJ274" s="86"/>
      <c r="AK274" s="88"/>
      <c r="AL274" s="86"/>
      <c r="AM274" s="88"/>
      <c r="AN274" s="86"/>
      <c r="AO274" s="88"/>
      <c r="AP274" s="86"/>
      <c r="AQ274" s="88"/>
      <c r="AR274" s="86"/>
      <c r="AS274" s="88"/>
      <c r="AT274" s="86"/>
      <c r="AU274" s="88"/>
      <c r="AV274" s="86"/>
      <c r="AW274" s="88"/>
      <c r="AX274" s="86"/>
      <c r="AY274" s="88"/>
      <c r="AZ274" s="86"/>
      <c r="BA274" s="88"/>
      <c r="BB274" s="86"/>
      <c r="BC274" s="88"/>
      <c r="BD274" s="86"/>
      <c r="BE274" s="88"/>
      <c r="BF274" s="86"/>
      <c r="BG274" s="88"/>
      <c r="BH274" s="86"/>
      <c r="BI274" s="88"/>
      <c r="BJ274" s="86"/>
      <c r="BK274" s="88"/>
      <c r="BL274" s="86"/>
      <c r="BM274" s="88"/>
      <c r="BN274" s="86"/>
      <c r="BO274" s="88"/>
      <c r="BP274" s="86"/>
      <c r="BQ274" s="88"/>
      <c r="BR274" s="86"/>
      <c r="BS274" s="87"/>
    </row>
    <row r="275" ht="22.5" customHeight="1">
      <c r="A275" s="154"/>
      <c r="B275" s="83"/>
      <c r="C275" s="151"/>
      <c r="D275" s="83"/>
      <c r="E275" s="151"/>
      <c r="F275" s="83"/>
      <c r="G275" s="85"/>
      <c r="H275" s="86"/>
      <c r="I275" s="87"/>
      <c r="J275" s="86"/>
      <c r="K275" s="88"/>
      <c r="L275" s="86"/>
      <c r="M275" s="88"/>
      <c r="N275" s="86"/>
      <c r="O275" s="88"/>
      <c r="P275" s="86"/>
      <c r="Q275" s="88"/>
      <c r="R275" s="86"/>
      <c r="S275" s="88"/>
      <c r="T275" s="86"/>
      <c r="U275" s="88"/>
      <c r="V275" s="86"/>
      <c r="W275" s="88"/>
      <c r="X275" s="86"/>
      <c r="Y275" s="88"/>
      <c r="Z275" s="86"/>
      <c r="AA275" s="88"/>
      <c r="AB275" s="86"/>
      <c r="AC275" s="88"/>
      <c r="AD275" s="86"/>
      <c r="AE275" s="88"/>
      <c r="AF275" s="86"/>
      <c r="AG275" s="88"/>
      <c r="AH275" s="86"/>
      <c r="AI275" s="88"/>
      <c r="AJ275" s="86"/>
      <c r="AK275" s="88"/>
      <c r="AL275" s="86"/>
      <c r="AM275" s="88"/>
      <c r="AN275" s="86"/>
      <c r="AO275" s="88"/>
      <c r="AP275" s="86"/>
      <c r="AQ275" s="88"/>
      <c r="AR275" s="86"/>
      <c r="AS275" s="88"/>
      <c r="AT275" s="86"/>
      <c r="AU275" s="88"/>
      <c r="AV275" s="86"/>
      <c r="AW275" s="88"/>
      <c r="AX275" s="86"/>
      <c r="AY275" s="88"/>
      <c r="AZ275" s="86"/>
      <c r="BA275" s="88"/>
      <c r="BB275" s="86"/>
      <c r="BC275" s="88"/>
      <c r="BD275" s="86"/>
      <c r="BE275" s="88"/>
      <c r="BF275" s="86"/>
      <c r="BG275" s="88"/>
      <c r="BH275" s="86"/>
      <c r="BI275" s="88"/>
      <c r="BJ275" s="86"/>
      <c r="BK275" s="88"/>
      <c r="BL275" s="86"/>
      <c r="BM275" s="88"/>
      <c r="BN275" s="86"/>
      <c r="BO275" s="88"/>
      <c r="BP275" s="86"/>
      <c r="BQ275" s="88"/>
      <c r="BR275" s="86"/>
      <c r="BS275" s="87"/>
    </row>
    <row r="276" ht="22.5" customHeight="1">
      <c r="A276" s="154"/>
      <c r="B276" s="83"/>
      <c r="C276" s="151"/>
      <c r="D276" s="83"/>
      <c r="E276" s="151"/>
      <c r="F276" s="83"/>
      <c r="G276" s="85"/>
      <c r="H276" s="86"/>
      <c r="I276" s="87"/>
      <c r="J276" s="86"/>
      <c r="K276" s="88"/>
      <c r="L276" s="86"/>
      <c r="M276" s="88"/>
      <c r="N276" s="86"/>
      <c r="O276" s="88"/>
      <c r="P276" s="86"/>
      <c r="Q276" s="88"/>
      <c r="R276" s="86"/>
      <c r="S276" s="88"/>
      <c r="T276" s="86"/>
      <c r="U276" s="88"/>
      <c r="V276" s="86"/>
      <c r="W276" s="88"/>
      <c r="X276" s="86"/>
      <c r="Y276" s="88"/>
      <c r="Z276" s="86"/>
      <c r="AA276" s="88"/>
      <c r="AB276" s="86"/>
      <c r="AC276" s="88"/>
      <c r="AD276" s="86"/>
      <c r="AE276" s="88"/>
      <c r="AF276" s="86"/>
      <c r="AG276" s="88"/>
      <c r="AH276" s="86"/>
      <c r="AI276" s="88"/>
      <c r="AJ276" s="86"/>
      <c r="AK276" s="88"/>
      <c r="AL276" s="86"/>
      <c r="AM276" s="88"/>
      <c r="AN276" s="86"/>
      <c r="AO276" s="88"/>
      <c r="AP276" s="86"/>
      <c r="AQ276" s="88"/>
      <c r="AR276" s="86"/>
      <c r="AS276" s="88"/>
      <c r="AT276" s="86"/>
      <c r="AU276" s="88"/>
      <c r="AV276" s="86"/>
      <c r="AW276" s="88"/>
      <c r="AX276" s="86"/>
      <c r="AY276" s="88"/>
      <c r="AZ276" s="86"/>
      <c r="BA276" s="88"/>
      <c r="BB276" s="86"/>
      <c r="BC276" s="88"/>
      <c r="BD276" s="86"/>
      <c r="BE276" s="88"/>
      <c r="BF276" s="86"/>
      <c r="BG276" s="88"/>
      <c r="BH276" s="86"/>
      <c r="BI276" s="88"/>
      <c r="BJ276" s="86"/>
      <c r="BK276" s="88"/>
      <c r="BL276" s="86"/>
      <c r="BM276" s="88"/>
      <c r="BN276" s="86"/>
      <c r="BO276" s="88"/>
      <c r="BP276" s="86"/>
      <c r="BQ276" s="88"/>
      <c r="BR276" s="86"/>
      <c r="BS276" s="87"/>
    </row>
    <row r="277" ht="22.5" customHeight="1">
      <c r="A277" s="154"/>
      <c r="B277" s="83"/>
      <c r="C277" s="151"/>
      <c r="D277" s="83"/>
      <c r="E277" s="151"/>
      <c r="F277" s="83"/>
      <c r="G277" s="85"/>
      <c r="H277" s="86"/>
      <c r="I277" s="87"/>
      <c r="J277" s="86"/>
      <c r="K277" s="88"/>
      <c r="L277" s="86"/>
      <c r="M277" s="88"/>
      <c r="N277" s="86"/>
      <c r="O277" s="88"/>
      <c r="P277" s="86"/>
      <c r="Q277" s="88"/>
      <c r="R277" s="86"/>
      <c r="S277" s="88"/>
      <c r="T277" s="86"/>
      <c r="U277" s="88"/>
      <c r="V277" s="86"/>
      <c r="W277" s="88"/>
      <c r="X277" s="86"/>
      <c r="Y277" s="88"/>
      <c r="Z277" s="86"/>
      <c r="AA277" s="88"/>
      <c r="AB277" s="86"/>
      <c r="AC277" s="88"/>
      <c r="AD277" s="86"/>
      <c r="AE277" s="88"/>
      <c r="AF277" s="86"/>
      <c r="AG277" s="88"/>
      <c r="AH277" s="86"/>
      <c r="AI277" s="88"/>
      <c r="AJ277" s="86"/>
      <c r="AK277" s="88"/>
      <c r="AL277" s="86"/>
      <c r="AM277" s="88"/>
      <c r="AN277" s="86"/>
      <c r="AO277" s="88"/>
      <c r="AP277" s="86"/>
      <c r="AQ277" s="88"/>
      <c r="AR277" s="86"/>
      <c r="AS277" s="88"/>
      <c r="AT277" s="86"/>
      <c r="AU277" s="88"/>
      <c r="AV277" s="86"/>
      <c r="AW277" s="88"/>
      <c r="AX277" s="86"/>
      <c r="AY277" s="88"/>
      <c r="AZ277" s="86"/>
      <c r="BA277" s="88"/>
      <c r="BB277" s="86"/>
      <c r="BC277" s="88"/>
      <c r="BD277" s="86"/>
      <c r="BE277" s="88"/>
      <c r="BF277" s="86"/>
      <c r="BG277" s="88"/>
      <c r="BH277" s="86"/>
      <c r="BI277" s="88"/>
      <c r="BJ277" s="86"/>
      <c r="BK277" s="88"/>
      <c r="BL277" s="86"/>
      <c r="BM277" s="88"/>
      <c r="BN277" s="86"/>
      <c r="BO277" s="88"/>
      <c r="BP277" s="86"/>
      <c r="BQ277" s="88"/>
      <c r="BR277" s="86"/>
      <c r="BS277" s="87"/>
    </row>
    <row r="278" ht="22.5" customHeight="1">
      <c r="A278" s="154"/>
      <c r="B278" s="83"/>
      <c r="C278" s="151"/>
      <c r="D278" s="83"/>
      <c r="E278" s="151"/>
      <c r="F278" s="83"/>
      <c r="G278" s="85"/>
      <c r="H278" s="86"/>
      <c r="I278" s="87"/>
      <c r="J278" s="86"/>
      <c r="K278" s="88"/>
      <c r="L278" s="86"/>
      <c r="M278" s="88"/>
      <c r="N278" s="86"/>
      <c r="O278" s="88"/>
      <c r="P278" s="86"/>
      <c r="Q278" s="88"/>
      <c r="R278" s="86"/>
      <c r="S278" s="88"/>
      <c r="T278" s="86"/>
      <c r="U278" s="88"/>
      <c r="V278" s="86"/>
      <c r="W278" s="88"/>
      <c r="X278" s="86"/>
      <c r="Y278" s="88"/>
      <c r="Z278" s="86"/>
      <c r="AA278" s="88"/>
      <c r="AB278" s="86"/>
      <c r="AC278" s="88"/>
      <c r="AD278" s="86"/>
      <c r="AE278" s="88"/>
      <c r="AF278" s="86"/>
      <c r="AG278" s="88"/>
      <c r="AH278" s="86"/>
      <c r="AI278" s="88"/>
      <c r="AJ278" s="86"/>
      <c r="AK278" s="88"/>
      <c r="AL278" s="86"/>
      <c r="AM278" s="88"/>
      <c r="AN278" s="86"/>
      <c r="AO278" s="88"/>
      <c r="AP278" s="86"/>
      <c r="AQ278" s="88"/>
      <c r="AR278" s="86"/>
      <c r="AS278" s="88"/>
      <c r="AT278" s="86"/>
      <c r="AU278" s="88"/>
      <c r="AV278" s="86"/>
      <c r="AW278" s="88"/>
      <c r="AX278" s="86"/>
      <c r="AY278" s="88"/>
      <c r="AZ278" s="86"/>
      <c r="BA278" s="88"/>
      <c r="BB278" s="86"/>
      <c r="BC278" s="88"/>
      <c r="BD278" s="86"/>
      <c r="BE278" s="88"/>
      <c r="BF278" s="86"/>
      <c r="BG278" s="88"/>
      <c r="BH278" s="86"/>
      <c r="BI278" s="88"/>
      <c r="BJ278" s="86"/>
      <c r="BK278" s="88"/>
      <c r="BL278" s="86"/>
      <c r="BM278" s="88"/>
      <c r="BN278" s="86"/>
      <c r="BO278" s="88"/>
      <c r="BP278" s="86"/>
      <c r="BQ278" s="88"/>
      <c r="BR278" s="86"/>
      <c r="BS278" s="87"/>
    </row>
    <row r="279" ht="22.5" customHeight="1">
      <c r="A279" s="154"/>
      <c r="B279" s="83"/>
      <c r="C279" s="151"/>
      <c r="D279" s="83"/>
      <c r="E279" s="151"/>
      <c r="F279" s="83"/>
      <c r="G279" s="85"/>
      <c r="H279" s="86"/>
      <c r="I279" s="87"/>
      <c r="J279" s="86"/>
      <c r="K279" s="88"/>
      <c r="L279" s="86"/>
      <c r="M279" s="88"/>
      <c r="N279" s="86"/>
      <c r="O279" s="88"/>
      <c r="P279" s="86"/>
      <c r="Q279" s="88"/>
      <c r="R279" s="86"/>
      <c r="S279" s="88"/>
      <c r="T279" s="86"/>
      <c r="U279" s="88"/>
      <c r="V279" s="86"/>
      <c r="W279" s="88"/>
      <c r="X279" s="86"/>
      <c r="Y279" s="88"/>
      <c r="Z279" s="86"/>
      <c r="AA279" s="88"/>
      <c r="AB279" s="86"/>
      <c r="AC279" s="88"/>
      <c r="AD279" s="86"/>
      <c r="AE279" s="88"/>
      <c r="AF279" s="86"/>
      <c r="AG279" s="88"/>
      <c r="AH279" s="86"/>
      <c r="AI279" s="88"/>
      <c r="AJ279" s="86"/>
      <c r="AK279" s="88"/>
      <c r="AL279" s="86"/>
      <c r="AM279" s="88"/>
      <c r="AN279" s="86"/>
      <c r="AO279" s="88"/>
      <c r="AP279" s="86"/>
      <c r="AQ279" s="88"/>
      <c r="AR279" s="86"/>
      <c r="AS279" s="88"/>
      <c r="AT279" s="86"/>
      <c r="AU279" s="88"/>
      <c r="AV279" s="86"/>
      <c r="AW279" s="88"/>
      <c r="AX279" s="86"/>
      <c r="AY279" s="88"/>
      <c r="AZ279" s="86"/>
      <c r="BA279" s="88"/>
      <c r="BB279" s="86"/>
      <c r="BC279" s="88"/>
      <c r="BD279" s="86"/>
      <c r="BE279" s="88"/>
      <c r="BF279" s="86"/>
      <c r="BG279" s="88"/>
      <c r="BH279" s="86"/>
      <c r="BI279" s="88"/>
      <c r="BJ279" s="86"/>
      <c r="BK279" s="88"/>
      <c r="BL279" s="86"/>
      <c r="BM279" s="88"/>
      <c r="BN279" s="86"/>
      <c r="BO279" s="88"/>
      <c r="BP279" s="86"/>
      <c r="BQ279" s="88"/>
      <c r="BR279" s="86"/>
      <c r="BS279" s="87"/>
    </row>
    <row r="280" ht="22.5" customHeight="1">
      <c r="A280" s="154"/>
      <c r="B280" s="83"/>
      <c r="C280" s="151"/>
      <c r="D280" s="83"/>
      <c r="E280" s="151"/>
      <c r="F280" s="83"/>
      <c r="G280" s="85"/>
      <c r="H280" s="86"/>
      <c r="I280" s="87"/>
      <c r="J280" s="86"/>
      <c r="K280" s="88"/>
      <c r="L280" s="86"/>
      <c r="M280" s="88"/>
      <c r="N280" s="86"/>
      <c r="O280" s="88"/>
      <c r="P280" s="86"/>
      <c r="Q280" s="88"/>
      <c r="R280" s="86"/>
      <c r="S280" s="88"/>
      <c r="T280" s="86"/>
      <c r="U280" s="88"/>
      <c r="V280" s="86"/>
      <c r="W280" s="88"/>
      <c r="X280" s="86"/>
      <c r="Y280" s="88"/>
      <c r="Z280" s="86"/>
      <c r="AA280" s="88"/>
      <c r="AB280" s="86"/>
      <c r="AC280" s="88"/>
      <c r="AD280" s="86"/>
      <c r="AE280" s="88"/>
      <c r="AF280" s="86"/>
      <c r="AG280" s="88"/>
      <c r="AH280" s="86"/>
      <c r="AI280" s="88"/>
      <c r="AJ280" s="86"/>
      <c r="AK280" s="88"/>
      <c r="AL280" s="86"/>
      <c r="AM280" s="88"/>
      <c r="AN280" s="86"/>
      <c r="AO280" s="88"/>
      <c r="AP280" s="86"/>
      <c r="AQ280" s="88"/>
      <c r="AR280" s="86"/>
      <c r="AS280" s="88"/>
      <c r="AT280" s="86"/>
      <c r="AU280" s="88"/>
      <c r="AV280" s="86"/>
      <c r="AW280" s="88"/>
      <c r="AX280" s="86"/>
      <c r="AY280" s="88"/>
      <c r="AZ280" s="86"/>
      <c r="BA280" s="88"/>
      <c r="BB280" s="86"/>
      <c r="BC280" s="88"/>
      <c r="BD280" s="86"/>
      <c r="BE280" s="88"/>
      <c r="BF280" s="86"/>
      <c r="BG280" s="88"/>
      <c r="BH280" s="86"/>
      <c r="BI280" s="88"/>
      <c r="BJ280" s="86"/>
      <c r="BK280" s="88"/>
      <c r="BL280" s="86"/>
      <c r="BM280" s="88"/>
      <c r="BN280" s="86"/>
      <c r="BO280" s="88"/>
      <c r="BP280" s="86"/>
      <c r="BQ280" s="88"/>
      <c r="BR280" s="86"/>
      <c r="BS280" s="87"/>
    </row>
    <row r="281" ht="22.5" customHeight="1">
      <c r="A281" s="154"/>
      <c r="B281" s="83"/>
      <c r="C281" s="151"/>
      <c r="D281" s="83"/>
      <c r="E281" s="151"/>
      <c r="F281" s="83"/>
      <c r="G281" s="85"/>
      <c r="H281" s="86"/>
      <c r="I281" s="87"/>
      <c r="J281" s="86"/>
      <c r="K281" s="88"/>
      <c r="L281" s="86"/>
      <c r="M281" s="88"/>
      <c r="N281" s="86"/>
      <c r="O281" s="88"/>
      <c r="P281" s="86"/>
      <c r="Q281" s="88"/>
      <c r="R281" s="86"/>
      <c r="S281" s="88"/>
      <c r="T281" s="86"/>
      <c r="U281" s="88"/>
      <c r="V281" s="86"/>
      <c r="W281" s="88"/>
      <c r="X281" s="86"/>
      <c r="Y281" s="88"/>
      <c r="Z281" s="86"/>
      <c r="AA281" s="88"/>
      <c r="AB281" s="86"/>
      <c r="AC281" s="88"/>
      <c r="AD281" s="86"/>
      <c r="AE281" s="88"/>
      <c r="AF281" s="86"/>
      <c r="AG281" s="88"/>
      <c r="AH281" s="86"/>
      <c r="AI281" s="88"/>
      <c r="AJ281" s="86"/>
      <c r="AK281" s="88"/>
      <c r="AL281" s="86"/>
      <c r="AM281" s="88"/>
      <c r="AN281" s="86"/>
      <c r="AO281" s="88"/>
      <c r="AP281" s="86"/>
      <c r="AQ281" s="88"/>
      <c r="AR281" s="86"/>
      <c r="AS281" s="88"/>
      <c r="AT281" s="86"/>
      <c r="AU281" s="88"/>
      <c r="AV281" s="86"/>
      <c r="AW281" s="88"/>
      <c r="AX281" s="86"/>
      <c r="AY281" s="88"/>
      <c r="AZ281" s="86"/>
      <c r="BA281" s="88"/>
      <c r="BB281" s="86"/>
      <c r="BC281" s="88"/>
      <c r="BD281" s="86"/>
      <c r="BE281" s="88"/>
      <c r="BF281" s="86"/>
      <c r="BG281" s="88"/>
      <c r="BH281" s="86"/>
      <c r="BI281" s="88"/>
      <c r="BJ281" s="86"/>
      <c r="BK281" s="88"/>
      <c r="BL281" s="86"/>
      <c r="BM281" s="88"/>
      <c r="BN281" s="86"/>
      <c r="BO281" s="88"/>
      <c r="BP281" s="86"/>
      <c r="BQ281" s="88"/>
      <c r="BR281" s="86"/>
      <c r="BS281" s="87"/>
    </row>
    <row r="282" ht="22.5" customHeight="1">
      <c r="A282" s="154"/>
      <c r="B282" s="83"/>
      <c r="C282" s="151"/>
      <c r="D282" s="83"/>
      <c r="E282" s="151"/>
      <c r="F282" s="83"/>
      <c r="G282" s="85"/>
      <c r="H282" s="86"/>
      <c r="I282" s="87"/>
      <c r="J282" s="86"/>
      <c r="K282" s="88"/>
      <c r="L282" s="86"/>
      <c r="M282" s="88"/>
      <c r="N282" s="86"/>
      <c r="O282" s="88"/>
      <c r="P282" s="86"/>
      <c r="Q282" s="88"/>
      <c r="R282" s="86"/>
      <c r="S282" s="88"/>
      <c r="T282" s="86"/>
      <c r="U282" s="88"/>
      <c r="V282" s="86"/>
      <c r="W282" s="88"/>
      <c r="X282" s="86"/>
      <c r="Y282" s="88"/>
      <c r="Z282" s="86"/>
      <c r="AA282" s="88"/>
      <c r="AB282" s="86"/>
      <c r="AC282" s="88"/>
      <c r="AD282" s="86"/>
      <c r="AE282" s="88"/>
      <c r="AF282" s="86"/>
      <c r="AG282" s="88"/>
      <c r="AH282" s="86"/>
      <c r="AI282" s="88"/>
      <c r="AJ282" s="86"/>
      <c r="AK282" s="88"/>
      <c r="AL282" s="86"/>
      <c r="AM282" s="88"/>
      <c r="AN282" s="86"/>
      <c r="AO282" s="88"/>
      <c r="AP282" s="86"/>
      <c r="AQ282" s="88"/>
      <c r="AR282" s="86"/>
      <c r="AS282" s="88"/>
      <c r="AT282" s="86"/>
      <c r="AU282" s="88"/>
      <c r="AV282" s="86"/>
      <c r="AW282" s="88"/>
      <c r="AX282" s="86"/>
      <c r="AY282" s="88"/>
      <c r="AZ282" s="86"/>
      <c r="BA282" s="88"/>
      <c r="BB282" s="86"/>
      <c r="BC282" s="88"/>
      <c r="BD282" s="86"/>
      <c r="BE282" s="88"/>
      <c r="BF282" s="86"/>
      <c r="BG282" s="88"/>
      <c r="BH282" s="86"/>
      <c r="BI282" s="88"/>
      <c r="BJ282" s="86"/>
      <c r="BK282" s="88"/>
      <c r="BL282" s="86"/>
      <c r="BM282" s="88"/>
      <c r="BN282" s="86"/>
      <c r="BO282" s="88"/>
      <c r="BP282" s="86"/>
      <c r="BQ282" s="88"/>
      <c r="BR282" s="86"/>
      <c r="BS282" s="87"/>
    </row>
    <row r="283" ht="22.5" customHeight="1">
      <c r="A283" s="154"/>
      <c r="B283" s="83"/>
      <c r="C283" s="151"/>
      <c r="D283" s="83"/>
      <c r="E283" s="151"/>
      <c r="F283" s="83"/>
      <c r="G283" s="85"/>
      <c r="H283" s="86"/>
      <c r="I283" s="87"/>
      <c r="J283" s="86"/>
      <c r="K283" s="88"/>
      <c r="L283" s="86"/>
      <c r="M283" s="88"/>
      <c r="N283" s="86"/>
      <c r="O283" s="88"/>
      <c r="P283" s="86"/>
      <c r="Q283" s="88"/>
      <c r="R283" s="86"/>
      <c r="S283" s="88"/>
      <c r="T283" s="86"/>
      <c r="U283" s="88"/>
      <c r="V283" s="86"/>
      <c r="W283" s="88"/>
      <c r="X283" s="86"/>
      <c r="Y283" s="88"/>
      <c r="Z283" s="86"/>
      <c r="AA283" s="88"/>
      <c r="AB283" s="86"/>
      <c r="AC283" s="88"/>
      <c r="AD283" s="86"/>
      <c r="AE283" s="88"/>
      <c r="AF283" s="86"/>
      <c r="AG283" s="88"/>
      <c r="AH283" s="86"/>
      <c r="AI283" s="88"/>
      <c r="AJ283" s="86"/>
      <c r="AK283" s="88"/>
      <c r="AL283" s="86"/>
      <c r="AM283" s="88"/>
      <c r="AN283" s="86"/>
      <c r="AO283" s="88"/>
      <c r="AP283" s="86"/>
      <c r="AQ283" s="88"/>
      <c r="AR283" s="86"/>
      <c r="AS283" s="88"/>
      <c r="AT283" s="86"/>
      <c r="AU283" s="88"/>
      <c r="AV283" s="86"/>
      <c r="AW283" s="88"/>
      <c r="AX283" s="86"/>
      <c r="AY283" s="88"/>
      <c r="AZ283" s="86"/>
      <c r="BA283" s="88"/>
      <c r="BB283" s="86"/>
      <c r="BC283" s="88"/>
      <c r="BD283" s="86"/>
      <c r="BE283" s="88"/>
      <c r="BF283" s="86"/>
      <c r="BG283" s="88"/>
      <c r="BH283" s="86"/>
      <c r="BI283" s="88"/>
      <c r="BJ283" s="86"/>
      <c r="BK283" s="88"/>
      <c r="BL283" s="86"/>
      <c r="BM283" s="88"/>
      <c r="BN283" s="86"/>
      <c r="BO283" s="88"/>
      <c r="BP283" s="86"/>
      <c r="BQ283" s="88"/>
      <c r="BR283" s="86"/>
      <c r="BS283" s="87"/>
    </row>
    <row r="284" ht="22.5" customHeight="1">
      <c r="A284" s="154"/>
      <c r="B284" s="83"/>
      <c r="C284" s="151"/>
      <c r="D284" s="83"/>
      <c r="E284" s="151"/>
      <c r="F284" s="83"/>
      <c r="G284" s="85"/>
      <c r="H284" s="86"/>
      <c r="I284" s="87"/>
      <c r="J284" s="86"/>
      <c r="K284" s="88"/>
      <c r="L284" s="86"/>
      <c r="M284" s="88"/>
      <c r="N284" s="86"/>
      <c r="O284" s="88"/>
      <c r="P284" s="86"/>
      <c r="Q284" s="88"/>
      <c r="R284" s="86"/>
      <c r="S284" s="88"/>
      <c r="T284" s="86"/>
      <c r="U284" s="88"/>
      <c r="V284" s="86"/>
      <c r="W284" s="88"/>
      <c r="X284" s="86"/>
      <c r="Y284" s="88"/>
      <c r="Z284" s="86"/>
      <c r="AA284" s="88"/>
      <c r="AB284" s="86"/>
      <c r="AC284" s="88"/>
      <c r="AD284" s="86"/>
      <c r="AE284" s="88"/>
      <c r="AF284" s="86"/>
      <c r="AG284" s="88"/>
      <c r="AH284" s="86"/>
      <c r="AI284" s="88"/>
      <c r="AJ284" s="86"/>
      <c r="AK284" s="88"/>
      <c r="AL284" s="86"/>
      <c r="AM284" s="88"/>
      <c r="AN284" s="86"/>
      <c r="AO284" s="88"/>
      <c r="AP284" s="86"/>
      <c r="AQ284" s="88"/>
      <c r="AR284" s="86"/>
      <c r="AS284" s="88"/>
      <c r="AT284" s="86"/>
      <c r="AU284" s="88"/>
      <c r="AV284" s="86"/>
      <c r="AW284" s="88"/>
      <c r="AX284" s="86"/>
      <c r="AY284" s="88"/>
      <c r="AZ284" s="86"/>
      <c r="BA284" s="88"/>
      <c r="BB284" s="86"/>
      <c r="BC284" s="88"/>
      <c r="BD284" s="86"/>
      <c r="BE284" s="88"/>
      <c r="BF284" s="86"/>
      <c r="BG284" s="88"/>
      <c r="BH284" s="86"/>
      <c r="BI284" s="88"/>
      <c r="BJ284" s="86"/>
      <c r="BK284" s="88"/>
      <c r="BL284" s="86"/>
      <c r="BM284" s="88"/>
      <c r="BN284" s="86"/>
      <c r="BO284" s="88"/>
      <c r="BP284" s="86"/>
      <c r="BQ284" s="88"/>
      <c r="BR284" s="86"/>
      <c r="BS284" s="87"/>
    </row>
    <row r="285" ht="22.5" customHeight="1">
      <c r="A285" s="154"/>
      <c r="B285" s="83"/>
      <c r="C285" s="151"/>
      <c r="D285" s="83"/>
      <c r="E285" s="151"/>
      <c r="F285" s="83"/>
      <c r="G285" s="85"/>
      <c r="H285" s="86"/>
      <c r="I285" s="87"/>
      <c r="J285" s="86"/>
      <c r="K285" s="88"/>
      <c r="L285" s="86"/>
      <c r="M285" s="88"/>
      <c r="N285" s="86"/>
      <c r="O285" s="88"/>
      <c r="P285" s="86"/>
      <c r="Q285" s="88"/>
      <c r="R285" s="86"/>
      <c r="S285" s="88"/>
      <c r="T285" s="86"/>
      <c r="U285" s="88"/>
      <c r="V285" s="86"/>
      <c r="W285" s="88"/>
      <c r="X285" s="86"/>
      <c r="Y285" s="88"/>
      <c r="Z285" s="86"/>
      <c r="AA285" s="88"/>
      <c r="AB285" s="86"/>
      <c r="AC285" s="88"/>
      <c r="AD285" s="86"/>
      <c r="AE285" s="88"/>
      <c r="AF285" s="86"/>
      <c r="AG285" s="88"/>
      <c r="AH285" s="86"/>
      <c r="AI285" s="88"/>
      <c r="AJ285" s="86"/>
      <c r="AK285" s="88"/>
      <c r="AL285" s="86"/>
      <c r="AM285" s="88"/>
      <c r="AN285" s="86"/>
      <c r="AO285" s="88"/>
      <c r="AP285" s="86"/>
      <c r="AQ285" s="88"/>
      <c r="AR285" s="86"/>
      <c r="AS285" s="88"/>
      <c r="AT285" s="86"/>
      <c r="AU285" s="88"/>
      <c r="AV285" s="86"/>
      <c r="AW285" s="88"/>
      <c r="AX285" s="86"/>
      <c r="AY285" s="88"/>
      <c r="AZ285" s="86"/>
      <c r="BA285" s="88"/>
      <c r="BB285" s="86"/>
      <c r="BC285" s="88"/>
      <c r="BD285" s="86"/>
      <c r="BE285" s="88"/>
      <c r="BF285" s="86"/>
      <c r="BG285" s="88"/>
      <c r="BH285" s="86"/>
      <c r="BI285" s="88"/>
      <c r="BJ285" s="86"/>
      <c r="BK285" s="88"/>
      <c r="BL285" s="86"/>
      <c r="BM285" s="88"/>
      <c r="BN285" s="86"/>
      <c r="BO285" s="88"/>
      <c r="BP285" s="86"/>
      <c r="BQ285" s="88"/>
      <c r="BR285" s="86"/>
      <c r="BS285" s="87"/>
    </row>
    <row r="286" ht="22.5" customHeight="1">
      <c r="A286" s="154"/>
      <c r="B286" s="83"/>
      <c r="C286" s="151"/>
      <c r="D286" s="83"/>
      <c r="E286" s="151"/>
      <c r="F286" s="83"/>
      <c r="G286" s="85"/>
      <c r="H286" s="86"/>
      <c r="I286" s="87"/>
      <c r="J286" s="86"/>
      <c r="K286" s="88"/>
      <c r="L286" s="86"/>
      <c r="M286" s="88"/>
      <c r="N286" s="86"/>
      <c r="O286" s="88"/>
      <c r="P286" s="86"/>
      <c r="Q286" s="88"/>
      <c r="R286" s="86"/>
      <c r="S286" s="88"/>
      <c r="T286" s="86"/>
      <c r="U286" s="88"/>
      <c r="V286" s="86"/>
      <c r="W286" s="88"/>
      <c r="X286" s="86"/>
      <c r="Y286" s="88"/>
      <c r="Z286" s="86"/>
      <c r="AA286" s="88"/>
      <c r="AB286" s="86"/>
      <c r="AC286" s="88"/>
      <c r="AD286" s="86"/>
      <c r="AE286" s="88"/>
      <c r="AF286" s="86"/>
      <c r="AG286" s="88"/>
      <c r="AH286" s="86"/>
      <c r="AI286" s="88"/>
      <c r="AJ286" s="86"/>
      <c r="AK286" s="88"/>
      <c r="AL286" s="86"/>
      <c r="AM286" s="88"/>
      <c r="AN286" s="86"/>
      <c r="AO286" s="88"/>
      <c r="AP286" s="86"/>
      <c r="AQ286" s="88"/>
      <c r="AR286" s="86"/>
      <c r="AS286" s="88"/>
      <c r="AT286" s="86"/>
      <c r="AU286" s="88"/>
      <c r="AV286" s="86"/>
      <c r="AW286" s="88"/>
      <c r="AX286" s="86"/>
      <c r="AY286" s="88"/>
      <c r="AZ286" s="86"/>
      <c r="BA286" s="88"/>
      <c r="BB286" s="86"/>
      <c r="BC286" s="88"/>
      <c r="BD286" s="86"/>
      <c r="BE286" s="88"/>
      <c r="BF286" s="86"/>
      <c r="BG286" s="88"/>
      <c r="BH286" s="86"/>
      <c r="BI286" s="88"/>
      <c r="BJ286" s="86"/>
      <c r="BK286" s="88"/>
      <c r="BL286" s="86"/>
      <c r="BM286" s="88"/>
      <c r="BN286" s="86"/>
      <c r="BO286" s="88"/>
      <c r="BP286" s="86"/>
      <c r="BQ286" s="88"/>
      <c r="BR286" s="86"/>
      <c r="BS286" s="87"/>
    </row>
    <row r="287" ht="22.5" customHeight="1">
      <c r="A287" s="154"/>
      <c r="B287" s="83"/>
      <c r="C287" s="151"/>
      <c r="D287" s="83"/>
      <c r="E287" s="151"/>
      <c r="F287" s="83"/>
      <c r="G287" s="85"/>
      <c r="H287" s="86"/>
      <c r="I287" s="87"/>
      <c r="J287" s="86"/>
      <c r="K287" s="88"/>
      <c r="L287" s="86"/>
      <c r="M287" s="88"/>
      <c r="N287" s="86"/>
      <c r="O287" s="88"/>
      <c r="P287" s="86"/>
      <c r="Q287" s="88"/>
      <c r="R287" s="86"/>
      <c r="S287" s="88"/>
      <c r="T287" s="86"/>
      <c r="U287" s="88"/>
      <c r="V287" s="86"/>
      <c r="W287" s="88"/>
      <c r="X287" s="86"/>
      <c r="Y287" s="88"/>
      <c r="Z287" s="86"/>
      <c r="AA287" s="88"/>
      <c r="AB287" s="86"/>
      <c r="AC287" s="88"/>
      <c r="AD287" s="86"/>
      <c r="AE287" s="88"/>
      <c r="AF287" s="86"/>
      <c r="AG287" s="88"/>
      <c r="AH287" s="86"/>
      <c r="AI287" s="88"/>
      <c r="AJ287" s="86"/>
      <c r="AK287" s="88"/>
      <c r="AL287" s="86"/>
      <c r="AM287" s="88"/>
      <c r="AN287" s="86"/>
      <c r="AO287" s="88"/>
      <c r="AP287" s="86"/>
      <c r="AQ287" s="88"/>
      <c r="AR287" s="86"/>
      <c r="AS287" s="88"/>
      <c r="AT287" s="86"/>
      <c r="AU287" s="88"/>
      <c r="AV287" s="86"/>
      <c r="AW287" s="88"/>
      <c r="AX287" s="86"/>
      <c r="AY287" s="88"/>
      <c r="AZ287" s="86"/>
      <c r="BA287" s="88"/>
      <c r="BB287" s="86"/>
      <c r="BC287" s="88"/>
      <c r="BD287" s="86"/>
      <c r="BE287" s="88"/>
      <c r="BF287" s="86"/>
      <c r="BG287" s="88"/>
      <c r="BH287" s="86"/>
      <c r="BI287" s="88"/>
      <c r="BJ287" s="86"/>
      <c r="BK287" s="88"/>
      <c r="BL287" s="86"/>
      <c r="BM287" s="88"/>
      <c r="BN287" s="86"/>
      <c r="BO287" s="88"/>
      <c r="BP287" s="86"/>
      <c r="BQ287" s="88"/>
      <c r="BR287" s="86"/>
      <c r="BS287" s="87"/>
    </row>
    <row r="288" ht="22.5" customHeight="1">
      <c r="A288" s="154"/>
      <c r="B288" s="83"/>
      <c r="C288" s="151"/>
      <c r="D288" s="83"/>
      <c r="E288" s="151"/>
      <c r="F288" s="83"/>
      <c r="G288" s="85"/>
      <c r="H288" s="86"/>
      <c r="I288" s="87"/>
      <c r="J288" s="86"/>
      <c r="K288" s="88"/>
      <c r="L288" s="86"/>
      <c r="M288" s="88"/>
      <c r="N288" s="86"/>
      <c r="O288" s="88"/>
      <c r="P288" s="86"/>
      <c r="Q288" s="88"/>
      <c r="R288" s="86"/>
      <c r="S288" s="88"/>
      <c r="T288" s="86"/>
      <c r="U288" s="88"/>
      <c r="V288" s="86"/>
      <c r="W288" s="88"/>
      <c r="X288" s="86"/>
      <c r="Y288" s="88"/>
      <c r="Z288" s="86"/>
      <c r="AA288" s="88"/>
      <c r="AB288" s="86"/>
      <c r="AC288" s="88"/>
      <c r="AD288" s="86"/>
      <c r="AE288" s="88"/>
      <c r="AF288" s="86"/>
      <c r="AG288" s="88"/>
      <c r="AH288" s="86"/>
      <c r="AI288" s="88"/>
      <c r="AJ288" s="86"/>
      <c r="AK288" s="88"/>
      <c r="AL288" s="86"/>
      <c r="AM288" s="88"/>
      <c r="AN288" s="86"/>
      <c r="AO288" s="88"/>
      <c r="AP288" s="86"/>
      <c r="AQ288" s="88"/>
      <c r="AR288" s="86"/>
      <c r="AS288" s="88"/>
      <c r="AT288" s="86"/>
      <c r="AU288" s="88"/>
      <c r="AV288" s="86"/>
      <c r="AW288" s="88"/>
      <c r="AX288" s="86"/>
      <c r="AY288" s="88"/>
      <c r="AZ288" s="86"/>
      <c r="BA288" s="88"/>
      <c r="BB288" s="86"/>
      <c r="BC288" s="88"/>
      <c r="BD288" s="86"/>
      <c r="BE288" s="88"/>
      <c r="BF288" s="86"/>
      <c r="BG288" s="88"/>
      <c r="BH288" s="86"/>
      <c r="BI288" s="88"/>
      <c r="BJ288" s="86"/>
      <c r="BK288" s="88"/>
      <c r="BL288" s="86"/>
      <c r="BM288" s="88"/>
      <c r="BN288" s="86"/>
      <c r="BO288" s="88"/>
      <c r="BP288" s="86"/>
      <c r="BQ288" s="88"/>
      <c r="BR288" s="86"/>
      <c r="BS288" s="87"/>
    </row>
    <row r="289" ht="22.5" customHeight="1">
      <c r="A289" s="154"/>
      <c r="B289" s="83"/>
      <c r="C289" s="151"/>
      <c r="D289" s="83"/>
      <c r="E289" s="151"/>
      <c r="F289" s="83"/>
      <c r="G289" s="85"/>
      <c r="H289" s="86"/>
      <c r="I289" s="87"/>
      <c r="J289" s="86"/>
      <c r="K289" s="88"/>
      <c r="L289" s="86"/>
      <c r="M289" s="88"/>
      <c r="N289" s="86"/>
      <c r="O289" s="88"/>
      <c r="P289" s="86"/>
      <c r="Q289" s="88"/>
      <c r="R289" s="86"/>
      <c r="S289" s="88"/>
      <c r="T289" s="86"/>
      <c r="U289" s="88"/>
      <c r="V289" s="86"/>
      <c r="W289" s="88"/>
      <c r="X289" s="86"/>
      <c r="Y289" s="88"/>
      <c r="Z289" s="86"/>
      <c r="AA289" s="88"/>
      <c r="AB289" s="86"/>
      <c r="AC289" s="88"/>
      <c r="AD289" s="86"/>
      <c r="AE289" s="88"/>
      <c r="AF289" s="86"/>
      <c r="AG289" s="88"/>
      <c r="AH289" s="86"/>
      <c r="AI289" s="88"/>
      <c r="AJ289" s="86"/>
      <c r="AK289" s="88"/>
      <c r="AL289" s="86"/>
      <c r="AM289" s="88"/>
      <c r="AN289" s="86"/>
      <c r="AO289" s="88"/>
      <c r="AP289" s="86"/>
      <c r="AQ289" s="88"/>
      <c r="AR289" s="86"/>
      <c r="AS289" s="88"/>
      <c r="AT289" s="86"/>
      <c r="AU289" s="88"/>
      <c r="AV289" s="86"/>
      <c r="AW289" s="88"/>
      <c r="AX289" s="86"/>
      <c r="AY289" s="88"/>
      <c r="AZ289" s="86"/>
      <c r="BA289" s="88"/>
      <c r="BB289" s="86"/>
      <c r="BC289" s="88"/>
      <c r="BD289" s="86"/>
      <c r="BE289" s="88"/>
      <c r="BF289" s="86"/>
      <c r="BG289" s="88"/>
      <c r="BH289" s="86"/>
      <c r="BI289" s="88"/>
      <c r="BJ289" s="86"/>
      <c r="BK289" s="88"/>
      <c r="BL289" s="86"/>
      <c r="BM289" s="88"/>
      <c r="BN289" s="86"/>
      <c r="BO289" s="88"/>
      <c r="BP289" s="86"/>
      <c r="BQ289" s="88"/>
      <c r="BR289" s="86"/>
      <c r="BS289" s="87"/>
    </row>
    <row r="290" ht="22.5" customHeight="1">
      <c r="A290" s="154"/>
      <c r="B290" s="83"/>
      <c r="C290" s="151"/>
      <c r="D290" s="83"/>
      <c r="E290" s="151"/>
      <c r="F290" s="83"/>
      <c r="G290" s="85"/>
      <c r="H290" s="86"/>
      <c r="I290" s="87"/>
      <c r="J290" s="86"/>
      <c r="K290" s="88"/>
      <c r="L290" s="86"/>
      <c r="M290" s="88"/>
      <c r="N290" s="86"/>
      <c r="O290" s="88"/>
      <c r="P290" s="86"/>
      <c r="Q290" s="88"/>
      <c r="R290" s="86"/>
      <c r="S290" s="88"/>
      <c r="T290" s="86"/>
      <c r="U290" s="88"/>
      <c r="V290" s="86"/>
      <c r="W290" s="88"/>
      <c r="X290" s="86"/>
      <c r="Y290" s="88"/>
      <c r="Z290" s="86"/>
      <c r="AA290" s="88"/>
      <c r="AB290" s="86"/>
      <c r="AC290" s="88"/>
      <c r="AD290" s="86"/>
      <c r="AE290" s="88"/>
      <c r="AF290" s="86"/>
      <c r="AG290" s="88"/>
      <c r="AH290" s="86"/>
      <c r="AI290" s="88"/>
      <c r="AJ290" s="86"/>
      <c r="AK290" s="88"/>
      <c r="AL290" s="86"/>
      <c r="AM290" s="88"/>
      <c r="AN290" s="86"/>
      <c r="AO290" s="88"/>
      <c r="AP290" s="86"/>
      <c r="AQ290" s="88"/>
      <c r="AR290" s="86"/>
      <c r="AS290" s="88"/>
      <c r="AT290" s="86"/>
      <c r="AU290" s="88"/>
      <c r="AV290" s="86"/>
      <c r="AW290" s="88"/>
      <c r="AX290" s="86"/>
      <c r="AY290" s="88"/>
      <c r="AZ290" s="86"/>
      <c r="BA290" s="88"/>
      <c r="BB290" s="86"/>
      <c r="BC290" s="88"/>
      <c r="BD290" s="86"/>
      <c r="BE290" s="88"/>
      <c r="BF290" s="86"/>
      <c r="BG290" s="88"/>
      <c r="BH290" s="86"/>
      <c r="BI290" s="88"/>
      <c r="BJ290" s="86"/>
      <c r="BK290" s="88"/>
      <c r="BL290" s="86"/>
      <c r="BM290" s="88"/>
      <c r="BN290" s="86"/>
      <c r="BO290" s="88"/>
      <c r="BP290" s="86"/>
      <c r="BQ290" s="88"/>
      <c r="BR290" s="86"/>
      <c r="BS290" s="87"/>
    </row>
    <row r="291" ht="22.5" customHeight="1">
      <c r="A291" s="154"/>
      <c r="B291" s="83"/>
      <c r="C291" s="151"/>
      <c r="D291" s="83"/>
      <c r="E291" s="151"/>
      <c r="F291" s="83"/>
      <c r="G291" s="85"/>
      <c r="H291" s="86"/>
      <c r="I291" s="87"/>
      <c r="J291" s="86"/>
      <c r="K291" s="88"/>
      <c r="L291" s="86"/>
      <c r="M291" s="88"/>
      <c r="N291" s="86"/>
      <c r="O291" s="88"/>
      <c r="P291" s="86"/>
      <c r="Q291" s="88"/>
      <c r="R291" s="86"/>
      <c r="S291" s="88"/>
      <c r="T291" s="86"/>
      <c r="U291" s="88"/>
      <c r="V291" s="86"/>
      <c r="W291" s="88"/>
      <c r="X291" s="86"/>
      <c r="Y291" s="88"/>
      <c r="Z291" s="86"/>
      <c r="AA291" s="88"/>
      <c r="AB291" s="86"/>
      <c r="AC291" s="88"/>
      <c r="AD291" s="86"/>
      <c r="AE291" s="88"/>
      <c r="AF291" s="86"/>
      <c r="AG291" s="88"/>
      <c r="AH291" s="86"/>
      <c r="AI291" s="88"/>
      <c r="AJ291" s="86"/>
      <c r="AK291" s="88"/>
      <c r="AL291" s="86"/>
      <c r="AM291" s="88"/>
      <c r="AN291" s="86"/>
      <c r="AO291" s="88"/>
      <c r="AP291" s="86"/>
      <c r="AQ291" s="88"/>
      <c r="AR291" s="86"/>
      <c r="AS291" s="88"/>
      <c r="AT291" s="86"/>
      <c r="AU291" s="88"/>
      <c r="AV291" s="86"/>
      <c r="AW291" s="88"/>
      <c r="AX291" s="86"/>
      <c r="AY291" s="88"/>
      <c r="AZ291" s="86"/>
      <c r="BA291" s="88"/>
      <c r="BB291" s="86"/>
      <c r="BC291" s="88"/>
      <c r="BD291" s="86"/>
      <c r="BE291" s="88"/>
      <c r="BF291" s="86"/>
      <c r="BG291" s="88"/>
      <c r="BH291" s="86"/>
      <c r="BI291" s="88"/>
      <c r="BJ291" s="86"/>
      <c r="BK291" s="88"/>
      <c r="BL291" s="86"/>
      <c r="BM291" s="88"/>
      <c r="BN291" s="86"/>
      <c r="BO291" s="88"/>
      <c r="BP291" s="86"/>
      <c r="BQ291" s="88"/>
      <c r="BR291" s="86"/>
      <c r="BS291" s="87"/>
    </row>
    <row r="292" ht="22.5" customHeight="1">
      <c r="A292" s="154"/>
      <c r="B292" s="83"/>
      <c r="C292" s="151"/>
      <c r="D292" s="83"/>
      <c r="E292" s="151"/>
      <c r="F292" s="83"/>
      <c r="G292" s="85"/>
      <c r="H292" s="86"/>
      <c r="I292" s="87"/>
      <c r="J292" s="86"/>
      <c r="K292" s="88"/>
      <c r="L292" s="86"/>
      <c r="M292" s="88"/>
      <c r="N292" s="86"/>
      <c r="O292" s="88"/>
      <c r="P292" s="86"/>
      <c r="Q292" s="88"/>
      <c r="R292" s="86"/>
      <c r="S292" s="88"/>
      <c r="T292" s="86"/>
      <c r="U292" s="88"/>
      <c r="V292" s="86"/>
      <c r="W292" s="88"/>
      <c r="X292" s="86"/>
      <c r="Y292" s="88"/>
      <c r="Z292" s="86"/>
      <c r="AA292" s="88"/>
      <c r="AB292" s="86"/>
      <c r="AC292" s="88"/>
      <c r="AD292" s="86"/>
      <c r="AE292" s="88"/>
      <c r="AF292" s="86"/>
      <c r="AG292" s="88"/>
      <c r="AH292" s="86"/>
      <c r="AI292" s="88"/>
      <c r="AJ292" s="86"/>
      <c r="AK292" s="88"/>
      <c r="AL292" s="86"/>
      <c r="AM292" s="88"/>
      <c r="AN292" s="86"/>
      <c r="AO292" s="88"/>
      <c r="AP292" s="86"/>
      <c r="AQ292" s="88"/>
      <c r="AR292" s="86"/>
      <c r="AS292" s="88"/>
      <c r="AT292" s="86"/>
      <c r="AU292" s="88"/>
      <c r="AV292" s="86"/>
      <c r="AW292" s="88"/>
      <c r="AX292" s="86"/>
      <c r="AY292" s="88"/>
      <c r="AZ292" s="86"/>
      <c r="BA292" s="88"/>
      <c r="BB292" s="86"/>
      <c r="BC292" s="88"/>
      <c r="BD292" s="86"/>
      <c r="BE292" s="88"/>
      <c r="BF292" s="86"/>
      <c r="BG292" s="88"/>
      <c r="BH292" s="86"/>
      <c r="BI292" s="88"/>
      <c r="BJ292" s="86"/>
      <c r="BK292" s="88"/>
      <c r="BL292" s="86"/>
      <c r="BM292" s="88"/>
      <c r="BN292" s="86"/>
      <c r="BO292" s="88"/>
      <c r="BP292" s="86"/>
      <c r="BQ292" s="88"/>
      <c r="BR292" s="86"/>
      <c r="BS292" s="87"/>
    </row>
    <row r="293" ht="22.5" customHeight="1">
      <c r="A293" s="154"/>
      <c r="B293" s="83"/>
      <c r="C293" s="151"/>
      <c r="D293" s="83"/>
      <c r="E293" s="151"/>
      <c r="F293" s="83"/>
      <c r="G293" s="85"/>
      <c r="H293" s="86"/>
      <c r="I293" s="87"/>
      <c r="J293" s="86"/>
      <c r="K293" s="88"/>
      <c r="L293" s="86"/>
      <c r="M293" s="88"/>
      <c r="N293" s="86"/>
      <c r="O293" s="88"/>
      <c r="P293" s="86"/>
      <c r="Q293" s="88"/>
      <c r="R293" s="86"/>
      <c r="S293" s="88"/>
      <c r="T293" s="86"/>
      <c r="U293" s="88"/>
      <c r="V293" s="86"/>
      <c r="W293" s="88"/>
      <c r="X293" s="86"/>
      <c r="Y293" s="88"/>
      <c r="Z293" s="86"/>
      <c r="AA293" s="88"/>
      <c r="AB293" s="86"/>
      <c r="AC293" s="88"/>
      <c r="AD293" s="86"/>
      <c r="AE293" s="88"/>
      <c r="AF293" s="86"/>
      <c r="AG293" s="88"/>
      <c r="AH293" s="86"/>
      <c r="AI293" s="88"/>
      <c r="AJ293" s="86"/>
      <c r="AK293" s="88"/>
      <c r="AL293" s="86"/>
      <c r="AM293" s="88"/>
      <c r="AN293" s="86"/>
      <c r="AO293" s="88"/>
      <c r="AP293" s="86"/>
      <c r="AQ293" s="88"/>
      <c r="AR293" s="86"/>
      <c r="AS293" s="88"/>
      <c r="AT293" s="86"/>
      <c r="AU293" s="88"/>
      <c r="AV293" s="86"/>
      <c r="AW293" s="88"/>
      <c r="AX293" s="86"/>
      <c r="AY293" s="88"/>
      <c r="AZ293" s="86"/>
      <c r="BA293" s="88"/>
      <c r="BB293" s="86"/>
      <c r="BC293" s="88"/>
      <c r="BD293" s="86"/>
      <c r="BE293" s="88"/>
      <c r="BF293" s="86"/>
      <c r="BG293" s="88"/>
      <c r="BH293" s="86"/>
      <c r="BI293" s="88"/>
      <c r="BJ293" s="86"/>
      <c r="BK293" s="88"/>
      <c r="BL293" s="86"/>
      <c r="BM293" s="88"/>
      <c r="BN293" s="86"/>
      <c r="BO293" s="88"/>
      <c r="BP293" s="86"/>
      <c r="BQ293" s="88"/>
      <c r="BR293" s="86"/>
      <c r="BS293" s="87"/>
    </row>
    <row r="294" ht="22.5" customHeight="1">
      <c r="A294" s="154"/>
      <c r="B294" s="83"/>
      <c r="C294" s="151"/>
      <c r="D294" s="83"/>
      <c r="E294" s="151"/>
      <c r="F294" s="83"/>
      <c r="G294" s="85"/>
      <c r="H294" s="86"/>
      <c r="I294" s="87"/>
      <c r="J294" s="86"/>
      <c r="K294" s="88"/>
      <c r="L294" s="86"/>
      <c r="M294" s="88"/>
      <c r="N294" s="86"/>
      <c r="O294" s="88"/>
      <c r="P294" s="86"/>
      <c r="Q294" s="88"/>
      <c r="R294" s="86"/>
      <c r="S294" s="88"/>
      <c r="T294" s="86"/>
      <c r="U294" s="88"/>
      <c r="V294" s="86"/>
      <c r="W294" s="88"/>
      <c r="X294" s="86"/>
      <c r="Y294" s="88"/>
      <c r="Z294" s="86"/>
      <c r="AA294" s="88"/>
      <c r="AB294" s="86"/>
      <c r="AC294" s="88"/>
      <c r="AD294" s="86"/>
      <c r="AE294" s="88"/>
      <c r="AF294" s="86"/>
      <c r="AG294" s="88"/>
      <c r="AH294" s="86"/>
      <c r="AI294" s="88"/>
      <c r="AJ294" s="86"/>
      <c r="AK294" s="88"/>
      <c r="AL294" s="86"/>
      <c r="AM294" s="88"/>
      <c r="AN294" s="86"/>
      <c r="AO294" s="88"/>
      <c r="AP294" s="86"/>
      <c r="AQ294" s="88"/>
      <c r="AR294" s="86"/>
      <c r="AS294" s="88"/>
      <c r="AT294" s="86"/>
      <c r="AU294" s="88"/>
      <c r="AV294" s="86"/>
      <c r="AW294" s="88"/>
      <c r="AX294" s="86"/>
      <c r="AY294" s="88"/>
      <c r="AZ294" s="86"/>
      <c r="BA294" s="88"/>
      <c r="BB294" s="86"/>
      <c r="BC294" s="88"/>
      <c r="BD294" s="86"/>
      <c r="BE294" s="88"/>
      <c r="BF294" s="86"/>
      <c r="BG294" s="88"/>
      <c r="BH294" s="86"/>
      <c r="BI294" s="88"/>
      <c r="BJ294" s="86"/>
      <c r="BK294" s="88"/>
      <c r="BL294" s="86"/>
      <c r="BM294" s="88"/>
      <c r="BN294" s="86"/>
      <c r="BO294" s="88"/>
      <c r="BP294" s="86"/>
      <c r="BQ294" s="88"/>
      <c r="BR294" s="86"/>
      <c r="BS294" s="87"/>
    </row>
    <row r="295" ht="22.5" customHeight="1">
      <c r="A295" s="154"/>
      <c r="B295" s="83"/>
      <c r="C295" s="151"/>
      <c r="D295" s="83"/>
      <c r="E295" s="151"/>
      <c r="F295" s="83"/>
      <c r="G295" s="85"/>
      <c r="H295" s="86"/>
      <c r="I295" s="87"/>
      <c r="J295" s="86"/>
      <c r="K295" s="88"/>
      <c r="L295" s="86"/>
      <c r="M295" s="88"/>
      <c r="N295" s="86"/>
      <c r="O295" s="88"/>
      <c r="P295" s="86"/>
      <c r="Q295" s="88"/>
      <c r="R295" s="86"/>
      <c r="S295" s="88"/>
      <c r="T295" s="86"/>
      <c r="U295" s="88"/>
      <c r="V295" s="86"/>
      <c r="W295" s="88"/>
      <c r="X295" s="86"/>
      <c r="Y295" s="88"/>
      <c r="Z295" s="86"/>
      <c r="AA295" s="88"/>
      <c r="AB295" s="86"/>
      <c r="AC295" s="88"/>
      <c r="AD295" s="86"/>
      <c r="AE295" s="88"/>
      <c r="AF295" s="86"/>
      <c r="AG295" s="88"/>
      <c r="AH295" s="86"/>
      <c r="AI295" s="88"/>
      <c r="AJ295" s="86"/>
      <c r="AK295" s="88"/>
      <c r="AL295" s="86"/>
      <c r="AM295" s="88"/>
      <c r="AN295" s="86"/>
      <c r="AO295" s="88"/>
      <c r="AP295" s="86"/>
      <c r="AQ295" s="88"/>
      <c r="AR295" s="86"/>
      <c r="AS295" s="88"/>
      <c r="AT295" s="86"/>
      <c r="AU295" s="88"/>
      <c r="AV295" s="86"/>
      <c r="AW295" s="88"/>
      <c r="AX295" s="86"/>
      <c r="AY295" s="88"/>
      <c r="AZ295" s="86"/>
      <c r="BA295" s="88"/>
      <c r="BB295" s="86"/>
      <c r="BC295" s="88"/>
      <c r="BD295" s="86"/>
      <c r="BE295" s="88"/>
      <c r="BF295" s="86"/>
      <c r="BG295" s="88"/>
      <c r="BH295" s="86"/>
      <c r="BI295" s="88"/>
      <c r="BJ295" s="86"/>
      <c r="BK295" s="88"/>
      <c r="BL295" s="86"/>
      <c r="BM295" s="88"/>
      <c r="BN295" s="86"/>
      <c r="BO295" s="88"/>
      <c r="BP295" s="86"/>
      <c r="BQ295" s="88"/>
      <c r="BR295" s="86"/>
      <c r="BS295" s="87"/>
    </row>
    <row r="296" ht="22.5" customHeight="1">
      <c r="A296" s="154"/>
      <c r="B296" s="83"/>
      <c r="C296" s="151"/>
      <c r="D296" s="83"/>
      <c r="E296" s="151"/>
      <c r="F296" s="83"/>
      <c r="G296" s="85"/>
      <c r="H296" s="86"/>
      <c r="I296" s="87"/>
      <c r="J296" s="86"/>
      <c r="K296" s="88"/>
      <c r="L296" s="86"/>
      <c r="M296" s="88"/>
      <c r="N296" s="86"/>
      <c r="O296" s="88"/>
      <c r="P296" s="86"/>
      <c r="Q296" s="88"/>
      <c r="R296" s="86"/>
      <c r="S296" s="88"/>
      <c r="T296" s="86"/>
      <c r="U296" s="88"/>
      <c r="V296" s="86"/>
      <c r="W296" s="88"/>
      <c r="X296" s="86"/>
      <c r="Y296" s="88"/>
      <c r="Z296" s="86"/>
      <c r="AA296" s="88"/>
      <c r="AB296" s="86"/>
      <c r="AC296" s="88"/>
      <c r="AD296" s="86"/>
      <c r="AE296" s="88"/>
      <c r="AF296" s="86"/>
      <c r="AG296" s="88"/>
      <c r="AH296" s="86"/>
      <c r="AI296" s="88"/>
      <c r="AJ296" s="86"/>
      <c r="AK296" s="88"/>
      <c r="AL296" s="86"/>
      <c r="AM296" s="88"/>
      <c r="AN296" s="86"/>
      <c r="AO296" s="88"/>
      <c r="AP296" s="86"/>
      <c r="AQ296" s="88"/>
      <c r="AR296" s="86"/>
      <c r="AS296" s="88"/>
      <c r="AT296" s="86"/>
      <c r="AU296" s="88"/>
      <c r="AV296" s="86"/>
      <c r="AW296" s="88"/>
      <c r="AX296" s="86"/>
      <c r="AY296" s="88"/>
      <c r="AZ296" s="86"/>
      <c r="BA296" s="88"/>
      <c r="BB296" s="86"/>
      <c r="BC296" s="88"/>
      <c r="BD296" s="86"/>
      <c r="BE296" s="88"/>
      <c r="BF296" s="86"/>
      <c r="BG296" s="88"/>
      <c r="BH296" s="86"/>
      <c r="BI296" s="88"/>
      <c r="BJ296" s="86"/>
      <c r="BK296" s="88"/>
      <c r="BL296" s="86"/>
      <c r="BM296" s="88"/>
      <c r="BN296" s="86"/>
      <c r="BO296" s="88"/>
      <c r="BP296" s="86"/>
      <c r="BQ296" s="88"/>
      <c r="BR296" s="86"/>
      <c r="BS296" s="87"/>
    </row>
    <row r="297" ht="22.5" customHeight="1">
      <c r="A297" s="154"/>
      <c r="B297" s="83"/>
      <c r="C297" s="151"/>
      <c r="D297" s="83"/>
      <c r="E297" s="151"/>
      <c r="F297" s="83"/>
      <c r="G297" s="85"/>
      <c r="H297" s="86"/>
      <c r="I297" s="87"/>
      <c r="J297" s="86"/>
      <c r="K297" s="88"/>
      <c r="L297" s="86"/>
      <c r="M297" s="88"/>
      <c r="N297" s="86"/>
      <c r="O297" s="88"/>
      <c r="P297" s="86"/>
      <c r="Q297" s="88"/>
      <c r="R297" s="86"/>
      <c r="S297" s="88"/>
      <c r="T297" s="86"/>
      <c r="U297" s="88"/>
      <c r="V297" s="86"/>
      <c r="W297" s="88"/>
      <c r="X297" s="86"/>
      <c r="Y297" s="88"/>
      <c r="Z297" s="86"/>
      <c r="AA297" s="88"/>
      <c r="AB297" s="86"/>
      <c r="AC297" s="88"/>
      <c r="AD297" s="86"/>
      <c r="AE297" s="88"/>
      <c r="AF297" s="86"/>
      <c r="AG297" s="88"/>
      <c r="AH297" s="86"/>
      <c r="AI297" s="88"/>
      <c r="AJ297" s="86"/>
      <c r="AK297" s="88"/>
      <c r="AL297" s="86"/>
      <c r="AM297" s="88"/>
      <c r="AN297" s="86"/>
      <c r="AO297" s="88"/>
      <c r="AP297" s="86"/>
      <c r="AQ297" s="88"/>
      <c r="AR297" s="86"/>
      <c r="AS297" s="88"/>
      <c r="AT297" s="86"/>
      <c r="AU297" s="88"/>
      <c r="AV297" s="86"/>
      <c r="AW297" s="88"/>
      <c r="AX297" s="86"/>
      <c r="AY297" s="88"/>
      <c r="AZ297" s="86"/>
      <c r="BA297" s="88"/>
      <c r="BB297" s="86"/>
      <c r="BC297" s="88"/>
      <c r="BD297" s="86"/>
      <c r="BE297" s="88"/>
      <c r="BF297" s="86"/>
      <c r="BG297" s="88"/>
      <c r="BH297" s="86"/>
      <c r="BI297" s="88"/>
      <c r="BJ297" s="86"/>
      <c r="BK297" s="88"/>
      <c r="BL297" s="86"/>
      <c r="BM297" s="88"/>
      <c r="BN297" s="86"/>
      <c r="BO297" s="88"/>
      <c r="BP297" s="86"/>
      <c r="BQ297" s="88"/>
      <c r="BR297" s="86"/>
      <c r="BS297" s="87"/>
    </row>
    <row r="298" ht="22.5" customHeight="1">
      <c r="A298" s="154"/>
      <c r="B298" s="83"/>
      <c r="C298" s="151"/>
      <c r="D298" s="83"/>
      <c r="E298" s="151"/>
      <c r="F298" s="83"/>
      <c r="G298" s="85"/>
      <c r="H298" s="86"/>
      <c r="I298" s="87"/>
      <c r="J298" s="86"/>
      <c r="K298" s="88"/>
      <c r="L298" s="86"/>
      <c r="M298" s="88"/>
      <c r="N298" s="86"/>
      <c r="O298" s="88"/>
      <c r="P298" s="86"/>
      <c r="Q298" s="88"/>
      <c r="R298" s="86"/>
      <c r="S298" s="88"/>
      <c r="T298" s="86"/>
      <c r="U298" s="88"/>
      <c r="V298" s="86"/>
      <c r="W298" s="88"/>
      <c r="X298" s="86"/>
      <c r="Y298" s="88"/>
      <c r="Z298" s="86"/>
      <c r="AA298" s="88"/>
      <c r="AB298" s="86"/>
      <c r="AC298" s="88"/>
      <c r="AD298" s="86"/>
      <c r="AE298" s="88"/>
      <c r="AF298" s="86"/>
      <c r="AG298" s="88"/>
      <c r="AH298" s="86"/>
      <c r="AI298" s="88"/>
      <c r="AJ298" s="86"/>
      <c r="AK298" s="88"/>
      <c r="AL298" s="86"/>
      <c r="AM298" s="88"/>
      <c r="AN298" s="86"/>
      <c r="AO298" s="88"/>
      <c r="AP298" s="86"/>
      <c r="AQ298" s="88"/>
      <c r="AR298" s="86"/>
      <c r="AS298" s="88"/>
      <c r="AT298" s="86"/>
      <c r="AU298" s="88"/>
      <c r="AV298" s="86"/>
      <c r="AW298" s="88"/>
      <c r="AX298" s="86"/>
      <c r="AY298" s="88"/>
      <c r="AZ298" s="86"/>
      <c r="BA298" s="88"/>
      <c r="BB298" s="86"/>
      <c r="BC298" s="88"/>
      <c r="BD298" s="86"/>
      <c r="BE298" s="88"/>
      <c r="BF298" s="86"/>
      <c r="BG298" s="88"/>
      <c r="BH298" s="86"/>
      <c r="BI298" s="88"/>
      <c r="BJ298" s="86"/>
      <c r="BK298" s="88"/>
      <c r="BL298" s="86"/>
      <c r="BM298" s="88"/>
      <c r="BN298" s="86"/>
      <c r="BO298" s="88"/>
      <c r="BP298" s="86"/>
      <c r="BQ298" s="88"/>
      <c r="BR298" s="86"/>
      <c r="BS298" s="87"/>
    </row>
    <row r="299" ht="22.5" customHeight="1">
      <c r="A299" s="154"/>
      <c r="B299" s="83"/>
      <c r="C299" s="151"/>
      <c r="D299" s="83"/>
      <c r="E299" s="151"/>
      <c r="F299" s="83"/>
      <c r="G299" s="85"/>
      <c r="H299" s="86"/>
      <c r="I299" s="87"/>
      <c r="J299" s="86"/>
      <c r="K299" s="88"/>
      <c r="L299" s="86"/>
      <c r="M299" s="88"/>
      <c r="N299" s="86"/>
      <c r="O299" s="88"/>
      <c r="P299" s="86"/>
      <c r="Q299" s="88"/>
      <c r="R299" s="86"/>
      <c r="S299" s="88"/>
      <c r="T299" s="86"/>
      <c r="U299" s="88"/>
      <c r="V299" s="86"/>
      <c r="W299" s="88"/>
      <c r="X299" s="86"/>
      <c r="Y299" s="88"/>
      <c r="Z299" s="86"/>
      <c r="AA299" s="88"/>
      <c r="AB299" s="86"/>
      <c r="AC299" s="88"/>
      <c r="AD299" s="86"/>
      <c r="AE299" s="88"/>
      <c r="AF299" s="86"/>
      <c r="AG299" s="88"/>
      <c r="AH299" s="86"/>
      <c r="AI299" s="88"/>
      <c r="AJ299" s="86"/>
      <c r="AK299" s="88"/>
      <c r="AL299" s="86"/>
      <c r="AM299" s="88"/>
      <c r="AN299" s="86"/>
      <c r="AO299" s="88"/>
      <c r="AP299" s="86"/>
      <c r="AQ299" s="88"/>
      <c r="AR299" s="86"/>
      <c r="AS299" s="88"/>
      <c r="AT299" s="86"/>
      <c r="AU299" s="88"/>
      <c r="AV299" s="86"/>
      <c r="AW299" s="88"/>
      <c r="AX299" s="86"/>
      <c r="AY299" s="88"/>
      <c r="AZ299" s="86"/>
      <c r="BA299" s="88"/>
      <c r="BB299" s="86"/>
      <c r="BC299" s="88"/>
      <c r="BD299" s="86"/>
      <c r="BE299" s="88"/>
      <c r="BF299" s="86"/>
      <c r="BG299" s="88"/>
      <c r="BH299" s="86"/>
      <c r="BI299" s="88"/>
      <c r="BJ299" s="86"/>
      <c r="BK299" s="88"/>
      <c r="BL299" s="86"/>
      <c r="BM299" s="88"/>
      <c r="BN299" s="86"/>
      <c r="BO299" s="88"/>
      <c r="BP299" s="86"/>
      <c r="BQ299" s="88"/>
      <c r="BR299" s="86"/>
      <c r="BS299" s="87"/>
    </row>
    <row r="300" ht="22.5" customHeight="1">
      <c r="A300" s="154"/>
      <c r="B300" s="83"/>
      <c r="C300" s="151"/>
      <c r="D300" s="83"/>
      <c r="E300" s="151"/>
      <c r="F300" s="83"/>
      <c r="G300" s="85"/>
      <c r="H300" s="86"/>
      <c r="I300" s="87"/>
      <c r="J300" s="86"/>
      <c r="K300" s="88"/>
      <c r="L300" s="86"/>
      <c r="M300" s="88"/>
      <c r="N300" s="86"/>
      <c r="O300" s="88"/>
      <c r="P300" s="86"/>
      <c r="Q300" s="88"/>
      <c r="R300" s="86"/>
      <c r="S300" s="88"/>
      <c r="T300" s="86"/>
      <c r="U300" s="88"/>
      <c r="V300" s="86"/>
      <c r="W300" s="88"/>
      <c r="X300" s="86"/>
      <c r="Y300" s="88"/>
      <c r="Z300" s="86"/>
      <c r="AA300" s="88"/>
      <c r="AB300" s="86"/>
      <c r="AC300" s="88"/>
      <c r="AD300" s="86"/>
      <c r="AE300" s="88"/>
      <c r="AF300" s="86"/>
      <c r="AG300" s="88"/>
      <c r="AH300" s="86"/>
      <c r="AI300" s="88"/>
      <c r="AJ300" s="86"/>
      <c r="AK300" s="88"/>
      <c r="AL300" s="86"/>
      <c r="AM300" s="88"/>
      <c r="AN300" s="86"/>
      <c r="AO300" s="88"/>
      <c r="AP300" s="86"/>
      <c r="AQ300" s="88"/>
      <c r="AR300" s="86"/>
      <c r="AS300" s="88"/>
      <c r="AT300" s="86"/>
      <c r="AU300" s="88"/>
      <c r="AV300" s="86"/>
      <c r="AW300" s="88"/>
      <c r="AX300" s="86"/>
      <c r="AY300" s="88"/>
      <c r="AZ300" s="86"/>
      <c r="BA300" s="88"/>
      <c r="BB300" s="86"/>
      <c r="BC300" s="88"/>
      <c r="BD300" s="86"/>
      <c r="BE300" s="88"/>
      <c r="BF300" s="86"/>
      <c r="BG300" s="88"/>
      <c r="BH300" s="86"/>
      <c r="BI300" s="88"/>
      <c r="BJ300" s="86"/>
      <c r="BK300" s="88"/>
      <c r="BL300" s="86"/>
      <c r="BM300" s="88"/>
      <c r="BN300" s="86"/>
      <c r="BO300" s="88"/>
      <c r="BP300" s="86"/>
      <c r="BQ300" s="88"/>
      <c r="BR300" s="86"/>
      <c r="BS300" s="87"/>
    </row>
    <row r="301" ht="22.5" customHeight="1">
      <c r="A301" s="154"/>
      <c r="B301" s="83"/>
      <c r="C301" s="151"/>
      <c r="D301" s="83"/>
      <c r="E301" s="151"/>
      <c r="F301" s="83"/>
      <c r="G301" s="85"/>
      <c r="H301" s="86"/>
      <c r="I301" s="87"/>
      <c r="J301" s="86"/>
      <c r="K301" s="88"/>
      <c r="L301" s="86"/>
      <c r="M301" s="88"/>
      <c r="N301" s="86"/>
      <c r="O301" s="88"/>
      <c r="P301" s="86"/>
      <c r="Q301" s="88"/>
      <c r="R301" s="86"/>
      <c r="S301" s="88"/>
      <c r="T301" s="86"/>
      <c r="U301" s="88"/>
      <c r="V301" s="86"/>
      <c r="W301" s="88"/>
      <c r="X301" s="86"/>
      <c r="Y301" s="88"/>
      <c r="Z301" s="86"/>
      <c r="AA301" s="88"/>
      <c r="AB301" s="86"/>
      <c r="AC301" s="88"/>
      <c r="AD301" s="86"/>
      <c r="AE301" s="88"/>
      <c r="AF301" s="86"/>
      <c r="AG301" s="88"/>
      <c r="AH301" s="86"/>
      <c r="AI301" s="88"/>
      <c r="AJ301" s="86"/>
      <c r="AK301" s="88"/>
      <c r="AL301" s="86"/>
      <c r="AM301" s="88"/>
      <c r="AN301" s="86"/>
      <c r="AO301" s="88"/>
      <c r="AP301" s="86"/>
      <c r="AQ301" s="88"/>
      <c r="AR301" s="86"/>
      <c r="AS301" s="88"/>
      <c r="AT301" s="86"/>
      <c r="AU301" s="88"/>
      <c r="AV301" s="86"/>
      <c r="AW301" s="88"/>
      <c r="AX301" s="86"/>
      <c r="AY301" s="88"/>
      <c r="AZ301" s="86"/>
      <c r="BA301" s="88"/>
      <c r="BB301" s="86"/>
      <c r="BC301" s="88"/>
      <c r="BD301" s="86"/>
      <c r="BE301" s="88"/>
      <c r="BF301" s="86"/>
      <c r="BG301" s="88"/>
      <c r="BH301" s="86"/>
      <c r="BI301" s="88"/>
      <c r="BJ301" s="86"/>
      <c r="BK301" s="88"/>
      <c r="BL301" s="86"/>
      <c r="BM301" s="88"/>
      <c r="BN301" s="86"/>
      <c r="BO301" s="88"/>
      <c r="BP301" s="86"/>
      <c r="BQ301" s="88"/>
      <c r="BR301" s="86"/>
      <c r="BS301" s="87"/>
    </row>
    <row r="302" ht="22.5" customHeight="1">
      <c r="A302" s="154"/>
      <c r="B302" s="83"/>
      <c r="C302" s="151"/>
      <c r="D302" s="83"/>
      <c r="E302" s="151"/>
      <c r="F302" s="83"/>
      <c r="G302" s="85"/>
      <c r="H302" s="86"/>
      <c r="I302" s="87"/>
      <c r="J302" s="86"/>
      <c r="K302" s="88"/>
      <c r="L302" s="86"/>
      <c r="M302" s="88"/>
      <c r="N302" s="86"/>
      <c r="O302" s="88"/>
      <c r="P302" s="86"/>
      <c r="Q302" s="88"/>
      <c r="R302" s="86"/>
      <c r="S302" s="88"/>
      <c r="T302" s="86"/>
      <c r="U302" s="88"/>
      <c r="V302" s="86"/>
      <c r="W302" s="88"/>
      <c r="X302" s="86"/>
      <c r="Y302" s="88"/>
      <c r="Z302" s="86"/>
      <c r="AA302" s="88"/>
      <c r="AB302" s="86"/>
      <c r="AC302" s="88"/>
      <c r="AD302" s="86"/>
      <c r="AE302" s="88"/>
      <c r="AF302" s="86"/>
      <c r="AG302" s="88"/>
      <c r="AH302" s="86"/>
      <c r="AI302" s="88"/>
      <c r="AJ302" s="86"/>
      <c r="AK302" s="88"/>
      <c r="AL302" s="86"/>
      <c r="AM302" s="88"/>
      <c r="AN302" s="86"/>
      <c r="AO302" s="88"/>
      <c r="AP302" s="86"/>
      <c r="AQ302" s="88"/>
      <c r="AR302" s="86"/>
      <c r="AS302" s="88"/>
      <c r="AT302" s="86"/>
      <c r="AU302" s="88"/>
      <c r="AV302" s="86"/>
      <c r="AW302" s="88"/>
      <c r="AX302" s="86"/>
      <c r="AY302" s="88"/>
      <c r="AZ302" s="86"/>
      <c r="BA302" s="88"/>
      <c r="BB302" s="86"/>
      <c r="BC302" s="88"/>
      <c r="BD302" s="86"/>
      <c r="BE302" s="88"/>
      <c r="BF302" s="86"/>
      <c r="BG302" s="88"/>
      <c r="BH302" s="86"/>
      <c r="BI302" s="88"/>
      <c r="BJ302" s="86"/>
      <c r="BK302" s="88"/>
      <c r="BL302" s="86"/>
      <c r="BM302" s="88"/>
      <c r="BN302" s="86"/>
      <c r="BO302" s="88"/>
      <c r="BP302" s="86"/>
      <c r="BQ302" s="88"/>
      <c r="BR302" s="86"/>
      <c r="BS302" s="87"/>
    </row>
    <row r="303" ht="22.5" customHeight="1">
      <c r="A303" s="154"/>
      <c r="B303" s="83"/>
      <c r="C303" s="151"/>
      <c r="D303" s="83"/>
      <c r="E303" s="151"/>
      <c r="F303" s="83"/>
      <c r="G303" s="85"/>
      <c r="H303" s="86"/>
      <c r="I303" s="87"/>
      <c r="J303" s="86"/>
      <c r="K303" s="88"/>
      <c r="L303" s="86"/>
      <c r="M303" s="88"/>
      <c r="N303" s="86"/>
      <c r="O303" s="88"/>
      <c r="P303" s="86"/>
      <c r="Q303" s="88"/>
      <c r="R303" s="86"/>
      <c r="S303" s="88"/>
      <c r="T303" s="86"/>
      <c r="U303" s="88"/>
      <c r="V303" s="86"/>
      <c r="W303" s="88"/>
      <c r="X303" s="86"/>
      <c r="Y303" s="88"/>
      <c r="Z303" s="86"/>
      <c r="AA303" s="88"/>
      <c r="AB303" s="86"/>
      <c r="AC303" s="88"/>
      <c r="AD303" s="86"/>
      <c r="AE303" s="88"/>
      <c r="AF303" s="86"/>
      <c r="AG303" s="88"/>
      <c r="AH303" s="86"/>
      <c r="AI303" s="88"/>
      <c r="AJ303" s="86"/>
      <c r="AK303" s="88"/>
      <c r="AL303" s="86"/>
      <c r="AM303" s="88"/>
      <c r="AN303" s="86"/>
      <c r="AO303" s="88"/>
      <c r="AP303" s="86"/>
      <c r="AQ303" s="88"/>
      <c r="AR303" s="86"/>
      <c r="AS303" s="88"/>
      <c r="AT303" s="86"/>
      <c r="AU303" s="88"/>
      <c r="AV303" s="86"/>
      <c r="AW303" s="88"/>
      <c r="AX303" s="86"/>
      <c r="AY303" s="88"/>
      <c r="AZ303" s="86"/>
      <c r="BA303" s="88"/>
      <c r="BB303" s="86"/>
      <c r="BC303" s="88"/>
      <c r="BD303" s="86"/>
      <c r="BE303" s="88"/>
      <c r="BF303" s="86"/>
      <c r="BG303" s="88"/>
      <c r="BH303" s="86"/>
      <c r="BI303" s="88"/>
      <c r="BJ303" s="86"/>
      <c r="BK303" s="88"/>
      <c r="BL303" s="86"/>
      <c r="BM303" s="88"/>
      <c r="BN303" s="86"/>
      <c r="BO303" s="88"/>
      <c r="BP303" s="86"/>
      <c r="BQ303" s="88"/>
      <c r="BR303" s="86"/>
      <c r="BS303" s="87"/>
    </row>
    <row r="304" ht="22.5" customHeight="1">
      <c r="A304" s="154"/>
      <c r="B304" s="83"/>
      <c r="C304" s="151"/>
      <c r="D304" s="83"/>
      <c r="E304" s="151"/>
      <c r="F304" s="83"/>
      <c r="G304" s="85"/>
      <c r="H304" s="86"/>
      <c r="I304" s="87"/>
      <c r="J304" s="86"/>
      <c r="K304" s="88"/>
      <c r="L304" s="86"/>
      <c r="M304" s="88"/>
      <c r="N304" s="86"/>
      <c r="O304" s="88"/>
      <c r="P304" s="86"/>
      <c r="Q304" s="88"/>
      <c r="R304" s="86"/>
      <c r="S304" s="88"/>
      <c r="T304" s="86"/>
      <c r="U304" s="88"/>
      <c r="V304" s="86"/>
      <c r="W304" s="88"/>
      <c r="X304" s="86"/>
      <c r="Y304" s="88"/>
      <c r="Z304" s="86"/>
      <c r="AA304" s="88"/>
      <c r="AB304" s="86"/>
      <c r="AC304" s="88"/>
      <c r="AD304" s="86"/>
      <c r="AE304" s="88"/>
      <c r="AF304" s="86"/>
      <c r="AG304" s="88"/>
      <c r="AH304" s="86"/>
      <c r="AI304" s="88"/>
      <c r="AJ304" s="86"/>
      <c r="AK304" s="88"/>
      <c r="AL304" s="86"/>
      <c r="AM304" s="88"/>
      <c r="AN304" s="86"/>
      <c r="AO304" s="88"/>
      <c r="AP304" s="86"/>
      <c r="AQ304" s="88"/>
      <c r="AR304" s="86"/>
      <c r="AS304" s="88"/>
      <c r="AT304" s="86"/>
      <c r="AU304" s="88"/>
      <c r="AV304" s="86"/>
      <c r="AW304" s="88"/>
      <c r="AX304" s="86"/>
      <c r="AY304" s="88"/>
      <c r="AZ304" s="86"/>
      <c r="BA304" s="88"/>
      <c r="BB304" s="86"/>
      <c r="BC304" s="88"/>
      <c r="BD304" s="86"/>
      <c r="BE304" s="88"/>
      <c r="BF304" s="86"/>
      <c r="BG304" s="88"/>
      <c r="BH304" s="86"/>
      <c r="BI304" s="88"/>
      <c r="BJ304" s="86"/>
      <c r="BK304" s="88"/>
      <c r="BL304" s="86"/>
      <c r="BM304" s="88"/>
      <c r="BN304" s="86"/>
      <c r="BO304" s="88"/>
      <c r="BP304" s="86"/>
      <c r="BQ304" s="88"/>
      <c r="BR304" s="86"/>
      <c r="BS304" s="87"/>
    </row>
    <row r="305" ht="22.5" customHeight="1">
      <c r="A305" s="154"/>
      <c r="B305" s="83"/>
      <c r="C305" s="151"/>
      <c r="D305" s="83"/>
      <c r="E305" s="151"/>
      <c r="F305" s="83"/>
      <c r="G305" s="85"/>
      <c r="H305" s="86"/>
      <c r="I305" s="87"/>
      <c r="J305" s="86"/>
      <c r="K305" s="88"/>
      <c r="L305" s="86"/>
      <c r="M305" s="88"/>
      <c r="N305" s="86"/>
      <c r="O305" s="88"/>
      <c r="P305" s="86"/>
      <c r="Q305" s="88"/>
      <c r="R305" s="86"/>
      <c r="S305" s="88"/>
      <c r="T305" s="86"/>
      <c r="U305" s="88"/>
      <c r="V305" s="86"/>
      <c r="W305" s="88"/>
      <c r="X305" s="86"/>
      <c r="Y305" s="88"/>
      <c r="Z305" s="86"/>
      <c r="AA305" s="88"/>
      <c r="AB305" s="86"/>
      <c r="AC305" s="88"/>
      <c r="AD305" s="86"/>
      <c r="AE305" s="88"/>
      <c r="AF305" s="86"/>
      <c r="AG305" s="88"/>
      <c r="AH305" s="86"/>
      <c r="AI305" s="88"/>
      <c r="AJ305" s="86"/>
      <c r="AK305" s="88"/>
      <c r="AL305" s="86"/>
      <c r="AM305" s="88"/>
      <c r="AN305" s="86"/>
      <c r="AO305" s="88"/>
      <c r="AP305" s="86"/>
      <c r="AQ305" s="88"/>
      <c r="AR305" s="86"/>
      <c r="AS305" s="88"/>
      <c r="AT305" s="86"/>
      <c r="AU305" s="88"/>
      <c r="AV305" s="86"/>
      <c r="AW305" s="88"/>
      <c r="AX305" s="86"/>
      <c r="AY305" s="88"/>
      <c r="AZ305" s="86"/>
      <c r="BA305" s="88"/>
      <c r="BB305" s="86"/>
      <c r="BC305" s="88"/>
      <c r="BD305" s="86"/>
      <c r="BE305" s="88"/>
      <c r="BF305" s="86"/>
      <c r="BG305" s="88"/>
      <c r="BH305" s="86"/>
      <c r="BI305" s="88"/>
      <c r="BJ305" s="86"/>
      <c r="BK305" s="88"/>
      <c r="BL305" s="86"/>
      <c r="BM305" s="88"/>
      <c r="BN305" s="86"/>
      <c r="BO305" s="88"/>
      <c r="BP305" s="86"/>
      <c r="BQ305" s="88"/>
      <c r="BR305" s="86"/>
      <c r="BS305" s="87"/>
    </row>
    <row r="306" ht="22.5" customHeight="1">
      <c r="A306" s="154"/>
      <c r="B306" s="83"/>
      <c r="C306" s="151"/>
      <c r="D306" s="83"/>
      <c r="E306" s="151"/>
      <c r="F306" s="83"/>
      <c r="G306" s="85"/>
      <c r="H306" s="86"/>
      <c r="I306" s="87"/>
      <c r="J306" s="86"/>
      <c r="K306" s="88"/>
      <c r="L306" s="86"/>
      <c r="M306" s="88"/>
      <c r="N306" s="86"/>
      <c r="O306" s="88"/>
      <c r="P306" s="86"/>
      <c r="Q306" s="88"/>
      <c r="R306" s="86"/>
      <c r="S306" s="88"/>
      <c r="T306" s="86"/>
      <c r="U306" s="88"/>
      <c r="V306" s="86"/>
      <c r="W306" s="88"/>
      <c r="X306" s="86"/>
      <c r="Y306" s="88"/>
      <c r="Z306" s="86"/>
      <c r="AA306" s="88"/>
      <c r="AB306" s="86"/>
      <c r="AC306" s="88"/>
      <c r="AD306" s="86"/>
      <c r="AE306" s="88"/>
      <c r="AF306" s="86"/>
      <c r="AG306" s="88"/>
      <c r="AH306" s="86"/>
      <c r="AI306" s="88"/>
      <c r="AJ306" s="86"/>
      <c r="AK306" s="88"/>
      <c r="AL306" s="86"/>
      <c r="AM306" s="88"/>
      <c r="AN306" s="86"/>
      <c r="AO306" s="88"/>
      <c r="AP306" s="86"/>
      <c r="AQ306" s="88"/>
      <c r="AR306" s="86"/>
      <c r="AS306" s="88"/>
      <c r="AT306" s="86"/>
      <c r="AU306" s="88"/>
      <c r="AV306" s="86"/>
      <c r="AW306" s="88"/>
      <c r="AX306" s="86"/>
      <c r="AY306" s="88"/>
      <c r="AZ306" s="86"/>
      <c r="BA306" s="88"/>
      <c r="BB306" s="86"/>
      <c r="BC306" s="88"/>
      <c r="BD306" s="86"/>
      <c r="BE306" s="88"/>
      <c r="BF306" s="86"/>
      <c r="BG306" s="88"/>
      <c r="BH306" s="86"/>
      <c r="BI306" s="88"/>
      <c r="BJ306" s="86"/>
      <c r="BK306" s="88"/>
      <c r="BL306" s="86"/>
      <c r="BM306" s="88"/>
      <c r="BN306" s="86"/>
      <c r="BO306" s="88"/>
      <c r="BP306" s="86"/>
      <c r="BQ306" s="88"/>
      <c r="BR306" s="86"/>
      <c r="BS306" s="87"/>
    </row>
    <row r="307" ht="22.5" customHeight="1">
      <c r="A307" s="154"/>
      <c r="B307" s="83"/>
      <c r="C307" s="151"/>
      <c r="D307" s="83"/>
      <c r="E307" s="151"/>
      <c r="F307" s="83"/>
      <c r="G307" s="85"/>
      <c r="H307" s="86"/>
      <c r="I307" s="87"/>
      <c r="J307" s="86"/>
      <c r="K307" s="88"/>
      <c r="L307" s="86"/>
      <c r="M307" s="88"/>
      <c r="N307" s="86"/>
      <c r="O307" s="88"/>
      <c r="P307" s="86"/>
      <c r="Q307" s="88"/>
      <c r="R307" s="86"/>
      <c r="S307" s="88"/>
      <c r="T307" s="86"/>
      <c r="U307" s="88"/>
      <c r="V307" s="86"/>
      <c r="W307" s="88"/>
      <c r="X307" s="86"/>
      <c r="Y307" s="88"/>
      <c r="Z307" s="86"/>
      <c r="AA307" s="88"/>
      <c r="AB307" s="86"/>
      <c r="AC307" s="88"/>
      <c r="AD307" s="86"/>
      <c r="AE307" s="88"/>
      <c r="AF307" s="86"/>
      <c r="AG307" s="88"/>
      <c r="AH307" s="86"/>
      <c r="AI307" s="88"/>
      <c r="AJ307" s="86"/>
      <c r="AK307" s="88"/>
      <c r="AL307" s="86"/>
      <c r="AM307" s="88"/>
      <c r="AN307" s="86"/>
      <c r="AO307" s="88"/>
      <c r="AP307" s="86"/>
      <c r="AQ307" s="88"/>
      <c r="AR307" s="86"/>
      <c r="AS307" s="88"/>
      <c r="AT307" s="86"/>
      <c r="AU307" s="88"/>
      <c r="AV307" s="86"/>
      <c r="AW307" s="88"/>
      <c r="AX307" s="86"/>
      <c r="AY307" s="88"/>
      <c r="AZ307" s="86"/>
      <c r="BA307" s="88"/>
      <c r="BB307" s="86"/>
      <c r="BC307" s="88"/>
      <c r="BD307" s="86"/>
      <c r="BE307" s="88"/>
      <c r="BF307" s="86"/>
      <c r="BG307" s="88"/>
      <c r="BH307" s="86"/>
      <c r="BI307" s="88"/>
      <c r="BJ307" s="86"/>
      <c r="BK307" s="88"/>
      <c r="BL307" s="86"/>
      <c r="BM307" s="88"/>
      <c r="BN307" s="86"/>
      <c r="BO307" s="88"/>
      <c r="BP307" s="86"/>
      <c r="BQ307" s="88"/>
      <c r="BR307" s="86"/>
      <c r="BS307" s="87"/>
    </row>
    <row r="308" ht="22.5" customHeight="1">
      <c r="A308" s="154"/>
      <c r="B308" s="83"/>
      <c r="C308" s="151"/>
      <c r="D308" s="83"/>
      <c r="E308" s="151"/>
      <c r="F308" s="83"/>
      <c r="G308" s="85"/>
      <c r="H308" s="86"/>
      <c r="I308" s="87"/>
      <c r="J308" s="86"/>
      <c r="K308" s="88"/>
      <c r="L308" s="86"/>
      <c r="M308" s="88"/>
      <c r="N308" s="86"/>
      <c r="O308" s="88"/>
      <c r="P308" s="86"/>
      <c r="Q308" s="88"/>
      <c r="R308" s="86"/>
      <c r="S308" s="88"/>
      <c r="T308" s="86"/>
      <c r="U308" s="88"/>
      <c r="V308" s="86"/>
      <c r="W308" s="88"/>
      <c r="X308" s="86"/>
      <c r="Y308" s="88"/>
      <c r="Z308" s="86"/>
      <c r="AA308" s="88"/>
      <c r="AB308" s="86"/>
      <c r="AC308" s="88"/>
      <c r="AD308" s="86"/>
      <c r="AE308" s="88"/>
      <c r="AF308" s="86"/>
      <c r="AG308" s="88"/>
      <c r="AH308" s="86"/>
      <c r="AI308" s="88"/>
      <c r="AJ308" s="86"/>
      <c r="AK308" s="88"/>
      <c r="AL308" s="86"/>
      <c r="AM308" s="88"/>
      <c r="AN308" s="86"/>
      <c r="AO308" s="88"/>
      <c r="AP308" s="86"/>
      <c r="AQ308" s="88"/>
      <c r="AR308" s="86"/>
      <c r="AS308" s="88"/>
      <c r="AT308" s="86"/>
      <c r="AU308" s="88"/>
      <c r="AV308" s="86"/>
      <c r="AW308" s="88"/>
      <c r="AX308" s="86"/>
      <c r="AY308" s="88"/>
      <c r="AZ308" s="86"/>
      <c r="BA308" s="88"/>
      <c r="BB308" s="86"/>
      <c r="BC308" s="88"/>
      <c r="BD308" s="86"/>
      <c r="BE308" s="88"/>
      <c r="BF308" s="86"/>
      <c r="BG308" s="88"/>
      <c r="BH308" s="86"/>
      <c r="BI308" s="88"/>
      <c r="BJ308" s="86"/>
      <c r="BK308" s="88"/>
      <c r="BL308" s="86"/>
      <c r="BM308" s="88"/>
      <c r="BN308" s="86"/>
      <c r="BO308" s="88"/>
      <c r="BP308" s="86"/>
      <c r="BQ308" s="88"/>
      <c r="BR308" s="86"/>
      <c r="BS308" s="87"/>
    </row>
    <row r="309" ht="22.5" customHeight="1">
      <c r="A309" s="154"/>
      <c r="B309" s="83"/>
      <c r="C309" s="151"/>
      <c r="D309" s="83"/>
      <c r="E309" s="151"/>
      <c r="F309" s="83"/>
      <c r="G309" s="85"/>
      <c r="H309" s="86"/>
      <c r="I309" s="87"/>
      <c r="J309" s="86"/>
      <c r="K309" s="88"/>
      <c r="L309" s="86"/>
      <c r="M309" s="88"/>
      <c r="N309" s="86"/>
      <c r="O309" s="88"/>
      <c r="P309" s="86"/>
      <c r="Q309" s="88"/>
      <c r="R309" s="86"/>
      <c r="S309" s="88"/>
      <c r="T309" s="86"/>
      <c r="U309" s="88"/>
      <c r="V309" s="86"/>
      <c r="W309" s="88"/>
      <c r="X309" s="86"/>
      <c r="Y309" s="88"/>
      <c r="Z309" s="86"/>
      <c r="AA309" s="88"/>
      <c r="AB309" s="86"/>
      <c r="AC309" s="88"/>
      <c r="AD309" s="86"/>
      <c r="AE309" s="88"/>
      <c r="AF309" s="86"/>
      <c r="AG309" s="88"/>
      <c r="AH309" s="86"/>
      <c r="AI309" s="88"/>
      <c r="AJ309" s="86"/>
      <c r="AK309" s="88"/>
      <c r="AL309" s="86"/>
      <c r="AM309" s="88"/>
      <c r="AN309" s="86"/>
      <c r="AO309" s="88"/>
      <c r="AP309" s="86"/>
      <c r="AQ309" s="88"/>
      <c r="AR309" s="86"/>
      <c r="AS309" s="88"/>
      <c r="AT309" s="86"/>
      <c r="AU309" s="88"/>
      <c r="AV309" s="86"/>
      <c r="AW309" s="88"/>
      <c r="AX309" s="86"/>
      <c r="AY309" s="88"/>
      <c r="AZ309" s="86"/>
      <c r="BA309" s="88"/>
      <c r="BB309" s="86"/>
      <c r="BC309" s="88"/>
      <c r="BD309" s="86"/>
      <c r="BE309" s="88"/>
      <c r="BF309" s="86"/>
      <c r="BG309" s="88"/>
      <c r="BH309" s="86"/>
      <c r="BI309" s="88"/>
      <c r="BJ309" s="86"/>
      <c r="BK309" s="88"/>
      <c r="BL309" s="86"/>
      <c r="BM309" s="88"/>
      <c r="BN309" s="86"/>
      <c r="BO309" s="88"/>
      <c r="BP309" s="86"/>
      <c r="BQ309" s="88"/>
      <c r="BR309" s="86"/>
      <c r="BS309" s="87"/>
    </row>
    <row r="310" ht="22.5" customHeight="1">
      <c r="A310" s="154"/>
      <c r="B310" s="83"/>
      <c r="C310" s="151"/>
      <c r="D310" s="83"/>
      <c r="E310" s="151"/>
      <c r="F310" s="83"/>
      <c r="G310" s="85"/>
      <c r="H310" s="86"/>
      <c r="I310" s="87"/>
      <c r="J310" s="86"/>
      <c r="K310" s="88"/>
      <c r="L310" s="86"/>
      <c r="M310" s="88"/>
      <c r="N310" s="86"/>
      <c r="O310" s="88"/>
      <c r="P310" s="86"/>
      <c r="Q310" s="88"/>
      <c r="R310" s="86"/>
      <c r="S310" s="88"/>
      <c r="T310" s="86"/>
      <c r="U310" s="88"/>
      <c r="V310" s="86"/>
      <c r="W310" s="88"/>
      <c r="X310" s="86"/>
      <c r="Y310" s="88"/>
      <c r="Z310" s="86"/>
      <c r="AA310" s="88"/>
      <c r="AB310" s="86"/>
      <c r="AC310" s="88"/>
      <c r="AD310" s="86"/>
      <c r="AE310" s="88"/>
      <c r="AF310" s="86"/>
      <c r="AG310" s="88"/>
      <c r="AH310" s="86"/>
      <c r="AI310" s="88"/>
      <c r="AJ310" s="86"/>
      <c r="AK310" s="88"/>
      <c r="AL310" s="86"/>
      <c r="AM310" s="88"/>
      <c r="AN310" s="86"/>
      <c r="AO310" s="88"/>
      <c r="AP310" s="86"/>
      <c r="AQ310" s="88"/>
      <c r="AR310" s="86"/>
      <c r="AS310" s="88"/>
      <c r="AT310" s="86"/>
      <c r="AU310" s="88"/>
      <c r="AV310" s="86"/>
      <c r="AW310" s="88"/>
      <c r="AX310" s="86"/>
      <c r="AY310" s="88"/>
      <c r="AZ310" s="86"/>
      <c r="BA310" s="88"/>
      <c r="BB310" s="86"/>
      <c r="BC310" s="88"/>
      <c r="BD310" s="86"/>
      <c r="BE310" s="88"/>
      <c r="BF310" s="86"/>
      <c r="BG310" s="88"/>
      <c r="BH310" s="86"/>
      <c r="BI310" s="88"/>
      <c r="BJ310" s="86"/>
      <c r="BK310" s="88"/>
      <c r="BL310" s="86"/>
      <c r="BM310" s="88"/>
      <c r="BN310" s="86"/>
      <c r="BO310" s="88"/>
      <c r="BP310" s="86"/>
      <c r="BQ310" s="88"/>
      <c r="BR310" s="86"/>
      <c r="BS310" s="87"/>
    </row>
    <row r="311" ht="22.5" customHeight="1">
      <c r="A311" s="154"/>
      <c r="B311" s="83"/>
      <c r="C311" s="151"/>
      <c r="D311" s="83"/>
      <c r="E311" s="151"/>
      <c r="F311" s="83"/>
      <c r="G311" s="85"/>
      <c r="H311" s="86"/>
      <c r="I311" s="87"/>
      <c r="J311" s="86"/>
      <c r="K311" s="88"/>
      <c r="L311" s="86"/>
      <c r="M311" s="88"/>
      <c r="N311" s="86"/>
      <c r="O311" s="88"/>
      <c r="P311" s="86"/>
      <c r="Q311" s="88"/>
      <c r="R311" s="86"/>
      <c r="S311" s="88"/>
      <c r="T311" s="86"/>
      <c r="U311" s="88"/>
      <c r="V311" s="86"/>
      <c r="W311" s="88"/>
      <c r="X311" s="86"/>
      <c r="Y311" s="88"/>
      <c r="Z311" s="86"/>
      <c r="AA311" s="88"/>
      <c r="AB311" s="86"/>
      <c r="AC311" s="88"/>
      <c r="AD311" s="86"/>
      <c r="AE311" s="88"/>
      <c r="AF311" s="86"/>
      <c r="AG311" s="88"/>
      <c r="AH311" s="86"/>
      <c r="AI311" s="88"/>
      <c r="AJ311" s="86"/>
      <c r="AK311" s="88"/>
      <c r="AL311" s="86"/>
      <c r="AM311" s="88"/>
      <c r="AN311" s="86"/>
      <c r="AO311" s="88"/>
      <c r="AP311" s="86"/>
      <c r="AQ311" s="88"/>
      <c r="AR311" s="86"/>
      <c r="AS311" s="88"/>
      <c r="AT311" s="86"/>
      <c r="AU311" s="88"/>
      <c r="AV311" s="86"/>
      <c r="AW311" s="88"/>
      <c r="AX311" s="86"/>
      <c r="AY311" s="88"/>
      <c r="AZ311" s="86"/>
      <c r="BA311" s="88"/>
      <c r="BB311" s="86"/>
      <c r="BC311" s="88"/>
      <c r="BD311" s="86"/>
      <c r="BE311" s="88"/>
      <c r="BF311" s="86"/>
      <c r="BG311" s="88"/>
      <c r="BH311" s="86"/>
      <c r="BI311" s="88"/>
      <c r="BJ311" s="86"/>
      <c r="BK311" s="88"/>
      <c r="BL311" s="86"/>
      <c r="BM311" s="88"/>
      <c r="BN311" s="86"/>
      <c r="BO311" s="88"/>
      <c r="BP311" s="86"/>
      <c r="BQ311" s="88"/>
      <c r="BR311" s="86"/>
      <c r="BS311" s="87"/>
    </row>
    <row r="312" ht="22.5" customHeight="1">
      <c r="A312" s="154"/>
      <c r="B312" s="83"/>
      <c r="C312" s="151"/>
      <c r="D312" s="83"/>
      <c r="E312" s="151"/>
      <c r="F312" s="83"/>
      <c r="G312" s="85"/>
      <c r="H312" s="86"/>
      <c r="I312" s="87"/>
      <c r="J312" s="86"/>
      <c r="K312" s="88"/>
      <c r="L312" s="86"/>
      <c r="M312" s="88"/>
      <c r="N312" s="86"/>
      <c r="O312" s="88"/>
      <c r="P312" s="86"/>
      <c r="Q312" s="88"/>
      <c r="R312" s="86"/>
      <c r="S312" s="88"/>
      <c r="T312" s="86"/>
      <c r="U312" s="88"/>
      <c r="V312" s="86"/>
      <c r="W312" s="88"/>
      <c r="X312" s="86"/>
      <c r="Y312" s="88"/>
      <c r="Z312" s="86"/>
      <c r="AA312" s="88"/>
      <c r="AB312" s="86"/>
      <c r="AC312" s="88"/>
      <c r="AD312" s="86"/>
      <c r="AE312" s="88"/>
      <c r="AF312" s="86"/>
      <c r="AG312" s="88"/>
      <c r="AH312" s="86"/>
      <c r="AI312" s="88"/>
      <c r="AJ312" s="86"/>
      <c r="AK312" s="88"/>
      <c r="AL312" s="86"/>
      <c r="AM312" s="88"/>
      <c r="AN312" s="86"/>
      <c r="AO312" s="88"/>
      <c r="AP312" s="86"/>
      <c r="AQ312" s="88"/>
      <c r="AR312" s="86"/>
      <c r="AS312" s="88"/>
      <c r="AT312" s="86"/>
      <c r="AU312" s="88"/>
      <c r="AV312" s="86"/>
      <c r="AW312" s="88"/>
      <c r="AX312" s="86"/>
      <c r="AY312" s="88"/>
      <c r="AZ312" s="86"/>
      <c r="BA312" s="88"/>
      <c r="BB312" s="86"/>
      <c r="BC312" s="88"/>
      <c r="BD312" s="86"/>
      <c r="BE312" s="88"/>
      <c r="BF312" s="86"/>
      <c r="BG312" s="88"/>
      <c r="BH312" s="86"/>
      <c r="BI312" s="88"/>
      <c r="BJ312" s="86"/>
      <c r="BK312" s="88"/>
      <c r="BL312" s="86"/>
      <c r="BM312" s="88"/>
      <c r="BN312" s="86"/>
      <c r="BO312" s="88"/>
      <c r="BP312" s="86"/>
      <c r="BQ312" s="88"/>
      <c r="BR312" s="86"/>
      <c r="BS312" s="87"/>
    </row>
    <row r="313" ht="22.5" customHeight="1">
      <c r="A313" s="154"/>
      <c r="B313" s="83"/>
      <c r="C313" s="151"/>
      <c r="D313" s="83"/>
      <c r="E313" s="151"/>
      <c r="F313" s="83"/>
      <c r="G313" s="85"/>
      <c r="H313" s="86"/>
      <c r="I313" s="87"/>
      <c r="J313" s="86"/>
      <c r="K313" s="88"/>
      <c r="L313" s="86"/>
      <c r="M313" s="88"/>
      <c r="N313" s="86"/>
      <c r="O313" s="88"/>
      <c r="P313" s="86"/>
      <c r="Q313" s="88"/>
      <c r="R313" s="86"/>
      <c r="S313" s="88"/>
      <c r="T313" s="86"/>
      <c r="U313" s="88"/>
      <c r="V313" s="86"/>
      <c r="W313" s="88"/>
      <c r="X313" s="86"/>
      <c r="Y313" s="88"/>
      <c r="Z313" s="86"/>
      <c r="AA313" s="88"/>
      <c r="AB313" s="86"/>
      <c r="AC313" s="88"/>
      <c r="AD313" s="86"/>
      <c r="AE313" s="88"/>
      <c r="AF313" s="86"/>
      <c r="AG313" s="88"/>
      <c r="AH313" s="86"/>
      <c r="AI313" s="88"/>
      <c r="AJ313" s="86"/>
      <c r="AK313" s="88"/>
      <c r="AL313" s="86"/>
      <c r="AM313" s="88"/>
      <c r="AN313" s="86"/>
      <c r="AO313" s="88"/>
      <c r="AP313" s="86"/>
      <c r="AQ313" s="88"/>
      <c r="AR313" s="86"/>
      <c r="AS313" s="88"/>
      <c r="AT313" s="86"/>
      <c r="AU313" s="88"/>
      <c r="AV313" s="86"/>
      <c r="AW313" s="88"/>
      <c r="AX313" s="86"/>
      <c r="AY313" s="88"/>
      <c r="AZ313" s="86"/>
      <c r="BA313" s="88"/>
      <c r="BB313" s="86"/>
      <c r="BC313" s="88"/>
      <c r="BD313" s="86"/>
      <c r="BE313" s="88"/>
      <c r="BF313" s="86"/>
      <c r="BG313" s="88"/>
      <c r="BH313" s="86"/>
      <c r="BI313" s="88"/>
      <c r="BJ313" s="86"/>
      <c r="BK313" s="88"/>
      <c r="BL313" s="86"/>
      <c r="BM313" s="88"/>
      <c r="BN313" s="86"/>
      <c r="BO313" s="88"/>
      <c r="BP313" s="86"/>
      <c r="BQ313" s="88"/>
      <c r="BR313" s="86"/>
      <c r="BS313" s="87"/>
    </row>
    <row r="314" ht="22.5" customHeight="1">
      <c r="A314" s="154"/>
      <c r="B314" s="83"/>
      <c r="C314" s="151"/>
      <c r="D314" s="83"/>
      <c r="E314" s="151"/>
      <c r="F314" s="83"/>
      <c r="G314" s="85"/>
      <c r="H314" s="86"/>
      <c r="I314" s="87"/>
      <c r="J314" s="86"/>
      <c r="K314" s="88"/>
      <c r="L314" s="86"/>
      <c r="M314" s="88"/>
      <c r="N314" s="86"/>
      <c r="O314" s="88"/>
      <c r="P314" s="86"/>
      <c r="Q314" s="88"/>
      <c r="R314" s="86"/>
      <c r="S314" s="88"/>
      <c r="T314" s="86"/>
      <c r="U314" s="88"/>
      <c r="V314" s="86"/>
      <c r="W314" s="88"/>
      <c r="X314" s="86"/>
      <c r="Y314" s="88"/>
      <c r="Z314" s="86"/>
      <c r="AA314" s="88"/>
      <c r="AB314" s="86"/>
      <c r="AC314" s="88"/>
      <c r="AD314" s="86"/>
      <c r="AE314" s="88"/>
      <c r="AF314" s="86"/>
      <c r="AG314" s="88"/>
      <c r="AH314" s="86"/>
      <c r="AI314" s="88"/>
      <c r="AJ314" s="86"/>
      <c r="AK314" s="88"/>
      <c r="AL314" s="86"/>
      <c r="AM314" s="88"/>
      <c r="AN314" s="86"/>
      <c r="AO314" s="88"/>
      <c r="AP314" s="86"/>
      <c r="AQ314" s="88"/>
      <c r="AR314" s="86"/>
      <c r="AS314" s="88"/>
      <c r="AT314" s="86"/>
      <c r="AU314" s="88"/>
      <c r="AV314" s="86"/>
      <c r="AW314" s="88"/>
      <c r="AX314" s="86"/>
      <c r="AY314" s="88"/>
      <c r="AZ314" s="86"/>
      <c r="BA314" s="88"/>
      <c r="BB314" s="86"/>
      <c r="BC314" s="88"/>
      <c r="BD314" s="86"/>
      <c r="BE314" s="88"/>
      <c r="BF314" s="86"/>
      <c r="BG314" s="88"/>
      <c r="BH314" s="86"/>
      <c r="BI314" s="88"/>
      <c r="BJ314" s="86"/>
      <c r="BK314" s="88"/>
      <c r="BL314" s="86"/>
      <c r="BM314" s="88"/>
      <c r="BN314" s="86"/>
      <c r="BO314" s="88"/>
      <c r="BP314" s="86"/>
      <c r="BQ314" s="88"/>
      <c r="BR314" s="86"/>
      <c r="BS314" s="87"/>
    </row>
    <row r="315" ht="22.5" customHeight="1">
      <c r="A315" s="154"/>
      <c r="B315" s="83"/>
      <c r="C315" s="151"/>
      <c r="D315" s="83"/>
      <c r="E315" s="151"/>
      <c r="F315" s="83"/>
      <c r="G315" s="85"/>
      <c r="H315" s="86"/>
      <c r="I315" s="87"/>
      <c r="J315" s="86"/>
      <c r="K315" s="88"/>
      <c r="L315" s="86"/>
      <c r="M315" s="88"/>
      <c r="N315" s="86"/>
      <c r="O315" s="88"/>
      <c r="P315" s="86"/>
      <c r="Q315" s="88"/>
      <c r="R315" s="86"/>
      <c r="S315" s="88"/>
      <c r="T315" s="86"/>
      <c r="U315" s="88"/>
      <c r="V315" s="86"/>
      <c r="W315" s="88"/>
      <c r="X315" s="86"/>
      <c r="Y315" s="88"/>
      <c r="Z315" s="86"/>
      <c r="AA315" s="88"/>
      <c r="AB315" s="86"/>
      <c r="AC315" s="88"/>
      <c r="AD315" s="86"/>
      <c r="AE315" s="88"/>
      <c r="AF315" s="86"/>
      <c r="AG315" s="88"/>
      <c r="AH315" s="86"/>
      <c r="AI315" s="88"/>
      <c r="AJ315" s="86"/>
      <c r="AK315" s="88"/>
      <c r="AL315" s="86"/>
      <c r="AM315" s="88"/>
      <c r="AN315" s="86"/>
      <c r="AO315" s="88"/>
      <c r="AP315" s="86"/>
      <c r="AQ315" s="88"/>
      <c r="AR315" s="86"/>
      <c r="AS315" s="88"/>
      <c r="AT315" s="86"/>
      <c r="AU315" s="88"/>
      <c r="AV315" s="86"/>
      <c r="AW315" s="88"/>
      <c r="AX315" s="86"/>
      <c r="AY315" s="88"/>
      <c r="AZ315" s="86"/>
      <c r="BA315" s="88"/>
      <c r="BB315" s="86"/>
      <c r="BC315" s="88"/>
      <c r="BD315" s="86"/>
      <c r="BE315" s="88"/>
      <c r="BF315" s="86"/>
      <c r="BG315" s="88"/>
      <c r="BH315" s="86"/>
      <c r="BI315" s="88"/>
      <c r="BJ315" s="86"/>
      <c r="BK315" s="88"/>
      <c r="BL315" s="86"/>
      <c r="BM315" s="88"/>
      <c r="BN315" s="86"/>
      <c r="BO315" s="88"/>
      <c r="BP315" s="86"/>
      <c r="BQ315" s="88"/>
      <c r="BR315" s="86"/>
      <c r="BS315" s="87"/>
    </row>
    <row r="316" ht="22.5" customHeight="1">
      <c r="A316" s="154"/>
      <c r="B316" s="83"/>
      <c r="C316" s="151"/>
      <c r="D316" s="83"/>
      <c r="E316" s="151"/>
      <c r="F316" s="83"/>
      <c r="G316" s="85"/>
      <c r="H316" s="86"/>
      <c r="I316" s="87"/>
      <c r="J316" s="86"/>
      <c r="K316" s="88"/>
      <c r="L316" s="86"/>
      <c r="M316" s="88"/>
      <c r="N316" s="86"/>
      <c r="O316" s="88"/>
      <c r="P316" s="86"/>
      <c r="Q316" s="88"/>
      <c r="R316" s="86"/>
      <c r="S316" s="88"/>
      <c r="T316" s="86"/>
      <c r="U316" s="88"/>
      <c r="V316" s="86"/>
      <c r="W316" s="88"/>
      <c r="X316" s="86"/>
      <c r="Y316" s="88"/>
      <c r="Z316" s="86"/>
      <c r="AA316" s="88"/>
      <c r="AB316" s="86"/>
      <c r="AC316" s="88"/>
      <c r="AD316" s="86"/>
      <c r="AE316" s="88"/>
      <c r="AF316" s="86"/>
      <c r="AG316" s="88"/>
      <c r="AH316" s="86"/>
      <c r="AI316" s="88"/>
      <c r="AJ316" s="86"/>
      <c r="AK316" s="88"/>
      <c r="AL316" s="86"/>
      <c r="AM316" s="88"/>
      <c r="AN316" s="86"/>
      <c r="AO316" s="88"/>
      <c r="AP316" s="86"/>
      <c r="AQ316" s="88"/>
      <c r="AR316" s="86"/>
      <c r="AS316" s="88"/>
      <c r="AT316" s="86"/>
      <c r="AU316" s="88"/>
      <c r="AV316" s="86"/>
      <c r="AW316" s="88"/>
      <c r="AX316" s="86"/>
      <c r="AY316" s="88"/>
      <c r="AZ316" s="86"/>
      <c r="BA316" s="88"/>
      <c r="BB316" s="86"/>
      <c r="BC316" s="88"/>
      <c r="BD316" s="86"/>
      <c r="BE316" s="88"/>
      <c r="BF316" s="86"/>
      <c r="BG316" s="88"/>
      <c r="BH316" s="86"/>
      <c r="BI316" s="88"/>
      <c r="BJ316" s="86"/>
      <c r="BK316" s="88"/>
      <c r="BL316" s="86"/>
      <c r="BM316" s="88"/>
      <c r="BN316" s="86"/>
      <c r="BO316" s="88"/>
      <c r="BP316" s="86"/>
      <c r="BQ316" s="88"/>
      <c r="BR316" s="86"/>
      <c r="BS316" s="87"/>
    </row>
    <row r="317" ht="22.5" customHeight="1">
      <c r="A317" s="154"/>
      <c r="B317" s="83"/>
      <c r="C317" s="151"/>
      <c r="D317" s="83"/>
      <c r="E317" s="151"/>
      <c r="F317" s="83"/>
      <c r="G317" s="85"/>
      <c r="H317" s="86"/>
      <c r="I317" s="87"/>
      <c r="J317" s="86"/>
      <c r="K317" s="88"/>
      <c r="L317" s="86"/>
      <c r="M317" s="88"/>
      <c r="N317" s="86"/>
      <c r="O317" s="88"/>
      <c r="P317" s="86"/>
      <c r="Q317" s="88"/>
      <c r="R317" s="86"/>
      <c r="S317" s="88"/>
      <c r="T317" s="86"/>
      <c r="U317" s="88"/>
      <c r="V317" s="86"/>
      <c r="W317" s="88"/>
      <c r="X317" s="86"/>
      <c r="Y317" s="88"/>
      <c r="Z317" s="86"/>
      <c r="AA317" s="88"/>
      <c r="AB317" s="86"/>
      <c r="AC317" s="88"/>
      <c r="AD317" s="86"/>
      <c r="AE317" s="88"/>
      <c r="AF317" s="86"/>
      <c r="AG317" s="88"/>
      <c r="AH317" s="86"/>
      <c r="AI317" s="88"/>
      <c r="AJ317" s="86"/>
      <c r="AK317" s="88"/>
      <c r="AL317" s="86"/>
      <c r="AM317" s="88"/>
      <c r="AN317" s="86"/>
      <c r="AO317" s="88"/>
      <c r="AP317" s="86"/>
      <c r="AQ317" s="88"/>
      <c r="AR317" s="86"/>
      <c r="AS317" s="88"/>
      <c r="AT317" s="86"/>
      <c r="AU317" s="88"/>
      <c r="AV317" s="86"/>
      <c r="AW317" s="88"/>
      <c r="AX317" s="86"/>
      <c r="AY317" s="88"/>
      <c r="AZ317" s="86"/>
      <c r="BA317" s="88"/>
      <c r="BB317" s="86"/>
      <c r="BC317" s="88"/>
      <c r="BD317" s="86"/>
      <c r="BE317" s="88"/>
      <c r="BF317" s="86"/>
      <c r="BG317" s="88"/>
      <c r="BH317" s="86"/>
      <c r="BI317" s="88"/>
      <c r="BJ317" s="86"/>
      <c r="BK317" s="88"/>
      <c r="BL317" s="86"/>
      <c r="BM317" s="88"/>
      <c r="BN317" s="86"/>
      <c r="BO317" s="88"/>
      <c r="BP317" s="86"/>
      <c r="BQ317" s="88"/>
      <c r="BR317" s="86"/>
      <c r="BS317" s="87"/>
    </row>
    <row r="318" ht="22.5" customHeight="1">
      <c r="A318" s="154"/>
      <c r="B318" s="83"/>
      <c r="C318" s="151"/>
      <c r="D318" s="83"/>
      <c r="E318" s="151"/>
      <c r="F318" s="83"/>
      <c r="G318" s="85"/>
      <c r="H318" s="86"/>
      <c r="I318" s="87"/>
      <c r="J318" s="86"/>
      <c r="K318" s="88"/>
      <c r="L318" s="86"/>
      <c r="M318" s="88"/>
      <c r="N318" s="86"/>
      <c r="O318" s="88"/>
      <c r="P318" s="86"/>
      <c r="Q318" s="88"/>
      <c r="R318" s="86"/>
      <c r="S318" s="88"/>
      <c r="T318" s="86"/>
      <c r="U318" s="88"/>
      <c r="V318" s="86"/>
      <c r="W318" s="88"/>
      <c r="X318" s="86"/>
      <c r="Y318" s="88"/>
      <c r="Z318" s="86"/>
      <c r="AA318" s="88"/>
      <c r="AB318" s="86"/>
      <c r="AC318" s="88"/>
      <c r="AD318" s="86"/>
      <c r="AE318" s="88"/>
      <c r="AF318" s="86"/>
      <c r="AG318" s="88"/>
      <c r="AH318" s="86"/>
      <c r="AI318" s="88"/>
      <c r="AJ318" s="86"/>
      <c r="AK318" s="88"/>
      <c r="AL318" s="86"/>
      <c r="AM318" s="88"/>
      <c r="AN318" s="86"/>
      <c r="AO318" s="88"/>
      <c r="AP318" s="86"/>
      <c r="AQ318" s="88"/>
      <c r="AR318" s="86"/>
      <c r="AS318" s="88"/>
      <c r="AT318" s="86"/>
      <c r="AU318" s="88"/>
      <c r="AV318" s="86"/>
      <c r="AW318" s="88"/>
      <c r="AX318" s="86"/>
      <c r="AY318" s="88"/>
      <c r="AZ318" s="86"/>
      <c r="BA318" s="88"/>
      <c r="BB318" s="86"/>
      <c r="BC318" s="88"/>
      <c r="BD318" s="86"/>
      <c r="BE318" s="88"/>
      <c r="BF318" s="86"/>
      <c r="BG318" s="88"/>
      <c r="BH318" s="86"/>
      <c r="BI318" s="88"/>
      <c r="BJ318" s="86"/>
      <c r="BK318" s="88"/>
      <c r="BL318" s="86"/>
      <c r="BM318" s="88"/>
      <c r="BN318" s="86"/>
      <c r="BO318" s="88"/>
      <c r="BP318" s="86"/>
      <c r="BQ318" s="88"/>
      <c r="BR318" s="86"/>
      <c r="BS318" s="87"/>
    </row>
    <row r="319" ht="22.5" customHeight="1">
      <c r="A319" s="154"/>
      <c r="B319" s="83"/>
      <c r="C319" s="151"/>
      <c r="D319" s="83"/>
      <c r="E319" s="151"/>
      <c r="F319" s="83"/>
      <c r="G319" s="85"/>
      <c r="H319" s="86"/>
      <c r="I319" s="87"/>
      <c r="J319" s="86"/>
      <c r="K319" s="88"/>
      <c r="L319" s="86"/>
      <c r="M319" s="88"/>
      <c r="N319" s="86"/>
      <c r="O319" s="88"/>
      <c r="P319" s="86"/>
      <c r="Q319" s="88"/>
      <c r="R319" s="86"/>
      <c r="S319" s="88"/>
      <c r="T319" s="86"/>
      <c r="U319" s="88"/>
      <c r="V319" s="86"/>
      <c r="W319" s="88"/>
      <c r="X319" s="86"/>
      <c r="Y319" s="88"/>
      <c r="Z319" s="86"/>
      <c r="AA319" s="88"/>
      <c r="AB319" s="86"/>
      <c r="AC319" s="88"/>
      <c r="AD319" s="86"/>
      <c r="AE319" s="88"/>
      <c r="AF319" s="86"/>
      <c r="AG319" s="88"/>
      <c r="AH319" s="86"/>
      <c r="AI319" s="88"/>
      <c r="AJ319" s="86"/>
      <c r="AK319" s="88"/>
      <c r="AL319" s="86"/>
      <c r="AM319" s="88"/>
      <c r="AN319" s="86"/>
      <c r="AO319" s="88"/>
      <c r="AP319" s="86"/>
      <c r="AQ319" s="88"/>
      <c r="AR319" s="86"/>
      <c r="AS319" s="88"/>
      <c r="AT319" s="86"/>
      <c r="AU319" s="88"/>
      <c r="AV319" s="86"/>
      <c r="AW319" s="88"/>
      <c r="AX319" s="86"/>
      <c r="AY319" s="88"/>
      <c r="AZ319" s="86"/>
      <c r="BA319" s="88"/>
      <c r="BB319" s="86"/>
      <c r="BC319" s="88"/>
      <c r="BD319" s="86"/>
      <c r="BE319" s="88"/>
      <c r="BF319" s="86"/>
      <c r="BG319" s="88"/>
      <c r="BH319" s="86"/>
      <c r="BI319" s="88"/>
      <c r="BJ319" s="86"/>
      <c r="BK319" s="88"/>
      <c r="BL319" s="86"/>
      <c r="BM319" s="88"/>
      <c r="BN319" s="86"/>
      <c r="BO319" s="88"/>
      <c r="BP319" s="86"/>
      <c r="BQ319" s="88"/>
      <c r="BR319" s="86"/>
      <c r="BS319" s="87"/>
    </row>
    <row r="320" ht="22.5" customHeight="1">
      <c r="A320" s="154"/>
      <c r="B320" s="83"/>
      <c r="C320" s="151"/>
      <c r="D320" s="83"/>
      <c r="E320" s="151"/>
      <c r="F320" s="83"/>
      <c r="G320" s="85"/>
      <c r="H320" s="86"/>
      <c r="I320" s="87"/>
      <c r="J320" s="86"/>
      <c r="K320" s="88"/>
      <c r="L320" s="86"/>
      <c r="M320" s="88"/>
      <c r="N320" s="86"/>
      <c r="O320" s="88"/>
      <c r="P320" s="86"/>
      <c r="Q320" s="88"/>
      <c r="R320" s="86"/>
      <c r="S320" s="88"/>
      <c r="T320" s="86"/>
      <c r="U320" s="88"/>
      <c r="V320" s="86"/>
      <c r="W320" s="88"/>
      <c r="X320" s="86"/>
      <c r="Y320" s="88"/>
      <c r="Z320" s="86"/>
      <c r="AA320" s="88"/>
      <c r="AB320" s="86"/>
      <c r="AC320" s="88"/>
      <c r="AD320" s="86"/>
      <c r="AE320" s="88"/>
      <c r="AF320" s="86"/>
      <c r="AG320" s="88"/>
      <c r="AH320" s="86"/>
      <c r="AI320" s="88"/>
      <c r="AJ320" s="86"/>
      <c r="AK320" s="88"/>
      <c r="AL320" s="86"/>
      <c r="AM320" s="88"/>
      <c r="AN320" s="86"/>
      <c r="AO320" s="88"/>
      <c r="AP320" s="86"/>
      <c r="AQ320" s="88"/>
      <c r="AR320" s="86"/>
      <c r="AS320" s="88"/>
      <c r="AT320" s="86"/>
      <c r="AU320" s="88"/>
      <c r="AV320" s="86"/>
      <c r="AW320" s="88"/>
      <c r="AX320" s="86"/>
      <c r="AY320" s="88"/>
      <c r="AZ320" s="86"/>
      <c r="BA320" s="88"/>
      <c r="BB320" s="86"/>
      <c r="BC320" s="88"/>
      <c r="BD320" s="86"/>
      <c r="BE320" s="88"/>
      <c r="BF320" s="86"/>
      <c r="BG320" s="88"/>
      <c r="BH320" s="86"/>
      <c r="BI320" s="88"/>
      <c r="BJ320" s="86"/>
      <c r="BK320" s="88"/>
      <c r="BL320" s="86"/>
      <c r="BM320" s="88"/>
      <c r="BN320" s="86"/>
      <c r="BO320" s="88"/>
      <c r="BP320" s="86"/>
      <c r="BQ320" s="88"/>
      <c r="BR320" s="86"/>
      <c r="BS320" s="87"/>
    </row>
    <row r="321" ht="22.5" customHeight="1">
      <c r="A321" s="154"/>
      <c r="B321" s="83"/>
      <c r="C321" s="151"/>
      <c r="D321" s="83"/>
      <c r="E321" s="151"/>
      <c r="F321" s="83"/>
      <c r="G321" s="85"/>
      <c r="H321" s="86"/>
      <c r="I321" s="87"/>
      <c r="J321" s="86"/>
      <c r="K321" s="88"/>
      <c r="L321" s="86"/>
      <c r="M321" s="88"/>
      <c r="N321" s="86"/>
      <c r="O321" s="88"/>
      <c r="P321" s="86"/>
      <c r="Q321" s="88"/>
      <c r="R321" s="86"/>
      <c r="S321" s="88"/>
      <c r="T321" s="86"/>
      <c r="U321" s="88"/>
      <c r="V321" s="86"/>
      <c r="W321" s="88"/>
      <c r="X321" s="86"/>
      <c r="Y321" s="88"/>
      <c r="Z321" s="86"/>
      <c r="AA321" s="88"/>
      <c r="AB321" s="86"/>
      <c r="AC321" s="88"/>
      <c r="AD321" s="86"/>
      <c r="AE321" s="88"/>
      <c r="AF321" s="86"/>
      <c r="AG321" s="88"/>
      <c r="AH321" s="86"/>
      <c r="AI321" s="88"/>
      <c r="AJ321" s="86"/>
      <c r="AK321" s="88"/>
      <c r="AL321" s="86"/>
      <c r="AM321" s="88"/>
      <c r="AN321" s="86"/>
      <c r="AO321" s="88"/>
      <c r="AP321" s="86"/>
      <c r="AQ321" s="88"/>
      <c r="AR321" s="86"/>
      <c r="AS321" s="88"/>
      <c r="AT321" s="86"/>
      <c r="AU321" s="88"/>
      <c r="AV321" s="86"/>
      <c r="AW321" s="88"/>
      <c r="AX321" s="86"/>
      <c r="AY321" s="88"/>
      <c r="AZ321" s="86"/>
      <c r="BA321" s="88"/>
      <c r="BB321" s="86"/>
      <c r="BC321" s="88"/>
      <c r="BD321" s="86"/>
      <c r="BE321" s="88"/>
      <c r="BF321" s="86"/>
      <c r="BG321" s="88"/>
      <c r="BH321" s="86"/>
      <c r="BI321" s="88"/>
      <c r="BJ321" s="86"/>
      <c r="BK321" s="88"/>
      <c r="BL321" s="86"/>
      <c r="BM321" s="88"/>
      <c r="BN321" s="86"/>
      <c r="BO321" s="88"/>
      <c r="BP321" s="86"/>
      <c r="BQ321" s="88"/>
      <c r="BR321" s="86"/>
      <c r="BS321" s="87"/>
    </row>
    <row r="322" ht="22.5" customHeight="1">
      <c r="A322" s="154"/>
      <c r="B322" s="83"/>
      <c r="C322" s="151"/>
      <c r="D322" s="83"/>
      <c r="E322" s="151"/>
      <c r="F322" s="83"/>
      <c r="G322" s="85"/>
      <c r="H322" s="86"/>
      <c r="I322" s="87"/>
      <c r="J322" s="86"/>
      <c r="K322" s="88"/>
      <c r="L322" s="86"/>
      <c r="M322" s="88"/>
      <c r="N322" s="86"/>
      <c r="O322" s="88"/>
      <c r="P322" s="86"/>
      <c r="Q322" s="88"/>
      <c r="R322" s="86"/>
      <c r="S322" s="88"/>
      <c r="T322" s="86"/>
      <c r="U322" s="88"/>
      <c r="V322" s="86"/>
      <c r="W322" s="88"/>
      <c r="X322" s="86"/>
      <c r="Y322" s="88"/>
      <c r="Z322" s="86"/>
      <c r="AA322" s="88"/>
      <c r="AB322" s="86"/>
      <c r="AC322" s="88"/>
      <c r="AD322" s="86"/>
      <c r="AE322" s="88"/>
      <c r="AF322" s="86"/>
      <c r="AG322" s="88"/>
      <c r="AH322" s="86"/>
      <c r="AI322" s="88"/>
      <c r="AJ322" s="86"/>
      <c r="AK322" s="88"/>
      <c r="AL322" s="86"/>
      <c r="AM322" s="88"/>
      <c r="AN322" s="86"/>
      <c r="AO322" s="88"/>
      <c r="AP322" s="86"/>
      <c r="AQ322" s="88"/>
      <c r="AR322" s="86"/>
      <c r="AS322" s="88"/>
      <c r="AT322" s="86"/>
      <c r="AU322" s="88"/>
      <c r="AV322" s="86"/>
      <c r="AW322" s="88"/>
      <c r="AX322" s="86"/>
      <c r="AY322" s="88"/>
      <c r="AZ322" s="86"/>
      <c r="BA322" s="88"/>
      <c r="BB322" s="86"/>
      <c r="BC322" s="88"/>
      <c r="BD322" s="86"/>
      <c r="BE322" s="88"/>
      <c r="BF322" s="86"/>
      <c r="BG322" s="88"/>
      <c r="BH322" s="86"/>
      <c r="BI322" s="88"/>
      <c r="BJ322" s="86"/>
      <c r="BK322" s="88"/>
      <c r="BL322" s="86"/>
      <c r="BM322" s="88"/>
      <c r="BN322" s="86"/>
      <c r="BO322" s="88"/>
      <c r="BP322" s="86"/>
      <c r="BQ322" s="88"/>
      <c r="BR322" s="86"/>
      <c r="BS322" s="87"/>
    </row>
    <row r="323" ht="22.5" customHeight="1">
      <c r="A323" s="154"/>
      <c r="B323" s="83"/>
      <c r="C323" s="151"/>
      <c r="D323" s="83"/>
      <c r="E323" s="151"/>
      <c r="F323" s="83"/>
      <c r="G323" s="85"/>
      <c r="H323" s="86"/>
      <c r="I323" s="87"/>
      <c r="J323" s="86"/>
      <c r="K323" s="88"/>
      <c r="L323" s="86"/>
      <c r="M323" s="88"/>
      <c r="N323" s="86"/>
      <c r="O323" s="88"/>
      <c r="P323" s="86"/>
      <c r="Q323" s="88"/>
      <c r="R323" s="86"/>
      <c r="S323" s="88"/>
      <c r="T323" s="86"/>
      <c r="U323" s="88"/>
      <c r="V323" s="86"/>
      <c r="W323" s="88"/>
      <c r="X323" s="86"/>
      <c r="Y323" s="88"/>
      <c r="Z323" s="86"/>
      <c r="AA323" s="88"/>
      <c r="AB323" s="86"/>
      <c r="AC323" s="88"/>
      <c r="AD323" s="86"/>
      <c r="AE323" s="88"/>
      <c r="AF323" s="86"/>
      <c r="AG323" s="88"/>
      <c r="AH323" s="86"/>
      <c r="AI323" s="88"/>
      <c r="AJ323" s="86"/>
      <c r="AK323" s="88"/>
      <c r="AL323" s="86"/>
      <c r="AM323" s="88"/>
      <c r="AN323" s="86"/>
      <c r="AO323" s="88"/>
      <c r="AP323" s="86"/>
      <c r="AQ323" s="88"/>
      <c r="AR323" s="86"/>
      <c r="AS323" s="88"/>
      <c r="AT323" s="86"/>
      <c r="AU323" s="88"/>
      <c r="AV323" s="86"/>
      <c r="AW323" s="88"/>
      <c r="AX323" s="86"/>
      <c r="AY323" s="88"/>
      <c r="AZ323" s="86"/>
      <c r="BA323" s="88"/>
      <c r="BB323" s="86"/>
      <c r="BC323" s="88"/>
      <c r="BD323" s="86"/>
      <c r="BE323" s="88"/>
      <c r="BF323" s="86"/>
      <c r="BG323" s="88"/>
      <c r="BH323" s="86"/>
      <c r="BI323" s="88"/>
      <c r="BJ323" s="86"/>
      <c r="BK323" s="88"/>
      <c r="BL323" s="86"/>
      <c r="BM323" s="88"/>
      <c r="BN323" s="86"/>
      <c r="BO323" s="88"/>
      <c r="BP323" s="86"/>
      <c r="BQ323" s="88"/>
      <c r="BR323" s="86"/>
      <c r="BS323" s="87"/>
    </row>
    <row r="324" ht="22.5" customHeight="1">
      <c r="A324" s="154"/>
      <c r="B324" s="83"/>
      <c r="C324" s="151"/>
      <c r="D324" s="83"/>
      <c r="E324" s="151"/>
      <c r="F324" s="83"/>
      <c r="G324" s="85"/>
      <c r="H324" s="86"/>
      <c r="I324" s="87"/>
      <c r="J324" s="86"/>
      <c r="K324" s="88"/>
      <c r="L324" s="86"/>
      <c r="M324" s="88"/>
      <c r="N324" s="86"/>
      <c r="O324" s="88"/>
      <c r="P324" s="86"/>
      <c r="Q324" s="88"/>
      <c r="R324" s="86"/>
      <c r="S324" s="88"/>
      <c r="T324" s="86"/>
      <c r="U324" s="88"/>
      <c r="V324" s="86"/>
      <c r="W324" s="88"/>
      <c r="X324" s="86"/>
      <c r="Y324" s="88"/>
      <c r="Z324" s="86"/>
      <c r="AA324" s="88"/>
      <c r="AB324" s="86"/>
      <c r="AC324" s="88"/>
      <c r="AD324" s="86"/>
      <c r="AE324" s="88"/>
      <c r="AF324" s="86"/>
      <c r="AG324" s="88"/>
      <c r="AH324" s="86"/>
      <c r="AI324" s="88"/>
      <c r="AJ324" s="86"/>
      <c r="AK324" s="88"/>
      <c r="AL324" s="86"/>
      <c r="AM324" s="88"/>
      <c r="AN324" s="86"/>
      <c r="AO324" s="88"/>
      <c r="AP324" s="86"/>
      <c r="AQ324" s="88"/>
      <c r="AR324" s="86"/>
      <c r="AS324" s="88"/>
      <c r="AT324" s="86"/>
      <c r="AU324" s="88"/>
      <c r="AV324" s="86"/>
      <c r="AW324" s="88"/>
      <c r="AX324" s="86"/>
      <c r="AY324" s="88"/>
      <c r="AZ324" s="86"/>
      <c r="BA324" s="88"/>
      <c r="BB324" s="86"/>
      <c r="BC324" s="88"/>
      <c r="BD324" s="86"/>
      <c r="BE324" s="88"/>
      <c r="BF324" s="86"/>
      <c r="BG324" s="88"/>
      <c r="BH324" s="86"/>
      <c r="BI324" s="88"/>
      <c r="BJ324" s="86"/>
      <c r="BK324" s="88"/>
      <c r="BL324" s="86"/>
      <c r="BM324" s="88"/>
      <c r="BN324" s="86"/>
      <c r="BO324" s="88"/>
      <c r="BP324" s="86"/>
      <c r="BQ324" s="88"/>
      <c r="BR324" s="86"/>
      <c r="BS324" s="87"/>
    </row>
    <row r="325" ht="22.5" customHeight="1">
      <c r="A325" s="154"/>
      <c r="B325" s="83"/>
      <c r="C325" s="151"/>
      <c r="D325" s="83"/>
      <c r="E325" s="151"/>
      <c r="F325" s="83"/>
      <c r="G325" s="85"/>
      <c r="H325" s="86"/>
      <c r="I325" s="87"/>
      <c r="J325" s="86"/>
      <c r="K325" s="88"/>
      <c r="L325" s="86"/>
      <c r="M325" s="88"/>
      <c r="N325" s="86"/>
      <c r="O325" s="88"/>
      <c r="P325" s="86"/>
      <c r="Q325" s="88"/>
      <c r="R325" s="86"/>
      <c r="S325" s="88"/>
      <c r="T325" s="86"/>
      <c r="U325" s="88"/>
      <c r="V325" s="86"/>
      <c r="W325" s="88"/>
      <c r="X325" s="86"/>
      <c r="Y325" s="88"/>
      <c r="Z325" s="86"/>
      <c r="AA325" s="88"/>
      <c r="AB325" s="86"/>
      <c r="AC325" s="88"/>
      <c r="AD325" s="86"/>
      <c r="AE325" s="88"/>
      <c r="AF325" s="86"/>
      <c r="AG325" s="88"/>
      <c r="AH325" s="86"/>
      <c r="AI325" s="88"/>
      <c r="AJ325" s="86"/>
      <c r="AK325" s="88"/>
      <c r="AL325" s="86"/>
      <c r="AM325" s="88"/>
      <c r="AN325" s="86"/>
      <c r="AO325" s="88"/>
      <c r="AP325" s="86"/>
      <c r="AQ325" s="88"/>
      <c r="AR325" s="86"/>
      <c r="AS325" s="88"/>
      <c r="AT325" s="86"/>
      <c r="AU325" s="88"/>
      <c r="AV325" s="86"/>
      <c r="AW325" s="88"/>
      <c r="AX325" s="86"/>
      <c r="AY325" s="88"/>
      <c r="AZ325" s="86"/>
      <c r="BA325" s="88"/>
      <c r="BB325" s="86"/>
      <c r="BC325" s="88"/>
      <c r="BD325" s="86"/>
      <c r="BE325" s="88"/>
      <c r="BF325" s="86"/>
      <c r="BG325" s="88"/>
      <c r="BH325" s="86"/>
      <c r="BI325" s="88"/>
      <c r="BJ325" s="86"/>
      <c r="BK325" s="88"/>
      <c r="BL325" s="86"/>
      <c r="BM325" s="88"/>
      <c r="BN325" s="86"/>
      <c r="BO325" s="88"/>
      <c r="BP325" s="86"/>
      <c r="BQ325" s="88"/>
      <c r="BR325" s="86"/>
      <c r="BS325" s="87"/>
    </row>
    <row r="326" ht="22.5" customHeight="1">
      <c r="A326" s="154"/>
      <c r="B326" s="83"/>
      <c r="C326" s="151"/>
      <c r="D326" s="83"/>
      <c r="E326" s="151"/>
      <c r="F326" s="83"/>
      <c r="G326" s="85"/>
      <c r="H326" s="86"/>
      <c r="I326" s="87"/>
      <c r="J326" s="86"/>
      <c r="K326" s="88"/>
      <c r="L326" s="86"/>
      <c r="M326" s="88"/>
      <c r="N326" s="86"/>
      <c r="O326" s="88"/>
      <c r="P326" s="86"/>
      <c r="Q326" s="88"/>
      <c r="R326" s="86"/>
      <c r="S326" s="88"/>
      <c r="T326" s="86"/>
      <c r="U326" s="88"/>
      <c r="V326" s="86"/>
      <c r="W326" s="88"/>
      <c r="X326" s="86"/>
      <c r="Y326" s="88"/>
      <c r="Z326" s="86"/>
      <c r="AA326" s="88"/>
      <c r="AB326" s="86"/>
      <c r="AC326" s="88"/>
      <c r="AD326" s="86"/>
      <c r="AE326" s="88"/>
      <c r="AF326" s="86"/>
      <c r="AG326" s="88"/>
      <c r="AH326" s="86"/>
      <c r="AI326" s="88"/>
      <c r="AJ326" s="86"/>
      <c r="AK326" s="88"/>
      <c r="AL326" s="86"/>
      <c r="AM326" s="88"/>
      <c r="AN326" s="86"/>
      <c r="AO326" s="88"/>
      <c r="AP326" s="86"/>
      <c r="AQ326" s="88"/>
      <c r="AR326" s="86"/>
      <c r="AS326" s="88"/>
      <c r="AT326" s="86"/>
      <c r="AU326" s="88"/>
      <c r="AV326" s="86"/>
      <c r="AW326" s="88"/>
      <c r="AX326" s="86"/>
      <c r="AY326" s="88"/>
      <c r="AZ326" s="86"/>
      <c r="BA326" s="88"/>
      <c r="BB326" s="86"/>
      <c r="BC326" s="88"/>
      <c r="BD326" s="86"/>
      <c r="BE326" s="88"/>
      <c r="BF326" s="86"/>
      <c r="BG326" s="88"/>
      <c r="BH326" s="86"/>
      <c r="BI326" s="88"/>
      <c r="BJ326" s="86"/>
      <c r="BK326" s="88"/>
      <c r="BL326" s="86"/>
      <c r="BM326" s="88"/>
      <c r="BN326" s="86"/>
      <c r="BO326" s="88"/>
      <c r="BP326" s="86"/>
      <c r="BQ326" s="88"/>
      <c r="BR326" s="86"/>
      <c r="BS326" s="87"/>
    </row>
    <row r="327" ht="22.5" customHeight="1">
      <c r="A327" s="154"/>
      <c r="B327" s="83"/>
      <c r="C327" s="151"/>
      <c r="D327" s="83"/>
      <c r="E327" s="151"/>
      <c r="F327" s="83"/>
      <c r="G327" s="85"/>
      <c r="H327" s="86"/>
      <c r="I327" s="87"/>
      <c r="J327" s="86"/>
      <c r="K327" s="88"/>
      <c r="L327" s="86"/>
      <c r="M327" s="88"/>
      <c r="N327" s="86"/>
      <c r="O327" s="88"/>
      <c r="P327" s="86"/>
      <c r="Q327" s="88"/>
      <c r="R327" s="86"/>
      <c r="S327" s="88"/>
      <c r="T327" s="86"/>
      <c r="U327" s="88"/>
      <c r="V327" s="86"/>
      <c r="W327" s="88"/>
      <c r="X327" s="86"/>
      <c r="Y327" s="88"/>
      <c r="Z327" s="86"/>
      <c r="AA327" s="88"/>
      <c r="AB327" s="86"/>
      <c r="AC327" s="88"/>
      <c r="AD327" s="86"/>
      <c r="AE327" s="88"/>
      <c r="AF327" s="86"/>
      <c r="AG327" s="88"/>
      <c r="AH327" s="86"/>
      <c r="AI327" s="88"/>
      <c r="AJ327" s="86"/>
      <c r="AK327" s="88"/>
      <c r="AL327" s="86"/>
      <c r="AM327" s="88"/>
      <c r="AN327" s="86"/>
      <c r="AO327" s="88"/>
      <c r="AP327" s="86"/>
      <c r="AQ327" s="88"/>
      <c r="AR327" s="86"/>
      <c r="AS327" s="88"/>
      <c r="AT327" s="86"/>
      <c r="AU327" s="88"/>
      <c r="AV327" s="86"/>
      <c r="AW327" s="88"/>
      <c r="AX327" s="86"/>
      <c r="AY327" s="88"/>
      <c r="AZ327" s="86"/>
      <c r="BA327" s="88"/>
      <c r="BB327" s="86"/>
      <c r="BC327" s="88"/>
      <c r="BD327" s="86"/>
      <c r="BE327" s="88"/>
      <c r="BF327" s="86"/>
      <c r="BG327" s="88"/>
      <c r="BH327" s="86"/>
      <c r="BI327" s="88"/>
      <c r="BJ327" s="86"/>
      <c r="BK327" s="88"/>
      <c r="BL327" s="86"/>
      <c r="BM327" s="88"/>
      <c r="BN327" s="86"/>
      <c r="BO327" s="88"/>
      <c r="BP327" s="86"/>
      <c r="BQ327" s="88"/>
      <c r="BR327" s="86"/>
      <c r="BS327" s="87"/>
    </row>
    <row r="328" ht="22.5" customHeight="1">
      <c r="A328" s="154"/>
      <c r="B328" s="83"/>
      <c r="C328" s="151"/>
      <c r="D328" s="83"/>
      <c r="E328" s="151"/>
      <c r="F328" s="83"/>
      <c r="G328" s="85"/>
      <c r="H328" s="86"/>
      <c r="I328" s="87"/>
      <c r="J328" s="86"/>
      <c r="K328" s="88"/>
      <c r="L328" s="86"/>
      <c r="M328" s="88"/>
      <c r="N328" s="86"/>
      <c r="O328" s="88"/>
      <c r="P328" s="86"/>
      <c r="Q328" s="88"/>
      <c r="R328" s="86"/>
      <c r="S328" s="88"/>
      <c r="T328" s="86"/>
      <c r="U328" s="88"/>
      <c r="V328" s="86"/>
      <c r="W328" s="88"/>
      <c r="X328" s="86"/>
      <c r="Y328" s="88"/>
      <c r="Z328" s="86"/>
      <c r="AA328" s="88"/>
      <c r="AB328" s="86"/>
      <c r="AC328" s="88"/>
      <c r="AD328" s="86"/>
      <c r="AE328" s="88"/>
      <c r="AF328" s="86"/>
      <c r="AG328" s="88"/>
      <c r="AH328" s="86"/>
      <c r="AI328" s="88"/>
      <c r="AJ328" s="86"/>
      <c r="AK328" s="88"/>
      <c r="AL328" s="86"/>
      <c r="AM328" s="88"/>
      <c r="AN328" s="86"/>
      <c r="AO328" s="88"/>
      <c r="AP328" s="86"/>
      <c r="AQ328" s="88"/>
      <c r="AR328" s="86"/>
      <c r="AS328" s="88"/>
      <c r="AT328" s="86"/>
      <c r="AU328" s="88"/>
      <c r="AV328" s="86"/>
      <c r="AW328" s="88"/>
      <c r="AX328" s="86"/>
      <c r="AY328" s="88"/>
      <c r="AZ328" s="86"/>
      <c r="BA328" s="88"/>
      <c r="BB328" s="86"/>
      <c r="BC328" s="88"/>
      <c r="BD328" s="86"/>
      <c r="BE328" s="88"/>
      <c r="BF328" s="86"/>
      <c r="BG328" s="88"/>
      <c r="BH328" s="86"/>
      <c r="BI328" s="88"/>
      <c r="BJ328" s="86"/>
      <c r="BK328" s="88"/>
      <c r="BL328" s="86"/>
      <c r="BM328" s="88"/>
      <c r="BN328" s="86"/>
      <c r="BO328" s="88"/>
      <c r="BP328" s="86"/>
      <c r="BQ328" s="88"/>
      <c r="BR328" s="86"/>
      <c r="BS328" s="87"/>
    </row>
    <row r="329" ht="22.5" customHeight="1">
      <c r="A329" s="154"/>
      <c r="B329" s="83"/>
      <c r="C329" s="151"/>
      <c r="D329" s="83"/>
      <c r="E329" s="151"/>
      <c r="F329" s="83"/>
      <c r="G329" s="85"/>
      <c r="H329" s="86"/>
      <c r="I329" s="87"/>
      <c r="J329" s="86"/>
      <c r="K329" s="88"/>
      <c r="L329" s="86"/>
      <c r="M329" s="88"/>
      <c r="N329" s="86"/>
      <c r="O329" s="88"/>
      <c r="P329" s="86"/>
      <c r="Q329" s="88"/>
      <c r="R329" s="86"/>
      <c r="S329" s="88"/>
      <c r="T329" s="86"/>
      <c r="U329" s="88"/>
      <c r="V329" s="86"/>
      <c r="W329" s="88"/>
      <c r="X329" s="86"/>
      <c r="Y329" s="88"/>
      <c r="Z329" s="86"/>
      <c r="AA329" s="88"/>
      <c r="AB329" s="86"/>
      <c r="AC329" s="88"/>
      <c r="AD329" s="86"/>
      <c r="AE329" s="88"/>
      <c r="AF329" s="86"/>
      <c r="AG329" s="88"/>
      <c r="AH329" s="86"/>
      <c r="AI329" s="88"/>
      <c r="AJ329" s="86"/>
      <c r="AK329" s="88"/>
      <c r="AL329" s="86"/>
      <c r="AM329" s="88"/>
      <c r="AN329" s="86"/>
      <c r="AO329" s="88"/>
      <c r="AP329" s="86"/>
      <c r="AQ329" s="88"/>
      <c r="AR329" s="86"/>
      <c r="AS329" s="88"/>
      <c r="AT329" s="86"/>
      <c r="AU329" s="88"/>
      <c r="AV329" s="86"/>
      <c r="AW329" s="88"/>
      <c r="AX329" s="86"/>
      <c r="AY329" s="88"/>
      <c r="AZ329" s="86"/>
      <c r="BA329" s="88"/>
      <c r="BB329" s="86"/>
      <c r="BC329" s="88"/>
      <c r="BD329" s="86"/>
      <c r="BE329" s="88"/>
      <c r="BF329" s="86"/>
      <c r="BG329" s="88"/>
      <c r="BH329" s="86"/>
      <c r="BI329" s="88"/>
      <c r="BJ329" s="86"/>
      <c r="BK329" s="88"/>
      <c r="BL329" s="86"/>
      <c r="BM329" s="88"/>
      <c r="BN329" s="86"/>
      <c r="BO329" s="88"/>
      <c r="BP329" s="86"/>
      <c r="BQ329" s="88"/>
      <c r="BR329" s="86"/>
      <c r="BS329" s="87"/>
    </row>
    <row r="330" ht="22.5" customHeight="1">
      <c r="A330" s="154"/>
      <c r="B330" s="83"/>
      <c r="C330" s="151"/>
      <c r="D330" s="83"/>
      <c r="E330" s="151"/>
      <c r="F330" s="83"/>
      <c r="G330" s="85"/>
      <c r="H330" s="86"/>
      <c r="I330" s="87"/>
      <c r="J330" s="86"/>
      <c r="K330" s="88"/>
      <c r="L330" s="86"/>
      <c r="M330" s="88"/>
      <c r="N330" s="86"/>
      <c r="O330" s="88"/>
      <c r="P330" s="86"/>
      <c r="Q330" s="88"/>
      <c r="R330" s="86"/>
      <c r="S330" s="88"/>
      <c r="T330" s="86"/>
      <c r="U330" s="88"/>
      <c r="V330" s="86"/>
      <c r="W330" s="88"/>
      <c r="X330" s="86"/>
      <c r="Y330" s="88"/>
      <c r="Z330" s="86"/>
      <c r="AA330" s="88"/>
      <c r="AB330" s="86"/>
      <c r="AC330" s="88"/>
      <c r="AD330" s="86"/>
      <c r="AE330" s="88"/>
      <c r="AF330" s="86"/>
      <c r="AG330" s="88"/>
      <c r="AH330" s="86"/>
      <c r="AI330" s="88"/>
      <c r="AJ330" s="86"/>
      <c r="AK330" s="88"/>
      <c r="AL330" s="86"/>
      <c r="AM330" s="88"/>
      <c r="AN330" s="86"/>
      <c r="AO330" s="88"/>
      <c r="AP330" s="86"/>
      <c r="AQ330" s="88"/>
      <c r="AR330" s="86"/>
      <c r="AS330" s="88"/>
      <c r="AT330" s="86"/>
      <c r="AU330" s="88"/>
      <c r="AV330" s="86"/>
      <c r="AW330" s="88"/>
      <c r="AX330" s="86"/>
      <c r="AY330" s="88"/>
      <c r="AZ330" s="86"/>
      <c r="BA330" s="88"/>
      <c r="BB330" s="86"/>
      <c r="BC330" s="88"/>
      <c r="BD330" s="86"/>
      <c r="BE330" s="88"/>
      <c r="BF330" s="86"/>
      <c r="BG330" s="88"/>
      <c r="BH330" s="86"/>
      <c r="BI330" s="88"/>
      <c r="BJ330" s="86"/>
      <c r="BK330" s="88"/>
      <c r="BL330" s="86"/>
      <c r="BM330" s="88"/>
      <c r="BN330" s="86"/>
      <c r="BO330" s="88"/>
      <c r="BP330" s="86"/>
      <c r="BQ330" s="88"/>
      <c r="BR330" s="86"/>
      <c r="BS330" s="87"/>
    </row>
    <row r="331" ht="22.5" customHeight="1">
      <c r="A331" s="154"/>
      <c r="B331" s="83"/>
      <c r="C331" s="151"/>
      <c r="D331" s="83"/>
      <c r="E331" s="151"/>
      <c r="F331" s="83"/>
      <c r="G331" s="85"/>
      <c r="H331" s="86"/>
      <c r="I331" s="87"/>
      <c r="J331" s="86"/>
      <c r="K331" s="88"/>
      <c r="L331" s="86"/>
      <c r="M331" s="88"/>
      <c r="N331" s="86"/>
      <c r="O331" s="88"/>
      <c r="P331" s="86"/>
      <c r="Q331" s="88"/>
      <c r="R331" s="86"/>
      <c r="S331" s="88"/>
      <c r="T331" s="86"/>
      <c r="U331" s="88"/>
      <c r="V331" s="86"/>
      <c r="W331" s="88"/>
      <c r="X331" s="86"/>
      <c r="Y331" s="88"/>
      <c r="Z331" s="86"/>
      <c r="AA331" s="88"/>
      <c r="AB331" s="86"/>
      <c r="AC331" s="88"/>
      <c r="AD331" s="86"/>
      <c r="AE331" s="88"/>
      <c r="AF331" s="86"/>
      <c r="AG331" s="88"/>
      <c r="AH331" s="86"/>
      <c r="AI331" s="88"/>
      <c r="AJ331" s="86"/>
      <c r="AK331" s="88"/>
      <c r="AL331" s="86"/>
      <c r="AM331" s="88"/>
      <c r="AN331" s="86"/>
      <c r="AO331" s="88"/>
      <c r="AP331" s="86"/>
      <c r="AQ331" s="88"/>
      <c r="AR331" s="86"/>
      <c r="AS331" s="88"/>
      <c r="AT331" s="86"/>
      <c r="AU331" s="88"/>
      <c r="AV331" s="86"/>
      <c r="AW331" s="88"/>
      <c r="AX331" s="86"/>
      <c r="AY331" s="88"/>
      <c r="AZ331" s="86"/>
      <c r="BA331" s="88"/>
      <c r="BB331" s="86"/>
      <c r="BC331" s="88"/>
      <c r="BD331" s="86"/>
      <c r="BE331" s="88"/>
      <c r="BF331" s="86"/>
      <c r="BG331" s="88"/>
      <c r="BH331" s="86"/>
      <c r="BI331" s="88"/>
      <c r="BJ331" s="86"/>
      <c r="BK331" s="88"/>
      <c r="BL331" s="86"/>
      <c r="BM331" s="88"/>
      <c r="BN331" s="86"/>
      <c r="BO331" s="88"/>
      <c r="BP331" s="86"/>
      <c r="BQ331" s="88"/>
      <c r="BR331" s="86"/>
      <c r="BS331" s="87"/>
    </row>
    <row r="332" ht="22.5" customHeight="1">
      <c r="A332" s="154"/>
      <c r="B332" s="83"/>
      <c r="C332" s="151"/>
      <c r="D332" s="83"/>
      <c r="E332" s="151"/>
      <c r="F332" s="83"/>
      <c r="G332" s="85"/>
      <c r="H332" s="86"/>
      <c r="I332" s="87"/>
      <c r="J332" s="86"/>
      <c r="K332" s="88"/>
      <c r="L332" s="86"/>
      <c r="M332" s="88"/>
      <c r="N332" s="86"/>
      <c r="O332" s="88"/>
      <c r="P332" s="86"/>
      <c r="Q332" s="88"/>
      <c r="R332" s="86"/>
      <c r="S332" s="88"/>
      <c r="T332" s="86"/>
      <c r="U332" s="88"/>
      <c r="V332" s="86"/>
      <c r="W332" s="88"/>
      <c r="X332" s="86"/>
      <c r="Y332" s="88"/>
      <c r="Z332" s="86"/>
      <c r="AA332" s="88"/>
      <c r="AB332" s="86"/>
      <c r="AC332" s="88"/>
      <c r="AD332" s="86"/>
      <c r="AE332" s="88"/>
      <c r="AF332" s="86"/>
      <c r="AG332" s="88"/>
      <c r="AH332" s="86"/>
      <c r="AI332" s="88"/>
      <c r="AJ332" s="86"/>
      <c r="AK332" s="88"/>
      <c r="AL332" s="86"/>
      <c r="AM332" s="88"/>
      <c r="AN332" s="86"/>
      <c r="AO332" s="88"/>
      <c r="AP332" s="86"/>
      <c r="AQ332" s="88"/>
      <c r="AR332" s="86"/>
      <c r="AS332" s="88"/>
      <c r="AT332" s="86"/>
      <c r="AU332" s="88"/>
      <c r="AV332" s="86"/>
      <c r="AW332" s="88"/>
      <c r="AX332" s="86"/>
      <c r="AY332" s="88"/>
      <c r="AZ332" s="86"/>
      <c r="BA332" s="88"/>
      <c r="BB332" s="86"/>
      <c r="BC332" s="88"/>
      <c r="BD332" s="86"/>
      <c r="BE332" s="88"/>
      <c r="BF332" s="86"/>
      <c r="BG332" s="88"/>
      <c r="BH332" s="86"/>
      <c r="BI332" s="88"/>
      <c r="BJ332" s="86"/>
      <c r="BK332" s="88"/>
      <c r="BL332" s="86"/>
      <c r="BM332" s="88"/>
      <c r="BN332" s="86"/>
      <c r="BO332" s="88"/>
      <c r="BP332" s="86"/>
      <c r="BQ332" s="88"/>
      <c r="BR332" s="86"/>
      <c r="BS332" s="87"/>
    </row>
    <row r="333" ht="22.5" customHeight="1">
      <c r="A333" s="154"/>
      <c r="B333" s="83"/>
      <c r="C333" s="151"/>
      <c r="D333" s="83"/>
      <c r="E333" s="151"/>
      <c r="F333" s="83"/>
      <c r="G333" s="85"/>
      <c r="H333" s="86"/>
      <c r="I333" s="87"/>
      <c r="J333" s="86"/>
      <c r="K333" s="88"/>
      <c r="L333" s="86"/>
      <c r="M333" s="88"/>
      <c r="N333" s="86"/>
      <c r="O333" s="88"/>
      <c r="P333" s="86"/>
      <c r="Q333" s="88"/>
      <c r="R333" s="86"/>
      <c r="S333" s="88"/>
      <c r="T333" s="86"/>
      <c r="U333" s="88"/>
      <c r="V333" s="86"/>
      <c r="W333" s="88"/>
      <c r="X333" s="86"/>
      <c r="Y333" s="88"/>
      <c r="Z333" s="86"/>
      <c r="AA333" s="88"/>
      <c r="AB333" s="86"/>
      <c r="AC333" s="88"/>
      <c r="AD333" s="86"/>
      <c r="AE333" s="88"/>
      <c r="AF333" s="86"/>
      <c r="AG333" s="88"/>
      <c r="AH333" s="86"/>
      <c r="AI333" s="88"/>
      <c r="AJ333" s="86"/>
      <c r="AK333" s="88"/>
      <c r="AL333" s="86"/>
      <c r="AM333" s="88"/>
      <c r="AN333" s="86"/>
      <c r="AO333" s="88"/>
      <c r="AP333" s="86"/>
      <c r="AQ333" s="88"/>
      <c r="AR333" s="86"/>
      <c r="AS333" s="88"/>
      <c r="AT333" s="86"/>
      <c r="AU333" s="88"/>
      <c r="AV333" s="86"/>
      <c r="AW333" s="88"/>
      <c r="AX333" s="86"/>
      <c r="AY333" s="88"/>
      <c r="AZ333" s="86"/>
      <c r="BA333" s="88"/>
      <c r="BB333" s="86"/>
      <c r="BC333" s="88"/>
      <c r="BD333" s="86"/>
      <c r="BE333" s="88"/>
      <c r="BF333" s="86"/>
      <c r="BG333" s="88"/>
      <c r="BH333" s="86"/>
      <c r="BI333" s="88"/>
      <c r="BJ333" s="86"/>
      <c r="BK333" s="88"/>
      <c r="BL333" s="86"/>
      <c r="BM333" s="88"/>
      <c r="BN333" s="86"/>
      <c r="BO333" s="88"/>
      <c r="BP333" s="86"/>
      <c r="BQ333" s="88"/>
      <c r="BR333" s="86"/>
      <c r="BS333" s="87"/>
    </row>
    <row r="334" ht="22.5" customHeight="1">
      <c r="A334" s="154"/>
      <c r="B334" s="83"/>
      <c r="C334" s="151"/>
      <c r="D334" s="83"/>
      <c r="E334" s="151"/>
      <c r="F334" s="83"/>
      <c r="G334" s="85"/>
      <c r="H334" s="86"/>
      <c r="I334" s="87"/>
      <c r="J334" s="86"/>
      <c r="K334" s="88"/>
      <c r="L334" s="86"/>
      <c r="M334" s="88"/>
      <c r="N334" s="86"/>
      <c r="O334" s="88"/>
      <c r="P334" s="86"/>
      <c r="Q334" s="88"/>
      <c r="R334" s="86"/>
      <c r="S334" s="88"/>
      <c r="T334" s="86"/>
      <c r="U334" s="88"/>
      <c r="V334" s="86"/>
      <c r="W334" s="88"/>
      <c r="X334" s="86"/>
      <c r="Y334" s="88"/>
      <c r="Z334" s="86"/>
      <c r="AA334" s="88"/>
      <c r="AB334" s="86"/>
      <c r="AC334" s="88"/>
      <c r="AD334" s="86"/>
      <c r="AE334" s="88"/>
      <c r="AF334" s="86"/>
      <c r="AG334" s="88"/>
      <c r="AH334" s="86"/>
      <c r="AI334" s="88"/>
      <c r="AJ334" s="86"/>
      <c r="AK334" s="88"/>
      <c r="AL334" s="86"/>
      <c r="AM334" s="88"/>
      <c r="AN334" s="86"/>
      <c r="AO334" s="88"/>
      <c r="AP334" s="86"/>
      <c r="AQ334" s="88"/>
      <c r="AR334" s="86"/>
      <c r="AS334" s="88"/>
      <c r="AT334" s="86"/>
      <c r="AU334" s="88"/>
      <c r="AV334" s="86"/>
      <c r="AW334" s="88"/>
      <c r="AX334" s="86"/>
      <c r="AY334" s="88"/>
      <c r="AZ334" s="86"/>
      <c r="BA334" s="88"/>
      <c r="BB334" s="86"/>
      <c r="BC334" s="88"/>
      <c r="BD334" s="86"/>
      <c r="BE334" s="88"/>
      <c r="BF334" s="86"/>
      <c r="BG334" s="88"/>
      <c r="BH334" s="86"/>
      <c r="BI334" s="88"/>
      <c r="BJ334" s="86"/>
      <c r="BK334" s="88"/>
      <c r="BL334" s="86"/>
      <c r="BM334" s="88"/>
      <c r="BN334" s="86"/>
      <c r="BO334" s="88"/>
      <c r="BP334" s="86"/>
      <c r="BQ334" s="88"/>
      <c r="BR334" s="86"/>
      <c r="BS334" s="87"/>
    </row>
    <row r="335" ht="22.5" customHeight="1">
      <c r="A335" s="154"/>
      <c r="B335" s="83"/>
      <c r="C335" s="151"/>
      <c r="D335" s="83"/>
      <c r="E335" s="151"/>
      <c r="F335" s="83"/>
      <c r="G335" s="85"/>
      <c r="H335" s="86"/>
      <c r="I335" s="87"/>
      <c r="J335" s="86"/>
      <c r="K335" s="88"/>
      <c r="L335" s="86"/>
      <c r="M335" s="88"/>
      <c r="N335" s="86"/>
      <c r="O335" s="88"/>
      <c r="P335" s="86"/>
      <c r="Q335" s="88"/>
      <c r="R335" s="86"/>
      <c r="S335" s="88"/>
      <c r="T335" s="86"/>
      <c r="U335" s="88"/>
      <c r="V335" s="86"/>
      <c r="W335" s="88"/>
      <c r="X335" s="86"/>
      <c r="Y335" s="88"/>
      <c r="Z335" s="86"/>
      <c r="AA335" s="88"/>
      <c r="AB335" s="86"/>
      <c r="AC335" s="88"/>
      <c r="AD335" s="86"/>
      <c r="AE335" s="88"/>
      <c r="AF335" s="86"/>
      <c r="AG335" s="88"/>
      <c r="AH335" s="86"/>
      <c r="AI335" s="88"/>
      <c r="AJ335" s="86"/>
      <c r="AK335" s="88"/>
      <c r="AL335" s="86"/>
      <c r="AM335" s="88"/>
      <c r="AN335" s="86"/>
      <c r="AO335" s="88"/>
      <c r="AP335" s="86"/>
      <c r="AQ335" s="88"/>
      <c r="AR335" s="86"/>
      <c r="AS335" s="88"/>
      <c r="AT335" s="86"/>
      <c r="AU335" s="88"/>
      <c r="AV335" s="86"/>
      <c r="AW335" s="88"/>
      <c r="AX335" s="86"/>
      <c r="AY335" s="88"/>
      <c r="AZ335" s="86"/>
      <c r="BA335" s="88"/>
      <c r="BB335" s="86"/>
      <c r="BC335" s="88"/>
      <c r="BD335" s="86"/>
      <c r="BE335" s="88"/>
      <c r="BF335" s="86"/>
      <c r="BG335" s="88"/>
      <c r="BH335" s="86"/>
      <c r="BI335" s="88"/>
      <c r="BJ335" s="86"/>
      <c r="BK335" s="88"/>
      <c r="BL335" s="86"/>
      <c r="BM335" s="88"/>
      <c r="BN335" s="86"/>
      <c r="BO335" s="88"/>
      <c r="BP335" s="86"/>
      <c r="BQ335" s="88"/>
      <c r="BR335" s="86"/>
      <c r="BS335" s="87"/>
    </row>
    <row r="336" ht="22.5" customHeight="1">
      <c r="A336" s="154"/>
      <c r="B336" s="83"/>
      <c r="C336" s="151"/>
      <c r="D336" s="83"/>
      <c r="E336" s="151"/>
      <c r="F336" s="83"/>
      <c r="G336" s="85"/>
      <c r="H336" s="86"/>
      <c r="I336" s="87"/>
      <c r="J336" s="86"/>
      <c r="K336" s="88"/>
      <c r="L336" s="86"/>
      <c r="M336" s="88"/>
      <c r="N336" s="86"/>
      <c r="O336" s="88"/>
      <c r="P336" s="86"/>
      <c r="Q336" s="88"/>
      <c r="R336" s="86"/>
      <c r="S336" s="88"/>
      <c r="T336" s="86"/>
      <c r="U336" s="88"/>
      <c r="V336" s="86"/>
      <c r="W336" s="88"/>
      <c r="X336" s="86"/>
      <c r="Y336" s="88"/>
      <c r="Z336" s="86"/>
      <c r="AA336" s="88"/>
      <c r="AB336" s="86"/>
      <c r="AC336" s="88"/>
      <c r="AD336" s="86"/>
      <c r="AE336" s="88"/>
      <c r="AF336" s="86"/>
      <c r="AG336" s="88"/>
      <c r="AH336" s="86"/>
      <c r="AI336" s="88"/>
      <c r="AJ336" s="86"/>
      <c r="AK336" s="88"/>
      <c r="AL336" s="86"/>
      <c r="AM336" s="88"/>
      <c r="AN336" s="86"/>
      <c r="AO336" s="88"/>
      <c r="AP336" s="86"/>
      <c r="AQ336" s="88"/>
      <c r="AR336" s="86"/>
      <c r="AS336" s="88"/>
      <c r="AT336" s="86"/>
      <c r="AU336" s="88"/>
      <c r="AV336" s="86"/>
      <c r="AW336" s="88"/>
      <c r="AX336" s="86"/>
      <c r="AY336" s="88"/>
      <c r="AZ336" s="86"/>
      <c r="BA336" s="88"/>
      <c r="BB336" s="86"/>
      <c r="BC336" s="88"/>
      <c r="BD336" s="86"/>
      <c r="BE336" s="88"/>
      <c r="BF336" s="86"/>
      <c r="BG336" s="88"/>
      <c r="BH336" s="86"/>
      <c r="BI336" s="88"/>
      <c r="BJ336" s="86"/>
      <c r="BK336" s="88"/>
      <c r="BL336" s="86"/>
      <c r="BM336" s="88"/>
      <c r="BN336" s="86"/>
      <c r="BO336" s="88"/>
      <c r="BP336" s="86"/>
      <c r="BQ336" s="88"/>
      <c r="BR336" s="86"/>
      <c r="BS336" s="87"/>
    </row>
    <row r="337" ht="22.5" customHeight="1">
      <c r="A337" s="154"/>
      <c r="B337" s="83"/>
      <c r="C337" s="151"/>
      <c r="D337" s="83"/>
      <c r="E337" s="151"/>
      <c r="F337" s="83"/>
      <c r="G337" s="85"/>
      <c r="H337" s="86"/>
      <c r="I337" s="87"/>
      <c r="J337" s="86"/>
      <c r="K337" s="88"/>
      <c r="L337" s="86"/>
      <c r="M337" s="88"/>
      <c r="N337" s="86"/>
      <c r="O337" s="88"/>
      <c r="P337" s="86"/>
      <c r="Q337" s="88"/>
      <c r="R337" s="86"/>
      <c r="S337" s="88"/>
      <c r="T337" s="86"/>
      <c r="U337" s="88"/>
      <c r="V337" s="86"/>
      <c r="W337" s="88"/>
      <c r="X337" s="86"/>
      <c r="Y337" s="88"/>
      <c r="Z337" s="86"/>
      <c r="AA337" s="88"/>
      <c r="AB337" s="86"/>
      <c r="AC337" s="88"/>
      <c r="AD337" s="86"/>
      <c r="AE337" s="88"/>
      <c r="AF337" s="86"/>
      <c r="AG337" s="88"/>
      <c r="AH337" s="86"/>
      <c r="AI337" s="88"/>
      <c r="AJ337" s="86"/>
      <c r="AK337" s="88"/>
      <c r="AL337" s="86"/>
      <c r="AM337" s="88"/>
      <c r="AN337" s="86"/>
      <c r="AO337" s="88"/>
      <c r="AP337" s="86"/>
      <c r="AQ337" s="88"/>
      <c r="AR337" s="86"/>
      <c r="AS337" s="88"/>
      <c r="AT337" s="86"/>
      <c r="AU337" s="88"/>
      <c r="AV337" s="86"/>
      <c r="AW337" s="88"/>
      <c r="AX337" s="86"/>
      <c r="AY337" s="88"/>
      <c r="AZ337" s="86"/>
      <c r="BA337" s="88"/>
      <c r="BB337" s="86"/>
      <c r="BC337" s="88"/>
      <c r="BD337" s="86"/>
      <c r="BE337" s="88"/>
      <c r="BF337" s="86"/>
      <c r="BG337" s="88"/>
      <c r="BH337" s="86"/>
      <c r="BI337" s="88"/>
      <c r="BJ337" s="86"/>
      <c r="BK337" s="88"/>
      <c r="BL337" s="86"/>
      <c r="BM337" s="88"/>
      <c r="BN337" s="86"/>
      <c r="BO337" s="88"/>
      <c r="BP337" s="86"/>
      <c r="BQ337" s="88"/>
      <c r="BR337" s="86"/>
      <c r="BS337" s="87"/>
    </row>
    <row r="338" ht="22.5" customHeight="1">
      <c r="A338" s="154"/>
      <c r="B338" s="83"/>
      <c r="C338" s="151"/>
      <c r="D338" s="83"/>
      <c r="E338" s="151"/>
      <c r="F338" s="83"/>
      <c r="G338" s="85"/>
      <c r="H338" s="86"/>
      <c r="I338" s="87"/>
      <c r="J338" s="86"/>
      <c r="K338" s="88"/>
      <c r="L338" s="86"/>
      <c r="M338" s="88"/>
      <c r="N338" s="86"/>
      <c r="O338" s="88"/>
      <c r="P338" s="86"/>
      <c r="Q338" s="88"/>
      <c r="R338" s="86"/>
      <c r="S338" s="88"/>
      <c r="T338" s="86"/>
      <c r="U338" s="88"/>
      <c r="V338" s="86"/>
      <c r="W338" s="88"/>
      <c r="X338" s="86"/>
      <c r="Y338" s="88"/>
      <c r="Z338" s="86"/>
      <c r="AA338" s="88"/>
      <c r="AB338" s="86"/>
      <c r="AC338" s="88"/>
      <c r="AD338" s="86"/>
      <c r="AE338" s="88"/>
      <c r="AF338" s="86"/>
      <c r="AG338" s="88"/>
      <c r="AH338" s="86"/>
      <c r="AI338" s="88"/>
      <c r="AJ338" s="86"/>
      <c r="AK338" s="88"/>
      <c r="AL338" s="86"/>
      <c r="AM338" s="88"/>
      <c r="AN338" s="86"/>
      <c r="AO338" s="88"/>
      <c r="AP338" s="86"/>
      <c r="AQ338" s="88"/>
      <c r="AR338" s="86"/>
      <c r="AS338" s="88"/>
      <c r="AT338" s="86"/>
      <c r="AU338" s="88"/>
      <c r="AV338" s="86"/>
      <c r="AW338" s="88"/>
      <c r="AX338" s="86"/>
      <c r="AY338" s="88"/>
      <c r="AZ338" s="86"/>
      <c r="BA338" s="88"/>
      <c r="BB338" s="86"/>
      <c r="BC338" s="88"/>
      <c r="BD338" s="86"/>
      <c r="BE338" s="88"/>
      <c r="BF338" s="86"/>
      <c r="BG338" s="88"/>
      <c r="BH338" s="86"/>
      <c r="BI338" s="88"/>
      <c r="BJ338" s="86"/>
      <c r="BK338" s="88"/>
      <c r="BL338" s="86"/>
      <c r="BM338" s="88"/>
      <c r="BN338" s="86"/>
      <c r="BO338" s="88"/>
      <c r="BP338" s="86"/>
      <c r="BQ338" s="88"/>
      <c r="BR338" s="86"/>
      <c r="BS338" s="87"/>
    </row>
    <row r="339" ht="22.5" customHeight="1">
      <c r="A339" s="154"/>
      <c r="B339" s="83"/>
      <c r="C339" s="151"/>
      <c r="D339" s="83"/>
      <c r="E339" s="151"/>
      <c r="F339" s="83"/>
      <c r="G339" s="85"/>
      <c r="H339" s="86"/>
      <c r="I339" s="87"/>
      <c r="J339" s="86"/>
      <c r="K339" s="88"/>
      <c r="L339" s="86"/>
      <c r="M339" s="88"/>
      <c r="N339" s="86"/>
      <c r="O339" s="88"/>
      <c r="P339" s="86"/>
      <c r="Q339" s="88"/>
      <c r="R339" s="86"/>
      <c r="S339" s="88"/>
      <c r="T339" s="86"/>
      <c r="U339" s="88"/>
      <c r="V339" s="86"/>
      <c r="W339" s="88"/>
      <c r="X339" s="86"/>
      <c r="Y339" s="88"/>
      <c r="Z339" s="86"/>
      <c r="AA339" s="88"/>
      <c r="AB339" s="86"/>
      <c r="AC339" s="88"/>
      <c r="AD339" s="86"/>
      <c r="AE339" s="88"/>
      <c r="AF339" s="86"/>
      <c r="AG339" s="88"/>
      <c r="AH339" s="86"/>
      <c r="AI339" s="88"/>
      <c r="AJ339" s="86"/>
      <c r="AK339" s="88"/>
      <c r="AL339" s="86"/>
      <c r="AM339" s="88"/>
      <c r="AN339" s="86"/>
      <c r="AO339" s="88"/>
      <c r="AP339" s="86"/>
      <c r="AQ339" s="88"/>
      <c r="AR339" s="86"/>
      <c r="AS339" s="88"/>
      <c r="AT339" s="86"/>
      <c r="AU339" s="88"/>
      <c r="AV339" s="86"/>
      <c r="AW339" s="88"/>
      <c r="AX339" s="86"/>
      <c r="AY339" s="88"/>
      <c r="AZ339" s="86"/>
      <c r="BA339" s="88"/>
      <c r="BB339" s="86"/>
      <c r="BC339" s="88"/>
      <c r="BD339" s="86"/>
      <c r="BE339" s="88"/>
      <c r="BF339" s="86"/>
      <c r="BG339" s="88"/>
      <c r="BH339" s="86"/>
      <c r="BI339" s="88"/>
      <c r="BJ339" s="86"/>
      <c r="BK339" s="88"/>
      <c r="BL339" s="86"/>
      <c r="BM339" s="88"/>
      <c r="BN339" s="86"/>
      <c r="BO339" s="88"/>
      <c r="BP339" s="86"/>
      <c r="BQ339" s="88"/>
      <c r="BR339" s="86"/>
      <c r="BS339" s="87"/>
    </row>
    <row r="340" ht="22.5" customHeight="1">
      <c r="A340" s="154"/>
      <c r="B340" s="83"/>
      <c r="C340" s="151"/>
      <c r="D340" s="83"/>
      <c r="E340" s="151"/>
      <c r="F340" s="83"/>
      <c r="G340" s="85"/>
      <c r="H340" s="86"/>
      <c r="I340" s="87"/>
      <c r="J340" s="86"/>
      <c r="K340" s="88"/>
      <c r="L340" s="86"/>
      <c r="M340" s="88"/>
      <c r="N340" s="86"/>
      <c r="O340" s="88"/>
      <c r="P340" s="86"/>
      <c r="Q340" s="88"/>
      <c r="R340" s="86"/>
      <c r="S340" s="88"/>
      <c r="T340" s="86"/>
      <c r="U340" s="88"/>
      <c r="V340" s="86"/>
      <c r="W340" s="88"/>
      <c r="X340" s="86"/>
      <c r="Y340" s="88"/>
      <c r="Z340" s="86"/>
      <c r="AA340" s="88"/>
      <c r="AB340" s="86"/>
      <c r="AC340" s="88"/>
      <c r="AD340" s="86"/>
      <c r="AE340" s="88"/>
      <c r="AF340" s="86"/>
      <c r="AG340" s="88"/>
      <c r="AH340" s="86"/>
      <c r="AI340" s="88"/>
      <c r="AJ340" s="86"/>
      <c r="AK340" s="88"/>
      <c r="AL340" s="86"/>
      <c r="AM340" s="88"/>
      <c r="AN340" s="86"/>
      <c r="AO340" s="88"/>
      <c r="AP340" s="86"/>
      <c r="AQ340" s="88"/>
      <c r="AR340" s="86"/>
      <c r="AS340" s="88"/>
      <c r="AT340" s="86"/>
      <c r="AU340" s="88"/>
      <c r="AV340" s="86"/>
      <c r="AW340" s="88"/>
      <c r="AX340" s="86"/>
      <c r="AY340" s="88"/>
      <c r="AZ340" s="86"/>
      <c r="BA340" s="88"/>
      <c r="BB340" s="86"/>
      <c r="BC340" s="88"/>
      <c r="BD340" s="86"/>
      <c r="BE340" s="88"/>
      <c r="BF340" s="86"/>
      <c r="BG340" s="88"/>
      <c r="BH340" s="86"/>
      <c r="BI340" s="88"/>
      <c r="BJ340" s="86"/>
      <c r="BK340" s="88"/>
      <c r="BL340" s="86"/>
      <c r="BM340" s="88"/>
      <c r="BN340" s="86"/>
      <c r="BO340" s="88"/>
      <c r="BP340" s="86"/>
      <c r="BQ340" s="88"/>
      <c r="BR340" s="86"/>
      <c r="BS340" s="87"/>
    </row>
    <row r="341" ht="22.5" customHeight="1">
      <c r="A341" s="154"/>
      <c r="B341" s="83"/>
      <c r="C341" s="151"/>
      <c r="D341" s="83"/>
      <c r="E341" s="151"/>
      <c r="F341" s="83"/>
      <c r="G341" s="85"/>
      <c r="H341" s="86"/>
      <c r="I341" s="87"/>
      <c r="J341" s="86"/>
      <c r="K341" s="88"/>
      <c r="L341" s="86"/>
      <c r="M341" s="88"/>
      <c r="N341" s="86"/>
      <c r="O341" s="88"/>
      <c r="P341" s="86"/>
      <c r="Q341" s="88"/>
      <c r="R341" s="86"/>
      <c r="S341" s="88"/>
      <c r="T341" s="86"/>
      <c r="U341" s="88"/>
      <c r="V341" s="86"/>
      <c r="W341" s="88"/>
      <c r="X341" s="86"/>
      <c r="Y341" s="88"/>
      <c r="Z341" s="86"/>
      <c r="AA341" s="88"/>
      <c r="AB341" s="86"/>
      <c r="AC341" s="88"/>
      <c r="AD341" s="86"/>
      <c r="AE341" s="88"/>
      <c r="AF341" s="86"/>
      <c r="AG341" s="88"/>
      <c r="AH341" s="86"/>
      <c r="AI341" s="88"/>
      <c r="AJ341" s="86"/>
      <c r="AK341" s="88"/>
      <c r="AL341" s="86"/>
      <c r="AM341" s="88"/>
      <c r="AN341" s="86"/>
      <c r="AO341" s="88"/>
      <c r="AP341" s="86"/>
      <c r="AQ341" s="88"/>
      <c r="AR341" s="86"/>
      <c r="AS341" s="88"/>
      <c r="AT341" s="86"/>
      <c r="AU341" s="88"/>
      <c r="AV341" s="86"/>
      <c r="AW341" s="88"/>
      <c r="AX341" s="86"/>
      <c r="AY341" s="88"/>
      <c r="AZ341" s="86"/>
      <c r="BA341" s="88"/>
      <c r="BB341" s="86"/>
      <c r="BC341" s="88"/>
      <c r="BD341" s="86"/>
      <c r="BE341" s="88"/>
      <c r="BF341" s="86"/>
      <c r="BG341" s="88"/>
      <c r="BH341" s="86"/>
      <c r="BI341" s="88"/>
      <c r="BJ341" s="86"/>
      <c r="BK341" s="88"/>
      <c r="BL341" s="86"/>
      <c r="BM341" s="88"/>
      <c r="BN341" s="86"/>
      <c r="BO341" s="88"/>
      <c r="BP341" s="86"/>
      <c r="BQ341" s="88"/>
      <c r="BR341" s="86"/>
      <c r="BS341" s="87"/>
    </row>
    <row r="342" ht="22.5" customHeight="1">
      <c r="A342" s="154"/>
      <c r="B342" s="83"/>
      <c r="C342" s="151"/>
      <c r="D342" s="83"/>
      <c r="E342" s="151"/>
      <c r="F342" s="83"/>
      <c r="G342" s="85"/>
      <c r="H342" s="86"/>
      <c r="I342" s="87"/>
      <c r="J342" s="86"/>
      <c r="K342" s="88"/>
      <c r="L342" s="86"/>
      <c r="M342" s="88"/>
      <c r="N342" s="86"/>
      <c r="O342" s="88"/>
      <c r="P342" s="86"/>
      <c r="Q342" s="88"/>
      <c r="R342" s="86"/>
      <c r="S342" s="88"/>
      <c r="T342" s="86"/>
      <c r="U342" s="88"/>
      <c r="V342" s="86"/>
      <c r="W342" s="88"/>
      <c r="X342" s="86"/>
      <c r="Y342" s="88"/>
      <c r="Z342" s="86"/>
      <c r="AA342" s="88"/>
      <c r="AB342" s="86"/>
      <c r="AC342" s="88"/>
      <c r="AD342" s="86"/>
      <c r="AE342" s="88"/>
      <c r="AF342" s="86"/>
      <c r="AG342" s="88"/>
      <c r="AH342" s="86"/>
      <c r="AI342" s="88"/>
      <c r="AJ342" s="86"/>
      <c r="AK342" s="88"/>
      <c r="AL342" s="86"/>
      <c r="AM342" s="88"/>
      <c r="AN342" s="86"/>
      <c r="AO342" s="88"/>
      <c r="AP342" s="86"/>
      <c r="AQ342" s="88"/>
      <c r="AR342" s="86"/>
      <c r="AS342" s="88"/>
      <c r="AT342" s="86"/>
      <c r="AU342" s="88"/>
      <c r="AV342" s="86"/>
      <c r="AW342" s="88"/>
      <c r="AX342" s="86"/>
      <c r="AY342" s="88"/>
      <c r="AZ342" s="86"/>
      <c r="BA342" s="88"/>
      <c r="BB342" s="86"/>
      <c r="BC342" s="88"/>
      <c r="BD342" s="86"/>
      <c r="BE342" s="88"/>
      <c r="BF342" s="86"/>
      <c r="BG342" s="88"/>
      <c r="BH342" s="86"/>
      <c r="BI342" s="88"/>
      <c r="BJ342" s="86"/>
      <c r="BK342" s="88"/>
      <c r="BL342" s="86"/>
      <c r="BM342" s="88"/>
      <c r="BN342" s="86"/>
      <c r="BO342" s="88"/>
      <c r="BP342" s="86"/>
      <c r="BQ342" s="88"/>
      <c r="BR342" s="86"/>
      <c r="BS342" s="87"/>
    </row>
    <row r="343" ht="22.5" customHeight="1">
      <c r="A343" s="154"/>
      <c r="B343" s="83"/>
      <c r="C343" s="151"/>
      <c r="D343" s="83"/>
      <c r="E343" s="151"/>
      <c r="F343" s="83"/>
      <c r="G343" s="85"/>
      <c r="H343" s="86"/>
      <c r="I343" s="87"/>
      <c r="J343" s="86"/>
      <c r="K343" s="88"/>
      <c r="L343" s="86"/>
      <c r="M343" s="88"/>
      <c r="N343" s="86"/>
      <c r="O343" s="88"/>
      <c r="P343" s="86"/>
      <c r="Q343" s="88"/>
      <c r="R343" s="86"/>
      <c r="S343" s="88"/>
      <c r="T343" s="86"/>
      <c r="U343" s="88"/>
      <c r="V343" s="86"/>
      <c r="W343" s="88"/>
      <c r="X343" s="86"/>
      <c r="Y343" s="88"/>
      <c r="Z343" s="86"/>
      <c r="AA343" s="88"/>
      <c r="AB343" s="86"/>
      <c r="AC343" s="88"/>
      <c r="AD343" s="86"/>
      <c r="AE343" s="88"/>
      <c r="AF343" s="86"/>
      <c r="AG343" s="88"/>
      <c r="AH343" s="86"/>
      <c r="AI343" s="88"/>
      <c r="AJ343" s="86"/>
      <c r="AK343" s="88"/>
      <c r="AL343" s="86"/>
      <c r="AM343" s="88"/>
      <c r="AN343" s="86"/>
      <c r="AO343" s="88"/>
      <c r="AP343" s="86"/>
      <c r="AQ343" s="88"/>
      <c r="AR343" s="86"/>
      <c r="AS343" s="88"/>
      <c r="AT343" s="86"/>
      <c r="AU343" s="88"/>
      <c r="AV343" s="86"/>
      <c r="AW343" s="88"/>
      <c r="AX343" s="86"/>
      <c r="AY343" s="88"/>
      <c r="AZ343" s="86"/>
      <c r="BA343" s="88"/>
      <c r="BB343" s="86"/>
      <c r="BC343" s="88"/>
      <c r="BD343" s="86"/>
      <c r="BE343" s="88"/>
      <c r="BF343" s="86"/>
      <c r="BG343" s="88"/>
      <c r="BH343" s="86"/>
      <c r="BI343" s="88"/>
      <c r="BJ343" s="86"/>
      <c r="BK343" s="88"/>
      <c r="BL343" s="86"/>
      <c r="BM343" s="88"/>
      <c r="BN343" s="86"/>
      <c r="BO343" s="88"/>
      <c r="BP343" s="86"/>
      <c r="BQ343" s="88"/>
      <c r="BR343" s="86"/>
      <c r="BS343" s="87"/>
    </row>
    <row r="344" ht="22.5" customHeight="1">
      <c r="A344" s="154"/>
      <c r="B344" s="83"/>
      <c r="C344" s="151"/>
      <c r="D344" s="83"/>
      <c r="E344" s="151"/>
      <c r="F344" s="83"/>
      <c r="G344" s="85"/>
      <c r="H344" s="86"/>
      <c r="I344" s="87"/>
      <c r="J344" s="86"/>
      <c r="K344" s="88"/>
      <c r="L344" s="86"/>
      <c r="M344" s="88"/>
      <c r="N344" s="86"/>
      <c r="O344" s="88"/>
      <c r="P344" s="86"/>
      <c r="Q344" s="88"/>
      <c r="R344" s="86"/>
      <c r="S344" s="88"/>
      <c r="T344" s="86"/>
      <c r="U344" s="88"/>
      <c r="V344" s="86"/>
      <c r="W344" s="88"/>
      <c r="X344" s="86"/>
      <c r="Y344" s="88"/>
      <c r="Z344" s="86"/>
      <c r="AA344" s="88"/>
      <c r="AB344" s="86"/>
      <c r="AC344" s="88"/>
      <c r="AD344" s="86"/>
      <c r="AE344" s="88"/>
      <c r="AF344" s="86"/>
      <c r="AG344" s="88"/>
      <c r="AH344" s="86"/>
      <c r="AI344" s="88"/>
      <c r="AJ344" s="86"/>
      <c r="AK344" s="88"/>
      <c r="AL344" s="86"/>
      <c r="AM344" s="88"/>
      <c r="AN344" s="86"/>
      <c r="AO344" s="88"/>
      <c r="AP344" s="86"/>
      <c r="AQ344" s="88"/>
      <c r="AR344" s="86"/>
      <c r="AS344" s="88"/>
      <c r="AT344" s="86"/>
      <c r="AU344" s="88"/>
      <c r="AV344" s="86"/>
      <c r="AW344" s="88"/>
      <c r="AX344" s="86"/>
      <c r="AY344" s="88"/>
      <c r="AZ344" s="86"/>
      <c r="BA344" s="88"/>
      <c r="BB344" s="86"/>
      <c r="BC344" s="88"/>
      <c r="BD344" s="86"/>
      <c r="BE344" s="88"/>
      <c r="BF344" s="86"/>
      <c r="BG344" s="88"/>
      <c r="BH344" s="86"/>
      <c r="BI344" s="88"/>
      <c r="BJ344" s="86"/>
      <c r="BK344" s="88"/>
      <c r="BL344" s="86"/>
      <c r="BM344" s="88"/>
      <c r="BN344" s="86"/>
      <c r="BO344" s="88"/>
      <c r="BP344" s="86"/>
      <c r="BQ344" s="88"/>
      <c r="BR344" s="86"/>
      <c r="BS344" s="87"/>
    </row>
    <row r="345" ht="22.5" customHeight="1">
      <c r="A345" s="154"/>
      <c r="B345" s="83"/>
      <c r="C345" s="151"/>
      <c r="D345" s="83"/>
      <c r="E345" s="151"/>
      <c r="F345" s="83"/>
      <c r="G345" s="85"/>
      <c r="H345" s="86"/>
      <c r="I345" s="87"/>
      <c r="J345" s="86"/>
      <c r="K345" s="88"/>
      <c r="L345" s="86"/>
      <c r="M345" s="88"/>
      <c r="N345" s="86"/>
      <c r="O345" s="88"/>
      <c r="P345" s="86"/>
      <c r="Q345" s="88"/>
      <c r="R345" s="86"/>
      <c r="S345" s="88"/>
      <c r="T345" s="86"/>
      <c r="U345" s="88"/>
      <c r="V345" s="86"/>
      <c r="W345" s="88"/>
      <c r="X345" s="86"/>
      <c r="Y345" s="88"/>
      <c r="Z345" s="86"/>
      <c r="AA345" s="88"/>
      <c r="AB345" s="86"/>
      <c r="AC345" s="88"/>
      <c r="AD345" s="86"/>
      <c r="AE345" s="88"/>
      <c r="AF345" s="86"/>
      <c r="AG345" s="88"/>
      <c r="AH345" s="86"/>
      <c r="AI345" s="88"/>
      <c r="AJ345" s="86"/>
      <c r="AK345" s="88"/>
      <c r="AL345" s="86"/>
      <c r="AM345" s="88"/>
      <c r="AN345" s="86"/>
      <c r="AO345" s="88"/>
      <c r="AP345" s="86"/>
      <c r="AQ345" s="88"/>
      <c r="AR345" s="86"/>
      <c r="AS345" s="88"/>
      <c r="AT345" s="86"/>
      <c r="AU345" s="88"/>
      <c r="AV345" s="86"/>
      <c r="AW345" s="88"/>
      <c r="AX345" s="86"/>
      <c r="AY345" s="88"/>
      <c r="AZ345" s="86"/>
      <c r="BA345" s="88"/>
      <c r="BB345" s="86"/>
      <c r="BC345" s="88"/>
      <c r="BD345" s="86"/>
      <c r="BE345" s="88"/>
      <c r="BF345" s="86"/>
      <c r="BG345" s="88"/>
      <c r="BH345" s="86"/>
      <c r="BI345" s="88"/>
      <c r="BJ345" s="86"/>
      <c r="BK345" s="88"/>
      <c r="BL345" s="86"/>
      <c r="BM345" s="88"/>
      <c r="BN345" s="86"/>
      <c r="BO345" s="88"/>
      <c r="BP345" s="86"/>
      <c r="BQ345" s="88"/>
      <c r="BR345" s="86"/>
      <c r="BS345" s="87"/>
    </row>
    <row r="346" ht="22.5" customHeight="1">
      <c r="A346" s="154"/>
      <c r="B346" s="83"/>
      <c r="C346" s="151"/>
      <c r="D346" s="83"/>
      <c r="E346" s="151"/>
      <c r="F346" s="83"/>
      <c r="G346" s="85"/>
      <c r="H346" s="86"/>
      <c r="I346" s="87"/>
      <c r="J346" s="86"/>
      <c r="K346" s="88"/>
      <c r="L346" s="86"/>
      <c r="M346" s="88"/>
      <c r="N346" s="86"/>
      <c r="O346" s="88"/>
      <c r="P346" s="86"/>
      <c r="Q346" s="88"/>
      <c r="R346" s="86"/>
      <c r="S346" s="88"/>
      <c r="T346" s="86"/>
      <c r="U346" s="88"/>
      <c r="V346" s="86"/>
      <c r="W346" s="88"/>
      <c r="X346" s="86"/>
      <c r="Y346" s="88"/>
      <c r="Z346" s="86"/>
      <c r="AA346" s="88"/>
      <c r="AB346" s="86"/>
      <c r="AC346" s="88"/>
      <c r="AD346" s="86"/>
      <c r="AE346" s="88"/>
      <c r="AF346" s="86"/>
      <c r="AG346" s="88"/>
      <c r="AH346" s="86"/>
      <c r="AI346" s="88"/>
      <c r="AJ346" s="86"/>
      <c r="AK346" s="88"/>
      <c r="AL346" s="86"/>
      <c r="AM346" s="88"/>
      <c r="AN346" s="86"/>
      <c r="AO346" s="88"/>
      <c r="AP346" s="86"/>
      <c r="AQ346" s="88"/>
      <c r="AR346" s="86"/>
      <c r="AS346" s="88"/>
      <c r="AT346" s="86"/>
      <c r="AU346" s="88"/>
      <c r="AV346" s="86"/>
      <c r="AW346" s="88"/>
      <c r="AX346" s="86"/>
      <c r="AY346" s="88"/>
      <c r="AZ346" s="86"/>
      <c r="BA346" s="88"/>
      <c r="BB346" s="86"/>
      <c r="BC346" s="88"/>
      <c r="BD346" s="86"/>
      <c r="BE346" s="88"/>
      <c r="BF346" s="86"/>
      <c r="BG346" s="88"/>
      <c r="BH346" s="86"/>
      <c r="BI346" s="88"/>
      <c r="BJ346" s="86"/>
      <c r="BK346" s="88"/>
      <c r="BL346" s="86"/>
      <c r="BM346" s="88"/>
      <c r="BN346" s="86"/>
      <c r="BO346" s="88"/>
      <c r="BP346" s="86"/>
      <c r="BQ346" s="88"/>
      <c r="BR346" s="86"/>
      <c r="BS346" s="87"/>
    </row>
    <row r="347" ht="22.5" customHeight="1">
      <c r="A347" s="154"/>
      <c r="B347" s="83"/>
      <c r="C347" s="151"/>
      <c r="D347" s="83"/>
      <c r="E347" s="151"/>
      <c r="F347" s="83"/>
      <c r="G347" s="85"/>
      <c r="H347" s="86"/>
      <c r="I347" s="87"/>
      <c r="J347" s="86"/>
      <c r="K347" s="88"/>
      <c r="L347" s="86"/>
      <c r="M347" s="88"/>
      <c r="N347" s="86"/>
      <c r="O347" s="88"/>
      <c r="P347" s="86"/>
      <c r="Q347" s="88"/>
      <c r="R347" s="86"/>
      <c r="S347" s="88"/>
      <c r="T347" s="86"/>
      <c r="U347" s="88"/>
      <c r="V347" s="86"/>
      <c r="W347" s="88"/>
      <c r="X347" s="86"/>
      <c r="Y347" s="88"/>
      <c r="Z347" s="86"/>
      <c r="AA347" s="88"/>
      <c r="AB347" s="86"/>
      <c r="AC347" s="88"/>
      <c r="AD347" s="86"/>
      <c r="AE347" s="88"/>
      <c r="AF347" s="86"/>
      <c r="AG347" s="88"/>
      <c r="AH347" s="86"/>
      <c r="AI347" s="88"/>
      <c r="AJ347" s="86"/>
      <c r="AK347" s="88"/>
      <c r="AL347" s="86"/>
      <c r="AM347" s="88"/>
      <c r="AN347" s="86"/>
      <c r="AO347" s="88"/>
      <c r="AP347" s="86"/>
      <c r="AQ347" s="88"/>
      <c r="AR347" s="86"/>
      <c r="AS347" s="88"/>
      <c r="AT347" s="86"/>
      <c r="AU347" s="88"/>
      <c r="AV347" s="86"/>
      <c r="AW347" s="88"/>
      <c r="AX347" s="86"/>
      <c r="AY347" s="88"/>
      <c r="AZ347" s="86"/>
      <c r="BA347" s="88"/>
      <c r="BB347" s="86"/>
      <c r="BC347" s="88"/>
      <c r="BD347" s="86"/>
      <c r="BE347" s="88"/>
      <c r="BF347" s="86"/>
      <c r="BG347" s="88"/>
      <c r="BH347" s="86"/>
      <c r="BI347" s="88"/>
      <c r="BJ347" s="86"/>
      <c r="BK347" s="88"/>
      <c r="BL347" s="86"/>
      <c r="BM347" s="88"/>
      <c r="BN347" s="86"/>
      <c r="BO347" s="88"/>
      <c r="BP347" s="86"/>
      <c r="BQ347" s="88"/>
      <c r="BR347" s="86"/>
      <c r="BS347" s="87"/>
    </row>
    <row r="348" ht="22.5" customHeight="1">
      <c r="A348" s="154"/>
      <c r="B348" s="83"/>
      <c r="C348" s="151"/>
      <c r="D348" s="83"/>
      <c r="E348" s="151"/>
      <c r="F348" s="83"/>
      <c r="G348" s="85"/>
      <c r="H348" s="86"/>
      <c r="I348" s="87"/>
      <c r="J348" s="86"/>
      <c r="K348" s="88"/>
      <c r="L348" s="86"/>
      <c r="M348" s="88"/>
      <c r="N348" s="86"/>
      <c r="O348" s="88"/>
      <c r="P348" s="86"/>
      <c r="Q348" s="88"/>
      <c r="R348" s="86"/>
      <c r="S348" s="88"/>
      <c r="T348" s="86"/>
      <c r="U348" s="88"/>
      <c r="V348" s="86"/>
      <c r="W348" s="88"/>
      <c r="X348" s="86"/>
      <c r="Y348" s="88"/>
      <c r="Z348" s="86"/>
      <c r="AA348" s="88"/>
      <c r="AB348" s="86"/>
      <c r="AC348" s="88"/>
      <c r="AD348" s="86"/>
      <c r="AE348" s="88"/>
      <c r="AF348" s="86"/>
      <c r="AG348" s="88"/>
      <c r="AH348" s="86"/>
      <c r="AI348" s="88"/>
      <c r="AJ348" s="86"/>
      <c r="AK348" s="88"/>
      <c r="AL348" s="86"/>
      <c r="AM348" s="88"/>
      <c r="AN348" s="86"/>
      <c r="AO348" s="88"/>
      <c r="AP348" s="86"/>
      <c r="AQ348" s="88"/>
      <c r="AR348" s="86"/>
      <c r="AS348" s="88"/>
      <c r="AT348" s="86"/>
      <c r="AU348" s="88"/>
      <c r="AV348" s="86"/>
      <c r="AW348" s="88"/>
      <c r="AX348" s="86"/>
      <c r="AY348" s="88"/>
      <c r="AZ348" s="86"/>
      <c r="BA348" s="88"/>
      <c r="BB348" s="86"/>
      <c r="BC348" s="88"/>
      <c r="BD348" s="86"/>
      <c r="BE348" s="88"/>
      <c r="BF348" s="86"/>
      <c r="BG348" s="88"/>
      <c r="BH348" s="86"/>
      <c r="BI348" s="88"/>
      <c r="BJ348" s="86"/>
      <c r="BK348" s="88"/>
      <c r="BL348" s="86"/>
      <c r="BM348" s="88"/>
      <c r="BN348" s="86"/>
      <c r="BO348" s="88"/>
      <c r="BP348" s="86"/>
      <c r="BQ348" s="88"/>
      <c r="BR348" s="86"/>
      <c r="BS348" s="87"/>
    </row>
    <row r="349" ht="22.5" customHeight="1">
      <c r="A349" s="154"/>
      <c r="B349" s="83"/>
      <c r="C349" s="151"/>
      <c r="D349" s="83"/>
      <c r="E349" s="151"/>
      <c r="F349" s="83"/>
      <c r="G349" s="85"/>
      <c r="H349" s="86"/>
      <c r="I349" s="87"/>
      <c r="J349" s="86"/>
      <c r="K349" s="88"/>
      <c r="L349" s="86"/>
      <c r="M349" s="88"/>
      <c r="N349" s="86"/>
      <c r="O349" s="88"/>
      <c r="P349" s="86"/>
      <c r="Q349" s="88"/>
      <c r="R349" s="86"/>
      <c r="S349" s="88"/>
      <c r="T349" s="86"/>
      <c r="U349" s="88"/>
      <c r="V349" s="86"/>
      <c r="W349" s="88"/>
      <c r="X349" s="86"/>
      <c r="Y349" s="88"/>
      <c r="Z349" s="86"/>
      <c r="AA349" s="88"/>
      <c r="AB349" s="86"/>
      <c r="AC349" s="88"/>
      <c r="AD349" s="86"/>
      <c r="AE349" s="88"/>
      <c r="AF349" s="86"/>
      <c r="AG349" s="88"/>
      <c r="AH349" s="86"/>
      <c r="AI349" s="88"/>
      <c r="AJ349" s="86"/>
      <c r="AK349" s="88"/>
      <c r="AL349" s="86"/>
      <c r="AM349" s="88"/>
      <c r="AN349" s="86"/>
      <c r="AO349" s="88"/>
      <c r="AP349" s="86"/>
      <c r="AQ349" s="88"/>
      <c r="AR349" s="86"/>
      <c r="AS349" s="88"/>
      <c r="AT349" s="86"/>
      <c r="AU349" s="88"/>
      <c r="AV349" s="86"/>
      <c r="AW349" s="88"/>
      <c r="AX349" s="86"/>
      <c r="AY349" s="88"/>
      <c r="AZ349" s="86"/>
      <c r="BA349" s="88"/>
      <c r="BB349" s="86"/>
      <c r="BC349" s="88"/>
      <c r="BD349" s="86"/>
      <c r="BE349" s="88"/>
      <c r="BF349" s="86"/>
      <c r="BG349" s="88"/>
      <c r="BH349" s="86"/>
      <c r="BI349" s="88"/>
      <c r="BJ349" s="86"/>
      <c r="BK349" s="88"/>
      <c r="BL349" s="86"/>
      <c r="BM349" s="88"/>
      <c r="BN349" s="86"/>
      <c r="BO349" s="88"/>
      <c r="BP349" s="86"/>
      <c r="BQ349" s="88"/>
      <c r="BR349" s="86"/>
      <c r="BS349" s="87"/>
    </row>
    <row r="350" ht="22.5" customHeight="1">
      <c r="A350" s="154"/>
      <c r="B350" s="83"/>
      <c r="C350" s="151"/>
      <c r="D350" s="83"/>
      <c r="E350" s="151"/>
      <c r="F350" s="83"/>
      <c r="G350" s="85"/>
      <c r="H350" s="86"/>
      <c r="I350" s="87"/>
      <c r="J350" s="86"/>
      <c r="K350" s="88"/>
      <c r="L350" s="86"/>
      <c r="M350" s="88"/>
      <c r="N350" s="86"/>
      <c r="O350" s="88"/>
      <c r="P350" s="86"/>
      <c r="Q350" s="88"/>
      <c r="R350" s="86"/>
      <c r="S350" s="88"/>
      <c r="T350" s="86"/>
      <c r="U350" s="88"/>
      <c r="V350" s="86"/>
      <c r="W350" s="88"/>
      <c r="X350" s="86"/>
      <c r="Y350" s="88"/>
      <c r="Z350" s="86"/>
      <c r="AA350" s="88"/>
      <c r="AB350" s="86"/>
      <c r="AC350" s="88"/>
      <c r="AD350" s="86"/>
      <c r="AE350" s="88"/>
      <c r="AF350" s="86"/>
      <c r="AG350" s="88"/>
      <c r="AH350" s="86"/>
      <c r="AI350" s="88"/>
      <c r="AJ350" s="86"/>
      <c r="AK350" s="88"/>
      <c r="AL350" s="86"/>
      <c r="AM350" s="88"/>
      <c r="AN350" s="86"/>
      <c r="AO350" s="88"/>
      <c r="AP350" s="86"/>
      <c r="AQ350" s="88"/>
      <c r="AR350" s="86"/>
      <c r="AS350" s="88"/>
      <c r="AT350" s="86"/>
      <c r="AU350" s="88"/>
      <c r="AV350" s="86"/>
      <c r="AW350" s="88"/>
      <c r="AX350" s="86"/>
      <c r="AY350" s="88"/>
      <c r="AZ350" s="86"/>
      <c r="BA350" s="88"/>
      <c r="BB350" s="86"/>
      <c r="BC350" s="88"/>
      <c r="BD350" s="86"/>
      <c r="BE350" s="88"/>
      <c r="BF350" s="86"/>
      <c r="BG350" s="88"/>
      <c r="BH350" s="86"/>
      <c r="BI350" s="88"/>
      <c r="BJ350" s="86"/>
      <c r="BK350" s="88"/>
      <c r="BL350" s="86"/>
      <c r="BM350" s="88"/>
      <c r="BN350" s="86"/>
      <c r="BO350" s="88"/>
      <c r="BP350" s="86"/>
      <c r="BQ350" s="88"/>
      <c r="BR350" s="86"/>
      <c r="BS350" s="87"/>
    </row>
    <row r="351" ht="22.5" customHeight="1">
      <c r="A351" s="154"/>
      <c r="B351" s="83"/>
      <c r="C351" s="151"/>
      <c r="D351" s="83"/>
      <c r="E351" s="151"/>
      <c r="F351" s="83"/>
      <c r="G351" s="85"/>
      <c r="H351" s="86"/>
      <c r="I351" s="87"/>
      <c r="J351" s="86"/>
      <c r="K351" s="88"/>
      <c r="L351" s="86"/>
      <c r="M351" s="88"/>
      <c r="N351" s="86"/>
      <c r="O351" s="88"/>
      <c r="P351" s="86"/>
      <c r="Q351" s="88"/>
      <c r="R351" s="86"/>
      <c r="S351" s="88"/>
      <c r="T351" s="86"/>
      <c r="U351" s="88"/>
      <c r="V351" s="86"/>
      <c r="W351" s="88"/>
      <c r="X351" s="86"/>
      <c r="Y351" s="88"/>
      <c r="Z351" s="86"/>
      <c r="AA351" s="88"/>
      <c r="AB351" s="86"/>
      <c r="AC351" s="88"/>
      <c r="AD351" s="86"/>
      <c r="AE351" s="88"/>
      <c r="AF351" s="86"/>
      <c r="AG351" s="88"/>
      <c r="AH351" s="86"/>
      <c r="AI351" s="88"/>
      <c r="AJ351" s="86"/>
      <c r="AK351" s="88"/>
      <c r="AL351" s="86"/>
      <c r="AM351" s="88"/>
      <c r="AN351" s="86"/>
      <c r="AO351" s="88"/>
      <c r="AP351" s="86"/>
      <c r="AQ351" s="88"/>
      <c r="AR351" s="86"/>
      <c r="AS351" s="88"/>
      <c r="AT351" s="86"/>
      <c r="AU351" s="88"/>
      <c r="AV351" s="86"/>
      <c r="AW351" s="88"/>
      <c r="AX351" s="86"/>
      <c r="AY351" s="88"/>
      <c r="AZ351" s="86"/>
      <c r="BA351" s="88"/>
      <c r="BB351" s="86"/>
      <c r="BC351" s="88"/>
      <c r="BD351" s="86"/>
      <c r="BE351" s="88"/>
      <c r="BF351" s="86"/>
      <c r="BG351" s="88"/>
      <c r="BH351" s="86"/>
      <c r="BI351" s="88"/>
      <c r="BJ351" s="86"/>
      <c r="BK351" s="88"/>
      <c r="BL351" s="86"/>
      <c r="BM351" s="88"/>
      <c r="BN351" s="86"/>
      <c r="BO351" s="88"/>
      <c r="BP351" s="86"/>
      <c r="BQ351" s="88"/>
      <c r="BR351" s="86"/>
      <c r="BS351" s="87"/>
    </row>
    <row r="352" ht="22.5" customHeight="1">
      <c r="A352" s="154"/>
      <c r="B352" s="83"/>
      <c r="C352" s="151"/>
      <c r="D352" s="83"/>
      <c r="E352" s="151"/>
      <c r="F352" s="83"/>
      <c r="G352" s="85"/>
      <c r="H352" s="86"/>
      <c r="I352" s="87"/>
      <c r="J352" s="86"/>
      <c r="K352" s="88"/>
      <c r="L352" s="86"/>
      <c r="M352" s="88"/>
      <c r="N352" s="86"/>
      <c r="O352" s="88"/>
      <c r="P352" s="86"/>
      <c r="Q352" s="88"/>
      <c r="R352" s="86"/>
      <c r="S352" s="88"/>
      <c r="T352" s="86"/>
      <c r="U352" s="88"/>
      <c r="V352" s="86"/>
      <c r="W352" s="88"/>
      <c r="X352" s="86"/>
      <c r="Y352" s="88"/>
      <c r="Z352" s="86"/>
      <c r="AA352" s="88"/>
      <c r="AB352" s="86"/>
      <c r="AC352" s="88"/>
      <c r="AD352" s="86"/>
      <c r="AE352" s="88"/>
      <c r="AF352" s="86"/>
      <c r="AG352" s="88"/>
      <c r="AH352" s="86"/>
      <c r="AI352" s="88"/>
      <c r="AJ352" s="86"/>
      <c r="AK352" s="88"/>
      <c r="AL352" s="86"/>
      <c r="AM352" s="88"/>
      <c r="AN352" s="86"/>
      <c r="AO352" s="88"/>
      <c r="AP352" s="86"/>
      <c r="AQ352" s="88"/>
      <c r="AR352" s="86"/>
      <c r="AS352" s="88"/>
      <c r="AT352" s="86"/>
      <c r="AU352" s="88"/>
      <c r="AV352" s="86"/>
      <c r="AW352" s="88"/>
      <c r="AX352" s="86"/>
      <c r="AY352" s="88"/>
      <c r="AZ352" s="86"/>
      <c r="BA352" s="88"/>
      <c r="BB352" s="86"/>
      <c r="BC352" s="88"/>
      <c r="BD352" s="86"/>
      <c r="BE352" s="88"/>
      <c r="BF352" s="86"/>
      <c r="BG352" s="88"/>
      <c r="BH352" s="86"/>
      <c r="BI352" s="88"/>
      <c r="BJ352" s="86"/>
      <c r="BK352" s="88"/>
      <c r="BL352" s="86"/>
      <c r="BM352" s="88"/>
      <c r="BN352" s="86"/>
      <c r="BO352" s="88"/>
      <c r="BP352" s="86"/>
      <c r="BQ352" s="88"/>
      <c r="BR352" s="86"/>
      <c r="BS352" s="87"/>
    </row>
    <row r="353" ht="22.5" customHeight="1">
      <c r="A353" s="154"/>
      <c r="B353" s="83"/>
      <c r="C353" s="151"/>
      <c r="D353" s="83"/>
      <c r="E353" s="151"/>
      <c r="F353" s="83"/>
      <c r="G353" s="85"/>
      <c r="H353" s="86"/>
      <c r="I353" s="87"/>
      <c r="J353" s="86"/>
      <c r="K353" s="88"/>
      <c r="L353" s="86"/>
      <c r="M353" s="88"/>
      <c r="N353" s="86"/>
      <c r="O353" s="88"/>
      <c r="P353" s="86"/>
      <c r="Q353" s="88"/>
      <c r="R353" s="86"/>
      <c r="S353" s="88"/>
      <c r="T353" s="86"/>
      <c r="U353" s="88"/>
      <c r="V353" s="86"/>
      <c r="W353" s="88"/>
      <c r="X353" s="86"/>
      <c r="Y353" s="88"/>
      <c r="Z353" s="86"/>
      <c r="AA353" s="88"/>
      <c r="AB353" s="86"/>
      <c r="AC353" s="88"/>
      <c r="AD353" s="86"/>
      <c r="AE353" s="88"/>
      <c r="AF353" s="86"/>
      <c r="AG353" s="88"/>
      <c r="AH353" s="86"/>
      <c r="AI353" s="88"/>
      <c r="AJ353" s="86"/>
      <c r="AK353" s="88"/>
      <c r="AL353" s="86"/>
      <c r="AM353" s="88"/>
      <c r="AN353" s="86"/>
      <c r="AO353" s="88"/>
      <c r="AP353" s="86"/>
      <c r="AQ353" s="88"/>
      <c r="AR353" s="86"/>
      <c r="AS353" s="88"/>
      <c r="AT353" s="86"/>
      <c r="AU353" s="88"/>
      <c r="AV353" s="86"/>
      <c r="AW353" s="88"/>
      <c r="AX353" s="86"/>
      <c r="AY353" s="88"/>
      <c r="AZ353" s="86"/>
      <c r="BA353" s="88"/>
      <c r="BB353" s="86"/>
      <c r="BC353" s="88"/>
      <c r="BD353" s="86"/>
      <c r="BE353" s="88"/>
      <c r="BF353" s="86"/>
      <c r="BG353" s="88"/>
      <c r="BH353" s="86"/>
      <c r="BI353" s="88"/>
      <c r="BJ353" s="86"/>
      <c r="BK353" s="88"/>
      <c r="BL353" s="86"/>
      <c r="BM353" s="88"/>
      <c r="BN353" s="86"/>
      <c r="BO353" s="88"/>
      <c r="BP353" s="86"/>
      <c r="BQ353" s="88"/>
      <c r="BR353" s="86"/>
      <c r="BS353" s="87"/>
    </row>
    <row r="354" ht="22.5" customHeight="1">
      <c r="A354" s="154"/>
      <c r="B354" s="83"/>
      <c r="C354" s="151"/>
      <c r="D354" s="83"/>
      <c r="E354" s="151"/>
      <c r="F354" s="83"/>
      <c r="G354" s="85"/>
      <c r="H354" s="86"/>
      <c r="I354" s="87"/>
      <c r="J354" s="86"/>
      <c r="K354" s="88"/>
      <c r="L354" s="86"/>
      <c r="M354" s="88"/>
      <c r="N354" s="86"/>
      <c r="O354" s="88"/>
      <c r="P354" s="86"/>
      <c r="Q354" s="88"/>
      <c r="R354" s="86"/>
      <c r="S354" s="88"/>
      <c r="T354" s="86"/>
      <c r="U354" s="88"/>
      <c r="V354" s="86"/>
      <c r="W354" s="88"/>
      <c r="X354" s="86"/>
      <c r="Y354" s="88"/>
      <c r="Z354" s="86"/>
      <c r="AA354" s="88"/>
      <c r="AB354" s="86"/>
      <c r="AC354" s="88"/>
      <c r="AD354" s="86"/>
      <c r="AE354" s="88"/>
      <c r="AF354" s="86"/>
      <c r="AG354" s="88"/>
      <c r="AH354" s="86"/>
      <c r="AI354" s="88"/>
      <c r="AJ354" s="86"/>
      <c r="AK354" s="88"/>
      <c r="AL354" s="86"/>
      <c r="AM354" s="88"/>
      <c r="AN354" s="86"/>
      <c r="AO354" s="88"/>
      <c r="AP354" s="86"/>
      <c r="AQ354" s="88"/>
      <c r="AR354" s="86"/>
      <c r="AS354" s="88"/>
      <c r="AT354" s="86"/>
      <c r="AU354" s="88"/>
      <c r="AV354" s="86"/>
      <c r="AW354" s="88"/>
      <c r="AX354" s="86"/>
      <c r="AY354" s="88"/>
      <c r="AZ354" s="86"/>
      <c r="BA354" s="88"/>
      <c r="BB354" s="86"/>
      <c r="BC354" s="88"/>
      <c r="BD354" s="86"/>
      <c r="BE354" s="88"/>
      <c r="BF354" s="86"/>
      <c r="BG354" s="88"/>
      <c r="BH354" s="86"/>
      <c r="BI354" s="88"/>
      <c r="BJ354" s="86"/>
      <c r="BK354" s="88"/>
      <c r="BL354" s="86"/>
      <c r="BM354" s="88"/>
      <c r="BN354" s="86"/>
      <c r="BO354" s="88"/>
      <c r="BP354" s="86"/>
      <c r="BQ354" s="88"/>
      <c r="BR354" s="86"/>
      <c r="BS354" s="87"/>
    </row>
    <row r="355" ht="22.5" customHeight="1">
      <c r="A355" s="154"/>
      <c r="B355" s="83"/>
      <c r="C355" s="151"/>
      <c r="D355" s="83"/>
      <c r="E355" s="151"/>
      <c r="F355" s="83"/>
      <c r="G355" s="85"/>
      <c r="H355" s="86"/>
      <c r="I355" s="87"/>
      <c r="J355" s="86"/>
      <c r="K355" s="88"/>
      <c r="L355" s="86"/>
      <c r="M355" s="88"/>
      <c r="N355" s="86"/>
      <c r="O355" s="88"/>
      <c r="P355" s="86"/>
      <c r="Q355" s="88"/>
      <c r="R355" s="86"/>
      <c r="S355" s="88"/>
      <c r="T355" s="86"/>
      <c r="U355" s="88"/>
      <c r="V355" s="86"/>
      <c r="W355" s="88"/>
      <c r="X355" s="86"/>
      <c r="Y355" s="88"/>
      <c r="Z355" s="86"/>
      <c r="AA355" s="88"/>
      <c r="AB355" s="86"/>
      <c r="AC355" s="88"/>
      <c r="AD355" s="86"/>
      <c r="AE355" s="88"/>
      <c r="AF355" s="86"/>
      <c r="AG355" s="88"/>
      <c r="AH355" s="86"/>
      <c r="AI355" s="88"/>
      <c r="AJ355" s="86"/>
      <c r="AK355" s="88"/>
      <c r="AL355" s="86"/>
      <c r="AM355" s="88"/>
      <c r="AN355" s="86"/>
      <c r="AO355" s="88"/>
      <c r="AP355" s="86"/>
      <c r="AQ355" s="88"/>
      <c r="AR355" s="86"/>
      <c r="AS355" s="88"/>
      <c r="AT355" s="86"/>
      <c r="AU355" s="88"/>
      <c r="AV355" s="86"/>
      <c r="AW355" s="88"/>
      <c r="AX355" s="86"/>
      <c r="AY355" s="88"/>
      <c r="AZ355" s="86"/>
      <c r="BA355" s="88"/>
      <c r="BB355" s="86"/>
      <c r="BC355" s="88"/>
      <c r="BD355" s="86"/>
      <c r="BE355" s="88"/>
      <c r="BF355" s="86"/>
      <c r="BG355" s="88"/>
      <c r="BH355" s="86"/>
      <c r="BI355" s="88"/>
      <c r="BJ355" s="86"/>
      <c r="BK355" s="88"/>
      <c r="BL355" s="86"/>
      <c r="BM355" s="88"/>
      <c r="BN355" s="86"/>
      <c r="BO355" s="88"/>
      <c r="BP355" s="86"/>
      <c r="BQ355" s="88"/>
      <c r="BR355" s="86"/>
      <c r="BS355" s="87"/>
    </row>
    <row r="356" ht="22.5" customHeight="1">
      <c r="A356" s="154"/>
      <c r="B356" s="83"/>
      <c r="C356" s="151"/>
      <c r="D356" s="83"/>
      <c r="E356" s="151"/>
      <c r="F356" s="83"/>
      <c r="G356" s="85"/>
      <c r="H356" s="86"/>
      <c r="I356" s="87"/>
      <c r="J356" s="86"/>
      <c r="K356" s="88"/>
      <c r="L356" s="86"/>
      <c r="M356" s="88"/>
      <c r="N356" s="86"/>
      <c r="O356" s="88"/>
      <c r="P356" s="86"/>
      <c r="Q356" s="88"/>
      <c r="R356" s="86"/>
      <c r="S356" s="88"/>
      <c r="T356" s="86"/>
      <c r="U356" s="88"/>
      <c r="V356" s="86"/>
      <c r="W356" s="88"/>
      <c r="X356" s="86"/>
      <c r="Y356" s="88"/>
      <c r="Z356" s="86"/>
      <c r="AA356" s="88"/>
      <c r="AB356" s="86"/>
      <c r="AC356" s="88"/>
      <c r="AD356" s="86"/>
      <c r="AE356" s="88"/>
      <c r="AF356" s="86"/>
      <c r="AG356" s="88"/>
      <c r="AH356" s="86"/>
      <c r="AI356" s="88"/>
      <c r="AJ356" s="86"/>
      <c r="AK356" s="88"/>
      <c r="AL356" s="86"/>
      <c r="AM356" s="88"/>
      <c r="AN356" s="86"/>
      <c r="AO356" s="88"/>
      <c r="AP356" s="86"/>
      <c r="AQ356" s="88"/>
      <c r="AR356" s="86"/>
      <c r="AS356" s="88"/>
      <c r="AT356" s="86"/>
      <c r="AU356" s="88"/>
      <c r="AV356" s="86"/>
      <c r="AW356" s="88"/>
      <c r="AX356" s="86"/>
      <c r="AY356" s="88"/>
      <c r="AZ356" s="86"/>
      <c r="BA356" s="88"/>
      <c r="BB356" s="86"/>
      <c r="BC356" s="88"/>
      <c r="BD356" s="86"/>
      <c r="BE356" s="88"/>
      <c r="BF356" s="86"/>
      <c r="BG356" s="88"/>
      <c r="BH356" s="86"/>
      <c r="BI356" s="88"/>
      <c r="BJ356" s="86"/>
      <c r="BK356" s="88"/>
      <c r="BL356" s="86"/>
      <c r="BM356" s="88"/>
      <c r="BN356" s="86"/>
      <c r="BO356" s="88"/>
      <c r="BP356" s="86"/>
      <c r="BQ356" s="88"/>
      <c r="BR356" s="86"/>
      <c r="BS356" s="87"/>
    </row>
    <row r="357" ht="22.5" customHeight="1">
      <c r="A357" s="154"/>
      <c r="B357" s="83"/>
      <c r="C357" s="151"/>
      <c r="D357" s="83"/>
      <c r="E357" s="151"/>
      <c r="F357" s="83"/>
      <c r="G357" s="85"/>
      <c r="H357" s="86"/>
      <c r="I357" s="87"/>
      <c r="J357" s="86"/>
      <c r="K357" s="88"/>
      <c r="L357" s="86"/>
      <c r="M357" s="88"/>
      <c r="N357" s="86"/>
      <c r="O357" s="88"/>
      <c r="P357" s="86"/>
      <c r="Q357" s="88"/>
      <c r="R357" s="86"/>
      <c r="S357" s="88"/>
      <c r="T357" s="86"/>
      <c r="U357" s="88"/>
      <c r="V357" s="86"/>
      <c r="W357" s="88"/>
      <c r="X357" s="86"/>
      <c r="Y357" s="88"/>
      <c r="Z357" s="86"/>
      <c r="AA357" s="88"/>
      <c r="AB357" s="86"/>
      <c r="AC357" s="88"/>
      <c r="AD357" s="86"/>
      <c r="AE357" s="88"/>
      <c r="AF357" s="86"/>
      <c r="AG357" s="88"/>
      <c r="AH357" s="86"/>
      <c r="AI357" s="88"/>
      <c r="AJ357" s="86"/>
      <c r="AK357" s="88"/>
      <c r="AL357" s="86"/>
      <c r="AM357" s="88"/>
      <c r="AN357" s="86"/>
      <c r="AO357" s="88"/>
      <c r="AP357" s="86"/>
      <c r="AQ357" s="88"/>
      <c r="AR357" s="86"/>
      <c r="AS357" s="88"/>
      <c r="AT357" s="86"/>
      <c r="AU357" s="88"/>
      <c r="AV357" s="86"/>
      <c r="AW357" s="88"/>
      <c r="AX357" s="86"/>
      <c r="AY357" s="88"/>
      <c r="AZ357" s="86"/>
      <c r="BA357" s="88"/>
      <c r="BB357" s="86"/>
      <c r="BC357" s="88"/>
      <c r="BD357" s="86"/>
      <c r="BE357" s="88"/>
      <c r="BF357" s="86"/>
      <c r="BG357" s="88"/>
      <c r="BH357" s="86"/>
      <c r="BI357" s="88"/>
      <c r="BJ357" s="86"/>
      <c r="BK357" s="88"/>
      <c r="BL357" s="86"/>
      <c r="BM357" s="88"/>
      <c r="BN357" s="86"/>
      <c r="BO357" s="88"/>
      <c r="BP357" s="86"/>
      <c r="BQ357" s="88"/>
      <c r="BR357" s="86"/>
      <c r="BS357" s="87"/>
    </row>
    <row r="358" ht="22.5" customHeight="1">
      <c r="A358" s="154"/>
      <c r="B358" s="83"/>
      <c r="C358" s="151"/>
      <c r="D358" s="83"/>
      <c r="E358" s="151"/>
      <c r="F358" s="83"/>
      <c r="G358" s="85"/>
      <c r="H358" s="86"/>
      <c r="I358" s="87"/>
      <c r="J358" s="86"/>
      <c r="K358" s="88"/>
      <c r="L358" s="86"/>
      <c r="M358" s="88"/>
      <c r="N358" s="86"/>
      <c r="O358" s="88"/>
      <c r="P358" s="86"/>
      <c r="Q358" s="88"/>
      <c r="R358" s="86"/>
      <c r="S358" s="88"/>
      <c r="T358" s="86"/>
      <c r="U358" s="88"/>
      <c r="V358" s="86"/>
      <c r="W358" s="88"/>
      <c r="X358" s="86"/>
      <c r="Y358" s="88"/>
      <c r="Z358" s="86"/>
      <c r="AA358" s="88"/>
      <c r="AB358" s="86"/>
      <c r="AC358" s="88"/>
      <c r="AD358" s="86"/>
      <c r="AE358" s="88"/>
      <c r="AF358" s="86"/>
      <c r="AG358" s="88"/>
      <c r="AH358" s="86"/>
      <c r="AI358" s="88"/>
      <c r="AJ358" s="86"/>
      <c r="AK358" s="88"/>
      <c r="AL358" s="86"/>
      <c r="AM358" s="88"/>
      <c r="AN358" s="86"/>
      <c r="AO358" s="88"/>
      <c r="AP358" s="86"/>
      <c r="AQ358" s="88"/>
      <c r="AR358" s="86"/>
      <c r="AS358" s="88"/>
      <c r="AT358" s="86"/>
      <c r="AU358" s="88"/>
      <c r="AV358" s="86"/>
      <c r="AW358" s="88"/>
      <c r="AX358" s="86"/>
      <c r="AY358" s="88"/>
      <c r="AZ358" s="86"/>
      <c r="BA358" s="88"/>
      <c r="BB358" s="86"/>
      <c r="BC358" s="88"/>
      <c r="BD358" s="86"/>
      <c r="BE358" s="88"/>
      <c r="BF358" s="86"/>
      <c r="BG358" s="88"/>
      <c r="BH358" s="86"/>
      <c r="BI358" s="88"/>
      <c r="BJ358" s="86"/>
      <c r="BK358" s="88"/>
      <c r="BL358" s="86"/>
      <c r="BM358" s="88"/>
      <c r="BN358" s="86"/>
      <c r="BO358" s="88"/>
      <c r="BP358" s="86"/>
      <c r="BQ358" s="88"/>
      <c r="BR358" s="86"/>
      <c r="BS358" s="87"/>
    </row>
    <row r="359" ht="22.5" customHeight="1">
      <c r="A359" s="154"/>
      <c r="B359" s="83"/>
      <c r="C359" s="151"/>
      <c r="D359" s="83"/>
      <c r="E359" s="151"/>
      <c r="F359" s="83"/>
      <c r="G359" s="85"/>
      <c r="H359" s="86"/>
      <c r="I359" s="87"/>
      <c r="J359" s="86"/>
      <c r="K359" s="88"/>
      <c r="L359" s="86"/>
      <c r="M359" s="88"/>
      <c r="N359" s="86"/>
      <c r="O359" s="88"/>
      <c r="P359" s="86"/>
      <c r="Q359" s="88"/>
      <c r="R359" s="86"/>
      <c r="S359" s="88"/>
      <c r="T359" s="86"/>
      <c r="U359" s="88"/>
      <c r="V359" s="86"/>
      <c r="W359" s="88"/>
      <c r="X359" s="86"/>
      <c r="Y359" s="88"/>
      <c r="Z359" s="86"/>
      <c r="AA359" s="88"/>
      <c r="AB359" s="86"/>
      <c r="AC359" s="88"/>
      <c r="AD359" s="86"/>
      <c r="AE359" s="88"/>
      <c r="AF359" s="86"/>
      <c r="AG359" s="88"/>
      <c r="AH359" s="86"/>
      <c r="AI359" s="88"/>
      <c r="AJ359" s="86"/>
      <c r="AK359" s="88"/>
      <c r="AL359" s="86"/>
      <c r="AM359" s="88"/>
      <c r="AN359" s="86"/>
      <c r="AO359" s="88"/>
      <c r="AP359" s="86"/>
      <c r="AQ359" s="88"/>
      <c r="AR359" s="86"/>
      <c r="AS359" s="88"/>
      <c r="AT359" s="86"/>
      <c r="AU359" s="88"/>
      <c r="AV359" s="86"/>
      <c r="AW359" s="88"/>
      <c r="AX359" s="86"/>
      <c r="AY359" s="88"/>
      <c r="AZ359" s="86"/>
      <c r="BA359" s="88"/>
      <c r="BB359" s="86"/>
      <c r="BC359" s="88"/>
      <c r="BD359" s="86"/>
      <c r="BE359" s="88"/>
      <c r="BF359" s="86"/>
      <c r="BG359" s="88"/>
      <c r="BH359" s="86"/>
      <c r="BI359" s="88"/>
      <c r="BJ359" s="86"/>
      <c r="BK359" s="88"/>
      <c r="BL359" s="86"/>
      <c r="BM359" s="88"/>
      <c r="BN359" s="86"/>
      <c r="BO359" s="88"/>
      <c r="BP359" s="86"/>
      <c r="BQ359" s="88"/>
      <c r="BR359" s="86"/>
      <c r="BS359" s="87"/>
    </row>
    <row r="360" ht="22.5" customHeight="1">
      <c r="A360" s="154"/>
      <c r="B360" s="83"/>
      <c r="C360" s="151"/>
      <c r="D360" s="83"/>
      <c r="E360" s="151"/>
      <c r="F360" s="83"/>
      <c r="G360" s="85"/>
      <c r="H360" s="86"/>
      <c r="I360" s="87"/>
      <c r="J360" s="86"/>
      <c r="K360" s="88"/>
      <c r="L360" s="86"/>
      <c r="M360" s="88"/>
      <c r="N360" s="86"/>
      <c r="O360" s="88"/>
      <c r="P360" s="86"/>
      <c r="Q360" s="88"/>
      <c r="R360" s="86"/>
      <c r="S360" s="88"/>
      <c r="T360" s="86"/>
      <c r="U360" s="88"/>
      <c r="V360" s="86"/>
      <c r="W360" s="88"/>
      <c r="X360" s="86"/>
      <c r="Y360" s="88"/>
      <c r="Z360" s="86"/>
      <c r="AA360" s="88"/>
      <c r="AB360" s="86"/>
      <c r="AC360" s="88"/>
      <c r="AD360" s="86"/>
      <c r="AE360" s="88"/>
      <c r="AF360" s="86"/>
      <c r="AG360" s="88"/>
      <c r="AH360" s="86"/>
      <c r="AI360" s="88"/>
      <c r="AJ360" s="86"/>
      <c r="AK360" s="88"/>
      <c r="AL360" s="86"/>
      <c r="AM360" s="88"/>
      <c r="AN360" s="86"/>
      <c r="AO360" s="88"/>
      <c r="AP360" s="86"/>
      <c r="AQ360" s="88"/>
      <c r="AR360" s="86"/>
      <c r="AS360" s="88"/>
      <c r="AT360" s="86"/>
      <c r="AU360" s="88"/>
      <c r="AV360" s="86"/>
      <c r="AW360" s="88"/>
      <c r="AX360" s="86"/>
      <c r="AY360" s="88"/>
      <c r="AZ360" s="86"/>
      <c r="BA360" s="88"/>
      <c r="BB360" s="86"/>
      <c r="BC360" s="88"/>
      <c r="BD360" s="86"/>
      <c r="BE360" s="88"/>
      <c r="BF360" s="86"/>
      <c r="BG360" s="88"/>
      <c r="BH360" s="86"/>
      <c r="BI360" s="88"/>
      <c r="BJ360" s="86"/>
      <c r="BK360" s="88"/>
      <c r="BL360" s="86"/>
      <c r="BM360" s="88"/>
      <c r="BN360" s="86"/>
      <c r="BO360" s="88"/>
      <c r="BP360" s="86"/>
      <c r="BQ360" s="88"/>
      <c r="BR360" s="86"/>
      <c r="BS360" s="87"/>
    </row>
    <row r="361" ht="22.5" customHeight="1">
      <c r="A361" s="154"/>
      <c r="B361" s="83"/>
      <c r="C361" s="151"/>
      <c r="D361" s="83"/>
      <c r="E361" s="151"/>
      <c r="F361" s="83"/>
      <c r="G361" s="85"/>
      <c r="H361" s="86"/>
      <c r="I361" s="87"/>
      <c r="J361" s="86"/>
      <c r="K361" s="88"/>
      <c r="L361" s="86"/>
      <c r="M361" s="88"/>
      <c r="N361" s="86"/>
      <c r="O361" s="88"/>
      <c r="P361" s="86"/>
      <c r="Q361" s="88"/>
      <c r="R361" s="86"/>
      <c r="S361" s="88"/>
      <c r="T361" s="86"/>
      <c r="U361" s="88"/>
      <c r="V361" s="86"/>
      <c r="W361" s="88"/>
      <c r="X361" s="86"/>
      <c r="Y361" s="88"/>
      <c r="Z361" s="86"/>
      <c r="AA361" s="88"/>
      <c r="AB361" s="86"/>
      <c r="AC361" s="88"/>
      <c r="AD361" s="86"/>
      <c r="AE361" s="88"/>
      <c r="AF361" s="86"/>
      <c r="AG361" s="88"/>
      <c r="AH361" s="86"/>
      <c r="AI361" s="88"/>
      <c r="AJ361" s="86"/>
      <c r="AK361" s="88"/>
      <c r="AL361" s="86"/>
      <c r="AM361" s="88"/>
      <c r="AN361" s="86"/>
      <c r="AO361" s="88"/>
      <c r="AP361" s="86"/>
      <c r="AQ361" s="88"/>
      <c r="AR361" s="86"/>
      <c r="AS361" s="88"/>
      <c r="AT361" s="86"/>
      <c r="AU361" s="88"/>
      <c r="AV361" s="86"/>
      <c r="AW361" s="88"/>
      <c r="AX361" s="86"/>
      <c r="AY361" s="88"/>
      <c r="AZ361" s="86"/>
      <c r="BA361" s="88"/>
      <c r="BB361" s="86"/>
      <c r="BC361" s="88"/>
      <c r="BD361" s="86"/>
      <c r="BE361" s="88"/>
      <c r="BF361" s="86"/>
      <c r="BG361" s="88"/>
      <c r="BH361" s="86"/>
      <c r="BI361" s="88"/>
      <c r="BJ361" s="86"/>
      <c r="BK361" s="88"/>
      <c r="BL361" s="86"/>
      <c r="BM361" s="88"/>
      <c r="BN361" s="86"/>
      <c r="BO361" s="88"/>
      <c r="BP361" s="86"/>
      <c r="BQ361" s="88"/>
      <c r="BR361" s="86"/>
      <c r="BS361" s="87"/>
    </row>
    <row r="362" ht="22.5" customHeight="1">
      <c r="A362" s="154"/>
      <c r="B362" s="83"/>
      <c r="C362" s="151"/>
      <c r="D362" s="83"/>
      <c r="E362" s="151"/>
      <c r="F362" s="83"/>
      <c r="G362" s="85"/>
      <c r="H362" s="86"/>
      <c r="I362" s="87"/>
      <c r="J362" s="86"/>
      <c r="K362" s="88"/>
      <c r="L362" s="86"/>
      <c r="M362" s="88"/>
      <c r="N362" s="86"/>
      <c r="O362" s="88"/>
      <c r="P362" s="86"/>
      <c r="Q362" s="88"/>
      <c r="R362" s="86"/>
      <c r="S362" s="88"/>
      <c r="T362" s="86"/>
      <c r="U362" s="88"/>
      <c r="V362" s="86"/>
      <c r="W362" s="88"/>
      <c r="X362" s="86"/>
      <c r="Y362" s="88"/>
      <c r="Z362" s="86"/>
      <c r="AA362" s="88"/>
      <c r="AB362" s="86"/>
      <c r="AC362" s="88"/>
      <c r="AD362" s="86"/>
      <c r="AE362" s="88"/>
      <c r="AF362" s="86"/>
      <c r="AG362" s="88"/>
      <c r="AH362" s="86"/>
      <c r="AI362" s="88"/>
      <c r="AJ362" s="86"/>
      <c r="AK362" s="88"/>
      <c r="AL362" s="86"/>
      <c r="AM362" s="88"/>
      <c r="AN362" s="86"/>
      <c r="AO362" s="88"/>
      <c r="AP362" s="86"/>
      <c r="AQ362" s="88"/>
      <c r="AR362" s="86"/>
      <c r="AS362" s="88"/>
      <c r="AT362" s="86"/>
      <c r="AU362" s="88"/>
      <c r="AV362" s="86"/>
      <c r="AW362" s="88"/>
      <c r="AX362" s="86"/>
      <c r="AY362" s="88"/>
      <c r="AZ362" s="86"/>
      <c r="BA362" s="88"/>
      <c r="BB362" s="86"/>
      <c r="BC362" s="88"/>
      <c r="BD362" s="86"/>
      <c r="BE362" s="88"/>
      <c r="BF362" s="86"/>
      <c r="BG362" s="88"/>
      <c r="BH362" s="86"/>
      <c r="BI362" s="88"/>
      <c r="BJ362" s="86"/>
      <c r="BK362" s="88"/>
      <c r="BL362" s="86"/>
      <c r="BM362" s="88"/>
      <c r="BN362" s="86"/>
      <c r="BO362" s="88"/>
      <c r="BP362" s="86"/>
      <c r="BQ362" s="88"/>
      <c r="BR362" s="86"/>
      <c r="BS362" s="87"/>
    </row>
    <row r="363" ht="22.5" customHeight="1">
      <c r="A363" s="154"/>
      <c r="B363" s="83"/>
      <c r="C363" s="151"/>
      <c r="D363" s="83"/>
      <c r="E363" s="151"/>
      <c r="F363" s="83"/>
      <c r="G363" s="85"/>
      <c r="H363" s="86"/>
      <c r="I363" s="87"/>
      <c r="J363" s="86"/>
      <c r="K363" s="88"/>
      <c r="L363" s="86"/>
      <c r="M363" s="88"/>
      <c r="N363" s="86"/>
      <c r="O363" s="88"/>
      <c r="P363" s="86"/>
      <c r="Q363" s="88"/>
      <c r="R363" s="86"/>
      <c r="S363" s="88"/>
      <c r="T363" s="86"/>
      <c r="U363" s="88"/>
      <c r="V363" s="86"/>
      <c r="W363" s="88"/>
      <c r="X363" s="86"/>
      <c r="Y363" s="88"/>
      <c r="Z363" s="86"/>
      <c r="AA363" s="88"/>
      <c r="AB363" s="86"/>
      <c r="AC363" s="88"/>
      <c r="AD363" s="86"/>
      <c r="AE363" s="88"/>
      <c r="AF363" s="86"/>
      <c r="AG363" s="88"/>
      <c r="AH363" s="86"/>
      <c r="AI363" s="88"/>
      <c r="AJ363" s="86"/>
      <c r="AK363" s="88"/>
      <c r="AL363" s="86"/>
      <c r="AM363" s="88"/>
      <c r="AN363" s="86"/>
      <c r="AO363" s="88"/>
      <c r="AP363" s="86"/>
      <c r="AQ363" s="88"/>
      <c r="AR363" s="86"/>
      <c r="AS363" s="88"/>
      <c r="AT363" s="86"/>
      <c r="AU363" s="88"/>
      <c r="AV363" s="86"/>
      <c r="AW363" s="88"/>
      <c r="AX363" s="86"/>
      <c r="AY363" s="88"/>
      <c r="AZ363" s="86"/>
      <c r="BA363" s="88"/>
      <c r="BB363" s="86"/>
      <c r="BC363" s="88"/>
      <c r="BD363" s="86"/>
      <c r="BE363" s="88"/>
      <c r="BF363" s="86"/>
      <c r="BG363" s="88"/>
      <c r="BH363" s="86"/>
      <c r="BI363" s="88"/>
      <c r="BJ363" s="86"/>
      <c r="BK363" s="88"/>
      <c r="BL363" s="86"/>
      <c r="BM363" s="88"/>
      <c r="BN363" s="86"/>
      <c r="BO363" s="88"/>
      <c r="BP363" s="86"/>
      <c r="BQ363" s="88"/>
      <c r="BR363" s="86"/>
      <c r="BS363" s="87"/>
    </row>
    <row r="364" ht="22.5" customHeight="1">
      <c r="A364" s="154"/>
      <c r="B364" s="83"/>
      <c r="C364" s="151"/>
      <c r="D364" s="83"/>
      <c r="E364" s="151"/>
      <c r="F364" s="83"/>
      <c r="G364" s="85"/>
      <c r="H364" s="86"/>
      <c r="I364" s="87"/>
      <c r="J364" s="86"/>
      <c r="K364" s="88"/>
      <c r="L364" s="86"/>
      <c r="M364" s="88"/>
      <c r="N364" s="86"/>
      <c r="O364" s="88"/>
      <c r="P364" s="86"/>
      <c r="Q364" s="88"/>
      <c r="R364" s="86"/>
      <c r="S364" s="88"/>
      <c r="T364" s="86"/>
      <c r="U364" s="88"/>
      <c r="V364" s="86"/>
      <c r="W364" s="88"/>
      <c r="X364" s="86"/>
      <c r="Y364" s="88"/>
      <c r="Z364" s="86"/>
      <c r="AA364" s="88"/>
      <c r="AB364" s="86"/>
      <c r="AC364" s="88"/>
      <c r="AD364" s="86"/>
      <c r="AE364" s="88"/>
      <c r="AF364" s="86"/>
      <c r="AG364" s="88"/>
      <c r="AH364" s="86"/>
      <c r="AI364" s="88"/>
      <c r="AJ364" s="86"/>
      <c r="AK364" s="88"/>
      <c r="AL364" s="86"/>
      <c r="AM364" s="88"/>
      <c r="AN364" s="86"/>
      <c r="AO364" s="88"/>
      <c r="AP364" s="86"/>
      <c r="AQ364" s="88"/>
      <c r="AR364" s="86"/>
      <c r="AS364" s="88"/>
      <c r="AT364" s="86"/>
      <c r="AU364" s="88"/>
      <c r="AV364" s="86"/>
      <c r="AW364" s="88"/>
      <c r="AX364" s="86"/>
      <c r="AY364" s="88"/>
      <c r="AZ364" s="86"/>
      <c r="BA364" s="88"/>
      <c r="BB364" s="86"/>
      <c r="BC364" s="88"/>
      <c r="BD364" s="86"/>
      <c r="BE364" s="88"/>
      <c r="BF364" s="86"/>
      <c r="BG364" s="88"/>
      <c r="BH364" s="86"/>
      <c r="BI364" s="88"/>
      <c r="BJ364" s="86"/>
      <c r="BK364" s="88"/>
      <c r="BL364" s="86"/>
      <c r="BM364" s="88"/>
      <c r="BN364" s="86"/>
      <c r="BO364" s="88"/>
      <c r="BP364" s="86"/>
      <c r="BQ364" s="88"/>
      <c r="BR364" s="86"/>
      <c r="BS364" s="87"/>
    </row>
    <row r="365" ht="22.5" customHeight="1">
      <c r="A365" s="154"/>
      <c r="B365" s="83"/>
      <c r="C365" s="151"/>
      <c r="D365" s="83"/>
      <c r="E365" s="151"/>
      <c r="F365" s="83"/>
      <c r="G365" s="85"/>
      <c r="H365" s="86"/>
      <c r="I365" s="87"/>
      <c r="J365" s="86"/>
      <c r="K365" s="88"/>
      <c r="L365" s="86"/>
      <c r="M365" s="88"/>
      <c r="N365" s="86"/>
      <c r="O365" s="88"/>
      <c r="P365" s="86"/>
      <c r="Q365" s="88"/>
      <c r="R365" s="86"/>
      <c r="S365" s="88"/>
      <c r="T365" s="86"/>
      <c r="U365" s="88"/>
      <c r="V365" s="86"/>
      <c r="W365" s="88"/>
      <c r="X365" s="86"/>
      <c r="Y365" s="88"/>
      <c r="Z365" s="86"/>
      <c r="AA365" s="88"/>
      <c r="AB365" s="86"/>
      <c r="AC365" s="88"/>
      <c r="AD365" s="86"/>
      <c r="AE365" s="88"/>
      <c r="AF365" s="86"/>
      <c r="AG365" s="88"/>
      <c r="AH365" s="86"/>
      <c r="AI365" s="88"/>
      <c r="AJ365" s="86"/>
      <c r="AK365" s="88"/>
      <c r="AL365" s="86"/>
      <c r="AM365" s="88"/>
      <c r="AN365" s="86"/>
      <c r="AO365" s="88"/>
      <c r="AP365" s="86"/>
      <c r="AQ365" s="88"/>
      <c r="AR365" s="86"/>
      <c r="AS365" s="88"/>
      <c r="AT365" s="86"/>
      <c r="AU365" s="88"/>
      <c r="AV365" s="86"/>
      <c r="AW365" s="88"/>
      <c r="AX365" s="86"/>
      <c r="AY365" s="88"/>
      <c r="AZ365" s="86"/>
      <c r="BA365" s="88"/>
      <c r="BB365" s="86"/>
      <c r="BC365" s="88"/>
      <c r="BD365" s="86"/>
      <c r="BE365" s="88"/>
      <c r="BF365" s="86"/>
      <c r="BG365" s="88"/>
      <c r="BH365" s="86"/>
      <c r="BI365" s="88"/>
      <c r="BJ365" s="86"/>
      <c r="BK365" s="88"/>
      <c r="BL365" s="86"/>
      <c r="BM365" s="88"/>
      <c r="BN365" s="86"/>
      <c r="BO365" s="88"/>
      <c r="BP365" s="86"/>
      <c r="BQ365" s="88"/>
      <c r="BR365" s="86"/>
      <c r="BS365" s="87"/>
    </row>
    <row r="366" ht="22.5" customHeight="1">
      <c r="A366" s="154"/>
      <c r="B366" s="83"/>
      <c r="C366" s="151"/>
      <c r="D366" s="83"/>
      <c r="E366" s="151"/>
      <c r="F366" s="83"/>
      <c r="G366" s="85"/>
      <c r="H366" s="86"/>
      <c r="I366" s="87"/>
      <c r="J366" s="86"/>
      <c r="K366" s="88"/>
      <c r="L366" s="86"/>
      <c r="M366" s="88"/>
      <c r="N366" s="86"/>
      <c r="O366" s="88"/>
      <c r="P366" s="86"/>
      <c r="Q366" s="88"/>
      <c r="R366" s="86"/>
      <c r="S366" s="88"/>
      <c r="T366" s="86"/>
      <c r="U366" s="88"/>
      <c r="V366" s="86"/>
      <c r="W366" s="88"/>
      <c r="X366" s="86"/>
      <c r="Y366" s="88"/>
      <c r="Z366" s="86"/>
      <c r="AA366" s="88"/>
      <c r="AB366" s="86"/>
      <c r="AC366" s="88"/>
      <c r="AD366" s="86"/>
      <c r="AE366" s="88"/>
      <c r="AF366" s="86"/>
      <c r="AG366" s="88"/>
      <c r="AH366" s="86"/>
      <c r="AI366" s="88"/>
      <c r="AJ366" s="86"/>
      <c r="AK366" s="88"/>
      <c r="AL366" s="86"/>
      <c r="AM366" s="88"/>
      <c r="AN366" s="86"/>
      <c r="AO366" s="88"/>
      <c r="AP366" s="86"/>
      <c r="AQ366" s="88"/>
      <c r="AR366" s="86"/>
      <c r="AS366" s="88"/>
      <c r="AT366" s="86"/>
      <c r="AU366" s="88"/>
      <c r="AV366" s="86"/>
      <c r="AW366" s="88"/>
      <c r="AX366" s="86"/>
      <c r="AY366" s="88"/>
      <c r="AZ366" s="86"/>
      <c r="BA366" s="88"/>
      <c r="BB366" s="86"/>
      <c r="BC366" s="88"/>
      <c r="BD366" s="86"/>
      <c r="BE366" s="88"/>
      <c r="BF366" s="86"/>
      <c r="BG366" s="88"/>
      <c r="BH366" s="86"/>
      <c r="BI366" s="88"/>
      <c r="BJ366" s="86"/>
      <c r="BK366" s="88"/>
      <c r="BL366" s="86"/>
      <c r="BM366" s="88"/>
      <c r="BN366" s="86"/>
      <c r="BO366" s="88"/>
      <c r="BP366" s="86"/>
      <c r="BQ366" s="88"/>
      <c r="BR366" s="86"/>
      <c r="BS366" s="87"/>
    </row>
    <row r="367" ht="22.5" customHeight="1">
      <c r="A367" s="154"/>
      <c r="B367" s="83"/>
      <c r="C367" s="151"/>
      <c r="D367" s="83"/>
      <c r="E367" s="151"/>
      <c r="F367" s="83"/>
      <c r="G367" s="85"/>
      <c r="H367" s="86"/>
      <c r="I367" s="87"/>
      <c r="J367" s="86"/>
      <c r="K367" s="88"/>
      <c r="L367" s="86"/>
      <c r="M367" s="88"/>
      <c r="N367" s="86"/>
      <c r="O367" s="88"/>
      <c r="P367" s="86"/>
      <c r="Q367" s="88"/>
      <c r="R367" s="86"/>
      <c r="S367" s="88"/>
      <c r="T367" s="86"/>
      <c r="U367" s="88"/>
      <c r="V367" s="86"/>
      <c r="W367" s="88"/>
      <c r="X367" s="86"/>
      <c r="Y367" s="88"/>
      <c r="Z367" s="86"/>
      <c r="AA367" s="88"/>
      <c r="AB367" s="86"/>
      <c r="AC367" s="88"/>
      <c r="AD367" s="86"/>
      <c r="AE367" s="88"/>
      <c r="AF367" s="86"/>
      <c r="AG367" s="88"/>
      <c r="AH367" s="86"/>
      <c r="AI367" s="88"/>
      <c r="AJ367" s="86"/>
      <c r="AK367" s="88"/>
      <c r="AL367" s="86"/>
      <c r="AM367" s="88"/>
      <c r="AN367" s="86"/>
      <c r="AO367" s="88"/>
      <c r="AP367" s="86"/>
      <c r="AQ367" s="88"/>
      <c r="AR367" s="86"/>
      <c r="AS367" s="88"/>
      <c r="AT367" s="86"/>
      <c r="AU367" s="88"/>
      <c r="AV367" s="86"/>
      <c r="AW367" s="88"/>
      <c r="AX367" s="86"/>
      <c r="AY367" s="88"/>
      <c r="AZ367" s="86"/>
      <c r="BA367" s="88"/>
      <c r="BB367" s="86"/>
      <c r="BC367" s="88"/>
      <c r="BD367" s="86"/>
      <c r="BE367" s="88"/>
      <c r="BF367" s="86"/>
      <c r="BG367" s="88"/>
      <c r="BH367" s="86"/>
      <c r="BI367" s="88"/>
      <c r="BJ367" s="86"/>
      <c r="BK367" s="88"/>
      <c r="BL367" s="86"/>
      <c r="BM367" s="88"/>
      <c r="BN367" s="86"/>
      <c r="BO367" s="88"/>
      <c r="BP367" s="86"/>
      <c r="BQ367" s="88"/>
      <c r="BR367" s="86"/>
      <c r="BS367" s="87"/>
    </row>
    <row r="368" ht="22.5" customHeight="1">
      <c r="A368" s="154"/>
      <c r="B368" s="83"/>
      <c r="C368" s="151"/>
      <c r="D368" s="83"/>
      <c r="E368" s="151"/>
      <c r="F368" s="83"/>
      <c r="G368" s="85"/>
      <c r="H368" s="86"/>
      <c r="I368" s="87"/>
      <c r="J368" s="86"/>
      <c r="K368" s="88"/>
      <c r="L368" s="86"/>
      <c r="M368" s="88"/>
      <c r="N368" s="86"/>
      <c r="O368" s="88"/>
      <c r="P368" s="86"/>
      <c r="Q368" s="88"/>
      <c r="R368" s="86"/>
      <c r="S368" s="88"/>
      <c r="T368" s="86"/>
      <c r="U368" s="88"/>
      <c r="V368" s="86"/>
      <c r="W368" s="88"/>
      <c r="X368" s="86"/>
      <c r="Y368" s="88"/>
      <c r="Z368" s="86"/>
      <c r="AA368" s="88"/>
      <c r="AB368" s="86"/>
      <c r="AC368" s="88"/>
      <c r="AD368" s="86"/>
      <c r="AE368" s="88"/>
      <c r="AF368" s="86"/>
      <c r="AG368" s="88"/>
      <c r="AH368" s="86"/>
      <c r="AI368" s="88"/>
      <c r="AJ368" s="86"/>
      <c r="AK368" s="88"/>
      <c r="AL368" s="86"/>
      <c r="AM368" s="88"/>
      <c r="AN368" s="86"/>
      <c r="AO368" s="88"/>
      <c r="AP368" s="86"/>
      <c r="AQ368" s="88"/>
      <c r="AR368" s="86"/>
      <c r="AS368" s="88"/>
      <c r="AT368" s="86"/>
      <c r="AU368" s="88"/>
      <c r="AV368" s="86"/>
      <c r="AW368" s="88"/>
      <c r="AX368" s="86"/>
      <c r="AY368" s="88"/>
      <c r="AZ368" s="86"/>
      <c r="BA368" s="88"/>
      <c r="BB368" s="86"/>
      <c r="BC368" s="88"/>
      <c r="BD368" s="86"/>
      <c r="BE368" s="88"/>
      <c r="BF368" s="86"/>
      <c r="BG368" s="88"/>
      <c r="BH368" s="86"/>
      <c r="BI368" s="88"/>
      <c r="BJ368" s="86"/>
      <c r="BK368" s="88"/>
      <c r="BL368" s="86"/>
      <c r="BM368" s="88"/>
      <c r="BN368" s="86"/>
      <c r="BO368" s="88"/>
      <c r="BP368" s="86"/>
      <c r="BQ368" s="88"/>
      <c r="BR368" s="86"/>
      <c r="BS368" s="87"/>
    </row>
    <row r="369" ht="22.5" customHeight="1">
      <c r="A369" s="154"/>
      <c r="B369" s="83"/>
      <c r="C369" s="151"/>
      <c r="D369" s="83"/>
      <c r="E369" s="151"/>
      <c r="F369" s="83"/>
      <c r="G369" s="85"/>
      <c r="H369" s="86"/>
      <c r="I369" s="87"/>
      <c r="J369" s="86"/>
      <c r="K369" s="88"/>
      <c r="L369" s="86"/>
      <c r="M369" s="88"/>
      <c r="N369" s="86"/>
      <c r="O369" s="88"/>
      <c r="P369" s="86"/>
      <c r="Q369" s="88"/>
      <c r="R369" s="86"/>
      <c r="S369" s="88"/>
      <c r="T369" s="86"/>
      <c r="U369" s="88"/>
      <c r="V369" s="86"/>
      <c r="W369" s="88"/>
      <c r="X369" s="86"/>
      <c r="Y369" s="88"/>
      <c r="Z369" s="86"/>
      <c r="AA369" s="88"/>
      <c r="AB369" s="86"/>
      <c r="AC369" s="88"/>
      <c r="AD369" s="86"/>
      <c r="AE369" s="88"/>
      <c r="AF369" s="86"/>
      <c r="AG369" s="88"/>
      <c r="AH369" s="86"/>
      <c r="AI369" s="88"/>
      <c r="AJ369" s="86"/>
      <c r="AK369" s="88"/>
      <c r="AL369" s="86"/>
      <c r="AM369" s="88"/>
      <c r="AN369" s="86"/>
      <c r="AO369" s="88"/>
      <c r="AP369" s="86"/>
      <c r="AQ369" s="88"/>
      <c r="AR369" s="86"/>
      <c r="AS369" s="88"/>
      <c r="AT369" s="86"/>
      <c r="AU369" s="88"/>
      <c r="AV369" s="86"/>
      <c r="AW369" s="88"/>
      <c r="AX369" s="86"/>
      <c r="AY369" s="88"/>
      <c r="AZ369" s="86"/>
      <c r="BA369" s="88"/>
      <c r="BB369" s="86"/>
      <c r="BC369" s="88"/>
      <c r="BD369" s="86"/>
      <c r="BE369" s="88"/>
      <c r="BF369" s="86"/>
      <c r="BG369" s="88"/>
      <c r="BH369" s="86"/>
      <c r="BI369" s="88"/>
      <c r="BJ369" s="86"/>
      <c r="BK369" s="88"/>
      <c r="BL369" s="86"/>
      <c r="BM369" s="88"/>
      <c r="BN369" s="86"/>
      <c r="BO369" s="88"/>
      <c r="BP369" s="86"/>
      <c r="BQ369" s="88"/>
      <c r="BR369" s="86"/>
      <c r="BS369" s="87"/>
    </row>
    <row r="370" ht="22.5" customHeight="1">
      <c r="A370" s="154"/>
      <c r="B370" s="83"/>
      <c r="C370" s="151"/>
      <c r="D370" s="83"/>
      <c r="E370" s="151"/>
      <c r="F370" s="83"/>
      <c r="G370" s="85"/>
      <c r="H370" s="86"/>
      <c r="I370" s="87"/>
      <c r="J370" s="86"/>
      <c r="K370" s="88"/>
      <c r="L370" s="86"/>
      <c r="M370" s="88"/>
      <c r="N370" s="86"/>
      <c r="O370" s="88"/>
      <c r="P370" s="86"/>
      <c r="Q370" s="88"/>
      <c r="R370" s="86"/>
      <c r="S370" s="88"/>
      <c r="T370" s="86"/>
      <c r="U370" s="88"/>
      <c r="V370" s="86"/>
      <c r="W370" s="88"/>
      <c r="X370" s="86"/>
      <c r="Y370" s="88"/>
      <c r="Z370" s="86"/>
      <c r="AA370" s="88"/>
      <c r="AB370" s="86"/>
      <c r="AC370" s="88"/>
      <c r="AD370" s="86"/>
      <c r="AE370" s="88"/>
      <c r="AF370" s="86"/>
      <c r="AG370" s="88"/>
      <c r="AH370" s="86"/>
      <c r="AI370" s="88"/>
      <c r="AJ370" s="86"/>
      <c r="AK370" s="88"/>
      <c r="AL370" s="86"/>
      <c r="AM370" s="88"/>
      <c r="AN370" s="86"/>
      <c r="AO370" s="88"/>
      <c r="AP370" s="86"/>
      <c r="AQ370" s="88"/>
      <c r="AR370" s="86"/>
      <c r="AS370" s="88"/>
      <c r="AT370" s="86"/>
      <c r="AU370" s="88"/>
      <c r="AV370" s="86"/>
      <c r="AW370" s="88"/>
      <c r="AX370" s="86"/>
      <c r="AY370" s="88"/>
      <c r="AZ370" s="86"/>
      <c r="BA370" s="88"/>
      <c r="BB370" s="86"/>
      <c r="BC370" s="88"/>
      <c r="BD370" s="86"/>
      <c r="BE370" s="88"/>
      <c r="BF370" s="86"/>
      <c r="BG370" s="88"/>
      <c r="BH370" s="86"/>
      <c r="BI370" s="88"/>
      <c r="BJ370" s="86"/>
      <c r="BK370" s="88"/>
      <c r="BL370" s="86"/>
      <c r="BM370" s="88"/>
      <c r="BN370" s="86"/>
      <c r="BO370" s="88"/>
      <c r="BP370" s="86"/>
      <c r="BQ370" s="88"/>
      <c r="BR370" s="86"/>
      <c r="BS370" s="87"/>
    </row>
    <row r="371" ht="22.5" customHeight="1">
      <c r="A371" s="154"/>
      <c r="B371" s="83"/>
      <c r="C371" s="151"/>
      <c r="D371" s="83"/>
      <c r="E371" s="151"/>
      <c r="F371" s="83"/>
      <c r="G371" s="85"/>
      <c r="H371" s="86"/>
      <c r="I371" s="87"/>
      <c r="J371" s="86"/>
      <c r="K371" s="88"/>
      <c r="L371" s="86"/>
      <c r="M371" s="88"/>
      <c r="N371" s="86"/>
      <c r="O371" s="88"/>
      <c r="P371" s="86"/>
      <c r="Q371" s="88"/>
      <c r="R371" s="86"/>
      <c r="S371" s="88"/>
      <c r="T371" s="86"/>
      <c r="U371" s="88"/>
      <c r="V371" s="86"/>
      <c r="W371" s="88"/>
      <c r="X371" s="86"/>
      <c r="Y371" s="88"/>
      <c r="Z371" s="86"/>
      <c r="AA371" s="88"/>
      <c r="AB371" s="86"/>
      <c r="AC371" s="88"/>
      <c r="AD371" s="86"/>
      <c r="AE371" s="88"/>
      <c r="AF371" s="86"/>
      <c r="AG371" s="88"/>
      <c r="AH371" s="86"/>
      <c r="AI371" s="88"/>
      <c r="AJ371" s="86"/>
      <c r="AK371" s="88"/>
      <c r="AL371" s="86"/>
      <c r="AM371" s="88"/>
      <c r="AN371" s="86"/>
      <c r="AO371" s="88"/>
      <c r="AP371" s="86"/>
      <c r="AQ371" s="88"/>
      <c r="AR371" s="86"/>
      <c r="AS371" s="88"/>
      <c r="AT371" s="86"/>
      <c r="AU371" s="88"/>
      <c r="AV371" s="86"/>
      <c r="AW371" s="88"/>
      <c r="AX371" s="86"/>
      <c r="AY371" s="88"/>
      <c r="AZ371" s="86"/>
      <c r="BA371" s="88"/>
      <c r="BB371" s="86"/>
      <c r="BC371" s="88"/>
      <c r="BD371" s="86"/>
      <c r="BE371" s="88"/>
      <c r="BF371" s="86"/>
      <c r="BG371" s="88"/>
      <c r="BH371" s="86"/>
      <c r="BI371" s="88"/>
      <c r="BJ371" s="86"/>
      <c r="BK371" s="88"/>
      <c r="BL371" s="86"/>
      <c r="BM371" s="88"/>
      <c r="BN371" s="86"/>
      <c r="BO371" s="88"/>
      <c r="BP371" s="86"/>
      <c r="BQ371" s="88"/>
      <c r="BR371" s="86"/>
      <c r="BS371" s="87"/>
    </row>
    <row r="372" ht="22.5" customHeight="1">
      <c r="A372" s="154"/>
      <c r="B372" s="83"/>
      <c r="C372" s="151"/>
      <c r="D372" s="83"/>
      <c r="E372" s="151"/>
      <c r="F372" s="83"/>
      <c r="G372" s="85"/>
      <c r="H372" s="86"/>
      <c r="I372" s="87"/>
      <c r="J372" s="86"/>
      <c r="K372" s="88"/>
      <c r="L372" s="86"/>
      <c r="M372" s="88"/>
      <c r="N372" s="86"/>
      <c r="O372" s="88"/>
      <c r="P372" s="86"/>
      <c r="Q372" s="88"/>
      <c r="R372" s="86"/>
      <c r="S372" s="88"/>
      <c r="T372" s="86"/>
      <c r="U372" s="88"/>
      <c r="V372" s="86"/>
      <c r="W372" s="88"/>
      <c r="X372" s="86"/>
      <c r="Y372" s="88"/>
      <c r="Z372" s="86"/>
      <c r="AA372" s="88"/>
      <c r="AB372" s="86"/>
      <c r="AC372" s="88"/>
      <c r="AD372" s="86"/>
      <c r="AE372" s="88"/>
      <c r="AF372" s="86"/>
      <c r="AG372" s="88"/>
      <c r="AH372" s="86"/>
      <c r="AI372" s="88"/>
      <c r="AJ372" s="86"/>
      <c r="AK372" s="88"/>
      <c r="AL372" s="86"/>
      <c r="AM372" s="88"/>
      <c r="AN372" s="86"/>
      <c r="AO372" s="88"/>
      <c r="AP372" s="86"/>
      <c r="AQ372" s="88"/>
      <c r="AR372" s="86"/>
      <c r="AS372" s="88"/>
      <c r="AT372" s="86"/>
      <c r="AU372" s="88"/>
      <c r="AV372" s="86"/>
      <c r="AW372" s="88"/>
      <c r="AX372" s="86"/>
      <c r="AY372" s="88"/>
      <c r="AZ372" s="86"/>
      <c r="BA372" s="88"/>
      <c r="BB372" s="86"/>
      <c r="BC372" s="88"/>
      <c r="BD372" s="86"/>
      <c r="BE372" s="88"/>
      <c r="BF372" s="86"/>
      <c r="BG372" s="88"/>
      <c r="BH372" s="86"/>
      <c r="BI372" s="88"/>
      <c r="BJ372" s="86"/>
      <c r="BK372" s="88"/>
      <c r="BL372" s="86"/>
      <c r="BM372" s="88"/>
      <c r="BN372" s="86"/>
      <c r="BO372" s="88"/>
      <c r="BP372" s="86"/>
      <c r="BQ372" s="88"/>
      <c r="BR372" s="86"/>
      <c r="BS372" s="87"/>
    </row>
    <row r="373" ht="22.5" customHeight="1">
      <c r="A373" s="154"/>
      <c r="B373" s="83"/>
      <c r="C373" s="151"/>
      <c r="D373" s="83"/>
      <c r="E373" s="151"/>
      <c r="F373" s="83"/>
      <c r="G373" s="85"/>
      <c r="H373" s="86"/>
      <c r="I373" s="87"/>
      <c r="J373" s="86"/>
      <c r="K373" s="88"/>
      <c r="L373" s="86"/>
      <c r="M373" s="88"/>
      <c r="N373" s="86"/>
      <c r="O373" s="88"/>
      <c r="P373" s="86"/>
      <c r="Q373" s="88"/>
      <c r="R373" s="86"/>
      <c r="S373" s="88"/>
      <c r="T373" s="86"/>
      <c r="U373" s="88"/>
      <c r="V373" s="86"/>
      <c r="W373" s="88"/>
      <c r="X373" s="86"/>
      <c r="Y373" s="88"/>
      <c r="Z373" s="86"/>
      <c r="AA373" s="88"/>
      <c r="AB373" s="86"/>
      <c r="AC373" s="88"/>
      <c r="AD373" s="86"/>
      <c r="AE373" s="88"/>
      <c r="AF373" s="86"/>
      <c r="AG373" s="88"/>
      <c r="AH373" s="86"/>
      <c r="AI373" s="88"/>
      <c r="AJ373" s="86"/>
      <c r="AK373" s="88"/>
      <c r="AL373" s="86"/>
      <c r="AM373" s="88"/>
      <c r="AN373" s="86"/>
      <c r="AO373" s="88"/>
      <c r="AP373" s="86"/>
      <c r="AQ373" s="88"/>
      <c r="AR373" s="86"/>
      <c r="AS373" s="88"/>
      <c r="AT373" s="86"/>
      <c r="AU373" s="88"/>
      <c r="AV373" s="86"/>
      <c r="AW373" s="88"/>
      <c r="AX373" s="86"/>
      <c r="AY373" s="88"/>
      <c r="AZ373" s="86"/>
      <c r="BA373" s="88"/>
      <c r="BB373" s="86"/>
      <c r="BC373" s="88"/>
      <c r="BD373" s="86"/>
      <c r="BE373" s="88"/>
      <c r="BF373" s="86"/>
      <c r="BG373" s="88"/>
      <c r="BH373" s="86"/>
      <c r="BI373" s="88"/>
      <c r="BJ373" s="86"/>
      <c r="BK373" s="88"/>
      <c r="BL373" s="86"/>
      <c r="BM373" s="88"/>
      <c r="BN373" s="86"/>
      <c r="BO373" s="88"/>
      <c r="BP373" s="86"/>
      <c r="BQ373" s="88"/>
      <c r="BR373" s="86"/>
      <c r="BS373" s="87"/>
    </row>
    <row r="374" ht="22.5" customHeight="1">
      <c r="A374" s="154"/>
      <c r="B374" s="83"/>
      <c r="C374" s="151"/>
      <c r="D374" s="83"/>
      <c r="E374" s="151"/>
      <c r="F374" s="83"/>
      <c r="G374" s="85"/>
      <c r="H374" s="86"/>
      <c r="I374" s="87"/>
      <c r="J374" s="86"/>
      <c r="K374" s="88"/>
      <c r="L374" s="86"/>
      <c r="M374" s="88"/>
      <c r="N374" s="86"/>
      <c r="O374" s="88"/>
      <c r="P374" s="86"/>
      <c r="Q374" s="88"/>
      <c r="R374" s="86"/>
      <c r="S374" s="88"/>
      <c r="T374" s="86"/>
      <c r="U374" s="88"/>
      <c r="V374" s="86"/>
      <c r="W374" s="88"/>
      <c r="X374" s="86"/>
      <c r="Y374" s="88"/>
      <c r="Z374" s="86"/>
      <c r="AA374" s="88"/>
      <c r="AB374" s="86"/>
      <c r="AC374" s="88"/>
      <c r="AD374" s="86"/>
      <c r="AE374" s="88"/>
      <c r="AF374" s="86"/>
      <c r="AG374" s="88"/>
      <c r="AH374" s="86"/>
      <c r="AI374" s="88"/>
      <c r="AJ374" s="86"/>
      <c r="AK374" s="88"/>
      <c r="AL374" s="86"/>
      <c r="AM374" s="88"/>
      <c r="AN374" s="86"/>
      <c r="AO374" s="88"/>
      <c r="AP374" s="86"/>
      <c r="AQ374" s="88"/>
      <c r="AR374" s="86"/>
      <c r="AS374" s="88"/>
      <c r="AT374" s="86"/>
      <c r="AU374" s="88"/>
      <c r="AV374" s="86"/>
      <c r="AW374" s="88"/>
      <c r="AX374" s="86"/>
      <c r="AY374" s="88"/>
      <c r="AZ374" s="86"/>
      <c r="BA374" s="88"/>
      <c r="BB374" s="86"/>
      <c r="BC374" s="88"/>
      <c r="BD374" s="86"/>
      <c r="BE374" s="88"/>
      <c r="BF374" s="86"/>
      <c r="BG374" s="88"/>
      <c r="BH374" s="86"/>
      <c r="BI374" s="88"/>
      <c r="BJ374" s="86"/>
      <c r="BK374" s="88"/>
      <c r="BL374" s="86"/>
      <c r="BM374" s="88"/>
      <c r="BN374" s="86"/>
      <c r="BO374" s="88"/>
      <c r="BP374" s="86"/>
      <c r="BQ374" s="88"/>
      <c r="BR374" s="86"/>
      <c r="BS374" s="87"/>
    </row>
    <row r="375" ht="22.5" customHeight="1">
      <c r="A375" s="154"/>
      <c r="B375" s="83"/>
      <c r="C375" s="151"/>
      <c r="D375" s="83"/>
      <c r="E375" s="151"/>
      <c r="F375" s="83"/>
      <c r="G375" s="85"/>
      <c r="H375" s="86"/>
      <c r="I375" s="87"/>
      <c r="J375" s="86"/>
      <c r="K375" s="88"/>
      <c r="L375" s="86"/>
      <c r="M375" s="88"/>
      <c r="N375" s="86"/>
      <c r="O375" s="88"/>
      <c r="P375" s="86"/>
      <c r="Q375" s="88"/>
      <c r="R375" s="86"/>
      <c r="S375" s="88"/>
      <c r="T375" s="86"/>
      <c r="U375" s="88"/>
      <c r="V375" s="86"/>
      <c r="W375" s="88"/>
      <c r="X375" s="86"/>
      <c r="Y375" s="88"/>
      <c r="Z375" s="86"/>
      <c r="AA375" s="88"/>
      <c r="AB375" s="86"/>
      <c r="AC375" s="88"/>
      <c r="AD375" s="86"/>
      <c r="AE375" s="88"/>
      <c r="AF375" s="86"/>
      <c r="AG375" s="88"/>
      <c r="AH375" s="86"/>
      <c r="AI375" s="88"/>
      <c r="AJ375" s="86"/>
      <c r="AK375" s="88"/>
      <c r="AL375" s="86"/>
      <c r="AM375" s="88"/>
      <c r="AN375" s="86"/>
      <c r="AO375" s="88"/>
      <c r="AP375" s="86"/>
      <c r="AQ375" s="88"/>
      <c r="AR375" s="86"/>
      <c r="AS375" s="88"/>
      <c r="AT375" s="86"/>
      <c r="AU375" s="88"/>
      <c r="AV375" s="86"/>
      <c r="AW375" s="88"/>
      <c r="AX375" s="86"/>
      <c r="AY375" s="88"/>
      <c r="AZ375" s="86"/>
      <c r="BA375" s="88"/>
      <c r="BB375" s="86"/>
      <c r="BC375" s="88"/>
      <c r="BD375" s="86"/>
      <c r="BE375" s="88"/>
      <c r="BF375" s="86"/>
      <c r="BG375" s="88"/>
      <c r="BH375" s="86"/>
      <c r="BI375" s="88"/>
      <c r="BJ375" s="86"/>
      <c r="BK375" s="88"/>
      <c r="BL375" s="86"/>
      <c r="BM375" s="88"/>
      <c r="BN375" s="86"/>
      <c r="BO375" s="88"/>
      <c r="BP375" s="86"/>
      <c r="BQ375" s="88"/>
      <c r="BR375" s="86"/>
      <c r="BS375" s="87"/>
    </row>
    <row r="376" ht="22.5" customHeight="1">
      <c r="A376" s="154"/>
      <c r="B376" s="83"/>
      <c r="C376" s="151"/>
      <c r="D376" s="83"/>
      <c r="E376" s="151"/>
      <c r="F376" s="83"/>
      <c r="G376" s="85"/>
      <c r="H376" s="86"/>
      <c r="I376" s="87"/>
      <c r="J376" s="86"/>
      <c r="K376" s="88"/>
      <c r="L376" s="86"/>
      <c r="M376" s="88"/>
      <c r="N376" s="86"/>
      <c r="O376" s="88"/>
      <c r="P376" s="86"/>
      <c r="Q376" s="88"/>
      <c r="R376" s="86"/>
      <c r="S376" s="88"/>
      <c r="T376" s="86"/>
      <c r="U376" s="88"/>
      <c r="V376" s="86"/>
      <c r="W376" s="88"/>
      <c r="X376" s="86"/>
      <c r="Y376" s="88"/>
      <c r="Z376" s="86"/>
      <c r="AA376" s="88"/>
      <c r="AB376" s="86"/>
      <c r="AC376" s="88"/>
      <c r="AD376" s="86"/>
      <c r="AE376" s="88"/>
      <c r="AF376" s="86"/>
      <c r="AG376" s="88"/>
      <c r="AH376" s="86"/>
      <c r="AI376" s="88"/>
      <c r="AJ376" s="86"/>
      <c r="AK376" s="88"/>
      <c r="AL376" s="86"/>
      <c r="AM376" s="88"/>
      <c r="AN376" s="86"/>
      <c r="AO376" s="88"/>
      <c r="AP376" s="86"/>
      <c r="AQ376" s="88"/>
      <c r="AR376" s="86"/>
      <c r="AS376" s="88"/>
      <c r="AT376" s="86"/>
      <c r="AU376" s="88"/>
      <c r="AV376" s="86"/>
      <c r="AW376" s="88"/>
      <c r="AX376" s="86"/>
      <c r="AY376" s="88"/>
      <c r="AZ376" s="86"/>
      <c r="BA376" s="88"/>
      <c r="BB376" s="86"/>
      <c r="BC376" s="88"/>
      <c r="BD376" s="86"/>
      <c r="BE376" s="88"/>
      <c r="BF376" s="86"/>
      <c r="BG376" s="88"/>
      <c r="BH376" s="86"/>
      <c r="BI376" s="88"/>
      <c r="BJ376" s="86"/>
      <c r="BK376" s="88"/>
      <c r="BL376" s="86"/>
      <c r="BM376" s="88"/>
      <c r="BN376" s="86"/>
      <c r="BO376" s="88"/>
      <c r="BP376" s="86"/>
      <c r="BQ376" s="88"/>
      <c r="BR376" s="86"/>
      <c r="BS376" s="87"/>
    </row>
    <row r="377" ht="22.5" customHeight="1">
      <c r="A377" s="154"/>
      <c r="B377" s="83"/>
      <c r="C377" s="151"/>
      <c r="D377" s="83"/>
      <c r="E377" s="151"/>
      <c r="F377" s="83"/>
      <c r="G377" s="85"/>
      <c r="H377" s="86"/>
      <c r="I377" s="87"/>
      <c r="J377" s="86"/>
      <c r="K377" s="88"/>
      <c r="L377" s="86"/>
      <c r="M377" s="88"/>
      <c r="N377" s="86"/>
      <c r="O377" s="88"/>
      <c r="P377" s="86"/>
      <c r="Q377" s="88"/>
      <c r="R377" s="86"/>
      <c r="S377" s="88"/>
      <c r="T377" s="86"/>
      <c r="U377" s="88"/>
      <c r="V377" s="86"/>
      <c r="W377" s="88"/>
      <c r="X377" s="86"/>
      <c r="Y377" s="88"/>
      <c r="Z377" s="86"/>
      <c r="AA377" s="88"/>
      <c r="AB377" s="86"/>
      <c r="AC377" s="88"/>
      <c r="AD377" s="86"/>
      <c r="AE377" s="88"/>
      <c r="AF377" s="86"/>
      <c r="AG377" s="88"/>
      <c r="AH377" s="86"/>
      <c r="AI377" s="88"/>
      <c r="AJ377" s="86"/>
      <c r="AK377" s="88"/>
      <c r="AL377" s="86"/>
      <c r="AM377" s="88"/>
      <c r="AN377" s="86"/>
      <c r="AO377" s="88"/>
      <c r="AP377" s="86"/>
      <c r="AQ377" s="88"/>
      <c r="AR377" s="86"/>
      <c r="AS377" s="88"/>
      <c r="AT377" s="86"/>
      <c r="AU377" s="88"/>
      <c r="AV377" s="86"/>
      <c r="AW377" s="88"/>
      <c r="AX377" s="86"/>
      <c r="AY377" s="88"/>
      <c r="AZ377" s="86"/>
      <c r="BA377" s="88"/>
      <c r="BB377" s="86"/>
      <c r="BC377" s="88"/>
      <c r="BD377" s="86"/>
      <c r="BE377" s="88"/>
      <c r="BF377" s="86"/>
      <c r="BG377" s="88"/>
      <c r="BH377" s="86"/>
      <c r="BI377" s="88"/>
      <c r="BJ377" s="86"/>
      <c r="BK377" s="88"/>
      <c r="BL377" s="86"/>
      <c r="BM377" s="88"/>
      <c r="BN377" s="86"/>
      <c r="BO377" s="88"/>
      <c r="BP377" s="86"/>
      <c r="BQ377" s="88"/>
      <c r="BR377" s="86"/>
      <c r="BS377" s="87"/>
    </row>
    <row r="378" ht="22.5" customHeight="1">
      <c r="A378" s="154"/>
      <c r="B378" s="83"/>
      <c r="C378" s="151"/>
      <c r="D378" s="83"/>
      <c r="E378" s="151"/>
      <c r="F378" s="83"/>
      <c r="G378" s="85"/>
      <c r="H378" s="86"/>
      <c r="I378" s="87"/>
      <c r="J378" s="86"/>
      <c r="K378" s="88"/>
      <c r="L378" s="86"/>
      <c r="M378" s="88"/>
      <c r="N378" s="86"/>
      <c r="O378" s="88"/>
      <c r="P378" s="86"/>
      <c r="Q378" s="88"/>
      <c r="R378" s="86"/>
      <c r="S378" s="88"/>
      <c r="T378" s="86"/>
      <c r="U378" s="88"/>
      <c r="V378" s="86"/>
      <c r="W378" s="88"/>
      <c r="X378" s="86"/>
      <c r="Y378" s="88"/>
      <c r="Z378" s="86"/>
      <c r="AA378" s="88"/>
      <c r="AB378" s="86"/>
      <c r="AC378" s="88"/>
      <c r="AD378" s="86"/>
      <c r="AE378" s="88"/>
      <c r="AF378" s="86"/>
      <c r="AG378" s="88"/>
      <c r="AH378" s="86"/>
      <c r="AI378" s="88"/>
      <c r="AJ378" s="86"/>
      <c r="AK378" s="88"/>
      <c r="AL378" s="86"/>
      <c r="AM378" s="88"/>
      <c r="AN378" s="86"/>
      <c r="AO378" s="88"/>
      <c r="AP378" s="86"/>
      <c r="AQ378" s="88"/>
      <c r="AR378" s="86"/>
      <c r="AS378" s="88"/>
      <c r="AT378" s="86"/>
      <c r="AU378" s="88"/>
      <c r="AV378" s="86"/>
      <c r="AW378" s="88"/>
      <c r="AX378" s="86"/>
      <c r="AY378" s="88"/>
      <c r="AZ378" s="86"/>
      <c r="BA378" s="88"/>
      <c r="BB378" s="86"/>
      <c r="BC378" s="88"/>
      <c r="BD378" s="86"/>
      <c r="BE378" s="88"/>
      <c r="BF378" s="86"/>
      <c r="BG378" s="88"/>
      <c r="BH378" s="86"/>
      <c r="BI378" s="88"/>
      <c r="BJ378" s="86"/>
      <c r="BK378" s="88"/>
      <c r="BL378" s="86"/>
      <c r="BM378" s="88"/>
      <c r="BN378" s="86"/>
      <c r="BO378" s="88"/>
      <c r="BP378" s="86"/>
      <c r="BQ378" s="88"/>
      <c r="BR378" s="86"/>
      <c r="BS378" s="87"/>
    </row>
    <row r="379" ht="22.5" customHeight="1">
      <c r="A379" s="154"/>
      <c r="B379" s="83"/>
      <c r="C379" s="151"/>
      <c r="D379" s="83"/>
      <c r="E379" s="151"/>
      <c r="F379" s="83"/>
      <c r="G379" s="85"/>
      <c r="H379" s="86"/>
      <c r="I379" s="87"/>
      <c r="J379" s="86"/>
      <c r="K379" s="88"/>
      <c r="L379" s="86"/>
      <c r="M379" s="88"/>
      <c r="N379" s="86"/>
      <c r="O379" s="88"/>
      <c r="P379" s="86"/>
      <c r="Q379" s="88"/>
      <c r="R379" s="86"/>
      <c r="S379" s="88"/>
      <c r="T379" s="86"/>
      <c r="U379" s="88"/>
      <c r="V379" s="86"/>
      <c r="W379" s="88"/>
      <c r="X379" s="86"/>
      <c r="Y379" s="88"/>
      <c r="Z379" s="86"/>
      <c r="AA379" s="88"/>
      <c r="AB379" s="86"/>
      <c r="AC379" s="88"/>
      <c r="AD379" s="86"/>
      <c r="AE379" s="88"/>
      <c r="AF379" s="86"/>
      <c r="AG379" s="88"/>
      <c r="AH379" s="86"/>
      <c r="AI379" s="88"/>
      <c r="AJ379" s="86"/>
      <c r="AK379" s="88"/>
      <c r="AL379" s="86"/>
      <c r="AM379" s="88"/>
      <c r="AN379" s="86"/>
      <c r="AO379" s="88"/>
      <c r="AP379" s="86"/>
      <c r="AQ379" s="88"/>
      <c r="AR379" s="86"/>
      <c r="AS379" s="88"/>
      <c r="AT379" s="86"/>
      <c r="AU379" s="88"/>
      <c r="AV379" s="86"/>
      <c r="AW379" s="88"/>
      <c r="AX379" s="86"/>
      <c r="AY379" s="88"/>
      <c r="AZ379" s="86"/>
      <c r="BA379" s="88"/>
      <c r="BB379" s="86"/>
      <c r="BC379" s="88"/>
      <c r="BD379" s="86"/>
      <c r="BE379" s="88"/>
      <c r="BF379" s="86"/>
      <c r="BG379" s="88"/>
      <c r="BH379" s="86"/>
      <c r="BI379" s="88"/>
      <c r="BJ379" s="86"/>
      <c r="BK379" s="88"/>
      <c r="BL379" s="86"/>
      <c r="BM379" s="88"/>
      <c r="BN379" s="86"/>
      <c r="BO379" s="88"/>
      <c r="BP379" s="86"/>
      <c r="BQ379" s="88"/>
      <c r="BR379" s="86"/>
      <c r="BS379" s="87"/>
    </row>
    <row r="380" ht="22.5" customHeight="1">
      <c r="A380" s="154"/>
      <c r="B380" s="83"/>
      <c r="C380" s="151"/>
      <c r="D380" s="83"/>
      <c r="E380" s="151"/>
      <c r="F380" s="83"/>
      <c r="G380" s="85"/>
      <c r="H380" s="86"/>
      <c r="I380" s="87"/>
      <c r="J380" s="86"/>
      <c r="K380" s="88"/>
      <c r="L380" s="86"/>
      <c r="M380" s="88"/>
      <c r="N380" s="86"/>
      <c r="O380" s="88"/>
      <c r="P380" s="86"/>
      <c r="Q380" s="88"/>
      <c r="R380" s="86"/>
      <c r="S380" s="88"/>
      <c r="T380" s="86"/>
      <c r="U380" s="88"/>
      <c r="V380" s="86"/>
      <c r="W380" s="88"/>
      <c r="X380" s="86"/>
      <c r="Y380" s="88"/>
      <c r="Z380" s="86"/>
      <c r="AA380" s="88"/>
      <c r="AB380" s="86"/>
      <c r="AC380" s="88"/>
      <c r="AD380" s="86"/>
      <c r="AE380" s="88"/>
      <c r="AF380" s="86"/>
      <c r="AG380" s="88"/>
      <c r="AH380" s="86"/>
      <c r="AI380" s="88"/>
      <c r="AJ380" s="86"/>
      <c r="AK380" s="88"/>
      <c r="AL380" s="86"/>
      <c r="AM380" s="88"/>
      <c r="AN380" s="86"/>
      <c r="AO380" s="88"/>
      <c r="AP380" s="86"/>
      <c r="AQ380" s="88"/>
      <c r="AR380" s="86"/>
      <c r="AS380" s="88"/>
      <c r="AT380" s="86"/>
      <c r="AU380" s="88"/>
      <c r="AV380" s="86"/>
      <c r="AW380" s="88"/>
      <c r="AX380" s="86"/>
      <c r="AY380" s="88"/>
      <c r="AZ380" s="86"/>
      <c r="BA380" s="88"/>
      <c r="BB380" s="86"/>
      <c r="BC380" s="88"/>
      <c r="BD380" s="86"/>
      <c r="BE380" s="88"/>
      <c r="BF380" s="86"/>
      <c r="BG380" s="88"/>
      <c r="BH380" s="86"/>
      <c r="BI380" s="88"/>
      <c r="BJ380" s="86"/>
      <c r="BK380" s="88"/>
      <c r="BL380" s="86"/>
      <c r="BM380" s="88"/>
      <c r="BN380" s="86"/>
      <c r="BO380" s="88"/>
      <c r="BP380" s="86"/>
      <c r="BQ380" s="88"/>
      <c r="BR380" s="86"/>
      <c r="BS380" s="87"/>
    </row>
    <row r="381" ht="22.5" customHeight="1">
      <c r="A381" s="154"/>
      <c r="B381" s="83"/>
      <c r="C381" s="151"/>
      <c r="D381" s="83"/>
      <c r="E381" s="151"/>
      <c r="F381" s="83"/>
      <c r="G381" s="85"/>
      <c r="H381" s="86"/>
      <c r="I381" s="87"/>
      <c r="J381" s="86"/>
      <c r="K381" s="88"/>
      <c r="L381" s="86"/>
      <c r="M381" s="88"/>
      <c r="N381" s="86"/>
      <c r="O381" s="88"/>
      <c r="P381" s="86"/>
      <c r="Q381" s="88"/>
      <c r="R381" s="86"/>
      <c r="S381" s="88"/>
      <c r="T381" s="86"/>
      <c r="U381" s="88"/>
      <c r="V381" s="86"/>
      <c r="W381" s="88"/>
      <c r="X381" s="86"/>
      <c r="Y381" s="88"/>
      <c r="Z381" s="86"/>
      <c r="AA381" s="88"/>
      <c r="AB381" s="86"/>
      <c r="AC381" s="88"/>
      <c r="AD381" s="86"/>
      <c r="AE381" s="88"/>
      <c r="AF381" s="86"/>
      <c r="AG381" s="88"/>
      <c r="AH381" s="86"/>
      <c r="AI381" s="88"/>
      <c r="AJ381" s="86"/>
      <c r="AK381" s="88"/>
      <c r="AL381" s="86"/>
      <c r="AM381" s="88"/>
      <c r="AN381" s="86"/>
      <c r="AO381" s="88"/>
      <c r="AP381" s="86"/>
      <c r="AQ381" s="88"/>
      <c r="AR381" s="86"/>
      <c r="AS381" s="88"/>
      <c r="AT381" s="86"/>
      <c r="AU381" s="88"/>
      <c r="AV381" s="86"/>
      <c r="AW381" s="88"/>
      <c r="AX381" s="86"/>
      <c r="AY381" s="88"/>
      <c r="AZ381" s="86"/>
      <c r="BA381" s="88"/>
      <c r="BB381" s="86"/>
      <c r="BC381" s="88"/>
      <c r="BD381" s="86"/>
      <c r="BE381" s="88"/>
      <c r="BF381" s="86"/>
      <c r="BG381" s="88"/>
      <c r="BH381" s="86"/>
      <c r="BI381" s="88"/>
      <c r="BJ381" s="86"/>
      <c r="BK381" s="88"/>
      <c r="BL381" s="86"/>
      <c r="BM381" s="88"/>
      <c r="BN381" s="86"/>
      <c r="BO381" s="88"/>
      <c r="BP381" s="86"/>
      <c r="BQ381" s="88"/>
      <c r="BR381" s="86"/>
      <c r="BS381" s="87"/>
    </row>
    <row r="382" ht="22.5" customHeight="1">
      <c r="A382" s="154"/>
      <c r="B382" s="83"/>
      <c r="C382" s="151"/>
      <c r="D382" s="83"/>
      <c r="E382" s="151"/>
      <c r="F382" s="83"/>
      <c r="G382" s="85"/>
      <c r="H382" s="86"/>
      <c r="I382" s="87"/>
      <c r="J382" s="86"/>
      <c r="K382" s="88"/>
      <c r="L382" s="86"/>
      <c r="M382" s="88"/>
      <c r="N382" s="86"/>
      <c r="O382" s="88"/>
      <c r="P382" s="86"/>
      <c r="Q382" s="88"/>
      <c r="R382" s="86"/>
      <c r="S382" s="88"/>
      <c r="T382" s="86"/>
      <c r="U382" s="88"/>
      <c r="V382" s="86"/>
      <c r="W382" s="88"/>
      <c r="X382" s="86"/>
      <c r="Y382" s="88"/>
      <c r="Z382" s="86"/>
      <c r="AA382" s="88"/>
      <c r="AB382" s="86"/>
      <c r="AC382" s="88"/>
      <c r="AD382" s="86"/>
      <c r="AE382" s="88"/>
      <c r="AF382" s="86"/>
      <c r="AG382" s="88"/>
      <c r="AH382" s="86"/>
      <c r="AI382" s="88"/>
      <c r="AJ382" s="86"/>
      <c r="AK382" s="88"/>
      <c r="AL382" s="86"/>
      <c r="AM382" s="88"/>
      <c r="AN382" s="86"/>
      <c r="AO382" s="88"/>
      <c r="AP382" s="86"/>
      <c r="AQ382" s="88"/>
      <c r="AR382" s="86"/>
      <c r="AS382" s="88"/>
      <c r="AT382" s="86"/>
      <c r="AU382" s="88"/>
      <c r="AV382" s="86"/>
      <c r="AW382" s="88"/>
      <c r="AX382" s="86"/>
      <c r="AY382" s="88"/>
      <c r="AZ382" s="86"/>
      <c r="BA382" s="88"/>
      <c r="BB382" s="86"/>
      <c r="BC382" s="88"/>
      <c r="BD382" s="86"/>
      <c r="BE382" s="88"/>
      <c r="BF382" s="86"/>
      <c r="BG382" s="88"/>
      <c r="BH382" s="86"/>
      <c r="BI382" s="88"/>
      <c r="BJ382" s="86"/>
      <c r="BK382" s="88"/>
      <c r="BL382" s="86"/>
      <c r="BM382" s="88"/>
      <c r="BN382" s="86"/>
      <c r="BO382" s="88"/>
      <c r="BP382" s="86"/>
      <c r="BQ382" s="88"/>
      <c r="BR382" s="86"/>
      <c r="BS382" s="87"/>
    </row>
    <row r="383" ht="22.5" customHeight="1">
      <c r="A383" s="154"/>
      <c r="B383" s="83"/>
      <c r="C383" s="151"/>
      <c r="D383" s="83"/>
      <c r="E383" s="151"/>
      <c r="F383" s="83"/>
      <c r="G383" s="85"/>
      <c r="H383" s="86"/>
      <c r="I383" s="87"/>
      <c r="J383" s="86"/>
      <c r="K383" s="88"/>
      <c r="L383" s="86"/>
      <c r="M383" s="88"/>
      <c r="N383" s="86"/>
      <c r="O383" s="88"/>
      <c r="P383" s="86"/>
      <c r="Q383" s="88"/>
      <c r="R383" s="86"/>
      <c r="S383" s="88"/>
      <c r="T383" s="86"/>
      <c r="U383" s="88"/>
      <c r="V383" s="86"/>
      <c r="W383" s="88"/>
      <c r="X383" s="86"/>
      <c r="Y383" s="88"/>
      <c r="Z383" s="86"/>
      <c r="AA383" s="88"/>
      <c r="AB383" s="86"/>
      <c r="AC383" s="88"/>
      <c r="AD383" s="86"/>
      <c r="AE383" s="88"/>
      <c r="AF383" s="86"/>
      <c r="AG383" s="88"/>
      <c r="AH383" s="86"/>
      <c r="AI383" s="88"/>
      <c r="AJ383" s="86"/>
      <c r="AK383" s="88"/>
      <c r="AL383" s="86"/>
      <c r="AM383" s="88"/>
      <c r="AN383" s="86"/>
      <c r="AO383" s="88"/>
      <c r="AP383" s="86"/>
      <c r="AQ383" s="88"/>
      <c r="AR383" s="86"/>
      <c r="AS383" s="88"/>
      <c r="AT383" s="86"/>
      <c r="AU383" s="88"/>
      <c r="AV383" s="86"/>
      <c r="AW383" s="88"/>
      <c r="AX383" s="86"/>
      <c r="AY383" s="88"/>
      <c r="AZ383" s="86"/>
      <c r="BA383" s="88"/>
      <c r="BB383" s="86"/>
      <c r="BC383" s="88"/>
      <c r="BD383" s="86"/>
      <c r="BE383" s="88"/>
      <c r="BF383" s="86"/>
      <c r="BG383" s="88"/>
      <c r="BH383" s="86"/>
      <c r="BI383" s="88"/>
      <c r="BJ383" s="86"/>
      <c r="BK383" s="88"/>
      <c r="BL383" s="86"/>
      <c r="BM383" s="88"/>
      <c r="BN383" s="86"/>
      <c r="BO383" s="88"/>
      <c r="BP383" s="86"/>
      <c r="BQ383" s="88"/>
      <c r="BR383" s="86"/>
      <c r="BS383" s="87"/>
    </row>
    <row r="384" ht="22.5" customHeight="1">
      <c r="A384" s="154"/>
      <c r="B384" s="83"/>
      <c r="C384" s="151"/>
      <c r="D384" s="83"/>
      <c r="E384" s="151"/>
      <c r="F384" s="83"/>
      <c r="G384" s="85"/>
      <c r="H384" s="86"/>
      <c r="I384" s="87"/>
      <c r="J384" s="86"/>
      <c r="K384" s="88"/>
      <c r="L384" s="86"/>
      <c r="M384" s="88"/>
      <c r="N384" s="86"/>
      <c r="O384" s="88"/>
      <c r="P384" s="86"/>
      <c r="Q384" s="88"/>
      <c r="R384" s="86"/>
      <c r="S384" s="88"/>
      <c r="T384" s="86"/>
      <c r="U384" s="88"/>
      <c r="V384" s="86"/>
      <c r="W384" s="88"/>
      <c r="X384" s="86"/>
      <c r="Y384" s="88"/>
      <c r="Z384" s="86"/>
      <c r="AA384" s="88"/>
      <c r="AB384" s="86"/>
      <c r="AC384" s="88"/>
      <c r="AD384" s="86"/>
      <c r="AE384" s="88"/>
      <c r="AF384" s="86"/>
      <c r="AG384" s="88"/>
      <c r="AH384" s="86"/>
      <c r="AI384" s="88"/>
      <c r="AJ384" s="86"/>
      <c r="AK384" s="88"/>
      <c r="AL384" s="86"/>
      <c r="AM384" s="88"/>
      <c r="AN384" s="86"/>
      <c r="AO384" s="88"/>
      <c r="AP384" s="86"/>
      <c r="AQ384" s="88"/>
      <c r="AR384" s="86"/>
      <c r="AS384" s="88"/>
      <c r="AT384" s="86"/>
      <c r="AU384" s="88"/>
      <c r="AV384" s="86"/>
      <c r="AW384" s="88"/>
      <c r="AX384" s="86"/>
      <c r="AY384" s="88"/>
      <c r="AZ384" s="86"/>
      <c r="BA384" s="88"/>
      <c r="BB384" s="86"/>
      <c r="BC384" s="88"/>
      <c r="BD384" s="86"/>
      <c r="BE384" s="88"/>
      <c r="BF384" s="86"/>
      <c r="BG384" s="88"/>
      <c r="BH384" s="86"/>
      <c r="BI384" s="88"/>
      <c r="BJ384" s="86"/>
      <c r="BK384" s="88"/>
      <c r="BL384" s="86"/>
      <c r="BM384" s="88"/>
      <c r="BN384" s="86"/>
      <c r="BO384" s="88"/>
      <c r="BP384" s="86"/>
      <c r="BQ384" s="88"/>
      <c r="BR384" s="86"/>
      <c r="BS384" s="87"/>
    </row>
    <row r="385" ht="22.5" customHeight="1">
      <c r="A385" s="154"/>
      <c r="B385" s="83"/>
      <c r="C385" s="151"/>
      <c r="D385" s="83"/>
      <c r="E385" s="151"/>
      <c r="F385" s="83"/>
      <c r="G385" s="85"/>
      <c r="H385" s="86"/>
      <c r="I385" s="87"/>
      <c r="J385" s="86"/>
      <c r="K385" s="88"/>
      <c r="L385" s="86"/>
      <c r="M385" s="88"/>
      <c r="N385" s="86"/>
      <c r="O385" s="88"/>
      <c r="P385" s="86"/>
      <c r="Q385" s="88"/>
      <c r="R385" s="86"/>
      <c r="S385" s="88"/>
      <c r="T385" s="86"/>
      <c r="U385" s="88"/>
      <c r="V385" s="86"/>
      <c r="W385" s="88"/>
      <c r="X385" s="86"/>
      <c r="Y385" s="88"/>
      <c r="Z385" s="86"/>
      <c r="AA385" s="88"/>
      <c r="AB385" s="86"/>
      <c r="AC385" s="88"/>
      <c r="AD385" s="86"/>
      <c r="AE385" s="88"/>
      <c r="AF385" s="86"/>
      <c r="AG385" s="88"/>
      <c r="AH385" s="86"/>
      <c r="AI385" s="88"/>
      <c r="AJ385" s="86"/>
      <c r="AK385" s="88"/>
      <c r="AL385" s="86"/>
      <c r="AM385" s="88"/>
      <c r="AN385" s="86"/>
      <c r="AO385" s="88"/>
      <c r="AP385" s="86"/>
      <c r="AQ385" s="88"/>
      <c r="AR385" s="86"/>
      <c r="AS385" s="88"/>
      <c r="AT385" s="86"/>
      <c r="AU385" s="88"/>
      <c r="AV385" s="86"/>
      <c r="AW385" s="88"/>
      <c r="AX385" s="86"/>
      <c r="AY385" s="88"/>
      <c r="AZ385" s="86"/>
      <c r="BA385" s="88"/>
      <c r="BB385" s="86"/>
      <c r="BC385" s="88"/>
      <c r="BD385" s="86"/>
      <c r="BE385" s="88"/>
      <c r="BF385" s="86"/>
      <c r="BG385" s="88"/>
      <c r="BH385" s="86"/>
      <c r="BI385" s="88"/>
      <c r="BJ385" s="86"/>
      <c r="BK385" s="88"/>
      <c r="BL385" s="86"/>
      <c r="BM385" s="88"/>
      <c r="BN385" s="86"/>
      <c r="BO385" s="88"/>
      <c r="BP385" s="86"/>
      <c r="BQ385" s="88"/>
      <c r="BR385" s="86"/>
      <c r="BS385" s="87"/>
    </row>
    <row r="386" ht="22.5" customHeight="1">
      <c r="A386" s="154"/>
      <c r="B386" s="83"/>
      <c r="C386" s="151"/>
      <c r="D386" s="83"/>
      <c r="E386" s="151"/>
      <c r="F386" s="83"/>
      <c r="G386" s="85"/>
      <c r="H386" s="86"/>
      <c r="I386" s="87"/>
      <c r="J386" s="86"/>
      <c r="K386" s="88"/>
      <c r="L386" s="86"/>
      <c r="M386" s="88"/>
      <c r="N386" s="86"/>
      <c r="O386" s="88"/>
      <c r="P386" s="86"/>
      <c r="Q386" s="88"/>
      <c r="R386" s="86"/>
      <c r="S386" s="88"/>
      <c r="T386" s="86"/>
      <c r="U386" s="88"/>
      <c r="V386" s="86"/>
      <c r="W386" s="88"/>
      <c r="X386" s="86"/>
      <c r="Y386" s="88"/>
      <c r="Z386" s="86"/>
      <c r="AA386" s="88"/>
      <c r="AB386" s="86"/>
      <c r="AC386" s="88"/>
      <c r="AD386" s="86"/>
      <c r="AE386" s="88"/>
      <c r="AF386" s="86"/>
      <c r="AG386" s="88"/>
      <c r="AH386" s="86"/>
      <c r="AI386" s="88"/>
      <c r="AJ386" s="86"/>
      <c r="AK386" s="88"/>
      <c r="AL386" s="86"/>
      <c r="AM386" s="88"/>
      <c r="AN386" s="86"/>
      <c r="AO386" s="88"/>
      <c r="AP386" s="86"/>
      <c r="AQ386" s="88"/>
      <c r="AR386" s="86"/>
      <c r="AS386" s="88"/>
      <c r="AT386" s="86"/>
      <c r="AU386" s="88"/>
      <c r="AV386" s="86"/>
      <c r="AW386" s="88"/>
      <c r="AX386" s="86"/>
      <c r="AY386" s="88"/>
      <c r="AZ386" s="86"/>
      <c r="BA386" s="88"/>
      <c r="BB386" s="86"/>
      <c r="BC386" s="88"/>
      <c r="BD386" s="86"/>
      <c r="BE386" s="88"/>
      <c r="BF386" s="86"/>
      <c r="BG386" s="88"/>
      <c r="BH386" s="86"/>
      <c r="BI386" s="88"/>
      <c r="BJ386" s="86"/>
      <c r="BK386" s="88"/>
      <c r="BL386" s="86"/>
      <c r="BM386" s="88"/>
      <c r="BN386" s="86"/>
      <c r="BO386" s="88"/>
      <c r="BP386" s="86"/>
      <c r="BQ386" s="88"/>
      <c r="BR386" s="86"/>
      <c r="BS386" s="87"/>
    </row>
    <row r="387" ht="22.5" customHeight="1">
      <c r="A387" s="154"/>
      <c r="B387" s="83"/>
      <c r="C387" s="151"/>
      <c r="D387" s="83"/>
      <c r="E387" s="151"/>
      <c r="F387" s="83"/>
      <c r="G387" s="85"/>
      <c r="H387" s="86"/>
      <c r="I387" s="87"/>
      <c r="J387" s="86"/>
      <c r="K387" s="88"/>
      <c r="L387" s="86"/>
      <c r="M387" s="88"/>
      <c r="N387" s="86"/>
      <c r="O387" s="88"/>
      <c r="P387" s="86"/>
      <c r="Q387" s="88"/>
      <c r="R387" s="86"/>
      <c r="S387" s="88"/>
      <c r="T387" s="86"/>
      <c r="U387" s="88"/>
      <c r="V387" s="86"/>
      <c r="W387" s="88"/>
      <c r="X387" s="86"/>
      <c r="Y387" s="88"/>
      <c r="Z387" s="86"/>
      <c r="AA387" s="88"/>
      <c r="AB387" s="86"/>
      <c r="AC387" s="88"/>
      <c r="AD387" s="86"/>
      <c r="AE387" s="88"/>
      <c r="AF387" s="86"/>
      <c r="AG387" s="88"/>
      <c r="AH387" s="86"/>
      <c r="AI387" s="88"/>
      <c r="AJ387" s="86"/>
      <c r="AK387" s="88"/>
      <c r="AL387" s="86"/>
      <c r="AM387" s="88"/>
      <c r="AN387" s="86"/>
      <c r="AO387" s="88"/>
      <c r="AP387" s="86"/>
      <c r="AQ387" s="88"/>
      <c r="AR387" s="86"/>
      <c r="AS387" s="88"/>
      <c r="AT387" s="86"/>
      <c r="AU387" s="88"/>
      <c r="AV387" s="86"/>
      <c r="AW387" s="88"/>
      <c r="AX387" s="86"/>
      <c r="AY387" s="88"/>
      <c r="AZ387" s="86"/>
      <c r="BA387" s="88"/>
      <c r="BB387" s="86"/>
      <c r="BC387" s="88"/>
      <c r="BD387" s="86"/>
      <c r="BE387" s="88"/>
      <c r="BF387" s="86"/>
      <c r="BG387" s="88"/>
      <c r="BH387" s="86"/>
      <c r="BI387" s="88"/>
      <c r="BJ387" s="86"/>
      <c r="BK387" s="88"/>
      <c r="BL387" s="86"/>
      <c r="BM387" s="88"/>
      <c r="BN387" s="86"/>
      <c r="BO387" s="88"/>
      <c r="BP387" s="86"/>
      <c r="BQ387" s="88"/>
      <c r="BR387" s="86"/>
      <c r="BS387" s="87"/>
    </row>
    <row r="388" ht="22.5" customHeight="1">
      <c r="A388" s="154"/>
      <c r="B388" s="83"/>
      <c r="C388" s="151"/>
      <c r="D388" s="83"/>
      <c r="E388" s="151"/>
      <c r="F388" s="83"/>
      <c r="G388" s="85"/>
      <c r="H388" s="86"/>
      <c r="I388" s="87"/>
      <c r="J388" s="86"/>
      <c r="K388" s="88"/>
      <c r="L388" s="86"/>
      <c r="M388" s="88"/>
      <c r="N388" s="86"/>
      <c r="O388" s="88"/>
      <c r="P388" s="86"/>
      <c r="Q388" s="88"/>
      <c r="R388" s="86"/>
      <c r="S388" s="88"/>
      <c r="T388" s="86"/>
      <c r="U388" s="88"/>
      <c r="V388" s="86"/>
      <c r="W388" s="88"/>
      <c r="X388" s="86"/>
      <c r="Y388" s="88"/>
      <c r="Z388" s="86"/>
      <c r="AA388" s="88"/>
      <c r="AB388" s="86"/>
      <c r="AC388" s="88"/>
      <c r="AD388" s="86"/>
      <c r="AE388" s="88"/>
      <c r="AF388" s="86"/>
      <c r="AG388" s="88"/>
      <c r="AH388" s="86"/>
      <c r="AI388" s="88"/>
      <c r="AJ388" s="86"/>
      <c r="AK388" s="88"/>
      <c r="AL388" s="86"/>
      <c r="AM388" s="88"/>
      <c r="AN388" s="86"/>
      <c r="AO388" s="88"/>
      <c r="AP388" s="86"/>
      <c r="AQ388" s="88"/>
      <c r="AR388" s="86"/>
      <c r="AS388" s="88"/>
      <c r="AT388" s="86"/>
      <c r="AU388" s="88"/>
      <c r="AV388" s="86"/>
      <c r="AW388" s="88"/>
      <c r="AX388" s="86"/>
      <c r="AY388" s="88"/>
      <c r="AZ388" s="86"/>
      <c r="BA388" s="88"/>
      <c r="BB388" s="86"/>
      <c r="BC388" s="88"/>
      <c r="BD388" s="86"/>
      <c r="BE388" s="88"/>
      <c r="BF388" s="86"/>
      <c r="BG388" s="88"/>
      <c r="BH388" s="86"/>
      <c r="BI388" s="88"/>
      <c r="BJ388" s="86"/>
      <c r="BK388" s="88"/>
      <c r="BL388" s="86"/>
      <c r="BM388" s="88"/>
      <c r="BN388" s="86"/>
      <c r="BO388" s="88"/>
      <c r="BP388" s="86"/>
      <c r="BQ388" s="88"/>
      <c r="BR388" s="86"/>
      <c r="BS388" s="87"/>
    </row>
    <row r="389" ht="22.5" customHeight="1">
      <c r="A389" s="154"/>
      <c r="B389" s="83"/>
      <c r="C389" s="151"/>
      <c r="D389" s="83"/>
      <c r="E389" s="151"/>
      <c r="F389" s="83"/>
      <c r="G389" s="85"/>
      <c r="H389" s="86"/>
      <c r="I389" s="87"/>
      <c r="J389" s="86"/>
      <c r="K389" s="88"/>
      <c r="L389" s="86"/>
      <c r="M389" s="88"/>
      <c r="N389" s="86"/>
      <c r="O389" s="88"/>
      <c r="P389" s="86"/>
      <c r="Q389" s="88"/>
      <c r="R389" s="86"/>
      <c r="S389" s="88"/>
      <c r="T389" s="86"/>
      <c r="U389" s="88"/>
      <c r="V389" s="86"/>
      <c r="W389" s="88"/>
      <c r="X389" s="86"/>
      <c r="Y389" s="88"/>
      <c r="Z389" s="86"/>
      <c r="AA389" s="88"/>
      <c r="AB389" s="86"/>
      <c r="AC389" s="88"/>
      <c r="AD389" s="86"/>
      <c r="AE389" s="88"/>
      <c r="AF389" s="86"/>
      <c r="AG389" s="88"/>
      <c r="AH389" s="86"/>
      <c r="AI389" s="88"/>
      <c r="AJ389" s="86"/>
      <c r="AK389" s="88"/>
      <c r="AL389" s="86"/>
      <c r="AM389" s="88"/>
      <c r="AN389" s="86"/>
      <c r="AO389" s="88"/>
      <c r="AP389" s="86"/>
      <c r="AQ389" s="88"/>
      <c r="AR389" s="86"/>
      <c r="AS389" s="88"/>
      <c r="AT389" s="86"/>
      <c r="AU389" s="88"/>
      <c r="AV389" s="86"/>
      <c r="AW389" s="88"/>
      <c r="AX389" s="86"/>
      <c r="AY389" s="88"/>
      <c r="AZ389" s="86"/>
      <c r="BA389" s="88"/>
      <c r="BB389" s="86"/>
      <c r="BC389" s="88"/>
      <c r="BD389" s="86"/>
      <c r="BE389" s="88"/>
      <c r="BF389" s="86"/>
      <c r="BG389" s="88"/>
      <c r="BH389" s="86"/>
      <c r="BI389" s="88"/>
      <c r="BJ389" s="86"/>
      <c r="BK389" s="88"/>
      <c r="BL389" s="86"/>
      <c r="BM389" s="88"/>
      <c r="BN389" s="86"/>
      <c r="BO389" s="88"/>
      <c r="BP389" s="86"/>
      <c r="BQ389" s="88"/>
      <c r="BR389" s="86"/>
      <c r="BS389" s="87"/>
    </row>
    <row r="390" ht="22.5" customHeight="1">
      <c r="A390" s="154"/>
      <c r="B390" s="83"/>
      <c r="C390" s="151"/>
      <c r="D390" s="83"/>
      <c r="E390" s="151"/>
      <c r="F390" s="83"/>
      <c r="G390" s="85"/>
      <c r="H390" s="86"/>
      <c r="I390" s="87"/>
      <c r="J390" s="86"/>
      <c r="K390" s="88"/>
      <c r="L390" s="86"/>
      <c r="M390" s="88"/>
      <c r="N390" s="86"/>
      <c r="O390" s="88"/>
      <c r="P390" s="86"/>
      <c r="Q390" s="88"/>
      <c r="R390" s="86"/>
      <c r="S390" s="88"/>
      <c r="T390" s="86"/>
      <c r="U390" s="88"/>
      <c r="V390" s="86"/>
      <c r="W390" s="88"/>
      <c r="X390" s="86"/>
      <c r="Y390" s="88"/>
      <c r="Z390" s="86"/>
      <c r="AA390" s="88"/>
      <c r="AB390" s="86"/>
      <c r="AC390" s="88"/>
      <c r="AD390" s="86"/>
      <c r="AE390" s="88"/>
      <c r="AF390" s="86"/>
      <c r="AG390" s="88"/>
      <c r="AH390" s="86"/>
      <c r="AI390" s="88"/>
      <c r="AJ390" s="86"/>
      <c r="AK390" s="88"/>
      <c r="AL390" s="86"/>
      <c r="AM390" s="88"/>
      <c r="AN390" s="86"/>
      <c r="AO390" s="88"/>
      <c r="AP390" s="86"/>
      <c r="AQ390" s="88"/>
      <c r="AR390" s="86"/>
      <c r="AS390" s="88"/>
      <c r="AT390" s="86"/>
      <c r="AU390" s="88"/>
      <c r="AV390" s="86"/>
      <c r="AW390" s="88"/>
      <c r="AX390" s="86"/>
      <c r="AY390" s="88"/>
      <c r="AZ390" s="86"/>
      <c r="BA390" s="88"/>
      <c r="BB390" s="86"/>
      <c r="BC390" s="88"/>
      <c r="BD390" s="86"/>
      <c r="BE390" s="88"/>
      <c r="BF390" s="86"/>
      <c r="BG390" s="88"/>
      <c r="BH390" s="86"/>
      <c r="BI390" s="88"/>
      <c r="BJ390" s="86"/>
      <c r="BK390" s="88"/>
      <c r="BL390" s="86"/>
      <c r="BM390" s="88"/>
      <c r="BN390" s="86"/>
      <c r="BO390" s="88"/>
      <c r="BP390" s="86"/>
      <c r="BQ390" s="88"/>
      <c r="BR390" s="86"/>
      <c r="BS390" s="87"/>
    </row>
    <row r="391" ht="22.5" customHeight="1">
      <c r="A391" s="154"/>
      <c r="B391" s="83"/>
      <c r="C391" s="151"/>
      <c r="D391" s="83"/>
      <c r="E391" s="151"/>
      <c r="F391" s="83"/>
      <c r="G391" s="85"/>
      <c r="H391" s="86"/>
      <c r="I391" s="87"/>
      <c r="J391" s="86"/>
      <c r="K391" s="88"/>
      <c r="L391" s="86"/>
      <c r="M391" s="88"/>
      <c r="N391" s="86"/>
      <c r="O391" s="88"/>
      <c r="P391" s="86"/>
      <c r="Q391" s="88"/>
      <c r="R391" s="86"/>
      <c r="S391" s="88"/>
      <c r="T391" s="86"/>
      <c r="U391" s="88"/>
      <c r="V391" s="86"/>
      <c r="W391" s="88"/>
      <c r="X391" s="86"/>
      <c r="Y391" s="88"/>
      <c r="Z391" s="86"/>
      <c r="AA391" s="88"/>
      <c r="AB391" s="86"/>
      <c r="AC391" s="88"/>
      <c r="AD391" s="86"/>
      <c r="AE391" s="88"/>
      <c r="AF391" s="86"/>
      <c r="AG391" s="88"/>
      <c r="AH391" s="86"/>
      <c r="AI391" s="88"/>
      <c r="AJ391" s="86"/>
      <c r="AK391" s="88"/>
      <c r="AL391" s="86"/>
      <c r="AM391" s="88"/>
      <c r="AN391" s="86"/>
      <c r="AO391" s="88"/>
      <c r="AP391" s="86"/>
      <c r="AQ391" s="88"/>
      <c r="AR391" s="86"/>
      <c r="AS391" s="88"/>
      <c r="AT391" s="86"/>
      <c r="AU391" s="88"/>
      <c r="AV391" s="86"/>
      <c r="AW391" s="88"/>
      <c r="AX391" s="86"/>
      <c r="AY391" s="88"/>
      <c r="AZ391" s="86"/>
      <c r="BA391" s="88"/>
      <c r="BB391" s="86"/>
      <c r="BC391" s="88"/>
      <c r="BD391" s="86"/>
      <c r="BE391" s="88"/>
      <c r="BF391" s="86"/>
      <c r="BG391" s="88"/>
      <c r="BH391" s="86"/>
      <c r="BI391" s="88"/>
      <c r="BJ391" s="86"/>
      <c r="BK391" s="88"/>
      <c r="BL391" s="86"/>
      <c r="BM391" s="88"/>
      <c r="BN391" s="86"/>
      <c r="BO391" s="88"/>
      <c r="BP391" s="86"/>
      <c r="BQ391" s="88"/>
      <c r="BR391" s="86"/>
      <c r="BS391" s="87"/>
    </row>
    <row r="392" ht="22.5" customHeight="1">
      <c r="A392" s="154"/>
      <c r="B392" s="83"/>
      <c r="C392" s="151"/>
      <c r="D392" s="83"/>
      <c r="E392" s="151"/>
      <c r="F392" s="83"/>
      <c r="G392" s="85"/>
      <c r="H392" s="86"/>
      <c r="I392" s="87"/>
      <c r="J392" s="86"/>
      <c r="K392" s="88"/>
      <c r="L392" s="86"/>
      <c r="M392" s="88"/>
      <c r="N392" s="86"/>
      <c r="O392" s="88"/>
      <c r="P392" s="86"/>
      <c r="Q392" s="88"/>
      <c r="R392" s="86"/>
      <c r="S392" s="88"/>
      <c r="T392" s="86"/>
      <c r="U392" s="88"/>
      <c r="V392" s="86"/>
      <c r="W392" s="88"/>
      <c r="X392" s="86"/>
      <c r="Y392" s="88"/>
      <c r="Z392" s="86"/>
      <c r="AA392" s="88"/>
      <c r="AB392" s="86"/>
      <c r="AC392" s="88"/>
      <c r="AD392" s="86"/>
      <c r="AE392" s="88"/>
      <c r="AF392" s="86"/>
      <c r="AG392" s="88"/>
      <c r="AH392" s="86"/>
      <c r="AI392" s="88"/>
      <c r="AJ392" s="86"/>
      <c r="AK392" s="88"/>
      <c r="AL392" s="86"/>
      <c r="AM392" s="88"/>
      <c r="AN392" s="86"/>
      <c r="AO392" s="88"/>
      <c r="AP392" s="86"/>
      <c r="AQ392" s="88"/>
      <c r="AR392" s="86"/>
      <c r="AS392" s="88"/>
      <c r="AT392" s="86"/>
      <c r="AU392" s="88"/>
      <c r="AV392" s="86"/>
      <c r="AW392" s="88"/>
      <c r="AX392" s="86"/>
      <c r="AY392" s="88"/>
      <c r="AZ392" s="86"/>
      <c r="BA392" s="88"/>
      <c r="BB392" s="86"/>
      <c r="BC392" s="88"/>
      <c r="BD392" s="86"/>
      <c r="BE392" s="88"/>
      <c r="BF392" s="86"/>
      <c r="BG392" s="88"/>
      <c r="BH392" s="86"/>
      <c r="BI392" s="88"/>
      <c r="BJ392" s="86"/>
      <c r="BK392" s="88"/>
      <c r="BL392" s="86"/>
      <c r="BM392" s="88"/>
      <c r="BN392" s="86"/>
      <c r="BO392" s="88"/>
      <c r="BP392" s="86"/>
      <c r="BQ392" s="88"/>
      <c r="BR392" s="86"/>
      <c r="BS392" s="87"/>
    </row>
    <row r="393" ht="22.5" customHeight="1">
      <c r="A393" s="154"/>
      <c r="B393" s="83"/>
      <c r="C393" s="151"/>
      <c r="D393" s="83"/>
      <c r="E393" s="151"/>
      <c r="F393" s="83"/>
      <c r="G393" s="85"/>
      <c r="H393" s="86"/>
      <c r="I393" s="87"/>
      <c r="J393" s="86"/>
      <c r="K393" s="88"/>
      <c r="L393" s="86"/>
      <c r="M393" s="88"/>
      <c r="N393" s="86"/>
      <c r="O393" s="88"/>
      <c r="P393" s="86"/>
      <c r="Q393" s="88"/>
      <c r="R393" s="86"/>
      <c r="S393" s="88"/>
      <c r="T393" s="86"/>
      <c r="U393" s="88"/>
      <c r="V393" s="86"/>
      <c r="W393" s="88"/>
      <c r="X393" s="86"/>
      <c r="Y393" s="88"/>
      <c r="Z393" s="86"/>
      <c r="AA393" s="88"/>
      <c r="AB393" s="86"/>
      <c r="AC393" s="88"/>
      <c r="AD393" s="86"/>
      <c r="AE393" s="88"/>
      <c r="AF393" s="86"/>
      <c r="AG393" s="88"/>
      <c r="AH393" s="86"/>
      <c r="AI393" s="88"/>
      <c r="AJ393" s="86"/>
      <c r="AK393" s="88"/>
      <c r="AL393" s="86"/>
      <c r="AM393" s="88"/>
      <c r="AN393" s="86"/>
      <c r="AO393" s="88"/>
      <c r="AP393" s="86"/>
      <c r="AQ393" s="88"/>
      <c r="AR393" s="86"/>
      <c r="AS393" s="88"/>
      <c r="AT393" s="86"/>
      <c r="AU393" s="88"/>
      <c r="AV393" s="86"/>
      <c r="AW393" s="88"/>
      <c r="AX393" s="86"/>
      <c r="AY393" s="88"/>
      <c r="AZ393" s="86"/>
      <c r="BA393" s="88"/>
      <c r="BB393" s="86"/>
      <c r="BC393" s="88"/>
      <c r="BD393" s="86"/>
      <c r="BE393" s="88"/>
      <c r="BF393" s="86"/>
      <c r="BG393" s="88"/>
      <c r="BH393" s="86"/>
      <c r="BI393" s="88"/>
      <c r="BJ393" s="86"/>
      <c r="BK393" s="88"/>
      <c r="BL393" s="86"/>
      <c r="BM393" s="88"/>
      <c r="BN393" s="86"/>
      <c r="BO393" s="88"/>
      <c r="BP393" s="86"/>
      <c r="BQ393" s="88"/>
      <c r="BR393" s="86"/>
      <c r="BS393" s="87"/>
    </row>
    <row r="394" ht="22.5" customHeight="1">
      <c r="A394" s="154"/>
      <c r="B394" s="83"/>
      <c r="C394" s="151"/>
      <c r="D394" s="83"/>
      <c r="E394" s="151"/>
      <c r="F394" s="83"/>
      <c r="G394" s="85"/>
      <c r="H394" s="86"/>
      <c r="I394" s="87"/>
      <c r="J394" s="86"/>
      <c r="K394" s="88"/>
      <c r="L394" s="86"/>
      <c r="M394" s="88"/>
      <c r="N394" s="86"/>
      <c r="O394" s="88"/>
      <c r="P394" s="86"/>
      <c r="Q394" s="88"/>
      <c r="R394" s="86"/>
      <c r="S394" s="88"/>
      <c r="T394" s="86"/>
      <c r="U394" s="88"/>
      <c r="V394" s="86"/>
      <c r="W394" s="88"/>
      <c r="X394" s="86"/>
      <c r="Y394" s="88"/>
      <c r="Z394" s="86"/>
      <c r="AA394" s="88"/>
      <c r="AB394" s="86"/>
      <c r="AC394" s="88"/>
      <c r="AD394" s="86"/>
      <c r="AE394" s="88"/>
      <c r="AF394" s="86"/>
      <c r="AG394" s="88"/>
      <c r="AH394" s="86"/>
      <c r="AI394" s="88"/>
      <c r="AJ394" s="86"/>
      <c r="AK394" s="88"/>
      <c r="AL394" s="86"/>
      <c r="AM394" s="88"/>
      <c r="AN394" s="86"/>
      <c r="AO394" s="88"/>
      <c r="AP394" s="86"/>
      <c r="AQ394" s="88"/>
      <c r="AR394" s="86"/>
      <c r="AS394" s="88"/>
      <c r="AT394" s="86"/>
      <c r="AU394" s="88"/>
      <c r="AV394" s="86"/>
      <c r="AW394" s="88"/>
      <c r="AX394" s="86"/>
      <c r="AY394" s="88"/>
      <c r="AZ394" s="86"/>
      <c r="BA394" s="88"/>
      <c r="BB394" s="86"/>
      <c r="BC394" s="88"/>
      <c r="BD394" s="86"/>
      <c r="BE394" s="88"/>
      <c r="BF394" s="86"/>
      <c r="BG394" s="88"/>
      <c r="BH394" s="86"/>
      <c r="BI394" s="88"/>
      <c r="BJ394" s="86"/>
      <c r="BK394" s="88"/>
      <c r="BL394" s="86"/>
      <c r="BM394" s="88"/>
      <c r="BN394" s="86"/>
      <c r="BO394" s="88"/>
      <c r="BP394" s="86"/>
      <c r="BQ394" s="88"/>
      <c r="BR394" s="86"/>
      <c r="BS394" s="87"/>
    </row>
    <row r="395" ht="22.5" customHeight="1">
      <c r="A395" s="154"/>
      <c r="B395" s="83"/>
      <c r="C395" s="151"/>
      <c r="D395" s="83"/>
      <c r="E395" s="151"/>
      <c r="F395" s="83"/>
      <c r="G395" s="85"/>
      <c r="H395" s="86"/>
      <c r="I395" s="87"/>
      <c r="J395" s="86"/>
      <c r="K395" s="88"/>
      <c r="L395" s="86"/>
      <c r="M395" s="88"/>
      <c r="N395" s="86"/>
      <c r="O395" s="88"/>
      <c r="P395" s="86"/>
      <c r="Q395" s="88"/>
      <c r="R395" s="86"/>
      <c r="S395" s="88"/>
      <c r="T395" s="86"/>
      <c r="U395" s="88"/>
      <c r="V395" s="86"/>
      <c r="W395" s="88"/>
      <c r="X395" s="86"/>
      <c r="Y395" s="88"/>
      <c r="Z395" s="86"/>
      <c r="AA395" s="88"/>
      <c r="AB395" s="86"/>
      <c r="AC395" s="88"/>
      <c r="AD395" s="86"/>
      <c r="AE395" s="88"/>
      <c r="AF395" s="86"/>
      <c r="AG395" s="88"/>
      <c r="AH395" s="86"/>
      <c r="AI395" s="88"/>
      <c r="AJ395" s="86"/>
      <c r="AK395" s="88"/>
      <c r="AL395" s="86"/>
      <c r="AM395" s="88"/>
      <c r="AN395" s="86"/>
      <c r="AO395" s="88"/>
      <c r="AP395" s="86"/>
      <c r="AQ395" s="88"/>
      <c r="AR395" s="86"/>
      <c r="AS395" s="88"/>
      <c r="AT395" s="86"/>
      <c r="AU395" s="88"/>
      <c r="AV395" s="86"/>
      <c r="AW395" s="88"/>
      <c r="AX395" s="86"/>
      <c r="AY395" s="88"/>
      <c r="AZ395" s="86"/>
      <c r="BA395" s="88"/>
      <c r="BB395" s="86"/>
      <c r="BC395" s="88"/>
      <c r="BD395" s="86"/>
      <c r="BE395" s="88"/>
      <c r="BF395" s="86"/>
      <c r="BG395" s="88"/>
      <c r="BH395" s="86"/>
      <c r="BI395" s="88"/>
      <c r="BJ395" s="86"/>
      <c r="BK395" s="88"/>
      <c r="BL395" s="86"/>
      <c r="BM395" s="88"/>
      <c r="BN395" s="86"/>
      <c r="BO395" s="88"/>
      <c r="BP395" s="86"/>
      <c r="BQ395" s="88"/>
      <c r="BR395" s="86"/>
      <c r="BS395" s="87"/>
    </row>
    <row r="396" ht="22.5" customHeight="1">
      <c r="A396" s="154"/>
      <c r="B396" s="83"/>
      <c r="C396" s="151"/>
      <c r="D396" s="83"/>
      <c r="E396" s="151"/>
      <c r="F396" s="83"/>
      <c r="G396" s="85"/>
      <c r="H396" s="86"/>
      <c r="I396" s="87"/>
      <c r="J396" s="86"/>
      <c r="K396" s="88"/>
      <c r="L396" s="86"/>
      <c r="M396" s="88"/>
      <c r="N396" s="86"/>
      <c r="O396" s="88"/>
      <c r="P396" s="86"/>
      <c r="Q396" s="88"/>
      <c r="R396" s="86"/>
      <c r="S396" s="88"/>
      <c r="T396" s="86"/>
      <c r="U396" s="88"/>
      <c r="V396" s="86"/>
      <c r="W396" s="88"/>
      <c r="X396" s="86"/>
      <c r="Y396" s="88"/>
      <c r="Z396" s="86"/>
      <c r="AA396" s="88"/>
      <c r="AB396" s="86"/>
      <c r="AC396" s="88"/>
      <c r="AD396" s="86"/>
      <c r="AE396" s="88"/>
      <c r="AF396" s="86"/>
      <c r="AG396" s="88"/>
      <c r="AH396" s="86"/>
      <c r="AI396" s="88"/>
      <c r="AJ396" s="86"/>
      <c r="AK396" s="88"/>
      <c r="AL396" s="86"/>
      <c r="AM396" s="88"/>
      <c r="AN396" s="86"/>
      <c r="AO396" s="88"/>
      <c r="AP396" s="86"/>
      <c r="AQ396" s="88"/>
      <c r="AR396" s="86"/>
      <c r="AS396" s="88"/>
      <c r="AT396" s="86"/>
      <c r="AU396" s="88"/>
      <c r="AV396" s="86"/>
      <c r="AW396" s="88"/>
      <c r="AX396" s="86"/>
      <c r="AY396" s="88"/>
      <c r="AZ396" s="86"/>
      <c r="BA396" s="88"/>
      <c r="BB396" s="86"/>
      <c r="BC396" s="88"/>
      <c r="BD396" s="86"/>
      <c r="BE396" s="88"/>
      <c r="BF396" s="86"/>
      <c r="BG396" s="88"/>
      <c r="BH396" s="86"/>
      <c r="BI396" s="88"/>
      <c r="BJ396" s="86"/>
      <c r="BK396" s="88"/>
      <c r="BL396" s="86"/>
      <c r="BM396" s="88"/>
      <c r="BN396" s="86"/>
      <c r="BO396" s="88"/>
      <c r="BP396" s="86"/>
      <c r="BQ396" s="88"/>
      <c r="BR396" s="86"/>
      <c r="BS396" s="87"/>
    </row>
    <row r="397" ht="22.5" customHeight="1">
      <c r="A397" s="154"/>
      <c r="B397" s="83"/>
      <c r="C397" s="151"/>
      <c r="D397" s="83"/>
      <c r="E397" s="151"/>
      <c r="F397" s="83"/>
      <c r="G397" s="85"/>
      <c r="H397" s="86"/>
      <c r="I397" s="87"/>
      <c r="J397" s="86"/>
      <c r="K397" s="88"/>
      <c r="L397" s="86"/>
      <c r="M397" s="88"/>
      <c r="N397" s="86"/>
      <c r="O397" s="88"/>
      <c r="P397" s="86"/>
      <c r="Q397" s="88"/>
      <c r="R397" s="86"/>
      <c r="S397" s="88"/>
      <c r="T397" s="86"/>
      <c r="U397" s="88"/>
      <c r="V397" s="86"/>
      <c r="W397" s="88"/>
      <c r="X397" s="86"/>
      <c r="Y397" s="88"/>
      <c r="Z397" s="86"/>
      <c r="AA397" s="88"/>
      <c r="AB397" s="86"/>
      <c r="AC397" s="88"/>
      <c r="AD397" s="86"/>
      <c r="AE397" s="88"/>
      <c r="AF397" s="86"/>
      <c r="AG397" s="88"/>
      <c r="AH397" s="86"/>
      <c r="AI397" s="88"/>
      <c r="AJ397" s="86"/>
      <c r="AK397" s="88"/>
      <c r="AL397" s="86"/>
      <c r="AM397" s="88"/>
      <c r="AN397" s="86"/>
      <c r="AO397" s="88"/>
      <c r="AP397" s="86"/>
      <c r="AQ397" s="88"/>
      <c r="AR397" s="86"/>
      <c r="AS397" s="88"/>
      <c r="AT397" s="86"/>
      <c r="AU397" s="88"/>
      <c r="AV397" s="86"/>
      <c r="AW397" s="88"/>
      <c r="AX397" s="86"/>
      <c r="AY397" s="88"/>
      <c r="AZ397" s="86"/>
      <c r="BA397" s="88"/>
      <c r="BB397" s="86"/>
      <c r="BC397" s="88"/>
      <c r="BD397" s="86"/>
      <c r="BE397" s="88"/>
      <c r="BF397" s="86"/>
      <c r="BG397" s="88"/>
      <c r="BH397" s="86"/>
      <c r="BI397" s="88"/>
      <c r="BJ397" s="86"/>
      <c r="BK397" s="88"/>
      <c r="BL397" s="86"/>
      <c r="BM397" s="88"/>
      <c r="BN397" s="86"/>
      <c r="BO397" s="88"/>
      <c r="BP397" s="86"/>
      <c r="BQ397" s="88"/>
      <c r="BR397" s="86"/>
      <c r="BS397" s="87"/>
    </row>
    <row r="398" ht="22.5" customHeight="1">
      <c r="A398" s="154"/>
      <c r="B398" s="83"/>
      <c r="C398" s="151"/>
      <c r="D398" s="83"/>
      <c r="E398" s="151"/>
      <c r="F398" s="83"/>
      <c r="G398" s="85"/>
      <c r="H398" s="86"/>
      <c r="I398" s="87"/>
      <c r="J398" s="86"/>
      <c r="K398" s="88"/>
      <c r="L398" s="86"/>
      <c r="M398" s="88"/>
      <c r="N398" s="86"/>
      <c r="O398" s="88"/>
      <c r="P398" s="86"/>
      <c r="Q398" s="88"/>
      <c r="R398" s="86"/>
      <c r="S398" s="88"/>
      <c r="T398" s="86"/>
      <c r="U398" s="88"/>
      <c r="V398" s="86"/>
      <c r="W398" s="88"/>
      <c r="X398" s="86"/>
      <c r="Y398" s="88"/>
      <c r="Z398" s="86"/>
      <c r="AA398" s="88"/>
      <c r="AB398" s="86"/>
      <c r="AC398" s="88"/>
      <c r="AD398" s="86"/>
      <c r="AE398" s="88"/>
      <c r="AF398" s="86"/>
      <c r="AG398" s="88"/>
      <c r="AH398" s="86"/>
      <c r="AI398" s="88"/>
      <c r="AJ398" s="86"/>
      <c r="AK398" s="88"/>
      <c r="AL398" s="86"/>
      <c r="AM398" s="88"/>
      <c r="AN398" s="86"/>
      <c r="AO398" s="88"/>
      <c r="AP398" s="86"/>
      <c r="AQ398" s="88"/>
      <c r="AR398" s="86"/>
      <c r="AS398" s="88"/>
      <c r="AT398" s="86"/>
      <c r="AU398" s="88"/>
      <c r="AV398" s="86"/>
      <c r="AW398" s="88"/>
      <c r="AX398" s="86"/>
      <c r="AY398" s="88"/>
      <c r="AZ398" s="86"/>
      <c r="BA398" s="88"/>
      <c r="BB398" s="86"/>
      <c r="BC398" s="88"/>
      <c r="BD398" s="86"/>
      <c r="BE398" s="88"/>
      <c r="BF398" s="86"/>
      <c r="BG398" s="88"/>
      <c r="BH398" s="86"/>
      <c r="BI398" s="88"/>
      <c r="BJ398" s="86"/>
      <c r="BK398" s="88"/>
      <c r="BL398" s="86"/>
      <c r="BM398" s="88"/>
      <c r="BN398" s="86"/>
      <c r="BO398" s="88"/>
      <c r="BP398" s="86"/>
      <c r="BQ398" s="88"/>
      <c r="BR398" s="86"/>
      <c r="BS398" s="87"/>
    </row>
    <row r="399" ht="22.5" customHeight="1">
      <c r="A399" s="154"/>
      <c r="B399" s="83"/>
      <c r="C399" s="151"/>
      <c r="D399" s="83"/>
      <c r="E399" s="151"/>
      <c r="F399" s="83"/>
      <c r="G399" s="85"/>
      <c r="H399" s="86"/>
      <c r="I399" s="87"/>
      <c r="J399" s="86"/>
      <c r="K399" s="88"/>
      <c r="L399" s="86"/>
      <c r="M399" s="88"/>
      <c r="N399" s="86"/>
      <c r="O399" s="88"/>
      <c r="P399" s="86"/>
      <c r="Q399" s="88"/>
      <c r="R399" s="86"/>
      <c r="S399" s="88"/>
      <c r="T399" s="86"/>
      <c r="U399" s="88"/>
      <c r="V399" s="86"/>
      <c r="W399" s="88"/>
      <c r="X399" s="86"/>
      <c r="Y399" s="88"/>
      <c r="Z399" s="86"/>
      <c r="AA399" s="88"/>
      <c r="AB399" s="86"/>
      <c r="AC399" s="88"/>
      <c r="AD399" s="86"/>
      <c r="AE399" s="88"/>
      <c r="AF399" s="86"/>
      <c r="AG399" s="88"/>
      <c r="AH399" s="86"/>
      <c r="AI399" s="88"/>
      <c r="AJ399" s="86"/>
      <c r="AK399" s="88"/>
      <c r="AL399" s="86"/>
      <c r="AM399" s="88"/>
      <c r="AN399" s="86"/>
      <c r="AO399" s="88"/>
      <c r="AP399" s="86"/>
      <c r="AQ399" s="88"/>
      <c r="AR399" s="86"/>
      <c r="AS399" s="88"/>
      <c r="AT399" s="86"/>
      <c r="AU399" s="88"/>
      <c r="AV399" s="86"/>
      <c r="AW399" s="88"/>
      <c r="AX399" s="86"/>
      <c r="AY399" s="88"/>
      <c r="AZ399" s="86"/>
      <c r="BA399" s="88"/>
      <c r="BB399" s="86"/>
      <c r="BC399" s="88"/>
      <c r="BD399" s="86"/>
      <c r="BE399" s="88"/>
      <c r="BF399" s="86"/>
      <c r="BG399" s="88"/>
      <c r="BH399" s="86"/>
      <c r="BI399" s="88"/>
      <c r="BJ399" s="86"/>
      <c r="BK399" s="88"/>
      <c r="BL399" s="86"/>
      <c r="BM399" s="88"/>
      <c r="BN399" s="86"/>
      <c r="BO399" s="88"/>
      <c r="BP399" s="86"/>
      <c r="BQ399" s="88"/>
      <c r="BR399" s="86"/>
      <c r="BS399" s="87"/>
    </row>
    <row r="400" ht="22.5" customHeight="1">
      <c r="A400" s="154"/>
      <c r="B400" s="83"/>
      <c r="C400" s="151"/>
      <c r="D400" s="83"/>
      <c r="E400" s="151"/>
      <c r="F400" s="83"/>
      <c r="G400" s="85"/>
      <c r="H400" s="86"/>
      <c r="I400" s="87"/>
      <c r="J400" s="86"/>
      <c r="K400" s="88"/>
      <c r="L400" s="86"/>
      <c r="M400" s="88"/>
      <c r="N400" s="86"/>
      <c r="O400" s="88"/>
      <c r="P400" s="86"/>
      <c r="Q400" s="88"/>
      <c r="R400" s="86"/>
      <c r="S400" s="88"/>
      <c r="T400" s="86"/>
      <c r="U400" s="88"/>
      <c r="V400" s="86"/>
      <c r="W400" s="88"/>
      <c r="X400" s="86"/>
      <c r="Y400" s="88"/>
      <c r="Z400" s="86"/>
      <c r="AA400" s="88"/>
      <c r="AB400" s="86"/>
      <c r="AC400" s="88"/>
      <c r="AD400" s="86"/>
      <c r="AE400" s="88"/>
      <c r="AF400" s="86"/>
      <c r="AG400" s="88"/>
      <c r="AH400" s="86"/>
      <c r="AI400" s="88"/>
      <c r="AJ400" s="86"/>
      <c r="AK400" s="88"/>
      <c r="AL400" s="86"/>
      <c r="AM400" s="88"/>
      <c r="AN400" s="86"/>
      <c r="AO400" s="88"/>
      <c r="AP400" s="86"/>
      <c r="AQ400" s="88"/>
      <c r="AR400" s="86"/>
      <c r="AS400" s="88"/>
      <c r="AT400" s="86"/>
      <c r="AU400" s="88"/>
      <c r="AV400" s="86"/>
      <c r="AW400" s="88"/>
      <c r="AX400" s="86"/>
      <c r="AY400" s="88"/>
      <c r="AZ400" s="86"/>
      <c r="BA400" s="88"/>
      <c r="BB400" s="86"/>
      <c r="BC400" s="88"/>
      <c r="BD400" s="86"/>
      <c r="BE400" s="88"/>
      <c r="BF400" s="86"/>
      <c r="BG400" s="88"/>
      <c r="BH400" s="86"/>
      <c r="BI400" s="88"/>
      <c r="BJ400" s="86"/>
      <c r="BK400" s="88"/>
      <c r="BL400" s="86"/>
      <c r="BM400" s="88"/>
      <c r="BN400" s="86"/>
      <c r="BO400" s="88"/>
      <c r="BP400" s="86"/>
      <c r="BQ400" s="88"/>
      <c r="BR400" s="86"/>
      <c r="BS400" s="87"/>
    </row>
    <row r="401" ht="22.5" customHeight="1">
      <c r="A401" s="154"/>
      <c r="B401" s="83"/>
      <c r="C401" s="151"/>
      <c r="D401" s="83"/>
      <c r="E401" s="151"/>
      <c r="F401" s="83"/>
      <c r="G401" s="85"/>
      <c r="H401" s="86"/>
      <c r="I401" s="87"/>
      <c r="J401" s="86"/>
      <c r="K401" s="88"/>
      <c r="L401" s="86"/>
      <c r="M401" s="88"/>
      <c r="N401" s="86"/>
      <c r="O401" s="88"/>
      <c r="P401" s="86"/>
      <c r="Q401" s="88"/>
      <c r="R401" s="86"/>
      <c r="S401" s="88"/>
      <c r="T401" s="86"/>
      <c r="U401" s="88"/>
      <c r="V401" s="86"/>
      <c r="W401" s="88"/>
      <c r="X401" s="86"/>
      <c r="Y401" s="88"/>
      <c r="Z401" s="86"/>
      <c r="AA401" s="88"/>
      <c r="AB401" s="86"/>
      <c r="AC401" s="88"/>
      <c r="AD401" s="86"/>
      <c r="AE401" s="88"/>
      <c r="AF401" s="86"/>
      <c r="AG401" s="88"/>
      <c r="AH401" s="86"/>
      <c r="AI401" s="88"/>
      <c r="AJ401" s="86"/>
      <c r="AK401" s="88"/>
      <c r="AL401" s="86"/>
      <c r="AM401" s="88"/>
      <c r="AN401" s="86"/>
      <c r="AO401" s="88"/>
      <c r="AP401" s="86"/>
      <c r="AQ401" s="88"/>
      <c r="AR401" s="86"/>
      <c r="AS401" s="88"/>
      <c r="AT401" s="86"/>
      <c r="AU401" s="88"/>
      <c r="AV401" s="86"/>
      <c r="AW401" s="88"/>
      <c r="AX401" s="86"/>
      <c r="AY401" s="88"/>
      <c r="AZ401" s="86"/>
      <c r="BA401" s="88"/>
      <c r="BB401" s="86"/>
      <c r="BC401" s="88"/>
      <c r="BD401" s="86"/>
      <c r="BE401" s="88"/>
      <c r="BF401" s="86"/>
      <c r="BG401" s="88"/>
      <c r="BH401" s="86"/>
      <c r="BI401" s="88"/>
      <c r="BJ401" s="86"/>
      <c r="BK401" s="88"/>
      <c r="BL401" s="86"/>
      <c r="BM401" s="88"/>
      <c r="BN401" s="86"/>
      <c r="BO401" s="88"/>
      <c r="BP401" s="86"/>
      <c r="BQ401" s="88"/>
      <c r="BR401" s="86"/>
      <c r="BS401" s="87"/>
    </row>
    <row r="402" ht="22.5" customHeight="1">
      <c r="A402" s="154"/>
      <c r="B402" s="83"/>
      <c r="C402" s="151"/>
      <c r="D402" s="83"/>
      <c r="E402" s="151"/>
      <c r="F402" s="83"/>
      <c r="G402" s="85"/>
      <c r="H402" s="86"/>
      <c r="I402" s="87"/>
      <c r="J402" s="86"/>
      <c r="K402" s="88"/>
      <c r="L402" s="86"/>
      <c r="M402" s="88"/>
      <c r="N402" s="86"/>
      <c r="O402" s="88"/>
      <c r="P402" s="86"/>
      <c r="Q402" s="88"/>
      <c r="R402" s="86"/>
      <c r="S402" s="88"/>
      <c r="T402" s="86"/>
      <c r="U402" s="88"/>
      <c r="V402" s="86"/>
      <c r="W402" s="88"/>
      <c r="X402" s="86"/>
      <c r="Y402" s="88"/>
      <c r="Z402" s="86"/>
      <c r="AA402" s="88"/>
      <c r="AB402" s="86"/>
      <c r="AC402" s="88"/>
      <c r="AD402" s="86"/>
      <c r="AE402" s="88"/>
      <c r="AF402" s="86"/>
      <c r="AG402" s="88"/>
      <c r="AH402" s="86"/>
      <c r="AI402" s="88"/>
      <c r="AJ402" s="86"/>
      <c r="AK402" s="88"/>
      <c r="AL402" s="86"/>
      <c r="AM402" s="88"/>
      <c r="AN402" s="86"/>
      <c r="AO402" s="88"/>
      <c r="AP402" s="86"/>
      <c r="AQ402" s="88"/>
      <c r="AR402" s="86"/>
      <c r="AS402" s="88"/>
      <c r="AT402" s="86"/>
      <c r="AU402" s="88"/>
      <c r="AV402" s="86"/>
      <c r="AW402" s="88"/>
      <c r="AX402" s="86"/>
      <c r="AY402" s="88"/>
      <c r="AZ402" s="86"/>
      <c r="BA402" s="88"/>
      <c r="BB402" s="86"/>
      <c r="BC402" s="88"/>
      <c r="BD402" s="86"/>
      <c r="BE402" s="88"/>
      <c r="BF402" s="86"/>
      <c r="BG402" s="88"/>
      <c r="BH402" s="86"/>
      <c r="BI402" s="88"/>
      <c r="BJ402" s="86"/>
      <c r="BK402" s="88"/>
      <c r="BL402" s="86"/>
      <c r="BM402" s="88"/>
      <c r="BN402" s="86"/>
      <c r="BO402" s="88"/>
      <c r="BP402" s="86"/>
      <c r="BQ402" s="88"/>
      <c r="BR402" s="86"/>
      <c r="BS402" s="87"/>
    </row>
    <row r="403" ht="22.5" customHeight="1">
      <c r="A403" s="154"/>
      <c r="B403" s="83"/>
      <c r="C403" s="151"/>
      <c r="D403" s="83"/>
      <c r="E403" s="151"/>
      <c r="F403" s="83"/>
      <c r="G403" s="85"/>
      <c r="H403" s="86"/>
      <c r="I403" s="87"/>
      <c r="J403" s="86"/>
      <c r="K403" s="88"/>
      <c r="L403" s="86"/>
      <c r="M403" s="88"/>
      <c r="N403" s="86"/>
      <c r="O403" s="88"/>
      <c r="P403" s="86"/>
      <c r="Q403" s="88"/>
      <c r="R403" s="86"/>
      <c r="S403" s="88"/>
      <c r="T403" s="86"/>
      <c r="U403" s="88"/>
      <c r="V403" s="86"/>
      <c r="W403" s="88"/>
      <c r="X403" s="86"/>
      <c r="Y403" s="88"/>
      <c r="Z403" s="86"/>
      <c r="AA403" s="88"/>
      <c r="AB403" s="86"/>
      <c r="AC403" s="88"/>
      <c r="AD403" s="86"/>
      <c r="AE403" s="88"/>
      <c r="AF403" s="86"/>
      <c r="AG403" s="88"/>
      <c r="AH403" s="86"/>
      <c r="AI403" s="88"/>
      <c r="AJ403" s="86"/>
      <c r="AK403" s="88"/>
      <c r="AL403" s="86"/>
      <c r="AM403" s="88"/>
      <c r="AN403" s="86"/>
      <c r="AO403" s="88"/>
      <c r="AP403" s="86"/>
      <c r="AQ403" s="88"/>
      <c r="AR403" s="86"/>
      <c r="AS403" s="88"/>
      <c r="AT403" s="86"/>
      <c r="AU403" s="88"/>
      <c r="AV403" s="86"/>
      <c r="AW403" s="88"/>
      <c r="AX403" s="86"/>
      <c r="AY403" s="88"/>
      <c r="AZ403" s="86"/>
      <c r="BA403" s="88"/>
      <c r="BB403" s="86"/>
      <c r="BC403" s="88"/>
      <c r="BD403" s="86"/>
      <c r="BE403" s="88"/>
      <c r="BF403" s="86"/>
      <c r="BG403" s="88"/>
      <c r="BH403" s="86"/>
      <c r="BI403" s="88"/>
      <c r="BJ403" s="86"/>
      <c r="BK403" s="88"/>
      <c r="BL403" s="86"/>
      <c r="BM403" s="88"/>
      <c r="BN403" s="86"/>
      <c r="BO403" s="88"/>
      <c r="BP403" s="86"/>
      <c r="BQ403" s="88"/>
      <c r="BR403" s="86"/>
      <c r="BS403" s="87"/>
    </row>
    <row r="404" ht="22.5" customHeight="1">
      <c r="A404" s="154"/>
      <c r="B404" s="83"/>
      <c r="C404" s="151"/>
      <c r="D404" s="83"/>
      <c r="E404" s="151"/>
      <c r="F404" s="83"/>
      <c r="G404" s="85"/>
      <c r="H404" s="86"/>
      <c r="I404" s="87"/>
      <c r="J404" s="86"/>
      <c r="K404" s="88"/>
      <c r="L404" s="86"/>
      <c r="M404" s="88"/>
      <c r="N404" s="86"/>
      <c r="O404" s="88"/>
      <c r="P404" s="86"/>
      <c r="Q404" s="88"/>
      <c r="R404" s="86"/>
      <c r="S404" s="88"/>
      <c r="T404" s="86"/>
      <c r="U404" s="88"/>
      <c r="V404" s="86"/>
      <c r="W404" s="88"/>
      <c r="X404" s="86"/>
      <c r="Y404" s="88"/>
      <c r="Z404" s="86"/>
      <c r="AA404" s="88"/>
      <c r="AB404" s="86"/>
      <c r="AC404" s="88"/>
      <c r="AD404" s="86"/>
      <c r="AE404" s="88"/>
      <c r="AF404" s="86"/>
      <c r="AG404" s="88"/>
      <c r="AH404" s="86"/>
      <c r="AI404" s="88"/>
      <c r="AJ404" s="86"/>
      <c r="AK404" s="88"/>
      <c r="AL404" s="86"/>
      <c r="AM404" s="88"/>
      <c r="AN404" s="86"/>
      <c r="AO404" s="88"/>
      <c r="AP404" s="86"/>
      <c r="AQ404" s="88"/>
      <c r="AR404" s="86"/>
      <c r="AS404" s="88"/>
      <c r="AT404" s="86"/>
      <c r="AU404" s="88"/>
      <c r="AV404" s="86"/>
      <c r="AW404" s="88"/>
      <c r="AX404" s="86"/>
      <c r="AY404" s="88"/>
      <c r="AZ404" s="86"/>
      <c r="BA404" s="88"/>
      <c r="BB404" s="86"/>
      <c r="BC404" s="88"/>
      <c r="BD404" s="86"/>
      <c r="BE404" s="88"/>
      <c r="BF404" s="86"/>
      <c r="BG404" s="88"/>
      <c r="BH404" s="86"/>
      <c r="BI404" s="88"/>
      <c r="BJ404" s="86"/>
      <c r="BK404" s="88"/>
      <c r="BL404" s="86"/>
      <c r="BM404" s="88"/>
      <c r="BN404" s="86"/>
      <c r="BO404" s="88"/>
      <c r="BP404" s="86"/>
      <c r="BQ404" s="88"/>
      <c r="BR404" s="86"/>
      <c r="BS404" s="87"/>
    </row>
    <row r="405" ht="22.5" customHeight="1">
      <c r="A405" s="154"/>
      <c r="B405" s="83"/>
      <c r="C405" s="151"/>
      <c r="D405" s="83"/>
      <c r="E405" s="151"/>
      <c r="F405" s="83"/>
      <c r="G405" s="85"/>
      <c r="H405" s="86"/>
      <c r="I405" s="87"/>
      <c r="J405" s="86"/>
      <c r="K405" s="88"/>
      <c r="L405" s="86"/>
      <c r="M405" s="88"/>
      <c r="N405" s="86"/>
      <c r="O405" s="88"/>
      <c r="P405" s="86"/>
      <c r="Q405" s="88"/>
      <c r="R405" s="86"/>
      <c r="S405" s="88"/>
      <c r="T405" s="86"/>
      <c r="U405" s="88"/>
      <c r="V405" s="86"/>
      <c r="W405" s="88"/>
      <c r="X405" s="86"/>
      <c r="Y405" s="88"/>
      <c r="Z405" s="86"/>
      <c r="AA405" s="88"/>
      <c r="AB405" s="86"/>
      <c r="AC405" s="88"/>
      <c r="AD405" s="86"/>
      <c r="AE405" s="88"/>
      <c r="AF405" s="86"/>
      <c r="AG405" s="88"/>
      <c r="AH405" s="86"/>
      <c r="AI405" s="88"/>
      <c r="AJ405" s="86"/>
      <c r="AK405" s="88"/>
      <c r="AL405" s="86"/>
      <c r="AM405" s="88"/>
      <c r="AN405" s="86"/>
      <c r="AO405" s="88"/>
      <c r="AP405" s="86"/>
      <c r="AQ405" s="88"/>
      <c r="AR405" s="86"/>
      <c r="AS405" s="88"/>
      <c r="AT405" s="86"/>
      <c r="AU405" s="88"/>
      <c r="AV405" s="86"/>
      <c r="AW405" s="88"/>
      <c r="AX405" s="86"/>
      <c r="AY405" s="88"/>
      <c r="AZ405" s="86"/>
      <c r="BA405" s="88"/>
      <c r="BB405" s="86"/>
      <c r="BC405" s="88"/>
      <c r="BD405" s="86"/>
      <c r="BE405" s="88"/>
      <c r="BF405" s="86"/>
      <c r="BG405" s="88"/>
      <c r="BH405" s="86"/>
      <c r="BI405" s="88"/>
      <c r="BJ405" s="86"/>
      <c r="BK405" s="88"/>
      <c r="BL405" s="86"/>
      <c r="BM405" s="88"/>
      <c r="BN405" s="86"/>
      <c r="BO405" s="88"/>
      <c r="BP405" s="86"/>
      <c r="BQ405" s="88"/>
      <c r="BR405" s="86"/>
      <c r="BS405" s="87"/>
    </row>
    <row r="406" ht="22.5" customHeight="1">
      <c r="A406" s="154"/>
      <c r="B406" s="83"/>
      <c r="C406" s="151"/>
      <c r="D406" s="83"/>
      <c r="E406" s="151"/>
      <c r="F406" s="83"/>
      <c r="G406" s="85"/>
      <c r="H406" s="86"/>
      <c r="I406" s="87"/>
      <c r="J406" s="86"/>
      <c r="K406" s="88"/>
      <c r="L406" s="86"/>
      <c r="M406" s="88"/>
      <c r="N406" s="86"/>
      <c r="O406" s="88"/>
      <c r="P406" s="86"/>
      <c r="Q406" s="88"/>
      <c r="R406" s="86"/>
      <c r="S406" s="88"/>
      <c r="T406" s="86"/>
      <c r="U406" s="88"/>
      <c r="V406" s="86"/>
      <c r="W406" s="88"/>
      <c r="X406" s="86"/>
      <c r="Y406" s="88"/>
      <c r="Z406" s="86"/>
      <c r="AA406" s="88"/>
      <c r="AB406" s="86"/>
      <c r="AC406" s="88"/>
      <c r="AD406" s="86"/>
      <c r="AE406" s="88"/>
      <c r="AF406" s="86"/>
      <c r="AG406" s="88"/>
      <c r="AH406" s="86"/>
      <c r="AI406" s="88"/>
      <c r="AJ406" s="86"/>
      <c r="AK406" s="88"/>
      <c r="AL406" s="86"/>
      <c r="AM406" s="88"/>
      <c r="AN406" s="86"/>
      <c r="AO406" s="88"/>
      <c r="AP406" s="86"/>
      <c r="AQ406" s="88"/>
      <c r="AR406" s="86"/>
      <c r="AS406" s="88"/>
      <c r="AT406" s="86"/>
      <c r="AU406" s="88"/>
      <c r="AV406" s="86"/>
      <c r="AW406" s="88"/>
      <c r="AX406" s="86"/>
      <c r="AY406" s="88"/>
      <c r="AZ406" s="86"/>
      <c r="BA406" s="88"/>
      <c r="BB406" s="86"/>
      <c r="BC406" s="88"/>
      <c r="BD406" s="86"/>
      <c r="BE406" s="88"/>
      <c r="BF406" s="86"/>
      <c r="BG406" s="88"/>
      <c r="BH406" s="86"/>
      <c r="BI406" s="88"/>
      <c r="BJ406" s="86"/>
      <c r="BK406" s="88"/>
      <c r="BL406" s="86"/>
      <c r="BM406" s="88"/>
      <c r="BN406" s="86"/>
      <c r="BO406" s="88"/>
      <c r="BP406" s="86"/>
      <c r="BQ406" s="88"/>
      <c r="BR406" s="86"/>
      <c r="BS406" s="87"/>
    </row>
    <row r="407" ht="22.5" customHeight="1">
      <c r="A407" s="154"/>
      <c r="B407" s="83"/>
      <c r="C407" s="151"/>
      <c r="D407" s="83"/>
      <c r="E407" s="151"/>
      <c r="F407" s="83"/>
      <c r="G407" s="85"/>
      <c r="H407" s="86"/>
      <c r="I407" s="87"/>
      <c r="J407" s="86"/>
      <c r="K407" s="88"/>
      <c r="L407" s="86"/>
      <c r="M407" s="88"/>
      <c r="N407" s="86"/>
      <c r="O407" s="88"/>
      <c r="P407" s="86"/>
      <c r="Q407" s="88"/>
      <c r="R407" s="86"/>
      <c r="S407" s="88"/>
      <c r="T407" s="86"/>
      <c r="U407" s="88"/>
      <c r="V407" s="86"/>
      <c r="W407" s="88"/>
      <c r="X407" s="86"/>
      <c r="Y407" s="88"/>
      <c r="Z407" s="86"/>
      <c r="AA407" s="88"/>
      <c r="AB407" s="86"/>
      <c r="AC407" s="88"/>
      <c r="AD407" s="86"/>
      <c r="AE407" s="88"/>
      <c r="AF407" s="86"/>
      <c r="AG407" s="88"/>
      <c r="AH407" s="86"/>
      <c r="AI407" s="88"/>
      <c r="AJ407" s="86"/>
      <c r="AK407" s="88"/>
      <c r="AL407" s="86"/>
      <c r="AM407" s="88"/>
      <c r="AN407" s="86"/>
      <c r="AO407" s="88"/>
      <c r="AP407" s="86"/>
      <c r="AQ407" s="88"/>
      <c r="AR407" s="86"/>
      <c r="AS407" s="88"/>
      <c r="AT407" s="86"/>
      <c r="AU407" s="88"/>
      <c r="AV407" s="86"/>
      <c r="AW407" s="88"/>
      <c r="AX407" s="86"/>
      <c r="AY407" s="88"/>
      <c r="AZ407" s="86"/>
      <c r="BA407" s="88"/>
      <c r="BB407" s="86"/>
      <c r="BC407" s="88"/>
      <c r="BD407" s="86"/>
      <c r="BE407" s="88"/>
      <c r="BF407" s="86"/>
      <c r="BG407" s="88"/>
      <c r="BH407" s="86"/>
      <c r="BI407" s="88"/>
      <c r="BJ407" s="86"/>
      <c r="BK407" s="88"/>
      <c r="BL407" s="86"/>
      <c r="BM407" s="88"/>
      <c r="BN407" s="86"/>
      <c r="BO407" s="88"/>
      <c r="BP407" s="86"/>
      <c r="BQ407" s="88"/>
      <c r="BR407" s="86"/>
      <c r="BS407" s="87"/>
    </row>
    <row r="408" ht="22.5" customHeight="1">
      <c r="A408" s="154"/>
      <c r="B408" s="83"/>
      <c r="C408" s="151"/>
      <c r="D408" s="83"/>
      <c r="E408" s="151"/>
      <c r="F408" s="83"/>
      <c r="G408" s="85"/>
      <c r="H408" s="86"/>
      <c r="I408" s="87"/>
      <c r="J408" s="86"/>
      <c r="K408" s="88"/>
      <c r="L408" s="86"/>
      <c r="M408" s="88"/>
      <c r="N408" s="86"/>
      <c r="O408" s="88"/>
      <c r="P408" s="86"/>
      <c r="Q408" s="88"/>
      <c r="R408" s="86"/>
      <c r="S408" s="88"/>
      <c r="T408" s="86"/>
      <c r="U408" s="88"/>
      <c r="V408" s="86"/>
      <c r="W408" s="88"/>
      <c r="X408" s="86"/>
      <c r="Y408" s="88"/>
      <c r="Z408" s="86"/>
      <c r="AA408" s="88"/>
      <c r="AB408" s="86"/>
      <c r="AC408" s="88"/>
      <c r="AD408" s="86"/>
      <c r="AE408" s="88"/>
      <c r="AF408" s="86"/>
      <c r="AG408" s="88"/>
      <c r="AH408" s="86"/>
      <c r="AI408" s="88"/>
      <c r="AJ408" s="86"/>
      <c r="AK408" s="88"/>
      <c r="AL408" s="86"/>
      <c r="AM408" s="88"/>
      <c r="AN408" s="86"/>
      <c r="AO408" s="88"/>
      <c r="AP408" s="86"/>
      <c r="AQ408" s="88"/>
      <c r="AR408" s="86"/>
      <c r="AS408" s="88"/>
      <c r="AT408" s="86"/>
      <c r="AU408" s="88"/>
      <c r="AV408" s="86"/>
      <c r="AW408" s="88"/>
      <c r="AX408" s="86"/>
      <c r="AY408" s="88"/>
      <c r="AZ408" s="86"/>
      <c r="BA408" s="88"/>
      <c r="BB408" s="86"/>
      <c r="BC408" s="88"/>
      <c r="BD408" s="86"/>
      <c r="BE408" s="88"/>
      <c r="BF408" s="86"/>
      <c r="BG408" s="88"/>
      <c r="BH408" s="86"/>
      <c r="BI408" s="88"/>
      <c r="BJ408" s="86"/>
      <c r="BK408" s="88"/>
      <c r="BL408" s="86"/>
      <c r="BM408" s="88"/>
      <c r="BN408" s="86"/>
      <c r="BO408" s="88"/>
      <c r="BP408" s="86"/>
      <c r="BQ408" s="88"/>
      <c r="BR408" s="86"/>
      <c r="BS408" s="87"/>
    </row>
    <row r="409" ht="22.5" customHeight="1">
      <c r="A409" s="154"/>
      <c r="B409" s="83"/>
      <c r="C409" s="151"/>
      <c r="D409" s="83"/>
      <c r="E409" s="151"/>
      <c r="F409" s="83"/>
      <c r="G409" s="85"/>
      <c r="H409" s="86"/>
      <c r="I409" s="87"/>
      <c r="J409" s="86"/>
      <c r="K409" s="88"/>
      <c r="L409" s="86"/>
      <c r="M409" s="88"/>
      <c r="N409" s="86"/>
      <c r="O409" s="88"/>
      <c r="P409" s="86"/>
      <c r="Q409" s="88"/>
      <c r="R409" s="86"/>
      <c r="S409" s="88"/>
      <c r="T409" s="86"/>
      <c r="U409" s="88"/>
      <c r="V409" s="86"/>
      <c r="W409" s="88"/>
      <c r="X409" s="86"/>
      <c r="Y409" s="88"/>
      <c r="Z409" s="86"/>
      <c r="AA409" s="88"/>
      <c r="AB409" s="86"/>
      <c r="AC409" s="88"/>
      <c r="AD409" s="86"/>
      <c r="AE409" s="88"/>
      <c r="AF409" s="86"/>
      <c r="AG409" s="88"/>
      <c r="AH409" s="86"/>
      <c r="AI409" s="88"/>
      <c r="AJ409" s="86"/>
      <c r="AK409" s="88"/>
      <c r="AL409" s="86"/>
      <c r="AM409" s="88"/>
      <c r="AN409" s="86"/>
      <c r="AO409" s="88"/>
      <c r="AP409" s="86"/>
      <c r="AQ409" s="88"/>
      <c r="AR409" s="86"/>
      <c r="AS409" s="88"/>
      <c r="AT409" s="86"/>
      <c r="AU409" s="88"/>
      <c r="AV409" s="86"/>
      <c r="AW409" s="88"/>
      <c r="AX409" s="86"/>
      <c r="AY409" s="88"/>
      <c r="AZ409" s="86"/>
      <c r="BA409" s="88"/>
      <c r="BB409" s="86"/>
      <c r="BC409" s="88"/>
      <c r="BD409" s="86"/>
      <c r="BE409" s="88"/>
      <c r="BF409" s="86"/>
      <c r="BG409" s="88"/>
      <c r="BH409" s="86"/>
      <c r="BI409" s="88"/>
      <c r="BJ409" s="86"/>
      <c r="BK409" s="88"/>
      <c r="BL409" s="86"/>
      <c r="BM409" s="88"/>
      <c r="BN409" s="86"/>
      <c r="BO409" s="88"/>
      <c r="BP409" s="86"/>
      <c r="BQ409" s="88"/>
      <c r="BR409" s="86"/>
      <c r="BS409" s="87"/>
    </row>
    <row r="410" ht="22.5" customHeight="1">
      <c r="A410" s="154"/>
      <c r="B410" s="83"/>
      <c r="C410" s="151"/>
      <c r="D410" s="83"/>
      <c r="E410" s="151"/>
      <c r="F410" s="83"/>
      <c r="G410" s="85"/>
      <c r="H410" s="86"/>
      <c r="I410" s="87"/>
      <c r="J410" s="86"/>
      <c r="K410" s="88"/>
      <c r="L410" s="86"/>
      <c r="M410" s="88"/>
      <c r="N410" s="86"/>
      <c r="O410" s="88"/>
      <c r="P410" s="86"/>
      <c r="Q410" s="88"/>
      <c r="R410" s="86"/>
      <c r="S410" s="88"/>
      <c r="T410" s="86"/>
      <c r="U410" s="88"/>
      <c r="V410" s="86"/>
      <c r="W410" s="88"/>
      <c r="X410" s="86"/>
      <c r="Y410" s="88"/>
      <c r="Z410" s="86"/>
      <c r="AA410" s="88"/>
      <c r="AB410" s="86"/>
      <c r="AC410" s="88"/>
      <c r="AD410" s="86"/>
      <c r="AE410" s="88"/>
      <c r="AF410" s="86"/>
      <c r="AG410" s="88"/>
      <c r="AH410" s="86"/>
      <c r="AI410" s="88"/>
      <c r="AJ410" s="86"/>
      <c r="AK410" s="88"/>
      <c r="AL410" s="86"/>
      <c r="AM410" s="88"/>
      <c r="AN410" s="86"/>
      <c r="AO410" s="88"/>
      <c r="AP410" s="86"/>
      <c r="AQ410" s="88"/>
      <c r="AR410" s="86"/>
      <c r="AS410" s="88"/>
      <c r="AT410" s="86"/>
      <c r="AU410" s="88"/>
      <c r="AV410" s="86"/>
      <c r="AW410" s="88"/>
      <c r="AX410" s="86"/>
      <c r="AY410" s="88"/>
      <c r="AZ410" s="86"/>
      <c r="BA410" s="88"/>
      <c r="BB410" s="86"/>
      <c r="BC410" s="88"/>
      <c r="BD410" s="86"/>
      <c r="BE410" s="88"/>
      <c r="BF410" s="86"/>
      <c r="BG410" s="88"/>
      <c r="BH410" s="86"/>
      <c r="BI410" s="88"/>
      <c r="BJ410" s="86"/>
      <c r="BK410" s="88"/>
      <c r="BL410" s="86"/>
      <c r="BM410" s="88"/>
      <c r="BN410" s="86"/>
      <c r="BO410" s="88"/>
      <c r="BP410" s="86"/>
      <c r="BQ410" s="88"/>
      <c r="BR410" s="86"/>
      <c r="BS410" s="87"/>
    </row>
    <row r="411" ht="22.5" customHeight="1">
      <c r="A411" s="154"/>
      <c r="B411" s="83"/>
      <c r="C411" s="151"/>
      <c r="D411" s="83"/>
      <c r="E411" s="151"/>
      <c r="F411" s="83"/>
      <c r="G411" s="85"/>
      <c r="H411" s="86"/>
      <c r="I411" s="87"/>
      <c r="J411" s="86"/>
      <c r="K411" s="88"/>
      <c r="L411" s="86"/>
      <c r="M411" s="88"/>
      <c r="N411" s="86"/>
      <c r="O411" s="88"/>
      <c r="P411" s="86"/>
      <c r="Q411" s="88"/>
      <c r="R411" s="86"/>
      <c r="S411" s="88"/>
      <c r="T411" s="86"/>
      <c r="U411" s="88"/>
      <c r="V411" s="86"/>
      <c r="W411" s="88"/>
      <c r="X411" s="86"/>
      <c r="Y411" s="88"/>
      <c r="Z411" s="86"/>
      <c r="AA411" s="88"/>
      <c r="AB411" s="86"/>
      <c r="AC411" s="88"/>
      <c r="AD411" s="86"/>
      <c r="AE411" s="88"/>
      <c r="AF411" s="86"/>
      <c r="AG411" s="88"/>
      <c r="AH411" s="86"/>
      <c r="AI411" s="88"/>
      <c r="AJ411" s="86"/>
      <c r="AK411" s="88"/>
      <c r="AL411" s="86"/>
      <c r="AM411" s="88"/>
      <c r="AN411" s="86"/>
      <c r="AO411" s="88"/>
      <c r="AP411" s="86"/>
      <c r="AQ411" s="88"/>
      <c r="AR411" s="86"/>
      <c r="AS411" s="88"/>
      <c r="AT411" s="86"/>
      <c r="AU411" s="88"/>
      <c r="AV411" s="86"/>
      <c r="AW411" s="88"/>
      <c r="AX411" s="86"/>
      <c r="AY411" s="88"/>
      <c r="AZ411" s="86"/>
      <c r="BA411" s="88"/>
      <c r="BB411" s="86"/>
      <c r="BC411" s="88"/>
      <c r="BD411" s="86"/>
      <c r="BE411" s="88"/>
      <c r="BF411" s="86"/>
      <c r="BG411" s="88"/>
      <c r="BH411" s="86"/>
      <c r="BI411" s="88"/>
      <c r="BJ411" s="86"/>
      <c r="BK411" s="88"/>
      <c r="BL411" s="86"/>
      <c r="BM411" s="88"/>
      <c r="BN411" s="86"/>
      <c r="BO411" s="88"/>
      <c r="BP411" s="86"/>
      <c r="BQ411" s="88"/>
      <c r="BR411" s="86"/>
      <c r="BS411" s="87"/>
    </row>
    <row r="412" ht="22.5" customHeight="1">
      <c r="A412" s="154"/>
      <c r="B412" s="83"/>
      <c r="C412" s="151"/>
      <c r="D412" s="83"/>
      <c r="E412" s="151"/>
      <c r="F412" s="83"/>
      <c r="G412" s="85"/>
      <c r="H412" s="86"/>
      <c r="I412" s="87"/>
      <c r="J412" s="86"/>
      <c r="K412" s="88"/>
      <c r="L412" s="86"/>
      <c r="M412" s="88"/>
      <c r="N412" s="86"/>
      <c r="O412" s="88"/>
      <c r="P412" s="86"/>
      <c r="Q412" s="88"/>
      <c r="R412" s="86"/>
      <c r="S412" s="88"/>
      <c r="T412" s="86"/>
      <c r="U412" s="88"/>
      <c r="V412" s="86"/>
      <c r="W412" s="88"/>
      <c r="X412" s="86"/>
      <c r="Y412" s="88"/>
      <c r="Z412" s="86"/>
      <c r="AA412" s="88"/>
      <c r="AB412" s="86"/>
      <c r="AC412" s="88"/>
      <c r="AD412" s="86"/>
      <c r="AE412" s="88"/>
      <c r="AF412" s="86"/>
      <c r="AG412" s="88"/>
      <c r="AH412" s="86"/>
      <c r="AI412" s="88"/>
      <c r="AJ412" s="86"/>
      <c r="AK412" s="88"/>
      <c r="AL412" s="86"/>
      <c r="AM412" s="88"/>
      <c r="AN412" s="86"/>
      <c r="AO412" s="88"/>
      <c r="AP412" s="86"/>
      <c r="AQ412" s="88"/>
      <c r="AR412" s="86"/>
      <c r="AS412" s="88"/>
      <c r="AT412" s="86"/>
      <c r="AU412" s="88"/>
      <c r="AV412" s="86"/>
      <c r="AW412" s="88"/>
      <c r="AX412" s="86"/>
      <c r="AY412" s="88"/>
      <c r="AZ412" s="86"/>
      <c r="BA412" s="88"/>
      <c r="BB412" s="86"/>
      <c r="BC412" s="88"/>
      <c r="BD412" s="86"/>
      <c r="BE412" s="88"/>
      <c r="BF412" s="86"/>
      <c r="BG412" s="88"/>
      <c r="BH412" s="86"/>
      <c r="BI412" s="88"/>
      <c r="BJ412" s="86"/>
      <c r="BK412" s="88"/>
      <c r="BL412" s="86"/>
      <c r="BM412" s="88"/>
      <c r="BN412" s="86"/>
      <c r="BO412" s="88"/>
      <c r="BP412" s="86"/>
      <c r="BQ412" s="88"/>
      <c r="BR412" s="86"/>
      <c r="BS412" s="87"/>
    </row>
    <row r="413" ht="22.5" customHeight="1">
      <c r="A413" s="154"/>
      <c r="B413" s="83"/>
      <c r="C413" s="151"/>
      <c r="D413" s="83"/>
      <c r="E413" s="151"/>
      <c r="F413" s="83"/>
      <c r="G413" s="85"/>
      <c r="H413" s="86"/>
      <c r="I413" s="87"/>
      <c r="J413" s="86"/>
      <c r="K413" s="88"/>
      <c r="L413" s="86"/>
      <c r="M413" s="88"/>
      <c r="N413" s="86"/>
      <c r="O413" s="88"/>
      <c r="P413" s="86"/>
      <c r="Q413" s="88"/>
      <c r="R413" s="86"/>
      <c r="S413" s="88"/>
      <c r="T413" s="86"/>
      <c r="U413" s="88"/>
      <c r="V413" s="86"/>
      <c r="W413" s="88"/>
      <c r="X413" s="86"/>
      <c r="Y413" s="88"/>
      <c r="Z413" s="86"/>
      <c r="AA413" s="88"/>
      <c r="AB413" s="86"/>
      <c r="AC413" s="88"/>
      <c r="AD413" s="86"/>
      <c r="AE413" s="88"/>
      <c r="AF413" s="86"/>
      <c r="AG413" s="88"/>
      <c r="AH413" s="86"/>
      <c r="AI413" s="88"/>
      <c r="AJ413" s="86"/>
      <c r="AK413" s="88"/>
      <c r="AL413" s="86"/>
      <c r="AM413" s="88"/>
      <c r="AN413" s="86"/>
      <c r="AO413" s="88"/>
      <c r="AP413" s="86"/>
      <c r="AQ413" s="88"/>
      <c r="AR413" s="86"/>
      <c r="AS413" s="88"/>
      <c r="AT413" s="86"/>
      <c r="AU413" s="88"/>
      <c r="AV413" s="86"/>
      <c r="AW413" s="88"/>
      <c r="AX413" s="86"/>
      <c r="AY413" s="88"/>
      <c r="AZ413" s="86"/>
      <c r="BA413" s="88"/>
      <c r="BB413" s="86"/>
      <c r="BC413" s="88"/>
      <c r="BD413" s="86"/>
      <c r="BE413" s="88"/>
      <c r="BF413" s="86"/>
      <c r="BG413" s="88"/>
      <c r="BH413" s="86"/>
      <c r="BI413" s="88"/>
      <c r="BJ413" s="86"/>
      <c r="BK413" s="88"/>
      <c r="BL413" s="86"/>
      <c r="BM413" s="88"/>
      <c r="BN413" s="86"/>
      <c r="BO413" s="88"/>
      <c r="BP413" s="86"/>
      <c r="BQ413" s="88"/>
      <c r="BR413" s="86"/>
      <c r="BS413" s="87"/>
    </row>
    <row r="414" ht="22.5" customHeight="1">
      <c r="A414" s="154"/>
      <c r="B414" s="83"/>
      <c r="C414" s="151"/>
      <c r="D414" s="83"/>
      <c r="E414" s="151"/>
      <c r="F414" s="83"/>
      <c r="G414" s="85"/>
      <c r="H414" s="86"/>
      <c r="I414" s="87"/>
      <c r="J414" s="86"/>
      <c r="K414" s="88"/>
      <c r="L414" s="86"/>
      <c r="M414" s="88"/>
      <c r="N414" s="86"/>
      <c r="O414" s="88"/>
      <c r="P414" s="86"/>
      <c r="Q414" s="88"/>
      <c r="R414" s="86"/>
      <c r="S414" s="88"/>
      <c r="T414" s="86"/>
      <c r="U414" s="88"/>
      <c r="V414" s="86"/>
      <c r="W414" s="88"/>
      <c r="X414" s="86"/>
      <c r="Y414" s="88"/>
      <c r="Z414" s="86"/>
      <c r="AA414" s="88"/>
      <c r="AB414" s="86"/>
      <c r="AC414" s="88"/>
      <c r="AD414" s="86"/>
      <c r="AE414" s="88"/>
      <c r="AF414" s="86"/>
      <c r="AG414" s="88"/>
      <c r="AH414" s="86"/>
      <c r="AI414" s="88"/>
      <c r="AJ414" s="86"/>
      <c r="AK414" s="88"/>
      <c r="AL414" s="86"/>
      <c r="AM414" s="88"/>
      <c r="AN414" s="86"/>
      <c r="AO414" s="88"/>
      <c r="AP414" s="86"/>
      <c r="AQ414" s="88"/>
      <c r="AR414" s="86"/>
      <c r="AS414" s="88"/>
      <c r="AT414" s="86"/>
      <c r="AU414" s="88"/>
      <c r="AV414" s="86"/>
      <c r="AW414" s="88"/>
      <c r="AX414" s="86"/>
      <c r="AY414" s="88"/>
      <c r="AZ414" s="86"/>
      <c r="BA414" s="88"/>
      <c r="BB414" s="86"/>
      <c r="BC414" s="88"/>
      <c r="BD414" s="86"/>
      <c r="BE414" s="88"/>
      <c r="BF414" s="86"/>
      <c r="BG414" s="88"/>
      <c r="BH414" s="86"/>
      <c r="BI414" s="88"/>
      <c r="BJ414" s="86"/>
      <c r="BK414" s="88"/>
      <c r="BL414" s="86"/>
      <c r="BM414" s="88"/>
      <c r="BN414" s="86"/>
      <c r="BO414" s="88"/>
      <c r="BP414" s="86"/>
      <c r="BQ414" s="88"/>
      <c r="BR414" s="86"/>
      <c r="BS414" s="87"/>
    </row>
    <row r="415" ht="22.5" customHeight="1">
      <c r="A415" s="154"/>
      <c r="B415" s="83"/>
      <c r="C415" s="151"/>
      <c r="D415" s="83"/>
      <c r="E415" s="151"/>
      <c r="F415" s="83"/>
      <c r="G415" s="85"/>
      <c r="H415" s="86"/>
      <c r="I415" s="87"/>
      <c r="J415" s="86"/>
      <c r="K415" s="88"/>
      <c r="L415" s="86"/>
      <c r="M415" s="88"/>
      <c r="N415" s="86"/>
      <c r="O415" s="88"/>
      <c r="P415" s="86"/>
      <c r="Q415" s="88"/>
      <c r="R415" s="86"/>
      <c r="S415" s="88"/>
      <c r="T415" s="86"/>
      <c r="U415" s="88"/>
      <c r="V415" s="86"/>
      <c r="W415" s="88"/>
      <c r="X415" s="86"/>
      <c r="Y415" s="88"/>
      <c r="Z415" s="86"/>
      <c r="AA415" s="88"/>
      <c r="AB415" s="86"/>
      <c r="AC415" s="88"/>
      <c r="AD415" s="86"/>
      <c r="AE415" s="88"/>
      <c r="AF415" s="86"/>
      <c r="AG415" s="88"/>
      <c r="AH415" s="86"/>
      <c r="AI415" s="88"/>
      <c r="AJ415" s="86"/>
      <c r="AK415" s="88"/>
      <c r="AL415" s="86"/>
      <c r="AM415" s="88"/>
      <c r="AN415" s="86"/>
      <c r="AO415" s="88"/>
      <c r="AP415" s="86"/>
      <c r="AQ415" s="88"/>
      <c r="AR415" s="86"/>
      <c r="AS415" s="88"/>
      <c r="AT415" s="86"/>
      <c r="AU415" s="88"/>
      <c r="AV415" s="86"/>
      <c r="AW415" s="88"/>
      <c r="AX415" s="86"/>
      <c r="AY415" s="88"/>
      <c r="AZ415" s="86"/>
      <c r="BA415" s="88"/>
      <c r="BB415" s="86"/>
      <c r="BC415" s="88"/>
      <c r="BD415" s="86"/>
      <c r="BE415" s="88"/>
      <c r="BF415" s="86"/>
      <c r="BG415" s="88"/>
      <c r="BH415" s="86"/>
      <c r="BI415" s="88"/>
      <c r="BJ415" s="86"/>
      <c r="BK415" s="88"/>
      <c r="BL415" s="86"/>
      <c r="BM415" s="88"/>
      <c r="BN415" s="86"/>
      <c r="BO415" s="88"/>
      <c r="BP415" s="86"/>
      <c r="BQ415" s="88"/>
      <c r="BR415" s="86"/>
      <c r="BS415" s="87"/>
    </row>
    <row r="416" ht="22.5" customHeight="1">
      <c r="A416" s="154"/>
      <c r="B416" s="83"/>
      <c r="C416" s="151"/>
      <c r="D416" s="83"/>
      <c r="E416" s="151"/>
      <c r="F416" s="83"/>
      <c r="G416" s="85"/>
      <c r="H416" s="86"/>
      <c r="I416" s="87"/>
      <c r="J416" s="86"/>
      <c r="K416" s="88"/>
      <c r="L416" s="86"/>
      <c r="M416" s="88"/>
      <c r="N416" s="86"/>
      <c r="O416" s="88"/>
      <c r="P416" s="86"/>
      <c r="Q416" s="88"/>
      <c r="R416" s="86"/>
      <c r="S416" s="88"/>
      <c r="T416" s="86"/>
      <c r="U416" s="88"/>
      <c r="V416" s="86"/>
      <c r="W416" s="88"/>
      <c r="X416" s="86"/>
      <c r="Y416" s="88"/>
      <c r="Z416" s="86"/>
      <c r="AA416" s="88"/>
      <c r="AB416" s="86"/>
      <c r="AC416" s="88"/>
      <c r="AD416" s="86"/>
      <c r="AE416" s="88"/>
      <c r="AF416" s="86"/>
      <c r="AG416" s="88"/>
      <c r="AH416" s="86"/>
      <c r="AI416" s="88"/>
      <c r="AJ416" s="86"/>
      <c r="AK416" s="88"/>
      <c r="AL416" s="86"/>
      <c r="AM416" s="88"/>
      <c r="AN416" s="86"/>
      <c r="AO416" s="88"/>
      <c r="AP416" s="86"/>
      <c r="AQ416" s="88"/>
      <c r="AR416" s="86"/>
      <c r="AS416" s="88"/>
      <c r="AT416" s="86"/>
      <c r="AU416" s="88"/>
      <c r="AV416" s="86"/>
      <c r="AW416" s="88"/>
      <c r="AX416" s="86"/>
      <c r="AY416" s="88"/>
      <c r="AZ416" s="86"/>
      <c r="BA416" s="88"/>
      <c r="BB416" s="86"/>
      <c r="BC416" s="88"/>
      <c r="BD416" s="86"/>
      <c r="BE416" s="88"/>
      <c r="BF416" s="86"/>
      <c r="BG416" s="88"/>
      <c r="BH416" s="86"/>
      <c r="BI416" s="88"/>
      <c r="BJ416" s="86"/>
      <c r="BK416" s="88"/>
      <c r="BL416" s="86"/>
      <c r="BM416" s="88"/>
      <c r="BN416" s="86"/>
      <c r="BO416" s="88"/>
      <c r="BP416" s="86"/>
      <c r="BQ416" s="88"/>
      <c r="BR416" s="86"/>
      <c r="BS416" s="87"/>
    </row>
    <row r="417" ht="22.5" customHeight="1">
      <c r="A417" s="154"/>
      <c r="B417" s="83"/>
      <c r="C417" s="151"/>
      <c r="D417" s="83"/>
      <c r="E417" s="151"/>
      <c r="F417" s="83"/>
      <c r="G417" s="85"/>
      <c r="H417" s="86"/>
      <c r="I417" s="87"/>
      <c r="J417" s="86"/>
      <c r="K417" s="88"/>
      <c r="L417" s="86"/>
      <c r="M417" s="88"/>
      <c r="N417" s="86"/>
      <c r="O417" s="88"/>
      <c r="P417" s="86"/>
      <c r="Q417" s="88"/>
      <c r="R417" s="86"/>
      <c r="S417" s="88"/>
      <c r="T417" s="86"/>
      <c r="U417" s="88"/>
      <c r="V417" s="86"/>
      <c r="W417" s="88"/>
      <c r="X417" s="86"/>
      <c r="Y417" s="88"/>
      <c r="Z417" s="86"/>
      <c r="AA417" s="88"/>
      <c r="AB417" s="86"/>
      <c r="AC417" s="88"/>
      <c r="AD417" s="86"/>
      <c r="AE417" s="88"/>
      <c r="AF417" s="86"/>
      <c r="AG417" s="88"/>
      <c r="AH417" s="86"/>
      <c r="AI417" s="88"/>
      <c r="AJ417" s="86"/>
      <c r="AK417" s="88"/>
      <c r="AL417" s="86"/>
      <c r="AM417" s="88"/>
      <c r="AN417" s="86"/>
      <c r="AO417" s="88"/>
      <c r="AP417" s="86"/>
      <c r="AQ417" s="88"/>
      <c r="AR417" s="86"/>
      <c r="AS417" s="88"/>
      <c r="AT417" s="86"/>
      <c r="AU417" s="88"/>
      <c r="AV417" s="86"/>
      <c r="AW417" s="88"/>
      <c r="AX417" s="86"/>
      <c r="AY417" s="88"/>
      <c r="AZ417" s="86"/>
      <c r="BA417" s="88"/>
      <c r="BB417" s="86"/>
      <c r="BC417" s="88"/>
      <c r="BD417" s="86"/>
      <c r="BE417" s="88"/>
      <c r="BF417" s="86"/>
      <c r="BG417" s="88"/>
      <c r="BH417" s="86"/>
      <c r="BI417" s="88"/>
      <c r="BJ417" s="86"/>
      <c r="BK417" s="88"/>
      <c r="BL417" s="86"/>
      <c r="BM417" s="88"/>
      <c r="BN417" s="86"/>
      <c r="BO417" s="88"/>
      <c r="BP417" s="86"/>
      <c r="BQ417" s="88"/>
      <c r="BR417" s="86"/>
      <c r="BS417" s="87"/>
    </row>
    <row r="418" ht="22.5" customHeight="1">
      <c r="A418" s="154"/>
      <c r="B418" s="83"/>
      <c r="C418" s="151"/>
      <c r="D418" s="83"/>
      <c r="E418" s="151"/>
      <c r="F418" s="83"/>
      <c r="G418" s="85"/>
      <c r="H418" s="86"/>
      <c r="I418" s="87"/>
      <c r="J418" s="86"/>
      <c r="K418" s="88"/>
      <c r="L418" s="86"/>
      <c r="M418" s="88"/>
      <c r="N418" s="86"/>
      <c r="O418" s="88"/>
      <c r="P418" s="86"/>
      <c r="Q418" s="88"/>
      <c r="R418" s="86"/>
      <c r="S418" s="88"/>
      <c r="T418" s="86"/>
      <c r="U418" s="88"/>
      <c r="V418" s="86"/>
      <c r="W418" s="88"/>
      <c r="X418" s="86"/>
      <c r="Y418" s="88"/>
      <c r="Z418" s="86"/>
      <c r="AA418" s="88"/>
      <c r="AB418" s="86"/>
      <c r="AC418" s="88"/>
      <c r="AD418" s="86"/>
      <c r="AE418" s="88"/>
      <c r="AF418" s="86"/>
      <c r="AG418" s="88"/>
      <c r="AH418" s="86"/>
      <c r="AI418" s="88"/>
      <c r="AJ418" s="86"/>
      <c r="AK418" s="88"/>
      <c r="AL418" s="86"/>
      <c r="AM418" s="88"/>
      <c r="AN418" s="86"/>
      <c r="AO418" s="88"/>
      <c r="AP418" s="86"/>
      <c r="AQ418" s="88"/>
      <c r="AR418" s="86"/>
      <c r="AS418" s="88"/>
      <c r="AT418" s="86"/>
      <c r="AU418" s="88"/>
      <c r="AV418" s="86"/>
      <c r="AW418" s="88"/>
      <c r="AX418" s="86"/>
      <c r="AY418" s="88"/>
      <c r="AZ418" s="86"/>
      <c r="BA418" s="88"/>
      <c r="BB418" s="86"/>
      <c r="BC418" s="88"/>
      <c r="BD418" s="86"/>
      <c r="BE418" s="88"/>
      <c r="BF418" s="86"/>
      <c r="BG418" s="88"/>
      <c r="BH418" s="86"/>
      <c r="BI418" s="88"/>
      <c r="BJ418" s="86"/>
      <c r="BK418" s="88"/>
      <c r="BL418" s="86"/>
      <c r="BM418" s="88"/>
      <c r="BN418" s="86"/>
      <c r="BO418" s="88"/>
      <c r="BP418" s="86"/>
      <c r="BQ418" s="88"/>
      <c r="BR418" s="86"/>
      <c r="BS418" s="87"/>
    </row>
    <row r="419" ht="22.5" customHeight="1">
      <c r="A419" s="154"/>
      <c r="B419" s="83"/>
      <c r="C419" s="151"/>
      <c r="D419" s="83"/>
      <c r="E419" s="151"/>
      <c r="F419" s="83"/>
      <c r="G419" s="85"/>
      <c r="H419" s="86"/>
      <c r="I419" s="87"/>
      <c r="J419" s="86"/>
      <c r="K419" s="88"/>
      <c r="L419" s="86"/>
      <c r="M419" s="88"/>
      <c r="N419" s="86"/>
      <c r="O419" s="88"/>
      <c r="P419" s="86"/>
      <c r="Q419" s="88"/>
      <c r="R419" s="86"/>
      <c r="S419" s="88"/>
      <c r="T419" s="86"/>
      <c r="U419" s="88"/>
      <c r="V419" s="86"/>
      <c r="W419" s="88"/>
      <c r="X419" s="86"/>
      <c r="Y419" s="88"/>
      <c r="Z419" s="86"/>
      <c r="AA419" s="88"/>
      <c r="AB419" s="86"/>
      <c r="AC419" s="88"/>
      <c r="AD419" s="86"/>
      <c r="AE419" s="88"/>
      <c r="AF419" s="86"/>
      <c r="AG419" s="88"/>
      <c r="AH419" s="86"/>
      <c r="AI419" s="88"/>
      <c r="AJ419" s="86"/>
      <c r="AK419" s="88"/>
      <c r="AL419" s="86"/>
      <c r="AM419" s="88"/>
      <c r="AN419" s="86"/>
      <c r="AO419" s="88"/>
      <c r="AP419" s="86"/>
      <c r="AQ419" s="88"/>
      <c r="AR419" s="86"/>
      <c r="AS419" s="88"/>
      <c r="AT419" s="86"/>
      <c r="AU419" s="88"/>
      <c r="AV419" s="86"/>
      <c r="AW419" s="88"/>
      <c r="AX419" s="86"/>
      <c r="AY419" s="88"/>
      <c r="AZ419" s="86"/>
      <c r="BA419" s="88"/>
      <c r="BB419" s="86"/>
      <c r="BC419" s="88"/>
      <c r="BD419" s="86"/>
      <c r="BE419" s="88"/>
      <c r="BF419" s="86"/>
      <c r="BG419" s="88"/>
      <c r="BH419" s="86"/>
      <c r="BI419" s="88"/>
      <c r="BJ419" s="86"/>
      <c r="BK419" s="88"/>
      <c r="BL419" s="86"/>
      <c r="BM419" s="88"/>
      <c r="BN419" s="86"/>
      <c r="BO419" s="88"/>
      <c r="BP419" s="86"/>
      <c r="BQ419" s="88"/>
      <c r="BR419" s="86"/>
      <c r="BS419" s="87"/>
    </row>
    <row r="420" ht="22.5" customHeight="1">
      <c r="A420" s="154"/>
      <c r="B420" s="83"/>
      <c r="C420" s="151"/>
      <c r="D420" s="83"/>
      <c r="E420" s="151"/>
      <c r="F420" s="83"/>
      <c r="G420" s="85"/>
      <c r="H420" s="86"/>
      <c r="I420" s="87"/>
      <c r="J420" s="86"/>
      <c r="K420" s="88"/>
      <c r="L420" s="86"/>
      <c r="M420" s="88"/>
      <c r="N420" s="86"/>
      <c r="O420" s="88"/>
      <c r="P420" s="86"/>
      <c r="Q420" s="88"/>
      <c r="R420" s="86"/>
      <c r="S420" s="88"/>
      <c r="T420" s="86"/>
      <c r="U420" s="88"/>
      <c r="V420" s="86"/>
      <c r="W420" s="88"/>
      <c r="X420" s="86"/>
      <c r="Y420" s="88"/>
      <c r="Z420" s="86"/>
      <c r="AA420" s="88"/>
      <c r="AB420" s="86"/>
      <c r="AC420" s="88"/>
      <c r="AD420" s="86"/>
      <c r="AE420" s="88"/>
      <c r="AF420" s="86"/>
      <c r="AG420" s="88"/>
      <c r="AH420" s="86"/>
      <c r="AI420" s="88"/>
      <c r="AJ420" s="86"/>
      <c r="AK420" s="88"/>
      <c r="AL420" s="86"/>
      <c r="AM420" s="88"/>
      <c r="AN420" s="86"/>
      <c r="AO420" s="88"/>
      <c r="AP420" s="86"/>
      <c r="AQ420" s="88"/>
      <c r="AR420" s="86"/>
      <c r="AS420" s="88"/>
      <c r="AT420" s="86"/>
      <c r="AU420" s="88"/>
      <c r="AV420" s="86"/>
      <c r="AW420" s="88"/>
      <c r="AX420" s="86"/>
      <c r="AY420" s="88"/>
      <c r="AZ420" s="86"/>
      <c r="BA420" s="88"/>
      <c r="BB420" s="86"/>
      <c r="BC420" s="88"/>
      <c r="BD420" s="86"/>
      <c r="BE420" s="88"/>
      <c r="BF420" s="86"/>
      <c r="BG420" s="88"/>
      <c r="BH420" s="86"/>
      <c r="BI420" s="88"/>
      <c r="BJ420" s="86"/>
      <c r="BK420" s="88"/>
      <c r="BL420" s="86"/>
      <c r="BM420" s="88"/>
      <c r="BN420" s="86"/>
      <c r="BO420" s="88"/>
      <c r="BP420" s="86"/>
      <c r="BQ420" s="88"/>
      <c r="BR420" s="86"/>
      <c r="BS420" s="87"/>
    </row>
    <row r="421" ht="22.5" customHeight="1">
      <c r="A421" s="154"/>
      <c r="B421" s="83"/>
      <c r="C421" s="151"/>
      <c r="D421" s="83"/>
      <c r="E421" s="151"/>
      <c r="F421" s="83"/>
      <c r="G421" s="85"/>
      <c r="H421" s="86"/>
      <c r="I421" s="87"/>
      <c r="J421" s="86"/>
      <c r="K421" s="88"/>
      <c r="L421" s="86"/>
      <c r="M421" s="88"/>
      <c r="N421" s="86"/>
      <c r="O421" s="88"/>
      <c r="P421" s="86"/>
      <c r="Q421" s="88"/>
      <c r="R421" s="86"/>
      <c r="S421" s="88"/>
      <c r="T421" s="86"/>
      <c r="U421" s="88"/>
      <c r="V421" s="86"/>
      <c r="W421" s="88"/>
      <c r="X421" s="86"/>
      <c r="Y421" s="88"/>
      <c r="Z421" s="86"/>
      <c r="AA421" s="88"/>
      <c r="AB421" s="86"/>
      <c r="AC421" s="88"/>
      <c r="AD421" s="86"/>
      <c r="AE421" s="88"/>
      <c r="AF421" s="86"/>
      <c r="AG421" s="88"/>
      <c r="AH421" s="86"/>
      <c r="AI421" s="88"/>
      <c r="AJ421" s="86"/>
      <c r="AK421" s="88"/>
      <c r="AL421" s="86"/>
      <c r="AM421" s="88"/>
      <c r="AN421" s="86"/>
      <c r="AO421" s="88"/>
      <c r="AP421" s="86"/>
      <c r="AQ421" s="88"/>
      <c r="AR421" s="86"/>
      <c r="AS421" s="88"/>
      <c r="AT421" s="86"/>
      <c r="AU421" s="88"/>
      <c r="AV421" s="86"/>
      <c r="AW421" s="88"/>
      <c r="AX421" s="86"/>
      <c r="AY421" s="88"/>
      <c r="AZ421" s="86"/>
      <c r="BA421" s="88"/>
      <c r="BB421" s="86"/>
      <c r="BC421" s="88"/>
      <c r="BD421" s="86"/>
      <c r="BE421" s="88"/>
      <c r="BF421" s="86"/>
      <c r="BG421" s="88"/>
      <c r="BH421" s="86"/>
      <c r="BI421" s="88"/>
      <c r="BJ421" s="86"/>
      <c r="BK421" s="88"/>
      <c r="BL421" s="86"/>
      <c r="BM421" s="88"/>
      <c r="BN421" s="86"/>
      <c r="BO421" s="88"/>
      <c r="BP421" s="86"/>
      <c r="BQ421" s="88"/>
      <c r="BR421" s="86"/>
      <c r="BS421" s="87"/>
    </row>
    <row r="422" ht="22.5" customHeight="1">
      <c r="A422" s="154"/>
      <c r="B422" s="83"/>
      <c r="C422" s="151"/>
      <c r="D422" s="83"/>
      <c r="E422" s="151"/>
      <c r="F422" s="83"/>
      <c r="G422" s="85"/>
      <c r="H422" s="86"/>
      <c r="I422" s="87"/>
      <c r="J422" s="86"/>
      <c r="K422" s="88"/>
      <c r="L422" s="86"/>
      <c r="M422" s="88"/>
      <c r="N422" s="86"/>
      <c r="O422" s="88"/>
      <c r="P422" s="86"/>
      <c r="Q422" s="88"/>
      <c r="R422" s="86"/>
      <c r="S422" s="88"/>
      <c r="T422" s="86"/>
      <c r="U422" s="88"/>
      <c r="V422" s="86"/>
      <c r="W422" s="88"/>
      <c r="X422" s="86"/>
      <c r="Y422" s="88"/>
      <c r="Z422" s="86"/>
      <c r="AA422" s="88"/>
      <c r="AB422" s="86"/>
      <c r="AC422" s="88"/>
      <c r="AD422" s="86"/>
      <c r="AE422" s="88"/>
      <c r="AF422" s="86"/>
      <c r="AG422" s="88"/>
      <c r="AH422" s="86"/>
      <c r="AI422" s="88"/>
      <c r="AJ422" s="86"/>
      <c r="AK422" s="88"/>
      <c r="AL422" s="86"/>
      <c r="AM422" s="88"/>
      <c r="AN422" s="86"/>
      <c r="AO422" s="88"/>
      <c r="AP422" s="86"/>
      <c r="AQ422" s="88"/>
      <c r="AR422" s="86"/>
      <c r="AS422" s="88"/>
      <c r="AT422" s="86"/>
      <c r="AU422" s="88"/>
      <c r="AV422" s="86"/>
      <c r="AW422" s="88"/>
      <c r="AX422" s="86"/>
      <c r="AY422" s="88"/>
      <c r="AZ422" s="86"/>
      <c r="BA422" s="88"/>
      <c r="BB422" s="86"/>
      <c r="BC422" s="88"/>
      <c r="BD422" s="86"/>
      <c r="BE422" s="88"/>
      <c r="BF422" s="86"/>
      <c r="BG422" s="88"/>
      <c r="BH422" s="86"/>
      <c r="BI422" s="88"/>
      <c r="BJ422" s="86"/>
      <c r="BK422" s="88"/>
      <c r="BL422" s="86"/>
      <c r="BM422" s="88"/>
      <c r="BN422" s="86"/>
      <c r="BO422" s="88"/>
      <c r="BP422" s="86"/>
      <c r="BQ422" s="88"/>
      <c r="BR422" s="86"/>
      <c r="BS422" s="87"/>
    </row>
    <row r="423" ht="22.5" customHeight="1">
      <c r="A423" s="154"/>
      <c r="B423" s="83"/>
      <c r="C423" s="151"/>
      <c r="D423" s="83"/>
      <c r="E423" s="151"/>
      <c r="F423" s="83"/>
      <c r="G423" s="85"/>
      <c r="H423" s="86"/>
      <c r="I423" s="87"/>
      <c r="J423" s="86"/>
      <c r="K423" s="88"/>
      <c r="L423" s="86"/>
      <c r="M423" s="88"/>
      <c r="N423" s="86"/>
      <c r="O423" s="88"/>
      <c r="P423" s="86"/>
      <c r="Q423" s="88"/>
      <c r="R423" s="86"/>
      <c r="S423" s="88"/>
      <c r="T423" s="86"/>
      <c r="U423" s="88"/>
      <c r="V423" s="86"/>
      <c r="W423" s="88"/>
      <c r="X423" s="86"/>
      <c r="Y423" s="88"/>
      <c r="Z423" s="86"/>
      <c r="AA423" s="88"/>
      <c r="AB423" s="86"/>
      <c r="AC423" s="88"/>
      <c r="AD423" s="86"/>
      <c r="AE423" s="88"/>
      <c r="AF423" s="86"/>
      <c r="AG423" s="88"/>
      <c r="AH423" s="86"/>
      <c r="AI423" s="88"/>
      <c r="AJ423" s="86"/>
      <c r="AK423" s="88"/>
      <c r="AL423" s="86"/>
      <c r="AM423" s="88"/>
      <c r="AN423" s="86"/>
      <c r="AO423" s="88"/>
      <c r="AP423" s="86"/>
      <c r="AQ423" s="88"/>
      <c r="AR423" s="86"/>
      <c r="AS423" s="88"/>
      <c r="AT423" s="86"/>
      <c r="AU423" s="88"/>
      <c r="AV423" s="86"/>
      <c r="AW423" s="88"/>
      <c r="AX423" s="86"/>
      <c r="AY423" s="88"/>
      <c r="AZ423" s="86"/>
      <c r="BA423" s="88"/>
      <c r="BB423" s="86"/>
      <c r="BC423" s="88"/>
      <c r="BD423" s="86"/>
      <c r="BE423" s="88"/>
      <c r="BF423" s="86"/>
      <c r="BG423" s="88"/>
      <c r="BH423" s="86"/>
      <c r="BI423" s="88"/>
      <c r="BJ423" s="86"/>
      <c r="BK423" s="88"/>
      <c r="BL423" s="86"/>
      <c r="BM423" s="88"/>
      <c r="BN423" s="86"/>
      <c r="BO423" s="88"/>
      <c r="BP423" s="86"/>
      <c r="BQ423" s="88"/>
      <c r="BR423" s="86"/>
      <c r="BS423" s="87"/>
    </row>
    <row r="424" ht="22.5" customHeight="1">
      <c r="A424" s="154"/>
      <c r="B424" s="83"/>
      <c r="C424" s="151"/>
      <c r="D424" s="83"/>
      <c r="E424" s="151"/>
      <c r="F424" s="83"/>
      <c r="G424" s="85"/>
      <c r="H424" s="86"/>
      <c r="I424" s="87"/>
      <c r="J424" s="86"/>
      <c r="K424" s="88"/>
      <c r="L424" s="86"/>
      <c r="M424" s="88"/>
      <c r="N424" s="86"/>
      <c r="O424" s="88"/>
      <c r="P424" s="86"/>
      <c r="Q424" s="88"/>
      <c r="R424" s="86"/>
      <c r="S424" s="88"/>
      <c r="T424" s="86"/>
      <c r="U424" s="88"/>
      <c r="V424" s="86"/>
      <c r="W424" s="88"/>
      <c r="X424" s="86"/>
      <c r="Y424" s="88"/>
      <c r="Z424" s="86"/>
      <c r="AA424" s="88"/>
      <c r="AB424" s="86"/>
      <c r="AC424" s="88"/>
      <c r="AD424" s="86"/>
      <c r="AE424" s="88"/>
      <c r="AF424" s="86"/>
      <c r="AG424" s="88"/>
      <c r="AH424" s="86"/>
      <c r="AI424" s="88"/>
      <c r="AJ424" s="86"/>
      <c r="AK424" s="88"/>
      <c r="AL424" s="86"/>
      <c r="AM424" s="88"/>
      <c r="AN424" s="86"/>
      <c r="AO424" s="88"/>
      <c r="AP424" s="86"/>
      <c r="AQ424" s="88"/>
      <c r="AR424" s="86"/>
      <c r="AS424" s="88"/>
      <c r="AT424" s="86"/>
      <c r="AU424" s="88"/>
      <c r="AV424" s="86"/>
      <c r="AW424" s="88"/>
      <c r="AX424" s="86"/>
      <c r="AY424" s="88"/>
      <c r="AZ424" s="86"/>
      <c r="BA424" s="88"/>
      <c r="BB424" s="86"/>
      <c r="BC424" s="88"/>
      <c r="BD424" s="86"/>
      <c r="BE424" s="88"/>
      <c r="BF424" s="86"/>
      <c r="BG424" s="88"/>
      <c r="BH424" s="86"/>
      <c r="BI424" s="88"/>
      <c r="BJ424" s="86"/>
      <c r="BK424" s="88"/>
      <c r="BL424" s="86"/>
      <c r="BM424" s="88"/>
      <c r="BN424" s="86"/>
      <c r="BO424" s="88"/>
      <c r="BP424" s="86"/>
      <c r="BQ424" s="88"/>
      <c r="BR424" s="86"/>
      <c r="BS424" s="87"/>
    </row>
    <row r="425" ht="22.5" customHeight="1">
      <c r="A425" s="154"/>
      <c r="B425" s="83"/>
      <c r="C425" s="151"/>
      <c r="D425" s="83"/>
      <c r="E425" s="151"/>
      <c r="F425" s="83"/>
      <c r="G425" s="85"/>
      <c r="H425" s="86"/>
      <c r="I425" s="87"/>
      <c r="J425" s="86"/>
      <c r="K425" s="88"/>
      <c r="L425" s="86"/>
      <c r="M425" s="88"/>
      <c r="N425" s="86"/>
      <c r="O425" s="88"/>
      <c r="P425" s="86"/>
      <c r="Q425" s="88"/>
      <c r="R425" s="86"/>
      <c r="S425" s="88"/>
      <c r="T425" s="86"/>
      <c r="U425" s="88"/>
      <c r="V425" s="86"/>
      <c r="W425" s="88"/>
      <c r="X425" s="86"/>
      <c r="Y425" s="88"/>
      <c r="Z425" s="86"/>
      <c r="AA425" s="88"/>
      <c r="AB425" s="86"/>
      <c r="AC425" s="88"/>
      <c r="AD425" s="86"/>
      <c r="AE425" s="88"/>
      <c r="AF425" s="86"/>
      <c r="AG425" s="88"/>
      <c r="AH425" s="86"/>
      <c r="AI425" s="88"/>
      <c r="AJ425" s="86"/>
      <c r="AK425" s="88"/>
      <c r="AL425" s="86"/>
      <c r="AM425" s="88"/>
      <c r="AN425" s="86"/>
      <c r="AO425" s="88"/>
      <c r="AP425" s="86"/>
      <c r="AQ425" s="88"/>
      <c r="AR425" s="86"/>
      <c r="AS425" s="88"/>
      <c r="AT425" s="86"/>
      <c r="AU425" s="88"/>
      <c r="AV425" s="86"/>
      <c r="AW425" s="88"/>
      <c r="AX425" s="86"/>
      <c r="AY425" s="88"/>
      <c r="AZ425" s="86"/>
      <c r="BA425" s="88"/>
      <c r="BB425" s="86"/>
      <c r="BC425" s="88"/>
      <c r="BD425" s="86"/>
      <c r="BE425" s="88"/>
      <c r="BF425" s="86"/>
      <c r="BG425" s="88"/>
      <c r="BH425" s="86"/>
      <c r="BI425" s="88"/>
      <c r="BJ425" s="86"/>
      <c r="BK425" s="88"/>
      <c r="BL425" s="86"/>
      <c r="BM425" s="88"/>
      <c r="BN425" s="86"/>
      <c r="BO425" s="88"/>
      <c r="BP425" s="86"/>
      <c r="BQ425" s="88"/>
      <c r="BR425" s="86"/>
      <c r="BS425" s="87"/>
    </row>
    <row r="426" ht="22.5" customHeight="1">
      <c r="A426" s="154"/>
      <c r="B426" s="83"/>
      <c r="C426" s="151"/>
      <c r="D426" s="83"/>
      <c r="E426" s="151"/>
      <c r="F426" s="83"/>
      <c r="G426" s="85"/>
      <c r="H426" s="86"/>
      <c r="I426" s="87"/>
      <c r="J426" s="86"/>
      <c r="K426" s="88"/>
      <c r="L426" s="86"/>
      <c r="M426" s="88"/>
      <c r="N426" s="86"/>
      <c r="O426" s="88"/>
      <c r="P426" s="86"/>
      <c r="Q426" s="88"/>
      <c r="R426" s="86"/>
      <c r="S426" s="88"/>
      <c r="T426" s="86"/>
      <c r="U426" s="88"/>
      <c r="V426" s="86"/>
      <c r="W426" s="88"/>
      <c r="X426" s="86"/>
      <c r="Y426" s="88"/>
      <c r="Z426" s="86"/>
      <c r="AA426" s="88"/>
      <c r="AB426" s="86"/>
      <c r="AC426" s="88"/>
      <c r="AD426" s="86"/>
      <c r="AE426" s="88"/>
      <c r="AF426" s="86"/>
      <c r="AG426" s="88"/>
      <c r="AH426" s="86"/>
      <c r="AI426" s="88"/>
      <c r="AJ426" s="86"/>
      <c r="AK426" s="88"/>
      <c r="AL426" s="86"/>
      <c r="AM426" s="88"/>
      <c r="AN426" s="86"/>
      <c r="AO426" s="88"/>
      <c r="AP426" s="86"/>
      <c r="AQ426" s="88"/>
      <c r="AR426" s="86"/>
      <c r="AS426" s="88"/>
      <c r="AT426" s="86"/>
      <c r="AU426" s="88"/>
      <c r="AV426" s="86"/>
      <c r="AW426" s="88"/>
      <c r="AX426" s="86"/>
      <c r="AY426" s="88"/>
      <c r="AZ426" s="86"/>
      <c r="BA426" s="88"/>
      <c r="BB426" s="86"/>
      <c r="BC426" s="88"/>
      <c r="BD426" s="86"/>
      <c r="BE426" s="88"/>
      <c r="BF426" s="86"/>
      <c r="BG426" s="88"/>
      <c r="BH426" s="86"/>
      <c r="BI426" s="88"/>
      <c r="BJ426" s="86"/>
      <c r="BK426" s="88"/>
      <c r="BL426" s="86"/>
      <c r="BM426" s="88"/>
      <c r="BN426" s="86"/>
      <c r="BO426" s="88"/>
      <c r="BP426" s="86"/>
      <c r="BQ426" s="88"/>
      <c r="BR426" s="86"/>
      <c r="BS426" s="87"/>
    </row>
    <row r="427" ht="22.5" customHeight="1">
      <c r="A427" s="154"/>
      <c r="B427" s="83"/>
      <c r="C427" s="151"/>
      <c r="D427" s="83"/>
      <c r="E427" s="151"/>
      <c r="F427" s="83"/>
      <c r="G427" s="85"/>
      <c r="H427" s="86"/>
      <c r="I427" s="87"/>
      <c r="J427" s="86"/>
      <c r="K427" s="88"/>
      <c r="L427" s="86"/>
      <c r="M427" s="88"/>
      <c r="N427" s="86"/>
      <c r="O427" s="88"/>
      <c r="P427" s="86"/>
      <c r="Q427" s="88"/>
      <c r="R427" s="86"/>
      <c r="S427" s="88"/>
      <c r="T427" s="86"/>
      <c r="U427" s="88"/>
      <c r="V427" s="86"/>
      <c r="W427" s="88"/>
      <c r="X427" s="86"/>
      <c r="Y427" s="88"/>
      <c r="Z427" s="86"/>
      <c r="AA427" s="88"/>
      <c r="AB427" s="86"/>
      <c r="AC427" s="88"/>
      <c r="AD427" s="86"/>
      <c r="AE427" s="88"/>
      <c r="AF427" s="86"/>
      <c r="AG427" s="88"/>
      <c r="AH427" s="86"/>
      <c r="AI427" s="88"/>
      <c r="AJ427" s="86"/>
      <c r="AK427" s="88"/>
      <c r="AL427" s="86"/>
      <c r="AM427" s="88"/>
      <c r="AN427" s="86"/>
      <c r="AO427" s="88"/>
      <c r="AP427" s="86"/>
      <c r="AQ427" s="88"/>
      <c r="AR427" s="86"/>
      <c r="AS427" s="88"/>
      <c r="AT427" s="86"/>
      <c r="AU427" s="88"/>
      <c r="AV427" s="86"/>
      <c r="AW427" s="88"/>
      <c r="AX427" s="86"/>
      <c r="AY427" s="88"/>
      <c r="AZ427" s="86"/>
      <c r="BA427" s="88"/>
      <c r="BB427" s="86"/>
      <c r="BC427" s="88"/>
      <c r="BD427" s="86"/>
      <c r="BE427" s="88"/>
      <c r="BF427" s="86"/>
      <c r="BG427" s="88"/>
      <c r="BH427" s="86"/>
      <c r="BI427" s="88"/>
      <c r="BJ427" s="86"/>
      <c r="BK427" s="88"/>
      <c r="BL427" s="86"/>
      <c r="BM427" s="88"/>
      <c r="BN427" s="86"/>
      <c r="BO427" s="88"/>
      <c r="BP427" s="86"/>
      <c r="BQ427" s="88"/>
      <c r="BR427" s="86"/>
      <c r="BS427" s="87"/>
    </row>
    <row r="428" ht="22.5" customHeight="1">
      <c r="A428" s="154"/>
      <c r="B428" s="83"/>
      <c r="C428" s="151"/>
      <c r="D428" s="83"/>
      <c r="E428" s="151"/>
      <c r="F428" s="83"/>
      <c r="G428" s="85"/>
      <c r="H428" s="86"/>
      <c r="I428" s="87"/>
      <c r="J428" s="86"/>
      <c r="K428" s="88"/>
      <c r="L428" s="86"/>
      <c r="M428" s="88"/>
      <c r="N428" s="86"/>
      <c r="O428" s="88"/>
      <c r="P428" s="86"/>
      <c r="Q428" s="88"/>
      <c r="R428" s="86"/>
      <c r="S428" s="88"/>
      <c r="T428" s="86"/>
      <c r="U428" s="88"/>
      <c r="V428" s="86"/>
      <c r="W428" s="88"/>
      <c r="X428" s="86"/>
      <c r="Y428" s="88"/>
      <c r="Z428" s="86"/>
      <c r="AA428" s="88"/>
      <c r="AB428" s="86"/>
      <c r="AC428" s="88"/>
      <c r="AD428" s="86"/>
      <c r="AE428" s="88"/>
      <c r="AF428" s="86"/>
      <c r="AG428" s="88"/>
      <c r="AH428" s="86"/>
      <c r="AI428" s="88"/>
      <c r="AJ428" s="86"/>
      <c r="AK428" s="88"/>
      <c r="AL428" s="86"/>
      <c r="AM428" s="88"/>
      <c r="AN428" s="86"/>
      <c r="AO428" s="88"/>
      <c r="AP428" s="86"/>
      <c r="AQ428" s="88"/>
      <c r="AR428" s="86"/>
      <c r="AS428" s="88"/>
      <c r="AT428" s="86"/>
      <c r="AU428" s="88"/>
      <c r="AV428" s="86"/>
      <c r="AW428" s="88"/>
      <c r="AX428" s="86"/>
      <c r="AY428" s="88"/>
      <c r="AZ428" s="86"/>
      <c r="BA428" s="88"/>
      <c r="BB428" s="86"/>
      <c r="BC428" s="88"/>
      <c r="BD428" s="86"/>
      <c r="BE428" s="88"/>
      <c r="BF428" s="86"/>
      <c r="BG428" s="88"/>
      <c r="BH428" s="86"/>
      <c r="BI428" s="88"/>
      <c r="BJ428" s="86"/>
      <c r="BK428" s="88"/>
      <c r="BL428" s="86"/>
      <c r="BM428" s="88"/>
      <c r="BN428" s="86"/>
      <c r="BO428" s="88"/>
      <c r="BP428" s="86"/>
      <c r="BQ428" s="88"/>
      <c r="BR428" s="86"/>
      <c r="BS428" s="87"/>
    </row>
    <row r="429" ht="22.5" customHeight="1">
      <c r="A429" s="154"/>
      <c r="B429" s="83"/>
      <c r="C429" s="151"/>
      <c r="D429" s="83"/>
      <c r="E429" s="151"/>
      <c r="F429" s="83"/>
      <c r="G429" s="85"/>
      <c r="H429" s="86"/>
      <c r="I429" s="87"/>
      <c r="J429" s="86"/>
      <c r="K429" s="88"/>
      <c r="L429" s="86"/>
      <c r="M429" s="88"/>
      <c r="N429" s="86"/>
      <c r="O429" s="88"/>
      <c r="P429" s="86"/>
      <c r="Q429" s="88"/>
      <c r="R429" s="86"/>
      <c r="S429" s="88"/>
      <c r="T429" s="86"/>
      <c r="U429" s="88"/>
      <c r="V429" s="86"/>
      <c r="W429" s="88"/>
      <c r="X429" s="86"/>
      <c r="Y429" s="88"/>
      <c r="Z429" s="86"/>
      <c r="AA429" s="88"/>
      <c r="AB429" s="86"/>
      <c r="AC429" s="88"/>
      <c r="AD429" s="86"/>
      <c r="AE429" s="88"/>
      <c r="AF429" s="86"/>
      <c r="AG429" s="88"/>
      <c r="AH429" s="86"/>
      <c r="AI429" s="88"/>
      <c r="AJ429" s="86"/>
      <c r="AK429" s="88"/>
      <c r="AL429" s="86"/>
      <c r="AM429" s="88"/>
      <c r="AN429" s="86"/>
      <c r="AO429" s="88"/>
      <c r="AP429" s="86"/>
      <c r="AQ429" s="88"/>
      <c r="AR429" s="86"/>
      <c r="AS429" s="88"/>
      <c r="AT429" s="86"/>
      <c r="AU429" s="88"/>
      <c r="AV429" s="86"/>
      <c r="AW429" s="88"/>
      <c r="AX429" s="86"/>
      <c r="AY429" s="88"/>
      <c r="AZ429" s="86"/>
      <c r="BA429" s="88"/>
      <c r="BB429" s="86"/>
      <c r="BC429" s="88"/>
      <c r="BD429" s="86"/>
      <c r="BE429" s="88"/>
      <c r="BF429" s="86"/>
      <c r="BG429" s="88"/>
      <c r="BH429" s="86"/>
      <c r="BI429" s="88"/>
      <c r="BJ429" s="86"/>
      <c r="BK429" s="88"/>
      <c r="BL429" s="86"/>
      <c r="BM429" s="88"/>
      <c r="BN429" s="86"/>
      <c r="BO429" s="88"/>
      <c r="BP429" s="86"/>
      <c r="BQ429" s="88"/>
      <c r="BR429" s="86"/>
      <c r="BS429" s="87"/>
    </row>
    <row r="430" ht="22.5" customHeight="1">
      <c r="A430" s="154"/>
      <c r="B430" s="83"/>
      <c r="C430" s="151"/>
      <c r="D430" s="83"/>
      <c r="E430" s="151"/>
      <c r="F430" s="83"/>
      <c r="G430" s="85"/>
      <c r="H430" s="86"/>
      <c r="I430" s="87"/>
      <c r="J430" s="86"/>
      <c r="K430" s="88"/>
      <c r="L430" s="86"/>
      <c r="M430" s="88"/>
      <c r="N430" s="86"/>
      <c r="O430" s="88"/>
      <c r="P430" s="86"/>
      <c r="Q430" s="88"/>
      <c r="R430" s="86"/>
      <c r="S430" s="88"/>
      <c r="T430" s="86"/>
      <c r="U430" s="88"/>
      <c r="V430" s="86"/>
      <c r="W430" s="88"/>
      <c r="X430" s="86"/>
      <c r="Y430" s="88"/>
      <c r="Z430" s="86"/>
      <c r="AA430" s="88"/>
      <c r="AB430" s="86"/>
      <c r="AC430" s="88"/>
      <c r="AD430" s="86"/>
      <c r="AE430" s="88"/>
      <c r="AF430" s="86"/>
      <c r="AG430" s="88"/>
      <c r="AH430" s="86"/>
      <c r="AI430" s="88"/>
      <c r="AJ430" s="86"/>
      <c r="AK430" s="88"/>
      <c r="AL430" s="86"/>
      <c r="AM430" s="88"/>
      <c r="AN430" s="86"/>
      <c r="AO430" s="88"/>
      <c r="AP430" s="86"/>
      <c r="AQ430" s="88"/>
      <c r="AR430" s="86"/>
      <c r="AS430" s="88"/>
      <c r="AT430" s="86"/>
      <c r="AU430" s="88"/>
      <c r="AV430" s="86"/>
      <c r="AW430" s="88"/>
      <c r="AX430" s="86"/>
      <c r="AY430" s="88"/>
      <c r="AZ430" s="86"/>
      <c r="BA430" s="88"/>
      <c r="BB430" s="86"/>
      <c r="BC430" s="88"/>
      <c r="BD430" s="86"/>
      <c r="BE430" s="88"/>
      <c r="BF430" s="86"/>
      <c r="BG430" s="88"/>
      <c r="BH430" s="86"/>
      <c r="BI430" s="88"/>
      <c r="BJ430" s="86"/>
      <c r="BK430" s="88"/>
      <c r="BL430" s="86"/>
      <c r="BM430" s="88"/>
      <c r="BN430" s="86"/>
      <c r="BO430" s="88"/>
      <c r="BP430" s="86"/>
      <c r="BQ430" s="88"/>
      <c r="BR430" s="86"/>
      <c r="BS430" s="87"/>
    </row>
    <row r="431" ht="22.5" customHeight="1">
      <c r="A431" s="154"/>
      <c r="B431" s="83"/>
      <c r="C431" s="151"/>
      <c r="D431" s="83"/>
      <c r="E431" s="151"/>
      <c r="F431" s="83"/>
      <c r="G431" s="85"/>
      <c r="H431" s="86"/>
      <c r="I431" s="87"/>
      <c r="J431" s="86"/>
      <c r="K431" s="88"/>
      <c r="L431" s="86"/>
      <c r="M431" s="88"/>
      <c r="N431" s="86"/>
      <c r="O431" s="88"/>
      <c r="P431" s="86"/>
      <c r="Q431" s="88"/>
      <c r="R431" s="86"/>
      <c r="S431" s="88"/>
      <c r="T431" s="86"/>
      <c r="U431" s="88"/>
      <c r="V431" s="86"/>
      <c r="W431" s="88"/>
      <c r="X431" s="86"/>
      <c r="Y431" s="88"/>
      <c r="Z431" s="86"/>
      <c r="AA431" s="88"/>
      <c r="AB431" s="86"/>
      <c r="AC431" s="88"/>
      <c r="AD431" s="86"/>
      <c r="AE431" s="88"/>
      <c r="AF431" s="86"/>
      <c r="AG431" s="88"/>
      <c r="AH431" s="86"/>
      <c r="AI431" s="88"/>
      <c r="AJ431" s="86"/>
      <c r="AK431" s="88"/>
      <c r="AL431" s="86"/>
      <c r="AM431" s="88"/>
      <c r="AN431" s="86"/>
      <c r="AO431" s="88"/>
      <c r="AP431" s="86"/>
      <c r="AQ431" s="88"/>
      <c r="AR431" s="86"/>
      <c r="AS431" s="88"/>
      <c r="AT431" s="86"/>
      <c r="AU431" s="88"/>
      <c r="AV431" s="86"/>
      <c r="AW431" s="88"/>
      <c r="AX431" s="86"/>
      <c r="AY431" s="88"/>
      <c r="AZ431" s="86"/>
      <c r="BA431" s="88"/>
      <c r="BB431" s="86"/>
      <c r="BC431" s="88"/>
      <c r="BD431" s="86"/>
      <c r="BE431" s="88"/>
      <c r="BF431" s="86"/>
      <c r="BG431" s="88"/>
      <c r="BH431" s="86"/>
      <c r="BI431" s="88"/>
      <c r="BJ431" s="86"/>
      <c r="BK431" s="88"/>
      <c r="BL431" s="86"/>
      <c r="BM431" s="88"/>
      <c r="BN431" s="86"/>
      <c r="BO431" s="88"/>
      <c r="BP431" s="86"/>
      <c r="BQ431" s="88"/>
      <c r="BR431" s="86"/>
      <c r="BS431" s="87"/>
    </row>
    <row r="432" ht="22.5" customHeight="1">
      <c r="A432" s="154"/>
      <c r="B432" s="83"/>
      <c r="C432" s="151"/>
      <c r="D432" s="83"/>
      <c r="E432" s="151"/>
      <c r="F432" s="83"/>
      <c r="G432" s="85"/>
      <c r="H432" s="86"/>
      <c r="I432" s="87"/>
      <c r="J432" s="86"/>
      <c r="K432" s="88"/>
      <c r="L432" s="86"/>
      <c r="M432" s="88"/>
      <c r="N432" s="86"/>
      <c r="O432" s="88"/>
      <c r="P432" s="86"/>
      <c r="Q432" s="88"/>
      <c r="R432" s="86"/>
      <c r="S432" s="88"/>
      <c r="T432" s="86"/>
      <c r="U432" s="88"/>
      <c r="V432" s="86"/>
      <c r="W432" s="88"/>
      <c r="X432" s="86"/>
      <c r="Y432" s="88"/>
      <c r="Z432" s="86"/>
      <c r="AA432" s="88"/>
      <c r="AB432" s="86"/>
      <c r="AC432" s="88"/>
      <c r="AD432" s="86"/>
      <c r="AE432" s="88"/>
      <c r="AF432" s="86"/>
      <c r="AG432" s="88"/>
      <c r="AH432" s="86"/>
      <c r="AI432" s="88"/>
      <c r="AJ432" s="86"/>
      <c r="AK432" s="88"/>
      <c r="AL432" s="86"/>
      <c r="AM432" s="88"/>
      <c r="AN432" s="86"/>
      <c r="AO432" s="88"/>
      <c r="AP432" s="86"/>
      <c r="AQ432" s="88"/>
      <c r="AR432" s="86"/>
      <c r="AS432" s="88"/>
      <c r="AT432" s="86"/>
      <c r="AU432" s="88"/>
      <c r="AV432" s="86"/>
      <c r="AW432" s="88"/>
      <c r="AX432" s="86"/>
      <c r="AY432" s="88"/>
      <c r="AZ432" s="86"/>
      <c r="BA432" s="88"/>
      <c r="BB432" s="86"/>
      <c r="BC432" s="88"/>
      <c r="BD432" s="86"/>
      <c r="BE432" s="88"/>
      <c r="BF432" s="86"/>
      <c r="BG432" s="88"/>
      <c r="BH432" s="86"/>
      <c r="BI432" s="88"/>
      <c r="BJ432" s="86"/>
      <c r="BK432" s="88"/>
      <c r="BL432" s="86"/>
      <c r="BM432" s="88"/>
      <c r="BN432" s="86"/>
      <c r="BO432" s="88"/>
      <c r="BP432" s="86"/>
      <c r="BQ432" s="88"/>
      <c r="BR432" s="86"/>
      <c r="BS432" s="87"/>
    </row>
    <row r="433" ht="22.5" customHeight="1">
      <c r="A433" s="154"/>
      <c r="B433" s="83"/>
      <c r="C433" s="151"/>
      <c r="D433" s="83"/>
      <c r="E433" s="151"/>
      <c r="F433" s="83"/>
      <c r="G433" s="85"/>
      <c r="H433" s="86"/>
      <c r="I433" s="87"/>
      <c r="J433" s="86"/>
      <c r="K433" s="88"/>
      <c r="L433" s="86"/>
      <c r="M433" s="88"/>
      <c r="N433" s="86"/>
      <c r="O433" s="88"/>
      <c r="P433" s="86"/>
      <c r="Q433" s="88"/>
      <c r="R433" s="86"/>
      <c r="S433" s="88"/>
      <c r="T433" s="86"/>
      <c r="U433" s="88"/>
      <c r="V433" s="86"/>
      <c r="W433" s="88"/>
      <c r="X433" s="86"/>
      <c r="Y433" s="88"/>
      <c r="Z433" s="86"/>
      <c r="AA433" s="88"/>
      <c r="AB433" s="86"/>
      <c r="AC433" s="88"/>
      <c r="AD433" s="86"/>
      <c r="AE433" s="88"/>
      <c r="AF433" s="86"/>
      <c r="AG433" s="88"/>
      <c r="AH433" s="86"/>
      <c r="AI433" s="88"/>
      <c r="AJ433" s="86"/>
      <c r="AK433" s="88"/>
      <c r="AL433" s="86"/>
      <c r="AM433" s="88"/>
      <c r="AN433" s="86"/>
      <c r="AO433" s="88"/>
      <c r="AP433" s="86"/>
      <c r="AQ433" s="88"/>
      <c r="AR433" s="86"/>
      <c r="AS433" s="88"/>
      <c r="AT433" s="86"/>
      <c r="AU433" s="88"/>
      <c r="AV433" s="86"/>
      <c r="AW433" s="88"/>
      <c r="AX433" s="86"/>
      <c r="AY433" s="88"/>
      <c r="AZ433" s="86"/>
      <c r="BA433" s="88"/>
      <c r="BB433" s="86"/>
      <c r="BC433" s="88"/>
      <c r="BD433" s="86"/>
      <c r="BE433" s="88"/>
      <c r="BF433" s="86"/>
      <c r="BG433" s="88"/>
      <c r="BH433" s="86"/>
      <c r="BI433" s="88"/>
      <c r="BJ433" s="86"/>
      <c r="BK433" s="88"/>
      <c r="BL433" s="86"/>
      <c r="BM433" s="88"/>
      <c r="BN433" s="86"/>
      <c r="BO433" s="88"/>
      <c r="BP433" s="86"/>
      <c r="BQ433" s="88"/>
      <c r="BR433" s="86"/>
      <c r="BS433" s="87"/>
    </row>
    <row r="434" ht="22.5" customHeight="1">
      <c r="A434" s="154"/>
      <c r="B434" s="83"/>
      <c r="C434" s="151"/>
      <c r="D434" s="83"/>
      <c r="E434" s="151"/>
      <c r="F434" s="83"/>
      <c r="G434" s="85"/>
      <c r="H434" s="86"/>
      <c r="I434" s="87"/>
      <c r="J434" s="86"/>
      <c r="K434" s="88"/>
      <c r="L434" s="86"/>
      <c r="M434" s="88"/>
      <c r="N434" s="86"/>
      <c r="O434" s="88"/>
      <c r="P434" s="86"/>
      <c r="Q434" s="88"/>
      <c r="R434" s="86"/>
      <c r="S434" s="88"/>
      <c r="T434" s="86"/>
      <c r="U434" s="88"/>
      <c r="V434" s="86"/>
      <c r="W434" s="88"/>
      <c r="X434" s="86"/>
      <c r="Y434" s="88"/>
      <c r="Z434" s="86"/>
      <c r="AA434" s="88"/>
      <c r="AB434" s="86"/>
      <c r="AC434" s="88"/>
      <c r="AD434" s="86"/>
      <c r="AE434" s="88"/>
      <c r="AF434" s="86"/>
      <c r="AG434" s="88"/>
      <c r="AH434" s="86"/>
      <c r="AI434" s="88"/>
      <c r="AJ434" s="86"/>
      <c r="AK434" s="88"/>
      <c r="AL434" s="86"/>
      <c r="AM434" s="88"/>
      <c r="AN434" s="86"/>
      <c r="AO434" s="88"/>
      <c r="AP434" s="86"/>
      <c r="AQ434" s="88"/>
      <c r="AR434" s="86"/>
      <c r="AS434" s="88"/>
      <c r="AT434" s="86"/>
      <c r="AU434" s="88"/>
      <c r="AV434" s="86"/>
      <c r="AW434" s="88"/>
      <c r="AX434" s="86"/>
      <c r="AY434" s="88"/>
      <c r="AZ434" s="86"/>
      <c r="BA434" s="88"/>
      <c r="BB434" s="86"/>
      <c r="BC434" s="88"/>
      <c r="BD434" s="86"/>
      <c r="BE434" s="88"/>
      <c r="BF434" s="86"/>
      <c r="BG434" s="88"/>
      <c r="BH434" s="86"/>
      <c r="BI434" s="88"/>
      <c r="BJ434" s="86"/>
      <c r="BK434" s="88"/>
      <c r="BL434" s="86"/>
      <c r="BM434" s="88"/>
      <c r="BN434" s="86"/>
      <c r="BO434" s="88"/>
      <c r="BP434" s="86"/>
      <c r="BQ434" s="88"/>
      <c r="BR434" s="86"/>
      <c r="BS434" s="87"/>
    </row>
    <row r="435" ht="22.5" customHeight="1">
      <c r="A435" s="154"/>
      <c r="B435" s="83"/>
      <c r="C435" s="151"/>
      <c r="D435" s="83"/>
      <c r="E435" s="151"/>
      <c r="F435" s="83"/>
      <c r="G435" s="85"/>
      <c r="H435" s="86"/>
      <c r="I435" s="87"/>
      <c r="J435" s="86"/>
      <c r="K435" s="88"/>
      <c r="L435" s="86"/>
      <c r="M435" s="88"/>
      <c r="N435" s="86"/>
      <c r="O435" s="88"/>
      <c r="P435" s="86"/>
      <c r="Q435" s="88"/>
      <c r="R435" s="86"/>
      <c r="S435" s="88"/>
      <c r="T435" s="86"/>
      <c r="U435" s="88"/>
      <c r="V435" s="86"/>
      <c r="W435" s="88"/>
      <c r="X435" s="86"/>
      <c r="Y435" s="88"/>
      <c r="Z435" s="86"/>
      <c r="AA435" s="88"/>
      <c r="AB435" s="86"/>
      <c r="AC435" s="88"/>
      <c r="AD435" s="86"/>
      <c r="AE435" s="88"/>
      <c r="AF435" s="86"/>
      <c r="AG435" s="88"/>
      <c r="AH435" s="86"/>
      <c r="AI435" s="88"/>
      <c r="AJ435" s="86"/>
      <c r="AK435" s="88"/>
      <c r="AL435" s="86"/>
      <c r="AM435" s="88"/>
      <c r="AN435" s="86"/>
      <c r="AO435" s="88"/>
      <c r="AP435" s="86"/>
      <c r="AQ435" s="88"/>
      <c r="AR435" s="86"/>
      <c r="AS435" s="88"/>
      <c r="AT435" s="86"/>
      <c r="AU435" s="88"/>
      <c r="AV435" s="86"/>
      <c r="AW435" s="88"/>
      <c r="AX435" s="86"/>
      <c r="AY435" s="88"/>
      <c r="AZ435" s="86"/>
      <c r="BA435" s="88"/>
      <c r="BB435" s="86"/>
      <c r="BC435" s="88"/>
      <c r="BD435" s="86"/>
      <c r="BE435" s="88"/>
      <c r="BF435" s="86"/>
      <c r="BG435" s="88"/>
      <c r="BH435" s="86"/>
      <c r="BI435" s="88"/>
      <c r="BJ435" s="86"/>
      <c r="BK435" s="88"/>
      <c r="BL435" s="86"/>
      <c r="BM435" s="88"/>
      <c r="BN435" s="86"/>
      <c r="BO435" s="88"/>
      <c r="BP435" s="86"/>
      <c r="BQ435" s="88"/>
      <c r="BR435" s="86"/>
      <c r="BS435" s="87"/>
    </row>
    <row r="436" ht="22.5" customHeight="1">
      <c r="A436" s="154"/>
      <c r="B436" s="83"/>
      <c r="C436" s="151"/>
      <c r="D436" s="83"/>
      <c r="E436" s="151"/>
      <c r="F436" s="83"/>
      <c r="G436" s="85"/>
      <c r="H436" s="86"/>
      <c r="I436" s="87"/>
      <c r="J436" s="86"/>
      <c r="K436" s="88"/>
      <c r="L436" s="86"/>
      <c r="M436" s="88"/>
      <c r="N436" s="86"/>
      <c r="O436" s="88"/>
      <c r="P436" s="86"/>
      <c r="Q436" s="88"/>
      <c r="R436" s="86"/>
      <c r="S436" s="88"/>
      <c r="T436" s="86"/>
      <c r="U436" s="88"/>
      <c r="V436" s="86"/>
      <c r="W436" s="88"/>
      <c r="X436" s="86"/>
      <c r="Y436" s="88"/>
      <c r="Z436" s="86"/>
      <c r="AA436" s="88"/>
      <c r="AB436" s="86"/>
      <c r="AC436" s="88"/>
      <c r="AD436" s="86"/>
      <c r="AE436" s="88"/>
      <c r="AF436" s="86"/>
      <c r="AG436" s="88"/>
      <c r="AH436" s="86"/>
      <c r="AI436" s="88"/>
      <c r="AJ436" s="86"/>
      <c r="AK436" s="88"/>
      <c r="AL436" s="86"/>
      <c r="AM436" s="88"/>
      <c r="AN436" s="86"/>
      <c r="AO436" s="88"/>
      <c r="AP436" s="86"/>
      <c r="AQ436" s="88"/>
      <c r="AR436" s="86"/>
      <c r="AS436" s="88"/>
      <c r="AT436" s="86"/>
      <c r="AU436" s="88"/>
      <c r="AV436" s="86"/>
      <c r="AW436" s="88"/>
      <c r="AX436" s="86"/>
      <c r="AY436" s="88"/>
      <c r="AZ436" s="86"/>
      <c r="BA436" s="88"/>
      <c r="BB436" s="86"/>
      <c r="BC436" s="88"/>
      <c r="BD436" s="86"/>
      <c r="BE436" s="88"/>
      <c r="BF436" s="86"/>
      <c r="BG436" s="88"/>
      <c r="BH436" s="86"/>
      <c r="BI436" s="88"/>
      <c r="BJ436" s="86"/>
      <c r="BK436" s="88"/>
      <c r="BL436" s="86"/>
      <c r="BM436" s="88"/>
      <c r="BN436" s="86"/>
      <c r="BO436" s="88"/>
      <c r="BP436" s="86"/>
      <c r="BQ436" s="88"/>
      <c r="BR436" s="86"/>
      <c r="BS436" s="87"/>
    </row>
    <row r="437" ht="22.5" customHeight="1">
      <c r="A437" s="154"/>
      <c r="B437" s="83"/>
      <c r="C437" s="151"/>
      <c r="D437" s="83"/>
      <c r="E437" s="151"/>
      <c r="F437" s="83"/>
      <c r="G437" s="85"/>
      <c r="H437" s="86"/>
      <c r="I437" s="87"/>
      <c r="J437" s="86"/>
      <c r="K437" s="88"/>
      <c r="L437" s="86"/>
      <c r="M437" s="88"/>
      <c r="N437" s="86"/>
      <c r="O437" s="88"/>
      <c r="P437" s="86"/>
      <c r="Q437" s="88"/>
      <c r="R437" s="86"/>
      <c r="S437" s="88"/>
      <c r="T437" s="86"/>
      <c r="U437" s="88"/>
      <c r="V437" s="86"/>
      <c r="W437" s="88"/>
      <c r="X437" s="86"/>
      <c r="Y437" s="88"/>
      <c r="Z437" s="86"/>
      <c r="AA437" s="88"/>
      <c r="AB437" s="86"/>
      <c r="AC437" s="88"/>
      <c r="AD437" s="86"/>
      <c r="AE437" s="88"/>
      <c r="AF437" s="86"/>
      <c r="AG437" s="88"/>
      <c r="AH437" s="86"/>
      <c r="AI437" s="88"/>
      <c r="AJ437" s="86"/>
      <c r="AK437" s="88"/>
      <c r="AL437" s="86"/>
      <c r="AM437" s="88"/>
      <c r="AN437" s="86"/>
      <c r="AO437" s="88"/>
      <c r="AP437" s="86"/>
      <c r="AQ437" s="88"/>
      <c r="AR437" s="86"/>
      <c r="AS437" s="88"/>
      <c r="AT437" s="86"/>
      <c r="AU437" s="88"/>
      <c r="AV437" s="86"/>
      <c r="AW437" s="88"/>
      <c r="AX437" s="86"/>
      <c r="AY437" s="88"/>
      <c r="AZ437" s="86"/>
      <c r="BA437" s="88"/>
      <c r="BB437" s="86"/>
      <c r="BC437" s="88"/>
      <c r="BD437" s="86"/>
      <c r="BE437" s="88"/>
      <c r="BF437" s="86"/>
      <c r="BG437" s="88"/>
      <c r="BH437" s="86"/>
      <c r="BI437" s="88"/>
      <c r="BJ437" s="86"/>
      <c r="BK437" s="88"/>
      <c r="BL437" s="86"/>
      <c r="BM437" s="88"/>
      <c r="BN437" s="86"/>
      <c r="BO437" s="88"/>
      <c r="BP437" s="86"/>
      <c r="BQ437" s="88"/>
      <c r="BR437" s="86"/>
      <c r="BS437" s="87"/>
    </row>
    <row r="438" ht="22.5" customHeight="1">
      <c r="A438" s="154"/>
      <c r="B438" s="83"/>
      <c r="C438" s="151"/>
      <c r="D438" s="83"/>
      <c r="E438" s="151"/>
      <c r="F438" s="83"/>
      <c r="G438" s="85"/>
      <c r="H438" s="86"/>
      <c r="I438" s="87"/>
      <c r="J438" s="86"/>
      <c r="K438" s="88"/>
      <c r="L438" s="86"/>
      <c r="M438" s="88"/>
      <c r="N438" s="86"/>
      <c r="O438" s="88"/>
      <c r="P438" s="86"/>
      <c r="Q438" s="88"/>
      <c r="R438" s="86"/>
      <c r="S438" s="88"/>
      <c r="T438" s="86"/>
      <c r="U438" s="88"/>
      <c r="V438" s="86"/>
      <c r="W438" s="88"/>
      <c r="X438" s="86"/>
      <c r="Y438" s="88"/>
      <c r="Z438" s="86"/>
      <c r="AA438" s="88"/>
      <c r="AB438" s="86"/>
      <c r="AC438" s="88"/>
      <c r="AD438" s="86"/>
      <c r="AE438" s="88"/>
      <c r="AF438" s="86"/>
      <c r="AG438" s="88"/>
      <c r="AH438" s="86"/>
      <c r="AI438" s="88"/>
      <c r="AJ438" s="86"/>
      <c r="AK438" s="88"/>
      <c r="AL438" s="86"/>
      <c r="AM438" s="88"/>
      <c r="AN438" s="86"/>
      <c r="AO438" s="88"/>
      <c r="AP438" s="86"/>
      <c r="AQ438" s="88"/>
      <c r="AR438" s="86"/>
      <c r="AS438" s="88"/>
      <c r="AT438" s="86"/>
      <c r="AU438" s="88"/>
      <c r="AV438" s="86"/>
      <c r="AW438" s="88"/>
      <c r="AX438" s="86"/>
      <c r="AY438" s="88"/>
      <c r="AZ438" s="86"/>
      <c r="BA438" s="88"/>
      <c r="BB438" s="86"/>
      <c r="BC438" s="88"/>
      <c r="BD438" s="86"/>
      <c r="BE438" s="88"/>
      <c r="BF438" s="86"/>
      <c r="BG438" s="88"/>
      <c r="BH438" s="86"/>
      <c r="BI438" s="88"/>
      <c r="BJ438" s="86"/>
      <c r="BK438" s="88"/>
      <c r="BL438" s="86"/>
      <c r="BM438" s="88"/>
      <c r="BN438" s="86"/>
      <c r="BO438" s="88"/>
      <c r="BP438" s="86"/>
      <c r="BQ438" s="88"/>
      <c r="BR438" s="86"/>
      <c r="BS438" s="87"/>
    </row>
    <row r="439" ht="22.5" customHeight="1">
      <c r="A439" s="154"/>
      <c r="B439" s="83"/>
      <c r="C439" s="151"/>
      <c r="D439" s="83"/>
      <c r="E439" s="151"/>
      <c r="F439" s="83"/>
      <c r="G439" s="85"/>
      <c r="H439" s="86"/>
      <c r="I439" s="87"/>
      <c r="J439" s="86"/>
      <c r="K439" s="88"/>
      <c r="L439" s="86"/>
      <c r="M439" s="88"/>
      <c r="N439" s="86"/>
      <c r="O439" s="88"/>
      <c r="P439" s="86"/>
      <c r="Q439" s="88"/>
      <c r="R439" s="86"/>
      <c r="S439" s="88"/>
      <c r="T439" s="86"/>
      <c r="U439" s="88"/>
      <c r="V439" s="86"/>
      <c r="W439" s="88"/>
      <c r="X439" s="86"/>
      <c r="Y439" s="88"/>
      <c r="Z439" s="86"/>
      <c r="AA439" s="88"/>
      <c r="AB439" s="86"/>
      <c r="AC439" s="88"/>
      <c r="AD439" s="86"/>
      <c r="AE439" s="88"/>
      <c r="AF439" s="86"/>
      <c r="AG439" s="88"/>
      <c r="AH439" s="86"/>
      <c r="AI439" s="88"/>
      <c r="AJ439" s="86"/>
      <c r="AK439" s="88"/>
      <c r="AL439" s="86"/>
      <c r="AM439" s="88"/>
      <c r="AN439" s="86"/>
      <c r="AO439" s="88"/>
      <c r="AP439" s="86"/>
      <c r="AQ439" s="88"/>
      <c r="AR439" s="86"/>
      <c r="AS439" s="88"/>
      <c r="AT439" s="86"/>
      <c r="AU439" s="88"/>
      <c r="AV439" s="86"/>
      <c r="AW439" s="88"/>
      <c r="AX439" s="86"/>
      <c r="AY439" s="88"/>
      <c r="AZ439" s="86"/>
      <c r="BA439" s="88"/>
      <c r="BB439" s="86"/>
      <c r="BC439" s="88"/>
      <c r="BD439" s="86"/>
      <c r="BE439" s="88"/>
      <c r="BF439" s="86"/>
      <c r="BG439" s="88"/>
      <c r="BH439" s="86"/>
      <c r="BI439" s="88"/>
      <c r="BJ439" s="86"/>
      <c r="BK439" s="88"/>
      <c r="BL439" s="86"/>
      <c r="BM439" s="88"/>
      <c r="BN439" s="86"/>
      <c r="BO439" s="88"/>
      <c r="BP439" s="86"/>
      <c r="BQ439" s="88"/>
      <c r="BR439" s="86"/>
      <c r="BS439" s="87"/>
    </row>
    <row r="440" ht="22.5" customHeight="1">
      <c r="A440" s="154"/>
      <c r="B440" s="83"/>
      <c r="C440" s="151"/>
      <c r="D440" s="83"/>
      <c r="E440" s="151"/>
      <c r="F440" s="83"/>
      <c r="G440" s="85"/>
      <c r="H440" s="86"/>
      <c r="I440" s="87"/>
      <c r="J440" s="86"/>
      <c r="K440" s="88"/>
      <c r="L440" s="86"/>
      <c r="M440" s="88"/>
      <c r="N440" s="86"/>
      <c r="O440" s="88"/>
      <c r="P440" s="86"/>
      <c r="Q440" s="88"/>
      <c r="R440" s="86"/>
      <c r="S440" s="88"/>
      <c r="T440" s="86"/>
      <c r="U440" s="88"/>
      <c r="V440" s="86"/>
      <c r="W440" s="88"/>
      <c r="X440" s="86"/>
      <c r="Y440" s="88"/>
      <c r="Z440" s="86"/>
      <c r="AA440" s="88"/>
      <c r="AB440" s="86"/>
      <c r="AC440" s="88"/>
      <c r="AD440" s="86"/>
      <c r="AE440" s="88"/>
      <c r="AF440" s="86"/>
      <c r="AG440" s="88"/>
      <c r="AH440" s="86"/>
      <c r="AI440" s="88"/>
      <c r="AJ440" s="86"/>
      <c r="AK440" s="88"/>
      <c r="AL440" s="86"/>
      <c r="AM440" s="88"/>
      <c r="AN440" s="86"/>
      <c r="AO440" s="88"/>
      <c r="AP440" s="86"/>
      <c r="AQ440" s="88"/>
      <c r="AR440" s="86"/>
      <c r="AS440" s="88"/>
      <c r="AT440" s="86"/>
      <c r="AU440" s="88"/>
      <c r="AV440" s="86"/>
      <c r="AW440" s="88"/>
      <c r="AX440" s="86"/>
      <c r="AY440" s="88"/>
      <c r="AZ440" s="86"/>
      <c r="BA440" s="88"/>
      <c r="BB440" s="86"/>
      <c r="BC440" s="88"/>
      <c r="BD440" s="86"/>
      <c r="BE440" s="88"/>
      <c r="BF440" s="86"/>
      <c r="BG440" s="88"/>
      <c r="BH440" s="86"/>
      <c r="BI440" s="88"/>
      <c r="BJ440" s="86"/>
      <c r="BK440" s="88"/>
      <c r="BL440" s="86"/>
      <c r="BM440" s="88"/>
      <c r="BN440" s="86"/>
      <c r="BO440" s="88"/>
      <c r="BP440" s="86"/>
      <c r="BQ440" s="88"/>
      <c r="BR440" s="86"/>
      <c r="BS440" s="87"/>
    </row>
    <row r="441" ht="22.5" customHeight="1">
      <c r="A441" s="154"/>
      <c r="B441" s="83"/>
      <c r="C441" s="151"/>
      <c r="D441" s="83"/>
      <c r="E441" s="151"/>
      <c r="F441" s="83"/>
      <c r="G441" s="85"/>
      <c r="H441" s="86"/>
      <c r="I441" s="87"/>
      <c r="J441" s="86"/>
      <c r="K441" s="88"/>
      <c r="L441" s="86"/>
      <c r="M441" s="88"/>
      <c r="N441" s="86"/>
      <c r="O441" s="88"/>
      <c r="P441" s="86"/>
      <c r="Q441" s="88"/>
      <c r="R441" s="86"/>
      <c r="S441" s="88"/>
      <c r="T441" s="86"/>
      <c r="U441" s="88"/>
      <c r="V441" s="86"/>
      <c r="W441" s="88"/>
      <c r="X441" s="86"/>
      <c r="Y441" s="88"/>
      <c r="Z441" s="86"/>
      <c r="AA441" s="88"/>
      <c r="AB441" s="86"/>
      <c r="AC441" s="88"/>
      <c r="AD441" s="86"/>
      <c r="AE441" s="88"/>
      <c r="AF441" s="86"/>
      <c r="AG441" s="88"/>
      <c r="AH441" s="86"/>
      <c r="AI441" s="88"/>
      <c r="AJ441" s="86"/>
      <c r="AK441" s="88"/>
      <c r="AL441" s="86"/>
      <c r="AM441" s="88"/>
      <c r="AN441" s="86"/>
      <c r="AO441" s="88"/>
      <c r="AP441" s="86"/>
      <c r="AQ441" s="88"/>
      <c r="AR441" s="86"/>
      <c r="AS441" s="88"/>
      <c r="AT441" s="86"/>
      <c r="AU441" s="88"/>
      <c r="AV441" s="86"/>
      <c r="AW441" s="88"/>
      <c r="AX441" s="86"/>
      <c r="AY441" s="88"/>
      <c r="AZ441" s="86"/>
      <c r="BA441" s="88"/>
      <c r="BB441" s="86"/>
      <c r="BC441" s="88"/>
      <c r="BD441" s="86"/>
      <c r="BE441" s="88"/>
      <c r="BF441" s="86"/>
      <c r="BG441" s="88"/>
      <c r="BH441" s="86"/>
      <c r="BI441" s="88"/>
      <c r="BJ441" s="86"/>
      <c r="BK441" s="88"/>
      <c r="BL441" s="86"/>
      <c r="BM441" s="88"/>
      <c r="BN441" s="86"/>
      <c r="BO441" s="88"/>
      <c r="BP441" s="86"/>
      <c r="BQ441" s="88"/>
      <c r="BR441" s="86"/>
      <c r="BS441" s="87"/>
    </row>
    <row r="442" ht="22.5" customHeight="1">
      <c r="A442" s="154"/>
      <c r="B442" s="83"/>
      <c r="C442" s="151"/>
      <c r="D442" s="83"/>
      <c r="E442" s="151"/>
      <c r="F442" s="83"/>
      <c r="G442" s="85"/>
      <c r="H442" s="86"/>
      <c r="I442" s="87"/>
      <c r="J442" s="86"/>
      <c r="K442" s="88"/>
      <c r="L442" s="86"/>
      <c r="M442" s="88"/>
      <c r="N442" s="86"/>
      <c r="O442" s="88"/>
      <c r="P442" s="86"/>
      <c r="Q442" s="88"/>
      <c r="R442" s="86"/>
      <c r="S442" s="88"/>
      <c r="T442" s="86"/>
      <c r="U442" s="88"/>
      <c r="V442" s="86"/>
      <c r="W442" s="88"/>
      <c r="X442" s="86"/>
      <c r="Y442" s="88"/>
      <c r="Z442" s="86"/>
      <c r="AA442" s="88"/>
      <c r="AB442" s="86"/>
      <c r="AC442" s="88"/>
      <c r="AD442" s="86"/>
      <c r="AE442" s="88"/>
      <c r="AF442" s="86"/>
      <c r="AG442" s="88"/>
      <c r="AH442" s="86"/>
      <c r="AI442" s="88"/>
      <c r="AJ442" s="86"/>
      <c r="AK442" s="88"/>
      <c r="AL442" s="86"/>
      <c r="AM442" s="88"/>
      <c r="AN442" s="86"/>
      <c r="AO442" s="88"/>
      <c r="AP442" s="86"/>
      <c r="AQ442" s="88"/>
      <c r="AR442" s="86"/>
      <c r="AS442" s="88"/>
      <c r="AT442" s="86"/>
      <c r="AU442" s="88"/>
      <c r="AV442" s="86"/>
      <c r="AW442" s="88"/>
      <c r="AX442" s="86"/>
      <c r="AY442" s="88"/>
      <c r="AZ442" s="86"/>
      <c r="BA442" s="88"/>
      <c r="BB442" s="86"/>
      <c r="BC442" s="88"/>
      <c r="BD442" s="86"/>
      <c r="BE442" s="88"/>
      <c r="BF442" s="86"/>
      <c r="BG442" s="88"/>
      <c r="BH442" s="86"/>
      <c r="BI442" s="88"/>
      <c r="BJ442" s="86"/>
      <c r="BK442" s="88"/>
      <c r="BL442" s="86"/>
      <c r="BM442" s="88"/>
      <c r="BN442" s="86"/>
      <c r="BO442" s="88"/>
      <c r="BP442" s="86"/>
      <c r="BQ442" s="88"/>
      <c r="BR442" s="86"/>
      <c r="BS442" s="87"/>
    </row>
    <row r="443" ht="22.5" customHeight="1">
      <c r="A443" s="154"/>
      <c r="B443" s="83"/>
      <c r="C443" s="151"/>
      <c r="D443" s="83"/>
      <c r="E443" s="151"/>
      <c r="F443" s="83"/>
      <c r="G443" s="85"/>
      <c r="H443" s="86"/>
      <c r="I443" s="87"/>
      <c r="J443" s="86"/>
      <c r="K443" s="88"/>
      <c r="L443" s="86"/>
      <c r="M443" s="88"/>
      <c r="N443" s="86"/>
      <c r="O443" s="88"/>
      <c r="P443" s="86"/>
      <c r="Q443" s="88"/>
      <c r="R443" s="86"/>
      <c r="S443" s="88"/>
      <c r="T443" s="86"/>
      <c r="U443" s="88"/>
      <c r="V443" s="86"/>
      <c r="W443" s="88"/>
      <c r="X443" s="86"/>
      <c r="Y443" s="88"/>
      <c r="Z443" s="86"/>
      <c r="AA443" s="88"/>
      <c r="AB443" s="86"/>
      <c r="AC443" s="88"/>
      <c r="AD443" s="86"/>
      <c r="AE443" s="88"/>
      <c r="AF443" s="86"/>
      <c r="AG443" s="88"/>
      <c r="AH443" s="86"/>
      <c r="AI443" s="88"/>
      <c r="AJ443" s="86"/>
      <c r="AK443" s="88"/>
      <c r="AL443" s="86"/>
      <c r="AM443" s="88"/>
      <c r="AN443" s="86"/>
      <c r="AO443" s="88"/>
      <c r="AP443" s="86"/>
      <c r="AQ443" s="88"/>
      <c r="AR443" s="86"/>
      <c r="AS443" s="88"/>
      <c r="AT443" s="86"/>
      <c r="AU443" s="88"/>
      <c r="AV443" s="86"/>
      <c r="AW443" s="88"/>
      <c r="AX443" s="86"/>
      <c r="AY443" s="88"/>
      <c r="AZ443" s="86"/>
      <c r="BA443" s="88"/>
      <c r="BB443" s="86"/>
      <c r="BC443" s="88"/>
      <c r="BD443" s="86"/>
      <c r="BE443" s="88"/>
      <c r="BF443" s="86"/>
      <c r="BG443" s="88"/>
      <c r="BH443" s="86"/>
      <c r="BI443" s="88"/>
      <c r="BJ443" s="86"/>
      <c r="BK443" s="88"/>
      <c r="BL443" s="86"/>
      <c r="BM443" s="88"/>
      <c r="BN443" s="86"/>
      <c r="BO443" s="88"/>
      <c r="BP443" s="86"/>
      <c r="BQ443" s="88"/>
      <c r="BR443" s="86"/>
      <c r="BS443" s="87"/>
    </row>
    <row r="444" ht="22.5" customHeight="1">
      <c r="A444" s="154"/>
      <c r="B444" s="83"/>
      <c r="C444" s="151"/>
      <c r="D444" s="83"/>
      <c r="E444" s="151"/>
      <c r="F444" s="83"/>
      <c r="G444" s="85"/>
      <c r="H444" s="86"/>
      <c r="I444" s="87"/>
      <c r="J444" s="86"/>
      <c r="K444" s="88"/>
      <c r="L444" s="86"/>
      <c r="M444" s="88"/>
      <c r="N444" s="86"/>
      <c r="O444" s="88"/>
      <c r="P444" s="86"/>
      <c r="Q444" s="88"/>
      <c r="R444" s="86"/>
      <c r="S444" s="88"/>
      <c r="T444" s="86"/>
      <c r="U444" s="88"/>
      <c r="V444" s="86"/>
      <c r="W444" s="88"/>
      <c r="X444" s="86"/>
      <c r="Y444" s="88"/>
      <c r="Z444" s="86"/>
      <c r="AA444" s="88"/>
      <c r="AB444" s="86"/>
      <c r="AC444" s="88"/>
      <c r="AD444" s="86"/>
      <c r="AE444" s="88"/>
      <c r="AF444" s="86"/>
      <c r="AG444" s="88"/>
      <c r="AH444" s="86"/>
      <c r="AI444" s="88"/>
      <c r="AJ444" s="86"/>
      <c r="AK444" s="88"/>
      <c r="AL444" s="86"/>
      <c r="AM444" s="88"/>
      <c r="AN444" s="86"/>
      <c r="AO444" s="88"/>
      <c r="AP444" s="86"/>
      <c r="AQ444" s="88"/>
      <c r="AR444" s="86"/>
      <c r="AS444" s="88"/>
      <c r="AT444" s="86"/>
      <c r="AU444" s="88"/>
      <c r="AV444" s="86"/>
      <c r="AW444" s="88"/>
      <c r="AX444" s="86"/>
      <c r="AY444" s="88"/>
      <c r="AZ444" s="86"/>
      <c r="BA444" s="88"/>
      <c r="BB444" s="86"/>
      <c r="BC444" s="88"/>
      <c r="BD444" s="86"/>
      <c r="BE444" s="88"/>
      <c r="BF444" s="86"/>
      <c r="BG444" s="88"/>
      <c r="BH444" s="86"/>
      <c r="BI444" s="88"/>
      <c r="BJ444" s="86"/>
      <c r="BK444" s="88"/>
      <c r="BL444" s="86"/>
      <c r="BM444" s="88"/>
      <c r="BN444" s="86"/>
      <c r="BO444" s="88"/>
      <c r="BP444" s="86"/>
      <c r="BQ444" s="88"/>
      <c r="BR444" s="86"/>
      <c r="BS444" s="87"/>
    </row>
    <row r="445" ht="22.5" customHeight="1">
      <c r="A445" s="154"/>
      <c r="B445" s="83"/>
      <c r="C445" s="151"/>
      <c r="D445" s="83"/>
      <c r="E445" s="151"/>
      <c r="F445" s="83"/>
      <c r="G445" s="85"/>
      <c r="H445" s="86"/>
      <c r="I445" s="87"/>
      <c r="J445" s="86"/>
      <c r="K445" s="88"/>
      <c r="L445" s="86"/>
      <c r="M445" s="88"/>
      <c r="N445" s="86"/>
      <c r="O445" s="88"/>
      <c r="P445" s="86"/>
      <c r="Q445" s="88"/>
      <c r="R445" s="86"/>
      <c r="S445" s="88"/>
      <c r="T445" s="86"/>
      <c r="U445" s="88"/>
      <c r="V445" s="86"/>
      <c r="W445" s="88"/>
      <c r="X445" s="86"/>
      <c r="Y445" s="88"/>
      <c r="Z445" s="86"/>
      <c r="AA445" s="88"/>
      <c r="AB445" s="86"/>
      <c r="AC445" s="88"/>
      <c r="AD445" s="86"/>
      <c r="AE445" s="88"/>
      <c r="AF445" s="86"/>
      <c r="AG445" s="88"/>
      <c r="AH445" s="86"/>
      <c r="AI445" s="88"/>
      <c r="AJ445" s="86"/>
      <c r="AK445" s="88"/>
      <c r="AL445" s="86"/>
      <c r="AM445" s="88"/>
      <c r="AN445" s="86"/>
      <c r="AO445" s="88"/>
      <c r="AP445" s="86"/>
      <c r="AQ445" s="88"/>
      <c r="AR445" s="86"/>
      <c r="AS445" s="88"/>
      <c r="AT445" s="86"/>
      <c r="AU445" s="88"/>
      <c r="AV445" s="86"/>
      <c r="AW445" s="88"/>
      <c r="AX445" s="86"/>
      <c r="AY445" s="88"/>
      <c r="AZ445" s="86"/>
      <c r="BA445" s="88"/>
      <c r="BB445" s="86"/>
      <c r="BC445" s="88"/>
      <c r="BD445" s="86"/>
      <c r="BE445" s="88"/>
      <c r="BF445" s="86"/>
      <c r="BG445" s="88"/>
      <c r="BH445" s="86"/>
      <c r="BI445" s="88"/>
      <c r="BJ445" s="86"/>
      <c r="BK445" s="88"/>
      <c r="BL445" s="86"/>
      <c r="BM445" s="88"/>
      <c r="BN445" s="86"/>
      <c r="BO445" s="88"/>
      <c r="BP445" s="86"/>
      <c r="BQ445" s="88"/>
      <c r="BR445" s="86"/>
      <c r="BS445" s="87"/>
    </row>
    <row r="446" ht="22.5" customHeight="1">
      <c r="A446" s="154"/>
      <c r="B446" s="83"/>
      <c r="C446" s="151"/>
      <c r="D446" s="83"/>
      <c r="E446" s="151"/>
      <c r="F446" s="83"/>
      <c r="G446" s="85"/>
      <c r="H446" s="86"/>
      <c r="I446" s="87"/>
      <c r="J446" s="86"/>
      <c r="K446" s="88"/>
      <c r="L446" s="86"/>
      <c r="M446" s="88"/>
      <c r="N446" s="86"/>
      <c r="O446" s="88"/>
      <c r="P446" s="86"/>
      <c r="Q446" s="88"/>
      <c r="R446" s="86"/>
      <c r="S446" s="88"/>
      <c r="T446" s="86"/>
      <c r="U446" s="88"/>
      <c r="V446" s="86"/>
      <c r="W446" s="88"/>
      <c r="X446" s="86"/>
      <c r="Y446" s="88"/>
      <c r="Z446" s="86"/>
      <c r="AA446" s="88"/>
      <c r="AB446" s="86"/>
      <c r="AC446" s="88"/>
      <c r="AD446" s="86"/>
      <c r="AE446" s="88"/>
      <c r="AF446" s="86"/>
      <c r="AG446" s="88"/>
      <c r="AH446" s="86"/>
      <c r="AI446" s="88"/>
      <c r="AJ446" s="86"/>
      <c r="AK446" s="88"/>
      <c r="AL446" s="86"/>
      <c r="AM446" s="88"/>
      <c r="AN446" s="86"/>
      <c r="AO446" s="88"/>
      <c r="AP446" s="86"/>
      <c r="AQ446" s="88"/>
      <c r="AR446" s="86"/>
      <c r="AS446" s="88"/>
      <c r="AT446" s="86"/>
      <c r="AU446" s="88"/>
      <c r="AV446" s="86"/>
      <c r="AW446" s="88"/>
      <c r="AX446" s="86"/>
      <c r="AY446" s="88"/>
      <c r="AZ446" s="86"/>
      <c r="BA446" s="88"/>
      <c r="BB446" s="86"/>
      <c r="BC446" s="88"/>
      <c r="BD446" s="86"/>
      <c r="BE446" s="88"/>
      <c r="BF446" s="86"/>
      <c r="BG446" s="88"/>
      <c r="BH446" s="86"/>
      <c r="BI446" s="88"/>
      <c r="BJ446" s="86"/>
      <c r="BK446" s="88"/>
      <c r="BL446" s="86"/>
      <c r="BM446" s="88"/>
      <c r="BN446" s="86"/>
      <c r="BO446" s="88"/>
      <c r="BP446" s="86"/>
      <c r="BQ446" s="88"/>
      <c r="BR446" s="86"/>
      <c r="BS446" s="87"/>
    </row>
    <row r="447" ht="22.5" customHeight="1">
      <c r="A447" s="154"/>
      <c r="B447" s="83"/>
      <c r="C447" s="151"/>
      <c r="D447" s="83"/>
      <c r="E447" s="151"/>
      <c r="F447" s="83"/>
      <c r="G447" s="85"/>
      <c r="H447" s="86"/>
      <c r="I447" s="87"/>
      <c r="J447" s="86"/>
      <c r="K447" s="88"/>
      <c r="L447" s="86"/>
      <c r="M447" s="88"/>
      <c r="N447" s="86"/>
      <c r="O447" s="88"/>
      <c r="P447" s="86"/>
      <c r="Q447" s="88"/>
      <c r="R447" s="86"/>
      <c r="S447" s="88"/>
      <c r="T447" s="86"/>
      <c r="U447" s="88"/>
      <c r="V447" s="86"/>
      <c r="W447" s="88"/>
      <c r="X447" s="86"/>
      <c r="Y447" s="88"/>
      <c r="Z447" s="86"/>
      <c r="AA447" s="88"/>
      <c r="AB447" s="86"/>
      <c r="AC447" s="88"/>
      <c r="AD447" s="86"/>
      <c r="AE447" s="88"/>
      <c r="AF447" s="86"/>
      <c r="AG447" s="88"/>
      <c r="AH447" s="86"/>
      <c r="AI447" s="88"/>
      <c r="AJ447" s="86"/>
      <c r="AK447" s="88"/>
      <c r="AL447" s="86"/>
      <c r="AM447" s="88"/>
      <c r="AN447" s="86"/>
      <c r="AO447" s="88"/>
      <c r="AP447" s="86"/>
      <c r="AQ447" s="88"/>
      <c r="AR447" s="86"/>
      <c r="AS447" s="88"/>
      <c r="AT447" s="86"/>
      <c r="AU447" s="88"/>
      <c r="AV447" s="86"/>
      <c r="AW447" s="88"/>
      <c r="AX447" s="86"/>
      <c r="AY447" s="88"/>
      <c r="AZ447" s="86"/>
      <c r="BA447" s="88"/>
      <c r="BB447" s="86"/>
      <c r="BC447" s="88"/>
      <c r="BD447" s="86"/>
      <c r="BE447" s="88"/>
      <c r="BF447" s="86"/>
      <c r="BG447" s="88"/>
      <c r="BH447" s="86"/>
      <c r="BI447" s="88"/>
      <c r="BJ447" s="86"/>
      <c r="BK447" s="88"/>
      <c r="BL447" s="86"/>
      <c r="BM447" s="88"/>
      <c r="BN447" s="86"/>
      <c r="BO447" s="88"/>
      <c r="BP447" s="86"/>
      <c r="BQ447" s="88"/>
      <c r="BR447" s="86"/>
      <c r="BS447" s="87"/>
    </row>
    <row r="448" ht="22.5" customHeight="1">
      <c r="A448" s="154"/>
      <c r="B448" s="83"/>
      <c r="C448" s="151"/>
      <c r="D448" s="83"/>
      <c r="E448" s="151"/>
      <c r="F448" s="83"/>
      <c r="G448" s="85"/>
      <c r="H448" s="86"/>
      <c r="I448" s="87"/>
      <c r="J448" s="86"/>
      <c r="K448" s="88"/>
      <c r="L448" s="86"/>
      <c r="M448" s="88"/>
      <c r="N448" s="86"/>
      <c r="O448" s="88"/>
      <c r="P448" s="86"/>
      <c r="Q448" s="88"/>
      <c r="R448" s="86"/>
      <c r="S448" s="88"/>
      <c r="T448" s="86"/>
      <c r="U448" s="88"/>
      <c r="V448" s="86"/>
      <c r="W448" s="88"/>
      <c r="X448" s="86"/>
      <c r="Y448" s="88"/>
      <c r="Z448" s="86"/>
      <c r="AA448" s="88"/>
      <c r="AB448" s="86"/>
      <c r="AC448" s="88"/>
      <c r="AD448" s="86"/>
      <c r="AE448" s="88"/>
      <c r="AF448" s="86"/>
      <c r="AG448" s="88"/>
      <c r="AH448" s="86"/>
      <c r="AI448" s="88"/>
      <c r="AJ448" s="86"/>
      <c r="AK448" s="88"/>
      <c r="AL448" s="86"/>
      <c r="AM448" s="88"/>
      <c r="AN448" s="86"/>
      <c r="AO448" s="88"/>
      <c r="AP448" s="86"/>
      <c r="AQ448" s="88"/>
      <c r="AR448" s="86"/>
      <c r="AS448" s="88"/>
      <c r="AT448" s="86"/>
      <c r="AU448" s="88"/>
      <c r="AV448" s="86"/>
      <c r="AW448" s="88"/>
      <c r="AX448" s="86"/>
      <c r="AY448" s="88"/>
      <c r="AZ448" s="86"/>
      <c r="BA448" s="88"/>
      <c r="BB448" s="86"/>
      <c r="BC448" s="88"/>
      <c r="BD448" s="86"/>
      <c r="BE448" s="88"/>
      <c r="BF448" s="86"/>
      <c r="BG448" s="88"/>
      <c r="BH448" s="86"/>
      <c r="BI448" s="88"/>
      <c r="BJ448" s="86"/>
      <c r="BK448" s="88"/>
      <c r="BL448" s="86"/>
      <c r="BM448" s="88"/>
      <c r="BN448" s="86"/>
      <c r="BO448" s="88"/>
      <c r="BP448" s="86"/>
      <c r="BQ448" s="88"/>
      <c r="BR448" s="86"/>
      <c r="BS448" s="87"/>
    </row>
    <row r="449" ht="22.5" customHeight="1">
      <c r="A449" s="154"/>
      <c r="B449" s="83"/>
      <c r="C449" s="151"/>
      <c r="D449" s="83"/>
      <c r="E449" s="151"/>
      <c r="F449" s="83"/>
      <c r="G449" s="85"/>
      <c r="H449" s="86"/>
      <c r="I449" s="87"/>
      <c r="J449" s="86"/>
      <c r="K449" s="88"/>
      <c r="L449" s="86"/>
      <c r="M449" s="88"/>
      <c r="N449" s="86"/>
      <c r="O449" s="88"/>
      <c r="P449" s="86"/>
      <c r="Q449" s="88"/>
      <c r="R449" s="86"/>
      <c r="S449" s="88"/>
      <c r="T449" s="86"/>
      <c r="U449" s="88"/>
      <c r="V449" s="86"/>
      <c r="W449" s="88"/>
      <c r="X449" s="86"/>
      <c r="Y449" s="88"/>
      <c r="Z449" s="86"/>
      <c r="AA449" s="88"/>
      <c r="AB449" s="86"/>
      <c r="AC449" s="88"/>
      <c r="AD449" s="86"/>
      <c r="AE449" s="88"/>
      <c r="AF449" s="86"/>
      <c r="AG449" s="88"/>
      <c r="AH449" s="86"/>
      <c r="AI449" s="88"/>
      <c r="AJ449" s="86"/>
      <c r="AK449" s="88"/>
      <c r="AL449" s="86"/>
      <c r="AM449" s="88"/>
      <c r="AN449" s="86"/>
      <c r="AO449" s="88"/>
      <c r="AP449" s="86"/>
      <c r="AQ449" s="88"/>
      <c r="AR449" s="86"/>
      <c r="AS449" s="88"/>
      <c r="AT449" s="86"/>
      <c r="AU449" s="88"/>
      <c r="AV449" s="86"/>
      <c r="AW449" s="88"/>
      <c r="AX449" s="86"/>
      <c r="AY449" s="88"/>
      <c r="AZ449" s="86"/>
      <c r="BA449" s="88"/>
      <c r="BB449" s="86"/>
      <c r="BC449" s="88"/>
      <c r="BD449" s="86"/>
      <c r="BE449" s="88"/>
      <c r="BF449" s="86"/>
      <c r="BG449" s="88"/>
      <c r="BH449" s="86"/>
      <c r="BI449" s="88"/>
      <c r="BJ449" s="86"/>
      <c r="BK449" s="88"/>
      <c r="BL449" s="86"/>
      <c r="BM449" s="88"/>
      <c r="BN449" s="86"/>
      <c r="BO449" s="88"/>
      <c r="BP449" s="86"/>
      <c r="BQ449" s="88"/>
      <c r="BR449" s="86"/>
      <c r="BS449" s="87"/>
    </row>
    <row r="450" ht="22.5" customHeight="1">
      <c r="A450" s="154"/>
      <c r="B450" s="83"/>
      <c r="C450" s="151"/>
      <c r="D450" s="83"/>
      <c r="E450" s="151"/>
      <c r="F450" s="83"/>
      <c r="G450" s="85"/>
      <c r="H450" s="86"/>
      <c r="I450" s="87"/>
      <c r="J450" s="86"/>
      <c r="K450" s="88"/>
      <c r="L450" s="86"/>
      <c r="M450" s="88"/>
      <c r="N450" s="86"/>
      <c r="O450" s="88"/>
      <c r="P450" s="86"/>
      <c r="Q450" s="88"/>
      <c r="R450" s="86"/>
      <c r="S450" s="88"/>
      <c r="T450" s="86"/>
      <c r="U450" s="88"/>
      <c r="V450" s="86"/>
      <c r="W450" s="88"/>
      <c r="X450" s="86"/>
      <c r="Y450" s="88"/>
      <c r="Z450" s="86"/>
      <c r="AA450" s="88"/>
      <c r="AB450" s="86"/>
      <c r="AC450" s="88"/>
      <c r="AD450" s="86"/>
      <c r="AE450" s="88"/>
      <c r="AF450" s="86"/>
      <c r="AG450" s="88"/>
      <c r="AH450" s="86"/>
      <c r="AI450" s="88"/>
      <c r="AJ450" s="86"/>
      <c r="AK450" s="88"/>
      <c r="AL450" s="86"/>
      <c r="AM450" s="88"/>
      <c r="AN450" s="86"/>
      <c r="AO450" s="88"/>
      <c r="AP450" s="86"/>
      <c r="AQ450" s="88"/>
      <c r="AR450" s="86"/>
      <c r="AS450" s="88"/>
      <c r="AT450" s="86"/>
      <c r="AU450" s="88"/>
      <c r="AV450" s="86"/>
      <c r="AW450" s="88"/>
      <c r="AX450" s="86"/>
      <c r="AY450" s="88"/>
      <c r="AZ450" s="86"/>
      <c r="BA450" s="88"/>
      <c r="BB450" s="86"/>
      <c r="BC450" s="88"/>
      <c r="BD450" s="86"/>
      <c r="BE450" s="88"/>
      <c r="BF450" s="86"/>
      <c r="BG450" s="88"/>
      <c r="BH450" s="86"/>
      <c r="BI450" s="88"/>
      <c r="BJ450" s="86"/>
      <c r="BK450" s="88"/>
      <c r="BL450" s="86"/>
      <c r="BM450" s="88"/>
      <c r="BN450" s="86"/>
      <c r="BO450" s="88"/>
      <c r="BP450" s="86"/>
      <c r="BQ450" s="88"/>
      <c r="BR450" s="86"/>
      <c r="BS450" s="87"/>
    </row>
    <row r="451" ht="22.5" customHeight="1">
      <c r="A451" s="154"/>
      <c r="B451" s="83"/>
      <c r="C451" s="151"/>
      <c r="D451" s="83"/>
      <c r="E451" s="151"/>
      <c r="F451" s="83"/>
      <c r="G451" s="85"/>
      <c r="H451" s="86"/>
      <c r="I451" s="87"/>
      <c r="J451" s="86"/>
      <c r="K451" s="88"/>
      <c r="L451" s="86"/>
      <c r="M451" s="88"/>
      <c r="N451" s="86"/>
      <c r="O451" s="88"/>
      <c r="P451" s="86"/>
      <c r="Q451" s="88"/>
      <c r="R451" s="86"/>
      <c r="S451" s="88"/>
      <c r="T451" s="86"/>
      <c r="U451" s="88"/>
      <c r="V451" s="86"/>
      <c r="W451" s="88"/>
      <c r="X451" s="86"/>
      <c r="Y451" s="88"/>
      <c r="Z451" s="86"/>
      <c r="AA451" s="88"/>
      <c r="AB451" s="86"/>
      <c r="AC451" s="88"/>
      <c r="AD451" s="86"/>
      <c r="AE451" s="88"/>
      <c r="AF451" s="86"/>
      <c r="AG451" s="88"/>
      <c r="AH451" s="86"/>
      <c r="AI451" s="88"/>
      <c r="AJ451" s="86"/>
      <c r="AK451" s="88"/>
      <c r="AL451" s="86"/>
      <c r="AM451" s="88"/>
      <c r="AN451" s="86"/>
      <c r="AO451" s="88"/>
      <c r="AP451" s="86"/>
      <c r="AQ451" s="88"/>
      <c r="AR451" s="86"/>
      <c r="AS451" s="88"/>
      <c r="AT451" s="86"/>
      <c r="AU451" s="88"/>
      <c r="AV451" s="86"/>
      <c r="AW451" s="88"/>
      <c r="AX451" s="86"/>
      <c r="AY451" s="88"/>
      <c r="AZ451" s="86"/>
      <c r="BA451" s="88"/>
      <c r="BB451" s="86"/>
      <c r="BC451" s="88"/>
      <c r="BD451" s="86"/>
      <c r="BE451" s="88"/>
      <c r="BF451" s="86"/>
      <c r="BG451" s="88"/>
      <c r="BH451" s="86"/>
      <c r="BI451" s="88"/>
      <c r="BJ451" s="86"/>
      <c r="BK451" s="88"/>
      <c r="BL451" s="86"/>
      <c r="BM451" s="88"/>
      <c r="BN451" s="86"/>
      <c r="BO451" s="88"/>
      <c r="BP451" s="86"/>
      <c r="BQ451" s="88"/>
      <c r="BR451" s="86"/>
      <c r="BS451" s="87"/>
    </row>
    <row r="452" ht="22.5" customHeight="1">
      <c r="A452" s="154"/>
      <c r="B452" s="83"/>
      <c r="C452" s="151"/>
      <c r="D452" s="83"/>
      <c r="E452" s="151"/>
      <c r="F452" s="83"/>
      <c r="G452" s="85"/>
      <c r="H452" s="86"/>
      <c r="I452" s="87"/>
      <c r="J452" s="86"/>
      <c r="K452" s="88"/>
      <c r="L452" s="86"/>
      <c r="M452" s="88"/>
      <c r="N452" s="86"/>
      <c r="O452" s="88"/>
      <c r="P452" s="86"/>
      <c r="Q452" s="88"/>
      <c r="R452" s="86"/>
      <c r="S452" s="88"/>
      <c r="T452" s="86"/>
      <c r="U452" s="88"/>
      <c r="V452" s="86"/>
      <c r="W452" s="88"/>
      <c r="X452" s="86"/>
      <c r="Y452" s="88"/>
      <c r="Z452" s="86"/>
      <c r="AA452" s="88"/>
      <c r="AB452" s="86"/>
      <c r="AC452" s="88"/>
      <c r="AD452" s="86"/>
      <c r="AE452" s="88"/>
      <c r="AF452" s="86"/>
      <c r="AG452" s="88"/>
      <c r="AH452" s="86"/>
      <c r="AI452" s="88"/>
      <c r="AJ452" s="86"/>
      <c r="AK452" s="88"/>
      <c r="AL452" s="86"/>
      <c r="AM452" s="88"/>
      <c r="AN452" s="86"/>
      <c r="AO452" s="88"/>
      <c r="AP452" s="86"/>
      <c r="AQ452" s="88"/>
      <c r="AR452" s="86"/>
      <c r="AS452" s="88"/>
      <c r="AT452" s="86"/>
      <c r="AU452" s="88"/>
      <c r="AV452" s="86"/>
      <c r="AW452" s="88"/>
      <c r="AX452" s="86"/>
      <c r="AY452" s="88"/>
      <c r="AZ452" s="86"/>
      <c r="BA452" s="88"/>
      <c r="BB452" s="86"/>
      <c r="BC452" s="88"/>
      <c r="BD452" s="86"/>
      <c r="BE452" s="88"/>
      <c r="BF452" s="86"/>
      <c r="BG452" s="88"/>
      <c r="BH452" s="86"/>
      <c r="BI452" s="88"/>
      <c r="BJ452" s="86"/>
      <c r="BK452" s="88"/>
      <c r="BL452" s="86"/>
      <c r="BM452" s="88"/>
      <c r="BN452" s="86"/>
      <c r="BO452" s="88"/>
      <c r="BP452" s="86"/>
      <c r="BQ452" s="88"/>
      <c r="BR452" s="86"/>
      <c r="BS452" s="87"/>
    </row>
    <row r="453" ht="22.5" customHeight="1">
      <c r="A453" s="154"/>
      <c r="B453" s="83"/>
      <c r="C453" s="151"/>
      <c r="D453" s="83"/>
      <c r="E453" s="151"/>
      <c r="F453" s="83"/>
      <c r="G453" s="85"/>
      <c r="H453" s="86"/>
      <c r="I453" s="87"/>
      <c r="J453" s="86"/>
      <c r="K453" s="88"/>
      <c r="L453" s="86"/>
      <c r="M453" s="88"/>
      <c r="N453" s="86"/>
      <c r="O453" s="88"/>
      <c r="P453" s="86"/>
      <c r="Q453" s="88"/>
      <c r="R453" s="86"/>
      <c r="S453" s="88"/>
      <c r="T453" s="86"/>
      <c r="U453" s="88"/>
      <c r="V453" s="86"/>
      <c r="W453" s="88"/>
      <c r="X453" s="86"/>
      <c r="Y453" s="88"/>
      <c r="Z453" s="86"/>
      <c r="AA453" s="88"/>
      <c r="AB453" s="86"/>
      <c r="AC453" s="88"/>
      <c r="AD453" s="86"/>
      <c r="AE453" s="88"/>
      <c r="AF453" s="86"/>
      <c r="AG453" s="88"/>
      <c r="AH453" s="86"/>
      <c r="AI453" s="88"/>
      <c r="AJ453" s="86"/>
      <c r="AK453" s="88"/>
      <c r="AL453" s="86"/>
      <c r="AM453" s="88"/>
      <c r="AN453" s="86"/>
      <c r="AO453" s="88"/>
      <c r="AP453" s="86"/>
      <c r="AQ453" s="88"/>
      <c r="AR453" s="86"/>
      <c r="AS453" s="88"/>
      <c r="AT453" s="86"/>
      <c r="AU453" s="88"/>
      <c r="AV453" s="86"/>
      <c r="AW453" s="88"/>
      <c r="AX453" s="86"/>
      <c r="AY453" s="88"/>
      <c r="AZ453" s="86"/>
      <c r="BA453" s="88"/>
      <c r="BB453" s="86"/>
      <c r="BC453" s="88"/>
      <c r="BD453" s="86"/>
      <c r="BE453" s="88"/>
      <c r="BF453" s="86"/>
      <c r="BG453" s="88"/>
      <c r="BH453" s="86"/>
      <c r="BI453" s="88"/>
      <c r="BJ453" s="86"/>
      <c r="BK453" s="88"/>
      <c r="BL453" s="86"/>
      <c r="BM453" s="88"/>
      <c r="BN453" s="86"/>
      <c r="BO453" s="88"/>
      <c r="BP453" s="86"/>
      <c r="BQ453" s="88"/>
      <c r="BR453" s="86"/>
      <c r="BS453" s="87"/>
    </row>
    <row r="454" ht="22.5" customHeight="1">
      <c r="A454" s="154"/>
      <c r="B454" s="83"/>
      <c r="C454" s="151"/>
      <c r="D454" s="83"/>
      <c r="E454" s="151"/>
      <c r="F454" s="83"/>
      <c r="G454" s="85"/>
      <c r="H454" s="86"/>
      <c r="I454" s="87"/>
      <c r="J454" s="86"/>
      <c r="K454" s="88"/>
      <c r="L454" s="86"/>
      <c r="M454" s="88"/>
      <c r="N454" s="86"/>
      <c r="O454" s="88"/>
      <c r="P454" s="86"/>
      <c r="Q454" s="88"/>
      <c r="R454" s="86"/>
      <c r="S454" s="88"/>
      <c r="T454" s="86"/>
      <c r="U454" s="88"/>
      <c r="V454" s="86"/>
      <c r="W454" s="88"/>
      <c r="X454" s="86"/>
      <c r="Y454" s="88"/>
      <c r="Z454" s="86"/>
      <c r="AA454" s="88"/>
      <c r="AB454" s="86"/>
      <c r="AC454" s="88"/>
      <c r="AD454" s="86"/>
      <c r="AE454" s="88"/>
      <c r="AF454" s="86"/>
      <c r="AG454" s="88"/>
      <c r="AH454" s="86"/>
      <c r="AI454" s="88"/>
      <c r="AJ454" s="86"/>
      <c r="AK454" s="88"/>
      <c r="AL454" s="86"/>
      <c r="AM454" s="88"/>
      <c r="AN454" s="86"/>
      <c r="AO454" s="88"/>
      <c r="AP454" s="86"/>
      <c r="AQ454" s="88"/>
      <c r="AR454" s="86"/>
      <c r="AS454" s="88"/>
      <c r="AT454" s="86"/>
      <c r="AU454" s="88"/>
      <c r="AV454" s="86"/>
      <c r="AW454" s="88"/>
      <c r="AX454" s="86"/>
      <c r="AY454" s="88"/>
      <c r="AZ454" s="86"/>
      <c r="BA454" s="88"/>
      <c r="BB454" s="86"/>
      <c r="BC454" s="88"/>
      <c r="BD454" s="86"/>
      <c r="BE454" s="88"/>
      <c r="BF454" s="86"/>
      <c r="BG454" s="88"/>
      <c r="BH454" s="86"/>
      <c r="BI454" s="88"/>
      <c r="BJ454" s="86"/>
      <c r="BK454" s="88"/>
      <c r="BL454" s="86"/>
      <c r="BM454" s="88"/>
      <c r="BN454" s="86"/>
      <c r="BO454" s="88"/>
      <c r="BP454" s="86"/>
      <c r="BQ454" s="88"/>
      <c r="BR454" s="86"/>
      <c r="BS454" s="87"/>
    </row>
    <row r="455" ht="22.5" customHeight="1">
      <c r="A455" s="154"/>
      <c r="B455" s="83"/>
      <c r="C455" s="151"/>
      <c r="D455" s="83"/>
      <c r="E455" s="151"/>
      <c r="F455" s="83"/>
      <c r="G455" s="85"/>
      <c r="H455" s="86"/>
      <c r="I455" s="87"/>
      <c r="J455" s="86"/>
      <c r="K455" s="88"/>
      <c r="L455" s="86"/>
      <c r="M455" s="88"/>
      <c r="N455" s="86"/>
      <c r="O455" s="88"/>
      <c r="P455" s="86"/>
      <c r="Q455" s="88"/>
      <c r="R455" s="86"/>
      <c r="S455" s="88"/>
      <c r="T455" s="86"/>
      <c r="U455" s="88"/>
      <c r="V455" s="86"/>
      <c r="W455" s="88"/>
      <c r="X455" s="86"/>
      <c r="Y455" s="88"/>
      <c r="Z455" s="86"/>
      <c r="AA455" s="88"/>
      <c r="AB455" s="86"/>
      <c r="AC455" s="88"/>
      <c r="AD455" s="86"/>
      <c r="AE455" s="88"/>
      <c r="AF455" s="86"/>
      <c r="AG455" s="88"/>
      <c r="AH455" s="86"/>
      <c r="AI455" s="88"/>
      <c r="AJ455" s="86"/>
      <c r="AK455" s="88"/>
      <c r="AL455" s="86"/>
      <c r="AM455" s="88"/>
      <c r="AN455" s="86"/>
      <c r="AO455" s="88"/>
      <c r="AP455" s="86"/>
      <c r="AQ455" s="88"/>
      <c r="AR455" s="86"/>
      <c r="AS455" s="88"/>
      <c r="AT455" s="86"/>
      <c r="AU455" s="88"/>
      <c r="AV455" s="86"/>
      <c r="AW455" s="88"/>
      <c r="AX455" s="86"/>
      <c r="AY455" s="88"/>
      <c r="AZ455" s="86"/>
      <c r="BA455" s="88"/>
      <c r="BB455" s="86"/>
      <c r="BC455" s="88"/>
      <c r="BD455" s="86"/>
      <c r="BE455" s="88"/>
      <c r="BF455" s="86"/>
      <c r="BG455" s="88"/>
      <c r="BH455" s="86"/>
      <c r="BI455" s="88"/>
      <c r="BJ455" s="86"/>
      <c r="BK455" s="88"/>
      <c r="BL455" s="86"/>
      <c r="BM455" s="88"/>
      <c r="BN455" s="86"/>
      <c r="BO455" s="88"/>
      <c r="BP455" s="86"/>
      <c r="BQ455" s="88"/>
      <c r="BR455" s="86"/>
      <c r="BS455" s="87"/>
    </row>
    <row r="456" ht="22.5" customHeight="1">
      <c r="A456" s="154"/>
      <c r="B456" s="83"/>
      <c r="C456" s="151"/>
      <c r="D456" s="83"/>
      <c r="E456" s="151"/>
      <c r="F456" s="83"/>
      <c r="G456" s="85"/>
      <c r="H456" s="86"/>
      <c r="I456" s="87"/>
      <c r="J456" s="86"/>
      <c r="K456" s="88"/>
      <c r="L456" s="86"/>
      <c r="M456" s="88"/>
      <c r="N456" s="86"/>
      <c r="O456" s="88"/>
      <c r="P456" s="86"/>
      <c r="Q456" s="88"/>
      <c r="R456" s="86"/>
      <c r="S456" s="88"/>
      <c r="T456" s="86"/>
      <c r="U456" s="88"/>
      <c r="V456" s="86"/>
      <c r="W456" s="88"/>
      <c r="X456" s="86"/>
      <c r="Y456" s="88"/>
      <c r="Z456" s="86"/>
      <c r="AA456" s="88"/>
      <c r="AB456" s="86"/>
      <c r="AC456" s="88"/>
      <c r="AD456" s="86"/>
      <c r="AE456" s="88"/>
      <c r="AF456" s="86"/>
      <c r="AG456" s="88"/>
      <c r="AH456" s="86"/>
      <c r="AI456" s="88"/>
      <c r="AJ456" s="86"/>
      <c r="AK456" s="88"/>
      <c r="AL456" s="86"/>
      <c r="AM456" s="88"/>
      <c r="AN456" s="86"/>
      <c r="AO456" s="88"/>
      <c r="AP456" s="86"/>
      <c r="AQ456" s="88"/>
      <c r="AR456" s="86"/>
      <c r="AS456" s="88"/>
      <c r="AT456" s="86"/>
      <c r="AU456" s="88"/>
      <c r="AV456" s="86"/>
      <c r="AW456" s="88"/>
      <c r="AX456" s="86"/>
      <c r="AY456" s="88"/>
      <c r="AZ456" s="86"/>
      <c r="BA456" s="88"/>
      <c r="BB456" s="86"/>
      <c r="BC456" s="88"/>
      <c r="BD456" s="86"/>
      <c r="BE456" s="88"/>
      <c r="BF456" s="86"/>
      <c r="BG456" s="88"/>
      <c r="BH456" s="86"/>
      <c r="BI456" s="88"/>
      <c r="BJ456" s="86"/>
      <c r="BK456" s="88"/>
      <c r="BL456" s="86"/>
      <c r="BM456" s="88"/>
      <c r="BN456" s="86"/>
      <c r="BO456" s="88"/>
      <c r="BP456" s="86"/>
      <c r="BQ456" s="88"/>
      <c r="BR456" s="86"/>
      <c r="BS456" s="87"/>
    </row>
    <row r="457" ht="22.5" customHeight="1">
      <c r="A457" s="154"/>
      <c r="B457" s="83"/>
      <c r="C457" s="151"/>
      <c r="D457" s="83"/>
      <c r="E457" s="151"/>
      <c r="F457" s="83"/>
      <c r="G457" s="85"/>
      <c r="H457" s="86"/>
      <c r="I457" s="87"/>
      <c r="J457" s="86"/>
      <c r="K457" s="88"/>
      <c r="L457" s="86"/>
      <c r="M457" s="88"/>
      <c r="N457" s="86"/>
      <c r="O457" s="88"/>
      <c r="P457" s="86"/>
      <c r="Q457" s="88"/>
      <c r="R457" s="86"/>
      <c r="S457" s="88"/>
      <c r="T457" s="86"/>
      <c r="U457" s="88"/>
      <c r="V457" s="86"/>
      <c r="W457" s="88"/>
      <c r="X457" s="86"/>
      <c r="Y457" s="88"/>
      <c r="Z457" s="86"/>
      <c r="AA457" s="88"/>
      <c r="AB457" s="86"/>
      <c r="AC457" s="88"/>
      <c r="AD457" s="86"/>
      <c r="AE457" s="88"/>
      <c r="AF457" s="86"/>
      <c r="AG457" s="88"/>
      <c r="AH457" s="86"/>
      <c r="AI457" s="88"/>
      <c r="AJ457" s="86"/>
      <c r="AK457" s="88"/>
      <c r="AL457" s="86"/>
      <c r="AM457" s="88"/>
      <c r="AN457" s="86"/>
      <c r="AO457" s="88"/>
      <c r="AP457" s="86"/>
      <c r="AQ457" s="88"/>
      <c r="AR457" s="86"/>
      <c r="AS457" s="88"/>
      <c r="AT457" s="86"/>
      <c r="AU457" s="88"/>
      <c r="AV457" s="86"/>
      <c r="AW457" s="88"/>
      <c r="AX457" s="86"/>
      <c r="AY457" s="88"/>
      <c r="AZ457" s="86"/>
      <c r="BA457" s="88"/>
      <c r="BB457" s="86"/>
      <c r="BC457" s="88"/>
      <c r="BD457" s="86"/>
      <c r="BE457" s="88"/>
      <c r="BF457" s="86"/>
      <c r="BG457" s="88"/>
      <c r="BH457" s="86"/>
      <c r="BI457" s="88"/>
      <c r="BJ457" s="86"/>
      <c r="BK457" s="88"/>
      <c r="BL457" s="86"/>
      <c r="BM457" s="88"/>
      <c r="BN457" s="86"/>
      <c r="BO457" s="88"/>
      <c r="BP457" s="86"/>
      <c r="BQ457" s="88"/>
      <c r="BR457" s="86"/>
      <c r="BS457" s="87"/>
    </row>
    <row r="458" ht="22.5" customHeight="1">
      <c r="A458" s="154"/>
      <c r="B458" s="83"/>
      <c r="C458" s="151"/>
      <c r="D458" s="83"/>
      <c r="E458" s="151"/>
      <c r="F458" s="83"/>
      <c r="G458" s="85"/>
      <c r="H458" s="86"/>
      <c r="I458" s="87"/>
      <c r="J458" s="86"/>
      <c r="K458" s="88"/>
      <c r="L458" s="86"/>
      <c r="M458" s="88"/>
      <c r="N458" s="86"/>
      <c r="O458" s="88"/>
      <c r="P458" s="86"/>
      <c r="Q458" s="88"/>
      <c r="R458" s="86"/>
      <c r="S458" s="88"/>
      <c r="T458" s="86"/>
      <c r="U458" s="88"/>
      <c r="V458" s="86"/>
      <c r="W458" s="88"/>
      <c r="X458" s="86"/>
      <c r="Y458" s="88"/>
      <c r="Z458" s="86"/>
      <c r="AA458" s="88"/>
      <c r="AB458" s="86"/>
      <c r="AC458" s="88"/>
      <c r="AD458" s="86"/>
      <c r="AE458" s="88"/>
      <c r="AF458" s="86"/>
      <c r="AG458" s="88"/>
      <c r="AH458" s="86"/>
      <c r="AI458" s="88"/>
      <c r="AJ458" s="86"/>
      <c r="AK458" s="88"/>
      <c r="AL458" s="86"/>
      <c r="AM458" s="88"/>
      <c r="AN458" s="86"/>
      <c r="AO458" s="88"/>
      <c r="AP458" s="86"/>
      <c r="AQ458" s="88"/>
      <c r="AR458" s="86"/>
      <c r="AS458" s="88"/>
      <c r="AT458" s="86"/>
      <c r="AU458" s="88"/>
      <c r="AV458" s="86"/>
      <c r="AW458" s="88"/>
      <c r="AX458" s="86"/>
      <c r="AY458" s="88"/>
      <c r="AZ458" s="86"/>
      <c r="BA458" s="88"/>
      <c r="BB458" s="86"/>
      <c r="BC458" s="88"/>
      <c r="BD458" s="86"/>
      <c r="BE458" s="88"/>
      <c r="BF458" s="86"/>
      <c r="BG458" s="88"/>
      <c r="BH458" s="86"/>
      <c r="BI458" s="88"/>
      <c r="BJ458" s="86"/>
      <c r="BK458" s="88"/>
      <c r="BL458" s="86"/>
      <c r="BM458" s="88"/>
      <c r="BN458" s="86"/>
      <c r="BO458" s="88"/>
      <c r="BP458" s="86"/>
      <c r="BQ458" s="88"/>
      <c r="BR458" s="86"/>
      <c r="BS458" s="87"/>
    </row>
    <row r="459" ht="22.5" customHeight="1">
      <c r="A459" s="154"/>
      <c r="B459" s="83"/>
      <c r="C459" s="151"/>
      <c r="D459" s="83"/>
      <c r="E459" s="151"/>
      <c r="F459" s="83"/>
      <c r="G459" s="85"/>
      <c r="H459" s="86"/>
      <c r="I459" s="87"/>
      <c r="J459" s="86"/>
      <c r="K459" s="88"/>
      <c r="L459" s="86"/>
      <c r="M459" s="88"/>
      <c r="N459" s="86"/>
      <c r="O459" s="88"/>
      <c r="P459" s="86"/>
      <c r="Q459" s="88"/>
      <c r="R459" s="86"/>
      <c r="S459" s="88"/>
      <c r="T459" s="86"/>
      <c r="U459" s="88"/>
      <c r="V459" s="86"/>
      <c r="W459" s="88"/>
      <c r="X459" s="86"/>
      <c r="Y459" s="88"/>
      <c r="Z459" s="86"/>
      <c r="AA459" s="88"/>
      <c r="AB459" s="86"/>
      <c r="AC459" s="88"/>
      <c r="AD459" s="86"/>
      <c r="AE459" s="88"/>
      <c r="AF459" s="86"/>
      <c r="AG459" s="88"/>
      <c r="AH459" s="86"/>
      <c r="AI459" s="88"/>
      <c r="AJ459" s="86"/>
      <c r="AK459" s="88"/>
      <c r="AL459" s="86"/>
      <c r="AM459" s="88"/>
      <c r="AN459" s="86"/>
      <c r="AO459" s="88"/>
      <c r="AP459" s="86"/>
      <c r="AQ459" s="88"/>
      <c r="AR459" s="86"/>
      <c r="AS459" s="88"/>
      <c r="AT459" s="86"/>
      <c r="AU459" s="88"/>
      <c r="AV459" s="86"/>
      <c r="AW459" s="88"/>
      <c r="AX459" s="86"/>
      <c r="AY459" s="88"/>
      <c r="AZ459" s="86"/>
      <c r="BA459" s="88"/>
      <c r="BB459" s="86"/>
      <c r="BC459" s="88"/>
      <c r="BD459" s="86"/>
      <c r="BE459" s="88"/>
      <c r="BF459" s="86"/>
      <c r="BG459" s="88"/>
      <c r="BH459" s="86"/>
      <c r="BI459" s="88"/>
      <c r="BJ459" s="86"/>
      <c r="BK459" s="88"/>
      <c r="BL459" s="86"/>
      <c r="BM459" s="88"/>
      <c r="BN459" s="86"/>
      <c r="BO459" s="88"/>
      <c r="BP459" s="86"/>
      <c r="BQ459" s="88"/>
      <c r="BR459" s="86"/>
      <c r="BS459" s="87"/>
    </row>
    <row r="460" ht="22.5" customHeight="1">
      <c r="A460" s="154"/>
      <c r="B460" s="83"/>
      <c r="C460" s="151"/>
      <c r="D460" s="83"/>
      <c r="E460" s="151"/>
      <c r="F460" s="83"/>
      <c r="G460" s="85"/>
      <c r="H460" s="86"/>
      <c r="I460" s="87"/>
      <c r="J460" s="86"/>
      <c r="K460" s="88"/>
      <c r="L460" s="86"/>
      <c r="M460" s="88"/>
      <c r="N460" s="86"/>
      <c r="O460" s="88"/>
      <c r="P460" s="86"/>
      <c r="Q460" s="88"/>
      <c r="R460" s="86"/>
      <c r="S460" s="88"/>
      <c r="T460" s="86"/>
      <c r="U460" s="88"/>
      <c r="V460" s="86"/>
      <c r="W460" s="88"/>
      <c r="X460" s="86"/>
      <c r="Y460" s="88"/>
      <c r="Z460" s="86"/>
      <c r="AA460" s="88"/>
      <c r="AB460" s="86"/>
      <c r="AC460" s="88"/>
      <c r="AD460" s="86"/>
      <c r="AE460" s="88"/>
      <c r="AF460" s="86"/>
      <c r="AG460" s="88"/>
      <c r="AH460" s="86"/>
      <c r="AI460" s="88"/>
      <c r="AJ460" s="86"/>
      <c r="AK460" s="88"/>
      <c r="AL460" s="86"/>
      <c r="AM460" s="88"/>
      <c r="AN460" s="86"/>
      <c r="AO460" s="88"/>
      <c r="AP460" s="86"/>
      <c r="AQ460" s="88"/>
      <c r="AR460" s="86"/>
      <c r="AS460" s="88"/>
      <c r="AT460" s="86"/>
      <c r="AU460" s="88"/>
      <c r="AV460" s="86"/>
      <c r="AW460" s="88"/>
      <c r="AX460" s="86"/>
      <c r="AY460" s="88"/>
      <c r="AZ460" s="86"/>
      <c r="BA460" s="88"/>
      <c r="BB460" s="86"/>
      <c r="BC460" s="88"/>
      <c r="BD460" s="86"/>
      <c r="BE460" s="88"/>
      <c r="BF460" s="86"/>
      <c r="BG460" s="88"/>
      <c r="BH460" s="86"/>
      <c r="BI460" s="88"/>
      <c r="BJ460" s="86"/>
      <c r="BK460" s="88"/>
      <c r="BL460" s="86"/>
      <c r="BM460" s="88"/>
      <c r="BN460" s="86"/>
      <c r="BO460" s="88"/>
      <c r="BP460" s="86"/>
      <c r="BQ460" s="88"/>
      <c r="BR460" s="86"/>
      <c r="BS460" s="87"/>
    </row>
    <row r="461" ht="22.5" customHeight="1">
      <c r="A461" s="154"/>
      <c r="B461" s="83"/>
      <c r="C461" s="151"/>
      <c r="D461" s="83"/>
      <c r="E461" s="151"/>
      <c r="F461" s="83"/>
      <c r="G461" s="85"/>
      <c r="H461" s="86"/>
      <c r="I461" s="87"/>
      <c r="J461" s="86"/>
      <c r="K461" s="88"/>
      <c r="L461" s="86"/>
      <c r="M461" s="88"/>
      <c r="N461" s="86"/>
      <c r="O461" s="88"/>
      <c r="P461" s="86"/>
      <c r="Q461" s="88"/>
      <c r="R461" s="86"/>
      <c r="S461" s="88"/>
      <c r="T461" s="86"/>
      <c r="U461" s="88"/>
      <c r="V461" s="86"/>
      <c r="W461" s="88"/>
      <c r="X461" s="86"/>
      <c r="Y461" s="88"/>
      <c r="Z461" s="86"/>
      <c r="AA461" s="88"/>
      <c r="AB461" s="86"/>
      <c r="AC461" s="88"/>
      <c r="AD461" s="86"/>
      <c r="AE461" s="88"/>
      <c r="AF461" s="86"/>
      <c r="AG461" s="88"/>
      <c r="AH461" s="86"/>
      <c r="AI461" s="88"/>
      <c r="AJ461" s="86"/>
      <c r="AK461" s="88"/>
      <c r="AL461" s="86"/>
      <c r="AM461" s="88"/>
      <c r="AN461" s="86"/>
      <c r="AO461" s="88"/>
      <c r="AP461" s="86"/>
      <c r="AQ461" s="88"/>
      <c r="AR461" s="86"/>
      <c r="AS461" s="88"/>
      <c r="AT461" s="86"/>
      <c r="AU461" s="88"/>
      <c r="AV461" s="86"/>
      <c r="AW461" s="88"/>
      <c r="AX461" s="86"/>
      <c r="AY461" s="88"/>
      <c r="AZ461" s="86"/>
      <c r="BA461" s="88"/>
      <c r="BB461" s="86"/>
      <c r="BC461" s="88"/>
      <c r="BD461" s="86"/>
      <c r="BE461" s="88"/>
      <c r="BF461" s="86"/>
      <c r="BG461" s="88"/>
      <c r="BH461" s="86"/>
      <c r="BI461" s="88"/>
      <c r="BJ461" s="86"/>
      <c r="BK461" s="88"/>
      <c r="BL461" s="86"/>
      <c r="BM461" s="88"/>
      <c r="BN461" s="86"/>
      <c r="BO461" s="88"/>
      <c r="BP461" s="86"/>
      <c r="BQ461" s="88"/>
      <c r="BR461" s="86"/>
      <c r="BS461" s="87"/>
    </row>
    <row r="462" ht="22.5" customHeight="1">
      <c r="A462" s="154"/>
      <c r="B462" s="83"/>
      <c r="C462" s="151"/>
      <c r="D462" s="83"/>
      <c r="E462" s="151"/>
      <c r="F462" s="83"/>
      <c r="G462" s="85"/>
      <c r="H462" s="86"/>
      <c r="I462" s="87"/>
      <c r="J462" s="86"/>
      <c r="K462" s="88"/>
      <c r="L462" s="86"/>
      <c r="M462" s="88"/>
      <c r="N462" s="86"/>
      <c r="O462" s="88"/>
      <c r="P462" s="86"/>
      <c r="Q462" s="88"/>
      <c r="R462" s="86"/>
      <c r="S462" s="88"/>
      <c r="T462" s="86"/>
      <c r="U462" s="88"/>
      <c r="V462" s="86"/>
      <c r="W462" s="88"/>
      <c r="X462" s="86"/>
      <c r="Y462" s="88"/>
      <c r="Z462" s="86"/>
      <c r="AA462" s="88"/>
      <c r="AB462" s="86"/>
      <c r="AC462" s="88"/>
      <c r="AD462" s="86"/>
      <c r="AE462" s="88"/>
      <c r="AF462" s="86"/>
      <c r="AG462" s="88"/>
      <c r="AH462" s="86"/>
      <c r="AI462" s="88"/>
      <c r="AJ462" s="86"/>
      <c r="AK462" s="88"/>
      <c r="AL462" s="86"/>
      <c r="AM462" s="88"/>
      <c r="AN462" s="86"/>
      <c r="AO462" s="88"/>
      <c r="AP462" s="86"/>
      <c r="AQ462" s="88"/>
      <c r="AR462" s="86"/>
      <c r="AS462" s="88"/>
      <c r="AT462" s="86"/>
      <c r="AU462" s="88"/>
      <c r="AV462" s="86"/>
      <c r="AW462" s="88"/>
      <c r="AX462" s="86"/>
      <c r="AY462" s="88"/>
      <c r="AZ462" s="86"/>
      <c r="BA462" s="88"/>
      <c r="BB462" s="86"/>
      <c r="BC462" s="88"/>
      <c r="BD462" s="86"/>
      <c r="BE462" s="88"/>
      <c r="BF462" s="86"/>
      <c r="BG462" s="88"/>
      <c r="BH462" s="86"/>
      <c r="BI462" s="88"/>
      <c r="BJ462" s="86"/>
      <c r="BK462" s="88"/>
      <c r="BL462" s="86"/>
      <c r="BM462" s="88"/>
      <c r="BN462" s="86"/>
      <c r="BO462" s="88"/>
      <c r="BP462" s="86"/>
      <c r="BQ462" s="88"/>
      <c r="BR462" s="86"/>
      <c r="BS462" s="87"/>
    </row>
    <row r="463" ht="22.5" customHeight="1">
      <c r="A463" s="154"/>
      <c r="B463" s="83"/>
      <c r="C463" s="151"/>
      <c r="D463" s="83"/>
      <c r="E463" s="151"/>
      <c r="F463" s="83"/>
      <c r="G463" s="85"/>
      <c r="H463" s="86"/>
      <c r="I463" s="87"/>
      <c r="J463" s="86"/>
      <c r="K463" s="88"/>
      <c r="L463" s="86"/>
      <c r="M463" s="88"/>
      <c r="N463" s="86"/>
      <c r="O463" s="88"/>
      <c r="P463" s="86"/>
      <c r="Q463" s="88"/>
      <c r="R463" s="86"/>
      <c r="S463" s="88"/>
      <c r="T463" s="86"/>
      <c r="U463" s="88"/>
      <c r="V463" s="86"/>
      <c r="W463" s="88"/>
      <c r="X463" s="86"/>
      <c r="Y463" s="88"/>
      <c r="Z463" s="86"/>
      <c r="AA463" s="88"/>
      <c r="AB463" s="86"/>
      <c r="AC463" s="88"/>
      <c r="AD463" s="86"/>
      <c r="AE463" s="88"/>
      <c r="AF463" s="86"/>
      <c r="AG463" s="88"/>
      <c r="AH463" s="86"/>
      <c r="AI463" s="88"/>
      <c r="AJ463" s="86"/>
      <c r="AK463" s="88"/>
      <c r="AL463" s="86"/>
      <c r="AM463" s="88"/>
      <c r="AN463" s="86"/>
      <c r="AO463" s="88"/>
      <c r="AP463" s="86"/>
      <c r="AQ463" s="88"/>
      <c r="AR463" s="86"/>
      <c r="AS463" s="88"/>
      <c r="AT463" s="86"/>
      <c r="AU463" s="88"/>
      <c r="AV463" s="86"/>
      <c r="AW463" s="88"/>
      <c r="AX463" s="86"/>
      <c r="AY463" s="88"/>
      <c r="AZ463" s="86"/>
      <c r="BA463" s="88"/>
      <c r="BB463" s="86"/>
      <c r="BC463" s="88"/>
      <c r="BD463" s="86"/>
      <c r="BE463" s="88"/>
      <c r="BF463" s="86"/>
      <c r="BG463" s="88"/>
      <c r="BH463" s="86"/>
      <c r="BI463" s="88"/>
      <c r="BJ463" s="86"/>
      <c r="BK463" s="88"/>
      <c r="BL463" s="86"/>
      <c r="BM463" s="88"/>
      <c r="BN463" s="86"/>
      <c r="BO463" s="88"/>
      <c r="BP463" s="86"/>
      <c r="BQ463" s="88"/>
      <c r="BR463" s="86"/>
      <c r="BS463" s="87"/>
    </row>
    <row r="464" ht="22.5" customHeight="1">
      <c r="A464" s="154"/>
      <c r="B464" s="83"/>
      <c r="C464" s="151"/>
      <c r="D464" s="83"/>
      <c r="E464" s="151"/>
      <c r="F464" s="83"/>
      <c r="G464" s="85"/>
      <c r="H464" s="86"/>
      <c r="I464" s="87"/>
      <c r="J464" s="86"/>
      <c r="K464" s="88"/>
      <c r="L464" s="86"/>
      <c r="M464" s="88"/>
      <c r="N464" s="86"/>
      <c r="O464" s="88"/>
      <c r="P464" s="86"/>
      <c r="Q464" s="88"/>
      <c r="R464" s="86"/>
      <c r="S464" s="88"/>
      <c r="T464" s="86"/>
      <c r="U464" s="88"/>
      <c r="V464" s="86"/>
      <c r="W464" s="88"/>
      <c r="X464" s="86"/>
      <c r="Y464" s="88"/>
      <c r="Z464" s="86"/>
      <c r="AA464" s="88"/>
      <c r="AB464" s="86"/>
      <c r="AC464" s="88"/>
      <c r="AD464" s="86"/>
      <c r="AE464" s="88"/>
      <c r="AF464" s="86"/>
      <c r="AG464" s="88"/>
      <c r="AH464" s="86"/>
      <c r="AI464" s="88"/>
      <c r="AJ464" s="86"/>
      <c r="AK464" s="88"/>
      <c r="AL464" s="86"/>
      <c r="AM464" s="88"/>
      <c r="AN464" s="86"/>
      <c r="AO464" s="88"/>
      <c r="AP464" s="86"/>
      <c r="AQ464" s="88"/>
      <c r="AR464" s="86"/>
      <c r="AS464" s="88"/>
      <c r="AT464" s="86"/>
      <c r="AU464" s="88"/>
      <c r="AV464" s="86"/>
      <c r="AW464" s="88"/>
      <c r="AX464" s="86"/>
      <c r="AY464" s="88"/>
      <c r="AZ464" s="86"/>
      <c r="BA464" s="88"/>
      <c r="BB464" s="86"/>
      <c r="BC464" s="88"/>
      <c r="BD464" s="86"/>
      <c r="BE464" s="88"/>
      <c r="BF464" s="86"/>
      <c r="BG464" s="88"/>
      <c r="BH464" s="86"/>
      <c r="BI464" s="88"/>
      <c r="BJ464" s="86"/>
      <c r="BK464" s="88"/>
      <c r="BL464" s="86"/>
      <c r="BM464" s="88"/>
      <c r="BN464" s="86"/>
      <c r="BO464" s="88"/>
      <c r="BP464" s="86"/>
      <c r="BQ464" s="88"/>
      <c r="BR464" s="86"/>
      <c r="BS464" s="87"/>
    </row>
    <row r="465" ht="22.5" customHeight="1">
      <c r="A465" s="154"/>
      <c r="B465" s="83"/>
      <c r="C465" s="151"/>
      <c r="D465" s="83"/>
      <c r="E465" s="151"/>
      <c r="F465" s="83"/>
      <c r="G465" s="85"/>
      <c r="H465" s="86"/>
      <c r="I465" s="87"/>
      <c r="J465" s="86"/>
      <c r="K465" s="88"/>
      <c r="L465" s="86"/>
      <c r="M465" s="88"/>
      <c r="N465" s="86"/>
      <c r="O465" s="88"/>
      <c r="P465" s="86"/>
      <c r="Q465" s="88"/>
      <c r="R465" s="86"/>
      <c r="S465" s="88"/>
      <c r="T465" s="86"/>
      <c r="U465" s="88"/>
      <c r="V465" s="86"/>
      <c r="W465" s="88"/>
      <c r="X465" s="86"/>
      <c r="Y465" s="88"/>
      <c r="Z465" s="86"/>
      <c r="AA465" s="88"/>
      <c r="AB465" s="86"/>
      <c r="AC465" s="88"/>
      <c r="AD465" s="86"/>
      <c r="AE465" s="88"/>
      <c r="AF465" s="86"/>
      <c r="AG465" s="88"/>
      <c r="AH465" s="86"/>
      <c r="AI465" s="88"/>
      <c r="AJ465" s="86"/>
      <c r="AK465" s="88"/>
      <c r="AL465" s="86"/>
      <c r="AM465" s="88"/>
      <c r="AN465" s="86"/>
      <c r="AO465" s="88"/>
      <c r="AP465" s="86"/>
      <c r="AQ465" s="88"/>
      <c r="AR465" s="86"/>
      <c r="AS465" s="88"/>
      <c r="AT465" s="86"/>
      <c r="AU465" s="88"/>
      <c r="AV465" s="86"/>
      <c r="AW465" s="88"/>
      <c r="AX465" s="86"/>
      <c r="AY465" s="88"/>
      <c r="AZ465" s="86"/>
      <c r="BA465" s="88"/>
      <c r="BB465" s="86"/>
      <c r="BC465" s="88"/>
      <c r="BD465" s="86"/>
      <c r="BE465" s="88"/>
      <c r="BF465" s="86"/>
      <c r="BG465" s="88"/>
      <c r="BH465" s="86"/>
      <c r="BI465" s="88"/>
      <c r="BJ465" s="86"/>
      <c r="BK465" s="88"/>
      <c r="BL465" s="86"/>
      <c r="BM465" s="88"/>
      <c r="BN465" s="86"/>
      <c r="BO465" s="88"/>
      <c r="BP465" s="86"/>
      <c r="BQ465" s="88"/>
      <c r="BR465" s="86"/>
      <c r="BS465" s="87"/>
    </row>
    <row r="466" ht="22.5" customHeight="1">
      <c r="A466" s="154"/>
      <c r="B466" s="83"/>
      <c r="C466" s="151"/>
      <c r="D466" s="83"/>
      <c r="E466" s="151"/>
      <c r="F466" s="83"/>
      <c r="G466" s="85"/>
      <c r="H466" s="86"/>
      <c r="I466" s="87"/>
      <c r="J466" s="86"/>
      <c r="K466" s="88"/>
      <c r="L466" s="86"/>
      <c r="M466" s="88"/>
      <c r="N466" s="86"/>
      <c r="O466" s="88"/>
      <c r="P466" s="86"/>
      <c r="Q466" s="88"/>
      <c r="R466" s="86"/>
      <c r="S466" s="88"/>
      <c r="T466" s="86"/>
      <c r="U466" s="88"/>
      <c r="V466" s="86"/>
      <c r="W466" s="88"/>
      <c r="X466" s="86"/>
      <c r="Y466" s="88"/>
      <c r="Z466" s="86"/>
      <c r="AA466" s="88"/>
      <c r="AB466" s="86"/>
      <c r="AC466" s="88"/>
      <c r="AD466" s="86"/>
      <c r="AE466" s="88"/>
      <c r="AF466" s="86"/>
      <c r="AG466" s="88"/>
      <c r="AH466" s="86"/>
      <c r="AI466" s="88"/>
      <c r="AJ466" s="86"/>
      <c r="AK466" s="88"/>
      <c r="AL466" s="86"/>
      <c r="AM466" s="88"/>
      <c r="AN466" s="86"/>
      <c r="AO466" s="88"/>
      <c r="AP466" s="86"/>
      <c r="AQ466" s="88"/>
      <c r="AR466" s="86"/>
      <c r="AS466" s="88"/>
      <c r="AT466" s="86"/>
      <c r="AU466" s="88"/>
      <c r="AV466" s="86"/>
      <c r="AW466" s="88"/>
      <c r="AX466" s="86"/>
      <c r="AY466" s="88"/>
      <c r="AZ466" s="86"/>
      <c r="BA466" s="88"/>
      <c r="BB466" s="86"/>
      <c r="BC466" s="88"/>
      <c r="BD466" s="86"/>
      <c r="BE466" s="88"/>
      <c r="BF466" s="86"/>
      <c r="BG466" s="88"/>
      <c r="BH466" s="86"/>
      <c r="BI466" s="88"/>
      <c r="BJ466" s="86"/>
      <c r="BK466" s="88"/>
      <c r="BL466" s="86"/>
      <c r="BM466" s="88"/>
      <c r="BN466" s="86"/>
      <c r="BO466" s="88"/>
      <c r="BP466" s="86"/>
      <c r="BQ466" s="88"/>
      <c r="BR466" s="86"/>
      <c r="BS466" s="87"/>
    </row>
    <row r="467" ht="22.5" customHeight="1">
      <c r="A467" s="154"/>
      <c r="B467" s="83"/>
      <c r="C467" s="151"/>
      <c r="D467" s="83"/>
      <c r="E467" s="151"/>
      <c r="F467" s="83"/>
      <c r="G467" s="85"/>
      <c r="H467" s="86"/>
      <c r="I467" s="87"/>
      <c r="J467" s="86"/>
      <c r="K467" s="88"/>
      <c r="L467" s="86"/>
      <c r="M467" s="88"/>
      <c r="N467" s="86"/>
      <c r="O467" s="88"/>
      <c r="P467" s="86"/>
      <c r="Q467" s="88"/>
      <c r="R467" s="86"/>
      <c r="S467" s="88"/>
      <c r="T467" s="86"/>
      <c r="U467" s="88"/>
      <c r="V467" s="86"/>
      <c r="W467" s="88"/>
      <c r="X467" s="86"/>
      <c r="Y467" s="88"/>
      <c r="Z467" s="86"/>
      <c r="AA467" s="88"/>
      <c r="AB467" s="86"/>
      <c r="AC467" s="88"/>
      <c r="AD467" s="86"/>
      <c r="AE467" s="88"/>
      <c r="AF467" s="86"/>
      <c r="AG467" s="88"/>
      <c r="AH467" s="86"/>
      <c r="AI467" s="88"/>
      <c r="AJ467" s="86"/>
      <c r="AK467" s="88"/>
      <c r="AL467" s="86"/>
      <c r="AM467" s="88"/>
      <c r="AN467" s="86"/>
      <c r="AO467" s="88"/>
      <c r="AP467" s="86"/>
      <c r="AQ467" s="88"/>
      <c r="AR467" s="86"/>
      <c r="AS467" s="88"/>
      <c r="AT467" s="86"/>
      <c r="AU467" s="88"/>
      <c r="AV467" s="86"/>
      <c r="AW467" s="88"/>
      <c r="AX467" s="86"/>
      <c r="AY467" s="88"/>
      <c r="AZ467" s="86"/>
      <c r="BA467" s="88"/>
      <c r="BB467" s="86"/>
      <c r="BC467" s="88"/>
      <c r="BD467" s="86"/>
      <c r="BE467" s="88"/>
      <c r="BF467" s="86"/>
      <c r="BG467" s="88"/>
      <c r="BH467" s="86"/>
      <c r="BI467" s="88"/>
      <c r="BJ467" s="86"/>
      <c r="BK467" s="88"/>
      <c r="BL467" s="86"/>
      <c r="BM467" s="88"/>
      <c r="BN467" s="86"/>
      <c r="BO467" s="88"/>
      <c r="BP467" s="86"/>
      <c r="BQ467" s="88"/>
      <c r="BR467" s="86"/>
      <c r="BS467" s="87"/>
    </row>
    <row r="468" ht="22.5" customHeight="1">
      <c r="A468" s="154"/>
      <c r="B468" s="83"/>
      <c r="C468" s="151"/>
      <c r="D468" s="83"/>
      <c r="E468" s="151"/>
      <c r="F468" s="83"/>
      <c r="G468" s="85"/>
      <c r="H468" s="86"/>
      <c r="I468" s="87"/>
      <c r="J468" s="86"/>
      <c r="K468" s="88"/>
      <c r="L468" s="86"/>
      <c r="M468" s="88"/>
      <c r="N468" s="86"/>
      <c r="O468" s="88"/>
      <c r="P468" s="86"/>
      <c r="Q468" s="88"/>
      <c r="R468" s="86"/>
      <c r="S468" s="88"/>
      <c r="T468" s="86"/>
      <c r="U468" s="88"/>
      <c r="V468" s="86"/>
      <c r="W468" s="88"/>
      <c r="X468" s="86"/>
      <c r="Y468" s="88"/>
      <c r="Z468" s="86"/>
      <c r="AA468" s="88"/>
      <c r="AB468" s="86"/>
      <c r="AC468" s="88"/>
      <c r="AD468" s="86"/>
      <c r="AE468" s="88"/>
      <c r="AF468" s="86"/>
      <c r="AG468" s="88"/>
      <c r="AH468" s="86"/>
      <c r="AI468" s="88"/>
      <c r="AJ468" s="86"/>
      <c r="AK468" s="88"/>
      <c r="AL468" s="86"/>
      <c r="AM468" s="88"/>
      <c r="AN468" s="86"/>
      <c r="AO468" s="88"/>
      <c r="AP468" s="86"/>
      <c r="AQ468" s="88"/>
      <c r="AR468" s="86"/>
      <c r="AS468" s="88"/>
      <c r="AT468" s="86"/>
      <c r="AU468" s="88"/>
      <c r="AV468" s="86"/>
      <c r="AW468" s="88"/>
      <c r="AX468" s="86"/>
      <c r="AY468" s="88"/>
      <c r="AZ468" s="86"/>
      <c r="BA468" s="88"/>
      <c r="BB468" s="86"/>
      <c r="BC468" s="88"/>
      <c r="BD468" s="86"/>
      <c r="BE468" s="88"/>
      <c r="BF468" s="86"/>
      <c r="BG468" s="88"/>
      <c r="BH468" s="86"/>
      <c r="BI468" s="88"/>
      <c r="BJ468" s="86"/>
      <c r="BK468" s="88"/>
      <c r="BL468" s="86"/>
      <c r="BM468" s="88"/>
      <c r="BN468" s="86"/>
      <c r="BO468" s="88"/>
      <c r="BP468" s="86"/>
      <c r="BQ468" s="88"/>
      <c r="BR468" s="86"/>
      <c r="BS468" s="87"/>
    </row>
    <row r="469" ht="22.5" customHeight="1">
      <c r="A469" s="154"/>
      <c r="B469" s="83"/>
      <c r="C469" s="151"/>
      <c r="D469" s="83"/>
      <c r="E469" s="151"/>
      <c r="F469" s="83"/>
      <c r="G469" s="85"/>
      <c r="H469" s="86"/>
      <c r="I469" s="87"/>
      <c r="J469" s="86"/>
      <c r="K469" s="88"/>
      <c r="L469" s="86"/>
      <c r="M469" s="88"/>
      <c r="N469" s="86"/>
      <c r="O469" s="88"/>
      <c r="P469" s="86"/>
      <c r="Q469" s="88"/>
      <c r="R469" s="86"/>
      <c r="S469" s="88"/>
      <c r="T469" s="86"/>
      <c r="U469" s="88"/>
      <c r="V469" s="86"/>
      <c r="W469" s="88"/>
      <c r="X469" s="86"/>
      <c r="Y469" s="88"/>
      <c r="Z469" s="86"/>
      <c r="AA469" s="88"/>
      <c r="AB469" s="86"/>
      <c r="AC469" s="88"/>
      <c r="AD469" s="86"/>
      <c r="AE469" s="88"/>
      <c r="AF469" s="86"/>
      <c r="AG469" s="88"/>
      <c r="AH469" s="86"/>
      <c r="AI469" s="88"/>
      <c r="AJ469" s="86"/>
      <c r="AK469" s="88"/>
      <c r="AL469" s="86"/>
      <c r="AM469" s="88"/>
      <c r="AN469" s="86"/>
      <c r="AO469" s="88"/>
      <c r="AP469" s="86"/>
      <c r="AQ469" s="88"/>
      <c r="AR469" s="86"/>
      <c r="AS469" s="88"/>
      <c r="AT469" s="86"/>
      <c r="AU469" s="88"/>
      <c r="AV469" s="86"/>
      <c r="AW469" s="88"/>
      <c r="AX469" s="86"/>
      <c r="AY469" s="88"/>
      <c r="AZ469" s="86"/>
      <c r="BA469" s="88"/>
      <c r="BB469" s="86"/>
      <c r="BC469" s="88"/>
      <c r="BD469" s="86"/>
      <c r="BE469" s="88"/>
      <c r="BF469" s="86"/>
      <c r="BG469" s="88"/>
      <c r="BH469" s="86"/>
      <c r="BI469" s="88"/>
      <c r="BJ469" s="86"/>
      <c r="BK469" s="88"/>
      <c r="BL469" s="86"/>
      <c r="BM469" s="88"/>
      <c r="BN469" s="86"/>
      <c r="BO469" s="88"/>
      <c r="BP469" s="86"/>
      <c r="BQ469" s="88"/>
      <c r="BR469" s="86"/>
      <c r="BS469" s="87"/>
    </row>
    <row r="470" ht="22.5" customHeight="1">
      <c r="A470" s="154"/>
      <c r="B470" s="83"/>
      <c r="C470" s="151"/>
      <c r="D470" s="83"/>
      <c r="E470" s="151"/>
      <c r="F470" s="83"/>
      <c r="G470" s="85"/>
      <c r="H470" s="86"/>
      <c r="I470" s="87"/>
      <c r="J470" s="86"/>
      <c r="K470" s="88"/>
      <c r="L470" s="86"/>
      <c r="M470" s="88"/>
      <c r="N470" s="86"/>
      <c r="O470" s="88"/>
      <c r="P470" s="86"/>
      <c r="Q470" s="88"/>
      <c r="R470" s="86"/>
      <c r="S470" s="88"/>
      <c r="T470" s="86"/>
      <c r="U470" s="88"/>
      <c r="V470" s="86"/>
      <c r="W470" s="88"/>
      <c r="X470" s="86"/>
      <c r="Y470" s="88"/>
      <c r="Z470" s="86"/>
      <c r="AA470" s="88"/>
      <c r="AB470" s="86"/>
      <c r="AC470" s="88"/>
      <c r="AD470" s="86"/>
      <c r="AE470" s="88"/>
      <c r="AF470" s="86"/>
      <c r="AG470" s="88"/>
      <c r="AH470" s="86"/>
      <c r="AI470" s="88"/>
      <c r="AJ470" s="86"/>
      <c r="AK470" s="88"/>
      <c r="AL470" s="86"/>
      <c r="AM470" s="88"/>
      <c r="AN470" s="86"/>
      <c r="AO470" s="88"/>
      <c r="AP470" s="86"/>
      <c r="AQ470" s="88"/>
      <c r="AR470" s="86"/>
      <c r="AS470" s="88"/>
      <c r="AT470" s="86"/>
      <c r="AU470" s="88"/>
      <c r="AV470" s="86"/>
      <c r="AW470" s="88"/>
      <c r="AX470" s="86"/>
      <c r="AY470" s="88"/>
      <c r="AZ470" s="86"/>
      <c r="BA470" s="88"/>
      <c r="BB470" s="86"/>
      <c r="BC470" s="88"/>
      <c r="BD470" s="86"/>
      <c r="BE470" s="88"/>
      <c r="BF470" s="86"/>
      <c r="BG470" s="88"/>
      <c r="BH470" s="86"/>
      <c r="BI470" s="88"/>
      <c r="BJ470" s="86"/>
      <c r="BK470" s="88"/>
      <c r="BL470" s="86"/>
      <c r="BM470" s="88"/>
      <c r="BN470" s="86"/>
      <c r="BO470" s="88"/>
      <c r="BP470" s="86"/>
      <c r="BQ470" s="88"/>
      <c r="BR470" s="86"/>
      <c r="BS470" s="87"/>
    </row>
    <row r="471" ht="22.5" customHeight="1">
      <c r="A471" s="154"/>
      <c r="B471" s="83"/>
      <c r="C471" s="151"/>
      <c r="D471" s="83"/>
      <c r="E471" s="151"/>
      <c r="F471" s="83"/>
      <c r="G471" s="85"/>
      <c r="H471" s="86"/>
      <c r="I471" s="87"/>
      <c r="J471" s="86"/>
      <c r="K471" s="88"/>
      <c r="L471" s="86"/>
      <c r="M471" s="88"/>
      <c r="N471" s="86"/>
      <c r="O471" s="88"/>
      <c r="P471" s="86"/>
      <c r="Q471" s="88"/>
      <c r="R471" s="86"/>
      <c r="S471" s="88"/>
      <c r="T471" s="86"/>
      <c r="U471" s="88"/>
      <c r="V471" s="86"/>
      <c r="W471" s="88"/>
      <c r="X471" s="86"/>
      <c r="Y471" s="88"/>
      <c r="Z471" s="86"/>
      <c r="AA471" s="88"/>
      <c r="AB471" s="86"/>
      <c r="AC471" s="88"/>
      <c r="AD471" s="86"/>
      <c r="AE471" s="88"/>
      <c r="AF471" s="86"/>
      <c r="AG471" s="88"/>
      <c r="AH471" s="86"/>
      <c r="AI471" s="88"/>
      <c r="AJ471" s="86"/>
      <c r="AK471" s="88"/>
      <c r="AL471" s="86"/>
      <c r="AM471" s="88"/>
      <c r="AN471" s="86"/>
      <c r="AO471" s="88"/>
      <c r="AP471" s="86"/>
      <c r="AQ471" s="88"/>
      <c r="AR471" s="86"/>
      <c r="AS471" s="88"/>
      <c r="AT471" s="86"/>
      <c r="AU471" s="88"/>
      <c r="AV471" s="86"/>
      <c r="AW471" s="88"/>
      <c r="AX471" s="86"/>
      <c r="AY471" s="88"/>
      <c r="AZ471" s="86"/>
      <c r="BA471" s="88"/>
      <c r="BB471" s="86"/>
      <c r="BC471" s="88"/>
      <c r="BD471" s="86"/>
      <c r="BE471" s="88"/>
      <c r="BF471" s="86"/>
      <c r="BG471" s="88"/>
      <c r="BH471" s="86"/>
      <c r="BI471" s="88"/>
      <c r="BJ471" s="86"/>
      <c r="BK471" s="88"/>
      <c r="BL471" s="86"/>
      <c r="BM471" s="88"/>
      <c r="BN471" s="86"/>
      <c r="BO471" s="88"/>
      <c r="BP471" s="86"/>
      <c r="BQ471" s="88"/>
      <c r="BR471" s="86"/>
      <c r="BS471" s="87"/>
    </row>
    <row r="472" ht="22.5" customHeight="1">
      <c r="A472" s="154"/>
      <c r="B472" s="83"/>
      <c r="C472" s="151"/>
      <c r="D472" s="83"/>
      <c r="E472" s="151"/>
      <c r="F472" s="83"/>
      <c r="G472" s="85"/>
      <c r="H472" s="86"/>
      <c r="I472" s="87"/>
      <c r="J472" s="86"/>
      <c r="K472" s="88"/>
      <c r="L472" s="86"/>
      <c r="M472" s="88"/>
      <c r="N472" s="86"/>
      <c r="O472" s="88"/>
      <c r="P472" s="86"/>
      <c r="Q472" s="88"/>
      <c r="R472" s="86"/>
      <c r="S472" s="88"/>
      <c r="T472" s="86"/>
      <c r="U472" s="88"/>
      <c r="V472" s="86"/>
      <c r="W472" s="88"/>
      <c r="X472" s="86"/>
      <c r="Y472" s="88"/>
      <c r="Z472" s="86"/>
      <c r="AA472" s="88"/>
      <c r="AB472" s="86"/>
      <c r="AC472" s="88"/>
      <c r="AD472" s="86"/>
      <c r="AE472" s="88"/>
      <c r="AF472" s="86"/>
      <c r="AG472" s="88"/>
      <c r="AH472" s="86"/>
      <c r="AI472" s="88"/>
      <c r="AJ472" s="86"/>
      <c r="AK472" s="88"/>
      <c r="AL472" s="86"/>
      <c r="AM472" s="88"/>
      <c r="AN472" s="86"/>
      <c r="AO472" s="88"/>
      <c r="AP472" s="86"/>
      <c r="AQ472" s="88"/>
      <c r="AR472" s="86"/>
      <c r="AS472" s="88"/>
      <c r="AT472" s="86"/>
      <c r="AU472" s="88"/>
      <c r="AV472" s="86"/>
      <c r="AW472" s="88"/>
      <c r="AX472" s="86"/>
      <c r="AY472" s="88"/>
      <c r="AZ472" s="86"/>
      <c r="BA472" s="88"/>
      <c r="BB472" s="86"/>
      <c r="BC472" s="88"/>
      <c r="BD472" s="86"/>
      <c r="BE472" s="88"/>
      <c r="BF472" s="86"/>
      <c r="BG472" s="88"/>
      <c r="BH472" s="86"/>
      <c r="BI472" s="88"/>
      <c r="BJ472" s="86"/>
      <c r="BK472" s="88"/>
      <c r="BL472" s="86"/>
      <c r="BM472" s="88"/>
      <c r="BN472" s="86"/>
      <c r="BO472" s="88"/>
      <c r="BP472" s="86"/>
      <c r="BQ472" s="88"/>
      <c r="BR472" s="86"/>
      <c r="BS472" s="87"/>
    </row>
    <row r="473" ht="22.5" customHeight="1">
      <c r="A473" s="154"/>
      <c r="B473" s="83"/>
      <c r="C473" s="151"/>
      <c r="D473" s="83"/>
      <c r="E473" s="151"/>
      <c r="F473" s="83"/>
      <c r="G473" s="85"/>
      <c r="H473" s="86"/>
      <c r="I473" s="87"/>
      <c r="J473" s="86"/>
      <c r="K473" s="88"/>
      <c r="L473" s="86"/>
      <c r="M473" s="88"/>
      <c r="N473" s="86"/>
      <c r="O473" s="88"/>
      <c r="P473" s="86"/>
      <c r="Q473" s="88"/>
      <c r="R473" s="86"/>
      <c r="S473" s="88"/>
      <c r="T473" s="86"/>
      <c r="U473" s="88"/>
      <c r="V473" s="86"/>
      <c r="W473" s="88"/>
      <c r="X473" s="86"/>
      <c r="Y473" s="88"/>
      <c r="Z473" s="86"/>
      <c r="AA473" s="88"/>
      <c r="AB473" s="86"/>
      <c r="AC473" s="88"/>
      <c r="AD473" s="86"/>
      <c r="AE473" s="88"/>
      <c r="AF473" s="86"/>
      <c r="AG473" s="88"/>
      <c r="AH473" s="86"/>
      <c r="AI473" s="88"/>
      <c r="AJ473" s="86"/>
      <c r="AK473" s="88"/>
      <c r="AL473" s="86"/>
      <c r="AM473" s="88"/>
      <c r="AN473" s="86"/>
      <c r="AO473" s="88"/>
      <c r="AP473" s="86"/>
      <c r="AQ473" s="88"/>
      <c r="AR473" s="86"/>
      <c r="AS473" s="88"/>
      <c r="AT473" s="86"/>
      <c r="AU473" s="88"/>
      <c r="AV473" s="86"/>
      <c r="AW473" s="88"/>
      <c r="AX473" s="86"/>
      <c r="AY473" s="88"/>
      <c r="AZ473" s="86"/>
      <c r="BA473" s="88"/>
      <c r="BB473" s="86"/>
      <c r="BC473" s="88"/>
      <c r="BD473" s="86"/>
      <c r="BE473" s="88"/>
      <c r="BF473" s="86"/>
      <c r="BG473" s="88"/>
      <c r="BH473" s="86"/>
      <c r="BI473" s="88"/>
      <c r="BJ473" s="86"/>
      <c r="BK473" s="88"/>
      <c r="BL473" s="86"/>
      <c r="BM473" s="88"/>
      <c r="BN473" s="86"/>
      <c r="BO473" s="88"/>
      <c r="BP473" s="86"/>
      <c r="BQ473" s="88"/>
      <c r="BR473" s="86"/>
      <c r="BS473" s="87"/>
    </row>
    <row r="474" ht="22.5" customHeight="1">
      <c r="A474" s="154"/>
      <c r="B474" s="83"/>
      <c r="C474" s="151"/>
      <c r="D474" s="83"/>
      <c r="E474" s="151"/>
      <c r="F474" s="83"/>
      <c r="G474" s="85"/>
      <c r="H474" s="86"/>
      <c r="I474" s="87"/>
      <c r="J474" s="86"/>
      <c r="K474" s="88"/>
      <c r="L474" s="86"/>
      <c r="M474" s="88"/>
      <c r="N474" s="86"/>
      <c r="O474" s="88"/>
      <c r="P474" s="86"/>
      <c r="Q474" s="88"/>
      <c r="R474" s="86"/>
      <c r="S474" s="88"/>
      <c r="T474" s="86"/>
      <c r="U474" s="88"/>
      <c r="V474" s="86"/>
      <c r="W474" s="88"/>
      <c r="X474" s="86"/>
      <c r="Y474" s="88"/>
      <c r="Z474" s="86"/>
      <c r="AA474" s="88"/>
      <c r="AB474" s="86"/>
      <c r="AC474" s="88"/>
      <c r="AD474" s="86"/>
      <c r="AE474" s="88"/>
      <c r="AF474" s="86"/>
      <c r="AG474" s="88"/>
      <c r="AH474" s="86"/>
      <c r="AI474" s="88"/>
      <c r="AJ474" s="86"/>
      <c r="AK474" s="88"/>
      <c r="AL474" s="86"/>
      <c r="AM474" s="88"/>
      <c r="AN474" s="86"/>
      <c r="AO474" s="88"/>
      <c r="AP474" s="86"/>
      <c r="AQ474" s="88"/>
      <c r="AR474" s="86"/>
      <c r="AS474" s="88"/>
      <c r="AT474" s="86"/>
      <c r="AU474" s="88"/>
      <c r="AV474" s="86"/>
      <c r="AW474" s="88"/>
      <c r="AX474" s="86"/>
      <c r="AY474" s="88"/>
      <c r="AZ474" s="86"/>
      <c r="BA474" s="88"/>
      <c r="BB474" s="86"/>
      <c r="BC474" s="88"/>
      <c r="BD474" s="86"/>
      <c r="BE474" s="88"/>
      <c r="BF474" s="86"/>
      <c r="BG474" s="88"/>
      <c r="BH474" s="86"/>
      <c r="BI474" s="88"/>
      <c r="BJ474" s="86"/>
      <c r="BK474" s="88"/>
      <c r="BL474" s="86"/>
      <c r="BM474" s="88"/>
      <c r="BN474" s="86"/>
      <c r="BO474" s="88"/>
      <c r="BP474" s="86"/>
      <c r="BQ474" s="88"/>
      <c r="BR474" s="86"/>
      <c r="BS474" s="87"/>
    </row>
    <row r="475" ht="22.5" customHeight="1">
      <c r="A475" s="154"/>
      <c r="B475" s="83"/>
      <c r="C475" s="151"/>
      <c r="D475" s="83"/>
      <c r="E475" s="151"/>
      <c r="F475" s="83"/>
      <c r="G475" s="85"/>
      <c r="H475" s="86"/>
      <c r="I475" s="87"/>
      <c r="J475" s="86"/>
      <c r="K475" s="88"/>
      <c r="L475" s="86"/>
      <c r="M475" s="88"/>
      <c r="N475" s="86"/>
      <c r="O475" s="88"/>
      <c r="P475" s="86"/>
      <c r="Q475" s="88"/>
      <c r="R475" s="86"/>
      <c r="S475" s="88"/>
      <c r="T475" s="86"/>
      <c r="U475" s="88"/>
      <c r="V475" s="86"/>
      <c r="W475" s="88"/>
      <c r="X475" s="86"/>
      <c r="Y475" s="88"/>
      <c r="Z475" s="86"/>
      <c r="AA475" s="88"/>
      <c r="AB475" s="86"/>
      <c r="AC475" s="88"/>
      <c r="AD475" s="86"/>
      <c r="AE475" s="88"/>
      <c r="AF475" s="86"/>
      <c r="AG475" s="88"/>
      <c r="AH475" s="86"/>
      <c r="AI475" s="88"/>
      <c r="AJ475" s="86"/>
      <c r="AK475" s="88"/>
      <c r="AL475" s="86"/>
      <c r="AM475" s="88"/>
      <c r="AN475" s="86"/>
      <c r="AO475" s="88"/>
      <c r="AP475" s="86"/>
      <c r="AQ475" s="88"/>
      <c r="AR475" s="86"/>
      <c r="AS475" s="88"/>
      <c r="AT475" s="86"/>
      <c r="AU475" s="88"/>
      <c r="AV475" s="86"/>
      <c r="AW475" s="88"/>
      <c r="AX475" s="86"/>
      <c r="AY475" s="88"/>
      <c r="AZ475" s="86"/>
      <c r="BA475" s="88"/>
      <c r="BB475" s="86"/>
      <c r="BC475" s="88"/>
      <c r="BD475" s="86"/>
      <c r="BE475" s="88"/>
      <c r="BF475" s="86"/>
      <c r="BG475" s="88"/>
      <c r="BH475" s="86"/>
      <c r="BI475" s="88"/>
      <c r="BJ475" s="86"/>
      <c r="BK475" s="88"/>
      <c r="BL475" s="86"/>
      <c r="BM475" s="88"/>
      <c r="BN475" s="86"/>
      <c r="BO475" s="88"/>
      <c r="BP475" s="86"/>
      <c r="BQ475" s="88"/>
      <c r="BR475" s="86"/>
      <c r="BS475" s="87"/>
    </row>
    <row r="476" ht="22.5" customHeight="1">
      <c r="A476" s="154"/>
      <c r="B476" s="83"/>
      <c r="C476" s="151"/>
      <c r="D476" s="83"/>
      <c r="E476" s="151"/>
      <c r="F476" s="83"/>
      <c r="G476" s="85"/>
      <c r="H476" s="86"/>
      <c r="I476" s="87"/>
      <c r="J476" s="86"/>
      <c r="K476" s="88"/>
      <c r="L476" s="86"/>
      <c r="M476" s="88"/>
      <c r="N476" s="86"/>
      <c r="O476" s="88"/>
      <c r="P476" s="86"/>
      <c r="Q476" s="88"/>
      <c r="R476" s="86"/>
      <c r="S476" s="88"/>
      <c r="T476" s="86"/>
      <c r="U476" s="88"/>
      <c r="V476" s="86"/>
      <c r="W476" s="88"/>
      <c r="X476" s="86"/>
      <c r="Y476" s="88"/>
      <c r="Z476" s="86"/>
      <c r="AA476" s="88"/>
      <c r="AB476" s="86"/>
      <c r="AC476" s="88"/>
      <c r="AD476" s="86"/>
      <c r="AE476" s="88"/>
      <c r="AF476" s="86"/>
      <c r="AG476" s="88"/>
      <c r="AH476" s="86"/>
      <c r="AI476" s="88"/>
      <c r="AJ476" s="86"/>
      <c r="AK476" s="88"/>
      <c r="AL476" s="86"/>
      <c r="AM476" s="88"/>
      <c r="AN476" s="86"/>
      <c r="AO476" s="88"/>
      <c r="AP476" s="86"/>
      <c r="AQ476" s="88"/>
      <c r="AR476" s="86"/>
      <c r="AS476" s="88"/>
      <c r="AT476" s="86"/>
      <c r="AU476" s="88"/>
      <c r="AV476" s="86"/>
      <c r="AW476" s="88"/>
      <c r="AX476" s="86"/>
      <c r="AY476" s="88"/>
      <c r="AZ476" s="86"/>
      <c r="BA476" s="88"/>
      <c r="BB476" s="86"/>
      <c r="BC476" s="88"/>
      <c r="BD476" s="86"/>
      <c r="BE476" s="88"/>
      <c r="BF476" s="86"/>
      <c r="BG476" s="88"/>
      <c r="BH476" s="86"/>
      <c r="BI476" s="88"/>
      <c r="BJ476" s="86"/>
      <c r="BK476" s="88"/>
      <c r="BL476" s="86"/>
      <c r="BM476" s="88"/>
      <c r="BN476" s="86"/>
      <c r="BO476" s="88"/>
      <c r="BP476" s="86"/>
      <c r="BQ476" s="88"/>
      <c r="BR476" s="86"/>
      <c r="BS476" s="87"/>
    </row>
    <row r="477" ht="22.5" customHeight="1">
      <c r="A477" s="154"/>
      <c r="B477" s="83"/>
      <c r="C477" s="151"/>
      <c r="D477" s="83"/>
      <c r="E477" s="151"/>
      <c r="F477" s="83"/>
      <c r="G477" s="85"/>
      <c r="H477" s="86"/>
      <c r="I477" s="87"/>
      <c r="J477" s="86"/>
      <c r="K477" s="88"/>
      <c r="L477" s="86"/>
      <c r="M477" s="88"/>
      <c r="N477" s="86"/>
      <c r="O477" s="88"/>
      <c r="P477" s="86"/>
      <c r="Q477" s="88"/>
      <c r="R477" s="86"/>
      <c r="S477" s="88"/>
      <c r="T477" s="86"/>
      <c r="U477" s="88"/>
      <c r="V477" s="86"/>
      <c r="W477" s="88"/>
      <c r="X477" s="86"/>
      <c r="Y477" s="88"/>
      <c r="Z477" s="86"/>
      <c r="AA477" s="88"/>
      <c r="AB477" s="86"/>
      <c r="AC477" s="88"/>
      <c r="AD477" s="86"/>
      <c r="AE477" s="88"/>
      <c r="AF477" s="86"/>
      <c r="AG477" s="88"/>
      <c r="AH477" s="86"/>
      <c r="AI477" s="88"/>
      <c r="AJ477" s="86"/>
      <c r="AK477" s="88"/>
      <c r="AL477" s="86"/>
      <c r="AM477" s="88"/>
      <c r="AN477" s="86"/>
      <c r="AO477" s="88"/>
      <c r="AP477" s="86"/>
      <c r="AQ477" s="88"/>
      <c r="AR477" s="86"/>
      <c r="AS477" s="88"/>
      <c r="AT477" s="86"/>
      <c r="AU477" s="88"/>
      <c r="AV477" s="86"/>
      <c r="AW477" s="88"/>
      <c r="AX477" s="86"/>
      <c r="AY477" s="88"/>
      <c r="AZ477" s="86"/>
      <c r="BA477" s="88"/>
      <c r="BB477" s="86"/>
      <c r="BC477" s="88"/>
      <c r="BD477" s="86"/>
      <c r="BE477" s="88"/>
      <c r="BF477" s="86"/>
      <c r="BG477" s="88"/>
      <c r="BH477" s="86"/>
      <c r="BI477" s="88"/>
      <c r="BJ477" s="86"/>
      <c r="BK477" s="88"/>
      <c r="BL477" s="86"/>
      <c r="BM477" s="88"/>
      <c r="BN477" s="86"/>
      <c r="BO477" s="88"/>
      <c r="BP477" s="86"/>
      <c r="BQ477" s="88"/>
      <c r="BR477" s="86"/>
      <c r="BS477" s="87"/>
    </row>
    <row r="478" ht="22.5" customHeight="1">
      <c r="A478" s="154"/>
      <c r="B478" s="83"/>
      <c r="C478" s="151"/>
      <c r="D478" s="83"/>
      <c r="E478" s="151"/>
      <c r="F478" s="83"/>
      <c r="G478" s="85"/>
      <c r="H478" s="86"/>
      <c r="I478" s="87"/>
      <c r="J478" s="86"/>
      <c r="K478" s="88"/>
      <c r="L478" s="86"/>
      <c r="M478" s="88"/>
      <c r="N478" s="86"/>
      <c r="O478" s="88"/>
      <c r="P478" s="86"/>
      <c r="Q478" s="88"/>
      <c r="R478" s="86"/>
      <c r="S478" s="88"/>
      <c r="T478" s="86"/>
      <c r="U478" s="88"/>
      <c r="V478" s="86"/>
      <c r="W478" s="88"/>
      <c r="X478" s="86"/>
      <c r="Y478" s="88"/>
      <c r="Z478" s="86"/>
      <c r="AA478" s="88"/>
      <c r="AB478" s="86"/>
      <c r="AC478" s="88"/>
      <c r="AD478" s="86"/>
      <c r="AE478" s="88"/>
      <c r="AF478" s="86"/>
      <c r="AG478" s="88"/>
      <c r="AH478" s="86"/>
      <c r="AI478" s="88"/>
      <c r="AJ478" s="86"/>
      <c r="AK478" s="88"/>
      <c r="AL478" s="86"/>
      <c r="AM478" s="88"/>
      <c r="AN478" s="86"/>
      <c r="AO478" s="88"/>
      <c r="AP478" s="86"/>
      <c r="AQ478" s="88"/>
      <c r="AR478" s="86"/>
      <c r="AS478" s="88"/>
      <c r="AT478" s="86"/>
      <c r="AU478" s="88"/>
      <c r="AV478" s="86"/>
      <c r="AW478" s="88"/>
      <c r="AX478" s="86"/>
      <c r="AY478" s="88"/>
      <c r="AZ478" s="86"/>
      <c r="BA478" s="88"/>
      <c r="BB478" s="86"/>
      <c r="BC478" s="88"/>
      <c r="BD478" s="86"/>
      <c r="BE478" s="88"/>
      <c r="BF478" s="86"/>
      <c r="BG478" s="88"/>
      <c r="BH478" s="86"/>
      <c r="BI478" s="88"/>
      <c r="BJ478" s="86"/>
      <c r="BK478" s="88"/>
      <c r="BL478" s="86"/>
      <c r="BM478" s="88"/>
      <c r="BN478" s="86"/>
      <c r="BO478" s="88"/>
      <c r="BP478" s="86"/>
      <c r="BQ478" s="88"/>
      <c r="BR478" s="86"/>
      <c r="BS478" s="87"/>
    </row>
    <row r="479" ht="22.5" customHeight="1">
      <c r="A479" s="154"/>
      <c r="B479" s="83"/>
      <c r="C479" s="151"/>
      <c r="D479" s="83"/>
      <c r="E479" s="151"/>
      <c r="F479" s="83"/>
      <c r="G479" s="85"/>
      <c r="H479" s="86"/>
      <c r="I479" s="87"/>
      <c r="J479" s="86"/>
      <c r="K479" s="88"/>
      <c r="L479" s="86"/>
      <c r="M479" s="88"/>
      <c r="N479" s="86"/>
      <c r="O479" s="88"/>
      <c r="P479" s="86"/>
      <c r="Q479" s="88"/>
      <c r="R479" s="86"/>
      <c r="S479" s="88"/>
      <c r="T479" s="86"/>
      <c r="U479" s="88"/>
      <c r="V479" s="86"/>
      <c r="W479" s="88"/>
      <c r="X479" s="86"/>
      <c r="Y479" s="88"/>
      <c r="Z479" s="86"/>
      <c r="AA479" s="88"/>
      <c r="AB479" s="86"/>
      <c r="AC479" s="88"/>
      <c r="AD479" s="86"/>
      <c r="AE479" s="88"/>
      <c r="AF479" s="86"/>
      <c r="AG479" s="88"/>
      <c r="AH479" s="86"/>
      <c r="AI479" s="88"/>
      <c r="AJ479" s="86"/>
      <c r="AK479" s="88"/>
      <c r="AL479" s="86"/>
      <c r="AM479" s="88"/>
      <c r="AN479" s="86"/>
      <c r="AO479" s="88"/>
      <c r="AP479" s="86"/>
      <c r="AQ479" s="88"/>
      <c r="AR479" s="86"/>
      <c r="AS479" s="88"/>
      <c r="AT479" s="86"/>
      <c r="AU479" s="88"/>
      <c r="AV479" s="86"/>
      <c r="AW479" s="88"/>
      <c r="AX479" s="86"/>
      <c r="AY479" s="88"/>
      <c r="AZ479" s="86"/>
      <c r="BA479" s="88"/>
      <c r="BB479" s="86"/>
      <c r="BC479" s="88"/>
      <c r="BD479" s="86"/>
      <c r="BE479" s="88"/>
      <c r="BF479" s="86"/>
      <c r="BG479" s="88"/>
      <c r="BH479" s="86"/>
      <c r="BI479" s="88"/>
      <c r="BJ479" s="86"/>
      <c r="BK479" s="88"/>
      <c r="BL479" s="86"/>
      <c r="BM479" s="88"/>
      <c r="BN479" s="86"/>
      <c r="BO479" s="88"/>
      <c r="BP479" s="86"/>
      <c r="BQ479" s="88"/>
      <c r="BR479" s="86"/>
      <c r="BS479" s="87"/>
    </row>
    <row r="480" ht="22.5" customHeight="1">
      <c r="A480" s="154"/>
      <c r="B480" s="83"/>
      <c r="C480" s="151"/>
      <c r="D480" s="83"/>
      <c r="E480" s="151"/>
      <c r="F480" s="83"/>
      <c r="G480" s="85"/>
      <c r="H480" s="86"/>
      <c r="I480" s="87"/>
      <c r="J480" s="86"/>
      <c r="K480" s="88"/>
      <c r="L480" s="86"/>
      <c r="M480" s="88"/>
      <c r="N480" s="86"/>
      <c r="O480" s="88"/>
      <c r="P480" s="86"/>
      <c r="Q480" s="88"/>
      <c r="R480" s="86"/>
      <c r="S480" s="88"/>
      <c r="T480" s="86"/>
      <c r="U480" s="88"/>
      <c r="V480" s="86"/>
      <c r="W480" s="88"/>
      <c r="X480" s="86"/>
      <c r="Y480" s="88"/>
      <c r="Z480" s="86"/>
      <c r="AA480" s="88"/>
      <c r="AB480" s="86"/>
      <c r="AC480" s="88"/>
      <c r="AD480" s="86"/>
      <c r="AE480" s="88"/>
      <c r="AF480" s="86"/>
      <c r="AG480" s="88"/>
      <c r="AH480" s="86"/>
      <c r="AI480" s="88"/>
      <c r="AJ480" s="86"/>
      <c r="AK480" s="88"/>
      <c r="AL480" s="86"/>
      <c r="AM480" s="88"/>
      <c r="AN480" s="86"/>
      <c r="AO480" s="88"/>
      <c r="AP480" s="86"/>
      <c r="AQ480" s="88"/>
      <c r="AR480" s="86"/>
      <c r="AS480" s="88"/>
      <c r="AT480" s="86"/>
      <c r="AU480" s="88"/>
      <c r="AV480" s="86"/>
      <c r="AW480" s="88"/>
      <c r="AX480" s="86"/>
      <c r="AY480" s="88"/>
      <c r="AZ480" s="86"/>
      <c r="BA480" s="88"/>
      <c r="BB480" s="86"/>
      <c r="BC480" s="88"/>
      <c r="BD480" s="86"/>
      <c r="BE480" s="88"/>
      <c r="BF480" s="86"/>
      <c r="BG480" s="88"/>
      <c r="BH480" s="86"/>
      <c r="BI480" s="88"/>
      <c r="BJ480" s="86"/>
      <c r="BK480" s="88"/>
      <c r="BL480" s="86"/>
      <c r="BM480" s="88"/>
      <c r="BN480" s="86"/>
      <c r="BO480" s="88"/>
      <c r="BP480" s="86"/>
      <c r="BQ480" s="88"/>
      <c r="BR480" s="86"/>
      <c r="BS480" s="87"/>
    </row>
    <row r="481" ht="22.5" customHeight="1">
      <c r="A481" s="154"/>
      <c r="B481" s="83"/>
      <c r="C481" s="151"/>
      <c r="D481" s="83"/>
      <c r="E481" s="151"/>
      <c r="F481" s="83"/>
      <c r="G481" s="85"/>
      <c r="H481" s="86"/>
      <c r="I481" s="87"/>
      <c r="J481" s="86"/>
      <c r="K481" s="88"/>
      <c r="L481" s="86"/>
      <c r="M481" s="88"/>
      <c r="N481" s="86"/>
      <c r="O481" s="88"/>
      <c r="P481" s="86"/>
      <c r="Q481" s="88"/>
      <c r="R481" s="86"/>
      <c r="S481" s="88"/>
      <c r="T481" s="86"/>
      <c r="U481" s="88"/>
      <c r="V481" s="86"/>
      <c r="W481" s="88"/>
      <c r="X481" s="86"/>
      <c r="Y481" s="88"/>
      <c r="Z481" s="86"/>
      <c r="AA481" s="88"/>
      <c r="AB481" s="86"/>
      <c r="AC481" s="88"/>
      <c r="AD481" s="86"/>
      <c r="AE481" s="88"/>
      <c r="AF481" s="86"/>
      <c r="AG481" s="88"/>
      <c r="AH481" s="86"/>
      <c r="AI481" s="88"/>
      <c r="AJ481" s="86"/>
      <c r="AK481" s="88"/>
      <c r="AL481" s="86"/>
      <c r="AM481" s="88"/>
      <c r="AN481" s="86"/>
      <c r="AO481" s="88"/>
      <c r="AP481" s="86"/>
      <c r="AQ481" s="88"/>
      <c r="AR481" s="86"/>
      <c r="AS481" s="88"/>
      <c r="AT481" s="86"/>
      <c r="AU481" s="88"/>
      <c r="AV481" s="86"/>
      <c r="AW481" s="88"/>
      <c r="AX481" s="86"/>
      <c r="AY481" s="88"/>
      <c r="AZ481" s="86"/>
      <c r="BA481" s="88"/>
      <c r="BB481" s="86"/>
      <c r="BC481" s="88"/>
      <c r="BD481" s="86"/>
      <c r="BE481" s="88"/>
      <c r="BF481" s="86"/>
      <c r="BG481" s="88"/>
      <c r="BH481" s="86"/>
      <c r="BI481" s="88"/>
      <c r="BJ481" s="86"/>
      <c r="BK481" s="88"/>
      <c r="BL481" s="86"/>
      <c r="BM481" s="88"/>
      <c r="BN481" s="86"/>
      <c r="BO481" s="88"/>
      <c r="BP481" s="86"/>
      <c r="BQ481" s="88"/>
      <c r="BR481" s="86"/>
      <c r="BS481" s="87"/>
    </row>
    <row r="482" ht="22.5" customHeight="1">
      <c r="A482" s="154"/>
      <c r="B482" s="83"/>
      <c r="C482" s="151"/>
      <c r="D482" s="83"/>
      <c r="E482" s="151"/>
      <c r="F482" s="83"/>
      <c r="G482" s="85"/>
      <c r="H482" s="86"/>
      <c r="I482" s="87"/>
      <c r="J482" s="86"/>
      <c r="K482" s="88"/>
      <c r="L482" s="86"/>
      <c r="M482" s="88"/>
      <c r="N482" s="86"/>
      <c r="O482" s="88"/>
      <c r="P482" s="86"/>
      <c r="Q482" s="88"/>
      <c r="R482" s="86"/>
      <c r="S482" s="88"/>
      <c r="T482" s="86"/>
      <c r="U482" s="88"/>
      <c r="V482" s="86"/>
      <c r="W482" s="88"/>
      <c r="X482" s="86"/>
      <c r="Y482" s="88"/>
      <c r="Z482" s="86"/>
      <c r="AA482" s="88"/>
      <c r="AB482" s="86"/>
      <c r="AC482" s="88"/>
      <c r="AD482" s="86"/>
      <c r="AE482" s="88"/>
      <c r="AF482" s="86"/>
      <c r="AG482" s="88"/>
      <c r="AH482" s="86"/>
      <c r="AI482" s="88"/>
      <c r="AJ482" s="86"/>
      <c r="AK482" s="88"/>
      <c r="AL482" s="86"/>
      <c r="AM482" s="88"/>
      <c r="AN482" s="86"/>
      <c r="AO482" s="88"/>
      <c r="AP482" s="86"/>
      <c r="AQ482" s="88"/>
      <c r="AR482" s="86"/>
      <c r="AS482" s="88"/>
      <c r="AT482" s="86"/>
      <c r="AU482" s="88"/>
      <c r="AV482" s="86"/>
      <c r="AW482" s="88"/>
      <c r="AX482" s="86"/>
      <c r="AY482" s="88"/>
      <c r="AZ482" s="86"/>
      <c r="BA482" s="88"/>
      <c r="BB482" s="86"/>
      <c r="BC482" s="88"/>
      <c r="BD482" s="86"/>
      <c r="BE482" s="88"/>
      <c r="BF482" s="86"/>
      <c r="BG482" s="88"/>
      <c r="BH482" s="86"/>
      <c r="BI482" s="88"/>
      <c r="BJ482" s="86"/>
      <c r="BK482" s="88"/>
      <c r="BL482" s="86"/>
      <c r="BM482" s="88"/>
      <c r="BN482" s="86"/>
      <c r="BO482" s="88"/>
      <c r="BP482" s="86"/>
      <c r="BQ482" s="88"/>
      <c r="BR482" s="86"/>
      <c r="BS482" s="87"/>
    </row>
    <row r="483" ht="22.5" customHeight="1">
      <c r="A483" s="154"/>
      <c r="B483" s="83"/>
      <c r="C483" s="151"/>
      <c r="D483" s="83"/>
      <c r="E483" s="151"/>
      <c r="F483" s="83"/>
      <c r="G483" s="85"/>
      <c r="H483" s="86"/>
      <c r="I483" s="87"/>
      <c r="J483" s="86"/>
      <c r="K483" s="88"/>
      <c r="L483" s="86"/>
      <c r="M483" s="88"/>
      <c r="N483" s="86"/>
      <c r="O483" s="88"/>
      <c r="P483" s="86"/>
      <c r="Q483" s="88"/>
      <c r="R483" s="86"/>
      <c r="S483" s="88"/>
      <c r="T483" s="86"/>
      <c r="U483" s="88"/>
      <c r="V483" s="86"/>
      <c r="W483" s="88"/>
      <c r="X483" s="86"/>
      <c r="Y483" s="88"/>
      <c r="Z483" s="86"/>
      <c r="AA483" s="88"/>
      <c r="AB483" s="86"/>
      <c r="AC483" s="88"/>
      <c r="AD483" s="86"/>
      <c r="AE483" s="88"/>
      <c r="AF483" s="86"/>
      <c r="AG483" s="88"/>
      <c r="AH483" s="86"/>
      <c r="AI483" s="88"/>
      <c r="AJ483" s="86"/>
      <c r="AK483" s="88"/>
      <c r="AL483" s="86"/>
      <c r="AM483" s="88"/>
      <c r="AN483" s="86"/>
      <c r="AO483" s="88"/>
      <c r="AP483" s="86"/>
      <c r="AQ483" s="88"/>
      <c r="AR483" s="86"/>
      <c r="AS483" s="88"/>
      <c r="AT483" s="86"/>
      <c r="AU483" s="88"/>
      <c r="AV483" s="86"/>
      <c r="AW483" s="88"/>
      <c r="AX483" s="86"/>
      <c r="AY483" s="88"/>
      <c r="AZ483" s="86"/>
      <c r="BA483" s="88"/>
      <c r="BB483" s="86"/>
      <c r="BC483" s="88"/>
      <c r="BD483" s="86"/>
      <c r="BE483" s="88"/>
      <c r="BF483" s="86"/>
      <c r="BG483" s="88"/>
      <c r="BH483" s="86"/>
      <c r="BI483" s="88"/>
      <c r="BJ483" s="86"/>
      <c r="BK483" s="88"/>
      <c r="BL483" s="86"/>
      <c r="BM483" s="88"/>
      <c r="BN483" s="86"/>
      <c r="BO483" s="88"/>
      <c r="BP483" s="86"/>
      <c r="BQ483" s="88"/>
      <c r="BR483" s="86"/>
      <c r="BS483" s="87"/>
    </row>
    <row r="484" ht="22.5" customHeight="1">
      <c r="A484" s="154"/>
      <c r="B484" s="83"/>
      <c r="C484" s="151"/>
      <c r="D484" s="83"/>
      <c r="E484" s="151"/>
      <c r="F484" s="83"/>
      <c r="G484" s="85"/>
      <c r="H484" s="86"/>
      <c r="I484" s="87"/>
      <c r="J484" s="86"/>
      <c r="K484" s="88"/>
      <c r="L484" s="86"/>
      <c r="M484" s="88"/>
      <c r="N484" s="86"/>
      <c r="O484" s="88"/>
      <c r="P484" s="86"/>
      <c r="Q484" s="88"/>
      <c r="R484" s="86"/>
      <c r="S484" s="88"/>
      <c r="T484" s="86"/>
      <c r="U484" s="88"/>
      <c r="V484" s="86"/>
      <c r="W484" s="88"/>
      <c r="X484" s="86"/>
      <c r="Y484" s="88"/>
      <c r="Z484" s="86"/>
      <c r="AA484" s="88"/>
      <c r="AB484" s="86"/>
      <c r="AC484" s="88"/>
      <c r="AD484" s="86"/>
      <c r="AE484" s="88"/>
      <c r="AF484" s="86"/>
      <c r="AG484" s="88"/>
      <c r="AH484" s="86"/>
      <c r="AI484" s="88"/>
      <c r="AJ484" s="86"/>
      <c r="AK484" s="88"/>
      <c r="AL484" s="86"/>
      <c r="AM484" s="88"/>
      <c r="AN484" s="86"/>
      <c r="AO484" s="88"/>
      <c r="AP484" s="86"/>
      <c r="AQ484" s="88"/>
      <c r="AR484" s="86"/>
      <c r="AS484" s="88"/>
      <c r="AT484" s="86"/>
      <c r="AU484" s="88"/>
      <c r="AV484" s="86"/>
      <c r="AW484" s="88"/>
      <c r="AX484" s="86"/>
      <c r="AY484" s="88"/>
      <c r="AZ484" s="86"/>
      <c r="BA484" s="88"/>
      <c r="BB484" s="86"/>
      <c r="BC484" s="88"/>
      <c r="BD484" s="86"/>
      <c r="BE484" s="88"/>
      <c r="BF484" s="86"/>
      <c r="BG484" s="88"/>
      <c r="BH484" s="86"/>
      <c r="BI484" s="88"/>
      <c r="BJ484" s="86"/>
      <c r="BK484" s="88"/>
      <c r="BL484" s="86"/>
      <c r="BM484" s="88"/>
      <c r="BN484" s="86"/>
      <c r="BO484" s="88"/>
      <c r="BP484" s="86"/>
      <c r="BQ484" s="88"/>
      <c r="BR484" s="86"/>
      <c r="BS484" s="87"/>
    </row>
    <row r="485" ht="22.5" customHeight="1">
      <c r="A485" s="154"/>
      <c r="B485" s="83"/>
      <c r="C485" s="151"/>
      <c r="D485" s="83"/>
      <c r="E485" s="151"/>
      <c r="F485" s="83"/>
      <c r="G485" s="85"/>
      <c r="H485" s="86"/>
      <c r="I485" s="87"/>
      <c r="J485" s="86"/>
      <c r="K485" s="88"/>
      <c r="L485" s="86"/>
      <c r="M485" s="88"/>
      <c r="N485" s="86"/>
      <c r="O485" s="88"/>
      <c r="P485" s="86"/>
      <c r="Q485" s="88"/>
      <c r="R485" s="86"/>
      <c r="S485" s="88"/>
      <c r="T485" s="86"/>
      <c r="U485" s="88"/>
      <c r="V485" s="86"/>
      <c r="W485" s="88"/>
      <c r="X485" s="86"/>
      <c r="Y485" s="88"/>
      <c r="Z485" s="86"/>
      <c r="AA485" s="88"/>
      <c r="AB485" s="86"/>
      <c r="AC485" s="88"/>
      <c r="AD485" s="86"/>
      <c r="AE485" s="88"/>
      <c r="AF485" s="86"/>
      <c r="AG485" s="88"/>
      <c r="AH485" s="86"/>
      <c r="AI485" s="88"/>
      <c r="AJ485" s="86"/>
      <c r="AK485" s="88"/>
      <c r="AL485" s="86"/>
      <c r="AM485" s="88"/>
      <c r="AN485" s="86"/>
      <c r="AO485" s="88"/>
      <c r="AP485" s="86"/>
      <c r="AQ485" s="88"/>
      <c r="AR485" s="86"/>
      <c r="AS485" s="88"/>
      <c r="AT485" s="86"/>
      <c r="AU485" s="88"/>
      <c r="AV485" s="86"/>
      <c r="AW485" s="88"/>
      <c r="AX485" s="86"/>
      <c r="AY485" s="88"/>
      <c r="AZ485" s="86"/>
      <c r="BA485" s="88"/>
      <c r="BB485" s="86"/>
      <c r="BC485" s="88"/>
      <c r="BD485" s="86"/>
      <c r="BE485" s="88"/>
      <c r="BF485" s="86"/>
      <c r="BG485" s="88"/>
      <c r="BH485" s="86"/>
      <c r="BI485" s="88"/>
      <c r="BJ485" s="86"/>
      <c r="BK485" s="88"/>
      <c r="BL485" s="86"/>
      <c r="BM485" s="88"/>
      <c r="BN485" s="86"/>
      <c r="BO485" s="88"/>
      <c r="BP485" s="86"/>
      <c r="BQ485" s="88"/>
      <c r="BR485" s="86"/>
      <c r="BS485" s="87"/>
    </row>
    <row r="486" ht="22.5" customHeight="1">
      <c r="A486" s="154"/>
      <c r="B486" s="83"/>
      <c r="C486" s="151"/>
      <c r="D486" s="83"/>
      <c r="E486" s="151"/>
      <c r="F486" s="83"/>
      <c r="G486" s="85"/>
      <c r="H486" s="86"/>
      <c r="I486" s="87"/>
      <c r="J486" s="86"/>
      <c r="K486" s="88"/>
      <c r="L486" s="86"/>
      <c r="M486" s="88"/>
      <c r="N486" s="86"/>
      <c r="O486" s="88"/>
      <c r="P486" s="86"/>
      <c r="Q486" s="88"/>
      <c r="R486" s="86"/>
      <c r="S486" s="88"/>
      <c r="T486" s="86"/>
      <c r="U486" s="88"/>
      <c r="V486" s="86"/>
      <c r="W486" s="88"/>
      <c r="X486" s="86"/>
      <c r="Y486" s="88"/>
      <c r="Z486" s="86"/>
      <c r="AA486" s="88"/>
      <c r="AB486" s="86"/>
      <c r="AC486" s="88"/>
      <c r="AD486" s="86"/>
      <c r="AE486" s="88"/>
      <c r="AF486" s="86"/>
      <c r="AG486" s="88"/>
      <c r="AH486" s="86"/>
      <c r="AI486" s="88"/>
      <c r="AJ486" s="86"/>
      <c r="AK486" s="88"/>
      <c r="AL486" s="86"/>
      <c r="AM486" s="88"/>
      <c r="AN486" s="86"/>
      <c r="AO486" s="88"/>
      <c r="AP486" s="86"/>
      <c r="AQ486" s="88"/>
      <c r="AR486" s="86"/>
      <c r="AS486" s="88"/>
      <c r="AT486" s="86"/>
      <c r="AU486" s="88"/>
      <c r="AV486" s="86"/>
      <c r="AW486" s="88"/>
      <c r="AX486" s="86"/>
      <c r="AY486" s="88"/>
      <c r="AZ486" s="86"/>
      <c r="BA486" s="88"/>
      <c r="BB486" s="86"/>
      <c r="BC486" s="88"/>
      <c r="BD486" s="86"/>
      <c r="BE486" s="88"/>
      <c r="BF486" s="86"/>
      <c r="BG486" s="88"/>
      <c r="BH486" s="86"/>
      <c r="BI486" s="88"/>
      <c r="BJ486" s="86"/>
      <c r="BK486" s="88"/>
      <c r="BL486" s="86"/>
      <c r="BM486" s="88"/>
      <c r="BN486" s="86"/>
      <c r="BO486" s="88"/>
      <c r="BP486" s="86"/>
      <c r="BQ486" s="88"/>
      <c r="BR486" s="86"/>
      <c r="BS486" s="87"/>
    </row>
    <row r="487" ht="22.5" customHeight="1">
      <c r="A487" s="154"/>
      <c r="B487" s="83"/>
      <c r="C487" s="151"/>
      <c r="D487" s="83"/>
      <c r="E487" s="151"/>
      <c r="F487" s="83"/>
      <c r="G487" s="85"/>
      <c r="H487" s="86"/>
      <c r="I487" s="87"/>
      <c r="J487" s="86"/>
      <c r="K487" s="88"/>
      <c r="L487" s="86"/>
      <c r="M487" s="88"/>
      <c r="N487" s="86"/>
      <c r="O487" s="88"/>
      <c r="P487" s="86"/>
      <c r="Q487" s="88"/>
      <c r="R487" s="86"/>
      <c r="S487" s="88"/>
      <c r="T487" s="86"/>
      <c r="U487" s="88"/>
      <c r="V487" s="86"/>
      <c r="W487" s="88"/>
      <c r="X487" s="86"/>
      <c r="Y487" s="88"/>
      <c r="Z487" s="86"/>
      <c r="AA487" s="88"/>
      <c r="AB487" s="86"/>
      <c r="AC487" s="88"/>
      <c r="AD487" s="86"/>
      <c r="AE487" s="88"/>
      <c r="AF487" s="86"/>
      <c r="AG487" s="88"/>
      <c r="AH487" s="86"/>
      <c r="AI487" s="88"/>
      <c r="AJ487" s="86"/>
      <c r="AK487" s="88"/>
      <c r="AL487" s="86"/>
      <c r="AM487" s="88"/>
      <c r="AN487" s="86"/>
      <c r="AO487" s="88"/>
      <c r="AP487" s="86"/>
      <c r="AQ487" s="88"/>
      <c r="AR487" s="86"/>
      <c r="AS487" s="88"/>
      <c r="AT487" s="86"/>
      <c r="AU487" s="88"/>
      <c r="AV487" s="86"/>
      <c r="AW487" s="88"/>
      <c r="AX487" s="86"/>
      <c r="AY487" s="88"/>
      <c r="AZ487" s="86"/>
      <c r="BA487" s="88"/>
      <c r="BB487" s="86"/>
      <c r="BC487" s="88"/>
      <c r="BD487" s="86"/>
      <c r="BE487" s="88"/>
      <c r="BF487" s="86"/>
      <c r="BG487" s="88"/>
      <c r="BH487" s="86"/>
      <c r="BI487" s="88"/>
      <c r="BJ487" s="86"/>
      <c r="BK487" s="88"/>
      <c r="BL487" s="86"/>
      <c r="BM487" s="88"/>
      <c r="BN487" s="86"/>
      <c r="BO487" s="88"/>
      <c r="BP487" s="86"/>
      <c r="BQ487" s="88"/>
      <c r="BR487" s="86"/>
      <c r="BS487" s="87"/>
    </row>
    <row r="488" ht="22.5" customHeight="1">
      <c r="A488" s="154"/>
      <c r="B488" s="83"/>
      <c r="C488" s="151"/>
      <c r="D488" s="83"/>
      <c r="E488" s="151"/>
      <c r="F488" s="83"/>
      <c r="G488" s="85"/>
      <c r="H488" s="86"/>
      <c r="I488" s="87"/>
      <c r="J488" s="86"/>
      <c r="K488" s="88"/>
      <c r="L488" s="86"/>
      <c r="M488" s="88"/>
      <c r="N488" s="86"/>
      <c r="O488" s="88"/>
      <c r="P488" s="86"/>
      <c r="Q488" s="88"/>
      <c r="R488" s="86"/>
      <c r="S488" s="88"/>
      <c r="T488" s="86"/>
      <c r="U488" s="88"/>
      <c r="V488" s="86"/>
      <c r="W488" s="88"/>
      <c r="X488" s="86"/>
      <c r="Y488" s="88"/>
      <c r="Z488" s="86"/>
      <c r="AA488" s="88"/>
      <c r="AB488" s="86"/>
      <c r="AC488" s="88"/>
      <c r="AD488" s="86"/>
      <c r="AE488" s="88"/>
      <c r="AF488" s="86"/>
      <c r="AG488" s="88"/>
      <c r="AH488" s="86"/>
      <c r="AI488" s="88"/>
      <c r="AJ488" s="86"/>
      <c r="AK488" s="88"/>
      <c r="AL488" s="86"/>
      <c r="AM488" s="88"/>
      <c r="AN488" s="86"/>
      <c r="AO488" s="88"/>
      <c r="AP488" s="86"/>
      <c r="AQ488" s="88"/>
      <c r="AR488" s="86"/>
      <c r="AS488" s="88"/>
      <c r="AT488" s="86"/>
      <c r="AU488" s="88"/>
      <c r="AV488" s="86"/>
      <c r="AW488" s="88"/>
      <c r="AX488" s="86"/>
      <c r="AY488" s="88"/>
      <c r="AZ488" s="86"/>
      <c r="BA488" s="88"/>
      <c r="BB488" s="86"/>
      <c r="BC488" s="88"/>
      <c r="BD488" s="86"/>
      <c r="BE488" s="88"/>
      <c r="BF488" s="86"/>
      <c r="BG488" s="88"/>
      <c r="BH488" s="86"/>
      <c r="BI488" s="88"/>
      <c r="BJ488" s="86"/>
      <c r="BK488" s="88"/>
      <c r="BL488" s="86"/>
      <c r="BM488" s="88"/>
      <c r="BN488" s="86"/>
      <c r="BO488" s="88"/>
      <c r="BP488" s="86"/>
      <c r="BQ488" s="88"/>
      <c r="BR488" s="86"/>
      <c r="BS488" s="87"/>
    </row>
    <row r="489" ht="22.5" customHeight="1">
      <c r="A489" s="154"/>
      <c r="B489" s="83"/>
      <c r="C489" s="151"/>
      <c r="D489" s="83"/>
      <c r="E489" s="151"/>
      <c r="F489" s="83"/>
      <c r="G489" s="85"/>
      <c r="H489" s="86"/>
      <c r="I489" s="87"/>
      <c r="J489" s="86"/>
      <c r="K489" s="88"/>
      <c r="L489" s="86"/>
      <c r="M489" s="88"/>
      <c r="N489" s="86"/>
      <c r="O489" s="88"/>
      <c r="P489" s="86"/>
      <c r="Q489" s="88"/>
      <c r="R489" s="86"/>
      <c r="S489" s="88"/>
      <c r="T489" s="86"/>
      <c r="U489" s="88"/>
      <c r="V489" s="86"/>
      <c r="W489" s="88"/>
      <c r="X489" s="86"/>
      <c r="Y489" s="88"/>
      <c r="Z489" s="86"/>
      <c r="AA489" s="88"/>
      <c r="AB489" s="86"/>
      <c r="AC489" s="88"/>
      <c r="AD489" s="86"/>
      <c r="AE489" s="88"/>
      <c r="AF489" s="86"/>
      <c r="AG489" s="88"/>
      <c r="AH489" s="86"/>
      <c r="AI489" s="88"/>
      <c r="AJ489" s="86"/>
      <c r="AK489" s="88"/>
      <c r="AL489" s="86"/>
      <c r="AM489" s="88"/>
      <c r="AN489" s="86"/>
      <c r="AO489" s="88"/>
      <c r="AP489" s="86"/>
      <c r="AQ489" s="88"/>
      <c r="AR489" s="86"/>
      <c r="AS489" s="88"/>
      <c r="AT489" s="86"/>
      <c r="AU489" s="88"/>
      <c r="AV489" s="86"/>
      <c r="AW489" s="88"/>
      <c r="AX489" s="86"/>
      <c r="AY489" s="88"/>
      <c r="AZ489" s="86"/>
      <c r="BA489" s="88"/>
      <c r="BB489" s="86"/>
      <c r="BC489" s="88"/>
      <c r="BD489" s="86"/>
      <c r="BE489" s="88"/>
      <c r="BF489" s="86"/>
      <c r="BG489" s="88"/>
      <c r="BH489" s="86"/>
      <c r="BI489" s="88"/>
      <c r="BJ489" s="86"/>
      <c r="BK489" s="88"/>
      <c r="BL489" s="86"/>
      <c r="BM489" s="88"/>
      <c r="BN489" s="86"/>
      <c r="BO489" s="88"/>
      <c r="BP489" s="86"/>
      <c r="BQ489" s="88"/>
      <c r="BR489" s="86"/>
      <c r="BS489" s="87"/>
    </row>
    <row r="490" ht="22.5" customHeight="1">
      <c r="A490" s="154"/>
      <c r="B490" s="83"/>
      <c r="C490" s="151"/>
      <c r="D490" s="83"/>
      <c r="E490" s="151"/>
      <c r="F490" s="83"/>
      <c r="G490" s="85"/>
      <c r="H490" s="86"/>
      <c r="I490" s="87"/>
      <c r="J490" s="86"/>
      <c r="K490" s="88"/>
      <c r="L490" s="86"/>
      <c r="M490" s="88"/>
      <c r="N490" s="86"/>
      <c r="O490" s="88"/>
      <c r="P490" s="86"/>
      <c r="Q490" s="88"/>
      <c r="R490" s="86"/>
      <c r="S490" s="88"/>
      <c r="T490" s="86"/>
      <c r="U490" s="88"/>
      <c r="V490" s="86"/>
      <c r="W490" s="88"/>
      <c r="X490" s="86"/>
      <c r="Y490" s="88"/>
      <c r="Z490" s="86"/>
      <c r="AA490" s="88"/>
      <c r="AB490" s="86"/>
      <c r="AC490" s="88"/>
      <c r="AD490" s="86"/>
      <c r="AE490" s="88"/>
      <c r="AF490" s="86"/>
      <c r="AG490" s="88"/>
      <c r="AH490" s="86"/>
      <c r="AI490" s="88"/>
      <c r="AJ490" s="86"/>
      <c r="AK490" s="88"/>
      <c r="AL490" s="86"/>
      <c r="AM490" s="88"/>
      <c r="AN490" s="86"/>
      <c r="AO490" s="88"/>
      <c r="AP490" s="86"/>
      <c r="AQ490" s="88"/>
      <c r="AR490" s="86"/>
      <c r="AS490" s="88"/>
      <c r="AT490" s="86"/>
      <c r="AU490" s="88"/>
      <c r="AV490" s="86"/>
      <c r="AW490" s="88"/>
      <c r="AX490" s="86"/>
      <c r="AY490" s="88"/>
      <c r="AZ490" s="86"/>
      <c r="BA490" s="88"/>
      <c r="BB490" s="86"/>
      <c r="BC490" s="88"/>
      <c r="BD490" s="86"/>
      <c r="BE490" s="88"/>
      <c r="BF490" s="86"/>
      <c r="BG490" s="88"/>
      <c r="BH490" s="86"/>
      <c r="BI490" s="88"/>
      <c r="BJ490" s="86"/>
      <c r="BK490" s="88"/>
      <c r="BL490" s="86"/>
      <c r="BM490" s="88"/>
      <c r="BN490" s="86"/>
      <c r="BO490" s="88"/>
      <c r="BP490" s="86"/>
      <c r="BQ490" s="88"/>
      <c r="BR490" s="86"/>
      <c r="BS490" s="87"/>
    </row>
    <row r="491" ht="22.5" customHeight="1">
      <c r="A491" s="154"/>
      <c r="B491" s="83"/>
      <c r="C491" s="151"/>
      <c r="D491" s="83"/>
      <c r="E491" s="151"/>
      <c r="F491" s="83"/>
      <c r="G491" s="85"/>
      <c r="H491" s="86"/>
      <c r="I491" s="87"/>
      <c r="J491" s="86"/>
      <c r="K491" s="88"/>
      <c r="L491" s="86"/>
      <c r="M491" s="88"/>
      <c r="N491" s="86"/>
      <c r="O491" s="88"/>
      <c r="P491" s="86"/>
      <c r="Q491" s="88"/>
      <c r="R491" s="86"/>
      <c r="S491" s="88"/>
      <c r="T491" s="86"/>
      <c r="U491" s="88"/>
      <c r="V491" s="86"/>
      <c r="W491" s="88"/>
      <c r="X491" s="86"/>
      <c r="Y491" s="88"/>
      <c r="Z491" s="86"/>
      <c r="AA491" s="88"/>
      <c r="AB491" s="86"/>
      <c r="AC491" s="88"/>
      <c r="AD491" s="86"/>
      <c r="AE491" s="88"/>
      <c r="AF491" s="86"/>
      <c r="AG491" s="88"/>
      <c r="AH491" s="86"/>
      <c r="AI491" s="88"/>
      <c r="AJ491" s="86"/>
      <c r="AK491" s="88"/>
      <c r="AL491" s="86"/>
      <c r="AM491" s="88"/>
      <c r="AN491" s="86"/>
      <c r="AO491" s="88"/>
      <c r="AP491" s="86"/>
      <c r="AQ491" s="88"/>
      <c r="AR491" s="86"/>
      <c r="AS491" s="88"/>
      <c r="AT491" s="86"/>
      <c r="AU491" s="88"/>
      <c r="AV491" s="86"/>
      <c r="AW491" s="88"/>
      <c r="AX491" s="86"/>
      <c r="AY491" s="88"/>
      <c r="AZ491" s="86"/>
      <c r="BA491" s="88"/>
      <c r="BB491" s="86"/>
      <c r="BC491" s="88"/>
      <c r="BD491" s="86"/>
      <c r="BE491" s="88"/>
      <c r="BF491" s="86"/>
      <c r="BG491" s="88"/>
      <c r="BH491" s="86"/>
      <c r="BI491" s="88"/>
      <c r="BJ491" s="86"/>
      <c r="BK491" s="88"/>
      <c r="BL491" s="86"/>
      <c r="BM491" s="88"/>
      <c r="BN491" s="86"/>
      <c r="BO491" s="88"/>
      <c r="BP491" s="86"/>
      <c r="BQ491" s="88"/>
      <c r="BR491" s="86"/>
      <c r="BS491" s="87"/>
    </row>
    <row r="492" ht="22.5" customHeight="1">
      <c r="A492" s="154"/>
      <c r="B492" s="83"/>
      <c r="C492" s="151"/>
      <c r="D492" s="83"/>
      <c r="E492" s="151"/>
      <c r="F492" s="83"/>
      <c r="G492" s="85"/>
      <c r="H492" s="86"/>
      <c r="I492" s="87"/>
      <c r="J492" s="86"/>
      <c r="K492" s="88"/>
      <c r="L492" s="86"/>
      <c r="M492" s="88"/>
      <c r="N492" s="86"/>
      <c r="O492" s="88"/>
      <c r="P492" s="86"/>
      <c r="Q492" s="88"/>
      <c r="R492" s="86"/>
      <c r="S492" s="88"/>
      <c r="T492" s="86"/>
      <c r="U492" s="88"/>
      <c r="V492" s="86"/>
      <c r="W492" s="88"/>
      <c r="X492" s="86"/>
      <c r="Y492" s="88"/>
      <c r="Z492" s="86"/>
      <c r="AA492" s="88"/>
      <c r="AB492" s="86"/>
      <c r="AC492" s="88"/>
      <c r="AD492" s="86"/>
      <c r="AE492" s="88"/>
      <c r="AF492" s="86"/>
      <c r="AG492" s="88"/>
      <c r="AH492" s="86"/>
      <c r="AI492" s="88"/>
      <c r="AJ492" s="86"/>
      <c r="AK492" s="88"/>
      <c r="AL492" s="86"/>
      <c r="AM492" s="88"/>
      <c r="AN492" s="86"/>
      <c r="AO492" s="88"/>
      <c r="AP492" s="86"/>
      <c r="AQ492" s="88"/>
      <c r="AR492" s="86"/>
      <c r="AS492" s="88"/>
      <c r="AT492" s="86"/>
      <c r="AU492" s="88"/>
      <c r="AV492" s="86"/>
      <c r="AW492" s="88"/>
      <c r="AX492" s="86"/>
      <c r="AY492" s="88"/>
      <c r="AZ492" s="86"/>
      <c r="BA492" s="88"/>
      <c r="BB492" s="86"/>
      <c r="BC492" s="88"/>
      <c r="BD492" s="86"/>
      <c r="BE492" s="88"/>
      <c r="BF492" s="86"/>
      <c r="BG492" s="88"/>
      <c r="BH492" s="86"/>
      <c r="BI492" s="88"/>
      <c r="BJ492" s="86"/>
      <c r="BK492" s="88"/>
      <c r="BL492" s="86"/>
      <c r="BM492" s="88"/>
      <c r="BN492" s="86"/>
      <c r="BO492" s="88"/>
      <c r="BP492" s="86"/>
      <c r="BQ492" s="88"/>
      <c r="BR492" s="86"/>
      <c r="BS492" s="87"/>
    </row>
    <row r="493" ht="22.5" customHeight="1">
      <c r="A493" s="154"/>
      <c r="B493" s="83"/>
      <c r="C493" s="151"/>
      <c r="D493" s="83"/>
      <c r="E493" s="151"/>
      <c r="F493" s="83"/>
      <c r="G493" s="85"/>
      <c r="H493" s="86"/>
      <c r="I493" s="87"/>
      <c r="J493" s="86"/>
      <c r="K493" s="88"/>
      <c r="L493" s="86"/>
      <c r="M493" s="88"/>
      <c r="N493" s="86"/>
      <c r="O493" s="88"/>
      <c r="P493" s="86"/>
      <c r="Q493" s="88"/>
      <c r="R493" s="86"/>
      <c r="S493" s="88"/>
      <c r="T493" s="86"/>
      <c r="U493" s="88"/>
      <c r="V493" s="86"/>
      <c r="W493" s="88"/>
      <c r="X493" s="86"/>
      <c r="Y493" s="88"/>
      <c r="Z493" s="86"/>
      <c r="AA493" s="88"/>
      <c r="AB493" s="86"/>
      <c r="AC493" s="88"/>
      <c r="AD493" s="86"/>
      <c r="AE493" s="88"/>
      <c r="AF493" s="86"/>
      <c r="AG493" s="88"/>
      <c r="AH493" s="86"/>
      <c r="AI493" s="88"/>
      <c r="AJ493" s="86"/>
      <c r="AK493" s="88"/>
      <c r="AL493" s="86"/>
      <c r="AM493" s="88"/>
      <c r="AN493" s="86"/>
      <c r="AO493" s="88"/>
      <c r="AP493" s="86"/>
      <c r="AQ493" s="88"/>
      <c r="AR493" s="86"/>
      <c r="AS493" s="88"/>
      <c r="AT493" s="86"/>
      <c r="AU493" s="88"/>
      <c r="AV493" s="86"/>
      <c r="AW493" s="88"/>
      <c r="AX493" s="86"/>
      <c r="AY493" s="88"/>
      <c r="AZ493" s="86"/>
      <c r="BA493" s="88"/>
      <c r="BB493" s="86"/>
      <c r="BC493" s="88"/>
      <c r="BD493" s="86"/>
      <c r="BE493" s="88"/>
      <c r="BF493" s="86"/>
      <c r="BG493" s="88"/>
      <c r="BH493" s="86"/>
      <c r="BI493" s="88"/>
      <c r="BJ493" s="86"/>
      <c r="BK493" s="88"/>
      <c r="BL493" s="86"/>
      <c r="BM493" s="88"/>
      <c r="BN493" s="86"/>
      <c r="BO493" s="88"/>
      <c r="BP493" s="86"/>
      <c r="BQ493" s="88"/>
      <c r="BR493" s="86"/>
      <c r="BS493" s="87"/>
    </row>
    <row r="494" ht="22.5" customHeight="1">
      <c r="A494" s="154"/>
      <c r="B494" s="83"/>
      <c r="C494" s="151"/>
      <c r="D494" s="83"/>
      <c r="E494" s="151"/>
      <c r="F494" s="83"/>
      <c r="G494" s="85"/>
      <c r="H494" s="86"/>
      <c r="I494" s="87"/>
      <c r="J494" s="86"/>
      <c r="K494" s="88"/>
      <c r="L494" s="86"/>
      <c r="M494" s="88"/>
      <c r="N494" s="86"/>
      <c r="O494" s="88"/>
      <c r="P494" s="86"/>
      <c r="Q494" s="88"/>
      <c r="R494" s="86"/>
      <c r="S494" s="88"/>
      <c r="T494" s="86"/>
      <c r="U494" s="88"/>
      <c r="V494" s="86"/>
      <c r="W494" s="88"/>
      <c r="X494" s="86"/>
      <c r="Y494" s="88"/>
      <c r="Z494" s="86"/>
      <c r="AA494" s="88"/>
      <c r="AB494" s="86"/>
      <c r="AC494" s="88"/>
      <c r="AD494" s="86"/>
      <c r="AE494" s="88"/>
      <c r="AF494" s="86"/>
      <c r="AG494" s="88"/>
      <c r="AH494" s="86"/>
      <c r="AI494" s="88"/>
      <c r="AJ494" s="86"/>
      <c r="AK494" s="88"/>
      <c r="AL494" s="86"/>
      <c r="AM494" s="88"/>
      <c r="AN494" s="86"/>
      <c r="AO494" s="88"/>
      <c r="AP494" s="86"/>
      <c r="AQ494" s="88"/>
      <c r="AR494" s="86"/>
      <c r="AS494" s="88"/>
      <c r="AT494" s="86"/>
      <c r="AU494" s="88"/>
      <c r="AV494" s="86"/>
      <c r="AW494" s="88"/>
      <c r="AX494" s="86"/>
      <c r="AY494" s="88"/>
      <c r="AZ494" s="86"/>
      <c r="BA494" s="88"/>
      <c r="BB494" s="86"/>
      <c r="BC494" s="88"/>
      <c r="BD494" s="86"/>
      <c r="BE494" s="88"/>
      <c r="BF494" s="86"/>
      <c r="BG494" s="88"/>
      <c r="BH494" s="86"/>
      <c r="BI494" s="88"/>
      <c r="BJ494" s="86"/>
      <c r="BK494" s="88"/>
      <c r="BL494" s="86"/>
      <c r="BM494" s="88"/>
      <c r="BN494" s="86"/>
      <c r="BO494" s="88"/>
      <c r="BP494" s="86"/>
      <c r="BQ494" s="88"/>
      <c r="BR494" s="86"/>
      <c r="BS494" s="87"/>
    </row>
    <row r="495" ht="22.5" customHeight="1">
      <c r="A495" s="154"/>
      <c r="B495" s="83"/>
      <c r="C495" s="151"/>
      <c r="D495" s="83"/>
      <c r="E495" s="151"/>
      <c r="F495" s="83"/>
      <c r="G495" s="85"/>
      <c r="H495" s="86"/>
      <c r="I495" s="87"/>
      <c r="J495" s="86"/>
      <c r="K495" s="88"/>
      <c r="L495" s="86"/>
      <c r="M495" s="88"/>
      <c r="N495" s="86"/>
      <c r="O495" s="88"/>
      <c r="P495" s="86"/>
      <c r="Q495" s="88"/>
      <c r="R495" s="86"/>
      <c r="S495" s="88"/>
      <c r="T495" s="86"/>
      <c r="U495" s="88"/>
      <c r="V495" s="86"/>
      <c r="W495" s="88"/>
      <c r="X495" s="86"/>
      <c r="Y495" s="88"/>
      <c r="Z495" s="86"/>
      <c r="AA495" s="88"/>
      <c r="AB495" s="86"/>
      <c r="AC495" s="88"/>
      <c r="AD495" s="86"/>
      <c r="AE495" s="88"/>
      <c r="AF495" s="86"/>
      <c r="AG495" s="88"/>
      <c r="AH495" s="86"/>
      <c r="AI495" s="88"/>
      <c r="AJ495" s="86"/>
      <c r="AK495" s="88"/>
      <c r="AL495" s="86"/>
      <c r="AM495" s="88"/>
      <c r="AN495" s="86"/>
      <c r="AO495" s="88"/>
      <c r="AP495" s="86"/>
      <c r="AQ495" s="88"/>
      <c r="AR495" s="86"/>
      <c r="AS495" s="88"/>
      <c r="AT495" s="86"/>
      <c r="AU495" s="88"/>
      <c r="AV495" s="86"/>
      <c r="AW495" s="88"/>
      <c r="AX495" s="86"/>
      <c r="AY495" s="88"/>
      <c r="AZ495" s="86"/>
      <c r="BA495" s="88"/>
      <c r="BB495" s="86"/>
      <c r="BC495" s="88"/>
      <c r="BD495" s="86"/>
      <c r="BE495" s="88"/>
      <c r="BF495" s="86"/>
      <c r="BG495" s="88"/>
      <c r="BH495" s="86"/>
      <c r="BI495" s="88"/>
      <c r="BJ495" s="86"/>
      <c r="BK495" s="88"/>
      <c r="BL495" s="86"/>
      <c r="BM495" s="88"/>
      <c r="BN495" s="86"/>
      <c r="BO495" s="88"/>
      <c r="BP495" s="86"/>
      <c r="BQ495" s="88"/>
      <c r="BR495" s="86"/>
      <c r="BS495" s="87"/>
    </row>
    <row r="496" ht="22.5" customHeight="1">
      <c r="A496" s="154"/>
      <c r="B496" s="83"/>
      <c r="C496" s="151"/>
      <c r="D496" s="83"/>
      <c r="E496" s="151"/>
      <c r="F496" s="83"/>
      <c r="G496" s="85"/>
      <c r="H496" s="86"/>
      <c r="I496" s="87"/>
      <c r="J496" s="86"/>
      <c r="K496" s="88"/>
      <c r="L496" s="86"/>
      <c r="M496" s="88"/>
      <c r="N496" s="86"/>
      <c r="O496" s="88"/>
      <c r="P496" s="86"/>
      <c r="Q496" s="88"/>
      <c r="R496" s="86"/>
      <c r="S496" s="88"/>
      <c r="T496" s="86"/>
      <c r="U496" s="88"/>
      <c r="V496" s="86"/>
      <c r="W496" s="88"/>
      <c r="X496" s="86"/>
      <c r="Y496" s="88"/>
      <c r="Z496" s="86"/>
      <c r="AA496" s="88"/>
      <c r="AB496" s="86"/>
      <c r="AC496" s="88"/>
      <c r="AD496" s="86"/>
      <c r="AE496" s="88"/>
      <c r="AF496" s="86"/>
      <c r="AG496" s="88"/>
      <c r="AH496" s="86"/>
      <c r="AI496" s="88"/>
      <c r="AJ496" s="86"/>
      <c r="AK496" s="88"/>
      <c r="AL496" s="86"/>
      <c r="AM496" s="88"/>
      <c r="AN496" s="86"/>
      <c r="AO496" s="88"/>
      <c r="AP496" s="86"/>
      <c r="AQ496" s="88"/>
      <c r="AR496" s="86"/>
      <c r="AS496" s="88"/>
      <c r="AT496" s="86"/>
      <c r="AU496" s="88"/>
      <c r="AV496" s="86"/>
      <c r="AW496" s="88"/>
      <c r="AX496" s="86"/>
      <c r="AY496" s="88"/>
      <c r="AZ496" s="86"/>
      <c r="BA496" s="88"/>
      <c r="BB496" s="86"/>
      <c r="BC496" s="88"/>
      <c r="BD496" s="86"/>
      <c r="BE496" s="88"/>
      <c r="BF496" s="86"/>
      <c r="BG496" s="88"/>
      <c r="BH496" s="86"/>
      <c r="BI496" s="88"/>
      <c r="BJ496" s="86"/>
      <c r="BK496" s="88"/>
      <c r="BL496" s="86"/>
      <c r="BM496" s="88"/>
      <c r="BN496" s="86"/>
      <c r="BO496" s="88"/>
      <c r="BP496" s="86"/>
      <c r="BQ496" s="88"/>
      <c r="BR496" s="86"/>
      <c r="BS496" s="87"/>
    </row>
    <row r="497" ht="22.5" customHeight="1">
      <c r="A497" s="154"/>
      <c r="B497" s="83"/>
      <c r="C497" s="151"/>
      <c r="D497" s="83"/>
      <c r="E497" s="151"/>
      <c r="F497" s="83"/>
      <c r="G497" s="85"/>
      <c r="H497" s="86"/>
      <c r="I497" s="87"/>
      <c r="J497" s="86"/>
      <c r="K497" s="88"/>
      <c r="L497" s="86"/>
      <c r="M497" s="88"/>
      <c r="N497" s="86"/>
      <c r="O497" s="88"/>
      <c r="P497" s="86"/>
      <c r="Q497" s="88"/>
      <c r="R497" s="86"/>
      <c r="S497" s="88"/>
      <c r="T497" s="86"/>
      <c r="U497" s="88"/>
      <c r="V497" s="86"/>
      <c r="W497" s="88"/>
      <c r="X497" s="86"/>
      <c r="Y497" s="88"/>
      <c r="Z497" s="86"/>
      <c r="AA497" s="88"/>
      <c r="AB497" s="86"/>
      <c r="AC497" s="88"/>
      <c r="AD497" s="86"/>
      <c r="AE497" s="88"/>
      <c r="AF497" s="86"/>
      <c r="AG497" s="88"/>
      <c r="AH497" s="86"/>
      <c r="AI497" s="88"/>
      <c r="AJ497" s="86"/>
      <c r="AK497" s="88"/>
      <c r="AL497" s="86"/>
      <c r="AM497" s="88"/>
      <c r="AN497" s="86"/>
      <c r="AO497" s="88"/>
      <c r="AP497" s="86"/>
      <c r="AQ497" s="88"/>
      <c r="AR497" s="86"/>
      <c r="AS497" s="88"/>
      <c r="AT497" s="86"/>
      <c r="AU497" s="88"/>
      <c r="AV497" s="86"/>
      <c r="AW497" s="88"/>
      <c r="AX497" s="86"/>
      <c r="AY497" s="88"/>
      <c r="AZ497" s="86"/>
      <c r="BA497" s="88"/>
      <c r="BB497" s="86"/>
      <c r="BC497" s="88"/>
      <c r="BD497" s="86"/>
      <c r="BE497" s="88"/>
      <c r="BF497" s="86"/>
      <c r="BG497" s="88"/>
      <c r="BH497" s="86"/>
      <c r="BI497" s="88"/>
      <c r="BJ497" s="86"/>
      <c r="BK497" s="88"/>
      <c r="BL497" s="86"/>
      <c r="BM497" s="88"/>
      <c r="BN497" s="86"/>
      <c r="BO497" s="88"/>
      <c r="BP497" s="86"/>
      <c r="BQ497" s="88"/>
      <c r="BR497" s="86"/>
      <c r="BS497" s="87"/>
    </row>
    <row r="498" ht="22.5" customHeight="1">
      <c r="A498" s="154"/>
      <c r="B498" s="83"/>
      <c r="C498" s="151"/>
      <c r="D498" s="83"/>
      <c r="E498" s="151"/>
      <c r="F498" s="83"/>
      <c r="G498" s="85"/>
      <c r="H498" s="86"/>
      <c r="I498" s="87"/>
      <c r="J498" s="86"/>
      <c r="K498" s="88"/>
      <c r="L498" s="86"/>
      <c r="M498" s="88"/>
      <c r="N498" s="86"/>
      <c r="O498" s="88"/>
      <c r="P498" s="86"/>
      <c r="Q498" s="88"/>
      <c r="R498" s="86"/>
      <c r="S498" s="88"/>
      <c r="T498" s="86"/>
      <c r="U498" s="88"/>
      <c r="V498" s="86"/>
      <c r="W498" s="88"/>
      <c r="X498" s="86"/>
      <c r="Y498" s="88"/>
      <c r="Z498" s="86"/>
      <c r="AA498" s="88"/>
      <c r="AB498" s="86"/>
      <c r="AC498" s="88"/>
      <c r="AD498" s="86"/>
      <c r="AE498" s="88"/>
      <c r="AF498" s="86"/>
      <c r="AG498" s="88"/>
      <c r="AH498" s="86"/>
      <c r="AI498" s="88"/>
      <c r="AJ498" s="86"/>
      <c r="AK498" s="88"/>
      <c r="AL498" s="86"/>
      <c r="AM498" s="88"/>
      <c r="AN498" s="86"/>
      <c r="AO498" s="88"/>
      <c r="AP498" s="86"/>
      <c r="AQ498" s="88"/>
      <c r="AR498" s="86"/>
      <c r="AS498" s="88"/>
      <c r="AT498" s="86"/>
      <c r="AU498" s="88"/>
      <c r="AV498" s="86"/>
      <c r="AW498" s="88"/>
      <c r="AX498" s="86"/>
      <c r="AY498" s="88"/>
      <c r="AZ498" s="86"/>
      <c r="BA498" s="88"/>
      <c r="BB498" s="86"/>
      <c r="BC498" s="88"/>
      <c r="BD498" s="86"/>
      <c r="BE498" s="88"/>
      <c r="BF498" s="86"/>
      <c r="BG498" s="88"/>
      <c r="BH498" s="86"/>
      <c r="BI498" s="88"/>
      <c r="BJ498" s="86"/>
      <c r="BK498" s="88"/>
      <c r="BL498" s="86"/>
      <c r="BM498" s="88"/>
      <c r="BN498" s="86"/>
      <c r="BO498" s="88"/>
      <c r="BP498" s="86"/>
      <c r="BQ498" s="88"/>
      <c r="BR498" s="86"/>
      <c r="BS498" s="87"/>
    </row>
    <row r="499" ht="22.5" customHeight="1">
      <c r="A499" s="154"/>
      <c r="B499" s="83"/>
      <c r="C499" s="151"/>
      <c r="D499" s="83"/>
      <c r="E499" s="151"/>
      <c r="F499" s="83"/>
      <c r="G499" s="85"/>
      <c r="H499" s="86"/>
      <c r="I499" s="87"/>
      <c r="J499" s="86"/>
      <c r="K499" s="88"/>
      <c r="L499" s="86"/>
      <c r="M499" s="88"/>
      <c r="N499" s="86"/>
      <c r="O499" s="88"/>
      <c r="P499" s="86"/>
      <c r="Q499" s="88"/>
      <c r="R499" s="86"/>
      <c r="S499" s="88"/>
      <c r="T499" s="86"/>
      <c r="U499" s="88"/>
      <c r="V499" s="86"/>
      <c r="W499" s="88"/>
      <c r="X499" s="86"/>
      <c r="Y499" s="88"/>
      <c r="Z499" s="86"/>
      <c r="AA499" s="88"/>
      <c r="AB499" s="86"/>
      <c r="AC499" s="88"/>
      <c r="AD499" s="86"/>
      <c r="AE499" s="88"/>
      <c r="AF499" s="86"/>
      <c r="AG499" s="88"/>
      <c r="AH499" s="86"/>
      <c r="AI499" s="88"/>
      <c r="AJ499" s="86"/>
      <c r="AK499" s="88"/>
      <c r="AL499" s="86"/>
      <c r="AM499" s="88"/>
      <c r="AN499" s="86"/>
      <c r="AO499" s="88"/>
      <c r="AP499" s="86"/>
      <c r="AQ499" s="88"/>
      <c r="AR499" s="86"/>
      <c r="AS499" s="88"/>
      <c r="AT499" s="86"/>
      <c r="AU499" s="88"/>
      <c r="AV499" s="86"/>
      <c r="AW499" s="88"/>
      <c r="AX499" s="86"/>
      <c r="AY499" s="88"/>
      <c r="AZ499" s="86"/>
      <c r="BA499" s="88"/>
      <c r="BB499" s="86"/>
      <c r="BC499" s="88"/>
      <c r="BD499" s="86"/>
      <c r="BE499" s="88"/>
      <c r="BF499" s="86"/>
      <c r="BG499" s="88"/>
      <c r="BH499" s="86"/>
      <c r="BI499" s="88"/>
      <c r="BJ499" s="86"/>
      <c r="BK499" s="88"/>
      <c r="BL499" s="86"/>
      <c r="BM499" s="88"/>
      <c r="BN499" s="86"/>
      <c r="BO499" s="88"/>
      <c r="BP499" s="86"/>
      <c r="BQ499" s="88"/>
      <c r="BR499" s="86"/>
      <c r="BS499" s="87"/>
    </row>
    <row r="500" ht="22.5" customHeight="1">
      <c r="A500" s="154"/>
      <c r="B500" s="83"/>
      <c r="C500" s="151"/>
      <c r="D500" s="83"/>
      <c r="E500" s="151"/>
      <c r="F500" s="83"/>
      <c r="G500" s="85"/>
      <c r="H500" s="86"/>
      <c r="I500" s="87"/>
      <c r="J500" s="86"/>
      <c r="K500" s="88"/>
      <c r="L500" s="86"/>
      <c r="M500" s="88"/>
      <c r="N500" s="86"/>
      <c r="O500" s="88"/>
      <c r="P500" s="86"/>
      <c r="Q500" s="88"/>
      <c r="R500" s="86"/>
      <c r="S500" s="88"/>
      <c r="T500" s="86"/>
      <c r="U500" s="88"/>
      <c r="V500" s="86"/>
      <c r="W500" s="88"/>
      <c r="X500" s="86"/>
      <c r="Y500" s="88"/>
      <c r="Z500" s="86"/>
      <c r="AA500" s="88"/>
      <c r="AB500" s="86"/>
      <c r="AC500" s="88"/>
      <c r="AD500" s="86"/>
      <c r="AE500" s="88"/>
      <c r="AF500" s="86"/>
      <c r="AG500" s="88"/>
      <c r="AH500" s="86"/>
      <c r="AI500" s="88"/>
      <c r="AJ500" s="86"/>
      <c r="AK500" s="88"/>
      <c r="AL500" s="86"/>
      <c r="AM500" s="88"/>
      <c r="AN500" s="86"/>
      <c r="AO500" s="88"/>
      <c r="AP500" s="86"/>
      <c r="AQ500" s="88"/>
      <c r="AR500" s="86"/>
      <c r="AS500" s="88"/>
      <c r="AT500" s="86"/>
      <c r="AU500" s="88"/>
      <c r="AV500" s="86"/>
      <c r="AW500" s="88"/>
      <c r="AX500" s="86"/>
      <c r="AY500" s="88"/>
      <c r="AZ500" s="86"/>
      <c r="BA500" s="88"/>
      <c r="BB500" s="86"/>
      <c r="BC500" s="88"/>
      <c r="BD500" s="86"/>
      <c r="BE500" s="88"/>
      <c r="BF500" s="86"/>
      <c r="BG500" s="88"/>
      <c r="BH500" s="86"/>
      <c r="BI500" s="88"/>
      <c r="BJ500" s="86"/>
      <c r="BK500" s="88"/>
      <c r="BL500" s="86"/>
      <c r="BM500" s="88"/>
      <c r="BN500" s="86"/>
      <c r="BO500" s="88"/>
      <c r="BP500" s="86"/>
      <c r="BQ500" s="88"/>
      <c r="BR500" s="86"/>
      <c r="BS500" s="87"/>
    </row>
    <row r="501" ht="22.5" customHeight="1">
      <c r="A501" s="154"/>
      <c r="B501" s="83"/>
      <c r="C501" s="151"/>
      <c r="D501" s="83"/>
      <c r="E501" s="151"/>
      <c r="F501" s="83"/>
      <c r="G501" s="85"/>
      <c r="H501" s="86"/>
      <c r="I501" s="87"/>
      <c r="J501" s="86"/>
      <c r="K501" s="88"/>
      <c r="L501" s="86"/>
      <c r="M501" s="88"/>
      <c r="N501" s="86"/>
      <c r="O501" s="88"/>
      <c r="P501" s="86"/>
      <c r="Q501" s="88"/>
      <c r="R501" s="86"/>
      <c r="S501" s="88"/>
      <c r="T501" s="86"/>
      <c r="U501" s="88"/>
      <c r="V501" s="86"/>
      <c r="W501" s="88"/>
      <c r="X501" s="86"/>
      <c r="Y501" s="88"/>
      <c r="Z501" s="86"/>
      <c r="AA501" s="88"/>
      <c r="AB501" s="86"/>
      <c r="AC501" s="88"/>
      <c r="AD501" s="86"/>
      <c r="AE501" s="88"/>
      <c r="AF501" s="86"/>
      <c r="AG501" s="88"/>
      <c r="AH501" s="86"/>
      <c r="AI501" s="88"/>
      <c r="AJ501" s="86"/>
      <c r="AK501" s="88"/>
      <c r="AL501" s="86"/>
      <c r="AM501" s="88"/>
      <c r="AN501" s="86"/>
      <c r="AO501" s="88"/>
      <c r="AP501" s="86"/>
      <c r="AQ501" s="88"/>
      <c r="AR501" s="86"/>
      <c r="AS501" s="88"/>
      <c r="AT501" s="86"/>
      <c r="AU501" s="88"/>
      <c r="AV501" s="86"/>
      <c r="AW501" s="88"/>
      <c r="AX501" s="86"/>
      <c r="AY501" s="88"/>
      <c r="AZ501" s="86"/>
      <c r="BA501" s="88"/>
      <c r="BB501" s="86"/>
      <c r="BC501" s="88"/>
      <c r="BD501" s="86"/>
      <c r="BE501" s="88"/>
      <c r="BF501" s="86"/>
      <c r="BG501" s="88"/>
      <c r="BH501" s="86"/>
      <c r="BI501" s="88"/>
      <c r="BJ501" s="86"/>
      <c r="BK501" s="88"/>
      <c r="BL501" s="86"/>
      <c r="BM501" s="88"/>
      <c r="BN501" s="86"/>
      <c r="BO501" s="88"/>
      <c r="BP501" s="86"/>
      <c r="BQ501" s="88"/>
      <c r="BR501" s="86"/>
      <c r="BS501" s="87"/>
    </row>
    <row r="502" ht="22.5" customHeight="1">
      <c r="A502" s="154"/>
      <c r="B502" s="83"/>
      <c r="C502" s="151"/>
      <c r="D502" s="83"/>
      <c r="E502" s="151"/>
      <c r="F502" s="83"/>
      <c r="G502" s="85"/>
      <c r="H502" s="86"/>
      <c r="I502" s="87"/>
      <c r="J502" s="86"/>
      <c r="K502" s="88"/>
      <c r="L502" s="86"/>
      <c r="M502" s="88"/>
      <c r="N502" s="86"/>
      <c r="O502" s="88"/>
      <c r="P502" s="86"/>
      <c r="Q502" s="88"/>
      <c r="R502" s="86"/>
      <c r="S502" s="88"/>
      <c r="T502" s="86"/>
      <c r="U502" s="88"/>
      <c r="V502" s="86"/>
      <c r="W502" s="88"/>
      <c r="X502" s="86"/>
      <c r="Y502" s="88"/>
      <c r="Z502" s="86"/>
      <c r="AA502" s="88"/>
      <c r="AB502" s="86"/>
      <c r="AC502" s="88"/>
      <c r="AD502" s="86"/>
      <c r="AE502" s="88"/>
      <c r="AF502" s="86"/>
      <c r="AG502" s="88"/>
      <c r="AH502" s="86"/>
      <c r="AI502" s="88"/>
      <c r="AJ502" s="86"/>
      <c r="AK502" s="88"/>
      <c r="AL502" s="86"/>
      <c r="AM502" s="88"/>
      <c r="AN502" s="86"/>
      <c r="AO502" s="88"/>
      <c r="AP502" s="86"/>
      <c r="AQ502" s="88"/>
      <c r="AR502" s="86"/>
      <c r="AS502" s="88"/>
      <c r="AT502" s="86"/>
      <c r="AU502" s="88"/>
      <c r="AV502" s="86"/>
      <c r="AW502" s="88"/>
      <c r="AX502" s="86"/>
      <c r="AY502" s="88"/>
      <c r="AZ502" s="86"/>
      <c r="BA502" s="88"/>
      <c r="BB502" s="86"/>
      <c r="BC502" s="88"/>
      <c r="BD502" s="86"/>
      <c r="BE502" s="88"/>
      <c r="BF502" s="86"/>
      <c r="BG502" s="88"/>
      <c r="BH502" s="86"/>
      <c r="BI502" s="88"/>
      <c r="BJ502" s="86"/>
      <c r="BK502" s="88"/>
      <c r="BL502" s="86"/>
      <c r="BM502" s="88"/>
      <c r="BN502" s="86"/>
      <c r="BO502" s="88"/>
      <c r="BP502" s="86"/>
      <c r="BQ502" s="88"/>
      <c r="BR502" s="86"/>
      <c r="BS502" s="87"/>
    </row>
    <row r="503" ht="22.5" customHeight="1">
      <c r="A503" s="154"/>
      <c r="B503" s="83"/>
      <c r="C503" s="151"/>
      <c r="D503" s="83"/>
      <c r="E503" s="151"/>
      <c r="F503" s="83"/>
      <c r="G503" s="85"/>
      <c r="H503" s="86"/>
      <c r="I503" s="87"/>
      <c r="J503" s="86"/>
      <c r="K503" s="88"/>
      <c r="L503" s="86"/>
      <c r="M503" s="88"/>
      <c r="N503" s="86"/>
      <c r="O503" s="88"/>
      <c r="P503" s="86"/>
      <c r="Q503" s="88"/>
      <c r="R503" s="86"/>
      <c r="S503" s="88"/>
      <c r="T503" s="86"/>
      <c r="U503" s="88"/>
      <c r="V503" s="86"/>
      <c r="W503" s="88"/>
      <c r="X503" s="86"/>
      <c r="Y503" s="88"/>
      <c r="Z503" s="86"/>
      <c r="AA503" s="88"/>
      <c r="AB503" s="86"/>
      <c r="AC503" s="88"/>
      <c r="AD503" s="86"/>
      <c r="AE503" s="88"/>
      <c r="AF503" s="86"/>
      <c r="AG503" s="88"/>
      <c r="AH503" s="86"/>
      <c r="AI503" s="88"/>
      <c r="AJ503" s="86"/>
      <c r="AK503" s="88"/>
      <c r="AL503" s="86"/>
      <c r="AM503" s="88"/>
      <c r="AN503" s="86"/>
      <c r="AO503" s="88"/>
      <c r="AP503" s="86"/>
      <c r="AQ503" s="88"/>
      <c r="AR503" s="86"/>
      <c r="AS503" s="88"/>
      <c r="AT503" s="86"/>
      <c r="AU503" s="88"/>
      <c r="AV503" s="86"/>
      <c r="AW503" s="88"/>
      <c r="AX503" s="86"/>
      <c r="AY503" s="88"/>
      <c r="AZ503" s="86"/>
      <c r="BA503" s="88"/>
      <c r="BB503" s="86"/>
      <c r="BC503" s="88"/>
      <c r="BD503" s="86"/>
      <c r="BE503" s="88"/>
      <c r="BF503" s="86"/>
      <c r="BG503" s="88"/>
      <c r="BH503" s="86"/>
      <c r="BI503" s="88"/>
      <c r="BJ503" s="86"/>
      <c r="BK503" s="88"/>
      <c r="BL503" s="86"/>
      <c r="BM503" s="88"/>
      <c r="BN503" s="86"/>
      <c r="BO503" s="88"/>
      <c r="BP503" s="86"/>
      <c r="BQ503" s="88"/>
      <c r="BR503" s="86"/>
      <c r="BS503" s="87"/>
    </row>
    <row r="504" ht="22.5" customHeight="1">
      <c r="A504" s="154"/>
      <c r="B504" s="83"/>
      <c r="C504" s="151"/>
      <c r="D504" s="83"/>
      <c r="E504" s="151"/>
      <c r="F504" s="83"/>
      <c r="G504" s="85"/>
      <c r="H504" s="86"/>
      <c r="I504" s="87"/>
      <c r="J504" s="86"/>
      <c r="K504" s="88"/>
      <c r="L504" s="86"/>
      <c r="M504" s="88"/>
      <c r="N504" s="86"/>
      <c r="O504" s="88"/>
      <c r="P504" s="86"/>
      <c r="Q504" s="88"/>
      <c r="R504" s="86"/>
      <c r="S504" s="88"/>
      <c r="T504" s="86"/>
      <c r="U504" s="88"/>
      <c r="V504" s="86"/>
      <c r="W504" s="88"/>
      <c r="X504" s="86"/>
      <c r="Y504" s="88"/>
      <c r="Z504" s="86"/>
      <c r="AA504" s="88"/>
      <c r="AB504" s="86"/>
      <c r="AC504" s="88"/>
      <c r="AD504" s="86"/>
      <c r="AE504" s="88"/>
      <c r="AF504" s="86"/>
      <c r="AG504" s="88"/>
      <c r="AH504" s="86"/>
      <c r="AI504" s="88"/>
      <c r="AJ504" s="86"/>
      <c r="AK504" s="88"/>
      <c r="AL504" s="86"/>
      <c r="AM504" s="88"/>
      <c r="AN504" s="86"/>
      <c r="AO504" s="88"/>
      <c r="AP504" s="86"/>
      <c r="AQ504" s="88"/>
      <c r="AR504" s="86"/>
      <c r="AS504" s="88"/>
      <c r="AT504" s="86"/>
      <c r="AU504" s="88"/>
      <c r="AV504" s="86"/>
      <c r="AW504" s="88"/>
      <c r="AX504" s="86"/>
      <c r="AY504" s="88"/>
      <c r="AZ504" s="86"/>
      <c r="BA504" s="88"/>
      <c r="BB504" s="86"/>
      <c r="BC504" s="88"/>
      <c r="BD504" s="86"/>
      <c r="BE504" s="88"/>
      <c r="BF504" s="86"/>
      <c r="BG504" s="88"/>
      <c r="BH504" s="86"/>
      <c r="BI504" s="88"/>
      <c r="BJ504" s="86"/>
      <c r="BK504" s="88"/>
      <c r="BL504" s="86"/>
      <c r="BM504" s="88"/>
      <c r="BN504" s="86"/>
      <c r="BO504" s="88"/>
      <c r="BP504" s="86"/>
      <c r="BQ504" s="88"/>
      <c r="BR504" s="86"/>
      <c r="BS504" s="87"/>
    </row>
    <row r="505" ht="22.5" customHeight="1">
      <c r="A505" s="154"/>
      <c r="B505" s="83"/>
      <c r="C505" s="151"/>
      <c r="D505" s="83"/>
      <c r="E505" s="151"/>
      <c r="F505" s="83"/>
      <c r="G505" s="85"/>
      <c r="H505" s="86"/>
      <c r="I505" s="87"/>
      <c r="J505" s="86"/>
      <c r="K505" s="88"/>
      <c r="L505" s="86"/>
      <c r="M505" s="88"/>
      <c r="N505" s="86"/>
      <c r="O505" s="88"/>
      <c r="P505" s="86"/>
      <c r="Q505" s="88"/>
      <c r="R505" s="86"/>
      <c r="S505" s="88"/>
      <c r="T505" s="86"/>
      <c r="U505" s="88"/>
      <c r="V505" s="86"/>
      <c r="W505" s="88"/>
      <c r="X505" s="86"/>
      <c r="Y505" s="88"/>
      <c r="Z505" s="86"/>
      <c r="AA505" s="88"/>
      <c r="AB505" s="86"/>
      <c r="AC505" s="88"/>
      <c r="AD505" s="86"/>
      <c r="AE505" s="88"/>
      <c r="AF505" s="86"/>
      <c r="AG505" s="88"/>
      <c r="AH505" s="86"/>
      <c r="AI505" s="88"/>
      <c r="AJ505" s="86"/>
      <c r="AK505" s="88"/>
      <c r="AL505" s="86"/>
      <c r="AM505" s="88"/>
      <c r="AN505" s="86"/>
      <c r="AO505" s="88"/>
      <c r="AP505" s="86"/>
      <c r="AQ505" s="88"/>
      <c r="AR505" s="86"/>
      <c r="AS505" s="88"/>
      <c r="AT505" s="86"/>
      <c r="AU505" s="88"/>
      <c r="AV505" s="86"/>
      <c r="AW505" s="88"/>
      <c r="AX505" s="86"/>
      <c r="AY505" s="88"/>
      <c r="AZ505" s="86"/>
      <c r="BA505" s="88"/>
      <c r="BB505" s="86"/>
      <c r="BC505" s="88"/>
      <c r="BD505" s="86"/>
      <c r="BE505" s="88"/>
      <c r="BF505" s="86"/>
      <c r="BG505" s="88"/>
      <c r="BH505" s="86"/>
      <c r="BI505" s="88"/>
      <c r="BJ505" s="86"/>
      <c r="BK505" s="88"/>
      <c r="BL505" s="86"/>
      <c r="BM505" s="88"/>
      <c r="BN505" s="86"/>
      <c r="BO505" s="88"/>
      <c r="BP505" s="86"/>
      <c r="BQ505" s="88"/>
      <c r="BR505" s="86"/>
      <c r="BS505" s="87"/>
    </row>
    <row r="506" ht="22.5" customHeight="1">
      <c r="A506" s="154"/>
      <c r="B506" s="83"/>
      <c r="C506" s="151"/>
      <c r="D506" s="83"/>
      <c r="E506" s="151"/>
      <c r="F506" s="83"/>
      <c r="G506" s="85"/>
      <c r="H506" s="86"/>
      <c r="I506" s="87"/>
      <c r="J506" s="86"/>
      <c r="K506" s="88"/>
      <c r="L506" s="86"/>
      <c r="M506" s="88"/>
      <c r="N506" s="86"/>
      <c r="O506" s="88"/>
      <c r="P506" s="86"/>
      <c r="Q506" s="88"/>
      <c r="R506" s="86"/>
      <c r="S506" s="88"/>
      <c r="T506" s="86"/>
      <c r="U506" s="88"/>
      <c r="V506" s="86"/>
      <c r="W506" s="88"/>
      <c r="X506" s="86"/>
      <c r="Y506" s="88"/>
      <c r="Z506" s="86"/>
      <c r="AA506" s="88"/>
      <c r="AB506" s="86"/>
      <c r="AC506" s="88"/>
      <c r="AD506" s="86"/>
      <c r="AE506" s="88"/>
      <c r="AF506" s="86"/>
      <c r="AG506" s="88"/>
      <c r="AH506" s="86"/>
      <c r="AI506" s="88"/>
      <c r="AJ506" s="86"/>
      <c r="AK506" s="88"/>
      <c r="AL506" s="86"/>
      <c r="AM506" s="88"/>
      <c r="AN506" s="86"/>
      <c r="AO506" s="88"/>
      <c r="AP506" s="86"/>
      <c r="AQ506" s="88"/>
      <c r="AR506" s="86"/>
      <c r="AS506" s="88"/>
      <c r="AT506" s="86"/>
      <c r="AU506" s="88"/>
      <c r="AV506" s="86"/>
      <c r="AW506" s="88"/>
      <c r="AX506" s="86"/>
      <c r="AY506" s="88"/>
      <c r="AZ506" s="86"/>
      <c r="BA506" s="88"/>
      <c r="BB506" s="86"/>
      <c r="BC506" s="88"/>
      <c r="BD506" s="86"/>
      <c r="BE506" s="88"/>
      <c r="BF506" s="86"/>
      <c r="BG506" s="88"/>
      <c r="BH506" s="86"/>
      <c r="BI506" s="88"/>
      <c r="BJ506" s="86"/>
      <c r="BK506" s="88"/>
      <c r="BL506" s="86"/>
      <c r="BM506" s="88"/>
      <c r="BN506" s="86"/>
      <c r="BO506" s="88"/>
      <c r="BP506" s="86"/>
      <c r="BQ506" s="88"/>
      <c r="BR506" s="86"/>
      <c r="BS506" s="87"/>
    </row>
    <row r="507" ht="22.5" customHeight="1">
      <c r="A507" s="154"/>
      <c r="B507" s="83"/>
      <c r="C507" s="151"/>
      <c r="D507" s="83"/>
      <c r="E507" s="151"/>
      <c r="F507" s="83"/>
      <c r="G507" s="85"/>
      <c r="H507" s="86"/>
      <c r="I507" s="87"/>
      <c r="J507" s="86"/>
      <c r="K507" s="88"/>
      <c r="L507" s="86"/>
      <c r="M507" s="88"/>
      <c r="N507" s="86"/>
      <c r="O507" s="88"/>
      <c r="P507" s="86"/>
      <c r="Q507" s="88"/>
      <c r="R507" s="86"/>
      <c r="S507" s="88"/>
      <c r="T507" s="86"/>
      <c r="U507" s="88"/>
      <c r="V507" s="86"/>
      <c r="W507" s="88"/>
      <c r="X507" s="86"/>
      <c r="Y507" s="88"/>
      <c r="Z507" s="86"/>
      <c r="AA507" s="88"/>
      <c r="AB507" s="86"/>
      <c r="AC507" s="88"/>
      <c r="AD507" s="86"/>
      <c r="AE507" s="88"/>
      <c r="AF507" s="86"/>
      <c r="AG507" s="88"/>
      <c r="AH507" s="86"/>
      <c r="AI507" s="88"/>
      <c r="AJ507" s="86"/>
      <c r="AK507" s="88"/>
      <c r="AL507" s="86"/>
      <c r="AM507" s="88"/>
      <c r="AN507" s="86"/>
      <c r="AO507" s="88"/>
      <c r="AP507" s="86"/>
      <c r="AQ507" s="88"/>
      <c r="AR507" s="86"/>
      <c r="AS507" s="88"/>
      <c r="AT507" s="86"/>
      <c r="AU507" s="88"/>
      <c r="AV507" s="86"/>
      <c r="AW507" s="88"/>
      <c r="AX507" s="86"/>
      <c r="AY507" s="88"/>
      <c r="AZ507" s="86"/>
      <c r="BA507" s="88"/>
      <c r="BB507" s="86"/>
      <c r="BC507" s="88"/>
      <c r="BD507" s="86"/>
      <c r="BE507" s="88"/>
      <c r="BF507" s="86"/>
      <c r="BG507" s="88"/>
      <c r="BH507" s="86"/>
      <c r="BI507" s="88"/>
      <c r="BJ507" s="86"/>
      <c r="BK507" s="88"/>
      <c r="BL507" s="86"/>
      <c r="BM507" s="88"/>
      <c r="BN507" s="86"/>
      <c r="BO507" s="88"/>
      <c r="BP507" s="86"/>
      <c r="BQ507" s="88"/>
      <c r="BR507" s="86"/>
      <c r="BS507" s="87"/>
    </row>
    <row r="508" ht="22.5" customHeight="1">
      <c r="A508" s="154"/>
      <c r="B508" s="83"/>
      <c r="C508" s="151"/>
      <c r="D508" s="83"/>
      <c r="E508" s="151"/>
      <c r="F508" s="83"/>
      <c r="G508" s="85"/>
      <c r="H508" s="86"/>
      <c r="I508" s="87"/>
      <c r="J508" s="86"/>
      <c r="K508" s="88"/>
      <c r="L508" s="86"/>
      <c r="M508" s="88"/>
      <c r="N508" s="86"/>
      <c r="O508" s="88"/>
      <c r="P508" s="86"/>
      <c r="Q508" s="88"/>
      <c r="R508" s="86"/>
      <c r="S508" s="88"/>
      <c r="T508" s="86"/>
      <c r="U508" s="88"/>
      <c r="V508" s="86"/>
      <c r="W508" s="88"/>
      <c r="X508" s="86"/>
      <c r="Y508" s="88"/>
      <c r="Z508" s="86"/>
      <c r="AA508" s="88"/>
      <c r="AB508" s="86"/>
      <c r="AC508" s="88"/>
      <c r="AD508" s="86"/>
      <c r="AE508" s="88"/>
      <c r="AF508" s="86"/>
      <c r="AG508" s="88"/>
      <c r="AH508" s="86"/>
      <c r="AI508" s="88"/>
      <c r="AJ508" s="86"/>
      <c r="AK508" s="88"/>
      <c r="AL508" s="86"/>
      <c r="AM508" s="88"/>
      <c r="AN508" s="86"/>
      <c r="AO508" s="88"/>
      <c r="AP508" s="86"/>
      <c r="AQ508" s="88"/>
      <c r="AR508" s="86"/>
      <c r="AS508" s="88"/>
      <c r="AT508" s="86"/>
      <c r="AU508" s="88"/>
      <c r="AV508" s="86"/>
      <c r="AW508" s="88"/>
      <c r="AX508" s="86"/>
      <c r="AY508" s="88"/>
      <c r="AZ508" s="86"/>
      <c r="BA508" s="88"/>
      <c r="BB508" s="86"/>
      <c r="BC508" s="88"/>
      <c r="BD508" s="86"/>
      <c r="BE508" s="88"/>
      <c r="BF508" s="86"/>
      <c r="BG508" s="88"/>
      <c r="BH508" s="86"/>
      <c r="BI508" s="88"/>
      <c r="BJ508" s="86"/>
      <c r="BK508" s="88"/>
      <c r="BL508" s="86"/>
      <c r="BM508" s="88"/>
      <c r="BN508" s="86"/>
      <c r="BO508" s="88"/>
      <c r="BP508" s="86"/>
      <c r="BQ508" s="88"/>
      <c r="BR508" s="86"/>
      <c r="BS508" s="87"/>
    </row>
    <row r="509" ht="22.5" customHeight="1">
      <c r="A509" s="154"/>
      <c r="B509" s="83"/>
      <c r="C509" s="151"/>
      <c r="D509" s="83"/>
      <c r="E509" s="151"/>
      <c r="F509" s="83"/>
      <c r="G509" s="85"/>
      <c r="H509" s="86"/>
      <c r="I509" s="87"/>
      <c r="J509" s="86"/>
      <c r="K509" s="88"/>
      <c r="L509" s="86"/>
      <c r="M509" s="88"/>
      <c r="N509" s="86"/>
      <c r="O509" s="88"/>
      <c r="P509" s="86"/>
      <c r="Q509" s="88"/>
      <c r="R509" s="86"/>
      <c r="S509" s="88"/>
      <c r="T509" s="86"/>
      <c r="U509" s="88"/>
      <c r="V509" s="86"/>
      <c r="W509" s="88"/>
      <c r="X509" s="86"/>
      <c r="Y509" s="88"/>
      <c r="Z509" s="86"/>
      <c r="AA509" s="88"/>
      <c r="AB509" s="86"/>
      <c r="AC509" s="88"/>
      <c r="AD509" s="86"/>
      <c r="AE509" s="88"/>
      <c r="AF509" s="86"/>
      <c r="AG509" s="88"/>
      <c r="AH509" s="86"/>
      <c r="AI509" s="88"/>
      <c r="AJ509" s="86"/>
      <c r="AK509" s="88"/>
      <c r="AL509" s="86"/>
      <c r="AM509" s="88"/>
      <c r="AN509" s="86"/>
      <c r="AO509" s="88"/>
      <c r="AP509" s="86"/>
      <c r="AQ509" s="88"/>
      <c r="AR509" s="86"/>
      <c r="AS509" s="88"/>
      <c r="AT509" s="86"/>
      <c r="AU509" s="88"/>
      <c r="AV509" s="86"/>
      <c r="AW509" s="88"/>
      <c r="AX509" s="86"/>
      <c r="AY509" s="88"/>
      <c r="AZ509" s="86"/>
      <c r="BA509" s="88"/>
      <c r="BB509" s="86"/>
      <c r="BC509" s="88"/>
      <c r="BD509" s="86"/>
      <c r="BE509" s="88"/>
      <c r="BF509" s="86"/>
      <c r="BG509" s="88"/>
      <c r="BH509" s="86"/>
      <c r="BI509" s="88"/>
      <c r="BJ509" s="86"/>
      <c r="BK509" s="88"/>
      <c r="BL509" s="86"/>
      <c r="BM509" s="88"/>
      <c r="BN509" s="86"/>
      <c r="BO509" s="88"/>
      <c r="BP509" s="86"/>
      <c r="BQ509" s="88"/>
      <c r="BR509" s="86"/>
      <c r="BS509" s="87"/>
    </row>
    <row r="510" ht="22.5" customHeight="1">
      <c r="A510" s="154"/>
      <c r="B510" s="83"/>
      <c r="C510" s="151"/>
      <c r="D510" s="83"/>
      <c r="E510" s="151"/>
      <c r="F510" s="83"/>
      <c r="G510" s="85"/>
      <c r="H510" s="86"/>
      <c r="I510" s="87"/>
      <c r="J510" s="86"/>
      <c r="K510" s="88"/>
      <c r="L510" s="86"/>
      <c r="M510" s="88"/>
      <c r="N510" s="86"/>
      <c r="O510" s="88"/>
      <c r="P510" s="86"/>
      <c r="Q510" s="88"/>
      <c r="R510" s="86"/>
      <c r="S510" s="88"/>
      <c r="T510" s="86"/>
      <c r="U510" s="88"/>
      <c r="V510" s="86"/>
      <c r="W510" s="88"/>
      <c r="X510" s="86"/>
      <c r="Y510" s="88"/>
      <c r="Z510" s="86"/>
      <c r="AA510" s="88"/>
      <c r="AB510" s="86"/>
      <c r="AC510" s="88"/>
      <c r="AD510" s="86"/>
      <c r="AE510" s="88"/>
      <c r="AF510" s="86"/>
      <c r="AG510" s="88"/>
      <c r="AH510" s="86"/>
      <c r="AI510" s="88"/>
      <c r="AJ510" s="86"/>
      <c r="AK510" s="88"/>
      <c r="AL510" s="86"/>
      <c r="AM510" s="88"/>
      <c r="AN510" s="86"/>
      <c r="AO510" s="88"/>
      <c r="AP510" s="86"/>
      <c r="AQ510" s="88"/>
      <c r="AR510" s="86"/>
      <c r="AS510" s="88"/>
      <c r="AT510" s="86"/>
      <c r="AU510" s="88"/>
      <c r="AV510" s="86"/>
      <c r="AW510" s="88"/>
      <c r="AX510" s="86"/>
      <c r="AY510" s="88"/>
      <c r="AZ510" s="86"/>
      <c r="BA510" s="88"/>
      <c r="BB510" s="86"/>
      <c r="BC510" s="88"/>
      <c r="BD510" s="86"/>
      <c r="BE510" s="88"/>
      <c r="BF510" s="86"/>
      <c r="BG510" s="88"/>
      <c r="BH510" s="86"/>
      <c r="BI510" s="88"/>
      <c r="BJ510" s="86"/>
      <c r="BK510" s="88"/>
      <c r="BL510" s="86"/>
      <c r="BM510" s="88"/>
      <c r="BN510" s="86"/>
      <c r="BO510" s="88"/>
      <c r="BP510" s="86"/>
      <c r="BQ510" s="88"/>
      <c r="BR510" s="86"/>
      <c r="BS510" s="87"/>
    </row>
    <row r="511" ht="22.5" customHeight="1">
      <c r="A511" s="154"/>
      <c r="B511" s="83"/>
      <c r="C511" s="151"/>
      <c r="D511" s="83"/>
      <c r="E511" s="151"/>
      <c r="F511" s="83"/>
      <c r="G511" s="85"/>
      <c r="H511" s="86"/>
      <c r="I511" s="87"/>
      <c r="J511" s="86"/>
      <c r="K511" s="88"/>
      <c r="L511" s="86"/>
      <c r="M511" s="88"/>
      <c r="N511" s="86"/>
      <c r="O511" s="88"/>
      <c r="P511" s="86"/>
      <c r="Q511" s="88"/>
      <c r="R511" s="86"/>
      <c r="S511" s="88"/>
      <c r="T511" s="86"/>
      <c r="U511" s="88"/>
      <c r="V511" s="86"/>
      <c r="W511" s="88"/>
      <c r="X511" s="86"/>
      <c r="Y511" s="88"/>
      <c r="Z511" s="86"/>
      <c r="AA511" s="88"/>
      <c r="AB511" s="86"/>
      <c r="AC511" s="88"/>
      <c r="AD511" s="86"/>
      <c r="AE511" s="88"/>
      <c r="AF511" s="86"/>
      <c r="AG511" s="88"/>
      <c r="AH511" s="86"/>
      <c r="AI511" s="88"/>
      <c r="AJ511" s="86"/>
      <c r="AK511" s="88"/>
      <c r="AL511" s="86"/>
      <c r="AM511" s="88"/>
      <c r="AN511" s="86"/>
      <c r="AO511" s="88"/>
      <c r="AP511" s="86"/>
      <c r="AQ511" s="88"/>
      <c r="AR511" s="86"/>
      <c r="AS511" s="88"/>
      <c r="AT511" s="86"/>
      <c r="AU511" s="88"/>
      <c r="AV511" s="86"/>
      <c r="AW511" s="88"/>
      <c r="AX511" s="86"/>
      <c r="AY511" s="88"/>
      <c r="AZ511" s="86"/>
      <c r="BA511" s="88"/>
      <c r="BB511" s="86"/>
      <c r="BC511" s="88"/>
      <c r="BD511" s="86"/>
      <c r="BE511" s="88"/>
      <c r="BF511" s="86"/>
      <c r="BG511" s="88"/>
      <c r="BH511" s="86"/>
      <c r="BI511" s="88"/>
      <c r="BJ511" s="86"/>
      <c r="BK511" s="88"/>
      <c r="BL511" s="86"/>
      <c r="BM511" s="88"/>
      <c r="BN511" s="86"/>
      <c r="BO511" s="88"/>
      <c r="BP511" s="86"/>
      <c r="BQ511" s="88"/>
      <c r="BR511" s="86"/>
      <c r="BS511" s="87"/>
    </row>
    <row r="512" ht="22.5" customHeight="1">
      <c r="A512" s="154"/>
      <c r="B512" s="83"/>
      <c r="C512" s="151"/>
      <c r="D512" s="83"/>
      <c r="E512" s="151"/>
      <c r="F512" s="83"/>
      <c r="G512" s="85"/>
      <c r="H512" s="86"/>
      <c r="I512" s="87"/>
      <c r="J512" s="86"/>
      <c r="K512" s="88"/>
      <c r="L512" s="86"/>
      <c r="M512" s="88"/>
      <c r="N512" s="86"/>
      <c r="O512" s="88"/>
      <c r="P512" s="86"/>
      <c r="Q512" s="88"/>
      <c r="R512" s="86"/>
      <c r="S512" s="88"/>
      <c r="T512" s="86"/>
      <c r="U512" s="88"/>
      <c r="V512" s="86"/>
      <c r="W512" s="88"/>
      <c r="X512" s="86"/>
      <c r="Y512" s="88"/>
      <c r="Z512" s="86"/>
      <c r="AA512" s="88"/>
      <c r="AB512" s="86"/>
      <c r="AC512" s="88"/>
      <c r="AD512" s="86"/>
      <c r="AE512" s="88"/>
      <c r="AF512" s="86"/>
      <c r="AG512" s="88"/>
      <c r="AH512" s="86"/>
      <c r="AI512" s="88"/>
      <c r="AJ512" s="86"/>
      <c r="AK512" s="88"/>
      <c r="AL512" s="86"/>
      <c r="AM512" s="88"/>
      <c r="AN512" s="86"/>
      <c r="AO512" s="88"/>
      <c r="AP512" s="86"/>
      <c r="AQ512" s="88"/>
      <c r="AR512" s="86"/>
      <c r="AS512" s="88"/>
      <c r="AT512" s="86"/>
      <c r="AU512" s="88"/>
      <c r="AV512" s="86"/>
      <c r="AW512" s="88"/>
      <c r="AX512" s="86"/>
      <c r="AY512" s="88"/>
      <c r="AZ512" s="86"/>
      <c r="BA512" s="88"/>
      <c r="BB512" s="86"/>
      <c r="BC512" s="88"/>
      <c r="BD512" s="86"/>
      <c r="BE512" s="88"/>
      <c r="BF512" s="86"/>
      <c r="BG512" s="88"/>
      <c r="BH512" s="86"/>
      <c r="BI512" s="88"/>
      <c r="BJ512" s="86"/>
      <c r="BK512" s="88"/>
      <c r="BL512" s="86"/>
      <c r="BM512" s="88"/>
      <c r="BN512" s="86"/>
      <c r="BO512" s="88"/>
      <c r="BP512" s="86"/>
      <c r="BQ512" s="88"/>
      <c r="BR512" s="86"/>
      <c r="BS512" s="87"/>
    </row>
    <row r="513" ht="22.5" customHeight="1">
      <c r="A513" s="154"/>
      <c r="B513" s="83"/>
      <c r="C513" s="151"/>
      <c r="D513" s="83"/>
      <c r="E513" s="151"/>
      <c r="F513" s="83"/>
      <c r="G513" s="85"/>
      <c r="H513" s="86"/>
      <c r="I513" s="87"/>
      <c r="J513" s="86"/>
      <c r="K513" s="88"/>
      <c r="L513" s="86"/>
      <c r="M513" s="88"/>
      <c r="N513" s="86"/>
      <c r="O513" s="88"/>
      <c r="P513" s="86"/>
      <c r="Q513" s="88"/>
      <c r="R513" s="86"/>
      <c r="S513" s="88"/>
      <c r="T513" s="86"/>
      <c r="U513" s="88"/>
      <c r="V513" s="86"/>
      <c r="W513" s="88"/>
      <c r="X513" s="86"/>
      <c r="Y513" s="88"/>
      <c r="Z513" s="86"/>
      <c r="AA513" s="88"/>
      <c r="AB513" s="86"/>
      <c r="AC513" s="88"/>
      <c r="AD513" s="86"/>
      <c r="AE513" s="88"/>
      <c r="AF513" s="86"/>
      <c r="AG513" s="88"/>
      <c r="AH513" s="86"/>
      <c r="AI513" s="88"/>
      <c r="AJ513" s="86"/>
      <c r="AK513" s="88"/>
      <c r="AL513" s="86"/>
      <c r="AM513" s="88"/>
      <c r="AN513" s="86"/>
      <c r="AO513" s="88"/>
      <c r="AP513" s="86"/>
      <c r="AQ513" s="88"/>
      <c r="AR513" s="86"/>
      <c r="AS513" s="88"/>
      <c r="AT513" s="86"/>
      <c r="AU513" s="88"/>
      <c r="AV513" s="86"/>
      <c r="AW513" s="88"/>
      <c r="AX513" s="86"/>
      <c r="AY513" s="88"/>
      <c r="AZ513" s="86"/>
      <c r="BA513" s="88"/>
      <c r="BB513" s="86"/>
      <c r="BC513" s="88"/>
      <c r="BD513" s="86"/>
      <c r="BE513" s="88"/>
      <c r="BF513" s="86"/>
      <c r="BG513" s="88"/>
      <c r="BH513" s="86"/>
      <c r="BI513" s="88"/>
      <c r="BJ513" s="86"/>
      <c r="BK513" s="88"/>
      <c r="BL513" s="86"/>
      <c r="BM513" s="88"/>
      <c r="BN513" s="86"/>
      <c r="BO513" s="88"/>
      <c r="BP513" s="86"/>
      <c r="BQ513" s="88"/>
      <c r="BR513" s="86"/>
      <c r="BS513" s="87"/>
    </row>
    <row r="514" ht="22.5" customHeight="1">
      <c r="A514" s="154"/>
      <c r="B514" s="83"/>
      <c r="C514" s="151"/>
      <c r="D514" s="83"/>
      <c r="E514" s="151"/>
      <c r="F514" s="83"/>
      <c r="G514" s="85"/>
      <c r="H514" s="86"/>
      <c r="I514" s="87"/>
      <c r="J514" s="86"/>
      <c r="K514" s="88"/>
      <c r="L514" s="86"/>
      <c r="M514" s="88"/>
      <c r="N514" s="86"/>
      <c r="O514" s="88"/>
      <c r="P514" s="86"/>
      <c r="Q514" s="88"/>
      <c r="R514" s="86"/>
      <c r="S514" s="88"/>
      <c r="T514" s="86"/>
      <c r="U514" s="88"/>
      <c r="V514" s="86"/>
      <c r="W514" s="88"/>
      <c r="X514" s="86"/>
      <c r="Y514" s="88"/>
      <c r="Z514" s="86"/>
      <c r="AA514" s="88"/>
      <c r="AB514" s="86"/>
      <c r="AC514" s="88"/>
      <c r="AD514" s="86"/>
      <c r="AE514" s="88"/>
      <c r="AF514" s="86"/>
      <c r="AG514" s="88"/>
      <c r="AH514" s="86"/>
      <c r="AI514" s="88"/>
      <c r="AJ514" s="86"/>
      <c r="AK514" s="88"/>
      <c r="AL514" s="86"/>
      <c r="AM514" s="88"/>
      <c r="AN514" s="86"/>
      <c r="AO514" s="88"/>
      <c r="AP514" s="86"/>
      <c r="AQ514" s="88"/>
      <c r="AR514" s="86"/>
      <c r="AS514" s="88"/>
      <c r="AT514" s="86"/>
      <c r="AU514" s="88"/>
      <c r="AV514" s="86"/>
      <c r="AW514" s="88"/>
      <c r="AX514" s="86"/>
      <c r="AY514" s="88"/>
      <c r="AZ514" s="86"/>
      <c r="BA514" s="88"/>
      <c r="BB514" s="86"/>
      <c r="BC514" s="88"/>
      <c r="BD514" s="86"/>
      <c r="BE514" s="88"/>
      <c r="BF514" s="86"/>
      <c r="BG514" s="88"/>
      <c r="BH514" s="86"/>
      <c r="BI514" s="88"/>
      <c r="BJ514" s="86"/>
      <c r="BK514" s="88"/>
      <c r="BL514" s="86"/>
      <c r="BM514" s="88"/>
      <c r="BN514" s="86"/>
      <c r="BO514" s="88"/>
      <c r="BP514" s="86"/>
      <c r="BQ514" s="88"/>
      <c r="BR514" s="86"/>
      <c r="BS514" s="87"/>
    </row>
    <row r="515" ht="22.5" customHeight="1">
      <c r="A515" s="154"/>
      <c r="B515" s="83"/>
      <c r="C515" s="151"/>
      <c r="D515" s="83"/>
      <c r="E515" s="151"/>
      <c r="F515" s="83"/>
      <c r="G515" s="85"/>
      <c r="H515" s="86"/>
      <c r="I515" s="87"/>
      <c r="J515" s="86"/>
      <c r="K515" s="88"/>
      <c r="L515" s="86"/>
      <c r="M515" s="88"/>
      <c r="N515" s="86"/>
      <c r="O515" s="88"/>
      <c r="P515" s="86"/>
      <c r="Q515" s="88"/>
      <c r="R515" s="86"/>
      <c r="S515" s="88"/>
      <c r="T515" s="86"/>
      <c r="U515" s="88"/>
      <c r="V515" s="86"/>
      <c r="W515" s="88"/>
      <c r="X515" s="86"/>
      <c r="Y515" s="88"/>
      <c r="Z515" s="86"/>
      <c r="AA515" s="88"/>
      <c r="AB515" s="86"/>
      <c r="AC515" s="88"/>
      <c r="AD515" s="86"/>
      <c r="AE515" s="88"/>
      <c r="AF515" s="86"/>
      <c r="AG515" s="88"/>
      <c r="AH515" s="86"/>
      <c r="AI515" s="88"/>
      <c r="AJ515" s="86"/>
      <c r="AK515" s="88"/>
      <c r="AL515" s="86"/>
      <c r="AM515" s="88"/>
      <c r="AN515" s="86"/>
      <c r="AO515" s="88"/>
      <c r="AP515" s="86"/>
      <c r="AQ515" s="88"/>
      <c r="AR515" s="86"/>
      <c r="AS515" s="88"/>
      <c r="AT515" s="86"/>
      <c r="AU515" s="88"/>
      <c r="AV515" s="86"/>
      <c r="AW515" s="88"/>
      <c r="AX515" s="86"/>
      <c r="AY515" s="88"/>
      <c r="AZ515" s="86"/>
      <c r="BA515" s="88"/>
      <c r="BB515" s="86"/>
      <c r="BC515" s="88"/>
      <c r="BD515" s="86"/>
      <c r="BE515" s="88"/>
      <c r="BF515" s="86"/>
      <c r="BG515" s="88"/>
      <c r="BH515" s="86"/>
      <c r="BI515" s="88"/>
      <c r="BJ515" s="86"/>
      <c r="BK515" s="88"/>
      <c r="BL515" s="86"/>
      <c r="BM515" s="88"/>
      <c r="BN515" s="86"/>
      <c r="BO515" s="88"/>
      <c r="BP515" s="86"/>
      <c r="BQ515" s="88"/>
      <c r="BR515" s="86"/>
      <c r="BS515" s="87"/>
    </row>
    <row r="516" ht="22.5" customHeight="1">
      <c r="A516" s="154"/>
      <c r="B516" s="83"/>
      <c r="C516" s="151"/>
      <c r="D516" s="83"/>
      <c r="E516" s="151"/>
      <c r="F516" s="83"/>
      <c r="G516" s="85"/>
      <c r="H516" s="86"/>
      <c r="I516" s="87"/>
      <c r="J516" s="86"/>
      <c r="K516" s="88"/>
      <c r="L516" s="86"/>
      <c r="M516" s="88"/>
      <c r="N516" s="86"/>
      <c r="O516" s="88"/>
      <c r="P516" s="86"/>
      <c r="Q516" s="88"/>
      <c r="R516" s="86"/>
      <c r="S516" s="88"/>
      <c r="T516" s="86"/>
      <c r="U516" s="88"/>
      <c r="V516" s="86"/>
      <c r="W516" s="88"/>
      <c r="X516" s="86"/>
      <c r="Y516" s="88"/>
      <c r="Z516" s="86"/>
      <c r="AA516" s="88"/>
      <c r="AB516" s="86"/>
      <c r="AC516" s="88"/>
      <c r="AD516" s="86"/>
      <c r="AE516" s="88"/>
      <c r="AF516" s="86"/>
      <c r="AG516" s="88"/>
      <c r="AH516" s="86"/>
      <c r="AI516" s="88"/>
      <c r="AJ516" s="86"/>
      <c r="AK516" s="88"/>
      <c r="AL516" s="86"/>
      <c r="AM516" s="88"/>
      <c r="AN516" s="86"/>
      <c r="AO516" s="88"/>
      <c r="AP516" s="86"/>
      <c r="AQ516" s="88"/>
      <c r="AR516" s="86"/>
      <c r="AS516" s="88"/>
      <c r="AT516" s="86"/>
      <c r="AU516" s="88"/>
      <c r="AV516" s="86"/>
      <c r="AW516" s="88"/>
      <c r="AX516" s="86"/>
      <c r="AY516" s="88"/>
      <c r="AZ516" s="86"/>
      <c r="BA516" s="88"/>
      <c r="BB516" s="86"/>
      <c r="BC516" s="88"/>
      <c r="BD516" s="86"/>
      <c r="BE516" s="88"/>
      <c r="BF516" s="86"/>
      <c r="BG516" s="88"/>
      <c r="BH516" s="86"/>
      <c r="BI516" s="88"/>
      <c r="BJ516" s="86"/>
      <c r="BK516" s="88"/>
      <c r="BL516" s="86"/>
      <c r="BM516" s="88"/>
      <c r="BN516" s="86"/>
      <c r="BO516" s="88"/>
      <c r="BP516" s="86"/>
      <c r="BQ516" s="88"/>
      <c r="BR516" s="86"/>
      <c r="BS516" s="87"/>
    </row>
    <row r="517" ht="22.5" customHeight="1">
      <c r="A517" s="154"/>
      <c r="B517" s="83"/>
      <c r="C517" s="151"/>
      <c r="D517" s="83"/>
      <c r="E517" s="151"/>
      <c r="F517" s="83"/>
      <c r="G517" s="85"/>
      <c r="H517" s="86"/>
      <c r="I517" s="87"/>
      <c r="J517" s="86"/>
      <c r="K517" s="88"/>
      <c r="L517" s="86"/>
      <c r="M517" s="88"/>
      <c r="N517" s="86"/>
      <c r="O517" s="88"/>
      <c r="P517" s="86"/>
      <c r="Q517" s="88"/>
      <c r="R517" s="86"/>
      <c r="S517" s="88"/>
      <c r="T517" s="86"/>
      <c r="U517" s="88"/>
      <c r="V517" s="86"/>
      <c r="W517" s="88"/>
      <c r="X517" s="86"/>
      <c r="Y517" s="88"/>
      <c r="Z517" s="86"/>
      <c r="AA517" s="88"/>
      <c r="AB517" s="86"/>
      <c r="AC517" s="88"/>
      <c r="AD517" s="86"/>
      <c r="AE517" s="88"/>
      <c r="AF517" s="86"/>
      <c r="AG517" s="88"/>
      <c r="AH517" s="86"/>
      <c r="AI517" s="88"/>
      <c r="AJ517" s="86"/>
      <c r="AK517" s="88"/>
      <c r="AL517" s="86"/>
      <c r="AM517" s="88"/>
      <c r="AN517" s="86"/>
      <c r="AO517" s="88"/>
      <c r="AP517" s="86"/>
      <c r="AQ517" s="88"/>
      <c r="AR517" s="86"/>
      <c r="AS517" s="88"/>
      <c r="AT517" s="86"/>
      <c r="AU517" s="88"/>
      <c r="AV517" s="86"/>
      <c r="AW517" s="88"/>
      <c r="AX517" s="86"/>
      <c r="AY517" s="88"/>
      <c r="AZ517" s="86"/>
      <c r="BA517" s="88"/>
      <c r="BB517" s="86"/>
      <c r="BC517" s="88"/>
      <c r="BD517" s="86"/>
      <c r="BE517" s="88"/>
      <c r="BF517" s="86"/>
      <c r="BG517" s="88"/>
      <c r="BH517" s="86"/>
      <c r="BI517" s="88"/>
      <c r="BJ517" s="86"/>
      <c r="BK517" s="88"/>
      <c r="BL517" s="86"/>
      <c r="BM517" s="88"/>
      <c r="BN517" s="86"/>
      <c r="BO517" s="88"/>
      <c r="BP517" s="86"/>
      <c r="BQ517" s="88"/>
      <c r="BR517" s="86"/>
      <c r="BS517" s="87"/>
    </row>
    <row r="518" ht="22.5" customHeight="1">
      <c r="A518" s="154"/>
      <c r="B518" s="83"/>
      <c r="C518" s="151"/>
      <c r="D518" s="83"/>
      <c r="E518" s="151"/>
      <c r="F518" s="83"/>
      <c r="G518" s="85"/>
      <c r="H518" s="86"/>
      <c r="I518" s="87"/>
      <c r="J518" s="86"/>
      <c r="K518" s="88"/>
      <c r="L518" s="86"/>
      <c r="M518" s="88"/>
      <c r="N518" s="86"/>
      <c r="O518" s="88"/>
      <c r="P518" s="86"/>
      <c r="Q518" s="88"/>
      <c r="R518" s="86"/>
      <c r="S518" s="88"/>
      <c r="T518" s="86"/>
      <c r="U518" s="88"/>
      <c r="V518" s="86"/>
      <c r="W518" s="88"/>
      <c r="X518" s="86"/>
      <c r="Y518" s="88"/>
      <c r="Z518" s="86"/>
      <c r="AA518" s="88"/>
      <c r="AB518" s="86"/>
      <c r="AC518" s="88"/>
      <c r="AD518" s="86"/>
      <c r="AE518" s="88"/>
      <c r="AF518" s="86"/>
      <c r="AG518" s="88"/>
      <c r="AH518" s="86"/>
      <c r="AI518" s="88"/>
      <c r="AJ518" s="86"/>
      <c r="AK518" s="88"/>
      <c r="AL518" s="86"/>
      <c r="AM518" s="88"/>
      <c r="AN518" s="86"/>
      <c r="AO518" s="88"/>
      <c r="AP518" s="86"/>
      <c r="AQ518" s="88"/>
      <c r="AR518" s="86"/>
      <c r="AS518" s="88"/>
      <c r="AT518" s="86"/>
      <c r="AU518" s="88"/>
      <c r="AV518" s="86"/>
      <c r="AW518" s="88"/>
      <c r="AX518" s="86"/>
      <c r="AY518" s="88"/>
      <c r="AZ518" s="86"/>
      <c r="BA518" s="88"/>
      <c r="BB518" s="86"/>
      <c r="BC518" s="88"/>
      <c r="BD518" s="86"/>
      <c r="BE518" s="88"/>
      <c r="BF518" s="86"/>
      <c r="BG518" s="88"/>
      <c r="BH518" s="86"/>
      <c r="BI518" s="88"/>
      <c r="BJ518" s="86"/>
      <c r="BK518" s="88"/>
      <c r="BL518" s="86"/>
      <c r="BM518" s="88"/>
      <c r="BN518" s="86"/>
      <c r="BO518" s="88"/>
      <c r="BP518" s="86"/>
      <c r="BQ518" s="88"/>
      <c r="BR518" s="86"/>
      <c r="BS518" s="87"/>
    </row>
    <row r="519" ht="22.5" customHeight="1">
      <c r="A519" s="154"/>
      <c r="B519" s="83"/>
      <c r="C519" s="151"/>
      <c r="D519" s="83"/>
      <c r="E519" s="151"/>
      <c r="F519" s="83"/>
      <c r="G519" s="85"/>
      <c r="H519" s="86"/>
      <c r="I519" s="87"/>
      <c r="J519" s="86"/>
      <c r="K519" s="88"/>
      <c r="L519" s="86"/>
      <c r="M519" s="88"/>
      <c r="N519" s="86"/>
      <c r="O519" s="88"/>
      <c r="P519" s="86"/>
      <c r="Q519" s="88"/>
      <c r="R519" s="86"/>
      <c r="S519" s="88"/>
      <c r="T519" s="86"/>
      <c r="U519" s="88"/>
      <c r="V519" s="86"/>
      <c r="W519" s="88"/>
      <c r="X519" s="86"/>
      <c r="Y519" s="88"/>
      <c r="Z519" s="86"/>
      <c r="AA519" s="88"/>
      <c r="AB519" s="86"/>
      <c r="AC519" s="88"/>
      <c r="AD519" s="86"/>
      <c r="AE519" s="88"/>
      <c r="AF519" s="86"/>
      <c r="AG519" s="88"/>
      <c r="AH519" s="86"/>
      <c r="AI519" s="88"/>
      <c r="AJ519" s="86"/>
      <c r="AK519" s="88"/>
      <c r="AL519" s="86"/>
      <c r="AM519" s="88"/>
      <c r="AN519" s="86"/>
      <c r="AO519" s="88"/>
      <c r="AP519" s="86"/>
      <c r="AQ519" s="88"/>
      <c r="AR519" s="86"/>
      <c r="AS519" s="88"/>
      <c r="AT519" s="86"/>
      <c r="AU519" s="88"/>
      <c r="AV519" s="86"/>
      <c r="AW519" s="88"/>
      <c r="AX519" s="86"/>
      <c r="AY519" s="88"/>
      <c r="AZ519" s="86"/>
      <c r="BA519" s="88"/>
      <c r="BB519" s="86"/>
      <c r="BC519" s="88"/>
      <c r="BD519" s="86"/>
      <c r="BE519" s="88"/>
      <c r="BF519" s="86"/>
      <c r="BG519" s="88"/>
      <c r="BH519" s="86"/>
      <c r="BI519" s="88"/>
      <c r="BJ519" s="86"/>
      <c r="BK519" s="88"/>
      <c r="BL519" s="86"/>
      <c r="BM519" s="88"/>
      <c r="BN519" s="86"/>
      <c r="BO519" s="88"/>
      <c r="BP519" s="86"/>
      <c r="BQ519" s="88"/>
      <c r="BR519" s="86"/>
      <c r="BS519" s="87"/>
    </row>
    <row r="520" ht="22.5" customHeight="1">
      <c r="A520" s="154"/>
      <c r="B520" s="83"/>
      <c r="C520" s="151"/>
      <c r="D520" s="83"/>
      <c r="E520" s="151"/>
      <c r="F520" s="83"/>
      <c r="G520" s="85"/>
      <c r="H520" s="86"/>
      <c r="I520" s="87"/>
      <c r="J520" s="86"/>
      <c r="K520" s="88"/>
      <c r="L520" s="86"/>
      <c r="M520" s="88"/>
      <c r="N520" s="86"/>
      <c r="O520" s="88"/>
      <c r="P520" s="86"/>
      <c r="Q520" s="88"/>
      <c r="R520" s="86"/>
      <c r="S520" s="88"/>
      <c r="T520" s="86"/>
      <c r="U520" s="88"/>
      <c r="V520" s="86"/>
      <c r="W520" s="88"/>
      <c r="X520" s="86"/>
      <c r="Y520" s="88"/>
      <c r="Z520" s="86"/>
      <c r="AA520" s="88"/>
      <c r="AB520" s="86"/>
      <c r="AC520" s="88"/>
      <c r="AD520" s="86"/>
      <c r="AE520" s="88"/>
      <c r="AF520" s="86"/>
      <c r="AG520" s="88"/>
      <c r="AH520" s="86"/>
      <c r="AI520" s="88"/>
      <c r="AJ520" s="86"/>
      <c r="AK520" s="88"/>
      <c r="AL520" s="86"/>
      <c r="AM520" s="88"/>
      <c r="AN520" s="86"/>
      <c r="AO520" s="88"/>
      <c r="AP520" s="86"/>
      <c r="AQ520" s="88"/>
      <c r="AR520" s="86"/>
      <c r="AS520" s="88"/>
      <c r="AT520" s="86"/>
      <c r="AU520" s="88"/>
      <c r="AV520" s="86"/>
      <c r="AW520" s="88"/>
      <c r="AX520" s="86"/>
      <c r="AY520" s="88"/>
      <c r="AZ520" s="86"/>
      <c r="BA520" s="88"/>
      <c r="BB520" s="86"/>
      <c r="BC520" s="88"/>
      <c r="BD520" s="86"/>
      <c r="BE520" s="88"/>
      <c r="BF520" s="86"/>
      <c r="BG520" s="88"/>
      <c r="BH520" s="86"/>
      <c r="BI520" s="88"/>
      <c r="BJ520" s="86"/>
      <c r="BK520" s="88"/>
      <c r="BL520" s="86"/>
      <c r="BM520" s="88"/>
      <c r="BN520" s="86"/>
      <c r="BO520" s="88"/>
      <c r="BP520" s="86"/>
      <c r="BQ520" s="88"/>
      <c r="BR520" s="86"/>
      <c r="BS520" s="87"/>
    </row>
    <row r="521" ht="22.5" customHeight="1">
      <c r="A521" s="154"/>
      <c r="B521" s="83"/>
      <c r="C521" s="151"/>
      <c r="D521" s="83"/>
      <c r="E521" s="151"/>
      <c r="F521" s="83"/>
      <c r="G521" s="85"/>
      <c r="H521" s="86"/>
      <c r="I521" s="87"/>
      <c r="J521" s="86"/>
      <c r="K521" s="88"/>
      <c r="L521" s="86"/>
      <c r="M521" s="88"/>
      <c r="N521" s="86"/>
      <c r="O521" s="88"/>
      <c r="P521" s="86"/>
      <c r="Q521" s="88"/>
      <c r="R521" s="86"/>
      <c r="S521" s="88"/>
      <c r="T521" s="86"/>
      <c r="U521" s="88"/>
      <c r="V521" s="86"/>
      <c r="W521" s="88"/>
      <c r="X521" s="86"/>
      <c r="Y521" s="88"/>
      <c r="Z521" s="86"/>
      <c r="AA521" s="88"/>
      <c r="AB521" s="86"/>
      <c r="AC521" s="88"/>
      <c r="AD521" s="86"/>
      <c r="AE521" s="88"/>
      <c r="AF521" s="86"/>
      <c r="AG521" s="88"/>
      <c r="AH521" s="86"/>
      <c r="AI521" s="88"/>
      <c r="AJ521" s="86"/>
      <c r="AK521" s="88"/>
      <c r="AL521" s="86"/>
      <c r="AM521" s="88"/>
      <c r="AN521" s="86"/>
      <c r="AO521" s="88"/>
      <c r="AP521" s="86"/>
      <c r="AQ521" s="88"/>
      <c r="AR521" s="86"/>
      <c r="AS521" s="88"/>
      <c r="AT521" s="86"/>
      <c r="AU521" s="88"/>
      <c r="AV521" s="86"/>
      <c r="AW521" s="88"/>
      <c r="AX521" s="86"/>
      <c r="AY521" s="88"/>
      <c r="AZ521" s="86"/>
      <c r="BA521" s="88"/>
      <c r="BB521" s="86"/>
      <c r="BC521" s="88"/>
      <c r="BD521" s="86"/>
      <c r="BE521" s="88"/>
      <c r="BF521" s="86"/>
      <c r="BG521" s="88"/>
      <c r="BH521" s="86"/>
      <c r="BI521" s="88"/>
      <c r="BJ521" s="86"/>
      <c r="BK521" s="88"/>
      <c r="BL521" s="86"/>
      <c r="BM521" s="88"/>
      <c r="BN521" s="86"/>
      <c r="BO521" s="88"/>
      <c r="BP521" s="86"/>
      <c r="BQ521" s="88"/>
      <c r="BR521" s="86"/>
      <c r="BS521" s="87"/>
    </row>
    <row r="522" ht="22.5" customHeight="1">
      <c r="A522" s="154"/>
      <c r="B522" s="83"/>
      <c r="C522" s="151"/>
      <c r="D522" s="83"/>
      <c r="E522" s="151"/>
      <c r="F522" s="83"/>
      <c r="G522" s="85"/>
      <c r="H522" s="86"/>
      <c r="I522" s="87"/>
      <c r="J522" s="86"/>
      <c r="K522" s="88"/>
      <c r="L522" s="86"/>
      <c r="M522" s="88"/>
      <c r="N522" s="86"/>
      <c r="O522" s="88"/>
      <c r="P522" s="86"/>
      <c r="Q522" s="88"/>
      <c r="R522" s="86"/>
      <c r="S522" s="88"/>
      <c r="T522" s="86"/>
      <c r="U522" s="88"/>
      <c r="V522" s="86"/>
      <c r="W522" s="88"/>
      <c r="X522" s="86"/>
      <c r="Y522" s="88"/>
      <c r="Z522" s="86"/>
      <c r="AA522" s="88"/>
      <c r="AB522" s="86"/>
      <c r="AC522" s="88"/>
      <c r="AD522" s="86"/>
      <c r="AE522" s="88"/>
      <c r="AF522" s="86"/>
      <c r="AG522" s="88"/>
      <c r="AH522" s="86"/>
      <c r="AI522" s="88"/>
      <c r="AJ522" s="86"/>
      <c r="AK522" s="88"/>
      <c r="AL522" s="86"/>
      <c r="AM522" s="88"/>
      <c r="AN522" s="86"/>
      <c r="AO522" s="88"/>
      <c r="AP522" s="86"/>
      <c r="AQ522" s="88"/>
      <c r="AR522" s="86"/>
      <c r="AS522" s="88"/>
      <c r="AT522" s="86"/>
      <c r="AU522" s="88"/>
      <c r="AV522" s="86"/>
      <c r="AW522" s="88"/>
      <c r="AX522" s="86"/>
      <c r="AY522" s="88"/>
      <c r="AZ522" s="86"/>
      <c r="BA522" s="88"/>
      <c r="BB522" s="86"/>
      <c r="BC522" s="88"/>
      <c r="BD522" s="86"/>
      <c r="BE522" s="88"/>
      <c r="BF522" s="86"/>
      <c r="BG522" s="88"/>
      <c r="BH522" s="86"/>
      <c r="BI522" s="88"/>
      <c r="BJ522" s="86"/>
      <c r="BK522" s="88"/>
      <c r="BL522" s="86"/>
      <c r="BM522" s="88"/>
      <c r="BN522" s="86"/>
      <c r="BO522" s="88"/>
      <c r="BP522" s="86"/>
      <c r="BQ522" s="88"/>
      <c r="BR522" s="86"/>
      <c r="BS522" s="87"/>
    </row>
    <row r="523" ht="22.5" customHeight="1">
      <c r="A523" s="154"/>
      <c r="B523" s="83"/>
      <c r="C523" s="151"/>
      <c r="D523" s="83"/>
      <c r="E523" s="151"/>
      <c r="F523" s="83"/>
      <c r="G523" s="85"/>
      <c r="H523" s="86"/>
      <c r="I523" s="87"/>
      <c r="J523" s="86"/>
      <c r="K523" s="88"/>
      <c r="L523" s="86"/>
      <c r="M523" s="88"/>
      <c r="N523" s="86"/>
      <c r="O523" s="88"/>
      <c r="P523" s="86"/>
      <c r="Q523" s="88"/>
      <c r="R523" s="86"/>
      <c r="S523" s="88"/>
      <c r="T523" s="86"/>
      <c r="U523" s="88"/>
      <c r="V523" s="86"/>
      <c r="W523" s="88"/>
      <c r="X523" s="86"/>
      <c r="Y523" s="88"/>
      <c r="Z523" s="86"/>
      <c r="AA523" s="88"/>
      <c r="AB523" s="86"/>
      <c r="AC523" s="88"/>
      <c r="AD523" s="86"/>
      <c r="AE523" s="88"/>
      <c r="AF523" s="86"/>
      <c r="AG523" s="88"/>
      <c r="AH523" s="86"/>
      <c r="AI523" s="88"/>
      <c r="AJ523" s="86"/>
      <c r="AK523" s="88"/>
      <c r="AL523" s="86"/>
      <c r="AM523" s="88"/>
      <c r="AN523" s="86"/>
      <c r="AO523" s="88"/>
      <c r="AP523" s="86"/>
      <c r="AQ523" s="88"/>
      <c r="AR523" s="86"/>
      <c r="AS523" s="88"/>
      <c r="AT523" s="86"/>
      <c r="AU523" s="88"/>
      <c r="AV523" s="86"/>
      <c r="AW523" s="88"/>
      <c r="AX523" s="86"/>
      <c r="AY523" s="88"/>
      <c r="AZ523" s="86"/>
      <c r="BA523" s="88"/>
      <c r="BB523" s="86"/>
      <c r="BC523" s="88"/>
      <c r="BD523" s="86"/>
      <c r="BE523" s="88"/>
      <c r="BF523" s="86"/>
      <c r="BG523" s="88"/>
      <c r="BH523" s="86"/>
      <c r="BI523" s="88"/>
      <c r="BJ523" s="86"/>
      <c r="BK523" s="88"/>
      <c r="BL523" s="86"/>
      <c r="BM523" s="88"/>
      <c r="BN523" s="86"/>
      <c r="BO523" s="88"/>
      <c r="BP523" s="86"/>
      <c r="BQ523" s="88"/>
      <c r="BR523" s="86"/>
      <c r="BS523" s="87"/>
    </row>
    <row r="524" ht="22.5" customHeight="1">
      <c r="A524" s="154"/>
      <c r="B524" s="83"/>
      <c r="C524" s="151"/>
      <c r="D524" s="83"/>
      <c r="E524" s="151"/>
      <c r="F524" s="83"/>
      <c r="G524" s="85"/>
      <c r="H524" s="86"/>
      <c r="I524" s="87"/>
      <c r="J524" s="86"/>
      <c r="K524" s="88"/>
      <c r="L524" s="86"/>
      <c r="M524" s="88"/>
      <c r="N524" s="86"/>
      <c r="O524" s="88"/>
      <c r="P524" s="86"/>
      <c r="Q524" s="88"/>
      <c r="R524" s="86"/>
      <c r="S524" s="88"/>
      <c r="T524" s="86"/>
      <c r="U524" s="88"/>
      <c r="V524" s="86"/>
      <c r="W524" s="88"/>
      <c r="X524" s="86"/>
      <c r="Y524" s="88"/>
      <c r="Z524" s="86"/>
      <c r="AA524" s="88"/>
      <c r="AB524" s="86"/>
      <c r="AC524" s="88"/>
      <c r="AD524" s="86"/>
      <c r="AE524" s="88"/>
      <c r="AF524" s="86"/>
      <c r="AG524" s="88"/>
      <c r="AH524" s="86"/>
      <c r="AI524" s="88"/>
      <c r="AJ524" s="86"/>
      <c r="AK524" s="88"/>
      <c r="AL524" s="86"/>
      <c r="AM524" s="88"/>
      <c r="AN524" s="86"/>
      <c r="AO524" s="88"/>
      <c r="AP524" s="86"/>
      <c r="AQ524" s="88"/>
      <c r="AR524" s="86"/>
      <c r="AS524" s="88"/>
      <c r="AT524" s="86"/>
      <c r="AU524" s="88"/>
      <c r="AV524" s="86"/>
      <c r="AW524" s="88"/>
      <c r="AX524" s="86"/>
      <c r="AY524" s="88"/>
      <c r="AZ524" s="86"/>
      <c r="BA524" s="88"/>
      <c r="BB524" s="86"/>
      <c r="BC524" s="88"/>
      <c r="BD524" s="86"/>
      <c r="BE524" s="88"/>
      <c r="BF524" s="86"/>
      <c r="BG524" s="88"/>
      <c r="BH524" s="86"/>
      <c r="BI524" s="88"/>
      <c r="BJ524" s="86"/>
      <c r="BK524" s="88"/>
      <c r="BL524" s="86"/>
      <c r="BM524" s="88"/>
      <c r="BN524" s="86"/>
      <c r="BO524" s="88"/>
      <c r="BP524" s="86"/>
      <c r="BQ524" s="88"/>
      <c r="BR524" s="86"/>
      <c r="BS524" s="87"/>
    </row>
    <row r="525" ht="22.5" customHeight="1">
      <c r="A525" s="154"/>
      <c r="B525" s="83"/>
      <c r="C525" s="151"/>
      <c r="D525" s="83"/>
      <c r="E525" s="151"/>
      <c r="F525" s="83"/>
      <c r="G525" s="85"/>
      <c r="H525" s="86"/>
      <c r="I525" s="87"/>
      <c r="J525" s="86"/>
      <c r="K525" s="88"/>
      <c r="L525" s="86"/>
      <c r="M525" s="88"/>
      <c r="N525" s="86"/>
      <c r="O525" s="88"/>
      <c r="P525" s="86"/>
      <c r="Q525" s="88"/>
      <c r="R525" s="86"/>
      <c r="S525" s="88"/>
      <c r="T525" s="86"/>
      <c r="U525" s="88"/>
      <c r="V525" s="86"/>
      <c r="W525" s="88"/>
      <c r="X525" s="86"/>
      <c r="Y525" s="88"/>
      <c r="Z525" s="86"/>
      <c r="AA525" s="88"/>
      <c r="AB525" s="86"/>
      <c r="AC525" s="88"/>
      <c r="AD525" s="86"/>
      <c r="AE525" s="88"/>
      <c r="AF525" s="86"/>
      <c r="AG525" s="88"/>
      <c r="AH525" s="86"/>
      <c r="AI525" s="88"/>
      <c r="AJ525" s="86"/>
      <c r="AK525" s="88"/>
      <c r="AL525" s="86"/>
      <c r="AM525" s="88"/>
      <c r="AN525" s="86"/>
      <c r="AO525" s="88"/>
      <c r="AP525" s="86"/>
      <c r="AQ525" s="88"/>
      <c r="AR525" s="86"/>
      <c r="AS525" s="88"/>
      <c r="AT525" s="86"/>
      <c r="AU525" s="88"/>
      <c r="AV525" s="86"/>
      <c r="AW525" s="88"/>
      <c r="AX525" s="86"/>
      <c r="AY525" s="88"/>
      <c r="AZ525" s="86"/>
      <c r="BA525" s="88"/>
      <c r="BB525" s="86"/>
      <c r="BC525" s="88"/>
      <c r="BD525" s="86"/>
      <c r="BE525" s="88"/>
      <c r="BF525" s="86"/>
      <c r="BG525" s="88"/>
      <c r="BH525" s="86"/>
      <c r="BI525" s="88"/>
      <c r="BJ525" s="86"/>
      <c r="BK525" s="88"/>
      <c r="BL525" s="86"/>
      <c r="BM525" s="88"/>
      <c r="BN525" s="86"/>
      <c r="BO525" s="88"/>
      <c r="BP525" s="86"/>
      <c r="BQ525" s="88"/>
      <c r="BR525" s="86"/>
      <c r="BS525" s="87"/>
    </row>
    <row r="526" ht="22.5" customHeight="1">
      <c r="A526" s="154"/>
      <c r="B526" s="83"/>
      <c r="C526" s="151"/>
      <c r="D526" s="83"/>
      <c r="E526" s="151"/>
      <c r="F526" s="83"/>
      <c r="G526" s="85"/>
      <c r="H526" s="86"/>
      <c r="I526" s="87"/>
      <c r="J526" s="86"/>
      <c r="K526" s="88"/>
      <c r="L526" s="86"/>
      <c r="M526" s="88"/>
      <c r="N526" s="86"/>
      <c r="O526" s="88"/>
      <c r="P526" s="86"/>
      <c r="Q526" s="88"/>
      <c r="R526" s="86"/>
      <c r="S526" s="88"/>
      <c r="T526" s="86"/>
      <c r="U526" s="88"/>
      <c r="V526" s="86"/>
      <c r="W526" s="88"/>
      <c r="X526" s="86"/>
      <c r="Y526" s="88"/>
      <c r="Z526" s="86"/>
      <c r="AA526" s="88"/>
      <c r="AB526" s="86"/>
      <c r="AC526" s="88"/>
      <c r="AD526" s="86"/>
      <c r="AE526" s="88"/>
      <c r="AF526" s="86"/>
      <c r="AG526" s="88"/>
      <c r="AH526" s="86"/>
      <c r="AI526" s="88"/>
      <c r="AJ526" s="86"/>
      <c r="AK526" s="88"/>
      <c r="AL526" s="86"/>
      <c r="AM526" s="88"/>
      <c r="AN526" s="86"/>
      <c r="AO526" s="88"/>
      <c r="AP526" s="86"/>
      <c r="AQ526" s="88"/>
      <c r="AR526" s="86"/>
      <c r="AS526" s="88"/>
      <c r="AT526" s="86"/>
      <c r="AU526" s="88"/>
      <c r="AV526" s="86"/>
      <c r="AW526" s="88"/>
      <c r="AX526" s="86"/>
      <c r="AY526" s="88"/>
      <c r="AZ526" s="86"/>
      <c r="BA526" s="88"/>
      <c r="BB526" s="86"/>
      <c r="BC526" s="88"/>
      <c r="BD526" s="86"/>
      <c r="BE526" s="88"/>
      <c r="BF526" s="86"/>
      <c r="BG526" s="88"/>
      <c r="BH526" s="86"/>
      <c r="BI526" s="88"/>
      <c r="BJ526" s="86"/>
      <c r="BK526" s="88"/>
      <c r="BL526" s="86"/>
      <c r="BM526" s="88"/>
      <c r="BN526" s="86"/>
      <c r="BO526" s="88"/>
      <c r="BP526" s="86"/>
      <c r="BQ526" s="88"/>
      <c r="BR526" s="86"/>
      <c r="BS526" s="87"/>
    </row>
    <row r="527" ht="22.5" customHeight="1">
      <c r="A527" s="154"/>
      <c r="B527" s="83"/>
      <c r="C527" s="151"/>
      <c r="D527" s="83"/>
      <c r="E527" s="151"/>
      <c r="F527" s="83"/>
      <c r="G527" s="85"/>
      <c r="H527" s="86"/>
      <c r="I527" s="87"/>
      <c r="J527" s="86"/>
      <c r="K527" s="88"/>
      <c r="L527" s="86"/>
      <c r="M527" s="88"/>
      <c r="N527" s="86"/>
      <c r="O527" s="88"/>
      <c r="P527" s="86"/>
      <c r="Q527" s="88"/>
      <c r="R527" s="86"/>
      <c r="S527" s="88"/>
      <c r="T527" s="86"/>
      <c r="U527" s="88"/>
      <c r="V527" s="86"/>
      <c r="W527" s="88"/>
      <c r="X527" s="86"/>
      <c r="Y527" s="88"/>
      <c r="Z527" s="86"/>
      <c r="AA527" s="88"/>
      <c r="AB527" s="86"/>
      <c r="AC527" s="88"/>
      <c r="AD527" s="86"/>
      <c r="AE527" s="88"/>
      <c r="AF527" s="86"/>
      <c r="AG527" s="88"/>
      <c r="AH527" s="86"/>
      <c r="AI527" s="88"/>
      <c r="AJ527" s="86"/>
      <c r="AK527" s="88"/>
      <c r="AL527" s="86"/>
      <c r="AM527" s="88"/>
      <c r="AN527" s="86"/>
      <c r="AO527" s="88"/>
      <c r="AP527" s="86"/>
      <c r="AQ527" s="88"/>
      <c r="AR527" s="86"/>
      <c r="AS527" s="88"/>
      <c r="AT527" s="86"/>
      <c r="AU527" s="88"/>
      <c r="AV527" s="86"/>
      <c r="AW527" s="88"/>
      <c r="AX527" s="86"/>
      <c r="AY527" s="88"/>
      <c r="AZ527" s="86"/>
      <c r="BA527" s="88"/>
      <c r="BB527" s="86"/>
      <c r="BC527" s="88"/>
      <c r="BD527" s="86"/>
      <c r="BE527" s="88"/>
      <c r="BF527" s="86"/>
      <c r="BG527" s="88"/>
      <c r="BH527" s="86"/>
      <c r="BI527" s="88"/>
      <c r="BJ527" s="86"/>
      <c r="BK527" s="88"/>
      <c r="BL527" s="86"/>
      <c r="BM527" s="88"/>
      <c r="BN527" s="86"/>
      <c r="BO527" s="88"/>
      <c r="BP527" s="86"/>
      <c r="BQ527" s="88"/>
      <c r="BR527" s="86"/>
      <c r="BS527" s="87"/>
    </row>
    <row r="528" ht="22.5" customHeight="1">
      <c r="A528" s="154"/>
      <c r="B528" s="83"/>
      <c r="C528" s="151"/>
      <c r="D528" s="83"/>
      <c r="E528" s="151"/>
      <c r="F528" s="83"/>
      <c r="G528" s="85"/>
      <c r="H528" s="86"/>
      <c r="I528" s="87"/>
      <c r="J528" s="86"/>
      <c r="K528" s="88"/>
      <c r="L528" s="86"/>
      <c r="M528" s="88"/>
      <c r="N528" s="86"/>
      <c r="O528" s="88"/>
      <c r="P528" s="86"/>
      <c r="Q528" s="88"/>
      <c r="R528" s="86"/>
      <c r="S528" s="88"/>
      <c r="T528" s="86"/>
      <c r="U528" s="88"/>
      <c r="V528" s="86"/>
      <c r="W528" s="88"/>
      <c r="X528" s="86"/>
      <c r="Y528" s="88"/>
      <c r="Z528" s="86"/>
      <c r="AA528" s="88"/>
      <c r="AB528" s="86"/>
      <c r="AC528" s="88"/>
      <c r="AD528" s="86"/>
      <c r="AE528" s="88"/>
      <c r="AF528" s="86"/>
      <c r="AG528" s="88"/>
      <c r="AH528" s="86"/>
      <c r="AI528" s="88"/>
      <c r="AJ528" s="86"/>
      <c r="AK528" s="88"/>
      <c r="AL528" s="86"/>
      <c r="AM528" s="88"/>
      <c r="AN528" s="86"/>
      <c r="AO528" s="88"/>
      <c r="AP528" s="86"/>
      <c r="AQ528" s="88"/>
      <c r="AR528" s="86"/>
      <c r="AS528" s="88"/>
      <c r="AT528" s="86"/>
      <c r="AU528" s="88"/>
      <c r="AV528" s="86"/>
      <c r="AW528" s="88"/>
      <c r="AX528" s="86"/>
      <c r="AY528" s="88"/>
      <c r="AZ528" s="86"/>
      <c r="BA528" s="88"/>
      <c r="BB528" s="86"/>
      <c r="BC528" s="88"/>
      <c r="BD528" s="86"/>
      <c r="BE528" s="88"/>
      <c r="BF528" s="86"/>
      <c r="BG528" s="88"/>
      <c r="BH528" s="86"/>
      <c r="BI528" s="88"/>
      <c r="BJ528" s="86"/>
      <c r="BK528" s="88"/>
      <c r="BL528" s="86"/>
      <c r="BM528" s="88"/>
      <c r="BN528" s="86"/>
      <c r="BO528" s="88"/>
      <c r="BP528" s="86"/>
      <c r="BQ528" s="88"/>
      <c r="BR528" s="86"/>
      <c r="BS528" s="87"/>
    </row>
    <row r="529" ht="22.5" customHeight="1">
      <c r="A529" s="154"/>
      <c r="B529" s="83"/>
      <c r="C529" s="151"/>
      <c r="D529" s="83"/>
      <c r="E529" s="151"/>
      <c r="F529" s="83"/>
      <c r="G529" s="85"/>
      <c r="H529" s="86"/>
      <c r="I529" s="87"/>
      <c r="J529" s="86"/>
      <c r="K529" s="88"/>
      <c r="L529" s="86"/>
      <c r="M529" s="88"/>
      <c r="N529" s="86"/>
      <c r="O529" s="88"/>
      <c r="P529" s="86"/>
      <c r="Q529" s="88"/>
      <c r="R529" s="86"/>
      <c r="S529" s="88"/>
      <c r="T529" s="86"/>
      <c r="U529" s="88"/>
      <c r="V529" s="86"/>
      <c r="W529" s="88"/>
      <c r="X529" s="86"/>
      <c r="Y529" s="88"/>
      <c r="Z529" s="86"/>
      <c r="AA529" s="88"/>
      <c r="AB529" s="86"/>
      <c r="AC529" s="88"/>
      <c r="AD529" s="86"/>
      <c r="AE529" s="88"/>
      <c r="AF529" s="86"/>
      <c r="AG529" s="88"/>
      <c r="AH529" s="86"/>
      <c r="AI529" s="88"/>
      <c r="AJ529" s="86"/>
      <c r="AK529" s="88"/>
      <c r="AL529" s="86"/>
      <c r="AM529" s="88"/>
      <c r="AN529" s="86"/>
      <c r="AO529" s="88"/>
      <c r="AP529" s="86"/>
      <c r="AQ529" s="88"/>
      <c r="AR529" s="86"/>
      <c r="AS529" s="88"/>
      <c r="AT529" s="86"/>
      <c r="AU529" s="88"/>
      <c r="AV529" s="86"/>
      <c r="AW529" s="88"/>
      <c r="AX529" s="86"/>
      <c r="AY529" s="88"/>
      <c r="AZ529" s="86"/>
      <c r="BA529" s="88"/>
      <c r="BB529" s="86"/>
      <c r="BC529" s="88"/>
      <c r="BD529" s="86"/>
      <c r="BE529" s="88"/>
      <c r="BF529" s="86"/>
      <c r="BG529" s="88"/>
      <c r="BH529" s="86"/>
      <c r="BI529" s="88"/>
      <c r="BJ529" s="86"/>
      <c r="BK529" s="88"/>
      <c r="BL529" s="86"/>
      <c r="BM529" s="88"/>
      <c r="BN529" s="86"/>
      <c r="BO529" s="88"/>
      <c r="BP529" s="86"/>
      <c r="BQ529" s="88"/>
      <c r="BR529" s="86"/>
      <c r="BS529" s="87"/>
    </row>
    <row r="530" ht="22.5" customHeight="1">
      <c r="A530" s="154"/>
      <c r="B530" s="83"/>
      <c r="C530" s="151"/>
      <c r="D530" s="83"/>
      <c r="E530" s="151"/>
      <c r="F530" s="83"/>
      <c r="G530" s="85"/>
      <c r="H530" s="86"/>
      <c r="I530" s="87"/>
      <c r="J530" s="86"/>
      <c r="K530" s="88"/>
      <c r="L530" s="86"/>
      <c r="M530" s="88"/>
      <c r="N530" s="86"/>
      <c r="O530" s="88"/>
      <c r="P530" s="86"/>
      <c r="Q530" s="88"/>
      <c r="R530" s="86"/>
      <c r="S530" s="88"/>
      <c r="T530" s="86"/>
      <c r="U530" s="88"/>
      <c r="V530" s="86"/>
      <c r="W530" s="88"/>
      <c r="X530" s="86"/>
      <c r="Y530" s="88"/>
      <c r="Z530" s="86"/>
      <c r="AA530" s="88"/>
      <c r="AB530" s="86"/>
      <c r="AC530" s="88"/>
      <c r="AD530" s="86"/>
      <c r="AE530" s="88"/>
      <c r="AF530" s="86"/>
      <c r="AG530" s="88"/>
      <c r="AH530" s="86"/>
      <c r="AI530" s="88"/>
      <c r="AJ530" s="86"/>
      <c r="AK530" s="88"/>
      <c r="AL530" s="86"/>
      <c r="AM530" s="88"/>
      <c r="AN530" s="86"/>
      <c r="AO530" s="88"/>
      <c r="AP530" s="86"/>
      <c r="AQ530" s="88"/>
      <c r="AR530" s="86"/>
      <c r="AS530" s="88"/>
      <c r="AT530" s="86"/>
      <c r="AU530" s="88"/>
      <c r="AV530" s="86"/>
      <c r="AW530" s="88"/>
      <c r="AX530" s="86"/>
      <c r="AY530" s="88"/>
      <c r="AZ530" s="86"/>
      <c r="BA530" s="88"/>
      <c r="BB530" s="86"/>
      <c r="BC530" s="88"/>
      <c r="BD530" s="86"/>
      <c r="BE530" s="88"/>
      <c r="BF530" s="86"/>
      <c r="BG530" s="88"/>
      <c r="BH530" s="86"/>
      <c r="BI530" s="88"/>
      <c r="BJ530" s="86"/>
      <c r="BK530" s="88"/>
      <c r="BL530" s="86"/>
      <c r="BM530" s="88"/>
      <c r="BN530" s="86"/>
      <c r="BO530" s="88"/>
      <c r="BP530" s="86"/>
      <c r="BQ530" s="88"/>
      <c r="BR530" s="86"/>
      <c r="BS530" s="87"/>
    </row>
    <row r="531" ht="22.5" customHeight="1">
      <c r="A531" s="154"/>
      <c r="B531" s="83"/>
      <c r="C531" s="151"/>
      <c r="D531" s="83"/>
      <c r="E531" s="151"/>
      <c r="F531" s="83"/>
      <c r="G531" s="85"/>
      <c r="H531" s="86"/>
      <c r="I531" s="87"/>
      <c r="J531" s="86"/>
      <c r="K531" s="88"/>
      <c r="L531" s="86"/>
      <c r="M531" s="88"/>
      <c r="N531" s="86"/>
      <c r="O531" s="88"/>
      <c r="P531" s="86"/>
      <c r="Q531" s="88"/>
      <c r="R531" s="86"/>
      <c r="S531" s="88"/>
      <c r="T531" s="86"/>
      <c r="U531" s="88"/>
      <c r="V531" s="86"/>
      <c r="W531" s="88"/>
      <c r="X531" s="86"/>
      <c r="Y531" s="88"/>
      <c r="Z531" s="86"/>
      <c r="AA531" s="88"/>
      <c r="AB531" s="86"/>
      <c r="AC531" s="88"/>
      <c r="AD531" s="86"/>
      <c r="AE531" s="88"/>
      <c r="AF531" s="86"/>
      <c r="AG531" s="88"/>
      <c r="AH531" s="86"/>
      <c r="AI531" s="88"/>
      <c r="AJ531" s="86"/>
      <c r="AK531" s="88"/>
      <c r="AL531" s="86"/>
      <c r="AM531" s="88"/>
      <c r="AN531" s="86"/>
      <c r="AO531" s="88"/>
      <c r="AP531" s="86"/>
      <c r="AQ531" s="88"/>
      <c r="AR531" s="86"/>
      <c r="AS531" s="88"/>
      <c r="AT531" s="86"/>
      <c r="AU531" s="88"/>
      <c r="AV531" s="86"/>
      <c r="AW531" s="88"/>
      <c r="AX531" s="86"/>
      <c r="AY531" s="88"/>
      <c r="AZ531" s="86"/>
      <c r="BA531" s="88"/>
      <c r="BB531" s="86"/>
      <c r="BC531" s="88"/>
      <c r="BD531" s="86"/>
      <c r="BE531" s="88"/>
      <c r="BF531" s="86"/>
      <c r="BG531" s="88"/>
      <c r="BH531" s="86"/>
      <c r="BI531" s="88"/>
      <c r="BJ531" s="86"/>
      <c r="BK531" s="88"/>
      <c r="BL531" s="86"/>
      <c r="BM531" s="88"/>
      <c r="BN531" s="86"/>
      <c r="BO531" s="88"/>
      <c r="BP531" s="86"/>
      <c r="BQ531" s="88"/>
      <c r="BR531" s="86"/>
      <c r="BS531" s="87"/>
    </row>
    <row r="532" ht="22.5" customHeight="1">
      <c r="A532" s="154"/>
      <c r="B532" s="83"/>
      <c r="C532" s="151"/>
      <c r="D532" s="83"/>
      <c r="E532" s="151"/>
      <c r="F532" s="83"/>
      <c r="G532" s="85"/>
      <c r="H532" s="86"/>
      <c r="I532" s="87"/>
      <c r="J532" s="86"/>
      <c r="K532" s="88"/>
      <c r="L532" s="86"/>
      <c r="M532" s="88"/>
      <c r="N532" s="86"/>
      <c r="O532" s="88"/>
      <c r="P532" s="86"/>
      <c r="Q532" s="88"/>
      <c r="R532" s="86"/>
      <c r="S532" s="88"/>
      <c r="T532" s="86"/>
      <c r="U532" s="88"/>
      <c r="V532" s="86"/>
      <c r="W532" s="88"/>
      <c r="X532" s="86"/>
      <c r="Y532" s="88"/>
      <c r="Z532" s="86"/>
      <c r="AA532" s="88"/>
      <c r="AB532" s="86"/>
      <c r="AC532" s="88"/>
      <c r="AD532" s="86"/>
      <c r="AE532" s="88"/>
      <c r="AF532" s="86"/>
      <c r="AG532" s="88"/>
      <c r="AH532" s="86"/>
      <c r="AI532" s="88"/>
      <c r="AJ532" s="86"/>
      <c r="AK532" s="88"/>
      <c r="AL532" s="86"/>
      <c r="AM532" s="88"/>
      <c r="AN532" s="86"/>
      <c r="AO532" s="88"/>
      <c r="AP532" s="86"/>
      <c r="AQ532" s="88"/>
      <c r="AR532" s="86"/>
      <c r="AS532" s="88"/>
      <c r="AT532" s="86"/>
      <c r="AU532" s="88"/>
      <c r="AV532" s="86"/>
      <c r="AW532" s="88"/>
      <c r="AX532" s="86"/>
      <c r="AY532" s="88"/>
      <c r="AZ532" s="86"/>
      <c r="BA532" s="88"/>
      <c r="BB532" s="86"/>
      <c r="BC532" s="88"/>
      <c r="BD532" s="86"/>
      <c r="BE532" s="88"/>
      <c r="BF532" s="86"/>
      <c r="BG532" s="88"/>
      <c r="BH532" s="86"/>
      <c r="BI532" s="88"/>
      <c r="BJ532" s="86"/>
      <c r="BK532" s="88"/>
      <c r="BL532" s="86"/>
      <c r="BM532" s="88"/>
      <c r="BN532" s="86"/>
      <c r="BO532" s="88"/>
      <c r="BP532" s="86"/>
      <c r="BQ532" s="88"/>
      <c r="BR532" s="86"/>
      <c r="BS532" s="87"/>
    </row>
    <row r="533" ht="22.5" customHeight="1">
      <c r="A533" s="154"/>
      <c r="B533" s="83"/>
      <c r="C533" s="151"/>
      <c r="D533" s="83"/>
      <c r="E533" s="151"/>
      <c r="F533" s="83"/>
      <c r="G533" s="85"/>
      <c r="H533" s="86"/>
      <c r="I533" s="87"/>
      <c r="J533" s="86"/>
      <c r="K533" s="88"/>
      <c r="L533" s="86"/>
      <c r="M533" s="88"/>
      <c r="N533" s="86"/>
      <c r="O533" s="88"/>
      <c r="P533" s="86"/>
      <c r="Q533" s="88"/>
      <c r="R533" s="86"/>
      <c r="S533" s="88"/>
      <c r="T533" s="86"/>
      <c r="U533" s="88"/>
      <c r="V533" s="86"/>
      <c r="W533" s="88"/>
      <c r="X533" s="86"/>
      <c r="Y533" s="88"/>
      <c r="Z533" s="86"/>
      <c r="AA533" s="88"/>
      <c r="AB533" s="86"/>
      <c r="AC533" s="88"/>
      <c r="AD533" s="86"/>
      <c r="AE533" s="88"/>
      <c r="AF533" s="86"/>
      <c r="AG533" s="88"/>
      <c r="AH533" s="86"/>
      <c r="AI533" s="88"/>
      <c r="AJ533" s="86"/>
      <c r="AK533" s="88"/>
      <c r="AL533" s="86"/>
      <c r="AM533" s="88"/>
      <c r="AN533" s="86"/>
      <c r="AO533" s="88"/>
      <c r="AP533" s="86"/>
      <c r="AQ533" s="88"/>
      <c r="AR533" s="86"/>
      <c r="AS533" s="88"/>
      <c r="AT533" s="86"/>
      <c r="AU533" s="88"/>
      <c r="AV533" s="86"/>
      <c r="AW533" s="88"/>
      <c r="AX533" s="86"/>
      <c r="AY533" s="88"/>
      <c r="AZ533" s="86"/>
      <c r="BA533" s="88"/>
      <c r="BB533" s="86"/>
      <c r="BC533" s="88"/>
      <c r="BD533" s="86"/>
      <c r="BE533" s="88"/>
      <c r="BF533" s="86"/>
      <c r="BG533" s="88"/>
      <c r="BH533" s="86"/>
      <c r="BI533" s="88"/>
      <c r="BJ533" s="86"/>
      <c r="BK533" s="88"/>
      <c r="BL533" s="86"/>
      <c r="BM533" s="88"/>
      <c r="BN533" s="86"/>
      <c r="BO533" s="88"/>
      <c r="BP533" s="86"/>
      <c r="BQ533" s="88"/>
      <c r="BR533" s="86"/>
      <c r="BS533" s="87"/>
    </row>
    <row r="534" ht="22.5" customHeight="1">
      <c r="A534" s="154"/>
      <c r="B534" s="83"/>
      <c r="C534" s="151"/>
      <c r="D534" s="83"/>
      <c r="E534" s="151"/>
      <c r="F534" s="83"/>
      <c r="G534" s="85"/>
      <c r="H534" s="86"/>
      <c r="I534" s="87"/>
      <c r="J534" s="86"/>
      <c r="K534" s="88"/>
      <c r="L534" s="86"/>
      <c r="M534" s="88"/>
      <c r="N534" s="86"/>
      <c r="O534" s="88"/>
      <c r="P534" s="86"/>
      <c r="Q534" s="88"/>
      <c r="R534" s="86"/>
      <c r="S534" s="88"/>
      <c r="T534" s="86"/>
      <c r="U534" s="88"/>
      <c r="V534" s="86"/>
      <c r="W534" s="88"/>
      <c r="X534" s="86"/>
      <c r="Y534" s="88"/>
      <c r="Z534" s="86"/>
      <c r="AA534" s="88"/>
      <c r="AB534" s="86"/>
      <c r="AC534" s="88"/>
      <c r="AD534" s="86"/>
      <c r="AE534" s="88"/>
      <c r="AF534" s="86"/>
      <c r="AG534" s="88"/>
      <c r="AH534" s="86"/>
      <c r="AI534" s="88"/>
      <c r="AJ534" s="86"/>
      <c r="AK534" s="88"/>
      <c r="AL534" s="86"/>
      <c r="AM534" s="88"/>
      <c r="AN534" s="86"/>
      <c r="AO534" s="88"/>
      <c r="AP534" s="86"/>
      <c r="AQ534" s="88"/>
      <c r="AR534" s="86"/>
      <c r="AS534" s="88"/>
      <c r="AT534" s="86"/>
      <c r="AU534" s="88"/>
      <c r="AV534" s="86"/>
      <c r="AW534" s="88"/>
      <c r="AX534" s="86"/>
      <c r="AY534" s="88"/>
      <c r="AZ534" s="86"/>
      <c r="BA534" s="88"/>
      <c r="BB534" s="86"/>
      <c r="BC534" s="88"/>
      <c r="BD534" s="86"/>
      <c r="BE534" s="88"/>
      <c r="BF534" s="86"/>
      <c r="BG534" s="88"/>
      <c r="BH534" s="86"/>
      <c r="BI534" s="88"/>
      <c r="BJ534" s="86"/>
      <c r="BK534" s="88"/>
      <c r="BL534" s="86"/>
      <c r="BM534" s="88"/>
      <c r="BN534" s="86"/>
      <c r="BO534" s="88"/>
      <c r="BP534" s="86"/>
      <c r="BQ534" s="88"/>
      <c r="BR534" s="86"/>
      <c r="BS534" s="87"/>
    </row>
    <row r="535" ht="22.5" customHeight="1">
      <c r="A535" s="154"/>
      <c r="B535" s="83"/>
      <c r="C535" s="151"/>
      <c r="D535" s="83"/>
      <c r="E535" s="151"/>
      <c r="F535" s="83"/>
      <c r="G535" s="85"/>
      <c r="H535" s="86"/>
      <c r="I535" s="87"/>
      <c r="J535" s="86"/>
      <c r="K535" s="88"/>
      <c r="L535" s="86"/>
      <c r="M535" s="88"/>
      <c r="N535" s="86"/>
      <c r="O535" s="88"/>
      <c r="P535" s="86"/>
      <c r="Q535" s="88"/>
      <c r="R535" s="86"/>
      <c r="S535" s="88"/>
      <c r="T535" s="86"/>
      <c r="U535" s="88"/>
      <c r="V535" s="86"/>
      <c r="W535" s="88"/>
      <c r="X535" s="86"/>
      <c r="Y535" s="88"/>
      <c r="Z535" s="86"/>
      <c r="AA535" s="88"/>
      <c r="AB535" s="86"/>
      <c r="AC535" s="88"/>
      <c r="AD535" s="86"/>
      <c r="AE535" s="88"/>
      <c r="AF535" s="86"/>
      <c r="AG535" s="88"/>
      <c r="AH535" s="86"/>
      <c r="AI535" s="88"/>
      <c r="AJ535" s="86"/>
      <c r="AK535" s="88"/>
      <c r="AL535" s="86"/>
      <c r="AM535" s="88"/>
      <c r="AN535" s="86"/>
      <c r="AO535" s="88"/>
      <c r="AP535" s="86"/>
      <c r="AQ535" s="88"/>
      <c r="AR535" s="86"/>
      <c r="AS535" s="88"/>
      <c r="AT535" s="86"/>
      <c r="AU535" s="88"/>
      <c r="AV535" s="86"/>
      <c r="AW535" s="88"/>
      <c r="AX535" s="86"/>
      <c r="AY535" s="88"/>
      <c r="AZ535" s="86"/>
      <c r="BA535" s="88"/>
      <c r="BB535" s="86"/>
      <c r="BC535" s="88"/>
      <c r="BD535" s="86"/>
      <c r="BE535" s="88"/>
      <c r="BF535" s="86"/>
      <c r="BG535" s="88"/>
      <c r="BH535" s="86"/>
      <c r="BI535" s="88"/>
      <c r="BJ535" s="86"/>
      <c r="BK535" s="88"/>
      <c r="BL535" s="86"/>
      <c r="BM535" s="88"/>
      <c r="BN535" s="86"/>
      <c r="BO535" s="88"/>
      <c r="BP535" s="86"/>
      <c r="BQ535" s="88"/>
      <c r="BR535" s="86"/>
      <c r="BS535" s="87"/>
    </row>
    <row r="536" ht="22.5" customHeight="1">
      <c r="A536" s="154"/>
      <c r="B536" s="83"/>
      <c r="C536" s="151"/>
      <c r="D536" s="83"/>
      <c r="E536" s="151"/>
      <c r="F536" s="83"/>
      <c r="G536" s="85"/>
      <c r="H536" s="86"/>
      <c r="I536" s="87"/>
      <c r="J536" s="86"/>
      <c r="K536" s="88"/>
      <c r="L536" s="86"/>
      <c r="M536" s="88"/>
      <c r="N536" s="86"/>
      <c r="O536" s="88"/>
      <c r="P536" s="86"/>
      <c r="Q536" s="88"/>
      <c r="R536" s="86"/>
      <c r="S536" s="88"/>
      <c r="T536" s="86"/>
      <c r="U536" s="88"/>
      <c r="V536" s="86"/>
      <c r="W536" s="88"/>
      <c r="X536" s="86"/>
      <c r="Y536" s="88"/>
      <c r="Z536" s="86"/>
      <c r="AA536" s="88"/>
      <c r="AB536" s="86"/>
      <c r="AC536" s="88"/>
      <c r="AD536" s="86"/>
      <c r="AE536" s="88"/>
      <c r="AF536" s="86"/>
      <c r="AG536" s="88"/>
      <c r="AH536" s="86"/>
      <c r="AI536" s="88"/>
      <c r="AJ536" s="86"/>
      <c r="AK536" s="88"/>
      <c r="AL536" s="86"/>
      <c r="AM536" s="88"/>
      <c r="AN536" s="86"/>
      <c r="AO536" s="88"/>
      <c r="AP536" s="86"/>
      <c r="AQ536" s="88"/>
      <c r="AR536" s="86"/>
      <c r="AS536" s="88"/>
      <c r="AT536" s="86"/>
      <c r="AU536" s="88"/>
      <c r="AV536" s="86"/>
      <c r="AW536" s="88"/>
      <c r="AX536" s="86"/>
      <c r="AY536" s="88"/>
      <c r="AZ536" s="86"/>
      <c r="BA536" s="88"/>
      <c r="BB536" s="86"/>
      <c r="BC536" s="88"/>
      <c r="BD536" s="86"/>
      <c r="BE536" s="88"/>
      <c r="BF536" s="86"/>
      <c r="BG536" s="88"/>
      <c r="BH536" s="86"/>
      <c r="BI536" s="88"/>
      <c r="BJ536" s="86"/>
      <c r="BK536" s="88"/>
      <c r="BL536" s="86"/>
      <c r="BM536" s="88"/>
      <c r="BN536" s="86"/>
      <c r="BO536" s="88"/>
      <c r="BP536" s="86"/>
      <c r="BQ536" s="88"/>
      <c r="BR536" s="86"/>
      <c r="BS536" s="87"/>
    </row>
    <row r="537" ht="22.5" customHeight="1">
      <c r="A537" s="154"/>
      <c r="B537" s="83"/>
      <c r="C537" s="151"/>
      <c r="D537" s="83"/>
      <c r="E537" s="151"/>
      <c r="F537" s="83"/>
      <c r="G537" s="85"/>
      <c r="H537" s="86"/>
      <c r="I537" s="87"/>
      <c r="J537" s="86"/>
      <c r="K537" s="88"/>
      <c r="L537" s="86"/>
      <c r="M537" s="88"/>
      <c r="N537" s="86"/>
      <c r="O537" s="88"/>
      <c r="P537" s="86"/>
      <c r="Q537" s="88"/>
      <c r="R537" s="86"/>
      <c r="S537" s="88"/>
      <c r="T537" s="86"/>
      <c r="U537" s="88"/>
      <c r="V537" s="86"/>
      <c r="W537" s="88"/>
      <c r="X537" s="86"/>
      <c r="Y537" s="88"/>
      <c r="Z537" s="86"/>
      <c r="AA537" s="88"/>
      <c r="AB537" s="86"/>
      <c r="AC537" s="88"/>
      <c r="AD537" s="86"/>
      <c r="AE537" s="88"/>
      <c r="AF537" s="86"/>
      <c r="AG537" s="88"/>
      <c r="AH537" s="86"/>
      <c r="AI537" s="88"/>
      <c r="AJ537" s="86"/>
      <c r="AK537" s="88"/>
      <c r="AL537" s="86"/>
      <c r="AM537" s="88"/>
      <c r="AN537" s="86"/>
      <c r="AO537" s="88"/>
      <c r="AP537" s="86"/>
      <c r="AQ537" s="88"/>
      <c r="AR537" s="86"/>
      <c r="AS537" s="88"/>
      <c r="AT537" s="86"/>
      <c r="AU537" s="88"/>
      <c r="AV537" s="86"/>
      <c r="AW537" s="88"/>
      <c r="AX537" s="86"/>
      <c r="AY537" s="88"/>
      <c r="AZ537" s="86"/>
      <c r="BA537" s="88"/>
      <c r="BB537" s="86"/>
      <c r="BC537" s="88"/>
      <c r="BD537" s="86"/>
      <c r="BE537" s="88"/>
      <c r="BF537" s="86"/>
      <c r="BG537" s="88"/>
      <c r="BH537" s="86"/>
      <c r="BI537" s="88"/>
      <c r="BJ537" s="86"/>
      <c r="BK537" s="88"/>
      <c r="BL537" s="86"/>
      <c r="BM537" s="88"/>
      <c r="BN537" s="86"/>
      <c r="BO537" s="88"/>
      <c r="BP537" s="86"/>
      <c r="BQ537" s="88"/>
      <c r="BR537" s="86"/>
      <c r="BS537" s="87"/>
    </row>
    <row r="538" ht="22.5" customHeight="1">
      <c r="A538" s="154"/>
      <c r="B538" s="83"/>
      <c r="C538" s="151"/>
      <c r="D538" s="83"/>
      <c r="E538" s="151"/>
      <c r="F538" s="83"/>
      <c r="G538" s="85"/>
      <c r="H538" s="86"/>
      <c r="I538" s="87"/>
      <c r="J538" s="86"/>
      <c r="K538" s="88"/>
      <c r="L538" s="86"/>
      <c r="M538" s="88"/>
      <c r="N538" s="86"/>
      <c r="O538" s="88"/>
      <c r="P538" s="86"/>
      <c r="Q538" s="88"/>
      <c r="R538" s="86"/>
      <c r="S538" s="88"/>
      <c r="T538" s="86"/>
      <c r="U538" s="88"/>
      <c r="V538" s="86"/>
      <c r="W538" s="88"/>
      <c r="X538" s="86"/>
      <c r="Y538" s="88"/>
      <c r="Z538" s="86"/>
      <c r="AA538" s="88"/>
      <c r="AB538" s="86"/>
      <c r="AC538" s="88"/>
      <c r="AD538" s="86"/>
      <c r="AE538" s="88"/>
      <c r="AF538" s="86"/>
      <c r="AG538" s="88"/>
      <c r="AH538" s="86"/>
      <c r="AI538" s="88"/>
      <c r="AJ538" s="86"/>
      <c r="AK538" s="88"/>
      <c r="AL538" s="86"/>
      <c r="AM538" s="88"/>
      <c r="AN538" s="86"/>
      <c r="AO538" s="88"/>
      <c r="AP538" s="86"/>
      <c r="AQ538" s="88"/>
      <c r="AR538" s="86"/>
      <c r="AS538" s="88"/>
      <c r="AT538" s="86"/>
      <c r="AU538" s="88"/>
      <c r="AV538" s="86"/>
      <c r="AW538" s="88"/>
      <c r="AX538" s="86"/>
      <c r="AY538" s="88"/>
      <c r="AZ538" s="86"/>
      <c r="BA538" s="88"/>
      <c r="BB538" s="86"/>
      <c r="BC538" s="88"/>
      <c r="BD538" s="86"/>
      <c r="BE538" s="88"/>
      <c r="BF538" s="86"/>
      <c r="BG538" s="88"/>
      <c r="BH538" s="86"/>
      <c r="BI538" s="88"/>
      <c r="BJ538" s="86"/>
      <c r="BK538" s="88"/>
      <c r="BL538" s="86"/>
      <c r="BM538" s="88"/>
      <c r="BN538" s="86"/>
      <c r="BO538" s="88"/>
      <c r="BP538" s="86"/>
      <c r="BQ538" s="88"/>
      <c r="BR538" s="86"/>
      <c r="BS538" s="87"/>
    </row>
    <row r="539" ht="22.5" customHeight="1">
      <c r="A539" s="154"/>
      <c r="B539" s="83"/>
      <c r="C539" s="151"/>
      <c r="D539" s="83"/>
      <c r="E539" s="151"/>
      <c r="F539" s="83"/>
      <c r="G539" s="85"/>
      <c r="H539" s="86"/>
      <c r="I539" s="87"/>
      <c r="J539" s="86"/>
      <c r="K539" s="88"/>
      <c r="L539" s="86"/>
      <c r="M539" s="88"/>
      <c r="N539" s="86"/>
      <c r="O539" s="88"/>
      <c r="P539" s="86"/>
      <c r="Q539" s="88"/>
      <c r="R539" s="86"/>
      <c r="S539" s="88"/>
      <c r="T539" s="86"/>
      <c r="U539" s="88"/>
      <c r="V539" s="86"/>
      <c r="W539" s="88"/>
      <c r="X539" s="86"/>
      <c r="Y539" s="88"/>
      <c r="Z539" s="86"/>
      <c r="AA539" s="88"/>
      <c r="AB539" s="86"/>
      <c r="AC539" s="88"/>
      <c r="AD539" s="86"/>
      <c r="AE539" s="88"/>
      <c r="AF539" s="86"/>
      <c r="AG539" s="88"/>
      <c r="AH539" s="86"/>
      <c r="AI539" s="88"/>
      <c r="AJ539" s="86"/>
      <c r="AK539" s="88"/>
      <c r="AL539" s="86"/>
      <c r="AM539" s="88"/>
      <c r="AN539" s="86"/>
      <c r="AO539" s="88"/>
      <c r="AP539" s="86"/>
      <c r="AQ539" s="88"/>
      <c r="AR539" s="86"/>
      <c r="AS539" s="88"/>
      <c r="AT539" s="86"/>
      <c r="AU539" s="88"/>
      <c r="AV539" s="86"/>
      <c r="AW539" s="88"/>
      <c r="AX539" s="86"/>
      <c r="AY539" s="88"/>
      <c r="AZ539" s="86"/>
      <c r="BA539" s="88"/>
      <c r="BB539" s="86"/>
      <c r="BC539" s="88"/>
      <c r="BD539" s="86"/>
      <c r="BE539" s="88"/>
      <c r="BF539" s="86"/>
      <c r="BG539" s="88"/>
      <c r="BH539" s="86"/>
      <c r="BI539" s="88"/>
      <c r="BJ539" s="86"/>
      <c r="BK539" s="88"/>
      <c r="BL539" s="86"/>
      <c r="BM539" s="88"/>
      <c r="BN539" s="86"/>
      <c r="BO539" s="88"/>
      <c r="BP539" s="86"/>
      <c r="BQ539" s="88"/>
      <c r="BR539" s="86"/>
      <c r="BS539" s="87"/>
    </row>
    <row r="540" ht="22.5" customHeight="1">
      <c r="A540" s="154"/>
      <c r="B540" s="83"/>
      <c r="C540" s="151"/>
      <c r="D540" s="83"/>
      <c r="E540" s="151"/>
      <c r="F540" s="83"/>
      <c r="G540" s="85"/>
      <c r="H540" s="86"/>
      <c r="I540" s="87"/>
      <c r="J540" s="86"/>
      <c r="K540" s="88"/>
      <c r="L540" s="86"/>
      <c r="M540" s="88"/>
      <c r="N540" s="86"/>
      <c r="O540" s="88"/>
      <c r="P540" s="86"/>
      <c r="Q540" s="88"/>
      <c r="R540" s="86"/>
      <c r="S540" s="88"/>
      <c r="T540" s="86"/>
      <c r="U540" s="88"/>
      <c r="V540" s="86"/>
      <c r="W540" s="88"/>
      <c r="X540" s="86"/>
      <c r="Y540" s="88"/>
      <c r="Z540" s="86"/>
      <c r="AA540" s="88"/>
      <c r="AB540" s="86"/>
      <c r="AC540" s="88"/>
      <c r="AD540" s="86"/>
      <c r="AE540" s="88"/>
      <c r="AF540" s="86"/>
      <c r="AG540" s="88"/>
      <c r="AH540" s="86"/>
      <c r="AI540" s="88"/>
      <c r="AJ540" s="86"/>
      <c r="AK540" s="88"/>
      <c r="AL540" s="86"/>
      <c r="AM540" s="88"/>
      <c r="AN540" s="86"/>
      <c r="AO540" s="88"/>
      <c r="AP540" s="86"/>
      <c r="AQ540" s="88"/>
      <c r="AR540" s="86"/>
      <c r="AS540" s="88"/>
      <c r="AT540" s="86"/>
      <c r="AU540" s="88"/>
      <c r="AV540" s="86"/>
      <c r="AW540" s="88"/>
      <c r="AX540" s="86"/>
      <c r="AY540" s="88"/>
      <c r="AZ540" s="86"/>
      <c r="BA540" s="88"/>
      <c r="BB540" s="86"/>
      <c r="BC540" s="88"/>
      <c r="BD540" s="86"/>
      <c r="BE540" s="88"/>
      <c r="BF540" s="86"/>
      <c r="BG540" s="88"/>
      <c r="BH540" s="86"/>
      <c r="BI540" s="88"/>
      <c r="BJ540" s="86"/>
      <c r="BK540" s="88"/>
      <c r="BL540" s="86"/>
      <c r="BM540" s="88"/>
      <c r="BN540" s="86"/>
      <c r="BO540" s="88"/>
      <c r="BP540" s="86"/>
      <c r="BQ540" s="88"/>
      <c r="BR540" s="86"/>
      <c r="BS540" s="87"/>
    </row>
    <row r="541" ht="22.5" customHeight="1">
      <c r="A541" s="154"/>
      <c r="B541" s="83"/>
      <c r="C541" s="151"/>
      <c r="D541" s="83"/>
      <c r="E541" s="151"/>
      <c r="F541" s="83"/>
      <c r="G541" s="85"/>
      <c r="H541" s="86"/>
      <c r="I541" s="87"/>
      <c r="J541" s="86"/>
      <c r="K541" s="88"/>
      <c r="L541" s="86"/>
      <c r="M541" s="88"/>
      <c r="N541" s="86"/>
      <c r="O541" s="88"/>
      <c r="P541" s="86"/>
      <c r="Q541" s="88"/>
      <c r="R541" s="86"/>
      <c r="S541" s="88"/>
      <c r="T541" s="86"/>
      <c r="U541" s="88"/>
      <c r="V541" s="86"/>
      <c r="W541" s="88"/>
      <c r="X541" s="86"/>
      <c r="Y541" s="88"/>
      <c r="Z541" s="86"/>
      <c r="AA541" s="88"/>
      <c r="AB541" s="86"/>
      <c r="AC541" s="88"/>
      <c r="AD541" s="86"/>
      <c r="AE541" s="88"/>
      <c r="AF541" s="86"/>
      <c r="AG541" s="88"/>
      <c r="AH541" s="86"/>
      <c r="AI541" s="88"/>
      <c r="AJ541" s="86"/>
      <c r="AK541" s="88"/>
      <c r="AL541" s="86"/>
      <c r="AM541" s="88"/>
      <c r="AN541" s="86"/>
      <c r="AO541" s="88"/>
      <c r="AP541" s="86"/>
      <c r="AQ541" s="88"/>
      <c r="AR541" s="86"/>
      <c r="AS541" s="88"/>
      <c r="AT541" s="86"/>
      <c r="AU541" s="88"/>
      <c r="AV541" s="86"/>
      <c r="AW541" s="88"/>
      <c r="AX541" s="86"/>
      <c r="AY541" s="88"/>
      <c r="AZ541" s="86"/>
      <c r="BA541" s="88"/>
      <c r="BB541" s="86"/>
      <c r="BC541" s="88"/>
      <c r="BD541" s="86"/>
      <c r="BE541" s="88"/>
      <c r="BF541" s="86"/>
      <c r="BG541" s="88"/>
      <c r="BH541" s="86"/>
      <c r="BI541" s="88"/>
      <c r="BJ541" s="86"/>
      <c r="BK541" s="88"/>
      <c r="BL541" s="86"/>
      <c r="BM541" s="88"/>
      <c r="BN541" s="86"/>
      <c r="BO541" s="88"/>
      <c r="BP541" s="86"/>
      <c r="BQ541" s="88"/>
      <c r="BR541" s="86"/>
      <c r="BS541" s="87"/>
    </row>
    <row r="542" ht="22.5" customHeight="1">
      <c r="A542" s="154"/>
      <c r="B542" s="83"/>
      <c r="C542" s="151"/>
      <c r="D542" s="83"/>
      <c r="E542" s="151"/>
      <c r="F542" s="83"/>
      <c r="G542" s="85"/>
      <c r="H542" s="86"/>
      <c r="I542" s="87"/>
      <c r="J542" s="86"/>
      <c r="K542" s="88"/>
      <c r="L542" s="86"/>
      <c r="M542" s="88"/>
      <c r="N542" s="86"/>
      <c r="O542" s="88"/>
      <c r="P542" s="86"/>
      <c r="Q542" s="88"/>
      <c r="R542" s="86"/>
      <c r="S542" s="88"/>
      <c r="T542" s="86"/>
      <c r="U542" s="88"/>
      <c r="V542" s="86"/>
      <c r="W542" s="88"/>
      <c r="X542" s="86"/>
      <c r="Y542" s="88"/>
      <c r="Z542" s="86"/>
      <c r="AA542" s="88"/>
      <c r="AB542" s="86"/>
      <c r="AC542" s="88"/>
      <c r="AD542" s="86"/>
      <c r="AE542" s="88"/>
      <c r="AF542" s="86"/>
      <c r="AG542" s="88"/>
      <c r="AH542" s="86"/>
      <c r="AI542" s="88"/>
      <c r="AJ542" s="86"/>
      <c r="AK542" s="88"/>
      <c r="AL542" s="86"/>
      <c r="AM542" s="88"/>
      <c r="AN542" s="86"/>
      <c r="AO542" s="88"/>
      <c r="AP542" s="86"/>
      <c r="AQ542" s="88"/>
      <c r="AR542" s="86"/>
      <c r="AS542" s="88"/>
      <c r="AT542" s="86"/>
      <c r="AU542" s="88"/>
      <c r="AV542" s="86"/>
      <c r="AW542" s="88"/>
      <c r="AX542" s="86"/>
      <c r="AY542" s="88"/>
      <c r="AZ542" s="86"/>
      <c r="BA542" s="88"/>
      <c r="BB542" s="86"/>
      <c r="BC542" s="88"/>
      <c r="BD542" s="86"/>
      <c r="BE542" s="88"/>
      <c r="BF542" s="86"/>
      <c r="BG542" s="88"/>
      <c r="BH542" s="86"/>
      <c r="BI542" s="88"/>
      <c r="BJ542" s="86"/>
      <c r="BK542" s="88"/>
      <c r="BL542" s="86"/>
      <c r="BM542" s="88"/>
      <c r="BN542" s="86"/>
      <c r="BO542" s="88"/>
      <c r="BP542" s="86"/>
      <c r="BQ542" s="88"/>
      <c r="BR542" s="86"/>
      <c r="BS542" s="87"/>
    </row>
    <row r="543" ht="22.5" customHeight="1">
      <c r="A543" s="154"/>
      <c r="B543" s="83"/>
      <c r="C543" s="151"/>
      <c r="D543" s="83"/>
      <c r="E543" s="151"/>
      <c r="F543" s="83"/>
      <c r="G543" s="85"/>
      <c r="H543" s="86"/>
      <c r="I543" s="87"/>
      <c r="J543" s="86"/>
      <c r="K543" s="88"/>
      <c r="L543" s="86"/>
      <c r="M543" s="88"/>
      <c r="N543" s="86"/>
      <c r="O543" s="88"/>
      <c r="P543" s="86"/>
      <c r="Q543" s="88"/>
      <c r="R543" s="86"/>
      <c r="S543" s="88"/>
      <c r="T543" s="86"/>
      <c r="U543" s="88"/>
      <c r="V543" s="86"/>
      <c r="W543" s="88"/>
      <c r="X543" s="86"/>
      <c r="Y543" s="88"/>
      <c r="Z543" s="86"/>
      <c r="AA543" s="88"/>
      <c r="AB543" s="86"/>
      <c r="AC543" s="88"/>
      <c r="AD543" s="86"/>
      <c r="AE543" s="88"/>
      <c r="AF543" s="86"/>
      <c r="AG543" s="88"/>
      <c r="AH543" s="86"/>
      <c r="AI543" s="88"/>
      <c r="AJ543" s="86"/>
      <c r="AK543" s="88"/>
      <c r="AL543" s="86"/>
      <c r="AM543" s="88"/>
      <c r="AN543" s="86"/>
      <c r="AO543" s="88"/>
      <c r="AP543" s="86"/>
      <c r="AQ543" s="88"/>
      <c r="AR543" s="86"/>
      <c r="AS543" s="88"/>
      <c r="AT543" s="86"/>
      <c r="AU543" s="88"/>
      <c r="AV543" s="86"/>
      <c r="AW543" s="88"/>
      <c r="AX543" s="86"/>
      <c r="AY543" s="88"/>
      <c r="AZ543" s="86"/>
      <c r="BA543" s="88"/>
      <c r="BB543" s="86"/>
      <c r="BC543" s="88"/>
      <c r="BD543" s="86"/>
      <c r="BE543" s="88"/>
      <c r="BF543" s="86"/>
      <c r="BG543" s="88"/>
      <c r="BH543" s="86"/>
      <c r="BI543" s="88"/>
      <c r="BJ543" s="86"/>
      <c r="BK543" s="88"/>
      <c r="BL543" s="86"/>
      <c r="BM543" s="88"/>
      <c r="BN543" s="86"/>
      <c r="BO543" s="88"/>
      <c r="BP543" s="86"/>
      <c r="BQ543" s="88"/>
      <c r="BR543" s="86"/>
      <c r="BS543" s="87"/>
    </row>
    <row r="544" ht="22.5" customHeight="1">
      <c r="A544" s="154"/>
      <c r="B544" s="83"/>
      <c r="C544" s="151"/>
      <c r="D544" s="83"/>
      <c r="E544" s="151"/>
      <c r="F544" s="83"/>
      <c r="G544" s="85"/>
      <c r="H544" s="86"/>
      <c r="I544" s="87"/>
      <c r="J544" s="86"/>
      <c r="K544" s="88"/>
      <c r="L544" s="86"/>
      <c r="M544" s="88"/>
      <c r="N544" s="86"/>
      <c r="O544" s="88"/>
      <c r="P544" s="86"/>
      <c r="Q544" s="88"/>
      <c r="R544" s="86"/>
      <c r="S544" s="88"/>
      <c r="T544" s="86"/>
      <c r="U544" s="88"/>
      <c r="V544" s="86"/>
      <c r="W544" s="88"/>
      <c r="X544" s="86"/>
      <c r="Y544" s="88"/>
      <c r="Z544" s="86"/>
      <c r="AA544" s="88"/>
      <c r="AB544" s="86"/>
      <c r="AC544" s="88"/>
      <c r="AD544" s="86"/>
      <c r="AE544" s="88"/>
      <c r="AF544" s="86"/>
      <c r="AG544" s="88"/>
      <c r="AH544" s="86"/>
      <c r="AI544" s="88"/>
      <c r="AJ544" s="86"/>
      <c r="AK544" s="88"/>
      <c r="AL544" s="86"/>
      <c r="AM544" s="88"/>
      <c r="AN544" s="86"/>
      <c r="AO544" s="88"/>
      <c r="AP544" s="86"/>
      <c r="AQ544" s="88"/>
      <c r="AR544" s="86"/>
      <c r="AS544" s="88"/>
      <c r="AT544" s="86"/>
      <c r="AU544" s="88"/>
      <c r="AV544" s="86"/>
      <c r="AW544" s="88"/>
      <c r="AX544" s="86"/>
      <c r="AY544" s="88"/>
      <c r="AZ544" s="86"/>
      <c r="BA544" s="88"/>
      <c r="BB544" s="86"/>
      <c r="BC544" s="88"/>
      <c r="BD544" s="86"/>
      <c r="BE544" s="88"/>
      <c r="BF544" s="86"/>
      <c r="BG544" s="88"/>
      <c r="BH544" s="86"/>
      <c r="BI544" s="88"/>
      <c r="BJ544" s="86"/>
      <c r="BK544" s="88"/>
      <c r="BL544" s="86"/>
      <c r="BM544" s="88"/>
      <c r="BN544" s="86"/>
      <c r="BO544" s="88"/>
      <c r="BP544" s="86"/>
      <c r="BQ544" s="88"/>
      <c r="BR544" s="86"/>
      <c r="BS544" s="87"/>
    </row>
    <row r="545" ht="22.5" customHeight="1">
      <c r="A545" s="154"/>
      <c r="B545" s="83"/>
      <c r="C545" s="151"/>
      <c r="D545" s="83"/>
      <c r="E545" s="151"/>
      <c r="F545" s="83"/>
      <c r="G545" s="85"/>
      <c r="H545" s="86"/>
      <c r="I545" s="87"/>
      <c r="J545" s="86"/>
      <c r="K545" s="88"/>
      <c r="L545" s="86"/>
      <c r="M545" s="88"/>
      <c r="N545" s="86"/>
      <c r="O545" s="88"/>
      <c r="P545" s="86"/>
      <c r="Q545" s="88"/>
      <c r="R545" s="86"/>
      <c r="S545" s="88"/>
      <c r="T545" s="86"/>
      <c r="U545" s="88"/>
      <c r="V545" s="86"/>
      <c r="W545" s="88"/>
      <c r="X545" s="86"/>
      <c r="Y545" s="88"/>
      <c r="Z545" s="86"/>
      <c r="AA545" s="88"/>
      <c r="AB545" s="86"/>
      <c r="AC545" s="88"/>
      <c r="AD545" s="86"/>
      <c r="AE545" s="88"/>
      <c r="AF545" s="86"/>
      <c r="AG545" s="88"/>
      <c r="AH545" s="86"/>
      <c r="AI545" s="88"/>
      <c r="AJ545" s="86"/>
      <c r="AK545" s="88"/>
      <c r="AL545" s="86"/>
      <c r="AM545" s="88"/>
      <c r="AN545" s="86"/>
      <c r="AO545" s="88"/>
      <c r="AP545" s="86"/>
      <c r="AQ545" s="88"/>
      <c r="AR545" s="86"/>
      <c r="AS545" s="88"/>
      <c r="AT545" s="86"/>
      <c r="AU545" s="88"/>
      <c r="AV545" s="86"/>
      <c r="AW545" s="88"/>
      <c r="AX545" s="86"/>
      <c r="AY545" s="88"/>
      <c r="AZ545" s="86"/>
      <c r="BA545" s="88"/>
      <c r="BB545" s="86"/>
      <c r="BC545" s="88"/>
      <c r="BD545" s="86"/>
      <c r="BE545" s="88"/>
      <c r="BF545" s="86"/>
      <c r="BG545" s="88"/>
      <c r="BH545" s="86"/>
      <c r="BI545" s="88"/>
      <c r="BJ545" s="86"/>
      <c r="BK545" s="88"/>
      <c r="BL545" s="86"/>
      <c r="BM545" s="88"/>
      <c r="BN545" s="86"/>
      <c r="BO545" s="88"/>
      <c r="BP545" s="86"/>
      <c r="BQ545" s="88"/>
      <c r="BR545" s="86"/>
      <c r="BS545" s="87"/>
    </row>
    <row r="546" ht="22.5" customHeight="1">
      <c r="A546" s="154"/>
      <c r="B546" s="83"/>
      <c r="C546" s="151"/>
      <c r="D546" s="83"/>
      <c r="E546" s="151"/>
      <c r="F546" s="83"/>
      <c r="G546" s="85"/>
      <c r="H546" s="86"/>
      <c r="I546" s="87"/>
      <c r="J546" s="86"/>
      <c r="K546" s="88"/>
      <c r="L546" s="86"/>
      <c r="M546" s="88"/>
      <c r="N546" s="86"/>
      <c r="O546" s="88"/>
      <c r="P546" s="86"/>
      <c r="Q546" s="88"/>
      <c r="R546" s="86"/>
      <c r="S546" s="88"/>
      <c r="T546" s="86"/>
      <c r="U546" s="88"/>
      <c r="V546" s="86"/>
      <c r="W546" s="88"/>
      <c r="X546" s="86"/>
      <c r="Y546" s="88"/>
      <c r="Z546" s="86"/>
      <c r="AA546" s="88"/>
      <c r="AB546" s="86"/>
      <c r="AC546" s="88"/>
      <c r="AD546" s="86"/>
      <c r="AE546" s="88"/>
      <c r="AF546" s="86"/>
      <c r="AG546" s="88"/>
      <c r="AH546" s="86"/>
      <c r="AI546" s="88"/>
      <c r="AJ546" s="86"/>
      <c r="AK546" s="88"/>
      <c r="AL546" s="86"/>
      <c r="AM546" s="88"/>
      <c r="AN546" s="86"/>
      <c r="AO546" s="88"/>
      <c r="AP546" s="86"/>
      <c r="AQ546" s="88"/>
      <c r="AR546" s="86"/>
      <c r="AS546" s="88"/>
      <c r="AT546" s="86"/>
      <c r="AU546" s="88"/>
      <c r="AV546" s="86"/>
      <c r="AW546" s="88"/>
      <c r="AX546" s="86"/>
      <c r="AY546" s="88"/>
      <c r="AZ546" s="86"/>
      <c r="BA546" s="88"/>
      <c r="BB546" s="86"/>
      <c r="BC546" s="88"/>
      <c r="BD546" s="86"/>
      <c r="BE546" s="88"/>
      <c r="BF546" s="86"/>
      <c r="BG546" s="88"/>
      <c r="BH546" s="86"/>
      <c r="BI546" s="88"/>
      <c r="BJ546" s="86"/>
      <c r="BK546" s="88"/>
      <c r="BL546" s="86"/>
      <c r="BM546" s="88"/>
      <c r="BN546" s="86"/>
      <c r="BO546" s="88"/>
      <c r="BP546" s="86"/>
      <c r="BQ546" s="88"/>
      <c r="BR546" s="86"/>
      <c r="BS546" s="87"/>
    </row>
    <row r="547" ht="22.5" customHeight="1">
      <c r="A547" s="154"/>
      <c r="B547" s="83"/>
      <c r="C547" s="151"/>
      <c r="D547" s="83"/>
      <c r="E547" s="151"/>
      <c r="F547" s="83"/>
      <c r="G547" s="85"/>
      <c r="H547" s="86"/>
      <c r="I547" s="87"/>
      <c r="J547" s="86"/>
      <c r="K547" s="88"/>
      <c r="L547" s="86"/>
      <c r="M547" s="88"/>
      <c r="N547" s="86"/>
      <c r="O547" s="88"/>
      <c r="P547" s="86"/>
      <c r="Q547" s="88"/>
      <c r="R547" s="86"/>
      <c r="S547" s="88"/>
      <c r="T547" s="86"/>
      <c r="U547" s="88"/>
      <c r="V547" s="86"/>
      <c r="W547" s="88"/>
      <c r="X547" s="86"/>
      <c r="Y547" s="88"/>
      <c r="Z547" s="86"/>
      <c r="AA547" s="88"/>
      <c r="AB547" s="86"/>
      <c r="AC547" s="88"/>
      <c r="AD547" s="86"/>
      <c r="AE547" s="88"/>
      <c r="AF547" s="86"/>
      <c r="AG547" s="88"/>
      <c r="AH547" s="86"/>
      <c r="AI547" s="88"/>
      <c r="AJ547" s="86"/>
      <c r="AK547" s="88"/>
      <c r="AL547" s="86"/>
      <c r="AM547" s="88"/>
      <c r="AN547" s="86"/>
      <c r="AO547" s="88"/>
      <c r="AP547" s="86"/>
      <c r="AQ547" s="88"/>
      <c r="AR547" s="86"/>
      <c r="AS547" s="88"/>
      <c r="AT547" s="86"/>
      <c r="AU547" s="88"/>
      <c r="AV547" s="86"/>
      <c r="AW547" s="88"/>
      <c r="AX547" s="86"/>
      <c r="AY547" s="88"/>
      <c r="AZ547" s="86"/>
      <c r="BA547" s="88"/>
      <c r="BB547" s="86"/>
      <c r="BC547" s="88"/>
      <c r="BD547" s="86"/>
      <c r="BE547" s="88"/>
      <c r="BF547" s="86"/>
      <c r="BG547" s="88"/>
      <c r="BH547" s="86"/>
      <c r="BI547" s="88"/>
      <c r="BJ547" s="86"/>
      <c r="BK547" s="88"/>
      <c r="BL547" s="86"/>
      <c r="BM547" s="88"/>
      <c r="BN547" s="86"/>
      <c r="BO547" s="88"/>
      <c r="BP547" s="86"/>
      <c r="BQ547" s="88"/>
      <c r="BR547" s="86"/>
      <c r="BS547" s="87"/>
    </row>
    <row r="548" ht="22.5" customHeight="1">
      <c r="A548" s="154"/>
      <c r="B548" s="83"/>
      <c r="C548" s="151"/>
      <c r="D548" s="83"/>
      <c r="E548" s="151"/>
      <c r="F548" s="83"/>
      <c r="G548" s="85"/>
      <c r="H548" s="86"/>
      <c r="I548" s="87"/>
      <c r="J548" s="86"/>
      <c r="K548" s="88"/>
      <c r="L548" s="86"/>
      <c r="M548" s="88"/>
      <c r="N548" s="86"/>
      <c r="O548" s="88"/>
      <c r="P548" s="86"/>
      <c r="Q548" s="88"/>
      <c r="R548" s="86"/>
      <c r="S548" s="88"/>
      <c r="T548" s="86"/>
      <c r="U548" s="88"/>
      <c r="V548" s="86"/>
      <c r="W548" s="88"/>
      <c r="X548" s="86"/>
      <c r="Y548" s="88"/>
      <c r="Z548" s="86"/>
      <c r="AA548" s="88"/>
      <c r="AB548" s="86"/>
      <c r="AC548" s="88"/>
      <c r="AD548" s="86"/>
      <c r="AE548" s="88"/>
      <c r="AF548" s="86"/>
      <c r="AG548" s="88"/>
      <c r="AH548" s="86"/>
      <c r="AI548" s="88"/>
      <c r="AJ548" s="86"/>
      <c r="AK548" s="88"/>
      <c r="AL548" s="86"/>
      <c r="AM548" s="88"/>
      <c r="AN548" s="86"/>
      <c r="AO548" s="88"/>
      <c r="AP548" s="86"/>
      <c r="AQ548" s="88"/>
      <c r="AR548" s="86"/>
      <c r="AS548" s="88"/>
      <c r="AT548" s="86"/>
      <c r="AU548" s="88"/>
      <c r="AV548" s="86"/>
      <c r="AW548" s="88"/>
      <c r="AX548" s="86"/>
      <c r="AY548" s="88"/>
      <c r="AZ548" s="86"/>
      <c r="BA548" s="88"/>
      <c r="BB548" s="86"/>
      <c r="BC548" s="88"/>
      <c r="BD548" s="86"/>
      <c r="BE548" s="88"/>
      <c r="BF548" s="86"/>
      <c r="BG548" s="88"/>
      <c r="BH548" s="86"/>
      <c r="BI548" s="88"/>
      <c r="BJ548" s="86"/>
      <c r="BK548" s="88"/>
      <c r="BL548" s="86"/>
      <c r="BM548" s="88"/>
      <c r="BN548" s="86"/>
      <c r="BO548" s="88"/>
      <c r="BP548" s="86"/>
      <c r="BQ548" s="88"/>
      <c r="BR548" s="86"/>
      <c r="BS548" s="87"/>
    </row>
    <row r="549" ht="22.5" customHeight="1">
      <c r="A549" s="154"/>
      <c r="B549" s="83"/>
      <c r="C549" s="151"/>
      <c r="D549" s="83"/>
      <c r="E549" s="151"/>
      <c r="F549" s="83"/>
      <c r="G549" s="85"/>
      <c r="H549" s="86"/>
      <c r="I549" s="87"/>
      <c r="J549" s="86"/>
      <c r="K549" s="88"/>
      <c r="L549" s="86"/>
      <c r="M549" s="88"/>
      <c r="N549" s="86"/>
      <c r="O549" s="88"/>
      <c r="P549" s="86"/>
      <c r="Q549" s="88"/>
      <c r="R549" s="86"/>
      <c r="S549" s="88"/>
      <c r="T549" s="86"/>
      <c r="U549" s="88"/>
      <c r="V549" s="86"/>
      <c r="W549" s="88"/>
      <c r="X549" s="86"/>
      <c r="Y549" s="88"/>
      <c r="Z549" s="86"/>
      <c r="AA549" s="88"/>
      <c r="AB549" s="86"/>
      <c r="AC549" s="88"/>
      <c r="AD549" s="86"/>
      <c r="AE549" s="88"/>
      <c r="AF549" s="86"/>
      <c r="AG549" s="88"/>
      <c r="AH549" s="86"/>
      <c r="AI549" s="88"/>
      <c r="AJ549" s="86"/>
      <c r="AK549" s="88"/>
      <c r="AL549" s="86"/>
      <c r="AM549" s="88"/>
      <c r="AN549" s="86"/>
      <c r="AO549" s="88"/>
      <c r="AP549" s="86"/>
      <c r="AQ549" s="88"/>
      <c r="AR549" s="86"/>
      <c r="AS549" s="88"/>
      <c r="AT549" s="86"/>
      <c r="AU549" s="88"/>
      <c r="AV549" s="86"/>
      <c r="AW549" s="88"/>
      <c r="AX549" s="86"/>
      <c r="AY549" s="88"/>
      <c r="AZ549" s="86"/>
      <c r="BA549" s="88"/>
      <c r="BB549" s="86"/>
      <c r="BC549" s="88"/>
      <c r="BD549" s="86"/>
      <c r="BE549" s="88"/>
      <c r="BF549" s="86"/>
      <c r="BG549" s="88"/>
      <c r="BH549" s="86"/>
      <c r="BI549" s="88"/>
      <c r="BJ549" s="86"/>
      <c r="BK549" s="88"/>
      <c r="BL549" s="86"/>
      <c r="BM549" s="88"/>
      <c r="BN549" s="86"/>
      <c r="BO549" s="88"/>
      <c r="BP549" s="86"/>
      <c r="BQ549" s="88"/>
      <c r="BR549" s="86"/>
      <c r="BS549" s="87"/>
    </row>
    <row r="550" ht="22.5" customHeight="1">
      <c r="A550" s="154"/>
      <c r="B550" s="83"/>
      <c r="C550" s="151"/>
      <c r="D550" s="83"/>
      <c r="E550" s="151"/>
      <c r="F550" s="83"/>
      <c r="G550" s="85"/>
      <c r="H550" s="86"/>
      <c r="I550" s="87"/>
      <c r="J550" s="86"/>
      <c r="K550" s="88"/>
      <c r="L550" s="86"/>
      <c r="M550" s="88"/>
      <c r="N550" s="86"/>
      <c r="O550" s="88"/>
      <c r="P550" s="86"/>
      <c r="Q550" s="88"/>
      <c r="R550" s="86"/>
      <c r="S550" s="88"/>
      <c r="T550" s="86"/>
      <c r="U550" s="88"/>
      <c r="V550" s="86"/>
      <c r="W550" s="88"/>
      <c r="X550" s="86"/>
      <c r="Y550" s="88"/>
      <c r="Z550" s="86"/>
      <c r="AA550" s="88"/>
      <c r="AB550" s="86"/>
      <c r="AC550" s="88"/>
      <c r="AD550" s="86"/>
      <c r="AE550" s="88"/>
      <c r="AF550" s="86"/>
      <c r="AG550" s="88"/>
      <c r="AH550" s="86"/>
      <c r="AI550" s="88"/>
      <c r="AJ550" s="86"/>
      <c r="AK550" s="88"/>
      <c r="AL550" s="86"/>
      <c r="AM550" s="88"/>
      <c r="AN550" s="86"/>
      <c r="AO550" s="88"/>
      <c r="AP550" s="86"/>
      <c r="AQ550" s="88"/>
      <c r="AR550" s="86"/>
      <c r="AS550" s="88"/>
      <c r="AT550" s="86"/>
      <c r="AU550" s="88"/>
      <c r="AV550" s="86"/>
      <c r="AW550" s="88"/>
      <c r="AX550" s="86"/>
      <c r="AY550" s="88"/>
      <c r="AZ550" s="86"/>
      <c r="BA550" s="88"/>
      <c r="BB550" s="86"/>
      <c r="BC550" s="88"/>
      <c r="BD550" s="86"/>
      <c r="BE550" s="88"/>
      <c r="BF550" s="86"/>
      <c r="BG550" s="88"/>
      <c r="BH550" s="86"/>
      <c r="BI550" s="88"/>
      <c r="BJ550" s="86"/>
      <c r="BK550" s="88"/>
      <c r="BL550" s="86"/>
      <c r="BM550" s="88"/>
      <c r="BN550" s="86"/>
      <c r="BO550" s="88"/>
      <c r="BP550" s="86"/>
      <c r="BQ550" s="88"/>
      <c r="BR550" s="86"/>
      <c r="BS550" s="87"/>
    </row>
    <row r="551" ht="22.5" customHeight="1">
      <c r="A551" s="154"/>
      <c r="B551" s="83"/>
      <c r="C551" s="151"/>
      <c r="D551" s="83"/>
      <c r="E551" s="151"/>
      <c r="F551" s="83"/>
      <c r="G551" s="85"/>
      <c r="H551" s="86"/>
      <c r="I551" s="87"/>
      <c r="J551" s="86"/>
      <c r="K551" s="88"/>
      <c r="L551" s="86"/>
      <c r="M551" s="88"/>
      <c r="N551" s="86"/>
      <c r="O551" s="88"/>
      <c r="P551" s="86"/>
      <c r="Q551" s="88"/>
      <c r="R551" s="86"/>
      <c r="S551" s="88"/>
      <c r="T551" s="86"/>
      <c r="U551" s="88"/>
      <c r="V551" s="86"/>
      <c r="W551" s="88"/>
      <c r="X551" s="86"/>
      <c r="Y551" s="88"/>
      <c r="Z551" s="86"/>
      <c r="AA551" s="88"/>
      <c r="AB551" s="86"/>
      <c r="AC551" s="88"/>
      <c r="AD551" s="86"/>
      <c r="AE551" s="88"/>
      <c r="AF551" s="86"/>
      <c r="AG551" s="88"/>
      <c r="AH551" s="86"/>
      <c r="AI551" s="88"/>
      <c r="AJ551" s="86"/>
      <c r="AK551" s="88"/>
      <c r="AL551" s="86"/>
      <c r="AM551" s="88"/>
      <c r="AN551" s="86"/>
      <c r="AO551" s="88"/>
      <c r="AP551" s="86"/>
      <c r="AQ551" s="88"/>
      <c r="AR551" s="86"/>
      <c r="AS551" s="88"/>
      <c r="AT551" s="86"/>
      <c r="AU551" s="88"/>
      <c r="AV551" s="86"/>
      <c r="AW551" s="88"/>
      <c r="AX551" s="86"/>
      <c r="AY551" s="88"/>
      <c r="AZ551" s="86"/>
      <c r="BA551" s="88"/>
      <c r="BB551" s="86"/>
      <c r="BC551" s="88"/>
      <c r="BD551" s="86"/>
      <c r="BE551" s="88"/>
      <c r="BF551" s="86"/>
      <c r="BG551" s="88"/>
      <c r="BH551" s="86"/>
      <c r="BI551" s="88"/>
      <c r="BJ551" s="86"/>
      <c r="BK551" s="88"/>
      <c r="BL551" s="86"/>
      <c r="BM551" s="88"/>
      <c r="BN551" s="86"/>
      <c r="BO551" s="88"/>
      <c r="BP551" s="86"/>
      <c r="BQ551" s="88"/>
      <c r="BR551" s="86"/>
      <c r="BS551" s="87"/>
    </row>
    <row r="552" ht="22.5" customHeight="1">
      <c r="A552" s="154"/>
      <c r="B552" s="83"/>
      <c r="C552" s="151"/>
      <c r="D552" s="83"/>
      <c r="E552" s="151"/>
      <c r="F552" s="83"/>
      <c r="G552" s="85"/>
      <c r="H552" s="86"/>
      <c r="I552" s="87"/>
      <c r="J552" s="86"/>
      <c r="K552" s="88"/>
      <c r="L552" s="86"/>
      <c r="M552" s="88"/>
      <c r="N552" s="86"/>
      <c r="O552" s="88"/>
      <c r="P552" s="86"/>
      <c r="Q552" s="88"/>
      <c r="R552" s="86"/>
      <c r="S552" s="88"/>
      <c r="T552" s="86"/>
      <c r="U552" s="88"/>
      <c r="V552" s="86"/>
      <c r="W552" s="88"/>
      <c r="X552" s="86"/>
      <c r="Y552" s="88"/>
      <c r="Z552" s="86"/>
      <c r="AA552" s="88"/>
      <c r="AB552" s="86"/>
      <c r="AC552" s="88"/>
      <c r="AD552" s="86"/>
      <c r="AE552" s="88"/>
      <c r="AF552" s="86"/>
      <c r="AG552" s="88"/>
      <c r="AH552" s="86"/>
      <c r="AI552" s="88"/>
      <c r="AJ552" s="86"/>
      <c r="AK552" s="88"/>
      <c r="AL552" s="86"/>
      <c r="AM552" s="88"/>
      <c r="AN552" s="86"/>
      <c r="AO552" s="88"/>
      <c r="AP552" s="86"/>
      <c r="AQ552" s="88"/>
      <c r="AR552" s="86"/>
      <c r="AS552" s="88"/>
      <c r="AT552" s="86"/>
      <c r="AU552" s="88"/>
      <c r="AV552" s="86"/>
      <c r="AW552" s="88"/>
      <c r="AX552" s="86"/>
      <c r="AY552" s="88"/>
      <c r="AZ552" s="86"/>
      <c r="BA552" s="88"/>
      <c r="BB552" s="86"/>
      <c r="BC552" s="88"/>
      <c r="BD552" s="86"/>
      <c r="BE552" s="88"/>
      <c r="BF552" s="86"/>
      <c r="BG552" s="88"/>
      <c r="BH552" s="86"/>
      <c r="BI552" s="88"/>
      <c r="BJ552" s="86"/>
      <c r="BK552" s="88"/>
      <c r="BL552" s="86"/>
      <c r="BM552" s="88"/>
      <c r="BN552" s="86"/>
      <c r="BO552" s="88"/>
      <c r="BP552" s="86"/>
      <c r="BQ552" s="88"/>
      <c r="BR552" s="86"/>
      <c r="BS552" s="87"/>
    </row>
    <row r="553" ht="22.5" customHeight="1">
      <c r="A553" s="154"/>
      <c r="B553" s="83"/>
      <c r="C553" s="151"/>
      <c r="D553" s="83"/>
      <c r="E553" s="151"/>
      <c r="F553" s="83"/>
      <c r="G553" s="85"/>
      <c r="H553" s="86"/>
      <c r="I553" s="87"/>
      <c r="J553" s="86"/>
      <c r="K553" s="88"/>
      <c r="L553" s="86"/>
      <c r="M553" s="88"/>
      <c r="N553" s="86"/>
      <c r="O553" s="88"/>
      <c r="P553" s="86"/>
      <c r="Q553" s="88"/>
      <c r="R553" s="86"/>
      <c r="S553" s="88"/>
      <c r="T553" s="86"/>
      <c r="U553" s="88"/>
      <c r="V553" s="86"/>
      <c r="W553" s="88"/>
      <c r="X553" s="86"/>
      <c r="Y553" s="88"/>
      <c r="Z553" s="86"/>
      <c r="AA553" s="88"/>
      <c r="AB553" s="86"/>
      <c r="AC553" s="88"/>
      <c r="AD553" s="86"/>
      <c r="AE553" s="88"/>
      <c r="AF553" s="86"/>
      <c r="AG553" s="88"/>
      <c r="AH553" s="86"/>
      <c r="AI553" s="88"/>
      <c r="AJ553" s="86"/>
      <c r="AK553" s="88"/>
      <c r="AL553" s="86"/>
      <c r="AM553" s="88"/>
      <c r="AN553" s="86"/>
      <c r="AO553" s="88"/>
      <c r="AP553" s="86"/>
      <c r="AQ553" s="88"/>
      <c r="AR553" s="86"/>
      <c r="AS553" s="88"/>
      <c r="AT553" s="86"/>
      <c r="AU553" s="88"/>
      <c r="AV553" s="86"/>
      <c r="AW553" s="88"/>
      <c r="AX553" s="86"/>
      <c r="AY553" s="88"/>
      <c r="AZ553" s="86"/>
      <c r="BA553" s="88"/>
      <c r="BB553" s="86"/>
      <c r="BC553" s="88"/>
      <c r="BD553" s="86"/>
      <c r="BE553" s="88"/>
      <c r="BF553" s="86"/>
      <c r="BG553" s="88"/>
      <c r="BH553" s="86"/>
      <c r="BI553" s="88"/>
      <c r="BJ553" s="86"/>
      <c r="BK553" s="88"/>
      <c r="BL553" s="86"/>
      <c r="BM553" s="88"/>
      <c r="BN553" s="86"/>
      <c r="BO553" s="88"/>
      <c r="BP553" s="86"/>
      <c r="BQ553" s="88"/>
      <c r="BR553" s="86"/>
      <c r="BS553" s="87"/>
    </row>
    <row r="554" ht="22.5" customHeight="1">
      <c r="A554" s="154"/>
      <c r="B554" s="83"/>
      <c r="C554" s="151"/>
      <c r="D554" s="83"/>
      <c r="E554" s="151"/>
      <c r="F554" s="83"/>
      <c r="G554" s="85"/>
      <c r="H554" s="86"/>
      <c r="I554" s="87"/>
      <c r="J554" s="86"/>
      <c r="K554" s="88"/>
      <c r="L554" s="86"/>
      <c r="M554" s="88"/>
      <c r="N554" s="86"/>
      <c r="O554" s="88"/>
      <c r="P554" s="86"/>
      <c r="Q554" s="88"/>
      <c r="R554" s="86"/>
      <c r="S554" s="88"/>
      <c r="T554" s="86"/>
      <c r="U554" s="88"/>
      <c r="V554" s="86"/>
      <c r="W554" s="88"/>
      <c r="X554" s="86"/>
      <c r="Y554" s="88"/>
      <c r="Z554" s="86"/>
      <c r="AA554" s="88"/>
      <c r="AB554" s="86"/>
      <c r="AC554" s="88"/>
      <c r="AD554" s="86"/>
      <c r="AE554" s="88"/>
      <c r="AF554" s="86"/>
      <c r="AG554" s="88"/>
      <c r="AH554" s="86"/>
      <c r="AI554" s="88"/>
      <c r="AJ554" s="86"/>
      <c r="AK554" s="88"/>
      <c r="AL554" s="86"/>
      <c r="AM554" s="88"/>
      <c r="AN554" s="86"/>
      <c r="AO554" s="88"/>
      <c r="AP554" s="86"/>
      <c r="AQ554" s="88"/>
      <c r="AR554" s="86"/>
      <c r="AS554" s="88"/>
      <c r="AT554" s="86"/>
      <c r="AU554" s="88"/>
      <c r="AV554" s="86"/>
      <c r="AW554" s="88"/>
      <c r="AX554" s="86"/>
      <c r="AY554" s="88"/>
      <c r="AZ554" s="86"/>
      <c r="BA554" s="88"/>
      <c r="BB554" s="86"/>
      <c r="BC554" s="88"/>
      <c r="BD554" s="86"/>
      <c r="BE554" s="88"/>
      <c r="BF554" s="86"/>
      <c r="BG554" s="88"/>
      <c r="BH554" s="86"/>
      <c r="BI554" s="88"/>
      <c r="BJ554" s="86"/>
      <c r="BK554" s="88"/>
      <c r="BL554" s="86"/>
      <c r="BM554" s="88"/>
      <c r="BN554" s="86"/>
      <c r="BO554" s="88"/>
      <c r="BP554" s="86"/>
      <c r="BQ554" s="88"/>
      <c r="BR554" s="86"/>
      <c r="BS554" s="87"/>
    </row>
    <row r="555" ht="22.5" customHeight="1">
      <c r="A555" s="154"/>
      <c r="B555" s="83"/>
      <c r="C555" s="151"/>
      <c r="D555" s="83"/>
      <c r="E555" s="151"/>
      <c r="F555" s="83"/>
      <c r="G555" s="85"/>
      <c r="H555" s="86"/>
      <c r="I555" s="87"/>
      <c r="J555" s="86"/>
      <c r="K555" s="88"/>
      <c r="L555" s="86"/>
      <c r="M555" s="88"/>
      <c r="N555" s="86"/>
      <c r="O555" s="88"/>
      <c r="P555" s="86"/>
      <c r="Q555" s="88"/>
      <c r="R555" s="86"/>
      <c r="S555" s="88"/>
      <c r="T555" s="86"/>
      <c r="U555" s="88"/>
      <c r="V555" s="86"/>
      <c r="W555" s="88"/>
      <c r="X555" s="86"/>
      <c r="Y555" s="88"/>
      <c r="Z555" s="86"/>
      <c r="AA555" s="88"/>
      <c r="AB555" s="86"/>
      <c r="AC555" s="88"/>
      <c r="AD555" s="86"/>
      <c r="AE555" s="88"/>
      <c r="AF555" s="86"/>
      <c r="AG555" s="88"/>
      <c r="AH555" s="86"/>
      <c r="AI555" s="88"/>
      <c r="AJ555" s="86"/>
      <c r="AK555" s="88"/>
      <c r="AL555" s="86"/>
      <c r="AM555" s="88"/>
      <c r="AN555" s="86"/>
      <c r="AO555" s="88"/>
      <c r="AP555" s="86"/>
      <c r="AQ555" s="88"/>
      <c r="AR555" s="86"/>
      <c r="AS555" s="88"/>
      <c r="AT555" s="86"/>
      <c r="AU555" s="88"/>
      <c r="AV555" s="86"/>
      <c r="AW555" s="88"/>
      <c r="AX555" s="86"/>
      <c r="AY555" s="88"/>
      <c r="AZ555" s="86"/>
      <c r="BA555" s="88"/>
      <c r="BB555" s="86"/>
      <c r="BC555" s="88"/>
      <c r="BD555" s="86"/>
      <c r="BE555" s="88"/>
      <c r="BF555" s="86"/>
      <c r="BG555" s="88"/>
      <c r="BH555" s="86"/>
      <c r="BI555" s="88"/>
      <c r="BJ555" s="86"/>
      <c r="BK555" s="88"/>
      <c r="BL555" s="86"/>
      <c r="BM555" s="88"/>
      <c r="BN555" s="86"/>
      <c r="BO555" s="88"/>
      <c r="BP555" s="86"/>
      <c r="BQ555" s="88"/>
      <c r="BR555" s="86"/>
      <c r="BS555" s="87"/>
    </row>
    <row r="556" ht="22.5" customHeight="1">
      <c r="A556" s="154"/>
      <c r="B556" s="83"/>
      <c r="C556" s="151"/>
      <c r="D556" s="83"/>
      <c r="E556" s="151"/>
      <c r="F556" s="83"/>
      <c r="G556" s="85"/>
      <c r="H556" s="86"/>
      <c r="I556" s="87"/>
      <c r="J556" s="86"/>
      <c r="K556" s="88"/>
      <c r="L556" s="86"/>
      <c r="M556" s="88"/>
      <c r="N556" s="86"/>
      <c r="O556" s="88"/>
      <c r="P556" s="86"/>
      <c r="Q556" s="88"/>
      <c r="R556" s="86"/>
      <c r="S556" s="88"/>
      <c r="T556" s="86"/>
      <c r="U556" s="88"/>
      <c r="V556" s="86"/>
      <c r="W556" s="88"/>
      <c r="X556" s="86"/>
      <c r="Y556" s="88"/>
      <c r="Z556" s="86"/>
      <c r="AA556" s="88"/>
      <c r="AB556" s="86"/>
      <c r="AC556" s="88"/>
      <c r="AD556" s="86"/>
      <c r="AE556" s="88"/>
      <c r="AF556" s="86"/>
      <c r="AG556" s="88"/>
      <c r="AH556" s="86"/>
      <c r="AI556" s="88"/>
      <c r="AJ556" s="86"/>
      <c r="AK556" s="88"/>
      <c r="AL556" s="86"/>
      <c r="AM556" s="88"/>
      <c r="AN556" s="86"/>
      <c r="AO556" s="88"/>
      <c r="AP556" s="86"/>
      <c r="AQ556" s="88"/>
      <c r="AR556" s="86"/>
      <c r="AS556" s="88"/>
      <c r="AT556" s="86"/>
      <c r="AU556" s="88"/>
      <c r="AV556" s="86"/>
      <c r="AW556" s="88"/>
      <c r="AX556" s="86"/>
      <c r="AY556" s="88"/>
      <c r="AZ556" s="86"/>
      <c r="BA556" s="88"/>
      <c r="BB556" s="86"/>
      <c r="BC556" s="88"/>
      <c r="BD556" s="86"/>
      <c r="BE556" s="88"/>
      <c r="BF556" s="86"/>
      <c r="BG556" s="88"/>
      <c r="BH556" s="86"/>
      <c r="BI556" s="88"/>
      <c r="BJ556" s="86"/>
      <c r="BK556" s="88"/>
      <c r="BL556" s="86"/>
      <c r="BM556" s="88"/>
      <c r="BN556" s="86"/>
      <c r="BO556" s="88"/>
      <c r="BP556" s="86"/>
      <c r="BQ556" s="88"/>
      <c r="BR556" s="86"/>
      <c r="BS556" s="87"/>
    </row>
    <row r="557" ht="22.5" customHeight="1">
      <c r="A557" s="154"/>
      <c r="B557" s="83"/>
      <c r="C557" s="151"/>
      <c r="D557" s="83"/>
      <c r="E557" s="151"/>
      <c r="F557" s="83"/>
      <c r="G557" s="85"/>
      <c r="H557" s="86"/>
      <c r="I557" s="87"/>
      <c r="J557" s="86"/>
      <c r="K557" s="88"/>
      <c r="L557" s="86"/>
      <c r="M557" s="88"/>
      <c r="N557" s="86"/>
      <c r="O557" s="88"/>
      <c r="P557" s="86"/>
      <c r="Q557" s="88"/>
      <c r="R557" s="86"/>
      <c r="S557" s="88"/>
      <c r="T557" s="86"/>
      <c r="U557" s="88"/>
      <c r="V557" s="86"/>
      <c r="W557" s="88"/>
      <c r="X557" s="86"/>
      <c r="Y557" s="88"/>
      <c r="Z557" s="86"/>
      <c r="AA557" s="88"/>
      <c r="AB557" s="86"/>
      <c r="AC557" s="88"/>
      <c r="AD557" s="86"/>
      <c r="AE557" s="88"/>
      <c r="AF557" s="86"/>
      <c r="AG557" s="88"/>
      <c r="AH557" s="86"/>
      <c r="AI557" s="88"/>
      <c r="AJ557" s="86"/>
      <c r="AK557" s="88"/>
      <c r="AL557" s="86"/>
      <c r="AM557" s="88"/>
      <c r="AN557" s="86"/>
      <c r="AO557" s="88"/>
      <c r="AP557" s="86"/>
      <c r="AQ557" s="88"/>
      <c r="AR557" s="86"/>
      <c r="AS557" s="88"/>
      <c r="AT557" s="86"/>
      <c r="AU557" s="88"/>
      <c r="AV557" s="86"/>
      <c r="AW557" s="88"/>
      <c r="AX557" s="86"/>
      <c r="AY557" s="88"/>
      <c r="AZ557" s="86"/>
      <c r="BA557" s="88"/>
      <c r="BB557" s="86"/>
      <c r="BC557" s="88"/>
      <c r="BD557" s="86"/>
      <c r="BE557" s="88"/>
      <c r="BF557" s="86"/>
      <c r="BG557" s="88"/>
      <c r="BH557" s="86"/>
      <c r="BI557" s="88"/>
      <c r="BJ557" s="86"/>
      <c r="BK557" s="88"/>
      <c r="BL557" s="86"/>
      <c r="BM557" s="88"/>
      <c r="BN557" s="86"/>
      <c r="BO557" s="88"/>
      <c r="BP557" s="86"/>
      <c r="BQ557" s="88"/>
      <c r="BR557" s="86"/>
      <c r="BS557" s="87"/>
    </row>
    <row r="558" ht="22.5" customHeight="1">
      <c r="A558" s="154"/>
      <c r="B558" s="83"/>
      <c r="C558" s="151"/>
      <c r="D558" s="83"/>
      <c r="E558" s="151"/>
      <c r="F558" s="83"/>
      <c r="G558" s="85"/>
      <c r="H558" s="86"/>
      <c r="I558" s="87"/>
      <c r="J558" s="86"/>
      <c r="K558" s="88"/>
      <c r="L558" s="86"/>
      <c r="M558" s="88"/>
      <c r="N558" s="86"/>
      <c r="O558" s="88"/>
      <c r="P558" s="86"/>
      <c r="Q558" s="88"/>
      <c r="R558" s="86"/>
      <c r="S558" s="88"/>
      <c r="T558" s="86"/>
      <c r="U558" s="88"/>
      <c r="V558" s="86"/>
      <c r="W558" s="88"/>
      <c r="X558" s="86"/>
      <c r="Y558" s="88"/>
      <c r="Z558" s="86"/>
      <c r="AA558" s="88"/>
      <c r="AB558" s="86"/>
      <c r="AC558" s="88"/>
      <c r="AD558" s="86"/>
      <c r="AE558" s="88"/>
      <c r="AF558" s="86"/>
      <c r="AG558" s="88"/>
      <c r="AH558" s="86"/>
      <c r="AI558" s="88"/>
      <c r="AJ558" s="86"/>
      <c r="AK558" s="88"/>
      <c r="AL558" s="86"/>
      <c r="AM558" s="88"/>
      <c r="AN558" s="86"/>
      <c r="AO558" s="88"/>
      <c r="AP558" s="86"/>
      <c r="AQ558" s="88"/>
      <c r="AR558" s="86"/>
      <c r="AS558" s="88"/>
      <c r="AT558" s="86"/>
      <c r="AU558" s="88"/>
      <c r="AV558" s="86"/>
      <c r="AW558" s="88"/>
      <c r="AX558" s="86"/>
      <c r="AY558" s="88"/>
      <c r="AZ558" s="86"/>
      <c r="BA558" s="88"/>
      <c r="BB558" s="86"/>
      <c r="BC558" s="88"/>
      <c r="BD558" s="86"/>
      <c r="BE558" s="88"/>
      <c r="BF558" s="86"/>
      <c r="BG558" s="88"/>
      <c r="BH558" s="86"/>
      <c r="BI558" s="88"/>
      <c r="BJ558" s="86"/>
      <c r="BK558" s="88"/>
      <c r="BL558" s="86"/>
      <c r="BM558" s="88"/>
      <c r="BN558" s="86"/>
      <c r="BO558" s="88"/>
      <c r="BP558" s="86"/>
      <c r="BQ558" s="88"/>
      <c r="BR558" s="86"/>
      <c r="BS558" s="87"/>
    </row>
    <row r="559" ht="22.5" customHeight="1">
      <c r="A559" s="154"/>
      <c r="B559" s="83"/>
      <c r="C559" s="151"/>
      <c r="D559" s="83"/>
      <c r="E559" s="151"/>
      <c r="F559" s="83"/>
      <c r="G559" s="85"/>
      <c r="H559" s="86"/>
      <c r="I559" s="87"/>
      <c r="J559" s="86"/>
      <c r="K559" s="88"/>
      <c r="L559" s="86"/>
      <c r="M559" s="88"/>
      <c r="N559" s="86"/>
      <c r="O559" s="88"/>
      <c r="P559" s="86"/>
      <c r="Q559" s="88"/>
      <c r="R559" s="86"/>
      <c r="S559" s="88"/>
      <c r="T559" s="86"/>
      <c r="U559" s="88"/>
      <c r="V559" s="86"/>
      <c r="W559" s="88"/>
      <c r="X559" s="86"/>
      <c r="Y559" s="88"/>
      <c r="Z559" s="86"/>
      <c r="AA559" s="88"/>
      <c r="AB559" s="86"/>
      <c r="AC559" s="88"/>
      <c r="AD559" s="86"/>
      <c r="AE559" s="88"/>
      <c r="AF559" s="86"/>
      <c r="AG559" s="88"/>
      <c r="AH559" s="86"/>
      <c r="AI559" s="88"/>
      <c r="AJ559" s="86"/>
      <c r="AK559" s="88"/>
      <c r="AL559" s="86"/>
      <c r="AM559" s="88"/>
      <c r="AN559" s="86"/>
      <c r="AO559" s="88"/>
      <c r="AP559" s="86"/>
      <c r="AQ559" s="88"/>
      <c r="AR559" s="86"/>
      <c r="AS559" s="88"/>
      <c r="AT559" s="86"/>
      <c r="AU559" s="88"/>
      <c r="AV559" s="86"/>
      <c r="AW559" s="88"/>
      <c r="AX559" s="86"/>
      <c r="AY559" s="88"/>
      <c r="AZ559" s="86"/>
      <c r="BA559" s="88"/>
      <c r="BB559" s="86"/>
      <c r="BC559" s="88"/>
      <c r="BD559" s="86"/>
      <c r="BE559" s="88"/>
      <c r="BF559" s="86"/>
      <c r="BG559" s="88"/>
      <c r="BH559" s="86"/>
      <c r="BI559" s="88"/>
      <c r="BJ559" s="86"/>
      <c r="BK559" s="88"/>
      <c r="BL559" s="86"/>
      <c r="BM559" s="88"/>
      <c r="BN559" s="86"/>
      <c r="BO559" s="88"/>
      <c r="BP559" s="86"/>
      <c r="BQ559" s="88"/>
      <c r="BR559" s="86"/>
      <c r="BS559" s="87"/>
    </row>
    <row r="560" ht="22.5" customHeight="1">
      <c r="A560" s="154"/>
      <c r="B560" s="83"/>
      <c r="C560" s="151"/>
      <c r="D560" s="83"/>
      <c r="E560" s="151"/>
      <c r="F560" s="83"/>
      <c r="G560" s="85"/>
      <c r="H560" s="86"/>
      <c r="I560" s="87"/>
      <c r="J560" s="86"/>
      <c r="K560" s="88"/>
      <c r="L560" s="86"/>
      <c r="M560" s="88"/>
      <c r="N560" s="86"/>
      <c r="O560" s="88"/>
      <c r="P560" s="86"/>
      <c r="Q560" s="88"/>
      <c r="R560" s="86"/>
      <c r="S560" s="88"/>
      <c r="T560" s="86"/>
      <c r="U560" s="88"/>
      <c r="V560" s="86"/>
      <c r="W560" s="88"/>
      <c r="X560" s="86"/>
      <c r="Y560" s="88"/>
      <c r="Z560" s="86"/>
      <c r="AA560" s="88"/>
      <c r="AB560" s="86"/>
      <c r="AC560" s="88"/>
      <c r="AD560" s="86"/>
      <c r="AE560" s="88"/>
      <c r="AF560" s="86"/>
      <c r="AG560" s="88"/>
      <c r="AH560" s="86"/>
      <c r="AI560" s="88"/>
      <c r="AJ560" s="86"/>
      <c r="AK560" s="88"/>
      <c r="AL560" s="86"/>
      <c r="AM560" s="88"/>
      <c r="AN560" s="86"/>
      <c r="AO560" s="88"/>
      <c r="AP560" s="86"/>
      <c r="AQ560" s="88"/>
      <c r="AR560" s="86"/>
      <c r="AS560" s="88"/>
      <c r="AT560" s="86"/>
      <c r="AU560" s="88"/>
      <c r="AV560" s="86"/>
      <c r="AW560" s="88"/>
      <c r="AX560" s="86"/>
      <c r="AY560" s="88"/>
      <c r="AZ560" s="86"/>
      <c r="BA560" s="88"/>
      <c r="BB560" s="86"/>
      <c r="BC560" s="88"/>
      <c r="BD560" s="86"/>
      <c r="BE560" s="88"/>
      <c r="BF560" s="86"/>
      <c r="BG560" s="88"/>
      <c r="BH560" s="86"/>
      <c r="BI560" s="88"/>
      <c r="BJ560" s="86"/>
      <c r="BK560" s="88"/>
      <c r="BL560" s="86"/>
      <c r="BM560" s="88"/>
      <c r="BN560" s="86"/>
      <c r="BO560" s="88"/>
      <c r="BP560" s="86"/>
      <c r="BQ560" s="88"/>
      <c r="BR560" s="86"/>
      <c r="BS560" s="87"/>
    </row>
    <row r="561" ht="22.5" customHeight="1">
      <c r="A561" s="154"/>
      <c r="B561" s="83"/>
      <c r="C561" s="151"/>
      <c r="D561" s="83"/>
      <c r="E561" s="151"/>
      <c r="F561" s="83"/>
      <c r="G561" s="85"/>
      <c r="H561" s="86"/>
      <c r="I561" s="87"/>
      <c r="J561" s="86"/>
      <c r="K561" s="88"/>
      <c r="L561" s="86"/>
      <c r="M561" s="88"/>
      <c r="N561" s="86"/>
      <c r="O561" s="88"/>
      <c r="P561" s="86"/>
      <c r="Q561" s="88"/>
      <c r="R561" s="86"/>
      <c r="S561" s="88"/>
      <c r="T561" s="86"/>
      <c r="U561" s="88"/>
      <c r="V561" s="86"/>
      <c r="W561" s="88"/>
      <c r="X561" s="86"/>
      <c r="Y561" s="88"/>
      <c r="Z561" s="86"/>
      <c r="AA561" s="88"/>
      <c r="AB561" s="86"/>
      <c r="AC561" s="88"/>
      <c r="AD561" s="86"/>
      <c r="AE561" s="88"/>
      <c r="AF561" s="86"/>
      <c r="AG561" s="88"/>
      <c r="AH561" s="86"/>
      <c r="AI561" s="88"/>
      <c r="AJ561" s="86"/>
      <c r="AK561" s="88"/>
      <c r="AL561" s="86"/>
      <c r="AM561" s="88"/>
      <c r="AN561" s="86"/>
      <c r="AO561" s="88"/>
      <c r="AP561" s="86"/>
      <c r="AQ561" s="88"/>
      <c r="AR561" s="86"/>
      <c r="AS561" s="88"/>
      <c r="AT561" s="86"/>
      <c r="AU561" s="88"/>
      <c r="AV561" s="86"/>
      <c r="AW561" s="88"/>
      <c r="AX561" s="86"/>
      <c r="AY561" s="88"/>
      <c r="AZ561" s="86"/>
      <c r="BA561" s="88"/>
      <c r="BB561" s="86"/>
      <c r="BC561" s="88"/>
      <c r="BD561" s="86"/>
      <c r="BE561" s="88"/>
      <c r="BF561" s="86"/>
      <c r="BG561" s="88"/>
      <c r="BH561" s="86"/>
      <c r="BI561" s="88"/>
      <c r="BJ561" s="86"/>
      <c r="BK561" s="88"/>
      <c r="BL561" s="86"/>
      <c r="BM561" s="88"/>
      <c r="BN561" s="86"/>
      <c r="BO561" s="88"/>
      <c r="BP561" s="86"/>
      <c r="BQ561" s="88"/>
      <c r="BR561" s="86"/>
      <c r="BS561" s="87"/>
    </row>
    <row r="562" ht="22.5" customHeight="1">
      <c r="A562" s="154"/>
      <c r="B562" s="83"/>
      <c r="C562" s="151"/>
      <c r="D562" s="83"/>
      <c r="E562" s="151"/>
      <c r="F562" s="83"/>
      <c r="G562" s="85"/>
      <c r="H562" s="86"/>
      <c r="I562" s="87"/>
      <c r="J562" s="86"/>
      <c r="K562" s="88"/>
      <c r="L562" s="86"/>
      <c r="M562" s="88"/>
      <c r="N562" s="86"/>
      <c r="O562" s="88"/>
      <c r="P562" s="86"/>
      <c r="Q562" s="88"/>
      <c r="R562" s="86"/>
      <c r="S562" s="88"/>
      <c r="T562" s="86"/>
      <c r="U562" s="88"/>
      <c r="V562" s="86"/>
      <c r="W562" s="88"/>
      <c r="X562" s="86"/>
      <c r="Y562" s="88"/>
      <c r="Z562" s="86"/>
      <c r="AA562" s="88"/>
      <c r="AB562" s="86"/>
      <c r="AC562" s="88"/>
      <c r="AD562" s="86"/>
      <c r="AE562" s="88"/>
      <c r="AF562" s="86"/>
      <c r="AG562" s="88"/>
      <c r="AH562" s="86"/>
      <c r="AI562" s="88"/>
      <c r="AJ562" s="86"/>
      <c r="AK562" s="88"/>
      <c r="AL562" s="86"/>
      <c r="AM562" s="88"/>
      <c r="AN562" s="86"/>
      <c r="AO562" s="88"/>
      <c r="AP562" s="86"/>
      <c r="AQ562" s="88"/>
      <c r="AR562" s="86"/>
      <c r="AS562" s="88"/>
      <c r="AT562" s="86"/>
      <c r="AU562" s="88"/>
      <c r="AV562" s="86"/>
      <c r="AW562" s="88"/>
      <c r="AX562" s="86"/>
      <c r="AY562" s="88"/>
      <c r="AZ562" s="86"/>
      <c r="BA562" s="88"/>
      <c r="BB562" s="86"/>
      <c r="BC562" s="88"/>
      <c r="BD562" s="86"/>
      <c r="BE562" s="88"/>
      <c r="BF562" s="86"/>
      <c r="BG562" s="88"/>
      <c r="BH562" s="86"/>
      <c r="BI562" s="88"/>
      <c r="BJ562" s="86"/>
      <c r="BK562" s="88"/>
      <c r="BL562" s="86"/>
      <c r="BM562" s="88"/>
      <c r="BN562" s="86"/>
      <c r="BO562" s="88"/>
      <c r="BP562" s="86"/>
      <c r="BQ562" s="88"/>
      <c r="BR562" s="86"/>
      <c r="BS562" s="87"/>
    </row>
    <row r="563" ht="22.5" customHeight="1">
      <c r="A563" s="154"/>
      <c r="B563" s="83"/>
      <c r="C563" s="151"/>
      <c r="D563" s="83"/>
      <c r="E563" s="151"/>
      <c r="F563" s="83"/>
      <c r="G563" s="85"/>
      <c r="H563" s="86"/>
      <c r="I563" s="87"/>
      <c r="J563" s="86"/>
      <c r="K563" s="88"/>
      <c r="L563" s="86"/>
      <c r="M563" s="88"/>
      <c r="N563" s="86"/>
      <c r="O563" s="88"/>
      <c r="P563" s="86"/>
      <c r="Q563" s="88"/>
      <c r="R563" s="86"/>
      <c r="S563" s="88"/>
      <c r="T563" s="86"/>
      <c r="U563" s="88"/>
      <c r="V563" s="86"/>
      <c r="W563" s="88"/>
      <c r="X563" s="86"/>
      <c r="Y563" s="88"/>
      <c r="Z563" s="86"/>
      <c r="AA563" s="88"/>
      <c r="AB563" s="86"/>
      <c r="AC563" s="88"/>
      <c r="AD563" s="86"/>
      <c r="AE563" s="88"/>
      <c r="AF563" s="86"/>
      <c r="AG563" s="88"/>
      <c r="AH563" s="86"/>
      <c r="AI563" s="88"/>
      <c r="AJ563" s="86"/>
      <c r="AK563" s="88"/>
      <c r="AL563" s="86"/>
      <c r="AM563" s="88"/>
      <c r="AN563" s="86"/>
      <c r="AO563" s="88"/>
      <c r="AP563" s="86"/>
      <c r="AQ563" s="88"/>
      <c r="AR563" s="86"/>
      <c r="AS563" s="88"/>
      <c r="AT563" s="86"/>
      <c r="AU563" s="88"/>
      <c r="AV563" s="86"/>
      <c r="AW563" s="88"/>
      <c r="AX563" s="86"/>
      <c r="AY563" s="88"/>
      <c r="AZ563" s="86"/>
      <c r="BA563" s="88"/>
      <c r="BB563" s="86"/>
      <c r="BC563" s="88"/>
      <c r="BD563" s="86"/>
      <c r="BE563" s="88"/>
      <c r="BF563" s="86"/>
      <c r="BG563" s="88"/>
      <c r="BH563" s="86"/>
      <c r="BI563" s="88"/>
      <c r="BJ563" s="86"/>
      <c r="BK563" s="88"/>
      <c r="BL563" s="86"/>
      <c r="BM563" s="88"/>
      <c r="BN563" s="86"/>
      <c r="BO563" s="88"/>
      <c r="BP563" s="86"/>
      <c r="BQ563" s="88"/>
      <c r="BR563" s="86"/>
      <c r="BS563" s="87"/>
    </row>
    <row r="564" ht="22.5" customHeight="1">
      <c r="A564" s="154"/>
      <c r="B564" s="83"/>
      <c r="C564" s="151"/>
      <c r="D564" s="83"/>
      <c r="E564" s="151"/>
      <c r="F564" s="83"/>
      <c r="G564" s="85"/>
      <c r="H564" s="86"/>
      <c r="I564" s="87"/>
      <c r="J564" s="86"/>
      <c r="K564" s="88"/>
      <c r="L564" s="86"/>
      <c r="M564" s="88"/>
      <c r="N564" s="86"/>
      <c r="O564" s="88"/>
      <c r="P564" s="86"/>
      <c r="Q564" s="88"/>
      <c r="R564" s="86"/>
      <c r="S564" s="88"/>
      <c r="T564" s="86"/>
      <c r="U564" s="88"/>
      <c r="V564" s="86"/>
      <c r="W564" s="88"/>
      <c r="X564" s="86"/>
      <c r="Y564" s="88"/>
      <c r="Z564" s="86"/>
      <c r="AA564" s="88"/>
      <c r="AB564" s="86"/>
      <c r="AC564" s="88"/>
      <c r="AD564" s="86"/>
      <c r="AE564" s="88"/>
      <c r="AF564" s="86"/>
      <c r="AG564" s="88"/>
      <c r="AH564" s="86"/>
      <c r="AI564" s="88"/>
      <c r="AJ564" s="86"/>
      <c r="AK564" s="88"/>
      <c r="AL564" s="86"/>
      <c r="AM564" s="88"/>
      <c r="AN564" s="86"/>
      <c r="AO564" s="88"/>
      <c r="AP564" s="86"/>
      <c r="AQ564" s="88"/>
      <c r="AR564" s="86"/>
      <c r="AS564" s="88"/>
      <c r="AT564" s="86"/>
      <c r="AU564" s="88"/>
      <c r="AV564" s="86"/>
      <c r="AW564" s="88"/>
      <c r="AX564" s="86"/>
      <c r="AY564" s="88"/>
      <c r="AZ564" s="86"/>
      <c r="BA564" s="88"/>
      <c r="BB564" s="86"/>
      <c r="BC564" s="88"/>
      <c r="BD564" s="86"/>
      <c r="BE564" s="88"/>
      <c r="BF564" s="86"/>
      <c r="BG564" s="88"/>
      <c r="BH564" s="86"/>
      <c r="BI564" s="88"/>
      <c r="BJ564" s="86"/>
      <c r="BK564" s="88"/>
      <c r="BL564" s="86"/>
      <c r="BM564" s="88"/>
      <c r="BN564" s="86"/>
      <c r="BO564" s="88"/>
      <c r="BP564" s="86"/>
      <c r="BQ564" s="88"/>
      <c r="BR564" s="86"/>
      <c r="BS564" s="87"/>
    </row>
    <row r="565" ht="22.5" customHeight="1">
      <c r="A565" s="154"/>
      <c r="B565" s="83"/>
      <c r="C565" s="151"/>
      <c r="D565" s="83"/>
      <c r="E565" s="151"/>
      <c r="F565" s="83"/>
      <c r="G565" s="85"/>
      <c r="H565" s="86"/>
      <c r="I565" s="87"/>
      <c r="J565" s="86"/>
      <c r="K565" s="88"/>
      <c r="L565" s="86"/>
      <c r="M565" s="88"/>
      <c r="N565" s="86"/>
      <c r="O565" s="88"/>
      <c r="P565" s="86"/>
      <c r="Q565" s="88"/>
      <c r="R565" s="86"/>
      <c r="S565" s="88"/>
      <c r="T565" s="86"/>
      <c r="U565" s="88"/>
      <c r="V565" s="86"/>
      <c r="W565" s="88"/>
      <c r="X565" s="86"/>
      <c r="Y565" s="88"/>
      <c r="Z565" s="86"/>
      <c r="AA565" s="88"/>
      <c r="AB565" s="86"/>
      <c r="AC565" s="88"/>
      <c r="AD565" s="86"/>
      <c r="AE565" s="88"/>
      <c r="AF565" s="86"/>
      <c r="AG565" s="88"/>
      <c r="AH565" s="86"/>
      <c r="AI565" s="88"/>
      <c r="AJ565" s="86"/>
      <c r="AK565" s="88"/>
      <c r="AL565" s="86"/>
      <c r="AM565" s="88"/>
      <c r="AN565" s="86"/>
      <c r="AO565" s="88"/>
      <c r="AP565" s="86"/>
      <c r="AQ565" s="88"/>
      <c r="AR565" s="86"/>
      <c r="AS565" s="88"/>
      <c r="AT565" s="86"/>
      <c r="AU565" s="88"/>
      <c r="AV565" s="86"/>
      <c r="AW565" s="88"/>
      <c r="AX565" s="86"/>
      <c r="AY565" s="88"/>
      <c r="AZ565" s="86"/>
      <c r="BA565" s="88"/>
      <c r="BB565" s="86"/>
      <c r="BC565" s="88"/>
      <c r="BD565" s="86"/>
      <c r="BE565" s="88"/>
      <c r="BF565" s="86"/>
      <c r="BG565" s="88"/>
      <c r="BH565" s="86"/>
      <c r="BI565" s="88"/>
      <c r="BJ565" s="86"/>
      <c r="BK565" s="88"/>
      <c r="BL565" s="86"/>
      <c r="BM565" s="88"/>
      <c r="BN565" s="86"/>
      <c r="BO565" s="88"/>
      <c r="BP565" s="86"/>
      <c r="BQ565" s="88"/>
      <c r="BR565" s="86"/>
      <c r="BS565" s="87"/>
    </row>
    <row r="566" ht="22.5" customHeight="1">
      <c r="A566" s="154"/>
      <c r="B566" s="83"/>
      <c r="C566" s="151"/>
      <c r="D566" s="83"/>
      <c r="E566" s="151"/>
      <c r="F566" s="83"/>
      <c r="G566" s="85"/>
      <c r="H566" s="86"/>
      <c r="I566" s="87"/>
      <c r="J566" s="86"/>
      <c r="K566" s="88"/>
      <c r="L566" s="86"/>
      <c r="M566" s="88"/>
      <c r="N566" s="86"/>
      <c r="O566" s="88"/>
      <c r="P566" s="86"/>
      <c r="Q566" s="88"/>
      <c r="R566" s="86"/>
      <c r="S566" s="88"/>
      <c r="T566" s="86"/>
      <c r="U566" s="88"/>
      <c r="V566" s="86"/>
      <c r="W566" s="88"/>
      <c r="X566" s="86"/>
      <c r="Y566" s="88"/>
      <c r="Z566" s="86"/>
      <c r="AA566" s="88"/>
      <c r="AB566" s="86"/>
      <c r="AC566" s="88"/>
      <c r="AD566" s="86"/>
      <c r="AE566" s="88"/>
      <c r="AF566" s="86"/>
      <c r="AG566" s="88"/>
      <c r="AH566" s="86"/>
      <c r="AI566" s="88"/>
      <c r="AJ566" s="86"/>
      <c r="AK566" s="88"/>
      <c r="AL566" s="86"/>
      <c r="AM566" s="88"/>
      <c r="AN566" s="86"/>
      <c r="AO566" s="88"/>
      <c r="AP566" s="86"/>
      <c r="AQ566" s="88"/>
      <c r="AR566" s="86"/>
      <c r="AS566" s="88"/>
      <c r="AT566" s="86"/>
      <c r="AU566" s="88"/>
      <c r="AV566" s="86"/>
      <c r="AW566" s="88"/>
      <c r="AX566" s="86"/>
      <c r="AY566" s="88"/>
      <c r="AZ566" s="86"/>
      <c r="BA566" s="88"/>
      <c r="BB566" s="86"/>
      <c r="BC566" s="88"/>
      <c r="BD566" s="86"/>
      <c r="BE566" s="88"/>
      <c r="BF566" s="86"/>
      <c r="BG566" s="88"/>
      <c r="BH566" s="86"/>
      <c r="BI566" s="88"/>
      <c r="BJ566" s="86"/>
      <c r="BK566" s="88"/>
      <c r="BL566" s="86"/>
      <c r="BM566" s="88"/>
      <c r="BN566" s="86"/>
      <c r="BO566" s="88"/>
      <c r="BP566" s="86"/>
      <c r="BQ566" s="88"/>
      <c r="BR566" s="86"/>
      <c r="BS566" s="87"/>
    </row>
    <row r="567" ht="22.5" customHeight="1">
      <c r="A567" s="154"/>
      <c r="B567" s="83"/>
      <c r="C567" s="151"/>
      <c r="D567" s="83"/>
      <c r="E567" s="151"/>
      <c r="F567" s="83"/>
      <c r="G567" s="85"/>
      <c r="H567" s="86"/>
      <c r="I567" s="87"/>
      <c r="J567" s="86"/>
      <c r="K567" s="88"/>
      <c r="L567" s="86"/>
      <c r="M567" s="88"/>
      <c r="N567" s="86"/>
      <c r="O567" s="88"/>
      <c r="P567" s="86"/>
      <c r="Q567" s="88"/>
      <c r="R567" s="86"/>
      <c r="S567" s="88"/>
      <c r="T567" s="86"/>
      <c r="U567" s="88"/>
      <c r="V567" s="86"/>
      <c r="W567" s="88"/>
      <c r="X567" s="86"/>
      <c r="Y567" s="88"/>
      <c r="Z567" s="86"/>
      <c r="AA567" s="88"/>
      <c r="AB567" s="86"/>
      <c r="AC567" s="88"/>
      <c r="AD567" s="86"/>
      <c r="AE567" s="88"/>
      <c r="AF567" s="86"/>
      <c r="AG567" s="88"/>
      <c r="AH567" s="86"/>
      <c r="AI567" s="88"/>
      <c r="AJ567" s="86"/>
      <c r="AK567" s="88"/>
      <c r="AL567" s="86"/>
      <c r="AM567" s="88"/>
      <c r="AN567" s="86"/>
      <c r="AO567" s="88"/>
      <c r="AP567" s="86"/>
      <c r="AQ567" s="88"/>
      <c r="AR567" s="86"/>
      <c r="AS567" s="88"/>
      <c r="AT567" s="86"/>
      <c r="AU567" s="88"/>
      <c r="AV567" s="86"/>
      <c r="AW567" s="88"/>
      <c r="AX567" s="86"/>
      <c r="AY567" s="88"/>
      <c r="AZ567" s="86"/>
      <c r="BA567" s="88"/>
      <c r="BB567" s="86"/>
      <c r="BC567" s="88"/>
      <c r="BD567" s="86"/>
      <c r="BE567" s="88"/>
      <c r="BF567" s="86"/>
      <c r="BG567" s="88"/>
      <c r="BH567" s="86"/>
      <c r="BI567" s="88"/>
      <c r="BJ567" s="86"/>
      <c r="BK567" s="88"/>
      <c r="BL567" s="86"/>
      <c r="BM567" s="88"/>
      <c r="BN567" s="86"/>
      <c r="BO567" s="88"/>
      <c r="BP567" s="86"/>
      <c r="BQ567" s="88"/>
      <c r="BR567" s="86"/>
      <c r="BS567" s="87"/>
    </row>
    <row r="568" ht="22.5" customHeight="1">
      <c r="A568" s="154"/>
      <c r="B568" s="83"/>
      <c r="C568" s="151"/>
      <c r="D568" s="83"/>
      <c r="E568" s="151"/>
      <c r="F568" s="83"/>
      <c r="G568" s="85"/>
      <c r="H568" s="86"/>
      <c r="I568" s="87"/>
      <c r="J568" s="86"/>
      <c r="K568" s="88"/>
      <c r="L568" s="86"/>
      <c r="M568" s="88"/>
      <c r="N568" s="86"/>
      <c r="O568" s="88"/>
      <c r="P568" s="86"/>
      <c r="Q568" s="88"/>
      <c r="R568" s="86"/>
      <c r="S568" s="88"/>
      <c r="T568" s="86"/>
      <c r="U568" s="88"/>
      <c r="V568" s="86"/>
      <c r="W568" s="88"/>
      <c r="X568" s="86"/>
      <c r="Y568" s="88"/>
      <c r="Z568" s="86"/>
      <c r="AA568" s="88"/>
      <c r="AB568" s="86"/>
      <c r="AC568" s="88"/>
      <c r="AD568" s="86"/>
      <c r="AE568" s="88"/>
      <c r="AF568" s="86"/>
      <c r="AG568" s="88"/>
      <c r="AH568" s="86"/>
      <c r="AI568" s="88"/>
      <c r="AJ568" s="86"/>
      <c r="AK568" s="88"/>
      <c r="AL568" s="86"/>
      <c r="AM568" s="88"/>
      <c r="AN568" s="86"/>
      <c r="AO568" s="88"/>
      <c r="AP568" s="86"/>
      <c r="AQ568" s="88"/>
      <c r="AR568" s="86"/>
      <c r="AS568" s="88"/>
      <c r="AT568" s="86"/>
      <c r="AU568" s="88"/>
      <c r="AV568" s="86"/>
      <c r="AW568" s="88"/>
      <c r="AX568" s="86"/>
      <c r="AY568" s="88"/>
      <c r="AZ568" s="86"/>
      <c r="BA568" s="88"/>
      <c r="BB568" s="86"/>
      <c r="BC568" s="88"/>
      <c r="BD568" s="86"/>
      <c r="BE568" s="88"/>
      <c r="BF568" s="86"/>
      <c r="BG568" s="88"/>
      <c r="BH568" s="86"/>
      <c r="BI568" s="88"/>
      <c r="BJ568" s="86"/>
      <c r="BK568" s="88"/>
      <c r="BL568" s="86"/>
      <c r="BM568" s="88"/>
      <c r="BN568" s="86"/>
      <c r="BO568" s="88"/>
      <c r="BP568" s="86"/>
      <c r="BQ568" s="88"/>
      <c r="BR568" s="86"/>
      <c r="BS568" s="87"/>
    </row>
    <row r="569" ht="22.5" customHeight="1">
      <c r="A569" s="154"/>
      <c r="B569" s="83"/>
      <c r="C569" s="151"/>
      <c r="D569" s="83"/>
      <c r="E569" s="151"/>
      <c r="F569" s="83"/>
      <c r="G569" s="85"/>
      <c r="H569" s="86"/>
      <c r="I569" s="87"/>
      <c r="J569" s="86"/>
      <c r="K569" s="88"/>
      <c r="L569" s="86"/>
      <c r="M569" s="88"/>
      <c r="N569" s="86"/>
      <c r="O569" s="88"/>
      <c r="P569" s="86"/>
      <c r="Q569" s="88"/>
      <c r="R569" s="86"/>
      <c r="S569" s="88"/>
      <c r="T569" s="86"/>
      <c r="U569" s="88"/>
      <c r="V569" s="86"/>
      <c r="W569" s="88"/>
      <c r="X569" s="86"/>
      <c r="Y569" s="88"/>
      <c r="Z569" s="86"/>
      <c r="AA569" s="88"/>
      <c r="AB569" s="86"/>
      <c r="AC569" s="88"/>
      <c r="AD569" s="86"/>
      <c r="AE569" s="88"/>
      <c r="AF569" s="86"/>
      <c r="AG569" s="88"/>
      <c r="AH569" s="86"/>
      <c r="AI569" s="88"/>
      <c r="AJ569" s="86"/>
      <c r="AK569" s="88"/>
      <c r="AL569" s="86"/>
      <c r="AM569" s="88"/>
      <c r="AN569" s="86"/>
      <c r="AO569" s="88"/>
      <c r="AP569" s="86"/>
      <c r="AQ569" s="88"/>
      <c r="AR569" s="86"/>
      <c r="AS569" s="88"/>
      <c r="AT569" s="86"/>
      <c r="AU569" s="88"/>
      <c r="AV569" s="86"/>
      <c r="AW569" s="88"/>
      <c r="AX569" s="86"/>
      <c r="AY569" s="88"/>
      <c r="AZ569" s="86"/>
      <c r="BA569" s="88"/>
      <c r="BB569" s="86"/>
      <c r="BC569" s="88"/>
      <c r="BD569" s="86"/>
      <c r="BE569" s="88"/>
      <c r="BF569" s="86"/>
      <c r="BG569" s="88"/>
      <c r="BH569" s="86"/>
      <c r="BI569" s="88"/>
      <c r="BJ569" s="86"/>
      <c r="BK569" s="88"/>
      <c r="BL569" s="86"/>
      <c r="BM569" s="88"/>
      <c r="BN569" s="86"/>
      <c r="BO569" s="88"/>
      <c r="BP569" s="86"/>
      <c r="BQ569" s="88"/>
      <c r="BR569" s="86"/>
      <c r="BS569" s="87"/>
    </row>
    <row r="570" ht="22.5" customHeight="1">
      <c r="A570" s="154"/>
      <c r="B570" s="83"/>
      <c r="C570" s="151"/>
      <c r="D570" s="83"/>
      <c r="E570" s="151"/>
      <c r="F570" s="83"/>
      <c r="G570" s="85"/>
      <c r="H570" s="86"/>
      <c r="I570" s="87"/>
      <c r="J570" s="86"/>
      <c r="K570" s="88"/>
      <c r="L570" s="86"/>
      <c r="M570" s="88"/>
      <c r="N570" s="86"/>
      <c r="O570" s="88"/>
      <c r="P570" s="86"/>
      <c r="Q570" s="88"/>
      <c r="R570" s="86"/>
      <c r="S570" s="88"/>
      <c r="T570" s="86"/>
      <c r="U570" s="88"/>
      <c r="V570" s="86"/>
      <c r="W570" s="88"/>
      <c r="X570" s="86"/>
      <c r="Y570" s="88"/>
      <c r="Z570" s="86"/>
      <c r="AA570" s="88"/>
      <c r="AB570" s="86"/>
      <c r="AC570" s="88"/>
      <c r="AD570" s="86"/>
      <c r="AE570" s="88"/>
      <c r="AF570" s="86"/>
      <c r="AG570" s="88"/>
      <c r="AH570" s="86"/>
      <c r="AI570" s="88"/>
      <c r="AJ570" s="86"/>
      <c r="AK570" s="88"/>
      <c r="AL570" s="86"/>
      <c r="AM570" s="88"/>
      <c r="AN570" s="86"/>
      <c r="AO570" s="88"/>
      <c r="AP570" s="86"/>
      <c r="AQ570" s="88"/>
      <c r="AR570" s="86"/>
      <c r="AS570" s="88"/>
      <c r="AT570" s="86"/>
      <c r="AU570" s="88"/>
      <c r="AV570" s="86"/>
      <c r="AW570" s="88"/>
      <c r="AX570" s="86"/>
      <c r="AY570" s="88"/>
      <c r="AZ570" s="86"/>
      <c r="BA570" s="88"/>
      <c r="BB570" s="86"/>
      <c r="BC570" s="88"/>
      <c r="BD570" s="86"/>
      <c r="BE570" s="88"/>
      <c r="BF570" s="86"/>
      <c r="BG570" s="88"/>
      <c r="BH570" s="86"/>
      <c r="BI570" s="88"/>
      <c r="BJ570" s="86"/>
      <c r="BK570" s="88"/>
      <c r="BL570" s="86"/>
      <c r="BM570" s="88"/>
      <c r="BN570" s="86"/>
      <c r="BO570" s="88"/>
      <c r="BP570" s="86"/>
      <c r="BQ570" s="88"/>
      <c r="BR570" s="86"/>
      <c r="BS570" s="87"/>
    </row>
    <row r="571" ht="22.5" customHeight="1">
      <c r="A571" s="154"/>
      <c r="B571" s="83"/>
      <c r="C571" s="151"/>
      <c r="D571" s="83"/>
      <c r="E571" s="151"/>
      <c r="F571" s="83"/>
      <c r="G571" s="85"/>
      <c r="H571" s="86"/>
      <c r="I571" s="87"/>
      <c r="J571" s="86"/>
      <c r="K571" s="88"/>
      <c r="L571" s="86"/>
      <c r="M571" s="88"/>
      <c r="N571" s="86"/>
      <c r="O571" s="88"/>
      <c r="P571" s="86"/>
      <c r="Q571" s="88"/>
      <c r="R571" s="86"/>
      <c r="S571" s="88"/>
      <c r="T571" s="86"/>
      <c r="U571" s="88"/>
      <c r="V571" s="86"/>
      <c r="W571" s="88"/>
      <c r="X571" s="86"/>
      <c r="Y571" s="88"/>
      <c r="Z571" s="86"/>
      <c r="AA571" s="88"/>
      <c r="AB571" s="86"/>
      <c r="AC571" s="88"/>
      <c r="AD571" s="86"/>
      <c r="AE571" s="88"/>
      <c r="AF571" s="86"/>
      <c r="AG571" s="88"/>
      <c r="AH571" s="86"/>
      <c r="AI571" s="88"/>
      <c r="AJ571" s="86"/>
      <c r="AK571" s="88"/>
      <c r="AL571" s="86"/>
      <c r="AM571" s="88"/>
      <c r="AN571" s="86"/>
      <c r="AO571" s="88"/>
      <c r="AP571" s="86"/>
      <c r="AQ571" s="88"/>
      <c r="AR571" s="86"/>
      <c r="AS571" s="88"/>
      <c r="AT571" s="86"/>
      <c r="AU571" s="88"/>
      <c r="AV571" s="86"/>
      <c r="AW571" s="88"/>
      <c r="AX571" s="86"/>
      <c r="AY571" s="88"/>
      <c r="AZ571" s="86"/>
      <c r="BA571" s="88"/>
      <c r="BB571" s="86"/>
      <c r="BC571" s="88"/>
      <c r="BD571" s="86"/>
      <c r="BE571" s="88"/>
      <c r="BF571" s="86"/>
      <c r="BG571" s="88"/>
      <c r="BH571" s="86"/>
      <c r="BI571" s="88"/>
      <c r="BJ571" s="86"/>
      <c r="BK571" s="88"/>
      <c r="BL571" s="86"/>
      <c r="BM571" s="88"/>
      <c r="BN571" s="86"/>
      <c r="BO571" s="88"/>
      <c r="BP571" s="86"/>
      <c r="BQ571" s="88"/>
      <c r="BR571" s="86"/>
      <c r="BS571" s="87"/>
    </row>
    <row r="572" ht="22.5" customHeight="1">
      <c r="A572" s="154"/>
      <c r="B572" s="83"/>
      <c r="C572" s="151"/>
      <c r="D572" s="83"/>
      <c r="E572" s="151"/>
      <c r="F572" s="83"/>
      <c r="G572" s="85"/>
      <c r="H572" s="86"/>
      <c r="I572" s="87"/>
      <c r="J572" s="86"/>
      <c r="K572" s="88"/>
      <c r="L572" s="86"/>
      <c r="M572" s="88"/>
      <c r="N572" s="86"/>
      <c r="O572" s="88"/>
      <c r="P572" s="86"/>
      <c r="Q572" s="88"/>
      <c r="R572" s="86"/>
      <c r="S572" s="88"/>
      <c r="T572" s="86"/>
      <c r="U572" s="88"/>
      <c r="V572" s="86"/>
      <c r="W572" s="88"/>
      <c r="X572" s="86"/>
      <c r="Y572" s="88"/>
      <c r="Z572" s="86"/>
      <c r="AA572" s="88"/>
      <c r="AB572" s="86"/>
      <c r="AC572" s="88"/>
      <c r="AD572" s="86"/>
      <c r="AE572" s="88"/>
      <c r="AF572" s="86"/>
      <c r="AG572" s="88"/>
      <c r="AH572" s="86"/>
      <c r="AI572" s="88"/>
      <c r="AJ572" s="86"/>
      <c r="AK572" s="88"/>
      <c r="AL572" s="86"/>
      <c r="AM572" s="88"/>
      <c r="AN572" s="86"/>
      <c r="AO572" s="88"/>
      <c r="AP572" s="86"/>
      <c r="AQ572" s="88"/>
      <c r="AR572" s="86"/>
      <c r="AS572" s="88"/>
      <c r="AT572" s="86"/>
      <c r="AU572" s="88"/>
      <c r="AV572" s="86"/>
      <c r="AW572" s="88"/>
      <c r="AX572" s="86"/>
      <c r="AY572" s="88"/>
      <c r="AZ572" s="86"/>
      <c r="BA572" s="88"/>
      <c r="BB572" s="86"/>
      <c r="BC572" s="88"/>
      <c r="BD572" s="86"/>
      <c r="BE572" s="88"/>
      <c r="BF572" s="86"/>
      <c r="BG572" s="88"/>
      <c r="BH572" s="86"/>
      <c r="BI572" s="88"/>
      <c r="BJ572" s="86"/>
      <c r="BK572" s="88"/>
      <c r="BL572" s="86"/>
      <c r="BM572" s="88"/>
      <c r="BN572" s="86"/>
      <c r="BO572" s="88"/>
      <c r="BP572" s="86"/>
      <c r="BQ572" s="88"/>
      <c r="BR572" s="86"/>
      <c r="BS572" s="87"/>
    </row>
    <row r="573" ht="22.5" customHeight="1">
      <c r="A573" s="154"/>
      <c r="B573" s="83"/>
      <c r="C573" s="151"/>
      <c r="D573" s="83"/>
      <c r="E573" s="151"/>
      <c r="F573" s="83"/>
      <c r="G573" s="85"/>
      <c r="H573" s="86"/>
      <c r="I573" s="87"/>
      <c r="J573" s="86"/>
      <c r="K573" s="88"/>
      <c r="L573" s="86"/>
      <c r="M573" s="88"/>
      <c r="N573" s="86"/>
      <c r="O573" s="88"/>
      <c r="P573" s="86"/>
      <c r="Q573" s="88"/>
      <c r="R573" s="86"/>
      <c r="S573" s="88"/>
      <c r="T573" s="86"/>
      <c r="U573" s="88"/>
      <c r="V573" s="86"/>
      <c r="W573" s="88"/>
      <c r="X573" s="86"/>
      <c r="Y573" s="88"/>
      <c r="Z573" s="86"/>
      <c r="AA573" s="88"/>
      <c r="AB573" s="86"/>
      <c r="AC573" s="88"/>
      <c r="AD573" s="86"/>
      <c r="AE573" s="88"/>
      <c r="AF573" s="86"/>
      <c r="AG573" s="88"/>
      <c r="AH573" s="86"/>
      <c r="AI573" s="88"/>
      <c r="AJ573" s="86"/>
      <c r="AK573" s="88"/>
      <c r="AL573" s="86"/>
      <c r="AM573" s="88"/>
      <c r="AN573" s="86"/>
      <c r="AO573" s="88"/>
      <c r="AP573" s="86"/>
      <c r="AQ573" s="88"/>
      <c r="AR573" s="86"/>
      <c r="AS573" s="88"/>
      <c r="AT573" s="86"/>
      <c r="AU573" s="88"/>
      <c r="AV573" s="86"/>
      <c r="AW573" s="88"/>
      <c r="AX573" s="86"/>
      <c r="AY573" s="88"/>
      <c r="AZ573" s="86"/>
      <c r="BA573" s="88"/>
      <c r="BB573" s="86"/>
      <c r="BC573" s="88"/>
      <c r="BD573" s="86"/>
      <c r="BE573" s="88"/>
      <c r="BF573" s="86"/>
      <c r="BG573" s="88"/>
      <c r="BH573" s="86"/>
      <c r="BI573" s="88"/>
      <c r="BJ573" s="86"/>
      <c r="BK573" s="88"/>
      <c r="BL573" s="86"/>
      <c r="BM573" s="88"/>
      <c r="BN573" s="86"/>
      <c r="BO573" s="88"/>
      <c r="BP573" s="86"/>
      <c r="BQ573" s="88"/>
      <c r="BR573" s="86"/>
      <c r="BS573" s="87"/>
    </row>
    <row r="574" ht="22.5" customHeight="1">
      <c r="A574" s="154"/>
      <c r="B574" s="83"/>
      <c r="C574" s="151"/>
      <c r="D574" s="83"/>
      <c r="E574" s="151"/>
      <c r="F574" s="83"/>
      <c r="G574" s="85"/>
      <c r="H574" s="86"/>
      <c r="I574" s="87"/>
      <c r="J574" s="86"/>
      <c r="K574" s="88"/>
      <c r="L574" s="86"/>
      <c r="M574" s="88"/>
      <c r="N574" s="86"/>
      <c r="O574" s="88"/>
      <c r="P574" s="86"/>
      <c r="Q574" s="88"/>
      <c r="R574" s="86"/>
      <c r="S574" s="88"/>
      <c r="T574" s="86"/>
      <c r="U574" s="88"/>
      <c r="V574" s="86"/>
      <c r="W574" s="88"/>
      <c r="X574" s="86"/>
      <c r="Y574" s="88"/>
      <c r="Z574" s="86"/>
      <c r="AA574" s="88"/>
      <c r="AB574" s="86"/>
      <c r="AC574" s="88"/>
      <c r="AD574" s="86"/>
      <c r="AE574" s="88"/>
      <c r="AF574" s="86"/>
      <c r="AG574" s="88"/>
      <c r="AH574" s="86"/>
      <c r="AI574" s="88"/>
      <c r="AJ574" s="86"/>
      <c r="AK574" s="88"/>
      <c r="AL574" s="86"/>
      <c r="AM574" s="88"/>
      <c r="AN574" s="86"/>
      <c r="AO574" s="88"/>
      <c r="AP574" s="86"/>
      <c r="AQ574" s="88"/>
      <c r="AR574" s="86"/>
      <c r="AS574" s="88"/>
      <c r="AT574" s="86"/>
      <c r="AU574" s="88"/>
      <c r="AV574" s="86"/>
      <c r="AW574" s="88"/>
      <c r="AX574" s="86"/>
      <c r="AY574" s="88"/>
      <c r="AZ574" s="86"/>
      <c r="BA574" s="88"/>
      <c r="BB574" s="86"/>
      <c r="BC574" s="88"/>
      <c r="BD574" s="86"/>
      <c r="BE574" s="88"/>
      <c r="BF574" s="86"/>
      <c r="BG574" s="88"/>
      <c r="BH574" s="86"/>
      <c r="BI574" s="88"/>
      <c r="BJ574" s="86"/>
      <c r="BK574" s="88"/>
      <c r="BL574" s="86"/>
      <c r="BM574" s="88"/>
      <c r="BN574" s="86"/>
      <c r="BO574" s="88"/>
      <c r="BP574" s="86"/>
      <c r="BQ574" s="88"/>
      <c r="BR574" s="86"/>
      <c r="BS574" s="87"/>
    </row>
    <row r="575" ht="22.5" customHeight="1">
      <c r="A575" s="154"/>
      <c r="B575" s="83"/>
      <c r="C575" s="151"/>
      <c r="D575" s="83"/>
      <c r="E575" s="151"/>
      <c r="F575" s="83"/>
      <c r="G575" s="85"/>
      <c r="H575" s="86"/>
      <c r="I575" s="87"/>
      <c r="J575" s="86"/>
      <c r="K575" s="88"/>
      <c r="L575" s="86"/>
      <c r="M575" s="88"/>
      <c r="N575" s="86"/>
      <c r="O575" s="88"/>
      <c r="P575" s="86"/>
      <c r="Q575" s="88"/>
      <c r="R575" s="86"/>
      <c r="S575" s="88"/>
      <c r="T575" s="86"/>
      <c r="U575" s="88"/>
      <c r="V575" s="86"/>
      <c r="W575" s="88"/>
      <c r="X575" s="86"/>
      <c r="Y575" s="88"/>
      <c r="Z575" s="86"/>
      <c r="AA575" s="88"/>
      <c r="AB575" s="86"/>
      <c r="AC575" s="88"/>
      <c r="AD575" s="86"/>
      <c r="AE575" s="88"/>
      <c r="AF575" s="86"/>
      <c r="AG575" s="88"/>
      <c r="AH575" s="86"/>
      <c r="AI575" s="88"/>
      <c r="AJ575" s="86"/>
      <c r="AK575" s="88"/>
      <c r="AL575" s="86"/>
      <c r="AM575" s="88"/>
      <c r="AN575" s="86"/>
      <c r="AO575" s="88"/>
      <c r="AP575" s="86"/>
      <c r="AQ575" s="88"/>
      <c r="AR575" s="86"/>
      <c r="AS575" s="88"/>
      <c r="AT575" s="86"/>
      <c r="AU575" s="88"/>
      <c r="AV575" s="86"/>
      <c r="AW575" s="88"/>
      <c r="AX575" s="86"/>
      <c r="AY575" s="88"/>
      <c r="AZ575" s="86"/>
      <c r="BA575" s="88"/>
      <c r="BB575" s="86"/>
      <c r="BC575" s="88"/>
      <c r="BD575" s="86"/>
      <c r="BE575" s="88"/>
      <c r="BF575" s="86"/>
      <c r="BG575" s="88"/>
      <c r="BH575" s="86"/>
      <c r="BI575" s="88"/>
      <c r="BJ575" s="86"/>
      <c r="BK575" s="88"/>
      <c r="BL575" s="86"/>
      <c r="BM575" s="88"/>
      <c r="BN575" s="86"/>
      <c r="BO575" s="88"/>
      <c r="BP575" s="86"/>
      <c r="BQ575" s="88"/>
      <c r="BR575" s="86"/>
      <c r="BS575" s="87"/>
    </row>
    <row r="576" ht="22.5" customHeight="1">
      <c r="A576" s="154"/>
      <c r="B576" s="83"/>
      <c r="C576" s="151"/>
      <c r="D576" s="83"/>
      <c r="E576" s="151"/>
      <c r="F576" s="83"/>
      <c r="G576" s="85"/>
      <c r="H576" s="86"/>
      <c r="I576" s="87"/>
      <c r="J576" s="86"/>
      <c r="K576" s="88"/>
      <c r="L576" s="86"/>
      <c r="M576" s="88"/>
      <c r="N576" s="86"/>
      <c r="O576" s="88"/>
      <c r="P576" s="86"/>
      <c r="Q576" s="88"/>
      <c r="R576" s="86"/>
      <c r="S576" s="88"/>
      <c r="T576" s="86"/>
      <c r="U576" s="88"/>
      <c r="V576" s="86"/>
      <c r="W576" s="88"/>
      <c r="X576" s="86"/>
      <c r="Y576" s="88"/>
      <c r="Z576" s="86"/>
      <c r="AA576" s="88"/>
      <c r="AB576" s="86"/>
      <c r="AC576" s="88"/>
      <c r="AD576" s="86"/>
      <c r="AE576" s="88"/>
      <c r="AF576" s="86"/>
      <c r="AG576" s="88"/>
      <c r="AH576" s="86"/>
      <c r="AI576" s="88"/>
      <c r="AJ576" s="86"/>
      <c r="AK576" s="88"/>
      <c r="AL576" s="86"/>
      <c r="AM576" s="88"/>
      <c r="AN576" s="86"/>
      <c r="AO576" s="88"/>
      <c r="AP576" s="86"/>
      <c r="AQ576" s="88"/>
      <c r="AR576" s="86"/>
      <c r="AS576" s="88"/>
      <c r="AT576" s="86"/>
      <c r="AU576" s="88"/>
      <c r="AV576" s="86"/>
      <c r="AW576" s="88"/>
      <c r="AX576" s="86"/>
      <c r="AY576" s="88"/>
      <c r="AZ576" s="86"/>
      <c r="BA576" s="88"/>
      <c r="BB576" s="86"/>
      <c r="BC576" s="88"/>
      <c r="BD576" s="86"/>
      <c r="BE576" s="88"/>
      <c r="BF576" s="86"/>
      <c r="BG576" s="88"/>
      <c r="BH576" s="86"/>
      <c r="BI576" s="88"/>
      <c r="BJ576" s="86"/>
      <c r="BK576" s="88"/>
      <c r="BL576" s="86"/>
      <c r="BM576" s="88"/>
      <c r="BN576" s="86"/>
      <c r="BO576" s="88"/>
      <c r="BP576" s="86"/>
      <c r="BQ576" s="88"/>
      <c r="BR576" s="86"/>
      <c r="BS576" s="87"/>
    </row>
    <row r="577" ht="22.5" customHeight="1">
      <c r="A577" s="154"/>
      <c r="B577" s="83"/>
      <c r="C577" s="151"/>
      <c r="D577" s="83"/>
      <c r="E577" s="151"/>
      <c r="F577" s="83"/>
      <c r="G577" s="85"/>
      <c r="H577" s="86"/>
      <c r="I577" s="87"/>
      <c r="J577" s="86"/>
      <c r="K577" s="88"/>
      <c r="L577" s="86"/>
      <c r="M577" s="88"/>
      <c r="N577" s="86"/>
      <c r="O577" s="88"/>
      <c r="P577" s="86"/>
      <c r="Q577" s="88"/>
      <c r="R577" s="86"/>
      <c r="S577" s="88"/>
      <c r="T577" s="86"/>
      <c r="U577" s="88"/>
      <c r="V577" s="86"/>
      <c r="W577" s="88"/>
      <c r="X577" s="86"/>
      <c r="Y577" s="88"/>
      <c r="Z577" s="86"/>
      <c r="AA577" s="88"/>
      <c r="AB577" s="86"/>
      <c r="AC577" s="88"/>
      <c r="AD577" s="86"/>
      <c r="AE577" s="88"/>
      <c r="AF577" s="86"/>
      <c r="AG577" s="88"/>
      <c r="AH577" s="86"/>
      <c r="AI577" s="88"/>
      <c r="AJ577" s="86"/>
      <c r="AK577" s="88"/>
      <c r="AL577" s="86"/>
      <c r="AM577" s="88"/>
      <c r="AN577" s="86"/>
      <c r="AO577" s="88"/>
      <c r="AP577" s="86"/>
      <c r="AQ577" s="88"/>
      <c r="AR577" s="86"/>
      <c r="AS577" s="88"/>
      <c r="AT577" s="86"/>
      <c r="AU577" s="88"/>
      <c r="AV577" s="86"/>
      <c r="AW577" s="88"/>
      <c r="AX577" s="86"/>
      <c r="AY577" s="88"/>
      <c r="AZ577" s="86"/>
      <c r="BA577" s="88"/>
      <c r="BB577" s="86"/>
      <c r="BC577" s="88"/>
      <c r="BD577" s="86"/>
      <c r="BE577" s="88"/>
      <c r="BF577" s="86"/>
      <c r="BG577" s="88"/>
      <c r="BH577" s="86"/>
      <c r="BI577" s="88"/>
      <c r="BJ577" s="86"/>
      <c r="BK577" s="88"/>
      <c r="BL577" s="86"/>
      <c r="BM577" s="88"/>
      <c r="BN577" s="86"/>
      <c r="BO577" s="88"/>
      <c r="BP577" s="86"/>
      <c r="BQ577" s="88"/>
      <c r="BR577" s="86"/>
      <c r="BS577" s="87"/>
    </row>
    <row r="578" ht="22.5" customHeight="1">
      <c r="A578" s="154"/>
      <c r="B578" s="83"/>
      <c r="C578" s="151"/>
      <c r="D578" s="83"/>
      <c r="E578" s="151"/>
      <c r="F578" s="83"/>
      <c r="G578" s="85"/>
      <c r="H578" s="86"/>
      <c r="I578" s="87"/>
      <c r="J578" s="86"/>
      <c r="K578" s="88"/>
      <c r="L578" s="86"/>
      <c r="M578" s="88"/>
      <c r="N578" s="86"/>
      <c r="O578" s="88"/>
      <c r="P578" s="86"/>
      <c r="Q578" s="88"/>
      <c r="R578" s="86"/>
      <c r="S578" s="88"/>
      <c r="T578" s="86"/>
      <c r="U578" s="88"/>
      <c r="V578" s="86"/>
      <c r="W578" s="88"/>
      <c r="X578" s="86"/>
      <c r="Y578" s="88"/>
      <c r="Z578" s="86"/>
      <c r="AA578" s="88"/>
      <c r="AB578" s="86"/>
      <c r="AC578" s="88"/>
      <c r="AD578" s="86"/>
      <c r="AE578" s="88"/>
      <c r="AF578" s="86"/>
      <c r="AG578" s="88"/>
      <c r="AH578" s="86"/>
      <c r="AI578" s="88"/>
      <c r="AJ578" s="86"/>
      <c r="AK578" s="88"/>
      <c r="AL578" s="86"/>
      <c r="AM578" s="88"/>
      <c r="AN578" s="86"/>
      <c r="AO578" s="88"/>
      <c r="AP578" s="86"/>
      <c r="AQ578" s="88"/>
      <c r="AR578" s="86"/>
      <c r="AS578" s="88"/>
      <c r="AT578" s="86"/>
      <c r="AU578" s="88"/>
      <c r="AV578" s="86"/>
      <c r="AW578" s="88"/>
      <c r="AX578" s="86"/>
      <c r="AY578" s="88"/>
      <c r="AZ578" s="86"/>
      <c r="BA578" s="88"/>
      <c r="BB578" s="86"/>
      <c r="BC578" s="88"/>
      <c r="BD578" s="86"/>
      <c r="BE578" s="88"/>
      <c r="BF578" s="86"/>
      <c r="BG578" s="88"/>
      <c r="BH578" s="86"/>
      <c r="BI578" s="88"/>
      <c r="BJ578" s="86"/>
      <c r="BK578" s="88"/>
      <c r="BL578" s="86"/>
      <c r="BM578" s="88"/>
      <c r="BN578" s="86"/>
      <c r="BO578" s="88"/>
      <c r="BP578" s="86"/>
      <c r="BQ578" s="88"/>
      <c r="BR578" s="86"/>
      <c r="BS578" s="87"/>
    </row>
    <row r="579" ht="22.5" customHeight="1">
      <c r="A579" s="154"/>
      <c r="B579" s="83"/>
      <c r="C579" s="151"/>
      <c r="D579" s="83"/>
      <c r="E579" s="151"/>
      <c r="F579" s="83"/>
      <c r="G579" s="85"/>
      <c r="H579" s="86"/>
      <c r="I579" s="87"/>
      <c r="J579" s="86"/>
      <c r="K579" s="88"/>
      <c r="L579" s="86"/>
      <c r="M579" s="88"/>
      <c r="N579" s="86"/>
      <c r="O579" s="88"/>
      <c r="P579" s="86"/>
      <c r="Q579" s="88"/>
      <c r="R579" s="86"/>
      <c r="S579" s="88"/>
      <c r="T579" s="86"/>
      <c r="U579" s="88"/>
      <c r="V579" s="86"/>
      <c r="W579" s="88"/>
      <c r="X579" s="86"/>
      <c r="Y579" s="88"/>
      <c r="Z579" s="86"/>
      <c r="AA579" s="88"/>
      <c r="AB579" s="86"/>
      <c r="AC579" s="88"/>
      <c r="AD579" s="86"/>
      <c r="AE579" s="88"/>
      <c r="AF579" s="86"/>
      <c r="AG579" s="88"/>
      <c r="AH579" s="86"/>
      <c r="AI579" s="88"/>
      <c r="AJ579" s="86"/>
      <c r="AK579" s="88"/>
      <c r="AL579" s="86"/>
      <c r="AM579" s="88"/>
      <c r="AN579" s="86"/>
      <c r="AO579" s="88"/>
      <c r="AP579" s="86"/>
      <c r="AQ579" s="88"/>
      <c r="AR579" s="86"/>
      <c r="AS579" s="88"/>
      <c r="AT579" s="86"/>
      <c r="AU579" s="88"/>
      <c r="AV579" s="86"/>
      <c r="AW579" s="88"/>
      <c r="AX579" s="86"/>
      <c r="AY579" s="88"/>
      <c r="AZ579" s="86"/>
      <c r="BA579" s="88"/>
      <c r="BB579" s="86"/>
      <c r="BC579" s="88"/>
      <c r="BD579" s="86"/>
      <c r="BE579" s="88"/>
      <c r="BF579" s="86"/>
      <c r="BG579" s="88"/>
      <c r="BH579" s="86"/>
      <c r="BI579" s="88"/>
      <c r="BJ579" s="86"/>
      <c r="BK579" s="88"/>
      <c r="BL579" s="86"/>
      <c r="BM579" s="88"/>
      <c r="BN579" s="86"/>
      <c r="BO579" s="88"/>
      <c r="BP579" s="86"/>
      <c r="BQ579" s="88"/>
      <c r="BR579" s="86"/>
      <c r="BS579" s="87"/>
    </row>
    <row r="580" ht="22.5" customHeight="1">
      <c r="A580" s="154"/>
      <c r="B580" s="83"/>
      <c r="C580" s="151"/>
      <c r="D580" s="83"/>
      <c r="E580" s="151"/>
      <c r="F580" s="83"/>
      <c r="G580" s="85"/>
      <c r="H580" s="86"/>
      <c r="I580" s="87"/>
      <c r="J580" s="86"/>
      <c r="K580" s="88"/>
      <c r="L580" s="86"/>
      <c r="M580" s="88"/>
      <c r="N580" s="86"/>
      <c r="O580" s="88"/>
      <c r="P580" s="86"/>
      <c r="Q580" s="88"/>
      <c r="R580" s="86"/>
      <c r="S580" s="88"/>
      <c r="T580" s="86"/>
      <c r="U580" s="88"/>
      <c r="V580" s="86"/>
      <c r="W580" s="88"/>
      <c r="X580" s="86"/>
      <c r="Y580" s="88"/>
      <c r="Z580" s="86"/>
      <c r="AA580" s="88"/>
      <c r="AB580" s="86"/>
      <c r="AC580" s="88"/>
      <c r="AD580" s="86"/>
      <c r="AE580" s="88"/>
      <c r="AF580" s="86"/>
      <c r="AG580" s="88"/>
      <c r="AH580" s="86"/>
      <c r="AI580" s="88"/>
      <c r="AJ580" s="86"/>
      <c r="AK580" s="88"/>
      <c r="AL580" s="86"/>
      <c r="AM580" s="88"/>
      <c r="AN580" s="86"/>
      <c r="AO580" s="88"/>
      <c r="AP580" s="86"/>
      <c r="AQ580" s="88"/>
      <c r="AR580" s="86"/>
      <c r="AS580" s="88"/>
      <c r="AT580" s="86"/>
      <c r="AU580" s="88"/>
      <c r="AV580" s="86"/>
      <c r="AW580" s="88"/>
      <c r="AX580" s="86"/>
      <c r="AY580" s="88"/>
      <c r="AZ580" s="86"/>
      <c r="BA580" s="88"/>
      <c r="BB580" s="86"/>
      <c r="BC580" s="88"/>
      <c r="BD580" s="86"/>
      <c r="BE580" s="88"/>
      <c r="BF580" s="86"/>
      <c r="BG580" s="88"/>
      <c r="BH580" s="86"/>
      <c r="BI580" s="88"/>
      <c r="BJ580" s="86"/>
      <c r="BK580" s="88"/>
      <c r="BL580" s="86"/>
      <c r="BM580" s="88"/>
      <c r="BN580" s="86"/>
      <c r="BO580" s="88"/>
      <c r="BP580" s="86"/>
      <c r="BQ580" s="88"/>
      <c r="BR580" s="86"/>
      <c r="BS580" s="87"/>
    </row>
    <row r="581" ht="22.5" customHeight="1">
      <c r="A581" s="154"/>
      <c r="B581" s="83"/>
      <c r="C581" s="151"/>
      <c r="D581" s="83"/>
      <c r="E581" s="151"/>
      <c r="F581" s="83"/>
      <c r="G581" s="85"/>
      <c r="H581" s="86"/>
      <c r="I581" s="87"/>
      <c r="J581" s="86"/>
      <c r="K581" s="88"/>
      <c r="L581" s="86"/>
      <c r="M581" s="88"/>
      <c r="N581" s="86"/>
      <c r="O581" s="88"/>
      <c r="P581" s="86"/>
      <c r="Q581" s="88"/>
      <c r="R581" s="86"/>
      <c r="S581" s="88"/>
      <c r="T581" s="86"/>
      <c r="U581" s="88"/>
      <c r="V581" s="86"/>
      <c r="W581" s="88"/>
      <c r="X581" s="86"/>
      <c r="Y581" s="88"/>
      <c r="Z581" s="86"/>
      <c r="AA581" s="88"/>
      <c r="AB581" s="86"/>
      <c r="AC581" s="88"/>
      <c r="AD581" s="86"/>
      <c r="AE581" s="88"/>
      <c r="AF581" s="86"/>
      <c r="AG581" s="88"/>
      <c r="AH581" s="86"/>
      <c r="AI581" s="88"/>
      <c r="AJ581" s="86"/>
      <c r="AK581" s="88"/>
      <c r="AL581" s="86"/>
      <c r="AM581" s="88"/>
      <c r="AN581" s="86"/>
      <c r="AO581" s="88"/>
      <c r="AP581" s="86"/>
      <c r="AQ581" s="88"/>
      <c r="AR581" s="86"/>
      <c r="AS581" s="88"/>
      <c r="AT581" s="86"/>
      <c r="AU581" s="88"/>
      <c r="AV581" s="86"/>
      <c r="AW581" s="88"/>
      <c r="AX581" s="86"/>
      <c r="AY581" s="88"/>
      <c r="AZ581" s="86"/>
      <c r="BA581" s="88"/>
      <c r="BB581" s="86"/>
      <c r="BC581" s="88"/>
      <c r="BD581" s="86"/>
      <c r="BE581" s="88"/>
      <c r="BF581" s="86"/>
      <c r="BG581" s="88"/>
      <c r="BH581" s="86"/>
      <c r="BI581" s="88"/>
      <c r="BJ581" s="86"/>
      <c r="BK581" s="88"/>
      <c r="BL581" s="86"/>
      <c r="BM581" s="88"/>
      <c r="BN581" s="86"/>
      <c r="BO581" s="88"/>
      <c r="BP581" s="86"/>
      <c r="BQ581" s="88"/>
      <c r="BR581" s="86"/>
      <c r="BS581" s="87"/>
    </row>
    <row r="582" ht="22.5" customHeight="1">
      <c r="A582" s="154"/>
      <c r="B582" s="83"/>
      <c r="C582" s="151"/>
      <c r="D582" s="83"/>
      <c r="E582" s="151"/>
      <c r="F582" s="83"/>
      <c r="G582" s="85"/>
      <c r="H582" s="86"/>
      <c r="I582" s="87"/>
      <c r="J582" s="86"/>
      <c r="K582" s="88"/>
      <c r="L582" s="86"/>
      <c r="M582" s="88"/>
      <c r="N582" s="86"/>
      <c r="O582" s="88"/>
      <c r="P582" s="86"/>
      <c r="Q582" s="88"/>
      <c r="R582" s="86"/>
      <c r="S582" s="88"/>
      <c r="T582" s="86"/>
      <c r="U582" s="88"/>
      <c r="V582" s="86"/>
      <c r="W582" s="88"/>
      <c r="X582" s="86"/>
      <c r="Y582" s="88"/>
      <c r="Z582" s="86"/>
      <c r="AA582" s="88"/>
      <c r="AB582" s="86"/>
      <c r="AC582" s="88"/>
      <c r="AD582" s="86"/>
      <c r="AE582" s="88"/>
      <c r="AF582" s="86"/>
      <c r="AG582" s="88"/>
      <c r="AH582" s="86"/>
      <c r="AI582" s="88"/>
      <c r="AJ582" s="86"/>
      <c r="AK582" s="88"/>
      <c r="AL582" s="86"/>
      <c r="AM582" s="88"/>
      <c r="AN582" s="86"/>
      <c r="AO582" s="88"/>
      <c r="AP582" s="86"/>
      <c r="AQ582" s="88"/>
      <c r="AR582" s="86"/>
      <c r="AS582" s="88"/>
      <c r="AT582" s="86"/>
      <c r="AU582" s="88"/>
      <c r="AV582" s="86"/>
      <c r="AW582" s="88"/>
      <c r="AX582" s="86"/>
      <c r="AY582" s="88"/>
      <c r="AZ582" s="86"/>
      <c r="BA582" s="88"/>
      <c r="BB582" s="86"/>
      <c r="BC582" s="88"/>
      <c r="BD582" s="86"/>
      <c r="BE582" s="88"/>
      <c r="BF582" s="86"/>
      <c r="BG582" s="88"/>
      <c r="BH582" s="86"/>
      <c r="BI582" s="88"/>
      <c r="BJ582" s="86"/>
      <c r="BK582" s="88"/>
      <c r="BL582" s="86"/>
      <c r="BM582" s="88"/>
      <c r="BN582" s="86"/>
      <c r="BO582" s="88"/>
      <c r="BP582" s="86"/>
      <c r="BQ582" s="88"/>
      <c r="BR582" s="86"/>
      <c r="BS582" s="87"/>
    </row>
    <row r="583" ht="22.5" customHeight="1">
      <c r="A583" s="154"/>
      <c r="B583" s="83"/>
      <c r="C583" s="151"/>
      <c r="D583" s="83"/>
      <c r="E583" s="151"/>
      <c r="F583" s="83"/>
      <c r="G583" s="85"/>
      <c r="H583" s="86"/>
      <c r="I583" s="87"/>
      <c r="J583" s="86"/>
      <c r="K583" s="88"/>
      <c r="L583" s="86"/>
      <c r="M583" s="88"/>
      <c r="N583" s="86"/>
      <c r="O583" s="88"/>
      <c r="P583" s="86"/>
      <c r="Q583" s="88"/>
      <c r="R583" s="86"/>
      <c r="S583" s="88"/>
      <c r="T583" s="86"/>
      <c r="U583" s="88"/>
      <c r="V583" s="86"/>
      <c r="W583" s="88"/>
      <c r="X583" s="86"/>
      <c r="Y583" s="88"/>
      <c r="Z583" s="86"/>
      <c r="AA583" s="88"/>
      <c r="AB583" s="86"/>
      <c r="AC583" s="88"/>
      <c r="AD583" s="86"/>
      <c r="AE583" s="88"/>
      <c r="AF583" s="86"/>
      <c r="AG583" s="88"/>
      <c r="AH583" s="86"/>
      <c r="AI583" s="88"/>
      <c r="AJ583" s="86"/>
      <c r="AK583" s="88"/>
      <c r="AL583" s="86"/>
      <c r="AM583" s="88"/>
      <c r="AN583" s="86"/>
      <c r="AO583" s="88"/>
      <c r="AP583" s="86"/>
      <c r="AQ583" s="88"/>
      <c r="AR583" s="86"/>
      <c r="AS583" s="88"/>
      <c r="AT583" s="86"/>
      <c r="AU583" s="88"/>
      <c r="AV583" s="86"/>
      <c r="AW583" s="88"/>
      <c r="AX583" s="86"/>
      <c r="AY583" s="88"/>
      <c r="AZ583" s="86"/>
      <c r="BA583" s="88"/>
      <c r="BB583" s="86"/>
      <c r="BC583" s="88"/>
      <c r="BD583" s="86"/>
      <c r="BE583" s="88"/>
      <c r="BF583" s="86"/>
      <c r="BG583" s="88"/>
      <c r="BH583" s="86"/>
      <c r="BI583" s="88"/>
      <c r="BJ583" s="86"/>
      <c r="BK583" s="88"/>
      <c r="BL583" s="86"/>
      <c r="BM583" s="88"/>
      <c r="BN583" s="86"/>
      <c r="BO583" s="88"/>
      <c r="BP583" s="86"/>
      <c r="BQ583" s="88"/>
      <c r="BR583" s="86"/>
      <c r="BS583" s="87"/>
    </row>
    <row r="584" ht="22.5" customHeight="1">
      <c r="A584" s="154"/>
      <c r="B584" s="83"/>
      <c r="C584" s="151"/>
      <c r="D584" s="83"/>
      <c r="E584" s="151"/>
      <c r="F584" s="83"/>
      <c r="G584" s="85"/>
      <c r="H584" s="86"/>
      <c r="I584" s="87"/>
      <c r="J584" s="86"/>
      <c r="K584" s="88"/>
      <c r="L584" s="86"/>
      <c r="M584" s="88"/>
      <c r="N584" s="86"/>
      <c r="O584" s="88"/>
      <c r="P584" s="86"/>
      <c r="Q584" s="88"/>
      <c r="R584" s="86"/>
      <c r="S584" s="88"/>
      <c r="T584" s="86"/>
      <c r="U584" s="88"/>
      <c r="V584" s="86"/>
      <c r="W584" s="88"/>
      <c r="X584" s="86"/>
      <c r="Y584" s="88"/>
      <c r="Z584" s="86"/>
      <c r="AA584" s="88"/>
      <c r="AB584" s="86"/>
      <c r="AC584" s="88"/>
      <c r="AD584" s="86"/>
      <c r="AE584" s="88"/>
      <c r="AF584" s="86"/>
      <c r="AG584" s="88"/>
      <c r="AH584" s="86"/>
      <c r="AI584" s="88"/>
      <c r="AJ584" s="86"/>
      <c r="AK584" s="88"/>
      <c r="AL584" s="86"/>
      <c r="AM584" s="88"/>
      <c r="AN584" s="86"/>
      <c r="AO584" s="88"/>
      <c r="AP584" s="86"/>
      <c r="AQ584" s="88"/>
      <c r="AR584" s="86"/>
      <c r="AS584" s="88"/>
      <c r="AT584" s="86"/>
      <c r="AU584" s="88"/>
      <c r="AV584" s="86"/>
      <c r="AW584" s="88"/>
      <c r="AX584" s="86"/>
      <c r="AY584" s="88"/>
      <c r="AZ584" s="86"/>
      <c r="BA584" s="88"/>
      <c r="BB584" s="86"/>
      <c r="BC584" s="88"/>
      <c r="BD584" s="86"/>
      <c r="BE584" s="88"/>
      <c r="BF584" s="86"/>
      <c r="BG584" s="88"/>
      <c r="BH584" s="86"/>
      <c r="BI584" s="88"/>
      <c r="BJ584" s="86"/>
      <c r="BK584" s="88"/>
      <c r="BL584" s="86"/>
      <c r="BM584" s="88"/>
      <c r="BN584" s="86"/>
      <c r="BO584" s="88"/>
      <c r="BP584" s="86"/>
      <c r="BQ584" s="88"/>
      <c r="BR584" s="86"/>
      <c r="BS584" s="87"/>
    </row>
    <row r="585" ht="22.5" customHeight="1">
      <c r="A585" s="154"/>
      <c r="B585" s="83"/>
      <c r="C585" s="151"/>
      <c r="D585" s="83"/>
      <c r="E585" s="151"/>
      <c r="F585" s="83"/>
      <c r="G585" s="85"/>
      <c r="H585" s="86"/>
      <c r="I585" s="87"/>
      <c r="J585" s="86"/>
      <c r="K585" s="88"/>
      <c r="L585" s="86"/>
      <c r="M585" s="88"/>
      <c r="N585" s="86"/>
      <c r="O585" s="88"/>
      <c r="P585" s="86"/>
      <c r="Q585" s="88"/>
      <c r="R585" s="86"/>
      <c r="S585" s="88"/>
      <c r="T585" s="86"/>
      <c r="U585" s="88"/>
      <c r="V585" s="86"/>
      <c r="W585" s="88"/>
      <c r="X585" s="86"/>
      <c r="Y585" s="88"/>
      <c r="Z585" s="86"/>
      <c r="AA585" s="88"/>
      <c r="AB585" s="86"/>
      <c r="AC585" s="88"/>
      <c r="AD585" s="86"/>
      <c r="AE585" s="88"/>
      <c r="AF585" s="86"/>
      <c r="AG585" s="88"/>
      <c r="AH585" s="86"/>
      <c r="AI585" s="88"/>
      <c r="AJ585" s="86"/>
      <c r="AK585" s="88"/>
      <c r="AL585" s="86"/>
      <c r="AM585" s="88"/>
      <c r="AN585" s="86"/>
      <c r="AO585" s="88"/>
      <c r="AP585" s="86"/>
      <c r="AQ585" s="88"/>
      <c r="AR585" s="86"/>
      <c r="AS585" s="88"/>
      <c r="AT585" s="86"/>
      <c r="AU585" s="88"/>
      <c r="AV585" s="86"/>
      <c r="AW585" s="88"/>
      <c r="AX585" s="86"/>
      <c r="AY585" s="88"/>
      <c r="AZ585" s="86"/>
      <c r="BA585" s="88"/>
      <c r="BB585" s="86"/>
      <c r="BC585" s="88"/>
      <c r="BD585" s="86"/>
      <c r="BE585" s="88"/>
      <c r="BF585" s="86"/>
      <c r="BG585" s="88"/>
      <c r="BH585" s="86"/>
      <c r="BI585" s="88"/>
      <c r="BJ585" s="86"/>
      <c r="BK585" s="88"/>
      <c r="BL585" s="86"/>
      <c r="BM585" s="88"/>
      <c r="BN585" s="86"/>
      <c r="BO585" s="88"/>
      <c r="BP585" s="86"/>
      <c r="BQ585" s="88"/>
      <c r="BR585" s="86"/>
      <c r="BS585" s="87"/>
    </row>
    <row r="586" ht="22.5" customHeight="1">
      <c r="A586" s="154"/>
      <c r="B586" s="83"/>
      <c r="C586" s="151"/>
      <c r="D586" s="83"/>
      <c r="E586" s="151"/>
      <c r="F586" s="83"/>
      <c r="G586" s="85"/>
      <c r="H586" s="86"/>
      <c r="I586" s="87"/>
      <c r="J586" s="86"/>
      <c r="K586" s="88"/>
      <c r="L586" s="86"/>
      <c r="M586" s="88"/>
      <c r="N586" s="86"/>
      <c r="O586" s="88"/>
      <c r="P586" s="86"/>
      <c r="Q586" s="88"/>
      <c r="R586" s="86"/>
      <c r="S586" s="88"/>
      <c r="T586" s="86"/>
      <c r="U586" s="88"/>
      <c r="V586" s="86"/>
      <c r="W586" s="88"/>
      <c r="X586" s="86"/>
      <c r="Y586" s="88"/>
      <c r="Z586" s="86"/>
      <c r="AA586" s="88"/>
      <c r="AB586" s="86"/>
      <c r="AC586" s="88"/>
      <c r="AD586" s="86"/>
      <c r="AE586" s="88"/>
      <c r="AF586" s="86"/>
      <c r="AG586" s="88"/>
      <c r="AH586" s="86"/>
      <c r="AI586" s="88"/>
      <c r="AJ586" s="86"/>
      <c r="AK586" s="88"/>
      <c r="AL586" s="86"/>
      <c r="AM586" s="88"/>
      <c r="AN586" s="86"/>
      <c r="AO586" s="88"/>
      <c r="AP586" s="86"/>
      <c r="AQ586" s="88"/>
      <c r="AR586" s="86"/>
      <c r="AS586" s="88"/>
      <c r="AT586" s="86"/>
      <c r="AU586" s="88"/>
      <c r="AV586" s="86"/>
      <c r="AW586" s="88"/>
      <c r="AX586" s="86"/>
      <c r="AY586" s="88"/>
      <c r="AZ586" s="86"/>
      <c r="BA586" s="88"/>
      <c r="BB586" s="86"/>
      <c r="BC586" s="88"/>
      <c r="BD586" s="86"/>
      <c r="BE586" s="88"/>
      <c r="BF586" s="86"/>
      <c r="BG586" s="88"/>
      <c r="BH586" s="86"/>
      <c r="BI586" s="88"/>
      <c r="BJ586" s="86"/>
      <c r="BK586" s="88"/>
      <c r="BL586" s="86"/>
      <c r="BM586" s="88"/>
      <c r="BN586" s="86"/>
      <c r="BO586" s="88"/>
      <c r="BP586" s="86"/>
      <c r="BQ586" s="88"/>
      <c r="BR586" s="86"/>
      <c r="BS586" s="87"/>
    </row>
    <row r="587" ht="22.5" customHeight="1">
      <c r="A587" s="154"/>
      <c r="B587" s="83"/>
      <c r="C587" s="151"/>
      <c r="D587" s="83"/>
      <c r="E587" s="151"/>
      <c r="F587" s="83"/>
      <c r="G587" s="85"/>
      <c r="H587" s="86"/>
      <c r="I587" s="87"/>
      <c r="J587" s="86"/>
      <c r="K587" s="88"/>
      <c r="L587" s="86"/>
      <c r="M587" s="88"/>
      <c r="N587" s="86"/>
      <c r="O587" s="88"/>
      <c r="P587" s="86"/>
      <c r="Q587" s="88"/>
      <c r="R587" s="86"/>
      <c r="S587" s="88"/>
      <c r="T587" s="86"/>
      <c r="U587" s="88"/>
      <c r="V587" s="86"/>
      <c r="W587" s="88"/>
      <c r="X587" s="86"/>
      <c r="Y587" s="88"/>
      <c r="Z587" s="86"/>
      <c r="AA587" s="88"/>
      <c r="AB587" s="86"/>
      <c r="AC587" s="88"/>
      <c r="AD587" s="86"/>
      <c r="AE587" s="88"/>
      <c r="AF587" s="86"/>
      <c r="AG587" s="88"/>
      <c r="AH587" s="86"/>
      <c r="AI587" s="88"/>
      <c r="AJ587" s="86"/>
      <c r="AK587" s="88"/>
      <c r="AL587" s="86"/>
      <c r="AM587" s="88"/>
      <c r="AN587" s="86"/>
      <c r="AO587" s="88"/>
      <c r="AP587" s="86"/>
      <c r="AQ587" s="88"/>
      <c r="AR587" s="86"/>
      <c r="AS587" s="88"/>
      <c r="AT587" s="86"/>
      <c r="AU587" s="88"/>
      <c r="AV587" s="86"/>
      <c r="AW587" s="88"/>
      <c r="AX587" s="86"/>
      <c r="AY587" s="88"/>
      <c r="AZ587" s="86"/>
      <c r="BA587" s="88"/>
      <c r="BB587" s="86"/>
      <c r="BC587" s="88"/>
      <c r="BD587" s="86"/>
      <c r="BE587" s="88"/>
      <c r="BF587" s="86"/>
      <c r="BG587" s="88"/>
      <c r="BH587" s="86"/>
      <c r="BI587" s="88"/>
      <c r="BJ587" s="86"/>
      <c r="BK587" s="88"/>
      <c r="BL587" s="86"/>
      <c r="BM587" s="88"/>
      <c r="BN587" s="86"/>
      <c r="BO587" s="88"/>
      <c r="BP587" s="86"/>
      <c r="BQ587" s="88"/>
      <c r="BR587" s="86"/>
      <c r="BS587" s="87"/>
    </row>
    <row r="588" ht="22.5" customHeight="1">
      <c r="A588" s="154"/>
      <c r="B588" s="83"/>
      <c r="C588" s="151"/>
      <c r="D588" s="83"/>
      <c r="E588" s="151"/>
      <c r="F588" s="83"/>
      <c r="G588" s="85"/>
      <c r="H588" s="86"/>
      <c r="I588" s="87"/>
      <c r="J588" s="86"/>
      <c r="K588" s="88"/>
      <c r="L588" s="86"/>
      <c r="M588" s="88"/>
      <c r="N588" s="86"/>
      <c r="O588" s="88"/>
      <c r="P588" s="86"/>
      <c r="Q588" s="88"/>
      <c r="R588" s="86"/>
      <c r="S588" s="88"/>
      <c r="T588" s="86"/>
      <c r="U588" s="88"/>
      <c r="V588" s="86"/>
      <c r="W588" s="88"/>
      <c r="X588" s="86"/>
      <c r="Y588" s="88"/>
      <c r="Z588" s="86"/>
      <c r="AA588" s="88"/>
      <c r="AB588" s="86"/>
      <c r="AC588" s="88"/>
      <c r="AD588" s="86"/>
      <c r="AE588" s="88"/>
      <c r="AF588" s="86"/>
      <c r="AG588" s="88"/>
      <c r="AH588" s="86"/>
      <c r="AI588" s="88"/>
      <c r="AJ588" s="86"/>
      <c r="AK588" s="88"/>
      <c r="AL588" s="86"/>
      <c r="AM588" s="88"/>
      <c r="AN588" s="86"/>
      <c r="AO588" s="88"/>
      <c r="AP588" s="86"/>
      <c r="AQ588" s="88"/>
      <c r="AR588" s="86"/>
      <c r="AS588" s="88"/>
      <c r="AT588" s="86"/>
      <c r="AU588" s="88"/>
      <c r="AV588" s="86"/>
      <c r="AW588" s="88"/>
      <c r="AX588" s="86"/>
      <c r="AY588" s="88"/>
      <c r="AZ588" s="86"/>
      <c r="BA588" s="88"/>
      <c r="BB588" s="86"/>
      <c r="BC588" s="88"/>
      <c r="BD588" s="86"/>
      <c r="BE588" s="88"/>
      <c r="BF588" s="86"/>
      <c r="BG588" s="88"/>
      <c r="BH588" s="86"/>
      <c r="BI588" s="88"/>
      <c r="BJ588" s="86"/>
      <c r="BK588" s="88"/>
      <c r="BL588" s="86"/>
      <c r="BM588" s="88"/>
      <c r="BN588" s="86"/>
      <c r="BO588" s="88"/>
      <c r="BP588" s="86"/>
      <c r="BQ588" s="88"/>
      <c r="BR588" s="86"/>
      <c r="BS588" s="87"/>
    </row>
    <row r="589" ht="22.5" customHeight="1">
      <c r="A589" s="154"/>
      <c r="B589" s="83"/>
      <c r="C589" s="151"/>
      <c r="D589" s="83"/>
      <c r="E589" s="151"/>
      <c r="F589" s="83"/>
      <c r="G589" s="85"/>
      <c r="H589" s="86"/>
      <c r="I589" s="87"/>
      <c r="J589" s="86"/>
      <c r="K589" s="88"/>
      <c r="L589" s="86"/>
      <c r="M589" s="88"/>
      <c r="N589" s="86"/>
      <c r="O589" s="88"/>
      <c r="P589" s="86"/>
      <c r="Q589" s="88"/>
      <c r="R589" s="86"/>
      <c r="S589" s="88"/>
      <c r="T589" s="86"/>
      <c r="U589" s="88"/>
      <c r="V589" s="86"/>
      <c r="W589" s="88"/>
      <c r="X589" s="86"/>
      <c r="Y589" s="88"/>
      <c r="Z589" s="86"/>
      <c r="AA589" s="88"/>
      <c r="AB589" s="86"/>
      <c r="AC589" s="88"/>
      <c r="AD589" s="86"/>
      <c r="AE589" s="88"/>
      <c r="AF589" s="86"/>
      <c r="AG589" s="88"/>
      <c r="AH589" s="86"/>
      <c r="AI589" s="88"/>
      <c r="AJ589" s="86"/>
      <c r="AK589" s="88"/>
      <c r="AL589" s="86"/>
      <c r="AM589" s="88"/>
      <c r="AN589" s="86"/>
      <c r="AO589" s="88"/>
      <c r="AP589" s="86"/>
      <c r="AQ589" s="88"/>
      <c r="AR589" s="86"/>
      <c r="AS589" s="88"/>
      <c r="AT589" s="86"/>
      <c r="AU589" s="88"/>
      <c r="AV589" s="86"/>
      <c r="AW589" s="88"/>
      <c r="AX589" s="86"/>
      <c r="AY589" s="88"/>
      <c r="AZ589" s="86"/>
      <c r="BA589" s="88"/>
      <c r="BB589" s="86"/>
      <c r="BC589" s="88"/>
      <c r="BD589" s="86"/>
      <c r="BE589" s="88"/>
      <c r="BF589" s="86"/>
      <c r="BG589" s="88"/>
      <c r="BH589" s="86"/>
      <c r="BI589" s="88"/>
      <c r="BJ589" s="86"/>
      <c r="BK589" s="88"/>
      <c r="BL589" s="86"/>
      <c r="BM589" s="88"/>
      <c r="BN589" s="86"/>
      <c r="BO589" s="88"/>
      <c r="BP589" s="86"/>
      <c r="BQ589" s="88"/>
      <c r="BR589" s="86"/>
      <c r="BS589" s="87"/>
    </row>
    <row r="590" ht="22.5" customHeight="1">
      <c r="A590" s="154"/>
      <c r="B590" s="83"/>
      <c r="C590" s="151"/>
      <c r="D590" s="83"/>
      <c r="E590" s="151"/>
      <c r="F590" s="83"/>
      <c r="G590" s="85"/>
      <c r="H590" s="86"/>
      <c r="I590" s="87"/>
      <c r="J590" s="86"/>
      <c r="K590" s="88"/>
      <c r="L590" s="86"/>
      <c r="M590" s="88"/>
      <c r="N590" s="86"/>
      <c r="O590" s="88"/>
      <c r="P590" s="86"/>
      <c r="Q590" s="88"/>
      <c r="R590" s="86"/>
      <c r="S590" s="88"/>
      <c r="T590" s="86"/>
      <c r="U590" s="88"/>
      <c r="V590" s="86"/>
      <c r="W590" s="88"/>
      <c r="X590" s="86"/>
      <c r="Y590" s="88"/>
      <c r="Z590" s="86"/>
      <c r="AA590" s="88"/>
      <c r="AB590" s="86"/>
      <c r="AC590" s="88"/>
      <c r="AD590" s="86"/>
      <c r="AE590" s="88"/>
      <c r="AF590" s="86"/>
      <c r="AG590" s="88"/>
      <c r="AH590" s="86"/>
      <c r="AI590" s="88"/>
      <c r="AJ590" s="86"/>
      <c r="AK590" s="88"/>
      <c r="AL590" s="86"/>
      <c r="AM590" s="88"/>
      <c r="AN590" s="86"/>
      <c r="AO590" s="88"/>
      <c r="AP590" s="86"/>
      <c r="AQ590" s="88"/>
      <c r="AR590" s="86"/>
      <c r="AS590" s="88"/>
      <c r="AT590" s="86"/>
      <c r="AU590" s="88"/>
      <c r="AV590" s="86"/>
      <c r="AW590" s="88"/>
      <c r="AX590" s="86"/>
      <c r="AY590" s="88"/>
      <c r="AZ590" s="86"/>
      <c r="BA590" s="88"/>
      <c r="BB590" s="86"/>
      <c r="BC590" s="88"/>
      <c r="BD590" s="86"/>
      <c r="BE590" s="88"/>
      <c r="BF590" s="86"/>
      <c r="BG590" s="88"/>
      <c r="BH590" s="86"/>
      <c r="BI590" s="88"/>
      <c r="BJ590" s="86"/>
      <c r="BK590" s="88"/>
      <c r="BL590" s="86"/>
      <c r="BM590" s="88"/>
      <c r="BN590" s="86"/>
      <c r="BO590" s="88"/>
      <c r="BP590" s="86"/>
      <c r="BQ590" s="88"/>
      <c r="BR590" s="86"/>
      <c r="BS590" s="87"/>
    </row>
    <row r="591" ht="22.5" customHeight="1">
      <c r="A591" s="154"/>
      <c r="B591" s="83"/>
      <c r="C591" s="151"/>
      <c r="D591" s="83"/>
      <c r="E591" s="151"/>
      <c r="F591" s="83"/>
      <c r="G591" s="85"/>
      <c r="H591" s="86"/>
      <c r="I591" s="87"/>
      <c r="J591" s="86"/>
      <c r="K591" s="88"/>
      <c r="L591" s="86"/>
      <c r="M591" s="88"/>
      <c r="N591" s="86"/>
      <c r="O591" s="88"/>
      <c r="P591" s="86"/>
      <c r="Q591" s="88"/>
      <c r="R591" s="86"/>
      <c r="S591" s="88"/>
      <c r="T591" s="86"/>
      <c r="U591" s="88"/>
      <c r="V591" s="86"/>
      <c r="W591" s="88"/>
      <c r="X591" s="86"/>
      <c r="Y591" s="88"/>
      <c r="Z591" s="86"/>
      <c r="AA591" s="88"/>
      <c r="AB591" s="86"/>
      <c r="AC591" s="88"/>
      <c r="AD591" s="86"/>
      <c r="AE591" s="88"/>
      <c r="AF591" s="86"/>
      <c r="AG591" s="88"/>
      <c r="AH591" s="86"/>
      <c r="AI591" s="88"/>
      <c r="AJ591" s="86"/>
      <c r="AK591" s="88"/>
      <c r="AL591" s="86"/>
      <c r="AM591" s="88"/>
      <c r="AN591" s="86"/>
      <c r="AO591" s="88"/>
      <c r="AP591" s="86"/>
      <c r="AQ591" s="88"/>
      <c r="AR591" s="86"/>
      <c r="AS591" s="88"/>
      <c r="AT591" s="86"/>
      <c r="AU591" s="88"/>
      <c r="AV591" s="86"/>
      <c r="AW591" s="88"/>
      <c r="AX591" s="86"/>
      <c r="AY591" s="88"/>
      <c r="AZ591" s="86"/>
      <c r="BA591" s="88"/>
      <c r="BB591" s="86"/>
      <c r="BC591" s="88"/>
      <c r="BD591" s="86"/>
      <c r="BE591" s="88"/>
      <c r="BF591" s="86"/>
      <c r="BG591" s="88"/>
      <c r="BH591" s="86"/>
      <c r="BI591" s="88"/>
      <c r="BJ591" s="86"/>
      <c r="BK591" s="88"/>
      <c r="BL591" s="86"/>
      <c r="BM591" s="88"/>
      <c r="BN591" s="86"/>
      <c r="BO591" s="88"/>
      <c r="BP591" s="86"/>
      <c r="BQ591" s="88"/>
      <c r="BR591" s="86"/>
      <c r="BS591" s="87"/>
    </row>
    <row r="592" ht="22.5" customHeight="1">
      <c r="A592" s="154"/>
      <c r="B592" s="83"/>
      <c r="C592" s="151"/>
      <c r="D592" s="83"/>
      <c r="E592" s="151"/>
      <c r="F592" s="83"/>
      <c r="G592" s="85"/>
      <c r="H592" s="86"/>
      <c r="I592" s="87"/>
      <c r="J592" s="86"/>
      <c r="K592" s="88"/>
      <c r="L592" s="86"/>
      <c r="M592" s="88"/>
      <c r="N592" s="86"/>
      <c r="O592" s="88"/>
      <c r="P592" s="86"/>
      <c r="Q592" s="88"/>
      <c r="R592" s="86"/>
      <c r="S592" s="88"/>
      <c r="T592" s="86"/>
      <c r="U592" s="88"/>
      <c r="V592" s="86"/>
      <c r="W592" s="88"/>
      <c r="X592" s="86"/>
      <c r="Y592" s="88"/>
      <c r="Z592" s="86"/>
      <c r="AA592" s="88"/>
      <c r="AB592" s="86"/>
      <c r="AC592" s="88"/>
      <c r="AD592" s="86"/>
      <c r="AE592" s="88"/>
      <c r="AF592" s="86"/>
      <c r="AG592" s="88"/>
      <c r="AH592" s="86"/>
      <c r="AI592" s="88"/>
      <c r="AJ592" s="86"/>
      <c r="AK592" s="88"/>
      <c r="AL592" s="86"/>
      <c r="AM592" s="88"/>
      <c r="AN592" s="86"/>
      <c r="AO592" s="88"/>
      <c r="AP592" s="86"/>
      <c r="AQ592" s="88"/>
      <c r="AR592" s="86"/>
      <c r="AS592" s="88"/>
      <c r="AT592" s="86"/>
      <c r="AU592" s="88"/>
      <c r="AV592" s="86"/>
      <c r="AW592" s="88"/>
      <c r="AX592" s="86"/>
      <c r="AY592" s="88"/>
      <c r="AZ592" s="86"/>
      <c r="BA592" s="88"/>
      <c r="BB592" s="86"/>
      <c r="BC592" s="88"/>
      <c r="BD592" s="86"/>
      <c r="BE592" s="88"/>
      <c r="BF592" s="86"/>
      <c r="BG592" s="88"/>
      <c r="BH592" s="86"/>
      <c r="BI592" s="88"/>
      <c r="BJ592" s="86"/>
      <c r="BK592" s="88"/>
      <c r="BL592" s="86"/>
      <c r="BM592" s="88"/>
      <c r="BN592" s="86"/>
      <c r="BO592" s="88"/>
      <c r="BP592" s="86"/>
      <c r="BQ592" s="88"/>
      <c r="BR592" s="86"/>
      <c r="BS592" s="87"/>
    </row>
    <row r="593" ht="22.5" customHeight="1">
      <c r="A593" s="154"/>
      <c r="B593" s="83"/>
      <c r="C593" s="151"/>
      <c r="D593" s="83"/>
      <c r="E593" s="151"/>
      <c r="F593" s="83"/>
      <c r="G593" s="85"/>
      <c r="H593" s="86"/>
      <c r="I593" s="87"/>
      <c r="J593" s="86"/>
      <c r="K593" s="88"/>
      <c r="L593" s="86"/>
      <c r="M593" s="88"/>
      <c r="N593" s="86"/>
      <c r="O593" s="88"/>
      <c r="P593" s="86"/>
      <c r="Q593" s="88"/>
      <c r="R593" s="86"/>
      <c r="S593" s="88"/>
      <c r="T593" s="86"/>
      <c r="U593" s="88"/>
      <c r="V593" s="86"/>
      <c r="W593" s="88"/>
      <c r="X593" s="86"/>
      <c r="Y593" s="88"/>
      <c r="Z593" s="86"/>
      <c r="AA593" s="88"/>
      <c r="AB593" s="86"/>
      <c r="AC593" s="88"/>
      <c r="AD593" s="86"/>
      <c r="AE593" s="88"/>
      <c r="AF593" s="86"/>
      <c r="AG593" s="88"/>
      <c r="AH593" s="86"/>
      <c r="AI593" s="88"/>
      <c r="AJ593" s="86"/>
      <c r="AK593" s="88"/>
      <c r="AL593" s="86"/>
      <c r="AM593" s="88"/>
      <c r="AN593" s="86"/>
      <c r="AO593" s="88"/>
      <c r="AP593" s="86"/>
      <c r="AQ593" s="88"/>
      <c r="AR593" s="86"/>
      <c r="AS593" s="88"/>
      <c r="AT593" s="86"/>
      <c r="AU593" s="88"/>
      <c r="AV593" s="86"/>
      <c r="AW593" s="88"/>
      <c r="AX593" s="86"/>
      <c r="AY593" s="88"/>
      <c r="AZ593" s="86"/>
      <c r="BA593" s="88"/>
      <c r="BB593" s="86"/>
      <c r="BC593" s="88"/>
      <c r="BD593" s="86"/>
      <c r="BE593" s="88"/>
      <c r="BF593" s="86"/>
      <c r="BG593" s="88"/>
      <c r="BH593" s="86"/>
      <c r="BI593" s="88"/>
      <c r="BJ593" s="86"/>
      <c r="BK593" s="88"/>
      <c r="BL593" s="86"/>
      <c r="BM593" s="88"/>
      <c r="BN593" s="86"/>
      <c r="BO593" s="88"/>
      <c r="BP593" s="86"/>
      <c r="BQ593" s="88"/>
      <c r="BR593" s="86"/>
      <c r="BS593" s="87"/>
    </row>
    <row r="594" ht="22.5" customHeight="1">
      <c r="A594" s="154"/>
      <c r="B594" s="83"/>
      <c r="C594" s="151"/>
      <c r="D594" s="83"/>
      <c r="E594" s="151"/>
      <c r="F594" s="83"/>
      <c r="G594" s="85"/>
      <c r="H594" s="86"/>
      <c r="I594" s="87"/>
      <c r="J594" s="86"/>
      <c r="K594" s="88"/>
      <c r="L594" s="86"/>
      <c r="M594" s="88"/>
      <c r="N594" s="86"/>
      <c r="O594" s="88"/>
      <c r="P594" s="86"/>
      <c r="Q594" s="88"/>
      <c r="R594" s="86"/>
      <c r="S594" s="88"/>
      <c r="T594" s="86"/>
      <c r="U594" s="88"/>
      <c r="V594" s="86"/>
      <c r="W594" s="88"/>
      <c r="X594" s="86"/>
      <c r="Y594" s="88"/>
      <c r="Z594" s="86"/>
      <c r="AA594" s="88"/>
      <c r="AB594" s="86"/>
      <c r="AC594" s="88"/>
      <c r="AD594" s="86"/>
      <c r="AE594" s="88"/>
      <c r="AF594" s="86"/>
      <c r="AG594" s="88"/>
      <c r="AH594" s="86"/>
      <c r="AI594" s="88"/>
      <c r="AJ594" s="86"/>
      <c r="AK594" s="88"/>
      <c r="AL594" s="86"/>
      <c r="AM594" s="88"/>
      <c r="AN594" s="86"/>
      <c r="AO594" s="88"/>
      <c r="AP594" s="86"/>
      <c r="AQ594" s="88"/>
      <c r="AR594" s="86"/>
      <c r="AS594" s="88"/>
      <c r="AT594" s="86"/>
      <c r="AU594" s="88"/>
      <c r="AV594" s="86"/>
      <c r="AW594" s="88"/>
      <c r="AX594" s="86"/>
      <c r="AY594" s="88"/>
      <c r="AZ594" s="86"/>
      <c r="BA594" s="88"/>
      <c r="BB594" s="86"/>
      <c r="BC594" s="88"/>
      <c r="BD594" s="86"/>
      <c r="BE594" s="88"/>
      <c r="BF594" s="86"/>
      <c r="BG594" s="88"/>
      <c r="BH594" s="86"/>
      <c r="BI594" s="88"/>
      <c r="BJ594" s="86"/>
      <c r="BK594" s="88"/>
      <c r="BL594" s="86"/>
      <c r="BM594" s="88"/>
      <c r="BN594" s="86"/>
      <c r="BO594" s="88"/>
      <c r="BP594" s="86"/>
      <c r="BQ594" s="88"/>
      <c r="BR594" s="86"/>
      <c r="BS594" s="87"/>
    </row>
    <row r="595" ht="22.5" customHeight="1">
      <c r="A595" s="154"/>
      <c r="B595" s="83"/>
      <c r="C595" s="151"/>
      <c r="D595" s="83"/>
      <c r="E595" s="151"/>
      <c r="F595" s="83"/>
      <c r="G595" s="85"/>
      <c r="H595" s="86"/>
      <c r="I595" s="87"/>
      <c r="J595" s="86"/>
      <c r="K595" s="88"/>
      <c r="L595" s="86"/>
      <c r="M595" s="88"/>
      <c r="N595" s="86"/>
      <c r="O595" s="88"/>
      <c r="P595" s="86"/>
      <c r="Q595" s="88"/>
      <c r="R595" s="86"/>
      <c r="S595" s="88"/>
      <c r="T595" s="86"/>
      <c r="U595" s="88"/>
      <c r="V595" s="86"/>
      <c r="W595" s="88"/>
      <c r="X595" s="86"/>
      <c r="Y595" s="88"/>
      <c r="Z595" s="86"/>
      <c r="AA595" s="88"/>
      <c r="AB595" s="86"/>
      <c r="AC595" s="88"/>
      <c r="AD595" s="86"/>
      <c r="AE595" s="88"/>
      <c r="AF595" s="86"/>
      <c r="AG595" s="88"/>
      <c r="AH595" s="86"/>
      <c r="AI595" s="88"/>
      <c r="AJ595" s="86"/>
      <c r="AK595" s="88"/>
      <c r="AL595" s="86"/>
      <c r="AM595" s="88"/>
      <c r="AN595" s="86"/>
      <c r="AO595" s="88"/>
      <c r="AP595" s="86"/>
      <c r="AQ595" s="88"/>
      <c r="AR595" s="86"/>
      <c r="AS595" s="88"/>
      <c r="AT595" s="86"/>
      <c r="AU595" s="88"/>
      <c r="AV595" s="86"/>
      <c r="AW595" s="88"/>
      <c r="AX595" s="86"/>
      <c r="AY595" s="88"/>
      <c r="AZ595" s="86"/>
      <c r="BA595" s="88"/>
      <c r="BB595" s="86"/>
      <c r="BC595" s="88"/>
      <c r="BD595" s="86"/>
      <c r="BE595" s="88"/>
      <c r="BF595" s="86"/>
      <c r="BG595" s="88"/>
      <c r="BH595" s="86"/>
      <c r="BI595" s="88"/>
      <c r="BJ595" s="86"/>
      <c r="BK595" s="88"/>
      <c r="BL595" s="86"/>
      <c r="BM595" s="88"/>
      <c r="BN595" s="86"/>
      <c r="BO595" s="88"/>
      <c r="BP595" s="86"/>
      <c r="BQ595" s="88"/>
      <c r="BR595" s="86"/>
      <c r="BS595" s="87"/>
    </row>
    <row r="596" ht="22.5" customHeight="1">
      <c r="A596" s="154"/>
      <c r="B596" s="83"/>
      <c r="C596" s="151"/>
      <c r="D596" s="83"/>
      <c r="E596" s="151"/>
      <c r="F596" s="83"/>
      <c r="G596" s="85"/>
      <c r="H596" s="86"/>
      <c r="I596" s="87"/>
      <c r="J596" s="86"/>
      <c r="K596" s="88"/>
      <c r="L596" s="86"/>
      <c r="M596" s="88"/>
      <c r="N596" s="86"/>
      <c r="O596" s="88"/>
      <c r="P596" s="86"/>
      <c r="Q596" s="88"/>
      <c r="R596" s="86"/>
      <c r="S596" s="88"/>
      <c r="T596" s="86"/>
      <c r="U596" s="88"/>
      <c r="V596" s="86"/>
      <c r="W596" s="88"/>
      <c r="X596" s="86"/>
      <c r="Y596" s="88"/>
      <c r="Z596" s="86"/>
      <c r="AA596" s="88"/>
      <c r="AB596" s="86"/>
      <c r="AC596" s="88"/>
      <c r="AD596" s="86"/>
      <c r="AE596" s="88"/>
      <c r="AF596" s="86"/>
      <c r="AG596" s="88"/>
      <c r="AH596" s="86"/>
      <c r="AI596" s="88"/>
      <c r="AJ596" s="86"/>
      <c r="AK596" s="88"/>
      <c r="AL596" s="86"/>
      <c r="AM596" s="88"/>
      <c r="AN596" s="86"/>
      <c r="AO596" s="88"/>
      <c r="AP596" s="86"/>
      <c r="AQ596" s="88"/>
      <c r="AR596" s="86"/>
      <c r="AS596" s="88"/>
      <c r="AT596" s="86"/>
      <c r="AU596" s="88"/>
      <c r="AV596" s="86"/>
      <c r="AW596" s="88"/>
      <c r="AX596" s="86"/>
      <c r="AY596" s="88"/>
      <c r="AZ596" s="86"/>
      <c r="BA596" s="88"/>
      <c r="BB596" s="86"/>
      <c r="BC596" s="88"/>
      <c r="BD596" s="86"/>
      <c r="BE596" s="88"/>
      <c r="BF596" s="86"/>
      <c r="BG596" s="88"/>
      <c r="BH596" s="86"/>
      <c r="BI596" s="88"/>
      <c r="BJ596" s="86"/>
      <c r="BK596" s="88"/>
      <c r="BL596" s="86"/>
      <c r="BM596" s="88"/>
      <c r="BN596" s="86"/>
      <c r="BO596" s="88"/>
      <c r="BP596" s="86"/>
      <c r="BQ596" s="88"/>
      <c r="BR596" s="86"/>
      <c r="BS596" s="87"/>
    </row>
    <row r="597" ht="22.5" customHeight="1">
      <c r="A597" s="154"/>
      <c r="B597" s="83"/>
      <c r="C597" s="151"/>
      <c r="D597" s="83"/>
      <c r="E597" s="151"/>
      <c r="F597" s="83"/>
      <c r="G597" s="85"/>
      <c r="H597" s="86"/>
      <c r="I597" s="87"/>
      <c r="J597" s="86"/>
      <c r="K597" s="88"/>
      <c r="L597" s="86"/>
      <c r="M597" s="88"/>
      <c r="N597" s="86"/>
      <c r="O597" s="88"/>
      <c r="P597" s="86"/>
      <c r="Q597" s="88"/>
      <c r="R597" s="86"/>
      <c r="S597" s="88"/>
      <c r="T597" s="86"/>
      <c r="U597" s="88"/>
      <c r="V597" s="86"/>
      <c r="W597" s="88"/>
      <c r="X597" s="86"/>
      <c r="Y597" s="88"/>
      <c r="Z597" s="86"/>
      <c r="AA597" s="88"/>
      <c r="AB597" s="86"/>
      <c r="AC597" s="88"/>
      <c r="AD597" s="86"/>
      <c r="AE597" s="88"/>
      <c r="AF597" s="86"/>
      <c r="AG597" s="88"/>
      <c r="AH597" s="86"/>
      <c r="AI597" s="88"/>
      <c r="AJ597" s="86"/>
      <c r="AK597" s="88"/>
      <c r="AL597" s="86"/>
      <c r="AM597" s="88"/>
      <c r="AN597" s="86"/>
      <c r="AO597" s="88"/>
      <c r="AP597" s="86"/>
      <c r="AQ597" s="88"/>
      <c r="AR597" s="86"/>
      <c r="AS597" s="88"/>
      <c r="AT597" s="86"/>
      <c r="AU597" s="88"/>
      <c r="AV597" s="86"/>
      <c r="AW597" s="88"/>
      <c r="AX597" s="86"/>
      <c r="AY597" s="88"/>
      <c r="AZ597" s="86"/>
      <c r="BA597" s="88"/>
      <c r="BB597" s="86"/>
      <c r="BC597" s="88"/>
      <c r="BD597" s="86"/>
      <c r="BE597" s="88"/>
      <c r="BF597" s="86"/>
      <c r="BG597" s="88"/>
      <c r="BH597" s="86"/>
      <c r="BI597" s="88"/>
      <c r="BJ597" s="86"/>
      <c r="BK597" s="88"/>
      <c r="BL597" s="86"/>
      <c r="BM597" s="88"/>
      <c r="BN597" s="86"/>
      <c r="BO597" s="88"/>
      <c r="BP597" s="86"/>
      <c r="BQ597" s="88"/>
      <c r="BR597" s="86"/>
      <c r="BS597" s="87"/>
    </row>
    <row r="598" ht="22.5" customHeight="1">
      <c r="A598" s="154"/>
      <c r="B598" s="83"/>
      <c r="C598" s="151"/>
      <c r="D598" s="83"/>
      <c r="E598" s="151"/>
      <c r="F598" s="83"/>
      <c r="G598" s="85"/>
      <c r="H598" s="86"/>
      <c r="I598" s="87"/>
      <c r="J598" s="86"/>
      <c r="K598" s="88"/>
      <c r="L598" s="86"/>
      <c r="M598" s="88"/>
      <c r="N598" s="86"/>
      <c r="O598" s="88"/>
      <c r="P598" s="86"/>
      <c r="Q598" s="88"/>
      <c r="R598" s="86"/>
      <c r="S598" s="88"/>
      <c r="T598" s="86"/>
      <c r="U598" s="88"/>
      <c r="V598" s="86"/>
      <c r="W598" s="88"/>
      <c r="X598" s="86"/>
      <c r="Y598" s="88"/>
      <c r="Z598" s="86"/>
      <c r="AA598" s="88"/>
      <c r="AB598" s="86"/>
      <c r="AC598" s="88"/>
      <c r="AD598" s="86"/>
      <c r="AE598" s="88"/>
      <c r="AF598" s="86"/>
      <c r="AG598" s="88"/>
      <c r="AH598" s="86"/>
      <c r="AI598" s="88"/>
      <c r="AJ598" s="86"/>
      <c r="AK598" s="88"/>
      <c r="AL598" s="86"/>
      <c r="AM598" s="88"/>
      <c r="AN598" s="86"/>
      <c r="AO598" s="88"/>
      <c r="AP598" s="86"/>
      <c r="AQ598" s="88"/>
      <c r="AR598" s="86"/>
      <c r="AS598" s="88"/>
      <c r="AT598" s="86"/>
      <c r="AU598" s="88"/>
      <c r="AV598" s="86"/>
      <c r="AW598" s="88"/>
      <c r="AX598" s="86"/>
      <c r="AY598" s="88"/>
      <c r="AZ598" s="86"/>
      <c r="BA598" s="88"/>
      <c r="BB598" s="86"/>
      <c r="BC598" s="88"/>
      <c r="BD598" s="86"/>
      <c r="BE598" s="88"/>
      <c r="BF598" s="86"/>
      <c r="BG598" s="88"/>
      <c r="BH598" s="86"/>
      <c r="BI598" s="88"/>
      <c r="BJ598" s="86"/>
      <c r="BK598" s="88"/>
      <c r="BL598" s="86"/>
      <c r="BM598" s="88"/>
      <c r="BN598" s="86"/>
      <c r="BO598" s="88"/>
      <c r="BP598" s="86"/>
      <c r="BQ598" s="88"/>
      <c r="BR598" s="86"/>
      <c r="BS598" s="87"/>
    </row>
    <row r="599" ht="22.5" customHeight="1">
      <c r="A599" s="154"/>
      <c r="B599" s="83"/>
      <c r="C599" s="151"/>
      <c r="D599" s="83"/>
      <c r="E599" s="151"/>
      <c r="F599" s="83"/>
      <c r="G599" s="85"/>
      <c r="H599" s="86"/>
      <c r="I599" s="87"/>
      <c r="J599" s="86"/>
      <c r="K599" s="88"/>
      <c r="L599" s="86"/>
      <c r="M599" s="88"/>
      <c r="N599" s="86"/>
      <c r="O599" s="88"/>
      <c r="P599" s="86"/>
      <c r="Q599" s="88"/>
      <c r="R599" s="86"/>
      <c r="S599" s="88"/>
      <c r="T599" s="86"/>
      <c r="U599" s="88"/>
      <c r="V599" s="86"/>
      <c r="W599" s="88"/>
      <c r="X599" s="86"/>
      <c r="Y599" s="88"/>
      <c r="Z599" s="86"/>
      <c r="AA599" s="88"/>
      <c r="AB599" s="86"/>
      <c r="AC599" s="88"/>
      <c r="AD599" s="86"/>
      <c r="AE599" s="88"/>
      <c r="AF599" s="86"/>
      <c r="AG599" s="88"/>
      <c r="AH599" s="86"/>
      <c r="AI599" s="88"/>
      <c r="AJ599" s="86"/>
      <c r="AK599" s="88"/>
      <c r="AL599" s="86"/>
      <c r="AM599" s="88"/>
      <c r="AN599" s="86"/>
      <c r="AO599" s="88"/>
      <c r="AP599" s="86"/>
      <c r="AQ599" s="88"/>
      <c r="AR599" s="86"/>
      <c r="AS599" s="88"/>
      <c r="AT599" s="86"/>
      <c r="AU599" s="88"/>
      <c r="AV599" s="86"/>
      <c r="AW599" s="88"/>
      <c r="AX599" s="86"/>
      <c r="AY599" s="88"/>
      <c r="AZ599" s="86"/>
      <c r="BA599" s="88"/>
      <c r="BB599" s="86"/>
      <c r="BC599" s="88"/>
      <c r="BD599" s="86"/>
      <c r="BE599" s="88"/>
      <c r="BF599" s="86"/>
      <c r="BG599" s="88"/>
      <c r="BH599" s="86"/>
      <c r="BI599" s="88"/>
      <c r="BJ599" s="86"/>
      <c r="BK599" s="88"/>
      <c r="BL599" s="86"/>
      <c r="BM599" s="88"/>
      <c r="BN599" s="86"/>
      <c r="BO599" s="88"/>
      <c r="BP599" s="86"/>
      <c r="BQ599" s="88"/>
      <c r="BR599" s="86"/>
      <c r="BS599" s="87"/>
    </row>
    <row r="600" ht="22.5" customHeight="1">
      <c r="A600" s="154"/>
      <c r="B600" s="83"/>
      <c r="C600" s="151"/>
      <c r="D600" s="83"/>
      <c r="E600" s="151"/>
      <c r="F600" s="83"/>
      <c r="G600" s="85"/>
      <c r="H600" s="86"/>
      <c r="I600" s="87"/>
      <c r="J600" s="86"/>
      <c r="K600" s="88"/>
      <c r="L600" s="86"/>
      <c r="M600" s="88"/>
      <c r="N600" s="86"/>
      <c r="O600" s="88"/>
      <c r="P600" s="86"/>
      <c r="Q600" s="88"/>
      <c r="R600" s="86"/>
      <c r="S600" s="88"/>
      <c r="T600" s="86"/>
      <c r="U600" s="88"/>
      <c r="V600" s="86"/>
      <c r="W600" s="88"/>
      <c r="X600" s="86"/>
      <c r="Y600" s="88"/>
      <c r="Z600" s="86"/>
      <c r="AA600" s="88"/>
      <c r="AB600" s="86"/>
      <c r="AC600" s="88"/>
      <c r="AD600" s="86"/>
      <c r="AE600" s="88"/>
      <c r="AF600" s="86"/>
      <c r="AG600" s="88"/>
      <c r="AH600" s="86"/>
      <c r="AI600" s="88"/>
      <c r="AJ600" s="86"/>
      <c r="AK600" s="88"/>
      <c r="AL600" s="86"/>
      <c r="AM600" s="88"/>
      <c r="AN600" s="86"/>
      <c r="AO600" s="88"/>
      <c r="AP600" s="86"/>
      <c r="AQ600" s="88"/>
      <c r="AR600" s="86"/>
      <c r="AS600" s="88"/>
      <c r="AT600" s="86"/>
      <c r="AU600" s="88"/>
      <c r="AV600" s="86"/>
      <c r="AW600" s="88"/>
      <c r="AX600" s="86"/>
      <c r="AY600" s="88"/>
      <c r="AZ600" s="86"/>
      <c r="BA600" s="88"/>
      <c r="BB600" s="86"/>
      <c r="BC600" s="88"/>
      <c r="BD600" s="86"/>
      <c r="BE600" s="88"/>
      <c r="BF600" s="86"/>
      <c r="BG600" s="88"/>
      <c r="BH600" s="86"/>
      <c r="BI600" s="88"/>
      <c r="BJ600" s="86"/>
      <c r="BK600" s="88"/>
      <c r="BL600" s="86"/>
      <c r="BM600" s="88"/>
      <c r="BN600" s="86"/>
      <c r="BO600" s="88"/>
      <c r="BP600" s="86"/>
      <c r="BQ600" s="88"/>
      <c r="BR600" s="86"/>
      <c r="BS600" s="87"/>
    </row>
    <row r="601" ht="22.5" customHeight="1">
      <c r="A601" s="154"/>
      <c r="B601" s="83"/>
      <c r="C601" s="151"/>
      <c r="D601" s="83"/>
      <c r="E601" s="151"/>
      <c r="F601" s="83"/>
      <c r="G601" s="85"/>
      <c r="H601" s="86"/>
      <c r="I601" s="87"/>
      <c r="J601" s="86"/>
      <c r="K601" s="88"/>
      <c r="L601" s="86"/>
      <c r="M601" s="88"/>
      <c r="N601" s="86"/>
      <c r="O601" s="88"/>
      <c r="P601" s="86"/>
      <c r="Q601" s="88"/>
      <c r="R601" s="86"/>
      <c r="S601" s="88"/>
      <c r="T601" s="86"/>
      <c r="U601" s="88"/>
      <c r="V601" s="86"/>
      <c r="W601" s="88"/>
      <c r="X601" s="86"/>
      <c r="Y601" s="88"/>
      <c r="Z601" s="86"/>
      <c r="AA601" s="88"/>
      <c r="AB601" s="86"/>
      <c r="AC601" s="88"/>
      <c r="AD601" s="86"/>
      <c r="AE601" s="88"/>
      <c r="AF601" s="86"/>
      <c r="AG601" s="88"/>
      <c r="AH601" s="86"/>
      <c r="AI601" s="88"/>
      <c r="AJ601" s="86"/>
      <c r="AK601" s="88"/>
      <c r="AL601" s="86"/>
      <c r="AM601" s="88"/>
      <c r="AN601" s="86"/>
      <c r="AO601" s="88"/>
      <c r="AP601" s="86"/>
      <c r="AQ601" s="88"/>
      <c r="AR601" s="86"/>
      <c r="AS601" s="88"/>
      <c r="AT601" s="86"/>
      <c r="AU601" s="88"/>
      <c r="AV601" s="86"/>
      <c r="AW601" s="88"/>
      <c r="AX601" s="86"/>
      <c r="AY601" s="88"/>
      <c r="AZ601" s="86"/>
      <c r="BA601" s="88"/>
      <c r="BB601" s="86"/>
      <c r="BC601" s="88"/>
      <c r="BD601" s="86"/>
      <c r="BE601" s="88"/>
      <c r="BF601" s="86"/>
      <c r="BG601" s="88"/>
      <c r="BH601" s="86"/>
      <c r="BI601" s="88"/>
      <c r="BJ601" s="86"/>
      <c r="BK601" s="88"/>
      <c r="BL601" s="86"/>
      <c r="BM601" s="88"/>
      <c r="BN601" s="86"/>
      <c r="BO601" s="88"/>
      <c r="BP601" s="86"/>
      <c r="BQ601" s="88"/>
      <c r="BR601" s="86"/>
      <c r="BS601" s="87"/>
    </row>
    <row r="602" ht="22.5" customHeight="1">
      <c r="A602" s="154"/>
      <c r="B602" s="83"/>
      <c r="C602" s="151"/>
      <c r="D602" s="83"/>
      <c r="E602" s="151"/>
      <c r="F602" s="83"/>
      <c r="G602" s="85"/>
      <c r="H602" s="86"/>
      <c r="I602" s="87"/>
      <c r="J602" s="86"/>
      <c r="K602" s="88"/>
      <c r="L602" s="86"/>
      <c r="M602" s="88"/>
      <c r="N602" s="86"/>
      <c r="O602" s="88"/>
      <c r="P602" s="86"/>
      <c r="Q602" s="88"/>
      <c r="R602" s="86"/>
      <c r="S602" s="88"/>
      <c r="T602" s="86"/>
      <c r="U602" s="88"/>
      <c r="V602" s="86"/>
      <c r="W602" s="88"/>
      <c r="X602" s="86"/>
      <c r="Y602" s="88"/>
      <c r="Z602" s="86"/>
      <c r="AA602" s="88"/>
      <c r="AB602" s="86"/>
      <c r="AC602" s="88"/>
      <c r="AD602" s="86"/>
      <c r="AE602" s="88"/>
      <c r="AF602" s="86"/>
      <c r="AG602" s="88"/>
      <c r="AH602" s="86"/>
      <c r="AI602" s="88"/>
      <c r="AJ602" s="86"/>
      <c r="AK602" s="88"/>
      <c r="AL602" s="86"/>
      <c r="AM602" s="88"/>
      <c r="AN602" s="86"/>
      <c r="AO602" s="88"/>
      <c r="AP602" s="86"/>
      <c r="AQ602" s="88"/>
      <c r="AR602" s="86"/>
      <c r="AS602" s="88"/>
      <c r="AT602" s="86"/>
      <c r="AU602" s="88"/>
      <c r="AV602" s="86"/>
      <c r="AW602" s="88"/>
      <c r="AX602" s="86"/>
      <c r="AY602" s="88"/>
      <c r="AZ602" s="86"/>
      <c r="BA602" s="88"/>
      <c r="BB602" s="86"/>
      <c r="BC602" s="88"/>
      <c r="BD602" s="86"/>
      <c r="BE602" s="88"/>
      <c r="BF602" s="86"/>
      <c r="BG602" s="88"/>
      <c r="BH602" s="86"/>
      <c r="BI602" s="88"/>
      <c r="BJ602" s="86"/>
      <c r="BK602" s="88"/>
      <c r="BL602" s="86"/>
      <c r="BM602" s="88"/>
      <c r="BN602" s="86"/>
      <c r="BO602" s="88"/>
      <c r="BP602" s="86"/>
      <c r="BQ602" s="88"/>
      <c r="BR602" s="86"/>
      <c r="BS602" s="87"/>
    </row>
    <row r="603" ht="22.5" customHeight="1">
      <c r="A603" s="154"/>
      <c r="B603" s="83"/>
      <c r="C603" s="151"/>
      <c r="D603" s="83"/>
      <c r="E603" s="151"/>
      <c r="F603" s="83"/>
      <c r="G603" s="85"/>
      <c r="H603" s="86"/>
      <c r="I603" s="87"/>
      <c r="J603" s="86"/>
      <c r="K603" s="88"/>
      <c r="L603" s="86"/>
      <c r="M603" s="88"/>
      <c r="N603" s="86"/>
      <c r="O603" s="88"/>
      <c r="P603" s="86"/>
      <c r="Q603" s="88"/>
      <c r="R603" s="86"/>
      <c r="S603" s="88"/>
      <c r="T603" s="86"/>
      <c r="U603" s="88"/>
      <c r="V603" s="86"/>
      <c r="W603" s="88"/>
      <c r="X603" s="86"/>
      <c r="Y603" s="88"/>
      <c r="Z603" s="86"/>
      <c r="AA603" s="88"/>
      <c r="AB603" s="86"/>
      <c r="AC603" s="88"/>
      <c r="AD603" s="86"/>
      <c r="AE603" s="88"/>
      <c r="AF603" s="86"/>
      <c r="AG603" s="88"/>
      <c r="AH603" s="86"/>
      <c r="AI603" s="88"/>
      <c r="AJ603" s="86"/>
      <c r="AK603" s="88"/>
      <c r="AL603" s="86"/>
      <c r="AM603" s="88"/>
      <c r="AN603" s="86"/>
      <c r="AO603" s="88"/>
      <c r="AP603" s="86"/>
      <c r="AQ603" s="88"/>
      <c r="AR603" s="86"/>
      <c r="AS603" s="88"/>
      <c r="AT603" s="86"/>
      <c r="AU603" s="88"/>
      <c r="AV603" s="86"/>
      <c r="AW603" s="88"/>
      <c r="AX603" s="86"/>
      <c r="AY603" s="88"/>
      <c r="AZ603" s="86"/>
      <c r="BA603" s="88"/>
      <c r="BB603" s="86"/>
      <c r="BC603" s="88"/>
      <c r="BD603" s="86"/>
      <c r="BE603" s="88"/>
      <c r="BF603" s="86"/>
      <c r="BG603" s="88"/>
      <c r="BH603" s="86"/>
      <c r="BI603" s="88"/>
      <c r="BJ603" s="86"/>
      <c r="BK603" s="88"/>
      <c r="BL603" s="86"/>
      <c r="BM603" s="88"/>
      <c r="BN603" s="86"/>
      <c r="BO603" s="88"/>
      <c r="BP603" s="86"/>
      <c r="BQ603" s="88"/>
      <c r="BR603" s="86"/>
      <c r="BS603" s="87"/>
    </row>
    <row r="604" ht="22.5" customHeight="1">
      <c r="A604" s="154"/>
      <c r="B604" s="83"/>
      <c r="C604" s="151"/>
      <c r="D604" s="83"/>
      <c r="E604" s="151"/>
      <c r="F604" s="83"/>
      <c r="G604" s="85"/>
      <c r="H604" s="86"/>
      <c r="I604" s="87"/>
      <c r="J604" s="86"/>
      <c r="K604" s="88"/>
      <c r="L604" s="86"/>
      <c r="M604" s="88"/>
      <c r="N604" s="86"/>
      <c r="O604" s="88"/>
      <c r="P604" s="86"/>
      <c r="Q604" s="88"/>
      <c r="R604" s="86"/>
      <c r="S604" s="88"/>
      <c r="T604" s="86"/>
      <c r="U604" s="88"/>
      <c r="V604" s="86"/>
      <c r="W604" s="88"/>
      <c r="X604" s="86"/>
      <c r="Y604" s="88"/>
      <c r="Z604" s="86"/>
      <c r="AA604" s="88"/>
      <c r="AB604" s="86"/>
      <c r="AC604" s="88"/>
      <c r="AD604" s="86"/>
      <c r="AE604" s="88"/>
      <c r="AF604" s="86"/>
      <c r="AG604" s="88"/>
      <c r="AH604" s="86"/>
      <c r="AI604" s="88"/>
      <c r="AJ604" s="86"/>
      <c r="AK604" s="88"/>
      <c r="AL604" s="86"/>
      <c r="AM604" s="88"/>
      <c r="AN604" s="86"/>
      <c r="AO604" s="88"/>
      <c r="AP604" s="86"/>
      <c r="AQ604" s="88"/>
      <c r="AR604" s="86"/>
      <c r="AS604" s="88"/>
      <c r="AT604" s="86"/>
      <c r="AU604" s="88"/>
      <c r="AV604" s="86"/>
      <c r="AW604" s="88"/>
      <c r="AX604" s="86"/>
      <c r="AY604" s="88"/>
      <c r="AZ604" s="86"/>
      <c r="BA604" s="88"/>
      <c r="BB604" s="86"/>
      <c r="BC604" s="88"/>
      <c r="BD604" s="86"/>
      <c r="BE604" s="88"/>
      <c r="BF604" s="86"/>
      <c r="BG604" s="88"/>
      <c r="BH604" s="86"/>
      <c r="BI604" s="88"/>
      <c r="BJ604" s="86"/>
      <c r="BK604" s="88"/>
      <c r="BL604" s="86"/>
      <c r="BM604" s="88"/>
      <c r="BN604" s="86"/>
      <c r="BO604" s="88"/>
      <c r="BP604" s="86"/>
      <c r="BQ604" s="88"/>
      <c r="BR604" s="86"/>
      <c r="BS604" s="87"/>
    </row>
    <row r="605" ht="22.5" customHeight="1">
      <c r="A605" s="154"/>
      <c r="B605" s="83"/>
      <c r="C605" s="151"/>
      <c r="D605" s="83"/>
      <c r="E605" s="151"/>
      <c r="F605" s="83"/>
      <c r="G605" s="85"/>
      <c r="H605" s="86"/>
      <c r="I605" s="87"/>
      <c r="J605" s="86"/>
      <c r="K605" s="88"/>
      <c r="L605" s="86"/>
      <c r="M605" s="88"/>
      <c r="N605" s="86"/>
      <c r="O605" s="88"/>
      <c r="P605" s="86"/>
      <c r="Q605" s="88"/>
      <c r="R605" s="86"/>
      <c r="S605" s="88"/>
      <c r="T605" s="86"/>
      <c r="U605" s="88"/>
      <c r="V605" s="86"/>
      <c r="W605" s="88"/>
      <c r="X605" s="86"/>
      <c r="Y605" s="88"/>
      <c r="Z605" s="86"/>
      <c r="AA605" s="88"/>
      <c r="AB605" s="86"/>
      <c r="AC605" s="88"/>
      <c r="AD605" s="86"/>
      <c r="AE605" s="88"/>
      <c r="AF605" s="86"/>
      <c r="AG605" s="88"/>
      <c r="AH605" s="86"/>
      <c r="AI605" s="88"/>
      <c r="AJ605" s="86"/>
      <c r="AK605" s="88"/>
      <c r="AL605" s="86"/>
      <c r="AM605" s="88"/>
      <c r="AN605" s="86"/>
      <c r="AO605" s="88"/>
      <c r="AP605" s="86"/>
      <c r="AQ605" s="88"/>
      <c r="AR605" s="86"/>
      <c r="AS605" s="88"/>
      <c r="AT605" s="86"/>
      <c r="AU605" s="88"/>
      <c r="AV605" s="86"/>
      <c r="AW605" s="88"/>
      <c r="AX605" s="86"/>
      <c r="AY605" s="88"/>
      <c r="AZ605" s="86"/>
      <c r="BA605" s="88"/>
      <c r="BB605" s="86"/>
      <c r="BC605" s="88"/>
      <c r="BD605" s="86"/>
      <c r="BE605" s="88"/>
      <c r="BF605" s="86"/>
      <c r="BG605" s="88"/>
      <c r="BH605" s="86"/>
      <c r="BI605" s="88"/>
      <c r="BJ605" s="86"/>
      <c r="BK605" s="88"/>
      <c r="BL605" s="86"/>
      <c r="BM605" s="88"/>
      <c r="BN605" s="86"/>
      <c r="BO605" s="88"/>
      <c r="BP605" s="86"/>
      <c r="BQ605" s="88"/>
      <c r="BR605" s="86"/>
      <c r="BS605" s="87"/>
    </row>
    <row r="606" ht="22.5" customHeight="1">
      <c r="A606" s="154"/>
      <c r="B606" s="83"/>
      <c r="C606" s="151"/>
      <c r="D606" s="83"/>
      <c r="E606" s="151"/>
      <c r="F606" s="83"/>
      <c r="G606" s="85"/>
      <c r="H606" s="86"/>
      <c r="I606" s="87"/>
      <c r="J606" s="86"/>
      <c r="K606" s="88"/>
      <c r="L606" s="86"/>
      <c r="M606" s="88"/>
      <c r="N606" s="86"/>
      <c r="O606" s="88"/>
      <c r="P606" s="86"/>
      <c r="Q606" s="88"/>
      <c r="R606" s="86"/>
      <c r="S606" s="88"/>
      <c r="T606" s="86"/>
      <c r="U606" s="88"/>
      <c r="V606" s="86"/>
      <c r="W606" s="88"/>
      <c r="X606" s="86"/>
      <c r="Y606" s="88"/>
      <c r="Z606" s="86"/>
      <c r="AA606" s="88"/>
      <c r="AB606" s="86"/>
      <c r="AC606" s="88"/>
      <c r="AD606" s="86"/>
      <c r="AE606" s="88"/>
      <c r="AF606" s="86"/>
      <c r="AG606" s="88"/>
      <c r="AH606" s="86"/>
      <c r="AI606" s="88"/>
      <c r="AJ606" s="86"/>
      <c r="AK606" s="88"/>
      <c r="AL606" s="86"/>
      <c r="AM606" s="88"/>
      <c r="AN606" s="86"/>
      <c r="AO606" s="88"/>
      <c r="AP606" s="86"/>
      <c r="AQ606" s="88"/>
      <c r="AR606" s="86"/>
      <c r="AS606" s="88"/>
      <c r="AT606" s="86"/>
      <c r="AU606" s="88"/>
      <c r="AV606" s="86"/>
      <c r="AW606" s="88"/>
      <c r="AX606" s="86"/>
      <c r="AY606" s="88"/>
      <c r="AZ606" s="86"/>
      <c r="BA606" s="88"/>
      <c r="BB606" s="86"/>
      <c r="BC606" s="88"/>
      <c r="BD606" s="86"/>
      <c r="BE606" s="88"/>
      <c r="BF606" s="86"/>
      <c r="BG606" s="88"/>
      <c r="BH606" s="86"/>
      <c r="BI606" s="88"/>
      <c r="BJ606" s="86"/>
      <c r="BK606" s="88"/>
      <c r="BL606" s="86"/>
      <c r="BM606" s="88"/>
      <c r="BN606" s="86"/>
      <c r="BO606" s="88"/>
      <c r="BP606" s="86"/>
      <c r="BQ606" s="88"/>
      <c r="BR606" s="86"/>
      <c r="BS606" s="87"/>
    </row>
    <row r="607" ht="22.5" customHeight="1">
      <c r="A607" s="154"/>
      <c r="B607" s="83"/>
      <c r="C607" s="151"/>
      <c r="D607" s="83"/>
      <c r="E607" s="151"/>
      <c r="F607" s="83"/>
      <c r="G607" s="85"/>
      <c r="H607" s="86"/>
      <c r="I607" s="87"/>
      <c r="J607" s="86"/>
      <c r="K607" s="88"/>
      <c r="L607" s="86"/>
      <c r="M607" s="88"/>
      <c r="N607" s="86"/>
      <c r="O607" s="88"/>
      <c r="P607" s="86"/>
      <c r="Q607" s="88"/>
      <c r="R607" s="86"/>
      <c r="S607" s="88"/>
      <c r="T607" s="86"/>
      <c r="U607" s="88"/>
      <c r="V607" s="86"/>
      <c r="W607" s="88"/>
      <c r="X607" s="86"/>
      <c r="Y607" s="88"/>
      <c r="Z607" s="86"/>
      <c r="AA607" s="88"/>
      <c r="AB607" s="86"/>
      <c r="AC607" s="88"/>
      <c r="AD607" s="86"/>
      <c r="AE607" s="88"/>
      <c r="AF607" s="86"/>
      <c r="AG607" s="88"/>
      <c r="AH607" s="86"/>
      <c r="AI607" s="88"/>
      <c r="AJ607" s="86"/>
      <c r="AK607" s="88"/>
      <c r="AL607" s="86"/>
      <c r="AM607" s="88"/>
      <c r="AN607" s="86"/>
      <c r="AO607" s="88"/>
      <c r="AP607" s="86"/>
      <c r="AQ607" s="88"/>
      <c r="AR607" s="86"/>
      <c r="AS607" s="88"/>
      <c r="AT607" s="86"/>
      <c r="AU607" s="88"/>
      <c r="AV607" s="86"/>
      <c r="AW607" s="88"/>
      <c r="AX607" s="86"/>
      <c r="AY607" s="88"/>
      <c r="AZ607" s="86"/>
      <c r="BA607" s="88"/>
      <c r="BB607" s="86"/>
      <c r="BC607" s="88"/>
      <c r="BD607" s="86"/>
      <c r="BE607" s="88"/>
      <c r="BF607" s="86"/>
      <c r="BG607" s="88"/>
      <c r="BH607" s="86"/>
      <c r="BI607" s="88"/>
      <c r="BJ607" s="86"/>
      <c r="BK607" s="88"/>
      <c r="BL607" s="86"/>
      <c r="BM607" s="88"/>
      <c r="BN607" s="86"/>
      <c r="BO607" s="88"/>
      <c r="BP607" s="86"/>
      <c r="BQ607" s="88"/>
      <c r="BR607" s="86"/>
      <c r="BS607" s="87"/>
    </row>
    <row r="608" ht="22.5" customHeight="1">
      <c r="A608" s="154"/>
      <c r="B608" s="83"/>
      <c r="C608" s="151"/>
      <c r="D608" s="83"/>
      <c r="E608" s="151"/>
      <c r="F608" s="83"/>
      <c r="G608" s="85"/>
      <c r="H608" s="86"/>
      <c r="I608" s="87"/>
      <c r="J608" s="86"/>
      <c r="K608" s="88"/>
      <c r="L608" s="86"/>
      <c r="M608" s="88"/>
      <c r="N608" s="86"/>
      <c r="O608" s="88"/>
      <c r="P608" s="86"/>
      <c r="Q608" s="88"/>
      <c r="R608" s="86"/>
      <c r="S608" s="88"/>
      <c r="T608" s="86"/>
      <c r="U608" s="88"/>
      <c r="V608" s="86"/>
      <c r="W608" s="88"/>
      <c r="X608" s="86"/>
      <c r="Y608" s="88"/>
      <c r="Z608" s="86"/>
      <c r="AA608" s="88"/>
      <c r="AB608" s="86"/>
      <c r="AC608" s="88"/>
      <c r="AD608" s="86"/>
      <c r="AE608" s="88"/>
      <c r="AF608" s="86"/>
      <c r="AG608" s="88"/>
      <c r="AH608" s="86"/>
      <c r="AI608" s="88"/>
      <c r="AJ608" s="86"/>
      <c r="AK608" s="88"/>
      <c r="AL608" s="86"/>
      <c r="AM608" s="88"/>
      <c r="AN608" s="86"/>
      <c r="AO608" s="88"/>
      <c r="AP608" s="86"/>
      <c r="AQ608" s="88"/>
      <c r="AR608" s="86"/>
      <c r="AS608" s="88"/>
      <c r="AT608" s="86"/>
      <c r="AU608" s="88"/>
      <c r="AV608" s="86"/>
      <c r="AW608" s="88"/>
      <c r="AX608" s="86"/>
      <c r="AY608" s="88"/>
      <c r="AZ608" s="86"/>
      <c r="BA608" s="88"/>
      <c r="BB608" s="86"/>
      <c r="BC608" s="88"/>
      <c r="BD608" s="86"/>
      <c r="BE608" s="88"/>
      <c r="BF608" s="86"/>
      <c r="BG608" s="88"/>
      <c r="BH608" s="86"/>
      <c r="BI608" s="88"/>
      <c r="BJ608" s="86"/>
      <c r="BK608" s="88"/>
      <c r="BL608" s="86"/>
      <c r="BM608" s="88"/>
      <c r="BN608" s="86"/>
      <c r="BO608" s="88"/>
      <c r="BP608" s="86"/>
      <c r="BQ608" s="88"/>
      <c r="BR608" s="86"/>
      <c r="BS608" s="87"/>
    </row>
    <row r="609" ht="22.5" customHeight="1">
      <c r="A609" s="154"/>
      <c r="B609" s="83"/>
      <c r="C609" s="151"/>
      <c r="D609" s="83"/>
      <c r="E609" s="151"/>
      <c r="F609" s="83"/>
      <c r="G609" s="85"/>
      <c r="H609" s="86"/>
      <c r="I609" s="87"/>
      <c r="J609" s="86"/>
      <c r="K609" s="88"/>
      <c r="L609" s="86"/>
      <c r="M609" s="88"/>
      <c r="N609" s="86"/>
      <c r="O609" s="88"/>
      <c r="P609" s="86"/>
      <c r="Q609" s="88"/>
      <c r="R609" s="86"/>
      <c r="S609" s="88"/>
      <c r="T609" s="86"/>
      <c r="U609" s="88"/>
      <c r="V609" s="86"/>
      <c r="W609" s="88"/>
      <c r="X609" s="86"/>
      <c r="Y609" s="88"/>
      <c r="Z609" s="86"/>
      <c r="AA609" s="88"/>
      <c r="AB609" s="86"/>
      <c r="AC609" s="88"/>
      <c r="AD609" s="86"/>
      <c r="AE609" s="88"/>
      <c r="AF609" s="86"/>
      <c r="AG609" s="88"/>
      <c r="AH609" s="86"/>
      <c r="AI609" s="88"/>
      <c r="AJ609" s="86"/>
      <c r="AK609" s="88"/>
      <c r="AL609" s="86"/>
      <c r="AM609" s="88"/>
      <c r="AN609" s="86"/>
      <c r="AO609" s="88"/>
      <c r="AP609" s="86"/>
      <c r="AQ609" s="88"/>
      <c r="AR609" s="86"/>
      <c r="AS609" s="88"/>
      <c r="AT609" s="86"/>
      <c r="AU609" s="88"/>
      <c r="AV609" s="86"/>
      <c r="AW609" s="88"/>
      <c r="AX609" s="86"/>
      <c r="AY609" s="88"/>
      <c r="AZ609" s="86"/>
      <c r="BA609" s="88"/>
      <c r="BB609" s="86"/>
      <c r="BC609" s="88"/>
      <c r="BD609" s="86"/>
      <c r="BE609" s="88"/>
      <c r="BF609" s="86"/>
      <c r="BG609" s="88"/>
      <c r="BH609" s="86"/>
      <c r="BI609" s="88"/>
      <c r="BJ609" s="86"/>
      <c r="BK609" s="88"/>
      <c r="BL609" s="86"/>
      <c r="BM609" s="88"/>
      <c r="BN609" s="86"/>
      <c r="BO609" s="88"/>
      <c r="BP609" s="86"/>
      <c r="BQ609" s="88"/>
      <c r="BR609" s="86"/>
      <c r="BS609" s="87"/>
    </row>
    <row r="610" ht="22.5" customHeight="1">
      <c r="A610" s="154"/>
      <c r="B610" s="83"/>
      <c r="C610" s="151"/>
      <c r="D610" s="83"/>
      <c r="E610" s="151"/>
      <c r="F610" s="83"/>
      <c r="G610" s="85"/>
      <c r="H610" s="86"/>
      <c r="I610" s="87"/>
      <c r="J610" s="86"/>
      <c r="K610" s="88"/>
      <c r="L610" s="86"/>
      <c r="M610" s="88"/>
      <c r="N610" s="86"/>
      <c r="O610" s="88"/>
      <c r="P610" s="86"/>
      <c r="Q610" s="88"/>
      <c r="R610" s="86"/>
      <c r="S610" s="88"/>
      <c r="T610" s="86"/>
      <c r="U610" s="88"/>
      <c r="V610" s="86"/>
      <c r="W610" s="88"/>
      <c r="X610" s="86"/>
      <c r="Y610" s="88"/>
      <c r="Z610" s="86"/>
      <c r="AA610" s="88"/>
      <c r="AB610" s="86"/>
      <c r="AC610" s="88"/>
      <c r="AD610" s="86"/>
      <c r="AE610" s="88"/>
      <c r="AF610" s="86"/>
      <c r="AG610" s="88"/>
      <c r="AH610" s="86"/>
      <c r="AI610" s="88"/>
      <c r="AJ610" s="86"/>
      <c r="AK610" s="88"/>
      <c r="AL610" s="86"/>
      <c r="AM610" s="88"/>
      <c r="AN610" s="86"/>
      <c r="AO610" s="88"/>
      <c r="AP610" s="86"/>
      <c r="AQ610" s="88"/>
      <c r="AR610" s="86"/>
      <c r="AS610" s="88"/>
      <c r="AT610" s="86"/>
      <c r="AU610" s="88"/>
      <c r="AV610" s="86"/>
      <c r="AW610" s="88"/>
      <c r="AX610" s="86"/>
      <c r="AY610" s="88"/>
      <c r="AZ610" s="86"/>
      <c r="BA610" s="88"/>
      <c r="BB610" s="86"/>
      <c r="BC610" s="88"/>
      <c r="BD610" s="86"/>
      <c r="BE610" s="88"/>
      <c r="BF610" s="86"/>
      <c r="BG610" s="88"/>
      <c r="BH610" s="86"/>
      <c r="BI610" s="88"/>
      <c r="BJ610" s="86"/>
      <c r="BK610" s="88"/>
      <c r="BL610" s="86"/>
      <c r="BM610" s="88"/>
      <c r="BN610" s="86"/>
      <c r="BO610" s="88"/>
      <c r="BP610" s="86"/>
      <c r="BQ610" s="88"/>
      <c r="BR610" s="86"/>
      <c r="BS610" s="87"/>
    </row>
    <row r="611" ht="22.5" customHeight="1">
      <c r="A611" s="154"/>
      <c r="B611" s="83"/>
      <c r="C611" s="151"/>
      <c r="D611" s="83"/>
      <c r="E611" s="151"/>
      <c r="F611" s="83"/>
      <c r="G611" s="85"/>
      <c r="H611" s="86"/>
      <c r="I611" s="87"/>
      <c r="J611" s="86"/>
      <c r="K611" s="88"/>
      <c r="L611" s="86"/>
      <c r="M611" s="88"/>
      <c r="N611" s="86"/>
      <c r="O611" s="88"/>
      <c r="P611" s="86"/>
      <c r="Q611" s="88"/>
      <c r="R611" s="86"/>
      <c r="S611" s="88"/>
      <c r="T611" s="86"/>
      <c r="U611" s="88"/>
      <c r="V611" s="86"/>
      <c r="W611" s="88"/>
      <c r="X611" s="86"/>
      <c r="Y611" s="88"/>
      <c r="Z611" s="86"/>
      <c r="AA611" s="88"/>
      <c r="AB611" s="86"/>
      <c r="AC611" s="88"/>
      <c r="AD611" s="86"/>
      <c r="AE611" s="88"/>
      <c r="AF611" s="86"/>
      <c r="AG611" s="88"/>
      <c r="AH611" s="86"/>
      <c r="AI611" s="88"/>
      <c r="AJ611" s="86"/>
      <c r="AK611" s="88"/>
      <c r="AL611" s="86"/>
      <c r="AM611" s="88"/>
      <c r="AN611" s="86"/>
      <c r="AO611" s="88"/>
      <c r="AP611" s="86"/>
      <c r="AQ611" s="88"/>
      <c r="AR611" s="86"/>
      <c r="AS611" s="88"/>
      <c r="AT611" s="86"/>
      <c r="AU611" s="88"/>
      <c r="AV611" s="86"/>
      <c r="AW611" s="88"/>
      <c r="AX611" s="86"/>
      <c r="AY611" s="88"/>
      <c r="AZ611" s="86"/>
      <c r="BA611" s="88"/>
      <c r="BB611" s="86"/>
      <c r="BC611" s="88"/>
      <c r="BD611" s="86"/>
      <c r="BE611" s="88"/>
      <c r="BF611" s="86"/>
      <c r="BG611" s="88"/>
      <c r="BH611" s="86"/>
      <c r="BI611" s="88"/>
      <c r="BJ611" s="86"/>
      <c r="BK611" s="88"/>
      <c r="BL611" s="86"/>
      <c r="BM611" s="88"/>
      <c r="BN611" s="86"/>
      <c r="BO611" s="88"/>
      <c r="BP611" s="86"/>
      <c r="BQ611" s="88"/>
      <c r="BR611" s="86"/>
      <c r="BS611" s="87"/>
    </row>
    <row r="612" ht="22.5" customHeight="1">
      <c r="A612" s="154"/>
      <c r="B612" s="83"/>
      <c r="C612" s="151"/>
      <c r="D612" s="83"/>
      <c r="E612" s="151"/>
      <c r="F612" s="83"/>
      <c r="G612" s="85"/>
      <c r="H612" s="86"/>
      <c r="I612" s="87"/>
      <c r="J612" s="86"/>
      <c r="K612" s="88"/>
      <c r="L612" s="86"/>
      <c r="M612" s="88"/>
      <c r="N612" s="86"/>
      <c r="O612" s="88"/>
      <c r="P612" s="86"/>
      <c r="Q612" s="88"/>
      <c r="R612" s="86"/>
      <c r="S612" s="88"/>
      <c r="T612" s="86"/>
      <c r="U612" s="88"/>
      <c r="V612" s="86"/>
      <c r="W612" s="88"/>
      <c r="X612" s="86"/>
      <c r="Y612" s="88"/>
      <c r="Z612" s="86"/>
      <c r="AA612" s="88"/>
      <c r="AB612" s="86"/>
      <c r="AC612" s="88"/>
      <c r="AD612" s="86"/>
      <c r="AE612" s="88"/>
      <c r="AF612" s="86"/>
      <c r="AG612" s="88"/>
      <c r="AH612" s="86"/>
      <c r="AI612" s="88"/>
      <c r="AJ612" s="86"/>
      <c r="AK612" s="88"/>
      <c r="AL612" s="86"/>
      <c r="AM612" s="88"/>
      <c r="AN612" s="86"/>
      <c r="AO612" s="88"/>
      <c r="AP612" s="86"/>
      <c r="AQ612" s="88"/>
      <c r="AR612" s="86"/>
      <c r="AS612" s="88"/>
      <c r="AT612" s="86"/>
      <c r="AU612" s="88"/>
      <c r="AV612" s="86"/>
      <c r="AW612" s="88"/>
      <c r="AX612" s="86"/>
      <c r="AY612" s="88"/>
      <c r="AZ612" s="86"/>
      <c r="BA612" s="88"/>
      <c r="BB612" s="86"/>
      <c r="BC612" s="88"/>
      <c r="BD612" s="86"/>
      <c r="BE612" s="88"/>
      <c r="BF612" s="86"/>
      <c r="BG612" s="88"/>
      <c r="BH612" s="86"/>
      <c r="BI612" s="88"/>
      <c r="BJ612" s="86"/>
      <c r="BK612" s="88"/>
      <c r="BL612" s="86"/>
      <c r="BM612" s="88"/>
      <c r="BN612" s="86"/>
      <c r="BO612" s="88"/>
      <c r="BP612" s="86"/>
      <c r="BQ612" s="88"/>
      <c r="BR612" s="86"/>
      <c r="BS612" s="87"/>
    </row>
    <row r="613" ht="22.5" customHeight="1">
      <c r="A613" s="154"/>
      <c r="B613" s="83"/>
      <c r="C613" s="151"/>
      <c r="D613" s="83"/>
      <c r="E613" s="151"/>
      <c r="F613" s="83"/>
      <c r="G613" s="85"/>
      <c r="H613" s="86"/>
      <c r="I613" s="87"/>
      <c r="J613" s="86"/>
      <c r="K613" s="88"/>
      <c r="L613" s="86"/>
      <c r="M613" s="88"/>
      <c r="N613" s="86"/>
      <c r="O613" s="88"/>
      <c r="P613" s="86"/>
      <c r="Q613" s="88"/>
      <c r="R613" s="86"/>
      <c r="S613" s="88"/>
      <c r="T613" s="86"/>
      <c r="U613" s="88"/>
      <c r="V613" s="86"/>
      <c r="W613" s="88"/>
      <c r="X613" s="86"/>
      <c r="Y613" s="88"/>
      <c r="Z613" s="86"/>
      <c r="AA613" s="88"/>
      <c r="AB613" s="86"/>
      <c r="AC613" s="88"/>
      <c r="AD613" s="86"/>
      <c r="AE613" s="88"/>
      <c r="AF613" s="86"/>
      <c r="AG613" s="88"/>
      <c r="AH613" s="86"/>
      <c r="AI613" s="88"/>
      <c r="AJ613" s="86"/>
      <c r="AK613" s="88"/>
      <c r="AL613" s="86"/>
      <c r="AM613" s="88"/>
      <c r="AN613" s="86"/>
      <c r="AO613" s="88"/>
      <c r="AP613" s="86"/>
      <c r="AQ613" s="88"/>
      <c r="AR613" s="86"/>
      <c r="AS613" s="88"/>
      <c r="AT613" s="86"/>
      <c r="AU613" s="88"/>
      <c r="AV613" s="86"/>
      <c r="AW613" s="88"/>
      <c r="AX613" s="86"/>
      <c r="AY613" s="88"/>
      <c r="AZ613" s="86"/>
      <c r="BA613" s="88"/>
      <c r="BB613" s="86"/>
      <c r="BC613" s="88"/>
      <c r="BD613" s="86"/>
      <c r="BE613" s="88"/>
      <c r="BF613" s="86"/>
      <c r="BG613" s="88"/>
      <c r="BH613" s="86"/>
      <c r="BI613" s="88"/>
      <c r="BJ613" s="86"/>
      <c r="BK613" s="88"/>
      <c r="BL613" s="86"/>
      <c r="BM613" s="88"/>
      <c r="BN613" s="86"/>
      <c r="BO613" s="88"/>
      <c r="BP613" s="86"/>
      <c r="BQ613" s="88"/>
      <c r="BR613" s="86"/>
      <c r="BS613" s="87"/>
    </row>
    <row r="614" ht="22.5" customHeight="1">
      <c r="A614" s="154"/>
      <c r="B614" s="83"/>
      <c r="C614" s="151"/>
      <c r="D614" s="83"/>
      <c r="E614" s="151"/>
      <c r="F614" s="83"/>
      <c r="G614" s="85"/>
      <c r="H614" s="86"/>
      <c r="I614" s="87"/>
      <c r="J614" s="86"/>
      <c r="K614" s="88"/>
      <c r="L614" s="86"/>
      <c r="M614" s="88"/>
      <c r="N614" s="86"/>
      <c r="O614" s="88"/>
      <c r="P614" s="86"/>
      <c r="Q614" s="88"/>
      <c r="R614" s="86"/>
      <c r="S614" s="88"/>
      <c r="T614" s="86"/>
      <c r="U614" s="88"/>
      <c r="V614" s="86"/>
      <c r="W614" s="88"/>
      <c r="X614" s="86"/>
      <c r="Y614" s="88"/>
      <c r="Z614" s="86"/>
      <c r="AA614" s="88"/>
      <c r="AB614" s="86"/>
      <c r="AC614" s="88"/>
      <c r="AD614" s="86"/>
      <c r="AE614" s="88"/>
      <c r="AF614" s="86"/>
      <c r="AG614" s="88"/>
      <c r="AH614" s="86"/>
      <c r="AI614" s="88"/>
      <c r="AJ614" s="86"/>
      <c r="AK614" s="88"/>
      <c r="AL614" s="86"/>
      <c r="AM614" s="88"/>
      <c r="AN614" s="86"/>
      <c r="AO614" s="88"/>
      <c r="AP614" s="86"/>
      <c r="AQ614" s="88"/>
      <c r="AR614" s="86"/>
      <c r="AS614" s="88"/>
      <c r="AT614" s="86"/>
      <c r="AU614" s="88"/>
      <c r="AV614" s="86"/>
      <c r="AW614" s="88"/>
      <c r="AX614" s="86"/>
      <c r="AY614" s="88"/>
      <c r="AZ614" s="86"/>
      <c r="BA614" s="88"/>
      <c r="BB614" s="86"/>
      <c r="BC614" s="88"/>
      <c r="BD614" s="86"/>
      <c r="BE614" s="88"/>
      <c r="BF614" s="86"/>
      <c r="BG614" s="88"/>
      <c r="BH614" s="86"/>
      <c r="BI614" s="88"/>
      <c r="BJ614" s="86"/>
      <c r="BK614" s="88"/>
      <c r="BL614" s="86"/>
      <c r="BM614" s="88"/>
      <c r="BN614" s="86"/>
      <c r="BO614" s="88"/>
      <c r="BP614" s="86"/>
      <c r="BQ614" s="88"/>
      <c r="BR614" s="86"/>
      <c r="BS614" s="87"/>
    </row>
    <row r="615" ht="22.5" customHeight="1">
      <c r="A615" s="154"/>
      <c r="B615" s="83"/>
      <c r="C615" s="151"/>
      <c r="D615" s="83"/>
      <c r="E615" s="151"/>
      <c r="F615" s="83"/>
      <c r="G615" s="85"/>
      <c r="H615" s="86"/>
      <c r="I615" s="87"/>
      <c r="J615" s="86"/>
      <c r="K615" s="88"/>
      <c r="L615" s="86"/>
      <c r="M615" s="88"/>
      <c r="N615" s="86"/>
      <c r="O615" s="88"/>
      <c r="P615" s="86"/>
      <c r="Q615" s="88"/>
      <c r="R615" s="86"/>
      <c r="S615" s="88"/>
      <c r="T615" s="86"/>
      <c r="U615" s="88"/>
      <c r="V615" s="86"/>
      <c r="W615" s="88"/>
      <c r="X615" s="86"/>
      <c r="Y615" s="88"/>
      <c r="Z615" s="86"/>
      <c r="AA615" s="88"/>
      <c r="AB615" s="86"/>
      <c r="AC615" s="88"/>
      <c r="AD615" s="86"/>
      <c r="AE615" s="88"/>
      <c r="AF615" s="86"/>
      <c r="AG615" s="88"/>
      <c r="AH615" s="86"/>
      <c r="AI615" s="88"/>
      <c r="AJ615" s="86"/>
      <c r="AK615" s="88"/>
      <c r="AL615" s="86"/>
      <c r="AM615" s="88"/>
      <c r="AN615" s="86"/>
      <c r="AO615" s="88"/>
      <c r="AP615" s="86"/>
      <c r="AQ615" s="88"/>
      <c r="AR615" s="86"/>
      <c r="AS615" s="88"/>
      <c r="AT615" s="86"/>
      <c r="AU615" s="88"/>
      <c r="AV615" s="86"/>
      <c r="AW615" s="88"/>
      <c r="AX615" s="86"/>
      <c r="AY615" s="88"/>
      <c r="AZ615" s="86"/>
      <c r="BA615" s="88"/>
      <c r="BB615" s="86"/>
      <c r="BC615" s="88"/>
      <c r="BD615" s="86"/>
      <c r="BE615" s="88"/>
      <c r="BF615" s="86"/>
      <c r="BG615" s="88"/>
      <c r="BH615" s="86"/>
      <c r="BI615" s="88"/>
      <c r="BJ615" s="86"/>
      <c r="BK615" s="88"/>
      <c r="BL615" s="86"/>
      <c r="BM615" s="88"/>
      <c r="BN615" s="86"/>
      <c r="BO615" s="88"/>
      <c r="BP615" s="86"/>
      <c r="BQ615" s="88"/>
      <c r="BR615" s="86"/>
      <c r="BS615" s="87"/>
    </row>
    <row r="616" ht="22.5" customHeight="1">
      <c r="A616" s="154"/>
      <c r="B616" s="83"/>
      <c r="C616" s="151"/>
      <c r="D616" s="83"/>
      <c r="E616" s="151"/>
      <c r="F616" s="83"/>
      <c r="G616" s="85"/>
      <c r="H616" s="86"/>
      <c r="I616" s="87"/>
      <c r="J616" s="86"/>
      <c r="K616" s="88"/>
      <c r="L616" s="86"/>
      <c r="M616" s="88"/>
      <c r="N616" s="86"/>
      <c r="O616" s="88"/>
      <c r="P616" s="86"/>
      <c r="Q616" s="88"/>
      <c r="R616" s="86"/>
      <c r="S616" s="88"/>
      <c r="T616" s="86"/>
      <c r="U616" s="88"/>
      <c r="V616" s="86"/>
      <c r="W616" s="88"/>
      <c r="X616" s="86"/>
      <c r="Y616" s="88"/>
      <c r="Z616" s="86"/>
      <c r="AA616" s="88"/>
      <c r="AB616" s="86"/>
      <c r="AC616" s="88"/>
      <c r="AD616" s="86"/>
      <c r="AE616" s="88"/>
      <c r="AF616" s="86"/>
      <c r="AG616" s="88"/>
      <c r="AH616" s="86"/>
      <c r="AI616" s="88"/>
      <c r="AJ616" s="86"/>
      <c r="AK616" s="88"/>
      <c r="AL616" s="86"/>
      <c r="AM616" s="88"/>
      <c r="AN616" s="86"/>
      <c r="AO616" s="88"/>
      <c r="AP616" s="86"/>
      <c r="AQ616" s="88"/>
      <c r="AR616" s="86"/>
      <c r="AS616" s="88"/>
      <c r="AT616" s="86"/>
      <c r="AU616" s="88"/>
      <c r="AV616" s="86"/>
      <c r="AW616" s="88"/>
      <c r="AX616" s="86"/>
      <c r="AY616" s="88"/>
      <c r="AZ616" s="86"/>
      <c r="BA616" s="88"/>
      <c r="BB616" s="86"/>
      <c r="BC616" s="88"/>
      <c r="BD616" s="86"/>
      <c r="BE616" s="88"/>
      <c r="BF616" s="86"/>
      <c r="BG616" s="88"/>
      <c r="BH616" s="86"/>
      <c r="BI616" s="88"/>
      <c r="BJ616" s="86"/>
      <c r="BK616" s="88"/>
      <c r="BL616" s="86"/>
      <c r="BM616" s="88"/>
      <c r="BN616" s="86"/>
      <c r="BO616" s="88"/>
      <c r="BP616" s="86"/>
      <c r="BQ616" s="88"/>
      <c r="BR616" s="86"/>
      <c r="BS616" s="87"/>
    </row>
    <row r="617" ht="22.5" customHeight="1">
      <c r="A617" s="154"/>
      <c r="B617" s="83"/>
      <c r="C617" s="151"/>
      <c r="D617" s="83"/>
      <c r="E617" s="151"/>
      <c r="F617" s="83"/>
      <c r="G617" s="85"/>
      <c r="H617" s="86"/>
      <c r="I617" s="87"/>
      <c r="J617" s="86"/>
      <c r="K617" s="88"/>
      <c r="L617" s="86"/>
      <c r="M617" s="88"/>
      <c r="N617" s="86"/>
      <c r="O617" s="88"/>
      <c r="P617" s="86"/>
      <c r="Q617" s="88"/>
      <c r="R617" s="86"/>
      <c r="S617" s="88"/>
      <c r="T617" s="86"/>
      <c r="U617" s="88"/>
      <c r="V617" s="86"/>
      <c r="W617" s="88"/>
      <c r="X617" s="86"/>
      <c r="Y617" s="88"/>
      <c r="Z617" s="86"/>
      <c r="AA617" s="88"/>
      <c r="AB617" s="86"/>
      <c r="AC617" s="88"/>
      <c r="AD617" s="86"/>
      <c r="AE617" s="88"/>
      <c r="AF617" s="86"/>
      <c r="AG617" s="88"/>
      <c r="AH617" s="86"/>
      <c r="AI617" s="88"/>
      <c r="AJ617" s="86"/>
      <c r="AK617" s="88"/>
      <c r="AL617" s="86"/>
      <c r="AM617" s="88"/>
      <c r="AN617" s="86"/>
      <c r="AO617" s="88"/>
      <c r="AP617" s="86"/>
      <c r="AQ617" s="88"/>
      <c r="AR617" s="86"/>
      <c r="AS617" s="88"/>
      <c r="AT617" s="86"/>
      <c r="AU617" s="88"/>
      <c r="AV617" s="86"/>
      <c r="AW617" s="88"/>
      <c r="AX617" s="86"/>
      <c r="AY617" s="88"/>
      <c r="AZ617" s="86"/>
      <c r="BA617" s="88"/>
      <c r="BB617" s="86"/>
      <c r="BC617" s="88"/>
      <c r="BD617" s="86"/>
      <c r="BE617" s="88"/>
      <c r="BF617" s="86"/>
      <c r="BG617" s="88"/>
      <c r="BH617" s="86"/>
      <c r="BI617" s="88"/>
      <c r="BJ617" s="86"/>
      <c r="BK617" s="88"/>
      <c r="BL617" s="86"/>
      <c r="BM617" s="88"/>
      <c r="BN617" s="86"/>
      <c r="BO617" s="88"/>
      <c r="BP617" s="86"/>
      <c r="BQ617" s="88"/>
      <c r="BR617" s="86"/>
      <c r="BS617" s="87"/>
    </row>
    <row r="618" ht="22.5" customHeight="1">
      <c r="A618" s="154"/>
      <c r="B618" s="83"/>
      <c r="C618" s="151"/>
      <c r="D618" s="83"/>
      <c r="E618" s="151"/>
      <c r="F618" s="83"/>
      <c r="G618" s="85"/>
      <c r="H618" s="86"/>
      <c r="I618" s="87"/>
      <c r="J618" s="86"/>
      <c r="K618" s="88"/>
      <c r="L618" s="86"/>
      <c r="M618" s="88"/>
      <c r="N618" s="86"/>
      <c r="O618" s="88"/>
      <c r="P618" s="86"/>
      <c r="Q618" s="88"/>
      <c r="R618" s="86"/>
      <c r="S618" s="88"/>
      <c r="T618" s="86"/>
      <c r="U618" s="88"/>
      <c r="V618" s="86"/>
      <c r="W618" s="88"/>
      <c r="X618" s="86"/>
      <c r="Y618" s="88"/>
      <c r="Z618" s="86"/>
      <c r="AA618" s="88"/>
      <c r="AB618" s="86"/>
      <c r="AC618" s="88"/>
      <c r="AD618" s="86"/>
      <c r="AE618" s="88"/>
      <c r="AF618" s="86"/>
      <c r="AG618" s="88"/>
      <c r="AH618" s="86"/>
      <c r="AI618" s="88"/>
      <c r="AJ618" s="86"/>
      <c r="AK618" s="88"/>
      <c r="AL618" s="86"/>
      <c r="AM618" s="88"/>
      <c r="AN618" s="86"/>
      <c r="AO618" s="88"/>
      <c r="AP618" s="86"/>
      <c r="AQ618" s="88"/>
      <c r="AR618" s="86"/>
      <c r="AS618" s="88"/>
      <c r="AT618" s="86"/>
      <c r="AU618" s="88"/>
      <c r="AV618" s="86"/>
      <c r="AW618" s="88"/>
      <c r="AX618" s="86"/>
      <c r="AY618" s="88"/>
      <c r="AZ618" s="86"/>
      <c r="BA618" s="88"/>
      <c r="BB618" s="86"/>
      <c r="BC618" s="88"/>
      <c r="BD618" s="86"/>
      <c r="BE618" s="88"/>
      <c r="BF618" s="86"/>
      <c r="BG618" s="88"/>
      <c r="BH618" s="86"/>
      <c r="BI618" s="88"/>
      <c r="BJ618" s="86"/>
      <c r="BK618" s="88"/>
      <c r="BL618" s="86"/>
      <c r="BM618" s="88"/>
      <c r="BN618" s="86"/>
      <c r="BO618" s="88"/>
      <c r="BP618" s="86"/>
      <c r="BQ618" s="88"/>
      <c r="BR618" s="86"/>
      <c r="BS618" s="87"/>
    </row>
    <row r="619" ht="22.5" customHeight="1">
      <c r="A619" s="154"/>
      <c r="B619" s="83"/>
      <c r="C619" s="151"/>
      <c r="D619" s="83"/>
      <c r="E619" s="151"/>
      <c r="F619" s="83"/>
      <c r="G619" s="85"/>
      <c r="H619" s="86"/>
      <c r="I619" s="87"/>
      <c r="J619" s="86"/>
      <c r="K619" s="88"/>
      <c r="L619" s="86"/>
      <c r="M619" s="88"/>
      <c r="N619" s="86"/>
      <c r="O619" s="88"/>
      <c r="P619" s="86"/>
      <c r="Q619" s="88"/>
      <c r="R619" s="86"/>
      <c r="S619" s="88"/>
      <c r="T619" s="86"/>
      <c r="U619" s="88"/>
      <c r="V619" s="86"/>
      <c r="W619" s="88"/>
      <c r="X619" s="86"/>
      <c r="Y619" s="88"/>
      <c r="Z619" s="86"/>
      <c r="AA619" s="88"/>
      <c r="AB619" s="86"/>
      <c r="AC619" s="88"/>
      <c r="AD619" s="86"/>
      <c r="AE619" s="88"/>
      <c r="AF619" s="86"/>
      <c r="AG619" s="88"/>
      <c r="AH619" s="86"/>
      <c r="AI619" s="88"/>
      <c r="AJ619" s="86"/>
      <c r="AK619" s="88"/>
      <c r="AL619" s="86"/>
      <c r="AM619" s="88"/>
      <c r="AN619" s="86"/>
      <c r="AO619" s="88"/>
      <c r="AP619" s="86"/>
      <c r="AQ619" s="88"/>
      <c r="AR619" s="86"/>
      <c r="AS619" s="88"/>
      <c r="AT619" s="86"/>
      <c r="AU619" s="88"/>
      <c r="AV619" s="86"/>
      <c r="AW619" s="88"/>
      <c r="AX619" s="86"/>
      <c r="AY619" s="88"/>
      <c r="AZ619" s="86"/>
      <c r="BA619" s="88"/>
      <c r="BB619" s="86"/>
      <c r="BC619" s="88"/>
      <c r="BD619" s="86"/>
      <c r="BE619" s="88"/>
      <c r="BF619" s="86"/>
      <c r="BG619" s="88"/>
      <c r="BH619" s="86"/>
      <c r="BI619" s="88"/>
      <c r="BJ619" s="86"/>
      <c r="BK619" s="88"/>
      <c r="BL619" s="86"/>
      <c r="BM619" s="88"/>
      <c r="BN619" s="86"/>
      <c r="BO619" s="88"/>
      <c r="BP619" s="86"/>
      <c r="BQ619" s="88"/>
      <c r="BR619" s="86"/>
      <c r="BS619" s="87"/>
    </row>
    <row r="620" ht="22.5" customHeight="1">
      <c r="A620" s="154"/>
      <c r="B620" s="83"/>
      <c r="C620" s="151"/>
      <c r="D620" s="83"/>
      <c r="E620" s="151"/>
      <c r="F620" s="83"/>
      <c r="G620" s="85"/>
      <c r="H620" s="86"/>
      <c r="I620" s="87"/>
      <c r="J620" s="86"/>
      <c r="K620" s="88"/>
      <c r="L620" s="86"/>
      <c r="M620" s="88"/>
      <c r="N620" s="86"/>
      <c r="O620" s="88"/>
      <c r="P620" s="86"/>
      <c r="Q620" s="88"/>
      <c r="R620" s="86"/>
      <c r="S620" s="88"/>
      <c r="T620" s="86"/>
      <c r="U620" s="88"/>
      <c r="V620" s="86"/>
      <c r="W620" s="88"/>
      <c r="X620" s="86"/>
      <c r="Y620" s="88"/>
      <c r="Z620" s="86"/>
      <c r="AA620" s="88"/>
      <c r="AB620" s="86"/>
      <c r="AC620" s="88"/>
      <c r="AD620" s="86"/>
      <c r="AE620" s="88"/>
      <c r="AF620" s="86"/>
      <c r="AG620" s="88"/>
      <c r="AH620" s="86"/>
      <c r="AI620" s="88"/>
      <c r="AJ620" s="86"/>
      <c r="AK620" s="88"/>
      <c r="AL620" s="86"/>
      <c r="AM620" s="88"/>
      <c r="AN620" s="86"/>
      <c r="AO620" s="88"/>
      <c r="AP620" s="86"/>
      <c r="AQ620" s="88"/>
      <c r="AR620" s="86"/>
      <c r="AS620" s="88"/>
      <c r="AT620" s="86"/>
      <c r="AU620" s="88"/>
      <c r="AV620" s="86"/>
      <c r="AW620" s="88"/>
      <c r="AX620" s="86"/>
      <c r="AY620" s="88"/>
      <c r="AZ620" s="86"/>
      <c r="BA620" s="88"/>
      <c r="BB620" s="86"/>
      <c r="BC620" s="88"/>
      <c r="BD620" s="86"/>
      <c r="BE620" s="88"/>
      <c r="BF620" s="86"/>
      <c r="BG620" s="88"/>
      <c r="BH620" s="86"/>
      <c r="BI620" s="88"/>
      <c r="BJ620" s="86"/>
      <c r="BK620" s="88"/>
      <c r="BL620" s="86"/>
      <c r="BM620" s="88"/>
      <c r="BN620" s="86"/>
      <c r="BO620" s="88"/>
      <c r="BP620" s="86"/>
      <c r="BQ620" s="88"/>
      <c r="BR620" s="86"/>
      <c r="BS620" s="87"/>
    </row>
    <row r="621" ht="22.5" customHeight="1">
      <c r="A621" s="154"/>
      <c r="B621" s="83"/>
      <c r="C621" s="151"/>
      <c r="D621" s="83"/>
      <c r="E621" s="151"/>
      <c r="F621" s="83"/>
      <c r="G621" s="85"/>
      <c r="H621" s="86"/>
      <c r="I621" s="87"/>
      <c r="J621" s="86"/>
      <c r="K621" s="88"/>
      <c r="L621" s="86"/>
      <c r="M621" s="88"/>
      <c r="N621" s="86"/>
      <c r="O621" s="88"/>
      <c r="P621" s="86"/>
      <c r="Q621" s="88"/>
      <c r="R621" s="86"/>
      <c r="S621" s="88"/>
      <c r="T621" s="86"/>
      <c r="U621" s="88"/>
      <c r="V621" s="86"/>
      <c r="W621" s="88"/>
      <c r="X621" s="86"/>
      <c r="Y621" s="88"/>
      <c r="Z621" s="86"/>
      <c r="AA621" s="88"/>
      <c r="AB621" s="86"/>
      <c r="AC621" s="88"/>
      <c r="AD621" s="86"/>
      <c r="AE621" s="88"/>
      <c r="AF621" s="86"/>
      <c r="AG621" s="88"/>
      <c r="AH621" s="86"/>
      <c r="AI621" s="88"/>
      <c r="AJ621" s="86"/>
      <c r="AK621" s="88"/>
      <c r="AL621" s="86"/>
      <c r="AM621" s="88"/>
      <c r="AN621" s="86"/>
      <c r="AO621" s="88"/>
      <c r="AP621" s="86"/>
      <c r="AQ621" s="88"/>
      <c r="AR621" s="86"/>
      <c r="AS621" s="88"/>
      <c r="AT621" s="86"/>
      <c r="AU621" s="88"/>
      <c r="AV621" s="86"/>
      <c r="AW621" s="88"/>
      <c r="AX621" s="86"/>
      <c r="AY621" s="88"/>
      <c r="AZ621" s="86"/>
      <c r="BA621" s="88"/>
      <c r="BB621" s="86"/>
      <c r="BC621" s="88"/>
      <c r="BD621" s="86"/>
      <c r="BE621" s="88"/>
      <c r="BF621" s="86"/>
      <c r="BG621" s="88"/>
      <c r="BH621" s="86"/>
      <c r="BI621" s="88"/>
      <c r="BJ621" s="86"/>
      <c r="BK621" s="88"/>
      <c r="BL621" s="86"/>
      <c r="BM621" s="88"/>
      <c r="BN621" s="86"/>
      <c r="BO621" s="88"/>
      <c r="BP621" s="86"/>
      <c r="BQ621" s="88"/>
      <c r="BR621" s="86"/>
      <c r="BS621" s="87"/>
    </row>
    <row r="622" ht="22.5" customHeight="1">
      <c r="A622" s="154"/>
      <c r="B622" s="83"/>
      <c r="C622" s="151"/>
      <c r="D622" s="83"/>
      <c r="E622" s="151"/>
      <c r="F622" s="83"/>
      <c r="G622" s="85"/>
      <c r="H622" s="86"/>
      <c r="I622" s="87"/>
      <c r="J622" s="86"/>
      <c r="K622" s="88"/>
      <c r="L622" s="86"/>
      <c r="M622" s="88"/>
      <c r="N622" s="86"/>
      <c r="O622" s="88"/>
      <c r="P622" s="86"/>
      <c r="Q622" s="88"/>
      <c r="R622" s="86"/>
      <c r="S622" s="88"/>
      <c r="T622" s="86"/>
      <c r="U622" s="88"/>
      <c r="V622" s="86"/>
      <c r="W622" s="88"/>
      <c r="X622" s="86"/>
      <c r="Y622" s="88"/>
      <c r="Z622" s="86"/>
      <c r="AA622" s="88"/>
      <c r="AB622" s="86"/>
      <c r="AC622" s="88"/>
      <c r="AD622" s="86"/>
      <c r="AE622" s="88"/>
      <c r="AF622" s="86"/>
      <c r="AG622" s="88"/>
      <c r="AH622" s="86"/>
      <c r="AI622" s="88"/>
      <c r="AJ622" s="86"/>
      <c r="AK622" s="88"/>
      <c r="AL622" s="86"/>
      <c r="AM622" s="88"/>
      <c r="AN622" s="86"/>
      <c r="AO622" s="88"/>
      <c r="AP622" s="86"/>
      <c r="AQ622" s="88"/>
      <c r="AR622" s="86"/>
      <c r="AS622" s="88"/>
      <c r="AT622" s="86"/>
      <c r="AU622" s="88"/>
      <c r="AV622" s="86"/>
      <c r="AW622" s="88"/>
      <c r="AX622" s="86"/>
      <c r="AY622" s="88"/>
      <c r="AZ622" s="86"/>
      <c r="BA622" s="88"/>
      <c r="BB622" s="86"/>
      <c r="BC622" s="88"/>
      <c r="BD622" s="86"/>
      <c r="BE622" s="88"/>
      <c r="BF622" s="86"/>
      <c r="BG622" s="88"/>
      <c r="BH622" s="86"/>
      <c r="BI622" s="88"/>
      <c r="BJ622" s="86"/>
      <c r="BK622" s="88"/>
      <c r="BL622" s="86"/>
      <c r="BM622" s="88"/>
      <c r="BN622" s="86"/>
      <c r="BO622" s="88"/>
      <c r="BP622" s="86"/>
      <c r="BQ622" s="88"/>
      <c r="BR622" s="86"/>
      <c r="BS622" s="87"/>
    </row>
    <row r="623" ht="22.5" customHeight="1">
      <c r="A623" s="154"/>
      <c r="B623" s="83"/>
      <c r="C623" s="151"/>
      <c r="D623" s="83"/>
      <c r="E623" s="151"/>
      <c r="F623" s="83"/>
      <c r="G623" s="85"/>
      <c r="H623" s="86"/>
      <c r="I623" s="87"/>
      <c r="J623" s="86"/>
      <c r="K623" s="88"/>
      <c r="L623" s="86"/>
      <c r="M623" s="88"/>
      <c r="N623" s="86"/>
      <c r="O623" s="88"/>
      <c r="P623" s="86"/>
      <c r="Q623" s="88"/>
      <c r="R623" s="86"/>
      <c r="S623" s="88"/>
      <c r="T623" s="86"/>
      <c r="U623" s="88"/>
      <c r="V623" s="86"/>
      <c r="W623" s="88"/>
      <c r="X623" s="86"/>
      <c r="Y623" s="88"/>
      <c r="Z623" s="86"/>
      <c r="AA623" s="88"/>
      <c r="AB623" s="86"/>
      <c r="AC623" s="88"/>
      <c r="AD623" s="86"/>
      <c r="AE623" s="88"/>
      <c r="AF623" s="86"/>
      <c r="AG623" s="88"/>
      <c r="AH623" s="86"/>
      <c r="AI623" s="88"/>
      <c r="AJ623" s="86"/>
      <c r="AK623" s="88"/>
      <c r="AL623" s="86"/>
      <c r="AM623" s="88"/>
      <c r="AN623" s="86"/>
      <c r="AO623" s="88"/>
      <c r="AP623" s="86"/>
      <c r="AQ623" s="88"/>
      <c r="AR623" s="86"/>
      <c r="AS623" s="88"/>
      <c r="AT623" s="86"/>
      <c r="AU623" s="88"/>
      <c r="AV623" s="86"/>
      <c r="AW623" s="88"/>
      <c r="AX623" s="86"/>
      <c r="AY623" s="88"/>
      <c r="AZ623" s="86"/>
      <c r="BA623" s="88"/>
      <c r="BB623" s="86"/>
      <c r="BC623" s="88"/>
      <c r="BD623" s="86"/>
      <c r="BE623" s="88"/>
      <c r="BF623" s="86"/>
      <c r="BG623" s="88"/>
      <c r="BH623" s="86"/>
      <c r="BI623" s="88"/>
      <c r="BJ623" s="86"/>
      <c r="BK623" s="88"/>
      <c r="BL623" s="86"/>
      <c r="BM623" s="88"/>
      <c r="BN623" s="86"/>
      <c r="BO623" s="88"/>
      <c r="BP623" s="86"/>
      <c r="BQ623" s="88"/>
      <c r="BR623" s="86"/>
      <c r="BS623" s="87"/>
    </row>
    <row r="624" ht="22.5" customHeight="1">
      <c r="A624" s="154"/>
      <c r="B624" s="83"/>
      <c r="C624" s="151"/>
      <c r="D624" s="83"/>
      <c r="E624" s="151"/>
      <c r="F624" s="83"/>
      <c r="G624" s="85"/>
      <c r="H624" s="86"/>
      <c r="I624" s="87"/>
      <c r="J624" s="86"/>
      <c r="K624" s="88"/>
      <c r="L624" s="86"/>
      <c r="M624" s="88"/>
      <c r="N624" s="86"/>
      <c r="O624" s="88"/>
      <c r="P624" s="86"/>
      <c r="Q624" s="88"/>
      <c r="R624" s="86"/>
      <c r="S624" s="88"/>
      <c r="T624" s="86"/>
      <c r="U624" s="88"/>
      <c r="V624" s="86"/>
      <c r="W624" s="88"/>
      <c r="X624" s="86"/>
      <c r="Y624" s="88"/>
      <c r="Z624" s="86"/>
      <c r="AA624" s="88"/>
      <c r="AB624" s="86"/>
      <c r="AC624" s="88"/>
      <c r="AD624" s="86"/>
      <c r="AE624" s="88"/>
      <c r="AF624" s="86"/>
      <c r="AG624" s="88"/>
      <c r="AH624" s="86"/>
      <c r="AI624" s="88"/>
      <c r="AJ624" s="86"/>
      <c r="AK624" s="88"/>
      <c r="AL624" s="86"/>
      <c r="AM624" s="88"/>
      <c r="AN624" s="86"/>
      <c r="AO624" s="88"/>
      <c r="AP624" s="86"/>
      <c r="AQ624" s="88"/>
      <c r="AR624" s="86"/>
      <c r="AS624" s="88"/>
      <c r="AT624" s="86"/>
      <c r="AU624" s="88"/>
      <c r="AV624" s="86"/>
      <c r="AW624" s="88"/>
      <c r="AX624" s="86"/>
      <c r="AY624" s="88"/>
      <c r="AZ624" s="86"/>
      <c r="BA624" s="88"/>
      <c r="BB624" s="86"/>
      <c r="BC624" s="88"/>
      <c r="BD624" s="86"/>
      <c r="BE624" s="88"/>
      <c r="BF624" s="86"/>
      <c r="BG624" s="88"/>
      <c r="BH624" s="86"/>
      <c r="BI624" s="88"/>
      <c r="BJ624" s="86"/>
      <c r="BK624" s="88"/>
      <c r="BL624" s="86"/>
      <c r="BM624" s="88"/>
      <c r="BN624" s="86"/>
      <c r="BO624" s="88"/>
      <c r="BP624" s="86"/>
      <c r="BQ624" s="88"/>
      <c r="BR624" s="86"/>
      <c r="BS624" s="87"/>
    </row>
    <row r="625" ht="22.5" customHeight="1">
      <c r="A625" s="154"/>
      <c r="B625" s="83"/>
      <c r="C625" s="151"/>
      <c r="D625" s="83"/>
      <c r="E625" s="151"/>
      <c r="F625" s="83"/>
      <c r="G625" s="85"/>
      <c r="H625" s="86"/>
      <c r="I625" s="87"/>
      <c r="J625" s="86"/>
      <c r="K625" s="88"/>
      <c r="L625" s="86"/>
      <c r="M625" s="88"/>
      <c r="N625" s="86"/>
      <c r="O625" s="88"/>
      <c r="P625" s="86"/>
      <c r="Q625" s="88"/>
      <c r="R625" s="86"/>
      <c r="S625" s="88"/>
      <c r="T625" s="86"/>
      <c r="U625" s="88"/>
      <c r="V625" s="86"/>
      <c r="W625" s="88"/>
      <c r="X625" s="86"/>
      <c r="Y625" s="88"/>
      <c r="Z625" s="86"/>
      <c r="AA625" s="88"/>
      <c r="AB625" s="86"/>
      <c r="AC625" s="88"/>
      <c r="AD625" s="86"/>
      <c r="AE625" s="88"/>
      <c r="AF625" s="86"/>
      <c r="AG625" s="88"/>
      <c r="AH625" s="86"/>
      <c r="AI625" s="88"/>
      <c r="AJ625" s="86"/>
      <c r="AK625" s="88"/>
      <c r="AL625" s="86"/>
      <c r="AM625" s="88"/>
      <c r="AN625" s="86"/>
      <c r="AO625" s="88"/>
      <c r="AP625" s="86"/>
      <c r="AQ625" s="88"/>
      <c r="AR625" s="86"/>
      <c r="AS625" s="88"/>
      <c r="AT625" s="86"/>
      <c r="AU625" s="88"/>
      <c r="AV625" s="86"/>
      <c r="AW625" s="88"/>
      <c r="AX625" s="86"/>
      <c r="AY625" s="88"/>
      <c r="AZ625" s="86"/>
      <c r="BA625" s="88"/>
      <c r="BB625" s="86"/>
      <c r="BC625" s="88"/>
      <c r="BD625" s="86"/>
      <c r="BE625" s="88"/>
      <c r="BF625" s="86"/>
      <c r="BG625" s="88"/>
      <c r="BH625" s="86"/>
      <c r="BI625" s="88"/>
      <c r="BJ625" s="86"/>
      <c r="BK625" s="88"/>
      <c r="BL625" s="86"/>
      <c r="BM625" s="88"/>
      <c r="BN625" s="86"/>
      <c r="BO625" s="88"/>
      <c r="BP625" s="86"/>
      <c r="BQ625" s="88"/>
      <c r="BR625" s="86"/>
      <c r="BS625" s="87"/>
    </row>
    <row r="626" ht="22.5" customHeight="1">
      <c r="A626" s="154"/>
      <c r="B626" s="83"/>
      <c r="C626" s="151"/>
      <c r="D626" s="83"/>
      <c r="E626" s="151"/>
      <c r="F626" s="83"/>
      <c r="G626" s="85"/>
      <c r="H626" s="86"/>
      <c r="I626" s="87"/>
      <c r="J626" s="86"/>
      <c r="K626" s="88"/>
      <c r="L626" s="86"/>
      <c r="M626" s="88"/>
      <c r="N626" s="86"/>
      <c r="O626" s="88"/>
      <c r="P626" s="86"/>
      <c r="Q626" s="88"/>
      <c r="R626" s="86"/>
      <c r="S626" s="88"/>
      <c r="T626" s="86"/>
      <c r="U626" s="88"/>
      <c r="V626" s="86"/>
      <c r="W626" s="88"/>
      <c r="X626" s="86"/>
      <c r="Y626" s="88"/>
      <c r="Z626" s="86"/>
      <c r="AA626" s="88"/>
      <c r="AB626" s="86"/>
      <c r="AC626" s="88"/>
      <c r="AD626" s="86"/>
      <c r="AE626" s="88"/>
      <c r="AF626" s="86"/>
      <c r="AG626" s="88"/>
      <c r="AH626" s="86"/>
      <c r="AI626" s="88"/>
      <c r="AJ626" s="86"/>
      <c r="AK626" s="88"/>
      <c r="AL626" s="86"/>
      <c r="AM626" s="88"/>
      <c r="AN626" s="86"/>
      <c r="AO626" s="88"/>
      <c r="AP626" s="86"/>
      <c r="AQ626" s="88"/>
      <c r="AR626" s="86"/>
      <c r="AS626" s="88"/>
      <c r="AT626" s="86"/>
      <c r="AU626" s="88"/>
      <c r="AV626" s="86"/>
      <c r="AW626" s="88"/>
      <c r="AX626" s="86"/>
      <c r="AY626" s="88"/>
      <c r="AZ626" s="86"/>
      <c r="BA626" s="88"/>
      <c r="BB626" s="86"/>
      <c r="BC626" s="88"/>
      <c r="BD626" s="86"/>
      <c r="BE626" s="88"/>
      <c r="BF626" s="86"/>
      <c r="BG626" s="88"/>
      <c r="BH626" s="86"/>
      <c r="BI626" s="88"/>
      <c r="BJ626" s="86"/>
      <c r="BK626" s="88"/>
      <c r="BL626" s="86"/>
      <c r="BM626" s="88"/>
      <c r="BN626" s="86"/>
      <c r="BO626" s="88"/>
      <c r="BP626" s="86"/>
      <c r="BQ626" s="88"/>
      <c r="BR626" s="86"/>
      <c r="BS626" s="87"/>
    </row>
    <row r="627" ht="22.5" customHeight="1">
      <c r="A627" s="154"/>
      <c r="B627" s="83"/>
      <c r="C627" s="151"/>
      <c r="D627" s="83"/>
      <c r="E627" s="151"/>
      <c r="F627" s="83"/>
      <c r="G627" s="85"/>
      <c r="H627" s="86"/>
      <c r="I627" s="87"/>
      <c r="J627" s="86"/>
      <c r="K627" s="88"/>
      <c r="L627" s="86"/>
      <c r="M627" s="88"/>
      <c r="N627" s="86"/>
      <c r="O627" s="88"/>
      <c r="P627" s="86"/>
      <c r="Q627" s="88"/>
      <c r="R627" s="86"/>
      <c r="S627" s="88"/>
      <c r="T627" s="86"/>
      <c r="U627" s="88"/>
      <c r="V627" s="86"/>
      <c r="W627" s="88"/>
      <c r="X627" s="86"/>
      <c r="Y627" s="88"/>
      <c r="Z627" s="86"/>
      <c r="AA627" s="88"/>
      <c r="AB627" s="86"/>
      <c r="AC627" s="88"/>
      <c r="AD627" s="86"/>
      <c r="AE627" s="88"/>
      <c r="AF627" s="86"/>
      <c r="AG627" s="88"/>
      <c r="AH627" s="86"/>
      <c r="AI627" s="88"/>
      <c r="AJ627" s="86"/>
      <c r="AK627" s="88"/>
      <c r="AL627" s="86"/>
      <c r="AM627" s="88"/>
      <c r="AN627" s="86"/>
      <c r="AO627" s="88"/>
      <c r="AP627" s="86"/>
      <c r="AQ627" s="88"/>
      <c r="AR627" s="86"/>
      <c r="AS627" s="88"/>
      <c r="AT627" s="86"/>
      <c r="AU627" s="88"/>
      <c r="AV627" s="86"/>
      <c r="AW627" s="88"/>
      <c r="AX627" s="86"/>
      <c r="AY627" s="88"/>
      <c r="AZ627" s="86"/>
      <c r="BA627" s="88"/>
      <c r="BB627" s="86"/>
      <c r="BC627" s="88"/>
      <c r="BD627" s="86"/>
      <c r="BE627" s="88"/>
      <c r="BF627" s="86"/>
      <c r="BG627" s="88"/>
      <c r="BH627" s="86"/>
      <c r="BI627" s="88"/>
      <c r="BJ627" s="86"/>
      <c r="BK627" s="88"/>
      <c r="BL627" s="86"/>
      <c r="BM627" s="88"/>
      <c r="BN627" s="86"/>
      <c r="BO627" s="88"/>
      <c r="BP627" s="86"/>
      <c r="BQ627" s="88"/>
      <c r="BR627" s="86"/>
      <c r="BS627" s="87"/>
    </row>
    <row r="628" ht="22.5" customHeight="1">
      <c r="A628" s="154"/>
      <c r="B628" s="83"/>
      <c r="C628" s="151"/>
      <c r="D628" s="83"/>
      <c r="E628" s="151"/>
      <c r="F628" s="83"/>
      <c r="G628" s="85"/>
      <c r="H628" s="86"/>
      <c r="I628" s="87"/>
      <c r="J628" s="86"/>
      <c r="K628" s="88"/>
      <c r="L628" s="86"/>
      <c r="M628" s="88"/>
      <c r="N628" s="86"/>
      <c r="O628" s="88"/>
      <c r="P628" s="86"/>
      <c r="Q628" s="88"/>
      <c r="R628" s="86"/>
      <c r="S628" s="88"/>
      <c r="T628" s="86"/>
      <c r="U628" s="88"/>
      <c r="V628" s="86"/>
      <c r="W628" s="88"/>
      <c r="X628" s="86"/>
      <c r="Y628" s="88"/>
      <c r="Z628" s="86"/>
      <c r="AA628" s="88"/>
      <c r="AB628" s="86"/>
      <c r="AC628" s="88"/>
      <c r="AD628" s="86"/>
      <c r="AE628" s="88"/>
      <c r="AF628" s="86"/>
      <c r="AG628" s="88"/>
      <c r="AH628" s="86"/>
      <c r="AI628" s="88"/>
      <c r="AJ628" s="86"/>
      <c r="AK628" s="88"/>
      <c r="AL628" s="86"/>
      <c r="AM628" s="88"/>
      <c r="AN628" s="86"/>
      <c r="AO628" s="88"/>
      <c r="AP628" s="86"/>
      <c r="AQ628" s="88"/>
      <c r="AR628" s="86"/>
      <c r="AS628" s="88"/>
      <c r="AT628" s="86"/>
      <c r="AU628" s="88"/>
      <c r="AV628" s="86"/>
      <c r="AW628" s="88"/>
      <c r="AX628" s="86"/>
      <c r="AY628" s="88"/>
      <c r="AZ628" s="86"/>
      <c r="BA628" s="88"/>
      <c r="BB628" s="86"/>
      <c r="BC628" s="88"/>
      <c r="BD628" s="86"/>
      <c r="BE628" s="88"/>
      <c r="BF628" s="86"/>
      <c r="BG628" s="88"/>
      <c r="BH628" s="86"/>
      <c r="BI628" s="88"/>
      <c r="BJ628" s="86"/>
      <c r="BK628" s="88"/>
      <c r="BL628" s="86"/>
      <c r="BM628" s="88"/>
      <c r="BN628" s="86"/>
      <c r="BO628" s="88"/>
      <c r="BP628" s="86"/>
      <c r="BQ628" s="88"/>
      <c r="BR628" s="86"/>
      <c r="BS628" s="87"/>
    </row>
    <row r="629" ht="22.5" customHeight="1">
      <c r="A629" s="154"/>
      <c r="B629" s="83"/>
      <c r="C629" s="151"/>
      <c r="D629" s="83"/>
      <c r="E629" s="151"/>
      <c r="F629" s="83"/>
      <c r="G629" s="85"/>
      <c r="H629" s="86"/>
      <c r="I629" s="87"/>
      <c r="J629" s="86"/>
      <c r="K629" s="88"/>
      <c r="L629" s="86"/>
      <c r="M629" s="88"/>
      <c r="N629" s="86"/>
      <c r="O629" s="88"/>
      <c r="P629" s="86"/>
      <c r="Q629" s="88"/>
      <c r="R629" s="86"/>
      <c r="S629" s="88"/>
      <c r="T629" s="86"/>
      <c r="U629" s="88"/>
      <c r="V629" s="86"/>
      <c r="W629" s="88"/>
      <c r="X629" s="86"/>
      <c r="Y629" s="88"/>
      <c r="Z629" s="86"/>
      <c r="AA629" s="88"/>
      <c r="AB629" s="86"/>
      <c r="AC629" s="88"/>
      <c r="AD629" s="86"/>
      <c r="AE629" s="88"/>
      <c r="AF629" s="86"/>
      <c r="AG629" s="88"/>
      <c r="AH629" s="86"/>
      <c r="AI629" s="88"/>
      <c r="AJ629" s="86"/>
      <c r="AK629" s="88"/>
      <c r="AL629" s="86"/>
      <c r="AM629" s="88"/>
      <c r="AN629" s="86"/>
      <c r="AO629" s="88"/>
      <c r="AP629" s="86"/>
      <c r="AQ629" s="88"/>
      <c r="AR629" s="86"/>
      <c r="AS629" s="88"/>
      <c r="AT629" s="86"/>
      <c r="AU629" s="88"/>
      <c r="AV629" s="86"/>
      <c r="AW629" s="88"/>
      <c r="AX629" s="86"/>
      <c r="AY629" s="88"/>
      <c r="AZ629" s="86"/>
      <c r="BA629" s="88"/>
      <c r="BB629" s="86"/>
      <c r="BC629" s="88"/>
      <c r="BD629" s="86"/>
      <c r="BE629" s="88"/>
      <c r="BF629" s="86"/>
      <c r="BG629" s="88"/>
      <c r="BH629" s="86"/>
      <c r="BI629" s="88"/>
      <c r="BJ629" s="86"/>
      <c r="BK629" s="88"/>
      <c r="BL629" s="86"/>
      <c r="BM629" s="88"/>
      <c r="BN629" s="86"/>
      <c r="BO629" s="88"/>
      <c r="BP629" s="86"/>
      <c r="BQ629" s="88"/>
      <c r="BR629" s="86"/>
      <c r="BS629" s="87"/>
    </row>
    <row r="630" ht="22.5" customHeight="1">
      <c r="A630" s="154"/>
      <c r="B630" s="83"/>
      <c r="C630" s="151"/>
      <c r="D630" s="83"/>
      <c r="E630" s="151"/>
      <c r="F630" s="83"/>
      <c r="G630" s="85"/>
      <c r="H630" s="86"/>
      <c r="I630" s="87"/>
      <c r="J630" s="86"/>
      <c r="K630" s="88"/>
      <c r="L630" s="86"/>
      <c r="M630" s="88"/>
      <c r="N630" s="86"/>
      <c r="O630" s="88"/>
      <c r="P630" s="86"/>
      <c r="Q630" s="88"/>
      <c r="R630" s="86"/>
      <c r="S630" s="88"/>
      <c r="T630" s="86"/>
      <c r="U630" s="88"/>
      <c r="V630" s="86"/>
      <c r="W630" s="88"/>
      <c r="X630" s="86"/>
      <c r="Y630" s="88"/>
      <c r="Z630" s="86"/>
      <c r="AA630" s="88"/>
      <c r="AB630" s="86"/>
      <c r="AC630" s="88"/>
      <c r="AD630" s="86"/>
      <c r="AE630" s="88"/>
      <c r="AF630" s="86"/>
      <c r="AG630" s="88"/>
      <c r="AH630" s="86"/>
      <c r="AI630" s="88"/>
      <c r="AJ630" s="86"/>
      <c r="AK630" s="88"/>
      <c r="AL630" s="86"/>
      <c r="AM630" s="88"/>
      <c r="AN630" s="86"/>
      <c r="AO630" s="88"/>
      <c r="AP630" s="86"/>
      <c r="AQ630" s="88"/>
      <c r="AR630" s="86"/>
      <c r="AS630" s="88"/>
      <c r="AT630" s="86"/>
      <c r="AU630" s="88"/>
      <c r="AV630" s="86"/>
      <c r="AW630" s="88"/>
      <c r="AX630" s="86"/>
      <c r="AY630" s="88"/>
      <c r="AZ630" s="86"/>
      <c r="BA630" s="88"/>
      <c r="BB630" s="86"/>
      <c r="BC630" s="88"/>
      <c r="BD630" s="86"/>
      <c r="BE630" s="88"/>
      <c r="BF630" s="86"/>
      <c r="BG630" s="88"/>
      <c r="BH630" s="86"/>
      <c r="BI630" s="88"/>
      <c r="BJ630" s="86"/>
      <c r="BK630" s="88"/>
      <c r="BL630" s="86"/>
      <c r="BM630" s="88"/>
      <c r="BN630" s="86"/>
      <c r="BO630" s="88"/>
      <c r="BP630" s="86"/>
      <c r="BQ630" s="88"/>
      <c r="BR630" s="86"/>
      <c r="BS630" s="87"/>
    </row>
    <row r="631" ht="22.5" customHeight="1">
      <c r="A631" s="154"/>
      <c r="B631" s="83"/>
      <c r="C631" s="151"/>
      <c r="D631" s="83"/>
      <c r="E631" s="151"/>
      <c r="F631" s="83"/>
      <c r="G631" s="85"/>
      <c r="H631" s="86"/>
      <c r="I631" s="87"/>
      <c r="J631" s="86"/>
      <c r="K631" s="88"/>
      <c r="L631" s="86"/>
      <c r="M631" s="88"/>
      <c r="N631" s="86"/>
      <c r="O631" s="88"/>
      <c r="P631" s="86"/>
      <c r="Q631" s="88"/>
      <c r="R631" s="86"/>
      <c r="S631" s="88"/>
      <c r="T631" s="86"/>
      <c r="U631" s="88"/>
      <c r="V631" s="86"/>
      <c r="W631" s="88"/>
      <c r="X631" s="86"/>
      <c r="Y631" s="88"/>
      <c r="Z631" s="86"/>
      <c r="AA631" s="88"/>
      <c r="AB631" s="86"/>
      <c r="AC631" s="88"/>
      <c r="AD631" s="86"/>
      <c r="AE631" s="88"/>
      <c r="AF631" s="86"/>
      <c r="AG631" s="88"/>
      <c r="AH631" s="86"/>
      <c r="AI631" s="88"/>
      <c r="AJ631" s="86"/>
      <c r="AK631" s="88"/>
      <c r="AL631" s="86"/>
      <c r="AM631" s="88"/>
      <c r="AN631" s="86"/>
      <c r="AO631" s="88"/>
      <c r="AP631" s="86"/>
      <c r="AQ631" s="88"/>
      <c r="AR631" s="86"/>
      <c r="AS631" s="88"/>
      <c r="AT631" s="86"/>
      <c r="AU631" s="88"/>
      <c r="AV631" s="86"/>
      <c r="AW631" s="88"/>
      <c r="AX631" s="86"/>
      <c r="AY631" s="88"/>
      <c r="AZ631" s="86"/>
      <c r="BA631" s="88"/>
      <c r="BB631" s="86"/>
      <c r="BC631" s="88"/>
      <c r="BD631" s="86"/>
      <c r="BE631" s="88"/>
      <c r="BF631" s="86"/>
      <c r="BG631" s="88"/>
      <c r="BH631" s="86"/>
      <c r="BI631" s="88"/>
      <c r="BJ631" s="86"/>
      <c r="BK631" s="88"/>
      <c r="BL631" s="86"/>
      <c r="BM631" s="88"/>
      <c r="BN631" s="86"/>
      <c r="BO631" s="88"/>
      <c r="BP631" s="86"/>
      <c r="BQ631" s="88"/>
      <c r="BR631" s="86"/>
      <c r="BS631" s="87"/>
    </row>
    <row r="632" ht="22.5" customHeight="1">
      <c r="A632" s="154"/>
      <c r="B632" s="83"/>
      <c r="C632" s="151"/>
      <c r="D632" s="83"/>
      <c r="E632" s="151"/>
      <c r="F632" s="83"/>
      <c r="G632" s="85"/>
      <c r="H632" s="86"/>
      <c r="I632" s="87"/>
      <c r="J632" s="86"/>
      <c r="K632" s="88"/>
      <c r="L632" s="86"/>
      <c r="M632" s="88"/>
      <c r="N632" s="86"/>
      <c r="O632" s="88"/>
      <c r="P632" s="86"/>
      <c r="Q632" s="88"/>
      <c r="R632" s="86"/>
      <c r="S632" s="88"/>
      <c r="T632" s="86"/>
      <c r="U632" s="88"/>
      <c r="V632" s="86"/>
      <c r="W632" s="88"/>
      <c r="X632" s="86"/>
      <c r="Y632" s="88"/>
      <c r="Z632" s="86"/>
      <c r="AA632" s="88"/>
      <c r="AB632" s="86"/>
      <c r="AC632" s="88"/>
      <c r="AD632" s="86"/>
      <c r="AE632" s="88"/>
      <c r="AF632" s="86"/>
      <c r="AG632" s="88"/>
      <c r="AH632" s="86"/>
      <c r="AI632" s="88"/>
      <c r="AJ632" s="86"/>
      <c r="AK632" s="88"/>
      <c r="AL632" s="86"/>
      <c r="AM632" s="88"/>
      <c r="AN632" s="86"/>
      <c r="AO632" s="88"/>
      <c r="AP632" s="86"/>
      <c r="AQ632" s="88"/>
      <c r="AR632" s="86"/>
      <c r="AS632" s="88"/>
      <c r="AT632" s="86"/>
      <c r="AU632" s="88"/>
      <c r="AV632" s="86"/>
      <c r="AW632" s="88"/>
      <c r="AX632" s="86"/>
      <c r="AY632" s="88"/>
      <c r="AZ632" s="86"/>
      <c r="BA632" s="88"/>
      <c r="BB632" s="86"/>
      <c r="BC632" s="88"/>
      <c r="BD632" s="86"/>
      <c r="BE632" s="88"/>
      <c r="BF632" s="86"/>
      <c r="BG632" s="88"/>
      <c r="BH632" s="86"/>
      <c r="BI632" s="88"/>
      <c r="BJ632" s="86"/>
      <c r="BK632" s="88"/>
      <c r="BL632" s="86"/>
      <c r="BM632" s="88"/>
      <c r="BN632" s="86"/>
      <c r="BO632" s="88"/>
      <c r="BP632" s="86"/>
      <c r="BQ632" s="88"/>
      <c r="BR632" s="86"/>
      <c r="BS632" s="87"/>
    </row>
    <row r="633" ht="22.5" customHeight="1">
      <c r="A633" s="154"/>
      <c r="B633" s="83"/>
      <c r="C633" s="151"/>
      <c r="D633" s="83"/>
      <c r="E633" s="151"/>
      <c r="F633" s="83"/>
      <c r="G633" s="85"/>
      <c r="H633" s="86"/>
      <c r="I633" s="87"/>
      <c r="J633" s="86"/>
      <c r="K633" s="88"/>
      <c r="L633" s="86"/>
      <c r="M633" s="88"/>
      <c r="N633" s="86"/>
      <c r="O633" s="88"/>
      <c r="P633" s="86"/>
      <c r="Q633" s="88"/>
      <c r="R633" s="86"/>
      <c r="S633" s="88"/>
      <c r="T633" s="86"/>
      <c r="U633" s="88"/>
      <c r="V633" s="86"/>
      <c r="W633" s="88"/>
      <c r="X633" s="86"/>
      <c r="Y633" s="88"/>
      <c r="Z633" s="86"/>
      <c r="AA633" s="88"/>
      <c r="AB633" s="86"/>
      <c r="AC633" s="88"/>
      <c r="AD633" s="86"/>
      <c r="AE633" s="88"/>
      <c r="AF633" s="86"/>
      <c r="AG633" s="88"/>
      <c r="AH633" s="86"/>
      <c r="AI633" s="88"/>
      <c r="AJ633" s="86"/>
      <c r="AK633" s="88"/>
      <c r="AL633" s="86"/>
      <c r="AM633" s="88"/>
      <c r="AN633" s="86"/>
      <c r="AO633" s="88"/>
      <c r="AP633" s="86"/>
      <c r="AQ633" s="88"/>
      <c r="AR633" s="86"/>
      <c r="AS633" s="88"/>
      <c r="AT633" s="86"/>
      <c r="AU633" s="88"/>
      <c r="AV633" s="86"/>
      <c r="AW633" s="88"/>
      <c r="AX633" s="86"/>
      <c r="AY633" s="88"/>
      <c r="AZ633" s="86"/>
      <c r="BA633" s="88"/>
      <c r="BB633" s="86"/>
      <c r="BC633" s="88"/>
      <c r="BD633" s="86"/>
      <c r="BE633" s="88"/>
      <c r="BF633" s="86"/>
      <c r="BG633" s="88"/>
      <c r="BH633" s="86"/>
      <c r="BI633" s="88"/>
      <c r="BJ633" s="86"/>
      <c r="BK633" s="88"/>
      <c r="BL633" s="86"/>
      <c r="BM633" s="88"/>
      <c r="BN633" s="86"/>
      <c r="BO633" s="88"/>
      <c r="BP633" s="86"/>
      <c r="BQ633" s="88"/>
      <c r="BR633" s="86"/>
      <c r="BS633" s="87"/>
    </row>
    <row r="634" ht="22.5" customHeight="1">
      <c r="A634" s="154"/>
      <c r="B634" s="83"/>
      <c r="C634" s="151"/>
      <c r="D634" s="83"/>
      <c r="E634" s="151"/>
      <c r="F634" s="83"/>
      <c r="G634" s="85"/>
      <c r="H634" s="86"/>
      <c r="I634" s="87"/>
      <c r="J634" s="86"/>
      <c r="K634" s="88"/>
      <c r="L634" s="86"/>
      <c r="M634" s="88"/>
      <c r="N634" s="86"/>
      <c r="O634" s="88"/>
      <c r="P634" s="86"/>
      <c r="Q634" s="88"/>
      <c r="R634" s="86"/>
      <c r="S634" s="88"/>
      <c r="T634" s="86"/>
      <c r="U634" s="88"/>
      <c r="V634" s="86"/>
      <c r="W634" s="88"/>
      <c r="X634" s="86"/>
      <c r="Y634" s="88"/>
      <c r="Z634" s="86"/>
      <c r="AA634" s="88"/>
      <c r="AB634" s="86"/>
      <c r="AC634" s="88"/>
      <c r="AD634" s="86"/>
      <c r="AE634" s="88"/>
      <c r="AF634" s="86"/>
      <c r="AG634" s="88"/>
      <c r="AH634" s="86"/>
      <c r="AI634" s="88"/>
      <c r="AJ634" s="86"/>
      <c r="AK634" s="88"/>
      <c r="AL634" s="86"/>
      <c r="AM634" s="88"/>
      <c r="AN634" s="86"/>
      <c r="AO634" s="88"/>
      <c r="AP634" s="86"/>
      <c r="AQ634" s="88"/>
      <c r="AR634" s="86"/>
      <c r="AS634" s="88"/>
      <c r="AT634" s="86"/>
      <c r="AU634" s="88"/>
      <c r="AV634" s="86"/>
      <c r="AW634" s="88"/>
      <c r="AX634" s="86"/>
      <c r="AY634" s="88"/>
      <c r="AZ634" s="86"/>
      <c r="BA634" s="88"/>
      <c r="BB634" s="86"/>
      <c r="BC634" s="88"/>
      <c r="BD634" s="86"/>
      <c r="BE634" s="88"/>
      <c r="BF634" s="86"/>
      <c r="BG634" s="88"/>
      <c r="BH634" s="86"/>
      <c r="BI634" s="88"/>
      <c r="BJ634" s="86"/>
      <c r="BK634" s="88"/>
      <c r="BL634" s="86"/>
      <c r="BM634" s="88"/>
      <c r="BN634" s="86"/>
      <c r="BO634" s="88"/>
      <c r="BP634" s="86"/>
      <c r="BQ634" s="88"/>
      <c r="BR634" s="86"/>
      <c r="BS634" s="87"/>
    </row>
    <row r="635" ht="22.5" customHeight="1">
      <c r="A635" s="154"/>
      <c r="B635" s="83"/>
      <c r="C635" s="151"/>
      <c r="D635" s="83"/>
      <c r="E635" s="151"/>
      <c r="F635" s="83"/>
      <c r="G635" s="85"/>
      <c r="H635" s="86"/>
      <c r="I635" s="87"/>
      <c r="J635" s="86"/>
      <c r="K635" s="88"/>
      <c r="L635" s="86"/>
      <c r="M635" s="88"/>
      <c r="N635" s="86"/>
      <c r="O635" s="88"/>
      <c r="P635" s="86"/>
      <c r="Q635" s="88"/>
      <c r="R635" s="86"/>
      <c r="S635" s="88"/>
      <c r="T635" s="86"/>
      <c r="U635" s="88"/>
      <c r="V635" s="86"/>
      <c r="W635" s="88"/>
      <c r="X635" s="86"/>
      <c r="Y635" s="88"/>
      <c r="Z635" s="86"/>
      <c r="AA635" s="88"/>
      <c r="AB635" s="86"/>
      <c r="AC635" s="88"/>
      <c r="AD635" s="86"/>
      <c r="AE635" s="88"/>
      <c r="AF635" s="86"/>
      <c r="AG635" s="88"/>
      <c r="AH635" s="86"/>
      <c r="AI635" s="88"/>
      <c r="AJ635" s="86"/>
      <c r="AK635" s="88"/>
      <c r="AL635" s="86"/>
      <c r="AM635" s="88"/>
      <c r="AN635" s="86"/>
      <c r="AO635" s="88"/>
      <c r="AP635" s="86"/>
      <c r="AQ635" s="88"/>
      <c r="AR635" s="86"/>
      <c r="AS635" s="88"/>
      <c r="AT635" s="86"/>
      <c r="AU635" s="88"/>
      <c r="AV635" s="86"/>
      <c r="AW635" s="88"/>
      <c r="AX635" s="86"/>
      <c r="AY635" s="88"/>
      <c r="AZ635" s="86"/>
      <c r="BA635" s="88"/>
      <c r="BB635" s="86"/>
      <c r="BC635" s="88"/>
      <c r="BD635" s="86"/>
      <c r="BE635" s="88"/>
      <c r="BF635" s="86"/>
      <c r="BG635" s="88"/>
      <c r="BH635" s="86"/>
      <c r="BI635" s="88"/>
      <c r="BJ635" s="86"/>
      <c r="BK635" s="88"/>
      <c r="BL635" s="86"/>
      <c r="BM635" s="88"/>
      <c r="BN635" s="86"/>
      <c r="BO635" s="88"/>
      <c r="BP635" s="86"/>
      <c r="BQ635" s="88"/>
      <c r="BR635" s="86"/>
      <c r="BS635" s="87"/>
    </row>
    <row r="636" ht="22.5" customHeight="1">
      <c r="A636" s="154"/>
      <c r="B636" s="83"/>
      <c r="C636" s="151"/>
      <c r="D636" s="83"/>
      <c r="E636" s="151"/>
      <c r="F636" s="83"/>
      <c r="G636" s="85"/>
      <c r="H636" s="86"/>
      <c r="I636" s="87"/>
      <c r="J636" s="86"/>
      <c r="K636" s="88"/>
      <c r="L636" s="86"/>
      <c r="M636" s="88"/>
      <c r="N636" s="86"/>
      <c r="O636" s="88"/>
      <c r="P636" s="86"/>
      <c r="Q636" s="88"/>
      <c r="R636" s="86"/>
      <c r="S636" s="88"/>
      <c r="T636" s="86"/>
      <c r="U636" s="88"/>
      <c r="V636" s="86"/>
      <c r="W636" s="88"/>
      <c r="X636" s="86"/>
      <c r="Y636" s="88"/>
      <c r="Z636" s="86"/>
      <c r="AA636" s="88"/>
      <c r="AB636" s="86"/>
      <c r="AC636" s="88"/>
      <c r="AD636" s="86"/>
      <c r="AE636" s="88"/>
      <c r="AF636" s="86"/>
      <c r="AG636" s="88"/>
      <c r="AH636" s="86"/>
      <c r="AI636" s="88"/>
      <c r="AJ636" s="86"/>
      <c r="AK636" s="88"/>
      <c r="AL636" s="86"/>
      <c r="AM636" s="88"/>
      <c r="AN636" s="86"/>
      <c r="AO636" s="88"/>
      <c r="AP636" s="86"/>
      <c r="AQ636" s="88"/>
      <c r="AR636" s="86"/>
      <c r="AS636" s="88"/>
      <c r="AT636" s="86"/>
      <c r="AU636" s="88"/>
      <c r="AV636" s="86"/>
      <c r="AW636" s="88"/>
      <c r="AX636" s="86"/>
      <c r="AY636" s="88"/>
      <c r="AZ636" s="86"/>
      <c r="BA636" s="88"/>
      <c r="BB636" s="86"/>
      <c r="BC636" s="88"/>
      <c r="BD636" s="86"/>
      <c r="BE636" s="88"/>
      <c r="BF636" s="86"/>
      <c r="BG636" s="88"/>
      <c r="BH636" s="86"/>
      <c r="BI636" s="88"/>
      <c r="BJ636" s="86"/>
      <c r="BK636" s="88"/>
      <c r="BL636" s="86"/>
      <c r="BM636" s="88"/>
      <c r="BN636" s="86"/>
      <c r="BO636" s="88"/>
      <c r="BP636" s="86"/>
      <c r="BQ636" s="88"/>
      <c r="BR636" s="86"/>
      <c r="BS636" s="87"/>
    </row>
    <row r="637" ht="22.5" customHeight="1">
      <c r="A637" s="154"/>
      <c r="B637" s="83"/>
      <c r="C637" s="151"/>
      <c r="D637" s="83"/>
      <c r="E637" s="151"/>
      <c r="F637" s="83"/>
      <c r="G637" s="85"/>
      <c r="H637" s="86"/>
      <c r="I637" s="87"/>
      <c r="J637" s="86"/>
      <c r="K637" s="88"/>
      <c r="L637" s="86"/>
      <c r="M637" s="88"/>
      <c r="N637" s="86"/>
      <c r="O637" s="88"/>
      <c r="P637" s="86"/>
      <c r="Q637" s="88"/>
      <c r="R637" s="86"/>
      <c r="S637" s="88"/>
      <c r="T637" s="86"/>
      <c r="U637" s="88"/>
      <c r="V637" s="86"/>
      <c r="W637" s="88"/>
      <c r="X637" s="86"/>
      <c r="Y637" s="88"/>
      <c r="Z637" s="86"/>
      <c r="AA637" s="88"/>
      <c r="AB637" s="86"/>
      <c r="AC637" s="88"/>
      <c r="AD637" s="86"/>
      <c r="AE637" s="88"/>
      <c r="AF637" s="86"/>
      <c r="AG637" s="88"/>
      <c r="AH637" s="86"/>
      <c r="AI637" s="88"/>
      <c r="AJ637" s="86"/>
      <c r="AK637" s="88"/>
      <c r="AL637" s="86"/>
      <c r="AM637" s="88"/>
      <c r="AN637" s="86"/>
      <c r="AO637" s="88"/>
      <c r="AP637" s="86"/>
      <c r="AQ637" s="88"/>
      <c r="AR637" s="86"/>
      <c r="AS637" s="88"/>
      <c r="AT637" s="86"/>
      <c r="AU637" s="88"/>
      <c r="AV637" s="86"/>
      <c r="AW637" s="88"/>
      <c r="AX637" s="86"/>
      <c r="AY637" s="88"/>
      <c r="AZ637" s="86"/>
      <c r="BA637" s="88"/>
      <c r="BB637" s="86"/>
      <c r="BC637" s="88"/>
      <c r="BD637" s="86"/>
      <c r="BE637" s="88"/>
      <c r="BF637" s="86"/>
      <c r="BG637" s="88"/>
      <c r="BH637" s="86"/>
      <c r="BI637" s="88"/>
      <c r="BJ637" s="86"/>
      <c r="BK637" s="88"/>
      <c r="BL637" s="86"/>
      <c r="BM637" s="88"/>
      <c r="BN637" s="86"/>
      <c r="BO637" s="88"/>
      <c r="BP637" s="86"/>
      <c r="BQ637" s="88"/>
      <c r="BR637" s="86"/>
      <c r="BS637" s="87"/>
    </row>
    <row r="638" ht="22.5" customHeight="1">
      <c r="A638" s="154"/>
      <c r="B638" s="83"/>
      <c r="C638" s="151"/>
      <c r="D638" s="83"/>
      <c r="E638" s="151"/>
      <c r="F638" s="83"/>
      <c r="G638" s="85"/>
      <c r="H638" s="86"/>
      <c r="I638" s="87"/>
      <c r="J638" s="86"/>
      <c r="K638" s="88"/>
      <c r="L638" s="86"/>
      <c r="M638" s="88"/>
      <c r="N638" s="86"/>
      <c r="O638" s="88"/>
      <c r="P638" s="86"/>
      <c r="Q638" s="88"/>
      <c r="R638" s="86"/>
      <c r="S638" s="88"/>
      <c r="T638" s="86"/>
      <c r="U638" s="88"/>
      <c r="V638" s="86"/>
      <c r="W638" s="88"/>
      <c r="X638" s="86"/>
      <c r="Y638" s="88"/>
      <c r="Z638" s="86"/>
      <c r="AA638" s="88"/>
      <c r="AB638" s="86"/>
      <c r="AC638" s="88"/>
      <c r="AD638" s="86"/>
      <c r="AE638" s="88"/>
      <c r="AF638" s="86"/>
      <c r="AG638" s="88"/>
      <c r="AH638" s="86"/>
      <c r="AI638" s="88"/>
      <c r="AJ638" s="86"/>
      <c r="AK638" s="88"/>
      <c r="AL638" s="86"/>
      <c r="AM638" s="88"/>
      <c r="AN638" s="86"/>
      <c r="AO638" s="88"/>
      <c r="AP638" s="86"/>
      <c r="AQ638" s="88"/>
      <c r="AR638" s="86"/>
      <c r="AS638" s="88"/>
      <c r="AT638" s="86"/>
      <c r="AU638" s="88"/>
      <c r="AV638" s="86"/>
      <c r="AW638" s="88"/>
      <c r="AX638" s="86"/>
      <c r="AY638" s="88"/>
      <c r="AZ638" s="86"/>
      <c r="BA638" s="88"/>
      <c r="BB638" s="86"/>
      <c r="BC638" s="88"/>
      <c r="BD638" s="86"/>
      <c r="BE638" s="88"/>
      <c r="BF638" s="86"/>
      <c r="BG638" s="88"/>
      <c r="BH638" s="86"/>
      <c r="BI638" s="88"/>
      <c r="BJ638" s="86"/>
      <c r="BK638" s="88"/>
      <c r="BL638" s="86"/>
      <c r="BM638" s="88"/>
      <c r="BN638" s="86"/>
      <c r="BO638" s="88"/>
      <c r="BP638" s="86"/>
      <c r="BQ638" s="88"/>
      <c r="BR638" s="86"/>
      <c r="BS638" s="87"/>
    </row>
    <row r="639" ht="22.5" customHeight="1">
      <c r="A639" s="154"/>
      <c r="B639" s="83"/>
      <c r="C639" s="151"/>
      <c r="D639" s="83"/>
      <c r="E639" s="151"/>
      <c r="F639" s="83"/>
      <c r="G639" s="85"/>
      <c r="H639" s="86"/>
      <c r="I639" s="87"/>
      <c r="J639" s="86"/>
      <c r="K639" s="88"/>
      <c r="L639" s="86"/>
      <c r="M639" s="88"/>
      <c r="N639" s="86"/>
      <c r="O639" s="88"/>
      <c r="P639" s="86"/>
      <c r="Q639" s="88"/>
      <c r="R639" s="86"/>
      <c r="S639" s="88"/>
      <c r="T639" s="86"/>
      <c r="U639" s="88"/>
      <c r="V639" s="86"/>
      <c r="W639" s="88"/>
      <c r="X639" s="86"/>
      <c r="Y639" s="88"/>
      <c r="Z639" s="86"/>
      <c r="AA639" s="88"/>
      <c r="AB639" s="86"/>
      <c r="AC639" s="88"/>
      <c r="AD639" s="86"/>
      <c r="AE639" s="88"/>
      <c r="AF639" s="86"/>
      <c r="AG639" s="88"/>
      <c r="AH639" s="86"/>
      <c r="AI639" s="88"/>
      <c r="AJ639" s="86"/>
      <c r="AK639" s="88"/>
      <c r="AL639" s="86"/>
      <c r="AM639" s="88"/>
      <c r="AN639" s="86"/>
      <c r="AO639" s="88"/>
      <c r="AP639" s="86"/>
      <c r="AQ639" s="88"/>
      <c r="AR639" s="86"/>
      <c r="AS639" s="88"/>
      <c r="AT639" s="86"/>
      <c r="AU639" s="88"/>
      <c r="AV639" s="86"/>
      <c r="AW639" s="88"/>
      <c r="AX639" s="86"/>
      <c r="AY639" s="88"/>
      <c r="AZ639" s="86"/>
      <c r="BA639" s="88"/>
      <c r="BB639" s="86"/>
      <c r="BC639" s="88"/>
      <c r="BD639" s="86"/>
      <c r="BE639" s="88"/>
      <c r="BF639" s="86"/>
      <c r="BG639" s="88"/>
      <c r="BH639" s="86"/>
      <c r="BI639" s="88"/>
      <c r="BJ639" s="86"/>
      <c r="BK639" s="88"/>
      <c r="BL639" s="86"/>
      <c r="BM639" s="88"/>
      <c r="BN639" s="86"/>
      <c r="BO639" s="88"/>
      <c r="BP639" s="86"/>
      <c r="BQ639" s="88"/>
      <c r="BR639" s="86"/>
      <c r="BS639" s="87"/>
    </row>
    <row r="640" ht="22.5" customHeight="1">
      <c r="A640" s="154"/>
      <c r="B640" s="83"/>
      <c r="C640" s="151"/>
      <c r="D640" s="83"/>
      <c r="E640" s="151"/>
      <c r="F640" s="83"/>
      <c r="G640" s="85"/>
      <c r="H640" s="86"/>
      <c r="I640" s="87"/>
      <c r="J640" s="86"/>
      <c r="K640" s="88"/>
      <c r="L640" s="86"/>
      <c r="M640" s="88"/>
      <c r="N640" s="86"/>
      <c r="O640" s="88"/>
      <c r="P640" s="86"/>
      <c r="Q640" s="88"/>
      <c r="R640" s="86"/>
      <c r="S640" s="88"/>
      <c r="T640" s="86"/>
      <c r="U640" s="88"/>
      <c r="V640" s="86"/>
      <c r="W640" s="88"/>
      <c r="X640" s="86"/>
      <c r="Y640" s="88"/>
      <c r="Z640" s="86"/>
      <c r="AA640" s="88"/>
      <c r="AB640" s="86"/>
      <c r="AC640" s="88"/>
      <c r="AD640" s="86"/>
      <c r="AE640" s="88"/>
      <c r="AF640" s="86"/>
      <c r="AG640" s="88"/>
      <c r="AH640" s="86"/>
      <c r="AI640" s="88"/>
      <c r="AJ640" s="86"/>
      <c r="AK640" s="88"/>
      <c r="AL640" s="86"/>
      <c r="AM640" s="88"/>
      <c r="AN640" s="86"/>
      <c r="AO640" s="88"/>
      <c r="AP640" s="86"/>
      <c r="AQ640" s="88"/>
      <c r="AR640" s="86"/>
      <c r="AS640" s="88"/>
      <c r="AT640" s="86"/>
      <c r="AU640" s="88"/>
      <c r="AV640" s="86"/>
      <c r="AW640" s="88"/>
      <c r="AX640" s="86"/>
      <c r="AY640" s="88"/>
      <c r="AZ640" s="86"/>
      <c r="BA640" s="88"/>
      <c r="BB640" s="86"/>
      <c r="BC640" s="88"/>
      <c r="BD640" s="86"/>
      <c r="BE640" s="88"/>
      <c r="BF640" s="86"/>
      <c r="BG640" s="88"/>
      <c r="BH640" s="86"/>
      <c r="BI640" s="88"/>
      <c r="BJ640" s="86"/>
      <c r="BK640" s="88"/>
      <c r="BL640" s="86"/>
      <c r="BM640" s="88"/>
      <c r="BN640" s="86"/>
      <c r="BO640" s="88"/>
      <c r="BP640" s="86"/>
      <c r="BQ640" s="88"/>
      <c r="BR640" s="86"/>
      <c r="BS640" s="87"/>
    </row>
    <row r="641" ht="22.5" customHeight="1">
      <c r="A641" s="154"/>
      <c r="B641" s="83"/>
      <c r="C641" s="151"/>
      <c r="D641" s="83"/>
      <c r="E641" s="151"/>
      <c r="F641" s="83"/>
      <c r="G641" s="85"/>
      <c r="H641" s="86"/>
      <c r="I641" s="87"/>
      <c r="J641" s="86"/>
      <c r="K641" s="88"/>
      <c r="L641" s="86"/>
      <c r="M641" s="88"/>
      <c r="N641" s="86"/>
      <c r="O641" s="88"/>
      <c r="P641" s="86"/>
      <c r="Q641" s="88"/>
      <c r="R641" s="86"/>
      <c r="S641" s="88"/>
      <c r="T641" s="86"/>
      <c r="U641" s="88"/>
      <c r="V641" s="86"/>
      <c r="W641" s="88"/>
      <c r="X641" s="86"/>
      <c r="Y641" s="88"/>
      <c r="Z641" s="86"/>
      <c r="AA641" s="88"/>
      <c r="AB641" s="86"/>
      <c r="AC641" s="88"/>
      <c r="AD641" s="86"/>
      <c r="AE641" s="88"/>
      <c r="AF641" s="86"/>
      <c r="AG641" s="88"/>
      <c r="AH641" s="86"/>
      <c r="AI641" s="88"/>
      <c r="AJ641" s="86"/>
      <c r="AK641" s="88"/>
      <c r="AL641" s="86"/>
      <c r="AM641" s="88"/>
      <c r="AN641" s="86"/>
      <c r="AO641" s="88"/>
      <c r="AP641" s="86"/>
      <c r="AQ641" s="88"/>
      <c r="AR641" s="86"/>
      <c r="AS641" s="88"/>
      <c r="AT641" s="86"/>
      <c r="AU641" s="88"/>
      <c r="AV641" s="86"/>
      <c r="AW641" s="88"/>
      <c r="AX641" s="86"/>
      <c r="AY641" s="88"/>
      <c r="AZ641" s="86"/>
      <c r="BA641" s="88"/>
      <c r="BB641" s="86"/>
      <c r="BC641" s="88"/>
      <c r="BD641" s="86"/>
      <c r="BE641" s="88"/>
      <c r="BF641" s="86"/>
      <c r="BG641" s="88"/>
      <c r="BH641" s="86"/>
      <c r="BI641" s="88"/>
      <c r="BJ641" s="86"/>
      <c r="BK641" s="88"/>
      <c r="BL641" s="86"/>
      <c r="BM641" s="88"/>
      <c r="BN641" s="86"/>
      <c r="BO641" s="88"/>
      <c r="BP641" s="86"/>
      <c r="BQ641" s="88"/>
      <c r="BR641" s="86"/>
      <c r="BS641" s="87"/>
    </row>
    <row r="642" ht="22.5" customHeight="1">
      <c r="A642" s="154"/>
      <c r="B642" s="83"/>
      <c r="C642" s="151"/>
      <c r="D642" s="83"/>
      <c r="E642" s="151"/>
      <c r="F642" s="83"/>
      <c r="G642" s="85"/>
      <c r="H642" s="86"/>
      <c r="I642" s="87"/>
      <c r="J642" s="86"/>
      <c r="K642" s="88"/>
      <c r="L642" s="86"/>
      <c r="M642" s="88"/>
      <c r="N642" s="86"/>
      <c r="O642" s="88"/>
      <c r="P642" s="86"/>
      <c r="Q642" s="88"/>
      <c r="R642" s="86"/>
      <c r="S642" s="88"/>
      <c r="T642" s="86"/>
      <c r="U642" s="88"/>
      <c r="V642" s="86"/>
      <c r="W642" s="88"/>
      <c r="X642" s="86"/>
      <c r="Y642" s="88"/>
      <c r="Z642" s="86"/>
      <c r="AA642" s="88"/>
      <c r="AB642" s="86"/>
      <c r="AC642" s="88"/>
      <c r="AD642" s="86"/>
      <c r="AE642" s="88"/>
      <c r="AF642" s="86"/>
      <c r="AG642" s="88"/>
      <c r="AH642" s="86"/>
      <c r="AI642" s="88"/>
      <c r="AJ642" s="86"/>
      <c r="AK642" s="88"/>
      <c r="AL642" s="86"/>
      <c r="AM642" s="88"/>
      <c r="AN642" s="86"/>
      <c r="AO642" s="88"/>
      <c r="AP642" s="86"/>
      <c r="AQ642" s="88"/>
      <c r="AR642" s="86"/>
      <c r="AS642" s="88"/>
      <c r="AT642" s="86"/>
      <c r="AU642" s="88"/>
      <c r="AV642" s="86"/>
      <c r="AW642" s="88"/>
      <c r="AX642" s="86"/>
      <c r="AY642" s="88"/>
      <c r="AZ642" s="86"/>
      <c r="BA642" s="88"/>
      <c r="BB642" s="86"/>
      <c r="BC642" s="88"/>
      <c r="BD642" s="86"/>
      <c r="BE642" s="88"/>
      <c r="BF642" s="86"/>
      <c r="BG642" s="88"/>
      <c r="BH642" s="86"/>
      <c r="BI642" s="88"/>
      <c r="BJ642" s="86"/>
      <c r="BK642" s="88"/>
      <c r="BL642" s="86"/>
      <c r="BM642" s="88"/>
      <c r="BN642" s="86"/>
      <c r="BO642" s="88"/>
      <c r="BP642" s="86"/>
      <c r="BQ642" s="88"/>
      <c r="BR642" s="86"/>
      <c r="BS642" s="87"/>
    </row>
    <row r="643" ht="22.5" customHeight="1">
      <c r="A643" s="154"/>
      <c r="B643" s="83"/>
      <c r="C643" s="151"/>
      <c r="D643" s="83"/>
      <c r="E643" s="151"/>
      <c r="F643" s="83"/>
      <c r="G643" s="85"/>
      <c r="H643" s="86"/>
      <c r="I643" s="87"/>
      <c r="J643" s="86"/>
      <c r="K643" s="88"/>
      <c r="L643" s="86"/>
      <c r="M643" s="88"/>
      <c r="N643" s="86"/>
      <c r="O643" s="88"/>
      <c r="P643" s="86"/>
      <c r="Q643" s="88"/>
      <c r="R643" s="86"/>
      <c r="S643" s="88"/>
      <c r="T643" s="86"/>
      <c r="U643" s="88"/>
      <c r="V643" s="86"/>
      <c r="W643" s="88"/>
      <c r="X643" s="86"/>
      <c r="Y643" s="88"/>
      <c r="Z643" s="86"/>
      <c r="AA643" s="88"/>
      <c r="AB643" s="86"/>
      <c r="AC643" s="88"/>
      <c r="AD643" s="86"/>
      <c r="AE643" s="88"/>
      <c r="AF643" s="86"/>
      <c r="AG643" s="88"/>
      <c r="AH643" s="86"/>
      <c r="AI643" s="88"/>
      <c r="AJ643" s="86"/>
      <c r="AK643" s="88"/>
      <c r="AL643" s="86"/>
      <c r="AM643" s="88"/>
      <c r="AN643" s="86"/>
      <c r="AO643" s="88"/>
      <c r="AP643" s="86"/>
      <c r="AQ643" s="88"/>
      <c r="AR643" s="86"/>
      <c r="AS643" s="88"/>
      <c r="AT643" s="86"/>
      <c r="AU643" s="88"/>
      <c r="AV643" s="86"/>
      <c r="AW643" s="88"/>
      <c r="AX643" s="86"/>
      <c r="AY643" s="88"/>
      <c r="AZ643" s="86"/>
      <c r="BA643" s="88"/>
      <c r="BB643" s="86"/>
      <c r="BC643" s="88"/>
      <c r="BD643" s="86"/>
      <c r="BE643" s="88"/>
      <c r="BF643" s="86"/>
      <c r="BG643" s="88"/>
      <c r="BH643" s="86"/>
      <c r="BI643" s="88"/>
      <c r="BJ643" s="86"/>
      <c r="BK643" s="88"/>
      <c r="BL643" s="86"/>
      <c r="BM643" s="88"/>
      <c r="BN643" s="86"/>
      <c r="BO643" s="88"/>
      <c r="BP643" s="86"/>
      <c r="BQ643" s="88"/>
      <c r="BR643" s="86"/>
      <c r="BS643" s="87"/>
    </row>
    <row r="644" ht="22.5" customHeight="1">
      <c r="A644" s="154"/>
      <c r="B644" s="83"/>
      <c r="C644" s="151"/>
      <c r="D644" s="83"/>
      <c r="E644" s="151"/>
      <c r="F644" s="83"/>
      <c r="G644" s="85"/>
      <c r="H644" s="86"/>
      <c r="I644" s="87"/>
      <c r="J644" s="86"/>
      <c r="K644" s="88"/>
      <c r="L644" s="86"/>
      <c r="M644" s="88"/>
      <c r="N644" s="86"/>
      <c r="O644" s="88"/>
      <c r="P644" s="86"/>
      <c r="Q644" s="88"/>
      <c r="R644" s="86"/>
      <c r="S644" s="88"/>
      <c r="T644" s="86"/>
      <c r="U644" s="88"/>
      <c r="V644" s="86"/>
      <c r="W644" s="88"/>
      <c r="X644" s="86"/>
      <c r="Y644" s="88"/>
      <c r="Z644" s="86"/>
      <c r="AA644" s="88"/>
      <c r="AB644" s="86"/>
      <c r="AC644" s="88"/>
      <c r="AD644" s="86"/>
      <c r="AE644" s="88"/>
      <c r="AF644" s="86"/>
      <c r="AG644" s="88"/>
      <c r="AH644" s="86"/>
      <c r="AI644" s="88"/>
      <c r="AJ644" s="86"/>
      <c r="AK644" s="88"/>
      <c r="AL644" s="86"/>
      <c r="AM644" s="88"/>
      <c r="AN644" s="86"/>
      <c r="AO644" s="88"/>
      <c r="AP644" s="86"/>
      <c r="AQ644" s="88"/>
      <c r="AR644" s="86"/>
      <c r="AS644" s="88"/>
      <c r="AT644" s="86"/>
      <c r="AU644" s="88"/>
      <c r="AV644" s="86"/>
      <c r="AW644" s="88"/>
      <c r="AX644" s="86"/>
      <c r="AY644" s="88"/>
      <c r="AZ644" s="86"/>
      <c r="BA644" s="88"/>
      <c r="BB644" s="86"/>
      <c r="BC644" s="88"/>
      <c r="BD644" s="86"/>
      <c r="BE644" s="88"/>
      <c r="BF644" s="86"/>
      <c r="BG644" s="88"/>
      <c r="BH644" s="86"/>
      <c r="BI644" s="88"/>
      <c r="BJ644" s="86"/>
      <c r="BK644" s="88"/>
      <c r="BL644" s="86"/>
      <c r="BM644" s="88"/>
      <c r="BN644" s="86"/>
      <c r="BO644" s="88"/>
      <c r="BP644" s="86"/>
      <c r="BQ644" s="88"/>
      <c r="BR644" s="86"/>
      <c r="BS644" s="87"/>
    </row>
    <row r="645" ht="22.5" customHeight="1">
      <c r="A645" s="154"/>
      <c r="B645" s="83"/>
      <c r="C645" s="151"/>
      <c r="D645" s="83"/>
      <c r="E645" s="151"/>
      <c r="F645" s="83"/>
      <c r="G645" s="85"/>
      <c r="H645" s="86"/>
      <c r="I645" s="87"/>
      <c r="J645" s="86"/>
      <c r="K645" s="88"/>
      <c r="L645" s="86"/>
      <c r="M645" s="88"/>
      <c r="N645" s="86"/>
      <c r="O645" s="88"/>
      <c r="P645" s="86"/>
      <c r="Q645" s="88"/>
      <c r="R645" s="86"/>
      <c r="S645" s="88"/>
      <c r="T645" s="86"/>
      <c r="U645" s="88"/>
      <c r="V645" s="86"/>
      <c r="W645" s="88"/>
      <c r="X645" s="86"/>
      <c r="Y645" s="88"/>
      <c r="Z645" s="86"/>
      <c r="AA645" s="88"/>
      <c r="AB645" s="86"/>
      <c r="AC645" s="88"/>
      <c r="AD645" s="86"/>
      <c r="AE645" s="88"/>
      <c r="AF645" s="86"/>
      <c r="AG645" s="88"/>
      <c r="AH645" s="86"/>
      <c r="AI645" s="88"/>
      <c r="AJ645" s="86"/>
      <c r="AK645" s="88"/>
      <c r="AL645" s="86"/>
      <c r="AM645" s="88"/>
      <c r="AN645" s="86"/>
      <c r="AO645" s="88"/>
      <c r="AP645" s="86"/>
      <c r="AQ645" s="88"/>
      <c r="AR645" s="86"/>
      <c r="AS645" s="88"/>
      <c r="AT645" s="86"/>
      <c r="AU645" s="88"/>
      <c r="AV645" s="86"/>
      <c r="AW645" s="88"/>
      <c r="AX645" s="86"/>
      <c r="AY645" s="88"/>
      <c r="AZ645" s="86"/>
      <c r="BA645" s="88"/>
      <c r="BB645" s="86"/>
      <c r="BC645" s="88"/>
      <c r="BD645" s="86"/>
      <c r="BE645" s="88"/>
      <c r="BF645" s="86"/>
      <c r="BG645" s="88"/>
      <c r="BH645" s="86"/>
      <c r="BI645" s="88"/>
      <c r="BJ645" s="86"/>
      <c r="BK645" s="88"/>
      <c r="BL645" s="86"/>
      <c r="BM645" s="88"/>
      <c r="BN645" s="86"/>
      <c r="BO645" s="88"/>
      <c r="BP645" s="86"/>
      <c r="BQ645" s="88"/>
      <c r="BR645" s="86"/>
      <c r="BS645" s="87"/>
    </row>
    <row r="646" ht="22.5" customHeight="1">
      <c r="A646" s="154"/>
      <c r="B646" s="83"/>
      <c r="C646" s="151"/>
      <c r="D646" s="83"/>
      <c r="E646" s="151"/>
      <c r="F646" s="83"/>
      <c r="G646" s="85"/>
      <c r="H646" s="86"/>
      <c r="I646" s="87"/>
      <c r="J646" s="86"/>
      <c r="K646" s="88"/>
      <c r="L646" s="86"/>
      <c r="M646" s="88"/>
      <c r="N646" s="86"/>
      <c r="O646" s="88"/>
      <c r="P646" s="86"/>
      <c r="Q646" s="88"/>
      <c r="R646" s="86"/>
      <c r="S646" s="88"/>
      <c r="T646" s="86"/>
      <c r="U646" s="88"/>
      <c r="V646" s="86"/>
      <c r="W646" s="88"/>
      <c r="X646" s="86"/>
      <c r="Y646" s="88"/>
      <c r="Z646" s="86"/>
      <c r="AA646" s="88"/>
      <c r="AB646" s="86"/>
      <c r="AC646" s="88"/>
      <c r="AD646" s="86"/>
      <c r="AE646" s="88"/>
      <c r="AF646" s="86"/>
      <c r="AG646" s="88"/>
      <c r="AH646" s="86"/>
      <c r="AI646" s="88"/>
      <c r="AJ646" s="86"/>
      <c r="AK646" s="88"/>
      <c r="AL646" s="86"/>
      <c r="AM646" s="88"/>
      <c r="AN646" s="86"/>
      <c r="AO646" s="88"/>
      <c r="AP646" s="86"/>
      <c r="AQ646" s="88"/>
      <c r="AR646" s="86"/>
      <c r="AS646" s="88"/>
      <c r="AT646" s="86"/>
      <c r="AU646" s="88"/>
      <c r="AV646" s="86"/>
      <c r="AW646" s="88"/>
      <c r="AX646" s="86"/>
      <c r="AY646" s="88"/>
      <c r="AZ646" s="86"/>
      <c r="BA646" s="88"/>
      <c r="BB646" s="86"/>
      <c r="BC646" s="88"/>
      <c r="BD646" s="86"/>
      <c r="BE646" s="88"/>
      <c r="BF646" s="86"/>
      <c r="BG646" s="88"/>
      <c r="BH646" s="86"/>
      <c r="BI646" s="88"/>
      <c r="BJ646" s="86"/>
      <c r="BK646" s="88"/>
      <c r="BL646" s="86"/>
      <c r="BM646" s="88"/>
      <c r="BN646" s="86"/>
      <c r="BO646" s="88"/>
      <c r="BP646" s="86"/>
      <c r="BQ646" s="88"/>
      <c r="BR646" s="86"/>
      <c r="BS646" s="87"/>
    </row>
    <row r="647" ht="22.5" customHeight="1">
      <c r="A647" s="154"/>
      <c r="B647" s="83"/>
      <c r="C647" s="151"/>
      <c r="D647" s="83"/>
      <c r="E647" s="151"/>
      <c r="F647" s="83"/>
      <c r="G647" s="85"/>
      <c r="H647" s="86"/>
      <c r="I647" s="87"/>
      <c r="J647" s="86"/>
      <c r="K647" s="88"/>
      <c r="L647" s="86"/>
      <c r="M647" s="88"/>
      <c r="N647" s="86"/>
      <c r="O647" s="88"/>
      <c r="P647" s="86"/>
      <c r="Q647" s="88"/>
      <c r="R647" s="86"/>
      <c r="S647" s="88"/>
      <c r="T647" s="86"/>
      <c r="U647" s="88"/>
      <c r="V647" s="86"/>
      <c r="W647" s="88"/>
      <c r="X647" s="86"/>
      <c r="Y647" s="88"/>
      <c r="Z647" s="86"/>
      <c r="AA647" s="88"/>
      <c r="AB647" s="86"/>
      <c r="AC647" s="88"/>
      <c r="AD647" s="86"/>
      <c r="AE647" s="88"/>
      <c r="AF647" s="86"/>
      <c r="AG647" s="88"/>
      <c r="AH647" s="86"/>
      <c r="AI647" s="88"/>
      <c r="AJ647" s="86"/>
      <c r="AK647" s="88"/>
      <c r="AL647" s="86"/>
      <c r="AM647" s="88"/>
      <c r="AN647" s="86"/>
      <c r="AO647" s="88"/>
      <c r="AP647" s="86"/>
      <c r="AQ647" s="88"/>
      <c r="AR647" s="86"/>
      <c r="AS647" s="88"/>
      <c r="AT647" s="86"/>
      <c r="AU647" s="88"/>
      <c r="AV647" s="86"/>
      <c r="AW647" s="88"/>
      <c r="AX647" s="86"/>
      <c r="AY647" s="88"/>
      <c r="AZ647" s="86"/>
      <c r="BA647" s="88"/>
      <c r="BB647" s="86"/>
      <c r="BC647" s="88"/>
      <c r="BD647" s="86"/>
      <c r="BE647" s="88"/>
      <c r="BF647" s="86"/>
      <c r="BG647" s="88"/>
      <c r="BH647" s="86"/>
      <c r="BI647" s="88"/>
      <c r="BJ647" s="86"/>
      <c r="BK647" s="88"/>
      <c r="BL647" s="86"/>
      <c r="BM647" s="88"/>
      <c r="BN647" s="86"/>
      <c r="BO647" s="88"/>
      <c r="BP647" s="86"/>
      <c r="BQ647" s="88"/>
      <c r="BR647" s="86"/>
      <c r="BS647" s="87"/>
    </row>
    <row r="648" ht="22.5" customHeight="1">
      <c r="A648" s="154"/>
      <c r="B648" s="83"/>
      <c r="C648" s="151"/>
      <c r="D648" s="83"/>
      <c r="E648" s="151"/>
      <c r="F648" s="83"/>
      <c r="G648" s="85"/>
      <c r="H648" s="86"/>
      <c r="I648" s="87"/>
      <c r="J648" s="86"/>
      <c r="K648" s="88"/>
      <c r="L648" s="86"/>
      <c r="M648" s="88"/>
      <c r="N648" s="86"/>
      <c r="O648" s="88"/>
      <c r="P648" s="86"/>
      <c r="Q648" s="88"/>
      <c r="R648" s="86"/>
      <c r="S648" s="88"/>
      <c r="T648" s="86"/>
      <c r="U648" s="88"/>
      <c r="V648" s="86"/>
      <c r="W648" s="88"/>
      <c r="X648" s="86"/>
      <c r="Y648" s="88"/>
      <c r="Z648" s="86"/>
      <c r="AA648" s="88"/>
      <c r="AB648" s="86"/>
      <c r="AC648" s="88"/>
      <c r="AD648" s="86"/>
      <c r="AE648" s="88"/>
      <c r="AF648" s="86"/>
      <c r="AG648" s="88"/>
      <c r="AH648" s="86"/>
      <c r="AI648" s="88"/>
      <c r="AJ648" s="86"/>
      <c r="AK648" s="88"/>
      <c r="AL648" s="86"/>
      <c r="AM648" s="88"/>
      <c r="AN648" s="86"/>
      <c r="AO648" s="88"/>
      <c r="AP648" s="86"/>
      <c r="AQ648" s="88"/>
      <c r="AR648" s="86"/>
      <c r="AS648" s="88"/>
      <c r="AT648" s="86"/>
      <c r="AU648" s="88"/>
      <c r="AV648" s="86"/>
      <c r="AW648" s="88"/>
      <c r="AX648" s="86"/>
      <c r="AY648" s="88"/>
      <c r="AZ648" s="86"/>
      <c r="BA648" s="88"/>
      <c r="BB648" s="86"/>
      <c r="BC648" s="88"/>
      <c r="BD648" s="86"/>
      <c r="BE648" s="88"/>
      <c r="BF648" s="86"/>
      <c r="BG648" s="88"/>
      <c r="BH648" s="86"/>
      <c r="BI648" s="88"/>
      <c r="BJ648" s="86"/>
      <c r="BK648" s="88"/>
      <c r="BL648" s="86"/>
      <c r="BM648" s="88"/>
      <c r="BN648" s="86"/>
      <c r="BO648" s="88"/>
      <c r="BP648" s="86"/>
      <c r="BQ648" s="88"/>
      <c r="BR648" s="86"/>
      <c r="BS648" s="87"/>
    </row>
    <row r="649" ht="22.5" customHeight="1">
      <c r="A649" s="154"/>
      <c r="B649" s="83"/>
      <c r="C649" s="151"/>
      <c r="D649" s="83"/>
      <c r="E649" s="151"/>
      <c r="F649" s="83"/>
      <c r="G649" s="85"/>
      <c r="H649" s="86"/>
      <c r="I649" s="87"/>
      <c r="J649" s="86"/>
      <c r="K649" s="88"/>
      <c r="L649" s="86"/>
      <c r="M649" s="88"/>
      <c r="N649" s="86"/>
      <c r="O649" s="88"/>
      <c r="P649" s="86"/>
      <c r="Q649" s="88"/>
      <c r="R649" s="86"/>
      <c r="S649" s="88"/>
      <c r="T649" s="86"/>
      <c r="U649" s="88"/>
      <c r="V649" s="86"/>
      <c r="W649" s="88"/>
      <c r="X649" s="86"/>
      <c r="Y649" s="88"/>
      <c r="Z649" s="86"/>
      <c r="AA649" s="88"/>
      <c r="AB649" s="86"/>
      <c r="AC649" s="88"/>
      <c r="AD649" s="86"/>
      <c r="AE649" s="88"/>
      <c r="AF649" s="86"/>
      <c r="AG649" s="88"/>
      <c r="AH649" s="86"/>
      <c r="AI649" s="88"/>
      <c r="AJ649" s="86"/>
      <c r="AK649" s="88"/>
      <c r="AL649" s="86"/>
      <c r="AM649" s="88"/>
      <c r="AN649" s="86"/>
      <c r="AO649" s="88"/>
      <c r="AP649" s="86"/>
      <c r="AQ649" s="88"/>
      <c r="AR649" s="86"/>
      <c r="AS649" s="88"/>
      <c r="AT649" s="86"/>
      <c r="AU649" s="88"/>
      <c r="AV649" s="86"/>
      <c r="AW649" s="88"/>
      <c r="AX649" s="86"/>
      <c r="AY649" s="88"/>
      <c r="AZ649" s="86"/>
      <c r="BA649" s="88"/>
      <c r="BB649" s="86"/>
      <c r="BC649" s="88"/>
      <c r="BD649" s="86"/>
      <c r="BE649" s="88"/>
      <c r="BF649" s="86"/>
      <c r="BG649" s="88"/>
      <c r="BH649" s="86"/>
      <c r="BI649" s="88"/>
      <c r="BJ649" s="86"/>
      <c r="BK649" s="88"/>
      <c r="BL649" s="86"/>
      <c r="BM649" s="88"/>
      <c r="BN649" s="86"/>
      <c r="BO649" s="88"/>
      <c r="BP649" s="86"/>
      <c r="BQ649" s="88"/>
      <c r="BR649" s="86"/>
      <c r="BS649" s="87"/>
    </row>
    <row r="650" ht="22.5" customHeight="1">
      <c r="A650" s="154"/>
      <c r="B650" s="83"/>
      <c r="C650" s="151"/>
      <c r="D650" s="83"/>
      <c r="E650" s="151"/>
      <c r="F650" s="83"/>
      <c r="G650" s="85"/>
      <c r="H650" s="86"/>
      <c r="I650" s="87"/>
      <c r="J650" s="86"/>
      <c r="K650" s="88"/>
      <c r="L650" s="86"/>
      <c r="M650" s="88"/>
      <c r="N650" s="86"/>
      <c r="O650" s="88"/>
      <c r="P650" s="86"/>
      <c r="Q650" s="88"/>
      <c r="R650" s="86"/>
      <c r="S650" s="88"/>
      <c r="T650" s="86"/>
      <c r="U650" s="88"/>
      <c r="V650" s="86"/>
      <c r="W650" s="88"/>
      <c r="X650" s="86"/>
      <c r="Y650" s="88"/>
      <c r="Z650" s="86"/>
      <c r="AA650" s="88"/>
      <c r="AB650" s="86"/>
      <c r="AC650" s="88"/>
      <c r="AD650" s="86"/>
      <c r="AE650" s="88"/>
      <c r="AF650" s="86"/>
      <c r="AG650" s="88"/>
      <c r="AH650" s="86"/>
      <c r="AI650" s="88"/>
      <c r="AJ650" s="86"/>
      <c r="AK650" s="88"/>
      <c r="AL650" s="86"/>
      <c r="AM650" s="88"/>
      <c r="AN650" s="86"/>
      <c r="AO650" s="88"/>
      <c r="AP650" s="86"/>
      <c r="AQ650" s="88"/>
      <c r="AR650" s="86"/>
      <c r="AS650" s="88"/>
      <c r="AT650" s="86"/>
      <c r="AU650" s="88"/>
      <c r="AV650" s="86"/>
      <c r="AW650" s="88"/>
      <c r="AX650" s="86"/>
      <c r="AY650" s="88"/>
      <c r="AZ650" s="86"/>
      <c r="BA650" s="88"/>
      <c r="BB650" s="86"/>
      <c r="BC650" s="88"/>
      <c r="BD650" s="86"/>
      <c r="BE650" s="88"/>
      <c r="BF650" s="86"/>
      <c r="BG650" s="88"/>
      <c r="BH650" s="86"/>
      <c r="BI650" s="88"/>
      <c r="BJ650" s="86"/>
      <c r="BK650" s="88"/>
      <c r="BL650" s="86"/>
      <c r="BM650" s="88"/>
      <c r="BN650" s="86"/>
      <c r="BO650" s="88"/>
      <c r="BP650" s="86"/>
      <c r="BQ650" s="88"/>
      <c r="BR650" s="86"/>
      <c r="BS650" s="87"/>
    </row>
    <row r="651" ht="22.5" customHeight="1">
      <c r="A651" s="154"/>
      <c r="B651" s="83"/>
      <c r="C651" s="151"/>
      <c r="D651" s="83"/>
      <c r="E651" s="151"/>
      <c r="F651" s="83"/>
      <c r="G651" s="85"/>
      <c r="H651" s="86"/>
      <c r="I651" s="87"/>
      <c r="J651" s="86"/>
      <c r="K651" s="88"/>
      <c r="L651" s="86"/>
      <c r="M651" s="88"/>
      <c r="N651" s="86"/>
      <c r="O651" s="88"/>
      <c r="P651" s="86"/>
      <c r="Q651" s="88"/>
      <c r="R651" s="86"/>
      <c r="S651" s="88"/>
      <c r="T651" s="86"/>
      <c r="U651" s="88"/>
      <c r="V651" s="86"/>
      <c r="W651" s="88"/>
      <c r="X651" s="86"/>
      <c r="Y651" s="88"/>
      <c r="Z651" s="86"/>
      <c r="AA651" s="88"/>
      <c r="AB651" s="86"/>
      <c r="AC651" s="88"/>
      <c r="AD651" s="86"/>
      <c r="AE651" s="88"/>
      <c r="AF651" s="86"/>
      <c r="AG651" s="88"/>
      <c r="AH651" s="86"/>
      <c r="AI651" s="88"/>
      <c r="AJ651" s="86"/>
      <c r="AK651" s="88"/>
      <c r="AL651" s="86"/>
      <c r="AM651" s="88"/>
      <c r="AN651" s="86"/>
      <c r="AO651" s="88"/>
      <c r="AP651" s="86"/>
      <c r="AQ651" s="88"/>
      <c r="AR651" s="86"/>
      <c r="AS651" s="88"/>
      <c r="AT651" s="86"/>
      <c r="AU651" s="88"/>
      <c r="AV651" s="86"/>
      <c r="AW651" s="88"/>
      <c r="AX651" s="86"/>
      <c r="AY651" s="88"/>
      <c r="AZ651" s="86"/>
      <c r="BA651" s="88"/>
      <c r="BB651" s="86"/>
      <c r="BC651" s="88"/>
      <c r="BD651" s="86"/>
      <c r="BE651" s="88"/>
      <c r="BF651" s="86"/>
      <c r="BG651" s="88"/>
      <c r="BH651" s="86"/>
      <c r="BI651" s="88"/>
      <c r="BJ651" s="86"/>
      <c r="BK651" s="88"/>
      <c r="BL651" s="86"/>
      <c r="BM651" s="88"/>
      <c r="BN651" s="86"/>
      <c r="BO651" s="88"/>
      <c r="BP651" s="86"/>
      <c r="BQ651" s="88"/>
      <c r="BR651" s="86"/>
      <c r="BS651" s="87"/>
    </row>
    <row r="652" ht="22.5" customHeight="1">
      <c r="A652" s="154"/>
      <c r="B652" s="83"/>
      <c r="C652" s="151"/>
      <c r="D652" s="83"/>
      <c r="E652" s="151"/>
      <c r="F652" s="83"/>
      <c r="G652" s="85"/>
      <c r="H652" s="86"/>
      <c r="I652" s="87"/>
      <c r="J652" s="86"/>
      <c r="K652" s="88"/>
      <c r="L652" s="86"/>
      <c r="M652" s="88"/>
      <c r="N652" s="86"/>
      <c r="O652" s="88"/>
      <c r="P652" s="86"/>
      <c r="Q652" s="88"/>
      <c r="R652" s="86"/>
      <c r="S652" s="88"/>
      <c r="T652" s="86"/>
      <c r="U652" s="88"/>
      <c r="V652" s="86"/>
      <c r="W652" s="88"/>
      <c r="X652" s="86"/>
      <c r="Y652" s="88"/>
      <c r="Z652" s="86"/>
      <c r="AA652" s="88"/>
      <c r="AB652" s="86"/>
      <c r="AC652" s="88"/>
      <c r="AD652" s="86"/>
      <c r="AE652" s="88"/>
      <c r="AF652" s="86"/>
      <c r="AG652" s="88"/>
      <c r="AH652" s="86"/>
      <c r="AI652" s="88"/>
      <c r="AJ652" s="86"/>
      <c r="AK652" s="88"/>
      <c r="AL652" s="86"/>
      <c r="AM652" s="88"/>
      <c r="AN652" s="86"/>
      <c r="AO652" s="88"/>
      <c r="AP652" s="86"/>
      <c r="AQ652" s="88"/>
      <c r="AR652" s="86"/>
      <c r="AS652" s="88"/>
      <c r="AT652" s="86"/>
      <c r="AU652" s="88"/>
      <c r="AV652" s="86"/>
      <c r="AW652" s="88"/>
      <c r="AX652" s="86"/>
      <c r="AY652" s="88"/>
      <c r="AZ652" s="86"/>
      <c r="BA652" s="88"/>
      <c r="BB652" s="86"/>
      <c r="BC652" s="88"/>
      <c r="BD652" s="86"/>
      <c r="BE652" s="88"/>
      <c r="BF652" s="86"/>
      <c r="BG652" s="88"/>
      <c r="BH652" s="86"/>
      <c r="BI652" s="88"/>
      <c r="BJ652" s="86"/>
      <c r="BK652" s="88"/>
      <c r="BL652" s="86"/>
      <c r="BM652" s="88"/>
      <c r="BN652" s="86"/>
      <c r="BO652" s="88"/>
      <c r="BP652" s="86"/>
      <c r="BQ652" s="88"/>
      <c r="BR652" s="86"/>
      <c r="BS652" s="87"/>
    </row>
    <row r="653" ht="22.5" customHeight="1">
      <c r="A653" s="154"/>
      <c r="B653" s="83"/>
      <c r="C653" s="151"/>
      <c r="D653" s="83"/>
      <c r="E653" s="151"/>
      <c r="F653" s="83"/>
      <c r="G653" s="85"/>
      <c r="H653" s="86"/>
      <c r="I653" s="87"/>
      <c r="J653" s="86"/>
      <c r="K653" s="88"/>
      <c r="L653" s="86"/>
      <c r="M653" s="88"/>
      <c r="N653" s="86"/>
      <c r="O653" s="88"/>
      <c r="P653" s="86"/>
      <c r="Q653" s="88"/>
      <c r="R653" s="86"/>
      <c r="S653" s="88"/>
      <c r="T653" s="86"/>
      <c r="U653" s="88"/>
      <c r="V653" s="86"/>
      <c r="W653" s="88"/>
      <c r="X653" s="86"/>
      <c r="Y653" s="88"/>
      <c r="Z653" s="86"/>
      <c r="AA653" s="88"/>
      <c r="AB653" s="86"/>
      <c r="AC653" s="88"/>
      <c r="AD653" s="86"/>
      <c r="AE653" s="88"/>
      <c r="AF653" s="86"/>
      <c r="AG653" s="88"/>
      <c r="AH653" s="86"/>
      <c r="AI653" s="88"/>
      <c r="AJ653" s="86"/>
      <c r="AK653" s="88"/>
      <c r="AL653" s="86"/>
      <c r="AM653" s="88"/>
      <c r="AN653" s="86"/>
      <c r="AO653" s="88"/>
      <c r="AP653" s="86"/>
      <c r="AQ653" s="88"/>
      <c r="AR653" s="86"/>
      <c r="AS653" s="88"/>
      <c r="AT653" s="86"/>
      <c r="AU653" s="88"/>
      <c r="AV653" s="86"/>
      <c r="AW653" s="88"/>
      <c r="AX653" s="86"/>
      <c r="AY653" s="88"/>
      <c r="AZ653" s="86"/>
      <c r="BA653" s="88"/>
      <c r="BB653" s="86"/>
      <c r="BC653" s="88"/>
      <c r="BD653" s="86"/>
      <c r="BE653" s="88"/>
      <c r="BF653" s="86"/>
      <c r="BG653" s="88"/>
      <c r="BH653" s="86"/>
      <c r="BI653" s="88"/>
      <c r="BJ653" s="86"/>
      <c r="BK653" s="88"/>
      <c r="BL653" s="86"/>
      <c r="BM653" s="88"/>
      <c r="BN653" s="86"/>
      <c r="BO653" s="88"/>
      <c r="BP653" s="86"/>
      <c r="BQ653" s="88"/>
      <c r="BR653" s="86"/>
      <c r="BS653" s="87"/>
    </row>
    <row r="654" ht="22.5" customHeight="1">
      <c r="A654" s="154"/>
      <c r="B654" s="83"/>
      <c r="C654" s="151"/>
      <c r="D654" s="83"/>
      <c r="E654" s="151"/>
      <c r="F654" s="83"/>
      <c r="G654" s="85"/>
      <c r="H654" s="86"/>
      <c r="I654" s="87"/>
      <c r="J654" s="86"/>
      <c r="K654" s="88"/>
      <c r="L654" s="86"/>
      <c r="M654" s="88"/>
      <c r="N654" s="86"/>
      <c r="O654" s="88"/>
      <c r="P654" s="86"/>
      <c r="Q654" s="88"/>
      <c r="R654" s="86"/>
      <c r="S654" s="88"/>
      <c r="T654" s="86"/>
      <c r="U654" s="88"/>
      <c r="V654" s="86"/>
      <c r="W654" s="88"/>
      <c r="X654" s="86"/>
      <c r="Y654" s="88"/>
      <c r="Z654" s="86"/>
      <c r="AA654" s="88"/>
      <c r="AB654" s="86"/>
      <c r="AC654" s="88"/>
      <c r="AD654" s="86"/>
      <c r="AE654" s="88"/>
      <c r="AF654" s="86"/>
      <c r="AG654" s="88"/>
      <c r="AH654" s="86"/>
      <c r="AI654" s="88"/>
      <c r="AJ654" s="86"/>
      <c r="AK654" s="88"/>
      <c r="AL654" s="86"/>
      <c r="AM654" s="88"/>
      <c r="AN654" s="86"/>
      <c r="AO654" s="88"/>
      <c r="AP654" s="86"/>
      <c r="AQ654" s="88"/>
      <c r="AR654" s="86"/>
      <c r="AS654" s="88"/>
      <c r="AT654" s="86"/>
      <c r="AU654" s="88"/>
      <c r="AV654" s="86"/>
      <c r="AW654" s="88"/>
      <c r="AX654" s="86"/>
      <c r="AY654" s="88"/>
      <c r="AZ654" s="86"/>
      <c r="BA654" s="88"/>
      <c r="BB654" s="86"/>
      <c r="BC654" s="88"/>
      <c r="BD654" s="86"/>
      <c r="BE654" s="88"/>
      <c r="BF654" s="86"/>
      <c r="BG654" s="88"/>
      <c r="BH654" s="86"/>
      <c r="BI654" s="88"/>
      <c r="BJ654" s="86"/>
      <c r="BK654" s="88"/>
      <c r="BL654" s="86"/>
      <c r="BM654" s="88"/>
      <c r="BN654" s="86"/>
      <c r="BO654" s="88"/>
      <c r="BP654" s="86"/>
      <c r="BQ654" s="88"/>
      <c r="BR654" s="86"/>
      <c r="BS654" s="87"/>
    </row>
    <row r="655" ht="22.5" customHeight="1">
      <c r="A655" s="154"/>
      <c r="B655" s="83"/>
      <c r="C655" s="151"/>
      <c r="D655" s="83"/>
      <c r="E655" s="151"/>
      <c r="F655" s="83"/>
      <c r="G655" s="85"/>
      <c r="H655" s="86"/>
      <c r="I655" s="87"/>
      <c r="J655" s="86"/>
      <c r="K655" s="88"/>
      <c r="L655" s="86"/>
      <c r="M655" s="88"/>
      <c r="N655" s="86"/>
      <c r="O655" s="88"/>
      <c r="P655" s="86"/>
      <c r="Q655" s="88"/>
      <c r="R655" s="86"/>
      <c r="S655" s="88"/>
      <c r="T655" s="86"/>
      <c r="U655" s="88"/>
      <c r="V655" s="86"/>
      <c r="W655" s="88"/>
      <c r="X655" s="86"/>
      <c r="Y655" s="88"/>
      <c r="Z655" s="86"/>
      <c r="AA655" s="88"/>
      <c r="AB655" s="86"/>
      <c r="AC655" s="88"/>
      <c r="AD655" s="86"/>
      <c r="AE655" s="88"/>
      <c r="AF655" s="86"/>
      <c r="AG655" s="88"/>
      <c r="AH655" s="86"/>
      <c r="AI655" s="88"/>
      <c r="AJ655" s="86"/>
      <c r="AK655" s="88"/>
      <c r="AL655" s="86"/>
      <c r="AM655" s="88"/>
      <c r="AN655" s="86"/>
      <c r="AO655" s="88"/>
      <c r="AP655" s="86"/>
      <c r="AQ655" s="88"/>
      <c r="AR655" s="86"/>
      <c r="AS655" s="88"/>
      <c r="AT655" s="86"/>
      <c r="AU655" s="88"/>
      <c r="AV655" s="86"/>
      <c r="AW655" s="88"/>
      <c r="AX655" s="86"/>
      <c r="AY655" s="88"/>
      <c r="AZ655" s="86"/>
      <c r="BA655" s="88"/>
      <c r="BB655" s="86"/>
      <c r="BC655" s="88"/>
      <c r="BD655" s="86"/>
      <c r="BE655" s="88"/>
      <c r="BF655" s="86"/>
      <c r="BG655" s="88"/>
      <c r="BH655" s="86"/>
      <c r="BI655" s="88"/>
      <c r="BJ655" s="86"/>
      <c r="BK655" s="88"/>
      <c r="BL655" s="86"/>
      <c r="BM655" s="88"/>
      <c r="BN655" s="86"/>
      <c r="BO655" s="88"/>
      <c r="BP655" s="86"/>
      <c r="BQ655" s="88"/>
      <c r="BR655" s="86"/>
      <c r="BS655" s="87"/>
    </row>
    <row r="656" ht="22.5" customHeight="1">
      <c r="A656" s="154"/>
      <c r="B656" s="83"/>
      <c r="C656" s="151"/>
      <c r="D656" s="83"/>
      <c r="E656" s="151"/>
      <c r="F656" s="83"/>
      <c r="G656" s="85"/>
      <c r="H656" s="86"/>
      <c r="I656" s="87"/>
      <c r="J656" s="86"/>
      <c r="K656" s="88"/>
      <c r="L656" s="86"/>
      <c r="M656" s="88"/>
      <c r="N656" s="86"/>
      <c r="O656" s="88"/>
      <c r="P656" s="86"/>
      <c r="Q656" s="88"/>
      <c r="R656" s="86"/>
      <c r="S656" s="88"/>
      <c r="T656" s="86"/>
      <c r="U656" s="88"/>
      <c r="V656" s="86"/>
      <c r="W656" s="88"/>
      <c r="X656" s="86"/>
      <c r="Y656" s="88"/>
      <c r="Z656" s="86"/>
      <c r="AA656" s="88"/>
      <c r="AB656" s="86"/>
      <c r="AC656" s="88"/>
      <c r="AD656" s="86"/>
      <c r="AE656" s="88"/>
      <c r="AF656" s="86"/>
      <c r="AG656" s="88"/>
      <c r="AH656" s="86"/>
      <c r="AI656" s="88"/>
      <c r="AJ656" s="86"/>
      <c r="AK656" s="88"/>
      <c r="AL656" s="86"/>
      <c r="AM656" s="88"/>
      <c r="AN656" s="86"/>
      <c r="AO656" s="88"/>
      <c r="AP656" s="86"/>
      <c r="AQ656" s="88"/>
      <c r="AR656" s="86"/>
      <c r="AS656" s="88"/>
      <c r="AT656" s="86"/>
      <c r="AU656" s="88"/>
      <c r="AV656" s="86"/>
      <c r="AW656" s="88"/>
      <c r="AX656" s="86"/>
      <c r="AY656" s="88"/>
      <c r="AZ656" s="86"/>
      <c r="BA656" s="88"/>
      <c r="BB656" s="86"/>
      <c r="BC656" s="88"/>
      <c r="BD656" s="86"/>
      <c r="BE656" s="88"/>
      <c r="BF656" s="86"/>
      <c r="BG656" s="88"/>
      <c r="BH656" s="86"/>
      <c r="BI656" s="88"/>
      <c r="BJ656" s="86"/>
      <c r="BK656" s="88"/>
      <c r="BL656" s="86"/>
      <c r="BM656" s="88"/>
      <c r="BN656" s="86"/>
      <c r="BO656" s="88"/>
      <c r="BP656" s="86"/>
      <c r="BQ656" s="88"/>
      <c r="BR656" s="86"/>
      <c r="BS656" s="87"/>
    </row>
    <row r="657" ht="22.5" customHeight="1">
      <c r="A657" s="154"/>
      <c r="B657" s="83"/>
      <c r="C657" s="151"/>
      <c r="D657" s="83"/>
      <c r="E657" s="151"/>
      <c r="F657" s="83"/>
      <c r="G657" s="85"/>
      <c r="H657" s="86"/>
      <c r="I657" s="87"/>
      <c r="J657" s="86"/>
      <c r="K657" s="88"/>
      <c r="L657" s="86"/>
      <c r="M657" s="88"/>
      <c r="N657" s="86"/>
      <c r="O657" s="88"/>
      <c r="P657" s="86"/>
      <c r="Q657" s="88"/>
      <c r="R657" s="86"/>
      <c r="S657" s="88"/>
      <c r="T657" s="86"/>
      <c r="U657" s="88"/>
      <c r="V657" s="86"/>
      <c r="W657" s="88"/>
      <c r="X657" s="86"/>
      <c r="Y657" s="88"/>
      <c r="Z657" s="86"/>
      <c r="AA657" s="88"/>
      <c r="AB657" s="86"/>
      <c r="AC657" s="88"/>
      <c r="AD657" s="86"/>
      <c r="AE657" s="88"/>
      <c r="AF657" s="86"/>
      <c r="AG657" s="88"/>
      <c r="AH657" s="86"/>
      <c r="AI657" s="88"/>
      <c r="AJ657" s="86"/>
      <c r="AK657" s="88"/>
      <c r="AL657" s="86"/>
      <c r="AM657" s="88"/>
      <c r="AN657" s="86"/>
      <c r="AO657" s="88"/>
      <c r="AP657" s="86"/>
      <c r="AQ657" s="88"/>
      <c r="AR657" s="86"/>
      <c r="AS657" s="88"/>
      <c r="AT657" s="86"/>
      <c r="AU657" s="88"/>
      <c r="AV657" s="86"/>
      <c r="AW657" s="88"/>
      <c r="AX657" s="86"/>
      <c r="AY657" s="88"/>
      <c r="AZ657" s="86"/>
      <c r="BA657" s="88"/>
      <c r="BB657" s="86"/>
      <c r="BC657" s="88"/>
      <c r="BD657" s="86"/>
      <c r="BE657" s="88"/>
      <c r="BF657" s="86"/>
      <c r="BG657" s="88"/>
      <c r="BH657" s="86"/>
      <c r="BI657" s="88"/>
      <c r="BJ657" s="86"/>
      <c r="BK657" s="88"/>
      <c r="BL657" s="86"/>
      <c r="BM657" s="88"/>
      <c r="BN657" s="86"/>
      <c r="BO657" s="88"/>
      <c r="BP657" s="86"/>
      <c r="BQ657" s="88"/>
      <c r="BR657" s="86"/>
      <c r="BS657" s="87"/>
    </row>
    <row r="658" ht="22.5" customHeight="1">
      <c r="A658" s="154"/>
      <c r="B658" s="83"/>
      <c r="C658" s="151"/>
      <c r="D658" s="83"/>
      <c r="E658" s="151"/>
      <c r="F658" s="83"/>
      <c r="G658" s="85"/>
      <c r="H658" s="86"/>
      <c r="I658" s="87"/>
      <c r="J658" s="86"/>
      <c r="K658" s="88"/>
      <c r="L658" s="86"/>
      <c r="M658" s="88"/>
      <c r="N658" s="86"/>
      <c r="O658" s="88"/>
      <c r="P658" s="86"/>
      <c r="Q658" s="88"/>
      <c r="R658" s="86"/>
      <c r="S658" s="88"/>
      <c r="T658" s="86"/>
      <c r="U658" s="88"/>
      <c r="V658" s="86"/>
      <c r="W658" s="88"/>
      <c r="X658" s="86"/>
      <c r="Y658" s="88"/>
      <c r="Z658" s="86"/>
      <c r="AA658" s="88"/>
      <c r="AB658" s="86"/>
      <c r="AC658" s="88"/>
      <c r="AD658" s="86"/>
      <c r="AE658" s="88"/>
      <c r="AF658" s="86"/>
      <c r="AG658" s="88"/>
      <c r="AH658" s="86"/>
      <c r="AI658" s="88"/>
      <c r="AJ658" s="86"/>
      <c r="AK658" s="88"/>
      <c r="AL658" s="86"/>
      <c r="AM658" s="88"/>
      <c r="AN658" s="86"/>
      <c r="AO658" s="88"/>
      <c r="AP658" s="86"/>
      <c r="AQ658" s="88"/>
      <c r="AR658" s="86"/>
      <c r="AS658" s="88"/>
      <c r="AT658" s="86"/>
      <c r="AU658" s="88"/>
      <c r="AV658" s="86"/>
      <c r="AW658" s="88"/>
      <c r="AX658" s="86"/>
      <c r="AY658" s="88"/>
      <c r="AZ658" s="86"/>
      <c r="BA658" s="88"/>
      <c r="BB658" s="86"/>
      <c r="BC658" s="88"/>
      <c r="BD658" s="86"/>
      <c r="BE658" s="88"/>
      <c r="BF658" s="86"/>
      <c r="BG658" s="88"/>
      <c r="BH658" s="86"/>
      <c r="BI658" s="88"/>
      <c r="BJ658" s="86"/>
      <c r="BK658" s="88"/>
      <c r="BL658" s="86"/>
      <c r="BM658" s="88"/>
      <c r="BN658" s="86"/>
      <c r="BO658" s="88"/>
      <c r="BP658" s="86"/>
      <c r="BQ658" s="88"/>
      <c r="BR658" s="86"/>
      <c r="BS658" s="87"/>
    </row>
    <row r="659" ht="22.5" customHeight="1">
      <c r="A659" s="154"/>
      <c r="B659" s="83"/>
      <c r="C659" s="151"/>
      <c r="D659" s="83"/>
      <c r="E659" s="151"/>
      <c r="F659" s="83"/>
      <c r="G659" s="85"/>
      <c r="H659" s="86"/>
      <c r="I659" s="87"/>
      <c r="J659" s="86"/>
      <c r="K659" s="88"/>
      <c r="L659" s="86"/>
      <c r="M659" s="88"/>
      <c r="N659" s="86"/>
      <c r="O659" s="88"/>
      <c r="P659" s="86"/>
      <c r="Q659" s="88"/>
      <c r="R659" s="86"/>
      <c r="S659" s="88"/>
      <c r="T659" s="86"/>
      <c r="U659" s="88"/>
      <c r="V659" s="86"/>
      <c r="W659" s="88"/>
      <c r="X659" s="86"/>
      <c r="Y659" s="88"/>
      <c r="Z659" s="86"/>
      <c r="AA659" s="88"/>
      <c r="AB659" s="86"/>
      <c r="AC659" s="88"/>
      <c r="AD659" s="86"/>
      <c r="AE659" s="88"/>
      <c r="AF659" s="86"/>
      <c r="AG659" s="88"/>
      <c r="AH659" s="86"/>
      <c r="AI659" s="88"/>
      <c r="AJ659" s="86"/>
      <c r="AK659" s="88"/>
      <c r="AL659" s="86"/>
      <c r="AM659" s="88"/>
      <c r="AN659" s="86"/>
      <c r="AO659" s="88"/>
      <c r="AP659" s="86"/>
      <c r="AQ659" s="88"/>
      <c r="AR659" s="86"/>
      <c r="AS659" s="88"/>
      <c r="AT659" s="86"/>
      <c r="AU659" s="88"/>
      <c r="AV659" s="86"/>
      <c r="AW659" s="88"/>
      <c r="AX659" s="86"/>
      <c r="AY659" s="88"/>
      <c r="AZ659" s="86"/>
      <c r="BA659" s="88"/>
      <c r="BB659" s="86"/>
      <c r="BC659" s="88"/>
      <c r="BD659" s="86"/>
      <c r="BE659" s="88"/>
      <c r="BF659" s="86"/>
      <c r="BG659" s="88"/>
      <c r="BH659" s="86"/>
      <c r="BI659" s="88"/>
      <c r="BJ659" s="86"/>
      <c r="BK659" s="88"/>
      <c r="BL659" s="86"/>
      <c r="BM659" s="88"/>
      <c r="BN659" s="86"/>
      <c r="BO659" s="88"/>
      <c r="BP659" s="86"/>
      <c r="BQ659" s="88"/>
      <c r="BR659" s="86"/>
      <c r="BS659" s="87"/>
    </row>
    <row r="660" ht="22.5" customHeight="1">
      <c r="A660" s="154"/>
      <c r="B660" s="83"/>
      <c r="C660" s="151"/>
      <c r="D660" s="83"/>
      <c r="E660" s="151"/>
      <c r="F660" s="83"/>
      <c r="G660" s="85"/>
      <c r="H660" s="86"/>
      <c r="I660" s="87"/>
      <c r="J660" s="86"/>
      <c r="K660" s="88"/>
      <c r="L660" s="86"/>
      <c r="M660" s="88"/>
      <c r="N660" s="86"/>
      <c r="O660" s="88"/>
      <c r="P660" s="86"/>
      <c r="Q660" s="88"/>
      <c r="R660" s="86"/>
      <c r="S660" s="88"/>
      <c r="T660" s="86"/>
      <c r="U660" s="88"/>
      <c r="V660" s="86"/>
      <c r="W660" s="88"/>
      <c r="X660" s="86"/>
      <c r="Y660" s="88"/>
      <c r="Z660" s="86"/>
      <c r="AA660" s="88"/>
      <c r="AB660" s="86"/>
      <c r="AC660" s="88"/>
      <c r="AD660" s="86"/>
      <c r="AE660" s="88"/>
      <c r="AF660" s="86"/>
      <c r="AG660" s="88"/>
      <c r="AH660" s="86"/>
      <c r="AI660" s="88"/>
      <c r="AJ660" s="86"/>
      <c r="AK660" s="88"/>
      <c r="AL660" s="86"/>
      <c r="AM660" s="88"/>
      <c r="AN660" s="86"/>
      <c r="AO660" s="88"/>
      <c r="AP660" s="86"/>
      <c r="AQ660" s="88"/>
      <c r="AR660" s="86"/>
      <c r="AS660" s="88"/>
      <c r="AT660" s="86"/>
      <c r="AU660" s="88"/>
      <c r="AV660" s="86"/>
      <c r="AW660" s="88"/>
      <c r="AX660" s="86"/>
      <c r="AY660" s="88"/>
      <c r="AZ660" s="86"/>
      <c r="BA660" s="88"/>
      <c r="BB660" s="86"/>
      <c r="BC660" s="88"/>
      <c r="BD660" s="86"/>
      <c r="BE660" s="88"/>
      <c r="BF660" s="86"/>
      <c r="BG660" s="88"/>
      <c r="BH660" s="86"/>
      <c r="BI660" s="88"/>
      <c r="BJ660" s="86"/>
      <c r="BK660" s="88"/>
      <c r="BL660" s="86"/>
      <c r="BM660" s="88"/>
      <c r="BN660" s="86"/>
      <c r="BO660" s="88"/>
      <c r="BP660" s="86"/>
      <c r="BQ660" s="88"/>
      <c r="BR660" s="86"/>
      <c r="BS660" s="87"/>
    </row>
    <row r="661" ht="22.5" customHeight="1">
      <c r="A661" s="154"/>
      <c r="B661" s="83"/>
      <c r="C661" s="151"/>
      <c r="D661" s="83"/>
      <c r="E661" s="151"/>
      <c r="F661" s="83"/>
      <c r="G661" s="85"/>
      <c r="H661" s="86"/>
      <c r="I661" s="87"/>
      <c r="J661" s="86"/>
      <c r="K661" s="88"/>
      <c r="L661" s="86"/>
      <c r="M661" s="88"/>
      <c r="N661" s="86"/>
      <c r="O661" s="88"/>
      <c r="P661" s="86"/>
      <c r="Q661" s="88"/>
      <c r="R661" s="86"/>
      <c r="S661" s="88"/>
      <c r="T661" s="86"/>
      <c r="U661" s="88"/>
      <c r="V661" s="86"/>
      <c r="W661" s="88"/>
      <c r="X661" s="86"/>
      <c r="Y661" s="88"/>
      <c r="Z661" s="86"/>
      <c r="AA661" s="88"/>
      <c r="AB661" s="86"/>
      <c r="AC661" s="88"/>
      <c r="AD661" s="86"/>
      <c r="AE661" s="88"/>
      <c r="AF661" s="86"/>
      <c r="AG661" s="88"/>
      <c r="AH661" s="86"/>
      <c r="AI661" s="88"/>
      <c r="AJ661" s="86"/>
      <c r="AK661" s="88"/>
      <c r="AL661" s="86"/>
      <c r="AM661" s="88"/>
      <c r="AN661" s="86"/>
      <c r="AO661" s="88"/>
      <c r="AP661" s="86"/>
      <c r="AQ661" s="88"/>
      <c r="AR661" s="86"/>
      <c r="AS661" s="88"/>
      <c r="AT661" s="86"/>
      <c r="AU661" s="88"/>
      <c r="AV661" s="86"/>
      <c r="AW661" s="88"/>
      <c r="AX661" s="86"/>
      <c r="AY661" s="88"/>
      <c r="AZ661" s="86"/>
      <c r="BA661" s="88"/>
      <c r="BB661" s="86"/>
      <c r="BC661" s="88"/>
      <c r="BD661" s="86"/>
      <c r="BE661" s="88"/>
      <c r="BF661" s="86"/>
      <c r="BG661" s="88"/>
      <c r="BH661" s="86"/>
      <c r="BI661" s="88"/>
      <c r="BJ661" s="86"/>
      <c r="BK661" s="88"/>
      <c r="BL661" s="86"/>
      <c r="BM661" s="88"/>
      <c r="BN661" s="86"/>
      <c r="BO661" s="88"/>
      <c r="BP661" s="86"/>
      <c r="BQ661" s="88"/>
      <c r="BR661" s="86"/>
      <c r="BS661" s="87"/>
    </row>
    <row r="662" ht="22.5" customHeight="1">
      <c r="A662" s="154"/>
      <c r="B662" s="83"/>
      <c r="C662" s="151"/>
      <c r="D662" s="83"/>
      <c r="E662" s="151"/>
      <c r="F662" s="83"/>
      <c r="G662" s="85"/>
      <c r="H662" s="86"/>
      <c r="I662" s="87"/>
      <c r="J662" s="86"/>
      <c r="K662" s="88"/>
      <c r="L662" s="86"/>
      <c r="M662" s="88"/>
      <c r="N662" s="86"/>
      <c r="O662" s="88"/>
      <c r="P662" s="86"/>
      <c r="Q662" s="88"/>
      <c r="R662" s="86"/>
      <c r="S662" s="88"/>
      <c r="T662" s="86"/>
      <c r="U662" s="88"/>
      <c r="V662" s="86"/>
      <c r="W662" s="88"/>
      <c r="X662" s="86"/>
      <c r="Y662" s="88"/>
      <c r="Z662" s="86"/>
      <c r="AA662" s="88"/>
      <c r="AB662" s="86"/>
      <c r="AC662" s="88"/>
      <c r="AD662" s="86"/>
      <c r="AE662" s="88"/>
      <c r="AF662" s="86"/>
      <c r="AG662" s="88"/>
      <c r="AH662" s="86"/>
      <c r="AI662" s="88"/>
      <c r="AJ662" s="86"/>
      <c r="AK662" s="88"/>
      <c r="AL662" s="86"/>
      <c r="AM662" s="88"/>
      <c r="AN662" s="86"/>
      <c r="AO662" s="88"/>
      <c r="AP662" s="86"/>
      <c r="AQ662" s="88"/>
      <c r="AR662" s="86"/>
      <c r="AS662" s="88"/>
      <c r="AT662" s="86"/>
      <c r="AU662" s="88"/>
      <c r="AV662" s="86"/>
      <c r="AW662" s="88"/>
      <c r="AX662" s="86"/>
      <c r="AY662" s="88"/>
      <c r="AZ662" s="86"/>
      <c r="BA662" s="88"/>
      <c r="BB662" s="86"/>
      <c r="BC662" s="88"/>
      <c r="BD662" s="86"/>
      <c r="BE662" s="88"/>
      <c r="BF662" s="86"/>
      <c r="BG662" s="88"/>
      <c r="BH662" s="86"/>
      <c r="BI662" s="88"/>
      <c r="BJ662" s="86"/>
      <c r="BK662" s="88"/>
      <c r="BL662" s="86"/>
      <c r="BM662" s="88"/>
      <c r="BN662" s="86"/>
      <c r="BO662" s="88"/>
      <c r="BP662" s="86"/>
      <c r="BQ662" s="88"/>
      <c r="BR662" s="86"/>
      <c r="BS662" s="87"/>
    </row>
    <row r="663" ht="22.5" customHeight="1">
      <c r="A663" s="154"/>
      <c r="B663" s="83"/>
      <c r="C663" s="151"/>
      <c r="D663" s="83"/>
      <c r="E663" s="151"/>
      <c r="F663" s="83"/>
      <c r="G663" s="85"/>
      <c r="H663" s="86"/>
      <c r="I663" s="87"/>
      <c r="J663" s="86"/>
      <c r="K663" s="88"/>
      <c r="L663" s="86"/>
      <c r="M663" s="88"/>
      <c r="N663" s="86"/>
      <c r="O663" s="88"/>
      <c r="P663" s="86"/>
      <c r="Q663" s="88"/>
      <c r="R663" s="86"/>
      <c r="S663" s="88"/>
      <c r="T663" s="86"/>
      <c r="U663" s="88"/>
      <c r="V663" s="86"/>
      <c r="W663" s="88"/>
      <c r="X663" s="86"/>
      <c r="Y663" s="88"/>
      <c r="Z663" s="86"/>
      <c r="AA663" s="88"/>
      <c r="AB663" s="86"/>
      <c r="AC663" s="88"/>
      <c r="AD663" s="86"/>
      <c r="AE663" s="88"/>
      <c r="AF663" s="86"/>
      <c r="AG663" s="88"/>
      <c r="AH663" s="86"/>
      <c r="AI663" s="88"/>
      <c r="AJ663" s="86"/>
      <c r="AK663" s="88"/>
      <c r="AL663" s="86"/>
      <c r="AM663" s="88"/>
      <c r="AN663" s="86"/>
      <c r="AO663" s="88"/>
      <c r="AP663" s="86"/>
      <c r="AQ663" s="88"/>
      <c r="AR663" s="86"/>
      <c r="AS663" s="88"/>
      <c r="AT663" s="86"/>
      <c r="AU663" s="88"/>
      <c r="AV663" s="86"/>
      <c r="AW663" s="88"/>
      <c r="AX663" s="86"/>
      <c r="AY663" s="88"/>
      <c r="AZ663" s="86"/>
      <c r="BA663" s="88"/>
      <c r="BB663" s="86"/>
      <c r="BC663" s="88"/>
      <c r="BD663" s="86"/>
      <c r="BE663" s="88"/>
      <c r="BF663" s="86"/>
      <c r="BG663" s="88"/>
      <c r="BH663" s="86"/>
      <c r="BI663" s="88"/>
      <c r="BJ663" s="86"/>
      <c r="BK663" s="88"/>
      <c r="BL663" s="86"/>
      <c r="BM663" s="88"/>
      <c r="BN663" s="86"/>
      <c r="BO663" s="88"/>
      <c r="BP663" s="86"/>
      <c r="BQ663" s="88"/>
      <c r="BR663" s="86"/>
      <c r="BS663" s="87"/>
    </row>
    <row r="664" ht="22.5" customHeight="1">
      <c r="A664" s="154"/>
      <c r="B664" s="83"/>
      <c r="C664" s="151"/>
      <c r="D664" s="83"/>
      <c r="E664" s="151"/>
      <c r="F664" s="83"/>
      <c r="G664" s="85"/>
      <c r="H664" s="86"/>
      <c r="I664" s="87"/>
      <c r="J664" s="86"/>
      <c r="K664" s="88"/>
      <c r="L664" s="86"/>
      <c r="M664" s="88"/>
      <c r="N664" s="86"/>
      <c r="O664" s="88"/>
      <c r="P664" s="86"/>
      <c r="Q664" s="88"/>
      <c r="R664" s="86"/>
      <c r="S664" s="88"/>
      <c r="T664" s="86"/>
      <c r="U664" s="88"/>
      <c r="V664" s="86"/>
      <c r="W664" s="88"/>
      <c r="X664" s="86"/>
      <c r="Y664" s="88"/>
      <c r="Z664" s="86"/>
      <c r="AA664" s="88"/>
      <c r="AB664" s="86"/>
      <c r="AC664" s="88"/>
      <c r="AD664" s="86"/>
      <c r="AE664" s="88"/>
      <c r="AF664" s="86"/>
      <c r="AG664" s="88"/>
      <c r="AH664" s="86"/>
      <c r="AI664" s="88"/>
      <c r="AJ664" s="86"/>
      <c r="AK664" s="88"/>
      <c r="AL664" s="86"/>
      <c r="AM664" s="88"/>
      <c r="AN664" s="86"/>
      <c r="AO664" s="88"/>
      <c r="AP664" s="86"/>
      <c r="AQ664" s="88"/>
      <c r="AR664" s="86"/>
      <c r="AS664" s="88"/>
      <c r="AT664" s="86"/>
      <c r="AU664" s="88"/>
      <c r="AV664" s="86"/>
      <c r="AW664" s="88"/>
      <c r="AX664" s="86"/>
      <c r="AY664" s="88"/>
      <c r="AZ664" s="86"/>
      <c r="BA664" s="88"/>
      <c r="BB664" s="86"/>
      <c r="BC664" s="88"/>
      <c r="BD664" s="86"/>
      <c r="BE664" s="88"/>
      <c r="BF664" s="86"/>
      <c r="BG664" s="88"/>
      <c r="BH664" s="86"/>
      <c r="BI664" s="88"/>
      <c r="BJ664" s="86"/>
      <c r="BK664" s="88"/>
      <c r="BL664" s="86"/>
      <c r="BM664" s="88"/>
      <c r="BN664" s="86"/>
      <c r="BO664" s="88"/>
      <c r="BP664" s="86"/>
      <c r="BQ664" s="88"/>
      <c r="BR664" s="86"/>
      <c r="BS664" s="87"/>
    </row>
    <row r="665" ht="22.5" customHeight="1">
      <c r="A665" s="154"/>
      <c r="B665" s="83"/>
      <c r="C665" s="151"/>
      <c r="D665" s="83"/>
      <c r="E665" s="151"/>
      <c r="F665" s="83"/>
      <c r="G665" s="85"/>
      <c r="H665" s="86"/>
      <c r="I665" s="87"/>
      <c r="J665" s="86"/>
      <c r="K665" s="88"/>
      <c r="L665" s="86"/>
      <c r="M665" s="88"/>
      <c r="N665" s="86"/>
      <c r="O665" s="88"/>
      <c r="P665" s="86"/>
      <c r="Q665" s="88"/>
      <c r="R665" s="86"/>
      <c r="S665" s="88"/>
      <c r="T665" s="86"/>
      <c r="U665" s="88"/>
      <c r="V665" s="86"/>
      <c r="W665" s="88"/>
      <c r="X665" s="86"/>
      <c r="Y665" s="88"/>
      <c r="Z665" s="86"/>
      <c r="AA665" s="88"/>
      <c r="AB665" s="86"/>
      <c r="AC665" s="88"/>
      <c r="AD665" s="86"/>
      <c r="AE665" s="88"/>
      <c r="AF665" s="86"/>
      <c r="AG665" s="88"/>
      <c r="AH665" s="86"/>
      <c r="AI665" s="88"/>
      <c r="AJ665" s="86"/>
      <c r="AK665" s="88"/>
      <c r="AL665" s="86"/>
      <c r="AM665" s="88"/>
      <c r="AN665" s="86"/>
      <c r="AO665" s="88"/>
      <c r="AP665" s="86"/>
      <c r="AQ665" s="88"/>
      <c r="AR665" s="86"/>
      <c r="AS665" s="88"/>
      <c r="AT665" s="86"/>
      <c r="AU665" s="88"/>
      <c r="AV665" s="86"/>
      <c r="AW665" s="88"/>
      <c r="AX665" s="86"/>
      <c r="AY665" s="88"/>
      <c r="AZ665" s="86"/>
      <c r="BA665" s="88"/>
      <c r="BB665" s="86"/>
      <c r="BC665" s="88"/>
      <c r="BD665" s="86"/>
      <c r="BE665" s="88"/>
      <c r="BF665" s="86"/>
      <c r="BG665" s="88"/>
      <c r="BH665" s="86"/>
      <c r="BI665" s="88"/>
      <c r="BJ665" s="86"/>
      <c r="BK665" s="88"/>
      <c r="BL665" s="86"/>
      <c r="BM665" s="88"/>
      <c r="BN665" s="86"/>
      <c r="BO665" s="88"/>
      <c r="BP665" s="86"/>
      <c r="BQ665" s="88"/>
      <c r="BR665" s="86"/>
      <c r="BS665" s="87"/>
    </row>
    <row r="666" ht="22.5" customHeight="1">
      <c r="A666" s="154"/>
      <c r="B666" s="83"/>
      <c r="C666" s="151"/>
      <c r="D666" s="83"/>
      <c r="E666" s="151"/>
      <c r="F666" s="83"/>
      <c r="G666" s="85"/>
      <c r="H666" s="86"/>
      <c r="I666" s="87"/>
      <c r="J666" s="86"/>
      <c r="K666" s="88"/>
      <c r="L666" s="86"/>
      <c r="M666" s="88"/>
      <c r="N666" s="86"/>
      <c r="O666" s="88"/>
      <c r="P666" s="86"/>
      <c r="Q666" s="88"/>
      <c r="R666" s="86"/>
      <c r="S666" s="88"/>
      <c r="T666" s="86"/>
      <c r="U666" s="88"/>
      <c r="V666" s="86"/>
      <c r="W666" s="88"/>
      <c r="X666" s="86"/>
      <c r="Y666" s="88"/>
      <c r="Z666" s="86"/>
      <c r="AA666" s="88"/>
      <c r="AB666" s="86"/>
      <c r="AC666" s="88"/>
      <c r="AD666" s="86"/>
      <c r="AE666" s="88"/>
      <c r="AF666" s="86"/>
      <c r="AG666" s="88"/>
      <c r="AH666" s="86"/>
      <c r="AI666" s="88"/>
      <c r="AJ666" s="86"/>
      <c r="AK666" s="88"/>
      <c r="AL666" s="86"/>
      <c r="AM666" s="88"/>
      <c r="AN666" s="86"/>
      <c r="AO666" s="88"/>
      <c r="AP666" s="86"/>
      <c r="AQ666" s="88"/>
      <c r="AR666" s="86"/>
      <c r="AS666" s="88"/>
      <c r="AT666" s="86"/>
      <c r="AU666" s="88"/>
      <c r="AV666" s="86"/>
      <c r="AW666" s="88"/>
      <c r="AX666" s="86"/>
      <c r="AY666" s="88"/>
      <c r="AZ666" s="86"/>
      <c r="BA666" s="88"/>
      <c r="BB666" s="86"/>
      <c r="BC666" s="88"/>
      <c r="BD666" s="86"/>
      <c r="BE666" s="88"/>
      <c r="BF666" s="86"/>
      <c r="BG666" s="88"/>
      <c r="BH666" s="86"/>
      <c r="BI666" s="88"/>
      <c r="BJ666" s="86"/>
      <c r="BK666" s="88"/>
      <c r="BL666" s="86"/>
      <c r="BM666" s="88"/>
      <c r="BN666" s="86"/>
      <c r="BO666" s="88"/>
      <c r="BP666" s="86"/>
      <c r="BQ666" s="88"/>
      <c r="BR666" s="86"/>
      <c r="BS666" s="87"/>
    </row>
    <row r="667" ht="22.5" customHeight="1">
      <c r="A667" s="154"/>
      <c r="B667" s="83"/>
      <c r="C667" s="151"/>
      <c r="D667" s="83"/>
      <c r="E667" s="151"/>
      <c r="F667" s="83"/>
      <c r="G667" s="85"/>
      <c r="H667" s="86"/>
      <c r="I667" s="87"/>
      <c r="J667" s="86"/>
      <c r="K667" s="88"/>
      <c r="L667" s="86"/>
      <c r="M667" s="88"/>
      <c r="N667" s="86"/>
      <c r="O667" s="88"/>
      <c r="P667" s="86"/>
      <c r="Q667" s="88"/>
      <c r="R667" s="86"/>
      <c r="S667" s="88"/>
      <c r="T667" s="86"/>
      <c r="U667" s="88"/>
      <c r="V667" s="86"/>
      <c r="W667" s="88"/>
      <c r="X667" s="86"/>
      <c r="Y667" s="88"/>
      <c r="Z667" s="86"/>
      <c r="AA667" s="88"/>
      <c r="AB667" s="86"/>
      <c r="AC667" s="88"/>
      <c r="AD667" s="86"/>
      <c r="AE667" s="88"/>
      <c r="AF667" s="86"/>
      <c r="AG667" s="88"/>
      <c r="AH667" s="86"/>
      <c r="AI667" s="88"/>
      <c r="AJ667" s="86"/>
      <c r="AK667" s="88"/>
      <c r="AL667" s="86"/>
      <c r="AM667" s="88"/>
      <c r="AN667" s="86"/>
      <c r="AO667" s="88"/>
      <c r="AP667" s="86"/>
      <c r="AQ667" s="88"/>
      <c r="AR667" s="86"/>
      <c r="AS667" s="88"/>
      <c r="AT667" s="86"/>
      <c r="AU667" s="88"/>
      <c r="AV667" s="86"/>
      <c r="AW667" s="88"/>
      <c r="AX667" s="86"/>
      <c r="AY667" s="88"/>
      <c r="AZ667" s="86"/>
      <c r="BA667" s="88"/>
      <c r="BB667" s="86"/>
      <c r="BC667" s="88"/>
      <c r="BD667" s="86"/>
      <c r="BE667" s="88"/>
      <c r="BF667" s="86"/>
      <c r="BG667" s="88"/>
      <c r="BH667" s="86"/>
      <c r="BI667" s="88"/>
      <c r="BJ667" s="86"/>
      <c r="BK667" s="88"/>
      <c r="BL667" s="86"/>
      <c r="BM667" s="88"/>
      <c r="BN667" s="86"/>
      <c r="BO667" s="88"/>
      <c r="BP667" s="86"/>
      <c r="BQ667" s="88"/>
      <c r="BR667" s="86"/>
      <c r="BS667" s="87"/>
    </row>
    <row r="668" ht="22.5" customHeight="1">
      <c r="A668" s="154"/>
      <c r="B668" s="83"/>
      <c r="C668" s="151"/>
      <c r="D668" s="83"/>
      <c r="E668" s="151"/>
      <c r="F668" s="83"/>
      <c r="G668" s="85"/>
      <c r="H668" s="86"/>
      <c r="I668" s="87"/>
      <c r="J668" s="86"/>
      <c r="K668" s="88"/>
      <c r="L668" s="86"/>
      <c r="M668" s="88"/>
      <c r="N668" s="86"/>
      <c r="O668" s="88"/>
      <c r="P668" s="86"/>
      <c r="Q668" s="88"/>
      <c r="R668" s="86"/>
      <c r="S668" s="88"/>
      <c r="T668" s="86"/>
      <c r="U668" s="88"/>
      <c r="V668" s="86"/>
      <c r="W668" s="88"/>
      <c r="X668" s="86"/>
      <c r="Y668" s="88"/>
      <c r="Z668" s="86"/>
      <c r="AA668" s="88"/>
      <c r="AB668" s="86"/>
      <c r="AC668" s="88"/>
      <c r="AD668" s="86"/>
      <c r="AE668" s="88"/>
      <c r="AF668" s="86"/>
      <c r="AG668" s="88"/>
      <c r="AH668" s="86"/>
      <c r="AI668" s="88"/>
      <c r="AJ668" s="86"/>
      <c r="AK668" s="88"/>
      <c r="AL668" s="86"/>
      <c r="AM668" s="88"/>
      <c r="AN668" s="86"/>
      <c r="AO668" s="88"/>
      <c r="AP668" s="86"/>
      <c r="AQ668" s="88"/>
      <c r="AR668" s="86"/>
      <c r="AS668" s="88"/>
      <c r="AT668" s="86"/>
      <c r="AU668" s="88"/>
      <c r="AV668" s="86"/>
      <c r="AW668" s="88"/>
      <c r="AX668" s="86"/>
      <c r="AY668" s="88"/>
      <c r="AZ668" s="86"/>
      <c r="BA668" s="88"/>
      <c r="BB668" s="86"/>
      <c r="BC668" s="88"/>
      <c r="BD668" s="86"/>
      <c r="BE668" s="88"/>
      <c r="BF668" s="86"/>
      <c r="BG668" s="88"/>
      <c r="BH668" s="86"/>
      <c r="BI668" s="88"/>
      <c r="BJ668" s="86"/>
      <c r="BK668" s="88"/>
      <c r="BL668" s="86"/>
      <c r="BM668" s="88"/>
      <c r="BN668" s="86"/>
      <c r="BO668" s="88"/>
      <c r="BP668" s="86"/>
      <c r="BQ668" s="88"/>
      <c r="BR668" s="86"/>
      <c r="BS668" s="87"/>
    </row>
    <row r="669" ht="22.5" customHeight="1">
      <c r="A669" s="154"/>
      <c r="B669" s="83"/>
      <c r="C669" s="151"/>
      <c r="D669" s="83"/>
      <c r="E669" s="151"/>
      <c r="F669" s="83"/>
      <c r="G669" s="85"/>
      <c r="H669" s="86"/>
      <c r="I669" s="87"/>
      <c r="J669" s="86"/>
      <c r="K669" s="88"/>
      <c r="L669" s="86"/>
      <c r="M669" s="88"/>
      <c r="N669" s="86"/>
      <c r="O669" s="88"/>
      <c r="P669" s="86"/>
      <c r="Q669" s="88"/>
      <c r="R669" s="86"/>
      <c r="S669" s="88"/>
      <c r="T669" s="86"/>
      <c r="U669" s="88"/>
      <c r="V669" s="86"/>
      <c r="W669" s="88"/>
      <c r="X669" s="86"/>
      <c r="Y669" s="88"/>
      <c r="Z669" s="86"/>
      <c r="AA669" s="88"/>
      <c r="AB669" s="86"/>
      <c r="AC669" s="88"/>
      <c r="AD669" s="86"/>
      <c r="AE669" s="88"/>
      <c r="AF669" s="86"/>
      <c r="AG669" s="88"/>
      <c r="AH669" s="86"/>
      <c r="AI669" s="88"/>
      <c r="AJ669" s="86"/>
      <c r="AK669" s="88"/>
      <c r="AL669" s="86"/>
      <c r="AM669" s="88"/>
      <c r="AN669" s="86"/>
      <c r="AO669" s="88"/>
      <c r="AP669" s="86"/>
      <c r="AQ669" s="88"/>
      <c r="AR669" s="86"/>
      <c r="AS669" s="88"/>
      <c r="AT669" s="86"/>
      <c r="AU669" s="88"/>
      <c r="AV669" s="86"/>
      <c r="AW669" s="88"/>
      <c r="AX669" s="86"/>
      <c r="AY669" s="88"/>
      <c r="AZ669" s="86"/>
      <c r="BA669" s="88"/>
      <c r="BB669" s="86"/>
      <c r="BC669" s="88"/>
      <c r="BD669" s="86"/>
      <c r="BE669" s="88"/>
      <c r="BF669" s="86"/>
      <c r="BG669" s="88"/>
      <c r="BH669" s="86"/>
      <c r="BI669" s="88"/>
      <c r="BJ669" s="86"/>
      <c r="BK669" s="88"/>
      <c r="BL669" s="86"/>
      <c r="BM669" s="88"/>
      <c r="BN669" s="86"/>
      <c r="BO669" s="88"/>
      <c r="BP669" s="86"/>
      <c r="BQ669" s="88"/>
      <c r="BR669" s="86"/>
      <c r="BS669" s="87"/>
    </row>
    <row r="670" ht="22.5" customHeight="1">
      <c r="A670" s="154"/>
      <c r="B670" s="83"/>
      <c r="C670" s="151"/>
      <c r="D670" s="83"/>
      <c r="E670" s="151"/>
      <c r="F670" s="83"/>
      <c r="G670" s="85"/>
      <c r="H670" s="86"/>
      <c r="I670" s="87"/>
      <c r="J670" s="86"/>
      <c r="K670" s="88"/>
      <c r="L670" s="86"/>
      <c r="M670" s="88"/>
      <c r="N670" s="86"/>
      <c r="O670" s="88"/>
      <c r="P670" s="86"/>
      <c r="Q670" s="88"/>
      <c r="R670" s="86"/>
      <c r="S670" s="88"/>
      <c r="T670" s="86"/>
      <c r="U670" s="88"/>
      <c r="V670" s="86"/>
      <c r="W670" s="88"/>
      <c r="X670" s="86"/>
      <c r="Y670" s="88"/>
      <c r="Z670" s="86"/>
      <c r="AA670" s="88"/>
      <c r="AB670" s="86"/>
      <c r="AC670" s="88"/>
      <c r="AD670" s="86"/>
      <c r="AE670" s="88"/>
      <c r="AF670" s="86"/>
      <c r="AG670" s="88"/>
      <c r="AH670" s="86"/>
      <c r="AI670" s="88"/>
      <c r="AJ670" s="86"/>
      <c r="AK670" s="88"/>
      <c r="AL670" s="86"/>
      <c r="AM670" s="88"/>
      <c r="AN670" s="86"/>
      <c r="AO670" s="88"/>
      <c r="AP670" s="86"/>
      <c r="AQ670" s="88"/>
      <c r="AR670" s="86"/>
      <c r="AS670" s="88"/>
      <c r="AT670" s="86"/>
      <c r="AU670" s="88"/>
      <c r="AV670" s="86"/>
      <c r="AW670" s="88"/>
      <c r="AX670" s="86"/>
      <c r="AY670" s="88"/>
      <c r="AZ670" s="86"/>
      <c r="BA670" s="88"/>
      <c r="BB670" s="86"/>
      <c r="BC670" s="88"/>
      <c r="BD670" s="86"/>
      <c r="BE670" s="88"/>
      <c r="BF670" s="86"/>
      <c r="BG670" s="88"/>
      <c r="BH670" s="86"/>
      <c r="BI670" s="88"/>
      <c r="BJ670" s="86"/>
      <c r="BK670" s="88"/>
      <c r="BL670" s="86"/>
      <c r="BM670" s="88"/>
      <c r="BN670" s="86"/>
      <c r="BO670" s="88"/>
      <c r="BP670" s="86"/>
      <c r="BQ670" s="88"/>
      <c r="BR670" s="86"/>
      <c r="BS670" s="87"/>
    </row>
    <row r="671" ht="22.5" customHeight="1">
      <c r="A671" s="154"/>
      <c r="B671" s="83"/>
      <c r="C671" s="151"/>
      <c r="D671" s="83"/>
      <c r="E671" s="151"/>
      <c r="F671" s="83"/>
      <c r="G671" s="85"/>
      <c r="H671" s="86"/>
      <c r="I671" s="87"/>
      <c r="J671" s="86"/>
      <c r="K671" s="88"/>
      <c r="L671" s="86"/>
      <c r="M671" s="88"/>
      <c r="N671" s="86"/>
      <c r="O671" s="88"/>
      <c r="P671" s="86"/>
      <c r="Q671" s="88"/>
      <c r="R671" s="86"/>
      <c r="S671" s="88"/>
      <c r="T671" s="86"/>
      <c r="U671" s="88"/>
      <c r="V671" s="86"/>
      <c r="W671" s="88"/>
      <c r="X671" s="86"/>
      <c r="Y671" s="88"/>
      <c r="Z671" s="86"/>
      <c r="AA671" s="88"/>
      <c r="AB671" s="86"/>
      <c r="AC671" s="88"/>
      <c r="AD671" s="86"/>
      <c r="AE671" s="88"/>
      <c r="AF671" s="86"/>
      <c r="AG671" s="88"/>
      <c r="AH671" s="86"/>
      <c r="AI671" s="88"/>
      <c r="AJ671" s="86"/>
      <c r="AK671" s="88"/>
      <c r="AL671" s="86"/>
      <c r="AM671" s="88"/>
      <c r="AN671" s="86"/>
      <c r="AO671" s="88"/>
      <c r="AP671" s="86"/>
      <c r="AQ671" s="88"/>
      <c r="AR671" s="86"/>
      <c r="AS671" s="88"/>
      <c r="AT671" s="86"/>
      <c r="AU671" s="88"/>
      <c r="AV671" s="86"/>
      <c r="AW671" s="88"/>
      <c r="AX671" s="86"/>
      <c r="AY671" s="88"/>
      <c r="AZ671" s="86"/>
      <c r="BA671" s="88"/>
      <c r="BB671" s="86"/>
      <c r="BC671" s="88"/>
      <c r="BD671" s="86"/>
      <c r="BE671" s="88"/>
      <c r="BF671" s="86"/>
      <c r="BG671" s="88"/>
      <c r="BH671" s="86"/>
      <c r="BI671" s="88"/>
      <c r="BJ671" s="86"/>
      <c r="BK671" s="88"/>
      <c r="BL671" s="86"/>
      <c r="BM671" s="88"/>
      <c r="BN671" s="86"/>
      <c r="BO671" s="88"/>
      <c r="BP671" s="86"/>
      <c r="BQ671" s="88"/>
      <c r="BR671" s="86"/>
      <c r="BS671" s="87"/>
    </row>
    <row r="672" ht="22.5" customHeight="1">
      <c r="A672" s="154"/>
      <c r="B672" s="83"/>
      <c r="C672" s="151"/>
      <c r="D672" s="83"/>
      <c r="E672" s="151"/>
      <c r="F672" s="83"/>
      <c r="G672" s="85"/>
      <c r="H672" s="86"/>
      <c r="I672" s="87"/>
      <c r="J672" s="86"/>
      <c r="K672" s="88"/>
      <c r="L672" s="86"/>
      <c r="M672" s="88"/>
      <c r="N672" s="86"/>
      <c r="O672" s="88"/>
      <c r="P672" s="86"/>
      <c r="Q672" s="88"/>
      <c r="R672" s="86"/>
      <c r="S672" s="88"/>
      <c r="T672" s="86"/>
      <c r="U672" s="88"/>
      <c r="V672" s="86"/>
      <c r="W672" s="88"/>
      <c r="X672" s="86"/>
      <c r="Y672" s="88"/>
      <c r="Z672" s="86"/>
      <c r="AA672" s="88"/>
      <c r="AB672" s="86"/>
      <c r="AC672" s="88"/>
      <c r="AD672" s="86"/>
      <c r="AE672" s="88"/>
      <c r="AF672" s="86"/>
      <c r="AG672" s="88"/>
      <c r="AH672" s="86"/>
      <c r="AI672" s="88"/>
      <c r="AJ672" s="86"/>
      <c r="AK672" s="88"/>
      <c r="AL672" s="86"/>
      <c r="AM672" s="88"/>
      <c r="AN672" s="86"/>
      <c r="AO672" s="88"/>
      <c r="AP672" s="86"/>
      <c r="AQ672" s="88"/>
      <c r="AR672" s="86"/>
      <c r="AS672" s="88"/>
      <c r="AT672" s="86"/>
      <c r="AU672" s="88"/>
      <c r="AV672" s="86"/>
      <c r="AW672" s="88"/>
      <c r="AX672" s="86"/>
      <c r="AY672" s="88"/>
      <c r="AZ672" s="86"/>
      <c r="BA672" s="88"/>
      <c r="BB672" s="86"/>
      <c r="BC672" s="88"/>
      <c r="BD672" s="86"/>
      <c r="BE672" s="88"/>
      <c r="BF672" s="86"/>
      <c r="BG672" s="88"/>
      <c r="BH672" s="86"/>
      <c r="BI672" s="88"/>
      <c r="BJ672" s="86"/>
      <c r="BK672" s="88"/>
      <c r="BL672" s="86"/>
      <c r="BM672" s="88"/>
      <c r="BN672" s="86"/>
      <c r="BO672" s="88"/>
      <c r="BP672" s="86"/>
      <c r="BQ672" s="88"/>
      <c r="BR672" s="86"/>
      <c r="BS672" s="87"/>
    </row>
    <row r="673" ht="22.5" customHeight="1">
      <c r="A673" s="154"/>
      <c r="B673" s="83"/>
      <c r="C673" s="151"/>
      <c r="D673" s="83"/>
      <c r="E673" s="151"/>
      <c r="F673" s="83"/>
      <c r="G673" s="85"/>
      <c r="H673" s="86"/>
      <c r="I673" s="87"/>
      <c r="J673" s="86"/>
      <c r="K673" s="88"/>
      <c r="L673" s="86"/>
      <c r="M673" s="88"/>
      <c r="N673" s="86"/>
      <c r="O673" s="88"/>
      <c r="P673" s="86"/>
      <c r="Q673" s="88"/>
      <c r="R673" s="86"/>
      <c r="S673" s="88"/>
      <c r="T673" s="86"/>
      <c r="U673" s="88"/>
      <c r="V673" s="86"/>
      <c r="W673" s="88"/>
      <c r="X673" s="86"/>
      <c r="Y673" s="88"/>
      <c r="Z673" s="86"/>
      <c r="AA673" s="88"/>
      <c r="AB673" s="86"/>
      <c r="AC673" s="88"/>
      <c r="AD673" s="86"/>
      <c r="AE673" s="88"/>
      <c r="AF673" s="86"/>
      <c r="AG673" s="88"/>
      <c r="AH673" s="86"/>
      <c r="AI673" s="88"/>
      <c r="AJ673" s="86"/>
      <c r="AK673" s="88"/>
      <c r="AL673" s="86"/>
      <c r="AM673" s="88"/>
      <c r="AN673" s="86"/>
      <c r="AO673" s="88"/>
      <c r="AP673" s="86"/>
      <c r="AQ673" s="88"/>
      <c r="AR673" s="86"/>
      <c r="AS673" s="88"/>
      <c r="AT673" s="86"/>
      <c r="AU673" s="88"/>
      <c r="AV673" s="86"/>
      <c r="AW673" s="88"/>
      <c r="AX673" s="86"/>
      <c r="AY673" s="88"/>
      <c r="AZ673" s="86"/>
      <c r="BA673" s="88"/>
      <c r="BB673" s="86"/>
      <c r="BC673" s="88"/>
      <c r="BD673" s="86"/>
      <c r="BE673" s="88"/>
      <c r="BF673" s="86"/>
      <c r="BG673" s="88"/>
      <c r="BH673" s="86"/>
      <c r="BI673" s="88"/>
      <c r="BJ673" s="86"/>
      <c r="BK673" s="88"/>
      <c r="BL673" s="86"/>
      <c r="BM673" s="88"/>
      <c r="BN673" s="86"/>
      <c r="BO673" s="88"/>
      <c r="BP673" s="86"/>
      <c r="BQ673" s="88"/>
      <c r="BR673" s="86"/>
      <c r="BS673" s="87"/>
    </row>
    <row r="674" ht="22.5" customHeight="1">
      <c r="A674" s="154"/>
      <c r="B674" s="83"/>
      <c r="C674" s="151"/>
      <c r="D674" s="83"/>
      <c r="E674" s="151"/>
      <c r="F674" s="83"/>
      <c r="G674" s="85"/>
      <c r="H674" s="86"/>
      <c r="I674" s="87"/>
      <c r="J674" s="86"/>
      <c r="K674" s="88"/>
      <c r="L674" s="86"/>
      <c r="M674" s="88"/>
      <c r="N674" s="86"/>
      <c r="O674" s="88"/>
      <c r="P674" s="86"/>
      <c r="Q674" s="88"/>
      <c r="R674" s="86"/>
      <c r="S674" s="88"/>
      <c r="T674" s="86"/>
      <c r="U674" s="88"/>
      <c r="V674" s="86"/>
      <c r="W674" s="88"/>
      <c r="X674" s="86"/>
      <c r="Y674" s="88"/>
      <c r="Z674" s="86"/>
      <c r="AA674" s="88"/>
      <c r="AB674" s="86"/>
      <c r="AC674" s="88"/>
      <c r="AD674" s="86"/>
      <c r="AE674" s="88"/>
      <c r="AF674" s="86"/>
      <c r="AG674" s="88"/>
      <c r="AH674" s="86"/>
      <c r="AI674" s="88"/>
      <c r="AJ674" s="86"/>
      <c r="AK674" s="88"/>
      <c r="AL674" s="86"/>
      <c r="AM674" s="88"/>
      <c r="AN674" s="86"/>
      <c r="AO674" s="88"/>
      <c r="AP674" s="86"/>
      <c r="AQ674" s="88"/>
      <c r="AR674" s="86"/>
      <c r="AS674" s="88"/>
      <c r="AT674" s="86"/>
      <c r="AU674" s="88"/>
      <c r="AV674" s="86"/>
      <c r="AW674" s="88"/>
      <c r="AX674" s="86"/>
      <c r="AY674" s="88"/>
      <c r="AZ674" s="86"/>
      <c r="BA674" s="88"/>
      <c r="BB674" s="86"/>
      <c r="BC674" s="88"/>
      <c r="BD674" s="86"/>
      <c r="BE674" s="88"/>
      <c r="BF674" s="86"/>
      <c r="BG674" s="88"/>
      <c r="BH674" s="86"/>
      <c r="BI674" s="88"/>
      <c r="BJ674" s="86"/>
      <c r="BK674" s="88"/>
      <c r="BL674" s="86"/>
      <c r="BM674" s="88"/>
      <c r="BN674" s="86"/>
      <c r="BO674" s="88"/>
      <c r="BP674" s="86"/>
      <c r="BQ674" s="88"/>
      <c r="BR674" s="86"/>
      <c r="BS674" s="87"/>
    </row>
    <row r="675" ht="22.5" customHeight="1">
      <c r="A675" s="154"/>
      <c r="B675" s="83"/>
      <c r="C675" s="151"/>
      <c r="D675" s="83"/>
      <c r="E675" s="151"/>
      <c r="F675" s="83"/>
      <c r="G675" s="85"/>
      <c r="H675" s="86"/>
      <c r="I675" s="87"/>
      <c r="J675" s="86"/>
      <c r="K675" s="88"/>
      <c r="L675" s="86"/>
      <c r="M675" s="88"/>
      <c r="N675" s="86"/>
      <c r="O675" s="88"/>
      <c r="P675" s="86"/>
      <c r="Q675" s="88"/>
      <c r="R675" s="86"/>
      <c r="S675" s="88"/>
      <c r="T675" s="86"/>
      <c r="U675" s="88"/>
      <c r="V675" s="86"/>
      <c r="W675" s="88"/>
      <c r="X675" s="86"/>
      <c r="Y675" s="88"/>
      <c r="Z675" s="86"/>
      <c r="AA675" s="88"/>
      <c r="AB675" s="86"/>
      <c r="AC675" s="88"/>
      <c r="AD675" s="86"/>
      <c r="AE675" s="88"/>
      <c r="AF675" s="86"/>
      <c r="AG675" s="88"/>
      <c r="AH675" s="86"/>
      <c r="AI675" s="88"/>
      <c r="AJ675" s="86"/>
      <c r="AK675" s="88"/>
      <c r="AL675" s="86"/>
      <c r="AM675" s="88"/>
      <c r="AN675" s="86"/>
      <c r="AO675" s="88"/>
      <c r="AP675" s="86"/>
      <c r="AQ675" s="88"/>
      <c r="AR675" s="86"/>
      <c r="AS675" s="88"/>
      <c r="AT675" s="86"/>
      <c r="AU675" s="88"/>
      <c r="AV675" s="86"/>
      <c r="AW675" s="88"/>
      <c r="AX675" s="86"/>
      <c r="AY675" s="88"/>
      <c r="AZ675" s="86"/>
      <c r="BA675" s="88"/>
      <c r="BB675" s="86"/>
      <c r="BC675" s="88"/>
      <c r="BD675" s="86"/>
      <c r="BE675" s="88"/>
      <c r="BF675" s="86"/>
      <c r="BG675" s="88"/>
      <c r="BH675" s="86"/>
      <c r="BI675" s="88"/>
      <c r="BJ675" s="86"/>
      <c r="BK675" s="88"/>
      <c r="BL675" s="86"/>
      <c r="BM675" s="88"/>
      <c r="BN675" s="86"/>
      <c r="BO675" s="88"/>
      <c r="BP675" s="86"/>
      <c r="BQ675" s="88"/>
      <c r="BR675" s="86"/>
      <c r="BS675" s="87"/>
    </row>
    <row r="676" ht="22.5" customHeight="1">
      <c r="A676" s="154"/>
      <c r="B676" s="83"/>
      <c r="C676" s="151"/>
      <c r="D676" s="83"/>
      <c r="E676" s="151"/>
      <c r="F676" s="83"/>
      <c r="G676" s="85"/>
      <c r="H676" s="86"/>
      <c r="I676" s="87"/>
      <c r="J676" s="86"/>
      <c r="K676" s="88"/>
      <c r="L676" s="86"/>
      <c r="M676" s="88"/>
      <c r="N676" s="86"/>
      <c r="O676" s="88"/>
      <c r="P676" s="86"/>
      <c r="Q676" s="88"/>
      <c r="R676" s="86"/>
      <c r="S676" s="88"/>
      <c r="T676" s="86"/>
      <c r="U676" s="88"/>
      <c r="V676" s="86"/>
      <c r="W676" s="88"/>
      <c r="X676" s="86"/>
      <c r="Y676" s="88"/>
      <c r="Z676" s="86"/>
      <c r="AA676" s="88"/>
      <c r="AB676" s="86"/>
      <c r="AC676" s="88"/>
      <c r="AD676" s="86"/>
      <c r="AE676" s="88"/>
      <c r="AF676" s="86"/>
      <c r="AG676" s="88"/>
      <c r="AH676" s="86"/>
      <c r="AI676" s="88"/>
      <c r="AJ676" s="86"/>
      <c r="AK676" s="88"/>
      <c r="AL676" s="86"/>
      <c r="AM676" s="88"/>
      <c r="AN676" s="86"/>
      <c r="AO676" s="88"/>
      <c r="AP676" s="86"/>
      <c r="AQ676" s="88"/>
      <c r="AR676" s="86"/>
      <c r="AS676" s="88"/>
      <c r="AT676" s="86"/>
      <c r="AU676" s="88"/>
      <c r="AV676" s="86"/>
      <c r="AW676" s="88"/>
      <c r="AX676" s="86"/>
      <c r="AY676" s="88"/>
      <c r="AZ676" s="86"/>
      <c r="BA676" s="88"/>
      <c r="BB676" s="86"/>
      <c r="BC676" s="88"/>
      <c r="BD676" s="86"/>
      <c r="BE676" s="88"/>
      <c r="BF676" s="86"/>
      <c r="BG676" s="88"/>
      <c r="BH676" s="86"/>
      <c r="BI676" s="88"/>
      <c r="BJ676" s="86"/>
      <c r="BK676" s="88"/>
      <c r="BL676" s="86"/>
      <c r="BM676" s="88"/>
      <c r="BN676" s="86"/>
      <c r="BO676" s="88"/>
      <c r="BP676" s="86"/>
      <c r="BQ676" s="88"/>
      <c r="BR676" s="86"/>
      <c r="BS676" s="87"/>
    </row>
    <row r="677" ht="22.5" customHeight="1">
      <c r="A677" s="154"/>
      <c r="B677" s="83"/>
      <c r="C677" s="151"/>
      <c r="D677" s="83"/>
      <c r="E677" s="151"/>
      <c r="F677" s="83"/>
      <c r="G677" s="85"/>
      <c r="H677" s="86"/>
      <c r="I677" s="87"/>
      <c r="J677" s="86"/>
      <c r="K677" s="88"/>
      <c r="L677" s="86"/>
      <c r="M677" s="88"/>
      <c r="N677" s="86"/>
      <c r="O677" s="88"/>
      <c r="P677" s="86"/>
      <c r="Q677" s="88"/>
      <c r="R677" s="86"/>
      <c r="S677" s="88"/>
      <c r="T677" s="86"/>
      <c r="U677" s="88"/>
      <c r="V677" s="86"/>
      <c r="W677" s="88"/>
      <c r="X677" s="86"/>
      <c r="Y677" s="88"/>
      <c r="Z677" s="86"/>
      <c r="AA677" s="88"/>
      <c r="AB677" s="86"/>
      <c r="AC677" s="88"/>
      <c r="AD677" s="86"/>
      <c r="AE677" s="88"/>
      <c r="AF677" s="86"/>
      <c r="AG677" s="88"/>
      <c r="AH677" s="86"/>
      <c r="AI677" s="88"/>
      <c r="AJ677" s="86"/>
      <c r="AK677" s="88"/>
      <c r="AL677" s="86"/>
      <c r="AM677" s="88"/>
      <c r="AN677" s="86"/>
      <c r="AO677" s="88"/>
      <c r="AP677" s="86"/>
      <c r="AQ677" s="88"/>
      <c r="AR677" s="86"/>
      <c r="AS677" s="88"/>
      <c r="AT677" s="86"/>
      <c r="AU677" s="88"/>
      <c r="AV677" s="86"/>
      <c r="AW677" s="88"/>
      <c r="AX677" s="86"/>
      <c r="AY677" s="88"/>
      <c r="AZ677" s="86"/>
      <c r="BA677" s="88"/>
      <c r="BB677" s="86"/>
      <c r="BC677" s="88"/>
      <c r="BD677" s="86"/>
      <c r="BE677" s="88"/>
      <c r="BF677" s="86"/>
      <c r="BG677" s="88"/>
      <c r="BH677" s="86"/>
      <c r="BI677" s="88"/>
      <c r="BJ677" s="86"/>
      <c r="BK677" s="88"/>
      <c r="BL677" s="86"/>
      <c r="BM677" s="88"/>
      <c r="BN677" s="86"/>
      <c r="BO677" s="88"/>
      <c r="BP677" s="86"/>
      <c r="BQ677" s="88"/>
      <c r="BR677" s="86"/>
      <c r="BS677" s="87"/>
    </row>
    <row r="678" ht="22.5" customHeight="1">
      <c r="A678" s="154"/>
      <c r="B678" s="83"/>
      <c r="C678" s="151"/>
      <c r="D678" s="83"/>
      <c r="E678" s="151"/>
      <c r="F678" s="83"/>
      <c r="G678" s="85"/>
      <c r="H678" s="86"/>
      <c r="I678" s="87"/>
      <c r="J678" s="86"/>
      <c r="K678" s="88"/>
      <c r="L678" s="86"/>
      <c r="M678" s="88"/>
      <c r="N678" s="86"/>
      <c r="O678" s="88"/>
      <c r="P678" s="86"/>
      <c r="Q678" s="88"/>
      <c r="R678" s="86"/>
      <c r="S678" s="88"/>
      <c r="T678" s="86"/>
      <c r="U678" s="88"/>
      <c r="V678" s="86"/>
      <c r="W678" s="88"/>
      <c r="X678" s="86"/>
      <c r="Y678" s="88"/>
      <c r="Z678" s="86"/>
      <c r="AA678" s="88"/>
      <c r="AB678" s="86"/>
      <c r="AC678" s="88"/>
      <c r="AD678" s="86"/>
      <c r="AE678" s="88"/>
      <c r="AF678" s="86"/>
      <c r="AG678" s="88"/>
      <c r="AH678" s="86"/>
      <c r="AI678" s="88"/>
      <c r="AJ678" s="86"/>
      <c r="AK678" s="88"/>
      <c r="AL678" s="86"/>
      <c r="AM678" s="88"/>
      <c r="AN678" s="86"/>
      <c r="AO678" s="88"/>
      <c r="AP678" s="86"/>
      <c r="AQ678" s="88"/>
      <c r="AR678" s="86"/>
      <c r="AS678" s="88"/>
      <c r="AT678" s="86"/>
      <c r="AU678" s="88"/>
      <c r="AV678" s="86"/>
      <c r="AW678" s="88"/>
      <c r="AX678" s="86"/>
      <c r="AY678" s="88"/>
      <c r="AZ678" s="86"/>
      <c r="BA678" s="88"/>
      <c r="BB678" s="86"/>
      <c r="BC678" s="88"/>
      <c r="BD678" s="86"/>
      <c r="BE678" s="88"/>
      <c r="BF678" s="86"/>
      <c r="BG678" s="88"/>
      <c r="BH678" s="86"/>
      <c r="BI678" s="88"/>
      <c r="BJ678" s="86"/>
      <c r="BK678" s="88"/>
      <c r="BL678" s="86"/>
      <c r="BM678" s="88"/>
      <c r="BN678" s="86"/>
      <c r="BO678" s="88"/>
      <c r="BP678" s="86"/>
      <c r="BQ678" s="88"/>
      <c r="BR678" s="86"/>
      <c r="BS678" s="87"/>
    </row>
    <row r="679" ht="22.5" customHeight="1">
      <c r="A679" s="154"/>
      <c r="B679" s="83"/>
      <c r="C679" s="151"/>
      <c r="D679" s="83"/>
      <c r="E679" s="151"/>
      <c r="F679" s="83"/>
      <c r="G679" s="85"/>
      <c r="H679" s="86"/>
      <c r="I679" s="87"/>
      <c r="J679" s="86"/>
      <c r="K679" s="88"/>
      <c r="L679" s="86"/>
      <c r="M679" s="88"/>
      <c r="N679" s="86"/>
      <c r="O679" s="88"/>
      <c r="P679" s="86"/>
      <c r="Q679" s="88"/>
      <c r="R679" s="86"/>
      <c r="S679" s="88"/>
      <c r="T679" s="86"/>
      <c r="U679" s="88"/>
      <c r="V679" s="86"/>
      <c r="W679" s="88"/>
      <c r="X679" s="86"/>
      <c r="Y679" s="88"/>
      <c r="Z679" s="86"/>
      <c r="AA679" s="88"/>
      <c r="AB679" s="86"/>
      <c r="AC679" s="88"/>
      <c r="AD679" s="86"/>
      <c r="AE679" s="88"/>
      <c r="AF679" s="86"/>
      <c r="AG679" s="88"/>
      <c r="AH679" s="86"/>
      <c r="AI679" s="88"/>
      <c r="AJ679" s="86"/>
      <c r="AK679" s="88"/>
      <c r="AL679" s="86"/>
      <c r="AM679" s="88"/>
      <c r="AN679" s="86"/>
      <c r="AO679" s="88"/>
      <c r="AP679" s="86"/>
      <c r="AQ679" s="88"/>
      <c r="AR679" s="86"/>
      <c r="AS679" s="88"/>
      <c r="AT679" s="86"/>
      <c r="AU679" s="88"/>
      <c r="AV679" s="86"/>
      <c r="AW679" s="88"/>
      <c r="AX679" s="86"/>
      <c r="AY679" s="88"/>
      <c r="AZ679" s="86"/>
      <c r="BA679" s="88"/>
      <c r="BB679" s="86"/>
      <c r="BC679" s="88"/>
      <c r="BD679" s="86"/>
      <c r="BE679" s="88"/>
      <c r="BF679" s="86"/>
      <c r="BG679" s="88"/>
      <c r="BH679" s="86"/>
      <c r="BI679" s="88"/>
      <c r="BJ679" s="86"/>
      <c r="BK679" s="88"/>
      <c r="BL679" s="86"/>
      <c r="BM679" s="88"/>
      <c r="BN679" s="86"/>
      <c r="BO679" s="88"/>
      <c r="BP679" s="86"/>
      <c r="BQ679" s="88"/>
      <c r="BR679" s="86"/>
      <c r="BS679" s="87"/>
    </row>
    <row r="680" ht="22.5" customHeight="1">
      <c r="A680" s="154"/>
      <c r="B680" s="83"/>
      <c r="C680" s="151"/>
      <c r="D680" s="83"/>
      <c r="E680" s="151"/>
      <c r="F680" s="83"/>
      <c r="G680" s="85"/>
      <c r="H680" s="86"/>
      <c r="I680" s="87"/>
      <c r="J680" s="86"/>
      <c r="K680" s="88"/>
      <c r="L680" s="86"/>
      <c r="M680" s="88"/>
      <c r="N680" s="86"/>
      <c r="O680" s="88"/>
      <c r="P680" s="86"/>
      <c r="Q680" s="88"/>
      <c r="R680" s="86"/>
      <c r="S680" s="88"/>
      <c r="T680" s="86"/>
      <c r="U680" s="88"/>
      <c r="V680" s="86"/>
      <c r="W680" s="88"/>
      <c r="X680" s="86"/>
      <c r="Y680" s="88"/>
      <c r="Z680" s="86"/>
      <c r="AA680" s="88"/>
      <c r="AB680" s="86"/>
      <c r="AC680" s="88"/>
      <c r="AD680" s="86"/>
      <c r="AE680" s="88"/>
      <c r="AF680" s="86"/>
      <c r="AG680" s="88"/>
      <c r="AH680" s="86"/>
      <c r="AI680" s="88"/>
      <c r="AJ680" s="86"/>
      <c r="AK680" s="88"/>
      <c r="AL680" s="86"/>
      <c r="AM680" s="88"/>
      <c r="AN680" s="86"/>
      <c r="AO680" s="88"/>
      <c r="AP680" s="86"/>
      <c r="AQ680" s="88"/>
      <c r="AR680" s="86"/>
      <c r="AS680" s="88"/>
      <c r="AT680" s="86"/>
      <c r="AU680" s="88"/>
      <c r="AV680" s="86"/>
      <c r="AW680" s="88"/>
      <c r="AX680" s="86"/>
      <c r="AY680" s="88"/>
      <c r="AZ680" s="86"/>
      <c r="BA680" s="88"/>
      <c r="BB680" s="86"/>
      <c r="BC680" s="88"/>
      <c r="BD680" s="86"/>
      <c r="BE680" s="88"/>
      <c r="BF680" s="86"/>
      <c r="BG680" s="88"/>
      <c r="BH680" s="86"/>
      <c r="BI680" s="88"/>
      <c r="BJ680" s="86"/>
      <c r="BK680" s="88"/>
      <c r="BL680" s="86"/>
      <c r="BM680" s="88"/>
      <c r="BN680" s="86"/>
      <c r="BO680" s="88"/>
      <c r="BP680" s="86"/>
      <c r="BQ680" s="88"/>
      <c r="BR680" s="86"/>
      <c r="BS680" s="87"/>
    </row>
    <row r="681" ht="22.5" customHeight="1">
      <c r="A681" s="154"/>
      <c r="B681" s="83"/>
      <c r="C681" s="151"/>
      <c r="D681" s="83"/>
      <c r="E681" s="151"/>
      <c r="F681" s="83"/>
      <c r="G681" s="85"/>
      <c r="H681" s="86"/>
      <c r="I681" s="87"/>
      <c r="J681" s="86"/>
      <c r="K681" s="88"/>
      <c r="L681" s="86"/>
      <c r="M681" s="88"/>
      <c r="N681" s="86"/>
      <c r="O681" s="88"/>
      <c r="P681" s="86"/>
      <c r="Q681" s="88"/>
      <c r="R681" s="86"/>
      <c r="S681" s="88"/>
      <c r="T681" s="86"/>
      <c r="U681" s="88"/>
      <c r="V681" s="86"/>
      <c r="W681" s="88"/>
      <c r="X681" s="86"/>
      <c r="Y681" s="88"/>
      <c r="Z681" s="86"/>
      <c r="AA681" s="88"/>
      <c r="AB681" s="86"/>
      <c r="AC681" s="88"/>
      <c r="AD681" s="86"/>
      <c r="AE681" s="88"/>
      <c r="AF681" s="86"/>
      <c r="AG681" s="88"/>
      <c r="AH681" s="86"/>
      <c r="AI681" s="88"/>
      <c r="AJ681" s="86"/>
      <c r="AK681" s="88"/>
      <c r="AL681" s="86"/>
      <c r="AM681" s="88"/>
      <c r="AN681" s="86"/>
      <c r="AO681" s="88"/>
      <c r="AP681" s="86"/>
      <c r="AQ681" s="88"/>
      <c r="AR681" s="86"/>
      <c r="AS681" s="88"/>
      <c r="AT681" s="86"/>
      <c r="AU681" s="88"/>
      <c r="AV681" s="86"/>
      <c r="AW681" s="88"/>
      <c r="AX681" s="86"/>
      <c r="AY681" s="88"/>
      <c r="AZ681" s="86"/>
      <c r="BA681" s="88"/>
      <c r="BB681" s="86"/>
      <c r="BC681" s="88"/>
      <c r="BD681" s="86"/>
      <c r="BE681" s="88"/>
      <c r="BF681" s="86"/>
      <c r="BG681" s="88"/>
      <c r="BH681" s="86"/>
      <c r="BI681" s="88"/>
      <c r="BJ681" s="86"/>
      <c r="BK681" s="88"/>
      <c r="BL681" s="86"/>
      <c r="BM681" s="88"/>
      <c r="BN681" s="86"/>
      <c r="BO681" s="88"/>
      <c r="BP681" s="86"/>
      <c r="BQ681" s="88"/>
      <c r="BR681" s="86"/>
      <c r="BS681" s="87"/>
    </row>
    <row r="682" ht="22.5" customHeight="1">
      <c r="A682" s="154"/>
      <c r="B682" s="83"/>
      <c r="C682" s="151"/>
      <c r="D682" s="83"/>
      <c r="E682" s="151"/>
      <c r="F682" s="83"/>
      <c r="G682" s="85"/>
      <c r="H682" s="86"/>
      <c r="I682" s="87"/>
      <c r="J682" s="86"/>
      <c r="K682" s="88"/>
      <c r="L682" s="86"/>
      <c r="M682" s="88"/>
      <c r="N682" s="86"/>
      <c r="O682" s="88"/>
      <c r="P682" s="86"/>
      <c r="Q682" s="88"/>
      <c r="R682" s="86"/>
      <c r="S682" s="88"/>
      <c r="T682" s="86"/>
      <c r="U682" s="88"/>
      <c r="V682" s="86"/>
      <c r="W682" s="88"/>
      <c r="X682" s="86"/>
      <c r="Y682" s="88"/>
      <c r="Z682" s="86"/>
      <c r="AA682" s="88"/>
      <c r="AB682" s="86"/>
      <c r="AC682" s="88"/>
      <c r="AD682" s="86"/>
      <c r="AE682" s="88"/>
      <c r="AF682" s="86"/>
      <c r="AG682" s="88"/>
      <c r="AH682" s="86"/>
      <c r="AI682" s="88"/>
      <c r="AJ682" s="86"/>
      <c r="AK682" s="88"/>
      <c r="AL682" s="86"/>
      <c r="AM682" s="88"/>
      <c r="AN682" s="86"/>
      <c r="AO682" s="88"/>
      <c r="AP682" s="86"/>
      <c r="AQ682" s="88"/>
      <c r="AR682" s="86"/>
      <c r="AS682" s="88"/>
      <c r="AT682" s="86"/>
      <c r="AU682" s="88"/>
      <c r="AV682" s="86"/>
      <c r="AW682" s="88"/>
      <c r="AX682" s="86"/>
      <c r="AY682" s="88"/>
      <c r="AZ682" s="86"/>
      <c r="BA682" s="88"/>
      <c r="BB682" s="86"/>
      <c r="BC682" s="88"/>
      <c r="BD682" s="86"/>
      <c r="BE682" s="88"/>
      <c r="BF682" s="86"/>
      <c r="BG682" s="88"/>
      <c r="BH682" s="86"/>
      <c r="BI682" s="88"/>
      <c r="BJ682" s="86"/>
      <c r="BK682" s="88"/>
      <c r="BL682" s="86"/>
      <c r="BM682" s="88"/>
      <c r="BN682" s="86"/>
      <c r="BO682" s="88"/>
      <c r="BP682" s="86"/>
      <c r="BQ682" s="88"/>
      <c r="BR682" s="86"/>
      <c r="BS682" s="87"/>
    </row>
    <row r="683" ht="22.5" customHeight="1">
      <c r="A683" s="154"/>
      <c r="B683" s="83"/>
      <c r="C683" s="151"/>
      <c r="D683" s="83"/>
      <c r="E683" s="151"/>
      <c r="F683" s="83"/>
      <c r="G683" s="85"/>
      <c r="H683" s="86"/>
      <c r="I683" s="87"/>
      <c r="J683" s="86"/>
      <c r="K683" s="88"/>
      <c r="L683" s="86"/>
      <c r="M683" s="88"/>
      <c r="N683" s="86"/>
      <c r="O683" s="88"/>
      <c r="P683" s="86"/>
      <c r="Q683" s="88"/>
      <c r="R683" s="86"/>
      <c r="S683" s="88"/>
      <c r="T683" s="86"/>
      <c r="U683" s="88"/>
      <c r="V683" s="86"/>
      <c r="W683" s="88"/>
      <c r="X683" s="86"/>
      <c r="Y683" s="88"/>
      <c r="Z683" s="86"/>
      <c r="AA683" s="88"/>
      <c r="AB683" s="86"/>
      <c r="AC683" s="88"/>
      <c r="AD683" s="86"/>
      <c r="AE683" s="88"/>
      <c r="AF683" s="86"/>
      <c r="AG683" s="88"/>
      <c r="AH683" s="86"/>
      <c r="AI683" s="88"/>
      <c r="AJ683" s="86"/>
      <c r="AK683" s="88"/>
      <c r="AL683" s="86"/>
      <c r="AM683" s="88"/>
      <c r="AN683" s="86"/>
      <c r="AO683" s="88"/>
      <c r="AP683" s="86"/>
      <c r="AQ683" s="88"/>
      <c r="AR683" s="86"/>
      <c r="AS683" s="88"/>
      <c r="AT683" s="86"/>
      <c r="AU683" s="88"/>
      <c r="AV683" s="86"/>
      <c r="AW683" s="88"/>
      <c r="AX683" s="86"/>
      <c r="AY683" s="88"/>
      <c r="AZ683" s="86"/>
      <c r="BA683" s="88"/>
      <c r="BB683" s="86"/>
      <c r="BC683" s="88"/>
      <c r="BD683" s="86"/>
      <c r="BE683" s="88"/>
      <c r="BF683" s="86"/>
      <c r="BG683" s="88"/>
      <c r="BH683" s="86"/>
      <c r="BI683" s="88"/>
      <c r="BJ683" s="86"/>
      <c r="BK683" s="88"/>
      <c r="BL683" s="86"/>
      <c r="BM683" s="88"/>
      <c r="BN683" s="86"/>
      <c r="BO683" s="88"/>
      <c r="BP683" s="86"/>
      <c r="BQ683" s="88"/>
      <c r="BR683" s="86"/>
      <c r="BS683" s="87"/>
    </row>
    <row r="684" ht="22.5" customHeight="1">
      <c r="A684" s="154"/>
      <c r="B684" s="83"/>
      <c r="C684" s="151"/>
      <c r="D684" s="83"/>
      <c r="E684" s="151"/>
      <c r="F684" s="83"/>
      <c r="G684" s="85"/>
      <c r="H684" s="86"/>
      <c r="I684" s="87"/>
      <c r="J684" s="86"/>
      <c r="K684" s="88"/>
      <c r="L684" s="86"/>
      <c r="M684" s="88"/>
      <c r="N684" s="86"/>
      <c r="O684" s="88"/>
      <c r="P684" s="86"/>
      <c r="Q684" s="88"/>
      <c r="R684" s="86"/>
      <c r="S684" s="88"/>
      <c r="T684" s="86"/>
      <c r="U684" s="88"/>
      <c r="V684" s="86"/>
      <c r="W684" s="88"/>
      <c r="X684" s="86"/>
      <c r="Y684" s="88"/>
      <c r="Z684" s="86"/>
      <c r="AA684" s="88"/>
      <c r="AB684" s="86"/>
      <c r="AC684" s="88"/>
      <c r="AD684" s="86"/>
      <c r="AE684" s="88"/>
      <c r="AF684" s="86"/>
      <c r="AG684" s="88"/>
      <c r="AH684" s="86"/>
      <c r="AI684" s="88"/>
      <c r="AJ684" s="86"/>
      <c r="AK684" s="88"/>
      <c r="AL684" s="86"/>
      <c r="AM684" s="88"/>
      <c r="AN684" s="86"/>
      <c r="AO684" s="88"/>
      <c r="AP684" s="86"/>
      <c r="AQ684" s="88"/>
      <c r="AR684" s="86"/>
      <c r="AS684" s="88"/>
      <c r="AT684" s="86"/>
      <c r="AU684" s="88"/>
      <c r="AV684" s="86"/>
      <c r="AW684" s="88"/>
      <c r="AX684" s="86"/>
      <c r="AY684" s="88"/>
      <c r="AZ684" s="86"/>
      <c r="BA684" s="88"/>
      <c r="BB684" s="86"/>
      <c r="BC684" s="88"/>
      <c r="BD684" s="86"/>
      <c r="BE684" s="88"/>
      <c r="BF684" s="86"/>
      <c r="BG684" s="88"/>
      <c r="BH684" s="86"/>
      <c r="BI684" s="88"/>
      <c r="BJ684" s="86"/>
      <c r="BK684" s="88"/>
      <c r="BL684" s="86"/>
      <c r="BM684" s="88"/>
      <c r="BN684" s="86"/>
      <c r="BO684" s="88"/>
      <c r="BP684" s="86"/>
      <c r="BQ684" s="88"/>
      <c r="BR684" s="86"/>
      <c r="BS684" s="87"/>
    </row>
    <row r="685" ht="22.5" customHeight="1">
      <c r="A685" s="154"/>
      <c r="B685" s="83"/>
      <c r="C685" s="151"/>
      <c r="D685" s="83"/>
      <c r="E685" s="151"/>
      <c r="F685" s="83"/>
      <c r="G685" s="85"/>
      <c r="H685" s="86"/>
      <c r="I685" s="87"/>
      <c r="J685" s="86"/>
      <c r="K685" s="88"/>
      <c r="L685" s="86"/>
      <c r="M685" s="88"/>
      <c r="N685" s="86"/>
      <c r="O685" s="88"/>
      <c r="P685" s="86"/>
      <c r="Q685" s="88"/>
      <c r="R685" s="86"/>
      <c r="S685" s="88"/>
      <c r="T685" s="86"/>
      <c r="U685" s="88"/>
      <c r="V685" s="86"/>
      <c r="W685" s="88"/>
      <c r="X685" s="86"/>
      <c r="Y685" s="88"/>
      <c r="Z685" s="86"/>
      <c r="AA685" s="88"/>
      <c r="AB685" s="86"/>
      <c r="AC685" s="88"/>
      <c r="AD685" s="86"/>
      <c r="AE685" s="88"/>
      <c r="AF685" s="86"/>
      <c r="AG685" s="88"/>
      <c r="AH685" s="86"/>
      <c r="AI685" s="88"/>
      <c r="AJ685" s="86"/>
      <c r="AK685" s="88"/>
      <c r="AL685" s="86"/>
      <c r="AM685" s="88"/>
      <c r="AN685" s="86"/>
      <c r="AO685" s="88"/>
      <c r="AP685" s="86"/>
      <c r="AQ685" s="88"/>
      <c r="AR685" s="86"/>
      <c r="AS685" s="88"/>
      <c r="AT685" s="86"/>
      <c r="AU685" s="88"/>
      <c r="AV685" s="86"/>
      <c r="AW685" s="88"/>
      <c r="AX685" s="86"/>
      <c r="AY685" s="88"/>
      <c r="AZ685" s="86"/>
      <c r="BA685" s="88"/>
      <c r="BB685" s="86"/>
      <c r="BC685" s="88"/>
      <c r="BD685" s="86"/>
      <c r="BE685" s="88"/>
      <c r="BF685" s="86"/>
      <c r="BG685" s="88"/>
      <c r="BH685" s="86"/>
      <c r="BI685" s="88"/>
      <c r="BJ685" s="86"/>
      <c r="BK685" s="88"/>
      <c r="BL685" s="86"/>
      <c r="BM685" s="88"/>
      <c r="BN685" s="86"/>
      <c r="BO685" s="88"/>
      <c r="BP685" s="86"/>
      <c r="BQ685" s="88"/>
      <c r="BR685" s="86"/>
      <c r="BS685" s="87"/>
    </row>
    <row r="686" ht="22.5" customHeight="1">
      <c r="A686" s="154"/>
      <c r="B686" s="83"/>
      <c r="C686" s="151"/>
      <c r="D686" s="83"/>
      <c r="E686" s="151"/>
      <c r="F686" s="83"/>
      <c r="G686" s="85"/>
      <c r="H686" s="86"/>
      <c r="I686" s="87"/>
      <c r="J686" s="86"/>
      <c r="K686" s="88"/>
      <c r="L686" s="86"/>
      <c r="M686" s="88"/>
      <c r="N686" s="86"/>
      <c r="O686" s="88"/>
      <c r="P686" s="86"/>
      <c r="Q686" s="88"/>
      <c r="R686" s="86"/>
      <c r="S686" s="88"/>
      <c r="T686" s="86"/>
      <c r="U686" s="88"/>
      <c r="V686" s="86"/>
      <c r="W686" s="88"/>
      <c r="X686" s="86"/>
      <c r="Y686" s="88"/>
      <c r="Z686" s="86"/>
      <c r="AA686" s="88"/>
      <c r="AB686" s="86"/>
      <c r="AC686" s="88"/>
      <c r="AD686" s="86"/>
      <c r="AE686" s="88"/>
      <c r="AF686" s="86"/>
      <c r="AG686" s="88"/>
      <c r="AH686" s="86"/>
      <c r="AI686" s="88"/>
      <c r="AJ686" s="86"/>
      <c r="AK686" s="88"/>
      <c r="AL686" s="86"/>
      <c r="AM686" s="88"/>
      <c r="AN686" s="86"/>
      <c r="AO686" s="88"/>
      <c r="AP686" s="86"/>
      <c r="AQ686" s="88"/>
      <c r="AR686" s="86"/>
      <c r="AS686" s="88"/>
      <c r="AT686" s="86"/>
      <c r="AU686" s="88"/>
      <c r="AV686" s="86"/>
      <c r="AW686" s="88"/>
      <c r="AX686" s="86"/>
      <c r="AY686" s="88"/>
      <c r="AZ686" s="86"/>
      <c r="BA686" s="88"/>
      <c r="BB686" s="86"/>
      <c r="BC686" s="88"/>
      <c r="BD686" s="86"/>
      <c r="BE686" s="88"/>
      <c r="BF686" s="86"/>
      <c r="BG686" s="88"/>
      <c r="BH686" s="86"/>
      <c r="BI686" s="88"/>
      <c r="BJ686" s="86"/>
      <c r="BK686" s="88"/>
      <c r="BL686" s="86"/>
      <c r="BM686" s="88"/>
      <c r="BN686" s="86"/>
      <c r="BO686" s="88"/>
      <c r="BP686" s="86"/>
      <c r="BQ686" s="88"/>
      <c r="BR686" s="86"/>
      <c r="BS686" s="87"/>
    </row>
    <row r="687" ht="22.5" customHeight="1">
      <c r="A687" s="154"/>
      <c r="B687" s="83"/>
      <c r="C687" s="151"/>
      <c r="D687" s="83"/>
      <c r="E687" s="151"/>
      <c r="F687" s="83"/>
      <c r="G687" s="85"/>
      <c r="H687" s="86"/>
      <c r="I687" s="87"/>
      <c r="J687" s="86"/>
      <c r="K687" s="88"/>
      <c r="L687" s="86"/>
      <c r="M687" s="88"/>
      <c r="N687" s="86"/>
      <c r="O687" s="88"/>
      <c r="P687" s="86"/>
      <c r="Q687" s="88"/>
      <c r="R687" s="86"/>
      <c r="S687" s="88"/>
      <c r="T687" s="86"/>
      <c r="U687" s="88"/>
      <c r="V687" s="86"/>
      <c r="W687" s="88"/>
      <c r="X687" s="86"/>
      <c r="Y687" s="88"/>
      <c r="Z687" s="86"/>
      <c r="AA687" s="88"/>
      <c r="AB687" s="86"/>
      <c r="AC687" s="88"/>
      <c r="AD687" s="86"/>
      <c r="AE687" s="88"/>
      <c r="AF687" s="86"/>
      <c r="AG687" s="88"/>
      <c r="AH687" s="86"/>
      <c r="AI687" s="88"/>
      <c r="AJ687" s="86"/>
      <c r="AK687" s="88"/>
      <c r="AL687" s="86"/>
      <c r="AM687" s="88"/>
      <c r="AN687" s="86"/>
      <c r="AO687" s="88"/>
      <c r="AP687" s="86"/>
      <c r="AQ687" s="88"/>
      <c r="AR687" s="86"/>
      <c r="AS687" s="88"/>
      <c r="AT687" s="86"/>
      <c r="AU687" s="88"/>
      <c r="AV687" s="86"/>
      <c r="AW687" s="88"/>
      <c r="AX687" s="86"/>
      <c r="AY687" s="88"/>
      <c r="AZ687" s="86"/>
      <c r="BA687" s="88"/>
      <c r="BB687" s="86"/>
      <c r="BC687" s="88"/>
      <c r="BD687" s="86"/>
      <c r="BE687" s="88"/>
      <c r="BF687" s="86"/>
      <c r="BG687" s="88"/>
      <c r="BH687" s="86"/>
      <c r="BI687" s="88"/>
      <c r="BJ687" s="86"/>
      <c r="BK687" s="88"/>
      <c r="BL687" s="86"/>
      <c r="BM687" s="88"/>
      <c r="BN687" s="86"/>
      <c r="BO687" s="88"/>
      <c r="BP687" s="86"/>
      <c r="BQ687" s="88"/>
      <c r="BR687" s="86"/>
      <c r="BS687" s="87"/>
    </row>
    <row r="688" ht="22.5" customHeight="1">
      <c r="A688" s="154"/>
      <c r="B688" s="83"/>
      <c r="C688" s="151"/>
      <c r="D688" s="83"/>
      <c r="E688" s="151"/>
      <c r="F688" s="83"/>
      <c r="G688" s="85"/>
      <c r="H688" s="86"/>
      <c r="I688" s="87"/>
      <c r="J688" s="86"/>
      <c r="K688" s="88"/>
      <c r="L688" s="86"/>
      <c r="M688" s="88"/>
      <c r="N688" s="86"/>
      <c r="O688" s="88"/>
      <c r="P688" s="86"/>
      <c r="Q688" s="88"/>
      <c r="R688" s="86"/>
      <c r="S688" s="88"/>
      <c r="T688" s="86"/>
      <c r="U688" s="88"/>
      <c r="V688" s="86"/>
      <c r="W688" s="88"/>
      <c r="X688" s="86"/>
      <c r="Y688" s="88"/>
      <c r="Z688" s="86"/>
      <c r="AA688" s="88"/>
      <c r="AB688" s="86"/>
      <c r="AC688" s="88"/>
      <c r="AD688" s="86"/>
      <c r="AE688" s="88"/>
      <c r="AF688" s="86"/>
      <c r="AG688" s="88"/>
      <c r="AH688" s="86"/>
      <c r="AI688" s="88"/>
      <c r="AJ688" s="86"/>
      <c r="AK688" s="88"/>
      <c r="AL688" s="86"/>
      <c r="AM688" s="88"/>
      <c r="AN688" s="86"/>
      <c r="AO688" s="88"/>
      <c r="AP688" s="86"/>
      <c r="AQ688" s="88"/>
      <c r="AR688" s="86"/>
      <c r="AS688" s="88"/>
      <c r="AT688" s="86"/>
      <c r="AU688" s="88"/>
      <c r="AV688" s="86"/>
      <c r="AW688" s="88"/>
      <c r="AX688" s="86"/>
      <c r="AY688" s="88"/>
      <c r="AZ688" s="86"/>
      <c r="BA688" s="88"/>
      <c r="BB688" s="86"/>
      <c r="BC688" s="88"/>
      <c r="BD688" s="86"/>
      <c r="BE688" s="88"/>
      <c r="BF688" s="86"/>
      <c r="BG688" s="88"/>
      <c r="BH688" s="86"/>
      <c r="BI688" s="88"/>
      <c r="BJ688" s="86"/>
      <c r="BK688" s="88"/>
      <c r="BL688" s="86"/>
      <c r="BM688" s="88"/>
      <c r="BN688" s="86"/>
      <c r="BO688" s="88"/>
      <c r="BP688" s="86"/>
      <c r="BQ688" s="88"/>
      <c r="BR688" s="86"/>
      <c r="BS688" s="87"/>
    </row>
    <row r="689" ht="22.5" customHeight="1">
      <c r="A689" s="154"/>
      <c r="B689" s="83"/>
      <c r="C689" s="151"/>
      <c r="D689" s="83"/>
      <c r="E689" s="151"/>
      <c r="F689" s="83"/>
      <c r="G689" s="85"/>
      <c r="H689" s="86"/>
      <c r="I689" s="87"/>
      <c r="J689" s="86"/>
      <c r="K689" s="88"/>
      <c r="L689" s="86"/>
      <c r="M689" s="88"/>
      <c r="N689" s="86"/>
      <c r="O689" s="88"/>
      <c r="P689" s="86"/>
      <c r="Q689" s="88"/>
      <c r="R689" s="86"/>
      <c r="S689" s="88"/>
      <c r="T689" s="86"/>
      <c r="U689" s="88"/>
      <c r="V689" s="86"/>
      <c r="W689" s="88"/>
      <c r="X689" s="86"/>
      <c r="Y689" s="88"/>
      <c r="Z689" s="86"/>
      <c r="AA689" s="88"/>
      <c r="AB689" s="86"/>
      <c r="AC689" s="88"/>
      <c r="AD689" s="86"/>
      <c r="AE689" s="88"/>
      <c r="AF689" s="86"/>
      <c r="AG689" s="88"/>
      <c r="AH689" s="86"/>
      <c r="AI689" s="88"/>
      <c r="AJ689" s="86"/>
      <c r="AK689" s="88"/>
      <c r="AL689" s="86"/>
      <c r="AM689" s="88"/>
      <c r="AN689" s="86"/>
      <c r="AO689" s="88"/>
      <c r="AP689" s="86"/>
      <c r="AQ689" s="88"/>
      <c r="AR689" s="86"/>
      <c r="AS689" s="88"/>
      <c r="AT689" s="86"/>
      <c r="AU689" s="88"/>
      <c r="AV689" s="86"/>
      <c r="AW689" s="88"/>
      <c r="AX689" s="86"/>
      <c r="AY689" s="88"/>
      <c r="AZ689" s="86"/>
      <c r="BA689" s="88"/>
      <c r="BB689" s="86"/>
      <c r="BC689" s="88"/>
      <c r="BD689" s="86"/>
      <c r="BE689" s="88"/>
      <c r="BF689" s="86"/>
      <c r="BG689" s="88"/>
      <c r="BH689" s="86"/>
      <c r="BI689" s="88"/>
      <c r="BJ689" s="86"/>
      <c r="BK689" s="88"/>
      <c r="BL689" s="86"/>
      <c r="BM689" s="88"/>
      <c r="BN689" s="86"/>
      <c r="BO689" s="88"/>
      <c r="BP689" s="86"/>
      <c r="BQ689" s="88"/>
      <c r="BR689" s="86"/>
      <c r="BS689" s="87"/>
    </row>
    <row r="690" ht="22.5" customHeight="1">
      <c r="A690" s="154"/>
      <c r="B690" s="83"/>
      <c r="C690" s="151"/>
      <c r="D690" s="83"/>
      <c r="E690" s="151"/>
      <c r="F690" s="83"/>
      <c r="G690" s="85"/>
      <c r="H690" s="86"/>
      <c r="I690" s="87"/>
      <c r="J690" s="86"/>
      <c r="K690" s="88"/>
      <c r="L690" s="86"/>
      <c r="M690" s="88"/>
      <c r="N690" s="86"/>
      <c r="O690" s="88"/>
      <c r="P690" s="86"/>
      <c r="Q690" s="88"/>
      <c r="R690" s="86"/>
      <c r="S690" s="88"/>
      <c r="T690" s="86"/>
      <c r="U690" s="88"/>
      <c r="V690" s="86"/>
      <c r="W690" s="88"/>
      <c r="X690" s="86"/>
      <c r="Y690" s="88"/>
      <c r="Z690" s="86"/>
      <c r="AA690" s="88"/>
      <c r="AB690" s="86"/>
      <c r="AC690" s="88"/>
      <c r="AD690" s="86"/>
      <c r="AE690" s="88"/>
      <c r="AF690" s="86"/>
      <c r="AG690" s="88"/>
      <c r="AH690" s="86"/>
      <c r="AI690" s="88"/>
      <c r="AJ690" s="86"/>
      <c r="AK690" s="88"/>
      <c r="AL690" s="86"/>
      <c r="AM690" s="88"/>
      <c r="AN690" s="86"/>
      <c r="AO690" s="88"/>
      <c r="AP690" s="86"/>
      <c r="AQ690" s="88"/>
      <c r="AR690" s="86"/>
      <c r="AS690" s="88"/>
      <c r="AT690" s="86"/>
      <c r="AU690" s="88"/>
      <c r="AV690" s="86"/>
      <c r="AW690" s="88"/>
      <c r="AX690" s="86"/>
      <c r="AY690" s="88"/>
      <c r="AZ690" s="86"/>
      <c r="BA690" s="88"/>
      <c r="BB690" s="86"/>
      <c r="BC690" s="88"/>
      <c r="BD690" s="86"/>
      <c r="BE690" s="88"/>
      <c r="BF690" s="86"/>
      <c r="BG690" s="88"/>
      <c r="BH690" s="86"/>
      <c r="BI690" s="88"/>
      <c r="BJ690" s="86"/>
      <c r="BK690" s="88"/>
      <c r="BL690" s="86"/>
      <c r="BM690" s="88"/>
      <c r="BN690" s="86"/>
      <c r="BO690" s="88"/>
      <c r="BP690" s="86"/>
      <c r="BQ690" s="88"/>
      <c r="BR690" s="86"/>
      <c r="BS690" s="87"/>
    </row>
    <row r="691" ht="22.5" customHeight="1">
      <c r="A691" s="154"/>
      <c r="B691" s="83"/>
      <c r="C691" s="151"/>
      <c r="D691" s="83"/>
      <c r="E691" s="151"/>
      <c r="F691" s="83"/>
      <c r="G691" s="85"/>
      <c r="H691" s="86"/>
      <c r="I691" s="87"/>
      <c r="J691" s="86"/>
      <c r="K691" s="88"/>
      <c r="L691" s="86"/>
      <c r="M691" s="88"/>
      <c r="N691" s="86"/>
      <c r="O691" s="88"/>
      <c r="P691" s="86"/>
      <c r="Q691" s="88"/>
      <c r="R691" s="86"/>
      <c r="S691" s="88"/>
      <c r="T691" s="86"/>
      <c r="U691" s="88"/>
      <c r="V691" s="86"/>
      <c r="W691" s="88"/>
      <c r="X691" s="86"/>
      <c r="Y691" s="88"/>
      <c r="Z691" s="86"/>
      <c r="AA691" s="88"/>
      <c r="AB691" s="86"/>
      <c r="AC691" s="88"/>
      <c r="AD691" s="86"/>
      <c r="AE691" s="88"/>
      <c r="AF691" s="86"/>
      <c r="AG691" s="88"/>
      <c r="AH691" s="86"/>
      <c r="AI691" s="88"/>
      <c r="AJ691" s="86"/>
      <c r="AK691" s="88"/>
      <c r="AL691" s="86"/>
      <c r="AM691" s="88"/>
      <c r="AN691" s="86"/>
      <c r="AO691" s="88"/>
      <c r="AP691" s="86"/>
      <c r="AQ691" s="88"/>
      <c r="AR691" s="86"/>
      <c r="AS691" s="88"/>
      <c r="AT691" s="86"/>
      <c r="AU691" s="88"/>
      <c r="AV691" s="86"/>
      <c r="AW691" s="88"/>
      <c r="AX691" s="86"/>
      <c r="AY691" s="88"/>
      <c r="AZ691" s="86"/>
      <c r="BA691" s="88"/>
      <c r="BB691" s="86"/>
      <c r="BC691" s="88"/>
      <c r="BD691" s="86"/>
      <c r="BE691" s="88"/>
      <c r="BF691" s="86"/>
      <c r="BG691" s="88"/>
      <c r="BH691" s="86"/>
      <c r="BI691" s="88"/>
      <c r="BJ691" s="86"/>
      <c r="BK691" s="88"/>
      <c r="BL691" s="86"/>
      <c r="BM691" s="88"/>
      <c r="BN691" s="86"/>
      <c r="BO691" s="88"/>
      <c r="BP691" s="86"/>
      <c r="BQ691" s="88"/>
      <c r="BR691" s="86"/>
      <c r="BS691" s="87"/>
    </row>
    <row r="692" ht="22.5" customHeight="1">
      <c r="A692" s="154"/>
      <c r="B692" s="83"/>
      <c r="C692" s="151"/>
      <c r="D692" s="83"/>
      <c r="E692" s="151"/>
      <c r="F692" s="83"/>
      <c r="G692" s="85"/>
      <c r="H692" s="86"/>
      <c r="I692" s="87"/>
      <c r="J692" s="86"/>
      <c r="K692" s="88"/>
      <c r="L692" s="86"/>
      <c r="M692" s="88"/>
      <c r="N692" s="86"/>
      <c r="O692" s="88"/>
      <c r="P692" s="86"/>
      <c r="Q692" s="88"/>
      <c r="R692" s="86"/>
      <c r="S692" s="88"/>
      <c r="T692" s="86"/>
      <c r="U692" s="88"/>
      <c r="V692" s="86"/>
      <c r="W692" s="88"/>
      <c r="X692" s="86"/>
      <c r="Y692" s="88"/>
      <c r="Z692" s="86"/>
      <c r="AA692" s="88"/>
      <c r="AB692" s="86"/>
      <c r="AC692" s="88"/>
      <c r="AD692" s="86"/>
      <c r="AE692" s="88"/>
      <c r="AF692" s="86"/>
      <c r="AG692" s="88"/>
      <c r="AH692" s="86"/>
      <c r="AI692" s="88"/>
      <c r="AJ692" s="86"/>
      <c r="AK692" s="88"/>
      <c r="AL692" s="86"/>
      <c r="AM692" s="88"/>
      <c r="AN692" s="86"/>
      <c r="AO692" s="88"/>
      <c r="AP692" s="86"/>
      <c r="AQ692" s="88"/>
      <c r="AR692" s="86"/>
      <c r="AS692" s="88"/>
      <c r="AT692" s="86"/>
      <c r="AU692" s="88"/>
      <c r="AV692" s="86"/>
      <c r="AW692" s="88"/>
      <c r="AX692" s="86"/>
      <c r="AY692" s="88"/>
      <c r="AZ692" s="86"/>
      <c r="BA692" s="88"/>
      <c r="BB692" s="86"/>
      <c r="BC692" s="88"/>
      <c r="BD692" s="86"/>
      <c r="BE692" s="88"/>
      <c r="BF692" s="86"/>
      <c r="BG692" s="88"/>
      <c r="BH692" s="86"/>
      <c r="BI692" s="88"/>
      <c r="BJ692" s="86"/>
      <c r="BK692" s="88"/>
      <c r="BL692" s="86"/>
      <c r="BM692" s="88"/>
      <c r="BN692" s="86"/>
      <c r="BO692" s="88"/>
      <c r="BP692" s="86"/>
      <c r="BQ692" s="88"/>
      <c r="BR692" s="86"/>
      <c r="BS692" s="87"/>
    </row>
    <row r="693" ht="22.5" customHeight="1">
      <c r="A693" s="154"/>
      <c r="B693" s="83"/>
      <c r="C693" s="151"/>
      <c r="D693" s="83"/>
      <c r="E693" s="151"/>
      <c r="F693" s="83"/>
      <c r="G693" s="85"/>
      <c r="H693" s="86"/>
      <c r="I693" s="87"/>
      <c r="J693" s="86"/>
      <c r="K693" s="88"/>
      <c r="L693" s="86"/>
      <c r="M693" s="88"/>
      <c r="N693" s="86"/>
      <c r="O693" s="88"/>
      <c r="P693" s="86"/>
      <c r="Q693" s="88"/>
      <c r="R693" s="86"/>
      <c r="S693" s="88"/>
      <c r="T693" s="86"/>
      <c r="U693" s="88"/>
      <c r="V693" s="86"/>
      <c r="W693" s="88"/>
      <c r="X693" s="86"/>
      <c r="Y693" s="88"/>
      <c r="Z693" s="86"/>
      <c r="AA693" s="88"/>
      <c r="AB693" s="86"/>
      <c r="AC693" s="88"/>
      <c r="AD693" s="86"/>
      <c r="AE693" s="88"/>
      <c r="AF693" s="86"/>
      <c r="AG693" s="88"/>
      <c r="AH693" s="86"/>
      <c r="AI693" s="88"/>
      <c r="AJ693" s="86"/>
      <c r="AK693" s="88"/>
      <c r="AL693" s="86"/>
      <c r="AM693" s="88"/>
      <c r="AN693" s="86"/>
      <c r="AO693" s="88"/>
      <c r="AP693" s="86"/>
      <c r="AQ693" s="88"/>
      <c r="AR693" s="86"/>
      <c r="AS693" s="88"/>
      <c r="AT693" s="86"/>
      <c r="AU693" s="88"/>
      <c r="AV693" s="86"/>
      <c r="AW693" s="88"/>
      <c r="AX693" s="86"/>
      <c r="AY693" s="88"/>
      <c r="AZ693" s="86"/>
      <c r="BA693" s="88"/>
      <c r="BB693" s="86"/>
      <c r="BC693" s="88"/>
      <c r="BD693" s="86"/>
      <c r="BE693" s="88"/>
      <c r="BF693" s="86"/>
      <c r="BG693" s="88"/>
      <c r="BH693" s="86"/>
      <c r="BI693" s="88"/>
      <c r="BJ693" s="86"/>
      <c r="BK693" s="88"/>
      <c r="BL693" s="86"/>
      <c r="BM693" s="88"/>
      <c r="BN693" s="86"/>
      <c r="BO693" s="88"/>
      <c r="BP693" s="86"/>
      <c r="BQ693" s="88"/>
      <c r="BR693" s="86"/>
      <c r="BS693" s="87"/>
    </row>
    <row r="694" ht="22.5" customHeight="1">
      <c r="A694" s="154"/>
      <c r="B694" s="83"/>
      <c r="C694" s="151"/>
      <c r="D694" s="83"/>
      <c r="E694" s="151"/>
      <c r="F694" s="83"/>
      <c r="G694" s="85"/>
      <c r="H694" s="86"/>
      <c r="I694" s="87"/>
      <c r="J694" s="86"/>
      <c r="K694" s="88"/>
      <c r="L694" s="86"/>
      <c r="M694" s="88"/>
      <c r="N694" s="86"/>
      <c r="O694" s="88"/>
      <c r="P694" s="86"/>
      <c r="Q694" s="88"/>
      <c r="R694" s="86"/>
      <c r="S694" s="88"/>
      <c r="T694" s="86"/>
      <c r="U694" s="88"/>
      <c r="V694" s="86"/>
      <c r="W694" s="88"/>
      <c r="X694" s="86"/>
      <c r="Y694" s="88"/>
      <c r="Z694" s="86"/>
      <c r="AA694" s="88"/>
      <c r="AB694" s="86"/>
      <c r="AC694" s="88"/>
      <c r="AD694" s="86"/>
      <c r="AE694" s="88"/>
      <c r="AF694" s="86"/>
      <c r="AG694" s="88"/>
      <c r="AH694" s="86"/>
      <c r="AI694" s="88"/>
      <c r="AJ694" s="86"/>
      <c r="AK694" s="88"/>
      <c r="AL694" s="86"/>
      <c r="AM694" s="88"/>
      <c r="AN694" s="86"/>
      <c r="AO694" s="88"/>
      <c r="AP694" s="86"/>
      <c r="AQ694" s="88"/>
      <c r="AR694" s="86"/>
      <c r="AS694" s="88"/>
      <c r="AT694" s="86"/>
      <c r="AU694" s="88"/>
      <c r="AV694" s="86"/>
      <c r="AW694" s="88"/>
      <c r="AX694" s="86"/>
      <c r="AY694" s="88"/>
      <c r="AZ694" s="86"/>
      <c r="BA694" s="88"/>
      <c r="BB694" s="86"/>
      <c r="BC694" s="88"/>
      <c r="BD694" s="86"/>
      <c r="BE694" s="88"/>
      <c r="BF694" s="86"/>
      <c r="BG694" s="88"/>
      <c r="BH694" s="86"/>
      <c r="BI694" s="88"/>
      <c r="BJ694" s="86"/>
      <c r="BK694" s="88"/>
      <c r="BL694" s="86"/>
      <c r="BM694" s="88"/>
      <c r="BN694" s="86"/>
      <c r="BO694" s="88"/>
      <c r="BP694" s="86"/>
      <c r="BQ694" s="88"/>
      <c r="BR694" s="86"/>
      <c r="BS694" s="87"/>
    </row>
    <row r="695" ht="22.5" customHeight="1">
      <c r="A695" s="154"/>
      <c r="B695" s="83"/>
      <c r="C695" s="151"/>
      <c r="D695" s="83"/>
      <c r="E695" s="151"/>
      <c r="F695" s="83"/>
      <c r="G695" s="85"/>
      <c r="H695" s="86"/>
      <c r="I695" s="87"/>
      <c r="J695" s="86"/>
      <c r="K695" s="88"/>
      <c r="L695" s="86"/>
      <c r="M695" s="88"/>
      <c r="N695" s="86"/>
      <c r="O695" s="88"/>
      <c r="P695" s="86"/>
      <c r="Q695" s="88"/>
      <c r="R695" s="86"/>
      <c r="S695" s="88"/>
      <c r="T695" s="86"/>
      <c r="U695" s="88"/>
      <c r="V695" s="86"/>
      <c r="W695" s="88"/>
      <c r="X695" s="86"/>
      <c r="Y695" s="88"/>
      <c r="Z695" s="86"/>
      <c r="AA695" s="88"/>
      <c r="AB695" s="86"/>
      <c r="AC695" s="88"/>
      <c r="AD695" s="86"/>
      <c r="AE695" s="88"/>
      <c r="AF695" s="86"/>
      <c r="AG695" s="88"/>
      <c r="AH695" s="86"/>
      <c r="AI695" s="88"/>
      <c r="AJ695" s="86"/>
      <c r="AK695" s="88"/>
      <c r="AL695" s="86"/>
      <c r="AM695" s="88"/>
      <c r="AN695" s="86"/>
      <c r="AO695" s="88"/>
      <c r="AP695" s="86"/>
      <c r="AQ695" s="88"/>
      <c r="AR695" s="86"/>
      <c r="AS695" s="88"/>
      <c r="AT695" s="86"/>
      <c r="AU695" s="88"/>
      <c r="AV695" s="86"/>
      <c r="AW695" s="88"/>
      <c r="AX695" s="86"/>
      <c r="AY695" s="88"/>
      <c r="AZ695" s="86"/>
      <c r="BA695" s="88"/>
      <c r="BB695" s="86"/>
      <c r="BC695" s="88"/>
      <c r="BD695" s="86"/>
      <c r="BE695" s="88"/>
      <c r="BF695" s="86"/>
      <c r="BG695" s="88"/>
      <c r="BH695" s="86"/>
      <c r="BI695" s="88"/>
      <c r="BJ695" s="86"/>
      <c r="BK695" s="88"/>
      <c r="BL695" s="86"/>
      <c r="BM695" s="88"/>
      <c r="BN695" s="86"/>
      <c r="BO695" s="88"/>
      <c r="BP695" s="86"/>
      <c r="BQ695" s="88"/>
      <c r="BR695" s="86"/>
      <c r="BS695" s="87"/>
    </row>
    <row r="696" ht="22.5" customHeight="1">
      <c r="A696" s="154"/>
      <c r="B696" s="83"/>
      <c r="C696" s="151"/>
      <c r="D696" s="83"/>
      <c r="E696" s="151"/>
      <c r="F696" s="83"/>
      <c r="G696" s="85"/>
      <c r="H696" s="86"/>
      <c r="I696" s="87"/>
      <c r="J696" s="86"/>
      <c r="K696" s="88"/>
      <c r="L696" s="86"/>
      <c r="M696" s="88"/>
      <c r="N696" s="86"/>
      <c r="O696" s="88"/>
      <c r="P696" s="86"/>
      <c r="Q696" s="88"/>
      <c r="R696" s="86"/>
      <c r="S696" s="88"/>
      <c r="T696" s="86"/>
      <c r="U696" s="88"/>
      <c r="V696" s="86"/>
      <c r="W696" s="88"/>
      <c r="X696" s="86"/>
      <c r="Y696" s="88"/>
      <c r="Z696" s="86"/>
      <c r="AA696" s="88"/>
      <c r="AB696" s="86"/>
      <c r="AC696" s="88"/>
      <c r="AD696" s="86"/>
      <c r="AE696" s="88"/>
      <c r="AF696" s="86"/>
      <c r="AG696" s="88"/>
      <c r="AH696" s="86"/>
      <c r="AI696" s="88"/>
      <c r="AJ696" s="86"/>
      <c r="AK696" s="88"/>
      <c r="AL696" s="86"/>
      <c r="AM696" s="88"/>
      <c r="AN696" s="86"/>
      <c r="AO696" s="88"/>
      <c r="AP696" s="86"/>
      <c r="AQ696" s="88"/>
      <c r="AR696" s="86"/>
      <c r="AS696" s="88"/>
      <c r="AT696" s="86"/>
      <c r="AU696" s="88"/>
      <c r="AV696" s="86"/>
      <c r="AW696" s="88"/>
      <c r="AX696" s="86"/>
      <c r="AY696" s="88"/>
      <c r="AZ696" s="86"/>
      <c r="BA696" s="88"/>
      <c r="BB696" s="86"/>
      <c r="BC696" s="88"/>
      <c r="BD696" s="86"/>
      <c r="BE696" s="88"/>
      <c r="BF696" s="86"/>
      <c r="BG696" s="88"/>
      <c r="BH696" s="86"/>
      <c r="BI696" s="88"/>
      <c r="BJ696" s="86"/>
      <c r="BK696" s="88"/>
      <c r="BL696" s="86"/>
      <c r="BM696" s="88"/>
      <c r="BN696" s="86"/>
      <c r="BO696" s="88"/>
      <c r="BP696" s="86"/>
      <c r="BQ696" s="88"/>
      <c r="BR696" s="86"/>
      <c r="BS696" s="87"/>
    </row>
    <row r="697" ht="22.5" customHeight="1">
      <c r="A697" s="154"/>
      <c r="B697" s="83"/>
      <c r="C697" s="151"/>
      <c r="D697" s="83"/>
      <c r="E697" s="151"/>
      <c r="F697" s="83"/>
      <c r="G697" s="85"/>
      <c r="H697" s="86"/>
      <c r="I697" s="87"/>
      <c r="J697" s="86"/>
      <c r="K697" s="88"/>
      <c r="L697" s="86"/>
      <c r="M697" s="88"/>
      <c r="N697" s="86"/>
      <c r="O697" s="88"/>
      <c r="P697" s="86"/>
      <c r="Q697" s="88"/>
      <c r="R697" s="86"/>
      <c r="S697" s="88"/>
      <c r="T697" s="86"/>
      <c r="U697" s="88"/>
      <c r="V697" s="86"/>
      <c r="W697" s="88"/>
      <c r="X697" s="86"/>
      <c r="Y697" s="88"/>
      <c r="Z697" s="86"/>
      <c r="AA697" s="88"/>
      <c r="AB697" s="86"/>
      <c r="AC697" s="88"/>
      <c r="AD697" s="86"/>
      <c r="AE697" s="88"/>
      <c r="AF697" s="86"/>
      <c r="AG697" s="88"/>
      <c r="AH697" s="86"/>
      <c r="AI697" s="88"/>
      <c r="AJ697" s="86"/>
      <c r="AK697" s="88"/>
      <c r="AL697" s="86"/>
      <c r="AM697" s="88"/>
      <c r="AN697" s="86"/>
      <c r="AO697" s="88"/>
      <c r="AP697" s="86"/>
      <c r="AQ697" s="88"/>
      <c r="AR697" s="86"/>
      <c r="AS697" s="88"/>
      <c r="AT697" s="86"/>
      <c r="AU697" s="88"/>
      <c r="AV697" s="86"/>
      <c r="AW697" s="88"/>
      <c r="AX697" s="86"/>
      <c r="AY697" s="88"/>
      <c r="AZ697" s="86"/>
      <c r="BA697" s="88"/>
      <c r="BB697" s="86"/>
      <c r="BC697" s="88"/>
      <c r="BD697" s="86"/>
      <c r="BE697" s="88"/>
      <c r="BF697" s="86"/>
      <c r="BG697" s="88"/>
      <c r="BH697" s="86"/>
      <c r="BI697" s="88"/>
      <c r="BJ697" s="86"/>
      <c r="BK697" s="88"/>
      <c r="BL697" s="86"/>
      <c r="BM697" s="88"/>
      <c r="BN697" s="86"/>
      <c r="BO697" s="88"/>
      <c r="BP697" s="86"/>
      <c r="BQ697" s="88"/>
      <c r="BR697" s="86"/>
      <c r="BS697" s="87"/>
    </row>
    <row r="698" ht="22.5" customHeight="1">
      <c r="A698" s="154"/>
      <c r="B698" s="83"/>
      <c r="C698" s="151"/>
      <c r="D698" s="83"/>
      <c r="E698" s="151"/>
      <c r="F698" s="83"/>
      <c r="G698" s="85"/>
      <c r="H698" s="86"/>
      <c r="I698" s="87"/>
      <c r="J698" s="86"/>
      <c r="K698" s="88"/>
      <c r="L698" s="86"/>
      <c r="M698" s="88"/>
      <c r="N698" s="86"/>
      <c r="O698" s="88"/>
      <c r="P698" s="86"/>
      <c r="Q698" s="88"/>
      <c r="R698" s="86"/>
      <c r="S698" s="88"/>
      <c r="T698" s="86"/>
      <c r="U698" s="88"/>
      <c r="V698" s="86"/>
      <c r="W698" s="88"/>
      <c r="X698" s="86"/>
      <c r="Y698" s="88"/>
      <c r="Z698" s="86"/>
      <c r="AA698" s="88"/>
      <c r="AB698" s="86"/>
      <c r="AC698" s="88"/>
      <c r="AD698" s="86"/>
      <c r="AE698" s="88"/>
      <c r="AF698" s="86"/>
      <c r="AG698" s="88"/>
      <c r="AH698" s="86"/>
      <c r="AI698" s="88"/>
      <c r="AJ698" s="86"/>
      <c r="AK698" s="88"/>
      <c r="AL698" s="86"/>
      <c r="AM698" s="88"/>
      <c r="AN698" s="86"/>
      <c r="AO698" s="88"/>
      <c r="AP698" s="86"/>
      <c r="AQ698" s="88"/>
      <c r="AR698" s="86"/>
      <c r="AS698" s="88"/>
      <c r="AT698" s="86"/>
      <c r="AU698" s="88"/>
      <c r="AV698" s="86"/>
      <c r="AW698" s="88"/>
      <c r="AX698" s="86"/>
      <c r="AY698" s="88"/>
      <c r="AZ698" s="86"/>
      <c r="BA698" s="88"/>
      <c r="BB698" s="86"/>
      <c r="BC698" s="88"/>
      <c r="BD698" s="86"/>
      <c r="BE698" s="88"/>
      <c r="BF698" s="86"/>
      <c r="BG698" s="88"/>
      <c r="BH698" s="86"/>
      <c r="BI698" s="88"/>
      <c r="BJ698" s="86"/>
      <c r="BK698" s="88"/>
      <c r="BL698" s="86"/>
      <c r="BM698" s="88"/>
      <c r="BN698" s="86"/>
      <c r="BO698" s="88"/>
      <c r="BP698" s="86"/>
      <c r="BQ698" s="88"/>
      <c r="BR698" s="86"/>
      <c r="BS698" s="87"/>
    </row>
    <row r="699" ht="22.5" customHeight="1">
      <c r="A699" s="154"/>
      <c r="B699" s="83"/>
      <c r="C699" s="151"/>
      <c r="D699" s="83"/>
      <c r="E699" s="151"/>
      <c r="F699" s="83"/>
      <c r="G699" s="85"/>
      <c r="H699" s="86"/>
      <c r="I699" s="87"/>
      <c r="J699" s="86"/>
      <c r="K699" s="88"/>
      <c r="L699" s="86"/>
      <c r="M699" s="88"/>
      <c r="N699" s="86"/>
      <c r="O699" s="88"/>
      <c r="P699" s="86"/>
      <c r="Q699" s="88"/>
      <c r="R699" s="86"/>
      <c r="S699" s="88"/>
      <c r="T699" s="86"/>
      <c r="U699" s="88"/>
      <c r="V699" s="86"/>
      <c r="W699" s="88"/>
      <c r="X699" s="86"/>
      <c r="Y699" s="88"/>
      <c r="Z699" s="86"/>
      <c r="AA699" s="88"/>
      <c r="AB699" s="86"/>
      <c r="AC699" s="88"/>
      <c r="AD699" s="86"/>
      <c r="AE699" s="88"/>
      <c r="AF699" s="86"/>
      <c r="AG699" s="88"/>
      <c r="AH699" s="86"/>
      <c r="AI699" s="88"/>
      <c r="AJ699" s="86"/>
      <c r="AK699" s="88"/>
      <c r="AL699" s="86"/>
      <c r="AM699" s="88"/>
      <c r="AN699" s="86"/>
      <c r="AO699" s="88"/>
      <c r="AP699" s="86"/>
      <c r="AQ699" s="88"/>
      <c r="AR699" s="86"/>
      <c r="AS699" s="88"/>
      <c r="AT699" s="86"/>
      <c r="AU699" s="88"/>
      <c r="AV699" s="86"/>
      <c r="AW699" s="88"/>
      <c r="AX699" s="86"/>
      <c r="AY699" s="88"/>
      <c r="AZ699" s="86"/>
      <c r="BA699" s="88"/>
      <c r="BB699" s="86"/>
      <c r="BC699" s="88"/>
      <c r="BD699" s="86"/>
      <c r="BE699" s="88"/>
      <c r="BF699" s="86"/>
      <c r="BG699" s="88"/>
      <c r="BH699" s="86"/>
      <c r="BI699" s="88"/>
      <c r="BJ699" s="86"/>
      <c r="BK699" s="88"/>
      <c r="BL699" s="86"/>
      <c r="BM699" s="88"/>
      <c r="BN699" s="86"/>
      <c r="BO699" s="88"/>
      <c r="BP699" s="86"/>
      <c r="BQ699" s="88"/>
      <c r="BR699" s="86"/>
      <c r="BS699" s="87"/>
    </row>
    <row r="700" ht="22.5" customHeight="1">
      <c r="A700" s="154"/>
      <c r="B700" s="83"/>
      <c r="C700" s="151"/>
      <c r="D700" s="83"/>
      <c r="E700" s="151"/>
      <c r="F700" s="83"/>
      <c r="G700" s="85"/>
      <c r="H700" s="86"/>
      <c r="I700" s="87"/>
      <c r="J700" s="86"/>
      <c r="K700" s="88"/>
      <c r="L700" s="86"/>
      <c r="M700" s="88"/>
      <c r="N700" s="86"/>
      <c r="O700" s="88"/>
      <c r="P700" s="86"/>
      <c r="Q700" s="88"/>
      <c r="R700" s="86"/>
      <c r="S700" s="88"/>
      <c r="T700" s="86"/>
      <c r="U700" s="88"/>
      <c r="V700" s="86"/>
      <c r="W700" s="88"/>
      <c r="X700" s="86"/>
      <c r="Y700" s="88"/>
      <c r="Z700" s="86"/>
      <c r="AA700" s="88"/>
      <c r="AB700" s="86"/>
      <c r="AC700" s="88"/>
      <c r="AD700" s="86"/>
      <c r="AE700" s="88"/>
      <c r="AF700" s="86"/>
      <c r="AG700" s="88"/>
      <c r="AH700" s="86"/>
      <c r="AI700" s="88"/>
      <c r="AJ700" s="86"/>
      <c r="AK700" s="88"/>
      <c r="AL700" s="86"/>
      <c r="AM700" s="88"/>
      <c r="AN700" s="86"/>
      <c r="AO700" s="88"/>
      <c r="AP700" s="86"/>
      <c r="AQ700" s="88"/>
      <c r="AR700" s="86"/>
      <c r="AS700" s="88"/>
      <c r="AT700" s="86"/>
      <c r="AU700" s="88"/>
      <c r="AV700" s="86"/>
      <c r="AW700" s="88"/>
      <c r="AX700" s="86"/>
      <c r="AY700" s="88"/>
      <c r="AZ700" s="86"/>
      <c r="BA700" s="88"/>
      <c r="BB700" s="86"/>
      <c r="BC700" s="88"/>
      <c r="BD700" s="86"/>
      <c r="BE700" s="88"/>
      <c r="BF700" s="86"/>
      <c r="BG700" s="88"/>
      <c r="BH700" s="86"/>
      <c r="BI700" s="88"/>
      <c r="BJ700" s="86"/>
      <c r="BK700" s="88"/>
      <c r="BL700" s="86"/>
      <c r="BM700" s="88"/>
      <c r="BN700" s="86"/>
      <c r="BO700" s="88"/>
      <c r="BP700" s="86"/>
      <c r="BQ700" s="88"/>
      <c r="BR700" s="86"/>
      <c r="BS700" s="87"/>
    </row>
    <row r="701" ht="22.5" customHeight="1">
      <c r="A701" s="154"/>
      <c r="B701" s="83"/>
      <c r="C701" s="151"/>
      <c r="D701" s="83"/>
      <c r="E701" s="151"/>
      <c r="F701" s="83"/>
      <c r="G701" s="85"/>
      <c r="H701" s="86"/>
      <c r="I701" s="87"/>
      <c r="J701" s="86"/>
      <c r="K701" s="88"/>
      <c r="L701" s="86"/>
      <c r="M701" s="88"/>
      <c r="N701" s="86"/>
      <c r="O701" s="88"/>
      <c r="P701" s="86"/>
      <c r="Q701" s="88"/>
      <c r="R701" s="86"/>
      <c r="S701" s="88"/>
      <c r="T701" s="86"/>
      <c r="U701" s="88"/>
      <c r="V701" s="86"/>
      <c r="W701" s="88"/>
      <c r="X701" s="86"/>
      <c r="Y701" s="88"/>
      <c r="Z701" s="86"/>
      <c r="AA701" s="88"/>
      <c r="AB701" s="86"/>
      <c r="AC701" s="88"/>
      <c r="AD701" s="86"/>
      <c r="AE701" s="88"/>
      <c r="AF701" s="86"/>
      <c r="AG701" s="88"/>
      <c r="AH701" s="86"/>
      <c r="AI701" s="88"/>
      <c r="AJ701" s="86"/>
      <c r="AK701" s="88"/>
      <c r="AL701" s="86"/>
      <c r="AM701" s="88"/>
      <c r="AN701" s="86"/>
      <c r="AO701" s="88"/>
      <c r="AP701" s="86"/>
      <c r="AQ701" s="88"/>
      <c r="AR701" s="86"/>
      <c r="AS701" s="88"/>
      <c r="AT701" s="86"/>
      <c r="AU701" s="88"/>
      <c r="AV701" s="86"/>
      <c r="AW701" s="88"/>
      <c r="AX701" s="86"/>
      <c r="AY701" s="88"/>
      <c r="AZ701" s="86"/>
      <c r="BA701" s="88"/>
      <c r="BB701" s="86"/>
      <c r="BC701" s="88"/>
      <c r="BD701" s="86"/>
      <c r="BE701" s="88"/>
      <c r="BF701" s="86"/>
      <c r="BG701" s="88"/>
      <c r="BH701" s="86"/>
      <c r="BI701" s="88"/>
      <c r="BJ701" s="86"/>
      <c r="BK701" s="88"/>
      <c r="BL701" s="86"/>
      <c r="BM701" s="88"/>
      <c r="BN701" s="86"/>
      <c r="BO701" s="88"/>
      <c r="BP701" s="86"/>
      <c r="BQ701" s="88"/>
      <c r="BR701" s="86"/>
      <c r="BS701" s="87"/>
    </row>
    <row r="702" ht="22.5" customHeight="1">
      <c r="A702" s="154"/>
      <c r="B702" s="83"/>
      <c r="C702" s="151"/>
      <c r="D702" s="83"/>
      <c r="E702" s="151"/>
      <c r="F702" s="83"/>
      <c r="G702" s="85"/>
      <c r="H702" s="86"/>
      <c r="I702" s="87"/>
      <c r="J702" s="86"/>
      <c r="K702" s="88"/>
      <c r="L702" s="86"/>
      <c r="M702" s="88"/>
      <c r="N702" s="86"/>
      <c r="O702" s="88"/>
      <c r="P702" s="86"/>
      <c r="Q702" s="88"/>
      <c r="R702" s="86"/>
      <c r="S702" s="88"/>
      <c r="T702" s="86"/>
      <c r="U702" s="88"/>
      <c r="V702" s="86"/>
      <c r="W702" s="88"/>
      <c r="X702" s="86"/>
      <c r="Y702" s="88"/>
      <c r="Z702" s="86"/>
      <c r="AA702" s="88"/>
      <c r="AB702" s="86"/>
      <c r="AC702" s="88"/>
      <c r="AD702" s="86"/>
      <c r="AE702" s="88"/>
      <c r="AF702" s="86"/>
      <c r="AG702" s="88"/>
      <c r="AH702" s="86"/>
      <c r="AI702" s="88"/>
      <c r="AJ702" s="86"/>
      <c r="AK702" s="88"/>
      <c r="AL702" s="86"/>
      <c r="AM702" s="88"/>
      <c r="AN702" s="86"/>
      <c r="AO702" s="88"/>
      <c r="AP702" s="86"/>
      <c r="AQ702" s="88"/>
      <c r="AR702" s="86"/>
      <c r="AS702" s="88"/>
      <c r="AT702" s="86"/>
      <c r="AU702" s="88"/>
      <c r="AV702" s="86"/>
      <c r="AW702" s="88"/>
      <c r="AX702" s="86"/>
      <c r="AY702" s="88"/>
      <c r="AZ702" s="86"/>
      <c r="BA702" s="88"/>
      <c r="BB702" s="86"/>
      <c r="BC702" s="88"/>
      <c r="BD702" s="86"/>
      <c r="BE702" s="88"/>
      <c r="BF702" s="86"/>
      <c r="BG702" s="88"/>
      <c r="BH702" s="86"/>
      <c r="BI702" s="88"/>
      <c r="BJ702" s="86"/>
      <c r="BK702" s="88"/>
      <c r="BL702" s="86"/>
      <c r="BM702" s="88"/>
      <c r="BN702" s="86"/>
      <c r="BO702" s="88"/>
      <c r="BP702" s="86"/>
      <c r="BQ702" s="88"/>
      <c r="BR702" s="86"/>
      <c r="BS702" s="87"/>
    </row>
    <row r="703" ht="22.5" customHeight="1">
      <c r="A703" s="154"/>
      <c r="B703" s="83"/>
      <c r="C703" s="151"/>
      <c r="D703" s="83"/>
      <c r="E703" s="151"/>
      <c r="F703" s="83"/>
      <c r="G703" s="85"/>
      <c r="H703" s="86"/>
      <c r="I703" s="87"/>
      <c r="J703" s="86"/>
      <c r="K703" s="88"/>
      <c r="L703" s="86"/>
      <c r="M703" s="88"/>
      <c r="N703" s="86"/>
      <c r="O703" s="88"/>
      <c r="P703" s="86"/>
      <c r="Q703" s="88"/>
      <c r="R703" s="86"/>
      <c r="S703" s="88"/>
      <c r="T703" s="86"/>
      <c r="U703" s="88"/>
      <c r="V703" s="86"/>
      <c r="W703" s="88"/>
      <c r="X703" s="86"/>
      <c r="Y703" s="88"/>
      <c r="Z703" s="86"/>
      <c r="AA703" s="88"/>
      <c r="AB703" s="86"/>
      <c r="AC703" s="88"/>
      <c r="AD703" s="86"/>
      <c r="AE703" s="88"/>
      <c r="AF703" s="86"/>
      <c r="AG703" s="88"/>
      <c r="AH703" s="86"/>
      <c r="AI703" s="88"/>
      <c r="AJ703" s="86"/>
      <c r="AK703" s="88"/>
      <c r="AL703" s="86"/>
      <c r="AM703" s="88"/>
      <c r="AN703" s="86"/>
      <c r="AO703" s="88"/>
      <c r="AP703" s="86"/>
      <c r="AQ703" s="88"/>
      <c r="AR703" s="86"/>
      <c r="AS703" s="88"/>
      <c r="AT703" s="86"/>
      <c r="AU703" s="88"/>
      <c r="AV703" s="86"/>
      <c r="AW703" s="88"/>
      <c r="AX703" s="86"/>
      <c r="AY703" s="88"/>
      <c r="AZ703" s="86"/>
      <c r="BA703" s="88"/>
      <c r="BB703" s="86"/>
      <c r="BC703" s="88"/>
      <c r="BD703" s="86"/>
      <c r="BE703" s="88"/>
      <c r="BF703" s="86"/>
      <c r="BG703" s="88"/>
      <c r="BH703" s="86"/>
      <c r="BI703" s="88"/>
      <c r="BJ703" s="86"/>
      <c r="BK703" s="88"/>
      <c r="BL703" s="86"/>
      <c r="BM703" s="88"/>
      <c r="BN703" s="86"/>
      <c r="BO703" s="88"/>
      <c r="BP703" s="86"/>
      <c r="BQ703" s="88"/>
      <c r="BR703" s="86"/>
      <c r="BS703" s="87"/>
    </row>
    <row r="704" ht="22.5" customHeight="1">
      <c r="A704" s="154"/>
      <c r="B704" s="83"/>
      <c r="C704" s="151"/>
      <c r="D704" s="83"/>
      <c r="E704" s="151"/>
      <c r="F704" s="83"/>
      <c r="G704" s="85"/>
      <c r="H704" s="86"/>
      <c r="I704" s="87"/>
      <c r="J704" s="86"/>
      <c r="K704" s="88"/>
      <c r="L704" s="86"/>
      <c r="M704" s="88"/>
      <c r="N704" s="86"/>
      <c r="O704" s="88"/>
      <c r="P704" s="86"/>
      <c r="Q704" s="88"/>
      <c r="R704" s="86"/>
      <c r="S704" s="88"/>
      <c r="T704" s="86"/>
      <c r="U704" s="88"/>
      <c r="V704" s="86"/>
      <c r="W704" s="88"/>
      <c r="X704" s="86"/>
      <c r="Y704" s="88"/>
      <c r="Z704" s="86"/>
      <c r="AA704" s="88"/>
      <c r="AB704" s="86"/>
      <c r="AC704" s="88"/>
      <c r="AD704" s="86"/>
      <c r="AE704" s="88"/>
      <c r="AF704" s="86"/>
      <c r="AG704" s="88"/>
      <c r="AH704" s="86"/>
      <c r="AI704" s="88"/>
      <c r="AJ704" s="86"/>
      <c r="AK704" s="88"/>
      <c r="AL704" s="86"/>
      <c r="AM704" s="88"/>
      <c r="AN704" s="86"/>
      <c r="AO704" s="88"/>
      <c r="AP704" s="86"/>
      <c r="AQ704" s="88"/>
      <c r="AR704" s="86"/>
      <c r="AS704" s="88"/>
      <c r="AT704" s="86"/>
      <c r="AU704" s="88"/>
      <c r="AV704" s="86"/>
      <c r="AW704" s="88"/>
      <c r="AX704" s="86"/>
      <c r="AY704" s="88"/>
      <c r="AZ704" s="86"/>
      <c r="BA704" s="88"/>
      <c r="BB704" s="86"/>
      <c r="BC704" s="88"/>
      <c r="BD704" s="86"/>
      <c r="BE704" s="88"/>
      <c r="BF704" s="86"/>
      <c r="BG704" s="88"/>
      <c r="BH704" s="86"/>
      <c r="BI704" s="88"/>
      <c r="BJ704" s="86"/>
      <c r="BK704" s="88"/>
      <c r="BL704" s="86"/>
      <c r="BM704" s="88"/>
      <c r="BN704" s="86"/>
      <c r="BO704" s="88"/>
      <c r="BP704" s="86"/>
      <c r="BQ704" s="88"/>
      <c r="BR704" s="86"/>
      <c r="BS704" s="87"/>
    </row>
    <row r="705" ht="22.5" customHeight="1">
      <c r="A705" s="154"/>
      <c r="B705" s="83"/>
      <c r="C705" s="151"/>
      <c r="D705" s="83"/>
      <c r="E705" s="151"/>
      <c r="F705" s="83"/>
      <c r="G705" s="85"/>
      <c r="H705" s="86"/>
      <c r="I705" s="87"/>
      <c r="J705" s="86"/>
      <c r="K705" s="88"/>
      <c r="L705" s="86"/>
      <c r="M705" s="88"/>
      <c r="N705" s="86"/>
      <c r="O705" s="88"/>
      <c r="P705" s="86"/>
      <c r="Q705" s="88"/>
      <c r="R705" s="86"/>
      <c r="S705" s="88"/>
      <c r="T705" s="86"/>
      <c r="U705" s="88"/>
      <c r="V705" s="86"/>
      <c r="W705" s="88"/>
      <c r="X705" s="86"/>
      <c r="Y705" s="88"/>
      <c r="Z705" s="86"/>
      <c r="AA705" s="88"/>
      <c r="AB705" s="86"/>
      <c r="AC705" s="88"/>
      <c r="AD705" s="86"/>
      <c r="AE705" s="88"/>
      <c r="AF705" s="86"/>
      <c r="AG705" s="88"/>
      <c r="AH705" s="86"/>
      <c r="AI705" s="88"/>
      <c r="AJ705" s="86"/>
      <c r="AK705" s="88"/>
      <c r="AL705" s="86"/>
      <c r="AM705" s="88"/>
      <c r="AN705" s="86"/>
      <c r="AO705" s="88"/>
      <c r="AP705" s="86"/>
      <c r="AQ705" s="88"/>
      <c r="AR705" s="86"/>
      <c r="AS705" s="88"/>
      <c r="AT705" s="86"/>
      <c r="AU705" s="88"/>
      <c r="AV705" s="86"/>
      <c r="AW705" s="88"/>
      <c r="AX705" s="86"/>
      <c r="AY705" s="88"/>
      <c r="AZ705" s="86"/>
      <c r="BA705" s="88"/>
      <c r="BB705" s="86"/>
      <c r="BC705" s="88"/>
      <c r="BD705" s="86"/>
      <c r="BE705" s="88"/>
      <c r="BF705" s="86"/>
      <c r="BG705" s="88"/>
      <c r="BH705" s="86"/>
      <c r="BI705" s="88"/>
      <c r="BJ705" s="86"/>
      <c r="BK705" s="88"/>
      <c r="BL705" s="86"/>
      <c r="BM705" s="88"/>
      <c r="BN705" s="86"/>
      <c r="BO705" s="88"/>
      <c r="BP705" s="86"/>
      <c r="BQ705" s="88"/>
      <c r="BR705" s="86"/>
      <c r="BS705" s="87"/>
    </row>
    <row r="706" ht="22.5" customHeight="1">
      <c r="A706" s="154"/>
      <c r="B706" s="83"/>
      <c r="C706" s="151"/>
      <c r="D706" s="83"/>
      <c r="E706" s="151"/>
      <c r="F706" s="83"/>
      <c r="G706" s="85"/>
      <c r="H706" s="86"/>
      <c r="I706" s="87"/>
      <c r="J706" s="86"/>
      <c r="K706" s="88"/>
      <c r="L706" s="86"/>
      <c r="M706" s="88"/>
      <c r="N706" s="86"/>
      <c r="O706" s="88"/>
      <c r="P706" s="86"/>
      <c r="Q706" s="88"/>
      <c r="R706" s="86"/>
      <c r="S706" s="88"/>
      <c r="T706" s="86"/>
      <c r="U706" s="88"/>
      <c r="V706" s="86"/>
      <c r="W706" s="88"/>
      <c r="X706" s="86"/>
      <c r="Y706" s="88"/>
      <c r="Z706" s="86"/>
      <c r="AA706" s="88"/>
      <c r="AB706" s="86"/>
      <c r="AC706" s="88"/>
      <c r="AD706" s="86"/>
      <c r="AE706" s="88"/>
      <c r="AF706" s="86"/>
      <c r="AG706" s="88"/>
      <c r="AH706" s="86"/>
      <c r="AI706" s="88"/>
      <c r="AJ706" s="86"/>
      <c r="AK706" s="88"/>
      <c r="AL706" s="86"/>
      <c r="AM706" s="88"/>
      <c r="AN706" s="86"/>
      <c r="AO706" s="88"/>
      <c r="AP706" s="86"/>
      <c r="AQ706" s="88"/>
      <c r="AR706" s="86"/>
      <c r="AS706" s="88"/>
      <c r="AT706" s="86"/>
      <c r="AU706" s="88"/>
      <c r="AV706" s="86"/>
      <c r="AW706" s="88"/>
      <c r="AX706" s="86"/>
      <c r="AY706" s="88"/>
      <c r="AZ706" s="86"/>
      <c r="BA706" s="88"/>
      <c r="BB706" s="86"/>
      <c r="BC706" s="88"/>
      <c r="BD706" s="86"/>
      <c r="BE706" s="88"/>
      <c r="BF706" s="86"/>
      <c r="BG706" s="88"/>
      <c r="BH706" s="86"/>
      <c r="BI706" s="88"/>
      <c r="BJ706" s="86"/>
      <c r="BK706" s="88"/>
      <c r="BL706" s="86"/>
      <c r="BM706" s="88"/>
      <c r="BN706" s="86"/>
      <c r="BO706" s="88"/>
      <c r="BP706" s="86"/>
      <c r="BQ706" s="88"/>
      <c r="BR706" s="86"/>
      <c r="BS706" s="87"/>
    </row>
    <row r="707" ht="22.5" customHeight="1">
      <c r="A707" s="154"/>
      <c r="B707" s="83"/>
      <c r="C707" s="151"/>
      <c r="D707" s="83"/>
      <c r="E707" s="151"/>
      <c r="F707" s="83"/>
      <c r="G707" s="85"/>
      <c r="H707" s="86"/>
      <c r="I707" s="87"/>
      <c r="J707" s="86"/>
      <c r="K707" s="88"/>
      <c r="L707" s="86"/>
      <c r="M707" s="88"/>
      <c r="N707" s="86"/>
      <c r="O707" s="88"/>
      <c r="P707" s="86"/>
      <c r="Q707" s="88"/>
      <c r="R707" s="86"/>
      <c r="S707" s="88"/>
      <c r="T707" s="86"/>
      <c r="U707" s="88"/>
      <c r="V707" s="86"/>
      <c r="W707" s="88"/>
      <c r="X707" s="86"/>
      <c r="Y707" s="88"/>
      <c r="Z707" s="86"/>
      <c r="AA707" s="88"/>
      <c r="AB707" s="86"/>
      <c r="AC707" s="88"/>
      <c r="AD707" s="86"/>
      <c r="AE707" s="88"/>
      <c r="AF707" s="86"/>
      <c r="AG707" s="88"/>
      <c r="AH707" s="86"/>
      <c r="AI707" s="88"/>
      <c r="AJ707" s="86"/>
      <c r="AK707" s="88"/>
      <c r="AL707" s="86"/>
      <c r="AM707" s="88"/>
      <c r="AN707" s="86"/>
      <c r="AO707" s="88"/>
      <c r="AP707" s="86"/>
      <c r="AQ707" s="88"/>
      <c r="AR707" s="86"/>
      <c r="AS707" s="88"/>
      <c r="AT707" s="86"/>
      <c r="AU707" s="88"/>
      <c r="AV707" s="86"/>
      <c r="AW707" s="88"/>
      <c r="AX707" s="86"/>
      <c r="AY707" s="88"/>
      <c r="AZ707" s="86"/>
      <c r="BA707" s="88"/>
      <c r="BB707" s="86"/>
      <c r="BC707" s="88"/>
      <c r="BD707" s="86"/>
      <c r="BE707" s="88"/>
      <c r="BF707" s="86"/>
      <c r="BG707" s="88"/>
      <c r="BH707" s="86"/>
      <c r="BI707" s="88"/>
      <c r="BJ707" s="86"/>
      <c r="BK707" s="88"/>
      <c r="BL707" s="86"/>
      <c r="BM707" s="88"/>
      <c r="BN707" s="86"/>
      <c r="BO707" s="88"/>
      <c r="BP707" s="86"/>
      <c r="BQ707" s="88"/>
      <c r="BR707" s="86"/>
      <c r="BS707" s="87"/>
    </row>
    <row r="708" ht="22.5" customHeight="1">
      <c r="A708" s="154"/>
      <c r="B708" s="83"/>
      <c r="C708" s="151"/>
      <c r="D708" s="83"/>
      <c r="E708" s="151"/>
      <c r="F708" s="83"/>
      <c r="G708" s="85"/>
      <c r="H708" s="86"/>
      <c r="I708" s="87"/>
      <c r="J708" s="86"/>
      <c r="K708" s="88"/>
      <c r="L708" s="86"/>
      <c r="M708" s="88"/>
      <c r="N708" s="86"/>
      <c r="O708" s="88"/>
      <c r="P708" s="86"/>
      <c r="Q708" s="88"/>
      <c r="R708" s="86"/>
      <c r="S708" s="88"/>
      <c r="T708" s="86"/>
      <c r="U708" s="88"/>
      <c r="V708" s="86"/>
      <c r="W708" s="88"/>
      <c r="X708" s="86"/>
      <c r="Y708" s="88"/>
      <c r="Z708" s="86"/>
      <c r="AA708" s="88"/>
      <c r="AB708" s="86"/>
      <c r="AC708" s="88"/>
      <c r="AD708" s="86"/>
      <c r="AE708" s="88"/>
      <c r="AF708" s="86"/>
      <c r="AG708" s="88"/>
      <c r="AH708" s="86"/>
      <c r="AI708" s="88"/>
      <c r="AJ708" s="86"/>
      <c r="AK708" s="88"/>
      <c r="AL708" s="86"/>
      <c r="AM708" s="88"/>
      <c r="AN708" s="86"/>
      <c r="AO708" s="88"/>
      <c r="AP708" s="86"/>
      <c r="AQ708" s="88"/>
      <c r="AR708" s="86"/>
      <c r="AS708" s="88"/>
      <c r="AT708" s="86"/>
      <c r="AU708" s="88"/>
      <c r="AV708" s="86"/>
      <c r="AW708" s="88"/>
      <c r="AX708" s="86"/>
      <c r="AY708" s="88"/>
      <c r="AZ708" s="86"/>
      <c r="BA708" s="88"/>
      <c r="BB708" s="86"/>
      <c r="BC708" s="88"/>
      <c r="BD708" s="86"/>
      <c r="BE708" s="88"/>
      <c r="BF708" s="86"/>
      <c r="BG708" s="88"/>
      <c r="BH708" s="86"/>
      <c r="BI708" s="88"/>
      <c r="BJ708" s="86"/>
      <c r="BK708" s="88"/>
      <c r="BL708" s="86"/>
      <c r="BM708" s="88"/>
      <c r="BN708" s="86"/>
      <c r="BO708" s="88"/>
      <c r="BP708" s="86"/>
      <c r="BQ708" s="88"/>
      <c r="BR708" s="86"/>
      <c r="BS708" s="87"/>
    </row>
    <row r="709" ht="22.5" customHeight="1">
      <c r="A709" s="154"/>
      <c r="B709" s="83"/>
      <c r="C709" s="151"/>
      <c r="D709" s="83"/>
      <c r="E709" s="151"/>
      <c r="F709" s="83"/>
      <c r="G709" s="85"/>
      <c r="H709" s="86"/>
      <c r="I709" s="87"/>
      <c r="J709" s="86"/>
      <c r="K709" s="88"/>
      <c r="L709" s="86"/>
      <c r="M709" s="88"/>
      <c r="N709" s="86"/>
      <c r="O709" s="88"/>
      <c r="P709" s="86"/>
      <c r="Q709" s="88"/>
      <c r="R709" s="86"/>
      <c r="S709" s="88"/>
      <c r="T709" s="86"/>
      <c r="U709" s="88"/>
      <c r="V709" s="86"/>
      <c r="W709" s="88"/>
      <c r="X709" s="86"/>
      <c r="Y709" s="88"/>
      <c r="Z709" s="86"/>
      <c r="AA709" s="88"/>
      <c r="AB709" s="86"/>
      <c r="AC709" s="88"/>
      <c r="AD709" s="86"/>
      <c r="AE709" s="88"/>
      <c r="AF709" s="86"/>
      <c r="AG709" s="88"/>
      <c r="AH709" s="86"/>
      <c r="AI709" s="88"/>
      <c r="AJ709" s="86"/>
      <c r="AK709" s="88"/>
      <c r="AL709" s="86"/>
      <c r="AM709" s="88"/>
      <c r="AN709" s="86"/>
      <c r="AO709" s="88"/>
      <c r="AP709" s="86"/>
      <c r="AQ709" s="88"/>
      <c r="AR709" s="86"/>
      <c r="AS709" s="88"/>
      <c r="AT709" s="86"/>
      <c r="AU709" s="88"/>
      <c r="AV709" s="86"/>
      <c r="AW709" s="88"/>
      <c r="AX709" s="86"/>
      <c r="AY709" s="88"/>
      <c r="AZ709" s="86"/>
      <c r="BA709" s="88"/>
      <c r="BB709" s="86"/>
      <c r="BC709" s="88"/>
      <c r="BD709" s="86"/>
      <c r="BE709" s="88"/>
      <c r="BF709" s="86"/>
      <c r="BG709" s="88"/>
      <c r="BH709" s="86"/>
      <c r="BI709" s="88"/>
      <c r="BJ709" s="86"/>
      <c r="BK709" s="88"/>
      <c r="BL709" s="86"/>
      <c r="BM709" s="88"/>
      <c r="BN709" s="86"/>
      <c r="BO709" s="88"/>
      <c r="BP709" s="86"/>
      <c r="BQ709" s="88"/>
      <c r="BR709" s="86"/>
      <c r="BS709" s="87"/>
    </row>
    <row r="710" ht="22.5" customHeight="1">
      <c r="A710" s="154"/>
      <c r="B710" s="83"/>
      <c r="C710" s="151"/>
      <c r="D710" s="83"/>
      <c r="E710" s="151"/>
      <c r="F710" s="83"/>
      <c r="G710" s="85"/>
      <c r="H710" s="86"/>
      <c r="I710" s="87"/>
      <c r="J710" s="86"/>
      <c r="K710" s="88"/>
      <c r="L710" s="86"/>
      <c r="M710" s="88"/>
      <c r="N710" s="86"/>
      <c r="O710" s="88"/>
      <c r="P710" s="86"/>
      <c r="Q710" s="88"/>
      <c r="R710" s="86"/>
      <c r="S710" s="88"/>
      <c r="T710" s="86"/>
      <c r="U710" s="88"/>
      <c r="V710" s="86"/>
      <c r="W710" s="88"/>
      <c r="X710" s="86"/>
      <c r="Y710" s="88"/>
      <c r="Z710" s="86"/>
      <c r="AA710" s="88"/>
      <c r="AB710" s="86"/>
      <c r="AC710" s="88"/>
      <c r="AD710" s="86"/>
      <c r="AE710" s="88"/>
      <c r="AF710" s="86"/>
      <c r="AG710" s="88"/>
      <c r="AH710" s="86"/>
      <c r="AI710" s="88"/>
      <c r="AJ710" s="86"/>
      <c r="AK710" s="88"/>
      <c r="AL710" s="86"/>
      <c r="AM710" s="88"/>
      <c r="AN710" s="86"/>
      <c r="AO710" s="88"/>
      <c r="AP710" s="86"/>
      <c r="AQ710" s="88"/>
      <c r="AR710" s="86"/>
      <c r="AS710" s="88"/>
      <c r="AT710" s="86"/>
      <c r="AU710" s="88"/>
      <c r="AV710" s="86"/>
      <c r="AW710" s="88"/>
      <c r="AX710" s="86"/>
      <c r="AY710" s="88"/>
      <c r="AZ710" s="86"/>
      <c r="BA710" s="88"/>
      <c r="BB710" s="86"/>
      <c r="BC710" s="88"/>
      <c r="BD710" s="86"/>
      <c r="BE710" s="88"/>
      <c r="BF710" s="86"/>
      <c r="BG710" s="88"/>
      <c r="BH710" s="86"/>
      <c r="BI710" s="88"/>
      <c r="BJ710" s="86"/>
      <c r="BK710" s="88"/>
      <c r="BL710" s="86"/>
      <c r="BM710" s="88"/>
      <c r="BN710" s="86"/>
      <c r="BO710" s="88"/>
      <c r="BP710" s="86"/>
      <c r="BQ710" s="88"/>
      <c r="BR710" s="86"/>
      <c r="BS710" s="87"/>
    </row>
    <row r="711" ht="22.5" customHeight="1">
      <c r="A711" s="154"/>
      <c r="B711" s="83"/>
      <c r="C711" s="151"/>
      <c r="D711" s="83"/>
      <c r="E711" s="151"/>
      <c r="F711" s="83"/>
      <c r="G711" s="85"/>
      <c r="H711" s="86"/>
      <c r="I711" s="87"/>
      <c r="J711" s="86"/>
      <c r="K711" s="88"/>
      <c r="L711" s="86"/>
      <c r="M711" s="88"/>
      <c r="N711" s="86"/>
      <c r="O711" s="88"/>
      <c r="P711" s="86"/>
      <c r="Q711" s="88"/>
      <c r="R711" s="86"/>
      <c r="S711" s="88"/>
      <c r="T711" s="86"/>
      <c r="U711" s="88"/>
      <c r="V711" s="86"/>
      <c r="W711" s="88"/>
      <c r="X711" s="86"/>
      <c r="Y711" s="88"/>
      <c r="Z711" s="86"/>
      <c r="AA711" s="88"/>
      <c r="AB711" s="86"/>
      <c r="AC711" s="88"/>
      <c r="AD711" s="86"/>
      <c r="AE711" s="88"/>
      <c r="AF711" s="86"/>
      <c r="AG711" s="88"/>
      <c r="AH711" s="86"/>
      <c r="AI711" s="88"/>
      <c r="AJ711" s="86"/>
      <c r="AK711" s="88"/>
      <c r="AL711" s="86"/>
      <c r="AM711" s="88"/>
      <c r="AN711" s="86"/>
      <c r="AO711" s="88"/>
      <c r="AP711" s="86"/>
      <c r="AQ711" s="88"/>
      <c r="AR711" s="86"/>
      <c r="AS711" s="88"/>
      <c r="AT711" s="86"/>
      <c r="AU711" s="88"/>
      <c r="AV711" s="86"/>
      <c r="AW711" s="88"/>
      <c r="AX711" s="86"/>
      <c r="AY711" s="88"/>
      <c r="AZ711" s="86"/>
      <c r="BA711" s="88"/>
      <c r="BB711" s="86"/>
      <c r="BC711" s="88"/>
      <c r="BD711" s="86"/>
      <c r="BE711" s="88"/>
      <c r="BF711" s="86"/>
      <c r="BG711" s="88"/>
      <c r="BH711" s="86"/>
      <c r="BI711" s="88"/>
      <c r="BJ711" s="86"/>
      <c r="BK711" s="88"/>
      <c r="BL711" s="86"/>
      <c r="BM711" s="88"/>
      <c r="BN711" s="86"/>
      <c r="BO711" s="88"/>
      <c r="BP711" s="86"/>
      <c r="BQ711" s="88"/>
      <c r="BR711" s="86"/>
      <c r="BS711" s="87"/>
    </row>
    <row r="712" ht="22.5" customHeight="1">
      <c r="A712" s="154"/>
      <c r="B712" s="83"/>
      <c r="C712" s="151"/>
      <c r="D712" s="83"/>
      <c r="E712" s="151"/>
      <c r="F712" s="83"/>
      <c r="G712" s="85"/>
      <c r="H712" s="86"/>
      <c r="I712" s="87"/>
      <c r="J712" s="86"/>
      <c r="K712" s="88"/>
      <c r="L712" s="86"/>
      <c r="M712" s="88"/>
      <c r="N712" s="86"/>
      <c r="O712" s="88"/>
      <c r="P712" s="86"/>
      <c r="Q712" s="88"/>
      <c r="R712" s="86"/>
      <c r="S712" s="88"/>
      <c r="T712" s="86"/>
      <c r="U712" s="88"/>
      <c r="V712" s="86"/>
      <c r="W712" s="88"/>
      <c r="X712" s="86"/>
      <c r="Y712" s="88"/>
      <c r="Z712" s="86"/>
      <c r="AA712" s="88"/>
      <c r="AB712" s="86"/>
      <c r="AC712" s="88"/>
      <c r="AD712" s="86"/>
      <c r="AE712" s="88"/>
      <c r="AF712" s="86"/>
      <c r="AG712" s="88"/>
      <c r="AH712" s="86"/>
      <c r="AI712" s="88"/>
      <c r="AJ712" s="86"/>
      <c r="AK712" s="88"/>
      <c r="AL712" s="86"/>
      <c r="AM712" s="88"/>
      <c r="AN712" s="86"/>
      <c r="AO712" s="88"/>
      <c r="AP712" s="86"/>
      <c r="AQ712" s="88"/>
      <c r="AR712" s="86"/>
      <c r="AS712" s="88"/>
      <c r="AT712" s="86"/>
      <c r="AU712" s="88"/>
      <c r="AV712" s="86"/>
      <c r="AW712" s="88"/>
      <c r="AX712" s="86"/>
      <c r="AY712" s="88"/>
      <c r="AZ712" s="86"/>
      <c r="BA712" s="88"/>
      <c r="BB712" s="86"/>
      <c r="BC712" s="88"/>
      <c r="BD712" s="86"/>
      <c r="BE712" s="88"/>
      <c r="BF712" s="86"/>
      <c r="BG712" s="88"/>
      <c r="BH712" s="86"/>
      <c r="BI712" s="88"/>
      <c r="BJ712" s="86"/>
      <c r="BK712" s="88"/>
      <c r="BL712" s="86"/>
      <c r="BM712" s="88"/>
      <c r="BN712" s="86"/>
      <c r="BO712" s="88"/>
      <c r="BP712" s="86"/>
      <c r="BQ712" s="88"/>
      <c r="BR712" s="86"/>
      <c r="BS712" s="87"/>
    </row>
    <row r="713" ht="22.5" customHeight="1">
      <c r="A713" s="154"/>
      <c r="B713" s="83"/>
      <c r="C713" s="151"/>
      <c r="D713" s="83"/>
      <c r="E713" s="151"/>
      <c r="F713" s="83"/>
      <c r="G713" s="85"/>
      <c r="H713" s="86"/>
      <c r="I713" s="87"/>
      <c r="J713" s="86"/>
      <c r="K713" s="88"/>
      <c r="L713" s="86"/>
      <c r="M713" s="88"/>
      <c r="N713" s="86"/>
      <c r="O713" s="88"/>
      <c r="P713" s="86"/>
      <c r="Q713" s="88"/>
      <c r="R713" s="86"/>
      <c r="S713" s="88"/>
      <c r="T713" s="86"/>
      <c r="U713" s="88"/>
      <c r="V713" s="86"/>
      <c r="W713" s="88"/>
      <c r="X713" s="86"/>
      <c r="Y713" s="88"/>
      <c r="Z713" s="86"/>
      <c r="AA713" s="88"/>
      <c r="AB713" s="86"/>
      <c r="AC713" s="88"/>
      <c r="AD713" s="86"/>
      <c r="AE713" s="88"/>
      <c r="AF713" s="86"/>
      <c r="AG713" s="88"/>
      <c r="AH713" s="86"/>
      <c r="AI713" s="88"/>
      <c r="AJ713" s="86"/>
      <c r="AK713" s="88"/>
      <c r="AL713" s="86"/>
      <c r="AM713" s="88"/>
      <c r="AN713" s="86"/>
      <c r="AO713" s="88"/>
      <c r="AP713" s="86"/>
      <c r="AQ713" s="88"/>
      <c r="AR713" s="86"/>
      <c r="AS713" s="88"/>
      <c r="AT713" s="86"/>
      <c r="AU713" s="88"/>
      <c r="AV713" s="86"/>
      <c r="AW713" s="88"/>
      <c r="AX713" s="86"/>
      <c r="AY713" s="88"/>
      <c r="AZ713" s="86"/>
      <c r="BA713" s="88"/>
      <c r="BB713" s="86"/>
      <c r="BC713" s="88"/>
      <c r="BD713" s="86"/>
      <c r="BE713" s="88"/>
      <c r="BF713" s="86"/>
      <c r="BG713" s="88"/>
      <c r="BH713" s="86"/>
      <c r="BI713" s="88"/>
      <c r="BJ713" s="86"/>
      <c r="BK713" s="88"/>
      <c r="BL713" s="86"/>
      <c r="BM713" s="88"/>
      <c r="BN713" s="86"/>
      <c r="BO713" s="88"/>
      <c r="BP713" s="86"/>
      <c r="BQ713" s="88"/>
      <c r="BR713" s="86"/>
      <c r="BS713" s="87"/>
    </row>
    <row r="714" ht="22.5" customHeight="1">
      <c r="A714" s="154"/>
      <c r="B714" s="83"/>
      <c r="C714" s="151"/>
      <c r="D714" s="83"/>
      <c r="E714" s="151"/>
      <c r="F714" s="83"/>
      <c r="G714" s="85"/>
      <c r="H714" s="86"/>
      <c r="I714" s="87"/>
      <c r="J714" s="86"/>
      <c r="K714" s="88"/>
      <c r="L714" s="86"/>
      <c r="M714" s="88"/>
      <c r="N714" s="86"/>
      <c r="O714" s="88"/>
      <c r="P714" s="86"/>
      <c r="Q714" s="88"/>
      <c r="R714" s="86"/>
      <c r="S714" s="88"/>
      <c r="T714" s="86"/>
      <c r="U714" s="88"/>
      <c r="V714" s="86"/>
      <c r="W714" s="88"/>
      <c r="X714" s="86"/>
      <c r="Y714" s="88"/>
      <c r="Z714" s="86"/>
      <c r="AA714" s="88"/>
      <c r="AB714" s="86"/>
      <c r="AC714" s="88"/>
      <c r="AD714" s="86"/>
      <c r="AE714" s="88"/>
      <c r="AF714" s="86"/>
      <c r="AG714" s="88"/>
      <c r="AH714" s="86"/>
      <c r="AI714" s="88"/>
      <c r="AJ714" s="86"/>
      <c r="AK714" s="88"/>
      <c r="AL714" s="86"/>
      <c r="AM714" s="88"/>
      <c r="AN714" s="86"/>
      <c r="AO714" s="88"/>
      <c r="AP714" s="86"/>
      <c r="AQ714" s="88"/>
      <c r="AR714" s="86"/>
      <c r="AS714" s="88"/>
      <c r="AT714" s="86"/>
      <c r="AU714" s="88"/>
      <c r="AV714" s="86"/>
      <c r="AW714" s="88"/>
      <c r="AX714" s="86"/>
      <c r="AY714" s="88"/>
      <c r="AZ714" s="86"/>
      <c r="BA714" s="88"/>
      <c r="BB714" s="86"/>
      <c r="BC714" s="88"/>
      <c r="BD714" s="86"/>
      <c r="BE714" s="88"/>
      <c r="BF714" s="86"/>
      <c r="BG714" s="88"/>
      <c r="BH714" s="86"/>
      <c r="BI714" s="88"/>
      <c r="BJ714" s="86"/>
      <c r="BK714" s="88"/>
      <c r="BL714" s="86"/>
      <c r="BM714" s="88"/>
      <c r="BN714" s="86"/>
      <c r="BO714" s="88"/>
      <c r="BP714" s="86"/>
      <c r="BQ714" s="88"/>
      <c r="BR714" s="86"/>
      <c r="BS714" s="87"/>
    </row>
    <row r="715" ht="22.5" customHeight="1">
      <c r="A715" s="154"/>
      <c r="B715" s="83"/>
      <c r="C715" s="151"/>
      <c r="D715" s="83"/>
      <c r="E715" s="151"/>
      <c r="F715" s="83"/>
      <c r="G715" s="85"/>
      <c r="H715" s="86"/>
      <c r="I715" s="87"/>
      <c r="J715" s="86"/>
      <c r="K715" s="88"/>
      <c r="L715" s="86"/>
      <c r="M715" s="88"/>
      <c r="N715" s="86"/>
      <c r="O715" s="88"/>
      <c r="P715" s="86"/>
      <c r="Q715" s="88"/>
      <c r="R715" s="86"/>
      <c r="S715" s="88"/>
      <c r="T715" s="86"/>
      <c r="U715" s="88"/>
      <c r="V715" s="86"/>
      <c r="W715" s="88"/>
      <c r="X715" s="86"/>
      <c r="Y715" s="88"/>
      <c r="Z715" s="86"/>
      <c r="AA715" s="88"/>
      <c r="AB715" s="86"/>
      <c r="AC715" s="88"/>
      <c r="AD715" s="86"/>
      <c r="AE715" s="88"/>
      <c r="AF715" s="86"/>
      <c r="AG715" s="88"/>
      <c r="AH715" s="86"/>
      <c r="AI715" s="88"/>
      <c r="AJ715" s="86"/>
      <c r="AK715" s="88"/>
      <c r="AL715" s="86"/>
      <c r="AM715" s="88"/>
      <c r="AN715" s="86"/>
      <c r="AO715" s="88"/>
      <c r="AP715" s="86"/>
      <c r="AQ715" s="88"/>
      <c r="AR715" s="86"/>
      <c r="AS715" s="88"/>
      <c r="AT715" s="86"/>
      <c r="AU715" s="88"/>
      <c r="AV715" s="86"/>
      <c r="AW715" s="88"/>
      <c r="AX715" s="86"/>
      <c r="AY715" s="88"/>
      <c r="AZ715" s="86"/>
      <c r="BA715" s="88"/>
      <c r="BB715" s="86"/>
      <c r="BC715" s="88"/>
      <c r="BD715" s="86"/>
      <c r="BE715" s="88"/>
      <c r="BF715" s="86"/>
      <c r="BG715" s="88"/>
      <c r="BH715" s="86"/>
      <c r="BI715" s="88"/>
      <c r="BJ715" s="86"/>
      <c r="BK715" s="88"/>
      <c r="BL715" s="86"/>
      <c r="BM715" s="88"/>
      <c r="BN715" s="86"/>
      <c r="BO715" s="88"/>
      <c r="BP715" s="86"/>
      <c r="BQ715" s="88"/>
      <c r="BR715" s="86"/>
      <c r="BS715" s="87"/>
    </row>
    <row r="716" ht="22.5" customHeight="1">
      <c r="A716" s="154"/>
      <c r="B716" s="83"/>
      <c r="C716" s="151"/>
      <c r="D716" s="83"/>
      <c r="E716" s="151"/>
      <c r="F716" s="83"/>
      <c r="G716" s="85"/>
      <c r="H716" s="86"/>
      <c r="I716" s="87"/>
      <c r="J716" s="86"/>
      <c r="K716" s="88"/>
      <c r="L716" s="86"/>
      <c r="M716" s="88"/>
      <c r="N716" s="86"/>
      <c r="O716" s="88"/>
      <c r="P716" s="86"/>
      <c r="Q716" s="88"/>
      <c r="R716" s="86"/>
      <c r="S716" s="88"/>
      <c r="T716" s="86"/>
      <c r="U716" s="88"/>
      <c r="V716" s="86"/>
      <c r="W716" s="88"/>
      <c r="X716" s="86"/>
      <c r="Y716" s="88"/>
      <c r="Z716" s="86"/>
      <c r="AA716" s="88"/>
      <c r="AB716" s="86"/>
      <c r="AC716" s="88"/>
      <c r="AD716" s="86"/>
      <c r="AE716" s="88"/>
      <c r="AF716" s="86"/>
      <c r="AG716" s="88"/>
      <c r="AH716" s="86"/>
      <c r="AI716" s="88"/>
      <c r="AJ716" s="86"/>
      <c r="AK716" s="88"/>
      <c r="AL716" s="86"/>
      <c r="AM716" s="88"/>
      <c r="AN716" s="86"/>
      <c r="AO716" s="88"/>
      <c r="AP716" s="86"/>
      <c r="AQ716" s="88"/>
      <c r="AR716" s="86"/>
      <c r="AS716" s="88"/>
      <c r="AT716" s="86"/>
      <c r="AU716" s="88"/>
      <c r="AV716" s="86"/>
      <c r="AW716" s="88"/>
      <c r="AX716" s="86"/>
      <c r="AY716" s="88"/>
      <c r="AZ716" s="86"/>
      <c r="BA716" s="88"/>
      <c r="BB716" s="86"/>
      <c r="BC716" s="88"/>
      <c r="BD716" s="86"/>
      <c r="BE716" s="88"/>
      <c r="BF716" s="86"/>
      <c r="BG716" s="88"/>
      <c r="BH716" s="86"/>
      <c r="BI716" s="88"/>
      <c r="BJ716" s="86"/>
      <c r="BK716" s="88"/>
      <c r="BL716" s="86"/>
      <c r="BM716" s="88"/>
      <c r="BN716" s="86"/>
      <c r="BO716" s="88"/>
      <c r="BP716" s="86"/>
      <c r="BQ716" s="88"/>
      <c r="BR716" s="86"/>
      <c r="BS716" s="87"/>
    </row>
    <row r="717" ht="22.5" customHeight="1">
      <c r="A717" s="154"/>
      <c r="B717" s="83"/>
      <c r="C717" s="151"/>
      <c r="D717" s="83"/>
      <c r="E717" s="151"/>
      <c r="F717" s="83"/>
      <c r="G717" s="85"/>
      <c r="H717" s="86"/>
      <c r="I717" s="87"/>
      <c r="J717" s="86"/>
      <c r="K717" s="88"/>
      <c r="L717" s="86"/>
      <c r="M717" s="88"/>
      <c r="N717" s="86"/>
      <c r="O717" s="88"/>
      <c r="P717" s="86"/>
      <c r="Q717" s="88"/>
      <c r="R717" s="86"/>
      <c r="S717" s="88"/>
      <c r="T717" s="86"/>
      <c r="U717" s="88"/>
      <c r="V717" s="86"/>
      <c r="W717" s="88"/>
      <c r="X717" s="86"/>
      <c r="Y717" s="88"/>
      <c r="Z717" s="86"/>
      <c r="AA717" s="88"/>
      <c r="AB717" s="86"/>
      <c r="AC717" s="88"/>
      <c r="AD717" s="86"/>
      <c r="AE717" s="88"/>
      <c r="AF717" s="86"/>
      <c r="AG717" s="88"/>
      <c r="AH717" s="86"/>
      <c r="AI717" s="88"/>
      <c r="AJ717" s="86"/>
      <c r="AK717" s="88"/>
      <c r="AL717" s="86"/>
      <c r="AM717" s="88"/>
      <c r="AN717" s="86"/>
      <c r="AO717" s="88"/>
      <c r="AP717" s="86"/>
      <c r="AQ717" s="88"/>
      <c r="AR717" s="86"/>
      <c r="AS717" s="88"/>
      <c r="AT717" s="86"/>
      <c r="AU717" s="88"/>
      <c r="AV717" s="86"/>
      <c r="AW717" s="88"/>
      <c r="AX717" s="86"/>
      <c r="AY717" s="88"/>
      <c r="AZ717" s="86"/>
      <c r="BA717" s="88"/>
      <c r="BB717" s="86"/>
      <c r="BC717" s="88"/>
      <c r="BD717" s="86"/>
      <c r="BE717" s="88"/>
      <c r="BF717" s="86"/>
      <c r="BG717" s="88"/>
      <c r="BH717" s="86"/>
      <c r="BI717" s="88"/>
      <c r="BJ717" s="86"/>
      <c r="BK717" s="88"/>
      <c r="BL717" s="86"/>
      <c r="BM717" s="88"/>
      <c r="BN717" s="86"/>
      <c r="BO717" s="88"/>
      <c r="BP717" s="86"/>
      <c r="BQ717" s="88"/>
      <c r="BR717" s="86"/>
      <c r="BS717" s="87"/>
    </row>
    <row r="718" ht="22.5" customHeight="1">
      <c r="A718" s="154"/>
      <c r="B718" s="83"/>
      <c r="C718" s="151"/>
      <c r="D718" s="83"/>
      <c r="E718" s="151"/>
      <c r="F718" s="83"/>
      <c r="G718" s="85"/>
      <c r="H718" s="86"/>
      <c r="I718" s="87"/>
      <c r="J718" s="86"/>
      <c r="K718" s="88"/>
      <c r="L718" s="86"/>
      <c r="M718" s="88"/>
      <c r="N718" s="86"/>
      <c r="O718" s="88"/>
      <c r="P718" s="86"/>
      <c r="Q718" s="88"/>
      <c r="R718" s="86"/>
      <c r="S718" s="88"/>
      <c r="T718" s="86"/>
      <c r="U718" s="88"/>
      <c r="V718" s="86"/>
      <c r="W718" s="88"/>
      <c r="X718" s="86"/>
      <c r="Y718" s="88"/>
      <c r="Z718" s="86"/>
      <c r="AA718" s="88"/>
      <c r="AB718" s="86"/>
      <c r="AC718" s="88"/>
      <c r="AD718" s="86"/>
      <c r="AE718" s="88"/>
      <c r="AF718" s="86"/>
      <c r="AG718" s="88"/>
      <c r="AH718" s="86"/>
      <c r="AI718" s="88"/>
      <c r="AJ718" s="86"/>
      <c r="AK718" s="88"/>
      <c r="AL718" s="86"/>
      <c r="AM718" s="88"/>
      <c r="AN718" s="86"/>
      <c r="AO718" s="88"/>
      <c r="AP718" s="86"/>
      <c r="AQ718" s="88"/>
      <c r="AR718" s="86"/>
      <c r="AS718" s="88"/>
      <c r="AT718" s="86"/>
      <c r="AU718" s="88"/>
      <c r="AV718" s="86"/>
      <c r="AW718" s="88"/>
      <c r="AX718" s="86"/>
      <c r="AY718" s="88"/>
      <c r="AZ718" s="86"/>
      <c r="BA718" s="88"/>
      <c r="BB718" s="86"/>
      <c r="BC718" s="88"/>
      <c r="BD718" s="86"/>
      <c r="BE718" s="88"/>
      <c r="BF718" s="86"/>
      <c r="BG718" s="88"/>
      <c r="BH718" s="86"/>
      <c r="BI718" s="88"/>
      <c r="BJ718" s="86"/>
      <c r="BK718" s="88"/>
      <c r="BL718" s="86"/>
      <c r="BM718" s="88"/>
      <c r="BN718" s="86"/>
      <c r="BO718" s="88"/>
      <c r="BP718" s="86"/>
      <c r="BQ718" s="88"/>
      <c r="BR718" s="86"/>
      <c r="BS718" s="87"/>
    </row>
    <row r="719" ht="22.5" customHeight="1">
      <c r="A719" s="154"/>
      <c r="B719" s="83"/>
      <c r="C719" s="151"/>
      <c r="D719" s="83"/>
      <c r="E719" s="151"/>
      <c r="F719" s="83"/>
      <c r="G719" s="85"/>
      <c r="H719" s="86"/>
      <c r="I719" s="87"/>
      <c r="J719" s="86"/>
      <c r="K719" s="88"/>
      <c r="L719" s="86"/>
      <c r="M719" s="88"/>
      <c r="N719" s="86"/>
      <c r="O719" s="88"/>
      <c r="P719" s="86"/>
      <c r="Q719" s="88"/>
      <c r="R719" s="86"/>
      <c r="S719" s="88"/>
      <c r="T719" s="86"/>
      <c r="U719" s="88"/>
      <c r="V719" s="86"/>
      <c r="W719" s="88"/>
      <c r="X719" s="86"/>
      <c r="Y719" s="88"/>
      <c r="Z719" s="86"/>
      <c r="AA719" s="88"/>
      <c r="AB719" s="86"/>
      <c r="AC719" s="88"/>
      <c r="AD719" s="86"/>
      <c r="AE719" s="88"/>
      <c r="AF719" s="86"/>
      <c r="AG719" s="88"/>
      <c r="AH719" s="86"/>
      <c r="AI719" s="88"/>
      <c r="AJ719" s="86"/>
      <c r="AK719" s="88"/>
      <c r="AL719" s="86"/>
      <c r="AM719" s="88"/>
      <c r="AN719" s="86"/>
      <c r="AO719" s="88"/>
      <c r="AP719" s="86"/>
      <c r="AQ719" s="88"/>
      <c r="AR719" s="86"/>
      <c r="AS719" s="88"/>
      <c r="AT719" s="86"/>
      <c r="AU719" s="88"/>
      <c r="AV719" s="86"/>
      <c r="AW719" s="88"/>
      <c r="AX719" s="86"/>
      <c r="AY719" s="88"/>
      <c r="AZ719" s="86"/>
      <c r="BA719" s="88"/>
      <c r="BB719" s="86"/>
      <c r="BC719" s="88"/>
      <c r="BD719" s="86"/>
      <c r="BE719" s="88"/>
      <c r="BF719" s="86"/>
      <c r="BG719" s="88"/>
      <c r="BH719" s="86"/>
      <c r="BI719" s="88"/>
      <c r="BJ719" s="86"/>
      <c r="BK719" s="88"/>
      <c r="BL719" s="86"/>
      <c r="BM719" s="88"/>
      <c r="BN719" s="86"/>
      <c r="BO719" s="88"/>
      <c r="BP719" s="86"/>
      <c r="BQ719" s="88"/>
      <c r="BR719" s="86"/>
      <c r="BS719" s="87"/>
    </row>
    <row r="720" ht="22.5" customHeight="1">
      <c r="A720" s="154"/>
      <c r="B720" s="83"/>
      <c r="C720" s="151"/>
      <c r="D720" s="83"/>
      <c r="E720" s="151"/>
      <c r="F720" s="83"/>
      <c r="G720" s="85"/>
      <c r="H720" s="86"/>
      <c r="I720" s="87"/>
      <c r="J720" s="86"/>
      <c r="K720" s="88"/>
      <c r="L720" s="86"/>
      <c r="M720" s="88"/>
      <c r="N720" s="86"/>
      <c r="O720" s="88"/>
      <c r="P720" s="86"/>
      <c r="Q720" s="88"/>
      <c r="R720" s="86"/>
      <c r="S720" s="88"/>
      <c r="T720" s="86"/>
      <c r="U720" s="88"/>
      <c r="V720" s="86"/>
      <c r="W720" s="88"/>
      <c r="X720" s="86"/>
      <c r="Y720" s="88"/>
      <c r="Z720" s="86"/>
      <c r="AA720" s="88"/>
      <c r="AB720" s="86"/>
      <c r="AC720" s="88"/>
      <c r="AD720" s="86"/>
      <c r="AE720" s="88"/>
      <c r="AF720" s="86"/>
      <c r="AG720" s="88"/>
      <c r="AH720" s="86"/>
      <c r="AI720" s="88"/>
      <c r="AJ720" s="86"/>
      <c r="AK720" s="88"/>
      <c r="AL720" s="86"/>
      <c r="AM720" s="88"/>
      <c r="AN720" s="86"/>
      <c r="AO720" s="88"/>
      <c r="AP720" s="86"/>
      <c r="AQ720" s="88"/>
      <c r="AR720" s="86"/>
      <c r="AS720" s="88"/>
      <c r="AT720" s="86"/>
      <c r="AU720" s="88"/>
      <c r="AV720" s="86"/>
      <c r="AW720" s="88"/>
      <c r="AX720" s="86"/>
      <c r="AY720" s="88"/>
      <c r="AZ720" s="86"/>
      <c r="BA720" s="88"/>
      <c r="BB720" s="86"/>
      <c r="BC720" s="88"/>
      <c r="BD720" s="86"/>
      <c r="BE720" s="88"/>
      <c r="BF720" s="86"/>
      <c r="BG720" s="88"/>
      <c r="BH720" s="86"/>
      <c r="BI720" s="88"/>
      <c r="BJ720" s="86"/>
      <c r="BK720" s="88"/>
      <c r="BL720" s="86"/>
      <c r="BM720" s="88"/>
      <c r="BN720" s="86"/>
      <c r="BO720" s="88"/>
      <c r="BP720" s="86"/>
      <c r="BQ720" s="88"/>
      <c r="BR720" s="86"/>
      <c r="BS720" s="87"/>
    </row>
    <row r="721" ht="22.5" customHeight="1">
      <c r="A721" s="154"/>
      <c r="B721" s="83"/>
      <c r="C721" s="151"/>
      <c r="D721" s="83"/>
      <c r="E721" s="151"/>
      <c r="F721" s="83"/>
      <c r="G721" s="85"/>
      <c r="H721" s="86"/>
      <c r="I721" s="87"/>
      <c r="J721" s="86"/>
      <c r="K721" s="88"/>
      <c r="L721" s="86"/>
      <c r="M721" s="88"/>
      <c r="N721" s="86"/>
      <c r="O721" s="88"/>
      <c r="P721" s="86"/>
      <c r="Q721" s="88"/>
      <c r="R721" s="86"/>
      <c r="S721" s="88"/>
      <c r="T721" s="86"/>
      <c r="U721" s="88"/>
      <c r="V721" s="86"/>
      <c r="W721" s="88"/>
      <c r="X721" s="86"/>
      <c r="Y721" s="88"/>
      <c r="Z721" s="86"/>
      <c r="AA721" s="88"/>
      <c r="AB721" s="86"/>
      <c r="AC721" s="88"/>
      <c r="AD721" s="86"/>
      <c r="AE721" s="88"/>
      <c r="AF721" s="86"/>
      <c r="AG721" s="88"/>
      <c r="AH721" s="86"/>
      <c r="AI721" s="88"/>
      <c r="AJ721" s="86"/>
      <c r="AK721" s="88"/>
      <c r="AL721" s="86"/>
      <c r="AM721" s="88"/>
      <c r="AN721" s="86"/>
      <c r="AO721" s="88"/>
      <c r="AP721" s="86"/>
      <c r="AQ721" s="88"/>
      <c r="AR721" s="86"/>
      <c r="AS721" s="88"/>
      <c r="AT721" s="86"/>
      <c r="AU721" s="88"/>
      <c r="AV721" s="86"/>
      <c r="AW721" s="88"/>
      <c r="AX721" s="86"/>
      <c r="AY721" s="88"/>
      <c r="AZ721" s="86"/>
      <c r="BA721" s="88"/>
      <c r="BB721" s="86"/>
      <c r="BC721" s="88"/>
      <c r="BD721" s="86"/>
      <c r="BE721" s="88"/>
      <c r="BF721" s="86"/>
      <c r="BG721" s="88"/>
      <c r="BH721" s="86"/>
      <c r="BI721" s="88"/>
      <c r="BJ721" s="86"/>
      <c r="BK721" s="88"/>
      <c r="BL721" s="86"/>
      <c r="BM721" s="88"/>
      <c r="BN721" s="86"/>
      <c r="BO721" s="88"/>
      <c r="BP721" s="86"/>
      <c r="BQ721" s="88"/>
      <c r="BR721" s="86"/>
      <c r="BS721" s="87"/>
    </row>
    <row r="722" ht="22.5" customHeight="1">
      <c r="A722" s="154"/>
      <c r="B722" s="83"/>
      <c r="C722" s="151"/>
      <c r="D722" s="83"/>
      <c r="E722" s="151"/>
      <c r="F722" s="83"/>
      <c r="G722" s="85"/>
      <c r="H722" s="86"/>
      <c r="I722" s="87"/>
      <c r="J722" s="86"/>
      <c r="K722" s="88"/>
      <c r="L722" s="86"/>
      <c r="M722" s="88"/>
      <c r="N722" s="86"/>
      <c r="O722" s="88"/>
      <c r="P722" s="86"/>
      <c r="Q722" s="88"/>
      <c r="R722" s="86"/>
      <c r="S722" s="88"/>
      <c r="T722" s="86"/>
      <c r="U722" s="88"/>
      <c r="V722" s="86"/>
      <c r="W722" s="88"/>
      <c r="X722" s="86"/>
      <c r="Y722" s="88"/>
      <c r="Z722" s="86"/>
      <c r="AA722" s="88"/>
      <c r="AB722" s="86"/>
      <c r="AC722" s="88"/>
      <c r="AD722" s="86"/>
      <c r="AE722" s="88"/>
      <c r="AF722" s="86"/>
      <c r="AG722" s="88"/>
      <c r="AH722" s="86"/>
      <c r="AI722" s="88"/>
      <c r="AJ722" s="86"/>
      <c r="AK722" s="88"/>
      <c r="AL722" s="86"/>
      <c r="AM722" s="88"/>
      <c r="AN722" s="86"/>
      <c r="AO722" s="88"/>
      <c r="AP722" s="86"/>
      <c r="AQ722" s="88"/>
      <c r="AR722" s="86"/>
      <c r="AS722" s="88"/>
      <c r="AT722" s="86"/>
      <c r="AU722" s="88"/>
      <c r="AV722" s="86"/>
      <c r="AW722" s="88"/>
      <c r="AX722" s="86"/>
      <c r="AY722" s="88"/>
      <c r="AZ722" s="86"/>
      <c r="BA722" s="88"/>
      <c r="BB722" s="86"/>
      <c r="BC722" s="88"/>
      <c r="BD722" s="86"/>
      <c r="BE722" s="88"/>
      <c r="BF722" s="86"/>
      <c r="BG722" s="88"/>
      <c r="BH722" s="86"/>
      <c r="BI722" s="88"/>
      <c r="BJ722" s="86"/>
      <c r="BK722" s="88"/>
      <c r="BL722" s="86"/>
      <c r="BM722" s="88"/>
      <c r="BN722" s="86"/>
      <c r="BO722" s="88"/>
      <c r="BP722" s="86"/>
      <c r="BQ722" s="88"/>
      <c r="BR722" s="86"/>
      <c r="BS722" s="87"/>
    </row>
    <row r="723" ht="22.5" customHeight="1">
      <c r="A723" s="154"/>
      <c r="B723" s="83"/>
      <c r="C723" s="151"/>
      <c r="D723" s="83"/>
      <c r="E723" s="151"/>
      <c r="F723" s="83"/>
      <c r="G723" s="85"/>
      <c r="H723" s="86"/>
      <c r="I723" s="87"/>
      <c r="J723" s="86"/>
      <c r="K723" s="88"/>
      <c r="L723" s="86"/>
      <c r="M723" s="88"/>
      <c r="N723" s="86"/>
      <c r="O723" s="88"/>
      <c r="P723" s="86"/>
      <c r="Q723" s="88"/>
      <c r="R723" s="86"/>
      <c r="S723" s="88"/>
      <c r="T723" s="86"/>
      <c r="U723" s="88"/>
      <c r="V723" s="86"/>
      <c r="W723" s="88"/>
      <c r="X723" s="86"/>
      <c r="Y723" s="88"/>
      <c r="Z723" s="86"/>
      <c r="AA723" s="88"/>
      <c r="AB723" s="86"/>
      <c r="AC723" s="88"/>
      <c r="AD723" s="86"/>
      <c r="AE723" s="88"/>
      <c r="AF723" s="86"/>
      <c r="AG723" s="88"/>
      <c r="AH723" s="86"/>
      <c r="AI723" s="88"/>
      <c r="AJ723" s="86"/>
      <c r="AK723" s="88"/>
      <c r="AL723" s="86"/>
      <c r="AM723" s="88"/>
      <c r="AN723" s="86"/>
      <c r="AO723" s="88"/>
      <c r="AP723" s="86"/>
      <c r="AQ723" s="88"/>
      <c r="AR723" s="86"/>
      <c r="AS723" s="88"/>
      <c r="AT723" s="86"/>
      <c r="AU723" s="88"/>
      <c r="AV723" s="86"/>
      <c r="AW723" s="88"/>
      <c r="AX723" s="86"/>
      <c r="AY723" s="88"/>
      <c r="AZ723" s="86"/>
      <c r="BA723" s="88"/>
      <c r="BB723" s="86"/>
      <c r="BC723" s="88"/>
      <c r="BD723" s="86"/>
      <c r="BE723" s="88"/>
      <c r="BF723" s="86"/>
      <c r="BG723" s="88"/>
      <c r="BH723" s="86"/>
      <c r="BI723" s="88"/>
      <c r="BJ723" s="86"/>
      <c r="BK723" s="88"/>
      <c r="BL723" s="86"/>
      <c r="BM723" s="88"/>
      <c r="BN723" s="86"/>
      <c r="BO723" s="88"/>
      <c r="BP723" s="86"/>
      <c r="BQ723" s="88"/>
      <c r="BR723" s="86"/>
      <c r="BS723" s="87"/>
    </row>
    <row r="724" ht="22.5" customHeight="1">
      <c r="A724" s="154"/>
      <c r="B724" s="83"/>
      <c r="C724" s="151"/>
      <c r="D724" s="83"/>
      <c r="E724" s="151"/>
      <c r="F724" s="83"/>
      <c r="G724" s="85"/>
      <c r="H724" s="86"/>
      <c r="I724" s="87"/>
      <c r="J724" s="86"/>
      <c r="K724" s="88"/>
      <c r="L724" s="86"/>
      <c r="M724" s="88"/>
      <c r="N724" s="86"/>
      <c r="O724" s="88"/>
      <c r="P724" s="86"/>
      <c r="Q724" s="88"/>
      <c r="R724" s="86"/>
      <c r="S724" s="88"/>
      <c r="T724" s="86"/>
      <c r="U724" s="88"/>
      <c r="V724" s="86"/>
      <c r="W724" s="88"/>
      <c r="X724" s="86"/>
      <c r="Y724" s="88"/>
      <c r="Z724" s="86"/>
      <c r="AA724" s="88"/>
      <c r="AB724" s="86"/>
      <c r="AC724" s="88"/>
      <c r="AD724" s="86"/>
      <c r="AE724" s="88"/>
      <c r="AF724" s="86"/>
      <c r="AG724" s="88"/>
      <c r="AH724" s="86"/>
      <c r="AI724" s="88"/>
      <c r="AJ724" s="86"/>
      <c r="AK724" s="88"/>
      <c r="AL724" s="86"/>
      <c r="AM724" s="88"/>
      <c r="AN724" s="86"/>
      <c r="AO724" s="88"/>
      <c r="AP724" s="86"/>
      <c r="AQ724" s="88"/>
      <c r="AR724" s="86"/>
      <c r="AS724" s="88"/>
      <c r="AT724" s="86"/>
      <c r="AU724" s="88"/>
      <c r="AV724" s="86"/>
      <c r="AW724" s="88"/>
      <c r="AX724" s="86"/>
      <c r="AY724" s="88"/>
      <c r="AZ724" s="86"/>
      <c r="BA724" s="88"/>
      <c r="BB724" s="86"/>
      <c r="BC724" s="88"/>
      <c r="BD724" s="86"/>
      <c r="BE724" s="88"/>
      <c r="BF724" s="86"/>
      <c r="BG724" s="88"/>
      <c r="BH724" s="86"/>
      <c r="BI724" s="88"/>
      <c r="BJ724" s="86"/>
      <c r="BK724" s="88"/>
      <c r="BL724" s="86"/>
      <c r="BM724" s="88"/>
      <c r="BN724" s="86"/>
      <c r="BO724" s="88"/>
      <c r="BP724" s="86"/>
      <c r="BQ724" s="88"/>
      <c r="BR724" s="86"/>
      <c r="BS724" s="87"/>
    </row>
    <row r="725" ht="22.5" customHeight="1">
      <c r="A725" s="154"/>
      <c r="B725" s="83"/>
      <c r="C725" s="151"/>
      <c r="D725" s="83"/>
      <c r="E725" s="151"/>
      <c r="F725" s="83"/>
      <c r="G725" s="85"/>
      <c r="H725" s="86"/>
      <c r="I725" s="87"/>
      <c r="J725" s="86"/>
      <c r="K725" s="88"/>
      <c r="L725" s="86"/>
      <c r="M725" s="88"/>
      <c r="N725" s="86"/>
      <c r="O725" s="88"/>
      <c r="P725" s="86"/>
      <c r="Q725" s="88"/>
      <c r="R725" s="86"/>
      <c r="S725" s="88"/>
      <c r="T725" s="86"/>
      <c r="U725" s="88"/>
      <c r="V725" s="86"/>
      <c r="W725" s="88"/>
      <c r="X725" s="86"/>
      <c r="Y725" s="88"/>
      <c r="Z725" s="86"/>
      <c r="AA725" s="88"/>
      <c r="AB725" s="86"/>
      <c r="AC725" s="88"/>
      <c r="AD725" s="86"/>
      <c r="AE725" s="88"/>
      <c r="AF725" s="86"/>
      <c r="AG725" s="88"/>
      <c r="AH725" s="86"/>
      <c r="AI725" s="88"/>
      <c r="AJ725" s="86"/>
      <c r="AK725" s="88"/>
      <c r="AL725" s="86"/>
      <c r="AM725" s="88"/>
      <c r="AN725" s="86"/>
      <c r="AO725" s="88"/>
      <c r="AP725" s="86"/>
      <c r="AQ725" s="88"/>
      <c r="AR725" s="86"/>
      <c r="AS725" s="88"/>
      <c r="AT725" s="86"/>
      <c r="AU725" s="88"/>
      <c r="AV725" s="86"/>
      <c r="AW725" s="88"/>
      <c r="AX725" s="86"/>
      <c r="AY725" s="88"/>
      <c r="AZ725" s="86"/>
      <c r="BA725" s="88"/>
      <c r="BB725" s="86"/>
      <c r="BC725" s="88"/>
      <c r="BD725" s="86"/>
      <c r="BE725" s="88"/>
      <c r="BF725" s="86"/>
      <c r="BG725" s="88"/>
      <c r="BH725" s="86"/>
      <c r="BI725" s="88"/>
      <c r="BJ725" s="86"/>
      <c r="BK725" s="88"/>
      <c r="BL725" s="86"/>
      <c r="BM725" s="88"/>
      <c r="BN725" s="86"/>
      <c r="BO725" s="88"/>
      <c r="BP725" s="86"/>
      <c r="BQ725" s="88"/>
      <c r="BR725" s="86"/>
      <c r="BS725" s="87"/>
    </row>
    <row r="726" ht="22.5" customHeight="1">
      <c r="A726" s="154"/>
      <c r="B726" s="83"/>
      <c r="C726" s="151"/>
      <c r="D726" s="83"/>
      <c r="E726" s="151"/>
      <c r="F726" s="83"/>
      <c r="G726" s="85"/>
      <c r="H726" s="86"/>
      <c r="I726" s="87"/>
      <c r="J726" s="86"/>
      <c r="K726" s="88"/>
      <c r="L726" s="86"/>
      <c r="M726" s="88"/>
      <c r="N726" s="86"/>
      <c r="O726" s="88"/>
      <c r="P726" s="86"/>
      <c r="Q726" s="88"/>
      <c r="R726" s="86"/>
      <c r="S726" s="88"/>
      <c r="T726" s="86"/>
      <c r="U726" s="88"/>
      <c r="V726" s="86"/>
      <c r="W726" s="88"/>
      <c r="X726" s="86"/>
      <c r="Y726" s="88"/>
      <c r="Z726" s="86"/>
      <c r="AA726" s="88"/>
      <c r="AB726" s="86"/>
      <c r="AC726" s="88"/>
      <c r="AD726" s="86"/>
      <c r="AE726" s="88"/>
      <c r="AF726" s="86"/>
      <c r="AG726" s="88"/>
      <c r="AH726" s="86"/>
      <c r="AI726" s="88"/>
      <c r="AJ726" s="86"/>
      <c r="AK726" s="88"/>
      <c r="AL726" s="86"/>
      <c r="AM726" s="88"/>
      <c r="AN726" s="86"/>
      <c r="AO726" s="88"/>
      <c r="AP726" s="86"/>
      <c r="AQ726" s="88"/>
      <c r="AR726" s="86"/>
      <c r="AS726" s="88"/>
      <c r="AT726" s="86"/>
      <c r="AU726" s="88"/>
      <c r="AV726" s="86"/>
      <c r="AW726" s="88"/>
      <c r="AX726" s="86"/>
      <c r="AY726" s="88"/>
      <c r="AZ726" s="86"/>
      <c r="BA726" s="88"/>
      <c r="BB726" s="86"/>
      <c r="BC726" s="88"/>
      <c r="BD726" s="86"/>
      <c r="BE726" s="88"/>
      <c r="BF726" s="86"/>
      <c r="BG726" s="88"/>
      <c r="BH726" s="86"/>
      <c r="BI726" s="88"/>
      <c r="BJ726" s="86"/>
      <c r="BK726" s="88"/>
      <c r="BL726" s="86"/>
      <c r="BM726" s="88"/>
      <c r="BN726" s="86"/>
      <c r="BO726" s="88"/>
      <c r="BP726" s="86"/>
      <c r="BQ726" s="88"/>
      <c r="BR726" s="86"/>
      <c r="BS726" s="87"/>
    </row>
    <row r="727" ht="22.5" customHeight="1">
      <c r="A727" s="154"/>
      <c r="B727" s="83"/>
      <c r="C727" s="151"/>
      <c r="D727" s="83"/>
      <c r="E727" s="151"/>
      <c r="F727" s="83"/>
      <c r="G727" s="85"/>
      <c r="H727" s="86"/>
      <c r="I727" s="87"/>
      <c r="J727" s="86"/>
      <c r="K727" s="88"/>
      <c r="L727" s="86"/>
      <c r="M727" s="88"/>
      <c r="N727" s="86"/>
      <c r="O727" s="88"/>
      <c r="P727" s="86"/>
      <c r="Q727" s="88"/>
      <c r="R727" s="86"/>
      <c r="S727" s="88"/>
      <c r="T727" s="86"/>
      <c r="U727" s="88"/>
      <c r="V727" s="86"/>
      <c r="W727" s="88"/>
      <c r="X727" s="86"/>
      <c r="Y727" s="88"/>
      <c r="Z727" s="86"/>
      <c r="AA727" s="88"/>
      <c r="AB727" s="86"/>
      <c r="AC727" s="88"/>
      <c r="AD727" s="86"/>
      <c r="AE727" s="88"/>
      <c r="AF727" s="86"/>
      <c r="AG727" s="88"/>
      <c r="AH727" s="86"/>
      <c r="AI727" s="88"/>
      <c r="AJ727" s="86"/>
      <c r="AK727" s="88"/>
      <c r="AL727" s="86"/>
      <c r="AM727" s="88"/>
      <c r="AN727" s="86"/>
      <c r="AO727" s="88"/>
      <c r="AP727" s="86"/>
      <c r="AQ727" s="88"/>
      <c r="AR727" s="86"/>
      <c r="AS727" s="88"/>
      <c r="AT727" s="86"/>
      <c r="AU727" s="88"/>
      <c r="AV727" s="86"/>
      <c r="AW727" s="88"/>
      <c r="AX727" s="86"/>
      <c r="AY727" s="88"/>
      <c r="AZ727" s="86"/>
      <c r="BA727" s="88"/>
      <c r="BB727" s="86"/>
      <c r="BC727" s="88"/>
      <c r="BD727" s="86"/>
      <c r="BE727" s="88"/>
      <c r="BF727" s="86"/>
      <c r="BG727" s="88"/>
      <c r="BH727" s="86"/>
      <c r="BI727" s="88"/>
      <c r="BJ727" s="86"/>
      <c r="BK727" s="88"/>
      <c r="BL727" s="86"/>
      <c r="BM727" s="88"/>
      <c r="BN727" s="86"/>
      <c r="BO727" s="88"/>
      <c r="BP727" s="86"/>
      <c r="BQ727" s="88"/>
      <c r="BR727" s="86"/>
      <c r="BS727" s="87"/>
    </row>
    <row r="728" ht="22.5" customHeight="1">
      <c r="A728" s="154"/>
      <c r="B728" s="83"/>
      <c r="C728" s="151"/>
      <c r="D728" s="83"/>
      <c r="E728" s="151"/>
      <c r="F728" s="83"/>
      <c r="G728" s="85"/>
      <c r="H728" s="86"/>
      <c r="I728" s="87"/>
      <c r="J728" s="86"/>
      <c r="K728" s="88"/>
      <c r="L728" s="86"/>
      <c r="M728" s="88"/>
      <c r="N728" s="86"/>
      <c r="O728" s="88"/>
      <c r="P728" s="86"/>
      <c r="Q728" s="88"/>
      <c r="R728" s="86"/>
      <c r="S728" s="88"/>
      <c r="T728" s="86"/>
      <c r="U728" s="88"/>
      <c r="V728" s="86"/>
      <c r="W728" s="88"/>
      <c r="X728" s="86"/>
      <c r="Y728" s="88"/>
      <c r="Z728" s="86"/>
      <c r="AA728" s="88"/>
      <c r="AB728" s="86"/>
      <c r="AC728" s="88"/>
      <c r="AD728" s="86"/>
      <c r="AE728" s="88"/>
      <c r="AF728" s="86"/>
      <c r="AG728" s="88"/>
      <c r="AH728" s="86"/>
      <c r="AI728" s="88"/>
      <c r="AJ728" s="86"/>
      <c r="AK728" s="88"/>
      <c r="AL728" s="86"/>
      <c r="AM728" s="88"/>
      <c r="AN728" s="86"/>
      <c r="AO728" s="88"/>
      <c r="AP728" s="86"/>
      <c r="AQ728" s="88"/>
      <c r="AR728" s="86"/>
      <c r="AS728" s="88"/>
      <c r="AT728" s="86"/>
      <c r="AU728" s="88"/>
      <c r="AV728" s="86"/>
      <c r="AW728" s="88"/>
      <c r="AX728" s="86"/>
      <c r="AY728" s="88"/>
      <c r="AZ728" s="86"/>
      <c r="BA728" s="88"/>
      <c r="BB728" s="86"/>
      <c r="BC728" s="88"/>
      <c r="BD728" s="86"/>
      <c r="BE728" s="88"/>
      <c r="BF728" s="86"/>
      <c r="BG728" s="88"/>
      <c r="BH728" s="86"/>
      <c r="BI728" s="88"/>
      <c r="BJ728" s="86"/>
      <c r="BK728" s="88"/>
      <c r="BL728" s="86"/>
      <c r="BM728" s="88"/>
      <c r="BN728" s="86"/>
      <c r="BO728" s="88"/>
      <c r="BP728" s="86"/>
      <c r="BQ728" s="88"/>
      <c r="BR728" s="86"/>
      <c r="BS728" s="87"/>
    </row>
    <row r="729" ht="22.5" customHeight="1">
      <c r="A729" s="154"/>
      <c r="B729" s="83"/>
      <c r="C729" s="151"/>
      <c r="D729" s="83"/>
      <c r="E729" s="151"/>
      <c r="F729" s="83"/>
      <c r="G729" s="85"/>
      <c r="H729" s="86"/>
      <c r="I729" s="87"/>
      <c r="J729" s="86"/>
      <c r="K729" s="88"/>
      <c r="L729" s="86"/>
      <c r="M729" s="88"/>
      <c r="N729" s="86"/>
      <c r="O729" s="88"/>
      <c r="P729" s="86"/>
      <c r="Q729" s="88"/>
      <c r="R729" s="86"/>
      <c r="S729" s="88"/>
      <c r="T729" s="86"/>
      <c r="U729" s="88"/>
      <c r="V729" s="86"/>
      <c r="W729" s="88"/>
      <c r="X729" s="86"/>
      <c r="Y729" s="88"/>
      <c r="Z729" s="86"/>
      <c r="AA729" s="88"/>
      <c r="AB729" s="86"/>
      <c r="AC729" s="88"/>
      <c r="AD729" s="86"/>
      <c r="AE729" s="88"/>
      <c r="AF729" s="86"/>
      <c r="AG729" s="88"/>
      <c r="AH729" s="86"/>
      <c r="AI729" s="88"/>
      <c r="AJ729" s="86"/>
      <c r="AK729" s="88"/>
      <c r="AL729" s="86"/>
      <c r="AM729" s="88"/>
      <c r="AN729" s="86"/>
      <c r="AO729" s="88"/>
      <c r="AP729" s="86"/>
      <c r="AQ729" s="88"/>
      <c r="AR729" s="86"/>
      <c r="AS729" s="88"/>
      <c r="AT729" s="86"/>
      <c r="AU729" s="88"/>
      <c r="AV729" s="86"/>
      <c r="AW729" s="88"/>
      <c r="AX729" s="86"/>
      <c r="AY729" s="88"/>
      <c r="AZ729" s="86"/>
      <c r="BA729" s="88"/>
      <c r="BB729" s="86"/>
      <c r="BC729" s="88"/>
      <c r="BD729" s="86"/>
      <c r="BE729" s="88"/>
      <c r="BF729" s="86"/>
      <c r="BG729" s="88"/>
      <c r="BH729" s="86"/>
      <c r="BI729" s="88"/>
      <c r="BJ729" s="86"/>
      <c r="BK729" s="88"/>
      <c r="BL729" s="86"/>
      <c r="BM729" s="88"/>
      <c r="BN729" s="86"/>
      <c r="BO729" s="88"/>
      <c r="BP729" s="86"/>
      <c r="BQ729" s="88"/>
      <c r="BR729" s="86"/>
      <c r="BS729" s="87"/>
    </row>
    <row r="730" ht="22.5" customHeight="1">
      <c r="A730" s="154"/>
      <c r="B730" s="83"/>
      <c r="C730" s="151"/>
      <c r="D730" s="83"/>
      <c r="E730" s="151"/>
      <c r="F730" s="83"/>
      <c r="G730" s="85"/>
      <c r="H730" s="86"/>
      <c r="I730" s="87"/>
      <c r="J730" s="86"/>
      <c r="K730" s="88"/>
      <c r="L730" s="86"/>
      <c r="M730" s="88"/>
      <c r="N730" s="86"/>
      <c r="O730" s="88"/>
      <c r="P730" s="86"/>
      <c r="Q730" s="88"/>
      <c r="R730" s="86"/>
      <c r="S730" s="88"/>
      <c r="T730" s="86"/>
      <c r="U730" s="88"/>
      <c r="V730" s="86"/>
      <c r="W730" s="88"/>
      <c r="X730" s="86"/>
      <c r="Y730" s="88"/>
      <c r="Z730" s="86"/>
      <c r="AA730" s="88"/>
      <c r="AB730" s="86"/>
      <c r="AC730" s="88"/>
      <c r="AD730" s="86"/>
      <c r="AE730" s="88"/>
      <c r="AF730" s="86"/>
      <c r="AG730" s="88"/>
      <c r="AH730" s="86"/>
      <c r="AI730" s="88"/>
      <c r="AJ730" s="86"/>
      <c r="AK730" s="88"/>
      <c r="AL730" s="86"/>
      <c r="AM730" s="88"/>
      <c r="AN730" s="86"/>
      <c r="AO730" s="88"/>
      <c r="AP730" s="86"/>
      <c r="AQ730" s="88"/>
      <c r="AR730" s="86"/>
      <c r="AS730" s="88"/>
      <c r="AT730" s="86"/>
      <c r="AU730" s="88"/>
      <c r="AV730" s="86"/>
      <c r="AW730" s="88"/>
      <c r="AX730" s="86"/>
      <c r="AY730" s="88"/>
      <c r="AZ730" s="86"/>
      <c r="BA730" s="88"/>
      <c r="BB730" s="86"/>
      <c r="BC730" s="88"/>
      <c r="BD730" s="86"/>
      <c r="BE730" s="88"/>
      <c r="BF730" s="86"/>
      <c r="BG730" s="88"/>
      <c r="BH730" s="86"/>
      <c r="BI730" s="88"/>
      <c r="BJ730" s="86"/>
      <c r="BK730" s="88"/>
      <c r="BL730" s="86"/>
      <c r="BM730" s="88"/>
      <c r="BN730" s="86"/>
      <c r="BO730" s="88"/>
      <c r="BP730" s="86"/>
      <c r="BQ730" s="88"/>
      <c r="BR730" s="86"/>
      <c r="BS730" s="87"/>
    </row>
    <row r="731" ht="22.5" customHeight="1">
      <c r="A731" s="154"/>
      <c r="B731" s="83"/>
      <c r="C731" s="151"/>
      <c r="D731" s="83"/>
      <c r="E731" s="151"/>
      <c r="F731" s="83"/>
      <c r="G731" s="85"/>
      <c r="H731" s="86"/>
      <c r="I731" s="87"/>
      <c r="J731" s="86"/>
      <c r="K731" s="88"/>
      <c r="L731" s="86"/>
      <c r="M731" s="88"/>
      <c r="N731" s="86"/>
      <c r="O731" s="88"/>
      <c r="P731" s="86"/>
      <c r="Q731" s="88"/>
      <c r="R731" s="86"/>
      <c r="S731" s="88"/>
      <c r="T731" s="86"/>
      <c r="U731" s="88"/>
      <c r="V731" s="86"/>
      <c r="W731" s="88"/>
      <c r="X731" s="86"/>
      <c r="Y731" s="88"/>
      <c r="Z731" s="86"/>
      <c r="AA731" s="88"/>
      <c r="AB731" s="86"/>
      <c r="AC731" s="88"/>
      <c r="AD731" s="86"/>
      <c r="AE731" s="88"/>
      <c r="AF731" s="86"/>
      <c r="AG731" s="88"/>
      <c r="AH731" s="86"/>
      <c r="AI731" s="88"/>
      <c r="AJ731" s="86"/>
      <c r="AK731" s="88"/>
      <c r="AL731" s="86"/>
      <c r="AM731" s="88"/>
      <c r="AN731" s="86"/>
      <c r="AO731" s="88"/>
      <c r="AP731" s="86"/>
      <c r="AQ731" s="88"/>
      <c r="AR731" s="86"/>
      <c r="AS731" s="88"/>
      <c r="AT731" s="86"/>
      <c r="AU731" s="88"/>
      <c r="AV731" s="86"/>
      <c r="AW731" s="88"/>
      <c r="AX731" s="86"/>
      <c r="AY731" s="88"/>
      <c r="AZ731" s="86"/>
      <c r="BA731" s="88"/>
      <c r="BB731" s="86"/>
      <c r="BC731" s="88"/>
      <c r="BD731" s="86"/>
      <c r="BE731" s="88"/>
      <c r="BF731" s="86"/>
      <c r="BG731" s="88"/>
      <c r="BH731" s="86"/>
      <c r="BI731" s="88"/>
      <c r="BJ731" s="86"/>
      <c r="BK731" s="88"/>
      <c r="BL731" s="86"/>
      <c r="BM731" s="88"/>
      <c r="BN731" s="86"/>
      <c r="BO731" s="88"/>
      <c r="BP731" s="86"/>
      <c r="BQ731" s="88"/>
      <c r="BR731" s="86"/>
      <c r="BS731" s="87"/>
    </row>
    <row r="732" ht="22.5" customHeight="1">
      <c r="A732" s="154"/>
      <c r="B732" s="83"/>
      <c r="C732" s="151"/>
      <c r="D732" s="83"/>
      <c r="E732" s="151"/>
      <c r="F732" s="83"/>
      <c r="G732" s="85"/>
      <c r="H732" s="86"/>
      <c r="I732" s="87"/>
      <c r="J732" s="86"/>
      <c r="K732" s="88"/>
      <c r="L732" s="86"/>
      <c r="M732" s="88"/>
      <c r="N732" s="86"/>
      <c r="O732" s="88"/>
      <c r="P732" s="86"/>
      <c r="Q732" s="88"/>
      <c r="R732" s="86"/>
      <c r="S732" s="88"/>
      <c r="T732" s="86"/>
      <c r="U732" s="88"/>
      <c r="V732" s="86"/>
      <c r="W732" s="88"/>
      <c r="X732" s="86"/>
      <c r="Y732" s="88"/>
      <c r="Z732" s="86"/>
      <c r="AA732" s="88"/>
      <c r="AB732" s="86"/>
      <c r="AC732" s="88"/>
      <c r="AD732" s="86"/>
      <c r="AE732" s="88"/>
      <c r="AF732" s="86"/>
      <c r="AG732" s="88"/>
      <c r="AH732" s="86"/>
      <c r="AI732" s="88"/>
      <c r="AJ732" s="86"/>
      <c r="AK732" s="88"/>
      <c r="AL732" s="86"/>
      <c r="AM732" s="88"/>
      <c r="AN732" s="86"/>
      <c r="AO732" s="88"/>
      <c r="AP732" s="86"/>
      <c r="AQ732" s="88"/>
      <c r="AR732" s="86"/>
      <c r="AS732" s="88"/>
      <c r="AT732" s="86"/>
      <c r="AU732" s="88"/>
      <c r="AV732" s="86"/>
      <c r="AW732" s="88"/>
      <c r="AX732" s="86"/>
      <c r="AY732" s="88"/>
      <c r="AZ732" s="86"/>
      <c r="BA732" s="88"/>
      <c r="BB732" s="86"/>
      <c r="BC732" s="88"/>
      <c r="BD732" s="86"/>
      <c r="BE732" s="88"/>
      <c r="BF732" s="86"/>
      <c r="BG732" s="88"/>
      <c r="BH732" s="86"/>
      <c r="BI732" s="88"/>
      <c r="BJ732" s="86"/>
      <c r="BK732" s="88"/>
      <c r="BL732" s="86"/>
      <c r="BM732" s="88"/>
      <c r="BN732" s="86"/>
      <c r="BO732" s="88"/>
      <c r="BP732" s="86"/>
      <c r="BQ732" s="88"/>
      <c r="BR732" s="86"/>
      <c r="BS732" s="87"/>
    </row>
    <row r="733" ht="22.5" customHeight="1">
      <c r="A733" s="154"/>
      <c r="B733" s="83"/>
      <c r="C733" s="151"/>
      <c r="D733" s="83"/>
      <c r="E733" s="151"/>
      <c r="F733" s="83"/>
      <c r="G733" s="85"/>
      <c r="H733" s="86"/>
      <c r="I733" s="87"/>
      <c r="J733" s="86"/>
      <c r="K733" s="88"/>
      <c r="L733" s="86"/>
      <c r="M733" s="88"/>
      <c r="N733" s="86"/>
      <c r="O733" s="88"/>
      <c r="P733" s="86"/>
      <c r="Q733" s="88"/>
      <c r="R733" s="86"/>
      <c r="S733" s="88"/>
      <c r="T733" s="86"/>
      <c r="U733" s="88"/>
      <c r="V733" s="86"/>
      <c r="W733" s="88"/>
      <c r="X733" s="86"/>
      <c r="Y733" s="88"/>
      <c r="Z733" s="86"/>
      <c r="AA733" s="88"/>
      <c r="AB733" s="86"/>
      <c r="AC733" s="88"/>
      <c r="AD733" s="86"/>
      <c r="AE733" s="88"/>
      <c r="AF733" s="86"/>
      <c r="AG733" s="88"/>
      <c r="AH733" s="86"/>
      <c r="AI733" s="88"/>
      <c r="AJ733" s="86"/>
      <c r="AK733" s="88"/>
      <c r="AL733" s="86"/>
      <c r="AM733" s="88"/>
      <c r="AN733" s="86"/>
      <c r="AO733" s="88"/>
      <c r="AP733" s="86"/>
      <c r="AQ733" s="88"/>
      <c r="AR733" s="86"/>
      <c r="AS733" s="88"/>
      <c r="AT733" s="86"/>
      <c r="AU733" s="88"/>
      <c r="AV733" s="86"/>
      <c r="AW733" s="88"/>
      <c r="AX733" s="86"/>
      <c r="AY733" s="88"/>
      <c r="AZ733" s="86"/>
      <c r="BA733" s="88"/>
      <c r="BB733" s="86"/>
      <c r="BC733" s="88"/>
      <c r="BD733" s="86"/>
      <c r="BE733" s="88"/>
      <c r="BF733" s="86"/>
      <c r="BG733" s="88"/>
      <c r="BH733" s="86"/>
      <c r="BI733" s="88"/>
      <c r="BJ733" s="86"/>
      <c r="BK733" s="88"/>
      <c r="BL733" s="86"/>
      <c r="BM733" s="88"/>
      <c r="BN733" s="86"/>
      <c r="BO733" s="88"/>
      <c r="BP733" s="86"/>
      <c r="BQ733" s="88"/>
      <c r="BR733" s="86"/>
      <c r="BS733" s="87"/>
    </row>
    <row r="734" ht="22.5" customHeight="1">
      <c r="A734" s="154"/>
      <c r="B734" s="83"/>
      <c r="C734" s="151"/>
      <c r="D734" s="83"/>
      <c r="E734" s="151"/>
      <c r="F734" s="83"/>
      <c r="G734" s="85"/>
      <c r="H734" s="86"/>
      <c r="I734" s="87"/>
      <c r="J734" s="86"/>
      <c r="K734" s="88"/>
      <c r="L734" s="86"/>
      <c r="M734" s="88"/>
      <c r="N734" s="86"/>
      <c r="O734" s="88"/>
      <c r="P734" s="86"/>
      <c r="Q734" s="88"/>
      <c r="R734" s="86"/>
      <c r="S734" s="88"/>
      <c r="T734" s="86"/>
      <c r="U734" s="88"/>
      <c r="V734" s="86"/>
      <c r="W734" s="88"/>
      <c r="X734" s="86"/>
      <c r="Y734" s="88"/>
      <c r="Z734" s="86"/>
      <c r="AA734" s="88"/>
      <c r="AB734" s="86"/>
      <c r="AC734" s="88"/>
      <c r="AD734" s="86"/>
      <c r="AE734" s="88"/>
      <c r="AF734" s="86"/>
      <c r="AG734" s="88"/>
      <c r="AH734" s="86"/>
      <c r="AI734" s="88"/>
      <c r="AJ734" s="86"/>
      <c r="AK734" s="88"/>
      <c r="AL734" s="86"/>
      <c r="AM734" s="88"/>
      <c r="AN734" s="86"/>
      <c r="AO734" s="88"/>
      <c r="AP734" s="86"/>
      <c r="AQ734" s="88"/>
      <c r="AR734" s="86"/>
      <c r="AS734" s="88"/>
      <c r="AT734" s="86"/>
      <c r="AU734" s="88"/>
      <c r="AV734" s="86"/>
      <c r="AW734" s="88"/>
      <c r="AX734" s="86"/>
      <c r="AY734" s="88"/>
      <c r="AZ734" s="86"/>
      <c r="BA734" s="88"/>
      <c r="BB734" s="86"/>
      <c r="BC734" s="88"/>
      <c r="BD734" s="86"/>
      <c r="BE734" s="88"/>
      <c r="BF734" s="86"/>
      <c r="BG734" s="88"/>
      <c r="BH734" s="86"/>
      <c r="BI734" s="88"/>
      <c r="BJ734" s="86"/>
      <c r="BK734" s="88"/>
      <c r="BL734" s="86"/>
      <c r="BM734" s="88"/>
      <c r="BN734" s="86"/>
      <c r="BO734" s="88"/>
      <c r="BP734" s="86"/>
      <c r="BQ734" s="88"/>
      <c r="BR734" s="86"/>
      <c r="BS734" s="87"/>
    </row>
    <row r="735" ht="22.5" customHeight="1">
      <c r="A735" s="154"/>
      <c r="B735" s="83"/>
      <c r="C735" s="151"/>
      <c r="D735" s="83"/>
      <c r="E735" s="151"/>
      <c r="F735" s="83"/>
      <c r="G735" s="85"/>
      <c r="H735" s="86"/>
      <c r="I735" s="87"/>
      <c r="J735" s="86"/>
      <c r="K735" s="88"/>
      <c r="L735" s="86"/>
      <c r="M735" s="88"/>
      <c r="N735" s="86"/>
      <c r="O735" s="88"/>
      <c r="P735" s="86"/>
      <c r="Q735" s="88"/>
      <c r="R735" s="86"/>
      <c r="S735" s="88"/>
      <c r="T735" s="86"/>
      <c r="U735" s="88"/>
      <c r="V735" s="86"/>
      <c r="W735" s="88"/>
      <c r="X735" s="86"/>
      <c r="Y735" s="88"/>
      <c r="Z735" s="86"/>
      <c r="AA735" s="88"/>
      <c r="AB735" s="86"/>
      <c r="AC735" s="88"/>
      <c r="AD735" s="86"/>
      <c r="AE735" s="88"/>
      <c r="AF735" s="86"/>
      <c r="AG735" s="88"/>
      <c r="AH735" s="86"/>
      <c r="AI735" s="88"/>
      <c r="AJ735" s="86"/>
      <c r="AK735" s="88"/>
      <c r="AL735" s="86"/>
      <c r="AM735" s="88"/>
      <c r="AN735" s="86"/>
      <c r="AO735" s="88"/>
      <c r="AP735" s="86"/>
      <c r="AQ735" s="88"/>
      <c r="AR735" s="86"/>
      <c r="AS735" s="88"/>
      <c r="AT735" s="86"/>
      <c r="AU735" s="88"/>
      <c r="AV735" s="86"/>
      <c r="AW735" s="88"/>
      <c r="AX735" s="86"/>
      <c r="AY735" s="88"/>
      <c r="AZ735" s="86"/>
      <c r="BA735" s="88"/>
      <c r="BB735" s="86"/>
      <c r="BC735" s="88"/>
      <c r="BD735" s="86"/>
      <c r="BE735" s="88"/>
      <c r="BF735" s="86"/>
      <c r="BG735" s="88"/>
      <c r="BH735" s="86"/>
      <c r="BI735" s="88"/>
      <c r="BJ735" s="86"/>
      <c r="BK735" s="88"/>
      <c r="BL735" s="86"/>
      <c r="BM735" s="88"/>
      <c r="BN735" s="86"/>
      <c r="BO735" s="88"/>
      <c r="BP735" s="86"/>
      <c r="BQ735" s="88"/>
      <c r="BR735" s="86"/>
      <c r="BS735" s="87"/>
    </row>
    <row r="736" ht="22.5" customHeight="1">
      <c r="A736" s="154"/>
      <c r="B736" s="83"/>
      <c r="C736" s="151"/>
      <c r="D736" s="83"/>
      <c r="E736" s="151"/>
      <c r="F736" s="83"/>
      <c r="G736" s="85"/>
      <c r="H736" s="86"/>
      <c r="I736" s="87"/>
      <c r="J736" s="86"/>
      <c r="K736" s="88"/>
      <c r="L736" s="86"/>
      <c r="M736" s="88"/>
      <c r="N736" s="86"/>
      <c r="O736" s="88"/>
      <c r="P736" s="86"/>
      <c r="Q736" s="88"/>
      <c r="R736" s="86"/>
      <c r="S736" s="88"/>
      <c r="T736" s="86"/>
      <c r="U736" s="88"/>
      <c r="V736" s="86"/>
      <c r="W736" s="88"/>
      <c r="X736" s="86"/>
      <c r="Y736" s="88"/>
      <c r="Z736" s="86"/>
      <c r="AA736" s="88"/>
      <c r="AB736" s="86"/>
      <c r="AC736" s="88"/>
      <c r="AD736" s="86"/>
      <c r="AE736" s="88"/>
      <c r="AF736" s="86"/>
      <c r="AG736" s="88"/>
      <c r="AH736" s="86"/>
      <c r="AI736" s="88"/>
      <c r="AJ736" s="86"/>
      <c r="AK736" s="88"/>
      <c r="AL736" s="86"/>
      <c r="AM736" s="88"/>
      <c r="AN736" s="86"/>
      <c r="AO736" s="88"/>
      <c r="AP736" s="86"/>
      <c r="AQ736" s="88"/>
      <c r="AR736" s="86"/>
      <c r="AS736" s="88"/>
      <c r="AT736" s="86"/>
      <c r="AU736" s="88"/>
      <c r="AV736" s="86"/>
      <c r="AW736" s="88"/>
      <c r="AX736" s="86"/>
      <c r="AY736" s="88"/>
      <c r="AZ736" s="86"/>
      <c r="BA736" s="88"/>
      <c r="BB736" s="86"/>
      <c r="BC736" s="88"/>
      <c r="BD736" s="86"/>
      <c r="BE736" s="88"/>
      <c r="BF736" s="86"/>
      <c r="BG736" s="88"/>
      <c r="BH736" s="86"/>
      <c r="BI736" s="88"/>
      <c r="BJ736" s="86"/>
      <c r="BK736" s="88"/>
      <c r="BL736" s="86"/>
      <c r="BM736" s="88"/>
      <c r="BN736" s="86"/>
      <c r="BO736" s="88"/>
      <c r="BP736" s="86"/>
      <c r="BQ736" s="88"/>
      <c r="BR736" s="86"/>
      <c r="BS736" s="87"/>
    </row>
    <row r="737" ht="22.5" customHeight="1">
      <c r="A737" s="154"/>
      <c r="B737" s="83"/>
      <c r="C737" s="151"/>
      <c r="D737" s="83"/>
      <c r="E737" s="151"/>
      <c r="F737" s="83"/>
      <c r="G737" s="85"/>
      <c r="H737" s="86"/>
      <c r="I737" s="87"/>
      <c r="J737" s="86"/>
      <c r="K737" s="88"/>
      <c r="L737" s="86"/>
      <c r="M737" s="88"/>
      <c r="N737" s="86"/>
      <c r="O737" s="88"/>
      <c r="P737" s="86"/>
      <c r="Q737" s="88"/>
      <c r="R737" s="86"/>
      <c r="S737" s="88"/>
      <c r="T737" s="86"/>
      <c r="U737" s="88"/>
      <c r="V737" s="86"/>
      <c r="W737" s="88"/>
      <c r="X737" s="86"/>
      <c r="Y737" s="88"/>
      <c r="Z737" s="86"/>
      <c r="AA737" s="88"/>
      <c r="AB737" s="86"/>
      <c r="AC737" s="88"/>
      <c r="AD737" s="86"/>
      <c r="AE737" s="88"/>
      <c r="AF737" s="86"/>
      <c r="AG737" s="88"/>
      <c r="AH737" s="86"/>
      <c r="AI737" s="88"/>
      <c r="AJ737" s="86"/>
      <c r="AK737" s="88"/>
      <c r="AL737" s="86"/>
      <c r="AM737" s="88"/>
      <c r="AN737" s="86"/>
      <c r="AO737" s="88"/>
      <c r="AP737" s="86"/>
      <c r="AQ737" s="88"/>
      <c r="AR737" s="86"/>
      <c r="AS737" s="88"/>
      <c r="AT737" s="86"/>
      <c r="AU737" s="88"/>
      <c r="AV737" s="86"/>
      <c r="AW737" s="88"/>
      <c r="AX737" s="86"/>
      <c r="AY737" s="88"/>
      <c r="AZ737" s="86"/>
      <c r="BA737" s="88"/>
      <c r="BB737" s="86"/>
      <c r="BC737" s="88"/>
      <c r="BD737" s="86"/>
      <c r="BE737" s="88"/>
      <c r="BF737" s="86"/>
      <c r="BG737" s="88"/>
      <c r="BH737" s="86"/>
      <c r="BI737" s="88"/>
      <c r="BJ737" s="86"/>
      <c r="BK737" s="88"/>
      <c r="BL737" s="86"/>
      <c r="BM737" s="88"/>
      <c r="BN737" s="86"/>
      <c r="BO737" s="88"/>
      <c r="BP737" s="86"/>
      <c r="BQ737" s="88"/>
      <c r="BR737" s="86"/>
      <c r="BS737" s="87"/>
    </row>
    <row r="738" ht="22.5" customHeight="1">
      <c r="A738" s="154"/>
      <c r="B738" s="83"/>
      <c r="C738" s="151"/>
      <c r="D738" s="83"/>
      <c r="E738" s="151"/>
      <c r="F738" s="83"/>
      <c r="G738" s="85"/>
      <c r="H738" s="86"/>
      <c r="I738" s="87"/>
      <c r="J738" s="86"/>
      <c r="K738" s="88"/>
      <c r="L738" s="86"/>
      <c r="M738" s="88"/>
      <c r="N738" s="86"/>
      <c r="O738" s="88"/>
      <c r="P738" s="86"/>
      <c r="Q738" s="88"/>
      <c r="R738" s="86"/>
      <c r="S738" s="88"/>
      <c r="T738" s="86"/>
      <c r="U738" s="88"/>
      <c r="V738" s="86"/>
      <c r="W738" s="88"/>
      <c r="X738" s="86"/>
      <c r="Y738" s="88"/>
      <c r="Z738" s="86"/>
      <c r="AA738" s="88"/>
      <c r="AB738" s="86"/>
      <c r="AC738" s="88"/>
      <c r="AD738" s="86"/>
      <c r="AE738" s="88"/>
      <c r="AF738" s="86"/>
      <c r="AG738" s="88"/>
      <c r="AH738" s="86"/>
      <c r="AI738" s="88"/>
      <c r="AJ738" s="86"/>
      <c r="AK738" s="88"/>
      <c r="AL738" s="86"/>
      <c r="AM738" s="88"/>
      <c r="AN738" s="86"/>
      <c r="AO738" s="88"/>
      <c r="AP738" s="86"/>
      <c r="AQ738" s="88"/>
      <c r="AR738" s="86"/>
      <c r="AS738" s="88"/>
      <c r="AT738" s="86"/>
      <c r="AU738" s="88"/>
      <c r="AV738" s="86"/>
      <c r="AW738" s="88"/>
      <c r="AX738" s="86"/>
      <c r="AY738" s="88"/>
      <c r="AZ738" s="86"/>
      <c r="BA738" s="88"/>
      <c r="BB738" s="86"/>
      <c r="BC738" s="88"/>
      <c r="BD738" s="86"/>
      <c r="BE738" s="88"/>
      <c r="BF738" s="86"/>
      <c r="BG738" s="88"/>
      <c r="BH738" s="86"/>
      <c r="BI738" s="88"/>
      <c r="BJ738" s="86"/>
      <c r="BK738" s="88"/>
      <c r="BL738" s="86"/>
      <c r="BM738" s="88"/>
      <c r="BN738" s="86"/>
      <c r="BO738" s="88"/>
      <c r="BP738" s="86"/>
      <c r="BQ738" s="88"/>
      <c r="BR738" s="86"/>
      <c r="BS738" s="87"/>
    </row>
    <row r="739" ht="22.5" customHeight="1">
      <c r="A739" s="154"/>
      <c r="B739" s="83"/>
      <c r="C739" s="151"/>
      <c r="D739" s="83"/>
      <c r="E739" s="151"/>
      <c r="F739" s="83"/>
      <c r="G739" s="85"/>
      <c r="H739" s="86"/>
      <c r="I739" s="87"/>
      <c r="J739" s="86"/>
      <c r="K739" s="88"/>
      <c r="L739" s="86"/>
      <c r="M739" s="88"/>
      <c r="N739" s="86"/>
      <c r="O739" s="88"/>
      <c r="P739" s="86"/>
      <c r="Q739" s="88"/>
      <c r="R739" s="86"/>
      <c r="S739" s="88"/>
      <c r="T739" s="86"/>
      <c r="U739" s="88"/>
      <c r="V739" s="86"/>
      <c r="W739" s="88"/>
      <c r="X739" s="86"/>
      <c r="Y739" s="88"/>
      <c r="Z739" s="86"/>
      <c r="AA739" s="88"/>
      <c r="AB739" s="86"/>
      <c r="AC739" s="88"/>
      <c r="AD739" s="86"/>
      <c r="AE739" s="88"/>
      <c r="AF739" s="86"/>
      <c r="AG739" s="88"/>
      <c r="AH739" s="86"/>
      <c r="AI739" s="88"/>
      <c r="AJ739" s="86"/>
      <c r="AK739" s="88"/>
      <c r="AL739" s="86"/>
      <c r="AM739" s="88"/>
      <c r="AN739" s="86"/>
      <c r="AO739" s="88"/>
      <c r="AP739" s="86"/>
      <c r="AQ739" s="88"/>
      <c r="AR739" s="86"/>
      <c r="AS739" s="88"/>
      <c r="AT739" s="86"/>
      <c r="AU739" s="88"/>
      <c r="AV739" s="86"/>
      <c r="AW739" s="88"/>
      <c r="AX739" s="86"/>
      <c r="AY739" s="88"/>
      <c r="AZ739" s="86"/>
      <c r="BA739" s="88"/>
      <c r="BB739" s="86"/>
      <c r="BC739" s="88"/>
      <c r="BD739" s="86"/>
      <c r="BE739" s="88"/>
      <c r="BF739" s="86"/>
      <c r="BG739" s="88"/>
      <c r="BH739" s="86"/>
      <c r="BI739" s="88"/>
      <c r="BJ739" s="86"/>
      <c r="BK739" s="88"/>
      <c r="BL739" s="86"/>
      <c r="BM739" s="88"/>
      <c r="BN739" s="86"/>
      <c r="BO739" s="88"/>
      <c r="BP739" s="86"/>
      <c r="BQ739" s="88"/>
      <c r="BR739" s="86"/>
      <c r="BS739" s="87"/>
    </row>
    <row r="740" ht="22.5" customHeight="1">
      <c r="A740" s="154"/>
      <c r="B740" s="83"/>
      <c r="C740" s="151"/>
      <c r="D740" s="83"/>
      <c r="E740" s="151"/>
      <c r="F740" s="83"/>
      <c r="G740" s="85"/>
      <c r="H740" s="86"/>
      <c r="I740" s="87"/>
      <c r="J740" s="86"/>
      <c r="K740" s="88"/>
      <c r="L740" s="86"/>
      <c r="M740" s="88"/>
      <c r="N740" s="86"/>
      <c r="O740" s="88"/>
      <c r="P740" s="86"/>
      <c r="Q740" s="88"/>
      <c r="R740" s="86"/>
      <c r="S740" s="88"/>
      <c r="T740" s="86"/>
      <c r="U740" s="88"/>
      <c r="V740" s="86"/>
      <c r="W740" s="88"/>
      <c r="X740" s="86"/>
      <c r="Y740" s="88"/>
      <c r="Z740" s="86"/>
      <c r="AA740" s="88"/>
      <c r="AB740" s="86"/>
      <c r="AC740" s="88"/>
      <c r="AD740" s="86"/>
      <c r="AE740" s="88"/>
      <c r="AF740" s="86"/>
      <c r="AG740" s="88"/>
      <c r="AH740" s="86"/>
      <c r="AI740" s="88"/>
      <c r="AJ740" s="86"/>
      <c r="AK740" s="88"/>
      <c r="AL740" s="86"/>
      <c r="AM740" s="88"/>
      <c r="AN740" s="86"/>
      <c r="AO740" s="88"/>
      <c r="AP740" s="86"/>
      <c r="AQ740" s="88"/>
      <c r="AR740" s="86"/>
      <c r="AS740" s="88"/>
      <c r="AT740" s="86"/>
      <c r="AU740" s="88"/>
      <c r="AV740" s="86"/>
      <c r="AW740" s="88"/>
      <c r="AX740" s="86"/>
      <c r="AY740" s="88"/>
      <c r="AZ740" s="86"/>
      <c r="BA740" s="88"/>
      <c r="BB740" s="86"/>
      <c r="BC740" s="88"/>
      <c r="BD740" s="86"/>
      <c r="BE740" s="88"/>
      <c r="BF740" s="86"/>
      <c r="BG740" s="88"/>
      <c r="BH740" s="86"/>
      <c r="BI740" s="88"/>
      <c r="BJ740" s="86"/>
      <c r="BK740" s="88"/>
      <c r="BL740" s="86"/>
      <c r="BM740" s="88"/>
      <c r="BN740" s="86"/>
      <c r="BO740" s="88"/>
      <c r="BP740" s="86"/>
      <c r="BQ740" s="88"/>
      <c r="BR740" s="86"/>
      <c r="BS740" s="87"/>
    </row>
    <row r="741" ht="22.5" customHeight="1">
      <c r="A741" s="154"/>
      <c r="B741" s="83"/>
      <c r="C741" s="151"/>
      <c r="D741" s="83"/>
      <c r="E741" s="151"/>
      <c r="F741" s="83"/>
      <c r="G741" s="85"/>
      <c r="H741" s="86"/>
      <c r="I741" s="87"/>
      <c r="J741" s="86"/>
      <c r="K741" s="88"/>
      <c r="L741" s="86"/>
      <c r="M741" s="88"/>
      <c r="N741" s="86"/>
      <c r="O741" s="88"/>
      <c r="P741" s="86"/>
      <c r="Q741" s="88"/>
      <c r="R741" s="86"/>
      <c r="S741" s="88"/>
      <c r="T741" s="86"/>
      <c r="U741" s="88"/>
      <c r="V741" s="86"/>
      <c r="W741" s="88"/>
      <c r="X741" s="86"/>
      <c r="Y741" s="88"/>
      <c r="Z741" s="86"/>
      <c r="AA741" s="88"/>
      <c r="AB741" s="86"/>
      <c r="AC741" s="88"/>
      <c r="AD741" s="86"/>
      <c r="AE741" s="88"/>
      <c r="AF741" s="86"/>
      <c r="AG741" s="88"/>
      <c r="AH741" s="86"/>
      <c r="AI741" s="88"/>
      <c r="AJ741" s="86"/>
      <c r="AK741" s="88"/>
      <c r="AL741" s="86"/>
      <c r="AM741" s="88"/>
      <c r="AN741" s="86"/>
      <c r="AO741" s="88"/>
      <c r="AP741" s="86"/>
      <c r="AQ741" s="88"/>
      <c r="AR741" s="86"/>
      <c r="AS741" s="88"/>
      <c r="AT741" s="86"/>
      <c r="AU741" s="88"/>
      <c r="AV741" s="86"/>
      <c r="AW741" s="88"/>
      <c r="AX741" s="86"/>
      <c r="AY741" s="88"/>
      <c r="AZ741" s="86"/>
      <c r="BA741" s="88"/>
      <c r="BB741" s="86"/>
      <c r="BC741" s="88"/>
      <c r="BD741" s="86"/>
      <c r="BE741" s="88"/>
      <c r="BF741" s="86"/>
      <c r="BG741" s="88"/>
      <c r="BH741" s="86"/>
      <c r="BI741" s="88"/>
      <c r="BJ741" s="86"/>
      <c r="BK741" s="88"/>
      <c r="BL741" s="86"/>
      <c r="BM741" s="88"/>
      <c r="BN741" s="86"/>
      <c r="BO741" s="88"/>
      <c r="BP741" s="86"/>
      <c r="BQ741" s="88"/>
      <c r="BR741" s="86"/>
      <c r="BS741" s="87"/>
    </row>
    <row r="742" ht="22.5" customHeight="1">
      <c r="A742" s="154"/>
      <c r="B742" s="83"/>
      <c r="C742" s="151"/>
      <c r="D742" s="83"/>
      <c r="E742" s="151"/>
      <c r="F742" s="83"/>
      <c r="G742" s="85"/>
      <c r="H742" s="86"/>
      <c r="I742" s="87"/>
      <c r="J742" s="86"/>
      <c r="K742" s="88"/>
      <c r="L742" s="86"/>
      <c r="M742" s="88"/>
      <c r="N742" s="86"/>
      <c r="O742" s="88"/>
      <c r="P742" s="86"/>
      <c r="Q742" s="88"/>
      <c r="R742" s="86"/>
      <c r="S742" s="88"/>
      <c r="T742" s="86"/>
      <c r="U742" s="88"/>
      <c r="V742" s="86"/>
      <c r="W742" s="88"/>
      <c r="X742" s="86"/>
      <c r="Y742" s="88"/>
      <c r="Z742" s="86"/>
      <c r="AA742" s="88"/>
      <c r="AB742" s="86"/>
      <c r="AC742" s="88"/>
      <c r="AD742" s="86"/>
      <c r="AE742" s="88"/>
      <c r="AF742" s="86"/>
      <c r="AG742" s="88"/>
      <c r="AH742" s="86"/>
      <c r="AI742" s="88"/>
      <c r="AJ742" s="86"/>
      <c r="AK742" s="88"/>
      <c r="AL742" s="86"/>
      <c r="AM742" s="88"/>
      <c r="AN742" s="86"/>
      <c r="AO742" s="88"/>
      <c r="AP742" s="86"/>
      <c r="AQ742" s="88"/>
      <c r="AR742" s="86"/>
      <c r="AS742" s="88"/>
      <c r="AT742" s="86"/>
      <c r="AU742" s="88"/>
      <c r="AV742" s="86"/>
      <c r="AW742" s="88"/>
      <c r="AX742" s="86"/>
      <c r="AY742" s="88"/>
      <c r="AZ742" s="86"/>
      <c r="BA742" s="88"/>
      <c r="BB742" s="86"/>
      <c r="BC742" s="88"/>
      <c r="BD742" s="86"/>
      <c r="BE742" s="88"/>
      <c r="BF742" s="86"/>
      <c r="BG742" s="88"/>
      <c r="BH742" s="86"/>
      <c r="BI742" s="88"/>
      <c r="BJ742" s="86"/>
      <c r="BK742" s="88"/>
      <c r="BL742" s="86"/>
      <c r="BM742" s="88"/>
      <c r="BN742" s="86"/>
      <c r="BO742" s="88"/>
      <c r="BP742" s="86"/>
      <c r="BQ742" s="88"/>
      <c r="BR742" s="86"/>
      <c r="BS742" s="87"/>
    </row>
    <row r="743" ht="22.5" customHeight="1">
      <c r="A743" s="154"/>
      <c r="B743" s="83"/>
      <c r="C743" s="151"/>
      <c r="D743" s="83"/>
      <c r="E743" s="151"/>
      <c r="F743" s="83"/>
      <c r="G743" s="85"/>
      <c r="H743" s="86"/>
      <c r="I743" s="87"/>
      <c r="J743" s="86"/>
      <c r="K743" s="88"/>
      <c r="L743" s="86"/>
      <c r="M743" s="88"/>
      <c r="N743" s="86"/>
      <c r="O743" s="88"/>
      <c r="P743" s="86"/>
      <c r="Q743" s="88"/>
      <c r="R743" s="86"/>
      <c r="S743" s="88"/>
      <c r="T743" s="86"/>
      <c r="U743" s="88"/>
      <c r="V743" s="86"/>
      <c r="W743" s="88"/>
      <c r="X743" s="86"/>
      <c r="Y743" s="88"/>
      <c r="Z743" s="86"/>
      <c r="AA743" s="88"/>
      <c r="AB743" s="86"/>
      <c r="AC743" s="88"/>
      <c r="AD743" s="86"/>
      <c r="AE743" s="88"/>
      <c r="AF743" s="86"/>
      <c r="AG743" s="88"/>
      <c r="AH743" s="86"/>
      <c r="AI743" s="88"/>
      <c r="AJ743" s="86"/>
      <c r="AK743" s="88"/>
      <c r="AL743" s="86"/>
      <c r="AM743" s="88"/>
      <c r="AN743" s="86"/>
      <c r="AO743" s="88"/>
      <c r="AP743" s="86"/>
      <c r="AQ743" s="88"/>
      <c r="AR743" s="86"/>
      <c r="AS743" s="88"/>
      <c r="AT743" s="86"/>
      <c r="AU743" s="88"/>
      <c r="AV743" s="86"/>
      <c r="AW743" s="88"/>
      <c r="AX743" s="86"/>
      <c r="AY743" s="88"/>
      <c r="AZ743" s="86"/>
      <c r="BA743" s="88"/>
      <c r="BB743" s="86"/>
      <c r="BC743" s="88"/>
      <c r="BD743" s="86"/>
      <c r="BE743" s="88"/>
      <c r="BF743" s="86"/>
      <c r="BG743" s="88"/>
      <c r="BH743" s="86"/>
      <c r="BI743" s="88"/>
      <c r="BJ743" s="86"/>
      <c r="BK743" s="88"/>
      <c r="BL743" s="86"/>
      <c r="BM743" s="88"/>
      <c r="BN743" s="86"/>
      <c r="BO743" s="88"/>
      <c r="BP743" s="86"/>
      <c r="BQ743" s="88"/>
      <c r="BR743" s="86"/>
      <c r="BS743" s="87"/>
    </row>
    <row r="744" ht="22.5" customHeight="1">
      <c r="A744" s="154"/>
      <c r="B744" s="83"/>
      <c r="C744" s="151"/>
      <c r="D744" s="83"/>
      <c r="E744" s="151"/>
      <c r="F744" s="83"/>
      <c r="G744" s="85"/>
      <c r="H744" s="86"/>
      <c r="I744" s="87"/>
      <c r="J744" s="86"/>
      <c r="K744" s="88"/>
      <c r="L744" s="86"/>
      <c r="M744" s="88"/>
      <c r="N744" s="86"/>
      <c r="O744" s="88"/>
      <c r="P744" s="86"/>
      <c r="Q744" s="88"/>
      <c r="R744" s="86"/>
      <c r="S744" s="88"/>
      <c r="T744" s="86"/>
      <c r="U744" s="88"/>
      <c r="V744" s="86"/>
      <c r="W744" s="88"/>
      <c r="X744" s="86"/>
      <c r="Y744" s="88"/>
      <c r="Z744" s="86"/>
      <c r="AA744" s="88"/>
      <c r="AB744" s="86"/>
      <c r="AC744" s="88"/>
      <c r="AD744" s="86"/>
      <c r="AE744" s="88"/>
      <c r="AF744" s="86"/>
      <c r="AG744" s="88"/>
      <c r="AH744" s="86"/>
      <c r="AI744" s="88"/>
      <c r="AJ744" s="86"/>
      <c r="AK744" s="88"/>
      <c r="AL744" s="86"/>
      <c r="AM744" s="88"/>
      <c r="AN744" s="86"/>
      <c r="AO744" s="88"/>
      <c r="AP744" s="86"/>
      <c r="AQ744" s="88"/>
      <c r="AR744" s="86"/>
      <c r="AS744" s="88"/>
      <c r="AT744" s="86"/>
      <c r="AU744" s="88"/>
      <c r="AV744" s="86"/>
      <c r="AW744" s="88"/>
      <c r="AX744" s="86"/>
      <c r="AY744" s="88"/>
      <c r="AZ744" s="86"/>
      <c r="BA744" s="88"/>
      <c r="BB744" s="86"/>
      <c r="BC744" s="88"/>
      <c r="BD744" s="86"/>
      <c r="BE744" s="88"/>
      <c r="BF744" s="86"/>
      <c r="BG744" s="88"/>
      <c r="BH744" s="86"/>
      <c r="BI744" s="88"/>
      <c r="BJ744" s="86"/>
      <c r="BK744" s="88"/>
      <c r="BL744" s="86"/>
      <c r="BM744" s="88"/>
      <c r="BN744" s="86"/>
      <c r="BO744" s="88"/>
      <c r="BP744" s="86"/>
      <c r="BQ744" s="88"/>
      <c r="BR744" s="86"/>
      <c r="BS744" s="87"/>
    </row>
    <row r="745" ht="22.5" customHeight="1">
      <c r="A745" s="154"/>
      <c r="B745" s="83"/>
      <c r="C745" s="151"/>
      <c r="D745" s="83"/>
      <c r="E745" s="151"/>
      <c r="F745" s="83"/>
      <c r="G745" s="85"/>
      <c r="H745" s="86"/>
      <c r="I745" s="87"/>
      <c r="J745" s="86"/>
      <c r="K745" s="88"/>
      <c r="L745" s="86"/>
      <c r="M745" s="88"/>
      <c r="N745" s="86"/>
      <c r="O745" s="88"/>
      <c r="P745" s="86"/>
      <c r="Q745" s="88"/>
      <c r="R745" s="86"/>
      <c r="S745" s="88"/>
      <c r="T745" s="86"/>
      <c r="U745" s="88"/>
      <c r="V745" s="86"/>
      <c r="W745" s="88"/>
      <c r="X745" s="86"/>
      <c r="Y745" s="88"/>
      <c r="Z745" s="86"/>
      <c r="AA745" s="88"/>
      <c r="AB745" s="86"/>
      <c r="AC745" s="88"/>
      <c r="AD745" s="86"/>
      <c r="AE745" s="88"/>
      <c r="AF745" s="86"/>
      <c r="AG745" s="88"/>
      <c r="AH745" s="86"/>
      <c r="AI745" s="88"/>
      <c r="AJ745" s="86"/>
      <c r="AK745" s="88"/>
      <c r="AL745" s="86"/>
      <c r="AM745" s="88"/>
      <c r="AN745" s="86"/>
      <c r="AO745" s="88"/>
      <c r="AP745" s="86"/>
      <c r="AQ745" s="88"/>
      <c r="AR745" s="86"/>
      <c r="AS745" s="88"/>
      <c r="AT745" s="86"/>
      <c r="AU745" s="88"/>
      <c r="AV745" s="86"/>
      <c r="AW745" s="88"/>
      <c r="AX745" s="86"/>
      <c r="AY745" s="88"/>
      <c r="AZ745" s="86"/>
      <c r="BA745" s="88"/>
      <c r="BB745" s="86"/>
      <c r="BC745" s="88"/>
      <c r="BD745" s="86"/>
      <c r="BE745" s="88"/>
      <c r="BF745" s="86"/>
      <c r="BG745" s="88"/>
      <c r="BH745" s="86"/>
      <c r="BI745" s="88"/>
      <c r="BJ745" s="86"/>
      <c r="BK745" s="88"/>
      <c r="BL745" s="86"/>
      <c r="BM745" s="88"/>
      <c r="BN745" s="86"/>
      <c r="BO745" s="88"/>
      <c r="BP745" s="86"/>
      <c r="BQ745" s="88"/>
      <c r="BR745" s="86"/>
      <c r="BS745" s="87"/>
    </row>
    <row r="746" ht="22.5" customHeight="1">
      <c r="A746" s="154"/>
      <c r="B746" s="83"/>
      <c r="C746" s="151"/>
      <c r="D746" s="83"/>
      <c r="E746" s="151"/>
      <c r="F746" s="83"/>
      <c r="G746" s="85"/>
      <c r="H746" s="86"/>
      <c r="I746" s="87"/>
      <c r="J746" s="86"/>
      <c r="K746" s="88"/>
      <c r="L746" s="86"/>
      <c r="M746" s="88"/>
      <c r="N746" s="86"/>
      <c r="O746" s="88"/>
      <c r="P746" s="86"/>
      <c r="Q746" s="88"/>
      <c r="R746" s="86"/>
      <c r="S746" s="88"/>
      <c r="T746" s="86"/>
      <c r="U746" s="88"/>
      <c r="V746" s="86"/>
      <c r="W746" s="88"/>
      <c r="X746" s="86"/>
      <c r="Y746" s="88"/>
      <c r="Z746" s="86"/>
      <c r="AA746" s="88"/>
      <c r="AB746" s="86"/>
      <c r="AC746" s="88"/>
      <c r="AD746" s="86"/>
      <c r="AE746" s="88"/>
      <c r="AF746" s="86"/>
      <c r="AG746" s="88"/>
      <c r="AH746" s="86"/>
      <c r="AI746" s="88"/>
      <c r="AJ746" s="86"/>
      <c r="AK746" s="88"/>
      <c r="AL746" s="86"/>
      <c r="AM746" s="88"/>
      <c r="AN746" s="86"/>
      <c r="AO746" s="88"/>
      <c r="AP746" s="86"/>
      <c r="AQ746" s="88"/>
      <c r="AR746" s="86"/>
      <c r="AS746" s="88"/>
      <c r="AT746" s="86"/>
      <c r="AU746" s="88"/>
      <c r="AV746" s="86"/>
      <c r="AW746" s="88"/>
      <c r="AX746" s="86"/>
      <c r="AY746" s="88"/>
      <c r="AZ746" s="86"/>
      <c r="BA746" s="88"/>
      <c r="BB746" s="86"/>
      <c r="BC746" s="88"/>
      <c r="BD746" s="86"/>
      <c r="BE746" s="88"/>
      <c r="BF746" s="86"/>
      <c r="BG746" s="88"/>
      <c r="BH746" s="86"/>
      <c r="BI746" s="88"/>
      <c r="BJ746" s="86"/>
      <c r="BK746" s="88"/>
      <c r="BL746" s="86"/>
      <c r="BM746" s="88"/>
      <c r="BN746" s="86"/>
      <c r="BO746" s="88"/>
      <c r="BP746" s="86"/>
      <c r="BQ746" s="88"/>
      <c r="BR746" s="86"/>
      <c r="BS746" s="87"/>
    </row>
    <row r="747" ht="22.5" customHeight="1">
      <c r="A747" s="154"/>
      <c r="B747" s="83"/>
      <c r="C747" s="151"/>
      <c r="D747" s="83"/>
      <c r="E747" s="151"/>
      <c r="F747" s="83"/>
      <c r="G747" s="85"/>
      <c r="H747" s="86"/>
      <c r="I747" s="87"/>
      <c r="J747" s="86"/>
      <c r="K747" s="88"/>
      <c r="L747" s="86"/>
      <c r="M747" s="88"/>
      <c r="N747" s="86"/>
      <c r="O747" s="88"/>
      <c r="P747" s="86"/>
      <c r="Q747" s="88"/>
      <c r="R747" s="86"/>
      <c r="S747" s="88"/>
      <c r="T747" s="86"/>
      <c r="U747" s="88"/>
      <c r="V747" s="86"/>
      <c r="W747" s="88"/>
      <c r="X747" s="86"/>
      <c r="Y747" s="88"/>
      <c r="Z747" s="86"/>
      <c r="AA747" s="88"/>
      <c r="AB747" s="86"/>
      <c r="AC747" s="88"/>
      <c r="AD747" s="86"/>
      <c r="AE747" s="88"/>
      <c r="AF747" s="86"/>
      <c r="AG747" s="88"/>
      <c r="AH747" s="86"/>
      <c r="AI747" s="88"/>
      <c r="AJ747" s="86"/>
      <c r="AK747" s="88"/>
      <c r="AL747" s="86"/>
      <c r="AM747" s="88"/>
      <c r="AN747" s="86"/>
      <c r="AO747" s="88"/>
      <c r="AP747" s="86"/>
      <c r="AQ747" s="88"/>
      <c r="AR747" s="86"/>
      <c r="AS747" s="88"/>
      <c r="AT747" s="86"/>
      <c r="AU747" s="88"/>
      <c r="AV747" s="86"/>
      <c r="AW747" s="88"/>
      <c r="AX747" s="86"/>
      <c r="AY747" s="88"/>
      <c r="AZ747" s="86"/>
      <c r="BA747" s="88"/>
      <c r="BB747" s="86"/>
      <c r="BC747" s="88"/>
      <c r="BD747" s="86"/>
      <c r="BE747" s="88"/>
      <c r="BF747" s="86"/>
      <c r="BG747" s="88"/>
      <c r="BH747" s="86"/>
      <c r="BI747" s="88"/>
      <c r="BJ747" s="86"/>
      <c r="BK747" s="88"/>
      <c r="BL747" s="86"/>
      <c r="BM747" s="88"/>
      <c r="BN747" s="86"/>
      <c r="BO747" s="88"/>
      <c r="BP747" s="86"/>
      <c r="BQ747" s="88"/>
      <c r="BR747" s="86"/>
      <c r="BS747" s="87"/>
    </row>
    <row r="748" ht="22.5" customHeight="1">
      <c r="A748" s="154"/>
      <c r="B748" s="83"/>
      <c r="C748" s="151"/>
      <c r="D748" s="83"/>
      <c r="E748" s="151"/>
      <c r="F748" s="83"/>
      <c r="G748" s="85"/>
      <c r="H748" s="86"/>
      <c r="I748" s="87"/>
      <c r="J748" s="86"/>
      <c r="K748" s="88"/>
      <c r="L748" s="86"/>
      <c r="M748" s="88"/>
      <c r="N748" s="86"/>
      <c r="O748" s="88"/>
      <c r="P748" s="86"/>
      <c r="Q748" s="88"/>
      <c r="R748" s="86"/>
      <c r="S748" s="88"/>
      <c r="T748" s="86"/>
      <c r="U748" s="88"/>
      <c r="V748" s="86"/>
      <c r="W748" s="88"/>
      <c r="X748" s="86"/>
      <c r="Y748" s="88"/>
      <c r="Z748" s="86"/>
      <c r="AA748" s="88"/>
      <c r="AB748" s="86"/>
      <c r="AC748" s="88"/>
      <c r="AD748" s="86"/>
      <c r="AE748" s="88"/>
      <c r="AF748" s="86"/>
      <c r="AG748" s="88"/>
      <c r="AH748" s="86"/>
      <c r="AI748" s="88"/>
      <c r="AJ748" s="86"/>
      <c r="AK748" s="88"/>
      <c r="AL748" s="86"/>
      <c r="AM748" s="88"/>
      <c r="AN748" s="86"/>
      <c r="AO748" s="88"/>
      <c r="AP748" s="86"/>
      <c r="AQ748" s="88"/>
      <c r="AR748" s="86"/>
      <c r="AS748" s="88"/>
      <c r="AT748" s="86"/>
      <c r="AU748" s="88"/>
      <c r="AV748" s="86"/>
      <c r="AW748" s="88"/>
      <c r="AX748" s="86"/>
      <c r="AY748" s="88"/>
      <c r="AZ748" s="86"/>
      <c r="BA748" s="88"/>
      <c r="BB748" s="86"/>
      <c r="BC748" s="88"/>
      <c r="BD748" s="86"/>
      <c r="BE748" s="88"/>
      <c r="BF748" s="86"/>
      <c r="BG748" s="88"/>
      <c r="BH748" s="86"/>
      <c r="BI748" s="88"/>
      <c r="BJ748" s="86"/>
      <c r="BK748" s="88"/>
      <c r="BL748" s="86"/>
      <c r="BM748" s="88"/>
      <c r="BN748" s="86"/>
      <c r="BO748" s="88"/>
      <c r="BP748" s="86"/>
      <c r="BQ748" s="88"/>
      <c r="BR748" s="86"/>
      <c r="BS748" s="87"/>
    </row>
    <row r="749" ht="22.5" customHeight="1">
      <c r="A749" s="154"/>
      <c r="B749" s="83"/>
      <c r="C749" s="151"/>
      <c r="D749" s="83"/>
      <c r="E749" s="151"/>
      <c r="F749" s="83"/>
      <c r="G749" s="85"/>
      <c r="H749" s="86"/>
      <c r="I749" s="87"/>
      <c r="J749" s="86"/>
      <c r="K749" s="88"/>
      <c r="L749" s="86"/>
      <c r="M749" s="88"/>
      <c r="N749" s="86"/>
      <c r="O749" s="88"/>
      <c r="P749" s="86"/>
      <c r="Q749" s="88"/>
      <c r="R749" s="86"/>
      <c r="S749" s="88"/>
      <c r="T749" s="86"/>
      <c r="U749" s="88"/>
      <c r="V749" s="86"/>
      <c r="W749" s="88"/>
      <c r="X749" s="86"/>
      <c r="Y749" s="88"/>
      <c r="Z749" s="86"/>
      <c r="AA749" s="88"/>
      <c r="AB749" s="86"/>
      <c r="AC749" s="88"/>
      <c r="AD749" s="86"/>
      <c r="AE749" s="88"/>
      <c r="AF749" s="86"/>
      <c r="AG749" s="88"/>
      <c r="AH749" s="86"/>
      <c r="AI749" s="88"/>
      <c r="AJ749" s="86"/>
      <c r="AK749" s="88"/>
      <c r="AL749" s="86"/>
      <c r="AM749" s="88"/>
      <c r="AN749" s="86"/>
      <c r="AO749" s="88"/>
      <c r="AP749" s="86"/>
      <c r="AQ749" s="88"/>
      <c r="AR749" s="86"/>
      <c r="AS749" s="88"/>
      <c r="AT749" s="86"/>
      <c r="AU749" s="88"/>
      <c r="AV749" s="86"/>
      <c r="AW749" s="88"/>
      <c r="AX749" s="86"/>
      <c r="AY749" s="88"/>
      <c r="AZ749" s="86"/>
      <c r="BA749" s="88"/>
      <c r="BB749" s="86"/>
      <c r="BC749" s="88"/>
      <c r="BD749" s="86"/>
      <c r="BE749" s="88"/>
      <c r="BF749" s="86"/>
      <c r="BG749" s="88"/>
      <c r="BH749" s="86"/>
      <c r="BI749" s="88"/>
      <c r="BJ749" s="86"/>
      <c r="BK749" s="88"/>
      <c r="BL749" s="86"/>
      <c r="BM749" s="88"/>
      <c r="BN749" s="86"/>
      <c r="BO749" s="88"/>
      <c r="BP749" s="86"/>
      <c r="BQ749" s="88"/>
      <c r="BR749" s="86"/>
      <c r="BS749" s="87"/>
    </row>
    <row r="750" ht="22.5" customHeight="1">
      <c r="A750" s="154"/>
      <c r="B750" s="83"/>
      <c r="C750" s="151"/>
      <c r="D750" s="83"/>
      <c r="E750" s="151"/>
      <c r="F750" s="83"/>
      <c r="G750" s="85"/>
      <c r="H750" s="86"/>
      <c r="I750" s="87"/>
      <c r="J750" s="86"/>
      <c r="K750" s="88"/>
      <c r="L750" s="86"/>
      <c r="M750" s="88"/>
      <c r="N750" s="86"/>
      <c r="O750" s="88"/>
      <c r="P750" s="86"/>
      <c r="Q750" s="88"/>
      <c r="R750" s="86"/>
      <c r="S750" s="88"/>
      <c r="T750" s="86"/>
      <c r="U750" s="88"/>
      <c r="V750" s="86"/>
      <c r="W750" s="88"/>
      <c r="X750" s="86"/>
      <c r="Y750" s="88"/>
      <c r="Z750" s="86"/>
      <c r="AA750" s="88"/>
      <c r="AB750" s="86"/>
      <c r="AC750" s="88"/>
      <c r="AD750" s="86"/>
      <c r="AE750" s="88"/>
      <c r="AF750" s="86"/>
      <c r="AG750" s="88"/>
      <c r="AH750" s="86"/>
      <c r="AI750" s="88"/>
      <c r="AJ750" s="86"/>
      <c r="AK750" s="88"/>
      <c r="AL750" s="86"/>
      <c r="AM750" s="88"/>
      <c r="AN750" s="86"/>
      <c r="AO750" s="88"/>
      <c r="AP750" s="86"/>
      <c r="AQ750" s="88"/>
      <c r="AR750" s="86"/>
      <c r="AS750" s="88"/>
      <c r="AT750" s="86"/>
      <c r="AU750" s="88"/>
      <c r="AV750" s="86"/>
      <c r="AW750" s="88"/>
      <c r="AX750" s="86"/>
      <c r="AY750" s="88"/>
      <c r="AZ750" s="86"/>
      <c r="BA750" s="88"/>
      <c r="BB750" s="86"/>
      <c r="BC750" s="88"/>
      <c r="BD750" s="86"/>
      <c r="BE750" s="88"/>
      <c r="BF750" s="86"/>
      <c r="BG750" s="88"/>
      <c r="BH750" s="86"/>
      <c r="BI750" s="88"/>
      <c r="BJ750" s="86"/>
      <c r="BK750" s="88"/>
      <c r="BL750" s="86"/>
      <c r="BM750" s="88"/>
      <c r="BN750" s="86"/>
      <c r="BO750" s="88"/>
      <c r="BP750" s="86"/>
      <c r="BQ750" s="88"/>
      <c r="BR750" s="86"/>
      <c r="BS750" s="87"/>
    </row>
    <row r="751" ht="22.5" customHeight="1">
      <c r="A751" s="154"/>
      <c r="B751" s="83"/>
      <c r="C751" s="151"/>
      <c r="D751" s="83"/>
      <c r="E751" s="151"/>
      <c r="F751" s="83"/>
      <c r="G751" s="85"/>
      <c r="H751" s="86"/>
      <c r="I751" s="87"/>
      <c r="J751" s="86"/>
      <c r="K751" s="88"/>
      <c r="L751" s="86"/>
      <c r="M751" s="88"/>
      <c r="N751" s="86"/>
      <c r="O751" s="88"/>
      <c r="P751" s="86"/>
      <c r="Q751" s="88"/>
      <c r="R751" s="86"/>
      <c r="S751" s="88"/>
      <c r="T751" s="86"/>
      <c r="U751" s="88"/>
      <c r="V751" s="86"/>
      <c r="W751" s="88"/>
      <c r="X751" s="86"/>
      <c r="Y751" s="88"/>
      <c r="Z751" s="86"/>
      <c r="AA751" s="88"/>
      <c r="AB751" s="86"/>
      <c r="AC751" s="88"/>
      <c r="AD751" s="86"/>
      <c r="AE751" s="88"/>
      <c r="AF751" s="86"/>
      <c r="AG751" s="88"/>
      <c r="AH751" s="86"/>
      <c r="AI751" s="88"/>
      <c r="AJ751" s="86"/>
      <c r="AK751" s="88"/>
      <c r="AL751" s="86"/>
      <c r="AM751" s="88"/>
      <c r="AN751" s="86"/>
      <c r="AO751" s="88"/>
      <c r="AP751" s="86"/>
      <c r="AQ751" s="88"/>
      <c r="AR751" s="86"/>
      <c r="AS751" s="88"/>
      <c r="AT751" s="86"/>
      <c r="AU751" s="88"/>
      <c r="AV751" s="86"/>
      <c r="AW751" s="88"/>
      <c r="AX751" s="86"/>
      <c r="AY751" s="88"/>
      <c r="AZ751" s="86"/>
      <c r="BA751" s="88"/>
      <c r="BB751" s="86"/>
      <c r="BC751" s="88"/>
      <c r="BD751" s="86"/>
      <c r="BE751" s="88"/>
      <c r="BF751" s="86"/>
      <c r="BG751" s="88"/>
      <c r="BH751" s="86"/>
      <c r="BI751" s="88"/>
      <c r="BJ751" s="86"/>
      <c r="BK751" s="88"/>
      <c r="BL751" s="86"/>
      <c r="BM751" s="88"/>
      <c r="BN751" s="86"/>
      <c r="BO751" s="88"/>
      <c r="BP751" s="86"/>
      <c r="BQ751" s="88"/>
      <c r="BR751" s="86"/>
      <c r="BS751" s="87"/>
    </row>
    <row r="752" ht="22.5" customHeight="1">
      <c r="A752" s="154"/>
      <c r="B752" s="83"/>
      <c r="C752" s="151"/>
      <c r="D752" s="83"/>
      <c r="E752" s="151"/>
      <c r="F752" s="83"/>
      <c r="G752" s="85"/>
      <c r="H752" s="86"/>
      <c r="I752" s="87"/>
      <c r="J752" s="86"/>
      <c r="K752" s="88"/>
      <c r="L752" s="86"/>
      <c r="M752" s="88"/>
      <c r="N752" s="86"/>
      <c r="O752" s="88"/>
      <c r="P752" s="86"/>
      <c r="Q752" s="88"/>
      <c r="R752" s="86"/>
      <c r="S752" s="88"/>
      <c r="T752" s="86"/>
      <c r="U752" s="88"/>
      <c r="V752" s="86"/>
      <c r="W752" s="88"/>
      <c r="X752" s="86"/>
      <c r="Y752" s="88"/>
      <c r="Z752" s="86"/>
      <c r="AA752" s="88"/>
      <c r="AB752" s="86"/>
      <c r="AC752" s="88"/>
      <c r="AD752" s="86"/>
      <c r="AE752" s="88"/>
      <c r="AF752" s="86"/>
      <c r="AG752" s="88"/>
      <c r="AH752" s="86"/>
      <c r="AI752" s="88"/>
      <c r="AJ752" s="86"/>
      <c r="AK752" s="88"/>
      <c r="AL752" s="86"/>
      <c r="AM752" s="88"/>
      <c r="AN752" s="86"/>
      <c r="AO752" s="88"/>
      <c r="AP752" s="86"/>
      <c r="AQ752" s="88"/>
      <c r="AR752" s="86"/>
      <c r="AS752" s="88"/>
      <c r="AT752" s="86"/>
      <c r="AU752" s="88"/>
      <c r="AV752" s="86"/>
      <c r="AW752" s="88"/>
      <c r="AX752" s="86"/>
      <c r="AY752" s="88"/>
      <c r="AZ752" s="86"/>
      <c r="BA752" s="88"/>
      <c r="BB752" s="86"/>
      <c r="BC752" s="88"/>
      <c r="BD752" s="86"/>
      <c r="BE752" s="88"/>
      <c r="BF752" s="86"/>
      <c r="BG752" s="88"/>
      <c r="BH752" s="86"/>
      <c r="BI752" s="88"/>
      <c r="BJ752" s="86"/>
      <c r="BK752" s="88"/>
      <c r="BL752" s="86"/>
      <c r="BM752" s="88"/>
      <c r="BN752" s="86"/>
      <c r="BO752" s="88"/>
      <c r="BP752" s="86"/>
      <c r="BQ752" s="88"/>
      <c r="BR752" s="86"/>
      <c r="BS752" s="87"/>
    </row>
    <row r="753" ht="22.5" customHeight="1">
      <c r="A753" s="154"/>
      <c r="B753" s="83"/>
      <c r="C753" s="151"/>
      <c r="D753" s="83"/>
      <c r="E753" s="151"/>
      <c r="F753" s="83"/>
      <c r="G753" s="85"/>
      <c r="H753" s="86"/>
      <c r="I753" s="87"/>
      <c r="J753" s="86"/>
      <c r="K753" s="88"/>
      <c r="L753" s="86"/>
      <c r="M753" s="88"/>
      <c r="N753" s="86"/>
      <c r="O753" s="88"/>
      <c r="P753" s="86"/>
      <c r="Q753" s="88"/>
      <c r="R753" s="86"/>
      <c r="S753" s="88"/>
      <c r="T753" s="86"/>
      <c r="U753" s="88"/>
      <c r="V753" s="86"/>
      <c r="W753" s="88"/>
      <c r="X753" s="86"/>
      <c r="Y753" s="88"/>
      <c r="Z753" s="86"/>
      <c r="AA753" s="88"/>
      <c r="AB753" s="86"/>
      <c r="AC753" s="88"/>
      <c r="AD753" s="86"/>
      <c r="AE753" s="88"/>
      <c r="AF753" s="86"/>
      <c r="AG753" s="88"/>
      <c r="AH753" s="86"/>
      <c r="AI753" s="88"/>
      <c r="AJ753" s="86"/>
      <c r="AK753" s="88"/>
      <c r="AL753" s="86"/>
      <c r="AM753" s="88"/>
      <c r="AN753" s="86"/>
      <c r="AO753" s="88"/>
      <c r="AP753" s="86"/>
      <c r="AQ753" s="88"/>
      <c r="AR753" s="86"/>
      <c r="AS753" s="88"/>
      <c r="AT753" s="86"/>
      <c r="AU753" s="88"/>
      <c r="AV753" s="86"/>
      <c r="AW753" s="88"/>
      <c r="AX753" s="86"/>
      <c r="AY753" s="88"/>
      <c r="AZ753" s="86"/>
      <c r="BA753" s="88"/>
      <c r="BB753" s="86"/>
      <c r="BC753" s="88"/>
      <c r="BD753" s="86"/>
      <c r="BE753" s="88"/>
      <c r="BF753" s="86"/>
      <c r="BG753" s="88"/>
      <c r="BH753" s="86"/>
      <c r="BI753" s="88"/>
      <c r="BJ753" s="86"/>
      <c r="BK753" s="88"/>
      <c r="BL753" s="86"/>
      <c r="BM753" s="88"/>
      <c r="BN753" s="86"/>
      <c r="BO753" s="88"/>
      <c r="BP753" s="86"/>
      <c r="BQ753" s="88"/>
      <c r="BR753" s="86"/>
      <c r="BS753" s="87"/>
    </row>
    <row r="754" ht="22.5" customHeight="1">
      <c r="A754" s="154"/>
      <c r="B754" s="83"/>
      <c r="C754" s="151"/>
      <c r="D754" s="83"/>
      <c r="E754" s="151"/>
      <c r="F754" s="83"/>
      <c r="G754" s="85"/>
      <c r="H754" s="86"/>
      <c r="I754" s="87"/>
      <c r="J754" s="86"/>
      <c r="K754" s="88"/>
      <c r="L754" s="86"/>
      <c r="M754" s="88"/>
      <c r="N754" s="86"/>
      <c r="O754" s="88"/>
      <c r="P754" s="86"/>
      <c r="Q754" s="88"/>
      <c r="R754" s="86"/>
      <c r="S754" s="88"/>
      <c r="T754" s="86"/>
      <c r="U754" s="88"/>
      <c r="V754" s="86"/>
      <c r="W754" s="88"/>
      <c r="X754" s="86"/>
      <c r="Y754" s="88"/>
      <c r="Z754" s="86"/>
      <c r="AA754" s="88"/>
      <c r="AB754" s="86"/>
      <c r="AC754" s="88"/>
      <c r="AD754" s="86"/>
      <c r="AE754" s="88"/>
      <c r="AF754" s="86"/>
      <c r="AG754" s="88"/>
      <c r="AH754" s="86"/>
      <c r="AI754" s="88"/>
      <c r="AJ754" s="86"/>
      <c r="AK754" s="88"/>
      <c r="AL754" s="86"/>
      <c r="AM754" s="88"/>
      <c r="AN754" s="86"/>
      <c r="AO754" s="88"/>
      <c r="AP754" s="86"/>
      <c r="AQ754" s="88"/>
      <c r="AR754" s="86"/>
      <c r="AS754" s="88"/>
      <c r="AT754" s="86"/>
      <c r="AU754" s="88"/>
      <c r="AV754" s="86"/>
      <c r="AW754" s="88"/>
      <c r="AX754" s="86"/>
      <c r="AY754" s="88"/>
      <c r="AZ754" s="86"/>
      <c r="BA754" s="88"/>
      <c r="BB754" s="86"/>
      <c r="BC754" s="88"/>
      <c r="BD754" s="86"/>
      <c r="BE754" s="88"/>
      <c r="BF754" s="86"/>
      <c r="BG754" s="88"/>
      <c r="BH754" s="86"/>
      <c r="BI754" s="88"/>
      <c r="BJ754" s="86"/>
      <c r="BK754" s="88"/>
      <c r="BL754" s="86"/>
      <c r="BM754" s="88"/>
      <c r="BN754" s="86"/>
      <c r="BO754" s="88"/>
      <c r="BP754" s="86"/>
      <c r="BQ754" s="88"/>
      <c r="BR754" s="86"/>
      <c r="BS754" s="87"/>
    </row>
    <row r="755" ht="22.5" customHeight="1">
      <c r="A755" s="154"/>
      <c r="B755" s="83"/>
      <c r="C755" s="151"/>
      <c r="D755" s="83"/>
      <c r="E755" s="151"/>
      <c r="F755" s="83"/>
      <c r="G755" s="85"/>
      <c r="H755" s="86"/>
      <c r="I755" s="87"/>
      <c r="J755" s="86"/>
      <c r="K755" s="88"/>
      <c r="L755" s="86"/>
      <c r="M755" s="88"/>
      <c r="N755" s="86"/>
      <c r="O755" s="88"/>
      <c r="P755" s="86"/>
      <c r="Q755" s="88"/>
      <c r="R755" s="86"/>
      <c r="S755" s="88"/>
      <c r="T755" s="86"/>
      <c r="U755" s="88"/>
      <c r="V755" s="86"/>
      <c r="W755" s="88"/>
      <c r="X755" s="86"/>
      <c r="Y755" s="88"/>
      <c r="Z755" s="86"/>
      <c r="AA755" s="88"/>
      <c r="AB755" s="86"/>
      <c r="AC755" s="88"/>
      <c r="AD755" s="86"/>
      <c r="AE755" s="88"/>
      <c r="AF755" s="86"/>
      <c r="AG755" s="88"/>
      <c r="AH755" s="86"/>
      <c r="AI755" s="88"/>
      <c r="AJ755" s="86"/>
      <c r="AK755" s="88"/>
      <c r="AL755" s="86"/>
      <c r="AM755" s="88"/>
      <c r="AN755" s="86"/>
      <c r="AO755" s="88"/>
      <c r="AP755" s="86"/>
      <c r="AQ755" s="88"/>
      <c r="AR755" s="86"/>
      <c r="AS755" s="88"/>
      <c r="AT755" s="86"/>
      <c r="AU755" s="88"/>
      <c r="AV755" s="86"/>
      <c r="AW755" s="88"/>
      <c r="AX755" s="86"/>
      <c r="AY755" s="88"/>
      <c r="AZ755" s="86"/>
      <c r="BA755" s="88"/>
      <c r="BB755" s="86"/>
      <c r="BC755" s="88"/>
      <c r="BD755" s="86"/>
      <c r="BE755" s="88"/>
      <c r="BF755" s="86"/>
      <c r="BG755" s="88"/>
      <c r="BH755" s="86"/>
      <c r="BI755" s="88"/>
      <c r="BJ755" s="86"/>
      <c r="BK755" s="88"/>
      <c r="BL755" s="86"/>
      <c r="BM755" s="88"/>
      <c r="BN755" s="86"/>
      <c r="BO755" s="88"/>
      <c r="BP755" s="86"/>
      <c r="BQ755" s="88"/>
      <c r="BR755" s="86"/>
      <c r="BS755" s="87"/>
    </row>
    <row r="756" ht="22.5" customHeight="1">
      <c r="A756" s="154"/>
      <c r="B756" s="83"/>
      <c r="C756" s="151"/>
      <c r="D756" s="83"/>
      <c r="E756" s="151"/>
      <c r="F756" s="83"/>
      <c r="G756" s="85"/>
      <c r="H756" s="86"/>
      <c r="I756" s="87"/>
      <c r="J756" s="86"/>
      <c r="K756" s="88"/>
      <c r="L756" s="86"/>
      <c r="M756" s="88"/>
      <c r="N756" s="86"/>
      <c r="O756" s="88"/>
      <c r="P756" s="86"/>
      <c r="Q756" s="88"/>
      <c r="R756" s="86"/>
      <c r="S756" s="88"/>
      <c r="T756" s="86"/>
      <c r="U756" s="88"/>
      <c r="V756" s="86"/>
      <c r="W756" s="88"/>
      <c r="X756" s="86"/>
      <c r="Y756" s="88"/>
      <c r="Z756" s="86"/>
      <c r="AA756" s="88"/>
      <c r="AB756" s="86"/>
      <c r="AC756" s="88"/>
      <c r="AD756" s="86"/>
      <c r="AE756" s="88"/>
      <c r="AF756" s="86"/>
      <c r="AG756" s="88"/>
      <c r="AH756" s="86"/>
      <c r="AI756" s="88"/>
      <c r="AJ756" s="86"/>
      <c r="AK756" s="88"/>
      <c r="AL756" s="86"/>
      <c r="AM756" s="88"/>
      <c r="AN756" s="86"/>
      <c r="AO756" s="88"/>
      <c r="AP756" s="86"/>
      <c r="AQ756" s="88"/>
      <c r="AR756" s="86"/>
      <c r="AS756" s="88"/>
      <c r="AT756" s="86"/>
      <c r="AU756" s="88"/>
      <c r="AV756" s="86"/>
      <c r="AW756" s="88"/>
      <c r="AX756" s="86"/>
      <c r="AY756" s="88"/>
      <c r="AZ756" s="86"/>
      <c r="BA756" s="88"/>
      <c r="BB756" s="86"/>
      <c r="BC756" s="88"/>
      <c r="BD756" s="86"/>
      <c r="BE756" s="88"/>
      <c r="BF756" s="86"/>
      <c r="BG756" s="88"/>
      <c r="BH756" s="86"/>
      <c r="BI756" s="88"/>
      <c r="BJ756" s="86"/>
      <c r="BK756" s="88"/>
      <c r="BL756" s="86"/>
      <c r="BM756" s="88"/>
      <c r="BN756" s="86"/>
      <c r="BO756" s="88"/>
      <c r="BP756" s="86"/>
      <c r="BQ756" s="88"/>
      <c r="BR756" s="86"/>
      <c r="BS756" s="87"/>
    </row>
    <row r="757" ht="22.5" customHeight="1">
      <c r="A757" s="154"/>
      <c r="B757" s="83"/>
      <c r="C757" s="151"/>
      <c r="D757" s="83"/>
      <c r="E757" s="151"/>
      <c r="F757" s="83"/>
      <c r="G757" s="85"/>
      <c r="H757" s="86"/>
      <c r="I757" s="87"/>
      <c r="J757" s="86"/>
      <c r="K757" s="88"/>
      <c r="L757" s="86"/>
      <c r="M757" s="88"/>
      <c r="N757" s="86"/>
      <c r="O757" s="88"/>
      <c r="P757" s="86"/>
      <c r="Q757" s="88"/>
      <c r="R757" s="86"/>
      <c r="S757" s="88"/>
      <c r="T757" s="86"/>
      <c r="U757" s="88"/>
      <c r="V757" s="86"/>
      <c r="W757" s="88"/>
      <c r="X757" s="86"/>
      <c r="Y757" s="88"/>
      <c r="Z757" s="86"/>
      <c r="AA757" s="88"/>
      <c r="AB757" s="86"/>
      <c r="AC757" s="88"/>
      <c r="AD757" s="86"/>
      <c r="AE757" s="88"/>
      <c r="AF757" s="86"/>
      <c r="AG757" s="88"/>
      <c r="AH757" s="86"/>
      <c r="AI757" s="88"/>
      <c r="AJ757" s="86"/>
      <c r="AK757" s="88"/>
      <c r="AL757" s="86"/>
      <c r="AM757" s="88"/>
      <c r="AN757" s="86"/>
      <c r="AO757" s="88"/>
      <c r="AP757" s="86"/>
      <c r="AQ757" s="88"/>
      <c r="AR757" s="86"/>
      <c r="AS757" s="88"/>
      <c r="AT757" s="86"/>
      <c r="AU757" s="88"/>
      <c r="AV757" s="86"/>
      <c r="AW757" s="88"/>
      <c r="AX757" s="86"/>
      <c r="AY757" s="88"/>
      <c r="AZ757" s="86"/>
      <c r="BA757" s="88"/>
      <c r="BB757" s="86"/>
      <c r="BC757" s="88"/>
      <c r="BD757" s="86"/>
      <c r="BE757" s="88"/>
      <c r="BF757" s="86"/>
      <c r="BG757" s="88"/>
      <c r="BH757" s="86"/>
      <c r="BI757" s="88"/>
      <c r="BJ757" s="86"/>
      <c r="BK757" s="88"/>
      <c r="BL757" s="86"/>
      <c r="BM757" s="88"/>
      <c r="BN757" s="86"/>
      <c r="BO757" s="88"/>
      <c r="BP757" s="86"/>
      <c r="BQ757" s="88"/>
      <c r="BR757" s="86"/>
      <c r="BS757" s="87"/>
    </row>
    <row r="758" ht="22.5" customHeight="1">
      <c r="A758" s="154"/>
      <c r="B758" s="83"/>
      <c r="C758" s="151"/>
      <c r="D758" s="83"/>
      <c r="E758" s="151"/>
      <c r="F758" s="83"/>
      <c r="G758" s="85"/>
      <c r="H758" s="86"/>
      <c r="I758" s="87"/>
      <c r="J758" s="86"/>
      <c r="K758" s="88"/>
      <c r="L758" s="86"/>
      <c r="M758" s="88"/>
      <c r="N758" s="86"/>
      <c r="O758" s="88"/>
      <c r="P758" s="86"/>
      <c r="Q758" s="88"/>
      <c r="R758" s="86"/>
      <c r="S758" s="88"/>
      <c r="T758" s="86"/>
      <c r="U758" s="88"/>
      <c r="V758" s="86"/>
      <c r="W758" s="88"/>
      <c r="X758" s="86"/>
      <c r="Y758" s="88"/>
      <c r="Z758" s="86"/>
      <c r="AA758" s="88"/>
      <c r="AB758" s="86"/>
      <c r="AC758" s="88"/>
      <c r="AD758" s="86"/>
      <c r="AE758" s="88"/>
      <c r="AF758" s="86"/>
      <c r="AG758" s="88"/>
      <c r="AH758" s="86"/>
      <c r="AI758" s="88"/>
      <c r="AJ758" s="86"/>
      <c r="AK758" s="88"/>
      <c r="AL758" s="86"/>
      <c r="AM758" s="88"/>
      <c r="AN758" s="86"/>
      <c r="AO758" s="88"/>
      <c r="AP758" s="86"/>
      <c r="AQ758" s="88"/>
      <c r="AR758" s="86"/>
      <c r="AS758" s="88"/>
      <c r="AT758" s="86"/>
      <c r="AU758" s="88"/>
      <c r="AV758" s="86"/>
      <c r="AW758" s="88"/>
      <c r="AX758" s="86"/>
      <c r="AY758" s="88"/>
      <c r="AZ758" s="86"/>
      <c r="BA758" s="88"/>
      <c r="BB758" s="86"/>
      <c r="BC758" s="88"/>
      <c r="BD758" s="86"/>
      <c r="BE758" s="88"/>
      <c r="BF758" s="86"/>
      <c r="BG758" s="88"/>
      <c r="BH758" s="86"/>
      <c r="BI758" s="88"/>
      <c r="BJ758" s="86"/>
      <c r="BK758" s="88"/>
      <c r="BL758" s="86"/>
      <c r="BM758" s="88"/>
      <c r="BN758" s="86"/>
      <c r="BO758" s="88"/>
      <c r="BP758" s="86"/>
      <c r="BQ758" s="88"/>
      <c r="BR758" s="86"/>
      <c r="BS758" s="87"/>
    </row>
    <row r="759" ht="22.5" customHeight="1">
      <c r="A759" s="154"/>
      <c r="B759" s="83"/>
      <c r="C759" s="151"/>
      <c r="D759" s="83"/>
      <c r="E759" s="151"/>
      <c r="F759" s="83"/>
      <c r="G759" s="85"/>
      <c r="H759" s="86"/>
      <c r="I759" s="87"/>
      <c r="J759" s="86"/>
      <c r="K759" s="88"/>
      <c r="L759" s="86"/>
      <c r="M759" s="88"/>
      <c r="N759" s="86"/>
      <c r="O759" s="88"/>
      <c r="P759" s="86"/>
      <c r="Q759" s="88"/>
      <c r="R759" s="86"/>
      <c r="S759" s="88"/>
      <c r="T759" s="86"/>
      <c r="U759" s="88"/>
      <c r="V759" s="86"/>
      <c r="W759" s="88"/>
      <c r="X759" s="86"/>
      <c r="Y759" s="88"/>
      <c r="Z759" s="86"/>
      <c r="AA759" s="88"/>
      <c r="AB759" s="86"/>
      <c r="AC759" s="88"/>
      <c r="AD759" s="86"/>
      <c r="AE759" s="88"/>
      <c r="AF759" s="86"/>
      <c r="AG759" s="88"/>
      <c r="AH759" s="86"/>
      <c r="AI759" s="88"/>
      <c r="AJ759" s="86"/>
      <c r="AK759" s="88"/>
      <c r="AL759" s="86"/>
      <c r="AM759" s="88"/>
      <c r="AN759" s="86"/>
      <c r="AO759" s="88"/>
      <c r="AP759" s="86"/>
      <c r="AQ759" s="88"/>
      <c r="AR759" s="86"/>
      <c r="AS759" s="88"/>
      <c r="AT759" s="86"/>
      <c r="AU759" s="88"/>
      <c r="AV759" s="86"/>
      <c r="AW759" s="88"/>
      <c r="AX759" s="86"/>
      <c r="AY759" s="88"/>
      <c r="AZ759" s="86"/>
      <c r="BA759" s="88"/>
      <c r="BB759" s="86"/>
      <c r="BC759" s="88"/>
      <c r="BD759" s="86"/>
      <c r="BE759" s="88"/>
      <c r="BF759" s="86"/>
      <c r="BG759" s="88"/>
      <c r="BH759" s="86"/>
      <c r="BI759" s="88"/>
      <c r="BJ759" s="86"/>
      <c r="BK759" s="88"/>
      <c r="BL759" s="86"/>
      <c r="BM759" s="88"/>
      <c r="BN759" s="86"/>
      <c r="BO759" s="88"/>
      <c r="BP759" s="86"/>
      <c r="BQ759" s="88"/>
      <c r="BR759" s="86"/>
      <c r="BS759" s="87"/>
    </row>
    <row r="760" ht="22.5" customHeight="1">
      <c r="A760" s="154"/>
      <c r="B760" s="83"/>
      <c r="C760" s="151"/>
      <c r="D760" s="83"/>
      <c r="E760" s="151"/>
      <c r="F760" s="83"/>
      <c r="G760" s="85"/>
      <c r="H760" s="86"/>
      <c r="I760" s="87"/>
      <c r="J760" s="86"/>
      <c r="K760" s="88"/>
      <c r="L760" s="86"/>
      <c r="M760" s="88"/>
      <c r="N760" s="86"/>
      <c r="O760" s="88"/>
      <c r="P760" s="86"/>
      <c r="Q760" s="88"/>
      <c r="R760" s="86"/>
      <c r="S760" s="88"/>
      <c r="T760" s="86"/>
      <c r="U760" s="88"/>
      <c r="V760" s="86"/>
      <c r="W760" s="88"/>
      <c r="X760" s="86"/>
      <c r="Y760" s="88"/>
      <c r="Z760" s="86"/>
      <c r="AA760" s="88"/>
      <c r="AB760" s="86"/>
      <c r="AC760" s="88"/>
      <c r="AD760" s="86"/>
      <c r="AE760" s="88"/>
      <c r="AF760" s="86"/>
      <c r="AG760" s="88"/>
      <c r="AH760" s="86"/>
      <c r="AI760" s="88"/>
      <c r="AJ760" s="86"/>
      <c r="AK760" s="88"/>
      <c r="AL760" s="86"/>
      <c r="AM760" s="88"/>
      <c r="AN760" s="86"/>
      <c r="AO760" s="88"/>
      <c r="AP760" s="86"/>
      <c r="AQ760" s="88"/>
      <c r="AR760" s="86"/>
      <c r="AS760" s="88"/>
      <c r="AT760" s="86"/>
      <c r="AU760" s="88"/>
      <c r="AV760" s="86"/>
      <c r="AW760" s="88"/>
      <c r="AX760" s="86"/>
      <c r="AY760" s="88"/>
      <c r="AZ760" s="86"/>
      <c r="BA760" s="88"/>
      <c r="BB760" s="86"/>
      <c r="BC760" s="88"/>
      <c r="BD760" s="86"/>
      <c r="BE760" s="88"/>
      <c r="BF760" s="86"/>
      <c r="BG760" s="88"/>
      <c r="BH760" s="86"/>
      <c r="BI760" s="88"/>
      <c r="BJ760" s="86"/>
      <c r="BK760" s="88"/>
      <c r="BL760" s="86"/>
      <c r="BM760" s="88"/>
      <c r="BN760" s="86"/>
      <c r="BO760" s="88"/>
      <c r="BP760" s="86"/>
      <c r="BQ760" s="88"/>
      <c r="BR760" s="86"/>
      <c r="BS760" s="87"/>
    </row>
    <row r="761" ht="22.5" customHeight="1">
      <c r="A761" s="154"/>
      <c r="B761" s="83"/>
      <c r="C761" s="151"/>
      <c r="D761" s="83"/>
      <c r="E761" s="151"/>
      <c r="F761" s="83"/>
      <c r="G761" s="85"/>
      <c r="H761" s="86"/>
      <c r="I761" s="87"/>
      <c r="J761" s="86"/>
      <c r="K761" s="88"/>
      <c r="L761" s="86"/>
      <c r="M761" s="88"/>
      <c r="N761" s="86"/>
      <c r="O761" s="88"/>
      <c r="P761" s="86"/>
      <c r="Q761" s="88"/>
      <c r="R761" s="86"/>
      <c r="S761" s="88"/>
      <c r="T761" s="86"/>
      <c r="U761" s="88"/>
      <c r="V761" s="86"/>
      <c r="W761" s="88"/>
      <c r="X761" s="86"/>
      <c r="Y761" s="88"/>
      <c r="Z761" s="86"/>
      <c r="AA761" s="88"/>
      <c r="AB761" s="86"/>
      <c r="AC761" s="88"/>
      <c r="AD761" s="86"/>
      <c r="AE761" s="88"/>
      <c r="AF761" s="86"/>
      <c r="AG761" s="88"/>
      <c r="AH761" s="86"/>
      <c r="AI761" s="88"/>
      <c r="AJ761" s="86"/>
      <c r="AK761" s="88"/>
      <c r="AL761" s="86"/>
      <c r="AM761" s="88"/>
      <c r="AN761" s="86"/>
      <c r="AO761" s="88"/>
      <c r="AP761" s="86"/>
      <c r="AQ761" s="88"/>
      <c r="AR761" s="86"/>
      <c r="AS761" s="88"/>
      <c r="AT761" s="86"/>
      <c r="AU761" s="88"/>
      <c r="AV761" s="86"/>
      <c r="AW761" s="88"/>
      <c r="AX761" s="86"/>
      <c r="AY761" s="88"/>
      <c r="AZ761" s="86"/>
      <c r="BA761" s="88"/>
      <c r="BB761" s="86"/>
      <c r="BC761" s="88"/>
      <c r="BD761" s="86"/>
      <c r="BE761" s="88"/>
      <c r="BF761" s="86"/>
      <c r="BG761" s="88"/>
      <c r="BH761" s="86"/>
      <c r="BI761" s="88"/>
      <c r="BJ761" s="86"/>
      <c r="BK761" s="88"/>
      <c r="BL761" s="86"/>
      <c r="BM761" s="88"/>
      <c r="BN761" s="86"/>
      <c r="BO761" s="88"/>
      <c r="BP761" s="86"/>
      <c r="BQ761" s="88"/>
      <c r="BR761" s="86"/>
      <c r="BS761" s="87"/>
    </row>
    <row r="762" ht="22.5" customHeight="1">
      <c r="A762" s="154"/>
      <c r="B762" s="83"/>
      <c r="C762" s="151"/>
      <c r="D762" s="83"/>
      <c r="E762" s="151"/>
      <c r="F762" s="83"/>
      <c r="G762" s="85"/>
      <c r="H762" s="86"/>
      <c r="I762" s="87"/>
      <c r="J762" s="86"/>
      <c r="K762" s="88"/>
      <c r="L762" s="86"/>
      <c r="M762" s="88"/>
      <c r="N762" s="86"/>
      <c r="O762" s="88"/>
      <c r="P762" s="86"/>
      <c r="Q762" s="88"/>
      <c r="R762" s="86"/>
      <c r="S762" s="88"/>
      <c r="T762" s="86"/>
      <c r="U762" s="88"/>
      <c r="V762" s="86"/>
      <c r="W762" s="88"/>
      <c r="X762" s="86"/>
      <c r="Y762" s="88"/>
      <c r="Z762" s="86"/>
      <c r="AA762" s="88"/>
      <c r="AB762" s="86"/>
      <c r="AC762" s="88"/>
      <c r="AD762" s="86"/>
      <c r="AE762" s="88"/>
      <c r="AF762" s="86"/>
      <c r="AG762" s="88"/>
      <c r="AH762" s="86"/>
      <c r="AI762" s="88"/>
      <c r="AJ762" s="86"/>
      <c r="AK762" s="88"/>
      <c r="AL762" s="86"/>
      <c r="AM762" s="88"/>
      <c r="AN762" s="86"/>
      <c r="AO762" s="88"/>
      <c r="AP762" s="86"/>
      <c r="AQ762" s="88"/>
      <c r="AR762" s="86"/>
      <c r="AS762" s="88"/>
      <c r="AT762" s="86"/>
      <c r="AU762" s="88"/>
      <c r="AV762" s="86"/>
      <c r="AW762" s="88"/>
      <c r="AX762" s="86"/>
      <c r="AY762" s="88"/>
      <c r="AZ762" s="86"/>
      <c r="BA762" s="88"/>
      <c r="BB762" s="86"/>
      <c r="BC762" s="88"/>
      <c r="BD762" s="86"/>
      <c r="BE762" s="88"/>
      <c r="BF762" s="86"/>
      <c r="BG762" s="88"/>
      <c r="BH762" s="86"/>
      <c r="BI762" s="88"/>
      <c r="BJ762" s="86"/>
      <c r="BK762" s="88"/>
      <c r="BL762" s="86"/>
      <c r="BM762" s="88"/>
      <c r="BN762" s="86"/>
      <c r="BO762" s="88"/>
      <c r="BP762" s="86"/>
      <c r="BQ762" s="88"/>
      <c r="BR762" s="86"/>
      <c r="BS762" s="87"/>
    </row>
    <row r="763" ht="22.5" customHeight="1">
      <c r="A763" s="154"/>
      <c r="B763" s="83"/>
      <c r="C763" s="151"/>
      <c r="D763" s="83"/>
      <c r="E763" s="151"/>
      <c r="F763" s="83"/>
      <c r="G763" s="85"/>
      <c r="H763" s="86"/>
      <c r="I763" s="87"/>
      <c r="J763" s="86"/>
      <c r="K763" s="88"/>
      <c r="L763" s="86"/>
      <c r="M763" s="88"/>
      <c r="N763" s="86"/>
      <c r="O763" s="88"/>
      <c r="P763" s="86"/>
      <c r="Q763" s="88"/>
      <c r="R763" s="86"/>
      <c r="S763" s="88"/>
      <c r="T763" s="86"/>
      <c r="U763" s="88"/>
      <c r="V763" s="86"/>
      <c r="W763" s="88"/>
      <c r="X763" s="86"/>
      <c r="Y763" s="88"/>
      <c r="Z763" s="86"/>
      <c r="AA763" s="88"/>
      <c r="AB763" s="86"/>
      <c r="AC763" s="88"/>
      <c r="AD763" s="86"/>
      <c r="AE763" s="88"/>
      <c r="AF763" s="86"/>
      <c r="AG763" s="88"/>
      <c r="AH763" s="86"/>
      <c r="AI763" s="88"/>
      <c r="AJ763" s="86"/>
      <c r="AK763" s="88"/>
      <c r="AL763" s="86"/>
      <c r="AM763" s="88"/>
      <c r="AN763" s="86"/>
      <c r="AO763" s="88"/>
      <c r="AP763" s="86"/>
      <c r="AQ763" s="88"/>
      <c r="AR763" s="86"/>
      <c r="AS763" s="88"/>
      <c r="AT763" s="86"/>
      <c r="AU763" s="88"/>
      <c r="AV763" s="86"/>
      <c r="AW763" s="88"/>
      <c r="AX763" s="86"/>
      <c r="AY763" s="88"/>
      <c r="AZ763" s="86"/>
      <c r="BA763" s="88"/>
      <c r="BB763" s="86"/>
      <c r="BC763" s="88"/>
      <c r="BD763" s="86"/>
      <c r="BE763" s="88"/>
      <c r="BF763" s="86"/>
      <c r="BG763" s="88"/>
      <c r="BH763" s="86"/>
      <c r="BI763" s="88"/>
      <c r="BJ763" s="86"/>
      <c r="BK763" s="88"/>
      <c r="BL763" s="86"/>
      <c r="BM763" s="88"/>
      <c r="BN763" s="86"/>
      <c r="BO763" s="88"/>
      <c r="BP763" s="86"/>
      <c r="BQ763" s="88"/>
      <c r="BR763" s="86"/>
      <c r="BS763" s="87"/>
    </row>
    <row r="764" ht="22.5" customHeight="1">
      <c r="A764" s="154"/>
      <c r="B764" s="83"/>
      <c r="C764" s="151"/>
      <c r="D764" s="83"/>
      <c r="E764" s="151"/>
      <c r="F764" s="83"/>
      <c r="G764" s="85"/>
      <c r="H764" s="86"/>
      <c r="I764" s="87"/>
      <c r="J764" s="86"/>
      <c r="K764" s="88"/>
      <c r="L764" s="86"/>
      <c r="M764" s="88"/>
      <c r="N764" s="86"/>
      <c r="O764" s="88"/>
      <c r="P764" s="86"/>
      <c r="Q764" s="88"/>
      <c r="R764" s="86"/>
      <c r="S764" s="88"/>
      <c r="T764" s="86"/>
      <c r="U764" s="88"/>
      <c r="V764" s="86"/>
      <c r="W764" s="88"/>
      <c r="X764" s="86"/>
      <c r="Y764" s="88"/>
      <c r="Z764" s="86"/>
      <c r="AA764" s="88"/>
      <c r="AB764" s="86"/>
      <c r="AC764" s="88"/>
      <c r="AD764" s="86"/>
      <c r="AE764" s="88"/>
      <c r="AF764" s="86"/>
      <c r="AG764" s="88"/>
      <c r="AH764" s="86"/>
      <c r="AI764" s="88"/>
      <c r="AJ764" s="86"/>
      <c r="AK764" s="88"/>
      <c r="AL764" s="86"/>
      <c r="AM764" s="88"/>
      <c r="AN764" s="86"/>
      <c r="AO764" s="88"/>
      <c r="AP764" s="86"/>
      <c r="AQ764" s="88"/>
      <c r="AR764" s="86"/>
      <c r="AS764" s="88"/>
      <c r="AT764" s="86"/>
      <c r="AU764" s="88"/>
      <c r="AV764" s="86"/>
      <c r="AW764" s="88"/>
      <c r="AX764" s="86"/>
      <c r="AY764" s="88"/>
      <c r="AZ764" s="86"/>
      <c r="BA764" s="88"/>
      <c r="BB764" s="86"/>
      <c r="BC764" s="88"/>
      <c r="BD764" s="86"/>
      <c r="BE764" s="88"/>
      <c r="BF764" s="86"/>
      <c r="BG764" s="88"/>
      <c r="BH764" s="86"/>
      <c r="BI764" s="88"/>
      <c r="BJ764" s="86"/>
      <c r="BK764" s="88"/>
      <c r="BL764" s="86"/>
      <c r="BM764" s="88"/>
      <c r="BN764" s="86"/>
      <c r="BO764" s="88"/>
      <c r="BP764" s="86"/>
      <c r="BQ764" s="88"/>
      <c r="BR764" s="86"/>
      <c r="BS764" s="87"/>
    </row>
    <row r="765" ht="22.5" customHeight="1">
      <c r="A765" s="154"/>
      <c r="B765" s="83"/>
      <c r="C765" s="151"/>
      <c r="D765" s="83"/>
      <c r="E765" s="151"/>
      <c r="F765" s="83"/>
      <c r="G765" s="85"/>
      <c r="H765" s="86"/>
      <c r="I765" s="87"/>
      <c r="J765" s="86"/>
      <c r="K765" s="88"/>
      <c r="L765" s="86"/>
      <c r="M765" s="88"/>
      <c r="N765" s="86"/>
      <c r="O765" s="88"/>
      <c r="P765" s="86"/>
      <c r="Q765" s="88"/>
      <c r="R765" s="86"/>
      <c r="S765" s="88"/>
      <c r="T765" s="86"/>
      <c r="U765" s="88"/>
      <c r="V765" s="86"/>
      <c r="W765" s="88"/>
      <c r="X765" s="86"/>
      <c r="Y765" s="88"/>
      <c r="Z765" s="86"/>
      <c r="AA765" s="88"/>
      <c r="AB765" s="86"/>
      <c r="AC765" s="88"/>
      <c r="AD765" s="86"/>
      <c r="AE765" s="88"/>
      <c r="AF765" s="86"/>
      <c r="AG765" s="88"/>
      <c r="AH765" s="86"/>
      <c r="AI765" s="88"/>
      <c r="AJ765" s="86"/>
      <c r="AK765" s="88"/>
      <c r="AL765" s="86"/>
      <c r="AM765" s="88"/>
      <c r="AN765" s="86"/>
      <c r="AO765" s="88"/>
      <c r="AP765" s="86"/>
      <c r="AQ765" s="88"/>
      <c r="AR765" s="86"/>
      <c r="AS765" s="88"/>
      <c r="AT765" s="86"/>
      <c r="AU765" s="88"/>
      <c r="AV765" s="86"/>
      <c r="AW765" s="88"/>
      <c r="AX765" s="86"/>
      <c r="AY765" s="88"/>
      <c r="AZ765" s="86"/>
      <c r="BA765" s="88"/>
      <c r="BB765" s="86"/>
      <c r="BC765" s="88"/>
      <c r="BD765" s="86"/>
      <c r="BE765" s="88"/>
      <c r="BF765" s="86"/>
      <c r="BG765" s="88"/>
      <c r="BH765" s="86"/>
      <c r="BI765" s="88"/>
      <c r="BJ765" s="86"/>
      <c r="BK765" s="88"/>
      <c r="BL765" s="86"/>
      <c r="BM765" s="88"/>
      <c r="BN765" s="86"/>
      <c r="BO765" s="88"/>
      <c r="BP765" s="86"/>
      <c r="BQ765" s="88"/>
      <c r="BR765" s="86"/>
      <c r="BS765" s="87"/>
    </row>
    <row r="766" ht="22.5" customHeight="1">
      <c r="A766" s="154"/>
      <c r="B766" s="83"/>
      <c r="C766" s="151"/>
      <c r="D766" s="83"/>
      <c r="E766" s="151"/>
      <c r="F766" s="83"/>
      <c r="G766" s="85"/>
      <c r="H766" s="86"/>
      <c r="I766" s="87"/>
      <c r="J766" s="86"/>
      <c r="K766" s="88"/>
      <c r="L766" s="86"/>
      <c r="M766" s="88"/>
      <c r="N766" s="86"/>
      <c r="O766" s="88"/>
      <c r="P766" s="86"/>
      <c r="Q766" s="88"/>
      <c r="R766" s="86"/>
      <c r="S766" s="88"/>
      <c r="T766" s="86"/>
      <c r="U766" s="88"/>
      <c r="V766" s="86"/>
      <c r="W766" s="88"/>
      <c r="X766" s="86"/>
      <c r="Y766" s="88"/>
      <c r="Z766" s="86"/>
      <c r="AA766" s="88"/>
      <c r="AB766" s="86"/>
      <c r="AC766" s="88"/>
      <c r="AD766" s="86"/>
      <c r="AE766" s="88"/>
      <c r="AF766" s="86"/>
      <c r="AG766" s="88"/>
      <c r="AH766" s="86"/>
      <c r="AI766" s="88"/>
      <c r="AJ766" s="86"/>
      <c r="AK766" s="88"/>
      <c r="AL766" s="86"/>
      <c r="AM766" s="88"/>
      <c r="AN766" s="86"/>
      <c r="AO766" s="88"/>
      <c r="AP766" s="86"/>
      <c r="AQ766" s="88"/>
      <c r="AR766" s="86"/>
      <c r="AS766" s="88"/>
      <c r="AT766" s="86"/>
      <c r="AU766" s="88"/>
      <c r="AV766" s="86"/>
      <c r="AW766" s="88"/>
      <c r="AX766" s="86"/>
      <c r="AY766" s="88"/>
      <c r="AZ766" s="86"/>
      <c r="BA766" s="88"/>
      <c r="BB766" s="86"/>
      <c r="BC766" s="88"/>
      <c r="BD766" s="86"/>
      <c r="BE766" s="88"/>
      <c r="BF766" s="86"/>
      <c r="BG766" s="88"/>
      <c r="BH766" s="86"/>
      <c r="BI766" s="88"/>
      <c r="BJ766" s="86"/>
      <c r="BK766" s="88"/>
      <c r="BL766" s="86"/>
      <c r="BM766" s="88"/>
      <c r="BN766" s="86"/>
      <c r="BO766" s="88"/>
      <c r="BP766" s="86"/>
      <c r="BQ766" s="88"/>
      <c r="BR766" s="86"/>
      <c r="BS766" s="87"/>
    </row>
    <row r="767" ht="22.5" customHeight="1">
      <c r="A767" s="154"/>
      <c r="B767" s="83"/>
      <c r="C767" s="151"/>
      <c r="D767" s="83"/>
      <c r="E767" s="151"/>
      <c r="F767" s="83"/>
      <c r="G767" s="85"/>
      <c r="H767" s="86"/>
      <c r="I767" s="87"/>
      <c r="J767" s="86"/>
      <c r="K767" s="88"/>
      <c r="L767" s="86"/>
      <c r="M767" s="88"/>
      <c r="N767" s="86"/>
      <c r="O767" s="88"/>
      <c r="P767" s="86"/>
      <c r="Q767" s="88"/>
      <c r="R767" s="86"/>
      <c r="S767" s="88"/>
      <c r="T767" s="86"/>
      <c r="U767" s="88"/>
      <c r="V767" s="86"/>
      <c r="W767" s="88"/>
      <c r="X767" s="86"/>
      <c r="Y767" s="88"/>
      <c r="Z767" s="86"/>
      <c r="AA767" s="88"/>
      <c r="AB767" s="86"/>
      <c r="AC767" s="88"/>
      <c r="AD767" s="86"/>
      <c r="AE767" s="88"/>
      <c r="AF767" s="86"/>
      <c r="AG767" s="88"/>
      <c r="AH767" s="86"/>
      <c r="AI767" s="88"/>
      <c r="AJ767" s="86"/>
      <c r="AK767" s="88"/>
      <c r="AL767" s="86"/>
      <c r="AM767" s="88"/>
      <c r="AN767" s="86"/>
      <c r="AO767" s="88"/>
      <c r="AP767" s="86"/>
      <c r="AQ767" s="88"/>
      <c r="AR767" s="86"/>
      <c r="AS767" s="88"/>
      <c r="AT767" s="86"/>
      <c r="AU767" s="88"/>
      <c r="AV767" s="86"/>
      <c r="AW767" s="88"/>
      <c r="AX767" s="86"/>
      <c r="AY767" s="88"/>
      <c r="AZ767" s="86"/>
      <c r="BA767" s="88"/>
      <c r="BB767" s="86"/>
      <c r="BC767" s="88"/>
      <c r="BD767" s="86"/>
      <c r="BE767" s="88"/>
      <c r="BF767" s="86"/>
      <c r="BG767" s="88"/>
      <c r="BH767" s="86"/>
      <c r="BI767" s="88"/>
      <c r="BJ767" s="86"/>
      <c r="BK767" s="88"/>
      <c r="BL767" s="86"/>
      <c r="BM767" s="88"/>
      <c r="BN767" s="86"/>
      <c r="BO767" s="88"/>
      <c r="BP767" s="86"/>
      <c r="BQ767" s="88"/>
      <c r="BR767" s="86"/>
      <c r="BS767" s="87"/>
    </row>
    <row r="768" ht="22.5" customHeight="1">
      <c r="A768" s="154"/>
      <c r="B768" s="83"/>
      <c r="C768" s="151"/>
      <c r="D768" s="83"/>
      <c r="E768" s="151"/>
      <c r="F768" s="83"/>
      <c r="G768" s="85"/>
      <c r="H768" s="86"/>
      <c r="I768" s="87"/>
      <c r="J768" s="86"/>
      <c r="K768" s="88"/>
      <c r="L768" s="86"/>
      <c r="M768" s="88"/>
      <c r="N768" s="86"/>
      <c r="O768" s="88"/>
      <c r="P768" s="86"/>
      <c r="Q768" s="88"/>
      <c r="R768" s="86"/>
      <c r="S768" s="88"/>
      <c r="T768" s="86"/>
      <c r="U768" s="88"/>
      <c r="V768" s="86"/>
      <c r="W768" s="88"/>
      <c r="X768" s="86"/>
      <c r="Y768" s="88"/>
      <c r="Z768" s="86"/>
      <c r="AA768" s="88"/>
      <c r="AB768" s="86"/>
      <c r="AC768" s="88"/>
      <c r="AD768" s="86"/>
      <c r="AE768" s="88"/>
      <c r="AF768" s="86"/>
      <c r="AG768" s="88"/>
      <c r="AH768" s="86"/>
      <c r="AI768" s="88"/>
      <c r="AJ768" s="86"/>
      <c r="AK768" s="88"/>
      <c r="AL768" s="86"/>
      <c r="AM768" s="88"/>
      <c r="AN768" s="86"/>
      <c r="AO768" s="88"/>
      <c r="AP768" s="86"/>
      <c r="AQ768" s="88"/>
      <c r="AR768" s="86"/>
      <c r="AS768" s="88"/>
      <c r="AT768" s="86"/>
      <c r="AU768" s="88"/>
      <c r="AV768" s="86"/>
      <c r="AW768" s="88"/>
      <c r="AX768" s="86"/>
      <c r="AY768" s="88"/>
      <c r="AZ768" s="86"/>
      <c r="BA768" s="88"/>
      <c r="BB768" s="86"/>
      <c r="BC768" s="88"/>
      <c r="BD768" s="86"/>
      <c r="BE768" s="88"/>
      <c r="BF768" s="86"/>
      <c r="BG768" s="88"/>
      <c r="BH768" s="86"/>
      <c r="BI768" s="88"/>
      <c r="BJ768" s="86"/>
      <c r="BK768" s="88"/>
      <c r="BL768" s="86"/>
      <c r="BM768" s="88"/>
      <c r="BN768" s="86"/>
      <c r="BO768" s="88"/>
      <c r="BP768" s="86"/>
      <c r="BQ768" s="88"/>
      <c r="BR768" s="86"/>
      <c r="BS768" s="87"/>
    </row>
    <row r="769" ht="22.5" customHeight="1">
      <c r="A769" s="154"/>
      <c r="B769" s="83"/>
      <c r="C769" s="151"/>
      <c r="D769" s="83"/>
      <c r="E769" s="151"/>
      <c r="F769" s="83"/>
      <c r="G769" s="85"/>
      <c r="H769" s="86"/>
      <c r="I769" s="87"/>
      <c r="J769" s="86"/>
      <c r="K769" s="88"/>
      <c r="L769" s="86"/>
      <c r="M769" s="88"/>
      <c r="N769" s="86"/>
      <c r="O769" s="88"/>
      <c r="P769" s="86"/>
      <c r="Q769" s="88"/>
      <c r="R769" s="86"/>
      <c r="S769" s="88"/>
      <c r="T769" s="86"/>
      <c r="U769" s="88"/>
      <c r="V769" s="86"/>
      <c r="W769" s="88"/>
      <c r="X769" s="86"/>
      <c r="Y769" s="88"/>
      <c r="Z769" s="86"/>
      <c r="AA769" s="88"/>
      <c r="AB769" s="86"/>
      <c r="AC769" s="88"/>
      <c r="AD769" s="86"/>
      <c r="AE769" s="88"/>
      <c r="AF769" s="86"/>
      <c r="AG769" s="88"/>
      <c r="AH769" s="86"/>
      <c r="AI769" s="88"/>
      <c r="AJ769" s="86"/>
      <c r="AK769" s="88"/>
      <c r="AL769" s="86"/>
      <c r="AM769" s="88"/>
      <c r="AN769" s="86"/>
      <c r="AO769" s="88"/>
      <c r="AP769" s="86"/>
      <c r="AQ769" s="88"/>
      <c r="AR769" s="86"/>
      <c r="AS769" s="88"/>
      <c r="AT769" s="86"/>
      <c r="AU769" s="88"/>
      <c r="AV769" s="86"/>
      <c r="AW769" s="88"/>
      <c r="AX769" s="86"/>
      <c r="AY769" s="88"/>
      <c r="AZ769" s="86"/>
      <c r="BA769" s="88"/>
      <c r="BB769" s="86"/>
      <c r="BC769" s="88"/>
      <c r="BD769" s="86"/>
      <c r="BE769" s="88"/>
      <c r="BF769" s="86"/>
      <c r="BG769" s="88"/>
      <c r="BH769" s="86"/>
      <c r="BI769" s="88"/>
      <c r="BJ769" s="86"/>
      <c r="BK769" s="88"/>
      <c r="BL769" s="86"/>
      <c r="BM769" s="88"/>
      <c r="BN769" s="86"/>
      <c r="BO769" s="88"/>
      <c r="BP769" s="86"/>
      <c r="BQ769" s="88"/>
      <c r="BR769" s="86"/>
      <c r="BS769" s="87"/>
    </row>
    <row r="770" ht="22.5" customHeight="1">
      <c r="A770" s="154"/>
      <c r="B770" s="83"/>
      <c r="C770" s="151"/>
      <c r="D770" s="83"/>
      <c r="E770" s="151"/>
      <c r="F770" s="83"/>
      <c r="G770" s="85"/>
      <c r="H770" s="86"/>
      <c r="I770" s="87"/>
      <c r="J770" s="86"/>
      <c r="K770" s="88"/>
      <c r="L770" s="86"/>
      <c r="M770" s="88"/>
      <c r="N770" s="86"/>
      <c r="O770" s="88"/>
      <c r="P770" s="86"/>
      <c r="Q770" s="88"/>
      <c r="R770" s="86"/>
      <c r="S770" s="88"/>
      <c r="T770" s="86"/>
      <c r="U770" s="88"/>
      <c r="V770" s="86"/>
      <c r="W770" s="88"/>
      <c r="X770" s="86"/>
      <c r="Y770" s="88"/>
      <c r="Z770" s="86"/>
      <c r="AA770" s="88"/>
      <c r="AB770" s="86"/>
      <c r="AC770" s="88"/>
      <c r="AD770" s="86"/>
      <c r="AE770" s="88"/>
      <c r="AF770" s="86"/>
      <c r="AG770" s="88"/>
      <c r="AH770" s="86"/>
      <c r="AI770" s="88"/>
      <c r="AJ770" s="86"/>
      <c r="AK770" s="88"/>
      <c r="AL770" s="86"/>
      <c r="AM770" s="88"/>
      <c r="AN770" s="86"/>
      <c r="AO770" s="88"/>
      <c r="AP770" s="86"/>
      <c r="AQ770" s="88"/>
      <c r="AR770" s="86"/>
      <c r="AS770" s="88"/>
      <c r="AT770" s="86"/>
      <c r="AU770" s="88"/>
      <c r="AV770" s="86"/>
      <c r="AW770" s="88"/>
      <c r="AX770" s="86"/>
      <c r="AY770" s="88"/>
      <c r="AZ770" s="86"/>
      <c r="BA770" s="88"/>
      <c r="BB770" s="86"/>
      <c r="BC770" s="88"/>
      <c r="BD770" s="86"/>
      <c r="BE770" s="88"/>
      <c r="BF770" s="86"/>
      <c r="BG770" s="88"/>
      <c r="BH770" s="86"/>
      <c r="BI770" s="88"/>
      <c r="BJ770" s="86"/>
      <c r="BK770" s="88"/>
      <c r="BL770" s="86"/>
      <c r="BM770" s="88"/>
      <c r="BN770" s="86"/>
      <c r="BO770" s="88"/>
      <c r="BP770" s="86"/>
      <c r="BQ770" s="88"/>
      <c r="BR770" s="86"/>
      <c r="BS770" s="87"/>
    </row>
    <row r="771" ht="22.5" customHeight="1">
      <c r="A771" s="154"/>
      <c r="B771" s="83"/>
      <c r="C771" s="151"/>
      <c r="D771" s="83"/>
      <c r="E771" s="151"/>
      <c r="F771" s="83"/>
      <c r="G771" s="85"/>
      <c r="H771" s="86"/>
      <c r="I771" s="87"/>
      <c r="J771" s="86"/>
      <c r="K771" s="88"/>
      <c r="L771" s="86"/>
      <c r="M771" s="88"/>
      <c r="N771" s="86"/>
      <c r="O771" s="88"/>
      <c r="P771" s="86"/>
      <c r="Q771" s="88"/>
      <c r="R771" s="86"/>
      <c r="S771" s="88"/>
      <c r="T771" s="86"/>
      <c r="U771" s="88"/>
      <c r="V771" s="86"/>
      <c r="W771" s="88"/>
      <c r="X771" s="86"/>
      <c r="Y771" s="88"/>
      <c r="Z771" s="86"/>
      <c r="AA771" s="88"/>
      <c r="AB771" s="86"/>
      <c r="AC771" s="88"/>
      <c r="AD771" s="86"/>
      <c r="AE771" s="88"/>
      <c r="AF771" s="86"/>
      <c r="AG771" s="88"/>
      <c r="AH771" s="86"/>
      <c r="AI771" s="88"/>
      <c r="AJ771" s="86"/>
      <c r="AK771" s="88"/>
      <c r="AL771" s="86"/>
      <c r="AM771" s="88"/>
      <c r="AN771" s="86"/>
      <c r="AO771" s="88"/>
      <c r="AP771" s="86"/>
      <c r="AQ771" s="88"/>
      <c r="AR771" s="86"/>
      <c r="AS771" s="88"/>
      <c r="AT771" s="86"/>
      <c r="AU771" s="88"/>
      <c r="AV771" s="86"/>
      <c r="AW771" s="88"/>
      <c r="AX771" s="86"/>
      <c r="AY771" s="88"/>
      <c r="AZ771" s="86"/>
      <c r="BA771" s="88"/>
      <c r="BB771" s="86"/>
      <c r="BC771" s="88"/>
      <c r="BD771" s="86"/>
      <c r="BE771" s="88"/>
      <c r="BF771" s="86"/>
      <c r="BG771" s="88"/>
      <c r="BH771" s="86"/>
      <c r="BI771" s="88"/>
      <c r="BJ771" s="86"/>
      <c r="BK771" s="88"/>
      <c r="BL771" s="86"/>
      <c r="BM771" s="88"/>
      <c r="BN771" s="86"/>
      <c r="BO771" s="88"/>
      <c r="BP771" s="86"/>
      <c r="BQ771" s="88"/>
      <c r="BR771" s="86"/>
      <c r="BS771" s="87"/>
    </row>
    <row r="772" ht="22.5" customHeight="1">
      <c r="A772" s="154"/>
      <c r="B772" s="83"/>
      <c r="C772" s="151"/>
      <c r="D772" s="83"/>
      <c r="E772" s="151"/>
      <c r="F772" s="83"/>
      <c r="G772" s="85"/>
      <c r="H772" s="86"/>
      <c r="I772" s="87"/>
      <c r="J772" s="86"/>
      <c r="K772" s="88"/>
      <c r="L772" s="86"/>
      <c r="M772" s="88"/>
      <c r="N772" s="86"/>
      <c r="O772" s="88"/>
      <c r="P772" s="86"/>
      <c r="Q772" s="88"/>
      <c r="R772" s="86"/>
      <c r="S772" s="88"/>
      <c r="T772" s="86"/>
      <c r="U772" s="88"/>
      <c r="V772" s="86"/>
      <c r="W772" s="88"/>
      <c r="X772" s="86"/>
      <c r="Y772" s="88"/>
      <c r="Z772" s="86"/>
      <c r="AA772" s="88"/>
      <c r="AB772" s="86"/>
      <c r="AC772" s="88"/>
      <c r="AD772" s="86"/>
      <c r="AE772" s="88"/>
      <c r="AF772" s="86"/>
      <c r="AG772" s="88"/>
      <c r="AH772" s="86"/>
      <c r="AI772" s="88"/>
      <c r="AJ772" s="86"/>
      <c r="AK772" s="88"/>
      <c r="AL772" s="86"/>
      <c r="AM772" s="88"/>
      <c r="AN772" s="86"/>
      <c r="AO772" s="88"/>
      <c r="AP772" s="86"/>
      <c r="AQ772" s="88"/>
      <c r="AR772" s="86"/>
      <c r="AS772" s="88"/>
      <c r="AT772" s="86"/>
      <c r="AU772" s="88"/>
      <c r="AV772" s="86"/>
      <c r="AW772" s="88"/>
      <c r="AX772" s="86"/>
      <c r="AY772" s="88"/>
      <c r="AZ772" s="86"/>
      <c r="BA772" s="88"/>
      <c r="BB772" s="86"/>
      <c r="BC772" s="88"/>
      <c r="BD772" s="86"/>
      <c r="BE772" s="88"/>
      <c r="BF772" s="86"/>
      <c r="BG772" s="88"/>
      <c r="BH772" s="86"/>
      <c r="BI772" s="88"/>
      <c r="BJ772" s="86"/>
      <c r="BK772" s="88"/>
      <c r="BL772" s="86"/>
      <c r="BM772" s="88"/>
      <c r="BN772" s="86"/>
      <c r="BO772" s="88"/>
      <c r="BP772" s="86"/>
      <c r="BQ772" s="88"/>
      <c r="BR772" s="86"/>
      <c r="BS772" s="87"/>
    </row>
    <row r="773" ht="22.5" customHeight="1">
      <c r="A773" s="154"/>
      <c r="B773" s="83"/>
      <c r="C773" s="151"/>
      <c r="D773" s="83"/>
      <c r="E773" s="151"/>
      <c r="F773" s="83"/>
      <c r="G773" s="85"/>
      <c r="H773" s="86"/>
      <c r="I773" s="87"/>
      <c r="J773" s="86"/>
      <c r="K773" s="88"/>
      <c r="L773" s="86"/>
      <c r="M773" s="88"/>
      <c r="N773" s="86"/>
      <c r="O773" s="88"/>
      <c r="P773" s="86"/>
      <c r="Q773" s="88"/>
      <c r="R773" s="86"/>
      <c r="S773" s="88"/>
      <c r="T773" s="86"/>
      <c r="U773" s="88"/>
      <c r="V773" s="86"/>
      <c r="W773" s="88"/>
      <c r="X773" s="86"/>
      <c r="Y773" s="88"/>
      <c r="Z773" s="86"/>
      <c r="AA773" s="88"/>
      <c r="AB773" s="86"/>
      <c r="AC773" s="88"/>
      <c r="AD773" s="86"/>
      <c r="AE773" s="88"/>
      <c r="AF773" s="86"/>
      <c r="AG773" s="88"/>
      <c r="AH773" s="86"/>
      <c r="AI773" s="88"/>
      <c r="AJ773" s="86"/>
      <c r="AK773" s="88"/>
      <c r="AL773" s="86"/>
      <c r="AM773" s="88"/>
      <c r="AN773" s="86"/>
      <c r="AO773" s="88"/>
      <c r="AP773" s="86"/>
      <c r="AQ773" s="88"/>
      <c r="AR773" s="86"/>
      <c r="AS773" s="88"/>
      <c r="AT773" s="86"/>
      <c r="AU773" s="88"/>
      <c r="AV773" s="86"/>
      <c r="AW773" s="88"/>
      <c r="AX773" s="86"/>
      <c r="AY773" s="88"/>
      <c r="AZ773" s="86"/>
      <c r="BA773" s="88"/>
      <c r="BB773" s="86"/>
      <c r="BC773" s="88"/>
      <c r="BD773" s="86"/>
      <c r="BE773" s="88"/>
      <c r="BF773" s="86"/>
      <c r="BG773" s="88"/>
      <c r="BH773" s="86"/>
      <c r="BI773" s="88"/>
      <c r="BJ773" s="86"/>
      <c r="BK773" s="88"/>
      <c r="BL773" s="86"/>
      <c r="BM773" s="88"/>
      <c r="BN773" s="86"/>
      <c r="BO773" s="88"/>
      <c r="BP773" s="86"/>
      <c r="BQ773" s="88"/>
      <c r="BR773" s="86"/>
      <c r="BS773" s="87"/>
    </row>
    <row r="774" ht="22.5" customHeight="1">
      <c r="A774" s="154"/>
      <c r="B774" s="83"/>
      <c r="C774" s="151"/>
      <c r="D774" s="83"/>
      <c r="E774" s="151"/>
      <c r="F774" s="83"/>
      <c r="G774" s="85"/>
      <c r="H774" s="86"/>
      <c r="I774" s="87"/>
      <c r="J774" s="86"/>
      <c r="K774" s="88"/>
      <c r="L774" s="86"/>
      <c r="M774" s="88"/>
      <c r="N774" s="86"/>
      <c r="O774" s="88"/>
      <c r="P774" s="86"/>
      <c r="Q774" s="88"/>
      <c r="R774" s="86"/>
      <c r="S774" s="88"/>
      <c r="T774" s="86"/>
      <c r="U774" s="88"/>
      <c r="V774" s="86"/>
      <c r="W774" s="88"/>
      <c r="X774" s="86"/>
      <c r="Y774" s="88"/>
      <c r="Z774" s="86"/>
      <c r="AA774" s="88"/>
      <c r="AB774" s="86"/>
      <c r="AC774" s="88"/>
      <c r="AD774" s="86"/>
      <c r="AE774" s="88"/>
      <c r="AF774" s="86"/>
      <c r="AG774" s="88"/>
      <c r="AH774" s="86"/>
      <c r="AI774" s="88"/>
      <c r="AJ774" s="86"/>
      <c r="AK774" s="88"/>
      <c r="AL774" s="86"/>
      <c r="AM774" s="88"/>
      <c r="AN774" s="86"/>
      <c r="AO774" s="88"/>
      <c r="AP774" s="86"/>
      <c r="AQ774" s="88"/>
      <c r="AR774" s="86"/>
      <c r="AS774" s="88"/>
      <c r="AT774" s="86"/>
      <c r="AU774" s="88"/>
      <c r="AV774" s="86"/>
      <c r="AW774" s="88"/>
      <c r="AX774" s="86"/>
      <c r="AY774" s="88"/>
      <c r="AZ774" s="86"/>
      <c r="BA774" s="88"/>
      <c r="BB774" s="86"/>
      <c r="BC774" s="88"/>
      <c r="BD774" s="86"/>
      <c r="BE774" s="88"/>
      <c r="BF774" s="86"/>
      <c r="BG774" s="88"/>
      <c r="BH774" s="86"/>
      <c r="BI774" s="88"/>
      <c r="BJ774" s="86"/>
      <c r="BK774" s="88"/>
      <c r="BL774" s="86"/>
      <c r="BM774" s="88"/>
      <c r="BN774" s="86"/>
      <c r="BO774" s="88"/>
      <c r="BP774" s="86"/>
      <c r="BQ774" s="88"/>
      <c r="BR774" s="86"/>
      <c r="BS774" s="87"/>
    </row>
    <row r="775" ht="22.5" customHeight="1">
      <c r="A775" s="154"/>
      <c r="B775" s="83"/>
      <c r="C775" s="151"/>
      <c r="D775" s="83"/>
      <c r="E775" s="151"/>
      <c r="F775" s="83"/>
      <c r="G775" s="85"/>
      <c r="H775" s="86"/>
      <c r="I775" s="87"/>
      <c r="J775" s="86"/>
      <c r="K775" s="88"/>
      <c r="L775" s="86"/>
      <c r="M775" s="88"/>
      <c r="N775" s="86"/>
      <c r="O775" s="88"/>
      <c r="P775" s="86"/>
      <c r="Q775" s="88"/>
      <c r="R775" s="86"/>
      <c r="S775" s="88"/>
      <c r="T775" s="86"/>
      <c r="U775" s="88"/>
      <c r="V775" s="86"/>
      <c r="W775" s="88"/>
      <c r="X775" s="86"/>
      <c r="Y775" s="88"/>
      <c r="Z775" s="86"/>
      <c r="AA775" s="88"/>
      <c r="AB775" s="86"/>
      <c r="AC775" s="88"/>
      <c r="AD775" s="86"/>
      <c r="AE775" s="88"/>
      <c r="AF775" s="86"/>
      <c r="AG775" s="88"/>
      <c r="AH775" s="86"/>
      <c r="AI775" s="88"/>
      <c r="AJ775" s="86"/>
      <c r="AK775" s="88"/>
      <c r="AL775" s="86"/>
      <c r="AM775" s="88"/>
      <c r="AN775" s="86"/>
      <c r="AO775" s="88"/>
      <c r="AP775" s="86"/>
      <c r="AQ775" s="88"/>
      <c r="AR775" s="86"/>
      <c r="AS775" s="88"/>
      <c r="AT775" s="86"/>
      <c r="AU775" s="88"/>
      <c r="AV775" s="86"/>
      <c r="AW775" s="88"/>
      <c r="AX775" s="86"/>
      <c r="AY775" s="88"/>
      <c r="AZ775" s="86"/>
      <c r="BA775" s="88"/>
      <c r="BB775" s="86"/>
      <c r="BC775" s="88"/>
      <c r="BD775" s="86"/>
      <c r="BE775" s="88"/>
      <c r="BF775" s="86"/>
      <c r="BG775" s="88"/>
      <c r="BH775" s="86"/>
      <c r="BI775" s="88"/>
      <c r="BJ775" s="86"/>
      <c r="BK775" s="88"/>
      <c r="BL775" s="86"/>
      <c r="BM775" s="88"/>
      <c r="BN775" s="86"/>
      <c r="BO775" s="88"/>
      <c r="BP775" s="86"/>
      <c r="BQ775" s="88"/>
      <c r="BR775" s="86"/>
      <c r="BS775" s="87"/>
    </row>
    <row r="776" ht="22.5" customHeight="1">
      <c r="A776" s="154"/>
      <c r="B776" s="83"/>
      <c r="C776" s="151"/>
      <c r="D776" s="83"/>
      <c r="E776" s="151"/>
      <c r="F776" s="83"/>
      <c r="G776" s="85"/>
      <c r="H776" s="86"/>
      <c r="I776" s="87"/>
      <c r="J776" s="86"/>
      <c r="K776" s="88"/>
      <c r="L776" s="86"/>
      <c r="M776" s="88"/>
      <c r="N776" s="86"/>
      <c r="O776" s="88"/>
      <c r="P776" s="86"/>
      <c r="Q776" s="88"/>
      <c r="R776" s="86"/>
      <c r="S776" s="88"/>
      <c r="T776" s="86"/>
      <c r="U776" s="88"/>
      <c r="V776" s="86"/>
      <c r="W776" s="88"/>
      <c r="X776" s="86"/>
      <c r="Y776" s="88"/>
      <c r="Z776" s="86"/>
      <c r="AA776" s="88"/>
      <c r="AB776" s="86"/>
      <c r="AC776" s="88"/>
      <c r="AD776" s="86"/>
      <c r="AE776" s="88"/>
      <c r="AF776" s="86"/>
      <c r="AG776" s="88"/>
      <c r="AH776" s="86"/>
      <c r="AI776" s="88"/>
      <c r="AJ776" s="86"/>
      <c r="AK776" s="88"/>
      <c r="AL776" s="86"/>
      <c r="AM776" s="88"/>
      <c r="AN776" s="86"/>
      <c r="AO776" s="88"/>
      <c r="AP776" s="86"/>
      <c r="AQ776" s="88"/>
      <c r="AR776" s="86"/>
      <c r="AS776" s="88"/>
      <c r="AT776" s="86"/>
      <c r="AU776" s="88"/>
      <c r="AV776" s="86"/>
      <c r="AW776" s="88"/>
      <c r="AX776" s="86"/>
      <c r="AY776" s="88"/>
      <c r="AZ776" s="86"/>
      <c r="BA776" s="88"/>
      <c r="BB776" s="86"/>
      <c r="BC776" s="88"/>
      <c r="BD776" s="86"/>
      <c r="BE776" s="88"/>
      <c r="BF776" s="86"/>
      <c r="BG776" s="88"/>
      <c r="BH776" s="86"/>
      <c r="BI776" s="88"/>
      <c r="BJ776" s="86"/>
      <c r="BK776" s="88"/>
      <c r="BL776" s="86"/>
      <c r="BM776" s="88"/>
      <c r="BN776" s="86"/>
      <c r="BO776" s="88"/>
      <c r="BP776" s="86"/>
      <c r="BQ776" s="88"/>
      <c r="BR776" s="86"/>
      <c r="BS776" s="87"/>
    </row>
    <row r="777" ht="22.5" customHeight="1">
      <c r="A777" s="154"/>
      <c r="B777" s="83"/>
      <c r="C777" s="151"/>
      <c r="D777" s="83"/>
      <c r="E777" s="151"/>
      <c r="F777" s="83"/>
      <c r="G777" s="85"/>
      <c r="H777" s="86"/>
      <c r="I777" s="87"/>
      <c r="J777" s="86"/>
      <c r="K777" s="88"/>
      <c r="L777" s="86"/>
      <c r="M777" s="88"/>
      <c r="N777" s="86"/>
      <c r="O777" s="88"/>
      <c r="P777" s="86"/>
      <c r="Q777" s="88"/>
      <c r="R777" s="86"/>
      <c r="S777" s="88"/>
      <c r="T777" s="86"/>
      <c r="U777" s="88"/>
      <c r="V777" s="86"/>
      <c r="W777" s="88"/>
      <c r="X777" s="86"/>
      <c r="Y777" s="88"/>
      <c r="Z777" s="86"/>
      <c r="AA777" s="88"/>
      <c r="AB777" s="86"/>
      <c r="AC777" s="88"/>
      <c r="AD777" s="86"/>
      <c r="AE777" s="88"/>
      <c r="AF777" s="86"/>
      <c r="AG777" s="88"/>
      <c r="AH777" s="86"/>
      <c r="AI777" s="88"/>
      <c r="AJ777" s="86"/>
      <c r="AK777" s="88"/>
      <c r="AL777" s="86"/>
      <c r="AM777" s="88"/>
      <c r="AN777" s="86"/>
      <c r="AO777" s="88"/>
      <c r="AP777" s="86"/>
      <c r="AQ777" s="88"/>
      <c r="AR777" s="86"/>
      <c r="AS777" s="88"/>
      <c r="AT777" s="86"/>
      <c r="AU777" s="88"/>
      <c r="AV777" s="86"/>
      <c r="AW777" s="88"/>
      <c r="AX777" s="86"/>
      <c r="AY777" s="88"/>
      <c r="AZ777" s="86"/>
      <c r="BA777" s="88"/>
      <c r="BB777" s="86"/>
      <c r="BC777" s="88"/>
      <c r="BD777" s="86"/>
      <c r="BE777" s="88"/>
      <c r="BF777" s="86"/>
      <c r="BG777" s="88"/>
      <c r="BH777" s="86"/>
      <c r="BI777" s="88"/>
      <c r="BJ777" s="86"/>
      <c r="BK777" s="88"/>
      <c r="BL777" s="86"/>
      <c r="BM777" s="88"/>
      <c r="BN777" s="86"/>
      <c r="BO777" s="88"/>
      <c r="BP777" s="86"/>
      <c r="BQ777" s="88"/>
      <c r="BR777" s="86"/>
      <c r="BS777" s="87"/>
    </row>
    <row r="778" ht="22.5" customHeight="1">
      <c r="A778" s="154"/>
      <c r="B778" s="83"/>
      <c r="C778" s="151"/>
      <c r="D778" s="83"/>
      <c r="E778" s="151"/>
      <c r="F778" s="83"/>
      <c r="G778" s="85"/>
      <c r="H778" s="86"/>
      <c r="I778" s="87"/>
      <c r="J778" s="86"/>
      <c r="K778" s="88"/>
      <c r="L778" s="86"/>
      <c r="M778" s="88"/>
      <c r="N778" s="86"/>
      <c r="O778" s="88"/>
      <c r="P778" s="86"/>
      <c r="Q778" s="88"/>
      <c r="R778" s="86"/>
      <c r="S778" s="88"/>
      <c r="T778" s="86"/>
      <c r="U778" s="88"/>
      <c r="V778" s="86"/>
      <c r="W778" s="88"/>
      <c r="X778" s="86"/>
      <c r="Y778" s="88"/>
      <c r="Z778" s="86"/>
      <c r="AA778" s="88"/>
      <c r="AB778" s="86"/>
      <c r="AC778" s="88"/>
      <c r="AD778" s="86"/>
      <c r="AE778" s="88"/>
      <c r="AF778" s="86"/>
      <c r="AG778" s="88"/>
      <c r="AH778" s="86"/>
      <c r="AI778" s="88"/>
      <c r="AJ778" s="86"/>
      <c r="AK778" s="88"/>
      <c r="AL778" s="86"/>
      <c r="AM778" s="88"/>
      <c r="AN778" s="86"/>
      <c r="AO778" s="88"/>
      <c r="AP778" s="86"/>
      <c r="AQ778" s="88"/>
      <c r="AR778" s="86"/>
      <c r="AS778" s="88"/>
      <c r="AT778" s="86"/>
      <c r="AU778" s="88"/>
      <c r="AV778" s="86"/>
      <c r="AW778" s="88"/>
      <c r="AX778" s="86"/>
      <c r="AY778" s="88"/>
      <c r="AZ778" s="86"/>
      <c r="BA778" s="88"/>
      <c r="BB778" s="86"/>
      <c r="BC778" s="88"/>
      <c r="BD778" s="86"/>
      <c r="BE778" s="88"/>
      <c r="BF778" s="86"/>
      <c r="BG778" s="88"/>
      <c r="BH778" s="86"/>
      <c r="BI778" s="88"/>
      <c r="BJ778" s="86"/>
      <c r="BK778" s="88"/>
      <c r="BL778" s="86"/>
      <c r="BM778" s="88"/>
      <c r="BN778" s="86"/>
      <c r="BO778" s="88"/>
      <c r="BP778" s="86"/>
      <c r="BQ778" s="88"/>
      <c r="BR778" s="86"/>
      <c r="BS778" s="87"/>
    </row>
    <row r="779" ht="22.5" customHeight="1">
      <c r="A779" s="154"/>
      <c r="B779" s="83"/>
      <c r="C779" s="151"/>
      <c r="D779" s="83"/>
      <c r="E779" s="151"/>
      <c r="F779" s="83"/>
      <c r="G779" s="85"/>
      <c r="H779" s="86"/>
      <c r="I779" s="87"/>
      <c r="J779" s="86"/>
      <c r="K779" s="88"/>
      <c r="L779" s="86"/>
      <c r="M779" s="88"/>
      <c r="N779" s="86"/>
      <c r="O779" s="88"/>
      <c r="P779" s="86"/>
      <c r="Q779" s="88"/>
      <c r="R779" s="86"/>
      <c r="S779" s="88"/>
      <c r="T779" s="86"/>
      <c r="U779" s="88"/>
      <c r="V779" s="86"/>
      <c r="W779" s="88"/>
      <c r="X779" s="86"/>
      <c r="Y779" s="88"/>
      <c r="Z779" s="86"/>
      <c r="AA779" s="88"/>
      <c r="AB779" s="86"/>
      <c r="AC779" s="88"/>
      <c r="AD779" s="86"/>
      <c r="AE779" s="88"/>
      <c r="AF779" s="86"/>
      <c r="AG779" s="88"/>
      <c r="AH779" s="86"/>
      <c r="AI779" s="88"/>
      <c r="AJ779" s="86"/>
      <c r="AK779" s="88"/>
      <c r="AL779" s="86"/>
      <c r="AM779" s="88"/>
      <c r="AN779" s="86"/>
      <c r="AO779" s="88"/>
      <c r="AP779" s="86"/>
      <c r="AQ779" s="88"/>
      <c r="AR779" s="86"/>
      <c r="AS779" s="88"/>
      <c r="AT779" s="86"/>
      <c r="AU779" s="88"/>
      <c r="AV779" s="86"/>
      <c r="AW779" s="88"/>
      <c r="AX779" s="86"/>
      <c r="AY779" s="88"/>
      <c r="AZ779" s="86"/>
      <c r="BA779" s="88"/>
      <c r="BB779" s="86"/>
      <c r="BC779" s="88"/>
      <c r="BD779" s="86"/>
      <c r="BE779" s="88"/>
      <c r="BF779" s="86"/>
      <c r="BG779" s="88"/>
      <c r="BH779" s="86"/>
      <c r="BI779" s="88"/>
      <c r="BJ779" s="86"/>
      <c r="BK779" s="88"/>
      <c r="BL779" s="86"/>
      <c r="BM779" s="88"/>
      <c r="BN779" s="86"/>
      <c r="BO779" s="88"/>
      <c r="BP779" s="86"/>
      <c r="BQ779" s="88"/>
      <c r="BR779" s="86"/>
      <c r="BS779" s="87"/>
    </row>
    <row r="780" ht="22.5" customHeight="1">
      <c r="A780" s="154"/>
      <c r="B780" s="83"/>
      <c r="C780" s="151"/>
      <c r="D780" s="83"/>
      <c r="E780" s="151"/>
      <c r="F780" s="83"/>
      <c r="G780" s="85"/>
      <c r="H780" s="86"/>
      <c r="I780" s="87"/>
      <c r="J780" s="86"/>
      <c r="K780" s="88"/>
      <c r="L780" s="86"/>
      <c r="M780" s="88"/>
      <c r="N780" s="86"/>
      <c r="O780" s="88"/>
      <c r="P780" s="86"/>
      <c r="Q780" s="88"/>
      <c r="R780" s="86"/>
      <c r="S780" s="88"/>
      <c r="T780" s="86"/>
      <c r="U780" s="88"/>
      <c r="V780" s="86"/>
      <c r="W780" s="88"/>
      <c r="X780" s="86"/>
      <c r="Y780" s="88"/>
      <c r="Z780" s="86"/>
      <c r="AA780" s="88"/>
      <c r="AB780" s="86"/>
      <c r="AC780" s="88"/>
      <c r="AD780" s="86"/>
      <c r="AE780" s="88"/>
      <c r="AF780" s="86"/>
      <c r="AG780" s="88"/>
      <c r="AH780" s="86"/>
      <c r="AI780" s="88"/>
      <c r="AJ780" s="86"/>
      <c r="AK780" s="88"/>
      <c r="AL780" s="86"/>
      <c r="AM780" s="88"/>
      <c r="AN780" s="86"/>
      <c r="AO780" s="88"/>
      <c r="AP780" s="86"/>
      <c r="AQ780" s="88"/>
      <c r="AR780" s="86"/>
      <c r="AS780" s="88"/>
      <c r="AT780" s="86"/>
      <c r="AU780" s="88"/>
      <c r="AV780" s="86"/>
      <c r="AW780" s="88"/>
      <c r="AX780" s="86"/>
      <c r="AY780" s="88"/>
      <c r="AZ780" s="86"/>
      <c r="BA780" s="88"/>
      <c r="BB780" s="86"/>
      <c r="BC780" s="88"/>
      <c r="BD780" s="86"/>
      <c r="BE780" s="88"/>
      <c r="BF780" s="86"/>
      <c r="BG780" s="88"/>
      <c r="BH780" s="86"/>
      <c r="BI780" s="88"/>
      <c r="BJ780" s="86"/>
      <c r="BK780" s="88"/>
      <c r="BL780" s="86"/>
      <c r="BM780" s="88"/>
      <c r="BN780" s="86"/>
      <c r="BO780" s="88"/>
      <c r="BP780" s="86"/>
      <c r="BQ780" s="88"/>
      <c r="BR780" s="86"/>
      <c r="BS780" s="87"/>
    </row>
    <row r="781" ht="22.5" customHeight="1">
      <c r="A781" s="154"/>
      <c r="B781" s="83"/>
      <c r="C781" s="151"/>
      <c r="D781" s="83"/>
      <c r="E781" s="151"/>
      <c r="F781" s="83"/>
      <c r="G781" s="85"/>
      <c r="H781" s="86"/>
      <c r="I781" s="87"/>
      <c r="J781" s="86"/>
      <c r="K781" s="88"/>
      <c r="L781" s="86"/>
      <c r="M781" s="88"/>
      <c r="N781" s="86"/>
      <c r="O781" s="88"/>
      <c r="P781" s="86"/>
      <c r="Q781" s="88"/>
      <c r="R781" s="86"/>
      <c r="S781" s="88"/>
      <c r="T781" s="86"/>
      <c r="U781" s="88"/>
      <c r="V781" s="86"/>
      <c r="W781" s="88"/>
      <c r="X781" s="86"/>
      <c r="Y781" s="88"/>
      <c r="Z781" s="86"/>
      <c r="AA781" s="88"/>
      <c r="AB781" s="86"/>
      <c r="AC781" s="88"/>
      <c r="AD781" s="86"/>
      <c r="AE781" s="88"/>
      <c r="AF781" s="86"/>
      <c r="AG781" s="88"/>
      <c r="AH781" s="86"/>
      <c r="AI781" s="88"/>
      <c r="AJ781" s="86"/>
      <c r="AK781" s="88"/>
      <c r="AL781" s="86"/>
      <c r="AM781" s="88"/>
      <c r="AN781" s="86"/>
      <c r="AO781" s="88"/>
      <c r="AP781" s="86"/>
      <c r="AQ781" s="88"/>
      <c r="AR781" s="86"/>
      <c r="AS781" s="88"/>
      <c r="AT781" s="86"/>
      <c r="AU781" s="88"/>
      <c r="AV781" s="86"/>
      <c r="AW781" s="88"/>
      <c r="AX781" s="86"/>
      <c r="AY781" s="88"/>
      <c r="AZ781" s="86"/>
      <c r="BA781" s="88"/>
      <c r="BB781" s="86"/>
      <c r="BC781" s="88"/>
      <c r="BD781" s="86"/>
      <c r="BE781" s="88"/>
      <c r="BF781" s="86"/>
      <c r="BG781" s="88"/>
      <c r="BH781" s="86"/>
      <c r="BI781" s="88"/>
      <c r="BJ781" s="86"/>
      <c r="BK781" s="88"/>
      <c r="BL781" s="86"/>
      <c r="BM781" s="88"/>
      <c r="BN781" s="86"/>
      <c r="BO781" s="88"/>
      <c r="BP781" s="86"/>
      <c r="BQ781" s="88"/>
      <c r="BR781" s="86"/>
      <c r="BS781" s="87"/>
    </row>
    <row r="782" ht="22.5" customHeight="1">
      <c r="A782" s="154"/>
      <c r="B782" s="83"/>
      <c r="C782" s="151"/>
      <c r="D782" s="83"/>
      <c r="E782" s="151"/>
      <c r="F782" s="83"/>
      <c r="G782" s="85"/>
      <c r="H782" s="86"/>
      <c r="I782" s="87"/>
      <c r="J782" s="86"/>
      <c r="K782" s="88"/>
      <c r="L782" s="86"/>
      <c r="M782" s="88"/>
      <c r="N782" s="86"/>
      <c r="O782" s="88"/>
      <c r="P782" s="86"/>
      <c r="Q782" s="88"/>
      <c r="R782" s="86"/>
      <c r="S782" s="88"/>
      <c r="T782" s="86"/>
      <c r="U782" s="88"/>
      <c r="V782" s="86"/>
      <c r="W782" s="88"/>
      <c r="X782" s="86"/>
      <c r="Y782" s="88"/>
      <c r="Z782" s="86"/>
      <c r="AA782" s="88"/>
      <c r="AB782" s="86"/>
      <c r="AC782" s="88"/>
      <c r="AD782" s="86"/>
      <c r="AE782" s="88"/>
      <c r="AF782" s="86"/>
      <c r="AG782" s="88"/>
      <c r="AH782" s="86"/>
      <c r="AI782" s="88"/>
      <c r="AJ782" s="86"/>
      <c r="AK782" s="88"/>
      <c r="AL782" s="86"/>
      <c r="AM782" s="88"/>
      <c r="AN782" s="86"/>
      <c r="AO782" s="88"/>
      <c r="AP782" s="86"/>
      <c r="AQ782" s="88"/>
      <c r="AR782" s="86"/>
      <c r="AS782" s="88"/>
      <c r="AT782" s="86"/>
      <c r="AU782" s="88"/>
      <c r="AV782" s="86"/>
      <c r="AW782" s="88"/>
      <c r="AX782" s="86"/>
      <c r="AY782" s="88"/>
      <c r="AZ782" s="86"/>
      <c r="BA782" s="88"/>
      <c r="BB782" s="86"/>
      <c r="BC782" s="88"/>
      <c r="BD782" s="86"/>
      <c r="BE782" s="88"/>
      <c r="BF782" s="86"/>
      <c r="BG782" s="88"/>
      <c r="BH782" s="86"/>
      <c r="BI782" s="88"/>
      <c r="BJ782" s="86"/>
      <c r="BK782" s="88"/>
      <c r="BL782" s="86"/>
      <c r="BM782" s="88"/>
      <c r="BN782" s="86"/>
      <c r="BO782" s="88"/>
      <c r="BP782" s="86"/>
      <c r="BQ782" s="88"/>
      <c r="BR782" s="86"/>
      <c r="BS782" s="87"/>
    </row>
    <row r="783" ht="22.5" customHeight="1">
      <c r="A783" s="154"/>
      <c r="B783" s="83"/>
      <c r="C783" s="151"/>
      <c r="D783" s="83"/>
      <c r="E783" s="151"/>
      <c r="F783" s="83"/>
      <c r="G783" s="85"/>
      <c r="H783" s="86"/>
      <c r="I783" s="87"/>
      <c r="J783" s="86"/>
      <c r="K783" s="88"/>
      <c r="L783" s="86"/>
      <c r="M783" s="88"/>
      <c r="N783" s="86"/>
      <c r="O783" s="88"/>
      <c r="P783" s="86"/>
      <c r="Q783" s="88"/>
      <c r="R783" s="86"/>
      <c r="S783" s="88"/>
      <c r="T783" s="86"/>
      <c r="U783" s="88"/>
      <c r="V783" s="86"/>
      <c r="W783" s="88"/>
      <c r="X783" s="86"/>
      <c r="Y783" s="88"/>
      <c r="Z783" s="86"/>
      <c r="AA783" s="88"/>
      <c r="AB783" s="86"/>
      <c r="AC783" s="88"/>
      <c r="AD783" s="86"/>
      <c r="AE783" s="88"/>
      <c r="AF783" s="86"/>
      <c r="AG783" s="88"/>
      <c r="AH783" s="86"/>
      <c r="AI783" s="88"/>
      <c r="AJ783" s="86"/>
      <c r="AK783" s="88"/>
      <c r="AL783" s="86"/>
      <c r="AM783" s="88"/>
      <c r="AN783" s="86"/>
      <c r="AO783" s="88"/>
      <c r="AP783" s="86"/>
      <c r="AQ783" s="88"/>
      <c r="AR783" s="86"/>
      <c r="AS783" s="88"/>
      <c r="AT783" s="86"/>
      <c r="AU783" s="88"/>
      <c r="AV783" s="86"/>
      <c r="AW783" s="88"/>
      <c r="AX783" s="86"/>
      <c r="AY783" s="88"/>
      <c r="AZ783" s="86"/>
      <c r="BA783" s="88"/>
      <c r="BB783" s="86"/>
      <c r="BC783" s="88"/>
      <c r="BD783" s="86"/>
      <c r="BE783" s="88"/>
      <c r="BF783" s="86"/>
      <c r="BG783" s="88"/>
      <c r="BH783" s="86"/>
      <c r="BI783" s="88"/>
      <c r="BJ783" s="86"/>
      <c r="BK783" s="88"/>
      <c r="BL783" s="86"/>
      <c r="BM783" s="88"/>
      <c r="BN783" s="86"/>
      <c r="BO783" s="88"/>
      <c r="BP783" s="86"/>
      <c r="BQ783" s="88"/>
      <c r="BR783" s="86"/>
      <c r="BS783" s="87"/>
    </row>
    <row r="784" ht="22.5" customHeight="1">
      <c r="A784" s="154"/>
      <c r="B784" s="83"/>
      <c r="C784" s="151"/>
      <c r="D784" s="83"/>
      <c r="E784" s="151"/>
      <c r="F784" s="83"/>
      <c r="G784" s="85"/>
      <c r="H784" s="86"/>
      <c r="I784" s="87"/>
      <c r="J784" s="86"/>
      <c r="K784" s="88"/>
      <c r="L784" s="86"/>
      <c r="M784" s="88"/>
      <c r="N784" s="86"/>
      <c r="O784" s="88"/>
      <c r="P784" s="86"/>
      <c r="Q784" s="88"/>
      <c r="R784" s="86"/>
      <c r="S784" s="88"/>
      <c r="T784" s="86"/>
      <c r="U784" s="88"/>
      <c r="V784" s="86"/>
      <c r="W784" s="88"/>
      <c r="X784" s="86"/>
      <c r="Y784" s="88"/>
      <c r="Z784" s="86"/>
      <c r="AA784" s="88"/>
      <c r="AB784" s="86"/>
      <c r="AC784" s="88"/>
      <c r="AD784" s="86"/>
      <c r="AE784" s="88"/>
      <c r="AF784" s="86"/>
      <c r="AG784" s="88"/>
      <c r="AH784" s="86"/>
      <c r="AI784" s="88"/>
      <c r="AJ784" s="86"/>
      <c r="AK784" s="88"/>
      <c r="AL784" s="86"/>
      <c r="AM784" s="88"/>
      <c r="AN784" s="86"/>
      <c r="AO784" s="88"/>
      <c r="AP784" s="86"/>
      <c r="AQ784" s="88"/>
      <c r="AR784" s="86"/>
      <c r="AS784" s="88"/>
      <c r="AT784" s="86"/>
      <c r="AU784" s="88"/>
      <c r="AV784" s="86"/>
      <c r="AW784" s="88"/>
      <c r="AX784" s="86"/>
      <c r="AY784" s="88"/>
      <c r="AZ784" s="86"/>
      <c r="BA784" s="88"/>
      <c r="BB784" s="86"/>
      <c r="BC784" s="88"/>
      <c r="BD784" s="86"/>
      <c r="BE784" s="88"/>
      <c r="BF784" s="86"/>
      <c r="BG784" s="88"/>
      <c r="BH784" s="86"/>
      <c r="BI784" s="88"/>
      <c r="BJ784" s="86"/>
      <c r="BK784" s="88"/>
      <c r="BL784" s="86"/>
      <c r="BM784" s="88"/>
      <c r="BN784" s="86"/>
      <c r="BO784" s="88"/>
      <c r="BP784" s="86"/>
      <c r="BQ784" s="88"/>
      <c r="BR784" s="86"/>
      <c r="BS784" s="87"/>
    </row>
    <row r="785" ht="22.5" customHeight="1">
      <c r="A785" s="154"/>
      <c r="B785" s="83"/>
      <c r="C785" s="151"/>
      <c r="D785" s="83"/>
      <c r="E785" s="151"/>
      <c r="F785" s="83"/>
      <c r="G785" s="85"/>
      <c r="H785" s="86"/>
      <c r="I785" s="87"/>
      <c r="J785" s="86"/>
      <c r="K785" s="88"/>
      <c r="L785" s="86"/>
      <c r="M785" s="88"/>
      <c r="N785" s="86"/>
      <c r="O785" s="88"/>
      <c r="P785" s="86"/>
      <c r="Q785" s="88"/>
      <c r="R785" s="86"/>
      <c r="S785" s="88"/>
      <c r="T785" s="86"/>
      <c r="U785" s="88"/>
      <c r="V785" s="86"/>
      <c r="W785" s="88"/>
      <c r="X785" s="86"/>
      <c r="Y785" s="88"/>
      <c r="Z785" s="86"/>
      <c r="AA785" s="88"/>
      <c r="AB785" s="86"/>
      <c r="AC785" s="88"/>
      <c r="AD785" s="86"/>
      <c r="AE785" s="88"/>
      <c r="AF785" s="86"/>
      <c r="AG785" s="88"/>
      <c r="AH785" s="86"/>
      <c r="AI785" s="88"/>
      <c r="AJ785" s="86"/>
      <c r="AK785" s="88"/>
      <c r="AL785" s="86"/>
      <c r="AM785" s="88"/>
      <c r="AN785" s="86"/>
      <c r="AO785" s="88"/>
      <c r="AP785" s="86"/>
      <c r="AQ785" s="88"/>
      <c r="AR785" s="86"/>
      <c r="AS785" s="88"/>
      <c r="AT785" s="86"/>
      <c r="AU785" s="88"/>
      <c r="AV785" s="86"/>
      <c r="AW785" s="88"/>
      <c r="AX785" s="86"/>
      <c r="AY785" s="88"/>
      <c r="AZ785" s="86"/>
      <c r="BA785" s="88"/>
      <c r="BB785" s="86"/>
      <c r="BC785" s="88"/>
      <c r="BD785" s="86"/>
      <c r="BE785" s="88"/>
      <c r="BF785" s="86"/>
      <c r="BG785" s="88"/>
      <c r="BH785" s="86"/>
      <c r="BI785" s="88"/>
      <c r="BJ785" s="86"/>
      <c r="BK785" s="88"/>
      <c r="BL785" s="86"/>
      <c r="BM785" s="88"/>
      <c r="BN785" s="86"/>
      <c r="BO785" s="88"/>
      <c r="BP785" s="86"/>
      <c r="BQ785" s="88"/>
      <c r="BR785" s="86"/>
      <c r="BS785" s="87"/>
    </row>
    <row r="786" ht="22.5" customHeight="1">
      <c r="A786" s="154"/>
      <c r="B786" s="83"/>
      <c r="C786" s="151"/>
      <c r="D786" s="83"/>
      <c r="E786" s="151"/>
      <c r="F786" s="83"/>
      <c r="G786" s="85"/>
      <c r="H786" s="86"/>
      <c r="I786" s="87"/>
      <c r="J786" s="86"/>
      <c r="K786" s="88"/>
      <c r="L786" s="86"/>
      <c r="M786" s="88"/>
      <c r="N786" s="86"/>
      <c r="O786" s="88"/>
      <c r="P786" s="86"/>
      <c r="Q786" s="88"/>
      <c r="R786" s="86"/>
      <c r="S786" s="88"/>
      <c r="T786" s="86"/>
      <c r="U786" s="88"/>
      <c r="V786" s="86"/>
      <c r="W786" s="88"/>
      <c r="X786" s="86"/>
      <c r="Y786" s="88"/>
      <c r="Z786" s="86"/>
      <c r="AA786" s="88"/>
      <c r="AB786" s="86"/>
      <c r="AC786" s="88"/>
      <c r="AD786" s="86"/>
      <c r="AE786" s="88"/>
      <c r="AF786" s="86"/>
      <c r="AG786" s="88"/>
      <c r="AH786" s="86"/>
      <c r="AI786" s="88"/>
      <c r="AJ786" s="86"/>
      <c r="AK786" s="88"/>
      <c r="AL786" s="86"/>
      <c r="AM786" s="88"/>
      <c r="AN786" s="86"/>
      <c r="AO786" s="88"/>
      <c r="AP786" s="86"/>
      <c r="AQ786" s="88"/>
      <c r="AR786" s="86"/>
      <c r="AS786" s="88"/>
      <c r="AT786" s="86"/>
      <c r="AU786" s="88"/>
      <c r="AV786" s="86"/>
      <c r="AW786" s="88"/>
      <c r="AX786" s="86"/>
      <c r="AY786" s="88"/>
      <c r="AZ786" s="86"/>
      <c r="BA786" s="88"/>
      <c r="BB786" s="86"/>
      <c r="BC786" s="88"/>
      <c r="BD786" s="86"/>
      <c r="BE786" s="88"/>
      <c r="BF786" s="86"/>
      <c r="BG786" s="88"/>
      <c r="BH786" s="86"/>
      <c r="BI786" s="88"/>
      <c r="BJ786" s="86"/>
      <c r="BK786" s="88"/>
      <c r="BL786" s="86"/>
      <c r="BM786" s="88"/>
      <c r="BN786" s="86"/>
      <c r="BO786" s="88"/>
      <c r="BP786" s="86"/>
      <c r="BQ786" s="88"/>
      <c r="BR786" s="86"/>
      <c r="BS786" s="87"/>
    </row>
    <row r="787" ht="22.5" customHeight="1">
      <c r="A787" s="154"/>
      <c r="B787" s="83"/>
      <c r="C787" s="151"/>
      <c r="D787" s="83"/>
      <c r="E787" s="151"/>
      <c r="F787" s="83"/>
      <c r="G787" s="85"/>
      <c r="H787" s="86"/>
      <c r="I787" s="87"/>
      <c r="J787" s="86"/>
      <c r="K787" s="88"/>
      <c r="L787" s="86"/>
      <c r="M787" s="88"/>
      <c r="N787" s="86"/>
      <c r="O787" s="88"/>
      <c r="P787" s="86"/>
      <c r="Q787" s="88"/>
      <c r="R787" s="86"/>
      <c r="S787" s="88"/>
      <c r="T787" s="86"/>
      <c r="U787" s="88"/>
      <c r="V787" s="86"/>
      <c r="W787" s="88"/>
      <c r="X787" s="86"/>
      <c r="Y787" s="88"/>
      <c r="Z787" s="86"/>
      <c r="AA787" s="88"/>
      <c r="AB787" s="86"/>
      <c r="AC787" s="88"/>
      <c r="AD787" s="86"/>
      <c r="AE787" s="88"/>
      <c r="AF787" s="86"/>
      <c r="AG787" s="88"/>
      <c r="AH787" s="86"/>
      <c r="AI787" s="88"/>
      <c r="AJ787" s="86"/>
      <c r="AK787" s="88"/>
      <c r="AL787" s="86"/>
      <c r="AM787" s="88"/>
      <c r="AN787" s="86"/>
      <c r="AO787" s="88"/>
      <c r="AP787" s="86"/>
      <c r="AQ787" s="88"/>
      <c r="AR787" s="86"/>
      <c r="AS787" s="88"/>
      <c r="AT787" s="86"/>
      <c r="AU787" s="88"/>
      <c r="AV787" s="86"/>
      <c r="AW787" s="88"/>
      <c r="AX787" s="86"/>
      <c r="AY787" s="88"/>
      <c r="AZ787" s="86"/>
      <c r="BA787" s="88"/>
      <c r="BB787" s="86"/>
      <c r="BC787" s="88"/>
      <c r="BD787" s="86"/>
      <c r="BE787" s="88"/>
      <c r="BF787" s="86"/>
      <c r="BG787" s="88"/>
      <c r="BH787" s="86"/>
      <c r="BI787" s="88"/>
      <c r="BJ787" s="86"/>
      <c r="BK787" s="88"/>
      <c r="BL787" s="86"/>
      <c r="BM787" s="88"/>
      <c r="BN787" s="86"/>
      <c r="BO787" s="88"/>
      <c r="BP787" s="86"/>
      <c r="BQ787" s="88"/>
      <c r="BR787" s="86"/>
      <c r="BS787" s="87"/>
    </row>
    <row r="788" ht="22.5" customHeight="1">
      <c r="A788" s="154"/>
      <c r="B788" s="83"/>
      <c r="C788" s="151"/>
      <c r="D788" s="83"/>
      <c r="E788" s="151"/>
      <c r="F788" s="83"/>
      <c r="G788" s="85"/>
      <c r="H788" s="86"/>
      <c r="I788" s="87"/>
      <c r="J788" s="86"/>
      <c r="K788" s="88"/>
      <c r="L788" s="86"/>
      <c r="M788" s="88"/>
      <c r="N788" s="86"/>
      <c r="O788" s="88"/>
      <c r="P788" s="86"/>
      <c r="Q788" s="88"/>
      <c r="R788" s="86"/>
      <c r="S788" s="88"/>
      <c r="T788" s="86"/>
      <c r="U788" s="88"/>
      <c r="V788" s="86"/>
      <c r="W788" s="88"/>
      <c r="X788" s="86"/>
      <c r="Y788" s="88"/>
      <c r="Z788" s="86"/>
      <c r="AA788" s="88"/>
      <c r="AB788" s="86"/>
      <c r="AC788" s="88"/>
      <c r="AD788" s="86"/>
      <c r="AE788" s="88"/>
      <c r="AF788" s="86"/>
      <c r="AG788" s="88"/>
      <c r="AH788" s="86"/>
      <c r="AI788" s="88"/>
      <c r="AJ788" s="86"/>
      <c r="AK788" s="88"/>
      <c r="AL788" s="86"/>
      <c r="AM788" s="88"/>
      <c r="AN788" s="86"/>
      <c r="AO788" s="88"/>
      <c r="AP788" s="86"/>
      <c r="AQ788" s="88"/>
      <c r="AR788" s="86"/>
      <c r="AS788" s="88"/>
      <c r="AT788" s="86"/>
      <c r="AU788" s="88"/>
      <c r="AV788" s="86"/>
      <c r="AW788" s="88"/>
      <c r="AX788" s="86"/>
      <c r="AY788" s="88"/>
      <c r="AZ788" s="86"/>
      <c r="BA788" s="88"/>
      <c r="BB788" s="86"/>
      <c r="BC788" s="88"/>
      <c r="BD788" s="86"/>
      <c r="BE788" s="88"/>
      <c r="BF788" s="86"/>
      <c r="BG788" s="88"/>
      <c r="BH788" s="86"/>
      <c r="BI788" s="88"/>
      <c r="BJ788" s="86"/>
      <c r="BK788" s="88"/>
      <c r="BL788" s="86"/>
      <c r="BM788" s="88"/>
      <c r="BN788" s="86"/>
      <c r="BO788" s="88"/>
      <c r="BP788" s="86"/>
      <c r="BQ788" s="88"/>
      <c r="BR788" s="86"/>
      <c r="BS788" s="87"/>
    </row>
    <row r="789" ht="22.5" customHeight="1">
      <c r="A789" s="154"/>
      <c r="B789" s="83"/>
      <c r="C789" s="151"/>
      <c r="D789" s="83"/>
      <c r="E789" s="151"/>
      <c r="F789" s="83"/>
      <c r="G789" s="85"/>
      <c r="H789" s="86"/>
      <c r="I789" s="87"/>
      <c r="J789" s="86"/>
      <c r="K789" s="88"/>
      <c r="L789" s="86"/>
      <c r="M789" s="88"/>
      <c r="N789" s="86"/>
      <c r="O789" s="88"/>
      <c r="P789" s="86"/>
      <c r="Q789" s="88"/>
      <c r="R789" s="86"/>
      <c r="S789" s="88"/>
      <c r="T789" s="86"/>
      <c r="U789" s="88"/>
      <c r="V789" s="86"/>
      <c r="W789" s="88"/>
      <c r="X789" s="86"/>
      <c r="Y789" s="88"/>
      <c r="Z789" s="86"/>
      <c r="AA789" s="88"/>
      <c r="AB789" s="86"/>
      <c r="AC789" s="88"/>
      <c r="AD789" s="86"/>
      <c r="AE789" s="88"/>
      <c r="AF789" s="86"/>
      <c r="AG789" s="88"/>
      <c r="AH789" s="86"/>
      <c r="AI789" s="88"/>
      <c r="AJ789" s="86"/>
      <c r="AK789" s="88"/>
      <c r="AL789" s="86"/>
      <c r="AM789" s="88"/>
      <c r="AN789" s="86"/>
      <c r="AO789" s="88"/>
      <c r="AP789" s="86"/>
      <c r="AQ789" s="88"/>
      <c r="AR789" s="86"/>
      <c r="AS789" s="88"/>
      <c r="AT789" s="86"/>
      <c r="AU789" s="88"/>
      <c r="AV789" s="86"/>
      <c r="AW789" s="88"/>
      <c r="AX789" s="86"/>
      <c r="AY789" s="88"/>
      <c r="AZ789" s="86"/>
      <c r="BA789" s="88"/>
      <c r="BB789" s="86"/>
      <c r="BC789" s="88"/>
      <c r="BD789" s="86"/>
      <c r="BE789" s="88"/>
      <c r="BF789" s="86"/>
      <c r="BG789" s="88"/>
      <c r="BH789" s="86"/>
      <c r="BI789" s="88"/>
      <c r="BJ789" s="86"/>
      <c r="BK789" s="88"/>
      <c r="BL789" s="86"/>
      <c r="BM789" s="88"/>
      <c r="BN789" s="86"/>
      <c r="BO789" s="88"/>
      <c r="BP789" s="86"/>
      <c r="BQ789" s="88"/>
      <c r="BR789" s="86"/>
      <c r="BS789" s="87"/>
    </row>
    <row r="790" ht="22.5" customHeight="1">
      <c r="A790" s="154"/>
      <c r="B790" s="83"/>
      <c r="C790" s="151"/>
      <c r="D790" s="83"/>
      <c r="E790" s="151"/>
      <c r="F790" s="83"/>
      <c r="G790" s="85"/>
      <c r="H790" s="86"/>
      <c r="I790" s="87"/>
      <c r="J790" s="86"/>
      <c r="K790" s="88"/>
      <c r="L790" s="86"/>
      <c r="M790" s="88"/>
      <c r="N790" s="86"/>
      <c r="O790" s="88"/>
      <c r="P790" s="86"/>
      <c r="Q790" s="88"/>
      <c r="R790" s="86"/>
      <c r="S790" s="88"/>
      <c r="T790" s="86"/>
      <c r="U790" s="88"/>
      <c r="V790" s="86"/>
      <c r="W790" s="88"/>
      <c r="X790" s="86"/>
      <c r="Y790" s="88"/>
      <c r="Z790" s="86"/>
      <c r="AA790" s="88"/>
      <c r="AB790" s="86"/>
      <c r="AC790" s="88"/>
      <c r="AD790" s="86"/>
      <c r="AE790" s="88"/>
      <c r="AF790" s="86"/>
      <c r="AG790" s="88"/>
      <c r="AH790" s="86"/>
      <c r="AI790" s="88"/>
      <c r="AJ790" s="86"/>
      <c r="AK790" s="88"/>
      <c r="AL790" s="86"/>
      <c r="AM790" s="88"/>
      <c r="AN790" s="86"/>
      <c r="AO790" s="88"/>
      <c r="AP790" s="86"/>
      <c r="AQ790" s="88"/>
      <c r="AR790" s="86"/>
      <c r="AS790" s="88"/>
      <c r="AT790" s="86"/>
      <c r="AU790" s="88"/>
      <c r="AV790" s="86"/>
      <c r="AW790" s="88"/>
      <c r="AX790" s="86"/>
      <c r="AY790" s="88"/>
      <c r="AZ790" s="86"/>
      <c r="BA790" s="88"/>
      <c r="BB790" s="86"/>
      <c r="BC790" s="88"/>
      <c r="BD790" s="86"/>
      <c r="BE790" s="88"/>
      <c r="BF790" s="86"/>
      <c r="BG790" s="88"/>
      <c r="BH790" s="86"/>
      <c r="BI790" s="88"/>
      <c r="BJ790" s="86"/>
      <c r="BK790" s="88"/>
      <c r="BL790" s="86"/>
      <c r="BM790" s="88"/>
      <c r="BN790" s="86"/>
      <c r="BO790" s="88"/>
      <c r="BP790" s="86"/>
      <c r="BQ790" s="88"/>
      <c r="BR790" s="86"/>
      <c r="BS790" s="87"/>
    </row>
    <row r="791" ht="22.5" customHeight="1">
      <c r="A791" s="154"/>
      <c r="B791" s="83"/>
      <c r="C791" s="151"/>
      <c r="D791" s="83"/>
      <c r="E791" s="151"/>
      <c r="F791" s="83"/>
      <c r="G791" s="85"/>
      <c r="H791" s="86"/>
      <c r="I791" s="87"/>
      <c r="J791" s="86"/>
      <c r="K791" s="88"/>
      <c r="L791" s="86"/>
      <c r="M791" s="88"/>
      <c r="N791" s="86"/>
      <c r="O791" s="88"/>
      <c r="P791" s="86"/>
      <c r="Q791" s="88"/>
      <c r="R791" s="86"/>
      <c r="S791" s="88"/>
      <c r="T791" s="86"/>
      <c r="U791" s="88"/>
      <c r="V791" s="86"/>
      <c r="W791" s="88"/>
      <c r="X791" s="86"/>
      <c r="Y791" s="88"/>
      <c r="Z791" s="86"/>
      <c r="AA791" s="88"/>
      <c r="AB791" s="86"/>
      <c r="AC791" s="88"/>
      <c r="AD791" s="86"/>
      <c r="AE791" s="88"/>
      <c r="AF791" s="86"/>
      <c r="AG791" s="88"/>
      <c r="AH791" s="86"/>
      <c r="AI791" s="88"/>
      <c r="AJ791" s="86"/>
      <c r="AK791" s="88"/>
      <c r="AL791" s="86"/>
      <c r="AM791" s="88"/>
      <c r="AN791" s="86"/>
      <c r="AO791" s="88"/>
      <c r="AP791" s="86"/>
      <c r="AQ791" s="88"/>
      <c r="AR791" s="86"/>
      <c r="AS791" s="88"/>
      <c r="AT791" s="86"/>
      <c r="AU791" s="88"/>
      <c r="AV791" s="86"/>
      <c r="AW791" s="88"/>
      <c r="AX791" s="86"/>
      <c r="AY791" s="88"/>
      <c r="AZ791" s="86"/>
      <c r="BA791" s="88"/>
      <c r="BB791" s="86"/>
      <c r="BC791" s="88"/>
      <c r="BD791" s="86"/>
      <c r="BE791" s="88"/>
      <c r="BF791" s="86"/>
      <c r="BG791" s="88"/>
      <c r="BH791" s="86"/>
      <c r="BI791" s="88"/>
      <c r="BJ791" s="86"/>
      <c r="BK791" s="88"/>
      <c r="BL791" s="86"/>
      <c r="BM791" s="88"/>
      <c r="BN791" s="86"/>
      <c r="BO791" s="88"/>
      <c r="BP791" s="86"/>
      <c r="BQ791" s="88"/>
      <c r="BR791" s="86"/>
      <c r="BS791" s="87"/>
    </row>
    <row r="792" ht="22.5" customHeight="1">
      <c r="A792" s="154"/>
      <c r="B792" s="83"/>
      <c r="C792" s="151"/>
      <c r="D792" s="83"/>
      <c r="E792" s="151"/>
      <c r="F792" s="83"/>
      <c r="G792" s="85"/>
      <c r="H792" s="86"/>
      <c r="I792" s="87"/>
      <c r="J792" s="86"/>
      <c r="K792" s="88"/>
      <c r="L792" s="86"/>
      <c r="M792" s="88"/>
      <c r="N792" s="86"/>
      <c r="O792" s="88"/>
      <c r="P792" s="86"/>
      <c r="Q792" s="88"/>
      <c r="R792" s="86"/>
      <c r="S792" s="88"/>
      <c r="T792" s="86"/>
      <c r="U792" s="88"/>
      <c r="V792" s="86"/>
      <c r="W792" s="88"/>
      <c r="X792" s="86"/>
      <c r="Y792" s="88"/>
      <c r="Z792" s="86"/>
      <c r="AA792" s="88"/>
      <c r="AB792" s="86"/>
      <c r="AC792" s="88"/>
      <c r="AD792" s="86"/>
      <c r="AE792" s="88"/>
      <c r="AF792" s="86"/>
      <c r="AG792" s="88"/>
      <c r="AH792" s="86"/>
      <c r="AI792" s="88"/>
      <c r="AJ792" s="86"/>
      <c r="AK792" s="88"/>
      <c r="AL792" s="86"/>
      <c r="AM792" s="88"/>
      <c r="AN792" s="86"/>
      <c r="AO792" s="88"/>
      <c r="AP792" s="86"/>
      <c r="AQ792" s="88"/>
      <c r="AR792" s="86"/>
      <c r="AS792" s="88"/>
      <c r="AT792" s="86"/>
      <c r="AU792" s="88"/>
      <c r="AV792" s="86"/>
      <c r="AW792" s="88"/>
      <c r="AX792" s="86"/>
      <c r="AY792" s="88"/>
      <c r="AZ792" s="86"/>
      <c r="BA792" s="88"/>
      <c r="BB792" s="86"/>
      <c r="BC792" s="88"/>
      <c r="BD792" s="86"/>
      <c r="BE792" s="88"/>
      <c r="BF792" s="86"/>
      <c r="BG792" s="88"/>
      <c r="BH792" s="86"/>
      <c r="BI792" s="88"/>
      <c r="BJ792" s="86"/>
      <c r="BK792" s="88"/>
      <c r="BL792" s="86"/>
      <c r="BM792" s="88"/>
      <c r="BN792" s="86"/>
      <c r="BO792" s="88"/>
      <c r="BP792" s="86"/>
      <c r="BQ792" s="88"/>
      <c r="BR792" s="86"/>
      <c r="BS792" s="87"/>
    </row>
    <row r="793" ht="22.5" customHeight="1">
      <c r="A793" s="154"/>
      <c r="B793" s="83"/>
      <c r="C793" s="151"/>
      <c r="D793" s="83"/>
      <c r="E793" s="151"/>
      <c r="F793" s="83"/>
      <c r="G793" s="85"/>
      <c r="H793" s="86"/>
      <c r="I793" s="87"/>
      <c r="J793" s="86"/>
      <c r="K793" s="88"/>
      <c r="L793" s="86"/>
      <c r="M793" s="88"/>
      <c r="N793" s="86"/>
      <c r="O793" s="88"/>
      <c r="P793" s="86"/>
      <c r="Q793" s="88"/>
      <c r="R793" s="86"/>
      <c r="S793" s="88"/>
      <c r="T793" s="86"/>
      <c r="U793" s="88"/>
      <c r="V793" s="86"/>
      <c r="W793" s="88"/>
      <c r="X793" s="86"/>
      <c r="Y793" s="88"/>
      <c r="Z793" s="86"/>
      <c r="AA793" s="88"/>
      <c r="AB793" s="86"/>
      <c r="AC793" s="88"/>
      <c r="AD793" s="86"/>
      <c r="AE793" s="88"/>
      <c r="AF793" s="86"/>
      <c r="AG793" s="88"/>
      <c r="AH793" s="86"/>
      <c r="AI793" s="88"/>
      <c r="AJ793" s="86"/>
      <c r="AK793" s="88"/>
      <c r="AL793" s="86"/>
      <c r="AM793" s="88"/>
      <c r="AN793" s="86"/>
      <c r="AO793" s="88"/>
      <c r="AP793" s="86"/>
      <c r="AQ793" s="88"/>
      <c r="AR793" s="86"/>
      <c r="AS793" s="88"/>
      <c r="AT793" s="86"/>
      <c r="AU793" s="88"/>
      <c r="AV793" s="86"/>
      <c r="AW793" s="88"/>
      <c r="AX793" s="86"/>
      <c r="AY793" s="88"/>
      <c r="AZ793" s="86"/>
      <c r="BA793" s="88"/>
      <c r="BB793" s="86"/>
      <c r="BC793" s="88"/>
      <c r="BD793" s="86"/>
      <c r="BE793" s="88"/>
      <c r="BF793" s="86"/>
      <c r="BG793" s="88"/>
      <c r="BH793" s="86"/>
      <c r="BI793" s="88"/>
      <c r="BJ793" s="86"/>
      <c r="BK793" s="88"/>
      <c r="BL793" s="86"/>
      <c r="BM793" s="88"/>
      <c r="BN793" s="86"/>
      <c r="BO793" s="88"/>
      <c r="BP793" s="86"/>
      <c r="BQ793" s="88"/>
      <c r="BR793" s="86"/>
      <c r="BS793" s="87"/>
    </row>
    <row r="794" ht="22.5" customHeight="1">
      <c r="A794" s="154"/>
      <c r="B794" s="83"/>
      <c r="C794" s="151"/>
      <c r="D794" s="83"/>
      <c r="E794" s="151"/>
      <c r="F794" s="83"/>
      <c r="G794" s="85"/>
      <c r="H794" s="86"/>
      <c r="I794" s="87"/>
      <c r="J794" s="86"/>
      <c r="K794" s="88"/>
      <c r="L794" s="86"/>
      <c r="M794" s="88"/>
      <c r="N794" s="86"/>
      <c r="O794" s="88"/>
      <c r="P794" s="86"/>
      <c r="Q794" s="88"/>
      <c r="R794" s="86"/>
      <c r="S794" s="88"/>
      <c r="T794" s="86"/>
      <c r="U794" s="88"/>
      <c r="V794" s="86"/>
      <c r="W794" s="88"/>
      <c r="X794" s="86"/>
      <c r="Y794" s="88"/>
      <c r="Z794" s="86"/>
      <c r="AA794" s="88"/>
      <c r="AB794" s="86"/>
      <c r="AC794" s="88"/>
      <c r="AD794" s="86"/>
      <c r="AE794" s="88"/>
      <c r="AF794" s="86"/>
      <c r="AG794" s="88"/>
      <c r="AH794" s="86"/>
      <c r="AI794" s="88"/>
      <c r="AJ794" s="86"/>
      <c r="AK794" s="88"/>
      <c r="AL794" s="86"/>
      <c r="AM794" s="88"/>
      <c r="AN794" s="86"/>
      <c r="AO794" s="88"/>
      <c r="AP794" s="86"/>
      <c r="AQ794" s="88"/>
      <c r="AR794" s="86"/>
      <c r="AS794" s="88"/>
      <c r="AT794" s="86"/>
      <c r="AU794" s="88"/>
      <c r="AV794" s="86"/>
      <c r="AW794" s="88"/>
      <c r="AX794" s="86"/>
      <c r="AY794" s="88"/>
      <c r="AZ794" s="86"/>
      <c r="BA794" s="88"/>
      <c r="BB794" s="86"/>
      <c r="BC794" s="88"/>
      <c r="BD794" s="86"/>
      <c r="BE794" s="88"/>
      <c r="BF794" s="86"/>
      <c r="BG794" s="88"/>
      <c r="BH794" s="86"/>
      <c r="BI794" s="88"/>
      <c r="BJ794" s="86"/>
      <c r="BK794" s="88"/>
      <c r="BL794" s="86"/>
      <c r="BM794" s="88"/>
      <c r="BN794" s="86"/>
      <c r="BO794" s="88"/>
      <c r="BP794" s="86"/>
      <c r="BQ794" s="88"/>
      <c r="BR794" s="86"/>
      <c r="BS794" s="87"/>
    </row>
    <row r="795" ht="22.5" customHeight="1">
      <c r="A795" s="154"/>
      <c r="B795" s="83"/>
      <c r="C795" s="151"/>
      <c r="D795" s="83"/>
      <c r="E795" s="151"/>
      <c r="F795" s="83"/>
      <c r="G795" s="85"/>
      <c r="H795" s="86"/>
      <c r="I795" s="87"/>
      <c r="J795" s="86"/>
      <c r="K795" s="88"/>
      <c r="L795" s="86"/>
      <c r="M795" s="88"/>
      <c r="N795" s="86"/>
      <c r="O795" s="88"/>
      <c r="P795" s="86"/>
      <c r="Q795" s="88"/>
      <c r="R795" s="86"/>
      <c r="S795" s="88"/>
      <c r="T795" s="86"/>
      <c r="U795" s="88"/>
      <c r="V795" s="86"/>
      <c r="W795" s="88"/>
      <c r="X795" s="86"/>
      <c r="Y795" s="88"/>
      <c r="Z795" s="86"/>
      <c r="AA795" s="88"/>
      <c r="AB795" s="86"/>
      <c r="AC795" s="88"/>
      <c r="AD795" s="86"/>
      <c r="AE795" s="88"/>
      <c r="AF795" s="86"/>
      <c r="AG795" s="88"/>
      <c r="AH795" s="86"/>
      <c r="AI795" s="88"/>
      <c r="AJ795" s="86"/>
      <c r="AK795" s="88"/>
      <c r="AL795" s="86"/>
      <c r="AM795" s="88"/>
      <c r="AN795" s="86"/>
      <c r="AO795" s="88"/>
      <c r="AP795" s="86"/>
      <c r="AQ795" s="88"/>
      <c r="AR795" s="86"/>
      <c r="AS795" s="88"/>
      <c r="AT795" s="86"/>
      <c r="AU795" s="88"/>
      <c r="AV795" s="86"/>
      <c r="AW795" s="88"/>
      <c r="AX795" s="86"/>
      <c r="AY795" s="88"/>
      <c r="AZ795" s="86"/>
      <c r="BA795" s="88"/>
      <c r="BB795" s="86"/>
      <c r="BC795" s="88"/>
      <c r="BD795" s="86"/>
      <c r="BE795" s="88"/>
      <c r="BF795" s="86"/>
      <c r="BG795" s="88"/>
      <c r="BH795" s="86"/>
      <c r="BI795" s="88"/>
      <c r="BJ795" s="86"/>
      <c r="BK795" s="88"/>
      <c r="BL795" s="86"/>
      <c r="BM795" s="88"/>
      <c r="BN795" s="86"/>
      <c r="BO795" s="88"/>
      <c r="BP795" s="86"/>
      <c r="BQ795" s="88"/>
      <c r="BR795" s="86"/>
      <c r="BS795" s="87"/>
    </row>
    <row r="796" ht="22.5" customHeight="1">
      <c r="A796" s="154"/>
      <c r="B796" s="83"/>
      <c r="C796" s="151"/>
      <c r="D796" s="83"/>
      <c r="E796" s="151"/>
      <c r="F796" s="83"/>
      <c r="G796" s="85"/>
      <c r="H796" s="86"/>
      <c r="I796" s="87"/>
      <c r="J796" s="86"/>
      <c r="K796" s="88"/>
      <c r="L796" s="86"/>
      <c r="M796" s="88"/>
      <c r="N796" s="86"/>
      <c r="O796" s="88"/>
      <c r="P796" s="86"/>
      <c r="Q796" s="88"/>
      <c r="R796" s="86"/>
      <c r="S796" s="88"/>
      <c r="T796" s="86"/>
      <c r="U796" s="88"/>
      <c r="V796" s="86"/>
      <c r="W796" s="88"/>
      <c r="X796" s="86"/>
      <c r="Y796" s="88"/>
      <c r="Z796" s="86"/>
      <c r="AA796" s="88"/>
      <c r="AB796" s="86"/>
      <c r="AC796" s="88"/>
      <c r="AD796" s="86"/>
      <c r="AE796" s="88"/>
      <c r="AF796" s="86"/>
      <c r="AG796" s="88"/>
      <c r="AH796" s="86"/>
      <c r="AI796" s="88"/>
      <c r="AJ796" s="86"/>
      <c r="AK796" s="88"/>
      <c r="AL796" s="86"/>
      <c r="AM796" s="88"/>
      <c r="AN796" s="86"/>
      <c r="AO796" s="88"/>
      <c r="AP796" s="86"/>
      <c r="AQ796" s="88"/>
      <c r="AR796" s="86"/>
      <c r="AS796" s="88"/>
      <c r="AT796" s="86"/>
      <c r="AU796" s="88"/>
      <c r="AV796" s="86"/>
      <c r="AW796" s="88"/>
      <c r="AX796" s="86"/>
      <c r="AY796" s="88"/>
      <c r="AZ796" s="86"/>
      <c r="BA796" s="88"/>
      <c r="BB796" s="86"/>
      <c r="BC796" s="88"/>
      <c r="BD796" s="86"/>
      <c r="BE796" s="88"/>
      <c r="BF796" s="86"/>
      <c r="BG796" s="88"/>
      <c r="BH796" s="86"/>
      <c r="BI796" s="88"/>
      <c r="BJ796" s="86"/>
      <c r="BK796" s="88"/>
      <c r="BL796" s="86"/>
      <c r="BM796" s="88"/>
      <c r="BN796" s="86"/>
      <c r="BO796" s="88"/>
      <c r="BP796" s="86"/>
      <c r="BQ796" s="88"/>
      <c r="BR796" s="86"/>
      <c r="BS796" s="87"/>
    </row>
    <row r="797" ht="22.5" customHeight="1">
      <c r="A797" s="154"/>
      <c r="B797" s="83"/>
      <c r="C797" s="151"/>
      <c r="D797" s="83"/>
      <c r="E797" s="151"/>
      <c r="F797" s="83"/>
      <c r="G797" s="85"/>
      <c r="H797" s="86"/>
      <c r="I797" s="87"/>
      <c r="J797" s="86"/>
      <c r="K797" s="88"/>
      <c r="L797" s="86"/>
      <c r="M797" s="88"/>
      <c r="N797" s="86"/>
      <c r="O797" s="88"/>
      <c r="P797" s="86"/>
      <c r="Q797" s="88"/>
      <c r="R797" s="86"/>
      <c r="S797" s="88"/>
      <c r="T797" s="86"/>
      <c r="U797" s="88"/>
      <c r="V797" s="86"/>
      <c r="W797" s="88"/>
      <c r="X797" s="86"/>
      <c r="Y797" s="88"/>
      <c r="Z797" s="86"/>
      <c r="AA797" s="88"/>
      <c r="AB797" s="86"/>
      <c r="AC797" s="88"/>
      <c r="AD797" s="86"/>
      <c r="AE797" s="88"/>
      <c r="AF797" s="86"/>
      <c r="AG797" s="88"/>
      <c r="AH797" s="86"/>
      <c r="AI797" s="88"/>
      <c r="AJ797" s="86"/>
      <c r="AK797" s="88"/>
      <c r="AL797" s="86"/>
      <c r="AM797" s="88"/>
      <c r="AN797" s="86"/>
      <c r="AO797" s="88"/>
      <c r="AP797" s="86"/>
      <c r="AQ797" s="88"/>
      <c r="AR797" s="86"/>
      <c r="AS797" s="88"/>
      <c r="AT797" s="86"/>
      <c r="AU797" s="88"/>
      <c r="AV797" s="86"/>
      <c r="AW797" s="88"/>
      <c r="AX797" s="86"/>
      <c r="AY797" s="88"/>
      <c r="AZ797" s="86"/>
      <c r="BA797" s="88"/>
      <c r="BB797" s="86"/>
      <c r="BC797" s="88"/>
      <c r="BD797" s="86"/>
      <c r="BE797" s="88"/>
      <c r="BF797" s="86"/>
      <c r="BG797" s="88"/>
      <c r="BH797" s="86"/>
      <c r="BI797" s="88"/>
      <c r="BJ797" s="86"/>
      <c r="BK797" s="88"/>
      <c r="BL797" s="86"/>
      <c r="BM797" s="88"/>
      <c r="BN797" s="86"/>
      <c r="BO797" s="88"/>
      <c r="BP797" s="86"/>
      <c r="BQ797" s="88"/>
      <c r="BR797" s="86"/>
      <c r="BS797" s="87"/>
    </row>
    <row r="798" ht="22.5" customHeight="1">
      <c r="A798" s="154"/>
      <c r="B798" s="83"/>
      <c r="C798" s="151"/>
      <c r="D798" s="83"/>
      <c r="E798" s="151"/>
      <c r="F798" s="83"/>
      <c r="G798" s="85"/>
      <c r="H798" s="86"/>
      <c r="I798" s="87"/>
      <c r="J798" s="86"/>
      <c r="K798" s="88"/>
      <c r="L798" s="86"/>
      <c r="M798" s="88"/>
      <c r="N798" s="86"/>
      <c r="O798" s="88"/>
      <c r="P798" s="86"/>
      <c r="Q798" s="88"/>
      <c r="R798" s="86"/>
      <c r="S798" s="88"/>
      <c r="T798" s="86"/>
      <c r="U798" s="88"/>
      <c r="V798" s="86"/>
      <c r="W798" s="88"/>
      <c r="X798" s="86"/>
      <c r="Y798" s="88"/>
      <c r="Z798" s="86"/>
      <c r="AA798" s="88"/>
      <c r="AB798" s="86"/>
      <c r="AC798" s="88"/>
      <c r="AD798" s="86"/>
      <c r="AE798" s="88"/>
      <c r="AF798" s="86"/>
      <c r="AG798" s="88"/>
      <c r="AH798" s="86"/>
      <c r="AI798" s="88"/>
      <c r="AJ798" s="86"/>
      <c r="AK798" s="88"/>
      <c r="AL798" s="86"/>
      <c r="AM798" s="88"/>
      <c r="AN798" s="86"/>
      <c r="AO798" s="88"/>
      <c r="AP798" s="86"/>
      <c r="AQ798" s="88"/>
      <c r="AR798" s="86"/>
      <c r="AS798" s="88"/>
      <c r="AT798" s="86"/>
      <c r="AU798" s="88"/>
      <c r="AV798" s="86"/>
      <c r="AW798" s="88"/>
      <c r="AX798" s="86"/>
      <c r="AY798" s="88"/>
      <c r="AZ798" s="86"/>
      <c r="BA798" s="88"/>
      <c r="BB798" s="86"/>
      <c r="BC798" s="88"/>
      <c r="BD798" s="86"/>
      <c r="BE798" s="88"/>
      <c r="BF798" s="86"/>
      <c r="BG798" s="88"/>
      <c r="BH798" s="86"/>
      <c r="BI798" s="88"/>
      <c r="BJ798" s="86"/>
      <c r="BK798" s="88"/>
      <c r="BL798" s="86"/>
      <c r="BM798" s="88"/>
      <c r="BN798" s="86"/>
      <c r="BO798" s="88"/>
      <c r="BP798" s="86"/>
      <c r="BQ798" s="88"/>
      <c r="BR798" s="86"/>
      <c r="BS798" s="87"/>
    </row>
    <row r="799" ht="22.5" customHeight="1">
      <c r="A799" s="154"/>
      <c r="B799" s="83"/>
      <c r="C799" s="151"/>
      <c r="D799" s="83"/>
      <c r="E799" s="151"/>
      <c r="F799" s="83"/>
      <c r="G799" s="85"/>
      <c r="H799" s="86"/>
      <c r="I799" s="87"/>
      <c r="J799" s="86"/>
      <c r="K799" s="88"/>
      <c r="L799" s="86"/>
      <c r="M799" s="88"/>
      <c r="N799" s="86"/>
      <c r="O799" s="88"/>
      <c r="P799" s="86"/>
      <c r="Q799" s="88"/>
      <c r="R799" s="86"/>
      <c r="S799" s="88"/>
      <c r="T799" s="86"/>
      <c r="U799" s="88"/>
      <c r="V799" s="86"/>
      <c r="W799" s="88"/>
      <c r="X799" s="86"/>
      <c r="Y799" s="88"/>
      <c r="Z799" s="86"/>
      <c r="AA799" s="88"/>
      <c r="AB799" s="86"/>
      <c r="AC799" s="88"/>
      <c r="AD799" s="86"/>
      <c r="AE799" s="88"/>
      <c r="AF799" s="86"/>
      <c r="AG799" s="88"/>
      <c r="AH799" s="86"/>
      <c r="AI799" s="88"/>
      <c r="AJ799" s="86"/>
      <c r="AK799" s="88"/>
      <c r="AL799" s="86"/>
      <c r="AM799" s="88"/>
      <c r="AN799" s="86"/>
      <c r="AO799" s="88"/>
      <c r="AP799" s="86"/>
      <c r="AQ799" s="88"/>
      <c r="AR799" s="86"/>
      <c r="AS799" s="88"/>
      <c r="AT799" s="86"/>
      <c r="AU799" s="88"/>
      <c r="AV799" s="86"/>
      <c r="AW799" s="88"/>
      <c r="AX799" s="86"/>
      <c r="AY799" s="88"/>
      <c r="AZ799" s="86"/>
      <c r="BA799" s="88"/>
      <c r="BB799" s="86"/>
      <c r="BC799" s="88"/>
      <c r="BD799" s="86"/>
      <c r="BE799" s="88"/>
      <c r="BF799" s="86"/>
      <c r="BG799" s="88"/>
      <c r="BH799" s="86"/>
      <c r="BI799" s="88"/>
      <c r="BJ799" s="86"/>
      <c r="BK799" s="88"/>
      <c r="BL799" s="86"/>
      <c r="BM799" s="88"/>
      <c r="BN799" s="86"/>
      <c r="BO799" s="88"/>
      <c r="BP799" s="86"/>
      <c r="BQ799" s="88"/>
      <c r="BR799" s="86"/>
      <c r="BS799" s="87"/>
    </row>
    <row r="800" ht="22.5" customHeight="1">
      <c r="A800" s="154"/>
      <c r="B800" s="83"/>
      <c r="C800" s="151"/>
      <c r="D800" s="83"/>
      <c r="E800" s="151"/>
      <c r="F800" s="83"/>
      <c r="G800" s="85"/>
      <c r="H800" s="86"/>
      <c r="I800" s="87"/>
      <c r="J800" s="86"/>
      <c r="K800" s="88"/>
      <c r="L800" s="86"/>
      <c r="M800" s="88"/>
      <c r="N800" s="86"/>
      <c r="O800" s="88"/>
      <c r="P800" s="86"/>
      <c r="Q800" s="88"/>
      <c r="R800" s="86"/>
      <c r="S800" s="88"/>
      <c r="T800" s="86"/>
      <c r="U800" s="88"/>
      <c r="V800" s="86"/>
      <c r="W800" s="88"/>
      <c r="X800" s="86"/>
      <c r="Y800" s="88"/>
      <c r="Z800" s="86"/>
      <c r="AA800" s="88"/>
      <c r="AB800" s="86"/>
      <c r="AC800" s="88"/>
      <c r="AD800" s="86"/>
      <c r="AE800" s="88"/>
      <c r="AF800" s="86"/>
      <c r="AG800" s="88"/>
      <c r="AH800" s="86"/>
      <c r="AI800" s="88"/>
      <c r="AJ800" s="86"/>
      <c r="AK800" s="88"/>
      <c r="AL800" s="86"/>
      <c r="AM800" s="88"/>
      <c r="AN800" s="86"/>
      <c r="AO800" s="88"/>
      <c r="AP800" s="86"/>
      <c r="AQ800" s="88"/>
      <c r="AR800" s="86"/>
      <c r="AS800" s="88"/>
      <c r="AT800" s="86"/>
      <c r="AU800" s="88"/>
      <c r="AV800" s="86"/>
      <c r="AW800" s="88"/>
      <c r="AX800" s="86"/>
      <c r="AY800" s="88"/>
      <c r="AZ800" s="86"/>
      <c r="BA800" s="88"/>
      <c r="BB800" s="86"/>
      <c r="BC800" s="88"/>
      <c r="BD800" s="86"/>
      <c r="BE800" s="88"/>
      <c r="BF800" s="86"/>
      <c r="BG800" s="88"/>
      <c r="BH800" s="86"/>
      <c r="BI800" s="88"/>
      <c r="BJ800" s="86"/>
      <c r="BK800" s="88"/>
      <c r="BL800" s="86"/>
      <c r="BM800" s="88"/>
      <c r="BN800" s="86"/>
      <c r="BO800" s="88"/>
      <c r="BP800" s="86"/>
      <c r="BQ800" s="88"/>
      <c r="BR800" s="86"/>
      <c r="BS800" s="87"/>
    </row>
    <row r="801" ht="22.5" customHeight="1">
      <c r="A801" s="154"/>
      <c r="B801" s="83"/>
      <c r="C801" s="151"/>
      <c r="D801" s="83"/>
      <c r="E801" s="151"/>
      <c r="F801" s="83"/>
      <c r="G801" s="85"/>
      <c r="H801" s="86"/>
      <c r="I801" s="87"/>
      <c r="J801" s="86"/>
      <c r="K801" s="88"/>
      <c r="L801" s="86"/>
      <c r="M801" s="88"/>
      <c r="N801" s="86"/>
      <c r="O801" s="88"/>
      <c r="P801" s="86"/>
      <c r="Q801" s="88"/>
      <c r="R801" s="86"/>
      <c r="S801" s="88"/>
      <c r="T801" s="86"/>
      <c r="U801" s="88"/>
      <c r="V801" s="86"/>
      <c r="W801" s="88"/>
      <c r="X801" s="86"/>
      <c r="Y801" s="88"/>
      <c r="Z801" s="86"/>
      <c r="AA801" s="88"/>
      <c r="AB801" s="86"/>
      <c r="AC801" s="88"/>
      <c r="AD801" s="86"/>
      <c r="AE801" s="88"/>
      <c r="AF801" s="86"/>
      <c r="AG801" s="88"/>
      <c r="AH801" s="86"/>
      <c r="AI801" s="88"/>
      <c r="AJ801" s="86"/>
      <c r="AK801" s="88"/>
      <c r="AL801" s="86"/>
      <c r="AM801" s="88"/>
      <c r="AN801" s="86"/>
      <c r="AO801" s="88"/>
      <c r="AP801" s="86"/>
      <c r="AQ801" s="88"/>
      <c r="AR801" s="86"/>
      <c r="AS801" s="88"/>
      <c r="AT801" s="86"/>
      <c r="AU801" s="88"/>
      <c r="AV801" s="86"/>
      <c r="AW801" s="88"/>
      <c r="AX801" s="86"/>
      <c r="AY801" s="88"/>
      <c r="AZ801" s="86"/>
      <c r="BA801" s="88"/>
      <c r="BB801" s="86"/>
      <c r="BC801" s="88"/>
      <c r="BD801" s="86"/>
      <c r="BE801" s="88"/>
      <c r="BF801" s="86"/>
      <c r="BG801" s="88"/>
      <c r="BH801" s="86"/>
      <c r="BI801" s="88"/>
      <c r="BJ801" s="86"/>
      <c r="BK801" s="88"/>
      <c r="BL801" s="86"/>
      <c r="BM801" s="88"/>
      <c r="BN801" s="86"/>
      <c r="BO801" s="88"/>
      <c r="BP801" s="86"/>
      <c r="BQ801" s="88"/>
      <c r="BR801" s="86"/>
      <c r="BS801" s="87"/>
    </row>
    <row r="802" ht="22.5" customHeight="1">
      <c r="A802" s="154"/>
      <c r="B802" s="83"/>
      <c r="C802" s="151"/>
      <c r="D802" s="83"/>
      <c r="E802" s="151"/>
      <c r="F802" s="83"/>
      <c r="G802" s="85"/>
      <c r="H802" s="86"/>
      <c r="I802" s="87"/>
      <c r="J802" s="86"/>
      <c r="K802" s="88"/>
      <c r="L802" s="86"/>
      <c r="M802" s="88"/>
      <c r="N802" s="86"/>
      <c r="O802" s="88"/>
      <c r="P802" s="86"/>
      <c r="Q802" s="88"/>
      <c r="R802" s="86"/>
      <c r="S802" s="88"/>
      <c r="T802" s="86"/>
      <c r="U802" s="88"/>
      <c r="V802" s="86"/>
      <c r="W802" s="88"/>
      <c r="X802" s="86"/>
      <c r="Y802" s="88"/>
      <c r="Z802" s="86"/>
      <c r="AA802" s="88"/>
      <c r="AB802" s="86"/>
      <c r="AC802" s="88"/>
      <c r="AD802" s="86"/>
      <c r="AE802" s="88"/>
      <c r="AF802" s="86"/>
      <c r="AG802" s="88"/>
      <c r="AH802" s="86"/>
      <c r="AI802" s="88"/>
      <c r="AJ802" s="86"/>
      <c r="AK802" s="88"/>
      <c r="AL802" s="86"/>
      <c r="AM802" s="88"/>
      <c r="AN802" s="86"/>
      <c r="AO802" s="88"/>
      <c r="AP802" s="86"/>
      <c r="AQ802" s="88"/>
      <c r="AR802" s="86"/>
      <c r="AS802" s="88"/>
      <c r="AT802" s="86"/>
      <c r="AU802" s="88"/>
      <c r="AV802" s="86"/>
      <c r="AW802" s="88"/>
      <c r="AX802" s="86"/>
      <c r="AY802" s="88"/>
      <c r="AZ802" s="86"/>
      <c r="BA802" s="88"/>
      <c r="BB802" s="86"/>
      <c r="BC802" s="88"/>
      <c r="BD802" s="86"/>
      <c r="BE802" s="88"/>
      <c r="BF802" s="86"/>
      <c r="BG802" s="88"/>
      <c r="BH802" s="86"/>
      <c r="BI802" s="88"/>
      <c r="BJ802" s="86"/>
      <c r="BK802" s="88"/>
      <c r="BL802" s="86"/>
      <c r="BM802" s="88"/>
      <c r="BN802" s="86"/>
      <c r="BO802" s="88"/>
      <c r="BP802" s="86"/>
      <c r="BQ802" s="88"/>
      <c r="BR802" s="86"/>
      <c r="BS802" s="87"/>
    </row>
    <row r="803" ht="22.5" customHeight="1">
      <c r="A803" s="154"/>
      <c r="B803" s="83"/>
      <c r="C803" s="151"/>
      <c r="D803" s="83"/>
      <c r="E803" s="151"/>
      <c r="F803" s="83"/>
      <c r="G803" s="85"/>
      <c r="H803" s="86"/>
      <c r="I803" s="87"/>
      <c r="J803" s="86"/>
      <c r="K803" s="88"/>
      <c r="L803" s="86"/>
      <c r="M803" s="88"/>
      <c r="N803" s="86"/>
      <c r="O803" s="88"/>
      <c r="P803" s="86"/>
      <c r="Q803" s="88"/>
      <c r="R803" s="86"/>
      <c r="S803" s="88"/>
      <c r="T803" s="86"/>
      <c r="U803" s="88"/>
      <c r="V803" s="86"/>
      <c r="W803" s="88"/>
      <c r="X803" s="86"/>
      <c r="Y803" s="88"/>
      <c r="Z803" s="86"/>
      <c r="AA803" s="88"/>
      <c r="AB803" s="86"/>
      <c r="AC803" s="88"/>
      <c r="AD803" s="86"/>
      <c r="AE803" s="88"/>
      <c r="AF803" s="86"/>
      <c r="AG803" s="88"/>
      <c r="AH803" s="86"/>
      <c r="AI803" s="88"/>
      <c r="AJ803" s="86"/>
      <c r="AK803" s="88"/>
      <c r="AL803" s="86"/>
      <c r="AM803" s="88"/>
      <c r="AN803" s="86"/>
      <c r="AO803" s="88"/>
      <c r="AP803" s="86"/>
      <c r="AQ803" s="88"/>
      <c r="AR803" s="86"/>
      <c r="AS803" s="88"/>
      <c r="AT803" s="86"/>
      <c r="AU803" s="88"/>
      <c r="AV803" s="86"/>
      <c r="AW803" s="88"/>
      <c r="AX803" s="86"/>
      <c r="AY803" s="88"/>
      <c r="AZ803" s="86"/>
      <c r="BA803" s="88"/>
      <c r="BB803" s="86"/>
      <c r="BC803" s="88"/>
      <c r="BD803" s="86"/>
      <c r="BE803" s="88"/>
      <c r="BF803" s="86"/>
      <c r="BG803" s="88"/>
      <c r="BH803" s="86"/>
      <c r="BI803" s="88"/>
      <c r="BJ803" s="86"/>
      <c r="BK803" s="88"/>
      <c r="BL803" s="86"/>
      <c r="BM803" s="88"/>
      <c r="BN803" s="86"/>
      <c r="BO803" s="88"/>
      <c r="BP803" s="86"/>
      <c r="BQ803" s="88"/>
      <c r="BR803" s="86"/>
      <c r="BS803" s="87"/>
    </row>
    <row r="804" ht="22.5" customHeight="1">
      <c r="A804" s="154"/>
      <c r="B804" s="83"/>
      <c r="C804" s="151"/>
      <c r="D804" s="83"/>
      <c r="E804" s="151"/>
      <c r="F804" s="83"/>
      <c r="G804" s="85"/>
      <c r="H804" s="86"/>
      <c r="I804" s="87"/>
      <c r="J804" s="86"/>
      <c r="K804" s="88"/>
      <c r="L804" s="86"/>
      <c r="M804" s="88"/>
      <c r="N804" s="86"/>
      <c r="O804" s="88"/>
      <c r="P804" s="86"/>
      <c r="Q804" s="88"/>
      <c r="R804" s="86"/>
      <c r="S804" s="88"/>
      <c r="T804" s="86"/>
      <c r="U804" s="88"/>
      <c r="V804" s="86"/>
      <c r="W804" s="88"/>
      <c r="X804" s="86"/>
      <c r="Y804" s="88"/>
      <c r="Z804" s="86"/>
      <c r="AA804" s="88"/>
      <c r="AB804" s="86"/>
      <c r="AC804" s="88"/>
      <c r="AD804" s="86"/>
      <c r="AE804" s="88"/>
      <c r="AF804" s="86"/>
      <c r="AG804" s="88"/>
      <c r="AH804" s="86"/>
      <c r="AI804" s="88"/>
      <c r="AJ804" s="86"/>
      <c r="AK804" s="88"/>
      <c r="AL804" s="86"/>
      <c r="AM804" s="88"/>
      <c r="AN804" s="86"/>
      <c r="AO804" s="88"/>
      <c r="AP804" s="86"/>
      <c r="AQ804" s="88"/>
      <c r="AR804" s="86"/>
      <c r="AS804" s="88"/>
      <c r="AT804" s="86"/>
      <c r="AU804" s="88"/>
      <c r="AV804" s="86"/>
      <c r="AW804" s="88"/>
      <c r="AX804" s="86"/>
      <c r="AY804" s="88"/>
      <c r="AZ804" s="86"/>
      <c r="BA804" s="88"/>
      <c r="BB804" s="86"/>
      <c r="BC804" s="88"/>
      <c r="BD804" s="86"/>
      <c r="BE804" s="88"/>
      <c r="BF804" s="86"/>
      <c r="BG804" s="88"/>
      <c r="BH804" s="86"/>
      <c r="BI804" s="88"/>
      <c r="BJ804" s="86"/>
      <c r="BK804" s="88"/>
      <c r="BL804" s="86"/>
      <c r="BM804" s="88"/>
      <c r="BN804" s="86"/>
      <c r="BO804" s="88"/>
      <c r="BP804" s="86"/>
      <c r="BQ804" s="88"/>
      <c r="BR804" s="86"/>
      <c r="BS804" s="87"/>
    </row>
    <row r="805" ht="22.5" customHeight="1">
      <c r="A805" s="154"/>
      <c r="B805" s="83"/>
      <c r="C805" s="151"/>
      <c r="D805" s="83"/>
      <c r="E805" s="151"/>
      <c r="F805" s="83"/>
      <c r="G805" s="85"/>
      <c r="H805" s="86"/>
      <c r="I805" s="87"/>
      <c r="J805" s="86"/>
      <c r="K805" s="88"/>
      <c r="L805" s="86"/>
      <c r="M805" s="88"/>
      <c r="N805" s="86"/>
      <c r="O805" s="88"/>
      <c r="P805" s="86"/>
      <c r="Q805" s="88"/>
      <c r="R805" s="86"/>
      <c r="S805" s="88"/>
      <c r="T805" s="86"/>
      <c r="U805" s="88"/>
      <c r="V805" s="86"/>
      <c r="W805" s="88"/>
      <c r="X805" s="86"/>
      <c r="Y805" s="88"/>
      <c r="Z805" s="86"/>
      <c r="AA805" s="88"/>
      <c r="AB805" s="86"/>
      <c r="AC805" s="88"/>
      <c r="AD805" s="86"/>
      <c r="AE805" s="88"/>
      <c r="AF805" s="86"/>
      <c r="AG805" s="88"/>
      <c r="AH805" s="86"/>
      <c r="AI805" s="88"/>
      <c r="AJ805" s="86"/>
      <c r="AK805" s="88"/>
      <c r="AL805" s="86"/>
      <c r="AM805" s="88"/>
      <c r="AN805" s="86"/>
      <c r="AO805" s="88"/>
      <c r="AP805" s="86"/>
      <c r="AQ805" s="88"/>
      <c r="AR805" s="86"/>
      <c r="AS805" s="88"/>
      <c r="AT805" s="86"/>
      <c r="AU805" s="88"/>
      <c r="AV805" s="86"/>
      <c r="AW805" s="88"/>
      <c r="AX805" s="86"/>
      <c r="AY805" s="88"/>
      <c r="AZ805" s="86"/>
      <c r="BA805" s="88"/>
      <c r="BB805" s="86"/>
      <c r="BC805" s="88"/>
      <c r="BD805" s="86"/>
      <c r="BE805" s="88"/>
      <c r="BF805" s="86"/>
      <c r="BG805" s="88"/>
      <c r="BH805" s="86"/>
      <c r="BI805" s="88"/>
      <c r="BJ805" s="86"/>
      <c r="BK805" s="88"/>
      <c r="BL805" s="86"/>
      <c r="BM805" s="88"/>
      <c r="BN805" s="86"/>
      <c r="BO805" s="88"/>
      <c r="BP805" s="86"/>
      <c r="BQ805" s="88"/>
      <c r="BR805" s="86"/>
      <c r="BS805" s="87"/>
    </row>
    <row r="806" ht="22.5" customHeight="1">
      <c r="A806" s="154"/>
      <c r="B806" s="83"/>
      <c r="C806" s="151"/>
      <c r="D806" s="83"/>
      <c r="E806" s="151"/>
      <c r="F806" s="83"/>
      <c r="G806" s="85"/>
      <c r="H806" s="86"/>
      <c r="I806" s="87"/>
      <c r="J806" s="86"/>
      <c r="K806" s="88"/>
      <c r="L806" s="86"/>
      <c r="M806" s="88"/>
      <c r="N806" s="86"/>
      <c r="O806" s="88"/>
      <c r="P806" s="86"/>
      <c r="Q806" s="88"/>
      <c r="R806" s="86"/>
      <c r="S806" s="88"/>
      <c r="T806" s="86"/>
      <c r="U806" s="88"/>
      <c r="V806" s="86"/>
      <c r="W806" s="88"/>
      <c r="X806" s="86"/>
      <c r="Y806" s="88"/>
      <c r="Z806" s="86"/>
      <c r="AA806" s="88"/>
      <c r="AB806" s="86"/>
      <c r="AC806" s="88"/>
      <c r="AD806" s="86"/>
      <c r="AE806" s="88"/>
      <c r="AF806" s="86"/>
      <c r="AG806" s="88"/>
      <c r="AH806" s="86"/>
      <c r="AI806" s="88"/>
      <c r="AJ806" s="86"/>
      <c r="AK806" s="88"/>
      <c r="AL806" s="86"/>
      <c r="AM806" s="88"/>
      <c r="AN806" s="86"/>
      <c r="AO806" s="88"/>
      <c r="AP806" s="86"/>
      <c r="AQ806" s="88"/>
      <c r="AR806" s="86"/>
      <c r="AS806" s="88"/>
      <c r="AT806" s="86"/>
      <c r="AU806" s="88"/>
      <c r="AV806" s="86"/>
      <c r="AW806" s="88"/>
      <c r="AX806" s="86"/>
      <c r="AY806" s="88"/>
      <c r="AZ806" s="86"/>
      <c r="BA806" s="88"/>
      <c r="BB806" s="86"/>
      <c r="BC806" s="88"/>
      <c r="BD806" s="86"/>
      <c r="BE806" s="88"/>
      <c r="BF806" s="86"/>
      <c r="BG806" s="88"/>
      <c r="BH806" s="86"/>
      <c r="BI806" s="88"/>
      <c r="BJ806" s="86"/>
      <c r="BK806" s="88"/>
      <c r="BL806" s="86"/>
      <c r="BM806" s="88"/>
      <c r="BN806" s="86"/>
      <c r="BO806" s="88"/>
      <c r="BP806" s="86"/>
      <c r="BQ806" s="88"/>
      <c r="BR806" s="86"/>
      <c r="BS806" s="87"/>
    </row>
    <row r="807" ht="22.5" customHeight="1">
      <c r="A807" s="154"/>
      <c r="B807" s="83"/>
      <c r="C807" s="151"/>
      <c r="D807" s="83"/>
      <c r="E807" s="151"/>
      <c r="F807" s="83"/>
      <c r="G807" s="85"/>
      <c r="H807" s="86"/>
      <c r="I807" s="87"/>
      <c r="J807" s="86"/>
      <c r="K807" s="88"/>
      <c r="L807" s="86"/>
      <c r="M807" s="88"/>
      <c r="N807" s="86"/>
      <c r="O807" s="88"/>
      <c r="P807" s="86"/>
      <c r="Q807" s="88"/>
      <c r="R807" s="86"/>
      <c r="S807" s="88"/>
      <c r="T807" s="86"/>
      <c r="U807" s="88"/>
      <c r="V807" s="86"/>
      <c r="W807" s="88"/>
      <c r="X807" s="86"/>
      <c r="Y807" s="88"/>
      <c r="Z807" s="86"/>
      <c r="AA807" s="88"/>
      <c r="AB807" s="86"/>
      <c r="AC807" s="88"/>
      <c r="AD807" s="86"/>
      <c r="AE807" s="88"/>
      <c r="AF807" s="86"/>
      <c r="AG807" s="88"/>
      <c r="AH807" s="86"/>
      <c r="AI807" s="88"/>
      <c r="AJ807" s="86"/>
      <c r="AK807" s="88"/>
      <c r="AL807" s="86"/>
      <c r="AM807" s="88"/>
      <c r="AN807" s="86"/>
      <c r="AO807" s="88"/>
      <c r="AP807" s="86"/>
      <c r="AQ807" s="88"/>
      <c r="AR807" s="86"/>
      <c r="AS807" s="88"/>
      <c r="AT807" s="86"/>
      <c r="AU807" s="88"/>
      <c r="AV807" s="86"/>
      <c r="AW807" s="88"/>
      <c r="AX807" s="86"/>
      <c r="AY807" s="88"/>
      <c r="AZ807" s="86"/>
      <c r="BA807" s="88"/>
      <c r="BB807" s="86"/>
      <c r="BC807" s="88"/>
      <c r="BD807" s="86"/>
      <c r="BE807" s="88"/>
      <c r="BF807" s="86"/>
      <c r="BG807" s="88"/>
      <c r="BH807" s="86"/>
      <c r="BI807" s="88"/>
      <c r="BJ807" s="86"/>
      <c r="BK807" s="88"/>
      <c r="BL807" s="86"/>
      <c r="BM807" s="88"/>
      <c r="BN807" s="86"/>
      <c r="BO807" s="88"/>
      <c r="BP807" s="86"/>
      <c r="BQ807" s="88"/>
      <c r="BR807" s="86"/>
      <c r="BS807" s="87"/>
    </row>
    <row r="808" ht="22.5" customHeight="1">
      <c r="A808" s="154"/>
      <c r="B808" s="83"/>
      <c r="C808" s="151"/>
      <c r="D808" s="83"/>
      <c r="E808" s="151"/>
      <c r="F808" s="83"/>
      <c r="G808" s="85"/>
      <c r="H808" s="86"/>
      <c r="I808" s="87"/>
      <c r="J808" s="86"/>
      <c r="K808" s="88"/>
      <c r="L808" s="86"/>
      <c r="M808" s="88"/>
      <c r="N808" s="86"/>
      <c r="O808" s="88"/>
      <c r="P808" s="86"/>
      <c r="Q808" s="88"/>
      <c r="R808" s="86"/>
      <c r="S808" s="88"/>
      <c r="T808" s="86"/>
      <c r="U808" s="88"/>
      <c r="V808" s="86"/>
      <c r="W808" s="88"/>
      <c r="X808" s="86"/>
      <c r="Y808" s="88"/>
      <c r="Z808" s="86"/>
      <c r="AA808" s="88"/>
      <c r="AB808" s="86"/>
      <c r="AC808" s="88"/>
      <c r="AD808" s="86"/>
      <c r="AE808" s="88"/>
      <c r="AF808" s="86"/>
      <c r="AG808" s="88"/>
      <c r="AH808" s="86"/>
      <c r="AI808" s="88"/>
      <c r="AJ808" s="86"/>
      <c r="AK808" s="88"/>
      <c r="AL808" s="86"/>
      <c r="AM808" s="88"/>
      <c r="AN808" s="86"/>
      <c r="AO808" s="88"/>
      <c r="AP808" s="86"/>
      <c r="AQ808" s="88"/>
      <c r="AR808" s="86"/>
      <c r="AS808" s="88"/>
      <c r="AT808" s="86"/>
      <c r="AU808" s="88"/>
      <c r="AV808" s="86"/>
      <c r="AW808" s="88"/>
      <c r="AX808" s="86"/>
      <c r="AY808" s="88"/>
      <c r="AZ808" s="86"/>
      <c r="BA808" s="88"/>
      <c r="BB808" s="86"/>
      <c r="BC808" s="88"/>
      <c r="BD808" s="86"/>
      <c r="BE808" s="88"/>
      <c r="BF808" s="86"/>
      <c r="BG808" s="88"/>
      <c r="BH808" s="86"/>
      <c r="BI808" s="88"/>
      <c r="BJ808" s="86"/>
      <c r="BK808" s="88"/>
      <c r="BL808" s="86"/>
      <c r="BM808" s="88"/>
      <c r="BN808" s="86"/>
      <c r="BO808" s="88"/>
      <c r="BP808" s="86"/>
      <c r="BQ808" s="88"/>
      <c r="BR808" s="86"/>
      <c r="BS808" s="87"/>
    </row>
    <row r="809" ht="22.5" customHeight="1">
      <c r="A809" s="154"/>
      <c r="B809" s="83"/>
      <c r="C809" s="151"/>
      <c r="D809" s="83"/>
      <c r="E809" s="151"/>
      <c r="F809" s="83"/>
      <c r="G809" s="85"/>
      <c r="H809" s="86"/>
      <c r="I809" s="87"/>
      <c r="J809" s="86"/>
      <c r="K809" s="88"/>
      <c r="L809" s="86"/>
      <c r="M809" s="88"/>
      <c r="N809" s="86"/>
      <c r="O809" s="88"/>
      <c r="P809" s="86"/>
      <c r="Q809" s="88"/>
      <c r="R809" s="86"/>
      <c r="S809" s="88"/>
      <c r="T809" s="86"/>
      <c r="U809" s="88"/>
      <c r="V809" s="86"/>
      <c r="W809" s="88"/>
      <c r="X809" s="86"/>
      <c r="Y809" s="88"/>
      <c r="Z809" s="86"/>
      <c r="AA809" s="88"/>
      <c r="AB809" s="86"/>
      <c r="AC809" s="88"/>
      <c r="AD809" s="86"/>
      <c r="AE809" s="88"/>
      <c r="AF809" s="86"/>
      <c r="AG809" s="88"/>
      <c r="AH809" s="86"/>
      <c r="AI809" s="88"/>
      <c r="AJ809" s="86"/>
      <c r="AK809" s="88"/>
      <c r="AL809" s="86"/>
      <c r="AM809" s="88"/>
      <c r="AN809" s="86"/>
      <c r="AO809" s="88"/>
      <c r="AP809" s="86"/>
      <c r="AQ809" s="88"/>
      <c r="AR809" s="86"/>
      <c r="AS809" s="88"/>
      <c r="AT809" s="86"/>
      <c r="AU809" s="88"/>
      <c r="AV809" s="86"/>
      <c r="AW809" s="88"/>
      <c r="AX809" s="86"/>
      <c r="AY809" s="88"/>
      <c r="AZ809" s="86"/>
      <c r="BA809" s="88"/>
      <c r="BB809" s="86"/>
      <c r="BC809" s="88"/>
      <c r="BD809" s="86"/>
      <c r="BE809" s="88"/>
      <c r="BF809" s="86"/>
      <c r="BG809" s="88"/>
      <c r="BH809" s="86"/>
      <c r="BI809" s="88"/>
      <c r="BJ809" s="86"/>
      <c r="BK809" s="88"/>
      <c r="BL809" s="86"/>
      <c r="BM809" s="88"/>
      <c r="BN809" s="86"/>
      <c r="BO809" s="88"/>
      <c r="BP809" s="86"/>
      <c r="BQ809" s="88"/>
      <c r="BR809" s="86"/>
      <c r="BS809" s="87"/>
    </row>
    <row r="810" ht="22.5" customHeight="1">
      <c r="A810" s="154"/>
      <c r="B810" s="83"/>
      <c r="C810" s="151"/>
      <c r="D810" s="83"/>
      <c r="E810" s="151"/>
      <c r="F810" s="83"/>
      <c r="G810" s="85"/>
      <c r="H810" s="86"/>
      <c r="I810" s="87"/>
      <c r="J810" s="86"/>
      <c r="K810" s="88"/>
      <c r="L810" s="86"/>
      <c r="M810" s="88"/>
      <c r="N810" s="86"/>
      <c r="O810" s="88"/>
      <c r="P810" s="86"/>
      <c r="Q810" s="88"/>
      <c r="R810" s="86"/>
      <c r="S810" s="88"/>
      <c r="T810" s="86"/>
      <c r="U810" s="88"/>
      <c r="V810" s="86"/>
      <c r="W810" s="88"/>
      <c r="X810" s="86"/>
      <c r="Y810" s="88"/>
      <c r="Z810" s="86"/>
      <c r="AA810" s="88"/>
      <c r="AB810" s="86"/>
      <c r="AC810" s="88"/>
      <c r="AD810" s="86"/>
      <c r="AE810" s="88"/>
      <c r="AF810" s="86"/>
      <c r="AG810" s="88"/>
      <c r="AH810" s="86"/>
      <c r="AI810" s="88"/>
      <c r="AJ810" s="86"/>
      <c r="AK810" s="88"/>
      <c r="AL810" s="86"/>
      <c r="AM810" s="88"/>
      <c r="AN810" s="86"/>
      <c r="AO810" s="88"/>
      <c r="AP810" s="86"/>
      <c r="AQ810" s="88"/>
      <c r="AR810" s="86"/>
      <c r="AS810" s="88"/>
      <c r="AT810" s="86"/>
      <c r="AU810" s="88"/>
      <c r="AV810" s="86"/>
      <c r="AW810" s="88"/>
      <c r="AX810" s="86"/>
      <c r="AY810" s="88"/>
      <c r="AZ810" s="86"/>
      <c r="BA810" s="88"/>
      <c r="BB810" s="86"/>
      <c r="BC810" s="88"/>
      <c r="BD810" s="86"/>
      <c r="BE810" s="88"/>
      <c r="BF810" s="86"/>
      <c r="BG810" s="88"/>
      <c r="BH810" s="86"/>
      <c r="BI810" s="88"/>
      <c r="BJ810" s="86"/>
      <c r="BK810" s="88"/>
      <c r="BL810" s="86"/>
      <c r="BM810" s="88"/>
      <c r="BN810" s="86"/>
      <c r="BO810" s="88"/>
      <c r="BP810" s="86"/>
      <c r="BQ810" s="88"/>
      <c r="BR810" s="86"/>
      <c r="BS810" s="87"/>
    </row>
    <row r="811" ht="22.5" customHeight="1">
      <c r="A811" s="154"/>
      <c r="B811" s="83"/>
      <c r="C811" s="151"/>
      <c r="D811" s="83"/>
      <c r="E811" s="151"/>
      <c r="F811" s="83"/>
      <c r="G811" s="85"/>
      <c r="H811" s="86"/>
      <c r="I811" s="87"/>
      <c r="J811" s="86"/>
      <c r="K811" s="88"/>
      <c r="L811" s="86"/>
      <c r="M811" s="88"/>
      <c r="N811" s="86"/>
      <c r="O811" s="88"/>
      <c r="P811" s="86"/>
      <c r="Q811" s="88"/>
      <c r="R811" s="86"/>
      <c r="S811" s="88"/>
      <c r="T811" s="86"/>
      <c r="U811" s="88"/>
      <c r="V811" s="86"/>
      <c r="W811" s="88"/>
      <c r="X811" s="86"/>
      <c r="Y811" s="88"/>
      <c r="Z811" s="86"/>
      <c r="AA811" s="88"/>
      <c r="AB811" s="86"/>
      <c r="AC811" s="88"/>
      <c r="AD811" s="86"/>
      <c r="AE811" s="88"/>
      <c r="AF811" s="86"/>
      <c r="AG811" s="88"/>
      <c r="AH811" s="86"/>
      <c r="AI811" s="88"/>
      <c r="AJ811" s="86"/>
      <c r="AK811" s="88"/>
      <c r="AL811" s="86"/>
      <c r="AM811" s="88"/>
      <c r="AN811" s="86"/>
      <c r="AO811" s="88"/>
      <c r="AP811" s="86"/>
      <c r="AQ811" s="88"/>
      <c r="AR811" s="86"/>
      <c r="AS811" s="88"/>
      <c r="AT811" s="86"/>
      <c r="AU811" s="88"/>
      <c r="AV811" s="86"/>
      <c r="AW811" s="88"/>
      <c r="AX811" s="86"/>
      <c r="AY811" s="88"/>
      <c r="AZ811" s="86"/>
      <c r="BA811" s="88"/>
      <c r="BB811" s="86"/>
      <c r="BC811" s="88"/>
      <c r="BD811" s="86"/>
      <c r="BE811" s="88"/>
      <c r="BF811" s="86"/>
      <c r="BG811" s="88"/>
      <c r="BH811" s="86"/>
      <c r="BI811" s="88"/>
      <c r="BJ811" s="86"/>
      <c r="BK811" s="88"/>
      <c r="BL811" s="86"/>
      <c r="BM811" s="88"/>
      <c r="BN811" s="86"/>
      <c r="BO811" s="88"/>
      <c r="BP811" s="86"/>
      <c r="BQ811" s="88"/>
      <c r="BR811" s="86"/>
      <c r="BS811" s="87"/>
    </row>
    <row r="812" ht="22.5" customHeight="1">
      <c r="A812" s="154"/>
      <c r="B812" s="83"/>
      <c r="C812" s="151"/>
      <c r="D812" s="83"/>
      <c r="E812" s="151"/>
      <c r="F812" s="83"/>
      <c r="G812" s="85"/>
      <c r="H812" s="86"/>
      <c r="I812" s="87"/>
      <c r="J812" s="86"/>
      <c r="K812" s="88"/>
      <c r="L812" s="86"/>
      <c r="M812" s="88"/>
      <c r="N812" s="86"/>
      <c r="O812" s="88"/>
      <c r="P812" s="86"/>
      <c r="Q812" s="88"/>
      <c r="R812" s="86"/>
      <c r="S812" s="88"/>
      <c r="T812" s="86"/>
      <c r="U812" s="88"/>
      <c r="V812" s="86"/>
      <c r="W812" s="88"/>
      <c r="X812" s="86"/>
      <c r="Y812" s="88"/>
      <c r="Z812" s="86"/>
      <c r="AA812" s="88"/>
      <c r="AB812" s="86"/>
      <c r="AC812" s="88"/>
      <c r="AD812" s="86"/>
      <c r="AE812" s="88"/>
      <c r="AF812" s="86"/>
      <c r="AG812" s="88"/>
      <c r="AH812" s="86"/>
      <c r="AI812" s="88"/>
      <c r="AJ812" s="86"/>
      <c r="AK812" s="88"/>
      <c r="AL812" s="86"/>
      <c r="AM812" s="88"/>
      <c r="AN812" s="86"/>
      <c r="AO812" s="88"/>
      <c r="AP812" s="86"/>
      <c r="AQ812" s="88"/>
      <c r="AR812" s="86"/>
      <c r="AS812" s="88"/>
      <c r="AT812" s="86"/>
      <c r="AU812" s="88"/>
      <c r="AV812" s="86"/>
      <c r="AW812" s="88"/>
      <c r="AX812" s="86"/>
      <c r="AY812" s="88"/>
      <c r="AZ812" s="86"/>
      <c r="BA812" s="88"/>
      <c r="BB812" s="86"/>
      <c r="BC812" s="88"/>
      <c r="BD812" s="86"/>
      <c r="BE812" s="88"/>
      <c r="BF812" s="86"/>
      <c r="BG812" s="88"/>
      <c r="BH812" s="86"/>
      <c r="BI812" s="88"/>
      <c r="BJ812" s="86"/>
      <c r="BK812" s="88"/>
      <c r="BL812" s="86"/>
      <c r="BM812" s="88"/>
      <c r="BN812" s="86"/>
      <c r="BO812" s="88"/>
      <c r="BP812" s="86"/>
      <c r="BQ812" s="88"/>
      <c r="BR812" s="86"/>
      <c r="BS812" s="87"/>
    </row>
    <row r="813" ht="22.5" customHeight="1">
      <c r="A813" s="154"/>
      <c r="B813" s="83"/>
      <c r="C813" s="151"/>
      <c r="D813" s="83"/>
      <c r="E813" s="151"/>
      <c r="F813" s="83"/>
      <c r="G813" s="85"/>
      <c r="H813" s="86"/>
      <c r="I813" s="87"/>
      <c r="J813" s="86"/>
      <c r="K813" s="88"/>
      <c r="L813" s="86"/>
      <c r="M813" s="88"/>
      <c r="N813" s="86"/>
      <c r="O813" s="88"/>
      <c r="P813" s="86"/>
      <c r="Q813" s="88"/>
      <c r="R813" s="86"/>
      <c r="S813" s="88"/>
      <c r="T813" s="86"/>
      <c r="U813" s="88"/>
      <c r="V813" s="86"/>
      <c r="W813" s="88"/>
      <c r="X813" s="86"/>
      <c r="Y813" s="88"/>
      <c r="Z813" s="86"/>
      <c r="AA813" s="88"/>
      <c r="AB813" s="86"/>
      <c r="AC813" s="88"/>
      <c r="AD813" s="86"/>
      <c r="AE813" s="88"/>
      <c r="AF813" s="86"/>
      <c r="AG813" s="88"/>
      <c r="AH813" s="86"/>
      <c r="AI813" s="88"/>
      <c r="AJ813" s="86"/>
      <c r="AK813" s="88"/>
      <c r="AL813" s="86"/>
      <c r="AM813" s="88"/>
      <c r="AN813" s="86"/>
      <c r="AO813" s="88"/>
      <c r="AP813" s="86"/>
      <c r="AQ813" s="88"/>
      <c r="AR813" s="86"/>
      <c r="AS813" s="88"/>
      <c r="AT813" s="86"/>
      <c r="AU813" s="88"/>
      <c r="AV813" s="86"/>
      <c r="AW813" s="88"/>
      <c r="AX813" s="86"/>
      <c r="AY813" s="88"/>
      <c r="AZ813" s="86"/>
      <c r="BA813" s="88"/>
      <c r="BB813" s="86"/>
      <c r="BC813" s="88"/>
      <c r="BD813" s="86"/>
      <c r="BE813" s="88"/>
      <c r="BF813" s="86"/>
      <c r="BG813" s="88"/>
      <c r="BH813" s="86"/>
      <c r="BI813" s="88"/>
      <c r="BJ813" s="86"/>
      <c r="BK813" s="88"/>
      <c r="BL813" s="86"/>
      <c r="BM813" s="88"/>
      <c r="BN813" s="86"/>
      <c r="BO813" s="88"/>
      <c r="BP813" s="86"/>
      <c r="BQ813" s="88"/>
      <c r="BR813" s="86"/>
      <c r="BS813" s="87"/>
    </row>
    <row r="814" ht="22.5" customHeight="1">
      <c r="A814" s="154"/>
      <c r="B814" s="83"/>
      <c r="C814" s="151"/>
      <c r="D814" s="83"/>
      <c r="E814" s="151"/>
      <c r="F814" s="83"/>
      <c r="G814" s="85"/>
      <c r="H814" s="86"/>
      <c r="I814" s="87"/>
      <c r="J814" s="86"/>
      <c r="K814" s="88"/>
      <c r="L814" s="86"/>
      <c r="M814" s="88"/>
      <c r="N814" s="86"/>
      <c r="O814" s="88"/>
      <c r="P814" s="86"/>
      <c r="Q814" s="88"/>
      <c r="R814" s="86"/>
      <c r="S814" s="88"/>
      <c r="T814" s="86"/>
      <c r="U814" s="88"/>
      <c r="V814" s="86"/>
      <c r="W814" s="88"/>
      <c r="X814" s="86"/>
      <c r="Y814" s="88"/>
      <c r="Z814" s="86"/>
      <c r="AA814" s="88"/>
      <c r="AB814" s="86"/>
      <c r="AC814" s="88"/>
      <c r="AD814" s="86"/>
      <c r="AE814" s="88"/>
      <c r="AF814" s="86"/>
      <c r="AG814" s="88"/>
      <c r="AH814" s="86"/>
      <c r="AI814" s="88"/>
      <c r="AJ814" s="86"/>
      <c r="AK814" s="88"/>
      <c r="AL814" s="86"/>
      <c r="AM814" s="88"/>
      <c r="AN814" s="86"/>
      <c r="AO814" s="88"/>
      <c r="AP814" s="86"/>
      <c r="AQ814" s="88"/>
      <c r="AR814" s="86"/>
      <c r="AS814" s="88"/>
      <c r="AT814" s="86"/>
      <c r="AU814" s="88"/>
      <c r="AV814" s="86"/>
      <c r="AW814" s="88"/>
      <c r="AX814" s="86"/>
      <c r="AY814" s="88"/>
      <c r="AZ814" s="86"/>
      <c r="BA814" s="88"/>
      <c r="BB814" s="86"/>
      <c r="BC814" s="88"/>
      <c r="BD814" s="86"/>
      <c r="BE814" s="88"/>
      <c r="BF814" s="86"/>
      <c r="BG814" s="88"/>
      <c r="BH814" s="86"/>
      <c r="BI814" s="88"/>
      <c r="BJ814" s="86"/>
      <c r="BK814" s="88"/>
      <c r="BL814" s="86"/>
      <c r="BM814" s="88"/>
      <c r="BN814" s="86"/>
      <c r="BO814" s="88"/>
      <c r="BP814" s="86"/>
      <c r="BQ814" s="88"/>
      <c r="BR814" s="86"/>
      <c r="BS814" s="87"/>
    </row>
    <row r="815" ht="22.5" customHeight="1">
      <c r="A815" s="154"/>
      <c r="B815" s="83"/>
      <c r="C815" s="151"/>
      <c r="D815" s="83"/>
      <c r="E815" s="151"/>
      <c r="F815" s="83"/>
      <c r="G815" s="85"/>
      <c r="H815" s="86"/>
      <c r="I815" s="87"/>
      <c r="J815" s="86"/>
      <c r="K815" s="88"/>
      <c r="L815" s="86"/>
      <c r="M815" s="88"/>
      <c r="N815" s="86"/>
      <c r="O815" s="88"/>
      <c r="P815" s="86"/>
      <c r="Q815" s="88"/>
      <c r="R815" s="86"/>
      <c r="S815" s="88"/>
      <c r="T815" s="86"/>
      <c r="U815" s="88"/>
      <c r="V815" s="86"/>
      <c r="W815" s="88"/>
      <c r="X815" s="86"/>
      <c r="Y815" s="88"/>
      <c r="Z815" s="86"/>
      <c r="AA815" s="88"/>
      <c r="AB815" s="86"/>
      <c r="AC815" s="88"/>
      <c r="AD815" s="86"/>
      <c r="AE815" s="88"/>
      <c r="AF815" s="86"/>
      <c r="AG815" s="88"/>
      <c r="AH815" s="86"/>
      <c r="AI815" s="88"/>
      <c r="AJ815" s="86"/>
      <c r="AK815" s="88"/>
      <c r="AL815" s="86"/>
      <c r="AM815" s="88"/>
      <c r="AN815" s="86"/>
      <c r="AO815" s="88"/>
      <c r="AP815" s="86"/>
      <c r="AQ815" s="88"/>
      <c r="AR815" s="86"/>
      <c r="AS815" s="88"/>
      <c r="AT815" s="86"/>
      <c r="AU815" s="88"/>
      <c r="AV815" s="86"/>
      <c r="AW815" s="88"/>
      <c r="AX815" s="86"/>
      <c r="AY815" s="88"/>
      <c r="AZ815" s="86"/>
      <c r="BA815" s="88"/>
      <c r="BB815" s="86"/>
      <c r="BC815" s="88"/>
      <c r="BD815" s="86"/>
      <c r="BE815" s="88"/>
      <c r="BF815" s="86"/>
      <c r="BG815" s="88"/>
      <c r="BH815" s="86"/>
      <c r="BI815" s="88"/>
      <c r="BJ815" s="86"/>
      <c r="BK815" s="88"/>
      <c r="BL815" s="86"/>
      <c r="BM815" s="88"/>
      <c r="BN815" s="86"/>
      <c r="BO815" s="88"/>
      <c r="BP815" s="86"/>
      <c r="BQ815" s="88"/>
      <c r="BR815" s="86"/>
      <c r="BS815" s="87"/>
    </row>
    <row r="816" ht="22.5" customHeight="1">
      <c r="A816" s="154"/>
      <c r="B816" s="83"/>
      <c r="C816" s="151"/>
      <c r="D816" s="83"/>
      <c r="E816" s="151"/>
      <c r="F816" s="83"/>
      <c r="G816" s="85"/>
      <c r="H816" s="86"/>
      <c r="I816" s="87"/>
      <c r="J816" s="86"/>
      <c r="K816" s="88"/>
      <c r="L816" s="86"/>
      <c r="M816" s="88"/>
      <c r="N816" s="86"/>
      <c r="O816" s="88"/>
      <c r="P816" s="86"/>
      <c r="Q816" s="88"/>
      <c r="R816" s="86"/>
      <c r="S816" s="88"/>
      <c r="T816" s="86"/>
      <c r="U816" s="88"/>
      <c r="V816" s="86"/>
      <c r="W816" s="88"/>
      <c r="X816" s="86"/>
      <c r="Y816" s="88"/>
      <c r="Z816" s="86"/>
      <c r="AA816" s="88"/>
      <c r="AB816" s="86"/>
      <c r="AC816" s="88"/>
      <c r="AD816" s="86"/>
      <c r="AE816" s="88"/>
      <c r="AF816" s="86"/>
      <c r="AG816" s="88"/>
      <c r="AH816" s="86"/>
      <c r="AI816" s="88"/>
      <c r="AJ816" s="86"/>
      <c r="AK816" s="88"/>
      <c r="AL816" s="86"/>
      <c r="AM816" s="88"/>
      <c r="AN816" s="86"/>
      <c r="AO816" s="88"/>
      <c r="AP816" s="86"/>
      <c r="AQ816" s="88"/>
      <c r="AR816" s="86"/>
      <c r="AS816" s="88"/>
      <c r="AT816" s="86"/>
      <c r="AU816" s="88"/>
      <c r="AV816" s="86"/>
      <c r="AW816" s="88"/>
      <c r="AX816" s="86"/>
      <c r="AY816" s="88"/>
      <c r="AZ816" s="86"/>
      <c r="BA816" s="88"/>
      <c r="BB816" s="86"/>
      <c r="BC816" s="88"/>
      <c r="BD816" s="86"/>
      <c r="BE816" s="88"/>
      <c r="BF816" s="86"/>
      <c r="BG816" s="88"/>
      <c r="BH816" s="86"/>
      <c r="BI816" s="88"/>
      <c r="BJ816" s="86"/>
      <c r="BK816" s="88"/>
      <c r="BL816" s="86"/>
      <c r="BM816" s="88"/>
      <c r="BN816" s="86"/>
      <c r="BO816" s="88"/>
      <c r="BP816" s="86"/>
      <c r="BQ816" s="88"/>
      <c r="BR816" s="86"/>
      <c r="BS816" s="87"/>
    </row>
    <row r="817" ht="22.5" customHeight="1">
      <c r="A817" s="154"/>
      <c r="B817" s="83"/>
      <c r="C817" s="151"/>
      <c r="D817" s="83"/>
      <c r="E817" s="151"/>
      <c r="F817" s="83"/>
      <c r="G817" s="85"/>
      <c r="H817" s="86"/>
      <c r="I817" s="87"/>
      <c r="J817" s="86"/>
      <c r="K817" s="88"/>
      <c r="L817" s="86"/>
      <c r="M817" s="88"/>
      <c r="N817" s="86"/>
      <c r="O817" s="88"/>
      <c r="P817" s="86"/>
      <c r="Q817" s="88"/>
      <c r="R817" s="86"/>
      <c r="S817" s="88"/>
      <c r="T817" s="86"/>
      <c r="U817" s="88"/>
      <c r="V817" s="86"/>
      <c r="W817" s="88"/>
      <c r="X817" s="86"/>
      <c r="Y817" s="88"/>
      <c r="Z817" s="86"/>
      <c r="AA817" s="88"/>
      <c r="AB817" s="86"/>
      <c r="AC817" s="88"/>
      <c r="AD817" s="86"/>
      <c r="AE817" s="88"/>
      <c r="AF817" s="86"/>
      <c r="AG817" s="88"/>
      <c r="AH817" s="86"/>
      <c r="AI817" s="88"/>
      <c r="AJ817" s="86"/>
      <c r="AK817" s="88"/>
      <c r="AL817" s="86"/>
      <c r="AM817" s="88"/>
      <c r="AN817" s="86"/>
      <c r="AO817" s="88"/>
      <c r="AP817" s="86"/>
      <c r="AQ817" s="88"/>
      <c r="AR817" s="86"/>
      <c r="AS817" s="88"/>
      <c r="AT817" s="86"/>
      <c r="AU817" s="88"/>
      <c r="AV817" s="86"/>
      <c r="AW817" s="88"/>
      <c r="AX817" s="86"/>
      <c r="AY817" s="88"/>
      <c r="AZ817" s="86"/>
      <c r="BA817" s="88"/>
      <c r="BB817" s="86"/>
      <c r="BC817" s="88"/>
      <c r="BD817" s="86"/>
      <c r="BE817" s="88"/>
      <c r="BF817" s="86"/>
      <c r="BG817" s="88"/>
      <c r="BH817" s="86"/>
      <c r="BI817" s="88"/>
      <c r="BJ817" s="86"/>
      <c r="BK817" s="88"/>
      <c r="BL817" s="86"/>
      <c r="BM817" s="88"/>
      <c r="BN817" s="86"/>
      <c r="BO817" s="88"/>
      <c r="BP817" s="86"/>
      <c r="BQ817" s="88"/>
      <c r="BR817" s="86"/>
      <c r="BS817" s="87"/>
    </row>
    <row r="818" ht="22.5" customHeight="1">
      <c r="A818" s="154"/>
      <c r="B818" s="83"/>
      <c r="C818" s="151"/>
      <c r="D818" s="83"/>
      <c r="E818" s="151"/>
      <c r="F818" s="83"/>
      <c r="G818" s="85"/>
      <c r="H818" s="86"/>
      <c r="I818" s="87"/>
      <c r="J818" s="86"/>
      <c r="K818" s="88"/>
      <c r="L818" s="86"/>
      <c r="M818" s="88"/>
      <c r="N818" s="86"/>
      <c r="O818" s="88"/>
      <c r="P818" s="86"/>
      <c r="Q818" s="88"/>
      <c r="R818" s="86"/>
      <c r="S818" s="88"/>
      <c r="T818" s="86"/>
      <c r="U818" s="88"/>
      <c r="V818" s="86"/>
      <c r="W818" s="88"/>
      <c r="X818" s="86"/>
      <c r="Y818" s="88"/>
      <c r="Z818" s="86"/>
      <c r="AA818" s="88"/>
      <c r="AB818" s="86"/>
      <c r="AC818" s="88"/>
      <c r="AD818" s="86"/>
      <c r="AE818" s="88"/>
      <c r="AF818" s="86"/>
      <c r="AG818" s="88"/>
      <c r="AH818" s="86"/>
      <c r="AI818" s="88"/>
      <c r="AJ818" s="86"/>
      <c r="AK818" s="88"/>
      <c r="AL818" s="86"/>
      <c r="AM818" s="88"/>
      <c r="AN818" s="86"/>
      <c r="AO818" s="88"/>
      <c r="AP818" s="86"/>
      <c r="AQ818" s="88"/>
      <c r="AR818" s="86"/>
      <c r="AS818" s="88"/>
      <c r="AT818" s="86"/>
      <c r="AU818" s="88"/>
      <c r="AV818" s="86"/>
      <c r="AW818" s="88"/>
      <c r="AX818" s="86"/>
      <c r="AY818" s="88"/>
      <c r="AZ818" s="86"/>
      <c r="BA818" s="88"/>
      <c r="BB818" s="86"/>
      <c r="BC818" s="88"/>
      <c r="BD818" s="86"/>
      <c r="BE818" s="88"/>
      <c r="BF818" s="86"/>
      <c r="BG818" s="88"/>
      <c r="BH818" s="86"/>
      <c r="BI818" s="88"/>
      <c r="BJ818" s="86"/>
      <c r="BK818" s="88"/>
      <c r="BL818" s="86"/>
      <c r="BM818" s="88"/>
      <c r="BN818" s="86"/>
      <c r="BO818" s="88"/>
      <c r="BP818" s="86"/>
      <c r="BQ818" s="88"/>
      <c r="BR818" s="86"/>
      <c r="BS818" s="87"/>
    </row>
    <row r="819" ht="22.5" customHeight="1">
      <c r="A819" s="154"/>
      <c r="B819" s="83"/>
      <c r="C819" s="151"/>
      <c r="D819" s="83"/>
      <c r="E819" s="151"/>
      <c r="F819" s="83"/>
      <c r="G819" s="85"/>
      <c r="H819" s="86"/>
      <c r="I819" s="87"/>
      <c r="J819" s="86"/>
      <c r="K819" s="88"/>
      <c r="L819" s="86"/>
      <c r="M819" s="88"/>
      <c r="N819" s="86"/>
      <c r="O819" s="88"/>
      <c r="P819" s="86"/>
      <c r="Q819" s="88"/>
      <c r="R819" s="86"/>
      <c r="S819" s="88"/>
      <c r="T819" s="86"/>
      <c r="U819" s="88"/>
      <c r="V819" s="86"/>
      <c r="W819" s="88"/>
      <c r="X819" s="86"/>
      <c r="Y819" s="88"/>
      <c r="Z819" s="86"/>
      <c r="AA819" s="88"/>
      <c r="AB819" s="86"/>
      <c r="AC819" s="88"/>
      <c r="AD819" s="86"/>
      <c r="AE819" s="88"/>
      <c r="AF819" s="86"/>
      <c r="AG819" s="88"/>
      <c r="AH819" s="86"/>
      <c r="AI819" s="88"/>
      <c r="AJ819" s="86"/>
      <c r="AK819" s="88"/>
      <c r="AL819" s="86"/>
      <c r="AM819" s="88"/>
      <c r="AN819" s="86"/>
      <c r="AO819" s="88"/>
      <c r="AP819" s="86"/>
      <c r="AQ819" s="88"/>
      <c r="AR819" s="86"/>
      <c r="AS819" s="88"/>
      <c r="AT819" s="86"/>
      <c r="AU819" s="88"/>
      <c r="AV819" s="86"/>
      <c r="AW819" s="88"/>
      <c r="AX819" s="86"/>
      <c r="AY819" s="88"/>
      <c r="AZ819" s="86"/>
      <c r="BA819" s="88"/>
      <c r="BB819" s="86"/>
      <c r="BC819" s="88"/>
      <c r="BD819" s="86"/>
      <c r="BE819" s="88"/>
      <c r="BF819" s="86"/>
      <c r="BG819" s="88"/>
      <c r="BH819" s="86"/>
      <c r="BI819" s="88"/>
      <c r="BJ819" s="86"/>
      <c r="BK819" s="88"/>
      <c r="BL819" s="86"/>
      <c r="BM819" s="88"/>
      <c r="BN819" s="86"/>
      <c r="BO819" s="88"/>
      <c r="BP819" s="86"/>
      <c r="BQ819" s="88"/>
      <c r="BR819" s="86"/>
      <c r="BS819" s="87"/>
    </row>
    <row r="820" ht="22.5" customHeight="1">
      <c r="A820" s="154"/>
      <c r="B820" s="83"/>
      <c r="C820" s="151"/>
      <c r="D820" s="83"/>
      <c r="E820" s="151"/>
      <c r="F820" s="83"/>
      <c r="G820" s="85"/>
      <c r="H820" s="86"/>
      <c r="I820" s="87"/>
      <c r="J820" s="86"/>
      <c r="K820" s="88"/>
      <c r="L820" s="86"/>
      <c r="M820" s="88"/>
      <c r="N820" s="86"/>
      <c r="O820" s="88"/>
      <c r="P820" s="86"/>
      <c r="Q820" s="88"/>
      <c r="R820" s="86"/>
      <c r="S820" s="88"/>
      <c r="T820" s="86"/>
      <c r="U820" s="88"/>
      <c r="V820" s="86"/>
      <c r="W820" s="88"/>
      <c r="X820" s="86"/>
      <c r="Y820" s="88"/>
      <c r="Z820" s="86"/>
      <c r="AA820" s="88"/>
      <c r="AB820" s="86"/>
      <c r="AC820" s="88"/>
      <c r="AD820" s="86"/>
      <c r="AE820" s="88"/>
      <c r="AF820" s="86"/>
      <c r="AG820" s="88"/>
      <c r="AH820" s="86"/>
      <c r="AI820" s="88"/>
      <c r="AJ820" s="86"/>
      <c r="AK820" s="88"/>
      <c r="AL820" s="86"/>
      <c r="AM820" s="88"/>
      <c r="AN820" s="86"/>
      <c r="AO820" s="88"/>
      <c r="AP820" s="86"/>
      <c r="AQ820" s="88"/>
      <c r="AR820" s="86"/>
      <c r="AS820" s="88"/>
      <c r="AT820" s="86"/>
      <c r="AU820" s="88"/>
      <c r="AV820" s="86"/>
      <c r="AW820" s="88"/>
      <c r="AX820" s="86"/>
      <c r="AY820" s="88"/>
      <c r="AZ820" s="86"/>
      <c r="BA820" s="88"/>
      <c r="BB820" s="86"/>
      <c r="BC820" s="88"/>
      <c r="BD820" s="86"/>
      <c r="BE820" s="88"/>
      <c r="BF820" s="86"/>
      <c r="BG820" s="88"/>
      <c r="BH820" s="86"/>
      <c r="BI820" s="88"/>
      <c r="BJ820" s="86"/>
      <c r="BK820" s="88"/>
      <c r="BL820" s="86"/>
      <c r="BM820" s="88"/>
      <c r="BN820" s="86"/>
      <c r="BO820" s="88"/>
      <c r="BP820" s="86"/>
      <c r="BQ820" s="88"/>
      <c r="BR820" s="86"/>
      <c r="BS820" s="87"/>
    </row>
    <row r="821" ht="22.5" customHeight="1">
      <c r="A821" s="154"/>
      <c r="B821" s="83"/>
      <c r="C821" s="151"/>
      <c r="D821" s="83"/>
      <c r="E821" s="151"/>
      <c r="F821" s="83"/>
      <c r="G821" s="85"/>
      <c r="H821" s="86"/>
      <c r="I821" s="87"/>
      <c r="J821" s="86"/>
      <c r="K821" s="88"/>
      <c r="L821" s="86"/>
      <c r="M821" s="88"/>
      <c r="N821" s="86"/>
      <c r="O821" s="88"/>
      <c r="P821" s="86"/>
      <c r="Q821" s="88"/>
      <c r="R821" s="86"/>
      <c r="S821" s="88"/>
      <c r="T821" s="86"/>
      <c r="U821" s="88"/>
      <c r="V821" s="86"/>
      <c r="W821" s="88"/>
      <c r="X821" s="86"/>
      <c r="Y821" s="88"/>
      <c r="Z821" s="86"/>
      <c r="AA821" s="88"/>
      <c r="AB821" s="86"/>
      <c r="AC821" s="88"/>
      <c r="AD821" s="86"/>
      <c r="AE821" s="88"/>
      <c r="AF821" s="86"/>
      <c r="AG821" s="88"/>
      <c r="AH821" s="86"/>
      <c r="AI821" s="88"/>
      <c r="AJ821" s="86"/>
      <c r="AK821" s="88"/>
      <c r="AL821" s="86"/>
      <c r="AM821" s="88"/>
      <c r="AN821" s="86"/>
      <c r="AO821" s="88"/>
      <c r="AP821" s="86"/>
      <c r="AQ821" s="88"/>
      <c r="AR821" s="86"/>
      <c r="AS821" s="88"/>
      <c r="AT821" s="86"/>
      <c r="AU821" s="88"/>
      <c r="AV821" s="86"/>
      <c r="AW821" s="88"/>
      <c r="AX821" s="86"/>
      <c r="AY821" s="88"/>
      <c r="AZ821" s="86"/>
      <c r="BA821" s="88"/>
      <c r="BB821" s="86"/>
      <c r="BC821" s="88"/>
      <c r="BD821" s="86"/>
      <c r="BE821" s="88"/>
      <c r="BF821" s="86"/>
      <c r="BG821" s="88"/>
      <c r="BH821" s="86"/>
      <c r="BI821" s="88"/>
      <c r="BJ821" s="86"/>
      <c r="BK821" s="88"/>
      <c r="BL821" s="86"/>
      <c r="BM821" s="88"/>
      <c r="BN821" s="86"/>
      <c r="BO821" s="88"/>
      <c r="BP821" s="86"/>
      <c r="BQ821" s="88"/>
      <c r="BR821" s="86"/>
      <c r="BS821" s="87"/>
    </row>
    <row r="822" ht="22.5" customHeight="1">
      <c r="A822" s="154"/>
      <c r="B822" s="83"/>
      <c r="C822" s="151"/>
      <c r="D822" s="83"/>
      <c r="E822" s="151"/>
      <c r="F822" s="83"/>
      <c r="G822" s="85"/>
      <c r="H822" s="86"/>
      <c r="I822" s="87"/>
      <c r="J822" s="86"/>
      <c r="K822" s="88"/>
      <c r="L822" s="86"/>
      <c r="M822" s="88"/>
      <c r="N822" s="86"/>
      <c r="O822" s="88"/>
      <c r="P822" s="86"/>
      <c r="Q822" s="88"/>
      <c r="R822" s="86"/>
      <c r="S822" s="88"/>
      <c r="T822" s="86"/>
      <c r="U822" s="88"/>
      <c r="V822" s="86"/>
      <c r="W822" s="88"/>
      <c r="X822" s="86"/>
      <c r="Y822" s="88"/>
      <c r="Z822" s="86"/>
      <c r="AA822" s="88"/>
      <c r="AB822" s="86"/>
      <c r="AC822" s="88"/>
      <c r="AD822" s="86"/>
      <c r="AE822" s="88"/>
      <c r="AF822" s="86"/>
      <c r="AG822" s="88"/>
      <c r="AH822" s="86"/>
      <c r="AI822" s="88"/>
      <c r="AJ822" s="86"/>
      <c r="AK822" s="88"/>
      <c r="AL822" s="86"/>
      <c r="AM822" s="88"/>
      <c r="AN822" s="86"/>
      <c r="AO822" s="88"/>
      <c r="AP822" s="86"/>
      <c r="AQ822" s="88"/>
      <c r="AR822" s="86"/>
      <c r="AS822" s="88"/>
      <c r="AT822" s="86"/>
      <c r="AU822" s="88"/>
      <c r="AV822" s="86"/>
      <c r="AW822" s="88"/>
      <c r="AX822" s="86"/>
      <c r="AY822" s="88"/>
      <c r="AZ822" s="86"/>
      <c r="BA822" s="88"/>
      <c r="BB822" s="86"/>
      <c r="BC822" s="88"/>
      <c r="BD822" s="86"/>
      <c r="BE822" s="88"/>
      <c r="BF822" s="86"/>
      <c r="BG822" s="88"/>
      <c r="BH822" s="86"/>
      <c r="BI822" s="88"/>
      <c r="BJ822" s="86"/>
      <c r="BK822" s="88"/>
      <c r="BL822" s="86"/>
      <c r="BM822" s="88"/>
      <c r="BN822" s="86"/>
      <c r="BO822" s="88"/>
      <c r="BP822" s="86"/>
      <c r="BQ822" s="88"/>
      <c r="BR822" s="86"/>
      <c r="BS822" s="87"/>
    </row>
    <row r="823" ht="22.5" customHeight="1">
      <c r="A823" s="154"/>
      <c r="B823" s="83"/>
      <c r="C823" s="151"/>
      <c r="D823" s="83"/>
      <c r="E823" s="151"/>
      <c r="F823" s="83"/>
      <c r="G823" s="85"/>
      <c r="H823" s="86"/>
      <c r="I823" s="87"/>
      <c r="J823" s="86"/>
      <c r="K823" s="88"/>
      <c r="L823" s="86"/>
      <c r="M823" s="88"/>
      <c r="N823" s="86"/>
      <c r="O823" s="88"/>
      <c r="P823" s="86"/>
      <c r="Q823" s="88"/>
      <c r="R823" s="86"/>
      <c r="S823" s="88"/>
      <c r="T823" s="86"/>
      <c r="U823" s="88"/>
      <c r="V823" s="86"/>
      <c r="W823" s="88"/>
      <c r="X823" s="86"/>
      <c r="Y823" s="88"/>
      <c r="Z823" s="86"/>
      <c r="AA823" s="88"/>
      <c r="AB823" s="86"/>
      <c r="AC823" s="88"/>
      <c r="AD823" s="86"/>
      <c r="AE823" s="88"/>
      <c r="AF823" s="86"/>
      <c r="AG823" s="88"/>
      <c r="AH823" s="86"/>
      <c r="AI823" s="88"/>
      <c r="AJ823" s="86"/>
      <c r="AK823" s="88"/>
      <c r="AL823" s="86"/>
      <c r="AM823" s="88"/>
      <c r="AN823" s="86"/>
      <c r="AO823" s="88"/>
      <c r="AP823" s="86"/>
      <c r="AQ823" s="88"/>
      <c r="AR823" s="86"/>
      <c r="AS823" s="88"/>
      <c r="AT823" s="86"/>
      <c r="AU823" s="88"/>
      <c r="AV823" s="86"/>
      <c r="AW823" s="88"/>
      <c r="AX823" s="86"/>
      <c r="AY823" s="88"/>
      <c r="AZ823" s="86"/>
      <c r="BA823" s="88"/>
      <c r="BB823" s="86"/>
      <c r="BC823" s="88"/>
      <c r="BD823" s="86"/>
      <c r="BE823" s="88"/>
      <c r="BF823" s="86"/>
      <c r="BG823" s="88"/>
      <c r="BH823" s="86"/>
      <c r="BI823" s="88"/>
      <c r="BJ823" s="86"/>
      <c r="BK823" s="88"/>
      <c r="BL823" s="86"/>
      <c r="BM823" s="88"/>
      <c r="BN823" s="86"/>
      <c r="BO823" s="88"/>
      <c r="BP823" s="86"/>
      <c r="BQ823" s="88"/>
      <c r="BR823" s="86"/>
      <c r="BS823" s="87"/>
    </row>
    <row r="824" ht="22.5" customHeight="1">
      <c r="A824" s="154"/>
      <c r="B824" s="83"/>
      <c r="C824" s="151"/>
      <c r="D824" s="83"/>
      <c r="E824" s="151"/>
      <c r="F824" s="83"/>
      <c r="G824" s="85"/>
      <c r="H824" s="86"/>
      <c r="I824" s="87"/>
      <c r="J824" s="86"/>
      <c r="K824" s="88"/>
      <c r="L824" s="86"/>
      <c r="M824" s="88"/>
      <c r="N824" s="86"/>
      <c r="O824" s="88"/>
      <c r="P824" s="86"/>
      <c r="Q824" s="88"/>
      <c r="R824" s="86"/>
      <c r="S824" s="88"/>
      <c r="T824" s="86"/>
      <c r="U824" s="88"/>
      <c r="V824" s="86"/>
      <c r="W824" s="88"/>
      <c r="X824" s="86"/>
      <c r="Y824" s="88"/>
      <c r="Z824" s="86"/>
      <c r="AA824" s="88"/>
      <c r="AB824" s="86"/>
      <c r="AC824" s="88"/>
      <c r="AD824" s="86"/>
      <c r="AE824" s="88"/>
      <c r="AF824" s="86"/>
      <c r="AG824" s="88"/>
      <c r="AH824" s="86"/>
      <c r="AI824" s="88"/>
      <c r="AJ824" s="86"/>
      <c r="AK824" s="88"/>
      <c r="AL824" s="86"/>
      <c r="AM824" s="88"/>
      <c r="AN824" s="86"/>
      <c r="AO824" s="88"/>
      <c r="AP824" s="86"/>
      <c r="AQ824" s="88"/>
      <c r="AR824" s="86"/>
      <c r="AS824" s="88"/>
      <c r="AT824" s="86"/>
      <c r="AU824" s="88"/>
      <c r="AV824" s="86"/>
      <c r="AW824" s="88"/>
      <c r="AX824" s="86"/>
      <c r="AY824" s="88"/>
      <c r="AZ824" s="86"/>
      <c r="BA824" s="88"/>
      <c r="BB824" s="86"/>
      <c r="BC824" s="88"/>
      <c r="BD824" s="86"/>
      <c r="BE824" s="88"/>
      <c r="BF824" s="86"/>
      <c r="BG824" s="88"/>
      <c r="BH824" s="86"/>
      <c r="BI824" s="88"/>
      <c r="BJ824" s="86"/>
      <c r="BK824" s="88"/>
      <c r="BL824" s="86"/>
      <c r="BM824" s="88"/>
      <c r="BN824" s="86"/>
      <c r="BO824" s="88"/>
      <c r="BP824" s="86"/>
      <c r="BQ824" s="88"/>
      <c r="BR824" s="86"/>
      <c r="BS824" s="87"/>
    </row>
    <row r="825" ht="22.5" customHeight="1">
      <c r="A825" s="154"/>
      <c r="B825" s="83"/>
      <c r="C825" s="151"/>
      <c r="D825" s="83"/>
      <c r="E825" s="151"/>
      <c r="F825" s="83"/>
      <c r="G825" s="85"/>
      <c r="H825" s="86"/>
      <c r="I825" s="87"/>
      <c r="J825" s="86"/>
      <c r="K825" s="88"/>
      <c r="L825" s="86"/>
      <c r="M825" s="88"/>
      <c r="N825" s="86"/>
      <c r="O825" s="88"/>
      <c r="P825" s="86"/>
      <c r="Q825" s="88"/>
      <c r="R825" s="86"/>
      <c r="S825" s="88"/>
      <c r="T825" s="86"/>
      <c r="U825" s="88"/>
      <c r="V825" s="86"/>
      <c r="W825" s="88"/>
      <c r="X825" s="86"/>
      <c r="Y825" s="88"/>
      <c r="Z825" s="86"/>
      <c r="AA825" s="88"/>
      <c r="AB825" s="86"/>
      <c r="AC825" s="88"/>
      <c r="AD825" s="86"/>
      <c r="AE825" s="88"/>
      <c r="AF825" s="86"/>
      <c r="AG825" s="88"/>
      <c r="AH825" s="86"/>
      <c r="AI825" s="88"/>
      <c r="AJ825" s="86"/>
      <c r="AK825" s="88"/>
      <c r="AL825" s="86"/>
      <c r="AM825" s="88"/>
      <c r="AN825" s="86"/>
      <c r="AO825" s="88"/>
      <c r="AP825" s="86"/>
      <c r="AQ825" s="88"/>
      <c r="AR825" s="86"/>
      <c r="AS825" s="88"/>
      <c r="AT825" s="86"/>
      <c r="AU825" s="88"/>
      <c r="AV825" s="86"/>
      <c r="AW825" s="88"/>
      <c r="AX825" s="86"/>
      <c r="AY825" s="88"/>
      <c r="AZ825" s="86"/>
      <c r="BA825" s="88"/>
      <c r="BB825" s="86"/>
      <c r="BC825" s="88"/>
      <c r="BD825" s="86"/>
      <c r="BE825" s="88"/>
      <c r="BF825" s="86"/>
      <c r="BG825" s="88"/>
      <c r="BH825" s="86"/>
      <c r="BI825" s="88"/>
      <c r="BJ825" s="86"/>
      <c r="BK825" s="88"/>
      <c r="BL825" s="86"/>
      <c r="BM825" s="88"/>
      <c r="BN825" s="86"/>
      <c r="BO825" s="88"/>
      <c r="BP825" s="86"/>
      <c r="BQ825" s="88"/>
      <c r="BR825" s="86"/>
      <c r="BS825" s="87"/>
    </row>
    <row r="826" ht="22.5" customHeight="1">
      <c r="A826" s="154"/>
      <c r="B826" s="83"/>
      <c r="C826" s="151"/>
      <c r="D826" s="83"/>
      <c r="E826" s="151"/>
      <c r="F826" s="83"/>
      <c r="G826" s="85"/>
      <c r="H826" s="86"/>
      <c r="I826" s="87"/>
      <c r="J826" s="86"/>
      <c r="K826" s="88"/>
      <c r="L826" s="86"/>
      <c r="M826" s="88"/>
      <c r="N826" s="86"/>
      <c r="O826" s="88"/>
      <c r="P826" s="86"/>
      <c r="Q826" s="88"/>
      <c r="R826" s="86"/>
      <c r="S826" s="88"/>
      <c r="T826" s="86"/>
      <c r="U826" s="88"/>
      <c r="V826" s="86"/>
      <c r="W826" s="88"/>
      <c r="X826" s="86"/>
      <c r="Y826" s="88"/>
      <c r="Z826" s="86"/>
      <c r="AA826" s="88"/>
      <c r="AB826" s="86"/>
      <c r="AC826" s="88"/>
      <c r="AD826" s="86"/>
      <c r="AE826" s="88"/>
      <c r="AF826" s="86"/>
      <c r="AG826" s="88"/>
      <c r="AH826" s="86"/>
      <c r="AI826" s="88"/>
      <c r="AJ826" s="86"/>
      <c r="AK826" s="88"/>
      <c r="AL826" s="86"/>
      <c r="AM826" s="88"/>
      <c r="AN826" s="86"/>
      <c r="AO826" s="88"/>
      <c r="AP826" s="86"/>
      <c r="AQ826" s="88"/>
      <c r="AR826" s="86"/>
      <c r="AS826" s="88"/>
      <c r="AT826" s="86"/>
      <c r="AU826" s="88"/>
      <c r="AV826" s="86"/>
      <c r="AW826" s="88"/>
      <c r="AX826" s="86"/>
      <c r="AY826" s="88"/>
      <c r="AZ826" s="86"/>
      <c r="BA826" s="88"/>
      <c r="BB826" s="86"/>
      <c r="BC826" s="88"/>
      <c r="BD826" s="86"/>
      <c r="BE826" s="88"/>
      <c r="BF826" s="86"/>
      <c r="BG826" s="88"/>
      <c r="BH826" s="86"/>
      <c r="BI826" s="88"/>
      <c r="BJ826" s="86"/>
      <c r="BK826" s="88"/>
      <c r="BL826" s="86"/>
      <c r="BM826" s="88"/>
      <c r="BN826" s="86"/>
      <c r="BO826" s="88"/>
      <c r="BP826" s="86"/>
      <c r="BQ826" s="88"/>
      <c r="BR826" s="86"/>
      <c r="BS826" s="87"/>
    </row>
    <row r="827" ht="22.5" customHeight="1">
      <c r="A827" s="154"/>
      <c r="B827" s="83"/>
      <c r="C827" s="151"/>
      <c r="D827" s="83"/>
      <c r="E827" s="151"/>
      <c r="F827" s="83"/>
      <c r="G827" s="85"/>
      <c r="H827" s="86"/>
      <c r="I827" s="87"/>
      <c r="J827" s="86"/>
      <c r="K827" s="88"/>
      <c r="L827" s="86"/>
      <c r="M827" s="88"/>
      <c r="N827" s="86"/>
      <c r="O827" s="88"/>
      <c r="P827" s="86"/>
      <c r="Q827" s="88"/>
      <c r="R827" s="86"/>
      <c r="S827" s="88"/>
      <c r="T827" s="86"/>
      <c r="U827" s="88"/>
      <c r="V827" s="86"/>
      <c r="W827" s="88"/>
      <c r="X827" s="86"/>
      <c r="Y827" s="88"/>
      <c r="Z827" s="86"/>
      <c r="AA827" s="88"/>
      <c r="AB827" s="86"/>
      <c r="AC827" s="88"/>
      <c r="AD827" s="86"/>
      <c r="AE827" s="88"/>
      <c r="AF827" s="86"/>
      <c r="AG827" s="88"/>
      <c r="AH827" s="86"/>
      <c r="AI827" s="88"/>
      <c r="AJ827" s="86"/>
      <c r="AK827" s="88"/>
      <c r="AL827" s="86"/>
      <c r="AM827" s="88"/>
      <c r="AN827" s="86"/>
      <c r="AO827" s="88"/>
      <c r="AP827" s="86"/>
      <c r="AQ827" s="88"/>
      <c r="AR827" s="86"/>
      <c r="AS827" s="88"/>
      <c r="AT827" s="86"/>
      <c r="AU827" s="88"/>
      <c r="AV827" s="86"/>
      <c r="AW827" s="88"/>
      <c r="AX827" s="86"/>
      <c r="AY827" s="88"/>
      <c r="AZ827" s="86"/>
      <c r="BA827" s="88"/>
      <c r="BB827" s="86"/>
      <c r="BC827" s="88"/>
      <c r="BD827" s="86"/>
      <c r="BE827" s="88"/>
      <c r="BF827" s="86"/>
      <c r="BG827" s="88"/>
      <c r="BH827" s="86"/>
      <c r="BI827" s="88"/>
      <c r="BJ827" s="86"/>
      <c r="BK827" s="88"/>
      <c r="BL827" s="86"/>
      <c r="BM827" s="88"/>
      <c r="BN827" s="86"/>
      <c r="BO827" s="88"/>
      <c r="BP827" s="86"/>
      <c r="BQ827" s="88"/>
      <c r="BR827" s="86"/>
      <c r="BS827" s="87"/>
    </row>
    <row r="828" ht="22.5" customHeight="1">
      <c r="A828" s="154"/>
      <c r="B828" s="83"/>
      <c r="C828" s="151"/>
      <c r="D828" s="83"/>
      <c r="E828" s="151"/>
      <c r="F828" s="83"/>
      <c r="G828" s="85"/>
      <c r="H828" s="86"/>
      <c r="I828" s="87"/>
      <c r="J828" s="86"/>
      <c r="K828" s="88"/>
      <c r="L828" s="86"/>
      <c r="M828" s="88"/>
      <c r="N828" s="86"/>
      <c r="O828" s="88"/>
      <c r="P828" s="86"/>
      <c r="Q828" s="88"/>
      <c r="R828" s="86"/>
      <c r="S828" s="88"/>
      <c r="T828" s="86"/>
      <c r="U828" s="88"/>
      <c r="V828" s="86"/>
      <c r="W828" s="88"/>
      <c r="X828" s="86"/>
      <c r="Y828" s="88"/>
      <c r="Z828" s="86"/>
      <c r="AA828" s="88"/>
      <c r="AB828" s="86"/>
      <c r="AC828" s="88"/>
      <c r="AD828" s="86"/>
      <c r="AE828" s="88"/>
      <c r="AF828" s="86"/>
      <c r="AG828" s="88"/>
      <c r="AH828" s="86"/>
      <c r="AI828" s="88"/>
      <c r="AJ828" s="86"/>
      <c r="AK828" s="88"/>
      <c r="AL828" s="86"/>
      <c r="AM828" s="88"/>
      <c r="AN828" s="86"/>
      <c r="AO828" s="88"/>
      <c r="AP828" s="86"/>
      <c r="AQ828" s="88"/>
      <c r="AR828" s="86"/>
      <c r="AS828" s="88"/>
      <c r="AT828" s="86"/>
      <c r="AU828" s="88"/>
      <c r="AV828" s="86"/>
      <c r="AW828" s="88"/>
      <c r="AX828" s="86"/>
      <c r="AY828" s="88"/>
      <c r="AZ828" s="86"/>
      <c r="BA828" s="88"/>
      <c r="BB828" s="86"/>
      <c r="BC828" s="88"/>
      <c r="BD828" s="86"/>
      <c r="BE828" s="88"/>
      <c r="BF828" s="86"/>
      <c r="BG828" s="88"/>
      <c r="BH828" s="86"/>
      <c r="BI828" s="88"/>
      <c r="BJ828" s="86"/>
      <c r="BK828" s="88"/>
      <c r="BL828" s="86"/>
      <c r="BM828" s="88"/>
      <c r="BN828" s="86"/>
      <c r="BO828" s="88"/>
      <c r="BP828" s="86"/>
      <c r="BQ828" s="88"/>
      <c r="BR828" s="86"/>
      <c r="BS828" s="87"/>
    </row>
    <row r="829" ht="22.5" customHeight="1">
      <c r="A829" s="154"/>
      <c r="B829" s="83"/>
      <c r="C829" s="151"/>
      <c r="D829" s="83"/>
      <c r="E829" s="151"/>
      <c r="F829" s="83"/>
      <c r="G829" s="85"/>
      <c r="H829" s="86"/>
      <c r="I829" s="87"/>
      <c r="J829" s="86"/>
      <c r="K829" s="88"/>
      <c r="L829" s="86"/>
      <c r="M829" s="88"/>
      <c r="N829" s="86"/>
      <c r="O829" s="88"/>
      <c r="P829" s="86"/>
      <c r="Q829" s="88"/>
      <c r="R829" s="86"/>
      <c r="S829" s="88"/>
      <c r="T829" s="86"/>
      <c r="U829" s="88"/>
      <c r="V829" s="86"/>
      <c r="W829" s="88"/>
      <c r="X829" s="86"/>
      <c r="Y829" s="88"/>
      <c r="Z829" s="86"/>
      <c r="AA829" s="88"/>
      <c r="AB829" s="86"/>
      <c r="AC829" s="88"/>
      <c r="AD829" s="86"/>
      <c r="AE829" s="88"/>
      <c r="AF829" s="86"/>
      <c r="AG829" s="88"/>
      <c r="AH829" s="86"/>
      <c r="AI829" s="88"/>
      <c r="AJ829" s="86"/>
      <c r="AK829" s="88"/>
      <c r="AL829" s="86"/>
      <c r="AM829" s="88"/>
      <c r="AN829" s="86"/>
      <c r="AO829" s="88"/>
      <c r="AP829" s="86"/>
      <c r="AQ829" s="88"/>
      <c r="AR829" s="86"/>
      <c r="AS829" s="88"/>
      <c r="AT829" s="86"/>
      <c r="AU829" s="88"/>
      <c r="AV829" s="86"/>
      <c r="AW829" s="88"/>
      <c r="AX829" s="86"/>
      <c r="AY829" s="88"/>
      <c r="AZ829" s="86"/>
      <c r="BA829" s="88"/>
      <c r="BB829" s="86"/>
      <c r="BC829" s="88"/>
      <c r="BD829" s="86"/>
      <c r="BE829" s="88"/>
      <c r="BF829" s="86"/>
      <c r="BG829" s="88"/>
      <c r="BH829" s="86"/>
      <c r="BI829" s="88"/>
      <c r="BJ829" s="86"/>
      <c r="BK829" s="88"/>
      <c r="BL829" s="86"/>
      <c r="BM829" s="88"/>
      <c r="BN829" s="86"/>
      <c r="BO829" s="88"/>
      <c r="BP829" s="86"/>
      <c r="BQ829" s="88"/>
      <c r="BR829" s="86"/>
      <c r="BS829" s="87"/>
    </row>
    <row r="830" ht="22.5" customHeight="1">
      <c r="A830" s="154"/>
      <c r="B830" s="83"/>
      <c r="C830" s="151"/>
      <c r="D830" s="83"/>
      <c r="E830" s="151"/>
      <c r="F830" s="83"/>
      <c r="G830" s="85"/>
      <c r="H830" s="86"/>
      <c r="I830" s="87"/>
      <c r="J830" s="86"/>
      <c r="K830" s="88"/>
      <c r="L830" s="86"/>
      <c r="M830" s="88"/>
      <c r="N830" s="86"/>
      <c r="O830" s="88"/>
      <c r="P830" s="86"/>
      <c r="Q830" s="88"/>
      <c r="R830" s="86"/>
      <c r="S830" s="88"/>
      <c r="T830" s="86"/>
      <c r="U830" s="88"/>
      <c r="V830" s="86"/>
      <c r="W830" s="88"/>
      <c r="X830" s="86"/>
      <c r="Y830" s="88"/>
      <c r="Z830" s="86"/>
      <c r="AA830" s="88"/>
      <c r="AB830" s="86"/>
      <c r="AC830" s="88"/>
      <c r="AD830" s="86"/>
      <c r="AE830" s="88"/>
      <c r="AF830" s="86"/>
      <c r="AG830" s="88"/>
      <c r="AH830" s="86"/>
      <c r="AI830" s="88"/>
      <c r="AJ830" s="86"/>
      <c r="AK830" s="88"/>
      <c r="AL830" s="86"/>
      <c r="AM830" s="88"/>
      <c r="AN830" s="86"/>
      <c r="AO830" s="88"/>
      <c r="AP830" s="86"/>
      <c r="AQ830" s="88"/>
      <c r="AR830" s="86"/>
      <c r="AS830" s="88"/>
      <c r="AT830" s="86"/>
      <c r="AU830" s="88"/>
      <c r="AV830" s="86"/>
      <c r="AW830" s="88"/>
      <c r="AX830" s="86"/>
      <c r="AY830" s="88"/>
      <c r="AZ830" s="86"/>
      <c r="BA830" s="88"/>
      <c r="BB830" s="86"/>
      <c r="BC830" s="88"/>
      <c r="BD830" s="86"/>
      <c r="BE830" s="88"/>
      <c r="BF830" s="86"/>
      <c r="BG830" s="88"/>
      <c r="BH830" s="86"/>
      <c r="BI830" s="88"/>
      <c r="BJ830" s="86"/>
      <c r="BK830" s="88"/>
      <c r="BL830" s="86"/>
      <c r="BM830" s="88"/>
      <c r="BN830" s="86"/>
      <c r="BO830" s="88"/>
      <c r="BP830" s="86"/>
      <c r="BQ830" s="88"/>
      <c r="BR830" s="86"/>
      <c r="BS830" s="87"/>
    </row>
    <row r="831" ht="22.5" customHeight="1">
      <c r="A831" s="154"/>
      <c r="B831" s="83"/>
      <c r="C831" s="151"/>
      <c r="D831" s="83"/>
      <c r="E831" s="151"/>
      <c r="F831" s="83"/>
      <c r="G831" s="85"/>
      <c r="H831" s="86"/>
      <c r="I831" s="87"/>
      <c r="J831" s="86"/>
      <c r="K831" s="88"/>
      <c r="L831" s="86"/>
      <c r="M831" s="88"/>
      <c r="N831" s="86"/>
      <c r="O831" s="88"/>
      <c r="P831" s="86"/>
      <c r="Q831" s="88"/>
      <c r="R831" s="86"/>
      <c r="S831" s="88"/>
      <c r="T831" s="86"/>
      <c r="U831" s="88"/>
      <c r="V831" s="86"/>
      <c r="W831" s="88"/>
      <c r="X831" s="86"/>
      <c r="Y831" s="88"/>
      <c r="Z831" s="86"/>
      <c r="AA831" s="88"/>
      <c r="AB831" s="86"/>
      <c r="AC831" s="88"/>
      <c r="AD831" s="86"/>
      <c r="AE831" s="88"/>
      <c r="AF831" s="86"/>
      <c r="AG831" s="88"/>
      <c r="AH831" s="86"/>
      <c r="AI831" s="88"/>
      <c r="AJ831" s="86"/>
      <c r="AK831" s="88"/>
      <c r="AL831" s="86"/>
      <c r="AM831" s="88"/>
      <c r="AN831" s="86"/>
      <c r="AO831" s="88"/>
      <c r="AP831" s="86"/>
      <c r="AQ831" s="88"/>
      <c r="AR831" s="86"/>
      <c r="AS831" s="88"/>
      <c r="AT831" s="86"/>
      <c r="AU831" s="88"/>
      <c r="AV831" s="86"/>
      <c r="AW831" s="88"/>
      <c r="AX831" s="86"/>
      <c r="AY831" s="88"/>
      <c r="AZ831" s="86"/>
      <c r="BA831" s="88"/>
      <c r="BB831" s="86"/>
      <c r="BC831" s="88"/>
      <c r="BD831" s="86"/>
      <c r="BE831" s="88"/>
      <c r="BF831" s="86"/>
      <c r="BG831" s="88"/>
      <c r="BH831" s="86"/>
      <c r="BI831" s="88"/>
      <c r="BJ831" s="86"/>
      <c r="BK831" s="88"/>
      <c r="BL831" s="86"/>
      <c r="BM831" s="88"/>
      <c r="BN831" s="86"/>
      <c r="BO831" s="88"/>
      <c r="BP831" s="86"/>
      <c r="BQ831" s="88"/>
      <c r="BR831" s="86"/>
      <c r="BS831" s="87"/>
    </row>
    <row r="832" ht="22.5" customHeight="1">
      <c r="A832" s="154"/>
      <c r="B832" s="83"/>
      <c r="C832" s="151"/>
      <c r="D832" s="83"/>
      <c r="E832" s="151"/>
      <c r="F832" s="83"/>
      <c r="G832" s="85"/>
      <c r="H832" s="86"/>
      <c r="I832" s="87"/>
      <c r="J832" s="86"/>
      <c r="K832" s="88"/>
      <c r="L832" s="86"/>
      <c r="M832" s="88"/>
      <c r="N832" s="86"/>
      <c r="O832" s="88"/>
      <c r="P832" s="86"/>
      <c r="Q832" s="88"/>
      <c r="R832" s="86"/>
      <c r="S832" s="88"/>
      <c r="T832" s="86"/>
      <c r="U832" s="88"/>
      <c r="V832" s="86"/>
      <c r="W832" s="88"/>
      <c r="X832" s="86"/>
      <c r="Y832" s="88"/>
      <c r="Z832" s="86"/>
      <c r="AA832" s="88"/>
      <c r="AB832" s="86"/>
      <c r="AC832" s="88"/>
      <c r="AD832" s="86"/>
      <c r="AE832" s="88"/>
      <c r="AF832" s="86"/>
      <c r="AG832" s="88"/>
      <c r="AH832" s="86"/>
      <c r="AI832" s="88"/>
      <c r="AJ832" s="86"/>
      <c r="AK832" s="88"/>
      <c r="AL832" s="86"/>
      <c r="AM832" s="88"/>
      <c r="AN832" s="86"/>
      <c r="AO832" s="88"/>
      <c r="AP832" s="86"/>
      <c r="AQ832" s="88"/>
      <c r="AR832" s="86"/>
      <c r="AS832" s="88"/>
      <c r="AT832" s="86"/>
      <c r="AU832" s="88"/>
      <c r="AV832" s="86"/>
      <c r="AW832" s="88"/>
      <c r="AX832" s="86"/>
      <c r="AY832" s="88"/>
      <c r="AZ832" s="86"/>
      <c r="BA832" s="88"/>
      <c r="BB832" s="86"/>
      <c r="BC832" s="88"/>
      <c r="BD832" s="86"/>
      <c r="BE832" s="88"/>
      <c r="BF832" s="86"/>
      <c r="BG832" s="88"/>
      <c r="BH832" s="86"/>
      <c r="BI832" s="88"/>
      <c r="BJ832" s="86"/>
      <c r="BK832" s="88"/>
      <c r="BL832" s="86"/>
      <c r="BM832" s="88"/>
      <c r="BN832" s="86"/>
      <c r="BO832" s="88"/>
      <c r="BP832" s="86"/>
      <c r="BQ832" s="88"/>
      <c r="BR832" s="86"/>
      <c r="BS832" s="87"/>
    </row>
    <row r="833" ht="22.5" customHeight="1">
      <c r="A833" s="154"/>
      <c r="B833" s="83"/>
      <c r="C833" s="151"/>
      <c r="D833" s="83"/>
      <c r="E833" s="151"/>
      <c r="F833" s="83"/>
      <c r="G833" s="85"/>
      <c r="H833" s="86"/>
      <c r="I833" s="87"/>
      <c r="J833" s="86"/>
      <c r="K833" s="88"/>
      <c r="L833" s="86"/>
      <c r="M833" s="88"/>
      <c r="N833" s="86"/>
      <c r="O833" s="88"/>
      <c r="P833" s="86"/>
      <c r="Q833" s="88"/>
      <c r="R833" s="86"/>
      <c r="S833" s="88"/>
      <c r="T833" s="86"/>
      <c r="U833" s="88"/>
      <c r="V833" s="86"/>
      <c r="W833" s="88"/>
      <c r="X833" s="86"/>
      <c r="Y833" s="88"/>
      <c r="Z833" s="86"/>
      <c r="AA833" s="88"/>
      <c r="AB833" s="86"/>
      <c r="AC833" s="88"/>
      <c r="AD833" s="86"/>
      <c r="AE833" s="88"/>
      <c r="AF833" s="86"/>
      <c r="AG833" s="88"/>
      <c r="AH833" s="86"/>
      <c r="AI833" s="88"/>
      <c r="AJ833" s="86"/>
      <c r="AK833" s="88"/>
      <c r="AL833" s="86"/>
      <c r="AM833" s="88"/>
      <c r="AN833" s="86"/>
      <c r="AO833" s="88"/>
      <c r="AP833" s="86"/>
      <c r="AQ833" s="88"/>
      <c r="AR833" s="86"/>
      <c r="AS833" s="88"/>
      <c r="AT833" s="86"/>
      <c r="AU833" s="88"/>
      <c r="AV833" s="86"/>
      <c r="AW833" s="88"/>
      <c r="AX833" s="86"/>
      <c r="AY833" s="88"/>
      <c r="AZ833" s="86"/>
      <c r="BA833" s="88"/>
      <c r="BB833" s="86"/>
      <c r="BC833" s="88"/>
      <c r="BD833" s="86"/>
      <c r="BE833" s="88"/>
      <c r="BF833" s="86"/>
      <c r="BG833" s="88"/>
      <c r="BH833" s="86"/>
      <c r="BI833" s="88"/>
      <c r="BJ833" s="86"/>
      <c r="BK833" s="88"/>
      <c r="BL833" s="86"/>
      <c r="BM833" s="88"/>
      <c r="BN833" s="86"/>
      <c r="BO833" s="88"/>
      <c r="BP833" s="86"/>
      <c r="BQ833" s="88"/>
      <c r="BR833" s="86"/>
      <c r="BS833" s="87"/>
    </row>
    <row r="834" ht="22.5" customHeight="1">
      <c r="A834" s="154"/>
      <c r="B834" s="83"/>
      <c r="C834" s="151"/>
      <c r="D834" s="83"/>
      <c r="E834" s="151"/>
      <c r="F834" s="83"/>
      <c r="G834" s="85"/>
      <c r="H834" s="86"/>
      <c r="I834" s="87"/>
      <c r="J834" s="86"/>
      <c r="K834" s="88"/>
      <c r="L834" s="86"/>
      <c r="M834" s="88"/>
      <c r="N834" s="86"/>
      <c r="O834" s="88"/>
      <c r="P834" s="86"/>
      <c r="Q834" s="88"/>
      <c r="R834" s="86"/>
      <c r="S834" s="88"/>
      <c r="T834" s="86"/>
      <c r="U834" s="88"/>
      <c r="V834" s="86"/>
      <c r="W834" s="88"/>
      <c r="X834" s="86"/>
      <c r="Y834" s="88"/>
      <c r="Z834" s="86"/>
      <c r="AA834" s="88"/>
      <c r="AB834" s="86"/>
      <c r="AC834" s="88"/>
      <c r="AD834" s="86"/>
      <c r="AE834" s="88"/>
      <c r="AF834" s="86"/>
      <c r="AG834" s="88"/>
      <c r="AH834" s="86"/>
      <c r="AI834" s="88"/>
      <c r="AJ834" s="86"/>
      <c r="AK834" s="88"/>
      <c r="AL834" s="86"/>
      <c r="AM834" s="88"/>
      <c r="AN834" s="86"/>
      <c r="AO834" s="88"/>
      <c r="AP834" s="86"/>
      <c r="AQ834" s="88"/>
      <c r="AR834" s="86"/>
      <c r="AS834" s="88"/>
      <c r="AT834" s="86"/>
      <c r="AU834" s="88"/>
      <c r="AV834" s="86"/>
      <c r="AW834" s="88"/>
      <c r="AX834" s="86"/>
      <c r="AY834" s="88"/>
      <c r="AZ834" s="86"/>
      <c r="BA834" s="88"/>
      <c r="BB834" s="86"/>
      <c r="BC834" s="88"/>
      <c r="BD834" s="86"/>
      <c r="BE834" s="88"/>
      <c r="BF834" s="86"/>
      <c r="BG834" s="88"/>
      <c r="BH834" s="86"/>
      <c r="BI834" s="88"/>
      <c r="BJ834" s="86"/>
      <c r="BK834" s="88"/>
      <c r="BL834" s="86"/>
      <c r="BM834" s="88"/>
      <c r="BN834" s="86"/>
      <c r="BO834" s="88"/>
      <c r="BP834" s="86"/>
      <c r="BQ834" s="88"/>
      <c r="BR834" s="86"/>
      <c r="BS834" s="87"/>
    </row>
    <row r="835" ht="22.5" customHeight="1">
      <c r="A835" s="154"/>
      <c r="B835" s="83"/>
      <c r="C835" s="151"/>
      <c r="D835" s="83"/>
      <c r="E835" s="151"/>
      <c r="F835" s="83"/>
      <c r="G835" s="85"/>
      <c r="H835" s="86"/>
      <c r="I835" s="87"/>
      <c r="J835" s="86"/>
      <c r="K835" s="88"/>
      <c r="L835" s="86"/>
      <c r="M835" s="88"/>
      <c r="N835" s="86"/>
      <c r="O835" s="88"/>
      <c r="P835" s="86"/>
      <c r="Q835" s="88"/>
      <c r="R835" s="86"/>
      <c r="S835" s="88"/>
      <c r="T835" s="86"/>
      <c r="U835" s="88"/>
      <c r="V835" s="86"/>
      <c r="W835" s="88"/>
      <c r="X835" s="86"/>
      <c r="Y835" s="88"/>
      <c r="Z835" s="86"/>
      <c r="AA835" s="88"/>
      <c r="AB835" s="86"/>
      <c r="AC835" s="88"/>
      <c r="AD835" s="86"/>
      <c r="AE835" s="88"/>
      <c r="AF835" s="86"/>
      <c r="AG835" s="88"/>
      <c r="AH835" s="86"/>
      <c r="AI835" s="88"/>
      <c r="AJ835" s="86"/>
      <c r="AK835" s="88"/>
      <c r="AL835" s="86"/>
      <c r="AM835" s="88"/>
      <c r="AN835" s="86"/>
      <c r="AO835" s="88"/>
      <c r="AP835" s="86"/>
      <c r="AQ835" s="88"/>
      <c r="AR835" s="86"/>
      <c r="AS835" s="88"/>
      <c r="AT835" s="86"/>
      <c r="AU835" s="88"/>
      <c r="AV835" s="86"/>
      <c r="AW835" s="88"/>
      <c r="AX835" s="86"/>
      <c r="AY835" s="88"/>
      <c r="AZ835" s="86"/>
      <c r="BA835" s="88"/>
      <c r="BB835" s="86"/>
      <c r="BC835" s="88"/>
      <c r="BD835" s="86"/>
      <c r="BE835" s="88"/>
      <c r="BF835" s="86"/>
      <c r="BG835" s="88"/>
      <c r="BH835" s="86"/>
      <c r="BI835" s="88"/>
      <c r="BJ835" s="86"/>
      <c r="BK835" s="88"/>
      <c r="BL835" s="86"/>
      <c r="BM835" s="88"/>
      <c r="BN835" s="86"/>
      <c r="BO835" s="88"/>
      <c r="BP835" s="86"/>
      <c r="BQ835" s="88"/>
      <c r="BR835" s="86"/>
      <c r="BS835" s="87"/>
    </row>
    <row r="836" ht="22.5" customHeight="1">
      <c r="A836" s="154"/>
      <c r="B836" s="83"/>
      <c r="C836" s="151"/>
      <c r="D836" s="83"/>
      <c r="E836" s="151"/>
      <c r="F836" s="83"/>
      <c r="G836" s="85"/>
      <c r="H836" s="86"/>
      <c r="I836" s="87"/>
      <c r="J836" s="86"/>
      <c r="K836" s="88"/>
      <c r="L836" s="86"/>
      <c r="M836" s="88"/>
      <c r="N836" s="86"/>
      <c r="O836" s="88"/>
      <c r="P836" s="86"/>
      <c r="Q836" s="88"/>
      <c r="R836" s="86"/>
      <c r="S836" s="88"/>
      <c r="T836" s="86"/>
      <c r="U836" s="88"/>
      <c r="V836" s="86"/>
      <c r="W836" s="88"/>
      <c r="X836" s="86"/>
      <c r="Y836" s="88"/>
      <c r="Z836" s="86"/>
      <c r="AA836" s="88"/>
      <c r="AB836" s="86"/>
      <c r="AC836" s="88"/>
      <c r="AD836" s="86"/>
      <c r="AE836" s="88"/>
      <c r="AF836" s="86"/>
      <c r="AG836" s="88"/>
      <c r="AH836" s="86"/>
      <c r="AI836" s="88"/>
      <c r="AJ836" s="86"/>
      <c r="AK836" s="88"/>
      <c r="AL836" s="86"/>
      <c r="AM836" s="88"/>
      <c r="AN836" s="86"/>
      <c r="AO836" s="88"/>
      <c r="AP836" s="86"/>
      <c r="AQ836" s="88"/>
      <c r="AR836" s="86"/>
      <c r="AS836" s="88"/>
      <c r="AT836" s="86"/>
      <c r="AU836" s="88"/>
      <c r="AV836" s="86"/>
      <c r="AW836" s="88"/>
      <c r="AX836" s="86"/>
      <c r="AY836" s="88"/>
      <c r="AZ836" s="86"/>
      <c r="BA836" s="88"/>
      <c r="BB836" s="86"/>
      <c r="BC836" s="88"/>
      <c r="BD836" s="86"/>
      <c r="BE836" s="88"/>
      <c r="BF836" s="86"/>
      <c r="BG836" s="88"/>
      <c r="BH836" s="86"/>
      <c r="BI836" s="88"/>
      <c r="BJ836" s="86"/>
      <c r="BK836" s="88"/>
      <c r="BL836" s="86"/>
      <c r="BM836" s="88"/>
      <c r="BN836" s="86"/>
      <c r="BO836" s="88"/>
      <c r="BP836" s="86"/>
      <c r="BQ836" s="88"/>
      <c r="BR836" s="86"/>
      <c r="BS836" s="87"/>
    </row>
    <row r="837" ht="22.5" customHeight="1">
      <c r="A837" s="154"/>
      <c r="B837" s="83"/>
      <c r="C837" s="151"/>
      <c r="D837" s="83"/>
      <c r="E837" s="151"/>
      <c r="F837" s="83"/>
      <c r="G837" s="85"/>
      <c r="H837" s="86"/>
      <c r="I837" s="87"/>
      <c r="J837" s="86"/>
      <c r="K837" s="88"/>
      <c r="L837" s="86"/>
      <c r="M837" s="88"/>
      <c r="N837" s="86"/>
      <c r="O837" s="88"/>
      <c r="P837" s="86"/>
      <c r="Q837" s="88"/>
      <c r="R837" s="86"/>
      <c r="S837" s="88"/>
      <c r="T837" s="86"/>
      <c r="U837" s="88"/>
      <c r="V837" s="86"/>
      <c r="W837" s="88"/>
      <c r="X837" s="86"/>
      <c r="Y837" s="88"/>
      <c r="Z837" s="86"/>
      <c r="AA837" s="88"/>
      <c r="AB837" s="86"/>
      <c r="AC837" s="88"/>
      <c r="AD837" s="86"/>
      <c r="AE837" s="88"/>
      <c r="AF837" s="86"/>
      <c r="AG837" s="88"/>
      <c r="AH837" s="86"/>
      <c r="AI837" s="88"/>
      <c r="AJ837" s="86"/>
      <c r="AK837" s="88"/>
      <c r="AL837" s="86"/>
      <c r="AM837" s="88"/>
      <c r="AN837" s="86"/>
      <c r="AO837" s="88"/>
      <c r="AP837" s="86"/>
      <c r="AQ837" s="88"/>
      <c r="AR837" s="86"/>
      <c r="AS837" s="88"/>
      <c r="AT837" s="86"/>
      <c r="AU837" s="88"/>
      <c r="AV837" s="86"/>
      <c r="AW837" s="88"/>
      <c r="AX837" s="86"/>
      <c r="AY837" s="88"/>
      <c r="AZ837" s="86"/>
      <c r="BA837" s="88"/>
      <c r="BB837" s="86"/>
      <c r="BC837" s="88"/>
      <c r="BD837" s="86"/>
      <c r="BE837" s="88"/>
      <c r="BF837" s="86"/>
      <c r="BG837" s="88"/>
      <c r="BH837" s="86"/>
      <c r="BI837" s="88"/>
      <c r="BJ837" s="86"/>
      <c r="BK837" s="88"/>
      <c r="BL837" s="86"/>
      <c r="BM837" s="88"/>
      <c r="BN837" s="86"/>
      <c r="BO837" s="88"/>
      <c r="BP837" s="86"/>
      <c r="BQ837" s="88"/>
      <c r="BR837" s="86"/>
      <c r="BS837" s="87"/>
    </row>
    <row r="838" ht="22.5" customHeight="1">
      <c r="A838" s="154"/>
      <c r="B838" s="83"/>
      <c r="C838" s="151"/>
      <c r="D838" s="83"/>
      <c r="E838" s="151"/>
      <c r="F838" s="83"/>
      <c r="G838" s="85"/>
      <c r="H838" s="86"/>
      <c r="I838" s="87"/>
      <c r="J838" s="86"/>
      <c r="K838" s="88"/>
      <c r="L838" s="86"/>
      <c r="M838" s="88"/>
      <c r="N838" s="86"/>
      <c r="O838" s="88"/>
      <c r="P838" s="86"/>
      <c r="Q838" s="88"/>
      <c r="R838" s="86"/>
      <c r="S838" s="88"/>
      <c r="T838" s="86"/>
      <c r="U838" s="88"/>
      <c r="V838" s="86"/>
      <c r="W838" s="88"/>
      <c r="X838" s="86"/>
      <c r="Y838" s="88"/>
      <c r="Z838" s="86"/>
      <c r="AA838" s="88"/>
      <c r="AB838" s="86"/>
      <c r="AC838" s="88"/>
      <c r="AD838" s="86"/>
      <c r="AE838" s="88"/>
      <c r="AF838" s="86"/>
      <c r="AG838" s="88"/>
      <c r="AH838" s="86"/>
      <c r="AI838" s="88"/>
      <c r="AJ838" s="86"/>
      <c r="AK838" s="88"/>
      <c r="AL838" s="86"/>
      <c r="AM838" s="88"/>
      <c r="AN838" s="86"/>
      <c r="AO838" s="88"/>
      <c r="AP838" s="86"/>
      <c r="AQ838" s="88"/>
      <c r="AR838" s="86"/>
      <c r="AS838" s="88"/>
      <c r="AT838" s="86"/>
      <c r="AU838" s="88"/>
      <c r="AV838" s="86"/>
      <c r="AW838" s="88"/>
      <c r="AX838" s="86"/>
      <c r="AY838" s="88"/>
      <c r="AZ838" s="86"/>
      <c r="BA838" s="88"/>
      <c r="BB838" s="86"/>
      <c r="BC838" s="88"/>
      <c r="BD838" s="86"/>
      <c r="BE838" s="88"/>
      <c r="BF838" s="86"/>
      <c r="BG838" s="88"/>
      <c r="BH838" s="86"/>
      <c r="BI838" s="88"/>
      <c r="BJ838" s="86"/>
      <c r="BK838" s="88"/>
      <c r="BL838" s="86"/>
      <c r="BM838" s="88"/>
      <c r="BN838" s="86"/>
      <c r="BO838" s="88"/>
      <c r="BP838" s="86"/>
      <c r="BQ838" s="88"/>
      <c r="BR838" s="86"/>
      <c r="BS838" s="87"/>
    </row>
    <row r="839" ht="22.5" customHeight="1">
      <c r="A839" s="154"/>
      <c r="B839" s="83"/>
      <c r="C839" s="151"/>
      <c r="D839" s="83"/>
      <c r="E839" s="151"/>
      <c r="F839" s="83"/>
      <c r="G839" s="85"/>
      <c r="H839" s="86"/>
      <c r="I839" s="87"/>
      <c r="J839" s="86"/>
      <c r="K839" s="88"/>
      <c r="L839" s="86"/>
      <c r="M839" s="88"/>
      <c r="N839" s="86"/>
      <c r="O839" s="88"/>
      <c r="P839" s="86"/>
      <c r="Q839" s="88"/>
      <c r="R839" s="86"/>
      <c r="S839" s="88"/>
      <c r="T839" s="86"/>
      <c r="U839" s="88"/>
      <c r="V839" s="86"/>
      <c r="W839" s="88"/>
      <c r="X839" s="86"/>
      <c r="Y839" s="88"/>
      <c r="Z839" s="86"/>
      <c r="AA839" s="88"/>
      <c r="AB839" s="86"/>
      <c r="AC839" s="88"/>
      <c r="AD839" s="86"/>
      <c r="AE839" s="88"/>
      <c r="AF839" s="86"/>
      <c r="AG839" s="88"/>
      <c r="AH839" s="86"/>
      <c r="AI839" s="88"/>
      <c r="AJ839" s="86"/>
      <c r="AK839" s="88"/>
      <c r="AL839" s="86"/>
      <c r="AM839" s="88"/>
      <c r="AN839" s="86"/>
      <c r="AO839" s="88"/>
      <c r="AP839" s="86"/>
      <c r="AQ839" s="88"/>
      <c r="AR839" s="86"/>
      <c r="AS839" s="88"/>
      <c r="AT839" s="86"/>
      <c r="AU839" s="88"/>
      <c r="AV839" s="86"/>
      <c r="AW839" s="88"/>
      <c r="AX839" s="86"/>
      <c r="AY839" s="88"/>
      <c r="AZ839" s="86"/>
      <c r="BA839" s="88"/>
      <c r="BB839" s="86"/>
      <c r="BC839" s="88"/>
      <c r="BD839" s="86"/>
      <c r="BE839" s="88"/>
      <c r="BF839" s="86"/>
      <c r="BG839" s="88"/>
      <c r="BH839" s="86"/>
      <c r="BI839" s="88"/>
      <c r="BJ839" s="86"/>
      <c r="BK839" s="88"/>
      <c r="BL839" s="86"/>
      <c r="BM839" s="88"/>
      <c r="BN839" s="86"/>
      <c r="BO839" s="88"/>
      <c r="BP839" s="86"/>
      <c r="BQ839" s="88"/>
      <c r="BR839" s="86"/>
      <c r="BS839" s="87"/>
    </row>
    <row r="840" ht="22.5" customHeight="1">
      <c r="A840" s="154"/>
      <c r="B840" s="83"/>
      <c r="C840" s="151"/>
      <c r="D840" s="83"/>
      <c r="E840" s="151"/>
      <c r="F840" s="83"/>
      <c r="G840" s="85"/>
      <c r="H840" s="86"/>
      <c r="I840" s="87"/>
      <c r="J840" s="86"/>
      <c r="K840" s="88"/>
      <c r="L840" s="86"/>
      <c r="M840" s="88"/>
      <c r="N840" s="86"/>
      <c r="O840" s="88"/>
      <c r="P840" s="86"/>
      <c r="Q840" s="88"/>
      <c r="R840" s="86"/>
      <c r="S840" s="88"/>
      <c r="T840" s="86"/>
      <c r="U840" s="88"/>
      <c r="V840" s="86"/>
      <c r="W840" s="88"/>
      <c r="X840" s="86"/>
      <c r="Y840" s="88"/>
      <c r="Z840" s="86"/>
      <c r="AA840" s="88"/>
      <c r="AB840" s="86"/>
      <c r="AC840" s="88"/>
      <c r="AD840" s="86"/>
      <c r="AE840" s="88"/>
      <c r="AF840" s="86"/>
      <c r="AG840" s="88"/>
      <c r="AH840" s="86"/>
      <c r="AI840" s="88"/>
      <c r="AJ840" s="86"/>
      <c r="AK840" s="88"/>
      <c r="AL840" s="86"/>
      <c r="AM840" s="88"/>
      <c r="AN840" s="86"/>
      <c r="AO840" s="88"/>
      <c r="AP840" s="86"/>
      <c r="AQ840" s="88"/>
      <c r="AR840" s="86"/>
      <c r="AS840" s="88"/>
      <c r="AT840" s="86"/>
      <c r="AU840" s="88"/>
      <c r="AV840" s="86"/>
      <c r="AW840" s="88"/>
      <c r="AX840" s="86"/>
      <c r="AY840" s="88"/>
      <c r="AZ840" s="86"/>
      <c r="BA840" s="88"/>
      <c r="BB840" s="86"/>
      <c r="BC840" s="88"/>
      <c r="BD840" s="86"/>
      <c r="BE840" s="88"/>
      <c r="BF840" s="86"/>
      <c r="BG840" s="88"/>
      <c r="BH840" s="86"/>
      <c r="BI840" s="88"/>
      <c r="BJ840" s="86"/>
      <c r="BK840" s="88"/>
      <c r="BL840" s="86"/>
      <c r="BM840" s="88"/>
      <c r="BN840" s="86"/>
      <c r="BO840" s="88"/>
      <c r="BP840" s="86"/>
      <c r="BQ840" s="88"/>
      <c r="BR840" s="86"/>
      <c r="BS840" s="87"/>
    </row>
    <row r="841" ht="22.5" customHeight="1">
      <c r="A841" s="154"/>
      <c r="B841" s="83"/>
      <c r="C841" s="151"/>
      <c r="D841" s="83"/>
      <c r="E841" s="151"/>
      <c r="F841" s="83"/>
      <c r="G841" s="85"/>
      <c r="H841" s="86"/>
      <c r="I841" s="87"/>
      <c r="J841" s="86"/>
      <c r="K841" s="88"/>
      <c r="L841" s="86"/>
      <c r="M841" s="88"/>
      <c r="N841" s="86"/>
      <c r="O841" s="88"/>
      <c r="P841" s="86"/>
      <c r="Q841" s="88"/>
      <c r="R841" s="86"/>
      <c r="S841" s="88"/>
      <c r="T841" s="86"/>
      <c r="U841" s="88"/>
      <c r="V841" s="86"/>
      <c r="W841" s="88"/>
      <c r="X841" s="86"/>
      <c r="Y841" s="88"/>
      <c r="Z841" s="86"/>
      <c r="AA841" s="88"/>
      <c r="AB841" s="86"/>
      <c r="AC841" s="88"/>
      <c r="AD841" s="86"/>
      <c r="AE841" s="88"/>
      <c r="AF841" s="86"/>
      <c r="AG841" s="88"/>
      <c r="AH841" s="86"/>
      <c r="AI841" s="88"/>
      <c r="AJ841" s="86"/>
      <c r="AK841" s="88"/>
      <c r="AL841" s="86"/>
      <c r="AM841" s="88"/>
      <c r="AN841" s="86"/>
      <c r="AO841" s="88"/>
      <c r="AP841" s="86"/>
      <c r="AQ841" s="88"/>
      <c r="AR841" s="86"/>
      <c r="AS841" s="88"/>
      <c r="AT841" s="86"/>
      <c r="AU841" s="88"/>
      <c r="AV841" s="86"/>
      <c r="AW841" s="88"/>
      <c r="AX841" s="86"/>
      <c r="AY841" s="88"/>
      <c r="AZ841" s="86"/>
      <c r="BA841" s="88"/>
      <c r="BB841" s="86"/>
      <c r="BC841" s="88"/>
      <c r="BD841" s="86"/>
      <c r="BE841" s="88"/>
      <c r="BF841" s="86"/>
      <c r="BG841" s="88"/>
      <c r="BH841" s="86"/>
      <c r="BI841" s="88"/>
      <c r="BJ841" s="86"/>
      <c r="BK841" s="88"/>
      <c r="BL841" s="86"/>
      <c r="BM841" s="88"/>
      <c r="BN841" s="86"/>
      <c r="BO841" s="88"/>
      <c r="BP841" s="86"/>
      <c r="BQ841" s="88"/>
      <c r="BR841" s="86"/>
      <c r="BS841" s="87"/>
    </row>
    <row r="842" ht="22.5" customHeight="1">
      <c r="A842" s="154"/>
      <c r="B842" s="83"/>
      <c r="C842" s="151"/>
      <c r="D842" s="83"/>
      <c r="E842" s="151"/>
      <c r="F842" s="83"/>
      <c r="G842" s="85"/>
      <c r="H842" s="86"/>
      <c r="I842" s="87"/>
      <c r="J842" s="86"/>
      <c r="K842" s="88"/>
      <c r="L842" s="86"/>
      <c r="M842" s="88"/>
      <c r="N842" s="86"/>
      <c r="O842" s="88"/>
      <c r="P842" s="86"/>
      <c r="Q842" s="88"/>
      <c r="R842" s="86"/>
      <c r="S842" s="88"/>
      <c r="T842" s="86"/>
      <c r="U842" s="88"/>
      <c r="V842" s="86"/>
      <c r="W842" s="88"/>
      <c r="X842" s="86"/>
      <c r="Y842" s="88"/>
      <c r="Z842" s="86"/>
      <c r="AA842" s="88"/>
      <c r="AB842" s="86"/>
      <c r="AC842" s="88"/>
      <c r="AD842" s="86"/>
      <c r="AE842" s="88"/>
      <c r="AF842" s="86"/>
      <c r="AG842" s="88"/>
      <c r="AH842" s="86"/>
      <c r="AI842" s="88"/>
      <c r="AJ842" s="86"/>
      <c r="AK842" s="88"/>
      <c r="AL842" s="86"/>
      <c r="AM842" s="88"/>
      <c r="AN842" s="86"/>
      <c r="AO842" s="88"/>
      <c r="AP842" s="86"/>
      <c r="AQ842" s="88"/>
      <c r="AR842" s="86"/>
      <c r="AS842" s="88"/>
      <c r="AT842" s="86"/>
      <c r="AU842" s="88"/>
      <c r="AV842" s="86"/>
      <c r="AW842" s="88"/>
      <c r="AX842" s="86"/>
      <c r="AY842" s="88"/>
      <c r="AZ842" s="86"/>
      <c r="BA842" s="88"/>
      <c r="BB842" s="86"/>
      <c r="BC842" s="88"/>
      <c r="BD842" s="86"/>
      <c r="BE842" s="88"/>
      <c r="BF842" s="86"/>
      <c r="BG842" s="88"/>
      <c r="BH842" s="86"/>
      <c r="BI842" s="88"/>
      <c r="BJ842" s="86"/>
      <c r="BK842" s="88"/>
      <c r="BL842" s="86"/>
      <c r="BM842" s="88"/>
      <c r="BN842" s="86"/>
      <c r="BO842" s="88"/>
      <c r="BP842" s="86"/>
      <c r="BQ842" s="88"/>
      <c r="BR842" s="86"/>
      <c r="BS842" s="87"/>
    </row>
    <row r="843" ht="22.5" customHeight="1">
      <c r="A843" s="154"/>
      <c r="B843" s="83"/>
      <c r="C843" s="151"/>
      <c r="D843" s="83"/>
      <c r="E843" s="151"/>
      <c r="F843" s="83"/>
      <c r="G843" s="85"/>
      <c r="H843" s="86"/>
      <c r="I843" s="87"/>
      <c r="J843" s="86"/>
      <c r="K843" s="88"/>
      <c r="L843" s="86"/>
      <c r="M843" s="88"/>
      <c r="N843" s="86"/>
      <c r="O843" s="88"/>
      <c r="P843" s="86"/>
      <c r="Q843" s="88"/>
      <c r="R843" s="86"/>
      <c r="S843" s="88"/>
      <c r="T843" s="86"/>
      <c r="U843" s="88"/>
      <c r="V843" s="86"/>
      <c r="W843" s="88"/>
      <c r="X843" s="86"/>
      <c r="Y843" s="88"/>
      <c r="Z843" s="86"/>
      <c r="AA843" s="88"/>
      <c r="AB843" s="86"/>
      <c r="AC843" s="88"/>
      <c r="AD843" s="86"/>
      <c r="AE843" s="88"/>
      <c r="AF843" s="86"/>
      <c r="AG843" s="88"/>
      <c r="AH843" s="86"/>
      <c r="AI843" s="88"/>
      <c r="AJ843" s="86"/>
      <c r="AK843" s="88"/>
      <c r="AL843" s="86"/>
      <c r="AM843" s="88"/>
      <c r="AN843" s="86"/>
      <c r="AO843" s="88"/>
      <c r="AP843" s="86"/>
      <c r="AQ843" s="88"/>
      <c r="AR843" s="86"/>
      <c r="AS843" s="88"/>
      <c r="AT843" s="86"/>
      <c r="AU843" s="88"/>
      <c r="AV843" s="86"/>
      <c r="AW843" s="88"/>
      <c r="AX843" s="86"/>
      <c r="AY843" s="88"/>
      <c r="AZ843" s="86"/>
      <c r="BA843" s="88"/>
      <c r="BB843" s="86"/>
      <c r="BC843" s="88"/>
      <c r="BD843" s="86"/>
      <c r="BE843" s="88"/>
      <c r="BF843" s="86"/>
      <c r="BG843" s="88"/>
      <c r="BH843" s="86"/>
      <c r="BI843" s="88"/>
      <c r="BJ843" s="86"/>
      <c r="BK843" s="88"/>
      <c r="BL843" s="86"/>
      <c r="BM843" s="88"/>
      <c r="BN843" s="86"/>
      <c r="BO843" s="88"/>
      <c r="BP843" s="86"/>
      <c r="BQ843" s="88"/>
      <c r="BR843" s="86"/>
      <c r="BS843" s="87"/>
    </row>
    <row r="844" ht="22.5" customHeight="1">
      <c r="A844" s="154"/>
      <c r="B844" s="83"/>
      <c r="C844" s="151"/>
      <c r="D844" s="83"/>
      <c r="E844" s="151"/>
      <c r="F844" s="83"/>
      <c r="G844" s="85"/>
      <c r="H844" s="86"/>
      <c r="I844" s="87"/>
      <c r="J844" s="86"/>
      <c r="K844" s="88"/>
      <c r="L844" s="86"/>
      <c r="M844" s="88"/>
      <c r="N844" s="86"/>
      <c r="O844" s="88"/>
      <c r="P844" s="86"/>
      <c r="Q844" s="88"/>
      <c r="R844" s="86"/>
      <c r="S844" s="88"/>
      <c r="T844" s="86"/>
      <c r="U844" s="88"/>
      <c r="V844" s="86"/>
      <c r="W844" s="88"/>
      <c r="X844" s="86"/>
      <c r="Y844" s="88"/>
      <c r="Z844" s="86"/>
      <c r="AA844" s="88"/>
      <c r="AB844" s="86"/>
      <c r="AC844" s="88"/>
      <c r="AD844" s="86"/>
      <c r="AE844" s="88"/>
      <c r="AF844" s="86"/>
      <c r="AG844" s="88"/>
      <c r="AH844" s="86"/>
      <c r="AI844" s="88"/>
      <c r="AJ844" s="86"/>
      <c r="AK844" s="88"/>
      <c r="AL844" s="86"/>
      <c r="AM844" s="88"/>
      <c r="AN844" s="86"/>
      <c r="AO844" s="88"/>
      <c r="AP844" s="86"/>
      <c r="AQ844" s="88"/>
      <c r="AR844" s="86"/>
      <c r="AS844" s="88"/>
      <c r="AT844" s="86"/>
      <c r="AU844" s="88"/>
      <c r="AV844" s="86"/>
      <c r="AW844" s="88"/>
      <c r="AX844" s="86"/>
      <c r="AY844" s="88"/>
      <c r="AZ844" s="86"/>
      <c r="BA844" s="88"/>
      <c r="BB844" s="86"/>
      <c r="BC844" s="88"/>
      <c r="BD844" s="86"/>
      <c r="BE844" s="88"/>
      <c r="BF844" s="86"/>
      <c r="BG844" s="88"/>
      <c r="BH844" s="86"/>
      <c r="BI844" s="88"/>
      <c r="BJ844" s="86"/>
      <c r="BK844" s="88"/>
      <c r="BL844" s="86"/>
      <c r="BM844" s="88"/>
      <c r="BN844" s="86"/>
      <c r="BO844" s="88"/>
      <c r="BP844" s="86"/>
      <c r="BQ844" s="88"/>
      <c r="BR844" s="86"/>
      <c r="BS844" s="87"/>
    </row>
    <row r="845" ht="22.5" customHeight="1">
      <c r="A845" s="154"/>
      <c r="B845" s="83"/>
      <c r="C845" s="151"/>
      <c r="D845" s="83"/>
      <c r="E845" s="151"/>
      <c r="F845" s="83"/>
      <c r="G845" s="85"/>
      <c r="H845" s="86"/>
      <c r="I845" s="87"/>
      <c r="J845" s="86"/>
      <c r="K845" s="88"/>
      <c r="L845" s="86"/>
      <c r="M845" s="88"/>
      <c r="N845" s="86"/>
      <c r="O845" s="88"/>
      <c r="P845" s="86"/>
      <c r="Q845" s="88"/>
      <c r="R845" s="86"/>
      <c r="S845" s="88"/>
      <c r="T845" s="86"/>
      <c r="U845" s="88"/>
      <c r="V845" s="86"/>
      <c r="W845" s="88"/>
      <c r="X845" s="86"/>
      <c r="Y845" s="88"/>
      <c r="Z845" s="86"/>
      <c r="AA845" s="88"/>
      <c r="AB845" s="86"/>
      <c r="AC845" s="88"/>
      <c r="AD845" s="86"/>
      <c r="AE845" s="88"/>
      <c r="AF845" s="86"/>
      <c r="AG845" s="88"/>
      <c r="AH845" s="86"/>
      <c r="AI845" s="88"/>
      <c r="AJ845" s="86"/>
      <c r="AK845" s="88"/>
      <c r="AL845" s="86"/>
      <c r="AM845" s="88"/>
      <c r="AN845" s="86"/>
      <c r="AO845" s="88"/>
      <c r="AP845" s="86"/>
      <c r="AQ845" s="88"/>
      <c r="AR845" s="86"/>
      <c r="AS845" s="88"/>
      <c r="AT845" s="86"/>
      <c r="AU845" s="88"/>
      <c r="AV845" s="86"/>
      <c r="AW845" s="88"/>
      <c r="AX845" s="86"/>
      <c r="AY845" s="88"/>
      <c r="AZ845" s="86"/>
      <c r="BA845" s="88"/>
      <c r="BB845" s="86"/>
      <c r="BC845" s="88"/>
      <c r="BD845" s="86"/>
      <c r="BE845" s="88"/>
      <c r="BF845" s="86"/>
      <c r="BG845" s="88"/>
      <c r="BH845" s="86"/>
      <c r="BI845" s="88"/>
      <c r="BJ845" s="86"/>
      <c r="BK845" s="88"/>
      <c r="BL845" s="86"/>
      <c r="BM845" s="88"/>
      <c r="BN845" s="86"/>
      <c r="BO845" s="88"/>
      <c r="BP845" s="86"/>
      <c r="BQ845" s="88"/>
      <c r="BR845" s="86"/>
      <c r="BS845" s="87"/>
    </row>
    <row r="846" ht="22.5" customHeight="1">
      <c r="A846" s="154"/>
      <c r="B846" s="83"/>
      <c r="C846" s="151"/>
      <c r="D846" s="83"/>
      <c r="E846" s="151"/>
      <c r="F846" s="83"/>
      <c r="G846" s="85"/>
      <c r="H846" s="86"/>
      <c r="I846" s="87"/>
      <c r="J846" s="86"/>
      <c r="K846" s="88"/>
      <c r="L846" s="86"/>
      <c r="M846" s="88"/>
      <c r="N846" s="86"/>
      <c r="O846" s="88"/>
      <c r="P846" s="86"/>
      <c r="Q846" s="88"/>
      <c r="R846" s="86"/>
      <c r="S846" s="88"/>
      <c r="T846" s="86"/>
      <c r="U846" s="88"/>
      <c r="V846" s="86"/>
      <c r="W846" s="88"/>
      <c r="X846" s="86"/>
      <c r="Y846" s="88"/>
      <c r="Z846" s="86"/>
      <c r="AA846" s="88"/>
      <c r="AB846" s="86"/>
      <c r="AC846" s="88"/>
      <c r="AD846" s="86"/>
      <c r="AE846" s="88"/>
      <c r="AF846" s="86"/>
      <c r="AG846" s="88"/>
      <c r="AH846" s="86"/>
      <c r="AI846" s="88"/>
      <c r="AJ846" s="86"/>
      <c r="AK846" s="88"/>
      <c r="AL846" s="86"/>
      <c r="AM846" s="88"/>
      <c r="AN846" s="86"/>
      <c r="AO846" s="88"/>
      <c r="AP846" s="86"/>
      <c r="AQ846" s="88"/>
      <c r="AR846" s="86"/>
      <c r="AS846" s="88"/>
      <c r="AT846" s="86"/>
      <c r="AU846" s="88"/>
      <c r="AV846" s="86"/>
      <c r="AW846" s="88"/>
      <c r="AX846" s="86"/>
      <c r="AY846" s="88"/>
      <c r="AZ846" s="86"/>
      <c r="BA846" s="88"/>
      <c r="BB846" s="86"/>
      <c r="BC846" s="88"/>
      <c r="BD846" s="86"/>
      <c r="BE846" s="88"/>
      <c r="BF846" s="86"/>
      <c r="BG846" s="88"/>
      <c r="BH846" s="86"/>
      <c r="BI846" s="88"/>
      <c r="BJ846" s="86"/>
      <c r="BK846" s="88"/>
      <c r="BL846" s="86"/>
      <c r="BM846" s="88"/>
      <c r="BN846" s="86"/>
      <c r="BO846" s="88"/>
      <c r="BP846" s="86"/>
      <c r="BQ846" s="88"/>
      <c r="BR846" s="86"/>
      <c r="BS846" s="87"/>
    </row>
    <row r="847" ht="22.5" customHeight="1">
      <c r="A847" s="154"/>
      <c r="B847" s="83"/>
      <c r="C847" s="151"/>
      <c r="D847" s="83"/>
      <c r="E847" s="151"/>
      <c r="F847" s="83"/>
      <c r="G847" s="85"/>
      <c r="H847" s="86"/>
      <c r="I847" s="87"/>
      <c r="J847" s="86"/>
      <c r="K847" s="88"/>
      <c r="L847" s="86"/>
      <c r="M847" s="88"/>
      <c r="N847" s="86"/>
      <c r="O847" s="88"/>
      <c r="P847" s="86"/>
      <c r="Q847" s="88"/>
      <c r="R847" s="86"/>
      <c r="S847" s="88"/>
      <c r="T847" s="86"/>
      <c r="U847" s="88"/>
      <c r="V847" s="86"/>
      <c r="W847" s="88"/>
      <c r="X847" s="86"/>
      <c r="Y847" s="88"/>
      <c r="Z847" s="86"/>
      <c r="AA847" s="88"/>
      <c r="AB847" s="86"/>
      <c r="AC847" s="88"/>
      <c r="AD847" s="86"/>
      <c r="AE847" s="88"/>
      <c r="AF847" s="86"/>
      <c r="AG847" s="88"/>
      <c r="AH847" s="86"/>
      <c r="AI847" s="88"/>
      <c r="AJ847" s="86"/>
      <c r="AK847" s="88"/>
      <c r="AL847" s="86"/>
      <c r="AM847" s="88"/>
      <c r="AN847" s="86"/>
      <c r="AO847" s="88"/>
      <c r="AP847" s="86"/>
      <c r="AQ847" s="88"/>
      <c r="AR847" s="86"/>
      <c r="AS847" s="88"/>
      <c r="AT847" s="86"/>
      <c r="AU847" s="88"/>
      <c r="AV847" s="86"/>
      <c r="AW847" s="88"/>
      <c r="AX847" s="86"/>
      <c r="AY847" s="88"/>
      <c r="AZ847" s="86"/>
      <c r="BA847" s="88"/>
      <c r="BB847" s="86"/>
      <c r="BC847" s="88"/>
      <c r="BD847" s="86"/>
      <c r="BE847" s="88"/>
      <c r="BF847" s="86"/>
      <c r="BG847" s="88"/>
      <c r="BH847" s="86"/>
      <c r="BI847" s="88"/>
      <c r="BJ847" s="86"/>
      <c r="BK847" s="88"/>
      <c r="BL847" s="86"/>
      <c r="BM847" s="88"/>
      <c r="BN847" s="86"/>
      <c r="BO847" s="88"/>
      <c r="BP847" s="86"/>
      <c r="BQ847" s="88"/>
      <c r="BR847" s="86"/>
      <c r="BS847" s="87"/>
    </row>
    <row r="848" ht="22.5" customHeight="1">
      <c r="A848" s="154"/>
      <c r="B848" s="83"/>
      <c r="C848" s="151"/>
      <c r="D848" s="83"/>
      <c r="E848" s="151"/>
      <c r="F848" s="83"/>
      <c r="G848" s="85"/>
      <c r="H848" s="86"/>
      <c r="I848" s="87"/>
      <c r="J848" s="86"/>
      <c r="K848" s="88"/>
      <c r="L848" s="86"/>
      <c r="M848" s="88"/>
      <c r="N848" s="86"/>
      <c r="O848" s="88"/>
      <c r="P848" s="86"/>
      <c r="Q848" s="88"/>
      <c r="R848" s="86"/>
      <c r="S848" s="88"/>
      <c r="T848" s="86"/>
      <c r="U848" s="88"/>
      <c r="V848" s="86"/>
      <c r="W848" s="88"/>
      <c r="X848" s="86"/>
      <c r="Y848" s="88"/>
      <c r="Z848" s="86"/>
      <c r="AA848" s="88"/>
      <c r="AB848" s="86"/>
      <c r="AC848" s="88"/>
      <c r="AD848" s="86"/>
      <c r="AE848" s="88"/>
      <c r="AF848" s="86"/>
      <c r="AG848" s="88"/>
      <c r="AH848" s="86"/>
      <c r="AI848" s="88"/>
      <c r="AJ848" s="86"/>
      <c r="AK848" s="88"/>
      <c r="AL848" s="86"/>
      <c r="AM848" s="88"/>
      <c r="AN848" s="86"/>
      <c r="AO848" s="88"/>
      <c r="AP848" s="86"/>
      <c r="AQ848" s="88"/>
      <c r="AR848" s="86"/>
      <c r="AS848" s="88"/>
      <c r="AT848" s="86"/>
      <c r="AU848" s="88"/>
      <c r="AV848" s="86"/>
      <c r="AW848" s="88"/>
      <c r="AX848" s="86"/>
      <c r="AY848" s="88"/>
      <c r="AZ848" s="86"/>
      <c r="BA848" s="88"/>
      <c r="BB848" s="86"/>
      <c r="BC848" s="88"/>
      <c r="BD848" s="86"/>
      <c r="BE848" s="88"/>
      <c r="BF848" s="86"/>
      <c r="BG848" s="88"/>
      <c r="BH848" s="86"/>
      <c r="BI848" s="88"/>
      <c r="BJ848" s="86"/>
      <c r="BK848" s="88"/>
      <c r="BL848" s="86"/>
      <c r="BM848" s="88"/>
      <c r="BN848" s="86"/>
      <c r="BO848" s="88"/>
      <c r="BP848" s="86"/>
      <c r="BQ848" s="88"/>
      <c r="BR848" s="86"/>
      <c r="BS848" s="87"/>
    </row>
    <row r="849" ht="22.5" customHeight="1">
      <c r="A849" s="154"/>
      <c r="B849" s="83"/>
      <c r="C849" s="151"/>
      <c r="D849" s="83"/>
      <c r="E849" s="151"/>
      <c r="F849" s="83"/>
      <c r="G849" s="85"/>
      <c r="H849" s="86"/>
      <c r="I849" s="87"/>
      <c r="J849" s="86"/>
      <c r="K849" s="88"/>
      <c r="L849" s="86"/>
      <c r="M849" s="88"/>
      <c r="N849" s="86"/>
      <c r="O849" s="88"/>
      <c r="P849" s="86"/>
      <c r="Q849" s="88"/>
      <c r="R849" s="86"/>
      <c r="S849" s="88"/>
      <c r="T849" s="86"/>
      <c r="U849" s="88"/>
      <c r="V849" s="86"/>
      <c r="W849" s="88"/>
      <c r="X849" s="86"/>
      <c r="Y849" s="88"/>
      <c r="Z849" s="86"/>
      <c r="AA849" s="88"/>
      <c r="AB849" s="86"/>
      <c r="AC849" s="88"/>
      <c r="AD849" s="86"/>
      <c r="AE849" s="88"/>
      <c r="AF849" s="86"/>
      <c r="AG849" s="88"/>
      <c r="AH849" s="86"/>
      <c r="AI849" s="88"/>
      <c r="AJ849" s="86"/>
      <c r="AK849" s="88"/>
      <c r="AL849" s="86"/>
      <c r="AM849" s="88"/>
      <c r="AN849" s="86"/>
      <c r="AO849" s="88"/>
      <c r="AP849" s="86"/>
      <c r="AQ849" s="88"/>
      <c r="AR849" s="86"/>
      <c r="AS849" s="88"/>
      <c r="AT849" s="86"/>
      <c r="AU849" s="88"/>
      <c r="AV849" s="86"/>
      <c r="AW849" s="88"/>
      <c r="AX849" s="86"/>
      <c r="AY849" s="88"/>
      <c r="AZ849" s="86"/>
      <c r="BA849" s="88"/>
      <c r="BB849" s="86"/>
      <c r="BC849" s="88"/>
      <c r="BD849" s="86"/>
      <c r="BE849" s="88"/>
      <c r="BF849" s="86"/>
      <c r="BG849" s="88"/>
      <c r="BH849" s="86"/>
      <c r="BI849" s="88"/>
      <c r="BJ849" s="86"/>
      <c r="BK849" s="88"/>
      <c r="BL849" s="86"/>
      <c r="BM849" s="88"/>
      <c r="BN849" s="86"/>
      <c r="BO849" s="88"/>
      <c r="BP849" s="86"/>
      <c r="BQ849" s="88"/>
      <c r="BR849" s="86"/>
      <c r="BS849" s="87"/>
    </row>
    <row r="850" ht="22.5" customHeight="1">
      <c r="A850" s="154"/>
      <c r="B850" s="83"/>
      <c r="C850" s="151"/>
      <c r="D850" s="83"/>
      <c r="E850" s="151"/>
      <c r="F850" s="83"/>
      <c r="G850" s="85"/>
      <c r="H850" s="86"/>
      <c r="I850" s="87"/>
      <c r="J850" s="86"/>
      <c r="K850" s="88"/>
      <c r="L850" s="86"/>
      <c r="M850" s="88"/>
      <c r="N850" s="86"/>
      <c r="O850" s="88"/>
      <c r="P850" s="86"/>
      <c r="Q850" s="88"/>
      <c r="R850" s="86"/>
      <c r="S850" s="88"/>
      <c r="T850" s="86"/>
      <c r="U850" s="88"/>
      <c r="V850" s="86"/>
      <c r="W850" s="88"/>
      <c r="X850" s="86"/>
      <c r="Y850" s="88"/>
      <c r="Z850" s="86"/>
      <c r="AA850" s="88"/>
      <c r="AB850" s="86"/>
      <c r="AC850" s="88"/>
      <c r="AD850" s="86"/>
      <c r="AE850" s="88"/>
      <c r="AF850" s="86"/>
      <c r="AG850" s="88"/>
      <c r="AH850" s="86"/>
      <c r="AI850" s="88"/>
      <c r="AJ850" s="86"/>
      <c r="AK850" s="88"/>
      <c r="AL850" s="86"/>
      <c r="AM850" s="88"/>
      <c r="AN850" s="86"/>
      <c r="AO850" s="88"/>
      <c r="AP850" s="86"/>
      <c r="AQ850" s="88"/>
      <c r="AR850" s="86"/>
      <c r="AS850" s="88"/>
      <c r="AT850" s="86"/>
      <c r="AU850" s="88"/>
      <c r="AV850" s="86"/>
      <c r="AW850" s="88"/>
      <c r="AX850" s="86"/>
      <c r="AY850" s="88"/>
      <c r="AZ850" s="86"/>
      <c r="BA850" s="88"/>
      <c r="BB850" s="86"/>
      <c r="BC850" s="88"/>
      <c r="BD850" s="86"/>
      <c r="BE850" s="88"/>
      <c r="BF850" s="86"/>
      <c r="BG850" s="88"/>
      <c r="BH850" s="86"/>
      <c r="BI850" s="88"/>
      <c r="BJ850" s="86"/>
      <c r="BK850" s="88"/>
      <c r="BL850" s="86"/>
      <c r="BM850" s="88"/>
      <c r="BN850" s="86"/>
      <c r="BO850" s="88"/>
      <c r="BP850" s="86"/>
      <c r="BQ850" s="88"/>
      <c r="BR850" s="86"/>
      <c r="BS850" s="87"/>
    </row>
    <row r="851" ht="22.5" customHeight="1">
      <c r="A851" s="154"/>
      <c r="B851" s="83"/>
      <c r="C851" s="151"/>
      <c r="D851" s="83"/>
      <c r="E851" s="151"/>
      <c r="F851" s="83"/>
      <c r="G851" s="85"/>
      <c r="H851" s="86"/>
      <c r="I851" s="87"/>
      <c r="J851" s="86"/>
      <c r="K851" s="88"/>
      <c r="L851" s="86"/>
      <c r="M851" s="88"/>
      <c r="N851" s="86"/>
      <c r="O851" s="88"/>
      <c r="P851" s="86"/>
      <c r="Q851" s="88"/>
      <c r="R851" s="86"/>
      <c r="S851" s="88"/>
      <c r="T851" s="86"/>
      <c r="U851" s="88"/>
      <c r="V851" s="86"/>
      <c r="W851" s="88"/>
      <c r="X851" s="86"/>
      <c r="Y851" s="88"/>
      <c r="Z851" s="86"/>
      <c r="AA851" s="88"/>
      <c r="AB851" s="86"/>
      <c r="AC851" s="88"/>
      <c r="AD851" s="86"/>
      <c r="AE851" s="88"/>
      <c r="AF851" s="86"/>
      <c r="AG851" s="88"/>
      <c r="AH851" s="86"/>
      <c r="AI851" s="88"/>
      <c r="AJ851" s="86"/>
      <c r="AK851" s="88"/>
      <c r="AL851" s="86"/>
      <c r="AM851" s="88"/>
      <c r="AN851" s="86"/>
      <c r="AO851" s="88"/>
      <c r="AP851" s="86"/>
      <c r="AQ851" s="88"/>
      <c r="AR851" s="86"/>
      <c r="AS851" s="88"/>
      <c r="AT851" s="86"/>
      <c r="AU851" s="88"/>
      <c r="AV851" s="86"/>
      <c r="AW851" s="88"/>
      <c r="AX851" s="86"/>
      <c r="AY851" s="88"/>
      <c r="AZ851" s="86"/>
      <c r="BA851" s="88"/>
      <c r="BB851" s="86"/>
      <c r="BC851" s="88"/>
      <c r="BD851" s="86"/>
      <c r="BE851" s="88"/>
      <c r="BF851" s="86"/>
      <c r="BG851" s="88"/>
      <c r="BH851" s="86"/>
      <c r="BI851" s="88"/>
      <c r="BJ851" s="86"/>
      <c r="BK851" s="88"/>
      <c r="BL851" s="86"/>
      <c r="BM851" s="88"/>
      <c r="BN851" s="86"/>
      <c r="BO851" s="88"/>
      <c r="BP851" s="86"/>
      <c r="BQ851" s="88"/>
      <c r="BR851" s="86"/>
      <c r="BS851" s="87"/>
    </row>
    <row r="852" ht="22.5" customHeight="1">
      <c r="A852" s="154"/>
      <c r="B852" s="83"/>
      <c r="C852" s="151"/>
      <c r="D852" s="83"/>
      <c r="E852" s="151"/>
      <c r="F852" s="83"/>
      <c r="G852" s="85"/>
      <c r="H852" s="86"/>
      <c r="I852" s="87"/>
      <c r="J852" s="86"/>
      <c r="K852" s="88"/>
      <c r="L852" s="86"/>
      <c r="M852" s="88"/>
      <c r="N852" s="86"/>
      <c r="O852" s="88"/>
      <c r="P852" s="86"/>
      <c r="Q852" s="88"/>
      <c r="R852" s="86"/>
      <c r="S852" s="88"/>
      <c r="T852" s="86"/>
      <c r="U852" s="88"/>
      <c r="V852" s="86"/>
      <c r="W852" s="88"/>
      <c r="X852" s="86"/>
      <c r="Y852" s="88"/>
      <c r="Z852" s="86"/>
      <c r="AA852" s="88"/>
      <c r="AB852" s="86"/>
      <c r="AC852" s="88"/>
      <c r="AD852" s="86"/>
      <c r="AE852" s="88"/>
      <c r="AF852" s="86"/>
      <c r="AG852" s="88"/>
      <c r="AH852" s="86"/>
      <c r="AI852" s="88"/>
      <c r="AJ852" s="86"/>
      <c r="AK852" s="88"/>
      <c r="AL852" s="86"/>
      <c r="AM852" s="88"/>
      <c r="AN852" s="86"/>
      <c r="AO852" s="88"/>
      <c r="AP852" s="86"/>
      <c r="AQ852" s="88"/>
      <c r="AR852" s="86"/>
      <c r="AS852" s="88"/>
      <c r="AT852" s="86"/>
      <c r="AU852" s="88"/>
      <c r="AV852" s="86"/>
      <c r="AW852" s="88"/>
      <c r="AX852" s="86"/>
      <c r="AY852" s="88"/>
      <c r="AZ852" s="86"/>
      <c r="BA852" s="88"/>
      <c r="BB852" s="86"/>
      <c r="BC852" s="88"/>
      <c r="BD852" s="86"/>
      <c r="BE852" s="88"/>
      <c r="BF852" s="86"/>
      <c r="BG852" s="88"/>
      <c r="BH852" s="86"/>
      <c r="BI852" s="88"/>
      <c r="BJ852" s="86"/>
      <c r="BK852" s="88"/>
      <c r="BL852" s="86"/>
      <c r="BM852" s="88"/>
      <c r="BN852" s="86"/>
      <c r="BO852" s="88"/>
      <c r="BP852" s="86"/>
      <c r="BQ852" s="88"/>
      <c r="BR852" s="86"/>
      <c r="BS852" s="87"/>
    </row>
    <row r="853" ht="22.5" customHeight="1">
      <c r="A853" s="154"/>
      <c r="B853" s="83"/>
      <c r="C853" s="151"/>
      <c r="D853" s="83"/>
      <c r="E853" s="151"/>
      <c r="F853" s="83"/>
      <c r="G853" s="85"/>
      <c r="H853" s="86"/>
      <c r="I853" s="87"/>
      <c r="J853" s="86"/>
      <c r="K853" s="88"/>
      <c r="L853" s="86"/>
      <c r="M853" s="88"/>
      <c r="N853" s="86"/>
      <c r="O853" s="88"/>
      <c r="P853" s="86"/>
      <c r="Q853" s="88"/>
      <c r="R853" s="86"/>
      <c r="S853" s="88"/>
      <c r="T853" s="86"/>
      <c r="U853" s="88"/>
      <c r="V853" s="86"/>
      <c r="W853" s="88"/>
      <c r="X853" s="86"/>
      <c r="Y853" s="88"/>
      <c r="Z853" s="86"/>
      <c r="AA853" s="88"/>
      <c r="AB853" s="86"/>
      <c r="AC853" s="88"/>
      <c r="AD853" s="86"/>
      <c r="AE853" s="88"/>
      <c r="AF853" s="86"/>
      <c r="AG853" s="88"/>
      <c r="AH853" s="86"/>
      <c r="AI853" s="88"/>
      <c r="AJ853" s="86"/>
      <c r="AK853" s="88"/>
      <c r="AL853" s="86"/>
      <c r="AM853" s="88"/>
      <c r="AN853" s="86"/>
      <c r="AO853" s="88"/>
      <c r="AP853" s="86"/>
      <c r="AQ853" s="88"/>
      <c r="AR853" s="86"/>
      <c r="AS853" s="88"/>
      <c r="AT853" s="86"/>
      <c r="AU853" s="88"/>
      <c r="AV853" s="86"/>
      <c r="AW853" s="88"/>
      <c r="AX853" s="86"/>
      <c r="AY853" s="88"/>
      <c r="AZ853" s="86"/>
      <c r="BA853" s="88"/>
      <c r="BB853" s="86"/>
      <c r="BC853" s="88"/>
      <c r="BD853" s="86"/>
      <c r="BE853" s="88"/>
      <c r="BF853" s="86"/>
      <c r="BG853" s="88"/>
      <c r="BH853" s="86"/>
      <c r="BI853" s="88"/>
      <c r="BJ853" s="86"/>
      <c r="BK853" s="88"/>
      <c r="BL853" s="86"/>
      <c r="BM853" s="88"/>
      <c r="BN853" s="86"/>
      <c r="BO853" s="88"/>
      <c r="BP853" s="86"/>
      <c r="BQ853" s="88"/>
      <c r="BR853" s="86"/>
      <c r="BS853" s="87"/>
    </row>
    <row r="854" ht="22.5" customHeight="1">
      <c r="A854" s="154"/>
      <c r="B854" s="83"/>
      <c r="C854" s="151"/>
      <c r="D854" s="83"/>
      <c r="E854" s="151"/>
      <c r="F854" s="83"/>
      <c r="G854" s="85"/>
      <c r="H854" s="86"/>
      <c r="I854" s="87"/>
      <c r="J854" s="86"/>
      <c r="K854" s="88"/>
      <c r="L854" s="86"/>
      <c r="M854" s="88"/>
      <c r="N854" s="86"/>
      <c r="O854" s="88"/>
      <c r="P854" s="86"/>
      <c r="Q854" s="88"/>
      <c r="R854" s="86"/>
      <c r="S854" s="88"/>
      <c r="T854" s="86"/>
      <c r="U854" s="88"/>
      <c r="V854" s="86"/>
      <c r="W854" s="88"/>
      <c r="X854" s="86"/>
      <c r="Y854" s="88"/>
      <c r="Z854" s="86"/>
      <c r="AA854" s="88"/>
      <c r="AB854" s="86"/>
      <c r="AC854" s="88"/>
      <c r="AD854" s="86"/>
      <c r="AE854" s="88"/>
      <c r="AF854" s="86"/>
      <c r="AG854" s="88"/>
      <c r="AH854" s="86"/>
      <c r="AI854" s="88"/>
      <c r="AJ854" s="86"/>
      <c r="AK854" s="88"/>
      <c r="AL854" s="86"/>
      <c r="AM854" s="88"/>
      <c r="AN854" s="86"/>
      <c r="AO854" s="88"/>
      <c r="AP854" s="86"/>
      <c r="AQ854" s="88"/>
      <c r="AR854" s="86"/>
      <c r="AS854" s="88"/>
      <c r="AT854" s="86"/>
      <c r="AU854" s="88"/>
      <c r="AV854" s="86"/>
      <c r="AW854" s="88"/>
      <c r="AX854" s="86"/>
      <c r="AY854" s="88"/>
      <c r="AZ854" s="86"/>
      <c r="BA854" s="88"/>
      <c r="BB854" s="86"/>
      <c r="BC854" s="88"/>
      <c r="BD854" s="86"/>
      <c r="BE854" s="88"/>
      <c r="BF854" s="86"/>
      <c r="BG854" s="88"/>
      <c r="BH854" s="86"/>
      <c r="BI854" s="88"/>
      <c r="BJ854" s="86"/>
      <c r="BK854" s="88"/>
      <c r="BL854" s="86"/>
      <c r="BM854" s="88"/>
      <c r="BN854" s="86"/>
      <c r="BO854" s="88"/>
      <c r="BP854" s="86"/>
      <c r="BQ854" s="88"/>
      <c r="BR854" s="86"/>
      <c r="BS854" s="87"/>
    </row>
    <row r="855" ht="22.5" customHeight="1">
      <c r="A855" s="154"/>
      <c r="B855" s="83"/>
      <c r="C855" s="151"/>
      <c r="D855" s="83"/>
      <c r="E855" s="151"/>
      <c r="F855" s="83"/>
      <c r="G855" s="85"/>
      <c r="H855" s="86"/>
      <c r="I855" s="87"/>
      <c r="J855" s="86"/>
      <c r="K855" s="88"/>
      <c r="L855" s="86"/>
      <c r="M855" s="88"/>
      <c r="N855" s="86"/>
      <c r="O855" s="88"/>
      <c r="P855" s="86"/>
      <c r="Q855" s="88"/>
      <c r="R855" s="86"/>
      <c r="S855" s="88"/>
      <c r="T855" s="86"/>
      <c r="U855" s="88"/>
      <c r="V855" s="86"/>
      <c r="W855" s="88"/>
      <c r="X855" s="86"/>
      <c r="Y855" s="88"/>
      <c r="Z855" s="86"/>
      <c r="AA855" s="88"/>
      <c r="AB855" s="86"/>
      <c r="AC855" s="88"/>
      <c r="AD855" s="86"/>
      <c r="AE855" s="88"/>
      <c r="AF855" s="86"/>
      <c r="AG855" s="88"/>
      <c r="AH855" s="86"/>
      <c r="AI855" s="88"/>
      <c r="AJ855" s="86"/>
      <c r="AK855" s="88"/>
      <c r="AL855" s="86"/>
      <c r="AM855" s="88"/>
      <c r="AN855" s="86"/>
      <c r="AO855" s="88"/>
      <c r="AP855" s="86"/>
      <c r="AQ855" s="88"/>
      <c r="AR855" s="86"/>
      <c r="AS855" s="88"/>
      <c r="AT855" s="86"/>
      <c r="AU855" s="88"/>
      <c r="AV855" s="86"/>
      <c r="AW855" s="88"/>
      <c r="AX855" s="86"/>
      <c r="AY855" s="88"/>
      <c r="AZ855" s="86"/>
      <c r="BA855" s="88"/>
      <c r="BB855" s="86"/>
      <c r="BC855" s="88"/>
      <c r="BD855" s="86"/>
      <c r="BE855" s="88"/>
      <c r="BF855" s="86"/>
      <c r="BG855" s="88"/>
      <c r="BH855" s="86"/>
      <c r="BI855" s="88"/>
      <c r="BJ855" s="86"/>
      <c r="BK855" s="88"/>
      <c r="BL855" s="86"/>
      <c r="BM855" s="88"/>
      <c r="BN855" s="86"/>
      <c r="BO855" s="88"/>
      <c r="BP855" s="86"/>
      <c r="BQ855" s="88"/>
      <c r="BR855" s="86"/>
      <c r="BS855" s="87"/>
    </row>
    <row r="856" ht="22.5" customHeight="1">
      <c r="A856" s="154"/>
      <c r="B856" s="83"/>
      <c r="C856" s="151"/>
      <c r="D856" s="83"/>
      <c r="E856" s="151"/>
      <c r="F856" s="83"/>
      <c r="G856" s="85"/>
      <c r="H856" s="86"/>
      <c r="I856" s="87"/>
      <c r="J856" s="86"/>
      <c r="K856" s="88"/>
      <c r="L856" s="86"/>
      <c r="M856" s="88"/>
      <c r="N856" s="86"/>
      <c r="O856" s="88"/>
      <c r="P856" s="86"/>
      <c r="Q856" s="88"/>
      <c r="R856" s="86"/>
      <c r="S856" s="88"/>
      <c r="T856" s="86"/>
      <c r="U856" s="88"/>
      <c r="V856" s="86"/>
      <c r="W856" s="88"/>
      <c r="X856" s="86"/>
      <c r="Y856" s="88"/>
      <c r="Z856" s="86"/>
      <c r="AA856" s="88"/>
      <c r="AB856" s="86"/>
      <c r="AC856" s="88"/>
      <c r="AD856" s="86"/>
      <c r="AE856" s="88"/>
      <c r="AF856" s="86"/>
      <c r="AG856" s="88"/>
      <c r="AH856" s="86"/>
      <c r="AI856" s="88"/>
      <c r="AJ856" s="86"/>
      <c r="AK856" s="88"/>
      <c r="AL856" s="86"/>
      <c r="AM856" s="88"/>
      <c r="AN856" s="86"/>
      <c r="AO856" s="88"/>
      <c r="AP856" s="86"/>
      <c r="AQ856" s="88"/>
      <c r="AR856" s="86"/>
      <c r="AS856" s="88"/>
      <c r="AT856" s="86"/>
      <c r="AU856" s="88"/>
      <c r="AV856" s="86"/>
      <c r="AW856" s="88"/>
      <c r="AX856" s="86"/>
      <c r="AY856" s="88"/>
      <c r="AZ856" s="86"/>
      <c r="BA856" s="88"/>
      <c r="BB856" s="86"/>
      <c r="BC856" s="88"/>
      <c r="BD856" s="86"/>
      <c r="BE856" s="88"/>
      <c r="BF856" s="86"/>
      <c r="BG856" s="88"/>
      <c r="BH856" s="86"/>
      <c r="BI856" s="88"/>
      <c r="BJ856" s="86"/>
      <c r="BK856" s="88"/>
      <c r="BL856" s="86"/>
      <c r="BM856" s="88"/>
      <c r="BN856" s="86"/>
      <c r="BO856" s="88"/>
      <c r="BP856" s="86"/>
      <c r="BQ856" s="88"/>
      <c r="BR856" s="86"/>
      <c r="BS856" s="87"/>
    </row>
    <row r="857" ht="22.5" customHeight="1">
      <c r="A857" s="154"/>
      <c r="B857" s="83"/>
      <c r="C857" s="151"/>
      <c r="D857" s="83"/>
      <c r="E857" s="151"/>
      <c r="F857" s="83"/>
      <c r="G857" s="85"/>
      <c r="H857" s="86"/>
      <c r="I857" s="87"/>
      <c r="J857" s="86"/>
      <c r="K857" s="88"/>
      <c r="L857" s="86"/>
      <c r="M857" s="88"/>
      <c r="N857" s="86"/>
      <c r="O857" s="88"/>
      <c r="P857" s="86"/>
      <c r="Q857" s="88"/>
      <c r="R857" s="86"/>
      <c r="S857" s="88"/>
      <c r="T857" s="86"/>
      <c r="U857" s="88"/>
      <c r="V857" s="86"/>
      <c r="W857" s="88"/>
      <c r="X857" s="86"/>
      <c r="Y857" s="88"/>
      <c r="Z857" s="86"/>
      <c r="AA857" s="88"/>
      <c r="AB857" s="86"/>
      <c r="AC857" s="88"/>
      <c r="AD857" s="86"/>
      <c r="AE857" s="88"/>
      <c r="AF857" s="86"/>
      <c r="AG857" s="88"/>
      <c r="AH857" s="86"/>
      <c r="AI857" s="88"/>
      <c r="AJ857" s="86"/>
      <c r="AK857" s="88"/>
      <c r="AL857" s="86"/>
      <c r="AM857" s="88"/>
      <c r="AN857" s="86"/>
      <c r="AO857" s="88"/>
      <c r="AP857" s="86"/>
      <c r="AQ857" s="88"/>
      <c r="AR857" s="86"/>
      <c r="AS857" s="88"/>
      <c r="AT857" s="86"/>
      <c r="AU857" s="88"/>
      <c r="AV857" s="86"/>
      <c r="AW857" s="88"/>
      <c r="AX857" s="86"/>
      <c r="AY857" s="88"/>
      <c r="AZ857" s="86"/>
      <c r="BA857" s="88"/>
      <c r="BB857" s="86"/>
      <c r="BC857" s="88"/>
      <c r="BD857" s="86"/>
      <c r="BE857" s="88"/>
      <c r="BF857" s="86"/>
      <c r="BG857" s="88"/>
      <c r="BH857" s="86"/>
      <c r="BI857" s="88"/>
      <c r="BJ857" s="86"/>
      <c r="BK857" s="88"/>
      <c r="BL857" s="86"/>
      <c r="BM857" s="88"/>
      <c r="BN857" s="86"/>
      <c r="BO857" s="88"/>
      <c r="BP857" s="86"/>
      <c r="BQ857" s="88"/>
      <c r="BR857" s="86"/>
      <c r="BS857" s="87"/>
    </row>
    <row r="858" ht="22.5" customHeight="1">
      <c r="A858" s="154"/>
      <c r="B858" s="83"/>
      <c r="C858" s="151"/>
      <c r="D858" s="83"/>
      <c r="E858" s="151"/>
      <c r="F858" s="83"/>
      <c r="G858" s="85"/>
      <c r="H858" s="86"/>
      <c r="I858" s="87"/>
      <c r="J858" s="86"/>
      <c r="K858" s="88"/>
      <c r="L858" s="86"/>
      <c r="M858" s="88"/>
      <c r="N858" s="86"/>
      <c r="O858" s="88"/>
      <c r="P858" s="86"/>
      <c r="Q858" s="88"/>
      <c r="R858" s="86"/>
      <c r="S858" s="88"/>
      <c r="T858" s="86"/>
      <c r="U858" s="88"/>
      <c r="V858" s="86"/>
      <c r="W858" s="88"/>
      <c r="X858" s="86"/>
      <c r="Y858" s="88"/>
      <c r="Z858" s="86"/>
      <c r="AA858" s="88"/>
      <c r="AB858" s="86"/>
      <c r="AC858" s="88"/>
      <c r="AD858" s="86"/>
      <c r="AE858" s="88"/>
      <c r="AF858" s="86"/>
      <c r="AG858" s="88"/>
      <c r="AH858" s="86"/>
      <c r="AI858" s="88"/>
      <c r="AJ858" s="86"/>
      <c r="AK858" s="88"/>
      <c r="AL858" s="86"/>
      <c r="AM858" s="88"/>
      <c r="AN858" s="86"/>
      <c r="AO858" s="88"/>
      <c r="AP858" s="86"/>
      <c r="AQ858" s="88"/>
      <c r="AR858" s="86"/>
      <c r="AS858" s="88"/>
      <c r="AT858" s="86"/>
      <c r="AU858" s="88"/>
      <c r="AV858" s="86"/>
      <c r="AW858" s="88"/>
      <c r="AX858" s="86"/>
      <c r="AY858" s="88"/>
      <c r="AZ858" s="86"/>
      <c r="BA858" s="88"/>
      <c r="BB858" s="86"/>
      <c r="BC858" s="88"/>
      <c r="BD858" s="86"/>
      <c r="BE858" s="88"/>
      <c r="BF858" s="86"/>
      <c r="BG858" s="88"/>
      <c r="BH858" s="86"/>
      <c r="BI858" s="88"/>
      <c r="BJ858" s="86"/>
      <c r="BK858" s="88"/>
      <c r="BL858" s="86"/>
      <c r="BM858" s="88"/>
      <c r="BN858" s="86"/>
      <c r="BO858" s="88"/>
      <c r="BP858" s="86"/>
      <c r="BQ858" s="88"/>
      <c r="BR858" s="86"/>
      <c r="BS858" s="87"/>
    </row>
    <row r="859" ht="22.5" customHeight="1">
      <c r="A859" s="154"/>
      <c r="B859" s="83"/>
      <c r="C859" s="151"/>
      <c r="D859" s="83"/>
      <c r="E859" s="151"/>
      <c r="F859" s="83"/>
      <c r="G859" s="85"/>
      <c r="H859" s="86"/>
      <c r="I859" s="87"/>
      <c r="J859" s="86"/>
      <c r="K859" s="88"/>
      <c r="L859" s="86"/>
      <c r="M859" s="88"/>
      <c r="N859" s="86"/>
      <c r="O859" s="88"/>
      <c r="P859" s="86"/>
      <c r="Q859" s="88"/>
      <c r="R859" s="86"/>
      <c r="S859" s="88"/>
      <c r="T859" s="86"/>
      <c r="U859" s="88"/>
      <c r="V859" s="86"/>
      <c r="W859" s="88"/>
      <c r="X859" s="86"/>
      <c r="Y859" s="88"/>
      <c r="Z859" s="86"/>
      <c r="AA859" s="88"/>
      <c r="AB859" s="86"/>
      <c r="AC859" s="88"/>
      <c r="AD859" s="86"/>
      <c r="AE859" s="88"/>
      <c r="AF859" s="86"/>
      <c r="AG859" s="88"/>
      <c r="AH859" s="86"/>
      <c r="AI859" s="88"/>
      <c r="AJ859" s="86"/>
      <c r="AK859" s="88"/>
      <c r="AL859" s="86"/>
      <c r="AM859" s="88"/>
      <c r="AN859" s="86"/>
      <c r="AO859" s="88"/>
      <c r="AP859" s="86"/>
      <c r="AQ859" s="88"/>
      <c r="AR859" s="86"/>
      <c r="AS859" s="88"/>
      <c r="AT859" s="86"/>
      <c r="AU859" s="88"/>
      <c r="AV859" s="86"/>
      <c r="AW859" s="88"/>
      <c r="AX859" s="86"/>
      <c r="AY859" s="88"/>
      <c r="AZ859" s="86"/>
      <c r="BA859" s="88"/>
      <c r="BB859" s="86"/>
      <c r="BC859" s="88"/>
      <c r="BD859" s="86"/>
      <c r="BE859" s="88"/>
      <c r="BF859" s="86"/>
      <c r="BG859" s="88"/>
      <c r="BH859" s="86"/>
      <c r="BI859" s="88"/>
      <c r="BJ859" s="86"/>
      <c r="BK859" s="88"/>
      <c r="BL859" s="86"/>
      <c r="BM859" s="88"/>
      <c r="BN859" s="86"/>
      <c r="BO859" s="88"/>
      <c r="BP859" s="86"/>
      <c r="BQ859" s="88"/>
      <c r="BR859" s="86"/>
      <c r="BS859" s="87"/>
    </row>
    <row r="860" ht="22.5" customHeight="1">
      <c r="A860" s="154"/>
      <c r="B860" s="83"/>
      <c r="C860" s="151"/>
      <c r="D860" s="83"/>
      <c r="E860" s="151"/>
      <c r="F860" s="83"/>
      <c r="G860" s="85"/>
      <c r="H860" s="86"/>
      <c r="I860" s="87"/>
      <c r="J860" s="86"/>
      <c r="K860" s="88"/>
      <c r="L860" s="86"/>
      <c r="M860" s="88"/>
      <c r="N860" s="86"/>
      <c r="O860" s="88"/>
      <c r="P860" s="86"/>
      <c r="Q860" s="88"/>
      <c r="R860" s="86"/>
      <c r="S860" s="88"/>
      <c r="T860" s="86"/>
      <c r="U860" s="88"/>
      <c r="V860" s="86"/>
      <c r="W860" s="88"/>
      <c r="X860" s="86"/>
      <c r="Y860" s="88"/>
      <c r="Z860" s="86"/>
      <c r="AA860" s="88"/>
      <c r="AB860" s="86"/>
      <c r="AC860" s="88"/>
      <c r="AD860" s="86"/>
      <c r="AE860" s="88"/>
      <c r="AF860" s="86"/>
      <c r="AG860" s="88"/>
      <c r="AH860" s="86"/>
      <c r="AI860" s="88"/>
      <c r="AJ860" s="86"/>
      <c r="AK860" s="88"/>
      <c r="AL860" s="86"/>
      <c r="AM860" s="88"/>
      <c r="AN860" s="86"/>
      <c r="AO860" s="88"/>
      <c r="AP860" s="86"/>
      <c r="AQ860" s="88"/>
      <c r="AR860" s="86"/>
      <c r="AS860" s="88"/>
      <c r="AT860" s="86"/>
      <c r="AU860" s="88"/>
      <c r="AV860" s="86"/>
      <c r="AW860" s="88"/>
      <c r="AX860" s="86"/>
      <c r="AY860" s="88"/>
      <c r="AZ860" s="86"/>
      <c r="BA860" s="88"/>
      <c r="BB860" s="86"/>
      <c r="BC860" s="88"/>
      <c r="BD860" s="86"/>
      <c r="BE860" s="88"/>
      <c r="BF860" s="86"/>
      <c r="BG860" s="88"/>
      <c r="BH860" s="86"/>
      <c r="BI860" s="88"/>
      <c r="BJ860" s="86"/>
      <c r="BK860" s="88"/>
      <c r="BL860" s="86"/>
      <c r="BM860" s="88"/>
      <c r="BN860" s="86"/>
      <c r="BO860" s="88"/>
      <c r="BP860" s="86"/>
      <c r="BQ860" s="88"/>
      <c r="BR860" s="86"/>
      <c r="BS860" s="87"/>
    </row>
    <row r="861" ht="22.5" customHeight="1">
      <c r="A861" s="154"/>
      <c r="B861" s="83"/>
      <c r="C861" s="151"/>
      <c r="D861" s="83"/>
      <c r="E861" s="151"/>
      <c r="F861" s="83"/>
      <c r="G861" s="85"/>
      <c r="H861" s="86"/>
      <c r="I861" s="87"/>
      <c r="J861" s="86"/>
      <c r="K861" s="88"/>
      <c r="L861" s="86"/>
      <c r="M861" s="88"/>
      <c r="N861" s="86"/>
      <c r="O861" s="88"/>
      <c r="P861" s="86"/>
      <c r="Q861" s="88"/>
      <c r="R861" s="86"/>
      <c r="S861" s="88"/>
      <c r="T861" s="86"/>
      <c r="U861" s="88"/>
      <c r="V861" s="86"/>
      <c r="W861" s="88"/>
      <c r="X861" s="86"/>
      <c r="Y861" s="88"/>
      <c r="Z861" s="86"/>
      <c r="AA861" s="88"/>
      <c r="AB861" s="86"/>
      <c r="AC861" s="88"/>
      <c r="AD861" s="86"/>
      <c r="AE861" s="88"/>
      <c r="AF861" s="86"/>
      <c r="AG861" s="88"/>
      <c r="AH861" s="86"/>
      <c r="AI861" s="88"/>
      <c r="AJ861" s="86"/>
      <c r="AK861" s="88"/>
      <c r="AL861" s="86"/>
      <c r="AM861" s="88"/>
      <c r="AN861" s="86"/>
      <c r="AO861" s="88"/>
      <c r="AP861" s="86"/>
      <c r="AQ861" s="88"/>
      <c r="AR861" s="86"/>
      <c r="AS861" s="88"/>
      <c r="AT861" s="86"/>
      <c r="AU861" s="88"/>
      <c r="AV861" s="86"/>
      <c r="AW861" s="88"/>
      <c r="AX861" s="86"/>
      <c r="AY861" s="88"/>
      <c r="AZ861" s="86"/>
      <c r="BA861" s="88"/>
      <c r="BB861" s="86"/>
      <c r="BC861" s="88"/>
      <c r="BD861" s="86"/>
      <c r="BE861" s="88"/>
      <c r="BF861" s="86"/>
      <c r="BG861" s="88"/>
      <c r="BH861" s="86"/>
      <c r="BI861" s="88"/>
      <c r="BJ861" s="86"/>
      <c r="BK861" s="88"/>
      <c r="BL861" s="86"/>
      <c r="BM861" s="88"/>
      <c r="BN861" s="86"/>
      <c r="BO861" s="88"/>
      <c r="BP861" s="86"/>
      <c r="BQ861" s="88"/>
      <c r="BR861" s="86"/>
      <c r="BS861" s="87"/>
    </row>
    <row r="862" ht="22.5" customHeight="1">
      <c r="A862" s="154"/>
      <c r="B862" s="83"/>
      <c r="C862" s="151"/>
      <c r="D862" s="83"/>
      <c r="E862" s="151"/>
      <c r="F862" s="83"/>
      <c r="G862" s="85"/>
      <c r="H862" s="86"/>
      <c r="I862" s="87"/>
      <c r="J862" s="86"/>
      <c r="K862" s="88"/>
      <c r="L862" s="86"/>
      <c r="M862" s="88"/>
      <c r="N862" s="86"/>
      <c r="O862" s="88"/>
      <c r="P862" s="86"/>
      <c r="Q862" s="88"/>
      <c r="R862" s="86"/>
      <c r="S862" s="88"/>
      <c r="T862" s="86"/>
      <c r="U862" s="88"/>
      <c r="V862" s="86"/>
      <c r="W862" s="88"/>
      <c r="X862" s="86"/>
      <c r="Y862" s="88"/>
      <c r="Z862" s="86"/>
      <c r="AA862" s="88"/>
      <c r="AB862" s="86"/>
      <c r="AC862" s="88"/>
      <c r="AD862" s="86"/>
      <c r="AE862" s="88"/>
      <c r="AF862" s="86"/>
      <c r="AG862" s="88"/>
      <c r="AH862" s="86"/>
      <c r="AI862" s="88"/>
      <c r="AJ862" s="86"/>
      <c r="AK862" s="88"/>
      <c r="AL862" s="86"/>
      <c r="AM862" s="88"/>
      <c r="AN862" s="86"/>
      <c r="AO862" s="88"/>
      <c r="AP862" s="86"/>
      <c r="AQ862" s="88"/>
      <c r="AR862" s="86"/>
      <c r="AS862" s="88"/>
      <c r="AT862" s="86"/>
      <c r="AU862" s="88"/>
      <c r="AV862" s="86"/>
      <c r="AW862" s="88"/>
      <c r="AX862" s="86"/>
      <c r="AY862" s="88"/>
      <c r="AZ862" s="86"/>
      <c r="BA862" s="88"/>
      <c r="BB862" s="86"/>
      <c r="BC862" s="88"/>
      <c r="BD862" s="86"/>
      <c r="BE862" s="88"/>
      <c r="BF862" s="86"/>
      <c r="BG862" s="88"/>
      <c r="BH862" s="86"/>
      <c r="BI862" s="88"/>
      <c r="BJ862" s="86"/>
      <c r="BK862" s="88"/>
      <c r="BL862" s="86"/>
      <c r="BM862" s="88"/>
      <c r="BN862" s="86"/>
      <c r="BO862" s="88"/>
      <c r="BP862" s="86"/>
      <c r="BQ862" s="88"/>
      <c r="BR862" s="86"/>
      <c r="BS862" s="87"/>
    </row>
    <row r="863" ht="22.5" customHeight="1">
      <c r="A863" s="154"/>
      <c r="B863" s="83"/>
      <c r="C863" s="151"/>
      <c r="D863" s="83"/>
      <c r="E863" s="151"/>
      <c r="F863" s="83"/>
      <c r="G863" s="85"/>
      <c r="H863" s="86"/>
      <c r="I863" s="87"/>
      <c r="J863" s="86"/>
      <c r="K863" s="88"/>
      <c r="L863" s="86"/>
      <c r="M863" s="88"/>
      <c r="N863" s="86"/>
      <c r="O863" s="88"/>
      <c r="P863" s="86"/>
      <c r="Q863" s="88"/>
      <c r="R863" s="86"/>
      <c r="S863" s="88"/>
      <c r="T863" s="86"/>
      <c r="U863" s="88"/>
      <c r="V863" s="86"/>
      <c r="W863" s="88"/>
      <c r="X863" s="86"/>
      <c r="Y863" s="88"/>
      <c r="Z863" s="86"/>
      <c r="AA863" s="88"/>
      <c r="AB863" s="86"/>
      <c r="AC863" s="88"/>
      <c r="AD863" s="86"/>
      <c r="AE863" s="88"/>
      <c r="AF863" s="86"/>
      <c r="AG863" s="88"/>
      <c r="AH863" s="86"/>
      <c r="AI863" s="88"/>
      <c r="AJ863" s="86"/>
      <c r="AK863" s="88"/>
      <c r="AL863" s="86"/>
      <c r="AM863" s="88"/>
      <c r="AN863" s="86"/>
      <c r="AO863" s="88"/>
      <c r="AP863" s="86"/>
      <c r="AQ863" s="88"/>
      <c r="AR863" s="86"/>
      <c r="AS863" s="88"/>
      <c r="AT863" s="86"/>
      <c r="AU863" s="88"/>
      <c r="AV863" s="86"/>
      <c r="AW863" s="88"/>
      <c r="AX863" s="86"/>
      <c r="AY863" s="88"/>
      <c r="AZ863" s="86"/>
      <c r="BA863" s="88"/>
      <c r="BB863" s="86"/>
      <c r="BC863" s="88"/>
      <c r="BD863" s="86"/>
      <c r="BE863" s="88"/>
      <c r="BF863" s="86"/>
      <c r="BG863" s="88"/>
      <c r="BH863" s="86"/>
      <c r="BI863" s="88"/>
      <c r="BJ863" s="86"/>
      <c r="BK863" s="88"/>
      <c r="BL863" s="86"/>
      <c r="BM863" s="88"/>
      <c r="BN863" s="86"/>
      <c r="BO863" s="88"/>
      <c r="BP863" s="86"/>
      <c r="BQ863" s="88"/>
      <c r="BR863" s="86"/>
      <c r="BS863" s="87"/>
    </row>
    <row r="864" ht="22.5" customHeight="1">
      <c r="A864" s="155"/>
      <c r="B864" s="156"/>
      <c r="C864" s="157"/>
      <c r="D864" s="156"/>
      <c r="E864" s="157"/>
      <c r="F864" s="156"/>
      <c r="G864" s="158"/>
      <c r="H864" s="159"/>
      <c r="I864" s="160"/>
      <c r="J864" s="159"/>
      <c r="K864" s="161"/>
      <c r="L864" s="159"/>
      <c r="M864" s="161"/>
      <c r="N864" s="159"/>
      <c r="O864" s="161"/>
      <c r="P864" s="159"/>
      <c r="Q864" s="161"/>
      <c r="R864" s="159"/>
      <c r="S864" s="161"/>
      <c r="T864" s="159"/>
      <c r="U864" s="161"/>
      <c r="V864" s="159"/>
      <c r="W864" s="161"/>
      <c r="X864" s="159"/>
      <c r="Y864" s="161"/>
      <c r="Z864" s="159"/>
      <c r="AA864" s="161"/>
      <c r="AB864" s="159"/>
      <c r="AC864" s="161"/>
      <c r="AD864" s="159"/>
      <c r="AE864" s="161"/>
      <c r="AF864" s="159"/>
      <c r="AG864" s="161"/>
      <c r="AH864" s="159"/>
      <c r="AI864" s="161"/>
      <c r="AJ864" s="159"/>
      <c r="AK864" s="161"/>
      <c r="AL864" s="159"/>
      <c r="AM864" s="161"/>
      <c r="AN864" s="159"/>
      <c r="AO864" s="161"/>
      <c r="AP864" s="159"/>
      <c r="AQ864" s="161"/>
      <c r="AR864" s="159"/>
      <c r="AS864" s="161"/>
      <c r="AT864" s="159"/>
      <c r="AU864" s="161"/>
      <c r="AV864" s="159"/>
      <c r="AW864" s="161"/>
      <c r="AX864" s="159"/>
      <c r="AY864" s="161"/>
      <c r="AZ864" s="159"/>
      <c r="BA864" s="161"/>
      <c r="BB864" s="159"/>
      <c r="BC864" s="161"/>
      <c r="BD864" s="159"/>
      <c r="BE864" s="161"/>
      <c r="BF864" s="159"/>
      <c r="BG864" s="161"/>
      <c r="BH864" s="159"/>
      <c r="BI864" s="161"/>
      <c r="BJ864" s="159"/>
      <c r="BK864" s="161"/>
      <c r="BL864" s="159"/>
      <c r="BM864" s="161"/>
      <c r="BN864" s="159"/>
      <c r="BO864" s="161"/>
      <c r="BP864" s="159"/>
      <c r="BQ864" s="161"/>
      <c r="BR864" s="159"/>
      <c r="BS864" s="160"/>
    </row>
  </sheetData>
  <dataValidations>
    <dataValidation type="custom" allowBlank="1" showDropDown="1" sqref="C2:C864 E2:E864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</cols>
  <sheetData>
    <row r="1">
      <c r="A1" s="162" t="s">
        <v>346</v>
      </c>
    </row>
    <row r="2">
      <c r="A2" s="162">
        <v>1.0</v>
      </c>
    </row>
    <row r="3">
      <c r="A3" s="162">
        <v>2.0</v>
      </c>
    </row>
    <row r="4">
      <c r="A4" s="162">
        <v>3.0</v>
      </c>
    </row>
    <row r="5">
      <c r="A5" s="162">
        <v>4.0</v>
      </c>
    </row>
    <row r="6">
      <c r="A6" s="162">
        <v>5.0</v>
      </c>
    </row>
    <row r="7">
      <c r="A7" s="162">
        <v>6.0</v>
      </c>
    </row>
    <row r="8">
      <c r="A8" s="162">
        <v>7.0</v>
      </c>
    </row>
    <row r="9">
      <c r="A9" s="162">
        <v>8.0</v>
      </c>
    </row>
    <row r="10">
      <c r="A10" s="162">
        <v>9.0</v>
      </c>
    </row>
    <row r="11">
      <c r="A11" s="162">
        <v>10.0</v>
      </c>
    </row>
    <row r="12">
      <c r="A12" s="162">
        <v>11.0</v>
      </c>
    </row>
    <row r="13">
      <c r="A13" s="162">
        <v>12.0</v>
      </c>
    </row>
    <row r="14">
      <c r="A14" s="162">
        <v>13.0</v>
      </c>
    </row>
    <row r="15">
      <c r="A15" s="162">
        <v>14.0</v>
      </c>
    </row>
    <row r="16">
      <c r="A16" s="162">
        <v>15.0</v>
      </c>
    </row>
    <row r="17">
      <c r="A17" s="162">
        <v>16.0</v>
      </c>
    </row>
    <row r="18">
      <c r="A18" s="162">
        <v>17.0</v>
      </c>
    </row>
    <row r="19">
      <c r="A19" s="162">
        <v>18.0</v>
      </c>
    </row>
    <row r="20">
      <c r="A20" s="162">
        <v>19.0</v>
      </c>
    </row>
    <row r="21">
      <c r="A21" s="162">
        <v>20.0</v>
      </c>
    </row>
    <row r="22">
      <c r="A22" s="162">
        <v>21.0</v>
      </c>
    </row>
    <row r="23">
      <c r="A23" s="162">
        <v>22.0</v>
      </c>
    </row>
    <row r="24">
      <c r="A24" s="162">
        <v>23.0</v>
      </c>
    </row>
    <row r="25">
      <c r="A25" s="162">
        <v>24.0</v>
      </c>
    </row>
    <row r="26">
      <c r="A26" s="162">
        <v>25.0</v>
      </c>
    </row>
    <row r="27">
      <c r="A27" s="162">
        <v>26.0</v>
      </c>
    </row>
    <row r="28">
      <c r="A28" s="162">
        <v>27.0</v>
      </c>
    </row>
    <row r="29">
      <c r="A29" s="162">
        <v>28.0</v>
      </c>
    </row>
    <row r="30">
      <c r="A30" s="162">
        <v>29.0</v>
      </c>
    </row>
    <row r="31">
      <c r="A31" s="162">
        <v>30.0</v>
      </c>
    </row>
    <row r="32">
      <c r="A32" s="162">
        <v>31.0</v>
      </c>
    </row>
    <row r="33">
      <c r="A33" s="162">
        <v>32.0</v>
      </c>
    </row>
    <row r="34">
      <c r="A34" s="162">
        <v>33.0</v>
      </c>
    </row>
    <row r="35">
      <c r="A35" s="162">
        <v>34.0</v>
      </c>
    </row>
    <row r="36">
      <c r="A36" s="162">
        <v>35.0</v>
      </c>
    </row>
    <row r="37">
      <c r="A37" s="162">
        <v>36.0</v>
      </c>
    </row>
    <row r="38">
      <c r="A38" s="162">
        <v>37.0</v>
      </c>
    </row>
    <row r="39">
      <c r="A39" s="162">
        <v>38.0</v>
      </c>
    </row>
    <row r="40">
      <c r="A40" s="162">
        <v>39.0</v>
      </c>
    </row>
    <row r="41">
      <c r="A41" s="162">
        <v>40.0</v>
      </c>
    </row>
    <row r="42">
      <c r="A42" s="162">
        <v>41.0</v>
      </c>
    </row>
    <row r="43">
      <c r="A43" s="162">
        <v>42.0</v>
      </c>
    </row>
    <row r="44">
      <c r="A44" s="162">
        <v>43.0</v>
      </c>
    </row>
    <row r="45">
      <c r="A45" s="162">
        <v>44.0</v>
      </c>
    </row>
    <row r="46">
      <c r="A46" s="162">
        <v>45.0</v>
      </c>
    </row>
    <row r="47">
      <c r="A47" s="162">
        <v>46.0</v>
      </c>
    </row>
    <row r="48">
      <c r="A48" s="162">
        <v>47.0</v>
      </c>
    </row>
    <row r="49">
      <c r="A49" s="162">
        <v>48.0</v>
      </c>
    </row>
    <row r="50">
      <c r="A50" s="162">
        <v>49.0</v>
      </c>
    </row>
    <row r="51">
      <c r="A51" s="162">
        <v>50.0</v>
      </c>
    </row>
    <row r="52">
      <c r="A52" s="162">
        <v>51.0</v>
      </c>
    </row>
    <row r="53">
      <c r="A53" s="162">
        <v>52.0</v>
      </c>
    </row>
    <row r="54">
      <c r="A54" s="163"/>
    </row>
    <row r="55">
      <c r="A55" s="163"/>
    </row>
    <row r="56">
      <c r="A56" s="163"/>
    </row>
    <row r="57">
      <c r="A57" s="163"/>
    </row>
    <row r="58">
      <c r="A58" s="163"/>
    </row>
    <row r="59">
      <c r="A59" s="163"/>
    </row>
    <row r="60">
      <c r="A60" s="163"/>
    </row>
    <row r="61">
      <c r="A61" s="163"/>
    </row>
    <row r="62">
      <c r="A62" s="163"/>
    </row>
    <row r="63">
      <c r="A63" s="163"/>
    </row>
    <row r="64">
      <c r="A64" s="163"/>
    </row>
    <row r="65">
      <c r="A65" s="163"/>
    </row>
    <row r="66">
      <c r="A66" s="163"/>
    </row>
    <row r="67">
      <c r="A67" s="163"/>
    </row>
    <row r="68">
      <c r="A68" s="163"/>
    </row>
    <row r="69">
      <c r="A69" s="163"/>
    </row>
    <row r="70">
      <c r="A70" s="163"/>
    </row>
    <row r="71">
      <c r="A71" s="163"/>
    </row>
    <row r="72">
      <c r="A72" s="163"/>
    </row>
    <row r="73">
      <c r="A73" s="163"/>
    </row>
    <row r="74">
      <c r="A74" s="163"/>
    </row>
    <row r="75">
      <c r="A75" s="163"/>
    </row>
    <row r="76">
      <c r="A76" s="163"/>
    </row>
    <row r="77">
      <c r="A77" s="163"/>
    </row>
    <row r="78">
      <c r="A78" s="163"/>
    </row>
    <row r="79">
      <c r="A79" s="163"/>
    </row>
    <row r="80">
      <c r="A80" s="163"/>
    </row>
    <row r="81">
      <c r="A81" s="163"/>
    </row>
    <row r="82">
      <c r="A82" s="163"/>
    </row>
    <row r="83">
      <c r="A83" s="163"/>
    </row>
    <row r="84">
      <c r="A84" s="163"/>
    </row>
    <row r="85">
      <c r="A85" s="163"/>
    </row>
    <row r="86">
      <c r="A86" s="163"/>
    </row>
    <row r="87">
      <c r="A87" s="163"/>
    </row>
    <row r="88">
      <c r="A88" s="163"/>
    </row>
    <row r="89">
      <c r="A89" s="163"/>
    </row>
    <row r="90">
      <c r="A90" s="163"/>
    </row>
    <row r="91">
      <c r="A91" s="163"/>
    </row>
    <row r="92">
      <c r="A92" s="163"/>
    </row>
    <row r="93">
      <c r="A93" s="163"/>
    </row>
    <row r="94">
      <c r="A94" s="163"/>
    </row>
    <row r="95">
      <c r="A95" s="163"/>
    </row>
    <row r="96">
      <c r="A96" s="163"/>
    </row>
    <row r="97">
      <c r="A97" s="163"/>
    </row>
    <row r="98">
      <c r="A98" s="163"/>
    </row>
    <row r="99">
      <c r="A99" s="163"/>
    </row>
    <row r="100">
      <c r="A100" s="163"/>
    </row>
    <row r="101">
      <c r="A101" s="163"/>
    </row>
    <row r="102">
      <c r="A102" s="163"/>
    </row>
    <row r="103">
      <c r="A103" s="163"/>
    </row>
    <row r="104">
      <c r="A104" s="163"/>
    </row>
    <row r="105">
      <c r="A105" s="163"/>
    </row>
    <row r="106">
      <c r="A106" s="163"/>
    </row>
    <row r="107">
      <c r="A107" s="163"/>
    </row>
    <row r="108">
      <c r="A108" s="163"/>
    </row>
    <row r="109">
      <c r="A109" s="163"/>
    </row>
    <row r="110">
      <c r="A110" s="163"/>
    </row>
    <row r="111">
      <c r="A111" s="163"/>
    </row>
    <row r="112">
      <c r="A112" s="163"/>
    </row>
    <row r="113">
      <c r="A113" s="163"/>
    </row>
    <row r="114">
      <c r="A114" s="163"/>
    </row>
    <row r="115">
      <c r="A115" s="163"/>
    </row>
    <row r="116">
      <c r="A116" s="163"/>
    </row>
    <row r="117">
      <c r="A117" s="163"/>
    </row>
    <row r="118">
      <c r="A118" s="163"/>
    </row>
    <row r="119">
      <c r="A119" s="163"/>
    </row>
    <row r="120">
      <c r="A120" s="163"/>
    </row>
    <row r="121">
      <c r="A121" s="163"/>
    </row>
    <row r="122">
      <c r="A122" s="163"/>
    </row>
    <row r="123">
      <c r="A123" s="163"/>
    </row>
    <row r="124">
      <c r="A124" s="163"/>
    </row>
    <row r="125">
      <c r="A125" s="163"/>
    </row>
    <row r="126">
      <c r="A126" s="163"/>
    </row>
    <row r="127">
      <c r="A127" s="163"/>
    </row>
    <row r="128">
      <c r="A128" s="163"/>
    </row>
    <row r="129">
      <c r="A129" s="163"/>
    </row>
    <row r="130">
      <c r="A130" s="163"/>
    </row>
    <row r="131">
      <c r="A131" s="163"/>
    </row>
    <row r="132">
      <c r="A132" s="163"/>
    </row>
    <row r="133">
      <c r="A133" s="163"/>
    </row>
    <row r="134">
      <c r="A134" s="163"/>
    </row>
    <row r="135">
      <c r="A135" s="163"/>
    </row>
    <row r="136">
      <c r="A136" s="163"/>
    </row>
    <row r="137">
      <c r="A137" s="163"/>
    </row>
    <row r="138">
      <c r="A138" s="163"/>
    </row>
    <row r="139">
      <c r="A139" s="163"/>
    </row>
    <row r="140">
      <c r="A140" s="163"/>
    </row>
    <row r="141">
      <c r="A141" s="163"/>
    </row>
    <row r="142">
      <c r="A142" s="163"/>
    </row>
    <row r="143">
      <c r="A143" s="163"/>
    </row>
    <row r="144">
      <c r="A144" s="163"/>
    </row>
    <row r="145">
      <c r="A145" s="163"/>
    </row>
    <row r="146">
      <c r="A146" s="163"/>
    </row>
    <row r="147">
      <c r="A147" s="163"/>
    </row>
    <row r="148">
      <c r="A148" s="163"/>
    </row>
    <row r="149">
      <c r="A149" s="163"/>
    </row>
    <row r="150">
      <c r="A150" s="163"/>
    </row>
    <row r="151">
      <c r="A151" s="163"/>
    </row>
    <row r="152">
      <c r="A152" s="163"/>
    </row>
    <row r="153">
      <c r="A153" s="163"/>
    </row>
    <row r="154">
      <c r="A154" s="163"/>
    </row>
    <row r="155">
      <c r="A155" s="163"/>
    </row>
    <row r="156">
      <c r="A156" s="163"/>
    </row>
    <row r="157">
      <c r="A157" s="163"/>
    </row>
    <row r="158">
      <c r="A158" s="163"/>
    </row>
    <row r="159">
      <c r="A159" s="163"/>
    </row>
    <row r="160">
      <c r="A160" s="163"/>
    </row>
    <row r="161">
      <c r="A161" s="163"/>
    </row>
    <row r="162">
      <c r="A162" s="163"/>
    </row>
    <row r="163">
      <c r="A163" s="163"/>
    </row>
    <row r="164">
      <c r="A164" s="163"/>
    </row>
    <row r="165">
      <c r="A165" s="163"/>
    </row>
    <row r="166">
      <c r="A166" s="163"/>
    </row>
    <row r="167">
      <c r="A167" s="163"/>
    </row>
    <row r="168">
      <c r="A168" s="163"/>
    </row>
    <row r="169">
      <c r="A169" s="163"/>
    </row>
    <row r="170">
      <c r="A170" s="163"/>
    </row>
    <row r="171">
      <c r="A171" s="163"/>
    </row>
    <row r="172">
      <c r="A172" s="163"/>
    </row>
    <row r="173">
      <c r="A173" s="163"/>
    </row>
    <row r="174">
      <c r="A174" s="163"/>
    </row>
    <row r="175">
      <c r="A175" s="163"/>
    </row>
    <row r="176">
      <c r="A176" s="163"/>
    </row>
    <row r="177">
      <c r="A177" s="163"/>
    </row>
    <row r="178">
      <c r="A178" s="163"/>
    </row>
    <row r="179">
      <c r="A179" s="163"/>
    </row>
    <row r="180">
      <c r="A180" s="163"/>
    </row>
    <row r="181">
      <c r="A181" s="163"/>
    </row>
    <row r="182">
      <c r="A182" s="163"/>
    </row>
    <row r="183">
      <c r="A183" s="163"/>
    </row>
    <row r="184">
      <c r="A184" s="163"/>
    </row>
    <row r="185">
      <c r="A185" s="163"/>
    </row>
    <row r="186">
      <c r="A186" s="163"/>
    </row>
    <row r="187">
      <c r="A187" s="163"/>
    </row>
    <row r="188">
      <c r="A188" s="163"/>
    </row>
    <row r="189">
      <c r="A189" s="163"/>
    </row>
    <row r="190">
      <c r="A190" s="163"/>
    </row>
    <row r="191">
      <c r="A191" s="163"/>
    </row>
    <row r="192">
      <c r="A192" s="163"/>
    </row>
    <row r="193">
      <c r="A193" s="163"/>
    </row>
    <row r="194">
      <c r="A194" s="163"/>
    </row>
    <row r="195">
      <c r="A195" s="163"/>
    </row>
    <row r="196">
      <c r="A196" s="163"/>
    </row>
    <row r="197">
      <c r="A197" s="163"/>
    </row>
    <row r="198">
      <c r="A198" s="163"/>
    </row>
    <row r="199">
      <c r="A199" s="163"/>
    </row>
    <row r="200">
      <c r="A200" s="163"/>
    </row>
    <row r="201">
      <c r="A201" s="163"/>
    </row>
    <row r="202">
      <c r="A202" s="163"/>
    </row>
    <row r="203">
      <c r="A203" s="163"/>
    </row>
    <row r="204">
      <c r="A204" s="163"/>
    </row>
    <row r="205">
      <c r="A205" s="163"/>
    </row>
    <row r="206">
      <c r="A206" s="163"/>
    </row>
    <row r="207">
      <c r="A207" s="163"/>
    </row>
    <row r="208">
      <c r="A208" s="163"/>
    </row>
    <row r="209">
      <c r="A209" s="163"/>
    </row>
    <row r="210">
      <c r="A210" s="163"/>
    </row>
    <row r="211">
      <c r="A211" s="163"/>
    </row>
    <row r="212">
      <c r="A212" s="163"/>
    </row>
    <row r="213">
      <c r="A213" s="163"/>
    </row>
    <row r="214">
      <c r="A214" s="163"/>
    </row>
    <row r="215">
      <c r="A215" s="163"/>
    </row>
    <row r="216">
      <c r="A216" s="163"/>
    </row>
    <row r="217">
      <c r="A217" s="163"/>
    </row>
    <row r="218">
      <c r="A218" s="163"/>
    </row>
    <row r="219">
      <c r="A219" s="163"/>
    </row>
    <row r="220">
      <c r="A220" s="163"/>
    </row>
    <row r="221">
      <c r="A221" s="163"/>
    </row>
    <row r="222">
      <c r="A222" s="163"/>
    </row>
    <row r="223">
      <c r="A223" s="163"/>
    </row>
    <row r="224">
      <c r="A224" s="163"/>
    </row>
    <row r="225">
      <c r="A225" s="163"/>
    </row>
    <row r="226">
      <c r="A226" s="163"/>
    </row>
    <row r="227">
      <c r="A227" s="163"/>
    </row>
    <row r="228">
      <c r="A228" s="163"/>
    </row>
    <row r="229">
      <c r="A229" s="163"/>
    </row>
    <row r="230">
      <c r="A230" s="163"/>
    </row>
    <row r="231">
      <c r="A231" s="163"/>
    </row>
    <row r="232">
      <c r="A232" s="163"/>
    </row>
    <row r="233">
      <c r="A233" s="163"/>
    </row>
    <row r="234">
      <c r="A234" s="163"/>
    </row>
    <row r="235">
      <c r="A235" s="163"/>
    </row>
    <row r="236">
      <c r="A236" s="163"/>
    </row>
    <row r="237">
      <c r="A237" s="163"/>
    </row>
    <row r="238">
      <c r="A238" s="163"/>
    </row>
    <row r="239">
      <c r="A239" s="163"/>
    </row>
    <row r="240">
      <c r="A240" s="163"/>
    </row>
    <row r="241">
      <c r="A241" s="163"/>
    </row>
    <row r="242">
      <c r="A242" s="163"/>
    </row>
    <row r="243">
      <c r="A243" s="163"/>
    </row>
    <row r="244">
      <c r="A244" s="163"/>
    </row>
    <row r="245">
      <c r="A245" s="163"/>
    </row>
    <row r="246">
      <c r="A246" s="163"/>
    </row>
    <row r="247">
      <c r="A247" s="163"/>
    </row>
    <row r="248">
      <c r="A248" s="163"/>
    </row>
    <row r="249">
      <c r="A249" s="163"/>
    </row>
    <row r="250">
      <c r="A250" s="163"/>
    </row>
    <row r="251">
      <c r="A251" s="163"/>
    </row>
    <row r="252">
      <c r="A252" s="163"/>
    </row>
    <row r="253">
      <c r="A253" s="163"/>
    </row>
    <row r="254">
      <c r="A254" s="163"/>
    </row>
    <row r="255">
      <c r="A255" s="163"/>
    </row>
    <row r="256">
      <c r="A256" s="163"/>
    </row>
    <row r="257">
      <c r="A257" s="163"/>
    </row>
    <row r="258">
      <c r="A258" s="163"/>
    </row>
    <row r="259">
      <c r="A259" s="163"/>
    </row>
    <row r="260">
      <c r="A260" s="163"/>
    </row>
    <row r="261">
      <c r="A261" s="163"/>
    </row>
    <row r="262">
      <c r="A262" s="163"/>
    </row>
    <row r="263">
      <c r="A263" s="163"/>
    </row>
    <row r="264">
      <c r="A264" s="163"/>
    </row>
    <row r="265">
      <c r="A265" s="163"/>
    </row>
    <row r="266">
      <c r="A266" s="163"/>
    </row>
    <row r="267">
      <c r="A267" s="163"/>
    </row>
    <row r="268">
      <c r="A268" s="163"/>
    </row>
    <row r="269">
      <c r="A269" s="163"/>
    </row>
    <row r="270">
      <c r="A270" s="163"/>
    </row>
    <row r="271">
      <c r="A271" s="163"/>
    </row>
    <row r="272">
      <c r="A272" s="163"/>
    </row>
    <row r="273">
      <c r="A273" s="163"/>
    </row>
    <row r="274">
      <c r="A274" s="163"/>
    </row>
    <row r="275">
      <c r="A275" s="163"/>
    </row>
    <row r="276">
      <c r="A276" s="163"/>
    </row>
    <row r="277">
      <c r="A277" s="163"/>
    </row>
    <row r="278">
      <c r="A278" s="163"/>
    </row>
    <row r="279">
      <c r="A279" s="163"/>
    </row>
    <row r="280">
      <c r="A280" s="163"/>
    </row>
    <row r="281">
      <c r="A281" s="163"/>
    </row>
    <row r="282">
      <c r="A282" s="163"/>
    </row>
    <row r="283">
      <c r="A283" s="163"/>
    </row>
    <row r="284">
      <c r="A284" s="163"/>
    </row>
    <row r="285">
      <c r="A285" s="163"/>
    </row>
    <row r="286">
      <c r="A286" s="163"/>
    </row>
    <row r="287">
      <c r="A287" s="163"/>
    </row>
    <row r="288">
      <c r="A288" s="163"/>
    </row>
    <row r="289">
      <c r="A289" s="163"/>
    </row>
    <row r="290">
      <c r="A290" s="163"/>
    </row>
    <row r="291">
      <c r="A291" s="163"/>
    </row>
    <row r="292">
      <c r="A292" s="163"/>
    </row>
    <row r="293">
      <c r="A293" s="163"/>
    </row>
    <row r="294">
      <c r="A294" s="163"/>
    </row>
    <row r="295">
      <c r="A295" s="163"/>
    </row>
    <row r="296">
      <c r="A296" s="163"/>
    </row>
    <row r="297">
      <c r="A297" s="163"/>
    </row>
    <row r="298">
      <c r="A298" s="163"/>
    </row>
    <row r="299">
      <c r="A299" s="163"/>
    </row>
    <row r="300">
      <c r="A300" s="163"/>
    </row>
    <row r="301">
      <c r="A301" s="163"/>
    </row>
    <row r="302">
      <c r="A302" s="163"/>
    </row>
    <row r="303">
      <c r="A303" s="163"/>
    </row>
    <row r="304">
      <c r="A304" s="163"/>
    </row>
    <row r="305">
      <c r="A305" s="163"/>
    </row>
    <row r="306">
      <c r="A306" s="163"/>
    </row>
    <row r="307">
      <c r="A307" s="163"/>
    </row>
    <row r="308">
      <c r="A308" s="163"/>
    </row>
    <row r="309">
      <c r="A309" s="163"/>
    </row>
    <row r="310">
      <c r="A310" s="163"/>
    </row>
    <row r="311">
      <c r="A311" s="163"/>
    </row>
    <row r="312">
      <c r="A312" s="163"/>
    </row>
    <row r="313">
      <c r="A313" s="163"/>
    </row>
    <row r="314">
      <c r="A314" s="163"/>
    </row>
    <row r="315">
      <c r="A315" s="163"/>
    </row>
    <row r="316">
      <c r="A316" s="163"/>
    </row>
    <row r="317">
      <c r="A317" s="163"/>
    </row>
    <row r="318">
      <c r="A318" s="163"/>
    </row>
    <row r="319">
      <c r="A319" s="163"/>
    </row>
    <row r="320">
      <c r="A320" s="163"/>
    </row>
    <row r="321">
      <c r="A321" s="163"/>
    </row>
    <row r="322">
      <c r="A322" s="163"/>
    </row>
    <row r="323">
      <c r="A323" s="163"/>
    </row>
    <row r="324">
      <c r="A324" s="163"/>
    </row>
    <row r="325">
      <c r="A325" s="163"/>
    </row>
    <row r="326">
      <c r="A326" s="163"/>
    </row>
    <row r="327">
      <c r="A327" s="163"/>
    </row>
    <row r="328">
      <c r="A328" s="163"/>
    </row>
    <row r="329">
      <c r="A329" s="163"/>
    </row>
    <row r="330">
      <c r="A330" s="163"/>
    </row>
    <row r="331">
      <c r="A331" s="163"/>
    </row>
    <row r="332">
      <c r="A332" s="163"/>
    </row>
    <row r="333">
      <c r="A333" s="163"/>
    </row>
    <row r="334">
      <c r="A334" s="163"/>
    </row>
    <row r="335">
      <c r="A335" s="163"/>
    </row>
    <row r="336">
      <c r="A336" s="163"/>
    </row>
    <row r="337">
      <c r="A337" s="163"/>
    </row>
    <row r="338">
      <c r="A338" s="163"/>
    </row>
    <row r="339">
      <c r="A339" s="163"/>
    </row>
    <row r="340">
      <c r="A340" s="163"/>
    </row>
    <row r="341">
      <c r="A341" s="163"/>
    </row>
    <row r="342">
      <c r="A342" s="163"/>
    </row>
    <row r="343">
      <c r="A343" s="163"/>
    </row>
    <row r="344">
      <c r="A344" s="163"/>
    </row>
    <row r="345">
      <c r="A345" s="163"/>
    </row>
    <row r="346">
      <c r="A346" s="163"/>
    </row>
    <row r="347">
      <c r="A347" s="163"/>
    </row>
    <row r="348">
      <c r="A348" s="163"/>
    </row>
    <row r="349">
      <c r="A349" s="163"/>
    </row>
    <row r="350">
      <c r="A350" s="163"/>
    </row>
    <row r="351">
      <c r="A351" s="163"/>
    </row>
    <row r="352">
      <c r="A352" s="163"/>
    </row>
    <row r="353">
      <c r="A353" s="163"/>
    </row>
    <row r="354">
      <c r="A354" s="163"/>
    </row>
    <row r="355">
      <c r="A355" s="163"/>
    </row>
    <row r="356">
      <c r="A356" s="163"/>
    </row>
    <row r="357">
      <c r="A357" s="163"/>
    </row>
    <row r="358">
      <c r="A358" s="163"/>
    </row>
    <row r="359">
      <c r="A359" s="163"/>
    </row>
    <row r="360">
      <c r="A360" s="163"/>
    </row>
    <row r="361">
      <c r="A361" s="163"/>
    </row>
    <row r="362">
      <c r="A362" s="163"/>
    </row>
    <row r="363">
      <c r="A363" s="163"/>
    </row>
    <row r="364">
      <c r="A364" s="163"/>
    </row>
    <row r="365">
      <c r="A365" s="163"/>
    </row>
    <row r="366">
      <c r="A366" s="163"/>
    </row>
    <row r="367">
      <c r="A367" s="163"/>
    </row>
    <row r="368">
      <c r="A368" s="163"/>
    </row>
    <row r="369">
      <c r="A369" s="163"/>
    </row>
    <row r="370">
      <c r="A370" s="163"/>
    </row>
    <row r="371">
      <c r="A371" s="163"/>
    </row>
    <row r="372">
      <c r="A372" s="163"/>
    </row>
    <row r="373">
      <c r="A373" s="163"/>
    </row>
    <row r="374">
      <c r="A374" s="163"/>
    </row>
    <row r="375">
      <c r="A375" s="163"/>
    </row>
    <row r="376">
      <c r="A376" s="163"/>
    </row>
    <row r="377">
      <c r="A377" s="163"/>
    </row>
    <row r="378">
      <c r="A378" s="163"/>
    </row>
    <row r="379">
      <c r="A379" s="163"/>
    </row>
    <row r="380">
      <c r="A380" s="163"/>
    </row>
    <row r="381">
      <c r="A381" s="163"/>
    </row>
    <row r="382">
      <c r="A382" s="163"/>
    </row>
    <row r="383">
      <c r="A383" s="163"/>
    </row>
    <row r="384">
      <c r="A384" s="163"/>
    </row>
    <row r="385">
      <c r="A385" s="163"/>
    </row>
    <row r="386">
      <c r="A386" s="163"/>
    </row>
    <row r="387">
      <c r="A387" s="163"/>
    </row>
    <row r="388">
      <c r="A388" s="163"/>
    </row>
    <row r="389">
      <c r="A389" s="163"/>
    </row>
    <row r="390">
      <c r="A390" s="163"/>
    </row>
    <row r="391">
      <c r="A391" s="163"/>
    </row>
    <row r="392">
      <c r="A392" s="163"/>
    </row>
    <row r="393">
      <c r="A393" s="163"/>
    </row>
    <row r="394">
      <c r="A394" s="163"/>
    </row>
    <row r="395">
      <c r="A395" s="163"/>
    </row>
    <row r="396">
      <c r="A396" s="163"/>
    </row>
    <row r="397">
      <c r="A397" s="163"/>
    </row>
    <row r="398">
      <c r="A398" s="163"/>
    </row>
    <row r="399">
      <c r="A399" s="163"/>
    </row>
    <row r="400">
      <c r="A400" s="163"/>
    </row>
    <row r="401">
      <c r="A401" s="163"/>
    </row>
    <row r="402">
      <c r="A402" s="163"/>
    </row>
    <row r="403">
      <c r="A403" s="163"/>
    </row>
    <row r="404">
      <c r="A404" s="163"/>
    </row>
    <row r="405">
      <c r="A405" s="163"/>
    </row>
    <row r="406">
      <c r="A406" s="163"/>
    </row>
    <row r="407">
      <c r="A407" s="163"/>
    </row>
    <row r="408">
      <c r="A408" s="163"/>
    </row>
    <row r="409">
      <c r="A409" s="163"/>
    </row>
    <row r="410">
      <c r="A410" s="163"/>
    </row>
    <row r="411">
      <c r="A411" s="163"/>
    </row>
    <row r="412">
      <c r="A412" s="163"/>
    </row>
    <row r="413">
      <c r="A413" s="163"/>
    </row>
    <row r="414">
      <c r="A414" s="163"/>
    </row>
    <row r="415">
      <c r="A415" s="163"/>
    </row>
    <row r="416">
      <c r="A416" s="163"/>
    </row>
    <row r="417">
      <c r="A417" s="163"/>
    </row>
    <row r="418">
      <c r="A418" s="163"/>
    </row>
    <row r="419">
      <c r="A419" s="163"/>
    </row>
    <row r="420">
      <c r="A420" s="163"/>
    </row>
    <row r="421">
      <c r="A421" s="163"/>
    </row>
    <row r="422">
      <c r="A422" s="163"/>
    </row>
    <row r="423">
      <c r="A423" s="163"/>
    </row>
    <row r="424">
      <c r="A424" s="163"/>
    </row>
    <row r="425">
      <c r="A425" s="163"/>
    </row>
    <row r="426">
      <c r="A426" s="163"/>
    </row>
    <row r="427">
      <c r="A427" s="163"/>
    </row>
    <row r="428">
      <c r="A428" s="163"/>
    </row>
    <row r="429">
      <c r="A429" s="163"/>
    </row>
    <row r="430">
      <c r="A430" s="163"/>
    </row>
    <row r="431">
      <c r="A431" s="163"/>
    </row>
    <row r="432">
      <c r="A432" s="163"/>
    </row>
    <row r="433">
      <c r="A433" s="163"/>
    </row>
    <row r="434">
      <c r="A434" s="163"/>
    </row>
    <row r="435">
      <c r="A435" s="163"/>
    </row>
    <row r="436">
      <c r="A436" s="163"/>
    </row>
    <row r="437">
      <c r="A437" s="163"/>
    </row>
    <row r="438">
      <c r="A438" s="163"/>
    </row>
    <row r="439">
      <c r="A439" s="163"/>
    </row>
    <row r="440">
      <c r="A440" s="163"/>
    </row>
    <row r="441">
      <c r="A441" s="163"/>
    </row>
    <row r="442">
      <c r="A442" s="163"/>
    </row>
    <row r="443">
      <c r="A443" s="163"/>
    </row>
    <row r="444">
      <c r="A444" s="163"/>
    </row>
    <row r="445">
      <c r="A445" s="163"/>
    </row>
    <row r="446">
      <c r="A446" s="163"/>
    </row>
    <row r="447">
      <c r="A447" s="163"/>
    </row>
    <row r="448">
      <c r="A448" s="163"/>
    </row>
    <row r="449">
      <c r="A449" s="163"/>
    </row>
    <row r="450">
      <c r="A450" s="163"/>
    </row>
    <row r="451">
      <c r="A451" s="163"/>
    </row>
    <row r="452">
      <c r="A452" s="163"/>
    </row>
    <row r="453">
      <c r="A453" s="163"/>
    </row>
    <row r="454">
      <c r="A454" s="163"/>
    </row>
    <row r="455">
      <c r="A455" s="163"/>
    </row>
    <row r="456">
      <c r="A456" s="163"/>
    </row>
    <row r="457">
      <c r="A457" s="163"/>
    </row>
    <row r="458">
      <c r="A458" s="163"/>
    </row>
    <row r="459">
      <c r="A459" s="163"/>
    </row>
    <row r="460">
      <c r="A460" s="163"/>
    </row>
    <row r="461">
      <c r="A461" s="163"/>
    </row>
    <row r="462">
      <c r="A462" s="163"/>
    </row>
    <row r="463">
      <c r="A463" s="163"/>
    </row>
    <row r="464">
      <c r="A464" s="163"/>
    </row>
    <row r="465">
      <c r="A465" s="163"/>
    </row>
    <row r="466">
      <c r="A466" s="163"/>
    </row>
    <row r="467">
      <c r="A467" s="163"/>
    </row>
    <row r="468">
      <c r="A468" s="163"/>
    </row>
    <row r="469">
      <c r="A469" s="163"/>
    </row>
    <row r="470">
      <c r="A470" s="163"/>
    </row>
    <row r="471">
      <c r="A471" s="163"/>
    </row>
    <row r="472">
      <c r="A472" s="163"/>
    </row>
    <row r="473">
      <c r="A473" s="163"/>
    </row>
    <row r="474">
      <c r="A474" s="163"/>
    </row>
    <row r="475">
      <c r="A475" s="163"/>
    </row>
    <row r="476">
      <c r="A476" s="163"/>
    </row>
    <row r="477">
      <c r="A477" s="163"/>
    </row>
    <row r="478">
      <c r="A478" s="163"/>
    </row>
    <row r="479">
      <c r="A479" s="163"/>
    </row>
    <row r="480">
      <c r="A480" s="163"/>
    </row>
    <row r="481">
      <c r="A481" s="163"/>
    </row>
    <row r="482">
      <c r="A482" s="163"/>
    </row>
    <row r="483">
      <c r="A483" s="163"/>
    </row>
    <row r="484">
      <c r="A484" s="163"/>
    </row>
    <row r="485">
      <c r="A485" s="163"/>
    </row>
    <row r="486">
      <c r="A486" s="163"/>
    </row>
    <row r="487">
      <c r="A487" s="163"/>
    </row>
    <row r="488">
      <c r="A488" s="163"/>
    </row>
    <row r="489">
      <c r="A489" s="163"/>
    </row>
    <row r="490">
      <c r="A490" s="163"/>
    </row>
    <row r="491">
      <c r="A491" s="163"/>
    </row>
    <row r="492">
      <c r="A492" s="163"/>
    </row>
    <row r="493">
      <c r="A493" s="163"/>
    </row>
    <row r="494">
      <c r="A494" s="163"/>
    </row>
    <row r="495">
      <c r="A495" s="163"/>
    </row>
    <row r="496">
      <c r="A496" s="163"/>
    </row>
    <row r="497">
      <c r="A497" s="163"/>
    </row>
    <row r="498">
      <c r="A498" s="163"/>
    </row>
    <row r="499">
      <c r="A499" s="163"/>
    </row>
    <row r="500">
      <c r="A500" s="163"/>
    </row>
    <row r="501">
      <c r="A501" s="163"/>
    </row>
    <row r="502">
      <c r="A502" s="163"/>
    </row>
    <row r="503">
      <c r="A503" s="163"/>
    </row>
    <row r="504">
      <c r="A504" s="163"/>
    </row>
    <row r="505">
      <c r="A505" s="163"/>
    </row>
    <row r="506">
      <c r="A506" s="163"/>
    </row>
    <row r="507">
      <c r="A507" s="163"/>
    </row>
    <row r="508">
      <c r="A508" s="163"/>
    </row>
    <row r="509">
      <c r="A509" s="163"/>
    </row>
    <row r="510">
      <c r="A510" s="163"/>
    </row>
    <row r="511">
      <c r="A511" s="163"/>
    </row>
    <row r="512">
      <c r="A512" s="163"/>
    </row>
    <row r="513">
      <c r="A513" s="163"/>
    </row>
    <row r="514">
      <c r="A514" s="163"/>
    </row>
    <row r="515">
      <c r="A515" s="163"/>
    </row>
    <row r="516">
      <c r="A516" s="163"/>
    </row>
    <row r="517">
      <c r="A517" s="163"/>
    </row>
    <row r="518">
      <c r="A518" s="163"/>
    </row>
    <row r="519">
      <c r="A519" s="163"/>
    </row>
    <row r="520">
      <c r="A520" s="163"/>
    </row>
    <row r="521">
      <c r="A521" s="163"/>
    </row>
    <row r="522">
      <c r="A522" s="163"/>
    </row>
    <row r="523">
      <c r="A523" s="163"/>
    </row>
    <row r="524">
      <c r="A524" s="163"/>
    </row>
    <row r="525">
      <c r="A525" s="163"/>
    </row>
    <row r="526">
      <c r="A526" s="163"/>
    </row>
    <row r="527">
      <c r="A527" s="163"/>
    </row>
    <row r="528">
      <c r="A528" s="163"/>
    </row>
    <row r="529">
      <c r="A529" s="163"/>
    </row>
    <row r="530">
      <c r="A530" s="163"/>
    </row>
    <row r="531">
      <c r="A531" s="163"/>
    </row>
    <row r="532">
      <c r="A532" s="163"/>
    </row>
    <row r="533">
      <c r="A533" s="163"/>
    </row>
    <row r="534">
      <c r="A534" s="163"/>
    </row>
    <row r="535">
      <c r="A535" s="163"/>
    </row>
    <row r="536">
      <c r="A536" s="163"/>
    </row>
    <row r="537">
      <c r="A537" s="163"/>
    </row>
    <row r="538">
      <c r="A538" s="163"/>
    </row>
    <row r="539">
      <c r="A539" s="163"/>
    </row>
    <row r="540">
      <c r="A540" s="163"/>
    </row>
    <row r="541">
      <c r="A541" s="163"/>
    </row>
    <row r="542">
      <c r="A542" s="163"/>
    </row>
    <row r="543">
      <c r="A543" s="163"/>
    </row>
    <row r="544">
      <c r="A544" s="163"/>
    </row>
    <row r="545">
      <c r="A545" s="163"/>
    </row>
    <row r="546">
      <c r="A546" s="163"/>
    </row>
    <row r="547">
      <c r="A547" s="163"/>
    </row>
    <row r="548">
      <c r="A548" s="163"/>
    </row>
    <row r="549">
      <c r="A549" s="163"/>
    </row>
    <row r="550">
      <c r="A550" s="163"/>
    </row>
    <row r="551">
      <c r="A551" s="163"/>
    </row>
    <row r="552">
      <c r="A552" s="163"/>
    </row>
    <row r="553">
      <c r="A553" s="163"/>
    </row>
    <row r="554">
      <c r="A554" s="163"/>
    </row>
    <row r="555">
      <c r="A555" s="163"/>
    </row>
    <row r="556">
      <c r="A556" s="163"/>
    </row>
    <row r="557">
      <c r="A557" s="163"/>
    </row>
    <row r="558">
      <c r="A558" s="163"/>
    </row>
    <row r="559">
      <c r="A559" s="163"/>
    </row>
    <row r="560">
      <c r="A560" s="163"/>
    </row>
    <row r="561">
      <c r="A561" s="163"/>
    </row>
    <row r="562">
      <c r="A562" s="163"/>
    </row>
    <row r="563">
      <c r="A563" s="163"/>
    </row>
    <row r="564">
      <c r="A564" s="163"/>
    </row>
    <row r="565">
      <c r="A565" s="163"/>
    </row>
    <row r="566">
      <c r="A566" s="163"/>
    </row>
    <row r="567">
      <c r="A567" s="163"/>
    </row>
    <row r="568">
      <c r="A568" s="163"/>
    </row>
    <row r="569">
      <c r="A569" s="163"/>
    </row>
    <row r="570">
      <c r="A570" s="163"/>
    </row>
    <row r="571">
      <c r="A571" s="163"/>
    </row>
    <row r="572">
      <c r="A572" s="163"/>
    </row>
    <row r="573">
      <c r="A573" s="163"/>
    </row>
    <row r="574">
      <c r="A574" s="163"/>
    </row>
    <row r="575">
      <c r="A575" s="163"/>
    </row>
    <row r="576">
      <c r="A576" s="163"/>
    </row>
    <row r="577">
      <c r="A577" s="163"/>
    </row>
    <row r="578">
      <c r="A578" s="163"/>
    </row>
    <row r="579">
      <c r="A579" s="163"/>
    </row>
    <row r="580">
      <c r="A580" s="163"/>
    </row>
    <row r="581">
      <c r="A581" s="163"/>
    </row>
    <row r="582">
      <c r="A582" s="163"/>
    </row>
    <row r="583">
      <c r="A583" s="163"/>
    </row>
    <row r="584">
      <c r="A584" s="163"/>
    </row>
    <row r="585">
      <c r="A585" s="163"/>
    </row>
    <row r="586">
      <c r="A586" s="163"/>
    </row>
    <row r="587">
      <c r="A587" s="163"/>
    </row>
    <row r="588">
      <c r="A588" s="163"/>
    </row>
    <row r="589">
      <c r="A589" s="163"/>
    </row>
    <row r="590">
      <c r="A590" s="163"/>
    </row>
    <row r="591">
      <c r="A591" s="163"/>
    </row>
    <row r="592">
      <c r="A592" s="163"/>
    </row>
    <row r="593">
      <c r="A593" s="163"/>
    </row>
    <row r="594">
      <c r="A594" s="163"/>
    </row>
    <row r="595">
      <c r="A595" s="163"/>
    </row>
    <row r="596">
      <c r="A596" s="163"/>
    </row>
    <row r="597">
      <c r="A597" s="163"/>
    </row>
    <row r="598">
      <c r="A598" s="163"/>
    </row>
    <row r="599">
      <c r="A599" s="163"/>
    </row>
    <row r="600">
      <c r="A600" s="163"/>
    </row>
    <row r="601">
      <c r="A601" s="163"/>
    </row>
    <row r="602">
      <c r="A602" s="163"/>
    </row>
    <row r="603">
      <c r="A603" s="163"/>
    </row>
    <row r="604">
      <c r="A604" s="163"/>
    </row>
    <row r="605">
      <c r="A605" s="163"/>
    </row>
    <row r="606">
      <c r="A606" s="163"/>
    </row>
    <row r="607">
      <c r="A607" s="163"/>
    </row>
    <row r="608">
      <c r="A608" s="163"/>
    </row>
    <row r="609">
      <c r="A609" s="163"/>
    </row>
    <row r="610">
      <c r="A610" s="163"/>
    </row>
    <row r="611">
      <c r="A611" s="163"/>
    </row>
    <row r="612">
      <c r="A612" s="163"/>
    </row>
    <row r="613">
      <c r="A613" s="163"/>
    </row>
    <row r="614">
      <c r="A614" s="163"/>
    </row>
    <row r="615">
      <c r="A615" s="163"/>
    </row>
    <row r="616">
      <c r="A616" s="163"/>
    </row>
    <row r="617">
      <c r="A617" s="163"/>
    </row>
    <row r="618">
      <c r="A618" s="163"/>
    </row>
    <row r="619">
      <c r="A619" s="163"/>
    </row>
    <row r="620">
      <c r="A620" s="163"/>
    </row>
    <row r="621">
      <c r="A621" s="163"/>
    </row>
    <row r="622">
      <c r="A622" s="163"/>
    </row>
    <row r="623">
      <c r="A623" s="163"/>
    </row>
    <row r="624">
      <c r="A624" s="163"/>
    </row>
    <row r="625">
      <c r="A625" s="163"/>
    </row>
    <row r="626">
      <c r="A626" s="163"/>
    </row>
    <row r="627">
      <c r="A627" s="163"/>
    </row>
    <row r="628">
      <c r="A628" s="163"/>
    </row>
    <row r="629">
      <c r="A629" s="163"/>
    </row>
    <row r="630">
      <c r="A630" s="163"/>
    </row>
    <row r="631">
      <c r="A631" s="163"/>
    </row>
    <row r="632">
      <c r="A632" s="163"/>
    </row>
    <row r="633">
      <c r="A633" s="163"/>
    </row>
    <row r="634">
      <c r="A634" s="163"/>
    </row>
    <row r="635">
      <c r="A635" s="163"/>
    </row>
    <row r="636">
      <c r="A636" s="163"/>
    </row>
    <row r="637">
      <c r="A637" s="163"/>
    </row>
    <row r="638">
      <c r="A638" s="163"/>
    </row>
    <row r="639">
      <c r="A639" s="163"/>
    </row>
    <row r="640">
      <c r="A640" s="163"/>
    </row>
    <row r="641">
      <c r="A641" s="163"/>
    </row>
    <row r="642">
      <c r="A642" s="163"/>
    </row>
    <row r="643">
      <c r="A643" s="163"/>
    </row>
    <row r="644">
      <c r="A644" s="163"/>
    </row>
    <row r="645">
      <c r="A645" s="163"/>
    </row>
    <row r="646">
      <c r="A646" s="163"/>
    </row>
    <row r="647">
      <c r="A647" s="163"/>
    </row>
    <row r="648">
      <c r="A648" s="163"/>
    </row>
    <row r="649">
      <c r="A649" s="163"/>
    </row>
    <row r="650">
      <c r="A650" s="163"/>
    </row>
    <row r="651">
      <c r="A651" s="163"/>
    </row>
    <row r="652">
      <c r="A652" s="163"/>
    </row>
    <row r="653">
      <c r="A653" s="163"/>
    </row>
    <row r="654">
      <c r="A654" s="163"/>
    </row>
    <row r="655">
      <c r="A655" s="163"/>
    </row>
    <row r="656">
      <c r="A656" s="163"/>
    </row>
    <row r="657">
      <c r="A657" s="163"/>
    </row>
    <row r="658">
      <c r="A658" s="163"/>
    </row>
    <row r="659">
      <c r="A659" s="163"/>
    </row>
    <row r="660">
      <c r="A660" s="163"/>
    </row>
    <row r="661">
      <c r="A661" s="163"/>
    </row>
    <row r="662">
      <c r="A662" s="163"/>
    </row>
    <row r="663">
      <c r="A663" s="163"/>
    </row>
    <row r="664">
      <c r="A664" s="163"/>
    </row>
    <row r="665">
      <c r="A665" s="163"/>
    </row>
    <row r="666">
      <c r="A666" s="163"/>
    </row>
    <row r="667">
      <c r="A667" s="163"/>
    </row>
    <row r="668">
      <c r="A668" s="163"/>
    </row>
    <row r="669">
      <c r="A669" s="163"/>
    </row>
    <row r="670">
      <c r="A670" s="163"/>
    </row>
    <row r="671">
      <c r="A671" s="163"/>
    </row>
    <row r="672">
      <c r="A672" s="163"/>
    </row>
    <row r="673">
      <c r="A673" s="163"/>
    </row>
    <row r="674">
      <c r="A674" s="163"/>
    </row>
    <row r="675">
      <c r="A675" s="163"/>
    </row>
    <row r="676">
      <c r="A676" s="163"/>
    </row>
    <row r="677">
      <c r="A677" s="163"/>
    </row>
    <row r="678">
      <c r="A678" s="163"/>
    </row>
    <row r="679">
      <c r="A679" s="163"/>
    </row>
    <row r="680">
      <c r="A680" s="163"/>
    </row>
    <row r="681">
      <c r="A681" s="163"/>
    </row>
    <row r="682">
      <c r="A682" s="163"/>
    </row>
    <row r="683">
      <c r="A683" s="163"/>
    </row>
    <row r="684">
      <c r="A684" s="163"/>
    </row>
    <row r="685">
      <c r="A685" s="163"/>
    </row>
    <row r="686">
      <c r="A686" s="163"/>
    </row>
    <row r="687">
      <c r="A687" s="163"/>
    </row>
    <row r="688">
      <c r="A688" s="163"/>
    </row>
    <row r="689">
      <c r="A689" s="163"/>
    </row>
    <row r="690">
      <c r="A690" s="163"/>
    </row>
    <row r="691">
      <c r="A691" s="163"/>
    </row>
    <row r="692">
      <c r="A692" s="163"/>
    </row>
    <row r="693">
      <c r="A693" s="163"/>
    </row>
    <row r="694">
      <c r="A694" s="163"/>
    </row>
    <row r="695">
      <c r="A695" s="163"/>
    </row>
    <row r="696">
      <c r="A696" s="163"/>
    </row>
    <row r="697">
      <c r="A697" s="163"/>
    </row>
    <row r="698">
      <c r="A698" s="163"/>
    </row>
    <row r="699">
      <c r="A699" s="163"/>
    </row>
    <row r="700">
      <c r="A700" s="163"/>
    </row>
    <row r="701">
      <c r="A701" s="163"/>
    </row>
    <row r="702">
      <c r="A702" s="163"/>
    </row>
    <row r="703">
      <c r="A703" s="163"/>
    </row>
    <row r="704">
      <c r="A704" s="163"/>
    </row>
    <row r="705">
      <c r="A705" s="163"/>
    </row>
    <row r="706">
      <c r="A706" s="163"/>
    </row>
    <row r="707">
      <c r="A707" s="163"/>
    </row>
    <row r="708">
      <c r="A708" s="163"/>
    </row>
    <row r="709">
      <c r="A709" s="163"/>
    </row>
    <row r="710">
      <c r="A710" s="163"/>
    </row>
    <row r="711">
      <c r="A711" s="163"/>
    </row>
    <row r="712">
      <c r="A712" s="163"/>
    </row>
    <row r="713">
      <c r="A713" s="163"/>
    </row>
    <row r="714">
      <c r="A714" s="163"/>
    </row>
    <row r="715">
      <c r="A715" s="163"/>
    </row>
    <row r="716">
      <c r="A716" s="163"/>
    </row>
    <row r="717">
      <c r="A717" s="163"/>
    </row>
    <row r="718">
      <c r="A718" s="163"/>
    </row>
    <row r="719">
      <c r="A719" s="163"/>
    </row>
    <row r="720">
      <c r="A720" s="163"/>
    </row>
    <row r="721">
      <c r="A721" s="163"/>
    </row>
    <row r="722">
      <c r="A722" s="163"/>
    </row>
    <row r="723">
      <c r="A723" s="163"/>
    </row>
    <row r="724">
      <c r="A724" s="163"/>
    </row>
    <row r="725">
      <c r="A725" s="163"/>
    </row>
    <row r="726">
      <c r="A726" s="163"/>
    </row>
    <row r="727">
      <c r="A727" s="163"/>
    </row>
    <row r="728">
      <c r="A728" s="163"/>
    </row>
    <row r="729">
      <c r="A729" s="163"/>
    </row>
    <row r="730">
      <c r="A730" s="163"/>
    </row>
    <row r="731">
      <c r="A731" s="163"/>
    </row>
    <row r="732">
      <c r="A732" s="163"/>
    </row>
    <row r="733">
      <c r="A733" s="163"/>
    </row>
    <row r="734">
      <c r="A734" s="163"/>
    </row>
    <row r="735">
      <c r="A735" s="163"/>
    </row>
    <row r="736">
      <c r="A736" s="163"/>
    </row>
    <row r="737">
      <c r="A737" s="163"/>
    </row>
    <row r="738">
      <c r="A738" s="163"/>
    </row>
    <row r="739">
      <c r="A739" s="163"/>
    </row>
    <row r="740">
      <c r="A740" s="163"/>
    </row>
    <row r="741">
      <c r="A741" s="163"/>
    </row>
    <row r="742">
      <c r="A742" s="163"/>
    </row>
    <row r="743">
      <c r="A743" s="163"/>
    </row>
    <row r="744">
      <c r="A744" s="163"/>
    </row>
    <row r="745">
      <c r="A745" s="163"/>
    </row>
    <row r="746">
      <c r="A746" s="163"/>
    </row>
    <row r="747">
      <c r="A747" s="163"/>
    </row>
    <row r="748">
      <c r="A748" s="163"/>
    </row>
    <row r="749">
      <c r="A749" s="163"/>
    </row>
    <row r="750">
      <c r="A750" s="163"/>
    </row>
    <row r="751">
      <c r="A751" s="163"/>
    </row>
    <row r="752">
      <c r="A752" s="163"/>
    </row>
    <row r="753">
      <c r="A753" s="163"/>
    </row>
    <row r="754">
      <c r="A754" s="163"/>
    </row>
    <row r="755">
      <c r="A755" s="163"/>
    </row>
    <row r="756">
      <c r="A756" s="163"/>
    </row>
    <row r="757">
      <c r="A757" s="163"/>
    </row>
    <row r="758">
      <c r="A758" s="163"/>
    </row>
    <row r="759">
      <c r="A759" s="163"/>
    </row>
    <row r="760">
      <c r="A760" s="163"/>
    </row>
    <row r="761">
      <c r="A761" s="163"/>
    </row>
    <row r="762">
      <c r="A762" s="163"/>
    </row>
    <row r="763">
      <c r="A763" s="163"/>
    </row>
    <row r="764">
      <c r="A764" s="163"/>
    </row>
    <row r="765">
      <c r="A765" s="163"/>
    </row>
    <row r="766">
      <c r="A766" s="163"/>
    </row>
    <row r="767">
      <c r="A767" s="163"/>
    </row>
    <row r="768">
      <c r="A768" s="163"/>
    </row>
    <row r="769">
      <c r="A769" s="163"/>
    </row>
    <row r="770">
      <c r="A770" s="163"/>
    </row>
    <row r="771">
      <c r="A771" s="163"/>
    </row>
    <row r="772">
      <c r="A772" s="163"/>
    </row>
    <row r="773">
      <c r="A773" s="163"/>
    </row>
    <row r="774">
      <c r="A774" s="163"/>
    </row>
    <row r="775">
      <c r="A775" s="163"/>
    </row>
    <row r="776">
      <c r="A776" s="163"/>
    </row>
    <row r="777">
      <c r="A777" s="163"/>
    </row>
    <row r="778">
      <c r="A778" s="163"/>
    </row>
    <row r="779">
      <c r="A779" s="163"/>
    </row>
    <row r="780">
      <c r="A780" s="163"/>
    </row>
    <row r="781">
      <c r="A781" s="163"/>
    </row>
    <row r="782">
      <c r="A782" s="163"/>
    </row>
    <row r="783">
      <c r="A783" s="163"/>
    </row>
    <row r="784">
      <c r="A784" s="163"/>
    </row>
    <row r="785">
      <c r="A785" s="163"/>
    </row>
    <row r="786">
      <c r="A786" s="163"/>
    </row>
    <row r="787">
      <c r="A787" s="163"/>
    </row>
    <row r="788">
      <c r="A788" s="163"/>
    </row>
    <row r="789">
      <c r="A789" s="163"/>
    </row>
    <row r="790">
      <c r="A790" s="163"/>
    </row>
    <row r="791">
      <c r="A791" s="163"/>
    </row>
    <row r="792">
      <c r="A792" s="163"/>
    </row>
    <row r="793">
      <c r="A793" s="163"/>
    </row>
    <row r="794">
      <c r="A794" s="163"/>
    </row>
    <row r="795">
      <c r="A795" s="163"/>
    </row>
    <row r="796">
      <c r="A796" s="163"/>
    </row>
    <row r="797">
      <c r="A797" s="163"/>
    </row>
    <row r="798">
      <c r="A798" s="163"/>
    </row>
    <row r="799">
      <c r="A799" s="163"/>
    </row>
    <row r="800">
      <c r="A800" s="163"/>
    </row>
    <row r="801">
      <c r="A801" s="163"/>
    </row>
    <row r="802">
      <c r="A802" s="163"/>
    </row>
    <row r="803">
      <c r="A803" s="163"/>
    </row>
    <row r="804">
      <c r="A804" s="163"/>
    </row>
    <row r="805">
      <c r="A805" s="163"/>
    </row>
    <row r="806">
      <c r="A806" s="163"/>
    </row>
    <row r="807">
      <c r="A807" s="163"/>
    </row>
    <row r="808">
      <c r="A808" s="163"/>
    </row>
    <row r="809">
      <c r="A809" s="163"/>
    </row>
    <row r="810">
      <c r="A810" s="163"/>
    </row>
    <row r="811">
      <c r="A811" s="163"/>
    </row>
    <row r="812">
      <c r="A812" s="163"/>
    </row>
    <row r="813">
      <c r="A813" s="163"/>
    </row>
    <row r="814">
      <c r="A814" s="163"/>
    </row>
    <row r="815">
      <c r="A815" s="163"/>
    </row>
    <row r="816">
      <c r="A816" s="163"/>
    </row>
    <row r="817">
      <c r="A817" s="163"/>
    </row>
    <row r="818">
      <c r="A818" s="163"/>
    </row>
    <row r="819">
      <c r="A819" s="163"/>
    </row>
    <row r="820">
      <c r="A820" s="163"/>
    </row>
    <row r="821">
      <c r="A821" s="163"/>
    </row>
    <row r="822">
      <c r="A822" s="163"/>
    </row>
    <row r="823">
      <c r="A823" s="163"/>
    </row>
    <row r="824">
      <c r="A824" s="163"/>
    </row>
    <row r="825">
      <c r="A825" s="163"/>
    </row>
    <row r="826">
      <c r="A826" s="163"/>
    </row>
    <row r="827">
      <c r="A827" s="163"/>
    </row>
    <row r="828">
      <c r="A828" s="163"/>
    </row>
    <row r="829">
      <c r="A829" s="163"/>
    </row>
    <row r="830">
      <c r="A830" s="163"/>
    </row>
    <row r="831">
      <c r="A831" s="163"/>
    </row>
    <row r="832">
      <c r="A832" s="163"/>
    </row>
    <row r="833">
      <c r="A833" s="163"/>
    </row>
    <row r="834">
      <c r="A834" s="163"/>
    </row>
    <row r="835">
      <c r="A835" s="163"/>
    </row>
    <row r="836">
      <c r="A836" s="163"/>
    </row>
    <row r="837">
      <c r="A837" s="163"/>
    </row>
    <row r="838">
      <c r="A838" s="163"/>
    </row>
    <row r="839">
      <c r="A839" s="163"/>
    </row>
    <row r="840">
      <c r="A840" s="163"/>
    </row>
    <row r="841">
      <c r="A841" s="163"/>
    </row>
    <row r="842">
      <c r="A842" s="163"/>
    </row>
    <row r="843">
      <c r="A843" s="163"/>
    </row>
    <row r="844">
      <c r="A844" s="163"/>
    </row>
    <row r="845">
      <c r="A845" s="163"/>
    </row>
    <row r="846">
      <c r="A846" s="163"/>
    </row>
    <row r="847">
      <c r="A847" s="163"/>
    </row>
    <row r="848">
      <c r="A848" s="163"/>
    </row>
    <row r="849">
      <c r="A849" s="163"/>
    </row>
    <row r="850">
      <c r="A850" s="163"/>
    </row>
    <row r="851">
      <c r="A851" s="163"/>
    </row>
    <row r="852">
      <c r="A852" s="163"/>
    </row>
    <row r="853">
      <c r="A853" s="163"/>
    </row>
    <row r="854">
      <c r="A854" s="163"/>
    </row>
    <row r="855">
      <c r="A855" s="163"/>
    </row>
    <row r="856">
      <c r="A856" s="163"/>
    </row>
    <row r="857">
      <c r="A857" s="163"/>
    </row>
    <row r="858">
      <c r="A858" s="163"/>
    </row>
    <row r="859">
      <c r="A859" s="163"/>
    </row>
    <row r="860">
      <c r="A860" s="163"/>
    </row>
    <row r="861">
      <c r="A861" s="163"/>
    </row>
    <row r="862">
      <c r="A862" s="163"/>
    </row>
    <row r="863">
      <c r="A863" s="163"/>
    </row>
    <row r="864">
      <c r="A864" s="163"/>
    </row>
    <row r="865">
      <c r="A865" s="163"/>
    </row>
    <row r="866">
      <c r="A866" s="163"/>
    </row>
    <row r="867">
      <c r="A867" s="163"/>
    </row>
    <row r="868">
      <c r="A868" s="163"/>
    </row>
    <row r="869">
      <c r="A869" s="163"/>
    </row>
    <row r="870">
      <c r="A870" s="163"/>
    </row>
    <row r="871">
      <c r="A871" s="163"/>
    </row>
    <row r="872">
      <c r="A872" s="163"/>
    </row>
    <row r="873">
      <c r="A873" s="163"/>
    </row>
    <row r="874">
      <c r="A874" s="163"/>
    </row>
    <row r="875">
      <c r="A875" s="163"/>
    </row>
    <row r="876">
      <c r="A876" s="163"/>
    </row>
    <row r="877">
      <c r="A877" s="163"/>
    </row>
    <row r="878">
      <c r="A878" s="163"/>
    </row>
    <row r="879">
      <c r="A879" s="163"/>
    </row>
    <row r="880">
      <c r="A880" s="163"/>
    </row>
    <row r="881">
      <c r="A881" s="163"/>
    </row>
    <row r="882">
      <c r="A882" s="163"/>
    </row>
    <row r="883">
      <c r="A883" s="163"/>
    </row>
    <row r="884">
      <c r="A884" s="163"/>
    </row>
    <row r="885">
      <c r="A885" s="163"/>
    </row>
    <row r="886">
      <c r="A886" s="163"/>
    </row>
    <row r="887">
      <c r="A887" s="163"/>
    </row>
    <row r="888">
      <c r="A888" s="163"/>
    </row>
    <row r="889">
      <c r="A889" s="163"/>
    </row>
    <row r="890">
      <c r="A890" s="163"/>
    </row>
    <row r="891">
      <c r="A891" s="163"/>
    </row>
    <row r="892">
      <c r="A892" s="163"/>
    </row>
    <row r="893">
      <c r="A893" s="163"/>
    </row>
    <row r="894">
      <c r="A894" s="163"/>
    </row>
    <row r="895">
      <c r="A895" s="163"/>
    </row>
    <row r="896">
      <c r="A896" s="163"/>
    </row>
    <row r="897">
      <c r="A897" s="163"/>
    </row>
    <row r="898">
      <c r="A898" s="163"/>
    </row>
    <row r="899">
      <c r="A899" s="163"/>
    </row>
    <row r="900">
      <c r="A900" s="163"/>
    </row>
    <row r="901">
      <c r="A901" s="163"/>
    </row>
    <row r="902">
      <c r="A902" s="163"/>
    </row>
    <row r="903">
      <c r="A903" s="163"/>
    </row>
    <row r="904">
      <c r="A904" s="163"/>
    </row>
    <row r="905">
      <c r="A905" s="163"/>
    </row>
    <row r="906">
      <c r="A906" s="163"/>
    </row>
    <row r="907">
      <c r="A907" s="163"/>
    </row>
    <row r="908">
      <c r="A908" s="163"/>
    </row>
    <row r="909">
      <c r="A909" s="163"/>
    </row>
    <row r="910">
      <c r="A910" s="163"/>
    </row>
    <row r="911">
      <c r="A911" s="163"/>
    </row>
    <row r="912">
      <c r="A912" s="163"/>
    </row>
    <row r="913">
      <c r="A913" s="163"/>
    </row>
    <row r="914">
      <c r="A914" s="163"/>
    </row>
    <row r="915">
      <c r="A915" s="163"/>
    </row>
    <row r="916">
      <c r="A916" s="163"/>
    </row>
    <row r="917">
      <c r="A917" s="163"/>
    </row>
    <row r="918">
      <c r="A918" s="163"/>
    </row>
    <row r="919">
      <c r="A919" s="163"/>
    </row>
    <row r="920">
      <c r="A920" s="163"/>
    </row>
    <row r="921">
      <c r="A921" s="163"/>
    </row>
    <row r="922">
      <c r="A922" s="163"/>
    </row>
    <row r="923">
      <c r="A923" s="163"/>
    </row>
    <row r="924">
      <c r="A924" s="163"/>
    </row>
    <row r="925">
      <c r="A925" s="163"/>
    </row>
    <row r="926">
      <c r="A926" s="163"/>
    </row>
    <row r="927">
      <c r="A927" s="163"/>
    </row>
    <row r="928">
      <c r="A928" s="163"/>
    </row>
    <row r="929">
      <c r="A929" s="163"/>
    </row>
    <row r="930">
      <c r="A930" s="163"/>
    </row>
    <row r="931">
      <c r="A931" s="163"/>
    </row>
    <row r="932">
      <c r="A932" s="163"/>
    </row>
    <row r="933">
      <c r="A933" s="163"/>
    </row>
    <row r="934">
      <c r="A934" s="163"/>
    </row>
    <row r="935">
      <c r="A935" s="163"/>
    </row>
    <row r="936">
      <c r="A936" s="163"/>
    </row>
    <row r="937">
      <c r="A937" s="163"/>
    </row>
    <row r="938">
      <c r="A938" s="163"/>
    </row>
    <row r="939">
      <c r="A939" s="163"/>
    </row>
    <row r="940">
      <c r="A940" s="163"/>
    </row>
    <row r="941">
      <c r="A941" s="163"/>
    </row>
    <row r="942">
      <c r="A942" s="163"/>
    </row>
    <row r="943">
      <c r="A943" s="163"/>
    </row>
    <row r="944">
      <c r="A944" s="163"/>
    </row>
    <row r="945">
      <c r="A945" s="163"/>
    </row>
    <row r="946">
      <c r="A946" s="163"/>
    </row>
    <row r="947">
      <c r="A947" s="163"/>
    </row>
    <row r="948">
      <c r="A948" s="163"/>
    </row>
    <row r="949">
      <c r="A949" s="163"/>
    </row>
    <row r="950">
      <c r="A950" s="163"/>
    </row>
    <row r="951">
      <c r="A951" s="163"/>
    </row>
    <row r="952">
      <c r="A952" s="163"/>
    </row>
    <row r="953">
      <c r="A953" s="163"/>
    </row>
    <row r="954">
      <c r="A954" s="163"/>
    </row>
    <row r="955">
      <c r="A955" s="163"/>
    </row>
    <row r="956">
      <c r="A956" s="163"/>
    </row>
    <row r="957">
      <c r="A957" s="163"/>
    </row>
    <row r="958">
      <c r="A958" s="163"/>
    </row>
    <row r="959">
      <c r="A959" s="163"/>
    </row>
    <row r="960">
      <c r="A960" s="163"/>
    </row>
    <row r="961">
      <c r="A961" s="163"/>
    </row>
    <row r="962">
      <c r="A962" s="163"/>
    </row>
    <row r="963">
      <c r="A963" s="163"/>
    </row>
    <row r="964">
      <c r="A964" s="163"/>
    </row>
    <row r="965">
      <c r="A965" s="163"/>
    </row>
    <row r="966">
      <c r="A966" s="163"/>
    </row>
    <row r="967">
      <c r="A967" s="163"/>
    </row>
    <row r="968">
      <c r="A968" s="163"/>
    </row>
    <row r="969">
      <c r="A969" s="163"/>
    </row>
    <row r="970">
      <c r="A970" s="163"/>
    </row>
    <row r="971">
      <c r="A971" s="163"/>
    </row>
    <row r="972">
      <c r="A972" s="163"/>
    </row>
    <row r="973">
      <c r="A973" s="163"/>
    </row>
    <row r="974">
      <c r="A974" s="163"/>
    </row>
    <row r="975">
      <c r="A975" s="163"/>
    </row>
    <row r="976">
      <c r="A976" s="163"/>
    </row>
    <row r="977">
      <c r="A977" s="163"/>
    </row>
    <row r="978">
      <c r="A978" s="163"/>
    </row>
    <row r="979">
      <c r="A979" s="163"/>
    </row>
    <row r="980">
      <c r="A980" s="163"/>
    </row>
    <row r="981">
      <c r="A981" s="163"/>
    </row>
    <row r="982">
      <c r="A982" s="163"/>
    </row>
    <row r="983">
      <c r="A983" s="163"/>
    </row>
    <row r="984">
      <c r="A984" s="163"/>
    </row>
    <row r="985">
      <c r="A985" s="163"/>
    </row>
    <row r="986">
      <c r="A986" s="163"/>
    </row>
    <row r="987">
      <c r="A987" s="163"/>
    </row>
    <row r="988">
      <c r="A988" s="163"/>
    </row>
    <row r="989">
      <c r="A989" s="163"/>
    </row>
    <row r="990">
      <c r="A990" s="163"/>
    </row>
    <row r="991">
      <c r="A991" s="163"/>
    </row>
    <row r="992">
      <c r="A992" s="163"/>
    </row>
    <row r="993">
      <c r="A993" s="163"/>
    </row>
    <row r="994">
      <c r="A994" s="163"/>
    </row>
    <row r="995">
      <c r="A995" s="163"/>
    </row>
    <row r="996">
      <c r="A996" s="163"/>
    </row>
    <row r="997">
      <c r="A997" s="163"/>
    </row>
    <row r="998">
      <c r="A998" s="163"/>
    </row>
    <row r="999">
      <c r="A999" s="163"/>
    </row>
    <row r="1000">
      <c r="A1000" s="16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64" t="s">
        <v>27</v>
      </c>
      <c r="B2" s="164" t="s">
        <v>27</v>
      </c>
      <c r="L2" s="9" t="str">
        <f t="array" ref="L2:L122">UNIQUE(A2:A969)</f>
        <v>Ají Verde</v>
      </c>
      <c r="M2" s="9" t="str">
        <f t="shared" ref="M2:M121" si="1">IFERROR(VLOOKUP($L2,$A:$K,2,""),"")</f>
        <v>Ají Verde</v>
      </c>
      <c r="N2" s="9" t="str">
        <f t="shared" ref="N2:N121" si="2">IFERROR(VLOOKUP($L2,$A:$K,3,""),"")</f>
        <v/>
      </c>
      <c r="O2" s="9" t="str">
        <f t="shared" ref="O2:O121" si="3">IFERROR(VLOOKUP($L2,$A:$K,4,""),"")</f>
        <v/>
      </c>
      <c r="P2" s="9" t="str">
        <f t="shared" ref="P2:P121" si="4">IFERROR(VLOOKUP($L2,$A:$K,5,""),"")</f>
        <v/>
      </c>
      <c r="Q2" s="9" t="str">
        <f t="shared" ref="Q2:Q121" si="5">IFERROR(VLOOKUP($L2,$A:$K,6,""),"")</f>
        <v/>
      </c>
      <c r="R2" s="9" t="str">
        <f t="shared" ref="R2:R121" si="6">IFERROR(VLOOKUP($L2,$A:$K,7,""),"")</f>
        <v/>
      </c>
      <c r="S2" s="9" t="str">
        <f t="shared" ref="S2:S121" si="7">IFERROR(VLOOKUP($L2,$A:$K,8,""),"")</f>
        <v/>
      </c>
      <c r="T2" s="9" t="str">
        <f t="shared" ref="T2:T121" si="8">IFERROR(VLOOKUP($L2,$A:$K,9,""),"")</f>
        <v/>
      </c>
      <c r="U2" s="9" t="str">
        <f t="shared" ref="U2:U121" si="9">IFERROR(VLOOKUP($L2,$A:$K,10,""),"")</f>
        <v/>
      </c>
    </row>
    <row r="3">
      <c r="A3" s="164" t="s">
        <v>27</v>
      </c>
      <c r="B3" s="164" t="s">
        <v>27</v>
      </c>
      <c r="L3" s="9" t="s">
        <v>127</v>
      </c>
      <c r="M3" s="9" t="str">
        <f t="shared" si="1"/>
        <v>Palito</v>
      </c>
      <c r="N3" s="9" t="str">
        <f t="shared" si="2"/>
        <v>Mix Algodón</v>
      </c>
      <c r="O3" s="9" t="str">
        <f t="shared" si="3"/>
        <v/>
      </c>
      <c r="P3" s="9" t="str">
        <f t="shared" si="4"/>
        <v/>
      </c>
      <c r="Q3" s="9" t="str">
        <f t="shared" si="5"/>
        <v/>
      </c>
      <c r="R3" s="9" t="str">
        <f t="shared" si="6"/>
        <v/>
      </c>
      <c r="S3" s="9" t="str">
        <f t="shared" si="7"/>
        <v/>
      </c>
      <c r="T3" s="9" t="str">
        <f t="shared" si="8"/>
        <v/>
      </c>
      <c r="U3" s="9" t="str">
        <f t="shared" si="9"/>
        <v/>
      </c>
    </row>
    <row r="4">
      <c r="A4" s="164" t="s">
        <v>27</v>
      </c>
      <c r="B4" s="165" t="s">
        <v>27</v>
      </c>
      <c r="C4" s="166"/>
      <c r="D4" s="165"/>
      <c r="E4" s="166"/>
      <c r="F4" s="165"/>
      <c r="G4" s="166"/>
      <c r="H4" s="165"/>
      <c r="I4" s="166"/>
      <c r="J4" s="165"/>
      <c r="K4" s="166"/>
      <c r="L4" s="165" t="s">
        <v>207</v>
      </c>
      <c r="M4" s="9" t="str">
        <f t="shared" si="1"/>
        <v>Pan Lengua</v>
      </c>
      <c r="N4" s="9" t="str">
        <f t="shared" si="2"/>
        <v>Vacuno</v>
      </c>
      <c r="O4" s="9" t="str">
        <f t="shared" si="3"/>
        <v>Tomate Picado</v>
      </c>
      <c r="P4" s="9" t="str">
        <f t="shared" si="4"/>
        <v>Palta</v>
      </c>
      <c r="Q4" s="9" t="str">
        <f t="shared" si="5"/>
        <v>Cebolla Caramelizada</v>
      </c>
      <c r="R4" s="9" t="str">
        <f t="shared" si="6"/>
        <v>Papas Hilo</v>
      </c>
      <c r="S4" s="9" t="str">
        <f t="shared" si="7"/>
        <v>Porta HotDog</v>
      </c>
      <c r="T4" s="9" t="str">
        <f t="shared" si="8"/>
        <v/>
      </c>
      <c r="U4" s="9" t="str">
        <f t="shared" si="9"/>
        <v/>
      </c>
      <c r="V4" s="165"/>
      <c r="W4" s="166"/>
      <c r="X4" s="165"/>
      <c r="Y4" s="166"/>
      <c r="Z4" s="165"/>
      <c r="AA4" s="166"/>
      <c r="AB4" s="165"/>
      <c r="AC4" s="166"/>
      <c r="AD4" s="165"/>
      <c r="AE4" s="166"/>
      <c r="AF4" s="165"/>
      <c r="AG4" s="166"/>
      <c r="AH4" s="165"/>
      <c r="AI4" s="166"/>
      <c r="AJ4" s="165"/>
      <c r="AK4" s="166"/>
      <c r="AL4" s="165"/>
      <c r="AM4" s="166"/>
      <c r="AN4" s="165"/>
      <c r="AO4" s="166"/>
      <c r="AP4" s="165"/>
      <c r="AQ4" s="166"/>
      <c r="AR4" s="165"/>
      <c r="AS4" s="166"/>
      <c r="AT4" s="165"/>
      <c r="AU4" s="166"/>
      <c r="AV4" s="165"/>
      <c r="AW4" s="166"/>
      <c r="AX4" s="165"/>
      <c r="AY4" s="166"/>
      <c r="AZ4" s="165"/>
      <c r="BA4" s="166"/>
      <c r="BB4" s="165"/>
      <c r="BC4" s="166"/>
      <c r="BD4" s="165"/>
      <c r="BE4" s="166"/>
      <c r="BF4" s="165"/>
      <c r="BG4" s="166"/>
      <c r="BH4" s="165"/>
      <c r="BI4" s="166"/>
      <c r="BJ4" s="165"/>
    </row>
    <row r="5">
      <c r="A5" s="164" t="s">
        <v>27</v>
      </c>
      <c r="B5" s="164" t="s">
        <v>27</v>
      </c>
      <c r="L5" s="9" t="s">
        <v>210</v>
      </c>
      <c r="M5" s="9" t="str">
        <f t="shared" si="1"/>
        <v>Pan Lengua</v>
      </c>
      <c r="N5" s="9" t="str">
        <f t="shared" si="2"/>
        <v>Vacuno</v>
      </c>
      <c r="O5" s="9" t="str">
        <f t="shared" si="3"/>
        <v>Tomate Picado</v>
      </c>
      <c r="P5" s="9" t="str">
        <f t="shared" si="4"/>
        <v>Palta</v>
      </c>
      <c r="Q5" s="9" t="str">
        <f t="shared" si="5"/>
        <v>Queso</v>
      </c>
      <c r="R5" s="9" t="str">
        <f t="shared" si="6"/>
        <v>Cebolla Caramelizada</v>
      </c>
      <c r="S5" s="9" t="str">
        <f t="shared" si="7"/>
        <v>Papas Hilo</v>
      </c>
      <c r="T5" s="9" t="str">
        <f t="shared" si="8"/>
        <v>Porta HotDog</v>
      </c>
      <c r="U5" s="9" t="str">
        <f t="shared" si="9"/>
        <v/>
      </c>
    </row>
    <row r="6">
      <c r="A6" s="164" t="s">
        <v>127</v>
      </c>
      <c r="B6" s="164" t="s">
        <v>128</v>
      </c>
      <c r="C6" s="164" t="s">
        <v>41</v>
      </c>
      <c r="L6" s="9" t="s">
        <v>211</v>
      </c>
      <c r="M6" s="9" t="str">
        <f t="shared" si="1"/>
        <v>Pan Lengua</v>
      </c>
      <c r="N6" s="9" t="str">
        <f t="shared" si="2"/>
        <v>Vacuno</v>
      </c>
      <c r="O6" s="9" t="str">
        <f t="shared" si="3"/>
        <v>Queso</v>
      </c>
      <c r="P6" s="9" t="str">
        <f t="shared" si="4"/>
        <v>Cebolla Caramelizada</v>
      </c>
      <c r="Q6" s="9" t="str">
        <f t="shared" si="5"/>
        <v>Champiñon</v>
      </c>
      <c r="R6" s="9" t="str">
        <f t="shared" si="6"/>
        <v>BBQ</v>
      </c>
      <c r="S6" s="9" t="str">
        <f t="shared" si="7"/>
        <v>Porta HotDog</v>
      </c>
      <c r="T6" s="9" t="str">
        <f t="shared" si="8"/>
        <v/>
      </c>
      <c r="U6" s="9" t="str">
        <f t="shared" si="9"/>
        <v/>
      </c>
    </row>
    <row r="7">
      <c r="A7" s="164" t="s">
        <v>127</v>
      </c>
      <c r="B7" s="164" t="s">
        <v>128</v>
      </c>
      <c r="C7" s="164" t="s">
        <v>41</v>
      </c>
      <c r="L7" s="9" t="s">
        <v>212</v>
      </c>
      <c r="M7" s="9" t="str">
        <f t="shared" si="1"/>
        <v>Flauta 23Cms</v>
      </c>
      <c r="N7" s="9" t="str">
        <f t="shared" si="2"/>
        <v>Vacuno</v>
      </c>
      <c r="O7" s="9" t="str">
        <f t="shared" si="3"/>
        <v>Queso</v>
      </c>
      <c r="P7" s="9" t="str">
        <f t="shared" si="4"/>
        <v>Cebolla Caramelizada</v>
      </c>
      <c r="Q7" s="9" t="str">
        <f t="shared" si="5"/>
        <v>Champiñon</v>
      </c>
      <c r="R7" s="9" t="str">
        <f t="shared" si="6"/>
        <v>BBQ</v>
      </c>
      <c r="S7" s="9" t="str">
        <f t="shared" si="7"/>
        <v>Porta HotDog</v>
      </c>
      <c r="T7" s="9" t="str">
        <f t="shared" si="8"/>
        <v/>
      </c>
      <c r="U7" s="9" t="str">
        <f t="shared" si="9"/>
        <v/>
      </c>
    </row>
    <row r="8">
      <c r="A8" s="164" t="s">
        <v>127</v>
      </c>
      <c r="B8" s="164" t="s">
        <v>128</v>
      </c>
      <c r="C8" s="164" t="s">
        <v>41</v>
      </c>
      <c r="L8" s="9" t="s">
        <v>154</v>
      </c>
      <c r="M8" s="9" t="str">
        <f t="shared" si="1"/>
        <v>Pan Lengua</v>
      </c>
      <c r="N8" s="9" t="str">
        <f t="shared" si="2"/>
        <v>Vacuno</v>
      </c>
      <c r="O8" s="9" t="str">
        <f t="shared" si="3"/>
        <v>Tomate Picado</v>
      </c>
      <c r="P8" s="9" t="str">
        <f t="shared" si="4"/>
        <v>Palta</v>
      </c>
      <c r="Q8" s="9" t="str">
        <f t="shared" si="5"/>
        <v>Porta HotDog</v>
      </c>
      <c r="R8" s="9" t="str">
        <f t="shared" si="6"/>
        <v/>
      </c>
      <c r="S8" s="9" t="str">
        <f t="shared" si="7"/>
        <v/>
      </c>
      <c r="T8" s="9" t="str">
        <f t="shared" si="8"/>
        <v/>
      </c>
      <c r="U8" s="9" t="str">
        <f t="shared" si="9"/>
        <v/>
      </c>
    </row>
    <row r="9">
      <c r="A9" s="164" t="s">
        <v>127</v>
      </c>
      <c r="B9" s="164" t="s">
        <v>128</v>
      </c>
      <c r="C9" s="164" t="s">
        <v>41</v>
      </c>
      <c r="L9" s="9" t="s">
        <v>214</v>
      </c>
      <c r="M9" s="9" t="str">
        <f t="shared" si="1"/>
        <v>Flauta 23Cms</v>
      </c>
      <c r="N9" s="9" t="str">
        <f t="shared" si="2"/>
        <v>Vacuno</v>
      </c>
      <c r="O9" s="9" t="str">
        <f t="shared" si="3"/>
        <v>Tomate Picado</v>
      </c>
      <c r="P9" s="9" t="str">
        <f t="shared" si="4"/>
        <v>Palta</v>
      </c>
      <c r="Q9" s="9" t="str">
        <f t="shared" si="5"/>
        <v>Porta HotDog</v>
      </c>
      <c r="R9" s="9" t="str">
        <f t="shared" si="6"/>
        <v/>
      </c>
      <c r="S9" s="9" t="str">
        <f t="shared" si="7"/>
        <v/>
      </c>
      <c r="T9" s="9" t="str">
        <f t="shared" si="8"/>
        <v/>
      </c>
      <c r="U9" s="9" t="str">
        <f t="shared" si="9"/>
        <v/>
      </c>
    </row>
    <row r="10">
      <c r="A10" s="164" t="s">
        <v>207</v>
      </c>
      <c r="B10" s="164" t="s">
        <v>60</v>
      </c>
      <c r="C10" s="164" t="s">
        <v>74</v>
      </c>
      <c r="D10" s="164" t="s">
        <v>14</v>
      </c>
      <c r="E10" s="164" t="s">
        <v>15</v>
      </c>
      <c r="F10" s="164" t="s">
        <v>21</v>
      </c>
      <c r="G10" s="164" t="s">
        <v>28</v>
      </c>
      <c r="H10" s="164" t="s">
        <v>46</v>
      </c>
      <c r="L10" s="9" t="s">
        <v>73</v>
      </c>
      <c r="M10" s="9" t="str">
        <f t="shared" si="1"/>
        <v>Pan Lengua</v>
      </c>
      <c r="N10" s="9" t="str">
        <f t="shared" si="2"/>
        <v>Vacuno</v>
      </c>
      <c r="O10" s="9" t="str">
        <f t="shared" si="3"/>
        <v>Queso</v>
      </c>
      <c r="P10" s="9" t="str">
        <f t="shared" si="4"/>
        <v>Porta HotDog</v>
      </c>
      <c r="Q10" s="9" t="str">
        <f t="shared" si="5"/>
        <v/>
      </c>
      <c r="R10" s="9" t="str">
        <f t="shared" si="6"/>
        <v/>
      </c>
      <c r="S10" s="9" t="str">
        <f t="shared" si="7"/>
        <v/>
      </c>
      <c r="T10" s="9" t="str">
        <f t="shared" si="8"/>
        <v/>
      </c>
      <c r="U10" s="9" t="str">
        <f t="shared" si="9"/>
        <v/>
      </c>
    </row>
    <row r="11">
      <c r="A11" s="164" t="s">
        <v>210</v>
      </c>
      <c r="B11" s="164" t="s">
        <v>60</v>
      </c>
      <c r="C11" s="164" t="s">
        <v>74</v>
      </c>
      <c r="D11" s="164" t="s">
        <v>14</v>
      </c>
      <c r="E11" s="164" t="s">
        <v>15</v>
      </c>
      <c r="F11" s="164" t="s">
        <v>19</v>
      </c>
      <c r="G11" s="164" t="s">
        <v>21</v>
      </c>
      <c r="H11" s="164" t="s">
        <v>28</v>
      </c>
      <c r="I11" s="164" t="s">
        <v>46</v>
      </c>
      <c r="L11" s="9" t="s">
        <v>216</v>
      </c>
      <c r="M11" s="9" t="str">
        <f t="shared" si="1"/>
        <v>Flauta 23Cms</v>
      </c>
      <c r="N11" s="9" t="str">
        <f t="shared" si="2"/>
        <v>Vacuno</v>
      </c>
      <c r="O11" s="9" t="str">
        <f t="shared" si="3"/>
        <v>Queso</v>
      </c>
      <c r="P11" s="9" t="str">
        <f t="shared" si="4"/>
        <v>Porta HotDog</v>
      </c>
      <c r="Q11" s="9" t="str">
        <f t="shared" si="5"/>
        <v/>
      </c>
      <c r="R11" s="9" t="str">
        <f t="shared" si="6"/>
        <v/>
      </c>
      <c r="S11" s="9" t="str">
        <f t="shared" si="7"/>
        <v/>
      </c>
      <c r="T11" s="9" t="str">
        <f t="shared" si="8"/>
        <v/>
      </c>
      <c r="U11" s="9" t="str">
        <f t="shared" si="9"/>
        <v/>
      </c>
    </row>
    <row r="12">
      <c r="A12" s="164" t="s">
        <v>211</v>
      </c>
      <c r="B12" s="164" t="s">
        <v>60</v>
      </c>
      <c r="C12" s="164" t="s">
        <v>74</v>
      </c>
      <c r="D12" s="164" t="s">
        <v>19</v>
      </c>
      <c r="E12" s="164" t="s">
        <v>21</v>
      </c>
      <c r="F12" s="164" t="s">
        <v>23</v>
      </c>
      <c r="G12" s="164" t="s">
        <v>24</v>
      </c>
      <c r="H12" s="164" t="s">
        <v>46</v>
      </c>
      <c r="L12" s="9" t="s">
        <v>24</v>
      </c>
      <c r="M12" s="9" t="str">
        <f t="shared" si="1"/>
        <v>BBQ</v>
      </c>
      <c r="N12" s="9" t="str">
        <f t="shared" si="2"/>
        <v/>
      </c>
      <c r="O12" s="9" t="str">
        <f t="shared" si="3"/>
        <v/>
      </c>
      <c r="P12" s="9" t="str">
        <f t="shared" si="4"/>
        <v/>
      </c>
      <c r="Q12" s="9" t="str">
        <f t="shared" si="5"/>
        <v/>
      </c>
      <c r="R12" s="9" t="str">
        <f t="shared" si="6"/>
        <v/>
      </c>
      <c r="S12" s="9" t="str">
        <f t="shared" si="7"/>
        <v/>
      </c>
      <c r="T12" s="9" t="str">
        <f t="shared" si="8"/>
        <v/>
      </c>
      <c r="U12" s="9" t="str">
        <f t="shared" si="9"/>
        <v/>
      </c>
    </row>
    <row r="13">
      <c r="A13" s="164" t="s">
        <v>212</v>
      </c>
      <c r="B13" s="164" t="s">
        <v>213</v>
      </c>
      <c r="C13" s="164" t="s">
        <v>74</v>
      </c>
      <c r="D13" s="164" t="s">
        <v>19</v>
      </c>
      <c r="E13" s="164" t="s">
        <v>21</v>
      </c>
      <c r="F13" s="164" t="s">
        <v>23</v>
      </c>
      <c r="G13" s="164" t="s">
        <v>24</v>
      </c>
      <c r="H13" s="164" t="s">
        <v>46</v>
      </c>
      <c r="L13" s="9" t="s">
        <v>159</v>
      </c>
      <c r="M13" s="9" t="str">
        <f t="shared" si="1"/>
        <v>Bebida en lata</v>
      </c>
      <c r="N13" s="9" t="str">
        <f t="shared" si="2"/>
        <v/>
      </c>
      <c r="O13" s="9" t="str">
        <f t="shared" si="3"/>
        <v/>
      </c>
      <c r="P13" s="9" t="str">
        <f t="shared" si="4"/>
        <v/>
      </c>
      <c r="Q13" s="9" t="str">
        <f t="shared" si="5"/>
        <v/>
      </c>
      <c r="R13" s="9" t="str">
        <f t="shared" si="6"/>
        <v/>
      </c>
      <c r="S13" s="9" t="str">
        <f t="shared" si="7"/>
        <v/>
      </c>
      <c r="T13" s="9" t="str">
        <f t="shared" si="8"/>
        <v/>
      </c>
      <c r="U13" s="9" t="str">
        <f t="shared" si="9"/>
        <v/>
      </c>
    </row>
    <row r="14">
      <c r="A14" s="164" t="s">
        <v>154</v>
      </c>
      <c r="B14" s="164" t="s">
        <v>60</v>
      </c>
      <c r="C14" s="164" t="s">
        <v>74</v>
      </c>
      <c r="D14" s="164" t="s">
        <v>14</v>
      </c>
      <c r="E14" s="164" t="s">
        <v>15</v>
      </c>
      <c r="F14" s="164" t="s">
        <v>46</v>
      </c>
      <c r="L14" s="9" t="s">
        <v>135</v>
      </c>
      <c r="M14" s="9" t="str">
        <f t="shared" si="1"/>
        <v>Brocheta</v>
      </c>
      <c r="N14" s="9" t="str">
        <f t="shared" si="2"/>
        <v>Salsa Sundae</v>
      </c>
      <c r="O14" s="9" t="str">
        <f t="shared" si="3"/>
        <v>Plátano</v>
      </c>
      <c r="P14" s="9" t="str">
        <f t="shared" si="4"/>
        <v>Frutilla</v>
      </c>
      <c r="Q14" s="9" t="str">
        <f t="shared" si="5"/>
        <v>Marshmallow</v>
      </c>
      <c r="R14" s="9" t="str">
        <f t="shared" si="6"/>
        <v>Plato Redondo</v>
      </c>
      <c r="S14" s="9" t="str">
        <f t="shared" si="7"/>
        <v/>
      </c>
      <c r="T14" s="9" t="str">
        <f t="shared" si="8"/>
        <v/>
      </c>
      <c r="U14" s="9" t="str">
        <f t="shared" si="9"/>
        <v/>
      </c>
    </row>
    <row r="15">
      <c r="A15" s="164" t="s">
        <v>154</v>
      </c>
      <c r="B15" s="164" t="s">
        <v>60</v>
      </c>
      <c r="C15" s="164" t="s">
        <v>74</v>
      </c>
      <c r="D15" s="164" t="s">
        <v>14</v>
      </c>
      <c r="E15" s="164" t="s">
        <v>15</v>
      </c>
      <c r="F15" s="164" t="s">
        <v>46</v>
      </c>
      <c r="L15" s="9" t="s">
        <v>21</v>
      </c>
      <c r="M15" s="9" t="str">
        <f t="shared" si="1"/>
        <v>Cebolla Caramelizada</v>
      </c>
      <c r="N15" s="9" t="str">
        <f t="shared" si="2"/>
        <v/>
      </c>
      <c r="O15" s="9" t="str">
        <f t="shared" si="3"/>
        <v/>
      </c>
      <c r="P15" s="9" t="str">
        <f t="shared" si="4"/>
        <v/>
      </c>
      <c r="Q15" s="9" t="str">
        <f t="shared" si="5"/>
        <v/>
      </c>
      <c r="R15" s="9" t="str">
        <f t="shared" si="6"/>
        <v/>
      </c>
      <c r="S15" s="9" t="str">
        <f t="shared" si="7"/>
        <v/>
      </c>
      <c r="T15" s="9" t="str">
        <f t="shared" si="8"/>
        <v/>
      </c>
      <c r="U15" s="9" t="str">
        <f t="shared" si="9"/>
        <v/>
      </c>
    </row>
    <row r="16">
      <c r="A16" s="164" t="s">
        <v>154</v>
      </c>
      <c r="B16" s="164" t="s">
        <v>60</v>
      </c>
      <c r="C16" s="164" t="s">
        <v>74</v>
      </c>
      <c r="D16" s="164" t="s">
        <v>14</v>
      </c>
      <c r="E16" s="164" t="s">
        <v>15</v>
      </c>
      <c r="F16" s="164" t="s">
        <v>46</v>
      </c>
      <c r="L16" s="9" t="s">
        <v>31</v>
      </c>
      <c r="M16" s="9" t="str">
        <f t="shared" si="1"/>
        <v>Cebolla Morada</v>
      </c>
      <c r="N16" s="9" t="str">
        <f t="shared" si="2"/>
        <v/>
      </c>
      <c r="O16" s="9" t="str">
        <f t="shared" si="3"/>
        <v/>
      </c>
      <c r="P16" s="9" t="str">
        <f t="shared" si="4"/>
        <v/>
      </c>
      <c r="Q16" s="9" t="str">
        <f t="shared" si="5"/>
        <v/>
      </c>
      <c r="R16" s="9" t="str">
        <f t="shared" si="6"/>
        <v/>
      </c>
      <c r="S16" s="9" t="str">
        <f t="shared" si="7"/>
        <v/>
      </c>
      <c r="T16" s="9" t="str">
        <f t="shared" si="8"/>
        <v/>
      </c>
      <c r="U16" s="9" t="str">
        <f t="shared" si="9"/>
        <v/>
      </c>
    </row>
    <row r="17">
      <c r="A17" s="164" t="s">
        <v>154</v>
      </c>
      <c r="B17" s="164" t="s">
        <v>60</v>
      </c>
      <c r="C17" s="164" t="s">
        <v>74</v>
      </c>
      <c r="D17" s="164" t="s">
        <v>14</v>
      </c>
      <c r="E17" s="164" t="s">
        <v>15</v>
      </c>
      <c r="F17" s="164" t="s">
        <v>46</v>
      </c>
      <c r="L17" s="9" t="s">
        <v>23</v>
      </c>
      <c r="M17" s="9" t="str">
        <f t="shared" si="1"/>
        <v>Champiñon</v>
      </c>
      <c r="N17" s="9" t="str">
        <f t="shared" si="2"/>
        <v/>
      </c>
      <c r="O17" s="9" t="str">
        <f t="shared" si="3"/>
        <v/>
      </c>
      <c r="P17" s="9" t="str">
        <f t="shared" si="4"/>
        <v/>
      </c>
      <c r="Q17" s="9" t="str">
        <f t="shared" si="5"/>
        <v/>
      </c>
      <c r="R17" s="9" t="str">
        <f t="shared" si="6"/>
        <v/>
      </c>
      <c r="S17" s="9" t="str">
        <f t="shared" si="7"/>
        <v/>
      </c>
      <c r="T17" s="9" t="str">
        <f t="shared" si="8"/>
        <v/>
      </c>
      <c r="U17" s="9" t="str">
        <f t="shared" si="9"/>
        <v/>
      </c>
    </row>
    <row r="18">
      <c r="A18" s="164" t="s">
        <v>214</v>
      </c>
      <c r="B18" s="164" t="s">
        <v>213</v>
      </c>
      <c r="C18" s="164" t="s">
        <v>74</v>
      </c>
      <c r="D18" s="164" t="s">
        <v>14</v>
      </c>
      <c r="E18" s="164" t="s">
        <v>15</v>
      </c>
      <c r="F18" s="164" t="s">
        <v>46</v>
      </c>
      <c r="L18" s="9" t="s">
        <v>26</v>
      </c>
      <c r="M18" s="9" t="str">
        <f t="shared" si="1"/>
        <v>Chucrut</v>
      </c>
      <c r="N18" s="9" t="str">
        <f t="shared" si="2"/>
        <v/>
      </c>
      <c r="O18" s="9" t="str">
        <f t="shared" si="3"/>
        <v/>
      </c>
      <c r="P18" s="9" t="str">
        <f t="shared" si="4"/>
        <v/>
      </c>
      <c r="Q18" s="9" t="str">
        <f t="shared" si="5"/>
        <v/>
      </c>
      <c r="R18" s="9" t="str">
        <f t="shared" si="6"/>
        <v/>
      </c>
      <c r="S18" s="9" t="str">
        <f t="shared" si="7"/>
        <v/>
      </c>
      <c r="T18" s="9" t="str">
        <f t="shared" si="8"/>
        <v/>
      </c>
      <c r="U18" s="9" t="str">
        <f t="shared" si="9"/>
        <v/>
      </c>
    </row>
    <row r="19">
      <c r="A19" s="164" t="s">
        <v>73</v>
      </c>
      <c r="B19" s="164" t="s">
        <v>60</v>
      </c>
      <c r="C19" s="164" t="s">
        <v>74</v>
      </c>
      <c r="D19" s="164" t="s">
        <v>19</v>
      </c>
      <c r="E19" s="164" t="s">
        <v>46</v>
      </c>
      <c r="L19" s="9" t="s">
        <v>220</v>
      </c>
      <c r="M19" s="9" t="str">
        <f t="shared" si="1"/>
        <v>Pan Brioche</v>
      </c>
      <c r="N19" s="9" t="str">
        <f t="shared" si="2"/>
        <v>Vacuno</v>
      </c>
      <c r="O19" s="9" t="str">
        <f t="shared" si="3"/>
        <v>Palta</v>
      </c>
      <c r="P19" s="9" t="str">
        <f t="shared" si="4"/>
        <v>Queso</v>
      </c>
      <c r="Q19" s="9" t="str">
        <f t="shared" si="5"/>
        <v>Cebolla Caramelizada</v>
      </c>
      <c r="R19" s="9" t="str">
        <f t="shared" si="6"/>
        <v>Plato Redondo</v>
      </c>
      <c r="S19" s="9" t="str">
        <f t="shared" si="7"/>
        <v>Tomate Laminado</v>
      </c>
      <c r="T19" s="9" t="str">
        <f t="shared" si="8"/>
        <v/>
      </c>
      <c r="U19" s="9" t="str">
        <f t="shared" si="9"/>
        <v/>
      </c>
    </row>
    <row r="20">
      <c r="A20" s="164" t="s">
        <v>73</v>
      </c>
      <c r="B20" s="164" t="s">
        <v>60</v>
      </c>
      <c r="C20" s="164" t="s">
        <v>74</v>
      </c>
      <c r="D20" s="164" t="s">
        <v>19</v>
      </c>
      <c r="E20" s="164" t="s">
        <v>46</v>
      </c>
      <c r="L20" s="9" t="s">
        <v>222</v>
      </c>
      <c r="M20" s="9" t="str">
        <f t="shared" si="1"/>
        <v>Pan Brioche</v>
      </c>
      <c r="N20" s="9" t="str">
        <f t="shared" si="2"/>
        <v>Vacuno</v>
      </c>
      <c r="O20" s="9" t="str">
        <f t="shared" si="3"/>
        <v>Queso</v>
      </c>
      <c r="P20" s="9" t="str">
        <f t="shared" si="4"/>
        <v>Lechuga</v>
      </c>
      <c r="Q20" s="9" t="str">
        <f t="shared" si="5"/>
        <v>Cebolla Morada</v>
      </c>
      <c r="R20" s="9" t="str">
        <f t="shared" si="6"/>
        <v>Pepinillos</v>
      </c>
      <c r="S20" s="9" t="str">
        <f t="shared" si="7"/>
        <v>Plato Redondo</v>
      </c>
      <c r="T20" s="9" t="str">
        <f t="shared" si="8"/>
        <v>Tomate Laminado</v>
      </c>
      <c r="U20" s="9" t="str">
        <f t="shared" si="9"/>
        <v/>
      </c>
    </row>
    <row r="21">
      <c r="A21" s="164" t="s">
        <v>216</v>
      </c>
      <c r="B21" s="164" t="s">
        <v>213</v>
      </c>
      <c r="C21" s="164" t="s">
        <v>74</v>
      </c>
      <c r="D21" s="164" t="s">
        <v>19</v>
      </c>
      <c r="E21" s="164" t="s">
        <v>46</v>
      </c>
      <c r="L21" s="9" t="s">
        <v>223</v>
      </c>
      <c r="M21" s="9" t="str">
        <f t="shared" si="1"/>
        <v>Pan Brioche</v>
      </c>
      <c r="N21" s="9" t="str">
        <f t="shared" si="2"/>
        <v>Escalopin de ave</v>
      </c>
      <c r="O21" s="9" t="str">
        <f t="shared" si="3"/>
        <v>Palta</v>
      </c>
      <c r="P21" s="9" t="str">
        <f t="shared" si="4"/>
        <v>Tomate Laminado</v>
      </c>
      <c r="Q21" s="9" t="str">
        <f t="shared" si="5"/>
        <v/>
      </c>
      <c r="R21" s="9" t="str">
        <f t="shared" si="6"/>
        <v/>
      </c>
      <c r="S21" s="9" t="str">
        <f t="shared" si="7"/>
        <v/>
      </c>
      <c r="T21" s="9" t="str">
        <f t="shared" si="8"/>
        <v/>
      </c>
      <c r="U21" s="9" t="str">
        <f t="shared" si="9"/>
        <v/>
      </c>
    </row>
    <row r="22">
      <c r="A22" s="164" t="s">
        <v>24</v>
      </c>
      <c r="B22" s="164" t="s">
        <v>24</v>
      </c>
      <c r="L22" s="9" t="s">
        <v>225</v>
      </c>
      <c r="M22" s="9" t="str">
        <f t="shared" si="1"/>
        <v>Pan Brioche</v>
      </c>
      <c r="N22" s="9" t="str">
        <f t="shared" si="2"/>
        <v>Vacuno</v>
      </c>
      <c r="O22" s="9" t="str">
        <f t="shared" si="3"/>
        <v>Queso</v>
      </c>
      <c r="P22" s="9" t="str">
        <f t="shared" si="4"/>
        <v>Lechuga</v>
      </c>
      <c r="Q22" s="9" t="str">
        <f t="shared" si="5"/>
        <v>Cebolla Caramelizada</v>
      </c>
      <c r="R22" s="9" t="str">
        <f t="shared" si="6"/>
        <v>Papas Hilo</v>
      </c>
      <c r="S22" s="9" t="str">
        <f t="shared" si="7"/>
        <v>Pimentón Salteado</v>
      </c>
      <c r="T22" s="9" t="str">
        <f t="shared" si="8"/>
        <v>Plato Redondo</v>
      </c>
      <c r="U22" s="9" t="str">
        <f t="shared" si="9"/>
        <v>Tomate Laminado</v>
      </c>
    </row>
    <row r="23">
      <c r="A23" s="164" t="s">
        <v>24</v>
      </c>
      <c r="B23" s="164" t="s">
        <v>24</v>
      </c>
      <c r="L23" s="9" t="s">
        <v>86</v>
      </c>
      <c r="M23" s="9" t="str">
        <f t="shared" si="1"/>
        <v>Pan Brioche</v>
      </c>
      <c r="N23" s="9" t="str">
        <f t="shared" si="2"/>
        <v>Vacuno</v>
      </c>
      <c r="O23" s="9" t="str">
        <f t="shared" si="3"/>
        <v>Lechuga</v>
      </c>
      <c r="P23" s="9" t="str">
        <f t="shared" si="4"/>
        <v>Cebolla Caramelizada</v>
      </c>
      <c r="Q23" s="9" t="str">
        <f t="shared" si="5"/>
        <v>Chucrut</v>
      </c>
      <c r="R23" s="9" t="str">
        <f t="shared" si="6"/>
        <v>Ají Verde</v>
      </c>
      <c r="S23" s="9" t="str">
        <f t="shared" si="7"/>
        <v>Salsa Americana</v>
      </c>
      <c r="T23" s="9" t="str">
        <f t="shared" si="8"/>
        <v>Plato Redondo</v>
      </c>
      <c r="U23" s="9" t="str">
        <f t="shared" si="9"/>
        <v>Tomate Laminado</v>
      </c>
    </row>
    <row r="24">
      <c r="A24" s="164" t="s">
        <v>24</v>
      </c>
      <c r="B24" s="164" t="s">
        <v>24</v>
      </c>
      <c r="L24" s="9" t="s">
        <v>88</v>
      </c>
      <c r="M24" s="9" t="str">
        <f t="shared" si="1"/>
        <v>Pan Brioche</v>
      </c>
      <c r="N24" s="9" t="str">
        <f t="shared" si="2"/>
        <v>Vacuno</v>
      </c>
      <c r="O24" s="9" t="str">
        <f t="shared" si="3"/>
        <v>Palta</v>
      </c>
      <c r="P24" s="9" t="str">
        <f t="shared" si="4"/>
        <v>Plato Redondo</v>
      </c>
      <c r="Q24" s="9" t="str">
        <f t="shared" si="5"/>
        <v>Tomate Laminado</v>
      </c>
      <c r="R24" s="9" t="str">
        <f t="shared" si="6"/>
        <v/>
      </c>
      <c r="S24" s="9" t="str">
        <f t="shared" si="7"/>
        <v/>
      </c>
      <c r="T24" s="9" t="str">
        <f t="shared" si="8"/>
        <v/>
      </c>
      <c r="U24" s="9" t="str">
        <f t="shared" si="9"/>
        <v/>
      </c>
    </row>
    <row r="25">
      <c r="A25" s="164" t="s">
        <v>24</v>
      </c>
      <c r="B25" s="164" t="s">
        <v>24</v>
      </c>
      <c r="L25" s="9" t="s">
        <v>226</v>
      </c>
      <c r="M25" s="9" t="str">
        <f t="shared" si="1"/>
        <v>Pan Brioche</v>
      </c>
      <c r="N25" s="9" t="str">
        <f t="shared" si="2"/>
        <v>Vacuno</v>
      </c>
      <c r="O25" s="9" t="str">
        <f t="shared" si="3"/>
        <v>Queso</v>
      </c>
      <c r="P25" s="9" t="str">
        <f t="shared" si="4"/>
        <v>Plato Redondo</v>
      </c>
      <c r="Q25" s="9" t="str">
        <f t="shared" si="5"/>
        <v/>
      </c>
      <c r="R25" s="9" t="str">
        <f t="shared" si="6"/>
        <v/>
      </c>
      <c r="S25" s="9" t="str">
        <f t="shared" si="7"/>
        <v/>
      </c>
      <c r="T25" s="9" t="str">
        <f t="shared" si="8"/>
        <v/>
      </c>
      <c r="U25" s="9" t="str">
        <f t="shared" si="9"/>
        <v/>
      </c>
    </row>
    <row r="26">
      <c r="A26" s="164" t="s">
        <v>159</v>
      </c>
      <c r="B26" s="164" t="s">
        <v>159</v>
      </c>
      <c r="L26" s="9" t="s">
        <v>227</v>
      </c>
      <c r="M26" s="9" t="str">
        <f t="shared" si="1"/>
        <v>Churro Español</v>
      </c>
      <c r="N26" s="9" t="str">
        <f t="shared" si="2"/>
        <v>Azúcar flor</v>
      </c>
      <c r="O26" s="9" t="str">
        <f t="shared" si="3"/>
        <v>Saco Blanco</v>
      </c>
      <c r="P26" s="9" t="str">
        <f t="shared" si="4"/>
        <v/>
      </c>
      <c r="Q26" s="9" t="str">
        <f t="shared" si="5"/>
        <v/>
      </c>
      <c r="R26" s="9" t="str">
        <f t="shared" si="6"/>
        <v/>
      </c>
      <c r="S26" s="9" t="str">
        <f t="shared" si="7"/>
        <v/>
      </c>
      <c r="T26" s="9" t="str">
        <f t="shared" si="8"/>
        <v/>
      </c>
      <c r="U26" s="9" t="str">
        <f t="shared" si="9"/>
        <v/>
      </c>
    </row>
    <row r="27">
      <c r="A27" s="164" t="s">
        <v>159</v>
      </c>
      <c r="B27" s="164" t="s">
        <v>159</v>
      </c>
      <c r="L27" s="9" t="s">
        <v>229</v>
      </c>
      <c r="M27" s="9" t="str">
        <f t="shared" si="1"/>
        <v>Churro Relleno</v>
      </c>
      <c r="N27" s="9" t="str">
        <f t="shared" si="2"/>
        <v>Azúcar flor</v>
      </c>
      <c r="O27" s="9" t="str">
        <f t="shared" si="3"/>
        <v>Saco Blanco</v>
      </c>
      <c r="P27" s="9" t="str">
        <f t="shared" si="4"/>
        <v/>
      </c>
      <c r="Q27" s="9" t="str">
        <f t="shared" si="5"/>
        <v/>
      </c>
      <c r="R27" s="9" t="str">
        <f t="shared" si="6"/>
        <v/>
      </c>
      <c r="S27" s="9" t="str">
        <f t="shared" si="7"/>
        <v/>
      </c>
      <c r="T27" s="9" t="str">
        <f t="shared" si="8"/>
        <v/>
      </c>
      <c r="U27" s="9" t="str">
        <f t="shared" si="9"/>
        <v/>
      </c>
    </row>
    <row r="28">
      <c r="A28" s="164" t="s">
        <v>159</v>
      </c>
      <c r="B28" s="164" t="s">
        <v>159</v>
      </c>
      <c r="L28" s="9" t="s">
        <v>22</v>
      </c>
      <c r="M28" s="9" t="str">
        <f t="shared" si="1"/>
        <v>Crema Ácida</v>
      </c>
      <c r="N28" s="9" t="str">
        <f t="shared" si="2"/>
        <v/>
      </c>
      <c r="O28" s="9" t="str">
        <f t="shared" si="3"/>
        <v/>
      </c>
      <c r="P28" s="9" t="str">
        <f t="shared" si="4"/>
        <v/>
      </c>
      <c r="Q28" s="9" t="str">
        <f t="shared" si="5"/>
        <v/>
      </c>
      <c r="R28" s="9" t="str">
        <f t="shared" si="6"/>
        <v/>
      </c>
      <c r="S28" s="9" t="str">
        <f t="shared" si="7"/>
        <v/>
      </c>
      <c r="T28" s="9" t="str">
        <f t="shared" si="8"/>
        <v/>
      </c>
      <c r="U28" s="9" t="str">
        <f t="shared" si="9"/>
        <v/>
      </c>
    </row>
    <row r="29">
      <c r="A29" s="164" t="s">
        <v>159</v>
      </c>
      <c r="B29" s="164" t="s">
        <v>159</v>
      </c>
      <c r="L29" s="9" t="s">
        <v>232</v>
      </c>
      <c r="M29" s="9" t="str">
        <f t="shared" si="1"/>
        <v>Donuts</v>
      </c>
      <c r="N29" s="9" t="str">
        <f t="shared" si="2"/>
        <v>Plato Redondo</v>
      </c>
      <c r="O29" s="9" t="str">
        <f t="shared" si="3"/>
        <v/>
      </c>
      <c r="P29" s="9" t="str">
        <f t="shared" si="4"/>
        <v/>
      </c>
      <c r="Q29" s="9" t="str">
        <f t="shared" si="5"/>
        <v/>
      </c>
      <c r="R29" s="9" t="str">
        <f t="shared" si="6"/>
        <v/>
      </c>
      <c r="S29" s="9" t="str">
        <f t="shared" si="7"/>
        <v/>
      </c>
      <c r="T29" s="9" t="str">
        <f t="shared" si="8"/>
        <v/>
      </c>
      <c r="U29" s="9" t="str">
        <f t="shared" si="9"/>
        <v/>
      </c>
    </row>
    <row r="30">
      <c r="A30" s="164" t="s">
        <v>135</v>
      </c>
      <c r="B30" s="164" t="s">
        <v>136</v>
      </c>
      <c r="C30" s="164" t="s">
        <v>137</v>
      </c>
      <c r="D30" s="164" t="s">
        <v>42</v>
      </c>
      <c r="E30" s="164" t="s">
        <v>43</v>
      </c>
      <c r="F30" s="164" t="s">
        <v>44</v>
      </c>
      <c r="G30" s="164" t="s">
        <v>47</v>
      </c>
      <c r="L30" s="9" t="s">
        <v>234</v>
      </c>
      <c r="M30" s="9" t="str">
        <f t="shared" si="1"/>
        <v>Empanadas cóctel</v>
      </c>
      <c r="N30" s="9" t="str">
        <f t="shared" si="2"/>
        <v>Plato Redondo</v>
      </c>
      <c r="O30" s="9" t="str">
        <f t="shared" si="3"/>
        <v/>
      </c>
      <c r="P30" s="9" t="str">
        <f t="shared" si="4"/>
        <v/>
      </c>
      <c r="Q30" s="9" t="str">
        <f t="shared" si="5"/>
        <v/>
      </c>
      <c r="R30" s="9" t="str">
        <f t="shared" si="6"/>
        <v/>
      </c>
      <c r="S30" s="9" t="str">
        <f t="shared" si="7"/>
        <v/>
      </c>
      <c r="T30" s="9" t="str">
        <f t="shared" si="8"/>
        <v/>
      </c>
      <c r="U30" s="9" t="str">
        <f t="shared" si="9"/>
        <v/>
      </c>
    </row>
    <row r="31">
      <c r="A31" s="164" t="s">
        <v>135</v>
      </c>
      <c r="B31" s="164" t="s">
        <v>136</v>
      </c>
      <c r="C31" s="164" t="s">
        <v>137</v>
      </c>
      <c r="D31" s="164" t="s">
        <v>42</v>
      </c>
      <c r="E31" s="164" t="s">
        <v>43</v>
      </c>
      <c r="F31" s="164" t="s">
        <v>44</v>
      </c>
      <c r="L31" s="9" t="s">
        <v>43</v>
      </c>
      <c r="M31" s="9" t="str">
        <f t="shared" si="1"/>
        <v>Frutilla</v>
      </c>
      <c r="N31" s="9" t="str">
        <f t="shared" si="2"/>
        <v/>
      </c>
      <c r="O31" s="9" t="str">
        <f t="shared" si="3"/>
        <v/>
      </c>
      <c r="P31" s="9" t="str">
        <f t="shared" si="4"/>
        <v/>
      </c>
      <c r="Q31" s="9" t="str">
        <f t="shared" si="5"/>
        <v/>
      </c>
      <c r="R31" s="9" t="str">
        <f t="shared" si="6"/>
        <v/>
      </c>
      <c r="S31" s="9" t="str">
        <f t="shared" si="7"/>
        <v/>
      </c>
      <c r="T31" s="9" t="str">
        <f t="shared" si="8"/>
        <v/>
      </c>
      <c r="U31" s="9" t="str">
        <f t="shared" si="9"/>
        <v/>
      </c>
    </row>
    <row r="32">
      <c r="A32" s="164" t="s">
        <v>135</v>
      </c>
      <c r="B32" s="164" t="s">
        <v>136</v>
      </c>
      <c r="C32" s="164" t="s">
        <v>137</v>
      </c>
      <c r="D32" s="164" t="s">
        <v>42</v>
      </c>
      <c r="E32" s="164" t="s">
        <v>43</v>
      </c>
      <c r="F32" s="164" t="s">
        <v>44</v>
      </c>
      <c r="L32" s="9" t="s">
        <v>235</v>
      </c>
      <c r="M32" s="9" t="str">
        <f t="shared" si="1"/>
        <v>Vaso 330cc</v>
      </c>
      <c r="N32" s="9" t="str">
        <f t="shared" si="2"/>
        <v>Mix granizado</v>
      </c>
      <c r="O32" s="9" t="str">
        <f t="shared" si="3"/>
        <v/>
      </c>
      <c r="P32" s="9" t="str">
        <f t="shared" si="4"/>
        <v/>
      </c>
      <c r="Q32" s="9" t="str">
        <f t="shared" si="5"/>
        <v/>
      </c>
      <c r="R32" s="9" t="str">
        <f t="shared" si="6"/>
        <v/>
      </c>
      <c r="S32" s="9" t="str">
        <f t="shared" si="7"/>
        <v/>
      </c>
      <c r="T32" s="9" t="str">
        <f t="shared" si="8"/>
        <v/>
      </c>
      <c r="U32" s="9" t="str">
        <f t="shared" si="9"/>
        <v/>
      </c>
    </row>
    <row r="33">
      <c r="A33" s="164" t="s">
        <v>135</v>
      </c>
      <c r="B33" s="164" t="s">
        <v>136</v>
      </c>
      <c r="C33" s="164" t="s">
        <v>137</v>
      </c>
      <c r="D33" s="164" t="s">
        <v>42</v>
      </c>
      <c r="E33" s="164" t="s">
        <v>43</v>
      </c>
      <c r="F33" s="164" t="s">
        <v>44</v>
      </c>
      <c r="L33" s="9" t="s">
        <v>239</v>
      </c>
      <c r="M33" s="9" t="str">
        <f t="shared" si="1"/>
        <v>Pan Brioche</v>
      </c>
      <c r="N33" s="9" t="str">
        <f t="shared" si="2"/>
        <v>Hamburguesa</v>
      </c>
      <c r="O33" s="9" t="str">
        <f t="shared" si="3"/>
        <v>Queso</v>
      </c>
      <c r="P33" s="9" t="str">
        <f t="shared" si="4"/>
        <v>Lechuga</v>
      </c>
      <c r="Q33" s="9" t="str">
        <f t="shared" si="5"/>
        <v>Pepinillos</v>
      </c>
      <c r="R33" s="9" t="str">
        <f t="shared" si="6"/>
        <v>Plato Redondo</v>
      </c>
      <c r="S33" s="9" t="str">
        <f t="shared" si="7"/>
        <v>Tomate Laminado</v>
      </c>
      <c r="T33" s="9" t="str">
        <f t="shared" si="8"/>
        <v/>
      </c>
      <c r="U33" s="9" t="str">
        <f t="shared" si="9"/>
        <v/>
      </c>
    </row>
    <row r="34">
      <c r="A34" s="164" t="s">
        <v>21</v>
      </c>
      <c r="B34" s="164" t="s">
        <v>21</v>
      </c>
      <c r="L34" s="9" t="s">
        <v>241</v>
      </c>
      <c r="M34" s="9" t="str">
        <f t="shared" si="1"/>
        <v>Pan Brioche</v>
      </c>
      <c r="N34" s="9" t="str">
        <f t="shared" si="2"/>
        <v>Hamburguesa</v>
      </c>
      <c r="O34" s="9" t="str">
        <f t="shared" si="3"/>
        <v>Queso</v>
      </c>
      <c r="P34" s="9" t="str">
        <f t="shared" si="4"/>
        <v>Lechuga</v>
      </c>
      <c r="Q34" s="9" t="str">
        <f t="shared" si="5"/>
        <v>Cebolla Caramelizada</v>
      </c>
      <c r="R34" s="9" t="str">
        <f t="shared" si="6"/>
        <v>Papas Hilo</v>
      </c>
      <c r="S34" s="9" t="str">
        <f t="shared" si="7"/>
        <v>Pimentón Salteado</v>
      </c>
      <c r="T34" s="9" t="str">
        <f t="shared" si="8"/>
        <v>Plato Redondo</v>
      </c>
      <c r="U34" s="9" t="str">
        <f t="shared" si="9"/>
        <v>Tomate Laminado</v>
      </c>
    </row>
    <row r="35">
      <c r="A35" s="164" t="s">
        <v>21</v>
      </c>
      <c r="B35" s="164" t="s">
        <v>21</v>
      </c>
      <c r="L35" s="9" t="s">
        <v>84</v>
      </c>
      <c r="M35" s="9" t="str">
        <f t="shared" si="1"/>
        <v>Pan Brioche</v>
      </c>
      <c r="N35" s="9" t="str">
        <f t="shared" si="2"/>
        <v>Hamburguesa Smash</v>
      </c>
      <c r="O35" s="9" t="str">
        <f t="shared" si="3"/>
        <v>Queso</v>
      </c>
      <c r="P35" s="9" t="str">
        <f t="shared" si="4"/>
        <v>Lechuga</v>
      </c>
      <c r="Q35" s="9" t="str">
        <f t="shared" si="5"/>
        <v>Cebolla Caramelizada</v>
      </c>
      <c r="R35" s="9" t="str">
        <f t="shared" si="6"/>
        <v>Ají Verde</v>
      </c>
      <c r="S35" s="9" t="str">
        <f t="shared" si="7"/>
        <v>Papas Hilo</v>
      </c>
      <c r="T35" s="9" t="str">
        <f t="shared" si="8"/>
        <v>Salsa Americana</v>
      </c>
      <c r="U35" s="9" t="str">
        <f t="shared" si="9"/>
        <v>Plato Redondo</v>
      </c>
    </row>
    <row r="36">
      <c r="A36" s="164" t="s">
        <v>21</v>
      </c>
      <c r="B36" s="164" t="s">
        <v>21</v>
      </c>
      <c r="L36" s="9" t="s">
        <v>104</v>
      </c>
      <c r="M36" s="9" t="str">
        <f t="shared" si="1"/>
        <v>Pan Brioche</v>
      </c>
      <c r="N36" s="9" t="str">
        <f t="shared" si="2"/>
        <v>Hamburguesa</v>
      </c>
      <c r="O36" s="9" t="str">
        <f t="shared" si="3"/>
        <v>Palta</v>
      </c>
      <c r="P36" s="9" t="str">
        <f t="shared" si="4"/>
        <v>Plato Redondo</v>
      </c>
      <c r="Q36" s="9" t="str">
        <f t="shared" si="5"/>
        <v>Tomate Laminado</v>
      </c>
      <c r="R36" s="9" t="str">
        <f t="shared" si="6"/>
        <v/>
      </c>
      <c r="S36" s="9" t="str">
        <f t="shared" si="7"/>
        <v/>
      </c>
      <c r="T36" s="9" t="str">
        <f t="shared" si="8"/>
        <v/>
      </c>
      <c r="U36" s="9" t="str">
        <f t="shared" si="9"/>
        <v/>
      </c>
    </row>
    <row r="37">
      <c r="A37" s="164" t="s">
        <v>21</v>
      </c>
      <c r="B37" s="164" t="s">
        <v>21</v>
      </c>
      <c r="L37" s="9" t="s">
        <v>244</v>
      </c>
      <c r="M37" s="9" t="str">
        <f t="shared" si="1"/>
        <v>Pan Brioche</v>
      </c>
      <c r="N37" s="9" t="str">
        <f t="shared" si="2"/>
        <v>Hamburguesa</v>
      </c>
      <c r="O37" s="9" t="str">
        <f t="shared" si="3"/>
        <v>Plato Redondo</v>
      </c>
      <c r="P37" s="9" t="str">
        <f t="shared" si="4"/>
        <v/>
      </c>
      <c r="Q37" s="9" t="str">
        <f t="shared" si="5"/>
        <v/>
      </c>
      <c r="R37" s="9" t="str">
        <f t="shared" si="6"/>
        <v/>
      </c>
      <c r="S37" s="9" t="str">
        <f t="shared" si="7"/>
        <v/>
      </c>
      <c r="T37" s="9" t="str">
        <f t="shared" si="8"/>
        <v/>
      </c>
      <c r="U37" s="9" t="str">
        <f t="shared" si="9"/>
        <v/>
      </c>
    </row>
    <row r="38">
      <c r="A38" s="164" t="s">
        <v>31</v>
      </c>
      <c r="B38" s="164" t="s">
        <v>31</v>
      </c>
      <c r="L38" s="9" t="s">
        <v>246</v>
      </c>
      <c r="M38" s="9" t="str">
        <f t="shared" si="1"/>
        <v>Pan Brioche</v>
      </c>
      <c r="N38" s="9" t="str">
        <f t="shared" si="2"/>
        <v>Hamburguesa</v>
      </c>
      <c r="O38" s="9" t="str">
        <f t="shared" si="3"/>
        <v>Queso</v>
      </c>
      <c r="P38" s="9" t="str">
        <f t="shared" si="4"/>
        <v>Plato Redondo</v>
      </c>
      <c r="Q38" s="9" t="str">
        <f t="shared" si="5"/>
        <v/>
      </c>
      <c r="R38" s="9" t="str">
        <f t="shared" si="6"/>
        <v/>
      </c>
      <c r="S38" s="9" t="str">
        <f t="shared" si="7"/>
        <v/>
      </c>
      <c r="T38" s="9" t="str">
        <f t="shared" si="8"/>
        <v/>
      </c>
      <c r="U38" s="9" t="str">
        <f t="shared" si="9"/>
        <v/>
      </c>
    </row>
    <row r="39">
      <c r="A39" s="164" t="s">
        <v>31</v>
      </c>
      <c r="B39" s="164" t="s">
        <v>31</v>
      </c>
      <c r="L39" s="9" t="s">
        <v>249</v>
      </c>
      <c r="M39" s="9" t="str">
        <f t="shared" si="1"/>
        <v>Barquillo</v>
      </c>
      <c r="N39" s="9" t="str">
        <f t="shared" si="2"/>
        <v>Base helado</v>
      </c>
      <c r="O39" s="9" t="str">
        <f t="shared" si="3"/>
        <v/>
      </c>
      <c r="P39" s="9" t="str">
        <f t="shared" si="4"/>
        <v/>
      </c>
      <c r="Q39" s="9" t="str">
        <f t="shared" si="5"/>
        <v/>
      </c>
      <c r="R39" s="9" t="str">
        <f t="shared" si="6"/>
        <v/>
      </c>
      <c r="S39" s="9" t="str">
        <f t="shared" si="7"/>
        <v/>
      </c>
      <c r="T39" s="9" t="str">
        <f t="shared" si="8"/>
        <v/>
      </c>
      <c r="U39" s="9" t="str">
        <f t="shared" si="9"/>
        <v/>
      </c>
    </row>
    <row r="40">
      <c r="A40" s="164" t="s">
        <v>31</v>
      </c>
      <c r="B40" s="164" t="s">
        <v>31</v>
      </c>
      <c r="L40" s="9" t="s">
        <v>251</v>
      </c>
      <c r="M40" s="9" t="str">
        <f t="shared" si="1"/>
        <v>Vaso Sundae</v>
      </c>
      <c r="N40" s="9" t="str">
        <f t="shared" si="2"/>
        <v>Base helado</v>
      </c>
      <c r="O40" s="9" t="str">
        <f t="shared" si="3"/>
        <v>Salsa Sundae</v>
      </c>
      <c r="P40" s="9" t="str">
        <f t="shared" si="4"/>
        <v/>
      </c>
      <c r="Q40" s="9" t="str">
        <f t="shared" si="5"/>
        <v/>
      </c>
      <c r="R40" s="9" t="str">
        <f t="shared" si="6"/>
        <v/>
      </c>
      <c r="S40" s="9" t="str">
        <f t="shared" si="7"/>
        <v/>
      </c>
      <c r="T40" s="9" t="str">
        <f t="shared" si="8"/>
        <v/>
      </c>
      <c r="U40" s="9" t="str">
        <f t="shared" si="9"/>
        <v/>
      </c>
    </row>
    <row r="41">
      <c r="A41" s="164" t="s">
        <v>31</v>
      </c>
      <c r="B41" s="164" t="s">
        <v>31</v>
      </c>
      <c r="L41" s="9" t="s">
        <v>347</v>
      </c>
      <c r="M41" s="9" t="str">
        <f t="shared" si="1"/>
        <v>Pan Lengua</v>
      </c>
      <c r="N41" s="9" t="str">
        <f t="shared" si="2"/>
        <v>Salchicha Veggie</v>
      </c>
      <c r="O41" s="9" t="str">
        <f t="shared" si="3"/>
        <v>Tomate Picado</v>
      </c>
      <c r="P41" s="9" t="str">
        <f t="shared" si="4"/>
        <v>Palta</v>
      </c>
      <c r="Q41" s="9" t="str">
        <f t="shared" si="5"/>
        <v/>
      </c>
      <c r="R41" s="9" t="str">
        <f t="shared" si="6"/>
        <v/>
      </c>
      <c r="S41" s="9" t="str">
        <f t="shared" si="7"/>
        <v/>
      </c>
      <c r="T41" s="9" t="str">
        <f t="shared" si="8"/>
        <v/>
      </c>
      <c r="U41" s="9" t="str">
        <f t="shared" si="9"/>
        <v/>
      </c>
    </row>
    <row r="42">
      <c r="A42" s="164" t="s">
        <v>23</v>
      </c>
      <c r="B42" s="164" t="s">
        <v>23</v>
      </c>
      <c r="L42" s="9" t="s">
        <v>348</v>
      </c>
      <c r="M42" s="9" t="str">
        <f t="shared" si="1"/>
        <v>Pan Lengua</v>
      </c>
      <c r="N42" s="9" t="str">
        <f t="shared" si="2"/>
        <v>Salchicha</v>
      </c>
      <c r="O42" s="9" t="str">
        <f t="shared" si="3"/>
        <v>Tomate Picado</v>
      </c>
      <c r="P42" s="9" t="str">
        <f t="shared" si="4"/>
        <v>Palta</v>
      </c>
      <c r="Q42" s="9" t="str">
        <f t="shared" si="5"/>
        <v>Cebolla Caramelizada</v>
      </c>
      <c r="R42" s="9" t="str">
        <f t="shared" si="6"/>
        <v>Papas Hilo</v>
      </c>
      <c r="S42" s="9" t="str">
        <f t="shared" si="7"/>
        <v>Porta HotDog</v>
      </c>
      <c r="T42" s="9" t="str">
        <f t="shared" si="8"/>
        <v/>
      </c>
      <c r="U42" s="9" t="str">
        <f t="shared" si="9"/>
        <v/>
      </c>
    </row>
    <row r="43">
      <c r="A43" s="164" t="s">
        <v>23</v>
      </c>
      <c r="B43" s="164" t="s">
        <v>23</v>
      </c>
      <c r="L43" s="9" t="s">
        <v>349</v>
      </c>
      <c r="M43" s="9" t="str">
        <f t="shared" si="1"/>
        <v>Pan Lengua</v>
      </c>
      <c r="N43" s="9" t="str">
        <f t="shared" si="2"/>
        <v>Salchicha</v>
      </c>
      <c r="O43" s="9" t="str">
        <f t="shared" si="3"/>
        <v>Tomate Picado</v>
      </c>
      <c r="P43" s="9" t="str">
        <f t="shared" si="4"/>
        <v>Salsa Verde</v>
      </c>
      <c r="Q43" s="9" t="str">
        <f t="shared" si="5"/>
        <v>Ají Verde</v>
      </c>
      <c r="R43" s="9" t="str">
        <f t="shared" si="6"/>
        <v>Porta HotDog</v>
      </c>
      <c r="S43" s="9" t="str">
        <f t="shared" si="7"/>
        <v/>
      </c>
      <c r="T43" s="9" t="str">
        <f t="shared" si="8"/>
        <v/>
      </c>
      <c r="U43" s="9" t="str">
        <f t="shared" si="9"/>
        <v/>
      </c>
    </row>
    <row r="44">
      <c r="A44" s="164" t="s">
        <v>23</v>
      </c>
      <c r="B44" s="164" t="s">
        <v>23</v>
      </c>
      <c r="L44" s="9" t="s">
        <v>350</v>
      </c>
      <c r="M44" s="9" t="str">
        <f t="shared" si="1"/>
        <v>Pan Lengua</v>
      </c>
      <c r="N44" s="9" t="str">
        <f t="shared" si="2"/>
        <v>Salchicha</v>
      </c>
      <c r="O44" s="9" t="str">
        <f t="shared" si="3"/>
        <v>Tomate Picado</v>
      </c>
      <c r="P44" s="9" t="str">
        <f t="shared" si="4"/>
        <v>Palta</v>
      </c>
      <c r="Q44" s="9" t="str">
        <f t="shared" si="5"/>
        <v>Cebolla Caramelizada</v>
      </c>
      <c r="R44" s="9" t="str">
        <f t="shared" si="6"/>
        <v>Papas Hilo</v>
      </c>
      <c r="S44" s="9" t="str">
        <f t="shared" si="7"/>
        <v>Porta HotDog</v>
      </c>
      <c r="T44" s="9" t="str">
        <f t="shared" si="8"/>
        <v/>
      </c>
      <c r="U44" s="9" t="str">
        <f t="shared" si="9"/>
        <v/>
      </c>
    </row>
    <row r="45">
      <c r="A45" s="164" t="s">
        <v>23</v>
      </c>
      <c r="B45" s="164" t="s">
        <v>23</v>
      </c>
      <c r="L45" s="9" t="s">
        <v>351</v>
      </c>
      <c r="M45" s="9" t="str">
        <f t="shared" si="1"/>
        <v>Pan Lengua</v>
      </c>
      <c r="N45" s="9" t="str">
        <f t="shared" si="2"/>
        <v>Salchicha</v>
      </c>
      <c r="O45" s="9" t="str">
        <f t="shared" si="3"/>
        <v>Tomate Picado</v>
      </c>
      <c r="P45" s="9" t="str">
        <f t="shared" si="4"/>
        <v>Salsa Verde</v>
      </c>
      <c r="Q45" s="9" t="str">
        <f t="shared" si="5"/>
        <v>Salsa Americana</v>
      </c>
      <c r="R45" s="9" t="str">
        <f t="shared" si="6"/>
        <v>Porta HotDog</v>
      </c>
      <c r="S45" s="9" t="str">
        <f t="shared" si="7"/>
        <v/>
      </c>
      <c r="T45" s="9" t="str">
        <f t="shared" si="8"/>
        <v/>
      </c>
      <c r="U45" s="9" t="str">
        <f t="shared" si="9"/>
        <v/>
      </c>
    </row>
    <row r="46">
      <c r="A46" s="164" t="s">
        <v>26</v>
      </c>
      <c r="B46" s="164" t="s">
        <v>26</v>
      </c>
      <c r="L46" s="9" t="s">
        <v>352</v>
      </c>
      <c r="M46" s="9" t="str">
        <f t="shared" si="1"/>
        <v>Flauta 23Cms</v>
      </c>
      <c r="N46" s="9" t="str">
        <f t="shared" si="2"/>
        <v>Salchicha XL</v>
      </c>
      <c r="O46" s="9" t="str">
        <f t="shared" si="3"/>
        <v>Tomate Picado</v>
      </c>
      <c r="P46" s="9" t="str">
        <f t="shared" si="4"/>
        <v>Salsa Verde</v>
      </c>
      <c r="Q46" s="9" t="str">
        <f t="shared" si="5"/>
        <v>Salsa Americana</v>
      </c>
      <c r="R46" s="9" t="str">
        <f t="shared" si="6"/>
        <v/>
      </c>
      <c r="S46" s="9" t="str">
        <f t="shared" si="7"/>
        <v/>
      </c>
      <c r="T46" s="9" t="str">
        <f t="shared" si="8"/>
        <v/>
      </c>
      <c r="U46" s="9" t="str">
        <f t="shared" si="9"/>
        <v/>
      </c>
    </row>
    <row r="47">
      <c r="A47" s="164" t="s">
        <v>26</v>
      </c>
      <c r="B47" s="164" t="s">
        <v>26</v>
      </c>
      <c r="L47" s="9" t="s">
        <v>353</v>
      </c>
      <c r="M47" s="9" t="str">
        <f t="shared" si="1"/>
        <v>Pan Lengua</v>
      </c>
      <c r="N47" s="9" t="str">
        <f t="shared" si="2"/>
        <v>Salchicha</v>
      </c>
      <c r="O47" s="9" t="str">
        <f t="shared" si="3"/>
        <v>Queso</v>
      </c>
      <c r="P47" s="9" t="str">
        <f t="shared" si="4"/>
        <v>Cebolla Caramelizada</v>
      </c>
      <c r="Q47" s="9" t="str">
        <f t="shared" si="5"/>
        <v>Champiñon</v>
      </c>
      <c r="R47" s="9" t="str">
        <f t="shared" si="6"/>
        <v>BBQ</v>
      </c>
      <c r="S47" s="9" t="str">
        <f t="shared" si="7"/>
        <v>Porta HotDog</v>
      </c>
      <c r="T47" s="9" t="str">
        <f t="shared" si="8"/>
        <v/>
      </c>
      <c r="U47" s="9" t="str">
        <f t="shared" si="9"/>
        <v/>
      </c>
    </row>
    <row r="48">
      <c r="A48" s="164" t="s">
        <v>26</v>
      </c>
      <c r="B48" s="164" t="s">
        <v>26</v>
      </c>
      <c r="L48" s="9" t="s">
        <v>354</v>
      </c>
      <c r="M48" s="9" t="str">
        <f t="shared" si="1"/>
        <v>Flauta 23Cms</v>
      </c>
      <c r="N48" s="9" t="str">
        <f t="shared" si="2"/>
        <v>Salchicha XL</v>
      </c>
      <c r="O48" s="9" t="str">
        <f t="shared" si="3"/>
        <v>Queso</v>
      </c>
      <c r="P48" s="9" t="str">
        <f t="shared" si="4"/>
        <v>Cebolla Caramelizada</v>
      </c>
      <c r="Q48" s="9" t="str">
        <f t="shared" si="5"/>
        <v>Champiñon</v>
      </c>
      <c r="R48" s="9" t="str">
        <f t="shared" si="6"/>
        <v>BBQ</v>
      </c>
      <c r="S48" s="9" t="str">
        <f t="shared" si="7"/>
        <v/>
      </c>
      <c r="T48" s="9" t="str">
        <f t="shared" si="8"/>
        <v/>
      </c>
      <c r="U48" s="9" t="str">
        <f t="shared" si="9"/>
        <v/>
      </c>
    </row>
    <row r="49">
      <c r="A49" s="164" t="s">
        <v>26</v>
      </c>
      <c r="B49" s="164" t="s">
        <v>26</v>
      </c>
      <c r="L49" s="9" t="s">
        <v>59</v>
      </c>
      <c r="M49" s="9" t="str">
        <f t="shared" si="1"/>
        <v>Pan Lengua</v>
      </c>
      <c r="N49" s="9" t="str">
        <f t="shared" si="2"/>
        <v>Salchicha</v>
      </c>
      <c r="O49" s="9" t="str">
        <f t="shared" si="3"/>
        <v>Tomate Picado</v>
      </c>
      <c r="P49" s="9" t="str">
        <f t="shared" si="4"/>
        <v>Palta</v>
      </c>
      <c r="Q49" s="9" t="str">
        <f t="shared" si="5"/>
        <v>Porta HotDog</v>
      </c>
      <c r="R49" s="9" t="str">
        <f t="shared" si="6"/>
        <v/>
      </c>
      <c r="S49" s="9" t="str">
        <f t="shared" si="7"/>
        <v/>
      </c>
      <c r="T49" s="9" t="str">
        <f t="shared" si="8"/>
        <v/>
      </c>
      <c r="U49" s="9" t="str">
        <f t="shared" si="9"/>
        <v/>
      </c>
    </row>
    <row r="50">
      <c r="A50" s="164" t="s">
        <v>220</v>
      </c>
      <c r="B50" s="164" t="s">
        <v>71</v>
      </c>
      <c r="C50" s="164" t="s">
        <v>74</v>
      </c>
      <c r="D50" s="164" t="s">
        <v>15</v>
      </c>
      <c r="E50" s="164" t="s">
        <v>19</v>
      </c>
      <c r="F50" s="164" t="s">
        <v>21</v>
      </c>
      <c r="G50" s="164" t="s">
        <v>47</v>
      </c>
      <c r="H50" s="164" t="s">
        <v>13</v>
      </c>
      <c r="L50" s="9" t="s">
        <v>355</v>
      </c>
      <c r="M50" s="9" t="str">
        <f t="shared" si="1"/>
        <v>Flauta 23Cms</v>
      </c>
      <c r="N50" s="9" t="str">
        <f t="shared" si="2"/>
        <v>Salchicha XL</v>
      </c>
      <c r="O50" s="9" t="str">
        <f t="shared" si="3"/>
        <v>Tomate Picado</v>
      </c>
      <c r="P50" s="9" t="str">
        <f t="shared" si="4"/>
        <v>Palta</v>
      </c>
      <c r="Q50" s="9" t="str">
        <f t="shared" si="5"/>
        <v/>
      </c>
      <c r="R50" s="9" t="str">
        <f t="shared" si="6"/>
        <v/>
      </c>
      <c r="S50" s="9" t="str">
        <f t="shared" si="7"/>
        <v/>
      </c>
      <c r="T50" s="9" t="str">
        <f t="shared" si="8"/>
        <v/>
      </c>
      <c r="U50" s="9" t="str">
        <f t="shared" si="9"/>
        <v/>
      </c>
    </row>
    <row r="51">
      <c r="A51" s="164" t="s">
        <v>222</v>
      </c>
      <c r="B51" s="164" t="s">
        <v>71</v>
      </c>
      <c r="C51" s="164" t="s">
        <v>74</v>
      </c>
      <c r="D51" s="164" t="s">
        <v>19</v>
      </c>
      <c r="E51" s="164" t="s">
        <v>20</v>
      </c>
      <c r="F51" s="164" t="s">
        <v>31</v>
      </c>
      <c r="G51" s="164" t="s">
        <v>32</v>
      </c>
      <c r="H51" s="164" t="s">
        <v>47</v>
      </c>
      <c r="I51" s="164" t="s">
        <v>13</v>
      </c>
      <c r="L51" s="9" t="s">
        <v>277</v>
      </c>
      <c r="M51" s="9" t="str">
        <f t="shared" si="1"/>
        <v>Jugo en lata</v>
      </c>
      <c r="N51" s="9" t="str">
        <f t="shared" si="2"/>
        <v/>
      </c>
      <c r="O51" s="9" t="str">
        <f t="shared" si="3"/>
        <v/>
      </c>
      <c r="P51" s="9" t="str">
        <f t="shared" si="4"/>
        <v/>
      </c>
      <c r="Q51" s="9" t="str">
        <f t="shared" si="5"/>
        <v/>
      </c>
      <c r="R51" s="9" t="str">
        <f t="shared" si="6"/>
        <v/>
      </c>
      <c r="S51" s="9" t="str">
        <f t="shared" si="7"/>
        <v/>
      </c>
      <c r="T51" s="9" t="str">
        <f t="shared" si="8"/>
        <v/>
      </c>
      <c r="U51" s="9" t="str">
        <f t="shared" si="9"/>
        <v/>
      </c>
    </row>
    <row r="52">
      <c r="A52" s="164" t="s">
        <v>223</v>
      </c>
      <c r="B52" s="164" t="s">
        <v>71</v>
      </c>
      <c r="C52" s="164" t="s">
        <v>224</v>
      </c>
      <c r="D52" s="164" t="s">
        <v>15</v>
      </c>
      <c r="E52" s="164" t="s">
        <v>13</v>
      </c>
      <c r="L52" s="9" t="s">
        <v>20</v>
      </c>
      <c r="M52" s="9" t="str">
        <f t="shared" si="1"/>
        <v>Lechuga</v>
      </c>
      <c r="N52" s="9" t="str">
        <f t="shared" si="2"/>
        <v/>
      </c>
      <c r="O52" s="9" t="str">
        <f t="shared" si="3"/>
        <v/>
      </c>
      <c r="P52" s="9" t="str">
        <f t="shared" si="4"/>
        <v/>
      </c>
      <c r="Q52" s="9" t="str">
        <f t="shared" si="5"/>
        <v/>
      </c>
      <c r="R52" s="9" t="str">
        <f t="shared" si="6"/>
        <v/>
      </c>
      <c r="S52" s="9" t="str">
        <f t="shared" si="7"/>
        <v/>
      </c>
      <c r="T52" s="9" t="str">
        <f t="shared" si="8"/>
        <v/>
      </c>
      <c r="U52" s="9" t="str">
        <f t="shared" si="9"/>
        <v/>
      </c>
    </row>
    <row r="53">
      <c r="A53" s="164" t="s">
        <v>223</v>
      </c>
      <c r="B53" s="164" t="s">
        <v>71</v>
      </c>
      <c r="C53" s="164" t="s">
        <v>224</v>
      </c>
      <c r="D53" s="164" t="s">
        <v>15</v>
      </c>
      <c r="E53" s="164" t="s">
        <v>13</v>
      </c>
      <c r="L53" s="9" t="s">
        <v>279</v>
      </c>
      <c r="M53" s="9" t="str">
        <f t="shared" si="1"/>
        <v>Pan Brioche</v>
      </c>
      <c r="N53" s="9" t="str">
        <f t="shared" si="2"/>
        <v>Cerdo</v>
      </c>
      <c r="O53" s="9" t="str">
        <f t="shared" si="3"/>
        <v>Palta</v>
      </c>
      <c r="P53" s="9" t="str">
        <f t="shared" si="4"/>
        <v>Queso</v>
      </c>
      <c r="Q53" s="9" t="str">
        <f t="shared" si="5"/>
        <v>Cebolla Caramelizada</v>
      </c>
      <c r="R53" s="9" t="str">
        <f t="shared" si="6"/>
        <v>Plato Redondo</v>
      </c>
      <c r="S53" s="9" t="str">
        <f t="shared" si="7"/>
        <v>Tomate Laminado</v>
      </c>
      <c r="T53" s="9" t="str">
        <f t="shared" si="8"/>
        <v/>
      </c>
      <c r="U53" s="9" t="str">
        <f t="shared" si="9"/>
        <v/>
      </c>
    </row>
    <row r="54">
      <c r="A54" s="164" t="s">
        <v>223</v>
      </c>
      <c r="B54" s="164" t="s">
        <v>71</v>
      </c>
      <c r="C54" s="164" t="s">
        <v>224</v>
      </c>
      <c r="D54" s="164" t="s">
        <v>15</v>
      </c>
      <c r="E54" s="164" t="s">
        <v>13</v>
      </c>
      <c r="L54" s="9" t="s">
        <v>280</v>
      </c>
      <c r="M54" s="9" t="str">
        <f t="shared" si="1"/>
        <v>Pan Brioche</v>
      </c>
      <c r="N54" s="9" t="str">
        <f t="shared" si="2"/>
        <v>Cerdo</v>
      </c>
      <c r="O54" s="9" t="str">
        <f t="shared" si="3"/>
        <v>Queso</v>
      </c>
      <c r="P54" s="9" t="str">
        <f t="shared" si="4"/>
        <v>Lechuga</v>
      </c>
      <c r="Q54" s="9" t="str">
        <f t="shared" si="5"/>
        <v>Cebolla Morada</v>
      </c>
      <c r="R54" s="9" t="str">
        <f t="shared" si="6"/>
        <v>Pepinillos</v>
      </c>
      <c r="S54" s="9" t="str">
        <f t="shared" si="7"/>
        <v>Plato Redondo</v>
      </c>
      <c r="T54" s="9" t="str">
        <f t="shared" si="8"/>
        <v>Tomate Laminado</v>
      </c>
      <c r="U54" s="9" t="str">
        <f t="shared" si="9"/>
        <v/>
      </c>
    </row>
    <row r="55">
      <c r="A55" s="164" t="s">
        <v>223</v>
      </c>
      <c r="B55" s="164" t="s">
        <v>71</v>
      </c>
      <c r="C55" s="164" t="s">
        <v>224</v>
      </c>
      <c r="D55" s="164" t="s">
        <v>15</v>
      </c>
      <c r="E55" s="164" t="s">
        <v>13</v>
      </c>
      <c r="L55" s="9" t="s">
        <v>281</v>
      </c>
      <c r="M55" s="9" t="str">
        <f t="shared" si="1"/>
        <v>Pan Brioche</v>
      </c>
      <c r="N55" s="9" t="str">
        <f t="shared" si="2"/>
        <v>Cerdo</v>
      </c>
      <c r="O55" s="9" t="str">
        <f t="shared" si="3"/>
        <v>Plato Redondo</v>
      </c>
      <c r="P55" s="9" t="str">
        <f t="shared" si="4"/>
        <v/>
      </c>
      <c r="Q55" s="9" t="str">
        <f t="shared" si="5"/>
        <v/>
      </c>
      <c r="R55" s="9" t="str">
        <f t="shared" si="6"/>
        <v/>
      </c>
      <c r="S55" s="9" t="str">
        <f t="shared" si="7"/>
        <v/>
      </c>
      <c r="T55" s="9" t="str">
        <f t="shared" si="8"/>
        <v/>
      </c>
      <c r="U55" s="9" t="str">
        <f t="shared" si="9"/>
        <v/>
      </c>
    </row>
    <row r="56">
      <c r="A56" s="164" t="s">
        <v>225</v>
      </c>
      <c r="B56" s="164" t="s">
        <v>71</v>
      </c>
      <c r="C56" s="164" t="s">
        <v>74</v>
      </c>
      <c r="D56" s="164" t="s">
        <v>19</v>
      </c>
      <c r="E56" s="164" t="s">
        <v>20</v>
      </c>
      <c r="F56" s="164" t="s">
        <v>21</v>
      </c>
      <c r="G56" s="164" t="s">
        <v>28</v>
      </c>
      <c r="H56" s="164" t="s">
        <v>33</v>
      </c>
      <c r="I56" s="164" t="s">
        <v>47</v>
      </c>
      <c r="J56" s="164" t="s">
        <v>13</v>
      </c>
      <c r="L56" s="9" t="s">
        <v>283</v>
      </c>
      <c r="M56" s="9" t="str">
        <f t="shared" si="1"/>
        <v>Pan Brioche</v>
      </c>
      <c r="N56" s="9" t="str">
        <f t="shared" si="2"/>
        <v>Cerdo</v>
      </c>
      <c r="O56" s="9" t="str">
        <f t="shared" si="3"/>
        <v>Queso</v>
      </c>
      <c r="P56" s="9" t="str">
        <f t="shared" si="4"/>
        <v>Cebolla Caramelizada</v>
      </c>
      <c r="Q56" s="9" t="str">
        <f t="shared" si="5"/>
        <v>Champiñon</v>
      </c>
      <c r="R56" s="9" t="str">
        <f t="shared" si="6"/>
        <v>BBQ</v>
      </c>
      <c r="S56" s="9" t="str">
        <f t="shared" si="7"/>
        <v>Plato Redondo</v>
      </c>
      <c r="T56" s="9" t="str">
        <f t="shared" si="8"/>
        <v/>
      </c>
      <c r="U56" s="9" t="str">
        <f t="shared" si="9"/>
        <v/>
      </c>
    </row>
    <row r="57">
      <c r="A57" s="164" t="s">
        <v>86</v>
      </c>
      <c r="B57" s="164" t="s">
        <v>71</v>
      </c>
      <c r="C57" s="164" t="s">
        <v>74</v>
      </c>
      <c r="D57" s="164" t="s">
        <v>20</v>
      </c>
      <c r="E57" s="164" t="s">
        <v>21</v>
      </c>
      <c r="F57" s="164" t="s">
        <v>26</v>
      </c>
      <c r="G57" s="164" t="s">
        <v>27</v>
      </c>
      <c r="H57" s="164" t="s">
        <v>29</v>
      </c>
      <c r="I57" s="164" t="s">
        <v>47</v>
      </c>
      <c r="J57" s="164" t="s">
        <v>13</v>
      </c>
      <c r="L57" s="9" t="s">
        <v>124</v>
      </c>
      <c r="M57" s="9" t="str">
        <f t="shared" si="1"/>
        <v>Pan Brioche</v>
      </c>
      <c r="N57" s="9" t="str">
        <f t="shared" si="2"/>
        <v>Cerdo</v>
      </c>
      <c r="O57" s="9" t="str">
        <f t="shared" si="3"/>
        <v>Palta</v>
      </c>
      <c r="P57" s="9" t="str">
        <f t="shared" si="4"/>
        <v>Plato Redondo</v>
      </c>
      <c r="Q57" s="9" t="str">
        <f t="shared" si="5"/>
        <v>Tomate Laminado</v>
      </c>
      <c r="R57" s="9" t="str">
        <f t="shared" si="6"/>
        <v/>
      </c>
      <c r="S57" s="9" t="str">
        <f t="shared" si="7"/>
        <v/>
      </c>
      <c r="T57" s="9" t="str">
        <f t="shared" si="8"/>
        <v/>
      </c>
      <c r="U57" s="9" t="str">
        <f t="shared" si="9"/>
        <v/>
      </c>
    </row>
    <row r="58">
      <c r="A58" s="164" t="s">
        <v>88</v>
      </c>
      <c r="B58" s="164" t="s">
        <v>71</v>
      </c>
      <c r="C58" s="164" t="s">
        <v>74</v>
      </c>
      <c r="D58" s="164" t="s">
        <v>15</v>
      </c>
      <c r="E58" s="164" t="s">
        <v>47</v>
      </c>
      <c r="F58" s="164" t="s">
        <v>13</v>
      </c>
      <c r="L58" s="9" t="s">
        <v>284</v>
      </c>
      <c r="M58" s="9" t="str">
        <f t="shared" si="1"/>
        <v>Pan Brioche</v>
      </c>
      <c r="N58" s="9" t="str">
        <f t="shared" si="2"/>
        <v>Cerdo</v>
      </c>
      <c r="O58" s="9" t="str">
        <f t="shared" si="3"/>
        <v>Queso</v>
      </c>
      <c r="P58" s="9" t="str">
        <f t="shared" si="4"/>
        <v>Plato Redondo</v>
      </c>
      <c r="Q58" s="9" t="str">
        <f t="shared" si="5"/>
        <v/>
      </c>
      <c r="R58" s="9" t="str">
        <f t="shared" si="6"/>
        <v/>
      </c>
      <c r="S58" s="9" t="str">
        <f t="shared" si="7"/>
        <v/>
      </c>
      <c r="T58" s="9" t="str">
        <f t="shared" si="8"/>
        <v/>
      </c>
      <c r="U58" s="9" t="str">
        <f t="shared" si="9"/>
        <v/>
      </c>
    </row>
    <row r="59">
      <c r="A59" s="164" t="s">
        <v>88</v>
      </c>
      <c r="B59" s="164" t="s">
        <v>71</v>
      </c>
      <c r="C59" s="164" t="s">
        <v>74</v>
      </c>
      <c r="D59" s="164" t="s">
        <v>15</v>
      </c>
      <c r="E59" s="164" t="s">
        <v>47</v>
      </c>
      <c r="F59" s="164" t="s">
        <v>13</v>
      </c>
      <c r="L59" s="9" t="s">
        <v>44</v>
      </c>
      <c r="M59" s="9" t="str">
        <f t="shared" si="1"/>
        <v>Marshmallow</v>
      </c>
      <c r="N59" s="9" t="str">
        <f t="shared" si="2"/>
        <v/>
      </c>
      <c r="O59" s="9" t="str">
        <f t="shared" si="3"/>
        <v/>
      </c>
      <c r="P59" s="9" t="str">
        <f t="shared" si="4"/>
        <v/>
      </c>
      <c r="Q59" s="9" t="str">
        <f t="shared" si="5"/>
        <v/>
      </c>
      <c r="R59" s="9" t="str">
        <f t="shared" si="6"/>
        <v/>
      </c>
      <c r="S59" s="9" t="str">
        <f t="shared" si="7"/>
        <v/>
      </c>
      <c r="T59" s="9" t="str">
        <f t="shared" si="8"/>
        <v/>
      </c>
      <c r="U59" s="9" t="str">
        <f t="shared" si="9"/>
        <v/>
      </c>
    </row>
    <row r="60">
      <c r="A60" s="164" t="s">
        <v>88</v>
      </c>
      <c r="B60" s="164" t="s">
        <v>71</v>
      </c>
      <c r="C60" s="164" t="s">
        <v>74</v>
      </c>
      <c r="D60" s="164" t="s">
        <v>15</v>
      </c>
      <c r="E60" s="164" t="s">
        <v>47</v>
      </c>
      <c r="F60" s="164" t="s">
        <v>13</v>
      </c>
      <c r="L60" s="9" t="s">
        <v>285</v>
      </c>
      <c r="M60" s="9" t="str">
        <f t="shared" si="1"/>
        <v>Pan Brioche</v>
      </c>
      <c r="N60" s="9" t="str">
        <f t="shared" si="2"/>
        <v>Mechada</v>
      </c>
      <c r="O60" s="9" t="str">
        <f t="shared" si="3"/>
        <v>Queso</v>
      </c>
      <c r="P60" s="9" t="str">
        <f t="shared" si="4"/>
        <v>Lechuga</v>
      </c>
      <c r="Q60" s="9" t="str">
        <f t="shared" si="5"/>
        <v>Plato Redondo</v>
      </c>
      <c r="R60" s="9" t="str">
        <f t="shared" si="6"/>
        <v>Tomate Laminado</v>
      </c>
      <c r="S60" s="9" t="str">
        <f t="shared" si="7"/>
        <v/>
      </c>
      <c r="T60" s="9" t="str">
        <f t="shared" si="8"/>
        <v/>
      </c>
      <c r="U60" s="9" t="str">
        <f t="shared" si="9"/>
        <v/>
      </c>
    </row>
    <row r="61">
      <c r="A61" s="164" t="s">
        <v>88</v>
      </c>
      <c r="B61" s="164" t="s">
        <v>71</v>
      </c>
      <c r="C61" s="164" t="s">
        <v>74</v>
      </c>
      <c r="D61" s="164" t="s">
        <v>15</v>
      </c>
      <c r="E61" s="164" t="s">
        <v>47</v>
      </c>
      <c r="F61" s="164" t="s">
        <v>13</v>
      </c>
      <c r="L61" s="9" t="s">
        <v>286</v>
      </c>
      <c r="M61" s="9" t="str">
        <f t="shared" si="1"/>
        <v>Pan Brioche</v>
      </c>
      <c r="N61" s="9" t="str">
        <f t="shared" si="2"/>
        <v>Mechada</v>
      </c>
      <c r="O61" s="9" t="str">
        <f t="shared" si="3"/>
        <v>Queso</v>
      </c>
      <c r="P61" s="9" t="str">
        <f t="shared" si="4"/>
        <v>Lechuga</v>
      </c>
      <c r="Q61" s="9" t="str">
        <f t="shared" si="5"/>
        <v>Cebolla Caramelizada</v>
      </c>
      <c r="R61" s="9" t="str">
        <f t="shared" si="6"/>
        <v>Papas Hilo</v>
      </c>
      <c r="S61" s="9" t="str">
        <f t="shared" si="7"/>
        <v>Pimentón Salteado</v>
      </c>
      <c r="T61" s="9" t="str">
        <f t="shared" si="8"/>
        <v>Plato Redondo</v>
      </c>
      <c r="U61" s="9" t="str">
        <f t="shared" si="9"/>
        <v>Tomate Laminado</v>
      </c>
    </row>
    <row r="62">
      <c r="A62" s="164" t="s">
        <v>226</v>
      </c>
      <c r="B62" s="164" t="s">
        <v>71</v>
      </c>
      <c r="C62" s="164" t="s">
        <v>74</v>
      </c>
      <c r="D62" s="164" t="s">
        <v>19</v>
      </c>
      <c r="E62" s="164" t="s">
        <v>47</v>
      </c>
      <c r="L62" s="9" t="s">
        <v>287</v>
      </c>
      <c r="M62" s="9" t="str">
        <f t="shared" si="1"/>
        <v>Pan Brioche</v>
      </c>
      <c r="N62" s="9" t="str">
        <f t="shared" si="2"/>
        <v>Mechada</v>
      </c>
      <c r="O62" s="9" t="str">
        <f t="shared" si="3"/>
        <v>Palta</v>
      </c>
      <c r="P62" s="9" t="str">
        <f t="shared" si="4"/>
        <v>Cebolla Caramelizada</v>
      </c>
      <c r="Q62" s="9" t="str">
        <f t="shared" si="5"/>
        <v>Ají Verde</v>
      </c>
      <c r="R62" s="9" t="str">
        <f t="shared" si="6"/>
        <v>Salsa Americana</v>
      </c>
      <c r="S62" s="9" t="str">
        <f t="shared" si="7"/>
        <v>Plato Redondo</v>
      </c>
      <c r="T62" s="9" t="str">
        <f t="shared" si="8"/>
        <v>Tomate Laminado</v>
      </c>
      <c r="U62" s="9" t="str">
        <f t="shared" si="9"/>
        <v/>
      </c>
    </row>
    <row r="63">
      <c r="A63" s="164" t="s">
        <v>226</v>
      </c>
      <c r="B63" s="164" t="s">
        <v>71</v>
      </c>
      <c r="C63" s="164" t="s">
        <v>74</v>
      </c>
      <c r="D63" s="164" t="s">
        <v>19</v>
      </c>
      <c r="E63" s="164" t="s">
        <v>47</v>
      </c>
      <c r="L63" s="9" t="s">
        <v>70</v>
      </c>
      <c r="M63" s="9" t="str">
        <f t="shared" si="1"/>
        <v>Pan Brioche</v>
      </c>
      <c r="N63" s="9" t="str">
        <f t="shared" si="2"/>
        <v>Mechada</v>
      </c>
      <c r="O63" s="9" t="str">
        <f t="shared" si="3"/>
        <v>Palta</v>
      </c>
      <c r="P63" s="9" t="str">
        <f t="shared" si="4"/>
        <v>Plato Redondo</v>
      </c>
      <c r="Q63" s="9" t="str">
        <f t="shared" si="5"/>
        <v>Tomate Laminado</v>
      </c>
      <c r="R63" s="9" t="str">
        <f t="shared" si="6"/>
        <v/>
      </c>
      <c r="S63" s="9" t="str">
        <f t="shared" si="7"/>
        <v/>
      </c>
      <c r="T63" s="9" t="str">
        <f t="shared" si="8"/>
        <v/>
      </c>
      <c r="U63" s="9" t="str">
        <f t="shared" si="9"/>
        <v/>
      </c>
    </row>
    <row r="64">
      <c r="A64" s="164" t="s">
        <v>227</v>
      </c>
      <c r="B64" s="164" t="s">
        <v>228</v>
      </c>
      <c r="C64" s="164" t="s">
        <v>45</v>
      </c>
      <c r="D64" s="164" t="s">
        <v>48</v>
      </c>
      <c r="L64" s="9" t="s">
        <v>288</v>
      </c>
      <c r="M64" s="9" t="str">
        <f t="shared" si="1"/>
        <v>Pan Brioche</v>
      </c>
      <c r="N64" s="9" t="str">
        <f t="shared" si="2"/>
        <v>Mechada</v>
      </c>
      <c r="O64" s="9" t="str">
        <f t="shared" si="3"/>
        <v>Palta</v>
      </c>
      <c r="P64" s="9" t="str">
        <f t="shared" si="4"/>
        <v>Queso</v>
      </c>
      <c r="Q64" s="9" t="str">
        <f t="shared" si="5"/>
        <v>Cebolla Caramelizada</v>
      </c>
      <c r="R64" s="9" t="str">
        <f t="shared" si="6"/>
        <v>Plato Redondo</v>
      </c>
      <c r="S64" s="9" t="str">
        <f t="shared" si="7"/>
        <v>Tomate Laminado</v>
      </c>
      <c r="T64" s="9" t="str">
        <f t="shared" si="8"/>
        <v/>
      </c>
      <c r="U64" s="9" t="str">
        <f t="shared" si="9"/>
        <v/>
      </c>
    </row>
    <row r="65">
      <c r="A65" s="164" t="s">
        <v>227</v>
      </c>
      <c r="B65" s="164" t="s">
        <v>228</v>
      </c>
      <c r="C65" s="164" t="s">
        <v>45</v>
      </c>
      <c r="D65" s="164" t="s">
        <v>48</v>
      </c>
      <c r="L65" s="9" t="s">
        <v>289</v>
      </c>
      <c r="M65" s="9" t="str">
        <f t="shared" si="1"/>
        <v>Pan Brioche</v>
      </c>
      <c r="N65" s="9" t="str">
        <f t="shared" si="2"/>
        <v>Mechada</v>
      </c>
      <c r="O65" s="9" t="str">
        <f t="shared" si="3"/>
        <v>Queso</v>
      </c>
      <c r="P65" s="9" t="str">
        <f t="shared" si="4"/>
        <v>Plato Redondo</v>
      </c>
      <c r="Q65" s="9" t="str">
        <f t="shared" si="5"/>
        <v/>
      </c>
      <c r="R65" s="9" t="str">
        <f t="shared" si="6"/>
        <v/>
      </c>
      <c r="S65" s="9" t="str">
        <f t="shared" si="7"/>
        <v/>
      </c>
      <c r="T65" s="9" t="str">
        <f t="shared" si="8"/>
        <v/>
      </c>
      <c r="U65" s="9" t="str">
        <f t="shared" si="9"/>
        <v/>
      </c>
    </row>
    <row r="66">
      <c r="A66" s="164" t="s">
        <v>227</v>
      </c>
      <c r="B66" s="164" t="s">
        <v>228</v>
      </c>
      <c r="C66" s="164" t="s">
        <v>45</v>
      </c>
      <c r="D66" s="164" t="s">
        <v>48</v>
      </c>
      <c r="L66" s="9" t="s">
        <v>356</v>
      </c>
      <c r="M66" s="9" t="str">
        <f t="shared" si="1"/>
        <v>Mechada</v>
      </c>
      <c r="N66" s="9" t="str">
        <f t="shared" si="2"/>
        <v/>
      </c>
      <c r="O66" s="9" t="str">
        <f t="shared" si="3"/>
        <v/>
      </c>
      <c r="P66" s="9" t="str">
        <f t="shared" si="4"/>
        <v/>
      </c>
      <c r="Q66" s="9" t="str">
        <f t="shared" si="5"/>
        <v/>
      </c>
      <c r="R66" s="9" t="str">
        <f t="shared" si="6"/>
        <v/>
      </c>
      <c r="S66" s="9" t="str">
        <f t="shared" si="7"/>
        <v/>
      </c>
      <c r="T66" s="9" t="str">
        <f t="shared" si="8"/>
        <v/>
      </c>
      <c r="U66" s="9" t="str">
        <f t="shared" si="9"/>
        <v/>
      </c>
    </row>
    <row r="67">
      <c r="A67" s="164" t="s">
        <v>227</v>
      </c>
      <c r="B67" s="164" t="s">
        <v>228</v>
      </c>
      <c r="C67" s="164" t="s">
        <v>45</v>
      </c>
      <c r="D67" s="164" t="s">
        <v>48</v>
      </c>
      <c r="L67" s="9" t="s">
        <v>290</v>
      </c>
      <c r="M67" s="9" t="str">
        <f t="shared" si="1"/>
        <v>Medialuna</v>
      </c>
      <c r="N67" s="9" t="str">
        <f t="shared" si="2"/>
        <v>Plato Redondo</v>
      </c>
      <c r="O67" s="9" t="str">
        <f t="shared" si="3"/>
        <v/>
      </c>
      <c r="P67" s="9" t="str">
        <f t="shared" si="4"/>
        <v/>
      </c>
      <c r="Q67" s="9" t="str">
        <f t="shared" si="5"/>
        <v/>
      </c>
      <c r="R67" s="9" t="str">
        <f t="shared" si="6"/>
        <v/>
      </c>
      <c r="S67" s="9" t="str">
        <f t="shared" si="7"/>
        <v/>
      </c>
      <c r="T67" s="9" t="str">
        <f t="shared" si="8"/>
        <v/>
      </c>
      <c r="U67" s="9" t="str">
        <f t="shared" si="9"/>
        <v/>
      </c>
    </row>
    <row r="68">
      <c r="A68" s="164" t="s">
        <v>229</v>
      </c>
      <c r="B68" s="164" t="s">
        <v>230</v>
      </c>
      <c r="C68" s="164" t="s">
        <v>45</v>
      </c>
      <c r="D68" s="164" t="s">
        <v>48</v>
      </c>
      <c r="L68" s="9" t="s">
        <v>357</v>
      </c>
      <c r="M68" s="9" t="str">
        <f t="shared" si="1"/>
        <v>Pan Lengua Mini</v>
      </c>
      <c r="N68" s="9" t="str">
        <f t="shared" si="2"/>
        <v>Vacuno</v>
      </c>
      <c r="O68" s="9" t="str">
        <f t="shared" si="3"/>
        <v>Tomate Picado</v>
      </c>
      <c r="P68" s="9" t="str">
        <f t="shared" si="4"/>
        <v>Palta</v>
      </c>
      <c r="Q68" s="9" t="str">
        <f t="shared" si="5"/>
        <v>Porta HotDog</v>
      </c>
      <c r="R68" s="9" t="str">
        <f t="shared" si="6"/>
        <v/>
      </c>
      <c r="S68" s="9" t="str">
        <f t="shared" si="7"/>
        <v/>
      </c>
      <c r="T68" s="9" t="str">
        <f t="shared" si="8"/>
        <v/>
      </c>
      <c r="U68" s="9" t="str">
        <f t="shared" si="9"/>
        <v/>
      </c>
    </row>
    <row r="69">
      <c r="A69" s="164" t="s">
        <v>229</v>
      </c>
      <c r="B69" s="164" t="s">
        <v>230</v>
      </c>
      <c r="C69" s="164" t="s">
        <v>45</v>
      </c>
      <c r="D69" s="164" t="s">
        <v>48</v>
      </c>
      <c r="L69" s="9" t="s">
        <v>291</v>
      </c>
      <c r="M69" s="9" t="str">
        <f t="shared" si="1"/>
        <v>Pan Lengua Mini</v>
      </c>
      <c r="N69" s="9" t="str">
        <f t="shared" si="2"/>
        <v>Vacuno</v>
      </c>
      <c r="O69" s="9" t="str">
        <f t="shared" si="3"/>
        <v>Tomate Picado</v>
      </c>
      <c r="P69" s="9" t="str">
        <f t="shared" si="4"/>
        <v>Palta</v>
      </c>
      <c r="Q69" s="9" t="str">
        <f t="shared" si="5"/>
        <v>Porta HotDog</v>
      </c>
      <c r="R69" s="9" t="str">
        <f t="shared" si="6"/>
        <v/>
      </c>
      <c r="S69" s="9" t="str">
        <f t="shared" si="7"/>
        <v/>
      </c>
      <c r="T69" s="9" t="str">
        <f t="shared" si="8"/>
        <v/>
      </c>
      <c r="U69" s="9" t="str">
        <f t="shared" si="9"/>
        <v/>
      </c>
    </row>
    <row r="70">
      <c r="A70" s="164" t="s">
        <v>229</v>
      </c>
      <c r="B70" s="164" t="s">
        <v>230</v>
      </c>
      <c r="C70" s="164" t="s">
        <v>45</v>
      </c>
      <c r="D70" s="164" t="s">
        <v>48</v>
      </c>
      <c r="L70" s="9" t="s">
        <v>358</v>
      </c>
      <c r="M70" s="9" t="str">
        <f t="shared" si="1"/>
        <v>Pan Lengua Mini</v>
      </c>
      <c r="N70" s="9" t="str">
        <f t="shared" si="2"/>
        <v>Vacuno</v>
      </c>
      <c r="O70" s="9" t="str">
        <f t="shared" si="3"/>
        <v>Queso</v>
      </c>
      <c r="P70" s="9" t="str">
        <f t="shared" si="4"/>
        <v>Porta HotDog</v>
      </c>
      <c r="Q70" s="9" t="str">
        <f t="shared" si="5"/>
        <v/>
      </c>
      <c r="R70" s="9" t="str">
        <f t="shared" si="6"/>
        <v/>
      </c>
      <c r="S70" s="9" t="str">
        <f t="shared" si="7"/>
        <v/>
      </c>
      <c r="T70" s="9" t="str">
        <f t="shared" si="8"/>
        <v/>
      </c>
      <c r="U70" s="9" t="str">
        <f t="shared" si="9"/>
        <v/>
      </c>
    </row>
    <row r="71">
      <c r="A71" s="164" t="s">
        <v>229</v>
      </c>
      <c r="B71" s="164" t="s">
        <v>230</v>
      </c>
      <c r="C71" s="164" t="s">
        <v>45</v>
      </c>
      <c r="D71" s="164" t="s">
        <v>48</v>
      </c>
      <c r="L71" s="9" t="s">
        <v>294</v>
      </c>
      <c r="M71" s="9" t="str">
        <f t="shared" si="1"/>
        <v>Pan Lengua Mini</v>
      </c>
      <c r="N71" s="9" t="str">
        <f t="shared" si="2"/>
        <v>Vacuno</v>
      </c>
      <c r="O71" s="9" t="str">
        <f t="shared" si="3"/>
        <v>Queso</v>
      </c>
      <c r="P71" s="9" t="str">
        <f t="shared" si="4"/>
        <v>Porta HotDog</v>
      </c>
      <c r="Q71" s="9" t="str">
        <f t="shared" si="5"/>
        <v/>
      </c>
      <c r="R71" s="9" t="str">
        <f t="shared" si="6"/>
        <v/>
      </c>
      <c r="S71" s="9" t="str">
        <f t="shared" si="7"/>
        <v/>
      </c>
      <c r="T71" s="9" t="str">
        <f t="shared" si="8"/>
        <v/>
      </c>
      <c r="U71" s="9" t="str">
        <f t="shared" si="9"/>
        <v/>
      </c>
    </row>
    <row r="72">
      <c r="A72" s="164" t="s">
        <v>22</v>
      </c>
      <c r="B72" s="164" t="s">
        <v>22</v>
      </c>
      <c r="L72" s="9" t="s">
        <v>359</v>
      </c>
      <c r="M72" s="9" t="str">
        <f t="shared" si="1"/>
        <v>Pan Amasado Mini</v>
      </c>
      <c r="N72" s="9" t="str">
        <f t="shared" si="2"/>
        <v>Hamburguesa Smash</v>
      </c>
      <c r="O72" s="9" t="str">
        <f t="shared" si="3"/>
        <v>Queso</v>
      </c>
      <c r="P72" s="9" t="str">
        <f t="shared" si="4"/>
        <v>Cebolla Caramelizada</v>
      </c>
      <c r="Q72" s="9" t="str">
        <f t="shared" si="5"/>
        <v>BBQ</v>
      </c>
      <c r="R72" s="9" t="str">
        <f t="shared" si="6"/>
        <v>Plato Redondo</v>
      </c>
      <c r="S72" s="9" t="str">
        <f t="shared" si="7"/>
        <v/>
      </c>
      <c r="T72" s="9" t="str">
        <f t="shared" si="8"/>
        <v/>
      </c>
      <c r="U72" s="9" t="str">
        <f t="shared" si="9"/>
        <v/>
      </c>
    </row>
    <row r="73">
      <c r="A73" s="164" t="s">
        <v>22</v>
      </c>
      <c r="B73" s="164" t="s">
        <v>22</v>
      </c>
      <c r="L73" s="9" t="s">
        <v>295</v>
      </c>
      <c r="M73" s="9" t="str">
        <f t="shared" si="1"/>
        <v>Pan Amasado Mini</v>
      </c>
      <c r="N73" s="9" t="str">
        <f t="shared" si="2"/>
        <v>Hamburguesa Smash</v>
      </c>
      <c r="O73" s="9" t="str">
        <f t="shared" si="3"/>
        <v>Queso</v>
      </c>
      <c r="P73" s="9" t="str">
        <f t="shared" si="4"/>
        <v>Lechuga</v>
      </c>
      <c r="Q73" s="9" t="str">
        <f t="shared" si="5"/>
        <v>Plato Redondo</v>
      </c>
      <c r="R73" s="9" t="str">
        <f t="shared" si="6"/>
        <v>Tomate Laminado</v>
      </c>
      <c r="S73" s="9" t="str">
        <f t="shared" si="7"/>
        <v/>
      </c>
      <c r="T73" s="9" t="str">
        <f t="shared" si="8"/>
        <v/>
      </c>
      <c r="U73" s="9" t="str">
        <f t="shared" si="9"/>
        <v/>
      </c>
    </row>
    <row r="74">
      <c r="A74" s="164" t="s">
        <v>22</v>
      </c>
      <c r="B74" s="164" t="s">
        <v>22</v>
      </c>
      <c r="L74" s="9" t="s">
        <v>360</v>
      </c>
      <c r="M74" s="9" t="str">
        <f t="shared" si="1"/>
        <v>Pan Amasado Mini</v>
      </c>
      <c r="N74" s="9" t="str">
        <f t="shared" si="2"/>
        <v>Hamburguesa Smash</v>
      </c>
      <c r="O74" s="9" t="str">
        <f t="shared" si="3"/>
        <v>Queso</v>
      </c>
      <c r="P74" s="9" t="str">
        <f t="shared" si="4"/>
        <v>Cebolla Caramelizada</v>
      </c>
      <c r="Q74" s="9" t="str">
        <f t="shared" si="5"/>
        <v>BBQ</v>
      </c>
      <c r="R74" s="9" t="str">
        <f t="shared" si="6"/>
        <v>Plato Redondo</v>
      </c>
      <c r="S74" s="9" t="str">
        <f t="shared" si="7"/>
        <v/>
      </c>
      <c r="T74" s="9" t="str">
        <f t="shared" si="8"/>
        <v/>
      </c>
      <c r="U74" s="9" t="str">
        <f t="shared" si="9"/>
        <v/>
      </c>
    </row>
    <row r="75">
      <c r="A75" s="164" t="s">
        <v>22</v>
      </c>
      <c r="B75" s="164" t="s">
        <v>22</v>
      </c>
      <c r="L75" s="9" t="s">
        <v>133</v>
      </c>
      <c r="M75" s="9" t="str">
        <f t="shared" si="1"/>
        <v>Pan Amasado Mini</v>
      </c>
      <c r="N75" s="9" t="str">
        <f t="shared" si="2"/>
        <v>Hamburguesa Smash</v>
      </c>
      <c r="O75" s="9" t="str">
        <f t="shared" si="3"/>
        <v>Palta</v>
      </c>
      <c r="P75" s="9" t="str">
        <f t="shared" si="4"/>
        <v>Plato Redondo</v>
      </c>
      <c r="Q75" s="9" t="str">
        <f t="shared" si="5"/>
        <v>Tomate Laminado</v>
      </c>
      <c r="R75" s="9" t="str">
        <f t="shared" si="6"/>
        <v/>
      </c>
      <c r="S75" s="9" t="str">
        <f t="shared" si="7"/>
        <v/>
      </c>
      <c r="T75" s="9" t="str">
        <f t="shared" si="8"/>
        <v/>
      </c>
      <c r="U75" s="9" t="str">
        <f t="shared" si="9"/>
        <v/>
      </c>
    </row>
    <row r="76">
      <c r="A76" s="164" t="s">
        <v>232</v>
      </c>
      <c r="B76" s="164" t="s">
        <v>232</v>
      </c>
      <c r="C76" s="164" t="s">
        <v>47</v>
      </c>
      <c r="L76" s="9" t="s">
        <v>297</v>
      </c>
      <c r="M76" s="9" t="str">
        <f t="shared" si="1"/>
        <v>Pan Amasado Mini</v>
      </c>
      <c r="N76" s="9" t="str">
        <f t="shared" si="2"/>
        <v>Vacuno</v>
      </c>
      <c r="O76" s="9" t="str">
        <f t="shared" si="3"/>
        <v>Queso</v>
      </c>
      <c r="P76" s="9" t="str">
        <f t="shared" si="4"/>
        <v>Cebolla Caramelizada</v>
      </c>
      <c r="Q76" s="9" t="str">
        <f t="shared" si="5"/>
        <v>BBQ</v>
      </c>
      <c r="R76" s="9" t="str">
        <f t="shared" si="6"/>
        <v>Plato Redondo</v>
      </c>
      <c r="S76" s="9" t="str">
        <f t="shared" si="7"/>
        <v/>
      </c>
      <c r="T76" s="9" t="str">
        <f t="shared" si="8"/>
        <v/>
      </c>
      <c r="U76" s="9" t="str">
        <f t="shared" si="9"/>
        <v/>
      </c>
    </row>
    <row r="77">
      <c r="A77" s="164" t="s">
        <v>232</v>
      </c>
      <c r="B77" s="164" t="s">
        <v>232</v>
      </c>
      <c r="C77" s="164" t="s">
        <v>47</v>
      </c>
      <c r="L77" s="9" t="s">
        <v>298</v>
      </c>
      <c r="M77" s="9" t="str">
        <f t="shared" si="1"/>
        <v>Pan Amasado Mini</v>
      </c>
      <c r="N77" s="9" t="str">
        <f t="shared" si="2"/>
        <v>Vacuno</v>
      </c>
      <c r="O77" s="9" t="str">
        <f t="shared" si="3"/>
        <v>Palta</v>
      </c>
      <c r="P77" s="9" t="str">
        <f t="shared" si="4"/>
        <v>Plato Redondo</v>
      </c>
      <c r="Q77" s="9" t="str">
        <f t="shared" si="5"/>
        <v>Tomate Laminado</v>
      </c>
      <c r="R77" s="9" t="str">
        <f t="shared" si="6"/>
        <v/>
      </c>
      <c r="S77" s="9" t="str">
        <f t="shared" si="7"/>
        <v/>
      </c>
      <c r="T77" s="9" t="str">
        <f t="shared" si="8"/>
        <v/>
      </c>
      <c r="U77" s="9" t="str">
        <f t="shared" si="9"/>
        <v/>
      </c>
    </row>
    <row r="78">
      <c r="A78" s="164" t="s">
        <v>232</v>
      </c>
      <c r="B78" s="164" t="s">
        <v>232</v>
      </c>
      <c r="C78" s="164" t="s">
        <v>47</v>
      </c>
      <c r="L78" s="9" t="s">
        <v>131</v>
      </c>
      <c r="M78" s="9" t="str">
        <f t="shared" si="1"/>
        <v>Pan Lengua Mini</v>
      </c>
      <c r="N78" s="9" t="str">
        <f t="shared" si="2"/>
        <v>Salchicha</v>
      </c>
      <c r="O78" s="9" t="str">
        <f t="shared" si="3"/>
        <v>Tomate Picado</v>
      </c>
      <c r="P78" s="9" t="str">
        <f t="shared" si="4"/>
        <v>Palta</v>
      </c>
      <c r="Q78" s="9" t="str">
        <f t="shared" si="5"/>
        <v>Porta HotDog</v>
      </c>
      <c r="R78" s="9" t="str">
        <f t="shared" si="6"/>
        <v/>
      </c>
      <c r="S78" s="9" t="str">
        <f t="shared" si="7"/>
        <v/>
      </c>
      <c r="T78" s="9" t="str">
        <f t="shared" si="8"/>
        <v/>
      </c>
      <c r="U78" s="9" t="str">
        <f t="shared" si="9"/>
        <v/>
      </c>
    </row>
    <row r="79">
      <c r="A79" s="164" t="s">
        <v>232</v>
      </c>
      <c r="B79" s="164" t="s">
        <v>232</v>
      </c>
      <c r="C79" s="164" t="s">
        <v>47</v>
      </c>
      <c r="L79" s="9" t="s">
        <v>299</v>
      </c>
      <c r="M79" s="9" t="str">
        <f t="shared" si="1"/>
        <v>Pan Lengua Mini</v>
      </c>
      <c r="N79" s="9" t="str">
        <f t="shared" si="2"/>
        <v>Cerdo</v>
      </c>
      <c r="O79" s="9" t="str">
        <f t="shared" si="3"/>
        <v>Queso</v>
      </c>
      <c r="P79" s="9" t="str">
        <f t="shared" si="4"/>
        <v>Cebolla Caramelizada</v>
      </c>
      <c r="Q79" s="9" t="str">
        <f t="shared" si="5"/>
        <v>BBQ</v>
      </c>
      <c r="R79" s="9" t="str">
        <f t="shared" si="6"/>
        <v>Plato Redondo</v>
      </c>
      <c r="S79" s="9" t="str">
        <f t="shared" si="7"/>
        <v/>
      </c>
      <c r="T79" s="9" t="str">
        <f t="shared" si="8"/>
        <v/>
      </c>
      <c r="U79" s="9" t="str">
        <f t="shared" si="9"/>
        <v/>
      </c>
    </row>
    <row r="80">
      <c r="A80" s="164" t="s">
        <v>234</v>
      </c>
      <c r="B80" s="164" t="s">
        <v>234</v>
      </c>
      <c r="C80" s="164" t="s">
        <v>47</v>
      </c>
      <c r="L80" s="9" t="s">
        <v>300</v>
      </c>
      <c r="M80" s="9" t="str">
        <f t="shared" si="1"/>
        <v>Pan Amasado Mini</v>
      </c>
      <c r="N80" s="9" t="str">
        <f t="shared" si="2"/>
        <v>Cerdo</v>
      </c>
      <c r="O80" s="9" t="str">
        <f t="shared" si="3"/>
        <v>Palta</v>
      </c>
      <c r="P80" s="9" t="str">
        <f t="shared" si="4"/>
        <v>Plato Redondo</v>
      </c>
      <c r="Q80" s="9" t="str">
        <f t="shared" si="5"/>
        <v>Tomate Laminado</v>
      </c>
      <c r="R80" s="9" t="str">
        <f t="shared" si="6"/>
        <v/>
      </c>
      <c r="S80" s="9" t="str">
        <f t="shared" si="7"/>
        <v/>
      </c>
      <c r="T80" s="9" t="str">
        <f t="shared" si="8"/>
        <v/>
      </c>
      <c r="U80" s="9" t="str">
        <f t="shared" si="9"/>
        <v/>
      </c>
    </row>
    <row r="81">
      <c r="A81" s="164" t="s">
        <v>234</v>
      </c>
      <c r="B81" s="164" t="s">
        <v>234</v>
      </c>
      <c r="C81" s="164" t="s">
        <v>47</v>
      </c>
      <c r="L81" s="9" t="s">
        <v>301</v>
      </c>
      <c r="M81" s="9" t="str">
        <f t="shared" si="1"/>
        <v>Pan Lengua Mini</v>
      </c>
      <c r="N81" s="9" t="str">
        <f t="shared" si="2"/>
        <v>Vacuno</v>
      </c>
      <c r="O81" s="9" t="str">
        <f t="shared" si="3"/>
        <v>Queso</v>
      </c>
      <c r="P81" s="9" t="str">
        <f t="shared" si="4"/>
        <v>Cebolla Caramelizada</v>
      </c>
      <c r="Q81" s="9" t="str">
        <f t="shared" si="5"/>
        <v>BBQ</v>
      </c>
      <c r="R81" s="9" t="str">
        <f t="shared" si="6"/>
        <v>Plato Redondo</v>
      </c>
      <c r="S81" s="9" t="str">
        <f t="shared" si="7"/>
        <v/>
      </c>
      <c r="T81" s="9" t="str">
        <f t="shared" si="8"/>
        <v/>
      </c>
      <c r="U81" s="9" t="str">
        <f t="shared" si="9"/>
        <v/>
      </c>
    </row>
    <row r="82">
      <c r="A82" s="164" t="s">
        <v>234</v>
      </c>
      <c r="B82" s="164" t="s">
        <v>234</v>
      </c>
      <c r="C82" s="164" t="s">
        <v>47</v>
      </c>
      <c r="L82" s="9" t="s">
        <v>302</v>
      </c>
      <c r="M82" s="9" t="str">
        <f t="shared" si="1"/>
        <v>Pan Amasado Mini</v>
      </c>
      <c r="N82" s="9" t="str">
        <f t="shared" si="2"/>
        <v>Mechada</v>
      </c>
      <c r="O82" s="9" t="str">
        <f t="shared" si="3"/>
        <v>Palta</v>
      </c>
      <c r="P82" s="9" t="str">
        <f t="shared" si="4"/>
        <v>Plato Redondo</v>
      </c>
      <c r="Q82" s="9" t="str">
        <f t="shared" si="5"/>
        <v>Tomate Laminado</v>
      </c>
      <c r="R82" s="9" t="str">
        <f t="shared" si="6"/>
        <v/>
      </c>
      <c r="S82" s="9" t="str">
        <f t="shared" si="7"/>
        <v/>
      </c>
      <c r="T82" s="9" t="str">
        <f t="shared" si="8"/>
        <v/>
      </c>
      <c r="U82" s="9" t="str">
        <f t="shared" si="9"/>
        <v/>
      </c>
    </row>
    <row r="83">
      <c r="A83" s="164" t="s">
        <v>234</v>
      </c>
      <c r="B83" s="164" t="s">
        <v>234</v>
      </c>
      <c r="C83" s="164" t="s">
        <v>47</v>
      </c>
      <c r="L83" s="9" t="s">
        <v>303</v>
      </c>
      <c r="M83" s="9" t="str">
        <f t="shared" si="1"/>
        <v>Muffin</v>
      </c>
      <c r="N83" s="9" t="str">
        <f t="shared" si="2"/>
        <v/>
      </c>
      <c r="O83" s="9" t="str">
        <f t="shared" si="3"/>
        <v/>
      </c>
      <c r="P83" s="9" t="str">
        <f t="shared" si="4"/>
        <v/>
      </c>
      <c r="Q83" s="9" t="str">
        <f t="shared" si="5"/>
        <v/>
      </c>
      <c r="R83" s="9" t="str">
        <f t="shared" si="6"/>
        <v/>
      </c>
      <c r="S83" s="9" t="str">
        <f t="shared" si="7"/>
        <v/>
      </c>
      <c r="T83" s="9" t="str">
        <f t="shared" si="8"/>
        <v/>
      </c>
      <c r="U83" s="9" t="str">
        <f t="shared" si="9"/>
        <v/>
      </c>
    </row>
    <row r="84">
      <c r="A84" s="164" t="s">
        <v>43</v>
      </c>
      <c r="B84" s="164" t="s">
        <v>43</v>
      </c>
      <c r="L84" s="9" t="s">
        <v>304</v>
      </c>
      <c r="M84" s="9" t="str">
        <f t="shared" si="1"/>
        <v>Pan Brioche</v>
      </c>
      <c r="N84" s="9" t="str">
        <f t="shared" si="2"/>
        <v>NOT burger</v>
      </c>
      <c r="O84" s="9" t="str">
        <f t="shared" si="3"/>
        <v>Palta</v>
      </c>
      <c r="P84" s="9" t="str">
        <f t="shared" si="4"/>
        <v>Tomate Laminado</v>
      </c>
      <c r="Q84" s="9" t="str">
        <f t="shared" si="5"/>
        <v/>
      </c>
      <c r="R84" s="9" t="str">
        <f t="shared" si="6"/>
        <v/>
      </c>
      <c r="S84" s="9" t="str">
        <f t="shared" si="7"/>
        <v/>
      </c>
      <c r="T84" s="9" t="str">
        <f t="shared" si="8"/>
        <v/>
      </c>
      <c r="U84" s="9" t="str">
        <f t="shared" si="9"/>
        <v/>
      </c>
    </row>
    <row r="85">
      <c r="A85" s="164" t="s">
        <v>43</v>
      </c>
      <c r="B85" s="164" t="s">
        <v>43</v>
      </c>
      <c r="L85" s="9" t="s">
        <v>306</v>
      </c>
      <c r="M85" s="9" t="str">
        <f t="shared" si="1"/>
        <v>Nuggets</v>
      </c>
      <c r="N85" s="9" t="str">
        <f t="shared" si="2"/>
        <v>Plato Redondo</v>
      </c>
      <c r="O85" s="9" t="str">
        <f t="shared" si="3"/>
        <v/>
      </c>
      <c r="P85" s="9" t="str">
        <f t="shared" si="4"/>
        <v/>
      </c>
      <c r="Q85" s="9" t="str">
        <f t="shared" si="5"/>
        <v/>
      </c>
      <c r="R85" s="9" t="str">
        <f t="shared" si="6"/>
        <v/>
      </c>
      <c r="S85" s="9" t="str">
        <f t="shared" si="7"/>
        <v/>
      </c>
      <c r="T85" s="9" t="str">
        <f t="shared" si="8"/>
        <v/>
      </c>
      <c r="U85" s="9" t="str">
        <f t="shared" si="9"/>
        <v/>
      </c>
    </row>
    <row r="86">
      <c r="A86" s="164" t="s">
        <v>43</v>
      </c>
      <c r="B86" s="164" t="s">
        <v>43</v>
      </c>
      <c r="L86" s="9" t="s">
        <v>15</v>
      </c>
      <c r="M86" s="9" t="str">
        <f t="shared" si="1"/>
        <v>Palta</v>
      </c>
      <c r="N86" s="9" t="str">
        <f t="shared" si="2"/>
        <v/>
      </c>
      <c r="O86" s="9" t="str">
        <f t="shared" si="3"/>
        <v/>
      </c>
      <c r="P86" s="9" t="str">
        <f t="shared" si="4"/>
        <v/>
      </c>
      <c r="Q86" s="9" t="str">
        <f t="shared" si="5"/>
        <v/>
      </c>
      <c r="R86" s="9" t="str">
        <f t="shared" si="6"/>
        <v/>
      </c>
      <c r="S86" s="9" t="str">
        <f t="shared" si="7"/>
        <v/>
      </c>
      <c r="T86" s="9" t="str">
        <f t="shared" si="8"/>
        <v/>
      </c>
      <c r="U86" s="9" t="str">
        <f t="shared" si="9"/>
        <v/>
      </c>
    </row>
    <row r="87">
      <c r="A87" s="164" t="s">
        <v>43</v>
      </c>
      <c r="B87" s="164" t="s">
        <v>43</v>
      </c>
      <c r="L87" s="9" t="s">
        <v>119</v>
      </c>
      <c r="M87" s="9" t="str">
        <f t="shared" si="1"/>
        <v>Papas Fritas</v>
      </c>
      <c r="N87" s="9" t="str">
        <f t="shared" si="2"/>
        <v>Estuche Papas Fritas</v>
      </c>
      <c r="O87" s="9" t="str">
        <f t="shared" si="3"/>
        <v/>
      </c>
      <c r="P87" s="9" t="str">
        <f t="shared" si="4"/>
        <v/>
      </c>
      <c r="Q87" s="9" t="str">
        <f t="shared" si="5"/>
        <v/>
      </c>
      <c r="R87" s="9" t="str">
        <f t="shared" si="6"/>
        <v/>
      </c>
      <c r="S87" s="9" t="str">
        <f t="shared" si="7"/>
        <v/>
      </c>
      <c r="T87" s="9" t="str">
        <f t="shared" si="8"/>
        <v/>
      </c>
      <c r="U87" s="9" t="str">
        <f t="shared" si="9"/>
        <v/>
      </c>
    </row>
    <row r="88">
      <c r="A88" s="164" t="s">
        <v>235</v>
      </c>
      <c r="B88" s="164" t="s">
        <v>236</v>
      </c>
      <c r="C88" s="164" t="s">
        <v>37</v>
      </c>
      <c r="L88" s="9" t="s">
        <v>28</v>
      </c>
      <c r="M88" s="9" t="str">
        <f t="shared" si="1"/>
        <v>Papas Hilo</v>
      </c>
      <c r="N88" s="9" t="str">
        <f t="shared" si="2"/>
        <v/>
      </c>
      <c r="O88" s="9" t="str">
        <f t="shared" si="3"/>
        <v/>
      </c>
      <c r="P88" s="9" t="str">
        <f t="shared" si="4"/>
        <v/>
      </c>
      <c r="Q88" s="9" t="str">
        <f t="shared" si="5"/>
        <v/>
      </c>
      <c r="R88" s="9" t="str">
        <f t="shared" si="6"/>
        <v/>
      </c>
      <c r="S88" s="9" t="str">
        <f t="shared" si="7"/>
        <v/>
      </c>
      <c r="T88" s="9" t="str">
        <f t="shared" si="8"/>
        <v/>
      </c>
      <c r="U88" s="9" t="str">
        <f t="shared" si="9"/>
        <v/>
      </c>
    </row>
    <row r="89">
      <c r="A89" s="164" t="s">
        <v>235</v>
      </c>
      <c r="B89" s="164" t="s">
        <v>236</v>
      </c>
      <c r="C89" s="164" t="s">
        <v>37</v>
      </c>
      <c r="L89" s="9" t="s">
        <v>361</v>
      </c>
      <c r="M89" s="9" t="str">
        <f t="shared" si="1"/>
        <v>Papas Smile</v>
      </c>
      <c r="N89" s="9" t="str">
        <f t="shared" si="2"/>
        <v>Plato Redondo</v>
      </c>
      <c r="O89" s="9" t="str">
        <f t="shared" si="3"/>
        <v/>
      </c>
      <c r="P89" s="9" t="str">
        <f t="shared" si="4"/>
        <v/>
      </c>
      <c r="Q89" s="9" t="str">
        <f t="shared" si="5"/>
        <v/>
      </c>
      <c r="R89" s="9" t="str">
        <f t="shared" si="6"/>
        <v/>
      </c>
      <c r="S89" s="9" t="str">
        <f t="shared" si="7"/>
        <v/>
      </c>
      <c r="T89" s="9" t="str">
        <f t="shared" si="8"/>
        <v/>
      </c>
      <c r="U89" s="9" t="str">
        <f t="shared" si="9"/>
        <v/>
      </c>
    </row>
    <row r="90">
      <c r="A90" s="164" t="s">
        <v>235</v>
      </c>
      <c r="B90" s="164" t="s">
        <v>236</v>
      </c>
      <c r="C90" s="164" t="s">
        <v>37</v>
      </c>
      <c r="L90" s="9" t="s">
        <v>32</v>
      </c>
      <c r="M90" s="9" t="str">
        <f t="shared" si="1"/>
        <v>Pepinillos</v>
      </c>
      <c r="N90" s="9" t="str">
        <f t="shared" si="2"/>
        <v/>
      </c>
      <c r="O90" s="9" t="str">
        <f t="shared" si="3"/>
        <v/>
      </c>
      <c r="P90" s="9" t="str">
        <f t="shared" si="4"/>
        <v/>
      </c>
      <c r="Q90" s="9" t="str">
        <f t="shared" si="5"/>
        <v/>
      </c>
      <c r="R90" s="9" t="str">
        <f t="shared" si="6"/>
        <v/>
      </c>
      <c r="S90" s="9" t="str">
        <f t="shared" si="7"/>
        <v/>
      </c>
      <c r="T90" s="9" t="str">
        <f t="shared" si="8"/>
        <v/>
      </c>
      <c r="U90" s="9" t="str">
        <f t="shared" si="9"/>
        <v/>
      </c>
    </row>
    <row r="91">
      <c r="A91" s="164" t="s">
        <v>235</v>
      </c>
      <c r="B91" s="164" t="s">
        <v>236</v>
      </c>
      <c r="C91" s="164" t="s">
        <v>37</v>
      </c>
      <c r="L91" s="9" t="s">
        <v>33</v>
      </c>
      <c r="M91" s="9" t="str">
        <f t="shared" si="1"/>
        <v>Pimentón Salteado</v>
      </c>
      <c r="N91" s="9" t="str">
        <f t="shared" si="2"/>
        <v/>
      </c>
      <c r="O91" s="9" t="str">
        <f t="shared" si="3"/>
        <v/>
      </c>
      <c r="P91" s="9" t="str">
        <f t="shared" si="4"/>
        <v/>
      </c>
      <c r="Q91" s="9" t="str">
        <f t="shared" si="5"/>
        <v/>
      </c>
      <c r="R91" s="9" t="str">
        <f t="shared" si="6"/>
        <v/>
      </c>
      <c r="S91" s="9" t="str">
        <f t="shared" si="7"/>
        <v/>
      </c>
      <c r="T91" s="9" t="str">
        <f t="shared" si="8"/>
        <v/>
      </c>
      <c r="U91" s="9" t="str">
        <f t="shared" si="9"/>
        <v/>
      </c>
    </row>
    <row r="92">
      <c r="A92" s="164" t="s">
        <v>239</v>
      </c>
      <c r="B92" s="164" t="s">
        <v>71</v>
      </c>
      <c r="C92" s="164" t="s">
        <v>81</v>
      </c>
      <c r="D92" s="164" t="s">
        <v>19</v>
      </c>
      <c r="E92" s="164" t="s">
        <v>20</v>
      </c>
      <c r="F92" s="164" t="s">
        <v>32</v>
      </c>
      <c r="G92" s="164" t="s">
        <v>47</v>
      </c>
      <c r="H92" s="164" t="s">
        <v>13</v>
      </c>
      <c r="L92" s="9" t="s">
        <v>309</v>
      </c>
      <c r="M92" s="9" t="str">
        <f t="shared" si="1"/>
        <v>Pizza Jamón queso</v>
      </c>
      <c r="N92" s="9" t="str">
        <f t="shared" si="2"/>
        <v>Plato Redondo</v>
      </c>
      <c r="O92" s="9" t="str">
        <f t="shared" si="3"/>
        <v/>
      </c>
      <c r="P92" s="9" t="str">
        <f t="shared" si="4"/>
        <v/>
      </c>
      <c r="Q92" s="9" t="str">
        <f t="shared" si="5"/>
        <v/>
      </c>
      <c r="R92" s="9" t="str">
        <f t="shared" si="6"/>
        <v/>
      </c>
      <c r="S92" s="9" t="str">
        <f t="shared" si="7"/>
        <v/>
      </c>
      <c r="T92" s="9" t="str">
        <f t="shared" si="8"/>
        <v/>
      </c>
      <c r="U92" s="9" t="str">
        <f t="shared" si="9"/>
        <v/>
      </c>
    </row>
    <row r="93">
      <c r="A93" s="164" t="s">
        <v>239</v>
      </c>
      <c r="B93" s="164" t="s">
        <v>71</v>
      </c>
      <c r="C93" s="164" t="s">
        <v>85</v>
      </c>
      <c r="D93" s="164" t="s">
        <v>19</v>
      </c>
      <c r="E93" s="164" t="s">
        <v>20</v>
      </c>
      <c r="F93" s="164" t="s">
        <v>47</v>
      </c>
      <c r="G93" s="164" t="s">
        <v>13</v>
      </c>
      <c r="L93" s="9" t="s">
        <v>310</v>
      </c>
      <c r="M93" s="9" t="str">
        <f t="shared" si="1"/>
        <v>Pizza Pepperoni</v>
      </c>
      <c r="N93" s="9" t="str">
        <f t="shared" si="2"/>
        <v>Plato Redondo</v>
      </c>
      <c r="O93" s="9" t="str">
        <f t="shared" si="3"/>
        <v/>
      </c>
      <c r="P93" s="9" t="str">
        <f t="shared" si="4"/>
        <v/>
      </c>
      <c r="Q93" s="9" t="str">
        <f t="shared" si="5"/>
        <v/>
      </c>
      <c r="R93" s="9" t="str">
        <f t="shared" si="6"/>
        <v/>
      </c>
      <c r="S93" s="9" t="str">
        <f t="shared" si="7"/>
        <v/>
      </c>
      <c r="T93" s="9" t="str">
        <f t="shared" si="8"/>
        <v/>
      </c>
      <c r="U93" s="9" t="str">
        <f t="shared" si="9"/>
        <v/>
      </c>
    </row>
    <row r="94">
      <c r="A94" s="164" t="s">
        <v>239</v>
      </c>
      <c r="B94" s="164" t="s">
        <v>71</v>
      </c>
      <c r="C94" s="164" t="s">
        <v>81</v>
      </c>
      <c r="D94" s="164" t="s">
        <v>19</v>
      </c>
      <c r="E94" s="164" t="s">
        <v>20</v>
      </c>
      <c r="F94" s="164" t="s">
        <v>47</v>
      </c>
      <c r="G94" s="164" t="s">
        <v>13</v>
      </c>
      <c r="L94" s="9" t="s">
        <v>311</v>
      </c>
      <c r="M94" s="9" t="str">
        <f t="shared" si="1"/>
        <v>Pizza Veggie</v>
      </c>
      <c r="N94" s="9" t="str">
        <f t="shared" si="2"/>
        <v>Plato Redondo</v>
      </c>
      <c r="O94" s="9" t="str">
        <f t="shared" si="3"/>
        <v/>
      </c>
      <c r="P94" s="9" t="str">
        <f t="shared" si="4"/>
        <v/>
      </c>
      <c r="Q94" s="9" t="str">
        <f t="shared" si="5"/>
        <v/>
      </c>
      <c r="R94" s="9" t="str">
        <f t="shared" si="6"/>
        <v/>
      </c>
      <c r="S94" s="9" t="str">
        <f t="shared" si="7"/>
        <v/>
      </c>
      <c r="T94" s="9" t="str">
        <f t="shared" si="8"/>
        <v/>
      </c>
      <c r="U94" s="9" t="str">
        <f t="shared" si="9"/>
        <v/>
      </c>
    </row>
    <row r="95">
      <c r="A95" s="164" t="s">
        <v>239</v>
      </c>
      <c r="B95" s="164" t="s">
        <v>71</v>
      </c>
      <c r="C95" s="164" t="s">
        <v>81</v>
      </c>
      <c r="D95" s="164" t="s">
        <v>19</v>
      </c>
      <c r="E95" s="164" t="s">
        <v>20</v>
      </c>
      <c r="F95" s="164" t="s">
        <v>31</v>
      </c>
      <c r="G95" s="164" t="s">
        <v>32</v>
      </c>
      <c r="H95" s="164" t="s">
        <v>47</v>
      </c>
      <c r="I95" s="164" t="s">
        <v>13</v>
      </c>
      <c r="L95" s="9" t="s">
        <v>312</v>
      </c>
      <c r="M95" s="9" t="str">
        <f t="shared" si="1"/>
        <v>Pizzeta Jamón Queso</v>
      </c>
      <c r="N95" s="9" t="str">
        <f t="shared" si="2"/>
        <v>Plato Redondo</v>
      </c>
      <c r="O95" s="9" t="str">
        <f t="shared" si="3"/>
        <v/>
      </c>
      <c r="P95" s="9" t="str">
        <f t="shared" si="4"/>
        <v/>
      </c>
      <c r="Q95" s="9" t="str">
        <f t="shared" si="5"/>
        <v/>
      </c>
      <c r="R95" s="9" t="str">
        <f t="shared" si="6"/>
        <v/>
      </c>
      <c r="S95" s="9" t="str">
        <f t="shared" si="7"/>
        <v/>
      </c>
      <c r="T95" s="9" t="str">
        <f t="shared" si="8"/>
        <v/>
      </c>
      <c r="U95" s="9" t="str">
        <f t="shared" si="9"/>
        <v/>
      </c>
    </row>
    <row r="96">
      <c r="A96" s="164" t="s">
        <v>241</v>
      </c>
      <c r="B96" s="164" t="s">
        <v>71</v>
      </c>
      <c r="C96" s="164" t="s">
        <v>81</v>
      </c>
      <c r="D96" s="164" t="s">
        <v>19</v>
      </c>
      <c r="E96" s="164" t="s">
        <v>20</v>
      </c>
      <c r="F96" s="164" t="s">
        <v>21</v>
      </c>
      <c r="G96" s="164" t="s">
        <v>28</v>
      </c>
      <c r="H96" s="164" t="s">
        <v>33</v>
      </c>
      <c r="I96" s="164" t="s">
        <v>47</v>
      </c>
      <c r="J96" s="164" t="s">
        <v>13</v>
      </c>
      <c r="L96" s="9" t="s">
        <v>313</v>
      </c>
      <c r="M96" s="9" t="str">
        <f t="shared" si="1"/>
        <v>Pizzeta Pepperoni</v>
      </c>
      <c r="N96" s="9" t="str">
        <f t="shared" si="2"/>
        <v>Plato Redondo</v>
      </c>
      <c r="O96" s="9" t="str">
        <f t="shared" si="3"/>
        <v/>
      </c>
      <c r="P96" s="9" t="str">
        <f t="shared" si="4"/>
        <v/>
      </c>
      <c r="Q96" s="9" t="str">
        <f t="shared" si="5"/>
        <v/>
      </c>
      <c r="R96" s="9" t="str">
        <f t="shared" si="6"/>
        <v/>
      </c>
      <c r="S96" s="9" t="str">
        <f t="shared" si="7"/>
        <v/>
      </c>
      <c r="T96" s="9" t="str">
        <f t="shared" si="8"/>
        <v/>
      </c>
      <c r="U96" s="9" t="str">
        <f t="shared" si="9"/>
        <v/>
      </c>
    </row>
    <row r="97">
      <c r="A97" s="164" t="s">
        <v>84</v>
      </c>
      <c r="B97" s="164" t="s">
        <v>71</v>
      </c>
      <c r="C97" s="164" t="s">
        <v>85</v>
      </c>
      <c r="D97" s="164" t="s">
        <v>19</v>
      </c>
      <c r="E97" s="164" t="s">
        <v>20</v>
      </c>
      <c r="F97" s="164" t="s">
        <v>21</v>
      </c>
      <c r="G97" s="164" t="s">
        <v>27</v>
      </c>
      <c r="H97" s="164" t="s">
        <v>28</v>
      </c>
      <c r="I97" s="164" t="s">
        <v>29</v>
      </c>
      <c r="J97" s="164" t="s">
        <v>47</v>
      </c>
      <c r="K97" s="164" t="s">
        <v>13</v>
      </c>
      <c r="L97" s="9" t="s">
        <v>314</v>
      </c>
      <c r="M97" s="9" t="str">
        <f t="shared" si="1"/>
        <v>Pizzeta Veggie</v>
      </c>
      <c r="N97" s="9" t="str">
        <f t="shared" si="2"/>
        <v>Plato Redondo</v>
      </c>
      <c r="O97" s="9" t="str">
        <f t="shared" si="3"/>
        <v/>
      </c>
      <c r="P97" s="9" t="str">
        <f t="shared" si="4"/>
        <v/>
      </c>
      <c r="Q97" s="9" t="str">
        <f t="shared" si="5"/>
        <v/>
      </c>
      <c r="R97" s="9" t="str">
        <f t="shared" si="6"/>
        <v/>
      </c>
      <c r="S97" s="9" t="str">
        <f t="shared" si="7"/>
        <v/>
      </c>
      <c r="T97" s="9" t="str">
        <f t="shared" si="8"/>
        <v/>
      </c>
      <c r="U97" s="9" t="str">
        <f t="shared" si="9"/>
        <v/>
      </c>
    </row>
    <row r="98">
      <c r="A98" s="164" t="s">
        <v>104</v>
      </c>
      <c r="B98" s="164" t="s">
        <v>71</v>
      </c>
      <c r="C98" s="164" t="s">
        <v>81</v>
      </c>
      <c r="D98" s="164" t="s">
        <v>15</v>
      </c>
      <c r="E98" s="164" t="s">
        <v>47</v>
      </c>
      <c r="F98" s="164" t="s">
        <v>13</v>
      </c>
      <c r="L98" s="9" t="s">
        <v>42</v>
      </c>
      <c r="M98" s="9" t="str">
        <f t="shared" si="1"/>
        <v/>
      </c>
      <c r="N98" s="9" t="str">
        <f t="shared" si="2"/>
        <v/>
      </c>
      <c r="O98" s="9" t="str">
        <f t="shared" si="3"/>
        <v/>
      </c>
      <c r="P98" s="9" t="str">
        <f t="shared" si="4"/>
        <v/>
      </c>
      <c r="Q98" s="9" t="str">
        <f t="shared" si="5"/>
        <v/>
      </c>
      <c r="R98" s="9" t="str">
        <f t="shared" si="6"/>
        <v/>
      </c>
      <c r="S98" s="9" t="str">
        <f t="shared" si="7"/>
        <v/>
      </c>
      <c r="T98" s="9" t="str">
        <f t="shared" si="8"/>
        <v/>
      </c>
      <c r="U98" s="9" t="str">
        <f t="shared" si="9"/>
        <v/>
      </c>
    </row>
    <row r="99">
      <c r="A99" s="164" t="s">
        <v>104</v>
      </c>
      <c r="B99" s="164" t="s">
        <v>71</v>
      </c>
      <c r="C99" s="164" t="s">
        <v>85</v>
      </c>
      <c r="D99" s="164" t="s">
        <v>15</v>
      </c>
      <c r="E99" s="164" t="s">
        <v>47</v>
      </c>
      <c r="F99" s="164" t="s">
        <v>13</v>
      </c>
      <c r="L99" s="9" t="s">
        <v>315</v>
      </c>
      <c r="M99" s="9" t="str">
        <f t="shared" si="1"/>
        <v>Cucurucho</v>
      </c>
      <c r="N99" s="9" t="str">
        <f t="shared" si="2"/>
        <v>Azúcar</v>
      </c>
      <c r="O99" s="9" t="str">
        <f t="shared" si="3"/>
        <v>Maíz</v>
      </c>
      <c r="P99" s="9" t="str">
        <f t="shared" si="4"/>
        <v>Aceite</v>
      </c>
      <c r="Q99" s="9" t="str">
        <f t="shared" si="5"/>
        <v/>
      </c>
      <c r="R99" s="9" t="str">
        <f t="shared" si="6"/>
        <v/>
      </c>
      <c r="S99" s="9" t="str">
        <f t="shared" si="7"/>
        <v/>
      </c>
      <c r="T99" s="9" t="str">
        <f t="shared" si="8"/>
        <v/>
      </c>
      <c r="U99" s="9" t="str">
        <f t="shared" si="9"/>
        <v/>
      </c>
    </row>
    <row r="100">
      <c r="A100" s="164" t="s">
        <v>104</v>
      </c>
      <c r="B100" s="164" t="s">
        <v>71</v>
      </c>
      <c r="C100" s="164" t="s">
        <v>81</v>
      </c>
      <c r="D100" s="164" t="s">
        <v>15</v>
      </c>
      <c r="E100" s="164" t="s">
        <v>47</v>
      </c>
      <c r="F100" s="164" t="s">
        <v>13</v>
      </c>
      <c r="L100" s="9" t="s">
        <v>30</v>
      </c>
      <c r="M100" s="9" t="str">
        <f t="shared" si="1"/>
        <v>Poroto Negro</v>
      </c>
      <c r="N100" s="9" t="str">
        <f t="shared" si="2"/>
        <v/>
      </c>
      <c r="O100" s="9" t="str">
        <f t="shared" si="3"/>
        <v/>
      </c>
      <c r="P100" s="9" t="str">
        <f t="shared" si="4"/>
        <v/>
      </c>
      <c r="Q100" s="9" t="str">
        <f t="shared" si="5"/>
        <v/>
      </c>
      <c r="R100" s="9" t="str">
        <f t="shared" si="6"/>
        <v/>
      </c>
      <c r="S100" s="9" t="str">
        <f t="shared" si="7"/>
        <v/>
      </c>
      <c r="T100" s="9" t="str">
        <f t="shared" si="8"/>
        <v/>
      </c>
      <c r="U100" s="9" t="str">
        <f t="shared" si="9"/>
        <v/>
      </c>
    </row>
    <row r="101">
      <c r="A101" s="164" t="s">
        <v>104</v>
      </c>
      <c r="B101" s="164" t="s">
        <v>71</v>
      </c>
      <c r="C101" s="164" t="s">
        <v>81</v>
      </c>
      <c r="D101" s="164" t="s">
        <v>15</v>
      </c>
      <c r="E101" s="164" t="s">
        <v>47</v>
      </c>
      <c r="F101" s="164" t="s">
        <v>13</v>
      </c>
      <c r="L101" s="9" t="s">
        <v>19</v>
      </c>
      <c r="M101" s="9" t="str">
        <f t="shared" si="1"/>
        <v>Queso</v>
      </c>
      <c r="N101" s="9" t="str">
        <f t="shared" si="2"/>
        <v/>
      </c>
      <c r="O101" s="9" t="str">
        <f t="shared" si="3"/>
        <v/>
      </c>
      <c r="P101" s="9" t="str">
        <f t="shared" si="4"/>
        <v/>
      </c>
      <c r="Q101" s="9" t="str">
        <f t="shared" si="5"/>
        <v/>
      </c>
      <c r="R101" s="9" t="str">
        <f t="shared" si="6"/>
        <v/>
      </c>
      <c r="S101" s="9" t="str">
        <f t="shared" si="7"/>
        <v/>
      </c>
      <c r="T101" s="9" t="str">
        <f t="shared" si="8"/>
        <v/>
      </c>
      <c r="U101" s="9" t="str">
        <f t="shared" si="9"/>
        <v/>
      </c>
    </row>
    <row r="102">
      <c r="A102" s="164" t="s">
        <v>244</v>
      </c>
      <c r="B102" s="164" t="s">
        <v>71</v>
      </c>
      <c r="C102" s="164" t="s">
        <v>81</v>
      </c>
      <c r="D102" s="164" t="s">
        <v>47</v>
      </c>
      <c r="L102" s="9" t="s">
        <v>29</v>
      </c>
      <c r="M102" s="9" t="str">
        <f t="shared" si="1"/>
        <v>Salsa Americana</v>
      </c>
      <c r="N102" s="9" t="str">
        <f t="shared" si="2"/>
        <v/>
      </c>
      <c r="O102" s="9" t="str">
        <f t="shared" si="3"/>
        <v/>
      </c>
      <c r="P102" s="9" t="str">
        <f t="shared" si="4"/>
        <v/>
      </c>
      <c r="Q102" s="9" t="str">
        <f t="shared" si="5"/>
        <v/>
      </c>
      <c r="R102" s="9" t="str">
        <f t="shared" si="6"/>
        <v/>
      </c>
      <c r="S102" s="9" t="str">
        <f t="shared" si="7"/>
        <v/>
      </c>
      <c r="T102" s="9" t="str">
        <f t="shared" si="8"/>
        <v/>
      </c>
      <c r="U102" s="9" t="str">
        <f t="shared" si="9"/>
        <v/>
      </c>
    </row>
    <row r="103">
      <c r="A103" s="164" t="s">
        <v>246</v>
      </c>
      <c r="B103" s="164" t="s">
        <v>71</v>
      </c>
      <c r="C103" s="164" t="s">
        <v>81</v>
      </c>
      <c r="D103" s="164" t="s">
        <v>19</v>
      </c>
      <c r="E103" s="164" t="s">
        <v>47</v>
      </c>
      <c r="L103" s="9" t="s">
        <v>25</v>
      </c>
      <c r="M103" s="9" t="str">
        <f t="shared" si="1"/>
        <v>Salsa Verde</v>
      </c>
      <c r="N103" s="9" t="str">
        <f t="shared" si="2"/>
        <v/>
      </c>
      <c r="O103" s="9" t="str">
        <f t="shared" si="3"/>
        <v/>
      </c>
      <c r="P103" s="9" t="str">
        <f t="shared" si="4"/>
        <v/>
      </c>
      <c r="Q103" s="9" t="str">
        <f t="shared" si="5"/>
        <v/>
      </c>
      <c r="R103" s="9" t="str">
        <f t="shared" si="6"/>
        <v/>
      </c>
      <c r="S103" s="9" t="str">
        <f t="shared" si="7"/>
        <v/>
      </c>
      <c r="T103" s="9" t="str">
        <f t="shared" si="8"/>
        <v/>
      </c>
      <c r="U103" s="9" t="str">
        <f t="shared" si="9"/>
        <v/>
      </c>
    </row>
    <row r="104">
      <c r="A104" s="164" t="s">
        <v>249</v>
      </c>
      <c r="B104" s="164" t="s">
        <v>250</v>
      </c>
      <c r="C104" s="164" t="s">
        <v>35</v>
      </c>
      <c r="L104" s="9" t="s">
        <v>34</v>
      </c>
      <c r="M104" s="9" t="str">
        <f t="shared" si="1"/>
        <v/>
      </c>
      <c r="N104" s="9" t="str">
        <f t="shared" si="2"/>
        <v/>
      </c>
      <c r="O104" s="9" t="str">
        <f t="shared" si="3"/>
        <v/>
      </c>
      <c r="P104" s="9" t="str">
        <f t="shared" si="4"/>
        <v/>
      </c>
      <c r="Q104" s="9" t="str">
        <f t="shared" si="5"/>
        <v/>
      </c>
      <c r="R104" s="9" t="str">
        <f t="shared" si="6"/>
        <v/>
      </c>
      <c r="S104" s="9" t="str">
        <f t="shared" si="7"/>
        <v/>
      </c>
      <c r="T104" s="9" t="str">
        <f t="shared" si="8"/>
        <v/>
      </c>
      <c r="U104" s="9" t="str">
        <f t="shared" si="9"/>
        <v/>
      </c>
    </row>
    <row r="105">
      <c r="A105" s="164" t="s">
        <v>249</v>
      </c>
      <c r="B105" s="164" t="s">
        <v>250</v>
      </c>
      <c r="C105" s="164" t="s">
        <v>35</v>
      </c>
      <c r="L105" s="9" t="s">
        <v>13</v>
      </c>
      <c r="M105" s="9" t="str">
        <f t="shared" si="1"/>
        <v>Tomate Laminado</v>
      </c>
      <c r="N105" s="9" t="str">
        <f t="shared" si="2"/>
        <v/>
      </c>
      <c r="O105" s="9" t="str">
        <f t="shared" si="3"/>
        <v/>
      </c>
      <c r="P105" s="9" t="str">
        <f t="shared" si="4"/>
        <v/>
      </c>
      <c r="Q105" s="9" t="str">
        <f t="shared" si="5"/>
        <v/>
      </c>
      <c r="R105" s="9" t="str">
        <f t="shared" si="6"/>
        <v/>
      </c>
      <c r="S105" s="9" t="str">
        <f t="shared" si="7"/>
        <v/>
      </c>
      <c r="T105" s="9" t="str">
        <f t="shared" si="8"/>
        <v/>
      </c>
      <c r="U105" s="9" t="str">
        <f t="shared" si="9"/>
        <v/>
      </c>
    </row>
    <row r="106">
      <c r="A106" s="164" t="s">
        <v>249</v>
      </c>
      <c r="B106" s="164" t="s">
        <v>250</v>
      </c>
      <c r="C106" s="164" t="s">
        <v>35</v>
      </c>
      <c r="L106" s="9" t="s">
        <v>14</v>
      </c>
      <c r="M106" s="9" t="str">
        <f t="shared" si="1"/>
        <v>Tomate Picado</v>
      </c>
      <c r="N106" s="9" t="str">
        <f t="shared" si="2"/>
        <v/>
      </c>
      <c r="O106" s="9" t="str">
        <f t="shared" si="3"/>
        <v/>
      </c>
      <c r="P106" s="9" t="str">
        <f t="shared" si="4"/>
        <v/>
      </c>
      <c r="Q106" s="9" t="str">
        <f t="shared" si="5"/>
        <v/>
      </c>
      <c r="R106" s="9" t="str">
        <f t="shared" si="6"/>
        <v/>
      </c>
      <c r="S106" s="9" t="str">
        <f t="shared" si="7"/>
        <v/>
      </c>
      <c r="T106" s="9" t="str">
        <f t="shared" si="8"/>
        <v/>
      </c>
      <c r="U106" s="9" t="str">
        <f t="shared" si="9"/>
        <v/>
      </c>
    </row>
    <row r="107">
      <c r="A107" s="164" t="s">
        <v>249</v>
      </c>
      <c r="B107" s="164" t="s">
        <v>250</v>
      </c>
      <c r="C107" s="164" t="s">
        <v>35</v>
      </c>
      <c r="L107" s="9" t="s">
        <v>319</v>
      </c>
      <c r="M107" s="9" t="str">
        <f t="shared" si="1"/>
        <v>Waffles</v>
      </c>
      <c r="N107" s="9" t="str">
        <f t="shared" si="2"/>
        <v>Salsa Sundae</v>
      </c>
      <c r="O107" s="9" t="str">
        <f t="shared" si="3"/>
        <v>Plátano</v>
      </c>
      <c r="P107" s="9" t="str">
        <f t="shared" si="4"/>
        <v>Frutilla</v>
      </c>
      <c r="Q107" s="9" t="str">
        <f t="shared" si="5"/>
        <v>Plato Redondo</v>
      </c>
      <c r="R107" s="9" t="str">
        <f t="shared" si="6"/>
        <v/>
      </c>
      <c r="S107" s="9" t="str">
        <f t="shared" si="7"/>
        <v/>
      </c>
      <c r="T107" s="9" t="str">
        <f t="shared" si="8"/>
        <v/>
      </c>
      <c r="U107" s="9" t="str">
        <f t="shared" si="9"/>
        <v/>
      </c>
    </row>
    <row r="108">
      <c r="A108" s="164" t="s">
        <v>251</v>
      </c>
      <c r="B108" s="164" t="s">
        <v>252</v>
      </c>
      <c r="C108" s="164" t="s">
        <v>35</v>
      </c>
      <c r="D108" s="164" t="s">
        <v>137</v>
      </c>
      <c r="L108" s="9" t="s">
        <v>320</v>
      </c>
      <c r="M108" s="9" t="str">
        <f t="shared" si="1"/>
        <v>Tortilla</v>
      </c>
      <c r="N108" s="9" t="str">
        <f t="shared" si="2"/>
        <v>Vacuno</v>
      </c>
      <c r="O108" s="9" t="str">
        <f t="shared" si="3"/>
        <v>Tomate Picado</v>
      </c>
      <c r="P108" s="9" t="str">
        <f t="shared" si="4"/>
        <v>Palta</v>
      </c>
      <c r="Q108" s="9" t="str">
        <f t="shared" si="5"/>
        <v>Queso</v>
      </c>
      <c r="R108" s="9" t="str">
        <f t="shared" si="6"/>
        <v>Lechuga</v>
      </c>
      <c r="S108" s="9" t="str">
        <f t="shared" si="7"/>
        <v>Crema Ácida</v>
      </c>
      <c r="T108" s="9" t="str">
        <f t="shared" si="8"/>
        <v>Plato rectangular</v>
      </c>
      <c r="U108" s="9" t="str">
        <f t="shared" si="9"/>
        <v/>
      </c>
    </row>
    <row r="109">
      <c r="A109" s="164" t="s">
        <v>251</v>
      </c>
      <c r="B109" s="164" t="s">
        <v>252</v>
      </c>
      <c r="C109" s="164" t="s">
        <v>35</v>
      </c>
      <c r="D109" s="164" t="s">
        <v>137</v>
      </c>
      <c r="L109" s="9" t="s">
        <v>322</v>
      </c>
      <c r="M109" s="9" t="str">
        <f t="shared" si="1"/>
        <v>Tortilla</v>
      </c>
      <c r="N109" s="9" t="str">
        <f t="shared" si="2"/>
        <v>Mechada</v>
      </c>
      <c r="O109" s="9" t="str">
        <f t="shared" si="3"/>
        <v>Tomate Picado</v>
      </c>
      <c r="P109" s="9" t="str">
        <f t="shared" si="4"/>
        <v>Palta</v>
      </c>
      <c r="Q109" s="9" t="str">
        <f t="shared" si="5"/>
        <v>Queso</v>
      </c>
      <c r="R109" s="9" t="str">
        <f t="shared" si="6"/>
        <v>Lechuga</v>
      </c>
      <c r="S109" s="9" t="str">
        <f t="shared" si="7"/>
        <v>Crema Ácida</v>
      </c>
      <c r="T109" s="9" t="str">
        <f t="shared" si="8"/>
        <v>Poroto Negro</v>
      </c>
      <c r="U109" s="9" t="str">
        <f t="shared" si="9"/>
        <v>Plato rectangular</v>
      </c>
    </row>
    <row r="110">
      <c r="A110" s="164" t="s">
        <v>251</v>
      </c>
      <c r="B110" s="164" t="s">
        <v>252</v>
      </c>
      <c r="C110" s="164" t="s">
        <v>35</v>
      </c>
      <c r="D110" s="164" t="s">
        <v>137</v>
      </c>
      <c r="L110" s="9" t="s">
        <v>323</v>
      </c>
      <c r="M110" s="9" t="str">
        <f t="shared" si="1"/>
        <v>Tortilla</v>
      </c>
      <c r="N110" s="9" t="str">
        <f t="shared" si="2"/>
        <v>Mechada</v>
      </c>
      <c r="O110" s="9" t="str">
        <f t="shared" si="3"/>
        <v>Tomate Picado</v>
      </c>
      <c r="P110" s="9" t="str">
        <f t="shared" si="4"/>
        <v>Palta</v>
      </c>
      <c r="Q110" s="9" t="str">
        <f t="shared" si="5"/>
        <v>Queso</v>
      </c>
      <c r="R110" s="9" t="str">
        <f t="shared" si="6"/>
        <v>Lechuga</v>
      </c>
      <c r="S110" s="9" t="str">
        <f t="shared" si="7"/>
        <v>Crema Ácida</v>
      </c>
      <c r="T110" s="9" t="str">
        <f t="shared" si="8"/>
        <v>Plato rectangular</v>
      </c>
      <c r="U110" s="9" t="str">
        <f t="shared" si="9"/>
        <v/>
      </c>
    </row>
    <row r="111">
      <c r="A111" s="164" t="s">
        <v>251</v>
      </c>
      <c r="B111" s="164" t="s">
        <v>252</v>
      </c>
      <c r="C111" s="164" t="s">
        <v>35</v>
      </c>
      <c r="D111" s="164" t="s">
        <v>137</v>
      </c>
      <c r="L111" s="9" t="s">
        <v>324</v>
      </c>
      <c r="M111" s="9" t="str">
        <f t="shared" si="1"/>
        <v>Tortilla</v>
      </c>
      <c r="N111" s="9" t="str">
        <f t="shared" si="2"/>
        <v>Mechada</v>
      </c>
      <c r="O111" s="9" t="str">
        <f t="shared" si="3"/>
        <v>Tomate Picado</v>
      </c>
      <c r="P111" s="9" t="str">
        <f t="shared" si="4"/>
        <v>Palta</v>
      </c>
      <c r="Q111" s="9" t="str">
        <f t="shared" si="5"/>
        <v>Queso</v>
      </c>
      <c r="R111" s="9" t="str">
        <f t="shared" si="6"/>
        <v>Lechuga</v>
      </c>
      <c r="S111" s="9" t="str">
        <f t="shared" si="7"/>
        <v>Cebolla Caramelizada</v>
      </c>
      <c r="T111" s="9" t="str">
        <f t="shared" si="8"/>
        <v>Crema Ácida</v>
      </c>
      <c r="U111" s="9" t="str">
        <f t="shared" si="9"/>
        <v>Poroto Negro</v>
      </c>
    </row>
    <row r="112">
      <c r="A112" s="164" t="s">
        <v>347</v>
      </c>
      <c r="B112" s="164" t="s">
        <v>60</v>
      </c>
      <c r="C112" s="164" t="s">
        <v>258</v>
      </c>
      <c r="D112" s="164" t="s">
        <v>14</v>
      </c>
      <c r="E112" s="164" t="s">
        <v>15</v>
      </c>
      <c r="L112" s="9" t="s">
        <v>325</v>
      </c>
      <c r="M112" s="9" t="str">
        <f t="shared" si="1"/>
        <v>Tortilla</v>
      </c>
      <c r="N112" s="9" t="str">
        <f t="shared" si="2"/>
        <v>Mechada</v>
      </c>
      <c r="O112" s="9" t="str">
        <f t="shared" si="3"/>
        <v>Tomate Picado</v>
      </c>
      <c r="P112" s="9" t="str">
        <f t="shared" si="4"/>
        <v>Palta</v>
      </c>
      <c r="Q112" s="9" t="str">
        <f t="shared" si="5"/>
        <v>Queso</v>
      </c>
      <c r="R112" s="9" t="str">
        <f t="shared" si="6"/>
        <v>Lechuga</v>
      </c>
      <c r="S112" s="9" t="str">
        <f t="shared" si="7"/>
        <v>Crema Ácida</v>
      </c>
      <c r="T112" s="9" t="str">
        <f t="shared" si="8"/>
        <v>Plato rectangular</v>
      </c>
      <c r="U112" s="9" t="str">
        <f t="shared" si="9"/>
        <v/>
      </c>
    </row>
    <row r="113">
      <c r="A113" s="164" t="s">
        <v>347</v>
      </c>
      <c r="B113" s="164" t="s">
        <v>60</v>
      </c>
      <c r="C113" s="164" t="s">
        <v>258</v>
      </c>
      <c r="D113" s="164" t="s">
        <v>14</v>
      </c>
      <c r="E113" s="164" t="s">
        <v>15</v>
      </c>
      <c r="L113" s="9" t="s">
        <v>326</v>
      </c>
      <c r="M113" s="9" t="str">
        <f t="shared" si="1"/>
        <v>Tortilla</v>
      </c>
      <c r="N113" s="9" t="str">
        <f t="shared" si="2"/>
        <v>Mix Proteínas</v>
      </c>
      <c r="O113" s="9" t="str">
        <f t="shared" si="3"/>
        <v>Tomate Picado</v>
      </c>
      <c r="P113" s="9" t="str">
        <f t="shared" si="4"/>
        <v>Palta</v>
      </c>
      <c r="Q113" s="9" t="str">
        <f t="shared" si="5"/>
        <v>Lechuga</v>
      </c>
      <c r="R113" s="9" t="str">
        <f t="shared" si="6"/>
        <v>Cebolla Caramelizada</v>
      </c>
      <c r="S113" s="9" t="str">
        <f t="shared" si="7"/>
        <v>Crema Ácida</v>
      </c>
      <c r="T113" s="9" t="str">
        <f t="shared" si="8"/>
        <v>Poroto Negro</v>
      </c>
      <c r="U113" s="9" t="str">
        <f t="shared" si="9"/>
        <v>Plato rectangular</v>
      </c>
    </row>
    <row r="114">
      <c r="A114" s="164" t="s">
        <v>347</v>
      </c>
      <c r="B114" s="164" t="s">
        <v>60</v>
      </c>
      <c r="C114" s="164" t="s">
        <v>258</v>
      </c>
      <c r="D114" s="164" t="s">
        <v>14</v>
      </c>
      <c r="E114" s="164" t="s">
        <v>15</v>
      </c>
      <c r="L114" s="9" t="s">
        <v>328</v>
      </c>
      <c r="M114" s="9" t="str">
        <f t="shared" si="1"/>
        <v>Tortilla</v>
      </c>
      <c r="N114" s="9" t="str">
        <f t="shared" si="2"/>
        <v>Mix Proteínas</v>
      </c>
      <c r="O114" s="9" t="str">
        <f t="shared" si="3"/>
        <v>Tomate Picado</v>
      </c>
      <c r="P114" s="9" t="str">
        <f t="shared" si="4"/>
        <v>Palta</v>
      </c>
      <c r="Q114" s="9" t="str">
        <f t="shared" si="5"/>
        <v>Queso</v>
      </c>
      <c r="R114" s="9" t="str">
        <f t="shared" si="6"/>
        <v>Lechuga</v>
      </c>
      <c r="S114" s="9" t="str">
        <f t="shared" si="7"/>
        <v>Cebolla Caramelizada</v>
      </c>
      <c r="T114" s="9" t="str">
        <f t="shared" si="8"/>
        <v>Crema Ácida</v>
      </c>
      <c r="U114" s="9" t="str">
        <f t="shared" si="9"/>
        <v>Poroto Negro</v>
      </c>
    </row>
    <row r="115">
      <c r="A115" s="164" t="s">
        <v>347</v>
      </c>
      <c r="B115" s="164" t="s">
        <v>60</v>
      </c>
      <c r="C115" s="164" t="s">
        <v>258</v>
      </c>
      <c r="D115" s="164" t="s">
        <v>14</v>
      </c>
      <c r="E115" s="164" t="s">
        <v>15</v>
      </c>
      <c r="L115" s="9" t="s">
        <v>122</v>
      </c>
      <c r="M115" s="9" t="str">
        <f t="shared" si="1"/>
        <v>Tortilla</v>
      </c>
      <c r="N115" s="9" t="str">
        <f t="shared" si="2"/>
        <v>Vacuno</v>
      </c>
      <c r="O115" s="9" t="str">
        <f t="shared" si="3"/>
        <v>Tomate Picado</v>
      </c>
      <c r="P115" s="9" t="str">
        <f t="shared" si="4"/>
        <v>Palta</v>
      </c>
      <c r="Q115" s="9" t="str">
        <f t="shared" si="5"/>
        <v>Queso</v>
      </c>
      <c r="R115" s="9" t="str">
        <f t="shared" si="6"/>
        <v>Lechuga</v>
      </c>
      <c r="S115" s="9" t="str">
        <f t="shared" si="7"/>
        <v>Crema Ácida</v>
      </c>
      <c r="T115" s="9" t="str">
        <f t="shared" si="8"/>
        <v>Plato rectangular</v>
      </c>
      <c r="U115" s="9" t="str">
        <f t="shared" si="9"/>
        <v/>
      </c>
    </row>
    <row r="116">
      <c r="A116" s="164" t="s">
        <v>348</v>
      </c>
      <c r="B116" s="164" t="s">
        <v>60</v>
      </c>
      <c r="C116" s="164" t="s">
        <v>61</v>
      </c>
      <c r="D116" s="164" t="s">
        <v>14</v>
      </c>
      <c r="E116" s="164" t="s">
        <v>15</v>
      </c>
      <c r="F116" s="164" t="s">
        <v>21</v>
      </c>
      <c r="G116" s="164" t="s">
        <v>28</v>
      </c>
      <c r="H116" s="164" t="s">
        <v>46</v>
      </c>
      <c r="L116" s="9" t="s">
        <v>144</v>
      </c>
      <c r="M116" s="9" t="str">
        <f t="shared" si="1"/>
        <v>Tortilla</v>
      </c>
      <c r="N116" s="9" t="str">
        <f t="shared" si="2"/>
        <v>Pollo</v>
      </c>
      <c r="O116" s="9" t="str">
        <f t="shared" si="3"/>
        <v>Tomate Picado</v>
      </c>
      <c r="P116" s="9" t="str">
        <f t="shared" si="4"/>
        <v>Palta</v>
      </c>
      <c r="Q116" s="9" t="str">
        <f t="shared" si="5"/>
        <v>Queso</v>
      </c>
      <c r="R116" s="9" t="str">
        <f t="shared" si="6"/>
        <v>Lechuga</v>
      </c>
      <c r="S116" s="9" t="str">
        <f t="shared" si="7"/>
        <v>Crema Ácida</v>
      </c>
      <c r="T116" s="9" t="str">
        <f t="shared" si="8"/>
        <v>Plato rectangular</v>
      </c>
      <c r="U116" s="9" t="str">
        <f t="shared" si="9"/>
        <v/>
      </c>
    </row>
    <row r="117">
      <c r="A117" s="164" t="s">
        <v>349</v>
      </c>
      <c r="B117" s="164" t="s">
        <v>60</v>
      </c>
      <c r="C117" s="164" t="s">
        <v>61</v>
      </c>
      <c r="D117" s="164" t="s">
        <v>14</v>
      </c>
      <c r="E117" s="164" t="s">
        <v>25</v>
      </c>
      <c r="F117" s="164" t="s">
        <v>27</v>
      </c>
      <c r="G117" s="164" t="s">
        <v>46</v>
      </c>
      <c r="L117" s="9" t="s">
        <v>329</v>
      </c>
      <c r="M117" s="9" t="str">
        <f t="shared" si="1"/>
        <v>Tortilla</v>
      </c>
      <c r="N117" s="9" t="str">
        <f t="shared" si="2"/>
        <v>Pollo</v>
      </c>
      <c r="O117" s="9" t="str">
        <f t="shared" si="3"/>
        <v>Tomate Picado</v>
      </c>
      <c r="P117" s="9" t="str">
        <f t="shared" si="4"/>
        <v>Palta</v>
      </c>
      <c r="Q117" s="9" t="str">
        <f t="shared" si="5"/>
        <v>Queso</v>
      </c>
      <c r="R117" s="9" t="str">
        <f t="shared" si="6"/>
        <v>Lechuga</v>
      </c>
      <c r="S117" s="9" t="str">
        <f t="shared" si="7"/>
        <v>Cebolla Caramelizada</v>
      </c>
      <c r="T117" s="9" t="str">
        <f t="shared" si="8"/>
        <v>Crema Ácida</v>
      </c>
      <c r="U117" s="9" t="str">
        <f t="shared" si="9"/>
        <v>Poroto Negro</v>
      </c>
    </row>
    <row r="118">
      <c r="A118" s="164" t="s">
        <v>350</v>
      </c>
      <c r="B118" s="164" t="s">
        <v>60</v>
      </c>
      <c r="C118" s="164" t="s">
        <v>61</v>
      </c>
      <c r="D118" s="164" t="s">
        <v>14</v>
      </c>
      <c r="E118" s="164" t="s">
        <v>15</v>
      </c>
      <c r="F118" s="164" t="s">
        <v>21</v>
      </c>
      <c r="G118" s="164" t="s">
        <v>28</v>
      </c>
      <c r="H118" s="164" t="s">
        <v>46</v>
      </c>
      <c r="L118" s="9" t="s">
        <v>330</v>
      </c>
      <c r="M118" s="9" t="str">
        <f t="shared" si="1"/>
        <v>Tortilla</v>
      </c>
      <c r="N118" s="9" t="str">
        <f t="shared" si="2"/>
        <v>Pollo</v>
      </c>
      <c r="O118" s="9" t="str">
        <f t="shared" si="3"/>
        <v>Tomate Picado</v>
      </c>
      <c r="P118" s="9" t="str">
        <f t="shared" si="4"/>
        <v>Palta</v>
      </c>
      <c r="Q118" s="9" t="str">
        <f t="shared" si="5"/>
        <v>Queso</v>
      </c>
      <c r="R118" s="9" t="str">
        <f t="shared" si="6"/>
        <v>Lechuga</v>
      </c>
      <c r="S118" s="9" t="str">
        <f t="shared" si="7"/>
        <v>Crema Ácida</v>
      </c>
      <c r="T118" s="9" t="str">
        <f t="shared" si="8"/>
        <v>Plato rectangular</v>
      </c>
      <c r="U118" s="9" t="str">
        <f t="shared" si="9"/>
        <v/>
      </c>
    </row>
    <row r="119">
      <c r="A119" s="164" t="s">
        <v>351</v>
      </c>
      <c r="B119" s="164" t="s">
        <v>60</v>
      </c>
      <c r="C119" s="164" t="s">
        <v>61</v>
      </c>
      <c r="D119" s="164" t="s">
        <v>14</v>
      </c>
      <c r="E119" s="164" t="s">
        <v>25</v>
      </c>
      <c r="F119" s="164" t="s">
        <v>29</v>
      </c>
      <c r="G119" s="164" t="s">
        <v>46</v>
      </c>
      <c r="L119" s="9" t="s">
        <v>146</v>
      </c>
      <c r="M119" s="9" t="str">
        <f t="shared" si="1"/>
        <v>Tortilla</v>
      </c>
      <c r="N119" s="9" t="str">
        <f t="shared" si="2"/>
        <v>Vacuno</v>
      </c>
      <c r="O119" s="9" t="str">
        <f t="shared" si="3"/>
        <v>Tomate Picado</v>
      </c>
      <c r="P119" s="9" t="str">
        <f t="shared" si="4"/>
        <v>Palta</v>
      </c>
      <c r="Q119" s="9" t="str">
        <f t="shared" si="5"/>
        <v>Queso</v>
      </c>
      <c r="R119" s="9" t="str">
        <f t="shared" si="6"/>
        <v>Lechuga</v>
      </c>
      <c r="S119" s="9" t="str">
        <f t="shared" si="7"/>
        <v>Crema Ácida</v>
      </c>
      <c r="T119" s="9" t="str">
        <f t="shared" si="8"/>
        <v>Plato rectangular</v>
      </c>
      <c r="U119" s="9" t="str">
        <f t="shared" si="9"/>
        <v/>
      </c>
    </row>
    <row r="120">
      <c r="A120" s="164" t="s">
        <v>351</v>
      </c>
      <c r="B120" s="164" t="s">
        <v>60</v>
      </c>
      <c r="C120" s="164" t="s">
        <v>61</v>
      </c>
      <c r="D120" s="164" t="s">
        <v>14</v>
      </c>
      <c r="E120" s="164" t="s">
        <v>26</v>
      </c>
      <c r="F120" s="164" t="s">
        <v>29</v>
      </c>
      <c r="G120" s="164" t="s">
        <v>46</v>
      </c>
      <c r="L120" s="9" t="s">
        <v>331</v>
      </c>
      <c r="M120" s="9" t="str">
        <f t="shared" si="1"/>
        <v>Tortilla</v>
      </c>
      <c r="N120" s="9" t="str">
        <f t="shared" si="2"/>
        <v>Vacuno</v>
      </c>
      <c r="O120" s="9" t="str">
        <f t="shared" si="3"/>
        <v>Tomate Picado</v>
      </c>
      <c r="P120" s="9" t="str">
        <f t="shared" si="4"/>
        <v>Palta</v>
      </c>
      <c r="Q120" s="9" t="str">
        <f t="shared" si="5"/>
        <v>Queso</v>
      </c>
      <c r="R120" s="9" t="str">
        <f t="shared" si="6"/>
        <v>Lechuga</v>
      </c>
      <c r="S120" s="9" t="str">
        <f t="shared" si="7"/>
        <v>Cebolla Caramelizada</v>
      </c>
      <c r="T120" s="9" t="str">
        <f t="shared" si="8"/>
        <v>Crema Ácida</v>
      </c>
      <c r="U120" s="9" t="str">
        <f t="shared" si="9"/>
        <v>Poroto Negro</v>
      </c>
    </row>
    <row r="121">
      <c r="A121" s="164" t="s">
        <v>352</v>
      </c>
      <c r="B121" s="164" t="s">
        <v>213</v>
      </c>
      <c r="C121" s="164" t="s">
        <v>266</v>
      </c>
      <c r="D121" s="164" t="s">
        <v>14</v>
      </c>
      <c r="E121" s="164" t="s">
        <v>25</v>
      </c>
      <c r="F121" s="164" t="s">
        <v>29</v>
      </c>
      <c r="L121" s="9" t="s">
        <v>332</v>
      </c>
      <c r="M121" s="9" t="str">
        <f t="shared" si="1"/>
        <v>Tortilla</v>
      </c>
      <c r="N121" s="9" t="str">
        <f t="shared" si="2"/>
        <v>Vacuno</v>
      </c>
      <c r="O121" s="9" t="str">
        <f t="shared" si="3"/>
        <v>Tomate Picado</v>
      </c>
      <c r="P121" s="9" t="str">
        <f t="shared" si="4"/>
        <v>Palta</v>
      </c>
      <c r="Q121" s="9" t="str">
        <f t="shared" si="5"/>
        <v>Queso</v>
      </c>
      <c r="R121" s="9" t="str">
        <f t="shared" si="6"/>
        <v>Lechuga</v>
      </c>
      <c r="S121" s="9" t="str">
        <f t="shared" si="7"/>
        <v>Crema Ácida</v>
      </c>
      <c r="T121" s="9" t="str">
        <f t="shared" si="8"/>
        <v>Plato rectangular</v>
      </c>
      <c r="U121" s="9" t="str">
        <f t="shared" si="9"/>
        <v/>
      </c>
    </row>
    <row r="122">
      <c r="A122" s="164" t="s">
        <v>353</v>
      </c>
      <c r="B122" s="164" t="s">
        <v>60</v>
      </c>
      <c r="C122" s="164" t="s">
        <v>61</v>
      </c>
      <c r="D122" s="164" t="s">
        <v>19</v>
      </c>
      <c r="E122" s="164" t="s">
        <v>21</v>
      </c>
      <c r="F122" s="164" t="s">
        <v>23</v>
      </c>
      <c r="G122" s="164" t="s">
        <v>24</v>
      </c>
      <c r="H122" s="164" t="s">
        <v>46</v>
      </c>
      <c r="L122" s="9"/>
    </row>
    <row r="123">
      <c r="A123" s="164" t="s">
        <v>354</v>
      </c>
      <c r="B123" s="164" t="s">
        <v>213</v>
      </c>
      <c r="C123" s="164" t="s">
        <v>266</v>
      </c>
      <c r="D123" s="164" t="s">
        <v>19</v>
      </c>
      <c r="E123" s="164" t="s">
        <v>21</v>
      </c>
      <c r="F123" s="164" t="s">
        <v>23</v>
      </c>
      <c r="G123" s="164" t="s">
        <v>24</v>
      </c>
    </row>
    <row r="124">
      <c r="A124" s="164" t="s">
        <v>59</v>
      </c>
      <c r="B124" s="164" t="s">
        <v>60</v>
      </c>
      <c r="C124" s="164" t="s">
        <v>61</v>
      </c>
      <c r="D124" s="164" t="s">
        <v>14</v>
      </c>
      <c r="E124" s="164" t="s">
        <v>15</v>
      </c>
      <c r="F124" s="164" t="s">
        <v>46</v>
      </c>
    </row>
    <row r="125">
      <c r="A125" s="164" t="s">
        <v>59</v>
      </c>
      <c r="B125" s="164" t="s">
        <v>60</v>
      </c>
      <c r="C125" s="164" t="s">
        <v>61</v>
      </c>
      <c r="D125" s="164" t="s">
        <v>14</v>
      </c>
      <c r="E125" s="164" t="s">
        <v>15</v>
      </c>
      <c r="F125" s="164" t="s">
        <v>46</v>
      </c>
    </row>
    <row r="126">
      <c r="A126" s="164" t="s">
        <v>59</v>
      </c>
      <c r="B126" s="164" t="s">
        <v>60</v>
      </c>
      <c r="C126" s="164" t="s">
        <v>61</v>
      </c>
      <c r="D126" s="164" t="s">
        <v>14</v>
      </c>
      <c r="E126" s="164" t="s">
        <v>15</v>
      </c>
      <c r="F126" s="164" t="s">
        <v>46</v>
      </c>
    </row>
    <row r="127">
      <c r="A127" s="164" t="s">
        <v>59</v>
      </c>
      <c r="B127" s="164" t="s">
        <v>60</v>
      </c>
      <c r="C127" s="164" t="s">
        <v>61</v>
      </c>
      <c r="D127" s="164" t="s">
        <v>14</v>
      </c>
      <c r="E127" s="164" t="s">
        <v>15</v>
      </c>
      <c r="F127" s="164" t="s">
        <v>46</v>
      </c>
    </row>
    <row r="128">
      <c r="A128" s="164" t="s">
        <v>355</v>
      </c>
      <c r="B128" s="164" t="s">
        <v>213</v>
      </c>
      <c r="C128" s="164" t="s">
        <v>266</v>
      </c>
      <c r="D128" s="164" t="s">
        <v>14</v>
      </c>
      <c r="E128" s="164" t="s">
        <v>15</v>
      </c>
    </row>
    <row r="129">
      <c r="A129" s="164" t="s">
        <v>277</v>
      </c>
      <c r="B129" s="164" t="s">
        <v>277</v>
      </c>
    </row>
    <row r="130">
      <c r="A130" s="164" t="s">
        <v>277</v>
      </c>
      <c r="B130" s="164" t="s">
        <v>277</v>
      </c>
    </row>
    <row r="131">
      <c r="A131" s="164" t="s">
        <v>277</v>
      </c>
      <c r="B131" s="164" t="s">
        <v>277</v>
      </c>
    </row>
    <row r="132">
      <c r="A132" s="164" t="s">
        <v>277</v>
      </c>
      <c r="B132" s="164" t="s">
        <v>277</v>
      </c>
    </row>
    <row r="133">
      <c r="A133" s="164" t="s">
        <v>20</v>
      </c>
      <c r="B133" s="164" t="s">
        <v>20</v>
      </c>
    </row>
    <row r="134">
      <c r="A134" s="164" t="s">
        <v>20</v>
      </c>
      <c r="B134" s="164" t="s">
        <v>20</v>
      </c>
    </row>
    <row r="135">
      <c r="A135" s="164" t="s">
        <v>20</v>
      </c>
      <c r="B135" s="164" t="s">
        <v>20</v>
      </c>
    </row>
    <row r="136">
      <c r="A136" s="164" t="s">
        <v>20</v>
      </c>
      <c r="B136" s="164" t="s">
        <v>20</v>
      </c>
    </row>
    <row r="137">
      <c r="A137" s="164" t="s">
        <v>279</v>
      </c>
      <c r="B137" s="164" t="s">
        <v>71</v>
      </c>
      <c r="C137" s="164" t="s">
        <v>125</v>
      </c>
      <c r="D137" s="164" t="s">
        <v>15</v>
      </c>
      <c r="E137" s="164" t="s">
        <v>19</v>
      </c>
      <c r="F137" s="164" t="s">
        <v>21</v>
      </c>
      <c r="G137" s="164" t="s">
        <v>47</v>
      </c>
      <c r="H137" s="164" t="s">
        <v>13</v>
      </c>
    </row>
    <row r="138">
      <c r="A138" s="164" t="s">
        <v>280</v>
      </c>
      <c r="B138" s="164" t="s">
        <v>71</v>
      </c>
      <c r="C138" s="164" t="s">
        <v>125</v>
      </c>
      <c r="D138" s="164" t="s">
        <v>19</v>
      </c>
      <c r="E138" s="164" t="s">
        <v>20</v>
      </c>
      <c r="F138" s="164" t="s">
        <v>31</v>
      </c>
      <c r="G138" s="164" t="s">
        <v>32</v>
      </c>
      <c r="H138" s="164" t="s">
        <v>47</v>
      </c>
      <c r="I138" s="164" t="s">
        <v>13</v>
      </c>
    </row>
    <row r="139">
      <c r="A139" s="164" t="s">
        <v>281</v>
      </c>
      <c r="B139" s="164" t="s">
        <v>71</v>
      </c>
      <c r="C139" s="164" t="s">
        <v>125</v>
      </c>
      <c r="D139" s="164" t="s">
        <v>47</v>
      </c>
    </row>
    <row r="140">
      <c r="A140" s="164" t="s">
        <v>283</v>
      </c>
      <c r="B140" s="164" t="s">
        <v>71</v>
      </c>
      <c r="C140" s="164" t="s">
        <v>125</v>
      </c>
      <c r="D140" s="164" t="s">
        <v>19</v>
      </c>
      <c r="E140" s="164" t="s">
        <v>21</v>
      </c>
      <c r="F140" s="164" t="s">
        <v>23</v>
      </c>
      <c r="G140" s="164" t="s">
        <v>24</v>
      </c>
      <c r="H140" s="164" t="s">
        <v>47</v>
      </c>
    </row>
    <row r="141">
      <c r="A141" s="164" t="s">
        <v>124</v>
      </c>
      <c r="B141" s="164" t="s">
        <v>71</v>
      </c>
      <c r="C141" s="164" t="s">
        <v>125</v>
      </c>
      <c r="D141" s="164" t="s">
        <v>15</v>
      </c>
      <c r="E141" s="164" t="s">
        <v>47</v>
      </c>
      <c r="F141" s="164" t="s">
        <v>13</v>
      </c>
    </row>
    <row r="142">
      <c r="A142" s="164" t="s">
        <v>124</v>
      </c>
      <c r="B142" s="164" t="s">
        <v>71</v>
      </c>
      <c r="C142" s="164" t="s">
        <v>125</v>
      </c>
      <c r="D142" s="164" t="s">
        <v>15</v>
      </c>
      <c r="E142" s="164" t="s">
        <v>47</v>
      </c>
      <c r="F142" s="164" t="s">
        <v>13</v>
      </c>
    </row>
    <row r="143">
      <c r="A143" s="164" t="s">
        <v>124</v>
      </c>
      <c r="B143" s="164" t="s">
        <v>71</v>
      </c>
      <c r="C143" s="164" t="s">
        <v>125</v>
      </c>
      <c r="D143" s="164" t="s">
        <v>15</v>
      </c>
      <c r="E143" s="164" t="s">
        <v>47</v>
      </c>
      <c r="F143" s="164" t="s">
        <v>13</v>
      </c>
    </row>
    <row r="144">
      <c r="A144" s="164" t="s">
        <v>124</v>
      </c>
      <c r="B144" s="164" t="s">
        <v>71</v>
      </c>
      <c r="C144" s="164" t="s">
        <v>125</v>
      </c>
      <c r="D144" s="164" t="s">
        <v>15</v>
      </c>
      <c r="E144" s="164" t="s">
        <v>47</v>
      </c>
      <c r="F144" s="164" t="s">
        <v>13</v>
      </c>
    </row>
    <row r="145">
      <c r="A145" s="164" t="s">
        <v>284</v>
      </c>
      <c r="B145" s="164" t="s">
        <v>71</v>
      </c>
      <c r="C145" s="164" t="s">
        <v>125</v>
      </c>
      <c r="D145" s="164" t="s">
        <v>19</v>
      </c>
      <c r="E145" s="164" t="s">
        <v>47</v>
      </c>
    </row>
    <row r="146">
      <c r="A146" s="164" t="s">
        <v>284</v>
      </c>
      <c r="B146" s="164" t="s">
        <v>71</v>
      </c>
      <c r="C146" s="164" t="s">
        <v>125</v>
      </c>
      <c r="D146" s="164" t="s">
        <v>19</v>
      </c>
      <c r="E146" s="164" t="s">
        <v>47</v>
      </c>
    </row>
    <row r="147">
      <c r="A147" s="164" t="s">
        <v>44</v>
      </c>
      <c r="B147" s="164" t="s">
        <v>44</v>
      </c>
    </row>
    <row r="148">
      <c r="A148" s="164" t="s">
        <v>44</v>
      </c>
      <c r="B148" s="164" t="s">
        <v>44</v>
      </c>
    </row>
    <row r="149">
      <c r="A149" s="164" t="s">
        <v>44</v>
      </c>
      <c r="B149" s="164" t="s">
        <v>44</v>
      </c>
    </row>
    <row r="150">
      <c r="A150" s="164" t="s">
        <v>44</v>
      </c>
      <c r="B150" s="164" t="s">
        <v>44</v>
      </c>
    </row>
    <row r="151">
      <c r="A151" s="164" t="s">
        <v>285</v>
      </c>
      <c r="B151" s="164" t="s">
        <v>71</v>
      </c>
      <c r="C151" s="164" t="s">
        <v>356</v>
      </c>
      <c r="D151" s="164" t="s">
        <v>19</v>
      </c>
      <c r="E151" s="164" t="s">
        <v>20</v>
      </c>
      <c r="F151" s="164" t="s">
        <v>47</v>
      </c>
      <c r="G151" s="164" t="s">
        <v>13</v>
      </c>
    </row>
    <row r="152">
      <c r="A152" s="164" t="s">
        <v>285</v>
      </c>
      <c r="B152" s="164" t="s">
        <v>71</v>
      </c>
      <c r="C152" s="164" t="s">
        <v>356</v>
      </c>
      <c r="D152" s="164" t="s">
        <v>19</v>
      </c>
      <c r="E152" s="164" t="s">
        <v>20</v>
      </c>
      <c r="F152" s="164" t="s">
        <v>31</v>
      </c>
      <c r="G152" s="164" t="s">
        <v>32</v>
      </c>
      <c r="H152" s="164" t="s">
        <v>47</v>
      </c>
      <c r="I152" s="164" t="s">
        <v>13</v>
      </c>
    </row>
    <row r="153">
      <c r="A153" s="164" t="s">
        <v>286</v>
      </c>
      <c r="B153" s="164" t="s">
        <v>71</v>
      </c>
      <c r="C153" s="164" t="s">
        <v>356</v>
      </c>
      <c r="D153" s="164" t="s">
        <v>19</v>
      </c>
      <c r="E153" s="164" t="s">
        <v>20</v>
      </c>
      <c r="F153" s="164" t="s">
        <v>21</v>
      </c>
      <c r="G153" s="164" t="s">
        <v>28</v>
      </c>
      <c r="H153" s="164" t="s">
        <v>33</v>
      </c>
      <c r="I153" s="164" t="s">
        <v>47</v>
      </c>
      <c r="J153" s="164" t="s">
        <v>13</v>
      </c>
    </row>
    <row r="154">
      <c r="A154" s="164" t="s">
        <v>287</v>
      </c>
      <c r="B154" s="164" t="s">
        <v>71</v>
      </c>
      <c r="C154" s="164" t="s">
        <v>356</v>
      </c>
      <c r="D154" s="164" t="s">
        <v>15</v>
      </c>
      <c r="E154" s="164" t="s">
        <v>21</v>
      </c>
      <c r="F154" s="164" t="s">
        <v>27</v>
      </c>
      <c r="G154" s="164" t="s">
        <v>29</v>
      </c>
      <c r="H154" s="164" t="s">
        <v>47</v>
      </c>
      <c r="I154" s="164" t="s">
        <v>13</v>
      </c>
    </row>
    <row r="155">
      <c r="A155" s="164" t="s">
        <v>70</v>
      </c>
      <c r="B155" s="164" t="s">
        <v>71</v>
      </c>
      <c r="C155" s="164" t="s">
        <v>356</v>
      </c>
      <c r="D155" s="164" t="s">
        <v>15</v>
      </c>
      <c r="E155" s="164" t="s">
        <v>47</v>
      </c>
      <c r="F155" s="164" t="s">
        <v>13</v>
      </c>
    </row>
    <row r="156">
      <c r="A156" s="164" t="s">
        <v>70</v>
      </c>
      <c r="B156" s="164" t="s">
        <v>71</v>
      </c>
      <c r="C156" s="164" t="s">
        <v>356</v>
      </c>
      <c r="D156" s="164" t="s">
        <v>15</v>
      </c>
      <c r="E156" s="164" t="s">
        <v>47</v>
      </c>
      <c r="F156" s="164" t="s">
        <v>13</v>
      </c>
    </row>
    <row r="157">
      <c r="A157" s="164" t="s">
        <v>70</v>
      </c>
      <c r="B157" s="164" t="s">
        <v>71</v>
      </c>
      <c r="C157" s="164" t="s">
        <v>356</v>
      </c>
      <c r="D157" s="164" t="s">
        <v>15</v>
      </c>
      <c r="E157" s="164" t="s">
        <v>47</v>
      </c>
      <c r="F157" s="164" t="s">
        <v>13</v>
      </c>
    </row>
    <row r="158">
      <c r="A158" s="164" t="s">
        <v>70</v>
      </c>
      <c r="B158" s="164" t="s">
        <v>71</v>
      </c>
      <c r="C158" s="164" t="s">
        <v>356</v>
      </c>
      <c r="D158" s="164" t="s">
        <v>15</v>
      </c>
      <c r="E158" s="164" t="s">
        <v>47</v>
      </c>
      <c r="F158" s="164" t="s">
        <v>13</v>
      </c>
    </row>
    <row r="159">
      <c r="A159" s="164" t="s">
        <v>288</v>
      </c>
      <c r="B159" s="164" t="s">
        <v>71</v>
      </c>
      <c r="C159" s="164" t="s">
        <v>356</v>
      </c>
      <c r="D159" s="164" t="s">
        <v>15</v>
      </c>
      <c r="E159" s="164" t="s">
        <v>19</v>
      </c>
      <c r="F159" s="164" t="s">
        <v>21</v>
      </c>
      <c r="G159" s="164" t="s">
        <v>47</v>
      </c>
      <c r="H159" s="164" t="s">
        <v>13</v>
      </c>
    </row>
    <row r="160">
      <c r="A160" s="164" t="s">
        <v>289</v>
      </c>
      <c r="B160" s="164" t="s">
        <v>71</v>
      </c>
      <c r="C160" s="164" t="s">
        <v>356</v>
      </c>
      <c r="D160" s="164" t="s">
        <v>19</v>
      </c>
      <c r="E160" s="164" t="s">
        <v>47</v>
      </c>
    </row>
    <row r="161">
      <c r="A161" s="164" t="s">
        <v>356</v>
      </c>
      <c r="B161" s="164" t="s">
        <v>356</v>
      </c>
    </row>
    <row r="162">
      <c r="A162" s="164" t="s">
        <v>356</v>
      </c>
      <c r="B162" s="164" t="s">
        <v>356</v>
      </c>
    </row>
    <row r="163">
      <c r="A163" s="164" t="s">
        <v>356</v>
      </c>
      <c r="B163" s="164" t="s">
        <v>356</v>
      </c>
    </row>
    <row r="164">
      <c r="A164" s="164" t="s">
        <v>356</v>
      </c>
      <c r="B164" s="164" t="s">
        <v>356</v>
      </c>
    </row>
    <row r="165">
      <c r="A165" s="164" t="s">
        <v>290</v>
      </c>
      <c r="B165" s="164" t="s">
        <v>290</v>
      </c>
      <c r="C165" s="164" t="s">
        <v>47</v>
      </c>
    </row>
    <row r="166">
      <c r="A166" s="164" t="s">
        <v>290</v>
      </c>
      <c r="B166" s="164" t="s">
        <v>290</v>
      </c>
      <c r="C166" s="164" t="s">
        <v>47</v>
      </c>
    </row>
    <row r="167">
      <c r="A167" s="164" t="s">
        <v>290</v>
      </c>
      <c r="B167" s="164" t="s">
        <v>290</v>
      </c>
      <c r="C167" s="164" t="s">
        <v>47</v>
      </c>
    </row>
    <row r="168">
      <c r="A168" s="164" t="s">
        <v>290</v>
      </c>
      <c r="B168" s="164" t="s">
        <v>290</v>
      </c>
      <c r="C168" s="164" t="s">
        <v>47</v>
      </c>
    </row>
    <row r="169">
      <c r="A169" s="164" t="s">
        <v>357</v>
      </c>
      <c r="B169" s="164" t="s">
        <v>292</v>
      </c>
      <c r="C169" s="164" t="s">
        <v>74</v>
      </c>
      <c r="D169" s="164" t="s">
        <v>14</v>
      </c>
      <c r="E169" s="164" t="s">
        <v>15</v>
      </c>
      <c r="F169" s="164" t="s">
        <v>46</v>
      </c>
    </row>
    <row r="170">
      <c r="A170" s="164" t="s">
        <v>357</v>
      </c>
      <c r="B170" s="164" t="s">
        <v>292</v>
      </c>
      <c r="C170" s="164" t="s">
        <v>74</v>
      </c>
      <c r="D170" s="164" t="s">
        <v>14</v>
      </c>
      <c r="E170" s="164" t="s">
        <v>15</v>
      </c>
      <c r="F170" s="164" t="s">
        <v>46</v>
      </c>
    </row>
    <row r="171">
      <c r="A171" s="164" t="s">
        <v>357</v>
      </c>
      <c r="B171" s="164" t="s">
        <v>292</v>
      </c>
      <c r="C171" s="164" t="s">
        <v>74</v>
      </c>
      <c r="D171" s="164" t="s">
        <v>14</v>
      </c>
      <c r="E171" s="164" t="s">
        <v>15</v>
      </c>
      <c r="F171" s="164" t="s">
        <v>46</v>
      </c>
    </row>
    <row r="172">
      <c r="A172" s="164" t="s">
        <v>291</v>
      </c>
      <c r="B172" s="164" t="s">
        <v>292</v>
      </c>
      <c r="C172" s="164" t="s">
        <v>74</v>
      </c>
      <c r="D172" s="164" t="s">
        <v>14</v>
      </c>
      <c r="E172" s="164" t="s">
        <v>15</v>
      </c>
      <c r="F172" s="164" t="s">
        <v>46</v>
      </c>
    </row>
    <row r="173">
      <c r="A173" s="164" t="s">
        <v>358</v>
      </c>
      <c r="B173" s="164" t="s">
        <v>292</v>
      </c>
      <c r="C173" s="164" t="s">
        <v>74</v>
      </c>
      <c r="D173" s="164" t="s">
        <v>19</v>
      </c>
      <c r="E173" s="164" t="s">
        <v>46</v>
      </c>
    </row>
    <row r="174">
      <c r="A174" s="164" t="s">
        <v>294</v>
      </c>
      <c r="B174" s="164" t="s">
        <v>292</v>
      </c>
      <c r="C174" s="164" t="s">
        <v>74</v>
      </c>
      <c r="D174" s="164" t="s">
        <v>19</v>
      </c>
      <c r="E174" s="164" t="s">
        <v>46</v>
      </c>
    </row>
    <row r="175">
      <c r="A175" s="164" t="s">
        <v>358</v>
      </c>
      <c r="B175" s="164" t="s">
        <v>292</v>
      </c>
      <c r="C175" s="164" t="s">
        <v>74</v>
      </c>
      <c r="D175" s="164" t="s">
        <v>19</v>
      </c>
      <c r="E175" s="164" t="s">
        <v>46</v>
      </c>
    </row>
    <row r="176">
      <c r="A176" s="164" t="s">
        <v>359</v>
      </c>
      <c r="B176" s="164" t="s">
        <v>134</v>
      </c>
      <c r="C176" s="164" t="s">
        <v>85</v>
      </c>
      <c r="D176" s="164" t="s">
        <v>19</v>
      </c>
      <c r="E176" s="164" t="s">
        <v>21</v>
      </c>
      <c r="F176" s="164" t="s">
        <v>24</v>
      </c>
      <c r="G176" s="164" t="s">
        <v>47</v>
      </c>
    </row>
    <row r="177">
      <c r="A177" s="164" t="s">
        <v>359</v>
      </c>
      <c r="B177" s="164" t="s">
        <v>134</v>
      </c>
      <c r="C177" s="164" t="s">
        <v>85</v>
      </c>
      <c r="D177" s="164" t="s">
        <v>19</v>
      </c>
      <c r="E177" s="164" t="s">
        <v>21</v>
      </c>
      <c r="F177" s="164" t="s">
        <v>47</v>
      </c>
    </row>
    <row r="178">
      <c r="A178" s="164" t="s">
        <v>359</v>
      </c>
      <c r="B178" s="164" t="s">
        <v>134</v>
      </c>
      <c r="C178" s="164" t="s">
        <v>85</v>
      </c>
      <c r="D178" s="164" t="s">
        <v>19</v>
      </c>
      <c r="E178" s="164" t="s">
        <v>47</v>
      </c>
    </row>
    <row r="179">
      <c r="A179" s="164" t="s">
        <v>295</v>
      </c>
      <c r="B179" s="164" t="s">
        <v>134</v>
      </c>
      <c r="C179" s="164" t="s">
        <v>85</v>
      </c>
      <c r="D179" s="164" t="s">
        <v>19</v>
      </c>
      <c r="E179" s="164" t="s">
        <v>20</v>
      </c>
      <c r="F179" s="164" t="s">
        <v>47</v>
      </c>
      <c r="G179" s="164" t="s">
        <v>13</v>
      </c>
    </row>
    <row r="180">
      <c r="A180" s="164" t="s">
        <v>295</v>
      </c>
      <c r="B180" s="164" t="s">
        <v>134</v>
      </c>
      <c r="C180" s="164" t="s">
        <v>85</v>
      </c>
      <c r="D180" s="164" t="s">
        <v>19</v>
      </c>
      <c r="E180" s="164" t="s">
        <v>20</v>
      </c>
      <c r="F180" s="164" t="s">
        <v>47</v>
      </c>
      <c r="G180" s="164" t="s">
        <v>13</v>
      </c>
    </row>
    <row r="181">
      <c r="A181" s="164" t="s">
        <v>360</v>
      </c>
      <c r="B181" s="164" t="s">
        <v>134</v>
      </c>
      <c r="C181" s="164" t="s">
        <v>85</v>
      </c>
      <c r="D181" s="164" t="s">
        <v>19</v>
      </c>
      <c r="E181" s="164" t="s">
        <v>21</v>
      </c>
      <c r="F181" s="164" t="s">
        <v>24</v>
      </c>
      <c r="G181" s="164" t="s">
        <v>47</v>
      </c>
    </row>
    <row r="182">
      <c r="A182" s="164" t="s">
        <v>133</v>
      </c>
      <c r="B182" s="164" t="s">
        <v>134</v>
      </c>
      <c r="C182" s="164" t="s">
        <v>85</v>
      </c>
      <c r="D182" s="164" t="s">
        <v>15</v>
      </c>
      <c r="E182" s="164" t="s">
        <v>47</v>
      </c>
      <c r="F182" s="164" t="s">
        <v>13</v>
      </c>
    </row>
    <row r="183">
      <c r="A183" s="164" t="s">
        <v>133</v>
      </c>
      <c r="B183" s="164" t="s">
        <v>134</v>
      </c>
      <c r="C183" s="164" t="s">
        <v>85</v>
      </c>
      <c r="D183" s="164" t="s">
        <v>15</v>
      </c>
      <c r="E183" s="164" t="s">
        <v>47</v>
      </c>
      <c r="F183" s="164" t="s">
        <v>13</v>
      </c>
    </row>
    <row r="184">
      <c r="A184" s="164" t="s">
        <v>133</v>
      </c>
      <c r="B184" s="164" t="s">
        <v>134</v>
      </c>
      <c r="C184" s="164" t="s">
        <v>85</v>
      </c>
      <c r="D184" s="164" t="s">
        <v>15</v>
      </c>
      <c r="E184" s="164" t="s">
        <v>47</v>
      </c>
      <c r="F184" s="164" t="s">
        <v>13</v>
      </c>
    </row>
    <row r="185">
      <c r="A185" s="164" t="s">
        <v>133</v>
      </c>
      <c r="B185" s="164" t="s">
        <v>134</v>
      </c>
      <c r="C185" s="164" t="s">
        <v>85</v>
      </c>
      <c r="D185" s="164" t="s">
        <v>15</v>
      </c>
      <c r="E185" s="164" t="s">
        <v>47</v>
      </c>
      <c r="F185" s="164" t="s">
        <v>13</v>
      </c>
    </row>
    <row r="186">
      <c r="A186" s="164" t="s">
        <v>297</v>
      </c>
      <c r="B186" s="164" t="s">
        <v>134</v>
      </c>
      <c r="C186" s="164" t="s">
        <v>74</v>
      </c>
      <c r="D186" s="164" t="s">
        <v>19</v>
      </c>
      <c r="E186" s="164" t="s">
        <v>21</v>
      </c>
      <c r="F186" s="164" t="s">
        <v>24</v>
      </c>
      <c r="G186" s="164" t="s">
        <v>47</v>
      </c>
    </row>
    <row r="187">
      <c r="A187" s="164" t="s">
        <v>298</v>
      </c>
      <c r="B187" s="164" t="s">
        <v>134</v>
      </c>
      <c r="C187" s="164" t="s">
        <v>74</v>
      </c>
      <c r="D187" s="164" t="s">
        <v>15</v>
      </c>
      <c r="E187" s="164" t="s">
        <v>47</v>
      </c>
      <c r="F187" s="164" t="s">
        <v>13</v>
      </c>
    </row>
    <row r="188">
      <c r="A188" s="164" t="s">
        <v>298</v>
      </c>
      <c r="B188" s="164" t="s">
        <v>134</v>
      </c>
      <c r="C188" s="164" t="s">
        <v>74</v>
      </c>
      <c r="D188" s="164" t="s">
        <v>15</v>
      </c>
      <c r="E188" s="164" t="s">
        <v>47</v>
      </c>
      <c r="F188" s="164" t="s">
        <v>13</v>
      </c>
    </row>
    <row r="189">
      <c r="A189" s="164" t="s">
        <v>298</v>
      </c>
      <c r="B189" s="164" t="s">
        <v>134</v>
      </c>
      <c r="C189" s="164" t="s">
        <v>74</v>
      </c>
      <c r="D189" s="164" t="s">
        <v>15</v>
      </c>
      <c r="E189" s="164" t="s">
        <v>47</v>
      </c>
      <c r="F189" s="164" t="s">
        <v>13</v>
      </c>
    </row>
    <row r="190">
      <c r="A190" s="164" t="s">
        <v>298</v>
      </c>
      <c r="B190" s="164" t="s">
        <v>134</v>
      </c>
      <c r="C190" s="164" t="s">
        <v>74</v>
      </c>
      <c r="D190" s="164" t="s">
        <v>15</v>
      </c>
      <c r="E190" s="164" t="s">
        <v>47</v>
      </c>
      <c r="F190" s="164" t="s">
        <v>13</v>
      </c>
    </row>
    <row r="191">
      <c r="A191" s="164" t="s">
        <v>131</v>
      </c>
      <c r="B191" s="164" t="s">
        <v>292</v>
      </c>
      <c r="C191" s="164" t="s">
        <v>61</v>
      </c>
      <c r="D191" s="164" t="s">
        <v>14</v>
      </c>
      <c r="E191" s="164" t="s">
        <v>15</v>
      </c>
      <c r="F191" s="164" t="s">
        <v>46</v>
      </c>
    </row>
    <row r="192">
      <c r="A192" s="164" t="s">
        <v>131</v>
      </c>
      <c r="B192" s="164" t="s">
        <v>292</v>
      </c>
      <c r="C192" s="164" t="s">
        <v>61</v>
      </c>
      <c r="D192" s="164" t="s">
        <v>14</v>
      </c>
      <c r="E192" s="164" t="s">
        <v>15</v>
      </c>
      <c r="F192" s="164" t="s">
        <v>46</v>
      </c>
    </row>
    <row r="193">
      <c r="A193" s="164" t="s">
        <v>131</v>
      </c>
      <c r="B193" s="164" t="s">
        <v>292</v>
      </c>
      <c r="C193" s="164" t="s">
        <v>61</v>
      </c>
      <c r="D193" s="164" t="s">
        <v>46</v>
      </c>
    </row>
    <row r="194">
      <c r="A194" s="164" t="s">
        <v>131</v>
      </c>
      <c r="B194" s="164" t="s">
        <v>292</v>
      </c>
      <c r="C194" s="164" t="s">
        <v>61</v>
      </c>
      <c r="D194" s="164" t="s">
        <v>14</v>
      </c>
      <c r="E194" s="164" t="s">
        <v>15</v>
      </c>
      <c r="F194" s="164" t="s">
        <v>46</v>
      </c>
    </row>
    <row r="195">
      <c r="A195" s="164" t="s">
        <v>299</v>
      </c>
      <c r="B195" s="164" t="s">
        <v>292</v>
      </c>
      <c r="C195" s="164" t="s">
        <v>125</v>
      </c>
      <c r="D195" s="164" t="s">
        <v>19</v>
      </c>
      <c r="E195" s="164" t="s">
        <v>21</v>
      </c>
      <c r="F195" s="164" t="s">
        <v>24</v>
      </c>
      <c r="G195" s="164" t="s">
        <v>47</v>
      </c>
    </row>
    <row r="196">
      <c r="A196" s="164" t="s">
        <v>300</v>
      </c>
      <c r="B196" s="164" t="s">
        <v>134</v>
      </c>
      <c r="C196" s="164" t="s">
        <v>125</v>
      </c>
      <c r="D196" s="164" t="s">
        <v>15</v>
      </c>
      <c r="E196" s="164" t="s">
        <v>47</v>
      </c>
      <c r="F196" s="164" t="s">
        <v>13</v>
      </c>
    </row>
    <row r="197">
      <c r="A197" s="164" t="s">
        <v>300</v>
      </c>
      <c r="B197" s="164" t="s">
        <v>134</v>
      </c>
      <c r="C197" s="164" t="s">
        <v>125</v>
      </c>
      <c r="D197" s="164" t="s">
        <v>15</v>
      </c>
      <c r="E197" s="164" t="s">
        <v>47</v>
      </c>
      <c r="F197" s="164" t="s">
        <v>13</v>
      </c>
    </row>
    <row r="198">
      <c r="A198" s="164" t="s">
        <v>300</v>
      </c>
      <c r="B198" s="164" t="s">
        <v>134</v>
      </c>
      <c r="C198" s="164" t="s">
        <v>125</v>
      </c>
      <c r="D198" s="164" t="s">
        <v>15</v>
      </c>
      <c r="E198" s="164" t="s">
        <v>47</v>
      </c>
      <c r="F198" s="164" t="s">
        <v>13</v>
      </c>
    </row>
    <row r="199">
      <c r="A199" s="164" t="s">
        <v>300</v>
      </c>
      <c r="B199" s="164" t="s">
        <v>134</v>
      </c>
      <c r="C199" s="164" t="s">
        <v>125</v>
      </c>
      <c r="D199" s="164" t="s">
        <v>15</v>
      </c>
      <c r="E199" s="164" t="s">
        <v>47</v>
      </c>
      <c r="F199" s="164" t="s">
        <v>13</v>
      </c>
    </row>
    <row r="200">
      <c r="A200" s="164" t="s">
        <v>301</v>
      </c>
      <c r="B200" s="164" t="s">
        <v>292</v>
      </c>
      <c r="C200" s="164" t="s">
        <v>74</v>
      </c>
      <c r="D200" s="164" t="s">
        <v>19</v>
      </c>
      <c r="E200" s="164" t="s">
        <v>21</v>
      </c>
      <c r="F200" s="164" t="s">
        <v>24</v>
      </c>
      <c r="G200" s="164" t="s">
        <v>47</v>
      </c>
    </row>
    <row r="201">
      <c r="A201" s="164" t="s">
        <v>302</v>
      </c>
      <c r="B201" s="164" t="s">
        <v>134</v>
      </c>
      <c r="C201" s="164" t="s">
        <v>356</v>
      </c>
      <c r="D201" s="164" t="s">
        <v>15</v>
      </c>
      <c r="E201" s="164" t="s">
        <v>47</v>
      </c>
      <c r="F201" s="164" t="s">
        <v>13</v>
      </c>
    </row>
    <row r="202">
      <c r="A202" s="164" t="s">
        <v>302</v>
      </c>
      <c r="B202" s="164" t="s">
        <v>134</v>
      </c>
      <c r="C202" s="164" t="s">
        <v>74</v>
      </c>
      <c r="D202" s="164" t="s">
        <v>15</v>
      </c>
      <c r="E202" s="164" t="s">
        <v>47</v>
      </c>
      <c r="F202" s="164" t="s">
        <v>13</v>
      </c>
    </row>
    <row r="203">
      <c r="A203" s="164" t="s">
        <v>302</v>
      </c>
      <c r="B203" s="164" t="s">
        <v>134</v>
      </c>
      <c r="C203" s="164" t="s">
        <v>74</v>
      </c>
      <c r="D203" s="164" t="s">
        <v>15</v>
      </c>
      <c r="E203" s="164" t="s">
        <v>47</v>
      </c>
      <c r="F203" s="164" t="s">
        <v>13</v>
      </c>
    </row>
    <row r="204">
      <c r="A204" s="164" t="s">
        <v>302</v>
      </c>
      <c r="B204" s="164" t="s">
        <v>134</v>
      </c>
      <c r="C204" s="164" t="s">
        <v>356</v>
      </c>
      <c r="D204" s="164" t="s">
        <v>15</v>
      </c>
      <c r="E204" s="164" t="s">
        <v>47</v>
      </c>
      <c r="F204" s="164" t="s">
        <v>13</v>
      </c>
    </row>
    <row r="205">
      <c r="A205" s="164" t="s">
        <v>303</v>
      </c>
      <c r="B205" s="164" t="s">
        <v>303</v>
      </c>
    </row>
    <row r="206">
      <c r="A206" s="164" t="s">
        <v>303</v>
      </c>
      <c r="B206" s="164" t="s">
        <v>303</v>
      </c>
    </row>
    <row r="207">
      <c r="A207" s="164" t="s">
        <v>303</v>
      </c>
      <c r="B207" s="164" t="s">
        <v>303</v>
      </c>
    </row>
    <row r="208">
      <c r="A208" s="164" t="s">
        <v>303</v>
      </c>
      <c r="B208" s="164" t="s">
        <v>303</v>
      </c>
    </row>
    <row r="209">
      <c r="A209" s="164" t="s">
        <v>304</v>
      </c>
      <c r="B209" s="164" t="s">
        <v>71</v>
      </c>
      <c r="C209" s="164" t="s">
        <v>305</v>
      </c>
      <c r="D209" s="164" t="s">
        <v>15</v>
      </c>
      <c r="E209" s="164" t="s">
        <v>13</v>
      </c>
    </row>
    <row r="210">
      <c r="A210" s="164" t="s">
        <v>304</v>
      </c>
      <c r="B210" s="164" t="s">
        <v>71</v>
      </c>
      <c r="C210" s="164" t="s">
        <v>305</v>
      </c>
      <c r="D210" s="164" t="s">
        <v>15</v>
      </c>
      <c r="E210" s="164" t="s">
        <v>13</v>
      </c>
    </row>
    <row r="211">
      <c r="A211" s="164" t="s">
        <v>304</v>
      </c>
      <c r="B211" s="164" t="s">
        <v>71</v>
      </c>
      <c r="C211" s="164" t="s">
        <v>305</v>
      </c>
      <c r="D211" s="164" t="s">
        <v>15</v>
      </c>
      <c r="E211" s="164" t="s">
        <v>13</v>
      </c>
    </row>
    <row r="212">
      <c r="A212" s="164" t="s">
        <v>304</v>
      </c>
      <c r="B212" s="164" t="s">
        <v>71</v>
      </c>
      <c r="C212" s="164" t="s">
        <v>305</v>
      </c>
      <c r="D212" s="164" t="s">
        <v>15</v>
      </c>
      <c r="E212" s="164" t="s">
        <v>13</v>
      </c>
    </row>
    <row r="213">
      <c r="A213" s="164" t="s">
        <v>306</v>
      </c>
      <c r="B213" s="164" t="s">
        <v>306</v>
      </c>
      <c r="C213" s="164" t="s">
        <v>47</v>
      </c>
    </row>
    <row r="214">
      <c r="A214" s="164" t="s">
        <v>306</v>
      </c>
      <c r="B214" s="164" t="s">
        <v>306</v>
      </c>
      <c r="C214" s="164" t="s">
        <v>47</v>
      </c>
    </row>
    <row r="215">
      <c r="A215" s="164" t="s">
        <v>306</v>
      </c>
      <c r="B215" s="164" t="s">
        <v>306</v>
      </c>
      <c r="C215" s="164" t="s">
        <v>47</v>
      </c>
    </row>
    <row r="216">
      <c r="A216" s="164" t="s">
        <v>306</v>
      </c>
      <c r="B216" s="164" t="s">
        <v>306</v>
      </c>
      <c r="C216" s="164" t="s">
        <v>47</v>
      </c>
    </row>
    <row r="217">
      <c r="A217" s="164" t="s">
        <v>15</v>
      </c>
      <c r="B217" s="164" t="s">
        <v>15</v>
      </c>
    </row>
    <row r="218">
      <c r="A218" s="164" t="s">
        <v>15</v>
      </c>
      <c r="B218" s="164" t="s">
        <v>15</v>
      </c>
    </row>
    <row r="219">
      <c r="A219" s="164" t="s">
        <v>15</v>
      </c>
      <c r="B219" s="164" t="s">
        <v>15</v>
      </c>
    </row>
    <row r="220">
      <c r="A220" s="164" t="s">
        <v>15</v>
      </c>
      <c r="B220" s="164" t="s">
        <v>15</v>
      </c>
    </row>
    <row r="221">
      <c r="A221" s="164" t="s">
        <v>119</v>
      </c>
      <c r="B221" s="164" t="s">
        <v>119</v>
      </c>
      <c r="C221" s="164" t="s">
        <v>49</v>
      </c>
    </row>
    <row r="222">
      <c r="A222" s="164" t="s">
        <v>119</v>
      </c>
      <c r="B222" s="164" t="s">
        <v>119</v>
      </c>
      <c r="C222" s="164" t="s">
        <v>49</v>
      </c>
    </row>
    <row r="223">
      <c r="A223" s="164" t="s">
        <v>119</v>
      </c>
      <c r="B223" s="164" t="s">
        <v>119</v>
      </c>
      <c r="C223" s="164" t="s">
        <v>49</v>
      </c>
    </row>
    <row r="224">
      <c r="A224" s="164" t="s">
        <v>119</v>
      </c>
      <c r="B224" s="164" t="s">
        <v>119</v>
      </c>
      <c r="C224" s="164" t="s">
        <v>49</v>
      </c>
    </row>
    <row r="225">
      <c r="A225" s="164" t="s">
        <v>28</v>
      </c>
      <c r="B225" s="164" t="s">
        <v>28</v>
      </c>
    </row>
    <row r="226">
      <c r="A226" s="164" t="s">
        <v>28</v>
      </c>
      <c r="B226" s="164" t="s">
        <v>28</v>
      </c>
    </row>
    <row r="227">
      <c r="A227" s="164" t="s">
        <v>28</v>
      </c>
      <c r="B227" s="164" t="s">
        <v>28</v>
      </c>
    </row>
    <row r="228">
      <c r="A228" s="164" t="s">
        <v>28</v>
      </c>
      <c r="B228" s="164" t="s">
        <v>28</v>
      </c>
    </row>
    <row r="229">
      <c r="A229" s="164" t="s">
        <v>361</v>
      </c>
      <c r="B229" s="164" t="s">
        <v>361</v>
      </c>
      <c r="C229" s="164" t="s">
        <v>47</v>
      </c>
    </row>
    <row r="230">
      <c r="A230" s="164" t="s">
        <v>361</v>
      </c>
      <c r="B230" s="164" t="s">
        <v>361</v>
      </c>
      <c r="C230" s="164" t="s">
        <v>47</v>
      </c>
    </row>
    <row r="231">
      <c r="A231" s="164" t="s">
        <v>361</v>
      </c>
      <c r="B231" s="164" t="s">
        <v>361</v>
      </c>
      <c r="C231" s="164" t="s">
        <v>47</v>
      </c>
    </row>
    <row r="232">
      <c r="A232" s="164" t="s">
        <v>361</v>
      </c>
      <c r="B232" s="164" t="s">
        <v>361</v>
      </c>
      <c r="C232" s="164" t="s">
        <v>47</v>
      </c>
    </row>
    <row r="233">
      <c r="A233" s="164" t="s">
        <v>32</v>
      </c>
      <c r="B233" s="164" t="s">
        <v>32</v>
      </c>
    </row>
    <row r="234">
      <c r="A234" s="164" t="s">
        <v>32</v>
      </c>
      <c r="B234" s="164" t="s">
        <v>32</v>
      </c>
    </row>
    <row r="235">
      <c r="A235" s="164" t="s">
        <v>32</v>
      </c>
      <c r="B235" s="164" t="s">
        <v>32</v>
      </c>
    </row>
    <row r="236">
      <c r="A236" s="164" t="s">
        <v>32</v>
      </c>
      <c r="B236" s="164" t="s">
        <v>32</v>
      </c>
    </row>
    <row r="237">
      <c r="A237" s="164" t="s">
        <v>33</v>
      </c>
      <c r="B237" s="164" t="s">
        <v>33</v>
      </c>
    </row>
    <row r="238">
      <c r="A238" s="164" t="s">
        <v>33</v>
      </c>
      <c r="B238" s="164" t="s">
        <v>33</v>
      </c>
    </row>
    <row r="239">
      <c r="A239" s="164" t="s">
        <v>33</v>
      </c>
      <c r="B239" s="164" t="s">
        <v>33</v>
      </c>
    </row>
    <row r="240">
      <c r="A240" s="164" t="s">
        <v>33</v>
      </c>
      <c r="B240" s="164" t="s">
        <v>33</v>
      </c>
    </row>
    <row r="241">
      <c r="A241" s="164" t="s">
        <v>309</v>
      </c>
      <c r="B241" s="164" t="s">
        <v>309</v>
      </c>
      <c r="C241" s="164" t="s">
        <v>47</v>
      </c>
    </row>
    <row r="242">
      <c r="A242" s="164" t="s">
        <v>309</v>
      </c>
      <c r="B242" s="164" t="s">
        <v>309</v>
      </c>
      <c r="C242" s="164" t="s">
        <v>47</v>
      </c>
    </row>
    <row r="243">
      <c r="A243" s="164" t="s">
        <v>309</v>
      </c>
      <c r="B243" s="164" t="s">
        <v>309</v>
      </c>
      <c r="C243" s="164" t="s">
        <v>47</v>
      </c>
    </row>
    <row r="244">
      <c r="A244" s="164" t="s">
        <v>309</v>
      </c>
      <c r="B244" s="164" t="s">
        <v>309</v>
      </c>
      <c r="C244" s="164" t="s">
        <v>47</v>
      </c>
    </row>
    <row r="245">
      <c r="A245" s="164" t="s">
        <v>310</v>
      </c>
      <c r="B245" s="164" t="s">
        <v>310</v>
      </c>
      <c r="C245" s="164" t="s">
        <v>47</v>
      </c>
    </row>
    <row r="246">
      <c r="A246" s="164" t="s">
        <v>310</v>
      </c>
      <c r="B246" s="164" t="s">
        <v>310</v>
      </c>
      <c r="C246" s="164" t="s">
        <v>47</v>
      </c>
    </row>
    <row r="247">
      <c r="A247" s="164" t="s">
        <v>310</v>
      </c>
      <c r="B247" s="164" t="s">
        <v>310</v>
      </c>
      <c r="C247" s="164" t="s">
        <v>47</v>
      </c>
    </row>
    <row r="248">
      <c r="A248" s="164" t="s">
        <v>310</v>
      </c>
      <c r="B248" s="164" t="s">
        <v>310</v>
      </c>
      <c r="C248" s="164" t="s">
        <v>47</v>
      </c>
    </row>
    <row r="249">
      <c r="A249" s="164" t="s">
        <v>311</v>
      </c>
      <c r="B249" s="164" t="s">
        <v>311</v>
      </c>
      <c r="C249" s="164" t="s">
        <v>47</v>
      </c>
    </row>
    <row r="250">
      <c r="A250" s="164" t="s">
        <v>311</v>
      </c>
      <c r="B250" s="164" t="s">
        <v>311</v>
      </c>
      <c r="C250" s="164" t="s">
        <v>47</v>
      </c>
    </row>
    <row r="251">
      <c r="A251" s="164" t="s">
        <v>311</v>
      </c>
      <c r="B251" s="164" t="s">
        <v>311</v>
      </c>
      <c r="C251" s="164" t="s">
        <v>47</v>
      </c>
    </row>
    <row r="252">
      <c r="A252" s="164" t="s">
        <v>311</v>
      </c>
      <c r="B252" s="164" t="s">
        <v>311</v>
      </c>
      <c r="C252" s="164" t="s">
        <v>47</v>
      </c>
    </row>
    <row r="253">
      <c r="A253" s="164" t="s">
        <v>312</v>
      </c>
      <c r="B253" s="164" t="s">
        <v>312</v>
      </c>
      <c r="C253" s="164" t="s">
        <v>47</v>
      </c>
    </row>
    <row r="254">
      <c r="A254" s="164" t="s">
        <v>312</v>
      </c>
      <c r="B254" s="164" t="s">
        <v>312</v>
      </c>
      <c r="C254" s="164" t="s">
        <v>47</v>
      </c>
    </row>
    <row r="255">
      <c r="A255" s="164" t="s">
        <v>312</v>
      </c>
      <c r="B255" s="164" t="s">
        <v>312</v>
      </c>
      <c r="C255" s="164" t="s">
        <v>47</v>
      </c>
    </row>
    <row r="256">
      <c r="A256" s="164" t="s">
        <v>312</v>
      </c>
      <c r="B256" s="164" t="s">
        <v>312</v>
      </c>
      <c r="C256" s="164" t="s">
        <v>47</v>
      </c>
    </row>
    <row r="257">
      <c r="A257" s="164" t="s">
        <v>313</v>
      </c>
      <c r="B257" s="164" t="s">
        <v>313</v>
      </c>
      <c r="C257" s="164" t="s">
        <v>47</v>
      </c>
    </row>
    <row r="258">
      <c r="A258" s="164" t="s">
        <v>313</v>
      </c>
      <c r="B258" s="164" t="s">
        <v>313</v>
      </c>
      <c r="C258" s="164" t="s">
        <v>47</v>
      </c>
    </row>
    <row r="259">
      <c r="A259" s="164" t="s">
        <v>313</v>
      </c>
      <c r="B259" s="164" t="s">
        <v>313</v>
      </c>
      <c r="C259" s="164" t="s">
        <v>47</v>
      </c>
    </row>
    <row r="260">
      <c r="A260" s="164" t="s">
        <v>313</v>
      </c>
      <c r="B260" s="164" t="s">
        <v>313</v>
      </c>
      <c r="C260" s="164" t="s">
        <v>47</v>
      </c>
    </row>
    <row r="261">
      <c r="A261" s="164" t="s">
        <v>314</v>
      </c>
      <c r="B261" s="164" t="s">
        <v>314</v>
      </c>
      <c r="C261" s="164" t="s">
        <v>47</v>
      </c>
    </row>
    <row r="262">
      <c r="A262" s="164" t="s">
        <v>314</v>
      </c>
      <c r="B262" s="164" t="s">
        <v>314</v>
      </c>
      <c r="C262" s="164" t="s">
        <v>47</v>
      </c>
    </row>
    <row r="263">
      <c r="A263" s="164" t="s">
        <v>314</v>
      </c>
      <c r="B263" s="164" t="s">
        <v>314</v>
      </c>
      <c r="C263" s="164" t="s">
        <v>47</v>
      </c>
    </row>
    <row r="264">
      <c r="A264" s="164" t="s">
        <v>314</v>
      </c>
      <c r="B264" s="164" t="s">
        <v>314</v>
      </c>
      <c r="C264" s="164" t="s">
        <v>47</v>
      </c>
    </row>
    <row r="265">
      <c r="A265" s="164" t="s">
        <v>42</v>
      </c>
      <c r="B265" s="164" t="e">
        <v>#N/A</v>
      </c>
    </row>
    <row r="266">
      <c r="A266" s="164" t="s">
        <v>42</v>
      </c>
      <c r="B266" s="164" t="e">
        <v>#N/A</v>
      </c>
    </row>
    <row r="267">
      <c r="A267" s="164" t="s">
        <v>42</v>
      </c>
      <c r="B267" s="164" t="e">
        <v>#N/A</v>
      </c>
    </row>
    <row r="268">
      <c r="A268" s="164" t="s">
        <v>42</v>
      </c>
      <c r="B268" s="164" t="e">
        <v>#N/A</v>
      </c>
    </row>
    <row r="269">
      <c r="A269" s="164" t="s">
        <v>315</v>
      </c>
      <c r="B269" s="164" t="s">
        <v>66</v>
      </c>
      <c r="C269" s="164" t="s">
        <v>38</v>
      </c>
      <c r="D269" s="164" t="s">
        <v>39</v>
      </c>
      <c r="E269" s="164" t="s">
        <v>40</v>
      </c>
    </row>
    <row r="270">
      <c r="A270" s="164" t="s">
        <v>315</v>
      </c>
      <c r="B270" s="164" t="s">
        <v>66</v>
      </c>
      <c r="C270" s="164" t="s">
        <v>38</v>
      </c>
      <c r="D270" s="164" t="s">
        <v>39</v>
      </c>
      <c r="E270" s="164" t="s">
        <v>40</v>
      </c>
    </row>
    <row r="271">
      <c r="A271" s="164" t="s">
        <v>315</v>
      </c>
      <c r="B271" s="164" t="s">
        <v>66</v>
      </c>
      <c r="C271" s="164" t="s">
        <v>38</v>
      </c>
      <c r="D271" s="164" t="s">
        <v>39</v>
      </c>
      <c r="E271" s="164" t="s">
        <v>40</v>
      </c>
    </row>
    <row r="272">
      <c r="A272" s="164" t="s">
        <v>315</v>
      </c>
      <c r="B272" s="164" t="s">
        <v>66</v>
      </c>
      <c r="C272" s="164" t="s">
        <v>38</v>
      </c>
      <c r="D272" s="164" t="s">
        <v>39</v>
      </c>
      <c r="E272" s="164" t="s">
        <v>40</v>
      </c>
    </row>
    <row r="273">
      <c r="A273" s="164" t="s">
        <v>30</v>
      </c>
      <c r="B273" s="164" t="s">
        <v>30</v>
      </c>
    </row>
    <row r="274">
      <c r="A274" s="164" t="s">
        <v>30</v>
      </c>
      <c r="B274" s="164" t="s">
        <v>30</v>
      </c>
    </row>
    <row r="275">
      <c r="A275" s="164" t="s">
        <v>30</v>
      </c>
      <c r="B275" s="164" t="s">
        <v>30</v>
      </c>
    </row>
    <row r="276">
      <c r="A276" s="164" t="s">
        <v>30</v>
      </c>
      <c r="B276" s="164" t="s">
        <v>30</v>
      </c>
    </row>
    <row r="277">
      <c r="A277" s="164" t="s">
        <v>19</v>
      </c>
      <c r="B277" s="164" t="s">
        <v>19</v>
      </c>
    </row>
    <row r="278">
      <c r="A278" s="164" t="s">
        <v>19</v>
      </c>
      <c r="B278" s="164" t="s">
        <v>19</v>
      </c>
    </row>
    <row r="279">
      <c r="A279" s="164" t="s">
        <v>19</v>
      </c>
      <c r="B279" s="164" t="s">
        <v>19</v>
      </c>
    </row>
    <row r="280">
      <c r="A280" s="164" t="s">
        <v>19</v>
      </c>
      <c r="B280" s="164" t="s">
        <v>19</v>
      </c>
    </row>
    <row r="281">
      <c r="A281" s="164" t="s">
        <v>29</v>
      </c>
      <c r="B281" s="164" t="s">
        <v>29</v>
      </c>
    </row>
    <row r="282">
      <c r="A282" s="164" t="s">
        <v>29</v>
      </c>
      <c r="B282" s="164" t="s">
        <v>29</v>
      </c>
    </row>
    <row r="283">
      <c r="A283" s="164" t="s">
        <v>29</v>
      </c>
      <c r="B283" s="164" t="s">
        <v>29</v>
      </c>
    </row>
    <row r="284">
      <c r="A284" s="164" t="s">
        <v>29</v>
      </c>
      <c r="B284" s="164" t="s">
        <v>29</v>
      </c>
    </row>
    <row r="285">
      <c r="A285" s="164" t="s">
        <v>25</v>
      </c>
      <c r="B285" s="164" t="s">
        <v>25</v>
      </c>
    </row>
    <row r="286">
      <c r="A286" s="164" t="s">
        <v>25</v>
      </c>
      <c r="B286" s="164" t="s">
        <v>25</v>
      </c>
    </row>
    <row r="287">
      <c r="A287" s="164" t="s">
        <v>25</v>
      </c>
      <c r="B287" s="164" t="s">
        <v>25</v>
      </c>
    </row>
    <row r="288">
      <c r="A288" s="164" t="s">
        <v>25</v>
      </c>
      <c r="B288" s="164" t="s">
        <v>25</v>
      </c>
    </row>
    <row r="289">
      <c r="A289" s="164" t="s">
        <v>34</v>
      </c>
      <c r="B289" s="164" t="e">
        <v>#N/A</v>
      </c>
    </row>
    <row r="290">
      <c r="A290" s="164" t="s">
        <v>34</v>
      </c>
      <c r="B290" s="164" t="e">
        <v>#N/A</v>
      </c>
    </row>
    <row r="291">
      <c r="A291" s="164" t="s">
        <v>34</v>
      </c>
      <c r="B291" s="164" t="e">
        <v>#N/A</v>
      </c>
    </row>
    <row r="292">
      <c r="A292" s="164" t="s">
        <v>34</v>
      </c>
      <c r="B292" s="164" t="e">
        <v>#N/A</v>
      </c>
    </row>
    <row r="293">
      <c r="A293" s="164" t="s">
        <v>13</v>
      </c>
      <c r="B293" s="164" t="s">
        <v>13</v>
      </c>
    </row>
    <row r="294">
      <c r="A294" s="164" t="s">
        <v>13</v>
      </c>
      <c r="B294" s="164" t="s">
        <v>13</v>
      </c>
    </row>
    <row r="295">
      <c r="A295" s="164" t="s">
        <v>13</v>
      </c>
      <c r="B295" s="164" t="s">
        <v>13</v>
      </c>
    </row>
    <row r="296">
      <c r="A296" s="164" t="s">
        <v>13</v>
      </c>
      <c r="B296" s="164" t="s">
        <v>13</v>
      </c>
    </row>
    <row r="297">
      <c r="A297" s="164" t="s">
        <v>14</v>
      </c>
      <c r="B297" s="164" t="s">
        <v>14</v>
      </c>
    </row>
    <row r="298">
      <c r="A298" s="164" t="s">
        <v>14</v>
      </c>
      <c r="B298" s="164" t="s">
        <v>14</v>
      </c>
    </row>
    <row r="299">
      <c r="A299" s="164" t="s">
        <v>14</v>
      </c>
      <c r="B299" s="164" t="s">
        <v>14</v>
      </c>
    </row>
    <row r="300">
      <c r="A300" s="164" t="s">
        <v>14</v>
      </c>
      <c r="B300" s="164" t="s">
        <v>14</v>
      </c>
    </row>
    <row r="301">
      <c r="A301" s="164" t="s">
        <v>319</v>
      </c>
      <c r="B301" s="164" t="s">
        <v>319</v>
      </c>
      <c r="C301" s="164" t="s">
        <v>137</v>
      </c>
      <c r="D301" s="164" t="s">
        <v>42</v>
      </c>
      <c r="E301" s="164" t="s">
        <v>43</v>
      </c>
      <c r="F301" s="164" t="s">
        <v>47</v>
      </c>
    </row>
    <row r="302">
      <c r="A302" s="164" t="s">
        <v>319</v>
      </c>
      <c r="B302" s="164" t="s">
        <v>319</v>
      </c>
      <c r="C302" s="164" t="s">
        <v>137</v>
      </c>
      <c r="D302" s="164" t="s">
        <v>42</v>
      </c>
      <c r="E302" s="164" t="s">
        <v>43</v>
      </c>
      <c r="F302" s="164" t="s">
        <v>47</v>
      </c>
    </row>
    <row r="303">
      <c r="A303" s="164" t="s">
        <v>319</v>
      </c>
      <c r="B303" s="164" t="s">
        <v>319</v>
      </c>
      <c r="C303" s="164" t="s">
        <v>137</v>
      </c>
      <c r="D303" s="164" t="s">
        <v>42</v>
      </c>
      <c r="E303" s="164" t="s">
        <v>43</v>
      </c>
      <c r="F303" s="164" t="s">
        <v>47</v>
      </c>
    </row>
    <row r="304">
      <c r="A304" s="164" t="s">
        <v>319</v>
      </c>
      <c r="B304" s="164" t="s">
        <v>319</v>
      </c>
      <c r="C304" s="164" t="s">
        <v>137</v>
      </c>
      <c r="D304" s="164" t="s">
        <v>42</v>
      </c>
      <c r="E304" s="164" t="s">
        <v>43</v>
      </c>
      <c r="F304" s="164" t="s">
        <v>47</v>
      </c>
    </row>
    <row r="305">
      <c r="A305" s="164" t="s">
        <v>320</v>
      </c>
      <c r="B305" s="164" t="s">
        <v>123</v>
      </c>
      <c r="C305" s="164" t="s">
        <v>74</v>
      </c>
      <c r="D305" s="164" t="s">
        <v>14</v>
      </c>
      <c r="E305" s="164" t="s">
        <v>15</v>
      </c>
      <c r="F305" s="164" t="s">
        <v>19</v>
      </c>
      <c r="G305" s="164" t="s">
        <v>20</v>
      </c>
      <c r="H305" s="164" t="s">
        <v>22</v>
      </c>
      <c r="I305" s="164" t="s">
        <v>362</v>
      </c>
    </row>
    <row r="306">
      <c r="A306" s="164" t="s">
        <v>322</v>
      </c>
      <c r="B306" s="164" t="s">
        <v>123</v>
      </c>
      <c r="C306" s="164" t="s">
        <v>356</v>
      </c>
      <c r="D306" s="164" t="s">
        <v>14</v>
      </c>
      <c r="E306" s="164" t="s">
        <v>15</v>
      </c>
      <c r="F306" s="164" t="s">
        <v>19</v>
      </c>
      <c r="G306" s="164" t="s">
        <v>20</v>
      </c>
      <c r="H306" s="164" t="s">
        <v>22</v>
      </c>
      <c r="I306" s="164" t="s">
        <v>30</v>
      </c>
      <c r="J306" s="164" t="s">
        <v>362</v>
      </c>
    </row>
    <row r="307">
      <c r="A307" s="164" t="s">
        <v>323</v>
      </c>
      <c r="B307" s="164" t="s">
        <v>123</v>
      </c>
      <c r="C307" s="164" t="s">
        <v>356</v>
      </c>
      <c r="D307" s="164" t="s">
        <v>14</v>
      </c>
      <c r="E307" s="164" t="s">
        <v>15</v>
      </c>
      <c r="F307" s="164" t="s">
        <v>19</v>
      </c>
      <c r="G307" s="164" t="s">
        <v>20</v>
      </c>
      <c r="H307" s="164" t="s">
        <v>22</v>
      </c>
      <c r="I307" s="164" t="s">
        <v>362</v>
      </c>
    </row>
    <row r="308">
      <c r="A308" s="164" t="s">
        <v>323</v>
      </c>
      <c r="B308" s="164" t="s">
        <v>123</v>
      </c>
      <c r="C308" s="164" t="s">
        <v>356</v>
      </c>
      <c r="D308" s="164" t="s">
        <v>14</v>
      </c>
      <c r="E308" s="164" t="s">
        <v>15</v>
      </c>
      <c r="F308" s="164" t="s">
        <v>20</v>
      </c>
      <c r="G308" s="164" t="s">
        <v>21</v>
      </c>
      <c r="H308" s="164" t="s">
        <v>22</v>
      </c>
      <c r="I308" s="164" t="s">
        <v>30</v>
      </c>
      <c r="J308" s="164" t="s">
        <v>362</v>
      </c>
    </row>
    <row r="309">
      <c r="A309" s="164" t="s">
        <v>324</v>
      </c>
      <c r="B309" s="164" t="s">
        <v>123</v>
      </c>
      <c r="C309" s="164" t="s">
        <v>356</v>
      </c>
      <c r="D309" s="164" t="s">
        <v>14</v>
      </c>
      <c r="E309" s="164" t="s">
        <v>15</v>
      </c>
      <c r="F309" s="164" t="s">
        <v>19</v>
      </c>
      <c r="G309" s="164" t="s">
        <v>20</v>
      </c>
      <c r="H309" s="164" t="s">
        <v>21</v>
      </c>
      <c r="I309" s="164" t="s">
        <v>22</v>
      </c>
      <c r="J309" s="164" t="s">
        <v>30</v>
      </c>
      <c r="K309" s="164" t="s">
        <v>362</v>
      </c>
    </row>
    <row r="310">
      <c r="A310" s="164" t="s">
        <v>325</v>
      </c>
      <c r="B310" s="164" t="s">
        <v>123</v>
      </c>
      <c r="C310" s="164" t="s">
        <v>356</v>
      </c>
      <c r="D310" s="164" t="s">
        <v>14</v>
      </c>
      <c r="E310" s="164" t="s">
        <v>15</v>
      </c>
      <c r="F310" s="164" t="s">
        <v>19</v>
      </c>
      <c r="G310" s="164" t="s">
        <v>20</v>
      </c>
      <c r="H310" s="164" t="s">
        <v>22</v>
      </c>
      <c r="I310" s="164" t="s">
        <v>362</v>
      </c>
    </row>
    <row r="311">
      <c r="A311" s="164" t="s">
        <v>326</v>
      </c>
      <c r="B311" s="164" t="s">
        <v>123</v>
      </c>
      <c r="C311" s="164" t="s">
        <v>327</v>
      </c>
      <c r="D311" s="164" t="s">
        <v>14</v>
      </c>
      <c r="E311" s="164" t="s">
        <v>15</v>
      </c>
      <c r="F311" s="164" t="s">
        <v>20</v>
      </c>
      <c r="G311" s="164" t="s">
        <v>21</v>
      </c>
      <c r="H311" s="164" t="s">
        <v>22</v>
      </c>
      <c r="I311" s="164" t="s">
        <v>30</v>
      </c>
      <c r="J311" s="164" t="s">
        <v>362</v>
      </c>
    </row>
    <row r="312">
      <c r="A312" s="164" t="s">
        <v>328</v>
      </c>
      <c r="B312" s="164" t="s">
        <v>123</v>
      </c>
      <c r="C312" s="164" t="s">
        <v>327</v>
      </c>
      <c r="D312" s="164" t="s">
        <v>14</v>
      </c>
      <c r="E312" s="164" t="s">
        <v>15</v>
      </c>
      <c r="F312" s="164" t="s">
        <v>19</v>
      </c>
      <c r="G312" s="164" t="s">
        <v>20</v>
      </c>
      <c r="H312" s="164" t="s">
        <v>21</v>
      </c>
      <c r="I312" s="164" t="s">
        <v>22</v>
      </c>
      <c r="J312" s="164" t="s">
        <v>30</v>
      </c>
      <c r="K312" s="164" t="s">
        <v>362</v>
      </c>
    </row>
    <row r="313">
      <c r="A313" s="164" t="s">
        <v>122</v>
      </c>
      <c r="B313" s="164" t="s">
        <v>123</v>
      </c>
      <c r="C313" s="164" t="s">
        <v>74</v>
      </c>
      <c r="D313" s="164" t="s">
        <v>14</v>
      </c>
      <c r="E313" s="164" t="s">
        <v>15</v>
      </c>
      <c r="F313" s="164" t="s">
        <v>19</v>
      </c>
      <c r="G313" s="164" t="s">
        <v>20</v>
      </c>
      <c r="H313" s="164" t="s">
        <v>22</v>
      </c>
      <c r="I313" s="164" t="s">
        <v>362</v>
      </c>
    </row>
    <row r="314">
      <c r="A314" s="164" t="s">
        <v>144</v>
      </c>
      <c r="B314" s="164" t="s">
        <v>123</v>
      </c>
      <c r="C314" s="164" t="s">
        <v>145</v>
      </c>
      <c r="D314" s="164" t="s">
        <v>14</v>
      </c>
      <c r="E314" s="164" t="s">
        <v>15</v>
      </c>
      <c r="F314" s="164" t="s">
        <v>19</v>
      </c>
      <c r="G314" s="164" t="s">
        <v>20</v>
      </c>
      <c r="H314" s="164" t="s">
        <v>22</v>
      </c>
      <c r="I314" s="164" t="s">
        <v>362</v>
      </c>
    </row>
    <row r="315">
      <c r="A315" s="164" t="s">
        <v>144</v>
      </c>
      <c r="B315" s="164" t="s">
        <v>123</v>
      </c>
      <c r="C315" s="164" t="s">
        <v>145</v>
      </c>
      <c r="D315" s="164" t="s">
        <v>14</v>
      </c>
      <c r="E315" s="164" t="s">
        <v>15</v>
      </c>
      <c r="F315" s="164" t="s">
        <v>19</v>
      </c>
      <c r="G315" s="164" t="s">
        <v>20</v>
      </c>
      <c r="H315" s="164" t="s">
        <v>22</v>
      </c>
      <c r="I315" s="164" t="s">
        <v>362</v>
      </c>
    </row>
    <row r="316">
      <c r="A316" s="164" t="s">
        <v>144</v>
      </c>
      <c r="B316" s="164" t="s">
        <v>123</v>
      </c>
      <c r="C316" s="164" t="s">
        <v>145</v>
      </c>
      <c r="D316" s="164" t="s">
        <v>14</v>
      </c>
      <c r="E316" s="164" t="s">
        <v>15</v>
      </c>
      <c r="F316" s="164" t="s">
        <v>20</v>
      </c>
      <c r="G316" s="164" t="s">
        <v>21</v>
      </c>
      <c r="H316" s="164" t="s">
        <v>22</v>
      </c>
      <c r="I316" s="164" t="s">
        <v>30</v>
      </c>
      <c r="J316" s="164" t="s">
        <v>362</v>
      </c>
    </row>
    <row r="317">
      <c r="A317" s="164" t="s">
        <v>329</v>
      </c>
      <c r="B317" s="164" t="s">
        <v>123</v>
      </c>
      <c r="C317" s="164" t="s">
        <v>145</v>
      </c>
      <c r="D317" s="164" t="s">
        <v>14</v>
      </c>
      <c r="E317" s="164" t="s">
        <v>15</v>
      </c>
      <c r="F317" s="164" t="s">
        <v>19</v>
      </c>
      <c r="G317" s="164" t="s">
        <v>20</v>
      </c>
      <c r="H317" s="164" t="s">
        <v>21</v>
      </c>
      <c r="I317" s="164" t="s">
        <v>22</v>
      </c>
      <c r="J317" s="164" t="s">
        <v>30</v>
      </c>
      <c r="K317" s="164" t="s">
        <v>362</v>
      </c>
    </row>
    <row r="318">
      <c r="A318" s="164" t="s">
        <v>330</v>
      </c>
      <c r="B318" s="164" t="s">
        <v>123</v>
      </c>
      <c r="C318" s="164" t="s">
        <v>145</v>
      </c>
      <c r="D318" s="164" t="s">
        <v>14</v>
      </c>
      <c r="E318" s="164" t="s">
        <v>15</v>
      </c>
      <c r="F318" s="164" t="s">
        <v>19</v>
      </c>
      <c r="G318" s="164" t="s">
        <v>20</v>
      </c>
      <c r="H318" s="164" t="s">
        <v>22</v>
      </c>
      <c r="I318" s="164" t="s">
        <v>362</v>
      </c>
    </row>
    <row r="319">
      <c r="A319" s="164" t="s">
        <v>146</v>
      </c>
      <c r="B319" s="164" t="s">
        <v>123</v>
      </c>
      <c r="C319" s="164" t="s">
        <v>74</v>
      </c>
      <c r="D319" s="164" t="s">
        <v>14</v>
      </c>
      <c r="E319" s="164" t="s">
        <v>15</v>
      </c>
      <c r="F319" s="164" t="s">
        <v>19</v>
      </c>
      <c r="G319" s="164" t="s">
        <v>20</v>
      </c>
      <c r="H319" s="164" t="s">
        <v>22</v>
      </c>
      <c r="I319" s="164" t="s">
        <v>362</v>
      </c>
    </row>
    <row r="320">
      <c r="A320" s="164" t="s">
        <v>146</v>
      </c>
      <c r="B320" s="164" t="s">
        <v>123</v>
      </c>
      <c r="C320" s="164" t="s">
        <v>74</v>
      </c>
      <c r="D320" s="164" t="s">
        <v>14</v>
      </c>
      <c r="E320" s="164" t="s">
        <v>15</v>
      </c>
      <c r="F320" s="164" t="s">
        <v>20</v>
      </c>
      <c r="G320" s="164" t="s">
        <v>21</v>
      </c>
      <c r="H320" s="164" t="s">
        <v>22</v>
      </c>
      <c r="I320" s="164" t="s">
        <v>30</v>
      </c>
      <c r="J320" s="164" t="s">
        <v>362</v>
      </c>
    </row>
    <row r="321">
      <c r="A321" s="164" t="s">
        <v>331</v>
      </c>
      <c r="B321" s="164" t="s">
        <v>123</v>
      </c>
      <c r="C321" s="164" t="s">
        <v>74</v>
      </c>
      <c r="D321" s="164" t="s">
        <v>14</v>
      </c>
      <c r="E321" s="164" t="s">
        <v>15</v>
      </c>
      <c r="F321" s="164" t="s">
        <v>19</v>
      </c>
      <c r="G321" s="164" t="s">
        <v>20</v>
      </c>
      <c r="H321" s="164" t="s">
        <v>21</v>
      </c>
      <c r="I321" s="164" t="s">
        <v>22</v>
      </c>
      <c r="J321" s="164" t="s">
        <v>30</v>
      </c>
      <c r="K321" s="164" t="s">
        <v>362</v>
      </c>
    </row>
    <row r="322">
      <c r="A322" s="164" t="s">
        <v>332</v>
      </c>
      <c r="B322" s="164" t="s">
        <v>123</v>
      </c>
      <c r="C322" s="164" t="s">
        <v>74</v>
      </c>
      <c r="D322" s="164" t="s">
        <v>14</v>
      </c>
      <c r="E322" s="164" t="s">
        <v>15</v>
      </c>
      <c r="F322" s="164" t="s">
        <v>19</v>
      </c>
      <c r="G322" s="164" t="s">
        <v>20</v>
      </c>
      <c r="H322" s="164" t="s">
        <v>22</v>
      </c>
      <c r="I322" s="164" t="s">
        <v>362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17.38"/>
    <col customWidth="1" min="3" max="3" width="17.13"/>
    <col customWidth="1" min="4" max="4" width="12.0"/>
    <col customWidth="1" min="5" max="7" width="17.38"/>
    <col customWidth="1" min="8" max="8" width="19.75"/>
    <col customWidth="1" min="9" max="10" width="14.25"/>
  </cols>
  <sheetData>
    <row r="2">
      <c r="A2" s="9" t="s">
        <v>27</v>
      </c>
      <c r="B2" s="9" t="s">
        <v>27</v>
      </c>
    </row>
    <row r="3">
      <c r="A3" s="9" t="s">
        <v>127</v>
      </c>
      <c r="B3" s="9" t="s">
        <v>128</v>
      </c>
      <c r="C3" s="9" t="s">
        <v>41</v>
      </c>
    </row>
    <row r="4">
      <c r="A4" s="165" t="s">
        <v>207</v>
      </c>
      <c r="B4" s="9" t="s">
        <v>60</v>
      </c>
      <c r="C4" s="9" t="s">
        <v>74</v>
      </c>
      <c r="D4" s="9" t="s">
        <v>14</v>
      </c>
      <c r="E4" s="9" t="s">
        <v>15</v>
      </c>
      <c r="F4" s="9" t="s">
        <v>21</v>
      </c>
      <c r="G4" s="9" t="s">
        <v>28</v>
      </c>
      <c r="H4" s="9" t="s">
        <v>46</v>
      </c>
    </row>
    <row r="5">
      <c r="A5" s="9" t="s">
        <v>210</v>
      </c>
      <c r="B5" s="9" t="s">
        <v>60</v>
      </c>
      <c r="C5" s="9" t="s">
        <v>74</v>
      </c>
      <c r="D5" s="9" t="s">
        <v>14</v>
      </c>
      <c r="E5" s="9" t="s">
        <v>15</v>
      </c>
      <c r="F5" s="9" t="s">
        <v>19</v>
      </c>
      <c r="G5" s="9" t="s">
        <v>21</v>
      </c>
      <c r="H5" s="9" t="s">
        <v>28</v>
      </c>
      <c r="I5" s="9" t="s">
        <v>46</v>
      </c>
    </row>
    <row r="6">
      <c r="A6" s="9" t="s">
        <v>211</v>
      </c>
      <c r="B6" s="9" t="s">
        <v>60</v>
      </c>
      <c r="C6" s="9" t="s">
        <v>74</v>
      </c>
      <c r="D6" s="9" t="s">
        <v>19</v>
      </c>
      <c r="E6" s="9" t="s">
        <v>21</v>
      </c>
      <c r="F6" s="9" t="s">
        <v>23</v>
      </c>
      <c r="G6" s="9" t="s">
        <v>24</v>
      </c>
      <c r="H6" s="9" t="s">
        <v>46</v>
      </c>
    </row>
    <row r="7">
      <c r="A7" s="9" t="s">
        <v>212</v>
      </c>
      <c r="B7" s="9" t="s">
        <v>213</v>
      </c>
      <c r="C7" s="9" t="s">
        <v>74</v>
      </c>
      <c r="D7" s="9" t="s">
        <v>19</v>
      </c>
      <c r="E7" s="9" t="s">
        <v>21</v>
      </c>
      <c r="F7" s="9" t="s">
        <v>23</v>
      </c>
      <c r="G7" s="9" t="s">
        <v>24</v>
      </c>
      <c r="H7" s="9" t="s">
        <v>46</v>
      </c>
    </row>
    <row r="8">
      <c r="A8" s="9" t="s">
        <v>154</v>
      </c>
      <c r="B8" s="9" t="s">
        <v>60</v>
      </c>
      <c r="C8" s="9" t="s">
        <v>74</v>
      </c>
      <c r="D8" s="9" t="s">
        <v>14</v>
      </c>
      <c r="E8" s="9" t="s">
        <v>15</v>
      </c>
      <c r="F8" s="9" t="s">
        <v>46</v>
      </c>
    </row>
    <row r="9">
      <c r="A9" s="9" t="s">
        <v>214</v>
      </c>
      <c r="B9" s="9" t="s">
        <v>213</v>
      </c>
      <c r="C9" s="9" t="s">
        <v>74</v>
      </c>
      <c r="D9" s="9" t="s">
        <v>14</v>
      </c>
      <c r="E9" s="9" t="s">
        <v>15</v>
      </c>
      <c r="F9" s="9" t="s">
        <v>46</v>
      </c>
    </row>
    <row r="10">
      <c r="A10" s="9" t="s">
        <v>73</v>
      </c>
      <c r="B10" s="9" t="s">
        <v>60</v>
      </c>
      <c r="C10" s="9" t="s">
        <v>74</v>
      </c>
      <c r="D10" s="9" t="s">
        <v>19</v>
      </c>
      <c r="E10" s="9" t="s">
        <v>46</v>
      </c>
    </row>
    <row r="11">
      <c r="A11" s="9" t="s">
        <v>216</v>
      </c>
      <c r="B11" s="9" t="s">
        <v>213</v>
      </c>
      <c r="C11" s="9" t="s">
        <v>74</v>
      </c>
      <c r="D11" s="9" t="s">
        <v>19</v>
      </c>
      <c r="E11" s="9" t="s">
        <v>46</v>
      </c>
    </row>
    <row r="12">
      <c r="A12" s="9" t="s">
        <v>24</v>
      </c>
      <c r="B12" s="9" t="s">
        <v>24</v>
      </c>
    </row>
    <row r="13">
      <c r="A13" s="9" t="s">
        <v>159</v>
      </c>
      <c r="B13" s="9" t="s">
        <v>159</v>
      </c>
    </row>
    <row r="14">
      <c r="A14" s="9" t="s">
        <v>135</v>
      </c>
      <c r="B14" s="9" t="s">
        <v>136</v>
      </c>
      <c r="C14" s="9" t="s">
        <v>137</v>
      </c>
      <c r="D14" s="9" t="s">
        <v>42</v>
      </c>
      <c r="E14" s="9" t="s">
        <v>43</v>
      </c>
      <c r="F14" s="9" t="s">
        <v>44</v>
      </c>
      <c r="G14" s="9" t="s">
        <v>47</v>
      </c>
    </row>
    <row r="15">
      <c r="A15" s="9" t="s">
        <v>21</v>
      </c>
      <c r="B15" s="9" t="s">
        <v>21</v>
      </c>
    </row>
    <row r="16">
      <c r="A16" s="9" t="s">
        <v>31</v>
      </c>
      <c r="B16" s="9" t="s">
        <v>31</v>
      </c>
    </row>
    <row r="17">
      <c r="A17" s="9" t="s">
        <v>23</v>
      </c>
      <c r="B17" s="9" t="s">
        <v>23</v>
      </c>
    </row>
    <row r="18">
      <c r="A18" s="9" t="s">
        <v>26</v>
      </c>
      <c r="B18" s="9" t="s">
        <v>26</v>
      </c>
    </row>
    <row r="19">
      <c r="A19" s="9" t="s">
        <v>220</v>
      </c>
      <c r="B19" s="9" t="s">
        <v>71</v>
      </c>
      <c r="C19" s="9" t="s">
        <v>74</v>
      </c>
      <c r="D19" s="9" t="s">
        <v>15</v>
      </c>
      <c r="E19" s="9" t="s">
        <v>19</v>
      </c>
      <c r="F19" s="9" t="s">
        <v>21</v>
      </c>
      <c r="G19" s="9" t="s">
        <v>47</v>
      </c>
      <c r="H19" s="9" t="s">
        <v>13</v>
      </c>
    </row>
    <row r="20">
      <c r="A20" s="9" t="s">
        <v>222</v>
      </c>
      <c r="B20" s="9" t="s">
        <v>71</v>
      </c>
      <c r="C20" s="9" t="s">
        <v>74</v>
      </c>
      <c r="D20" s="9" t="s">
        <v>19</v>
      </c>
      <c r="E20" s="9" t="s">
        <v>20</v>
      </c>
      <c r="F20" s="9" t="s">
        <v>31</v>
      </c>
      <c r="G20" s="9" t="s">
        <v>32</v>
      </c>
      <c r="H20" s="9" t="s">
        <v>47</v>
      </c>
      <c r="I20" s="9" t="s">
        <v>13</v>
      </c>
    </row>
    <row r="21">
      <c r="A21" s="9" t="s">
        <v>223</v>
      </c>
      <c r="B21" s="9" t="s">
        <v>71</v>
      </c>
      <c r="C21" s="9" t="s">
        <v>224</v>
      </c>
      <c r="D21" s="9" t="s">
        <v>15</v>
      </c>
      <c r="E21" s="9" t="s">
        <v>13</v>
      </c>
    </row>
    <row r="22">
      <c r="A22" s="9" t="s">
        <v>225</v>
      </c>
      <c r="B22" s="9" t="s">
        <v>71</v>
      </c>
      <c r="C22" s="9" t="s">
        <v>74</v>
      </c>
      <c r="D22" s="9" t="s">
        <v>19</v>
      </c>
      <c r="E22" s="9" t="s">
        <v>20</v>
      </c>
      <c r="F22" s="9" t="s">
        <v>21</v>
      </c>
      <c r="G22" s="9" t="s">
        <v>28</v>
      </c>
      <c r="H22" s="9" t="s">
        <v>33</v>
      </c>
      <c r="I22" s="9" t="s">
        <v>47</v>
      </c>
      <c r="J22" s="9" t="s">
        <v>13</v>
      </c>
    </row>
    <row r="23">
      <c r="A23" s="9" t="s">
        <v>86</v>
      </c>
      <c r="B23" s="9" t="s">
        <v>71</v>
      </c>
      <c r="C23" s="9" t="s">
        <v>74</v>
      </c>
      <c r="D23" s="9" t="s">
        <v>20</v>
      </c>
      <c r="E23" s="9" t="s">
        <v>21</v>
      </c>
      <c r="F23" s="9" t="s">
        <v>26</v>
      </c>
      <c r="G23" s="9" t="s">
        <v>27</v>
      </c>
      <c r="H23" s="9" t="s">
        <v>29</v>
      </c>
      <c r="I23" s="9" t="s">
        <v>47</v>
      </c>
      <c r="J23" s="9" t="s">
        <v>13</v>
      </c>
    </row>
    <row r="24">
      <c r="A24" s="9" t="s">
        <v>88</v>
      </c>
      <c r="B24" s="9" t="s">
        <v>71</v>
      </c>
      <c r="C24" s="9" t="s">
        <v>74</v>
      </c>
      <c r="D24" s="9" t="s">
        <v>15</v>
      </c>
      <c r="E24" s="9" t="s">
        <v>47</v>
      </c>
      <c r="F24" s="9" t="s">
        <v>13</v>
      </c>
    </row>
    <row r="25">
      <c r="A25" s="9" t="s">
        <v>226</v>
      </c>
      <c r="B25" s="9" t="s">
        <v>71</v>
      </c>
      <c r="C25" s="9" t="s">
        <v>74</v>
      </c>
      <c r="D25" s="9" t="s">
        <v>19</v>
      </c>
      <c r="E25" s="9" t="s">
        <v>47</v>
      </c>
    </row>
    <row r="26">
      <c r="A26" s="9" t="s">
        <v>227</v>
      </c>
      <c r="B26" s="9" t="s">
        <v>228</v>
      </c>
      <c r="C26" s="9" t="s">
        <v>45</v>
      </c>
      <c r="D26" s="9" t="s">
        <v>48</v>
      </c>
    </row>
    <row r="27">
      <c r="A27" s="9" t="s">
        <v>229</v>
      </c>
      <c r="B27" s="9" t="s">
        <v>230</v>
      </c>
      <c r="C27" s="9" t="s">
        <v>45</v>
      </c>
      <c r="D27" s="9" t="s">
        <v>48</v>
      </c>
    </row>
    <row r="28">
      <c r="A28" s="9" t="s">
        <v>22</v>
      </c>
      <c r="B28" s="9" t="s">
        <v>22</v>
      </c>
    </row>
    <row r="29">
      <c r="A29" s="9" t="s">
        <v>232</v>
      </c>
      <c r="B29" s="9" t="s">
        <v>232</v>
      </c>
      <c r="C29" s="9" t="s">
        <v>47</v>
      </c>
    </row>
    <row r="30">
      <c r="A30" s="9" t="s">
        <v>234</v>
      </c>
      <c r="B30" s="9" t="s">
        <v>234</v>
      </c>
      <c r="C30" s="9" t="s">
        <v>47</v>
      </c>
    </row>
    <row r="31">
      <c r="A31" s="9" t="s">
        <v>43</v>
      </c>
      <c r="B31" s="9" t="s">
        <v>43</v>
      </c>
    </row>
    <row r="32">
      <c r="A32" s="9" t="s">
        <v>235</v>
      </c>
      <c r="B32" s="9" t="s">
        <v>236</v>
      </c>
      <c r="C32" s="9" t="s">
        <v>37</v>
      </c>
    </row>
    <row r="33">
      <c r="A33" s="9" t="s">
        <v>239</v>
      </c>
      <c r="B33" s="9" t="s">
        <v>71</v>
      </c>
      <c r="C33" s="9" t="s">
        <v>81</v>
      </c>
      <c r="D33" s="9" t="s">
        <v>19</v>
      </c>
      <c r="E33" s="9" t="s">
        <v>20</v>
      </c>
      <c r="F33" s="9" t="s">
        <v>32</v>
      </c>
      <c r="G33" s="9" t="s">
        <v>47</v>
      </c>
      <c r="H33" s="9" t="s">
        <v>13</v>
      </c>
    </row>
    <row r="34">
      <c r="A34" s="9" t="s">
        <v>241</v>
      </c>
      <c r="B34" s="9" t="s">
        <v>71</v>
      </c>
      <c r="C34" s="9" t="s">
        <v>81</v>
      </c>
      <c r="D34" s="9" t="s">
        <v>19</v>
      </c>
      <c r="E34" s="9" t="s">
        <v>20</v>
      </c>
      <c r="F34" s="9" t="s">
        <v>21</v>
      </c>
      <c r="G34" s="9" t="s">
        <v>28</v>
      </c>
      <c r="H34" s="9" t="s">
        <v>33</v>
      </c>
      <c r="I34" s="9" t="s">
        <v>47</v>
      </c>
      <c r="J34" s="9" t="s">
        <v>13</v>
      </c>
    </row>
    <row r="35">
      <c r="A35" s="9" t="s">
        <v>84</v>
      </c>
      <c r="B35" s="9" t="s">
        <v>71</v>
      </c>
      <c r="C35" s="9" t="s">
        <v>85</v>
      </c>
      <c r="D35" s="9" t="s">
        <v>19</v>
      </c>
      <c r="E35" s="9" t="s">
        <v>20</v>
      </c>
      <c r="F35" s="9" t="s">
        <v>21</v>
      </c>
      <c r="G35" s="9" t="s">
        <v>27</v>
      </c>
      <c r="H35" s="9" t="s">
        <v>28</v>
      </c>
      <c r="I35" s="9" t="s">
        <v>29</v>
      </c>
      <c r="J35" s="9" t="s">
        <v>47</v>
      </c>
    </row>
    <row r="36">
      <c r="A36" s="9" t="s">
        <v>104</v>
      </c>
      <c r="B36" s="9" t="s">
        <v>71</v>
      </c>
      <c r="C36" s="9" t="s">
        <v>81</v>
      </c>
      <c r="D36" s="9" t="s">
        <v>15</v>
      </c>
      <c r="E36" s="9" t="s">
        <v>47</v>
      </c>
      <c r="F36" s="9" t="s">
        <v>13</v>
      </c>
    </row>
    <row r="37">
      <c r="A37" s="9" t="s">
        <v>244</v>
      </c>
      <c r="B37" s="9" t="s">
        <v>71</v>
      </c>
      <c r="C37" s="9" t="s">
        <v>81</v>
      </c>
      <c r="D37" s="9" t="s">
        <v>47</v>
      </c>
    </row>
    <row r="38">
      <c r="A38" s="9" t="s">
        <v>246</v>
      </c>
      <c r="B38" s="9" t="s">
        <v>71</v>
      </c>
      <c r="C38" s="9" t="s">
        <v>81</v>
      </c>
      <c r="D38" s="9" t="s">
        <v>19</v>
      </c>
      <c r="E38" s="9" t="s">
        <v>47</v>
      </c>
    </row>
    <row r="39">
      <c r="A39" s="9" t="s">
        <v>249</v>
      </c>
      <c r="B39" s="9" t="s">
        <v>250</v>
      </c>
      <c r="C39" s="9" t="s">
        <v>35</v>
      </c>
    </row>
    <row r="40">
      <c r="A40" s="9" t="s">
        <v>251</v>
      </c>
      <c r="B40" s="9" t="s">
        <v>252</v>
      </c>
      <c r="C40" s="9" t="s">
        <v>35</v>
      </c>
      <c r="D40" s="9" t="s">
        <v>137</v>
      </c>
    </row>
    <row r="41">
      <c r="A41" s="9" t="s">
        <v>347</v>
      </c>
      <c r="B41" s="9" t="s">
        <v>60</v>
      </c>
      <c r="C41" s="9" t="s">
        <v>258</v>
      </c>
      <c r="D41" s="9" t="s">
        <v>14</v>
      </c>
      <c r="E41" s="9" t="s">
        <v>15</v>
      </c>
    </row>
    <row r="42">
      <c r="A42" s="9" t="s">
        <v>348</v>
      </c>
      <c r="B42" s="9" t="s">
        <v>60</v>
      </c>
      <c r="C42" s="9" t="s">
        <v>61</v>
      </c>
      <c r="D42" s="9" t="s">
        <v>14</v>
      </c>
      <c r="E42" s="9" t="s">
        <v>15</v>
      </c>
      <c r="F42" s="9" t="s">
        <v>21</v>
      </c>
      <c r="G42" s="9" t="s">
        <v>28</v>
      </c>
      <c r="H42" s="9" t="s">
        <v>46</v>
      </c>
    </row>
    <row r="43">
      <c r="A43" s="9" t="s">
        <v>349</v>
      </c>
      <c r="B43" s="9" t="s">
        <v>60</v>
      </c>
      <c r="C43" s="9" t="s">
        <v>61</v>
      </c>
      <c r="D43" s="9" t="s">
        <v>14</v>
      </c>
      <c r="E43" s="9" t="s">
        <v>25</v>
      </c>
      <c r="F43" s="9" t="s">
        <v>27</v>
      </c>
      <c r="G43" s="9" t="s">
        <v>46</v>
      </c>
    </row>
    <row r="44">
      <c r="A44" s="9" t="s">
        <v>350</v>
      </c>
      <c r="B44" s="9" t="s">
        <v>60</v>
      </c>
      <c r="C44" s="9" t="s">
        <v>61</v>
      </c>
      <c r="D44" s="9" t="s">
        <v>14</v>
      </c>
      <c r="E44" s="9" t="s">
        <v>15</v>
      </c>
      <c r="F44" s="9" t="s">
        <v>21</v>
      </c>
      <c r="G44" s="9" t="s">
        <v>28</v>
      </c>
      <c r="H44" s="9" t="s">
        <v>46</v>
      </c>
    </row>
    <row r="45">
      <c r="A45" s="9" t="s">
        <v>351</v>
      </c>
      <c r="B45" s="9" t="s">
        <v>60</v>
      </c>
      <c r="C45" s="9" t="s">
        <v>61</v>
      </c>
      <c r="D45" s="9" t="s">
        <v>14</v>
      </c>
      <c r="E45" s="9" t="s">
        <v>25</v>
      </c>
      <c r="F45" s="9" t="s">
        <v>29</v>
      </c>
      <c r="G45" s="9" t="s">
        <v>46</v>
      </c>
    </row>
    <row r="46">
      <c r="A46" s="9" t="s">
        <v>352</v>
      </c>
      <c r="B46" s="9" t="s">
        <v>213</v>
      </c>
      <c r="C46" s="9" t="s">
        <v>266</v>
      </c>
      <c r="D46" s="9" t="s">
        <v>14</v>
      </c>
      <c r="E46" s="9" t="s">
        <v>25</v>
      </c>
      <c r="F46" s="9" t="s">
        <v>29</v>
      </c>
    </row>
    <row r="47">
      <c r="A47" s="9" t="s">
        <v>353</v>
      </c>
      <c r="B47" s="9" t="s">
        <v>60</v>
      </c>
      <c r="C47" s="9" t="s">
        <v>61</v>
      </c>
      <c r="D47" s="9" t="s">
        <v>19</v>
      </c>
      <c r="E47" s="9" t="s">
        <v>21</v>
      </c>
      <c r="F47" s="9" t="s">
        <v>23</v>
      </c>
      <c r="G47" s="9" t="s">
        <v>24</v>
      </c>
      <c r="H47" s="9" t="s">
        <v>46</v>
      </c>
    </row>
    <row r="48">
      <c r="A48" s="9" t="s">
        <v>354</v>
      </c>
      <c r="B48" s="9" t="s">
        <v>213</v>
      </c>
      <c r="C48" s="9" t="s">
        <v>266</v>
      </c>
      <c r="D48" s="9" t="s">
        <v>19</v>
      </c>
      <c r="E48" s="9" t="s">
        <v>21</v>
      </c>
      <c r="F48" s="9" t="s">
        <v>23</v>
      </c>
      <c r="G48" s="9" t="s">
        <v>24</v>
      </c>
    </row>
    <row r="49">
      <c r="A49" s="9" t="s">
        <v>59</v>
      </c>
      <c r="B49" s="9" t="s">
        <v>60</v>
      </c>
      <c r="C49" s="9" t="s">
        <v>61</v>
      </c>
      <c r="D49" s="9" t="s">
        <v>14</v>
      </c>
      <c r="E49" s="9" t="s">
        <v>15</v>
      </c>
      <c r="F49" s="9" t="s">
        <v>46</v>
      </c>
    </row>
    <row r="50">
      <c r="A50" s="9" t="s">
        <v>355</v>
      </c>
      <c r="B50" s="9" t="s">
        <v>213</v>
      </c>
      <c r="C50" s="9" t="s">
        <v>266</v>
      </c>
      <c r="D50" s="9" t="s">
        <v>14</v>
      </c>
      <c r="E50" s="9" t="s">
        <v>15</v>
      </c>
    </row>
    <row r="51">
      <c r="A51" s="9" t="s">
        <v>277</v>
      </c>
      <c r="B51" s="9" t="s">
        <v>277</v>
      </c>
    </row>
    <row r="52">
      <c r="A52" s="9" t="s">
        <v>20</v>
      </c>
      <c r="B52" s="9" t="s">
        <v>20</v>
      </c>
    </row>
    <row r="53">
      <c r="A53" s="9" t="s">
        <v>279</v>
      </c>
      <c r="B53" s="9" t="s">
        <v>71</v>
      </c>
      <c r="C53" s="9" t="s">
        <v>125</v>
      </c>
      <c r="D53" s="9" t="s">
        <v>15</v>
      </c>
      <c r="E53" s="9" t="s">
        <v>19</v>
      </c>
      <c r="F53" s="9" t="s">
        <v>21</v>
      </c>
      <c r="G53" s="9" t="s">
        <v>47</v>
      </c>
      <c r="H53" s="9" t="s">
        <v>13</v>
      </c>
    </row>
    <row r="54">
      <c r="A54" s="9" t="s">
        <v>280</v>
      </c>
      <c r="B54" s="9" t="s">
        <v>71</v>
      </c>
      <c r="C54" s="9" t="s">
        <v>125</v>
      </c>
      <c r="D54" s="9" t="s">
        <v>19</v>
      </c>
      <c r="E54" s="9" t="s">
        <v>20</v>
      </c>
      <c r="F54" s="9" t="s">
        <v>31</v>
      </c>
      <c r="G54" s="9" t="s">
        <v>32</v>
      </c>
      <c r="H54" s="9" t="s">
        <v>47</v>
      </c>
      <c r="I54" s="9" t="s">
        <v>13</v>
      </c>
    </row>
    <row r="55">
      <c r="A55" s="9" t="s">
        <v>281</v>
      </c>
      <c r="B55" s="9" t="s">
        <v>71</v>
      </c>
      <c r="C55" s="9" t="s">
        <v>125</v>
      </c>
      <c r="D55" s="9" t="s">
        <v>47</v>
      </c>
    </row>
    <row r="56">
      <c r="A56" s="9" t="s">
        <v>283</v>
      </c>
      <c r="B56" s="9" t="s">
        <v>71</v>
      </c>
      <c r="C56" s="9" t="s">
        <v>125</v>
      </c>
      <c r="D56" s="9" t="s">
        <v>19</v>
      </c>
      <c r="E56" s="9" t="s">
        <v>21</v>
      </c>
      <c r="F56" s="9" t="s">
        <v>23</v>
      </c>
      <c r="G56" s="9" t="s">
        <v>24</v>
      </c>
      <c r="H56" s="9" t="s">
        <v>47</v>
      </c>
    </row>
    <row r="57">
      <c r="A57" s="9" t="s">
        <v>124</v>
      </c>
      <c r="B57" s="9" t="s">
        <v>71</v>
      </c>
      <c r="C57" s="9" t="s">
        <v>125</v>
      </c>
      <c r="D57" s="9" t="s">
        <v>15</v>
      </c>
      <c r="E57" s="9" t="s">
        <v>47</v>
      </c>
      <c r="F57" s="9" t="s">
        <v>13</v>
      </c>
    </row>
    <row r="58">
      <c r="A58" s="9" t="s">
        <v>284</v>
      </c>
      <c r="B58" s="9" t="s">
        <v>71</v>
      </c>
      <c r="C58" s="9" t="s">
        <v>125</v>
      </c>
      <c r="D58" s="9" t="s">
        <v>19</v>
      </c>
      <c r="E58" s="9" t="s">
        <v>47</v>
      </c>
    </row>
    <row r="59">
      <c r="A59" s="9" t="s">
        <v>44</v>
      </c>
      <c r="B59" s="9" t="s">
        <v>44</v>
      </c>
    </row>
    <row r="60">
      <c r="A60" s="9" t="s">
        <v>285</v>
      </c>
      <c r="B60" s="9" t="s">
        <v>71</v>
      </c>
      <c r="C60" s="9" t="s">
        <v>356</v>
      </c>
      <c r="D60" s="9" t="s">
        <v>19</v>
      </c>
      <c r="E60" s="9" t="s">
        <v>20</v>
      </c>
      <c r="F60" s="9" t="s">
        <v>47</v>
      </c>
      <c r="G60" s="9" t="s">
        <v>13</v>
      </c>
    </row>
    <row r="61">
      <c r="A61" s="9" t="s">
        <v>286</v>
      </c>
      <c r="B61" s="9" t="s">
        <v>71</v>
      </c>
      <c r="C61" s="9" t="s">
        <v>356</v>
      </c>
      <c r="D61" s="9" t="s">
        <v>19</v>
      </c>
      <c r="E61" s="9" t="s">
        <v>20</v>
      </c>
      <c r="F61" s="9" t="s">
        <v>21</v>
      </c>
      <c r="G61" s="9" t="s">
        <v>28</v>
      </c>
      <c r="H61" s="9" t="s">
        <v>33</v>
      </c>
      <c r="I61" s="9" t="s">
        <v>47</v>
      </c>
      <c r="J61" s="9" t="s">
        <v>13</v>
      </c>
    </row>
    <row r="62">
      <c r="A62" s="9" t="s">
        <v>287</v>
      </c>
      <c r="B62" s="9" t="s">
        <v>71</v>
      </c>
      <c r="C62" s="9" t="s">
        <v>356</v>
      </c>
      <c r="D62" s="9" t="s">
        <v>15</v>
      </c>
      <c r="E62" s="9" t="s">
        <v>21</v>
      </c>
      <c r="F62" s="9" t="s">
        <v>27</v>
      </c>
      <c r="G62" s="9" t="s">
        <v>29</v>
      </c>
      <c r="H62" s="9" t="s">
        <v>47</v>
      </c>
      <c r="I62" s="9" t="s">
        <v>13</v>
      </c>
    </row>
    <row r="63">
      <c r="A63" s="9" t="s">
        <v>70</v>
      </c>
      <c r="B63" s="9" t="s">
        <v>71</v>
      </c>
      <c r="C63" s="9" t="s">
        <v>356</v>
      </c>
      <c r="D63" s="9" t="s">
        <v>15</v>
      </c>
      <c r="E63" s="9" t="s">
        <v>47</v>
      </c>
      <c r="F63" s="9" t="s">
        <v>13</v>
      </c>
    </row>
    <row r="64">
      <c r="A64" s="9" t="s">
        <v>288</v>
      </c>
      <c r="B64" s="9" t="s">
        <v>71</v>
      </c>
      <c r="C64" s="9" t="s">
        <v>356</v>
      </c>
      <c r="D64" s="9" t="s">
        <v>15</v>
      </c>
      <c r="E64" s="9" t="s">
        <v>19</v>
      </c>
      <c r="F64" s="9" t="s">
        <v>21</v>
      </c>
      <c r="G64" s="9" t="s">
        <v>47</v>
      </c>
      <c r="H64" s="9" t="s">
        <v>13</v>
      </c>
    </row>
    <row r="65">
      <c r="A65" s="9" t="s">
        <v>289</v>
      </c>
      <c r="B65" s="9" t="s">
        <v>71</v>
      </c>
      <c r="C65" s="9" t="s">
        <v>356</v>
      </c>
      <c r="D65" s="9" t="s">
        <v>19</v>
      </c>
      <c r="E65" s="9" t="s">
        <v>47</v>
      </c>
    </row>
    <row r="66">
      <c r="A66" s="9" t="s">
        <v>356</v>
      </c>
      <c r="B66" s="9" t="s">
        <v>356</v>
      </c>
    </row>
    <row r="67">
      <c r="A67" s="9" t="s">
        <v>290</v>
      </c>
      <c r="B67" s="9" t="s">
        <v>290</v>
      </c>
      <c r="C67" s="9" t="s">
        <v>47</v>
      </c>
    </row>
    <row r="68">
      <c r="A68" s="9" t="s">
        <v>357</v>
      </c>
      <c r="B68" s="9" t="s">
        <v>292</v>
      </c>
      <c r="C68" s="9" t="s">
        <v>74</v>
      </c>
      <c r="D68" s="9" t="s">
        <v>14</v>
      </c>
      <c r="E68" s="9" t="s">
        <v>15</v>
      </c>
      <c r="F68" s="9" t="s">
        <v>46</v>
      </c>
    </row>
    <row r="69">
      <c r="A69" s="9" t="s">
        <v>291</v>
      </c>
      <c r="B69" s="9" t="s">
        <v>292</v>
      </c>
      <c r="C69" s="9" t="s">
        <v>74</v>
      </c>
      <c r="D69" s="9" t="s">
        <v>14</v>
      </c>
      <c r="E69" s="9" t="s">
        <v>15</v>
      </c>
      <c r="F69" s="9" t="s">
        <v>46</v>
      </c>
    </row>
    <row r="70">
      <c r="A70" s="9" t="s">
        <v>358</v>
      </c>
      <c r="B70" s="9" t="s">
        <v>292</v>
      </c>
      <c r="C70" s="9" t="s">
        <v>74</v>
      </c>
      <c r="D70" s="9" t="s">
        <v>19</v>
      </c>
      <c r="E70" s="9" t="s">
        <v>46</v>
      </c>
    </row>
    <row r="71">
      <c r="A71" s="9" t="s">
        <v>294</v>
      </c>
      <c r="B71" s="9" t="s">
        <v>292</v>
      </c>
      <c r="C71" s="9" t="s">
        <v>74</v>
      </c>
      <c r="D71" s="9" t="s">
        <v>19</v>
      </c>
      <c r="E71" s="9" t="s">
        <v>46</v>
      </c>
    </row>
    <row r="72">
      <c r="A72" s="9" t="s">
        <v>359</v>
      </c>
      <c r="B72" s="9" t="s">
        <v>134</v>
      </c>
      <c r="C72" s="9" t="s">
        <v>85</v>
      </c>
      <c r="D72" s="9" t="s">
        <v>19</v>
      </c>
      <c r="E72" s="9" t="s">
        <v>21</v>
      </c>
      <c r="F72" s="9" t="s">
        <v>24</v>
      </c>
      <c r="G72" s="9" t="s">
        <v>47</v>
      </c>
    </row>
    <row r="73">
      <c r="A73" s="9" t="s">
        <v>295</v>
      </c>
      <c r="B73" s="9" t="s">
        <v>134</v>
      </c>
      <c r="C73" s="9" t="s">
        <v>85</v>
      </c>
      <c r="D73" s="9" t="s">
        <v>19</v>
      </c>
      <c r="E73" s="9" t="s">
        <v>20</v>
      </c>
      <c r="F73" s="9" t="s">
        <v>47</v>
      </c>
      <c r="G73" s="9" t="s">
        <v>13</v>
      </c>
    </row>
    <row r="74">
      <c r="A74" s="9" t="s">
        <v>360</v>
      </c>
      <c r="B74" s="9" t="s">
        <v>134</v>
      </c>
      <c r="C74" s="9" t="s">
        <v>85</v>
      </c>
      <c r="D74" s="9" t="s">
        <v>19</v>
      </c>
      <c r="E74" s="9" t="s">
        <v>21</v>
      </c>
      <c r="F74" s="9" t="s">
        <v>24</v>
      </c>
      <c r="G74" s="9" t="s">
        <v>47</v>
      </c>
    </row>
    <row r="75">
      <c r="A75" s="9" t="s">
        <v>133</v>
      </c>
      <c r="B75" s="9" t="s">
        <v>134</v>
      </c>
      <c r="C75" s="9" t="s">
        <v>85</v>
      </c>
      <c r="D75" s="9" t="s">
        <v>15</v>
      </c>
      <c r="E75" s="9" t="s">
        <v>47</v>
      </c>
      <c r="F75" s="9" t="s">
        <v>13</v>
      </c>
    </row>
    <row r="76">
      <c r="A76" s="9" t="s">
        <v>297</v>
      </c>
      <c r="B76" s="9" t="s">
        <v>134</v>
      </c>
      <c r="C76" s="9" t="s">
        <v>74</v>
      </c>
      <c r="D76" s="9" t="s">
        <v>19</v>
      </c>
      <c r="E76" s="9" t="s">
        <v>21</v>
      </c>
      <c r="F76" s="9" t="s">
        <v>24</v>
      </c>
      <c r="G76" s="9" t="s">
        <v>47</v>
      </c>
    </row>
    <row r="77">
      <c r="A77" s="9" t="s">
        <v>298</v>
      </c>
      <c r="B77" s="9" t="s">
        <v>134</v>
      </c>
      <c r="C77" s="9" t="s">
        <v>74</v>
      </c>
      <c r="D77" s="9" t="s">
        <v>15</v>
      </c>
      <c r="E77" s="9" t="s">
        <v>47</v>
      </c>
      <c r="F77" s="9" t="s">
        <v>13</v>
      </c>
    </row>
    <row r="78">
      <c r="A78" s="9" t="s">
        <v>131</v>
      </c>
      <c r="B78" s="9" t="s">
        <v>292</v>
      </c>
      <c r="C78" s="9" t="s">
        <v>61</v>
      </c>
      <c r="D78" s="9" t="s">
        <v>14</v>
      </c>
      <c r="E78" s="9" t="s">
        <v>15</v>
      </c>
      <c r="F78" s="9" t="s">
        <v>46</v>
      </c>
    </row>
    <row r="79">
      <c r="A79" s="9" t="s">
        <v>299</v>
      </c>
      <c r="B79" s="9" t="s">
        <v>292</v>
      </c>
      <c r="C79" s="9" t="s">
        <v>125</v>
      </c>
      <c r="D79" s="9" t="s">
        <v>19</v>
      </c>
      <c r="E79" s="9" t="s">
        <v>21</v>
      </c>
      <c r="F79" s="9" t="s">
        <v>24</v>
      </c>
      <c r="G79" s="9" t="s">
        <v>47</v>
      </c>
    </row>
    <row r="80">
      <c r="A80" s="9" t="s">
        <v>300</v>
      </c>
      <c r="B80" s="9" t="s">
        <v>134</v>
      </c>
      <c r="C80" s="9" t="s">
        <v>125</v>
      </c>
      <c r="D80" s="9" t="s">
        <v>15</v>
      </c>
      <c r="E80" s="9" t="s">
        <v>47</v>
      </c>
      <c r="F80" s="9" t="s">
        <v>13</v>
      </c>
    </row>
    <row r="81">
      <c r="A81" s="9" t="s">
        <v>301</v>
      </c>
      <c r="B81" s="9" t="s">
        <v>292</v>
      </c>
      <c r="C81" s="9" t="s">
        <v>74</v>
      </c>
      <c r="D81" s="9" t="s">
        <v>19</v>
      </c>
      <c r="E81" s="9" t="s">
        <v>21</v>
      </c>
      <c r="F81" s="9" t="s">
        <v>24</v>
      </c>
      <c r="G81" s="9" t="s">
        <v>47</v>
      </c>
    </row>
    <row r="82">
      <c r="A82" s="9" t="s">
        <v>302</v>
      </c>
      <c r="B82" s="9" t="s">
        <v>134</v>
      </c>
      <c r="C82" s="9" t="s">
        <v>356</v>
      </c>
      <c r="D82" s="9" t="s">
        <v>15</v>
      </c>
      <c r="E82" s="9" t="s">
        <v>47</v>
      </c>
      <c r="F82" s="9" t="s">
        <v>13</v>
      </c>
    </row>
    <row r="83">
      <c r="A83" s="9" t="s">
        <v>303</v>
      </c>
      <c r="B83" s="9" t="s">
        <v>303</v>
      </c>
    </row>
    <row r="84">
      <c r="A84" s="9" t="s">
        <v>304</v>
      </c>
      <c r="B84" s="9" t="s">
        <v>71</v>
      </c>
      <c r="C84" s="9" t="s">
        <v>305</v>
      </c>
      <c r="D84" s="9" t="s">
        <v>15</v>
      </c>
      <c r="E84" s="9" t="s">
        <v>13</v>
      </c>
    </row>
    <row r="85">
      <c r="A85" s="9" t="s">
        <v>306</v>
      </c>
      <c r="B85" s="9" t="s">
        <v>306</v>
      </c>
      <c r="C85" s="9" t="s">
        <v>47</v>
      </c>
    </row>
    <row r="86">
      <c r="A86" s="9" t="s">
        <v>15</v>
      </c>
      <c r="B86" s="9" t="s">
        <v>15</v>
      </c>
    </row>
    <row r="87">
      <c r="A87" s="9" t="s">
        <v>119</v>
      </c>
      <c r="B87" s="9" t="s">
        <v>119</v>
      </c>
      <c r="C87" s="9" t="s">
        <v>49</v>
      </c>
    </row>
    <row r="88">
      <c r="A88" s="9" t="s">
        <v>28</v>
      </c>
      <c r="B88" s="9" t="s">
        <v>28</v>
      </c>
    </row>
    <row r="89">
      <c r="A89" s="9" t="s">
        <v>361</v>
      </c>
      <c r="B89" s="9" t="s">
        <v>361</v>
      </c>
      <c r="C89" s="9" t="s">
        <v>47</v>
      </c>
    </row>
    <row r="90">
      <c r="A90" s="9" t="s">
        <v>32</v>
      </c>
      <c r="B90" s="9" t="s">
        <v>32</v>
      </c>
    </row>
    <row r="91">
      <c r="A91" s="9" t="s">
        <v>33</v>
      </c>
      <c r="B91" s="9" t="s">
        <v>33</v>
      </c>
    </row>
    <row r="92">
      <c r="A92" s="9" t="s">
        <v>309</v>
      </c>
      <c r="B92" s="9" t="s">
        <v>309</v>
      </c>
      <c r="C92" s="9" t="s">
        <v>47</v>
      </c>
    </row>
    <row r="93">
      <c r="A93" s="9" t="s">
        <v>310</v>
      </c>
      <c r="B93" s="9" t="s">
        <v>310</v>
      </c>
      <c r="C93" s="9" t="s">
        <v>47</v>
      </c>
    </row>
    <row r="94">
      <c r="A94" s="9" t="s">
        <v>311</v>
      </c>
      <c r="B94" s="9" t="s">
        <v>311</v>
      </c>
      <c r="C94" s="9" t="s">
        <v>47</v>
      </c>
    </row>
    <row r="95">
      <c r="A95" s="9" t="s">
        <v>312</v>
      </c>
      <c r="B95" s="9" t="s">
        <v>312</v>
      </c>
      <c r="C95" s="9" t="s">
        <v>47</v>
      </c>
    </row>
    <row r="96">
      <c r="A96" s="9" t="s">
        <v>313</v>
      </c>
      <c r="B96" s="9" t="s">
        <v>313</v>
      </c>
      <c r="C96" s="9" t="s">
        <v>47</v>
      </c>
    </row>
    <row r="97">
      <c r="A97" s="9" t="s">
        <v>314</v>
      </c>
      <c r="B97" s="9" t="s">
        <v>314</v>
      </c>
      <c r="C97" s="9" t="s">
        <v>47</v>
      </c>
    </row>
    <row r="98">
      <c r="A98" s="9" t="s">
        <v>42</v>
      </c>
      <c r="B98" s="9" t="s">
        <v>363</v>
      </c>
    </row>
    <row r="99">
      <c r="A99" s="9" t="s">
        <v>315</v>
      </c>
      <c r="B99" s="9" t="s">
        <v>66</v>
      </c>
      <c r="C99" s="9" t="s">
        <v>38</v>
      </c>
      <c r="D99" s="9" t="s">
        <v>39</v>
      </c>
      <c r="E99" s="9" t="s">
        <v>40</v>
      </c>
    </row>
    <row r="100">
      <c r="A100" s="9" t="s">
        <v>30</v>
      </c>
      <c r="B100" s="9" t="s">
        <v>30</v>
      </c>
    </row>
    <row r="101">
      <c r="A101" s="9" t="s">
        <v>19</v>
      </c>
      <c r="B101" s="9" t="s">
        <v>19</v>
      </c>
    </row>
    <row r="102">
      <c r="A102" s="9" t="s">
        <v>29</v>
      </c>
      <c r="B102" s="9" t="s">
        <v>29</v>
      </c>
    </row>
    <row r="103">
      <c r="A103" s="9" t="s">
        <v>25</v>
      </c>
      <c r="B103" s="9" t="s">
        <v>25</v>
      </c>
    </row>
    <row r="104">
      <c r="A104" s="9" t="s">
        <v>34</v>
      </c>
      <c r="B104" s="9" t="s">
        <v>363</v>
      </c>
    </row>
    <row r="105">
      <c r="A105" s="9" t="s">
        <v>13</v>
      </c>
      <c r="B105" s="9" t="s">
        <v>13</v>
      </c>
    </row>
    <row r="106">
      <c r="A106" s="9" t="s">
        <v>14</v>
      </c>
      <c r="B106" s="9" t="s">
        <v>14</v>
      </c>
    </row>
    <row r="107">
      <c r="A107" s="9" t="s">
        <v>319</v>
      </c>
      <c r="B107" s="9" t="s">
        <v>319</v>
      </c>
      <c r="C107" s="9" t="s">
        <v>137</v>
      </c>
      <c r="D107" s="9" t="s">
        <v>42</v>
      </c>
      <c r="E107" s="9" t="s">
        <v>43</v>
      </c>
      <c r="F107" s="9" t="s">
        <v>47</v>
      </c>
    </row>
    <row r="108">
      <c r="A108" s="9" t="s">
        <v>320</v>
      </c>
      <c r="B108" s="9" t="s">
        <v>123</v>
      </c>
      <c r="C108" s="9" t="s">
        <v>74</v>
      </c>
      <c r="D108" s="9" t="s">
        <v>14</v>
      </c>
      <c r="E108" s="9" t="s">
        <v>15</v>
      </c>
      <c r="F108" s="9" t="s">
        <v>19</v>
      </c>
      <c r="G108" s="9" t="s">
        <v>20</v>
      </c>
      <c r="H108" s="9" t="s">
        <v>22</v>
      </c>
      <c r="I108" s="9" t="s">
        <v>362</v>
      </c>
    </row>
    <row r="109">
      <c r="A109" s="9" t="s">
        <v>322</v>
      </c>
      <c r="B109" s="9" t="s">
        <v>123</v>
      </c>
      <c r="C109" s="9" t="s">
        <v>356</v>
      </c>
      <c r="D109" s="9" t="s">
        <v>14</v>
      </c>
      <c r="E109" s="9" t="s">
        <v>15</v>
      </c>
      <c r="F109" s="9" t="s">
        <v>19</v>
      </c>
      <c r="G109" s="9" t="s">
        <v>20</v>
      </c>
      <c r="H109" s="9" t="s">
        <v>22</v>
      </c>
      <c r="I109" s="9" t="s">
        <v>30</v>
      </c>
      <c r="J109" s="9" t="s">
        <v>362</v>
      </c>
    </row>
    <row r="110">
      <c r="A110" s="9" t="s">
        <v>323</v>
      </c>
      <c r="B110" s="9" t="s">
        <v>123</v>
      </c>
      <c r="C110" s="9" t="s">
        <v>356</v>
      </c>
      <c r="D110" s="9" t="s">
        <v>14</v>
      </c>
      <c r="E110" s="9" t="s">
        <v>15</v>
      </c>
      <c r="F110" s="9" t="s">
        <v>19</v>
      </c>
      <c r="G110" s="9" t="s">
        <v>20</v>
      </c>
      <c r="H110" s="9" t="s">
        <v>22</v>
      </c>
      <c r="I110" s="9" t="s">
        <v>362</v>
      </c>
    </row>
    <row r="111">
      <c r="A111" s="9" t="s">
        <v>324</v>
      </c>
      <c r="B111" s="9" t="s">
        <v>123</v>
      </c>
      <c r="C111" s="9" t="s">
        <v>356</v>
      </c>
      <c r="D111" s="9" t="s">
        <v>14</v>
      </c>
      <c r="E111" s="9" t="s">
        <v>15</v>
      </c>
      <c r="F111" s="9" t="s">
        <v>19</v>
      </c>
      <c r="G111" s="9" t="s">
        <v>20</v>
      </c>
      <c r="H111" s="9" t="s">
        <v>21</v>
      </c>
      <c r="I111" s="9" t="s">
        <v>22</v>
      </c>
      <c r="J111" s="9" t="s">
        <v>30</v>
      </c>
    </row>
    <row r="112">
      <c r="A112" s="9" t="s">
        <v>325</v>
      </c>
      <c r="B112" s="9" t="s">
        <v>123</v>
      </c>
      <c r="C112" s="9" t="s">
        <v>356</v>
      </c>
      <c r="D112" s="9" t="s">
        <v>14</v>
      </c>
      <c r="E112" s="9" t="s">
        <v>15</v>
      </c>
      <c r="F112" s="9" t="s">
        <v>19</v>
      </c>
      <c r="G112" s="9" t="s">
        <v>20</v>
      </c>
      <c r="H112" s="9" t="s">
        <v>22</v>
      </c>
      <c r="I112" s="9" t="s">
        <v>362</v>
      </c>
    </row>
    <row r="113">
      <c r="A113" s="9" t="s">
        <v>326</v>
      </c>
      <c r="B113" s="9" t="s">
        <v>123</v>
      </c>
      <c r="C113" s="9" t="s">
        <v>327</v>
      </c>
      <c r="D113" s="9" t="s">
        <v>14</v>
      </c>
      <c r="E113" s="9" t="s">
        <v>15</v>
      </c>
      <c r="F113" s="9" t="s">
        <v>20</v>
      </c>
      <c r="G113" s="9" t="s">
        <v>21</v>
      </c>
      <c r="H113" s="9" t="s">
        <v>22</v>
      </c>
      <c r="I113" s="9" t="s">
        <v>30</v>
      </c>
      <c r="J113" s="9" t="s">
        <v>362</v>
      </c>
    </row>
    <row r="114">
      <c r="A114" s="9" t="s">
        <v>328</v>
      </c>
      <c r="B114" s="9" t="s">
        <v>123</v>
      </c>
      <c r="C114" s="9" t="s">
        <v>327</v>
      </c>
      <c r="D114" s="9" t="s">
        <v>14</v>
      </c>
      <c r="E114" s="9" t="s">
        <v>15</v>
      </c>
      <c r="F114" s="9" t="s">
        <v>19</v>
      </c>
      <c r="G114" s="9" t="s">
        <v>20</v>
      </c>
      <c r="H114" s="9" t="s">
        <v>21</v>
      </c>
      <c r="I114" s="9" t="s">
        <v>22</v>
      </c>
      <c r="J114" s="9" t="s">
        <v>30</v>
      </c>
    </row>
    <row r="115">
      <c r="A115" s="9" t="s">
        <v>122</v>
      </c>
      <c r="B115" s="9" t="s">
        <v>123</v>
      </c>
      <c r="C115" s="9" t="s">
        <v>74</v>
      </c>
      <c r="D115" s="9" t="s">
        <v>14</v>
      </c>
      <c r="E115" s="9" t="s">
        <v>15</v>
      </c>
      <c r="F115" s="9" t="s">
        <v>19</v>
      </c>
      <c r="G115" s="9" t="s">
        <v>20</v>
      </c>
      <c r="H115" s="9" t="s">
        <v>22</v>
      </c>
      <c r="I115" s="9" t="s">
        <v>362</v>
      </c>
    </row>
    <row r="116">
      <c r="A116" s="9" t="s">
        <v>144</v>
      </c>
      <c r="B116" s="9" t="s">
        <v>123</v>
      </c>
      <c r="C116" s="9" t="s">
        <v>145</v>
      </c>
      <c r="D116" s="9" t="s">
        <v>14</v>
      </c>
      <c r="E116" s="9" t="s">
        <v>15</v>
      </c>
      <c r="F116" s="9" t="s">
        <v>19</v>
      </c>
      <c r="G116" s="9" t="s">
        <v>20</v>
      </c>
      <c r="H116" s="9" t="s">
        <v>22</v>
      </c>
      <c r="I116" s="9" t="s">
        <v>362</v>
      </c>
    </row>
    <row r="117">
      <c r="A117" s="9" t="s">
        <v>329</v>
      </c>
      <c r="B117" s="9" t="s">
        <v>123</v>
      </c>
      <c r="C117" s="9" t="s">
        <v>145</v>
      </c>
      <c r="D117" s="9" t="s">
        <v>14</v>
      </c>
      <c r="E117" s="9" t="s">
        <v>15</v>
      </c>
      <c r="F117" s="9" t="s">
        <v>19</v>
      </c>
      <c r="G117" s="9" t="s">
        <v>20</v>
      </c>
      <c r="H117" s="9" t="s">
        <v>21</v>
      </c>
      <c r="I117" s="9" t="s">
        <v>22</v>
      </c>
      <c r="J117" s="9" t="s">
        <v>30</v>
      </c>
    </row>
    <row r="118">
      <c r="A118" s="9" t="s">
        <v>330</v>
      </c>
      <c r="B118" s="9" t="s">
        <v>123</v>
      </c>
      <c r="C118" s="9" t="s">
        <v>145</v>
      </c>
      <c r="D118" s="9" t="s">
        <v>14</v>
      </c>
      <c r="E118" s="9" t="s">
        <v>15</v>
      </c>
      <c r="F118" s="9" t="s">
        <v>19</v>
      </c>
      <c r="G118" s="9" t="s">
        <v>20</v>
      </c>
      <c r="H118" s="9" t="s">
        <v>22</v>
      </c>
      <c r="I118" s="9" t="s">
        <v>362</v>
      </c>
    </row>
    <row r="119">
      <c r="A119" s="9" t="s">
        <v>146</v>
      </c>
      <c r="B119" s="9" t="s">
        <v>123</v>
      </c>
      <c r="C119" s="9" t="s">
        <v>74</v>
      </c>
      <c r="D119" s="9" t="s">
        <v>14</v>
      </c>
      <c r="E119" s="9" t="s">
        <v>15</v>
      </c>
      <c r="F119" s="9" t="s">
        <v>19</v>
      </c>
      <c r="G119" s="9" t="s">
        <v>20</v>
      </c>
      <c r="H119" s="9" t="s">
        <v>22</v>
      </c>
      <c r="I119" s="9" t="s">
        <v>362</v>
      </c>
    </row>
    <row r="120">
      <c r="A120" s="9" t="s">
        <v>331</v>
      </c>
      <c r="B120" s="9" t="s">
        <v>123</v>
      </c>
      <c r="C120" s="9" t="s">
        <v>74</v>
      </c>
      <c r="D120" s="9" t="s">
        <v>14</v>
      </c>
      <c r="E120" s="9" t="s">
        <v>15</v>
      </c>
      <c r="F120" s="9" t="s">
        <v>19</v>
      </c>
      <c r="G120" s="9" t="s">
        <v>20</v>
      </c>
      <c r="H120" s="9" t="s">
        <v>21</v>
      </c>
      <c r="I120" s="9" t="s">
        <v>22</v>
      </c>
      <c r="J120" s="9" t="s">
        <v>30</v>
      </c>
    </row>
    <row r="121">
      <c r="A121" s="9" t="s">
        <v>332</v>
      </c>
      <c r="B121" s="9" t="s">
        <v>123</v>
      </c>
      <c r="C121" s="9" t="s">
        <v>74</v>
      </c>
      <c r="D121" s="9" t="s">
        <v>14</v>
      </c>
      <c r="E121" s="9" t="s">
        <v>15</v>
      </c>
      <c r="F121" s="9" t="s">
        <v>19</v>
      </c>
      <c r="G121" s="9" t="s">
        <v>20</v>
      </c>
      <c r="H121" s="9" t="s">
        <v>22</v>
      </c>
      <c r="I121" s="9" t="s">
        <v>362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75"/>
  <cols>
    <col customWidth="1" min="2" max="2" width="7.13"/>
    <col customWidth="1" min="3" max="3" width="7.75"/>
    <col customWidth="1" min="4" max="4" width="4.75"/>
    <col customWidth="1" min="5" max="5" width="50.38"/>
    <col customWidth="1" min="6" max="6" width="49.5"/>
    <col customWidth="1" min="9" max="9" width="12.63"/>
    <col customWidth="1" min="10" max="10" width="6.63"/>
    <col customWidth="1" min="11" max="11" width="11.5"/>
    <col customWidth="1" min="12" max="12" width="9.38"/>
    <col customWidth="1" min="13" max="13" width="14.25"/>
    <col customWidth="1" min="14" max="14" width="5.25"/>
    <col customWidth="1" min="15" max="15" width="4.75"/>
    <col customWidth="1" min="16" max="16" width="6.75"/>
    <col customWidth="1" min="17" max="17" width="5.88"/>
    <col customWidth="1" min="18" max="18" width="7.88"/>
    <col customWidth="1" min="19" max="20" width="6.5"/>
    <col customWidth="1" min="21" max="21" width="17.38"/>
    <col customWidth="1" min="22" max="22" width="7.0"/>
    <col customWidth="1" min="23" max="23" width="5.5"/>
    <col customWidth="1" min="24" max="24" width="12.0"/>
    <col customWidth="1" min="25" max="25" width="7.88"/>
    <col customWidth="1" min="26" max="26" width="11.25"/>
    <col customWidth="1" min="27" max="27" width="3.88"/>
    <col customWidth="1" min="28" max="28" width="6.38"/>
    <col customWidth="1" min="29" max="29" width="8.75"/>
    <col customWidth="1" min="30" max="30" width="11.25"/>
    <col customWidth="1" min="31" max="31" width="6.38"/>
    <col customWidth="1" min="32" max="32" width="8.88"/>
    <col customWidth="1" min="33" max="33" width="7.25"/>
    <col customWidth="1" min="34" max="34" width="9.75"/>
    <col customWidth="1" min="35" max="35" width="7.88"/>
    <col customWidth="1" min="36" max="36" width="10.38"/>
    <col customWidth="1" min="37" max="37" width="11.88"/>
    <col customWidth="1" min="38" max="38" width="8.25"/>
    <col customWidth="1" min="39" max="39" width="10.25"/>
    <col customWidth="1" min="40" max="40" width="8.13"/>
    <col customWidth="1" min="41" max="41" width="11.63"/>
    <col customWidth="1" min="42" max="42" width="8.5"/>
    <col customWidth="1" min="43" max="43" width="7.5"/>
    <col customWidth="1" min="44" max="44" width="10.0"/>
    <col customWidth="1" min="45" max="45" width="7.75"/>
    <col customWidth="1" min="46" max="46" width="10.25"/>
    <col customWidth="1" min="47" max="47" width="5.25"/>
    <col customWidth="1" min="48" max="48" width="7.75"/>
    <col customWidth="1" min="49" max="49" width="9.13"/>
    <col customWidth="1" min="50" max="50" width="11.63"/>
    <col customWidth="1" min="51" max="51" width="9.5"/>
    <col customWidth="1" min="52" max="52" width="12.0"/>
    <col customWidth="1" min="53" max="53" width="10.38"/>
    <col customWidth="1" min="54" max="54" width="7.5"/>
    <col customWidth="1" min="55" max="55" width="5.5"/>
    <col customWidth="1" min="56" max="56" width="8.0"/>
    <col customWidth="1" min="57" max="57" width="4.13"/>
    <col customWidth="1" min="58" max="58" width="6.63"/>
    <col customWidth="1" min="59" max="59" width="5.38"/>
    <col customWidth="1" min="60" max="60" width="7.88"/>
    <col customWidth="1" min="61" max="61" width="9.5"/>
    <col customWidth="1" min="62" max="62" width="12.0"/>
    <col customWidth="1" min="63" max="63" width="6.13"/>
    <col customWidth="1" min="64" max="64" width="8.63"/>
    <col customWidth="1" min="65" max="65" width="5.75"/>
    <col customWidth="1" min="66" max="66" width="8.25"/>
    <col customWidth="1" min="67" max="67" width="10.25"/>
    <col customWidth="1" min="68" max="68" width="12.75"/>
    <col customWidth="1" min="69" max="69" width="8.25"/>
    <col customWidth="1" min="70" max="70" width="10.75"/>
    <col customWidth="1" min="71" max="71" width="11.13"/>
    <col customWidth="1" min="72" max="72" width="12.75"/>
    <col customWidth="1" min="73" max="73" width="12.0"/>
    <col customWidth="1" min="74" max="74" width="7.13"/>
    <col customWidth="1" min="75" max="75" width="8.75"/>
    <col customWidth="1" min="76" max="76" width="11.25"/>
    <col customWidth="1" min="77" max="77" width="10.5"/>
    <col customWidth="1" min="78" max="78" width="9.0"/>
  </cols>
  <sheetData>
    <row r="1" ht="22.5" customHeight="1">
      <c r="A1" s="167" t="s">
        <v>364</v>
      </c>
      <c r="B1" s="168" t="s">
        <v>365</v>
      </c>
      <c r="C1" s="168" t="s">
        <v>366</v>
      </c>
      <c r="D1" s="168" t="s">
        <v>367</v>
      </c>
      <c r="E1" s="167" t="s">
        <v>54</v>
      </c>
      <c r="F1" s="167" t="s">
        <v>55</v>
      </c>
      <c r="G1" s="167" t="s">
        <v>56</v>
      </c>
      <c r="H1" s="167" t="s">
        <v>52</v>
      </c>
      <c r="I1" s="169" t="s">
        <v>167</v>
      </c>
      <c r="J1" s="170" t="str">
        <f>"Tot "&amp;I1</f>
        <v>Tot Base</v>
      </c>
      <c r="K1" s="170" t="s">
        <v>169</v>
      </c>
      <c r="L1" s="170" t="str">
        <f>"Tot "&amp;K1</f>
        <v>Tot Proteína</v>
      </c>
      <c r="M1" s="170" t="s">
        <v>171</v>
      </c>
      <c r="N1" s="170" t="str">
        <f>"Tot "&amp;M1</f>
        <v>Tot Tomate</v>
      </c>
      <c r="O1" s="170" t="s">
        <v>15</v>
      </c>
      <c r="P1" s="170" t="str">
        <f>"Tot "&amp;O1</f>
        <v>Tot Palta</v>
      </c>
      <c r="Q1" s="171" t="s">
        <v>19</v>
      </c>
      <c r="R1" s="170" t="str">
        <f>"Tot "&amp;Q1</f>
        <v>Tot Queso</v>
      </c>
      <c r="S1" s="171" t="s">
        <v>20</v>
      </c>
      <c r="T1" s="170" t="str">
        <f>"Tot "&amp;S1</f>
        <v>Tot Lechuga</v>
      </c>
      <c r="U1" s="171" t="s">
        <v>21</v>
      </c>
      <c r="V1" s="170" t="str">
        <f>"Tot "&amp;U1</f>
        <v>Tot Cebolla Caramelizada</v>
      </c>
      <c r="W1" s="171" t="s">
        <v>22</v>
      </c>
      <c r="X1" s="170" t="str">
        <f>"Tot "&amp;W1</f>
        <v>Tot Crema Ácida</v>
      </c>
      <c r="Y1" s="171" t="s">
        <v>23</v>
      </c>
      <c r="Z1" s="170" t="str">
        <f>"Tot "&amp;Y1</f>
        <v>Tot Champiñon</v>
      </c>
      <c r="AA1" s="171" t="s">
        <v>24</v>
      </c>
      <c r="AB1" s="170" t="str">
        <f>"Tot "&amp;AA1</f>
        <v>Tot BBQ</v>
      </c>
      <c r="AC1" s="171" t="s">
        <v>25</v>
      </c>
      <c r="AD1" s="170" t="str">
        <f>"Tot "&amp;AC1</f>
        <v>Tot Salsa Verde</v>
      </c>
      <c r="AE1" s="171" t="s">
        <v>26</v>
      </c>
      <c r="AF1" s="170" t="str">
        <f>"Tot "&amp;AE1</f>
        <v>Tot Chucrut</v>
      </c>
      <c r="AG1" s="171" t="s">
        <v>27</v>
      </c>
      <c r="AH1" s="170" t="str">
        <f>"Tot "&amp;AG1</f>
        <v>Tot Ají Verde</v>
      </c>
      <c r="AI1" s="171" t="s">
        <v>28</v>
      </c>
      <c r="AJ1" s="170" t="str">
        <f>"Tot "&amp;AI1</f>
        <v>Tot Papas Hilo</v>
      </c>
      <c r="AK1" s="171" t="s">
        <v>29</v>
      </c>
      <c r="AL1" s="170" t="str">
        <f>"Tot "&amp;AK1</f>
        <v>Tot Salsa Americana</v>
      </c>
      <c r="AM1" s="171" t="s">
        <v>30</v>
      </c>
      <c r="AN1" s="170" t="str">
        <f>"Tot "&amp;AM1</f>
        <v>Tot Poroto Negro</v>
      </c>
      <c r="AO1" s="171" t="s">
        <v>31</v>
      </c>
      <c r="AP1" s="170" t="str">
        <f>"Tot "&amp;AO1</f>
        <v>Tot Cebolla Morada</v>
      </c>
      <c r="AQ1" s="171" t="s">
        <v>32</v>
      </c>
      <c r="AR1" s="170" t="str">
        <f>"Tot "&amp;AQ1</f>
        <v>Tot Pepinillos</v>
      </c>
      <c r="AS1" s="171" t="s">
        <v>33</v>
      </c>
      <c r="AT1" s="170" t="str">
        <f>"Tot "&amp;AS1</f>
        <v>Tot Pimentón Salteado</v>
      </c>
      <c r="AU1" s="172" t="s">
        <v>34</v>
      </c>
      <c r="AV1" s="170" t="str">
        <f>"Tot "&amp;AU1</f>
        <v>Tot Tocino</v>
      </c>
      <c r="AW1" s="172" t="s">
        <v>35</v>
      </c>
      <c r="AX1" s="170" t="str">
        <f>"Tot "&amp;AW1</f>
        <v>Tot Base helado</v>
      </c>
      <c r="AY1" s="172" t="s">
        <v>36</v>
      </c>
      <c r="AZ1" s="170" t="str">
        <f>"Tot "&amp;AY1</f>
        <v>Tot Salsa sundae</v>
      </c>
      <c r="BA1" s="172" t="s">
        <v>37</v>
      </c>
      <c r="BB1" s="170" t="str">
        <f>"Tot "&amp;BA1</f>
        <v>Tot Mix granizado</v>
      </c>
      <c r="BC1" s="172" t="s">
        <v>38</v>
      </c>
      <c r="BD1" s="170" t="str">
        <f>"Tot "&amp;BC1</f>
        <v>Tot Azúcar</v>
      </c>
      <c r="BE1" s="172" t="s">
        <v>39</v>
      </c>
      <c r="BF1" s="170" t="str">
        <f>"Tot "&amp;BE1</f>
        <v>Tot Maíz</v>
      </c>
      <c r="BG1" s="172" t="s">
        <v>40</v>
      </c>
      <c r="BH1" s="170" t="str">
        <f>"Tot "&amp;BG1</f>
        <v>Tot Aceite</v>
      </c>
      <c r="BI1" s="172" t="s">
        <v>41</v>
      </c>
      <c r="BJ1" s="170" t="str">
        <f>"Tot "&amp;BI1</f>
        <v>Tot Mix Algodón</v>
      </c>
      <c r="BK1" s="172" t="s">
        <v>42</v>
      </c>
      <c r="BL1" s="170" t="str">
        <f>"Tot "&amp;BK1</f>
        <v>Tot Plátano</v>
      </c>
      <c r="BM1" s="172" t="s">
        <v>43</v>
      </c>
      <c r="BN1" s="170" t="str">
        <f>"Tot "&amp;BM1</f>
        <v>Tot Frutilla</v>
      </c>
      <c r="BO1" s="172" t="s">
        <v>44</v>
      </c>
      <c r="BP1" s="170" t="str">
        <f>"Tot "&amp;BO1</f>
        <v>Tot Marshmallow</v>
      </c>
      <c r="BQ1" s="172" t="s">
        <v>45</v>
      </c>
      <c r="BR1" s="170" t="str">
        <f>"Tot "&amp;BQ1</f>
        <v>Tot Azúcar flor</v>
      </c>
      <c r="BS1" s="172" t="s">
        <v>46</v>
      </c>
      <c r="BT1" s="170" t="str">
        <f>"Tot "&amp;BS1</f>
        <v>Tot Porta HotDog</v>
      </c>
      <c r="BU1" s="172" t="s">
        <v>47</v>
      </c>
      <c r="BV1" s="170" t="str">
        <f>"Tot "&amp;BU1</f>
        <v>Tot Plato Redondo</v>
      </c>
      <c r="BW1" s="172" t="s">
        <v>48</v>
      </c>
      <c r="BX1" s="170" t="str">
        <f>"Tot "&amp;BW1</f>
        <v>Tot Saco Blanco</v>
      </c>
      <c r="BY1" s="172" t="s">
        <v>49</v>
      </c>
      <c r="BZ1" s="170" t="str">
        <f>"Tot "&amp;BY1</f>
        <v>Tot Estuche Papas Fritas</v>
      </c>
    </row>
    <row r="2">
      <c r="A2" s="173" t="str">
        <f>IFERROR(__xludf.DUMMYFUNCTION("SORT(IMPORTRANGE(""https://docs.google.com/spreadsheets/d/1U6H_EN3XWjOf4M8zHXb3LKFWHrqjoryjvg45N6peWa4/edit?gid=1368175400#gid=1368175400"",""Eventos Confirmados!A2:H""),1,TRUE)"),"")</f>
        <v/>
      </c>
      <c r="B2" s="174"/>
      <c r="C2" s="175"/>
      <c r="D2" s="175"/>
      <c r="E2" s="176"/>
      <c r="F2" s="177"/>
      <c r="G2" s="178"/>
      <c r="H2" s="177"/>
      <c r="I2" s="179" t="str">
        <f t="array" ref="I2">IF($F2&lt;&gt;"",XLOOKUP($F2,Productos!$A:$A,Productos!B:B,"Revisar"),"")</f>
        <v/>
      </c>
      <c r="J2" s="179" t="str">
        <f t="array" ref="J2">IF($F2&lt;&gt;"", XLOOKUP($F2,Productos!$A$2:$A1001,Productos!C$2:C1001,"")*$G2,"")</f>
        <v/>
      </c>
      <c r="K2" s="179" t="str">
        <f t="array" ref="K2">IF($F2&lt;&gt;"",XLOOKUP($F2,Productos!$A:$A,Productos!D:D,"Revisar"),"")</f>
        <v/>
      </c>
      <c r="L2" s="179" t="str">
        <f t="array" ref="L2">IF($F2&lt;&gt;"", XLOOKUP($F2,Productos!$A$2:$A1001,Productos!E$2:E1001,"")*$G2,"")</f>
        <v/>
      </c>
      <c r="M2" s="179" t="str">
        <f t="array" ref="M2">IF($F2&lt;&gt;"",XLOOKUP($F2,Productos!$A:$A,Productos!F:F,"Revisar"),"")</f>
        <v/>
      </c>
      <c r="N2" s="179" t="str">
        <f t="array" ref="N2">IF($F2&lt;&gt;"", XLOOKUP($F2,Productos!$A$2:$A1001,Productos!G$2:G1001,"")*$G2,"")</f>
        <v/>
      </c>
      <c r="O2" s="179" t="str">
        <f t="array" ref="O2">IF($F2&lt;&gt;"",XLOOKUP($F2,Productos!$A:$A,Productos!H:H,"Revisar"),"")</f>
        <v/>
      </c>
      <c r="P2" s="179" t="str">
        <f t="array" ref="P2">IF($F2&lt;&gt;"", XLOOKUP($F2,Productos!$A$2:$A1001,Productos!I$2:I1001,"")*$G2,"")</f>
        <v/>
      </c>
      <c r="Q2" s="179" t="str">
        <f t="array" ref="Q2">IF($F2&lt;&gt;"",XLOOKUP($F2,Productos!$A:$A,Productos!J:J,"Revisar"),"")</f>
        <v/>
      </c>
      <c r="R2" s="179" t="str">
        <f t="array" ref="R2">IF($F2&lt;&gt;"", XLOOKUP($F2,Productos!$A$2:$A1001,Productos!K$2:K1001,"")*$G2,"")</f>
        <v/>
      </c>
      <c r="S2" s="179" t="str">
        <f t="array" ref="S2">IF($F2&lt;&gt;"",XLOOKUP($F2,Productos!$A:$A,Productos!L:L,"Revisar"),"")</f>
        <v/>
      </c>
      <c r="T2" s="179" t="str">
        <f t="array" ref="T2">IF($F2&lt;&gt;"", XLOOKUP($F2,Productos!$A$2:$A1001,Productos!M$2:M1001,"")*$G2,"")</f>
        <v/>
      </c>
      <c r="U2" s="179" t="str">
        <f t="array" ref="U2">IF($F2&lt;&gt;"",XLOOKUP($F2,Productos!$A:$A,Productos!N:N,"Revisar"),"")</f>
        <v/>
      </c>
      <c r="V2" s="179" t="str">
        <f t="array" ref="V2">IF($F2&lt;&gt;"", XLOOKUP($F2,Productos!$A$2:$A1001,Productos!O$2:O1001,"")*$G2,"")</f>
        <v/>
      </c>
      <c r="W2" s="179" t="str">
        <f t="array" ref="W2">IF($F2&lt;&gt;"",XLOOKUP($F2,Productos!$A:$A,Productos!P:P,"Revisar"),"")</f>
        <v/>
      </c>
      <c r="X2" s="179" t="str">
        <f t="array" ref="X2">IF($F2&lt;&gt;"", XLOOKUP($F2,Productos!$A$2:$A1001,Productos!Q$2:Q1001,"")*$G2,"")</f>
        <v/>
      </c>
      <c r="Y2" s="179" t="str">
        <f t="array" ref="Y2">IF($F2&lt;&gt;"",XLOOKUP($F2,Productos!$A:$A,Productos!R:R,"Revisar"),"")</f>
        <v/>
      </c>
      <c r="Z2" s="179" t="str">
        <f t="array" ref="Z2">IF($F2&lt;&gt;"", XLOOKUP($F2,Productos!$A$2:$A1001,Productos!S$2:S1001,"")*$G2,"")</f>
        <v/>
      </c>
      <c r="AA2" s="179" t="str">
        <f t="array" ref="AA2">IF($F2&lt;&gt;"",XLOOKUP($F2,Productos!$A:$A,Productos!T:T,"Revisar"),"")</f>
        <v/>
      </c>
      <c r="AB2" s="179" t="str">
        <f t="array" ref="AB2">IF($F2&lt;&gt;"", XLOOKUP($F2,Productos!$A$2:$A1001,Productos!U$2:U1001,"")*$G2,"")</f>
        <v/>
      </c>
      <c r="AC2" s="179" t="str">
        <f t="array" ref="AC2">IF($F2&lt;&gt;"",XLOOKUP($F2,Productos!$A:$A,Productos!V:V,"Revisar"),"")</f>
        <v/>
      </c>
      <c r="AD2" s="179" t="str">
        <f t="array" ref="AD2">IF($F2&lt;&gt;"", XLOOKUP($F2,Productos!$A$2:$A1001,Productos!W$2:W1001,"")*$G2,"")</f>
        <v/>
      </c>
      <c r="AE2" s="179" t="str">
        <f t="array" ref="AE2">IF($F2&lt;&gt;"",XLOOKUP($F2,Productos!$A:$A,Productos!X:X,"Revisar"),"")</f>
        <v/>
      </c>
      <c r="AF2" s="179" t="str">
        <f t="array" ref="AF2">IF($F2&lt;&gt;"", XLOOKUP($F2,Productos!$A$2:$A1001,Productos!Y$2:Y1001,"")*$G2,"")</f>
        <v/>
      </c>
      <c r="AG2" s="179" t="str">
        <f t="array" ref="AG2">IF($F2&lt;&gt;"",XLOOKUP($F2,Productos!$A:$A,Productos!Z:Z,"Revisar"),"")</f>
        <v/>
      </c>
      <c r="AH2" s="179" t="str">
        <f t="array" ref="AH2">IF($F2&lt;&gt;"", XLOOKUP($F2,Productos!$A$2:$A1001,Productos!AA$2:AA1001,"")*$G2,"")</f>
        <v/>
      </c>
      <c r="AI2" s="179" t="str">
        <f t="array" ref="AI2">IF($F2&lt;&gt;"",XLOOKUP($F2,Productos!$A:$A,Productos!AB:AB,"Revisar"),"")</f>
        <v/>
      </c>
      <c r="AJ2" s="179" t="str">
        <f t="array" ref="AJ2">IF($F2&lt;&gt;"", XLOOKUP($F2,Productos!$A$2:$A1001,Productos!AC$2:AC1001,"")*$G2,"")</f>
        <v/>
      </c>
      <c r="AK2" s="179" t="str">
        <f t="array" ref="AK2">IF($F2&lt;&gt;"",XLOOKUP($F2,Productos!$A:$A,Productos!AD:AD,"Revisar"),"")</f>
        <v/>
      </c>
      <c r="AL2" s="179" t="str">
        <f t="array" ref="AL2">IF($F2&lt;&gt;"", XLOOKUP($F2,Productos!$A$2:$A1001,Productos!AE$2:AE1001,"")*$G2,"")</f>
        <v/>
      </c>
      <c r="AM2" s="179" t="str">
        <f t="array" ref="AM2">IF($F2&lt;&gt;"",XLOOKUP($F2,Productos!$A:$A,Productos!AF:AF,"Revisar"),"")</f>
        <v/>
      </c>
      <c r="AN2" s="179" t="str">
        <f t="array" ref="AN2">IF($F2&lt;&gt;"", XLOOKUP($F2,Productos!$A$2:$A1001,Productos!AG$2:AG1001,"")*$G2,"")</f>
        <v/>
      </c>
      <c r="AO2" s="179" t="str">
        <f t="array" ref="AO2">IF($F2&lt;&gt;"",XLOOKUP($F2,Productos!$A:$A,Productos!AH:AH,"Revisar"),"")</f>
        <v/>
      </c>
      <c r="AP2" s="179" t="str">
        <f t="array" ref="AP2">IF($F2&lt;&gt;"", XLOOKUP($F2,Productos!$A$2:$A1001,Productos!AI$2:AI1001,"")*$G2,"")</f>
        <v/>
      </c>
      <c r="AQ2" s="179" t="str">
        <f t="array" ref="AQ2">IF($F2&lt;&gt;"",XLOOKUP($F2,Productos!$A:$A,Productos!AJ:AJ,"Revisar"),"")</f>
        <v/>
      </c>
      <c r="AR2" s="179" t="str">
        <f t="array" ref="AR2">IF($F2&lt;&gt;"", XLOOKUP($F2,Productos!$A$2:$A1001,Productos!AK$2:AK1001,"")*$G2,"")</f>
        <v/>
      </c>
      <c r="AS2" s="179" t="str">
        <f t="array" ref="AS2">IF($F2&lt;&gt;"",XLOOKUP($F2,Productos!$A:$A,Productos!AL:AL,"Revisar"),"")</f>
        <v/>
      </c>
      <c r="AT2" s="179" t="str">
        <f t="array" ref="AT2">IF($F2&lt;&gt;"", XLOOKUP($F2,Productos!$A$2:$A1001,Productos!AM$2:AM1001,"")*$G2,"")</f>
        <v/>
      </c>
      <c r="AU2" s="179" t="str">
        <f t="array" ref="AU2">IF($F2&lt;&gt;"",XLOOKUP($F2,Productos!$A:$A,Productos!AN:AN,"Revisar"),"")</f>
        <v/>
      </c>
      <c r="AV2" s="179" t="str">
        <f t="array" ref="AV2">IF($F2&lt;&gt;"", XLOOKUP($F2,Productos!$A$2:$A1001,Productos!AO$2:AO1001,"")*$G2,"")</f>
        <v/>
      </c>
      <c r="AW2" s="179" t="str">
        <f t="array" ref="AW2">IF($F2&lt;&gt;"",XLOOKUP($F2,Productos!$A:$A,Productos!AP:AP,"Revisar"),"")</f>
        <v/>
      </c>
      <c r="AX2" s="179" t="str">
        <f t="array" ref="AX2">IF($F2&lt;&gt;"", XLOOKUP($F2,Productos!$A$2:$A1001,Productos!AQ$2:AQ1001,"")*$G2,"")</f>
        <v/>
      </c>
      <c r="AY2" s="179" t="str">
        <f t="array" ref="AY2">IF($F2&lt;&gt;"",XLOOKUP($F2,Productos!$A:$A,Productos!AR:AR,"Revisar"),"")</f>
        <v/>
      </c>
      <c r="AZ2" s="179" t="str">
        <f t="array" ref="AZ2">IF($F2&lt;&gt;"", XLOOKUP($F2,Productos!$A$2:$A1001,Productos!AS$2:AS1001,"")*$G2,"")</f>
        <v/>
      </c>
      <c r="BA2" s="179" t="str">
        <f t="array" ref="BA2">IF($F2&lt;&gt;"",XLOOKUP($F2,Productos!$A:$A,Productos!AT:AT,"Revisar"),"")</f>
        <v/>
      </c>
      <c r="BB2" s="179" t="str">
        <f t="array" ref="BB2">IF($F2&lt;&gt;"", XLOOKUP($F2,Productos!$A$2:$A1001,Productos!AU$2:AU1001,"")*$G2,"")</f>
        <v/>
      </c>
      <c r="BC2" s="179" t="str">
        <f t="array" ref="BC2">IF($F2&lt;&gt;"",XLOOKUP($F2,Productos!$A:$A,Productos!AV:AV,"Revisar"),"")</f>
        <v/>
      </c>
      <c r="BD2" s="179" t="str">
        <f t="array" ref="BD2">IF($F2&lt;&gt;"", XLOOKUP($F2,Productos!$A$2:$A1001,Productos!AW$2:AW1001,"")*$G2,"")</f>
        <v/>
      </c>
      <c r="BE2" s="179" t="str">
        <f t="array" ref="BE2">IF($F2&lt;&gt;"",XLOOKUP($F2,Productos!$A:$A,Productos!AX:AX,"Revisar"),"")</f>
        <v/>
      </c>
      <c r="BF2" s="179" t="str">
        <f t="array" ref="BF2">IF($F2&lt;&gt;"", XLOOKUP($F2,Productos!$A$2:$A1001,Productos!AY$2:AY1001,"")*$G2,"")</f>
        <v/>
      </c>
      <c r="BG2" s="179" t="str">
        <f t="array" ref="BG2">IF($F2&lt;&gt;"",XLOOKUP($F2,Productos!$A:$A,Productos!AZ:AZ,"Revisar"),"")</f>
        <v/>
      </c>
      <c r="BH2" s="179" t="str">
        <f t="array" ref="BH2">IF($F2&lt;&gt;"", XLOOKUP($F2,Productos!$A$2:$A1001,Productos!BA$2:BA1001,"")*$G2,"")</f>
        <v/>
      </c>
      <c r="BI2" s="179" t="str">
        <f t="array" ref="BI2">IF($F2&lt;&gt;"",XLOOKUP($F2,Productos!$A:$A,Productos!BB:BB,"Revisar"),"")</f>
        <v/>
      </c>
      <c r="BJ2" s="179" t="str">
        <f t="array" ref="BJ2">IF($F2&lt;&gt;"", XLOOKUP($F2,Productos!$A$2:$A1001,Productos!BC$2:BC1001,"")*$G2,"")</f>
        <v/>
      </c>
      <c r="BK2" s="179" t="str">
        <f t="array" ref="BK2">IF($F2&lt;&gt;"",XLOOKUP($F2,Productos!$A:$A,Productos!BD:BD,"Revisar"),"")</f>
        <v/>
      </c>
      <c r="BL2" s="179" t="str">
        <f t="array" ref="BL2">IF($F2&lt;&gt;"", XLOOKUP($F2,Productos!$A$2:$A1001,Productos!BE$2:BE1001,"")*$G2,"")</f>
        <v/>
      </c>
      <c r="BM2" s="179" t="str">
        <f t="array" ref="BM2">IF($F2&lt;&gt;"",XLOOKUP($F2,Productos!$A:$A,Productos!BF:BF,"Revisar"),"")</f>
        <v/>
      </c>
      <c r="BN2" s="179" t="str">
        <f t="array" ref="BN2">IF($F2&lt;&gt;"", XLOOKUP($F2,Productos!$A$2:$A1001,Productos!BG$2:BG1001,"")*$G2,"")</f>
        <v/>
      </c>
      <c r="BO2" s="179" t="str">
        <f t="array" ref="BO2">IF($F2&lt;&gt;"",XLOOKUP($F2,Productos!$A:$A,Productos!BH:BH,"Revisar"),"")</f>
        <v/>
      </c>
      <c r="BP2" s="179" t="str">
        <f t="array" ref="BP2">IF($F2&lt;&gt;"", XLOOKUP($F2,Productos!$A$2:$A1001,Productos!BI$2:BI1001,"")*$G2,"")</f>
        <v/>
      </c>
      <c r="BQ2" s="179" t="str">
        <f t="array" ref="BQ2">IF($F2&lt;&gt;"",XLOOKUP($F2,Productos!$A:$A,Productos!BJ:BJ,"Revisar"),"")</f>
        <v/>
      </c>
      <c r="BR2" s="179" t="str">
        <f t="array" ref="BR2">IF($F2&lt;&gt;"", XLOOKUP($F2,Productos!$A$2:$A1001,Productos!BK$2:BK1001,"")*$G2,"")</f>
        <v/>
      </c>
      <c r="BS2" s="179" t="str">
        <f t="array" ref="BS2">IF($F2&lt;&gt;"",XLOOKUP($F2,Productos!$A:$A,Productos!BL:BL,"Revisar"),"")</f>
        <v/>
      </c>
      <c r="BT2" s="179" t="str">
        <f t="array" ref="BT2">IF($F2&lt;&gt;"", XLOOKUP($F2,Productos!$A$2:$A1001,Productos!BM$2:BM1001,"")*$G2,"")</f>
        <v/>
      </c>
      <c r="BU2" s="179" t="str">
        <f t="array" ref="BU2">IF($F2&lt;&gt;"",XLOOKUP($F2,Productos!$A:$A,Productos!BN:BN,"Revisar"),"")</f>
        <v/>
      </c>
      <c r="BV2" s="179" t="str">
        <f t="array" ref="BV2">IF($F2&lt;&gt;"", XLOOKUP($F2,Productos!$A$2:$A1001,Productos!BO$2:BO1001,"")*$G2,"")</f>
        <v/>
      </c>
      <c r="BW2" s="179" t="str">
        <f t="array" ref="BW2">IF($F2&lt;&gt;"",XLOOKUP($F2,Productos!$A:$A,Productos!BP:BP,"Revisar"),"")</f>
        <v/>
      </c>
      <c r="BX2" s="179" t="str">
        <f t="array" ref="BX2">IF($F2&lt;&gt;"", XLOOKUP($F2,Productos!$A$2:$A1001,Productos!BQ$2:BQ1001,"")*$G2,"")</f>
        <v/>
      </c>
      <c r="BY2" s="179" t="str">
        <f t="array" ref="BY2">IF($F2&lt;&gt;"",XLOOKUP($F2,Productos!$A:$A,Productos!BR:BR,"Revisar"),"")</f>
        <v/>
      </c>
      <c r="BZ2" s="179" t="str">
        <f t="array" ref="BZ2">IF($F2&lt;&gt;"", XLOOKUP($F2,Productos!$A$2:$A1001,Productos!BS$2:BS1001,"")*$G2,"")</f>
        <v/>
      </c>
    </row>
    <row r="3">
      <c r="A3" s="180"/>
      <c r="B3" s="181"/>
      <c r="C3" s="182"/>
      <c r="D3" s="182"/>
      <c r="E3" s="183"/>
      <c r="F3" s="177"/>
      <c r="G3" s="184"/>
      <c r="H3" s="177"/>
      <c r="I3" s="179" t="str">
        <f t="array" ref="I3">IF($F3&lt;&gt;"",XLOOKUP($F3,Productos!$A:$A,Productos!B:B,"Revisar"),"")</f>
        <v/>
      </c>
      <c r="J3" s="179" t="str">
        <f t="array" ref="J3">IF($F3&lt;&gt;"", XLOOKUP($F3,Productos!$A$2:$A1001,Productos!C$2:C1001,"")*$G3,"")</f>
        <v/>
      </c>
      <c r="K3" s="179" t="str">
        <f t="array" ref="K3">IF($F3&lt;&gt;"",XLOOKUP($F3,Productos!$A:$A,Productos!D:D,"Revisar"),"")</f>
        <v/>
      </c>
      <c r="L3" s="179" t="str">
        <f t="array" ref="L3">IF($F3&lt;&gt;"", XLOOKUP($F3,Productos!$A$2:$A1001,Productos!E$2:E1001,"")*$G3,"")</f>
        <v/>
      </c>
      <c r="M3" s="179" t="str">
        <f t="array" ref="M3">IF($F3&lt;&gt;"",XLOOKUP($F3,Productos!$A:$A,Productos!F:F,"Revisar"),"")</f>
        <v/>
      </c>
      <c r="N3" s="179" t="str">
        <f t="array" ref="N3">IF($F3&lt;&gt;"", XLOOKUP($F3,Productos!$A$2:$A1001,Productos!G$2:G1001,"")*$G3,"")</f>
        <v/>
      </c>
      <c r="O3" s="179" t="str">
        <f t="array" ref="O3">IF($F3&lt;&gt;"",XLOOKUP($F3,Productos!$A:$A,Productos!H:H,"Revisar"),"")</f>
        <v/>
      </c>
      <c r="P3" s="179" t="str">
        <f t="array" ref="P3">IF($F3&lt;&gt;"", XLOOKUP($F3,Productos!$A$2:$A1001,Productos!I$2:I1001,"")*$G3,"")</f>
        <v/>
      </c>
      <c r="Q3" s="179" t="str">
        <f t="array" ref="Q3">IF($F3&lt;&gt;"",XLOOKUP($F3,Productos!$A:$A,Productos!J:J,"Revisar"),"")</f>
        <v/>
      </c>
      <c r="R3" s="179" t="str">
        <f t="array" ref="R3">IF($F3&lt;&gt;"", XLOOKUP($F3,Productos!$A$2:$A1001,Productos!K$2:K1001,"")*$G3,"")</f>
        <v/>
      </c>
      <c r="S3" s="179" t="str">
        <f t="array" ref="S3">IF($F3&lt;&gt;"",XLOOKUP($F3,Productos!$A:$A,Productos!L:L,"Revisar"),"")</f>
        <v/>
      </c>
      <c r="T3" s="179" t="str">
        <f t="array" ref="T3">IF($F3&lt;&gt;"", XLOOKUP($F3,Productos!$A$2:$A1001,Productos!M$2:M1001,"")*$G3,"")</f>
        <v/>
      </c>
      <c r="U3" s="179" t="str">
        <f t="array" ref="U3">IF($F3&lt;&gt;"",XLOOKUP($F3,Productos!$A:$A,Productos!N:N,"Revisar"),"")</f>
        <v/>
      </c>
      <c r="V3" s="179" t="str">
        <f t="array" ref="V3">IF($F3&lt;&gt;"", XLOOKUP($F3,Productos!$A$2:$A1001,Productos!O$2:O1001,"")*$G3,"")</f>
        <v/>
      </c>
      <c r="W3" s="179" t="str">
        <f t="array" ref="W3">IF($F3&lt;&gt;"",XLOOKUP($F3,Productos!$A:$A,Productos!P:P,"Revisar"),"")</f>
        <v/>
      </c>
      <c r="X3" s="179" t="str">
        <f t="array" ref="X3">IF($F3&lt;&gt;"", XLOOKUP($F3,Productos!$A$2:$A1001,Productos!Q$2:Q1001,"")*$G3,"")</f>
        <v/>
      </c>
      <c r="Y3" s="179" t="str">
        <f t="array" ref="Y3">IF($F3&lt;&gt;"",XLOOKUP($F3,Productos!$A:$A,Productos!R:R,"Revisar"),"")</f>
        <v/>
      </c>
      <c r="Z3" s="179" t="str">
        <f t="array" ref="Z3">IF($F3&lt;&gt;"", XLOOKUP($F3,Productos!$A$2:$A1001,Productos!S$2:S1001,"")*$G3,"")</f>
        <v/>
      </c>
      <c r="AA3" s="179" t="str">
        <f t="array" ref="AA3">IF($F3&lt;&gt;"",XLOOKUP($F3,Productos!$A:$A,Productos!T:T,"Revisar"),"")</f>
        <v/>
      </c>
      <c r="AB3" s="179" t="str">
        <f t="array" ref="AB3">IF($F3&lt;&gt;"", XLOOKUP($F3,Productos!$A$2:$A1001,Productos!U$2:U1001,"")*$G3,"")</f>
        <v/>
      </c>
      <c r="AC3" s="179" t="str">
        <f t="array" ref="AC3">IF($F3&lt;&gt;"",XLOOKUP($F3,Productos!$A:$A,Productos!V:V,"Revisar"),"")</f>
        <v/>
      </c>
      <c r="AD3" s="179" t="str">
        <f t="array" ref="AD3">IF($F3&lt;&gt;"", XLOOKUP($F3,Productos!$A$2:$A1001,Productos!W$2:W1001,"")*$G3,"")</f>
        <v/>
      </c>
      <c r="AE3" s="179" t="str">
        <f t="array" ref="AE3">IF($F3&lt;&gt;"",XLOOKUP($F3,Productos!$A:$A,Productos!X:X,"Revisar"),"")</f>
        <v/>
      </c>
      <c r="AF3" s="179" t="str">
        <f t="array" ref="AF3">IF($F3&lt;&gt;"", XLOOKUP($F3,Productos!$A$2:$A1001,Productos!Y$2:Y1001,"")*$G3,"")</f>
        <v/>
      </c>
      <c r="AG3" s="179" t="str">
        <f t="array" ref="AG3">IF($F3&lt;&gt;"",XLOOKUP($F3,Productos!$A:$A,Productos!Z:Z,"Revisar"),"")</f>
        <v/>
      </c>
      <c r="AH3" s="179" t="str">
        <f t="array" ref="AH3">IF($F3&lt;&gt;"", XLOOKUP($F3,Productos!$A$2:$A1001,Productos!AA$2:AA1001,"")*$G3,"")</f>
        <v/>
      </c>
      <c r="AI3" s="179" t="str">
        <f t="array" ref="AI3">IF($F3&lt;&gt;"",XLOOKUP($F3,Productos!$A:$A,Productos!AB:AB,"Revisar"),"")</f>
        <v/>
      </c>
      <c r="AJ3" s="179" t="str">
        <f t="array" ref="AJ3">IF($F3&lt;&gt;"", XLOOKUP($F3,Productos!$A$2:$A1001,Productos!AC$2:AC1001,"")*$G3,"")</f>
        <v/>
      </c>
      <c r="AK3" s="179" t="str">
        <f t="array" ref="AK3">IF($F3&lt;&gt;"",XLOOKUP($F3,Productos!$A:$A,Productos!AD:AD,"Revisar"),"")</f>
        <v/>
      </c>
      <c r="AL3" s="179" t="str">
        <f t="array" ref="AL3">IF($F3&lt;&gt;"", XLOOKUP($F3,Productos!$A$2:$A1001,Productos!AE$2:AE1001,"")*$G3,"")</f>
        <v/>
      </c>
      <c r="AM3" s="179" t="str">
        <f t="array" ref="AM3">IF($F3&lt;&gt;"",XLOOKUP($F3,Productos!$A:$A,Productos!AF:AF,"Revisar"),"")</f>
        <v/>
      </c>
      <c r="AN3" s="179" t="str">
        <f t="array" ref="AN3">IF($F3&lt;&gt;"", XLOOKUP($F3,Productos!$A$2:$A1001,Productos!AG$2:AG1001,"")*$G3,"")</f>
        <v/>
      </c>
      <c r="AO3" s="179" t="str">
        <f t="array" ref="AO3">IF($F3&lt;&gt;"",XLOOKUP($F3,Productos!$A:$A,Productos!AH:AH,"Revisar"),"")</f>
        <v/>
      </c>
      <c r="AP3" s="179" t="str">
        <f t="array" ref="AP3">IF($F3&lt;&gt;"", XLOOKUP($F3,Productos!$A$2:$A1001,Productos!AI$2:AI1001,"")*$G3,"")</f>
        <v/>
      </c>
      <c r="AQ3" s="179" t="str">
        <f t="array" ref="AQ3">IF($F3&lt;&gt;"",XLOOKUP($F3,Productos!$A:$A,Productos!AJ:AJ,"Revisar"),"")</f>
        <v/>
      </c>
      <c r="AR3" s="179" t="str">
        <f t="array" ref="AR3">IF($F3&lt;&gt;"", XLOOKUP($F3,Productos!$A$2:$A1001,Productos!AK$2:AK1001,"")*$G3,"")</f>
        <v/>
      </c>
      <c r="AS3" s="179" t="str">
        <f t="array" ref="AS3">IF($F3&lt;&gt;"",XLOOKUP($F3,Productos!$A:$A,Productos!AL:AL,"Revisar"),"")</f>
        <v/>
      </c>
      <c r="AT3" s="179" t="str">
        <f t="array" ref="AT3">IF($F3&lt;&gt;"", XLOOKUP($F3,Productos!$A$2:$A1001,Productos!AM$2:AM1001,"")*$G3,"")</f>
        <v/>
      </c>
      <c r="AU3" s="179" t="str">
        <f t="array" ref="AU3">IF($F3&lt;&gt;"",XLOOKUP($F3,Productos!$A:$A,Productos!AN:AN,"Revisar"),"")</f>
        <v/>
      </c>
      <c r="AV3" s="179" t="str">
        <f t="array" ref="AV3">IF($F3&lt;&gt;"", XLOOKUP($F3,Productos!$A$2:$A1001,Productos!AO$2:AO1001,"")*$G3,"")</f>
        <v/>
      </c>
      <c r="AW3" s="179" t="str">
        <f t="array" ref="AW3">IF($F3&lt;&gt;"",XLOOKUP($F3,Productos!$A:$A,Productos!AP:AP,"Revisar"),"")</f>
        <v/>
      </c>
      <c r="AX3" s="179" t="str">
        <f t="array" ref="AX3">IF($F3&lt;&gt;"", XLOOKUP($F3,Productos!$A$2:$A1001,Productos!AQ$2:AQ1001,"")*$G3,"")</f>
        <v/>
      </c>
      <c r="AY3" s="179" t="str">
        <f t="array" ref="AY3">IF($F3&lt;&gt;"",XLOOKUP($F3,Productos!$A:$A,Productos!AR:AR,"Revisar"),"")</f>
        <v/>
      </c>
      <c r="AZ3" s="179" t="str">
        <f t="array" ref="AZ3">IF($F3&lt;&gt;"", XLOOKUP($F3,Productos!$A$2:$A1001,Productos!AS$2:AS1001,"")*$G3,"")</f>
        <v/>
      </c>
      <c r="BA3" s="179" t="str">
        <f t="array" ref="BA3">IF($F3&lt;&gt;"",XLOOKUP($F3,Productos!$A:$A,Productos!AT:AT,"Revisar"),"")</f>
        <v/>
      </c>
      <c r="BB3" s="179" t="str">
        <f t="array" ref="BB3">IF($F3&lt;&gt;"", XLOOKUP($F3,Productos!$A$2:$A1001,Productos!AU$2:AU1001,"")*$G3,"")</f>
        <v/>
      </c>
      <c r="BC3" s="179" t="str">
        <f t="array" ref="BC3">IF($F3&lt;&gt;"",XLOOKUP($F3,Productos!$A:$A,Productos!AV:AV,"Revisar"),"")</f>
        <v/>
      </c>
      <c r="BD3" s="179" t="str">
        <f t="array" ref="BD3">IF($F3&lt;&gt;"", XLOOKUP($F3,Productos!$A$2:$A1001,Productos!AW$2:AW1001,"")*$G3,"")</f>
        <v/>
      </c>
      <c r="BE3" s="179" t="str">
        <f t="array" ref="BE3">IF($F3&lt;&gt;"",XLOOKUP($F3,Productos!$A:$A,Productos!AX:AX,"Revisar"),"")</f>
        <v/>
      </c>
      <c r="BF3" s="179" t="str">
        <f t="array" ref="BF3">IF($F3&lt;&gt;"", XLOOKUP($F3,Productos!$A$2:$A1001,Productos!AY$2:AY1001,"")*$G3,"")</f>
        <v/>
      </c>
      <c r="BG3" s="179" t="str">
        <f t="array" ref="BG3">IF($F3&lt;&gt;"",XLOOKUP($F3,Productos!$A:$A,Productos!AZ:AZ,"Revisar"),"")</f>
        <v/>
      </c>
      <c r="BH3" s="179" t="str">
        <f t="array" ref="BH3">IF($F3&lt;&gt;"", XLOOKUP($F3,Productos!$A$2:$A1001,Productos!BA$2:BA1001,"")*$G3,"")</f>
        <v/>
      </c>
      <c r="BI3" s="179" t="str">
        <f t="array" ref="BI3">IF($F3&lt;&gt;"",XLOOKUP($F3,Productos!$A:$A,Productos!BB:BB,"Revisar"),"")</f>
        <v/>
      </c>
      <c r="BJ3" s="179" t="str">
        <f t="array" ref="BJ3">IF($F3&lt;&gt;"", XLOOKUP($F3,Productos!$A$2:$A1001,Productos!BC$2:BC1001,"")*$G3,"")</f>
        <v/>
      </c>
      <c r="BK3" s="179" t="str">
        <f t="array" ref="BK3">IF($F3&lt;&gt;"",XLOOKUP($F3,Productos!$A:$A,Productos!BD:BD,"Revisar"),"")</f>
        <v/>
      </c>
      <c r="BL3" s="179" t="str">
        <f t="array" ref="BL3">IF($F3&lt;&gt;"", XLOOKUP($F3,Productos!$A$2:$A1001,Productos!BE$2:BE1001,"")*$G3,"")</f>
        <v/>
      </c>
      <c r="BM3" s="179" t="str">
        <f t="array" ref="BM3">IF($F3&lt;&gt;"",XLOOKUP($F3,Productos!$A:$A,Productos!BF:BF,"Revisar"),"")</f>
        <v/>
      </c>
      <c r="BN3" s="179" t="str">
        <f t="array" ref="BN3">IF($F3&lt;&gt;"", XLOOKUP($F3,Productos!$A$2:$A1001,Productos!BG$2:BG1001,"")*$G3,"")</f>
        <v/>
      </c>
      <c r="BO3" s="179" t="str">
        <f t="array" ref="BO3">IF($F3&lt;&gt;"",XLOOKUP($F3,Productos!$A:$A,Productos!BH:BH,"Revisar"),"")</f>
        <v/>
      </c>
      <c r="BP3" s="179" t="str">
        <f t="array" ref="BP3">IF($F3&lt;&gt;"", XLOOKUP($F3,Productos!$A$2:$A1001,Productos!BI$2:BI1001,"")*$G3,"")</f>
        <v/>
      </c>
      <c r="BQ3" s="179" t="str">
        <f t="array" ref="BQ3">IF($F3&lt;&gt;"",XLOOKUP($F3,Productos!$A:$A,Productos!BJ:BJ,"Revisar"),"")</f>
        <v/>
      </c>
      <c r="BR3" s="179" t="str">
        <f t="array" ref="BR3">IF($F3&lt;&gt;"", XLOOKUP($F3,Productos!$A$2:$A1001,Productos!BK$2:BK1001,"")*$G3,"")</f>
        <v/>
      </c>
      <c r="BS3" s="179" t="str">
        <f t="array" ref="BS3">IF($F3&lt;&gt;"",XLOOKUP($F3,Productos!$A:$A,Productos!BL:BL,"Revisar"),"")</f>
        <v/>
      </c>
      <c r="BT3" s="179" t="str">
        <f t="array" ref="BT3">IF($F3&lt;&gt;"", XLOOKUP($F3,Productos!$A$2:$A1001,Productos!BM$2:BM1001,"")*$G3,"")</f>
        <v/>
      </c>
      <c r="BU3" s="179" t="str">
        <f t="array" ref="BU3">IF($F3&lt;&gt;"",XLOOKUP($F3,Productos!$A:$A,Productos!BN:BN,"Revisar"),"")</f>
        <v/>
      </c>
      <c r="BV3" s="179" t="str">
        <f t="array" ref="BV3">IF($F3&lt;&gt;"", XLOOKUP($F3,Productos!$A$2:$A1001,Productos!BO$2:BO1001,"")*$G3,"")</f>
        <v/>
      </c>
      <c r="BW3" s="179" t="str">
        <f t="array" ref="BW3">IF($F3&lt;&gt;"",XLOOKUP($F3,Productos!$A:$A,Productos!BP:BP,"Revisar"),"")</f>
        <v/>
      </c>
      <c r="BX3" s="179" t="str">
        <f t="array" ref="BX3">IF($F3&lt;&gt;"", XLOOKUP($F3,Productos!$A$2:$A1001,Productos!BQ$2:BQ1001,"")*$G3,"")</f>
        <v/>
      </c>
      <c r="BY3" s="179" t="str">
        <f t="array" ref="BY3">IF($F3&lt;&gt;"",XLOOKUP($F3,Productos!$A:$A,Productos!BR:BR,"Revisar"),"")</f>
        <v/>
      </c>
      <c r="BZ3" s="179" t="str">
        <f t="array" ref="BZ3">IF($F3&lt;&gt;"", XLOOKUP($F3,Productos!$A$2:$A1001,Productos!BS$2:BS1001,"")*$G3,"")</f>
        <v/>
      </c>
    </row>
    <row r="4">
      <c r="A4" s="180"/>
      <c r="B4" s="181"/>
      <c r="C4" s="182"/>
      <c r="D4" s="182"/>
      <c r="E4" s="183"/>
      <c r="F4" s="177"/>
      <c r="G4" s="184"/>
      <c r="H4" s="177"/>
      <c r="I4" s="179" t="str">
        <f t="array" ref="I4">IF($F4&lt;&gt;"",XLOOKUP($F4,Productos!$A:$A,Productos!B:B,"Revisar"),"")</f>
        <v/>
      </c>
      <c r="J4" s="179" t="str">
        <f t="array" ref="J4">IF($F4&lt;&gt;"", XLOOKUP($F4,Productos!$A$2:$A1001,Productos!C$2:C1001,"")*$G4,"")</f>
        <v/>
      </c>
      <c r="K4" s="179" t="str">
        <f t="array" ref="K4">IF($F4&lt;&gt;"",XLOOKUP($F4,Productos!$A:$A,Productos!D:D,"Revisar"),"")</f>
        <v/>
      </c>
      <c r="L4" s="179" t="str">
        <f t="array" ref="L4">IF($F4&lt;&gt;"", XLOOKUP($F4,Productos!$A$2:$A1001,Productos!E$2:E1001,"")*$G4,"")</f>
        <v/>
      </c>
      <c r="M4" s="179" t="str">
        <f t="array" ref="M4">IF($F4&lt;&gt;"",XLOOKUP($F4,Productos!$A:$A,Productos!F:F,"Revisar"),"")</f>
        <v/>
      </c>
      <c r="N4" s="179" t="str">
        <f t="array" ref="N4">IF($F4&lt;&gt;"", XLOOKUP($F4,Productos!$A$2:$A1001,Productos!G$2:G1001,"")*$G4,"")</f>
        <v/>
      </c>
      <c r="O4" s="179" t="str">
        <f t="array" ref="O4">IF($F4&lt;&gt;"",XLOOKUP($F4,Productos!$A:$A,Productos!H:H,"Revisar"),"")</f>
        <v/>
      </c>
      <c r="P4" s="179" t="str">
        <f t="array" ref="P4">IF($F4&lt;&gt;"", XLOOKUP($F4,Productos!$A$2:$A1001,Productos!I$2:I1001,"")*$G4,"")</f>
        <v/>
      </c>
      <c r="Q4" s="179" t="str">
        <f t="array" ref="Q4">IF($F4&lt;&gt;"",XLOOKUP($F4,Productos!$A:$A,Productos!J:J,"Revisar"),"")</f>
        <v/>
      </c>
      <c r="R4" s="179" t="str">
        <f t="array" ref="R4">IF($F4&lt;&gt;"", XLOOKUP($F4,Productos!$A$2:$A1001,Productos!K$2:K1001,"")*$G4,"")</f>
        <v/>
      </c>
      <c r="S4" s="179" t="str">
        <f t="array" ref="S4">IF($F4&lt;&gt;"",XLOOKUP($F4,Productos!$A:$A,Productos!L:L,"Revisar"),"")</f>
        <v/>
      </c>
      <c r="T4" s="179" t="str">
        <f t="array" ref="T4">IF($F4&lt;&gt;"", XLOOKUP($F4,Productos!$A$2:$A1001,Productos!M$2:M1001,"")*$G4,"")</f>
        <v/>
      </c>
      <c r="U4" s="179" t="str">
        <f t="array" ref="U4">IF($F4&lt;&gt;"",XLOOKUP($F4,Productos!$A:$A,Productos!N:N,"Revisar"),"")</f>
        <v/>
      </c>
      <c r="V4" s="179" t="str">
        <f t="array" ref="V4">IF($F4&lt;&gt;"", XLOOKUP($F4,Productos!$A$2:$A1001,Productos!O$2:O1001,"")*$G4,"")</f>
        <v/>
      </c>
      <c r="W4" s="179" t="str">
        <f t="array" ref="W4">IF($F4&lt;&gt;"",XLOOKUP($F4,Productos!$A:$A,Productos!P:P,"Revisar"),"")</f>
        <v/>
      </c>
      <c r="X4" s="179" t="str">
        <f t="array" ref="X4">IF($F4&lt;&gt;"", XLOOKUP($F4,Productos!$A$2:$A1001,Productos!Q$2:Q1001,"")*$G4,"")</f>
        <v/>
      </c>
      <c r="Y4" s="179" t="str">
        <f t="array" ref="Y4">IF($F4&lt;&gt;"",XLOOKUP($F4,Productos!$A:$A,Productos!R:R,"Revisar"),"")</f>
        <v/>
      </c>
      <c r="Z4" s="179" t="str">
        <f t="array" ref="Z4">IF($F4&lt;&gt;"", XLOOKUP($F4,Productos!$A$2:$A1001,Productos!S$2:S1001,"")*$G4,"")</f>
        <v/>
      </c>
      <c r="AA4" s="179" t="str">
        <f t="array" ref="AA4">IF($F4&lt;&gt;"",XLOOKUP($F4,Productos!$A:$A,Productos!T:T,"Revisar"),"")</f>
        <v/>
      </c>
      <c r="AB4" s="179" t="str">
        <f t="array" ref="AB4">IF($F4&lt;&gt;"", XLOOKUP($F4,Productos!$A$2:$A1001,Productos!U$2:U1001,"")*$G4,"")</f>
        <v/>
      </c>
      <c r="AC4" s="179" t="str">
        <f t="array" ref="AC4">IF($F4&lt;&gt;"",XLOOKUP($F4,Productos!$A:$A,Productos!V:V,"Revisar"),"")</f>
        <v/>
      </c>
      <c r="AD4" s="179" t="str">
        <f t="array" ref="AD4">IF($F4&lt;&gt;"", XLOOKUP($F4,Productos!$A$2:$A1001,Productos!W$2:W1001,"")*$G4,"")</f>
        <v/>
      </c>
      <c r="AE4" s="179" t="str">
        <f t="array" ref="AE4">IF($F4&lt;&gt;"",XLOOKUP($F4,Productos!$A:$A,Productos!X:X,"Revisar"),"")</f>
        <v/>
      </c>
      <c r="AF4" s="179" t="str">
        <f t="array" ref="AF4">IF($F4&lt;&gt;"", XLOOKUP($F4,Productos!$A$2:$A1001,Productos!Y$2:Y1001,"")*$G4,"")</f>
        <v/>
      </c>
      <c r="AG4" s="179" t="str">
        <f t="array" ref="AG4">IF($F4&lt;&gt;"",XLOOKUP($F4,Productos!$A:$A,Productos!Z:Z,"Revisar"),"")</f>
        <v/>
      </c>
      <c r="AH4" s="179" t="str">
        <f t="array" ref="AH4">IF($F4&lt;&gt;"", XLOOKUP($F4,Productos!$A$2:$A1001,Productos!AA$2:AA1001,"")*$G4,"")</f>
        <v/>
      </c>
      <c r="AI4" s="179" t="str">
        <f t="array" ref="AI4">IF($F4&lt;&gt;"",XLOOKUP($F4,Productos!$A:$A,Productos!AB:AB,"Revisar"),"")</f>
        <v/>
      </c>
      <c r="AJ4" s="179" t="str">
        <f t="array" ref="AJ4">IF($F4&lt;&gt;"", XLOOKUP($F4,Productos!$A$2:$A1001,Productos!AC$2:AC1001,"")*$G4,"")</f>
        <v/>
      </c>
      <c r="AK4" s="179" t="str">
        <f t="array" ref="AK4">IF($F4&lt;&gt;"",XLOOKUP($F4,Productos!$A:$A,Productos!AD:AD,"Revisar"),"")</f>
        <v/>
      </c>
      <c r="AL4" s="179" t="str">
        <f t="array" ref="AL4">IF($F4&lt;&gt;"", XLOOKUP($F4,Productos!$A$2:$A1001,Productos!AE$2:AE1001,"")*$G4,"")</f>
        <v/>
      </c>
      <c r="AM4" s="179" t="str">
        <f t="array" ref="AM4">IF($F4&lt;&gt;"",XLOOKUP($F4,Productos!$A:$A,Productos!AF:AF,"Revisar"),"")</f>
        <v/>
      </c>
      <c r="AN4" s="179" t="str">
        <f t="array" ref="AN4">IF($F4&lt;&gt;"", XLOOKUP($F4,Productos!$A$2:$A1001,Productos!AG$2:AG1001,"")*$G4,"")</f>
        <v/>
      </c>
      <c r="AO4" s="179" t="str">
        <f t="array" ref="AO4">IF($F4&lt;&gt;"",XLOOKUP($F4,Productos!$A:$A,Productos!AH:AH,"Revisar"),"")</f>
        <v/>
      </c>
      <c r="AP4" s="179" t="str">
        <f t="array" ref="AP4">IF($F4&lt;&gt;"", XLOOKUP($F4,Productos!$A$2:$A1001,Productos!AI$2:AI1001,"")*$G4,"")</f>
        <v/>
      </c>
      <c r="AQ4" s="179" t="str">
        <f t="array" ref="AQ4">IF($F4&lt;&gt;"",XLOOKUP($F4,Productos!$A:$A,Productos!AJ:AJ,"Revisar"),"")</f>
        <v/>
      </c>
      <c r="AR4" s="179" t="str">
        <f t="array" ref="AR4">IF($F4&lt;&gt;"", XLOOKUP($F4,Productos!$A$2:$A1001,Productos!AK$2:AK1001,"")*$G4,"")</f>
        <v/>
      </c>
      <c r="AS4" s="179" t="str">
        <f t="array" ref="AS4">IF($F4&lt;&gt;"",XLOOKUP($F4,Productos!$A:$A,Productos!AL:AL,"Revisar"),"")</f>
        <v/>
      </c>
      <c r="AT4" s="179" t="str">
        <f t="array" ref="AT4">IF($F4&lt;&gt;"", XLOOKUP($F4,Productos!$A$2:$A1001,Productos!AM$2:AM1001,"")*$G4,"")</f>
        <v/>
      </c>
      <c r="AU4" s="179" t="str">
        <f t="array" ref="AU4">IF($F4&lt;&gt;"",XLOOKUP($F4,Productos!$A:$A,Productos!AN:AN,"Revisar"),"")</f>
        <v/>
      </c>
      <c r="AV4" s="179" t="str">
        <f t="array" ref="AV4">IF($F4&lt;&gt;"", XLOOKUP($F4,Productos!$A$2:$A1001,Productos!AO$2:AO1001,"")*$G4,"")</f>
        <v/>
      </c>
      <c r="AW4" s="179" t="str">
        <f t="array" ref="AW4">IF($F4&lt;&gt;"",XLOOKUP($F4,Productos!$A:$A,Productos!AP:AP,"Revisar"),"")</f>
        <v/>
      </c>
      <c r="AX4" s="179" t="str">
        <f t="array" ref="AX4">IF($F4&lt;&gt;"", XLOOKUP($F4,Productos!$A$2:$A1001,Productos!AQ$2:AQ1001,"")*$G4,"")</f>
        <v/>
      </c>
      <c r="AY4" s="179" t="str">
        <f t="array" ref="AY4">IF($F4&lt;&gt;"",XLOOKUP($F4,Productos!$A:$A,Productos!AR:AR,"Revisar"),"")</f>
        <v/>
      </c>
      <c r="AZ4" s="179" t="str">
        <f t="array" ref="AZ4">IF($F4&lt;&gt;"", XLOOKUP($F4,Productos!$A$2:$A1001,Productos!AS$2:AS1001,"")*$G4,"")</f>
        <v/>
      </c>
      <c r="BA4" s="179" t="str">
        <f t="array" ref="BA4">IF($F4&lt;&gt;"",XLOOKUP($F4,Productos!$A:$A,Productos!AT:AT,"Revisar"),"")</f>
        <v/>
      </c>
      <c r="BB4" s="179" t="str">
        <f t="array" ref="BB4">IF($F4&lt;&gt;"", XLOOKUP($F4,Productos!$A$2:$A1001,Productos!AU$2:AU1001,"")*$G4,"")</f>
        <v/>
      </c>
      <c r="BC4" s="179" t="str">
        <f t="array" ref="BC4">IF($F4&lt;&gt;"",XLOOKUP($F4,Productos!$A:$A,Productos!AV:AV,"Revisar"),"")</f>
        <v/>
      </c>
      <c r="BD4" s="179" t="str">
        <f t="array" ref="BD4">IF($F4&lt;&gt;"", XLOOKUP($F4,Productos!$A$2:$A1001,Productos!AW$2:AW1001,"")*$G4,"")</f>
        <v/>
      </c>
      <c r="BE4" s="179" t="str">
        <f t="array" ref="BE4">IF($F4&lt;&gt;"",XLOOKUP($F4,Productos!$A:$A,Productos!AX:AX,"Revisar"),"")</f>
        <v/>
      </c>
      <c r="BF4" s="179" t="str">
        <f t="array" ref="BF4">IF($F4&lt;&gt;"", XLOOKUP($F4,Productos!$A$2:$A1001,Productos!AY$2:AY1001,"")*$G4,"")</f>
        <v/>
      </c>
      <c r="BG4" s="179" t="str">
        <f t="array" ref="BG4">IF($F4&lt;&gt;"",XLOOKUP($F4,Productos!$A:$A,Productos!AZ:AZ,"Revisar"),"")</f>
        <v/>
      </c>
      <c r="BH4" s="179" t="str">
        <f t="array" ref="BH4">IF($F4&lt;&gt;"", XLOOKUP($F4,Productos!$A$2:$A1001,Productos!BA$2:BA1001,"")*$G4,"")</f>
        <v/>
      </c>
      <c r="BI4" s="179" t="str">
        <f t="array" ref="BI4">IF($F4&lt;&gt;"",XLOOKUP($F4,Productos!$A:$A,Productos!BB:BB,"Revisar"),"")</f>
        <v/>
      </c>
      <c r="BJ4" s="179" t="str">
        <f t="array" ref="BJ4">IF($F4&lt;&gt;"", XLOOKUP($F4,Productos!$A$2:$A1001,Productos!BC$2:BC1001,"")*$G4,"")</f>
        <v/>
      </c>
      <c r="BK4" s="179" t="str">
        <f t="array" ref="BK4">IF($F4&lt;&gt;"",XLOOKUP($F4,Productos!$A:$A,Productos!BD:BD,"Revisar"),"")</f>
        <v/>
      </c>
      <c r="BL4" s="179" t="str">
        <f t="array" ref="BL4">IF($F4&lt;&gt;"", XLOOKUP($F4,Productos!$A$2:$A1001,Productos!BE$2:BE1001,"")*$G4,"")</f>
        <v/>
      </c>
      <c r="BM4" s="179" t="str">
        <f t="array" ref="BM4">IF($F4&lt;&gt;"",XLOOKUP($F4,Productos!$A:$A,Productos!BF:BF,"Revisar"),"")</f>
        <v/>
      </c>
      <c r="BN4" s="179" t="str">
        <f t="array" ref="BN4">IF($F4&lt;&gt;"", XLOOKUP($F4,Productos!$A$2:$A1001,Productos!BG$2:BG1001,"")*$G4,"")</f>
        <v/>
      </c>
      <c r="BO4" s="179" t="str">
        <f t="array" ref="BO4">IF($F4&lt;&gt;"",XLOOKUP($F4,Productos!$A:$A,Productos!BH:BH,"Revisar"),"")</f>
        <v/>
      </c>
      <c r="BP4" s="179" t="str">
        <f t="array" ref="BP4">IF($F4&lt;&gt;"", XLOOKUP($F4,Productos!$A$2:$A1001,Productos!BI$2:BI1001,"")*$G4,"")</f>
        <v/>
      </c>
      <c r="BQ4" s="179" t="str">
        <f t="array" ref="BQ4">IF($F4&lt;&gt;"",XLOOKUP($F4,Productos!$A:$A,Productos!BJ:BJ,"Revisar"),"")</f>
        <v/>
      </c>
      <c r="BR4" s="179" t="str">
        <f t="array" ref="BR4">IF($F4&lt;&gt;"", XLOOKUP($F4,Productos!$A$2:$A1001,Productos!BK$2:BK1001,"")*$G4,"")</f>
        <v/>
      </c>
      <c r="BS4" s="179" t="str">
        <f t="array" ref="BS4">IF($F4&lt;&gt;"",XLOOKUP($F4,Productos!$A:$A,Productos!BL:BL,"Revisar"),"")</f>
        <v/>
      </c>
      <c r="BT4" s="179" t="str">
        <f t="array" ref="BT4">IF($F4&lt;&gt;"", XLOOKUP($F4,Productos!$A$2:$A1001,Productos!BM$2:BM1001,"")*$G4,"")</f>
        <v/>
      </c>
      <c r="BU4" s="179" t="str">
        <f t="array" ref="BU4">IF($F4&lt;&gt;"",XLOOKUP($F4,Productos!$A:$A,Productos!BN:BN,"Revisar"),"")</f>
        <v/>
      </c>
      <c r="BV4" s="179" t="str">
        <f t="array" ref="BV4">IF($F4&lt;&gt;"", XLOOKUP($F4,Productos!$A$2:$A1001,Productos!BO$2:BO1001,"")*$G4,"")</f>
        <v/>
      </c>
      <c r="BW4" s="179" t="str">
        <f t="array" ref="BW4">IF($F4&lt;&gt;"",XLOOKUP($F4,Productos!$A:$A,Productos!BP:BP,"Revisar"),"")</f>
        <v/>
      </c>
      <c r="BX4" s="179" t="str">
        <f t="array" ref="BX4">IF($F4&lt;&gt;"", XLOOKUP($F4,Productos!$A$2:$A1001,Productos!BQ$2:BQ1001,"")*$G4,"")</f>
        <v/>
      </c>
      <c r="BY4" s="179" t="str">
        <f t="array" ref="BY4">IF($F4&lt;&gt;"",XLOOKUP($F4,Productos!$A:$A,Productos!BR:BR,"Revisar"),"")</f>
        <v/>
      </c>
      <c r="BZ4" s="179" t="str">
        <f t="array" ref="BZ4">IF($F4&lt;&gt;"", XLOOKUP($F4,Productos!$A$2:$A1001,Productos!BS$2:BS1001,"")*$G4,"")</f>
        <v/>
      </c>
    </row>
    <row r="5">
      <c r="A5" s="180"/>
      <c r="B5" s="181"/>
      <c r="C5" s="182"/>
      <c r="D5" s="182"/>
      <c r="E5" s="183"/>
      <c r="F5" s="177"/>
      <c r="G5" s="184"/>
      <c r="H5" s="177"/>
      <c r="I5" s="179" t="str">
        <f t="array" ref="I5">IF($F5&lt;&gt;"",XLOOKUP($F5,Productos!$A:$A,Productos!B:B,"Revisar"),"")</f>
        <v/>
      </c>
      <c r="J5" s="179" t="str">
        <f t="array" ref="J5">IF($F5&lt;&gt;"", XLOOKUP($F5,Productos!$A$2:$A1001,Productos!C$2:C1001,"")*$G5,"")</f>
        <v/>
      </c>
      <c r="K5" s="179" t="str">
        <f t="array" ref="K5">IF($F5&lt;&gt;"",XLOOKUP($F5,Productos!$A:$A,Productos!D:D,"Revisar"),"")</f>
        <v/>
      </c>
      <c r="L5" s="179" t="str">
        <f t="array" ref="L5">IF($F5&lt;&gt;"", XLOOKUP($F5,Productos!$A$2:$A1001,Productos!E$2:E1001,"")*$G5,"")</f>
        <v/>
      </c>
      <c r="M5" s="179" t="str">
        <f t="array" ref="M5">IF($F5&lt;&gt;"",XLOOKUP($F5,Productos!$A:$A,Productos!F:F,"Revisar"),"")</f>
        <v/>
      </c>
      <c r="N5" s="179" t="str">
        <f t="array" ref="N5">IF($F5&lt;&gt;"", XLOOKUP($F5,Productos!$A$2:$A1001,Productos!G$2:G1001,"")*$G5,"")</f>
        <v/>
      </c>
      <c r="O5" s="179" t="str">
        <f t="array" ref="O5">IF($F5&lt;&gt;"",XLOOKUP($F5,Productos!$A:$A,Productos!H:H,"Revisar"),"")</f>
        <v/>
      </c>
      <c r="P5" s="179" t="str">
        <f t="array" ref="P5">IF($F5&lt;&gt;"", XLOOKUP($F5,Productos!$A$2:$A1001,Productos!I$2:I1001,"")*$G5,"")</f>
        <v/>
      </c>
      <c r="Q5" s="179" t="str">
        <f t="array" ref="Q5">IF($F5&lt;&gt;"",XLOOKUP($F5,Productos!$A:$A,Productos!J:J,"Revisar"),"")</f>
        <v/>
      </c>
      <c r="R5" s="179" t="str">
        <f t="array" ref="R5">IF($F5&lt;&gt;"", XLOOKUP($F5,Productos!$A$2:$A1001,Productos!K$2:K1001,"")*$G5,"")</f>
        <v/>
      </c>
      <c r="S5" s="179" t="str">
        <f t="array" ref="S5">IF($F5&lt;&gt;"",XLOOKUP($F5,Productos!$A:$A,Productos!L:L,"Revisar"),"")</f>
        <v/>
      </c>
      <c r="T5" s="179" t="str">
        <f t="array" ref="T5">IF($F5&lt;&gt;"", XLOOKUP($F5,Productos!$A$2:$A1001,Productos!M$2:M1001,"")*$G5,"")</f>
        <v/>
      </c>
      <c r="U5" s="179" t="str">
        <f t="array" ref="U5">IF($F5&lt;&gt;"",XLOOKUP($F5,Productos!$A:$A,Productos!N:N,"Revisar"),"")</f>
        <v/>
      </c>
      <c r="V5" s="179" t="str">
        <f t="array" ref="V5">IF($F5&lt;&gt;"", XLOOKUP($F5,Productos!$A$2:$A1001,Productos!O$2:O1001,"")*$G5,"")</f>
        <v/>
      </c>
      <c r="W5" s="179" t="str">
        <f t="array" ref="W5">IF($F5&lt;&gt;"",XLOOKUP($F5,Productos!$A:$A,Productos!P:P,"Revisar"),"")</f>
        <v/>
      </c>
      <c r="X5" s="179" t="str">
        <f t="array" ref="X5">IF($F5&lt;&gt;"", XLOOKUP($F5,Productos!$A$2:$A1001,Productos!Q$2:Q1001,"")*$G5,"")</f>
        <v/>
      </c>
      <c r="Y5" s="179" t="str">
        <f t="array" ref="Y5">IF($F5&lt;&gt;"",XLOOKUP($F5,Productos!$A:$A,Productos!R:R,"Revisar"),"")</f>
        <v/>
      </c>
      <c r="Z5" s="179" t="str">
        <f t="array" ref="Z5">IF($F5&lt;&gt;"", XLOOKUP($F5,Productos!$A$2:$A1001,Productos!S$2:S1001,"")*$G5,"")</f>
        <v/>
      </c>
      <c r="AA5" s="179" t="str">
        <f t="array" ref="AA5">IF($F5&lt;&gt;"",XLOOKUP($F5,Productos!$A:$A,Productos!T:T,"Revisar"),"")</f>
        <v/>
      </c>
      <c r="AB5" s="179" t="str">
        <f t="array" ref="AB5">IF($F5&lt;&gt;"", XLOOKUP($F5,Productos!$A$2:$A1001,Productos!U$2:U1001,"")*$G5,"")</f>
        <v/>
      </c>
      <c r="AC5" s="179" t="str">
        <f t="array" ref="AC5">IF($F5&lt;&gt;"",XLOOKUP($F5,Productos!$A:$A,Productos!V:V,"Revisar"),"")</f>
        <v/>
      </c>
      <c r="AD5" s="179" t="str">
        <f t="array" ref="AD5">IF($F5&lt;&gt;"", XLOOKUP($F5,Productos!$A$2:$A1001,Productos!W$2:W1001,"")*$G5,"")</f>
        <v/>
      </c>
      <c r="AE5" s="179" t="str">
        <f t="array" ref="AE5">IF($F5&lt;&gt;"",XLOOKUP($F5,Productos!$A:$A,Productos!X:X,"Revisar"),"")</f>
        <v/>
      </c>
      <c r="AF5" s="179" t="str">
        <f t="array" ref="AF5">IF($F5&lt;&gt;"", XLOOKUP($F5,Productos!$A$2:$A1001,Productos!Y$2:Y1001,"")*$G5,"")</f>
        <v/>
      </c>
      <c r="AG5" s="179" t="str">
        <f t="array" ref="AG5">IF($F5&lt;&gt;"",XLOOKUP($F5,Productos!$A:$A,Productos!Z:Z,"Revisar"),"")</f>
        <v/>
      </c>
      <c r="AH5" s="179" t="str">
        <f t="array" ref="AH5">IF($F5&lt;&gt;"", XLOOKUP($F5,Productos!$A$2:$A1001,Productos!AA$2:AA1001,"")*$G5,"")</f>
        <v/>
      </c>
      <c r="AI5" s="179" t="str">
        <f t="array" ref="AI5">IF($F5&lt;&gt;"",XLOOKUP($F5,Productos!$A:$A,Productos!AB:AB,"Revisar"),"")</f>
        <v/>
      </c>
      <c r="AJ5" s="179" t="str">
        <f t="array" ref="AJ5">IF($F5&lt;&gt;"", XLOOKUP($F5,Productos!$A$2:$A1001,Productos!AC$2:AC1001,"")*$G5,"")</f>
        <v/>
      </c>
      <c r="AK5" s="179" t="str">
        <f t="array" ref="AK5">IF($F5&lt;&gt;"",XLOOKUP($F5,Productos!$A:$A,Productos!AD:AD,"Revisar"),"")</f>
        <v/>
      </c>
      <c r="AL5" s="179" t="str">
        <f t="array" ref="AL5">IF($F5&lt;&gt;"", XLOOKUP($F5,Productos!$A$2:$A1001,Productos!AE$2:AE1001,"")*$G5,"")</f>
        <v/>
      </c>
      <c r="AM5" s="179" t="str">
        <f t="array" ref="AM5">IF($F5&lt;&gt;"",XLOOKUP($F5,Productos!$A:$A,Productos!AF:AF,"Revisar"),"")</f>
        <v/>
      </c>
      <c r="AN5" s="179" t="str">
        <f t="array" ref="AN5">IF($F5&lt;&gt;"", XLOOKUP($F5,Productos!$A$2:$A1001,Productos!AG$2:AG1001,"")*$G5,"")</f>
        <v/>
      </c>
      <c r="AO5" s="179" t="str">
        <f t="array" ref="AO5">IF($F5&lt;&gt;"",XLOOKUP($F5,Productos!$A:$A,Productos!AH:AH,"Revisar"),"")</f>
        <v/>
      </c>
      <c r="AP5" s="179" t="str">
        <f t="array" ref="AP5">IF($F5&lt;&gt;"", XLOOKUP($F5,Productos!$A$2:$A1001,Productos!AI$2:AI1001,"")*$G5,"")</f>
        <v/>
      </c>
      <c r="AQ5" s="179" t="str">
        <f t="array" ref="AQ5">IF($F5&lt;&gt;"",XLOOKUP($F5,Productos!$A:$A,Productos!AJ:AJ,"Revisar"),"")</f>
        <v/>
      </c>
      <c r="AR5" s="179" t="str">
        <f t="array" ref="AR5">IF($F5&lt;&gt;"", XLOOKUP($F5,Productos!$A$2:$A1001,Productos!AK$2:AK1001,"")*$G5,"")</f>
        <v/>
      </c>
      <c r="AS5" s="179" t="str">
        <f t="array" ref="AS5">IF($F5&lt;&gt;"",XLOOKUP($F5,Productos!$A:$A,Productos!AL:AL,"Revisar"),"")</f>
        <v/>
      </c>
      <c r="AT5" s="179" t="str">
        <f t="array" ref="AT5">IF($F5&lt;&gt;"", XLOOKUP($F5,Productos!$A$2:$A1001,Productos!AM$2:AM1001,"")*$G5,"")</f>
        <v/>
      </c>
      <c r="AU5" s="179" t="str">
        <f t="array" ref="AU5">IF($F5&lt;&gt;"",XLOOKUP($F5,Productos!$A:$A,Productos!AN:AN,"Revisar"),"")</f>
        <v/>
      </c>
      <c r="AV5" s="179" t="str">
        <f t="array" ref="AV5">IF($F5&lt;&gt;"", XLOOKUP($F5,Productos!$A$2:$A1001,Productos!AO$2:AO1001,"")*$G5,"")</f>
        <v/>
      </c>
      <c r="AW5" s="179" t="str">
        <f t="array" ref="AW5">IF($F5&lt;&gt;"",XLOOKUP($F5,Productos!$A:$A,Productos!AP:AP,"Revisar"),"")</f>
        <v/>
      </c>
      <c r="AX5" s="179" t="str">
        <f t="array" ref="AX5">IF($F5&lt;&gt;"", XLOOKUP($F5,Productos!$A$2:$A1001,Productos!AQ$2:AQ1001,"")*$G5,"")</f>
        <v/>
      </c>
      <c r="AY5" s="179" t="str">
        <f t="array" ref="AY5">IF($F5&lt;&gt;"",XLOOKUP($F5,Productos!$A:$A,Productos!AR:AR,"Revisar"),"")</f>
        <v/>
      </c>
      <c r="AZ5" s="179" t="str">
        <f t="array" ref="AZ5">IF($F5&lt;&gt;"", XLOOKUP($F5,Productos!$A$2:$A1001,Productos!AS$2:AS1001,"")*$G5,"")</f>
        <v/>
      </c>
      <c r="BA5" s="179" t="str">
        <f t="array" ref="BA5">IF($F5&lt;&gt;"",XLOOKUP($F5,Productos!$A:$A,Productos!AT:AT,"Revisar"),"")</f>
        <v/>
      </c>
      <c r="BB5" s="179" t="str">
        <f t="array" ref="BB5">IF($F5&lt;&gt;"", XLOOKUP($F5,Productos!$A$2:$A1001,Productos!AU$2:AU1001,"")*$G5,"")</f>
        <v/>
      </c>
      <c r="BC5" s="179" t="str">
        <f t="array" ref="BC5">IF($F5&lt;&gt;"",XLOOKUP($F5,Productos!$A:$A,Productos!AV:AV,"Revisar"),"")</f>
        <v/>
      </c>
      <c r="BD5" s="179" t="str">
        <f t="array" ref="BD5">IF($F5&lt;&gt;"", XLOOKUP($F5,Productos!$A$2:$A1001,Productos!AW$2:AW1001,"")*$G5,"")</f>
        <v/>
      </c>
      <c r="BE5" s="179" t="str">
        <f t="array" ref="BE5">IF($F5&lt;&gt;"",XLOOKUP($F5,Productos!$A:$A,Productos!AX:AX,"Revisar"),"")</f>
        <v/>
      </c>
      <c r="BF5" s="179" t="str">
        <f t="array" ref="BF5">IF($F5&lt;&gt;"", XLOOKUP($F5,Productos!$A$2:$A1001,Productos!AY$2:AY1001,"")*$G5,"")</f>
        <v/>
      </c>
      <c r="BG5" s="179" t="str">
        <f t="array" ref="BG5">IF($F5&lt;&gt;"",XLOOKUP($F5,Productos!$A:$A,Productos!AZ:AZ,"Revisar"),"")</f>
        <v/>
      </c>
      <c r="BH5" s="179" t="str">
        <f t="array" ref="BH5">IF($F5&lt;&gt;"", XLOOKUP($F5,Productos!$A$2:$A1001,Productos!BA$2:BA1001,"")*$G5,"")</f>
        <v/>
      </c>
      <c r="BI5" s="179" t="str">
        <f t="array" ref="BI5">IF($F5&lt;&gt;"",XLOOKUP($F5,Productos!$A:$A,Productos!BB:BB,"Revisar"),"")</f>
        <v/>
      </c>
      <c r="BJ5" s="179" t="str">
        <f t="array" ref="BJ5">IF($F5&lt;&gt;"", XLOOKUP($F5,Productos!$A$2:$A1001,Productos!BC$2:BC1001,"")*$G5,"")</f>
        <v/>
      </c>
      <c r="BK5" s="179" t="str">
        <f t="array" ref="BK5">IF($F5&lt;&gt;"",XLOOKUP($F5,Productos!$A:$A,Productos!BD:BD,"Revisar"),"")</f>
        <v/>
      </c>
      <c r="BL5" s="179" t="str">
        <f t="array" ref="BL5">IF($F5&lt;&gt;"", XLOOKUP($F5,Productos!$A$2:$A1001,Productos!BE$2:BE1001,"")*$G5,"")</f>
        <v/>
      </c>
      <c r="BM5" s="179" t="str">
        <f t="array" ref="BM5">IF($F5&lt;&gt;"",XLOOKUP($F5,Productos!$A:$A,Productos!BF:BF,"Revisar"),"")</f>
        <v/>
      </c>
      <c r="BN5" s="179" t="str">
        <f t="array" ref="BN5">IF($F5&lt;&gt;"", XLOOKUP($F5,Productos!$A$2:$A1001,Productos!BG$2:BG1001,"")*$G5,"")</f>
        <v/>
      </c>
      <c r="BO5" s="179" t="str">
        <f t="array" ref="BO5">IF($F5&lt;&gt;"",XLOOKUP($F5,Productos!$A:$A,Productos!BH:BH,"Revisar"),"")</f>
        <v/>
      </c>
      <c r="BP5" s="179" t="str">
        <f t="array" ref="BP5">IF($F5&lt;&gt;"", XLOOKUP($F5,Productos!$A$2:$A1001,Productos!BI$2:BI1001,"")*$G5,"")</f>
        <v/>
      </c>
      <c r="BQ5" s="179" t="str">
        <f t="array" ref="BQ5">IF($F5&lt;&gt;"",XLOOKUP($F5,Productos!$A:$A,Productos!BJ:BJ,"Revisar"),"")</f>
        <v/>
      </c>
      <c r="BR5" s="179" t="str">
        <f t="array" ref="BR5">IF($F5&lt;&gt;"", XLOOKUP($F5,Productos!$A$2:$A1001,Productos!BK$2:BK1001,"")*$G5,"")</f>
        <v/>
      </c>
      <c r="BS5" s="179" t="str">
        <f t="array" ref="BS5">IF($F5&lt;&gt;"",XLOOKUP($F5,Productos!$A:$A,Productos!BL:BL,"Revisar"),"")</f>
        <v/>
      </c>
      <c r="BT5" s="179" t="str">
        <f t="array" ref="BT5">IF($F5&lt;&gt;"", XLOOKUP($F5,Productos!$A$2:$A1001,Productos!BM$2:BM1001,"")*$G5,"")</f>
        <v/>
      </c>
      <c r="BU5" s="179" t="str">
        <f t="array" ref="BU5">IF($F5&lt;&gt;"",XLOOKUP($F5,Productos!$A:$A,Productos!BN:BN,"Revisar"),"")</f>
        <v/>
      </c>
      <c r="BV5" s="179" t="str">
        <f t="array" ref="BV5">IF($F5&lt;&gt;"", XLOOKUP($F5,Productos!$A$2:$A1001,Productos!BO$2:BO1001,"")*$G5,"")</f>
        <v/>
      </c>
      <c r="BW5" s="179" t="str">
        <f t="array" ref="BW5">IF($F5&lt;&gt;"",XLOOKUP($F5,Productos!$A:$A,Productos!BP:BP,"Revisar"),"")</f>
        <v/>
      </c>
      <c r="BX5" s="179" t="str">
        <f t="array" ref="BX5">IF($F5&lt;&gt;"", XLOOKUP($F5,Productos!$A$2:$A1001,Productos!BQ$2:BQ1001,"")*$G5,"")</f>
        <v/>
      </c>
      <c r="BY5" s="179" t="str">
        <f t="array" ref="BY5">IF($F5&lt;&gt;"",XLOOKUP($F5,Productos!$A:$A,Productos!BR:BR,"Revisar"),"")</f>
        <v/>
      </c>
      <c r="BZ5" s="179" t="str">
        <f t="array" ref="BZ5">IF($F5&lt;&gt;"", XLOOKUP($F5,Productos!$A$2:$A1001,Productos!BS$2:BS1001,"")*$G5,"")</f>
        <v/>
      </c>
    </row>
    <row r="6">
      <c r="A6" s="180"/>
      <c r="B6" s="181"/>
      <c r="C6" s="182"/>
      <c r="D6" s="182"/>
      <c r="E6" s="183"/>
      <c r="F6" s="177"/>
      <c r="G6" s="184"/>
      <c r="H6" s="177"/>
      <c r="I6" s="179" t="str">
        <f t="array" ref="I6">IF($F6&lt;&gt;"",XLOOKUP($F6,Productos!$A:$A,Productos!B:B,"Revisar"),"")</f>
        <v/>
      </c>
      <c r="J6" s="179" t="str">
        <f t="array" ref="J6">IF($F6&lt;&gt;"", XLOOKUP($F6,Productos!$A$2:$A1001,Productos!C$2:C1001,"")*$G6,"")</f>
        <v/>
      </c>
      <c r="K6" s="179" t="str">
        <f t="array" ref="K6">IF($F6&lt;&gt;"",XLOOKUP($F6,Productos!$A:$A,Productos!D:D,"Revisar"),"")</f>
        <v/>
      </c>
      <c r="L6" s="179" t="str">
        <f t="array" ref="L6">IF($F6&lt;&gt;"", XLOOKUP($F6,Productos!$A$2:$A1001,Productos!E$2:E1001,"")*$G6,"")</f>
        <v/>
      </c>
      <c r="M6" s="179" t="str">
        <f t="array" ref="M6">IF($F6&lt;&gt;"",XLOOKUP($F6,Productos!$A:$A,Productos!F:F,"Revisar"),"")</f>
        <v/>
      </c>
      <c r="N6" s="179" t="str">
        <f t="array" ref="N6">IF($F6&lt;&gt;"", XLOOKUP($F6,Productos!$A$2:$A1001,Productos!G$2:G1001,"")*$G6,"")</f>
        <v/>
      </c>
      <c r="O6" s="179" t="str">
        <f t="array" ref="O6">IF($F6&lt;&gt;"",XLOOKUP($F6,Productos!$A:$A,Productos!H:H,"Revisar"),"")</f>
        <v/>
      </c>
      <c r="P6" s="179" t="str">
        <f t="array" ref="P6">IF($F6&lt;&gt;"", XLOOKUP($F6,Productos!$A$2:$A1001,Productos!I$2:I1001,"")*$G6,"")</f>
        <v/>
      </c>
      <c r="Q6" s="179" t="str">
        <f t="array" ref="Q6">IF($F6&lt;&gt;"",XLOOKUP($F6,Productos!$A:$A,Productos!J:J,"Revisar"),"")</f>
        <v/>
      </c>
      <c r="R6" s="179" t="str">
        <f t="array" ref="R6">IF($F6&lt;&gt;"", XLOOKUP($F6,Productos!$A$2:$A1001,Productos!K$2:K1001,"")*$G6,"")</f>
        <v/>
      </c>
      <c r="S6" s="179" t="str">
        <f t="array" ref="S6">IF($F6&lt;&gt;"",XLOOKUP($F6,Productos!$A:$A,Productos!L:L,"Revisar"),"")</f>
        <v/>
      </c>
      <c r="T6" s="179" t="str">
        <f t="array" ref="T6">IF($F6&lt;&gt;"", XLOOKUP($F6,Productos!$A$2:$A1001,Productos!M$2:M1001,"")*$G6,"")</f>
        <v/>
      </c>
      <c r="U6" s="179" t="str">
        <f t="array" ref="U6">IF($F6&lt;&gt;"",XLOOKUP($F6,Productos!$A:$A,Productos!N:N,"Revisar"),"")</f>
        <v/>
      </c>
      <c r="V6" s="179" t="str">
        <f t="array" ref="V6">IF($F6&lt;&gt;"", XLOOKUP($F6,Productos!$A$2:$A1001,Productos!O$2:O1001,"")*$G6,"")</f>
        <v/>
      </c>
      <c r="W6" s="179" t="str">
        <f t="array" ref="W6">IF($F6&lt;&gt;"",XLOOKUP($F6,Productos!$A:$A,Productos!P:P,"Revisar"),"")</f>
        <v/>
      </c>
      <c r="X6" s="179" t="str">
        <f t="array" ref="X6">IF($F6&lt;&gt;"", XLOOKUP($F6,Productos!$A$2:$A1001,Productos!Q$2:Q1001,"")*$G6,"")</f>
        <v/>
      </c>
      <c r="Y6" s="179" t="str">
        <f t="array" ref="Y6">IF($F6&lt;&gt;"",XLOOKUP($F6,Productos!$A:$A,Productos!R:R,"Revisar"),"")</f>
        <v/>
      </c>
      <c r="Z6" s="179" t="str">
        <f t="array" ref="Z6">IF($F6&lt;&gt;"", XLOOKUP($F6,Productos!$A$2:$A1001,Productos!S$2:S1001,"")*$G6,"")</f>
        <v/>
      </c>
      <c r="AA6" s="179" t="str">
        <f t="array" ref="AA6">IF($F6&lt;&gt;"",XLOOKUP($F6,Productos!$A:$A,Productos!T:T,"Revisar"),"")</f>
        <v/>
      </c>
      <c r="AB6" s="179" t="str">
        <f t="array" ref="AB6">IF($F6&lt;&gt;"", XLOOKUP($F6,Productos!$A$2:$A1001,Productos!U$2:U1001,"")*$G6,"")</f>
        <v/>
      </c>
      <c r="AC6" s="179" t="str">
        <f t="array" ref="AC6">IF($F6&lt;&gt;"",XLOOKUP($F6,Productos!$A:$A,Productos!V:V,"Revisar"),"")</f>
        <v/>
      </c>
      <c r="AD6" s="179" t="str">
        <f t="array" ref="AD6">IF($F6&lt;&gt;"", XLOOKUP($F6,Productos!$A$2:$A1001,Productos!W$2:W1001,"")*$G6,"")</f>
        <v/>
      </c>
      <c r="AE6" s="179" t="str">
        <f t="array" ref="AE6">IF($F6&lt;&gt;"",XLOOKUP($F6,Productos!$A:$A,Productos!X:X,"Revisar"),"")</f>
        <v/>
      </c>
      <c r="AF6" s="179" t="str">
        <f t="array" ref="AF6">IF($F6&lt;&gt;"", XLOOKUP($F6,Productos!$A$2:$A1001,Productos!Y$2:Y1001,"")*$G6,"")</f>
        <v/>
      </c>
      <c r="AG6" s="179" t="str">
        <f t="array" ref="AG6">IF($F6&lt;&gt;"",XLOOKUP($F6,Productos!$A:$A,Productos!Z:Z,"Revisar"),"")</f>
        <v/>
      </c>
      <c r="AH6" s="179" t="str">
        <f t="array" ref="AH6">IF($F6&lt;&gt;"", XLOOKUP($F6,Productos!$A$2:$A1001,Productos!AA$2:AA1001,"")*$G6,"")</f>
        <v/>
      </c>
      <c r="AI6" s="179" t="str">
        <f t="array" ref="AI6">IF($F6&lt;&gt;"",XLOOKUP($F6,Productos!$A:$A,Productos!AB:AB,"Revisar"),"")</f>
        <v/>
      </c>
      <c r="AJ6" s="179" t="str">
        <f t="array" ref="AJ6">IF($F6&lt;&gt;"", XLOOKUP($F6,Productos!$A$2:$A1001,Productos!AC$2:AC1001,"")*$G6,"")</f>
        <v/>
      </c>
      <c r="AK6" s="179" t="str">
        <f t="array" ref="AK6">IF($F6&lt;&gt;"",XLOOKUP($F6,Productos!$A:$A,Productos!AD:AD,"Revisar"),"")</f>
        <v/>
      </c>
      <c r="AL6" s="179" t="str">
        <f t="array" ref="AL6">IF($F6&lt;&gt;"", XLOOKUP($F6,Productos!$A$2:$A1001,Productos!AE$2:AE1001,"")*$G6,"")</f>
        <v/>
      </c>
      <c r="AM6" s="179" t="str">
        <f t="array" ref="AM6">IF($F6&lt;&gt;"",XLOOKUP($F6,Productos!$A:$A,Productos!AF:AF,"Revisar"),"")</f>
        <v/>
      </c>
      <c r="AN6" s="179" t="str">
        <f t="array" ref="AN6">IF($F6&lt;&gt;"", XLOOKUP($F6,Productos!$A$2:$A1001,Productos!AG$2:AG1001,"")*$G6,"")</f>
        <v/>
      </c>
      <c r="AO6" s="179" t="str">
        <f t="array" ref="AO6">IF($F6&lt;&gt;"",XLOOKUP($F6,Productos!$A:$A,Productos!AH:AH,"Revisar"),"")</f>
        <v/>
      </c>
      <c r="AP6" s="179" t="str">
        <f t="array" ref="AP6">IF($F6&lt;&gt;"", XLOOKUP($F6,Productos!$A$2:$A1001,Productos!AI$2:AI1001,"")*$G6,"")</f>
        <v/>
      </c>
      <c r="AQ6" s="179" t="str">
        <f t="array" ref="AQ6">IF($F6&lt;&gt;"",XLOOKUP($F6,Productos!$A:$A,Productos!AJ:AJ,"Revisar"),"")</f>
        <v/>
      </c>
      <c r="AR6" s="179" t="str">
        <f t="array" ref="AR6">IF($F6&lt;&gt;"", XLOOKUP($F6,Productos!$A$2:$A1001,Productos!AK$2:AK1001,"")*$G6,"")</f>
        <v/>
      </c>
      <c r="AS6" s="179" t="str">
        <f t="array" ref="AS6">IF($F6&lt;&gt;"",XLOOKUP($F6,Productos!$A:$A,Productos!AL:AL,"Revisar"),"")</f>
        <v/>
      </c>
      <c r="AT6" s="179" t="str">
        <f t="array" ref="AT6">IF($F6&lt;&gt;"", XLOOKUP($F6,Productos!$A$2:$A1001,Productos!AM$2:AM1001,"")*$G6,"")</f>
        <v/>
      </c>
      <c r="AU6" s="179" t="str">
        <f t="array" ref="AU6">IF($F6&lt;&gt;"",XLOOKUP($F6,Productos!$A:$A,Productos!AN:AN,"Revisar"),"")</f>
        <v/>
      </c>
      <c r="AV6" s="179" t="str">
        <f t="array" ref="AV6">IF($F6&lt;&gt;"", XLOOKUP($F6,Productos!$A$2:$A1001,Productos!AO$2:AO1001,"")*$G6,"")</f>
        <v/>
      </c>
      <c r="AW6" s="179" t="str">
        <f t="array" ref="AW6">IF($F6&lt;&gt;"",XLOOKUP($F6,Productos!$A:$A,Productos!AP:AP,"Revisar"),"")</f>
        <v/>
      </c>
      <c r="AX6" s="179" t="str">
        <f t="array" ref="AX6">IF($F6&lt;&gt;"", XLOOKUP($F6,Productos!$A$2:$A1001,Productos!AQ$2:AQ1001,"")*$G6,"")</f>
        <v/>
      </c>
      <c r="AY6" s="179" t="str">
        <f t="array" ref="AY6">IF($F6&lt;&gt;"",XLOOKUP($F6,Productos!$A:$A,Productos!AR:AR,"Revisar"),"")</f>
        <v/>
      </c>
      <c r="AZ6" s="179" t="str">
        <f t="array" ref="AZ6">IF($F6&lt;&gt;"", XLOOKUP($F6,Productos!$A$2:$A1001,Productos!AS$2:AS1001,"")*$G6,"")</f>
        <v/>
      </c>
      <c r="BA6" s="179" t="str">
        <f t="array" ref="BA6">IF($F6&lt;&gt;"",XLOOKUP($F6,Productos!$A:$A,Productos!AT:AT,"Revisar"),"")</f>
        <v/>
      </c>
      <c r="BB6" s="179" t="str">
        <f t="array" ref="BB6">IF($F6&lt;&gt;"", XLOOKUP($F6,Productos!$A$2:$A1001,Productos!AU$2:AU1001,"")*$G6,"")</f>
        <v/>
      </c>
      <c r="BC6" s="179" t="str">
        <f t="array" ref="BC6">IF($F6&lt;&gt;"",XLOOKUP($F6,Productos!$A:$A,Productos!AV:AV,"Revisar"),"")</f>
        <v/>
      </c>
      <c r="BD6" s="179" t="str">
        <f t="array" ref="BD6">IF($F6&lt;&gt;"", XLOOKUP($F6,Productos!$A$2:$A1001,Productos!AW$2:AW1001,"")*$G6,"")</f>
        <v/>
      </c>
      <c r="BE6" s="179" t="str">
        <f t="array" ref="BE6">IF($F6&lt;&gt;"",XLOOKUP($F6,Productos!$A:$A,Productos!AX:AX,"Revisar"),"")</f>
        <v/>
      </c>
      <c r="BF6" s="179" t="str">
        <f t="array" ref="BF6">IF($F6&lt;&gt;"", XLOOKUP($F6,Productos!$A$2:$A1001,Productos!AY$2:AY1001,"")*$G6,"")</f>
        <v/>
      </c>
      <c r="BG6" s="179" t="str">
        <f t="array" ref="BG6">IF($F6&lt;&gt;"",XLOOKUP($F6,Productos!$A:$A,Productos!AZ:AZ,"Revisar"),"")</f>
        <v/>
      </c>
      <c r="BH6" s="179" t="str">
        <f t="array" ref="BH6">IF($F6&lt;&gt;"", XLOOKUP($F6,Productos!$A$2:$A1001,Productos!BA$2:BA1001,"")*$G6,"")</f>
        <v/>
      </c>
      <c r="BI6" s="179" t="str">
        <f t="array" ref="BI6">IF($F6&lt;&gt;"",XLOOKUP($F6,Productos!$A:$A,Productos!BB:BB,"Revisar"),"")</f>
        <v/>
      </c>
      <c r="BJ6" s="179" t="str">
        <f t="array" ref="BJ6">IF($F6&lt;&gt;"", XLOOKUP($F6,Productos!$A$2:$A1001,Productos!BC$2:BC1001,"")*$G6,"")</f>
        <v/>
      </c>
      <c r="BK6" s="179" t="str">
        <f t="array" ref="BK6">IF($F6&lt;&gt;"",XLOOKUP($F6,Productos!$A:$A,Productos!BD:BD,"Revisar"),"")</f>
        <v/>
      </c>
      <c r="BL6" s="179" t="str">
        <f t="array" ref="BL6">IF($F6&lt;&gt;"", XLOOKUP($F6,Productos!$A$2:$A1001,Productos!BE$2:BE1001,"")*$G6,"")</f>
        <v/>
      </c>
      <c r="BM6" s="179" t="str">
        <f t="array" ref="BM6">IF($F6&lt;&gt;"",XLOOKUP($F6,Productos!$A:$A,Productos!BF:BF,"Revisar"),"")</f>
        <v/>
      </c>
      <c r="BN6" s="179" t="str">
        <f t="array" ref="BN6">IF($F6&lt;&gt;"", XLOOKUP($F6,Productos!$A$2:$A1001,Productos!BG$2:BG1001,"")*$G6,"")</f>
        <v/>
      </c>
      <c r="BO6" s="179" t="str">
        <f t="array" ref="BO6">IF($F6&lt;&gt;"",XLOOKUP($F6,Productos!$A:$A,Productos!BH:BH,"Revisar"),"")</f>
        <v/>
      </c>
      <c r="BP6" s="179" t="str">
        <f t="array" ref="BP6">IF($F6&lt;&gt;"", XLOOKUP($F6,Productos!$A$2:$A1001,Productos!BI$2:BI1001,"")*$G6,"")</f>
        <v/>
      </c>
      <c r="BQ6" s="179" t="str">
        <f t="array" ref="BQ6">IF($F6&lt;&gt;"",XLOOKUP($F6,Productos!$A:$A,Productos!BJ:BJ,"Revisar"),"")</f>
        <v/>
      </c>
      <c r="BR6" s="179" t="str">
        <f t="array" ref="BR6">IF($F6&lt;&gt;"", XLOOKUP($F6,Productos!$A$2:$A1001,Productos!BK$2:BK1001,"")*$G6,"")</f>
        <v/>
      </c>
      <c r="BS6" s="179" t="str">
        <f t="array" ref="BS6">IF($F6&lt;&gt;"",XLOOKUP($F6,Productos!$A:$A,Productos!BL:BL,"Revisar"),"")</f>
        <v/>
      </c>
      <c r="BT6" s="179" t="str">
        <f t="array" ref="BT6">IF($F6&lt;&gt;"", XLOOKUP($F6,Productos!$A$2:$A1001,Productos!BM$2:BM1001,"")*$G6,"")</f>
        <v/>
      </c>
      <c r="BU6" s="179" t="str">
        <f t="array" ref="BU6">IF($F6&lt;&gt;"",XLOOKUP($F6,Productos!$A:$A,Productos!BN:BN,"Revisar"),"")</f>
        <v/>
      </c>
      <c r="BV6" s="179" t="str">
        <f t="array" ref="BV6">IF($F6&lt;&gt;"", XLOOKUP($F6,Productos!$A$2:$A1001,Productos!BO$2:BO1001,"")*$G6,"")</f>
        <v/>
      </c>
      <c r="BW6" s="179" t="str">
        <f t="array" ref="BW6">IF($F6&lt;&gt;"",XLOOKUP($F6,Productos!$A:$A,Productos!BP:BP,"Revisar"),"")</f>
        <v/>
      </c>
      <c r="BX6" s="179" t="str">
        <f t="array" ref="BX6">IF($F6&lt;&gt;"", XLOOKUP($F6,Productos!$A$2:$A1001,Productos!BQ$2:BQ1001,"")*$G6,"")</f>
        <v/>
      </c>
      <c r="BY6" s="179" t="str">
        <f t="array" ref="BY6">IF($F6&lt;&gt;"",XLOOKUP($F6,Productos!$A:$A,Productos!BR:BR,"Revisar"),"")</f>
        <v/>
      </c>
      <c r="BZ6" s="179" t="str">
        <f t="array" ref="BZ6">IF($F6&lt;&gt;"", XLOOKUP($F6,Productos!$A$2:$A1001,Productos!BS$2:BS1001,"")*$G6,"")</f>
        <v/>
      </c>
    </row>
    <row r="7">
      <c r="A7" s="180"/>
      <c r="B7" s="181"/>
      <c r="C7" s="182"/>
      <c r="D7" s="182"/>
      <c r="E7" s="183"/>
      <c r="F7" s="177"/>
      <c r="G7" s="184"/>
      <c r="H7" s="177"/>
      <c r="I7" s="179" t="str">
        <f t="array" ref="I7">IF($F7&lt;&gt;"",XLOOKUP($F7,Productos!$A:$A,Productos!B:B,"Revisar"),"")</f>
        <v/>
      </c>
      <c r="J7" s="179" t="str">
        <f t="array" ref="J7">IF($F7&lt;&gt;"", XLOOKUP($F7,Productos!$A$2:$A1001,Productos!C$2:C1001,"")*$G7,"")</f>
        <v/>
      </c>
      <c r="K7" s="179" t="str">
        <f t="array" ref="K7">IF($F7&lt;&gt;"",XLOOKUP($F7,Productos!$A:$A,Productos!D:D,"Revisar"),"")</f>
        <v/>
      </c>
      <c r="L7" s="179" t="str">
        <f t="array" ref="L7">IF($F7&lt;&gt;"", XLOOKUP($F7,Productos!$A$2:$A1001,Productos!E$2:E1001,"")*$G7,"")</f>
        <v/>
      </c>
      <c r="M7" s="179" t="str">
        <f t="array" ref="M7">IF($F7&lt;&gt;"",XLOOKUP($F7,Productos!$A:$A,Productos!F:F,"Revisar"),"")</f>
        <v/>
      </c>
      <c r="N7" s="179" t="str">
        <f t="array" ref="N7">IF($F7&lt;&gt;"", XLOOKUP($F7,Productos!$A$2:$A1001,Productos!G$2:G1001,"")*$G7,"")</f>
        <v/>
      </c>
      <c r="O7" s="179" t="str">
        <f t="array" ref="O7">IF($F7&lt;&gt;"",XLOOKUP($F7,Productos!$A:$A,Productos!H:H,"Revisar"),"")</f>
        <v/>
      </c>
      <c r="P7" s="179" t="str">
        <f t="array" ref="P7">IF($F7&lt;&gt;"", XLOOKUP($F7,Productos!$A$2:$A1001,Productos!I$2:I1001,"")*$G7,"")</f>
        <v/>
      </c>
      <c r="Q7" s="179" t="str">
        <f t="array" ref="Q7">IF($F7&lt;&gt;"",XLOOKUP($F7,Productos!$A:$A,Productos!J:J,"Revisar"),"")</f>
        <v/>
      </c>
      <c r="R7" s="179" t="str">
        <f t="array" ref="R7">IF($F7&lt;&gt;"", XLOOKUP($F7,Productos!$A$2:$A1001,Productos!K$2:K1001,"")*$G7,"")</f>
        <v/>
      </c>
      <c r="S7" s="179" t="str">
        <f t="array" ref="S7">IF($F7&lt;&gt;"",XLOOKUP($F7,Productos!$A:$A,Productos!L:L,"Revisar"),"")</f>
        <v/>
      </c>
      <c r="T7" s="179" t="str">
        <f t="array" ref="T7">IF($F7&lt;&gt;"", XLOOKUP($F7,Productos!$A$2:$A1001,Productos!M$2:M1001,"")*$G7,"")</f>
        <v/>
      </c>
      <c r="U7" s="179" t="str">
        <f t="array" ref="U7">IF($F7&lt;&gt;"",XLOOKUP($F7,Productos!$A:$A,Productos!N:N,"Revisar"),"")</f>
        <v/>
      </c>
      <c r="V7" s="179" t="str">
        <f t="array" ref="V7">IF($F7&lt;&gt;"", XLOOKUP($F7,Productos!$A$2:$A1001,Productos!O$2:O1001,"")*$G7,"")</f>
        <v/>
      </c>
      <c r="W7" s="179" t="str">
        <f t="array" ref="W7">IF($F7&lt;&gt;"",XLOOKUP($F7,Productos!$A:$A,Productos!P:P,"Revisar"),"")</f>
        <v/>
      </c>
      <c r="X7" s="179" t="str">
        <f t="array" ref="X7">IF($F7&lt;&gt;"", XLOOKUP($F7,Productos!$A$2:$A1001,Productos!Q$2:Q1001,"")*$G7,"")</f>
        <v/>
      </c>
      <c r="Y7" s="179" t="str">
        <f t="array" ref="Y7">IF($F7&lt;&gt;"",XLOOKUP($F7,Productos!$A:$A,Productos!R:R,"Revisar"),"")</f>
        <v/>
      </c>
      <c r="Z7" s="179" t="str">
        <f t="array" ref="Z7">IF($F7&lt;&gt;"", XLOOKUP($F7,Productos!$A$2:$A1001,Productos!S$2:S1001,"")*$G7,"")</f>
        <v/>
      </c>
      <c r="AA7" s="179" t="str">
        <f t="array" ref="AA7">IF($F7&lt;&gt;"",XLOOKUP($F7,Productos!$A:$A,Productos!T:T,"Revisar"),"")</f>
        <v/>
      </c>
      <c r="AB7" s="179" t="str">
        <f t="array" ref="AB7">IF($F7&lt;&gt;"", XLOOKUP($F7,Productos!$A$2:$A1001,Productos!U$2:U1001,"")*$G7,"")</f>
        <v/>
      </c>
      <c r="AC7" s="179" t="str">
        <f t="array" ref="AC7">IF($F7&lt;&gt;"",XLOOKUP($F7,Productos!$A:$A,Productos!V:V,"Revisar"),"")</f>
        <v/>
      </c>
      <c r="AD7" s="179" t="str">
        <f t="array" ref="AD7">IF($F7&lt;&gt;"", XLOOKUP($F7,Productos!$A$2:$A1001,Productos!W$2:W1001,"")*$G7,"")</f>
        <v/>
      </c>
      <c r="AE7" s="179" t="str">
        <f t="array" ref="AE7">IF($F7&lt;&gt;"",XLOOKUP($F7,Productos!$A:$A,Productos!X:X,"Revisar"),"")</f>
        <v/>
      </c>
      <c r="AF7" s="179" t="str">
        <f t="array" ref="AF7">IF($F7&lt;&gt;"", XLOOKUP($F7,Productos!$A$2:$A1001,Productos!Y$2:Y1001,"")*$G7,"")</f>
        <v/>
      </c>
      <c r="AG7" s="179" t="str">
        <f t="array" ref="AG7">IF($F7&lt;&gt;"",XLOOKUP($F7,Productos!$A:$A,Productos!Z:Z,"Revisar"),"")</f>
        <v/>
      </c>
      <c r="AH7" s="179" t="str">
        <f t="array" ref="AH7">IF($F7&lt;&gt;"", XLOOKUP($F7,Productos!$A$2:$A1001,Productos!AA$2:AA1001,"")*$G7,"")</f>
        <v/>
      </c>
      <c r="AI7" s="179" t="str">
        <f t="array" ref="AI7">IF($F7&lt;&gt;"",XLOOKUP($F7,Productos!$A:$A,Productos!AB:AB,"Revisar"),"")</f>
        <v/>
      </c>
      <c r="AJ7" s="179" t="str">
        <f t="array" ref="AJ7">IF($F7&lt;&gt;"", XLOOKUP($F7,Productos!$A$2:$A1001,Productos!AC$2:AC1001,"")*$G7,"")</f>
        <v/>
      </c>
      <c r="AK7" s="179" t="str">
        <f t="array" ref="AK7">IF($F7&lt;&gt;"",XLOOKUP($F7,Productos!$A:$A,Productos!AD:AD,"Revisar"),"")</f>
        <v/>
      </c>
      <c r="AL7" s="179" t="str">
        <f t="array" ref="AL7">IF($F7&lt;&gt;"", XLOOKUP($F7,Productos!$A$2:$A1001,Productos!AE$2:AE1001,"")*$G7,"")</f>
        <v/>
      </c>
      <c r="AM7" s="179" t="str">
        <f t="array" ref="AM7">IF($F7&lt;&gt;"",XLOOKUP($F7,Productos!$A:$A,Productos!AF:AF,"Revisar"),"")</f>
        <v/>
      </c>
      <c r="AN7" s="179" t="str">
        <f t="array" ref="AN7">IF($F7&lt;&gt;"", XLOOKUP($F7,Productos!$A$2:$A1001,Productos!AG$2:AG1001,"")*$G7,"")</f>
        <v/>
      </c>
      <c r="AO7" s="179" t="str">
        <f t="array" ref="AO7">IF($F7&lt;&gt;"",XLOOKUP($F7,Productos!$A:$A,Productos!AH:AH,"Revisar"),"")</f>
        <v/>
      </c>
      <c r="AP7" s="179" t="str">
        <f t="array" ref="AP7">IF($F7&lt;&gt;"", XLOOKUP($F7,Productos!$A$2:$A1001,Productos!AI$2:AI1001,"")*$G7,"")</f>
        <v/>
      </c>
      <c r="AQ7" s="179" t="str">
        <f t="array" ref="AQ7">IF($F7&lt;&gt;"",XLOOKUP($F7,Productos!$A:$A,Productos!AJ:AJ,"Revisar"),"")</f>
        <v/>
      </c>
      <c r="AR7" s="179" t="str">
        <f t="array" ref="AR7">IF($F7&lt;&gt;"", XLOOKUP($F7,Productos!$A$2:$A1001,Productos!AK$2:AK1001,"")*$G7,"")</f>
        <v/>
      </c>
      <c r="AS7" s="179" t="str">
        <f t="array" ref="AS7">IF($F7&lt;&gt;"",XLOOKUP($F7,Productos!$A:$A,Productos!AL:AL,"Revisar"),"")</f>
        <v/>
      </c>
      <c r="AT7" s="179" t="str">
        <f t="array" ref="AT7">IF($F7&lt;&gt;"", XLOOKUP($F7,Productos!$A$2:$A1001,Productos!AM$2:AM1001,"")*$G7,"")</f>
        <v/>
      </c>
      <c r="AU7" s="179" t="str">
        <f t="array" ref="AU7">IF($F7&lt;&gt;"",XLOOKUP($F7,Productos!$A:$A,Productos!AN:AN,"Revisar"),"")</f>
        <v/>
      </c>
      <c r="AV7" s="179" t="str">
        <f t="array" ref="AV7">IF($F7&lt;&gt;"", XLOOKUP($F7,Productos!$A$2:$A1001,Productos!AO$2:AO1001,"")*$G7,"")</f>
        <v/>
      </c>
      <c r="AW7" s="179" t="str">
        <f t="array" ref="AW7">IF($F7&lt;&gt;"",XLOOKUP($F7,Productos!$A:$A,Productos!AP:AP,"Revisar"),"")</f>
        <v/>
      </c>
      <c r="AX7" s="179" t="str">
        <f t="array" ref="AX7">IF($F7&lt;&gt;"", XLOOKUP($F7,Productos!$A$2:$A1001,Productos!AQ$2:AQ1001,"")*$G7,"")</f>
        <v/>
      </c>
      <c r="AY7" s="179" t="str">
        <f t="array" ref="AY7">IF($F7&lt;&gt;"",XLOOKUP($F7,Productos!$A:$A,Productos!AR:AR,"Revisar"),"")</f>
        <v/>
      </c>
      <c r="AZ7" s="179" t="str">
        <f t="array" ref="AZ7">IF($F7&lt;&gt;"", XLOOKUP($F7,Productos!$A$2:$A1001,Productos!AS$2:AS1001,"")*$G7,"")</f>
        <v/>
      </c>
      <c r="BA7" s="179" t="str">
        <f t="array" ref="BA7">IF($F7&lt;&gt;"",XLOOKUP($F7,Productos!$A:$A,Productos!AT:AT,"Revisar"),"")</f>
        <v/>
      </c>
      <c r="BB7" s="179" t="str">
        <f t="array" ref="BB7">IF($F7&lt;&gt;"", XLOOKUP($F7,Productos!$A$2:$A1001,Productos!AU$2:AU1001,"")*$G7,"")</f>
        <v/>
      </c>
      <c r="BC7" s="179" t="str">
        <f t="array" ref="BC7">IF($F7&lt;&gt;"",XLOOKUP($F7,Productos!$A:$A,Productos!AV:AV,"Revisar"),"")</f>
        <v/>
      </c>
      <c r="BD7" s="179" t="str">
        <f t="array" ref="BD7">IF($F7&lt;&gt;"", XLOOKUP($F7,Productos!$A$2:$A1001,Productos!AW$2:AW1001,"")*$G7,"")</f>
        <v/>
      </c>
      <c r="BE7" s="179" t="str">
        <f t="array" ref="BE7">IF($F7&lt;&gt;"",XLOOKUP($F7,Productos!$A:$A,Productos!AX:AX,"Revisar"),"")</f>
        <v/>
      </c>
      <c r="BF7" s="179" t="str">
        <f t="array" ref="BF7">IF($F7&lt;&gt;"", XLOOKUP($F7,Productos!$A$2:$A1001,Productos!AY$2:AY1001,"")*$G7,"")</f>
        <v/>
      </c>
      <c r="BG7" s="179" t="str">
        <f t="array" ref="BG7">IF($F7&lt;&gt;"",XLOOKUP($F7,Productos!$A:$A,Productos!AZ:AZ,"Revisar"),"")</f>
        <v/>
      </c>
      <c r="BH7" s="179" t="str">
        <f t="array" ref="BH7">IF($F7&lt;&gt;"", XLOOKUP($F7,Productos!$A$2:$A1001,Productos!BA$2:BA1001,"")*$G7,"")</f>
        <v/>
      </c>
      <c r="BI7" s="179" t="str">
        <f t="array" ref="BI7">IF($F7&lt;&gt;"",XLOOKUP($F7,Productos!$A:$A,Productos!BB:BB,"Revisar"),"")</f>
        <v/>
      </c>
      <c r="BJ7" s="179" t="str">
        <f t="array" ref="BJ7">IF($F7&lt;&gt;"", XLOOKUP($F7,Productos!$A$2:$A1001,Productos!BC$2:BC1001,"")*$G7,"")</f>
        <v/>
      </c>
      <c r="BK7" s="179" t="str">
        <f t="array" ref="BK7">IF($F7&lt;&gt;"",XLOOKUP($F7,Productos!$A:$A,Productos!BD:BD,"Revisar"),"")</f>
        <v/>
      </c>
      <c r="BL7" s="179" t="str">
        <f t="array" ref="BL7">IF($F7&lt;&gt;"", XLOOKUP($F7,Productos!$A$2:$A1001,Productos!BE$2:BE1001,"")*$G7,"")</f>
        <v/>
      </c>
      <c r="BM7" s="179" t="str">
        <f t="array" ref="BM7">IF($F7&lt;&gt;"",XLOOKUP($F7,Productos!$A:$A,Productos!BF:BF,"Revisar"),"")</f>
        <v/>
      </c>
      <c r="BN7" s="179" t="str">
        <f t="array" ref="BN7">IF($F7&lt;&gt;"", XLOOKUP($F7,Productos!$A$2:$A1001,Productos!BG$2:BG1001,"")*$G7,"")</f>
        <v/>
      </c>
      <c r="BO7" s="179" t="str">
        <f t="array" ref="BO7">IF($F7&lt;&gt;"",XLOOKUP($F7,Productos!$A:$A,Productos!BH:BH,"Revisar"),"")</f>
        <v/>
      </c>
      <c r="BP7" s="179" t="str">
        <f t="array" ref="BP7">IF($F7&lt;&gt;"", XLOOKUP($F7,Productos!$A$2:$A1001,Productos!BI$2:BI1001,"")*$G7,"")</f>
        <v/>
      </c>
      <c r="BQ7" s="179" t="str">
        <f t="array" ref="BQ7">IF($F7&lt;&gt;"",XLOOKUP($F7,Productos!$A:$A,Productos!BJ:BJ,"Revisar"),"")</f>
        <v/>
      </c>
      <c r="BR7" s="179" t="str">
        <f t="array" ref="BR7">IF($F7&lt;&gt;"", XLOOKUP($F7,Productos!$A$2:$A1001,Productos!BK$2:BK1001,"")*$G7,"")</f>
        <v/>
      </c>
      <c r="BS7" s="179" t="str">
        <f t="array" ref="BS7">IF($F7&lt;&gt;"",XLOOKUP($F7,Productos!$A:$A,Productos!BL:BL,"Revisar"),"")</f>
        <v/>
      </c>
      <c r="BT7" s="179" t="str">
        <f t="array" ref="BT7">IF($F7&lt;&gt;"", XLOOKUP($F7,Productos!$A$2:$A1001,Productos!BM$2:BM1001,"")*$G7,"")</f>
        <v/>
      </c>
      <c r="BU7" s="179" t="str">
        <f t="array" ref="BU7">IF($F7&lt;&gt;"",XLOOKUP($F7,Productos!$A:$A,Productos!BN:BN,"Revisar"),"")</f>
        <v/>
      </c>
      <c r="BV7" s="179" t="str">
        <f t="array" ref="BV7">IF($F7&lt;&gt;"", XLOOKUP($F7,Productos!$A$2:$A1001,Productos!BO$2:BO1001,"")*$G7,"")</f>
        <v/>
      </c>
      <c r="BW7" s="179" t="str">
        <f t="array" ref="BW7">IF($F7&lt;&gt;"",XLOOKUP($F7,Productos!$A:$A,Productos!BP:BP,"Revisar"),"")</f>
        <v/>
      </c>
      <c r="BX7" s="179" t="str">
        <f t="array" ref="BX7">IF($F7&lt;&gt;"", XLOOKUP($F7,Productos!$A$2:$A1001,Productos!BQ$2:BQ1001,"")*$G7,"")</f>
        <v/>
      </c>
      <c r="BY7" s="179" t="str">
        <f t="array" ref="BY7">IF($F7&lt;&gt;"",XLOOKUP($F7,Productos!$A:$A,Productos!BR:BR,"Revisar"),"")</f>
        <v/>
      </c>
      <c r="BZ7" s="179" t="str">
        <f t="array" ref="BZ7">IF($F7&lt;&gt;"", XLOOKUP($F7,Productos!$A$2:$A1001,Productos!BS$2:BS1001,"")*$G7,"")</f>
        <v/>
      </c>
    </row>
    <row r="8">
      <c r="A8" s="180"/>
      <c r="B8" s="181"/>
      <c r="C8" s="182"/>
      <c r="D8" s="182"/>
      <c r="E8" s="183"/>
      <c r="F8" s="177"/>
      <c r="G8" s="184"/>
      <c r="H8" s="177"/>
      <c r="I8" s="179" t="str">
        <f t="array" ref="I8">IF($F8&lt;&gt;"",XLOOKUP($F8,Productos!$A:$A,Productos!B:B,"Revisar"),"")</f>
        <v/>
      </c>
      <c r="J8" s="179" t="str">
        <f t="array" ref="J8">IF($F8&lt;&gt;"", XLOOKUP($F8,Productos!$A$2:$A1001,Productos!C$2:C1001,"")*$G8,"")</f>
        <v/>
      </c>
      <c r="K8" s="179" t="str">
        <f t="array" ref="K8">IF($F8&lt;&gt;"",XLOOKUP($F8,Productos!$A:$A,Productos!D:D,"Revisar"),"")</f>
        <v/>
      </c>
      <c r="L8" s="179" t="str">
        <f t="array" ref="L8">IF($F8&lt;&gt;"", XLOOKUP($F8,Productos!$A$2:$A1001,Productos!E$2:E1001,"")*$G8,"")</f>
        <v/>
      </c>
      <c r="M8" s="179" t="str">
        <f t="array" ref="M8">IF($F8&lt;&gt;"",XLOOKUP($F8,Productos!$A:$A,Productos!F:F,"Revisar"),"")</f>
        <v/>
      </c>
      <c r="N8" s="179" t="str">
        <f t="array" ref="N8">IF($F8&lt;&gt;"", XLOOKUP($F8,Productos!$A$2:$A1001,Productos!G$2:G1001,"")*$G8,"")</f>
        <v/>
      </c>
      <c r="O8" s="179" t="str">
        <f t="array" ref="O8">IF($F8&lt;&gt;"",XLOOKUP($F8,Productos!$A:$A,Productos!H:H,"Revisar"),"")</f>
        <v/>
      </c>
      <c r="P8" s="179" t="str">
        <f t="array" ref="P8">IF($F8&lt;&gt;"", XLOOKUP($F8,Productos!$A$2:$A1001,Productos!I$2:I1001,"")*$G8,"")</f>
        <v/>
      </c>
      <c r="Q8" s="179" t="str">
        <f t="array" ref="Q8">IF($F8&lt;&gt;"",XLOOKUP($F8,Productos!$A:$A,Productos!J:J,"Revisar"),"")</f>
        <v/>
      </c>
      <c r="R8" s="179" t="str">
        <f t="array" ref="R8">IF($F8&lt;&gt;"", XLOOKUP($F8,Productos!$A$2:$A1001,Productos!K$2:K1001,"")*$G8,"")</f>
        <v/>
      </c>
      <c r="S8" s="179" t="str">
        <f t="array" ref="S8">IF($F8&lt;&gt;"",XLOOKUP($F8,Productos!$A:$A,Productos!L:L,"Revisar"),"")</f>
        <v/>
      </c>
      <c r="T8" s="179" t="str">
        <f t="array" ref="T8">IF($F8&lt;&gt;"", XLOOKUP($F8,Productos!$A$2:$A1001,Productos!M$2:M1001,"")*$G8,"")</f>
        <v/>
      </c>
      <c r="U8" s="179" t="str">
        <f t="array" ref="U8">IF($F8&lt;&gt;"",XLOOKUP($F8,Productos!$A:$A,Productos!N:N,"Revisar"),"")</f>
        <v/>
      </c>
      <c r="V8" s="179" t="str">
        <f t="array" ref="V8">IF($F8&lt;&gt;"", XLOOKUP($F8,Productos!$A$2:$A1001,Productos!O$2:O1001,"")*$G8,"")</f>
        <v/>
      </c>
      <c r="W8" s="179" t="str">
        <f t="array" ref="W8">IF($F8&lt;&gt;"",XLOOKUP($F8,Productos!$A:$A,Productos!P:P,"Revisar"),"")</f>
        <v/>
      </c>
      <c r="X8" s="179" t="str">
        <f t="array" ref="X8">IF($F8&lt;&gt;"", XLOOKUP($F8,Productos!$A$2:$A1001,Productos!Q$2:Q1001,"")*$G8,"")</f>
        <v/>
      </c>
      <c r="Y8" s="179" t="str">
        <f t="array" ref="Y8">IF($F8&lt;&gt;"",XLOOKUP($F8,Productos!$A:$A,Productos!R:R,"Revisar"),"")</f>
        <v/>
      </c>
      <c r="Z8" s="179" t="str">
        <f t="array" ref="Z8">IF($F8&lt;&gt;"", XLOOKUP($F8,Productos!$A$2:$A1001,Productos!S$2:S1001,"")*$G8,"")</f>
        <v/>
      </c>
      <c r="AA8" s="179" t="str">
        <f t="array" ref="AA8">IF($F8&lt;&gt;"",XLOOKUP($F8,Productos!$A:$A,Productos!T:T,"Revisar"),"")</f>
        <v/>
      </c>
      <c r="AB8" s="179" t="str">
        <f t="array" ref="AB8">IF($F8&lt;&gt;"", XLOOKUP($F8,Productos!$A$2:$A1001,Productos!U$2:U1001,"")*$G8,"")</f>
        <v/>
      </c>
      <c r="AC8" s="179" t="str">
        <f t="array" ref="AC8">IF($F8&lt;&gt;"",XLOOKUP($F8,Productos!$A:$A,Productos!V:V,"Revisar"),"")</f>
        <v/>
      </c>
      <c r="AD8" s="179" t="str">
        <f t="array" ref="AD8">IF($F8&lt;&gt;"", XLOOKUP($F8,Productos!$A$2:$A1001,Productos!W$2:W1001,"")*$G8,"")</f>
        <v/>
      </c>
      <c r="AE8" s="179" t="str">
        <f t="array" ref="AE8">IF($F8&lt;&gt;"",XLOOKUP($F8,Productos!$A:$A,Productos!X:X,"Revisar"),"")</f>
        <v/>
      </c>
      <c r="AF8" s="179" t="str">
        <f t="array" ref="AF8">IF($F8&lt;&gt;"", XLOOKUP($F8,Productos!$A$2:$A1001,Productos!Y$2:Y1001,"")*$G8,"")</f>
        <v/>
      </c>
      <c r="AG8" s="179" t="str">
        <f t="array" ref="AG8">IF($F8&lt;&gt;"",XLOOKUP($F8,Productos!$A:$A,Productos!Z:Z,"Revisar"),"")</f>
        <v/>
      </c>
      <c r="AH8" s="179" t="str">
        <f t="array" ref="AH8">IF($F8&lt;&gt;"", XLOOKUP($F8,Productos!$A$2:$A1001,Productos!AA$2:AA1001,"")*$G8,"")</f>
        <v/>
      </c>
      <c r="AI8" s="179" t="str">
        <f t="array" ref="AI8">IF($F8&lt;&gt;"",XLOOKUP($F8,Productos!$A:$A,Productos!AB:AB,"Revisar"),"")</f>
        <v/>
      </c>
      <c r="AJ8" s="179" t="str">
        <f t="array" ref="AJ8">IF($F8&lt;&gt;"", XLOOKUP($F8,Productos!$A$2:$A1001,Productos!AC$2:AC1001,"")*$G8,"")</f>
        <v/>
      </c>
      <c r="AK8" s="179" t="str">
        <f t="array" ref="AK8">IF($F8&lt;&gt;"",XLOOKUP($F8,Productos!$A:$A,Productos!AD:AD,"Revisar"),"")</f>
        <v/>
      </c>
      <c r="AL8" s="179" t="str">
        <f t="array" ref="AL8">IF($F8&lt;&gt;"", XLOOKUP($F8,Productos!$A$2:$A1001,Productos!AE$2:AE1001,"")*$G8,"")</f>
        <v/>
      </c>
      <c r="AM8" s="179" t="str">
        <f t="array" ref="AM8">IF($F8&lt;&gt;"",XLOOKUP($F8,Productos!$A:$A,Productos!AF:AF,"Revisar"),"")</f>
        <v/>
      </c>
      <c r="AN8" s="179" t="str">
        <f t="array" ref="AN8">IF($F8&lt;&gt;"", XLOOKUP($F8,Productos!$A$2:$A1001,Productos!AG$2:AG1001,"")*$G8,"")</f>
        <v/>
      </c>
      <c r="AO8" s="179" t="str">
        <f t="array" ref="AO8">IF($F8&lt;&gt;"",XLOOKUP($F8,Productos!$A:$A,Productos!AH:AH,"Revisar"),"")</f>
        <v/>
      </c>
      <c r="AP8" s="179" t="str">
        <f t="array" ref="AP8">IF($F8&lt;&gt;"", XLOOKUP($F8,Productos!$A$2:$A1001,Productos!AI$2:AI1001,"")*$G8,"")</f>
        <v/>
      </c>
      <c r="AQ8" s="179" t="str">
        <f t="array" ref="AQ8">IF($F8&lt;&gt;"",XLOOKUP($F8,Productos!$A:$A,Productos!AJ:AJ,"Revisar"),"")</f>
        <v/>
      </c>
      <c r="AR8" s="179" t="str">
        <f t="array" ref="AR8">IF($F8&lt;&gt;"", XLOOKUP($F8,Productos!$A$2:$A1001,Productos!AK$2:AK1001,"")*$G8,"")</f>
        <v/>
      </c>
      <c r="AS8" s="179" t="str">
        <f t="array" ref="AS8">IF($F8&lt;&gt;"",XLOOKUP($F8,Productos!$A:$A,Productos!AL:AL,"Revisar"),"")</f>
        <v/>
      </c>
      <c r="AT8" s="179" t="str">
        <f t="array" ref="AT8">IF($F8&lt;&gt;"", XLOOKUP($F8,Productos!$A$2:$A1001,Productos!AM$2:AM1001,"")*$G8,"")</f>
        <v/>
      </c>
      <c r="AU8" s="179" t="str">
        <f t="array" ref="AU8">IF($F8&lt;&gt;"",XLOOKUP($F8,Productos!$A:$A,Productos!AN:AN,"Revisar"),"")</f>
        <v/>
      </c>
      <c r="AV8" s="179" t="str">
        <f t="array" ref="AV8">IF($F8&lt;&gt;"", XLOOKUP($F8,Productos!$A$2:$A1001,Productos!AO$2:AO1001,"")*$G8,"")</f>
        <v/>
      </c>
      <c r="AW8" s="179" t="str">
        <f t="array" ref="AW8">IF($F8&lt;&gt;"",XLOOKUP($F8,Productos!$A:$A,Productos!AP:AP,"Revisar"),"")</f>
        <v/>
      </c>
      <c r="AX8" s="179" t="str">
        <f t="array" ref="AX8">IF($F8&lt;&gt;"", XLOOKUP($F8,Productos!$A$2:$A1001,Productos!AQ$2:AQ1001,"")*$G8,"")</f>
        <v/>
      </c>
      <c r="AY8" s="179" t="str">
        <f t="array" ref="AY8">IF($F8&lt;&gt;"",XLOOKUP($F8,Productos!$A:$A,Productos!AR:AR,"Revisar"),"")</f>
        <v/>
      </c>
      <c r="AZ8" s="179" t="str">
        <f t="array" ref="AZ8">IF($F8&lt;&gt;"", XLOOKUP($F8,Productos!$A$2:$A1001,Productos!AS$2:AS1001,"")*$G8,"")</f>
        <v/>
      </c>
      <c r="BA8" s="179" t="str">
        <f t="array" ref="BA8">IF($F8&lt;&gt;"",XLOOKUP($F8,Productos!$A:$A,Productos!AT:AT,"Revisar"),"")</f>
        <v/>
      </c>
      <c r="BB8" s="179" t="str">
        <f t="array" ref="BB8">IF($F8&lt;&gt;"", XLOOKUP($F8,Productos!$A$2:$A1001,Productos!AU$2:AU1001,"")*$G8,"")</f>
        <v/>
      </c>
      <c r="BC8" s="179" t="str">
        <f t="array" ref="BC8">IF($F8&lt;&gt;"",XLOOKUP($F8,Productos!$A:$A,Productos!AV:AV,"Revisar"),"")</f>
        <v/>
      </c>
      <c r="BD8" s="179" t="str">
        <f t="array" ref="BD8">IF($F8&lt;&gt;"", XLOOKUP($F8,Productos!$A$2:$A1001,Productos!AW$2:AW1001,"")*$G8,"")</f>
        <v/>
      </c>
      <c r="BE8" s="179" t="str">
        <f t="array" ref="BE8">IF($F8&lt;&gt;"",XLOOKUP($F8,Productos!$A:$A,Productos!AX:AX,"Revisar"),"")</f>
        <v/>
      </c>
      <c r="BF8" s="179" t="str">
        <f t="array" ref="BF8">IF($F8&lt;&gt;"", XLOOKUP($F8,Productos!$A$2:$A1001,Productos!AY$2:AY1001,"")*$G8,"")</f>
        <v/>
      </c>
      <c r="BG8" s="179" t="str">
        <f t="array" ref="BG8">IF($F8&lt;&gt;"",XLOOKUP($F8,Productos!$A:$A,Productos!AZ:AZ,"Revisar"),"")</f>
        <v/>
      </c>
      <c r="BH8" s="179" t="str">
        <f t="array" ref="BH8">IF($F8&lt;&gt;"", XLOOKUP($F8,Productos!$A$2:$A1001,Productos!BA$2:BA1001,"")*$G8,"")</f>
        <v/>
      </c>
      <c r="BI8" s="179" t="str">
        <f t="array" ref="BI8">IF($F8&lt;&gt;"",XLOOKUP($F8,Productos!$A:$A,Productos!BB:BB,"Revisar"),"")</f>
        <v/>
      </c>
      <c r="BJ8" s="179" t="str">
        <f t="array" ref="BJ8">IF($F8&lt;&gt;"", XLOOKUP($F8,Productos!$A$2:$A1001,Productos!BC$2:BC1001,"")*$G8,"")</f>
        <v/>
      </c>
      <c r="BK8" s="179" t="str">
        <f t="array" ref="BK8">IF($F8&lt;&gt;"",XLOOKUP($F8,Productos!$A:$A,Productos!BD:BD,"Revisar"),"")</f>
        <v/>
      </c>
      <c r="BL8" s="179" t="str">
        <f t="array" ref="BL8">IF($F8&lt;&gt;"", XLOOKUP($F8,Productos!$A$2:$A1001,Productos!BE$2:BE1001,"")*$G8,"")</f>
        <v/>
      </c>
      <c r="BM8" s="179" t="str">
        <f t="array" ref="BM8">IF($F8&lt;&gt;"",XLOOKUP($F8,Productos!$A:$A,Productos!BF:BF,"Revisar"),"")</f>
        <v/>
      </c>
      <c r="BN8" s="179" t="str">
        <f t="array" ref="BN8">IF($F8&lt;&gt;"", XLOOKUP($F8,Productos!$A$2:$A1001,Productos!BG$2:BG1001,"")*$G8,"")</f>
        <v/>
      </c>
      <c r="BO8" s="179" t="str">
        <f t="array" ref="BO8">IF($F8&lt;&gt;"",XLOOKUP($F8,Productos!$A:$A,Productos!BH:BH,"Revisar"),"")</f>
        <v/>
      </c>
      <c r="BP8" s="179" t="str">
        <f t="array" ref="BP8">IF($F8&lt;&gt;"", XLOOKUP($F8,Productos!$A$2:$A1001,Productos!BI$2:BI1001,"")*$G8,"")</f>
        <v/>
      </c>
      <c r="BQ8" s="179" t="str">
        <f t="array" ref="BQ8">IF($F8&lt;&gt;"",XLOOKUP($F8,Productos!$A:$A,Productos!BJ:BJ,"Revisar"),"")</f>
        <v/>
      </c>
      <c r="BR8" s="179" t="str">
        <f t="array" ref="BR8">IF($F8&lt;&gt;"", XLOOKUP($F8,Productos!$A$2:$A1001,Productos!BK$2:BK1001,"")*$G8,"")</f>
        <v/>
      </c>
      <c r="BS8" s="179" t="str">
        <f t="array" ref="BS8">IF($F8&lt;&gt;"",XLOOKUP($F8,Productos!$A:$A,Productos!BL:BL,"Revisar"),"")</f>
        <v/>
      </c>
      <c r="BT8" s="179" t="str">
        <f t="array" ref="BT8">IF($F8&lt;&gt;"", XLOOKUP($F8,Productos!$A$2:$A1001,Productos!BM$2:BM1001,"")*$G8,"")</f>
        <v/>
      </c>
      <c r="BU8" s="179" t="str">
        <f t="array" ref="BU8">IF($F8&lt;&gt;"",XLOOKUP($F8,Productos!$A:$A,Productos!BN:BN,"Revisar"),"")</f>
        <v/>
      </c>
      <c r="BV8" s="179" t="str">
        <f t="array" ref="BV8">IF($F8&lt;&gt;"", XLOOKUP($F8,Productos!$A$2:$A1001,Productos!BO$2:BO1001,"")*$G8,"")</f>
        <v/>
      </c>
      <c r="BW8" s="179" t="str">
        <f t="array" ref="BW8">IF($F8&lt;&gt;"",XLOOKUP($F8,Productos!$A:$A,Productos!BP:BP,"Revisar"),"")</f>
        <v/>
      </c>
      <c r="BX8" s="179" t="str">
        <f t="array" ref="BX8">IF($F8&lt;&gt;"", XLOOKUP($F8,Productos!$A$2:$A1001,Productos!BQ$2:BQ1001,"")*$G8,"")</f>
        <v/>
      </c>
      <c r="BY8" s="179" t="str">
        <f t="array" ref="BY8">IF($F8&lt;&gt;"",XLOOKUP($F8,Productos!$A:$A,Productos!BR:BR,"Revisar"),"")</f>
        <v/>
      </c>
      <c r="BZ8" s="179" t="str">
        <f t="array" ref="BZ8">IF($F8&lt;&gt;"", XLOOKUP($F8,Productos!$A$2:$A1001,Productos!BS$2:BS1001,"")*$G8,"")</f>
        <v/>
      </c>
    </row>
    <row r="9">
      <c r="A9" s="180"/>
      <c r="B9" s="181"/>
      <c r="C9" s="182"/>
      <c r="D9" s="182"/>
      <c r="E9" s="183"/>
      <c r="F9" s="177"/>
      <c r="G9" s="184"/>
      <c r="H9" s="177"/>
      <c r="I9" s="179" t="str">
        <f t="array" ref="I9">IF($F9&lt;&gt;"",XLOOKUP($F9,Productos!$A:$A,Productos!B:B,"Revisar"),"")</f>
        <v/>
      </c>
      <c r="J9" s="179" t="str">
        <f t="array" ref="J9">IF($F9&lt;&gt;"", XLOOKUP($F9,Productos!$A$2:$A1001,Productos!C$2:C1001,"")*$G9,"")</f>
        <v/>
      </c>
      <c r="K9" s="179" t="str">
        <f t="array" ref="K9">IF($F9&lt;&gt;"",XLOOKUP($F9,Productos!$A:$A,Productos!D:D,"Revisar"),"")</f>
        <v/>
      </c>
      <c r="L9" s="179" t="str">
        <f t="array" ref="L9">IF($F9&lt;&gt;"", XLOOKUP($F9,Productos!$A$2:$A1001,Productos!E$2:E1001,"")*$G9,"")</f>
        <v/>
      </c>
      <c r="M9" s="179" t="str">
        <f t="array" ref="M9">IF($F9&lt;&gt;"",XLOOKUP($F9,Productos!$A:$A,Productos!F:F,"Revisar"),"")</f>
        <v/>
      </c>
      <c r="N9" s="179" t="str">
        <f t="array" ref="N9">IF($F9&lt;&gt;"", XLOOKUP($F9,Productos!$A$2:$A1001,Productos!G$2:G1001,"")*$G9,"")</f>
        <v/>
      </c>
      <c r="O9" s="179" t="str">
        <f t="array" ref="O9">IF($F9&lt;&gt;"",XLOOKUP($F9,Productos!$A:$A,Productos!H:H,"Revisar"),"")</f>
        <v/>
      </c>
      <c r="P9" s="179" t="str">
        <f t="array" ref="P9">IF($F9&lt;&gt;"", XLOOKUP($F9,Productos!$A$2:$A1001,Productos!I$2:I1001,"")*$G9,"")</f>
        <v/>
      </c>
      <c r="Q9" s="179" t="str">
        <f t="array" ref="Q9">IF($F9&lt;&gt;"",XLOOKUP($F9,Productos!$A:$A,Productos!J:J,"Revisar"),"")</f>
        <v/>
      </c>
      <c r="R9" s="179" t="str">
        <f t="array" ref="R9">IF($F9&lt;&gt;"", XLOOKUP($F9,Productos!$A$2:$A1001,Productos!K$2:K1001,"")*$G9,"")</f>
        <v/>
      </c>
      <c r="S9" s="179" t="str">
        <f t="array" ref="S9">IF($F9&lt;&gt;"",XLOOKUP($F9,Productos!$A:$A,Productos!L:L,"Revisar"),"")</f>
        <v/>
      </c>
      <c r="T9" s="179" t="str">
        <f t="array" ref="T9">IF($F9&lt;&gt;"", XLOOKUP($F9,Productos!$A$2:$A1001,Productos!M$2:M1001,"")*$G9,"")</f>
        <v/>
      </c>
      <c r="U9" s="179" t="str">
        <f t="array" ref="U9">IF($F9&lt;&gt;"",XLOOKUP($F9,Productos!$A:$A,Productos!N:N,"Revisar"),"")</f>
        <v/>
      </c>
      <c r="V9" s="179" t="str">
        <f t="array" ref="V9">IF($F9&lt;&gt;"", XLOOKUP($F9,Productos!$A$2:$A1001,Productos!O$2:O1001,"")*$G9,"")</f>
        <v/>
      </c>
      <c r="W9" s="179" t="str">
        <f t="array" ref="W9">IF($F9&lt;&gt;"",XLOOKUP($F9,Productos!$A:$A,Productos!P:P,"Revisar"),"")</f>
        <v/>
      </c>
      <c r="X9" s="179" t="str">
        <f t="array" ref="X9">IF($F9&lt;&gt;"", XLOOKUP($F9,Productos!$A$2:$A1001,Productos!Q$2:Q1001,"")*$G9,"")</f>
        <v/>
      </c>
      <c r="Y9" s="179" t="str">
        <f t="array" ref="Y9">IF($F9&lt;&gt;"",XLOOKUP($F9,Productos!$A:$A,Productos!R:R,"Revisar"),"")</f>
        <v/>
      </c>
      <c r="Z9" s="179" t="str">
        <f t="array" ref="Z9">IF($F9&lt;&gt;"", XLOOKUP($F9,Productos!$A$2:$A1001,Productos!S$2:S1001,"")*$G9,"")</f>
        <v/>
      </c>
      <c r="AA9" s="179" t="str">
        <f t="array" ref="AA9">IF($F9&lt;&gt;"",XLOOKUP($F9,Productos!$A:$A,Productos!T:T,"Revisar"),"")</f>
        <v/>
      </c>
      <c r="AB9" s="179" t="str">
        <f t="array" ref="AB9">IF($F9&lt;&gt;"", XLOOKUP($F9,Productos!$A$2:$A1001,Productos!U$2:U1001,"")*$G9,"")</f>
        <v/>
      </c>
      <c r="AC9" s="179" t="str">
        <f t="array" ref="AC9">IF($F9&lt;&gt;"",XLOOKUP($F9,Productos!$A:$A,Productos!V:V,"Revisar"),"")</f>
        <v/>
      </c>
      <c r="AD9" s="179" t="str">
        <f t="array" ref="AD9">IF($F9&lt;&gt;"", XLOOKUP($F9,Productos!$A$2:$A1001,Productos!W$2:W1001,"")*$G9,"")</f>
        <v/>
      </c>
      <c r="AE9" s="179" t="str">
        <f t="array" ref="AE9">IF($F9&lt;&gt;"",XLOOKUP($F9,Productos!$A:$A,Productos!X:X,"Revisar"),"")</f>
        <v/>
      </c>
      <c r="AF9" s="179" t="str">
        <f t="array" ref="AF9">IF($F9&lt;&gt;"", XLOOKUP($F9,Productos!$A$2:$A1001,Productos!Y$2:Y1001,"")*$G9,"")</f>
        <v/>
      </c>
      <c r="AG9" s="179" t="str">
        <f t="array" ref="AG9">IF($F9&lt;&gt;"",XLOOKUP($F9,Productos!$A:$A,Productos!Z:Z,"Revisar"),"")</f>
        <v/>
      </c>
      <c r="AH9" s="179" t="str">
        <f t="array" ref="AH9">IF($F9&lt;&gt;"", XLOOKUP($F9,Productos!$A$2:$A1001,Productos!AA$2:AA1001,"")*$G9,"")</f>
        <v/>
      </c>
      <c r="AI9" s="179" t="str">
        <f t="array" ref="AI9">IF($F9&lt;&gt;"",XLOOKUP($F9,Productos!$A:$A,Productos!AB:AB,"Revisar"),"")</f>
        <v/>
      </c>
      <c r="AJ9" s="179" t="str">
        <f t="array" ref="AJ9">IF($F9&lt;&gt;"", XLOOKUP($F9,Productos!$A$2:$A1001,Productos!AC$2:AC1001,"")*$G9,"")</f>
        <v/>
      </c>
      <c r="AK9" s="179" t="str">
        <f t="array" ref="AK9">IF($F9&lt;&gt;"",XLOOKUP($F9,Productos!$A:$A,Productos!AD:AD,"Revisar"),"")</f>
        <v/>
      </c>
      <c r="AL9" s="179" t="str">
        <f t="array" ref="AL9">IF($F9&lt;&gt;"", XLOOKUP($F9,Productos!$A$2:$A1001,Productos!AE$2:AE1001,"")*$G9,"")</f>
        <v/>
      </c>
      <c r="AM9" s="179" t="str">
        <f t="array" ref="AM9">IF($F9&lt;&gt;"",XLOOKUP($F9,Productos!$A:$A,Productos!AF:AF,"Revisar"),"")</f>
        <v/>
      </c>
      <c r="AN9" s="179" t="str">
        <f t="array" ref="AN9">IF($F9&lt;&gt;"", XLOOKUP($F9,Productos!$A$2:$A1001,Productos!AG$2:AG1001,"")*$G9,"")</f>
        <v/>
      </c>
      <c r="AO9" s="179" t="str">
        <f t="array" ref="AO9">IF($F9&lt;&gt;"",XLOOKUP($F9,Productos!$A:$A,Productos!AH:AH,"Revisar"),"")</f>
        <v/>
      </c>
      <c r="AP9" s="179" t="str">
        <f t="array" ref="AP9">IF($F9&lt;&gt;"", XLOOKUP($F9,Productos!$A$2:$A1001,Productos!AI$2:AI1001,"")*$G9,"")</f>
        <v/>
      </c>
      <c r="AQ9" s="179" t="str">
        <f t="array" ref="AQ9">IF($F9&lt;&gt;"",XLOOKUP($F9,Productos!$A:$A,Productos!AJ:AJ,"Revisar"),"")</f>
        <v/>
      </c>
      <c r="AR9" s="179" t="str">
        <f t="array" ref="AR9">IF($F9&lt;&gt;"", XLOOKUP($F9,Productos!$A$2:$A1001,Productos!AK$2:AK1001,"")*$G9,"")</f>
        <v/>
      </c>
      <c r="AS9" s="179" t="str">
        <f t="array" ref="AS9">IF($F9&lt;&gt;"",XLOOKUP($F9,Productos!$A:$A,Productos!AL:AL,"Revisar"),"")</f>
        <v/>
      </c>
      <c r="AT9" s="179" t="str">
        <f t="array" ref="AT9">IF($F9&lt;&gt;"", XLOOKUP($F9,Productos!$A$2:$A1001,Productos!AM$2:AM1001,"")*$G9,"")</f>
        <v/>
      </c>
      <c r="AU9" s="179" t="str">
        <f t="array" ref="AU9">IF($F9&lt;&gt;"",XLOOKUP($F9,Productos!$A:$A,Productos!AN:AN,"Revisar"),"")</f>
        <v/>
      </c>
      <c r="AV9" s="179" t="str">
        <f t="array" ref="AV9">IF($F9&lt;&gt;"", XLOOKUP($F9,Productos!$A$2:$A1001,Productos!AO$2:AO1001,"")*$G9,"")</f>
        <v/>
      </c>
      <c r="AW9" s="179" t="str">
        <f t="array" ref="AW9">IF($F9&lt;&gt;"",XLOOKUP($F9,Productos!$A:$A,Productos!AP:AP,"Revisar"),"")</f>
        <v/>
      </c>
      <c r="AX9" s="179" t="str">
        <f t="array" ref="AX9">IF($F9&lt;&gt;"", XLOOKUP($F9,Productos!$A$2:$A1001,Productos!AQ$2:AQ1001,"")*$G9,"")</f>
        <v/>
      </c>
      <c r="AY9" s="179" t="str">
        <f t="array" ref="AY9">IF($F9&lt;&gt;"",XLOOKUP($F9,Productos!$A:$A,Productos!AR:AR,"Revisar"),"")</f>
        <v/>
      </c>
      <c r="AZ9" s="179" t="str">
        <f t="array" ref="AZ9">IF($F9&lt;&gt;"", XLOOKUP($F9,Productos!$A$2:$A1001,Productos!AS$2:AS1001,"")*$G9,"")</f>
        <v/>
      </c>
      <c r="BA9" s="179" t="str">
        <f t="array" ref="BA9">IF($F9&lt;&gt;"",XLOOKUP($F9,Productos!$A:$A,Productos!AT:AT,"Revisar"),"")</f>
        <v/>
      </c>
      <c r="BB9" s="179" t="str">
        <f t="array" ref="BB9">IF($F9&lt;&gt;"", XLOOKUP($F9,Productos!$A$2:$A1001,Productos!AU$2:AU1001,"")*$G9,"")</f>
        <v/>
      </c>
      <c r="BC9" s="179" t="str">
        <f t="array" ref="BC9">IF($F9&lt;&gt;"",XLOOKUP($F9,Productos!$A:$A,Productos!AV:AV,"Revisar"),"")</f>
        <v/>
      </c>
      <c r="BD9" s="179" t="str">
        <f t="array" ref="BD9">IF($F9&lt;&gt;"", XLOOKUP($F9,Productos!$A$2:$A1001,Productos!AW$2:AW1001,"")*$G9,"")</f>
        <v/>
      </c>
      <c r="BE9" s="179" t="str">
        <f t="array" ref="BE9">IF($F9&lt;&gt;"",XLOOKUP($F9,Productos!$A:$A,Productos!AX:AX,"Revisar"),"")</f>
        <v/>
      </c>
      <c r="BF9" s="179" t="str">
        <f t="array" ref="BF9">IF($F9&lt;&gt;"", XLOOKUP($F9,Productos!$A$2:$A1001,Productos!AY$2:AY1001,"")*$G9,"")</f>
        <v/>
      </c>
      <c r="BG9" s="179" t="str">
        <f t="array" ref="BG9">IF($F9&lt;&gt;"",XLOOKUP($F9,Productos!$A:$A,Productos!AZ:AZ,"Revisar"),"")</f>
        <v/>
      </c>
      <c r="BH9" s="179" t="str">
        <f t="array" ref="BH9">IF($F9&lt;&gt;"", XLOOKUP($F9,Productos!$A$2:$A1001,Productos!BA$2:BA1001,"")*$G9,"")</f>
        <v/>
      </c>
      <c r="BI9" s="179" t="str">
        <f t="array" ref="BI9">IF($F9&lt;&gt;"",XLOOKUP($F9,Productos!$A:$A,Productos!BB:BB,"Revisar"),"")</f>
        <v/>
      </c>
      <c r="BJ9" s="179" t="str">
        <f t="array" ref="BJ9">IF($F9&lt;&gt;"", XLOOKUP($F9,Productos!$A$2:$A1001,Productos!BC$2:BC1001,"")*$G9,"")</f>
        <v/>
      </c>
      <c r="BK9" s="179" t="str">
        <f t="array" ref="BK9">IF($F9&lt;&gt;"",XLOOKUP($F9,Productos!$A:$A,Productos!BD:BD,"Revisar"),"")</f>
        <v/>
      </c>
      <c r="BL9" s="179" t="str">
        <f t="array" ref="BL9">IF($F9&lt;&gt;"", XLOOKUP($F9,Productos!$A$2:$A1001,Productos!BE$2:BE1001,"")*$G9,"")</f>
        <v/>
      </c>
      <c r="BM9" s="179" t="str">
        <f t="array" ref="BM9">IF($F9&lt;&gt;"",XLOOKUP($F9,Productos!$A:$A,Productos!BF:BF,"Revisar"),"")</f>
        <v/>
      </c>
      <c r="BN9" s="179" t="str">
        <f t="array" ref="BN9">IF($F9&lt;&gt;"", XLOOKUP($F9,Productos!$A$2:$A1001,Productos!BG$2:BG1001,"")*$G9,"")</f>
        <v/>
      </c>
      <c r="BO9" s="179" t="str">
        <f t="array" ref="BO9">IF($F9&lt;&gt;"",XLOOKUP($F9,Productos!$A:$A,Productos!BH:BH,"Revisar"),"")</f>
        <v/>
      </c>
      <c r="BP9" s="179" t="str">
        <f t="array" ref="BP9">IF($F9&lt;&gt;"", XLOOKUP($F9,Productos!$A$2:$A1001,Productos!BI$2:BI1001,"")*$G9,"")</f>
        <v/>
      </c>
      <c r="BQ9" s="179" t="str">
        <f t="array" ref="BQ9">IF($F9&lt;&gt;"",XLOOKUP($F9,Productos!$A:$A,Productos!BJ:BJ,"Revisar"),"")</f>
        <v/>
      </c>
      <c r="BR9" s="179" t="str">
        <f t="array" ref="BR9">IF($F9&lt;&gt;"", XLOOKUP($F9,Productos!$A$2:$A1001,Productos!BK$2:BK1001,"")*$G9,"")</f>
        <v/>
      </c>
      <c r="BS9" s="179" t="str">
        <f t="array" ref="BS9">IF($F9&lt;&gt;"",XLOOKUP($F9,Productos!$A:$A,Productos!BL:BL,"Revisar"),"")</f>
        <v/>
      </c>
      <c r="BT9" s="179" t="str">
        <f t="array" ref="BT9">IF($F9&lt;&gt;"", XLOOKUP($F9,Productos!$A$2:$A1001,Productos!BM$2:BM1001,"")*$G9,"")</f>
        <v/>
      </c>
      <c r="BU9" s="179" t="str">
        <f t="array" ref="BU9">IF($F9&lt;&gt;"",XLOOKUP($F9,Productos!$A:$A,Productos!BN:BN,"Revisar"),"")</f>
        <v/>
      </c>
      <c r="BV9" s="179" t="str">
        <f t="array" ref="BV9">IF($F9&lt;&gt;"", XLOOKUP($F9,Productos!$A$2:$A1001,Productos!BO$2:BO1001,"")*$G9,"")</f>
        <v/>
      </c>
      <c r="BW9" s="179" t="str">
        <f t="array" ref="BW9">IF($F9&lt;&gt;"",XLOOKUP($F9,Productos!$A:$A,Productos!BP:BP,"Revisar"),"")</f>
        <v/>
      </c>
      <c r="BX9" s="179" t="str">
        <f t="array" ref="BX9">IF($F9&lt;&gt;"", XLOOKUP($F9,Productos!$A$2:$A1001,Productos!BQ$2:BQ1001,"")*$G9,"")</f>
        <v/>
      </c>
      <c r="BY9" s="179" t="str">
        <f t="array" ref="BY9">IF($F9&lt;&gt;"",XLOOKUP($F9,Productos!$A:$A,Productos!BR:BR,"Revisar"),"")</f>
        <v/>
      </c>
      <c r="BZ9" s="179" t="str">
        <f t="array" ref="BZ9">IF($F9&lt;&gt;"", XLOOKUP($F9,Productos!$A$2:$A1001,Productos!BS$2:BS1001,"")*$G9,"")</f>
        <v/>
      </c>
    </row>
    <row r="10">
      <c r="A10" s="180"/>
      <c r="B10" s="181"/>
      <c r="C10" s="182"/>
      <c r="D10" s="182"/>
      <c r="E10" s="183"/>
      <c r="F10" s="177"/>
      <c r="G10" s="184"/>
      <c r="H10" s="177"/>
      <c r="I10" s="179" t="str">
        <f t="array" ref="I10">IF($F10&lt;&gt;"",XLOOKUP($F10,Productos!$A:$A,Productos!B:B,"Revisar"),"")</f>
        <v/>
      </c>
      <c r="J10" s="179" t="str">
        <f t="array" ref="J10">IF($F10&lt;&gt;"", XLOOKUP($F10,Productos!$A$2:$A1001,Productos!C$2:C1001,"")*$G10,"")</f>
        <v/>
      </c>
      <c r="K10" s="179" t="str">
        <f t="array" ref="K10">IF($F10&lt;&gt;"",XLOOKUP($F10,Productos!$A:$A,Productos!D:D,"Revisar"),"")</f>
        <v/>
      </c>
      <c r="L10" s="179" t="str">
        <f t="array" ref="L10">IF($F10&lt;&gt;"", XLOOKUP($F10,Productos!$A$2:$A1001,Productos!E$2:E1001,"")*$G10,"")</f>
        <v/>
      </c>
      <c r="M10" s="179" t="str">
        <f t="array" ref="M10">IF($F10&lt;&gt;"",XLOOKUP($F10,Productos!$A:$A,Productos!F:F,"Revisar"),"")</f>
        <v/>
      </c>
      <c r="N10" s="179" t="str">
        <f t="array" ref="N10">IF($F10&lt;&gt;"", XLOOKUP($F10,Productos!$A$2:$A1001,Productos!G$2:G1001,"")*$G10,"")</f>
        <v/>
      </c>
      <c r="O10" s="179" t="str">
        <f t="array" ref="O10">IF($F10&lt;&gt;"",XLOOKUP($F10,Productos!$A:$A,Productos!H:H,"Revisar"),"")</f>
        <v/>
      </c>
      <c r="P10" s="179" t="str">
        <f t="array" ref="P10">IF($F10&lt;&gt;"", XLOOKUP($F10,Productos!$A$2:$A1001,Productos!I$2:I1001,"")*$G10,"")</f>
        <v/>
      </c>
      <c r="Q10" s="179" t="str">
        <f t="array" ref="Q10">IF($F10&lt;&gt;"",XLOOKUP($F10,Productos!$A:$A,Productos!J:J,"Revisar"),"")</f>
        <v/>
      </c>
      <c r="R10" s="179" t="str">
        <f t="array" ref="R10">IF($F10&lt;&gt;"", XLOOKUP($F10,Productos!$A$2:$A1001,Productos!K$2:K1001,"")*$G10,"")</f>
        <v/>
      </c>
      <c r="S10" s="179" t="str">
        <f t="array" ref="S10">IF($F10&lt;&gt;"",XLOOKUP($F10,Productos!$A:$A,Productos!L:L,"Revisar"),"")</f>
        <v/>
      </c>
      <c r="T10" s="179" t="str">
        <f t="array" ref="T10">IF($F10&lt;&gt;"", XLOOKUP($F10,Productos!$A$2:$A1001,Productos!M$2:M1001,"")*$G10,"")</f>
        <v/>
      </c>
      <c r="U10" s="179" t="str">
        <f t="array" ref="U10">IF($F10&lt;&gt;"",XLOOKUP($F10,Productos!$A:$A,Productos!N:N,"Revisar"),"")</f>
        <v/>
      </c>
      <c r="V10" s="179" t="str">
        <f t="array" ref="V10">IF($F10&lt;&gt;"", XLOOKUP($F10,Productos!$A$2:$A1001,Productos!O$2:O1001,"")*$G10,"")</f>
        <v/>
      </c>
      <c r="W10" s="179" t="str">
        <f t="array" ref="W10">IF($F10&lt;&gt;"",XLOOKUP($F10,Productos!$A:$A,Productos!P:P,"Revisar"),"")</f>
        <v/>
      </c>
      <c r="X10" s="179" t="str">
        <f t="array" ref="X10">IF($F10&lt;&gt;"", XLOOKUP($F10,Productos!$A$2:$A1001,Productos!Q$2:Q1001,"")*$G10,"")</f>
        <v/>
      </c>
      <c r="Y10" s="179" t="str">
        <f t="array" ref="Y10">IF($F10&lt;&gt;"",XLOOKUP($F10,Productos!$A:$A,Productos!R:R,"Revisar"),"")</f>
        <v/>
      </c>
      <c r="Z10" s="179" t="str">
        <f t="array" ref="Z10">IF($F10&lt;&gt;"", XLOOKUP($F10,Productos!$A$2:$A1001,Productos!S$2:S1001,"")*$G10,"")</f>
        <v/>
      </c>
      <c r="AA10" s="179" t="str">
        <f t="array" ref="AA10">IF($F10&lt;&gt;"",XLOOKUP($F10,Productos!$A:$A,Productos!T:T,"Revisar"),"")</f>
        <v/>
      </c>
      <c r="AB10" s="179" t="str">
        <f t="array" ref="AB10">IF($F10&lt;&gt;"", XLOOKUP($F10,Productos!$A$2:$A1001,Productos!U$2:U1001,"")*$G10,"")</f>
        <v/>
      </c>
      <c r="AC10" s="179" t="str">
        <f t="array" ref="AC10">IF($F10&lt;&gt;"",XLOOKUP($F10,Productos!$A:$A,Productos!V:V,"Revisar"),"")</f>
        <v/>
      </c>
      <c r="AD10" s="179" t="str">
        <f t="array" ref="AD10">IF($F10&lt;&gt;"", XLOOKUP($F10,Productos!$A$2:$A1001,Productos!W$2:W1001,"")*$G10,"")</f>
        <v/>
      </c>
      <c r="AE10" s="179" t="str">
        <f t="array" ref="AE10">IF($F10&lt;&gt;"",XLOOKUP($F10,Productos!$A:$A,Productos!X:X,"Revisar"),"")</f>
        <v/>
      </c>
      <c r="AF10" s="179" t="str">
        <f t="array" ref="AF10">IF($F10&lt;&gt;"", XLOOKUP($F10,Productos!$A$2:$A1001,Productos!Y$2:Y1001,"")*$G10,"")</f>
        <v/>
      </c>
      <c r="AG10" s="179" t="str">
        <f t="array" ref="AG10">IF($F10&lt;&gt;"",XLOOKUP($F10,Productos!$A:$A,Productos!Z:Z,"Revisar"),"")</f>
        <v/>
      </c>
      <c r="AH10" s="179" t="str">
        <f t="array" ref="AH10">IF($F10&lt;&gt;"", XLOOKUP($F10,Productos!$A$2:$A1001,Productos!AA$2:AA1001,"")*$G10,"")</f>
        <v/>
      </c>
      <c r="AI10" s="179" t="str">
        <f t="array" ref="AI10">IF($F10&lt;&gt;"",XLOOKUP($F10,Productos!$A:$A,Productos!AB:AB,"Revisar"),"")</f>
        <v/>
      </c>
      <c r="AJ10" s="179" t="str">
        <f t="array" ref="AJ10">IF($F10&lt;&gt;"", XLOOKUP($F10,Productos!$A$2:$A1001,Productos!AC$2:AC1001,"")*$G10,"")</f>
        <v/>
      </c>
      <c r="AK10" s="179" t="str">
        <f t="array" ref="AK10">IF($F10&lt;&gt;"",XLOOKUP($F10,Productos!$A:$A,Productos!AD:AD,"Revisar"),"")</f>
        <v/>
      </c>
      <c r="AL10" s="179" t="str">
        <f t="array" ref="AL10">IF($F10&lt;&gt;"", XLOOKUP($F10,Productos!$A$2:$A1001,Productos!AE$2:AE1001,"")*$G10,"")</f>
        <v/>
      </c>
      <c r="AM10" s="179" t="str">
        <f t="array" ref="AM10">IF($F10&lt;&gt;"",XLOOKUP($F10,Productos!$A:$A,Productos!AF:AF,"Revisar"),"")</f>
        <v/>
      </c>
      <c r="AN10" s="179" t="str">
        <f t="array" ref="AN10">IF($F10&lt;&gt;"", XLOOKUP($F10,Productos!$A$2:$A1001,Productos!AG$2:AG1001,"")*$G10,"")</f>
        <v/>
      </c>
      <c r="AO10" s="179" t="str">
        <f t="array" ref="AO10">IF($F10&lt;&gt;"",XLOOKUP($F10,Productos!$A:$A,Productos!AH:AH,"Revisar"),"")</f>
        <v/>
      </c>
      <c r="AP10" s="179" t="str">
        <f t="array" ref="AP10">IF($F10&lt;&gt;"", XLOOKUP($F10,Productos!$A$2:$A1001,Productos!AI$2:AI1001,"")*$G10,"")</f>
        <v/>
      </c>
      <c r="AQ10" s="179" t="str">
        <f t="array" ref="AQ10">IF($F10&lt;&gt;"",XLOOKUP($F10,Productos!$A:$A,Productos!AJ:AJ,"Revisar"),"")</f>
        <v/>
      </c>
      <c r="AR10" s="179" t="str">
        <f t="array" ref="AR10">IF($F10&lt;&gt;"", XLOOKUP($F10,Productos!$A$2:$A1001,Productos!AK$2:AK1001,"")*$G10,"")</f>
        <v/>
      </c>
      <c r="AS10" s="179" t="str">
        <f t="array" ref="AS10">IF($F10&lt;&gt;"",XLOOKUP($F10,Productos!$A:$A,Productos!AL:AL,"Revisar"),"")</f>
        <v/>
      </c>
      <c r="AT10" s="179" t="str">
        <f t="array" ref="AT10">IF($F10&lt;&gt;"", XLOOKUP($F10,Productos!$A$2:$A1001,Productos!AM$2:AM1001,"")*$G10,"")</f>
        <v/>
      </c>
      <c r="AU10" s="179" t="str">
        <f t="array" ref="AU10">IF($F10&lt;&gt;"",XLOOKUP($F10,Productos!$A:$A,Productos!AN:AN,"Revisar"),"")</f>
        <v/>
      </c>
      <c r="AV10" s="179" t="str">
        <f t="array" ref="AV10">IF($F10&lt;&gt;"", XLOOKUP($F10,Productos!$A$2:$A1001,Productos!AO$2:AO1001,"")*$G10,"")</f>
        <v/>
      </c>
      <c r="AW10" s="179" t="str">
        <f t="array" ref="AW10">IF($F10&lt;&gt;"",XLOOKUP($F10,Productos!$A:$A,Productos!AP:AP,"Revisar"),"")</f>
        <v/>
      </c>
      <c r="AX10" s="179" t="str">
        <f t="array" ref="AX10">IF($F10&lt;&gt;"", XLOOKUP($F10,Productos!$A$2:$A1001,Productos!AQ$2:AQ1001,"")*$G10,"")</f>
        <v/>
      </c>
      <c r="AY10" s="179" t="str">
        <f t="array" ref="AY10">IF($F10&lt;&gt;"",XLOOKUP($F10,Productos!$A:$A,Productos!AR:AR,"Revisar"),"")</f>
        <v/>
      </c>
      <c r="AZ10" s="179" t="str">
        <f t="array" ref="AZ10">IF($F10&lt;&gt;"", XLOOKUP($F10,Productos!$A$2:$A1001,Productos!AS$2:AS1001,"")*$G10,"")</f>
        <v/>
      </c>
      <c r="BA10" s="179" t="str">
        <f t="array" ref="BA10">IF($F10&lt;&gt;"",XLOOKUP($F10,Productos!$A:$A,Productos!AT:AT,"Revisar"),"")</f>
        <v/>
      </c>
      <c r="BB10" s="179" t="str">
        <f t="array" ref="BB10">IF($F10&lt;&gt;"", XLOOKUP($F10,Productos!$A$2:$A1001,Productos!AU$2:AU1001,"")*$G10,"")</f>
        <v/>
      </c>
      <c r="BC10" s="179" t="str">
        <f t="array" ref="BC10">IF($F10&lt;&gt;"",XLOOKUP($F10,Productos!$A:$A,Productos!AV:AV,"Revisar"),"")</f>
        <v/>
      </c>
      <c r="BD10" s="179" t="str">
        <f t="array" ref="BD10">IF($F10&lt;&gt;"", XLOOKUP($F10,Productos!$A$2:$A1001,Productos!AW$2:AW1001,"")*$G10,"")</f>
        <v/>
      </c>
      <c r="BE10" s="179" t="str">
        <f t="array" ref="BE10">IF($F10&lt;&gt;"",XLOOKUP($F10,Productos!$A:$A,Productos!AX:AX,"Revisar"),"")</f>
        <v/>
      </c>
      <c r="BF10" s="179" t="str">
        <f t="array" ref="BF10">IF($F10&lt;&gt;"", XLOOKUP($F10,Productos!$A$2:$A1001,Productos!AY$2:AY1001,"")*$G10,"")</f>
        <v/>
      </c>
      <c r="BG10" s="179" t="str">
        <f t="array" ref="BG10">IF($F10&lt;&gt;"",XLOOKUP($F10,Productos!$A:$A,Productos!AZ:AZ,"Revisar"),"")</f>
        <v/>
      </c>
      <c r="BH10" s="179" t="str">
        <f t="array" ref="BH10">IF($F10&lt;&gt;"", XLOOKUP($F10,Productos!$A$2:$A1001,Productos!BA$2:BA1001,"")*$G10,"")</f>
        <v/>
      </c>
      <c r="BI10" s="179" t="str">
        <f t="array" ref="BI10">IF($F10&lt;&gt;"",XLOOKUP($F10,Productos!$A:$A,Productos!BB:BB,"Revisar"),"")</f>
        <v/>
      </c>
      <c r="BJ10" s="179" t="str">
        <f t="array" ref="BJ10">IF($F10&lt;&gt;"", XLOOKUP($F10,Productos!$A$2:$A1001,Productos!BC$2:BC1001,"")*$G10,"")</f>
        <v/>
      </c>
      <c r="BK10" s="179" t="str">
        <f t="array" ref="BK10">IF($F10&lt;&gt;"",XLOOKUP($F10,Productos!$A:$A,Productos!BD:BD,"Revisar"),"")</f>
        <v/>
      </c>
      <c r="BL10" s="179" t="str">
        <f t="array" ref="BL10">IF($F10&lt;&gt;"", XLOOKUP($F10,Productos!$A$2:$A1001,Productos!BE$2:BE1001,"")*$G10,"")</f>
        <v/>
      </c>
      <c r="BM10" s="179" t="str">
        <f t="array" ref="BM10">IF($F10&lt;&gt;"",XLOOKUP($F10,Productos!$A:$A,Productos!BF:BF,"Revisar"),"")</f>
        <v/>
      </c>
      <c r="BN10" s="179" t="str">
        <f t="array" ref="BN10">IF($F10&lt;&gt;"", XLOOKUP($F10,Productos!$A$2:$A1001,Productos!BG$2:BG1001,"")*$G10,"")</f>
        <v/>
      </c>
      <c r="BO10" s="179" t="str">
        <f t="array" ref="BO10">IF($F10&lt;&gt;"",XLOOKUP($F10,Productos!$A:$A,Productos!BH:BH,"Revisar"),"")</f>
        <v/>
      </c>
      <c r="BP10" s="179" t="str">
        <f t="array" ref="BP10">IF($F10&lt;&gt;"", XLOOKUP($F10,Productos!$A$2:$A1001,Productos!BI$2:BI1001,"")*$G10,"")</f>
        <v/>
      </c>
      <c r="BQ10" s="179" t="str">
        <f t="array" ref="BQ10">IF($F10&lt;&gt;"",XLOOKUP($F10,Productos!$A:$A,Productos!BJ:BJ,"Revisar"),"")</f>
        <v/>
      </c>
      <c r="BR10" s="179" t="str">
        <f t="array" ref="BR10">IF($F10&lt;&gt;"", XLOOKUP($F10,Productos!$A$2:$A1001,Productos!BK$2:BK1001,"")*$G10,"")</f>
        <v/>
      </c>
      <c r="BS10" s="179" t="str">
        <f t="array" ref="BS10">IF($F10&lt;&gt;"",XLOOKUP($F10,Productos!$A:$A,Productos!BL:BL,"Revisar"),"")</f>
        <v/>
      </c>
      <c r="BT10" s="179" t="str">
        <f t="array" ref="BT10">IF($F10&lt;&gt;"", XLOOKUP($F10,Productos!$A$2:$A1001,Productos!BM$2:BM1001,"")*$G10,"")</f>
        <v/>
      </c>
      <c r="BU10" s="179" t="str">
        <f t="array" ref="BU10">IF($F10&lt;&gt;"",XLOOKUP($F10,Productos!$A:$A,Productos!BN:BN,"Revisar"),"")</f>
        <v/>
      </c>
      <c r="BV10" s="179" t="str">
        <f t="array" ref="BV10">IF($F10&lt;&gt;"", XLOOKUP($F10,Productos!$A$2:$A1001,Productos!BO$2:BO1001,"")*$G10,"")</f>
        <v/>
      </c>
      <c r="BW10" s="179" t="str">
        <f t="array" ref="BW10">IF($F10&lt;&gt;"",XLOOKUP($F10,Productos!$A:$A,Productos!BP:BP,"Revisar"),"")</f>
        <v/>
      </c>
      <c r="BX10" s="179" t="str">
        <f t="array" ref="BX10">IF($F10&lt;&gt;"", XLOOKUP($F10,Productos!$A$2:$A1001,Productos!BQ$2:BQ1001,"")*$G10,"")</f>
        <v/>
      </c>
      <c r="BY10" s="179" t="str">
        <f t="array" ref="BY10">IF($F10&lt;&gt;"",XLOOKUP($F10,Productos!$A:$A,Productos!BR:BR,"Revisar"),"")</f>
        <v/>
      </c>
      <c r="BZ10" s="179" t="str">
        <f t="array" ref="BZ10">IF($F10&lt;&gt;"", XLOOKUP($F10,Productos!$A$2:$A1001,Productos!BS$2:BS1001,"")*$G10,"")</f>
        <v/>
      </c>
    </row>
    <row r="11">
      <c r="A11" s="180"/>
      <c r="B11" s="181"/>
      <c r="C11" s="182"/>
      <c r="D11" s="182"/>
      <c r="E11" s="183"/>
      <c r="F11" s="177"/>
      <c r="G11" s="184"/>
      <c r="H11" s="177"/>
      <c r="I11" s="179" t="str">
        <f t="array" ref="I11">IF($F11&lt;&gt;"",XLOOKUP($F11,Productos!$A:$A,Productos!B:B,"Revisar"),"")</f>
        <v/>
      </c>
      <c r="J11" s="179" t="str">
        <f t="array" ref="J11">IF($F11&lt;&gt;"", XLOOKUP($F11,Productos!$A$2:$A1001,Productos!C$2:C1001,"")*$G11,"")</f>
        <v/>
      </c>
      <c r="K11" s="179" t="str">
        <f t="array" ref="K11">IF($F11&lt;&gt;"",XLOOKUP($F11,Productos!$A:$A,Productos!D:D,"Revisar"),"")</f>
        <v/>
      </c>
      <c r="L11" s="179" t="str">
        <f t="array" ref="L11">IF($F11&lt;&gt;"", XLOOKUP($F11,Productos!$A$2:$A1001,Productos!E$2:E1001,"")*$G11,"")</f>
        <v/>
      </c>
      <c r="M11" s="179" t="str">
        <f t="array" ref="M11">IF($F11&lt;&gt;"",XLOOKUP($F11,Productos!$A:$A,Productos!F:F,"Revisar"),"")</f>
        <v/>
      </c>
      <c r="N11" s="179" t="str">
        <f t="array" ref="N11">IF($F11&lt;&gt;"", XLOOKUP($F11,Productos!$A$2:$A1001,Productos!G$2:G1001,"")*$G11,"")</f>
        <v/>
      </c>
      <c r="O11" s="179" t="str">
        <f t="array" ref="O11">IF($F11&lt;&gt;"",XLOOKUP($F11,Productos!$A:$A,Productos!H:H,"Revisar"),"")</f>
        <v/>
      </c>
      <c r="P11" s="179" t="str">
        <f t="array" ref="P11">IF($F11&lt;&gt;"", XLOOKUP($F11,Productos!$A$2:$A1001,Productos!I$2:I1001,"")*$G11,"")</f>
        <v/>
      </c>
      <c r="Q11" s="179" t="str">
        <f t="array" ref="Q11">IF($F11&lt;&gt;"",XLOOKUP($F11,Productos!$A:$A,Productos!J:J,"Revisar"),"")</f>
        <v/>
      </c>
      <c r="R11" s="179" t="str">
        <f t="array" ref="R11">IF($F11&lt;&gt;"", XLOOKUP($F11,Productos!$A$2:$A1001,Productos!K$2:K1001,"")*$G11,"")</f>
        <v/>
      </c>
      <c r="S11" s="179" t="str">
        <f t="array" ref="S11">IF($F11&lt;&gt;"",XLOOKUP($F11,Productos!$A:$A,Productos!L:L,"Revisar"),"")</f>
        <v/>
      </c>
      <c r="T11" s="179" t="str">
        <f t="array" ref="T11">IF($F11&lt;&gt;"", XLOOKUP($F11,Productos!$A$2:$A1001,Productos!M$2:M1001,"")*$G11,"")</f>
        <v/>
      </c>
      <c r="U11" s="179" t="str">
        <f t="array" ref="U11">IF($F11&lt;&gt;"",XLOOKUP($F11,Productos!$A:$A,Productos!N:N,"Revisar"),"")</f>
        <v/>
      </c>
      <c r="V11" s="179" t="str">
        <f t="array" ref="V11">IF($F11&lt;&gt;"", XLOOKUP($F11,Productos!$A$2:$A1001,Productos!O$2:O1001,"")*$G11,"")</f>
        <v/>
      </c>
      <c r="W11" s="179" t="str">
        <f t="array" ref="W11">IF($F11&lt;&gt;"",XLOOKUP($F11,Productos!$A:$A,Productos!P:P,"Revisar"),"")</f>
        <v/>
      </c>
      <c r="X11" s="179" t="str">
        <f t="array" ref="X11">IF($F11&lt;&gt;"", XLOOKUP($F11,Productos!$A$2:$A1001,Productos!Q$2:Q1001,"")*$G11,"")</f>
        <v/>
      </c>
      <c r="Y11" s="179" t="str">
        <f t="array" ref="Y11">IF($F11&lt;&gt;"",XLOOKUP($F11,Productos!$A:$A,Productos!R:R,"Revisar"),"")</f>
        <v/>
      </c>
      <c r="Z11" s="179" t="str">
        <f t="array" ref="Z11">IF($F11&lt;&gt;"", XLOOKUP($F11,Productos!$A$2:$A1001,Productos!S$2:S1001,"")*$G11,"")</f>
        <v/>
      </c>
      <c r="AA11" s="179" t="str">
        <f t="array" ref="AA11">IF($F11&lt;&gt;"",XLOOKUP($F11,Productos!$A:$A,Productos!T:T,"Revisar"),"")</f>
        <v/>
      </c>
      <c r="AB11" s="179" t="str">
        <f t="array" ref="AB11">IF($F11&lt;&gt;"", XLOOKUP($F11,Productos!$A$2:$A1001,Productos!U$2:U1001,"")*$G11,"")</f>
        <v/>
      </c>
      <c r="AC11" s="179" t="str">
        <f t="array" ref="AC11">IF($F11&lt;&gt;"",XLOOKUP($F11,Productos!$A:$A,Productos!V:V,"Revisar"),"")</f>
        <v/>
      </c>
      <c r="AD11" s="179" t="str">
        <f t="array" ref="AD11">IF($F11&lt;&gt;"", XLOOKUP($F11,Productos!$A$2:$A1001,Productos!W$2:W1001,"")*$G11,"")</f>
        <v/>
      </c>
      <c r="AE11" s="179" t="str">
        <f t="array" ref="AE11">IF($F11&lt;&gt;"",XLOOKUP($F11,Productos!$A:$A,Productos!X:X,"Revisar"),"")</f>
        <v/>
      </c>
      <c r="AF11" s="179" t="str">
        <f t="array" ref="AF11">IF($F11&lt;&gt;"", XLOOKUP($F11,Productos!$A$2:$A1001,Productos!Y$2:Y1001,"")*$G11,"")</f>
        <v/>
      </c>
      <c r="AG11" s="179" t="str">
        <f t="array" ref="AG11">IF($F11&lt;&gt;"",XLOOKUP($F11,Productos!$A:$A,Productos!Z:Z,"Revisar"),"")</f>
        <v/>
      </c>
      <c r="AH11" s="179" t="str">
        <f t="array" ref="AH11">IF($F11&lt;&gt;"", XLOOKUP($F11,Productos!$A$2:$A1001,Productos!AA$2:AA1001,"")*$G11,"")</f>
        <v/>
      </c>
      <c r="AI11" s="179" t="str">
        <f t="array" ref="AI11">IF($F11&lt;&gt;"",XLOOKUP($F11,Productos!$A:$A,Productos!AB:AB,"Revisar"),"")</f>
        <v/>
      </c>
      <c r="AJ11" s="179" t="str">
        <f t="array" ref="AJ11">IF($F11&lt;&gt;"", XLOOKUP($F11,Productos!$A$2:$A1001,Productos!AC$2:AC1001,"")*$G11,"")</f>
        <v/>
      </c>
      <c r="AK11" s="179" t="str">
        <f t="array" ref="AK11">IF($F11&lt;&gt;"",XLOOKUP($F11,Productos!$A:$A,Productos!AD:AD,"Revisar"),"")</f>
        <v/>
      </c>
      <c r="AL11" s="179" t="str">
        <f t="array" ref="AL11">IF($F11&lt;&gt;"", XLOOKUP($F11,Productos!$A$2:$A1001,Productos!AE$2:AE1001,"")*$G11,"")</f>
        <v/>
      </c>
      <c r="AM11" s="179" t="str">
        <f t="array" ref="AM11">IF($F11&lt;&gt;"",XLOOKUP($F11,Productos!$A:$A,Productos!AF:AF,"Revisar"),"")</f>
        <v/>
      </c>
      <c r="AN11" s="179" t="str">
        <f t="array" ref="AN11">IF($F11&lt;&gt;"", XLOOKUP($F11,Productos!$A$2:$A1001,Productos!AG$2:AG1001,"")*$G11,"")</f>
        <v/>
      </c>
      <c r="AO11" s="179" t="str">
        <f t="array" ref="AO11">IF($F11&lt;&gt;"",XLOOKUP($F11,Productos!$A:$A,Productos!AH:AH,"Revisar"),"")</f>
        <v/>
      </c>
      <c r="AP11" s="179" t="str">
        <f t="array" ref="AP11">IF($F11&lt;&gt;"", XLOOKUP($F11,Productos!$A$2:$A1001,Productos!AI$2:AI1001,"")*$G11,"")</f>
        <v/>
      </c>
      <c r="AQ11" s="179" t="str">
        <f t="array" ref="AQ11">IF($F11&lt;&gt;"",XLOOKUP($F11,Productos!$A:$A,Productos!AJ:AJ,"Revisar"),"")</f>
        <v/>
      </c>
      <c r="AR11" s="179" t="str">
        <f t="array" ref="AR11">IF($F11&lt;&gt;"", XLOOKUP($F11,Productos!$A$2:$A1001,Productos!AK$2:AK1001,"")*$G11,"")</f>
        <v/>
      </c>
      <c r="AS11" s="179" t="str">
        <f t="array" ref="AS11">IF($F11&lt;&gt;"",XLOOKUP($F11,Productos!$A:$A,Productos!AL:AL,"Revisar"),"")</f>
        <v/>
      </c>
      <c r="AT11" s="179" t="str">
        <f t="array" ref="AT11">IF($F11&lt;&gt;"", XLOOKUP($F11,Productos!$A$2:$A1001,Productos!AM$2:AM1001,"")*$G11,"")</f>
        <v/>
      </c>
      <c r="AU11" s="179" t="str">
        <f t="array" ref="AU11">IF($F11&lt;&gt;"",XLOOKUP($F11,Productos!$A:$A,Productos!AN:AN,"Revisar"),"")</f>
        <v/>
      </c>
      <c r="AV11" s="179" t="str">
        <f t="array" ref="AV11">IF($F11&lt;&gt;"", XLOOKUP($F11,Productos!$A$2:$A1001,Productos!AO$2:AO1001,"")*$G11,"")</f>
        <v/>
      </c>
      <c r="AW11" s="179" t="str">
        <f t="array" ref="AW11">IF($F11&lt;&gt;"",XLOOKUP($F11,Productos!$A:$A,Productos!AP:AP,"Revisar"),"")</f>
        <v/>
      </c>
      <c r="AX11" s="179" t="str">
        <f t="array" ref="AX11">IF($F11&lt;&gt;"", XLOOKUP($F11,Productos!$A$2:$A1001,Productos!AQ$2:AQ1001,"")*$G11,"")</f>
        <v/>
      </c>
      <c r="AY11" s="179" t="str">
        <f t="array" ref="AY11">IF($F11&lt;&gt;"",XLOOKUP($F11,Productos!$A:$A,Productos!AR:AR,"Revisar"),"")</f>
        <v/>
      </c>
      <c r="AZ11" s="179" t="str">
        <f t="array" ref="AZ11">IF($F11&lt;&gt;"", XLOOKUP($F11,Productos!$A$2:$A1001,Productos!AS$2:AS1001,"")*$G11,"")</f>
        <v/>
      </c>
      <c r="BA11" s="179" t="str">
        <f t="array" ref="BA11">IF($F11&lt;&gt;"",XLOOKUP($F11,Productos!$A:$A,Productos!AT:AT,"Revisar"),"")</f>
        <v/>
      </c>
      <c r="BB11" s="179" t="str">
        <f t="array" ref="BB11">IF($F11&lt;&gt;"", XLOOKUP($F11,Productos!$A$2:$A1001,Productos!AU$2:AU1001,"")*$G11,"")</f>
        <v/>
      </c>
      <c r="BC11" s="179" t="str">
        <f t="array" ref="BC11">IF($F11&lt;&gt;"",XLOOKUP($F11,Productos!$A:$A,Productos!AV:AV,"Revisar"),"")</f>
        <v/>
      </c>
      <c r="BD11" s="179" t="str">
        <f t="array" ref="BD11">IF($F11&lt;&gt;"", XLOOKUP($F11,Productos!$A$2:$A1001,Productos!AW$2:AW1001,"")*$G11,"")</f>
        <v/>
      </c>
      <c r="BE11" s="179" t="str">
        <f t="array" ref="BE11">IF($F11&lt;&gt;"",XLOOKUP($F11,Productos!$A:$A,Productos!AX:AX,"Revisar"),"")</f>
        <v/>
      </c>
      <c r="BF11" s="179" t="str">
        <f t="array" ref="BF11">IF($F11&lt;&gt;"", XLOOKUP($F11,Productos!$A$2:$A1001,Productos!AY$2:AY1001,"")*$G11,"")</f>
        <v/>
      </c>
      <c r="BG11" s="179" t="str">
        <f t="array" ref="BG11">IF($F11&lt;&gt;"",XLOOKUP($F11,Productos!$A:$A,Productos!AZ:AZ,"Revisar"),"")</f>
        <v/>
      </c>
      <c r="BH11" s="179" t="str">
        <f t="array" ref="BH11">IF($F11&lt;&gt;"", XLOOKUP($F11,Productos!$A$2:$A1001,Productos!BA$2:BA1001,"")*$G11,"")</f>
        <v/>
      </c>
      <c r="BI11" s="179" t="str">
        <f t="array" ref="BI11">IF($F11&lt;&gt;"",XLOOKUP($F11,Productos!$A:$A,Productos!BB:BB,"Revisar"),"")</f>
        <v/>
      </c>
      <c r="BJ11" s="179" t="str">
        <f t="array" ref="BJ11">IF($F11&lt;&gt;"", XLOOKUP($F11,Productos!$A$2:$A1001,Productos!BC$2:BC1001,"")*$G11,"")</f>
        <v/>
      </c>
      <c r="BK11" s="179" t="str">
        <f t="array" ref="BK11">IF($F11&lt;&gt;"",XLOOKUP($F11,Productos!$A:$A,Productos!BD:BD,"Revisar"),"")</f>
        <v/>
      </c>
      <c r="BL11" s="179" t="str">
        <f t="array" ref="BL11">IF($F11&lt;&gt;"", XLOOKUP($F11,Productos!$A$2:$A1001,Productos!BE$2:BE1001,"")*$G11,"")</f>
        <v/>
      </c>
      <c r="BM11" s="179" t="str">
        <f t="array" ref="BM11">IF($F11&lt;&gt;"",XLOOKUP($F11,Productos!$A:$A,Productos!BF:BF,"Revisar"),"")</f>
        <v/>
      </c>
      <c r="BN11" s="179" t="str">
        <f t="array" ref="BN11">IF($F11&lt;&gt;"", XLOOKUP($F11,Productos!$A$2:$A1001,Productos!BG$2:BG1001,"")*$G11,"")</f>
        <v/>
      </c>
      <c r="BO11" s="179" t="str">
        <f t="array" ref="BO11">IF($F11&lt;&gt;"",XLOOKUP($F11,Productos!$A:$A,Productos!BH:BH,"Revisar"),"")</f>
        <v/>
      </c>
      <c r="BP11" s="179" t="str">
        <f t="array" ref="BP11">IF($F11&lt;&gt;"", XLOOKUP($F11,Productos!$A$2:$A1001,Productos!BI$2:BI1001,"")*$G11,"")</f>
        <v/>
      </c>
      <c r="BQ11" s="179" t="str">
        <f t="array" ref="BQ11">IF($F11&lt;&gt;"",XLOOKUP($F11,Productos!$A:$A,Productos!BJ:BJ,"Revisar"),"")</f>
        <v/>
      </c>
      <c r="BR11" s="179" t="str">
        <f t="array" ref="BR11">IF($F11&lt;&gt;"", XLOOKUP($F11,Productos!$A$2:$A1001,Productos!BK$2:BK1001,"")*$G11,"")</f>
        <v/>
      </c>
      <c r="BS11" s="179" t="str">
        <f t="array" ref="BS11">IF($F11&lt;&gt;"",XLOOKUP($F11,Productos!$A:$A,Productos!BL:BL,"Revisar"),"")</f>
        <v/>
      </c>
      <c r="BT11" s="179" t="str">
        <f t="array" ref="BT11">IF($F11&lt;&gt;"", XLOOKUP($F11,Productos!$A$2:$A1001,Productos!BM$2:BM1001,"")*$G11,"")</f>
        <v/>
      </c>
      <c r="BU11" s="179" t="str">
        <f t="array" ref="BU11">IF($F11&lt;&gt;"",XLOOKUP($F11,Productos!$A:$A,Productos!BN:BN,"Revisar"),"")</f>
        <v/>
      </c>
      <c r="BV11" s="179" t="str">
        <f t="array" ref="BV11">IF($F11&lt;&gt;"", XLOOKUP($F11,Productos!$A$2:$A1001,Productos!BO$2:BO1001,"")*$G11,"")</f>
        <v/>
      </c>
      <c r="BW11" s="179" t="str">
        <f t="array" ref="BW11">IF($F11&lt;&gt;"",XLOOKUP($F11,Productos!$A:$A,Productos!BP:BP,"Revisar"),"")</f>
        <v/>
      </c>
      <c r="BX11" s="179" t="str">
        <f t="array" ref="BX11">IF($F11&lt;&gt;"", XLOOKUP($F11,Productos!$A$2:$A1001,Productos!BQ$2:BQ1001,"")*$G11,"")</f>
        <v/>
      </c>
      <c r="BY11" s="179" t="str">
        <f t="array" ref="BY11">IF($F11&lt;&gt;"",XLOOKUP($F11,Productos!$A:$A,Productos!BR:BR,"Revisar"),"")</f>
        <v/>
      </c>
      <c r="BZ11" s="179" t="str">
        <f t="array" ref="BZ11">IF($F11&lt;&gt;"", XLOOKUP($F11,Productos!$A$2:$A1001,Productos!BS$2:BS1001,"")*$G11,"")</f>
        <v/>
      </c>
    </row>
    <row r="12">
      <c r="A12" s="180"/>
      <c r="B12" s="181"/>
      <c r="C12" s="182"/>
      <c r="D12" s="182"/>
      <c r="E12" s="185"/>
      <c r="F12" s="177"/>
      <c r="G12" s="184"/>
      <c r="H12" s="177"/>
      <c r="I12" s="179" t="str">
        <f t="array" ref="I12">IF($F12&lt;&gt;"",XLOOKUP($F12,Productos!$A:$A,Productos!B:B,"Revisar"),"")</f>
        <v/>
      </c>
      <c r="J12" s="179" t="str">
        <f t="array" ref="J12">IF($F12&lt;&gt;"", XLOOKUP($F12,Productos!$A$2:$A1001,Productos!C$2:C1001,"")*$G12,"")</f>
        <v/>
      </c>
      <c r="K12" s="179" t="str">
        <f t="array" ref="K12">IF($F12&lt;&gt;"",XLOOKUP($F12,Productos!$A:$A,Productos!D:D,"Revisar"),"")</f>
        <v/>
      </c>
      <c r="L12" s="179" t="str">
        <f t="array" ref="L12">IF($F12&lt;&gt;"", XLOOKUP($F12,Productos!$A$2:$A1001,Productos!E$2:E1001,"")*$G12,"")</f>
        <v/>
      </c>
      <c r="M12" s="179" t="str">
        <f t="array" ref="M12">IF($F12&lt;&gt;"",XLOOKUP($F12,Productos!$A:$A,Productos!F:F,"Revisar"),"")</f>
        <v/>
      </c>
      <c r="N12" s="179" t="str">
        <f t="array" ref="N12">IF($F12&lt;&gt;"", XLOOKUP($F12,Productos!$A$2:$A1001,Productos!G$2:G1001,"")*$G12,"")</f>
        <v/>
      </c>
      <c r="O12" s="179" t="str">
        <f t="array" ref="O12">IF($F12&lt;&gt;"",XLOOKUP($F12,Productos!$A:$A,Productos!H:H,"Revisar"),"")</f>
        <v/>
      </c>
      <c r="P12" s="179" t="str">
        <f t="array" ref="P12">IF($F12&lt;&gt;"", XLOOKUP($F12,Productos!$A$2:$A1001,Productos!I$2:I1001,"")*$G12,"")</f>
        <v/>
      </c>
      <c r="Q12" s="179" t="str">
        <f t="array" ref="Q12">IF($F12&lt;&gt;"",XLOOKUP($F12,Productos!$A:$A,Productos!J:J,"Revisar"),"")</f>
        <v/>
      </c>
      <c r="R12" s="179" t="str">
        <f t="array" ref="R12">IF($F12&lt;&gt;"", XLOOKUP($F12,Productos!$A$2:$A1001,Productos!K$2:K1001,"")*$G12,"")</f>
        <v/>
      </c>
      <c r="S12" s="179" t="str">
        <f t="array" ref="S12">IF($F12&lt;&gt;"",XLOOKUP($F12,Productos!$A:$A,Productos!L:L,"Revisar"),"")</f>
        <v/>
      </c>
      <c r="T12" s="179" t="str">
        <f t="array" ref="T12">IF($F12&lt;&gt;"", XLOOKUP($F12,Productos!$A$2:$A1001,Productos!M$2:M1001,"")*$G12,"")</f>
        <v/>
      </c>
      <c r="U12" s="179" t="str">
        <f t="array" ref="U12">IF($F12&lt;&gt;"",XLOOKUP($F12,Productos!$A:$A,Productos!N:N,"Revisar"),"")</f>
        <v/>
      </c>
      <c r="V12" s="179" t="str">
        <f t="array" ref="V12">IF($F12&lt;&gt;"", XLOOKUP($F12,Productos!$A$2:$A1001,Productos!O$2:O1001,"")*$G12,"")</f>
        <v/>
      </c>
      <c r="W12" s="179" t="str">
        <f t="array" ref="W12">IF($F12&lt;&gt;"",XLOOKUP($F12,Productos!$A:$A,Productos!P:P,"Revisar"),"")</f>
        <v/>
      </c>
      <c r="X12" s="179" t="str">
        <f t="array" ref="X12">IF($F12&lt;&gt;"", XLOOKUP($F12,Productos!$A$2:$A1001,Productos!Q$2:Q1001,"")*$G12,"")</f>
        <v/>
      </c>
      <c r="Y12" s="179" t="str">
        <f t="array" ref="Y12">IF($F12&lt;&gt;"",XLOOKUP($F12,Productos!$A:$A,Productos!R:R,"Revisar"),"")</f>
        <v/>
      </c>
      <c r="Z12" s="179" t="str">
        <f t="array" ref="Z12">IF($F12&lt;&gt;"", XLOOKUP($F12,Productos!$A$2:$A1001,Productos!S$2:S1001,"")*$G12,"")</f>
        <v/>
      </c>
      <c r="AA12" s="179" t="str">
        <f t="array" ref="AA12">IF($F12&lt;&gt;"",XLOOKUP($F12,Productos!$A:$A,Productos!T:T,"Revisar"),"")</f>
        <v/>
      </c>
      <c r="AB12" s="179" t="str">
        <f t="array" ref="AB12">IF($F12&lt;&gt;"", XLOOKUP($F12,Productos!$A$2:$A1001,Productos!U$2:U1001,"")*$G12,"")</f>
        <v/>
      </c>
      <c r="AC12" s="179" t="str">
        <f t="array" ref="AC12">IF($F12&lt;&gt;"",XLOOKUP($F12,Productos!$A:$A,Productos!V:V,"Revisar"),"")</f>
        <v/>
      </c>
      <c r="AD12" s="179" t="str">
        <f t="array" ref="AD12">IF($F12&lt;&gt;"", XLOOKUP($F12,Productos!$A$2:$A1001,Productos!W$2:W1001,"")*$G12,"")</f>
        <v/>
      </c>
      <c r="AE12" s="179" t="str">
        <f t="array" ref="AE12">IF($F12&lt;&gt;"",XLOOKUP($F12,Productos!$A:$A,Productos!X:X,"Revisar"),"")</f>
        <v/>
      </c>
      <c r="AF12" s="179" t="str">
        <f t="array" ref="AF12">IF($F12&lt;&gt;"", XLOOKUP($F12,Productos!$A$2:$A1001,Productos!Y$2:Y1001,"")*$G12,"")</f>
        <v/>
      </c>
      <c r="AG12" s="179" t="str">
        <f t="array" ref="AG12">IF($F12&lt;&gt;"",XLOOKUP($F12,Productos!$A:$A,Productos!Z:Z,"Revisar"),"")</f>
        <v/>
      </c>
      <c r="AH12" s="179" t="str">
        <f t="array" ref="AH12">IF($F12&lt;&gt;"", XLOOKUP($F12,Productos!$A$2:$A1001,Productos!AA$2:AA1001,"")*$G12,"")</f>
        <v/>
      </c>
      <c r="AI12" s="179" t="str">
        <f t="array" ref="AI12">IF($F12&lt;&gt;"",XLOOKUP($F12,Productos!$A:$A,Productos!AB:AB,"Revisar"),"")</f>
        <v/>
      </c>
      <c r="AJ12" s="179" t="str">
        <f t="array" ref="AJ12">IF($F12&lt;&gt;"", XLOOKUP($F12,Productos!$A$2:$A1001,Productos!AC$2:AC1001,"")*$G12,"")</f>
        <v/>
      </c>
      <c r="AK12" s="179" t="str">
        <f t="array" ref="AK12">IF($F12&lt;&gt;"",XLOOKUP($F12,Productos!$A:$A,Productos!AD:AD,"Revisar"),"")</f>
        <v/>
      </c>
      <c r="AL12" s="179" t="str">
        <f t="array" ref="AL12">IF($F12&lt;&gt;"", XLOOKUP($F12,Productos!$A$2:$A1001,Productos!AE$2:AE1001,"")*$G12,"")</f>
        <v/>
      </c>
      <c r="AM12" s="179" t="str">
        <f t="array" ref="AM12">IF($F12&lt;&gt;"",XLOOKUP($F12,Productos!$A:$A,Productos!AF:AF,"Revisar"),"")</f>
        <v/>
      </c>
      <c r="AN12" s="179" t="str">
        <f t="array" ref="AN12">IF($F12&lt;&gt;"", XLOOKUP($F12,Productos!$A$2:$A1001,Productos!AG$2:AG1001,"")*$G12,"")</f>
        <v/>
      </c>
      <c r="AO12" s="179" t="str">
        <f t="array" ref="AO12">IF($F12&lt;&gt;"",XLOOKUP($F12,Productos!$A:$A,Productos!AH:AH,"Revisar"),"")</f>
        <v/>
      </c>
      <c r="AP12" s="179" t="str">
        <f t="array" ref="AP12">IF($F12&lt;&gt;"", XLOOKUP($F12,Productos!$A$2:$A1001,Productos!AI$2:AI1001,"")*$G12,"")</f>
        <v/>
      </c>
      <c r="AQ12" s="179" t="str">
        <f t="array" ref="AQ12">IF($F12&lt;&gt;"",XLOOKUP($F12,Productos!$A:$A,Productos!AJ:AJ,"Revisar"),"")</f>
        <v/>
      </c>
      <c r="AR12" s="179" t="str">
        <f t="array" ref="AR12">IF($F12&lt;&gt;"", XLOOKUP($F12,Productos!$A$2:$A1001,Productos!AK$2:AK1001,"")*$G12,"")</f>
        <v/>
      </c>
      <c r="AS12" s="179" t="str">
        <f t="array" ref="AS12">IF($F12&lt;&gt;"",XLOOKUP($F12,Productos!$A:$A,Productos!AL:AL,"Revisar"),"")</f>
        <v/>
      </c>
      <c r="AT12" s="179" t="str">
        <f t="array" ref="AT12">IF($F12&lt;&gt;"", XLOOKUP($F12,Productos!$A$2:$A1001,Productos!AM$2:AM1001,"")*$G12,"")</f>
        <v/>
      </c>
      <c r="AU12" s="179" t="str">
        <f t="array" ref="AU12">IF($F12&lt;&gt;"",XLOOKUP($F12,Productos!$A:$A,Productos!AN:AN,"Revisar"),"")</f>
        <v/>
      </c>
      <c r="AV12" s="179" t="str">
        <f t="array" ref="AV12">IF($F12&lt;&gt;"", XLOOKUP($F12,Productos!$A$2:$A1001,Productos!AO$2:AO1001,"")*$G12,"")</f>
        <v/>
      </c>
      <c r="AW12" s="179" t="str">
        <f t="array" ref="AW12">IF($F12&lt;&gt;"",XLOOKUP($F12,Productos!$A:$A,Productos!AP:AP,"Revisar"),"")</f>
        <v/>
      </c>
      <c r="AX12" s="179" t="str">
        <f t="array" ref="AX12">IF($F12&lt;&gt;"", XLOOKUP($F12,Productos!$A$2:$A1001,Productos!AQ$2:AQ1001,"")*$G12,"")</f>
        <v/>
      </c>
      <c r="AY12" s="179" t="str">
        <f t="array" ref="AY12">IF($F12&lt;&gt;"",XLOOKUP($F12,Productos!$A:$A,Productos!AR:AR,"Revisar"),"")</f>
        <v/>
      </c>
      <c r="AZ12" s="179" t="str">
        <f t="array" ref="AZ12">IF($F12&lt;&gt;"", XLOOKUP($F12,Productos!$A$2:$A1001,Productos!AS$2:AS1001,"")*$G12,"")</f>
        <v/>
      </c>
      <c r="BA12" s="179" t="str">
        <f t="array" ref="BA12">IF($F12&lt;&gt;"",XLOOKUP($F12,Productos!$A:$A,Productos!AT:AT,"Revisar"),"")</f>
        <v/>
      </c>
      <c r="BB12" s="179" t="str">
        <f t="array" ref="BB12">IF($F12&lt;&gt;"", XLOOKUP($F12,Productos!$A$2:$A1001,Productos!AU$2:AU1001,"")*$G12,"")</f>
        <v/>
      </c>
      <c r="BC12" s="179" t="str">
        <f t="array" ref="BC12">IF($F12&lt;&gt;"",XLOOKUP($F12,Productos!$A:$A,Productos!AV:AV,"Revisar"),"")</f>
        <v/>
      </c>
      <c r="BD12" s="179" t="str">
        <f t="array" ref="BD12">IF($F12&lt;&gt;"", XLOOKUP($F12,Productos!$A$2:$A1001,Productos!AW$2:AW1001,"")*$G12,"")</f>
        <v/>
      </c>
      <c r="BE12" s="179" t="str">
        <f t="array" ref="BE12">IF($F12&lt;&gt;"",XLOOKUP($F12,Productos!$A:$A,Productos!AX:AX,"Revisar"),"")</f>
        <v/>
      </c>
      <c r="BF12" s="179" t="str">
        <f t="array" ref="BF12">IF($F12&lt;&gt;"", XLOOKUP($F12,Productos!$A$2:$A1001,Productos!AY$2:AY1001,"")*$G12,"")</f>
        <v/>
      </c>
      <c r="BG12" s="179" t="str">
        <f t="array" ref="BG12">IF($F12&lt;&gt;"",XLOOKUP($F12,Productos!$A:$A,Productos!AZ:AZ,"Revisar"),"")</f>
        <v/>
      </c>
      <c r="BH12" s="179" t="str">
        <f t="array" ref="BH12">IF($F12&lt;&gt;"", XLOOKUP($F12,Productos!$A$2:$A1001,Productos!BA$2:BA1001,"")*$G12,"")</f>
        <v/>
      </c>
      <c r="BI12" s="179" t="str">
        <f t="array" ref="BI12">IF($F12&lt;&gt;"",XLOOKUP($F12,Productos!$A:$A,Productos!BB:BB,"Revisar"),"")</f>
        <v/>
      </c>
      <c r="BJ12" s="179" t="str">
        <f t="array" ref="BJ12">IF($F12&lt;&gt;"", XLOOKUP($F12,Productos!$A$2:$A1001,Productos!BC$2:BC1001,"")*$G12,"")</f>
        <v/>
      </c>
      <c r="BK12" s="179" t="str">
        <f t="array" ref="BK12">IF($F12&lt;&gt;"",XLOOKUP($F12,Productos!$A:$A,Productos!BD:BD,"Revisar"),"")</f>
        <v/>
      </c>
      <c r="BL12" s="179" t="str">
        <f t="array" ref="BL12">IF($F12&lt;&gt;"", XLOOKUP($F12,Productos!$A$2:$A1001,Productos!BE$2:BE1001,"")*$G12,"")</f>
        <v/>
      </c>
      <c r="BM12" s="179" t="str">
        <f t="array" ref="BM12">IF($F12&lt;&gt;"",XLOOKUP($F12,Productos!$A:$A,Productos!BF:BF,"Revisar"),"")</f>
        <v/>
      </c>
      <c r="BN12" s="179" t="str">
        <f t="array" ref="BN12">IF($F12&lt;&gt;"", XLOOKUP($F12,Productos!$A$2:$A1001,Productos!BG$2:BG1001,"")*$G12,"")</f>
        <v/>
      </c>
      <c r="BO12" s="179" t="str">
        <f t="array" ref="BO12">IF($F12&lt;&gt;"",XLOOKUP($F12,Productos!$A:$A,Productos!BH:BH,"Revisar"),"")</f>
        <v/>
      </c>
      <c r="BP12" s="179" t="str">
        <f t="array" ref="BP12">IF($F12&lt;&gt;"", XLOOKUP($F12,Productos!$A$2:$A1001,Productos!BI$2:BI1001,"")*$G12,"")</f>
        <v/>
      </c>
      <c r="BQ12" s="179" t="str">
        <f t="array" ref="BQ12">IF($F12&lt;&gt;"",XLOOKUP($F12,Productos!$A:$A,Productos!BJ:BJ,"Revisar"),"")</f>
        <v/>
      </c>
      <c r="BR12" s="179" t="str">
        <f t="array" ref="BR12">IF($F12&lt;&gt;"", XLOOKUP($F12,Productos!$A$2:$A1001,Productos!BK$2:BK1001,"")*$G12,"")</f>
        <v/>
      </c>
      <c r="BS12" s="179" t="str">
        <f t="array" ref="BS12">IF($F12&lt;&gt;"",XLOOKUP($F12,Productos!$A:$A,Productos!BL:BL,"Revisar"),"")</f>
        <v/>
      </c>
      <c r="BT12" s="179" t="str">
        <f t="array" ref="BT12">IF($F12&lt;&gt;"", XLOOKUP($F12,Productos!$A$2:$A1001,Productos!BM$2:BM1001,"")*$G12,"")</f>
        <v/>
      </c>
      <c r="BU12" s="179" t="str">
        <f t="array" ref="BU12">IF($F12&lt;&gt;"",XLOOKUP($F12,Productos!$A:$A,Productos!BN:BN,"Revisar"),"")</f>
        <v/>
      </c>
      <c r="BV12" s="179" t="str">
        <f t="array" ref="BV12">IF($F12&lt;&gt;"", XLOOKUP($F12,Productos!$A$2:$A1001,Productos!BO$2:BO1001,"")*$G12,"")</f>
        <v/>
      </c>
      <c r="BW12" s="179" t="str">
        <f t="array" ref="BW12">IF($F12&lt;&gt;"",XLOOKUP($F12,Productos!$A:$A,Productos!BP:BP,"Revisar"),"")</f>
        <v/>
      </c>
      <c r="BX12" s="179" t="str">
        <f t="array" ref="BX12">IF($F12&lt;&gt;"", XLOOKUP($F12,Productos!$A$2:$A1001,Productos!BQ$2:BQ1001,"")*$G12,"")</f>
        <v/>
      </c>
      <c r="BY12" s="179" t="str">
        <f t="array" ref="BY12">IF($F12&lt;&gt;"",XLOOKUP($F12,Productos!$A:$A,Productos!BR:BR,"Revisar"),"")</f>
        <v/>
      </c>
      <c r="BZ12" s="179" t="str">
        <f t="array" ref="BZ12">IF($F12&lt;&gt;"", XLOOKUP($F12,Productos!$A$2:$A1001,Productos!BS$2:BS1001,"")*$G12,"")</f>
        <v/>
      </c>
    </row>
    <row r="13">
      <c r="A13" s="180"/>
      <c r="B13" s="181"/>
      <c r="C13" s="182"/>
      <c r="D13" s="182"/>
      <c r="E13" s="185"/>
      <c r="F13" s="177"/>
      <c r="G13" s="184"/>
      <c r="H13" s="177"/>
      <c r="I13" s="179" t="str">
        <f t="array" ref="I13">IF($F13&lt;&gt;"",XLOOKUP($F13,Productos!$A:$A,Productos!B:B,"Revisar"),"")</f>
        <v/>
      </c>
      <c r="J13" s="179" t="str">
        <f t="array" ref="J13">IF($F13&lt;&gt;"", XLOOKUP($F13,Productos!$A$2:$A1001,Productos!C$2:C1001,"")*$G13,"")</f>
        <v/>
      </c>
      <c r="K13" s="179" t="str">
        <f t="array" ref="K13">IF($F13&lt;&gt;"",XLOOKUP($F13,Productos!$A:$A,Productos!D:D,"Revisar"),"")</f>
        <v/>
      </c>
      <c r="L13" s="179" t="str">
        <f t="array" ref="L13">IF($F13&lt;&gt;"", XLOOKUP($F13,Productos!$A$2:$A1001,Productos!E$2:E1001,"")*$G13,"")</f>
        <v/>
      </c>
      <c r="M13" s="179" t="str">
        <f t="array" ref="M13">IF($F13&lt;&gt;"",XLOOKUP($F13,Productos!$A:$A,Productos!F:F,"Revisar"),"")</f>
        <v/>
      </c>
      <c r="N13" s="179" t="str">
        <f t="array" ref="N13">IF($F13&lt;&gt;"", XLOOKUP($F13,Productos!$A$2:$A1001,Productos!G$2:G1001,"")*$G13,"")</f>
        <v/>
      </c>
      <c r="O13" s="179" t="str">
        <f t="array" ref="O13">IF($F13&lt;&gt;"",XLOOKUP($F13,Productos!$A:$A,Productos!H:H,"Revisar"),"")</f>
        <v/>
      </c>
      <c r="P13" s="179" t="str">
        <f t="array" ref="P13">IF($F13&lt;&gt;"", XLOOKUP($F13,Productos!$A$2:$A1001,Productos!I$2:I1001,"")*$G13,"")</f>
        <v/>
      </c>
      <c r="Q13" s="179" t="str">
        <f t="array" ref="Q13">IF($F13&lt;&gt;"",XLOOKUP($F13,Productos!$A:$A,Productos!J:J,"Revisar"),"")</f>
        <v/>
      </c>
      <c r="R13" s="179" t="str">
        <f t="array" ref="R13">IF($F13&lt;&gt;"", XLOOKUP($F13,Productos!$A$2:$A1001,Productos!K$2:K1001,"")*$G13,"")</f>
        <v/>
      </c>
      <c r="S13" s="179" t="str">
        <f t="array" ref="S13">IF($F13&lt;&gt;"",XLOOKUP($F13,Productos!$A:$A,Productos!L:L,"Revisar"),"")</f>
        <v/>
      </c>
      <c r="T13" s="179" t="str">
        <f t="array" ref="T13">IF($F13&lt;&gt;"", XLOOKUP($F13,Productos!$A$2:$A1001,Productos!M$2:M1001,"")*$G13,"")</f>
        <v/>
      </c>
      <c r="U13" s="179" t="str">
        <f t="array" ref="U13">IF($F13&lt;&gt;"",XLOOKUP($F13,Productos!$A:$A,Productos!N:N,"Revisar"),"")</f>
        <v/>
      </c>
      <c r="V13" s="179" t="str">
        <f t="array" ref="V13">IF($F13&lt;&gt;"", XLOOKUP($F13,Productos!$A$2:$A1001,Productos!O$2:O1001,"")*$G13,"")</f>
        <v/>
      </c>
      <c r="W13" s="179" t="str">
        <f t="array" ref="W13">IF($F13&lt;&gt;"",XLOOKUP($F13,Productos!$A:$A,Productos!P:P,"Revisar"),"")</f>
        <v/>
      </c>
      <c r="X13" s="179" t="str">
        <f t="array" ref="X13">IF($F13&lt;&gt;"", XLOOKUP($F13,Productos!$A$2:$A1001,Productos!Q$2:Q1001,"")*$G13,"")</f>
        <v/>
      </c>
      <c r="Y13" s="179" t="str">
        <f t="array" ref="Y13">IF($F13&lt;&gt;"",XLOOKUP($F13,Productos!$A:$A,Productos!R:R,"Revisar"),"")</f>
        <v/>
      </c>
      <c r="Z13" s="179" t="str">
        <f t="array" ref="Z13">IF($F13&lt;&gt;"", XLOOKUP($F13,Productos!$A$2:$A1001,Productos!S$2:S1001,"")*$G13,"")</f>
        <v/>
      </c>
      <c r="AA13" s="179" t="str">
        <f t="array" ref="AA13">IF($F13&lt;&gt;"",XLOOKUP($F13,Productos!$A:$A,Productos!T:T,"Revisar"),"")</f>
        <v/>
      </c>
      <c r="AB13" s="179" t="str">
        <f t="array" ref="AB13">IF($F13&lt;&gt;"", XLOOKUP($F13,Productos!$A$2:$A1001,Productos!U$2:U1001,"")*$G13,"")</f>
        <v/>
      </c>
      <c r="AC13" s="179" t="str">
        <f t="array" ref="AC13">IF($F13&lt;&gt;"",XLOOKUP($F13,Productos!$A:$A,Productos!V:V,"Revisar"),"")</f>
        <v/>
      </c>
      <c r="AD13" s="179" t="str">
        <f t="array" ref="AD13">IF($F13&lt;&gt;"", XLOOKUP($F13,Productos!$A$2:$A1001,Productos!W$2:W1001,"")*$G13,"")</f>
        <v/>
      </c>
      <c r="AE13" s="179" t="str">
        <f t="array" ref="AE13">IF($F13&lt;&gt;"",XLOOKUP($F13,Productos!$A:$A,Productos!X:X,"Revisar"),"")</f>
        <v/>
      </c>
      <c r="AF13" s="179" t="str">
        <f t="array" ref="AF13">IF($F13&lt;&gt;"", XLOOKUP($F13,Productos!$A$2:$A1001,Productos!Y$2:Y1001,"")*$G13,"")</f>
        <v/>
      </c>
      <c r="AG13" s="179" t="str">
        <f t="array" ref="AG13">IF($F13&lt;&gt;"",XLOOKUP($F13,Productos!$A:$A,Productos!Z:Z,"Revisar"),"")</f>
        <v/>
      </c>
      <c r="AH13" s="179" t="str">
        <f t="array" ref="AH13">IF($F13&lt;&gt;"", XLOOKUP($F13,Productos!$A$2:$A1001,Productos!AA$2:AA1001,"")*$G13,"")</f>
        <v/>
      </c>
      <c r="AI13" s="179" t="str">
        <f t="array" ref="AI13">IF($F13&lt;&gt;"",XLOOKUP($F13,Productos!$A:$A,Productos!AB:AB,"Revisar"),"")</f>
        <v/>
      </c>
      <c r="AJ13" s="179" t="str">
        <f t="array" ref="AJ13">IF($F13&lt;&gt;"", XLOOKUP($F13,Productos!$A$2:$A1001,Productos!AC$2:AC1001,"")*$G13,"")</f>
        <v/>
      </c>
      <c r="AK13" s="179" t="str">
        <f t="array" ref="AK13">IF($F13&lt;&gt;"",XLOOKUP($F13,Productos!$A:$A,Productos!AD:AD,"Revisar"),"")</f>
        <v/>
      </c>
      <c r="AL13" s="179" t="str">
        <f t="array" ref="AL13">IF($F13&lt;&gt;"", XLOOKUP($F13,Productos!$A$2:$A1001,Productos!AE$2:AE1001,"")*$G13,"")</f>
        <v/>
      </c>
      <c r="AM13" s="179" t="str">
        <f t="array" ref="AM13">IF($F13&lt;&gt;"",XLOOKUP($F13,Productos!$A:$A,Productos!AF:AF,"Revisar"),"")</f>
        <v/>
      </c>
      <c r="AN13" s="179" t="str">
        <f t="array" ref="AN13">IF($F13&lt;&gt;"", XLOOKUP($F13,Productos!$A$2:$A1001,Productos!AG$2:AG1001,"")*$G13,"")</f>
        <v/>
      </c>
      <c r="AO13" s="179" t="str">
        <f t="array" ref="AO13">IF($F13&lt;&gt;"",XLOOKUP($F13,Productos!$A:$A,Productos!AH:AH,"Revisar"),"")</f>
        <v/>
      </c>
      <c r="AP13" s="179" t="str">
        <f t="array" ref="AP13">IF($F13&lt;&gt;"", XLOOKUP($F13,Productos!$A$2:$A1001,Productos!AI$2:AI1001,"")*$G13,"")</f>
        <v/>
      </c>
      <c r="AQ13" s="179" t="str">
        <f t="array" ref="AQ13">IF($F13&lt;&gt;"",XLOOKUP($F13,Productos!$A:$A,Productos!AJ:AJ,"Revisar"),"")</f>
        <v/>
      </c>
      <c r="AR13" s="179" t="str">
        <f t="array" ref="AR13">IF($F13&lt;&gt;"", XLOOKUP($F13,Productos!$A$2:$A1001,Productos!AK$2:AK1001,"")*$G13,"")</f>
        <v/>
      </c>
      <c r="AS13" s="179" t="str">
        <f t="array" ref="AS13">IF($F13&lt;&gt;"",XLOOKUP($F13,Productos!$A:$A,Productos!AL:AL,"Revisar"),"")</f>
        <v/>
      </c>
      <c r="AT13" s="179" t="str">
        <f t="array" ref="AT13">IF($F13&lt;&gt;"", XLOOKUP($F13,Productos!$A$2:$A1001,Productos!AM$2:AM1001,"")*$G13,"")</f>
        <v/>
      </c>
      <c r="AU13" s="179" t="str">
        <f t="array" ref="AU13">IF($F13&lt;&gt;"",XLOOKUP($F13,Productos!$A:$A,Productos!AN:AN,"Revisar"),"")</f>
        <v/>
      </c>
      <c r="AV13" s="179" t="str">
        <f t="array" ref="AV13">IF($F13&lt;&gt;"", XLOOKUP($F13,Productos!$A$2:$A1001,Productos!AO$2:AO1001,"")*$G13,"")</f>
        <v/>
      </c>
      <c r="AW13" s="179" t="str">
        <f t="array" ref="AW13">IF($F13&lt;&gt;"",XLOOKUP($F13,Productos!$A:$A,Productos!AP:AP,"Revisar"),"")</f>
        <v/>
      </c>
      <c r="AX13" s="179" t="str">
        <f t="array" ref="AX13">IF($F13&lt;&gt;"", XLOOKUP($F13,Productos!$A$2:$A1001,Productos!AQ$2:AQ1001,"")*$G13,"")</f>
        <v/>
      </c>
      <c r="AY13" s="179" t="str">
        <f t="array" ref="AY13">IF($F13&lt;&gt;"",XLOOKUP($F13,Productos!$A:$A,Productos!AR:AR,"Revisar"),"")</f>
        <v/>
      </c>
      <c r="AZ13" s="179" t="str">
        <f t="array" ref="AZ13">IF($F13&lt;&gt;"", XLOOKUP($F13,Productos!$A$2:$A1001,Productos!AS$2:AS1001,"")*$G13,"")</f>
        <v/>
      </c>
      <c r="BA13" s="179" t="str">
        <f t="array" ref="BA13">IF($F13&lt;&gt;"",XLOOKUP($F13,Productos!$A:$A,Productos!AT:AT,"Revisar"),"")</f>
        <v/>
      </c>
      <c r="BB13" s="179" t="str">
        <f t="array" ref="BB13">IF($F13&lt;&gt;"", XLOOKUP($F13,Productos!$A$2:$A1001,Productos!AU$2:AU1001,"")*$G13,"")</f>
        <v/>
      </c>
      <c r="BC13" s="179" t="str">
        <f t="array" ref="BC13">IF($F13&lt;&gt;"",XLOOKUP($F13,Productos!$A:$A,Productos!AV:AV,"Revisar"),"")</f>
        <v/>
      </c>
      <c r="BD13" s="179" t="str">
        <f t="array" ref="BD13">IF($F13&lt;&gt;"", XLOOKUP($F13,Productos!$A$2:$A1001,Productos!AW$2:AW1001,"")*$G13,"")</f>
        <v/>
      </c>
      <c r="BE13" s="179" t="str">
        <f t="array" ref="BE13">IF($F13&lt;&gt;"",XLOOKUP($F13,Productos!$A:$A,Productos!AX:AX,"Revisar"),"")</f>
        <v/>
      </c>
      <c r="BF13" s="179" t="str">
        <f t="array" ref="BF13">IF($F13&lt;&gt;"", XLOOKUP($F13,Productos!$A$2:$A1001,Productos!AY$2:AY1001,"")*$G13,"")</f>
        <v/>
      </c>
      <c r="BG13" s="179" t="str">
        <f t="array" ref="BG13">IF($F13&lt;&gt;"",XLOOKUP($F13,Productos!$A:$A,Productos!AZ:AZ,"Revisar"),"")</f>
        <v/>
      </c>
      <c r="BH13" s="179" t="str">
        <f t="array" ref="BH13">IF($F13&lt;&gt;"", XLOOKUP($F13,Productos!$A$2:$A1001,Productos!BA$2:BA1001,"")*$G13,"")</f>
        <v/>
      </c>
      <c r="BI13" s="179" t="str">
        <f t="array" ref="BI13">IF($F13&lt;&gt;"",XLOOKUP($F13,Productos!$A:$A,Productos!BB:BB,"Revisar"),"")</f>
        <v/>
      </c>
      <c r="BJ13" s="179" t="str">
        <f t="array" ref="BJ13">IF($F13&lt;&gt;"", XLOOKUP($F13,Productos!$A$2:$A1001,Productos!BC$2:BC1001,"")*$G13,"")</f>
        <v/>
      </c>
      <c r="BK13" s="179" t="str">
        <f t="array" ref="BK13">IF($F13&lt;&gt;"",XLOOKUP($F13,Productos!$A:$A,Productos!BD:BD,"Revisar"),"")</f>
        <v/>
      </c>
      <c r="BL13" s="179" t="str">
        <f t="array" ref="BL13">IF($F13&lt;&gt;"", XLOOKUP($F13,Productos!$A$2:$A1001,Productos!BE$2:BE1001,"")*$G13,"")</f>
        <v/>
      </c>
      <c r="BM13" s="179" t="str">
        <f t="array" ref="BM13">IF($F13&lt;&gt;"",XLOOKUP($F13,Productos!$A:$A,Productos!BF:BF,"Revisar"),"")</f>
        <v/>
      </c>
      <c r="BN13" s="179" t="str">
        <f t="array" ref="BN13">IF($F13&lt;&gt;"", XLOOKUP($F13,Productos!$A$2:$A1001,Productos!BG$2:BG1001,"")*$G13,"")</f>
        <v/>
      </c>
      <c r="BO13" s="179" t="str">
        <f t="array" ref="BO13">IF($F13&lt;&gt;"",XLOOKUP($F13,Productos!$A:$A,Productos!BH:BH,"Revisar"),"")</f>
        <v/>
      </c>
      <c r="BP13" s="179" t="str">
        <f t="array" ref="BP13">IF($F13&lt;&gt;"", XLOOKUP($F13,Productos!$A$2:$A1001,Productos!BI$2:BI1001,"")*$G13,"")</f>
        <v/>
      </c>
      <c r="BQ13" s="179" t="str">
        <f t="array" ref="BQ13">IF($F13&lt;&gt;"",XLOOKUP($F13,Productos!$A:$A,Productos!BJ:BJ,"Revisar"),"")</f>
        <v/>
      </c>
      <c r="BR13" s="179" t="str">
        <f t="array" ref="BR13">IF($F13&lt;&gt;"", XLOOKUP($F13,Productos!$A$2:$A1001,Productos!BK$2:BK1001,"")*$G13,"")</f>
        <v/>
      </c>
      <c r="BS13" s="179" t="str">
        <f t="array" ref="BS13">IF($F13&lt;&gt;"",XLOOKUP($F13,Productos!$A:$A,Productos!BL:BL,"Revisar"),"")</f>
        <v/>
      </c>
      <c r="BT13" s="179" t="str">
        <f t="array" ref="BT13">IF($F13&lt;&gt;"", XLOOKUP($F13,Productos!$A$2:$A1001,Productos!BM$2:BM1001,"")*$G13,"")</f>
        <v/>
      </c>
      <c r="BU13" s="179" t="str">
        <f t="array" ref="BU13">IF($F13&lt;&gt;"",XLOOKUP($F13,Productos!$A:$A,Productos!BN:BN,"Revisar"),"")</f>
        <v/>
      </c>
      <c r="BV13" s="179" t="str">
        <f t="array" ref="BV13">IF($F13&lt;&gt;"", XLOOKUP($F13,Productos!$A$2:$A1001,Productos!BO$2:BO1001,"")*$G13,"")</f>
        <v/>
      </c>
      <c r="BW13" s="179" t="str">
        <f t="array" ref="BW13">IF($F13&lt;&gt;"",XLOOKUP($F13,Productos!$A:$A,Productos!BP:BP,"Revisar"),"")</f>
        <v/>
      </c>
      <c r="BX13" s="179" t="str">
        <f t="array" ref="BX13">IF($F13&lt;&gt;"", XLOOKUP($F13,Productos!$A$2:$A1001,Productos!BQ$2:BQ1001,"")*$G13,"")</f>
        <v/>
      </c>
      <c r="BY13" s="179" t="str">
        <f t="array" ref="BY13">IF($F13&lt;&gt;"",XLOOKUP($F13,Productos!$A:$A,Productos!BR:BR,"Revisar"),"")</f>
        <v/>
      </c>
      <c r="BZ13" s="179" t="str">
        <f t="array" ref="BZ13">IF($F13&lt;&gt;"", XLOOKUP($F13,Productos!$A$2:$A1001,Productos!BS$2:BS1001,"")*$G13,"")</f>
        <v/>
      </c>
    </row>
    <row r="14">
      <c r="A14" s="180"/>
      <c r="B14" s="181"/>
      <c r="C14" s="182"/>
      <c r="D14" s="182"/>
      <c r="E14" s="185"/>
      <c r="F14" s="186"/>
      <c r="G14" s="187"/>
      <c r="H14" s="186"/>
      <c r="I14" s="179" t="str">
        <f t="array" ref="I14">IF($F14&lt;&gt;"",XLOOKUP($F14,Productos!$A:$A,Productos!B:B,"Revisar"),"")</f>
        <v/>
      </c>
      <c r="J14" s="179" t="str">
        <f t="array" ref="J14">IF($F14&lt;&gt;"", XLOOKUP($F14,Productos!$A$2:$A1001,Productos!C$2:C1001,"")*$G14,"")</f>
        <v/>
      </c>
      <c r="K14" s="179" t="str">
        <f t="array" ref="K14">IF($F14&lt;&gt;"",XLOOKUP($F14,Productos!$A:$A,Productos!D:D,"Revisar"),"")</f>
        <v/>
      </c>
      <c r="L14" s="179" t="str">
        <f t="array" ref="L14">IF($F14&lt;&gt;"", XLOOKUP($F14,Productos!$A$2:$A1001,Productos!E$2:E1001,"")*$G14,"")</f>
        <v/>
      </c>
      <c r="M14" s="179" t="str">
        <f t="array" ref="M14">IF($F14&lt;&gt;"",XLOOKUP($F14,Productos!$A:$A,Productos!F:F,"Revisar"),"")</f>
        <v/>
      </c>
      <c r="N14" s="179" t="str">
        <f t="array" ref="N14">IF($F14&lt;&gt;"", XLOOKUP($F14,Productos!$A$2:$A1001,Productos!G$2:G1001,"")*$G14,"")</f>
        <v/>
      </c>
      <c r="O14" s="179" t="str">
        <f t="array" ref="O14">IF($F14&lt;&gt;"",XLOOKUP($F14,Productos!$A:$A,Productos!H:H,"Revisar"),"")</f>
        <v/>
      </c>
      <c r="P14" s="179" t="str">
        <f t="array" ref="P14">IF($F14&lt;&gt;"", XLOOKUP($F14,Productos!$A$2:$A1001,Productos!I$2:I1001,"")*$G14,"")</f>
        <v/>
      </c>
      <c r="Q14" s="179" t="str">
        <f t="array" ref="Q14">IF($F14&lt;&gt;"",XLOOKUP($F14,Productos!$A:$A,Productos!J:J,"Revisar"),"")</f>
        <v/>
      </c>
      <c r="R14" s="179" t="str">
        <f t="array" ref="R14">IF($F14&lt;&gt;"", XLOOKUP($F14,Productos!$A$2:$A1001,Productos!K$2:K1001,"")*$G14,"")</f>
        <v/>
      </c>
      <c r="S14" s="179" t="str">
        <f t="array" ref="S14">IF($F14&lt;&gt;"",XLOOKUP($F14,Productos!$A:$A,Productos!L:L,"Revisar"),"")</f>
        <v/>
      </c>
      <c r="T14" s="179" t="str">
        <f t="array" ref="T14">IF($F14&lt;&gt;"", XLOOKUP($F14,Productos!$A$2:$A1001,Productos!M$2:M1001,"")*$G14,"")</f>
        <v/>
      </c>
      <c r="U14" s="179" t="str">
        <f t="array" ref="U14">IF($F14&lt;&gt;"",XLOOKUP($F14,Productos!$A:$A,Productos!N:N,"Revisar"),"")</f>
        <v/>
      </c>
      <c r="V14" s="179" t="str">
        <f t="array" ref="V14">IF($F14&lt;&gt;"", XLOOKUP($F14,Productos!$A$2:$A1001,Productos!O$2:O1001,"")*$G14,"")</f>
        <v/>
      </c>
      <c r="W14" s="179" t="str">
        <f t="array" ref="W14">IF($F14&lt;&gt;"",XLOOKUP($F14,Productos!$A:$A,Productos!P:P,"Revisar"),"")</f>
        <v/>
      </c>
      <c r="X14" s="179" t="str">
        <f t="array" ref="X14">IF($F14&lt;&gt;"", XLOOKUP($F14,Productos!$A$2:$A1001,Productos!Q$2:Q1001,"")*$G14,"")</f>
        <v/>
      </c>
      <c r="Y14" s="179" t="str">
        <f t="array" ref="Y14">IF($F14&lt;&gt;"",XLOOKUP($F14,Productos!$A:$A,Productos!R:R,"Revisar"),"")</f>
        <v/>
      </c>
      <c r="Z14" s="179" t="str">
        <f t="array" ref="Z14">IF($F14&lt;&gt;"", XLOOKUP($F14,Productos!$A$2:$A1001,Productos!S$2:S1001,"")*$G14,"")</f>
        <v/>
      </c>
      <c r="AA14" s="179" t="str">
        <f t="array" ref="AA14">IF($F14&lt;&gt;"",XLOOKUP($F14,Productos!$A:$A,Productos!T:T,"Revisar"),"")</f>
        <v/>
      </c>
      <c r="AB14" s="179" t="str">
        <f t="array" ref="AB14">IF($F14&lt;&gt;"", XLOOKUP($F14,Productos!$A$2:$A1001,Productos!U$2:U1001,"")*$G14,"")</f>
        <v/>
      </c>
      <c r="AC14" s="179" t="str">
        <f t="array" ref="AC14">IF($F14&lt;&gt;"",XLOOKUP($F14,Productos!$A:$A,Productos!V:V,"Revisar"),"")</f>
        <v/>
      </c>
      <c r="AD14" s="179" t="str">
        <f t="array" ref="AD14">IF($F14&lt;&gt;"", XLOOKUP($F14,Productos!$A$2:$A1001,Productos!W$2:W1001,"")*$G14,"")</f>
        <v/>
      </c>
      <c r="AE14" s="179" t="str">
        <f t="array" ref="AE14">IF($F14&lt;&gt;"",XLOOKUP($F14,Productos!$A:$A,Productos!X:X,"Revisar"),"")</f>
        <v/>
      </c>
      <c r="AF14" s="179" t="str">
        <f t="array" ref="AF14">IF($F14&lt;&gt;"", XLOOKUP($F14,Productos!$A$2:$A1001,Productos!Y$2:Y1001,"")*$G14,"")</f>
        <v/>
      </c>
      <c r="AG14" s="179" t="str">
        <f t="array" ref="AG14">IF($F14&lt;&gt;"",XLOOKUP($F14,Productos!$A:$A,Productos!Z:Z,"Revisar"),"")</f>
        <v/>
      </c>
      <c r="AH14" s="179" t="str">
        <f t="array" ref="AH14">IF($F14&lt;&gt;"", XLOOKUP($F14,Productos!$A$2:$A1001,Productos!AA$2:AA1001,"")*$G14,"")</f>
        <v/>
      </c>
      <c r="AI14" s="179" t="str">
        <f t="array" ref="AI14">IF($F14&lt;&gt;"",XLOOKUP($F14,Productos!$A:$A,Productos!AB:AB,"Revisar"),"")</f>
        <v/>
      </c>
      <c r="AJ14" s="179" t="str">
        <f t="array" ref="AJ14">IF($F14&lt;&gt;"", XLOOKUP($F14,Productos!$A$2:$A1001,Productos!AC$2:AC1001,"")*$G14,"")</f>
        <v/>
      </c>
      <c r="AK14" s="179" t="str">
        <f t="array" ref="AK14">IF($F14&lt;&gt;"",XLOOKUP($F14,Productos!$A:$A,Productos!AD:AD,"Revisar"),"")</f>
        <v/>
      </c>
      <c r="AL14" s="179" t="str">
        <f t="array" ref="AL14">IF($F14&lt;&gt;"", XLOOKUP($F14,Productos!$A$2:$A1001,Productos!AE$2:AE1001,"")*$G14,"")</f>
        <v/>
      </c>
      <c r="AM14" s="179" t="str">
        <f t="array" ref="AM14">IF($F14&lt;&gt;"",XLOOKUP($F14,Productos!$A:$A,Productos!AF:AF,"Revisar"),"")</f>
        <v/>
      </c>
      <c r="AN14" s="179" t="str">
        <f t="array" ref="AN14">IF($F14&lt;&gt;"", XLOOKUP($F14,Productos!$A$2:$A1001,Productos!AG$2:AG1001,"")*$G14,"")</f>
        <v/>
      </c>
      <c r="AO14" s="179" t="str">
        <f t="array" ref="AO14">IF($F14&lt;&gt;"",XLOOKUP($F14,Productos!$A:$A,Productos!AH:AH,"Revisar"),"")</f>
        <v/>
      </c>
      <c r="AP14" s="179" t="str">
        <f t="array" ref="AP14">IF($F14&lt;&gt;"", XLOOKUP($F14,Productos!$A$2:$A1001,Productos!AI$2:AI1001,"")*$G14,"")</f>
        <v/>
      </c>
      <c r="AQ14" s="179" t="str">
        <f t="array" ref="AQ14">IF($F14&lt;&gt;"",XLOOKUP($F14,Productos!$A:$A,Productos!AJ:AJ,"Revisar"),"")</f>
        <v/>
      </c>
      <c r="AR14" s="179" t="str">
        <f t="array" ref="AR14">IF($F14&lt;&gt;"", XLOOKUP($F14,Productos!$A$2:$A1001,Productos!AK$2:AK1001,"")*$G14,"")</f>
        <v/>
      </c>
      <c r="AS14" s="179" t="str">
        <f t="array" ref="AS14">IF($F14&lt;&gt;"",XLOOKUP($F14,Productos!$A:$A,Productos!AL:AL,"Revisar"),"")</f>
        <v/>
      </c>
      <c r="AT14" s="179" t="str">
        <f t="array" ref="AT14">IF($F14&lt;&gt;"", XLOOKUP($F14,Productos!$A$2:$A1001,Productos!AM$2:AM1001,"")*$G14,"")</f>
        <v/>
      </c>
      <c r="AU14" s="179" t="str">
        <f t="array" ref="AU14">IF($F14&lt;&gt;"",XLOOKUP($F14,Productos!$A:$A,Productos!AN:AN,"Revisar"),"")</f>
        <v/>
      </c>
      <c r="AV14" s="179" t="str">
        <f t="array" ref="AV14">IF($F14&lt;&gt;"", XLOOKUP($F14,Productos!$A$2:$A1001,Productos!AO$2:AO1001,"")*$G14,"")</f>
        <v/>
      </c>
      <c r="AW14" s="179" t="str">
        <f t="array" ref="AW14">IF($F14&lt;&gt;"",XLOOKUP($F14,Productos!$A:$A,Productos!AP:AP,"Revisar"),"")</f>
        <v/>
      </c>
      <c r="AX14" s="179" t="str">
        <f t="array" ref="AX14">IF($F14&lt;&gt;"", XLOOKUP($F14,Productos!$A$2:$A1001,Productos!AQ$2:AQ1001,"")*$G14,"")</f>
        <v/>
      </c>
      <c r="AY14" s="179" t="str">
        <f t="array" ref="AY14">IF($F14&lt;&gt;"",XLOOKUP($F14,Productos!$A:$A,Productos!AR:AR,"Revisar"),"")</f>
        <v/>
      </c>
      <c r="AZ14" s="179" t="str">
        <f t="array" ref="AZ14">IF($F14&lt;&gt;"", XLOOKUP($F14,Productos!$A$2:$A1001,Productos!AS$2:AS1001,"")*$G14,"")</f>
        <v/>
      </c>
      <c r="BA14" s="179" t="str">
        <f t="array" ref="BA14">IF($F14&lt;&gt;"",XLOOKUP($F14,Productos!$A:$A,Productos!AT:AT,"Revisar"),"")</f>
        <v/>
      </c>
      <c r="BB14" s="179" t="str">
        <f t="array" ref="BB14">IF($F14&lt;&gt;"", XLOOKUP($F14,Productos!$A$2:$A1001,Productos!AU$2:AU1001,"")*$G14,"")</f>
        <v/>
      </c>
      <c r="BC14" s="179" t="str">
        <f t="array" ref="BC14">IF($F14&lt;&gt;"",XLOOKUP($F14,Productos!$A:$A,Productos!AV:AV,"Revisar"),"")</f>
        <v/>
      </c>
      <c r="BD14" s="179" t="str">
        <f t="array" ref="BD14">IF($F14&lt;&gt;"", XLOOKUP($F14,Productos!$A$2:$A1001,Productos!AW$2:AW1001,"")*$G14,"")</f>
        <v/>
      </c>
      <c r="BE14" s="179" t="str">
        <f t="array" ref="BE14">IF($F14&lt;&gt;"",XLOOKUP($F14,Productos!$A:$A,Productos!AX:AX,"Revisar"),"")</f>
        <v/>
      </c>
      <c r="BF14" s="179" t="str">
        <f t="array" ref="BF14">IF($F14&lt;&gt;"", XLOOKUP($F14,Productos!$A$2:$A1001,Productos!AY$2:AY1001,"")*$G14,"")</f>
        <v/>
      </c>
      <c r="BG14" s="179" t="str">
        <f t="array" ref="BG14">IF($F14&lt;&gt;"",XLOOKUP($F14,Productos!$A:$A,Productos!AZ:AZ,"Revisar"),"")</f>
        <v/>
      </c>
      <c r="BH14" s="179" t="str">
        <f t="array" ref="BH14">IF($F14&lt;&gt;"", XLOOKUP($F14,Productos!$A$2:$A1001,Productos!BA$2:BA1001,"")*$G14,"")</f>
        <v/>
      </c>
      <c r="BI14" s="179" t="str">
        <f t="array" ref="BI14">IF($F14&lt;&gt;"",XLOOKUP($F14,Productos!$A:$A,Productos!BB:BB,"Revisar"),"")</f>
        <v/>
      </c>
      <c r="BJ14" s="179" t="str">
        <f t="array" ref="BJ14">IF($F14&lt;&gt;"", XLOOKUP($F14,Productos!$A$2:$A1001,Productos!BC$2:BC1001,"")*$G14,"")</f>
        <v/>
      </c>
      <c r="BK14" s="179" t="str">
        <f t="array" ref="BK14">IF($F14&lt;&gt;"",XLOOKUP($F14,Productos!$A:$A,Productos!BD:BD,"Revisar"),"")</f>
        <v/>
      </c>
      <c r="BL14" s="179" t="str">
        <f t="array" ref="BL14">IF($F14&lt;&gt;"", XLOOKUP($F14,Productos!$A$2:$A1001,Productos!BE$2:BE1001,"")*$G14,"")</f>
        <v/>
      </c>
      <c r="BM14" s="179" t="str">
        <f t="array" ref="BM14">IF($F14&lt;&gt;"",XLOOKUP($F14,Productos!$A:$A,Productos!BF:BF,"Revisar"),"")</f>
        <v/>
      </c>
      <c r="BN14" s="179" t="str">
        <f t="array" ref="BN14">IF($F14&lt;&gt;"", XLOOKUP($F14,Productos!$A$2:$A1001,Productos!BG$2:BG1001,"")*$G14,"")</f>
        <v/>
      </c>
      <c r="BO14" s="179" t="str">
        <f t="array" ref="BO14">IF($F14&lt;&gt;"",XLOOKUP($F14,Productos!$A:$A,Productos!BH:BH,"Revisar"),"")</f>
        <v/>
      </c>
      <c r="BP14" s="179" t="str">
        <f t="array" ref="BP14">IF($F14&lt;&gt;"", XLOOKUP($F14,Productos!$A$2:$A1001,Productos!BI$2:BI1001,"")*$G14,"")</f>
        <v/>
      </c>
      <c r="BQ14" s="179" t="str">
        <f t="array" ref="BQ14">IF($F14&lt;&gt;"",XLOOKUP($F14,Productos!$A:$A,Productos!BJ:BJ,"Revisar"),"")</f>
        <v/>
      </c>
      <c r="BR14" s="179" t="str">
        <f t="array" ref="BR14">IF($F14&lt;&gt;"", XLOOKUP($F14,Productos!$A$2:$A1001,Productos!BK$2:BK1001,"")*$G14,"")</f>
        <v/>
      </c>
      <c r="BS14" s="179" t="str">
        <f t="array" ref="BS14">IF($F14&lt;&gt;"",XLOOKUP($F14,Productos!$A:$A,Productos!BL:BL,"Revisar"),"")</f>
        <v/>
      </c>
      <c r="BT14" s="179" t="str">
        <f t="array" ref="BT14">IF($F14&lt;&gt;"", XLOOKUP($F14,Productos!$A$2:$A1001,Productos!BM$2:BM1001,"")*$G14,"")</f>
        <v/>
      </c>
      <c r="BU14" s="179" t="str">
        <f t="array" ref="BU14">IF($F14&lt;&gt;"",XLOOKUP($F14,Productos!$A:$A,Productos!BN:BN,"Revisar"),"")</f>
        <v/>
      </c>
      <c r="BV14" s="179" t="str">
        <f t="array" ref="BV14">IF($F14&lt;&gt;"", XLOOKUP($F14,Productos!$A$2:$A1001,Productos!BO$2:BO1001,"")*$G14,"")</f>
        <v/>
      </c>
      <c r="BW14" s="179" t="str">
        <f t="array" ref="BW14">IF($F14&lt;&gt;"",XLOOKUP($F14,Productos!$A:$A,Productos!BP:BP,"Revisar"),"")</f>
        <v/>
      </c>
      <c r="BX14" s="179" t="str">
        <f t="array" ref="BX14">IF($F14&lt;&gt;"", XLOOKUP($F14,Productos!$A$2:$A1001,Productos!BQ$2:BQ1001,"")*$G14,"")</f>
        <v/>
      </c>
      <c r="BY14" s="179" t="str">
        <f t="array" ref="BY14">IF($F14&lt;&gt;"",XLOOKUP($F14,Productos!$A:$A,Productos!BR:BR,"Revisar"),"")</f>
        <v/>
      </c>
      <c r="BZ14" s="179" t="str">
        <f t="array" ref="BZ14">IF($F14&lt;&gt;"", XLOOKUP($F14,Productos!$A$2:$A1001,Productos!BS$2:BS1001,"")*$G14,"")</f>
        <v/>
      </c>
    </row>
    <row r="15">
      <c r="A15" s="180"/>
      <c r="B15" s="181"/>
      <c r="C15" s="182"/>
      <c r="D15" s="182"/>
      <c r="E15" s="185"/>
      <c r="F15" s="186"/>
      <c r="G15" s="187"/>
      <c r="H15" s="186"/>
      <c r="I15" s="179" t="str">
        <f t="array" ref="I15">IF($F15&lt;&gt;"",XLOOKUP($F15,Productos!$A:$A,Productos!B:B,"Revisar"),"")</f>
        <v/>
      </c>
      <c r="J15" s="179" t="str">
        <f t="array" ref="J15">IF($F15&lt;&gt;"", XLOOKUP($F15,Productos!$A$2:$A1001,Productos!C$2:C1001,"")*$G15,"")</f>
        <v/>
      </c>
      <c r="K15" s="179" t="str">
        <f t="array" ref="K15">IF($F15&lt;&gt;"",XLOOKUP($F15,Productos!$A:$A,Productos!D:D,"Revisar"),"")</f>
        <v/>
      </c>
      <c r="L15" s="179" t="str">
        <f t="array" ref="L15">IF($F15&lt;&gt;"", XLOOKUP($F15,Productos!$A$2:$A1001,Productos!E$2:E1001,"")*$G15,"")</f>
        <v/>
      </c>
      <c r="M15" s="179" t="str">
        <f t="array" ref="M15">IF($F15&lt;&gt;"",XLOOKUP($F15,Productos!$A:$A,Productos!F:F,"Revisar"),"")</f>
        <v/>
      </c>
      <c r="N15" s="179" t="str">
        <f t="array" ref="N15">IF($F15&lt;&gt;"", XLOOKUP($F15,Productos!$A$2:$A1001,Productos!G$2:G1001,"")*$G15,"")</f>
        <v/>
      </c>
      <c r="O15" s="179" t="str">
        <f t="array" ref="O15">IF($F15&lt;&gt;"",XLOOKUP($F15,Productos!$A:$A,Productos!H:H,"Revisar"),"")</f>
        <v/>
      </c>
      <c r="P15" s="179" t="str">
        <f t="array" ref="P15">IF($F15&lt;&gt;"", XLOOKUP($F15,Productos!$A$2:$A1001,Productos!I$2:I1001,"")*$G15,"")</f>
        <v/>
      </c>
      <c r="Q15" s="179" t="str">
        <f t="array" ref="Q15">IF($F15&lt;&gt;"",XLOOKUP($F15,Productos!$A:$A,Productos!J:J,"Revisar"),"")</f>
        <v/>
      </c>
      <c r="R15" s="179" t="str">
        <f t="array" ref="R15">IF($F15&lt;&gt;"", XLOOKUP($F15,Productos!$A$2:$A1001,Productos!K$2:K1001,"")*$G15,"")</f>
        <v/>
      </c>
      <c r="S15" s="179" t="str">
        <f t="array" ref="S15">IF($F15&lt;&gt;"",XLOOKUP($F15,Productos!$A:$A,Productos!L:L,"Revisar"),"")</f>
        <v/>
      </c>
      <c r="T15" s="179" t="str">
        <f t="array" ref="T15">IF($F15&lt;&gt;"", XLOOKUP($F15,Productos!$A$2:$A1001,Productos!M$2:M1001,"")*$G15,"")</f>
        <v/>
      </c>
      <c r="U15" s="179" t="str">
        <f t="array" ref="U15">IF($F15&lt;&gt;"",XLOOKUP($F15,Productos!$A:$A,Productos!N:N,"Revisar"),"")</f>
        <v/>
      </c>
      <c r="V15" s="179" t="str">
        <f t="array" ref="V15">IF($F15&lt;&gt;"", XLOOKUP($F15,Productos!$A$2:$A1001,Productos!O$2:O1001,"")*$G15,"")</f>
        <v/>
      </c>
      <c r="W15" s="179" t="str">
        <f t="array" ref="W15">IF($F15&lt;&gt;"",XLOOKUP($F15,Productos!$A:$A,Productos!P:P,"Revisar"),"")</f>
        <v/>
      </c>
      <c r="X15" s="179" t="str">
        <f t="array" ref="X15">IF($F15&lt;&gt;"", XLOOKUP($F15,Productos!$A$2:$A1001,Productos!Q$2:Q1001,"")*$G15,"")</f>
        <v/>
      </c>
      <c r="Y15" s="179" t="str">
        <f t="array" ref="Y15">IF($F15&lt;&gt;"",XLOOKUP($F15,Productos!$A:$A,Productos!R:R,"Revisar"),"")</f>
        <v/>
      </c>
      <c r="Z15" s="179" t="str">
        <f t="array" ref="Z15">IF($F15&lt;&gt;"", XLOOKUP($F15,Productos!$A$2:$A1001,Productos!S$2:S1001,"")*$G15,"")</f>
        <v/>
      </c>
      <c r="AA15" s="179" t="str">
        <f t="array" ref="AA15">IF($F15&lt;&gt;"",XLOOKUP($F15,Productos!$A:$A,Productos!T:T,"Revisar"),"")</f>
        <v/>
      </c>
      <c r="AB15" s="179" t="str">
        <f t="array" ref="AB15">IF($F15&lt;&gt;"", XLOOKUP($F15,Productos!$A$2:$A1001,Productos!U$2:U1001,"")*$G15,"")</f>
        <v/>
      </c>
      <c r="AC15" s="179" t="str">
        <f t="array" ref="AC15">IF($F15&lt;&gt;"",XLOOKUP($F15,Productos!$A:$A,Productos!V:V,"Revisar"),"")</f>
        <v/>
      </c>
      <c r="AD15" s="179" t="str">
        <f t="array" ref="AD15">IF($F15&lt;&gt;"", XLOOKUP($F15,Productos!$A$2:$A1001,Productos!W$2:W1001,"")*$G15,"")</f>
        <v/>
      </c>
      <c r="AE15" s="179" t="str">
        <f t="array" ref="AE15">IF($F15&lt;&gt;"",XLOOKUP($F15,Productos!$A:$A,Productos!X:X,"Revisar"),"")</f>
        <v/>
      </c>
      <c r="AF15" s="179" t="str">
        <f t="array" ref="AF15">IF($F15&lt;&gt;"", XLOOKUP($F15,Productos!$A$2:$A1001,Productos!Y$2:Y1001,"")*$G15,"")</f>
        <v/>
      </c>
      <c r="AG15" s="179" t="str">
        <f t="array" ref="AG15">IF($F15&lt;&gt;"",XLOOKUP($F15,Productos!$A:$A,Productos!Z:Z,"Revisar"),"")</f>
        <v/>
      </c>
      <c r="AH15" s="179" t="str">
        <f t="array" ref="AH15">IF($F15&lt;&gt;"", XLOOKUP($F15,Productos!$A$2:$A1001,Productos!AA$2:AA1001,"")*$G15,"")</f>
        <v/>
      </c>
      <c r="AI15" s="179" t="str">
        <f t="array" ref="AI15">IF($F15&lt;&gt;"",XLOOKUP($F15,Productos!$A:$A,Productos!AB:AB,"Revisar"),"")</f>
        <v/>
      </c>
      <c r="AJ15" s="179" t="str">
        <f t="array" ref="AJ15">IF($F15&lt;&gt;"", XLOOKUP($F15,Productos!$A$2:$A1001,Productos!AC$2:AC1001,"")*$G15,"")</f>
        <v/>
      </c>
      <c r="AK15" s="179" t="str">
        <f t="array" ref="AK15">IF($F15&lt;&gt;"",XLOOKUP($F15,Productos!$A:$A,Productos!AD:AD,"Revisar"),"")</f>
        <v/>
      </c>
      <c r="AL15" s="179" t="str">
        <f t="array" ref="AL15">IF($F15&lt;&gt;"", XLOOKUP($F15,Productos!$A$2:$A1001,Productos!AE$2:AE1001,"")*$G15,"")</f>
        <v/>
      </c>
      <c r="AM15" s="179" t="str">
        <f t="array" ref="AM15">IF($F15&lt;&gt;"",XLOOKUP($F15,Productos!$A:$A,Productos!AF:AF,"Revisar"),"")</f>
        <v/>
      </c>
      <c r="AN15" s="179" t="str">
        <f t="array" ref="AN15">IF($F15&lt;&gt;"", XLOOKUP($F15,Productos!$A$2:$A1001,Productos!AG$2:AG1001,"")*$G15,"")</f>
        <v/>
      </c>
      <c r="AO15" s="179" t="str">
        <f t="array" ref="AO15">IF($F15&lt;&gt;"",XLOOKUP($F15,Productos!$A:$A,Productos!AH:AH,"Revisar"),"")</f>
        <v/>
      </c>
      <c r="AP15" s="179" t="str">
        <f t="array" ref="AP15">IF($F15&lt;&gt;"", XLOOKUP($F15,Productos!$A$2:$A1001,Productos!AI$2:AI1001,"")*$G15,"")</f>
        <v/>
      </c>
      <c r="AQ15" s="179" t="str">
        <f t="array" ref="AQ15">IF($F15&lt;&gt;"",XLOOKUP($F15,Productos!$A:$A,Productos!AJ:AJ,"Revisar"),"")</f>
        <v/>
      </c>
      <c r="AR15" s="179" t="str">
        <f t="array" ref="AR15">IF($F15&lt;&gt;"", XLOOKUP($F15,Productos!$A$2:$A1001,Productos!AK$2:AK1001,"")*$G15,"")</f>
        <v/>
      </c>
      <c r="AS15" s="179" t="str">
        <f t="array" ref="AS15">IF($F15&lt;&gt;"",XLOOKUP($F15,Productos!$A:$A,Productos!AL:AL,"Revisar"),"")</f>
        <v/>
      </c>
      <c r="AT15" s="179" t="str">
        <f t="array" ref="AT15">IF($F15&lt;&gt;"", XLOOKUP($F15,Productos!$A$2:$A1001,Productos!AM$2:AM1001,"")*$G15,"")</f>
        <v/>
      </c>
      <c r="AU15" s="179" t="str">
        <f t="array" ref="AU15">IF($F15&lt;&gt;"",XLOOKUP($F15,Productos!$A:$A,Productos!AN:AN,"Revisar"),"")</f>
        <v/>
      </c>
      <c r="AV15" s="179" t="str">
        <f t="array" ref="AV15">IF($F15&lt;&gt;"", XLOOKUP($F15,Productos!$A$2:$A1001,Productos!AO$2:AO1001,"")*$G15,"")</f>
        <v/>
      </c>
      <c r="AW15" s="179" t="str">
        <f t="array" ref="AW15">IF($F15&lt;&gt;"",XLOOKUP($F15,Productos!$A:$A,Productos!AP:AP,"Revisar"),"")</f>
        <v/>
      </c>
      <c r="AX15" s="179" t="str">
        <f t="array" ref="AX15">IF($F15&lt;&gt;"", XLOOKUP($F15,Productos!$A$2:$A1001,Productos!AQ$2:AQ1001,"")*$G15,"")</f>
        <v/>
      </c>
      <c r="AY15" s="179" t="str">
        <f t="array" ref="AY15">IF($F15&lt;&gt;"",XLOOKUP($F15,Productos!$A:$A,Productos!AR:AR,"Revisar"),"")</f>
        <v/>
      </c>
      <c r="AZ15" s="179" t="str">
        <f t="array" ref="AZ15">IF($F15&lt;&gt;"", XLOOKUP($F15,Productos!$A$2:$A1001,Productos!AS$2:AS1001,"")*$G15,"")</f>
        <v/>
      </c>
      <c r="BA15" s="179" t="str">
        <f t="array" ref="BA15">IF($F15&lt;&gt;"",XLOOKUP($F15,Productos!$A:$A,Productos!AT:AT,"Revisar"),"")</f>
        <v/>
      </c>
      <c r="BB15" s="179" t="str">
        <f t="array" ref="BB15">IF($F15&lt;&gt;"", XLOOKUP($F15,Productos!$A$2:$A1001,Productos!AU$2:AU1001,"")*$G15,"")</f>
        <v/>
      </c>
      <c r="BC15" s="179" t="str">
        <f t="array" ref="BC15">IF($F15&lt;&gt;"",XLOOKUP($F15,Productos!$A:$A,Productos!AV:AV,"Revisar"),"")</f>
        <v/>
      </c>
      <c r="BD15" s="179" t="str">
        <f t="array" ref="BD15">IF($F15&lt;&gt;"", XLOOKUP($F15,Productos!$A$2:$A1001,Productos!AW$2:AW1001,"")*$G15,"")</f>
        <v/>
      </c>
      <c r="BE15" s="179" t="str">
        <f t="array" ref="BE15">IF($F15&lt;&gt;"",XLOOKUP($F15,Productos!$A:$A,Productos!AX:AX,"Revisar"),"")</f>
        <v/>
      </c>
      <c r="BF15" s="179" t="str">
        <f t="array" ref="BF15">IF($F15&lt;&gt;"", XLOOKUP($F15,Productos!$A$2:$A1001,Productos!AY$2:AY1001,"")*$G15,"")</f>
        <v/>
      </c>
      <c r="BG15" s="179" t="str">
        <f t="array" ref="BG15">IF($F15&lt;&gt;"",XLOOKUP($F15,Productos!$A:$A,Productos!AZ:AZ,"Revisar"),"")</f>
        <v/>
      </c>
      <c r="BH15" s="179" t="str">
        <f t="array" ref="BH15">IF($F15&lt;&gt;"", XLOOKUP($F15,Productos!$A$2:$A1001,Productos!BA$2:BA1001,"")*$G15,"")</f>
        <v/>
      </c>
      <c r="BI15" s="179" t="str">
        <f t="array" ref="BI15">IF($F15&lt;&gt;"",XLOOKUP($F15,Productos!$A:$A,Productos!BB:BB,"Revisar"),"")</f>
        <v/>
      </c>
      <c r="BJ15" s="179" t="str">
        <f t="array" ref="BJ15">IF($F15&lt;&gt;"", XLOOKUP($F15,Productos!$A$2:$A1001,Productos!BC$2:BC1001,"")*$G15,"")</f>
        <v/>
      </c>
      <c r="BK15" s="179" t="str">
        <f t="array" ref="BK15">IF($F15&lt;&gt;"",XLOOKUP($F15,Productos!$A:$A,Productos!BD:BD,"Revisar"),"")</f>
        <v/>
      </c>
      <c r="BL15" s="179" t="str">
        <f t="array" ref="BL15">IF($F15&lt;&gt;"", XLOOKUP($F15,Productos!$A$2:$A1001,Productos!BE$2:BE1001,"")*$G15,"")</f>
        <v/>
      </c>
      <c r="BM15" s="179" t="str">
        <f t="array" ref="BM15">IF($F15&lt;&gt;"",XLOOKUP($F15,Productos!$A:$A,Productos!BF:BF,"Revisar"),"")</f>
        <v/>
      </c>
      <c r="BN15" s="179" t="str">
        <f t="array" ref="BN15">IF($F15&lt;&gt;"", XLOOKUP($F15,Productos!$A$2:$A1001,Productos!BG$2:BG1001,"")*$G15,"")</f>
        <v/>
      </c>
      <c r="BO15" s="179" t="str">
        <f t="array" ref="BO15">IF($F15&lt;&gt;"",XLOOKUP($F15,Productos!$A:$A,Productos!BH:BH,"Revisar"),"")</f>
        <v/>
      </c>
      <c r="BP15" s="179" t="str">
        <f t="array" ref="BP15">IF($F15&lt;&gt;"", XLOOKUP($F15,Productos!$A$2:$A1001,Productos!BI$2:BI1001,"")*$G15,"")</f>
        <v/>
      </c>
      <c r="BQ15" s="179" t="str">
        <f t="array" ref="BQ15">IF($F15&lt;&gt;"",XLOOKUP($F15,Productos!$A:$A,Productos!BJ:BJ,"Revisar"),"")</f>
        <v/>
      </c>
      <c r="BR15" s="179" t="str">
        <f t="array" ref="BR15">IF($F15&lt;&gt;"", XLOOKUP($F15,Productos!$A$2:$A1001,Productos!BK$2:BK1001,"")*$G15,"")</f>
        <v/>
      </c>
      <c r="BS15" s="179" t="str">
        <f t="array" ref="BS15">IF($F15&lt;&gt;"",XLOOKUP($F15,Productos!$A:$A,Productos!BL:BL,"Revisar"),"")</f>
        <v/>
      </c>
      <c r="BT15" s="179" t="str">
        <f t="array" ref="BT15">IF($F15&lt;&gt;"", XLOOKUP($F15,Productos!$A$2:$A1001,Productos!BM$2:BM1001,"")*$G15,"")</f>
        <v/>
      </c>
      <c r="BU15" s="179" t="str">
        <f t="array" ref="BU15">IF($F15&lt;&gt;"",XLOOKUP($F15,Productos!$A:$A,Productos!BN:BN,"Revisar"),"")</f>
        <v/>
      </c>
      <c r="BV15" s="179" t="str">
        <f t="array" ref="BV15">IF($F15&lt;&gt;"", XLOOKUP($F15,Productos!$A$2:$A1001,Productos!BO$2:BO1001,"")*$G15,"")</f>
        <v/>
      </c>
      <c r="BW15" s="179" t="str">
        <f t="array" ref="BW15">IF($F15&lt;&gt;"",XLOOKUP($F15,Productos!$A:$A,Productos!BP:BP,"Revisar"),"")</f>
        <v/>
      </c>
      <c r="BX15" s="179" t="str">
        <f t="array" ref="BX15">IF($F15&lt;&gt;"", XLOOKUP($F15,Productos!$A$2:$A1001,Productos!BQ$2:BQ1001,"")*$G15,"")</f>
        <v/>
      </c>
      <c r="BY15" s="179" t="str">
        <f t="array" ref="BY15">IF($F15&lt;&gt;"",XLOOKUP($F15,Productos!$A:$A,Productos!BR:BR,"Revisar"),"")</f>
        <v/>
      </c>
      <c r="BZ15" s="179" t="str">
        <f t="array" ref="BZ15">IF($F15&lt;&gt;"", XLOOKUP($F15,Productos!$A$2:$A1001,Productos!BS$2:BS1001,"")*$G15,"")</f>
        <v/>
      </c>
    </row>
    <row r="16">
      <c r="A16" s="180"/>
      <c r="B16" s="181"/>
      <c r="C16" s="182"/>
      <c r="D16" s="182"/>
      <c r="E16" s="185"/>
      <c r="F16" s="186"/>
      <c r="G16" s="187"/>
      <c r="H16" s="186"/>
      <c r="I16" s="179" t="str">
        <f t="array" ref="I16">IF($F16&lt;&gt;"",XLOOKUP($F16,Productos!$A:$A,Productos!B:B,"Revisar"),"")</f>
        <v/>
      </c>
      <c r="J16" s="179" t="str">
        <f t="array" ref="J16">IF($F16&lt;&gt;"", XLOOKUP($F16,Productos!$A$2:$A1001,Productos!C$2:C1001,"")*$G16,"")</f>
        <v/>
      </c>
      <c r="K16" s="179" t="str">
        <f t="array" ref="K16">IF($F16&lt;&gt;"",XLOOKUP($F16,Productos!$A:$A,Productos!D:D,"Revisar"),"")</f>
        <v/>
      </c>
      <c r="L16" s="179" t="str">
        <f t="array" ref="L16">IF($F16&lt;&gt;"", XLOOKUP($F16,Productos!$A$2:$A1001,Productos!E$2:E1001,"")*$G16,"")</f>
        <v/>
      </c>
      <c r="M16" s="179" t="str">
        <f t="array" ref="M16">IF($F16&lt;&gt;"",XLOOKUP($F16,Productos!$A:$A,Productos!F:F,"Revisar"),"")</f>
        <v/>
      </c>
      <c r="N16" s="179" t="str">
        <f t="array" ref="N16">IF($F16&lt;&gt;"", XLOOKUP($F16,Productos!$A$2:$A1001,Productos!G$2:G1001,"")*$G16,"")</f>
        <v/>
      </c>
      <c r="O16" s="179" t="str">
        <f t="array" ref="O16">IF($F16&lt;&gt;"",XLOOKUP($F16,Productos!$A:$A,Productos!H:H,"Revisar"),"")</f>
        <v/>
      </c>
      <c r="P16" s="179" t="str">
        <f t="array" ref="P16">IF($F16&lt;&gt;"", XLOOKUP($F16,Productos!$A$2:$A1001,Productos!I$2:I1001,"")*$G16,"")</f>
        <v/>
      </c>
      <c r="Q16" s="179" t="str">
        <f t="array" ref="Q16">IF($F16&lt;&gt;"",XLOOKUP($F16,Productos!$A:$A,Productos!J:J,"Revisar"),"")</f>
        <v/>
      </c>
      <c r="R16" s="179" t="str">
        <f t="array" ref="R16">IF($F16&lt;&gt;"", XLOOKUP($F16,Productos!$A$2:$A1001,Productos!K$2:K1001,"")*$G16,"")</f>
        <v/>
      </c>
      <c r="S16" s="179" t="str">
        <f t="array" ref="S16">IF($F16&lt;&gt;"",XLOOKUP($F16,Productos!$A:$A,Productos!L:L,"Revisar"),"")</f>
        <v/>
      </c>
      <c r="T16" s="179" t="str">
        <f t="array" ref="T16">IF($F16&lt;&gt;"", XLOOKUP($F16,Productos!$A$2:$A1001,Productos!M$2:M1001,"")*$G16,"")</f>
        <v/>
      </c>
      <c r="U16" s="179" t="str">
        <f t="array" ref="U16">IF($F16&lt;&gt;"",XLOOKUP($F16,Productos!$A:$A,Productos!N:N,"Revisar"),"")</f>
        <v/>
      </c>
      <c r="V16" s="179" t="str">
        <f t="array" ref="V16">IF($F16&lt;&gt;"", XLOOKUP($F16,Productos!$A$2:$A1001,Productos!O$2:O1001,"")*$G16,"")</f>
        <v/>
      </c>
      <c r="W16" s="179" t="str">
        <f t="array" ref="W16">IF($F16&lt;&gt;"",XLOOKUP($F16,Productos!$A:$A,Productos!P:P,"Revisar"),"")</f>
        <v/>
      </c>
      <c r="X16" s="179" t="str">
        <f t="array" ref="X16">IF($F16&lt;&gt;"", XLOOKUP($F16,Productos!$A$2:$A1001,Productos!Q$2:Q1001,"")*$G16,"")</f>
        <v/>
      </c>
      <c r="Y16" s="179" t="str">
        <f t="array" ref="Y16">IF($F16&lt;&gt;"",XLOOKUP($F16,Productos!$A:$A,Productos!R:R,"Revisar"),"")</f>
        <v/>
      </c>
      <c r="Z16" s="179" t="str">
        <f t="array" ref="Z16">IF($F16&lt;&gt;"", XLOOKUP($F16,Productos!$A$2:$A1001,Productos!S$2:S1001,"")*$G16,"")</f>
        <v/>
      </c>
      <c r="AA16" s="179" t="str">
        <f t="array" ref="AA16">IF($F16&lt;&gt;"",XLOOKUP($F16,Productos!$A:$A,Productos!T:T,"Revisar"),"")</f>
        <v/>
      </c>
      <c r="AB16" s="179" t="str">
        <f t="array" ref="AB16">IF($F16&lt;&gt;"", XLOOKUP($F16,Productos!$A$2:$A1001,Productos!U$2:U1001,"")*$G16,"")</f>
        <v/>
      </c>
      <c r="AC16" s="179" t="str">
        <f t="array" ref="AC16">IF($F16&lt;&gt;"",XLOOKUP($F16,Productos!$A:$A,Productos!V:V,"Revisar"),"")</f>
        <v/>
      </c>
      <c r="AD16" s="179" t="str">
        <f t="array" ref="AD16">IF($F16&lt;&gt;"", XLOOKUP($F16,Productos!$A$2:$A1001,Productos!W$2:W1001,"")*$G16,"")</f>
        <v/>
      </c>
      <c r="AE16" s="179" t="str">
        <f t="array" ref="AE16">IF($F16&lt;&gt;"",XLOOKUP($F16,Productos!$A:$A,Productos!X:X,"Revisar"),"")</f>
        <v/>
      </c>
      <c r="AF16" s="179" t="str">
        <f t="array" ref="AF16">IF($F16&lt;&gt;"", XLOOKUP($F16,Productos!$A$2:$A1001,Productos!Y$2:Y1001,"")*$G16,"")</f>
        <v/>
      </c>
      <c r="AG16" s="179" t="str">
        <f t="array" ref="AG16">IF($F16&lt;&gt;"",XLOOKUP($F16,Productos!$A:$A,Productos!Z:Z,"Revisar"),"")</f>
        <v/>
      </c>
      <c r="AH16" s="179" t="str">
        <f t="array" ref="AH16">IF($F16&lt;&gt;"", XLOOKUP($F16,Productos!$A$2:$A1001,Productos!AA$2:AA1001,"")*$G16,"")</f>
        <v/>
      </c>
      <c r="AI16" s="179" t="str">
        <f t="array" ref="AI16">IF($F16&lt;&gt;"",XLOOKUP($F16,Productos!$A:$A,Productos!AB:AB,"Revisar"),"")</f>
        <v/>
      </c>
      <c r="AJ16" s="179" t="str">
        <f t="array" ref="AJ16">IF($F16&lt;&gt;"", XLOOKUP($F16,Productos!$A$2:$A1001,Productos!AC$2:AC1001,"")*$G16,"")</f>
        <v/>
      </c>
      <c r="AK16" s="179" t="str">
        <f t="array" ref="AK16">IF($F16&lt;&gt;"",XLOOKUP($F16,Productos!$A:$A,Productos!AD:AD,"Revisar"),"")</f>
        <v/>
      </c>
      <c r="AL16" s="179" t="str">
        <f t="array" ref="AL16">IF($F16&lt;&gt;"", XLOOKUP($F16,Productos!$A$2:$A1001,Productos!AE$2:AE1001,"")*$G16,"")</f>
        <v/>
      </c>
      <c r="AM16" s="179" t="str">
        <f t="array" ref="AM16">IF($F16&lt;&gt;"",XLOOKUP($F16,Productos!$A:$A,Productos!AF:AF,"Revisar"),"")</f>
        <v/>
      </c>
      <c r="AN16" s="179" t="str">
        <f t="array" ref="AN16">IF($F16&lt;&gt;"", XLOOKUP($F16,Productos!$A$2:$A1001,Productos!AG$2:AG1001,"")*$G16,"")</f>
        <v/>
      </c>
      <c r="AO16" s="179" t="str">
        <f t="array" ref="AO16">IF($F16&lt;&gt;"",XLOOKUP($F16,Productos!$A:$A,Productos!AH:AH,"Revisar"),"")</f>
        <v/>
      </c>
      <c r="AP16" s="179" t="str">
        <f t="array" ref="AP16">IF($F16&lt;&gt;"", XLOOKUP($F16,Productos!$A$2:$A1001,Productos!AI$2:AI1001,"")*$G16,"")</f>
        <v/>
      </c>
      <c r="AQ16" s="179" t="str">
        <f t="array" ref="AQ16">IF($F16&lt;&gt;"",XLOOKUP($F16,Productos!$A:$A,Productos!AJ:AJ,"Revisar"),"")</f>
        <v/>
      </c>
      <c r="AR16" s="179" t="str">
        <f t="array" ref="AR16">IF($F16&lt;&gt;"", XLOOKUP($F16,Productos!$A$2:$A1001,Productos!AK$2:AK1001,"")*$G16,"")</f>
        <v/>
      </c>
      <c r="AS16" s="179" t="str">
        <f t="array" ref="AS16">IF($F16&lt;&gt;"",XLOOKUP($F16,Productos!$A:$A,Productos!AL:AL,"Revisar"),"")</f>
        <v/>
      </c>
      <c r="AT16" s="179" t="str">
        <f t="array" ref="AT16">IF($F16&lt;&gt;"", XLOOKUP($F16,Productos!$A$2:$A1001,Productos!AM$2:AM1001,"")*$G16,"")</f>
        <v/>
      </c>
      <c r="AU16" s="179" t="str">
        <f t="array" ref="AU16">IF($F16&lt;&gt;"",XLOOKUP($F16,Productos!$A:$A,Productos!AN:AN,"Revisar"),"")</f>
        <v/>
      </c>
      <c r="AV16" s="179" t="str">
        <f t="array" ref="AV16">IF($F16&lt;&gt;"", XLOOKUP($F16,Productos!$A$2:$A1001,Productos!AO$2:AO1001,"")*$G16,"")</f>
        <v/>
      </c>
      <c r="AW16" s="179" t="str">
        <f t="array" ref="AW16">IF($F16&lt;&gt;"",XLOOKUP($F16,Productos!$A:$A,Productos!AP:AP,"Revisar"),"")</f>
        <v/>
      </c>
      <c r="AX16" s="179" t="str">
        <f t="array" ref="AX16">IF($F16&lt;&gt;"", XLOOKUP($F16,Productos!$A$2:$A1001,Productos!AQ$2:AQ1001,"")*$G16,"")</f>
        <v/>
      </c>
      <c r="AY16" s="179" t="str">
        <f t="array" ref="AY16">IF($F16&lt;&gt;"",XLOOKUP($F16,Productos!$A:$A,Productos!AR:AR,"Revisar"),"")</f>
        <v/>
      </c>
      <c r="AZ16" s="179" t="str">
        <f t="array" ref="AZ16">IF($F16&lt;&gt;"", XLOOKUP($F16,Productos!$A$2:$A1001,Productos!AS$2:AS1001,"")*$G16,"")</f>
        <v/>
      </c>
      <c r="BA16" s="179" t="str">
        <f t="array" ref="BA16">IF($F16&lt;&gt;"",XLOOKUP($F16,Productos!$A:$A,Productos!AT:AT,"Revisar"),"")</f>
        <v/>
      </c>
      <c r="BB16" s="179" t="str">
        <f t="array" ref="BB16">IF($F16&lt;&gt;"", XLOOKUP($F16,Productos!$A$2:$A1001,Productos!AU$2:AU1001,"")*$G16,"")</f>
        <v/>
      </c>
      <c r="BC16" s="179" t="str">
        <f t="array" ref="BC16">IF($F16&lt;&gt;"",XLOOKUP($F16,Productos!$A:$A,Productos!AV:AV,"Revisar"),"")</f>
        <v/>
      </c>
      <c r="BD16" s="179" t="str">
        <f t="array" ref="BD16">IF($F16&lt;&gt;"", XLOOKUP($F16,Productos!$A$2:$A1001,Productos!AW$2:AW1001,"")*$G16,"")</f>
        <v/>
      </c>
      <c r="BE16" s="179" t="str">
        <f t="array" ref="BE16">IF($F16&lt;&gt;"",XLOOKUP($F16,Productos!$A:$A,Productos!AX:AX,"Revisar"),"")</f>
        <v/>
      </c>
      <c r="BF16" s="179" t="str">
        <f t="array" ref="BF16">IF($F16&lt;&gt;"", XLOOKUP($F16,Productos!$A$2:$A1001,Productos!AY$2:AY1001,"")*$G16,"")</f>
        <v/>
      </c>
      <c r="BG16" s="179" t="str">
        <f t="array" ref="BG16">IF($F16&lt;&gt;"",XLOOKUP($F16,Productos!$A:$A,Productos!AZ:AZ,"Revisar"),"")</f>
        <v/>
      </c>
      <c r="BH16" s="179" t="str">
        <f t="array" ref="BH16">IF($F16&lt;&gt;"", XLOOKUP($F16,Productos!$A$2:$A1001,Productos!BA$2:BA1001,"")*$G16,"")</f>
        <v/>
      </c>
      <c r="BI16" s="179" t="str">
        <f t="array" ref="BI16">IF($F16&lt;&gt;"",XLOOKUP($F16,Productos!$A:$A,Productos!BB:BB,"Revisar"),"")</f>
        <v/>
      </c>
      <c r="BJ16" s="179" t="str">
        <f t="array" ref="BJ16">IF($F16&lt;&gt;"", XLOOKUP($F16,Productos!$A$2:$A1001,Productos!BC$2:BC1001,"")*$G16,"")</f>
        <v/>
      </c>
      <c r="BK16" s="179" t="str">
        <f t="array" ref="BK16">IF($F16&lt;&gt;"",XLOOKUP($F16,Productos!$A:$A,Productos!BD:BD,"Revisar"),"")</f>
        <v/>
      </c>
      <c r="BL16" s="179" t="str">
        <f t="array" ref="BL16">IF($F16&lt;&gt;"", XLOOKUP($F16,Productos!$A$2:$A1001,Productos!BE$2:BE1001,"")*$G16,"")</f>
        <v/>
      </c>
      <c r="BM16" s="179" t="str">
        <f t="array" ref="BM16">IF($F16&lt;&gt;"",XLOOKUP($F16,Productos!$A:$A,Productos!BF:BF,"Revisar"),"")</f>
        <v/>
      </c>
      <c r="BN16" s="179" t="str">
        <f t="array" ref="BN16">IF($F16&lt;&gt;"", XLOOKUP($F16,Productos!$A$2:$A1001,Productos!BG$2:BG1001,"")*$G16,"")</f>
        <v/>
      </c>
      <c r="BO16" s="179" t="str">
        <f t="array" ref="BO16">IF($F16&lt;&gt;"",XLOOKUP($F16,Productos!$A:$A,Productos!BH:BH,"Revisar"),"")</f>
        <v/>
      </c>
      <c r="BP16" s="179" t="str">
        <f t="array" ref="BP16">IF($F16&lt;&gt;"", XLOOKUP($F16,Productos!$A$2:$A1001,Productos!BI$2:BI1001,"")*$G16,"")</f>
        <v/>
      </c>
      <c r="BQ16" s="179" t="str">
        <f t="array" ref="BQ16">IF($F16&lt;&gt;"",XLOOKUP($F16,Productos!$A:$A,Productos!BJ:BJ,"Revisar"),"")</f>
        <v/>
      </c>
      <c r="BR16" s="179" t="str">
        <f t="array" ref="BR16">IF($F16&lt;&gt;"", XLOOKUP($F16,Productos!$A$2:$A1001,Productos!BK$2:BK1001,"")*$G16,"")</f>
        <v/>
      </c>
      <c r="BS16" s="179" t="str">
        <f t="array" ref="BS16">IF($F16&lt;&gt;"",XLOOKUP($F16,Productos!$A:$A,Productos!BL:BL,"Revisar"),"")</f>
        <v/>
      </c>
      <c r="BT16" s="179" t="str">
        <f t="array" ref="BT16">IF($F16&lt;&gt;"", XLOOKUP($F16,Productos!$A$2:$A1001,Productos!BM$2:BM1001,"")*$G16,"")</f>
        <v/>
      </c>
      <c r="BU16" s="179" t="str">
        <f t="array" ref="BU16">IF($F16&lt;&gt;"",XLOOKUP($F16,Productos!$A:$A,Productos!BN:BN,"Revisar"),"")</f>
        <v/>
      </c>
      <c r="BV16" s="179" t="str">
        <f t="array" ref="BV16">IF($F16&lt;&gt;"", XLOOKUP($F16,Productos!$A$2:$A1001,Productos!BO$2:BO1001,"")*$G16,"")</f>
        <v/>
      </c>
      <c r="BW16" s="179" t="str">
        <f t="array" ref="BW16">IF($F16&lt;&gt;"",XLOOKUP($F16,Productos!$A:$A,Productos!BP:BP,"Revisar"),"")</f>
        <v/>
      </c>
      <c r="BX16" s="179" t="str">
        <f t="array" ref="BX16">IF($F16&lt;&gt;"", XLOOKUP($F16,Productos!$A$2:$A1001,Productos!BQ$2:BQ1001,"")*$G16,"")</f>
        <v/>
      </c>
      <c r="BY16" s="179" t="str">
        <f t="array" ref="BY16">IF($F16&lt;&gt;"",XLOOKUP($F16,Productos!$A:$A,Productos!BR:BR,"Revisar"),"")</f>
        <v/>
      </c>
      <c r="BZ16" s="179" t="str">
        <f t="array" ref="BZ16">IF($F16&lt;&gt;"", XLOOKUP($F16,Productos!$A$2:$A1001,Productos!BS$2:BS1001,"")*$G16,"")</f>
        <v/>
      </c>
    </row>
    <row r="17">
      <c r="A17" s="180"/>
      <c r="B17" s="181"/>
      <c r="C17" s="182"/>
      <c r="D17" s="182"/>
      <c r="E17" s="185"/>
      <c r="F17" s="186"/>
      <c r="G17" s="187"/>
      <c r="H17" s="186"/>
      <c r="I17" s="179" t="str">
        <f t="array" ref="I17">IF($F17&lt;&gt;"",XLOOKUP($F17,Productos!$A:$A,Productos!B:B,"Revisar"),"")</f>
        <v/>
      </c>
      <c r="J17" s="179" t="str">
        <f t="array" ref="J17">IF($F17&lt;&gt;"", XLOOKUP($F17,Productos!$A$2:$A1001,Productos!C$2:C1001,"")*$G17,"")</f>
        <v/>
      </c>
      <c r="K17" s="179" t="str">
        <f t="array" ref="K17">IF($F17&lt;&gt;"",XLOOKUP($F17,Productos!$A:$A,Productos!D:D,"Revisar"),"")</f>
        <v/>
      </c>
      <c r="L17" s="179" t="str">
        <f t="array" ref="L17">IF($F17&lt;&gt;"", XLOOKUP($F17,Productos!$A$2:$A1001,Productos!E$2:E1001,"")*$G17,"")</f>
        <v/>
      </c>
      <c r="M17" s="179" t="str">
        <f t="array" ref="M17">IF($F17&lt;&gt;"",XLOOKUP($F17,Productos!$A:$A,Productos!F:F,"Revisar"),"")</f>
        <v/>
      </c>
      <c r="N17" s="179" t="str">
        <f t="array" ref="N17">IF($F17&lt;&gt;"", XLOOKUP($F17,Productos!$A$2:$A1001,Productos!G$2:G1001,"")*$G17,"")</f>
        <v/>
      </c>
      <c r="O17" s="179" t="str">
        <f t="array" ref="O17">IF($F17&lt;&gt;"",XLOOKUP($F17,Productos!$A:$A,Productos!H:H,"Revisar"),"")</f>
        <v/>
      </c>
      <c r="P17" s="179" t="str">
        <f t="array" ref="P17">IF($F17&lt;&gt;"", XLOOKUP($F17,Productos!$A$2:$A1001,Productos!I$2:I1001,"")*$G17,"")</f>
        <v/>
      </c>
      <c r="Q17" s="179" t="str">
        <f t="array" ref="Q17">IF($F17&lt;&gt;"",XLOOKUP($F17,Productos!$A:$A,Productos!J:J,"Revisar"),"")</f>
        <v/>
      </c>
      <c r="R17" s="179" t="str">
        <f t="array" ref="R17">IF($F17&lt;&gt;"", XLOOKUP($F17,Productos!$A$2:$A1001,Productos!K$2:K1001,"")*$G17,"")</f>
        <v/>
      </c>
      <c r="S17" s="179" t="str">
        <f t="array" ref="S17">IF($F17&lt;&gt;"",XLOOKUP($F17,Productos!$A:$A,Productos!L:L,"Revisar"),"")</f>
        <v/>
      </c>
      <c r="T17" s="179" t="str">
        <f t="array" ref="T17">IF($F17&lt;&gt;"", XLOOKUP($F17,Productos!$A$2:$A1001,Productos!M$2:M1001,"")*$G17,"")</f>
        <v/>
      </c>
      <c r="U17" s="179" t="str">
        <f t="array" ref="U17">IF($F17&lt;&gt;"",XLOOKUP($F17,Productos!$A:$A,Productos!N:N,"Revisar"),"")</f>
        <v/>
      </c>
      <c r="V17" s="179" t="str">
        <f t="array" ref="V17">IF($F17&lt;&gt;"", XLOOKUP($F17,Productos!$A$2:$A1001,Productos!O$2:O1001,"")*$G17,"")</f>
        <v/>
      </c>
      <c r="W17" s="179" t="str">
        <f t="array" ref="W17">IF($F17&lt;&gt;"",XLOOKUP($F17,Productos!$A:$A,Productos!P:P,"Revisar"),"")</f>
        <v/>
      </c>
      <c r="X17" s="179" t="str">
        <f t="array" ref="X17">IF($F17&lt;&gt;"", XLOOKUP($F17,Productos!$A$2:$A1001,Productos!Q$2:Q1001,"")*$G17,"")</f>
        <v/>
      </c>
      <c r="Y17" s="179" t="str">
        <f t="array" ref="Y17">IF($F17&lt;&gt;"",XLOOKUP($F17,Productos!$A:$A,Productos!R:R,"Revisar"),"")</f>
        <v/>
      </c>
      <c r="Z17" s="179" t="str">
        <f t="array" ref="Z17">IF($F17&lt;&gt;"", XLOOKUP($F17,Productos!$A$2:$A1001,Productos!S$2:S1001,"")*$G17,"")</f>
        <v/>
      </c>
      <c r="AA17" s="179" t="str">
        <f t="array" ref="AA17">IF($F17&lt;&gt;"",XLOOKUP($F17,Productos!$A:$A,Productos!T:T,"Revisar"),"")</f>
        <v/>
      </c>
      <c r="AB17" s="179" t="str">
        <f t="array" ref="AB17">IF($F17&lt;&gt;"", XLOOKUP($F17,Productos!$A$2:$A1001,Productos!U$2:U1001,"")*$G17,"")</f>
        <v/>
      </c>
      <c r="AC17" s="179" t="str">
        <f t="array" ref="AC17">IF($F17&lt;&gt;"",XLOOKUP($F17,Productos!$A:$A,Productos!V:V,"Revisar"),"")</f>
        <v/>
      </c>
      <c r="AD17" s="179" t="str">
        <f t="array" ref="AD17">IF($F17&lt;&gt;"", XLOOKUP($F17,Productos!$A$2:$A1001,Productos!W$2:W1001,"")*$G17,"")</f>
        <v/>
      </c>
      <c r="AE17" s="179" t="str">
        <f t="array" ref="AE17">IF($F17&lt;&gt;"",XLOOKUP($F17,Productos!$A:$A,Productos!X:X,"Revisar"),"")</f>
        <v/>
      </c>
      <c r="AF17" s="179" t="str">
        <f t="array" ref="AF17">IF($F17&lt;&gt;"", XLOOKUP($F17,Productos!$A$2:$A1001,Productos!Y$2:Y1001,"")*$G17,"")</f>
        <v/>
      </c>
      <c r="AG17" s="179" t="str">
        <f t="array" ref="AG17">IF($F17&lt;&gt;"",XLOOKUP($F17,Productos!$A:$A,Productos!Z:Z,"Revisar"),"")</f>
        <v/>
      </c>
      <c r="AH17" s="179" t="str">
        <f t="array" ref="AH17">IF($F17&lt;&gt;"", XLOOKUP($F17,Productos!$A$2:$A1001,Productos!AA$2:AA1001,"")*$G17,"")</f>
        <v/>
      </c>
      <c r="AI17" s="179" t="str">
        <f t="array" ref="AI17">IF($F17&lt;&gt;"",XLOOKUP($F17,Productos!$A:$A,Productos!AB:AB,"Revisar"),"")</f>
        <v/>
      </c>
      <c r="AJ17" s="179" t="str">
        <f t="array" ref="AJ17">IF($F17&lt;&gt;"", XLOOKUP($F17,Productos!$A$2:$A1001,Productos!AC$2:AC1001,"")*$G17,"")</f>
        <v/>
      </c>
      <c r="AK17" s="179" t="str">
        <f t="array" ref="AK17">IF($F17&lt;&gt;"",XLOOKUP($F17,Productos!$A:$A,Productos!AD:AD,"Revisar"),"")</f>
        <v/>
      </c>
      <c r="AL17" s="179" t="str">
        <f t="array" ref="AL17">IF($F17&lt;&gt;"", XLOOKUP($F17,Productos!$A$2:$A1001,Productos!AE$2:AE1001,"")*$G17,"")</f>
        <v/>
      </c>
      <c r="AM17" s="179" t="str">
        <f t="array" ref="AM17">IF($F17&lt;&gt;"",XLOOKUP($F17,Productos!$A:$A,Productos!AF:AF,"Revisar"),"")</f>
        <v/>
      </c>
      <c r="AN17" s="179" t="str">
        <f t="array" ref="AN17">IF($F17&lt;&gt;"", XLOOKUP($F17,Productos!$A$2:$A1001,Productos!AG$2:AG1001,"")*$G17,"")</f>
        <v/>
      </c>
      <c r="AO17" s="179" t="str">
        <f t="array" ref="AO17">IF($F17&lt;&gt;"",XLOOKUP($F17,Productos!$A:$A,Productos!AH:AH,"Revisar"),"")</f>
        <v/>
      </c>
      <c r="AP17" s="179" t="str">
        <f t="array" ref="AP17">IF($F17&lt;&gt;"", XLOOKUP($F17,Productos!$A$2:$A1001,Productos!AI$2:AI1001,"")*$G17,"")</f>
        <v/>
      </c>
      <c r="AQ17" s="179" t="str">
        <f t="array" ref="AQ17">IF($F17&lt;&gt;"",XLOOKUP($F17,Productos!$A:$A,Productos!AJ:AJ,"Revisar"),"")</f>
        <v/>
      </c>
      <c r="AR17" s="179" t="str">
        <f t="array" ref="AR17">IF($F17&lt;&gt;"", XLOOKUP($F17,Productos!$A$2:$A1001,Productos!AK$2:AK1001,"")*$G17,"")</f>
        <v/>
      </c>
      <c r="AS17" s="179" t="str">
        <f t="array" ref="AS17">IF($F17&lt;&gt;"",XLOOKUP($F17,Productos!$A:$A,Productos!AL:AL,"Revisar"),"")</f>
        <v/>
      </c>
      <c r="AT17" s="179" t="str">
        <f t="array" ref="AT17">IF($F17&lt;&gt;"", XLOOKUP($F17,Productos!$A$2:$A1001,Productos!AM$2:AM1001,"")*$G17,"")</f>
        <v/>
      </c>
      <c r="AU17" s="179" t="str">
        <f t="array" ref="AU17">IF($F17&lt;&gt;"",XLOOKUP($F17,Productos!$A:$A,Productos!AN:AN,"Revisar"),"")</f>
        <v/>
      </c>
      <c r="AV17" s="179" t="str">
        <f t="array" ref="AV17">IF($F17&lt;&gt;"", XLOOKUP($F17,Productos!$A$2:$A1001,Productos!AO$2:AO1001,"")*$G17,"")</f>
        <v/>
      </c>
      <c r="AW17" s="179" t="str">
        <f t="array" ref="AW17">IF($F17&lt;&gt;"",XLOOKUP($F17,Productos!$A:$A,Productos!AP:AP,"Revisar"),"")</f>
        <v/>
      </c>
      <c r="AX17" s="179" t="str">
        <f t="array" ref="AX17">IF($F17&lt;&gt;"", XLOOKUP($F17,Productos!$A$2:$A1001,Productos!AQ$2:AQ1001,"")*$G17,"")</f>
        <v/>
      </c>
      <c r="AY17" s="179" t="str">
        <f t="array" ref="AY17">IF($F17&lt;&gt;"",XLOOKUP($F17,Productos!$A:$A,Productos!AR:AR,"Revisar"),"")</f>
        <v/>
      </c>
      <c r="AZ17" s="179" t="str">
        <f t="array" ref="AZ17">IF($F17&lt;&gt;"", XLOOKUP($F17,Productos!$A$2:$A1001,Productos!AS$2:AS1001,"")*$G17,"")</f>
        <v/>
      </c>
      <c r="BA17" s="179" t="str">
        <f t="array" ref="BA17">IF($F17&lt;&gt;"",XLOOKUP($F17,Productos!$A:$A,Productos!AT:AT,"Revisar"),"")</f>
        <v/>
      </c>
      <c r="BB17" s="179" t="str">
        <f t="array" ref="BB17">IF($F17&lt;&gt;"", XLOOKUP($F17,Productos!$A$2:$A1001,Productos!AU$2:AU1001,"")*$G17,"")</f>
        <v/>
      </c>
      <c r="BC17" s="179" t="str">
        <f t="array" ref="BC17">IF($F17&lt;&gt;"",XLOOKUP($F17,Productos!$A:$A,Productos!AV:AV,"Revisar"),"")</f>
        <v/>
      </c>
      <c r="BD17" s="179" t="str">
        <f t="array" ref="BD17">IF($F17&lt;&gt;"", XLOOKUP($F17,Productos!$A$2:$A1001,Productos!AW$2:AW1001,"")*$G17,"")</f>
        <v/>
      </c>
      <c r="BE17" s="179" t="str">
        <f t="array" ref="BE17">IF($F17&lt;&gt;"",XLOOKUP($F17,Productos!$A:$A,Productos!AX:AX,"Revisar"),"")</f>
        <v/>
      </c>
      <c r="BF17" s="179" t="str">
        <f t="array" ref="BF17">IF($F17&lt;&gt;"", XLOOKUP($F17,Productos!$A$2:$A1001,Productos!AY$2:AY1001,"")*$G17,"")</f>
        <v/>
      </c>
      <c r="BG17" s="179" t="str">
        <f t="array" ref="BG17">IF($F17&lt;&gt;"",XLOOKUP($F17,Productos!$A:$A,Productos!AZ:AZ,"Revisar"),"")</f>
        <v/>
      </c>
      <c r="BH17" s="179" t="str">
        <f t="array" ref="BH17">IF($F17&lt;&gt;"", XLOOKUP($F17,Productos!$A$2:$A1001,Productos!BA$2:BA1001,"")*$G17,"")</f>
        <v/>
      </c>
      <c r="BI17" s="179" t="str">
        <f t="array" ref="BI17">IF($F17&lt;&gt;"",XLOOKUP($F17,Productos!$A:$A,Productos!BB:BB,"Revisar"),"")</f>
        <v/>
      </c>
      <c r="BJ17" s="179" t="str">
        <f t="array" ref="BJ17">IF($F17&lt;&gt;"", XLOOKUP($F17,Productos!$A$2:$A1001,Productos!BC$2:BC1001,"")*$G17,"")</f>
        <v/>
      </c>
      <c r="BK17" s="179" t="str">
        <f t="array" ref="BK17">IF($F17&lt;&gt;"",XLOOKUP($F17,Productos!$A:$A,Productos!BD:BD,"Revisar"),"")</f>
        <v/>
      </c>
      <c r="BL17" s="179" t="str">
        <f t="array" ref="BL17">IF($F17&lt;&gt;"", XLOOKUP($F17,Productos!$A$2:$A1001,Productos!BE$2:BE1001,"")*$G17,"")</f>
        <v/>
      </c>
      <c r="BM17" s="179" t="str">
        <f t="array" ref="BM17">IF($F17&lt;&gt;"",XLOOKUP($F17,Productos!$A:$A,Productos!BF:BF,"Revisar"),"")</f>
        <v/>
      </c>
      <c r="BN17" s="179" t="str">
        <f t="array" ref="BN17">IF($F17&lt;&gt;"", XLOOKUP($F17,Productos!$A$2:$A1001,Productos!BG$2:BG1001,"")*$G17,"")</f>
        <v/>
      </c>
      <c r="BO17" s="179" t="str">
        <f t="array" ref="BO17">IF($F17&lt;&gt;"",XLOOKUP($F17,Productos!$A:$A,Productos!BH:BH,"Revisar"),"")</f>
        <v/>
      </c>
      <c r="BP17" s="179" t="str">
        <f t="array" ref="BP17">IF($F17&lt;&gt;"", XLOOKUP($F17,Productos!$A$2:$A1001,Productos!BI$2:BI1001,"")*$G17,"")</f>
        <v/>
      </c>
      <c r="BQ17" s="179" t="str">
        <f t="array" ref="BQ17">IF($F17&lt;&gt;"",XLOOKUP($F17,Productos!$A:$A,Productos!BJ:BJ,"Revisar"),"")</f>
        <v/>
      </c>
      <c r="BR17" s="179" t="str">
        <f t="array" ref="BR17">IF($F17&lt;&gt;"", XLOOKUP($F17,Productos!$A$2:$A1001,Productos!BK$2:BK1001,"")*$G17,"")</f>
        <v/>
      </c>
      <c r="BS17" s="179" t="str">
        <f t="array" ref="BS17">IF($F17&lt;&gt;"",XLOOKUP($F17,Productos!$A:$A,Productos!BL:BL,"Revisar"),"")</f>
        <v/>
      </c>
      <c r="BT17" s="179" t="str">
        <f t="array" ref="BT17">IF($F17&lt;&gt;"", XLOOKUP($F17,Productos!$A$2:$A1001,Productos!BM$2:BM1001,"")*$G17,"")</f>
        <v/>
      </c>
      <c r="BU17" s="179" t="str">
        <f t="array" ref="BU17">IF($F17&lt;&gt;"",XLOOKUP($F17,Productos!$A:$A,Productos!BN:BN,"Revisar"),"")</f>
        <v/>
      </c>
      <c r="BV17" s="179" t="str">
        <f t="array" ref="BV17">IF($F17&lt;&gt;"", XLOOKUP($F17,Productos!$A$2:$A1001,Productos!BO$2:BO1001,"")*$G17,"")</f>
        <v/>
      </c>
      <c r="BW17" s="179" t="str">
        <f t="array" ref="BW17">IF($F17&lt;&gt;"",XLOOKUP($F17,Productos!$A:$A,Productos!BP:BP,"Revisar"),"")</f>
        <v/>
      </c>
      <c r="BX17" s="179" t="str">
        <f t="array" ref="BX17">IF($F17&lt;&gt;"", XLOOKUP($F17,Productos!$A$2:$A1001,Productos!BQ$2:BQ1001,"")*$G17,"")</f>
        <v/>
      </c>
      <c r="BY17" s="179" t="str">
        <f t="array" ref="BY17">IF($F17&lt;&gt;"",XLOOKUP($F17,Productos!$A:$A,Productos!BR:BR,"Revisar"),"")</f>
        <v/>
      </c>
      <c r="BZ17" s="179" t="str">
        <f t="array" ref="BZ17">IF($F17&lt;&gt;"", XLOOKUP($F17,Productos!$A$2:$A1001,Productos!BS$2:BS1001,"")*$G17,"")</f>
        <v/>
      </c>
    </row>
    <row r="18">
      <c r="A18" s="180"/>
      <c r="B18" s="181"/>
      <c r="C18" s="182"/>
      <c r="D18" s="182"/>
      <c r="E18" s="185"/>
      <c r="F18" s="186"/>
      <c r="G18" s="187"/>
      <c r="H18" s="186"/>
      <c r="I18" s="179" t="str">
        <f t="array" ref="I18">IF($F18&lt;&gt;"",XLOOKUP($F18,Productos!$A:$A,Productos!B:B,"Revisar"),"")</f>
        <v/>
      </c>
      <c r="J18" s="179" t="str">
        <f t="array" ref="J18">IF($F18&lt;&gt;"", XLOOKUP($F18,Productos!$A$2:$A1001,Productos!C$2:C1001,"")*$G18,"")</f>
        <v/>
      </c>
      <c r="K18" s="179" t="str">
        <f t="array" ref="K18">IF($F18&lt;&gt;"",XLOOKUP($F18,Productos!$A:$A,Productos!D:D,"Revisar"),"")</f>
        <v/>
      </c>
      <c r="L18" s="179" t="str">
        <f t="array" ref="L18">IF($F18&lt;&gt;"", XLOOKUP($F18,Productos!$A$2:$A1001,Productos!E$2:E1001,"")*$G18,"")</f>
        <v/>
      </c>
      <c r="M18" s="179" t="str">
        <f t="array" ref="M18">IF($F18&lt;&gt;"",XLOOKUP($F18,Productos!$A:$A,Productos!F:F,"Revisar"),"")</f>
        <v/>
      </c>
      <c r="N18" s="179" t="str">
        <f t="array" ref="N18">IF($F18&lt;&gt;"", XLOOKUP($F18,Productos!$A$2:$A1001,Productos!G$2:G1001,"")*$G18,"")</f>
        <v/>
      </c>
      <c r="O18" s="179" t="str">
        <f t="array" ref="O18">IF($F18&lt;&gt;"",XLOOKUP($F18,Productos!$A:$A,Productos!H:H,"Revisar"),"")</f>
        <v/>
      </c>
      <c r="P18" s="179" t="str">
        <f t="array" ref="P18">IF($F18&lt;&gt;"", XLOOKUP($F18,Productos!$A$2:$A1001,Productos!I$2:I1001,"")*$G18,"")</f>
        <v/>
      </c>
      <c r="Q18" s="179" t="str">
        <f t="array" ref="Q18">IF($F18&lt;&gt;"",XLOOKUP($F18,Productos!$A:$A,Productos!J:J,"Revisar"),"")</f>
        <v/>
      </c>
      <c r="R18" s="179" t="str">
        <f t="array" ref="R18">IF($F18&lt;&gt;"", XLOOKUP($F18,Productos!$A$2:$A1001,Productos!K$2:K1001,"")*$G18,"")</f>
        <v/>
      </c>
      <c r="S18" s="179" t="str">
        <f t="array" ref="S18">IF($F18&lt;&gt;"",XLOOKUP($F18,Productos!$A:$A,Productos!L:L,"Revisar"),"")</f>
        <v/>
      </c>
      <c r="T18" s="179" t="str">
        <f t="array" ref="T18">IF($F18&lt;&gt;"", XLOOKUP($F18,Productos!$A$2:$A1001,Productos!M$2:M1001,"")*$G18,"")</f>
        <v/>
      </c>
      <c r="U18" s="179" t="str">
        <f t="array" ref="U18">IF($F18&lt;&gt;"",XLOOKUP($F18,Productos!$A:$A,Productos!N:N,"Revisar"),"")</f>
        <v/>
      </c>
      <c r="V18" s="179" t="str">
        <f t="array" ref="V18">IF($F18&lt;&gt;"", XLOOKUP($F18,Productos!$A$2:$A1001,Productos!O$2:O1001,"")*$G18,"")</f>
        <v/>
      </c>
      <c r="W18" s="179" t="str">
        <f t="array" ref="W18">IF($F18&lt;&gt;"",XLOOKUP($F18,Productos!$A:$A,Productos!P:P,"Revisar"),"")</f>
        <v/>
      </c>
      <c r="X18" s="179" t="str">
        <f t="array" ref="X18">IF($F18&lt;&gt;"", XLOOKUP($F18,Productos!$A$2:$A1001,Productos!Q$2:Q1001,"")*$G18,"")</f>
        <v/>
      </c>
      <c r="Y18" s="179" t="str">
        <f t="array" ref="Y18">IF($F18&lt;&gt;"",XLOOKUP($F18,Productos!$A:$A,Productos!R:R,"Revisar"),"")</f>
        <v/>
      </c>
      <c r="Z18" s="179" t="str">
        <f t="array" ref="Z18">IF($F18&lt;&gt;"", XLOOKUP($F18,Productos!$A$2:$A1001,Productos!S$2:S1001,"")*$G18,"")</f>
        <v/>
      </c>
      <c r="AA18" s="179" t="str">
        <f t="array" ref="AA18">IF($F18&lt;&gt;"",XLOOKUP($F18,Productos!$A:$A,Productos!T:T,"Revisar"),"")</f>
        <v/>
      </c>
      <c r="AB18" s="179" t="str">
        <f t="array" ref="AB18">IF($F18&lt;&gt;"", XLOOKUP($F18,Productos!$A$2:$A1001,Productos!U$2:U1001,"")*$G18,"")</f>
        <v/>
      </c>
      <c r="AC18" s="179" t="str">
        <f t="array" ref="AC18">IF($F18&lt;&gt;"",XLOOKUP($F18,Productos!$A:$A,Productos!V:V,"Revisar"),"")</f>
        <v/>
      </c>
      <c r="AD18" s="179" t="str">
        <f t="array" ref="AD18">IF($F18&lt;&gt;"", XLOOKUP($F18,Productos!$A$2:$A1001,Productos!W$2:W1001,"")*$G18,"")</f>
        <v/>
      </c>
      <c r="AE18" s="179" t="str">
        <f t="array" ref="AE18">IF($F18&lt;&gt;"",XLOOKUP($F18,Productos!$A:$A,Productos!X:X,"Revisar"),"")</f>
        <v/>
      </c>
      <c r="AF18" s="179" t="str">
        <f t="array" ref="AF18">IF($F18&lt;&gt;"", XLOOKUP($F18,Productos!$A$2:$A1001,Productos!Y$2:Y1001,"")*$G18,"")</f>
        <v/>
      </c>
      <c r="AG18" s="179" t="str">
        <f t="array" ref="AG18">IF($F18&lt;&gt;"",XLOOKUP($F18,Productos!$A:$A,Productos!Z:Z,"Revisar"),"")</f>
        <v/>
      </c>
      <c r="AH18" s="179" t="str">
        <f t="array" ref="AH18">IF($F18&lt;&gt;"", XLOOKUP($F18,Productos!$A$2:$A1001,Productos!AA$2:AA1001,"")*$G18,"")</f>
        <v/>
      </c>
      <c r="AI18" s="179" t="str">
        <f t="array" ref="AI18">IF($F18&lt;&gt;"",XLOOKUP($F18,Productos!$A:$A,Productos!AB:AB,"Revisar"),"")</f>
        <v/>
      </c>
      <c r="AJ18" s="179" t="str">
        <f t="array" ref="AJ18">IF($F18&lt;&gt;"", XLOOKUP($F18,Productos!$A$2:$A1001,Productos!AC$2:AC1001,"")*$G18,"")</f>
        <v/>
      </c>
      <c r="AK18" s="179" t="str">
        <f t="array" ref="AK18">IF($F18&lt;&gt;"",XLOOKUP($F18,Productos!$A:$A,Productos!AD:AD,"Revisar"),"")</f>
        <v/>
      </c>
      <c r="AL18" s="179" t="str">
        <f t="array" ref="AL18">IF($F18&lt;&gt;"", XLOOKUP($F18,Productos!$A$2:$A1001,Productos!AE$2:AE1001,"")*$G18,"")</f>
        <v/>
      </c>
      <c r="AM18" s="179" t="str">
        <f t="array" ref="AM18">IF($F18&lt;&gt;"",XLOOKUP($F18,Productos!$A:$A,Productos!AF:AF,"Revisar"),"")</f>
        <v/>
      </c>
      <c r="AN18" s="179" t="str">
        <f t="array" ref="AN18">IF($F18&lt;&gt;"", XLOOKUP($F18,Productos!$A$2:$A1001,Productos!AG$2:AG1001,"")*$G18,"")</f>
        <v/>
      </c>
      <c r="AO18" s="179" t="str">
        <f t="array" ref="AO18">IF($F18&lt;&gt;"",XLOOKUP($F18,Productos!$A:$A,Productos!AH:AH,"Revisar"),"")</f>
        <v/>
      </c>
      <c r="AP18" s="179" t="str">
        <f t="array" ref="AP18">IF($F18&lt;&gt;"", XLOOKUP($F18,Productos!$A$2:$A1001,Productos!AI$2:AI1001,"")*$G18,"")</f>
        <v/>
      </c>
      <c r="AQ18" s="179" t="str">
        <f t="array" ref="AQ18">IF($F18&lt;&gt;"",XLOOKUP($F18,Productos!$A:$A,Productos!AJ:AJ,"Revisar"),"")</f>
        <v/>
      </c>
      <c r="AR18" s="179" t="str">
        <f t="array" ref="AR18">IF($F18&lt;&gt;"", XLOOKUP($F18,Productos!$A$2:$A1001,Productos!AK$2:AK1001,"")*$G18,"")</f>
        <v/>
      </c>
      <c r="AS18" s="179" t="str">
        <f t="array" ref="AS18">IF($F18&lt;&gt;"",XLOOKUP($F18,Productos!$A:$A,Productos!AL:AL,"Revisar"),"")</f>
        <v/>
      </c>
      <c r="AT18" s="179" t="str">
        <f t="array" ref="AT18">IF($F18&lt;&gt;"", XLOOKUP($F18,Productos!$A$2:$A1001,Productos!AM$2:AM1001,"")*$G18,"")</f>
        <v/>
      </c>
      <c r="AU18" s="179" t="str">
        <f t="array" ref="AU18">IF($F18&lt;&gt;"",XLOOKUP($F18,Productos!$A:$A,Productos!AN:AN,"Revisar"),"")</f>
        <v/>
      </c>
      <c r="AV18" s="179" t="str">
        <f t="array" ref="AV18">IF($F18&lt;&gt;"", XLOOKUP($F18,Productos!$A$2:$A1001,Productos!AO$2:AO1001,"")*$G18,"")</f>
        <v/>
      </c>
      <c r="AW18" s="179" t="str">
        <f t="array" ref="AW18">IF($F18&lt;&gt;"",XLOOKUP($F18,Productos!$A:$A,Productos!AP:AP,"Revisar"),"")</f>
        <v/>
      </c>
      <c r="AX18" s="179" t="str">
        <f t="array" ref="AX18">IF($F18&lt;&gt;"", XLOOKUP($F18,Productos!$A$2:$A1001,Productos!AQ$2:AQ1001,"")*$G18,"")</f>
        <v/>
      </c>
      <c r="AY18" s="179" t="str">
        <f t="array" ref="AY18">IF($F18&lt;&gt;"",XLOOKUP($F18,Productos!$A:$A,Productos!AR:AR,"Revisar"),"")</f>
        <v/>
      </c>
      <c r="AZ18" s="179" t="str">
        <f t="array" ref="AZ18">IF($F18&lt;&gt;"", XLOOKUP($F18,Productos!$A$2:$A1001,Productos!AS$2:AS1001,"")*$G18,"")</f>
        <v/>
      </c>
      <c r="BA18" s="179" t="str">
        <f t="array" ref="BA18">IF($F18&lt;&gt;"",XLOOKUP($F18,Productos!$A:$A,Productos!AT:AT,"Revisar"),"")</f>
        <v/>
      </c>
      <c r="BB18" s="179" t="str">
        <f t="array" ref="BB18">IF($F18&lt;&gt;"", XLOOKUP($F18,Productos!$A$2:$A1001,Productos!AU$2:AU1001,"")*$G18,"")</f>
        <v/>
      </c>
      <c r="BC18" s="179" t="str">
        <f t="array" ref="BC18">IF($F18&lt;&gt;"",XLOOKUP($F18,Productos!$A:$A,Productos!AV:AV,"Revisar"),"")</f>
        <v/>
      </c>
      <c r="BD18" s="179" t="str">
        <f t="array" ref="BD18">IF($F18&lt;&gt;"", XLOOKUP($F18,Productos!$A$2:$A1001,Productos!AW$2:AW1001,"")*$G18,"")</f>
        <v/>
      </c>
      <c r="BE18" s="179" t="str">
        <f t="array" ref="BE18">IF($F18&lt;&gt;"",XLOOKUP($F18,Productos!$A:$A,Productos!AX:AX,"Revisar"),"")</f>
        <v/>
      </c>
      <c r="BF18" s="179" t="str">
        <f t="array" ref="BF18">IF($F18&lt;&gt;"", XLOOKUP($F18,Productos!$A$2:$A1001,Productos!AY$2:AY1001,"")*$G18,"")</f>
        <v/>
      </c>
      <c r="BG18" s="179" t="str">
        <f t="array" ref="BG18">IF($F18&lt;&gt;"",XLOOKUP($F18,Productos!$A:$A,Productos!AZ:AZ,"Revisar"),"")</f>
        <v/>
      </c>
      <c r="BH18" s="179" t="str">
        <f t="array" ref="BH18">IF($F18&lt;&gt;"", XLOOKUP($F18,Productos!$A$2:$A1001,Productos!BA$2:BA1001,"")*$G18,"")</f>
        <v/>
      </c>
      <c r="BI18" s="179" t="str">
        <f t="array" ref="BI18">IF($F18&lt;&gt;"",XLOOKUP($F18,Productos!$A:$A,Productos!BB:BB,"Revisar"),"")</f>
        <v/>
      </c>
      <c r="BJ18" s="179" t="str">
        <f t="array" ref="BJ18">IF($F18&lt;&gt;"", XLOOKUP($F18,Productos!$A$2:$A1001,Productos!BC$2:BC1001,"")*$G18,"")</f>
        <v/>
      </c>
      <c r="BK18" s="179" t="str">
        <f t="array" ref="BK18">IF($F18&lt;&gt;"",XLOOKUP($F18,Productos!$A:$A,Productos!BD:BD,"Revisar"),"")</f>
        <v/>
      </c>
      <c r="BL18" s="179" t="str">
        <f t="array" ref="BL18">IF($F18&lt;&gt;"", XLOOKUP($F18,Productos!$A$2:$A1001,Productos!BE$2:BE1001,"")*$G18,"")</f>
        <v/>
      </c>
      <c r="BM18" s="179" t="str">
        <f t="array" ref="BM18">IF($F18&lt;&gt;"",XLOOKUP($F18,Productos!$A:$A,Productos!BF:BF,"Revisar"),"")</f>
        <v/>
      </c>
      <c r="BN18" s="179" t="str">
        <f t="array" ref="BN18">IF($F18&lt;&gt;"", XLOOKUP($F18,Productos!$A$2:$A1001,Productos!BG$2:BG1001,"")*$G18,"")</f>
        <v/>
      </c>
      <c r="BO18" s="179" t="str">
        <f t="array" ref="BO18">IF($F18&lt;&gt;"",XLOOKUP($F18,Productos!$A:$A,Productos!BH:BH,"Revisar"),"")</f>
        <v/>
      </c>
      <c r="BP18" s="179" t="str">
        <f t="array" ref="BP18">IF($F18&lt;&gt;"", XLOOKUP($F18,Productos!$A$2:$A1001,Productos!BI$2:BI1001,"")*$G18,"")</f>
        <v/>
      </c>
      <c r="BQ18" s="179" t="str">
        <f t="array" ref="BQ18">IF($F18&lt;&gt;"",XLOOKUP($F18,Productos!$A:$A,Productos!BJ:BJ,"Revisar"),"")</f>
        <v/>
      </c>
      <c r="BR18" s="179" t="str">
        <f t="array" ref="BR18">IF($F18&lt;&gt;"", XLOOKUP($F18,Productos!$A$2:$A1001,Productos!BK$2:BK1001,"")*$G18,"")</f>
        <v/>
      </c>
      <c r="BS18" s="179" t="str">
        <f t="array" ref="BS18">IF($F18&lt;&gt;"",XLOOKUP($F18,Productos!$A:$A,Productos!BL:BL,"Revisar"),"")</f>
        <v/>
      </c>
      <c r="BT18" s="179" t="str">
        <f t="array" ref="BT18">IF($F18&lt;&gt;"", XLOOKUP($F18,Productos!$A$2:$A1001,Productos!BM$2:BM1001,"")*$G18,"")</f>
        <v/>
      </c>
      <c r="BU18" s="179" t="str">
        <f t="array" ref="BU18">IF($F18&lt;&gt;"",XLOOKUP($F18,Productos!$A:$A,Productos!BN:BN,"Revisar"),"")</f>
        <v/>
      </c>
      <c r="BV18" s="179" t="str">
        <f t="array" ref="BV18">IF($F18&lt;&gt;"", XLOOKUP($F18,Productos!$A$2:$A1001,Productos!BO$2:BO1001,"")*$G18,"")</f>
        <v/>
      </c>
      <c r="BW18" s="179" t="str">
        <f t="array" ref="BW18">IF($F18&lt;&gt;"",XLOOKUP($F18,Productos!$A:$A,Productos!BP:BP,"Revisar"),"")</f>
        <v/>
      </c>
      <c r="BX18" s="179" t="str">
        <f t="array" ref="BX18">IF($F18&lt;&gt;"", XLOOKUP($F18,Productos!$A$2:$A1001,Productos!BQ$2:BQ1001,"")*$G18,"")</f>
        <v/>
      </c>
      <c r="BY18" s="179" t="str">
        <f t="array" ref="BY18">IF($F18&lt;&gt;"",XLOOKUP($F18,Productos!$A:$A,Productos!BR:BR,"Revisar"),"")</f>
        <v/>
      </c>
      <c r="BZ18" s="179" t="str">
        <f t="array" ref="BZ18">IF($F18&lt;&gt;"", XLOOKUP($F18,Productos!$A$2:$A1001,Productos!BS$2:BS1001,"")*$G18,"")</f>
        <v/>
      </c>
    </row>
    <row r="19">
      <c r="A19" s="180"/>
      <c r="B19" s="181"/>
      <c r="C19" s="182"/>
      <c r="D19" s="182"/>
      <c r="E19" s="185"/>
      <c r="F19" s="186"/>
      <c r="G19" s="187"/>
      <c r="H19" s="186"/>
      <c r="I19" s="179" t="str">
        <f t="array" ref="I19">IF($F19&lt;&gt;"",XLOOKUP($F19,Productos!$A:$A,Productos!B:B,"Revisar"),"")</f>
        <v/>
      </c>
      <c r="J19" s="179" t="str">
        <f t="array" ref="J19">IF($F19&lt;&gt;"", XLOOKUP($F19,Productos!$A$2:$A1001,Productos!C$2:C1001,"")*$G19,"")</f>
        <v/>
      </c>
      <c r="K19" s="179" t="str">
        <f t="array" ref="K19">IF($F19&lt;&gt;"",XLOOKUP($F19,Productos!$A:$A,Productos!D:D,"Revisar"),"")</f>
        <v/>
      </c>
      <c r="L19" s="179" t="str">
        <f t="array" ref="L19">IF($F19&lt;&gt;"", XLOOKUP($F19,Productos!$A$2:$A1001,Productos!E$2:E1001,"")*$G19,"")</f>
        <v/>
      </c>
      <c r="M19" s="179" t="str">
        <f t="array" ref="M19">IF($F19&lt;&gt;"",XLOOKUP($F19,Productos!$A:$A,Productos!F:F,"Revisar"),"")</f>
        <v/>
      </c>
      <c r="N19" s="179" t="str">
        <f t="array" ref="N19">IF($F19&lt;&gt;"", XLOOKUP($F19,Productos!$A$2:$A1001,Productos!G$2:G1001,"")*$G19,"")</f>
        <v/>
      </c>
      <c r="O19" s="179" t="str">
        <f t="array" ref="O19">IF($F19&lt;&gt;"",XLOOKUP($F19,Productos!$A:$A,Productos!H:H,"Revisar"),"")</f>
        <v/>
      </c>
      <c r="P19" s="179" t="str">
        <f t="array" ref="P19">IF($F19&lt;&gt;"", XLOOKUP($F19,Productos!$A$2:$A1001,Productos!I$2:I1001,"")*$G19,"")</f>
        <v/>
      </c>
      <c r="Q19" s="179" t="str">
        <f t="array" ref="Q19">IF($F19&lt;&gt;"",XLOOKUP($F19,Productos!$A:$A,Productos!J:J,"Revisar"),"")</f>
        <v/>
      </c>
      <c r="R19" s="179" t="str">
        <f t="array" ref="R19">IF($F19&lt;&gt;"", XLOOKUP($F19,Productos!$A$2:$A1001,Productos!K$2:K1001,"")*$G19,"")</f>
        <v/>
      </c>
      <c r="S19" s="179" t="str">
        <f t="array" ref="S19">IF($F19&lt;&gt;"",XLOOKUP($F19,Productos!$A:$A,Productos!L:L,"Revisar"),"")</f>
        <v/>
      </c>
      <c r="T19" s="179" t="str">
        <f t="array" ref="T19">IF($F19&lt;&gt;"", XLOOKUP($F19,Productos!$A$2:$A1001,Productos!M$2:M1001,"")*$G19,"")</f>
        <v/>
      </c>
      <c r="U19" s="179" t="str">
        <f t="array" ref="U19">IF($F19&lt;&gt;"",XLOOKUP($F19,Productos!$A:$A,Productos!N:N,"Revisar"),"")</f>
        <v/>
      </c>
      <c r="V19" s="179" t="str">
        <f t="array" ref="V19">IF($F19&lt;&gt;"", XLOOKUP($F19,Productos!$A$2:$A1001,Productos!O$2:O1001,"")*$G19,"")</f>
        <v/>
      </c>
      <c r="W19" s="179" t="str">
        <f t="array" ref="W19">IF($F19&lt;&gt;"",XLOOKUP($F19,Productos!$A:$A,Productos!P:P,"Revisar"),"")</f>
        <v/>
      </c>
      <c r="X19" s="179" t="str">
        <f t="array" ref="X19">IF($F19&lt;&gt;"", XLOOKUP($F19,Productos!$A$2:$A1001,Productos!Q$2:Q1001,"")*$G19,"")</f>
        <v/>
      </c>
      <c r="Y19" s="179" t="str">
        <f t="array" ref="Y19">IF($F19&lt;&gt;"",XLOOKUP($F19,Productos!$A:$A,Productos!R:R,"Revisar"),"")</f>
        <v/>
      </c>
      <c r="Z19" s="179" t="str">
        <f t="array" ref="Z19">IF($F19&lt;&gt;"", XLOOKUP($F19,Productos!$A$2:$A1001,Productos!S$2:S1001,"")*$G19,"")</f>
        <v/>
      </c>
      <c r="AA19" s="179" t="str">
        <f t="array" ref="AA19">IF($F19&lt;&gt;"",XLOOKUP($F19,Productos!$A:$A,Productos!T:T,"Revisar"),"")</f>
        <v/>
      </c>
      <c r="AB19" s="179" t="str">
        <f t="array" ref="AB19">IF($F19&lt;&gt;"", XLOOKUP($F19,Productos!$A$2:$A1001,Productos!U$2:U1001,"")*$G19,"")</f>
        <v/>
      </c>
      <c r="AC19" s="179" t="str">
        <f t="array" ref="AC19">IF($F19&lt;&gt;"",XLOOKUP($F19,Productos!$A:$A,Productos!V:V,"Revisar"),"")</f>
        <v/>
      </c>
      <c r="AD19" s="179" t="str">
        <f t="array" ref="AD19">IF($F19&lt;&gt;"", XLOOKUP($F19,Productos!$A$2:$A1001,Productos!W$2:W1001,"")*$G19,"")</f>
        <v/>
      </c>
      <c r="AE19" s="179" t="str">
        <f t="array" ref="AE19">IF($F19&lt;&gt;"",XLOOKUP($F19,Productos!$A:$A,Productos!X:X,"Revisar"),"")</f>
        <v/>
      </c>
      <c r="AF19" s="179" t="str">
        <f t="array" ref="AF19">IF($F19&lt;&gt;"", XLOOKUP($F19,Productos!$A$2:$A1001,Productos!Y$2:Y1001,"")*$G19,"")</f>
        <v/>
      </c>
      <c r="AG19" s="179" t="str">
        <f t="array" ref="AG19">IF($F19&lt;&gt;"",XLOOKUP($F19,Productos!$A:$A,Productos!Z:Z,"Revisar"),"")</f>
        <v/>
      </c>
      <c r="AH19" s="179" t="str">
        <f t="array" ref="AH19">IF($F19&lt;&gt;"", XLOOKUP($F19,Productos!$A$2:$A1001,Productos!AA$2:AA1001,"")*$G19,"")</f>
        <v/>
      </c>
      <c r="AI19" s="179" t="str">
        <f t="array" ref="AI19">IF($F19&lt;&gt;"",XLOOKUP($F19,Productos!$A:$A,Productos!AB:AB,"Revisar"),"")</f>
        <v/>
      </c>
      <c r="AJ19" s="179" t="str">
        <f t="array" ref="AJ19">IF($F19&lt;&gt;"", XLOOKUP($F19,Productos!$A$2:$A1001,Productos!AC$2:AC1001,"")*$G19,"")</f>
        <v/>
      </c>
      <c r="AK19" s="179" t="str">
        <f t="array" ref="AK19">IF($F19&lt;&gt;"",XLOOKUP($F19,Productos!$A:$A,Productos!AD:AD,"Revisar"),"")</f>
        <v/>
      </c>
      <c r="AL19" s="179" t="str">
        <f t="array" ref="AL19">IF($F19&lt;&gt;"", XLOOKUP($F19,Productos!$A$2:$A1001,Productos!AE$2:AE1001,"")*$G19,"")</f>
        <v/>
      </c>
      <c r="AM19" s="179" t="str">
        <f t="array" ref="AM19">IF($F19&lt;&gt;"",XLOOKUP($F19,Productos!$A:$A,Productos!AF:AF,"Revisar"),"")</f>
        <v/>
      </c>
      <c r="AN19" s="179" t="str">
        <f t="array" ref="AN19">IF($F19&lt;&gt;"", XLOOKUP($F19,Productos!$A$2:$A1001,Productos!AG$2:AG1001,"")*$G19,"")</f>
        <v/>
      </c>
      <c r="AO19" s="179" t="str">
        <f t="array" ref="AO19">IF($F19&lt;&gt;"",XLOOKUP($F19,Productos!$A:$A,Productos!AH:AH,"Revisar"),"")</f>
        <v/>
      </c>
      <c r="AP19" s="179" t="str">
        <f t="array" ref="AP19">IF($F19&lt;&gt;"", XLOOKUP($F19,Productos!$A$2:$A1001,Productos!AI$2:AI1001,"")*$G19,"")</f>
        <v/>
      </c>
      <c r="AQ19" s="179" t="str">
        <f t="array" ref="AQ19">IF($F19&lt;&gt;"",XLOOKUP($F19,Productos!$A:$A,Productos!AJ:AJ,"Revisar"),"")</f>
        <v/>
      </c>
      <c r="AR19" s="179" t="str">
        <f t="array" ref="AR19">IF($F19&lt;&gt;"", XLOOKUP($F19,Productos!$A$2:$A1001,Productos!AK$2:AK1001,"")*$G19,"")</f>
        <v/>
      </c>
      <c r="AS19" s="179" t="str">
        <f t="array" ref="AS19">IF($F19&lt;&gt;"",XLOOKUP($F19,Productos!$A:$A,Productos!AL:AL,"Revisar"),"")</f>
        <v/>
      </c>
      <c r="AT19" s="179" t="str">
        <f t="array" ref="AT19">IF($F19&lt;&gt;"", XLOOKUP($F19,Productos!$A$2:$A1001,Productos!AM$2:AM1001,"")*$G19,"")</f>
        <v/>
      </c>
      <c r="AU19" s="179" t="str">
        <f t="array" ref="AU19">IF($F19&lt;&gt;"",XLOOKUP($F19,Productos!$A:$A,Productos!AN:AN,"Revisar"),"")</f>
        <v/>
      </c>
      <c r="AV19" s="179" t="str">
        <f t="array" ref="AV19">IF($F19&lt;&gt;"", XLOOKUP($F19,Productos!$A$2:$A1001,Productos!AO$2:AO1001,"")*$G19,"")</f>
        <v/>
      </c>
      <c r="AW19" s="179" t="str">
        <f t="array" ref="AW19">IF($F19&lt;&gt;"",XLOOKUP($F19,Productos!$A:$A,Productos!AP:AP,"Revisar"),"")</f>
        <v/>
      </c>
      <c r="AX19" s="179" t="str">
        <f t="array" ref="AX19">IF($F19&lt;&gt;"", XLOOKUP($F19,Productos!$A$2:$A1001,Productos!AQ$2:AQ1001,"")*$G19,"")</f>
        <v/>
      </c>
      <c r="AY19" s="179" t="str">
        <f t="array" ref="AY19">IF($F19&lt;&gt;"",XLOOKUP($F19,Productos!$A:$A,Productos!AR:AR,"Revisar"),"")</f>
        <v/>
      </c>
      <c r="AZ19" s="179" t="str">
        <f t="array" ref="AZ19">IF($F19&lt;&gt;"", XLOOKUP($F19,Productos!$A$2:$A1001,Productos!AS$2:AS1001,"")*$G19,"")</f>
        <v/>
      </c>
      <c r="BA19" s="179" t="str">
        <f t="array" ref="BA19">IF($F19&lt;&gt;"",XLOOKUP($F19,Productos!$A:$A,Productos!AT:AT,"Revisar"),"")</f>
        <v/>
      </c>
      <c r="BB19" s="179" t="str">
        <f t="array" ref="BB19">IF($F19&lt;&gt;"", XLOOKUP($F19,Productos!$A$2:$A1001,Productos!AU$2:AU1001,"")*$G19,"")</f>
        <v/>
      </c>
      <c r="BC19" s="179" t="str">
        <f t="array" ref="BC19">IF($F19&lt;&gt;"",XLOOKUP($F19,Productos!$A:$A,Productos!AV:AV,"Revisar"),"")</f>
        <v/>
      </c>
      <c r="BD19" s="179" t="str">
        <f t="array" ref="BD19">IF($F19&lt;&gt;"", XLOOKUP($F19,Productos!$A$2:$A1001,Productos!AW$2:AW1001,"")*$G19,"")</f>
        <v/>
      </c>
      <c r="BE19" s="179" t="str">
        <f t="array" ref="BE19">IF($F19&lt;&gt;"",XLOOKUP($F19,Productos!$A:$A,Productos!AX:AX,"Revisar"),"")</f>
        <v/>
      </c>
      <c r="BF19" s="179" t="str">
        <f t="array" ref="BF19">IF($F19&lt;&gt;"", XLOOKUP($F19,Productos!$A$2:$A1001,Productos!AY$2:AY1001,"")*$G19,"")</f>
        <v/>
      </c>
      <c r="BG19" s="179" t="str">
        <f t="array" ref="BG19">IF($F19&lt;&gt;"",XLOOKUP($F19,Productos!$A:$A,Productos!AZ:AZ,"Revisar"),"")</f>
        <v/>
      </c>
      <c r="BH19" s="179" t="str">
        <f t="array" ref="BH19">IF($F19&lt;&gt;"", XLOOKUP($F19,Productos!$A$2:$A1001,Productos!BA$2:BA1001,"")*$G19,"")</f>
        <v/>
      </c>
      <c r="BI19" s="179" t="str">
        <f t="array" ref="BI19">IF($F19&lt;&gt;"",XLOOKUP($F19,Productos!$A:$A,Productos!BB:BB,"Revisar"),"")</f>
        <v/>
      </c>
      <c r="BJ19" s="179" t="str">
        <f t="array" ref="BJ19">IF($F19&lt;&gt;"", XLOOKUP($F19,Productos!$A$2:$A1001,Productos!BC$2:BC1001,"")*$G19,"")</f>
        <v/>
      </c>
      <c r="BK19" s="179" t="str">
        <f t="array" ref="BK19">IF($F19&lt;&gt;"",XLOOKUP($F19,Productos!$A:$A,Productos!BD:BD,"Revisar"),"")</f>
        <v/>
      </c>
      <c r="BL19" s="179" t="str">
        <f t="array" ref="BL19">IF($F19&lt;&gt;"", XLOOKUP($F19,Productos!$A$2:$A1001,Productos!BE$2:BE1001,"")*$G19,"")</f>
        <v/>
      </c>
      <c r="BM19" s="179" t="str">
        <f t="array" ref="BM19">IF($F19&lt;&gt;"",XLOOKUP($F19,Productos!$A:$A,Productos!BF:BF,"Revisar"),"")</f>
        <v/>
      </c>
      <c r="BN19" s="179" t="str">
        <f t="array" ref="BN19">IF($F19&lt;&gt;"", XLOOKUP($F19,Productos!$A$2:$A1001,Productos!BG$2:BG1001,"")*$G19,"")</f>
        <v/>
      </c>
      <c r="BO19" s="179" t="str">
        <f t="array" ref="BO19">IF($F19&lt;&gt;"",XLOOKUP($F19,Productos!$A:$A,Productos!BH:BH,"Revisar"),"")</f>
        <v/>
      </c>
      <c r="BP19" s="179" t="str">
        <f t="array" ref="BP19">IF($F19&lt;&gt;"", XLOOKUP($F19,Productos!$A$2:$A1001,Productos!BI$2:BI1001,"")*$G19,"")</f>
        <v/>
      </c>
      <c r="BQ19" s="179" t="str">
        <f t="array" ref="BQ19">IF($F19&lt;&gt;"",XLOOKUP($F19,Productos!$A:$A,Productos!BJ:BJ,"Revisar"),"")</f>
        <v/>
      </c>
      <c r="BR19" s="179" t="str">
        <f t="array" ref="BR19">IF($F19&lt;&gt;"", XLOOKUP($F19,Productos!$A$2:$A1001,Productos!BK$2:BK1001,"")*$G19,"")</f>
        <v/>
      </c>
      <c r="BS19" s="179" t="str">
        <f t="array" ref="BS19">IF($F19&lt;&gt;"",XLOOKUP($F19,Productos!$A:$A,Productos!BL:BL,"Revisar"),"")</f>
        <v/>
      </c>
      <c r="BT19" s="179" t="str">
        <f t="array" ref="BT19">IF($F19&lt;&gt;"", XLOOKUP($F19,Productos!$A$2:$A1001,Productos!BM$2:BM1001,"")*$G19,"")</f>
        <v/>
      </c>
      <c r="BU19" s="179" t="str">
        <f t="array" ref="BU19">IF($F19&lt;&gt;"",XLOOKUP($F19,Productos!$A:$A,Productos!BN:BN,"Revisar"),"")</f>
        <v/>
      </c>
      <c r="BV19" s="179" t="str">
        <f t="array" ref="BV19">IF($F19&lt;&gt;"", XLOOKUP($F19,Productos!$A$2:$A1001,Productos!BO$2:BO1001,"")*$G19,"")</f>
        <v/>
      </c>
      <c r="BW19" s="179" t="str">
        <f t="array" ref="BW19">IF($F19&lt;&gt;"",XLOOKUP($F19,Productos!$A:$A,Productos!BP:BP,"Revisar"),"")</f>
        <v/>
      </c>
      <c r="BX19" s="179" t="str">
        <f t="array" ref="BX19">IF($F19&lt;&gt;"", XLOOKUP($F19,Productos!$A$2:$A1001,Productos!BQ$2:BQ1001,"")*$G19,"")</f>
        <v/>
      </c>
      <c r="BY19" s="179" t="str">
        <f t="array" ref="BY19">IF($F19&lt;&gt;"",XLOOKUP($F19,Productos!$A:$A,Productos!BR:BR,"Revisar"),"")</f>
        <v/>
      </c>
      <c r="BZ19" s="179" t="str">
        <f t="array" ref="BZ19">IF($F19&lt;&gt;"", XLOOKUP($F19,Productos!$A$2:$A1001,Productos!BS$2:BS1001,"")*$G19,"")</f>
        <v/>
      </c>
    </row>
    <row r="20">
      <c r="A20" s="180"/>
      <c r="B20" s="181"/>
      <c r="C20" s="182"/>
      <c r="D20" s="182"/>
      <c r="E20" s="185"/>
      <c r="F20" s="186"/>
      <c r="G20" s="187"/>
      <c r="H20" s="186"/>
      <c r="I20" s="179" t="str">
        <f t="array" ref="I20">IF($F20&lt;&gt;"",XLOOKUP($F20,Productos!$A:$A,Productos!B:B,"Revisar"),"")</f>
        <v/>
      </c>
      <c r="J20" s="179" t="str">
        <f t="array" ref="J20">IF($F20&lt;&gt;"", XLOOKUP($F20,Productos!$A$2:$A1001,Productos!C$2:C1001,"")*$G20,"")</f>
        <v/>
      </c>
      <c r="K20" s="179" t="str">
        <f t="array" ref="K20">IF($F20&lt;&gt;"",XLOOKUP($F20,Productos!$A:$A,Productos!D:D,"Revisar"),"")</f>
        <v/>
      </c>
      <c r="L20" s="179" t="str">
        <f t="array" ref="L20">IF($F20&lt;&gt;"", XLOOKUP($F20,Productos!$A$2:$A1001,Productos!E$2:E1001,"")*$G20,"")</f>
        <v/>
      </c>
      <c r="M20" s="179" t="str">
        <f t="array" ref="M20">IF($F20&lt;&gt;"",XLOOKUP($F20,Productos!$A:$A,Productos!F:F,"Revisar"),"")</f>
        <v/>
      </c>
      <c r="N20" s="179" t="str">
        <f t="array" ref="N20">IF($F20&lt;&gt;"", XLOOKUP($F20,Productos!$A$2:$A1001,Productos!G$2:G1001,"")*$G20,"")</f>
        <v/>
      </c>
      <c r="O20" s="179" t="str">
        <f t="array" ref="O20">IF($F20&lt;&gt;"",XLOOKUP($F20,Productos!$A:$A,Productos!H:H,"Revisar"),"")</f>
        <v/>
      </c>
      <c r="P20" s="179" t="str">
        <f t="array" ref="P20">IF($F20&lt;&gt;"", XLOOKUP($F20,Productos!$A$2:$A1001,Productos!I$2:I1001,"")*$G20,"")</f>
        <v/>
      </c>
      <c r="Q20" s="179" t="str">
        <f t="array" ref="Q20">IF($F20&lt;&gt;"",XLOOKUP($F20,Productos!$A:$A,Productos!J:J,"Revisar"),"")</f>
        <v/>
      </c>
      <c r="R20" s="179" t="str">
        <f t="array" ref="R20">IF($F20&lt;&gt;"", XLOOKUP($F20,Productos!$A$2:$A1001,Productos!K$2:K1001,"")*$G20,"")</f>
        <v/>
      </c>
      <c r="S20" s="179" t="str">
        <f t="array" ref="S20">IF($F20&lt;&gt;"",XLOOKUP($F20,Productos!$A:$A,Productos!L:L,"Revisar"),"")</f>
        <v/>
      </c>
      <c r="T20" s="179" t="str">
        <f t="array" ref="T20">IF($F20&lt;&gt;"", XLOOKUP($F20,Productos!$A$2:$A1001,Productos!M$2:M1001,"")*$G20,"")</f>
        <v/>
      </c>
      <c r="U20" s="179" t="str">
        <f t="array" ref="U20">IF($F20&lt;&gt;"",XLOOKUP($F20,Productos!$A:$A,Productos!N:N,"Revisar"),"")</f>
        <v/>
      </c>
      <c r="V20" s="179" t="str">
        <f t="array" ref="V20">IF($F20&lt;&gt;"", XLOOKUP($F20,Productos!$A$2:$A1001,Productos!O$2:O1001,"")*$G20,"")</f>
        <v/>
      </c>
      <c r="W20" s="179" t="str">
        <f t="array" ref="W20">IF($F20&lt;&gt;"",XLOOKUP($F20,Productos!$A:$A,Productos!P:P,"Revisar"),"")</f>
        <v/>
      </c>
      <c r="X20" s="179" t="str">
        <f t="array" ref="X20">IF($F20&lt;&gt;"", XLOOKUP($F20,Productos!$A$2:$A1001,Productos!Q$2:Q1001,"")*$G20,"")</f>
        <v/>
      </c>
      <c r="Y20" s="179" t="str">
        <f t="array" ref="Y20">IF($F20&lt;&gt;"",XLOOKUP($F20,Productos!$A:$A,Productos!R:R,"Revisar"),"")</f>
        <v/>
      </c>
      <c r="Z20" s="179" t="str">
        <f t="array" ref="Z20">IF($F20&lt;&gt;"", XLOOKUP($F20,Productos!$A$2:$A1001,Productos!S$2:S1001,"")*$G20,"")</f>
        <v/>
      </c>
      <c r="AA20" s="179" t="str">
        <f t="array" ref="AA20">IF($F20&lt;&gt;"",XLOOKUP($F20,Productos!$A:$A,Productos!T:T,"Revisar"),"")</f>
        <v/>
      </c>
      <c r="AB20" s="179" t="str">
        <f t="array" ref="AB20">IF($F20&lt;&gt;"", XLOOKUP($F20,Productos!$A$2:$A1001,Productos!U$2:U1001,"")*$G20,"")</f>
        <v/>
      </c>
      <c r="AC20" s="179" t="str">
        <f t="array" ref="AC20">IF($F20&lt;&gt;"",XLOOKUP($F20,Productos!$A:$A,Productos!V:V,"Revisar"),"")</f>
        <v/>
      </c>
      <c r="AD20" s="179" t="str">
        <f t="array" ref="AD20">IF($F20&lt;&gt;"", XLOOKUP($F20,Productos!$A$2:$A1001,Productos!W$2:W1001,"")*$G20,"")</f>
        <v/>
      </c>
      <c r="AE20" s="179" t="str">
        <f t="array" ref="AE20">IF($F20&lt;&gt;"",XLOOKUP($F20,Productos!$A:$A,Productos!X:X,"Revisar"),"")</f>
        <v/>
      </c>
      <c r="AF20" s="179" t="str">
        <f t="array" ref="AF20">IF($F20&lt;&gt;"", XLOOKUP($F20,Productos!$A$2:$A1001,Productos!Y$2:Y1001,"")*$G20,"")</f>
        <v/>
      </c>
      <c r="AG20" s="179" t="str">
        <f t="array" ref="AG20">IF($F20&lt;&gt;"",XLOOKUP($F20,Productos!$A:$A,Productos!Z:Z,"Revisar"),"")</f>
        <v/>
      </c>
      <c r="AH20" s="179" t="str">
        <f t="array" ref="AH20">IF($F20&lt;&gt;"", XLOOKUP($F20,Productos!$A$2:$A1001,Productos!AA$2:AA1001,"")*$G20,"")</f>
        <v/>
      </c>
      <c r="AI20" s="179" t="str">
        <f t="array" ref="AI20">IF($F20&lt;&gt;"",XLOOKUP($F20,Productos!$A:$A,Productos!AB:AB,"Revisar"),"")</f>
        <v/>
      </c>
      <c r="AJ20" s="179" t="str">
        <f t="array" ref="AJ20">IF($F20&lt;&gt;"", XLOOKUP($F20,Productos!$A$2:$A1001,Productos!AC$2:AC1001,"")*$G20,"")</f>
        <v/>
      </c>
      <c r="AK20" s="179" t="str">
        <f t="array" ref="AK20">IF($F20&lt;&gt;"",XLOOKUP($F20,Productos!$A:$A,Productos!AD:AD,"Revisar"),"")</f>
        <v/>
      </c>
      <c r="AL20" s="179" t="str">
        <f t="array" ref="AL20">IF($F20&lt;&gt;"", XLOOKUP($F20,Productos!$A$2:$A1001,Productos!AE$2:AE1001,"")*$G20,"")</f>
        <v/>
      </c>
      <c r="AM20" s="179" t="str">
        <f t="array" ref="AM20">IF($F20&lt;&gt;"",XLOOKUP($F20,Productos!$A:$A,Productos!AF:AF,"Revisar"),"")</f>
        <v/>
      </c>
      <c r="AN20" s="179" t="str">
        <f t="array" ref="AN20">IF($F20&lt;&gt;"", XLOOKUP($F20,Productos!$A$2:$A1001,Productos!AG$2:AG1001,"")*$G20,"")</f>
        <v/>
      </c>
      <c r="AO20" s="179" t="str">
        <f t="array" ref="AO20">IF($F20&lt;&gt;"",XLOOKUP($F20,Productos!$A:$A,Productos!AH:AH,"Revisar"),"")</f>
        <v/>
      </c>
      <c r="AP20" s="179" t="str">
        <f t="array" ref="AP20">IF($F20&lt;&gt;"", XLOOKUP($F20,Productos!$A$2:$A1001,Productos!AI$2:AI1001,"")*$G20,"")</f>
        <v/>
      </c>
      <c r="AQ20" s="179" t="str">
        <f t="array" ref="AQ20">IF($F20&lt;&gt;"",XLOOKUP($F20,Productos!$A:$A,Productos!AJ:AJ,"Revisar"),"")</f>
        <v/>
      </c>
      <c r="AR20" s="179" t="str">
        <f t="array" ref="AR20">IF($F20&lt;&gt;"", XLOOKUP($F20,Productos!$A$2:$A1001,Productos!AK$2:AK1001,"")*$G20,"")</f>
        <v/>
      </c>
      <c r="AS20" s="179" t="str">
        <f t="array" ref="AS20">IF($F20&lt;&gt;"",XLOOKUP($F20,Productos!$A:$A,Productos!AL:AL,"Revisar"),"")</f>
        <v/>
      </c>
      <c r="AT20" s="179" t="str">
        <f t="array" ref="AT20">IF($F20&lt;&gt;"", XLOOKUP($F20,Productos!$A$2:$A1001,Productos!AM$2:AM1001,"")*$G20,"")</f>
        <v/>
      </c>
      <c r="AU20" s="179" t="str">
        <f t="array" ref="AU20">IF($F20&lt;&gt;"",XLOOKUP($F20,Productos!$A:$A,Productos!AN:AN,"Revisar"),"")</f>
        <v/>
      </c>
      <c r="AV20" s="179" t="str">
        <f t="array" ref="AV20">IF($F20&lt;&gt;"", XLOOKUP($F20,Productos!$A$2:$A1001,Productos!AO$2:AO1001,"")*$G20,"")</f>
        <v/>
      </c>
      <c r="AW20" s="179" t="str">
        <f t="array" ref="AW20">IF($F20&lt;&gt;"",XLOOKUP($F20,Productos!$A:$A,Productos!AP:AP,"Revisar"),"")</f>
        <v/>
      </c>
      <c r="AX20" s="179" t="str">
        <f t="array" ref="AX20">IF($F20&lt;&gt;"", XLOOKUP($F20,Productos!$A$2:$A1001,Productos!AQ$2:AQ1001,"")*$G20,"")</f>
        <v/>
      </c>
      <c r="AY20" s="179" t="str">
        <f t="array" ref="AY20">IF($F20&lt;&gt;"",XLOOKUP($F20,Productos!$A:$A,Productos!AR:AR,"Revisar"),"")</f>
        <v/>
      </c>
      <c r="AZ20" s="179" t="str">
        <f t="array" ref="AZ20">IF($F20&lt;&gt;"", XLOOKUP($F20,Productos!$A$2:$A1001,Productos!AS$2:AS1001,"")*$G20,"")</f>
        <v/>
      </c>
      <c r="BA20" s="179" t="str">
        <f t="array" ref="BA20">IF($F20&lt;&gt;"",XLOOKUP($F20,Productos!$A:$A,Productos!AT:AT,"Revisar"),"")</f>
        <v/>
      </c>
      <c r="BB20" s="179" t="str">
        <f t="array" ref="BB20">IF($F20&lt;&gt;"", XLOOKUP($F20,Productos!$A$2:$A1001,Productos!AU$2:AU1001,"")*$G20,"")</f>
        <v/>
      </c>
      <c r="BC20" s="179" t="str">
        <f t="array" ref="BC20">IF($F20&lt;&gt;"",XLOOKUP($F20,Productos!$A:$A,Productos!AV:AV,"Revisar"),"")</f>
        <v/>
      </c>
      <c r="BD20" s="179" t="str">
        <f t="array" ref="BD20">IF($F20&lt;&gt;"", XLOOKUP($F20,Productos!$A$2:$A1001,Productos!AW$2:AW1001,"")*$G20,"")</f>
        <v/>
      </c>
      <c r="BE20" s="179" t="str">
        <f t="array" ref="BE20">IF($F20&lt;&gt;"",XLOOKUP($F20,Productos!$A:$A,Productos!AX:AX,"Revisar"),"")</f>
        <v/>
      </c>
      <c r="BF20" s="179" t="str">
        <f t="array" ref="BF20">IF($F20&lt;&gt;"", XLOOKUP($F20,Productos!$A$2:$A1001,Productos!AY$2:AY1001,"")*$G20,"")</f>
        <v/>
      </c>
      <c r="BG20" s="179" t="str">
        <f t="array" ref="BG20">IF($F20&lt;&gt;"",XLOOKUP($F20,Productos!$A:$A,Productos!AZ:AZ,"Revisar"),"")</f>
        <v/>
      </c>
      <c r="BH20" s="179" t="str">
        <f t="array" ref="BH20">IF($F20&lt;&gt;"", XLOOKUP($F20,Productos!$A$2:$A1001,Productos!BA$2:BA1001,"")*$G20,"")</f>
        <v/>
      </c>
      <c r="BI20" s="179" t="str">
        <f t="array" ref="BI20">IF($F20&lt;&gt;"",XLOOKUP($F20,Productos!$A:$A,Productos!BB:BB,"Revisar"),"")</f>
        <v/>
      </c>
      <c r="BJ20" s="179" t="str">
        <f t="array" ref="BJ20">IF($F20&lt;&gt;"", XLOOKUP($F20,Productos!$A$2:$A1001,Productos!BC$2:BC1001,"")*$G20,"")</f>
        <v/>
      </c>
      <c r="BK20" s="179" t="str">
        <f t="array" ref="BK20">IF($F20&lt;&gt;"",XLOOKUP($F20,Productos!$A:$A,Productos!BD:BD,"Revisar"),"")</f>
        <v/>
      </c>
      <c r="BL20" s="179" t="str">
        <f t="array" ref="BL20">IF($F20&lt;&gt;"", XLOOKUP($F20,Productos!$A$2:$A1001,Productos!BE$2:BE1001,"")*$G20,"")</f>
        <v/>
      </c>
      <c r="BM20" s="179" t="str">
        <f t="array" ref="BM20">IF($F20&lt;&gt;"",XLOOKUP($F20,Productos!$A:$A,Productos!BF:BF,"Revisar"),"")</f>
        <v/>
      </c>
      <c r="BN20" s="179" t="str">
        <f t="array" ref="BN20">IF($F20&lt;&gt;"", XLOOKUP($F20,Productos!$A$2:$A1001,Productos!BG$2:BG1001,"")*$G20,"")</f>
        <v/>
      </c>
      <c r="BO20" s="179" t="str">
        <f t="array" ref="BO20">IF($F20&lt;&gt;"",XLOOKUP($F20,Productos!$A:$A,Productos!BH:BH,"Revisar"),"")</f>
        <v/>
      </c>
      <c r="BP20" s="179" t="str">
        <f t="array" ref="BP20">IF($F20&lt;&gt;"", XLOOKUP($F20,Productos!$A$2:$A1001,Productos!BI$2:BI1001,"")*$G20,"")</f>
        <v/>
      </c>
      <c r="BQ20" s="179" t="str">
        <f t="array" ref="BQ20">IF($F20&lt;&gt;"",XLOOKUP($F20,Productos!$A:$A,Productos!BJ:BJ,"Revisar"),"")</f>
        <v/>
      </c>
      <c r="BR20" s="179" t="str">
        <f t="array" ref="BR20">IF($F20&lt;&gt;"", XLOOKUP($F20,Productos!$A$2:$A1001,Productos!BK$2:BK1001,"")*$G20,"")</f>
        <v/>
      </c>
      <c r="BS20" s="179" t="str">
        <f t="array" ref="BS20">IF($F20&lt;&gt;"",XLOOKUP($F20,Productos!$A:$A,Productos!BL:BL,"Revisar"),"")</f>
        <v/>
      </c>
      <c r="BT20" s="179" t="str">
        <f t="array" ref="BT20">IF($F20&lt;&gt;"", XLOOKUP($F20,Productos!$A$2:$A1001,Productos!BM$2:BM1001,"")*$G20,"")</f>
        <v/>
      </c>
      <c r="BU20" s="179" t="str">
        <f t="array" ref="BU20">IF($F20&lt;&gt;"",XLOOKUP($F20,Productos!$A:$A,Productos!BN:BN,"Revisar"),"")</f>
        <v/>
      </c>
      <c r="BV20" s="179" t="str">
        <f t="array" ref="BV20">IF($F20&lt;&gt;"", XLOOKUP($F20,Productos!$A$2:$A1001,Productos!BO$2:BO1001,"")*$G20,"")</f>
        <v/>
      </c>
      <c r="BW20" s="179" t="str">
        <f t="array" ref="BW20">IF($F20&lt;&gt;"",XLOOKUP($F20,Productos!$A:$A,Productos!BP:BP,"Revisar"),"")</f>
        <v/>
      </c>
      <c r="BX20" s="179" t="str">
        <f t="array" ref="BX20">IF($F20&lt;&gt;"", XLOOKUP($F20,Productos!$A$2:$A1001,Productos!BQ$2:BQ1001,"")*$G20,"")</f>
        <v/>
      </c>
      <c r="BY20" s="179" t="str">
        <f t="array" ref="BY20">IF($F20&lt;&gt;"",XLOOKUP($F20,Productos!$A:$A,Productos!BR:BR,"Revisar"),"")</f>
        <v/>
      </c>
      <c r="BZ20" s="179" t="str">
        <f t="array" ref="BZ20">IF($F20&lt;&gt;"", XLOOKUP($F20,Productos!$A$2:$A1001,Productos!BS$2:BS1001,"")*$G20,"")</f>
        <v/>
      </c>
    </row>
    <row r="21">
      <c r="A21" s="180"/>
      <c r="B21" s="181"/>
      <c r="C21" s="182"/>
      <c r="D21" s="182"/>
      <c r="E21" s="185"/>
      <c r="F21" s="186"/>
      <c r="G21" s="187"/>
      <c r="H21" s="186"/>
      <c r="I21" s="179" t="str">
        <f t="array" ref="I21">IF($F21&lt;&gt;"",XLOOKUP($F21,Productos!$A:$A,Productos!B:B,"Revisar"),"")</f>
        <v/>
      </c>
      <c r="J21" s="179" t="str">
        <f t="array" ref="J21">IF($F21&lt;&gt;"", XLOOKUP($F21,Productos!$A$2:$A1001,Productos!C$2:C1001,"")*$G21,"")</f>
        <v/>
      </c>
      <c r="K21" s="179" t="str">
        <f t="array" ref="K21">IF($F21&lt;&gt;"",XLOOKUP($F21,Productos!$A:$A,Productos!D:D,"Revisar"),"")</f>
        <v/>
      </c>
      <c r="L21" s="179" t="str">
        <f t="array" ref="L21">IF($F21&lt;&gt;"", XLOOKUP($F21,Productos!$A$2:$A1001,Productos!E$2:E1001,"")*$G21,"")</f>
        <v/>
      </c>
      <c r="M21" s="179" t="str">
        <f t="array" ref="M21">IF($F21&lt;&gt;"",XLOOKUP($F21,Productos!$A:$A,Productos!F:F,"Revisar"),"")</f>
        <v/>
      </c>
      <c r="N21" s="179" t="str">
        <f t="array" ref="N21">IF($F21&lt;&gt;"", XLOOKUP($F21,Productos!$A$2:$A1001,Productos!G$2:G1001,"")*$G21,"")</f>
        <v/>
      </c>
      <c r="O21" s="179" t="str">
        <f t="array" ref="O21">IF($F21&lt;&gt;"",XLOOKUP($F21,Productos!$A:$A,Productos!H:H,"Revisar"),"")</f>
        <v/>
      </c>
      <c r="P21" s="179" t="str">
        <f t="array" ref="P21">IF($F21&lt;&gt;"", XLOOKUP($F21,Productos!$A$2:$A1001,Productos!I$2:I1001,"")*$G21,"")</f>
        <v/>
      </c>
      <c r="Q21" s="179" t="str">
        <f t="array" ref="Q21">IF($F21&lt;&gt;"",XLOOKUP($F21,Productos!$A:$A,Productos!J:J,"Revisar"),"")</f>
        <v/>
      </c>
      <c r="R21" s="179" t="str">
        <f t="array" ref="R21">IF($F21&lt;&gt;"", XLOOKUP($F21,Productos!$A$2:$A1001,Productos!K$2:K1001,"")*$G21,"")</f>
        <v/>
      </c>
      <c r="S21" s="179" t="str">
        <f t="array" ref="S21">IF($F21&lt;&gt;"",XLOOKUP($F21,Productos!$A:$A,Productos!L:L,"Revisar"),"")</f>
        <v/>
      </c>
      <c r="T21" s="179" t="str">
        <f t="array" ref="T21">IF($F21&lt;&gt;"", XLOOKUP($F21,Productos!$A$2:$A1001,Productos!M$2:M1001,"")*$G21,"")</f>
        <v/>
      </c>
      <c r="U21" s="179" t="str">
        <f t="array" ref="U21">IF($F21&lt;&gt;"",XLOOKUP($F21,Productos!$A:$A,Productos!N:N,"Revisar"),"")</f>
        <v/>
      </c>
      <c r="V21" s="179" t="str">
        <f t="array" ref="V21">IF($F21&lt;&gt;"", XLOOKUP($F21,Productos!$A$2:$A1001,Productos!O$2:O1001,"")*$G21,"")</f>
        <v/>
      </c>
      <c r="W21" s="179" t="str">
        <f t="array" ref="W21">IF($F21&lt;&gt;"",XLOOKUP($F21,Productos!$A:$A,Productos!P:P,"Revisar"),"")</f>
        <v/>
      </c>
      <c r="X21" s="179" t="str">
        <f t="array" ref="X21">IF($F21&lt;&gt;"", XLOOKUP($F21,Productos!$A$2:$A1001,Productos!Q$2:Q1001,"")*$G21,"")</f>
        <v/>
      </c>
      <c r="Y21" s="179" t="str">
        <f t="array" ref="Y21">IF($F21&lt;&gt;"",XLOOKUP($F21,Productos!$A:$A,Productos!R:R,"Revisar"),"")</f>
        <v/>
      </c>
      <c r="Z21" s="179" t="str">
        <f t="array" ref="Z21">IF($F21&lt;&gt;"", XLOOKUP($F21,Productos!$A$2:$A1001,Productos!S$2:S1001,"")*$G21,"")</f>
        <v/>
      </c>
      <c r="AA21" s="179" t="str">
        <f t="array" ref="AA21">IF($F21&lt;&gt;"",XLOOKUP($F21,Productos!$A:$A,Productos!T:T,"Revisar"),"")</f>
        <v/>
      </c>
      <c r="AB21" s="179" t="str">
        <f t="array" ref="AB21">IF($F21&lt;&gt;"", XLOOKUP($F21,Productos!$A$2:$A1001,Productos!U$2:U1001,"")*$G21,"")</f>
        <v/>
      </c>
      <c r="AC21" s="179" t="str">
        <f t="array" ref="AC21">IF($F21&lt;&gt;"",XLOOKUP($F21,Productos!$A:$A,Productos!V:V,"Revisar"),"")</f>
        <v/>
      </c>
      <c r="AD21" s="179" t="str">
        <f t="array" ref="AD21">IF($F21&lt;&gt;"", XLOOKUP($F21,Productos!$A$2:$A1001,Productos!W$2:W1001,"")*$G21,"")</f>
        <v/>
      </c>
      <c r="AE21" s="179" t="str">
        <f t="array" ref="AE21">IF($F21&lt;&gt;"",XLOOKUP($F21,Productos!$A:$A,Productos!X:X,"Revisar"),"")</f>
        <v/>
      </c>
      <c r="AF21" s="179" t="str">
        <f t="array" ref="AF21">IF($F21&lt;&gt;"", XLOOKUP($F21,Productos!$A$2:$A1001,Productos!Y$2:Y1001,"")*$G21,"")</f>
        <v/>
      </c>
      <c r="AG21" s="179" t="str">
        <f t="array" ref="AG21">IF($F21&lt;&gt;"",XLOOKUP($F21,Productos!$A:$A,Productos!Z:Z,"Revisar"),"")</f>
        <v/>
      </c>
      <c r="AH21" s="179" t="str">
        <f t="array" ref="AH21">IF($F21&lt;&gt;"", XLOOKUP($F21,Productos!$A$2:$A1001,Productos!AA$2:AA1001,"")*$G21,"")</f>
        <v/>
      </c>
      <c r="AI21" s="179" t="str">
        <f t="array" ref="AI21">IF($F21&lt;&gt;"",XLOOKUP($F21,Productos!$A:$A,Productos!AB:AB,"Revisar"),"")</f>
        <v/>
      </c>
      <c r="AJ21" s="179" t="str">
        <f t="array" ref="AJ21">IF($F21&lt;&gt;"", XLOOKUP($F21,Productos!$A$2:$A1001,Productos!AC$2:AC1001,"")*$G21,"")</f>
        <v/>
      </c>
      <c r="AK21" s="179" t="str">
        <f t="array" ref="AK21">IF($F21&lt;&gt;"",XLOOKUP($F21,Productos!$A:$A,Productos!AD:AD,"Revisar"),"")</f>
        <v/>
      </c>
      <c r="AL21" s="179" t="str">
        <f t="array" ref="AL21">IF($F21&lt;&gt;"", XLOOKUP($F21,Productos!$A$2:$A1001,Productos!AE$2:AE1001,"")*$G21,"")</f>
        <v/>
      </c>
      <c r="AM21" s="179" t="str">
        <f t="array" ref="AM21">IF($F21&lt;&gt;"",XLOOKUP($F21,Productos!$A:$A,Productos!AF:AF,"Revisar"),"")</f>
        <v/>
      </c>
      <c r="AN21" s="179" t="str">
        <f t="array" ref="AN21">IF($F21&lt;&gt;"", XLOOKUP($F21,Productos!$A$2:$A1001,Productos!AG$2:AG1001,"")*$G21,"")</f>
        <v/>
      </c>
      <c r="AO21" s="179" t="str">
        <f t="array" ref="AO21">IF($F21&lt;&gt;"",XLOOKUP($F21,Productos!$A:$A,Productos!AH:AH,"Revisar"),"")</f>
        <v/>
      </c>
      <c r="AP21" s="179" t="str">
        <f t="array" ref="AP21">IF($F21&lt;&gt;"", XLOOKUP($F21,Productos!$A$2:$A1001,Productos!AI$2:AI1001,"")*$G21,"")</f>
        <v/>
      </c>
      <c r="AQ21" s="179" t="str">
        <f t="array" ref="AQ21">IF($F21&lt;&gt;"",XLOOKUP($F21,Productos!$A:$A,Productos!AJ:AJ,"Revisar"),"")</f>
        <v/>
      </c>
      <c r="AR21" s="179" t="str">
        <f t="array" ref="AR21">IF($F21&lt;&gt;"", XLOOKUP($F21,Productos!$A$2:$A1001,Productos!AK$2:AK1001,"")*$G21,"")</f>
        <v/>
      </c>
      <c r="AS21" s="179" t="str">
        <f t="array" ref="AS21">IF($F21&lt;&gt;"",XLOOKUP($F21,Productos!$A:$A,Productos!AL:AL,"Revisar"),"")</f>
        <v/>
      </c>
      <c r="AT21" s="179" t="str">
        <f t="array" ref="AT21">IF($F21&lt;&gt;"", XLOOKUP($F21,Productos!$A$2:$A1001,Productos!AM$2:AM1001,"")*$G21,"")</f>
        <v/>
      </c>
      <c r="AU21" s="179" t="str">
        <f t="array" ref="AU21">IF($F21&lt;&gt;"",XLOOKUP($F21,Productos!$A:$A,Productos!AN:AN,"Revisar"),"")</f>
        <v/>
      </c>
      <c r="AV21" s="179" t="str">
        <f t="array" ref="AV21">IF($F21&lt;&gt;"", XLOOKUP($F21,Productos!$A$2:$A1001,Productos!AO$2:AO1001,"")*$G21,"")</f>
        <v/>
      </c>
      <c r="AW21" s="179" t="str">
        <f t="array" ref="AW21">IF($F21&lt;&gt;"",XLOOKUP($F21,Productos!$A:$A,Productos!AP:AP,"Revisar"),"")</f>
        <v/>
      </c>
      <c r="AX21" s="179" t="str">
        <f t="array" ref="AX21">IF($F21&lt;&gt;"", XLOOKUP($F21,Productos!$A$2:$A1001,Productos!AQ$2:AQ1001,"")*$G21,"")</f>
        <v/>
      </c>
      <c r="AY21" s="179" t="str">
        <f t="array" ref="AY21">IF($F21&lt;&gt;"",XLOOKUP($F21,Productos!$A:$A,Productos!AR:AR,"Revisar"),"")</f>
        <v/>
      </c>
      <c r="AZ21" s="179" t="str">
        <f t="array" ref="AZ21">IF($F21&lt;&gt;"", XLOOKUP($F21,Productos!$A$2:$A1001,Productos!AS$2:AS1001,"")*$G21,"")</f>
        <v/>
      </c>
      <c r="BA21" s="179" t="str">
        <f t="array" ref="BA21">IF($F21&lt;&gt;"",XLOOKUP($F21,Productos!$A:$A,Productos!AT:AT,"Revisar"),"")</f>
        <v/>
      </c>
      <c r="BB21" s="179" t="str">
        <f t="array" ref="BB21">IF($F21&lt;&gt;"", XLOOKUP($F21,Productos!$A$2:$A1001,Productos!AU$2:AU1001,"")*$G21,"")</f>
        <v/>
      </c>
      <c r="BC21" s="179" t="str">
        <f t="array" ref="BC21">IF($F21&lt;&gt;"",XLOOKUP($F21,Productos!$A:$A,Productos!AV:AV,"Revisar"),"")</f>
        <v/>
      </c>
      <c r="BD21" s="179" t="str">
        <f t="array" ref="BD21">IF($F21&lt;&gt;"", XLOOKUP($F21,Productos!$A$2:$A1001,Productos!AW$2:AW1001,"")*$G21,"")</f>
        <v/>
      </c>
      <c r="BE21" s="179" t="str">
        <f t="array" ref="BE21">IF($F21&lt;&gt;"",XLOOKUP($F21,Productos!$A:$A,Productos!AX:AX,"Revisar"),"")</f>
        <v/>
      </c>
      <c r="BF21" s="179" t="str">
        <f t="array" ref="BF21">IF($F21&lt;&gt;"", XLOOKUP($F21,Productos!$A$2:$A1001,Productos!AY$2:AY1001,"")*$G21,"")</f>
        <v/>
      </c>
      <c r="BG21" s="179" t="str">
        <f t="array" ref="BG21">IF($F21&lt;&gt;"",XLOOKUP($F21,Productos!$A:$A,Productos!AZ:AZ,"Revisar"),"")</f>
        <v/>
      </c>
      <c r="BH21" s="179" t="str">
        <f t="array" ref="BH21">IF($F21&lt;&gt;"", XLOOKUP($F21,Productos!$A$2:$A1001,Productos!BA$2:BA1001,"")*$G21,"")</f>
        <v/>
      </c>
      <c r="BI21" s="179" t="str">
        <f t="array" ref="BI21">IF($F21&lt;&gt;"",XLOOKUP($F21,Productos!$A:$A,Productos!BB:BB,"Revisar"),"")</f>
        <v/>
      </c>
      <c r="BJ21" s="179" t="str">
        <f t="array" ref="BJ21">IF($F21&lt;&gt;"", XLOOKUP($F21,Productos!$A$2:$A1001,Productos!BC$2:BC1001,"")*$G21,"")</f>
        <v/>
      </c>
      <c r="BK21" s="179" t="str">
        <f t="array" ref="BK21">IF($F21&lt;&gt;"",XLOOKUP($F21,Productos!$A:$A,Productos!BD:BD,"Revisar"),"")</f>
        <v/>
      </c>
      <c r="BL21" s="179" t="str">
        <f t="array" ref="BL21">IF($F21&lt;&gt;"", XLOOKUP($F21,Productos!$A$2:$A1001,Productos!BE$2:BE1001,"")*$G21,"")</f>
        <v/>
      </c>
      <c r="BM21" s="179" t="str">
        <f t="array" ref="BM21">IF($F21&lt;&gt;"",XLOOKUP($F21,Productos!$A:$A,Productos!BF:BF,"Revisar"),"")</f>
        <v/>
      </c>
      <c r="BN21" s="179" t="str">
        <f t="array" ref="BN21">IF($F21&lt;&gt;"", XLOOKUP($F21,Productos!$A$2:$A1001,Productos!BG$2:BG1001,"")*$G21,"")</f>
        <v/>
      </c>
      <c r="BO21" s="179" t="str">
        <f t="array" ref="BO21">IF($F21&lt;&gt;"",XLOOKUP($F21,Productos!$A:$A,Productos!BH:BH,"Revisar"),"")</f>
        <v/>
      </c>
      <c r="BP21" s="179" t="str">
        <f t="array" ref="BP21">IF($F21&lt;&gt;"", XLOOKUP($F21,Productos!$A$2:$A1001,Productos!BI$2:BI1001,"")*$G21,"")</f>
        <v/>
      </c>
      <c r="BQ21" s="179" t="str">
        <f t="array" ref="BQ21">IF($F21&lt;&gt;"",XLOOKUP($F21,Productos!$A:$A,Productos!BJ:BJ,"Revisar"),"")</f>
        <v/>
      </c>
      <c r="BR21" s="179" t="str">
        <f t="array" ref="BR21">IF($F21&lt;&gt;"", XLOOKUP($F21,Productos!$A$2:$A1001,Productos!BK$2:BK1001,"")*$G21,"")</f>
        <v/>
      </c>
      <c r="BS21" s="179" t="str">
        <f t="array" ref="BS21">IF($F21&lt;&gt;"",XLOOKUP($F21,Productos!$A:$A,Productos!BL:BL,"Revisar"),"")</f>
        <v/>
      </c>
      <c r="BT21" s="179" t="str">
        <f t="array" ref="BT21">IF($F21&lt;&gt;"", XLOOKUP($F21,Productos!$A$2:$A1001,Productos!BM$2:BM1001,"")*$G21,"")</f>
        <v/>
      </c>
      <c r="BU21" s="179" t="str">
        <f t="array" ref="BU21">IF($F21&lt;&gt;"",XLOOKUP($F21,Productos!$A:$A,Productos!BN:BN,"Revisar"),"")</f>
        <v/>
      </c>
      <c r="BV21" s="179" t="str">
        <f t="array" ref="BV21">IF($F21&lt;&gt;"", XLOOKUP($F21,Productos!$A$2:$A1001,Productos!BO$2:BO1001,"")*$G21,"")</f>
        <v/>
      </c>
      <c r="BW21" s="179" t="str">
        <f t="array" ref="BW21">IF($F21&lt;&gt;"",XLOOKUP($F21,Productos!$A:$A,Productos!BP:BP,"Revisar"),"")</f>
        <v/>
      </c>
      <c r="BX21" s="179" t="str">
        <f t="array" ref="BX21">IF($F21&lt;&gt;"", XLOOKUP($F21,Productos!$A$2:$A1001,Productos!BQ$2:BQ1001,"")*$G21,"")</f>
        <v/>
      </c>
      <c r="BY21" s="179" t="str">
        <f t="array" ref="BY21">IF($F21&lt;&gt;"",XLOOKUP($F21,Productos!$A:$A,Productos!BR:BR,"Revisar"),"")</f>
        <v/>
      </c>
      <c r="BZ21" s="179" t="str">
        <f t="array" ref="BZ21">IF($F21&lt;&gt;"", XLOOKUP($F21,Productos!$A$2:$A1001,Productos!BS$2:BS1001,"")*$G21,"")</f>
        <v/>
      </c>
    </row>
    <row r="22">
      <c r="A22" s="180"/>
      <c r="B22" s="181"/>
      <c r="C22" s="182"/>
      <c r="D22" s="182"/>
      <c r="E22" s="185"/>
      <c r="F22" s="186"/>
      <c r="G22" s="187"/>
      <c r="H22" s="186"/>
      <c r="I22" s="179" t="str">
        <f t="array" ref="I22">IF($F22&lt;&gt;"",XLOOKUP($F22,Productos!$A:$A,Productos!B:B,"Revisar"),"")</f>
        <v/>
      </c>
      <c r="J22" s="179" t="str">
        <f t="array" ref="J22">IF($F22&lt;&gt;"", XLOOKUP($F22,Productos!$A$2:$A1001,Productos!C$2:C1001,"")*$G22,"")</f>
        <v/>
      </c>
      <c r="K22" s="179" t="str">
        <f t="array" ref="K22">IF($F22&lt;&gt;"",XLOOKUP($F22,Productos!$A:$A,Productos!D:D,"Revisar"),"")</f>
        <v/>
      </c>
      <c r="L22" s="179" t="str">
        <f t="array" ref="L22">IF($F22&lt;&gt;"", XLOOKUP($F22,Productos!$A$2:$A1001,Productos!E$2:E1001,"")*$G22,"")</f>
        <v/>
      </c>
      <c r="M22" s="179" t="str">
        <f t="array" ref="M22">IF($F22&lt;&gt;"",XLOOKUP($F22,Productos!$A:$A,Productos!F:F,"Revisar"),"")</f>
        <v/>
      </c>
      <c r="N22" s="179" t="str">
        <f t="array" ref="N22">IF($F22&lt;&gt;"", XLOOKUP($F22,Productos!$A$2:$A1001,Productos!G$2:G1001,"")*$G22,"")</f>
        <v/>
      </c>
      <c r="O22" s="179" t="str">
        <f t="array" ref="O22">IF($F22&lt;&gt;"",XLOOKUP($F22,Productos!$A:$A,Productos!H:H,"Revisar"),"")</f>
        <v/>
      </c>
      <c r="P22" s="179" t="str">
        <f t="array" ref="P22">IF($F22&lt;&gt;"", XLOOKUP($F22,Productos!$A$2:$A1001,Productos!I$2:I1001,"")*$G22,"")</f>
        <v/>
      </c>
      <c r="Q22" s="179" t="str">
        <f t="array" ref="Q22">IF($F22&lt;&gt;"",XLOOKUP($F22,Productos!$A:$A,Productos!J:J,"Revisar"),"")</f>
        <v/>
      </c>
      <c r="R22" s="179" t="str">
        <f t="array" ref="R22">IF($F22&lt;&gt;"", XLOOKUP($F22,Productos!$A$2:$A1001,Productos!K$2:K1001,"")*$G22,"")</f>
        <v/>
      </c>
      <c r="S22" s="179" t="str">
        <f t="array" ref="S22">IF($F22&lt;&gt;"",XLOOKUP($F22,Productos!$A:$A,Productos!L:L,"Revisar"),"")</f>
        <v/>
      </c>
      <c r="T22" s="179" t="str">
        <f t="array" ref="T22">IF($F22&lt;&gt;"", XLOOKUP($F22,Productos!$A$2:$A1001,Productos!M$2:M1001,"")*$G22,"")</f>
        <v/>
      </c>
      <c r="U22" s="179" t="str">
        <f t="array" ref="U22">IF($F22&lt;&gt;"",XLOOKUP($F22,Productos!$A:$A,Productos!N:N,"Revisar"),"")</f>
        <v/>
      </c>
      <c r="V22" s="179" t="str">
        <f t="array" ref="V22">IF($F22&lt;&gt;"", XLOOKUP($F22,Productos!$A$2:$A1001,Productos!O$2:O1001,"")*$G22,"")</f>
        <v/>
      </c>
      <c r="W22" s="179" t="str">
        <f t="array" ref="W22">IF($F22&lt;&gt;"",XLOOKUP($F22,Productos!$A:$A,Productos!P:P,"Revisar"),"")</f>
        <v/>
      </c>
      <c r="X22" s="179" t="str">
        <f t="array" ref="X22">IF($F22&lt;&gt;"", XLOOKUP($F22,Productos!$A$2:$A1001,Productos!Q$2:Q1001,"")*$G22,"")</f>
        <v/>
      </c>
      <c r="Y22" s="179" t="str">
        <f t="array" ref="Y22">IF($F22&lt;&gt;"",XLOOKUP($F22,Productos!$A:$A,Productos!R:R,"Revisar"),"")</f>
        <v/>
      </c>
      <c r="Z22" s="179" t="str">
        <f t="array" ref="Z22">IF($F22&lt;&gt;"", XLOOKUP($F22,Productos!$A$2:$A1001,Productos!S$2:S1001,"")*$G22,"")</f>
        <v/>
      </c>
      <c r="AA22" s="179" t="str">
        <f t="array" ref="AA22">IF($F22&lt;&gt;"",XLOOKUP($F22,Productos!$A:$A,Productos!T:T,"Revisar"),"")</f>
        <v/>
      </c>
      <c r="AB22" s="179" t="str">
        <f t="array" ref="AB22">IF($F22&lt;&gt;"", XLOOKUP($F22,Productos!$A$2:$A1001,Productos!U$2:U1001,"")*$G22,"")</f>
        <v/>
      </c>
      <c r="AC22" s="179" t="str">
        <f t="array" ref="AC22">IF($F22&lt;&gt;"",XLOOKUP($F22,Productos!$A:$A,Productos!V:V,"Revisar"),"")</f>
        <v/>
      </c>
      <c r="AD22" s="179" t="str">
        <f t="array" ref="AD22">IF($F22&lt;&gt;"", XLOOKUP($F22,Productos!$A$2:$A1001,Productos!W$2:W1001,"")*$G22,"")</f>
        <v/>
      </c>
      <c r="AE22" s="179" t="str">
        <f t="array" ref="AE22">IF($F22&lt;&gt;"",XLOOKUP($F22,Productos!$A:$A,Productos!X:X,"Revisar"),"")</f>
        <v/>
      </c>
      <c r="AF22" s="179" t="str">
        <f t="array" ref="AF22">IF($F22&lt;&gt;"", XLOOKUP($F22,Productos!$A$2:$A1001,Productos!Y$2:Y1001,"")*$G22,"")</f>
        <v/>
      </c>
      <c r="AG22" s="179" t="str">
        <f t="array" ref="AG22">IF($F22&lt;&gt;"",XLOOKUP($F22,Productos!$A:$A,Productos!Z:Z,"Revisar"),"")</f>
        <v/>
      </c>
      <c r="AH22" s="179" t="str">
        <f t="array" ref="AH22">IF($F22&lt;&gt;"", XLOOKUP($F22,Productos!$A$2:$A1001,Productos!AA$2:AA1001,"")*$G22,"")</f>
        <v/>
      </c>
      <c r="AI22" s="179" t="str">
        <f t="array" ref="AI22">IF($F22&lt;&gt;"",XLOOKUP($F22,Productos!$A:$A,Productos!AB:AB,"Revisar"),"")</f>
        <v/>
      </c>
      <c r="AJ22" s="179" t="str">
        <f t="array" ref="AJ22">IF($F22&lt;&gt;"", XLOOKUP($F22,Productos!$A$2:$A1001,Productos!AC$2:AC1001,"")*$G22,"")</f>
        <v/>
      </c>
      <c r="AK22" s="179" t="str">
        <f t="array" ref="AK22">IF($F22&lt;&gt;"",XLOOKUP($F22,Productos!$A:$A,Productos!AD:AD,"Revisar"),"")</f>
        <v/>
      </c>
      <c r="AL22" s="179" t="str">
        <f t="array" ref="AL22">IF($F22&lt;&gt;"", XLOOKUP($F22,Productos!$A$2:$A1001,Productos!AE$2:AE1001,"")*$G22,"")</f>
        <v/>
      </c>
      <c r="AM22" s="179" t="str">
        <f t="array" ref="AM22">IF($F22&lt;&gt;"",XLOOKUP($F22,Productos!$A:$A,Productos!AF:AF,"Revisar"),"")</f>
        <v/>
      </c>
      <c r="AN22" s="179" t="str">
        <f t="array" ref="AN22">IF($F22&lt;&gt;"", XLOOKUP($F22,Productos!$A$2:$A1001,Productos!AG$2:AG1001,"")*$G22,"")</f>
        <v/>
      </c>
      <c r="AO22" s="179" t="str">
        <f t="array" ref="AO22">IF($F22&lt;&gt;"",XLOOKUP($F22,Productos!$A:$A,Productos!AH:AH,"Revisar"),"")</f>
        <v/>
      </c>
      <c r="AP22" s="179" t="str">
        <f t="array" ref="AP22">IF($F22&lt;&gt;"", XLOOKUP($F22,Productos!$A$2:$A1001,Productos!AI$2:AI1001,"")*$G22,"")</f>
        <v/>
      </c>
      <c r="AQ22" s="179" t="str">
        <f t="array" ref="AQ22">IF($F22&lt;&gt;"",XLOOKUP($F22,Productos!$A:$A,Productos!AJ:AJ,"Revisar"),"")</f>
        <v/>
      </c>
      <c r="AR22" s="179" t="str">
        <f t="array" ref="AR22">IF($F22&lt;&gt;"", XLOOKUP($F22,Productos!$A$2:$A1001,Productos!AK$2:AK1001,"")*$G22,"")</f>
        <v/>
      </c>
      <c r="AS22" s="179" t="str">
        <f t="array" ref="AS22">IF($F22&lt;&gt;"",XLOOKUP($F22,Productos!$A:$A,Productos!AL:AL,"Revisar"),"")</f>
        <v/>
      </c>
      <c r="AT22" s="179" t="str">
        <f t="array" ref="AT22">IF($F22&lt;&gt;"", XLOOKUP($F22,Productos!$A$2:$A1001,Productos!AM$2:AM1001,"")*$G22,"")</f>
        <v/>
      </c>
      <c r="AU22" s="179" t="str">
        <f t="array" ref="AU22">IF($F22&lt;&gt;"",XLOOKUP($F22,Productos!$A:$A,Productos!AN:AN,"Revisar"),"")</f>
        <v/>
      </c>
      <c r="AV22" s="179" t="str">
        <f t="array" ref="AV22">IF($F22&lt;&gt;"", XLOOKUP($F22,Productos!$A$2:$A1001,Productos!AO$2:AO1001,"")*$G22,"")</f>
        <v/>
      </c>
      <c r="AW22" s="179" t="str">
        <f t="array" ref="AW22">IF($F22&lt;&gt;"",XLOOKUP($F22,Productos!$A:$A,Productos!AP:AP,"Revisar"),"")</f>
        <v/>
      </c>
      <c r="AX22" s="179" t="str">
        <f t="array" ref="AX22">IF($F22&lt;&gt;"", XLOOKUP($F22,Productos!$A$2:$A1001,Productos!AQ$2:AQ1001,"")*$G22,"")</f>
        <v/>
      </c>
      <c r="AY22" s="179" t="str">
        <f t="array" ref="AY22">IF($F22&lt;&gt;"",XLOOKUP($F22,Productos!$A:$A,Productos!AR:AR,"Revisar"),"")</f>
        <v/>
      </c>
      <c r="AZ22" s="179" t="str">
        <f t="array" ref="AZ22">IF($F22&lt;&gt;"", XLOOKUP($F22,Productos!$A$2:$A1001,Productos!AS$2:AS1001,"")*$G22,"")</f>
        <v/>
      </c>
      <c r="BA22" s="179" t="str">
        <f t="array" ref="BA22">IF($F22&lt;&gt;"",XLOOKUP($F22,Productos!$A:$A,Productos!AT:AT,"Revisar"),"")</f>
        <v/>
      </c>
      <c r="BB22" s="179" t="str">
        <f t="array" ref="BB22">IF($F22&lt;&gt;"", XLOOKUP($F22,Productos!$A$2:$A1001,Productos!AU$2:AU1001,"")*$G22,"")</f>
        <v/>
      </c>
      <c r="BC22" s="179" t="str">
        <f t="array" ref="BC22">IF($F22&lt;&gt;"",XLOOKUP($F22,Productos!$A:$A,Productos!AV:AV,"Revisar"),"")</f>
        <v/>
      </c>
      <c r="BD22" s="179" t="str">
        <f t="array" ref="BD22">IF($F22&lt;&gt;"", XLOOKUP($F22,Productos!$A$2:$A1001,Productos!AW$2:AW1001,"")*$G22,"")</f>
        <v/>
      </c>
      <c r="BE22" s="179" t="str">
        <f t="array" ref="BE22">IF($F22&lt;&gt;"",XLOOKUP($F22,Productos!$A:$A,Productos!AX:AX,"Revisar"),"")</f>
        <v/>
      </c>
      <c r="BF22" s="179" t="str">
        <f t="array" ref="BF22">IF($F22&lt;&gt;"", XLOOKUP($F22,Productos!$A$2:$A1001,Productos!AY$2:AY1001,"")*$G22,"")</f>
        <v/>
      </c>
      <c r="BG22" s="179" t="str">
        <f t="array" ref="BG22">IF($F22&lt;&gt;"",XLOOKUP($F22,Productos!$A:$A,Productos!AZ:AZ,"Revisar"),"")</f>
        <v/>
      </c>
      <c r="BH22" s="179" t="str">
        <f t="array" ref="BH22">IF($F22&lt;&gt;"", XLOOKUP($F22,Productos!$A$2:$A1001,Productos!BA$2:BA1001,"")*$G22,"")</f>
        <v/>
      </c>
      <c r="BI22" s="179" t="str">
        <f t="array" ref="BI22">IF($F22&lt;&gt;"",XLOOKUP($F22,Productos!$A:$A,Productos!BB:BB,"Revisar"),"")</f>
        <v/>
      </c>
      <c r="BJ22" s="179" t="str">
        <f t="array" ref="BJ22">IF($F22&lt;&gt;"", XLOOKUP($F22,Productos!$A$2:$A1001,Productos!BC$2:BC1001,"")*$G22,"")</f>
        <v/>
      </c>
      <c r="BK22" s="179" t="str">
        <f t="array" ref="BK22">IF($F22&lt;&gt;"",XLOOKUP($F22,Productos!$A:$A,Productos!BD:BD,"Revisar"),"")</f>
        <v/>
      </c>
      <c r="BL22" s="179" t="str">
        <f t="array" ref="BL22">IF($F22&lt;&gt;"", XLOOKUP($F22,Productos!$A$2:$A1001,Productos!BE$2:BE1001,"")*$G22,"")</f>
        <v/>
      </c>
      <c r="BM22" s="179" t="str">
        <f t="array" ref="BM22">IF($F22&lt;&gt;"",XLOOKUP($F22,Productos!$A:$A,Productos!BF:BF,"Revisar"),"")</f>
        <v/>
      </c>
      <c r="BN22" s="179" t="str">
        <f t="array" ref="BN22">IF($F22&lt;&gt;"", XLOOKUP($F22,Productos!$A$2:$A1001,Productos!BG$2:BG1001,"")*$G22,"")</f>
        <v/>
      </c>
      <c r="BO22" s="179" t="str">
        <f t="array" ref="BO22">IF($F22&lt;&gt;"",XLOOKUP($F22,Productos!$A:$A,Productos!BH:BH,"Revisar"),"")</f>
        <v/>
      </c>
      <c r="BP22" s="179" t="str">
        <f t="array" ref="BP22">IF($F22&lt;&gt;"", XLOOKUP($F22,Productos!$A$2:$A1001,Productos!BI$2:BI1001,"")*$G22,"")</f>
        <v/>
      </c>
      <c r="BQ22" s="179" t="str">
        <f t="array" ref="BQ22">IF($F22&lt;&gt;"",XLOOKUP($F22,Productos!$A:$A,Productos!BJ:BJ,"Revisar"),"")</f>
        <v/>
      </c>
      <c r="BR22" s="179" t="str">
        <f t="array" ref="BR22">IF($F22&lt;&gt;"", XLOOKUP($F22,Productos!$A$2:$A1001,Productos!BK$2:BK1001,"")*$G22,"")</f>
        <v/>
      </c>
      <c r="BS22" s="179" t="str">
        <f t="array" ref="BS22">IF($F22&lt;&gt;"",XLOOKUP($F22,Productos!$A:$A,Productos!BL:BL,"Revisar"),"")</f>
        <v/>
      </c>
      <c r="BT22" s="179" t="str">
        <f t="array" ref="BT22">IF($F22&lt;&gt;"", XLOOKUP($F22,Productos!$A$2:$A1001,Productos!BM$2:BM1001,"")*$G22,"")</f>
        <v/>
      </c>
      <c r="BU22" s="179" t="str">
        <f t="array" ref="BU22">IF($F22&lt;&gt;"",XLOOKUP($F22,Productos!$A:$A,Productos!BN:BN,"Revisar"),"")</f>
        <v/>
      </c>
      <c r="BV22" s="179" t="str">
        <f t="array" ref="BV22">IF($F22&lt;&gt;"", XLOOKUP($F22,Productos!$A$2:$A1001,Productos!BO$2:BO1001,"")*$G22,"")</f>
        <v/>
      </c>
      <c r="BW22" s="179" t="str">
        <f t="array" ref="BW22">IF($F22&lt;&gt;"",XLOOKUP($F22,Productos!$A:$A,Productos!BP:BP,"Revisar"),"")</f>
        <v/>
      </c>
      <c r="BX22" s="179" t="str">
        <f t="array" ref="BX22">IF($F22&lt;&gt;"", XLOOKUP($F22,Productos!$A$2:$A1001,Productos!BQ$2:BQ1001,"")*$G22,"")</f>
        <v/>
      </c>
      <c r="BY22" s="179" t="str">
        <f t="array" ref="BY22">IF($F22&lt;&gt;"",XLOOKUP($F22,Productos!$A:$A,Productos!BR:BR,"Revisar"),"")</f>
        <v/>
      </c>
      <c r="BZ22" s="179" t="str">
        <f t="array" ref="BZ22">IF($F22&lt;&gt;"", XLOOKUP($F22,Productos!$A$2:$A1001,Productos!BS$2:BS1001,"")*$G22,"")</f>
        <v/>
      </c>
    </row>
    <row r="23">
      <c r="A23" s="180"/>
      <c r="B23" s="181"/>
      <c r="C23" s="182"/>
      <c r="D23" s="182"/>
      <c r="E23" s="185"/>
      <c r="F23" s="186"/>
      <c r="G23" s="187"/>
      <c r="H23" s="186"/>
      <c r="I23" s="179" t="str">
        <f t="array" ref="I23">IF($F23&lt;&gt;"",XLOOKUP($F23,Productos!$A:$A,Productos!B:B,"Revisar"),"")</f>
        <v/>
      </c>
      <c r="J23" s="179" t="str">
        <f t="array" ref="J23">IF($F23&lt;&gt;"", XLOOKUP($F23,Productos!$A$2:$A1001,Productos!C$2:C1001,"")*$G23,"")</f>
        <v/>
      </c>
      <c r="K23" s="179" t="str">
        <f t="array" ref="K23">IF($F23&lt;&gt;"",XLOOKUP($F23,Productos!$A:$A,Productos!D:D,"Revisar"),"")</f>
        <v/>
      </c>
      <c r="L23" s="179" t="str">
        <f t="array" ref="L23">IF($F23&lt;&gt;"", XLOOKUP($F23,Productos!$A$2:$A1001,Productos!E$2:E1001,"")*$G23,"")</f>
        <v/>
      </c>
      <c r="M23" s="179" t="str">
        <f t="array" ref="M23">IF($F23&lt;&gt;"",XLOOKUP($F23,Productos!$A:$A,Productos!F:F,"Revisar"),"")</f>
        <v/>
      </c>
      <c r="N23" s="179" t="str">
        <f t="array" ref="N23">IF($F23&lt;&gt;"", XLOOKUP($F23,Productos!$A$2:$A1001,Productos!G$2:G1001,"")*$G23,"")</f>
        <v/>
      </c>
      <c r="O23" s="179" t="str">
        <f t="array" ref="O23">IF($F23&lt;&gt;"",XLOOKUP($F23,Productos!$A:$A,Productos!H:H,"Revisar"),"")</f>
        <v/>
      </c>
      <c r="P23" s="179" t="str">
        <f t="array" ref="P23">IF($F23&lt;&gt;"", XLOOKUP($F23,Productos!$A$2:$A1001,Productos!I$2:I1001,"")*$G23,"")</f>
        <v/>
      </c>
      <c r="Q23" s="179" t="str">
        <f t="array" ref="Q23">IF($F23&lt;&gt;"",XLOOKUP($F23,Productos!$A:$A,Productos!J:J,"Revisar"),"")</f>
        <v/>
      </c>
      <c r="R23" s="179" t="str">
        <f t="array" ref="R23">IF($F23&lt;&gt;"", XLOOKUP($F23,Productos!$A$2:$A1001,Productos!K$2:K1001,"")*$G23,"")</f>
        <v/>
      </c>
      <c r="S23" s="179" t="str">
        <f t="array" ref="S23">IF($F23&lt;&gt;"",XLOOKUP($F23,Productos!$A:$A,Productos!L:L,"Revisar"),"")</f>
        <v/>
      </c>
      <c r="T23" s="179" t="str">
        <f t="array" ref="T23">IF($F23&lt;&gt;"", XLOOKUP($F23,Productos!$A$2:$A1001,Productos!M$2:M1001,"")*$G23,"")</f>
        <v/>
      </c>
      <c r="U23" s="179" t="str">
        <f t="array" ref="U23">IF($F23&lt;&gt;"",XLOOKUP($F23,Productos!$A:$A,Productos!N:N,"Revisar"),"")</f>
        <v/>
      </c>
      <c r="V23" s="179" t="str">
        <f t="array" ref="V23">IF($F23&lt;&gt;"", XLOOKUP($F23,Productos!$A$2:$A1001,Productos!O$2:O1001,"")*$G23,"")</f>
        <v/>
      </c>
      <c r="W23" s="179" t="str">
        <f t="array" ref="W23">IF($F23&lt;&gt;"",XLOOKUP($F23,Productos!$A:$A,Productos!P:P,"Revisar"),"")</f>
        <v/>
      </c>
      <c r="X23" s="179" t="str">
        <f t="array" ref="X23">IF($F23&lt;&gt;"", XLOOKUP($F23,Productos!$A$2:$A1001,Productos!Q$2:Q1001,"")*$G23,"")</f>
        <v/>
      </c>
      <c r="Y23" s="179" t="str">
        <f t="array" ref="Y23">IF($F23&lt;&gt;"",XLOOKUP($F23,Productos!$A:$A,Productos!R:R,"Revisar"),"")</f>
        <v/>
      </c>
      <c r="Z23" s="179" t="str">
        <f t="array" ref="Z23">IF($F23&lt;&gt;"", XLOOKUP($F23,Productos!$A$2:$A1001,Productos!S$2:S1001,"")*$G23,"")</f>
        <v/>
      </c>
      <c r="AA23" s="179" t="str">
        <f t="array" ref="AA23">IF($F23&lt;&gt;"",XLOOKUP($F23,Productos!$A:$A,Productos!T:T,"Revisar"),"")</f>
        <v/>
      </c>
      <c r="AB23" s="179" t="str">
        <f t="array" ref="AB23">IF($F23&lt;&gt;"", XLOOKUP($F23,Productos!$A$2:$A1001,Productos!U$2:U1001,"")*$G23,"")</f>
        <v/>
      </c>
      <c r="AC23" s="179" t="str">
        <f t="array" ref="AC23">IF($F23&lt;&gt;"",XLOOKUP($F23,Productos!$A:$A,Productos!V:V,"Revisar"),"")</f>
        <v/>
      </c>
      <c r="AD23" s="179" t="str">
        <f t="array" ref="AD23">IF($F23&lt;&gt;"", XLOOKUP($F23,Productos!$A$2:$A1001,Productos!W$2:W1001,"")*$G23,"")</f>
        <v/>
      </c>
      <c r="AE23" s="179" t="str">
        <f t="array" ref="AE23">IF($F23&lt;&gt;"",XLOOKUP($F23,Productos!$A:$A,Productos!X:X,"Revisar"),"")</f>
        <v/>
      </c>
      <c r="AF23" s="179" t="str">
        <f t="array" ref="AF23">IF($F23&lt;&gt;"", XLOOKUP($F23,Productos!$A$2:$A1001,Productos!Y$2:Y1001,"")*$G23,"")</f>
        <v/>
      </c>
      <c r="AG23" s="179" t="str">
        <f t="array" ref="AG23">IF($F23&lt;&gt;"",XLOOKUP($F23,Productos!$A:$A,Productos!Z:Z,"Revisar"),"")</f>
        <v/>
      </c>
      <c r="AH23" s="179" t="str">
        <f t="array" ref="AH23">IF($F23&lt;&gt;"", XLOOKUP($F23,Productos!$A$2:$A1001,Productos!AA$2:AA1001,"")*$G23,"")</f>
        <v/>
      </c>
      <c r="AI23" s="179" t="str">
        <f t="array" ref="AI23">IF($F23&lt;&gt;"",XLOOKUP($F23,Productos!$A:$A,Productos!AB:AB,"Revisar"),"")</f>
        <v/>
      </c>
      <c r="AJ23" s="179" t="str">
        <f t="array" ref="AJ23">IF($F23&lt;&gt;"", XLOOKUP($F23,Productos!$A$2:$A1001,Productos!AC$2:AC1001,"")*$G23,"")</f>
        <v/>
      </c>
      <c r="AK23" s="179" t="str">
        <f t="array" ref="AK23">IF($F23&lt;&gt;"",XLOOKUP($F23,Productos!$A:$A,Productos!AD:AD,"Revisar"),"")</f>
        <v/>
      </c>
      <c r="AL23" s="179" t="str">
        <f t="array" ref="AL23">IF($F23&lt;&gt;"", XLOOKUP($F23,Productos!$A$2:$A1001,Productos!AE$2:AE1001,"")*$G23,"")</f>
        <v/>
      </c>
      <c r="AM23" s="179" t="str">
        <f t="array" ref="AM23">IF($F23&lt;&gt;"",XLOOKUP($F23,Productos!$A:$A,Productos!AF:AF,"Revisar"),"")</f>
        <v/>
      </c>
      <c r="AN23" s="179" t="str">
        <f t="array" ref="AN23">IF($F23&lt;&gt;"", XLOOKUP($F23,Productos!$A$2:$A1001,Productos!AG$2:AG1001,"")*$G23,"")</f>
        <v/>
      </c>
      <c r="AO23" s="179" t="str">
        <f t="array" ref="AO23">IF($F23&lt;&gt;"",XLOOKUP($F23,Productos!$A:$A,Productos!AH:AH,"Revisar"),"")</f>
        <v/>
      </c>
      <c r="AP23" s="179" t="str">
        <f t="array" ref="AP23">IF($F23&lt;&gt;"", XLOOKUP($F23,Productos!$A$2:$A1001,Productos!AI$2:AI1001,"")*$G23,"")</f>
        <v/>
      </c>
      <c r="AQ23" s="179" t="str">
        <f t="array" ref="AQ23">IF($F23&lt;&gt;"",XLOOKUP($F23,Productos!$A:$A,Productos!AJ:AJ,"Revisar"),"")</f>
        <v/>
      </c>
      <c r="AR23" s="179" t="str">
        <f t="array" ref="AR23">IF($F23&lt;&gt;"", XLOOKUP($F23,Productos!$A$2:$A1001,Productos!AK$2:AK1001,"")*$G23,"")</f>
        <v/>
      </c>
      <c r="AS23" s="179" t="str">
        <f t="array" ref="AS23">IF($F23&lt;&gt;"",XLOOKUP($F23,Productos!$A:$A,Productos!AL:AL,"Revisar"),"")</f>
        <v/>
      </c>
      <c r="AT23" s="179" t="str">
        <f t="array" ref="AT23">IF($F23&lt;&gt;"", XLOOKUP($F23,Productos!$A$2:$A1001,Productos!AM$2:AM1001,"")*$G23,"")</f>
        <v/>
      </c>
      <c r="AU23" s="179" t="str">
        <f t="array" ref="AU23">IF($F23&lt;&gt;"",XLOOKUP($F23,Productos!$A:$A,Productos!AN:AN,"Revisar"),"")</f>
        <v/>
      </c>
      <c r="AV23" s="179" t="str">
        <f t="array" ref="AV23">IF($F23&lt;&gt;"", XLOOKUP($F23,Productos!$A$2:$A1001,Productos!AO$2:AO1001,"")*$G23,"")</f>
        <v/>
      </c>
      <c r="AW23" s="179" t="str">
        <f t="array" ref="AW23">IF($F23&lt;&gt;"",XLOOKUP($F23,Productos!$A:$A,Productos!AP:AP,"Revisar"),"")</f>
        <v/>
      </c>
      <c r="AX23" s="179" t="str">
        <f t="array" ref="AX23">IF($F23&lt;&gt;"", XLOOKUP($F23,Productos!$A$2:$A1001,Productos!AQ$2:AQ1001,"")*$G23,"")</f>
        <v/>
      </c>
      <c r="AY23" s="179" t="str">
        <f t="array" ref="AY23">IF($F23&lt;&gt;"",XLOOKUP($F23,Productos!$A:$A,Productos!AR:AR,"Revisar"),"")</f>
        <v/>
      </c>
      <c r="AZ23" s="179" t="str">
        <f t="array" ref="AZ23">IF($F23&lt;&gt;"", XLOOKUP($F23,Productos!$A$2:$A1001,Productos!AS$2:AS1001,"")*$G23,"")</f>
        <v/>
      </c>
      <c r="BA23" s="179" t="str">
        <f t="array" ref="BA23">IF($F23&lt;&gt;"",XLOOKUP($F23,Productos!$A:$A,Productos!AT:AT,"Revisar"),"")</f>
        <v/>
      </c>
      <c r="BB23" s="179" t="str">
        <f t="array" ref="BB23">IF($F23&lt;&gt;"", XLOOKUP($F23,Productos!$A$2:$A1001,Productos!AU$2:AU1001,"")*$G23,"")</f>
        <v/>
      </c>
      <c r="BC23" s="179" t="str">
        <f t="array" ref="BC23">IF($F23&lt;&gt;"",XLOOKUP($F23,Productos!$A:$A,Productos!AV:AV,"Revisar"),"")</f>
        <v/>
      </c>
      <c r="BD23" s="179" t="str">
        <f t="array" ref="BD23">IF($F23&lt;&gt;"", XLOOKUP($F23,Productos!$A$2:$A1001,Productos!AW$2:AW1001,"")*$G23,"")</f>
        <v/>
      </c>
      <c r="BE23" s="179" t="str">
        <f t="array" ref="BE23">IF($F23&lt;&gt;"",XLOOKUP($F23,Productos!$A:$A,Productos!AX:AX,"Revisar"),"")</f>
        <v/>
      </c>
      <c r="BF23" s="179" t="str">
        <f t="array" ref="BF23">IF($F23&lt;&gt;"", XLOOKUP($F23,Productos!$A$2:$A1001,Productos!AY$2:AY1001,"")*$G23,"")</f>
        <v/>
      </c>
      <c r="BG23" s="179" t="str">
        <f t="array" ref="BG23">IF($F23&lt;&gt;"",XLOOKUP($F23,Productos!$A:$A,Productos!AZ:AZ,"Revisar"),"")</f>
        <v/>
      </c>
      <c r="BH23" s="179" t="str">
        <f t="array" ref="BH23">IF($F23&lt;&gt;"", XLOOKUP($F23,Productos!$A$2:$A1001,Productos!BA$2:BA1001,"")*$G23,"")</f>
        <v/>
      </c>
      <c r="BI23" s="179" t="str">
        <f t="array" ref="BI23">IF($F23&lt;&gt;"",XLOOKUP($F23,Productos!$A:$A,Productos!BB:BB,"Revisar"),"")</f>
        <v/>
      </c>
      <c r="BJ23" s="179" t="str">
        <f t="array" ref="BJ23">IF($F23&lt;&gt;"", XLOOKUP($F23,Productos!$A$2:$A1001,Productos!BC$2:BC1001,"")*$G23,"")</f>
        <v/>
      </c>
      <c r="BK23" s="179" t="str">
        <f t="array" ref="BK23">IF($F23&lt;&gt;"",XLOOKUP($F23,Productos!$A:$A,Productos!BD:BD,"Revisar"),"")</f>
        <v/>
      </c>
      <c r="BL23" s="179" t="str">
        <f t="array" ref="BL23">IF($F23&lt;&gt;"", XLOOKUP($F23,Productos!$A$2:$A1001,Productos!BE$2:BE1001,"")*$G23,"")</f>
        <v/>
      </c>
      <c r="BM23" s="179" t="str">
        <f t="array" ref="BM23">IF($F23&lt;&gt;"",XLOOKUP($F23,Productos!$A:$A,Productos!BF:BF,"Revisar"),"")</f>
        <v/>
      </c>
      <c r="BN23" s="179" t="str">
        <f t="array" ref="BN23">IF($F23&lt;&gt;"", XLOOKUP($F23,Productos!$A$2:$A1001,Productos!BG$2:BG1001,"")*$G23,"")</f>
        <v/>
      </c>
      <c r="BO23" s="179" t="str">
        <f t="array" ref="BO23">IF($F23&lt;&gt;"",XLOOKUP($F23,Productos!$A:$A,Productos!BH:BH,"Revisar"),"")</f>
        <v/>
      </c>
      <c r="BP23" s="179" t="str">
        <f t="array" ref="BP23">IF($F23&lt;&gt;"", XLOOKUP($F23,Productos!$A$2:$A1001,Productos!BI$2:BI1001,"")*$G23,"")</f>
        <v/>
      </c>
      <c r="BQ23" s="179" t="str">
        <f t="array" ref="BQ23">IF($F23&lt;&gt;"",XLOOKUP($F23,Productos!$A:$A,Productos!BJ:BJ,"Revisar"),"")</f>
        <v/>
      </c>
      <c r="BR23" s="179" t="str">
        <f t="array" ref="BR23">IF($F23&lt;&gt;"", XLOOKUP($F23,Productos!$A$2:$A1001,Productos!BK$2:BK1001,"")*$G23,"")</f>
        <v/>
      </c>
      <c r="BS23" s="179" t="str">
        <f t="array" ref="BS23">IF($F23&lt;&gt;"",XLOOKUP($F23,Productos!$A:$A,Productos!BL:BL,"Revisar"),"")</f>
        <v/>
      </c>
      <c r="BT23" s="179" t="str">
        <f t="array" ref="BT23">IF($F23&lt;&gt;"", XLOOKUP($F23,Productos!$A$2:$A1001,Productos!BM$2:BM1001,"")*$G23,"")</f>
        <v/>
      </c>
      <c r="BU23" s="179" t="str">
        <f t="array" ref="BU23">IF($F23&lt;&gt;"",XLOOKUP($F23,Productos!$A:$A,Productos!BN:BN,"Revisar"),"")</f>
        <v/>
      </c>
      <c r="BV23" s="179" t="str">
        <f t="array" ref="BV23">IF($F23&lt;&gt;"", XLOOKUP($F23,Productos!$A$2:$A1001,Productos!BO$2:BO1001,"")*$G23,"")</f>
        <v/>
      </c>
      <c r="BW23" s="179" t="str">
        <f t="array" ref="BW23">IF($F23&lt;&gt;"",XLOOKUP($F23,Productos!$A:$A,Productos!BP:BP,"Revisar"),"")</f>
        <v/>
      </c>
      <c r="BX23" s="179" t="str">
        <f t="array" ref="BX23">IF($F23&lt;&gt;"", XLOOKUP($F23,Productos!$A$2:$A1001,Productos!BQ$2:BQ1001,"")*$G23,"")</f>
        <v/>
      </c>
      <c r="BY23" s="179" t="str">
        <f t="array" ref="BY23">IF($F23&lt;&gt;"",XLOOKUP($F23,Productos!$A:$A,Productos!BR:BR,"Revisar"),"")</f>
        <v/>
      </c>
      <c r="BZ23" s="179" t="str">
        <f t="array" ref="BZ23">IF($F23&lt;&gt;"", XLOOKUP($F23,Productos!$A$2:$A1001,Productos!BS$2:BS1001,"")*$G23,"")</f>
        <v/>
      </c>
    </row>
    <row r="24">
      <c r="A24" s="180"/>
      <c r="B24" s="181"/>
      <c r="C24" s="182"/>
      <c r="D24" s="182"/>
      <c r="E24" s="185"/>
      <c r="F24" s="186"/>
      <c r="G24" s="187"/>
      <c r="H24" s="186"/>
      <c r="I24" s="179" t="str">
        <f t="array" ref="I24">IF($F24&lt;&gt;"",XLOOKUP($F24,Productos!$A:$A,Productos!B:B,"Revisar"),"")</f>
        <v/>
      </c>
      <c r="J24" s="179" t="str">
        <f t="array" ref="J24">IF($F24&lt;&gt;"", XLOOKUP($F24,Productos!$A$2:$A1001,Productos!C$2:C1001,"")*$G24,"")</f>
        <v/>
      </c>
      <c r="K24" s="179" t="str">
        <f t="array" ref="K24">IF($F24&lt;&gt;"",XLOOKUP($F24,Productos!$A:$A,Productos!D:D,"Revisar"),"")</f>
        <v/>
      </c>
      <c r="L24" s="179" t="str">
        <f t="array" ref="L24">IF($F24&lt;&gt;"", XLOOKUP($F24,Productos!$A$2:$A1001,Productos!E$2:E1001,"")*$G24,"")</f>
        <v/>
      </c>
      <c r="M24" s="179" t="str">
        <f t="array" ref="M24">IF($F24&lt;&gt;"",XLOOKUP($F24,Productos!$A:$A,Productos!F:F,"Revisar"),"")</f>
        <v/>
      </c>
      <c r="N24" s="179" t="str">
        <f t="array" ref="N24">IF($F24&lt;&gt;"", XLOOKUP($F24,Productos!$A$2:$A1001,Productos!G$2:G1001,"")*$G24,"")</f>
        <v/>
      </c>
      <c r="O24" s="179" t="str">
        <f t="array" ref="O24">IF($F24&lt;&gt;"",XLOOKUP($F24,Productos!$A:$A,Productos!H:H,"Revisar"),"")</f>
        <v/>
      </c>
      <c r="P24" s="179" t="str">
        <f t="array" ref="P24">IF($F24&lt;&gt;"", XLOOKUP($F24,Productos!$A$2:$A1001,Productos!I$2:I1001,"")*$G24,"")</f>
        <v/>
      </c>
      <c r="Q24" s="179" t="str">
        <f t="array" ref="Q24">IF($F24&lt;&gt;"",XLOOKUP($F24,Productos!$A:$A,Productos!J:J,"Revisar"),"")</f>
        <v/>
      </c>
      <c r="R24" s="179" t="str">
        <f t="array" ref="R24">IF($F24&lt;&gt;"", XLOOKUP($F24,Productos!$A$2:$A1001,Productos!K$2:K1001,"")*$G24,"")</f>
        <v/>
      </c>
      <c r="S24" s="179" t="str">
        <f t="array" ref="S24">IF($F24&lt;&gt;"",XLOOKUP($F24,Productos!$A:$A,Productos!L:L,"Revisar"),"")</f>
        <v/>
      </c>
      <c r="T24" s="179" t="str">
        <f t="array" ref="T24">IF($F24&lt;&gt;"", XLOOKUP($F24,Productos!$A$2:$A1001,Productos!M$2:M1001,"")*$G24,"")</f>
        <v/>
      </c>
      <c r="U24" s="179" t="str">
        <f t="array" ref="U24">IF($F24&lt;&gt;"",XLOOKUP($F24,Productos!$A:$A,Productos!N:N,"Revisar"),"")</f>
        <v/>
      </c>
      <c r="V24" s="179" t="str">
        <f t="array" ref="V24">IF($F24&lt;&gt;"", XLOOKUP($F24,Productos!$A$2:$A1001,Productos!O$2:O1001,"")*$G24,"")</f>
        <v/>
      </c>
      <c r="W24" s="179" t="str">
        <f t="array" ref="W24">IF($F24&lt;&gt;"",XLOOKUP($F24,Productos!$A:$A,Productos!P:P,"Revisar"),"")</f>
        <v/>
      </c>
      <c r="X24" s="179" t="str">
        <f t="array" ref="X24">IF($F24&lt;&gt;"", XLOOKUP($F24,Productos!$A$2:$A1001,Productos!Q$2:Q1001,"")*$G24,"")</f>
        <v/>
      </c>
      <c r="Y24" s="179" t="str">
        <f t="array" ref="Y24">IF($F24&lt;&gt;"",XLOOKUP($F24,Productos!$A:$A,Productos!R:R,"Revisar"),"")</f>
        <v/>
      </c>
      <c r="Z24" s="179" t="str">
        <f t="array" ref="Z24">IF($F24&lt;&gt;"", XLOOKUP($F24,Productos!$A$2:$A1001,Productos!S$2:S1001,"")*$G24,"")</f>
        <v/>
      </c>
      <c r="AA24" s="179" t="str">
        <f t="array" ref="AA24">IF($F24&lt;&gt;"",XLOOKUP($F24,Productos!$A:$A,Productos!T:T,"Revisar"),"")</f>
        <v/>
      </c>
      <c r="AB24" s="179" t="str">
        <f t="array" ref="AB24">IF($F24&lt;&gt;"", XLOOKUP($F24,Productos!$A$2:$A1001,Productos!U$2:U1001,"")*$G24,"")</f>
        <v/>
      </c>
      <c r="AC24" s="179" t="str">
        <f t="array" ref="AC24">IF($F24&lt;&gt;"",XLOOKUP($F24,Productos!$A:$A,Productos!V:V,"Revisar"),"")</f>
        <v/>
      </c>
      <c r="AD24" s="179" t="str">
        <f t="array" ref="AD24">IF($F24&lt;&gt;"", XLOOKUP($F24,Productos!$A$2:$A1001,Productos!W$2:W1001,"")*$G24,"")</f>
        <v/>
      </c>
      <c r="AE24" s="179" t="str">
        <f t="array" ref="AE24">IF($F24&lt;&gt;"",XLOOKUP($F24,Productos!$A:$A,Productos!X:X,"Revisar"),"")</f>
        <v/>
      </c>
      <c r="AF24" s="179" t="str">
        <f t="array" ref="AF24">IF($F24&lt;&gt;"", XLOOKUP($F24,Productos!$A$2:$A1001,Productos!Y$2:Y1001,"")*$G24,"")</f>
        <v/>
      </c>
      <c r="AG24" s="179" t="str">
        <f t="array" ref="AG24">IF($F24&lt;&gt;"",XLOOKUP($F24,Productos!$A:$A,Productos!Z:Z,"Revisar"),"")</f>
        <v/>
      </c>
      <c r="AH24" s="179" t="str">
        <f t="array" ref="AH24">IF($F24&lt;&gt;"", XLOOKUP($F24,Productos!$A$2:$A1001,Productos!AA$2:AA1001,"")*$G24,"")</f>
        <v/>
      </c>
      <c r="AI24" s="179" t="str">
        <f t="array" ref="AI24">IF($F24&lt;&gt;"",XLOOKUP($F24,Productos!$A:$A,Productos!AB:AB,"Revisar"),"")</f>
        <v/>
      </c>
      <c r="AJ24" s="179" t="str">
        <f t="array" ref="AJ24">IF($F24&lt;&gt;"", XLOOKUP($F24,Productos!$A$2:$A1001,Productos!AC$2:AC1001,"")*$G24,"")</f>
        <v/>
      </c>
      <c r="AK24" s="179" t="str">
        <f t="array" ref="AK24">IF($F24&lt;&gt;"",XLOOKUP($F24,Productos!$A:$A,Productos!AD:AD,"Revisar"),"")</f>
        <v/>
      </c>
      <c r="AL24" s="179" t="str">
        <f t="array" ref="AL24">IF($F24&lt;&gt;"", XLOOKUP($F24,Productos!$A$2:$A1001,Productos!AE$2:AE1001,"")*$G24,"")</f>
        <v/>
      </c>
      <c r="AM24" s="179" t="str">
        <f t="array" ref="AM24">IF($F24&lt;&gt;"",XLOOKUP($F24,Productos!$A:$A,Productos!AF:AF,"Revisar"),"")</f>
        <v/>
      </c>
      <c r="AN24" s="179" t="str">
        <f t="array" ref="AN24">IF($F24&lt;&gt;"", XLOOKUP($F24,Productos!$A$2:$A1001,Productos!AG$2:AG1001,"")*$G24,"")</f>
        <v/>
      </c>
      <c r="AO24" s="179" t="str">
        <f t="array" ref="AO24">IF($F24&lt;&gt;"",XLOOKUP($F24,Productos!$A:$A,Productos!AH:AH,"Revisar"),"")</f>
        <v/>
      </c>
      <c r="AP24" s="179" t="str">
        <f t="array" ref="AP24">IF($F24&lt;&gt;"", XLOOKUP($F24,Productos!$A$2:$A1001,Productos!AI$2:AI1001,"")*$G24,"")</f>
        <v/>
      </c>
      <c r="AQ24" s="179" t="str">
        <f t="array" ref="AQ24">IF($F24&lt;&gt;"",XLOOKUP($F24,Productos!$A:$A,Productos!AJ:AJ,"Revisar"),"")</f>
        <v/>
      </c>
      <c r="AR24" s="179" t="str">
        <f t="array" ref="AR24">IF($F24&lt;&gt;"", XLOOKUP($F24,Productos!$A$2:$A1001,Productos!AK$2:AK1001,"")*$G24,"")</f>
        <v/>
      </c>
      <c r="AS24" s="179" t="str">
        <f t="array" ref="AS24">IF($F24&lt;&gt;"",XLOOKUP($F24,Productos!$A:$A,Productos!AL:AL,"Revisar"),"")</f>
        <v/>
      </c>
      <c r="AT24" s="179" t="str">
        <f t="array" ref="AT24">IF($F24&lt;&gt;"", XLOOKUP($F24,Productos!$A$2:$A1001,Productos!AM$2:AM1001,"")*$G24,"")</f>
        <v/>
      </c>
      <c r="AU24" s="179" t="str">
        <f t="array" ref="AU24">IF($F24&lt;&gt;"",XLOOKUP($F24,Productos!$A:$A,Productos!AN:AN,"Revisar"),"")</f>
        <v/>
      </c>
      <c r="AV24" s="179" t="str">
        <f t="array" ref="AV24">IF($F24&lt;&gt;"", XLOOKUP($F24,Productos!$A$2:$A1001,Productos!AO$2:AO1001,"")*$G24,"")</f>
        <v/>
      </c>
      <c r="AW24" s="179" t="str">
        <f t="array" ref="AW24">IF($F24&lt;&gt;"",XLOOKUP($F24,Productos!$A:$A,Productos!AP:AP,"Revisar"),"")</f>
        <v/>
      </c>
      <c r="AX24" s="179" t="str">
        <f t="array" ref="AX24">IF($F24&lt;&gt;"", XLOOKUP($F24,Productos!$A$2:$A1001,Productos!AQ$2:AQ1001,"")*$G24,"")</f>
        <v/>
      </c>
      <c r="AY24" s="179" t="str">
        <f t="array" ref="AY24">IF($F24&lt;&gt;"",XLOOKUP($F24,Productos!$A:$A,Productos!AR:AR,"Revisar"),"")</f>
        <v/>
      </c>
      <c r="AZ24" s="179" t="str">
        <f t="array" ref="AZ24">IF($F24&lt;&gt;"", XLOOKUP($F24,Productos!$A$2:$A1001,Productos!AS$2:AS1001,"")*$G24,"")</f>
        <v/>
      </c>
      <c r="BA24" s="179" t="str">
        <f t="array" ref="BA24">IF($F24&lt;&gt;"",XLOOKUP($F24,Productos!$A:$A,Productos!AT:AT,"Revisar"),"")</f>
        <v/>
      </c>
      <c r="BB24" s="179" t="str">
        <f t="array" ref="BB24">IF($F24&lt;&gt;"", XLOOKUP($F24,Productos!$A$2:$A1001,Productos!AU$2:AU1001,"")*$G24,"")</f>
        <v/>
      </c>
      <c r="BC24" s="179" t="str">
        <f t="array" ref="BC24">IF($F24&lt;&gt;"",XLOOKUP($F24,Productos!$A:$A,Productos!AV:AV,"Revisar"),"")</f>
        <v/>
      </c>
      <c r="BD24" s="179" t="str">
        <f t="array" ref="BD24">IF($F24&lt;&gt;"", XLOOKUP($F24,Productos!$A$2:$A1001,Productos!AW$2:AW1001,"")*$G24,"")</f>
        <v/>
      </c>
      <c r="BE24" s="179" t="str">
        <f t="array" ref="BE24">IF($F24&lt;&gt;"",XLOOKUP($F24,Productos!$A:$A,Productos!AX:AX,"Revisar"),"")</f>
        <v/>
      </c>
      <c r="BF24" s="179" t="str">
        <f t="array" ref="BF24">IF($F24&lt;&gt;"", XLOOKUP($F24,Productos!$A$2:$A1001,Productos!AY$2:AY1001,"")*$G24,"")</f>
        <v/>
      </c>
      <c r="BG24" s="179" t="str">
        <f t="array" ref="BG24">IF($F24&lt;&gt;"",XLOOKUP($F24,Productos!$A:$A,Productos!AZ:AZ,"Revisar"),"")</f>
        <v/>
      </c>
      <c r="BH24" s="179" t="str">
        <f t="array" ref="BH24">IF($F24&lt;&gt;"", XLOOKUP($F24,Productos!$A$2:$A1001,Productos!BA$2:BA1001,"")*$G24,"")</f>
        <v/>
      </c>
      <c r="BI24" s="179" t="str">
        <f t="array" ref="BI24">IF($F24&lt;&gt;"",XLOOKUP($F24,Productos!$A:$A,Productos!BB:BB,"Revisar"),"")</f>
        <v/>
      </c>
      <c r="BJ24" s="179" t="str">
        <f t="array" ref="BJ24">IF($F24&lt;&gt;"", XLOOKUP($F24,Productos!$A$2:$A1001,Productos!BC$2:BC1001,"")*$G24,"")</f>
        <v/>
      </c>
      <c r="BK24" s="179" t="str">
        <f t="array" ref="BK24">IF($F24&lt;&gt;"",XLOOKUP($F24,Productos!$A:$A,Productos!BD:BD,"Revisar"),"")</f>
        <v/>
      </c>
      <c r="BL24" s="179" t="str">
        <f t="array" ref="BL24">IF($F24&lt;&gt;"", XLOOKUP($F24,Productos!$A$2:$A1001,Productos!BE$2:BE1001,"")*$G24,"")</f>
        <v/>
      </c>
      <c r="BM24" s="179" t="str">
        <f t="array" ref="BM24">IF($F24&lt;&gt;"",XLOOKUP($F24,Productos!$A:$A,Productos!BF:BF,"Revisar"),"")</f>
        <v/>
      </c>
      <c r="BN24" s="179" t="str">
        <f t="array" ref="BN24">IF($F24&lt;&gt;"", XLOOKUP($F24,Productos!$A$2:$A1001,Productos!BG$2:BG1001,"")*$G24,"")</f>
        <v/>
      </c>
      <c r="BO24" s="179" t="str">
        <f t="array" ref="BO24">IF($F24&lt;&gt;"",XLOOKUP($F24,Productos!$A:$A,Productos!BH:BH,"Revisar"),"")</f>
        <v/>
      </c>
      <c r="BP24" s="179" t="str">
        <f t="array" ref="BP24">IF($F24&lt;&gt;"", XLOOKUP($F24,Productos!$A$2:$A1001,Productos!BI$2:BI1001,"")*$G24,"")</f>
        <v/>
      </c>
      <c r="BQ24" s="179" t="str">
        <f t="array" ref="BQ24">IF($F24&lt;&gt;"",XLOOKUP($F24,Productos!$A:$A,Productos!BJ:BJ,"Revisar"),"")</f>
        <v/>
      </c>
      <c r="BR24" s="179" t="str">
        <f t="array" ref="BR24">IF($F24&lt;&gt;"", XLOOKUP($F24,Productos!$A$2:$A1001,Productos!BK$2:BK1001,"")*$G24,"")</f>
        <v/>
      </c>
      <c r="BS24" s="179" t="str">
        <f t="array" ref="BS24">IF($F24&lt;&gt;"",XLOOKUP($F24,Productos!$A:$A,Productos!BL:BL,"Revisar"),"")</f>
        <v/>
      </c>
      <c r="BT24" s="179" t="str">
        <f t="array" ref="BT24">IF($F24&lt;&gt;"", XLOOKUP($F24,Productos!$A$2:$A1001,Productos!BM$2:BM1001,"")*$G24,"")</f>
        <v/>
      </c>
      <c r="BU24" s="179" t="str">
        <f t="array" ref="BU24">IF($F24&lt;&gt;"",XLOOKUP($F24,Productos!$A:$A,Productos!BN:BN,"Revisar"),"")</f>
        <v/>
      </c>
      <c r="BV24" s="179" t="str">
        <f t="array" ref="BV24">IF($F24&lt;&gt;"", XLOOKUP($F24,Productos!$A$2:$A1001,Productos!BO$2:BO1001,"")*$G24,"")</f>
        <v/>
      </c>
      <c r="BW24" s="179" t="str">
        <f t="array" ref="BW24">IF($F24&lt;&gt;"",XLOOKUP($F24,Productos!$A:$A,Productos!BP:BP,"Revisar"),"")</f>
        <v/>
      </c>
      <c r="BX24" s="179" t="str">
        <f t="array" ref="BX24">IF($F24&lt;&gt;"", XLOOKUP($F24,Productos!$A$2:$A1001,Productos!BQ$2:BQ1001,"")*$G24,"")</f>
        <v/>
      </c>
      <c r="BY24" s="179" t="str">
        <f t="array" ref="BY24">IF($F24&lt;&gt;"",XLOOKUP($F24,Productos!$A:$A,Productos!BR:BR,"Revisar"),"")</f>
        <v/>
      </c>
      <c r="BZ24" s="179" t="str">
        <f t="array" ref="BZ24">IF($F24&lt;&gt;"", XLOOKUP($F24,Productos!$A$2:$A1001,Productos!BS$2:BS1001,"")*$G24,"")</f>
        <v/>
      </c>
    </row>
    <row r="25">
      <c r="A25" s="180"/>
      <c r="B25" s="181"/>
      <c r="C25" s="182"/>
      <c r="D25" s="182"/>
      <c r="E25" s="185"/>
      <c r="F25" s="186"/>
      <c r="G25" s="187"/>
      <c r="H25" s="186"/>
      <c r="I25" s="179" t="str">
        <f t="array" ref="I25">IF($F25&lt;&gt;"",XLOOKUP($F25,Productos!$A:$A,Productos!B:B,"Revisar"),"")</f>
        <v/>
      </c>
      <c r="J25" s="179" t="str">
        <f t="array" ref="J25">IF($F25&lt;&gt;"", XLOOKUP($F25,Productos!$A$2:$A1001,Productos!C$2:C1001,"")*$G25,"")</f>
        <v/>
      </c>
      <c r="K25" s="179" t="str">
        <f t="array" ref="K25">IF($F25&lt;&gt;"",XLOOKUP($F25,Productos!$A:$A,Productos!D:D,"Revisar"),"")</f>
        <v/>
      </c>
      <c r="L25" s="179" t="str">
        <f t="array" ref="L25">IF($F25&lt;&gt;"", XLOOKUP($F25,Productos!$A$2:$A1001,Productos!E$2:E1001,"")*$G25,"")</f>
        <v/>
      </c>
      <c r="M25" s="179" t="str">
        <f t="array" ref="M25">IF($F25&lt;&gt;"",XLOOKUP($F25,Productos!$A:$A,Productos!F:F,"Revisar"),"")</f>
        <v/>
      </c>
      <c r="N25" s="179" t="str">
        <f t="array" ref="N25">IF($F25&lt;&gt;"", XLOOKUP($F25,Productos!$A$2:$A1001,Productos!G$2:G1001,"")*$G25,"")</f>
        <v/>
      </c>
      <c r="O25" s="179" t="str">
        <f t="array" ref="O25">IF($F25&lt;&gt;"",XLOOKUP($F25,Productos!$A:$A,Productos!H:H,"Revisar"),"")</f>
        <v/>
      </c>
      <c r="P25" s="179" t="str">
        <f t="array" ref="P25">IF($F25&lt;&gt;"", XLOOKUP($F25,Productos!$A$2:$A1001,Productos!I$2:I1001,"")*$G25,"")</f>
        <v/>
      </c>
      <c r="Q25" s="179" t="str">
        <f t="array" ref="Q25">IF($F25&lt;&gt;"",XLOOKUP($F25,Productos!$A:$A,Productos!J:J,"Revisar"),"")</f>
        <v/>
      </c>
      <c r="R25" s="179" t="str">
        <f t="array" ref="R25">IF($F25&lt;&gt;"", XLOOKUP($F25,Productos!$A$2:$A1001,Productos!K$2:K1001,"")*$G25,"")</f>
        <v/>
      </c>
      <c r="S25" s="179" t="str">
        <f t="array" ref="S25">IF($F25&lt;&gt;"",XLOOKUP($F25,Productos!$A:$A,Productos!L:L,"Revisar"),"")</f>
        <v/>
      </c>
      <c r="T25" s="179" t="str">
        <f t="array" ref="T25">IF($F25&lt;&gt;"", XLOOKUP($F25,Productos!$A$2:$A1001,Productos!M$2:M1001,"")*$G25,"")</f>
        <v/>
      </c>
      <c r="U25" s="179" t="str">
        <f t="array" ref="U25">IF($F25&lt;&gt;"",XLOOKUP($F25,Productos!$A:$A,Productos!N:N,"Revisar"),"")</f>
        <v/>
      </c>
      <c r="V25" s="179" t="str">
        <f t="array" ref="V25">IF($F25&lt;&gt;"", XLOOKUP($F25,Productos!$A$2:$A1001,Productos!O$2:O1001,"")*$G25,"")</f>
        <v/>
      </c>
      <c r="W25" s="179" t="str">
        <f t="array" ref="W25">IF($F25&lt;&gt;"",XLOOKUP($F25,Productos!$A:$A,Productos!P:P,"Revisar"),"")</f>
        <v/>
      </c>
      <c r="X25" s="179" t="str">
        <f t="array" ref="X25">IF($F25&lt;&gt;"", XLOOKUP($F25,Productos!$A$2:$A1001,Productos!Q$2:Q1001,"")*$G25,"")</f>
        <v/>
      </c>
      <c r="Y25" s="179" t="str">
        <f t="array" ref="Y25">IF($F25&lt;&gt;"",XLOOKUP($F25,Productos!$A:$A,Productos!R:R,"Revisar"),"")</f>
        <v/>
      </c>
      <c r="Z25" s="179" t="str">
        <f t="array" ref="Z25">IF($F25&lt;&gt;"", XLOOKUP($F25,Productos!$A$2:$A1001,Productos!S$2:S1001,"")*$G25,"")</f>
        <v/>
      </c>
      <c r="AA25" s="179" t="str">
        <f t="array" ref="AA25">IF($F25&lt;&gt;"",XLOOKUP($F25,Productos!$A:$A,Productos!T:T,"Revisar"),"")</f>
        <v/>
      </c>
      <c r="AB25" s="179" t="str">
        <f t="array" ref="AB25">IF($F25&lt;&gt;"", XLOOKUP($F25,Productos!$A$2:$A1001,Productos!U$2:U1001,"")*$G25,"")</f>
        <v/>
      </c>
      <c r="AC25" s="179" t="str">
        <f t="array" ref="AC25">IF($F25&lt;&gt;"",XLOOKUP($F25,Productos!$A:$A,Productos!V:V,"Revisar"),"")</f>
        <v/>
      </c>
      <c r="AD25" s="179" t="str">
        <f t="array" ref="AD25">IF($F25&lt;&gt;"", XLOOKUP($F25,Productos!$A$2:$A1001,Productos!W$2:W1001,"")*$G25,"")</f>
        <v/>
      </c>
      <c r="AE25" s="179" t="str">
        <f t="array" ref="AE25">IF($F25&lt;&gt;"",XLOOKUP($F25,Productos!$A:$A,Productos!X:X,"Revisar"),"")</f>
        <v/>
      </c>
      <c r="AF25" s="179" t="str">
        <f t="array" ref="AF25">IF($F25&lt;&gt;"", XLOOKUP($F25,Productos!$A$2:$A1001,Productos!Y$2:Y1001,"")*$G25,"")</f>
        <v/>
      </c>
      <c r="AG25" s="179" t="str">
        <f t="array" ref="AG25">IF($F25&lt;&gt;"",XLOOKUP($F25,Productos!$A:$A,Productos!Z:Z,"Revisar"),"")</f>
        <v/>
      </c>
      <c r="AH25" s="179" t="str">
        <f t="array" ref="AH25">IF($F25&lt;&gt;"", XLOOKUP($F25,Productos!$A$2:$A1001,Productos!AA$2:AA1001,"")*$G25,"")</f>
        <v/>
      </c>
      <c r="AI25" s="179" t="str">
        <f t="array" ref="AI25">IF($F25&lt;&gt;"",XLOOKUP($F25,Productos!$A:$A,Productos!AB:AB,"Revisar"),"")</f>
        <v/>
      </c>
      <c r="AJ25" s="179" t="str">
        <f t="array" ref="AJ25">IF($F25&lt;&gt;"", XLOOKUP($F25,Productos!$A$2:$A1001,Productos!AC$2:AC1001,"")*$G25,"")</f>
        <v/>
      </c>
      <c r="AK25" s="179" t="str">
        <f t="array" ref="AK25">IF($F25&lt;&gt;"",XLOOKUP($F25,Productos!$A:$A,Productos!AD:AD,"Revisar"),"")</f>
        <v/>
      </c>
      <c r="AL25" s="179" t="str">
        <f t="array" ref="AL25">IF($F25&lt;&gt;"", XLOOKUP($F25,Productos!$A$2:$A1001,Productos!AE$2:AE1001,"")*$G25,"")</f>
        <v/>
      </c>
      <c r="AM25" s="179" t="str">
        <f t="array" ref="AM25">IF($F25&lt;&gt;"",XLOOKUP($F25,Productos!$A:$A,Productos!AF:AF,"Revisar"),"")</f>
        <v/>
      </c>
      <c r="AN25" s="179" t="str">
        <f t="array" ref="AN25">IF($F25&lt;&gt;"", XLOOKUP($F25,Productos!$A$2:$A1001,Productos!AG$2:AG1001,"")*$G25,"")</f>
        <v/>
      </c>
      <c r="AO25" s="179" t="str">
        <f t="array" ref="AO25">IF($F25&lt;&gt;"",XLOOKUP($F25,Productos!$A:$A,Productos!AH:AH,"Revisar"),"")</f>
        <v/>
      </c>
      <c r="AP25" s="179" t="str">
        <f t="array" ref="AP25">IF($F25&lt;&gt;"", XLOOKUP($F25,Productos!$A$2:$A1001,Productos!AI$2:AI1001,"")*$G25,"")</f>
        <v/>
      </c>
      <c r="AQ25" s="179" t="str">
        <f t="array" ref="AQ25">IF($F25&lt;&gt;"",XLOOKUP($F25,Productos!$A:$A,Productos!AJ:AJ,"Revisar"),"")</f>
        <v/>
      </c>
      <c r="AR25" s="179" t="str">
        <f t="array" ref="AR25">IF($F25&lt;&gt;"", XLOOKUP($F25,Productos!$A$2:$A1001,Productos!AK$2:AK1001,"")*$G25,"")</f>
        <v/>
      </c>
      <c r="AS25" s="179" t="str">
        <f t="array" ref="AS25">IF($F25&lt;&gt;"",XLOOKUP($F25,Productos!$A:$A,Productos!AL:AL,"Revisar"),"")</f>
        <v/>
      </c>
      <c r="AT25" s="179" t="str">
        <f t="array" ref="AT25">IF($F25&lt;&gt;"", XLOOKUP($F25,Productos!$A$2:$A1001,Productos!AM$2:AM1001,"")*$G25,"")</f>
        <v/>
      </c>
      <c r="AU25" s="179" t="str">
        <f t="array" ref="AU25">IF($F25&lt;&gt;"",XLOOKUP($F25,Productos!$A:$A,Productos!AN:AN,"Revisar"),"")</f>
        <v/>
      </c>
      <c r="AV25" s="179" t="str">
        <f t="array" ref="AV25">IF($F25&lt;&gt;"", XLOOKUP($F25,Productos!$A$2:$A1001,Productos!AO$2:AO1001,"")*$G25,"")</f>
        <v/>
      </c>
      <c r="AW25" s="179" t="str">
        <f t="array" ref="AW25">IF($F25&lt;&gt;"",XLOOKUP($F25,Productos!$A:$A,Productos!AP:AP,"Revisar"),"")</f>
        <v/>
      </c>
      <c r="AX25" s="179" t="str">
        <f t="array" ref="AX25">IF($F25&lt;&gt;"", XLOOKUP($F25,Productos!$A$2:$A1001,Productos!AQ$2:AQ1001,"")*$G25,"")</f>
        <v/>
      </c>
      <c r="AY25" s="179" t="str">
        <f t="array" ref="AY25">IF($F25&lt;&gt;"",XLOOKUP($F25,Productos!$A:$A,Productos!AR:AR,"Revisar"),"")</f>
        <v/>
      </c>
      <c r="AZ25" s="179" t="str">
        <f t="array" ref="AZ25">IF($F25&lt;&gt;"", XLOOKUP($F25,Productos!$A$2:$A1001,Productos!AS$2:AS1001,"")*$G25,"")</f>
        <v/>
      </c>
      <c r="BA25" s="179" t="str">
        <f t="array" ref="BA25">IF($F25&lt;&gt;"",XLOOKUP($F25,Productos!$A:$A,Productos!AT:AT,"Revisar"),"")</f>
        <v/>
      </c>
      <c r="BB25" s="179" t="str">
        <f t="array" ref="BB25">IF($F25&lt;&gt;"", XLOOKUP($F25,Productos!$A$2:$A1001,Productos!AU$2:AU1001,"")*$G25,"")</f>
        <v/>
      </c>
      <c r="BC25" s="179" t="str">
        <f t="array" ref="BC25">IF($F25&lt;&gt;"",XLOOKUP($F25,Productos!$A:$A,Productos!AV:AV,"Revisar"),"")</f>
        <v/>
      </c>
      <c r="BD25" s="179" t="str">
        <f t="array" ref="BD25">IF($F25&lt;&gt;"", XLOOKUP($F25,Productos!$A$2:$A1001,Productos!AW$2:AW1001,"")*$G25,"")</f>
        <v/>
      </c>
      <c r="BE25" s="179" t="str">
        <f t="array" ref="BE25">IF($F25&lt;&gt;"",XLOOKUP($F25,Productos!$A:$A,Productos!AX:AX,"Revisar"),"")</f>
        <v/>
      </c>
      <c r="BF25" s="179" t="str">
        <f t="array" ref="BF25">IF($F25&lt;&gt;"", XLOOKUP($F25,Productos!$A$2:$A1001,Productos!AY$2:AY1001,"")*$G25,"")</f>
        <v/>
      </c>
      <c r="BG25" s="179" t="str">
        <f t="array" ref="BG25">IF($F25&lt;&gt;"",XLOOKUP($F25,Productos!$A:$A,Productos!AZ:AZ,"Revisar"),"")</f>
        <v/>
      </c>
      <c r="BH25" s="179" t="str">
        <f t="array" ref="BH25">IF($F25&lt;&gt;"", XLOOKUP($F25,Productos!$A$2:$A1001,Productos!BA$2:BA1001,"")*$G25,"")</f>
        <v/>
      </c>
      <c r="BI25" s="179" t="str">
        <f t="array" ref="BI25">IF($F25&lt;&gt;"",XLOOKUP($F25,Productos!$A:$A,Productos!BB:BB,"Revisar"),"")</f>
        <v/>
      </c>
      <c r="BJ25" s="179" t="str">
        <f t="array" ref="BJ25">IF($F25&lt;&gt;"", XLOOKUP($F25,Productos!$A$2:$A1001,Productos!BC$2:BC1001,"")*$G25,"")</f>
        <v/>
      </c>
      <c r="BK25" s="179" t="str">
        <f t="array" ref="BK25">IF($F25&lt;&gt;"",XLOOKUP($F25,Productos!$A:$A,Productos!BD:BD,"Revisar"),"")</f>
        <v/>
      </c>
      <c r="BL25" s="179" t="str">
        <f t="array" ref="BL25">IF($F25&lt;&gt;"", XLOOKUP($F25,Productos!$A$2:$A1001,Productos!BE$2:BE1001,"")*$G25,"")</f>
        <v/>
      </c>
      <c r="BM25" s="179" t="str">
        <f t="array" ref="BM25">IF($F25&lt;&gt;"",XLOOKUP($F25,Productos!$A:$A,Productos!BF:BF,"Revisar"),"")</f>
        <v/>
      </c>
      <c r="BN25" s="179" t="str">
        <f t="array" ref="BN25">IF($F25&lt;&gt;"", XLOOKUP($F25,Productos!$A$2:$A1001,Productos!BG$2:BG1001,"")*$G25,"")</f>
        <v/>
      </c>
      <c r="BO25" s="179" t="str">
        <f t="array" ref="BO25">IF($F25&lt;&gt;"",XLOOKUP($F25,Productos!$A:$A,Productos!BH:BH,"Revisar"),"")</f>
        <v/>
      </c>
      <c r="BP25" s="179" t="str">
        <f t="array" ref="BP25">IF($F25&lt;&gt;"", XLOOKUP($F25,Productos!$A$2:$A1001,Productos!BI$2:BI1001,"")*$G25,"")</f>
        <v/>
      </c>
      <c r="BQ25" s="179" t="str">
        <f t="array" ref="BQ25">IF($F25&lt;&gt;"",XLOOKUP($F25,Productos!$A:$A,Productos!BJ:BJ,"Revisar"),"")</f>
        <v/>
      </c>
      <c r="BR25" s="179" t="str">
        <f t="array" ref="BR25">IF($F25&lt;&gt;"", XLOOKUP($F25,Productos!$A$2:$A1001,Productos!BK$2:BK1001,"")*$G25,"")</f>
        <v/>
      </c>
      <c r="BS25" s="179" t="str">
        <f t="array" ref="BS25">IF($F25&lt;&gt;"",XLOOKUP($F25,Productos!$A:$A,Productos!BL:BL,"Revisar"),"")</f>
        <v/>
      </c>
      <c r="BT25" s="179" t="str">
        <f t="array" ref="BT25">IF($F25&lt;&gt;"", XLOOKUP($F25,Productos!$A$2:$A1001,Productos!BM$2:BM1001,"")*$G25,"")</f>
        <v/>
      </c>
      <c r="BU25" s="179" t="str">
        <f t="array" ref="BU25">IF($F25&lt;&gt;"",XLOOKUP($F25,Productos!$A:$A,Productos!BN:BN,"Revisar"),"")</f>
        <v/>
      </c>
      <c r="BV25" s="179" t="str">
        <f t="array" ref="BV25">IF($F25&lt;&gt;"", XLOOKUP($F25,Productos!$A$2:$A1001,Productos!BO$2:BO1001,"")*$G25,"")</f>
        <v/>
      </c>
      <c r="BW25" s="179" t="str">
        <f t="array" ref="BW25">IF($F25&lt;&gt;"",XLOOKUP($F25,Productos!$A:$A,Productos!BP:BP,"Revisar"),"")</f>
        <v/>
      </c>
      <c r="BX25" s="179" t="str">
        <f t="array" ref="BX25">IF($F25&lt;&gt;"", XLOOKUP($F25,Productos!$A$2:$A1001,Productos!BQ$2:BQ1001,"")*$G25,"")</f>
        <v/>
      </c>
      <c r="BY25" s="179" t="str">
        <f t="array" ref="BY25">IF($F25&lt;&gt;"",XLOOKUP($F25,Productos!$A:$A,Productos!BR:BR,"Revisar"),"")</f>
        <v/>
      </c>
      <c r="BZ25" s="179" t="str">
        <f t="array" ref="BZ25">IF($F25&lt;&gt;"", XLOOKUP($F25,Productos!$A$2:$A1001,Productos!BS$2:BS1001,"")*$G25,"")</f>
        <v/>
      </c>
    </row>
    <row r="26">
      <c r="A26" s="180"/>
      <c r="B26" s="181"/>
      <c r="C26" s="182"/>
      <c r="D26" s="182"/>
      <c r="E26" s="185"/>
      <c r="F26" s="186"/>
      <c r="G26" s="187"/>
      <c r="H26" s="186"/>
      <c r="I26" s="179" t="str">
        <f t="array" ref="I26">IF($F26&lt;&gt;"",XLOOKUP($F26,Productos!$A:$A,Productos!B:B,"Revisar"),"")</f>
        <v/>
      </c>
      <c r="J26" s="179" t="str">
        <f t="array" ref="J26">IF($F26&lt;&gt;"", XLOOKUP($F26,Productos!$A$2:$A1001,Productos!C$2:C1001,"")*$G26,"")</f>
        <v/>
      </c>
      <c r="K26" s="179" t="str">
        <f t="array" ref="K26">IF($F26&lt;&gt;"",XLOOKUP($F26,Productos!$A:$A,Productos!D:D,"Revisar"),"")</f>
        <v/>
      </c>
      <c r="L26" s="179" t="str">
        <f t="array" ref="L26">IF($F26&lt;&gt;"", XLOOKUP($F26,Productos!$A$2:$A1001,Productos!E$2:E1001,"")*$G26,"")</f>
        <v/>
      </c>
      <c r="M26" s="179" t="str">
        <f t="array" ref="M26">IF($F26&lt;&gt;"",XLOOKUP($F26,Productos!$A:$A,Productos!F:F,"Revisar"),"")</f>
        <v/>
      </c>
      <c r="N26" s="179" t="str">
        <f t="array" ref="N26">IF($F26&lt;&gt;"", XLOOKUP($F26,Productos!$A$2:$A1001,Productos!G$2:G1001,"")*$G26,"")</f>
        <v/>
      </c>
      <c r="O26" s="179" t="str">
        <f t="array" ref="O26">IF($F26&lt;&gt;"",XLOOKUP($F26,Productos!$A:$A,Productos!H:H,"Revisar"),"")</f>
        <v/>
      </c>
      <c r="P26" s="179" t="str">
        <f t="array" ref="P26">IF($F26&lt;&gt;"", XLOOKUP($F26,Productos!$A$2:$A1001,Productos!I$2:I1001,"")*$G26,"")</f>
        <v/>
      </c>
      <c r="Q26" s="179" t="str">
        <f t="array" ref="Q26">IF($F26&lt;&gt;"",XLOOKUP($F26,Productos!$A:$A,Productos!J:J,"Revisar"),"")</f>
        <v/>
      </c>
      <c r="R26" s="179" t="str">
        <f t="array" ref="R26">IF($F26&lt;&gt;"", XLOOKUP($F26,Productos!$A$2:$A1001,Productos!K$2:K1001,"")*$G26,"")</f>
        <v/>
      </c>
      <c r="S26" s="179" t="str">
        <f t="array" ref="S26">IF($F26&lt;&gt;"",XLOOKUP($F26,Productos!$A:$A,Productos!L:L,"Revisar"),"")</f>
        <v/>
      </c>
      <c r="T26" s="179" t="str">
        <f t="array" ref="T26">IF($F26&lt;&gt;"", XLOOKUP($F26,Productos!$A$2:$A1001,Productos!M$2:M1001,"")*$G26,"")</f>
        <v/>
      </c>
      <c r="U26" s="179" t="str">
        <f t="array" ref="U26">IF($F26&lt;&gt;"",XLOOKUP($F26,Productos!$A:$A,Productos!N:N,"Revisar"),"")</f>
        <v/>
      </c>
      <c r="V26" s="179" t="str">
        <f t="array" ref="V26">IF($F26&lt;&gt;"", XLOOKUP($F26,Productos!$A$2:$A1001,Productos!O$2:O1001,"")*$G26,"")</f>
        <v/>
      </c>
      <c r="W26" s="179" t="str">
        <f t="array" ref="W26">IF($F26&lt;&gt;"",XLOOKUP($F26,Productos!$A:$A,Productos!P:P,"Revisar"),"")</f>
        <v/>
      </c>
      <c r="X26" s="179" t="str">
        <f t="array" ref="X26">IF($F26&lt;&gt;"", XLOOKUP($F26,Productos!$A$2:$A1001,Productos!Q$2:Q1001,"")*$G26,"")</f>
        <v/>
      </c>
      <c r="Y26" s="179" t="str">
        <f t="array" ref="Y26">IF($F26&lt;&gt;"",XLOOKUP($F26,Productos!$A:$A,Productos!R:R,"Revisar"),"")</f>
        <v/>
      </c>
      <c r="Z26" s="179" t="str">
        <f t="array" ref="Z26">IF($F26&lt;&gt;"", XLOOKUP($F26,Productos!$A$2:$A1001,Productos!S$2:S1001,"")*$G26,"")</f>
        <v/>
      </c>
      <c r="AA26" s="179" t="str">
        <f t="array" ref="AA26">IF($F26&lt;&gt;"",XLOOKUP($F26,Productos!$A:$A,Productos!T:T,"Revisar"),"")</f>
        <v/>
      </c>
      <c r="AB26" s="179" t="str">
        <f t="array" ref="AB26">IF($F26&lt;&gt;"", XLOOKUP($F26,Productos!$A$2:$A1001,Productos!U$2:U1001,"")*$G26,"")</f>
        <v/>
      </c>
      <c r="AC26" s="179" t="str">
        <f t="array" ref="AC26">IF($F26&lt;&gt;"",XLOOKUP($F26,Productos!$A:$A,Productos!V:V,"Revisar"),"")</f>
        <v/>
      </c>
      <c r="AD26" s="179" t="str">
        <f t="array" ref="AD26">IF($F26&lt;&gt;"", XLOOKUP($F26,Productos!$A$2:$A1001,Productos!W$2:W1001,"")*$G26,"")</f>
        <v/>
      </c>
      <c r="AE26" s="179" t="str">
        <f t="array" ref="AE26">IF($F26&lt;&gt;"",XLOOKUP($F26,Productos!$A:$A,Productos!X:X,"Revisar"),"")</f>
        <v/>
      </c>
      <c r="AF26" s="179" t="str">
        <f t="array" ref="AF26">IF($F26&lt;&gt;"", XLOOKUP($F26,Productos!$A$2:$A1001,Productos!Y$2:Y1001,"")*$G26,"")</f>
        <v/>
      </c>
      <c r="AG26" s="179" t="str">
        <f t="array" ref="AG26">IF($F26&lt;&gt;"",XLOOKUP($F26,Productos!$A:$A,Productos!Z:Z,"Revisar"),"")</f>
        <v/>
      </c>
      <c r="AH26" s="179" t="str">
        <f t="array" ref="AH26">IF($F26&lt;&gt;"", XLOOKUP($F26,Productos!$A$2:$A1001,Productos!AA$2:AA1001,"")*$G26,"")</f>
        <v/>
      </c>
      <c r="AI26" s="179" t="str">
        <f t="array" ref="AI26">IF($F26&lt;&gt;"",XLOOKUP($F26,Productos!$A:$A,Productos!AB:AB,"Revisar"),"")</f>
        <v/>
      </c>
      <c r="AJ26" s="179" t="str">
        <f t="array" ref="AJ26">IF($F26&lt;&gt;"", XLOOKUP($F26,Productos!$A$2:$A1001,Productos!AC$2:AC1001,"")*$G26,"")</f>
        <v/>
      </c>
      <c r="AK26" s="179" t="str">
        <f t="array" ref="AK26">IF($F26&lt;&gt;"",XLOOKUP($F26,Productos!$A:$A,Productos!AD:AD,"Revisar"),"")</f>
        <v/>
      </c>
      <c r="AL26" s="179" t="str">
        <f t="array" ref="AL26">IF($F26&lt;&gt;"", XLOOKUP($F26,Productos!$A$2:$A1001,Productos!AE$2:AE1001,"")*$G26,"")</f>
        <v/>
      </c>
      <c r="AM26" s="179" t="str">
        <f t="array" ref="AM26">IF($F26&lt;&gt;"",XLOOKUP($F26,Productos!$A:$A,Productos!AF:AF,"Revisar"),"")</f>
        <v/>
      </c>
      <c r="AN26" s="179" t="str">
        <f t="array" ref="AN26">IF($F26&lt;&gt;"", XLOOKUP($F26,Productos!$A$2:$A1001,Productos!AG$2:AG1001,"")*$G26,"")</f>
        <v/>
      </c>
      <c r="AO26" s="179" t="str">
        <f t="array" ref="AO26">IF($F26&lt;&gt;"",XLOOKUP($F26,Productos!$A:$A,Productos!AH:AH,"Revisar"),"")</f>
        <v/>
      </c>
      <c r="AP26" s="179" t="str">
        <f t="array" ref="AP26">IF($F26&lt;&gt;"", XLOOKUP($F26,Productos!$A$2:$A1001,Productos!AI$2:AI1001,"")*$G26,"")</f>
        <v/>
      </c>
      <c r="AQ26" s="179" t="str">
        <f t="array" ref="AQ26">IF($F26&lt;&gt;"",XLOOKUP($F26,Productos!$A:$A,Productos!AJ:AJ,"Revisar"),"")</f>
        <v/>
      </c>
      <c r="AR26" s="179" t="str">
        <f t="array" ref="AR26">IF($F26&lt;&gt;"", XLOOKUP($F26,Productos!$A$2:$A1001,Productos!AK$2:AK1001,"")*$G26,"")</f>
        <v/>
      </c>
      <c r="AS26" s="179" t="str">
        <f t="array" ref="AS26">IF($F26&lt;&gt;"",XLOOKUP($F26,Productos!$A:$A,Productos!AL:AL,"Revisar"),"")</f>
        <v/>
      </c>
      <c r="AT26" s="179" t="str">
        <f t="array" ref="AT26">IF($F26&lt;&gt;"", XLOOKUP($F26,Productos!$A$2:$A1001,Productos!AM$2:AM1001,"")*$G26,"")</f>
        <v/>
      </c>
      <c r="AU26" s="179" t="str">
        <f t="array" ref="AU26">IF($F26&lt;&gt;"",XLOOKUP($F26,Productos!$A:$A,Productos!AN:AN,"Revisar"),"")</f>
        <v/>
      </c>
      <c r="AV26" s="179" t="str">
        <f t="array" ref="AV26">IF($F26&lt;&gt;"", XLOOKUP($F26,Productos!$A$2:$A1001,Productos!AO$2:AO1001,"")*$G26,"")</f>
        <v/>
      </c>
      <c r="AW26" s="179" t="str">
        <f t="array" ref="AW26">IF($F26&lt;&gt;"",XLOOKUP($F26,Productos!$A:$A,Productos!AP:AP,"Revisar"),"")</f>
        <v/>
      </c>
      <c r="AX26" s="179" t="str">
        <f t="array" ref="AX26">IF($F26&lt;&gt;"", XLOOKUP($F26,Productos!$A$2:$A1001,Productos!AQ$2:AQ1001,"")*$G26,"")</f>
        <v/>
      </c>
      <c r="AY26" s="179" t="str">
        <f t="array" ref="AY26">IF($F26&lt;&gt;"",XLOOKUP($F26,Productos!$A:$A,Productos!AR:AR,"Revisar"),"")</f>
        <v/>
      </c>
      <c r="AZ26" s="179" t="str">
        <f t="array" ref="AZ26">IF($F26&lt;&gt;"", XLOOKUP($F26,Productos!$A$2:$A1001,Productos!AS$2:AS1001,"")*$G26,"")</f>
        <v/>
      </c>
      <c r="BA26" s="179" t="str">
        <f t="array" ref="BA26">IF($F26&lt;&gt;"",XLOOKUP($F26,Productos!$A:$A,Productos!AT:AT,"Revisar"),"")</f>
        <v/>
      </c>
      <c r="BB26" s="179" t="str">
        <f t="array" ref="BB26">IF($F26&lt;&gt;"", XLOOKUP($F26,Productos!$A$2:$A1001,Productos!AU$2:AU1001,"")*$G26,"")</f>
        <v/>
      </c>
      <c r="BC26" s="179" t="str">
        <f t="array" ref="BC26">IF($F26&lt;&gt;"",XLOOKUP($F26,Productos!$A:$A,Productos!AV:AV,"Revisar"),"")</f>
        <v/>
      </c>
      <c r="BD26" s="179" t="str">
        <f t="array" ref="BD26">IF($F26&lt;&gt;"", XLOOKUP($F26,Productos!$A$2:$A1001,Productos!AW$2:AW1001,"")*$G26,"")</f>
        <v/>
      </c>
      <c r="BE26" s="179" t="str">
        <f t="array" ref="BE26">IF($F26&lt;&gt;"",XLOOKUP($F26,Productos!$A:$A,Productos!AX:AX,"Revisar"),"")</f>
        <v/>
      </c>
      <c r="BF26" s="179" t="str">
        <f t="array" ref="BF26">IF($F26&lt;&gt;"", XLOOKUP($F26,Productos!$A$2:$A1001,Productos!AY$2:AY1001,"")*$G26,"")</f>
        <v/>
      </c>
      <c r="BG26" s="179" t="str">
        <f t="array" ref="BG26">IF($F26&lt;&gt;"",XLOOKUP($F26,Productos!$A:$A,Productos!AZ:AZ,"Revisar"),"")</f>
        <v/>
      </c>
      <c r="BH26" s="179" t="str">
        <f t="array" ref="BH26">IF($F26&lt;&gt;"", XLOOKUP($F26,Productos!$A$2:$A1001,Productos!BA$2:BA1001,"")*$G26,"")</f>
        <v/>
      </c>
      <c r="BI26" s="179" t="str">
        <f t="array" ref="BI26">IF($F26&lt;&gt;"",XLOOKUP($F26,Productos!$A:$A,Productos!BB:BB,"Revisar"),"")</f>
        <v/>
      </c>
      <c r="BJ26" s="179" t="str">
        <f t="array" ref="BJ26">IF($F26&lt;&gt;"", XLOOKUP($F26,Productos!$A$2:$A1001,Productos!BC$2:BC1001,"")*$G26,"")</f>
        <v/>
      </c>
      <c r="BK26" s="179" t="str">
        <f t="array" ref="BK26">IF($F26&lt;&gt;"",XLOOKUP($F26,Productos!$A:$A,Productos!BD:BD,"Revisar"),"")</f>
        <v/>
      </c>
      <c r="BL26" s="179" t="str">
        <f t="array" ref="BL26">IF($F26&lt;&gt;"", XLOOKUP($F26,Productos!$A$2:$A1001,Productos!BE$2:BE1001,"")*$G26,"")</f>
        <v/>
      </c>
      <c r="BM26" s="179" t="str">
        <f t="array" ref="BM26">IF($F26&lt;&gt;"",XLOOKUP($F26,Productos!$A:$A,Productos!BF:BF,"Revisar"),"")</f>
        <v/>
      </c>
      <c r="BN26" s="179" t="str">
        <f t="array" ref="BN26">IF($F26&lt;&gt;"", XLOOKUP($F26,Productos!$A$2:$A1001,Productos!BG$2:BG1001,"")*$G26,"")</f>
        <v/>
      </c>
      <c r="BO26" s="179" t="str">
        <f t="array" ref="BO26">IF($F26&lt;&gt;"",XLOOKUP($F26,Productos!$A:$A,Productos!BH:BH,"Revisar"),"")</f>
        <v/>
      </c>
      <c r="BP26" s="179" t="str">
        <f t="array" ref="BP26">IF($F26&lt;&gt;"", XLOOKUP($F26,Productos!$A$2:$A1001,Productos!BI$2:BI1001,"")*$G26,"")</f>
        <v/>
      </c>
      <c r="BQ26" s="179" t="str">
        <f t="array" ref="BQ26">IF($F26&lt;&gt;"",XLOOKUP($F26,Productos!$A:$A,Productos!BJ:BJ,"Revisar"),"")</f>
        <v/>
      </c>
      <c r="BR26" s="179" t="str">
        <f t="array" ref="BR26">IF($F26&lt;&gt;"", XLOOKUP($F26,Productos!$A$2:$A1001,Productos!BK$2:BK1001,"")*$G26,"")</f>
        <v/>
      </c>
      <c r="BS26" s="179" t="str">
        <f t="array" ref="BS26">IF($F26&lt;&gt;"",XLOOKUP($F26,Productos!$A:$A,Productos!BL:BL,"Revisar"),"")</f>
        <v/>
      </c>
      <c r="BT26" s="179" t="str">
        <f t="array" ref="BT26">IF($F26&lt;&gt;"", XLOOKUP($F26,Productos!$A$2:$A1001,Productos!BM$2:BM1001,"")*$G26,"")</f>
        <v/>
      </c>
      <c r="BU26" s="179" t="str">
        <f t="array" ref="BU26">IF($F26&lt;&gt;"",XLOOKUP($F26,Productos!$A:$A,Productos!BN:BN,"Revisar"),"")</f>
        <v/>
      </c>
      <c r="BV26" s="179" t="str">
        <f t="array" ref="BV26">IF($F26&lt;&gt;"", XLOOKUP($F26,Productos!$A$2:$A1001,Productos!BO$2:BO1001,"")*$G26,"")</f>
        <v/>
      </c>
      <c r="BW26" s="179" t="str">
        <f t="array" ref="BW26">IF($F26&lt;&gt;"",XLOOKUP($F26,Productos!$A:$A,Productos!BP:BP,"Revisar"),"")</f>
        <v/>
      </c>
      <c r="BX26" s="179" t="str">
        <f t="array" ref="BX26">IF($F26&lt;&gt;"", XLOOKUP($F26,Productos!$A$2:$A1001,Productos!BQ$2:BQ1001,"")*$G26,"")</f>
        <v/>
      </c>
      <c r="BY26" s="179" t="str">
        <f t="array" ref="BY26">IF($F26&lt;&gt;"",XLOOKUP($F26,Productos!$A:$A,Productos!BR:BR,"Revisar"),"")</f>
        <v/>
      </c>
      <c r="BZ26" s="179" t="str">
        <f t="array" ref="BZ26">IF($F26&lt;&gt;"", XLOOKUP($F26,Productos!$A$2:$A1001,Productos!BS$2:BS1001,"")*$G26,"")</f>
        <v/>
      </c>
    </row>
    <row r="27">
      <c r="A27" s="180"/>
      <c r="B27" s="181"/>
      <c r="C27" s="182"/>
      <c r="D27" s="182"/>
      <c r="E27" s="185"/>
      <c r="F27" s="186"/>
      <c r="G27" s="187"/>
      <c r="H27" s="186"/>
      <c r="I27" s="179" t="str">
        <f t="array" ref="I27">IF($F27&lt;&gt;"",XLOOKUP($F27,Productos!$A:$A,Productos!B:B,"Revisar"),"")</f>
        <v/>
      </c>
      <c r="J27" s="179" t="str">
        <f t="array" ref="J27">IF($F27&lt;&gt;"", XLOOKUP($F27,Productos!$A$2:$A1001,Productos!C$2:C1001,"")*$G27,"")</f>
        <v/>
      </c>
      <c r="K27" s="179" t="str">
        <f t="array" ref="K27">IF($F27&lt;&gt;"",XLOOKUP($F27,Productos!$A:$A,Productos!D:D,"Revisar"),"")</f>
        <v/>
      </c>
      <c r="L27" s="179" t="str">
        <f t="array" ref="L27">IF($F27&lt;&gt;"", XLOOKUP($F27,Productos!$A$2:$A1001,Productos!E$2:E1001,"")*$G27,"")</f>
        <v/>
      </c>
      <c r="M27" s="179" t="str">
        <f t="array" ref="M27">IF($F27&lt;&gt;"",XLOOKUP($F27,Productos!$A:$A,Productos!F:F,"Revisar"),"")</f>
        <v/>
      </c>
      <c r="N27" s="179" t="str">
        <f t="array" ref="N27">IF($F27&lt;&gt;"", XLOOKUP($F27,Productos!$A$2:$A1001,Productos!G$2:G1001,"")*$G27,"")</f>
        <v/>
      </c>
      <c r="O27" s="179" t="str">
        <f t="array" ref="O27">IF($F27&lt;&gt;"",XLOOKUP($F27,Productos!$A:$A,Productos!H:H,"Revisar"),"")</f>
        <v/>
      </c>
      <c r="P27" s="179" t="str">
        <f t="array" ref="P27">IF($F27&lt;&gt;"", XLOOKUP($F27,Productos!$A$2:$A1001,Productos!I$2:I1001,"")*$G27,"")</f>
        <v/>
      </c>
      <c r="Q27" s="179" t="str">
        <f t="array" ref="Q27">IF($F27&lt;&gt;"",XLOOKUP($F27,Productos!$A:$A,Productos!J:J,"Revisar"),"")</f>
        <v/>
      </c>
      <c r="R27" s="179" t="str">
        <f t="array" ref="R27">IF($F27&lt;&gt;"", XLOOKUP($F27,Productos!$A$2:$A1001,Productos!K$2:K1001,"")*$G27,"")</f>
        <v/>
      </c>
      <c r="S27" s="179" t="str">
        <f t="array" ref="S27">IF($F27&lt;&gt;"",XLOOKUP($F27,Productos!$A:$A,Productos!L:L,"Revisar"),"")</f>
        <v/>
      </c>
      <c r="T27" s="179" t="str">
        <f t="array" ref="T27">IF($F27&lt;&gt;"", XLOOKUP($F27,Productos!$A$2:$A1001,Productos!M$2:M1001,"")*$G27,"")</f>
        <v/>
      </c>
      <c r="U27" s="179" t="str">
        <f t="array" ref="U27">IF($F27&lt;&gt;"",XLOOKUP($F27,Productos!$A:$A,Productos!N:N,"Revisar"),"")</f>
        <v/>
      </c>
      <c r="V27" s="179" t="str">
        <f t="array" ref="V27">IF($F27&lt;&gt;"", XLOOKUP($F27,Productos!$A$2:$A1001,Productos!O$2:O1001,"")*$G27,"")</f>
        <v/>
      </c>
      <c r="W27" s="179" t="str">
        <f t="array" ref="W27">IF($F27&lt;&gt;"",XLOOKUP($F27,Productos!$A:$A,Productos!P:P,"Revisar"),"")</f>
        <v/>
      </c>
      <c r="X27" s="179" t="str">
        <f t="array" ref="X27">IF($F27&lt;&gt;"", XLOOKUP($F27,Productos!$A$2:$A1001,Productos!Q$2:Q1001,"")*$G27,"")</f>
        <v/>
      </c>
      <c r="Y27" s="179" t="str">
        <f t="array" ref="Y27">IF($F27&lt;&gt;"",XLOOKUP($F27,Productos!$A:$A,Productos!R:R,"Revisar"),"")</f>
        <v/>
      </c>
      <c r="Z27" s="179" t="str">
        <f t="array" ref="Z27">IF($F27&lt;&gt;"", XLOOKUP($F27,Productos!$A$2:$A1001,Productos!S$2:S1001,"")*$G27,"")</f>
        <v/>
      </c>
      <c r="AA27" s="179" t="str">
        <f t="array" ref="AA27">IF($F27&lt;&gt;"",XLOOKUP($F27,Productos!$A:$A,Productos!T:T,"Revisar"),"")</f>
        <v/>
      </c>
      <c r="AB27" s="179" t="str">
        <f t="array" ref="AB27">IF($F27&lt;&gt;"", XLOOKUP($F27,Productos!$A$2:$A1001,Productos!U$2:U1001,"")*$G27,"")</f>
        <v/>
      </c>
      <c r="AC27" s="179" t="str">
        <f t="array" ref="AC27">IF($F27&lt;&gt;"",XLOOKUP($F27,Productos!$A:$A,Productos!V:V,"Revisar"),"")</f>
        <v/>
      </c>
      <c r="AD27" s="179" t="str">
        <f t="array" ref="AD27">IF($F27&lt;&gt;"", XLOOKUP($F27,Productos!$A$2:$A1001,Productos!W$2:W1001,"")*$G27,"")</f>
        <v/>
      </c>
      <c r="AE27" s="179" t="str">
        <f t="array" ref="AE27">IF($F27&lt;&gt;"",XLOOKUP($F27,Productos!$A:$A,Productos!X:X,"Revisar"),"")</f>
        <v/>
      </c>
      <c r="AF27" s="179" t="str">
        <f t="array" ref="AF27">IF($F27&lt;&gt;"", XLOOKUP($F27,Productos!$A$2:$A1001,Productos!Y$2:Y1001,"")*$G27,"")</f>
        <v/>
      </c>
      <c r="AG27" s="179" t="str">
        <f t="array" ref="AG27">IF($F27&lt;&gt;"",XLOOKUP($F27,Productos!$A:$A,Productos!Z:Z,"Revisar"),"")</f>
        <v/>
      </c>
      <c r="AH27" s="179" t="str">
        <f t="array" ref="AH27">IF($F27&lt;&gt;"", XLOOKUP($F27,Productos!$A$2:$A1001,Productos!AA$2:AA1001,"")*$G27,"")</f>
        <v/>
      </c>
      <c r="AI27" s="179" t="str">
        <f t="array" ref="AI27">IF($F27&lt;&gt;"",XLOOKUP($F27,Productos!$A:$A,Productos!AB:AB,"Revisar"),"")</f>
        <v/>
      </c>
      <c r="AJ27" s="179" t="str">
        <f t="array" ref="AJ27">IF($F27&lt;&gt;"", XLOOKUP($F27,Productos!$A$2:$A1001,Productos!AC$2:AC1001,"")*$G27,"")</f>
        <v/>
      </c>
      <c r="AK27" s="179" t="str">
        <f t="array" ref="AK27">IF($F27&lt;&gt;"",XLOOKUP($F27,Productos!$A:$A,Productos!AD:AD,"Revisar"),"")</f>
        <v/>
      </c>
      <c r="AL27" s="179" t="str">
        <f t="array" ref="AL27">IF($F27&lt;&gt;"", XLOOKUP($F27,Productos!$A$2:$A1001,Productos!AE$2:AE1001,"")*$G27,"")</f>
        <v/>
      </c>
      <c r="AM27" s="179" t="str">
        <f t="array" ref="AM27">IF($F27&lt;&gt;"",XLOOKUP($F27,Productos!$A:$A,Productos!AF:AF,"Revisar"),"")</f>
        <v/>
      </c>
      <c r="AN27" s="179" t="str">
        <f t="array" ref="AN27">IF($F27&lt;&gt;"", XLOOKUP($F27,Productos!$A$2:$A1001,Productos!AG$2:AG1001,"")*$G27,"")</f>
        <v/>
      </c>
      <c r="AO27" s="179" t="str">
        <f t="array" ref="AO27">IF($F27&lt;&gt;"",XLOOKUP($F27,Productos!$A:$A,Productos!AH:AH,"Revisar"),"")</f>
        <v/>
      </c>
      <c r="AP27" s="179" t="str">
        <f t="array" ref="AP27">IF($F27&lt;&gt;"", XLOOKUP($F27,Productos!$A$2:$A1001,Productos!AI$2:AI1001,"")*$G27,"")</f>
        <v/>
      </c>
      <c r="AQ27" s="179" t="str">
        <f t="array" ref="AQ27">IF($F27&lt;&gt;"",XLOOKUP($F27,Productos!$A:$A,Productos!AJ:AJ,"Revisar"),"")</f>
        <v/>
      </c>
      <c r="AR27" s="179" t="str">
        <f t="array" ref="AR27">IF($F27&lt;&gt;"", XLOOKUP($F27,Productos!$A$2:$A1001,Productos!AK$2:AK1001,"")*$G27,"")</f>
        <v/>
      </c>
      <c r="AS27" s="179" t="str">
        <f t="array" ref="AS27">IF($F27&lt;&gt;"",XLOOKUP($F27,Productos!$A:$A,Productos!AL:AL,"Revisar"),"")</f>
        <v/>
      </c>
      <c r="AT27" s="179" t="str">
        <f t="array" ref="AT27">IF($F27&lt;&gt;"", XLOOKUP($F27,Productos!$A$2:$A1001,Productos!AM$2:AM1001,"")*$G27,"")</f>
        <v/>
      </c>
      <c r="AU27" s="179" t="str">
        <f t="array" ref="AU27">IF($F27&lt;&gt;"",XLOOKUP($F27,Productos!$A:$A,Productos!AN:AN,"Revisar"),"")</f>
        <v/>
      </c>
      <c r="AV27" s="179" t="str">
        <f t="array" ref="AV27">IF($F27&lt;&gt;"", XLOOKUP($F27,Productos!$A$2:$A1001,Productos!AO$2:AO1001,"")*$G27,"")</f>
        <v/>
      </c>
      <c r="AW27" s="179" t="str">
        <f t="array" ref="AW27">IF($F27&lt;&gt;"",XLOOKUP($F27,Productos!$A:$A,Productos!AP:AP,"Revisar"),"")</f>
        <v/>
      </c>
      <c r="AX27" s="179" t="str">
        <f t="array" ref="AX27">IF($F27&lt;&gt;"", XLOOKUP($F27,Productos!$A$2:$A1001,Productos!AQ$2:AQ1001,"")*$G27,"")</f>
        <v/>
      </c>
      <c r="AY27" s="179" t="str">
        <f t="array" ref="AY27">IF($F27&lt;&gt;"",XLOOKUP($F27,Productos!$A:$A,Productos!AR:AR,"Revisar"),"")</f>
        <v/>
      </c>
      <c r="AZ27" s="179" t="str">
        <f t="array" ref="AZ27">IF($F27&lt;&gt;"", XLOOKUP($F27,Productos!$A$2:$A1001,Productos!AS$2:AS1001,"")*$G27,"")</f>
        <v/>
      </c>
      <c r="BA27" s="179" t="str">
        <f t="array" ref="BA27">IF($F27&lt;&gt;"",XLOOKUP($F27,Productos!$A:$A,Productos!AT:AT,"Revisar"),"")</f>
        <v/>
      </c>
      <c r="BB27" s="179" t="str">
        <f t="array" ref="BB27">IF($F27&lt;&gt;"", XLOOKUP($F27,Productos!$A$2:$A1001,Productos!AU$2:AU1001,"")*$G27,"")</f>
        <v/>
      </c>
      <c r="BC27" s="179" t="str">
        <f t="array" ref="BC27">IF($F27&lt;&gt;"",XLOOKUP($F27,Productos!$A:$A,Productos!AV:AV,"Revisar"),"")</f>
        <v/>
      </c>
      <c r="BD27" s="179" t="str">
        <f t="array" ref="BD27">IF($F27&lt;&gt;"", XLOOKUP($F27,Productos!$A$2:$A1001,Productos!AW$2:AW1001,"")*$G27,"")</f>
        <v/>
      </c>
      <c r="BE27" s="179" t="str">
        <f t="array" ref="BE27">IF($F27&lt;&gt;"",XLOOKUP($F27,Productos!$A:$A,Productos!AX:AX,"Revisar"),"")</f>
        <v/>
      </c>
      <c r="BF27" s="179" t="str">
        <f t="array" ref="BF27">IF($F27&lt;&gt;"", XLOOKUP($F27,Productos!$A$2:$A1001,Productos!AY$2:AY1001,"")*$G27,"")</f>
        <v/>
      </c>
      <c r="BG27" s="179" t="str">
        <f t="array" ref="BG27">IF($F27&lt;&gt;"",XLOOKUP($F27,Productos!$A:$A,Productos!AZ:AZ,"Revisar"),"")</f>
        <v/>
      </c>
      <c r="BH27" s="179" t="str">
        <f t="array" ref="BH27">IF($F27&lt;&gt;"", XLOOKUP($F27,Productos!$A$2:$A1001,Productos!BA$2:BA1001,"")*$G27,"")</f>
        <v/>
      </c>
      <c r="BI27" s="179" t="str">
        <f t="array" ref="BI27">IF($F27&lt;&gt;"",XLOOKUP($F27,Productos!$A:$A,Productos!BB:BB,"Revisar"),"")</f>
        <v/>
      </c>
      <c r="BJ27" s="179" t="str">
        <f t="array" ref="BJ27">IF($F27&lt;&gt;"", XLOOKUP($F27,Productos!$A$2:$A1001,Productos!BC$2:BC1001,"")*$G27,"")</f>
        <v/>
      </c>
      <c r="BK27" s="179" t="str">
        <f t="array" ref="BK27">IF($F27&lt;&gt;"",XLOOKUP($F27,Productos!$A:$A,Productos!BD:BD,"Revisar"),"")</f>
        <v/>
      </c>
      <c r="BL27" s="179" t="str">
        <f t="array" ref="BL27">IF($F27&lt;&gt;"", XLOOKUP($F27,Productos!$A$2:$A1001,Productos!BE$2:BE1001,"")*$G27,"")</f>
        <v/>
      </c>
      <c r="BM27" s="179" t="str">
        <f t="array" ref="BM27">IF($F27&lt;&gt;"",XLOOKUP($F27,Productos!$A:$A,Productos!BF:BF,"Revisar"),"")</f>
        <v/>
      </c>
      <c r="BN27" s="179" t="str">
        <f t="array" ref="BN27">IF($F27&lt;&gt;"", XLOOKUP($F27,Productos!$A$2:$A1001,Productos!BG$2:BG1001,"")*$G27,"")</f>
        <v/>
      </c>
      <c r="BO27" s="179" t="str">
        <f t="array" ref="BO27">IF($F27&lt;&gt;"",XLOOKUP($F27,Productos!$A:$A,Productos!BH:BH,"Revisar"),"")</f>
        <v/>
      </c>
      <c r="BP27" s="179" t="str">
        <f t="array" ref="BP27">IF($F27&lt;&gt;"", XLOOKUP($F27,Productos!$A$2:$A1001,Productos!BI$2:BI1001,"")*$G27,"")</f>
        <v/>
      </c>
      <c r="BQ27" s="179" t="str">
        <f t="array" ref="BQ27">IF($F27&lt;&gt;"",XLOOKUP($F27,Productos!$A:$A,Productos!BJ:BJ,"Revisar"),"")</f>
        <v/>
      </c>
      <c r="BR27" s="179" t="str">
        <f t="array" ref="BR27">IF($F27&lt;&gt;"", XLOOKUP($F27,Productos!$A$2:$A1001,Productos!BK$2:BK1001,"")*$G27,"")</f>
        <v/>
      </c>
      <c r="BS27" s="179" t="str">
        <f t="array" ref="BS27">IF($F27&lt;&gt;"",XLOOKUP($F27,Productos!$A:$A,Productos!BL:BL,"Revisar"),"")</f>
        <v/>
      </c>
      <c r="BT27" s="179" t="str">
        <f t="array" ref="BT27">IF($F27&lt;&gt;"", XLOOKUP($F27,Productos!$A$2:$A1001,Productos!BM$2:BM1001,"")*$G27,"")</f>
        <v/>
      </c>
      <c r="BU27" s="179" t="str">
        <f t="array" ref="BU27">IF($F27&lt;&gt;"",XLOOKUP($F27,Productos!$A:$A,Productos!BN:BN,"Revisar"),"")</f>
        <v/>
      </c>
      <c r="BV27" s="179" t="str">
        <f t="array" ref="BV27">IF($F27&lt;&gt;"", XLOOKUP($F27,Productos!$A$2:$A1001,Productos!BO$2:BO1001,"")*$G27,"")</f>
        <v/>
      </c>
      <c r="BW27" s="179" t="str">
        <f t="array" ref="BW27">IF($F27&lt;&gt;"",XLOOKUP($F27,Productos!$A:$A,Productos!BP:BP,"Revisar"),"")</f>
        <v/>
      </c>
      <c r="BX27" s="179" t="str">
        <f t="array" ref="BX27">IF($F27&lt;&gt;"", XLOOKUP($F27,Productos!$A$2:$A1001,Productos!BQ$2:BQ1001,"")*$G27,"")</f>
        <v/>
      </c>
      <c r="BY27" s="179" t="str">
        <f t="array" ref="BY27">IF($F27&lt;&gt;"",XLOOKUP($F27,Productos!$A:$A,Productos!BR:BR,"Revisar"),"")</f>
        <v/>
      </c>
      <c r="BZ27" s="179" t="str">
        <f t="array" ref="BZ27">IF($F27&lt;&gt;"", XLOOKUP($F27,Productos!$A$2:$A1001,Productos!BS$2:BS1001,"")*$G27,"")</f>
        <v/>
      </c>
    </row>
    <row r="28">
      <c r="A28" s="180"/>
      <c r="B28" s="181"/>
      <c r="C28" s="182"/>
      <c r="D28" s="182"/>
      <c r="E28" s="185"/>
      <c r="F28" s="186"/>
      <c r="G28" s="187"/>
      <c r="H28" s="186"/>
      <c r="I28" s="179" t="str">
        <f t="array" ref="I28">IF($F28&lt;&gt;"",XLOOKUP($F28,Productos!$A:$A,Productos!B:B,"Revisar"),"")</f>
        <v/>
      </c>
      <c r="J28" s="179" t="str">
        <f t="array" ref="J28">IF($F28&lt;&gt;"", XLOOKUP($F28,Productos!$A$2:$A1001,Productos!C$2:C1001,"")*$G28,"")</f>
        <v/>
      </c>
      <c r="K28" s="179" t="str">
        <f t="array" ref="K28">IF($F28&lt;&gt;"",XLOOKUP($F28,Productos!$A:$A,Productos!D:D,"Revisar"),"")</f>
        <v/>
      </c>
      <c r="L28" s="179" t="str">
        <f t="array" ref="L28">IF($F28&lt;&gt;"", XLOOKUP($F28,Productos!$A$2:$A1001,Productos!E$2:E1001,"")*$G28,"")</f>
        <v/>
      </c>
      <c r="M28" s="179" t="str">
        <f t="array" ref="M28">IF($F28&lt;&gt;"",XLOOKUP($F28,Productos!$A:$A,Productos!F:F,"Revisar"),"")</f>
        <v/>
      </c>
      <c r="N28" s="179" t="str">
        <f t="array" ref="N28">IF($F28&lt;&gt;"", XLOOKUP($F28,Productos!$A$2:$A1001,Productos!G$2:G1001,"")*$G28,"")</f>
        <v/>
      </c>
      <c r="O28" s="179" t="str">
        <f t="array" ref="O28">IF($F28&lt;&gt;"",XLOOKUP($F28,Productos!$A:$A,Productos!H:H,"Revisar"),"")</f>
        <v/>
      </c>
      <c r="P28" s="179" t="str">
        <f t="array" ref="P28">IF($F28&lt;&gt;"", XLOOKUP($F28,Productos!$A$2:$A1001,Productos!I$2:I1001,"")*$G28,"")</f>
        <v/>
      </c>
      <c r="Q28" s="179" t="str">
        <f t="array" ref="Q28">IF($F28&lt;&gt;"",XLOOKUP($F28,Productos!$A:$A,Productos!J:J,"Revisar"),"")</f>
        <v/>
      </c>
      <c r="R28" s="179" t="str">
        <f t="array" ref="R28">IF($F28&lt;&gt;"", XLOOKUP($F28,Productos!$A$2:$A1001,Productos!K$2:K1001,"")*$G28,"")</f>
        <v/>
      </c>
      <c r="S28" s="179" t="str">
        <f t="array" ref="S28">IF($F28&lt;&gt;"",XLOOKUP($F28,Productos!$A:$A,Productos!L:L,"Revisar"),"")</f>
        <v/>
      </c>
      <c r="T28" s="179" t="str">
        <f t="array" ref="T28">IF($F28&lt;&gt;"", XLOOKUP($F28,Productos!$A$2:$A1001,Productos!M$2:M1001,"")*$G28,"")</f>
        <v/>
      </c>
      <c r="U28" s="179" t="str">
        <f t="array" ref="U28">IF($F28&lt;&gt;"",XLOOKUP($F28,Productos!$A:$A,Productos!N:N,"Revisar"),"")</f>
        <v/>
      </c>
      <c r="V28" s="179" t="str">
        <f t="array" ref="V28">IF($F28&lt;&gt;"", XLOOKUP($F28,Productos!$A$2:$A1001,Productos!O$2:O1001,"")*$G28,"")</f>
        <v/>
      </c>
      <c r="W28" s="179" t="str">
        <f t="array" ref="W28">IF($F28&lt;&gt;"",XLOOKUP($F28,Productos!$A:$A,Productos!P:P,"Revisar"),"")</f>
        <v/>
      </c>
      <c r="X28" s="179" t="str">
        <f t="array" ref="X28">IF($F28&lt;&gt;"", XLOOKUP($F28,Productos!$A$2:$A1001,Productos!Q$2:Q1001,"")*$G28,"")</f>
        <v/>
      </c>
      <c r="Y28" s="179" t="str">
        <f t="array" ref="Y28">IF($F28&lt;&gt;"",XLOOKUP($F28,Productos!$A:$A,Productos!R:R,"Revisar"),"")</f>
        <v/>
      </c>
      <c r="Z28" s="179" t="str">
        <f t="array" ref="Z28">IF($F28&lt;&gt;"", XLOOKUP($F28,Productos!$A$2:$A1001,Productos!S$2:S1001,"")*$G28,"")</f>
        <v/>
      </c>
      <c r="AA28" s="179" t="str">
        <f t="array" ref="AA28">IF($F28&lt;&gt;"",XLOOKUP($F28,Productos!$A:$A,Productos!T:T,"Revisar"),"")</f>
        <v/>
      </c>
      <c r="AB28" s="179" t="str">
        <f t="array" ref="AB28">IF($F28&lt;&gt;"", XLOOKUP($F28,Productos!$A$2:$A1001,Productos!U$2:U1001,"")*$G28,"")</f>
        <v/>
      </c>
      <c r="AC28" s="179" t="str">
        <f t="array" ref="AC28">IF($F28&lt;&gt;"",XLOOKUP($F28,Productos!$A:$A,Productos!V:V,"Revisar"),"")</f>
        <v/>
      </c>
      <c r="AD28" s="179" t="str">
        <f t="array" ref="AD28">IF($F28&lt;&gt;"", XLOOKUP($F28,Productos!$A$2:$A1001,Productos!W$2:W1001,"")*$G28,"")</f>
        <v/>
      </c>
      <c r="AE28" s="179" t="str">
        <f t="array" ref="AE28">IF($F28&lt;&gt;"",XLOOKUP($F28,Productos!$A:$A,Productos!X:X,"Revisar"),"")</f>
        <v/>
      </c>
      <c r="AF28" s="179" t="str">
        <f t="array" ref="AF28">IF($F28&lt;&gt;"", XLOOKUP($F28,Productos!$A$2:$A1001,Productos!Y$2:Y1001,"")*$G28,"")</f>
        <v/>
      </c>
      <c r="AG28" s="179" t="str">
        <f t="array" ref="AG28">IF($F28&lt;&gt;"",XLOOKUP($F28,Productos!$A:$A,Productos!Z:Z,"Revisar"),"")</f>
        <v/>
      </c>
      <c r="AH28" s="179" t="str">
        <f t="array" ref="AH28">IF($F28&lt;&gt;"", XLOOKUP($F28,Productos!$A$2:$A1001,Productos!AA$2:AA1001,"")*$G28,"")</f>
        <v/>
      </c>
      <c r="AI28" s="179" t="str">
        <f t="array" ref="AI28">IF($F28&lt;&gt;"",XLOOKUP($F28,Productos!$A:$A,Productos!AB:AB,"Revisar"),"")</f>
        <v/>
      </c>
      <c r="AJ28" s="179" t="str">
        <f t="array" ref="AJ28">IF($F28&lt;&gt;"", XLOOKUP($F28,Productos!$A$2:$A1001,Productos!AC$2:AC1001,"")*$G28,"")</f>
        <v/>
      </c>
      <c r="AK28" s="179" t="str">
        <f t="array" ref="AK28">IF($F28&lt;&gt;"",XLOOKUP($F28,Productos!$A:$A,Productos!AD:AD,"Revisar"),"")</f>
        <v/>
      </c>
      <c r="AL28" s="179" t="str">
        <f t="array" ref="AL28">IF($F28&lt;&gt;"", XLOOKUP($F28,Productos!$A$2:$A1001,Productos!AE$2:AE1001,"")*$G28,"")</f>
        <v/>
      </c>
      <c r="AM28" s="179" t="str">
        <f t="array" ref="AM28">IF($F28&lt;&gt;"",XLOOKUP($F28,Productos!$A:$A,Productos!AF:AF,"Revisar"),"")</f>
        <v/>
      </c>
      <c r="AN28" s="179" t="str">
        <f t="array" ref="AN28">IF($F28&lt;&gt;"", XLOOKUP($F28,Productos!$A$2:$A1001,Productos!AG$2:AG1001,"")*$G28,"")</f>
        <v/>
      </c>
      <c r="AO28" s="179" t="str">
        <f t="array" ref="AO28">IF($F28&lt;&gt;"",XLOOKUP($F28,Productos!$A:$A,Productos!AH:AH,"Revisar"),"")</f>
        <v/>
      </c>
      <c r="AP28" s="179" t="str">
        <f t="array" ref="AP28">IF($F28&lt;&gt;"", XLOOKUP($F28,Productos!$A$2:$A1001,Productos!AI$2:AI1001,"")*$G28,"")</f>
        <v/>
      </c>
      <c r="AQ28" s="179" t="str">
        <f t="array" ref="AQ28">IF($F28&lt;&gt;"",XLOOKUP($F28,Productos!$A:$A,Productos!AJ:AJ,"Revisar"),"")</f>
        <v/>
      </c>
      <c r="AR28" s="179" t="str">
        <f t="array" ref="AR28">IF($F28&lt;&gt;"", XLOOKUP($F28,Productos!$A$2:$A1001,Productos!AK$2:AK1001,"")*$G28,"")</f>
        <v/>
      </c>
      <c r="AS28" s="179" t="str">
        <f t="array" ref="AS28">IF($F28&lt;&gt;"",XLOOKUP($F28,Productos!$A:$A,Productos!AL:AL,"Revisar"),"")</f>
        <v/>
      </c>
      <c r="AT28" s="179" t="str">
        <f t="array" ref="AT28">IF($F28&lt;&gt;"", XLOOKUP($F28,Productos!$A$2:$A1001,Productos!AM$2:AM1001,"")*$G28,"")</f>
        <v/>
      </c>
      <c r="AU28" s="179" t="str">
        <f t="array" ref="AU28">IF($F28&lt;&gt;"",XLOOKUP($F28,Productos!$A:$A,Productos!AN:AN,"Revisar"),"")</f>
        <v/>
      </c>
      <c r="AV28" s="179" t="str">
        <f t="array" ref="AV28">IF($F28&lt;&gt;"", XLOOKUP($F28,Productos!$A$2:$A1001,Productos!AO$2:AO1001,"")*$G28,"")</f>
        <v/>
      </c>
      <c r="AW28" s="179" t="str">
        <f t="array" ref="AW28">IF($F28&lt;&gt;"",XLOOKUP($F28,Productos!$A:$A,Productos!AP:AP,"Revisar"),"")</f>
        <v/>
      </c>
      <c r="AX28" s="179" t="str">
        <f t="array" ref="AX28">IF($F28&lt;&gt;"", XLOOKUP($F28,Productos!$A$2:$A1001,Productos!AQ$2:AQ1001,"")*$G28,"")</f>
        <v/>
      </c>
      <c r="AY28" s="179" t="str">
        <f t="array" ref="AY28">IF($F28&lt;&gt;"",XLOOKUP($F28,Productos!$A:$A,Productos!AR:AR,"Revisar"),"")</f>
        <v/>
      </c>
      <c r="AZ28" s="179" t="str">
        <f t="array" ref="AZ28">IF($F28&lt;&gt;"", XLOOKUP($F28,Productos!$A$2:$A1001,Productos!AS$2:AS1001,"")*$G28,"")</f>
        <v/>
      </c>
      <c r="BA28" s="179" t="str">
        <f t="array" ref="BA28">IF($F28&lt;&gt;"",XLOOKUP($F28,Productos!$A:$A,Productos!AT:AT,"Revisar"),"")</f>
        <v/>
      </c>
      <c r="BB28" s="179" t="str">
        <f t="array" ref="BB28">IF($F28&lt;&gt;"", XLOOKUP($F28,Productos!$A$2:$A1001,Productos!AU$2:AU1001,"")*$G28,"")</f>
        <v/>
      </c>
      <c r="BC28" s="179" t="str">
        <f t="array" ref="BC28">IF($F28&lt;&gt;"",XLOOKUP($F28,Productos!$A:$A,Productos!AV:AV,"Revisar"),"")</f>
        <v/>
      </c>
      <c r="BD28" s="179" t="str">
        <f t="array" ref="BD28">IF($F28&lt;&gt;"", XLOOKUP($F28,Productos!$A$2:$A1001,Productos!AW$2:AW1001,"")*$G28,"")</f>
        <v/>
      </c>
      <c r="BE28" s="179" t="str">
        <f t="array" ref="BE28">IF($F28&lt;&gt;"",XLOOKUP($F28,Productos!$A:$A,Productos!AX:AX,"Revisar"),"")</f>
        <v/>
      </c>
      <c r="BF28" s="179" t="str">
        <f t="array" ref="BF28">IF($F28&lt;&gt;"", XLOOKUP($F28,Productos!$A$2:$A1001,Productos!AY$2:AY1001,"")*$G28,"")</f>
        <v/>
      </c>
      <c r="BG28" s="179" t="str">
        <f t="array" ref="BG28">IF($F28&lt;&gt;"",XLOOKUP($F28,Productos!$A:$A,Productos!AZ:AZ,"Revisar"),"")</f>
        <v/>
      </c>
      <c r="BH28" s="179" t="str">
        <f t="array" ref="BH28">IF($F28&lt;&gt;"", XLOOKUP($F28,Productos!$A$2:$A1001,Productos!BA$2:BA1001,"")*$G28,"")</f>
        <v/>
      </c>
      <c r="BI28" s="179" t="str">
        <f t="array" ref="BI28">IF($F28&lt;&gt;"",XLOOKUP($F28,Productos!$A:$A,Productos!BB:BB,"Revisar"),"")</f>
        <v/>
      </c>
      <c r="BJ28" s="179" t="str">
        <f t="array" ref="BJ28">IF($F28&lt;&gt;"", XLOOKUP($F28,Productos!$A$2:$A1001,Productos!BC$2:BC1001,"")*$G28,"")</f>
        <v/>
      </c>
      <c r="BK28" s="179" t="str">
        <f t="array" ref="BK28">IF($F28&lt;&gt;"",XLOOKUP($F28,Productos!$A:$A,Productos!BD:BD,"Revisar"),"")</f>
        <v/>
      </c>
      <c r="BL28" s="179" t="str">
        <f t="array" ref="BL28">IF($F28&lt;&gt;"", XLOOKUP($F28,Productos!$A$2:$A1001,Productos!BE$2:BE1001,"")*$G28,"")</f>
        <v/>
      </c>
      <c r="BM28" s="179" t="str">
        <f t="array" ref="BM28">IF($F28&lt;&gt;"",XLOOKUP($F28,Productos!$A:$A,Productos!BF:BF,"Revisar"),"")</f>
        <v/>
      </c>
      <c r="BN28" s="179" t="str">
        <f t="array" ref="BN28">IF($F28&lt;&gt;"", XLOOKUP($F28,Productos!$A$2:$A1001,Productos!BG$2:BG1001,"")*$G28,"")</f>
        <v/>
      </c>
      <c r="BO28" s="179" t="str">
        <f t="array" ref="BO28">IF($F28&lt;&gt;"",XLOOKUP($F28,Productos!$A:$A,Productos!BH:BH,"Revisar"),"")</f>
        <v/>
      </c>
      <c r="BP28" s="179" t="str">
        <f t="array" ref="BP28">IF($F28&lt;&gt;"", XLOOKUP($F28,Productos!$A$2:$A1001,Productos!BI$2:BI1001,"")*$G28,"")</f>
        <v/>
      </c>
      <c r="BQ28" s="179" t="str">
        <f t="array" ref="BQ28">IF($F28&lt;&gt;"",XLOOKUP($F28,Productos!$A:$A,Productos!BJ:BJ,"Revisar"),"")</f>
        <v/>
      </c>
      <c r="BR28" s="179" t="str">
        <f t="array" ref="BR28">IF($F28&lt;&gt;"", XLOOKUP($F28,Productos!$A$2:$A1001,Productos!BK$2:BK1001,"")*$G28,"")</f>
        <v/>
      </c>
      <c r="BS28" s="179" t="str">
        <f t="array" ref="BS28">IF($F28&lt;&gt;"",XLOOKUP($F28,Productos!$A:$A,Productos!BL:BL,"Revisar"),"")</f>
        <v/>
      </c>
      <c r="BT28" s="179" t="str">
        <f t="array" ref="BT28">IF($F28&lt;&gt;"", XLOOKUP($F28,Productos!$A$2:$A1001,Productos!BM$2:BM1001,"")*$G28,"")</f>
        <v/>
      </c>
      <c r="BU28" s="179" t="str">
        <f t="array" ref="BU28">IF($F28&lt;&gt;"",XLOOKUP($F28,Productos!$A:$A,Productos!BN:BN,"Revisar"),"")</f>
        <v/>
      </c>
      <c r="BV28" s="179" t="str">
        <f t="array" ref="BV28">IF($F28&lt;&gt;"", XLOOKUP($F28,Productos!$A$2:$A1001,Productos!BO$2:BO1001,"")*$G28,"")</f>
        <v/>
      </c>
      <c r="BW28" s="179" t="str">
        <f t="array" ref="BW28">IF($F28&lt;&gt;"",XLOOKUP($F28,Productos!$A:$A,Productos!BP:BP,"Revisar"),"")</f>
        <v/>
      </c>
      <c r="BX28" s="179" t="str">
        <f t="array" ref="BX28">IF($F28&lt;&gt;"", XLOOKUP($F28,Productos!$A$2:$A1001,Productos!BQ$2:BQ1001,"")*$G28,"")</f>
        <v/>
      </c>
      <c r="BY28" s="179" t="str">
        <f t="array" ref="BY28">IF($F28&lt;&gt;"",XLOOKUP($F28,Productos!$A:$A,Productos!BR:BR,"Revisar"),"")</f>
        <v/>
      </c>
      <c r="BZ28" s="179" t="str">
        <f t="array" ref="BZ28">IF($F28&lt;&gt;"", XLOOKUP($F28,Productos!$A$2:$A1001,Productos!BS$2:BS1001,"")*$G28,"")</f>
        <v/>
      </c>
    </row>
    <row r="29">
      <c r="A29" s="180"/>
      <c r="B29" s="181"/>
      <c r="C29" s="182"/>
      <c r="D29" s="182"/>
      <c r="E29" s="185"/>
      <c r="F29" s="186"/>
      <c r="G29" s="187"/>
      <c r="H29" s="186"/>
      <c r="I29" s="179" t="str">
        <f t="array" ref="I29">IF($F29&lt;&gt;"",XLOOKUP($F29,Productos!$A:$A,Productos!B:B,"Revisar"),"")</f>
        <v/>
      </c>
      <c r="J29" s="179" t="str">
        <f t="array" ref="J29">IF($F29&lt;&gt;"", XLOOKUP($F29,Productos!$A$2:$A1001,Productos!C$2:C1001,"")*$G29,"")</f>
        <v/>
      </c>
      <c r="K29" s="179" t="str">
        <f t="array" ref="K29">IF($F29&lt;&gt;"",XLOOKUP($F29,Productos!$A:$A,Productos!D:D,"Revisar"),"")</f>
        <v/>
      </c>
      <c r="L29" s="179" t="str">
        <f t="array" ref="L29">IF($F29&lt;&gt;"", XLOOKUP($F29,Productos!$A$2:$A1001,Productos!E$2:E1001,"")*$G29,"")</f>
        <v/>
      </c>
      <c r="M29" s="179" t="str">
        <f t="array" ref="M29">IF($F29&lt;&gt;"",XLOOKUP($F29,Productos!$A:$A,Productos!F:F,"Revisar"),"")</f>
        <v/>
      </c>
      <c r="N29" s="179" t="str">
        <f t="array" ref="N29">IF($F29&lt;&gt;"", XLOOKUP($F29,Productos!$A$2:$A1001,Productos!G$2:G1001,"")*$G29,"")</f>
        <v/>
      </c>
      <c r="O29" s="179" t="str">
        <f t="array" ref="O29">IF($F29&lt;&gt;"",XLOOKUP($F29,Productos!$A:$A,Productos!H:H,"Revisar"),"")</f>
        <v/>
      </c>
      <c r="P29" s="179" t="str">
        <f t="array" ref="P29">IF($F29&lt;&gt;"", XLOOKUP($F29,Productos!$A$2:$A1001,Productos!I$2:I1001,"")*$G29,"")</f>
        <v/>
      </c>
      <c r="Q29" s="179" t="str">
        <f t="array" ref="Q29">IF($F29&lt;&gt;"",XLOOKUP($F29,Productos!$A:$A,Productos!J:J,"Revisar"),"")</f>
        <v/>
      </c>
      <c r="R29" s="179" t="str">
        <f t="array" ref="R29">IF($F29&lt;&gt;"", XLOOKUP($F29,Productos!$A$2:$A1001,Productos!K$2:K1001,"")*$G29,"")</f>
        <v/>
      </c>
      <c r="S29" s="179" t="str">
        <f t="array" ref="S29">IF($F29&lt;&gt;"",XLOOKUP($F29,Productos!$A:$A,Productos!L:L,"Revisar"),"")</f>
        <v/>
      </c>
      <c r="T29" s="179" t="str">
        <f t="array" ref="T29">IF($F29&lt;&gt;"", XLOOKUP($F29,Productos!$A$2:$A1001,Productos!M$2:M1001,"")*$G29,"")</f>
        <v/>
      </c>
      <c r="U29" s="179" t="str">
        <f t="array" ref="U29">IF($F29&lt;&gt;"",XLOOKUP($F29,Productos!$A:$A,Productos!N:N,"Revisar"),"")</f>
        <v/>
      </c>
      <c r="V29" s="179" t="str">
        <f t="array" ref="V29">IF($F29&lt;&gt;"", XLOOKUP($F29,Productos!$A$2:$A1001,Productos!O$2:O1001,"")*$G29,"")</f>
        <v/>
      </c>
      <c r="W29" s="179" t="str">
        <f t="array" ref="W29">IF($F29&lt;&gt;"",XLOOKUP($F29,Productos!$A:$A,Productos!P:P,"Revisar"),"")</f>
        <v/>
      </c>
      <c r="X29" s="179" t="str">
        <f t="array" ref="X29">IF($F29&lt;&gt;"", XLOOKUP($F29,Productos!$A$2:$A1001,Productos!Q$2:Q1001,"")*$G29,"")</f>
        <v/>
      </c>
      <c r="Y29" s="179" t="str">
        <f t="array" ref="Y29">IF($F29&lt;&gt;"",XLOOKUP($F29,Productos!$A:$A,Productos!R:R,"Revisar"),"")</f>
        <v/>
      </c>
      <c r="Z29" s="179" t="str">
        <f t="array" ref="Z29">IF($F29&lt;&gt;"", XLOOKUP($F29,Productos!$A$2:$A1001,Productos!S$2:S1001,"")*$G29,"")</f>
        <v/>
      </c>
      <c r="AA29" s="179" t="str">
        <f t="array" ref="AA29">IF($F29&lt;&gt;"",XLOOKUP($F29,Productos!$A:$A,Productos!T:T,"Revisar"),"")</f>
        <v/>
      </c>
      <c r="AB29" s="179" t="str">
        <f t="array" ref="AB29">IF($F29&lt;&gt;"", XLOOKUP($F29,Productos!$A$2:$A1001,Productos!U$2:U1001,"")*$G29,"")</f>
        <v/>
      </c>
      <c r="AC29" s="179" t="str">
        <f t="array" ref="AC29">IF($F29&lt;&gt;"",XLOOKUP($F29,Productos!$A:$A,Productos!V:V,"Revisar"),"")</f>
        <v/>
      </c>
      <c r="AD29" s="179" t="str">
        <f t="array" ref="AD29">IF($F29&lt;&gt;"", XLOOKUP($F29,Productos!$A$2:$A1001,Productos!W$2:W1001,"")*$G29,"")</f>
        <v/>
      </c>
      <c r="AE29" s="179" t="str">
        <f t="array" ref="AE29">IF($F29&lt;&gt;"",XLOOKUP($F29,Productos!$A:$A,Productos!X:X,"Revisar"),"")</f>
        <v/>
      </c>
      <c r="AF29" s="179" t="str">
        <f t="array" ref="AF29">IF($F29&lt;&gt;"", XLOOKUP($F29,Productos!$A$2:$A1001,Productos!Y$2:Y1001,"")*$G29,"")</f>
        <v/>
      </c>
      <c r="AG29" s="179" t="str">
        <f t="array" ref="AG29">IF($F29&lt;&gt;"",XLOOKUP($F29,Productos!$A:$A,Productos!Z:Z,"Revisar"),"")</f>
        <v/>
      </c>
      <c r="AH29" s="179" t="str">
        <f t="array" ref="AH29">IF($F29&lt;&gt;"", XLOOKUP($F29,Productos!$A$2:$A1001,Productos!AA$2:AA1001,"")*$G29,"")</f>
        <v/>
      </c>
      <c r="AI29" s="179" t="str">
        <f t="array" ref="AI29">IF($F29&lt;&gt;"",XLOOKUP($F29,Productos!$A:$A,Productos!AB:AB,"Revisar"),"")</f>
        <v/>
      </c>
      <c r="AJ29" s="179" t="str">
        <f t="array" ref="AJ29">IF($F29&lt;&gt;"", XLOOKUP($F29,Productos!$A$2:$A1001,Productos!AC$2:AC1001,"")*$G29,"")</f>
        <v/>
      </c>
      <c r="AK29" s="179" t="str">
        <f t="array" ref="AK29">IF($F29&lt;&gt;"",XLOOKUP($F29,Productos!$A:$A,Productos!AD:AD,"Revisar"),"")</f>
        <v/>
      </c>
      <c r="AL29" s="179" t="str">
        <f t="array" ref="AL29">IF($F29&lt;&gt;"", XLOOKUP($F29,Productos!$A$2:$A1001,Productos!AE$2:AE1001,"")*$G29,"")</f>
        <v/>
      </c>
      <c r="AM29" s="179" t="str">
        <f t="array" ref="AM29">IF($F29&lt;&gt;"",XLOOKUP($F29,Productos!$A:$A,Productos!AF:AF,"Revisar"),"")</f>
        <v/>
      </c>
      <c r="AN29" s="179" t="str">
        <f t="array" ref="AN29">IF($F29&lt;&gt;"", XLOOKUP($F29,Productos!$A$2:$A1001,Productos!AG$2:AG1001,"")*$G29,"")</f>
        <v/>
      </c>
      <c r="AO29" s="179" t="str">
        <f t="array" ref="AO29">IF($F29&lt;&gt;"",XLOOKUP($F29,Productos!$A:$A,Productos!AH:AH,"Revisar"),"")</f>
        <v/>
      </c>
      <c r="AP29" s="179" t="str">
        <f t="array" ref="AP29">IF($F29&lt;&gt;"", XLOOKUP($F29,Productos!$A$2:$A1001,Productos!AI$2:AI1001,"")*$G29,"")</f>
        <v/>
      </c>
      <c r="AQ29" s="179" t="str">
        <f t="array" ref="AQ29">IF($F29&lt;&gt;"",XLOOKUP($F29,Productos!$A:$A,Productos!AJ:AJ,"Revisar"),"")</f>
        <v/>
      </c>
      <c r="AR29" s="179" t="str">
        <f t="array" ref="AR29">IF($F29&lt;&gt;"", XLOOKUP($F29,Productos!$A$2:$A1001,Productos!AK$2:AK1001,"")*$G29,"")</f>
        <v/>
      </c>
      <c r="AS29" s="179" t="str">
        <f t="array" ref="AS29">IF($F29&lt;&gt;"",XLOOKUP($F29,Productos!$A:$A,Productos!AL:AL,"Revisar"),"")</f>
        <v/>
      </c>
      <c r="AT29" s="179" t="str">
        <f t="array" ref="AT29">IF($F29&lt;&gt;"", XLOOKUP($F29,Productos!$A$2:$A1001,Productos!AM$2:AM1001,"")*$G29,"")</f>
        <v/>
      </c>
      <c r="AU29" s="179" t="str">
        <f t="array" ref="AU29">IF($F29&lt;&gt;"",XLOOKUP($F29,Productos!$A:$A,Productos!AN:AN,"Revisar"),"")</f>
        <v/>
      </c>
      <c r="AV29" s="179" t="str">
        <f t="array" ref="AV29">IF($F29&lt;&gt;"", XLOOKUP($F29,Productos!$A$2:$A1001,Productos!AO$2:AO1001,"")*$G29,"")</f>
        <v/>
      </c>
      <c r="AW29" s="179" t="str">
        <f t="array" ref="AW29">IF($F29&lt;&gt;"",XLOOKUP($F29,Productos!$A:$A,Productos!AP:AP,"Revisar"),"")</f>
        <v/>
      </c>
      <c r="AX29" s="179" t="str">
        <f t="array" ref="AX29">IF($F29&lt;&gt;"", XLOOKUP($F29,Productos!$A$2:$A1001,Productos!AQ$2:AQ1001,"")*$G29,"")</f>
        <v/>
      </c>
      <c r="AY29" s="179" t="str">
        <f t="array" ref="AY29">IF($F29&lt;&gt;"",XLOOKUP($F29,Productos!$A:$A,Productos!AR:AR,"Revisar"),"")</f>
        <v/>
      </c>
      <c r="AZ29" s="179" t="str">
        <f t="array" ref="AZ29">IF($F29&lt;&gt;"", XLOOKUP($F29,Productos!$A$2:$A1001,Productos!AS$2:AS1001,"")*$G29,"")</f>
        <v/>
      </c>
      <c r="BA29" s="179" t="str">
        <f t="array" ref="BA29">IF($F29&lt;&gt;"",XLOOKUP($F29,Productos!$A:$A,Productos!AT:AT,"Revisar"),"")</f>
        <v/>
      </c>
      <c r="BB29" s="179" t="str">
        <f t="array" ref="BB29">IF($F29&lt;&gt;"", XLOOKUP($F29,Productos!$A$2:$A1001,Productos!AU$2:AU1001,"")*$G29,"")</f>
        <v/>
      </c>
      <c r="BC29" s="179" t="str">
        <f t="array" ref="BC29">IF($F29&lt;&gt;"",XLOOKUP($F29,Productos!$A:$A,Productos!AV:AV,"Revisar"),"")</f>
        <v/>
      </c>
      <c r="BD29" s="179" t="str">
        <f t="array" ref="BD29">IF($F29&lt;&gt;"", XLOOKUP($F29,Productos!$A$2:$A1001,Productos!AW$2:AW1001,"")*$G29,"")</f>
        <v/>
      </c>
      <c r="BE29" s="179" t="str">
        <f t="array" ref="BE29">IF($F29&lt;&gt;"",XLOOKUP($F29,Productos!$A:$A,Productos!AX:AX,"Revisar"),"")</f>
        <v/>
      </c>
      <c r="BF29" s="179" t="str">
        <f t="array" ref="BF29">IF($F29&lt;&gt;"", XLOOKUP($F29,Productos!$A$2:$A1001,Productos!AY$2:AY1001,"")*$G29,"")</f>
        <v/>
      </c>
      <c r="BG29" s="179" t="str">
        <f t="array" ref="BG29">IF($F29&lt;&gt;"",XLOOKUP($F29,Productos!$A:$A,Productos!AZ:AZ,"Revisar"),"")</f>
        <v/>
      </c>
      <c r="BH29" s="179" t="str">
        <f t="array" ref="BH29">IF($F29&lt;&gt;"", XLOOKUP($F29,Productos!$A$2:$A1001,Productos!BA$2:BA1001,"")*$G29,"")</f>
        <v/>
      </c>
      <c r="BI29" s="179" t="str">
        <f t="array" ref="BI29">IF($F29&lt;&gt;"",XLOOKUP($F29,Productos!$A:$A,Productos!BB:BB,"Revisar"),"")</f>
        <v/>
      </c>
      <c r="BJ29" s="179" t="str">
        <f t="array" ref="BJ29">IF($F29&lt;&gt;"", XLOOKUP($F29,Productos!$A$2:$A1001,Productos!BC$2:BC1001,"")*$G29,"")</f>
        <v/>
      </c>
      <c r="BK29" s="179" t="str">
        <f t="array" ref="BK29">IF($F29&lt;&gt;"",XLOOKUP($F29,Productos!$A:$A,Productos!BD:BD,"Revisar"),"")</f>
        <v/>
      </c>
      <c r="BL29" s="179" t="str">
        <f t="array" ref="BL29">IF($F29&lt;&gt;"", XLOOKUP($F29,Productos!$A$2:$A1001,Productos!BE$2:BE1001,"")*$G29,"")</f>
        <v/>
      </c>
      <c r="BM29" s="179" t="str">
        <f t="array" ref="BM29">IF($F29&lt;&gt;"",XLOOKUP($F29,Productos!$A:$A,Productos!BF:BF,"Revisar"),"")</f>
        <v/>
      </c>
      <c r="BN29" s="179" t="str">
        <f t="array" ref="BN29">IF($F29&lt;&gt;"", XLOOKUP($F29,Productos!$A$2:$A1001,Productos!BG$2:BG1001,"")*$G29,"")</f>
        <v/>
      </c>
      <c r="BO29" s="179" t="str">
        <f t="array" ref="BO29">IF($F29&lt;&gt;"",XLOOKUP($F29,Productos!$A:$A,Productos!BH:BH,"Revisar"),"")</f>
        <v/>
      </c>
      <c r="BP29" s="179" t="str">
        <f t="array" ref="BP29">IF($F29&lt;&gt;"", XLOOKUP($F29,Productos!$A$2:$A1001,Productos!BI$2:BI1001,"")*$G29,"")</f>
        <v/>
      </c>
      <c r="BQ29" s="179" t="str">
        <f t="array" ref="BQ29">IF($F29&lt;&gt;"",XLOOKUP($F29,Productos!$A:$A,Productos!BJ:BJ,"Revisar"),"")</f>
        <v/>
      </c>
      <c r="BR29" s="179" t="str">
        <f t="array" ref="BR29">IF($F29&lt;&gt;"", XLOOKUP($F29,Productos!$A$2:$A1001,Productos!BK$2:BK1001,"")*$G29,"")</f>
        <v/>
      </c>
      <c r="BS29" s="179" t="str">
        <f t="array" ref="BS29">IF($F29&lt;&gt;"",XLOOKUP($F29,Productos!$A:$A,Productos!BL:BL,"Revisar"),"")</f>
        <v/>
      </c>
      <c r="BT29" s="179" t="str">
        <f t="array" ref="BT29">IF($F29&lt;&gt;"", XLOOKUP($F29,Productos!$A$2:$A1001,Productos!BM$2:BM1001,"")*$G29,"")</f>
        <v/>
      </c>
      <c r="BU29" s="179" t="str">
        <f t="array" ref="BU29">IF($F29&lt;&gt;"",XLOOKUP($F29,Productos!$A:$A,Productos!BN:BN,"Revisar"),"")</f>
        <v/>
      </c>
      <c r="BV29" s="179" t="str">
        <f t="array" ref="BV29">IF($F29&lt;&gt;"", XLOOKUP($F29,Productos!$A$2:$A1001,Productos!BO$2:BO1001,"")*$G29,"")</f>
        <v/>
      </c>
      <c r="BW29" s="179" t="str">
        <f t="array" ref="BW29">IF($F29&lt;&gt;"",XLOOKUP($F29,Productos!$A:$A,Productos!BP:BP,"Revisar"),"")</f>
        <v/>
      </c>
      <c r="BX29" s="179" t="str">
        <f t="array" ref="BX29">IF($F29&lt;&gt;"", XLOOKUP($F29,Productos!$A$2:$A1001,Productos!BQ$2:BQ1001,"")*$G29,"")</f>
        <v/>
      </c>
      <c r="BY29" s="179" t="str">
        <f t="array" ref="BY29">IF($F29&lt;&gt;"",XLOOKUP($F29,Productos!$A:$A,Productos!BR:BR,"Revisar"),"")</f>
        <v/>
      </c>
      <c r="BZ29" s="179" t="str">
        <f t="array" ref="BZ29">IF($F29&lt;&gt;"", XLOOKUP($F29,Productos!$A$2:$A1001,Productos!BS$2:BS1001,"")*$G29,"")</f>
        <v/>
      </c>
    </row>
    <row r="30">
      <c r="A30" s="180"/>
      <c r="B30" s="181"/>
      <c r="C30" s="182"/>
      <c r="D30" s="182"/>
      <c r="E30" s="185"/>
      <c r="F30" s="186"/>
      <c r="G30" s="187"/>
      <c r="H30" s="186"/>
      <c r="I30" s="179" t="str">
        <f t="array" ref="I30">IF($F30&lt;&gt;"",XLOOKUP($F30,Productos!$A:$A,Productos!B:B,"Revisar"),"")</f>
        <v/>
      </c>
      <c r="J30" s="179" t="str">
        <f t="array" ref="J30">IF($F30&lt;&gt;"", XLOOKUP($F30,Productos!$A$2:$A1001,Productos!C$2:C1001,"")*$G30,"")</f>
        <v/>
      </c>
      <c r="K30" s="179" t="str">
        <f t="array" ref="K30">IF($F30&lt;&gt;"",XLOOKUP($F30,Productos!$A:$A,Productos!D:D,"Revisar"),"")</f>
        <v/>
      </c>
      <c r="L30" s="179" t="str">
        <f t="array" ref="L30">IF($F30&lt;&gt;"", XLOOKUP($F30,Productos!$A$2:$A1001,Productos!E$2:E1001,"")*$G30,"")</f>
        <v/>
      </c>
      <c r="M30" s="179" t="str">
        <f t="array" ref="M30">IF($F30&lt;&gt;"",XLOOKUP($F30,Productos!$A:$A,Productos!F:F,"Revisar"),"")</f>
        <v/>
      </c>
      <c r="N30" s="179" t="str">
        <f t="array" ref="N30">IF($F30&lt;&gt;"", XLOOKUP($F30,Productos!$A$2:$A1001,Productos!G$2:G1001,"")*$G30,"")</f>
        <v/>
      </c>
      <c r="O30" s="179" t="str">
        <f t="array" ref="O30">IF($F30&lt;&gt;"",XLOOKUP($F30,Productos!$A:$A,Productos!H:H,"Revisar"),"")</f>
        <v/>
      </c>
      <c r="P30" s="179" t="str">
        <f t="array" ref="P30">IF($F30&lt;&gt;"", XLOOKUP($F30,Productos!$A$2:$A1001,Productos!I$2:I1001,"")*$G30,"")</f>
        <v/>
      </c>
      <c r="Q30" s="179" t="str">
        <f t="array" ref="Q30">IF($F30&lt;&gt;"",XLOOKUP($F30,Productos!$A:$A,Productos!J:J,"Revisar"),"")</f>
        <v/>
      </c>
      <c r="R30" s="179" t="str">
        <f t="array" ref="R30">IF($F30&lt;&gt;"", XLOOKUP($F30,Productos!$A$2:$A1001,Productos!K$2:K1001,"")*$G30,"")</f>
        <v/>
      </c>
      <c r="S30" s="179" t="str">
        <f t="array" ref="S30">IF($F30&lt;&gt;"",XLOOKUP($F30,Productos!$A:$A,Productos!L:L,"Revisar"),"")</f>
        <v/>
      </c>
      <c r="T30" s="179" t="str">
        <f t="array" ref="T30">IF($F30&lt;&gt;"", XLOOKUP($F30,Productos!$A$2:$A1001,Productos!M$2:M1001,"")*$G30,"")</f>
        <v/>
      </c>
      <c r="U30" s="179" t="str">
        <f t="array" ref="U30">IF($F30&lt;&gt;"",XLOOKUP($F30,Productos!$A:$A,Productos!N:N,"Revisar"),"")</f>
        <v/>
      </c>
      <c r="V30" s="179" t="str">
        <f t="array" ref="V30">IF($F30&lt;&gt;"", XLOOKUP($F30,Productos!$A$2:$A1001,Productos!O$2:O1001,"")*$G30,"")</f>
        <v/>
      </c>
      <c r="W30" s="179" t="str">
        <f t="array" ref="W30">IF($F30&lt;&gt;"",XLOOKUP($F30,Productos!$A:$A,Productos!P:P,"Revisar"),"")</f>
        <v/>
      </c>
      <c r="X30" s="179" t="str">
        <f t="array" ref="X30">IF($F30&lt;&gt;"", XLOOKUP($F30,Productos!$A$2:$A1001,Productos!Q$2:Q1001,"")*$G30,"")</f>
        <v/>
      </c>
      <c r="Y30" s="179" t="str">
        <f t="array" ref="Y30">IF($F30&lt;&gt;"",XLOOKUP($F30,Productos!$A:$A,Productos!R:R,"Revisar"),"")</f>
        <v/>
      </c>
      <c r="Z30" s="179" t="str">
        <f t="array" ref="Z30">IF($F30&lt;&gt;"", XLOOKUP($F30,Productos!$A$2:$A1001,Productos!S$2:S1001,"")*$G30,"")</f>
        <v/>
      </c>
      <c r="AA30" s="179" t="str">
        <f t="array" ref="AA30">IF($F30&lt;&gt;"",XLOOKUP($F30,Productos!$A:$A,Productos!T:T,"Revisar"),"")</f>
        <v/>
      </c>
      <c r="AB30" s="179" t="str">
        <f t="array" ref="AB30">IF($F30&lt;&gt;"", XLOOKUP($F30,Productos!$A$2:$A1001,Productos!U$2:U1001,"")*$G30,"")</f>
        <v/>
      </c>
      <c r="AC30" s="179" t="str">
        <f t="array" ref="AC30">IF($F30&lt;&gt;"",XLOOKUP($F30,Productos!$A:$A,Productos!V:V,"Revisar"),"")</f>
        <v/>
      </c>
      <c r="AD30" s="179" t="str">
        <f t="array" ref="AD30">IF($F30&lt;&gt;"", XLOOKUP($F30,Productos!$A$2:$A1001,Productos!W$2:W1001,"")*$G30,"")</f>
        <v/>
      </c>
      <c r="AE30" s="179" t="str">
        <f t="array" ref="AE30">IF($F30&lt;&gt;"",XLOOKUP($F30,Productos!$A:$A,Productos!X:X,"Revisar"),"")</f>
        <v/>
      </c>
      <c r="AF30" s="179" t="str">
        <f t="array" ref="AF30">IF($F30&lt;&gt;"", XLOOKUP($F30,Productos!$A$2:$A1001,Productos!Y$2:Y1001,"")*$G30,"")</f>
        <v/>
      </c>
      <c r="AG30" s="179" t="str">
        <f t="array" ref="AG30">IF($F30&lt;&gt;"",XLOOKUP($F30,Productos!$A:$A,Productos!Z:Z,"Revisar"),"")</f>
        <v/>
      </c>
      <c r="AH30" s="179" t="str">
        <f t="array" ref="AH30">IF($F30&lt;&gt;"", XLOOKUP($F30,Productos!$A$2:$A1001,Productos!AA$2:AA1001,"")*$G30,"")</f>
        <v/>
      </c>
      <c r="AI30" s="179" t="str">
        <f t="array" ref="AI30">IF($F30&lt;&gt;"",XLOOKUP($F30,Productos!$A:$A,Productos!AB:AB,"Revisar"),"")</f>
        <v/>
      </c>
      <c r="AJ30" s="179" t="str">
        <f t="array" ref="AJ30">IF($F30&lt;&gt;"", XLOOKUP($F30,Productos!$A$2:$A1001,Productos!AC$2:AC1001,"")*$G30,"")</f>
        <v/>
      </c>
      <c r="AK30" s="179" t="str">
        <f t="array" ref="AK30">IF($F30&lt;&gt;"",XLOOKUP($F30,Productos!$A:$A,Productos!AD:AD,"Revisar"),"")</f>
        <v/>
      </c>
      <c r="AL30" s="179" t="str">
        <f t="array" ref="AL30">IF($F30&lt;&gt;"", XLOOKUP($F30,Productos!$A$2:$A1001,Productos!AE$2:AE1001,"")*$G30,"")</f>
        <v/>
      </c>
      <c r="AM30" s="179" t="str">
        <f t="array" ref="AM30">IF($F30&lt;&gt;"",XLOOKUP($F30,Productos!$A:$A,Productos!AF:AF,"Revisar"),"")</f>
        <v/>
      </c>
      <c r="AN30" s="179" t="str">
        <f t="array" ref="AN30">IF($F30&lt;&gt;"", XLOOKUP($F30,Productos!$A$2:$A1001,Productos!AG$2:AG1001,"")*$G30,"")</f>
        <v/>
      </c>
      <c r="AO30" s="179" t="str">
        <f t="array" ref="AO30">IF($F30&lt;&gt;"",XLOOKUP($F30,Productos!$A:$A,Productos!AH:AH,"Revisar"),"")</f>
        <v/>
      </c>
      <c r="AP30" s="179" t="str">
        <f t="array" ref="AP30">IF($F30&lt;&gt;"", XLOOKUP($F30,Productos!$A$2:$A1001,Productos!AI$2:AI1001,"")*$G30,"")</f>
        <v/>
      </c>
      <c r="AQ30" s="179" t="str">
        <f t="array" ref="AQ30">IF($F30&lt;&gt;"",XLOOKUP($F30,Productos!$A:$A,Productos!AJ:AJ,"Revisar"),"")</f>
        <v/>
      </c>
      <c r="AR30" s="179" t="str">
        <f t="array" ref="AR30">IF($F30&lt;&gt;"", XLOOKUP($F30,Productos!$A$2:$A1001,Productos!AK$2:AK1001,"")*$G30,"")</f>
        <v/>
      </c>
      <c r="AS30" s="179" t="str">
        <f t="array" ref="AS30">IF($F30&lt;&gt;"",XLOOKUP($F30,Productos!$A:$A,Productos!AL:AL,"Revisar"),"")</f>
        <v/>
      </c>
      <c r="AT30" s="179" t="str">
        <f t="array" ref="AT30">IF($F30&lt;&gt;"", XLOOKUP($F30,Productos!$A$2:$A1001,Productos!AM$2:AM1001,"")*$G30,"")</f>
        <v/>
      </c>
      <c r="AU30" s="179" t="str">
        <f t="array" ref="AU30">IF($F30&lt;&gt;"",XLOOKUP($F30,Productos!$A:$A,Productos!AN:AN,"Revisar"),"")</f>
        <v/>
      </c>
      <c r="AV30" s="179" t="str">
        <f t="array" ref="AV30">IF($F30&lt;&gt;"", XLOOKUP($F30,Productos!$A$2:$A1001,Productos!AO$2:AO1001,"")*$G30,"")</f>
        <v/>
      </c>
      <c r="AW30" s="179" t="str">
        <f t="array" ref="AW30">IF($F30&lt;&gt;"",XLOOKUP($F30,Productos!$A:$A,Productos!AP:AP,"Revisar"),"")</f>
        <v/>
      </c>
      <c r="AX30" s="179" t="str">
        <f t="array" ref="AX30">IF($F30&lt;&gt;"", XLOOKUP($F30,Productos!$A$2:$A1001,Productos!AQ$2:AQ1001,"")*$G30,"")</f>
        <v/>
      </c>
      <c r="AY30" s="179" t="str">
        <f t="array" ref="AY30">IF($F30&lt;&gt;"",XLOOKUP($F30,Productos!$A:$A,Productos!AR:AR,"Revisar"),"")</f>
        <v/>
      </c>
      <c r="AZ30" s="179" t="str">
        <f t="array" ref="AZ30">IF($F30&lt;&gt;"", XLOOKUP($F30,Productos!$A$2:$A1001,Productos!AS$2:AS1001,"")*$G30,"")</f>
        <v/>
      </c>
      <c r="BA30" s="179" t="str">
        <f t="array" ref="BA30">IF($F30&lt;&gt;"",XLOOKUP($F30,Productos!$A:$A,Productos!AT:AT,"Revisar"),"")</f>
        <v/>
      </c>
      <c r="BB30" s="179" t="str">
        <f t="array" ref="BB30">IF($F30&lt;&gt;"", XLOOKUP($F30,Productos!$A$2:$A1001,Productos!AU$2:AU1001,"")*$G30,"")</f>
        <v/>
      </c>
      <c r="BC30" s="179" t="str">
        <f t="array" ref="BC30">IF($F30&lt;&gt;"",XLOOKUP($F30,Productos!$A:$A,Productos!AV:AV,"Revisar"),"")</f>
        <v/>
      </c>
      <c r="BD30" s="179" t="str">
        <f t="array" ref="BD30">IF($F30&lt;&gt;"", XLOOKUP($F30,Productos!$A$2:$A1001,Productos!AW$2:AW1001,"")*$G30,"")</f>
        <v/>
      </c>
      <c r="BE30" s="179" t="str">
        <f t="array" ref="BE30">IF($F30&lt;&gt;"",XLOOKUP($F30,Productos!$A:$A,Productos!AX:AX,"Revisar"),"")</f>
        <v/>
      </c>
      <c r="BF30" s="179" t="str">
        <f t="array" ref="BF30">IF($F30&lt;&gt;"", XLOOKUP($F30,Productos!$A$2:$A1001,Productos!AY$2:AY1001,"")*$G30,"")</f>
        <v/>
      </c>
      <c r="BG30" s="179" t="str">
        <f t="array" ref="BG30">IF($F30&lt;&gt;"",XLOOKUP($F30,Productos!$A:$A,Productos!AZ:AZ,"Revisar"),"")</f>
        <v/>
      </c>
      <c r="BH30" s="179" t="str">
        <f t="array" ref="BH30">IF($F30&lt;&gt;"", XLOOKUP($F30,Productos!$A$2:$A1001,Productos!BA$2:BA1001,"")*$G30,"")</f>
        <v/>
      </c>
      <c r="BI30" s="179" t="str">
        <f t="array" ref="BI30">IF($F30&lt;&gt;"",XLOOKUP($F30,Productos!$A:$A,Productos!BB:BB,"Revisar"),"")</f>
        <v/>
      </c>
      <c r="BJ30" s="179" t="str">
        <f t="array" ref="BJ30">IF($F30&lt;&gt;"", XLOOKUP($F30,Productos!$A$2:$A1001,Productos!BC$2:BC1001,"")*$G30,"")</f>
        <v/>
      </c>
      <c r="BK30" s="179" t="str">
        <f t="array" ref="BK30">IF($F30&lt;&gt;"",XLOOKUP($F30,Productos!$A:$A,Productos!BD:BD,"Revisar"),"")</f>
        <v/>
      </c>
      <c r="BL30" s="179" t="str">
        <f t="array" ref="BL30">IF($F30&lt;&gt;"", XLOOKUP($F30,Productos!$A$2:$A1001,Productos!BE$2:BE1001,"")*$G30,"")</f>
        <v/>
      </c>
      <c r="BM30" s="179" t="str">
        <f t="array" ref="BM30">IF($F30&lt;&gt;"",XLOOKUP($F30,Productos!$A:$A,Productos!BF:BF,"Revisar"),"")</f>
        <v/>
      </c>
      <c r="BN30" s="179" t="str">
        <f t="array" ref="BN30">IF($F30&lt;&gt;"", XLOOKUP($F30,Productos!$A$2:$A1001,Productos!BG$2:BG1001,"")*$G30,"")</f>
        <v/>
      </c>
      <c r="BO30" s="179" t="str">
        <f t="array" ref="BO30">IF($F30&lt;&gt;"",XLOOKUP($F30,Productos!$A:$A,Productos!BH:BH,"Revisar"),"")</f>
        <v/>
      </c>
      <c r="BP30" s="179" t="str">
        <f t="array" ref="BP30">IF($F30&lt;&gt;"", XLOOKUP($F30,Productos!$A$2:$A1001,Productos!BI$2:BI1001,"")*$G30,"")</f>
        <v/>
      </c>
      <c r="BQ30" s="179" t="str">
        <f t="array" ref="BQ30">IF($F30&lt;&gt;"",XLOOKUP($F30,Productos!$A:$A,Productos!BJ:BJ,"Revisar"),"")</f>
        <v/>
      </c>
      <c r="BR30" s="179" t="str">
        <f t="array" ref="BR30">IF($F30&lt;&gt;"", XLOOKUP($F30,Productos!$A$2:$A1001,Productos!BK$2:BK1001,"")*$G30,"")</f>
        <v/>
      </c>
      <c r="BS30" s="179" t="str">
        <f t="array" ref="BS30">IF($F30&lt;&gt;"",XLOOKUP($F30,Productos!$A:$A,Productos!BL:BL,"Revisar"),"")</f>
        <v/>
      </c>
      <c r="BT30" s="179" t="str">
        <f t="array" ref="BT30">IF($F30&lt;&gt;"", XLOOKUP($F30,Productos!$A$2:$A1001,Productos!BM$2:BM1001,"")*$G30,"")</f>
        <v/>
      </c>
      <c r="BU30" s="179" t="str">
        <f t="array" ref="BU30">IF($F30&lt;&gt;"",XLOOKUP($F30,Productos!$A:$A,Productos!BN:BN,"Revisar"),"")</f>
        <v/>
      </c>
      <c r="BV30" s="179" t="str">
        <f t="array" ref="BV30">IF($F30&lt;&gt;"", XLOOKUP($F30,Productos!$A$2:$A1001,Productos!BO$2:BO1001,"")*$G30,"")</f>
        <v/>
      </c>
      <c r="BW30" s="179" t="str">
        <f t="array" ref="BW30">IF($F30&lt;&gt;"",XLOOKUP($F30,Productos!$A:$A,Productos!BP:BP,"Revisar"),"")</f>
        <v/>
      </c>
      <c r="BX30" s="179" t="str">
        <f t="array" ref="BX30">IF($F30&lt;&gt;"", XLOOKUP($F30,Productos!$A$2:$A1001,Productos!BQ$2:BQ1001,"")*$G30,"")</f>
        <v/>
      </c>
      <c r="BY30" s="179" t="str">
        <f t="array" ref="BY30">IF($F30&lt;&gt;"",XLOOKUP($F30,Productos!$A:$A,Productos!BR:BR,"Revisar"),"")</f>
        <v/>
      </c>
      <c r="BZ30" s="179" t="str">
        <f t="array" ref="BZ30">IF($F30&lt;&gt;"", XLOOKUP($F30,Productos!$A$2:$A1001,Productos!BS$2:BS1001,"")*$G30,"")</f>
        <v/>
      </c>
    </row>
    <row r="31">
      <c r="A31" s="180"/>
      <c r="B31" s="181"/>
      <c r="C31" s="182"/>
      <c r="D31" s="182"/>
      <c r="E31" s="185"/>
      <c r="F31" s="186"/>
      <c r="G31" s="187"/>
      <c r="H31" s="186"/>
      <c r="I31" s="179" t="str">
        <f t="array" ref="I31">IF($F31&lt;&gt;"",XLOOKUP($F31,Productos!$A:$A,Productos!B:B,"Revisar"),"")</f>
        <v/>
      </c>
      <c r="J31" s="179" t="str">
        <f t="array" ref="J31">IF($F31&lt;&gt;"", XLOOKUP($F31,Productos!$A$2:$A1001,Productos!C$2:C1001,"")*$G31,"")</f>
        <v/>
      </c>
      <c r="K31" s="179" t="str">
        <f t="array" ref="K31">IF($F31&lt;&gt;"",XLOOKUP($F31,Productos!$A:$A,Productos!D:D,"Revisar"),"")</f>
        <v/>
      </c>
      <c r="L31" s="179" t="str">
        <f t="array" ref="L31">IF($F31&lt;&gt;"", XLOOKUP($F31,Productos!$A$2:$A1001,Productos!E$2:E1001,"")*$G31,"")</f>
        <v/>
      </c>
      <c r="M31" s="179" t="str">
        <f t="array" ref="M31">IF($F31&lt;&gt;"",XLOOKUP($F31,Productos!$A:$A,Productos!F:F,"Revisar"),"")</f>
        <v/>
      </c>
      <c r="N31" s="179" t="str">
        <f t="array" ref="N31">IF($F31&lt;&gt;"", XLOOKUP($F31,Productos!$A$2:$A1001,Productos!G$2:G1001,"")*$G31,"")</f>
        <v/>
      </c>
      <c r="O31" s="179" t="str">
        <f t="array" ref="O31">IF($F31&lt;&gt;"",XLOOKUP($F31,Productos!$A:$A,Productos!H:H,"Revisar"),"")</f>
        <v/>
      </c>
      <c r="P31" s="179" t="str">
        <f t="array" ref="P31">IF($F31&lt;&gt;"", XLOOKUP($F31,Productos!$A$2:$A1001,Productos!I$2:I1001,"")*$G31,"")</f>
        <v/>
      </c>
      <c r="Q31" s="179" t="str">
        <f t="array" ref="Q31">IF($F31&lt;&gt;"",XLOOKUP($F31,Productos!$A:$A,Productos!J:J,"Revisar"),"")</f>
        <v/>
      </c>
      <c r="R31" s="179" t="str">
        <f t="array" ref="R31">IF($F31&lt;&gt;"", XLOOKUP($F31,Productos!$A$2:$A1001,Productos!K$2:K1001,"")*$G31,"")</f>
        <v/>
      </c>
      <c r="S31" s="179" t="str">
        <f t="array" ref="S31">IF($F31&lt;&gt;"",XLOOKUP($F31,Productos!$A:$A,Productos!L:L,"Revisar"),"")</f>
        <v/>
      </c>
      <c r="T31" s="179" t="str">
        <f t="array" ref="T31">IF($F31&lt;&gt;"", XLOOKUP($F31,Productos!$A$2:$A1001,Productos!M$2:M1001,"")*$G31,"")</f>
        <v/>
      </c>
      <c r="U31" s="179" t="str">
        <f t="array" ref="U31">IF($F31&lt;&gt;"",XLOOKUP($F31,Productos!$A:$A,Productos!N:N,"Revisar"),"")</f>
        <v/>
      </c>
      <c r="V31" s="179" t="str">
        <f t="array" ref="V31">IF($F31&lt;&gt;"", XLOOKUP($F31,Productos!$A$2:$A1001,Productos!O$2:O1001,"")*$G31,"")</f>
        <v/>
      </c>
      <c r="W31" s="179" t="str">
        <f t="array" ref="W31">IF($F31&lt;&gt;"",XLOOKUP($F31,Productos!$A:$A,Productos!P:P,"Revisar"),"")</f>
        <v/>
      </c>
      <c r="X31" s="179" t="str">
        <f t="array" ref="X31">IF($F31&lt;&gt;"", XLOOKUP($F31,Productos!$A$2:$A1001,Productos!Q$2:Q1001,"")*$G31,"")</f>
        <v/>
      </c>
      <c r="Y31" s="179" t="str">
        <f t="array" ref="Y31">IF($F31&lt;&gt;"",XLOOKUP($F31,Productos!$A:$A,Productos!R:R,"Revisar"),"")</f>
        <v/>
      </c>
      <c r="Z31" s="179" t="str">
        <f t="array" ref="Z31">IF($F31&lt;&gt;"", XLOOKUP($F31,Productos!$A$2:$A1001,Productos!S$2:S1001,"")*$G31,"")</f>
        <v/>
      </c>
      <c r="AA31" s="179" t="str">
        <f t="array" ref="AA31">IF($F31&lt;&gt;"",XLOOKUP($F31,Productos!$A:$A,Productos!T:T,"Revisar"),"")</f>
        <v/>
      </c>
      <c r="AB31" s="179" t="str">
        <f t="array" ref="AB31">IF($F31&lt;&gt;"", XLOOKUP($F31,Productos!$A$2:$A1001,Productos!U$2:U1001,"")*$G31,"")</f>
        <v/>
      </c>
      <c r="AC31" s="179" t="str">
        <f t="array" ref="AC31">IF($F31&lt;&gt;"",XLOOKUP($F31,Productos!$A:$A,Productos!V:V,"Revisar"),"")</f>
        <v/>
      </c>
      <c r="AD31" s="179" t="str">
        <f t="array" ref="AD31">IF($F31&lt;&gt;"", XLOOKUP($F31,Productos!$A$2:$A1001,Productos!W$2:W1001,"")*$G31,"")</f>
        <v/>
      </c>
      <c r="AE31" s="179" t="str">
        <f t="array" ref="AE31">IF($F31&lt;&gt;"",XLOOKUP($F31,Productos!$A:$A,Productos!X:X,"Revisar"),"")</f>
        <v/>
      </c>
      <c r="AF31" s="179" t="str">
        <f t="array" ref="AF31">IF($F31&lt;&gt;"", XLOOKUP($F31,Productos!$A$2:$A1001,Productos!Y$2:Y1001,"")*$G31,"")</f>
        <v/>
      </c>
      <c r="AG31" s="179" t="str">
        <f t="array" ref="AG31">IF($F31&lt;&gt;"",XLOOKUP($F31,Productos!$A:$A,Productos!Z:Z,"Revisar"),"")</f>
        <v/>
      </c>
      <c r="AH31" s="179" t="str">
        <f t="array" ref="AH31">IF($F31&lt;&gt;"", XLOOKUP($F31,Productos!$A$2:$A1001,Productos!AA$2:AA1001,"")*$G31,"")</f>
        <v/>
      </c>
      <c r="AI31" s="179" t="str">
        <f t="array" ref="AI31">IF($F31&lt;&gt;"",XLOOKUP($F31,Productos!$A:$A,Productos!AB:AB,"Revisar"),"")</f>
        <v/>
      </c>
      <c r="AJ31" s="179" t="str">
        <f t="array" ref="AJ31">IF($F31&lt;&gt;"", XLOOKUP($F31,Productos!$A$2:$A1001,Productos!AC$2:AC1001,"")*$G31,"")</f>
        <v/>
      </c>
      <c r="AK31" s="179" t="str">
        <f t="array" ref="AK31">IF($F31&lt;&gt;"",XLOOKUP($F31,Productos!$A:$A,Productos!AD:AD,"Revisar"),"")</f>
        <v/>
      </c>
      <c r="AL31" s="179" t="str">
        <f t="array" ref="AL31">IF($F31&lt;&gt;"", XLOOKUP($F31,Productos!$A$2:$A1001,Productos!AE$2:AE1001,"")*$G31,"")</f>
        <v/>
      </c>
      <c r="AM31" s="179" t="str">
        <f t="array" ref="AM31">IF($F31&lt;&gt;"",XLOOKUP($F31,Productos!$A:$A,Productos!AF:AF,"Revisar"),"")</f>
        <v/>
      </c>
      <c r="AN31" s="179" t="str">
        <f t="array" ref="AN31">IF($F31&lt;&gt;"", XLOOKUP($F31,Productos!$A$2:$A1001,Productos!AG$2:AG1001,"")*$G31,"")</f>
        <v/>
      </c>
      <c r="AO31" s="179" t="str">
        <f t="array" ref="AO31">IF($F31&lt;&gt;"",XLOOKUP($F31,Productos!$A:$A,Productos!AH:AH,"Revisar"),"")</f>
        <v/>
      </c>
      <c r="AP31" s="179" t="str">
        <f t="array" ref="AP31">IF($F31&lt;&gt;"", XLOOKUP($F31,Productos!$A$2:$A1001,Productos!AI$2:AI1001,"")*$G31,"")</f>
        <v/>
      </c>
      <c r="AQ31" s="179" t="str">
        <f t="array" ref="AQ31">IF($F31&lt;&gt;"",XLOOKUP($F31,Productos!$A:$A,Productos!AJ:AJ,"Revisar"),"")</f>
        <v/>
      </c>
      <c r="AR31" s="179" t="str">
        <f t="array" ref="AR31">IF($F31&lt;&gt;"", XLOOKUP($F31,Productos!$A$2:$A1001,Productos!AK$2:AK1001,"")*$G31,"")</f>
        <v/>
      </c>
      <c r="AS31" s="179" t="str">
        <f t="array" ref="AS31">IF($F31&lt;&gt;"",XLOOKUP($F31,Productos!$A:$A,Productos!AL:AL,"Revisar"),"")</f>
        <v/>
      </c>
      <c r="AT31" s="179" t="str">
        <f t="array" ref="AT31">IF($F31&lt;&gt;"", XLOOKUP($F31,Productos!$A$2:$A1001,Productos!AM$2:AM1001,"")*$G31,"")</f>
        <v/>
      </c>
      <c r="AU31" s="179" t="str">
        <f t="array" ref="AU31">IF($F31&lt;&gt;"",XLOOKUP($F31,Productos!$A:$A,Productos!AN:AN,"Revisar"),"")</f>
        <v/>
      </c>
      <c r="AV31" s="179" t="str">
        <f t="array" ref="AV31">IF($F31&lt;&gt;"", XLOOKUP($F31,Productos!$A$2:$A1001,Productos!AO$2:AO1001,"")*$G31,"")</f>
        <v/>
      </c>
      <c r="AW31" s="179" t="str">
        <f t="array" ref="AW31">IF($F31&lt;&gt;"",XLOOKUP($F31,Productos!$A:$A,Productos!AP:AP,"Revisar"),"")</f>
        <v/>
      </c>
      <c r="AX31" s="179" t="str">
        <f t="array" ref="AX31">IF($F31&lt;&gt;"", XLOOKUP($F31,Productos!$A$2:$A1001,Productos!AQ$2:AQ1001,"")*$G31,"")</f>
        <v/>
      </c>
      <c r="AY31" s="179" t="str">
        <f t="array" ref="AY31">IF($F31&lt;&gt;"",XLOOKUP($F31,Productos!$A:$A,Productos!AR:AR,"Revisar"),"")</f>
        <v/>
      </c>
      <c r="AZ31" s="179" t="str">
        <f t="array" ref="AZ31">IF($F31&lt;&gt;"", XLOOKUP($F31,Productos!$A$2:$A1001,Productos!AS$2:AS1001,"")*$G31,"")</f>
        <v/>
      </c>
      <c r="BA31" s="179" t="str">
        <f t="array" ref="BA31">IF($F31&lt;&gt;"",XLOOKUP($F31,Productos!$A:$A,Productos!AT:AT,"Revisar"),"")</f>
        <v/>
      </c>
      <c r="BB31" s="179" t="str">
        <f t="array" ref="BB31">IF($F31&lt;&gt;"", XLOOKUP($F31,Productos!$A$2:$A1001,Productos!AU$2:AU1001,"")*$G31,"")</f>
        <v/>
      </c>
      <c r="BC31" s="179" t="str">
        <f t="array" ref="BC31">IF($F31&lt;&gt;"",XLOOKUP($F31,Productos!$A:$A,Productos!AV:AV,"Revisar"),"")</f>
        <v/>
      </c>
      <c r="BD31" s="179" t="str">
        <f t="array" ref="BD31">IF($F31&lt;&gt;"", XLOOKUP($F31,Productos!$A$2:$A1001,Productos!AW$2:AW1001,"")*$G31,"")</f>
        <v/>
      </c>
      <c r="BE31" s="179" t="str">
        <f t="array" ref="BE31">IF($F31&lt;&gt;"",XLOOKUP($F31,Productos!$A:$A,Productos!AX:AX,"Revisar"),"")</f>
        <v/>
      </c>
      <c r="BF31" s="179" t="str">
        <f t="array" ref="BF31">IF($F31&lt;&gt;"", XLOOKUP($F31,Productos!$A$2:$A1001,Productos!AY$2:AY1001,"")*$G31,"")</f>
        <v/>
      </c>
      <c r="BG31" s="179" t="str">
        <f t="array" ref="BG31">IF($F31&lt;&gt;"",XLOOKUP($F31,Productos!$A:$A,Productos!AZ:AZ,"Revisar"),"")</f>
        <v/>
      </c>
      <c r="BH31" s="179" t="str">
        <f t="array" ref="BH31">IF($F31&lt;&gt;"", XLOOKUP($F31,Productos!$A$2:$A1001,Productos!BA$2:BA1001,"")*$G31,"")</f>
        <v/>
      </c>
      <c r="BI31" s="179" t="str">
        <f t="array" ref="BI31">IF($F31&lt;&gt;"",XLOOKUP($F31,Productos!$A:$A,Productos!BB:BB,"Revisar"),"")</f>
        <v/>
      </c>
      <c r="BJ31" s="179" t="str">
        <f t="array" ref="BJ31">IF($F31&lt;&gt;"", XLOOKUP($F31,Productos!$A$2:$A1001,Productos!BC$2:BC1001,"")*$G31,"")</f>
        <v/>
      </c>
      <c r="BK31" s="179" t="str">
        <f t="array" ref="BK31">IF($F31&lt;&gt;"",XLOOKUP($F31,Productos!$A:$A,Productos!BD:BD,"Revisar"),"")</f>
        <v/>
      </c>
      <c r="BL31" s="179" t="str">
        <f t="array" ref="BL31">IF($F31&lt;&gt;"", XLOOKUP($F31,Productos!$A$2:$A1001,Productos!BE$2:BE1001,"")*$G31,"")</f>
        <v/>
      </c>
      <c r="BM31" s="179" t="str">
        <f t="array" ref="BM31">IF($F31&lt;&gt;"",XLOOKUP($F31,Productos!$A:$A,Productos!BF:BF,"Revisar"),"")</f>
        <v/>
      </c>
      <c r="BN31" s="179" t="str">
        <f t="array" ref="BN31">IF($F31&lt;&gt;"", XLOOKUP($F31,Productos!$A$2:$A1001,Productos!BG$2:BG1001,"")*$G31,"")</f>
        <v/>
      </c>
      <c r="BO31" s="179" t="str">
        <f t="array" ref="BO31">IF($F31&lt;&gt;"",XLOOKUP($F31,Productos!$A:$A,Productos!BH:BH,"Revisar"),"")</f>
        <v/>
      </c>
      <c r="BP31" s="179" t="str">
        <f t="array" ref="BP31">IF($F31&lt;&gt;"", XLOOKUP($F31,Productos!$A$2:$A1001,Productos!BI$2:BI1001,"")*$G31,"")</f>
        <v/>
      </c>
      <c r="BQ31" s="179" t="str">
        <f t="array" ref="BQ31">IF($F31&lt;&gt;"",XLOOKUP($F31,Productos!$A:$A,Productos!BJ:BJ,"Revisar"),"")</f>
        <v/>
      </c>
      <c r="BR31" s="179" t="str">
        <f t="array" ref="BR31">IF($F31&lt;&gt;"", XLOOKUP($F31,Productos!$A$2:$A1001,Productos!BK$2:BK1001,"")*$G31,"")</f>
        <v/>
      </c>
      <c r="BS31" s="179" t="str">
        <f t="array" ref="BS31">IF($F31&lt;&gt;"",XLOOKUP($F31,Productos!$A:$A,Productos!BL:BL,"Revisar"),"")</f>
        <v/>
      </c>
      <c r="BT31" s="179" t="str">
        <f t="array" ref="BT31">IF($F31&lt;&gt;"", XLOOKUP($F31,Productos!$A$2:$A1001,Productos!BM$2:BM1001,"")*$G31,"")</f>
        <v/>
      </c>
      <c r="BU31" s="179" t="str">
        <f t="array" ref="BU31">IF($F31&lt;&gt;"",XLOOKUP($F31,Productos!$A:$A,Productos!BN:BN,"Revisar"),"")</f>
        <v/>
      </c>
      <c r="BV31" s="179" t="str">
        <f t="array" ref="BV31">IF($F31&lt;&gt;"", XLOOKUP($F31,Productos!$A$2:$A1001,Productos!BO$2:BO1001,"")*$G31,"")</f>
        <v/>
      </c>
      <c r="BW31" s="179" t="str">
        <f t="array" ref="BW31">IF($F31&lt;&gt;"",XLOOKUP($F31,Productos!$A:$A,Productos!BP:BP,"Revisar"),"")</f>
        <v/>
      </c>
      <c r="BX31" s="179" t="str">
        <f t="array" ref="BX31">IF($F31&lt;&gt;"", XLOOKUP($F31,Productos!$A$2:$A1001,Productos!BQ$2:BQ1001,"")*$G31,"")</f>
        <v/>
      </c>
      <c r="BY31" s="179" t="str">
        <f t="array" ref="BY31">IF($F31&lt;&gt;"",XLOOKUP($F31,Productos!$A:$A,Productos!BR:BR,"Revisar"),"")</f>
        <v/>
      </c>
      <c r="BZ31" s="179" t="str">
        <f t="array" ref="BZ31">IF($F31&lt;&gt;"", XLOOKUP($F31,Productos!$A$2:$A1001,Productos!BS$2:BS1001,"")*$G31,"")</f>
        <v/>
      </c>
    </row>
    <row r="32">
      <c r="A32" s="180"/>
      <c r="B32" s="181"/>
      <c r="C32" s="182"/>
      <c r="D32" s="182"/>
      <c r="E32" s="185"/>
      <c r="F32" s="186"/>
      <c r="G32" s="187"/>
      <c r="H32" s="186"/>
      <c r="I32" s="179" t="str">
        <f t="array" ref="I32">IF($F32&lt;&gt;"",XLOOKUP($F32,Productos!$A:$A,Productos!B:B,"Revisar"),"")</f>
        <v/>
      </c>
      <c r="J32" s="179" t="str">
        <f t="array" ref="J32">IF($F32&lt;&gt;"", XLOOKUP($F32,Productos!$A$2:$A1001,Productos!C$2:C1001,"")*$G32,"")</f>
        <v/>
      </c>
      <c r="K32" s="179" t="str">
        <f t="array" ref="K32">IF($F32&lt;&gt;"",XLOOKUP($F32,Productos!$A:$A,Productos!D:D,"Revisar"),"")</f>
        <v/>
      </c>
      <c r="L32" s="179" t="str">
        <f t="array" ref="L32">IF($F32&lt;&gt;"", XLOOKUP($F32,Productos!$A$2:$A1001,Productos!E$2:E1001,"")*$G32,"")</f>
        <v/>
      </c>
      <c r="M32" s="179" t="str">
        <f t="array" ref="M32">IF($F32&lt;&gt;"",XLOOKUP($F32,Productos!$A:$A,Productos!F:F,"Revisar"),"")</f>
        <v/>
      </c>
      <c r="N32" s="179" t="str">
        <f t="array" ref="N32">IF($F32&lt;&gt;"", XLOOKUP($F32,Productos!$A$2:$A1001,Productos!G$2:G1001,"")*$G32,"")</f>
        <v/>
      </c>
      <c r="O32" s="179" t="str">
        <f t="array" ref="O32">IF($F32&lt;&gt;"",XLOOKUP($F32,Productos!$A:$A,Productos!H:H,"Revisar"),"")</f>
        <v/>
      </c>
      <c r="P32" s="179" t="str">
        <f t="array" ref="P32">IF($F32&lt;&gt;"", XLOOKUP($F32,Productos!$A$2:$A1001,Productos!I$2:I1001,"")*$G32,"")</f>
        <v/>
      </c>
      <c r="Q32" s="179" t="str">
        <f t="array" ref="Q32">IF($F32&lt;&gt;"",XLOOKUP($F32,Productos!$A:$A,Productos!J:J,"Revisar"),"")</f>
        <v/>
      </c>
      <c r="R32" s="179" t="str">
        <f t="array" ref="R32">IF($F32&lt;&gt;"", XLOOKUP($F32,Productos!$A$2:$A1001,Productos!K$2:K1001,"")*$G32,"")</f>
        <v/>
      </c>
      <c r="S32" s="179" t="str">
        <f t="array" ref="S32">IF($F32&lt;&gt;"",XLOOKUP($F32,Productos!$A:$A,Productos!L:L,"Revisar"),"")</f>
        <v/>
      </c>
      <c r="T32" s="179" t="str">
        <f t="array" ref="T32">IF($F32&lt;&gt;"", XLOOKUP($F32,Productos!$A$2:$A1001,Productos!M$2:M1001,"")*$G32,"")</f>
        <v/>
      </c>
      <c r="U32" s="179" t="str">
        <f t="array" ref="U32">IF($F32&lt;&gt;"",XLOOKUP($F32,Productos!$A:$A,Productos!N:N,"Revisar"),"")</f>
        <v/>
      </c>
      <c r="V32" s="179" t="str">
        <f t="array" ref="V32">IF($F32&lt;&gt;"", XLOOKUP($F32,Productos!$A$2:$A1001,Productos!O$2:O1001,"")*$G32,"")</f>
        <v/>
      </c>
      <c r="W32" s="179" t="str">
        <f t="array" ref="W32">IF($F32&lt;&gt;"",XLOOKUP($F32,Productos!$A:$A,Productos!P:P,"Revisar"),"")</f>
        <v/>
      </c>
      <c r="X32" s="179" t="str">
        <f t="array" ref="X32">IF($F32&lt;&gt;"", XLOOKUP($F32,Productos!$A$2:$A1001,Productos!Q$2:Q1001,"")*$G32,"")</f>
        <v/>
      </c>
      <c r="Y32" s="179" t="str">
        <f t="array" ref="Y32">IF($F32&lt;&gt;"",XLOOKUP($F32,Productos!$A:$A,Productos!R:R,"Revisar"),"")</f>
        <v/>
      </c>
      <c r="Z32" s="179" t="str">
        <f t="array" ref="Z32">IF($F32&lt;&gt;"", XLOOKUP($F32,Productos!$A$2:$A1001,Productos!S$2:S1001,"")*$G32,"")</f>
        <v/>
      </c>
      <c r="AA32" s="179" t="str">
        <f t="array" ref="AA32">IF($F32&lt;&gt;"",XLOOKUP($F32,Productos!$A:$A,Productos!T:T,"Revisar"),"")</f>
        <v/>
      </c>
      <c r="AB32" s="179" t="str">
        <f t="array" ref="AB32">IF($F32&lt;&gt;"", XLOOKUP($F32,Productos!$A$2:$A1001,Productos!U$2:U1001,"")*$G32,"")</f>
        <v/>
      </c>
      <c r="AC32" s="179" t="str">
        <f t="array" ref="AC32">IF($F32&lt;&gt;"",XLOOKUP($F32,Productos!$A:$A,Productos!V:V,"Revisar"),"")</f>
        <v/>
      </c>
      <c r="AD32" s="179" t="str">
        <f t="array" ref="AD32">IF($F32&lt;&gt;"", XLOOKUP($F32,Productos!$A$2:$A1001,Productos!W$2:W1001,"")*$G32,"")</f>
        <v/>
      </c>
      <c r="AE32" s="179" t="str">
        <f t="array" ref="AE32">IF($F32&lt;&gt;"",XLOOKUP($F32,Productos!$A:$A,Productos!X:X,"Revisar"),"")</f>
        <v/>
      </c>
      <c r="AF32" s="179" t="str">
        <f t="array" ref="AF32">IF($F32&lt;&gt;"", XLOOKUP($F32,Productos!$A$2:$A1001,Productos!Y$2:Y1001,"")*$G32,"")</f>
        <v/>
      </c>
      <c r="AG32" s="179" t="str">
        <f t="array" ref="AG32">IF($F32&lt;&gt;"",XLOOKUP($F32,Productos!$A:$A,Productos!Z:Z,"Revisar"),"")</f>
        <v/>
      </c>
      <c r="AH32" s="179" t="str">
        <f t="array" ref="AH32">IF($F32&lt;&gt;"", XLOOKUP($F32,Productos!$A$2:$A1001,Productos!AA$2:AA1001,"")*$G32,"")</f>
        <v/>
      </c>
      <c r="AI32" s="179" t="str">
        <f t="array" ref="AI32">IF($F32&lt;&gt;"",XLOOKUP($F32,Productos!$A:$A,Productos!AB:AB,"Revisar"),"")</f>
        <v/>
      </c>
      <c r="AJ32" s="179" t="str">
        <f t="array" ref="AJ32">IF($F32&lt;&gt;"", XLOOKUP($F32,Productos!$A$2:$A1001,Productos!AC$2:AC1001,"")*$G32,"")</f>
        <v/>
      </c>
      <c r="AK32" s="179" t="str">
        <f t="array" ref="AK32">IF($F32&lt;&gt;"",XLOOKUP($F32,Productos!$A:$A,Productos!AD:AD,"Revisar"),"")</f>
        <v/>
      </c>
      <c r="AL32" s="179" t="str">
        <f t="array" ref="AL32">IF($F32&lt;&gt;"", XLOOKUP($F32,Productos!$A$2:$A1001,Productos!AE$2:AE1001,"")*$G32,"")</f>
        <v/>
      </c>
      <c r="AM32" s="179" t="str">
        <f t="array" ref="AM32">IF($F32&lt;&gt;"",XLOOKUP($F32,Productos!$A:$A,Productos!AF:AF,"Revisar"),"")</f>
        <v/>
      </c>
      <c r="AN32" s="179" t="str">
        <f t="array" ref="AN32">IF($F32&lt;&gt;"", XLOOKUP($F32,Productos!$A$2:$A1001,Productos!AG$2:AG1001,"")*$G32,"")</f>
        <v/>
      </c>
      <c r="AO32" s="179" t="str">
        <f t="array" ref="AO32">IF($F32&lt;&gt;"",XLOOKUP($F32,Productos!$A:$A,Productos!AH:AH,"Revisar"),"")</f>
        <v/>
      </c>
      <c r="AP32" s="179" t="str">
        <f t="array" ref="AP32">IF($F32&lt;&gt;"", XLOOKUP($F32,Productos!$A$2:$A1001,Productos!AI$2:AI1001,"")*$G32,"")</f>
        <v/>
      </c>
      <c r="AQ32" s="179" t="str">
        <f t="array" ref="AQ32">IF($F32&lt;&gt;"",XLOOKUP($F32,Productos!$A:$A,Productos!AJ:AJ,"Revisar"),"")</f>
        <v/>
      </c>
      <c r="AR32" s="179" t="str">
        <f t="array" ref="AR32">IF($F32&lt;&gt;"", XLOOKUP($F32,Productos!$A$2:$A1001,Productos!AK$2:AK1001,"")*$G32,"")</f>
        <v/>
      </c>
      <c r="AS32" s="179" t="str">
        <f t="array" ref="AS32">IF($F32&lt;&gt;"",XLOOKUP($F32,Productos!$A:$A,Productos!AL:AL,"Revisar"),"")</f>
        <v/>
      </c>
      <c r="AT32" s="179" t="str">
        <f t="array" ref="AT32">IF($F32&lt;&gt;"", XLOOKUP($F32,Productos!$A$2:$A1001,Productos!AM$2:AM1001,"")*$G32,"")</f>
        <v/>
      </c>
      <c r="AU32" s="179" t="str">
        <f t="array" ref="AU32">IF($F32&lt;&gt;"",XLOOKUP($F32,Productos!$A:$A,Productos!AN:AN,"Revisar"),"")</f>
        <v/>
      </c>
      <c r="AV32" s="179" t="str">
        <f t="array" ref="AV32">IF($F32&lt;&gt;"", XLOOKUP($F32,Productos!$A$2:$A1001,Productos!AO$2:AO1001,"")*$G32,"")</f>
        <v/>
      </c>
      <c r="AW32" s="179" t="str">
        <f t="array" ref="AW32">IF($F32&lt;&gt;"",XLOOKUP($F32,Productos!$A:$A,Productos!AP:AP,"Revisar"),"")</f>
        <v/>
      </c>
      <c r="AX32" s="179" t="str">
        <f t="array" ref="AX32">IF($F32&lt;&gt;"", XLOOKUP($F32,Productos!$A$2:$A1001,Productos!AQ$2:AQ1001,"")*$G32,"")</f>
        <v/>
      </c>
      <c r="AY32" s="179" t="str">
        <f t="array" ref="AY32">IF($F32&lt;&gt;"",XLOOKUP($F32,Productos!$A:$A,Productos!AR:AR,"Revisar"),"")</f>
        <v/>
      </c>
      <c r="AZ32" s="179" t="str">
        <f t="array" ref="AZ32">IF($F32&lt;&gt;"", XLOOKUP($F32,Productos!$A$2:$A1001,Productos!AS$2:AS1001,"")*$G32,"")</f>
        <v/>
      </c>
      <c r="BA32" s="179" t="str">
        <f t="array" ref="BA32">IF($F32&lt;&gt;"",XLOOKUP($F32,Productos!$A:$A,Productos!AT:AT,"Revisar"),"")</f>
        <v/>
      </c>
      <c r="BB32" s="179" t="str">
        <f t="array" ref="BB32">IF($F32&lt;&gt;"", XLOOKUP($F32,Productos!$A$2:$A1001,Productos!AU$2:AU1001,"")*$G32,"")</f>
        <v/>
      </c>
      <c r="BC32" s="179" t="str">
        <f t="array" ref="BC32">IF($F32&lt;&gt;"",XLOOKUP($F32,Productos!$A:$A,Productos!AV:AV,"Revisar"),"")</f>
        <v/>
      </c>
      <c r="BD32" s="179" t="str">
        <f t="array" ref="BD32">IF($F32&lt;&gt;"", XLOOKUP($F32,Productos!$A$2:$A1001,Productos!AW$2:AW1001,"")*$G32,"")</f>
        <v/>
      </c>
      <c r="BE32" s="179" t="str">
        <f t="array" ref="BE32">IF($F32&lt;&gt;"",XLOOKUP($F32,Productos!$A:$A,Productos!AX:AX,"Revisar"),"")</f>
        <v/>
      </c>
      <c r="BF32" s="179" t="str">
        <f t="array" ref="BF32">IF($F32&lt;&gt;"", XLOOKUP($F32,Productos!$A$2:$A1001,Productos!AY$2:AY1001,"")*$G32,"")</f>
        <v/>
      </c>
      <c r="BG32" s="179" t="str">
        <f t="array" ref="BG32">IF($F32&lt;&gt;"",XLOOKUP($F32,Productos!$A:$A,Productos!AZ:AZ,"Revisar"),"")</f>
        <v/>
      </c>
      <c r="BH32" s="179" t="str">
        <f t="array" ref="BH32">IF($F32&lt;&gt;"", XLOOKUP($F32,Productos!$A$2:$A1001,Productos!BA$2:BA1001,"")*$G32,"")</f>
        <v/>
      </c>
      <c r="BI32" s="179" t="str">
        <f t="array" ref="BI32">IF($F32&lt;&gt;"",XLOOKUP($F32,Productos!$A:$A,Productos!BB:BB,"Revisar"),"")</f>
        <v/>
      </c>
      <c r="BJ32" s="179" t="str">
        <f t="array" ref="BJ32">IF($F32&lt;&gt;"", XLOOKUP($F32,Productos!$A$2:$A1001,Productos!BC$2:BC1001,"")*$G32,"")</f>
        <v/>
      </c>
      <c r="BK32" s="179" t="str">
        <f t="array" ref="BK32">IF($F32&lt;&gt;"",XLOOKUP($F32,Productos!$A:$A,Productos!BD:BD,"Revisar"),"")</f>
        <v/>
      </c>
      <c r="BL32" s="179" t="str">
        <f t="array" ref="BL32">IF($F32&lt;&gt;"", XLOOKUP($F32,Productos!$A$2:$A1001,Productos!BE$2:BE1001,"")*$G32,"")</f>
        <v/>
      </c>
      <c r="BM32" s="179" t="str">
        <f t="array" ref="BM32">IF($F32&lt;&gt;"",XLOOKUP($F32,Productos!$A:$A,Productos!BF:BF,"Revisar"),"")</f>
        <v/>
      </c>
      <c r="BN32" s="179" t="str">
        <f t="array" ref="BN32">IF($F32&lt;&gt;"", XLOOKUP($F32,Productos!$A$2:$A1001,Productos!BG$2:BG1001,"")*$G32,"")</f>
        <v/>
      </c>
      <c r="BO32" s="179" t="str">
        <f t="array" ref="BO32">IF($F32&lt;&gt;"",XLOOKUP($F32,Productos!$A:$A,Productos!BH:BH,"Revisar"),"")</f>
        <v/>
      </c>
      <c r="BP32" s="179" t="str">
        <f t="array" ref="BP32">IF($F32&lt;&gt;"", XLOOKUP($F32,Productos!$A$2:$A1001,Productos!BI$2:BI1001,"")*$G32,"")</f>
        <v/>
      </c>
      <c r="BQ32" s="179" t="str">
        <f t="array" ref="BQ32">IF($F32&lt;&gt;"",XLOOKUP($F32,Productos!$A:$A,Productos!BJ:BJ,"Revisar"),"")</f>
        <v/>
      </c>
      <c r="BR32" s="179" t="str">
        <f t="array" ref="BR32">IF($F32&lt;&gt;"", XLOOKUP($F32,Productos!$A$2:$A1001,Productos!BK$2:BK1001,"")*$G32,"")</f>
        <v/>
      </c>
      <c r="BS32" s="179" t="str">
        <f t="array" ref="BS32">IF($F32&lt;&gt;"",XLOOKUP($F32,Productos!$A:$A,Productos!BL:BL,"Revisar"),"")</f>
        <v/>
      </c>
      <c r="BT32" s="179" t="str">
        <f t="array" ref="BT32">IF($F32&lt;&gt;"", XLOOKUP($F32,Productos!$A$2:$A1001,Productos!BM$2:BM1001,"")*$G32,"")</f>
        <v/>
      </c>
      <c r="BU32" s="179" t="str">
        <f t="array" ref="BU32">IF($F32&lt;&gt;"",XLOOKUP($F32,Productos!$A:$A,Productos!BN:BN,"Revisar"),"")</f>
        <v/>
      </c>
      <c r="BV32" s="179" t="str">
        <f t="array" ref="BV32">IF($F32&lt;&gt;"", XLOOKUP($F32,Productos!$A$2:$A1001,Productos!BO$2:BO1001,"")*$G32,"")</f>
        <v/>
      </c>
      <c r="BW32" s="179" t="str">
        <f t="array" ref="BW32">IF($F32&lt;&gt;"",XLOOKUP($F32,Productos!$A:$A,Productos!BP:BP,"Revisar"),"")</f>
        <v/>
      </c>
      <c r="BX32" s="179" t="str">
        <f t="array" ref="BX32">IF($F32&lt;&gt;"", XLOOKUP($F32,Productos!$A$2:$A1001,Productos!BQ$2:BQ1001,"")*$G32,"")</f>
        <v/>
      </c>
      <c r="BY32" s="179" t="str">
        <f t="array" ref="BY32">IF($F32&lt;&gt;"",XLOOKUP($F32,Productos!$A:$A,Productos!BR:BR,"Revisar"),"")</f>
        <v/>
      </c>
      <c r="BZ32" s="179" t="str">
        <f t="array" ref="BZ32">IF($F32&lt;&gt;"", XLOOKUP($F32,Productos!$A$2:$A1001,Productos!BS$2:BS1001,"")*$G32,"")</f>
        <v/>
      </c>
    </row>
    <row r="33">
      <c r="A33" s="180"/>
      <c r="B33" s="181"/>
      <c r="C33" s="182"/>
      <c r="D33" s="182"/>
      <c r="E33" s="185"/>
      <c r="F33" s="186"/>
      <c r="G33" s="187"/>
      <c r="H33" s="186"/>
      <c r="I33" s="179" t="str">
        <f t="array" ref="I33">IF($F33&lt;&gt;"",XLOOKUP($F33,Productos!$A:$A,Productos!B:B,"Revisar"),"")</f>
        <v/>
      </c>
      <c r="J33" s="179" t="str">
        <f t="array" ref="J33">IF($F33&lt;&gt;"", XLOOKUP($F33,Productos!$A$2:$A1001,Productos!C$2:C1001,"")*$G33,"")</f>
        <v/>
      </c>
      <c r="K33" s="179" t="str">
        <f t="array" ref="K33">IF($F33&lt;&gt;"",XLOOKUP($F33,Productos!$A:$A,Productos!D:D,"Revisar"),"")</f>
        <v/>
      </c>
      <c r="L33" s="179" t="str">
        <f t="array" ref="L33">IF($F33&lt;&gt;"", XLOOKUP($F33,Productos!$A$2:$A1001,Productos!E$2:E1001,"")*$G33,"")</f>
        <v/>
      </c>
      <c r="M33" s="179" t="str">
        <f t="array" ref="M33">IF($F33&lt;&gt;"",XLOOKUP($F33,Productos!$A:$A,Productos!F:F,"Revisar"),"")</f>
        <v/>
      </c>
      <c r="N33" s="179" t="str">
        <f t="array" ref="N33">IF($F33&lt;&gt;"", XLOOKUP($F33,Productos!$A$2:$A1001,Productos!G$2:G1001,"")*$G33,"")</f>
        <v/>
      </c>
      <c r="O33" s="179" t="str">
        <f t="array" ref="O33">IF($F33&lt;&gt;"",XLOOKUP($F33,Productos!$A:$A,Productos!H:H,"Revisar"),"")</f>
        <v/>
      </c>
      <c r="P33" s="179" t="str">
        <f t="array" ref="P33">IF($F33&lt;&gt;"", XLOOKUP($F33,Productos!$A$2:$A1001,Productos!I$2:I1001,"")*$G33,"")</f>
        <v/>
      </c>
      <c r="Q33" s="179" t="str">
        <f t="array" ref="Q33">IF($F33&lt;&gt;"",XLOOKUP($F33,Productos!$A:$A,Productos!J:J,"Revisar"),"")</f>
        <v/>
      </c>
      <c r="R33" s="179" t="str">
        <f t="array" ref="R33">IF($F33&lt;&gt;"", XLOOKUP($F33,Productos!$A$2:$A1001,Productos!K$2:K1001,"")*$G33,"")</f>
        <v/>
      </c>
      <c r="S33" s="179" t="str">
        <f t="array" ref="S33">IF($F33&lt;&gt;"",XLOOKUP($F33,Productos!$A:$A,Productos!L:L,"Revisar"),"")</f>
        <v/>
      </c>
      <c r="T33" s="179" t="str">
        <f t="array" ref="T33">IF($F33&lt;&gt;"", XLOOKUP($F33,Productos!$A$2:$A1001,Productos!M$2:M1001,"")*$G33,"")</f>
        <v/>
      </c>
      <c r="U33" s="179" t="str">
        <f t="array" ref="U33">IF($F33&lt;&gt;"",XLOOKUP($F33,Productos!$A:$A,Productos!N:N,"Revisar"),"")</f>
        <v/>
      </c>
      <c r="V33" s="179" t="str">
        <f t="array" ref="V33">IF($F33&lt;&gt;"", XLOOKUP($F33,Productos!$A$2:$A1001,Productos!O$2:O1001,"")*$G33,"")</f>
        <v/>
      </c>
      <c r="W33" s="179" t="str">
        <f t="array" ref="W33">IF($F33&lt;&gt;"",XLOOKUP($F33,Productos!$A:$A,Productos!P:P,"Revisar"),"")</f>
        <v/>
      </c>
      <c r="X33" s="179" t="str">
        <f t="array" ref="X33">IF($F33&lt;&gt;"", XLOOKUP($F33,Productos!$A$2:$A1001,Productos!Q$2:Q1001,"")*$G33,"")</f>
        <v/>
      </c>
      <c r="Y33" s="179" t="str">
        <f t="array" ref="Y33">IF($F33&lt;&gt;"",XLOOKUP($F33,Productos!$A:$A,Productos!R:R,"Revisar"),"")</f>
        <v/>
      </c>
      <c r="Z33" s="179" t="str">
        <f t="array" ref="Z33">IF($F33&lt;&gt;"", XLOOKUP($F33,Productos!$A$2:$A1001,Productos!S$2:S1001,"")*$G33,"")</f>
        <v/>
      </c>
      <c r="AA33" s="179" t="str">
        <f t="array" ref="AA33">IF($F33&lt;&gt;"",XLOOKUP($F33,Productos!$A:$A,Productos!T:T,"Revisar"),"")</f>
        <v/>
      </c>
      <c r="AB33" s="179" t="str">
        <f t="array" ref="AB33">IF($F33&lt;&gt;"", XLOOKUP($F33,Productos!$A$2:$A1001,Productos!U$2:U1001,"")*$G33,"")</f>
        <v/>
      </c>
      <c r="AC33" s="179" t="str">
        <f t="array" ref="AC33">IF($F33&lt;&gt;"",XLOOKUP($F33,Productos!$A:$A,Productos!V:V,"Revisar"),"")</f>
        <v/>
      </c>
      <c r="AD33" s="179" t="str">
        <f t="array" ref="AD33">IF($F33&lt;&gt;"", XLOOKUP($F33,Productos!$A$2:$A1001,Productos!W$2:W1001,"")*$G33,"")</f>
        <v/>
      </c>
      <c r="AE33" s="179" t="str">
        <f t="array" ref="AE33">IF($F33&lt;&gt;"",XLOOKUP($F33,Productos!$A:$A,Productos!X:X,"Revisar"),"")</f>
        <v/>
      </c>
      <c r="AF33" s="179" t="str">
        <f t="array" ref="AF33">IF($F33&lt;&gt;"", XLOOKUP($F33,Productos!$A$2:$A1001,Productos!Y$2:Y1001,"")*$G33,"")</f>
        <v/>
      </c>
      <c r="AG33" s="179" t="str">
        <f t="array" ref="AG33">IF($F33&lt;&gt;"",XLOOKUP($F33,Productos!$A:$A,Productos!Z:Z,"Revisar"),"")</f>
        <v/>
      </c>
      <c r="AH33" s="179" t="str">
        <f t="array" ref="AH33">IF($F33&lt;&gt;"", XLOOKUP($F33,Productos!$A$2:$A1001,Productos!AA$2:AA1001,"")*$G33,"")</f>
        <v/>
      </c>
      <c r="AI33" s="179" t="str">
        <f t="array" ref="AI33">IF($F33&lt;&gt;"",XLOOKUP($F33,Productos!$A:$A,Productos!AB:AB,"Revisar"),"")</f>
        <v/>
      </c>
      <c r="AJ33" s="179" t="str">
        <f t="array" ref="AJ33">IF($F33&lt;&gt;"", XLOOKUP($F33,Productos!$A$2:$A1001,Productos!AC$2:AC1001,"")*$G33,"")</f>
        <v/>
      </c>
      <c r="AK33" s="179" t="str">
        <f t="array" ref="AK33">IF($F33&lt;&gt;"",XLOOKUP($F33,Productos!$A:$A,Productos!AD:AD,"Revisar"),"")</f>
        <v/>
      </c>
      <c r="AL33" s="179" t="str">
        <f t="array" ref="AL33">IF($F33&lt;&gt;"", XLOOKUP($F33,Productos!$A$2:$A1001,Productos!AE$2:AE1001,"")*$G33,"")</f>
        <v/>
      </c>
      <c r="AM33" s="179" t="str">
        <f t="array" ref="AM33">IF($F33&lt;&gt;"",XLOOKUP($F33,Productos!$A:$A,Productos!AF:AF,"Revisar"),"")</f>
        <v/>
      </c>
      <c r="AN33" s="179" t="str">
        <f t="array" ref="AN33">IF($F33&lt;&gt;"", XLOOKUP($F33,Productos!$A$2:$A1001,Productos!AG$2:AG1001,"")*$G33,"")</f>
        <v/>
      </c>
      <c r="AO33" s="179" t="str">
        <f t="array" ref="AO33">IF($F33&lt;&gt;"",XLOOKUP($F33,Productos!$A:$A,Productos!AH:AH,"Revisar"),"")</f>
        <v/>
      </c>
      <c r="AP33" s="179" t="str">
        <f t="array" ref="AP33">IF($F33&lt;&gt;"", XLOOKUP($F33,Productos!$A$2:$A1001,Productos!AI$2:AI1001,"")*$G33,"")</f>
        <v/>
      </c>
      <c r="AQ33" s="179" t="str">
        <f t="array" ref="AQ33">IF($F33&lt;&gt;"",XLOOKUP($F33,Productos!$A:$A,Productos!AJ:AJ,"Revisar"),"")</f>
        <v/>
      </c>
      <c r="AR33" s="179" t="str">
        <f t="array" ref="AR33">IF($F33&lt;&gt;"", XLOOKUP($F33,Productos!$A$2:$A1001,Productos!AK$2:AK1001,"")*$G33,"")</f>
        <v/>
      </c>
      <c r="AS33" s="179" t="str">
        <f t="array" ref="AS33">IF($F33&lt;&gt;"",XLOOKUP($F33,Productos!$A:$A,Productos!AL:AL,"Revisar"),"")</f>
        <v/>
      </c>
      <c r="AT33" s="179" t="str">
        <f t="array" ref="AT33">IF($F33&lt;&gt;"", XLOOKUP($F33,Productos!$A$2:$A1001,Productos!AM$2:AM1001,"")*$G33,"")</f>
        <v/>
      </c>
      <c r="AU33" s="179" t="str">
        <f t="array" ref="AU33">IF($F33&lt;&gt;"",XLOOKUP($F33,Productos!$A:$A,Productos!AN:AN,"Revisar"),"")</f>
        <v/>
      </c>
      <c r="AV33" s="179" t="str">
        <f t="array" ref="AV33">IF($F33&lt;&gt;"", XLOOKUP($F33,Productos!$A$2:$A1001,Productos!AO$2:AO1001,"")*$G33,"")</f>
        <v/>
      </c>
      <c r="AW33" s="179" t="str">
        <f t="array" ref="AW33">IF($F33&lt;&gt;"",XLOOKUP($F33,Productos!$A:$A,Productos!AP:AP,"Revisar"),"")</f>
        <v/>
      </c>
      <c r="AX33" s="179" t="str">
        <f t="array" ref="AX33">IF($F33&lt;&gt;"", XLOOKUP($F33,Productos!$A$2:$A1001,Productos!AQ$2:AQ1001,"")*$G33,"")</f>
        <v/>
      </c>
      <c r="AY33" s="179" t="str">
        <f t="array" ref="AY33">IF($F33&lt;&gt;"",XLOOKUP($F33,Productos!$A:$A,Productos!AR:AR,"Revisar"),"")</f>
        <v/>
      </c>
      <c r="AZ33" s="179" t="str">
        <f t="array" ref="AZ33">IF($F33&lt;&gt;"", XLOOKUP($F33,Productos!$A$2:$A1001,Productos!AS$2:AS1001,"")*$G33,"")</f>
        <v/>
      </c>
      <c r="BA33" s="179" t="str">
        <f t="array" ref="BA33">IF($F33&lt;&gt;"",XLOOKUP($F33,Productos!$A:$A,Productos!AT:AT,"Revisar"),"")</f>
        <v/>
      </c>
      <c r="BB33" s="179" t="str">
        <f t="array" ref="BB33">IF($F33&lt;&gt;"", XLOOKUP($F33,Productos!$A$2:$A1001,Productos!AU$2:AU1001,"")*$G33,"")</f>
        <v/>
      </c>
      <c r="BC33" s="179" t="str">
        <f t="array" ref="BC33">IF($F33&lt;&gt;"",XLOOKUP($F33,Productos!$A:$A,Productos!AV:AV,"Revisar"),"")</f>
        <v/>
      </c>
      <c r="BD33" s="179" t="str">
        <f t="array" ref="BD33">IF($F33&lt;&gt;"", XLOOKUP($F33,Productos!$A$2:$A1001,Productos!AW$2:AW1001,"")*$G33,"")</f>
        <v/>
      </c>
      <c r="BE33" s="179" t="str">
        <f t="array" ref="BE33">IF($F33&lt;&gt;"",XLOOKUP($F33,Productos!$A:$A,Productos!AX:AX,"Revisar"),"")</f>
        <v/>
      </c>
      <c r="BF33" s="179" t="str">
        <f t="array" ref="BF33">IF($F33&lt;&gt;"", XLOOKUP($F33,Productos!$A$2:$A1001,Productos!AY$2:AY1001,"")*$G33,"")</f>
        <v/>
      </c>
      <c r="BG33" s="179" t="str">
        <f t="array" ref="BG33">IF($F33&lt;&gt;"",XLOOKUP($F33,Productos!$A:$A,Productos!AZ:AZ,"Revisar"),"")</f>
        <v/>
      </c>
      <c r="BH33" s="179" t="str">
        <f t="array" ref="BH33">IF($F33&lt;&gt;"", XLOOKUP($F33,Productos!$A$2:$A1001,Productos!BA$2:BA1001,"")*$G33,"")</f>
        <v/>
      </c>
      <c r="BI33" s="179" t="str">
        <f t="array" ref="BI33">IF($F33&lt;&gt;"",XLOOKUP($F33,Productos!$A:$A,Productos!BB:BB,"Revisar"),"")</f>
        <v/>
      </c>
      <c r="BJ33" s="179" t="str">
        <f t="array" ref="BJ33">IF($F33&lt;&gt;"", XLOOKUP($F33,Productos!$A$2:$A1001,Productos!BC$2:BC1001,"")*$G33,"")</f>
        <v/>
      </c>
      <c r="BK33" s="179" t="str">
        <f t="array" ref="BK33">IF($F33&lt;&gt;"",XLOOKUP($F33,Productos!$A:$A,Productos!BD:BD,"Revisar"),"")</f>
        <v/>
      </c>
      <c r="BL33" s="179" t="str">
        <f t="array" ref="BL33">IF($F33&lt;&gt;"", XLOOKUP($F33,Productos!$A$2:$A1001,Productos!BE$2:BE1001,"")*$G33,"")</f>
        <v/>
      </c>
      <c r="BM33" s="179" t="str">
        <f t="array" ref="BM33">IF($F33&lt;&gt;"",XLOOKUP($F33,Productos!$A:$A,Productos!BF:BF,"Revisar"),"")</f>
        <v/>
      </c>
      <c r="BN33" s="179" t="str">
        <f t="array" ref="BN33">IF($F33&lt;&gt;"", XLOOKUP($F33,Productos!$A$2:$A1001,Productos!BG$2:BG1001,"")*$G33,"")</f>
        <v/>
      </c>
      <c r="BO33" s="179" t="str">
        <f t="array" ref="BO33">IF($F33&lt;&gt;"",XLOOKUP($F33,Productos!$A:$A,Productos!BH:BH,"Revisar"),"")</f>
        <v/>
      </c>
      <c r="BP33" s="179" t="str">
        <f t="array" ref="BP33">IF($F33&lt;&gt;"", XLOOKUP($F33,Productos!$A$2:$A1001,Productos!BI$2:BI1001,"")*$G33,"")</f>
        <v/>
      </c>
      <c r="BQ33" s="179" t="str">
        <f t="array" ref="BQ33">IF($F33&lt;&gt;"",XLOOKUP($F33,Productos!$A:$A,Productos!BJ:BJ,"Revisar"),"")</f>
        <v/>
      </c>
      <c r="BR33" s="179" t="str">
        <f t="array" ref="BR33">IF($F33&lt;&gt;"", XLOOKUP($F33,Productos!$A$2:$A1001,Productos!BK$2:BK1001,"")*$G33,"")</f>
        <v/>
      </c>
      <c r="BS33" s="179" t="str">
        <f t="array" ref="BS33">IF($F33&lt;&gt;"",XLOOKUP($F33,Productos!$A:$A,Productos!BL:BL,"Revisar"),"")</f>
        <v/>
      </c>
      <c r="BT33" s="179" t="str">
        <f t="array" ref="BT33">IF($F33&lt;&gt;"", XLOOKUP($F33,Productos!$A$2:$A1001,Productos!BM$2:BM1001,"")*$G33,"")</f>
        <v/>
      </c>
      <c r="BU33" s="179" t="str">
        <f t="array" ref="BU33">IF($F33&lt;&gt;"",XLOOKUP($F33,Productos!$A:$A,Productos!BN:BN,"Revisar"),"")</f>
        <v/>
      </c>
      <c r="BV33" s="179" t="str">
        <f t="array" ref="BV33">IF($F33&lt;&gt;"", XLOOKUP($F33,Productos!$A$2:$A1001,Productos!BO$2:BO1001,"")*$G33,"")</f>
        <v/>
      </c>
      <c r="BW33" s="179" t="str">
        <f t="array" ref="BW33">IF($F33&lt;&gt;"",XLOOKUP($F33,Productos!$A:$A,Productos!BP:BP,"Revisar"),"")</f>
        <v/>
      </c>
      <c r="BX33" s="179" t="str">
        <f t="array" ref="BX33">IF($F33&lt;&gt;"", XLOOKUP($F33,Productos!$A$2:$A1001,Productos!BQ$2:BQ1001,"")*$G33,"")</f>
        <v/>
      </c>
      <c r="BY33" s="179" t="str">
        <f t="array" ref="BY33">IF($F33&lt;&gt;"",XLOOKUP($F33,Productos!$A:$A,Productos!BR:BR,"Revisar"),"")</f>
        <v/>
      </c>
      <c r="BZ33" s="179" t="str">
        <f t="array" ref="BZ33">IF($F33&lt;&gt;"", XLOOKUP($F33,Productos!$A$2:$A1001,Productos!BS$2:BS1001,"")*$G33,"")</f>
        <v/>
      </c>
    </row>
    <row r="34">
      <c r="A34" s="180"/>
      <c r="B34" s="181"/>
      <c r="C34" s="182"/>
      <c r="D34" s="182"/>
      <c r="E34" s="185"/>
      <c r="F34" s="186"/>
      <c r="G34" s="187"/>
      <c r="H34" s="186"/>
      <c r="I34" s="179" t="str">
        <f t="array" ref="I34">IF($F34&lt;&gt;"",XLOOKUP($F34,Productos!$A:$A,Productos!B:B,"Revisar"),"")</f>
        <v/>
      </c>
      <c r="J34" s="179" t="str">
        <f t="array" ref="J34">IF($F34&lt;&gt;"", XLOOKUP($F34,Productos!$A$2:$A1001,Productos!C$2:C1001,"")*$G34,"")</f>
        <v/>
      </c>
      <c r="K34" s="179" t="str">
        <f t="array" ref="K34">IF($F34&lt;&gt;"",XLOOKUP($F34,Productos!$A:$A,Productos!D:D,"Revisar"),"")</f>
        <v/>
      </c>
      <c r="L34" s="179" t="str">
        <f t="array" ref="L34">IF($F34&lt;&gt;"", XLOOKUP($F34,Productos!$A$2:$A1001,Productos!E$2:E1001,"")*$G34,"")</f>
        <v/>
      </c>
      <c r="M34" s="179" t="str">
        <f t="array" ref="M34">IF($F34&lt;&gt;"",XLOOKUP($F34,Productos!$A:$A,Productos!F:F,"Revisar"),"")</f>
        <v/>
      </c>
      <c r="N34" s="179" t="str">
        <f t="array" ref="N34">IF($F34&lt;&gt;"", XLOOKUP($F34,Productos!$A$2:$A1001,Productos!G$2:G1001,"")*$G34,"")</f>
        <v/>
      </c>
      <c r="O34" s="179" t="str">
        <f t="array" ref="O34">IF($F34&lt;&gt;"",XLOOKUP($F34,Productos!$A:$A,Productos!H:H,"Revisar"),"")</f>
        <v/>
      </c>
      <c r="P34" s="179" t="str">
        <f t="array" ref="P34">IF($F34&lt;&gt;"", XLOOKUP($F34,Productos!$A$2:$A1001,Productos!I$2:I1001,"")*$G34,"")</f>
        <v/>
      </c>
      <c r="Q34" s="179" t="str">
        <f t="array" ref="Q34">IF($F34&lt;&gt;"",XLOOKUP($F34,Productos!$A:$A,Productos!J:J,"Revisar"),"")</f>
        <v/>
      </c>
      <c r="R34" s="179" t="str">
        <f t="array" ref="R34">IF($F34&lt;&gt;"", XLOOKUP($F34,Productos!$A$2:$A1001,Productos!K$2:K1001,"")*$G34,"")</f>
        <v/>
      </c>
      <c r="S34" s="179" t="str">
        <f t="array" ref="S34">IF($F34&lt;&gt;"",XLOOKUP($F34,Productos!$A:$A,Productos!L:L,"Revisar"),"")</f>
        <v/>
      </c>
      <c r="T34" s="179" t="str">
        <f t="array" ref="T34">IF($F34&lt;&gt;"", XLOOKUP($F34,Productos!$A$2:$A1001,Productos!M$2:M1001,"")*$G34,"")</f>
        <v/>
      </c>
      <c r="U34" s="179" t="str">
        <f t="array" ref="U34">IF($F34&lt;&gt;"",XLOOKUP($F34,Productos!$A:$A,Productos!N:N,"Revisar"),"")</f>
        <v/>
      </c>
      <c r="V34" s="179" t="str">
        <f t="array" ref="V34">IF($F34&lt;&gt;"", XLOOKUP($F34,Productos!$A$2:$A1001,Productos!O$2:O1001,"")*$G34,"")</f>
        <v/>
      </c>
      <c r="W34" s="179" t="str">
        <f t="array" ref="W34">IF($F34&lt;&gt;"",XLOOKUP($F34,Productos!$A:$A,Productos!P:P,"Revisar"),"")</f>
        <v/>
      </c>
      <c r="X34" s="179" t="str">
        <f t="array" ref="X34">IF($F34&lt;&gt;"", XLOOKUP($F34,Productos!$A$2:$A1001,Productos!Q$2:Q1001,"")*$G34,"")</f>
        <v/>
      </c>
      <c r="Y34" s="179" t="str">
        <f t="array" ref="Y34">IF($F34&lt;&gt;"",XLOOKUP($F34,Productos!$A:$A,Productos!R:R,"Revisar"),"")</f>
        <v/>
      </c>
      <c r="Z34" s="179" t="str">
        <f t="array" ref="Z34">IF($F34&lt;&gt;"", XLOOKUP($F34,Productos!$A$2:$A1001,Productos!S$2:S1001,"")*$G34,"")</f>
        <v/>
      </c>
      <c r="AA34" s="179" t="str">
        <f t="array" ref="AA34">IF($F34&lt;&gt;"",XLOOKUP($F34,Productos!$A:$A,Productos!T:T,"Revisar"),"")</f>
        <v/>
      </c>
      <c r="AB34" s="179" t="str">
        <f t="array" ref="AB34">IF($F34&lt;&gt;"", XLOOKUP($F34,Productos!$A$2:$A1001,Productos!U$2:U1001,"")*$G34,"")</f>
        <v/>
      </c>
      <c r="AC34" s="179" t="str">
        <f t="array" ref="AC34">IF($F34&lt;&gt;"",XLOOKUP($F34,Productos!$A:$A,Productos!V:V,"Revisar"),"")</f>
        <v/>
      </c>
      <c r="AD34" s="179" t="str">
        <f t="array" ref="AD34">IF($F34&lt;&gt;"", XLOOKUP($F34,Productos!$A$2:$A1001,Productos!W$2:W1001,"")*$G34,"")</f>
        <v/>
      </c>
      <c r="AE34" s="179" t="str">
        <f t="array" ref="AE34">IF($F34&lt;&gt;"",XLOOKUP($F34,Productos!$A:$A,Productos!X:X,"Revisar"),"")</f>
        <v/>
      </c>
      <c r="AF34" s="179" t="str">
        <f t="array" ref="AF34">IF($F34&lt;&gt;"", XLOOKUP($F34,Productos!$A$2:$A1001,Productos!Y$2:Y1001,"")*$G34,"")</f>
        <v/>
      </c>
      <c r="AG34" s="179" t="str">
        <f t="array" ref="AG34">IF($F34&lt;&gt;"",XLOOKUP($F34,Productos!$A:$A,Productos!Z:Z,"Revisar"),"")</f>
        <v/>
      </c>
      <c r="AH34" s="179" t="str">
        <f t="array" ref="AH34">IF($F34&lt;&gt;"", XLOOKUP($F34,Productos!$A$2:$A1001,Productos!AA$2:AA1001,"")*$G34,"")</f>
        <v/>
      </c>
      <c r="AI34" s="179" t="str">
        <f t="array" ref="AI34">IF($F34&lt;&gt;"",XLOOKUP($F34,Productos!$A:$A,Productos!AB:AB,"Revisar"),"")</f>
        <v/>
      </c>
      <c r="AJ34" s="179" t="str">
        <f t="array" ref="AJ34">IF($F34&lt;&gt;"", XLOOKUP($F34,Productos!$A$2:$A1001,Productos!AC$2:AC1001,"")*$G34,"")</f>
        <v/>
      </c>
      <c r="AK34" s="179" t="str">
        <f t="array" ref="AK34">IF($F34&lt;&gt;"",XLOOKUP($F34,Productos!$A:$A,Productos!AD:AD,"Revisar"),"")</f>
        <v/>
      </c>
      <c r="AL34" s="179" t="str">
        <f t="array" ref="AL34">IF($F34&lt;&gt;"", XLOOKUP($F34,Productos!$A$2:$A1001,Productos!AE$2:AE1001,"")*$G34,"")</f>
        <v/>
      </c>
      <c r="AM34" s="179" t="str">
        <f t="array" ref="AM34">IF($F34&lt;&gt;"",XLOOKUP($F34,Productos!$A:$A,Productos!AF:AF,"Revisar"),"")</f>
        <v/>
      </c>
      <c r="AN34" s="179" t="str">
        <f t="array" ref="AN34">IF($F34&lt;&gt;"", XLOOKUP($F34,Productos!$A$2:$A1001,Productos!AG$2:AG1001,"")*$G34,"")</f>
        <v/>
      </c>
      <c r="AO34" s="179" t="str">
        <f t="array" ref="AO34">IF($F34&lt;&gt;"",XLOOKUP($F34,Productos!$A:$A,Productos!AH:AH,"Revisar"),"")</f>
        <v/>
      </c>
      <c r="AP34" s="179" t="str">
        <f t="array" ref="AP34">IF($F34&lt;&gt;"", XLOOKUP($F34,Productos!$A$2:$A1001,Productos!AI$2:AI1001,"")*$G34,"")</f>
        <v/>
      </c>
      <c r="AQ34" s="179" t="str">
        <f t="array" ref="AQ34">IF($F34&lt;&gt;"",XLOOKUP($F34,Productos!$A:$A,Productos!AJ:AJ,"Revisar"),"")</f>
        <v/>
      </c>
      <c r="AR34" s="179" t="str">
        <f t="array" ref="AR34">IF($F34&lt;&gt;"", XLOOKUP($F34,Productos!$A$2:$A1001,Productos!AK$2:AK1001,"")*$G34,"")</f>
        <v/>
      </c>
      <c r="AS34" s="179" t="str">
        <f t="array" ref="AS34">IF($F34&lt;&gt;"",XLOOKUP($F34,Productos!$A:$A,Productos!AL:AL,"Revisar"),"")</f>
        <v/>
      </c>
      <c r="AT34" s="179" t="str">
        <f t="array" ref="AT34">IF($F34&lt;&gt;"", XLOOKUP($F34,Productos!$A$2:$A1001,Productos!AM$2:AM1001,"")*$G34,"")</f>
        <v/>
      </c>
      <c r="AU34" s="179" t="str">
        <f t="array" ref="AU34">IF($F34&lt;&gt;"",XLOOKUP($F34,Productos!$A:$A,Productos!AN:AN,"Revisar"),"")</f>
        <v/>
      </c>
      <c r="AV34" s="179" t="str">
        <f t="array" ref="AV34">IF($F34&lt;&gt;"", XLOOKUP($F34,Productos!$A$2:$A1001,Productos!AO$2:AO1001,"")*$G34,"")</f>
        <v/>
      </c>
      <c r="AW34" s="179" t="str">
        <f t="array" ref="AW34">IF($F34&lt;&gt;"",XLOOKUP($F34,Productos!$A:$A,Productos!AP:AP,"Revisar"),"")</f>
        <v/>
      </c>
      <c r="AX34" s="179" t="str">
        <f t="array" ref="AX34">IF($F34&lt;&gt;"", XLOOKUP($F34,Productos!$A$2:$A1001,Productos!AQ$2:AQ1001,"")*$G34,"")</f>
        <v/>
      </c>
      <c r="AY34" s="179" t="str">
        <f t="array" ref="AY34">IF($F34&lt;&gt;"",XLOOKUP($F34,Productos!$A:$A,Productos!AR:AR,"Revisar"),"")</f>
        <v/>
      </c>
      <c r="AZ34" s="179" t="str">
        <f t="array" ref="AZ34">IF($F34&lt;&gt;"", XLOOKUP($F34,Productos!$A$2:$A1001,Productos!AS$2:AS1001,"")*$G34,"")</f>
        <v/>
      </c>
      <c r="BA34" s="179" t="str">
        <f t="array" ref="BA34">IF($F34&lt;&gt;"",XLOOKUP($F34,Productos!$A:$A,Productos!AT:AT,"Revisar"),"")</f>
        <v/>
      </c>
      <c r="BB34" s="179" t="str">
        <f t="array" ref="BB34">IF($F34&lt;&gt;"", XLOOKUP($F34,Productos!$A$2:$A1001,Productos!AU$2:AU1001,"")*$G34,"")</f>
        <v/>
      </c>
      <c r="BC34" s="179" t="str">
        <f t="array" ref="BC34">IF($F34&lt;&gt;"",XLOOKUP($F34,Productos!$A:$A,Productos!AV:AV,"Revisar"),"")</f>
        <v/>
      </c>
      <c r="BD34" s="179" t="str">
        <f t="array" ref="BD34">IF($F34&lt;&gt;"", XLOOKUP($F34,Productos!$A$2:$A1001,Productos!AW$2:AW1001,"")*$G34,"")</f>
        <v/>
      </c>
      <c r="BE34" s="179" t="str">
        <f t="array" ref="BE34">IF($F34&lt;&gt;"",XLOOKUP($F34,Productos!$A:$A,Productos!AX:AX,"Revisar"),"")</f>
        <v/>
      </c>
      <c r="BF34" s="179" t="str">
        <f t="array" ref="BF34">IF($F34&lt;&gt;"", XLOOKUP($F34,Productos!$A$2:$A1001,Productos!AY$2:AY1001,"")*$G34,"")</f>
        <v/>
      </c>
      <c r="BG34" s="179" t="str">
        <f t="array" ref="BG34">IF($F34&lt;&gt;"",XLOOKUP($F34,Productos!$A:$A,Productos!AZ:AZ,"Revisar"),"")</f>
        <v/>
      </c>
      <c r="BH34" s="179" t="str">
        <f t="array" ref="BH34">IF($F34&lt;&gt;"", XLOOKUP($F34,Productos!$A$2:$A1001,Productos!BA$2:BA1001,"")*$G34,"")</f>
        <v/>
      </c>
      <c r="BI34" s="179" t="str">
        <f t="array" ref="BI34">IF($F34&lt;&gt;"",XLOOKUP($F34,Productos!$A:$A,Productos!BB:BB,"Revisar"),"")</f>
        <v/>
      </c>
      <c r="BJ34" s="179" t="str">
        <f t="array" ref="BJ34">IF($F34&lt;&gt;"", XLOOKUP($F34,Productos!$A$2:$A1001,Productos!BC$2:BC1001,"")*$G34,"")</f>
        <v/>
      </c>
      <c r="BK34" s="179" t="str">
        <f t="array" ref="BK34">IF($F34&lt;&gt;"",XLOOKUP($F34,Productos!$A:$A,Productos!BD:BD,"Revisar"),"")</f>
        <v/>
      </c>
      <c r="BL34" s="179" t="str">
        <f t="array" ref="BL34">IF($F34&lt;&gt;"", XLOOKUP($F34,Productos!$A$2:$A1001,Productos!BE$2:BE1001,"")*$G34,"")</f>
        <v/>
      </c>
      <c r="BM34" s="179" t="str">
        <f t="array" ref="BM34">IF($F34&lt;&gt;"",XLOOKUP($F34,Productos!$A:$A,Productos!BF:BF,"Revisar"),"")</f>
        <v/>
      </c>
      <c r="BN34" s="179" t="str">
        <f t="array" ref="BN34">IF($F34&lt;&gt;"", XLOOKUP($F34,Productos!$A$2:$A1001,Productos!BG$2:BG1001,"")*$G34,"")</f>
        <v/>
      </c>
      <c r="BO34" s="179" t="str">
        <f t="array" ref="BO34">IF($F34&lt;&gt;"",XLOOKUP($F34,Productos!$A:$A,Productos!BH:BH,"Revisar"),"")</f>
        <v/>
      </c>
      <c r="BP34" s="179" t="str">
        <f t="array" ref="BP34">IF($F34&lt;&gt;"", XLOOKUP($F34,Productos!$A$2:$A1001,Productos!BI$2:BI1001,"")*$G34,"")</f>
        <v/>
      </c>
      <c r="BQ34" s="179" t="str">
        <f t="array" ref="BQ34">IF($F34&lt;&gt;"",XLOOKUP($F34,Productos!$A:$A,Productos!BJ:BJ,"Revisar"),"")</f>
        <v/>
      </c>
      <c r="BR34" s="179" t="str">
        <f t="array" ref="BR34">IF($F34&lt;&gt;"", XLOOKUP($F34,Productos!$A$2:$A1001,Productos!BK$2:BK1001,"")*$G34,"")</f>
        <v/>
      </c>
      <c r="BS34" s="179" t="str">
        <f t="array" ref="BS34">IF($F34&lt;&gt;"",XLOOKUP($F34,Productos!$A:$A,Productos!BL:BL,"Revisar"),"")</f>
        <v/>
      </c>
      <c r="BT34" s="179" t="str">
        <f t="array" ref="BT34">IF($F34&lt;&gt;"", XLOOKUP($F34,Productos!$A$2:$A1001,Productos!BM$2:BM1001,"")*$G34,"")</f>
        <v/>
      </c>
      <c r="BU34" s="179" t="str">
        <f t="array" ref="BU34">IF($F34&lt;&gt;"",XLOOKUP($F34,Productos!$A:$A,Productos!BN:BN,"Revisar"),"")</f>
        <v/>
      </c>
      <c r="BV34" s="179" t="str">
        <f t="array" ref="BV34">IF($F34&lt;&gt;"", XLOOKUP($F34,Productos!$A$2:$A1001,Productos!BO$2:BO1001,"")*$G34,"")</f>
        <v/>
      </c>
      <c r="BW34" s="179" t="str">
        <f t="array" ref="BW34">IF($F34&lt;&gt;"",XLOOKUP($F34,Productos!$A:$A,Productos!BP:BP,"Revisar"),"")</f>
        <v/>
      </c>
      <c r="BX34" s="179" t="str">
        <f t="array" ref="BX34">IF($F34&lt;&gt;"", XLOOKUP($F34,Productos!$A$2:$A1001,Productos!BQ$2:BQ1001,"")*$G34,"")</f>
        <v/>
      </c>
      <c r="BY34" s="179" t="str">
        <f t="array" ref="BY34">IF($F34&lt;&gt;"",XLOOKUP($F34,Productos!$A:$A,Productos!BR:BR,"Revisar"),"")</f>
        <v/>
      </c>
      <c r="BZ34" s="179" t="str">
        <f t="array" ref="BZ34">IF($F34&lt;&gt;"", XLOOKUP($F34,Productos!$A$2:$A1001,Productos!BS$2:BS1001,"")*$G34,"")</f>
        <v/>
      </c>
    </row>
    <row r="35">
      <c r="A35" s="180"/>
      <c r="B35" s="181"/>
      <c r="C35" s="182"/>
      <c r="D35" s="182"/>
      <c r="E35" s="185"/>
      <c r="F35" s="186"/>
      <c r="G35" s="187"/>
      <c r="H35" s="186"/>
      <c r="I35" s="179" t="str">
        <f t="array" ref="I35">IF($F35&lt;&gt;"",XLOOKUP($F35,Productos!$A:$A,Productos!B:B,"Revisar"),"")</f>
        <v/>
      </c>
      <c r="J35" s="179" t="str">
        <f t="array" ref="J35">IF($F35&lt;&gt;"", XLOOKUP($F35,Productos!$A$2:$A1001,Productos!C$2:C1001,"")*$G35,"")</f>
        <v/>
      </c>
      <c r="K35" s="179" t="str">
        <f t="array" ref="K35">IF($F35&lt;&gt;"",XLOOKUP($F35,Productos!$A:$A,Productos!D:D,"Revisar"),"")</f>
        <v/>
      </c>
      <c r="L35" s="179" t="str">
        <f t="array" ref="L35">IF($F35&lt;&gt;"", XLOOKUP($F35,Productos!$A$2:$A1001,Productos!E$2:E1001,"")*$G35,"")</f>
        <v/>
      </c>
      <c r="M35" s="179" t="str">
        <f t="array" ref="M35">IF($F35&lt;&gt;"",XLOOKUP($F35,Productos!$A:$A,Productos!F:F,"Revisar"),"")</f>
        <v/>
      </c>
      <c r="N35" s="179" t="str">
        <f t="array" ref="N35">IF($F35&lt;&gt;"", XLOOKUP($F35,Productos!$A$2:$A1001,Productos!G$2:G1001,"")*$G35,"")</f>
        <v/>
      </c>
      <c r="O35" s="179" t="str">
        <f t="array" ref="O35">IF($F35&lt;&gt;"",XLOOKUP($F35,Productos!$A:$A,Productos!H:H,"Revisar"),"")</f>
        <v/>
      </c>
      <c r="P35" s="179" t="str">
        <f t="array" ref="P35">IF($F35&lt;&gt;"", XLOOKUP($F35,Productos!$A$2:$A1001,Productos!I$2:I1001,"")*$G35,"")</f>
        <v/>
      </c>
      <c r="Q35" s="179" t="str">
        <f t="array" ref="Q35">IF($F35&lt;&gt;"",XLOOKUP($F35,Productos!$A:$A,Productos!J:J,"Revisar"),"")</f>
        <v/>
      </c>
      <c r="R35" s="179" t="str">
        <f t="array" ref="R35">IF($F35&lt;&gt;"", XLOOKUP($F35,Productos!$A$2:$A1001,Productos!K$2:K1001,"")*$G35,"")</f>
        <v/>
      </c>
      <c r="S35" s="179" t="str">
        <f t="array" ref="S35">IF($F35&lt;&gt;"",XLOOKUP($F35,Productos!$A:$A,Productos!L:L,"Revisar"),"")</f>
        <v/>
      </c>
      <c r="T35" s="179" t="str">
        <f t="array" ref="T35">IF($F35&lt;&gt;"", XLOOKUP($F35,Productos!$A$2:$A1001,Productos!M$2:M1001,"")*$G35,"")</f>
        <v/>
      </c>
      <c r="U35" s="179" t="str">
        <f t="array" ref="U35">IF($F35&lt;&gt;"",XLOOKUP($F35,Productos!$A:$A,Productos!N:N,"Revisar"),"")</f>
        <v/>
      </c>
      <c r="V35" s="179" t="str">
        <f t="array" ref="V35">IF($F35&lt;&gt;"", XLOOKUP($F35,Productos!$A$2:$A1001,Productos!O$2:O1001,"")*$G35,"")</f>
        <v/>
      </c>
      <c r="W35" s="179" t="str">
        <f t="array" ref="W35">IF($F35&lt;&gt;"",XLOOKUP($F35,Productos!$A:$A,Productos!P:P,"Revisar"),"")</f>
        <v/>
      </c>
      <c r="X35" s="179" t="str">
        <f t="array" ref="X35">IF($F35&lt;&gt;"", XLOOKUP($F35,Productos!$A$2:$A1001,Productos!Q$2:Q1001,"")*$G35,"")</f>
        <v/>
      </c>
      <c r="Y35" s="179" t="str">
        <f t="array" ref="Y35">IF($F35&lt;&gt;"",XLOOKUP($F35,Productos!$A:$A,Productos!R:R,"Revisar"),"")</f>
        <v/>
      </c>
      <c r="Z35" s="179" t="str">
        <f t="array" ref="Z35">IF($F35&lt;&gt;"", XLOOKUP($F35,Productos!$A$2:$A1001,Productos!S$2:S1001,"")*$G35,"")</f>
        <v/>
      </c>
      <c r="AA35" s="179" t="str">
        <f t="array" ref="AA35">IF($F35&lt;&gt;"",XLOOKUP($F35,Productos!$A:$A,Productos!T:T,"Revisar"),"")</f>
        <v/>
      </c>
      <c r="AB35" s="179" t="str">
        <f t="array" ref="AB35">IF($F35&lt;&gt;"", XLOOKUP($F35,Productos!$A$2:$A1001,Productos!U$2:U1001,"")*$G35,"")</f>
        <v/>
      </c>
      <c r="AC35" s="179" t="str">
        <f t="array" ref="AC35">IF($F35&lt;&gt;"",XLOOKUP($F35,Productos!$A:$A,Productos!V:V,"Revisar"),"")</f>
        <v/>
      </c>
      <c r="AD35" s="179" t="str">
        <f t="array" ref="AD35">IF($F35&lt;&gt;"", XLOOKUP($F35,Productos!$A$2:$A1001,Productos!W$2:W1001,"")*$G35,"")</f>
        <v/>
      </c>
      <c r="AE35" s="179" t="str">
        <f t="array" ref="AE35">IF($F35&lt;&gt;"",XLOOKUP($F35,Productos!$A:$A,Productos!X:X,"Revisar"),"")</f>
        <v/>
      </c>
      <c r="AF35" s="179" t="str">
        <f t="array" ref="AF35">IF($F35&lt;&gt;"", XLOOKUP($F35,Productos!$A$2:$A1001,Productos!Y$2:Y1001,"")*$G35,"")</f>
        <v/>
      </c>
      <c r="AG35" s="179" t="str">
        <f t="array" ref="AG35">IF($F35&lt;&gt;"",XLOOKUP($F35,Productos!$A:$A,Productos!Z:Z,"Revisar"),"")</f>
        <v/>
      </c>
      <c r="AH35" s="179" t="str">
        <f t="array" ref="AH35">IF($F35&lt;&gt;"", XLOOKUP($F35,Productos!$A$2:$A1001,Productos!AA$2:AA1001,"")*$G35,"")</f>
        <v/>
      </c>
      <c r="AI35" s="179" t="str">
        <f t="array" ref="AI35">IF($F35&lt;&gt;"",XLOOKUP($F35,Productos!$A:$A,Productos!AB:AB,"Revisar"),"")</f>
        <v/>
      </c>
      <c r="AJ35" s="179" t="str">
        <f t="array" ref="AJ35">IF($F35&lt;&gt;"", XLOOKUP($F35,Productos!$A$2:$A1001,Productos!AC$2:AC1001,"")*$G35,"")</f>
        <v/>
      </c>
      <c r="AK35" s="179" t="str">
        <f t="array" ref="AK35">IF($F35&lt;&gt;"",XLOOKUP($F35,Productos!$A:$A,Productos!AD:AD,"Revisar"),"")</f>
        <v/>
      </c>
      <c r="AL35" s="179" t="str">
        <f t="array" ref="AL35">IF($F35&lt;&gt;"", XLOOKUP($F35,Productos!$A$2:$A1001,Productos!AE$2:AE1001,"")*$G35,"")</f>
        <v/>
      </c>
      <c r="AM35" s="179" t="str">
        <f t="array" ref="AM35">IF($F35&lt;&gt;"",XLOOKUP($F35,Productos!$A:$A,Productos!AF:AF,"Revisar"),"")</f>
        <v/>
      </c>
      <c r="AN35" s="179" t="str">
        <f t="array" ref="AN35">IF($F35&lt;&gt;"", XLOOKUP($F35,Productos!$A$2:$A1001,Productos!AG$2:AG1001,"")*$G35,"")</f>
        <v/>
      </c>
      <c r="AO35" s="179" t="str">
        <f t="array" ref="AO35">IF($F35&lt;&gt;"",XLOOKUP($F35,Productos!$A:$A,Productos!AH:AH,"Revisar"),"")</f>
        <v/>
      </c>
      <c r="AP35" s="179" t="str">
        <f t="array" ref="AP35">IF($F35&lt;&gt;"", XLOOKUP($F35,Productos!$A$2:$A1001,Productos!AI$2:AI1001,"")*$G35,"")</f>
        <v/>
      </c>
      <c r="AQ35" s="179" t="str">
        <f t="array" ref="AQ35">IF($F35&lt;&gt;"",XLOOKUP($F35,Productos!$A:$A,Productos!AJ:AJ,"Revisar"),"")</f>
        <v/>
      </c>
      <c r="AR35" s="179" t="str">
        <f t="array" ref="AR35">IF($F35&lt;&gt;"", XLOOKUP($F35,Productos!$A$2:$A1001,Productos!AK$2:AK1001,"")*$G35,"")</f>
        <v/>
      </c>
      <c r="AS35" s="179" t="str">
        <f t="array" ref="AS35">IF($F35&lt;&gt;"",XLOOKUP($F35,Productos!$A:$A,Productos!AL:AL,"Revisar"),"")</f>
        <v/>
      </c>
      <c r="AT35" s="179" t="str">
        <f t="array" ref="AT35">IF($F35&lt;&gt;"", XLOOKUP($F35,Productos!$A$2:$A1001,Productos!AM$2:AM1001,"")*$G35,"")</f>
        <v/>
      </c>
      <c r="AU35" s="179" t="str">
        <f t="array" ref="AU35">IF($F35&lt;&gt;"",XLOOKUP($F35,Productos!$A:$A,Productos!AN:AN,"Revisar"),"")</f>
        <v/>
      </c>
      <c r="AV35" s="179" t="str">
        <f t="array" ref="AV35">IF($F35&lt;&gt;"", XLOOKUP($F35,Productos!$A$2:$A1001,Productos!AO$2:AO1001,"")*$G35,"")</f>
        <v/>
      </c>
      <c r="AW35" s="179" t="str">
        <f t="array" ref="AW35">IF($F35&lt;&gt;"",XLOOKUP($F35,Productos!$A:$A,Productos!AP:AP,"Revisar"),"")</f>
        <v/>
      </c>
      <c r="AX35" s="179" t="str">
        <f t="array" ref="AX35">IF($F35&lt;&gt;"", XLOOKUP($F35,Productos!$A$2:$A1001,Productos!AQ$2:AQ1001,"")*$G35,"")</f>
        <v/>
      </c>
      <c r="AY35" s="179" t="str">
        <f t="array" ref="AY35">IF($F35&lt;&gt;"",XLOOKUP($F35,Productos!$A:$A,Productos!AR:AR,"Revisar"),"")</f>
        <v/>
      </c>
      <c r="AZ35" s="179" t="str">
        <f t="array" ref="AZ35">IF($F35&lt;&gt;"", XLOOKUP($F35,Productos!$A$2:$A1001,Productos!AS$2:AS1001,"")*$G35,"")</f>
        <v/>
      </c>
      <c r="BA35" s="179" t="str">
        <f t="array" ref="BA35">IF($F35&lt;&gt;"",XLOOKUP($F35,Productos!$A:$A,Productos!AT:AT,"Revisar"),"")</f>
        <v/>
      </c>
      <c r="BB35" s="179" t="str">
        <f t="array" ref="BB35">IF($F35&lt;&gt;"", XLOOKUP($F35,Productos!$A$2:$A1001,Productos!AU$2:AU1001,"")*$G35,"")</f>
        <v/>
      </c>
      <c r="BC35" s="179" t="str">
        <f t="array" ref="BC35">IF($F35&lt;&gt;"",XLOOKUP($F35,Productos!$A:$A,Productos!AV:AV,"Revisar"),"")</f>
        <v/>
      </c>
      <c r="BD35" s="179" t="str">
        <f t="array" ref="BD35">IF($F35&lt;&gt;"", XLOOKUP($F35,Productos!$A$2:$A1001,Productos!AW$2:AW1001,"")*$G35,"")</f>
        <v/>
      </c>
      <c r="BE35" s="179" t="str">
        <f t="array" ref="BE35">IF($F35&lt;&gt;"",XLOOKUP($F35,Productos!$A:$A,Productos!AX:AX,"Revisar"),"")</f>
        <v/>
      </c>
      <c r="BF35" s="179" t="str">
        <f t="array" ref="BF35">IF($F35&lt;&gt;"", XLOOKUP($F35,Productos!$A$2:$A1001,Productos!AY$2:AY1001,"")*$G35,"")</f>
        <v/>
      </c>
      <c r="BG35" s="179" t="str">
        <f t="array" ref="BG35">IF($F35&lt;&gt;"",XLOOKUP($F35,Productos!$A:$A,Productos!AZ:AZ,"Revisar"),"")</f>
        <v/>
      </c>
      <c r="BH35" s="179" t="str">
        <f t="array" ref="BH35">IF($F35&lt;&gt;"", XLOOKUP($F35,Productos!$A$2:$A1001,Productos!BA$2:BA1001,"")*$G35,"")</f>
        <v/>
      </c>
      <c r="BI35" s="179" t="str">
        <f t="array" ref="BI35">IF($F35&lt;&gt;"",XLOOKUP($F35,Productos!$A:$A,Productos!BB:BB,"Revisar"),"")</f>
        <v/>
      </c>
      <c r="BJ35" s="179" t="str">
        <f t="array" ref="BJ35">IF($F35&lt;&gt;"", XLOOKUP($F35,Productos!$A$2:$A1001,Productos!BC$2:BC1001,"")*$G35,"")</f>
        <v/>
      </c>
      <c r="BK35" s="179" t="str">
        <f t="array" ref="BK35">IF($F35&lt;&gt;"",XLOOKUP($F35,Productos!$A:$A,Productos!BD:BD,"Revisar"),"")</f>
        <v/>
      </c>
      <c r="BL35" s="179" t="str">
        <f t="array" ref="BL35">IF($F35&lt;&gt;"", XLOOKUP($F35,Productos!$A$2:$A1001,Productos!BE$2:BE1001,"")*$G35,"")</f>
        <v/>
      </c>
      <c r="BM35" s="179" t="str">
        <f t="array" ref="BM35">IF($F35&lt;&gt;"",XLOOKUP($F35,Productos!$A:$A,Productos!BF:BF,"Revisar"),"")</f>
        <v/>
      </c>
      <c r="BN35" s="179" t="str">
        <f t="array" ref="BN35">IF($F35&lt;&gt;"", XLOOKUP($F35,Productos!$A$2:$A1001,Productos!BG$2:BG1001,"")*$G35,"")</f>
        <v/>
      </c>
      <c r="BO35" s="179" t="str">
        <f t="array" ref="BO35">IF($F35&lt;&gt;"",XLOOKUP($F35,Productos!$A:$A,Productos!BH:BH,"Revisar"),"")</f>
        <v/>
      </c>
      <c r="BP35" s="179" t="str">
        <f t="array" ref="BP35">IF($F35&lt;&gt;"", XLOOKUP($F35,Productos!$A$2:$A1001,Productos!BI$2:BI1001,"")*$G35,"")</f>
        <v/>
      </c>
      <c r="BQ35" s="179" t="str">
        <f t="array" ref="BQ35">IF($F35&lt;&gt;"",XLOOKUP($F35,Productos!$A:$A,Productos!BJ:BJ,"Revisar"),"")</f>
        <v/>
      </c>
      <c r="BR35" s="179" t="str">
        <f t="array" ref="BR35">IF($F35&lt;&gt;"", XLOOKUP($F35,Productos!$A$2:$A1001,Productos!BK$2:BK1001,"")*$G35,"")</f>
        <v/>
      </c>
      <c r="BS35" s="179" t="str">
        <f t="array" ref="BS35">IF($F35&lt;&gt;"",XLOOKUP($F35,Productos!$A:$A,Productos!BL:BL,"Revisar"),"")</f>
        <v/>
      </c>
      <c r="BT35" s="179" t="str">
        <f t="array" ref="BT35">IF($F35&lt;&gt;"", XLOOKUP($F35,Productos!$A$2:$A1001,Productos!BM$2:BM1001,"")*$G35,"")</f>
        <v/>
      </c>
      <c r="BU35" s="179" t="str">
        <f t="array" ref="BU35">IF($F35&lt;&gt;"",XLOOKUP($F35,Productos!$A:$A,Productos!BN:BN,"Revisar"),"")</f>
        <v/>
      </c>
      <c r="BV35" s="179" t="str">
        <f t="array" ref="BV35">IF($F35&lt;&gt;"", XLOOKUP($F35,Productos!$A$2:$A1001,Productos!BO$2:BO1001,"")*$G35,"")</f>
        <v/>
      </c>
      <c r="BW35" s="179" t="str">
        <f t="array" ref="BW35">IF($F35&lt;&gt;"",XLOOKUP($F35,Productos!$A:$A,Productos!BP:BP,"Revisar"),"")</f>
        <v/>
      </c>
      <c r="BX35" s="179" t="str">
        <f t="array" ref="BX35">IF($F35&lt;&gt;"", XLOOKUP($F35,Productos!$A$2:$A1001,Productos!BQ$2:BQ1001,"")*$G35,"")</f>
        <v/>
      </c>
      <c r="BY35" s="179" t="str">
        <f t="array" ref="BY35">IF($F35&lt;&gt;"",XLOOKUP($F35,Productos!$A:$A,Productos!BR:BR,"Revisar"),"")</f>
        <v/>
      </c>
      <c r="BZ35" s="179" t="str">
        <f t="array" ref="BZ35">IF($F35&lt;&gt;"", XLOOKUP($F35,Productos!$A$2:$A1001,Productos!BS$2:BS1001,"")*$G35,"")</f>
        <v/>
      </c>
    </row>
    <row r="36">
      <c r="A36" s="180"/>
      <c r="B36" s="181"/>
      <c r="C36" s="182"/>
      <c r="D36" s="182"/>
      <c r="E36" s="185"/>
      <c r="F36" s="186"/>
      <c r="G36" s="187"/>
      <c r="H36" s="186"/>
      <c r="I36" s="179" t="str">
        <f t="array" ref="I36">IF($F36&lt;&gt;"",XLOOKUP($F36,Productos!$A:$A,Productos!B:B,"Revisar"),"")</f>
        <v/>
      </c>
      <c r="J36" s="179" t="str">
        <f t="array" ref="J36">IF($F36&lt;&gt;"", XLOOKUP($F36,Productos!$A$2:$A1001,Productos!C$2:C1001,"")*$G36,"")</f>
        <v/>
      </c>
      <c r="K36" s="179" t="str">
        <f t="array" ref="K36">IF($F36&lt;&gt;"",XLOOKUP($F36,Productos!$A:$A,Productos!D:D,"Revisar"),"")</f>
        <v/>
      </c>
      <c r="L36" s="179" t="str">
        <f t="array" ref="L36">IF($F36&lt;&gt;"", XLOOKUP($F36,Productos!$A$2:$A1001,Productos!E$2:E1001,"")*$G36,"")</f>
        <v/>
      </c>
      <c r="M36" s="179" t="str">
        <f t="array" ref="M36">IF($F36&lt;&gt;"",XLOOKUP($F36,Productos!$A:$A,Productos!F:F,"Revisar"),"")</f>
        <v/>
      </c>
      <c r="N36" s="179" t="str">
        <f t="array" ref="N36">IF($F36&lt;&gt;"", XLOOKUP($F36,Productos!$A$2:$A1001,Productos!G$2:G1001,"")*$G36,"")</f>
        <v/>
      </c>
      <c r="O36" s="179" t="str">
        <f t="array" ref="O36">IF($F36&lt;&gt;"",XLOOKUP($F36,Productos!$A:$A,Productos!H:H,"Revisar"),"")</f>
        <v/>
      </c>
      <c r="P36" s="179" t="str">
        <f t="array" ref="P36">IF($F36&lt;&gt;"", XLOOKUP($F36,Productos!$A$2:$A1001,Productos!I$2:I1001,"")*$G36,"")</f>
        <v/>
      </c>
      <c r="Q36" s="179" t="str">
        <f t="array" ref="Q36">IF($F36&lt;&gt;"",XLOOKUP($F36,Productos!$A:$A,Productos!J:J,"Revisar"),"")</f>
        <v/>
      </c>
      <c r="R36" s="179" t="str">
        <f t="array" ref="R36">IF($F36&lt;&gt;"", XLOOKUP($F36,Productos!$A$2:$A1001,Productos!K$2:K1001,"")*$G36,"")</f>
        <v/>
      </c>
      <c r="S36" s="179" t="str">
        <f t="array" ref="S36">IF($F36&lt;&gt;"",XLOOKUP($F36,Productos!$A:$A,Productos!L:L,"Revisar"),"")</f>
        <v/>
      </c>
      <c r="T36" s="179" t="str">
        <f t="array" ref="T36">IF($F36&lt;&gt;"", XLOOKUP($F36,Productos!$A$2:$A1001,Productos!M$2:M1001,"")*$G36,"")</f>
        <v/>
      </c>
      <c r="U36" s="179" t="str">
        <f t="array" ref="U36">IF($F36&lt;&gt;"",XLOOKUP($F36,Productos!$A:$A,Productos!N:N,"Revisar"),"")</f>
        <v/>
      </c>
      <c r="V36" s="179" t="str">
        <f t="array" ref="V36">IF($F36&lt;&gt;"", XLOOKUP($F36,Productos!$A$2:$A1001,Productos!O$2:O1001,"")*$G36,"")</f>
        <v/>
      </c>
      <c r="W36" s="179" t="str">
        <f t="array" ref="W36">IF($F36&lt;&gt;"",XLOOKUP($F36,Productos!$A:$A,Productos!P:P,"Revisar"),"")</f>
        <v/>
      </c>
      <c r="X36" s="179" t="str">
        <f t="array" ref="X36">IF($F36&lt;&gt;"", XLOOKUP($F36,Productos!$A$2:$A1001,Productos!Q$2:Q1001,"")*$G36,"")</f>
        <v/>
      </c>
      <c r="Y36" s="179" t="str">
        <f t="array" ref="Y36">IF($F36&lt;&gt;"",XLOOKUP($F36,Productos!$A:$A,Productos!R:R,"Revisar"),"")</f>
        <v/>
      </c>
      <c r="Z36" s="179" t="str">
        <f t="array" ref="Z36">IF($F36&lt;&gt;"", XLOOKUP($F36,Productos!$A$2:$A1001,Productos!S$2:S1001,"")*$G36,"")</f>
        <v/>
      </c>
      <c r="AA36" s="179" t="str">
        <f t="array" ref="AA36">IF($F36&lt;&gt;"",XLOOKUP($F36,Productos!$A:$A,Productos!T:T,"Revisar"),"")</f>
        <v/>
      </c>
      <c r="AB36" s="179" t="str">
        <f t="array" ref="AB36">IF($F36&lt;&gt;"", XLOOKUP($F36,Productos!$A$2:$A1001,Productos!U$2:U1001,"")*$G36,"")</f>
        <v/>
      </c>
      <c r="AC36" s="179" t="str">
        <f t="array" ref="AC36">IF($F36&lt;&gt;"",XLOOKUP($F36,Productos!$A:$A,Productos!V:V,"Revisar"),"")</f>
        <v/>
      </c>
      <c r="AD36" s="179" t="str">
        <f t="array" ref="AD36">IF($F36&lt;&gt;"", XLOOKUP($F36,Productos!$A$2:$A1001,Productos!W$2:W1001,"")*$G36,"")</f>
        <v/>
      </c>
      <c r="AE36" s="179" t="str">
        <f t="array" ref="AE36">IF($F36&lt;&gt;"",XLOOKUP($F36,Productos!$A:$A,Productos!X:X,"Revisar"),"")</f>
        <v/>
      </c>
      <c r="AF36" s="179" t="str">
        <f t="array" ref="AF36">IF($F36&lt;&gt;"", XLOOKUP($F36,Productos!$A$2:$A1001,Productos!Y$2:Y1001,"")*$G36,"")</f>
        <v/>
      </c>
      <c r="AG36" s="179" t="str">
        <f t="array" ref="AG36">IF($F36&lt;&gt;"",XLOOKUP($F36,Productos!$A:$A,Productos!Z:Z,"Revisar"),"")</f>
        <v/>
      </c>
      <c r="AH36" s="179" t="str">
        <f t="array" ref="AH36">IF($F36&lt;&gt;"", XLOOKUP($F36,Productos!$A$2:$A1001,Productos!AA$2:AA1001,"")*$G36,"")</f>
        <v/>
      </c>
      <c r="AI36" s="179" t="str">
        <f t="array" ref="AI36">IF($F36&lt;&gt;"",XLOOKUP($F36,Productos!$A:$A,Productos!AB:AB,"Revisar"),"")</f>
        <v/>
      </c>
      <c r="AJ36" s="179" t="str">
        <f t="array" ref="AJ36">IF($F36&lt;&gt;"", XLOOKUP($F36,Productos!$A$2:$A1001,Productos!AC$2:AC1001,"")*$G36,"")</f>
        <v/>
      </c>
      <c r="AK36" s="179" t="str">
        <f t="array" ref="AK36">IF($F36&lt;&gt;"",XLOOKUP($F36,Productos!$A:$A,Productos!AD:AD,"Revisar"),"")</f>
        <v/>
      </c>
      <c r="AL36" s="179" t="str">
        <f t="array" ref="AL36">IF($F36&lt;&gt;"", XLOOKUP($F36,Productos!$A$2:$A1001,Productos!AE$2:AE1001,"")*$G36,"")</f>
        <v/>
      </c>
      <c r="AM36" s="179" t="str">
        <f t="array" ref="AM36">IF($F36&lt;&gt;"",XLOOKUP($F36,Productos!$A:$A,Productos!AF:AF,"Revisar"),"")</f>
        <v/>
      </c>
      <c r="AN36" s="179" t="str">
        <f t="array" ref="AN36">IF($F36&lt;&gt;"", XLOOKUP($F36,Productos!$A$2:$A1001,Productos!AG$2:AG1001,"")*$G36,"")</f>
        <v/>
      </c>
      <c r="AO36" s="179" t="str">
        <f t="array" ref="AO36">IF($F36&lt;&gt;"",XLOOKUP($F36,Productos!$A:$A,Productos!AH:AH,"Revisar"),"")</f>
        <v/>
      </c>
      <c r="AP36" s="179" t="str">
        <f t="array" ref="AP36">IF($F36&lt;&gt;"", XLOOKUP($F36,Productos!$A$2:$A1001,Productos!AI$2:AI1001,"")*$G36,"")</f>
        <v/>
      </c>
      <c r="AQ36" s="179" t="str">
        <f t="array" ref="AQ36">IF($F36&lt;&gt;"",XLOOKUP($F36,Productos!$A:$A,Productos!AJ:AJ,"Revisar"),"")</f>
        <v/>
      </c>
      <c r="AR36" s="179" t="str">
        <f t="array" ref="AR36">IF($F36&lt;&gt;"", XLOOKUP($F36,Productos!$A$2:$A1001,Productos!AK$2:AK1001,"")*$G36,"")</f>
        <v/>
      </c>
      <c r="AS36" s="179" t="str">
        <f t="array" ref="AS36">IF($F36&lt;&gt;"",XLOOKUP($F36,Productos!$A:$A,Productos!AL:AL,"Revisar"),"")</f>
        <v/>
      </c>
      <c r="AT36" s="179" t="str">
        <f t="array" ref="AT36">IF($F36&lt;&gt;"", XLOOKUP($F36,Productos!$A$2:$A1001,Productos!AM$2:AM1001,"")*$G36,"")</f>
        <v/>
      </c>
      <c r="AU36" s="179" t="str">
        <f t="array" ref="AU36">IF($F36&lt;&gt;"",XLOOKUP($F36,Productos!$A:$A,Productos!AN:AN,"Revisar"),"")</f>
        <v/>
      </c>
      <c r="AV36" s="179" t="str">
        <f t="array" ref="AV36">IF($F36&lt;&gt;"", XLOOKUP($F36,Productos!$A$2:$A1001,Productos!AO$2:AO1001,"")*$G36,"")</f>
        <v/>
      </c>
      <c r="AW36" s="179" t="str">
        <f t="array" ref="AW36">IF($F36&lt;&gt;"",XLOOKUP($F36,Productos!$A:$A,Productos!AP:AP,"Revisar"),"")</f>
        <v/>
      </c>
      <c r="AX36" s="179" t="str">
        <f t="array" ref="AX36">IF($F36&lt;&gt;"", XLOOKUP($F36,Productos!$A$2:$A1001,Productos!AQ$2:AQ1001,"")*$G36,"")</f>
        <v/>
      </c>
      <c r="AY36" s="179" t="str">
        <f t="array" ref="AY36">IF($F36&lt;&gt;"",XLOOKUP($F36,Productos!$A:$A,Productos!AR:AR,"Revisar"),"")</f>
        <v/>
      </c>
      <c r="AZ36" s="179" t="str">
        <f t="array" ref="AZ36">IF($F36&lt;&gt;"", XLOOKUP($F36,Productos!$A$2:$A1001,Productos!AS$2:AS1001,"")*$G36,"")</f>
        <v/>
      </c>
      <c r="BA36" s="179" t="str">
        <f t="array" ref="BA36">IF($F36&lt;&gt;"",XLOOKUP($F36,Productos!$A:$A,Productos!AT:AT,"Revisar"),"")</f>
        <v/>
      </c>
      <c r="BB36" s="179" t="str">
        <f t="array" ref="BB36">IF($F36&lt;&gt;"", XLOOKUP($F36,Productos!$A$2:$A1001,Productos!AU$2:AU1001,"")*$G36,"")</f>
        <v/>
      </c>
      <c r="BC36" s="179" t="str">
        <f t="array" ref="BC36">IF($F36&lt;&gt;"",XLOOKUP($F36,Productos!$A:$A,Productos!AV:AV,"Revisar"),"")</f>
        <v/>
      </c>
      <c r="BD36" s="179" t="str">
        <f t="array" ref="BD36">IF($F36&lt;&gt;"", XLOOKUP($F36,Productos!$A$2:$A1001,Productos!AW$2:AW1001,"")*$G36,"")</f>
        <v/>
      </c>
      <c r="BE36" s="179" t="str">
        <f t="array" ref="BE36">IF($F36&lt;&gt;"",XLOOKUP($F36,Productos!$A:$A,Productos!AX:AX,"Revisar"),"")</f>
        <v/>
      </c>
      <c r="BF36" s="179" t="str">
        <f t="array" ref="BF36">IF($F36&lt;&gt;"", XLOOKUP($F36,Productos!$A$2:$A1001,Productos!AY$2:AY1001,"")*$G36,"")</f>
        <v/>
      </c>
      <c r="BG36" s="179" t="str">
        <f t="array" ref="BG36">IF($F36&lt;&gt;"",XLOOKUP($F36,Productos!$A:$A,Productos!AZ:AZ,"Revisar"),"")</f>
        <v/>
      </c>
      <c r="BH36" s="179" t="str">
        <f t="array" ref="BH36">IF($F36&lt;&gt;"", XLOOKUP($F36,Productos!$A$2:$A1001,Productos!BA$2:BA1001,"")*$G36,"")</f>
        <v/>
      </c>
      <c r="BI36" s="179" t="str">
        <f t="array" ref="BI36">IF($F36&lt;&gt;"",XLOOKUP($F36,Productos!$A:$A,Productos!BB:BB,"Revisar"),"")</f>
        <v/>
      </c>
      <c r="BJ36" s="179" t="str">
        <f t="array" ref="BJ36">IF($F36&lt;&gt;"", XLOOKUP($F36,Productos!$A$2:$A1001,Productos!BC$2:BC1001,"")*$G36,"")</f>
        <v/>
      </c>
      <c r="BK36" s="179" t="str">
        <f t="array" ref="BK36">IF($F36&lt;&gt;"",XLOOKUP($F36,Productos!$A:$A,Productos!BD:BD,"Revisar"),"")</f>
        <v/>
      </c>
      <c r="BL36" s="179" t="str">
        <f t="array" ref="BL36">IF($F36&lt;&gt;"", XLOOKUP($F36,Productos!$A$2:$A1001,Productos!BE$2:BE1001,"")*$G36,"")</f>
        <v/>
      </c>
      <c r="BM36" s="179" t="str">
        <f t="array" ref="BM36">IF($F36&lt;&gt;"",XLOOKUP($F36,Productos!$A:$A,Productos!BF:BF,"Revisar"),"")</f>
        <v/>
      </c>
      <c r="BN36" s="179" t="str">
        <f t="array" ref="BN36">IF($F36&lt;&gt;"", XLOOKUP($F36,Productos!$A$2:$A1001,Productos!BG$2:BG1001,"")*$G36,"")</f>
        <v/>
      </c>
      <c r="BO36" s="179" t="str">
        <f t="array" ref="BO36">IF($F36&lt;&gt;"",XLOOKUP($F36,Productos!$A:$A,Productos!BH:BH,"Revisar"),"")</f>
        <v/>
      </c>
      <c r="BP36" s="179" t="str">
        <f t="array" ref="BP36">IF($F36&lt;&gt;"", XLOOKUP($F36,Productos!$A$2:$A1001,Productos!BI$2:BI1001,"")*$G36,"")</f>
        <v/>
      </c>
      <c r="BQ36" s="179" t="str">
        <f t="array" ref="BQ36">IF($F36&lt;&gt;"",XLOOKUP($F36,Productos!$A:$A,Productos!BJ:BJ,"Revisar"),"")</f>
        <v/>
      </c>
      <c r="BR36" s="179" t="str">
        <f t="array" ref="BR36">IF($F36&lt;&gt;"", XLOOKUP($F36,Productos!$A$2:$A1001,Productos!BK$2:BK1001,"")*$G36,"")</f>
        <v/>
      </c>
      <c r="BS36" s="179" t="str">
        <f t="array" ref="BS36">IF($F36&lt;&gt;"",XLOOKUP($F36,Productos!$A:$A,Productos!BL:BL,"Revisar"),"")</f>
        <v/>
      </c>
      <c r="BT36" s="179" t="str">
        <f t="array" ref="BT36">IF($F36&lt;&gt;"", XLOOKUP($F36,Productos!$A$2:$A1001,Productos!BM$2:BM1001,"")*$G36,"")</f>
        <v/>
      </c>
      <c r="BU36" s="179" t="str">
        <f t="array" ref="BU36">IF($F36&lt;&gt;"",XLOOKUP($F36,Productos!$A:$A,Productos!BN:BN,"Revisar"),"")</f>
        <v/>
      </c>
      <c r="BV36" s="179" t="str">
        <f t="array" ref="BV36">IF($F36&lt;&gt;"", XLOOKUP($F36,Productos!$A$2:$A1001,Productos!BO$2:BO1001,"")*$G36,"")</f>
        <v/>
      </c>
      <c r="BW36" s="179" t="str">
        <f t="array" ref="BW36">IF($F36&lt;&gt;"",XLOOKUP($F36,Productos!$A:$A,Productos!BP:BP,"Revisar"),"")</f>
        <v/>
      </c>
      <c r="BX36" s="179" t="str">
        <f t="array" ref="BX36">IF($F36&lt;&gt;"", XLOOKUP($F36,Productos!$A$2:$A1001,Productos!BQ$2:BQ1001,"")*$G36,"")</f>
        <v/>
      </c>
      <c r="BY36" s="179" t="str">
        <f t="array" ref="BY36">IF($F36&lt;&gt;"",XLOOKUP($F36,Productos!$A:$A,Productos!BR:BR,"Revisar"),"")</f>
        <v/>
      </c>
      <c r="BZ36" s="179" t="str">
        <f t="array" ref="BZ36">IF($F36&lt;&gt;"", XLOOKUP($F36,Productos!$A$2:$A1001,Productos!BS$2:BS1001,"")*$G36,"")</f>
        <v/>
      </c>
    </row>
    <row r="37">
      <c r="A37" s="180"/>
      <c r="B37" s="181"/>
      <c r="C37" s="182"/>
      <c r="D37" s="182"/>
      <c r="E37" s="185"/>
      <c r="F37" s="186"/>
      <c r="G37" s="187"/>
      <c r="H37" s="186"/>
      <c r="I37" s="179" t="str">
        <f t="array" ref="I37">IF($F37&lt;&gt;"",XLOOKUP($F37,Productos!$A:$A,Productos!B:B,"Revisar"),"")</f>
        <v/>
      </c>
      <c r="J37" s="179" t="str">
        <f t="array" ref="J37">IF($F37&lt;&gt;"", XLOOKUP($F37,Productos!$A$2:$A1001,Productos!C$2:C1001,"")*$G37,"")</f>
        <v/>
      </c>
      <c r="K37" s="179" t="str">
        <f t="array" ref="K37">IF($F37&lt;&gt;"",XLOOKUP($F37,Productos!$A:$A,Productos!D:D,"Revisar"),"")</f>
        <v/>
      </c>
      <c r="L37" s="179" t="str">
        <f t="array" ref="L37">IF($F37&lt;&gt;"", XLOOKUP($F37,Productos!$A$2:$A1001,Productos!E$2:E1001,"")*$G37,"")</f>
        <v/>
      </c>
      <c r="M37" s="179" t="str">
        <f t="array" ref="M37">IF($F37&lt;&gt;"",XLOOKUP($F37,Productos!$A:$A,Productos!F:F,"Revisar"),"")</f>
        <v/>
      </c>
      <c r="N37" s="179" t="str">
        <f t="array" ref="N37">IF($F37&lt;&gt;"", XLOOKUP($F37,Productos!$A$2:$A1001,Productos!G$2:G1001,"")*$G37,"")</f>
        <v/>
      </c>
      <c r="O37" s="179" t="str">
        <f t="array" ref="O37">IF($F37&lt;&gt;"",XLOOKUP($F37,Productos!$A:$A,Productos!H:H,"Revisar"),"")</f>
        <v/>
      </c>
      <c r="P37" s="179" t="str">
        <f t="array" ref="P37">IF($F37&lt;&gt;"", XLOOKUP($F37,Productos!$A$2:$A1001,Productos!I$2:I1001,"")*$G37,"")</f>
        <v/>
      </c>
      <c r="Q37" s="179" t="str">
        <f t="array" ref="Q37">IF($F37&lt;&gt;"",XLOOKUP($F37,Productos!$A:$A,Productos!J:J,"Revisar"),"")</f>
        <v/>
      </c>
      <c r="R37" s="179" t="str">
        <f t="array" ref="R37">IF($F37&lt;&gt;"", XLOOKUP($F37,Productos!$A$2:$A1001,Productos!K$2:K1001,"")*$G37,"")</f>
        <v/>
      </c>
      <c r="S37" s="179" t="str">
        <f t="array" ref="S37">IF($F37&lt;&gt;"",XLOOKUP($F37,Productos!$A:$A,Productos!L:L,"Revisar"),"")</f>
        <v/>
      </c>
      <c r="T37" s="179" t="str">
        <f t="array" ref="T37">IF($F37&lt;&gt;"", XLOOKUP($F37,Productos!$A$2:$A1001,Productos!M$2:M1001,"")*$G37,"")</f>
        <v/>
      </c>
      <c r="U37" s="179" t="str">
        <f t="array" ref="U37">IF($F37&lt;&gt;"",XLOOKUP($F37,Productos!$A:$A,Productos!N:N,"Revisar"),"")</f>
        <v/>
      </c>
      <c r="V37" s="179" t="str">
        <f t="array" ref="V37">IF($F37&lt;&gt;"", XLOOKUP($F37,Productos!$A$2:$A1001,Productos!O$2:O1001,"")*$G37,"")</f>
        <v/>
      </c>
      <c r="W37" s="179" t="str">
        <f t="array" ref="W37">IF($F37&lt;&gt;"",XLOOKUP($F37,Productos!$A:$A,Productos!P:P,"Revisar"),"")</f>
        <v/>
      </c>
      <c r="X37" s="179" t="str">
        <f t="array" ref="X37">IF($F37&lt;&gt;"", XLOOKUP($F37,Productos!$A$2:$A1001,Productos!Q$2:Q1001,"")*$G37,"")</f>
        <v/>
      </c>
      <c r="Y37" s="179" t="str">
        <f t="array" ref="Y37">IF($F37&lt;&gt;"",XLOOKUP($F37,Productos!$A:$A,Productos!R:R,"Revisar"),"")</f>
        <v/>
      </c>
      <c r="Z37" s="179" t="str">
        <f t="array" ref="Z37">IF($F37&lt;&gt;"", XLOOKUP($F37,Productos!$A$2:$A1001,Productos!S$2:S1001,"")*$G37,"")</f>
        <v/>
      </c>
      <c r="AA37" s="179" t="str">
        <f t="array" ref="AA37">IF($F37&lt;&gt;"",XLOOKUP($F37,Productos!$A:$A,Productos!T:T,"Revisar"),"")</f>
        <v/>
      </c>
      <c r="AB37" s="179" t="str">
        <f t="array" ref="AB37">IF($F37&lt;&gt;"", XLOOKUP($F37,Productos!$A$2:$A1001,Productos!U$2:U1001,"")*$G37,"")</f>
        <v/>
      </c>
      <c r="AC37" s="179" t="str">
        <f t="array" ref="AC37">IF($F37&lt;&gt;"",XLOOKUP($F37,Productos!$A:$A,Productos!V:V,"Revisar"),"")</f>
        <v/>
      </c>
      <c r="AD37" s="179" t="str">
        <f t="array" ref="AD37">IF($F37&lt;&gt;"", XLOOKUP($F37,Productos!$A$2:$A1001,Productos!W$2:W1001,"")*$G37,"")</f>
        <v/>
      </c>
      <c r="AE37" s="179" t="str">
        <f t="array" ref="AE37">IF($F37&lt;&gt;"",XLOOKUP($F37,Productos!$A:$A,Productos!X:X,"Revisar"),"")</f>
        <v/>
      </c>
      <c r="AF37" s="179" t="str">
        <f t="array" ref="AF37">IF($F37&lt;&gt;"", XLOOKUP($F37,Productos!$A$2:$A1001,Productos!Y$2:Y1001,"")*$G37,"")</f>
        <v/>
      </c>
      <c r="AG37" s="179" t="str">
        <f t="array" ref="AG37">IF($F37&lt;&gt;"",XLOOKUP($F37,Productos!$A:$A,Productos!Z:Z,"Revisar"),"")</f>
        <v/>
      </c>
      <c r="AH37" s="179" t="str">
        <f t="array" ref="AH37">IF($F37&lt;&gt;"", XLOOKUP($F37,Productos!$A$2:$A1001,Productos!AA$2:AA1001,"")*$G37,"")</f>
        <v/>
      </c>
      <c r="AI37" s="179" t="str">
        <f t="array" ref="AI37">IF($F37&lt;&gt;"",XLOOKUP($F37,Productos!$A:$A,Productos!AB:AB,"Revisar"),"")</f>
        <v/>
      </c>
      <c r="AJ37" s="179" t="str">
        <f t="array" ref="AJ37">IF($F37&lt;&gt;"", XLOOKUP($F37,Productos!$A$2:$A1001,Productos!AC$2:AC1001,"")*$G37,"")</f>
        <v/>
      </c>
      <c r="AK37" s="179" t="str">
        <f t="array" ref="AK37">IF($F37&lt;&gt;"",XLOOKUP($F37,Productos!$A:$A,Productos!AD:AD,"Revisar"),"")</f>
        <v/>
      </c>
      <c r="AL37" s="179" t="str">
        <f t="array" ref="AL37">IF($F37&lt;&gt;"", XLOOKUP($F37,Productos!$A$2:$A1001,Productos!AE$2:AE1001,"")*$G37,"")</f>
        <v/>
      </c>
      <c r="AM37" s="179" t="str">
        <f t="array" ref="AM37">IF($F37&lt;&gt;"",XLOOKUP($F37,Productos!$A:$A,Productos!AF:AF,"Revisar"),"")</f>
        <v/>
      </c>
      <c r="AN37" s="179" t="str">
        <f t="array" ref="AN37">IF($F37&lt;&gt;"", XLOOKUP($F37,Productos!$A$2:$A1001,Productos!AG$2:AG1001,"")*$G37,"")</f>
        <v/>
      </c>
      <c r="AO37" s="179" t="str">
        <f t="array" ref="AO37">IF($F37&lt;&gt;"",XLOOKUP($F37,Productos!$A:$A,Productos!AH:AH,"Revisar"),"")</f>
        <v/>
      </c>
      <c r="AP37" s="179" t="str">
        <f t="array" ref="AP37">IF($F37&lt;&gt;"", XLOOKUP($F37,Productos!$A$2:$A1001,Productos!AI$2:AI1001,"")*$G37,"")</f>
        <v/>
      </c>
      <c r="AQ37" s="179" t="str">
        <f t="array" ref="AQ37">IF($F37&lt;&gt;"",XLOOKUP($F37,Productos!$A:$A,Productos!AJ:AJ,"Revisar"),"")</f>
        <v/>
      </c>
      <c r="AR37" s="179" t="str">
        <f t="array" ref="AR37">IF($F37&lt;&gt;"", XLOOKUP($F37,Productos!$A$2:$A1001,Productos!AK$2:AK1001,"")*$G37,"")</f>
        <v/>
      </c>
      <c r="AS37" s="179" t="str">
        <f t="array" ref="AS37">IF($F37&lt;&gt;"",XLOOKUP($F37,Productos!$A:$A,Productos!AL:AL,"Revisar"),"")</f>
        <v/>
      </c>
      <c r="AT37" s="179" t="str">
        <f t="array" ref="AT37">IF($F37&lt;&gt;"", XLOOKUP($F37,Productos!$A$2:$A1001,Productos!AM$2:AM1001,"")*$G37,"")</f>
        <v/>
      </c>
      <c r="AU37" s="179" t="str">
        <f t="array" ref="AU37">IF($F37&lt;&gt;"",XLOOKUP($F37,Productos!$A:$A,Productos!AN:AN,"Revisar"),"")</f>
        <v/>
      </c>
      <c r="AV37" s="179" t="str">
        <f t="array" ref="AV37">IF($F37&lt;&gt;"", XLOOKUP($F37,Productos!$A$2:$A1001,Productos!AO$2:AO1001,"")*$G37,"")</f>
        <v/>
      </c>
      <c r="AW37" s="179" t="str">
        <f t="array" ref="AW37">IF($F37&lt;&gt;"",XLOOKUP($F37,Productos!$A:$A,Productos!AP:AP,"Revisar"),"")</f>
        <v/>
      </c>
      <c r="AX37" s="179" t="str">
        <f t="array" ref="AX37">IF($F37&lt;&gt;"", XLOOKUP($F37,Productos!$A$2:$A1001,Productos!AQ$2:AQ1001,"")*$G37,"")</f>
        <v/>
      </c>
      <c r="AY37" s="179" t="str">
        <f t="array" ref="AY37">IF($F37&lt;&gt;"",XLOOKUP($F37,Productos!$A:$A,Productos!AR:AR,"Revisar"),"")</f>
        <v/>
      </c>
      <c r="AZ37" s="179" t="str">
        <f t="array" ref="AZ37">IF($F37&lt;&gt;"", XLOOKUP($F37,Productos!$A$2:$A1001,Productos!AS$2:AS1001,"")*$G37,"")</f>
        <v/>
      </c>
      <c r="BA37" s="179" t="str">
        <f t="array" ref="BA37">IF($F37&lt;&gt;"",XLOOKUP($F37,Productos!$A:$A,Productos!AT:AT,"Revisar"),"")</f>
        <v/>
      </c>
      <c r="BB37" s="179" t="str">
        <f t="array" ref="BB37">IF($F37&lt;&gt;"", XLOOKUP($F37,Productos!$A$2:$A1001,Productos!AU$2:AU1001,"")*$G37,"")</f>
        <v/>
      </c>
      <c r="BC37" s="179" t="str">
        <f t="array" ref="BC37">IF($F37&lt;&gt;"",XLOOKUP($F37,Productos!$A:$A,Productos!AV:AV,"Revisar"),"")</f>
        <v/>
      </c>
      <c r="BD37" s="179" t="str">
        <f t="array" ref="BD37">IF($F37&lt;&gt;"", XLOOKUP($F37,Productos!$A$2:$A1001,Productos!AW$2:AW1001,"")*$G37,"")</f>
        <v/>
      </c>
      <c r="BE37" s="179" t="str">
        <f t="array" ref="BE37">IF($F37&lt;&gt;"",XLOOKUP($F37,Productos!$A:$A,Productos!AX:AX,"Revisar"),"")</f>
        <v/>
      </c>
      <c r="BF37" s="179" t="str">
        <f t="array" ref="BF37">IF($F37&lt;&gt;"", XLOOKUP($F37,Productos!$A$2:$A1001,Productos!AY$2:AY1001,"")*$G37,"")</f>
        <v/>
      </c>
      <c r="BG37" s="179" t="str">
        <f t="array" ref="BG37">IF($F37&lt;&gt;"",XLOOKUP($F37,Productos!$A:$A,Productos!AZ:AZ,"Revisar"),"")</f>
        <v/>
      </c>
      <c r="BH37" s="179" t="str">
        <f t="array" ref="BH37">IF($F37&lt;&gt;"", XLOOKUP($F37,Productos!$A$2:$A1001,Productos!BA$2:BA1001,"")*$G37,"")</f>
        <v/>
      </c>
      <c r="BI37" s="179" t="str">
        <f t="array" ref="BI37">IF($F37&lt;&gt;"",XLOOKUP($F37,Productos!$A:$A,Productos!BB:BB,"Revisar"),"")</f>
        <v/>
      </c>
      <c r="BJ37" s="179" t="str">
        <f t="array" ref="BJ37">IF($F37&lt;&gt;"", XLOOKUP($F37,Productos!$A$2:$A1001,Productos!BC$2:BC1001,"")*$G37,"")</f>
        <v/>
      </c>
      <c r="BK37" s="179" t="str">
        <f t="array" ref="BK37">IF($F37&lt;&gt;"",XLOOKUP($F37,Productos!$A:$A,Productos!BD:BD,"Revisar"),"")</f>
        <v/>
      </c>
      <c r="BL37" s="179" t="str">
        <f t="array" ref="BL37">IF($F37&lt;&gt;"", XLOOKUP($F37,Productos!$A$2:$A1001,Productos!BE$2:BE1001,"")*$G37,"")</f>
        <v/>
      </c>
      <c r="BM37" s="179" t="str">
        <f t="array" ref="BM37">IF($F37&lt;&gt;"",XLOOKUP($F37,Productos!$A:$A,Productos!BF:BF,"Revisar"),"")</f>
        <v/>
      </c>
      <c r="BN37" s="179" t="str">
        <f t="array" ref="BN37">IF($F37&lt;&gt;"", XLOOKUP($F37,Productos!$A$2:$A1001,Productos!BG$2:BG1001,"")*$G37,"")</f>
        <v/>
      </c>
      <c r="BO37" s="179" t="str">
        <f t="array" ref="BO37">IF($F37&lt;&gt;"",XLOOKUP($F37,Productos!$A:$A,Productos!BH:BH,"Revisar"),"")</f>
        <v/>
      </c>
      <c r="BP37" s="179" t="str">
        <f t="array" ref="BP37">IF($F37&lt;&gt;"", XLOOKUP($F37,Productos!$A$2:$A1001,Productos!BI$2:BI1001,"")*$G37,"")</f>
        <v/>
      </c>
      <c r="BQ37" s="179" t="str">
        <f t="array" ref="BQ37">IF($F37&lt;&gt;"",XLOOKUP($F37,Productos!$A:$A,Productos!BJ:BJ,"Revisar"),"")</f>
        <v/>
      </c>
      <c r="BR37" s="179" t="str">
        <f t="array" ref="BR37">IF($F37&lt;&gt;"", XLOOKUP($F37,Productos!$A$2:$A1001,Productos!BK$2:BK1001,"")*$G37,"")</f>
        <v/>
      </c>
      <c r="BS37" s="179" t="str">
        <f t="array" ref="BS37">IF($F37&lt;&gt;"",XLOOKUP($F37,Productos!$A:$A,Productos!BL:BL,"Revisar"),"")</f>
        <v/>
      </c>
      <c r="BT37" s="179" t="str">
        <f t="array" ref="BT37">IF($F37&lt;&gt;"", XLOOKUP($F37,Productos!$A$2:$A1001,Productos!BM$2:BM1001,"")*$G37,"")</f>
        <v/>
      </c>
      <c r="BU37" s="179" t="str">
        <f t="array" ref="BU37">IF($F37&lt;&gt;"",XLOOKUP($F37,Productos!$A:$A,Productos!BN:BN,"Revisar"),"")</f>
        <v/>
      </c>
      <c r="BV37" s="179" t="str">
        <f t="array" ref="BV37">IF($F37&lt;&gt;"", XLOOKUP($F37,Productos!$A$2:$A1001,Productos!BO$2:BO1001,"")*$G37,"")</f>
        <v/>
      </c>
      <c r="BW37" s="179" t="str">
        <f t="array" ref="BW37">IF($F37&lt;&gt;"",XLOOKUP($F37,Productos!$A:$A,Productos!BP:BP,"Revisar"),"")</f>
        <v/>
      </c>
      <c r="BX37" s="179" t="str">
        <f t="array" ref="BX37">IF($F37&lt;&gt;"", XLOOKUP($F37,Productos!$A$2:$A1001,Productos!BQ$2:BQ1001,"")*$G37,"")</f>
        <v/>
      </c>
      <c r="BY37" s="179" t="str">
        <f t="array" ref="BY37">IF($F37&lt;&gt;"",XLOOKUP($F37,Productos!$A:$A,Productos!BR:BR,"Revisar"),"")</f>
        <v/>
      </c>
      <c r="BZ37" s="179" t="str">
        <f t="array" ref="BZ37">IF($F37&lt;&gt;"", XLOOKUP($F37,Productos!$A$2:$A1001,Productos!BS$2:BS1001,"")*$G37,"")</f>
        <v/>
      </c>
    </row>
    <row r="38">
      <c r="A38" s="180"/>
      <c r="B38" s="181"/>
      <c r="C38" s="182"/>
      <c r="D38" s="182"/>
      <c r="E38" s="185"/>
      <c r="F38" s="186"/>
      <c r="G38" s="187"/>
      <c r="H38" s="186"/>
      <c r="I38" s="179" t="str">
        <f t="array" ref="I38">IF($F38&lt;&gt;"",XLOOKUP($F38,Productos!$A:$A,Productos!B:B,"Revisar"),"")</f>
        <v/>
      </c>
      <c r="J38" s="179" t="str">
        <f t="array" ref="J38">IF($F38&lt;&gt;"", XLOOKUP($F38,Productos!$A$2:$A1001,Productos!C$2:C1001,"")*$G38,"")</f>
        <v/>
      </c>
      <c r="K38" s="179" t="str">
        <f t="array" ref="K38">IF($F38&lt;&gt;"",XLOOKUP($F38,Productos!$A:$A,Productos!D:D,"Revisar"),"")</f>
        <v/>
      </c>
      <c r="L38" s="179" t="str">
        <f t="array" ref="L38">IF($F38&lt;&gt;"", XLOOKUP($F38,Productos!$A$2:$A1001,Productos!E$2:E1001,"")*$G38,"")</f>
        <v/>
      </c>
      <c r="M38" s="179" t="str">
        <f t="array" ref="M38">IF($F38&lt;&gt;"",XLOOKUP($F38,Productos!$A:$A,Productos!F:F,"Revisar"),"")</f>
        <v/>
      </c>
      <c r="N38" s="179" t="str">
        <f t="array" ref="N38">IF($F38&lt;&gt;"", XLOOKUP($F38,Productos!$A$2:$A1001,Productos!G$2:G1001,"")*$G38,"")</f>
        <v/>
      </c>
      <c r="O38" s="179" t="str">
        <f t="array" ref="O38">IF($F38&lt;&gt;"",XLOOKUP($F38,Productos!$A:$A,Productos!H:H,"Revisar"),"")</f>
        <v/>
      </c>
      <c r="P38" s="179" t="str">
        <f t="array" ref="P38">IF($F38&lt;&gt;"", XLOOKUP($F38,Productos!$A$2:$A1001,Productos!I$2:I1001,"")*$G38,"")</f>
        <v/>
      </c>
      <c r="Q38" s="179" t="str">
        <f t="array" ref="Q38">IF($F38&lt;&gt;"",XLOOKUP($F38,Productos!$A:$A,Productos!J:J,"Revisar"),"")</f>
        <v/>
      </c>
      <c r="R38" s="179" t="str">
        <f t="array" ref="R38">IF($F38&lt;&gt;"", XLOOKUP($F38,Productos!$A$2:$A1001,Productos!K$2:K1001,"")*$G38,"")</f>
        <v/>
      </c>
      <c r="S38" s="179" t="str">
        <f t="array" ref="S38">IF($F38&lt;&gt;"",XLOOKUP($F38,Productos!$A:$A,Productos!L:L,"Revisar"),"")</f>
        <v/>
      </c>
      <c r="T38" s="179" t="str">
        <f t="array" ref="T38">IF($F38&lt;&gt;"", XLOOKUP($F38,Productos!$A$2:$A1001,Productos!M$2:M1001,"")*$G38,"")</f>
        <v/>
      </c>
      <c r="U38" s="179" t="str">
        <f t="array" ref="U38">IF($F38&lt;&gt;"",XLOOKUP($F38,Productos!$A:$A,Productos!N:N,"Revisar"),"")</f>
        <v/>
      </c>
      <c r="V38" s="179" t="str">
        <f t="array" ref="V38">IF($F38&lt;&gt;"", XLOOKUP($F38,Productos!$A$2:$A1001,Productos!O$2:O1001,"")*$G38,"")</f>
        <v/>
      </c>
      <c r="W38" s="179" t="str">
        <f t="array" ref="W38">IF($F38&lt;&gt;"",XLOOKUP($F38,Productos!$A:$A,Productos!P:P,"Revisar"),"")</f>
        <v/>
      </c>
      <c r="X38" s="179" t="str">
        <f t="array" ref="X38">IF($F38&lt;&gt;"", XLOOKUP($F38,Productos!$A$2:$A1001,Productos!Q$2:Q1001,"")*$G38,"")</f>
        <v/>
      </c>
      <c r="Y38" s="179" t="str">
        <f t="array" ref="Y38">IF($F38&lt;&gt;"",XLOOKUP($F38,Productos!$A:$A,Productos!R:R,"Revisar"),"")</f>
        <v/>
      </c>
      <c r="Z38" s="179" t="str">
        <f t="array" ref="Z38">IF($F38&lt;&gt;"", XLOOKUP($F38,Productos!$A$2:$A1001,Productos!S$2:S1001,"")*$G38,"")</f>
        <v/>
      </c>
      <c r="AA38" s="179" t="str">
        <f t="array" ref="AA38">IF($F38&lt;&gt;"",XLOOKUP($F38,Productos!$A:$A,Productos!T:T,"Revisar"),"")</f>
        <v/>
      </c>
      <c r="AB38" s="179" t="str">
        <f t="array" ref="AB38">IF($F38&lt;&gt;"", XLOOKUP($F38,Productos!$A$2:$A1001,Productos!U$2:U1001,"")*$G38,"")</f>
        <v/>
      </c>
      <c r="AC38" s="179" t="str">
        <f t="array" ref="AC38">IF($F38&lt;&gt;"",XLOOKUP($F38,Productos!$A:$A,Productos!V:V,"Revisar"),"")</f>
        <v/>
      </c>
      <c r="AD38" s="179" t="str">
        <f t="array" ref="AD38">IF($F38&lt;&gt;"", XLOOKUP($F38,Productos!$A$2:$A1001,Productos!W$2:W1001,"")*$G38,"")</f>
        <v/>
      </c>
      <c r="AE38" s="179" t="str">
        <f t="array" ref="AE38">IF($F38&lt;&gt;"",XLOOKUP($F38,Productos!$A:$A,Productos!X:X,"Revisar"),"")</f>
        <v/>
      </c>
      <c r="AF38" s="179" t="str">
        <f t="array" ref="AF38">IF($F38&lt;&gt;"", XLOOKUP($F38,Productos!$A$2:$A1001,Productos!Y$2:Y1001,"")*$G38,"")</f>
        <v/>
      </c>
      <c r="AG38" s="179" t="str">
        <f t="array" ref="AG38">IF($F38&lt;&gt;"",XLOOKUP($F38,Productos!$A:$A,Productos!Z:Z,"Revisar"),"")</f>
        <v/>
      </c>
      <c r="AH38" s="179" t="str">
        <f t="array" ref="AH38">IF($F38&lt;&gt;"", XLOOKUP($F38,Productos!$A$2:$A1001,Productos!AA$2:AA1001,"")*$G38,"")</f>
        <v/>
      </c>
      <c r="AI38" s="179" t="str">
        <f t="array" ref="AI38">IF($F38&lt;&gt;"",XLOOKUP($F38,Productos!$A:$A,Productos!AB:AB,"Revisar"),"")</f>
        <v/>
      </c>
      <c r="AJ38" s="179" t="str">
        <f t="array" ref="AJ38">IF($F38&lt;&gt;"", XLOOKUP($F38,Productos!$A$2:$A1001,Productos!AC$2:AC1001,"")*$G38,"")</f>
        <v/>
      </c>
      <c r="AK38" s="179" t="str">
        <f t="array" ref="AK38">IF($F38&lt;&gt;"",XLOOKUP($F38,Productos!$A:$A,Productos!AD:AD,"Revisar"),"")</f>
        <v/>
      </c>
      <c r="AL38" s="179" t="str">
        <f t="array" ref="AL38">IF($F38&lt;&gt;"", XLOOKUP($F38,Productos!$A$2:$A1001,Productos!AE$2:AE1001,"")*$G38,"")</f>
        <v/>
      </c>
      <c r="AM38" s="179" t="str">
        <f t="array" ref="AM38">IF($F38&lt;&gt;"",XLOOKUP($F38,Productos!$A:$A,Productos!AF:AF,"Revisar"),"")</f>
        <v/>
      </c>
      <c r="AN38" s="179" t="str">
        <f t="array" ref="AN38">IF($F38&lt;&gt;"", XLOOKUP($F38,Productos!$A$2:$A1001,Productos!AG$2:AG1001,"")*$G38,"")</f>
        <v/>
      </c>
      <c r="AO38" s="179" t="str">
        <f t="array" ref="AO38">IF($F38&lt;&gt;"",XLOOKUP($F38,Productos!$A:$A,Productos!AH:AH,"Revisar"),"")</f>
        <v/>
      </c>
      <c r="AP38" s="179" t="str">
        <f t="array" ref="AP38">IF($F38&lt;&gt;"", XLOOKUP($F38,Productos!$A$2:$A1001,Productos!AI$2:AI1001,"")*$G38,"")</f>
        <v/>
      </c>
      <c r="AQ38" s="179" t="str">
        <f t="array" ref="AQ38">IF($F38&lt;&gt;"",XLOOKUP($F38,Productos!$A:$A,Productos!AJ:AJ,"Revisar"),"")</f>
        <v/>
      </c>
      <c r="AR38" s="179" t="str">
        <f t="array" ref="AR38">IF($F38&lt;&gt;"", XLOOKUP($F38,Productos!$A$2:$A1001,Productos!AK$2:AK1001,"")*$G38,"")</f>
        <v/>
      </c>
      <c r="AS38" s="179" t="str">
        <f t="array" ref="AS38">IF($F38&lt;&gt;"",XLOOKUP($F38,Productos!$A:$A,Productos!AL:AL,"Revisar"),"")</f>
        <v/>
      </c>
      <c r="AT38" s="179" t="str">
        <f t="array" ref="AT38">IF($F38&lt;&gt;"", XLOOKUP($F38,Productos!$A$2:$A1001,Productos!AM$2:AM1001,"")*$G38,"")</f>
        <v/>
      </c>
      <c r="AU38" s="179" t="str">
        <f t="array" ref="AU38">IF($F38&lt;&gt;"",XLOOKUP($F38,Productos!$A:$A,Productos!AN:AN,"Revisar"),"")</f>
        <v/>
      </c>
      <c r="AV38" s="179" t="str">
        <f t="array" ref="AV38">IF($F38&lt;&gt;"", XLOOKUP($F38,Productos!$A$2:$A1001,Productos!AO$2:AO1001,"")*$G38,"")</f>
        <v/>
      </c>
      <c r="AW38" s="179" t="str">
        <f t="array" ref="AW38">IF($F38&lt;&gt;"",XLOOKUP($F38,Productos!$A:$A,Productos!AP:AP,"Revisar"),"")</f>
        <v/>
      </c>
      <c r="AX38" s="179" t="str">
        <f t="array" ref="AX38">IF($F38&lt;&gt;"", XLOOKUP($F38,Productos!$A$2:$A1001,Productos!AQ$2:AQ1001,"")*$G38,"")</f>
        <v/>
      </c>
      <c r="AY38" s="179" t="str">
        <f t="array" ref="AY38">IF($F38&lt;&gt;"",XLOOKUP($F38,Productos!$A:$A,Productos!AR:AR,"Revisar"),"")</f>
        <v/>
      </c>
      <c r="AZ38" s="179" t="str">
        <f t="array" ref="AZ38">IF($F38&lt;&gt;"", XLOOKUP($F38,Productos!$A$2:$A1001,Productos!AS$2:AS1001,"")*$G38,"")</f>
        <v/>
      </c>
      <c r="BA38" s="179" t="str">
        <f t="array" ref="BA38">IF($F38&lt;&gt;"",XLOOKUP($F38,Productos!$A:$A,Productos!AT:AT,"Revisar"),"")</f>
        <v/>
      </c>
      <c r="BB38" s="179" t="str">
        <f t="array" ref="BB38">IF($F38&lt;&gt;"", XLOOKUP($F38,Productos!$A$2:$A1001,Productos!AU$2:AU1001,"")*$G38,"")</f>
        <v/>
      </c>
      <c r="BC38" s="179" t="str">
        <f t="array" ref="BC38">IF($F38&lt;&gt;"",XLOOKUP($F38,Productos!$A:$A,Productos!AV:AV,"Revisar"),"")</f>
        <v/>
      </c>
      <c r="BD38" s="179" t="str">
        <f t="array" ref="BD38">IF($F38&lt;&gt;"", XLOOKUP($F38,Productos!$A$2:$A1001,Productos!AW$2:AW1001,"")*$G38,"")</f>
        <v/>
      </c>
      <c r="BE38" s="179" t="str">
        <f t="array" ref="BE38">IF($F38&lt;&gt;"",XLOOKUP($F38,Productos!$A:$A,Productos!AX:AX,"Revisar"),"")</f>
        <v/>
      </c>
      <c r="BF38" s="179" t="str">
        <f t="array" ref="BF38">IF($F38&lt;&gt;"", XLOOKUP($F38,Productos!$A$2:$A1001,Productos!AY$2:AY1001,"")*$G38,"")</f>
        <v/>
      </c>
      <c r="BG38" s="179" t="str">
        <f t="array" ref="BG38">IF($F38&lt;&gt;"",XLOOKUP($F38,Productos!$A:$A,Productos!AZ:AZ,"Revisar"),"")</f>
        <v/>
      </c>
      <c r="BH38" s="179" t="str">
        <f t="array" ref="BH38">IF($F38&lt;&gt;"", XLOOKUP($F38,Productos!$A$2:$A1001,Productos!BA$2:BA1001,"")*$G38,"")</f>
        <v/>
      </c>
      <c r="BI38" s="179" t="str">
        <f t="array" ref="BI38">IF($F38&lt;&gt;"",XLOOKUP($F38,Productos!$A:$A,Productos!BB:BB,"Revisar"),"")</f>
        <v/>
      </c>
      <c r="BJ38" s="179" t="str">
        <f t="array" ref="BJ38">IF($F38&lt;&gt;"", XLOOKUP($F38,Productos!$A$2:$A1001,Productos!BC$2:BC1001,"")*$G38,"")</f>
        <v/>
      </c>
      <c r="BK38" s="179" t="str">
        <f t="array" ref="BK38">IF($F38&lt;&gt;"",XLOOKUP($F38,Productos!$A:$A,Productos!BD:BD,"Revisar"),"")</f>
        <v/>
      </c>
      <c r="BL38" s="179" t="str">
        <f t="array" ref="BL38">IF($F38&lt;&gt;"", XLOOKUP($F38,Productos!$A$2:$A1001,Productos!BE$2:BE1001,"")*$G38,"")</f>
        <v/>
      </c>
      <c r="BM38" s="179" t="str">
        <f t="array" ref="BM38">IF($F38&lt;&gt;"",XLOOKUP($F38,Productos!$A:$A,Productos!BF:BF,"Revisar"),"")</f>
        <v/>
      </c>
      <c r="BN38" s="179" t="str">
        <f t="array" ref="BN38">IF($F38&lt;&gt;"", XLOOKUP($F38,Productos!$A$2:$A1001,Productos!BG$2:BG1001,"")*$G38,"")</f>
        <v/>
      </c>
      <c r="BO38" s="179" t="str">
        <f t="array" ref="BO38">IF($F38&lt;&gt;"",XLOOKUP($F38,Productos!$A:$A,Productos!BH:BH,"Revisar"),"")</f>
        <v/>
      </c>
      <c r="BP38" s="179" t="str">
        <f t="array" ref="BP38">IF($F38&lt;&gt;"", XLOOKUP($F38,Productos!$A$2:$A1001,Productos!BI$2:BI1001,"")*$G38,"")</f>
        <v/>
      </c>
      <c r="BQ38" s="179" t="str">
        <f t="array" ref="BQ38">IF($F38&lt;&gt;"",XLOOKUP($F38,Productos!$A:$A,Productos!BJ:BJ,"Revisar"),"")</f>
        <v/>
      </c>
      <c r="BR38" s="179" t="str">
        <f t="array" ref="BR38">IF($F38&lt;&gt;"", XLOOKUP($F38,Productos!$A$2:$A1001,Productos!BK$2:BK1001,"")*$G38,"")</f>
        <v/>
      </c>
      <c r="BS38" s="179" t="str">
        <f t="array" ref="BS38">IF($F38&lt;&gt;"",XLOOKUP($F38,Productos!$A:$A,Productos!BL:BL,"Revisar"),"")</f>
        <v/>
      </c>
      <c r="BT38" s="179" t="str">
        <f t="array" ref="BT38">IF($F38&lt;&gt;"", XLOOKUP($F38,Productos!$A$2:$A1001,Productos!BM$2:BM1001,"")*$G38,"")</f>
        <v/>
      </c>
      <c r="BU38" s="179" t="str">
        <f t="array" ref="BU38">IF($F38&lt;&gt;"",XLOOKUP($F38,Productos!$A:$A,Productos!BN:BN,"Revisar"),"")</f>
        <v/>
      </c>
      <c r="BV38" s="179" t="str">
        <f t="array" ref="BV38">IF($F38&lt;&gt;"", XLOOKUP($F38,Productos!$A$2:$A1001,Productos!BO$2:BO1001,"")*$G38,"")</f>
        <v/>
      </c>
      <c r="BW38" s="179" t="str">
        <f t="array" ref="BW38">IF($F38&lt;&gt;"",XLOOKUP($F38,Productos!$A:$A,Productos!BP:BP,"Revisar"),"")</f>
        <v/>
      </c>
      <c r="BX38" s="179" t="str">
        <f t="array" ref="BX38">IF($F38&lt;&gt;"", XLOOKUP($F38,Productos!$A$2:$A1001,Productos!BQ$2:BQ1001,"")*$G38,"")</f>
        <v/>
      </c>
      <c r="BY38" s="179" t="str">
        <f t="array" ref="BY38">IF($F38&lt;&gt;"",XLOOKUP($F38,Productos!$A:$A,Productos!BR:BR,"Revisar"),"")</f>
        <v/>
      </c>
      <c r="BZ38" s="179" t="str">
        <f t="array" ref="BZ38">IF($F38&lt;&gt;"", XLOOKUP($F38,Productos!$A$2:$A1001,Productos!BS$2:BS1001,"")*$G38,"")</f>
        <v/>
      </c>
    </row>
    <row r="39">
      <c r="A39" s="180"/>
      <c r="B39" s="181"/>
      <c r="C39" s="182"/>
      <c r="D39" s="182"/>
      <c r="E39" s="185"/>
      <c r="F39" s="186"/>
      <c r="G39" s="187"/>
      <c r="H39" s="186"/>
      <c r="I39" s="179" t="str">
        <f t="array" ref="I39">IF($F39&lt;&gt;"",XLOOKUP($F39,Productos!$A:$A,Productos!B:B,"Revisar"),"")</f>
        <v/>
      </c>
      <c r="J39" s="179" t="str">
        <f t="array" ref="J39">IF($F39&lt;&gt;"", XLOOKUP($F39,Productos!$A$2:$A1001,Productos!C$2:C1001,"")*$G39,"")</f>
        <v/>
      </c>
      <c r="K39" s="179" t="str">
        <f t="array" ref="K39">IF($F39&lt;&gt;"",XLOOKUP($F39,Productos!$A:$A,Productos!D:D,"Revisar"),"")</f>
        <v/>
      </c>
      <c r="L39" s="179" t="str">
        <f t="array" ref="L39">IF($F39&lt;&gt;"", XLOOKUP($F39,Productos!$A$2:$A1001,Productos!E$2:E1001,"")*$G39,"")</f>
        <v/>
      </c>
      <c r="M39" s="179" t="str">
        <f t="array" ref="M39">IF($F39&lt;&gt;"",XLOOKUP($F39,Productos!$A:$A,Productos!F:F,"Revisar"),"")</f>
        <v/>
      </c>
      <c r="N39" s="179" t="str">
        <f t="array" ref="N39">IF($F39&lt;&gt;"", XLOOKUP($F39,Productos!$A$2:$A1001,Productos!G$2:G1001,"")*$G39,"")</f>
        <v/>
      </c>
      <c r="O39" s="179" t="str">
        <f t="array" ref="O39">IF($F39&lt;&gt;"",XLOOKUP($F39,Productos!$A:$A,Productos!H:H,"Revisar"),"")</f>
        <v/>
      </c>
      <c r="P39" s="179" t="str">
        <f t="array" ref="P39">IF($F39&lt;&gt;"", XLOOKUP($F39,Productos!$A$2:$A1001,Productos!I$2:I1001,"")*$G39,"")</f>
        <v/>
      </c>
      <c r="Q39" s="179" t="str">
        <f t="array" ref="Q39">IF($F39&lt;&gt;"",XLOOKUP($F39,Productos!$A:$A,Productos!J:J,"Revisar"),"")</f>
        <v/>
      </c>
      <c r="R39" s="179" t="str">
        <f t="array" ref="R39">IF($F39&lt;&gt;"", XLOOKUP($F39,Productos!$A$2:$A1001,Productos!K$2:K1001,"")*$G39,"")</f>
        <v/>
      </c>
      <c r="S39" s="179" t="str">
        <f t="array" ref="S39">IF($F39&lt;&gt;"",XLOOKUP($F39,Productos!$A:$A,Productos!L:L,"Revisar"),"")</f>
        <v/>
      </c>
      <c r="T39" s="179" t="str">
        <f t="array" ref="T39">IF($F39&lt;&gt;"", XLOOKUP($F39,Productos!$A$2:$A1001,Productos!M$2:M1001,"")*$G39,"")</f>
        <v/>
      </c>
      <c r="U39" s="179" t="str">
        <f t="array" ref="U39">IF($F39&lt;&gt;"",XLOOKUP($F39,Productos!$A:$A,Productos!N:N,"Revisar"),"")</f>
        <v/>
      </c>
      <c r="V39" s="179" t="str">
        <f t="array" ref="V39">IF($F39&lt;&gt;"", XLOOKUP($F39,Productos!$A$2:$A1001,Productos!O$2:O1001,"")*$G39,"")</f>
        <v/>
      </c>
      <c r="W39" s="179" t="str">
        <f t="array" ref="W39">IF($F39&lt;&gt;"",XLOOKUP($F39,Productos!$A:$A,Productos!P:P,"Revisar"),"")</f>
        <v/>
      </c>
      <c r="X39" s="179" t="str">
        <f t="array" ref="X39">IF($F39&lt;&gt;"", XLOOKUP($F39,Productos!$A$2:$A1001,Productos!Q$2:Q1001,"")*$G39,"")</f>
        <v/>
      </c>
      <c r="Y39" s="179" t="str">
        <f t="array" ref="Y39">IF($F39&lt;&gt;"",XLOOKUP($F39,Productos!$A:$A,Productos!R:R,"Revisar"),"")</f>
        <v/>
      </c>
      <c r="Z39" s="179" t="str">
        <f t="array" ref="Z39">IF($F39&lt;&gt;"", XLOOKUP($F39,Productos!$A$2:$A1001,Productos!S$2:S1001,"")*$G39,"")</f>
        <v/>
      </c>
      <c r="AA39" s="179" t="str">
        <f t="array" ref="AA39">IF($F39&lt;&gt;"",XLOOKUP($F39,Productos!$A:$A,Productos!T:T,"Revisar"),"")</f>
        <v/>
      </c>
      <c r="AB39" s="179" t="str">
        <f t="array" ref="AB39">IF($F39&lt;&gt;"", XLOOKUP($F39,Productos!$A$2:$A1001,Productos!U$2:U1001,"")*$G39,"")</f>
        <v/>
      </c>
      <c r="AC39" s="179" t="str">
        <f t="array" ref="AC39">IF($F39&lt;&gt;"",XLOOKUP($F39,Productos!$A:$A,Productos!V:V,"Revisar"),"")</f>
        <v/>
      </c>
      <c r="AD39" s="179" t="str">
        <f t="array" ref="AD39">IF($F39&lt;&gt;"", XLOOKUP($F39,Productos!$A$2:$A1001,Productos!W$2:W1001,"")*$G39,"")</f>
        <v/>
      </c>
      <c r="AE39" s="179" t="str">
        <f t="array" ref="AE39">IF($F39&lt;&gt;"",XLOOKUP($F39,Productos!$A:$A,Productos!X:X,"Revisar"),"")</f>
        <v/>
      </c>
      <c r="AF39" s="179" t="str">
        <f t="array" ref="AF39">IF($F39&lt;&gt;"", XLOOKUP($F39,Productos!$A$2:$A1001,Productos!Y$2:Y1001,"")*$G39,"")</f>
        <v/>
      </c>
      <c r="AG39" s="179" t="str">
        <f t="array" ref="AG39">IF($F39&lt;&gt;"",XLOOKUP($F39,Productos!$A:$A,Productos!Z:Z,"Revisar"),"")</f>
        <v/>
      </c>
      <c r="AH39" s="179" t="str">
        <f t="array" ref="AH39">IF($F39&lt;&gt;"", XLOOKUP($F39,Productos!$A$2:$A1001,Productos!AA$2:AA1001,"")*$G39,"")</f>
        <v/>
      </c>
      <c r="AI39" s="179" t="str">
        <f t="array" ref="AI39">IF($F39&lt;&gt;"",XLOOKUP($F39,Productos!$A:$A,Productos!AB:AB,"Revisar"),"")</f>
        <v/>
      </c>
      <c r="AJ39" s="179" t="str">
        <f t="array" ref="AJ39">IF($F39&lt;&gt;"", XLOOKUP($F39,Productos!$A$2:$A1001,Productos!AC$2:AC1001,"")*$G39,"")</f>
        <v/>
      </c>
      <c r="AK39" s="179" t="str">
        <f t="array" ref="AK39">IF($F39&lt;&gt;"",XLOOKUP($F39,Productos!$A:$A,Productos!AD:AD,"Revisar"),"")</f>
        <v/>
      </c>
      <c r="AL39" s="179" t="str">
        <f t="array" ref="AL39">IF($F39&lt;&gt;"", XLOOKUP($F39,Productos!$A$2:$A1001,Productos!AE$2:AE1001,"")*$G39,"")</f>
        <v/>
      </c>
      <c r="AM39" s="179" t="str">
        <f t="array" ref="AM39">IF($F39&lt;&gt;"",XLOOKUP($F39,Productos!$A:$A,Productos!AF:AF,"Revisar"),"")</f>
        <v/>
      </c>
      <c r="AN39" s="179" t="str">
        <f t="array" ref="AN39">IF($F39&lt;&gt;"", XLOOKUP($F39,Productos!$A$2:$A1001,Productos!AG$2:AG1001,"")*$G39,"")</f>
        <v/>
      </c>
      <c r="AO39" s="179" t="str">
        <f t="array" ref="AO39">IF($F39&lt;&gt;"",XLOOKUP($F39,Productos!$A:$A,Productos!AH:AH,"Revisar"),"")</f>
        <v/>
      </c>
      <c r="AP39" s="179" t="str">
        <f t="array" ref="AP39">IF($F39&lt;&gt;"", XLOOKUP($F39,Productos!$A$2:$A1001,Productos!AI$2:AI1001,"")*$G39,"")</f>
        <v/>
      </c>
      <c r="AQ39" s="179" t="str">
        <f t="array" ref="AQ39">IF($F39&lt;&gt;"",XLOOKUP($F39,Productos!$A:$A,Productos!AJ:AJ,"Revisar"),"")</f>
        <v/>
      </c>
      <c r="AR39" s="179" t="str">
        <f t="array" ref="AR39">IF($F39&lt;&gt;"", XLOOKUP($F39,Productos!$A$2:$A1001,Productos!AK$2:AK1001,"")*$G39,"")</f>
        <v/>
      </c>
      <c r="AS39" s="179" t="str">
        <f t="array" ref="AS39">IF($F39&lt;&gt;"",XLOOKUP($F39,Productos!$A:$A,Productos!AL:AL,"Revisar"),"")</f>
        <v/>
      </c>
      <c r="AT39" s="179" t="str">
        <f t="array" ref="AT39">IF($F39&lt;&gt;"", XLOOKUP($F39,Productos!$A$2:$A1001,Productos!AM$2:AM1001,"")*$G39,"")</f>
        <v/>
      </c>
      <c r="AU39" s="179" t="str">
        <f t="array" ref="AU39">IF($F39&lt;&gt;"",XLOOKUP($F39,Productos!$A:$A,Productos!AN:AN,"Revisar"),"")</f>
        <v/>
      </c>
      <c r="AV39" s="179" t="str">
        <f t="array" ref="AV39">IF($F39&lt;&gt;"", XLOOKUP($F39,Productos!$A$2:$A1001,Productos!AO$2:AO1001,"")*$G39,"")</f>
        <v/>
      </c>
      <c r="AW39" s="179" t="str">
        <f t="array" ref="AW39">IF($F39&lt;&gt;"",XLOOKUP($F39,Productos!$A:$A,Productos!AP:AP,"Revisar"),"")</f>
        <v/>
      </c>
      <c r="AX39" s="179" t="str">
        <f t="array" ref="AX39">IF($F39&lt;&gt;"", XLOOKUP($F39,Productos!$A$2:$A1001,Productos!AQ$2:AQ1001,"")*$G39,"")</f>
        <v/>
      </c>
      <c r="AY39" s="179" t="str">
        <f t="array" ref="AY39">IF($F39&lt;&gt;"",XLOOKUP($F39,Productos!$A:$A,Productos!AR:AR,"Revisar"),"")</f>
        <v/>
      </c>
      <c r="AZ39" s="179" t="str">
        <f t="array" ref="AZ39">IF($F39&lt;&gt;"", XLOOKUP($F39,Productos!$A$2:$A1001,Productos!AS$2:AS1001,"")*$G39,"")</f>
        <v/>
      </c>
      <c r="BA39" s="179" t="str">
        <f t="array" ref="BA39">IF($F39&lt;&gt;"",XLOOKUP($F39,Productos!$A:$A,Productos!AT:AT,"Revisar"),"")</f>
        <v/>
      </c>
      <c r="BB39" s="179" t="str">
        <f t="array" ref="BB39">IF($F39&lt;&gt;"", XLOOKUP($F39,Productos!$A$2:$A1001,Productos!AU$2:AU1001,"")*$G39,"")</f>
        <v/>
      </c>
      <c r="BC39" s="179" t="str">
        <f t="array" ref="BC39">IF($F39&lt;&gt;"",XLOOKUP($F39,Productos!$A:$A,Productos!AV:AV,"Revisar"),"")</f>
        <v/>
      </c>
      <c r="BD39" s="179" t="str">
        <f t="array" ref="BD39">IF($F39&lt;&gt;"", XLOOKUP($F39,Productos!$A$2:$A1001,Productos!AW$2:AW1001,"")*$G39,"")</f>
        <v/>
      </c>
      <c r="BE39" s="179" t="str">
        <f t="array" ref="BE39">IF($F39&lt;&gt;"",XLOOKUP($F39,Productos!$A:$A,Productos!AX:AX,"Revisar"),"")</f>
        <v/>
      </c>
      <c r="BF39" s="179" t="str">
        <f t="array" ref="BF39">IF($F39&lt;&gt;"", XLOOKUP($F39,Productos!$A$2:$A1001,Productos!AY$2:AY1001,"")*$G39,"")</f>
        <v/>
      </c>
      <c r="BG39" s="179" t="str">
        <f t="array" ref="BG39">IF($F39&lt;&gt;"",XLOOKUP($F39,Productos!$A:$A,Productos!AZ:AZ,"Revisar"),"")</f>
        <v/>
      </c>
      <c r="BH39" s="179" t="str">
        <f t="array" ref="BH39">IF($F39&lt;&gt;"", XLOOKUP($F39,Productos!$A$2:$A1001,Productos!BA$2:BA1001,"")*$G39,"")</f>
        <v/>
      </c>
      <c r="BI39" s="179" t="str">
        <f t="array" ref="BI39">IF($F39&lt;&gt;"",XLOOKUP($F39,Productos!$A:$A,Productos!BB:BB,"Revisar"),"")</f>
        <v/>
      </c>
      <c r="BJ39" s="179" t="str">
        <f t="array" ref="BJ39">IF($F39&lt;&gt;"", XLOOKUP($F39,Productos!$A$2:$A1001,Productos!BC$2:BC1001,"")*$G39,"")</f>
        <v/>
      </c>
      <c r="BK39" s="179" t="str">
        <f t="array" ref="BK39">IF($F39&lt;&gt;"",XLOOKUP($F39,Productos!$A:$A,Productos!BD:BD,"Revisar"),"")</f>
        <v/>
      </c>
      <c r="BL39" s="179" t="str">
        <f t="array" ref="BL39">IF($F39&lt;&gt;"", XLOOKUP($F39,Productos!$A$2:$A1001,Productos!BE$2:BE1001,"")*$G39,"")</f>
        <v/>
      </c>
      <c r="BM39" s="179" t="str">
        <f t="array" ref="BM39">IF($F39&lt;&gt;"",XLOOKUP($F39,Productos!$A:$A,Productos!BF:BF,"Revisar"),"")</f>
        <v/>
      </c>
      <c r="BN39" s="179" t="str">
        <f t="array" ref="BN39">IF($F39&lt;&gt;"", XLOOKUP($F39,Productos!$A$2:$A1001,Productos!BG$2:BG1001,"")*$G39,"")</f>
        <v/>
      </c>
      <c r="BO39" s="179" t="str">
        <f t="array" ref="BO39">IF($F39&lt;&gt;"",XLOOKUP($F39,Productos!$A:$A,Productos!BH:BH,"Revisar"),"")</f>
        <v/>
      </c>
      <c r="BP39" s="179" t="str">
        <f t="array" ref="BP39">IF($F39&lt;&gt;"", XLOOKUP($F39,Productos!$A$2:$A1001,Productos!BI$2:BI1001,"")*$G39,"")</f>
        <v/>
      </c>
      <c r="BQ39" s="179" t="str">
        <f t="array" ref="BQ39">IF($F39&lt;&gt;"",XLOOKUP($F39,Productos!$A:$A,Productos!BJ:BJ,"Revisar"),"")</f>
        <v/>
      </c>
      <c r="BR39" s="179" t="str">
        <f t="array" ref="BR39">IF($F39&lt;&gt;"", XLOOKUP($F39,Productos!$A$2:$A1001,Productos!BK$2:BK1001,"")*$G39,"")</f>
        <v/>
      </c>
      <c r="BS39" s="179" t="str">
        <f t="array" ref="BS39">IF($F39&lt;&gt;"",XLOOKUP($F39,Productos!$A:$A,Productos!BL:BL,"Revisar"),"")</f>
        <v/>
      </c>
      <c r="BT39" s="179" t="str">
        <f t="array" ref="BT39">IF($F39&lt;&gt;"", XLOOKUP($F39,Productos!$A$2:$A1001,Productos!BM$2:BM1001,"")*$G39,"")</f>
        <v/>
      </c>
      <c r="BU39" s="179" t="str">
        <f t="array" ref="BU39">IF($F39&lt;&gt;"",XLOOKUP($F39,Productos!$A:$A,Productos!BN:BN,"Revisar"),"")</f>
        <v/>
      </c>
      <c r="BV39" s="179" t="str">
        <f t="array" ref="BV39">IF($F39&lt;&gt;"", XLOOKUP($F39,Productos!$A$2:$A1001,Productos!BO$2:BO1001,"")*$G39,"")</f>
        <v/>
      </c>
      <c r="BW39" s="179" t="str">
        <f t="array" ref="BW39">IF($F39&lt;&gt;"",XLOOKUP($F39,Productos!$A:$A,Productos!BP:BP,"Revisar"),"")</f>
        <v/>
      </c>
      <c r="BX39" s="179" t="str">
        <f t="array" ref="BX39">IF($F39&lt;&gt;"", XLOOKUP($F39,Productos!$A$2:$A1001,Productos!BQ$2:BQ1001,"")*$G39,"")</f>
        <v/>
      </c>
      <c r="BY39" s="179" t="str">
        <f t="array" ref="BY39">IF($F39&lt;&gt;"",XLOOKUP($F39,Productos!$A:$A,Productos!BR:BR,"Revisar"),"")</f>
        <v/>
      </c>
      <c r="BZ39" s="179" t="str">
        <f t="array" ref="BZ39">IF($F39&lt;&gt;"", XLOOKUP($F39,Productos!$A$2:$A1001,Productos!BS$2:BS1001,"")*$G39,"")</f>
        <v/>
      </c>
    </row>
    <row r="40">
      <c r="A40" s="180"/>
      <c r="B40" s="181"/>
      <c r="C40" s="182"/>
      <c r="D40" s="182"/>
      <c r="E40" s="185"/>
      <c r="F40" s="186"/>
      <c r="G40" s="187"/>
      <c r="H40" s="186"/>
      <c r="I40" s="179" t="str">
        <f t="array" ref="I40">IF($F40&lt;&gt;"",XLOOKUP($F40,Productos!$A:$A,Productos!B:B,"Revisar"),"")</f>
        <v/>
      </c>
      <c r="J40" s="179" t="str">
        <f t="array" ref="J40">IF($F40&lt;&gt;"", XLOOKUP($F40,Productos!$A$2:$A1001,Productos!C$2:C1001,"")*$G40,"")</f>
        <v/>
      </c>
      <c r="K40" s="179" t="str">
        <f t="array" ref="K40">IF($F40&lt;&gt;"",XLOOKUP($F40,Productos!$A:$A,Productos!D:D,"Revisar"),"")</f>
        <v/>
      </c>
      <c r="L40" s="179" t="str">
        <f t="array" ref="L40">IF($F40&lt;&gt;"", XLOOKUP($F40,Productos!$A$2:$A1001,Productos!E$2:E1001,"")*$G40,"")</f>
        <v/>
      </c>
      <c r="M40" s="179" t="str">
        <f t="array" ref="M40">IF($F40&lt;&gt;"",XLOOKUP($F40,Productos!$A:$A,Productos!F:F,"Revisar"),"")</f>
        <v/>
      </c>
      <c r="N40" s="179" t="str">
        <f t="array" ref="N40">IF($F40&lt;&gt;"", XLOOKUP($F40,Productos!$A$2:$A1001,Productos!G$2:G1001,"")*$G40,"")</f>
        <v/>
      </c>
      <c r="O40" s="179" t="str">
        <f t="array" ref="O40">IF($F40&lt;&gt;"",XLOOKUP($F40,Productos!$A:$A,Productos!H:H,"Revisar"),"")</f>
        <v/>
      </c>
      <c r="P40" s="179" t="str">
        <f t="array" ref="P40">IF($F40&lt;&gt;"", XLOOKUP($F40,Productos!$A$2:$A1001,Productos!I$2:I1001,"")*$G40,"")</f>
        <v/>
      </c>
      <c r="Q40" s="179" t="str">
        <f t="array" ref="Q40">IF($F40&lt;&gt;"",XLOOKUP($F40,Productos!$A:$A,Productos!J:J,"Revisar"),"")</f>
        <v/>
      </c>
      <c r="R40" s="179" t="str">
        <f t="array" ref="R40">IF($F40&lt;&gt;"", XLOOKUP($F40,Productos!$A$2:$A1001,Productos!K$2:K1001,"")*$G40,"")</f>
        <v/>
      </c>
      <c r="S40" s="179" t="str">
        <f t="array" ref="S40">IF($F40&lt;&gt;"",XLOOKUP($F40,Productos!$A:$A,Productos!L:L,"Revisar"),"")</f>
        <v/>
      </c>
      <c r="T40" s="179" t="str">
        <f t="array" ref="T40">IF($F40&lt;&gt;"", XLOOKUP($F40,Productos!$A$2:$A1001,Productos!M$2:M1001,"")*$G40,"")</f>
        <v/>
      </c>
      <c r="U40" s="179" t="str">
        <f t="array" ref="U40">IF($F40&lt;&gt;"",XLOOKUP($F40,Productos!$A:$A,Productos!N:N,"Revisar"),"")</f>
        <v/>
      </c>
      <c r="V40" s="179" t="str">
        <f t="array" ref="V40">IF($F40&lt;&gt;"", XLOOKUP($F40,Productos!$A$2:$A1001,Productos!O$2:O1001,"")*$G40,"")</f>
        <v/>
      </c>
      <c r="W40" s="179" t="str">
        <f t="array" ref="W40">IF($F40&lt;&gt;"",XLOOKUP($F40,Productos!$A:$A,Productos!P:P,"Revisar"),"")</f>
        <v/>
      </c>
      <c r="X40" s="179" t="str">
        <f t="array" ref="X40">IF($F40&lt;&gt;"", XLOOKUP($F40,Productos!$A$2:$A1001,Productos!Q$2:Q1001,"")*$G40,"")</f>
        <v/>
      </c>
      <c r="Y40" s="179" t="str">
        <f t="array" ref="Y40">IF($F40&lt;&gt;"",XLOOKUP($F40,Productos!$A:$A,Productos!R:R,"Revisar"),"")</f>
        <v/>
      </c>
      <c r="Z40" s="179" t="str">
        <f t="array" ref="Z40">IF($F40&lt;&gt;"", XLOOKUP($F40,Productos!$A$2:$A1001,Productos!S$2:S1001,"")*$G40,"")</f>
        <v/>
      </c>
      <c r="AA40" s="179" t="str">
        <f t="array" ref="AA40">IF($F40&lt;&gt;"",XLOOKUP($F40,Productos!$A:$A,Productos!T:T,"Revisar"),"")</f>
        <v/>
      </c>
      <c r="AB40" s="179" t="str">
        <f t="array" ref="AB40">IF($F40&lt;&gt;"", XLOOKUP($F40,Productos!$A$2:$A1001,Productos!U$2:U1001,"")*$G40,"")</f>
        <v/>
      </c>
      <c r="AC40" s="179" t="str">
        <f t="array" ref="AC40">IF($F40&lt;&gt;"",XLOOKUP($F40,Productos!$A:$A,Productos!V:V,"Revisar"),"")</f>
        <v/>
      </c>
      <c r="AD40" s="179" t="str">
        <f t="array" ref="AD40">IF($F40&lt;&gt;"", XLOOKUP($F40,Productos!$A$2:$A1001,Productos!W$2:W1001,"")*$G40,"")</f>
        <v/>
      </c>
      <c r="AE40" s="179" t="str">
        <f t="array" ref="AE40">IF($F40&lt;&gt;"",XLOOKUP($F40,Productos!$A:$A,Productos!X:X,"Revisar"),"")</f>
        <v/>
      </c>
      <c r="AF40" s="179" t="str">
        <f t="array" ref="AF40">IF($F40&lt;&gt;"", XLOOKUP($F40,Productos!$A$2:$A1001,Productos!Y$2:Y1001,"")*$G40,"")</f>
        <v/>
      </c>
      <c r="AG40" s="179" t="str">
        <f t="array" ref="AG40">IF($F40&lt;&gt;"",XLOOKUP($F40,Productos!$A:$A,Productos!Z:Z,"Revisar"),"")</f>
        <v/>
      </c>
      <c r="AH40" s="179" t="str">
        <f t="array" ref="AH40">IF($F40&lt;&gt;"", XLOOKUP($F40,Productos!$A$2:$A1001,Productos!AA$2:AA1001,"")*$G40,"")</f>
        <v/>
      </c>
      <c r="AI40" s="179" t="str">
        <f t="array" ref="AI40">IF($F40&lt;&gt;"",XLOOKUP($F40,Productos!$A:$A,Productos!AB:AB,"Revisar"),"")</f>
        <v/>
      </c>
      <c r="AJ40" s="179" t="str">
        <f t="array" ref="AJ40">IF($F40&lt;&gt;"", XLOOKUP($F40,Productos!$A$2:$A1001,Productos!AC$2:AC1001,"")*$G40,"")</f>
        <v/>
      </c>
      <c r="AK40" s="179" t="str">
        <f t="array" ref="AK40">IF($F40&lt;&gt;"",XLOOKUP($F40,Productos!$A:$A,Productos!AD:AD,"Revisar"),"")</f>
        <v/>
      </c>
      <c r="AL40" s="179" t="str">
        <f t="array" ref="AL40">IF($F40&lt;&gt;"", XLOOKUP($F40,Productos!$A$2:$A1001,Productos!AE$2:AE1001,"")*$G40,"")</f>
        <v/>
      </c>
      <c r="AM40" s="179" t="str">
        <f t="array" ref="AM40">IF($F40&lt;&gt;"",XLOOKUP($F40,Productos!$A:$A,Productos!AF:AF,"Revisar"),"")</f>
        <v/>
      </c>
      <c r="AN40" s="179" t="str">
        <f t="array" ref="AN40">IF($F40&lt;&gt;"", XLOOKUP($F40,Productos!$A$2:$A1001,Productos!AG$2:AG1001,"")*$G40,"")</f>
        <v/>
      </c>
      <c r="AO40" s="179" t="str">
        <f t="array" ref="AO40">IF($F40&lt;&gt;"",XLOOKUP($F40,Productos!$A:$A,Productos!AH:AH,"Revisar"),"")</f>
        <v/>
      </c>
      <c r="AP40" s="179" t="str">
        <f t="array" ref="AP40">IF($F40&lt;&gt;"", XLOOKUP($F40,Productos!$A$2:$A1001,Productos!AI$2:AI1001,"")*$G40,"")</f>
        <v/>
      </c>
      <c r="AQ40" s="179" t="str">
        <f t="array" ref="AQ40">IF($F40&lt;&gt;"",XLOOKUP($F40,Productos!$A:$A,Productos!AJ:AJ,"Revisar"),"")</f>
        <v/>
      </c>
      <c r="AR40" s="179" t="str">
        <f t="array" ref="AR40">IF($F40&lt;&gt;"", XLOOKUP($F40,Productos!$A$2:$A1001,Productos!AK$2:AK1001,"")*$G40,"")</f>
        <v/>
      </c>
      <c r="AS40" s="179" t="str">
        <f t="array" ref="AS40">IF($F40&lt;&gt;"",XLOOKUP($F40,Productos!$A:$A,Productos!AL:AL,"Revisar"),"")</f>
        <v/>
      </c>
      <c r="AT40" s="179" t="str">
        <f t="array" ref="AT40">IF($F40&lt;&gt;"", XLOOKUP($F40,Productos!$A$2:$A1001,Productos!AM$2:AM1001,"")*$G40,"")</f>
        <v/>
      </c>
      <c r="AU40" s="179" t="str">
        <f t="array" ref="AU40">IF($F40&lt;&gt;"",XLOOKUP($F40,Productos!$A:$A,Productos!AN:AN,"Revisar"),"")</f>
        <v/>
      </c>
      <c r="AV40" s="179" t="str">
        <f t="array" ref="AV40">IF($F40&lt;&gt;"", XLOOKUP($F40,Productos!$A$2:$A1001,Productos!AO$2:AO1001,"")*$G40,"")</f>
        <v/>
      </c>
      <c r="AW40" s="179" t="str">
        <f t="array" ref="AW40">IF($F40&lt;&gt;"",XLOOKUP($F40,Productos!$A:$A,Productos!AP:AP,"Revisar"),"")</f>
        <v/>
      </c>
      <c r="AX40" s="179" t="str">
        <f t="array" ref="AX40">IF($F40&lt;&gt;"", XLOOKUP($F40,Productos!$A$2:$A1001,Productos!AQ$2:AQ1001,"")*$G40,"")</f>
        <v/>
      </c>
      <c r="AY40" s="179" t="str">
        <f t="array" ref="AY40">IF($F40&lt;&gt;"",XLOOKUP($F40,Productos!$A:$A,Productos!AR:AR,"Revisar"),"")</f>
        <v/>
      </c>
      <c r="AZ40" s="179" t="str">
        <f t="array" ref="AZ40">IF($F40&lt;&gt;"", XLOOKUP($F40,Productos!$A$2:$A1001,Productos!AS$2:AS1001,"")*$G40,"")</f>
        <v/>
      </c>
      <c r="BA40" s="179" t="str">
        <f t="array" ref="BA40">IF($F40&lt;&gt;"",XLOOKUP($F40,Productos!$A:$A,Productos!AT:AT,"Revisar"),"")</f>
        <v/>
      </c>
      <c r="BB40" s="179" t="str">
        <f t="array" ref="BB40">IF($F40&lt;&gt;"", XLOOKUP($F40,Productos!$A$2:$A1001,Productos!AU$2:AU1001,"")*$G40,"")</f>
        <v/>
      </c>
      <c r="BC40" s="179" t="str">
        <f t="array" ref="BC40">IF($F40&lt;&gt;"",XLOOKUP($F40,Productos!$A:$A,Productos!AV:AV,"Revisar"),"")</f>
        <v/>
      </c>
      <c r="BD40" s="179" t="str">
        <f t="array" ref="BD40">IF($F40&lt;&gt;"", XLOOKUP($F40,Productos!$A$2:$A1001,Productos!AW$2:AW1001,"")*$G40,"")</f>
        <v/>
      </c>
      <c r="BE40" s="179" t="str">
        <f t="array" ref="BE40">IF($F40&lt;&gt;"",XLOOKUP($F40,Productos!$A:$A,Productos!AX:AX,"Revisar"),"")</f>
        <v/>
      </c>
      <c r="BF40" s="179" t="str">
        <f t="array" ref="BF40">IF($F40&lt;&gt;"", XLOOKUP($F40,Productos!$A$2:$A1001,Productos!AY$2:AY1001,"")*$G40,"")</f>
        <v/>
      </c>
      <c r="BG40" s="179" t="str">
        <f t="array" ref="BG40">IF($F40&lt;&gt;"",XLOOKUP($F40,Productos!$A:$A,Productos!AZ:AZ,"Revisar"),"")</f>
        <v/>
      </c>
      <c r="BH40" s="179" t="str">
        <f t="array" ref="BH40">IF($F40&lt;&gt;"", XLOOKUP($F40,Productos!$A$2:$A1001,Productos!BA$2:BA1001,"")*$G40,"")</f>
        <v/>
      </c>
      <c r="BI40" s="179" t="str">
        <f t="array" ref="BI40">IF($F40&lt;&gt;"",XLOOKUP($F40,Productos!$A:$A,Productos!BB:BB,"Revisar"),"")</f>
        <v/>
      </c>
      <c r="BJ40" s="179" t="str">
        <f t="array" ref="BJ40">IF($F40&lt;&gt;"", XLOOKUP($F40,Productos!$A$2:$A1001,Productos!BC$2:BC1001,"")*$G40,"")</f>
        <v/>
      </c>
      <c r="BK40" s="179" t="str">
        <f t="array" ref="BK40">IF($F40&lt;&gt;"",XLOOKUP($F40,Productos!$A:$A,Productos!BD:BD,"Revisar"),"")</f>
        <v/>
      </c>
      <c r="BL40" s="179" t="str">
        <f t="array" ref="BL40">IF($F40&lt;&gt;"", XLOOKUP($F40,Productos!$A$2:$A1001,Productos!BE$2:BE1001,"")*$G40,"")</f>
        <v/>
      </c>
      <c r="BM40" s="179" t="str">
        <f t="array" ref="BM40">IF($F40&lt;&gt;"",XLOOKUP($F40,Productos!$A:$A,Productos!BF:BF,"Revisar"),"")</f>
        <v/>
      </c>
      <c r="BN40" s="179" t="str">
        <f t="array" ref="BN40">IF($F40&lt;&gt;"", XLOOKUP($F40,Productos!$A$2:$A1001,Productos!BG$2:BG1001,"")*$G40,"")</f>
        <v/>
      </c>
      <c r="BO40" s="179" t="str">
        <f t="array" ref="BO40">IF($F40&lt;&gt;"",XLOOKUP($F40,Productos!$A:$A,Productos!BH:BH,"Revisar"),"")</f>
        <v/>
      </c>
      <c r="BP40" s="179" t="str">
        <f t="array" ref="BP40">IF($F40&lt;&gt;"", XLOOKUP($F40,Productos!$A$2:$A1001,Productos!BI$2:BI1001,"")*$G40,"")</f>
        <v/>
      </c>
      <c r="BQ40" s="179" t="str">
        <f t="array" ref="BQ40">IF($F40&lt;&gt;"",XLOOKUP($F40,Productos!$A:$A,Productos!BJ:BJ,"Revisar"),"")</f>
        <v/>
      </c>
      <c r="BR40" s="179" t="str">
        <f t="array" ref="BR40">IF($F40&lt;&gt;"", XLOOKUP($F40,Productos!$A$2:$A1001,Productos!BK$2:BK1001,"")*$G40,"")</f>
        <v/>
      </c>
      <c r="BS40" s="179" t="str">
        <f t="array" ref="BS40">IF($F40&lt;&gt;"",XLOOKUP($F40,Productos!$A:$A,Productos!BL:BL,"Revisar"),"")</f>
        <v/>
      </c>
      <c r="BT40" s="179" t="str">
        <f t="array" ref="BT40">IF($F40&lt;&gt;"", XLOOKUP($F40,Productos!$A$2:$A1001,Productos!BM$2:BM1001,"")*$G40,"")</f>
        <v/>
      </c>
      <c r="BU40" s="179" t="str">
        <f t="array" ref="BU40">IF($F40&lt;&gt;"",XLOOKUP($F40,Productos!$A:$A,Productos!BN:BN,"Revisar"),"")</f>
        <v/>
      </c>
      <c r="BV40" s="179" t="str">
        <f t="array" ref="BV40">IF($F40&lt;&gt;"", XLOOKUP($F40,Productos!$A$2:$A1001,Productos!BO$2:BO1001,"")*$G40,"")</f>
        <v/>
      </c>
      <c r="BW40" s="179" t="str">
        <f t="array" ref="BW40">IF($F40&lt;&gt;"",XLOOKUP($F40,Productos!$A:$A,Productos!BP:BP,"Revisar"),"")</f>
        <v/>
      </c>
      <c r="BX40" s="179" t="str">
        <f t="array" ref="BX40">IF($F40&lt;&gt;"", XLOOKUP($F40,Productos!$A$2:$A1001,Productos!BQ$2:BQ1001,"")*$G40,"")</f>
        <v/>
      </c>
      <c r="BY40" s="179" t="str">
        <f t="array" ref="BY40">IF($F40&lt;&gt;"",XLOOKUP($F40,Productos!$A:$A,Productos!BR:BR,"Revisar"),"")</f>
        <v/>
      </c>
      <c r="BZ40" s="179" t="str">
        <f t="array" ref="BZ40">IF($F40&lt;&gt;"", XLOOKUP($F40,Productos!$A$2:$A1001,Productos!BS$2:BS1001,"")*$G40,"")</f>
        <v/>
      </c>
    </row>
    <row r="41">
      <c r="A41" s="180"/>
      <c r="B41" s="181"/>
      <c r="C41" s="182"/>
      <c r="D41" s="182"/>
      <c r="E41" s="185"/>
      <c r="F41" s="186"/>
      <c r="G41" s="187"/>
      <c r="H41" s="186"/>
      <c r="I41" s="179" t="str">
        <f t="array" ref="I41">IF($F41&lt;&gt;"",XLOOKUP($F41,Productos!$A:$A,Productos!B:B,"Revisar"),"")</f>
        <v/>
      </c>
      <c r="J41" s="179" t="str">
        <f t="array" ref="J41">IF($F41&lt;&gt;"", XLOOKUP($F41,Productos!$A$2:$A1001,Productos!C$2:C1001,"")*$G41,"")</f>
        <v/>
      </c>
      <c r="K41" s="179" t="str">
        <f t="array" ref="K41">IF($F41&lt;&gt;"",XLOOKUP($F41,Productos!$A:$A,Productos!D:D,"Revisar"),"")</f>
        <v/>
      </c>
      <c r="L41" s="179" t="str">
        <f t="array" ref="L41">IF($F41&lt;&gt;"", XLOOKUP($F41,Productos!$A$2:$A1001,Productos!E$2:E1001,"")*$G41,"")</f>
        <v/>
      </c>
      <c r="M41" s="179" t="str">
        <f t="array" ref="M41">IF($F41&lt;&gt;"",XLOOKUP($F41,Productos!$A:$A,Productos!F:F,"Revisar"),"")</f>
        <v/>
      </c>
      <c r="N41" s="179" t="str">
        <f t="array" ref="N41">IF($F41&lt;&gt;"", XLOOKUP($F41,Productos!$A$2:$A1001,Productos!G$2:G1001,"")*$G41,"")</f>
        <v/>
      </c>
      <c r="O41" s="179" t="str">
        <f t="array" ref="O41">IF($F41&lt;&gt;"",XLOOKUP($F41,Productos!$A:$A,Productos!H:H,"Revisar"),"")</f>
        <v/>
      </c>
      <c r="P41" s="179" t="str">
        <f t="array" ref="P41">IF($F41&lt;&gt;"", XLOOKUP($F41,Productos!$A$2:$A1001,Productos!I$2:I1001,"")*$G41,"")</f>
        <v/>
      </c>
      <c r="Q41" s="179" t="str">
        <f t="array" ref="Q41">IF($F41&lt;&gt;"",XLOOKUP($F41,Productos!$A:$A,Productos!J:J,"Revisar"),"")</f>
        <v/>
      </c>
      <c r="R41" s="179" t="str">
        <f t="array" ref="R41">IF($F41&lt;&gt;"", XLOOKUP($F41,Productos!$A$2:$A1001,Productos!K$2:K1001,"")*$G41,"")</f>
        <v/>
      </c>
      <c r="S41" s="179" t="str">
        <f t="array" ref="S41">IF($F41&lt;&gt;"",XLOOKUP($F41,Productos!$A:$A,Productos!L:L,"Revisar"),"")</f>
        <v/>
      </c>
      <c r="T41" s="179" t="str">
        <f t="array" ref="T41">IF($F41&lt;&gt;"", XLOOKUP($F41,Productos!$A$2:$A1001,Productos!M$2:M1001,"")*$G41,"")</f>
        <v/>
      </c>
      <c r="U41" s="179" t="str">
        <f t="array" ref="U41">IF($F41&lt;&gt;"",XLOOKUP($F41,Productos!$A:$A,Productos!N:N,"Revisar"),"")</f>
        <v/>
      </c>
      <c r="V41" s="179" t="str">
        <f t="array" ref="V41">IF($F41&lt;&gt;"", XLOOKUP($F41,Productos!$A$2:$A1001,Productos!O$2:O1001,"")*$G41,"")</f>
        <v/>
      </c>
      <c r="W41" s="179" t="str">
        <f t="array" ref="W41">IF($F41&lt;&gt;"",XLOOKUP($F41,Productos!$A:$A,Productos!P:P,"Revisar"),"")</f>
        <v/>
      </c>
      <c r="X41" s="179" t="str">
        <f t="array" ref="X41">IF($F41&lt;&gt;"", XLOOKUP($F41,Productos!$A$2:$A1001,Productos!Q$2:Q1001,"")*$G41,"")</f>
        <v/>
      </c>
      <c r="Y41" s="179" t="str">
        <f t="array" ref="Y41">IF($F41&lt;&gt;"",XLOOKUP($F41,Productos!$A:$A,Productos!R:R,"Revisar"),"")</f>
        <v/>
      </c>
      <c r="Z41" s="179" t="str">
        <f t="array" ref="Z41">IF($F41&lt;&gt;"", XLOOKUP($F41,Productos!$A$2:$A1001,Productos!S$2:S1001,"")*$G41,"")</f>
        <v/>
      </c>
      <c r="AA41" s="179" t="str">
        <f t="array" ref="AA41">IF($F41&lt;&gt;"",XLOOKUP($F41,Productos!$A:$A,Productos!T:T,"Revisar"),"")</f>
        <v/>
      </c>
      <c r="AB41" s="179" t="str">
        <f t="array" ref="AB41">IF($F41&lt;&gt;"", XLOOKUP($F41,Productos!$A$2:$A1001,Productos!U$2:U1001,"")*$G41,"")</f>
        <v/>
      </c>
      <c r="AC41" s="179" t="str">
        <f t="array" ref="AC41">IF($F41&lt;&gt;"",XLOOKUP($F41,Productos!$A:$A,Productos!V:V,"Revisar"),"")</f>
        <v/>
      </c>
      <c r="AD41" s="179" t="str">
        <f t="array" ref="AD41">IF($F41&lt;&gt;"", XLOOKUP($F41,Productos!$A$2:$A1001,Productos!W$2:W1001,"")*$G41,"")</f>
        <v/>
      </c>
      <c r="AE41" s="179" t="str">
        <f t="array" ref="AE41">IF($F41&lt;&gt;"",XLOOKUP($F41,Productos!$A:$A,Productos!X:X,"Revisar"),"")</f>
        <v/>
      </c>
      <c r="AF41" s="179" t="str">
        <f t="array" ref="AF41">IF($F41&lt;&gt;"", XLOOKUP($F41,Productos!$A$2:$A1001,Productos!Y$2:Y1001,"")*$G41,"")</f>
        <v/>
      </c>
      <c r="AG41" s="179" t="str">
        <f t="array" ref="AG41">IF($F41&lt;&gt;"",XLOOKUP($F41,Productos!$A:$A,Productos!Z:Z,"Revisar"),"")</f>
        <v/>
      </c>
      <c r="AH41" s="179" t="str">
        <f t="array" ref="AH41">IF($F41&lt;&gt;"", XLOOKUP($F41,Productos!$A$2:$A1001,Productos!AA$2:AA1001,"")*$G41,"")</f>
        <v/>
      </c>
      <c r="AI41" s="179" t="str">
        <f t="array" ref="AI41">IF($F41&lt;&gt;"",XLOOKUP($F41,Productos!$A:$A,Productos!AB:AB,"Revisar"),"")</f>
        <v/>
      </c>
      <c r="AJ41" s="179" t="str">
        <f t="array" ref="AJ41">IF($F41&lt;&gt;"", XLOOKUP($F41,Productos!$A$2:$A1001,Productos!AC$2:AC1001,"")*$G41,"")</f>
        <v/>
      </c>
      <c r="AK41" s="179" t="str">
        <f t="array" ref="AK41">IF($F41&lt;&gt;"",XLOOKUP($F41,Productos!$A:$A,Productos!AD:AD,"Revisar"),"")</f>
        <v/>
      </c>
      <c r="AL41" s="179" t="str">
        <f t="array" ref="AL41">IF($F41&lt;&gt;"", XLOOKUP($F41,Productos!$A$2:$A1001,Productos!AE$2:AE1001,"")*$G41,"")</f>
        <v/>
      </c>
      <c r="AM41" s="179" t="str">
        <f t="array" ref="AM41">IF($F41&lt;&gt;"",XLOOKUP($F41,Productos!$A:$A,Productos!AF:AF,"Revisar"),"")</f>
        <v/>
      </c>
      <c r="AN41" s="179" t="str">
        <f t="array" ref="AN41">IF($F41&lt;&gt;"", XLOOKUP($F41,Productos!$A$2:$A1001,Productos!AG$2:AG1001,"")*$G41,"")</f>
        <v/>
      </c>
      <c r="AO41" s="179" t="str">
        <f t="array" ref="AO41">IF($F41&lt;&gt;"",XLOOKUP($F41,Productos!$A:$A,Productos!AH:AH,"Revisar"),"")</f>
        <v/>
      </c>
      <c r="AP41" s="179" t="str">
        <f t="array" ref="AP41">IF($F41&lt;&gt;"", XLOOKUP($F41,Productos!$A$2:$A1001,Productos!AI$2:AI1001,"")*$G41,"")</f>
        <v/>
      </c>
      <c r="AQ41" s="179" t="str">
        <f t="array" ref="AQ41">IF($F41&lt;&gt;"",XLOOKUP($F41,Productos!$A:$A,Productos!AJ:AJ,"Revisar"),"")</f>
        <v/>
      </c>
      <c r="AR41" s="179" t="str">
        <f t="array" ref="AR41">IF($F41&lt;&gt;"", XLOOKUP($F41,Productos!$A$2:$A1001,Productos!AK$2:AK1001,"")*$G41,"")</f>
        <v/>
      </c>
      <c r="AS41" s="179" t="str">
        <f t="array" ref="AS41">IF($F41&lt;&gt;"",XLOOKUP($F41,Productos!$A:$A,Productos!AL:AL,"Revisar"),"")</f>
        <v/>
      </c>
      <c r="AT41" s="179" t="str">
        <f t="array" ref="AT41">IF($F41&lt;&gt;"", XLOOKUP($F41,Productos!$A$2:$A1001,Productos!AM$2:AM1001,"")*$G41,"")</f>
        <v/>
      </c>
      <c r="AU41" s="179" t="str">
        <f t="array" ref="AU41">IF($F41&lt;&gt;"",XLOOKUP($F41,Productos!$A:$A,Productos!AN:AN,"Revisar"),"")</f>
        <v/>
      </c>
      <c r="AV41" s="179" t="str">
        <f t="array" ref="AV41">IF($F41&lt;&gt;"", XLOOKUP($F41,Productos!$A$2:$A1001,Productos!AO$2:AO1001,"")*$G41,"")</f>
        <v/>
      </c>
      <c r="AW41" s="179" t="str">
        <f t="array" ref="AW41">IF($F41&lt;&gt;"",XLOOKUP($F41,Productos!$A:$A,Productos!AP:AP,"Revisar"),"")</f>
        <v/>
      </c>
      <c r="AX41" s="179" t="str">
        <f t="array" ref="AX41">IF($F41&lt;&gt;"", XLOOKUP($F41,Productos!$A$2:$A1001,Productos!AQ$2:AQ1001,"")*$G41,"")</f>
        <v/>
      </c>
      <c r="AY41" s="179" t="str">
        <f t="array" ref="AY41">IF($F41&lt;&gt;"",XLOOKUP($F41,Productos!$A:$A,Productos!AR:AR,"Revisar"),"")</f>
        <v/>
      </c>
      <c r="AZ41" s="179" t="str">
        <f t="array" ref="AZ41">IF($F41&lt;&gt;"", XLOOKUP($F41,Productos!$A$2:$A1001,Productos!AS$2:AS1001,"")*$G41,"")</f>
        <v/>
      </c>
      <c r="BA41" s="179" t="str">
        <f t="array" ref="BA41">IF($F41&lt;&gt;"",XLOOKUP($F41,Productos!$A:$A,Productos!AT:AT,"Revisar"),"")</f>
        <v/>
      </c>
      <c r="BB41" s="179" t="str">
        <f t="array" ref="BB41">IF($F41&lt;&gt;"", XLOOKUP($F41,Productos!$A$2:$A1001,Productos!AU$2:AU1001,"")*$G41,"")</f>
        <v/>
      </c>
      <c r="BC41" s="179" t="str">
        <f t="array" ref="BC41">IF($F41&lt;&gt;"",XLOOKUP($F41,Productos!$A:$A,Productos!AV:AV,"Revisar"),"")</f>
        <v/>
      </c>
      <c r="BD41" s="179" t="str">
        <f t="array" ref="BD41">IF($F41&lt;&gt;"", XLOOKUP($F41,Productos!$A$2:$A1001,Productos!AW$2:AW1001,"")*$G41,"")</f>
        <v/>
      </c>
      <c r="BE41" s="179" t="str">
        <f t="array" ref="BE41">IF($F41&lt;&gt;"",XLOOKUP($F41,Productos!$A:$A,Productos!AX:AX,"Revisar"),"")</f>
        <v/>
      </c>
      <c r="BF41" s="179" t="str">
        <f t="array" ref="BF41">IF($F41&lt;&gt;"", XLOOKUP($F41,Productos!$A$2:$A1001,Productos!AY$2:AY1001,"")*$G41,"")</f>
        <v/>
      </c>
      <c r="BG41" s="179" t="str">
        <f t="array" ref="BG41">IF($F41&lt;&gt;"",XLOOKUP($F41,Productos!$A:$A,Productos!AZ:AZ,"Revisar"),"")</f>
        <v/>
      </c>
      <c r="BH41" s="179" t="str">
        <f t="array" ref="BH41">IF($F41&lt;&gt;"", XLOOKUP($F41,Productos!$A$2:$A1001,Productos!BA$2:BA1001,"")*$G41,"")</f>
        <v/>
      </c>
      <c r="BI41" s="179" t="str">
        <f t="array" ref="BI41">IF($F41&lt;&gt;"",XLOOKUP($F41,Productos!$A:$A,Productos!BB:BB,"Revisar"),"")</f>
        <v/>
      </c>
      <c r="BJ41" s="179" t="str">
        <f t="array" ref="BJ41">IF($F41&lt;&gt;"", XLOOKUP($F41,Productos!$A$2:$A1001,Productos!BC$2:BC1001,"")*$G41,"")</f>
        <v/>
      </c>
      <c r="BK41" s="179" t="str">
        <f t="array" ref="BK41">IF($F41&lt;&gt;"",XLOOKUP($F41,Productos!$A:$A,Productos!BD:BD,"Revisar"),"")</f>
        <v/>
      </c>
      <c r="BL41" s="179" t="str">
        <f t="array" ref="BL41">IF($F41&lt;&gt;"", XLOOKUP($F41,Productos!$A$2:$A1001,Productos!BE$2:BE1001,"")*$G41,"")</f>
        <v/>
      </c>
      <c r="BM41" s="179" t="str">
        <f t="array" ref="BM41">IF($F41&lt;&gt;"",XLOOKUP($F41,Productos!$A:$A,Productos!BF:BF,"Revisar"),"")</f>
        <v/>
      </c>
      <c r="BN41" s="179" t="str">
        <f t="array" ref="BN41">IF($F41&lt;&gt;"", XLOOKUP($F41,Productos!$A$2:$A1001,Productos!BG$2:BG1001,"")*$G41,"")</f>
        <v/>
      </c>
      <c r="BO41" s="179" t="str">
        <f t="array" ref="BO41">IF($F41&lt;&gt;"",XLOOKUP($F41,Productos!$A:$A,Productos!BH:BH,"Revisar"),"")</f>
        <v/>
      </c>
      <c r="BP41" s="179" t="str">
        <f t="array" ref="BP41">IF($F41&lt;&gt;"", XLOOKUP($F41,Productos!$A$2:$A1001,Productos!BI$2:BI1001,"")*$G41,"")</f>
        <v/>
      </c>
      <c r="BQ41" s="179" t="str">
        <f t="array" ref="BQ41">IF($F41&lt;&gt;"",XLOOKUP($F41,Productos!$A:$A,Productos!BJ:BJ,"Revisar"),"")</f>
        <v/>
      </c>
      <c r="BR41" s="179" t="str">
        <f t="array" ref="BR41">IF($F41&lt;&gt;"", XLOOKUP($F41,Productos!$A$2:$A1001,Productos!BK$2:BK1001,"")*$G41,"")</f>
        <v/>
      </c>
      <c r="BS41" s="179" t="str">
        <f t="array" ref="BS41">IF($F41&lt;&gt;"",XLOOKUP($F41,Productos!$A:$A,Productos!BL:BL,"Revisar"),"")</f>
        <v/>
      </c>
      <c r="BT41" s="179" t="str">
        <f t="array" ref="BT41">IF($F41&lt;&gt;"", XLOOKUP($F41,Productos!$A$2:$A1001,Productos!BM$2:BM1001,"")*$G41,"")</f>
        <v/>
      </c>
      <c r="BU41" s="179" t="str">
        <f t="array" ref="BU41">IF($F41&lt;&gt;"",XLOOKUP($F41,Productos!$A:$A,Productos!BN:BN,"Revisar"),"")</f>
        <v/>
      </c>
      <c r="BV41" s="179" t="str">
        <f t="array" ref="BV41">IF($F41&lt;&gt;"", XLOOKUP($F41,Productos!$A$2:$A1001,Productos!BO$2:BO1001,"")*$G41,"")</f>
        <v/>
      </c>
      <c r="BW41" s="179" t="str">
        <f t="array" ref="BW41">IF($F41&lt;&gt;"",XLOOKUP($F41,Productos!$A:$A,Productos!BP:BP,"Revisar"),"")</f>
        <v/>
      </c>
      <c r="BX41" s="179" t="str">
        <f t="array" ref="BX41">IF($F41&lt;&gt;"", XLOOKUP($F41,Productos!$A$2:$A1001,Productos!BQ$2:BQ1001,"")*$G41,"")</f>
        <v/>
      </c>
      <c r="BY41" s="179" t="str">
        <f t="array" ref="BY41">IF($F41&lt;&gt;"",XLOOKUP($F41,Productos!$A:$A,Productos!BR:BR,"Revisar"),"")</f>
        <v/>
      </c>
      <c r="BZ41" s="179" t="str">
        <f t="array" ref="BZ41">IF($F41&lt;&gt;"", XLOOKUP($F41,Productos!$A$2:$A1001,Productos!BS$2:BS1001,"")*$G41,"")</f>
        <v/>
      </c>
    </row>
    <row r="42">
      <c r="A42" s="180"/>
      <c r="B42" s="181"/>
      <c r="C42" s="182"/>
      <c r="D42" s="182"/>
      <c r="E42" s="185"/>
      <c r="F42" s="186"/>
      <c r="G42" s="187"/>
      <c r="H42" s="186"/>
      <c r="I42" s="179" t="str">
        <f t="array" ref="I42">IF($F42&lt;&gt;"",XLOOKUP($F42,Productos!$A:$A,Productos!B:B,"Revisar"),"")</f>
        <v/>
      </c>
      <c r="J42" s="179" t="str">
        <f t="array" ref="J42">IF($F42&lt;&gt;"", XLOOKUP($F42,Productos!$A$2:$A1001,Productos!C$2:C1001,"")*$G42,"")</f>
        <v/>
      </c>
      <c r="K42" s="179" t="str">
        <f t="array" ref="K42">IF($F42&lt;&gt;"",XLOOKUP($F42,Productos!$A:$A,Productos!D:D,"Revisar"),"")</f>
        <v/>
      </c>
      <c r="L42" s="179" t="str">
        <f t="array" ref="L42">IF($F42&lt;&gt;"", XLOOKUP($F42,Productos!$A$2:$A1001,Productos!E$2:E1001,"")*$G42,"")</f>
        <v/>
      </c>
      <c r="M42" s="179" t="str">
        <f t="array" ref="M42">IF($F42&lt;&gt;"",XLOOKUP($F42,Productos!$A:$A,Productos!F:F,"Revisar"),"")</f>
        <v/>
      </c>
      <c r="N42" s="179" t="str">
        <f t="array" ref="N42">IF($F42&lt;&gt;"", XLOOKUP($F42,Productos!$A$2:$A1001,Productos!G$2:G1001,"")*$G42,"")</f>
        <v/>
      </c>
      <c r="O42" s="179" t="str">
        <f t="array" ref="O42">IF($F42&lt;&gt;"",XLOOKUP($F42,Productos!$A:$A,Productos!H:H,"Revisar"),"")</f>
        <v/>
      </c>
      <c r="P42" s="179" t="str">
        <f t="array" ref="P42">IF($F42&lt;&gt;"", XLOOKUP($F42,Productos!$A$2:$A1001,Productos!I$2:I1001,"")*$G42,"")</f>
        <v/>
      </c>
      <c r="Q42" s="179" t="str">
        <f t="array" ref="Q42">IF($F42&lt;&gt;"",XLOOKUP($F42,Productos!$A:$A,Productos!J:J,"Revisar"),"")</f>
        <v/>
      </c>
      <c r="R42" s="179" t="str">
        <f t="array" ref="R42">IF($F42&lt;&gt;"", XLOOKUP($F42,Productos!$A$2:$A1001,Productos!K$2:K1001,"")*$G42,"")</f>
        <v/>
      </c>
      <c r="S42" s="179" t="str">
        <f t="array" ref="S42">IF($F42&lt;&gt;"",XLOOKUP($F42,Productos!$A:$A,Productos!L:L,"Revisar"),"")</f>
        <v/>
      </c>
      <c r="T42" s="179" t="str">
        <f t="array" ref="T42">IF($F42&lt;&gt;"", XLOOKUP($F42,Productos!$A$2:$A1001,Productos!M$2:M1001,"")*$G42,"")</f>
        <v/>
      </c>
      <c r="U42" s="179" t="str">
        <f t="array" ref="U42">IF($F42&lt;&gt;"",XLOOKUP($F42,Productos!$A:$A,Productos!N:N,"Revisar"),"")</f>
        <v/>
      </c>
      <c r="V42" s="179" t="str">
        <f t="array" ref="V42">IF($F42&lt;&gt;"", XLOOKUP($F42,Productos!$A$2:$A1001,Productos!O$2:O1001,"")*$G42,"")</f>
        <v/>
      </c>
      <c r="W42" s="179" t="str">
        <f t="array" ref="W42">IF($F42&lt;&gt;"",XLOOKUP($F42,Productos!$A:$A,Productos!P:P,"Revisar"),"")</f>
        <v/>
      </c>
      <c r="X42" s="179" t="str">
        <f t="array" ref="X42">IF($F42&lt;&gt;"", XLOOKUP($F42,Productos!$A$2:$A1001,Productos!Q$2:Q1001,"")*$G42,"")</f>
        <v/>
      </c>
      <c r="Y42" s="179" t="str">
        <f t="array" ref="Y42">IF($F42&lt;&gt;"",XLOOKUP($F42,Productos!$A:$A,Productos!R:R,"Revisar"),"")</f>
        <v/>
      </c>
      <c r="Z42" s="179" t="str">
        <f t="array" ref="Z42">IF($F42&lt;&gt;"", XLOOKUP($F42,Productos!$A$2:$A1001,Productos!S$2:S1001,"")*$G42,"")</f>
        <v/>
      </c>
      <c r="AA42" s="179" t="str">
        <f t="array" ref="AA42">IF($F42&lt;&gt;"",XLOOKUP($F42,Productos!$A:$A,Productos!T:T,"Revisar"),"")</f>
        <v/>
      </c>
      <c r="AB42" s="179" t="str">
        <f t="array" ref="AB42">IF($F42&lt;&gt;"", XLOOKUP($F42,Productos!$A$2:$A1001,Productos!U$2:U1001,"")*$G42,"")</f>
        <v/>
      </c>
      <c r="AC42" s="179" t="str">
        <f t="array" ref="AC42">IF($F42&lt;&gt;"",XLOOKUP($F42,Productos!$A:$A,Productos!V:V,"Revisar"),"")</f>
        <v/>
      </c>
      <c r="AD42" s="179" t="str">
        <f t="array" ref="AD42">IF($F42&lt;&gt;"", XLOOKUP($F42,Productos!$A$2:$A1001,Productos!W$2:W1001,"")*$G42,"")</f>
        <v/>
      </c>
      <c r="AE42" s="179" t="str">
        <f t="array" ref="AE42">IF($F42&lt;&gt;"",XLOOKUP($F42,Productos!$A:$A,Productos!X:X,"Revisar"),"")</f>
        <v/>
      </c>
      <c r="AF42" s="179" t="str">
        <f t="array" ref="AF42">IF($F42&lt;&gt;"", XLOOKUP($F42,Productos!$A$2:$A1001,Productos!Y$2:Y1001,"")*$G42,"")</f>
        <v/>
      </c>
      <c r="AG42" s="179" t="str">
        <f t="array" ref="AG42">IF($F42&lt;&gt;"",XLOOKUP($F42,Productos!$A:$A,Productos!Z:Z,"Revisar"),"")</f>
        <v/>
      </c>
      <c r="AH42" s="179" t="str">
        <f t="array" ref="AH42">IF($F42&lt;&gt;"", XLOOKUP($F42,Productos!$A$2:$A1001,Productos!AA$2:AA1001,"")*$G42,"")</f>
        <v/>
      </c>
      <c r="AI42" s="179" t="str">
        <f t="array" ref="AI42">IF($F42&lt;&gt;"",XLOOKUP($F42,Productos!$A:$A,Productos!AB:AB,"Revisar"),"")</f>
        <v/>
      </c>
      <c r="AJ42" s="179" t="str">
        <f t="array" ref="AJ42">IF($F42&lt;&gt;"", XLOOKUP($F42,Productos!$A$2:$A1001,Productos!AC$2:AC1001,"")*$G42,"")</f>
        <v/>
      </c>
      <c r="AK42" s="179" t="str">
        <f t="array" ref="AK42">IF($F42&lt;&gt;"",XLOOKUP($F42,Productos!$A:$A,Productos!AD:AD,"Revisar"),"")</f>
        <v/>
      </c>
      <c r="AL42" s="179" t="str">
        <f t="array" ref="AL42">IF($F42&lt;&gt;"", XLOOKUP($F42,Productos!$A$2:$A1001,Productos!AE$2:AE1001,"")*$G42,"")</f>
        <v/>
      </c>
      <c r="AM42" s="179" t="str">
        <f t="array" ref="AM42">IF($F42&lt;&gt;"",XLOOKUP($F42,Productos!$A:$A,Productos!AF:AF,"Revisar"),"")</f>
        <v/>
      </c>
      <c r="AN42" s="179" t="str">
        <f t="array" ref="AN42">IF($F42&lt;&gt;"", XLOOKUP($F42,Productos!$A$2:$A1001,Productos!AG$2:AG1001,"")*$G42,"")</f>
        <v/>
      </c>
      <c r="AO42" s="179" t="str">
        <f t="array" ref="AO42">IF($F42&lt;&gt;"",XLOOKUP($F42,Productos!$A:$A,Productos!AH:AH,"Revisar"),"")</f>
        <v/>
      </c>
      <c r="AP42" s="179" t="str">
        <f t="array" ref="AP42">IF($F42&lt;&gt;"", XLOOKUP($F42,Productos!$A$2:$A1001,Productos!AI$2:AI1001,"")*$G42,"")</f>
        <v/>
      </c>
      <c r="AQ42" s="179" t="str">
        <f t="array" ref="AQ42">IF($F42&lt;&gt;"",XLOOKUP($F42,Productos!$A:$A,Productos!AJ:AJ,"Revisar"),"")</f>
        <v/>
      </c>
      <c r="AR42" s="179" t="str">
        <f t="array" ref="AR42">IF($F42&lt;&gt;"", XLOOKUP($F42,Productos!$A$2:$A1001,Productos!AK$2:AK1001,"")*$G42,"")</f>
        <v/>
      </c>
      <c r="AS42" s="179" t="str">
        <f t="array" ref="AS42">IF($F42&lt;&gt;"",XLOOKUP($F42,Productos!$A:$A,Productos!AL:AL,"Revisar"),"")</f>
        <v/>
      </c>
      <c r="AT42" s="179" t="str">
        <f t="array" ref="AT42">IF($F42&lt;&gt;"", XLOOKUP($F42,Productos!$A$2:$A1001,Productos!AM$2:AM1001,"")*$G42,"")</f>
        <v/>
      </c>
      <c r="AU42" s="179" t="str">
        <f t="array" ref="AU42">IF($F42&lt;&gt;"",XLOOKUP($F42,Productos!$A:$A,Productos!AN:AN,"Revisar"),"")</f>
        <v/>
      </c>
      <c r="AV42" s="179" t="str">
        <f t="array" ref="AV42">IF($F42&lt;&gt;"", XLOOKUP($F42,Productos!$A$2:$A1001,Productos!AO$2:AO1001,"")*$G42,"")</f>
        <v/>
      </c>
      <c r="AW42" s="179" t="str">
        <f t="array" ref="AW42">IF($F42&lt;&gt;"",XLOOKUP($F42,Productos!$A:$A,Productos!AP:AP,"Revisar"),"")</f>
        <v/>
      </c>
      <c r="AX42" s="179" t="str">
        <f t="array" ref="AX42">IF($F42&lt;&gt;"", XLOOKUP($F42,Productos!$A$2:$A1001,Productos!AQ$2:AQ1001,"")*$G42,"")</f>
        <v/>
      </c>
      <c r="AY42" s="179" t="str">
        <f t="array" ref="AY42">IF($F42&lt;&gt;"",XLOOKUP($F42,Productos!$A:$A,Productos!AR:AR,"Revisar"),"")</f>
        <v/>
      </c>
      <c r="AZ42" s="179" t="str">
        <f t="array" ref="AZ42">IF($F42&lt;&gt;"", XLOOKUP($F42,Productos!$A$2:$A1001,Productos!AS$2:AS1001,"")*$G42,"")</f>
        <v/>
      </c>
      <c r="BA42" s="179" t="str">
        <f t="array" ref="BA42">IF($F42&lt;&gt;"",XLOOKUP($F42,Productos!$A:$A,Productos!AT:AT,"Revisar"),"")</f>
        <v/>
      </c>
      <c r="BB42" s="179" t="str">
        <f t="array" ref="BB42">IF($F42&lt;&gt;"", XLOOKUP($F42,Productos!$A$2:$A1001,Productos!AU$2:AU1001,"")*$G42,"")</f>
        <v/>
      </c>
      <c r="BC42" s="179" t="str">
        <f t="array" ref="BC42">IF($F42&lt;&gt;"",XLOOKUP($F42,Productos!$A:$A,Productos!AV:AV,"Revisar"),"")</f>
        <v/>
      </c>
      <c r="BD42" s="179" t="str">
        <f t="array" ref="BD42">IF($F42&lt;&gt;"", XLOOKUP($F42,Productos!$A$2:$A1001,Productos!AW$2:AW1001,"")*$G42,"")</f>
        <v/>
      </c>
      <c r="BE42" s="179" t="str">
        <f t="array" ref="BE42">IF($F42&lt;&gt;"",XLOOKUP($F42,Productos!$A:$A,Productos!AX:AX,"Revisar"),"")</f>
        <v/>
      </c>
      <c r="BF42" s="179" t="str">
        <f t="array" ref="BF42">IF($F42&lt;&gt;"", XLOOKUP($F42,Productos!$A$2:$A1001,Productos!AY$2:AY1001,"")*$G42,"")</f>
        <v/>
      </c>
      <c r="BG42" s="179" t="str">
        <f t="array" ref="BG42">IF($F42&lt;&gt;"",XLOOKUP($F42,Productos!$A:$A,Productos!AZ:AZ,"Revisar"),"")</f>
        <v/>
      </c>
      <c r="BH42" s="179" t="str">
        <f t="array" ref="BH42">IF($F42&lt;&gt;"", XLOOKUP($F42,Productos!$A$2:$A1001,Productos!BA$2:BA1001,"")*$G42,"")</f>
        <v/>
      </c>
      <c r="BI42" s="179" t="str">
        <f t="array" ref="BI42">IF($F42&lt;&gt;"",XLOOKUP($F42,Productos!$A:$A,Productos!BB:BB,"Revisar"),"")</f>
        <v/>
      </c>
      <c r="BJ42" s="179" t="str">
        <f t="array" ref="BJ42">IF($F42&lt;&gt;"", XLOOKUP($F42,Productos!$A$2:$A1001,Productos!BC$2:BC1001,"")*$G42,"")</f>
        <v/>
      </c>
      <c r="BK42" s="179" t="str">
        <f t="array" ref="BK42">IF($F42&lt;&gt;"",XLOOKUP($F42,Productos!$A:$A,Productos!BD:BD,"Revisar"),"")</f>
        <v/>
      </c>
      <c r="BL42" s="179" t="str">
        <f t="array" ref="BL42">IF($F42&lt;&gt;"", XLOOKUP($F42,Productos!$A$2:$A1001,Productos!BE$2:BE1001,"")*$G42,"")</f>
        <v/>
      </c>
      <c r="BM42" s="179" t="str">
        <f t="array" ref="BM42">IF($F42&lt;&gt;"",XLOOKUP($F42,Productos!$A:$A,Productos!BF:BF,"Revisar"),"")</f>
        <v/>
      </c>
      <c r="BN42" s="179" t="str">
        <f t="array" ref="BN42">IF($F42&lt;&gt;"", XLOOKUP($F42,Productos!$A$2:$A1001,Productos!BG$2:BG1001,"")*$G42,"")</f>
        <v/>
      </c>
      <c r="BO42" s="179" t="str">
        <f t="array" ref="BO42">IF($F42&lt;&gt;"",XLOOKUP($F42,Productos!$A:$A,Productos!BH:BH,"Revisar"),"")</f>
        <v/>
      </c>
      <c r="BP42" s="179" t="str">
        <f t="array" ref="BP42">IF($F42&lt;&gt;"", XLOOKUP($F42,Productos!$A$2:$A1001,Productos!BI$2:BI1001,"")*$G42,"")</f>
        <v/>
      </c>
      <c r="BQ42" s="179" t="str">
        <f t="array" ref="BQ42">IF($F42&lt;&gt;"",XLOOKUP($F42,Productos!$A:$A,Productos!BJ:BJ,"Revisar"),"")</f>
        <v/>
      </c>
      <c r="BR42" s="179" t="str">
        <f t="array" ref="BR42">IF($F42&lt;&gt;"", XLOOKUP($F42,Productos!$A$2:$A1001,Productos!BK$2:BK1001,"")*$G42,"")</f>
        <v/>
      </c>
      <c r="BS42" s="179" t="str">
        <f t="array" ref="BS42">IF($F42&lt;&gt;"",XLOOKUP($F42,Productos!$A:$A,Productos!BL:BL,"Revisar"),"")</f>
        <v/>
      </c>
      <c r="BT42" s="179" t="str">
        <f t="array" ref="BT42">IF($F42&lt;&gt;"", XLOOKUP($F42,Productos!$A$2:$A1001,Productos!BM$2:BM1001,"")*$G42,"")</f>
        <v/>
      </c>
      <c r="BU42" s="179" t="str">
        <f t="array" ref="BU42">IF($F42&lt;&gt;"",XLOOKUP($F42,Productos!$A:$A,Productos!BN:BN,"Revisar"),"")</f>
        <v/>
      </c>
      <c r="BV42" s="179" t="str">
        <f t="array" ref="BV42">IF($F42&lt;&gt;"", XLOOKUP($F42,Productos!$A$2:$A1001,Productos!BO$2:BO1001,"")*$G42,"")</f>
        <v/>
      </c>
      <c r="BW42" s="179" t="str">
        <f t="array" ref="BW42">IF($F42&lt;&gt;"",XLOOKUP($F42,Productos!$A:$A,Productos!BP:BP,"Revisar"),"")</f>
        <v/>
      </c>
      <c r="BX42" s="179" t="str">
        <f t="array" ref="BX42">IF($F42&lt;&gt;"", XLOOKUP($F42,Productos!$A$2:$A1001,Productos!BQ$2:BQ1001,"")*$G42,"")</f>
        <v/>
      </c>
      <c r="BY42" s="179" t="str">
        <f t="array" ref="BY42">IF($F42&lt;&gt;"",XLOOKUP($F42,Productos!$A:$A,Productos!BR:BR,"Revisar"),"")</f>
        <v/>
      </c>
      <c r="BZ42" s="179" t="str">
        <f t="array" ref="BZ42">IF($F42&lt;&gt;"", XLOOKUP($F42,Productos!$A$2:$A1001,Productos!BS$2:BS1001,"")*$G42,"")</f>
        <v/>
      </c>
    </row>
    <row r="43">
      <c r="A43" s="180"/>
      <c r="B43" s="181"/>
      <c r="C43" s="182"/>
      <c r="D43" s="182"/>
      <c r="E43" s="185"/>
      <c r="F43" s="186"/>
      <c r="G43" s="187"/>
      <c r="H43" s="186"/>
      <c r="I43" s="179" t="str">
        <f t="array" ref="I43">IF($F43&lt;&gt;"",XLOOKUP($F43,Productos!$A:$A,Productos!B:B,"Revisar"),"")</f>
        <v/>
      </c>
      <c r="J43" s="179" t="str">
        <f t="array" ref="J43">IF($F43&lt;&gt;"", XLOOKUP($F43,Productos!$A$2:$A1001,Productos!C$2:C1001,"")*$G43,"")</f>
        <v/>
      </c>
      <c r="K43" s="179" t="str">
        <f t="array" ref="K43">IF($F43&lt;&gt;"",XLOOKUP($F43,Productos!$A:$A,Productos!D:D,"Revisar"),"")</f>
        <v/>
      </c>
      <c r="L43" s="179" t="str">
        <f t="array" ref="L43">IF($F43&lt;&gt;"", XLOOKUP($F43,Productos!$A$2:$A1001,Productos!E$2:E1001,"")*$G43,"")</f>
        <v/>
      </c>
      <c r="M43" s="179" t="str">
        <f t="array" ref="M43">IF($F43&lt;&gt;"",XLOOKUP($F43,Productos!$A:$A,Productos!F:F,"Revisar"),"")</f>
        <v/>
      </c>
      <c r="N43" s="179" t="str">
        <f t="array" ref="N43">IF($F43&lt;&gt;"", XLOOKUP($F43,Productos!$A$2:$A1001,Productos!G$2:G1001,"")*$G43,"")</f>
        <v/>
      </c>
      <c r="O43" s="179" t="str">
        <f t="array" ref="O43">IF($F43&lt;&gt;"",XLOOKUP($F43,Productos!$A:$A,Productos!H:H,"Revisar"),"")</f>
        <v/>
      </c>
      <c r="P43" s="179" t="str">
        <f t="array" ref="P43">IF($F43&lt;&gt;"", XLOOKUP($F43,Productos!$A$2:$A1001,Productos!I$2:I1001,"")*$G43,"")</f>
        <v/>
      </c>
      <c r="Q43" s="179" t="str">
        <f t="array" ref="Q43">IF($F43&lt;&gt;"",XLOOKUP($F43,Productos!$A:$A,Productos!J:J,"Revisar"),"")</f>
        <v/>
      </c>
      <c r="R43" s="179" t="str">
        <f t="array" ref="R43">IF($F43&lt;&gt;"", XLOOKUP($F43,Productos!$A$2:$A1001,Productos!K$2:K1001,"")*$G43,"")</f>
        <v/>
      </c>
      <c r="S43" s="179" t="str">
        <f t="array" ref="S43">IF($F43&lt;&gt;"",XLOOKUP($F43,Productos!$A:$A,Productos!L:L,"Revisar"),"")</f>
        <v/>
      </c>
      <c r="T43" s="179" t="str">
        <f t="array" ref="T43">IF($F43&lt;&gt;"", XLOOKUP($F43,Productos!$A$2:$A1001,Productos!M$2:M1001,"")*$G43,"")</f>
        <v/>
      </c>
      <c r="U43" s="179" t="str">
        <f t="array" ref="U43">IF($F43&lt;&gt;"",XLOOKUP($F43,Productos!$A:$A,Productos!N:N,"Revisar"),"")</f>
        <v/>
      </c>
      <c r="V43" s="179" t="str">
        <f t="array" ref="V43">IF($F43&lt;&gt;"", XLOOKUP($F43,Productos!$A$2:$A1001,Productos!O$2:O1001,"")*$G43,"")</f>
        <v/>
      </c>
      <c r="W43" s="179" t="str">
        <f t="array" ref="W43">IF($F43&lt;&gt;"",XLOOKUP($F43,Productos!$A:$A,Productos!P:P,"Revisar"),"")</f>
        <v/>
      </c>
      <c r="X43" s="179" t="str">
        <f t="array" ref="X43">IF($F43&lt;&gt;"", XLOOKUP($F43,Productos!$A$2:$A1001,Productos!Q$2:Q1001,"")*$G43,"")</f>
        <v/>
      </c>
      <c r="Y43" s="179" t="str">
        <f t="array" ref="Y43">IF($F43&lt;&gt;"",XLOOKUP($F43,Productos!$A:$A,Productos!R:R,"Revisar"),"")</f>
        <v/>
      </c>
      <c r="Z43" s="179" t="str">
        <f t="array" ref="Z43">IF($F43&lt;&gt;"", XLOOKUP($F43,Productos!$A$2:$A1001,Productos!S$2:S1001,"")*$G43,"")</f>
        <v/>
      </c>
      <c r="AA43" s="179" t="str">
        <f t="array" ref="AA43">IF($F43&lt;&gt;"",XLOOKUP($F43,Productos!$A:$A,Productos!T:T,"Revisar"),"")</f>
        <v/>
      </c>
      <c r="AB43" s="179" t="str">
        <f t="array" ref="AB43">IF($F43&lt;&gt;"", XLOOKUP($F43,Productos!$A$2:$A1001,Productos!U$2:U1001,"")*$G43,"")</f>
        <v/>
      </c>
      <c r="AC43" s="179" t="str">
        <f t="array" ref="AC43">IF($F43&lt;&gt;"",XLOOKUP($F43,Productos!$A:$A,Productos!V:V,"Revisar"),"")</f>
        <v/>
      </c>
      <c r="AD43" s="179" t="str">
        <f t="array" ref="AD43">IF($F43&lt;&gt;"", XLOOKUP($F43,Productos!$A$2:$A1001,Productos!W$2:W1001,"")*$G43,"")</f>
        <v/>
      </c>
      <c r="AE43" s="179" t="str">
        <f t="array" ref="AE43">IF($F43&lt;&gt;"",XLOOKUP($F43,Productos!$A:$A,Productos!X:X,"Revisar"),"")</f>
        <v/>
      </c>
      <c r="AF43" s="179" t="str">
        <f t="array" ref="AF43">IF($F43&lt;&gt;"", XLOOKUP($F43,Productos!$A$2:$A1001,Productos!Y$2:Y1001,"")*$G43,"")</f>
        <v/>
      </c>
      <c r="AG43" s="179" t="str">
        <f t="array" ref="AG43">IF($F43&lt;&gt;"",XLOOKUP($F43,Productos!$A:$A,Productos!Z:Z,"Revisar"),"")</f>
        <v/>
      </c>
      <c r="AH43" s="179" t="str">
        <f t="array" ref="AH43">IF($F43&lt;&gt;"", XLOOKUP($F43,Productos!$A$2:$A1001,Productos!AA$2:AA1001,"")*$G43,"")</f>
        <v/>
      </c>
      <c r="AI43" s="179" t="str">
        <f t="array" ref="AI43">IF($F43&lt;&gt;"",XLOOKUP($F43,Productos!$A:$A,Productos!AB:AB,"Revisar"),"")</f>
        <v/>
      </c>
      <c r="AJ43" s="179" t="str">
        <f t="array" ref="AJ43">IF($F43&lt;&gt;"", XLOOKUP($F43,Productos!$A$2:$A1001,Productos!AC$2:AC1001,"")*$G43,"")</f>
        <v/>
      </c>
      <c r="AK43" s="179" t="str">
        <f t="array" ref="AK43">IF($F43&lt;&gt;"",XLOOKUP($F43,Productos!$A:$A,Productos!AD:AD,"Revisar"),"")</f>
        <v/>
      </c>
      <c r="AL43" s="179" t="str">
        <f t="array" ref="AL43">IF($F43&lt;&gt;"", XLOOKUP($F43,Productos!$A$2:$A1001,Productos!AE$2:AE1001,"")*$G43,"")</f>
        <v/>
      </c>
      <c r="AM43" s="179" t="str">
        <f t="array" ref="AM43">IF($F43&lt;&gt;"",XLOOKUP($F43,Productos!$A:$A,Productos!AF:AF,"Revisar"),"")</f>
        <v/>
      </c>
      <c r="AN43" s="179" t="str">
        <f t="array" ref="AN43">IF($F43&lt;&gt;"", XLOOKUP($F43,Productos!$A$2:$A1001,Productos!AG$2:AG1001,"")*$G43,"")</f>
        <v/>
      </c>
      <c r="AO43" s="179" t="str">
        <f t="array" ref="AO43">IF($F43&lt;&gt;"",XLOOKUP($F43,Productos!$A:$A,Productos!AH:AH,"Revisar"),"")</f>
        <v/>
      </c>
      <c r="AP43" s="179" t="str">
        <f t="array" ref="AP43">IF($F43&lt;&gt;"", XLOOKUP($F43,Productos!$A$2:$A1001,Productos!AI$2:AI1001,"")*$G43,"")</f>
        <v/>
      </c>
      <c r="AQ43" s="179" t="str">
        <f t="array" ref="AQ43">IF($F43&lt;&gt;"",XLOOKUP($F43,Productos!$A:$A,Productos!AJ:AJ,"Revisar"),"")</f>
        <v/>
      </c>
      <c r="AR43" s="179" t="str">
        <f t="array" ref="AR43">IF($F43&lt;&gt;"", XLOOKUP($F43,Productos!$A$2:$A1001,Productos!AK$2:AK1001,"")*$G43,"")</f>
        <v/>
      </c>
      <c r="AS43" s="179" t="str">
        <f t="array" ref="AS43">IF($F43&lt;&gt;"",XLOOKUP($F43,Productos!$A:$A,Productos!AL:AL,"Revisar"),"")</f>
        <v/>
      </c>
      <c r="AT43" s="179" t="str">
        <f t="array" ref="AT43">IF($F43&lt;&gt;"", XLOOKUP($F43,Productos!$A$2:$A1001,Productos!AM$2:AM1001,"")*$G43,"")</f>
        <v/>
      </c>
      <c r="AU43" s="179" t="str">
        <f t="array" ref="AU43">IF($F43&lt;&gt;"",XLOOKUP($F43,Productos!$A:$A,Productos!AN:AN,"Revisar"),"")</f>
        <v/>
      </c>
      <c r="AV43" s="179" t="str">
        <f t="array" ref="AV43">IF($F43&lt;&gt;"", XLOOKUP($F43,Productos!$A$2:$A1001,Productos!AO$2:AO1001,"")*$G43,"")</f>
        <v/>
      </c>
      <c r="AW43" s="179" t="str">
        <f t="array" ref="AW43">IF($F43&lt;&gt;"",XLOOKUP($F43,Productos!$A:$A,Productos!AP:AP,"Revisar"),"")</f>
        <v/>
      </c>
      <c r="AX43" s="179" t="str">
        <f t="array" ref="AX43">IF($F43&lt;&gt;"", XLOOKUP($F43,Productos!$A$2:$A1001,Productos!AQ$2:AQ1001,"")*$G43,"")</f>
        <v/>
      </c>
      <c r="AY43" s="179" t="str">
        <f t="array" ref="AY43">IF($F43&lt;&gt;"",XLOOKUP($F43,Productos!$A:$A,Productos!AR:AR,"Revisar"),"")</f>
        <v/>
      </c>
      <c r="AZ43" s="179" t="str">
        <f t="array" ref="AZ43">IF($F43&lt;&gt;"", XLOOKUP($F43,Productos!$A$2:$A1001,Productos!AS$2:AS1001,"")*$G43,"")</f>
        <v/>
      </c>
      <c r="BA43" s="179" t="str">
        <f t="array" ref="BA43">IF($F43&lt;&gt;"",XLOOKUP($F43,Productos!$A:$A,Productos!AT:AT,"Revisar"),"")</f>
        <v/>
      </c>
      <c r="BB43" s="179" t="str">
        <f t="array" ref="BB43">IF($F43&lt;&gt;"", XLOOKUP($F43,Productos!$A$2:$A1001,Productos!AU$2:AU1001,"")*$G43,"")</f>
        <v/>
      </c>
      <c r="BC43" s="179" t="str">
        <f t="array" ref="BC43">IF($F43&lt;&gt;"",XLOOKUP($F43,Productos!$A:$A,Productos!AV:AV,"Revisar"),"")</f>
        <v/>
      </c>
      <c r="BD43" s="179" t="str">
        <f t="array" ref="BD43">IF($F43&lt;&gt;"", XLOOKUP($F43,Productos!$A$2:$A1001,Productos!AW$2:AW1001,"")*$G43,"")</f>
        <v/>
      </c>
      <c r="BE43" s="179" t="str">
        <f t="array" ref="BE43">IF($F43&lt;&gt;"",XLOOKUP($F43,Productos!$A:$A,Productos!AX:AX,"Revisar"),"")</f>
        <v/>
      </c>
      <c r="BF43" s="179" t="str">
        <f t="array" ref="BF43">IF($F43&lt;&gt;"", XLOOKUP($F43,Productos!$A$2:$A1001,Productos!AY$2:AY1001,"")*$G43,"")</f>
        <v/>
      </c>
      <c r="BG43" s="179" t="str">
        <f t="array" ref="BG43">IF($F43&lt;&gt;"",XLOOKUP($F43,Productos!$A:$A,Productos!AZ:AZ,"Revisar"),"")</f>
        <v/>
      </c>
      <c r="BH43" s="179" t="str">
        <f t="array" ref="BH43">IF($F43&lt;&gt;"", XLOOKUP($F43,Productos!$A$2:$A1001,Productos!BA$2:BA1001,"")*$G43,"")</f>
        <v/>
      </c>
      <c r="BI43" s="179" t="str">
        <f t="array" ref="BI43">IF($F43&lt;&gt;"",XLOOKUP($F43,Productos!$A:$A,Productos!BB:BB,"Revisar"),"")</f>
        <v/>
      </c>
      <c r="BJ43" s="179" t="str">
        <f t="array" ref="BJ43">IF($F43&lt;&gt;"", XLOOKUP($F43,Productos!$A$2:$A1001,Productos!BC$2:BC1001,"")*$G43,"")</f>
        <v/>
      </c>
      <c r="BK43" s="179" t="str">
        <f t="array" ref="BK43">IF($F43&lt;&gt;"",XLOOKUP($F43,Productos!$A:$A,Productos!BD:BD,"Revisar"),"")</f>
        <v/>
      </c>
      <c r="BL43" s="179" t="str">
        <f t="array" ref="BL43">IF($F43&lt;&gt;"", XLOOKUP($F43,Productos!$A$2:$A1001,Productos!BE$2:BE1001,"")*$G43,"")</f>
        <v/>
      </c>
      <c r="BM43" s="179" t="str">
        <f t="array" ref="BM43">IF($F43&lt;&gt;"",XLOOKUP($F43,Productos!$A:$A,Productos!BF:BF,"Revisar"),"")</f>
        <v/>
      </c>
      <c r="BN43" s="179" t="str">
        <f t="array" ref="BN43">IF($F43&lt;&gt;"", XLOOKUP($F43,Productos!$A$2:$A1001,Productos!BG$2:BG1001,"")*$G43,"")</f>
        <v/>
      </c>
      <c r="BO43" s="179" t="str">
        <f t="array" ref="BO43">IF($F43&lt;&gt;"",XLOOKUP($F43,Productos!$A:$A,Productos!BH:BH,"Revisar"),"")</f>
        <v/>
      </c>
      <c r="BP43" s="179" t="str">
        <f t="array" ref="BP43">IF($F43&lt;&gt;"", XLOOKUP($F43,Productos!$A$2:$A1001,Productos!BI$2:BI1001,"")*$G43,"")</f>
        <v/>
      </c>
      <c r="BQ43" s="179" t="str">
        <f t="array" ref="BQ43">IF($F43&lt;&gt;"",XLOOKUP($F43,Productos!$A:$A,Productos!BJ:BJ,"Revisar"),"")</f>
        <v/>
      </c>
      <c r="BR43" s="179" t="str">
        <f t="array" ref="BR43">IF($F43&lt;&gt;"", XLOOKUP($F43,Productos!$A$2:$A1001,Productos!BK$2:BK1001,"")*$G43,"")</f>
        <v/>
      </c>
      <c r="BS43" s="179" t="str">
        <f t="array" ref="BS43">IF($F43&lt;&gt;"",XLOOKUP($F43,Productos!$A:$A,Productos!BL:BL,"Revisar"),"")</f>
        <v/>
      </c>
      <c r="BT43" s="179" t="str">
        <f t="array" ref="BT43">IF($F43&lt;&gt;"", XLOOKUP($F43,Productos!$A$2:$A1001,Productos!BM$2:BM1001,"")*$G43,"")</f>
        <v/>
      </c>
      <c r="BU43" s="179" t="str">
        <f t="array" ref="BU43">IF($F43&lt;&gt;"",XLOOKUP($F43,Productos!$A:$A,Productos!BN:BN,"Revisar"),"")</f>
        <v/>
      </c>
      <c r="BV43" s="179" t="str">
        <f t="array" ref="BV43">IF($F43&lt;&gt;"", XLOOKUP($F43,Productos!$A$2:$A1001,Productos!BO$2:BO1001,"")*$G43,"")</f>
        <v/>
      </c>
      <c r="BW43" s="179" t="str">
        <f t="array" ref="BW43">IF($F43&lt;&gt;"",XLOOKUP($F43,Productos!$A:$A,Productos!BP:BP,"Revisar"),"")</f>
        <v/>
      </c>
      <c r="BX43" s="179" t="str">
        <f t="array" ref="BX43">IF($F43&lt;&gt;"", XLOOKUP($F43,Productos!$A$2:$A1001,Productos!BQ$2:BQ1001,"")*$G43,"")</f>
        <v/>
      </c>
      <c r="BY43" s="179" t="str">
        <f t="array" ref="BY43">IF($F43&lt;&gt;"",XLOOKUP($F43,Productos!$A:$A,Productos!BR:BR,"Revisar"),"")</f>
        <v/>
      </c>
      <c r="BZ43" s="179" t="str">
        <f t="array" ref="BZ43">IF($F43&lt;&gt;"", XLOOKUP($F43,Productos!$A$2:$A1001,Productos!BS$2:BS1001,"")*$G43,"")</f>
        <v/>
      </c>
    </row>
    <row r="44">
      <c r="A44" s="180"/>
      <c r="B44" s="181"/>
      <c r="C44" s="182"/>
      <c r="D44" s="182"/>
      <c r="E44" s="185"/>
      <c r="F44" s="186"/>
      <c r="G44" s="187"/>
      <c r="H44" s="186"/>
      <c r="I44" s="179" t="str">
        <f t="array" ref="I44">IF($F44&lt;&gt;"",XLOOKUP($F44,Productos!$A:$A,Productos!B:B,"Revisar"),"")</f>
        <v/>
      </c>
      <c r="J44" s="179" t="str">
        <f t="array" ref="J44">IF($F44&lt;&gt;"", XLOOKUP($F44,Productos!$A$2:$A1001,Productos!C$2:C1001,"")*$G44,"")</f>
        <v/>
      </c>
      <c r="K44" s="179" t="str">
        <f t="array" ref="K44">IF($F44&lt;&gt;"",XLOOKUP($F44,Productos!$A:$A,Productos!D:D,"Revisar"),"")</f>
        <v/>
      </c>
      <c r="L44" s="179" t="str">
        <f t="array" ref="L44">IF($F44&lt;&gt;"", XLOOKUP($F44,Productos!$A$2:$A1001,Productos!E$2:E1001,"")*$G44,"")</f>
        <v/>
      </c>
      <c r="M44" s="179" t="str">
        <f t="array" ref="M44">IF($F44&lt;&gt;"",XLOOKUP($F44,Productos!$A:$A,Productos!F:F,"Revisar"),"")</f>
        <v/>
      </c>
      <c r="N44" s="179" t="str">
        <f t="array" ref="N44">IF($F44&lt;&gt;"", XLOOKUP($F44,Productos!$A$2:$A1001,Productos!G$2:G1001,"")*$G44,"")</f>
        <v/>
      </c>
      <c r="O44" s="179" t="str">
        <f t="array" ref="O44">IF($F44&lt;&gt;"",XLOOKUP($F44,Productos!$A:$A,Productos!H:H,"Revisar"),"")</f>
        <v/>
      </c>
      <c r="P44" s="179" t="str">
        <f t="array" ref="P44">IF($F44&lt;&gt;"", XLOOKUP($F44,Productos!$A$2:$A1001,Productos!I$2:I1001,"")*$G44,"")</f>
        <v/>
      </c>
      <c r="Q44" s="179" t="str">
        <f t="array" ref="Q44">IF($F44&lt;&gt;"",XLOOKUP($F44,Productos!$A:$A,Productos!J:J,"Revisar"),"")</f>
        <v/>
      </c>
      <c r="R44" s="179" t="str">
        <f t="array" ref="R44">IF($F44&lt;&gt;"", XLOOKUP($F44,Productos!$A$2:$A1001,Productos!K$2:K1001,"")*$G44,"")</f>
        <v/>
      </c>
      <c r="S44" s="179" t="str">
        <f t="array" ref="S44">IF($F44&lt;&gt;"",XLOOKUP($F44,Productos!$A:$A,Productos!L:L,"Revisar"),"")</f>
        <v/>
      </c>
      <c r="T44" s="179" t="str">
        <f t="array" ref="T44">IF($F44&lt;&gt;"", XLOOKUP($F44,Productos!$A$2:$A1001,Productos!M$2:M1001,"")*$G44,"")</f>
        <v/>
      </c>
      <c r="U44" s="179" t="str">
        <f t="array" ref="U44">IF($F44&lt;&gt;"",XLOOKUP($F44,Productos!$A:$A,Productos!N:N,"Revisar"),"")</f>
        <v/>
      </c>
      <c r="V44" s="179" t="str">
        <f t="array" ref="V44">IF($F44&lt;&gt;"", XLOOKUP($F44,Productos!$A$2:$A1001,Productos!O$2:O1001,"")*$G44,"")</f>
        <v/>
      </c>
      <c r="W44" s="179" t="str">
        <f t="array" ref="W44">IF($F44&lt;&gt;"",XLOOKUP($F44,Productos!$A:$A,Productos!P:P,"Revisar"),"")</f>
        <v/>
      </c>
      <c r="X44" s="179" t="str">
        <f t="array" ref="X44">IF($F44&lt;&gt;"", XLOOKUP($F44,Productos!$A$2:$A1001,Productos!Q$2:Q1001,"")*$G44,"")</f>
        <v/>
      </c>
      <c r="Y44" s="179" t="str">
        <f t="array" ref="Y44">IF($F44&lt;&gt;"",XLOOKUP($F44,Productos!$A:$A,Productos!R:R,"Revisar"),"")</f>
        <v/>
      </c>
      <c r="Z44" s="179" t="str">
        <f t="array" ref="Z44">IF($F44&lt;&gt;"", XLOOKUP($F44,Productos!$A$2:$A1001,Productos!S$2:S1001,"")*$G44,"")</f>
        <v/>
      </c>
      <c r="AA44" s="179" t="str">
        <f t="array" ref="AA44">IF($F44&lt;&gt;"",XLOOKUP($F44,Productos!$A:$A,Productos!T:T,"Revisar"),"")</f>
        <v/>
      </c>
      <c r="AB44" s="179" t="str">
        <f t="array" ref="AB44">IF($F44&lt;&gt;"", XLOOKUP($F44,Productos!$A$2:$A1001,Productos!U$2:U1001,"")*$G44,"")</f>
        <v/>
      </c>
      <c r="AC44" s="179" t="str">
        <f t="array" ref="AC44">IF($F44&lt;&gt;"",XLOOKUP($F44,Productos!$A:$A,Productos!V:V,"Revisar"),"")</f>
        <v/>
      </c>
      <c r="AD44" s="179" t="str">
        <f t="array" ref="AD44">IF($F44&lt;&gt;"", XLOOKUP($F44,Productos!$A$2:$A1001,Productos!W$2:W1001,"")*$G44,"")</f>
        <v/>
      </c>
      <c r="AE44" s="179" t="str">
        <f t="array" ref="AE44">IF($F44&lt;&gt;"",XLOOKUP($F44,Productos!$A:$A,Productos!X:X,"Revisar"),"")</f>
        <v/>
      </c>
      <c r="AF44" s="179" t="str">
        <f t="array" ref="AF44">IF($F44&lt;&gt;"", XLOOKUP($F44,Productos!$A$2:$A1001,Productos!Y$2:Y1001,"")*$G44,"")</f>
        <v/>
      </c>
      <c r="AG44" s="179" t="str">
        <f t="array" ref="AG44">IF($F44&lt;&gt;"",XLOOKUP($F44,Productos!$A:$A,Productos!Z:Z,"Revisar"),"")</f>
        <v/>
      </c>
      <c r="AH44" s="179" t="str">
        <f t="array" ref="AH44">IF($F44&lt;&gt;"", XLOOKUP($F44,Productos!$A$2:$A1001,Productos!AA$2:AA1001,"")*$G44,"")</f>
        <v/>
      </c>
      <c r="AI44" s="179" t="str">
        <f t="array" ref="AI44">IF($F44&lt;&gt;"",XLOOKUP($F44,Productos!$A:$A,Productos!AB:AB,"Revisar"),"")</f>
        <v/>
      </c>
      <c r="AJ44" s="179" t="str">
        <f t="array" ref="AJ44">IF($F44&lt;&gt;"", XLOOKUP($F44,Productos!$A$2:$A1001,Productos!AC$2:AC1001,"")*$G44,"")</f>
        <v/>
      </c>
      <c r="AK44" s="179" t="str">
        <f t="array" ref="AK44">IF($F44&lt;&gt;"",XLOOKUP($F44,Productos!$A:$A,Productos!AD:AD,"Revisar"),"")</f>
        <v/>
      </c>
      <c r="AL44" s="179" t="str">
        <f t="array" ref="AL44">IF($F44&lt;&gt;"", XLOOKUP($F44,Productos!$A$2:$A1001,Productos!AE$2:AE1001,"")*$G44,"")</f>
        <v/>
      </c>
      <c r="AM44" s="179" t="str">
        <f t="array" ref="AM44">IF($F44&lt;&gt;"",XLOOKUP($F44,Productos!$A:$A,Productos!AF:AF,"Revisar"),"")</f>
        <v/>
      </c>
      <c r="AN44" s="179" t="str">
        <f t="array" ref="AN44">IF($F44&lt;&gt;"", XLOOKUP($F44,Productos!$A$2:$A1001,Productos!AG$2:AG1001,"")*$G44,"")</f>
        <v/>
      </c>
      <c r="AO44" s="179" t="str">
        <f t="array" ref="AO44">IF($F44&lt;&gt;"",XLOOKUP($F44,Productos!$A:$A,Productos!AH:AH,"Revisar"),"")</f>
        <v/>
      </c>
      <c r="AP44" s="179" t="str">
        <f t="array" ref="AP44">IF($F44&lt;&gt;"", XLOOKUP($F44,Productos!$A$2:$A1001,Productos!AI$2:AI1001,"")*$G44,"")</f>
        <v/>
      </c>
      <c r="AQ44" s="179" t="str">
        <f t="array" ref="AQ44">IF($F44&lt;&gt;"",XLOOKUP($F44,Productos!$A:$A,Productos!AJ:AJ,"Revisar"),"")</f>
        <v/>
      </c>
      <c r="AR44" s="179" t="str">
        <f t="array" ref="AR44">IF($F44&lt;&gt;"", XLOOKUP($F44,Productos!$A$2:$A1001,Productos!AK$2:AK1001,"")*$G44,"")</f>
        <v/>
      </c>
      <c r="AS44" s="179" t="str">
        <f t="array" ref="AS44">IF($F44&lt;&gt;"",XLOOKUP($F44,Productos!$A:$A,Productos!AL:AL,"Revisar"),"")</f>
        <v/>
      </c>
      <c r="AT44" s="179" t="str">
        <f t="array" ref="AT44">IF($F44&lt;&gt;"", XLOOKUP($F44,Productos!$A$2:$A1001,Productos!AM$2:AM1001,"")*$G44,"")</f>
        <v/>
      </c>
      <c r="AU44" s="179" t="str">
        <f t="array" ref="AU44">IF($F44&lt;&gt;"",XLOOKUP($F44,Productos!$A:$A,Productos!AN:AN,"Revisar"),"")</f>
        <v/>
      </c>
      <c r="AV44" s="179" t="str">
        <f t="array" ref="AV44">IF($F44&lt;&gt;"", XLOOKUP($F44,Productos!$A$2:$A1001,Productos!AO$2:AO1001,"")*$G44,"")</f>
        <v/>
      </c>
      <c r="AW44" s="179" t="str">
        <f t="array" ref="AW44">IF($F44&lt;&gt;"",XLOOKUP($F44,Productos!$A:$A,Productos!AP:AP,"Revisar"),"")</f>
        <v/>
      </c>
      <c r="AX44" s="179" t="str">
        <f t="array" ref="AX44">IF($F44&lt;&gt;"", XLOOKUP($F44,Productos!$A$2:$A1001,Productos!AQ$2:AQ1001,"")*$G44,"")</f>
        <v/>
      </c>
      <c r="AY44" s="179" t="str">
        <f t="array" ref="AY44">IF($F44&lt;&gt;"",XLOOKUP($F44,Productos!$A:$A,Productos!AR:AR,"Revisar"),"")</f>
        <v/>
      </c>
      <c r="AZ44" s="179" t="str">
        <f t="array" ref="AZ44">IF($F44&lt;&gt;"", XLOOKUP($F44,Productos!$A$2:$A1001,Productos!AS$2:AS1001,"")*$G44,"")</f>
        <v/>
      </c>
      <c r="BA44" s="179" t="str">
        <f t="array" ref="BA44">IF($F44&lt;&gt;"",XLOOKUP($F44,Productos!$A:$A,Productos!AT:AT,"Revisar"),"")</f>
        <v/>
      </c>
      <c r="BB44" s="179" t="str">
        <f t="array" ref="BB44">IF($F44&lt;&gt;"", XLOOKUP($F44,Productos!$A$2:$A1001,Productos!AU$2:AU1001,"")*$G44,"")</f>
        <v/>
      </c>
      <c r="BC44" s="179" t="str">
        <f t="array" ref="BC44">IF($F44&lt;&gt;"",XLOOKUP($F44,Productos!$A:$A,Productos!AV:AV,"Revisar"),"")</f>
        <v/>
      </c>
      <c r="BD44" s="179" t="str">
        <f t="array" ref="BD44">IF($F44&lt;&gt;"", XLOOKUP($F44,Productos!$A$2:$A1001,Productos!AW$2:AW1001,"")*$G44,"")</f>
        <v/>
      </c>
      <c r="BE44" s="179" t="str">
        <f t="array" ref="BE44">IF($F44&lt;&gt;"",XLOOKUP($F44,Productos!$A:$A,Productos!AX:AX,"Revisar"),"")</f>
        <v/>
      </c>
      <c r="BF44" s="179" t="str">
        <f t="array" ref="BF44">IF($F44&lt;&gt;"", XLOOKUP($F44,Productos!$A$2:$A1001,Productos!AY$2:AY1001,"")*$G44,"")</f>
        <v/>
      </c>
      <c r="BG44" s="179" t="str">
        <f t="array" ref="BG44">IF($F44&lt;&gt;"",XLOOKUP($F44,Productos!$A:$A,Productos!AZ:AZ,"Revisar"),"")</f>
        <v/>
      </c>
      <c r="BH44" s="179" t="str">
        <f t="array" ref="BH44">IF($F44&lt;&gt;"", XLOOKUP($F44,Productos!$A$2:$A1001,Productos!BA$2:BA1001,"")*$G44,"")</f>
        <v/>
      </c>
      <c r="BI44" s="179" t="str">
        <f t="array" ref="BI44">IF($F44&lt;&gt;"",XLOOKUP($F44,Productos!$A:$A,Productos!BB:BB,"Revisar"),"")</f>
        <v/>
      </c>
      <c r="BJ44" s="179" t="str">
        <f t="array" ref="BJ44">IF($F44&lt;&gt;"", XLOOKUP($F44,Productos!$A$2:$A1001,Productos!BC$2:BC1001,"")*$G44,"")</f>
        <v/>
      </c>
      <c r="BK44" s="179" t="str">
        <f t="array" ref="BK44">IF($F44&lt;&gt;"",XLOOKUP($F44,Productos!$A:$A,Productos!BD:BD,"Revisar"),"")</f>
        <v/>
      </c>
      <c r="BL44" s="179" t="str">
        <f t="array" ref="BL44">IF($F44&lt;&gt;"", XLOOKUP($F44,Productos!$A$2:$A1001,Productos!BE$2:BE1001,"")*$G44,"")</f>
        <v/>
      </c>
      <c r="BM44" s="179" t="str">
        <f t="array" ref="BM44">IF($F44&lt;&gt;"",XLOOKUP($F44,Productos!$A:$A,Productos!BF:BF,"Revisar"),"")</f>
        <v/>
      </c>
      <c r="BN44" s="179" t="str">
        <f t="array" ref="BN44">IF($F44&lt;&gt;"", XLOOKUP($F44,Productos!$A$2:$A1001,Productos!BG$2:BG1001,"")*$G44,"")</f>
        <v/>
      </c>
      <c r="BO44" s="179" t="str">
        <f t="array" ref="BO44">IF($F44&lt;&gt;"",XLOOKUP($F44,Productos!$A:$A,Productos!BH:BH,"Revisar"),"")</f>
        <v/>
      </c>
      <c r="BP44" s="179" t="str">
        <f t="array" ref="BP44">IF($F44&lt;&gt;"", XLOOKUP($F44,Productos!$A$2:$A1001,Productos!BI$2:BI1001,"")*$G44,"")</f>
        <v/>
      </c>
      <c r="BQ44" s="179" t="str">
        <f t="array" ref="BQ44">IF($F44&lt;&gt;"",XLOOKUP($F44,Productos!$A:$A,Productos!BJ:BJ,"Revisar"),"")</f>
        <v/>
      </c>
      <c r="BR44" s="179" t="str">
        <f t="array" ref="BR44">IF($F44&lt;&gt;"", XLOOKUP($F44,Productos!$A$2:$A1001,Productos!BK$2:BK1001,"")*$G44,"")</f>
        <v/>
      </c>
      <c r="BS44" s="179" t="str">
        <f t="array" ref="BS44">IF($F44&lt;&gt;"",XLOOKUP($F44,Productos!$A:$A,Productos!BL:BL,"Revisar"),"")</f>
        <v/>
      </c>
      <c r="BT44" s="179" t="str">
        <f t="array" ref="BT44">IF($F44&lt;&gt;"", XLOOKUP($F44,Productos!$A$2:$A1001,Productos!BM$2:BM1001,"")*$G44,"")</f>
        <v/>
      </c>
      <c r="BU44" s="179" t="str">
        <f t="array" ref="BU44">IF($F44&lt;&gt;"",XLOOKUP($F44,Productos!$A:$A,Productos!BN:BN,"Revisar"),"")</f>
        <v/>
      </c>
      <c r="BV44" s="179" t="str">
        <f t="array" ref="BV44">IF($F44&lt;&gt;"", XLOOKUP($F44,Productos!$A$2:$A1001,Productos!BO$2:BO1001,"")*$G44,"")</f>
        <v/>
      </c>
      <c r="BW44" s="179" t="str">
        <f t="array" ref="BW44">IF($F44&lt;&gt;"",XLOOKUP($F44,Productos!$A:$A,Productos!BP:BP,"Revisar"),"")</f>
        <v/>
      </c>
      <c r="BX44" s="179" t="str">
        <f t="array" ref="BX44">IF($F44&lt;&gt;"", XLOOKUP($F44,Productos!$A$2:$A1001,Productos!BQ$2:BQ1001,"")*$G44,"")</f>
        <v/>
      </c>
      <c r="BY44" s="179" t="str">
        <f t="array" ref="BY44">IF($F44&lt;&gt;"",XLOOKUP($F44,Productos!$A:$A,Productos!BR:BR,"Revisar"),"")</f>
        <v/>
      </c>
      <c r="BZ44" s="179" t="str">
        <f t="array" ref="BZ44">IF($F44&lt;&gt;"", XLOOKUP($F44,Productos!$A$2:$A1001,Productos!BS$2:BS1001,"")*$G44,"")</f>
        <v/>
      </c>
    </row>
    <row r="45">
      <c r="A45" s="180"/>
      <c r="B45" s="181"/>
      <c r="C45" s="182"/>
      <c r="D45" s="182"/>
      <c r="E45" s="185"/>
      <c r="F45" s="186"/>
      <c r="G45" s="187"/>
      <c r="H45" s="186"/>
      <c r="I45" s="179" t="str">
        <f t="array" ref="I45">IF($F45&lt;&gt;"",XLOOKUP($F45,Productos!$A:$A,Productos!B:B,"Revisar"),"")</f>
        <v/>
      </c>
      <c r="J45" s="179" t="str">
        <f t="array" ref="J45">IF($F45&lt;&gt;"", XLOOKUP($F45,Productos!$A$2:$A1001,Productos!C$2:C1001,"")*$G45,"")</f>
        <v/>
      </c>
      <c r="K45" s="179" t="str">
        <f t="array" ref="K45">IF($F45&lt;&gt;"",XLOOKUP($F45,Productos!$A:$A,Productos!D:D,"Revisar"),"")</f>
        <v/>
      </c>
      <c r="L45" s="179" t="str">
        <f t="array" ref="L45">IF($F45&lt;&gt;"", XLOOKUP($F45,Productos!$A$2:$A1001,Productos!E$2:E1001,"")*$G45,"")</f>
        <v/>
      </c>
      <c r="M45" s="179" t="str">
        <f t="array" ref="M45">IF($F45&lt;&gt;"",XLOOKUP($F45,Productos!$A:$A,Productos!F:F,"Revisar"),"")</f>
        <v/>
      </c>
      <c r="N45" s="179" t="str">
        <f t="array" ref="N45">IF($F45&lt;&gt;"", XLOOKUP($F45,Productos!$A$2:$A1001,Productos!G$2:G1001,"")*$G45,"")</f>
        <v/>
      </c>
      <c r="O45" s="179" t="str">
        <f t="array" ref="O45">IF($F45&lt;&gt;"",XLOOKUP($F45,Productos!$A:$A,Productos!H:H,"Revisar"),"")</f>
        <v/>
      </c>
      <c r="P45" s="179" t="str">
        <f t="array" ref="P45">IF($F45&lt;&gt;"", XLOOKUP($F45,Productos!$A$2:$A1001,Productos!I$2:I1001,"")*$G45,"")</f>
        <v/>
      </c>
      <c r="Q45" s="179" t="str">
        <f t="array" ref="Q45">IF($F45&lt;&gt;"",XLOOKUP($F45,Productos!$A:$A,Productos!J:J,"Revisar"),"")</f>
        <v/>
      </c>
      <c r="R45" s="179" t="str">
        <f t="array" ref="R45">IF($F45&lt;&gt;"", XLOOKUP($F45,Productos!$A$2:$A1001,Productos!K$2:K1001,"")*$G45,"")</f>
        <v/>
      </c>
      <c r="S45" s="179" t="str">
        <f t="array" ref="S45">IF($F45&lt;&gt;"",XLOOKUP($F45,Productos!$A:$A,Productos!L:L,"Revisar"),"")</f>
        <v/>
      </c>
      <c r="T45" s="179" t="str">
        <f t="array" ref="T45">IF($F45&lt;&gt;"", XLOOKUP($F45,Productos!$A$2:$A1001,Productos!M$2:M1001,"")*$G45,"")</f>
        <v/>
      </c>
      <c r="U45" s="179" t="str">
        <f t="array" ref="U45">IF($F45&lt;&gt;"",XLOOKUP($F45,Productos!$A:$A,Productos!N:N,"Revisar"),"")</f>
        <v/>
      </c>
      <c r="V45" s="179" t="str">
        <f t="array" ref="V45">IF($F45&lt;&gt;"", XLOOKUP($F45,Productos!$A$2:$A1001,Productos!O$2:O1001,"")*$G45,"")</f>
        <v/>
      </c>
      <c r="W45" s="179" t="str">
        <f t="array" ref="W45">IF($F45&lt;&gt;"",XLOOKUP($F45,Productos!$A:$A,Productos!P:P,"Revisar"),"")</f>
        <v/>
      </c>
      <c r="X45" s="179" t="str">
        <f t="array" ref="X45">IF($F45&lt;&gt;"", XLOOKUP($F45,Productos!$A$2:$A1001,Productos!Q$2:Q1001,"")*$G45,"")</f>
        <v/>
      </c>
      <c r="Y45" s="179" t="str">
        <f t="array" ref="Y45">IF($F45&lt;&gt;"",XLOOKUP($F45,Productos!$A:$A,Productos!R:R,"Revisar"),"")</f>
        <v/>
      </c>
      <c r="Z45" s="179" t="str">
        <f t="array" ref="Z45">IF($F45&lt;&gt;"", XLOOKUP($F45,Productos!$A$2:$A1001,Productos!S$2:S1001,"")*$G45,"")</f>
        <v/>
      </c>
      <c r="AA45" s="179" t="str">
        <f t="array" ref="AA45">IF($F45&lt;&gt;"",XLOOKUP($F45,Productos!$A:$A,Productos!T:T,"Revisar"),"")</f>
        <v/>
      </c>
      <c r="AB45" s="179" t="str">
        <f t="array" ref="AB45">IF($F45&lt;&gt;"", XLOOKUP($F45,Productos!$A$2:$A1001,Productos!U$2:U1001,"")*$G45,"")</f>
        <v/>
      </c>
      <c r="AC45" s="179" t="str">
        <f t="array" ref="AC45">IF($F45&lt;&gt;"",XLOOKUP($F45,Productos!$A:$A,Productos!V:V,"Revisar"),"")</f>
        <v/>
      </c>
      <c r="AD45" s="179" t="str">
        <f t="array" ref="AD45">IF($F45&lt;&gt;"", XLOOKUP($F45,Productos!$A$2:$A1001,Productos!W$2:W1001,"")*$G45,"")</f>
        <v/>
      </c>
      <c r="AE45" s="179" t="str">
        <f t="array" ref="AE45">IF($F45&lt;&gt;"",XLOOKUP($F45,Productos!$A:$A,Productos!X:X,"Revisar"),"")</f>
        <v/>
      </c>
      <c r="AF45" s="179" t="str">
        <f t="array" ref="AF45">IF($F45&lt;&gt;"", XLOOKUP($F45,Productos!$A$2:$A1001,Productos!Y$2:Y1001,"")*$G45,"")</f>
        <v/>
      </c>
      <c r="AG45" s="179" t="str">
        <f t="array" ref="AG45">IF($F45&lt;&gt;"",XLOOKUP($F45,Productos!$A:$A,Productos!Z:Z,"Revisar"),"")</f>
        <v/>
      </c>
      <c r="AH45" s="179" t="str">
        <f t="array" ref="AH45">IF($F45&lt;&gt;"", XLOOKUP($F45,Productos!$A$2:$A1001,Productos!AA$2:AA1001,"")*$G45,"")</f>
        <v/>
      </c>
      <c r="AI45" s="179" t="str">
        <f t="array" ref="AI45">IF($F45&lt;&gt;"",XLOOKUP($F45,Productos!$A:$A,Productos!AB:AB,"Revisar"),"")</f>
        <v/>
      </c>
      <c r="AJ45" s="179" t="str">
        <f t="array" ref="AJ45">IF($F45&lt;&gt;"", XLOOKUP($F45,Productos!$A$2:$A1001,Productos!AC$2:AC1001,"")*$G45,"")</f>
        <v/>
      </c>
      <c r="AK45" s="179" t="str">
        <f t="array" ref="AK45">IF($F45&lt;&gt;"",XLOOKUP($F45,Productos!$A:$A,Productos!AD:AD,"Revisar"),"")</f>
        <v/>
      </c>
      <c r="AL45" s="179" t="str">
        <f t="array" ref="AL45">IF($F45&lt;&gt;"", XLOOKUP($F45,Productos!$A$2:$A1001,Productos!AE$2:AE1001,"")*$G45,"")</f>
        <v/>
      </c>
      <c r="AM45" s="179" t="str">
        <f t="array" ref="AM45">IF($F45&lt;&gt;"",XLOOKUP($F45,Productos!$A:$A,Productos!AF:AF,"Revisar"),"")</f>
        <v/>
      </c>
      <c r="AN45" s="179" t="str">
        <f t="array" ref="AN45">IF($F45&lt;&gt;"", XLOOKUP($F45,Productos!$A$2:$A1001,Productos!AG$2:AG1001,"")*$G45,"")</f>
        <v/>
      </c>
      <c r="AO45" s="179" t="str">
        <f t="array" ref="AO45">IF($F45&lt;&gt;"",XLOOKUP($F45,Productos!$A:$A,Productos!AH:AH,"Revisar"),"")</f>
        <v/>
      </c>
      <c r="AP45" s="179" t="str">
        <f t="array" ref="AP45">IF($F45&lt;&gt;"", XLOOKUP($F45,Productos!$A$2:$A1001,Productos!AI$2:AI1001,"")*$G45,"")</f>
        <v/>
      </c>
      <c r="AQ45" s="179" t="str">
        <f t="array" ref="AQ45">IF($F45&lt;&gt;"",XLOOKUP($F45,Productos!$A:$A,Productos!AJ:AJ,"Revisar"),"")</f>
        <v/>
      </c>
      <c r="AR45" s="179" t="str">
        <f t="array" ref="AR45">IF($F45&lt;&gt;"", XLOOKUP($F45,Productos!$A$2:$A1001,Productos!AK$2:AK1001,"")*$G45,"")</f>
        <v/>
      </c>
      <c r="AS45" s="179" t="str">
        <f t="array" ref="AS45">IF($F45&lt;&gt;"",XLOOKUP($F45,Productos!$A:$A,Productos!AL:AL,"Revisar"),"")</f>
        <v/>
      </c>
      <c r="AT45" s="179" t="str">
        <f t="array" ref="AT45">IF($F45&lt;&gt;"", XLOOKUP($F45,Productos!$A$2:$A1001,Productos!AM$2:AM1001,"")*$G45,"")</f>
        <v/>
      </c>
      <c r="AU45" s="179" t="str">
        <f t="array" ref="AU45">IF($F45&lt;&gt;"",XLOOKUP($F45,Productos!$A:$A,Productos!AN:AN,"Revisar"),"")</f>
        <v/>
      </c>
      <c r="AV45" s="179" t="str">
        <f t="array" ref="AV45">IF($F45&lt;&gt;"", XLOOKUP($F45,Productos!$A$2:$A1001,Productos!AO$2:AO1001,"")*$G45,"")</f>
        <v/>
      </c>
      <c r="AW45" s="179" t="str">
        <f t="array" ref="AW45">IF($F45&lt;&gt;"",XLOOKUP($F45,Productos!$A:$A,Productos!AP:AP,"Revisar"),"")</f>
        <v/>
      </c>
      <c r="AX45" s="179" t="str">
        <f t="array" ref="AX45">IF($F45&lt;&gt;"", XLOOKUP($F45,Productos!$A$2:$A1001,Productos!AQ$2:AQ1001,"")*$G45,"")</f>
        <v/>
      </c>
      <c r="AY45" s="179" t="str">
        <f t="array" ref="AY45">IF($F45&lt;&gt;"",XLOOKUP($F45,Productos!$A:$A,Productos!AR:AR,"Revisar"),"")</f>
        <v/>
      </c>
      <c r="AZ45" s="179" t="str">
        <f t="array" ref="AZ45">IF($F45&lt;&gt;"", XLOOKUP($F45,Productos!$A$2:$A1001,Productos!AS$2:AS1001,"")*$G45,"")</f>
        <v/>
      </c>
      <c r="BA45" s="179" t="str">
        <f t="array" ref="BA45">IF($F45&lt;&gt;"",XLOOKUP($F45,Productos!$A:$A,Productos!AT:AT,"Revisar"),"")</f>
        <v/>
      </c>
      <c r="BB45" s="179" t="str">
        <f t="array" ref="BB45">IF($F45&lt;&gt;"", XLOOKUP($F45,Productos!$A$2:$A1001,Productos!AU$2:AU1001,"")*$G45,"")</f>
        <v/>
      </c>
      <c r="BC45" s="179" t="str">
        <f t="array" ref="BC45">IF($F45&lt;&gt;"",XLOOKUP($F45,Productos!$A:$A,Productos!AV:AV,"Revisar"),"")</f>
        <v/>
      </c>
      <c r="BD45" s="179" t="str">
        <f t="array" ref="BD45">IF($F45&lt;&gt;"", XLOOKUP($F45,Productos!$A$2:$A1001,Productos!AW$2:AW1001,"")*$G45,"")</f>
        <v/>
      </c>
      <c r="BE45" s="179" t="str">
        <f t="array" ref="BE45">IF($F45&lt;&gt;"",XLOOKUP($F45,Productos!$A:$A,Productos!AX:AX,"Revisar"),"")</f>
        <v/>
      </c>
      <c r="BF45" s="179" t="str">
        <f t="array" ref="BF45">IF($F45&lt;&gt;"", XLOOKUP($F45,Productos!$A$2:$A1001,Productos!AY$2:AY1001,"")*$G45,"")</f>
        <v/>
      </c>
      <c r="BG45" s="179" t="str">
        <f t="array" ref="BG45">IF($F45&lt;&gt;"",XLOOKUP($F45,Productos!$A:$A,Productos!AZ:AZ,"Revisar"),"")</f>
        <v/>
      </c>
      <c r="BH45" s="179" t="str">
        <f t="array" ref="BH45">IF($F45&lt;&gt;"", XLOOKUP($F45,Productos!$A$2:$A1001,Productos!BA$2:BA1001,"")*$G45,"")</f>
        <v/>
      </c>
      <c r="BI45" s="179" t="str">
        <f t="array" ref="BI45">IF($F45&lt;&gt;"",XLOOKUP($F45,Productos!$A:$A,Productos!BB:BB,"Revisar"),"")</f>
        <v/>
      </c>
      <c r="BJ45" s="179" t="str">
        <f t="array" ref="BJ45">IF($F45&lt;&gt;"", XLOOKUP($F45,Productos!$A$2:$A1001,Productos!BC$2:BC1001,"")*$G45,"")</f>
        <v/>
      </c>
      <c r="BK45" s="179" t="str">
        <f t="array" ref="BK45">IF($F45&lt;&gt;"",XLOOKUP($F45,Productos!$A:$A,Productos!BD:BD,"Revisar"),"")</f>
        <v/>
      </c>
      <c r="BL45" s="179" t="str">
        <f t="array" ref="BL45">IF($F45&lt;&gt;"", XLOOKUP($F45,Productos!$A$2:$A1001,Productos!BE$2:BE1001,"")*$G45,"")</f>
        <v/>
      </c>
      <c r="BM45" s="179" t="str">
        <f t="array" ref="BM45">IF($F45&lt;&gt;"",XLOOKUP($F45,Productos!$A:$A,Productos!BF:BF,"Revisar"),"")</f>
        <v/>
      </c>
      <c r="BN45" s="179" t="str">
        <f t="array" ref="BN45">IF($F45&lt;&gt;"", XLOOKUP($F45,Productos!$A$2:$A1001,Productos!BG$2:BG1001,"")*$G45,"")</f>
        <v/>
      </c>
      <c r="BO45" s="179" t="str">
        <f t="array" ref="BO45">IF($F45&lt;&gt;"",XLOOKUP($F45,Productos!$A:$A,Productos!BH:BH,"Revisar"),"")</f>
        <v/>
      </c>
      <c r="BP45" s="179" t="str">
        <f t="array" ref="BP45">IF($F45&lt;&gt;"", XLOOKUP($F45,Productos!$A$2:$A1001,Productos!BI$2:BI1001,"")*$G45,"")</f>
        <v/>
      </c>
      <c r="BQ45" s="179" t="str">
        <f t="array" ref="BQ45">IF($F45&lt;&gt;"",XLOOKUP($F45,Productos!$A:$A,Productos!BJ:BJ,"Revisar"),"")</f>
        <v/>
      </c>
      <c r="BR45" s="179" t="str">
        <f t="array" ref="BR45">IF($F45&lt;&gt;"", XLOOKUP($F45,Productos!$A$2:$A1001,Productos!BK$2:BK1001,"")*$G45,"")</f>
        <v/>
      </c>
      <c r="BS45" s="179" t="str">
        <f t="array" ref="BS45">IF($F45&lt;&gt;"",XLOOKUP($F45,Productos!$A:$A,Productos!BL:BL,"Revisar"),"")</f>
        <v/>
      </c>
      <c r="BT45" s="179" t="str">
        <f t="array" ref="BT45">IF($F45&lt;&gt;"", XLOOKUP($F45,Productos!$A$2:$A1001,Productos!BM$2:BM1001,"")*$G45,"")</f>
        <v/>
      </c>
      <c r="BU45" s="179" t="str">
        <f t="array" ref="BU45">IF($F45&lt;&gt;"",XLOOKUP($F45,Productos!$A:$A,Productos!BN:BN,"Revisar"),"")</f>
        <v/>
      </c>
      <c r="BV45" s="179" t="str">
        <f t="array" ref="BV45">IF($F45&lt;&gt;"", XLOOKUP($F45,Productos!$A$2:$A1001,Productos!BO$2:BO1001,"")*$G45,"")</f>
        <v/>
      </c>
      <c r="BW45" s="179" t="str">
        <f t="array" ref="BW45">IF($F45&lt;&gt;"",XLOOKUP($F45,Productos!$A:$A,Productos!BP:BP,"Revisar"),"")</f>
        <v/>
      </c>
      <c r="BX45" s="179" t="str">
        <f t="array" ref="BX45">IF($F45&lt;&gt;"", XLOOKUP($F45,Productos!$A$2:$A1001,Productos!BQ$2:BQ1001,"")*$G45,"")</f>
        <v/>
      </c>
      <c r="BY45" s="179" t="str">
        <f t="array" ref="BY45">IF($F45&lt;&gt;"",XLOOKUP($F45,Productos!$A:$A,Productos!BR:BR,"Revisar"),"")</f>
        <v/>
      </c>
      <c r="BZ45" s="179" t="str">
        <f t="array" ref="BZ45">IF($F45&lt;&gt;"", XLOOKUP($F45,Productos!$A$2:$A1001,Productos!BS$2:BS1001,"")*$G45,"")</f>
        <v/>
      </c>
    </row>
    <row r="46">
      <c r="A46" s="180"/>
      <c r="B46" s="181"/>
      <c r="C46" s="182"/>
      <c r="D46" s="182"/>
      <c r="E46" s="185"/>
      <c r="F46" s="186"/>
      <c r="G46" s="187"/>
      <c r="H46" s="186"/>
      <c r="I46" s="179" t="str">
        <f t="array" ref="I46">IF($F46&lt;&gt;"",XLOOKUP($F46,Productos!$A:$A,Productos!B:B,"Revisar"),"")</f>
        <v/>
      </c>
      <c r="J46" s="179" t="str">
        <f t="array" ref="J46">IF($F46&lt;&gt;"", XLOOKUP($F46,Productos!$A$2:$A1001,Productos!C$2:C1001,"")*$G46,"")</f>
        <v/>
      </c>
      <c r="K46" s="179" t="str">
        <f t="array" ref="K46">IF($F46&lt;&gt;"",XLOOKUP($F46,Productos!$A:$A,Productos!D:D,"Revisar"),"")</f>
        <v/>
      </c>
      <c r="L46" s="179" t="str">
        <f t="array" ref="L46">IF($F46&lt;&gt;"", XLOOKUP($F46,Productos!$A$2:$A1001,Productos!E$2:E1001,"")*$G46,"")</f>
        <v/>
      </c>
      <c r="M46" s="179" t="str">
        <f t="array" ref="M46">IF($F46&lt;&gt;"",XLOOKUP($F46,Productos!$A:$A,Productos!F:F,"Revisar"),"")</f>
        <v/>
      </c>
      <c r="N46" s="179" t="str">
        <f t="array" ref="N46">IF($F46&lt;&gt;"", XLOOKUP($F46,Productos!$A$2:$A1001,Productos!G$2:G1001,"")*$G46,"")</f>
        <v/>
      </c>
      <c r="O46" s="179" t="str">
        <f t="array" ref="O46">IF($F46&lt;&gt;"",XLOOKUP($F46,Productos!$A:$A,Productos!H:H,"Revisar"),"")</f>
        <v/>
      </c>
      <c r="P46" s="179" t="str">
        <f t="array" ref="P46">IF($F46&lt;&gt;"", XLOOKUP($F46,Productos!$A$2:$A1001,Productos!I$2:I1001,"")*$G46,"")</f>
        <v/>
      </c>
      <c r="Q46" s="179" t="str">
        <f t="array" ref="Q46">IF($F46&lt;&gt;"",XLOOKUP($F46,Productos!$A:$A,Productos!J:J,"Revisar"),"")</f>
        <v/>
      </c>
      <c r="R46" s="179" t="str">
        <f t="array" ref="R46">IF($F46&lt;&gt;"", XLOOKUP($F46,Productos!$A$2:$A1001,Productos!K$2:K1001,"")*$G46,"")</f>
        <v/>
      </c>
      <c r="S46" s="179" t="str">
        <f t="array" ref="S46">IF($F46&lt;&gt;"",XLOOKUP($F46,Productos!$A:$A,Productos!L:L,"Revisar"),"")</f>
        <v/>
      </c>
      <c r="T46" s="179" t="str">
        <f t="array" ref="T46">IF($F46&lt;&gt;"", XLOOKUP($F46,Productos!$A$2:$A1001,Productos!M$2:M1001,"")*$G46,"")</f>
        <v/>
      </c>
      <c r="U46" s="179" t="str">
        <f t="array" ref="U46">IF($F46&lt;&gt;"",XLOOKUP($F46,Productos!$A:$A,Productos!N:N,"Revisar"),"")</f>
        <v/>
      </c>
      <c r="V46" s="179" t="str">
        <f t="array" ref="V46">IF($F46&lt;&gt;"", XLOOKUP($F46,Productos!$A$2:$A1001,Productos!O$2:O1001,"")*$G46,"")</f>
        <v/>
      </c>
      <c r="W46" s="179" t="str">
        <f t="array" ref="W46">IF($F46&lt;&gt;"",XLOOKUP($F46,Productos!$A:$A,Productos!P:P,"Revisar"),"")</f>
        <v/>
      </c>
      <c r="X46" s="179" t="str">
        <f t="array" ref="X46">IF($F46&lt;&gt;"", XLOOKUP($F46,Productos!$A$2:$A1001,Productos!Q$2:Q1001,"")*$G46,"")</f>
        <v/>
      </c>
      <c r="Y46" s="179" t="str">
        <f t="array" ref="Y46">IF($F46&lt;&gt;"",XLOOKUP($F46,Productos!$A:$A,Productos!R:R,"Revisar"),"")</f>
        <v/>
      </c>
      <c r="Z46" s="179" t="str">
        <f t="array" ref="Z46">IF($F46&lt;&gt;"", XLOOKUP($F46,Productos!$A$2:$A1001,Productos!S$2:S1001,"")*$G46,"")</f>
        <v/>
      </c>
      <c r="AA46" s="179" t="str">
        <f t="array" ref="AA46">IF($F46&lt;&gt;"",XLOOKUP($F46,Productos!$A:$A,Productos!T:T,"Revisar"),"")</f>
        <v/>
      </c>
      <c r="AB46" s="179" t="str">
        <f t="array" ref="AB46">IF($F46&lt;&gt;"", XLOOKUP($F46,Productos!$A$2:$A1001,Productos!U$2:U1001,"")*$G46,"")</f>
        <v/>
      </c>
      <c r="AC46" s="179" t="str">
        <f t="array" ref="AC46">IF($F46&lt;&gt;"",XLOOKUP($F46,Productos!$A:$A,Productos!V:V,"Revisar"),"")</f>
        <v/>
      </c>
      <c r="AD46" s="179" t="str">
        <f t="array" ref="AD46">IF($F46&lt;&gt;"", XLOOKUP($F46,Productos!$A$2:$A1001,Productos!W$2:W1001,"")*$G46,"")</f>
        <v/>
      </c>
      <c r="AE46" s="179" t="str">
        <f t="array" ref="AE46">IF($F46&lt;&gt;"",XLOOKUP($F46,Productos!$A:$A,Productos!X:X,"Revisar"),"")</f>
        <v/>
      </c>
      <c r="AF46" s="179" t="str">
        <f t="array" ref="AF46">IF($F46&lt;&gt;"", XLOOKUP($F46,Productos!$A$2:$A1001,Productos!Y$2:Y1001,"")*$G46,"")</f>
        <v/>
      </c>
      <c r="AG46" s="179" t="str">
        <f t="array" ref="AG46">IF($F46&lt;&gt;"",XLOOKUP($F46,Productos!$A:$A,Productos!Z:Z,"Revisar"),"")</f>
        <v/>
      </c>
      <c r="AH46" s="179" t="str">
        <f t="array" ref="AH46">IF($F46&lt;&gt;"", XLOOKUP($F46,Productos!$A$2:$A1001,Productos!AA$2:AA1001,"")*$G46,"")</f>
        <v/>
      </c>
      <c r="AI46" s="179" t="str">
        <f t="array" ref="AI46">IF($F46&lt;&gt;"",XLOOKUP($F46,Productos!$A:$A,Productos!AB:AB,"Revisar"),"")</f>
        <v/>
      </c>
      <c r="AJ46" s="179" t="str">
        <f t="array" ref="AJ46">IF($F46&lt;&gt;"", XLOOKUP($F46,Productos!$A$2:$A1001,Productos!AC$2:AC1001,"")*$G46,"")</f>
        <v/>
      </c>
      <c r="AK46" s="179" t="str">
        <f t="array" ref="AK46">IF($F46&lt;&gt;"",XLOOKUP($F46,Productos!$A:$A,Productos!AD:AD,"Revisar"),"")</f>
        <v/>
      </c>
      <c r="AL46" s="179" t="str">
        <f t="array" ref="AL46">IF($F46&lt;&gt;"", XLOOKUP($F46,Productos!$A$2:$A1001,Productos!AE$2:AE1001,"")*$G46,"")</f>
        <v/>
      </c>
      <c r="AM46" s="179" t="str">
        <f t="array" ref="AM46">IF($F46&lt;&gt;"",XLOOKUP($F46,Productos!$A:$A,Productos!AF:AF,"Revisar"),"")</f>
        <v/>
      </c>
      <c r="AN46" s="179" t="str">
        <f t="array" ref="AN46">IF($F46&lt;&gt;"", XLOOKUP($F46,Productos!$A$2:$A1001,Productos!AG$2:AG1001,"")*$G46,"")</f>
        <v/>
      </c>
      <c r="AO46" s="179" t="str">
        <f t="array" ref="AO46">IF($F46&lt;&gt;"",XLOOKUP($F46,Productos!$A:$A,Productos!AH:AH,"Revisar"),"")</f>
        <v/>
      </c>
      <c r="AP46" s="179" t="str">
        <f t="array" ref="AP46">IF($F46&lt;&gt;"", XLOOKUP($F46,Productos!$A$2:$A1001,Productos!AI$2:AI1001,"")*$G46,"")</f>
        <v/>
      </c>
      <c r="AQ46" s="179" t="str">
        <f t="array" ref="AQ46">IF($F46&lt;&gt;"",XLOOKUP($F46,Productos!$A:$A,Productos!AJ:AJ,"Revisar"),"")</f>
        <v/>
      </c>
      <c r="AR46" s="179" t="str">
        <f t="array" ref="AR46">IF($F46&lt;&gt;"", XLOOKUP($F46,Productos!$A$2:$A1001,Productos!AK$2:AK1001,"")*$G46,"")</f>
        <v/>
      </c>
      <c r="AS46" s="179" t="str">
        <f t="array" ref="AS46">IF($F46&lt;&gt;"",XLOOKUP($F46,Productos!$A:$A,Productos!AL:AL,"Revisar"),"")</f>
        <v/>
      </c>
      <c r="AT46" s="179" t="str">
        <f t="array" ref="AT46">IF($F46&lt;&gt;"", XLOOKUP($F46,Productos!$A$2:$A1001,Productos!AM$2:AM1001,"")*$G46,"")</f>
        <v/>
      </c>
      <c r="AU46" s="179" t="str">
        <f t="array" ref="AU46">IF($F46&lt;&gt;"",XLOOKUP($F46,Productos!$A:$A,Productos!AN:AN,"Revisar"),"")</f>
        <v/>
      </c>
      <c r="AV46" s="179" t="str">
        <f t="array" ref="AV46">IF($F46&lt;&gt;"", XLOOKUP($F46,Productos!$A$2:$A1001,Productos!AO$2:AO1001,"")*$G46,"")</f>
        <v/>
      </c>
      <c r="AW46" s="179" t="str">
        <f t="array" ref="AW46">IF($F46&lt;&gt;"",XLOOKUP($F46,Productos!$A:$A,Productos!AP:AP,"Revisar"),"")</f>
        <v/>
      </c>
      <c r="AX46" s="179" t="str">
        <f t="array" ref="AX46">IF($F46&lt;&gt;"", XLOOKUP($F46,Productos!$A$2:$A1001,Productos!AQ$2:AQ1001,"")*$G46,"")</f>
        <v/>
      </c>
      <c r="AY46" s="179" t="str">
        <f t="array" ref="AY46">IF($F46&lt;&gt;"",XLOOKUP($F46,Productos!$A:$A,Productos!AR:AR,"Revisar"),"")</f>
        <v/>
      </c>
      <c r="AZ46" s="179" t="str">
        <f t="array" ref="AZ46">IF($F46&lt;&gt;"", XLOOKUP($F46,Productos!$A$2:$A1001,Productos!AS$2:AS1001,"")*$G46,"")</f>
        <v/>
      </c>
      <c r="BA46" s="179" t="str">
        <f t="array" ref="BA46">IF($F46&lt;&gt;"",XLOOKUP($F46,Productos!$A:$A,Productos!AT:AT,"Revisar"),"")</f>
        <v/>
      </c>
      <c r="BB46" s="179" t="str">
        <f t="array" ref="BB46">IF($F46&lt;&gt;"", XLOOKUP($F46,Productos!$A$2:$A1001,Productos!AU$2:AU1001,"")*$G46,"")</f>
        <v/>
      </c>
      <c r="BC46" s="179" t="str">
        <f t="array" ref="BC46">IF($F46&lt;&gt;"",XLOOKUP($F46,Productos!$A:$A,Productos!AV:AV,"Revisar"),"")</f>
        <v/>
      </c>
      <c r="BD46" s="179" t="str">
        <f t="array" ref="BD46">IF($F46&lt;&gt;"", XLOOKUP($F46,Productos!$A$2:$A1001,Productos!AW$2:AW1001,"")*$G46,"")</f>
        <v/>
      </c>
      <c r="BE46" s="179" t="str">
        <f t="array" ref="BE46">IF($F46&lt;&gt;"",XLOOKUP($F46,Productos!$A:$A,Productos!AX:AX,"Revisar"),"")</f>
        <v/>
      </c>
      <c r="BF46" s="179" t="str">
        <f t="array" ref="BF46">IF($F46&lt;&gt;"", XLOOKUP($F46,Productos!$A$2:$A1001,Productos!AY$2:AY1001,"")*$G46,"")</f>
        <v/>
      </c>
      <c r="BG46" s="179" t="str">
        <f t="array" ref="BG46">IF($F46&lt;&gt;"",XLOOKUP($F46,Productos!$A:$A,Productos!AZ:AZ,"Revisar"),"")</f>
        <v/>
      </c>
      <c r="BH46" s="179" t="str">
        <f t="array" ref="BH46">IF($F46&lt;&gt;"", XLOOKUP($F46,Productos!$A$2:$A1001,Productos!BA$2:BA1001,"")*$G46,"")</f>
        <v/>
      </c>
      <c r="BI46" s="179" t="str">
        <f t="array" ref="BI46">IF($F46&lt;&gt;"",XLOOKUP($F46,Productos!$A:$A,Productos!BB:BB,"Revisar"),"")</f>
        <v/>
      </c>
      <c r="BJ46" s="179" t="str">
        <f t="array" ref="BJ46">IF($F46&lt;&gt;"", XLOOKUP($F46,Productos!$A$2:$A1001,Productos!BC$2:BC1001,"")*$G46,"")</f>
        <v/>
      </c>
      <c r="BK46" s="179" t="str">
        <f t="array" ref="BK46">IF($F46&lt;&gt;"",XLOOKUP($F46,Productos!$A:$A,Productos!BD:BD,"Revisar"),"")</f>
        <v/>
      </c>
      <c r="BL46" s="179" t="str">
        <f t="array" ref="BL46">IF($F46&lt;&gt;"", XLOOKUP($F46,Productos!$A$2:$A1001,Productos!BE$2:BE1001,"")*$G46,"")</f>
        <v/>
      </c>
      <c r="BM46" s="179" t="str">
        <f t="array" ref="BM46">IF($F46&lt;&gt;"",XLOOKUP($F46,Productos!$A:$A,Productos!BF:BF,"Revisar"),"")</f>
        <v/>
      </c>
      <c r="BN46" s="179" t="str">
        <f t="array" ref="BN46">IF($F46&lt;&gt;"", XLOOKUP($F46,Productos!$A$2:$A1001,Productos!BG$2:BG1001,"")*$G46,"")</f>
        <v/>
      </c>
      <c r="BO46" s="179" t="str">
        <f t="array" ref="BO46">IF($F46&lt;&gt;"",XLOOKUP($F46,Productos!$A:$A,Productos!BH:BH,"Revisar"),"")</f>
        <v/>
      </c>
      <c r="BP46" s="179" t="str">
        <f t="array" ref="BP46">IF($F46&lt;&gt;"", XLOOKUP($F46,Productos!$A$2:$A1001,Productos!BI$2:BI1001,"")*$G46,"")</f>
        <v/>
      </c>
      <c r="BQ46" s="179" t="str">
        <f t="array" ref="BQ46">IF($F46&lt;&gt;"",XLOOKUP($F46,Productos!$A:$A,Productos!BJ:BJ,"Revisar"),"")</f>
        <v/>
      </c>
      <c r="BR46" s="179" t="str">
        <f t="array" ref="BR46">IF($F46&lt;&gt;"", XLOOKUP($F46,Productos!$A$2:$A1001,Productos!BK$2:BK1001,"")*$G46,"")</f>
        <v/>
      </c>
      <c r="BS46" s="179" t="str">
        <f t="array" ref="BS46">IF($F46&lt;&gt;"",XLOOKUP($F46,Productos!$A:$A,Productos!BL:BL,"Revisar"),"")</f>
        <v/>
      </c>
      <c r="BT46" s="179" t="str">
        <f t="array" ref="BT46">IF($F46&lt;&gt;"", XLOOKUP($F46,Productos!$A$2:$A1001,Productos!BM$2:BM1001,"")*$G46,"")</f>
        <v/>
      </c>
      <c r="BU46" s="179" t="str">
        <f t="array" ref="BU46">IF($F46&lt;&gt;"",XLOOKUP($F46,Productos!$A:$A,Productos!BN:BN,"Revisar"),"")</f>
        <v/>
      </c>
      <c r="BV46" s="179" t="str">
        <f t="array" ref="BV46">IF($F46&lt;&gt;"", XLOOKUP($F46,Productos!$A$2:$A1001,Productos!BO$2:BO1001,"")*$G46,"")</f>
        <v/>
      </c>
      <c r="BW46" s="179" t="str">
        <f t="array" ref="BW46">IF($F46&lt;&gt;"",XLOOKUP($F46,Productos!$A:$A,Productos!BP:BP,"Revisar"),"")</f>
        <v/>
      </c>
      <c r="BX46" s="179" t="str">
        <f t="array" ref="BX46">IF($F46&lt;&gt;"", XLOOKUP($F46,Productos!$A$2:$A1001,Productos!BQ$2:BQ1001,"")*$G46,"")</f>
        <v/>
      </c>
      <c r="BY46" s="179" t="str">
        <f t="array" ref="BY46">IF($F46&lt;&gt;"",XLOOKUP($F46,Productos!$A:$A,Productos!BR:BR,"Revisar"),"")</f>
        <v/>
      </c>
      <c r="BZ46" s="179" t="str">
        <f t="array" ref="BZ46">IF($F46&lt;&gt;"", XLOOKUP($F46,Productos!$A$2:$A1001,Productos!BS$2:BS1001,"")*$G46,"")</f>
        <v/>
      </c>
    </row>
    <row r="47">
      <c r="A47" s="180"/>
      <c r="B47" s="181"/>
      <c r="C47" s="182"/>
      <c r="D47" s="182"/>
      <c r="E47" s="185"/>
      <c r="F47" s="186"/>
      <c r="G47" s="187"/>
      <c r="H47" s="186"/>
      <c r="I47" s="179" t="str">
        <f t="array" ref="I47">IF($F47&lt;&gt;"",XLOOKUP($F47,Productos!$A:$A,Productos!B:B,"Revisar"),"")</f>
        <v/>
      </c>
      <c r="J47" s="179" t="str">
        <f t="array" ref="J47">IF($F47&lt;&gt;"", XLOOKUP($F47,Productos!$A$2:$A1001,Productos!C$2:C1001,"")*$G47,"")</f>
        <v/>
      </c>
      <c r="K47" s="179" t="str">
        <f t="array" ref="K47">IF($F47&lt;&gt;"",XLOOKUP($F47,Productos!$A:$A,Productos!D:D,"Revisar"),"")</f>
        <v/>
      </c>
      <c r="L47" s="179" t="str">
        <f t="array" ref="L47">IF($F47&lt;&gt;"", XLOOKUP($F47,Productos!$A$2:$A1001,Productos!E$2:E1001,"")*$G47,"")</f>
        <v/>
      </c>
      <c r="M47" s="179" t="str">
        <f t="array" ref="M47">IF($F47&lt;&gt;"",XLOOKUP($F47,Productos!$A:$A,Productos!F:F,"Revisar"),"")</f>
        <v/>
      </c>
      <c r="N47" s="179" t="str">
        <f t="array" ref="N47">IF($F47&lt;&gt;"", XLOOKUP($F47,Productos!$A$2:$A1001,Productos!G$2:G1001,"")*$G47,"")</f>
        <v/>
      </c>
      <c r="O47" s="179" t="str">
        <f t="array" ref="O47">IF($F47&lt;&gt;"",XLOOKUP($F47,Productos!$A:$A,Productos!H:H,"Revisar"),"")</f>
        <v/>
      </c>
      <c r="P47" s="179" t="str">
        <f t="array" ref="P47">IF($F47&lt;&gt;"", XLOOKUP($F47,Productos!$A$2:$A1001,Productos!I$2:I1001,"")*$G47,"")</f>
        <v/>
      </c>
      <c r="Q47" s="179" t="str">
        <f t="array" ref="Q47">IF($F47&lt;&gt;"",XLOOKUP($F47,Productos!$A:$A,Productos!J:J,"Revisar"),"")</f>
        <v/>
      </c>
      <c r="R47" s="179" t="str">
        <f t="array" ref="R47">IF($F47&lt;&gt;"", XLOOKUP($F47,Productos!$A$2:$A1001,Productos!K$2:K1001,"")*$G47,"")</f>
        <v/>
      </c>
      <c r="S47" s="179" t="str">
        <f t="array" ref="S47">IF($F47&lt;&gt;"",XLOOKUP($F47,Productos!$A:$A,Productos!L:L,"Revisar"),"")</f>
        <v/>
      </c>
      <c r="T47" s="179" t="str">
        <f t="array" ref="T47">IF($F47&lt;&gt;"", XLOOKUP($F47,Productos!$A$2:$A1001,Productos!M$2:M1001,"")*$G47,"")</f>
        <v/>
      </c>
      <c r="U47" s="179" t="str">
        <f t="array" ref="U47">IF($F47&lt;&gt;"",XLOOKUP($F47,Productos!$A:$A,Productos!N:N,"Revisar"),"")</f>
        <v/>
      </c>
      <c r="V47" s="179" t="str">
        <f t="array" ref="V47">IF($F47&lt;&gt;"", XLOOKUP($F47,Productos!$A$2:$A1001,Productos!O$2:O1001,"")*$G47,"")</f>
        <v/>
      </c>
      <c r="W47" s="179" t="str">
        <f t="array" ref="W47">IF($F47&lt;&gt;"",XLOOKUP($F47,Productos!$A:$A,Productos!P:P,"Revisar"),"")</f>
        <v/>
      </c>
      <c r="X47" s="179" t="str">
        <f t="array" ref="X47">IF($F47&lt;&gt;"", XLOOKUP($F47,Productos!$A$2:$A1001,Productos!Q$2:Q1001,"")*$G47,"")</f>
        <v/>
      </c>
      <c r="Y47" s="179" t="str">
        <f t="array" ref="Y47">IF($F47&lt;&gt;"",XLOOKUP($F47,Productos!$A:$A,Productos!R:R,"Revisar"),"")</f>
        <v/>
      </c>
      <c r="Z47" s="179" t="str">
        <f t="array" ref="Z47">IF($F47&lt;&gt;"", XLOOKUP($F47,Productos!$A$2:$A1001,Productos!S$2:S1001,"")*$G47,"")</f>
        <v/>
      </c>
      <c r="AA47" s="179" t="str">
        <f t="array" ref="AA47">IF($F47&lt;&gt;"",XLOOKUP($F47,Productos!$A:$A,Productos!T:T,"Revisar"),"")</f>
        <v/>
      </c>
      <c r="AB47" s="179" t="str">
        <f t="array" ref="AB47">IF($F47&lt;&gt;"", XLOOKUP($F47,Productos!$A$2:$A1001,Productos!U$2:U1001,"")*$G47,"")</f>
        <v/>
      </c>
      <c r="AC47" s="179" t="str">
        <f t="array" ref="AC47">IF($F47&lt;&gt;"",XLOOKUP($F47,Productos!$A:$A,Productos!V:V,"Revisar"),"")</f>
        <v/>
      </c>
      <c r="AD47" s="179" t="str">
        <f t="array" ref="AD47">IF($F47&lt;&gt;"", XLOOKUP($F47,Productos!$A$2:$A1001,Productos!W$2:W1001,"")*$G47,"")</f>
        <v/>
      </c>
      <c r="AE47" s="179" t="str">
        <f t="array" ref="AE47">IF($F47&lt;&gt;"",XLOOKUP($F47,Productos!$A:$A,Productos!X:X,"Revisar"),"")</f>
        <v/>
      </c>
      <c r="AF47" s="179" t="str">
        <f t="array" ref="AF47">IF($F47&lt;&gt;"", XLOOKUP($F47,Productos!$A$2:$A1001,Productos!Y$2:Y1001,"")*$G47,"")</f>
        <v/>
      </c>
      <c r="AG47" s="179" t="str">
        <f t="array" ref="AG47">IF($F47&lt;&gt;"",XLOOKUP($F47,Productos!$A:$A,Productos!Z:Z,"Revisar"),"")</f>
        <v/>
      </c>
      <c r="AH47" s="179" t="str">
        <f t="array" ref="AH47">IF($F47&lt;&gt;"", XLOOKUP($F47,Productos!$A$2:$A1001,Productos!AA$2:AA1001,"")*$G47,"")</f>
        <v/>
      </c>
      <c r="AI47" s="179" t="str">
        <f t="array" ref="AI47">IF($F47&lt;&gt;"",XLOOKUP($F47,Productos!$A:$A,Productos!AB:AB,"Revisar"),"")</f>
        <v/>
      </c>
      <c r="AJ47" s="179" t="str">
        <f t="array" ref="AJ47">IF($F47&lt;&gt;"", XLOOKUP($F47,Productos!$A$2:$A1001,Productos!AC$2:AC1001,"")*$G47,"")</f>
        <v/>
      </c>
      <c r="AK47" s="179" t="str">
        <f t="array" ref="AK47">IF($F47&lt;&gt;"",XLOOKUP($F47,Productos!$A:$A,Productos!AD:AD,"Revisar"),"")</f>
        <v/>
      </c>
      <c r="AL47" s="179" t="str">
        <f t="array" ref="AL47">IF($F47&lt;&gt;"", XLOOKUP($F47,Productos!$A$2:$A1001,Productos!AE$2:AE1001,"")*$G47,"")</f>
        <v/>
      </c>
      <c r="AM47" s="179" t="str">
        <f t="array" ref="AM47">IF($F47&lt;&gt;"",XLOOKUP($F47,Productos!$A:$A,Productos!AF:AF,"Revisar"),"")</f>
        <v/>
      </c>
      <c r="AN47" s="179" t="str">
        <f t="array" ref="AN47">IF($F47&lt;&gt;"", XLOOKUP($F47,Productos!$A$2:$A1001,Productos!AG$2:AG1001,"")*$G47,"")</f>
        <v/>
      </c>
      <c r="AO47" s="179" t="str">
        <f t="array" ref="AO47">IF($F47&lt;&gt;"",XLOOKUP($F47,Productos!$A:$A,Productos!AH:AH,"Revisar"),"")</f>
        <v/>
      </c>
      <c r="AP47" s="179" t="str">
        <f t="array" ref="AP47">IF($F47&lt;&gt;"", XLOOKUP($F47,Productos!$A$2:$A1001,Productos!AI$2:AI1001,"")*$G47,"")</f>
        <v/>
      </c>
      <c r="AQ47" s="179" t="str">
        <f t="array" ref="AQ47">IF($F47&lt;&gt;"",XLOOKUP($F47,Productos!$A:$A,Productos!AJ:AJ,"Revisar"),"")</f>
        <v/>
      </c>
      <c r="AR47" s="179" t="str">
        <f t="array" ref="AR47">IF($F47&lt;&gt;"", XLOOKUP($F47,Productos!$A$2:$A1001,Productos!AK$2:AK1001,"")*$G47,"")</f>
        <v/>
      </c>
      <c r="AS47" s="179" t="str">
        <f t="array" ref="AS47">IF($F47&lt;&gt;"",XLOOKUP($F47,Productos!$A:$A,Productos!AL:AL,"Revisar"),"")</f>
        <v/>
      </c>
      <c r="AT47" s="179" t="str">
        <f t="array" ref="AT47">IF($F47&lt;&gt;"", XLOOKUP($F47,Productos!$A$2:$A1001,Productos!AM$2:AM1001,"")*$G47,"")</f>
        <v/>
      </c>
      <c r="AU47" s="179" t="str">
        <f t="array" ref="AU47">IF($F47&lt;&gt;"",XLOOKUP($F47,Productos!$A:$A,Productos!AN:AN,"Revisar"),"")</f>
        <v/>
      </c>
      <c r="AV47" s="179" t="str">
        <f t="array" ref="AV47">IF($F47&lt;&gt;"", XLOOKUP($F47,Productos!$A$2:$A1001,Productos!AO$2:AO1001,"")*$G47,"")</f>
        <v/>
      </c>
      <c r="AW47" s="179" t="str">
        <f t="array" ref="AW47">IF($F47&lt;&gt;"",XLOOKUP($F47,Productos!$A:$A,Productos!AP:AP,"Revisar"),"")</f>
        <v/>
      </c>
      <c r="AX47" s="179" t="str">
        <f t="array" ref="AX47">IF($F47&lt;&gt;"", XLOOKUP($F47,Productos!$A$2:$A1001,Productos!AQ$2:AQ1001,"")*$G47,"")</f>
        <v/>
      </c>
      <c r="AY47" s="179" t="str">
        <f t="array" ref="AY47">IF($F47&lt;&gt;"",XLOOKUP($F47,Productos!$A:$A,Productos!AR:AR,"Revisar"),"")</f>
        <v/>
      </c>
      <c r="AZ47" s="179" t="str">
        <f t="array" ref="AZ47">IF($F47&lt;&gt;"", XLOOKUP($F47,Productos!$A$2:$A1001,Productos!AS$2:AS1001,"")*$G47,"")</f>
        <v/>
      </c>
      <c r="BA47" s="179" t="str">
        <f t="array" ref="BA47">IF($F47&lt;&gt;"",XLOOKUP($F47,Productos!$A:$A,Productos!AT:AT,"Revisar"),"")</f>
        <v/>
      </c>
      <c r="BB47" s="179" t="str">
        <f t="array" ref="BB47">IF($F47&lt;&gt;"", XLOOKUP($F47,Productos!$A$2:$A1001,Productos!AU$2:AU1001,"")*$G47,"")</f>
        <v/>
      </c>
      <c r="BC47" s="179" t="str">
        <f t="array" ref="BC47">IF($F47&lt;&gt;"",XLOOKUP($F47,Productos!$A:$A,Productos!AV:AV,"Revisar"),"")</f>
        <v/>
      </c>
      <c r="BD47" s="179" t="str">
        <f t="array" ref="BD47">IF($F47&lt;&gt;"", XLOOKUP($F47,Productos!$A$2:$A1001,Productos!AW$2:AW1001,"")*$G47,"")</f>
        <v/>
      </c>
      <c r="BE47" s="179" t="str">
        <f t="array" ref="BE47">IF($F47&lt;&gt;"",XLOOKUP($F47,Productos!$A:$A,Productos!AX:AX,"Revisar"),"")</f>
        <v/>
      </c>
      <c r="BF47" s="179" t="str">
        <f t="array" ref="BF47">IF($F47&lt;&gt;"", XLOOKUP($F47,Productos!$A$2:$A1001,Productos!AY$2:AY1001,"")*$G47,"")</f>
        <v/>
      </c>
      <c r="BG47" s="179" t="str">
        <f t="array" ref="BG47">IF($F47&lt;&gt;"",XLOOKUP($F47,Productos!$A:$A,Productos!AZ:AZ,"Revisar"),"")</f>
        <v/>
      </c>
      <c r="BH47" s="179" t="str">
        <f t="array" ref="BH47">IF($F47&lt;&gt;"", XLOOKUP($F47,Productos!$A$2:$A1001,Productos!BA$2:BA1001,"")*$G47,"")</f>
        <v/>
      </c>
      <c r="BI47" s="179" t="str">
        <f t="array" ref="BI47">IF($F47&lt;&gt;"",XLOOKUP($F47,Productos!$A:$A,Productos!BB:BB,"Revisar"),"")</f>
        <v/>
      </c>
      <c r="BJ47" s="179" t="str">
        <f t="array" ref="BJ47">IF($F47&lt;&gt;"", XLOOKUP($F47,Productos!$A$2:$A1001,Productos!BC$2:BC1001,"")*$G47,"")</f>
        <v/>
      </c>
      <c r="BK47" s="179" t="str">
        <f t="array" ref="BK47">IF($F47&lt;&gt;"",XLOOKUP($F47,Productos!$A:$A,Productos!BD:BD,"Revisar"),"")</f>
        <v/>
      </c>
      <c r="BL47" s="179" t="str">
        <f t="array" ref="BL47">IF($F47&lt;&gt;"", XLOOKUP($F47,Productos!$A$2:$A1001,Productos!BE$2:BE1001,"")*$G47,"")</f>
        <v/>
      </c>
      <c r="BM47" s="179" t="str">
        <f t="array" ref="BM47">IF($F47&lt;&gt;"",XLOOKUP($F47,Productos!$A:$A,Productos!BF:BF,"Revisar"),"")</f>
        <v/>
      </c>
      <c r="BN47" s="179" t="str">
        <f t="array" ref="BN47">IF($F47&lt;&gt;"", XLOOKUP($F47,Productos!$A$2:$A1001,Productos!BG$2:BG1001,"")*$G47,"")</f>
        <v/>
      </c>
      <c r="BO47" s="179" t="str">
        <f t="array" ref="BO47">IF($F47&lt;&gt;"",XLOOKUP($F47,Productos!$A:$A,Productos!BH:BH,"Revisar"),"")</f>
        <v/>
      </c>
      <c r="BP47" s="179" t="str">
        <f t="array" ref="BP47">IF($F47&lt;&gt;"", XLOOKUP($F47,Productos!$A$2:$A1001,Productos!BI$2:BI1001,"")*$G47,"")</f>
        <v/>
      </c>
      <c r="BQ47" s="179" t="str">
        <f t="array" ref="BQ47">IF($F47&lt;&gt;"",XLOOKUP($F47,Productos!$A:$A,Productos!BJ:BJ,"Revisar"),"")</f>
        <v/>
      </c>
      <c r="BR47" s="179" t="str">
        <f t="array" ref="BR47">IF($F47&lt;&gt;"", XLOOKUP($F47,Productos!$A$2:$A1001,Productos!BK$2:BK1001,"")*$G47,"")</f>
        <v/>
      </c>
      <c r="BS47" s="179" t="str">
        <f t="array" ref="BS47">IF($F47&lt;&gt;"",XLOOKUP($F47,Productos!$A:$A,Productos!BL:BL,"Revisar"),"")</f>
        <v/>
      </c>
      <c r="BT47" s="179" t="str">
        <f t="array" ref="BT47">IF($F47&lt;&gt;"", XLOOKUP($F47,Productos!$A$2:$A1001,Productos!BM$2:BM1001,"")*$G47,"")</f>
        <v/>
      </c>
      <c r="BU47" s="179" t="str">
        <f t="array" ref="BU47">IF($F47&lt;&gt;"",XLOOKUP($F47,Productos!$A:$A,Productos!BN:BN,"Revisar"),"")</f>
        <v/>
      </c>
      <c r="BV47" s="179" t="str">
        <f t="array" ref="BV47">IF($F47&lt;&gt;"", XLOOKUP($F47,Productos!$A$2:$A1001,Productos!BO$2:BO1001,"")*$G47,"")</f>
        <v/>
      </c>
      <c r="BW47" s="179" t="str">
        <f t="array" ref="BW47">IF($F47&lt;&gt;"",XLOOKUP($F47,Productos!$A:$A,Productos!BP:BP,"Revisar"),"")</f>
        <v/>
      </c>
      <c r="BX47" s="179" t="str">
        <f t="array" ref="BX47">IF($F47&lt;&gt;"", XLOOKUP($F47,Productos!$A$2:$A1001,Productos!BQ$2:BQ1001,"")*$G47,"")</f>
        <v/>
      </c>
      <c r="BY47" s="179" t="str">
        <f t="array" ref="BY47">IF($F47&lt;&gt;"",XLOOKUP($F47,Productos!$A:$A,Productos!BR:BR,"Revisar"),"")</f>
        <v/>
      </c>
      <c r="BZ47" s="179" t="str">
        <f t="array" ref="BZ47">IF($F47&lt;&gt;"", XLOOKUP($F47,Productos!$A$2:$A1001,Productos!BS$2:BS1001,"")*$G47,"")</f>
        <v/>
      </c>
    </row>
    <row r="48">
      <c r="A48" s="180"/>
      <c r="B48" s="181"/>
      <c r="C48" s="182"/>
      <c r="D48" s="182"/>
      <c r="E48" s="185"/>
      <c r="F48" s="186"/>
      <c r="G48" s="187"/>
      <c r="H48" s="186"/>
      <c r="I48" s="179" t="str">
        <f t="array" ref="I48">IF($F48&lt;&gt;"",XLOOKUP($F48,Productos!$A:$A,Productos!B:B,"Revisar"),"")</f>
        <v/>
      </c>
      <c r="J48" s="179" t="str">
        <f t="array" ref="J48">IF($F48&lt;&gt;"", XLOOKUP($F48,Productos!$A$2:$A1001,Productos!C$2:C1001,"")*$G48,"")</f>
        <v/>
      </c>
      <c r="K48" s="179" t="str">
        <f t="array" ref="K48">IF($F48&lt;&gt;"",XLOOKUP($F48,Productos!$A:$A,Productos!D:D,"Revisar"),"")</f>
        <v/>
      </c>
      <c r="L48" s="179" t="str">
        <f t="array" ref="L48">IF($F48&lt;&gt;"", XLOOKUP($F48,Productos!$A$2:$A1001,Productos!E$2:E1001,"")*$G48,"")</f>
        <v/>
      </c>
      <c r="M48" s="179" t="str">
        <f t="array" ref="M48">IF($F48&lt;&gt;"",XLOOKUP($F48,Productos!$A:$A,Productos!F:F,"Revisar"),"")</f>
        <v/>
      </c>
      <c r="N48" s="179" t="str">
        <f t="array" ref="N48">IF($F48&lt;&gt;"", XLOOKUP($F48,Productos!$A$2:$A1001,Productos!G$2:G1001,"")*$G48,"")</f>
        <v/>
      </c>
      <c r="O48" s="179" t="str">
        <f t="array" ref="O48">IF($F48&lt;&gt;"",XLOOKUP($F48,Productos!$A:$A,Productos!H:H,"Revisar"),"")</f>
        <v/>
      </c>
      <c r="P48" s="179" t="str">
        <f t="array" ref="P48">IF($F48&lt;&gt;"", XLOOKUP($F48,Productos!$A$2:$A1001,Productos!I$2:I1001,"")*$G48,"")</f>
        <v/>
      </c>
      <c r="Q48" s="179" t="str">
        <f t="array" ref="Q48">IF($F48&lt;&gt;"",XLOOKUP($F48,Productos!$A:$A,Productos!J:J,"Revisar"),"")</f>
        <v/>
      </c>
      <c r="R48" s="179" t="str">
        <f t="array" ref="R48">IF($F48&lt;&gt;"", XLOOKUP($F48,Productos!$A$2:$A1001,Productos!K$2:K1001,"")*$G48,"")</f>
        <v/>
      </c>
      <c r="S48" s="179" t="str">
        <f t="array" ref="S48">IF($F48&lt;&gt;"",XLOOKUP($F48,Productos!$A:$A,Productos!L:L,"Revisar"),"")</f>
        <v/>
      </c>
      <c r="T48" s="179" t="str">
        <f t="array" ref="T48">IF($F48&lt;&gt;"", XLOOKUP($F48,Productos!$A$2:$A1001,Productos!M$2:M1001,"")*$G48,"")</f>
        <v/>
      </c>
      <c r="U48" s="179" t="str">
        <f t="array" ref="U48">IF($F48&lt;&gt;"",XLOOKUP($F48,Productos!$A:$A,Productos!N:N,"Revisar"),"")</f>
        <v/>
      </c>
      <c r="V48" s="179" t="str">
        <f t="array" ref="V48">IF($F48&lt;&gt;"", XLOOKUP($F48,Productos!$A$2:$A1001,Productos!O$2:O1001,"")*$G48,"")</f>
        <v/>
      </c>
      <c r="W48" s="179" t="str">
        <f t="array" ref="W48">IF($F48&lt;&gt;"",XLOOKUP($F48,Productos!$A:$A,Productos!P:P,"Revisar"),"")</f>
        <v/>
      </c>
      <c r="X48" s="179" t="str">
        <f t="array" ref="X48">IF($F48&lt;&gt;"", XLOOKUP($F48,Productos!$A$2:$A1001,Productos!Q$2:Q1001,"")*$G48,"")</f>
        <v/>
      </c>
      <c r="Y48" s="179" t="str">
        <f t="array" ref="Y48">IF($F48&lt;&gt;"",XLOOKUP($F48,Productos!$A:$A,Productos!R:R,"Revisar"),"")</f>
        <v/>
      </c>
      <c r="Z48" s="179" t="str">
        <f t="array" ref="Z48">IF($F48&lt;&gt;"", XLOOKUP($F48,Productos!$A$2:$A1001,Productos!S$2:S1001,"")*$G48,"")</f>
        <v/>
      </c>
      <c r="AA48" s="179" t="str">
        <f t="array" ref="AA48">IF($F48&lt;&gt;"",XLOOKUP($F48,Productos!$A:$A,Productos!T:T,"Revisar"),"")</f>
        <v/>
      </c>
      <c r="AB48" s="179" t="str">
        <f t="array" ref="AB48">IF($F48&lt;&gt;"", XLOOKUP($F48,Productos!$A$2:$A1001,Productos!U$2:U1001,"")*$G48,"")</f>
        <v/>
      </c>
      <c r="AC48" s="179" t="str">
        <f t="array" ref="AC48">IF($F48&lt;&gt;"",XLOOKUP($F48,Productos!$A:$A,Productos!V:V,"Revisar"),"")</f>
        <v/>
      </c>
      <c r="AD48" s="179" t="str">
        <f t="array" ref="AD48">IF($F48&lt;&gt;"", XLOOKUP($F48,Productos!$A$2:$A1001,Productos!W$2:W1001,"")*$G48,"")</f>
        <v/>
      </c>
      <c r="AE48" s="179" t="str">
        <f t="array" ref="AE48">IF($F48&lt;&gt;"",XLOOKUP($F48,Productos!$A:$A,Productos!X:X,"Revisar"),"")</f>
        <v/>
      </c>
      <c r="AF48" s="179" t="str">
        <f t="array" ref="AF48">IF($F48&lt;&gt;"", XLOOKUP($F48,Productos!$A$2:$A1001,Productos!Y$2:Y1001,"")*$G48,"")</f>
        <v/>
      </c>
      <c r="AG48" s="179" t="str">
        <f t="array" ref="AG48">IF($F48&lt;&gt;"",XLOOKUP($F48,Productos!$A:$A,Productos!Z:Z,"Revisar"),"")</f>
        <v/>
      </c>
      <c r="AH48" s="179" t="str">
        <f t="array" ref="AH48">IF($F48&lt;&gt;"", XLOOKUP($F48,Productos!$A$2:$A1001,Productos!AA$2:AA1001,"")*$G48,"")</f>
        <v/>
      </c>
      <c r="AI48" s="179" t="str">
        <f t="array" ref="AI48">IF($F48&lt;&gt;"",XLOOKUP($F48,Productos!$A:$A,Productos!AB:AB,"Revisar"),"")</f>
        <v/>
      </c>
      <c r="AJ48" s="179" t="str">
        <f t="array" ref="AJ48">IF($F48&lt;&gt;"", XLOOKUP($F48,Productos!$A$2:$A1001,Productos!AC$2:AC1001,"")*$G48,"")</f>
        <v/>
      </c>
      <c r="AK48" s="179" t="str">
        <f t="array" ref="AK48">IF($F48&lt;&gt;"",XLOOKUP($F48,Productos!$A:$A,Productos!AD:AD,"Revisar"),"")</f>
        <v/>
      </c>
      <c r="AL48" s="179" t="str">
        <f t="array" ref="AL48">IF($F48&lt;&gt;"", XLOOKUP($F48,Productos!$A$2:$A1001,Productos!AE$2:AE1001,"")*$G48,"")</f>
        <v/>
      </c>
      <c r="AM48" s="179" t="str">
        <f t="array" ref="AM48">IF($F48&lt;&gt;"",XLOOKUP($F48,Productos!$A:$A,Productos!AF:AF,"Revisar"),"")</f>
        <v/>
      </c>
      <c r="AN48" s="179" t="str">
        <f t="array" ref="AN48">IF($F48&lt;&gt;"", XLOOKUP($F48,Productos!$A$2:$A1001,Productos!AG$2:AG1001,"")*$G48,"")</f>
        <v/>
      </c>
      <c r="AO48" s="179" t="str">
        <f t="array" ref="AO48">IF($F48&lt;&gt;"",XLOOKUP($F48,Productos!$A:$A,Productos!AH:AH,"Revisar"),"")</f>
        <v/>
      </c>
      <c r="AP48" s="179" t="str">
        <f t="array" ref="AP48">IF($F48&lt;&gt;"", XLOOKUP($F48,Productos!$A$2:$A1001,Productos!AI$2:AI1001,"")*$G48,"")</f>
        <v/>
      </c>
      <c r="AQ48" s="179" t="str">
        <f t="array" ref="AQ48">IF($F48&lt;&gt;"",XLOOKUP($F48,Productos!$A:$A,Productos!AJ:AJ,"Revisar"),"")</f>
        <v/>
      </c>
      <c r="AR48" s="179" t="str">
        <f t="array" ref="AR48">IF($F48&lt;&gt;"", XLOOKUP($F48,Productos!$A$2:$A1001,Productos!AK$2:AK1001,"")*$G48,"")</f>
        <v/>
      </c>
      <c r="AS48" s="179" t="str">
        <f t="array" ref="AS48">IF($F48&lt;&gt;"",XLOOKUP($F48,Productos!$A:$A,Productos!AL:AL,"Revisar"),"")</f>
        <v/>
      </c>
      <c r="AT48" s="179" t="str">
        <f t="array" ref="AT48">IF($F48&lt;&gt;"", XLOOKUP($F48,Productos!$A$2:$A1001,Productos!AM$2:AM1001,"")*$G48,"")</f>
        <v/>
      </c>
      <c r="AU48" s="179" t="str">
        <f t="array" ref="AU48">IF($F48&lt;&gt;"",XLOOKUP($F48,Productos!$A:$A,Productos!AN:AN,"Revisar"),"")</f>
        <v/>
      </c>
      <c r="AV48" s="179" t="str">
        <f t="array" ref="AV48">IF($F48&lt;&gt;"", XLOOKUP($F48,Productos!$A$2:$A1001,Productos!AO$2:AO1001,"")*$G48,"")</f>
        <v/>
      </c>
      <c r="AW48" s="179" t="str">
        <f t="array" ref="AW48">IF($F48&lt;&gt;"",XLOOKUP($F48,Productos!$A:$A,Productos!AP:AP,"Revisar"),"")</f>
        <v/>
      </c>
      <c r="AX48" s="179" t="str">
        <f t="array" ref="AX48">IF($F48&lt;&gt;"", XLOOKUP($F48,Productos!$A$2:$A1001,Productos!AQ$2:AQ1001,"")*$G48,"")</f>
        <v/>
      </c>
      <c r="AY48" s="179" t="str">
        <f t="array" ref="AY48">IF($F48&lt;&gt;"",XLOOKUP($F48,Productos!$A:$A,Productos!AR:AR,"Revisar"),"")</f>
        <v/>
      </c>
      <c r="AZ48" s="179" t="str">
        <f t="array" ref="AZ48">IF($F48&lt;&gt;"", XLOOKUP($F48,Productos!$A$2:$A1001,Productos!AS$2:AS1001,"")*$G48,"")</f>
        <v/>
      </c>
      <c r="BA48" s="179" t="str">
        <f t="array" ref="BA48">IF($F48&lt;&gt;"",XLOOKUP($F48,Productos!$A:$A,Productos!AT:AT,"Revisar"),"")</f>
        <v/>
      </c>
      <c r="BB48" s="179" t="str">
        <f t="array" ref="BB48">IF($F48&lt;&gt;"", XLOOKUP($F48,Productos!$A$2:$A1001,Productos!AU$2:AU1001,"")*$G48,"")</f>
        <v/>
      </c>
      <c r="BC48" s="179" t="str">
        <f t="array" ref="BC48">IF($F48&lt;&gt;"",XLOOKUP($F48,Productos!$A:$A,Productos!AV:AV,"Revisar"),"")</f>
        <v/>
      </c>
      <c r="BD48" s="179" t="str">
        <f t="array" ref="BD48">IF($F48&lt;&gt;"", XLOOKUP($F48,Productos!$A$2:$A1001,Productos!AW$2:AW1001,"")*$G48,"")</f>
        <v/>
      </c>
      <c r="BE48" s="179" t="str">
        <f t="array" ref="BE48">IF($F48&lt;&gt;"",XLOOKUP($F48,Productos!$A:$A,Productos!AX:AX,"Revisar"),"")</f>
        <v/>
      </c>
      <c r="BF48" s="179" t="str">
        <f t="array" ref="BF48">IF($F48&lt;&gt;"", XLOOKUP($F48,Productos!$A$2:$A1001,Productos!AY$2:AY1001,"")*$G48,"")</f>
        <v/>
      </c>
      <c r="BG48" s="179" t="str">
        <f t="array" ref="BG48">IF($F48&lt;&gt;"",XLOOKUP($F48,Productos!$A:$A,Productos!AZ:AZ,"Revisar"),"")</f>
        <v/>
      </c>
      <c r="BH48" s="179" t="str">
        <f t="array" ref="BH48">IF($F48&lt;&gt;"", XLOOKUP($F48,Productos!$A$2:$A1001,Productos!BA$2:BA1001,"")*$G48,"")</f>
        <v/>
      </c>
      <c r="BI48" s="179" t="str">
        <f t="array" ref="BI48">IF($F48&lt;&gt;"",XLOOKUP($F48,Productos!$A:$A,Productos!BB:BB,"Revisar"),"")</f>
        <v/>
      </c>
      <c r="BJ48" s="179" t="str">
        <f t="array" ref="BJ48">IF($F48&lt;&gt;"", XLOOKUP($F48,Productos!$A$2:$A1001,Productos!BC$2:BC1001,"")*$G48,"")</f>
        <v/>
      </c>
      <c r="BK48" s="179" t="str">
        <f t="array" ref="BK48">IF($F48&lt;&gt;"",XLOOKUP($F48,Productos!$A:$A,Productos!BD:BD,"Revisar"),"")</f>
        <v/>
      </c>
      <c r="BL48" s="179" t="str">
        <f t="array" ref="BL48">IF($F48&lt;&gt;"", XLOOKUP($F48,Productos!$A$2:$A1001,Productos!BE$2:BE1001,"")*$G48,"")</f>
        <v/>
      </c>
      <c r="BM48" s="179" t="str">
        <f t="array" ref="BM48">IF($F48&lt;&gt;"",XLOOKUP($F48,Productos!$A:$A,Productos!BF:BF,"Revisar"),"")</f>
        <v/>
      </c>
      <c r="BN48" s="179" t="str">
        <f t="array" ref="BN48">IF($F48&lt;&gt;"", XLOOKUP($F48,Productos!$A$2:$A1001,Productos!BG$2:BG1001,"")*$G48,"")</f>
        <v/>
      </c>
      <c r="BO48" s="179" t="str">
        <f t="array" ref="BO48">IF($F48&lt;&gt;"",XLOOKUP($F48,Productos!$A:$A,Productos!BH:BH,"Revisar"),"")</f>
        <v/>
      </c>
      <c r="BP48" s="179" t="str">
        <f t="array" ref="BP48">IF($F48&lt;&gt;"", XLOOKUP($F48,Productos!$A$2:$A1001,Productos!BI$2:BI1001,"")*$G48,"")</f>
        <v/>
      </c>
      <c r="BQ48" s="179" t="str">
        <f t="array" ref="BQ48">IF($F48&lt;&gt;"",XLOOKUP($F48,Productos!$A:$A,Productos!BJ:BJ,"Revisar"),"")</f>
        <v/>
      </c>
      <c r="BR48" s="179" t="str">
        <f t="array" ref="BR48">IF($F48&lt;&gt;"", XLOOKUP($F48,Productos!$A$2:$A1001,Productos!BK$2:BK1001,"")*$G48,"")</f>
        <v/>
      </c>
      <c r="BS48" s="179" t="str">
        <f t="array" ref="BS48">IF($F48&lt;&gt;"",XLOOKUP($F48,Productos!$A:$A,Productos!BL:BL,"Revisar"),"")</f>
        <v/>
      </c>
      <c r="BT48" s="179" t="str">
        <f t="array" ref="BT48">IF($F48&lt;&gt;"", XLOOKUP($F48,Productos!$A$2:$A1001,Productos!BM$2:BM1001,"")*$G48,"")</f>
        <v/>
      </c>
      <c r="BU48" s="179" t="str">
        <f t="array" ref="BU48">IF($F48&lt;&gt;"",XLOOKUP($F48,Productos!$A:$A,Productos!BN:BN,"Revisar"),"")</f>
        <v/>
      </c>
      <c r="BV48" s="179" t="str">
        <f t="array" ref="BV48">IF($F48&lt;&gt;"", XLOOKUP($F48,Productos!$A$2:$A1001,Productos!BO$2:BO1001,"")*$G48,"")</f>
        <v/>
      </c>
      <c r="BW48" s="179" t="str">
        <f t="array" ref="BW48">IF($F48&lt;&gt;"",XLOOKUP($F48,Productos!$A:$A,Productos!BP:BP,"Revisar"),"")</f>
        <v/>
      </c>
      <c r="BX48" s="179" t="str">
        <f t="array" ref="BX48">IF($F48&lt;&gt;"", XLOOKUP($F48,Productos!$A$2:$A1001,Productos!BQ$2:BQ1001,"")*$G48,"")</f>
        <v/>
      </c>
      <c r="BY48" s="179" t="str">
        <f t="array" ref="BY48">IF($F48&lt;&gt;"",XLOOKUP($F48,Productos!$A:$A,Productos!BR:BR,"Revisar"),"")</f>
        <v/>
      </c>
      <c r="BZ48" s="179" t="str">
        <f t="array" ref="BZ48">IF($F48&lt;&gt;"", XLOOKUP($F48,Productos!$A$2:$A1001,Productos!BS$2:BS1001,"")*$G48,"")</f>
        <v/>
      </c>
    </row>
    <row r="49">
      <c r="A49" s="180"/>
      <c r="B49" s="181"/>
      <c r="C49" s="182"/>
      <c r="D49" s="182"/>
      <c r="E49" s="185"/>
      <c r="F49" s="186"/>
      <c r="G49" s="187"/>
      <c r="H49" s="186"/>
      <c r="I49" s="179" t="str">
        <f t="array" ref="I49">IF($F49&lt;&gt;"",XLOOKUP($F49,Productos!$A:$A,Productos!B:B,"Revisar"),"")</f>
        <v/>
      </c>
      <c r="J49" s="179" t="str">
        <f t="array" ref="J49">IF($F49&lt;&gt;"", XLOOKUP($F49,Productos!$A$2:$A1001,Productos!C$2:C1001,"")*$G49,"")</f>
        <v/>
      </c>
      <c r="K49" s="179" t="str">
        <f t="array" ref="K49">IF($F49&lt;&gt;"",XLOOKUP($F49,Productos!$A:$A,Productos!D:D,"Revisar"),"")</f>
        <v/>
      </c>
      <c r="L49" s="179" t="str">
        <f t="array" ref="L49">IF($F49&lt;&gt;"", XLOOKUP($F49,Productos!$A$2:$A1001,Productos!E$2:E1001,"")*$G49,"")</f>
        <v/>
      </c>
      <c r="M49" s="179" t="str">
        <f t="array" ref="M49">IF($F49&lt;&gt;"",XLOOKUP($F49,Productos!$A:$A,Productos!F:F,"Revisar"),"")</f>
        <v/>
      </c>
      <c r="N49" s="179" t="str">
        <f t="array" ref="N49">IF($F49&lt;&gt;"", XLOOKUP($F49,Productos!$A$2:$A1001,Productos!G$2:G1001,"")*$G49,"")</f>
        <v/>
      </c>
      <c r="O49" s="179" t="str">
        <f t="array" ref="O49">IF($F49&lt;&gt;"",XLOOKUP($F49,Productos!$A:$A,Productos!H:H,"Revisar"),"")</f>
        <v/>
      </c>
      <c r="P49" s="179" t="str">
        <f t="array" ref="P49">IF($F49&lt;&gt;"", XLOOKUP($F49,Productos!$A$2:$A1001,Productos!I$2:I1001,"")*$G49,"")</f>
        <v/>
      </c>
      <c r="Q49" s="179" t="str">
        <f t="array" ref="Q49">IF($F49&lt;&gt;"",XLOOKUP($F49,Productos!$A:$A,Productos!J:J,"Revisar"),"")</f>
        <v/>
      </c>
      <c r="R49" s="179" t="str">
        <f t="array" ref="R49">IF($F49&lt;&gt;"", XLOOKUP($F49,Productos!$A$2:$A1001,Productos!K$2:K1001,"")*$G49,"")</f>
        <v/>
      </c>
      <c r="S49" s="179" t="str">
        <f t="array" ref="S49">IF($F49&lt;&gt;"",XLOOKUP($F49,Productos!$A:$A,Productos!L:L,"Revisar"),"")</f>
        <v/>
      </c>
      <c r="T49" s="179" t="str">
        <f t="array" ref="T49">IF($F49&lt;&gt;"", XLOOKUP($F49,Productos!$A$2:$A1001,Productos!M$2:M1001,"")*$G49,"")</f>
        <v/>
      </c>
      <c r="U49" s="179" t="str">
        <f t="array" ref="U49">IF($F49&lt;&gt;"",XLOOKUP($F49,Productos!$A:$A,Productos!N:N,"Revisar"),"")</f>
        <v/>
      </c>
      <c r="V49" s="179" t="str">
        <f t="array" ref="V49">IF($F49&lt;&gt;"", XLOOKUP($F49,Productos!$A$2:$A1001,Productos!O$2:O1001,"")*$G49,"")</f>
        <v/>
      </c>
      <c r="W49" s="179" t="str">
        <f t="array" ref="W49">IF($F49&lt;&gt;"",XLOOKUP($F49,Productos!$A:$A,Productos!P:P,"Revisar"),"")</f>
        <v/>
      </c>
      <c r="X49" s="179" t="str">
        <f t="array" ref="X49">IF($F49&lt;&gt;"", XLOOKUP($F49,Productos!$A$2:$A1001,Productos!Q$2:Q1001,"")*$G49,"")</f>
        <v/>
      </c>
      <c r="Y49" s="179" t="str">
        <f t="array" ref="Y49">IF($F49&lt;&gt;"",XLOOKUP($F49,Productos!$A:$A,Productos!R:R,"Revisar"),"")</f>
        <v/>
      </c>
      <c r="Z49" s="179" t="str">
        <f t="array" ref="Z49">IF($F49&lt;&gt;"", XLOOKUP($F49,Productos!$A$2:$A1001,Productos!S$2:S1001,"")*$G49,"")</f>
        <v/>
      </c>
      <c r="AA49" s="179" t="str">
        <f t="array" ref="AA49">IF($F49&lt;&gt;"",XLOOKUP($F49,Productos!$A:$A,Productos!T:T,"Revisar"),"")</f>
        <v/>
      </c>
      <c r="AB49" s="179" t="str">
        <f t="array" ref="AB49">IF($F49&lt;&gt;"", XLOOKUP($F49,Productos!$A$2:$A1001,Productos!U$2:U1001,"")*$G49,"")</f>
        <v/>
      </c>
      <c r="AC49" s="179" t="str">
        <f t="array" ref="AC49">IF($F49&lt;&gt;"",XLOOKUP($F49,Productos!$A:$A,Productos!V:V,"Revisar"),"")</f>
        <v/>
      </c>
      <c r="AD49" s="179" t="str">
        <f t="array" ref="AD49">IF($F49&lt;&gt;"", XLOOKUP($F49,Productos!$A$2:$A1001,Productos!W$2:W1001,"")*$G49,"")</f>
        <v/>
      </c>
      <c r="AE49" s="179" t="str">
        <f t="array" ref="AE49">IF($F49&lt;&gt;"",XLOOKUP($F49,Productos!$A:$A,Productos!X:X,"Revisar"),"")</f>
        <v/>
      </c>
      <c r="AF49" s="179" t="str">
        <f t="array" ref="AF49">IF($F49&lt;&gt;"", XLOOKUP($F49,Productos!$A$2:$A1001,Productos!Y$2:Y1001,"")*$G49,"")</f>
        <v/>
      </c>
      <c r="AG49" s="179" t="str">
        <f t="array" ref="AG49">IF($F49&lt;&gt;"",XLOOKUP($F49,Productos!$A:$A,Productos!Z:Z,"Revisar"),"")</f>
        <v/>
      </c>
      <c r="AH49" s="179" t="str">
        <f t="array" ref="AH49">IF($F49&lt;&gt;"", XLOOKUP($F49,Productos!$A$2:$A1001,Productos!AA$2:AA1001,"")*$G49,"")</f>
        <v/>
      </c>
      <c r="AI49" s="179" t="str">
        <f t="array" ref="AI49">IF($F49&lt;&gt;"",XLOOKUP($F49,Productos!$A:$A,Productos!AB:AB,"Revisar"),"")</f>
        <v/>
      </c>
      <c r="AJ49" s="179" t="str">
        <f t="array" ref="AJ49">IF($F49&lt;&gt;"", XLOOKUP($F49,Productos!$A$2:$A1001,Productos!AC$2:AC1001,"")*$G49,"")</f>
        <v/>
      </c>
      <c r="AK49" s="179" t="str">
        <f t="array" ref="AK49">IF($F49&lt;&gt;"",XLOOKUP($F49,Productos!$A:$A,Productos!AD:AD,"Revisar"),"")</f>
        <v/>
      </c>
      <c r="AL49" s="179" t="str">
        <f t="array" ref="AL49">IF($F49&lt;&gt;"", XLOOKUP($F49,Productos!$A$2:$A1001,Productos!AE$2:AE1001,"")*$G49,"")</f>
        <v/>
      </c>
      <c r="AM49" s="179" t="str">
        <f t="array" ref="AM49">IF($F49&lt;&gt;"",XLOOKUP($F49,Productos!$A:$A,Productos!AF:AF,"Revisar"),"")</f>
        <v/>
      </c>
      <c r="AN49" s="179" t="str">
        <f t="array" ref="AN49">IF($F49&lt;&gt;"", XLOOKUP($F49,Productos!$A$2:$A1001,Productos!AG$2:AG1001,"")*$G49,"")</f>
        <v/>
      </c>
      <c r="AO49" s="179" t="str">
        <f t="array" ref="AO49">IF($F49&lt;&gt;"",XLOOKUP($F49,Productos!$A:$A,Productos!AH:AH,"Revisar"),"")</f>
        <v/>
      </c>
      <c r="AP49" s="179" t="str">
        <f t="array" ref="AP49">IF($F49&lt;&gt;"", XLOOKUP($F49,Productos!$A$2:$A1001,Productos!AI$2:AI1001,"")*$G49,"")</f>
        <v/>
      </c>
      <c r="AQ49" s="179" t="str">
        <f t="array" ref="AQ49">IF($F49&lt;&gt;"",XLOOKUP($F49,Productos!$A:$A,Productos!AJ:AJ,"Revisar"),"")</f>
        <v/>
      </c>
      <c r="AR49" s="179" t="str">
        <f t="array" ref="AR49">IF($F49&lt;&gt;"", XLOOKUP($F49,Productos!$A$2:$A1001,Productos!AK$2:AK1001,"")*$G49,"")</f>
        <v/>
      </c>
      <c r="AS49" s="179" t="str">
        <f t="array" ref="AS49">IF($F49&lt;&gt;"",XLOOKUP($F49,Productos!$A:$A,Productos!AL:AL,"Revisar"),"")</f>
        <v/>
      </c>
      <c r="AT49" s="179" t="str">
        <f t="array" ref="AT49">IF($F49&lt;&gt;"", XLOOKUP($F49,Productos!$A$2:$A1001,Productos!AM$2:AM1001,"")*$G49,"")</f>
        <v/>
      </c>
      <c r="AU49" s="179" t="str">
        <f t="array" ref="AU49">IF($F49&lt;&gt;"",XLOOKUP($F49,Productos!$A:$A,Productos!AN:AN,"Revisar"),"")</f>
        <v/>
      </c>
      <c r="AV49" s="179" t="str">
        <f t="array" ref="AV49">IF($F49&lt;&gt;"", XLOOKUP($F49,Productos!$A$2:$A1001,Productos!AO$2:AO1001,"")*$G49,"")</f>
        <v/>
      </c>
      <c r="AW49" s="179" t="str">
        <f t="array" ref="AW49">IF($F49&lt;&gt;"",XLOOKUP($F49,Productos!$A:$A,Productos!AP:AP,"Revisar"),"")</f>
        <v/>
      </c>
      <c r="AX49" s="179" t="str">
        <f t="array" ref="AX49">IF($F49&lt;&gt;"", XLOOKUP($F49,Productos!$A$2:$A1001,Productos!AQ$2:AQ1001,"")*$G49,"")</f>
        <v/>
      </c>
      <c r="AY49" s="179" t="str">
        <f t="array" ref="AY49">IF($F49&lt;&gt;"",XLOOKUP($F49,Productos!$A:$A,Productos!AR:AR,"Revisar"),"")</f>
        <v/>
      </c>
      <c r="AZ49" s="179" t="str">
        <f t="array" ref="AZ49">IF($F49&lt;&gt;"", XLOOKUP($F49,Productos!$A$2:$A1001,Productos!AS$2:AS1001,"")*$G49,"")</f>
        <v/>
      </c>
      <c r="BA49" s="179" t="str">
        <f t="array" ref="BA49">IF($F49&lt;&gt;"",XLOOKUP($F49,Productos!$A:$A,Productos!AT:AT,"Revisar"),"")</f>
        <v/>
      </c>
      <c r="BB49" s="179" t="str">
        <f t="array" ref="BB49">IF($F49&lt;&gt;"", XLOOKUP($F49,Productos!$A$2:$A1001,Productos!AU$2:AU1001,"")*$G49,"")</f>
        <v/>
      </c>
      <c r="BC49" s="179" t="str">
        <f t="array" ref="BC49">IF($F49&lt;&gt;"",XLOOKUP($F49,Productos!$A:$A,Productos!AV:AV,"Revisar"),"")</f>
        <v/>
      </c>
      <c r="BD49" s="179" t="str">
        <f t="array" ref="BD49">IF($F49&lt;&gt;"", XLOOKUP($F49,Productos!$A$2:$A1001,Productos!AW$2:AW1001,"")*$G49,"")</f>
        <v/>
      </c>
      <c r="BE49" s="179" t="str">
        <f t="array" ref="BE49">IF($F49&lt;&gt;"",XLOOKUP($F49,Productos!$A:$A,Productos!AX:AX,"Revisar"),"")</f>
        <v/>
      </c>
      <c r="BF49" s="179" t="str">
        <f t="array" ref="BF49">IF($F49&lt;&gt;"", XLOOKUP($F49,Productos!$A$2:$A1001,Productos!AY$2:AY1001,"")*$G49,"")</f>
        <v/>
      </c>
      <c r="BG49" s="179" t="str">
        <f t="array" ref="BG49">IF($F49&lt;&gt;"",XLOOKUP($F49,Productos!$A:$A,Productos!AZ:AZ,"Revisar"),"")</f>
        <v/>
      </c>
      <c r="BH49" s="179" t="str">
        <f t="array" ref="BH49">IF($F49&lt;&gt;"", XLOOKUP($F49,Productos!$A$2:$A1001,Productos!BA$2:BA1001,"")*$G49,"")</f>
        <v/>
      </c>
      <c r="BI49" s="179" t="str">
        <f t="array" ref="BI49">IF($F49&lt;&gt;"",XLOOKUP($F49,Productos!$A:$A,Productos!BB:BB,"Revisar"),"")</f>
        <v/>
      </c>
      <c r="BJ49" s="179" t="str">
        <f t="array" ref="BJ49">IF($F49&lt;&gt;"", XLOOKUP($F49,Productos!$A$2:$A1001,Productos!BC$2:BC1001,"")*$G49,"")</f>
        <v/>
      </c>
      <c r="BK49" s="179" t="str">
        <f t="array" ref="BK49">IF($F49&lt;&gt;"",XLOOKUP($F49,Productos!$A:$A,Productos!BD:BD,"Revisar"),"")</f>
        <v/>
      </c>
      <c r="BL49" s="179" t="str">
        <f t="array" ref="BL49">IF($F49&lt;&gt;"", XLOOKUP($F49,Productos!$A$2:$A1001,Productos!BE$2:BE1001,"")*$G49,"")</f>
        <v/>
      </c>
      <c r="BM49" s="179" t="str">
        <f t="array" ref="BM49">IF($F49&lt;&gt;"",XLOOKUP($F49,Productos!$A:$A,Productos!BF:BF,"Revisar"),"")</f>
        <v/>
      </c>
      <c r="BN49" s="179" t="str">
        <f t="array" ref="BN49">IF($F49&lt;&gt;"", XLOOKUP($F49,Productos!$A$2:$A1001,Productos!BG$2:BG1001,"")*$G49,"")</f>
        <v/>
      </c>
      <c r="BO49" s="179" t="str">
        <f t="array" ref="BO49">IF($F49&lt;&gt;"",XLOOKUP($F49,Productos!$A:$A,Productos!BH:BH,"Revisar"),"")</f>
        <v/>
      </c>
      <c r="BP49" s="179" t="str">
        <f t="array" ref="BP49">IF($F49&lt;&gt;"", XLOOKUP($F49,Productos!$A$2:$A1001,Productos!BI$2:BI1001,"")*$G49,"")</f>
        <v/>
      </c>
      <c r="BQ49" s="179" t="str">
        <f t="array" ref="BQ49">IF($F49&lt;&gt;"",XLOOKUP($F49,Productos!$A:$A,Productos!BJ:BJ,"Revisar"),"")</f>
        <v/>
      </c>
      <c r="BR49" s="179" t="str">
        <f t="array" ref="BR49">IF($F49&lt;&gt;"", XLOOKUP($F49,Productos!$A$2:$A1001,Productos!BK$2:BK1001,"")*$G49,"")</f>
        <v/>
      </c>
      <c r="BS49" s="179" t="str">
        <f t="array" ref="BS49">IF($F49&lt;&gt;"",XLOOKUP($F49,Productos!$A:$A,Productos!BL:BL,"Revisar"),"")</f>
        <v/>
      </c>
      <c r="BT49" s="179" t="str">
        <f t="array" ref="BT49">IF($F49&lt;&gt;"", XLOOKUP($F49,Productos!$A$2:$A1001,Productos!BM$2:BM1001,"")*$G49,"")</f>
        <v/>
      </c>
      <c r="BU49" s="179" t="str">
        <f t="array" ref="BU49">IF($F49&lt;&gt;"",XLOOKUP($F49,Productos!$A:$A,Productos!BN:BN,"Revisar"),"")</f>
        <v/>
      </c>
      <c r="BV49" s="179" t="str">
        <f t="array" ref="BV49">IF($F49&lt;&gt;"", XLOOKUP($F49,Productos!$A$2:$A1001,Productos!BO$2:BO1001,"")*$G49,"")</f>
        <v/>
      </c>
      <c r="BW49" s="179" t="str">
        <f t="array" ref="BW49">IF($F49&lt;&gt;"",XLOOKUP($F49,Productos!$A:$A,Productos!BP:BP,"Revisar"),"")</f>
        <v/>
      </c>
      <c r="BX49" s="179" t="str">
        <f t="array" ref="BX49">IF($F49&lt;&gt;"", XLOOKUP($F49,Productos!$A$2:$A1001,Productos!BQ$2:BQ1001,"")*$G49,"")</f>
        <v/>
      </c>
      <c r="BY49" s="179" t="str">
        <f t="array" ref="BY49">IF($F49&lt;&gt;"",XLOOKUP($F49,Productos!$A:$A,Productos!BR:BR,"Revisar"),"")</f>
        <v/>
      </c>
      <c r="BZ49" s="179" t="str">
        <f t="array" ref="BZ49">IF($F49&lt;&gt;"", XLOOKUP($F49,Productos!$A$2:$A1001,Productos!BS$2:BS1001,"")*$G49,"")</f>
        <v/>
      </c>
    </row>
    <row r="50">
      <c r="A50" s="180"/>
      <c r="B50" s="181"/>
      <c r="C50" s="182"/>
      <c r="D50" s="182"/>
      <c r="E50" s="185"/>
      <c r="F50" s="186"/>
      <c r="G50" s="187"/>
      <c r="H50" s="186"/>
      <c r="I50" s="179" t="str">
        <f t="array" ref="I50">IF($F50&lt;&gt;"",XLOOKUP($F50,Productos!$A:$A,Productos!B:B,"Revisar"),"")</f>
        <v/>
      </c>
      <c r="J50" s="179" t="str">
        <f t="array" ref="J50">IF($F50&lt;&gt;"", XLOOKUP($F50,Productos!$A$2:$A1001,Productos!C$2:C1001,"")*$G50,"")</f>
        <v/>
      </c>
      <c r="K50" s="179" t="str">
        <f t="array" ref="K50">IF($F50&lt;&gt;"",XLOOKUP($F50,Productos!$A:$A,Productos!D:D,"Revisar"),"")</f>
        <v/>
      </c>
      <c r="L50" s="179" t="str">
        <f t="array" ref="L50">IF($F50&lt;&gt;"", XLOOKUP($F50,Productos!$A$2:$A1001,Productos!E$2:E1001,"")*$G50,"")</f>
        <v/>
      </c>
      <c r="M50" s="179" t="str">
        <f t="array" ref="M50">IF($F50&lt;&gt;"",XLOOKUP($F50,Productos!$A:$A,Productos!F:F,"Revisar"),"")</f>
        <v/>
      </c>
      <c r="N50" s="179" t="str">
        <f t="array" ref="N50">IF($F50&lt;&gt;"", XLOOKUP($F50,Productos!$A$2:$A1001,Productos!G$2:G1001,"")*$G50,"")</f>
        <v/>
      </c>
      <c r="O50" s="179" t="str">
        <f t="array" ref="O50">IF($F50&lt;&gt;"",XLOOKUP($F50,Productos!$A:$A,Productos!H:H,"Revisar"),"")</f>
        <v/>
      </c>
      <c r="P50" s="179" t="str">
        <f t="array" ref="P50">IF($F50&lt;&gt;"", XLOOKUP($F50,Productos!$A$2:$A1001,Productos!I$2:I1001,"")*$G50,"")</f>
        <v/>
      </c>
      <c r="Q50" s="179" t="str">
        <f t="array" ref="Q50">IF($F50&lt;&gt;"",XLOOKUP($F50,Productos!$A:$A,Productos!J:J,"Revisar"),"")</f>
        <v/>
      </c>
      <c r="R50" s="179" t="str">
        <f t="array" ref="R50">IF($F50&lt;&gt;"", XLOOKUP($F50,Productos!$A$2:$A1001,Productos!K$2:K1001,"")*$G50,"")</f>
        <v/>
      </c>
      <c r="S50" s="179" t="str">
        <f t="array" ref="S50">IF($F50&lt;&gt;"",XLOOKUP($F50,Productos!$A:$A,Productos!L:L,"Revisar"),"")</f>
        <v/>
      </c>
      <c r="T50" s="179" t="str">
        <f t="array" ref="T50">IF($F50&lt;&gt;"", XLOOKUP($F50,Productos!$A$2:$A1001,Productos!M$2:M1001,"")*$G50,"")</f>
        <v/>
      </c>
      <c r="U50" s="179" t="str">
        <f t="array" ref="U50">IF($F50&lt;&gt;"",XLOOKUP($F50,Productos!$A:$A,Productos!N:N,"Revisar"),"")</f>
        <v/>
      </c>
      <c r="V50" s="179" t="str">
        <f t="array" ref="V50">IF($F50&lt;&gt;"", XLOOKUP($F50,Productos!$A$2:$A1001,Productos!O$2:O1001,"")*$G50,"")</f>
        <v/>
      </c>
      <c r="W50" s="179" t="str">
        <f t="array" ref="W50">IF($F50&lt;&gt;"",XLOOKUP($F50,Productos!$A:$A,Productos!P:P,"Revisar"),"")</f>
        <v/>
      </c>
      <c r="X50" s="179" t="str">
        <f t="array" ref="X50">IF($F50&lt;&gt;"", XLOOKUP($F50,Productos!$A$2:$A1001,Productos!Q$2:Q1001,"")*$G50,"")</f>
        <v/>
      </c>
      <c r="Y50" s="179" t="str">
        <f t="array" ref="Y50">IF($F50&lt;&gt;"",XLOOKUP($F50,Productos!$A:$A,Productos!R:R,"Revisar"),"")</f>
        <v/>
      </c>
      <c r="Z50" s="179" t="str">
        <f t="array" ref="Z50">IF($F50&lt;&gt;"", XLOOKUP($F50,Productos!$A$2:$A1001,Productos!S$2:S1001,"")*$G50,"")</f>
        <v/>
      </c>
      <c r="AA50" s="179" t="str">
        <f t="array" ref="AA50">IF($F50&lt;&gt;"",XLOOKUP($F50,Productos!$A:$A,Productos!T:T,"Revisar"),"")</f>
        <v/>
      </c>
      <c r="AB50" s="179" t="str">
        <f t="array" ref="AB50">IF($F50&lt;&gt;"", XLOOKUP($F50,Productos!$A$2:$A1001,Productos!U$2:U1001,"")*$G50,"")</f>
        <v/>
      </c>
      <c r="AC50" s="179" t="str">
        <f t="array" ref="AC50">IF($F50&lt;&gt;"",XLOOKUP($F50,Productos!$A:$A,Productos!V:V,"Revisar"),"")</f>
        <v/>
      </c>
      <c r="AD50" s="179" t="str">
        <f t="array" ref="AD50">IF($F50&lt;&gt;"", XLOOKUP($F50,Productos!$A$2:$A1001,Productos!W$2:W1001,"")*$G50,"")</f>
        <v/>
      </c>
      <c r="AE50" s="179" t="str">
        <f t="array" ref="AE50">IF($F50&lt;&gt;"",XLOOKUP($F50,Productos!$A:$A,Productos!X:X,"Revisar"),"")</f>
        <v/>
      </c>
      <c r="AF50" s="179" t="str">
        <f t="array" ref="AF50">IF($F50&lt;&gt;"", XLOOKUP($F50,Productos!$A$2:$A1001,Productos!Y$2:Y1001,"")*$G50,"")</f>
        <v/>
      </c>
      <c r="AG50" s="179" t="str">
        <f t="array" ref="AG50">IF($F50&lt;&gt;"",XLOOKUP($F50,Productos!$A:$A,Productos!Z:Z,"Revisar"),"")</f>
        <v/>
      </c>
      <c r="AH50" s="179" t="str">
        <f t="array" ref="AH50">IF($F50&lt;&gt;"", XLOOKUP($F50,Productos!$A$2:$A1001,Productos!AA$2:AA1001,"")*$G50,"")</f>
        <v/>
      </c>
      <c r="AI50" s="179" t="str">
        <f t="array" ref="AI50">IF($F50&lt;&gt;"",XLOOKUP($F50,Productos!$A:$A,Productos!AB:AB,"Revisar"),"")</f>
        <v/>
      </c>
      <c r="AJ50" s="179" t="str">
        <f t="array" ref="AJ50">IF($F50&lt;&gt;"", XLOOKUP($F50,Productos!$A$2:$A1001,Productos!AC$2:AC1001,"")*$G50,"")</f>
        <v/>
      </c>
      <c r="AK50" s="179" t="str">
        <f t="array" ref="AK50">IF($F50&lt;&gt;"",XLOOKUP($F50,Productos!$A:$A,Productos!AD:AD,"Revisar"),"")</f>
        <v/>
      </c>
      <c r="AL50" s="179" t="str">
        <f t="array" ref="AL50">IF($F50&lt;&gt;"", XLOOKUP($F50,Productos!$A$2:$A1001,Productos!AE$2:AE1001,"")*$G50,"")</f>
        <v/>
      </c>
      <c r="AM50" s="179" t="str">
        <f t="array" ref="AM50">IF($F50&lt;&gt;"",XLOOKUP($F50,Productos!$A:$A,Productos!AF:AF,"Revisar"),"")</f>
        <v/>
      </c>
      <c r="AN50" s="179" t="str">
        <f t="array" ref="AN50">IF($F50&lt;&gt;"", XLOOKUP($F50,Productos!$A$2:$A1001,Productos!AG$2:AG1001,"")*$G50,"")</f>
        <v/>
      </c>
      <c r="AO50" s="179" t="str">
        <f t="array" ref="AO50">IF($F50&lt;&gt;"",XLOOKUP($F50,Productos!$A:$A,Productos!AH:AH,"Revisar"),"")</f>
        <v/>
      </c>
      <c r="AP50" s="179" t="str">
        <f t="array" ref="AP50">IF($F50&lt;&gt;"", XLOOKUP($F50,Productos!$A$2:$A1001,Productos!AI$2:AI1001,"")*$G50,"")</f>
        <v/>
      </c>
      <c r="AQ50" s="179" t="str">
        <f t="array" ref="AQ50">IF($F50&lt;&gt;"",XLOOKUP($F50,Productos!$A:$A,Productos!AJ:AJ,"Revisar"),"")</f>
        <v/>
      </c>
      <c r="AR50" s="179" t="str">
        <f t="array" ref="AR50">IF($F50&lt;&gt;"", XLOOKUP($F50,Productos!$A$2:$A1001,Productos!AK$2:AK1001,"")*$G50,"")</f>
        <v/>
      </c>
      <c r="AS50" s="179" t="str">
        <f t="array" ref="AS50">IF($F50&lt;&gt;"",XLOOKUP($F50,Productos!$A:$A,Productos!AL:AL,"Revisar"),"")</f>
        <v/>
      </c>
      <c r="AT50" s="179" t="str">
        <f t="array" ref="AT50">IF($F50&lt;&gt;"", XLOOKUP($F50,Productos!$A$2:$A1001,Productos!AM$2:AM1001,"")*$G50,"")</f>
        <v/>
      </c>
      <c r="AU50" s="179" t="str">
        <f t="array" ref="AU50">IF($F50&lt;&gt;"",XLOOKUP($F50,Productos!$A:$A,Productos!AN:AN,"Revisar"),"")</f>
        <v/>
      </c>
      <c r="AV50" s="179" t="str">
        <f t="array" ref="AV50">IF($F50&lt;&gt;"", XLOOKUP($F50,Productos!$A$2:$A1001,Productos!AO$2:AO1001,"")*$G50,"")</f>
        <v/>
      </c>
      <c r="AW50" s="179" t="str">
        <f t="array" ref="AW50">IF($F50&lt;&gt;"",XLOOKUP($F50,Productos!$A:$A,Productos!AP:AP,"Revisar"),"")</f>
        <v/>
      </c>
      <c r="AX50" s="179" t="str">
        <f t="array" ref="AX50">IF($F50&lt;&gt;"", XLOOKUP($F50,Productos!$A$2:$A1001,Productos!AQ$2:AQ1001,"")*$G50,"")</f>
        <v/>
      </c>
      <c r="AY50" s="179" t="str">
        <f t="array" ref="AY50">IF($F50&lt;&gt;"",XLOOKUP($F50,Productos!$A:$A,Productos!AR:AR,"Revisar"),"")</f>
        <v/>
      </c>
      <c r="AZ50" s="179" t="str">
        <f t="array" ref="AZ50">IF($F50&lt;&gt;"", XLOOKUP($F50,Productos!$A$2:$A1001,Productos!AS$2:AS1001,"")*$G50,"")</f>
        <v/>
      </c>
      <c r="BA50" s="179" t="str">
        <f t="array" ref="BA50">IF($F50&lt;&gt;"",XLOOKUP($F50,Productos!$A:$A,Productos!AT:AT,"Revisar"),"")</f>
        <v/>
      </c>
      <c r="BB50" s="179" t="str">
        <f t="array" ref="BB50">IF($F50&lt;&gt;"", XLOOKUP($F50,Productos!$A$2:$A1001,Productos!AU$2:AU1001,"")*$G50,"")</f>
        <v/>
      </c>
      <c r="BC50" s="179" t="str">
        <f t="array" ref="BC50">IF($F50&lt;&gt;"",XLOOKUP($F50,Productos!$A:$A,Productos!AV:AV,"Revisar"),"")</f>
        <v/>
      </c>
      <c r="BD50" s="179" t="str">
        <f t="array" ref="BD50">IF($F50&lt;&gt;"", XLOOKUP($F50,Productos!$A$2:$A1001,Productos!AW$2:AW1001,"")*$G50,"")</f>
        <v/>
      </c>
      <c r="BE50" s="179" t="str">
        <f t="array" ref="BE50">IF($F50&lt;&gt;"",XLOOKUP($F50,Productos!$A:$A,Productos!AX:AX,"Revisar"),"")</f>
        <v/>
      </c>
      <c r="BF50" s="179" t="str">
        <f t="array" ref="BF50">IF($F50&lt;&gt;"", XLOOKUP($F50,Productos!$A$2:$A1001,Productos!AY$2:AY1001,"")*$G50,"")</f>
        <v/>
      </c>
      <c r="BG50" s="179" t="str">
        <f t="array" ref="BG50">IF($F50&lt;&gt;"",XLOOKUP($F50,Productos!$A:$A,Productos!AZ:AZ,"Revisar"),"")</f>
        <v/>
      </c>
      <c r="BH50" s="179" t="str">
        <f t="array" ref="BH50">IF($F50&lt;&gt;"", XLOOKUP($F50,Productos!$A$2:$A1001,Productos!BA$2:BA1001,"")*$G50,"")</f>
        <v/>
      </c>
      <c r="BI50" s="179" t="str">
        <f t="array" ref="BI50">IF($F50&lt;&gt;"",XLOOKUP($F50,Productos!$A:$A,Productos!BB:BB,"Revisar"),"")</f>
        <v/>
      </c>
      <c r="BJ50" s="179" t="str">
        <f t="array" ref="BJ50">IF($F50&lt;&gt;"", XLOOKUP($F50,Productos!$A$2:$A1001,Productos!BC$2:BC1001,"")*$G50,"")</f>
        <v/>
      </c>
      <c r="BK50" s="179" t="str">
        <f t="array" ref="BK50">IF($F50&lt;&gt;"",XLOOKUP($F50,Productos!$A:$A,Productos!BD:BD,"Revisar"),"")</f>
        <v/>
      </c>
      <c r="BL50" s="179" t="str">
        <f t="array" ref="BL50">IF($F50&lt;&gt;"", XLOOKUP($F50,Productos!$A$2:$A1001,Productos!BE$2:BE1001,"")*$G50,"")</f>
        <v/>
      </c>
      <c r="BM50" s="179" t="str">
        <f t="array" ref="BM50">IF($F50&lt;&gt;"",XLOOKUP($F50,Productos!$A:$A,Productos!BF:BF,"Revisar"),"")</f>
        <v/>
      </c>
      <c r="BN50" s="179" t="str">
        <f t="array" ref="BN50">IF($F50&lt;&gt;"", XLOOKUP($F50,Productos!$A$2:$A1001,Productos!BG$2:BG1001,"")*$G50,"")</f>
        <v/>
      </c>
      <c r="BO50" s="179" t="str">
        <f t="array" ref="BO50">IF($F50&lt;&gt;"",XLOOKUP($F50,Productos!$A:$A,Productos!BH:BH,"Revisar"),"")</f>
        <v/>
      </c>
      <c r="BP50" s="179" t="str">
        <f t="array" ref="BP50">IF($F50&lt;&gt;"", XLOOKUP($F50,Productos!$A$2:$A1001,Productos!BI$2:BI1001,"")*$G50,"")</f>
        <v/>
      </c>
      <c r="BQ50" s="179" t="str">
        <f t="array" ref="BQ50">IF($F50&lt;&gt;"",XLOOKUP($F50,Productos!$A:$A,Productos!BJ:BJ,"Revisar"),"")</f>
        <v/>
      </c>
      <c r="BR50" s="179" t="str">
        <f t="array" ref="BR50">IF($F50&lt;&gt;"", XLOOKUP($F50,Productos!$A$2:$A1001,Productos!BK$2:BK1001,"")*$G50,"")</f>
        <v/>
      </c>
      <c r="BS50" s="179" t="str">
        <f t="array" ref="BS50">IF($F50&lt;&gt;"",XLOOKUP($F50,Productos!$A:$A,Productos!BL:BL,"Revisar"),"")</f>
        <v/>
      </c>
      <c r="BT50" s="179" t="str">
        <f t="array" ref="BT50">IF($F50&lt;&gt;"", XLOOKUP($F50,Productos!$A$2:$A1001,Productos!BM$2:BM1001,"")*$G50,"")</f>
        <v/>
      </c>
      <c r="BU50" s="179" t="str">
        <f t="array" ref="BU50">IF($F50&lt;&gt;"",XLOOKUP($F50,Productos!$A:$A,Productos!BN:BN,"Revisar"),"")</f>
        <v/>
      </c>
      <c r="BV50" s="179" t="str">
        <f t="array" ref="BV50">IF($F50&lt;&gt;"", XLOOKUP($F50,Productos!$A$2:$A1001,Productos!BO$2:BO1001,"")*$G50,"")</f>
        <v/>
      </c>
      <c r="BW50" s="179" t="str">
        <f t="array" ref="BW50">IF($F50&lt;&gt;"",XLOOKUP($F50,Productos!$A:$A,Productos!BP:BP,"Revisar"),"")</f>
        <v/>
      </c>
      <c r="BX50" s="179" t="str">
        <f t="array" ref="BX50">IF($F50&lt;&gt;"", XLOOKUP($F50,Productos!$A$2:$A1001,Productos!BQ$2:BQ1001,"")*$G50,"")</f>
        <v/>
      </c>
      <c r="BY50" s="179" t="str">
        <f t="array" ref="BY50">IF($F50&lt;&gt;"",XLOOKUP($F50,Productos!$A:$A,Productos!BR:BR,"Revisar"),"")</f>
        <v/>
      </c>
      <c r="BZ50" s="179" t="str">
        <f t="array" ref="BZ50">IF($F50&lt;&gt;"", XLOOKUP($F50,Productos!$A$2:$A1001,Productos!BS$2:BS1001,"")*$G50,"")</f>
        <v/>
      </c>
    </row>
    <row r="51">
      <c r="A51" s="180"/>
      <c r="B51" s="181"/>
      <c r="C51" s="182"/>
      <c r="D51" s="182"/>
      <c r="E51" s="185"/>
      <c r="F51" s="186"/>
      <c r="G51" s="187"/>
      <c r="H51" s="186"/>
      <c r="I51" s="179" t="str">
        <f t="array" ref="I51">IF($F51&lt;&gt;"",XLOOKUP($F51,Productos!$A:$A,Productos!B:B,"Revisar"),"")</f>
        <v/>
      </c>
      <c r="J51" s="179" t="str">
        <f t="array" ref="J51">IF($F51&lt;&gt;"", XLOOKUP($F51,Productos!$A$2:$A1001,Productos!C$2:C1001,"")*$G51,"")</f>
        <v/>
      </c>
      <c r="K51" s="179" t="str">
        <f t="array" ref="K51">IF($F51&lt;&gt;"",XLOOKUP($F51,Productos!$A:$A,Productos!D:D,"Revisar"),"")</f>
        <v/>
      </c>
      <c r="L51" s="179" t="str">
        <f t="array" ref="L51">IF($F51&lt;&gt;"", XLOOKUP($F51,Productos!$A$2:$A1001,Productos!E$2:E1001,"")*$G51,"")</f>
        <v/>
      </c>
      <c r="M51" s="179" t="str">
        <f t="array" ref="M51">IF($F51&lt;&gt;"",XLOOKUP($F51,Productos!$A:$A,Productos!F:F,"Revisar"),"")</f>
        <v/>
      </c>
      <c r="N51" s="179" t="str">
        <f t="array" ref="N51">IF($F51&lt;&gt;"", XLOOKUP($F51,Productos!$A$2:$A1001,Productos!G$2:G1001,"")*$G51,"")</f>
        <v/>
      </c>
      <c r="O51" s="179" t="str">
        <f t="array" ref="O51">IF($F51&lt;&gt;"",XLOOKUP($F51,Productos!$A:$A,Productos!H:H,"Revisar"),"")</f>
        <v/>
      </c>
      <c r="P51" s="179" t="str">
        <f t="array" ref="P51">IF($F51&lt;&gt;"", XLOOKUP($F51,Productos!$A$2:$A1001,Productos!I$2:I1001,"")*$G51,"")</f>
        <v/>
      </c>
      <c r="Q51" s="179" t="str">
        <f t="array" ref="Q51">IF($F51&lt;&gt;"",XLOOKUP($F51,Productos!$A:$A,Productos!J:J,"Revisar"),"")</f>
        <v/>
      </c>
      <c r="R51" s="179" t="str">
        <f t="array" ref="R51">IF($F51&lt;&gt;"", XLOOKUP($F51,Productos!$A$2:$A1001,Productos!K$2:K1001,"")*$G51,"")</f>
        <v/>
      </c>
      <c r="S51" s="179" t="str">
        <f t="array" ref="S51">IF($F51&lt;&gt;"",XLOOKUP($F51,Productos!$A:$A,Productos!L:L,"Revisar"),"")</f>
        <v/>
      </c>
      <c r="T51" s="179" t="str">
        <f t="array" ref="T51">IF($F51&lt;&gt;"", XLOOKUP($F51,Productos!$A$2:$A1001,Productos!M$2:M1001,"")*$G51,"")</f>
        <v/>
      </c>
      <c r="U51" s="179" t="str">
        <f t="array" ref="U51">IF($F51&lt;&gt;"",XLOOKUP($F51,Productos!$A:$A,Productos!N:N,"Revisar"),"")</f>
        <v/>
      </c>
      <c r="V51" s="179" t="str">
        <f t="array" ref="V51">IF($F51&lt;&gt;"", XLOOKUP($F51,Productos!$A$2:$A1001,Productos!O$2:O1001,"")*$G51,"")</f>
        <v/>
      </c>
      <c r="W51" s="179" t="str">
        <f t="array" ref="W51">IF($F51&lt;&gt;"",XLOOKUP($F51,Productos!$A:$A,Productos!P:P,"Revisar"),"")</f>
        <v/>
      </c>
      <c r="X51" s="179" t="str">
        <f t="array" ref="X51">IF($F51&lt;&gt;"", XLOOKUP($F51,Productos!$A$2:$A1001,Productos!Q$2:Q1001,"")*$G51,"")</f>
        <v/>
      </c>
      <c r="Y51" s="179" t="str">
        <f t="array" ref="Y51">IF($F51&lt;&gt;"",XLOOKUP($F51,Productos!$A:$A,Productos!R:R,"Revisar"),"")</f>
        <v/>
      </c>
      <c r="Z51" s="179" t="str">
        <f t="array" ref="Z51">IF($F51&lt;&gt;"", XLOOKUP($F51,Productos!$A$2:$A1001,Productos!S$2:S1001,"")*$G51,"")</f>
        <v/>
      </c>
      <c r="AA51" s="179" t="str">
        <f t="array" ref="AA51">IF($F51&lt;&gt;"",XLOOKUP($F51,Productos!$A:$A,Productos!T:T,"Revisar"),"")</f>
        <v/>
      </c>
      <c r="AB51" s="179" t="str">
        <f t="array" ref="AB51">IF($F51&lt;&gt;"", XLOOKUP($F51,Productos!$A$2:$A1001,Productos!U$2:U1001,"")*$G51,"")</f>
        <v/>
      </c>
      <c r="AC51" s="179" t="str">
        <f t="array" ref="AC51">IF($F51&lt;&gt;"",XLOOKUP($F51,Productos!$A:$A,Productos!V:V,"Revisar"),"")</f>
        <v/>
      </c>
      <c r="AD51" s="179" t="str">
        <f t="array" ref="AD51">IF($F51&lt;&gt;"", XLOOKUP($F51,Productos!$A$2:$A1001,Productos!W$2:W1001,"")*$G51,"")</f>
        <v/>
      </c>
      <c r="AE51" s="179" t="str">
        <f t="array" ref="AE51">IF($F51&lt;&gt;"",XLOOKUP($F51,Productos!$A:$A,Productos!X:X,"Revisar"),"")</f>
        <v/>
      </c>
      <c r="AF51" s="179" t="str">
        <f t="array" ref="AF51">IF($F51&lt;&gt;"", XLOOKUP($F51,Productos!$A$2:$A1001,Productos!Y$2:Y1001,"")*$G51,"")</f>
        <v/>
      </c>
      <c r="AG51" s="179" t="str">
        <f t="array" ref="AG51">IF($F51&lt;&gt;"",XLOOKUP($F51,Productos!$A:$A,Productos!Z:Z,"Revisar"),"")</f>
        <v/>
      </c>
      <c r="AH51" s="179" t="str">
        <f t="array" ref="AH51">IF($F51&lt;&gt;"", XLOOKUP($F51,Productos!$A$2:$A1001,Productos!AA$2:AA1001,"")*$G51,"")</f>
        <v/>
      </c>
      <c r="AI51" s="179" t="str">
        <f t="array" ref="AI51">IF($F51&lt;&gt;"",XLOOKUP($F51,Productos!$A:$A,Productos!AB:AB,"Revisar"),"")</f>
        <v/>
      </c>
      <c r="AJ51" s="179" t="str">
        <f t="array" ref="AJ51">IF($F51&lt;&gt;"", XLOOKUP($F51,Productos!$A$2:$A1001,Productos!AC$2:AC1001,"")*$G51,"")</f>
        <v/>
      </c>
      <c r="AK51" s="179" t="str">
        <f t="array" ref="AK51">IF($F51&lt;&gt;"",XLOOKUP($F51,Productos!$A:$A,Productos!AD:AD,"Revisar"),"")</f>
        <v/>
      </c>
      <c r="AL51" s="179" t="str">
        <f t="array" ref="AL51">IF($F51&lt;&gt;"", XLOOKUP($F51,Productos!$A$2:$A1001,Productos!AE$2:AE1001,"")*$G51,"")</f>
        <v/>
      </c>
      <c r="AM51" s="179" t="str">
        <f t="array" ref="AM51">IF($F51&lt;&gt;"",XLOOKUP($F51,Productos!$A:$A,Productos!AF:AF,"Revisar"),"")</f>
        <v/>
      </c>
      <c r="AN51" s="179" t="str">
        <f t="array" ref="AN51">IF($F51&lt;&gt;"", XLOOKUP($F51,Productos!$A$2:$A1001,Productos!AG$2:AG1001,"")*$G51,"")</f>
        <v/>
      </c>
      <c r="AO51" s="179" t="str">
        <f t="array" ref="AO51">IF($F51&lt;&gt;"",XLOOKUP($F51,Productos!$A:$A,Productos!AH:AH,"Revisar"),"")</f>
        <v/>
      </c>
      <c r="AP51" s="179" t="str">
        <f t="array" ref="AP51">IF($F51&lt;&gt;"", XLOOKUP($F51,Productos!$A$2:$A1001,Productos!AI$2:AI1001,"")*$G51,"")</f>
        <v/>
      </c>
      <c r="AQ51" s="179" t="str">
        <f t="array" ref="AQ51">IF($F51&lt;&gt;"",XLOOKUP($F51,Productos!$A:$A,Productos!AJ:AJ,"Revisar"),"")</f>
        <v/>
      </c>
      <c r="AR51" s="179" t="str">
        <f t="array" ref="AR51">IF($F51&lt;&gt;"", XLOOKUP($F51,Productos!$A$2:$A1001,Productos!AK$2:AK1001,"")*$G51,"")</f>
        <v/>
      </c>
      <c r="AS51" s="179" t="str">
        <f t="array" ref="AS51">IF($F51&lt;&gt;"",XLOOKUP($F51,Productos!$A:$A,Productos!AL:AL,"Revisar"),"")</f>
        <v/>
      </c>
      <c r="AT51" s="179" t="str">
        <f t="array" ref="AT51">IF($F51&lt;&gt;"", XLOOKUP($F51,Productos!$A$2:$A1001,Productos!AM$2:AM1001,"")*$G51,"")</f>
        <v/>
      </c>
      <c r="AU51" s="179" t="str">
        <f t="array" ref="AU51">IF($F51&lt;&gt;"",XLOOKUP($F51,Productos!$A:$A,Productos!AN:AN,"Revisar"),"")</f>
        <v/>
      </c>
      <c r="AV51" s="179" t="str">
        <f t="array" ref="AV51">IF($F51&lt;&gt;"", XLOOKUP($F51,Productos!$A$2:$A1001,Productos!AO$2:AO1001,"")*$G51,"")</f>
        <v/>
      </c>
      <c r="AW51" s="179" t="str">
        <f t="array" ref="AW51">IF($F51&lt;&gt;"",XLOOKUP($F51,Productos!$A:$A,Productos!AP:AP,"Revisar"),"")</f>
        <v/>
      </c>
      <c r="AX51" s="179" t="str">
        <f t="array" ref="AX51">IF($F51&lt;&gt;"", XLOOKUP($F51,Productos!$A$2:$A1001,Productos!AQ$2:AQ1001,"")*$G51,"")</f>
        <v/>
      </c>
      <c r="AY51" s="179" t="str">
        <f t="array" ref="AY51">IF($F51&lt;&gt;"",XLOOKUP($F51,Productos!$A:$A,Productos!AR:AR,"Revisar"),"")</f>
        <v/>
      </c>
      <c r="AZ51" s="179" t="str">
        <f t="array" ref="AZ51">IF($F51&lt;&gt;"", XLOOKUP($F51,Productos!$A$2:$A1001,Productos!AS$2:AS1001,"")*$G51,"")</f>
        <v/>
      </c>
      <c r="BA51" s="179" t="str">
        <f t="array" ref="BA51">IF($F51&lt;&gt;"",XLOOKUP($F51,Productos!$A:$A,Productos!AT:AT,"Revisar"),"")</f>
        <v/>
      </c>
      <c r="BB51" s="179" t="str">
        <f t="array" ref="BB51">IF($F51&lt;&gt;"", XLOOKUP($F51,Productos!$A$2:$A1001,Productos!AU$2:AU1001,"")*$G51,"")</f>
        <v/>
      </c>
      <c r="BC51" s="179" t="str">
        <f t="array" ref="BC51">IF($F51&lt;&gt;"",XLOOKUP($F51,Productos!$A:$A,Productos!AV:AV,"Revisar"),"")</f>
        <v/>
      </c>
      <c r="BD51" s="179" t="str">
        <f t="array" ref="BD51">IF($F51&lt;&gt;"", XLOOKUP($F51,Productos!$A$2:$A1001,Productos!AW$2:AW1001,"")*$G51,"")</f>
        <v/>
      </c>
      <c r="BE51" s="179" t="str">
        <f t="array" ref="BE51">IF($F51&lt;&gt;"",XLOOKUP($F51,Productos!$A:$A,Productos!AX:AX,"Revisar"),"")</f>
        <v/>
      </c>
      <c r="BF51" s="179" t="str">
        <f t="array" ref="BF51">IF($F51&lt;&gt;"", XLOOKUP($F51,Productos!$A$2:$A1001,Productos!AY$2:AY1001,"")*$G51,"")</f>
        <v/>
      </c>
      <c r="BG51" s="179" t="str">
        <f t="array" ref="BG51">IF($F51&lt;&gt;"",XLOOKUP($F51,Productos!$A:$A,Productos!AZ:AZ,"Revisar"),"")</f>
        <v/>
      </c>
      <c r="BH51" s="179" t="str">
        <f t="array" ref="BH51">IF($F51&lt;&gt;"", XLOOKUP($F51,Productos!$A$2:$A1001,Productos!BA$2:BA1001,"")*$G51,"")</f>
        <v/>
      </c>
      <c r="BI51" s="179" t="str">
        <f t="array" ref="BI51">IF($F51&lt;&gt;"",XLOOKUP($F51,Productos!$A:$A,Productos!BB:BB,"Revisar"),"")</f>
        <v/>
      </c>
      <c r="BJ51" s="179" t="str">
        <f t="array" ref="BJ51">IF($F51&lt;&gt;"", XLOOKUP($F51,Productos!$A$2:$A1001,Productos!BC$2:BC1001,"")*$G51,"")</f>
        <v/>
      </c>
      <c r="BK51" s="179" t="str">
        <f t="array" ref="BK51">IF($F51&lt;&gt;"",XLOOKUP($F51,Productos!$A:$A,Productos!BD:BD,"Revisar"),"")</f>
        <v/>
      </c>
      <c r="BL51" s="179" t="str">
        <f t="array" ref="BL51">IF($F51&lt;&gt;"", XLOOKUP($F51,Productos!$A$2:$A1001,Productos!BE$2:BE1001,"")*$G51,"")</f>
        <v/>
      </c>
      <c r="BM51" s="179" t="str">
        <f t="array" ref="BM51">IF($F51&lt;&gt;"",XLOOKUP($F51,Productos!$A:$A,Productos!BF:BF,"Revisar"),"")</f>
        <v/>
      </c>
      <c r="BN51" s="179" t="str">
        <f t="array" ref="BN51">IF($F51&lt;&gt;"", XLOOKUP($F51,Productos!$A$2:$A1001,Productos!BG$2:BG1001,"")*$G51,"")</f>
        <v/>
      </c>
      <c r="BO51" s="179" t="str">
        <f t="array" ref="BO51">IF($F51&lt;&gt;"",XLOOKUP($F51,Productos!$A:$A,Productos!BH:BH,"Revisar"),"")</f>
        <v/>
      </c>
      <c r="BP51" s="179" t="str">
        <f t="array" ref="BP51">IF($F51&lt;&gt;"", XLOOKUP($F51,Productos!$A$2:$A1001,Productos!BI$2:BI1001,"")*$G51,"")</f>
        <v/>
      </c>
      <c r="BQ51" s="179" t="str">
        <f t="array" ref="BQ51">IF($F51&lt;&gt;"",XLOOKUP($F51,Productos!$A:$A,Productos!BJ:BJ,"Revisar"),"")</f>
        <v/>
      </c>
      <c r="BR51" s="179" t="str">
        <f t="array" ref="BR51">IF($F51&lt;&gt;"", XLOOKUP($F51,Productos!$A$2:$A1001,Productos!BK$2:BK1001,"")*$G51,"")</f>
        <v/>
      </c>
      <c r="BS51" s="179" t="str">
        <f t="array" ref="BS51">IF($F51&lt;&gt;"",XLOOKUP($F51,Productos!$A:$A,Productos!BL:BL,"Revisar"),"")</f>
        <v/>
      </c>
      <c r="BT51" s="179" t="str">
        <f t="array" ref="BT51">IF($F51&lt;&gt;"", XLOOKUP($F51,Productos!$A$2:$A1001,Productos!BM$2:BM1001,"")*$G51,"")</f>
        <v/>
      </c>
      <c r="BU51" s="179" t="str">
        <f t="array" ref="BU51">IF($F51&lt;&gt;"",XLOOKUP($F51,Productos!$A:$A,Productos!BN:BN,"Revisar"),"")</f>
        <v/>
      </c>
      <c r="BV51" s="179" t="str">
        <f t="array" ref="BV51">IF($F51&lt;&gt;"", XLOOKUP($F51,Productos!$A$2:$A1001,Productos!BO$2:BO1001,"")*$G51,"")</f>
        <v/>
      </c>
      <c r="BW51" s="179" t="str">
        <f t="array" ref="BW51">IF($F51&lt;&gt;"",XLOOKUP($F51,Productos!$A:$A,Productos!BP:BP,"Revisar"),"")</f>
        <v/>
      </c>
      <c r="BX51" s="179" t="str">
        <f t="array" ref="BX51">IF($F51&lt;&gt;"", XLOOKUP($F51,Productos!$A$2:$A1001,Productos!BQ$2:BQ1001,"")*$G51,"")</f>
        <v/>
      </c>
      <c r="BY51" s="179" t="str">
        <f t="array" ref="BY51">IF($F51&lt;&gt;"",XLOOKUP($F51,Productos!$A:$A,Productos!BR:BR,"Revisar"),"")</f>
        <v/>
      </c>
      <c r="BZ51" s="179" t="str">
        <f t="array" ref="BZ51">IF($F51&lt;&gt;"", XLOOKUP($F51,Productos!$A$2:$A1001,Productos!BS$2:BS1001,"")*$G51,"")</f>
        <v/>
      </c>
    </row>
    <row r="52">
      <c r="A52" s="180"/>
      <c r="B52" s="181"/>
      <c r="C52" s="182"/>
      <c r="D52" s="182"/>
      <c r="E52" s="185"/>
      <c r="F52" s="186"/>
      <c r="G52" s="187"/>
      <c r="H52" s="186"/>
      <c r="I52" s="179" t="str">
        <f t="array" ref="I52">IF($F52&lt;&gt;"",XLOOKUP($F52,Productos!$A:$A,Productos!B:B,"Revisar"),"")</f>
        <v/>
      </c>
      <c r="J52" s="179" t="str">
        <f t="array" ref="J52">IF($F52&lt;&gt;"", XLOOKUP($F52,Productos!$A$2:$A1001,Productos!C$2:C1001,"")*$G52,"")</f>
        <v/>
      </c>
      <c r="K52" s="179" t="str">
        <f t="array" ref="K52">IF($F52&lt;&gt;"",XLOOKUP($F52,Productos!$A:$A,Productos!D:D,"Revisar"),"")</f>
        <v/>
      </c>
      <c r="L52" s="179" t="str">
        <f t="array" ref="L52">IF($F52&lt;&gt;"", XLOOKUP($F52,Productos!$A$2:$A1001,Productos!E$2:E1001,"")*$G52,"")</f>
        <v/>
      </c>
      <c r="M52" s="179" t="str">
        <f t="array" ref="M52">IF($F52&lt;&gt;"",XLOOKUP($F52,Productos!$A:$A,Productos!F:F,"Revisar"),"")</f>
        <v/>
      </c>
      <c r="N52" s="179" t="str">
        <f t="array" ref="N52">IF($F52&lt;&gt;"", XLOOKUP($F52,Productos!$A$2:$A1001,Productos!G$2:G1001,"")*$G52,"")</f>
        <v/>
      </c>
      <c r="O52" s="179" t="str">
        <f t="array" ref="O52">IF($F52&lt;&gt;"",XLOOKUP($F52,Productos!$A:$A,Productos!H:H,"Revisar"),"")</f>
        <v/>
      </c>
      <c r="P52" s="179" t="str">
        <f t="array" ref="P52">IF($F52&lt;&gt;"", XLOOKUP($F52,Productos!$A$2:$A1001,Productos!I$2:I1001,"")*$G52,"")</f>
        <v/>
      </c>
      <c r="Q52" s="179" t="str">
        <f t="array" ref="Q52">IF($F52&lt;&gt;"",XLOOKUP($F52,Productos!$A:$A,Productos!J:J,"Revisar"),"")</f>
        <v/>
      </c>
      <c r="R52" s="179" t="str">
        <f t="array" ref="R52">IF($F52&lt;&gt;"", XLOOKUP($F52,Productos!$A$2:$A1001,Productos!K$2:K1001,"")*$G52,"")</f>
        <v/>
      </c>
      <c r="S52" s="179" t="str">
        <f t="array" ref="S52">IF($F52&lt;&gt;"",XLOOKUP($F52,Productos!$A:$A,Productos!L:L,"Revisar"),"")</f>
        <v/>
      </c>
      <c r="T52" s="179" t="str">
        <f t="array" ref="T52">IF($F52&lt;&gt;"", XLOOKUP($F52,Productos!$A$2:$A1001,Productos!M$2:M1001,"")*$G52,"")</f>
        <v/>
      </c>
      <c r="U52" s="179" t="str">
        <f t="array" ref="U52">IF($F52&lt;&gt;"",XLOOKUP($F52,Productos!$A:$A,Productos!N:N,"Revisar"),"")</f>
        <v/>
      </c>
      <c r="V52" s="179" t="str">
        <f t="array" ref="V52">IF($F52&lt;&gt;"", XLOOKUP($F52,Productos!$A$2:$A1001,Productos!O$2:O1001,"")*$G52,"")</f>
        <v/>
      </c>
      <c r="W52" s="179" t="str">
        <f t="array" ref="W52">IF($F52&lt;&gt;"",XLOOKUP($F52,Productos!$A:$A,Productos!P:P,"Revisar"),"")</f>
        <v/>
      </c>
      <c r="X52" s="179" t="str">
        <f t="array" ref="X52">IF($F52&lt;&gt;"", XLOOKUP($F52,Productos!$A$2:$A1001,Productos!Q$2:Q1001,"")*$G52,"")</f>
        <v/>
      </c>
      <c r="Y52" s="179" t="str">
        <f t="array" ref="Y52">IF($F52&lt;&gt;"",XLOOKUP($F52,Productos!$A:$A,Productos!R:R,"Revisar"),"")</f>
        <v/>
      </c>
      <c r="Z52" s="179" t="str">
        <f t="array" ref="Z52">IF($F52&lt;&gt;"", XLOOKUP($F52,Productos!$A$2:$A1001,Productos!S$2:S1001,"")*$G52,"")</f>
        <v/>
      </c>
      <c r="AA52" s="179" t="str">
        <f t="array" ref="AA52">IF($F52&lt;&gt;"",XLOOKUP($F52,Productos!$A:$A,Productos!T:T,"Revisar"),"")</f>
        <v/>
      </c>
      <c r="AB52" s="179" t="str">
        <f t="array" ref="AB52">IF($F52&lt;&gt;"", XLOOKUP($F52,Productos!$A$2:$A1001,Productos!U$2:U1001,"")*$G52,"")</f>
        <v/>
      </c>
      <c r="AC52" s="179" t="str">
        <f t="array" ref="AC52">IF($F52&lt;&gt;"",XLOOKUP($F52,Productos!$A:$A,Productos!V:V,"Revisar"),"")</f>
        <v/>
      </c>
      <c r="AD52" s="179" t="str">
        <f t="array" ref="AD52">IF($F52&lt;&gt;"", XLOOKUP($F52,Productos!$A$2:$A1001,Productos!W$2:W1001,"")*$G52,"")</f>
        <v/>
      </c>
      <c r="AE52" s="179" t="str">
        <f t="array" ref="AE52">IF($F52&lt;&gt;"",XLOOKUP($F52,Productos!$A:$A,Productos!X:X,"Revisar"),"")</f>
        <v/>
      </c>
      <c r="AF52" s="179" t="str">
        <f t="array" ref="AF52">IF($F52&lt;&gt;"", XLOOKUP($F52,Productos!$A$2:$A1001,Productos!Y$2:Y1001,"")*$G52,"")</f>
        <v/>
      </c>
      <c r="AG52" s="179" t="str">
        <f t="array" ref="AG52">IF($F52&lt;&gt;"",XLOOKUP($F52,Productos!$A:$A,Productos!Z:Z,"Revisar"),"")</f>
        <v/>
      </c>
      <c r="AH52" s="179" t="str">
        <f t="array" ref="AH52">IF($F52&lt;&gt;"", XLOOKUP($F52,Productos!$A$2:$A1001,Productos!AA$2:AA1001,"")*$G52,"")</f>
        <v/>
      </c>
      <c r="AI52" s="179" t="str">
        <f t="array" ref="AI52">IF($F52&lt;&gt;"",XLOOKUP($F52,Productos!$A:$A,Productos!AB:AB,"Revisar"),"")</f>
        <v/>
      </c>
      <c r="AJ52" s="179" t="str">
        <f t="array" ref="AJ52">IF($F52&lt;&gt;"", XLOOKUP($F52,Productos!$A$2:$A1001,Productos!AC$2:AC1001,"")*$G52,"")</f>
        <v/>
      </c>
      <c r="AK52" s="179" t="str">
        <f t="array" ref="AK52">IF($F52&lt;&gt;"",XLOOKUP($F52,Productos!$A:$A,Productos!AD:AD,"Revisar"),"")</f>
        <v/>
      </c>
      <c r="AL52" s="179" t="str">
        <f t="array" ref="AL52">IF($F52&lt;&gt;"", XLOOKUP($F52,Productos!$A$2:$A1001,Productos!AE$2:AE1001,"")*$G52,"")</f>
        <v/>
      </c>
      <c r="AM52" s="179" t="str">
        <f t="array" ref="AM52">IF($F52&lt;&gt;"",XLOOKUP($F52,Productos!$A:$A,Productos!AF:AF,"Revisar"),"")</f>
        <v/>
      </c>
      <c r="AN52" s="179" t="str">
        <f t="array" ref="AN52">IF($F52&lt;&gt;"", XLOOKUP($F52,Productos!$A$2:$A1001,Productos!AG$2:AG1001,"")*$G52,"")</f>
        <v/>
      </c>
      <c r="AO52" s="179" t="str">
        <f t="array" ref="AO52">IF($F52&lt;&gt;"",XLOOKUP($F52,Productos!$A:$A,Productos!AH:AH,"Revisar"),"")</f>
        <v/>
      </c>
      <c r="AP52" s="179" t="str">
        <f t="array" ref="AP52">IF($F52&lt;&gt;"", XLOOKUP($F52,Productos!$A$2:$A1001,Productos!AI$2:AI1001,"")*$G52,"")</f>
        <v/>
      </c>
      <c r="AQ52" s="179" t="str">
        <f t="array" ref="AQ52">IF($F52&lt;&gt;"",XLOOKUP($F52,Productos!$A:$A,Productos!AJ:AJ,"Revisar"),"")</f>
        <v/>
      </c>
      <c r="AR52" s="179" t="str">
        <f t="array" ref="AR52">IF($F52&lt;&gt;"", XLOOKUP($F52,Productos!$A$2:$A1001,Productos!AK$2:AK1001,"")*$G52,"")</f>
        <v/>
      </c>
      <c r="AS52" s="179" t="str">
        <f t="array" ref="AS52">IF($F52&lt;&gt;"",XLOOKUP($F52,Productos!$A:$A,Productos!AL:AL,"Revisar"),"")</f>
        <v/>
      </c>
      <c r="AT52" s="179" t="str">
        <f t="array" ref="AT52">IF($F52&lt;&gt;"", XLOOKUP($F52,Productos!$A$2:$A1001,Productos!AM$2:AM1001,"")*$G52,"")</f>
        <v/>
      </c>
      <c r="AU52" s="179" t="str">
        <f t="array" ref="AU52">IF($F52&lt;&gt;"",XLOOKUP($F52,Productos!$A:$A,Productos!AN:AN,"Revisar"),"")</f>
        <v/>
      </c>
      <c r="AV52" s="179" t="str">
        <f t="array" ref="AV52">IF($F52&lt;&gt;"", XLOOKUP($F52,Productos!$A$2:$A1001,Productos!AO$2:AO1001,"")*$G52,"")</f>
        <v/>
      </c>
      <c r="AW52" s="179" t="str">
        <f t="array" ref="AW52">IF($F52&lt;&gt;"",XLOOKUP($F52,Productos!$A:$A,Productos!AP:AP,"Revisar"),"")</f>
        <v/>
      </c>
      <c r="AX52" s="179" t="str">
        <f t="array" ref="AX52">IF($F52&lt;&gt;"", XLOOKUP($F52,Productos!$A$2:$A1001,Productos!AQ$2:AQ1001,"")*$G52,"")</f>
        <v/>
      </c>
      <c r="AY52" s="179" t="str">
        <f t="array" ref="AY52">IF($F52&lt;&gt;"",XLOOKUP($F52,Productos!$A:$A,Productos!AR:AR,"Revisar"),"")</f>
        <v/>
      </c>
      <c r="AZ52" s="179" t="str">
        <f t="array" ref="AZ52">IF($F52&lt;&gt;"", XLOOKUP($F52,Productos!$A$2:$A1001,Productos!AS$2:AS1001,"")*$G52,"")</f>
        <v/>
      </c>
      <c r="BA52" s="179" t="str">
        <f t="array" ref="BA52">IF($F52&lt;&gt;"",XLOOKUP($F52,Productos!$A:$A,Productos!AT:AT,"Revisar"),"")</f>
        <v/>
      </c>
      <c r="BB52" s="179" t="str">
        <f t="array" ref="BB52">IF($F52&lt;&gt;"", XLOOKUP($F52,Productos!$A$2:$A1001,Productos!AU$2:AU1001,"")*$G52,"")</f>
        <v/>
      </c>
      <c r="BC52" s="179" t="str">
        <f t="array" ref="BC52">IF($F52&lt;&gt;"",XLOOKUP($F52,Productos!$A:$A,Productos!AV:AV,"Revisar"),"")</f>
        <v/>
      </c>
      <c r="BD52" s="179" t="str">
        <f t="array" ref="BD52">IF($F52&lt;&gt;"", XLOOKUP($F52,Productos!$A$2:$A1001,Productos!AW$2:AW1001,"")*$G52,"")</f>
        <v/>
      </c>
      <c r="BE52" s="179" t="str">
        <f t="array" ref="BE52">IF($F52&lt;&gt;"",XLOOKUP($F52,Productos!$A:$A,Productos!AX:AX,"Revisar"),"")</f>
        <v/>
      </c>
      <c r="BF52" s="179" t="str">
        <f t="array" ref="BF52">IF($F52&lt;&gt;"", XLOOKUP($F52,Productos!$A$2:$A1001,Productos!AY$2:AY1001,"")*$G52,"")</f>
        <v/>
      </c>
      <c r="BG52" s="179" t="str">
        <f t="array" ref="BG52">IF($F52&lt;&gt;"",XLOOKUP($F52,Productos!$A:$A,Productos!AZ:AZ,"Revisar"),"")</f>
        <v/>
      </c>
      <c r="BH52" s="179" t="str">
        <f t="array" ref="BH52">IF($F52&lt;&gt;"", XLOOKUP($F52,Productos!$A$2:$A1001,Productos!BA$2:BA1001,"")*$G52,"")</f>
        <v/>
      </c>
      <c r="BI52" s="179" t="str">
        <f t="array" ref="BI52">IF($F52&lt;&gt;"",XLOOKUP($F52,Productos!$A:$A,Productos!BB:BB,"Revisar"),"")</f>
        <v/>
      </c>
      <c r="BJ52" s="179" t="str">
        <f t="array" ref="BJ52">IF($F52&lt;&gt;"", XLOOKUP($F52,Productos!$A$2:$A1001,Productos!BC$2:BC1001,"")*$G52,"")</f>
        <v/>
      </c>
      <c r="BK52" s="179" t="str">
        <f t="array" ref="BK52">IF($F52&lt;&gt;"",XLOOKUP($F52,Productos!$A:$A,Productos!BD:BD,"Revisar"),"")</f>
        <v/>
      </c>
      <c r="BL52" s="179" t="str">
        <f t="array" ref="BL52">IF($F52&lt;&gt;"", XLOOKUP($F52,Productos!$A$2:$A1001,Productos!BE$2:BE1001,"")*$G52,"")</f>
        <v/>
      </c>
      <c r="BM52" s="179" t="str">
        <f t="array" ref="BM52">IF($F52&lt;&gt;"",XLOOKUP($F52,Productos!$A:$A,Productos!BF:BF,"Revisar"),"")</f>
        <v/>
      </c>
      <c r="BN52" s="179" t="str">
        <f t="array" ref="BN52">IF($F52&lt;&gt;"", XLOOKUP($F52,Productos!$A$2:$A1001,Productos!BG$2:BG1001,"")*$G52,"")</f>
        <v/>
      </c>
      <c r="BO52" s="179" t="str">
        <f t="array" ref="BO52">IF($F52&lt;&gt;"",XLOOKUP($F52,Productos!$A:$A,Productos!BH:BH,"Revisar"),"")</f>
        <v/>
      </c>
      <c r="BP52" s="179" t="str">
        <f t="array" ref="BP52">IF($F52&lt;&gt;"", XLOOKUP($F52,Productos!$A$2:$A1001,Productos!BI$2:BI1001,"")*$G52,"")</f>
        <v/>
      </c>
      <c r="BQ52" s="179" t="str">
        <f t="array" ref="BQ52">IF($F52&lt;&gt;"",XLOOKUP($F52,Productos!$A:$A,Productos!BJ:BJ,"Revisar"),"")</f>
        <v/>
      </c>
      <c r="BR52" s="179" t="str">
        <f t="array" ref="BR52">IF($F52&lt;&gt;"", XLOOKUP($F52,Productos!$A$2:$A1001,Productos!BK$2:BK1001,"")*$G52,"")</f>
        <v/>
      </c>
      <c r="BS52" s="179" t="str">
        <f t="array" ref="BS52">IF($F52&lt;&gt;"",XLOOKUP($F52,Productos!$A:$A,Productos!BL:BL,"Revisar"),"")</f>
        <v/>
      </c>
      <c r="BT52" s="179" t="str">
        <f t="array" ref="BT52">IF($F52&lt;&gt;"", XLOOKUP($F52,Productos!$A$2:$A1001,Productos!BM$2:BM1001,"")*$G52,"")</f>
        <v/>
      </c>
      <c r="BU52" s="179" t="str">
        <f t="array" ref="BU52">IF($F52&lt;&gt;"",XLOOKUP($F52,Productos!$A:$A,Productos!BN:BN,"Revisar"),"")</f>
        <v/>
      </c>
      <c r="BV52" s="179" t="str">
        <f t="array" ref="BV52">IF($F52&lt;&gt;"", XLOOKUP($F52,Productos!$A$2:$A1001,Productos!BO$2:BO1001,"")*$G52,"")</f>
        <v/>
      </c>
      <c r="BW52" s="179" t="str">
        <f t="array" ref="BW52">IF($F52&lt;&gt;"",XLOOKUP($F52,Productos!$A:$A,Productos!BP:BP,"Revisar"),"")</f>
        <v/>
      </c>
      <c r="BX52" s="179" t="str">
        <f t="array" ref="BX52">IF($F52&lt;&gt;"", XLOOKUP($F52,Productos!$A$2:$A1001,Productos!BQ$2:BQ1001,"")*$G52,"")</f>
        <v/>
      </c>
      <c r="BY52" s="179" t="str">
        <f t="array" ref="BY52">IF($F52&lt;&gt;"",XLOOKUP($F52,Productos!$A:$A,Productos!BR:BR,"Revisar"),"")</f>
        <v/>
      </c>
      <c r="BZ52" s="179" t="str">
        <f t="array" ref="BZ52">IF($F52&lt;&gt;"", XLOOKUP($F52,Productos!$A$2:$A1001,Productos!BS$2:BS1001,"")*$G52,"")</f>
        <v/>
      </c>
    </row>
    <row r="53">
      <c r="A53" s="180"/>
      <c r="B53" s="181"/>
      <c r="C53" s="182"/>
      <c r="D53" s="182"/>
      <c r="E53" s="185"/>
      <c r="F53" s="186"/>
      <c r="G53" s="187"/>
      <c r="H53" s="186"/>
      <c r="I53" s="179" t="str">
        <f t="array" ref="I53">IF($F53&lt;&gt;"",XLOOKUP($F53,Productos!$A:$A,Productos!B:B,"Revisar"),"")</f>
        <v/>
      </c>
      <c r="J53" s="179" t="str">
        <f t="array" ref="J53">IF($F53&lt;&gt;"", XLOOKUP($F53,Productos!$A$2:$A1001,Productos!C$2:C1001,"")*$G53,"")</f>
        <v/>
      </c>
      <c r="K53" s="179" t="str">
        <f t="array" ref="K53">IF($F53&lt;&gt;"",XLOOKUP($F53,Productos!$A:$A,Productos!D:D,"Revisar"),"")</f>
        <v/>
      </c>
      <c r="L53" s="179" t="str">
        <f t="array" ref="L53">IF($F53&lt;&gt;"", XLOOKUP($F53,Productos!$A$2:$A1001,Productos!E$2:E1001,"")*$G53,"")</f>
        <v/>
      </c>
      <c r="M53" s="179" t="str">
        <f t="array" ref="M53">IF($F53&lt;&gt;"",XLOOKUP($F53,Productos!$A:$A,Productos!F:F,"Revisar"),"")</f>
        <v/>
      </c>
      <c r="N53" s="179" t="str">
        <f t="array" ref="N53">IF($F53&lt;&gt;"", XLOOKUP($F53,Productos!$A$2:$A1001,Productos!G$2:G1001,"")*$G53,"")</f>
        <v/>
      </c>
      <c r="O53" s="179" t="str">
        <f t="array" ref="O53">IF($F53&lt;&gt;"",XLOOKUP($F53,Productos!$A:$A,Productos!H:H,"Revisar"),"")</f>
        <v/>
      </c>
      <c r="P53" s="179" t="str">
        <f t="array" ref="P53">IF($F53&lt;&gt;"", XLOOKUP($F53,Productos!$A$2:$A1001,Productos!I$2:I1001,"")*$G53,"")</f>
        <v/>
      </c>
      <c r="Q53" s="179" t="str">
        <f t="array" ref="Q53">IF($F53&lt;&gt;"",XLOOKUP($F53,Productos!$A:$A,Productos!J:J,"Revisar"),"")</f>
        <v/>
      </c>
      <c r="R53" s="179" t="str">
        <f t="array" ref="R53">IF($F53&lt;&gt;"", XLOOKUP($F53,Productos!$A$2:$A1001,Productos!K$2:K1001,"")*$G53,"")</f>
        <v/>
      </c>
      <c r="S53" s="179" t="str">
        <f t="array" ref="S53">IF($F53&lt;&gt;"",XLOOKUP($F53,Productos!$A:$A,Productos!L:L,"Revisar"),"")</f>
        <v/>
      </c>
      <c r="T53" s="179" t="str">
        <f t="array" ref="T53">IF($F53&lt;&gt;"", XLOOKUP($F53,Productos!$A$2:$A1001,Productos!M$2:M1001,"")*$G53,"")</f>
        <v/>
      </c>
      <c r="U53" s="179" t="str">
        <f t="array" ref="U53">IF($F53&lt;&gt;"",XLOOKUP($F53,Productos!$A:$A,Productos!N:N,"Revisar"),"")</f>
        <v/>
      </c>
      <c r="V53" s="179" t="str">
        <f t="array" ref="V53">IF($F53&lt;&gt;"", XLOOKUP($F53,Productos!$A$2:$A1001,Productos!O$2:O1001,"")*$G53,"")</f>
        <v/>
      </c>
      <c r="W53" s="179" t="str">
        <f t="array" ref="W53">IF($F53&lt;&gt;"",XLOOKUP($F53,Productos!$A:$A,Productos!P:P,"Revisar"),"")</f>
        <v/>
      </c>
      <c r="X53" s="179" t="str">
        <f t="array" ref="X53">IF($F53&lt;&gt;"", XLOOKUP($F53,Productos!$A$2:$A1001,Productos!Q$2:Q1001,"")*$G53,"")</f>
        <v/>
      </c>
      <c r="Y53" s="179" t="str">
        <f t="array" ref="Y53">IF($F53&lt;&gt;"",XLOOKUP($F53,Productos!$A:$A,Productos!R:R,"Revisar"),"")</f>
        <v/>
      </c>
      <c r="Z53" s="179" t="str">
        <f t="array" ref="Z53">IF($F53&lt;&gt;"", XLOOKUP($F53,Productos!$A$2:$A1001,Productos!S$2:S1001,"")*$G53,"")</f>
        <v/>
      </c>
      <c r="AA53" s="179" t="str">
        <f t="array" ref="AA53">IF($F53&lt;&gt;"",XLOOKUP($F53,Productos!$A:$A,Productos!T:T,"Revisar"),"")</f>
        <v/>
      </c>
      <c r="AB53" s="179" t="str">
        <f t="array" ref="AB53">IF($F53&lt;&gt;"", XLOOKUP($F53,Productos!$A$2:$A1001,Productos!U$2:U1001,"")*$G53,"")</f>
        <v/>
      </c>
      <c r="AC53" s="179" t="str">
        <f t="array" ref="AC53">IF($F53&lt;&gt;"",XLOOKUP($F53,Productos!$A:$A,Productos!V:V,"Revisar"),"")</f>
        <v/>
      </c>
      <c r="AD53" s="179" t="str">
        <f t="array" ref="AD53">IF($F53&lt;&gt;"", XLOOKUP($F53,Productos!$A$2:$A1001,Productos!W$2:W1001,"")*$G53,"")</f>
        <v/>
      </c>
      <c r="AE53" s="179" t="str">
        <f t="array" ref="AE53">IF($F53&lt;&gt;"",XLOOKUP($F53,Productos!$A:$A,Productos!X:X,"Revisar"),"")</f>
        <v/>
      </c>
      <c r="AF53" s="179" t="str">
        <f t="array" ref="AF53">IF($F53&lt;&gt;"", XLOOKUP($F53,Productos!$A$2:$A1001,Productos!Y$2:Y1001,"")*$G53,"")</f>
        <v/>
      </c>
      <c r="AG53" s="179" t="str">
        <f t="array" ref="AG53">IF($F53&lt;&gt;"",XLOOKUP($F53,Productos!$A:$A,Productos!Z:Z,"Revisar"),"")</f>
        <v/>
      </c>
      <c r="AH53" s="179" t="str">
        <f t="array" ref="AH53">IF($F53&lt;&gt;"", XLOOKUP($F53,Productos!$A$2:$A1001,Productos!AA$2:AA1001,"")*$G53,"")</f>
        <v/>
      </c>
      <c r="AI53" s="179" t="str">
        <f t="array" ref="AI53">IF($F53&lt;&gt;"",XLOOKUP($F53,Productos!$A:$A,Productos!AB:AB,"Revisar"),"")</f>
        <v/>
      </c>
      <c r="AJ53" s="179" t="str">
        <f t="array" ref="AJ53">IF($F53&lt;&gt;"", XLOOKUP($F53,Productos!$A$2:$A1001,Productos!AC$2:AC1001,"")*$G53,"")</f>
        <v/>
      </c>
      <c r="AK53" s="179" t="str">
        <f t="array" ref="AK53">IF($F53&lt;&gt;"",XLOOKUP($F53,Productos!$A:$A,Productos!AD:AD,"Revisar"),"")</f>
        <v/>
      </c>
      <c r="AL53" s="179" t="str">
        <f t="array" ref="AL53">IF($F53&lt;&gt;"", XLOOKUP($F53,Productos!$A$2:$A1001,Productos!AE$2:AE1001,"")*$G53,"")</f>
        <v/>
      </c>
      <c r="AM53" s="179" t="str">
        <f t="array" ref="AM53">IF($F53&lt;&gt;"",XLOOKUP($F53,Productos!$A:$A,Productos!AF:AF,"Revisar"),"")</f>
        <v/>
      </c>
      <c r="AN53" s="179" t="str">
        <f t="array" ref="AN53">IF($F53&lt;&gt;"", XLOOKUP($F53,Productos!$A$2:$A1001,Productos!AG$2:AG1001,"")*$G53,"")</f>
        <v/>
      </c>
      <c r="AO53" s="179" t="str">
        <f t="array" ref="AO53">IF($F53&lt;&gt;"",XLOOKUP($F53,Productos!$A:$A,Productos!AH:AH,"Revisar"),"")</f>
        <v/>
      </c>
      <c r="AP53" s="179" t="str">
        <f t="array" ref="AP53">IF($F53&lt;&gt;"", XLOOKUP($F53,Productos!$A$2:$A1001,Productos!AI$2:AI1001,"")*$G53,"")</f>
        <v/>
      </c>
      <c r="AQ53" s="179" t="str">
        <f t="array" ref="AQ53">IF($F53&lt;&gt;"",XLOOKUP($F53,Productos!$A:$A,Productos!AJ:AJ,"Revisar"),"")</f>
        <v/>
      </c>
      <c r="AR53" s="179" t="str">
        <f t="array" ref="AR53">IF($F53&lt;&gt;"", XLOOKUP($F53,Productos!$A$2:$A1001,Productos!AK$2:AK1001,"")*$G53,"")</f>
        <v/>
      </c>
      <c r="AS53" s="179" t="str">
        <f t="array" ref="AS53">IF($F53&lt;&gt;"",XLOOKUP($F53,Productos!$A:$A,Productos!AL:AL,"Revisar"),"")</f>
        <v/>
      </c>
      <c r="AT53" s="179" t="str">
        <f t="array" ref="AT53">IF($F53&lt;&gt;"", XLOOKUP($F53,Productos!$A$2:$A1001,Productos!AM$2:AM1001,"")*$G53,"")</f>
        <v/>
      </c>
      <c r="AU53" s="179" t="str">
        <f t="array" ref="AU53">IF($F53&lt;&gt;"",XLOOKUP($F53,Productos!$A:$A,Productos!AN:AN,"Revisar"),"")</f>
        <v/>
      </c>
      <c r="AV53" s="179" t="str">
        <f t="array" ref="AV53">IF($F53&lt;&gt;"", XLOOKUP($F53,Productos!$A$2:$A1001,Productos!AO$2:AO1001,"")*$G53,"")</f>
        <v/>
      </c>
      <c r="AW53" s="179" t="str">
        <f t="array" ref="AW53">IF($F53&lt;&gt;"",XLOOKUP($F53,Productos!$A:$A,Productos!AP:AP,"Revisar"),"")</f>
        <v/>
      </c>
      <c r="AX53" s="179" t="str">
        <f t="array" ref="AX53">IF($F53&lt;&gt;"", XLOOKUP($F53,Productos!$A$2:$A1001,Productos!AQ$2:AQ1001,"")*$G53,"")</f>
        <v/>
      </c>
      <c r="AY53" s="179" t="str">
        <f t="array" ref="AY53">IF($F53&lt;&gt;"",XLOOKUP($F53,Productos!$A:$A,Productos!AR:AR,"Revisar"),"")</f>
        <v/>
      </c>
      <c r="AZ53" s="179" t="str">
        <f t="array" ref="AZ53">IF($F53&lt;&gt;"", XLOOKUP($F53,Productos!$A$2:$A1001,Productos!AS$2:AS1001,"")*$G53,"")</f>
        <v/>
      </c>
      <c r="BA53" s="179" t="str">
        <f t="array" ref="BA53">IF($F53&lt;&gt;"",XLOOKUP($F53,Productos!$A:$A,Productos!AT:AT,"Revisar"),"")</f>
        <v/>
      </c>
      <c r="BB53" s="179" t="str">
        <f t="array" ref="BB53">IF($F53&lt;&gt;"", XLOOKUP($F53,Productos!$A$2:$A1001,Productos!AU$2:AU1001,"")*$G53,"")</f>
        <v/>
      </c>
      <c r="BC53" s="179" t="str">
        <f t="array" ref="BC53">IF($F53&lt;&gt;"",XLOOKUP($F53,Productos!$A:$A,Productos!AV:AV,"Revisar"),"")</f>
        <v/>
      </c>
      <c r="BD53" s="179" t="str">
        <f t="array" ref="BD53">IF($F53&lt;&gt;"", XLOOKUP($F53,Productos!$A$2:$A1001,Productos!AW$2:AW1001,"")*$G53,"")</f>
        <v/>
      </c>
      <c r="BE53" s="179" t="str">
        <f t="array" ref="BE53">IF($F53&lt;&gt;"",XLOOKUP($F53,Productos!$A:$A,Productos!AX:AX,"Revisar"),"")</f>
        <v/>
      </c>
      <c r="BF53" s="179" t="str">
        <f t="array" ref="BF53">IF($F53&lt;&gt;"", XLOOKUP($F53,Productos!$A$2:$A1001,Productos!AY$2:AY1001,"")*$G53,"")</f>
        <v/>
      </c>
      <c r="BG53" s="179" t="str">
        <f t="array" ref="BG53">IF($F53&lt;&gt;"",XLOOKUP($F53,Productos!$A:$A,Productos!AZ:AZ,"Revisar"),"")</f>
        <v/>
      </c>
      <c r="BH53" s="179" t="str">
        <f t="array" ref="BH53">IF($F53&lt;&gt;"", XLOOKUP($F53,Productos!$A$2:$A1001,Productos!BA$2:BA1001,"")*$G53,"")</f>
        <v/>
      </c>
      <c r="BI53" s="179" t="str">
        <f t="array" ref="BI53">IF($F53&lt;&gt;"",XLOOKUP($F53,Productos!$A:$A,Productos!BB:BB,"Revisar"),"")</f>
        <v/>
      </c>
      <c r="BJ53" s="179" t="str">
        <f t="array" ref="BJ53">IF($F53&lt;&gt;"", XLOOKUP($F53,Productos!$A$2:$A1001,Productos!BC$2:BC1001,"")*$G53,"")</f>
        <v/>
      </c>
      <c r="BK53" s="179" t="str">
        <f t="array" ref="BK53">IF($F53&lt;&gt;"",XLOOKUP($F53,Productos!$A:$A,Productos!BD:BD,"Revisar"),"")</f>
        <v/>
      </c>
      <c r="BL53" s="179" t="str">
        <f t="array" ref="BL53">IF($F53&lt;&gt;"", XLOOKUP($F53,Productos!$A$2:$A1001,Productos!BE$2:BE1001,"")*$G53,"")</f>
        <v/>
      </c>
      <c r="BM53" s="179" t="str">
        <f t="array" ref="BM53">IF($F53&lt;&gt;"",XLOOKUP($F53,Productos!$A:$A,Productos!BF:BF,"Revisar"),"")</f>
        <v/>
      </c>
      <c r="BN53" s="179" t="str">
        <f t="array" ref="BN53">IF($F53&lt;&gt;"", XLOOKUP($F53,Productos!$A$2:$A1001,Productos!BG$2:BG1001,"")*$G53,"")</f>
        <v/>
      </c>
      <c r="BO53" s="179" t="str">
        <f t="array" ref="BO53">IF($F53&lt;&gt;"",XLOOKUP($F53,Productos!$A:$A,Productos!BH:BH,"Revisar"),"")</f>
        <v/>
      </c>
      <c r="BP53" s="179" t="str">
        <f t="array" ref="BP53">IF($F53&lt;&gt;"", XLOOKUP($F53,Productos!$A$2:$A1001,Productos!BI$2:BI1001,"")*$G53,"")</f>
        <v/>
      </c>
      <c r="BQ53" s="179" t="str">
        <f t="array" ref="BQ53">IF($F53&lt;&gt;"",XLOOKUP($F53,Productos!$A:$A,Productos!BJ:BJ,"Revisar"),"")</f>
        <v/>
      </c>
      <c r="BR53" s="179" t="str">
        <f t="array" ref="BR53">IF($F53&lt;&gt;"", XLOOKUP($F53,Productos!$A$2:$A1001,Productos!BK$2:BK1001,"")*$G53,"")</f>
        <v/>
      </c>
      <c r="BS53" s="179" t="str">
        <f t="array" ref="BS53">IF($F53&lt;&gt;"",XLOOKUP($F53,Productos!$A:$A,Productos!BL:BL,"Revisar"),"")</f>
        <v/>
      </c>
      <c r="BT53" s="179" t="str">
        <f t="array" ref="BT53">IF($F53&lt;&gt;"", XLOOKUP($F53,Productos!$A$2:$A1001,Productos!BM$2:BM1001,"")*$G53,"")</f>
        <v/>
      </c>
      <c r="BU53" s="179" t="str">
        <f t="array" ref="BU53">IF($F53&lt;&gt;"",XLOOKUP($F53,Productos!$A:$A,Productos!BN:BN,"Revisar"),"")</f>
        <v/>
      </c>
      <c r="BV53" s="179" t="str">
        <f t="array" ref="BV53">IF($F53&lt;&gt;"", XLOOKUP($F53,Productos!$A$2:$A1001,Productos!BO$2:BO1001,"")*$G53,"")</f>
        <v/>
      </c>
      <c r="BW53" s="179" t="str">
        <f t="array" ref="BW53">IF($F53&lt;&gt;"",XLOOKUP($F53,Productos!$A:$A,Productos!BP:BP,"Revisar"),"")</f>
        <v/>
      </c>
      <c r="BX53" s="179" t="str">
        <f t="array" ref="BX53">IF($F53&lt;&gt;"", XLOOKUP($F53,Productos!$A$2:$A1001,Productos!BQ$2:BQ1001,"")*$G53,"")</f>
        <v/>
      </c>
      <c r="BY53" s="179" t="str">
        <f t="array" ref="BY53">IF($F53&lt;&gt;"",XLOOKUP($F53,Productos!$A:$A,Productos!BR:BR,"Revisar"),"")</f>
        <v/>
      </c>
      <c r="BZ53" s="179" t="str">
        <f t="array" ref="BZ53">IF($F53&lt;&gt;"", XLOOKUP($F53,Productos!$A$2:$A1001,Productos!BS$2:BS1001,"")*$G53,"")</f>
        <v/>
      </c>
    </row>
    <row r="54">
      <c r="A54" s="180"/>
      <c r="B54" s="181"/>
      <c r="C54" s="182"/>
      <c r="D54" s="182"/>
      <c r="E54" s="185"/>
      <c r="F54" s="186"/>
      <c r="G54" s="187"/>
      <c r="H54" s="186"/>
      <c r="I54" s="179" t="str">
        <f t="array" ref="I54">IF($F54&lt;&gt;"",XLOOKUP($F54,Productos!$A:$A,Productos!B:B,"Revisar"),"")</f>
        <v/>
      </c>
      <c r="J54" s="179" t="str">
        <f t="array" ref="J54">IF($F54&lt;&gt;"", XLOOKUP($F54,Productos!$A$2:$A1001,Productos!C$2:C1001,"")*$G54,"")</f>
        <v/>
      </c>
      <c r="K54" s="179" t="str">
        <f t="array" ref="K54">IF($F54&lt;&gt;"",XLOOKUP($F54,Productos!$A:$A,Productos!D:D,"Revisar"),"")</f>
        <v/>
      </c>
      <c r="L54" s="179" t="str">
        <f t="array" ref="L54">IF($F54&lt;&gt;"", XLOOKUP($F54,Productos!$A$2:$A1001,Productos!E$2:E1001,"")*$G54,"")</f>
        <v/>
      </c>
      <c r="M54" s="179" t="str">
        <f t="array" ref="M54">IF($F54&lt;&gt;"",XLOOKUP($F54,Productos!$A:$A,Productos!F:F,"Revisar"),"")</f>
        <v/>
      </c>
      <c r="N54" s="179" t="str">
        <f t="array" ref="N54">IF($F54&lt;&gt;"", XLOOKUP($F54,Productos!$A$2:$A1001,Productos!G$2:G1001,"")*$G54,"")</f>
        <v/>
      </c>
      <c r="O54" s="179" t="str">
        <f t="array" ref="O54">IF($F54&lt;&gt;"",XLOOKUP($F54,Productos!$A:$A,Productos!H:H,"Revisar"),"")</f>
        <v/>
      </c>
      <c r="P54" s="179" t="str">
        <f t="array" ref="P54">IF($F54&lt;&gt;"", XLOOKUP($F54,Productos!$A$2:$A1001,Productos!I$2:I1001,"")*$G54,"")</f>
        <v/>
      </c>
      <c r="Q54" s="179" t="str">
        <f t="array" ref="Q54">IF($F54&lt;&gt;"",XLOOKUP($F54,Productos!$A:$A,Productos!J:J,"Revisar"),"")</f>
        <v/>
      </c>
      <c r="R54" s="179" t="str">
        <f t="array" ref="R54">IF($F54&lt;&gt;"", XLOOKUP($F54,Productos!$A$2:$A1001,Productos!K$2:K1001,"")*$G54,"")</f>
        <v/>
      </c>
      <c r="S54" s="179" t="str">
        <f t="array" ref="S54">IF($F54&lt;&gt;"",XLOOKUP($F54,Productos!$A:$A,Productos!L:L,"Revisar"),"")</f>
        <v/>
      </c>
      <c r="T54" s="179" t="str">
        <f t="array" ref="T54">IF($F54&lt;&gt;"", XLOOKUP($F54,Productos!$A$2:$A1001,Productos!M$2:M1001,"")*$G54,"")</f>
        <v/>
      </c>
      <c r="U54" s="179" t="str">
        <f t="array" ref="U54">IF($F54&lt;&gt;"",XLOOKUP($F54,Productos!$A:$A,Productos!N:N,"Revisar"),"")</f>
        <v/>
      </c>
      <c r="V54" s="179" t="str">
        <f t="array" ref="V54">IF($F54&lt;&gt;"", XLOOKUP($F54,Productos!$A$2:$A1001,Productos!O$2:O1001,"")*$G54,"")</f>
        <v/>
      </c>
      <c r="W54" s="179" t="str">
        <f t="array" ref="W54">IF($F54&lt;&gt;"",XLOOKUP($F54,Productos!$A:$A,Productos!P:P,"Revisar"),"")</f>
        <v/>
      </c>
      <c r="X54" s="179" t="str">
        <f t="array" ref="X54">IF($F54&lt;&gt;"", XLOOKUP($F54,Productos!$A$2:$A1001,Productos!Q$2:Q1001,"")*$G54,"")</f>
        <v/>
      </c>
      <c r="Y54" s="179" t="str">
        <f t="array" ref="Y54">IF($F54&lt;&gt;"",XLOOKUP($F54,Productos!$A:$A,Productos!R:R,"Revisar"),"")</f>
        <v/>
      </c>
      <c r="Z54" s="179" t="str">
        <f t="array" ref="Z54">IF($F54&lt;&gt;"", XLOOKUP($F54,Productos!$A$2:$A1001,Productos!S$2:S1001,"")*$G54,"")</f>
        <v/>
      </c>
      <c r="AA54" s="179" t="str">
        <f t="array" ref="AA54">IF($F54&lt;&gt;"",XLOOKUP($F54,Productos!$A:$A,Productos!T:T,"Revisar"),"")</f>
        <v/>
      </c>
      <c r="AB54" s="179" t="str">
        <f t="array" ref="AB54">IF($F54&lt;&gt;"", XLOOKUP($F54,Productos!$A$2:$A1001,Productos!U$2:U1001,"")*$G54,"")</f>
        <v/>
      </c>
      <c r="AC54" s="179" t="str">
        <f t="array" ref="AC54">IF($F54&lt;&gt;"",XLOOKUP($F54,Productos!$A:$A,Productos!V:V,"Revisar"),"")</f>
        <v/>
      </c>
      <c r="AD54" s="179" t="str">
        <f t="array" ref="AD54">IF($F54&lt;&gt;"", XLOOKUP($F54,Productos!$A$2:$A1001,Productos!W$2:W1001,"")*$G54,"")</f>
        <v/>
      </c>
      <c r="AE54" s="179" t="str">
        <f t="array" ref="AE54">IF($F54&lt;&gt;"",XLOOKUP($F54,Productos!$A:$A,Productos!X:X,"Revisar"),"")</f>
        <v/>
      </c>
      <c r="AF54" s="179" t="str">
        <f t="array" ref="AF54">IF($F54&lt;&gt;"", XLOOKUP($F54,Productos!$A$2:$A1001,Productos!Y$2:Y1001,"")*$G54,"")</f>
        <v/>
      </c>
      <c r="AG54" s="179" t="str">
        <f t="array" ref="AG54">IF($F54&lt;&gt;"",XLOOKUP($F54,Productos!$A:$A,Productos!Z:Z,"Revisar"),"")</f>
        <v/>
      </c>
      <c r="AH54" s="179" t="str">
        <f t="array" ref="AH54">IF($F54&lt;&gt;"", XLOOKUP($F54,Productos!$A$2:$A1001,Productos!AA$2:AA1001,"")*$G54,"")</f>
        <v/>
      </c>
      <c r="AI54" s="179" t="str">
        <f t="array" ref="AI54">IF($F54&lt;&gt;"",XLOOKUP($F54,Productos!$A:$A,Productos!AB:AB,"Revisar"),"")</f>
        <v/>
      </c>
      <c r="AJ54" s="179" t="str">
        <f t="array" ref="AJ54">IF($F54&lt;&gt;"", XLOOKUP($F54,Productos!$A$2:$A1001,Productos!AC$2:AC1001,"")*$G54,"")</f>
        <v/>
      </c>
      <c r="AK54" s="179" t="str">
        <f t="array" ref="AK54">IF($F54&lt;&gt;"",XLOOKUP($F54,Productos!$A:$A,Productos!AD:AD,"Revisar"),"")</f>
        <v/>
      </c>
      <c r="AL54" s="179" t="str">
        <f t="array" ref="AL54">IF($F54&lt;&gt;"", XLOOKUP($F54,Productos!$A$2:$A1001,Productos!AE$2:AE1001,"")*$G54,"")</f>
        <v/>
      </c>
      <c r="AM54" s="179" t="str">
        <f t="array" ref="AM54">IF($F54&lt;&gt;"",XLOOKUP($F54,Productos!$A:$A,Productos!AF:AF,"Revisar"),"")</f>
        <v/>
      </c>
      <c r="AN54" s="179" t="str">
        <f t="array" ref="AN54">IF($F54&lt;&gt;"", XLOOKUP($F54,Productos!$A$2:$A1001,Productos!AG$2:AG1001,"")*$G54,"")</f>
        <v/>
      </c>
      <c r="AO54" s="179" t="str">
        <f t="array" ref="AO54">IF($F54&lt;&gt;"",XLOOKUP($F54,Productos!$A:$A,Productos!AH:AH,"Revisar"),"")</f>
        <v/>
      </c>
      <c r="AP54" s="179" t="str">
        <f t="array" ref="AP54">IF($F54&lt;&gt;"", XLOOKUP($F54,Productos!$A$2:$A1001,Productos!AI$2:AI1001,"")*$G54,"")</f>
        <v/>
      </c>
      <c r="AQ54" s="179" t="str">
        <f t="array" ref="AQ54">IF($F54&lt;&gt;"",XLOOKUP($F54,Productos!$A:$A,Productos!AJ:AJ,"Revisar"),"")</f>
        <v/>
      </c>
      <c r="AR54" s="179" t="str">
        <f t="array" ref="AR54">IF($F54&lt;&gt;"", XLOOKUP($F54,Productos!$A$2:$A1001,Productos!AK$2:AK1001,"")*$G54,"")</f>
        <v/>
      </c>
      <c r="AS54" s="179" t="str">
        <f t="array" ref="AS54">IF($F54&lt;&gt;"",XLOOKUP($F54,Productos!$A:$A,Productos!AL:AL,"Revisar"),"")</f>
        <v/>
      </c>
      <c r="AT54" s="179" t="str">
        <f t="array" ref="AT54">IF($F54&lt;&gt;"", XLOOKUP($F54,Productos!$A$2:$A1001,Productos!AM$2:AM1001,"")*$G54,"")</f>
        <v/>
      </c>
      <c r="AU54" s="179" t="str">
        <f t="array" ref="AU54">IF($F54&lt;&gt;"",XLOOKUP($F54,Productos!$A:$A,Productos!AN:AN,"Revisar"),"")</f>
        <v/>
      </c>
      <c r="AV54" s="179" t="str">
        <f t="array" ref="AV54">IF($F54&lt;&gt;"", XLOOKUP($F54,Productos!$A$2:$A1001,Productos!AO$2:AO1001,"")*$G54,"")</f>
        <v/>
      </c>
      <c r="AW54" s="179" t="str">
        <f t="array" ref="AW54">IF($F54&lt;&gt;"",XLOOKUP($F54,Productos!$A:$A,Productos!AP:AP,"Revisar"),"")</f>
        <v/>
      </c>
      <c r="AX54" s="179" t="str">
        <f t="array" ref="AX54">IF($F54&lt;&gt;"", XLOOKUP($F54,Productos!$A$2:$A1001,Productos!AQ$2:AQ1001,"")*$G54,"")</f>
        <v/>
      </c>
      <c r="AY54" s="179" t="str">
        <f t="array" ref="AY54">IF($F54&lt;&gt;"",XLOOKUP($F54,Productos!$A:$A,Productos!AR:AR,"Revisar"),"")</f>
        <v/>
      </c>
      <c r="AZ54" s="179" t="str">
        <f t="array" ref="AZ54">IF($F54&lt;&gt;"", XLOOKUP($F54,Productos!$A$2:$A1001,Productos!AS$2:AS1001,"")*$G54,"")</f>
        <v/>
      </c>
      <c r="BA54" s="179" t="str">
        <f t="array" ref="BA54">IF($F54&lt;&gt;"",XLOOKUP($F54,Productos!$A:$A,Productos!AT:AT,"Revisar"),"")</f>
        <v/>
      </c>
      <c r="BB54" s="179" t="str">
        <f t="array" ref="BB54">IF($F54&lt;&gt;"", XLOOKUP($F54,Productos!$A$2:$A1001,Productos!AU$2:AU1001,"")*$G54,"")</f>
        <v/>
      </c>
      <c r="BC54" s="179" t="str">
        <f t="array" ref="BC54">IF($F54&lt;&gt;"",XLOOKUP($F54,Productos!$A:$A,Productos!AV:AV,"Revisar"),"")</f>
        <v/>
      </c>
      <c r="BD54" s="179" t="str">
        <f t="array" ref="BD54">IF($F54&lt;&gt;"", XLOOKUP($F54,Productos!$A$2:$A1001,Productos!AW$2:AW1001,"")*$G54,"")</f>
        <v/>
      </c>
      <c r="BE54" s="179" t="str">
        <f t="array" ref="BE54">IF($F54&lt;&gt;"",XLOOKUP($F54,Productos!$A:$A,Productos!AX:AX,"Revisar"),"")</f>
        <v/>
      </c>
      <c r="BF54" s="179" t="str">
        <f t="array" ref="BF54">IF($F54&lt;&gt;"", XLOOKUP($F54,Productos!$A$2:$A1001,Productos!AY$2:AY1001,"")*$G54,"")</f>
        <v/>
      </c>
      <c r="BG54" s="179" t="str">
        <f t="array" ref="BG54">IF($F54&lt;&gt;"",XLOOKUP($F54,Productos!$A:$A,Productos!AZ:AZ,"Revisar"),"")</f>
        <v/>
      </c>
      <c r="BH54" s="179" t="str">
        <f t="array" ref="BH54">IF($F54&lt;&gt;"", XLOOKUP($F54,Productos!$A$2:$A1001,Productos!BA$2:BA1001,"")*$G54,"")</f>
        <v/>
      </c>
      <c r="BI54" s="179" t="str">
        <f t="array" ref="BI54">IF($F54&lt;&gt;"",XLOOKUP($F54,Productos!$A:$A,Productos!BB:BB,"Revisar"),"")</f>
        <v/>
      </c>
      <c r="BJ54" s="179" t="str">
        <f t="array" ref="BJ54">IF($F54&lt;&gt;"", XLOOKUP($F54,Productos!$A$2:$A1001,Productos!BC$2:BC1001,"")*$G54,"")</f>
        <v/>
      </c>
      <c r="BK54" s="179" t="str">
        <f t="array" ref="BK54">IF($F54&lt;&gt;"",XLOOKUP($F54,Productos!$A:$A,Productos!BD:BD,"Revisar"),"")</f>
        <v/>
      </c>
      <c r="BL54" s="179" t="str">
        <f t="array" ref="BL54">IF($F54&lt;&gt;"", XLOOKUP($F54,Productos!$A$2:$A1001,Productos!BE$2:BE1001,"")*$G54,"")</f>
        <v/>
      </c>
      <c r="BM54" s="179" t="str">
        <f t="array" ref="BM54">IF($F54&lt;&gt;"",XLOOKUP($F54,Productos!$A:$A,Productos!BF:BF,"Revisar"),"")</f>
        <v/>
      </c>
      <c r="BN54" s="179" t="str">
        <f t="array" ref="BN54">IF($F54&lt;&gt;"", XLOOKUP($F54,Productos!$A$2:$A1001,Productos!BG$2:BG1001,"")*$G54,"")</f>
        <v/>
      </c>
      <c r="BO54" s="179" t="str">
        <f t="array" ref="BO54">IF($F54&lt;&gt;"",XLOOKUP($F54,Productos!$A:$A,Productos!BH:BH,"Revisar"),"")</f>
        <v/>
      </c>
      <c r="BP54" s="179" t="str">
        <f t="array" ref="BP54">IF($F54&lt;&gt;"", XLOOKUP($F54,Productos!$A$2:$A1001,Productos!BI$2:BI1001,"")*$G54,"")</f>
        <v/>
      </c>
      <c r="BQ54" s="179" t="str">
        <f t="array" ref="BQ54">IF($F54&lt;&gt;"",XLOOKUP($F54,Productos!$A:$A,Productos!BJ:BJ,"Revisar"),"")</f>
        <v/>
      </c>
      <c r="BR54" s="179" t="str">
        <f t="array" ref="BR54">IF($F54&lt;&gt;"", XLOOKUP($F54,Productos!$A$2:$A1001,Productos!BK$2:BK1001,"")*$G54,"")</f>
        <v/>
      </c>
      <c r="BS54" s="179" t="str">
        <f t="array" ref="BS54">IF($F54&lt;&gt;"",XLOOKUP($F54,Productos!$A:$A,Productos!BL:BL,"Revisar"),"")</f>
        <v/>
      </c>
      <c r="BT54" s="179" t="str">
        <f t="array" ref="BT54">IF($F54&lt;&gt;"", XLOOKUP($F54,Productos!$A$2:$A1001,Productos!BM$2:BM1001,"")*$G54,"")</f>
        <v/>
      </c>
      <c r="BU54" s="179" t="str">
        <f t="array" ref="BU54">IF($F54&lt;&gt;"",XLOOKUP($F54,Productos!$A:$A,Productos!BN:BN,"Revisar"),"")</f>
        <v/>
      </c>
      <c r="BV54" s="179" t="str">
        <f t="array" ref="BV54">IF($F54&lt;&gt;"", XLOOKUP($F54,Productos!$A$2:$A1001,Productos!BO$2:BO1001,"")*$G54,"")</f>
        <v/>
      </c>
      <c r="BW54" s="179" t="str">
        <f t="array" ref="BW54">IF($F54&lt;&gt;"",XLOOKUP($F54,Productos!$A:$A,Productos!BP:BP,"Revisar"),"")</f>
        <v/>
      </c>
      <c r="BX54" s="179" t="str">
        <f t="array" ref="BX54">IF($F54&lt;&gt;"", XLOOKUP($F54,Productos!$A$2:$A1001,Productos!BQ$2:BQ1001,"")*$G54,"")</f>
        <v/>
      </c>
      <c r="BY54" s="179" t="str">
        <f t="array" ref="BY54">IF($F54&lt;&gt;"",XLOOKUP($F54,Productos!$A:$A,Productos!BR:BR,"Revisar"),"")</f>
        <v/>
      </c>
      <c r="BZ54" s="179" t="str">
        <f t="array" ref="BZ54">IF($F54&lt;&gt;"", XLOOKUP($F54,Productos!$A$2:$A1001,Productos!BS$2:BS1001,"")*$G54,"")</f>
        <v/>
      </c>
    </row>
    <row r="55">
      <c r="A55" s="180"/>
      <c r="B55" s="181"/>
      <c r="C55" s="182"/>
      <c r="D55" s="182"/>
      <c r="E55" s="185"/>
      <c r="F55" s="186"/>
      <c r="G55" s="187"/>
      <c r="H55" s="186"/>
      <c r="I55" s="179" t="str">
        <f t="array" ref="I55">IF($F55&lt;&gt;"",XLOOKUP($F55,Productos!$A:$A,Productos!B:B,"Revisar"),"")</f>
        <v/>
      </c>
      <c r="J55" s="179" t="str">
        <f t="array" ref="J55">IF($F55&lt;&gt;"", XLOOKUP($F55,Productos!$A$2:$A1001,Productos!C$2:C1001,"")*$G55,"")</f>
        <v/>
      </c>
      <c r="K55" s="179" t="str">
        <f t="array" ref="K55">IF($F55&lt;&gt;"",XLOOKUP($F55,Productos!$A:$A,Productos!D:D,"Revisar"),"")</f>
        <v/>
      </c>
      <c r="L55" s="179" t="str">
        <f t="array" ref="L55">IF($F55&lt;&gt;"", XLOOKUP($F55,Productos!$A$2:$A1001,Productos!E$2:E1001,"")*$G55,"")</f>
        <v/>
      </c>
      <c r="M55" s="179" t="str">
        <f t="array" ref="M55">IF($F55&lt;&gt;"",XLOOKUP($F55,Productos!$A:$A,Productos!F:F,"Revisar"),"")</f>
        <v/>
      </c>
      <c r="N55" s="179" t="str">
        <f t="array" ref="N55">IF($F55&lt;&gt;"", XLOOKUP($F55,Productos!$A$2:$A1001,Productos!G$2:G1001,"")*$G55,"")</f>
        <v/>
      </c>
      <c r="O55" s="179" t="str">
        <f t="array" ref="O55">IF($F55&lt;&gt;"",XLOOKUP($F55,Productos!$A:$A,Productos!H:H,"Revisar"),"")</f>
        <v/>
      </c>
      <c r="P55" s="179" t="str">
        <f t="array" ref="P55">IF($F55&lt;&gt;"", XLOOKUP($F55,Productos!$A$2:$A1001,Productos!I$2:I1001,"")*$G55,"")</f>
        <v/>
      </c>
      <c r="Q55" s="179" t="str">
        <f t="array" ref="Q55">IF($F55&lt;&gt;"",XLOOKUP($F55,Productos!$A:$A,Productos!J:J,"Revisar"),"")</f>
        <v/>
      </c>
      <c r="R55" s="179" t="str">
        <f t="array" ref="R55">IF($F55&lt;&gt;"", XLOOKUP($F55,Productos!$A$2:$A1001,Productos!K$2:K1001,"")*$G55,"")</f>
        <v/>
      </c>
      <c r="S55" s="179" t="str">
        <f t="array" ref="S55">IF($F55&lt;&gt;"",XLOOKUP($F55,Productos!$A:$A,Productos!L:L,"Revisar"),"")</f>
        <v/>
      </c>
      <c r="T55" s="179" t="str">
        <f t="array" ref="T55">IF($F55&lt;&gt;"", XLOOKUP($F55,Productos!$A$2:$A1001,Productos!M$2:M1001,"")*$G55,"")</f>
        <v/>
      </c>
      <c r="U55" s="179" t="str">
        <f t="array" ref="U55">IF($F55&lt;&gt;"",XLOOKUP($F55,Productos!$A:$A,Productos!N:N,"Revisar"),"")</f>
        <v/>
      </c>
      <c r="V55" s="179" t="str">
        <f t="array" ref="V55">IF($F55&lt;&gt;"", XLOOKUP($F55,Productos!$A$2:$A1001,Productos!O$2:O1001,"")*$G55,"")</f>
        <v/>
      </c>
      <c r="W55" s="179" t="str">
        <f t="array" ref="W55">IF($F55&lt;&gt;"",XLOOKUP($F55,Productos!$A:$A,Productos!P:P,"Revisar"),"")</f>
        <v/>
      </c>
      <c r="X55" s="179" t="str">
        <f t="array" ref="X55">IF($F55&lt;&gt;"", XLOOKUP($F55,Productos!$A$2:$A1001,Productos!Q$2:Q1001,"")*$G55,"")</f>
        <v/>
      </c>
      <c r="Y55" s="179" t="str">
        <f t="array" ref="Y55">IF($F55&lt;&gt;"",XLOOKUP($F55,Productos!$A:$A,Productos!R:R,"Revisar"),"")</f>
        <v/>
      </c>
      <c r="Z55" s="179" t="str">
        <f t="array" ref="Z55">IF($F55&lt;&gt;"", XLOOKUP($F55,Productos!$A$2:$A1001,Productos!S$2:S1001,"")*$G55,"")</f>
        <v/>
      </c>
      <c r="AA55" s="179" t="str">
        <f t="array" ref="AA55">IF($F55&lt;&gt;"",XLOOKUP($F55,Productos!$A:$A,Productos!T:T,"Revisar"),"")</f>
        <v/>
      </c>
      <c r="AB55" s="179" t="str">
        <f t="array" ref="AB55">IF($F55&lt;&gt;"", XLOOKUP($F55,Productos!$A$2:$A1001,Productos!U$2:U1001,"")*$G55,"")</f>
        <v/>
      </c>
      <c r="AC55" s="179" t="str">
        <f t="array" ref="AC55">IF($F55&lt;&gt;"",XLOOKUP($F55,Productos!$A:$A,Productos!V:V,"Revisar"),"")</f>
        <v/>
      </c>
      <c r="AD55" s="179" t="str">
        <f t="array" ref="AD55">IF($F55&lt;&gt;"", XLOOKUP($F55,Productos!$A$2:$A1001,Productos!W$2:W1001,"")*$G55,"")</f>
        <v/>
      </c>
      <c r="AE55" s="179" t="str">
        <f t="array" ref="AE55">IF($F55&lt;&gt;"",XLOOKUP($F55,Productos!$A:$A,Productos!X:X,"Revisar"),"")</f>
        <v/>
      </c>
      <c r="AF55" s="179" t="str">
        <f t="array" ref="AF55">IF($F55&lt;&gt;"", XLOOKUP($F55,Productos!$A$2:$A1001,Productos!Y$2:Y1001,"")*$G55,"")</f>
        <v/>
      </c>
      <c r="AG55" s="179" t="str">
        <f t="array" ref="AG55">IF($F55&lt;&gt;"",XLOOKUP($F55,Productos!$A:$A,Productos!Z:Z,"Revisar"),"")</f>
        <v/>
      </c>
      <c r="AH55" s="179" t="str">
        <f t="array" ref="AH55">IF($F55&lt;&gt;"", XLOOKUP($F55,Productos!$A$2:$A1001,Productos!AA$2:AA1001,"")*$G55,"")</f>
        <v/>
      </c>
      <c r="AI55" s="179" t="str">
        <f t="array" ref="AI55">IF($F55&lt;&gt;"",XLOOKUP($F55,Productos!$A:$A,Productos!AB:AB,"Revisar"),"")</f>
        <v/>
      </c>
      <c r="AJ55" s="179" t="str">
        <f t="array" ref="AJ55">IF($F55&lt;&gt;"", XLOOKUP($F55,Productos!$A$2:$A1001,Productos!AC$2:AC1001,"")*$G55,"")</f>
        <v/>
      </c>
      <c r="AK55" s="179" t="str">
        <f t="array" ref="AK55">IF($F55&lt;&gt;"",XLOOKUP($F55,Productos!$A:$A,Productos!AD:AD,"Revisar"),"")</f>
        <v/>
      </c>
      <c r="AL55" s="179" t="str">
        <f t="array" ref="AL55">IF($F55&lt;&gt;"", XLOOKUP($F55,Productos!$A$2:$A1001,Productos!AE$2:AE1001,"")*$G55,"")</f>
        <v/>
      </c>
      <c r="AM55" s="179" t="str">
        <f t="array" ref="AM55">IF($F55&lt;&gt;"",XLOOKUP($F55,Productos!$A:$A,Productos!AF:AF,"Revisar"),"")</f>
        <v/>
      </c>
      <c r="AN55" s="179" t="str">
        <f t="array" ref="AN55">IF($F55&lt;&gt;"", XLOOKUP($F55,Productos!$A$2:$A1001,Productos!AG$2:AG1001,"")*$G55,"")</f>
        <v/>
      </c>
      <c r="AO55" s="179" t="str">
        <f t="array" ref="AO55">IF($F55&lt;&gt;"",XLOOKUP($F55,Productos!$A:$A,Productos!AH:AH,"Revisar"),"")</f>
        <v/>
      </c>
      <c r="AP55" s="179" t="str">
        <f t="array" ref="AP55">IF($F55&lt;&gt;"", XLOOKUP($F55,Productos!$A$2:$A1001,Productos!AI$2:AI1001,"")*$G55,"")</f>
        <v/>
      </c>
      <c r="AQ55" s="179" t="str">
        <f t="array" ref="AQ55">IF($F55&lt;&gt;"",XLOOKUP($F55,Productos!$A:$A,Productos!AJ:AJ,"Revisar"),"")</f>
        <v/>
      </c>
      <c r="AR55" s="179" t="str">
        <f t="array" ref="AR55">IF($F55&lt;&gt;"", XLOOKUP($F55,Productos!$A$2:$A1001,Productos!AK$2:AK1001,"")*$G55,"")</f>
        <v/>
      </c>
      <c r="AS55" s="179" t="str">
        <f t="array" ref="AS55">IF($F55&lt;&gt;"",XLOOKUP($F55,Productos!$A:$A,Productos!AL:AL,"Revisar"),"")</f>
        <v/>
      </c>
      <c r="AT55" s="179" t="str">
        <f t="array" ref="AT55">IF($F55&lt;&gt;"", XLOOKUP($F55,Productos!$A$2:$A1001,Productos!AM$2:AM1001,"")*$G55,"")</f>
        <v/>
      </c>
      <c r="AU55" s="179" t="str">
        <f t="array" ref="AU55">IF($F55&lt;&gt;"",XLOOKUP($F55,Productos!$A:$A,Productos!AN:AN,"Revisar"),"")</f>
        <v/>
      </c>
      <c r="AV55" s="179" t="str">
        <f t="array" ref="AV55">IF($F55&lt;&gt;"", XLOOKUP($F55,Productos!$A$2:$A1001,Productos!AO$2:AO1001,"")*$G55,"")</f>
        <v/>
      </c>
      <c r="AW55" s="179" t="str">
        <f t="array" ref="AW55">IF($F55&lt;&gt;"",XLOOKUP($F55,Productos!$A:$A,Productos!AP:AP,"Revisar"),"")</f>
        <v/>
      </c>
      <c r="AX55" s="179" t="str">
        <f t="array" ref="AX55">IF($F55&lt;&gt;"", XLOOKUP($F55,Productos!$A$2:$A1001,Productos!AQ$2:AQ1001,"")*$G55,"")</f>
        <v/>
      </c>
      <c r="AY55" s="179" t="str">
        <f t="array" ref="AY55">IF($F55&lt;&gt;"",XLOOKUP($F55,Productos!$A:$A,Productos!AR:AR,"Revisar"),"")</f>
        <v/>
      </c>
      <c r="AZ55" s="179" t="str">
        <f t="array" ref="AZ55">IF($F55&lt;&gt;"", XLOOKUP($F55,Productos!$A$2:$A1001,Productos!AS$2:AS1001,"")*$G55,"")</f>
        <v/>
      </c>
      <c r="BA55" s="179" t="str">
        <f t="array" ref="BA55">IF($F55&lt;&gt;"",XLOOKUP($F55,Productos!$A:$A,Productos!AT:AT,"Revisar"),"")</f>
        <v/>
      </c>
      <c r="BB55" s="179" t="str">
        <f t="array" ref="BB55">IF($F55&lt;&gt;"", XLOOKUP($F55,Productos!$A$2:$A1001,Productos!AU$2:AU1001,"")*$G55,"")</f>
        <v/>
      </c>
      <c r="BC55" s="179" t="str">
        <f t="array" ref="BC55">IF($F55&lt;&gt;"",XLOOKUP($F55,Productos!$A:$A,Productos!AV:AV,"Revisar"),"")</f>
        <v/>
      </c>
      <c r="BD55" s="179" t="str">
        <f t="array" ref="BD55">IF($F55&lt;&gt;"", XLOOKUP($F55,Productos!$A$2:$A1001,Productos!AW$2:AW1001,"")*$G55,"")</f>
        <v/>
      </c>
      <c r="BE55" s="179" t="str">
        <f t="array" ref="BE55">IF($F55&lt;&gt;"",XLOOKUP($F55,Productos!$A:$A,Productos!AX:AX,"Revisar"),"")</f>
        <v/>
      </c>
      <c r="BF55" s="179" t="str">
        <f t="array" ref="BF55">IF($F55&lt;&gt;"", XLOOKUP($F55,Productos!$A$2:$A1001,Productos!AY$2:AY1001,"")*$G55,"")</f>
        <v/>
      </c>
      <c r="BG55" s="179" t="str">
        <f t="array" ref="BG55">IF($F55&lt;&gt;"",XLOOKUP($F55,Productos!$A:$A,Productos!AZ:AZ,"Revisar"),"")</f>
        <v/>
      </c>
      <c r="BH55" s="179" t="str">
        <f t="array" ref="BH55">IF($F55&lt;&gt;"", XLOOKUP($F55,Productos!$A$2:$A1001,Productos!BA$2:BA1001,"")*$G55,"")</f>
        <v/>
      </c>
      <c r="BI55" s="179" t="str">
        <f t="array" ref="BI55">IF($F55&lt;&gt;"",XLOOKUP($F55,Productos!$A:$A,Productos!BB:BB,"Revisar"),"")</f>
        <v/>
      </c>
      <c r="BJ55" s="179" t="str">
        <f t="array" ref="BJ55">IF($F55&lt;&gt;"", XLOOKUP($F55,Productos!$A$2:$A1001,Productos!BC$2:BC1001,"")*$G55,"")</f>
        <v/>
      </c>
      <c r="BK55" s="179" t="str">
        <f t="array" ref="BK55">IF($F55&lt;&gt;"",XLOOKUP($F55,Productos!$A:$A,Productos!BD:BD,"Revisar"),"")</f>
        <v/>
      </c>
      <c r="BL55" s="179" t="str">
        <f t="array" ref="BL55">IF($F55&lt;&gt;"", XLOOKUP($F55,Productos!$A$2:$A1001,Productos!BE$2:BE1001,"")*$G55,"")</f>
        <v/>
      </c>
      <c r="BM55" s="179" t="str">
        <f t="array" ref="BM55">IF($F55&lt;&gt;"",XLOOKUP($F55,Productos!$A:$A,Productos!BF:BF,"Revisar"),"")</f>
        <v/>
      </c>
      <c r="BN55" s="179" t="str">
        <f t="array" ref="BN55">IF($F55&lt;&gt;"", XLOOKUP($F55,Productos!$A$2:$A1001,Productos!BG$2:BG1001,"")*$G55,"")</f>
        <v/>
      </c>
      <c r="BO55" s="179" t="str">
        <f t="array" ref="BO55">IF($F55&lt;&gt;"",XLOOKUP($F55,Productos!$A:$A,Productos!BH:BH,"Revisar"),"")</f>
        <v/>
      </c>
      <c r="BP55" s="179" t="str">
        <f t="array" ref="BP55">IF($F55&lt;&gt;"", XLOOKUP($F55,Productos!$A$2:$A1001,Productos!BI$2:BI1001,"")*$G55,"")</f>
        <v/>
      </c>
      <c r="BQ55" s="179" t="str">
        <f t="array" ref="BQ55">IF($F55&lt;&gt;"",XLOOKUP($F55,Productos!$A:$A,Productos!BJ:BJ,"Revisar"),"")</f>
        <v/>
      </c>
      <c r="BR55" s="179" t="str">
        <f t="array" ref="BR55">IF($F55&lt;&gt;"", XLOOKUP($F55,Productos!$A$2:$A1001,Productos!BK$2:BK1001,"")*$G55,"")</f>
        <v/>
      </c>
      <c r="BS55" s="179" t="str">
        <f t="array" ref="BS55">IF($F55&lt;&gt;"",XLOOKUP($F55,Productos!$A:$A,Productos!BL:BL,"Revisar"),"")</f>
        <v/>
      </c>
      <c r="BT55" s="179" t="str">
        <f t="array" ref="BT55">IF($F55&lt;&gt;"", XLOOKUP($F55,Productos!$A$2:$A1001,Productos!BM$2:BM1001,"")*$G55,"")</f>
        <v/>
      </c>
      <c r="BU55" s="179" t="str">
        <f t="array" ref="BU55">IF($F55&lt;&gt;"",XLOOKUP($F55,Productos!$A:$A,Productos!BN:BN,"Revisar"),"")</f>
        <v/>
      </c>
      <c r="BV55" s="179" t="str">
        <f t="array" ref="BV55">IF($F55&lt;&gt;"", XLOOKUP($F55,Productos!$A$2:$A1001,Productos!BO$2:BO1001,"")*$G55,"")</f>
        <v/>
      </c>
      <c r="BW55" s="179" t="str">
        <f t="array" ref="BW55">IF($F55&lt;&gt;"",XLOOKUP($F55,Productos!$A:$A,Productos!BP:BP,"Revisar"),"")</f>
        <v/>
      </c>
      <c r="BX55" s="179" t="str">
        <f t="array" ref="BX55">IF($F55&lt;&gt;"", XLOOKUP($F55,Productos!$A$2:$A1001,Productos!BQ$2:BQ1001,"")*$G55,"")</f>
        <v/>
      </c>
      <c r="BY55" s="179" t="str">
        <f t="array" ref="BY55">IF($F55&lt;&gt;"",XLOOKUP($F55,Productos!$A:$A,Productos!BR:BR,"Revisar"),"")</f>
        <v/>
      </c>
      <c r="BZ55" s="179" t="str">
        <f t="array" ref="BZ55">IF($F55&lt;&gt;"", XLOOKUP($F55,Productos!$A$2:$A1001,Productos!BS$2:BS1001,"")*$G55,"")</f>
        <v/>
      </c>
    </row>
    <row r="56">
      <c r="A56" s="180"/>
      <c r="B56" s="181"/>
      <c r="C56" s="182"/>
      <c r="D56" s="182"/>
      <c r="E56" s="185"/>
      <c r="F56" s="186"/>
      <c r="G56" s="187"/>
      <c r="H56" s="186"/>
      <c r="I56" s="179" t="str">
        <f t="array" ref="I56">IF($F56&lt;&gt;"",XLOOKUP($F56,Productos!$A:$A,Productos!B:B,"Revisar"),"")</f>
        <v/>
      </c>
      <c r="J56" s="179" t="str">
        <f t="array" ref="J56">IF($F56&lt;&gt;"", XLOOKUP($F56,Productos!$A$2:$A1001,Productos!C$2:C1001,"")*$G56,"")</f>
        <v/>
      </c>
      <c r="K56" s="179" t="str">
        <f t="array" ref="K56">IF($F56&lt;&gt;"",XLOOKUP($F56,Productos!$A:$A,Productos!D:D,"Revisar"),"")</f>
        <v/>
      </c>
      <c r="L56" s="179" t="str">
        <f t="array" ref="L56">IF($F56&lt;&gt;"", XLOOKUP($F56,Productos!$A$2:$A1001,Productos!E$2:E1001,"")*$G56,"")</f>
        <v/>
      </c>
      <c r="M56" s="179" t="str">
        <f t="array" ref="M56">IF($F56&lt;&gt;"",XLOOKUP($F56,Productos!$A:$A,Productos!F:F,"Revisar"),"")</f>
        <v/>
      </c>
      <c r="N56" s="179" t="str">
        <f t="array" ref="N56">IF($F56&lt;&gt;"", XLOOKUP($F56,Productos!$A$2:$A1001,Productos!G$2:G1001,"")*$G56,"")</f>
        <v/>
      </c>
      <c r="O56" s="179" t="str">
        <f t="array" ref="O56">IF($F56&lt;&gt;"",XLOOKUP($F56,Productos!$A:$A,Productos!H:H,"Revisar"),"")</f>
        <v/>
      </c>
      <c r="P56" s="179" t="str">
        <f t="array" ref="P56">IF($F56&lt;&gt;"", XLOOKUP($F56,Productos!$A$2:$A1001,Productos!I$2:I1001,"")*$G56,"")</f>
        <v/>
      </c>
      <c r="Q56" s="179" t="str">
        <f t="array" ref="Q56">IF($F56&lt;&gt;"",XLOOKUP($F56,Productos!$A:$A,Productos!J:J,"Revisar"),"")</f>
        <v/>
      </c>
      <c r="R56" s="179" t="str">
        <f t="array" ref="R56">IF($F56&lt;&gt;"", XLOOKUP($F56,Productos!$A$2:$A1001,Productos!K$2:K1001,"")*$G56,"")</f>
        <v/>
      </c>
      <c r="S56" s="179" t="str">
        <f t="array" ref="S56">IF($F56&lt;&gt;"",XLOOKUP($F56,Productos!$A:$A,Productos!L:L,"Revisar"),"")</f>
        <v/>
      </c>
      <c r="T56" s="179" t="str">
        <f t="array" ref="T56">IF($F56&lt;&gt;"", XLOOKUP($F56,Productos!$A$2:$A1001,Productos!M$2:M1001,"")*$G56,"")</f>
        <v/>
      </c>
      <c r="U56" s="179" t="str">
        <f t="array" ref="U56">IF($F56&lt;&gt;"",XLOOKUP($F56,Productos!$A:$A,Productos!N:N,"Revisar"),"")</f>
        <v/>
      </c>
      <c r="V56" s="179" t="str">
        <f t="array" ref="V56">IF($F56&lt;&gt;"", XLOOKUP($F56,Productos!$A$2:$A1001,Productos!O$2:O1001,"")*$G56,"")</f>
        <v/>
      </c>
      <c r="W56" s="179" t="str">
        <f t="array" ref="W56">IF($F56&lt;&gt;"",XLOOKUP($F56,Productos!$A:$A,Productos!P:P,"Revisar"),"")</f>
        <v/>
      </c>
      <c r="X56" s="179" t="str">
        <f t="array" ref="X56">IF($F56&lt;&gt;"", XLOOKUP($F56,Productos!$A$2:$A1001,Productos!Q$2:Q1001,"")*$G56,"")</f>
        <v/>
      </c>
      <c r="Y56" s="179" t="str">
        <f t="array" ref="Y56">IF($F56&lt;&gt;"",XLOOKUP($F56,Productos!$A:$A,Productos!R:R,"Revisar"),"")</f>
        <v/>
      </c>
      <c r="Z56" s="179" t="str">
        <f t="array" ref="Z56">IF($F56&lt;&gt;"", XLOOKUP($F56,Productos!$A$2:$A1001,Productos!S$2:S1001,"")*$G56,"")</f>
        <v/>
      </c>
      <c r="AA56" s="179" t="str">
        <f t="array" ref="AA56">IF($F56&lt;&gt;"",XLOOKUP($F56,Productos!$A:$A,Productos!T:T,"Revisar"),"")</f>
        <v/>
      </c>
      <c r="AB56" s="179" t="str">
        <f t="array" ref="AB56">IF($F56&lt;&gt;"", XLOOKUP($F56,Productos!$A$2:$A1001,Productos!U$2:U1001,"")*$G56,"")</f>
        <v/>
      </c>
      <c r="AC56" s="179" t="str">
        <f t="array" ref="AC56">IF($F56&lt;&gt;"",XLOOKUP($F56,Productos!$A:$A,Productos!V:V,"Revisar"),"")</f>
        <v/>
      </c>
      <c r="AD56" s="179" t="str">
        <f t="array" ref="AD56">IF($F56&lt;&gt;"", XLOOKUP($F56,Productos!$A$2:$A1001,Productos!W$2:W1001,"")*$G56,"")</f>
        <v/>
      </c>
      <c r="AE56" s="179" t="str">
        <f t="array" ref="AE56">IF($F56&lt;&gt;"",XLOOKUP($F56,Productos!$A:$A,Productos!X:X,"Revisar"),"")</f>
        <v/>
      </c>
      <c r="AF56" s="179" t="str">
        <f t="array" ref="AF56">IF($F56&lt;&gt;"", XLOOKUP($F56,Productos!$A$2:$A1001,Productos!Y$2:Y1001,"")*$G56,"")</f>
        <v/>
      </c>
      <c r="AG56" s="179" t="str">
        <f t="array" ref="AG56">IF($F56&lt;&gt;"",XLOOKUP($F56,Productos!$A:$A,Productos!Z:Z,"Revisar"),"")</f>
        <v/>
      </c>
      <c r="AH56" s="179" t="str">
        <f t="array" ref="AH56">IF($F56&lt;&gt;"", XLOOKUP($F56,Productos!$A$2:$A1001,Productos!AA$2:AA1001,"")*$G56,"")</f>
        <v/>
      </c>
      <c r="AI56" s="179" t="str">
        <f t="array" ref="AI56">IF($F56&lt;&gt;"",XLOOKUP($F56,Productos!$A:$A,Productos!AB:AB,"Revisar"),"")</f>
        <v/>
      </c>
      <c r="AJ56" s="179" t="str">
        <f t="array" ref="AJ56">IF($F56&lt;&gt;"", XLOOKUP($F56,Productos!$A$2:$A1001,Productos!AC$2:AC1001,"")*$G56,"")</f>
        <v/>
      </c>
      <c r="AK56" s="179" t="str">
        <f t="array" ref="AK56">IF($F56&lt;&gt;"",XLOOKUP($F56,Productos!$A:$A,Productos!AD:AD,"Revisar"),"")</f>
        <v/>
      </c>
      <c r="AL56" s="179" t="str">
        <f t="array" ref="AL56">IF($F56&lt;&gt;"", XLOOKUP($F56,Productos!$A$2:$A1001,Productos!AE$2:AE1001,"")*$G56,"")</f>
        <v/>
      </c>
      <c r="AM56" s="179" t="str">
        <f t="array" ref="AM56">IF($F56&lt;&gt;"",XLOOKUP($F56,Productos!$A:$A,Productos!AF:AF,"Revisar"),"")</f>
        <v/>
      </c>
      <c r="AN56" s="179" t="str">
        <f t="array" ref="AN56">IF($F56&lt;&gt;"", XLOOKUP($F56,Productos!$A$2:$A1001,Productos!AG$2:AG1001,"")*$G56,"")</f>
        <v/>
      </c>
      <c r="AO56" s="179" t="str">
        <f t="array" ref="AO56">IF($F56&lt;&gt;"",XLOOKUP($F56,Productos!$A:$A,Productos!AH:AH,"Revisar"),"")</f>
        <v/>
      </c>
      <c r="AP56" s="179" t="str">
        <f t="array" ref="AP56">IF($F56&lt;&gt;"", XLOOKUP($F56,Productos!$A$2:$A1001,Productos!AI$2:AI1001,"")*$G56,"")</f>
        <v/>
      </c>
      <c r="AQ56" s="179" t="str">
        <f t="array" ref="AQ56">IF($F56&lt;&gt;"",XLOOKUP($F56,Productos!$A:$A,Productos!AJ:AJ,"Revisar"),"")</f>
        <v/>
      </c>
      <c r="AR56" s="179" t="str">
        <f t="array" ref="AR56">IF($F56&lt;&gt;"", XLOOKUP($F56,Productos!$A$2:$A1001,Productos!AK$2:AK1001,"")*$G56,"")</f>
        <v/>
      </c>
      <c r="AS56" s="179" t="str">
        <f t="array" ref="AS56">IF($F56&lt;&gt;"",XLOOKUP($F56,Productos!$A:$A,Productos!AL:AL,"Revisar"),"")</f>
        <v/>
      </c>
      <c r="AT56" s="179" t="str">
        <f t="array" ref="AT56">IF($F56&lt;&gt;"", XLOOKUP($F56,Productos!$A$2:$A1001,Productos!AM$2:AM1001,"")*$G56,"")</f>
        <v/>
      </c>
      <c r="AU56" s="179" t="str">
        <f t="array" ref="AU56">IF($F56&lt;&gt;"",XLOOKUP($F56,Productos!$A:$A,Productos!AN:AN,"Revisar"),"")</f>
        <v/>
      </c>
      <c r="AV56" s="179" t="str">
        <f t="array" ref="AV56">IF($F56&lt;&gt;"", XLOOKUP($F56,Productos!$A$2:$A1001,Productos!AO$2:AO1001,"")*$G56,"")</f>
        <v/>
      </c>
      <c r="AW56" s="179" t="str">
        <f t="array" ref="AW56">IF($F56&lt;&gt;"",XLOOKUP($F56,Productos!$A:$A,Productos!AP:AP,"Revisar"),"")</f>
        <v/>
      </c>
      <c r="AX56" s="179" t="str">
        <f t="array" ref="AX56">IF($F56&lt;&gt;"", XLOOKUP($F56,Productos!$A$2:$A1001,Productos!AQ$2:AQ1001,"")*$G56,"")</f>
        <v/>
      </c>
      <c r="AY56" s="179" t="str">
        <f t="array" ref="AY56">IF($F56&lt;&gt;"",XLOOKUP($F56,Productos!$A:$A,Productos!AR:AR,"Revisar"),"")</f>
        <v/>
      </c>
      <c r="AZ56" s="179" t="str">
        <f t="array" ref="AZ56">IF($F56&lt;&gt;"", XLOOKUP($F56,Productos!$A$2:$A1001,Productos!AS$2:AS1001,"")*$G56,"")</f>
        <v/>
      </c>
      <c r="BA56" s="179" t="str">
        <f t="array" ref="BA56">IF($F56&lt;&gt;"",XLOOKUP($F56,Productos!$A:$A,Productos!AT:AT,"Revisar"),"")</f>
        <v/>
      </c>
      <c r="BB56" s="179" t="str">
        <f t="array" ref="BB56">IF($F56&lt;&gt;"", XLOOKUP($F56,Productos!$A$2:$A1001,Productos!AU$2:AU1001,"")*$G56,"")</f>
        <v/>
      </c>
      <c r="BC56" s="179" t="str">
        <f t="array" ref="BC56">IF($F56&lt;&gt;"",XLOOKUP($F56,Productos!$A:$A,Productos!AV:AV,"Revisar"),"")</f>
        <v/>
      </c>
      <c r="BD56" s="179" t="str">
        <f t="array" ref="BD56">IF($F56&lt;&gt;"", XLOOKUP($F56,Productos!$A$2:$A1001,Productos!AW$2:AW1001,"")*$G56,"")</f>
        <v/>
      </c>
      <c r="BE56" s="179" t="str">
        <f t="array" ref="BE56">IF($F56&lt;&gt;"",XLOOKUP($F56,Productos!$A:$A,Productos!AX:AX,"Revisar"),"")</f>
        <v/>
      </c>
      <c r="BF56" s="179" t="str">
        <f t="array" ref="BF56">IF($F56&lt;&gt;"", XLOOKUP($F56,Productos!$A$2:$A1001,Productos!AY$2:AY1001,"")*$G56,"")</f>
        <v/>
      </c>
      <c r="BG56" s="179" t="str">
        <f t="array" ref="BG56">IF($F56&lt;&gt;"",XLOOKUP($F56,Productos!$A:$A,Productos!AZ:AZ,"Revisar"),"")</f>
        <v/>
      </c>
      <c r="BH56" s="179" t="str">
        <f t="array" ref="BH56">IF($F56&lt;&gt;"", XLOOKUP($F56,Productos!$A$2:$A1001,Productos!BA$2:BA1001,"")*$G56,"")</f>
        <v/>
      </c>
      <c r="BI56" s="179" t="str">
        <f t="array" ref="BI56">IF($F56&lt;&gt;"",XLOOKUP($F56,Productos!$A:$A,Productos!BB:BB,"Revisar"),"")</f>
        <v/>
      </c>
      <c r="BJ56" s="179" t="str">
        <f t="array" ref="BJ56">IF($F56&lt;&gt;"", XLOOKUP($F56,Productos!$A$2:$A1001,Productos!BC$2:BC1001,"")*$G56,"")</f>
        <v/>
      </c>
      <c r="BK56" s="179" t="str">
        <f t="array" ref="BK56">IF($F56&lt;&gt;"",XLOOKUP($F56,Productos!$A:$A,Productos!BD:BD,"Revisar"),"")</f>
        <v/>
      </c>
      <c r="BL56" s="179" t="str">
        <f t="array" ref="BL56">IF($F56&lt;&gt;"", XLOOKUP($F56,Productos!$A$2:$A1001,Productos!BE$2:BE1001,"")*$G56,"")</f>
        <v/>
      </c>
      <c r="BM56" s="179" t="str">
        <f t="array" ref="BM56">IF($F56&lt;&gt;"",XLOOKUP($F56,Productos!$A:$A,Productos!BF:BF,"Revisar"),"")</f>
        <v/>
      </c>
      <c r="BN56" s="179" t="str">
        <f t="array" ref="BN56">IF($F56&lt;&gt;"", XLOOKUP($F56,Productos!$A$2:$A1001,Productos!BG$2:BG1001,"")*$G56,"")</f>
        <v/>
      </c>
      <c r="BO56" s="179" t="str">
        <f t="array" ref="BO56">IF($F56&lt;&gt;"",XLOOKUP($F56,Productos!$A:$A,Productos!BH:BH,"Revisar"),"")</f>
        <v/>
      </c>
      <c r="BP56" s="179" t="str">
        <f t="array" ref="BP56">IF($F56&lt;&gt;"", XLOOKUP($F56,Productos!$A$2:$A1001,Productos!BI$2:BI1001,"")*$G56,"")</f>
        <v/>
      </c>
      <c r="BQ56" s="179" t="str">
        <f t="array" ref="BQ56">IF($F56&lt;&gt;"",XLOOKUP($F56,Productos!$A:$A,Productos!BJ:BJ,"Revisar"),"")</f>
        <v/>
      </c>
      <c r="BR56" s="179" t="str">
        <f t="array" ref="BR56">IF($F56&lt;&gt;"", XLOOKUP($F56,Productos!$A$2:$A1001,Productos!BK$2:BK1001,"")*$G56,"")</f>
        <v/>
      </c>
      <c r="BS56" s="179" t="str">
        <f t="array" ref="BS56">IF($F56&lt;&gt;"",XLOOKUP($F56,Productos!$A:$A,Productos!BL:BL,"Revisar"),"")</f>
        <v/>
      </c>
      <c r="BT56" s="179" t="str">
        <f t="array" ref="BT56">IF($F56&lt;&gt;"", XLOOKUP($F56,Productos!$A$2:$A1001,Productos!BM$2:BM1001,"")*$G56,"")</f>
        <v/>
      </c>
      <c r="BU56" s="179" t="str">
        <f t="array" ref="BU56">IF($F56&lt;&gt;"",XLOOKUP($F56,Productos!$A:$A,Productos!BN:BN,"Revisar"),"")</f>
        <v/>
      </c>
      <c r="BV56" s="179" t="str">
        <f t="array" ref="BV56">IF($F56&lt;&gt;"", XLOOKUP($F56,Productos!$A$2:$A1001,Productos!BO$2:BO1001,"")*$G56,"")</f>
        <v/>
      </c>
      <c r="BW56" s="179" t="str">
        <f t="array" ref="BW56">IF($F56&lt;&gt;"",XLOOKUP($F56,Productos!$A:$A,Productos!BP:BP,"Revisar"),"")</f>
        <v/>
      </c>
      <c r="BX56" s="179" t="str">
        <f t="array" ref="BX56">IF($F56&lt;&gt;"", XLOOKUP($F56,Productos!$A$2:$A1001,Productos!BQ$2:BQ1001,"")*$G56,"")</f>
        <v/>
      </c>
      <c r="BY56" s="179" t="str">
        <f t="array" ref="BY56">IF($F56&lt;&gt;"",XLOOKUP($F56,Productos!$A:$A,Productos!BR:BR,"Revisar"),"")</f>
        <v/>
      </c>
      <c r="BZ56" s="179" t="str">
        <f t="array" ref="BZ56">IF($F56&lt;&gt;"", XLOOKUP($F56,Productos!$A$2:$A1001,Productos!BS$2:BS1001,"")*$G56,"")</f>
        <v/>
      </c>
    </row>
    <row r="57">
      <c r="A57" s="180"/>
      <c r="B57" s="181"/>
      <c r="C57" s="182"/>
      <c r="D57" s="182"/>
      <c r="E57" s="185"/>
      <c r="F57" s="186"/>
      <c r="G57" s="187"/>
      <c r="H57" s="186"/>
      <c r="I57" s="179" t="str">
        <f t="array" ref="I57">IF($F57&lt;&gt;"",XLOOKUP($F57,Productos!$A:$A,Productos!B:B,"Revisar"),"")</f>
        <v/>
      </c>
      <c r="J57" s="179" t="str">
        <f t="array" ref="J57">IF($F57&lt;&gt;"", XLOOKUP($F57,Productos!$A$2:$A1001,Productos!C$2:C1001,"")*$G57,"")</f>
        <v/>
      </c>
      <c r="K57" s="179" t="str">
        <f t="array" ref="K57">IF($F57&lt;&gt;"",XLOOKUP($F57,Productos!$A:$A,Productos!D:D,"Revisar"),"")</f>
        <v/>
      </c>
      <c r="L57" s="179" t="str">
        <f t="array" ref="L57">IF($F57&lt;&gt;"", XLOOKUP($F57,Productos!$A$2:$A1001,Productos!E$2:E1001,"")*$G57,"")</f>
        <v/>
      </c>
      <c r="M57" s="179" t="str">
        <f t="array" ref="M57">IF($F57&lt;&gt;"",XLOOKUP($F57,Productos!$A:$A,Productos!F:F,"Revisar"),"")</f>
        <v/>
      </c>
      <c r="N57" s="179" t="str">
        <f t="array" ref="N57">IF($F57&lt;&gt;"", XLOOKUP($F57,Productos!$A$2:$A1001,Productos!G$2:G1001,"")*$G57,"")</f>
        <v/>
      </c>
      <c r="O57" s="179" t="str">
        <f t="array" ref="O57">IF($F57&lt;&gt;"",XLOOKUP($F57,Productos!$A:$A,Productos!H:H,"Revisar"),"")</f>
        <v/>
      </c>
      <c r="P57" s="179" t="str">
        <f t="array" ref="P57">IF($F57&lt;&gt;"", XLOOKUP($F57,Productos!$A$2:$A1001,Productos!I$2:I1001,"")*$G57,"")</f>
        <v/>
      </c>
      <c r="Q57" s="179" t="str">
        <f t="array" ref="Q57">IF($F57&lt;&gt;"",XLOOKUP($F57,Productos!$A:$A,Productos!J:J,"Revisar"),"")</f>
        <v/>
      </c>
      <c r="R57" s="179" t="str">
        <f t="array" ref="R57">IF($F57&lt;&gt;"", XLOOKUP($F57,Productos!$A$2:$A1001,Productos!K$2:K1001,"")*$G57,"")</f>
        <v/>
      </c>
      <c r="S57" s="179" t="str">
        <f t="array" ref="S57">IF($F57&lt;&gt;"",XLOOKUP($F57,Productos!$A:$A,Productos!L:L,"Revisar"),"")</f>
        <v/>
      </c>
      <c r="T57" s="179" t="str">
        <f t="array" ref="T57">IF($F57&lt;&gt;"", XLOOKUP($F57,Productos!$A$2:$A1001,Productos!M$2:M1001,"")*$G57,"")</f>
        <v/>
      </c>
      <c r="U57" s="179" t="str">
        <f t="array" ref="U57">IF($F57&lt;&gt;"",XLOOKUP($F57,Productos!$A:$A,Productos!N:N,"Revisar"),"")</f>
        <v/>
      </c>
      <c r="V57" s="179" t="str">
        <f t="array" ref="V57">IF($F57&lt;&gt;"", XLOOKUP($F57,Productos!$A$2:$A1001,Productos!O$2:O1001,"")*$G57,"")</f>
        <v/>
      </c>
      <c r="W57" s="179" t="str">
        <f t="array" ref="W57">IF($F57&lt;&gt;"",XLOOKUP($F57,Productos!$A:$A,Productos!P:P,"Revisar"),"")</f>
        <v/>
      </c>
      <c r="X57" s="179" t="str">
        <f t="array" ref="X57">IF($F57&lt;&gt;"", XLOOKUP($F57,Productos!$A$2:$A1001,Productos!Q$2:Q1001,"")*$G57,"")</f>
        <v/>
      </c>
      <c r="Y57" s="179" t="str">
        <f t="array" ref="Y57">IF($F57&lt;&gt;"",XLOOKUP($F57,Productos!$A:$A,Productos!R:R,"Revisar"),"")</f>
        <v/>
      </c>
      <c r="Z57" s="179" t="str">
        <f t="array" ref="Z57">IF($F57&lt;&gt;"", XLOOKUP($F57,Productos!$A$2:$A1001,Productos!S$2:S1001,"")*$G57,"")</f>
        <v/>
      </c>
      <c r="AA57" s="179" t="str">
        <f t="array" ref="AA57">IF($F57&lt;&gt;"",XLOOKUP($F57,Productos!$A:$A,Productos!T:T,"Revisar"),"")</f>
        <v/>
      </c>
      <c r="AB57" s="179" t="str">
        <f t="array" ref="AB57">IF($F57&lt;&gt;"", XLOOKUP($F57,Productos!$A$2:$A1001,Productos!U$2:U1001,"")*$G57,"")</f>
        <v/>
      </c>
      <c r="AC57" s="179" t="str">
        <f t="array" ref="AC57">IF($F57&lt;&gt;"",XLOOKUP($F57,Productos!$A:$A,Productos!V:V,"Revisar"),"")</f>
        <v/>
      </c>
      <c r="AD57" s="179" t="str">
        <f t="array" ref="AD57">IF($F57&lt;&gt;"", XLOOKUP($F57,Productos!$A$2:$A1001,Productos!W$2:W1001,"")*$G57,"")</f>
        <v/>
      </c>
      <c r="AE57" s="179" t="str">
        <f t="array" ref="AE57">IF($F57&lt;&gt;"",XLOOKUP($F57,Productos!$A:$A,Productos!X:X,"Revisar"),"")</f>
        <v/>
      </c>
      <c r="AF57" s="179" t="str">
        <f t="array" ref="AF57">IF($F57&lt;&gt;"", XLOOKUP($F57,Productos!$A$2:$A1001,Productos!Y$2:Y1001,"")*$G57,"")</f>
        <v/>
      </c>
      <c r="AG57" s="179" t="str">
        <f t="array" ref="AG57">IF($F57&lt;&gt;"",XLOOKUP($F57,Productos!$A:$A,Productos!Z:Z,"Revisar"),"")</f>
        <v/>
      </c>
      <c r="AH57" s="179" t="str">
        <f t="array" ref="AH57">IF($F57&lt;&gt;"", XLOOKUP($F57,Productos!$A$2:$A1001,Productos!AA$2:AA1001,"")*$G57,"")</f>
        <v/>
      </c>
      <c r="AI57" s="179" t="str">
        <f t="array" ref="AI57">IF($F57&lt;&gt;"",XLOOKUP($F57,Productos!$A:$A,Productos!AB:AB,"Revisar"),"")</f>
        <v/>
      </c>
      <c r="AJ57" s="179" t="str">
        <f t="array" ref="AJ57">IF($F57&lt;&gt;"", XLOOKUP($F57,Productos!$A$2:$A1001,Productos!AC$2:AC1001,"")*$G57,"")</f>
        <v/>
      </c>
      <c r="AK57" s="179" t="str">
        <f t="array" ref="AK57">IF($F57&lt;&gt;"",XLOOKUP($F57,Productos!$A:$A,Productos!AD:AD,"Revisar"),"")</f>
        <v/>
      </c>
      <c r="AL57" s="179" t="str">
        <f t="array" ref="AL57">IF($F57&lt;&gt;"", XLOOKUP($F57,Productos!$A$2:$A1001,Productos!AE$2:AE1001,"")*$G57,"")</f>
        <v/>
      </c>
      <c r="AM57" s="179" t="str">
        <f t="array" ref="AM57">IF($F57&lt;&gt;"",XLOOKUP($F57,Productos!$A:$A,Productos!AF:AF,"Revisar"),"")</f>
        <v/>
      </c>
      <c r="AN57" s="179" t="str">
        <f t="array" ref="AN57">IF($F57&lt;&gt;"", XLOOKUP($F57,Productos!$A$2:$A1001,Productos!AG$2:AG1001,"")*$G57,"")</f>
        <v/>
      </c>
      <c r="AO57" s="179" t="str">
        <f t="array" ref="AO57">IF($F57&lt;&gt;"",XLOOKUP($F57,Productos!$A:$A,Productos!AH:AH,"Revisar"),"")</f>
        <v/>
      </c>
      <c r="AP57" s="179" t="str">
        <f t="array" ref="AP57">IF($F57&lt;&gt;"", XLOOKUP($F57,Productos!$A$2:$A1001,Productos!AI$2:AI1001,"")*$G57,"")</f>
        <v/>
      </c>
      <c r="AQ57" s="179" t="str">
        <f t="array" ref="AQ57">IF($F57&lt;&gt;"",XLOOKUP($F57,Productos!$A:$A,Productos!AJ:AJ,"Revisar"),"")</f>
        <v/>
      </c>
      <c r="AR57" s="179" t="str">
        <f t="array" ref="AR57">IF($F57&lt;&gt;"", XLOOKUP($F57,Productos!$A$2:$A1001,Productos!AK$2:AK1001,"")*$G57,"")</f>
        <v/>
      </c>
      <c r="AS57" s="179" t="str">
        <f t="array" ref="AS57">IF($F57&lt;&gt;"",XLOOKUP($F57,Productos!$A:$A,Productos!AL:AL,"Revisar"),"")</f>
        <v/>
      </c>
      <c r="AT57" s="179" t="str">
        <f t="array" ref="AT57">IF($F57&lt;&gt;"", XLOOKUP($F57,Productos!$A$2:$A1001,Productos!AM$2:AM1001,"")*$G57,"")</f>
        <v/>
      </c>
      <c r="AU57" s="179" t="str">
        <f t="array" ref="AU57">IF($F57&lt;&gt;"",XLOOKUP($F57,Productos!$A:$A,Productos!AN:AN,"Revisar"),"")</f>
        <v/>
      </c>
      <c r="AV57" s="179" t="str">
        <f t="array" ref="AV57">IF($F57&lt;&gt;"", XLOOKUP($F57,Productos!$A$2:$A1001,Productos!AO$2:AO1001,"")*$G57,"")</f>
        <v/>
      </c>
      <c r="AW57" s="179" t="str">
        <f t="array" ref="AW57">IF($F57&lt;&gt;"",XLOOKUP($F57,Productos!$A:$A,Productos!AP:AP,"Revisar"),"")</f>
        <v/>
      </c>
      <c r="AX57" s="179" t="str">
        <f t="array" ref="AX57">IF($F57&lt;&gt;"", XLOOKUP($F57,Productos!$A$2:$A1001,Productos!AQ$2:AQ1001,"")*$G57,"")</f>
        <v/>
      </c>
      <c r="AY57" s="179" t="str">
        <f t="array" ref="AY57">IF($F57&lt;&gt;"",XLOOKUP($F57,Productos!$A:$A,Productos!AR:AR,"Revisar"),"")</f>
        <v/>
      </c>
      <c r="AZ57" s="179" t="str">
        <f t="array" ref="AZ57">IF($F57&lt;&gt;"", XLOOKUP($F57,Productos!$A$2:$A1001,Productos!AS$2:AS1001,"")*$G57,"")</f>
        <v/>
      </c>
      <c r="BA57" s="179" t="str">
        <f t="array" ref="BA57">IF($F57&lt;&gt;"",XLOOKUP($F57,Productos!$A:$A,Productos!AT:AT,"Revisar"),"")</f>
        <v/>
      </c>
      <c r="BB57" s="179" t="str">
        <f t="array" ref="BB57">IF($F57&lt;&gt;"", XLOOKUP($F57,Productos!$A$2:$A1001,Productos!AU$2:AU1001,"")*$G57,"")</f>
        <v/>
      </c>
      <c r="BC57" s="179" t="str">
        <f t="array" ref="BC57">IF($F57&lt;&gt;"",XLOOKUP($F57,Productos!$A:$A,Productos!AV:AV,"Revisar"),"")</f>
        <v/>
      </c>
      <c r="BD57" s="179" t="str">
        <f t="array" ref="BD57">IF($F57&lt;&gt;"", XLOOKUP($F57,Productos!$A$2:$A1001,Productos!AW$2:AW1001,"")*$G57,"")</f>
        <v/>
      </c>
      <c r="BE57" s="179" t="str">
        <f t="array" ref="BE57">IF($F57&lt;&gt;"",XLOOKUP($F57,Productos!$A:$A,Productos!AX:AX,"Revisar"),"")</f>
        <v/>
      </c>
      <c r="BF57" s="179" t="str">
        <f t="array" ref="BF57">IF($F57&lt;&gt;"", XLOOKUP($F57,Productos!$A$2:$A1001,Productos!AY$2:AY1001,"")*$G57,"")</f>
        <v/>
      </c>
      <c r="BG57" s="179" t="str">
        <f t="array" ref="BG57">IF($F57&lt;&gt;"",XLOOKUP($F57,Productos!$A:$A,Productos!AZ:AZ,"Revisar"),"")</f>
        <v/>
      </c>
      <c r="BH57" s="179" t="str">
        <f t="array" ref="BH57">IF($F57&lt;&gt;"", XLOOKUP($F57,Productos!$A$2:$A1001,Productos!BA$2:BA1001,"")*$G57,"")</f>
        <v/>
      </c>
      <c r="BI57" s="179" t="str">
        <f t="array" ref="BI57">IF($F57&lt;&gt;"",XLOOKUP($F57,Productos!$A:$A,Productos!BB:BB,"Revisar"),"")</f>
        <v/>
      </c>
      <c r="BJ57" s="179" t="str">
        <f t="array" ref="BJ57">IF($F57&lt;&gt;"", XLOOKUP($F57,Productos!$A$2:$A1001,Productos!BC$2:BC1001,"")*$G57,"")</f>
        <v/>
      </c>
      <c r="BK57" s="179" t="str">
        <f t="array" ref="BK57">IF($F57&lt;&gt;"",XLOOKUP($F57,Productos!$A:$A,Productos!BD:BD,"Revisar"),"")</f>
        <v/>
      </c>
      <c r="BL57" s="179" t="str">
        <f t="array" ref="BL57">IF($F57&lt;&gt;"", XLOOKUP($F57,Productos!$A$2:$A1001,Productos!BE$2:BE1001,"")*$G57,"")</f>
        <v/>
      </c>
      <c r="BM57" s="179" t="str">
        <f t="array" ref="BM57">IF($F57&lt;&gt;"",XLOOKUP($F57,Productos!$A:$A,Productos!BF:BF,"Revisar"),"")</f>
        <v/>
      </c>
      <c r="BN57" s="179" t="str">
        <f t="array" ref="BN57">IF($F57&lt;&gt;"", XLOOKUP($F57,Productos!$A$2:$A1001,Productos!BG$2:BG1001,"")*$G57,"")</f>
        <v/>
      </c>
      <c r="BO57" s="179" t="str">
        <f t="array" ref="BO57">IF($F57&lt;&gt;"",XLOOKUP($F57,Productos!$A:$A,Productos!BH:BH,"Revisar"),"")</f>
        <v/>
      </c>
      <c r="BP57" s="179" t="str">
        <f t="array" ref="BP57">IF($F57&lt;&gt;"", XLOOKUP($F57,Productos!$A$2:$A1001,Productos!BI$2:BI1001,"")*$G57,"")</f>
        <v/>
      </c>
      <c r="BQ57" s="179" t="str">
        <f t="array" ref="BQ57">IF($F57&lt;&gt;"",XLOOKUP($F57,Productos!$A:$A,Productos!BJ:BJ,"Revisar"),"")</f>
        <v/>
      </c>
      <c r="BR57" s="179" t="str">
        <f t="array" ref="BR57">IF($F57&lt;&gt;"", XLOOKUP($F57,Productos!$A$2:$A1001,Productos!BK$2:BK1001,"")*$G57,"")</f>
        <v/>
      </c>
      <c r="BS57" s="179" t="str">
        <f t="array" ref="BS57">IF($F57&lt;&gt;"",XLOOKUP($F57,Productos!$A:$A,Productos!BL:BL,"Revisar"),"")</f>
        <v/>
      </c>
      <c r="BT57" s="179" t="str">
        <f t="array" ref="BT57">IF($F57&lt;&gt;"", XLOOKUP($F57,Productos!$A$2:$A1001,Productos!BM$2:BM1001,"")*$G57,"")</f>
        <v/>
      </c>
      <c r="BU57" s="179" t="str">
        <f t="array" ref="BU57">IF($F57&lt;&gt;"",XLOOKUP($F57,Productos!$A:$A,Productos!BN:BN,"Revisar"),"")</f>
        <v/>
      </c>
      <c r="BV57" s="179" t="str">
        <f t="array" ref="BV57">IF($F57&lt;&gt;"", XLOOKUP($F57,Productos!$A$2:$A1001,Productos!BO$2:BO1001,"")*$G57,"")</f>
        <v/>
      </c>
      <c r="BW57" s="179" t="str">
        <f t="array" ref="BW57">IF($F57&lt;&gt;"",XLOOKUP($F57,Productos!$A:$A,Productos!BP:BP,"Revisar"),"")</f>
        <v/>
      </c>
      <c r="BX57" s="179" t="str">
        <f t="array" ref="BX57">IF($F57&lt;&gt;"", XLOOKUP($F57,Productos!$A$2:$A1001,Productos!BQ$2:BQ1001,"")*$G57,"")</f>
        <v/>
      </c>
      <c r="BY57" s="179" t="str">
        <f t="array" ref="BY57">IF($F57&lt;&gt;"",XLOOKUP($F57,Productos!$A:$A,Productos!BR:BR,"Revisar"),"")</f>
        <v/>
      </c>
      <c r="BZ57" s="179" t="str">
        <f t="array" ref="BZ57">IF($F57&lt;&gt;"", XLOOKUP($F57,Productos!$A$2:$A1001,Productos!BS$2:BS1001,"")*$G57,"")</f>
        <v/>
      </c>
    </row>
    <row r="58">
      <c r="A58" s="180"/>
      <c r="B58" s="181"/>
      <c r="C58" s="182"/>
      <c r="D58" s="182"/>
      <c r="E58" s="185"/>
      <c r="F58" s="186"/>
      <c r="G58" s="187"/>
      <c r="H58" s="186"/>
      <c r="I58" s="179" t="str">
        <f t="array" ref="I58">IF($F58&lt;&gt;"",XLOOKUP($F58,Productos!$A:$A,Productos!B:B,"Revisar"),"")</f>
        <v/>
      </c>
      <c r="J58" s="179" t="str">
        <f t="array" ref="J58">IF($F58&lt;&gt;"", XLOOKUP($F58,Productos!$A$2:$A1001,Productos!C$2:C1001,"")*$G58,"")</f>
        <v/>
      </c>
      <c r="K58" s="179" t="str">
        <f t="array" ref="K58">IF($F58&lt;&gt;"",XLOOKUP($F58,Productos!$A:$A,Productos!D:D,"Revisar"),"")</f>
        <v/>
      </c>
      <c r="L58" s="179" t="str">
        <f t="array" ref="L58">IF($F58&lt;&gt;"", XLOOKUP($F58,Productos!$A$2:$A1001,Productos!E$2:E1001,"")*$G58,"")</f>
        <v/>
      </c>
      <c r="M58" s="179" t="str">
        <f t="array" ref="M58">IF($F58&lt;&gt;"",XLOOKUP($F58,Productos!$A:$A,Productos!F:F,"Revisar"),"")</f>
        <v/>
      </c>
      <c r="N58" s="179" t="str">
        <f t="array" ref="N58">IF($F58&lt;&gt;"", XLOOKUP($F58,Productos!$A$2:$A1001,Productos!G$2:G1001,"")*$G58,"")</f>
        <v/>
      </c>
      <c r="O58" s="179" t="str">
        <f t="array" ref="O58">IF($F58&lt;&gt;"",XLOOKUP($F58,Productos!$A:$A,Productos!H:H,"Revisar"),"")</f>
        <v/>
      </c>
      <c r="P58" s="179" t="str">
        <f t="array" ref="P58">IF($F58&lt;&gt;"", XLOOKUP($F58,Productos!$A$2:$A1001,Productos!I$2:I1001,"")*$G58,"")</f>
        <v/>
      </c>
      <c r="Q58" s="179" t="str">
        <f t="array" ref="Q58">IF($F58&lt;&gt;"",XLOOKUP($F58,Productos!$A:$A,Productos!J:J,"Revisar"),"")</f>
        <v/>
      </c>
      <c r="R58" s="179" t="str">
        <f t="array" ref="R58">IF($F58&lt;&gt;"", XLOOKUP($F58,Productos!$A$2:$A1001,Productos!K$2:K1001,"")*$G58,"")</f>
        <v/>
      </c>
      <c r="S58" s="179" t="str">
        <f t="array" ref="S58">IF($F58&lt;&gt;"",XLOOKUP($F58,Productos!$A:$A,Productos!L:L,"Revisar"),"")</f>
        <v/>
      </c>
      <c r="T58" s="179" t="str">
        <f t="array" ref="T58">IF($F58&lt;&gt;"", XLOOKUP($F58,Productos!$A$2:$A1001,Productos!M$2:M1001,"")*$G58,"")</f>
        <v/>
      </c>
      <c r="U58" s="179" t="str">
        <f t="array" ref="U58">IF($F58&lt;&gt;"",XLOOKUP($F58,Productos!$A:$A,Productos!N:N,"Revisar"),"")</f>
        <v/>
      </c>
      <c r="V58" s="179" t="str">
        <f t="array" ref="V58">IF($F58&lt;&gt;"", XLOOKUP($F58,Productos!$A$2:$A1001,Productos!O$2:O1001,"")*$G58,"")</f>
        <v/>
      </c>
      <c r="W58" s="179" t="str">
        <f t="array" ref="W58">IF($F58&lt;&gt;"",XLOOKUP($F58,Productos!$A:$A,Productos!P:P,"Revisar"),"")</f>
        <v/>
      </c>
      <c r="X58" s="179" t="str">
        <f t="array" ref="X58">IF($F58&lt;&gt;"", XLOOKUP($F58,Productos!$A$2:$A1001,Productos!Q$2:Q1001,"")*$G58,"")</f>
        <v/>
      </c>
      <c r="Y58" s="179" t="str">
        <f t="array" ref="Y58">IF($F58&lt;&gt;"",XLOOKUP($F58,Productos!$A:$A,Productos!R:R,"Revisar"),"")</f>
        <v/>
      </c>
      <c r="Z58" s="179" t="str">
        <f t="array" ref="Z58">IF($F58&lt;&gt;"", XLOOKUP($F58,Productos!$A$2:$A1001,Productos!S$2:S1001,"")*$G58,"")</f>
        <v/>
      </c>
      <c r="AA58" s="179" t="str">
        <f t="array" ref="AA58">IF($F58&lt;&gt;"",XLOOKUP($F58,Productos!$A:$A,Productos!T:T,"Revisar"),"")</f>
        <v/>
      </c>
      <c r="AB58" s="179" t="str">
        <f t="array" ref="AB58">IF($F58&lt;&gt;"", XLOOKUP($F58,Productos!$A$2:$A1001,Productos!U$2:U1001,"")*$G58,"")</f>
        <v/>
      </c>
      <c r="AC58" s="179" t="str">
        <f t="array" ref="AC58">IF($F58&lt;&gt;"",XLOOKUP($F58,Productos!$A:$A,Productos!V:V,"Revisar"),"")</f>
        <v/>
      </c>
      <c r="AD58" s="179" t="str">
        <f t="array" ref="AD58">IF($F58&lt;&gt;"", XLOOKUP($F58,Productos!$A$2:$A1001,Productos!W$2:W1001,"")*$G58,"")</f>
        <v/>
      </c>
      <c r="AE58" s="179" t="str">
        <f t="array" ref="AE58">IF($F58&lt;&gt;"",XLOOKUP($F58,Productos!$A:$A,Productos!X:X,"Revisar"),"")</f>
        <v/>
      </c>
      <c r="AF58" s="179" t="str">
        <f t="array" ref="AF58">IF($F58&lt;&gt;"", XLOOKUP($F58,Productos!$A$2:$A1001,Productos!Y$2:Y1001,"")*$G58,"")</f>
        <v/>
      </c>
      <c r="AG58" s="179" t="str">
        <f t="array" ref="AG58">IF($F58&lt;&gt;"",XLOOKUP($F58,Productos!$A:$A,Productos!Z:Z,"Revisar"),"")</f>
        <v/>
      </c>
      <c r="AH58" s="179" t="str">
        <f t="array" ref="AH58">IF($F58&lt;&gt;"", XLOOKUP($F58,Productos!$A$2:$A1001,Productos!AA$2:AA1001,"")*$G58,"")</f>
        <v/>
      </c>
      <c r="AI58" s="179" t="str">
        <f t="array" ref="AI58">IF($F58&lt;&gt;"",XLOOKUP($F58,Productos!$A:$A,Productos!AB:AB,"Revisar"),"")</f>
        <v/>
      </c>
      <c r="AJ58" s="179" t="str">
        <f t="array" ref="AJ58">IF($F58&lt;&gt;"", XLOOKUP($F58,Productos!$A$2:$A1001,Productos!AC$2:AC1001,"")*$G58,"")</f>
        <v/>
      </c>
      <c r="AK58" s="179" t="str">
        <f t="array" ref="AK58">IF($F58&lt;&gt;"",XLOOKUP($F58,Productos!$A:$A,Productos!AD:AD,"Revisar"),"")</f>
        <v/>
      </c>
      <c r="AL58" s="179" t="str">
        <f t="array" ref="AL58">IF($F58&lt;&gt;"", XLOOKUP($F58,Productos!$A$2:$A1001,Productos!AE$2:AE1001,"")*$G58,"")</f>
        <v/>
      </c>
      <c r="AM58" s="179" t="str">
        <f t="array" ref="AM58">IF($F58&lt;&gt;"",XLOOKUP($F58,Productos!$A:$A,Productos!AF:AF,"Revisar"),"")</f>
        <v/>
      </c>
      <c r="AN58" s="179" t="str">
        <f t="array" ref="AN58">IF($F58&lt;&gt;"", XLOOKUP($F58,Productos!$A$2:$A1001,Productos!AG$2:AG1001,"")*$G58,"")</f>
        <v/>
      </c>
      <c r="AO58" s="179" t="str">
        <f t="array" ref="AO58">IF($F58&lt;&gt;"",XLOOKUP($F58,Productos!$A:$A,Productos!AH:AH,"Revisar"),"")</f>
        <v/>
      </c>
      <c r="AP58" s="179" t="str">
        <f t="array" ref="AP58">IF($F58&lt;&gt;"", XLOOKUP($F58,Productos!$A$2:$A1001,Productos!AI$2:AI1001,"")*$G58,"")</f>
        <v/>
      </c>
      <c r="AQ58" s="179" t="str">
        <f t="array" ref="AQ58">IF($F58&lt;&gt;"",XLOOKUP($F58,Productos!$A:$A,Productos!AJ:AJ,"Revisar"),"")</f>
        <v/>
      </c>
      <c r="AR58" s="179" t="str">
        <f t="array" ref="AR58">IF($F58&lt;&gt;"", XLOOKUP($F58,Productos!$A$2:$A1001,Productos!AK$2:AK1001,"")*$G58,"")</f>
        <v/>
      </c>
      <c r="AS58" s="179" t="str">
        <f t="array" ref="AS58">IF($F58&lt;&gt;"",XLOOKUP($F58,Productos!$A:$A,Productos!AL:AL,"Revisar"),"")</f>
        <v/>
      </c>
      <c r="AT58" s="179" t="str">
        <f t="array" ref="AT58">IF($F58&lt;&gt;"", XLOOKUP($F58,Productos!$A$2:$A1001,Productos!AM$2:AM1001,"")*$G58,"")</f>
        <v/>
      </c>
      <c r="AU58" s="179" t="str">
        <f t="array" ref="AU58">IF($F58&lt;&gt;"",XLOOKUP($F58,Productos!$A:$A,Productos!AN:AN,"Revisar"),"")</f>
        <v/>
      </c>
      <c r="AV58" s="179" t="str">
        <f t="array" ref="AV58">IF($F58&lt;&gt;"", XLOOKUP($F58,Productos!$A$2:$A1001,Productos!AO$2:AO1001,"")*$G58,"")</f>
        <v/>
      </c>
      <c r="AW58" s="179" t="str">
        <f t="array" ref="AW58">IF($F58&lt;&gt;"",XLOOKUP($F58,Productos!$A:$A,Productos!AP:AP,"Revisar"),"")</f>
        <v/>
      </c>
      <c r="AX58" s="179" t="str">
        <f t="array" ref="AX58">IF($F58&lt;&gt;"", XLOOKUP($F58,Productos!$A$2:$A1001,Productos!AQ$2:AQ1001,"")*$G58,"")</f>
        <v/>
      </c>
      <c r="AY58" s="179" t="str">
        <f t="array" ref="AY58">IF($F58&lt;&gt;"",XLOOKUP($F58,Productos!$A:$A,Productos!AR:AR,"Revisar"),"")</f>
        <v/>
      </c>
      <c r="AZ58" s="179" t="str">
        <f t="array" ref="AZ58">IF($F58&lt;&gt;"", XLOOKUP($F58,Productos!$A$2:$A1001,Productos!AS$2:AS1001,"")*$G58,"")</f>
        <v/>
      </c>
      <c r="BA58" s="179" t="str">
        <f t="array" ref="BA58">IF($F58&lt;&gt;"",XLOOKUP($F58,Productos!$A:$A,Productos!AT:AT,"Revisar"),"")</f>
        <v/>
      </c>
      <c r="BB58" s="179" t="str">
        <f t="array" ref="BB58">IF($F58&lt;&gt;"", XLOOKUP($F58,Productos!$A$2:$A1001,Productos!AU$2:AU1001,"")*$G58,"")</f>
        <v/>
      </c>
      <c r="BC58" s="179" t="str">
        <f t="array" ref="BC58">IF($F58&lt;&gt;"",XLOOKUP($F58,Productos!$A:$A,Productos!AV:AV,"Revisar"),"")</f>
        <v/>
      </c>
      <c r="BD58" s="179" t="str">
        <f t="array" ref="BD58">IF($F58&lt;&gt;"", XLOOKUP($F58,Productos!$A$2:$A1001,Productos!AW$2:AW1001,"")*$G58,"")</f>
        <v/>
      </c>
      <c r="BE58" s="179" t="str">
        <f t="array" ref="BE58">IF($F58&lt;&gt;"",XLOOKUP($F58,Productos!$A:$A,Productos!AX:AX,"Revisar"),"")</f>
        <v/>
      </c>
      <c r="BF58" s="179" t="str">
        <f t="array" ref="BF58">IF($F58&lt;&gt;"", XLOOKUP($F58,Productos!$A$2:$A1001,Productos!AY$2:AY1001,"")*$G58,"")</f>
        <v/>
      </c>
      <c r="BG58" s="179" t="str">
        <f t="array" ref="BG58">IF($F58&lt;&gt;"",XLOOKUP($F58,Productos!$A:$A,Productos!AZ:AZ,"Revisar"),"")</f>
        <v/>
      </c>
      <c r="BH58" s="179" t="str">
        <f t="array" ref="BH58">IF($F58&lt;&gt;"", XLOOKUP($F58,Productos!$A$2:$A1001,Productos!BA$2:BA1001,"")*$G58,"")</f>
        <v/>
      </c>
      <c r="BI58" s="179" t="str">
        <f t="array" ref="BI58">IF($F58&lt;&gt;"",XLOOKUP($F58,Productos!$A:$A,Productos!BB:BB,"Revisar"),"")</f>
        <v/>
      </c>
      <c r="BJ58" s="179" t="str">
        <f t="array" ref="BJ58">IF($F58&lt;&gt;"", XLOOKUP($F58,Productos!$A$2:$A1001,Productos!BC$2:BC1001,"")*$G58,"")</f>
        <v/>
      </c>
      <c r="BK58" s="179" t="str">
        <f t="array" ref="BK58">IF($F58&lt;&gt;"",XLOOKUP($F58,Productos!$A:$A,Productos!BD:BD,"Revisar"),"")</f>
        <v/>
      </c>
      <c r="BL58" s="179" t="str">
        <f t="array" ref="BL58">IF($F58&lt;&gt;"", XLOOKUP($F58,Productos!$A$2:$A1001,Productos!BE$2:BE1001,"")*$G58,"")</f>
        <v/>
      </c>
      <c r="BM58" s="179" t="str">
        <f t="array" ref="BM58">IF($F58&lt;&gt;"",XLOOKUP($F58,Productos!$A:$A,Productos!BF:BF,"Revisar"),"")</f>
        <v/>
      </c>
      <c r="BN58" s="179" t="str">
        <f t="array" ref="BN58">IF($F58&lt;&gt;"", XLOOKUP($F58,Productos!$A$2:$A1001,Productos!BG$2:BG1001,"")*$G58,"")</f>
        <v/>
      </c>
      <c r="BO58" s="179" t="str">
        <f t="array" ref="BO58">IF($F58&lt;&gt;"",XLOOKUP($F58,Productos!$A:$A,Productos!BH:BH,"Revisar"),"")</f>
        <v/>
      </c>
      <c r="BP58" s="179" t="str">
        <f t="array" ref="BP58">IF($F58&lt;&gt;"", XLOOKUP($F58,Productos!$A$2:$A1001,Productos!BI$2:BI1001,"")*$G58,"")</f>
        <v/>
      </c>
      <c r="BQ58" s="179" t="str">
        <f t="array" ref="BQ58">IF($F58&lt;&gt;"",XLOOKUP($F58,Productos!$A:$A,Productos!BJ:BJ,"Revisar"),"")</f>
        <v/>
      </c>
      <c r="BR58" s="179" t="str">
        <f t="array" ref="BR58">IF($F58&lt;&gt;"", XLOOKUP($F58,Productos!$A$2:$A1001,Productos!BK$2:BK1001,"")*$G58,"")</f>
        <v/>
      </c>
      <c r="BS58" s="179" t="str">
        <f t="array" ref="BS58">IF($F58&lt;&gt;"",XLOOKUP($F58,Productos!$A:$A,Productos!BL:BL,"Revisar"),"")</f>
        <v/>
      </c>
      <c r="BT58" s="179" t="str">
        <f t="array" ref="BT58">IF($F58&lt;&gt;"", XLOOKUP($F58,Productos!$A$2:$A1001,Productos!BM$2:BM1001,"")*$G58,"")</f>
        <v/>
      </c>
      <c r="BU58" s="179" t="str">
        <f t="array" ref="BU58">IF($F58&lt;&gt;"",XLOOKUP($F58,Productos!$A:$A,Productos!BN:BN,"Revisar"),"")</f>
        <v/>
      </c>
      <c r="BV58" s="179" t="str">
        <f t="array" ref="BV58">IF($F58&lt;&gt;"", XLOOKUP($F58,Productos!$A$2:$A1001,Productos!BO$2:BO1001,"")*$G58,"")</f>
        <v/>
      </c>
      <c r="BW58" s="179" t="str">
        <f t="array" ref="BW58">IF($F58&lt;&gt;"",XLOOKUP($F58,Productos!$A:$A,Productos!BP:BP,"Revisar"),"")</f>
        <v/>
      </c>
      <c r="BX58" s="179" t="str">
        <f t="array" ref="BX58">IF($F58&lt;&gt;"", XLOOKUP($F58,Productos!$A$2:$A1001,Productos!BQ$2:BQ1001,"")*$G58,"")</f>
        <v/>
      </c>
      <c r="BY58" s="179" t="str">
        <f t="array" ref="BY58">IF($F58&lt;&gt;"",XLOOKUP($F58,Productos!$A:$A,Productos!BR:BR,"Revisar"),"")</f>
        <v/>
      </c>
      <c r="BZ58" s="179" t="str">
        <f t="array" ref="BZ58">IF($F58&lt;&gt;"", XLOOKUP($F58,Productos!$A$2:$A1001,Productos!BS$2:BS1001,"")*$G58,"")</f>
        <v/>
      </c>
    </row>
    <row r="59">
      <c r="A59" s="180"/>
      <c r="B59" s="181"/>
      <c r="C59" s="182"/>
      <c r="D59" s="182"/>
      <c r="E59" s="185"/>
      <c r="F59" s="186"/>
      <c r="G59" s="187"/>
      <c r="H59" s="186"/>
      <c r="I59" s="179" t="str">
        <f t="array" ref="I59">IF($F59&lt;&gt;"",XLOOKUP($F59,Productos!$A:$A,Productos!B:B,"Revisar"),"")</f>
        <v/>
      </c>
      <c r="J59" s="179" t="str">
        <f t="array" ref="J59">IF($F59&lt;&gt;"", XLOOKUP($F59,Productos!$A$2:$A1001,Productos!C$2:C1001,"")*$G59,"")</f>
        <v/>
      </c>
      <c r="K59" s="179" t="str">
        <f t="array" ref="K59">IF($F59&lt;&gt;"",XLOOKUP($F59,Productos!$A:$A,Productos!D:D,"Revisar"),"")</f>
        <v/>
      </c>
      <c r="L59" s="179" t="str">
        <f t="array" ref="L59">IF($F59&lt;&gt;"", XLOOKUP($F59,Productos!$A$2:$A1001,Productos!E$2:E1001,"")*$G59,"")</f>
        <v/>
      </c>
      <c r="M59" s="179" t="str">
        <f t="array" ref="M59">IF($F59&lt;&gt;"",XLOOKUP($F59,Productos!$A:$A,Productos!F:F,"Revisar"),"")</f>
        <v/>
      </c>
      <c r="N59" s="179" t="str">
        <f t="array" ref="N59">IF($F59&lt;&gt;"", XLOOKUP($F59,Productos!$A$2:$A1001,Productos!G$2:G1001,"")*$G59,"")</f>
        <v/>
      </c>
      <c r="O59" s="179" t="str">
        <f t="array" ref="O59">IF($F59&lt;&gt;"",XLOOKUP($F59,Productos!$A:$A,Productos!H:H,"Revisar"),"")</f>
        <v/>
      </c>
      <c r="P59" s="179" t="str">
        <f t="array" ref="P59">IF($F59&lt;&gt;"", XLOOKUP($F59,Productos!$A$2:$A1001,Productos!I$2:I1001,"")*$G59,"")</f>
        <v/>
      </c>
      <c r="Q59" s="179" t="str">
        <f t="array" ref="Q59">IF($F59&lt;&gt;"",XLOOKUP($F59,Productos!$A:$A,Productos!J:J,"Revisar"),"")</f>
        <v/>
      </c>
      <c r="R59" s="179" t="str">
        <f t="array" ref="R59">IF($F59&lt;&gt;"", XLOOKUP($F59,Productos!$A$2:$A1001,Productos!K$2:K1001,"")*$G59,"")</f>
        <v/>
      </c>
      <c r="S59" s="179" t="str">
        <f t="array" ref="S59">IF($F59&lt;&gt;"",XLOOKUP($F59,Productos!$A:$A,Productos!L:L,"Revisar"),"")</f>
        <v/>
      </c>
      <c r="T59" s="179" t="str">
        <f t="array" ref="T59">IF($F59&lt;&gt;"", XLOOKUP($F59,Productos!$A$2:$A1001,Productos!M$2:M1001,"")*$G59,"")</f>
        <v/>
      </c>
      <c r="U59" s="179" t="str">
        <f t="array" ref="U59">IF($F59&lt;&gt;"",XLOOKUP($F59,Productos!$A:$A,Productos!N:N,"Revisar"),"")</f>
        <v/>
      </c>
      <c r="V59" s="179" t="str">
        <f t="array" ref="V59">IF($F59&lt;&gt;"", XLOOKUP($F59,Productos!$A$2:$A1001,Productos!O$2:O1001,"")*$G59,"")</f>
        <v/>
      </c>
      <c r="W59" s="179" t="str">
        <f t="array" ref="W59">IF($F59&lt;&gt;"",XLOOKUP($F59,Productos!$A:$A,Productos!P:P,"Revisar"),"")</f>
        <v/>
      </c>
      <c r="X59" s="179" t="str">
        <f t="array" ref="X59">IF($F59&lt;&gt;"", XLOOKUP($F59,Productos!$A$2:$A1001,Productos!Q$2:Q1001,"")*$G59,"")</f>
        <v/>
      </c>
      <c r="Y59" s="179" t="str">
        <f t="array" ref="Y59">IF($F59&lt;&gt;"",XLOOKUP($F59,Productos!$A:$A,Productos!R:R,"Revisar"),"")</f>
        <v/>
      </c>
      <c r="Z59" s="179" t="str">
        <f t="array" ref="Z59">IF($F59&lt;&gt;"", XLOOKUP($F59,Productos!$A$2:$A1001,Productos!S$2:S1001,"")*$G59,"")</f>
        <v/>
      </c>
      <c r="AA59" s="179" t="str">
        <f t="array" ref="AA59">IF($F59&lt;&gt;"",XLOOKUP($F59,Productos!$A:$A,Productos!T:T,"Revisar"),"")</f>
        <v/>
      </c>
      <c r="AB59" s="179" t="str">
        <f t="array" ref="AB59">IF($F59&lt;&gt;"", XLOOKUP($F59,Productos!$A$2:$A1001,Productos!U$2:U1001,"")*$G59,"")</f>
        <v/>
      </c>
      <c r="AC59" s="179" t="str">
        <f t="array" ref="AC59">IF($F59&lt;&gt;"",XLOOKUP($F59,Productos!$A:$A,Productos!V:V,"Revisar"),"")</f>
        <v/>
      </c>
      <c r="AD59" s="179" t="str">
        <f t="array" ref="AD59">IF($F59&lt;&gt;"", XLOOKUP($F59,Productos!$A$2:$A1001,Productos!W$2:W1001,"")*$G59,"")</f>
        <v/>
      </c>
      <c r="AE59" s="179" t="str">
        <f t="array" ref="AE59">IF($F59&lt;&gt;"",XLOOKUP($F59,Productos!$A:$A,Productos!X:X,"Revisar"),"")</f>
        <v/>
      </c>
      <c r="AF59" s="179" t="str">
        <f t="array" ref="AF59">IF($F59&lt;&gt;"", XLOOKUP($F59,Productos!$A$2:$A1001,Productos!Y$2:Y1001,"")*$G59,"")</f>
        <v/>
      </c>
      <c r="AG59" s="179" t="str">
        <f t="array" ref="AG59">IF($F59&lt;&gt;"",XLOOKUP($F59,Productos!$A:$A,Productos!Z:Z,"Revisar"),"")</f>
        <v/>
      </c>
      <c r="AH59" s="179" t="str">
        <f t="array" ref="AH59">IF($F59&lt;&gt;"", XLOOKUP($F59,Productos!$A$2:$A1001,Productos!AA$2:AA1001,"")*$G59,"")</f>
        <v/>
      </c>
      <c r="AI59" s="179" t="str">
        <f t="array" ref="AI59">IF($F59&lt;&gt;"",XLOOKUP($F59,Productos!$A:$A,Productos!AB:AB,"Revisar"),"")</f>
        <v/>
      </c>
      <c r="AJ59" s="179" t="str">
        <f t="array" ref="AJ59">IF($F59&lt;&gt;"", XLOOKUP($F59,Productos!$A$2:$A1001,Productos!AC$2:AC1001,"")*$G59,"")</f>
        <v/>
      </c>
      <c r="AK59" s="179" t="str">
        <f t="array" ref="AK59">IF($F59&lt;&gt;"",XLOOKUP($F59,Productos!$A:$A,Productos!AD:AD,"Revisar"),"")</f>
        <v/>
      </c>
      <c r="AL59" s="179" t="str">
        <f t="array" ref="AL59">IF($F59&lt;&gt;"", XLOOKUP($F59,Productos!$A$2:$A1001,Productos!AE$2:AE1001,"")*$G59,"")</f>
        <v/>
      </c>
      <c r="AM59" s="179" t="str">
        <f t="array" ref="AM59">IF($F59&lt;&gt;"",XLOOKUP($F59,Productos!$A:$A,Productos!AF:AF,"Revisar"),"")</f>
        <v/>
      </c>
      <c r="AN59" s="179" t="str">
        <f t="array" ref="AN59">IF($F59&lt;&gt;"", XLOOKUP($F59,Productos!$A$2:$A1001,Productos!AG$2:AG1001,"")*$G59,"")</f>
        <v/>
      </c>
      <c r="AO59" s="179" t="str">
        <f t="array" ref="AO59">IF($F59&lt;&gt;"",XLOOKUP($F59,Productos!$A:$A,Productos!AH:AH,"Revisar"),"")</f>
        <v/>
      </c>
      <c r="AP59" s="179" t="str">
        <f t="array" ref="AP59">IF($F59&lt;&gt;"", XLOOKUP($F59,Productos!$A$2:$A1001,Productos!AI$2:AI1001,"")*$G59,"")</f>
        <v/>
      </c>
      <c r="AQ59" s="179" t="str">
        <f t="array" ref="AQ59">IF($F59&lt;&gt;"",XLOOKUP($F59,Productos!$A:$A,Productos!AJ:AJ,"Revisar"),"")</f>
        <v/>
      </c>
      <c r="AR59" s="179" t="str">
        <f t="array" ref="AR59">IF($F59&lt;&gt;"", XLOOKUP($F59,Productos!$A$2:$A1001,Productos!AK$2:AK1001,"")*$G59,"")</f>
        <v/>
      </c>
      <c r="AS59" s="179" t="str">
        <f t="array" ref="AS59">IF($F59&lt;&gt;"",XLOOKUP($F59,Productos!$A:$A,Productos!AL:AL,"Revisar"),"")</f>
        <v/>
      </c>
      <c r="AT59" s="179" t="str">
        <f t="array" ref="AT59">IF($F59&lt;&gt;"", XLOOKUP($F59,Productos!$A$2:$A1001,Productos!AM$2:AM1001,"")*$G59,"")</f>
        <v/>
      </c>
      <c r="AU59" s="179" t="str">
        <f t="array" ref="AU59">IF($F59&lt;&gt;"",XLOOKUP($F59,Productos!$A:$A,Productos!AN:AN,"Revisar"),"")</f>
        <v/>
      </c>
      <c r="AV59" s="179" t="str">
        <f t="array" ref="AV59">IF($F59&lt;&gt;"", XLOOKUP($F59,Productos!$A$2:$A1001,Productos!AO$2:AO1001,"")*$G59,"")</f>
        <v/>
      </c>
      <c r="AW59" s="179" t="str">
        <f t="array" ref="AW59">IF($F59&lt;&gt;"",XLOOKUP($F59,Productos!$A:$A,Productos!AP:AP,"Revisar"),"")</f>
        <v/>
      </c>
      <c r="AX59" s="179" t="str">
        <f t="array" ref="AX59">IF($F59&lt;&gt;"", XLOOKUP($F59,Productos!$A$2:$A1001,Productos!AQ$2:AQ1001,"")*$G59,"")</f>
        <v/>
      </c>
      <c r="AY59" s="179" t="str">
        <f t="array" ref="AY59">IF($F59&lt;&gt;"",XLOOKUP($F59,Productos!$A:$A,Productos!AR:AR,"Revisar"),"")</f>
        <v/>
      </c>
      <c r="AZ59" s="179" t="str">
        <f t="array" ref="AZ59">IF($F59&lt;&gt;"", XLOOKUP($F59,Productos!$A$2:$A1001,Productos!AS$2:AS1001,"")*$G59,"")</f>
        <v/>
      </c>
      <c r="BA59" s="179" t="str">
        <f t="array" ref="BA59">IF($F59&lt;&gt;"",XLOOKUP($F59,Productos!$A:$A,Productos!AT:AT,"Revisar"),"")</f>
        <v/>
      </c>
      <c r="BB59" s="179" t="str">
        <f t="array" ref="BB59">IF($F59&lt;&gt;"", XLOOKUP($F59,Productos!$A$2:$A1001,Productos!AU$2:AU1001,"")*$G59,"")</f>
        <v/>
      </c>
      <c r="BC59" s="179" t="str">
        <f t="array" ref="BC59">IF($F59&lt;&gt;"",XLOOKUP($F59,Productos!$A:$A,Productos!AV:AV,"Revisar"),"")</f>
        <v/>
      </c>
      <c r="BD59" s="179" t="str">
        <f t="array" ref="BD59">IF($F59&lt;&gt;"", XLOOKUP($F59,Productos!$A$2:$A1001,Productos!AW$2:AW1001,"")*$G59,"")</f>
        <v/>
      </c>
      <c r="BE59" s="179" t="str">
        <f t="array" ref="BE59">IF($F59&lt;&gt;"",XLOOKUP($F59,Productos!$A:$A,Productos!AX:AX,"Revisar"),"")</f>
        <v/>
      </c>
      <c r="BF59" s="179" t="str">
        <f t="array" ref="BF59">IF($F59&lt;&gt;"", XLOOKUP($F59,Productos!$A$2:$A1001,Productos!AY$2:AY1001,"")*$G59,"")</f>
        <v/>
      </c>
      <c r="BG59" s="179" t="str">
        <f t="array" ref="BG59">IF($F59&lt;&gt;"",XLOOKUP($F59,Productos!$A:$A,Productos!AZ:AZ,"Revisar"),"")</f>
        <v/>
      </c>
      <c r="BH59" s="179" t="str">
        <f t="array" ref="BH59">IF($F59&lt;&gt;"", XLOOKUP($F59,Productos!$A$2:$A1001,Productos!BA$2:BA1001,"")*$G59,"")</f>
        <v/>
      </c>
      <c r="BI59" s="179" t="str">
        <f t="array" ref="BI59">IF($F59&lt;&gt;"",XLOOKUP($F59,Productos!$A:$A,Productos!BB:BB,"Revisar"),"")</f>
        <v/>
      </c>
      <c r="BJ59" s="179" t="str">
        <f t="array" ref="BJ59">IF($F59&lt;&gt;"", XLOOKUP($F59,Productos!$A$2:$A1001,Productos!BC$2:BC1001,"")*$G59,"")</f>
        <v/>
      </c>
      <c r="BK59" s="179" t="str">
        <f t="array" ref="BK59">IF($F59&lt;&gt;"",XLOOKUP($F59,Productos!$A:$A,Productos!BD:BD,"Revisar"),"")</f>
        <v/>
      </c>
      <c r="BL59" s="179" t="str">
        <f t="array" ref="BL59">IF($F59&lt;&gt;"", XLOOKUP($F59,Productos!$A$2:$A1001,Productos!BE$2:BE1001,"")*$G59,"")</f>
        <v/>
      </c>
      <c r="BM59" s="179" t="str">
        <f t="array" ref="BM59">IF($F59&lt;&gt;"",XLOOKUP($F59,Productos!$A:$A,Productos!BF:BF,"Revisar"),"")</f>
        <v/>
      </c>
      <c r="BN59" s="179" t="str">
        <f t="array" ref="BN59">IF($F59&lt;&gt;"", XLOOKUP($F59,Productos!$A$2:$A1001,Productos!BG$2:BG1001,"")*$G59,"")</f>
        <v/>
      </c>
      <c r="BO59" s="179" t="str">
        <f t="array" ref="BO59">IF($F59&lt;&gt;"",XLOOKUP($F59,Productos!$A:$A,Productos!BH:BH,"Revisar"),"")</f>
        <v/>
      </c>
      <c r="BP59" s="179" t="str">
        <f t="array" ref="BP59">IF($F59&lt;&gt;"", XLOOKUP($F59,Productos!$A$2:$A1001,Productos!BI$2:BI1001,"")*$G59,"")</f>
        <v/>
      </c>
      <c r="BQ59" s="179" t="str">
        <f t="array" ref="BQ59">IF($F59&lt;&gt;"",XLOOKUP($F59,Productos!$A:$A,Productos!BJ:BJ,"Revisar"),"")</f>
        <v/>
      </c>
      <c r="BR59" s="179" t="str">
        <f t="array" ref="BR59">IF($F59&lt;&gt;"", XLOOKUP($F59,Productos!$A$2:$A1001,Productos!BK$2:BK1001,"")*$G59,"")</f>
        <v/>
      </c>
      <c r="BS59" s="179" t="str">
        <f t="array" ref="BS59">IF($F59&lt;&gt;"",XLOOKUP($F59,Productos!$A:$A,Productos!BL:BL,"Revisar"),"")</f>
        <v/>
      </c>
      <c r="BT59" s="179" t="str">
        <f t="array" ref="BT59">IF($F59&lt;&gt;"", XLOOKUP($F59,Productos!$A$2:$A1001,Productos!BM$2:BM1001,"")*$G59,"")</f>
        <v/>
      </c>
      <c r="BU59" s="179" t="str">
        <f t="array" ref="BU59">IF($F59&lt;&gt;"",XLOOKUP($F59,Productos!$A:$A,Productos!BN:BN,"Revisar"),"")</f>
        <v/>
      </c>
      <c r="BV59" s="179" t="str">
        <f t="array" ref="BV59">IF($F59&lt;&gt;"", XLOOKUP($F59,Productos!$A$2:$A1001,Productos!BO$2:BO1001,"")*$G59,"")</f>
        <v/>
      </c>
      <c r="BW59" s="179" t="str">
        <f t="array" ref="BW59">IF($F59&lt;&gt;"",XLOOKUP($F59,Productos!$A:$A,Productos!BP:BP,"Revisar"),"")</f>
        <v/>
      </c>
      <c r="BX59" s="179" t="str">
        <f t="array" ref="BX59">IF($F59&lt;&gt;"", XLOOKUP($F59,Productos!$A$2:$A1001,Productos!BQ$2:BQ1001,"")*$G59,"")</f>
        <v/>
      </c>
      <c r="BY59" s="179" t="str">
        <f t="array" ref="BY59">IF($F59&lt;&gt;"",XLOOKUP($F59,Productos!$A:$A,Productos!BR:BR,"Revisar"),"")</f>
        <v/>
      </c>
      <c r="BZ59" s="179" t="str">
        <f t="array" ref="BZ59">IF($F59&lt;&gt;"", XLOOKUP($F59,Productos!$A$2:$A1001,Productos!BS$2:BS1001,"")*$G59,"")</f>
        <v/>
      </c>
    </row>
    <row r="60">
      <c r="A60" s="180"/>
      <c r="B60" s="181"/>
      <c r="C60" s="182"/>
      <c r="D60" s="182"/>
      <c r="E60" s="185"/>
      <c r="F60" s="186"/>
      <c r="G60" s="187"/>
      <c r="H60" s="186"/>
      <c r="I60" s="179" t="str">
        <f t="array" ref="I60">IF($F60&lt;&gt;"",XLOOKUP($F60,Productos!$A:$A,Productos!B:B,"Revisar"),"")</f>
        <v/>
      </c>
      <c r="J60" s="179" t="str">
        <f t="array" ref="J60">IF($F60&lt;&gt;"", XLOOKUP($F60,Productos!$A$2:$A1001,Productos!C$2:C1001,"")*$G60,"")</f>
        <v/>
      </c>
      <c r="K60" s="179" t="str">
        <f t="array" ref="K60">IF($F60&lt;&gt;"",XLOOKUP($F60,Productos!$A:$A,Productos!D:D,"Revisar"),"")</f>
        <v/>
      </c>
      <c r="L60" s="179" t="str">
        <f t="array" ref="L60">IF($F60&lt;&gt;"", XLOOKUP($F60,Productos!$A$2:$A1001,Productos!E$2:E1001,"")*$G60,"")</f>
        <v/>
      </c>
      <c r="M60" s="179" t="str">
        <f t="array" ref="M60">IF($F60&lt;&gt;"",XLOOKUP($F60,Productos!$A:$A,Productos!F:F,"Revisar"),"")</f>
        <v/>
      </c>
      <c r="N60" s="179" t="str">
        <f t="array" ref="N60">IF($F60&lt;&gt;"", XLOOKUP($F60,Productos!$A$2:$A1001,Productos!G$2:G1001,"")*$G60,"")</f>
        <v/>
      </c>
      <c r="O60" s="179" t="str">
        <f t="array" ref="O60">IF($F60&lt;&gt;"",XLOOKUP($F60,Productos!$A:$A,Productos!H:H,"Revisar"),"")</f>
        <v/>
      </c>
      <c r="P60" s="179" t="str">
        <f t="array" ref="P60">IF($F60&lt;&gt;"", XLOOKUP($F60,Productos!$A$2:$A1001,Productos!I$2:I1001,"")*$G60,"")</f>
        <v/>
      </c>
      <c r="Q60" s="179" t="str">
        <f t="array" ref="Q60">IF($F60&lt;&gt;"",XLOOKUP($F60,Productos!$A:$A,Productos!J:J,"Revisar"),"")</f>
        <v/>
      </c>
      <c r="R60" s="179" t="str">
        <f t="array" ref="R60">IF($F60&lt;&gt;"", XLOOKUP($F60,Productos!$A$2:$A1001,Productos!K$2:K1001,"")*$G60,"")</f>
        <v/>
      </c>
      <c r="S60" s="179" t="str">
        <f t="array" ref="S60">IF($F60&lt;&gt;"",XLOOKUP($F60,Productos!$A:$A,Productos!L:L,"Revisar"),"")</f>
        <v/>
      </c>
      <c r="T60" s="179" t="str">
        <f t="array" ref="T60">IF($F60&lt;&gt;"", XLOOKUP($F60,Productos!$A$2:$A1001,Productos!M$2:M1001,"")*$G60,"")</f>
        <v/>
      </c>
      <c r="U60" s="179" t="str">
        <f t="array" ref="U60">IF($F60&lt;&gt;"",XLOOKUP($F60,Productos!$A:$A,Productos!N:N,"Revisar"),"")</f>
        <v/>
      </c>
      <c r="V60" s="179" t="str">
        <f t="array" ref="V60">IF($F60&lt;&gt;"", XLOOKUP($F60,Productos!$A$2:$A1001,Productos!O$2:O1001,"")*$G60,"")</f>
        <v/>
      </c>
      <c r="W60" s="179" t="str">
        <f t="array" ref="W60">IF($F60&lt;&gt;"",XLOOKUP($F60,Productos!$A:$A,Productos!P:P,"Revisar"),"")</f>
        <v/>
      </c>
      <c r="X60" s="179" t="str">
        <f t="array" ref="X60">IF($F60&lt;&gt;"", XLOOKUP($F60,Productos!$A$2:$A1001,Productos!Q$2:Q1001,"")*$G60,"")</f>
        <v/>
      </c>
      <c r="Y60" s="179" t="str">
        <f t="array" ref="Y60">IF($F60&lt;&gt;"",XLOOKUP($F60,Productos!$A:$A,Productos!R:R,"Revisar"),"")</f>
        <v/>
      </c>
      <c r="Z60" s="179" t="str">
        <f t="array" ref="Z60">IF($F60&lt;&gt;"", XLOOKUP($F60,Productos!$A$2:$A1001,Productos!S$2:S1001,"")*$G60,"")</f>
        <v/>
      </c>
      <c r="AA60" s="179" t="str">
        <f t="array" ref="AA60">IF($F60&lt;&gt;"",XLOOKUP($F60,Productos!$A:$A,Productos!T:T,"Revisar"),"")</f>
        <v/>
      </c>
      <c r="AB60" s="179" t="str">
        <f t="array" ref="AB60">IF($F60&lt;&gt;"", XLOOKUP($F60,Productos!$A$2:$A1001,Productos!U$2:U1001,"")*$G60,"")</f>
        <v/>
      </c>
      <c r="AC60" s="179" t="str">
        <f t="array" ref="AC60">IF($F60&lt;&gt;"",XLOOKUP($F60,Productos!$A:$A,Productos!V:V,"Revisar"),"")</f>
        <v/>
      </c>
      <c r="AD60" s="179" t="str">
        <f t="array" ref="AD60">IF($F60&lt;&gt;"", XLOOKUP($F60,Productos!$A$2:$A1001,Productos!W$2:W1001,"")*$G60,"")</f>
        <v/>
      </c>
      <c r="AE60" s="179" t="str">
        <f t="array" ref="AE60">IF($F60&lt;&gt;"",XLOOKUP($F60,Productos!$A:$A,Productos!X:X,"Revisar"),"")</f>
        <v/>
      </c>
      <c r="AF60" s="179" t="str">
        <f t="array" ref="AF60">IF($F60&lt;&gt;"", XLOOKUP($F60,Productos!$A$2:$A1001,Productos!Y$2:Y1001,"")*$G60,"")</f>
        <v/>
      </c>
      <c r="AG60" s="179" t="str">
        <f t="array" ref="AG60">IF($F60&lt;&gt;"",XLOOKUP($F60,Productos!$A:$A,Productos!Z:Z,"Revisar"),"")</f>
        <v/>
      </c>
      <c r="AH60" s="179" t="str">
        <f t="array" ref="AH60">IF($F60&lt;&gt;"", XLOOKUP($F60,Productos!$A$2:$A1001,Productos!AA$2:AA1001,"")*$G60,"")</f>
        <v/>
      </c>
      <c r="AI60" s="179" t="str">
        <f t="array" ref="AI60">IF($F60&lt;&gt;"",XLOOKUP($F60,Productos!$A:$A,Productos!AB:AB,"Revisar"),"")</f>
        <v/>
      </c>
      <c r="AJ60" s="179" t="str">
        <f t="array" ref="AJ60">IF($F60&lt;&gt;"", XLOOKUP($F60,Productos!$A$2:$A1001,Productos!AC$2:AC1001,"")*$G60,"")</f>
        <v/>
      </c>
      <c r="AK60" s="179" t="str">
        <f t="array" ref="AK60">IF($F60&lt;&gt;"",XLOOKUP($F60,Productos!$A:$A,Productos!AD:AD,"Revisar"),"")</f>
        <v/>
      </c>
      <c r="AL60" s="179" t="str">
        <f t="array" ref="AL60">IF($F60&lt;&gt;"", XLOOKUP($F60,Productos!$A$2:$A1001,Productos!AE$2:AE1001,"")*$G60,"")</f>
        <v/>
      </c>
      <c r="AM60" s="179" t="str">
        <f t="array" ref="AM60">IF($F60&lt;&gt;"",XLOOKUP($F60,Productos!$A:$A,Productos!AF:AF,"Revisar"),"")</f>
        <v/>
      </c>
      <c r="AN60" s="179" t="str">
        <f t="array" ref="AN60">IF($F60&lt;&gt;"", XLOOKUP($F60,Productos!$A$2:$A1001,Productos!AG$2:AG1001,"")*$G60,"")</f>
        <v/>
      </c>
      <c r="AO60" s="179" t="str">
        <f t="array" ref="AO60">IF($F60&lt;&gt;"",XLOOKUP($F60,Productos!$A:$A,Productos!AH:AH,"Revisar"),"")</f>
        <v/>
      </c>
      <c r="AP60" s="179" t="str">
        <f t="array" ref="AP60">IF($F60&lt;&gt;"", XLOOKUP($F60,Productos!$A$2:$A1001,Productos!AI$2:AI1001,"")*$G60,"")</f>
        <v/>
      </c>
      <c r="AQ60" s="179" t="str">
        <f t="array" ref="AQ60">IF($F60&lt;&gt;"",XLOOKUP($F60,Productos!$A:$A,Productos!AJ:AJ,"Revisar"),"")</f>
        <v/>
      </c>
      <c r="AR60" s="179" t="str">
        <f t="array" ref="AR60">IF($F60&lt;&gt;"", XLOOKUP($F60,Productos!$A$2:$A1001,Productos!AK$2:AK1001,"")*$G60,"")</f>
        <v/>
      </c>
      <c r="AS60" s="179" t="str">
        <f t="array" ref="AS60">IF($F60&lt;&gt;"",XLOOKUP($F60,Productos!$A:$A,Productos!AL:AL,"Revisar"),"")</f>
        <v/>
      </c>
      <c r="AT60" s="179" t="str">
        <f t="array" ref="AT60">IF($F60&lt;&gt;"", XLOOKUP($F60,Productos!$A$2:$A1001,Productos!AM$2:AM1001,"")*$G60,"")</f>
        <v/>
      </c>
      <c r="AU60" s="179" t="str">
        <f t="array" ref="AU60">IF($F60&lt;&gt;"",XLOOKUP($F60,Productos!$A:$A,Productos!AN:AN,"Revisar"),"")</f>
        <v/>
      </c>
      <c r="AV60" s="179" t="str">
        <f t="array" ref="AV60">IF($F60&lt;&gt;"", XLOOKUP($F60,Productos!$A$2:$A1001,Productos!AO$2:AO1001,"")*$G60,"")</f>
        <v/>
      </c>
      <c r="AW60" s="179" t="str">
        <f t="array" ref="AW60">IF($F60&lt;&gt;"",XLOOKUP($F60,Productos!$A:$A,Productos!AP:AP,"Revisar"),"")</f>
        <v/>
      </c>
      <c r="AX60" s="179" t="str">
        <f t="array" ref="AX60">IF($F60&lt;&gt;"", XLOOKUP($F60,Productos!$A$2:$A1001,Productos!AQ$2:AQ1001,"")*$G60,"")</f>
        <v/>
      </c>
      <c r="AY60" s="179" t="str">
        <f t="array" ref="AY60">IF($F60&lt;&gt;"",XLOOKUP($F60,Productos!$A:$A,Productos!AR:AR,"Revisar"),"")</f>
        <v/>
      </c>
      <c r="AZ60" s="179" t="str">
        <f t="array" ref="AZ60">IF($F60&lt;&gt;"", XLOOKUP($F60,Productos!$A$2:$A1001,Productos!AS$2:AS1001,"")*$G60,"")</f>
        <v/>
      </c>
      <c r="BA60" s="179" t="str">
        <f t="array" ref="BA60">IF($F60&lt;&gt;"",XLOOKUP($F60,Productos!$A:$A,Productos!AT:AT,"Revisar"),"")</f>
        <v/>
      </c>
      <c r="BB60" s="179" t="str">
        <f t="array" ref="BB60">IF($F60&lt;&gt;"", XLOOKUP($F60,Productos!$A$2:$A1001,Productos!AU$2:AU1001,"")*$G60,"")</f>
        <v/>
      </c>
      <c r="BC60" s="179" t="str">
        <f t="array" ref="BC60">IF($F60&lt;&gt;"",XLOOKUP($F60,Productos!$A:$A,Productos!AV:AV,"Revisar"),"")</f>
        <v/>
      </c>
      <c r="BD60" s="179" t="str">
        <f t="array" ref="BD60">IF($F60&lt;&gt;"", XLOOKUP($F60,Productos!$A$2:$A1001,Productos!AW$2:AW1001,"")*$G60,"")</f>
        <v/>
      </c>
      <c r="BE60" s="179" t="str">
        <f t="array" ref="BE60">IF($F60&lt;&gt;"",XLOOKUP($F60,Productos!$A:$A,Productos!AX:AX,"Revisar"),"")</f>
        <v/>
      </c>
      <c r="BF60" s="179" t="str">
        <f t="array" ref="BF60">IF($F60&lt;&gt;"", XLOOKUP($F60,Productos!$A$2:$A1001,Productos!AY$2:AY1001,"")*$G60,"")</f>
        <v/>
      </c>
      <c r="BG60" s="179" t="str">
        <f t="array" ref="BG60">IF($F60&lt;&gt;"",XLOOKUP($F60,Productos!$A:$A,Productos!AZ:AZ,"Revisar"),"")</f>
        <v/>
      </c>
      <c r="BH60" s="179" t="str">
        <f t="array" ref="BH60">IF($F60&lt;&gt;"", XLOOKUP($F60,Productos!$A$2:$A1001,Productos!BA$2:BA1001,"")*$G60,"")</f>
        <v/>
      </c>
      <c r="BI60" s="179" t="str">
        <f t="array" ref="BI60">IF($F60&lt;&gt;"",XLOOKUP($F60,Productos!$A:$A,Productos!BB:BB,"Revisar"),"")</f>
        <v/>
      </c>
      <c r="BJ60" s="179" t="str">
        <f t="array" ref="BJ60">IF($F60&lt;&gt;"", XLOOKUP($F60,Productos!$A$2:$A1001,Productos!BC$2:BC1001,"")*$G60,"")</f>
        <v/>
      </c>
      <c r="BK60" s="179" t="str">
        <f t="array" ref="BK60">IF($F60&lt;&gt;"",XLOOKUP($F60,Productos!$A:$A,Productos!BD:BD,"Revisar"),"")</f>
        <v/>
      </c>
      <c r="BL60" s="179" t="str">
        <f t="array" ref="BL60">IF($F60&lt;&gt;"", XLOOKUP($F60,Productos!$A$2:$A1001,Productos!BE$2:BE1001,"")*$G60,"")</f>
        <v/>
      </c>
      <c r="BM60" s="179" t="str">
        <f t="array" ref="BM60">IF($F60&lt;&gt;"",XLOOKUP($F60,Productos!$A:$A,Productos!BF:BF,"Revisar"),"")</f>
        <v/>
      </c>
      <c r="BN60" s="179" t="str">
        <f t="array" ref="BN60">IF($F60&lt;&gt;"", XLOOKUP($F60,Productos!$A$2:$A1001,Productos!BG$2:BG1001,"")*$G60,"")</f>
        <v/>
      </c>
      <c r="BO60" s="179" t="str">
        <f t="array" ref="BO60">IF($F60&lt;&gt;"",XLOOKUP($F60,Productos!$A:$A,Productos!BH:BH,"Revisar"),"")</f>
        <v/>
      </c>
      <c r="BP60" s="179" t="str">
        <f t="array" ref="BP60">IF($F60&lt;&gt;"", XLOOKUP($F60,Productos!$A$2:$A1001,Productos!BI$2:BI1001,"")*$G60,"")</f>
        <v/>
      </c>
      <c r="BQ60" s="179" t="str">
        <f t="array" ref="BQ60">IF($F60&lt;&gt;"",XLOOKUP($F60,Productos!$A:$A,Productos!BJ:BJ,"Revisar"),"")</f>
        <v/>
      </c>
      <c r="BR60" s="179" t="str">
        <f t="array" ref="BR60">IF($F60&lt;&gt;"", XLOOKUP($F60,Productos!$A$2:$A1001,Productos!BK$2:BK1001,"")*$G60,"")</f>
        <v/>
      </c>
      <c r="BS60" s="179" t="str">
        <f t="array" ref="BS60">IF($F60&lt;&gt;"",XLOOKUP($F60,Productos!$A:$A,Productos!BL:BL,"Revisar"),"")</f>
        <v/>
      </c>
      <c r="BT60" s="179" t="str">
        <f t="array" ref="BT60">IF($F60&lt;&gt;"", XLOOKUP($F60,Productos!$A$2:$A1001,Productos!BM$2:BM1001,"")*$G60,"")</f>
        <v/>
      </c>
      <c r="BU60" s="179" t="str">
        <f t="array" ref="BU60">IF($F60&lt;&gt;"",XLOOKUP($F60,Productos!$A:$A,Productos!BN:BN,"Revisar"),"")</f>
        <v/>
      </c>
      <c r="BV60" s="179" t="str">
        <f t="array" ref="BV60">IF($F60&lt;&gt;"", XLOOKUP($F60,Productos!$A$2:$A1001,Productos!BO$2:BO1001,"")*$G60,"")</f>
        <v/>
      </c>
      <c r="BW60" s="179" t="str">
        <f t="array" ref="BW60">IF($F60&lt;&gt;"",XLOOKUP($F60,Productos!$A:$A,Productos!BP:BP,"Revisar"),"")</f>
        <v/>
      </c>
      <c r="BX60" s="179" t="str">
        <f t="array" ref="BX60">IF($F60&lt;&gt;"", XLOOKUP($F60,Productos!$A$2:$A1001,Productos!BQ$2:BQ1001,"")*$G60,"")</f>
        <v/>
      </c>
      <c r="BY60" s="179" t="str">
        <f t="array" ref="BY60">IF($F60&lt;&gt;"",XLOOKUP($F60,Productos!$A:$A,Productos!BR:BR,"Revisar"),"")</f>
        <v/>
      </c>
      <c r="BZ60" s="179" t="str">
        <f t="array" ref="BZ60">IF($F60&lt;&gt;"", XLOOKUP($F60,Productos!$A$2:$A1001,Productos!BS$2:BS1001,"")*$G60,"")</f>
        <v/>
      </c>
    </row>
    <row r="61">
      <c r="A61" s="180"/>
      <c r="B61" s="181"/>
      <c r="C61" s="182"/>
      <c r="D61" s="182"/>
      <c r="E61" s="185"/>
      <c r="F61" s="186"/>
      <c r="G61" s="187"/>
      <c r="H61" s="186"/>
      <c r="I61" s="179" t="str">
        <f t="array" ref="I61">IF($F61&lt;&gt;"",XLOOKUP($F61,Productos!$A:$A,Productos!B:B,"Revisar"),"")</f>
        <v/>
      </c>
      <c r="J61" s="179" t="str">
        <f t="array" ref="J61">IF($F61&lt;&gt;"", XLOOKUP($F61,Productos!$A$2:$A1001,Productos!C$2:C1001,"")*$G61,"")</f>
        <v/>
      </c>
      <c r="K61" s="179" t="str">
        <f t="array" ref="K61">IF($F61&lt;&gt;"",XLOOKUP($F61,Productos!$A:$A,Productos!D:D,"Revisar"),"")</f>
        <v/>
      </c>
      <c r="L61" s="179" t="str">
        <f t="array" ref="L61">IF($F61&lt;&gt;"", XLOOKUP($F61,Productos!$A$2:$A1001,Productos!E$2:E1001,"")*$G61,"")</f>
        <v/>
      </c>
      <c r="M61" s="179" t="str">
        <f t="array" ref="M61">IF($F61&lt;&gt;"",XLOOKUP($F61,Productos!$A:$A,Productos!F:F,"Revisar"),"")</f>
        <v/>
      </c>
      <c r="N61" s="179" t="str">
        <f t="array" ref="N61">IF($F61&lt;&gt;"", XLOOKUP($F61,Productos!$A$2:$A1001,Productos!G$2:G1001,"")*$G61,"")</f>
        <v/>
      </c>
      <c r="O61" s="179" t="str">
        <f t="array" ref="O61">IF($F61&lt;&gt;"",XLOOKUP($F61,Productos!$A:$A,Productos!H:H,"Revisar"),"")</f>
        <v/>
      </c>
      <c r="P61" s="179" t="str">
        <f t="array" ref="P61">IF($F61&lt;&gt;"", XLOOKUP($F61,Productos!$A$2:$A1001,Productos!I$2:I1001,"")*$G61,"")</f>
        <v/>
      </c>
      <c r="Q61" s="179" t="str">
        <f t="array" ref="Q61">IF($F61&lt;&gt;"",XLOOKUP($F61,Productos!$A:$A,Productos!J:J,"Revisar"),"")</f>
        <v/>
      </c>
      <c r="R61" s="179" t="str">
        <f t="array" ref="R61">IF($F61&lt;&gt;"", XLOOKUP($F61,Productos!$A$2:$A1001,Productos!K$2:K1001,"")*$G61,"")</f>
        <v/>
      </c>
      <c r="S61" s="179" t="str">
        <f t="array" ref="S61">IF($F61&lt;&gt;"",XLOOKUP($F61,Productos!$A:$A,Productos!L:L,"Revisar"),"")</f>
        <v/>
      </c>
      <c r="T61" s="179" t="str">
        <f t="array" ref="T61">IF($F61&lt;&gt;"", XLOOKUP($F61,Productos!$A$2:$A1001,Productos!M$2:M1001,"")*$G61,"")</f>
        <v/>
      </c>
      <c r="U61" s="179" t="str">
        <f t="array" ref="U61">IF($F61&lt;&gt;"",XLOOKUP($F61,Productos!$A:$A,Productos!N:N,"Revisar"),"")</f>
        <v/>
      </c>
      <c r="V61" s="179" t="str">
        <f t="array" ref="V61">IF($F61&lt;&gt;"", XLOOKUP($F61,Productos!$A$2:$A1001,Productos!O$2:O1001,"")*$G61,"")</f>
        <v/>
      </c>
      <c r="W61" s="179" t="str">
        <f t="array" ref="W61">IF($F61&lt;&gt;"",XLOOKUP($F61,Productos!$A:$A,Productos!P:P,"Revisar"),"")</f>
        <v/>
      </c>
      <c r="X61" s="179" t="str">
        <f t="array" ref="X61">IF($F61&lt;&gt;"", XLOOKUP($F61,Productos!$A$2:$A1001,Productos!Q$2:Q1001,"")*$G61,"")</f>
        <v/>
      </c>
      <c r="Y61" s="179" t="str">
        <f t="array" ref="Y61">IF($F61&lt;&gt;"",XLOOKUP($F61,Productos!$A:$A,Productos!R:R,"Revisar"),"")</f>
        <v/>
      </c>
      <c r="Z61" s="179" t="str">
        <f t="array" ref="Z61">IF($F61&lt;&gt;"", XLOOKUP($F61,Productos!$A$2:$A1001,Productos!S$2:S1001,"")*$G61,"")</f>
        <v/>
      </c>
      <c r="AA61" s="179" t="str">
        <f t="array" ref="AA61">IF($F61&lt;&gt;"",XLOOKUP($F61,Productos!$A:$A,Productos!T:T,"Revisar"),"")</f>
        <v/>
      </c>
      <c r="AB61" s="179" t="str">
        <f t="array" ref="AB61">IF($F61&lt;&gt;"", XLOOKUP($F61,Productos!$A$2:$A1001,Productos!U$2:U1001,"")*$G61,"")</f>
        <v/>
      </c>
      <c r="AC61" s="179" t="str">
        <f t="array" ref="AC61">IF($F61&lt;&gt;"",XLOOKUP($F61,Productos!$A:$A,Productos!V:V,"Revisar"),"")</f>
        <v/>
      </c>
      <c r="AD61" s="179" t="str">
        <f t="array" ref="AD61">IF($F61&lt;&gt;"", XLOOKUP($F61,Productos!$A$2:$A1001,Productos!W$2:W1001,"")*$G61,"")</f>
        <v/>
      </c>
      <c r="AE61" s="179" t="str">
        <f t="array" ref="AE61">IF($F61&lt;&gt;"",XLOOKUP($F61,Productos!$A:$A,Productos!X:X,"Revisar"),"")</f>
        <v/>
      </c>
      <c r="AF61" s="179" t="str">
        <f t="array" ref="AF61">IF($F61&lt;&gt;"", XLOOKUP($F61,Productos!$A$2:$A1001,Productos!Y$2:Y1001,"")*$G61,"")</f>
        <v/>
      </c>
      <c r="AG61" s="179" t="str">
        <f t="array" ref="AG61">IF($F61&lt;&gt;"",XLOOKUP($F61,Productos!$A:$A,Productos!Z:Z,"Revisar"),"")</f>
        <v/>
      </c>
      <c r="AH61" s="179" t="str">
        <f t="array" ref="AH61">IF($F61&lt;&gt;"", XLOOKUP($F61,Productos!$A$2:$A1001,Productos!AA$2:AA1001,"")*$G61,"")</f>
        <v/>
      </c>
      <c r="AI61" s="179" t="str">
        <f t="array" ref="AI61">IF($F61&lt;&gt;"",XLOOKUP($F61,Productos!$A:$A,Productos!AB:AB,"Revisar"),"")</f>
        <v/>
      </c>
      <c r="AJ61" s="179" t="str">
        <f t="array" ref="AJ61">IF($F61&lt;&gt;"", XLOOKUP($F61,Productos!$A$2:$A1001,Productos!AC$2:AC1001,"")*$G61,"")</f>
        <v/>
      </c>
      <c r="AK61" s="179" t="str">
        <f t="array" ref="AK61">IF($F61&lt;&gt;"",XLOOKUP($F61,Productos!$A:$A,Productos!AD:AD,"Revisar"),"")</f>
        <v/>
      </c>
      <c r="AL61" s="179" t="str">
        <f t="array" ref="AL61">IF($F61&lt;&gt;"", XLOOKUP($F61,Productos!$A$2:$A1001,Productos!AE$2:AE1001,"")*$G61,"")</f>
        <v/>
      </c>
      <c r="AM61" s="179" t="str">
        <f t="array" ref="AM61">IF($F61&lt;&gt;"",XLOOKUP($F61,Productos!$A:$A,Productos!AF:AF,"Revisar"),"")</f>
        <v/>
      </c>
      <c r="AN61" s="179" t="str">
        <f t="array" ref="AN61">IF($F61&lt;&gt;"", XLOOKUP($F61,Productos!$A$2:$A1001,Productos!AG$2:AG1001,"")*$G61,"")</f>
        <v/>
      </c>
      <c r="AO61" s="179" t="str">
        <f t="array" ref="AO61">IF($F61&lt;&gt;"",XLOOKUP($F61,Productos!$A:$A,Productos!AH:AH,"Revisar"),"")</f>
        <v/>
      </c>
      <c r="AP61" s="179" t="str">
        <f t="array" ref="AP61">IF($F61&lt;&gt;"", XLOOKUP($F61,Productos!$A$2:$A1001,Productos!AI$2:AI1001,"")*$G61,"")</f>
        <v/>
      </c>
      <c r="AQ61" s="179" t="str">
        <f t="array" ref="AQ61">IF($F61&lt;&gt;"",XLOOKUP($F61,Productos!$A:$A,Productos!AJ:AJ,"Revisar"),"")</f>
        <v/>
      </c>
      <c r="AR61" s="179" t="str">
        <f t="array" ref="AR61">IF($F61&lt;&gt;"", XLOOKUP($F61,Productos!$A$2:$A1001,Productos!AK$2:AK1001,"")*$G61,"")</f>
        <v/>
      </c>
      <c r="AS61" s="179" t="str">
        <f t="array" ref="AS61">IF($F61&lt;&gt;"",XLOOKUP($F61,Productos!$A:$A,Productos!AL:AL,"Revisar"),"")</f>
        <v/>
      </c>
      <c r="AT61" s="179" t="str">
        <f t="array" ref="AT61">IF($F61&lt;&gt;"", XLOOKUP($F61,Productos!$A$2:$A1001,Productos!AM$2:AM1001,"")*$G61,"")</f>
        <v/>
      </c>
      <c r="AU61" s="179" t="str">
        <f t="array" ref="AU61">IF($F61&lt;&gt;"",XLOOKUP($F61,Productos!$A:$A,Productos!AN:AN,"Revisar"),"")</f>
        <v/>
      </c>
      <c r="AV61" s="179" t="str">
        <f t="array" ref="AV61">IF($F61&lt;&gt;"", XLOOKUP($F61,Productos!$A$2:$A1001,Productos!AO$2:AO1001,"")*$G61,"")</f>
        <v/>
      </c>
      <c r="AW61" s="179" t="str">
        <f t="array" ref="AW61">IF($F61&lt;&gt;"",XLOOKUP($F61,Productos!$A:$A,Productos!AP:AP,"Revisar"),"")</f>
        <v/>
      </c>
      <c r="AX61" s="179" t="str">
        <f t="array" ref="AX61">IF($F61&lt;&gt;"", XLOOKUP($F61,Productos!$A$2:$A1001,Productos!AQ$2:AQ1001,"")*$G61,"")</f>
        <v/>
      </c>
      <c r="AY61" s="179" t="str">
        <f t="array" ref="AY61">IF($F61&lt;&gt;"",XLOOKUP($F61,Productos!$A:$A,Productos!AR:AR,"Revisar"),"")</f>
        <v/>
      </c>
      <c r="AZ61" s="179" t="str">
        <f t="array" ref="AZ61">IF($F61&lt;&gt;"", XLOOKUP($F61,Productos!$A$2:$A1001,Productos!AS$2:AS1001,"")*$G61,"")</f>
        <v/>
      </c>
      <c r="BA61" s="179" t="str">
        <f t="array" ref="BA61">IF($F61&lt;&gt;"",XLOOKUP($F61,Productos!$A:$A,Productos!AT:AT,"Revisar"),"")</f>
        <v/>
      </c>
      <c r="BB61" s="179" t="str">
        <f t="array" ref="BB61">IF($F61&lt;&gt;"", XLOOKUP($F61,Productos!$A$2:$A1001,Productos!AU$2:AU1001,"")*$G61,"")</f>
        <v/>
      </c>
      <c r="BC61" s="179" t="str">
        <f t="array" ref="BC61">IF($F61&lt;&gt;"",XLOOKUP($F61,Productos!$A:$A,Productos!AV:AV,"Revisar"),"")</f>
        <v/>
      </c>
      <c r="BD61" s="179" t="str">
        <f t="array" ref="BD61">IF($F61&lt;&gt;"", XLOOKUP($F61,Productos!$A$2:$A1001,Productos!AW$2:AW1001,"")*$G61,"")</f>
        <v/>
      </c>
      <c r="BE61" s="179" t="str">
        <f t="array" ref="BE61">IF($F61&lt;&gt;"",XLOOKUP($F61,Productos!$A:$A,Productos!AX:AX,"Revisar"),"")</f>
        <v/>
      </c>
      <c r="BF61" s="179" t="str">
        <f t="array" ref="BF61">IF($F61&lt;&gt;"", XLOOKUP($F61,Productos!$A$2:$A1001,Productos!AY$2:AY1001,"")*$G61,"")</f>
        <v/>
      </c>
      <c r="BG61" s="179" t="str">
        <f t="array" ref="BG61">IF($F61&lt;&gt;"",XLOOKUP($F61,Productos!$A:$A,Productos!AZ:AZ,"Revisar"),"")</f>
        <v/>
      </c>
      <c r="BH61" s="179" t="str">
        <f t="array" ref="BH61">IF($F61&lt;&gt;"", XLOOKUP($F61,Productos!$A$2:$A1001,Productos!BA$2:BA1001,"")*$G61,"")</f>
        <v/>
      </c>
      <c r="BI61" s="179" t="str">
        <f t="array" ref="BI61">IF($F61&lt;&gt;"",XLOOKUP($F61,Productos!$A:$A,Productos!BB:BB,"Revisar"),"")</f>
        <v/>
      </c>
      <c r="BJ61" s="179" t="str">
        <f t="array" ref="BJ61">IF($F61&lt;&gt;"", XLOOKUP($F61,Productos!$A$2:$A1001,Productos!BC$2:BC1001,"")*$G61,"")</f>
        <v/>
      </c>
      <c r="BK61" s="179" t="str">
        <f t="array" ref="BK61">IF($F61&lt;&gt;"",XLOOKUP($F61,Productos!$A:$A,Productos!BD:BD,"Revisar"),"")</f>
        <v/>
      </c>
      <c r="BL61" s="179" t="str">
        <f t="array" ref="BL61">IF($F61&lt;&gt;"", XLOOKUP($F61,Productos!$A$2:$A1001,Productos!BE$2:BE1001,"")*$G61,"")</f>
        <v/>
      </c>
      <c r="BM61" s="179" t="str">
        <f t="array" ref="BM61">IF($F61&lt;&gt;"",XLOOKUP($F61,Productos!$A:$A,Productos!BF:BF,"Revisar"),"")</f>
        <v/>
      </c>
      <c r="BN61" s="179" t="str">
        <f t="array" ref="BN61">IF($F61&lt;&gt;"", XLOOKUP($F61,Productos!$A$2:$A1001,Productos!BG$2:BG1001,"")*$G61,"")</f>
        <v/>
      </c>
      <c r="BO61" s="179" t="str">
        <f t="array" ref="BO61">IF($F61&lt;&gt;"",XLOOKUP($F61,Productos!$A:$A,Productos!BH:BH,"Revisar"),"")</f>
        <v/>
      </c>
      <c r="BP61" s="179" t="str">
        <f t="array" ref="BP61">IF($F61&lt;&gt;"", XLOOKUP($F61,Productos!$A$2:$A1001,Productos!BI$2:BI1001,"")*$G61,"")</f>
        <v/>
      </c>
      <c r="BQ61" s="179" t="str">
        <f t="array" ref="BQ61">IF($F61&lt;&gt;"",XLOOKUP($F61,Productos!$A:$A,Productos!BJ:BJ,"Revisar"),"")</f>
        <v/>
      </c>
      <c r="BR61" s="179" t="str">
        <f t="array" ref="BR61">IF($F61&lt;&gt;"", XLOOKUP($F61,Productos!$A$2:$A1001,Productos!BK$2:BK1001,"")*$G61,"")</f>
        <v/>
      </c>
      <c r="BS61" s="179" t="str">
        <f t="array" ref="BS61">IF($F61&lt;&gt;"",XLOOKUP($F61,Productos!$A:$A,Productos!BL:BL,"Revisar"),"")</f>
        <v/>
      </c>
      <c r="BT61" s="179" t="str">
        <f t="array" ref="BT61">IF($F61&lt;&gt;"", XLOOKUP($F61,Productos!$A$2:$A1001,Productos!BM$2:BM1001,"")*$G61,"")</f>
        <v/>
      </c>
      <c r="BU61" s="179" t="str">
        <f t="array" ref="BU61">IF($F61&lt;&gt;"",XLOOKUP($F61,Productos!$A:$A,Productos!BN:BN,"Revisar"),"")</f>
        <v/>
      </c>
      <c r="BV61" s="179" t="str">
        <f t="array" ref="BV61">IF($F61&lt;&gt;"", XLOOKUP($F61,Productos!$A$2:$A1001,Productos!BO$2:BO1001,"")*$G61,"")</f>
        <v/>
      </c>
      <c r="BW61" s="179" t="str">
        <f t="array" ref="BW61">IF($F61&lt;&gt;"",XLOOKUP($F61,Productos!$A:$A,Productos!BP:BP,"Revisar"),"")</f>
        <v/>
      </c>
      <c r="BX61" s="179" t="str">
        <f t="array" ref="BX61">IF($F61&lt;&gt;"", XLOOKUP($F61,Productos!$A$2:$A1001,Productos!BQ$2:BQ1001,"")*$G61,"")</f>
        <v/>
      </c>
      <c r="BY61" s="179" t="str">
        <f t="array" ref="BY61">IF($F61&lt;&gt;"",XLOOKUP($F61,Productos!$A:$A,Productos!BR:BR,"Revisar"),"")</f>
        <v/>
      </c>
      <c r="BZ61" s="179" t="str">
        <f t="array" ref="BZ61">IF($F61&lt;&gt;"", XLOOKUP($F61,Productos!$A$2:$A1001,Productos!BS$2:BS1001,"")*$G61,"")</f>
        <v/>
      </c>
    </row>
    <row r="62">
      <c r="A62" s="180"/>
      <c r="B62" s="181"/>
      <c r="C62" s="182"/>
      <c r="D62" s="182"/>
      <c r="E62" s="185"/>
      <c r="F62" s="186"/>
      <c r="G62" s="187"/>
      <c r="H62" s="186"/>
      <c r="I62" s="179" t="str">
        <f t="array" ref="I62">IF($F62&lt;&gt;"",XLOOKUP($F62,Productos!$A:$A,Productos!B:B,"Revisar"),"")</f>
        <v/>
      </c>
      <c r="J62" s="179" t="str">
        <f t="array" ref="J62">IF($F62&lt;&gt;"", XLOOKUP($F62,Productos!$A$2:$A1001,Productos!C$2:C1001,"")*$G62,"")</f>
        <v/>
      </c>
      <c r="K62" s="179" t="str">
        <f t="array" ref="K62">IF($F62&lt;&gt;"",XLOOKUP($F62,Productos!$A:$A,Productos!D:D,"Revisar"),"")</f>
        <v/>
      </c>
      <c r="L62" s="179" t="str">
        <f t="array" ref="L62">IF($F62&lt;&gt;"", XLOOKUP($F62,Productos!$A$2:$A1001,Productos!E$2:E1001,"")*$G62,"")</f>
        <v/>
      </c>
      <c r="M62" s="179" t="str">
        <f t="array" ref="M62">IF($F62&lt;&gt;"",XLOOKUP($F62,Productos!$A:$A,Productos!F:F,"Revisar"),"")</f>
        <v/>
      </c>
      <c r="N62" s="179" t="str">
        <f t="array" ref="N62">IF($F62&lt;&gt;"", XLOOKUP($F62,Productos!$A$2:$A1001,Productos!G$2:G1001,"")*$G62,"")</f>
        <v/>
      </c>
      <c r="O62" s="179" t="str">
        <f t="array" ref="O62">IF($F62&lt;&gt;"",XLOOKUP($F62,Productos!$A:$A,Productos!H:H,"Revisar"),"")</f>
        <v/>
      </c>
      <c r="P62" s="179" t="str">
        <f t="array" ref="P62">IF($F62&lt;&gt;"", XLOOKUP($F62,Productos!$A$2:$A1001,Productos!I$2:I1001,"")*$G62,"")</f>
        <v/>
      </c>
      <c r="Q62" s="179" t="str">
        <f t="array" ref="Q62">IF($F62&lt;&gt;"",XLOOKUP($F62,Productos!$A:$A,Productos!J:J,"Revisar"),"")</f>
        <v/>
      </c>
      <c r="R62" s="179" t="str">
        <f t="array" ref="R62">IF($F62&lt;&gt;"", XLOOKUP($F62,Productos!$A$2:$A1001,Productos!K$2:K1001,"")*$G62,"")</f>
        <v/>
      </c>
      <c r="S62" s="179" t="str">
        <f t="array" ref="S62">IF($F62&lt;&gt;"",XLOOKUP($F62,Productos!$A:$A,Productos!L:L,"Revisar"),"")</f>
        <v/>
      </c>
      <c r="T62" s="179" t="str">
        <f t="array" ref="T62">IF($F62&lt;&gt;"", XLOOKUP($F62,Productos!$A$2:$A1001,Productos!M$2:M1001,"")*$G62,"")</f>
        <v/>
      </c>
      <c r="U62" s="179" t="str">
        <f t="array" ref="U62">IF($F62&lt;&gt;"",XLOOKUP($F62,Productos!$A:$A,Productos!N:N,"Revisar"),"")</f>
        <v/>
      </c>
      <c r="V62" s="179" t="str">
        <f t="array" ref="V62">IF($F62&lt;&gt;"", XLOOKUP($F62,Productos!$A$2:$A1001,Productos!O$2:O1001,"")*$G62,"")</f>
        <v/>
      </c>
      <c r="W62" s="179" t="str">
        <f t="array" ref="W62">IF($F62&lt;&gt;"",XLOOKUP($F62,Productos!$A:$A,Productos!P:P,"Revisar"),"")</f>
        <v/>
      </c>
      <c r="X62" s="179" t="str">
        <f t="array" ref="X62">IF($F62&lt;&gt;"", XLOOKUP($F62,Productos!$A$2:$A1001,Productos!Q$2:Q1001,"")*$G62,"")</f>
        <v/>
      </c>
      <c r="Y62" s="179" t="str">
        <f t="array" ref="Y62">IF($F62&lt;&gt;"",XLOOKUP($F62,Productos!$A:$A,Productos!R:R,"Revisar"),"")</f>
        <v/>
      </c>
      <c r="Z62" s="179" t="str">
        <f t="array" ref="Z62">IF($F62&lt;&gt;"", XLOOKUP($F62,Productos!$A$2:$A1001,Productos!S$2:S1001,"")*$G62,"")</f>
        <v/>
      </c>
      <c r="AA62" s="179" t="str">
        <f t="array" ref="AA62">IF($F62&lt;&gt;"",XLOOKUP($F62,Productos!$A:$A,Productos!T:T,"Revisar"),"")</f>
        <v/>
      </c>
      <c r="AB62" s="179" t="str">
        <f t="array" ref="AB62">IF($F62&lt;&gt;"", XLOOKUP($F62,Productos!$A$2:$A1001,Productos!U$2:U1001,"")*$G62,"")</f>
        <v/>
      </c>
      <c r="AC62" s="179" t="str">
        <f t="array" ref="AC62">IF($F62&lt;&gt;"",XLOOKUP($F62,Productos!$A:$A,Productos!V:V,"Revisar"),"")</f>
        <v/>
      </c>
      <c r="AD62" s="179" t="str">
        <f t="array" ref="AD62">IF($F62&lt;&gt;"", XLOOKUP($F62,Productos!$A$2:$A1001,Productos!W$2:W1001,"")*$G62,"")</f>
        <v/>
      </c>
      <c r="AE62" s="179" t="str">
        <f t="array" ref="AE62">IF($F62&lt;&gt;"",XLOOKUP($F62,Productos!$A:$A,Productos!X:X,"Revisar"),"")</f>
        <v/>
      </c>
      <c r="AF62" s="179" t="str">
        <f t="array" ref="AF62">IF($F62&lt;&gt;"", XLOOKUP($F62,Productos!$A$2:$A1001,Productos!Y$2:Y1001,"")*$G62,"")</f>
        <v/>
      </c>
      <c r="AG62" s="179" t="str">
        <f t="array" ref="AG62">IF($F62&lt;&gt;"",XLOOKUP($F62,Productos!$A:$A,Productos!Z:Z,"Revisar"),"")</f>
        <v/>
      </c>
      <c r="AH62" s="179" t="str">
        <f t="array" ref="AH62">IF($F62&lt;&gt;"", XLOOKUP($F62,Productos!$A$2:$A1001,Productos!AA$2:AA1001,"")*$G62,"")</f>
        <v/>
      </c>
      <c r="AI62" s="179" t="str">
        <f t="array" ref="AI62">IF($F62&lt;&gt;"",XLOOKUP($F62,Productos!$A:$A,Productos!AB:AB,"Revisar"),"")</f>
        <v/>
      </c>
      <c r="AJ62" s="179" t="str">
        <f t="array" ref="AJ62">IF($F62&lt;&gt;"", XLOOKUP($F62,Productos!$A$2:$A1001,Productos!AC$2:AC1001,"")*$G62,"")</f>
        <v/>
      </c>
      <c r="AK62" s="179" t="str">
        <f t="array" ref="AK62">IF($F62&lt;&gt;"",XLOOKUP($F62,Productos!$A:$A,Productos!AD:AD,"Revisar"),"")</f>
        <v/>
      </c>
      <c r="AL62" s="179" t="str">
        <f t="array" ref="AL62">IF($F62&lt;&gt;"", XLOOKUP($F62,Productos!$A$2:$A1001,Productos!AE$2:AE1001,"")*$G62,"")</f>
        <v/>
      </c>
      <c r="AM62" s="179" t="str">
        <f t="array" ref="AM62">IF($F62&lt;&gt;"",XLOOKUP($F62,Productos!$A:$A,Productos!AF:AF,"Revisar"),"")</f>
        <v/>
      </c>
      <c r="AN62" s="179" t="str">
        <f t="array" ref="AN62">IF($F62&lt;&gt;"", XLOOKUP($F62,Productos!$A$2:$A1001,Productos!AG$2:AG1001,"")*$G62,"")</f>
        <v/>
      </c>
      <c r="AO62" s="179" t="str">
        <f t="array" ref="AO62">IF($F62&lt;&gt;"",XLOOKUP($F62,Productos!$A:$A,Productos!AH:AH,"Revisar"),"")</f>
        <v/>
      </c>
      <c r="AP62" s="179" t="str">
        <f t="array" ref="AP62">IF($F62&lt;&gt;"", XLOOKUP($F62,Productos!$A$2:$A1001,Productos!AI$2:AI1001,"")*$G62,"")</f>
        <v/>
      </c>
      <c r="AQ62" s="179" t="str">
        <f t="array" ref="AQ62">IF($F62&lt;&gt;"",XLOOKUP($F62,Productos!$A:$A,Productos!AJ:AJ,"Revisar"),"")</f>
        <v/>
      </c>
      <c r="AR62" s="179" t="str">
        <f t="array" ref="AR62">IF($F62&lt;&gt;"", XLOOKUP($F62,Productos!$A$2:$A1001,Productos!AK$2:AK1001,"")*$G62,"")</f>
        <v/>
      </c>
      <c r="AS62" s="179" t="str">
        <f t="array" ref="AS62">IF($F62&lt;&gt;"",XLOOKUP($F62,Productos!$A:$A,Productos!AL:AL,"Revisar"),"")</f>
        <v/>
      </c>
      <c r="AT62" s="179" t="str">
        <f t="array" ref="AT62">IF($F62&lt;&gt;"", XLOOKUP($F62,Productos!$A$2:$A1001,Productos!AM$2:AM1001,"")*$G62,"")</f>
        <v/>
      </c>
      <c r="AU62" s="179" t="str">
        <f t="array" ref="AU62">IF($F62&lt;&gt;"",XLOOKUP($F62,Productos!$A:$A,Productos!AN:AN,"Revisar"),"")</f>
        <v/>
      </c>
      <c r="AV62" s="179" t="str">
        <f t="array" ref="AV62">IF($F62&lt;&gt;"", XLOOKUP($F62,Productos!$A$2:$A1001,Productos!AO$2:AO1001,"")*$G62,"")</f>
        <v/>
      </c>
      <c r="AW62" s="179" t="str">
        <f t="array" ref="AW62">IF($F62&lt;&gt;"",XLOOKUP($F62,Productos!$A:$A,Productos!AP:AP,"Revisar"),"")</f>
        <v/>
      </c>
      <c r="AX62" s="179" t="str">
        <f t="array" ref="AX62">IF($F62&lt;&gt;"", XLOOKUP($F62,Productos!$A$2:$A1001,Productos!AQ$2:AQ1001,"")*$G62,"")</f>
        <v/>
      </c>
      <c r="AY62" s="179" t="str">
        <f t="array" ref="AY62">IF($F62&lt;&gt;"",XLOOKUP($F62,Productos!$A:$A,Productos!AR:AR,"Revisar"),"")</f>
        <v/>
      </c>
      <c r="AZ62" s="179" t="str">
        <f t="array" ref="AZ62">IF($F62&lt;&gt;"", XLOOKUP($F62,Productos!$A$2:$A1001,Productos!AS$2:AS1001,"")*$G62,"")</f>
        <v/>
      </c>
      <c r="BA62" s="179" t="str">
        <f t="array" ref="BA62">IF($F62&lt;&gt;"",XLOOKUP($F62,Productos!$A:$A,Productos!AT:AT,"Revisar"),"")</f>
        <v/>
      </c>
      <c r="BB62" s="179" t="str">
        <f t="array" ref="BB62">IF($F62&lt;&gt;"", XLOOKUP($F62,Productos!$A$2:$A1001,Productos!AU$2:AU1001,"")*$G62,"")</f>
        <v/>
      </c>
      <c r="BC62" s="179" t="str">
        <f t="array" ref="BC62">IF($F62&lt;&gt;"",XLOOKUP($F62,Productos!$A:$A,Productos!AV:AV,"Revisar"),"")</f>
        <v/>
      </c>
      <c r="BD62" s="179" t="str">
        <f t="array" ref="BD62">IF($F62&lt;&gt;"", XLOOKUP($F62,Productos!$A$2:$A1001,Productos!AW$2:AW1001,"")*$G62,"")</f>
        <v/>
      </c>
      <c r="BE62" s="179" t="str">
        <f t="array" ref="BE62">IF($F62&lt;&gt;"",XLOOKUP($F62,Productos!$A:$A,Productos!AX:AX,"Revisar"),"")</f>
        <v/>
      </c>
      <c r="BF62" s="179" t="str">
        <f t="array" ref="BF62">IF($F62&lt;&gt;"", XLOOKUP($F62,Productos!$A$2:$A1001,Productos!AY$2:AY1001,"")*$G62,"")</f>
        <v/>
      </c>
      <c r="BG62" s="179" t="str">
        <f t="array" ref="BG62">IF($F62&lt;&gt;"",XLOOKUP($F62,Productos!$A:$A,Productos!AZ:AZ,"Revisar"),"")</f>
        <v/>
      </c>
      <c r="BH62" s="179" t="str">
        <f t="array" ref="BH62">IF($F62&lt;&gt;"", XLOOKUP($F62,Productos!$A$2:$A1001,Productos!BA$2:BA1001,"")*$G62,"")</f>
        <v/>
      </c>
      <c r="BI62" s="179" t="str">
        <f t="array" ref="BI62">IF($F62&lt;&gt;"",XLOOKUP($F62,Productos!$A:$A,Productos!BB:BB,"Revisar"),"")</f>
        <v/>
      </c>
      <c r="BJ62" s="179" t="str">
        <f t="array" ref="BJ62">IF($F62&lt;&gt;"", XLOOKUP($F62,Productos!$A$2:$A1001,Productos!BC$2:BC1001,"")*$G62,"")</f>
        <v/>
      </c>
      <c r="BK62" s="179" t="str">
        <f t="array" ref="BK62">IF($F62&lt;&gt;"",XLOOKUP($F62,Productos!$A:$A,Productos!BD:BD,"Revisar"),"")</f>
        <v/>
      </c>
      <c r="BL62" s="179" t="str">
        <f t="array" ref="BL62">IF($F62&lt;&gt;"", XLOOKUP($F62,Productos!$A$2:$A1001,Productos!BE$2:BE1001,"")*$G62,"")</f>
        <v/>
      </c>
      <c r="BM62" s="179" t="str">
        <f t="array" ref="BM62">IF($F62&lt;&gt;"",XLOOKUP($F62,Productos!$A:$A,Productos!BF:BF,"Revisar"),"")</f>
        <v/>
      </c>
      <c r="BN62" s="179" t="str">
        <f t="array" ref="BN62">IF($F62&lt;&gt;"", XLOOKUP($F62,Productos!$A$2:$A1001,Productos!BG$2:BG1001,"")*$G62,"")</f>
        <v/>
      </c>
      <c r="BO62" s="179" t="str">
        <f t="array" ref="BO62">IF($F62&lt;&gt;"",XLOOKUP($F62,Productos!$A:$A,Productos!BH:BH,"Revisar"),"")</f>
        <v/>
      </c>
      <c r="BP62" s="179" t="str">
        <f t="array" ref="BP62">IF($F62&lt;&gt;"", XLOOKUP($F62,Productos!$A$2:$A1001,Productos!BI$2:BI1001,"")*$G62,"")</f>
        <v/>
      </c>
      <c r="BQ62" s="179" t="str">
        <f t="array" ref="BQ62">IF($F62&lt;&gt;"",XLOOKUP($F62,Productos!$A:$A,Productos!BJ:BJ,"Revisar"),"")</f>
        <v/>
      </c>
      <c r="BR62" s="179" t="str">
        <f t="array" ref="BR62">IF($F62&lt;&gt;"", XLOOKUP($F62,Productos!$A$2:$A1001,Productos!BK$2:BK1001,"")*$G62,"")</f>
        <v/>
      </c>
      <c r="BS62" s="179" t="str">
        <f t="array" ref="BS62">IF($F62&lt;&gt;"",XLOOKUP($F62,Productos!$A:$A,Productos!BL:BL,"Revisar"),"")</f>
        <v/>
      </c>
      <c r="BT62" s="179" t="str">
        <f t="array" ref="BT62">IF($F62&lt;&gt;"", XLOOKUP($F62,Productos!$A$2:$A1001,Productos!BM$2:BM1001,"")*$G62,"")</f>
        <v/>
      </c>
      <c r="BU62" s="179" t="str">
        <f t="array" ref="BU62">IF($F62&lt;&gt;"",XLOOKUP($F62,Productos!$A:$A,Productos!BN:BN,"Revisar"),"")</f>
        <v/>
      </c>
      <c r="BV62" s="179" t="str">
        <f t="array" ref="BV62">IF($F62&lt;&gt;"", XLOOKUP($F62,Productos!$A$2:$A1001,Productos!BO$2:BO1001,"")*$G62,"")</f>
        <v/>
      </c>
      <c r="BW62" s="179" t="str">
        <f t="array" ref="BW62">IF($F62&lt;&gt;"",XLOOKUP($F62,Productos!$A:$A,Productos!BP:BP,"Revisar"),"")</f>
        <v/>
      </c>
      <c r="BX62" s="179" t="str">
        <f t="array" ref="BX62">IF($F62&lt;&gt;"", XLOOKUP($F62,Productos!$A$2:$A1001,Productos!BQ$2:BQ1001,"")*$G62,"")</f>
        <v/>
      </c>
      <c r="BY62" s="179" t="str">
        <f t="array" ref="BY62">IF($F62&lt;&gt;"",XLOOKUP($F62,Productos!$A:$A,Productos!BR:BR,"Revisar"),"")</f>
        <v/>
      </c>
      <c r="BZ62" s="179" t="str">
        <f t="array" ref="BZ62">IF($F62&lt;&gt;"", XLOOKUP($F62,Productos!$A$2:$A1001,Productos!BS$2:BS1001,"")*$G62,"")</f>
        <v/>
      </c>
    </row>
    <row r="63">
      <c r="A63" s="180"/>
      <c r="B63" s="181"/>
      <c r="C63" s="182"/>
      <c r="D63" s="182"/>
      <c r="E63" s="185"/>
      <c r="F63" s="186"/>
      <c r="G63" s="187"/>
      <c r="H63" s="186"/>
      <c r="I63" s="179" t="str">
        <f t="array" ref="I63">IF($F63&lt;&gt;"",XLOOKUP($F63,Productos!$A:$A,Productos!B:B,"Revisar"),"")</f>
        <v/>
      </c>
      <c r="J63" s="179" t="str">
        <f t="array" ref="J63">IF($F63&lt;&gt;"", XLOOKUP($F63,Productos!$A$2:$A1001,Productos!C$2:C1001,"")*$G63,"")</f>
        <v/>
      </c>
      <c r="K63" s="179" t="str">
        <f t="array" ref="K63">IF($F63&lt;&gt;"",XLOOKUP($F63,Productos!$A:$A,Productos!D:D,"Revisar"),"")</f>
        <v/>
      </c>
      <c r="L63" s="179" t="str">
        <f t="array" ref="L63">IF($F63&lt;&gt;"", XLOOKUP($F63,Productos!$A$2:$A1001,Productos!E$2:E1001,"")*$G63,"")</f>
        <v/>
      </c>
      <c r="M63" s="179" t="str">
        <f t="array" ref="M63">IF($F63&lt;&gt;"",XLOOKUP($F63,Productos!$A:$A,Productos!F:F,"Revisar"),"")</f>
        <v/>
      </c>
      <c r="N63" s="179" t="str">
        <f t="array" ref="N63">IF($F63&lt;&gt;"", XLOOKUP($F63,Productos!$A$2:$A1001,Productos!G$2:G1001,"")*$G63,"")</f>
        <v/>
      </c>
      <c r="O63" s="179" t="str">
        <f t="array" ref="O63">IF($F63&lt;&gt;"",XLOOKUP($F63,Productos!$A:$A,Productos!H:H,"Revisar"),"")</f>
        <v/>
      </c>
      <c r="P63" s="179" t="str">
        <f t="array" ref="P63">IF($F63&lt;&gt;"", XLOOKUP($F63,Productos!$A$2:$A1001,Productos!I$2:I1001,"")*$G63,"")</f>
        <v/>
      </c>
      <c r="Q63" s="179" t="str">
        <f t="array" ref="Q63">IF($F63&lt;&gt;"",XLOOKUP($F63,Productos!$A:$A,Productos!J:J,"Revisar"),"")</f>
        <v/>
      </c>
      <c r="R63" s="179" t="str">
        <f t="array" ref="R63">IF($F63&lt;&gt;"", XLOOKUP($F63,Productos!$A$2:$A1001,Productos!K$2:K1001,"")*$G63,"")</f>
        <v/>
      </c>
      <c r="S63" s="179" t="str">
        <f t="array" ref="S63">IF($F63&lt;&gt;"",XLOOKUP($F63,Productos!$A:$A,Productos!L:L,"Revisar"),"")</f>
        <v/>
      </c>
      <c r="T63" s="179" t="str">
        <f t="array" ref="T63">IF($F63&lt;&gt;"", XLOOKUP($F63,Productos!$A$2:$A1001,Productos!M$2:M1001,"")*$G63,"")</f>
        <v/>
      </c>
      <c r="U63" s="179" t="str">
        <f t="array" ref="U63">IF($F63&lt;&gt;"",XLOOKUP($F63,Productos!$A:$A,Productos!N:N,"Revisar"),"")</f>
        <v/>
      </c>
      <c r="V63" s="179" t="str">
        <f t="array" ref="V63">IF($F63&lt;&gt;"", XLOOKUP($F63,Productos!$A$2:$A1001,Productos!O$2:O1001,"")*$G63,"")</f>
        <v/>
      </c>
      <c r="W63" s="179" t="str">
        <f t="array" ref="W63">IF($F63&lt;&gt;"",XLOOKUP($F63,Productos!$A:$A,Productos!P:P,"Revisar"),"")</f>
        <v/>
      </c>
      <c r="X63" s="179" t="str">
        <f t="array" ref="X63">IF($F63&lt;&gt;"", XLOOKUP($F63,Productos!$A$2:$A1001,Productos!Q$2:Q1001,"")*$G63,"")</f>
        <v/>
      </c>
      <c r="Y63" s="179" t="str">
        <f t="array" ref="Y63">IF($F63&lt;&gt;"",XLOOKUP($F63,Productos!$A:$A,Productos!R:R,"Revisar"),"")</f>
        <v/>
      </c>
      <c r="Z63" s="179" t="str">
        <f t="array" ref="Z63">IF($F63&lt;&gt;"", XLOOKUP($F63,Productos!$A$2:$A1001,Productos!S$2:S1001,"")*$G63,"")</f>
        <v/>
      </c>
      <c r="AA63" s="179" t="str">
        <f t="array" ref="AA63">IF($F63&lt;&gt;"",XLOOKUP($F63,Productos!$A:$A,Productos!T:T,"Revisar"),"")</f>
        <v/>
      </c>
      <c r="AB63" s="179" t="str">
        <f t="array" ref="AB63">IF($F63&lt;&gt;"", XLOOKUP($F63,Productos!$A$2:$A1001,Productos!U$2:U1001,"")*$G63,"")</f>
        <v/>
      </c>
      <c r="AC63" s="179" t="str">
        <f t="array" ref="AC63">IF($F63&lt;&gt;"",XLOOKUP($F63,Productos!$A:$A,Productos!V:V,"Revisar"),"")</f>
        <v/>
      </c>
      <c r="AD63" s="179" t="str">
        <f t="array" ref="AD63">IF($F63&lt;&gt;"", XLOOKUP($F63,Productos!$A$2:$A1001,Productos!W$2:W1001,"")*$G63,"")</f>
        <v/>
      </c>
      <c r="AE63" s="179" t="str">
        <f t="array" ref="AE63">IF($F63&lt;&gt;"",XLOOKUP($F63,Productos!$A:$A,Productos!X:X,"Revisar"),"")</f>
        <v/>
      </c>
      <c r="AF63" s="179" t="str">
        <f t="array" ref="AF63">IF($F63&lt;&gt;"", XLOOKUP($F63,Productos!$A$2:$A1001,Productos!Y$2:Y1001,"")*$G63,"")</f>
        <v/>
      </c>
      <c r="AG63" s="179" t="str">
        <f t="array" ref="AG63">IF($F63&lt;&gt;"",XLOOKUP($F63,Productos!$A:$A,Productos!Z:Z,"Revisar"),"")</f>
        <v/>
      </c>
      <c r="AH63" s="179" t="str">
        <f t="array" ref="AH63">IF($F63&lt;&gt;"", XLOOKUP($F63,Productos!$A$2:$A1001,Productos!AA$2:AA1001,"")*$G63,"")</f>
        <v/>
      </c>
      <c r="AI63" s="179" t="str">
        <f t="array" ref="AI63">IF($F63&lt;&gt;"",XLOOKUP($F63,Productos!$A:$A,Productos!AB:AB,"Revisar"),"")</f>
        <v/>
      </c>
      <c r="AJ63" s="179" t="str">
        <f t="array" ref="AJ63">IF($F63&lt;&gt;"", XLOOKUP($F63,Productos!$A$2:$A1001,Productos!AC$2:AC1001,"")*$G63,"")</f>
        <v/>
      </c>
      <c r="AK63" s="179" t="str">
        <f t="array" ref="AK63">IF($F63&lt;&gt;"",XLOOKUP($F63,Productos!$A:$A,Productos!AD:AD,"Revisar"),"")</f>
        <v/>
      </c>
      <c r="AL63" s="179" t="str">
        <f t="array" ref="AL63">IF($F63&lt;&gt;"", XLOOKUP($F63,Productos!$A$2:$A1001,Productos!AE$2:AE1001,"")*$G63,"")</f>
        <v/>
      </c>
      <c r="AM63" s="179" t="str">
        <f t="array" ref="AM63">IF($F63&lt;&gt;"",XLOOKUP($F63,Productos!$A:$A,Productos!AF:AF,"Revisar"),"")</f>
        <v/>
      </c>
      <c r="AN63" s="179" t="str">
        <f t="array" ref="AN63">IF($F63&lt;&gt;"", XLOOKUP($F63,Productos!$A$2:$A1001,Productos!AG$2:AG1001,"")*$G63,"")</f>
        <v/>
      </c>
      <c r="AO63" s="179" t="str">
        <f t="array" ref="AO63">IF($F63&lt;&gt;"",XLOOKUP($F63,Productos!$A:$A,Productos!AH:AH,"Revisar"),"")</f>
        <v/>
      </c>
      <c r="AP63" s="179" t="str">
        <f t="array" ref="AP63">IF($F63&lt;&gt;"", XLOOKUP($F63,Productos!$A$2:$A1001,Productos!AI$2:AI1001,"")*$G63,"")</f>
        <v/>
      </c>
      <c r="AQ63" s="179" t="str">
        <f t="array" ref="AQ63">IF($F63&lt;&gt;"",XLOOKUP($F63,Productos!$A:$A,Productos!AJ:AJ,"Revisar"),"")</f>
        <v/>
      </c>
      <c r="AR63" s="179" t="str">
        <f t="array" ref="AR63">IF($F63&lt;&gt;"", XLOOKUP($F63,Productos!$A$2:$A1001,Productos!AK$2:AK1001,"")*$G63,"")</f>
        <v/>
      </c>
      <c r="AS63" s="179" t="str">
        <f t="array" ref="AS63">IF($F63&lt;&gt;"",XLOOKUP($F63,Productos!$A:$A,Productos!AL:AL,"Revisar"),"")</f>
        <v/>
      </c>
      <c r="AT63" s="179" t="str">
        <f t="array" ref="AT63">IF($F63&lt;&gt;"", XLOOKUP($F63,Productos!$A$2:$A1001,Productos!AM$2:AM1001,"")*$G63,"")</f>
        <v/>
      </c>
      <c r="AU63" s="179" t="str">
        <f t="array" ref="AU63">IF($F63&lt;&gt;"",XLOOKUP($F63,Productos!$A:$A,Productos!AN:AN,"Revisar"),"")</f>
        <v/>
      </c>
      <c r="AV63" s="179" t="str">
        <f t="array" ref="AV63">IF($F63&lt;&gt;"", XLOOKUP($F63,Productos!$A$2:$A1001,Productos!AO$2:AO1001,"")*$G63,"")</f>
        <v/>
      </c>
      <c r="AW63" s="179" t="str">
        <f t="array" ref="AW63">IF($F63&lt;&gt;"",XLOOKUP($F63,Productos!$A:$A,Productos!AP:AP,"Revisar"),"")</f>
        <v/>
      </c>
      <c r="AX63" s="179" t="str">
        <f t="array" ref="AX63">IF($F63&lt;&gt;"", XLOOKUP($F63,Productos!$A$2:$A1001,Productos!AQ$2:AQ1001,"")*$G63,"")</f>
        <v/>
      </c>
      <c r="AY63" s="179" t="str">
        <f t="array" ref="AY63">IF($F63&lt;&gt;"",XLOOKUP($F63,Productos!$A:$A,Productos!AR:AR,"Revisar"),"")</f>
        <v/>
      </c>
      <c r="AZ63" s="179" t="str">
        <f t="array" ref="AZ63">IF($F63&lt;&gt;"", XLOOKUP($F63,Productos!$A$2:$A1001,Productos!AS$2:AS1001,"")*$G63,"")</f>
        <v/>
      </c>
      <c r="BA63" s="179" t="str">
        <f t="array" ref="BA63">IF($F63&lt;&gt;"",XLOOKUP($F63,Productos!$A:$A,Productos!AT:AT,"Revisar"),"")</f>
        <v/>
      </c>
      <c r="BB63" s="179" t="str">
        <f t="array" ref="BB63">IF($F63&lt;&gt;"", XLOOKUP($F63,Productos!$A$2:$A1001,Productos!AU$2:AU1001,"")*$G63,"")</f>
        <v/>
      </c>
      <c r="BC63" s="179" t="str">
        <f t="array" ref="BC63">IF($F63&lt;&gt;"",XLOOKUP($F63,Productos!$A:$A,Productos!AV:AV,"Revisar"),"")</f>
        <v/>
      </c>
      <c r="BD63" s="179" t="str">
        <f t="array" ref="BD63">IF($F63&lt;&gt;"", XLOOKUP($F63,Productos!$A$2:$A1001,Productos!AW$2:AW1001,"")*$G63,"")</f>
        <v/>
      </c>
      <c r="BE63" s="179" t="str">
        <f t="array" ref="BE63">IF($F63&lt;&gt;"",XLOOKUP($F63,Productos!$A:$A,Productos!AX:AX,"Revisar"),"")</f>
        <v/>
      </c>
      <c r="BF63" s="179" t="str">
        <f t="array" ref="BF63">IF($F63&lt;&gt;"", XLOOKUP($F63,Productos!$A$2:$A1001,Productos!AY$2:AY1001,"")*$G63,"")</f>
        <v/>
      </c>
      <c r="BG63" s="179" t="str">
        <f t="array" ref="BG63">IF($F63&lt;&gt;"",XLOOKUP($F63,Productos!$A:$A,Productos!AZ:AZ,"Revisar"),"")</f>
        <v/>
      </c>
      <c r="BH63" s="179" t="str">
        <f t="array" ref="BH63">IF($F63&lt;&gt;"", XLOOKUP($F63,Productos!$A$2:$A1001,Productos!BA$2:BA1001,"")*$G63,"")</f>
        <v/>
      </c>
      <c r="BI63" s="179" t="str">
        <f t="array" ref="BI63">IF($F63&lt;&gt;"",XLOOKUP($F63,Productos!$A:$A,Productos!BB:BB,"Revisar"),"")</f>
        <v/>
      </c>
      <c r="BJ63" s="179" t="str">
        <f t="array" ref="BJ63">IF($F63&lt;&gt;"", XLOOKUP($F63,Productos!$A$2:$A1001,Productos!BC$2:BC1001,"")*$G63,"")</f>
        <v/>
      </c>
      <c r="BK63" s="179" t="str">
        <f t="array" ref="BK63">IF($F63&lt;&gt;"",XLOOKUP($F63,Productos!$A:$A,Productos!BD:BD,"Revisar"),"")</f>
        <v/>
      </c>
      <c r="BL63" s="179" t="str">
        <f t="array" ref="BL63">IF($F63&lt;&gt;"", XLOOKUP($F63,Productos!$A$2:$A1001,Productos!BE$2:BE1001,"")*$G63,"")</f>
        <v/>
      </c>
      <c r="BM63" s="179" t="str">
        <f t="array" ref="BM63">IF($F63&lt;&gt;"",XLOOKUP($F63,Productos!$A:$A,Productos!BF:BF,"Revisar"),"")</f>
        <v/>
      </c>
      <c r="BN63" s="179" t="str">
        <f t="array" ref="BN63">IF($F63&lt;&gt;"", XLOOKUP($F63,Productos!$A$2:$A1001,Productos!BG$2:BG1001,"")*$G63,"")</f>
        <v/>
      </c>
      <c r="BO63" s="179" t="str">
        <f t="array" ref="BO63">IF($F63&lt;&gt;"",XLOOKUP($F63,Productos!$A:$A,Productos!BH:BH,"Revisar"),"")</f>
        <v/>
      </c>
      <c r="BP63" s="179" t="str">
        <f t="array" ref="BP63">IF($F63&lt;&gt;"", XLOOKUP($F63,Productos!$A$2:$A1001,Productos!BI$2:BI1001,"")*$G63,"")</f>
        <v/>
      </c>
      <c r="BQ63" s="179" t="str">
        <f t="array" ref="BQ63">IF($F63&lt;&gt;"",XLOOKUP($F63,Productos!$A:$A,Productos!BJ:BJ,"Revisar"),"")</f>
        <v/>
      </c>
      <c r="BR63" s="179" t="str">
        <f t="array" ref="BR63">IF($F63&lt;&gt;"", XLOOKUP($F63,Productos!$A$2:$A1001,Productos!BK$2:BK1001,"")*$G63,"")</f>
        <v/>
      </c>
      <c r="BS63" s="179" t="str">
        <f t="array" ref="BS63">IF($F63&lt;&gt;"",XLOOKUP($F63,Productos!$A:$A,Productos!BL:BL,"Revisar"),"")</f>
        <v/>
      </c>
      <c r="BT63" s="179" t="str">
        <f t="array" ref="BT63">IF($F63&lt;&gt;"", XLOOKUP($F63,Productos!$A$2:$A1001,Productos!BM$2:BM1001,"")*$G63,"")</f>
        <v/>
      </c>
      <c r="BU63" s="179" t="str">
        <f t="array" ref="BU63">IF($F63&lt;&gt;"",XLOOKUP($F63,Productos!$A:$A,Productos!BN:BN,"Revisar"),"")</f>
        <v/>
      </c>
      <c r="BV63" s="179" t="str">
        <f t="array" ref="BV63">IF($F63&lt;&gt;"", XLOOKUP($F63,Productos!$A$2:$A1001,Productos!BO$2:BO1001,"")*$G63,"")</f>
        <v/>
      </c>
      <c r="BW63" s="179" t="str">
        <f t="array" ref="BW63">IF($F63&lt;&gt;"",XLOOKUP($F63,Productos!$A:$A,Productos!BP:BP,"Revisar"),"")</f>
        <v/>
      </c>
      <c r="BX63" s="179" t="str">
        <f t="array" ref="BX63">IF($F63&lt;&gt;"", XLOOKUP($F63,Productos!$A$2:$A1001,Productos!BQ$2:BQ1001,"")*$G63,"")</f>
        <v/>
      </c>
      <c r="BY63" s="179" t="str">
        <f t="array" ref="BY63">IF($F63&lt;&gt;"",XLOOKUP($F63,Productos!$A:$A,Productos!BR:BR,"Revisar"),"")</f>
        <v/>
      </c>
      <c r="BZ63" s="179" t="str">
        <f t="array" ref="BZ63">IF($F63&lt;&gt;"", XLOOKUP($F63,Productos!$A$2:$A1001,Productos!BS$2:BS1001,"")*$G63,"")</f>
        <v/>
      </c>
    </row>
    <row r="64">
      <c r="A64" s="180"/>
      <c r="B64" s="181"/>
      <c r="C64" s="182"/>
      <c r="D64" s="182"/>
      <c r="E64" s="185"/>
      <c r="F64" s="186"/>
      <c r="G64" s="187"/>
      <c r="H64" s="186"/>
      <c r="I64" s="179" t="str">
        <f t="array" ref="I64">IF($F64&lt;&gt;"",XLOOKUP($F64,Productos!$A:$A,Productos!B:B,"Revisar"),"")</f>
        <v/>
      </c>
      <c r="J64" s="179" t="str">
        <f t="array" ref="J64">IF($F64&lt;&gt;"", XLOOKUP($F64,Productos!$A$2:$A1001,Productos!C$2:C1001,"")*$G64,"")</f>
        <v/>
      </c>
      <c r="K64" s="179" t="str">
        <f t="array" ref="K64">IF($F64&lt;&gt;"",XLOOKUP($F64,Productos!$A:$A,Productos!D:D,"Revisar"),"")</f>
        <v/>
      </c>
      <c r="L64" s="179" t="str">
        <f t="array" ref="L64">IF($F64&lt;&gt;"", XLOOKUP($F64,Productos!$A$2:$A1001,Productos!E$2:E1001,"")*$G64,"")</f>
        <v/>
      </c>
      <c r="M64" s="179" t="str">
        <f t="array" ref="M64">IF($F64&lt;&gt;"",XLOOKUP($F64,Productos!$A:$A,Productos!F:F,"Revisar"),"")</f>
        <v/>
      </c>
      <c r="N64" s="179" t="str">
        <f t="array" ref="N64">IF($F64&lt;&gt;"", XLOOKUP($F64,Productos!$A$2:$A1001,Productos!G$2:G1001,"")*$G64,"")</f>
        <v/>
      </c>
      <c r="O64" s="179" t="str">
        <f t="array" ref="O64">IF($F64&lt;&gt;"",XLOOKUP($F64,Productos!$A:$A,Productos!H:H,"Revisar"),"")</f>
        <v/>
      </c>
      <c r="P64" s="179" t="str">
        <f t="array" ref="P64">IF($F64&lt;&gt;"", XLOOKUP($F64,Productos!$A$2:$A1001,Productos!I$2:I1001,"")*$G64,"")</f>
        <v/>
      </c>
      <c r="Q64" s="179" t="str">
        <f t="array" ref="Q64">IF($F64&lt;&gt;"",XLOOKUP($F64,Productos!$A:$A,Productos!J:J,"Revisar"),"")</f>
        <v/>
      </c>
      <c r="R64" s="179" t="str">
        <f t="array" ref="R64">IF($F64&lt;&gt;"", XLOOKUP($F64,Productos!$A$2:$A1001,Productos!K$2:K1001,"")*$G64,"")</f>
        <v/>
      </c>
      <c r="S64" s="179" t="str">
        <f t="array" ref="S64">IF($F64&lt;&gt;"",XLOOKUP($F64,Productos!$A:$A,Productos!L:L,"Revisar"),"")</f>
        <v/>
      </c>
      <c r="T64" s="179" t="str">
        <f t="array" ref="T64">IF($F64&lt;&gt;"", XLOOKUP($F64,Productos!$A$2:$A1001,Productos!M$2:M1001,"")*$G64,"")</f>
        <v/>
      </c>
      <c r="U64" s="179" t="str">
        <f t="array" ref="U64">IF($F64&lt;&gt;"",XLOOKUP($F64,Productos!$A:$A,Productos!N:N,"Revisar"),"")</f>
        <v/>
      </c>
      <c r="V64" s="179" t="str">
        <f t="array" ref="V64">IF($F64&lt;&gt;"", XLOOKUP($F64,Productos!$A$2:$A1001,Productos!O$2:O1001,"")*$G64,"")</f>
        <v/>
      </c>
      <c r="W64" s="179" t="str">
        <f t="array" ref="W64">IF($F64&lt;&gt;"",XLOOKUP($F64,Productos!$A:$A,Productos!P:P,"Revisar"),"")</f>
        <v/>
      </c>
      <c r="X64" s="179" t="str">
        <f t="array" ref="X64">IF($F64&lt;&gt;"", XLOOKUP($F64,Productos!$A$2:$A1001,Productos!Q$2:Q1001,"")*$G64,"")</f>
        <v/>
      </c>
      <c r="Y64" s="179" t="str">
        <f t="array" ref="Y64">IF($F64&lt;&gt;"",XLOOKUP($F64,Productos!$A:$A,Productos!R:R,"Revisar"),"")</f>
        <v/>
      </c>
      <c r="Z64" s="179" t="str">
        <f t="array" ref="Z64">IF($F64&lt;&gt;"", XLOOKUP($F64,Productos!$A$2:$A1001,Productos!S$2:S1001,"")*$G64,"")</f>
        <v/>
      </c>
      <c r="AA64" s="179" t="str">
        <f t="array" ref="AA64">IF($F64&lt;&gt;"",XLOOKUP($F64,Productos!$A:$A,Productos!T:T,"Revisar"),"")</f>
        <v/>
      </c>
      <c r="AB64" s="179" t="str">
        <f t="array" ref="AB64">IF($F64&lt;&gt;"", XLOOKUP($F64,Productos!$A$2:$A1001,Productos!U$2:U1001,"")*$G64,"")</f>
        <v/>
      </c>
      <c r="AC64" s="179" t="str">
        <f t="array" ref="AC64">IF($F64&lt;&gt;"",XLOOKUP($F64,Productos!$A:$A,Productos!V:V,"Revisar"),"")</f>
        <v/>
      </c>
      <c r="AD64" s="179" t="str">
        <f t="array" ref="AD64">IF($F64&lt;&gt;"", XLOOKUP($F64,Productos!$A$2:$A1001,Productos!W$2:W1001,"")*$G64,"")</f>
        <v/>
      </c>
      <c r="AE64" s="179" t="str">
        <f t="array" ref="AE64">IF($F64&lt;&gt;"",XLOOKUP($F64,Productos!$A:$A,Productos!X:X,"Revisar"),"")</f>
        <v/>
      </c>
      <c r="AF64" s="179" t="str">
        <f t="array" ref="AF64">IF($F64&lt;&gt;"", XLOOKUP($F64,Productos!$A$2:$A1001,Productos!Y$2:Y1001,"")*$G64,"")</f>
        <v/>
      </c>
      <c r="AG64" s="179" t="str">
        <f t="array" ref="AG64">IF($F64&lt;&gt;"",XLOOKUP($F64,Productos!$A:$A,Productos!Z:Z,"Revisar"),"")</f>
        <v/>
      </c>
      <c r="AH64" s="179" t="str">
        <f t="array" ref="AH64">IF($F64&lt;&gt;"", XLOOKUP($F64,Productos!$A$2:$A1001,Productos!AA$2:AA1001,"")*$G64,"")</f>
        <v/>
      </c>
      <c r="AI64" s="179" t="str">
        <f t="array" ref="AI64">IF($F64&lt;&gt;"",XLOOKUP($F64,Productos!$A:$A,Productos!AB:AB,"Revisar"),"")</f>
        <v/>
      </c>
      <c r="AJ64" s="179" t="str">
        <f t="array" ref="AJ64">IF($F64&lt;&gt;"", XLOOKUP($F64,Productos!$A$2:$A1001,Productos!AC$2:AC1001,"")*$G64,"")</f>
        <v/>
      </c>
      <c r="AK64" s="179" t="str">
        <f t="array" ref="AK64">IF($F64&lt;&gt;"",XLOOKUP($F64,Productos!$A:$A,Productos!AD:AD,"Revisar"),"")</f>
        <v/>
      </c>
      <c r="AL64" s="179" t="str">
        <f t="array" ref="AL64">IF($F64&lt;&gt;"", XLOOKUP($F64,Productos!$A$2:$A1001,Productos!AE$2:AE1001,"")*$G64,"")</f>
        <v/>
      </c>
      <c r="AM64" s="179" t="str">
        <f t="array" ref="AM64">IF($F64&lt;&gt;"",XLOOKUP($F64,Productos!$A:$A,Productos!AF:AF,"Revisar"),"")</f>
        <v/>
      </c>
      <c r="AN64" s="179" t="str">
        <f t="array" ref="AN64">IF($F64&lt;&gt;"", XLOOKUP($F64,Productos!$A$2:$A1001,Productos!AG$2:AG1001,"")*$G64,"")</f>
        <v/>
      </c>
      <c r="AO64" s="179" t="str">
        <f t="array" ref="AO64">IF($F64&lt;&gt;"",XLOOKUP($F64,Productos!$A:$A,Productos!AH:AH,"Revisar"),"")</f>
        <v/>
      </c>
      <c r="AP64" s="179" t="str">
        <f t="array" ref="AP64">IF($F64&lt;&gt;"", XLOOKUP($F64,Productos!$A$2:$A1001,Productos!AI$2:AI1001,"")*$G64,"")</f>
        <v/>
      </c>
      <c r="AQ64" s="179" t="str">
        <f t="array" ref="AQ64">IF($F64&lt;&gt;"",XLOOKUP($F64,Productos!$A:$A,Productos!AJ:AJ,"Revisar"),"")</f>
        <v/>
      </c>
      <c r="AR64" s="179" t="str">
        <f t="array" ref="AR64">IF($F64&lt;&gt;"", XLOOKUP($F64,Productos!$A$2:$A1001,Productos!AK$2:AK1001,"")*$G64,"")</f>
        <v/>
      </c>
      <c r="AS64" s="179" t="str">
        <f t="array" ref="AS64">IF($F64&lt;&gt;"",XLOOKUP($F64,Productos!$A:$A,Productos!AL:AL,"Revisar"),"")</f>
        <v/>
      </c>
      <c r="AT64" s="179" t="str">
        <f t="array" ref="AT64">IF($F64&lt;&gt;"", XLOOKUP($F64,Productos!$A$2:$A1001,Productos!AM$2:AM1001,"")*$G64,"")</f>
        <v/>
      </c>
      <c r="AU64" s="179" t="str">
        <f t="array" ref="AU64">IF($F64&lt;&gt;"",XLOOKUP($F64,Productos!$A:$A,Productos!AN:AN,"Revisar"),"")</f>
        <v/>
      </c>
      <c r="AV64" s="179" t="str">
        <f t="array" ref="AV64">IF($F64&lt;&gt;"", XLOOKUP($F64,Productos!$A$2:$A1001,Productos!AO$2:AO1001,"")*$G64,"")</f>
        <v/>
      </c>
      <c r="AW64" s="179" t="str">
        <f t="array" ref="AW64">IF($F64&lt;&gt;"",XLOOKUP($F64,Productos!$A:$A,Productos!AP:AP,"Revisar"),"")</f>
        <v/>
      </c>
      <c r="AX64" s="179" t="str">
        <f t="array" ref="AX64">IF($F64&lt;&gt;"", XLOOKUP($F64,Productos!$A$2:$A1001,Productos!AQ$2:AQ1001,"")*$G64,"")</f>
        <v/>
      </c>
      <c r="AY64" s="179" t="str">
        <f t="array" ref="AY64">IF($F64&lt;&gt;"",XLOOKUP($F64,Productos!$A:$A,Productos!AR:AR,"Revisar"),"")</f>
        <v/>
      </c>
      <c r="AZ64" s="179" t="str">
        <f t="array" ref="AZ64">IF($F64&lt;&gt;"", XLOOKUP($F64,Productos!$A$2:$A1001,Productos!AS$2:AS1001,"")*$G64,"")</f>
        <v/>
      </c>
      <c r="BA64" s="179" t="str">
        <f t="array" ref="BA64">IF($F64&lt;&gt;"",XLOOKUP($F64,Productos!$A:$A,Productos!AT:AT,"Revisar"),"")</f>
        <v/>
      </c>
      <c r="BB64" s="179" t="str">
        <f t="array" ref="BB64">IF($F64&lt;&gt;"", XLOOKUP($F64,Productos!$A$2:$A1001,Productos!AU$2:AU1001,"")*$G64,"")</f>
        <v/>
      </c>
      <c r="BC64" s="179" t="str">
        <f t="array" ref="BC64">IF($F64&lt;&gt;"",XLOOKUP($F64,Productos!$A:$A,Productos!AV:AV,"Revisar"),"")</f>
        <v/>
      </c>
      <c r="BD64" s="179" t="str">
        <f t="array" ref="BD64">IF($F64&lt;&gt;"", XLOOKUP($F64,Productos!$A$2:$A1001,Productos!AW$2:AW1001,"")*$G64,"")</f>
        <v/>
      </c>
      <c r="BE64" s="179" t="str">
        <f t="array" ref="BE64">IF($F64&lt;&gt;"",XLOOKUP($F64,Productos!$A:$A,Productos!AX:AX,"Revisar"),"")</f>
        <v/>
      </c>
      <c r="BF64" s="179" t="str">
        <f t="array" ref="BF64">IF($F64&lt;&gt;"", XLOOKUP($F64,Productos!$A$2:$A1001,Productos!AY$2:AY1001,"")*$G64,"")</f>
        <v/>
      </c>
      <c r="BG64" s="179" t="str">
        <f t="array" ref="BG64">IF($F64&lt;&gt;"",XLOOKUP($F64,Productos!$A:$A,Productos!AZ:AZ,"Revisar"),"")</f>
        <v/>
      </c>
      <c r="BH64" s="179" t="str">
        <f t="array" ref="BH64">IF($F64&lt;&gt;"", XLOOKUP($F64,Productos!$A$2:$A1001,Productos!BA$2:BA1001,"")*$G64,"")</f>
        <v/>
      </c>
      <c r="BI64" s="179" t="str">
        <f t="array" ref="BI64">IF($F64&lt;&gt;"",XLOOKUP($F64,Productos!$A:$A,Productos!BB:BB,"Revisar"),"")</f>
        <v/>
      </c>
      <c r="BJ64" s="179" t="str">
        <f t="array" ref="BJ64">IF($F64&lt;&gt;"", XLOOKUP($F64,Productos!$A$2:$A1001,Productos!BC$2:BC1001,"")*$G64,"")</f>
        <v/>
      </c>
      <c r="BK64" s="179" t="str">
        <f t="array" ref="BK64">IF($F64&lt;&gt;"",XLOOKUP($F64,Productos!$A:$A,Productos!BD:BD,"Revisar"),"")</f>
        <v/>
      </c>
      <c r="BL64" s="179" t="str">
        <f t="array" ref="BL64">IF($F64&lt;&gt;"", XLOOKUP($F64,Productos!$A$2:$A1001,Productos!BE$2:BE1001,"")*$G64,"")</f>
        <v/>
      </c>
      <c r="BM64" s="179" t="str">
        <f t="array" ref="BM64">IF($F64&lt;&gt;"",XLOOKUP($F64,Productos!$A:$A,Productos!BF:BF,"Revisar"),"")</f>
        <v/>
      </c>
      <c r="BN64" s="179" t="str">
        <f t="array" ref="BN64">IF($F64&lt;&gt;"", XLOOKUP($F64,Productos!$A$2:$A1001,Productos!BG$2:BG1001,"")*$G64,"")</f>
        <v/>
      </c>
      <c r="BO64" s="179" t="str">
        <f t="array" ref="BO64">IF($F64&lt;&gt;"",XLOOKUP($F64,Productos!$A:$A,Productos!BH:BH,"Revisar"),"")</f>
        <v/>
      </c>
      <c r="BP64" s="179" t="str">
        <f t="array" ref="BP64">IF($F64&lt;&gt;"", XLOOKUP($F64,Productos!$A$2:$A1001,Productos!BI$2:BI1001,"")*$G64,"")</f>
        <v/>
      </c>
      <c r="BQ64" s="179" t="str">
        <f t="array" ref="BQ64">IF($F64&lt;&gt;"",XLOOKUP($F64,Productos!$A:$A,Productos!BJ:BJ,"Revisar"),"")</f>
        <v/>
      </c>
      <c r="BR64" s="179" t="str">
        <f t="array" ref="BR64">IF($F64&lt;&gt;"", XLOOKUP($F64,Productos!$A$2:$A1001,Productos!BK$2:BK1001,"")*$G64,"")</f>
        <v/>
      </c>
      <c r="BS64" s="179" t="str">
        <f t="array" ref="BS64">IF($F64&lt;&gt;"",XLOOKUP($F64,Productos!$A:$A,Productos!BL:BL,"Revisar"),"")</f>
        <v/>
      </c>
      <c r="BT64" s="179" t="str">
        <f t="array" ref="BT64">IF($F64&lt;&gt;"", XLOOKUP($F64,Productos!$A$2:$A1001,Productos!BM$2:BM1001,"")*$G64,"")</f>
        <v/>
      </c>
      <c r="BU64" s="179" t="str">
        <f t="array" ref="BU64">IF($F64&lt;&gt;"",XLOOKUP($F64,Productos!$A:$A,Productos!BN:BN,"Revisar"),"")</f>
        <v/>
      </c>
      <c r="BV64" s="179" t="str">
        <f t="array" ref="BV64">IF($F64&lt;&gt;"", XLOOKUP($F64,Productos!$A$2:$A1001,Productos!BO$2:BO1001,"")*$G64,"")</f>
        <v/>
      </c>
      <c r="BW64" s="179" t="str">
        <f t="array" ref="BW64">IF($F64&lt;&gt;"",XLOOKUP($F64,Productos!$A:$A,Productos!BP:BP,"Revisar"),"")</f>
        <v/>
      </c>
      <c r="BX64" s="179" t="str">
        <f t="array" ref="BX64">IF($F64&lt;&gt;"", XLOOKUP($F64,Productos!$A$2:$A1001,Productos!BQ$2:BQ1001,"")*$G64,"")</f>
        <v/>
      </c>
      <c r="BY64" s="179" t="str">
        <f t="array" ref="BY64">IF($F64&lt;&gt;"",XLOOKUP($F64,Productos!$A:$A,Productos!BR:BR,"Revisar"),"")</f>
        <v/>
      </c>
      <c r="BZ64" s="179" t="str">
        <f t="array" ref="BZ64">IF($F64&lt;&gt;"", XLOOKUP($F64,Productos!$A$2:$A1001,Productos!BS$2:BS1001,"")*$G64,"")</f>
        <v/>
      </c>
    </row>
    <row r="65">
      <c r="A65" s="180"/>
      <c r="B65" s="181"/>
      <c r="C65" s="182"/>
      <c r="D65" s="182"/>
      <c r="E65" s="185"/>
      <c r="F65" s="186"/>
      <c r="G65" s="187"/>
      <c r="H65" s="186"/>
      <c r="I65" s="179" t="str">
        <f t="array" ref="I65">IF($F65&lt;&gt;"",XLOOKUP($F65,Productos!$A:$A,Productos!B:B,"Revisar"),"")</f>
        <v/>
      </c>
      <c r="J65" s="179" t="str">
        <f t="array" ref="J65">IF($F65&lt;&gt;"", XLOOKUP($F65,Productos!$A$2:$A1001,Productos!C$2:C1001,"")*$G65,"")</f>
        <v/>
      </c>
      <c r="K65" s="179" t="str">
        <f t="array" ref="K65">IF($F65&lt;&gt;"",XLOOKUP($F65,Productos!$A:$A,Productos!D:D,"Revisar"),"")</f>
        <v/>
      </c>
      <c r="L65" s="179" t="str">
        <f t="array" ref="L65">IF($F65&lt;&gt;"", XLOOKUP($F65,Productos!$A$2:$A1001,Productos!E$2:E1001,"")*$G65,"")</f>
        <v/>
      </c>
      <c r="M65" s="179" t="str">
        <f t="array" ref="M65">IF($F65&lt;&gt;"",XLOOKUP($F65,Productos!$A:$A,Productos!F:F,"Revisar"),"")</f>
        <v/>
      </c>
      <c r="N65" s="179" t="str">
        <f t="array" ref="N65">IF($F65&lt;&gt;"", XLOOKUP($F65,Productos!$A$2:$A1001,Productos!G$2:G1001,"")*$G65,"")</f>
        <v/>
      </c>
      <c r="O65" s="179" t="str">
        <f t="array" ref="O65">IF($F65&lt;&gt;"",XLOOKUP($F65,Productos!$A:$A,Productos!H:H,"Revisar"),"")</f>
        <v/>
      </c>
      <c r="P65" s="179" t="str">
        <f t="array" ref="P65">IF($F65&lt;&gt;"", XLOOKUP($F65,Productos!$A$2:$A1001,Productos!I$2:I1001,"")*$G65,"")</f>
        <v/>
      </c>
      <c r="Q65" s="179" t="str">
        <f t="array" ref="Q65">IF($F65&lt;&gt;"",XLOOKUP($F65,Productos!$A:$A,Productos!J:J,"Revisar"),"")</f>
        <v/>
      </c>
      <c r="R65" s="179" t="str">
        <f t="array" ref="R65">IF($F65&lt;&gt;"", XLOOKUP($F65,Productos!$A$2:$A1001,Productos!K$2:K1001,"")*$G65,"")</f>
        <v/>
      </c>
      <c r="S65" s="179" t="str">
        <f t="array" ref="S65">IF($F65&lt;&gt;"",XLOOKUP($F65,Productos!$A:$A,Productos!L:L,"Revisar"),"")</f>
        <v/>
      </c>
      <c r="T65" s="179" t="str">
        <f t="array" ref="T65">IF($F65&lt;&gt;"", XLOOKUP($F65,Productos!$A$2:$A1001,Productos!M$2:M1001,"")*$G65,"")</f>
        <v/>
      </c>
      <c r="U65" s="179" t="str">
        <f t="array" ref="U65">IF($F65&lt;&gt;"",XLOOKUP($F65,Productos!$A:$A,Productos!N:N,"Revisar"),"")</f>
        <v/>
      </c>
      <c r="V65" s="179" t="str">
        <f t="array" ref="V65">IF($F65&lt;&gt;"", XLOOKUP($F65,Productos!$A$2:$A1001,Productos!O$2:O1001,"")*$G65,"")</f>
        <v/>
      </c>
      <c r="W65" s="179" t="str">
        <f t="array" ref="W65">IF($F65&lt;&gt;"",XLOOKUP($F65,Productos!$A:$A,Productos!P:P,"Revisar"),"")</f>
        <v/>
      </c>
      <c r="X65" s="179" t="str">
        <f t="array" ref="X65">IF($F65&lt;&gt;"", XLOOKUP($F65,Productos!$A$2:$A1001,Productos!Q$2:Q1001,"")*$G65,"")</f>
        <v/>
      </c>
      <c r="Y65" s="179" t="str">
        <f t="array" ref="Y65">IF($F65&lt;&gt;"",XLOOKUP($F65,Productos!$A:$A,Productos!R:R,"Revisar"),"")</f>
        <v/>
      </c>
      <c r="Z65" s="179" t="str">
        <f t="array" ref="Z65">IF($F65&lt;&gt;"", XLOOKUP($F65,Productos!$A$2:$A1001,Productos!S$2:S1001,"")*$G65,"")</f>
        <v/>
      </c>
      <c r="AA65" s="179" t="str">
        <f t="array" ref="AA65">IF($F65&lt;&gt;"",XLOOKUP($F65,Productos!$A:$A,Productos!T:T,"Revisar"),"")</f>
        <v/>
      </c>
      <c r="AB65" s="179" t="str">
        <f t="array" ref="AB65">IF($F65&lt;&gt;"", XLOOKUP($F65,Productos!$A$2:$A1001,Productos!U$2:U1001,"")*$G65,"")</f>
        <v/>
      </c>
      <c r="AC65" s="179" t="str">
        <f t="array" ref="AC65">IF($F65&lt;&gt;"",XLOOKUP($F65,Productos!$A:$A,Productos!V:V,"Revisar"),"")</f>
        <v/>
      </c>
      <c r="AD65" s="179" t="str">
        <f t="array" ref="AD65">IF($F65&lt;&gt;"", XLOOKUP($F65,Productos!$A$2:$A1001,Productos!W$2:W1001,"")*$G65,"")</f>
        <v/>
      </c>
      <c r="AE65" s="179" t="str">
        <f t="array" ref="AE65">IF($F65&lt;&gt;"",XLOOKUP($F65,Productos!$A:$A,Productos!X:X,"Revisar"),"")</f>
        <v/>
      </c>
      <c r="AF65" s="179" t="str">
        <f t="array" ref="AF65">IF($F65&lt;&gt;"", XLOOKUP($F65,Productos!$A$2:$A1001,Productos!Y$2:Y1001,"")*$G65,"")</f>
        <v/>
      </c>
      <c r="AG65" s="179" t="str">
        <f t="array" ref="AG65">IF($F65&lt;&gt;"",XLOOKUP($F65,Productos!$A:$A,Productos!Z:Z,"Revisar"),"")</f>
        <v/>
      </c>
      <c r="AH65" s="179" t="str">
        <f t="array" ref="AH65">IF($F65&lt;&gt;"", XLOOKUP($F65,Productos!$A$2:$A1001,Productos!AA$2:AA1001,"")*$G65,"")</f>
        <v/>
      </c>
      <c r="AI65" s="179" t="str">
        <f t="array" ref="AI65">IF($F65&lt;&gt;"",XLOOKUP($F65,Productos!$A:$A,Productos!AB:AB,"Revisar"),"")</f>
        <v/>
      </c>
      <c r="AJ65" s="179" t="str">
        <f t="array" ref="AJ65">IF($F65&lt;&gt;"", XLOOKUP($F65,Productos!$A$2:$A1001,Productos!AC$2:AC1001,"")*$G65,"")</f>
        <v/>
      </c>
      <c r="AK65" s="179" t="str">
        <f t="array" ref="AK65">IF($F65&lt;&gt;"",XLOOKUP($F65,Productos!$A:$A,Productos!AD:AD,"Revisar"),"")</f>
        <v/>
      </c>
      <c r="AL65" s="179" t="str">
        <f t="array" ref="AL65">IF($F65&lt;&gt;"", XLOOKUP($F65,Productos!$A$2:$A1001,Productos!AE$2:AE1001,"")*$G65,"")</f>
        <v/>
      </c>
      <c r="AM65" s="179" t="str">
        <f t="array" ref="AM65">IF($F65&lt;&gt;"",XLOOKUP($F65,Productos!$A:$A,Productos!AF:AF,"Revisar"),"")</f>
        <v/>
      </c>
      <c r="AN65" s="179" t="str">
        <f t="array" ref="AN65">IF($F65&lt;&gt;"", XLOOKUP($F65,Productos!$A$2:$A1001,Productos!AG$2:AG1001,"")*$G65,"")</f>
        <v/>
      </c>
      <c r="AO65" s="179" t="str">
        <f t="array" ref="AO65">IF($F65&lt;&gt;"",XLOOKUP($F65,Productos!$A:$A,Productos!AH:AH,"Revisar"),"")</f>
        <v/>
      </c>
      <c r="AP65" s="179" t="str">
        <f t="array" ref="AP65">IF($F65&lt;&gt;"", XLOOKUP($F65,Productos!$A$2:$A1001,Productos!AI$2:AI1001,"")*$G65,"")</f>
        <v/>
      </c>
      <c r="AQ65" s="179" t="str">
        <f t="array" ref="AQ65">IF($F65&lt;&gt;"",XLOOKUP($F65,Productos!$A:$A,Productos!AJ:AJ,"Revisar"),"")</f>
        <v/>
      </c>
      <c r="AR65" s="179" t="str">
        <f t="array" ref="AR65">IF($F65&lt;&gt;"", XLOOKUP($F65,Productos!$A$2:$A1001,Productos!AK$2:AK1001,"")*$G65,"")</f>
        <v/>
      </c>
      <c r="AS65" s="179" t="str">
        <f t="array" ref="AS65">IF($F65&lt;&gt;"",XLOOKUP($F65,Productos!$A:$A,Productos!AL:AL,"Revisar"),"")</f>
        <v/>
      </c>
      <c r="AT65" s="179" t="str">
        <f t="array" ref="AT65">IF($F65&lt;&gt;"", XLOOKUP($F65,Productos!$A$2:$A1001,Productos!AM$2:AM1001,"")*$G65,"")</f>
        <v/>
      </c>
      <c r="AU65" s="179" t="str">
        <f t="array" ref="AU65">IF($F65&lt;&gt;"",XLOOKUP($F65,Productos!$A:$A,Productos!AN:AN,"Revisar"),"")</f>
        <v/>
      </c>
      <c r="AV65" s="179" t="str">
        <f t="array" ref="AV65">IF($F65&lt;&gt;"", XLOOKUP($F65,Productos!$A$2:$A1001,Productos!AO$2:AO1001,"")*$G65,"")</f>
        <v/>
      </c>
      <c r="AW65" s="179" t="str">
        <f t="array" ref="AW65">IF($F65&lt;&gt;"",XLOOKUP($F65,Productos!$A:$A,Productos!AP:AP,"Revisar"),"")</f>
        <v/>
      </c>
      <c r="AX65" s="179" t="str">
        <f t="array" ref="AX65">IF($F65&lt;&gt;"", XLOOKUP($F65,Productos!$A$2:$A1001,Productos!AQ$2:AQ1001,"")*$G65,"")</f>
        <v/>
      </c>
      <c r="AY65" s="179" t="str">
        <f t="array" ref="AY65">IF($F65&lt;&gt;"",XLOOKUP($F65,Productos!$A:$A,Productos!AR:AR,"Revisar"),"")</f>
        <v/>
      </c>
      <c r="AZ65" s="179" t="str">
        <f t="array" ref="AZ65">IF($F65&lt;&gt;"", XLOOKUP($F65,Productos!$A$2:$A1001,Productos!AS$2:AS1001,"")*$G65,"")</f>
        <v/>
      </c>
      <c r="BA65" s="179" t="str">
        <f t="array" ref="BA65">IF($F65&lt;&gt;"",XLOOKUP($F65,Productos!$A:$A,Productos!AT:AT,"Revisar"),"")</f>
        <v/>
      </c>
      <c r="BB65" s="179" t="str">
        <f t="array" ref="BB65">IF($F65&lt;&gt;"", XLOOKUP($F65,Productos!$A$2:$A1001,Productos!AU$2:AU1001,"")*$G65,"")</f>
        <v/>
      </c>
      <c r="BC65" s="179" t="str">
        <f t="array" ref="BC65">IF($F65&lt;&gt;"",XLOOKUP($F65,Productos!$A:$A,Productos!AV:AV,"Revisar"),"")</f>
        <v/>
      </c>
      <c r="BD65" s="179" t="str">
        <f t="array" ref="BD65">IF($F65&lt;&gt;"", XLOOKUP($F65,Productos!$A$2:$A1001,Productos!AW$2:AW1001,"")*$G65,"")</f>
        <v/>
      </c>
      <c r="BE65" s="179" t="str">
        <f t="array" ref="BE65">IF($F65&lt;&gt;"",XLOOKUP($F65,Productos!$A:$A,Productos!AX:AX,"Revisar"),"")</f>
        <v/>
      </c>
      <c r="BF65" s="179" t="str">
        <f t="array" ref="BF65">IF($F65&lt;&gt;"", XLOOKUP($F65,Productos!$A$2:$A1001,Productos!AY$2:AY1001,"")*$G65,"")</f>
        <v/>
      </c>
      <c r="BG65" s="179" t="str">
        <f t="array" ref="BG65">IF($F65&lt;&gt;"",XLOOKUP($F65,Productos!$A:$A,Productos!AZ:AZ,"Revisar"),"")</f>
        <v/>
      </c>
      <c r="BH65" s="179" t="str">
        <f t="array" ref="BH65">IF($F65&lt;&gt;"", XLOOKUP($F65,Productos!$A$2:$A1001,Productos!BA$2:BA1001,"")*$G65,"")</f>
        <v/>
      </c>
      <c r="BI65" s="179" t="str">
        <f t="array" ref="BI65">IF($F65&lt;&gt;"",XLOOKUP($F65,Productos!$A:$A,Productos!BB:BB,"Revisar"),"")</f>
        <v/>
      </c>
      <c r="BJ65" s="179" t="str">
        <f t="array" ref="BJ65">IF($F65&lt;&gt;"", XLOOKUP($F65,Productos!$A$2:$A1001,Productos!BC$2:BC1001,"")*$G65,"")</f>
        <v/>
      </c>
      <c r="BK65" s="179" t="str">
        <f t="array" ref="BK65">IF($F65&lt;&gt;"",XLOOKUP($F65,Productos!$A:$A,Productos!BD:BD,"Revisar"),"")</f>
        <v/>
      </c>
      <c r="BL65" s="179" t="str">
        <f t="array" ref="BL65">IF($F65&lt;&gt;"", XLOOKUP($F65,Productos!$A$2:$A1001,Productos!BE$2:BE1001,"")*$G65,"")</f>
        <v/>
      </c>
      <c r="BM65" s="179" t="str">
        <f t="array" ref="BM65">IF($F65&lt;&gt;"",XLOOKUP($F65,Productos!$A:$A,Productos!BF:BF,"Revisar"),"")</f>
        <v/>
      </c>
      <c r="BN65" s="179" t="str">
        <f t="array" ref="BN65">IF($F65&lt;&gt;"", XLOOKUP($F65,Productos!$A$2:$A1001,Productos!BG$2:BG1001,"")*$G65,"")</f>
        <v/>
      </c>
      <c r="BO65" s="179" t="str">
        <f t="array" ref="BO65">IF($F65&lt;&gt;"",XLOOKUP($F65,Productos!$A:$A,Productos!BH:BH,"Revisar"),"")</f>
        <v/>
      </c>
      <c r="BP65" s="179" t="str">
        <f t="array" ref="BP65">IF($F65&lt;&gt;"", XLOOKUP($F65,Productos!$A$2:$A1001,Productos!BI$2:BI1001,"")*$G65,"")</f>
        <v/>
      </c>
      <c r="BQ65" s="179" t="str">
        <f t="array" ref="BQ65">IF($F65&lt;&gt;"",XLOOKUP($F65,Productos!$A:$A,Productos!BJ:BJ,"Revisar"),"")</f>
        <v/>
      </c>
      <c r="BR65" s="179" t="str">
        <f t="array" ref="BR65">IF($F65&lt;&gt;"", XLOOKUP($F65,Productos!$A$2:$A1001,Productos!BK$2:BK1001,"")*$G65,"")</f>
        <v/>
      </c>
      <c r="BS65" s="179" t="str">
        <f t="array" ref="BS65">IF($F65&lt;&gt;"",XLOOKUP($F65,Productos!$A:$A,Productos!BL:BL,"Revisar"),"")</f>
        <v/>
      </c>
      <c r="BT65" s="179" t="str">
        <f t="array" ref="BT65">IF($F65&lt;&gt;"", XLOOKUP($F65,Productos!$A$2:$A1001,Productos!BM$2:BM1001,"")*$G65,"")</f>
        <v/>
      </c>
      <c r="BU65" s="179" t="str">
        <f t="array" ref="BU65">IF($F65&lt;&gt;"",XLOOKUP($F65,Productos!$A:$A,Productos!BN:BN,"Revisar"),"")</f>
        <v/>
      </c>
      <c r="BV65" s="179" t="str">
        <f t="array" ref="BV65">IF($F65&lt;&gt;"", XLOOKUP($F65,Productos!$A$2:$A1001,Productos!BO$2:BO1001,"")*$G65,"")</f>
        <v/>
      </c>
      <c r="BW65" s="179" t="str">
        <f t="array" ref="BW65">IF($F65&lt;&gt;"",XLOOKUP($F65,Productos!$A:$A,Productos!BP:BP,"Revisar"),"")</f>
        <v/>
      </c>
      <c r="BX65" s="179" t="str">
        <f t="array" ref="BX65">IF($F65&lt;&gt;"", XLOOKUP($F65,Productos!$A$2:$A1001,Productos!BQ$2:BQ1001,"")*$G65,"")</f>
        <v/>
      </c>
      <c r="BY65" s="179" t="str">
        <f t="array" ref="BY65">IF($F65&lt;&gt;"",XLOOKUP($F65,Productos!$A:$A,Productos!BR:BR,"Revisar"),"")</f>
        <v/>
      </c>
      <c r="BZ65" s="179" t="str">
        <f t="array" ref="BZ65">IF($F65&lt;&gt;"", XLOOKUP($F65,Productos!$A$2:$A1001,Productos!BS$2:BS1001,"")*$G65,"")</f>
        <v/>
      </c>
    </row>
    <row r="66">
      <c r="A66" s="180"/>
      <c r="B66" s="181"/>
      <c r="C66" s="182"/>
      <c r="D66" s="182"/>
      <c r="E66" s="185"/>
      <c r="F66" s="186"/>
      <c r="G66" s="187"/>
      <c r="H66" s="186"/>
      <c r="I66" s="179" t="str">
        <f t="array" ref="I66">IF($F66&lt;&gt;"",XLOOKUP($F66,Productos!$A:$A,Productos!B:B,"Revisar"),"")</f>
        <v/>
      </c>
      <c r="J66" s="179" t="str">
        <f t="array" ref="J66">IF($F66&lt;&gt;"", XLOOKUP($F66,Productos!$A$2:$A1001,Productos!C$2:C1001,"")*$G66,"")</f>
        <v/>
      </c>
      <c r="K66" s="179" t="str">
        <f t="array" ref="K66">IF($F66&lt;&gt;"",XLOOKUP($F66,Productos!$A:$A,Productos!D:D,"Revisar"),"")</f>
        <v/>
      </c>
      <c r="L66" s="179" t="str">
        <f t="array" ref="L66">IF($F66&lt;&gt;"", XLOOKUP($F66,Productos!$A$2:$A1001,Productos!E$2:E1001,"")*$G66,"")</f>
        <v/>
      </c>
      <c r="M66" s="179" t="str">
        <f t="array" ref="M66">IF($F66&lt;&gt;"",XLOOKUP($F66,Productos!$A:$A,Productos!F:F,"Revisar"),"")</f>
        <v/>
      </c>
      <c r="N66" s="179" t="str">
        <f t="array" ref="N66">IF($F66&lt;&gt;"", XLOOKUP($F66,Productos!$A$2:$A1001,Productos!G$2:G1001,"")*$G66,"")</f>
        <v/>
      </c>
      <c r="O66" s="179" t="str">
        <f t="array" ref="O66">IF($F66&lt;&gt;"",XLOOKUP($F66,Productos!$A:$A,Productos!H:H,"Revisar"),"")</f>
        <v/>
      </c>
      <c r="P66" s="179" t="str">
        <f t="array" ref="P66">IF($F66&lt;&gt;"", XLOOKUP($F66,Productos!$A$2:$A1001,Productos!I$2:I1001,"")*$G66,"")</f>
        <v/>
      </c>
      <c r="Q66" s="179" t="str">
        <f t="array" ref="Q66">IF($F66&lt;&gt;"",XLOOKUP($F66,Productos!$A:$A,Productos!J:J,"Revisar"),"")</f>
        <v/>
      </c>
      <c r="R66" s="179" t="str">
        <f t="array" ref="R66">IF($F66&lt;&gt;"", XLOOKUP($F66,Productos!$A$2:$A1001,Productos!K$2:K1001,"")*$G66,"")</f>
        <v/>
      </c>
      <c r="S66" s="179" t="str">
        <f t="array" ref="S66">IF($F66&lt;&gt;"",XLOOKUP($F66,Productos!$A:$A,Productos!L:L,"Revisar"),"")</f>
        <v/>
      </c>
      <c r="T66" s="179" t="str">
        <f t="array" ref="T66">IF($F66&lt;&gt;"", XLOOKUP($F66,Productos!$A$2:$A1001,Productos!M$2:M1001,"")*$G66,"")</f>
        <v/>
      </c>
      <c r="U66" s="179" t="str">
        <f t="array" ref="U66">IF($F66&lt;&gt;"",XLOOKUP($F66,Productos!$A:$A,Productos!N:N,"Revisar"),"")</f>
        <v/>
      </c>
      <c r="V66" s="179" t="str">
        <f t="array" ref="V66">IF($F66&lt;&gt;"", XLOOKUP($F66,Productos!$A$2:$A1001,Productos!O$2:O1001,"")*$G66,"")</f>
        <v/>
      </c>
      <c r="W66" s="179" t="str">
        <f t="array" ref="W66">IF($F66&lt;&gt;"",XLOOKUP($F66,Productos!$A:$A,Productos!P:P,"Revisar"),"")</f>
        <v/>
      </c>
      <c r="X66" s="179" t="str">
        <f t="array" ref="X66">IF($F66&lt;&gt;"", XLOOKUP($F66,Productos!$A$2:$A1001,Productos!Q$2:Q1001,"")*$G66,"")</f>
        <v/>
      </c>
      <c r="Y66" s="179" t="str">
        <f t="array" ref="Y66">IF($F66&lt;&gt;"",XLOOKUP($F66,Productos!$A:$A,Productos!R:R,"Revisar"),"")</f>
        <v/>
      </c>
      <c r="Z66" s="179" t="str">
        <f t="array" ref="Z66">IF($F66&lt;&gt;"", XLOOKUP($F66,Productos!$A$2:$A1001,Productos!S$2:S1001,"")*$G66,"")</f>
        <v/>
      </c>
      <c r="AA66" s="179" t="str">
        <f t="array" ref="AA66">IF($F66&lt;&gt;"",XLOOKUP($F66,Productos!$A:$A,Productos!T:T,"Revisar"),"")</f>
        <v/>
      </c>
      <c r="AB66" s="179" t="str">
        <f t="array" ref="AB66">IF($F66&lt;&gt;"", XLOOKUP($F66,Productos!$A$2:$A1001,Productos!U$2:U1001,"")*$G66,"")</f>
        <v/>
      </c>
      <c r="AC66" s="179" t="str">
        <f t="array" ref="AC66">IF($F66&lt;&gt;"",XLOOKUP($F66,Productos!$A:$A,Productos!V:V,"Revisar"),"")</f>
        <v/>
      </c>
      <c r="AD66" s="179" t="str">
        <f t="array" ref="AD66">IF($F66&lt;&gt;"", XLOOKUP($F66,Productos!$A$2:$A1001,Productos!W$2:W1001,"")*$G66,"")</f>
        <v/>
      </c>
      <c r="AE66" s="179" t="str">
        <f t="array" ref="AE66">IF($F66&lt;&gt;"",XLOOKUP($F66,Productos!$A:$A,Productos!X:X,"Revisar"),"")</f>
        <v/>
      </c>
      <c r="AF66" s="179" t="str">
        <f t="array" ref="AF66">IF($F66&lt;&gt;"", XLOOKUP($F66,Productos!$A$2:$A1001,Productos!Y$2:Y1001,"")*$G66,"")</f>
        <v/>
      </c>
      <c r="AG66" s="179" t="str">
        <f t="array" ref="AG66">IF($F66&lt;&gt;"",XLOOKUP($F66,Productos!$A:$A,Productos!Z:Z,"Revisar"),"")</f>
        <v/>
      </c>
      <c r="AH66" s="179" t="str">
        <f t="array" ref="AH66">IF($F66&lt;&gt;"", XLOOKUP($F66,Productos!$A$2:$A1001,Productos!AA$2:AA1001,"")*$G66,"")</f>
        <v/>
      </c>
      <c r="AI66" s="179" t="str">
        <f t="array" ref="AI66">IF($F66&lt;&gt;"",XLOOKUP($F66,Productos!$A:$A,Productos!AB:AB,"Revisar"),"")</f>
        <v/>
      </c>
      <c r="AJ66" s="179" t="str">
        <f t="array" ref="AJ66">IF($F66&lt;&gt;"", XLOOKUP($F66,Productos!$A$2:$A1001,Productos!AC$2:AC1001,"")*$G66,"")</f>
        <v/>
      </c>
      <c r="AK66" s="179" t="str">
        <f t="array" ref="AK66">IF($F66&lt;&gt;"",XLOOKUP($F66,Productos!$A:$A,Productos!AD:AD,"Revisar"),"")</f>
        <v/>
      </c>
      <c r="AL66" s="179" t="str">
        <f t="array" ref="AL66">IF($F66&lt;&gt;"", XLOOKUP($F66,Productos!$A$2:$A1001,Productos!AE$2:AE1001,"")*$G66,"")</f>
        <v/>
      </c>
      <c r="AM66" s="179" t="str">
        <f t="array" ref="AM66">IF($F66&lt;&gt;"",XLOOKUP($F66,Productos!$A:$A,Productos!AF:AF,"Revisar"),"")</f>
        <v/>
      </c>
      <c r="AN66" s="179" t="str">
        <f t="array" ref="AN66">IF($F66&lt;&gt;"", XLOOKUP($F66,Productos!$A$2:$A1001,Productos!AG$2:AG1001,"")*$G66,"")</f>
        <v/>
      </c>
      <c r="AO66" s="179" t="str">
        <f t="array" ref="AO66">IF($F66&lt;&gt;"",XLOOKUP($F66,Productos!$A:$A,Productos!AH:AH,"Revisar"),"")</f>
        <v/>
      </c>
      <c r="AP66" s="179" t="str">
        <f t="array" ref="AP66">IF($F66&lt;&gt;"", XLOOKUP($F66,Productos!$A$2:$A1001,Productos!AI$2:AI1001,"")*$G66,"")</f>
        <v/>
      </c>
      <c r="AQ66" s="179" t="str">
        <f t="array" ref="AQ66">IF($F66&lt;&gt;"",XLOOKUP($F66,Productos!$A:$A,Productos!AJ:AJ,"Revisar"),"")</f>
        <v/>
      </c>
      <c r="AR66" s="179" t="str">
        <f t="array" ref="AR66">IF($F66&lt;&gt;"", XLOOKUP($F66,Productos!$A$2:$A1001,Productos!AK$2:AK1001,"")*$G66,"")</f>
        <v/>
      </c>
      <c r="AS66" s="179" t="str">
        <f t="array" ref="AS66">IF($F66&lt;&gt;"",XLOOKUP($F66,Productos!$A:$A,Productos!AL:AL,"Revisar"),"")</f>
        <v/>
      </c>
      <c r="AT66" s="179" t="str">
        <f t="array" ref="AT66">IF($F66&lt;&gt;"", XLOOKUP($F66,Productos!$A$2:$A1001,Productos!AM$2:AM1001,"")*$G66,"")</f>
        <v/>
      </c>
      <c r="AU66" s="179" t="str">
        <f t="array" ref="AU66">IF($F66&lt;&gt;"",XLOOKUP($F66,Productos!$A:$A,Productos!AN:AN,"Revisar"),"")</f>
        <v/>
      </c>
      <c r="AV66" s="179" t="str">
        <f t="array" ref="AV66">IF($F66&lt;&gt;"", XLOOKUP($F66,Productos!$A$2:$A1001,Productos!AO$2:AO1001,"")*$G66,"")</f>
        <v/>
      </c>
      <c r="AW66" s="179" t="str">
        <f t="array" ref="AW66">IF($F66&lt;&gt;"",XLOOKUP($F66,Productos!$A:$A,Productos!AP:AP,"Revisar"),"")</f>
        <v/>
      </c>
      <c r="AX66" s="179" t="str">
        <f t="array" ref="AX66">IF($F66&lt;&gt;"", XLOOKUP($F66,Productos!$A$2:$A1001,Productos!AQ$2:AQ1001,"")*$G66,"")</f>
        <v/>
      </c>
      <c r="AY66" s="179" t="str">
        <f t="array" ref="AY66">IF($F66&lt;&gt;"",XLOOKUP($F66,Productos!$A:$A,Productos!AR:AR,"Revisar"),"")</f>
        <v/>
      </c>
      <c r="AZ66" s="179" t="str">
        <f t="array" ref="AZ66">IF($F66&lt;&gt;"", XLOOKUP($F66,Productos!$A$2:$A1001,Productos!AS$2:AS1001,"")*$G66,"")</f>
        <v/>
      </c>
      <c r="BA66" s="179" t="str">
        <f t="array" ref="BA66">IF($F66&lt;&gt;"",XLOOKUP($F66,Productos!$A:$A,Productos!AT:AT,"Revisar"),"")</f>
        <v/>
      </c>
      <c r="BB66" s="179" t="str">
        <f t="array" ref="BB66">IF($F66&lt;&gt;"", XLOOKUP($F66,Productos!$A$2:$A1001,Productos!AU$2:AU1001,"")*$G66,"")</f>
        <v/>
      </c>
      <c r="BC66" s="179" t="str">
        <f t="array" ref="BC66">IF($F66&lt;&gt;"",XLOOKUP($F66,Productos!$A:$A,Productos!AV:AV,"Revisar"),"")</f>
        <v/>
      </c>
      <c r="BD66" s="179" t="str">
        <f t="array" ref="BD66">IF($F66&lt;&gt;"", XLOOKUP($F66,Productos!$A$2:$A1001,Productos!AW$2:AW1001,"")*$G66,"")</f>
        <v/>
      </c>
      <c r="BE66" s="179" t="str">
        <f t="array" ref="BE66">IF($F66&lt;&gt;"",XLOOKUP($F66,Productos!$A:$A,Productos!AX:AX,"Revisar"),"")</f>
        <v/>
      </c>
      <c r="BF66" s="179" t="str">
        <f t="array" ref="BF66">IF($F66&lt;&gt;"", XLOOKUP($F66,Productos!$A$2:$A1001,Productos!AY$2:AY1001,"")*$G66,"")</f>
        <v/>
      </c>
      <c r="BG66" s="179" t="str">
        <f t="array" ref="BG66">IF($F66&lt;&gt;"",XLOOKUP($F66,Productos!$A:$A,Productos!AZ:AZ,"Revisar"),"")</f>
        <v/>
      </c>
      <c r="BH66" s="179" t="str">
        <f t="array" ref="BH66">IF($F66&lt;&gt;"", XLOOKUP($F66,Productos!$A$2:$A1001,Productos!BA$2:BA1001,"")*$G66,"")</f>
        <v/>
      </c>
      <c r="BI66" s="179" t="str">
        <f t="array" ref="BI66">IF($F66&lt;&gt;"",XLOOKUP($F66,Productos!$A:$A,Productos!BB:BB,"Revisar"),"")</f>
        <v/>
      </c>
      <c r="BJ66" s="179" t="str">
        <f t="array" ref="BJ66">IF($F66&lt;&gt;"", XLOOKUP($F66,Productos!$A$2:$A1001,Productos!BC$2:BC1001,"")*$G66,"")</f>
        <v/>
      </c>
      <c r="BK66" s="179" t="str">
        <f t="array" ref="BK66">IF($F66&lt;&gt;"",XLOOKUP($F66,Productos!$A:$A,Productos!BD:BD,"Revisar"),"")</f>
        <v/>
      </c>
      <c r="BL66" s="179" t="str">
        <f t="array" ref="BL66">IF($F66&lt;&gt;"", XLOOKUP($F66,Productos!$A$2:$A1001,Productos!BE$2:BE1001,"")*$G66,"")</f>
        <v/>
      </c>
      <c r="BM66" s="179" t="str">
        <f t="array" ref="BM66">IF($F66&lt;&gt;"",XLOOKUP($F66,Productos!$A:$A,Productos!BF:BF,"Revisar"),"")</f>
        <v/>
      </c>
      <c r="BN66" s="179" t="str">
        <f t="array" ref="BN66">IF($F66&lt;&gt;"", XLOOKUP($F66,Productos!$A$2:$A1001,Productos!BG$2:BG1001,"")*$G66,"")</f>
        <v/>
      </c>
      <c r="BO66" s="179" t="str">
        <f t="array" ref="BO66">IF($F66&lt;&gt;"",XLOOKUP($F66,Productos!$A:$A,Productos!BH:BH,"Revisar"),"")</f>
        <v/>
      </c>
      <c r="BP66" s="179" t="str">
        <f t="array" ref="BP66">IF($F66&lt;&gt;"", XLOOKUP($F66,Productos!$A$2:$A1001,Productos!BI$2:BI1001,"")*$G66,"")</f>
        <v/>
      </c>
      <c r="BQ66" s="179" t="str">
        <f t="array" ref="BQ66">IF($F66&lt;&gt;"",XLOOKUP($F66,Productos!$A:$A,Productos!BJ:BJ,"Revisar"),"")</f>
        <v/>
      </c>
      <c r="BR66" s="179" t="str">
        <f t="array" ref="BR66">IF($F66&lt;&gt;"", XLOOKUP($F66,Productos!$A$2:$A1001,Productos!BK$2:BK1001,"")*$G66,"")</f>
        <v/>
      </c>
      <c r="BS66" s="179" t="str">
        <f t="array" ref="BS66">IF($F66&lt;&gt;"",XLOOKUP($F66,Productos!$A:$A,Productos!BL:BL,"Revisar"),"")</f>
        <v/>
      </c>
      <c r="BT66" s="179" t="str">
        <f t="array" ref="BT66">IF($F66&lt;&gt;"", XLOOKUP($F66,Productos!$A$2:$A1001,Productos!BM$2:BM1001,"")*$G66,"")</f>
        <v/>
      </c>
      <c r="BU66" s="179" t="str">
        <f t="array" ref="BU66">IF($F66&lt;&gt;"",XLOOKUP($F66,Productos!$A:$A,Productos!BN:BN,"Revisar"),"")</f>
        <v/>
      </c>
      <c r="BV66" s="179" t="str">
        <f t="array" ref="BV66">IF($F66&lt;&gt;"", XLOOKUP($F66,Productos!$A$2:$A1001,Productos!BO$2:BO1001,"")*$G66,"")</f>
        <v/>
      </c>
      <c r="BW66" s="179" t="str">
        <f t="array" ref="BW66">IF($F66&lt;&gt;"",XLOOKUP($F66,Productos!$A:$A,Productos!BP:BP,"Revisar"),"")</f>
        <v/>
      </c>
      <c r="BX66" s="179" t="str">
        <f t="array" ref="BX66">IF($F66&lt;&gt;"", XLOOKUP($F66,Productos!$A$2:$A1001,Productos!BQ$2:BQ1001,"")*$G66,"")</f>
        <v/>
      </c>
      <c r="BY66" s="179" t="str">
        <f t="array" ref="BY66">IF($F66&lt;&gt;"",XLOOKUP($F66,Productos!$A:$A,Productos!BR:BR,"Revisar"),"")</f>
        <v/>
      </c>
      <c r="BZ66" s="179" t="str">
        <f t="array" ref="BZ66">IF($F66&lt;&gt;"", XLOOKUP($F66,Productos!$A$2:$A1001,Productos!BS$2:BS1001,"")*$G66,"")</f>
        <v/>
      </c>
    </row>
    <row r="67">
      <c r="A67" s="180"/>
      <c r="B67" s="181"/>
      <c r="C67" s="182"/>
      <c r="D67" s="182"/>
      <c r="E67" s="185"/>
      <c r="F67" s="186"/>
      <c r="G67" s="187"/>
      <c r="H67" s="186"/>
      <c r="I67" s="179" t="str">
        <f t="array" ref="I67">IF($F67&lt;&gt;"",XLOOKUP($F67,Productos!$A:$A,Productos!B:B,"Revisar"),"")</f>
        <v/>
      </c>
      <c r="J67" s="179" t="str">
        <f t="array" ref="J67">IF($F67&lt;&gt;"", XLOOKUP($F67,Productos!$A$2:$A1001,Productos!C$2:C1001,"")*$G67,"")</f>
        <v/>
      </c>
      <c r="K67" s="179" t="str">
        <f t="array" ref="K67">IF($F67&lt;&gt;"",XLOOKUP($F67,Productos!$A:$A,Productos!D:D,"Revisar"),"")</f>
        <v/>
      </c>
      <c r="L67" s="179" t="str">
        <f t="array" ref="L67">IF($F67&lt;&gt;"", XLOOKUP($F67,Productos!$A$2:$A1001,Productos!E$2:E1001,"")*$G67,"")</f>
        <v/>
      </c>
      <c r="M67" s="179" t="str">
        <f t="array" ref="M67">IF($F67&lt;&gt;"",XLOOKUP($F67,Productos!$A:$A,Productos!F:F,"Revisar"),"")</f>
        <v/>
      </c>
      <c r="N67" s="179" t="str">
        <f t="array" ref="N67">IF($F67&lt;&gt;"", XLOOKUP($F67,Productos!$A$2:$A1001,Productos!G$2:G1001,"")*$G67,"")</f>
        <v/>
      </c>
      <c r="O67" s="179" t="str">
        <f t="array" ref="O67">IF($F67&lt;&gt;"",XLOOKUP($F67,Productos!$A:$A,Productos!H:H,"Revisar"),"")</f>
        <v/>
      </c>
      <c r="P67" s="179" t="str">
        <f t="array" ref="P67">IF($F67&lt;&gt;"", XLOOKUP($F67,Productos!$A$2:$A1001,Productos!I$2:I1001,"")*$G67,"")</f>
        <v/>
      </c>
      <c r="Q67" s="179" t="str">
        <f t="array" ref="Q67">IF($F67&lt;&gt;"",XLOOKUP($F67,Productos!$A:$A,Productos!J:J,"Revisar"),"")</f>
        <v/>
      </c>
      <c r="R67" s="179" t="str">
        <f t="array" ref="R67">IF($F67&lt;&gt;"", XLOOKUP($F67,Productos!$A$2:$A1001,Productos!K$2:K1001,"")*$G67,"")</f>
        <v/>
      </c>
      <c r="S67" s="179" t="str">
        <f t="array" ref="S67">IF($F67&lt;&gt;"",XLOOKUP($F67,Productos!$A:$A,Productos!L:L,"Revisar"),"")</f>
        <v/>
      </c>
      <c r="T67" s="179" t="str">
        <f t="array" ref="T67">IF($F67&lt;&gt;"", XLOOKUP($F67,Productos!$A$2:$A1001,Productos!M$2:M1001,"")*$G67,"")</f>
        <v/>
      </c>
      <c r="U67" s="179" t="str">
        <f t="array" ref="U67">IF($F67&lt;&gt;"",XLOOKUP($F67,Productos!$A:$A,Productos!N:N,"Revisar"),"")</f>
        <v/>
      </c>
      <c r="V67" s="179" t="str">
        <f t="array" ref="V67">IF($F67&lt;&gt;"", XLOOKUP($F67,Productos!$A$2:$A1001,Productos!O$2:O1001,"")*$G67,"")</f>
        <v/>
      </c>
      <c r="W67" s="179" t="str">
        <f t="array" ref="W67">IF($F67&lt;&gt;"",XLOOKUP($F67,Productos!$A:$A,Productos!P:P,"Revisar"),"")</f>
        <v/>
      </c>
      <c r="X67" s="179" t="str">
        <f t="array" ref="X67">IF($F67&lt;&gt;"", XLOOKUP($F67,Productos!$A$2:$A1001,Productos!Q$2:Q1001,"")*$G67,"")</f>
        <v/>
      </c>
      <c r="Y67" s="179" t="str">
        <f t="array" ref="Y67">IF($F67&lt;&gt;"",XLOOKUP($F67,Productos!$A:$A,Productos!R:R,"Revisar"),"")</f>
        <v/>
      </c>
      <c r="Z67" s="179" t="str">
        <f t="array" ref="Z67">IF($F67&lt;&gt;"", XLOOKUP($F67,Productos!$A$2:$A1001,Productos!S$2:S1001,"")*$G67,"")</f>
        <v/>
      </c>
      <c r="AA67" s="179" t="str">
        <f t="array" ref="AA67">IF($F67&lt;&gt;"",XLOOKUP($F67,Productos!$A:$A,Productos!T:T,"Revisar"),"")</f>
        <v/>
      </c>
      <c r="AB67" s="179" t="str">
        <f t="array" ref="AB67">IF($F67&lt;&gt;"", XLOOKUP($F67,Productos!$A$2:$A1001,Productos!U$2:U1001,"")*$G67,"")</f>
        <v/>
      </c>
      <c r="AC67" s="179" t="str">
        <f t="array" ref="AC67">IF($F67&lt;&gt;"",XLOOKUP($F67,Productos!$A:$A,Productos!V:V,"Revisar"),"")</f>
        <v/>
      </c>
      <c r="AD67" s="179" t="str">
        <f t="array" ref="AD67">IF($F67&lt;&gt;"", XLOOKUP($F67,Productos!$A$2:$A1001,Productos!W$2:W1001,"")*$G67,"")</f>
        <v/>
      </c>
      <c r="AE67" s="179" t="str">
        <f t="array" ref="AE67">IF($F67&lt;&gt;"",XLOOKUP($F67,Productos!$A:$A,Productos!X:X,"Revisar"),"")</f>
        <v/>
      </c>
      <c r="AF67" s="179" t="str">
        <f t="array" ref="AF67">IF($F67&lt;&gt;"", XLOOKUP($F67,Productos!$A$2:$A1001,Productos!Y$2:Y1001,"")*$G67,"")</f>
        <v/>
      </c>
      <c r="AG67" s="179" t="str">
        <f t="array" ref="AG67">IF($F67&lt;&gt;"",XLOOKUP($F67,Productos!$A:$A,Productos!Z:Z,"Revisar"),"")</f>
        <v/>
      </c>
      <c r="AH67" s="179" t="str">
        <f t="array" ref="AH67">IF($F67&lt;&gt;"", XLOOKUP($F67,Productos!$A$2:$A1001,Productos!AA$2:AA1001,"")*$G67,"")</f>
        <v/>
      </c>
      <c r="AI67" s="179" t="str">
        <f t="array" ref="AI67">IF($F67&lt;&gt;"",XLOOKUP($F67,Productos!$A:$A,Productos!AB:AB,"Revisar"),"")</f>
        <v/>
      </c>
      <c r="AJ67" s="179" t="str">
        <f t="array" ref="AJ67">IF($F67&lt;&gt;"", XLOOKUP($F67,Productos!$A$2:$A1001,Productos!AC$2:AC1001,"")*$G67,"")</f>
        <v/>
      </c>
      <c r="AK67" s="179" t="str">
        <f t="array" ref="AK67">IF($F67&lt;&gt;"",XLOOKUP($F67,Productos!$A:$A,Productos!AD:AD,"Revisar"),"")</f>
        <v/>
      </c>
      <c r="AL67" s="179" t="str">
        <f t="array" ref="AL67">IF($F67&lt;&gt;"", XLOOKUP($F67,Productos!$A$2:$A1001,Productos!AE$2:AE1001,"")*$G67,"")</f>
        <v/>
      </c>
      <c r="AM67" s="179" t="str">
        <f t="array" ref="AM67">IF($F67&lt;&gt;"",XLOOKUP($F67,Productos!$A:$A,Productos!AF:AF,"Revisar"),"")</f>
        <v/>
      </c>
      <c r="AN67" s="179" t="str">
        <f t="array" ref="AN67">IF($F67&lt;&gt;"", XLOOKUP($F67,Productos!$A$2:$A1001,Productos!AG$2:AG1001,"")*$G67,"")</f>
        <v/>
      </c>
      <c r="AO67" s="179" t="str">
        <f t="array" ref="AO67">IF($F67&lt;&gt;"",XLOOKUP($F67,Productos!$A:$A,Productos!AH:AH,"Revisar"),"")</f>
        <v/>
      </c>
      <c r="AP67" s="179" t="str">
        <f t="array" ref="AP67">IF($F67&lt;&gt;"", XLOOKUP($F67,Productos!$A$2:$A1001,Productos!AI$2:AI1001,"")*$G67,"")</f>
        <v/>
      </c>
      <c r="AQ67" s="179" t="str">
        <f t="array" ref="AQ67">IF($F67&lt;&gt;"",XLOOKUP($F67,Productos!$A:$A,Productos!AJ:AJ,"Revisar"),"")</f>
        <v/>
      </c>
      <c r="AR67" s="179" t="str">
        <f t="array" ref="AR67">IF($F67&lt;&gt;"", XLOOKUP($F67,Productos!$A$2:$A1001,Productos!AK$2:AK1001,"")*$G67,"")</f>
        <v/>
      </c>
      <c r="AS67" s="179" t="str">
        <f t="array" ref="AS67">IF($F67&lt;&gt;"",XLOOKUP($F67,Productos!$A:$A,Productos!AL:AL,"Revisar"),"")</f>
        <v/>
      </c>
      <c r="AT67" s="179" t="str">
        <f t="array" ref="AT67">IF($F67&lt;&gt;"", XLOOKUP($F67,Productos!$A$2:$A1001,Productos!AM$2:AM1001,"")*$G67,"")</f>
        <v/>
      </c>
      <c r="AU67" s="179" t="str">
        <f t="array" ref="AU67">IF($F67&lt;&gt;"",XLOOKUP($F67,Productos!$A:$A,Productos!AN:AN,"Revisar"),"")</f>
        <v/>
      </c>
      <c r="AV67" s="179" t="str">
        <f t="array" ref="AV67">IF($F67&lt;&gt;"", XLOOKUP($F67,Productos!$A$2:$A1001,Productos!AO$2:AO1001,"")*$G67,"")</f>
        <v/>
      </c>
      <c r="AW67" s="179" t="str">
        <f t="array" ref="AW67">IF($F67&lt;&gt;"",XLOOKUP($F67,Productos!$A:$A,Productos!AP:AP,"Revisar"),"")</f>
        <v/>
      </c>
      <c r="AX67" s="179" t="str">
        <f t="array" ref="AX67">IF($F67&lt;&gt;"", XLOOKUP($F67,Productos!$A$2:$A1001,Productos!AQ$2:AQ1001,"")*$G67,"")</f>
        <v/>
      </c>
      <c r="AY67" s="179" t="str">
        <f t="array" ref="AY67">IF($F67&lt;&gt;"",XLOOKUP($F67,Productos!$A:$A,Productos!AR:AR,"Revisar"),"")</f>
        <v/>
      </c>
      <c r="AZ67" s="179" t="str">
        <f t="array" ref="AZ67">IF($F67&lt;&gt;"", XLOOKUP($F67,Productos!$A$2:$A1001,Productos!AS$2:AS1001,"")*$G67,"")</f>
        <v/>
      </c>
      <c r="BA67" s="179" t="str">
        <f t="array" ref="BA67">IF($F67&lt;&gt;"",XLOOKUP($F67,Productos!$A:$A,Productos!AT:AT,"Revisar"),"")</f>
        <v/>
      </c>
      <c r="BB67" s="179" t="str">
        <f t="array" ref="BB67">IF($F67&lt;&gt;"", XLOOKUP($F67,Productos!$A$2:$A1001,Productos!AU$2:AU1001,"")*$G67,"")</f>
        <v/>
      </c>
      <c r="BC67" s="179" t="str">
        <f t="array" ref="BC67">IF($F67&lt;&gt;"",XLOOKUP($F67,Productos!$A:$A,Productos!AV:AV,"Revisar"),"")</f>
        <v/>
      </c>
      <c r="BD67" s="179" t="str">
        <f t="array" ref="BD67">IF($F67&lt;&gt;"", XLOOKUP($F67,Productos!$A$2:$A1001,Productos!AW$2:AW1001,"")*$G67,"")</f>
        <v/>
      </c>
      <c r="BE67" s="179" t="str">
        <f t="array" ref="BE67">IF($F67&lt;&gt;"",XLOOKUP($F67,Productos!$A:$A,Productos!AX:AX,"Revisar"),"")</f>
        <v/>
      </c>
      <c r="BF67" s="179" t="str">
        <f t="array" ref="BF67">IF($F67&lt;&gt;"", XLOOKUP($F67,Productos!$A$2:$A1001,Productos!AY$2:AY1001,"")*$G67,"")</f>
        <v/>
      </c>
      <c r="BG67" s="179" t="str">
        <f t="array" ref="BG67">IF($F67&lt;&gt;"",XLOOKUP($F67,Productos!$A:$A,Productos!AZ:AZ,"Revisar"),"")</f>
        <v/>
      </c>
      <c r="BH67" s="179" t="str">
        <f t="array" ref="BH67">IF($F67&lt;&gt;"", XLOOKUP($F67,Productos!$A$2:$A1001,Productos!BA$2:BA1001,"")*$G67,"")</f>
        <v/>
      </c>
      <c r="BI67" s="179" t="str">
        <f t="array" ref="BI67">IF($F67&lt;&gt;"",XLOOKUP($F67,Productos!$A:$A,Productos!BB:BB,"Revisar"),"")</f>
        <v/>
      </c>
      <c r="BJ67" s="179" t="str">
        <f t="array" ref="BJ67">IF($F67&lt;&gt;"", XLOOKUP($F67,Productos!$A$2:$A1001,Productos!BC$2:BC1001,"")*$G67,"")</f>
        <v/>
      </c>
      <c r="BK67" s="179" t="str">
        <f t="array" ref="BK67">IF($F67&lt;&gt;"",XLOOKUP($F67,Productos!$A:$A,Productos!BD:BD,"Revisar"),"")</f>
        <v/>
      </c>
      <c r="BL67" s="179" t="str">
        <f t="array" ref="BL67">IF($F67&lt;&gt;"", XLOOKUP($F67,Productos!$A$2:$A1001,Productos!BE$2:BE1001,"")*$G67,"")</f>
        <v/>
      </c>
      <c r="BM67" s="179" t="str">
        <f t="array" ref="BM67">IF($F67&lt;&gt;"",XLOOKUP($F67,Productos!$A:$A,Productos!BF:BF,"Revisar"),"")</f>
        <v/>
      </c>
      <c r="BN67" s="179" t="str">
        <f t="array" ref="BN67">IF($F67&lt;&gt;"", XLOOKUP($F67,Productos!$A$2:$A1001,Productos!BG$2:BG1001,"")*$G67,"")</f>
        <v/>
      </c>
      <c r="BO67" s="179" t="str">
        <f t="array" ref="BO67">IF($F67&lt;&gt;"",XLOOKUP($F67,Productos!$A:$A,Productos!BH:BH,"Revisar"),"")</f>
        <v/>
      </c>
      <c r="BP67" s="179" t="str">
        <f t="array" ref="BP67">IF($F67&lt;&gt;"", XLOOKUP($F67,Productos!$A$2:$A1001,Productos!BI$2:BI1001,"")*$G67,"")</f>
        <v/>
      </c>
      <c r="BQ67" s="179" t="str">
        <f t="array" ref="BQ67">IF($F67&lt;&gt;"",XLOOKUP($F67,Productos!$A:$A,Productos!BJ:BJ,"Revisar"),"")</f>
        <v/>
      </c>
      <c r="BR67" s="179" t="str">
        <f t="array" ref="BR67">IF($F67&lt;&gt;"", XLOOKUP($F67,Productos!$A$2:$A1001,Productos!BK$2:BK1001,"")*$G67,"")</f>
        <v/>
      </c>
      <c r="BS67" s="179" t="str">
        <f t="array" ref="BS67">IF($F67&lt;&gt;"",XLOOKUP($F67,Productos!$A:$A,Productos!BL:BL,"Revisar"),"")</f>
        <v/>
      </c>
      <c r="BT67" s="179" t="str">
        <f t="array" ref="BT67">IF($F67&lt;&gt;"", XLOOKUP($F67,Productos!$A$2:$A1001,Productos!BM$2:BM1001,"")*$G67,"")</f>
        <v/>
      </c>
      <c r="BU67" s="179" t="str">
        <f t="array" ref="BU67">IF($F67&lt;&gt;"",XLOOKUP($F67,Productos!$A:$A,Productos!BN:BN,"Revisar"),"")</f>
        <v/>
      </c>
      <c r="BV67" s="179" t="str">
        <f t="array" ref="BV67">IF($F67&lt;&gt;"", XLOOKUP($F67,Productos!$A$2:$A1001,Productos!BO$2:BO1001,"")*$G67,"")</f>
        <v/>
      </c>
      <c r="BW67" s="179" t="str">
        <f t="array" ref="BW67">IF($F67&lt;&gt;"",XLOOKUP($F67,Productos!$A:$A,Productos!BP:BP,"Revisar"),"")</f>
        <v/>
      </c>
      <c r="BX67" s="179" t="str">
        <f t="array" ref="BX67">IF($F67&lt;&gt;"", XLOOKUP($F67,Productos!$A$2:$A1001,Productos!BQ$2:BQ1001,"")*$G67,"")</f>
        <v/>
      </c>
      <c r="BY67" s="179" t="str">
        <f t="array" ref="BY67">IF($F67&lt;&gt;"",XLOOKUP($F67,Productos!$A:$A,Productos!BR:BR,"Revisar"),"")</f>
        <v/>
      </c>
      <c r="BZ67" s="179" t="str">
        <f t="array" ref="BZ67">IF($F67&lt;&gt;"", XLOOKUP($F67,Productos!$A$2:$A1001,Productos!BS$2:BS1001,"")*$G67,"")</f>
        <v/>
      </c>
    </row>
    <row r="68">
      <c r="A68" s="180"/>
      <c r="B68" s="181"/>
      <c r="C68" s="182"/>
      <c r="D68" s="182"/>
      <c r="E68" s="185"/>
      <c r="F68" s="186"/>
      <c r="G68" s="187"/>
      <c r="H68" s="186"/>
      <c r="I68" s="179" t="str">
        <f t="array" ref="I68">IF($F68&lt;&gt;"",XLOOKUP($F68,Productos!$A:$A,Productos!B:B,"Revisar"),"")</f>
        <v/>
      </c>
      <c r="J68" s="179" t="str">
        <f t="array" ref="J68">IF($F68&lt;&gt;"", XLOOKUP($F68,Productos!$A$2:$A1001,Productos!C$2:C1001,"")*$G68,"")</f>
        <v/>
      </c>
      <c r="K68" s="179" t="str">
        <f t="array" ref="K68">IF($F68&lt;&gt;"",XLOOKUP($F68,Productos!$A:$A,Productos!D:D,"Revisar"),"")</f>
        <v/>
      </c>
      <c r="L68" s="179" t="str">
        <f t="array" ref="L68">IF($F68&lt;&gt;"", XLOOKUP($F68,Productos!$A$2:$A1001,Productos!E$2:E1001,"")*$G68,"")</f>
        <v/>
      </c>
      <c r="M68" s="179" t="str">
        <f t="array" ref="M68">IF($F68&lt;&gt;"",XLOOKUP($F68,Productos!$A:$A,Productos!F:F,"Revisar"),"")</f>
        <v/>
      </c>
      <c r="N68" s="179" t="str">
        <f t="array" ref="N68">IF($F68&lt;&gt;"", XLOOKUP($F68,Productos!$A$2:$A1001,Productos!G$2:G1001,"")*$G68,"")</f>
        <v/>
      </c>
      <c r="O68" s="179" t="str">
        <f t="array" ref="O68">IF($F68&lt;&gt;"",XLOOKUP($F68,Productos!$A:$A,Productos!H:H,"Revisar"),"")</f>
        <v/>
      </c>
      <c r="P68" s="179" t="str">
        <f t="array" ref="P68">IF($F68&lt;&gt;"", XLOOKUP($F68,Productos!$A$2:$A1001,Productos!I$2:I1001,"")*$G68,"")</f>
        <v/>
      </c>
      <c r="Q68" s="179" t="str">
        <f t="array" ref="Q68">IF($F68&lt;&gt;"",XLOOKUP($F68,Productos!$A:$A,Productos!J:J,"Revisar"),"")</f>
        <v/>
      </c>
      <c r="R68" s="179" t="str">
        <f t="array" ref="R68">IF($F68&lt;&gt;"", XLOOKUP($F68,Productos!$A$2:$A1001,Productos!K$2:K1001,"")*$G68,"")</f>
        <v/>
      </c>
      <c r="S68" s="179" t="str">
        <f t="array" ref="S68">IF($F68&lt;&gt;"",XLOOKUP($F68,Productos!$A:$A,Productos!L:L,"Revisar"),"")</f>
        <v/>
      </c>
      <c r="T68" s="179" t="str">
        <f t="array" ref="T68">IF($F68&lt;&gt;"", XLOOKUP($F68,Productos!$A$2:$A1001,Productos!M$2:M1001,"")*$G68,"")</f>
        <v/>
      </c>
      <c r="U68" s="179" t="str">
        <f t="array" ref="U68">IF($F68&lt;&gt;"",XLOOKUP($F68,Productos!$A:$A,Productos!N:N,"Revisar"),"")</f>
        <v/>
      </c>
      <c r="V68" s="179" t="str">
        <f t="array" ref="V68">IF($F68&lt;&gt;"", XLOOKUP($F68,Productos!$A$2:$A1001,Productos!O$2:O1001,"")*$G68,"")</f>
        <v/>
      </c>
      <c r="W68" s="179" t="str">
        <f t="array" ref="W68">IF($F68&lt;&gt;"",XLOOKUP($F68,Productos!$A:$A,Productos!P:P,"Revisar"),"")</f>
        <v/>
      </c>
      <c r="X68" s="179" t="str">
        <f t="array" ref="X68">IF($F68&lt;&gt;"", XLOOKUP($F68,Productos!$A$2:$A1001,Productos!Q$2:Q1001,"")*$G68,"")</f>
        <v/>
      </c>
      <c r="Y68" s="179" t="str">
        <f t="array" ref="Y68">IF($F68&lt;&gt;"",XLOOKUP($F68,Productos!$A:$A,Productos!R:R,"Revisar"),"")</f>
        <v/>
      </c>
      <c r="Z68" s="179" t="str">
        <f t="array" ref="Z68">IF($F68&lt;&gt;"", XLOOKUP($F68,Productos!$A$2:$A1001,Productos!S$2:S1001,"")*$G68,"")</f>
        <v/>
      </c>
      <c r="AA68" s="179" t="str">
        <f t="array" ref="AA68">IF($F68&lt;&gt;"",XLOOKUP($F68,Productos!$A:$A,Productos!T:T,"Revisar"),"")</f>
        <v/>
      </c>
      <c r="AB68" s="179" t="str">
        <f t="array" ref="AB68">IF($F68&lt;&gt;"", XLOOKUP($F68,Productos!$A$2:$A1001,Productos!U$2:U1001,"")*$G68,"")</f>
        <v/>
      </c>
      <c r="AC68" s="179" t="str">
        <f t="array" ref="AC68">IF($F68&lt;&gt;"",XLOOKUP($F68,Productos!$A:$A,Productos!V:V,"Revisar"),"")</f>
        <v/>
      </c>
      <c r="AD68" s="179" t="str">
        <f t="array" ref="AD68">IF($F68&lt;&gt;"", XLOOKUP($F68,Productos!$A$2:$A1001,Productos!W$2:W1001,"")*$G68,"")</f>
        <v/>
      </c>
      <c r="AE68" s="179" t="str">
        <f t="array" ref="AE68">IF($F68&lt;&gt;"",XLOOKUP($F68,Productos!$A:$A,Productos!X:X,"Revisar"),"")</f>
        <v/>
      </c>
      <c r="AF68" s="179" t="str">
        <f t="array" ref="AF68">IF($F68&lt;&gt;"", XLOOKUP($F68,Productos!$A$2:$A1001,Productos!Y$2:Y1001,"")*$G68,"")</f>
        <v/>
      </c>
      <c r="AG68" s="179" t="str">
        <f t="array" ref="AG68">IF($F68&lt;&gt;"",XLOOKUP($F68,Productos!$A:$A,Productos!Z:Z,"Revisar"),"")</f>
        <v/>
      </c>
      <c r="AH68" s="179" t="str">
        <f t="array" ref="AH68">IF($F68&lt;&gt;"", XLOOKUP($F68,Productos!$A$2:$A1001,Productos!AA$2:AA1001,"")*$G68,"")</f>
        <v/>
      </c>
      <c r="AI68" s="179" t="str">
        <f t="array" ref="AI68">IF($F68&lt;&gt;"",XLOOKUP($F68,Productos!$A:$A,Productos!AB:AB,"Revisar"),"")</f>
        <v/>
      </c>
      <c r="AJ68" s="179" t="str">
        <f t="array" ref="AJ68">IF($F68&lt;&gt;"", XLOOKUP($F68,Productos!$A$2:$A1001,Productos!AC$2:AC1001,"")*$G68,"")</f>
        <v/>
      </c>
      <c r="AK68" s="179" t="str">
        <f t="array" ref="AK68">IF($F68&lt;&gt;"",XLOOKUP($F68,Productos!$A:$A,Productos!AD:AD,"Revisar"),"")</f>
        <v/>
      </c>
      <c r="AL68" s="179" t="str">
        <f t="array" ref="AL68">IF($F68&lt;&gt;"", XLOOKUP($F68,Productos!$A$2:$A1001,Productos!AE$2:AE1001,"")*$G68,"")</f>
        <v/>
      </c>
      <c r="AM68" s="179" t="str">
        <f t="array" ref="AM68">IF($F68&lt;&gt;"",XLOOKUP($F68,Productos!$A:$A,Productos!AF:AF,"Revisar"),"")</f>
        <v/>
      </c>
      <c r="AN68" s="179" t="str">
        <f t="array" ref="AN68">IF($F68&lt;&gt;"", XLOOKUP($F68,Productos!$A$2:$A1001,Productos!AG$2:AG1001,"")*$G68,"")</f>
        <v/>
      </c>
      <c r="AO68" s="179" t="str">
        <f t="array" ref="AO68">IF($F68&lt;&gt;"",XLOOKUP($F68,Productos!$A:$A,Productos!AH:AH,"Revisar"),"")</f>
        <v/>
      </c>
      <c r="AP68" s="179" t="str">
        <f t="array" ref="AP68">IF($F68&lt;&gt;"", XLOOKUP($F68,Productos!$A$2:$A1001,Productos!AI$2:AI1001,"")*$G68,"")</f>
        <v/>
      </c>
      <c r="AQ68" s="179" t="str">
        <f t="array" ref="AQ68">IF($F68&lt;&gt;"",XLOOKUP($F68,Productos!$A:$A,Productos!AJ:AJ,"Revisar"),"")</f>
        <v/>
      </c>
      <c r="AR68" s="179" t="str">
        <f t="array" ref="AR68">IF($F68&lt;&gt;"", XLOOKUP($F68,Productos!$A$2:$A1001,Productos!AK$2:AK1001,"")*$G68,"")</f>
        <v/>
      </c>
      <c r="AS68" s="179" t="str">
        <f t="array" ref="AS68">IF($F68&lt;&gt;"",XLOOKUP($F68,Productos!$A:$A,Productos!AL:AL,"Revisar"),"")</f>
        <v/>
      </c>
      <c r="AT68" s="179" t="str">
        <f t="array" ref="AT68">IF($F68&lt;&gt;"", XLOOKUP($F68,Productos!$A$2:$A1001,Productos!AM$2:AM1001,"")*$G68,"")</f>
        <v/>
      </c>
      <c r="AU68" s="179" t="str">
        <f t="array" ref="AU68">IF($F68&lt;&gt;"",XLOOKUP($F68,Productos!$A:$A,Productos!AN:AN,"Revisar"),"")</f>
        <v/>
      </c>
      <c r="AV68" s="179" t="str">
        <f t="array" ref="AV68">IF($F68&lt;&gt;"", XLOOKUP($F68,Productos!$A$2:$A1001,Productos!AO$2:AO1001,"")*$G68,"")</f>
        <v/>
      </c>
      <c r="AW68" s="179" t="str">
        <f t="array" ref="AW68">IF($F68&lt;&gt;"",XLOOKUP($F68,Productos!$A:$A,Productos!AP:AP,"Revisar"),"")</f>
        <v/>
      </c>
      <c r="AX68" s="179" t="str">
        <f t="array" ref="AX68">IF($F68&lt;&gt;"", XLOOKUP($F68,Productos!$A$2:$A1001,Productos!AQ$2:AQ1001,"")*$G68,"")</f>
        <v/>
      </c>
      <c r="AY68" s="179" t="str">
        <f t="array" ref="AY68">IF($F68&lt;&gt;"",XLOOKUP($F68,Productos!$A:$A,Productos!AR:AR,"Revisar"),"")</f>
        <v/>
      </c>
      <c r="AZ68" s="179" t="str">
        <f t="array" ref="AZ68">IF($F68&lt;&gt;"", XLOOKUP($F68,Productos!$A$2:$A1001,Productos!AS$2:AS1001,"")*$G68,"")</f>
        <v/>
      </c>
      <c r="BA68" s="179" t="str">
        <f t="array" ref="BA68">IF($F68&lt;&gt;"",XLOOKUP($F68,Productos!$A:$A,Productos!AT:AT,"Revisar"),"")</f>
        <v/>
      </c>
      <c r="BB68" s="179" t="str">
        <f t="array" ref="BB68">IF($F68&lt;&gt;"", XLOOKUP($F68,Productos!$A$2:$A1001,Productos!AU$2:AU1001,"")*$G68,"")</f>
        <v/>
      </c>
      <c r="BC68" s="179" t="str">
        <f t="array" ref="BC68">IF($F68&lt;&gt;"",XLOOKUP($F68,Productos!$A:$A,Productos!AV:AV,"Revisar"),"")</f>
        <v/>
      </c>
      <c r="BD68" s="179" t="str">
        <f t="array" ref="BD68">IF($F68&lt;&gt;"", XLOOKUP($F68,Productos!$A$2:$A1001,Productos!AW$2:AW1001,"")*$G68,"")</f>
        <v/>
      </c>
      <c r="BE68" s="179" t="str">
        <f t="array" ref="BE68">IF($F68&lt;&gt;"",XLOOKUP($F68,Productos!$A:$A,Productos!AX:AX,"Revisar"),"")</f>
        <v/>
      </c>
      <c r="BF68" s="179" t="str">
        <f t="array" ref="BF68">IF($F68&lt;&gt;"", XLOOKUP($F68,Productos!$A$2:$A1001,Productos!AY$2:AY1001,"")*$G68,"")</f>
        <v/>
      </c>
      <c r="BG68" s="179" t="str">
        <f t="array" ref="BG68">IF($F68&lt;&gt;"",XLOOKUP($F68,Productos!$A:$A,Productos!AZ:AZ,"Revisar"),"")</f>
        <v/>
      </c>
      <c r="BH68" s="179" t="str">
        <f t="array" ref="BH68">IF($F68&lt;&gt;"", XLOOKUP($F68,Productos!$A$2:$A1001,Productos!BA$2:BA1001,"")*$G68,"")</f>
        <v/>
      </c>
      <c r="BI68" s="179" t="str">
        <f t="array" ref="BI68">IF($F68&lt;&gt;"",XLOOKUP($F68,Productos!$A:$A,Productos!BB:BB,"Revisar"),"")</f>
        <v/>
      </c>
      <c r="BJ68" s="179" t="str">
        <f t="array" ref="BJ68">IF($F68&lt;&gt;"", XLOOKUP($F68,Productos!$A$2:$A1001,Productos!BC$2:BC1001,"")*$G68,"")</f>
        <v/>
      </c>
      <c r="BK68" s="179" t="str">
        <f t="array" ref="BK68">IF($F68&lt;&gt;"",XLOOKUP($F68,Productos!$A:$A,Productos!BD:BD,"Revisar"),"")</f>
        <v/>
      </c>
      <c r="BL68" s="179" t="str">
        <f t="array" ref="BL68">IF($F68&lt;&gt;"", XLOOKUP($F68,Productos!$A$2:$A1001,Productos!BE$2:BE1001,"")*$G68,"")</f>
        <v/>
      </c>
      <c r="BM68" s="179" t="str">
        <f t="array" ref="BM68">IF($F68&lt;&gt;"",XLOOKUP($F68,Productos!$A:$A,Productos!BF:BF,"Revisar"),"")</f>
        <v/>
      </c>
      <c r="BN68" s="179" t="str">
        <f t="array" ref="BN68">IF($F68&lt;&gt;"", XLOOKUP($F68,Productos!$A$2:$A1001,Productos!BG$2:BG1001,"")*$G68,"")</f>
        <v/>
      </c>
      <c r="BO68" s="179" t="str">
        <f t="array" ref="BO68">IF($F68&lt;&gt;"",XLOOKUP($F68,Productos!$A:$A,Productos!BH:BH,"Revisar"),"")</f>
        <v/>
      </c>
      <c r="BP68" s="179" t="str">
        <f t="array" ref="BP68">IF($F68&lt;&gt;"", XLOOKUP($F68,Productos!$A$2:$A1001,Productos!BI$2:BI1001,"")*$G68,"")</f>
        <v/>
      </c>
      <c r="BQ68" s="179" t="str">
        <f t="array" ref="BQ68">IF($F68&lt;&gt;"",XLOOKUP($F68,Productos!$A:$A,Productos!BJ:BJ,"Revisar"),"")</f>
        <v/>
      </c>
      <c r="BR68" s="179" t="str">
        <f t="array" ref="BR68">IF($F68&lt;&gt;"", XLOOKUP($F68,Productos!$A$2:$A1001,Productos!BK$2:BK1001,"")*$G68,"")</f>
        <v/>
      </c>
      <c r="BS68" s="179" t="str">
        <f t="array" ref="BS68">IF($F68&lt;&gt;"",XLOOKUP($F68,Productos!$A:$A,Productos!BL:BL,"Revisar"),"")</f>
        <v/>
      </c>
      <c r="BT68" s="179" t="str">
        <f t="array" ref="BT68">IF($F68&lt;&gt;"", XLOOKUP($F68,Productos!$A$2:$A1001,Productos!BM$2:BM1001,"")*$G68,"")</f>
        <v/>
      </c>
      <c r="BU68" s="179" t="str">
        <f t="array" ref="BU68">IF($F68&lt;&gt;"",XLOOKUP($F68,Productos!$A:$A,Productos!BN:BN,"Revisar"),"")</f>
        <v/>
      </c>
      <c r="BV68" s="179" t="str">
        <f t="array" ref="BV68">IF($F68&lt;&gt;"", XLOOKUP($F68,Productos!$A$2:$A1001,Productos!BO$2:BO1001,"")*$G68,"")</f>
        <v/>
      </c>
      <c r="BW68" s="179" t="str">
        <f t="array" ref="BW68">IF($F68&lt;&gt;"",XLOOKUP($F68,Productos!$A:$A,Productos!BP:BP,"Revisar"),"")</f>
        <v/>
      </c>
      <c r="BX68" s="179" t="str">
        <f t="array" ref="BX68">IF($F68&lt;&gt;"", XLOOKUP($F68,Productos!$A$2:$A1001,Productos!BQ$2:BQ1001,"")*$G68,"")</f>
        <v/>
      </c>
      <c r="BY68" s="179" t="str">
        <f t="array" ref="BY68">IF($F68&lt;&gt;"",XLOOKUP($F68,Productos!$A:$A,Productos!BR:BR,"Revisar"),"")</f>
        <v/>
      </c>
      <c r="BZ68" s="179" t="str">
        <f t="array" ref="BZ68">IF($F68&lt;&gt;"", XLOOKUP($F68,Productos!$A$2:$A1001,Productos!BS$2:BS1001,"")*$G68,"")</f>
        <v/>
      </c>
    </row>
    <row r="69">
      <c r="A69" s="180"/>
      <c r="B69" s="181"/>
      <c r="C69" s="182"/>
      <c r="D69" s="182"/>
      <c r="E69" s="185"/>
      <c r="F69" s="186"/>
      <c r="G69" s="187"/>
      <c r="H69" s="186"/>
      <c r="I69" s="179" t="str">
        <f t="array" ref="I69">IF($F69&lt;&gt;"",XLOOKUP($F69,Productos!$A:$A,Productos!B:B,"Revisar"),"")</f>
        <v/>
      </c>
      <c r="J69" s="179" t="str">
        <f t="array" ref="J69">IF($F69&lt;&gt;"", XLOOKUP($F69,Productos!$A$2:$A1001,Productos!C$2:C1001,"")*$G69,"")</f>
        <v/>
      </c>
      <c r="K69" s="179" t="str">
        <f t="array" ref="K69">IF($F69&lt;&gt;"",XLOOKUP($F69,Productos!$A:$A,Productos!D:D,"Revisar"),"")</f>
        <v/>
      </c>
      <c r="L69" s="179" t="str">
        <f t="array" ref="L69">IF($F69&lt;&gt;"", XLOOKUP($F69,Productos!$A$2:$A1001,Productos!E$2:E1001,"")*$G69,"")</f>
        <v/>
      </c>
      <c r="M69" s="179" t="str">
        <f t="array" ref="M69">IF($F69&lt;&gt;"",XLOOKUP($F69,Productos!$A:$A,Productos!F:F,"Revisar"),"")</f>
        <v/>
      </c>
      <c r="N69" s="179" t="str">
        <f t="array" ref="N69">IF($F69&lt;&gt;"", XLOOKUP($F69,Productos!$A$2:$A1001,Productos!G$2:G1001,"")*$G69,"")</f>
        <v/>
      </c>
      <c r="O69" s="179" t="str">
        <f t="array" ref="O69">IF($F69&lt;&gt;"",XLOOKUP($F69,Productos!$A:$A,Productos!H:H,"Revisar"),"")</f>
        <v/>
      </c>
      <c r="P69" s="179" t="str">
        <f t="array" ref="P69">IF($F69&lt;&gt;"", XLOOKUP($F69,Productos!$A$2:$A1001,Productos!I$2:I1001,"")*$G69,"")</f>
        <v/>
      </c>
      <c r="Q69" s="179" t="str">
        <f t="array" ref="Q69">IF($F69&lt;&gt;"",XLOOKUP($F69,Productos!$A:$A,Productos!J:J,"Revisar"),"")</f>
        <v/>
      </c>
      <c r="R69" s="179" t="str">
        <f t="array" ref="R69">IF($F69&lt;&gt;"", XLOOKUP($F69,Productos!$A$2:$A1001,Productos!K$2:K1001,"")*$G69,"")</f>
        <v/>
      </c>
      <c r="S69" s="179" t="str">
        <f t="array" ref="S69">IF($F69&lt;&gt;"",XLOOKUP($F69,Productos!$A:$A,Productos!L:L,"Revisar"),"")</f>
        <v/>
      </c>
      <c r="T69" s="179" t="str">
        <f t="array" ref="T69">IF($F69&lt;&gt;"", XLOOKUP($F69,Productos!$A$2:$A1001,Productos!M$2:M1001,"")*$G69,"")</f>
        <v/>
      </c>
      <c r="U69" s="179" t="str">
        <f t="array" ref="U69">IF($F69&lt;&gt;"",XLOOKUP($F69,Productos!$A:$A,Productos!N:N,"Revisar"),"")</f>
        <v/>
      </c>
      <c r="V69" s="179" t="str">
        <f t="array" ref="V69">IF($F69&lt;&gt;"", XLOOKUP($F69,Productos!$A$2:$A1001,Productos!O$2:O1001,"")*$G69,"")</f>
        <v/>
      </c>
      <c r="W69" s="179" t="str">
        <f t="array" ref="W69">IF($F69&lt;&gt;"",XLOOKUP($F69,Productos!$A:$A,Productos!P:P,"Revisar"),"")</f>
        <v/>
      </c>
      <c r="X69" s="179" t="str">
        <f t="array" ref="X69">IF($F69&lt;&gt;"", XLOOKUP($F69,Productos!$A$2:$A1001,Productos!Q$2:Q1001,"")*$G69,"")</f>
        <v/>
      </c>
      <c r="Y69" s="179" t="str">
        <f t="array" ref="Y69">IF($F69&lt;&gt;"",XLOOKUP($F69,Productos!$A:$A,Productos!R:R,"Revisar"),"")</f>
        <v/>
      </c>
      <c r="Z69" s="179" t="str">
        <f t="array" ref="Z69">IF($F69&lt;&gt;"", XLOOKUP($F69,Productos!$A$2:$A1001,Productos!S$2:S1001,"")*$G69,"")</f>
        <v/>
      </c>
      <c r="AA69" s="179" t="str">
        <f t="array" ref="AA69">IF($F69&lt;&gt;"",XLOOKUP($F69,Productos!$A:$A,Productos!T:T,"Revisar"),"")</f>
        <v/>
      </c>
      <c r="AB69" s="179" t="str">
        <f t="array" ref="AB69">IF($F69&lt;&gt;"", XLOOKUP($F69,Productos!$A$2:$A1001,Productos!U$2:U1001,"")*$G69,"")</f>
        <v/>
      </c>
      <c r="AC69" s="179" t="str">
        <f t="array" ref="AC69">IF($F69&lt;&gt;"",XLOOKUP($F69,Productos!$A:$A,Productos!V:V,"Revisar"),"")</f>
        <v/>
      </c>
      <c r="AD69" s="179" t="str">
        <f t="array" ref="AD69">IF($F69&lt;&gt;"", XLOOKUP($F69,Productos!$A$2:$A1001,Productos!W$2:W1001,"")*$G69,"")</f>
        <v/>
      </c>
      <c r="AE69" s="179" t="str">
        <f t="array" ref="AE69">IF($F69&lt;&gt;"",XLOOKUP($F69,Productos!$A:$A,Productos!X:X,"Revisar"),"")</f>
        <v/>
      </c>
      <c r="AF69" s="179" t="str">
        <f t="array" ref="AF69">IF($F69&lt;&gt;"", XLOOKUP($F69,Productos!$A$2:$A1001,Productos!Y$2:Y1001,"")*$G69,"")</f>
        <v/>
      </c>
      <c r="AG69" s="179" t="str">
        <f t="array" ref="AG69">IF($F69&lt;&gt;"",XLOOKUP($F69,Productos!$A:$A,Productos!Z:Z,"Revisar"),"")</f>
        <v/>
      </c>
      <c r="AH69" s="179" t="str">
        <f t="array" ref="AH69">IF($F69&lt;&gt;"", XLOOKUP($F69,Productos!$A$2:$A1001,Productos!AA$2:AA1001,"")*$G69,"")</f>
        <v/>
      </c>
      <c r="AI69" s="179" t="str">
        <f t="array" ref="AI69">IF($F69&lt;&gt;"",XLOOKUP($F69,Productos!$A:$A,Productos!AB:AB,"Revisar"),"")</f>
        <v/>
      </c>
      <c r="AJ69" s="179" t="str">
        <f t="array" ref="AJ69">IF($F69&lt;&gt;"", XLOOKUP($F69,Productos!$A$2:$A1001,Productos!AC$2:AC1001,"")*$G69,"")</f>
        <v/>
      </c>
      <c r="AK69" s="179" t="str">
        <f t="array" ref="AK69">IF($F69&lt;&gt;"",XLOOKUP($F69,Productos!$A:$A,Productos!AD:AD,"Revisar"),"")</f>
        <v/>
      </c>
      <c r="AL69" s="179" t="str">
        <f t="array" ref="AL69">IF($F69&lt;&gt;"", XLOOKUP($F69,Productos!$A$2:$A1001,Productos!AE$2:AE1001,"")*$G69,"")</f>
        <v/>
      </c>
      <c r="AM69" s="179" t="str">
        <f t="array" ref="AM69">IF($F69&lt;&gt;"",XLOOKUP($F69,Productos!$A:$A,Productos!AF:AF,"Revisar"),"")</f>
        <v/>
      </c>
      <c r="AN69" s="179" t="str">
        <f t="array" ref="AN69">IF($F69&lt;&gt;"", XLOOKUP($F69,Productos!$A$2:$A1001,Productos!AG$2:AG1001,"")*$G69,"")</f>
        <v/>
      </c>
      <c r="AO69" s="179" t="str">
        <f t="array" ref="AO69">IF($F69&lt;&gt;"",XLOOKUP($F69,Productos!$A:$A,Productos!AH:AH,"Revisar"),"")</f>
        <v/>
      </c>
      <c r="AP69" s="179" t="str">
        <f t="array" ref="AP69">IF($F69&lt;&gt;"", XLOOKUP($F69,Productos!$A$2:$A1001,Productos!AI$2:AI1001,"")*$G69,"")</f>
        <v/>
      </c>
      <c r="AQ69" s="179" t="str">
        <f t="array" ref="AQ69">IF($F69&lt;&gt;"",XLOOKUP($F69,Productos!$A:$A,Productos!AJ:AJ,"Revisar"),"")</f>
        <v/>
      </c>
      <c r="AR69" s="179" t="str">
        <f t="array" ref="AR69">IF($F69&lt;&gt;"", XLOOKUP($F69,Productos!$A$2:$A1001,Productos!AK$2:AK1001,"")*$G69,"")</f>
        <v/>
      </c>
      <c r="AS69" s="179" t="str">
        <f t="array" ref="AS69">IF($F69&lt;&gt;"",XLOOKUP($F69,Productos!$A:$A,Productos!AL:AL,"Revisar"),"")</f>
        <v/>
      </c>
      <c r="AT69" s="179" t="str">
        <f t="array" ref="AT69">IF($F69&lt;&gt;"", XLOOKUP($F69,Productos!$A$2:$A1001,Productos!AM$2:AM1001,"")*$G69,"")</f>
        <v/>
      </c>
      <c r="AU69" s="179" t="str">
        <f t="array" ref="AU69">IF($F69&lt;&gt;"",XLOOKUP($F69,Productos!$A:$A,Productos!AN:AN,"Revisar"),"")</f>
        <v/>
      </c>
      <c r="AV69" s="179" t="str">
        <f t="array" ref="AV69">IF($F69&lt;&gt;"", XLOOKUP($F69,Productos!$A$2:$A1001,Productos!AO$2:AO1001,"")*$G69,"")</f>
        <v/>
      </c>
      <c r="AW69" s="179" t="str">
        <f t="array" ref="AW69">IF($F69&lt;&gt;"",XLOOKUP($F69,Productos!$A:$A,Productos!AP:AP,"Revisar"),"")</f>
        <v/>
      </c>
      <c r="AX69" s="179" t="str">
        <f t="array" ref="AX69">IF($F69&lt;&gt;"", XLOOKUP($F69,Productos!$A$2:$A1001,Productos!AQ$2:AQ1001,"")*$G69,"")</f>
        <v/>
      </c>
      <c r="AY69" s="179" t="str">
        <f t="array" ref="AY69">IF($F69&lt;&gt;"",XLOOKUP($F69,Productos!$A:$A,Productos!AR:AR,"Revisar"),"")</f>
        <v/>
      </c>
      <c r="AZ69" s="179" t="str">
        <f t="array" ref="AZ69">IF($F69&lt;&gt;"", XLOOKUP($F69,Productos!$A$2:$A1001,Productos!AS$2:AS1001,"")*$G69,"")</f>
        <v/>
      </c>
      <c r="BA69" s="179" t="str">
        <f t="array" ref="BA69">IF($F69&lt;&gt;"",XLOOKUP($F69,Productos!$A:$A,Productos!AT:AT,"Revisar"),"")</f>
        <v/>
      </c>
      <c r="BB69" s="179" t="str">
        <f t="array" ref="BB69">IF($F69&lt;&gt;"", XLOOKUP($F69,Productos!$A$2:$A1001,Productos!AU$2:AU1001,"")*$G69,"")</f>
        <v/>
      </c>
      <c r="BC69" s="179" t="str">
        <f t="array" ref="BC69">IF($F69&lt;&gt;"",XLOOKUP($F69,Productos!$A:$A,Productos!AV:AV,"Revisar"),"")</f>
        <v/>
      </c>
      <c r="BD69" s="179" t="str">
        <f t="array" ref="BD69">IF($F69&lt;&gt;"", XLOOKUP($F69,Productos!$A$2:$A1001,Productos!AW$2:AW1001,"")*$G69,"")</f>
        <v/>
      </c>
      <c r="BE69" s="179" t="str">
        <f t="array" ref="BE69">IF($F69&lt;&gt;"",XLOOKUP($F69,Productos!$A:$A,Productos!AX:AX,"Revisar"),"")</f>
        <v/>
      </c>
      <c r="BF69" s="179" t="str">
        <f t="array" ref="BF69">IF($F69&lt;&gt;"", XLOOKUP($F69,Productos!$A$2:$A1001,Productos!AY$2:AY1001,"")*$G69,"")</f>
        <v/>
      </c>
      <c r="BG69" s="179" t="str">
        <f t="array" ref="BG69">IF($F69&lt;&gt;"",XLOOKUP($F69,Productos!$A:$A,Productos!AZ:AZ,"Revisar"),"")</f>
        <v/>
      </c>
      <c r="BH69" s="179" t="str">
        <f t="array" ref="BH69">IF($F69&lt;&gt;"", XLOOKUP($F69,Productos!$A$2:$A1001,Productos!BA$2:BA1001,"")*$G69,"")</f>
        <v/>
      </c>
      <c r="BI69" s="179" t="str">
        <f t="array" ref="BI69">IF($F69&lt;&gt;"",XLOOKUP($F69,Productos!$A:$A,Productos!BB:BB,"Revisar"),"")</f>
        <v/>
      </c>
      <c r="BJ69" s="179" t="str">
        <f t="array" ref="BJ69">IF($F69&lt;&gt;"", XLOOKUP($F69,Productos!$A$2:$A1001,Productos!BC$2:BC1001,"")*$G69,"")</f>
        <v/>
      </c>
      <c r="BK69" s="179" t="str">
        <f t="array" ref="BK69">IF($F69&lt;&gt;"",XLOOKUP($F69,Productos!$A:$A,Productos!BD:BD,"Revisar"),"")</f>
        <v/>
      </c>
      <c r="BL69" s="179" t="str">
        <f t="array" ref="BL69">IF($F69&lt;&gt;"", XLOOKUP($F69,Productos!$A$2:$A1001,Productos!BE$2:BE1001,"")*$G69,"")</f>
        <v/>
      </c>
      <c r="BM69" s="179" t="str">
        <f t="array" ref="BM69">IF($F69&lt;&gt;"",XLOOKUP($F69,Productos!$A:$A,Productos!BF:BF,"Revisar"),"")</f>
        <v/>
      </c>
      <c r="BN69" s="179" t="str">
        <f t="array" ref="BN69">IF($F69&lt;&gt;"", XLOOKUP($F69,Productos!$A$2:$A1001,Productos!BG$2:BG1001,"")*$G69,"")</f>
        <v/>
      </c>
      <c r="BO69" s="179" t="str">
        <f t="array" ref="BO69">IF($F69&lt;&gt;"",XLOOKUP($F69,Productos!$A:$A,Productos!BH:BH,"Revisar"),"")</f>
        <v/>
      </c>
      <c r="BP69" s="179" t="str">
        <f t="array" ref="BP69">IF($F69&lt;&gt;"", XLOOKUP($F69,Productos!$A$2:$A1001,Productos!BI$2:BI1001,"")*$G69,"")</f>
        <v/>
      </c>
      <c r="BQ69" s="179" t="str">
        <f t="array" ref="BQ69">IF($F69&lt;&gt;"",XLOOKUP($F69,Productos!$A:$A,Productos!BJ:BJ,"Revisar"),"")</f>
        <v/>
      </c>
      <c r="BR69" s="179" t="str">
        <f t="array" ref="BR69">IF($F69&lt;&gt;"", XLOOKUP($F69,Productos!$A$2:$A1001,Productos!BK$2:BK1001,"")*$G69,"")</f>
        <v/>
      </c>
      <c r="BS69" s="179" t="str">
        <f t="array" ref="BS69">IF($F69&lt;&gt;"",XLOOKUP($F69,Productos!$A:$A,Productos!BL:BL,"Revisar"),"")</f>
        <v/>
      </c>
      <c r="BT69" s="179" t="str">
        <f t="array" ref="BT69">IF($F69&lt;&gt;"", XLOOKUP($F69,Productos!$A$2:$A1001,Productos!BM$2:BM1001,"")*$G69,"")</f>
        <v/>
      </c>
      <c r="BU69" s="179" t="str">
        <f t="array" ref="BU69">IF($F69&lt;&gt;"",XLOOKUP($F69,Productos!$A:$A,Productos!BN:BN,"Revisar"),"")</f>
        <v/>
      </c>
      <c r="BV69" s="179" t="str">
        <f t="array" ref="BV69">IF($F69&lt;&gt;"", XLOOKUP($F69,Productos!$A$2:$A1001,Productos!BO$2:BO1001,"")*$G69,"")</f>
        <v/>
      </c>
      <c r="BW69" s="179" t="str">
        <f t="array" ref="BW69">IF($F69&lt;&gt;"",XLOOKUP($F69,Productos!$A:$A,Productos!BP:BP,"Revisar"),"")</f>
        <v/>
      </c>
      <c r="BX69" s="179" t="str">
        <f t="array" ref="BX69">IF($F69&lt;&gt;"", XLOOKUP($F69,Productos!$A$2:$A1001,Productos!BQ$2:BQ1001,"")*$G69,"")</f>
        <v/>
      </c>
      <c r="BY69" s="179" t="str">
        <f t="array" ref="BY69">IF($F69&lt;&gt;"",XLOOKUP($F69,Productos!$A:$A,Productos!BR:BR,"Revisar"),"")</f>
        <v/>
      </c>
      <c r="BZ69" s="179" t="str">
        <f t="array" ref="BZ69">IF($F69&lt;&gt;"", XLOOKUP($F69,Productos!$A$2:$A1001,Productos!BS$2:BS1001,"")*$G69,"")</f>
        <v/>
      </c>
    </row>
    <row r="70">
      <c r="A70" s="180"/>
      <c r="B70" s="181"/>
      <c r="C70" s="182"/>
      <c r="D70" s="182"/>
      <c r="E70" s="185"/>
      <c r="F70" s="186"/>
      <c r="G70" s="187"/>
      <c r="H70" s="186"/>
      <c r="I70" s="179" t="str">
        <f t="array" ref="I70">IF($F70&lt;&gt;"",XLOOKUP($F70,Productos!$A:$A,Productos!B:B,"Revisar"),"")</f>
        <v/>
      </c>
      <c r="J70" s="179" t="str">
        <f t="array" ref="J70">IF($F70&lt;&gt;"", XLOOKUP($F70,Productos!$A$2:$A1001,Productos!C$2:C1001,"")*$G70,"")</f>
        <v/>
      </c>
      <c r="K70" s="179" t="str">
        <f t="array" ref="K70">IF($F70&lt;&gt;"",XLOOKUP($F70,Productos!$A:$A,Productos!D:D,"Revisar"),"")</f>
        <v/>
      </c>
      <c r="L70" s="179" t="str">
        <f t="array" ref="L70">IF($F70&lt;&gt;"", XLOOKUP($F70,Productos!$A$2:$A1001,Productos!E$2:E1001,"")*$G70,"")</f>
        <v/>
      </c>
      <c r="M70" s="179" t="str">
        <f t="array" ref="M70">IF($F70&lt;&gt;"",XLOOKUP($F70,Productos!$A:$A,Productos!F:F,"Revisar"),"")</f>
        <v/>
      </c>
      <c r="N70" s="179" t="str">
        <f t="array" ref="N70">IF($F70&lt;&gt;"", XLOOKUP($F70,Productos!$A$2:$A1001,Productos!G$2:G1001,"")*$G70,"")</f>
        <v/>
      </c>
      <c r="O70" s="179" t="str">
        <f t="array" ref="O70">IF($F70&lt;&gt;"",XLOOKUP($F70,Productos!$A:$A,Productos!H:H,"Revisar"),"")</f>
        <v/>
      </c>
      <c r="P70" s="179" t="str">
        <f t="array" ref="P70">IF($F70&lt;&gt;"", XLOOKUP($F70,Productos!$A$2:$A1001,Productos!I$2:I1001,"")*$G70,"")</f>
        <v/>
      </c>
      <c r="Q70" s="179" t="str">
        <f t="array" ref="Q70">IF($F70&lt;&gt;"",XLOOKUP($F70,Productos!$A:$A,Productos!J:J,"Revisar"),"")</f>
        <v/>
      </c>
      <c r="R70" s="179" t="str">
        <f t="array" ref="R70">IF($F70&lt;&gt;"", XLOOKUP($F70,Productos!$A$2:$A1001,Productos!K$2:K1001,"")*$G70,"")</f>
        <v/>
      </c>
      <c r="S70" s="179" t="str">
        <f t="array" ref="S70">IF($F70&lt;&gt;"",XLOOKUP($F70,Productos!$A:$A,Productos!L:L,"Revisar"),"")</f>
        <v/>
      </c>
      <c r="T70" s="179" t="str">
        <f t="array" ref="T70">IF($F70&lt;&gt;"", XLOOKUP($F70,Productos!$A$2:$A1001,Productos!M$2:M1001,"")*$G70,"")</f>
        <v/>
      </c>
      <c r="U70" s="179" t="str">
        <f t="array" ref="U70">IF($F70&lt;&gt;"",XLOOKUP($F70,Productos!$A:$A,Productos!N:N,"Revisar"),"")</f>
        <v/>
      </c>
      <c r="V70" s="179" t="str">
        <f t="array" ref="V70">IF($F70&lt;&gt;"", XLOOKUP($F70,Productos!$A$2:$A1001,Productos!O$2:O1001,"")*$G70,"")</f>
        <v/>
      </c>
      <c r="W70" s="179" t="str">
        <f t="array" ref="W70">IF($F70&lt;&gt;"",XLOOKUP($F70,Productos!$A:$A,Productos!P:P,"Revisar"),"")</f>
        <v/>
      </c>
      <c r="X70" s="179" t="str">
        <f t="array" ref="X70">IF($F70&lt;&gt;"", XLOOKUP($F70,Productos!$A$2:$A1001,Productos!Q$2:Q1001,"")*$G70,"")</f>
        <v/>
      </c>
      <c r="Y70" s="179" t="str">
        <f t="array" ref="Y70">IF($F70&lt;&gt;"",XLOOKUP($F70,Productos!$A:$A,Productos!R:R,"Revisar"),"")</f>
        <v/>
      </c>
      <c r="Z70" s="179" t="str">
        <f t="array" ref="Z70">IF($F70&lt;&gt;"", XLOOKUP($F70,Productos!$A$2:$A1001,Productos!S$2:S1001,"")*$G70,"")</f>
        <v/>
      </c>
      <c r="AA70" s="179" t="str">
        <f t="array" ref="AA70">IF($F70&lt;&gt;"",XLOOKUP($F70,Productos!$A:$A,Productos!T:T,"Revisar"),"")</f>
        <v/>
      </c>
      <c r="AB70" s="179" t="str">
        <f t="array" ref="AB70">IF($F70&lt;&gt;"", XLOOKUP($F70,Productos!$A$2:$A1001,Productos!U$2:U1001,"")*$G70,"")</f>
        <v/>
      </c>
      <c r="AC70" s="179" t="str">
        <f t="array" ref="AC70">IF($F70&lt;&gt;"",XLOOKUP($F70,Productos!$A:$A,Productos!V:V,"Revisar"),"")</f>
        <v/>
      </c>
      <c r="AD70" s="179" t="str">
        <f t="array" ref="AD70">IF($F70&lt;&gt;"", XLOOKUP($F70,Productos!$A$2:$A1001,Productos!W$2:W1001,"")*$G70,"")</f>
        <v/>
      </c>
      <c r="AE70" s="179" t="str">
        <f t="array" ref="AE70">IF($F70&lt;&gt;"",XLOOKUP($F70,Productos!$A:$A,Productos!X:X,"Revisar"),"")</f>
        <v/>
      </c>
      <c r="AF70" s="179" t="str">
        <f t="array" ref="AF70">IF($F70&lt;&gt;"", XLOOKUP($F70,Productos!$A$2:$A1001,Productos!Y$2:Y1001,"")*$G70,"")</f>
        <v/>
      </c>
      <c r="AG70" s="179" t="str">
        <f t="array" ref="AG70">IF($F70&lt;&gt;"",XLOOKUP($F70,Productos!$A:$A,Productos!Z:Z,"Revisar"),"")</f>
        <v/>
      </c>
      <c r="AH70" s="179" t="str">
        <f t="array" ref="AH70">IF($F70&lt;&gt;"", XLOOKUP($F70,Productos!$A$2:$A1001,Productos!AA$2:AA1001,"")*$G70,"")</f>
        <v/>
      </c>
      <c r="AI70" s="179" t="str">
        <f t="array" ref="AI70">IF($F70&lt;&gt;"",XLOOKUP($F70,Productos!$A:$A,Productos!AB:AB,"Revisar"),"")</f>
        <v/>
      </c>
      <c r="AJ70" s="179" t="str">
        <f t="array" ref="AJ70">IF($F70&lt;&gt;"", XLOOKUP($F70,Productos!$A$2:$A1001,Productos!AC$2:AC1001,"")*$G70,"")</f>
        <v/>
      </c>
      <c r="AK70" s="179" t="str">
        <f t="array" ref="AK70">IF($F70&lt;&gt;"",XLOOKUP($F70,Productos!$A:$A,Productos!AD:AD,"Revisar"),"")</f>
        <v/>
      </c>
      <c r="AL70" s="179" t="str">
        <f t="array" ref="AL70">IF($F70&lt;&gt;"", XLOOKUP($F70,Productos!$A$2:$A1001,Productos!AE$2:AE1001,"")*$G70,"")</f>
        <v/>
      </c>
      <c r="AM70" s="179" t="str">
        <f t="array" ref="AM70">IF($F70&lt;&gt;"",XLOOKUP($F70,Productos!$A:$A,Productos!AF:AF,"Revisar"),"")</f>
        <v/>
      </c>
      <c r="AN70" s="179" t="str">
        <f t="array" ref="AN70">IF($F70&lt;&gt;"", XLOOKUP($F70,Productos!$A$2:$A1001,Productos!AG$2:AG1001,"")*$G70,"")</f>
        <v/>
      </c>
      <c r="AO70" s="179" t="str">
        <f t="array" ref="AO70">IF($F70&lt;&gt;"",XLOOKUP($F70,Productos!$A:$A,Productos!AH:AH,"Revisar"),"")</f>
        <v/>
      </c>
      <c r="AP70" s="179" t="str">
        <f t="array" ref="AP70">IF($F70&lt;&gt;"", XLOOKUP($F70,Productos!$A$2:$A1001,Productos!AI$2:AI1001,"")*$G70,"")</f>
        <v/>
      </c>
      <c r="AQ70" s="179" t="str">
        <f t="array" ref="AQ70">IF($F70&lt;&gt;"",XLOOKUP($F70,Productos!$A:$A,Productos!AJ:AJ,"Revisar"),"")</f>
        <v/>
      </c>
      <c r="AR70" s="179" t="str">
        <f t="array" ref="AR70">IF($F70&lt;&gt;"", XLOOKUP($F70,Productos!$A$2:$A1001,Productos!AK$2:AK1001,"")*$G70,"")</f>
        <v/>
      </c>
      <c r="AS70" s="179" t="str">
        <f t="array" ref="AS70">IF($F70&lt;&gt;"",XLOOKUP($F70,Productos!$A:$A,Productos!AL:AL,"Revisar"),"")</f>
        <v/>
      </c>
      <c r="AT70" s="179" t="str">
        <f t="array" ref="AT70">IF($F70&lt;&gt;"", XLOOKUP($F70,Productos!$A$2:$A1001,Productos!AM$2:AM1001,"")*$G70,"")</f>
        <v/>
      </c>
      <c r="AU70" s="179" t="str">
        <f t="array" ref="AU70">IF($F70&lt;&gt;"",XLOOKUP($F70,Productos!$A:$A,Productos!AN:AN,"Revisar"),"")</f>
        <v/>
      </c>
      <c r="AV70" s="179" t="str">
        <f t="array" ref="AV70">IF($F70&lt;&gt;"", XLOOKUP($F70,Productos!$A$2:$A1001,Productos!AO$2:AO1001,"")*$G70,"")</f>
        <v/>
      </c>
      <c r="AW70" s="179" t="str">
        <f t="array" ref="AW70">IF($F70&lt;&gt;"",XLOOKUP($F70,Productos!$A:$A,Productos!AP:AP,"Revisar"),"")</f>
        <v/>
      </c>
      <c r="AX70" s="179" t="str">
        <f t="array" ref="AX70">IF($F70&lt;&gt;"", XLOOKUP($F70,Productos!$A$2:$A1001,Productos!AQ$2:AQ1001,"")*$G70,"")</f>
        <v/>
      </c>
      <c r="AY70" s="179" t="str">
        <f t="array" ref="AY70">IF($F70&lt;&gt;"",XLOOKUP($F70,Productos!$A:$A,Productos!AR:AR,"Revisar"),"")</f>
        <v/>
      </c>
      <c r="AZ70" s="179" t="str">
        <f t="array" ref="AZ70">IF($F70&lt;&gt;"", XLOOKUP($F70,Productos!$A$2:$A1001,Productos!AS$2:AS1001,"")*$G70,"")</f>
        <v/>
      </c>
      <c r="BA70" s="179" t="str">
        <f t="array" ref="BA70">IF($F70&lt;&gt;"",XLOOKUP($F70,Productos!$A:$A,Productos!AT:AT,"Revisar"),"")</f>
        <v/>
      </c>
      <c r="BB70" s="179" t="str">
        <f t="array" ref="BB70">IF($F70&lt;&gt;"", XLOOKUP($F70,Productos!$A$2:$A1001,Productos!AU$2:AU1001,"")*$G70,"")</f>
        <v/>
      </c>
      <c r="BC70" s="179" t="str">
        <f t="array" ref="BC70">IF($F70&lt;&gt;"",XLOOKUP($F70,Productos!$A:$A,Productos!AV:AV,"Revisar"),"")</f>
        <v/>
      </c>
      <c r="BD70" s="179" t="str">
        <f t="array" ref="BD70">IF($F70&lt;&gt;"", XLOOKUP($F70,Productos!$A$2:$A1001,Productos!AW$2:AW1001,"")*$G70,"")</f>
        <v/>
      </c>
      <c r="BE70" s="179" t="str">
        <f t="array" ref="BE70">IF($F70&lt;&gt;"",XLOOKUP($F70,Productos!$A:$A,Productos!AX:AX,"Revisar"),"")</f>
        <v/>
      </c>
      <c r="BF70" s="179" t="str">
        <f t="array" ref="BF70">IF($F70&lt;&gt;"", XLOOKUP($F70,Productos!$A$2:$A1001,Productos!AY$2:AY1001,"")*$G70,"")</f>
        <v/>
      </c>
      <c r="BG70" s="179" t="str">
        <f t="array" ref="BG70">IF($F70&lt;&gt;"",XLOOKUP($F70,Productos!$A:$A,Productos!AZ:AZ,"Revisar"),"")</f>
        <v/>
      </c>
      <c r="BH70" s="179" t="str">
        <f t="array" ref="BH70">IF($F70&lt;&gt;"", XLOOKUP($F70,Productos!$A$2:$A1001,Productos!BA$2:BA1001,"")*$G70,"")</f>
        <v/>
      </c>
      <c r="BI70" s="179" t="str">
        <f t="array" ref="BI70">IF($F70&lt;&gt;"",XLOOKUP($F70,Productos!$A:$A,Productos!BB:BB,"Revisar"),"")</f>
        <v/>
      </c>
      <c r="BJ70" s="179" t="str">
        <f t="array" ref="BJ70">IF($F70&lt;&gt;"", XLOOKUP($F70,Productos!$A$2:$A1001,Productos!BC$2:BC1001,"")*$G70,"")</f>
        <v/>
      </c>
      <c r="BK70" s="179" t="str">
        <f t="array" ref="BK70">IF($F70&lt;&gt;"",XLOOKUP($F70,Productos!$A:$A,Productos!BD:BD,"Revisar"),"")</f>
        <v/>
      </c>
      <c r="BL70" s="179" t="str">
        <f t="array" ref="BL70">IF($F70&lt;&gt;"", XLOOKUP($F70,Productos!$A$2:$A1001,Productos!BE$2:BE1001,"")*$G70,"")</f>
        <v/>
      </c>
      <c r="BM70" s="179" t="str">
        <f t="array" ref="BM70">IF($F70&lt;&gt;"",XLOOKUP($F70,Productos!$A:$A,Productos!BF:BF,"Revisar"),"")</f>
        <v/>
      </c>
      <c r="BN70" s="179" t="str">
        <f t="array" ref="BN70">IF($F70&lt;&gt;"", XLOOKUP($F70,Productos!$A$2:$A1001,Productos!BG$2:BG1001,"")*$G70,"")</f>
        <v/>
      </c>
      <c r="BO70" s="179" t="str">
        <f t="array" ref="BO70">IF($F70&lt;&gt;"",XLOOKUP($F70,Productos!$A:$A,Productos!BH:BH,"Revisar"),"")</f>
        <v/>
      </c>
      <c r="BP70" s="179" t="str">
        <f t="array" ref="BP70">IF($F70&lt;&gt;"", XLOOKUP($F70,Productos!$A$2:$A1001,Productos!BI$2:BI1001,"")*$G70,"")</f>
        <v/>
      </c>
      <c r="BQ70" s="179" t="str">
        <f t="array" ref="BQ70">IF($F70&lt;&gt;"",XLOOKUP($F70,Productos!$A:$A,Productos!BJ:BJ,"Revisar"),"")</f>
        <v/>
      </c>
      <c r="BR70" s="179" t="str">
        <f t="array" ref="BR70">IF($F70&lt;&gt;"", XLOOKUP($F70,Productos!$A$2:$A1001,Productos!BK$2:BK1001,"")*$G70,"")</f>
        <v/>
      </c>
      <c r="BS70" s="179" t="str">
        <f t="array" ref="BS70">IF($F70&lt;&gt;"",XLOOKUP($F70,Productos!$A:$A,Productos!BL:BL,"Revisar"),"")</f>
        <v/>
      </c>
      <c r="BT70" s="179" t="str">
        <f t="array" ref="BT70">IF($F70&lt;&gt;"", XLOOKUP($F70,Productos!$A$2:$A1001,Productos!BM$2:BM1001,"")*$G70,"")</f>
        <v/>
      </c>
      <c r="BU70" s="179" t="str">
        <f t="array" ref="BU70">IF($F70&lt;&gt;"",XLOOKUP($F70,Productos!$A:$A,Productos!BN:BN,"Revisar"),"")</f>
        <v/>
      </c>
      <c r="BV70" s="179" t="str">
        <f t="array" ref="BV70">IF($F70&lt;&gt;"", XLOOKUP($F70,Productos!$A$2:$A1001,Productos!BO$2:BO1001,"")*$G70,"")</f>
        <v/>
      </c>
      <c r="BW70" s="179" t="str">
        <f t="array" ref="BW70">IF($F70&lt;&gt;"",XLOOKUP($F70,Productos!$A:$A,Productos!BP:BP,"Revisar"),"")</f>
        <v/>
      </c>
      <c r="BX70" s="179" t="str">
        <f t="array" ref="BX70">IF($F70&lt;&gt;"", XLOOKUP($F70,Productos!$A$2:$A1001,Productos!BQ$2:BQ1001,"")*$G70,"")</f>
        <v/>
      </c>
      <c r="BY70" s="179" t="str">
        <f t="array" ref="BY70">IF($F70&lt;&gt;"",XLOOKUP($F70,Productos!$A:$A,Productos!BR:BR,"Revisar"),"")</f>
        <v/>
      </c>
      <c r="BZ70" s="179" t="str">
        <f t="array" ref="BZ70">IF($F70&lt;&gt;"", XLOOKUP($F70,Productos!$A$2:$A1001,Productos!BS$2:BS1001,"")*$G70,"")</f>
        <v/>
      </c>
    </row>
    <row r="71">
      <c r="A71" s="180"/>
      <c r="B71" s="181"/>
      <c r="C71" s="182"/>
      <c r="D71" s="182"/>
      <c r="E71" s="185"/>
      <c r="F71" s="186"/>
      <c r="G71" s="187"/>
      <c r="H71" s="186"/>
      <c r="I71" s="179" t="str">
        <f t="array" ref="I71">IF($F71&lt;&gt;"",XLOOKUP($F71,Productos!$A:$A,Productos!B:B,"Revisar"),"")</f>
        <v/>
      </c>
      <c r="J71" s="179" t="str">
        <f t="array" ref="J71">IF($F71&lt;&gt;"", XLOOKUP($F71,Productos!$A$2:$A1001,Productos!C$2:C1001,"")*$G71,"")</f>
        <v/>
      </c>
      <c r="K71" s="179" t="str">
        <f t="array" ref="K71">IF($F71&lt;&gt;"",XLOOKUP($F71,Productos!$A:$A,Productos!D:D,"Revisar"),"")</f>
        <v/>
      </c>
      <c r="L71" s="179" t="str">
        <f t="array" ref="L71">IF($F71&lt;&gt;"", XLOOKUP($F71,Productos!$A$2:$A1001,Productos!E$2:E1001,"")*$G71,"")</f>
        <v/>
      </c>
      <c r="M71" s="179" t="str">
        <f t="array" ref="M71">IF($F71&lt;&gt;"",XLOOKUP($F71,Productos!$A:$A,Productos!F:F,"Revisar"),"")</f>
        <v/>
      </c>
      <c r="N71" s="179" t="str">
        <f t="array" ref="N71">IF($F71&lt;&gt;"", XLOOKUP($F71,Productos!$A$2:$A1001,Productos!G$2:G1001,"")*$G71,"")</f>
        <v/>
      </c>
      <c r="O71" s="179" t="str">
        <f t="array" ref="O71">IF($F71&lt;&gt;"",XLOOKUP($F71,Productos!$A:$A,Productos!H:H,"Revisar"),"")</f>
        <v/>
      </c>
      <c r="P71" s="179" t="str">
        <f t="array" ref="P71">IF($F71&lt;&gt;"", XLOOKUP($F71,Productos!$A$2:$A1001,Productos!I$2:I1001,"")*$G71,"")</f>
        <v/>
      </c>
      <c r="Q71" s="179" t="str">
        <f t="array" ref="Q71">IF($F71&lt;&gt;"",XLOOKUP($F71,Productos!$A:$A,Productos!J:J,"Revisar"),"")</f>
        <v/>
      </c>
      <c r="R71" s="179" t="str">
        <f t="array" ref="R71">IF($F71&lt;&gt;"", XLOOKUP($F71,Productos!$A$2:$A1001,Productos!K$2:K1001,"")*$G71,"")</f>
        <v/>
      </c>
      <c r="S71" s="179" t="str">
        <f t="array" ref="S71">IF($F71&lt;&gt;"",XLOOKUP($F71,Productos!$A:$A,Productos!L:L,"Revisar"),"")</f>
        <v/>
      </c>
      <c r="T71" s="179" t="str">
        <f t="array" ref="T71">IF($F71&lt;&gt;"", XLOOKUP($F71,Productos!$A$2:$A1001,Productos!M$2:M1001,"")*$G71,"")</f>
        <v/>
      </c>
      <c r="U71" s="179" t="str">
        <f t="array" ref="U71">IF($F71&lt;&gt;"",XLOOKUP($F71,Productos!$A:$A,Productos!N:N,"Revisar"),"")</f>
        <v/>
      </c>
      <c r="V71" s="179" t="str">
        <f t="array" ref="V71">IF($F71&lt;&gt;"", XLOOKUP($F71,Productos!$A$2:$A1001,Productos!O$2:O1001,"")*$G71,"")</f>
        <v/>
      </c>
      <c r="W71" s="179" t="str">
        <f t="array" ref="W71">IF($F71&lt;&gt;"",XLOOKUP($F71,Productos!$A:$A,Productos!P:P,"Revisar"),"")</f>
        <v/>
      </c>
      <c r="X71" s="179" t="str">
        <f t="array" ref="X71">IF($F71&lt;&gt;"", XLOOKUP($F71,Productos!$A$2:$A1001,Productos!Q$2:Q1001,"")*$G71,"")</f>
        <v/>
      </c>
      <c r="Y71" s="179" t="str">
        <f t="array" ref="Y71">IF($F71&lt;&gt;"",XLOOKUP($F71,Productos!$A:$A,Productos!R:R,"Revisar"),"")</f>
        <v/>
      </c>
      <c r="Z71" s="179" t="str">
        <f t="array" ref="Z71">IF($F71&lt;&gt;"", XLOOKUP($F71,Productos!$A$2:$A1001,Productos!S$2:S1001,"")*$G71,"")</f>
        <v/>
      </c>
      <c r="AA71" s="179" t="str">
        <f t="array" ref="AA71">IF($F71&lt;&gt;"",XLOOKUP($F71,Productos!$A:$A,Productos!T:T,"Revisar"),"")</f>
        <v/>
      </c>
      <c r="AB71" s="179" t="str">
        <f t="array" ref="AB71">IF($F71&lt;&gt;"", XLOOKUP($F71,Productos!$A$2:$A1001,Productos!U$2:U1001,"")*$G71,"")</f>
        <v/>
      </c>
      <c r="AC71" s="179" t="str">
        <f t="array" ref="AC71">IF($F71&lt;&gt;"",XLOOKUP($F71,Productos!$A:$A,Productos!V:V,"Revisar"),"")</f>
        <v/>
      </c>
      <c r="AD71" s="179" t="str">
        <f t="array" ref="AD71">IF($F71&lt;&gt;"", XLOOKUP($F71,Productos!$A$2:$A1001,Productos!W$2:W1001,"")*$G71,"")</f>
        <v/>
      </c>
      <c r="AE71" s="179" t="str">
        <f t="array" ref="AE71">IF($F71&lt;&gt;"",XLOOKUP($F71,Productos!$A:$A,Productos!X:X,"Revisar"),"")</f>
        <v/>
      </c>
      <c r="AF71" s="179" t="str">
        <f t="array" ref="AF71">IF($F71&lt;&gt;"", XLOOKUP($F71,Productos!$A$2:$A1001,Productos!Y$2:Y1001,"")*$G71,"")</f>
        <v/>
      </c>
      <c r="AG71" s="179" t="str">
        <f t="array" ref="AG71">IF($F71&lt;&gt;"",XLOOKUP($F71,Productos!$A:$A,Productos!Z:Z,"Revisar"),"")</f>
        <v/>
      </c>
      <c r="AH71" s="179" t="str">
        <f t="array" ref="AH71">IF($F71&lt;&gt;"", XLOOKUP($F71,Productos!$A$2:$A1001,Productos!AA$2:AA1001,"")*$G71,"")</f>
        <v/>
      </c>
      <c r="AI71" s="179" t="str">
        <f t="array" ref="AI71">IF($F71&lt;&gt;"",XLOOKUP($F71,Productos!$A:$A,Productos!AB:AB,"Revisar"),"")</f>
        <v/>
      </c>
      <c r="AJ71" s="179" t="str">
        <f t="array" ref="AJ71">IF($F71&lt;&gt;"", XLOOKUP($F71,Productos!$A$2:$A1001,Productos!AC$2:AC1001,"")*$G71,"")</f>
        <v/>
      </c>
      <c r="AK71" s="179" t="str">
        <f t="array" ref="AK71">IF($F71&lt;&gt;"",XLOOKUP($F71,Productos!$A:$A,Productos!AD:AD,"Revisar"),"")</f>
        <v/>
      </c>
      <c r="AL71" s="179" t="str">
        <f t="array" ref="AL71">IF($F71&lt;&gt;"", XLOOKUP($F71,Productos!$A$2:$A1001,Productos!AE$2:AE1001,"")*$G71,"")</f>
        <v/>
      </c>
      <c r="AM71" s="179" t="str">
        <f t="array" ref="AM71">IF($F71&lt;&gt;"",XLOOKUP($F71,Productos!$A:$A,Productos!AF:AF,"Revisar"),"")</f>
        <v/>
      </c>
      <c r="AN71" s="179" t="str">
        <f t="array" ref="AN71">IF($F71&lt;&gt;"", XLOOKUP($F71,Productos!$A$2:$A1001,Productos!AG$2:AG1001,"")*$G71,"")</f>
        <v/>
      </c>
      <c r="AO71" s="179" t="str">
        <f t="array" ref="AO71">IF($F71&lt;&gt;"",XLOOKUP($F71,Productos!$A:$A,Productos!AH:AH,"Revisar"),"")</f>
        <v/>
      </c>
      <c r="AP71" s="179" t="str">
        <f t="array" ref="AP71">IF($F71&lt;&gt;"", XLOOKUP($F71,Productos!$A$2:$A1001,Productos!AI$2:AI1001,"")*$G71,"")</f>
        <v/>
      </c>
      <c r="AQ71" s="179" t="str">
        <f t="array" ref="AQ71">IF($F71&lt;&gt;"",XLOOKUP($F71,Productos!$A:$A,Productos!AJ:AJ,"Revisar"),"")</f>
        <v/>
      </c>
      <c r="AR71" s="179" t="str">
        <f t="array" ref="AR71">IF($F71&lt;&gt;"", XLOOKUP($F71,Productos!$A$2:$A1001,Productos!AK$2:AK1001,"")*$G71,"")</f>
        <v/>
      </c>
      <c r="AS71" s="179" t="str">
        <f t="array" ref="AS71">IF($F71&lt;&gt;"",XLOOKUP($F71,Productos!$A:$A,Productos!AL:AL,"Revisar"),"")</f>
        <v/>
      </c>
      <c r="AT71" s="179" t="str">
        <f t="array" ref="AT71">IF($F71&lt;&gt;"", XLOOKUP($F71,Productos!$A$2:$A1001,Productos!AM$2:AM1001,"")*$G71,"")</f>
        <v/>
      </c>
      <c r="AU71" s="179" t="str">
        <f t="array" ref="AU71">IF($F71&lt;&gt;"",XLOOKUP($F71,Productos!$A:$A,Productos!AN:AN,"Revisar"),"")</f>
        <v/>
      </c>
      <c r="AV71" s="179" t="str">
        <f t="array" ref="AV71">IF($F71&lt;&gt;"", XLOOKUP($F71,Productos!$A$2:$A1001,Productos!AO$2:AO1001,"")*$G71,"")</f>
        <v/>
      </c>
      <c r="AW71" s="179" t="str">
        <f t="array" ref="AW71">IF($F71&lt;&gt;"",XLOOKUP($F71,Productos!$A:$A,Productos!AP:AP,"Revisar"),"")</f>
        <v/>
      </c>
      <c r="AX71" s="179" t="str">
        <f t="array" ref="AX71">IF($F71&lt;&gt;"", XLOOKUP($F71,Productos!$A$2:$A1001,Productos!AQ$2:AQ1001,"")*$G71,"")</f>
        <v/>
      </c>
      <c r="AY71" s="179" t="str">
        <f t="array" ref="AY71">IF($F71&lt;&gt;"",XLOOKUP($F71,Productos!$A:$A,Productos!AR:AR,"Revisar"),"")</f>
        <v/>
      </c>
      <c r="AZ71" s="179" t="str">
        <f t="array" ref="AZ71">IF($F71&lt;&gt;"", XLOOKUP($F71,Productos!$A$2:$A1001,Productos!AS$2:AS1001,"")*$G71,"")</f>
        <v/>
      </c>
      <c r="BA71" s="179" t="str">
        <f t="array" ref="BA71">IF($F71&lt;&gt;"",XLOOKUP($F71,Productos!$A:$A,Productos!AT:AT,"Revisar"),"")</f>
        <v/>
      </c>
      <c r="BB71" s="179" t="str">
        <f t="array" ref="BB71">IF($F71&lt;&gt;"", XLOOKUP($F71,Productos!$A$2:$A1001,Productos!AU$2:AU1001,"")*$G71,"")</f>
        <v/>
      </c>
      <c r="BC71" s="179" t="str">
        <f t="array" ref="BC71">IF($F71&lt;&gt;"",XLOOKUP($F71,Productos!$A:$A,Productos!AV:AV,"Revisar"),"")</f>
        <v/>
      </c>
      <c r="BD71" s="179" t="str">
        <f t="array" ref="BD71">IF($F71&lt;&gt;"", XLOOKUP($F71,Productos!$A$2:$A1001,Productos!AW$2:AW1001,"")*$G71,"")</f>
        <v/>
      </c>
      <c r="BE71" s="179" t="str">
        <f t="array" ref="BE71">IF($F71&lt;&gt;"",XLOOKUP($F71,Productos!$A:$A,Productos!AX:AX,"Revisar"),"")</f>
        <v/>
      </c>
      <c r="BF71" s="179" t="str">
        <f t="array" ref="BF71">IF($F71&lt;&gt;"", XLOOKUP($F71,Productos!$A$2:$A1001,Productos!AY$2:AY1001,"")*$G71,"")</f>
        <v/>
      </c>
      <c r="BG71" s="179" t="str">
        <f t="array" ref="BG71">IF($F71&lt;&gt;"",XLOOKUP($F71,Productos!$A:$A,Productos!AZ:AZ,"Revisar"),"")</f>
        <v/>
      </c>
      <c r="BH71" s="179" t="str">
        <f t="array" ref="BH71">IF($F71&lt;&gt;"", XLOOKUP($F71,Productos!$A$2:$A1001,Productos!BA$2:BA1001,"")*$G71,"")</f>
        <v/>
      </c>
      <c r="BI71" s="179" t="str">
        <f t="array" ref="BI71">IF($F71&lt;&gt;"",XLOOKUP($F71,Productos!$A:$A,Productos!BB:BB,"Revisar"),"")</f>
        <v/>
      </c>
      <c r="BJ71" s="179" t="str">
        <f t="array" ref="BJ71">IF($F71&lt;&gt;"", XLOOKUP($F71,Productos!$A$2:$A1001,Productos!BC$2:BC1001,"")*$G71,"")</f>
        <v/>
      </c>
      <c r="BK71" s="179" t="str">
        <f t="array" ref="BK71">IF($F71&lt;&gt;"",XLOOKUP($F71,Productos!$A:$A,Productos!BD:BD,"Revisar"),"")</f>
        <v/>
      </c>
      <c r="BL71" s="179" t="str">
        <f t="array" ref="BL71">IF($F71&lt;&gt;"", XLOOKUP($F71,Productos!$A$2:$A1001,Productos!BE$2:BE1001,"")*$G71,"")</f>
        <v/>
      </c>
      <c r="BM71" s="179" t="str">
        <f t="array" ref="BM71">IF($F71&lt;&gt;"",XLOOKUP($F71,Productos!$A:$A,Productos!BF:BF,"Revisar"),"")</f>
        <v/>
      </c>
      <c r="BN71" s="179" t="str">
        <f t="array" ref="BN71">IF($F71&lt;&gt;"", XLOOKUP($F71,Productos!$A$2:$A1001,Productos!BG$2:BG1001,"")*$G71,"")</f>
        <v/>
      </c>
      <c r="BO71" s="179" t="str">
        <f t="array" ref="BO71">IF($F71&lt;&gt;"",XLOOKUP($F71,Productos!$A:$A,Productos!BH:BH,"Revisar"),"")</f>
        <v/>
      </c>
      <c r="BP71" s="179" t="str">
        <f t="array" ref="BP71">IF($F71&lt;&gt;"", XLOOKUP($F71,Productos!$A$2:$A1001,Productos!BI$2:BI1001,"")*$G71,"")</f>
        <v/>
      </c>
      <c r="BQ71" s="179" t="str">
        <f t="array" ref="BQ71">IF($F71&lt;&gt;"",XLOOKUP($F71,Productos!$A:$A,Productos!BJ:BJ,"Revisar"),"")</f>
        <v/>
      </c>
      <c r="BR71" s="179" t="str">
        <f t="array" ref="BR71">IF($F71&lt;&gt;"", XLOOKUP($F71,Productos!$A$2:$A1001,Productos!BK$2:BK1001,"")*$G71,"")</f>
        <v/>
      </c>
      <c r="BS71" s="179" t="str">
        <f t="array" ref="BS71">IF($F71&lt;&gt;"",XLOOKUP($F71,Productos!$A:$A,Productos!BL:BL,"Revisar"),"")</f>
        <v/>
      </c>
      <c r="BT71" s="179" t="str">
        <f t="array" ref="BT71">IF($F71&lt;&gt;"", XLOOKUP($F71,Productos!$A$2:$A1001,Productos!BM$2:BM1001,"")*$G71,"")</f>
        <v/>
      </c>
      <c r="BU71" s="179" t="str">
        <f t="array" ref="BU71">IF($F71&lt;&gt;"",XLOOKUP($F71,Productos!$A:$A,Productos!BN:BN,"Revisar"),"")</f>
        <v/>
      </c>
      <c r="BV71" s="179" t="str">
        <f t="array" ref="BV71">IF($F71&lt;&gt;"", XLOOKUP($F71,Productos!$A$2:$A1001,Productos!BO$2:BO1001,"")*$G71,"")</f>
        <v/>
      </c>
      <c r="BW71" s="179" t="str">
        <f t="array" ref="BW71">IF($F71&lt;&gt;"",XLOOKUP($F71,Productos!$A:$A,Productos!BP:BP,"Revisar"),"")</f>
        <v/>
      </c>
      <c r="BX71" s="179" t="str">
        <f t="array" ref="BX71">IF($F71&lt;&gt;"", XLOOKUP($F71,Productos!$A$2:$A1001,Productos!BQ$2:BQ1001,"")*$G71,"")</f>
        <v/>
      </c>
      <c r="BY71" s="179" t="str">
        <f t="array" ref="BY71">IF($F71&lt;&gt;"",XLOOKUP($F71,Productos!$A:$A,Productos!BR:BR,"Revisar"),"")</f>
        <v/>
      </c>
      <c r="BZ71" s="179" t="str">
        <f t="array" ref="BZ71">IF($F71&lt;&gt;"", XLOOKUP($F71,Productos!$A$2:$A1001,Productos!BS$2:BS1001,"")*$G71,"")</f>
        <v/>
      </c>
    </row>
    <row r="72">
      <c r="A72" s="180"/>
      <c r="B72" s="181"/>
      <c r="C72" s="182"/>
      <c r="D72" s="182"/>
      <c r="E72" s="185"/>
      <c r="F72" s="186"/>
      <c r="G72" s="187"/>
      <c r="H72" s="186"/>
      <c r="I72" s="179" t="str">
        <f t="array" ref="I72">IF($F72&lt;&gt;"",XLOOKUP($F72,Productos!$A:$A,Productos!B:B,"Revisar"),"")</f>
        <v/>
      </c>
      <c r="J72" s="179" t="str">
        <f t="array" ref="J72">IF($F72&lt;&gt;"", XLOOKUP($F72,Productos!$A$2:$A1001,Productos!C$2:C1001,"")*$G72,"")</f>
        <v/>
      </c>
      <c r="K72" s="179" t="str">
        <f t="array" ref="K72">IF($F72&lt;&gt;"",XLOOKUP($F72,Productos!$A:$A,Productos!D:D,"Revisar"),"")</f>
        <v/>
      </c>
      <c r="L72" s="179" t="str">
        <f t="array" ref="L72">IF($F72&lt;&gt;"", XLOOKUP($F72,Productos!$A$2:$A1001,Productos!E$2:E1001,"")*$G72,"")</f>
        <v/>
      </c>
      <c r="M72" s="179" t="str">
        <f t="array" ref="M72">IF($F72&lt;&gt;"",XLOOKUP($F72,Productos!$A:$A,Productos!F:F,"Revisar"),"")</f>
        <v/>
      </c>
      <c r="N72" s="179" t="str">
        <f t="array" ref="N72">IF($F72&lt;&gt;"", XLOOKUP($F72,Productos!$A$2:$A1001,Productos!G$2:G1001,"")*$G72,"")</f>
        <v/>
      </c>
      <c r="O72" s="179" t="str">
        <f t="array" ref="O72">IF($F72&lt;&gt;"",XLOOKUP($F72,Productos!$A:$A,Productos!H:H,"Revisar"),"")</f>
        <v/>
      </c>
      <c r="P72" s="179" t="str">
        <f t="array" ref="P72">IF($F72&lt;&gt;"", XLOOKUP($F72,Productos!$A$2:$A1001,Productos!I$2:I1001,"")*$G72,"")</f>
        <v/>
      </c>
      <c r="Q72" s="179" t="str">
        <f t="array" ref="Q72">IF($F72&lt;&gt;"",XLOOKUP($F72,Productos!$A:$A,Productos!J:J,"Revisar"),"")</f>
        <v/>
      </c>
      <c r="R72" s="179" t="str">
        <f t="array" ref="R72">IF($F72&lt;&gt;"", XLOOKUP($F72,Productos!$A$2:$A1001,Productos!K$2:K1001,"")*$G72,"")</f>
        <v/>
      </c>
      <c r="S72" s="179" t="str">
        <f t="array" ref="S72">IF($F72&lt;&gt;"",XLOOKUP($F72,Productos!$A:$A,Productos!L:L,"Revisar"),"")</f>
        <v/>
      </c>
      <c r="T72" s="179" t="str">
        <f t="array" ref="T72">IF($F72&lt;&gt;"", XLOOKUP($F72,Productos!$A$2:$A1001,Productos!M$2:M1001,"")*$G72,"")</f>
        <v/>
      </c>
      <c r="U72" s="179" t="str">
        <f t="array" ref="U72">IF($F72&lt;&gt;"",XLOOKUP($F72,Productos!$A:$A,Productos!N:N,"Revisar"),"")</f>
        <v/>
      </c>
      <c r="V72" s="179" t="str">
        <f t="array" ref="V72">IF($F72&lt;&gt;"", XLOOKUP($F72,Productos!$A$2:$A1001,Productos!O$2:O1001,"")*$G72,"")</f>
        <v/>
      </c>
      <c r="W72" s="179" t="str">
        <f t="array" ref="W72">IF($F72&lt;&gt;"",XLOOKUP($F72,Productos!$A:$A,Productos!P:P,"Revisar"),"")</f>
        <v/>
      </c>
      <c r="X72" s="179" t="str">
        <f t="array" ref="X72">IF($F72&lt;&gt;"", XLOOKUP($F72,Productos!$A$2:$A1001,Productos!Q$2:Q1001,"")*$G72,"")</f>
        <v/>
      </c>
      <c r="Y72" s="179" t="str">
        <f t="array" ref="Y72">IF($F72&lt;&gt;"",XLOOKUP($F72,Productos!$A:$A,Productos!R:R,"Revisar"),"")</f>
        <v/>
      </c>
      <c r="Z72" s="179" t="str">
        <f t="array" ref="Z72">IF($F72&lt;&gt;"", XLOOKUP($F72,Productos!$A$2:$A1001,Productos!S$2:S1001,"")*$G72,"")</f>
        <v/>
      </c>
      <c r="AA72" s="179" t="str">
        <f t="array" ref="AA72">IF($F72&lt;&gt;"",XLOOKUP($F72,Productos!$A:$A,Productos!T:T,"Revisar"),"")</f>
        <v/>
      </c>
      <c r="AB72" s="179" t="str">
        <f t="array" ref="AB72">IF($F72&lt;&gt;"", XLOOKUP($F72,Productos!$A$2:$A1001,Productos!U$2:U1001,"")*$G72,"")</f>
        <v/>
      </c>
      <c r="AC72" s="179" t="str">
        <f t="array" ref="AC72">IF($F72&lt;&gt;"",XLOOKUP($F72,Productos!$A:$A,Productos!V:V,"Revisar"),"")</f>
        <v/>
      </c>
      <c r="AD72" s="179" t="str">
        <f t="array" ref="AD72">IF($F72&lt;&gt;"", XLOOKUP($F72,Productos!$A$2:$A1001,Productos!W$2:W1001,"")*$G72,"")</f>
        <v/>
      </c>
      <c r="AE72" s="179" t="str">
        <f t="array" ref="AE72">IF($F72&lt;&gt;"",XLOOKUP($F72,Productos!$A:$A,Productos!X:X,"Revisar"),"")</f>
        <v/>
      </c>
      <c r="AF72" s="179" t="str">
        <f t="array" ref="AF72">IF($F72&lt;&gt;"", XLOOKUP($F72,Productos!$A$2:$A1001,Productos!Y$2:Y1001,"")*$G72,"")</f>
        <v/>
      </c>
      <c r="AG72" s="179" t="str">
        <f t="array" ref="AG72">IF($F72&lt;&gt;"",XLOOKUP($F72,Productos!$A:$A,Productos!Z:Z,"Revisar"),"")</f>
        <v/>
      </c>
      <c r="AH72" s="179" t="str">
        <f t="array" ref="AH72">IF($F72&lt;&gt;"", XLOOKUP($F72,Productos!$A$2:$A1001,Productos!AA$2:AA1001,"")*$G72,"")</f>
        <v/>
      </c>
      <c r="AI72" s="179" t="str">
        <f t="array" ref="AI72">IF($F72&lt;&gt;"",XLOOKUP($F72,Productos!$A:$A,Productos!AB:AB,"Revisar"),"")</f>
        <v/>
      </c>
      <c r="AJ72" s="179" t="str">
        <f t="array" ref="AJ72">IF($F72&lt;&gt;"", XLOOKUP($F72,Productos!$A$2:$A1001,Productos!AC$2:AC1001,"")*$G72,"")</f>
        <v/>
      </c>
      <c r="AK72" s="179" t="str">
        <f t="array" ref="AK72">IF($F72&lt;&gt;"",XLOOKUP($F72,Productos!$A:$A,Productos!AD:AD,"Revisar"),"")</f>
        <v/>
      </c>
      <c r="AL72" s="179" t="str">
        <f t="array" ref="AL72">IF($F72&lt;&gt;"", XLOOKUP($F72,Productos!$A$2:$A1001,Productos!AE$2:AE1001,"")*$G72,"")</f>
        <v/>
      </c>
      <c r="AM72" s="179" t="str">
        <f t="array" ref="AM72">IF($F72&lt;&gt;"",XLOOKUP($F72,Productos!$A:$A,Productos!AF:AF,"Revisar"),"")</f>
        <v/>
      </c>
      <c r="AN72" s="179" t="str">
        <f t="array" ref="AN72">IF($F72&lt;&gt;"", XLOOKUP($F72,Productos!$A$2:$A1001,Productos!AG$2:AG1001,"")*$G72,"")</f>
        <v/>
      </c>
      <c r="AO72" s="179" t="str">
        <f t="array" ref="AO72">IF($F72&lt;&gt;"",XLOOKUP($F72,Productos!$A:$A,Productos!AH:AH,"Revisar"),"")</f>
        <v/>
      </c>
      <c r="AP72" s="179" t="str">
        <f t="array" ref="AP72">IF($F72&lt;&gt;"", XLOOKUP($F72,Productos!$A$2:$A1001,Productos!AI$2:AI1001,"")*$G72,"")</f>
        <v/>
      </c>
      <c r="AQ72" s="179" t="str">
        <f t="array" ref="AQ72">IF($F72&lt;&gt;"",XLOOKUP($F72,Productos!$A:$A,Productos!AJ:AJ,"Revisar"),"")</f>
        <v/>
      </c>
      <c r="AR72" s="179" t="str">
        <f t="array" ref="AR72">IF($F72&lt;&gt;"", XLOOKUP($F72,Productos!$A$2:$A1001,Productos!AK$2:AK1001,"")*$G72,"")</f>
        <v/>
      </c>
      <c r="AS72" s="179" t="str">
        <f t="array" ref="AS72">IF($F72&lt;&gt;"",XLOOKUP($F72,Productos!$A:$A,Productos!AL:AL,"Revisar"),"")</f>
        <v/>
      </c>
      <c r="AT72" s="179" t="str">
        <f t="array" ref="AT72">IF($F72&lt;&gt;"", XLOOKUP($F72,Productos!$A$2:$A1001,Productos!AM$2:AM1001,"")*$G72,"")</f>
        <v/>
      </c>
      <c r="AU72" s="179" t="str">
        <f t="array" ref="AU72">IF($F72&lt;&gt;"",XLOOKUP($F72,Productos!$A:$A,Productos!AN:AN,"Revisar"),"")</f>
        <v/>
      </c>
      <c r="AV72" s="179" t="str">
        <f t="array" ref="AV72">IF($F72&lt;&gt;"", XLOOKUP($F72,Productos!$A$2:$A1001,Productos!AO$2:AO1001,"")*$G72,"")</f>
        <v/>
      </c>
      <c r="AW72" s="179" t="str">
        <f t="array" ref="AW72">IF($F72&lt;&gt;"",XLOOKUP($F72,Productos!$A:$A,Productos!AP:AP,"Revisar"),"")</f>
        <v/>
      </c>
      <c r="AX72" s="179" t="str">
        <f t="array" ref="AX72">IF($F72&lt;&gt;"", XLOOKUP($F72,Productos!$A$2:$A1001,Productos!AQ$2:AQ1001,"")*$G72,"")</f>
        <v/>
      </c>
      <c r="AY72" s="179" t="str">
        <f t="array" ref="AY72">IF($F72&lt;&gt;"",XLOOKUP($F72,Productos!$A:$A,Productos!AR:AR,"Revisar"),"")</f>
        <v/>
      </c>
      <c r="AZ72" s="179" t="str">
        <f t="array" ref="AZ72">IF($F72&lt;&gt;"", XLOOKUP($F72,Productos!$A$2:$A1001,Productos!AS$2:AS1001,"")*$G72,"")</f>
        <v/>
      </c>
      <c r="BA72" s="179" t="str">
        <f t="array" ref="BA72">IF($F72&lt;&gt;"",XLOOKUP($F72,Productos!$A:$A,Productos!AT:AT,"Revisar"),"")</f>
        <v/>
      </c>
      <c r="BB72" s="179" t="str">
        <f t="array" ref="BB72">IF($F72&lt;&gt;"", XLOOKUP($F72,Productos!$A$2:$A1001,Productos!AU$2:AU1001,"")*$G72,"")</f>
        <v/>
      </c>
      <c r="BC72" s="179" t="str">
        <f t="array" ref="BC72">IF($F72&lt;&gt;"",XLOOKUP($F72,Productos!$A:$A,Productos!AV:AV,"Revisar"),"")</f>
        <v/>
      </c>
      <c r="BD72" s="179" t="str">
        <f t="array" ref="BD72">IF($F72&lt;&gt;"", XLOOKUP($F72,Productos!$A$2:$A1001,Productos!AW$2:AW1001,"")*$G72,"")</f>
        <v/>
      </c>
      <c r="BE72" s="179" t="str">
        <f t="array" ref="BE72">IF($F72&lt;&gt;"",XLOOKUP($F72,Productos!$A:$A,Productos!AX:AX,"Revisar"),"")</f>
        <v/>
      </c>
      <c r="BF72" s="179" t="str">
        <f t="array" ref="BF72">IF($F72&lt;&gt;"", XLOOKUP($F72,Productos!$A$2:$A1001,Productos!AY$2:AY1001,"")*$G72,"")</f>
        <v/>
      </c>
      <c r="BG72" s="179" t="str">
        <f t="array" ref="BG72">IF($F72&lt;&gt;"",XLOOKUP($F72,Productos!$A:$A,Productos!AZ:AZ,"Revisar"),"")</f>
        <v/>
      </c>
      <c r="BH72" s="179" t="str">
        <f t="array" ref="BH72">IF($F72&lt;&gt;"", XLOOKUP($F72,Productos!$A$2:$A1001,Productos!BA$2:BA1001,"")*$G72,"")</f>
        <v/>
      </c>
      <c r="BI72" s="179" t="str">
        <f t="array" ref="BI72">IF($F72&lt;&gt;"",XLOOKUP($F72,Productos!$A:$A,Productos!BB:BB,"Revisar"),"")</f>
        <v/>
      </c>
      <c r="BJ72" s="179" t="str">
        <f t="array" ref="BJ72">IF($F72&lt;&gt;"", XLOOKUP($F72,Productos!$A$2:$A1001,Productos!BC$2:BC1001,"")*$G72,"")</f>
        <v/>
      </c>
      <c r="BK72" s="179" t="str">
        <f t="array" ref="BK72">IF($F72&lt;&gt;"",XLOOKUP($F72,Productos!$A:$A,Productos!BD:BD,"Revisar"),"")</f>
        <v/>
      </c>
      <c r="BL72" s="179" t="str">
        <f t="array" ref="BL72">IF($F72&lt;&gt;"", XLOOKUP($F72,Productos!$A$2:$A1001,Productos!BE$2:BE1001,"")*$G72,"")</f>
        <v/>
      </c>
      <c r="BM72" s="179" t="str">
        <f t="array" ref="BM72">IF($F72&lt;&gt;"",XLOOKUP($F72,Productos!$A:$A,Productos!BF:BF,"Revisar"),"")</f>
        <v/>
      </c>
      <c r="BN72" s="179" t="str">
        <f t="array" ref="BN72">IF($F72&lt;&gt;"", XLOOKUP($F72,Productos!$A$2:$A1001,Productos!BG$2:BG1001,"")*$G72,"")</f>
        <v/>
      </c>
      <c r="BO72" s="179" t="str">
        <f t="array" ref="BO72">IF($F72&lt;&gt;"",XLOOKUP($F72,Productos!$A:$A,Productos!BH:BH,"Revisar"),"")</f>
        <v/>
      </c>
      <c r="BP72" s="179" t="str">
        <f t="array" ref="BP72">IF($F72&lt;&gt;"", XLOOKUP($F72,Productos!$A$2:$A1001,Productos!BI$2:BI1001,"")*$G72,"")</f>
        <v/>
      </c>
      <c r="BQ72" s="179" t="str">
        <f t="array" ref="BQ72">IF($F72&lt;&gt;"",XLOOKUP($F72,Productos!$A:$A,Productos!BJ:BJ,"Revisar"),"")</f>
        <v/>
      </c>
      <c r="BR72" s="179" t="str">
        <f t="array" ref="BR72">IF($F72&lt;&gt;"", XLOOKUP($F72,Productos!$A$2:$A1001,Productos!BK$2:BK1001,"")*$G72,"")</f>
        <v/>
      </c>
      <c r="BS72" s="179" t="str">
        <f t="array" ref="BS72">IF($F72&lt;&gt;"",XLOOKUP($F72,Productos!$A:$A,Productos!BL:BL,"Revisar"),"")</f>
        <v/>
      </c>
      <c r="BT72" s="179" t="str">
        <f t="array" ref="BT72">IF($F72&lt;&gt;"", XLOOKUP($F72,Productos!$A$2:$A1001,Productos!BM$2:BM1001,"")*$G72,"")</f>
        <v/>
      </c>
      <c r="BU72" s="179" t="str">
        <f t="array" ref="BU72">IF($F72&lt;&gt;"",XLOOKUP($F72,Productos!$A:$A,Productos!BN:BN,"Revisar"),"")</f>
        <v/>
      </c>
      <c r="BV72" s="179" t="str">
        <f t="array" ref="BV72">IF($F72&lt;&gt;"", XLOOKUP($F72,Productos!$A$2:$A1001,Productos!BO$2:BO1001,"")*$G72,"")</f>
        <v/>
      </c>
      <c r="BW72" s="179" t="str">
        <f t="array" ref="BW72">IF($F72&lt;&gt;"",XLOOKUP($F72,Productos!$A:$A,Productos!BP:BP,"Revisar"),"")</f>
        <v/>
      </c>
      <c r="BX72" s="179" t="str">
        <f t="array" ref="BX72">IF($F72&lt;&gt;"", XLOOKUP($F72,Productos!$A$2:$A1001,Productos!BQ$2:BQ1001,"")*$G72,"")</f>
        <v/>
      </c>
      <c r="BY72" s="179" t="str">
        <f t="array" ref="BY72">IF($F72&lt;&gt;"",XLOOKUP($F72,Productos!$A:$A,Productos!BR:BR,"Revisar"),"")</f>
        <v/>
      </c>
      <c r="BZ72" s="179" t="str">
        <f t="array" ref="BZ72">IF($F72&lt;&gt;"", XLOOKUP($F72,Productos!$A$2:$A1001,Productos!BS$2:BS1001,"")*$G72,"")</f>
        <v/>
      </c>
    </row>
    <row r="73">
      <c r="A73" s="180"/>
      <c r="B73" s="181"/>
      <c r="C73" s="182"/>
      <c r="D73" s="182"/>
      <c r="E73" s="185"/>
      <c r="F73" s="186"/>
      <c r="G73" s="187"/>
      <c r="H73" s="186"/>
      <c r="I73" s="179" t="str">
        <f t="array" ref="I73">IF($F73&lt;&gt;"",XLOOKUP($F73,Productos!$A:$A,Productos!B:B,"Revisar"),"")</f>
        <v/>
      </c>
      <c r="J73" s="179" t="str">
        <f t="array" ref="J73">IF($F73&lt;&gt;"", XLOOKUP($F73,Productos!$A$2:$A1001,Productos!C$2:C1001,"")*$G73,"")</f>
        <v/>
      </c>
      <c r="K73" s="179" t="str">
        <f t="array" ref="K73">IF($F73&lt;&gt;"",XLOOKUP($F73,Productos!$A:$A,Productos!D:D,"Revisar"),"")</f>
        <v/>
      </c>
      <c r="L73" s="179" t="str">
        <f t="array" ref="L73">IF($F73&lt;&gt;"", XLOOKUP($F73,Productos!$A$2:$A1001,Productos!E$2:E1001,"")*$G73,"")</f>
        <v/>
      </c>
      <c r="M73" s="179" t="str">
        <f t="array" ref="M73">IF($F73&lt;&gt;"",XLOOKUP($F73,Productos!$A:$A,Productos!F:F,"Revisar"),"")</f>
        <v/>
      </c>
      <c r="N73" s="179" t="str">
        <f t="array" ref="N73">IF($F73&lt;&gt;"", XLOOKUP($F73,Productos!$A$2:$A1001,Productos!G$2:G1001,"")*$G73,"")</f>
        <v/>
      </c>
      <c r="O73" s="179" t="str">
        <f t="array" ref="O73">IF($F73&lt;&gt;"",XLOOKUP($F73,Productos!$A:$A,Productos!H:H,"Revisar"),"")</f>
        <v/>
      </c>
      <c r="P73" s="179" t="str">
        <f t="array" ref="P73">IF($F73&lt;&gt;"", XLOOKUP($F73,Productos!$A$2:$A1001,Productos!I$2:I1001,"")*$G73,"")</f>
        <v/>
      </c>
      <c r="Q73" s="179" t="str">
        <f t="array" ref="Q73">IF($F73&lt;&gt;"",XLOOKUP($F73,Productos!$A:$A,Productos!J:J,"Revisar"),"")</f>
        <v/>
      </c>
      <c r="R73" s="179" t="str">
        <f t="array" ref="R73">IF($F73&lt;&gt;"", XLOOKUP($F73,Productos!$A$2:$A1001,Productos!K$2:K1001,"")*$G73,"")</f>
        <v/>
      </c>
      <c r="S73" s="179" t="str">
        <f t="array" ref="S73">IF($F73&lt;&gt;"",XLOOKUP($F73,Productos!$A:$A,Productos!L:L,"Revisar"),"")</f>
        <v/>
      </c>
      <c r="T73" s="179" t="str">
        <f t="array" ref="T73">IF($F73&lt;&gt;"", XLOOKUP($F73,Productos!$A$2:$A1001,Productos!M$2:M1001,"")*$G73,"")</f>
        <v/>
      </c>
      <c r="U73" s="179" t="str">
        <f t="array" ref="U73">IF($F73&lt;&gt;"",XLOOKUP($F73,Productos!$A:$A,Productos!N:N,"Revisar"),"")</f>
        <v/>
      </c>
      <c r="V73" s="179" t="str">
        <f t="array" ref="V73">IF($F73&lt;&gt;"", XLOOKUP($F73,Productos!$A$2:$A1001,Productos!O$2:O1001,"")*$G73,"")</f>
        <v/>
      </c>
      <c r="W73" s="179" t="str">
        <f t="array" ref="W73">IF($F73&lt;&gt;"",XLOOKUP($F73,Productos!$A:$A,Productos!P:P,"Revisar"),"")</f>
        <v/>
      </c>
      <c r="X73" s="179" t="str">
        <f t="array" ref="X73">IF($F73&lt;&gt;"", XLOOKUP($F73,Productos!$A$2:$A1001,Productos!Q$2:Q1001,"")*$G73,"")</f>
        <v/>
      </c>
      <c r="Y73" s="179" t="str">
        <f t="array" ref="Y73">IF($F73&lt;&gt;"",XLOOKUP($F73,Productos!$A:$A,Productos!R:R,"Revisar"),"")</f>
        <v/>
      </c>
      <c r="Z73" s="179" t="str">
        <f t="array" ref="Z73">IF($F73&lt;&gt;"", XLOOKUP($F73,Productos!$A$2:$A1001,Productos!S$2:S1001,"")*$G73,"")</f>
        <v/>
      </c>
      <c r="AA73" s="179" t="str">
        <f t="array" ref="AA73">IF($F73&lt;&gt;"",XLOOKUP($F73,Productos!$A:$A,Productos!T:T,"Revisar"),"")</f>
        <v/>
      </c>
      <c r="AB73" s="179" t="str">
        <f t="array" ref="AB73">IF($F73&lt;&gt;"", XLOOKUP($F73,Productos!$A$2:$A1001,Productos!U$2:U1001,"")*$G73,"")</f>
        <v/>
      </c>
      <c r="AC73" s="179" t="str">
        <f t="array" ref="AC73">IF($F73&lt;&gt;"",XLOOKUP($F73,Productos!$A:$A,Productos!V:V,"Revisar"),"")</f>
        <v/>
      </c>
      <c r="AD73" s="179" t="str">
        <f t="array" ref="AD73">IF($F73&lt;&gt;"", XLOOKUP($F73,Productos!$A$2:$A1001,Productos!W$2:W1001,"")*$G73,"")</f>
        <v/>
      </c>
      <c r="AE73" s="179" t="str">
        <f t="array" ref="AE73">IF($F73&lt;&gt;"",XLOOKUP($F73,Productos!$A:$A,Productos!X:X,"Revisar"),"")</f>
        <v/>
      </c>
      <c r="AF73" s="179" t="str">
        <f t="array" ref="AF73">IF($F73&lt;&gt;"", XLOOKUP($F73,Productos!$A$2:$A1001,Productos!Y$2:Y1001,"")*$G73,"")</f>
        <v/>
      </c>
      <c r="AG73" s="179" t="str">
        <f t="array" ref="AG73">IF($F73&lt;&gt;"",XLOOKUP($F73,Productos!$A:$A,Productos!Z:Z,"Revisar"),"")</f>
        <v/>
      </c>
      <c r="AH73" s="179" t="str">
        <f t="array" ref="AH73">IF($F73&lt;&gt;"", XLOOKUP($F73,Productos!$A$2:$A1001,Productos!AA$2:AA1001,"")*$G73,"")</f>
        <v/>
      </c>
      <c r="AI73" s="179" t="str">
        <f t="array" ref="AI73">IF($F73&lt;&gt;"",XLOOKUP($F73,Productos!$A:$A,Productos!AB:AB,"Revisar"),"")</f>
        <v/>
      </c>
      <c r="AJ73" s="179" t="str">
        <f t="array" ref="AJ73">IF($F73&lt;&gt;"", XLOOKUP($F73,Productos!$A$2:$A1001,Productos!AC$2:AC1001,"")*$G73,"")</f>
        <v/>
      </c>
      <c r="AK73" s="179" t="str">
        <f t="array" ref="AK73">IF($F73&lt;&gt;"",XLOOKUP($F73,Productos!$A:$A,Productos!AD:AD,"Revisar"),"")</f>
        <v/>
      </c>
      <c r="AL73" s="179" t="str">
        <f t="array" ref="AL73">IF($F73&lt;&gt;"", XLOOKUP($F73,Productos!$A$2:$A1001,Productos!AE$2:AE1001,"")*$G73,"")</f>
        <v/>
      </c>
      <c r="AM73" s="179" t="str">
        <f t="array" ref="AM73">IF($F73&lt;&gt;"",XLOOKUP($F73,Productos!$A:$A,Productos!AF:AF,"Revisar"),"")</f>
        <v/>
      </c>
      <c r="AN73" s="179" t="str">
        <f t="array" ref="AN73">IF($F73&lt;&gt;"", XLOOKUP($F73,Productos!$A$2:$A1001,Productos!AG$2:AG1001,"")*$G73,"")</f>
        <v/>
      </c>
      <c r="AO73" s="179" t="str">
        <f t="array" ref="AO73">IF($F73&lt;&gt;"",XLOOKUP($F73,Productos!$A:$A,Productos!AH:AH,"Revisar"),"")</f>
        <v/>
      </c>
      <c r="AP73" s="179" t="str">
        <f t="array" ref="AP73">IF($F73&lt;&gt;"", XLOOKUP($F73,Productos!$A$2:$A1001,Productos!AI$2:AI1001,"")*$G73,"")</f>
        <v/>
      </c>
      <c r="AQ73" s="179" t="str">
        <f t="array" ref="AQ73">IF($F73&lt;&gt;"",XLOOKUP($F73,Productos!$A:$A,Productos!AJ:AJ,"Revisar"),"")</f>
        <v/>
      </c>
      <c r="AR73" s="179" t="str">
        <f t="array" ref="AR73">IF($F73&lt;&gt;"", XLOOKUP($F73,Productos!$A$2:$A1001,Productos!AK$2:AK1001,"")*$G73,"")</f>
        <v/>
      </c>
      <c r="AS73" s="179" t="str">
        <f t="array" ref="AS73">IF($F73&lt;&gt;"",XLOOKUP($F73,Productos!$A:$A,Productos!AL:AL,"Revisar"),"")</f>
        <v/>
      </c>
      <c r="AT73" s="179" t="str">
        <f t="array" ref="AT73">IF($F73&lt;&gt;"", XLOOKUP($F73,Productos!$A$2:$A1001,Productos!AM$2:AM1001,"")*$G73,"")</f>
        <v/>
      </c>
      <c r="AU73" s="179" t="str">
        <f t="array" ref="AU73">IF($F73&lt;&gt;"",XLOOKUP($F73,Productos!$A:$A,Productos!AN:AN,"Revisar"),"")</f>
        <v/>
      </c>
      <c r="AV73" s="179" t="str">
        <f t="array" ref="AV73">IF($F73&lt;&gt;"", XLOOKUP($F73,Productos!$A$2:$A1001,Productos!AO$2:AO1001,"")*$G73,"")</f>
        <v/>
      </c>
      <c r="AW73" s="179" t="str">
        <f t="array" ref="AW73">IF($F73&lt;&gt;"",XLOOKUP($F73,Productos!$A:$A,Productos!AP:AP,"Revisar"),"")</f>
        <v/>
      </c>
      <c r="AX73" s="179" t="str">
        <f t="array" ref="AX73">IF($F73&lt;&gt;"", XLOOKUP($F73,Productos!$A$2:$A1001,Productos!AQ$2:AQ1001,"")*$G73,"")</f>
        <v/>
      </c>
      <c r="AY73" s="179" t="str">
        <f t="array" ref="AY73">IF($F73&lt;&gt;"",XLOOKUP($F73,Productos!$A:$A,Productos!AR:AR,"Revisar"),"")</f>
        <v/>
      </c>
      <c r="AZ73" s="179" t="str">
        <f t="array" ref="AZ73">IF($F73&lt;&gt;"", XLOOKUP($F73,Productos!$A$2:$A1001,Productos!AS$2:AS1001,"")*$G73,"")</f>
        <v/>
      </c>
      <c r="BA73" s="179" t="str">
        <f t="array" ref="BA73">IF($F73&lt;&gt;"",XLOOKUP($F73,Productos!$A:$A,Productos!AT:AT,"Revisar"),"")</f>
        <v/>
      </c>
      <c r="BB73" s="179" t="str">
        <f t="array" ref="BB73">IF($F73&lt;&gt;"", XLOOKUP($F73,Productos!$A$2:$A1001,Productos!AU$2:AU1001,"")*$G73,"")</f>
        <v/>
      </c>
      <c r="BC73" s="179" t="str">
        <f t="array" ref="BC73">IF($F73&lt;&gt;"",XLOOKUP($F73,Productos!$A:$A,Productos!AV:AV,"Revisar"),"")</f>
        <v/>
      </c>
      <c r="BD73" s="179" t="str">
        <f t="array" ref="BD73">IF($F73&lt;&gt;"", XLOOKUP($F73,Productos!$A$2:$A1001,Productos!AW$2:AW1001,"")*$G73,"")</f>
        <v/>
      </c>
      <c r="BE73" s="179" t="str">
        <f t="array" ref="BE73">IF($F73&lt;&gt;"",XLOOKUP($F73,Productos!$A:$A,Productos!AX:AX,"Revisar"),"")</f>
        <v/>
      </c>
      <c r="BF73" s="179" t="str">
        <f t="array" ref="BF73">IF($F73&lt;&gt;"", XLOOKUP($F73,Productos!$A$2:$A1001,Productos!AY$2:AY1001,"")*$G73,"")</f>
        <v/>
      </c>
      <c r="BG73" s="179" t="str">
        <f t="array" ref="BG73">IF($F73&lt;&gt;"",XLOOKUP($F73,Productos!$A:$A,Productos!AZ:AZ,"Revisar"),"")</f>
        <v/>
      </c>
      <c r="BH73" s="179" t="str">
        <f t="array" ref="BH73">IF($F73&lt;&gt;"", XLOOKUP($F73,Productos!$A$2:$A1001,Productos!BA$2:BA1001,"")*$G73,"")</f>
        <v/>
      </c>
      <c r="BI73" s="179" t="str">
        <f t="array" ref="BI73">IF($F73&lt;&gt;"",XLOOKUP($F73,Productos!$A:$A,Productos!BB:BB,"Revisar"),"")</f>
        <v/>
      </c>
      <c r="BJ73" s="179" t="str">
        <f t="array" ref="BJ73">IF($F73&lt;&gt;"", XLOOKUP($F73,Productos!$A$2:$A1001,Productos!BC$2:BC1001,"")*$G73,"")</f>
        <v/>
      </c>
      <c r="BK73" s="179" t="str">
        <f t="array" ref="BK73">IF($F73&lt;&gt;"",XLOOKUP($F73,Productos!$A:$A,Productos!BD:BD,"Revisar"),"")</f>
        <v/>
      </c>
      <c r="BL73" s="179" t="str">
        <f t="array" ref="BL73">IF($F73&lt;&gt;"", XLOOKUP($F73,Productos!$A$2:$A1001,Productos!BE$2:BE1001,"")*$G73,"")</f>
        <v/>
      </c>
      <c r="BM73" s="179" t="str">
        <f t="array" ref="BM73">IF($F73&lt;&gt;"",XLOOKUP($F73,Productos!$A:$A,Productos!BF:BF,"Revisar"),"")</f>
        <v/>
      </c>
      <c r="BN73" s="179" t="str">
        <f t="array" ref="BN73">IF($F73&lt;&gt;"", XLOOKUP($F73,Productos!$A$2:$A1001,Productos!BG$2:BG1001,"")*$G73,"")</f>
        <v/>
      </c>
      <c r="BO73" s="179" t="str">
        <f t="array" ref="BO73">IF($F73&lt;&gt;"",XLOOKUP($F73,Productos!$A:$A,Productos!BH:BH,"Revisar"),"")</f>
        <v/>
      </c>
      <c r="BP73" s="179" t="str">
        <f t="array" ref="BP73">IF($F73&lt;&gt;"", XLOOKUP($F73,Productos!$A$2:$A1001,Productos!BI$2:BI1001,"")*$G73,"")</f>
        <v/>
      </c>
      <c r="BQ73" s="179" t="str">
        <f t="array" ref="BQ73">IF($F73&lt;&gt;"",XLOOKUP($F73,Productos!$A:$A,Productos!BJ:BJ,"Revisar"),"")</f>
        <v/>
      </c>
      <c r="BR73" s="179" t="str">
        <f t="array" ref="BR73">IF($F73&lt;&gt;"", XLOOKUP($F73,Productos!$A$2:$A1001,Productos!BK$2:BK1001,"")*$G73,"")</f>
        <v/>
      </c>
      <c r="BS73" s="179" t="str">
        <f t="array" ref="BS73">IF($F73&lt;&gt;"",XLOOKUP($F73,Productos!$A:$A,Productos!BL:BL,"Revisar"),"")</f>
        <v/>
      </c>
      <c r="BT73" s="179" t="str">
        <f t="array" ref="BT73">IF($F73&lt;&gt;"", XLOOKUP($F73,Productos!$A$2:$A1001,Productos!BM$2:BM1001,"")*$G73,"")</f>
        <v/>
      </c>
      <c r="BU73" s="179" t="str">
        <f t="array" ref="BU73">IF($F73&lt;&gt;"",XLOOKUP($F73,Productos!$A:$A,Productos!BN:BN,"Revisar"),"")</f>
        <v/>
      </c>
      <c r="BV73" s="179" t="str">
        <f t="array" ref="BV73">IF($F73&lt;&gt;"", XLOOKUP($F73,Productos!$A$2:$A1001,Productos!BO$2:BO1001,"")*$G73,"")</f>
        <v/>
      </c>
      <c r="BW73" s="179" t="str">
        <f t="array" ref="BW73">IF($F73&lt;&gt;"",XLOOKUP($F73,Productos!$A:$A,Productos!BP:BP,"Revisar"),"")</f>
        <v/>
      </c>
      <c r="BX73" s="179" t="str">
        <f t="array" ref="BX73">IF($F73&lt;&gt;"", XLOOKUP($F73,Productos!$A$2:$A1001,Productos!BQ$2:BQ1001,"")*$G73,"")</f>
        <v/>
      </c>
      <c r="BY73" s="179" t="str">
        <f t="array" ref="BY73">IF($F73&lt;&gt;"",XLOOKUP($F73,Productos!$A:$A,Productos!BR:BR,"Revisar"),"")</f>
        <v/>
      </c>
      <c r="BZ73" s="179" t="str">
        <f t="array" ref="BZ73">IF($F73&lt;&gt;"", XLOOKUP($F73,Productos!$A$2:$A1001,Productos!BS$2:BS1001,"")*$G73,"")</f>
        <v/>
      </c>
    </row>
    <row r="74">
      <c r="A74" s="180"/>
      <c r="B74" s="181"/>
      <c r="C74" s="182"/>
      <c r="D74" s="182"/>
      <c r="E74" s="185"/>
      <c r="F74" s="186"/>
      <c r="G74" s="187"/>
      <c r="H74" s="186"/>
      <c r="I74" s="179" t="str">
        <f t="array" ref="I74">IF($F74&lt;&gt;"",XLOOKUP($F74,Productos!$A:$A,Productos!B:B,"Revisar"),"")</f>
        <v/>
      </c>
      <c r="J74" s="179" t="str">
        <f t="array" ref="J74">IF($F74&lt;&gt;"", XLOOKUP($F74,Productos!$A$2:$A1001,Productos!C$2:C1001,"")*$G74,"")</f>
        <v/>
      </c>
      <c r="K74" s="179" t="str">
        <f t="array" ref="K74">IF($F74&lt;&gt;"",XLOOKUP($F74,Productos!$A:$A,Productos!D:D,"Revisar"),"")</f>
        <v/>
      </c>
      <c r="L74" s="179" t="str">
        <f t="array" ref="L74">IF($F74&lt;&gt;"", XLOOKUP($F74,Productos!$A$2:$A1001,Productos!E$2:E1001,"")*$G74,"")</f>
        <v/>
      </c>
      <c r="M74" s="179" t="str">
        <f t="array" ref="M74">IF($F74&lt;&gt;"",XLOOKUP($F74,Productos!$A:$A,Productos!F:F,"Revisar"),"")</f>
        <v/>
      </c>
      <c r="N74" s="179" t="str">
        <f t="array" ref="N74">IF($F74&lt;&gt;"", XLOOKUP($F74,Productos!$A$2:$A1001,Productos!G$2:G1001,"")*$G74,"")</f>
        <v/>
      </c>
      <c r="O74" s="179" t="str">
        <f t="array" ref="O74">IF($F74&lt;&gt;"",XLOOKUP($F74,Productos!$A:$A,Productos!H:H,"Revisar"),"")</f>
        <v/>
      </c>
      <c r="P74" s="179" t="str">
        <f t="array" ref="P74">IF($F74&lt;&gt;"", XLOOKUP($F74,Productos!$A$2:$A1001,Productos!I$2:I1001,"")*$G74,"")</f>
        <v/>
      </c>
      <c r="Q74" s="179" t="str">
        <f t="array" ref="Q74">IF($F74&lt;&gt;"",XLOOKUP($F74,Productos!$A:$A,Productos!J:J,"Revisar"),"")</f>
        <v/>
      </c>
      <c r="R74" s="179" t="str">
        <f t="array" ref="R74">IF($F74&lt;&gt;"", XLOOKUP($F74,Productos!$A$2:$A1001,Productos!K$2:K1001,"")*$G74,"")</f>
        <v/>
      </c>
      <c r="S74" s="179" t="str">
        <f t="array" ref="S74">IF($F74&lt;&gt;"",XLOOKUP($F74,Productos!$A:$A,Productos!L:L,"Revisar"),"")</f>
        <v/>
      </c>
      <c r="T74" s="179" t="str">
        <f t="array" ref="T74">IF($F74&lt;&gt;"", XLOOKUP($F74,Productos!$A$2:$A1001,Productos!M$2:M1001,"")*$G74,"")</f>
        <v/>
      </c>
      <c r="U74" s="179" t="str">
        <f t="array" ref="U74">IF($F74&lt;&gt;"",XLOOKUP($F74,Productos!$A:$A,Productos!N:N,"Revisar"),"")</f>
        <v/>
      </c>
      <c r="V74" s="179" t="str">
        <f t="array" ref="V74">IF($F74&lt;&gt;"", XLOOKUP($F74,Productos!$A$2:$A1001,Productos!O$2:O1001,"")*$G74,"")</f>
        <v/>
      </c>
      <c r="W74" s="179" t="str">
        <f t="array" ref="W74">IF($F74&lt;&gt;"",XLOOKUP($F74,Productos!$A:$A,Productos!P:P,"Revisar"),"")</f>
        <v/>
      </c>
      <c r="X74" s="179" t="str">
        <f t="array" ref="X74">IF($F74&lt;&gt;"", XLOOKUP($F74,Productos!$A$2:$A1001,Productos!Q$2:Q1001,"")*$G74,"")</f>
        <v/>
      </c>
      <c r="Y74" s="179" t="str">
        <f t="array" ref="Y74">IF($F74&lt;&gt;"",XLOOKUP($F74,Productos!$A:$A,Productos!R:R,"Revisar"),"")</f>
        <v/>
      </c>
      <c r="Z74" s="179" t="str">
        <f t="array" ref="Z74">IF($F74&lt;&gt;"", XLOOKUP($F74,Productos!$A$2:$A1001,Productos!S$2:S1001,"")*$G74,"")</f>
        <v/>
      </c>
      <c r="AA74" s="179" t="str">
        <f t="array" ref="AA74">IF($F74&lt;&gt;"",XLOOKUP($F74,Productos!$A:$A,Productos!T:T,"Revisar"),"")</f>
        <v/>
      </c>
      <c r="AB74" s="179" t="str">
        <f t="array" ref="AB74">IF($F74&lt;&gt;"", XLOOKUP($F74,Productos!$A$2:$A1001,Productos!U$2:U1001,"")*$G74,"")</f>
        <v/>
      </c>
      <c r="AC74" s="179" t="str">
        <f t="array" ref="AC74">IF($F74&lt;&gt;"",XLOOKUP($F74,Productos!$A:$A,Productos!V:V,"Revisar"),"")</f>
        <v/>
      </c>
      <c r="AD74" s="179" t="str">
        <f t="array" ref="AD74">IF($F74&lt;&gt;"", XLOOKUP($F74,Productos!$A$2:$A1001,Productos!W$2:W1001,"")*$G74,"")</f>
        <v/>
      </c>
      <c r="AE74" s="179" t="str">
        <f t="array" ref="AE74">IF($F74&lt;&gt;"",XLOOKUP($F74,Productos!$A:$A,Productos!X:X,"Revisar"),"")</f>
        <v/>
      </c>
      <c r="AF74" s="179" t="str">
        <f t="array" ref="AF74">IF($F74&lt;&gt;"", XLOOKUP($F74,Productos!$A$2:$A1001,Productos!Y$2:Y1001,"")*$G74,"")</f>
        <v/>
      </c>
      <c r="AG74" s="179" t="str">
        <f t="array" ref="AG74">IF($F74&lt;&gt;"",XLOOKUP($F74,Productos!$A:$A,Productos!Z:Z,"Revisar"),"")</f>
        <v/>
      </c>
      <c r="AH74" s="179" t="str">
        <f t="array" ref="AH74">IF($F74&lt;&gt;"", XLOOKUP($F74,Productos!$A$2:$A1001,Productos!AA$2:AA1001,"")*$G74,"")</f>
        <v/>
      </c>
      <c r="AI74" s="179" t="str">
        <f t="array" ref="AI74">IF($F74&lt;&gt;"",XLOOKUP($F74,Productos!$A:$A,Productos!AB:AB,"Revisar"),"")</f>
        <v/>
      </c>
      <c r="AJ74" s="179" t="str">
        <f t="array" ref="AJ74">IF($F74&lt;&gt;"", XLOOKUP($F74,Productos!$A$2:$A1001,Productos!AC$2:AC1001,"")*$G74,"")</f>
        <v/>
      </c>
      <c r="AK74" s="179" t="str">
        <f t="array" ref="AK74">IF($F74&lt;&gt;"",XLOOKUP($F74,Productos!$A:$A,Productos!AD:AD,"Revisar"),"")</f>
        <v/>
      </c>
      <c r="AL74" s="179" t="str">
        <f t="array" ref="AL74">IF($F74&lt;&gt;"", XLOOKUP($F74,Productos!$A$2:$A1001,Productos!AE$2:AE1001,"")*$G74,"")</f>
        <v/>
      </c>
      <c r="AM74" s="179" t="str">
        <f t="array" ref="AM74">IF($F74&lt;&gt;"",XLOOKUP($F74,Productos!$A:$A,Productos!AF:AF,"Revisar"),"")</f>
        <v/>
      </c>
      <c r="AN74" s="179" t="str">
        <f t="array" ref="AN74">IF($F74&lt;&gt;"", XLOOKUP($F74,Productos!$A$2:$A1001,Productos!AG$2:AG1001,"")*$G74,"")</f>
        <v/>
      </c>
      <c r="AO74" s="179" t="str">
        <f t="array" ref="AO74">IF($F74&lt;&gt;"",XLOOKUP($F74,Productos!$A:$A,Productos!AH:AH,"Revisar"),"")</f>
        <v/>
      </c>
      <c r="AP74" s="179" t="str">
        <f t="array" ref="AP74">IF($F74&lt;&gt;"", XLOOKUP($F74,Productos!$A$2:$A1001,Productos!AI$2:AI1001,"")*$G74,"")</f>
        <v/>
      </c>
      <c r="AQ74" s="179" t="str">
        <f t="array" ref="AQ74">IF($F74&lt;&gt;"",XLOOKUP($F74,Productos!$A:$A,Productos!AJ:AJ,"Revisar"),"")</f>
        <v/>
      </c>
      <c r="AR74" s="179" t="str">
        <f t="array" ref="AR74">IF($F74&lt;&gt;"", XLOOKUP($F74,Productos!$A$2:$A1001,Productos!AK$2:AK1001,"")*$G74,"")</f>
        <v/>
      </c>
      <c r="AS74" s="179" t="str">
        <f t="array" ref="AS74">IF($F74&lt;&gt;"",XLOOKUP($F74,Productos!$A:$A,Productos!AL:AL,"Revisar"),"")</f>
        <v/>
      </c>
      <c r="AT74" s="179" t="str">
        <f t="array" ref="AT74">IF($F74&lt;&gt;"", XLOOKUP($F74,Productos!$A$2:$A1001,Productos!AM$2:AM1001,"")*$G74,"")</f>
        <v/>
      </c>
      <c r="AU74" s="179" t="str">
        <f t="array" ref="AU74">IF($F74&lt;&gt;"",XLOOKUP($F74,Productos!$A:$A,Productos!AN:AN,"Revisar"),"")</f>
        <v/>
      </c>
      <c r="AV74" s="179" t="str">
        <f t="array" ref="AV74">IF($F74&lt;&gt;"", XLOOKUP($F74,Productos!$A$2:$A1001,Productos!AO$2:AO1001,"")*$G74,"")</f>
        <v/>
      </c>
      <c r="AW74" s="179" t="str">
        <f t="array" ref="AW74">IF($F74&lt;&gt;"",XLOOKUP($F74,Productos!$A:$A,Productos!AP:AP,"Revisar"),"")</f>
        <v/>
      </c>
      <c r="AX74" s="179" t="str">
        <f t="array" ref="AX74">IF($F74&lt;&gt;"", XLOOKUP($F74,Productos!$A$2:$A1001,Productos!AQ$2:AQ1001,"")*$G74,"")</f>
        <v/>
      </c>
      <c r="AY74" s="179" t="str">
        <f t="array" ref="AY74">IF($F74&lt;&gt;"",XLOOKUP($F74,Productos!$A:$A,Productos!AR:AR,"Revisar"),"")</f>
        <v/>
      </c>
      <c r="AZ74" s="179" t="str">
        <f t="array" ref="AZ74">IF($F74&lt;&gt;"", XLOOKUP($F74,Productos!$A$2:$A1001,Productos!AS$2:AS1001,"")*$G74,"")</f>
        <v/>
      </c>
      <c r="BA74" s="179" t="str">
        <f t="array" ref="BA74">IF($F74&lt;&gt;"",XLOOKUP($F74,Productos!$A:$A,Productos!AT:AT,"Revisar"),"")</f>
        <v/>
      </c>
      <c r="BB74" s="179" t="str">
        <f t="array" ref="BB74">IF($F74&lt;&gt;"", XLOOKUP($F74,Productos!$A$2:$A1001,Productos!AU$2:AU1001,"")*$G74,"")</f>
        <v/>
      </c>
      <c r="BC74" s="179" t="str">
        <f t="array" ref="BC74">IF($F74&lt;&gt;"",XLOOKUP($F74,Productos!$A:$A,Productos!AV:AV,"Revisar"),"")</f>
        <v/>
      </c>
      <c r="BD74" s="179" t="str">
        <f t="array" ref="BD74">IF($F74&lt;&gt;"", XLOOKUP($F74,Productos!$A$2:$A1001,Productos!AW$2:AW1001,"")*$G74,"")</f>
        <v/>
      </c>
      <c r="BE74" s="179" t="str">
        <f t="array" ref="BE74">IF($F74&lt;&gt;"",XLOOKUP($F74,Productos!$A:$A,Productos!AX:AX,"Revisar"),"")</f>
        <v/>
      </c>
      <c r="BF74" s="179" t="str">
        <f t="array" ref="BF74">IF($F74&lt;&gt;"", XLOOKUP($F74,Productos!$A$2:$A1001,Productos!AY$2:AY1001,"")*$G74,"")</f>
        <v/>
      </c>
      <c r="BG74" s="179" t="str">
        <f t="array" ref="BG74">IF($F74&lt;&gt;"",XLOOKUP($F74,Productos!$A:$A,Productos!AZ:AZ,"Revisar"),"")</f>
        <v/>
      </c>
      <c r="BH74" s="179" t="str">
        <f t="array" ref="BH74">IF($F74&lt;&gt;"", XLOOKUP($F74,Productos!$A$2:$A1001,Productos!BA$2:BA1001,"")*$G74,"")</f>
        <v/>
      </c>
      <c r="BI74" s="179" t="str">
        <f t="array" ref="BI74">IF($F74&lt;&gt;"",XLOOKUP($F74,Productos!$A:$A,Productos!BB:BB,"Revisar"),"")</f>
        <v/>
      </c>
      <c r="BJ74" s="179" t="str">
        <f t="array" ref="BJ74">IF($F74&lt;&gt;"", XLOOKUP($F74,Productos!$A$2:$A1001,Productos!BC$2:BC1001,"")*$G74,"")</f>
        <v/>
      </c>
      <c r="BK74" s="179" t="str">
        <f t="array" ref="BK74">IF($F74&lt;&gt;"",XLOOKUP($F74,Productos!$A:$A,Productos!BD:BD,"Revisar"),"")</f>
        <v/>
      </c>
      <c r="BL74" s="179" t="str">
        <f t="array" ref="BL74">IF($F74&lt;&gt;"", XLOOKUP($F74,Productos!$A$2:$A1001,Productos!BE$2:BE1001,"")*$G74,"")</f>
        <v/>
      </c>
      <c r="BM74" s="179" t="str">
        <f t="array" ref="BM74">IF($F74&lt;&gt;"",XLOOKUP($F74,Productos!$A:$A,Productos!BF:BF,"Revisar"),"")</f>
        <v/>
      </c>
      <c r="BN74" s="179" t="str">
        <f t="array" ref="BN74">IF($F74&lt;&gt;"", XLOOKUP($F74,Productos!$A$2:$A1001,Productos!BG$2:BG1001,"")*$G74,"")</f>
        <v/>
      </c>
      <c r="BO74" s="179" t="str">
        <f t="array" ref="BO74">IF($F74&lt;&gt;"",XLOOKUP($F74,Productos!$A:$A,Productos!BH:BH,"Revisar"),"")</f>
        <v/>
      </c>
      <c r="BP74" s="179" t="str">
        <f t="array" ref="BP74">IF($F74&lt;&gt;"", XLOOKUP($F74,Productos!$A$2:$A1001,Productos!BI$2:BI1001,"")*$G74,"")</f>
        <v/>
      </c>
      <c r="BQ74" s="179" t="str">
        <f t="array" ref="BQ74">IF($F74&lt;&gt;"",XLOOKUP($F74,Productos!$A:$A,Productos!BJ:BJ,"Revisar"),"")</f>
        <v/>
      </c>
      <c r="BR74" s="179" t="str">
        <f t="array" ref="BR74">IF($F74&lt;&gt;"", XLOOKUP($F74,Productos!$A$2:$A1001,Productos!BK$2:BK1001,"")*$G74,"")</f>
        <v/>
      </c>
      <c r="BS74" s="179" t="str">
        <f t="array" ref="BS74">IF($F74&lt;&gt;"",XLOOKUP($F74,Productos!$A:$A,Productos!BL:BL,"Revisar"),"")</f>
        <v/>
      </c>
      <c r="BT74" s="179" t="str">
        <f t="array" ref="BT74">IF($F74&lt;&gt;"", XLOOKUP($F74,Productos!$A$2:$A1001,Productos!BM$2:BM1001,"")*$G74,"")</f>
        <v/>
      </c>
      <c r="BU74" s="179" t="str">
        <f t="array" ref="BU74">IF($F74&lt;&gt;"",XLOOKUP($F74,Productos!$A:$A,Productos!BN:BN,"Revisar"),"")</f>
        <v/>
      </c>
      <c r="BV74" s="179" t="str">
        <f t="array" ref="BV74">IF($F74&lt;&gt;"", XLOOKUP($F74,Productos!$A$2:$A1001,Productos!BO$2:BO1001,"")*$G74,"")</f>
        <v/>
      </c>
      <c r="BW74" s="179" t="str">
        <f t="array" ref="BW74">IF($F74&lt;&gt;"",XLOOKUP($F74,Productos!$A:$A,Productos!BP:BP,"Revisar"),"")</f>
        <v/>
      </c>
      <c r="BX74" s="179" t="str">
        <f t="array" ref="BX74">IF($F74&lt;&gt;"", XLOOKUP($F74,Productos!$A$2:$A1001,Productos!BQ$2:BQ1001,"")*$G74,"")</f>
        <v/>
      </c>
      <c r="BY74" s="179" t="str">
        <f t="array" ref="BY74">IF($F74&lt;&gt;"",XLOOKUP($F74,Productos!$A:$A,Productos!BR:BR,"Revisar"),"")</f>
        <v/>
      </c>
      <c r="BZ74" s="179" t="str">
        <f t="array" ref="BZ74">IF($F74&lt;&gt;"", XLOOKUP($F74,Productos!$A$2:$A1001,Productos!BS$2:BS1001,"")*$G74,"")</f>
        <v/>
      </c>
    </row>
    <row r="75">
      <c r="A75" s="180"/>
      <c r="B75" s="181"/>
      <c r="C75" s="182"/>
      <c r="D75" s="182"/>
      <c r="E75" s="185"/>
      <c r="F75" s="186"/>
      <c r="G75" s="187"/>
      <c r="H75" s="186"/>
      <c r="I75" s="179" t="str">
        <f t="array" ref="I75">IF($F75&lt;&gt;"",XLOOKUP($F75,Productos!$A:$A,Productos!B:B,"Revisar"),"")</f>
        <v/>
      </c>
      <c r="J75" s="179" t="str">
        <f t="array" ref="J75">IF($F75&lt;&gt;"", XLOOKUP($F75,Productos!$A$2:$A1001,Productos!C$2:C1001,"")*$G75,"")</f>
        <v/>
      </c>
      <c r="K75" s="179" t="str">
        <f t="array" ref="K75">IF($F75&lt;&gt;"",XLOOKUP($F75,Productos!$A:$A,Productos!D:D,"Revisar"),"")</f>
        <v/>
      </c>
      <c r="L75" s="179" t="str">
        <f t="array" ref="L75">IF($F75&lt;&gt;"", XLOOKUP($F75,Productos!$A$2:$A1001,Productos!E$2:E1001,"")*$G75,"")</f>
        <v/>
      </c>
      <c r="M75" s="179" t="str">
        <f t="array" ref="M75">IF($F75&lt;&gt;"",XLOOKUP($F75,Productos!$A:$A,Productos!F:F,"Revisar"),"")</f>
        <v/>
      </c>
      <c r="N75" s="179" t="str">
        <f t="array" ref="N75">IF($F75&lt;&gt;"", XLOOKUP($F75,Productos!$A$2:$A1001,Productos!G$2:G1001,"")*$G75,"")</f>
        <v/>
      </c>
      <c r="O75" s="179" t="str">
        <f t="array" ref="O75">IF($F75&lt;&gt;"",XLOOKUP($F75,Productos!$A:$A,Productos!H:H,"Revisar"),"")</f>
        <v/>
      </c>
      <c r="P75" s="179" t="str">
        <f t="array" ref="P75">IF($F75&lt;&gt;"", XLOOKUP($F75,Productos!$A$2:$A1001,Productos!I$2:I1001,"")*$G75,"")</f>
        <v/>
      </c>
      <c r="Q75" s="179" t="str">
        <f t="array" ref="Q75">IF($F75&lt;&gt;"",XLOOKUP($F75,Productos!$A:$A,Productos!J:J,"Revisar"),"")</f>
        <v/>
      </c>
      <c r="R75" s="179" t="str">
        <f t="array" ref="R75">IF($F75&lt;&gt;"", XLOOKUP($F75,Productos!$A$2:$A1001,Productos!K$2:K1001,"")*$G75,"")</f>
        <v/>
      </c>
      <c r="S75" s="179" t="str">
        <f t="array" ref="S75">IF($F75&lt;&gt;"",XLOOKUP($F75,Productos!$A:$A,Productos!L:L,"Revisar"),"")</f>
        <v/>
      </c>
      <c r="T75" s="179" t="str">
        <f t="array" ref="T75">IF($F75&lt;&gt;"", XLOOKUP($F75,Productos!$A$2:$A1001,Productos!M$2:M1001,"")*$G75,"")</f>
        <v/>
      </c>
      <c r="U75" s="179" t="str">
        <f t="array" ref="U75">IF($F75&lt;&gt;"",XLOOKUP($F75,Productos!$A:$A,Productos!N:N,"Revisar"),"")</f>
        <v/>
      </c>
      <c r="V75" s="179" t="str">
        <f t="array" ref="V75">IF($F75&lt;&gt;"", XLOOKUP($F75,Productos!$A$2:$A1001,Productos!O$2:O1001,"")*$G75,"")</f>
        <v/>
      </c>
      <c r="W75" s="179" t="str">
        <f t="array" ref="W75">IF($F75&lt;&gt;"",XLOOKUP($F75,Productos!$A:$A,Productos!P:P,"Revisar"),"")</f>
        <v/>
      </c>
      <c r="X75" s="179" t="str">
        <f t="array" ref="X75">IF($F75&lt;&gt;"", XLOOKUP($F75,Productos!$A$2:$A1001,Productos!Q$2:Q1001,"")*$G75,"")</f>
        <v/>
      </c>
      <c r="Y75" s="179" t="str">
        <f t="array" ref="Y75">IF($F75&lt;&gt;"",XLOOKUP($F75,Productos!$A:$A,Productos!R:R,"Revisar"),"")</f>
        <v/>
      </c>
      <c r="Z75" s="179" t="str">
        <f t="array" ref="Z75">IF($F75&lt;&gt;"", XLOOKUP($F75,Productos!$A$2:$A1001,Productos!S$2:S1001,"")*$G75,"")</f>
        <v/>
      </c>
      <c r="AA75" s="179" t="str">
        <f t="array" ref="AA75">IF($F75&lt;&gt;"",XLOOKUP($F75,Productos!$A:$A,Productos!T:T,"Revisar"),"")</f>
        <v/>
      </c>
      <c r="AB75" s="179" t="str">
        <f t="array" ref="AB75">IF($F75&lt;&gt;"", XLOOKUP($F75,Productos!$A$2:$A1001,Productos!U$2:U1001,"")*$G75,"")</f>
        <v/>
      </c>
      <c r="AC75" s="179" t="str">
        <f t="array" ref="AC75">IF($F75&lt;&gt;"",XLOOKUP($F75,Productos!$A:$A,Productos!V:V,"Revisar"),"")</f>
        <v/>
      </c>
      <c r="AD75" s="179" t="str">
        <f t="array" ref="AD75">IF($F75&lt;&gt;"", XLOOKUP($F75,Productos!$A$2:$A1001,Productos!W$2:W1001,"")*$G75,"")</f>
        <v/>
      </c>
      <c r="AE75" s="179" t="str">
        <f t="array" ref="AE75">IF($F75&lt;&gt;"",XLOOKUP($F75,Productos!$A:$A,Productos!X:X,"Revisar"),"")</f>
        <v/>
      </c>
      <c r="AF75" s="179" t="str">
        <f t="array" ref="AF75">IF($F75&lt;&gt;"", XLOOKUP($F75,Productos!$A$2:$A1001,Productos!Y$2:Y1001,"")*$G75,"")</f>
        <v/>
      </c>
      <c r="AG75" s="179" t="str">
        <f t="array" ref="AG75">IF($F75&lt;&gt;"",XLOOKUP($F75,Productos!$A:$A,Productos!Z:Z,"Revisar"),"")</f>
        <v/>
      </c>
      <c r="AH75" s="179" t="str">
        <f t="array" ref="AH75">IF($F75&lt;&gt;"", XLOOKUP($F75,Productos!$A$2:$A1001,Productos!AA$2:AA1001,"")*$G75,"")</f>
        <v/>
      </c>
      <c r="AI75" s="179" t="str">
        <f t="array" ref="AI75">IF($F75&lt;&gt;"",XLOOKUP($F75,Productos!$A:$A,Productos!AB:AB,"Revisar"),"")</f>
        <v/>
      </c>
      <c r="AJ75" s="179" t="str">
        <f t="array" ref="AJ75">IF($F75&lt;&gt;"", XLOOKUP($F75,Productos!$A$2:$A1001,Productos!AC$2:AC1001,"")*$G75,"")</f>
        <v/>
      </c>
      <c r="AK75" s="179" t="str">
        <f t="array" ref="AK75">IF($F75&lt;&gt;"",XLOOKUP($F75,Productos!$A:$A,Productos!AD:AD,"Revisar"),"")</f>
        <v/>
      </c>
      <c r="AL75" s="179" t="str">
        <f t="array" ref="AL75">IF($F75&lt;&gt;"", XLOOKUP($F75,Productos!$A$2:$A1001,Productos!AE$2:AE1001,"")*$G75,"")</f>
        <v/>
      </c>
      <c r="AM75" s="179" t="str">
        <f t="array" ref="AM75">IF($F75&lt;&gt;"",XLOOKUP($F75,Productos!$A:$A,Productos!AF:AF,"Revisar"),"")</f>
        <v/>
      </c>
      <c r="AN75" s="179" t="str">
        <f t="array" ref="AN75">IF($F75&lt;&gt;"", XLOOKUP($F75,Productos!$A$2:$A1001,Productos!AG$2:AG1001,"")*$G75,"")</f>
        <v/>
      </c>
      <c r="AO75" s="179" t="str">
        <f t="array" ref="AO75">IF($F75&lt;&gt;"",XLOOKUP($F75,Productos!$A:$A,Productos!AH:AH,"Revisar"),"")</f>
        <v/>
      </c>
      <c r="AP75" s="179" t="str">
        <f t="array" ref="AP75">IF($F75&lt;&gt;"", XLOOKUP($F75,Productos!$A$2:$A1001,Productos!AI$2:AI1001,"")*$G75,"")</f>
        <v/>
      </c>
      <c r="AQ75" s="179" t="str">
        <f t="array" ref="AQ75">IF($F75&lt;&gt;"",XLOOKUP($F75,Productos!$A:$A,Productos!AJ:AJ,"Revisar"),"")</f>
        <v/>
      </c>
      <c r="AR75" s="179" t="str">
        <f t="array" ref="AR75">IF($F75&lt;&gt;"", XLOOKUP($F75,Productos!$A$2:$A1001,Productos!AK$2:AK1001,"")*$G75,"")</f>
        <v/>
      </c>
      <c r="AS75" s="179" t="str">
        <f t="array" ref="AS75">IF($F75&lt;&gt;"",XLOOKUP($F75,Productos!$A:$A,Productos!AL:AL,"Revisar"),"")</f>
        <v/>
      </c>
      <c r="AT75" s="179" t="str">
        <f t="array" ref="AT75">IF($F75&lt;&gt;"", XLOOKUP($F75,Productos!$A$2:$A1001,Productos!AM$2:AM1001,"")*$G75,"")</f>
        <v/>
      </c>
      <c r="AU75" s="179" t="str">
        <f t="array" ref="AU75">IF($F75&lt;&gt;"",XLOOKUP($F75,Productos!$A:$A,Productos!AN:AN,"Revisar"),"")</f>
        <v/>
      </c>
      <c r="AV75" s="179" t="str">
        <f t="array" ref="AV75">IF($F75&lt;&gt;"", XLOOKUP($F75,Productos!$A$2:$A1001,Productos!AO$2:AO1001,"")*$G75,"")</f>
        <v/>
      </c>
      <c r="AW75" s="179" t="str">
        <f t="array" ref="AW75">IF($F75&lt;&gt;"",XLOOKUP($F75,Productos!$A:$A,Productos!AP:AP,"Revisar"),"")</f>
        <v/>
      </c>
      <c r="AX75" s="179" t="str">
        <f t="array" ref="AX75">IF($F75&lt;&gt;"", XLOOKUP($F75,Productos!$A$2:$A1001,Productos!AQ$2:AQ1001,"")*$G75,"")</f>
        <v/>
      </c>
      <c r="AY75" s="179" t="str">
        <f t="array" ref="AY75">IF($F75&lt;&gt;"",XLOOKUP($F75,Productos!$A:$A,Productos!AR:AR,"Revisar"),"")</f>
        <v/>
      </c>
      <c r="AZ75" s="179" t="str">
        <f t="array" ref="AZ75">IF($F75&lt;&gt;"", XLOOKUP($F75,Productos!$A$2:$A1001,Productos!AS$2:AS1001,"")*$G75,"")</f>
        <v/>
      </c>
      <c r="BA75" s="179" t="str">
        <f t="array" ref="BA75">IF($F75&lt;&gt;"",XLOOKUP($F75,Productos!$A:$A,Productos!AT:AT,"Revisar"),"")</f>
        <v/>
      </c>
      <c r="BB75" s="179" t="str">
        <f t="array" ref="BB75">IF($F75&lt;&gt;"", XLOOKUP($F75,Productos!$A$2:$A1001,Productos!AU$2:AU1001,"")*$G75,"")</f>
        <v/>
      </c>
      <c r="BC75" s="179" t="str">
        <f t="array" ref="BC75">IF($F75&lt;&gt;"",XLOOKUP($F75,Productos!$A:$A,Productos!AV:AV,"Revisar"),"")</f>
        <v/>
      </c>
      <c r="BD75" s="179" t="str">
        <f t="array" ref="BD75">IF($F75&lt;&gt;"", XLOOKUP($F75,Productos!$A$2:$A1001,Productos!AW$2:AW1001,"")*$G75,"")</f>
        <v/>
      </c>
      <c r="BE75" s="179" t="str">
        <f t="array" ref="BE75">IF($F75&lt;&gt;"",XLOOKUP($F75,Productos!$A:$A,Productos!AX:AX,"Revisar"),"")</f>
        <v/>
      </c>
      <c r="BF75" s="179" t="str">
        <f t="array" ref="BF75">IF($F75&lt;&gt;"", XLOOKUP($F75,Productos!$A$2:$A1001,Productos!AY$2:AY1001,"")*$G75,"")</f>
        <v/>
      </c>
      <c r="BG75" s="179" t="str">
        <f t="array" ref="BG75">IF($F75&lt;&gt;"",XLOOKUP($F75,Productos!$A:$A,Productos!AZ:AZ,"Revisar"),"")</f>
        <v/>
      </c>
      <c r="BH75" s="179" t="str">
        <f t="array" ref="BH75">IF($F75&lt;&gt;"", XLOOKUP($F75,Productos!$A$2:$A1001,Productos!BA$2:BA1001,"")*$G75,"")</f>
        <v/>
      </c>
      <c r="BI75" s="179" t="str">
        <f t="array" ref="BI75">IF($F75&lt;&gt;"",XLOOKUP($F75,Productos!$A:$A,Productos!BB:BB,"Revisar"),"")</f>
        <v/>
      </c>
      <c r="BJ75" s="179" t="str">
        <f t="array" ref="BJ75">IF($F75&lt;&gt;"", XLOOKUP($F75,Productos!$A$2:$A1001,Productos!BC$2:BC1001,"")*$G75,"")</f>
        <v/>
      </c>
      <c r="BK75" s="179" t="str">
        <f t="array" ref="BK75">IF($F75&lt;&gt;"",XLOOKUP($F75,Productos!$A:$A,Productos!BD:BD,"Revisar"),"")</f>
        <v/>
      </c>
      <c r="BL75" s="179" t="str">
        <f t="array" ref="BL75">IF($F75&lt;&gt;"", XLOOKUP($F75,Productos!$A$2:$A1001,Productos!BE$2:BE1001,"")*$G75,"")</f>
        <v/>
      </c>
      <c r="BM75" s="179" t="str">
        <f t="array" ref="BM75">IF($F75&lt;&gt;"",XLOOKUP($F75,Productos!$A:$A,Productos!BF:BF,"Revisar"),"")</f>
        <v/>
      </c>
      <c r="BN75" s="179" t="str">
        <f t="array" ref="BN75">IF($F75&lt;&gt;"", XLOOKUP($F75,Productos!$A$2:$A1001,Productos!BG$2:BG1001,"")*$G75,"")</f>
        <v/>
      </c>
      <c r="BO75" s="179" t="str">
        <f t="array" ref="BO75">IF($F75&lt;&gt;"",XLOOKUP($F75,Productos!$A:$A,Productos!BH:BH,"Revisar"),"")</f>
        <v/>
      </c>
      <c r="BP75" s="179" t="str">
        <f t="array" ref="BP75">IF($F75&lt;&gt;"", XLOOKUP($F75,Productos!$A$2:$A1001,Productos!BI$2:BI1001,"")*$G75,"")</f>
        <v/>
      </c>
      <c r="BQ75" s="179" t="str">
        <f t="array" ref="BQ75">IF($F75&lt;&gt;"",XLOOKUP($F75,Productos!$A:$A,Productos!BJ:BJ,"Revisar"),"")</f>
        <v/>
      </c>
      <c r="BR75" s="179" t="str">
        <f t="array" ref="BR75">IF($F75&lt;&gt;"", XLOOKUP($F75,Productos!$A$2:$A1001,Productos!BK$2:BK1001,"")*$G75,"")</f>
        <v/>
      </c>
      <c r="BS75" s="179" t="str">
        <f t="array" ref="BS75">IF($F75&lt;&gt;"",XLOOKUP($F75,Productos!$A:$A,Productos!BL:BL,"Revisar"),"")</f>
        <v/>
      </c>
      <c r="BT75" s="179" t="str">
        <f t="array" ref="BT75">IF($F75&lt;&gt;"", XLOOKUP($F75,Productos!$A$2:$A1001,Productos!BM$2:BM1001,"")*$G75,"")</f>
        <v/>
      </c>
      <c r="BU75" s="179" t="str">
        <f t="array" ref="BU75">IF($F75&lt;&gt;"",XLOOKUP($F75,Productos!$A:$A,Productos!BN:BN,"Revisar"),"")</f>
        <v/>
      </c>
      <c r="BV75" s="179" t="str">
        <f t="array" ref="BV75">IF($F75&lt;&gt;"", XLOOKUP($F75,Productos!$A$2:$A1001,Productos!BO$2:BO1001,"")*$G75,"")</f>
        <v/>
      </c>
      <c r="BW75" s="179" t="str">
        <f t="array" ref="BW75">IF($F75&lt;&gt;"",XLOOKUP($F75,Productos!$A:$A,Productos!BP:BP,"Revisar"),"")</f>
        <v/>
      </c>
      <c r="BX75" s="179" t="str">
        <f t="array" ref="BX75">IF($F75&lt;&gt;"", XLOOKUP($F75,Productos!$A$2:$A1001,Productos!BQ$2:BQ1001,"")*$G75,"")</f>
        <v/>
      </c>
      <c r="BY75" s="179" t="str">
        <f t="array" ref="BY75">IF($F75&lt;&gt;"",XLOOKUP($F75,Productos!$A:$A,Productos!BR:BR,"Revisar"),"")</f>
        <v/>
      </c>
      <c r="BZ75" s="179" t="str">
        <f t="array" ref="BZ75">IF($F75&lt;&gt;"", XLOOKUP($F75,Productos!$A$2:$A1001,Productos!BS$2:BS1001,"")*$G75,"")</f>
        <v/>
      </c>
    </row>
    <row r="76">
      <c r="A76" s="180"/>
      <c r="B76" s="181"/>
      <c r="C76" s="182"/>
      <c r="D76" s="182"/>
      <c r="E76" s="185"/>
      <c r="F76" s="186"/>
      <c r="G76" s="187"/>
      <c r="H76" s="186"/>
      <c r="I76" s="179" t="str">
        <f t="array" ref="I76">IF($F76&lt;&gt;"",XLOOKUP($F76,Productos!$A:$A,Productos!B:B,"Revisar"),"")</f>
        <v/>
      </c>
      <c r="J76" s="179" t="str">
        <f t="array" ref="J76">IF($F76&lt;&gt;"", XLOOKUP($F76,Productos!$A$2:$A1001,Productos!C$2:C1001,"")*$G76,"")</f>
        <v/>
      </c>
      <c r="K76" s="179" t="str">
        <f t="array" ref="K76">IF($F76&lt;&gt;"",XLOOKUP($F76,Productos!$A:$A,Productos!D:D,"Revisar"),"")</f>
        <v/>
      </c>
      <c r="L76" s="179" t="str">
        <f t="array" ref="L76">IF($F76&lt;&gt;"", XLOOKUP($F76,Productos!$A$2:$A1001,Productos!E$2:E1001,"")*$G76,"")</f>
        <v/>
      </c>
      <c r="M76" s="179" t="str">
        <f t="array" ref="M76">IF($F76&lt;&gt;"",XLOOKUP($F76,Productos!$A:$A,Productos!F:F,"Revisar"),"")</f>
        <v/>
      </c>
      <c r="N76" s="179" t="str">
        <f t="array" ref="N76">IF($F76&lt;&gt;"", XLOOKUP($F76,Productos!$A$2:$A1001,Productos!G$2:G1001,"")*$G76,"")</f>
        <v/>
      </c>
      <c r="O76" s="179" t="str">
        <f t="array" ref="O76">IF($F76&lt;&gt;"",XLOOKUP($F76,Productos!$A:$A,Productos!H:H,"Revisar"),"")</f>
        <v/>
      </c>
      <c r="P76" s="179" t="str">
        <f t="array" ref="P76">IF($F76&lt;&gt;"", XLOOKUP($F76,Productos!$A$2:$A1001,Productos!I$2:I1001,"")*$G76,"")</f>
        <v/>
      </c>
      <c r="Q76" s="179" t="str">
        <f t="array" ref="Q76">IF($F76&lt;&gt;"",XLOOKUP($F76,Productos!$A:$A,Productos!J:J,"Revisar"),"")</f>
        <v/>
      </c>
      <c r="R76" s="179" t="str">
        <f t="array" ref="R76">IF($F76&lt;&gt;"", XLOOKUP($F76,Productos!$A$2:$A1001,Productos!K$2:K1001,"")*$G76,"")</f>
        <v/>
      </c>
      <c r="S76" s="179" t="str">
        <f t="array" ref="S76">IF($F76&lt;&gt;"",XLOOKUP($F76,Productos!$A:$A,Productos!L:L,"Revisar"),"")</f>
        <v/>
      </c>
      <c r="T76" s="179" t="str">
        <f t="array" ref="T76">IF($F76&lt;&gt;"", XLOOKUP($F76,Productos!$A$2:$A1001,Productos!M$2:M1001,"")*$G76,"")</f>
        <v/>
      </c>
      <c r="U76" s="179" t="str">
        <f t="array" ref="U76">IF($F76&lt;&gt;"",XLOOKUP($F76,Productos!$A:$A,Productos!N:N,"Revisar"),"")</f>
        <v/>
      </c>
      <c r="V76" s="179" t="str">
        <f t="array" ref="V76">IF($F76&lt;&gt;"", XLOOKUP($F76,Productos!$A$2:$A1001,Productos!O$2:O1001,"")*$G76,"")</f>
        <v/>
      </c>
      <c r="W76" s="179" t="str">
        <f t="array" ref="W76">IF($F76&lt;&gt;"",XLOOKUP($F76,Productos!$A:$A,Productos!P:P,"Revisar"),"")</f>
        <v/>
      </c>
      <c r="X76" s="179" t="str">
        <f t="array" ref="X76">IF($F76&lt;&gt;"", XLOOKUP($F76,Productos!$A$2:$A1001,Productos!Q$2:Q1001,"")*$G76,"")</f>
        <v/>
      </c>
      <c r="Y76" s="179" t="str">
        <f t="array" ref="Y76">IF($F76&lt;&gt;"",XLOOKUP($F76,Productos!$A:$A,Productos!R:R,"Revisar"),"")</f>
        <v/>
      </c>
      <c r="Z76" s="179" t="str">
        <f t="array" ref="Z76">IF($F76&lt;&gt;"", XLOOKUP($F76,Productos!$A$2:$A1001,Productos!S$2:S1001,"")*$G76,"")</f>
        <v/>
      </c>
      <c r="AA76" s="179" t="str">
        <f t="array" ref="AA76">IF($F76&lt;&gt;"",XLOOKUP($F76,Productos!$A:$A,Productos!T:T,"Revisar"),"")</f>
        <v/>
      </c>
      <c r="AB76" s="179" t="str">
        <f t="array" ref="AB76">IF($F76&lt;&gt;"", XLOOKUP($F76,Productos!$A$2:$A1001,Productos!U$2:U1001,"")*$G76,"")</f>
        <v/>
      </c>
      <c r="AC76" s="179" t="str">
        <f t="array" ref="AC76">IF($F76&lt;&gt;"",XLOOKUP($F76,Productos!$A:$A,Productos!V:V,"Revisar"),"")</f>
        <v/>
      </c>
      <c r="AD76" s="179" t="str">
        <f t="array" ref="AD76">IF($F76&lt;&gt;"", XLOOKUP($F76,Productos!$A$2:$A1001,Productos!W$2:W1001,"")*$G76,"")</f>
        <v/>
      </c>
      <c r="AE76" s="179" t="str">
        <f t="array" ref="AE76">IF($F76&lt;&gt;"",XLOOKUP($F76,Productos!$A:$A,Productos!X:X,"Revisar"),"")</f>
        <v/>
      </c>
      <c r="AF76" s="179" t="str">
        <f t="array" ref="AF76">IF($F76&lt;&gt;"", XLOOKUP($F76,Productos!$A$2:$A1001,Productos!Y$2:Y1001,"")*$G76,"")</f>
        <v/>
      </c>
      <c r="AG76" s="179" t="str">
        <f t="array" ref="AG76">IF($F76&lt;&gt;"",XLOOKUP($F76,Productos!$A:$A,Productos!Z:Z,"Revisar"),"")</f>
        <v/>
      </c>
      <c r="AH76" s="179" t="str">
        <f t="array" ref="AH76">IF($F76&lt;&gt;"", XLOOKUP($F76,Productos!$A$2:$A1001,Productos!AA$2:AA1001,"")*$G76,"")</f>
        <v/>
      </c>
      <c r="AI76" s="179" t="str">
        <f t="array" ref="AI76">IF($F76&lt;&gt;"",XLOOKUP($F76,Productos!$A:$A,Productos!AB:AB,"Revisar"),"")</f>
        <v/>
      </c>
      <c r="AJ76" s="179" t="str">
        <f t="array" ref="AJ76">IF($F76&lt;&gt;"", XLOOKUP($F76,Productos!$A$2:$A1001,Productos!AC$2:AC1001,"")*$G76,"")</f>
        <v/>
      </c>
      <c r="AK76" s="179" t="str">
        <f t="array" ref="AK76">IF($F76&lt;&gt;"",XLOOKUP($F76,Productos!$A:$A,Productos!AD:AD,"Revisar"),"")</f>
        <v/>
      </c>
      <c r="AL76" s="179" t="str">
        <f t="array" ref="AL76">IF($F76&lt;&gt;"", XLOOKUP($F76,Productos!$A$2:$A1001,Productos!AE$2:AE1001,"")*$G76,"")</f>
        <v/>
      </c>
      <c r="AM76" s="179" t="str">
        <f t="array" ref="AM76">IF($F76&lt;&gt;"",XLOOKUP($F76,Productos!$A:$A,Productos!AF:AF,"Revisar"),"")</f>
        <v/>
      </c>
      <c r="AN76" s="179" t="str">
        <f t="array" ref="AN76">IF($F76&lt;&gt;"", XLOOKUP($F76,Productos!$A$2:$A1001,Productos!AG$2:AG1001,"")*$G76,"")</f>
        <v/>
      </c>
      <c r="AO76" s="179" t="str">
        <f t="array" ref="AO76">IF($F76&lt;&gt;"",XLOOKUP($F76,Productos!$A:$A,Productos!AH:AH,"Revisar"),"")</f>
        <v/>
      </c>
      <c r="AP76" s="179" t="str">
        <f t="array" ref="AP76">IF($F76&lt;&gt;"", XLOOKUP($F76,Productos!$A$2:$A1001,Productos!AI$2:AI1001,"")*$G76,"")</f>
        <v/>
      </c>
      <c r="AQ76" s="179" t="str">
        <f t="array" ref="AQ76">IF($F76&lt;&gt;"",XLOOKUP($F76,Productos!$A:$A,Productos!AJ:AJ,"Revisar"),"")</f>
        <v/>
      </c>
      <c r="AR76" s="179" t="str">
        <f t="array" ref="AR76">IF($F76&lt;&gt;"", XLOOKUP($F76,Productos!$A$2:$A1001,Productos!AK$2:AK1001,"")*$G76,"")</f>
        <v/>
      </c>
      <c r="AS76" s="179" t="str">
        <f t="array" ref="AS76">IF($F76&lt;&gt;"",XLOOKUP($F76,Productos!$A:$A,Productos!AL:AL,"Revisar"),"")</f>
        <v/>
      </c>
      <c r="AT76" s="179" t="str">
        <f t="array" ref="AT76">IF($F76&lt;&gt;"", XLOOKUP($F76,Productos!$A$2:$A1001,Productos!AM$2:AM1001,"")*$G76,"")</f>
        <v/>
      </c>
      <c r="AU76" s="179" t="str">
        <f t="array" ref="AU76">IF($F76&lt;&gt;"",XLOOKUP($F76,Productos!$A:$A,Productos!AN:AN,"Revisar"),"")</f>
        <v/>
      </c>
      <c r="AV76" s="179" t="str">
        <f t="array" ref="AV76">IF($F76&lt;&gt;"", XLOOKUP($F76,Productos!$A$2:$A1001,Productos!AO$2:AO1001,"")*$G76,"")</f>
        <v/>
      </c>
      <c r="AW76" s="179" t="str">
        <f t="array" ref="AW76">IF($F76&lt;&gt;"",XLOOKUP($F76,Productos!$A:$A,Productos!AP:AP,"Revisar"),"")</f>
        <v/>
      </c>
      <c r="AX76" s="179" t="str">
        <f t="array" ref="AX76">IF($F76&lt;&gt;"", XLOOKUP($F76,Productos!$A$2:$A1001,Productos!AQ$2:AQ1001,"")*$G76,"")</f>
        <v/>
      </c>
      <c r="AY76" s="179" t="str">
        <f t="array" ref="AY76">IF($F76&lt;&gt;"",XLOOKUP($F76,Productos!$A:$A,Productos!AR:AR,"Revisar"),"")</f>
        <v/>
      </c>
      <c r="AZ76" s="179" t="str">
        <f t="array" ref="AZ76">IF($F76&lt;&gt;"", XLOOKUP($F76,Productos!$A$2:$A1001,Productos!AS$2:AS1001,"")*$G76,"")</f>
        <v/>
      </c>
      <c r="BA76" s="179" t="str">
        <f t="array" ref="BA76">IF($F76&lt;&gt;"",XLOOKUP($F76,Productos!$A:$A,Productos!AT:AT,"Revisar"),"")</f>
        <v/>
      </c>
      <c r="BB76" s="179" t="str">
        <f t="array" ref="BB76">IF($F76&lt;&gt;"", XLOOKUP($F76,Productos!$A$2:$A1001,Productos!AU$2:AU1001,"")*$G76,"")</f>
        <v/>
      </c>
      <c r="BC76" s="179" t="str">
        <f t="array" ref="BC76">IF($F76&lt;&gt;"",XLOOKUP($F76,Productos!$A:$A,Productos!AV:AV,"Revisar"),"")</f>
        <v/>
      </c>
      <c r="BD76" s="179" t="str">
        <f t="array" ref="BD76">IF($F76&lt;&gt;"", XLOOKUP($F76,Productos!$A$2:$A1001,Productos!AW$2:AW1001,"")*$G76,"")</f>
        <v/>
      </c>
      <c r="BE76" s="179" t="str">
        <f t="array" ref="BE76">IF($F76&lt;&gt;"",XLOOKUP($F76,Productos!$A:$A,Productos!AX:AX,"Revisar"),"")</f>
        <v/>
      </c>
      <c r="BF76" s="179" t="str">
        <f t="array" ref="BF76">IF($F76&lt;&gt;"", XLOOKUP($F76,Productos!$A$2:$A1001,Productos!AY$2:AY1001,"")*$G76,"")</f>
        <v/>
      </c>
      <c r="BG76" s="179" t="str">
        <f t="array" ref="BG76">IF($F76&lt;&gt;"",XLOOKUP($F76,Productos!$A:$A,Productos!AZ:AZ,"Revisar"),"")</f>
        <v/>
      </c>
      <c r="BH76" s="179" t="str">
        <f t="array" ref="BH76">IF($F76&lt;&gt;"", XLOOKUP($F76,Productos!$A$2:$A1001,Productos!BA$2:BA1001,"")*$G76,"")</f>
        <v/>
      </c>
      <c r="BI76" s="179" t="str">
        <f t="array" ref="BI76">IF($F76&lt;&gt;"",XLOOKUP($F76,Productos!$A:$A,Productos!BB:BB,"Revisar"),"")</f>
        <v/>
      </c>
      <c r="BJ76" s="179" t="str">
        <f t="array" ref="BJ76">IF($F76&lt;&gt;"", XLOOKUP($F76,Productos!$A$2:$A1001,Productos!BC$2:BC1001,"")*$G76,"")</f>
        <v/>
      </c>
      <c r="BK76" s="179" t="str">
        <f t="array" ref="BK76">IF($F76&lt;&gt;"",XLOOKUP($F76,Productos!$A:$A,Productos!BD:BD,"Revisar"),"")</f>
        <v/>
      </c>
      <c r="BL76" s="179" t="str">
        <f t="array" ref="BL76">IF($F76&lt;&gt;"", XLOOKUP($F76,Productos!$A$2:$A1001,Productos!BE$2:BE1001,"")*$G76,"")</f>
        <v/>
      </c>
      <c r="BM76" s="179" t="str">
        <f t="array" ref="BM76">IF($F76&lt;&gt;"",XLOOKUP($F76,Productos!$A:$A,Productos!BF:BF,"Revisar"),"")</f>
        <v/>
      </c>
      <c r="BN76" s="179" t="str">
        <f t="array" ref="BN76">IF($F76&lt;&gt;"", XLOOKUP($F76,Productos!$A$2:$A1001,Productos!BG$2:BG1001,"")*$G76,"")</f>
        <v/>
      </c>
      <c r="BO76" s="179" t="str">
        <f t="array" ref="BO76">IF($F76&lt;&gt;"",XLOOKUP($F76,Productos!$A:$A,Productos!BH:BH,"Revisar"),"")</f>
        <v/>
      </c>
      <c r="BP76" s="179" t="str">
        <f t="array" ref="BP76">IF($F76&lt;&gt;"", XLOOKUP($F76,Productos!$A$2:$A1001,Productos!BI$2:BI1001,"")*$G76,"")</f>
        <v/>
      </c>
      <c r="BQ76" s="179" t="str">
        <f t="array" ref="BQ76">IF($F76&lt;&gt;"",XLOOKUP($F76,Productos!$A:$A,Productos!BJ:BJ,"Revisar"),"")</f>
        <v/>
      </c>
      <c r="BR76" s="179" t="str">
        <f t="array" ref="BR76">IF($F76&lt;&gt;"", XLOOKUP($F76,Productos!$A$2:$A1001,Productos!BK$2:BK1001,"")*$G76,"")</f>
        <v/>
      </c>
      <c r="BS76" s="179" t="str">
        <f t="array" ref="BS76">IF($F76&lt;&gt;"",XLOOKUP($F76,Productos!$A:$A,Productos!BL:BL,"Revisar"),"")</f>
        <v/>
      </c>
      <c r="BT76" s="179" t="str">
        <f t="array" ref="BT76">IF($F76&lt;&gt;"", XLOOKUP($F76,Productos!$A$2:$A1001,Productos!BM$2:BM1001,"")*$G76,"")</f>
        <v/>
      </c>
      <c r="BU76" s="179" t="str">
        <f t="array" ref="BU76">IF($F76&lt;&gt;"",XLOOKUP($F76,Productos!$A:$A,Productos!BN:BN,"Revisar"),"")</f>
        <v/>
      </c>
      <c r="BV76" s="179" t="str">
        <f t="array" ref="BV76">IF($F76&lt;&gt;"", XLOOKUP($F76,Productos!$A$2:$A1001,Productos!BO$2:BO1001,"")*$G76,"")</f>
        <v/>
      </c>
      <c r="BW76" s="179" t="str">
        <f t="array" ref="BW76">IF($F76&lt;&gt;"",XLOOKUP($F76,Productos!$A:$A,Productos!BP:BP,"Revisar"),"")</f>
        <v/>
      </c>
      <c r="BX76" s="179" t="str">
        <f t="array" ref="BX76">IF($F76&lt;&gt;"", XLOOKUP($F76,Productos!$A$2:$A1001,Productos!BQ$2:BQ1001,"")*$G76,"")</f>
        <v/>
      </c>
      <c r="BY76" s="179" t="str">
        <f t="array" ref="BY76">IF($F76&lt;&gt;"",XLOOKUP($F76,Productos!$A:$A,Productos!BR:BR,"Revisar"),"")</f>
        <v/>
      </c>
      <c r="BZ76" s="179" t="str">
        <f t="array" ref="BZ76">IF($F76&lt;&gt;"", XLOOKUP($F76,Productos!$A$2:$A1001,Productos!BS$2:BS1001,"")*$G76,"")</f>
        <v/>
      </c>
    </row>
    <row r="77">
      <c r="A77" s="180"/>
      <c r="B77" s="181"/>
      <c r="C77" s="182"/>
      <c r="D77" s="182"/>
      <c r="E77" s="185"/>
      <c r="F77" s="186"/>
      <c r="G77" s="187"/>
      <c r="H77" s="186"/>
      <c r="I77" s="179" t="str">
        <f t="array" ref="I77">IF($F77&lt;&gt;"",XLOOKUP($F77,Productos!$A:$A,Productos!B:B,"Revisar"),"")</f>
        <v/>
      </c>
      <c r="J77" s="179" t="str">
        <f t="array" ref="J77">IF($F77&lt;&gt;"", XLOOKUP($F77,Productos!$A$2:$A1001,Productos!C$2:C1001,"")*$G77,"")</f>
        <v/>
      </c>
      <c r="K77" s="179" t="str">
        <f t="array" ref="K77">IF($F77&lt;&gt;"",XLOOKUP($F77,Productos!$A:$A,Productos!D:D,"Revisar"),"")</f>
        <v/>
      </c>
      <c r="L77" s="179" t="str">
        <f t="array" ref="L77">IF($F77&lt;&gt;"", XLOOKUP($F77,Productos!$A$2:$A1001,Productos!E$2:E1001,"")*$G77,"")</f>
        <v/>
      </c>
      <c r="M77" s="179" t="str">
        <f t="array" ref="M77">IF($F77&lt;&gt;"",XLOOKUP($F77,Productos!$A:$A,Productos!F:F,"Revisar"),"")</f>
        <v/>
      </c>
      <c r="N77" s="179" t="str">
        <f t="array" ref="N77">IF($F77&lt;&gt;"", XLOOKUP($F77,Productos!$A$2:$A1001,Productos!G$2:G1001,"")*$G77,"")</f>
        <v/>
      </c>
      <c r="O77" s="179" t="str">
        <f t="array" ref="O77">IF($F77&lt;&gt;"",XLOOKUP($F77,Productos!$A:$A,Productos!H:H,"Revisar"),"")</f>
        <v/>
      </c>
      <c r="P77" s="179" t="str">
        <f t="array" ref="P77">IF($F77&lt;&gt;"", XLOOKUP($F77,Productos!$A$2:$A1001,Productos!I$2:I1001,"")*$G77,"")</f>
        <v/>
      </c>
      <c r="Q77" s="179" t="str">
        <f t="array" ref="Q77">IF($F77&lt;&gt;"",XLOOKUP($F77,Productos!$A:$A,Productos!J:J,"Revisar"),"")</f>
        <v/>
      </c>
      <c r="R77" s="179" t="str">
        <f t="array" ref="R77">IF($F77&lt;&gt;"", XLOOKUP($F77,Productos!$A$2:$A1001,Productos!K$2:K1001,"")*$G77,"")</f>
        <v/>
      </c>
      <c r="S77" s="179" t="str">
        <f t="array" ref="S77">IF($F77&lt;&gt;"",XLOOKUP($F77,Productos!$A:$A,Productos!L:L,"Revisar"),"")</f>
        <v/>
      </c>
      <c r="T77" s="179" t="str">
        <f t="array" ref="T77">IF($F77&lt;&gt;"", XLOOKUP($F77,Productos!$A$2:$A1001,Productos!M$2:M1001,"")*$G77,"")</f>
        <v/>
      </c>
      <c r="U77" s="179" t="str">
        <f t="array" ref="U77">IF($F77&lt;&gt;"",XLOOKUP($F77,Productos!$A:$A,Productos!N:N,"Revisar"),"")</f>
        <v/>
      </c>
      <c r="V77" s="179" t="str">
        <f t="array" ref="V77">IF($F77&lt;&gt;"", XLOOKUP($F77,Productos!$A$2:$A1001,Productos!O$2:O1001,"")*$G77,"")</f>
        <v/>
      </c>
      <c r="W77" s="179" t="str">
        <f t="array" ref="W77">IF($F77&lt;&gt;"",XLOOKUP($F77,Productos!$A:$A,Productos!P:P,"Revisar"),"")</f>
        <v/>
      </c>
      <c r="X77" s="179" t="str">
        <f t="array" ref="X77">IF($F77&lt;&gt;"", XLOOKUP($F77,Productos!$A$2:$A1001,Productos!Q$2:Q1001,"")*$G77,"")</f>
        <v/>
      </c>
      <c r="Y77" s="179" t="str">
        <f t="array" ref="Y77">IF($F77&lt;&gt;"",XLOOKUP($F77,Productos!$A:$A,Productos!R:R,"Revisar"),"")</f>
        <v/>
      </c>
      <c r="Z77" s="179" t="str">
        <f t="array" ref="Z77">IF($F77&lt;&gt;"", XLOOKUP($F77,Productos!$A$2:$A1001,Productos!S$2:S1001,"")*$G77,"")</f>
        <v/>
      </c>
      <c r="AA77" s="179" t="str">
        <f t="array" ref="AA77">IF($F77&lt;&gt;"",XLOOKUP($F77,Productos!$A:$A,Productos!T:T,"Revisar"),"")</f>
        <v/>
      </c>
      <c r="AB77" s="179" t="str">
        <f t="array" ref="AB77">IF($F77&lt;&gt;"", XLOOKUP($F77,Productos!$A$2:$A1001,Productos!U$2:U1001,"")*$G77,"")</f>
        <v/>
      </c>
      <c r="AC77" s="179" t="str">
        <f t="array" ref="AC77">IF($F77&lt;&gt;"",XLOOKUP($F77,Productos!$A:$A,Productos!V:V,"Revisar"),"")</f>
        <v/>
      </c>
      <c r="AD77" s="179" t="str">
        <f t="array" ref="AD77">IF($F77&lt;&gt;"", XLOOKUP($F77,Productos!$A$2:$A1001,Productos!W$2:W1001,"")*$G77,"")</f>
        <v/>
      </c>
      <c r="AE77" s="179" t="str">
        <f t="array" ref="AE77">IF($F77&lt;&gt;"",XLOOKUP($F77,Productos!$A:$A,Productos!X:X,"Revisar"),"")</f>
        <v/>
      </c>
      <c r="AF77" s="179" t="str">
        <f t="array" ref="AF77">IF($F77&lt;&gt;"", XLOOKUP($F77,Productos!$A$2:$A1001,Productos!Y$2:Y1001,"")*$G77,"")</f>
        <v/>
      </c>
      <c r="AG77" s="179" t="str">
        <f t="array" ref="AG77">IF($F77&lt;&gt;"",XLOOKUP($F77,Productos!$A:$A,Productos!Z:Z,"Revisar"),"")</f>
        <v/>
      </c>
      <c r="AH77" s="179" t="str">
        <f t="array" ref="AH77">IF($F77&lt;&gt;"", XLOOKUP($F77,Productos!$A$2:$A1001,Productos!AA$2:AA1001,"")*$G77,"")</f>
        <v/>
      </c>
      <c r="AI77" s="179" t="str">
        <f t="array" ref="AI77">IF($F77&lt;&gt;"",XLOOKUP($F77,Productos!$A:$A,Productos!AB:AB,"Revisar"),"")</f>
        <v/>
      </c>
      <c r="AJ77" s="179" t="str">
        <f t="array" ref="AJ77">IF($F77&lt;&gt;"", XLOOKUP($F77,Productos!$A$2:$A1001,Productos!AC$2:AC1001,"")*$G77,"")</f>
        <v/>
      </c>
      <c r="AK77" s="179" t="str">
        <f t="array" ref="AK77">IF($F77&lt;&gt;"",XLOOKUP($F77,Productos!$A:$A,Productos!AD:AD,"Revisar"),"")</f>
        <v/>
      </c>
      <c r="AL77" s="179" t="str">
        <f t="array" ref="AL77">IF($F77&lt;&gt;"", XLOOKUP($F77,Productos!$A$2:$A1001,Productos!AE$2:AE1001,"")*$G77,"")</f>
        <v/>
      </c>
      <c r="AM77" s="179" t="str">
        <f t="array" ref="AM77">IF($F77&lt;&gt;"",XLOOKUP($F77,Productos!$A:$A,Productos!AF:AF,"Revisar"),"")</f>
        <v/>
      </c>
      <c r="AN77" s="179" t="str">
        <f t="array" ref="AN77">IF($F77&lt;&gt;"", XLOOKUP($F77,Productos!$A$2:$A1001,Productos!AG$2:AG1001,"")*$G77,"")</f>
        <v/>
      </c>
      <c r="AO77" s="179" t="str">
        <f t="array" ref="AO77">IF($F77&lt;&gt;"",XLOOKUP($F77,Productos!$A:$A,Productos!AH:AH,"Revisar"),"")</f>
        <v/>
      </c>
      <c r="AP77" s="179" t="str">
        <f t="array" ref="AP77">IF($F77&lt;&gt;"", XLOOKUP($F77,Productos!$A$2:$A1001,Productos!AI$2:AI1001,"")*$G77,"")</f>
        <v/>
      </c>
      <c r="AQ77" s="179" t="str">
        <f t="array" ref="AQ77">IF($F77&lt;&gt;"",XLOOKUP($F77,Productos!$A:$A,Productos!AJ:AJ,"Revisar"),"")</f>
        <v/>
      </c>
      <c r="AR77" s="179" t="str">
        <f t="array" ref="AR77">IF($F77&lt;&gt;"", XLOOKUP($F77,Productos!$A$2:$A1001,Productos!AK$2:AK1001,"")*$G77,"")</f>
        <v/>
      </c>
      <c r="AS77" s="179" t="str">
        <f t="array" ref="AS77">IF($F77&lt;&gt;"",XLOOKUP($F77,Productos!$A:$A,Productos!AL:AL,"Revisar"),"")</f>
        <v/>
      </c>
      <c r="AT77" s="179" t="str">
        <f t="array" ref="AT77">IF($F77&lt;&gt;"", XLOOKUP($F77,Productos!$A$2:$A1001,Productos!AM$2:AM1001,"")*$G77,"")</f>
        <v/>
      </c>
      <c r="AU77" s="179" t="str">
        <f t="array" ref="AU77">IF($F77&lt;&gt;"",XLOOKUP($F77,Productos!$A:$A,Productos!AN:AN,"Revisar"),"")</f>
        <v/>
      </c>
      <c r="AV77" s="179" t="str">
        <f t="array" ref="AV77">IF($F77&lt;&gt;"", XLOOKUP($F77,Productos!$A$2:$A1001,Productos!AO$2:AO1001,"")*$G77,"")</f>
        <v/>
      </c>
      <c r="AW77" s="179" t="str">
        <f t="array" ref="AW77">IF($F77&lt;&gt;"",XLOOKUP($F77,Productos!$A:$A,Productos!AP:AP,"Revisar"),"")</f>
        <v/>
      </c>
      <c r="AX77" s="179" t="str">
        <f t="array" ref="AX77">IF($F77&lt;&gt;"", XLOOKUP($F77,Productos!$A$2:$A1001,Productos!AQ$2:AQ1001,"")*$G77,"")</f>
        <v/>
      </c>
      <c r="AY77" s="179" t="str">
        <f t="array" ref="AY77">IF($F77&lt;&gt;"",XLOOKUP($F77,Productos!$A:$A,Productos!AR:AR,"Revisar"),"")</f>
        <v/>
      </c>
      <c r="AZ77" s="179" t="str">
        <f t="array" ref="AZ77">IF($F77&lt;&gt;"", XLOOKUP($F77,Productos!$A$2:$A1001,Productos!AS$2:AS1001,"")*$G77,"")</f>
        <v/>
      </c>
      <c r="BA77" s="179" t="str">
        <f t="array" ref="BA77">IF($F77&lt;&gt;"",XLOOKUP($F77,Productos!$A:$A,Productos!AT:AT,"Revisar"),"")</f>
        <v/>
      </c>
      <c r="BB77" s="179" t="str">
        <f t="array" ref="BB77">IF($F77&lt;&gt;"", XLOOKUP($F77,Productos!$A$2:$A1001,Productos!AU$2:AU1001,"")*$G77,"")</f>
        <v/>
      </c>
      <c r="BC77" s="179" t="str">
        <f t="array" ref="BC77">IF($F77&lt;&gt;"",XLOOKUP($F77,Productos!$A:$A,Productos!AV:AV,"Revisar"),"")</f>
        <v/>
      </c>
      <c r="BD77" s="179" t="str">
        <f t="array" ref="BD77">IF($F77&lt;&gt;"", XLOOKUP($F77,Productos!$A$2:$A1001,Productos!AW$2:AW1001,"")*$G77,"")</f>
        <v/>
      </c>
      <c r="BE77" s="179" t="str">
        <f t="array" ref="BE77">IF($F77&lt;&gt;"",XLOOKUP($F77,Productos!$A:$A,Productos!AX:AX,"Revisar"),"")</f>
        <v/>
      </c>
      <c r="BF77" s="179" t="str">
        <f t="array" ref="BF77">IF($F77&lt;&gt;"", XLOOKUP($F77,Productos!$A$2:$A1001,Productos!AY$2:AY1001,"")*$G77,"")</f>
        <v/>
      </c>
      <c r="BG77" s="179" t="str">
        <f t="array" ref="BG77">IF($F77&lt;&gt;"",XLOOKUP($F77,Productos!$A:$A,Productos!AZ:AZ,"Revisar"),"")</f>
        <v/>
      </c>
      <c r="BH77" s="179" t="str">
        <f t="array" ref="BH77">IF($F77&lt;&gt;"", XLOOKUP($F77,Productos!$A$2:$A1001,Productos!BA$2:BA1001,"")*$G77,"")</f>
        <v/>
      </c>
      <c r="BI77" s="179" t="str">
        <f t="array" ref="BI77">IF($F77&lt;&gt;"",XLOOKUP($F77,Productos!$A:$A,Productos!BB:BB,"Revisar"),"")</f>
        <v/>
      </c>
      <c r="BJ77" s="179" t="str">
        <f t="array" ref="BJ77">IF($F77&lt;&gt;"", XLOOKUP($F77,Productos!$A$2:$A1001,Productos!BC$2:BC1001,"")*$G77,"")</f>
        <v/>
      </c>
      <c r="BK77" s="179" t="str">
        <f t="array" ref="BK77">IF($F77&lt;&gt;"",XLOOKUP($F77,Productos!$A:$A,Productos!BD:BD,"Revisar"),"")</f>
        <v/>
      </c>
      <c r="BL77" s="179" t="str">
        <f t="array" ref="BL77">IF($F77&lt;&gt;"", XLOOKUP($F77,Productos!$A$2:$A1001,Productos!BE$2:BE1001,"")*$G77,"")</f>
        <v/>
      </c>
      <c r="BM77" s="179" t="str">
        <f t="array" ref="BM77">IF($F77&lt;&gt;"",XLOOKUP($F77,Productos!$A:$A,Productos!BF:BF,"Revisar"),"")</f>
        <v/>
      </c>
      <c r="BN77" s="179" t="str">
        <f t="array" ref="BN77">IF($F77&lt;&gt;"", XLOOKUP($F77,Productos!$A$2:$A1001,Productos!BG$2:BG1001,"")*$G77,"")</f>
        <v/>
      </c>
      <c r="BO77" s="179" t="str">
        <f t="array" ref="BO77">IF($F77&lt;&gt;"",XLOOKUP($F77,Productos!$A:$A,Productos!BH:BH,"Revisar"),"")</f>
        <v/>
      </c>
      <c r="BP77" s="179" t="str">
        <f t="array" ref="BP77">IF($F77&lt;&gt;"", XLOOKUP($F77,Productos!$A$2:$A1001,Productos!BI$2:BI1001,"")*$G77,"")</f>
        <v/>
      </c>
      <c r="BQ77" s="179" t="str">
        <f t="array" ref="BQ77">IF($F77&lt;&gt;"",XLOOKUP($F77,Productos!$A:$A,Productos!BJ:BJ,"Revisar"),"")</f>
        <v/>
      </c>
      <c r="BR77" s="179" t="str">
        <f t="array" ref="BR77">IF($F77&lt;&gt;"", XLOOKUP($F77,Productos!$A$2:$A1001,Productos!BK$2:BK1001,"")*$G77,"")</f>
        <v/>
      </c>
      <c r="BS77" s="179" t="str">
        <f t="array" ref="BS77">IF($F77&lt;&gt;"",XLOOKUP($F77,Productos!$A:$A,Productos!BL:BL,"Revisar"),"")</f>
        <v/>
      </c>
      <c r="BT77" s="179" t="str">
        <f t="array" ref="BT77">IF($F77&lt;&gt;"", XLOOKUP($F77,Productos!$A$2:$A1001,Productos!BM$2:BM1001,"")*$G77,"")</f>
        <v/>
      </c>
      <c r="BU77" s="179" t="str">
        <f t="array" ref="BU77">IF($F77&lt;&gt;"",XLOOKUP($F77,Productos!$A:$A,Productos!BN:BN,"Revisar"),"")</f>
        <v/>
      </c>
      <c r="BV77" s="179" t="str">
        <f t="array" ref="BV77">IF($F77&lt;&gt;"", XLOOKUP($F77,Productos!$A$2:$A1001,Productos!BO$2:BO1001,"")*$G77,"")</f>
        <v/>
      </c>
      <c r="BW77" s="179" t="str">
        <f t="array" ref="BW77">IF($F77&lt;&gt;"",XLOOKUP($F77,Productos!$A:$A,Productos!BP:BP,"Revisar"),"")</f>
        <v/>
      </c>
      <c r="BX77" s="179" t="str">
        <f t="array" ref="BX77">IF($F77&lt;&gt;"", XLOOKUP($F77,Productos!$A$2:$A1001,Productos!BQ$2:BQ1001,"")*$G77,"")</f>
        <v/>
      </c>
      <c r="BY77" s="179" t="str">
        <f t="array" ref="BY77">IF($F77&lt;&gt;"",XLOOKUP($F77,Productos!$A:$A,Productos!BR:BR,"Revisar"),"")</f>
        <v/>
      </c>
      <c r="BZ77" s="179" t="str">
        <f t="array" ref="BZ77">IF($F77&lt;&gt;"", XLOOKUP($F77,Productos!$A$2:$A1001,Productos!BS$2:BS1001,"")*$G77,"")</f>
        <v/>
      </c>
    </row>
    <row r="78">
      <c r="A78" s="180"/>
      <c r="B78" s="181"/>
      <c r="C78" s="182"/>
      <c r="D78" s="182"/>
      <c r="E78" s="185"/>
      <c r="F78" s="186"/>
      <c r="G78" s="187"/>
      <c r="H78" s="186"/>
      <c r="I78" s="179" t="str">
        <f t="array" ref="I78">IF($F78&lt;&gt;"",XLOOKUP($F78,Productos!$A:$A,Productos!B:B,"Revisar"),"")</f>
        <v/>
      </c>
      <c r="J78" s="179" t="str">
        <f t="array" ref="J78">IF($F78&lt;&gt;"", XLOOKUP($F78,Productos!$A$2:$A1001,Productos!C$2:C1001,"")*$G78,"")</f>
        <v/>
      </c>
      <c r="K78" s="179" t="str">
        <f t="array" ref="K78">IF($F78&lt;&gt;"",XLOOKUP($F78,Productos!$A:$A,Productos!D:D,"Revisar"),"")</f>
        <v/>
      </c>
      <c r="L78" s="179" t="str">
        <f t="array" ref="L78">IF($F78&lt;&gt;"", XLOOKUP($F78,Productos!$A$2:$A1001,Productos!E$2:E1001,"")*$G78,"")</f>
        <v/>
      </c>
      <c r="M78" s="179" t="str">
        <f t="array" ref="M78">IF($F78&lt;&gt;"",XLOOKUP($F78,Productos!$A:$A,Productos!F:F,"Revisar"),"")</f>
        <v/>
      </c>
      <c r="N78" s="179" t="str">
        <f t="array" ref="N78">IF($F78&lt;&gt;"", XLOOKUP($F78,Productos!$A$2:$A1001,Productos!G$2:G1001,"")*$G78,"")</f>
        <v/>
      </c>
      <c r="O78" s="179" t="str">
        <f t="array" ref="O78">IF($F78&lt;&gt;"",XLOOKUP($F78,Productos!$A:$A,Productos!H:H,"Revisar"),"")</f>
        <v/>
      </c>
      <c r="P78" s="179" t="str">
        <f t="array" ref="P78">IF($F78&lt;&gt;"", XLOOKUP($F78,Productos!$A$2:$A1001,Productos!I$2:I1001,"")*$G78,"")</f>
        <v/>
      </c>
      <c r="Q78" s="179" t="str">
        <f t="array" ref="Q78">IF($F78&lt;&gt;"",XLOOKUP($F78,Productos!$A:$A,Productos!J:J,"Revisar"),"")</f>
        <v/>
      </c>
      <c r="R78" s="179" t="str">
        <f t="array" ref="R78">IF($F78&lt;&gt;"", XLOOKUP($F78,Productos!$A$2:$A1001,Productos!K$2:K1001,"")*$G78,"")</f>
        <v/>
      </c>
      <c r="S78" s="179" t="str">
        <f t="array" ref="S78">IF($F78&lt;&gt;"",XLOOKUP($F78,Productos!$A:$A,Productos!L:L,"Revisar"),"")</f>
        <v/>
      </c>
      <c r="T78" s="179" t="str">
        <f t="array" ref="T78">IF($F78&lt;&gt;"", XLOOKUP($F78,Productos!$A$2:$A1001,Productos!M$2:M1001,"")*$G78,"")</f>
        <v/>
      </c>
      <c r="U78" s="179" t="str">
        <f t="array" ref="U78">IF($F78&lt;&gt;"",XLOOKUP($F78,Productos!$A:$A,Productos!N:N,"Revisar"),"")</f>
        <v/>
      </c>
      <c r="V78" s="179" t="str">
        <f t="array" ref="V78">IF($F78&lt;&gt;"", XLOOKUP($F78,Productos!$A$2:$A1001,Productos!O$2:O1001,"")*$G78,"")</f>
        <v/>
      </c>
      <c r="W78" s="179" t="str">
        <f t="array" ref="W78">IF($F78&lt;&gt;"",XLOOKUP($F78,Productos!$A:$A,Productos!P:P,"Revisar"),"")</f>
        <v/>
      </c>
      <c r="X78" s="179" t="str">
        <f t="array" ref="X78">IF($F78&lt;&gt;"", XLOOKUP($F78,Productos!$A$2:$A1001,Productos!Q$2:Q1001,"")*$G78,"")</f>
        <v/>
      </c>
      <c r="Y78" s="179" t="str">
        <f t="array" ref="Y78">IF($F78&lt;&gt;"",XLOOKUP($F78,Productos!$A:$A,Productos!R:R,"Revisar"),"")</f>
        <v/>
      </c>
      <c r="Z78" s="179" t="str">
        <f t="array" ref="Z78">IF($F78&lt;&gt;"", XLOOKUP($F78,Productos!$A$2:$A1001,Productos!S$2:S1001,"")*$G78,"")</f>
        <v/>
      </c>
      <c r="AA78" s="179" t="str">
        <f t="array" ref="AA78">IF($F78&lt;&gt;"",XLOOKUP($F78,Productos!$A:$A,Productos!T:T,"Revisar"),"")</f>
        <v/>
      </c>
      <c r="AB78" s="179" t="str">
        <f t="array" ref="AB78">IF($F78&lt;&gt;"", XLOOKUP($F78,Productos!$A$2:$A1001,Productos!U$2:U1001,"")*$G78,"")</f>
        <v/>
      </c>
      <c r="AC78" s="179" t="str">
        <f t="array" ref="AC78">IF($F78&lt;&gt;"",XLOOKUP($F78,Productos!$A:$A,Productos!V:V,"Revisar"),"")</f>
        <v/>
      </c>
      <c r="AD78" s="179" t="str">
        <f t="array" ref="AD78">IF($F78&lt;&gt;"", XLOOKUP($F78,Productos!$A$2:$A1001,Productos!W$2:W1001,"")*$G78,"")</f>
        <v/>
      </c>
      <c r="AE78" s="179" t="str">
        <f t="array" ref="AE78">IF($F78&lt;&gt;"",XLOOKUP($F78,Productos!$A:$A,Productos!X:X,"Revisar"),"")</f>
        <v/>
      </c>
      <c r="AF78" s="179" t="str">
        <f t="array" ref="AF78">IF($F78&lt;&gt;"", XLOOKUP($F78,Productos!$A$2:$A1001,Productos!Y$2:Y1001,"")*$G78,"")</f>
        <v/>
      </c>
      <c r="AG78" s="179" t="str">
        <f t="array" ref="AG78">IF($F78&lt;&gt;"",XLOOKUP($F78,Productos!$A:$A,Productos!Z:Z,"Revisar"),"")</f>
        <v/>
      </c>
      <c r="AH78" s="179" t="str">
        <f t="array" ref="AH78">IF($F78&lt;&gt;"", XLOOKUP($F78,Productos!$A$2:$A1001,Productos!AA$2:AA1001,"")*$G78,"")</f>
        <v/>
      </c>
      <c r="AI78" s="179" t="str">
        <f t="array" ref="AI78">IF($F78&lt;&gt;"",XLOOKUP($F78,Productos!$A:$A,Productos!AB:AB,"Revisar"),"")</f>
        <v/>
      </c>
      <c r="AJ78" s="179" t="str">
        <f t="array" ref="AJ78">IF($F78&lt;&gt;"", XLOOKUP($F78,Productos!$A$2:$A1001,Productos!AC$2:AC1001,"")*$G78,"")</f>
        <v/>
      </c>
      <c r="AK78" s="179" t="str">
        <f t="array" ref="AK78">IF($F78&lt;&gt;"",XLOOKUP($F78,Productos!$A:$A,Productos!AD:AD,"Revisar"),"")</f>
        <v/>
      </c>
      <c r="AL78" s="179" t="str">
        <f t="array" ref="AL78">IF($F78&lt;&gt;"", XLOOKUP($F78,Productos!$A$2:$A1001,Productos!AE$2:AE1001,"")*$G78,"")</f>
        <v/>
      </c>
      <c r="AM78" s="179" t="str">
        <f t="array" ref="AM78">IF($F78&lt;&gt;"",XLOOKUP($F78,Productos!$A:$A,Productos!AF:AF,"Revisar"),"")</f>
        <v/>
      </c>
      <c r="AN78" s="179" t="str">
        <f t="array" ref="AN78">IF($F78&lt;&gt;"", XLOOKUP($F78,Productos!$A$2:$A1001,Productos!AG$2:AG1001,"")*$G78,"")</f>
        <v/>
      </c>
      <c r="AO78" s="179" t="str">
        <f t="array" ref="AO78">IF($F78&lt;&gt;"",XLOOKUP($F78,Productos!$A:$A,Productos!AH:AH,"Revisar"),"")</f>
        <v/>
      </c>
      <c r="AP78" s="179" t="str">
        <f t="array" ref="AP78">IF($F78&lt;&gt;"", XLOOKUP($F78,Productos!$A$2:$A1001,Productos!AI$2:AI1001,"")*$G78,"")</f>
        <v/>
      </c>
      <c r="AQ78" s="179" t="str">
        <f t="array" ref="AQ78">IF($F78&lt;&gt;"",XLOOKUP($F78,Productos!$A:$A,Productos!AJ:AJ,"Revisar"),"")</f>
        <v/>
      </c>
      <c r="AR78" s="179" t="str">
        <f t="array" ref="AR78">IF($F78&lt;&gt;"", XLOOKUP($F78,Productos!$A$2:$A1001,Productos!AK$2:AK1001,"")*$G78,"")</f>
        <v/>
      </c>
      <c r="AS78" s="179" t="str">
        <f t="array" ref="AS78">IF($F78&lt;&gt;"",XLOOKUP($F78,Productos!$A:$A,Productos!AL:AL,"Revisar"),"")</f>
        <v/>
      </c>
      <c r="AT78" s="179" t="str">
        <f t="array" ref="AT78">IF($F78&lt;&gt;"", XLOOKUP($F78,Productos!$A$2:$A1001,Productos!AM$2:AM1001,"")*$G78,"")</f>
        <v/>
      </c>
      <c r="AU78" s="179" t="str">
        <f t="array" ref="AU78">IF($F78&lt;&gt;"",XLOOKUP($F78,Productos!$A:$A,Productos!AN:AN,"Revisar"),"")</f>
        <v/>
      </c>
      <c r="AV78" s="179" t="str">
        <f t="array" ref="AV78">IF($F78&lt;&gt;"", XLOOKUP($F78,Productos!$A$2:$A1001,Productos!AO$2:AO1001,"")*$G78,"")</f>
        <v/>
      </c>
      <c r="AW78" s="179" t="str">
        <f t="array" ref="AW78">IF($F78&lt;&gt;"",XLOOKUP($F78,Productos!$A:$A,Productos!AP:AP,"Revisar"),"")</f>
        <v/>
      </c>
      <c r="AX78" s="179" t="str">
        <f t="array" ref="AX78">IF($F78&lt;&gt;"", XLOOKUP($F78,Productos!$A$2:$A1001,Productos!AQ$2:AQ1001,"")*$G78,"")</f>
        <v/>
      </c>
      <c r="AY78" s="179" t="str">
        <f t="array" ref="AY78">IF($F78&lt;&gt;"",XLOOKUP($F78,Productos!$A:$A,Productos!AR:AR,"Revisar"),"")</f>
        <v/>
      </c>
      <c r="AZ78" s="179" t="str">
        <f t="array" ref="AZ78">IF($F78&lt;&gt;"", XLOOKUP($F78,Productos!$A$2:$A1001,Productos!AS$2:AS1001,"")*$G78,"")</f>
        <v/>
      </c>
      <c r="BA78" s="179" t="str">
        <f t="array" ref="BA78">IF($F78&lt;&gt;"",XLOOKUP($F78,Productos!$A:$A,Productos!AT:AT,"Revisar"),"")</f>
        <v/>
      </c>
      <c r="BB78" s="179" t="str">
        <f t="array" ref="BB78">IF($F78&lt;&gt;"", XLOOKUP($F78,Productos!$A$2:$A1001,Productos!AU$2:AU1001,"")*$G78,"")</f>
        <v/>
      </c>
      <c r="BC78" s="179" t="str">
        <f t="array" ref="BC78">IF($F78&lt;&gt;"",XLOOKUP($F78,Productos!$A:$A,Productos!AV:AV,"Revisar"),"")</f>
        <v/>
      </c>
      <c r="BD78" s="179" t="str">
        <f t="array" ref="BD78">IF($F78&lt;&gt;"", XLOOKUP($F78,Productos!$A$2:$A1001,Productos!AW$2:AW1001,"")*$G78,"")</f>
        <v/>
      </c>
      <c r="BE78" s="179" t="str">
        <f t="array" ref="BE78">IF($F78&lt;&gt;"",XLOOKUP($F78,Productos!$A:$A,Productos!AX:AX,"Revisar"),"")</f>
        <v/>
      </c>
      <c r="BF78" s="179" t="str">
        <f t="array" ref="BF78">IF($F78&lt;&gt;"", XLOOKUP($F78,Productos!$A$2:$A1001,Productos!AY$2:AY1001,"")*$G78,"")</f>
        <v/>
      </c>
      <c r="BG78" s="179" t="str">
        <f t="array" ref="BG78">IF($F78&lt;&gt;"",XLOOKUP($F78,Productos!$A:$A,Productos!AZ:AZ,"Revisar"),"")</f>
        <v/>
      </c>
      <c r="BH78" s="179" t="str">
        <f t="array" ref="BH78">IF($F78&lt;&gt;"", XLOOKUP($F78,Productos!$A$2:$A1001,Productos!BA$2:BA1001,"")*$G78,"")</f>
        <v/>
      </c>
      <c r="BI78" s="179" t="str">
        <f t="array" ref="BI78">IF($F78&lt;&gt;"",XLOOKUP($F78,Productos!$A:$A,Productos!BB:BB,"Revisar"),"")</f>
        <v/>
      </c>
      <c r="BJ78" s="179" t="str">
        <f t="array" ref="BJ78">IF($F78&lt;&gt;"", XLOOKUP($F78,Productos!$A$2:$A1001,Productos!BC$2:BC1001,"")*$G78,"")</f>
        <v/>
      </c>
      <c r="BK78" s="179" t="str">
        <f t="array" ref="BK78">IF($F78&lt;&gt;"",XLOOKUP($F78,Productos!$A:$A,Productos!BD:BD,"Revisar"),"")</f>
        <v/>
      </c>
      <c r="BL78" s="179" t="str">
        <f t="array" ref="BL78">IF($F78&lt;&gt;"", XLOOKUP($F78,Productos!$A$2:$A1001,Productos!BE$2:BE1001,"")*$G78,"")</f>
        <v/>
      </c>
      <c r="BM78" s="179" t="str">
        <f t="array" ref="BM78">IF($F78&lt;&gt;"",XLOOKUP($F78,Productos!$A:$A,Productos!BF:BF,"Revisar"),"")</f>
        <v/>
      </c>
      <c r="BN78" s="179" t="str">
        <f t="array" ref="BN78">IF($F78&lt;&gt;"", XLOOKUP($F78,Productos!$A$2:$A1001,Productos!BG$2:BG1001,"")*$G78,"")</f>
        <v/>
      </c>
      <c r="BO78" s="179" t="str">
        <f t="array" ref="BO78">IF($F78&lt;&gt;"",XLOOKUP($F78,Productos!$A:$A,Productos!BH:BH,"Revisar"),"")</f>
        <v/>
      </c>
      <c r="BP78" s="179" t="str">
        <f t="array" ref="BP78">IF($F78&lt;&gt;"", XLOOKUP($F78,Productos!$A$2:$A1001,Productos!BI$2:BI1001,"")*$G78,"")</f>
        <v/>
      </c>
      <c r="BQ78" s="179" t="str">
        <f t="array" ref="BQ78">IF($F78&lt;&gt;"",XLOOKUP($F78,Productos!$A:$A,Productos!BJ:BJ,"Revisar"),"")</f>
        <v/>
      </c>
      <c r="BR78" s="179" t="str">
        <f t="array" ref="BR78">IF($F78&lt;&gt;"", XLOOKUP($F78,Productos!$A$2:$A1001,Productos!BK$2:BK1001,"")*$G78,"")</f>
        <v/>
      </c>
      <c r="BS78" s="179" t="str">
        <f t="array" ref="BS78">IF($F78&lt;&gt;"",XLOOKUP($F78,Productos!$A:$A,Productos!BL:BL,"Revisar"),"")</f>
        <v/>
      </c>
      <c r="BT78" s="179" t="str">
        <f t="array" ref="BT78">IF($F78&lt;&gt;"", XLOOKUP($F78,Productos!$A$2:$A1001,Productos!BM$2:BM1001,"")*$G78,"")</f>
        <v/>
      </c>
      <c r="BU78" s="179" t="str">
        <f t="array" ref="BU78">IF($F78&lt;&gt;"",XLOOKUP($F78,Productos!$A:$A,Productos!BN:BN,"Revisar"),"")</f>
        <v/>
      </c>
      <c r="BV78" s="179" t="str">
        <f t="array" ref="BV78">IF($F78&lt;&gt;"", XLOOKUP($F78,Productos!$A$2:$A1001,Productos!BO$2:BO1001,"")*$G78,"")</f>
        <v/>
      </c>
      <c r="BW78" s="179" t="str">
        <f t="array" ref="BW78">IF($F78&lt;&gt;"",XLOOKUP($F78,Productos!$A:$A,Productos!BP:BP,"Revisar"),"")</f>
        <v/>
      </c>
      <c r="BX78" s="179" t="str">
        <f t="array" ref="BX78">IF($F78&lt;&gt;"", XLOOKUP($F78,Productos!$A$2:$A1001,Productos!BQ$2:BQ1001,"")*$G78,"")</f>
        <v/>
      </c>
      <c r="BY78" s="179" t="str">
        <f t="array" ref="BY78">IF($F78&lt;&gt;"",XLOOKUP($F78,Productos!$A:$A,Productos!BR:BR,"Revisar"),"")</f>
        <v/>
      </c>
      <c r="BZ78" s="179" t="str">
        <f t="array" ref="BZ78">IF($F78&lt;&gt;"", XLOOKUP($F78,Productos!$A$2:$A1001,Productos!BS$2:BS1001,"")*$G78,"")</f>
        <v/>
      </c>
    </row>
    <row r="79">
      <c r="A79" s="180"/>
      <c r="B79" s="181"/>
      <c r="C79" s="182"/>
      <c r="D79" s="182"/>
      <c r="E79" s="185"/>
      <c r="F79" s="186"/>
      <c r="G79" s="187"/>
      <c r="H79" s="186"/>
      <c r="I79" s="179" t="str">
        <f t="array" ref="I79">IF($F79&lt;&gt;"",XLOOKUP($F79,Productos!$A:$A,Productos!B:B,"Revisar"),"")</f>
        <v/>
      </c>
      <c r="J79" s="179" t="str">
        <f t="array" ref="J79">IF($F79&lt;&gt;"", XLOOKUP($F79,Productos!$A$2:$A1001,Productos!C$2:C1001,"")*$G79,"")</f>
        <v/>
      </c>
      <c r="K79" s="179" t="str">
        <f t="array" ref="K79">IF($F79&lt;&gt;"",XLOOKUP($F79,Productos!$A:$A,Productos!D:D,"Revisar"),"")</f>
        <v/>
      </c>
      <c r="L79" s="179" t="str">
        <f t="array" ref="L79">IF($F79&lt;&gt;"", XLOOKUP($F79,Productos!$A$2:$A1001,Productos!E$2:E1001,"")*$G79,"")</f>
        <v/>
      </c>
      <c r="M79" s="179" t="str">
        <f t="array" ref="M79">IF($F79&lt;&gt;"",XLOOKUP($F79,Productos!$A:$A,Productos!F:F,"Revisar"),"")</f>
        <v/>
      </c>
      <c r="N79" s="179" t="str">
        <f t="array" ref="N79">IF($F79&lt;&gt;"", XLOOKUP($F79,Productos!$A$2:$A1001,Productos!G$2:G1001,"")*$G79,"")</f>
        <v/>
      </c>
      <c r="O79" s="179" t="str">
        <f t="array" ref="O79">IF($F79&lt;&gt;"",XLOOKUP($F79,Productos!$A:$A,Productos!H:H,"Revisar"),"")</f>
        <v/>
      </c>
      <c r="P79" s="179" t="str">
        <f t="array" ref="P79">IF($F79&lt;&gt;"", XLOOKUP($F79,Productos!$A$2:$A1001,Productos!I$2:I1001,"")*$G79,"")</f>
        <v/>
      </c>
      <c r="Q79" s="179" t="str">
        <f t="array" ref="Q79">IF($F79&lt;&gt;"",XLOOKUP($F79,Productos!$A:$A,Productos!J:J,"Revisar"),"")</f>
        <v/>
      </c>
      <c r="R79" s="179" t="str">
        <f t="array" ref="R79">IF($F79&lt;&gt;"", XLOOKUP($F79,Productos!$A$2:$A1001,Productos!K$2:K1001,"")*$G79,"")</f>
        <v/>
      </c>
      <c r="S79" s="179" t="str">
        <f t="array" ref="S79">IF($F79&lt;&gt;"",XLOOKUP($F79,Productos!$A:$A,Productos!L:L,"Revisar"),"")</f>
        <v/>
      </c>
      <c r="T79" s="179" t="str">
        <f t="array" ref="T79">IF($F79&lt;&gt;"", XLOOKUP($F79,Productos!$A$2:$A1001,Productos!M$2:M1001,"")*$G79,"")</f>
        <v/>
      </c>
      <c r="U79" s="179" t="str">
        <f t="array" ref="U79">IF($F79&lt;&gt;"",XLOOKUP($F79,Productos!$A:$A,Productos!N:N,"Revisar"),"")</f>
        <v/>
      </c>
      <c r="V79" s="179" t="str">
        <f t="array" ref="V79">IF($F79&lt;&gt;"", XLOOKUP($F79,Productos!$A$2:$A1001,Productos!O$2:O1001,"")*$G79,"")</f>
        <v/>
      </c>
      <c r="W79" s="179" t="str">
        <f t="array" ref="W79">IF($F79&lt;&gt;"",XLOOKUP($F79,Productos!$A:$A,Productos!P:P,"Revisar"),"")</f>
        <v/>
      </c>
      <c r="X79" s="179" t="str">
        <f t="array" ref="X79">IF($F79&lt;&gt;"", XLOOKUP($F79,Productos!$A$2:$A1001,Productos!Q$2:Q1001,"")*$G79,"")</f>
        <v/>
      </c>
      <c r="Y79" s="179" t="str">
        <f t="array" ref="Y79">IF($F79&lt;&gt;"",XLOOKUP($F79,Productos!$A:$A,Productos!R:R,"Revisar"),"")</f>
        <v/>
      </c>
      <c r="Z79" s="179" t="str">
        <f t="array" ref="Z79">IF($F79&lt;&gt;"", XLOOKUP($F79,Productos!$A$2:$A1001,Productos!S$2:S1001,"")*$G79,"")</f>
        <v/>
      </c>
      <c r="AA79" s="179" t="str">
        <f t="array" ref="AA79">IF($F79&lt;&gt;"",XLOOKUP($F79,Productos!$A:$A,Productos!T:T,"Revisar"),"")</f>
        <v/>
      </c>
      <c r="AB79" s="179" t="str">
        <f t="array" ref="AB79">IF($F79&lt;&gt;"", XLOOKUP($F79,Productos!$A$2:$A1001,Productos!U$2:U1001,"")*$G79,"")</f>
        <v/>
      </c>
      <c r="AC79" s="179" t="str">
        <f t="array" ref="AC79">IF($F79&lt;&gt;"",XLOOKUP($F79,Productos!$A:$A,Productos!V:V,"Revisar"),"")</f>
        <v/>
      </c>
      <c r="AD79" s="179" t="str">
        <f t="array" ref="AD79">IF($F79&lt;&gt;"", XLOOKUP($F79,Productos!$A$2:$A1001,Productos!W$2:W1001,"")*$G79,"")</f>
        <v/>
      </c>
      <c r="AE79" s="179" t="str">
        <f t="array" ref="AE79">IF($F79&lt;&gt;"",XLOOKUP($F79,Productos!$A:$A,Productos!X:X,"Revisar"),"")</f>
        <v/>
      </c>
      <c r="AF79" s="179" t="str">
        <f t="array" ref="AF79">IF($F79&lt;&gt;"", XLOOKUP($F79,Productos!$A$2:$A1001,Productos!Y$2:Y1001,"")*$G79,"")</f>
        <v/>
      </c>
      <c r="AG79" s="179" t="str">
        <f t="array" ref="AG79">IF($F79&lt;&gt;"",XLOOKUP($F79,Productos!$A:$A,Productos!Z:Z,"Revisar"),"")</f>
        <v/>
      </c>
      <c r="AH79" s="179" t="str">
        <f t="array" ref="AH79">IF($F79&lt;&gt;"", XLOOKUP($F79,Productos!$A$2:$A1001,Productos!AA$2:AA1001,"")*$G79,"")</f>
        <v/>
      </c>
      <c r="AI79" s="179" t="str">
        <f t="array" ref="AI79">IF($F79&lt;&gt;"",XLOOKUP($F79,Productos!$A:$A,Productos!AB:AB,"Revisar"),"")</f>
        <v/>
      </c>
      <c r="AJ79" s="179" t="str">
        <f t="array" ref="AJ79">IF($F79&lt;&gt;"", XLOOKUP($F79,Productos!$A$2:$A1001,Productos!AC$2:AC1001,"")*$G79,"")</f>
        <v/>
      </c>
      <c r="AK79" s="179" t="str">
        <f t="array" ref="AK79">IF($F79&lt;&gt;"",XLOOKUP($F79,Productos!$A:$A,Productos!AD:AD,"Revisar"),"")</f>
        <v/>
      </c>
      <c r="AL79" s="179" t="str">
        <f t="array" ref="AL79">IF($F79&lt;&gt;"", XLOOKUP($F79,Productos!$A$2:$A1001,Productos!AE$2:AE1001,"")*$G79,"")</f>
        <v/>
      </c>
      <c r="AM79" s="179" t="str">
        <f t="array" ref="AM79">IF($F79&lt;&gt;"",XLOOKUP($F79,Productos!$A:$A,Productos!AF:AF,"Revisar"),"")</f>
        <v/>
      </c>
      <c r="AN79" s="179" t="str">
        <f t="array" ref="AN79">IF($F79&lt;&gt;"", XLOOKUP($F79,Productos!$A$2:$A1001,Productos!AG$2:AG1001,"")*$G79,"")</f>
        <v/>
      </c>
      <c r="AO79" s="179" t="str">
        <f t="array" ref="AO79">IF($F79&lt;&gt;"",XLOOKUP($F79,Productos!$A:$A,Productos!AH:AH,"Revisar"),"")</f>
        <v/>
      </c>
      <c r="AP79" s="179" t="str">
        <f t="array" ref="AP79">IF($F79&lt;&gt;"", XLOOKUP($F79,Productos!$A$2:$A1001,Productos!AI$2:AI1001,"")*$G79,"")</f>
        <v/>
      </c>
      <c r="AQ79" s="179" t="str">
        <f t="array" ref="AQ79">IF($F79&lt;&gt;"",XLOOKUP($F79,Productos!$A:$A,Productos!AJ:AJ,"Revisar"),"")</f>
        <v/>
      </c>
      <c r="AR79" s="179" t="str">
        <f t="array" ref="AR79">IF($F79&lt;&gt;"", XLOOKUP($F79,Productos!$A$2:$A1001,Productos!AK$2:AK1001,"")*$G79,"")</f>
        <v/>
      </c>
      <c r="AS79" s="179" t="str">
        <f t="array" ref="AS79">IF($F79&lt;&gt;"",XLOOKUP($F79,Productos!$A:$A,Productos!AL:AL,"Revisar"),"")</f>
        <v/>
      </c>
      <c r="AT79" s="179" t="str">
        <f t="array" ref="AT79">IF($F79&lt;&gt;"", XLOOKUP($F79,Productos!$A$2:$A1001,Productos!AM$2:AM1001,"")*$G79,"")</f>
        <v/>
      </c>
      <c r="AU79" s="179" t="str">
        <f t="array" ref="AU79">IF($F79&lt;&gt;"",XLOOKUP($F79,Productos!$A:$A,Productos!AN:AN,"Revisar"),"")</f>
        <v/>
      </c>
      <c r="AV79" s="179" t="str">
        <f t="array" ref="AV79">IF($F79&lt;&gt;"", XLOOKUP($F79,Productos!$A$2:$A1001,Productos!AO$2:AO1001,"")*$G79,"")</f>
        <v/>
      </c>
      <c r="AW79" s="179" t="str">
        <f t="array" ref="AW79">IF($F79&lt;&gt;"",XLOOKUP($F79,Productos!$A:$A,Productos!AP:AP,"Revisar"),"")</f>
        <v/>
      </c>
      <c r="AX79" s="179" t="str">
        <f t="array" ref="AX79">IF($F79&lt;&gt;"", XLOOKUP($F79,Productos!$A$2:$A1001,Productos!AQ$2:AQ1001,"")*$G79,"")</f>
        <v/>
      </c>
      <c r="AY79" s="179" t="str">
        <f t="array" ref="AY79">IF($F79&lt;&gt;"",XLOOKUP($F79,Productos!$A:$A,Productos!AR:AR,"Revisar"),"")</f>
        <v/>
      </c>
      <c r="AZ79" s="179" t="str">
        <f t="array" ref="AZ79">IF($F79&lt;&gt;"", XLOOKUP($F79,Productos!$A$2:$A1001,Productos!AS$2:AS1001,"")*$G79,"")</f>
        <v/>
      </c>
      <c r="BA79" s="179" t="str">
        <f t="array" ref="BA79">IF($F79&lt;&gt;"",XLOOKUP($F79,Productos!$A:$A,Productos!AT:AT,"Revisar"),"")</f>
        <v/>
      </c>
      <c r="BB79" s="179" t="str">
        <f t="array" ref="BB79">IF($F79&lt;&gt;"", XLOOKUP($F79,Productos!$A$2:$A1001,Productos!AU$2:AU1001,"")*$G79,"")</f>
        <v/>
      </c>
      <c r="BC79" s="179" t="str">
        <f t="array" ref="BC79">IF($F79&lt;&gt;"",XLOOKUP($F79,Productos!$A:$A,Productos!AV:AV,"Revisar"),"")</f>
        <v/>
      </c>
      <c r="BD79" s="179" t="str">
        <f t="array" ref="BD79">IF($F79&lt;&gt;"", XLOOKUP($F79,Productos!$A$2:$A1001,Productos!AW$2:AW1001,"")*$G79,"")</f>
        <v/>
      </c>
      <c r="BE79" s="179" t="str">
        <f t="array" ref="BE79">IF($F79&lt;&gt;"",XLOOKUP($F79,Productos!$A:$A,Productos!AX:AX,"Revisar"),"")</f>
        <v/>
      </c>
      <c r="BF79" s="179" t="str">
        <f t="array" ref="BF79">IF($F79&lt;&gt;"", XLOOKUP($F79,Productos!$A$2:$A1001,Productos!AY$2:AY1001,"")*$G79,"")</f>
        <v/>
      </c>
      <c r="BG79" s="179" t="str">
        <f t="array" ref="BG79">IF($F79&lt;&gt;"",XLOOKUP($F79,Productos!$A:$A,Productos!AZ:AZ,"Revisar"),"")</f>
        <v/>
      </c>
      <c r="BH79" s="179" t="str">
        <f t="array" ref="BH79">IF($F79&lt;&gt;"", XLOOKUP($F79,Productos!$A$2:$A1001,Productos!BA$2:BA1001,"")*$G79,"")</f>
        <v/>
      </c>
      <c r="BI79" s="179" t="str">
        <f t="array" ref="BI79">IF($F79&lt;&gt;"",XLOOKUP($F79,Productos!$A:$A,Productos!BB:BB,"Revisar"),"")</f>
        <v/>
      </c>
      <c r="BJ79" s="179" t="str">
        <f t="array" ref="BJ79">IF($F79&lt;&gt;"", XLOOKUP($F79,Productos!$A$2:$A1001,Productos!BC$2:BC1001,"")*$G79,"")</f>
        <v/>
      </c>
      <c r="BK79" s="179" t="str">
        <f t="array" ref="BK79">IF($F79&lt;&gt;"",XLOOKUP($F79,Productos!$A:$A,Productos!BD:BD,"Revisar"),"")</f>
        <v/>
      </c>
      <c r="BL79" s="179" t="str">
        <f t="array" ref="BL79">IF($F79&lt;&gt;"", XLOOKUP($F79,Productos!$A$2:$A1001,Productos!BE$2:BE1001,"")*$G79,"")</f>
        <v/>
      </c>
      <c r="BM79" s="179" t="str">
        <f t="array" ref="BM79">IF($F79&lt;&gt;"",XLOOKUP($F79,Productos!$A:$A,Productos!BF:BF,"Revisar"),"")</f>
        <v/>
      </c>
      <c r="BN79" s="179" t="str">
        <f t="array" ref="BN79">IF($F79&lt;&gt;"", XLOOKUP($F79,Productos!$A$2:$A1001,Productos!BG$2:BG1001,"")*$G79,"")</f>
        <v/>
      </c>
      <c r="BO79" s="179" t="str">
        <f t="array" ref="BO79">IF($F79&lt;&gt;"",XLOOKUP($F79,Productos!$A:$A,Productos!BH:BH,"Revisar"),"")</f>
        <v/>
      </c>
      <c r="BP79" s="179" t="str">
        <f t="array" ref="BP79">IF($F79&lt;&gt;"", XLOOKUP($F79,Productos!$A$2:$A1001,Productos!BI$2:BI1001,"")*$G79,"")</f>
        <v/>
      </c>
      <c r="BQ79" s="179" t="str">
        <f t="array" ref="BQ79">IF($F79&lt;&gt;"",XLOOKUP($F79,Productos!$A:$A,Productos!BJ:BJ,"Revisar"),"")</f>
        <v/>
      </c>
      <c r="BR79" s="179" t="str">
        <f t="array" ref="BR79">IF($F79&lt;&gt;"", XLOOKUP($F79,Productos!$A$2:$A1001,Productos!BK$2:BK1001,"")*$G79,"")</f>
        <v/>
      </c>
      <c r="BS79" s="179" t="str">
        <f t="array" ref="BS79">IF($F79&lt;&gt;"",XLOOKUP($F79,Productos!$A:$A,Productos!BL:BL,"Revisar"),"")</f>
        <v/>
      </c>
      <c r="BT79" s="179" t="str">
        <f t="array" ref="BT79">IF($F79&lt;&gt;"", XLOOKUP($F79,Productos!$A$2:$A1001,Productos!BM$2:BM1001,"")*$G79,"")</f>
        <v/>
      </c>
      <c r="BU79" s="179" t="str">
        <f t="array" ref="BU79">IF($F79&lt;&gt;"",XLOOKUP($F79,Productos!$A:$A,Productos!BN:BN,"Revisar"),"")</f>
        <v/>
      </c>
      <c r="BV79" s="179" t="str">
        <f t="array" ref="BV79">IF($F79&lt;&gt;"", XLOOKUP($F79,Productos!$A$2:$A1001,Productos!BO$2:BO1001,"")*$G79,"")</f>
        <v/>
      </c>
      <c r="BW79" s="179" t="str">
        <f t="array" ref="BW79">IF($F79&lt;&gt;"",XLOOKUP($F79,Productos!$A:$A,Productos!BP:BP,"Revisar"),"")</f>
        <v/>
      </c>
      <c r="BX79" s="179" t="str">
        <f t="array" ref="BX79">IF($F79&lt;&gt;"", XLOOKUP($F79,Productos!$A$2:$A1001,Productos!BQ$2:BQ1001,"")*$G79,"")</f>
        <v/>
      </c>
      <c r="BY79" s="179" t="str">
        <f t="array" ref="BY79">IF($F79&lt;&gt;"",XLOOKUP($F79,Productos!$A:$A,Productos!BR:BR,"Revisar"),"")</f>
        <v/>
      </c>
      <c r="BZ79" s="179" t="str">
        <f t="array" ref="BZ79">IF($F79&lt;&gt;"", XLOOKUP($F79,Productos!$A$2:$A1001,Productos!BS$2:BS1001,"")*$G79,"")</f>
        <v/>
      </c>
    </row>
    <row r="80">
      <c r="A80" s="180"/>
      <c r="B80" s="181"/>
      <c r="C80" s="182"/>
      <c r="D80" s="182"/>
      <c r="E80" s="185"/>
      <c r="F80" s="186"/>
      <c r="G80" s="187"/>
      <c r="H80" s="186"/>
      <c r="I80" s="179" t="str">
        <f t="array" ref="I80">IF($F80&lt;&gt;"",XLOOKUP($F80,Productos!$A:$A,Productos!B:B,"Revisar"),"")</f>
        <v/>
      </c>
      <c r="J80" s="179" t="str">
        <f t="array" ref="J80">IF($F80&lt;&gt;"", XLOOKUP($F80,Productos!$A$2:$A1001,Productos!C$2:C1001,"")*$G80,"")</f>
        <v/>
      </c>
      <c r="K80" s="179" t="str">
        <f t="array" ref="K80">IF($F80&lt;&gt;"",XLOOKUP($F80,Productos!$A:$A,Productos!D:D,"Revisar"),"")</f>
        <v/>
      </c>
      <c r="L80" s="179" t="str">
        <f t="array" ref="L80">IF($F80&lt;&gt;"", XLOOKUP($F80,Productos!$A$2:$A1001,Productos!E$2:E1001,"")*$G80,"")</f>
        <v/>
      </c>
      <c r="M80" s="179" t="str">
        <f t="array" ref="M80">IF($F80&lt;&gt;"",XLOOKUP($F80,Productos!$A:$A,Productos!F:F,"Revisar"),"")</f>
        <v/>
      </c>
      <c r="N80" s="179" t="str">
        <f t="array" ref="N80">IF($F80&lt;&gt;"", XLOOKUP($F80,Productos!$A$2:$A1001,Productos!G$2:G1001,"")*$G80,"")</f>
        <v/>
      </c>
      <c r="O80" s="179" t="str">
        <f t="array" ref="O80">IF($F80&lt;&gt;"",XLOOKUP($F80,Productos!$A:$A,Productos!H:H,"Revisar"),"")</f>
        <v/>
      </c>
      <c r="P80" s="179" t="str">
        <f t="array" ref="P80">IF($F80&lt;&gt;"", XLOOKUP($F80,Productos!$A$2:$A1001,Productos!I$2:I1001,"")*$G80,"")</f>
        <v/>
      </c>
      <c r="Q80" s="179" t="str">
        <f t="array" ref="Q80">IF($F80&lt;&gt;"",XLOOKUP($F80,Productos!$A:$A,Productos!J:J,"Revisar"),"")</f>
        <v/>
      </c>
      <c r="R80" s="179" t="str">
        <f t="array" ref="R80">IF($F80&lt;&gt;"", XLOOKUP($F80,Productos!$A$2:$A1001,Productos!K$2:K1001,"")*$G80,"")</f>
        <v/>
      </c>
      <c r="S80" s="179" t="str">
        <f t="array" ref="S80">IF($F80&lt;&gt;"",XLOOKUP($F80,Productos!$A:$A,Productos!L:L,"Revisar"),"")</f>
        <v/>
      </c>
      <c r="T80" s="179" t="str">
        <f t="array" ref="T80">IF($F80&lt;&gt;"", XLOOKUP($F80,Productos!$A$2:$A1001,Productos!M$2:M1001,"")*$G80,"")</f>
        <v/>
      </c>
      <c r="U80" s="179" t="str">
        <f t="array" ref="U80">IF($F80&lt;&gt;"",XLOOKUP($F80,Productos!$A:$A,Productos!N:N,"Revisar"),"")</f>
        <v/>
      </c>
      <c r="V80" s="179" t="str">
        <f t="array" ref="V80">IF($F80&lt;&gt;"", XLOOKUP($F80,Productos!$A$2:$A1001,Productos!O$2:O1001,"")*$G80,"")</f>
        <v/>
      </c>
      <c r="W80" s="179" t="str">
        <f t="array" ref="W80">IF($F80&lt;&gt;"",XLOOKUP($F80,Productos!$A:$A,Productos!P:P,"Revisar"),"")</f>
        <v/>
      </c>
      <c r="X80" s="179" t="str">
        <f t="array" ref="X80">IF($F80&lt;&gt;"", XLOOKUP($F80,Productos!$A$2:$A1001,Productos!Q$2:Q1001,"")*$G80,"")</f>
        <v/>
      </c>
      <c r="Y80" s="179" t="str">
        <f t="array" ref="Y80">IF($F80&lt;&gt;"",XLOOKUP($F80,Productos!$A:$A,Productos!R:R,"Revisar"),"")</f>
        <v/>
      </c>
      <c r="Z80" s="179" t="str">
        <f t="array" ref="Z80">IF($F80&lt;&gt;"", XLOOKUP($F80,Productos!$A$2:$A1001,Productos!S$2:S1001,"")*$G80,"")</f>
        <v/>
      </c>
      <c r="AA80" s="179" t="str">
        <f t="array" ref="AA80">IF($F80&lt;&gt;"",XLOOKUP($F80,Productos!$A:$A,Productos!T:T,"Revisar"),"")</f>
        <v/>
      </c>
      <c r="AB80" s="179" t="str">
        <f t="array" ref="AB80">IF($F80&lt;&gt;"", XLOOKUP($F80,Productos!$A$2:$A1001,Productos!U$2:U1001,"")*$G80,"")</f>
        <v/>
      </c>
      <c r="AC80" s="179" t="str">
        <f t="array" ref="AC80">IF($F80&lt;&gt;"",XLOOKUP($F80,Productos!$A:$A,Productos!V:V,"Revisar"),"")</f>
        <v/>
      </c>
      <c r="AD80" s="179" t="str">
        <f t="array" ref="AD80">IF($F80&lt;&gt;"", XLOOKUP($F80,Productos!$A$2:$A1001,Productos!W$2:W1001,"")*$G80,"")</f>
        <v/>
      </c>
      <c r="AE80" s="179" t="str">
        <f t="array" ref="AE80">IF($F80&lt;&gt;"",XLOOKUP($F80,Productos!$A:$A,Productos!X:X,"Revisar"),"")</f>
        <v/>
      </c>
      <c r="AF80" s="179" t="str">
        <f t="array" ref="AF80">IF($F80&lt;&gt;"", XLOOKUP($F80,Productos!$A$2:$A1001,Productos!Y$2:Y1001,"")*$G80,"")</f>
        <v/>
      </c>
      <c r="AG80" s="179" t="str">
        <f t="array" ref="AG80">IF($F80&lt;&gt;"",XLOOKUP($F80,Productos!$A:$A,Productos!Z:Z,"Revisar"),"")</f>
        <v/>
      </c>
      <c r="AH80" s="179" t="str">
        <f t="array" ref="AH80">IF($F80&lt;&gt;"", XLOOKUP($F80,Productos!$A$2:$A1001,Productos!AA$2:AA1001,"")*$G80,"")</f>
        <v/>
      </c>
      <c r="AI80" s="179" t="str">
        <f t="array" ref="AI80">IF($F80&lt;&gt;"",XLOOKUP($F80,Productos!$A:$A,Productos!AB:AB,"Revisar"),"")</f>
        <v/>
      </c>
      <c r="AJ80" s="179" t="str">
        <f t="array" ref="AJ80">IF($F80&lt;&gt;"", XLOOKUP($F80,Productos!$A$2:$A1001,Productos!AC$2:AC1001,"")*$G80,"")</f>
        <v/>
      </c>
      <c r="AK80" s="179" t="str">
        <f t="array" ref="AK80">IF($F80&lt;&gt;"",XLOOKUP($F80,Productos!$A:$A,Productos!AD:AD,"Revisar"),"")</f>
        <v/>
      </c>
      <c r="AL80" s="179" t="str">
        <f t="array" ref="AL80">IF($F80&lt;&gt;"", XLOOKUP($F80,Productos!$A$2:$A1001,Productos!AE$2:AE1001,"")*$G80,"")</f>
        <v/>
      </c>
      <c r="AM80" s="179" t="str">
        <f t="array" ref="AM80">IF($F80&lt;&gt;"",XLOOKUP($F80,Productos!$A:$A,Productos!AF:AF,"Revisar"),"")</f>
        <v/>
      </c>
      <c r="AN80" s="179" t="str">
        <f t="array" ref="AN80">IF($F80&lt;&gt;"", XLOOKUP($F80,Productos!$A$2:$A1001,Productos!AG$2:AG1001,"")*$G80,"")</f>
        <v/>
      </c>
      <c r="AO80" s="179" t="str">
        <f t="array" ref="AO80">IF($F80&lt;&gt;"",XLOOKUP($F80,Productos!$A:$A,Productos!AH:AH,"Revisar"),"")</f>
        <v/>
      </c>
      <c r="AP80" s="179" t="str">
        <f t="array" ref="AP80">IF($F80&lt;&gt;"", XLOOKUP($F80,Productos!$A$2:$A1001,Productos!AI$2:AI1001,"")*$G80,"")</f>
        <v/>
      </c>
      <c r="AQ80" s="179" t="str">
        <f t="array" ref="AQ80">IF($F80&lt;&gt;"",XLOOKUP($F80,Productos!$A:$A,Productos!AJ:AJ,"Revisar"),"")</f>
        <v/>
      </c>
      <c r="AR80" s="179" t="str">
        <f t="array" ref="AR80">IF($F80&lt;&gt;"", XLOOKUP($F80,Productos!$A$2:$A1001,Productos!AK$2:AK1001,"")*$G80,"")</f>
        <v/>
      </c>
      <c r="AS80" s="179" t="str">
        <f t="array" ref="AS80">IF($F80&lt;&gt;"",XLOOKUP($F80,Productos!$A:$A,Productos!AL:AL,"Revisar"),"")</f>
        <v/>
      </c>
      <c r="AT80" s="179" t="str">
        <f t="array" ref="AT80">IF($F80&lt;&gt;"", XLOOKUP($F80,Productos!$A$2:$A1001,Productos!AM$2:AM1001,"")*$G80,"")</f>
        <v/>
      </c>
      <c r="AU80" s="179" t="str">
        <f t="array" ref="AU80">IF($F80&lt;&gt;"",XLOOKUP($F80,Productos!$A:$A,Productos!AN:AN,"Revisar"),"")</f>
        <v/>
      </c>
      <c r="AV80" s="179" t="str">
        <f t="array" ref="AV80">IF($F80&lt;&gt;"", XLOOKUP($F80,Productos!$A$2:$A1001,Productos!AO$2:AO1001,"")*$G80,"")</f>
        <v/>
      </c>
      <c r="AW80" s="179" t="str">
        <f t="array" ref="AW80">IF($F80&lt;&gt;"",XLOOKUP($F80,Productos!$A:$A,Productos!AP:AP,"Revisar"),"")</f>
        <v/>
      </c>
      <c r="AX80" s="179" t="str">
        <f t="array" ref="AX80">IF($F80&lt;&gt;"", XLOOKUP($F80,Productos!$A$2:$A1001,Productos!AQ$2:AQ1001,"")*$G80,"")</f>
        <v/>
      </c>
      <c r="AY80" s="179" t="str">
        <f t="array" ref="AY80">IF($F80&lt;&gt;"",XLOOKUP($F80,Productos!$A:$A,Productos!AR:AR,"Revisar"),"")</f>
        <v/>
      </c>
      <c r="AZ80" s="179" t="str">
        <f t="array" ref="AZ80">IF($F80&lt;&gt;"", XLOOKUP($F80,Productos!$A$2:$A1001,Productos!AS$2:AS1001,"")*$G80,"")</f>
        <v/>
      </c>
      <c r="BA80" s="179" t="str">
        <f t="array" ref="BA80">IF($F80&lt;&gt;"",XLOOKUP($F80,Productos!$A:$A,Productos!AT:AT,"Revisar"),"")</f>
        <v/>
      </c>
      <c r="BB80" s="179" t="str">
        <f t="array" ref="BB80">IF($F80&lt;&gt;"", XLOOKUP($F80,Productos!$A$2:$A1001,Productos!AU$2:AU1001,"")*$G80,"")</f>
        <v/>
      </c>
      <c r="BC80" s="179" t="str">
        <f t="array" ref="BC80">IF($F80&lt;&gt;"",XLOOKUP($F80,Productos!$A:$A,Productos!AV:AV,"Revisar"),"")</f>
        <v/>
      </c>
      <c r="BD80" s="179" t="str">
        <f t="array" ref="BD80">IF($F80&lt;&gt;"", XLOOKUP($F80,Productos!$A$2:$A1001,Productos!AW$2:AW1001,"")*$G80,"")</f>
        <v/>
      </c>
      <c r="BE80" s="179" t="str">
        <f t="array" ref="BE80">IF($F80&lt;&gt;"",XLOOKUP($F80,Productos!$A:$A,Productos!AX:AX,"Revisar"),"")</f>
        <v/>
      </c>
      <c r="BF80" s="179" t="str">
        <f t="array" ref="BF80">IF($F80&lt;&gt;"", XLOOKUP($F80,Productos!$A$2:$A1001,Productos!AY$2:AY1001,"")*$G80,"")</f>
        <v/>
      </c>
      <c r="BG80" s="179" t="str">
        <f t="array" ref="BG80">IF($F80&lt;&gt;"",XLOOKUP($F80,Productos!$A:$A,Productos!AZ:AZ,"Revisar"),"")</f>
        <v/>
      </c>
      <c r="BH80" s="179" t="str">
        <f t="array" ref="BH80">IF($F80&lt;&gt;"", XLOOKUP($F80,Productos!$A$2:$A1001,Productos!BA$2:BA1001,"")*$G80,"")</f>
        <v/>
      </c>
      <c r="BI80" s="179" t="str">
        <f t="array" ref="BI80">IF($F80&lt;&gt;"",XLOOKUP($F80,Productos!$A:$A,Productos!BB:BB,"Revisar"),"")</f>
        <v/>
      </c>
      <c r="BJ80" s="179" t="str">
        <f t="array" ref="BJ80">IF($F80&lt;&gt;"", XLOOKUP($F80,Productos!$A$2:$A1001,Productos!BC$2:BC1001,"")*$G80,"")</f>
        <v/>
      </c>
      <c r="BK80" s="179" t="str">
        <f t="array" ref="BK80">IF($F80&lt;&gt;"",XLOOKUP($F80,Productos!$A:$A,Productos!BD:BD,"Revisar"),"")</f>
        <v/>
      </c>
      <c r="BL80" s="179" t="str">
        <f t="array" ref="BL80">IF($F80&lt;&gt;"", XLOOKUP($F80,Productos!$A$2:$A1001,Productos!BE$2:BE1001,"")*$G80,"")</f>
        <v/>
      </c>
      <c r="BM80" s="179" t="str">
        <f t="array" ref="BM80">IF($F80&lt;&gt;"",XLOOKUP($F80,Productos!$A:$A,Productos!BF:BF,"Revisar"),"")</f>
        <v/>
      </c>
      <c r="BN80" s="179" t="str">
        <f t="array" ref="BN80">IF($F80&lt;&gt;"", XLOOKUP($F80,Productos!$A$2:$A1001,Productos!BG$2:BG1001,"")*$G80,"")</f>
        <v/>
      </c>
      <c r="BO80" s="179" t="str">
        <f t="array" ref="BO80">IF($F80&lt;&gt;"",XLOOKUP($F80,Productos!$A:$A,Productos!BH:BH,"Revisar"),"")</f>
        <v/>
      </c>
      <c r="BP80" s="179" t="str">
        <f t="array" ref="BP80">IF($F80&lt;&gt;"", XLOOKUP($F80,Productos!$A$2:$A1001,Productos!BI$2:BI1001,"")*$G80,"")</f>
        <v/>
      </c>
      <c r="BQ80" s="179" t="str">
        <f t="array" ref="BQ80">IF($F80&lt;&gt;"",XLOOKUP($F80,Productos!$A:$A,Productos!BJ:BJ,"Revisar"),"")</f>
        <v/>
      </c>
      <c r="BR80" s="179" t="str">
        <f t="array" ref="BR80">IF($F80&lt;&gt;"", XLOOKUP($F80,Productos!$A$2:$A1001,Productos!BK$2:BK1001,"")*$G80,"")</f>
        <v/>
      </c>
      <c r="BS80" s="179" t="str">
        <f t="array" ref="BS80">IF($F80&lt;&gt;"",XLOOKUP($F80,Productos!$A:$A,Productos!BL:BL,"Revisar"),"")</f>
        <v/>
      </c>
      <c r="BT80" s="179" t="str">
        <f t="array" ref="BT80">IF($F80&lt;&gt;"", XLOOKUP($F80,Productos!$A$2:$A1001,Productos!BM$2:BM1001,"")*$G80,"")</f>
        <v/>
      </c>
      <c r="BU80" s="179" t="str">
        <f t="array" ref="BU80">IF($F80&lt;&gt;"",XLOOKUP($F80,Productos!$A:$A,Productos!BN:BN,"Revisar"),"")</f>
        <v/>
      </c>
      <c r="BV80" s="179" t="str">
        <f t="array" ref="BV80">IF($F80&lt;&gt;"", XLOOKUP($F80,Productos!$A$2:$A1001,Productos!BO$2:BO1001,"")*$G80,"")</f>
        <v/>
      </c>
      <c r="BW80" s="179" t="str">
        <f t="array" ref="BW80">IF($F80&lt;&gt;"",XLOOKUP($F80,Productos!$A:$A,Productos!BP:BP,"Revisar"),"")</f>
        <v/>
      </c>
      <c r="BX80" s="179" t="str">
        <f t="array" ref="BX80">IF($F80&lt;&gt;"", XLOOKUP($F80,Productos!$A$2:$A1001,Productos!BQ$2:BQ1001,"")*$G80,"")</f>
        <v/>
      </c>
      <c r="BY80" s="179" t="str">
        <f t="array" ref="BY80">IF($F80&lt;&gt;"",XLOOKUP($F80,Productos!$A:$A,Productos!BR:BR,"Revisar"),"")</f>
        <v/>
      </c>
      <c r="BZ80" s="179" t="str">
        <f t="array" ref="BZ80">IF($F80&lt;&gt;"", XLOOKUP($F80,Productos!$A$2:$A1001,Productos!BS$2:BS1001,"")*$G80,"")</f>
        <v/>
      </c>
    </row>
    <row r="81">
      <c r="A81" s="180"/>
      <c r="B81" s="181"/>
      <c r="C81" s="182"/>
      <c r="D81" s="182"/>
      <c r="E81" s="185"/>
      <c r="F81" s="186"/>
      <c r="G81" s="187"/>
      <c r="H81" s="186"/>
      <c r="I81" s="179" t="str">
        <f t="array" ref="I81">IF($F81&lt;&gt;"",XLOOKUP($F81,Productos!$A:$A,Productos!B:B,"Revisar"),"")</f>
        <v/>
      </c>
      <c r="J81" s="179" t="str">
        <f t="array" ref="J81">IF($F81&lt;&gt;"", XLOOKUP($F81,Productos!$A$2:$A1001,Productos!C$2:C1001,"")*$G81,"")</f>
        <v/>
      </c>
      <c r="K81" s="179" t="str">
        <f t="array" ref="K81">IF($F81&lt;&gt;"",XLOOKUP($F81,Productos!$A:$A,Productos!D:D,"Revisar"),"")</f>
        <v/>
      </c>
      <c r="L81" s="179" t="str">
        <f t="array" ref="L81">IF($F81&lt;&gt;"", XLOOKUP($F81,Productos!$A$2:$A1001,Productos!E$2:E1001,"")*$G81,"")</f>
        <v/>
      </c>
      <c r="M81" s="179" t="str">
        <f t="array" ref="M81">IF($F81&lt;&gt;"",XLOOKUP($F81,Productos!$A:$A,Productos!F:F,"Revisar"),"")</f>
        <v/>
      </c>
      <c r="N81" s="179" t="str">
        <f t="array" ref="N81">IF($F81&lt;&gt;"", XLOOKUP($F81,Productos!$A$2:$A1001,Productos!G$2:G1001,"")*$G81,"")</f>
        <v/>
      </c>
      <c r="O81" s="179" t="str">
        <f t="array" ref="O81">IF($F81&lt;&gt;"",XLOOKUP($F81,Productos!$A:$A,Productos!H:H,"Revisar"),"")</f>
        <v/>
      </c>
      <c r="P81" s="179" t="str">
        <f t="array" ref="P81">IF($F81&lt;&gt;"", XLOOKUP($F81,Productos!$A$2:$A1001,Productos!I$2:I1001,"")*$G81,"")</f>
        <v/>
      </c>
      <c r="Q81" s="179" t="str">
        <f t="array" ref="Q81">IF($F81&lt;&gt;"",XLOOKUP($F81,Productos!$A:$A,Productos!J:J,"Revisar"),"")</f>
        <v/>
      </c>
      <c r="R81" s="179" t="str">
        <f t="array" ref="R81">IF($F81&lt;&gt;"", XLOOKUP($F81,Productos!$A$2:$A1001,Productos!K$2:K1001,"")*$G81,"")</f>
        <v/>
      </c>
      <c r="S81" s="179" t="str">
        <f t="array" ref="S81">IF($F81&lt;&gt;"",XLOOKUP($F81,Productos!$A:$A,Productos!L:L,"Revisar"),"")</f>
        <v/>
      </c>
      <c r="T81" s="179" t="str">
        <f t="array" ref="T81">IF($F81&lt;&gt;"", XLOOKUP($F81,Productos!$A$2:$A1001,Productos!M$2:M1001,"")*$G81,"")</f>
        <v/>
      </c>
      <c r="U81" s="179" t="str">
        <f t="array" ref="U81">IF($F81&lt;&gt;"",XLOOKUP($F81,Productos!$A:$A,Productos!N:N,"Revisar"),"")</f>
        <v/>
      </c>
      <c r="V81" s="179" t="str">
        <f t="array" ref="V81">IF($F81&lt;&gt;"", XLOOKUP($F81,Productos!$A$2:$A1001,Productos!O$2:O1001,"")*$G81,"")</f>
        <v/>
      </c>
      <c r="W81" s="179" t="str">
        <f t="array" ref="W81">IF($F81&lt;&gt;"",XLOOKUP($F81,Productos!$A:$A,Productos!P:P,"Revisar"),"")</f>
        <v/>
      </c>
      <c r="X81" s="179" t="str">
        <f t="array" ref="X81">IF($F81&lt;&gt;"", XLOOKUP($F81,Productos!$A$2:$A1001,Productos!Q$2:Q1001,"")*$G81,"")</f>
        <v/>
      </c>
      <c r="Y81" s="179" t="str">
        <f t="array" ref="Y81">IF($F81&lt;&gt;"",XLOOKUP($F81,Productos!$A:$A,Productos!R:R,"Revisar"),"")</f>
        <v/>
      </c>
      <c r="Z81" s="179" t="str">
        <f t="array" ref="Z81">IF($F81&lt;&gt;"", XLOOKUP($F81,Productos!$A$2:$A1001,Productos!S$2:S1001,"")*$G81,"")</f>
        <v/>
      </c>
      <c r="AA81" s="179" t="str">
        <f t="array" ref="AA81">IF($F81&lt;&gt;"",XLOOKUP($F81,Productos!$A:$A,Productos!T:T,"Revisar"),"")</f>
        <v/>
      </c>
      <c r="AB81" s="179" t="str">
        <f t="array" ref="AB81">IF($F81&lt;&gt;"", XLOOKUP($F81,Productos!$A$2:$A1001,Productos!U$2:U1001,"")*$G81,"")</f>
        <v/>
      </c>
      <c r="AC81" s="179" t="str">
        <f t="array" ref="AC81">IF($F81&lt;&gt;"",XLOOKUP($F81,Productos!$A:$A,Productos!V:V,"Revisar"),"")</f>
        <v/>
      </c>
      <c r="AD81" s="179" t="str">
        <f t="array" ref="AD81">IF($F81&lt;&gt;"", XLOOKUP($F81,Productos!$A$2:$A1001,Productos!W$2:W1001,"")*$G81,"")</f>
        <v/>
      </c>
      <c r="AE81" s="179" t="str">
        <f t="array" ref="AE81">IF($F81&lt;&gt;"",XLOOKUP($F81,Productos!$A:$A,Productos!X:X,"Revisar"),"")</f>
        <v/>
      </c>
      <c r="AF81" s="179" t="str">
        <f t="array" ref="AF81">IF($F81&lt;&gt;"", XLOOKUP($F81,Productos!$A$2:$A1001,Productos!Y$2:Y1001,"")*$G81,"")</f>
        <v/>
      </c>
      <c r="AG81" s="179" t="str">
        <f t="array" ref="AG81">IF($F81&lt;&gt;"",XLOOKUP($F81,Productos!$A:$A,Productos!Z:Z,"Revisar"),"")</f>
        <v/>
      </c>
      <c r="AH81" s="179" t="str">
        <f t="array" ref="AH81">IF($F81&lt;&gt;"", XLOOKUP($F81,Productos!$A$2:$A1001,Productos!AA$2:AA1001,"")*$G81,"")</f>
        <v/>
      </c>
      <c r="AI81" s="179" t="str">
        <f t="array" ref="AI81">IF($F81&lt;&gt;"",XLOOKUP($F81,Productos!$A:$A,Productos!AB:AB,"Revisar"),"")</f>
        <v/>
      </c>
      <c r="AJ81" s="179" t="str">
        <f t="array" ref="AJ81">IF($F81&lt;&gt;"", XLOOKUP($F81,Productos!$A$2:$A1001,Productos!AC$2:AC1001,"")*$G81,"")</f>
        <v/>
      </c>
      <c r="AK81" s="179" t="str">
        <f t="array" ref="AK81">IF($F81&lt;&gt;"",XLOOKUP($F81,Productos!$A:$A,Productos!AD:AD,"Revisar"),"")</f>
        <v/>
      </c>
      <c r="AL81" s="179" t="str">
        <f t="array" ref="AL81">IF($F81&lt;&gt;"", XLOOKUP($F81,Productos!$A$2:$A1001,Productos!AE$2:AE1001,"")*$G81,"")</f>
        <v/>
      </c>
      <c r="AM81" s="179" t="str">
        <f t="array" ref="AM81">IF($F81&lt;&gt;"",XLOOKUP($F81,Productos!$A:$A,Productos!AF:AF,"Revisar"),"")</f>
        <v/>
      </c>
      <c r="AN81" s="179" t="str">
        <f t="array" ref="AN81">IF($F81&lt;&gt;"", XLOOKUP($F81,Productos!$A$2:$A1001,Productos!AG$2:AG1001,"")*$G81,"")</f>
        <v/>
      </c>
      <c r="AO81" s="179" t="str">
        <f t="array" ref="AO81">IF($F81&lt;&gt;"",XLOOKUP($F81,Productos!$A:$A,Productos!AH:AH,"Revisar"),"")</f>
        <v/>
      </c>
      <c r="AP81" s="179" t="str">
        <f t="array" ref="AP81">IF($F81&lt;&gt;"", XLOOKUP($F81,Productos!$A$2:$A1001,Productos!AI$2:AI1001,"")*$G81,"")</f>
        <v/>
      </c>
      <c r="AQ81" s="179" t="str">
        <f t="array" ref="AQ81">IF($F81&lt;&gt;"",XLOOKUP($F81,Productos!$A:$A,Productos!AJ:AJ,"Revisar"),"")</f>
        <v/>
      </c>
      <c r="AR81" s="179" t="str">
        <f t="array" ref="AR81">IF($F81&lt;&gt;"", XLOOKUP($F81,Productos!$A$2:$A1001,Productos!AK$2:AK1001,"")*$G81,"")</f>
        <v/>
      </c>
      <c r="AS81" s="179" t="str">
        <f t="array" ref="AS81">IF($F81&lt;&gt;"",XLOOKUP($F81,Productos!$A:$A,Productos!AL:AL,"Revisar"),"")</f>
        <v/>
      </c>
      <c r="AT81" s="179" t="str">
        <f t="array" ref="AT81">IF($F81&lt;&gt;"", XLOOKUP($F81,Productos!$A$2:$A1001,Productos!AM$2:AM1001,"")*$G81,"")</f>
        <v/>
      </c>
      <c r="AU81" s="179" t="str">
        <f t="array" ref="AU81">IF($F81&lt;&gt;"",XLOOKUP($F81,Productos!$A:$A,Productos!AN:AN,"Revisar"),"")</f>
        <v/>
      </c>
      <c r="AV81" s="179" t="str">
        <f t="array" ref="AV81">IF($F81&lt;&gt;"", XLOOKUP($F81,Productos!$A$2:$A1001,Productos!AO$2:AO1001,"")*$G81,"")</f>
        <v/>
      </c>
      <c r="AW81" s="179" t="str">
        <f t="array" ref="AW81">IF($F81&lt;&gt;"",XLOOKUP($F81,Productos!$A:$A,Productos!AP:AP,"Revisar"),"")</f>
        <v/>
      </c>
      <c r="AX81" s="179" t="str">
        <f t="array" ref="AX81">IF($F81&lt;&gt;"", XLOOKUP($F81,Productos!$A$2:$A1001,Productos!AQ$2:AQ1001,"")*$G81,"")</f>
        <v/>
      </c>
      <c r="AY81" s="179" t="str">
        <f t="array" ref="AY81">IF($F81&lt;&gt;"",XLOOKUP($F81,Productos!$A:$A,Productos!AR:AR,"Revisar"),"")</f>
        <v/>
      </c>
      <c r="AZ81" s="179" t="str">
        <f t="array" ref="AZ81">IF($F81&lt;&gt;"", XLOOKUP($F81,Productos!$A$2:$A1001,Productos!AS$2:AS1001,"")*$G81,"")</f>
        <v/>
      </c>
      <c r="BA81" s="179" t="str">
        <f t="array" ref="BA81">IF($F81&lt;&gt;"",XLOOKUP($F81,Productos!$A:$A,Productos!AT:AT,"Revisar"),"")</f>
        <v/>
      </c>
      <c r="BB81" s="179" t="str">
        <f t="array" ref="BB81">IF($F81&lt;&gt;"", XLOOKUP($F81,Productos!$A$2:$A1001,Productos!AU$2:AU1001,"")*$G81,"")</f>
        <v/>
      </c>
      <c r="BC81" s="179" t="str">
        <f t="array" ref="BC81">IF($F81&lt;&gt;"",XLOOKUP($F81,Productos!$A:$A,Productos!AV:AV,"Revisar"),"")</f>
        <v/>
      </c>
      <c r="BD81" s="179" t="str">
        <f t="array" ref="BD81">IF($F81&lt;&gt;"", XLOOKUP($F81,Productos!$A$2:$A1001,Productos!AW$2:AW1001,"")*$G81,"")</f>
        <v/>
      </c>
      <c r="BE81" s="179" t="str">
        <f t="array" ref="BE81">IF($F81&lt;&gt;"",XLOOKUP($F81,Productos!$A:$A,Productos!AX:AX,"Revisar"),"")</f>
        <v/>
      </c>
      <c r="BF81" s="179" t="str">
        <f t="array" ref="BF81">IF($F81&lt;&gt;"", XLOOKUP($F81,Productos!$A$2:$A1001,Productos!AY$2:AY1001,"")*$G81,"")</f>
        <v/>
      </c>
      <c r="BG81" s="179" t="str">
        <f t="array" ref="BG81">IF($F81&lt;&gt;"",XLOOKUP($F81,Productos!$A:$A,Productos!AZ:AZ,"Revisar"),"")</f>
        <v/>
      </c>
      <c r="BH81" s="179" t="str">
        <f t="array" ref="BH81">IF($F81&lt;&gt;"", XLOOKUP($F81,Productos!$A$2:$A1001,Productos!BA$2:BA1001,"")*$G81,"")</f>
        <v/>
      </c>
      <c r="BI81" s="179" t="str">
        <f t="array" ref="BI81">IF($F81&lt;&gt;"",XLOOKUP($F81,Productos!$A:$A,Productos!BB:BB,"Revisar"),"")</f>
        <v/>
      </c>
      <c r="BJ81" s="179" t="str">
        <f t="array" ref="BJ81">IF($F81&lt;&gt;"", XLOOKUP($F81,Productos!$A$2:$A1001,Productos!BC$2:BC1001,"")*$G81,"")</f>
        <v/>
      </c>
      <c r="BK81" s="179" t="str">
        <f t="array" ref="BK81">IF($F81&lt;&gt;"",XLOOKUP($F81,Productos!$A:$A,Productos!BD:BD,"Revisar"),"")</f>
        <v/>
      </c>
      <c r="BL81" s="179" t="str">
        <f t="array" ref="BL81">IF($F81&lt;&gt;"", XLOOKUP($F81,Productos!$A$2:$A1001,Productos!BE$2:BE1001,"")*$G81,"")</f>
        <v/>
      </c>
      <c r="BM81" s="179" t="str">
        <f t="array" ref="BM81">IF($F81&lt;&gt;"",XLOOKUP($F81,Productos!$A:$A,Productos!BF:BF,"Revisar"),"")</f>
        <v/>
      </c>
      <c r="BN81" s="179" t="str">
        <f t="array" ref="BN81">IF($F81&lt;&gt;"", XLOOKUP($F81,Productos!$A$2:$A1001,Productos!BG$2:BG1001,"")*$G81,"")</f>
        <v/>
      </c>
      <c r="BO81" s="179" t="str">
        <f t="array" ref="BO81">IF($F81&lt;&gt;"",XLOOKUP($F81,Productos!$A:$A,Productos!BH:BH,"Revisar"),"")</f>
        <v/>
      </c>
      <c r="BP81" s="179" t="str">
        <f t="array" ref="BP81">IF($F81&lt;&gt;"", XLOOKUP($F81,Productos!$A$2:$A1001,Productos!BI$2:BI1001,"")*$G81,"")</f>
        <v/>
      </c>
      <c r="BQ81" s="179" t="str">
        <f t="array" ref="BQ81">IF($F81&lt;&gt;"",XLOOKUP($F81,Productos!$A:$A,Productos!BJ:BJ,"Revisar"),"")</f>
        <v/>
      </c>
      <c r="BR81" s="179" t="str">
        <f t="array" ref="BR81">IF($F81&lt;&gt;"", XLOOKUP($F81,Productos!$A$2:$A1001,Productos!BK$2:BK1001,"")*$G81,"")</f>
        <v/>
      </c>
      <c r="BS81" s="179" t="str">
        <f t="array" ref="BS81">IF($F81&lt;&gt;"",XLOOKUP($F81,Productos!$A:$A,Productos!BL:BL,"Revisar"),"")</f>
        <v/>
      </c>
      <c r="BT81" s="179" t="str">
        <f t="array" ref="BT81">IF($F81&lt;&gt;"", XLOOKUP($F81,Productos!$A$2:$A1001,Productos!BM$2:BM1001,"")*$G81,"")</f>
        <v/>
      </c>
      <c r="BU81" s="179" t="str">
        <f t="array" ref="BU81">IF($F81&lt;&gt;"",XLOOKUP($F81,Productos!$A:$A,Productos!BN:BN,"Revisar"),"")</f>
        <v/>
      </c>
      <c r="BV81" s="179" t="str">
        <f t="array" ref="BV81">IF($F81&lt;&gt;"", XLOOKUP($F81,Productos!$A$2:$A1001,Productos!BO$2:BO1001,"")*$G81,"")</f>
        <v/>
      </c>
      <c r="BW81" s="179" t="str">
        <f t="array" ref="BW81">IF($F81&lt;&gt;"",XLOOKUP($F81,Productos!$A:$A,Productos!BP:BP,"Revisar"),"")</f>
        <v/>
      </c>
      <c r="BX81" s="179" t="str">
        <f t="array" ref="BX81">IF($F81&lt;&gt;"", XLOOKUP($F81,Productos!$A$2:$A1001,Productos!BQ$2:BQ1001,"")*$G81,"")</f>
        <v/>
      </c>
      <c r="BY81" s="179" t="str">
        <f t="array" ref="BY81">IF($F81&lt;&gt;"",XLOOKUP($F81,Productos!$A:$A,Productos!BR:BR,"Revisar"),"")</f>
        <v/>
      </c>
      <c r="BZ81" s="179" t="str">
        <f t="array" ref="BZ81">IF($F81&lt;&gt;"", XLOOKUP($F81,Productos!$A$2:$A1001,Productos!BS$2:BS1001,"")*$G81,"")</f>
        <v/>
      </c>
    </row>
    <row r="82">
      <c r="A82" s="180"/>
      <c r="B82" s="181"/>
      <c r="C82" s="182"/>
      <c r="D82" s="182"/>
      <c r="E82" s="185"/>
      <c r="F82" s="186"/>
      <c r="G82" s="187"/>
      <c r="H82" s="186"/>
      <c r="I82" s="179" t="str">
        <f t="array" ref="I82">IF($F82&lt;&gt;"",XLOOKUP($F82,Productos!$A:$A,Productos!B:B,"Revisar"),"")</f>
        <v/>
      </c>
      <c r="J82" s="179" t="str">
        <f t="array" ref="J82">IF($F82&lt;&gt;"", XLOOKUP($F82,Productos!$A$2:$A1001,Productos!C$2:C1001,"")*$G82,"")</f>
        <v/>
      </c>
      <c r="K82" s="179" t="str">
        <f t="array" ref="K82">IF($F82&lt;&gt;"",XLOOKUP($F82,Productos!$A:$A,Productos!D:D,"Revisar"),"")</f>
        <v/>
      </c>
      <c r="L82" s="179" t="str">
        <f t="array" ref="L82">IF($F82&lt;&gt;"", XLOOKUP($F82,Productos!$A$2:$A1001,Productos!E$2:E1001,"")*$G82,"")</f>
        <v/>
      </c>
      <c r="M82" s="179" t="str">
        <f t="array" ref="M82">IF($F82&lt;&gt;"",XLOOKUP($F82,Productos!$A:$A,Productos!F:F,"Revisar"),"")</f>
        <v/>
      </c>
      <c r="N82" s="179" t="str">
        <f t="array" ref="N82">IF($F82&lt;&gt;"", XLOOKUP($F82,Productos!$A$2:$A1001,Productos!G$2:G1001,"")*$G82,"")</f>
        <v/>
      </c>
      <c r="O82" s="179" t="str">
        <f t="array" ref="O82">IF($F82&lt;&gt;"",XLOOKUP($F82,Productos!$A:$A,Productos!H:H,"Revisar"),"")</f>
        <v/>
      </c>
      <c r="P82" s="179" t="str">
        <f t="array" ref="P82">IF($F82&lt;&gt;"", XLOOKUP($F82,Productos!$A$2:$A1001,Productos!I$2:I1001,"")*$G82,"")</f>
        <v/>
      </c>
      <c r="Q82" s="179" t="str">
        <f t="array" ref="Q82">IF($F82&lt;&gt;"",XLOOKUP($F82,Productos!$A:$A,Productos!J:J,"Revisar"),"")</f>
        <v/>
      </c>
      <c r="R82" s="179" t="str">
        <f t="array" ref="R82">IF($F82&lt;&gt;"", XLOOKUP($F82,Productos!$A$2:$A1001,Productos!K$2:K1001,"")*$G82,"")</f>
        <v/>
      </c>
      <c r="S82" s="179" t="str">
        <f t="array" ref="S82">IF($F82&lt;&gt;"",XLOOKUP($F82,Productos!$A:$A,Productos!L:L,"Revisar"),"")</f>
        <v/>
      </c>
      <c r="T82" s="179" t="str">
        <f t="array" ref="T82">IF($F82&lt;&gt;"", XLOOKUP($F82,Productos!$A$2:$A1001,Productos!M$2:M1001,"")*$G82,"")</f>
        <v/>
      </c>
      <c r="U82" s="179" t="str">
        <f t="array" ref="U82">IF($F82&lt;&gt;"",XLOOKUP($F82,Productos!$A:$A,Productos!N:N,"Revisar"),"")</f>
        <v/>
      </c>
      <c r="V82" s="179" t="str">
        <f t="array" ref="V82">IF($F82&lt;&gt;"", XLOOKUP($F82,Productos!$A$2:$A1001,Productos!O$2:O1001,"")*$G82,"")</f>
        <v/>
      </c>
      <c r="W82" s="179" t="str">
        <f t="array" ref="W82">IF($F82&lt;&gt;"",XLOOKUP($F82,Productos!$A:$A,Productos!P:P,"Revisar"),"")</f>
        <v/>
      </c>
      <c r="X82" s="179" t="str">
        <f t="array" ref="X82">IF($F82&lt;&gt;"", XLOOKUP($F82,Productos!$A$2:$A1001,Productos!Q$2:Q1001,"")*$G82,"")</f>
        <v/>
      </c>
      <c r="Y82" s="179" t="str">
        <f t="array" ref="Y82">IF($F82&lt;&gt;"",XLOOKUP($F82,Productos!$A:$A,Productos!R:R,"Revisar"),"")</f>
        <v/>
      </c>
      <c r="Z82" s="179" t="str">
        <f t="array" ref="Z82">IF($F82&lt;&gt;"", XLOOKUP($F82,Productos!$A$2:$A1001,Productos!S$2:S1001,"")*$G82,"")</f>
        <v/>
      </c>
      <c r="AA82" s="179" t="str">
        <f t="array" ref="AA82">IF($F82&lt;&gt;"",XLOOKUP($F82,Productos!$A:$A,Productos!T:T,"Revisar"),"")</f>
        <v/>
      </c>
      <c r="AB82" s="179" t="str">
        <f t="array" ref="AB82">IF($F82&lt;&gt;"", XLOOKUP($F82,Productos!$A$2:$A1001,Productos!U$2:U1001,"")*$G82,"")</f>
        <v/>
      </c>
      <c r="AC82" s="179" t="str">
        <f t="array" ref="AC82">IF($F82&lt;&gt;"",XLOOKUP($F82,Productos!$A:$A,Productos!V:V,"Revisar"),"")</f>
        <v/>
      </c>
      <c r="AD82" s="179" t="str">
        <f t="array" ref="AD82">IF($F82&lt;&gt;"", XLOOKUP($F82,Productos!$A$2:$A1001,Productos!W$2:W1001,"")*$G82,"")</f>
        <v/>
      </c>
      <c r="AE82" s="179" t="str">
        <f t="array" ref="AE82">IF($F82&lt;&gt;"",XLOOKUP($F82,Productos!$A:$A,Productos!X:X,"Revisar"),"")</f>
        <v/>
      </c>
      <c r="AF82" s="179" t="str">
        <f t="array" ref="AF82">IF($F82&lt;&gt;"", XLOOKUP($F82,Productos!$A$2:$A1001,Productos!Y$2:Y1001,"")*$G82,"")</f>
        <v/>
      </c>
      <c r="AG82" s="179" t="str">
        <f t="array" ref="AG82">IF($F82&lt;&gt;"",XLOOKUP($F82,Productos!$A:$A,Productos!Z:Z,"Revisar"),"")</f>
        <v/>
      </c>
      <c r="AH82" s="179" t="str">
        <f t="array" ref="AH82">IF($F82&lt;&gt;"", XLOOKUP($F82,Productos!$A$2:$A1001,Productos!AA$2:AA1001,"")*$G82,"")</f>
        <v/>
      </c>
      <c r="AI82" s="179" t="str">
        <f t="array" ref="AI82">IF($F82&lt;&gt;"",XLOOKUP($F82,Productos!$A:$A,Productos!AB:AB,"Revisar"),"")</f>
        <v/>
      </c>
      <c r="AJ82" s="179" t="str">
        <f t="array" ref="AJ82">IF($F82&lt;&gt;"", XLOOKUP($F82,Productos!$A$2:$A1001,Productos!AC$2:AC1001,"")*$G82,"")</f>
        <v/>
      </c>
      <c r="AK82" s="179" t="str">
        <f t="array" ref="AK82">IF($F82&lt;&gt;"",XLOOKUP($F82,Productos!$A:$A,Productos!AD:AD,"Revisar"),"")</f>
        <v/>
      </c>
      <c r="AL82" s="179" t="str">
        <f t="array" ref="AL82">IF($F82&lt;&gt;"", XLOOKUP($F82,Productos!$A$2:$A1001,Productos!AE$2:AE1001,"")*$G82,"")</f>
        <v/>
      </c>
      <c r="AM82" s="179" t="str">
        <f t="array" ref="AM82">IF($F82&lt;&gt;"",XLOOKUP($F82,Productos!$A:$A,Productos!AF:AF,"Revisar"),"")</f>
        <v/>
      </c>
      <c r="AN82" s="179" t="str">
        <f t="array" ref="AN82">IF($F82&lt;&gt;"", XLOOKUP($F82,Productos!$A$2:$A1001,Productos!AG$2:AG1001,"")*$G82,"")</f>
        <v/>
      </c>
      <c r="AO82" s="179" t="str">
        <f t="array" ref="AO82">IF($F82&lt;&gt;"",XLOOKUP($F82,Productos!$A:$A,Productos!AH:AH,"Revisar"),"")</f>
        <v/>
      </c>
      <c r="AP82" s="179" t="str">
        <f t="array" ref="AP82">IF($F82&lt;&gt;"", XLOOKUP($F82,Productos!$A$2:$A1001,Productos!AI$2:AI1001,"")*$G82,"")</f>
        <v/>
      </c>
      <c r="AQ82" s="179" t="str">
        <f t="array" ref="AQ82">IF($F82&lt;&gt;"",XLOOKUP($F82,Productos!$A:$A,Productos!AJ:AJ,"Revisar"),"")</f>
        <v/>
      </c>
      <c r="AR82" s="179" t="str">
        <f t="array" ref="AR82">IF($F82&lt;&gt;"", XLOOKUP($F82,Productos!$A$2:$A1001,Productos!AK$2:AK1001,"")*$G82,"")</f>
        <v/>
      </c>
      <c r="AS82" s="179" t="str">
        <f t="array" ref="AS82">IF($F82&lt;&gt;"",XLOOKUP($F82,Productos!$A:$A,Productos!AL:AL,"Revisar"),"")</f>
        <v/>
      </c>
      <c r="AT82" s="179" t="str">
        <f t="array" ref="AT82">IF($F82&lt;&gt;"", XLOOKUP($F82,Productos!$A$2:$A1001,Productos!AM$2:AM1001,"")*$G82,"")</f>
        <v/>
      </c>
      <c r="AU82" s="179" t="str">
        <f t="array" ref="AU82">IF($F82&lt;&gt;"",XLOOKUP($F82,Productos!$A:$A,Productos!AN:AN,"Revisar"),"")</f>
        <v/>
      </c>
      <c r="AV82" s="179" t="str">
        <f t="array" ref="AV82">IF($F82&lt;&gt;"", XLOOKUP($F82,Productos!$A$2:$A1001,Productos!AO$2:AO1001,"")*$G82,"")</f>
        <v/>
      </c>
      <c r="AW82" s="179" t="str">
        <f t="array" ref="AW82">IF($F82&lt;&gt;"",XLOOKUP($F82,Productos!$A:$A,Productos!AP:AP,"Revisar"),"")</f>
        <v/>
      </c>
      <c r="AX82" s="179" t="str">
        <f t="array" ref="AX82">IF($F82&lt;&gt;"", XLOOKUP($F82,Productos!$A$2:$A1001,Productos!AQ$2:AQ1001,"")*$G82,"")</f>
        <v/>
      </c>
      <c r="AY82" s="179" t="str">
        <f t="array" ref="AY82">IF($F82&lt;&gt;"",XLOOKUP($F82,Productos!$A:$A,Productos!AR:AR,"Revisar"),"")</f>
        <v/>
      </c>
      <c r="AZ82" s="179" t="str">
        <f t="array" ref="AZ82">IF($F82&lt;&gt;"", XLOOKUP($F82,Productos!$A$2:$A1001,Productos!AS$2:AS1001,"")*$G82,"")</f>
        <v/>
      </c>
      <c r="BA82" s="179" t="str">
        <f t="array" ref="BA82">IF($F82&lt;&gt;"",XLOOKUP($F82,Productos!$A:$A,Productos!AT:AT,"Revisar"),"")</f>
        <v/>
      </c>
      <c r="BB82" s="179" t="str">
        <f t="array" ref="BB82">IF($F82&lt;&gt;"", XLOOKUP($F82,Productos!$A$2:$A1001,Productos!AU$2:AU1001,"")*$G82,"")</f>
        <v/>
      </c>
      <c r="BC82" s="179" t="str">
        <f t="array" ref="BC82">IF($F82&lt;&gt;"",XLOOKUP($F82,Productos!$A:$A,Productos!AV:AV,"Revisar"),"")</f>
        <v/>
      </c>
      <c r="BD82" s="179" t="str">
        <f t="array" ref="BD82">IF($F82&lt;&gt;"", XLOOKUP($F82,Productos!$A$2:$A1001,Productos!AW$2:AW1001,"")*$G82,"")</f>
        <v/>
      </c>
      <c r="BE82" s="179" t="str">
        <f t="array" ref="BE82">IF($F82&lt;&gt;"",XLOOKUP($F82,Productos!$A:$A,Productos!AX:AX,"Revisar"),"")</f>
        <v/>
      </c>
      <c r="BF82" s="179" t="str">
        <f t="array" ref="BF82">IF($F82&lt;&gt;"", XLOOKUP($F82,Productos!$A$2:$A1001,Productos!AY$2:AY1001,"")*$G82,"")</f>
        <v/>
      </c>
      <c r="BG82" s="179" t="str">
        <f t="array" ref="BG82">IF($F82&lt;&gt;"",XLOOKUP($F82,Productos!$A:$A,Productos!AZ:AZ,"Revisar"),"")</f>
        <v/>
      </c>
      <c r="BH82" s="179" t="str">
        <f t="array" ref="BH82">IF($F82&lt;&gt;"", XLOOKUP($F82,Productos!$A$2:$A1001,Productos!BA$2:BA1001,"")*$G82,"")</f>
        <v/>
      </c>
      <c r="BI82" s="179" t="str">
        <f t="array" ref="BI82">IF($F82&lt;&gt;"",XLOOKUP($F82,Productos!$A:$A,Productos!BB:BB,"Revisar"),"")</f>
        <v/>
      </c>
      <c r="BJ82" s="179" t="str">
        <f t="array" ref="BJ82">IF($F82&lt;&gt;"", XLOOKUP($F82,Productos!$A$2:$A1001,Productos!BC$2:BC1001,"")*$G82,"")</f>
        <v/>
      </c>
      <c r="BK82" s="179" t="str">
        <f t="array" ref="BK82">IF($F82&lt;&gt;"",XLOOKUP($F82,Productos!$A:$A,Productos!BD:BD,"Revisar"),"")</f>
        <v/>
      </c>
      <c r="BL82" s="179" t="str">
        <f t="array" ref="BL82">IF($F82&lt;&gt;"", XLOOKUP($F82,Productos!$A$2:$A1001,Productos!BE$2:BE1001,"")*$G82,"")</f>
        <v/>
      </c>
      <c r="BM82" s="179" t="str">
        <f t="array" ref="BM82">IF($F82&lt;&gt;"",XLOOKUP($F82,Productos!$A:$A,Productos!BF:BF,"Revisar"),"")</f>
        <v/>
      </c>
      <c r="BN82" s="179" t="str">
        <f t="array" ref="BN82">IF($F82&lt;&gt;"", XLOOKUP($F82,Productos!$A$2:$A1001,Productos!BG$2:BG1001,"")*$G82,"")</f>
        <v/>
      </c>
      <c r="BO82" s="179" t="str">
        <f t="array" ref="BO82">IF($F82&lt;&gt;"",XLOOKUP($F82,Productos!$A:$A,Productos!BH:BH,"Revisar"),"")</f>
        <v/>
      </c>
      <c r="BP82" s="179" t="str">
        <f t="array" ref="BP82">IF($F82&lt;&gt;"", XLOOKUP($F82,Productos!$A$2:$A1001,Productos!BI$2:BI1001,"")*$G82,"")</f>
        <v/>
      </c>
      <c r="BQ82" s="179" t="str">
        <f t="array" ref="BQ82">IF($F82&lt;&gt;"",XLOOKUP($F82,Productos!$A:$A,Productos!BJ:BJ,"Revisar"),"")</f>
        <v/>
      </c>
      <c r="BR82" s="179" t="str">
        <f t="array" ref="BR82">IF($F82&lt;&gt;"", XLOOKUP($F82,Productos!$A$2:$A1001,Productos!BK$2:BK1001,"")*$G82,"")</f>
        <v/>
      </c>
      <c r="BS82" s="179" t="str">
        <f t="array" ref="BS82">IF($F82&lt;&gt;"",XLOOKUP($F82,Productos!$A:$A,Productos!BL:BL,"Revisar"),"")</f>
        <v/>
      </c>
      <c r="BT82" s="179" t="str">
        <f t="array" ref="BT82">IF($F82&lt;&gt;"", XLOOKUP($F82,Productos!$A$2:$A1001,Productos!BM$2:BM1001,"")*$G82,"")</f>
        <v/>
      </c>
      <c r="BU82" s="179" t="str">
        <f t="array" ref="BU82">IF($F82&lt;&gt;"",XLOOKUP($F82,Productos!$A:$A,Productos!BN:BN,"Revisar"),"")</f>
        <v/>
      </c>
      <c r="BV82" s="179" t="str">
        <f t="array" ref="BV82">IF($F82&lt;&gt;"", XLOOKUP($F82,Productos!$A$2:$A1001,Productos!BO$2:BO1001,"")*$G82,"")</f>
        <v/>
      </c>
      <c r="BW82" s="179" t="str">
        <f t="array" ref="BW82">IF($F82&lt;&gt;"",XLOOKUP($F82,Productos!$A:$A,Productos!BP:BP,"Revisar"),"")</f>
        <v/>
      </c>
      <c r="BX82" s="179" t="str">
        <f t="array" ref="BX82">IF($F82&lt;&gt;"", XLOOKUP($F82,Productos!$A$2:$A1001,Productos!BQ$2:BQ1001,"")*$G82,"")</f>
        <v/>
      </c>
      <c r="BY82" s="179" t="str">
        <f t="array" ref="BY82">IF($F82&lt;&gt;"",XLOOKUP($F82,Productos!$A:$A,Productos!BR:BR,"Revisar"),"")</f>
        <v/>
      </c>
      <c r="BZ82" s="179" t="str">
        <f t="array" ref="BZ82">IF($F82&lt;&gt;"", XLOOKUP($F82,Productos!$A$2:$A1001,Productos!BS$2:BS1001,"")*$G82,"")</f>
        <v/>
      </c>
    </row>
    <row r="83">
      <c r="A83" s="180"/>
      <c r="B83" s="181"/>
      <c r="C83" s="182"/>
      <c r="D83" s="182"/>
      <c r="E83" s="185"/>
      <c r="F83" s="186"/>
      <c r="G83" s="187"/>
      <c r="H83" s="186"/>
      <c r="I83" s="179" t="str">
        <f t="array" ref="I83">IF($F83&lt;&gt;"",XLOOKUP($F83,Productos!$A:$A,Productos!B:B,"Revisar"),"")</f>
        <v/>
      </c>
      <c r="J83" s="179" t="str">
        <f t="array" ref="J83">IF($F83&lt;&gt;"", XLOOKUP($F83,Productos!$A$2:$A1001,Productos!C$2:C1001,"")*$G83,"")</f>
        <v/>
      </c>
      <c r="K83" s="179" t="str">
        <f t="array" ref="K83">IF($F83&lt;&gt;"",XLOOKUP($F83,Productos!$A:$A,Productos!D:D,"Revisar"),"")</f>
        <v/>
      </c>
      <c r="L83" s="179" t="str">
        <f t="array" ref="L83">IF($F83&lt;&gt;"", XLOOKUP($F83,Productos!$A$2:$A1001,Productos!E$2:E1001,"")*$G83,"")</f>
        <v/>
      </c>
      <c r="M83" s="179" t="str">
        <f t="array" ref="M83">IF($F83&lt;&gt;"",XLOOKUP($F83,Productos!$A:$A,Productos!F:F,"Revisar"),"")</f>
        <v/>
      </c>
      <c r="N83" s="179" t="str">
        <f t="array" ref="N83">IF($F83&lt;&gt;"", XLOOKUP($F83,Productos!$A$2:$A1001,Productos!G$2:G1001,"")*$G83,"")</f>
        <v/>
      </c>
      <c r="O83" s="179" t="str">
        <f t="array" ref="O83">IF($F83&lt;&gt;"",XLOOKUP($F83,Productos!$A:$A,Productos!H:H,"Revisar"),"")</f>
        <v/>
      </c>
      <c r="P83" s="179" t="str">
        <f t="array" ref="P83">IF($F83&lt;&gt;"", XLOOKUP($F83,Productos!$A$2:$A1001,Productos!I$2:I1001,"")*$G83,"")</f>
        <v/>
      </c>
      <c r="Q83" s="179" t="str">
        <f t="array" ref="Q83">IF($F83&lt;&gt;"",XLOOKUP($F83,Productos!$A:$A,Productos!J:J,"Revisar"),"")</f>
        <v/>
      </c>
      <c r="R83" s="179" t="str">
        <f t="array" ref="R83">IF($F83&lt;&gt;"", XLOOKUP($F83,Productos!$A$2:$A1001,Productos!K$2:K1001,"")*$G83,"")</f>
        <v/>
      </c>
      <c r="S83" s="179" t="str">
        <f t="array" ref="S83">IF($F83&lt;&gt;"",XLOOKUP($F83,Productos!$A:$A,Productos!L:L,"Revisar"),"")</f>
        <v/>
      </c>
      <c r="T83" s="179" t="str">
        <f t="array" ref="T83">IF($F83&lt;&gt;"", XLOOKUP($F83,Productos!$A$2:$A1001,Productos!M$2:M1001,"")*$G83,"")</f>
        <v/>
      </c>
      <c r="U83" s="179" t="str">
        <f t="array" ref="U83">IF($F83&lt;&gt;"",XLOOKUP($F83,Productos!$A:$A,Productos!N:N,"Revisar"),"")</f>
        <v/>
      </c>
      <c r="V83" s="179" t="str">
        <f t="array" ref="V83">IF($F83&lt;&gt;"", XLOOKUP($F83,Productos!$A$2:$A1001,Productos!O$2:O1001,"")*$G83,"")</f>
        <v/>
      </c>
      <c r="W83" s="179" t="str">
        <f t="array" ref="W83">IF($F83&lt;&gt;"",XLOOKUP($F83,Productos!$A:$A,Productos!P:P,"Revisar"),"")</f>
        <v/>
      </c>
      <c r="X83" s="179" t="str">
        <f t="array" ref="X83">IF($F83&lt;&gt;"", XLOOKUP($F83,Productos!$A$2:$A1001,Productos!Q$2:Q1001,"")*$G83,"")</f>
        <v/>
      </c>
      <c r="Y83" s="179" t="str">
        <f t="array" ref="Y83">IF($F83&lt;&gt;"",XLOOKUP($F83,Productos!$A:$A,Productos!R:R,"Revisar"),"")</f>
        <v/>
      </c>
      <c r="Z83" s="179" t="str">
        <f t="array" ref="Z83">IF($F83&lt;&gt;"", XLOOKUP($F83,Productos!$A$2:$A1001,Productos!S$2:S1001,"")*$G83,"")</f>
        <v/>
      </c>
      <c r="AA83" s="179" t="str">
        <f t="array" ref="AA83">IF($F83&lt;&gt;"",XLOOKUP($F83,Productos!$A:$A,Productos!T:T,"Revisar"),"")</f>
        <v/>
      </c>
      <c r="AB83" s="179" t="str">
        <f t="array" ref="AB83">IF($F83&lt;&gt;"", XLOOKUP($F83,Productos!$A$2:$A1001,Productos!U$2:U1001,"")*$G83,"")</f>
        <v/>
      </c>
      <c r="AC83" s="179" t="str">
        <f t="array" ref="AC83">IF($F83&lt;&gt;"",XLOOKUP($F83,Productos!$A:$A,Productos!V:V,"Revisar"),"")</f>
        <v/>
      </c>
      <c r="AD83" s="179" t="str">
        <f t="array" ref="AD83">IF($F83&lt;&gt;"", XLOOKUP($F83,Productos!$A$2:$A1001,Productos!W$2:W1001,"")*$G83,"")</f>
        <v/>
      </c>
      <c r="AE83" s="179" t="str">
        <f t="array" ref="AE83">IF($F83&lt;&gt;"",XLOOKUP($F83,Productos!$A:$A,Productos!X:X,"Revisar"),"")</f>
        <v/>
      </c>
      <c r="AF83" s="179" t="str">
        <f t="array" ref="AF83">IF($F83&lt;&gt;"", XLOOKUP($F83,Productos!$A$2:$A1001,Productos!Y$2:Y1001,"")*$G83,"")</f>
        <v/>
      </c>
      <c r="AG83" s="179" t="str">
        <f t="array" ref="AG83">IF($F83&lt;&gt;"",XLOOKUP($F83,Productos!$A:$A,Productos!Z:Z,"Revisar"),"")</f>
        <v/>
      </c>
      <c r="AH83" s="179" t="str">
        <f t="array" ref="AH83">IF($F83&lt;&gt;"", XLOOKUP($F83,Productos!$A$2:$A1001,Productos!AA$2:AA1001,"")*$G83,"")</f>
        <v/>
      </c>
      <c r="AI83" s="179" t="str">
        <f t="array" ref="AI83">IF($F83&lt;&gt;"",XLOOKUP($F83,Productos!$A:$A,Productos!AB:AB,"Revisar"),"")</f>
        <v/>
      </c>
      <c r="AJ83" s="179" t="str">
        <f t="array" ref="AJ83">IF($F83&lt;&gt;"", XLOOKUP($F83,Productos!$A$2:$A1001,Productos!AC$2:AC1001,"")*$G83,"")</f>
        <v/>
      </c>
      <c r="AK83" s="179" t="str">
        <f t="array" ref="AK83">IF($F83&lt;&gt;"",XLOOKUP($F83,Productos!$A:$A,Productos!AD:AD,"Revisar"),"")</f>
        <v/>
      </c>
      <c r="AL83" s="179" t="str">
        <f t="array" ref="AL83">IF($F83&lt;&gt;"", XLOOKUP($F83,Productos!$A$2:$A1001,Productos!AE$2:AE1001,"")*$G83,"")</f>
        <v/>
      </c>
      <c r="AM83" s="179" t="str">
        <f t="array" ref="AM83">IF($F83&lt;&gt;"",XLOOKUP($F83,Productos!$A:$A,Productos!AF:AF,"Revisar"),"")</f>
        <v/>
      </c>
      <c r="AN83" s="179" t="str">
        <f t="array" ref="AN83">IF($F83&lt;&gt;"", XLOOKUP($F83,Productos!$A$2:$A1001,Productos!AG$2:AG1001,"")*$G83,"")</f>
        <v/>
      </c>
      <c r="AO83" s="179" t="str">
        <f t="array" ref="AO83">IF($F83&lt;&gt;"",XLOOKUP($F83,Productos!$A:$A,Productos!AH:AH,"Revisar"),"")</f>
        <v/>
      </c>
      <c r="AP83" s="179" t="str">
        <f t="array" ref="AP83">IF($F83&lt;&gt;"", XLOOKUP($F83,Productos!$A$2:$A1001,Productos!AI$2:AI1001,"")*$G83,"")</f>
        <v/>
      </c>
      <c r="AQ83" s="179" t="str">
        <f t="array" ref="AQ83">IF($F83&lt;&gt;"",XLOOKUP($F83,Productos!$A:$A,Productos!AJ:AJ,"Revisar"),"")</f>
        <v/>
      </c>
      <c r="AR83" s="179" t="str">
        <f t="array" ref="AR83">IF($F83&lt;&gt;"", XLOOKUP($F83,Productos!$A$2:$A1001,Productos!AK$2:AK1001,"")*$G83,"")</f>
        <v/>
      </c>
      <c r="AS83" s="179" t="str">
        <f t="array" ref="AS83">IF($F83&lt;&gt;"",XLOOKUP($F83,Productos!$A:$A,Productos!AL:AL,"Revisar"),"")</f>
        <v/>
      </c>
      <c r="AT83" s="179" t="str">
        <f t="array" ref="AT83">IF($F83&lt;&gt;"", XLOOKUP($F83,Productos!$A$2:$A1001,Productos!AM$2:AM1001,"")*$G83,"")</f>
        <v/>
      </c>
      <c r="AU83" s="179" t="str">
        <f t="array" ref="AU83">IF($F83&lt;&gt;"",XLOOKUP($F83,Productos!$A:$A,Productos!AN:AN,"Revisar"),"")</f>
        <v/>
      </c>
      <c r="AV83" s="179" t="str">
        <f t="array" ref="AV83">IF($F83&lt;&gt;"", XLOOKUP($F83,Productos!$A$2:$A1001,Productos!AO$2:AO1001,"")*$G83,"")</f>
        <v/>
      </c>
      <c r="AW83" s="179" t="str">
        <f t="array" ref="AW83">IF($F83&lt;&gt;"",XLOOKUP($F83,Productos!$A:$A,Productos!AP:AP,"Revisar"),"")</f>
        <v/>
      </c>
      <c r="AX83" s="179" t="str">
        <f t="array" ref="AX83">IF($F83&lt;&gt;"", XLOOKUP($F83,Productos!$A$2:$A1001,Productos!AQ$2:AQ1001,"")*$G83,"")</f>
        <v/>
      </c>
      <c r="AY83" s="179" t="str">
        <f t="array" ref="AY83">IF($F83&lt;&gt;"",XLOOKUP($F83,Productos!$A:$A,Productos!AR:AR,"Revisar"),"")</f>
        <v/>
      </c>
      <c r="AZ83" s="179" t="str">
        <f t="array" ref="AZ83">IF($F83&lt;&gt;"", XLOOKUP($F83,Productos!$A$2:$A1001,Productos!AS$2:AS1001,"")*$G83,"")</f>
        <v/>
      </c>
      <c r="BA83" s="179" t="str">
        <f t="array" ref="BA83">IF($F83&lt;&gt;"",XLOOKUP($F83,Productos!$A:$A,Productos!AT:AT,"Revisar"),"")</f>
        <v/>
      </c>
      <c r="BB83" s="179" t="str">
        <f t="array" ref="BB83">IF($F83&lt;&gt;"", XLOOKUP($F83,Productos!$A$2:$A1001,Productos!AU$2:AU1001,"")*$G83,"")</f>
        <v/>
      </c>
      <c r="BC83" s="179" t="str">
        <f t="array" ref="BC83">IF($F83&lt;&gt;"",XLOOKUP($F83,Productos!$A:$A,Productos!AV:AV,"Revisar"),"")</f>
        <v/>
      </c>
      <c r="BD83" s="179" t="str">
        <f t="array" ref="BD83">IF($F83&lt;&gt;"", XLOOKUP($F83,Productos!$A$2:$A1001,Productos!AW$2:AW1001,"")*$G83,"")</f>
        <v/>
      </c>
      <c r="BE83" s="179" t="str">
        <f t="array" ref="BE83">IF($F83&lt;&gt;"",XLOOKUP($F83,Productos!$A:$A,Productos!AX:AX,"Revisar"),"")</f>
        <v/>
      </c>
      <c r="BF83" s="179" t="str">
        <f t="array" ref="BF83">IF($F83&lt;&gt;"", XLOOKUP($F83,Productos!$A$2:$A1001,Productos!AY$2:AY1001,"")*$G83,"")</f>
        <v/>
      </c>
      <c r="BG83" s="179" t="str">
        <f t="array" ref="BG83">IF($F83&lt;&gt;"",XLOOKUP($F83,Productos!$A:$A,Productos!AZ:AZ,"Revisar"),"")</f>
        <v/>
      </c>
      <c r="BH83" s="179" t="str">
        <f t="array" ref="BH83">IF($F83&lt;&gt;"", XLOOKUP($F83,Productos!$A$2:$A1001,Productos!BA$2:BA1001,"")*$G83,"")</f>
        <v/>
      </c>
      <c r="BI83" s="179" t="str">
        <f t="array" ref="BI83">IF($F83&lt;&gt;"",XLOOKUP($F83,Productos!$A:$A,Productos!BB:BB,"Revisar"),"")</f>
        <v/>
      </c>
      <c r="BJ83" s="179" t="str">
        <f t="array" ref="BJ83">IF($F83&lt;&gt;"", XLOOKUP($F83,Productos!$A$2:$A1001,Productos!BC$2:BC1001,"")*$G83,"")</f>
        <v/>
      </c>
      <c r="BK83" s="179" t="str">
        <f t="array" ref="BK83">IF($F83&lt;&gt;"",XLOOKUP($F83,Productos!$A:$A,Productos!BD:BD,"Revisar"),"")</f>
        <v/>
      </c>
      <c r="BL83" s="179" t="str">
        <f t="array" ref="BL83">IF($F83&lt;&gt;"", XLOOKUP($F83,Productos!$A$2:$A1001,Productos!BE$2:BE1001,"")*$G83,"")</f>
        <v/>
      </c>
      <c r="BM83" s="179" t="str">
        <f t="array" ref="BM83">IF($F83&lt;&gt;"",XLOOKUP($F83,Productos!$A:$A,Productos!BF:BF,"Revisar"),"")</f>
        <v/>
      </c>
      <c r="BN83" s="179" t="str">
        <f t="array" ref="BN83">IF($F83&lt;&gt;"", XLOOKUP($F83,Productos!$A$2:$A1001,Productos!BG$2:BG1001,"")*$G83,"")</f>
        <v/>
      </c>
      <c r="BO83" s="179" t="str">
        <f t="array" ref="BO83">IF($F83&lt;&gt;"",XLOOKUP($F83,Productos!$A:$A,Productos!BH:BH,"Revisar"),"")</f>
        <v/>
      </c>
      <c r="BP83" s="179" t="str">
        <f t="array" ref="BP83">IF($F83&lt;&gt;"", XLOOKUP($F83,Productos!$A$2:$A1001,Productos!BI$2:BI1001,"")*$G83,"")</f>
        <v/>
      </c>
      <c r="BQ83" s="179" t="str">
        <f t="array" ref="BQ83">IF($F83&lt;&gt;"",XLOOKUP($F83,Productos!$A:$A,Productos!BJ:BJ,"Revisar"),"")</f>
        <v/>
      </c>
      <c r="BR83" s="179" t="str">
        <f t="array" ref="BR83">IF($F83&lt;&gt;"", XLOOKUP($F83,Productos!$A$2:$A1001,Productos!BK$2:BK1001,"")*$G83,"")</f>
        <v/>
      </c>
      <c r="BS83" s="179" t="str">
        <f t="array" ref="BS83">IF($F83&lt;&gt;"",XLOOKUP($F83,Productos!$A:$A,Productos!BL:BL,"Revisar"),"")</f>
        <v/>
      </c>
      <c r="BT83" s="179" t="str">
        <f t="array" ref="BT83">IF($F83&lt;&gt;"", XLOOKUP($F83,Productos!$A$2:$A1001,Productos!BM$2:BM1001,"")*$G83,"")</f>
        <v/>
      </c>
      <c r="BU83" s="179" t="str">
        <f t="array" ref="BU83">IF($F83&lt;&gt;"",XLOOKUP($F83,Productos!$A:$A,Productos!BN:BN,"Revisar"),"")</f>
        <v/>
      </c>
      <c r="BV83" s="179" t="str">
        <f t="array" ref="BV83">IF($F83&lt;&gt;"", XLOOKUP($F83,Productos!$A$2:$A1001,Productos!BO$2:BO1001,"")*$G83,"")</f>
        <v/>
      </c>
      <c r="BW83" s="179" t="str">
        <f t="array" ref="BW83">IF($F83&lt;&gt;"",XLOOKUP($F83,Productos!$A:$A,Productos!BP:BP,"Revisar"),"")</f>
        <v/>
      </c>
      <c r="BX83" s="179" t="str">
        <f t="array" ref="BX83">IF($F83&lt;&gt;"", XLOOKUP($F83,Productos!$A$2:$A1001,Productos!BQ$2:BQ1001,"")*$G83,"")</f>
        <v/>
      </c>
      <c r="BY83" s="179" t="str">
        <f t="array" ref="BY83">IF($F83&lt;&gt;"",XLOOKUP($F83,Productos!$A:$A,Productos!BR:BR,"Revisar"),"")</f>
        <v/>
      </c>
      <c r="BZ83" s="179" t="str">
        <f t="array" ref="BZ83">IF($F83&lt;&gt;"", XLOOKUP($F83,Productos!$A$2:$A1001,Productos!BS$2:BS1001,"")*$G83,"")</f>
        <v/>
      </c>
    </row>
    <row r="84">
      <c r="A84" s="180"/>
      <c r="B84" s="181"/>
      <c r="C84" s="182"/>
      <c r="D84" s="182"/>
      <c r="E84" s="185"/>
      <c r="F84" s="186"/>
      <c r="G84" s="187"/>
      <c r="H84" s="186"/>
      <c r="I84" s="179" t="str">
        <f t="array" ref="I84">IF($F84&lt;&gt;"",XLOOKUP($F84,Productos!$A:$A,Productos!B:B,"Revisar"),"")</f>
        <v/>
      </c>
      <c r="J84" s="179" t="str">
        <f t="array" ref="J84">IF($F84&lt;&gt;"", XLOOKUP($F84,Productos!$A$2:$A1001,Productos!C$2:C1001,"")*$G84,"")</f>
        <v/>
      </c>
      <c r="K84" s="179" t="str">
        <f t="array" ref="K84">IF($F84&lt;&gt;"",XLOOKUP($F84,Productos!$A:$A,Productos!D:D,"Revisar"),"")</f>
        <v/>
      </c>
      <c r="L84" s="179" t="str">
        <f t="array" ref="L84">IF($F84&lt;&gt;"", XLOOKUP($F84,Productos!$A$2:$A1001,Productos!E$2:E1001,"")*$G84,"")</f>
        <v/>
      </c>
      <c r="M84" s="179" t="str">
        <f t="array" ref="M84">IF($F84&lt;&gt;"",XLOOKUP($F84,Productos!$A:$A,Productos!F:F,"Revisar"),"")</f>
        <v/>
      </c>
      <c r="N84" s="179" t="str">
        <f t="array" ref="N84">IF($F84&lt;&gt;"", XLOOKUP($F84,Productos!$A$2:$A1001,Productos!G$2:G1001,"")*$G84,"")</f>
        <v/>
      </c>
      <c r="O84" s="179" t="str">
        <f t="array" ref="O84">IF($F84&lt;&gt;"",XLOOKUP($F84,Productos!$A:$A,Productos!H:H,"Revisar"),"")</f>
        <v/>
      </c>
      <c r="P84" s="179" t="str">
        <f t="array" ref="P84">IF($F84&lt;&gt;"", XLOOKUP($F84,Productos!$A$2:$A1001,Productos!I$2:I1001,"")*$G84,"")</f>
        <v/>
      </c>
      <c r="Q84" s="179" t="str">
        <f t="array" ref="Q84">IF($F84&lt;&gt;"",XLOOKUP($F84,Productos!$A:$A,Productos!J:J,"Revisar"),"")</f>
        <v/>
      </c>
      <c r="R84" s="179" t="str">
        <f t="array" ref="R84">IF($F84&lt;&gt;"", XLOOKUP($F84,Productos!$A$2:$A1001,Productos!K$2:K1001,"")*$G84,"")</f>
        <v/>
      </c>
      <c r="S84" s="179" t="str">
        <f t="array" ref="S84">IF($F84&lt;&gt;"",XLOOKUP($F84,Productos!$A:$A,Productos!L:L,"Revisar"),"")</f>
        <v/>
      </c>
      <c r="T84" s="179" t="str">
        <f t="array" ref="T84">IF($F84&lt;&gt;"", XLOOKUP($F84,Productos!$A$2:$A1001,Productos!M$2:M1001,"")*$G84,"")</f>
        <v/>
      </c>
      <c r="U84" s="179" t="str">
        <f t="array" ref="U84">IF($F84&lt;&gt;"",XLOOKUP($F84,Productos!$A:$A,Productos!N:N,"Revisar"),"")</f>
        <v/>
      </c>
      <c r="V84" s="179" t="str">
        <f t="array" ref="V84">IF($F84&lt;&gt;"", XLOOKUP($F84,Productos!$A$2:$A1001,Productos!O$2:O1001,"")*$G84,"")</f>
        <v/>
      </c>
      <c r="W84" s="179" t="str">
        <f t="array" ref="W84">IF($F84&lt;&gt;"",XLOOKUP($F84,Productos!$A:$A,Productos!P:P,"Revisar"),"")</f>
        <v/>
      </c>
      <c r="X84" s="179" t="str">
        <f t="array" ref="X84">IF($F84&lt;&gt;"", XLOOKUP($F84,Productos!$A$2:$A1001,Productos!Q$2:Q1001,"")*$G84,"")</f>
        <v/>
      </c>
      <c r="Y84" s="179" t="str">
        <f t="array" ref="Y84">IF($F84&lt;&gt;"",XLOOKUP($F84,Productos!$A:$A,Productos!R:R,"Revisar"),"")</f>
        <v/>
      </c>
      <c r="Z84" s="179" t="str">
        <f t="array" ref="Z84">IF($F84&lt;&gt;"", XLOOKUP($F84,Productos!$A$2:$A1001,Productos!S$2:S1001,"")*$G84,"")</f>
        <v/>
      </c>
      <c r="AA84" s="179" t="str">
        <f t="array" ref="AA84">IF($F84&lt;&gt;"",XLOOKUP($F84,Productos!$A:$A,Productos!T:T,"Revisar"),"")</f>
        <v/>
      </c>
      <c r="AB84" s="179" t="str">
        <f t="array" ref="AB84">IF($F84&lt;&gt;"", XLOOKUP($F84,Productos!$A$2:$A1001,Productos!U$2:U1001,"")*$G84,"")</f>
        <v/>
      </c>
      <c r="AC84" s="179" t="str">
        <f t="array" ref="AC84">IF($F84&lt;&gt;"",XLOOKUP($F84,Productos!$A:$A,Productos!V:V,"Revisar"),"")</f>
        <v/>
      </c>
      <c r="AD84" s="179" t="str">
        <f t="array" ref="AD84">IF($F84&lt;&gt;"", XLOOKUP($F84,Productos!$A$2:$A1001,Productos!W$2:W1001,"")*$G84,"")</f>
        <v/>
      </c>
      <c r="AE84" s="179" t="str">
        <f t="array" ref="AE84">IF($F84&lt;&gt;"",XLOOKUP($F84,Productos!$A:$A,Productos!X:X,"Revisar"),"")</f>
        <v/>
      </c>
      <c r="AF84" s="179" t="str">
        <f t="array" ref="AF84">IF($F84&lt;&gt;"", XLOOKUP($F84,Productos!$A$2:$A1001,Productos!Y$2:Y1001,"")*$G84,"")</f>
        <v/>
      </c>
      <c r="AG84" s="179" t="str">
        <f t="array" ref="AG84">IF($F84&lt;&gt;"",XLOOKUP($F84,Productos!$A:$A,Productos!Z:Z,"Revisar"),"")</f>
        <v/>
      </c>
      <c r="AH84" s="179" t="str">
        <f t="array" ref="AH84">IF($F84&lt;&gt;"", XLOOKUP($F84,Productos!$A$2:$A1001,Productos!AA$2:AA1001,"")*$G84,"")</f>
        <v/>
      </c>
      <c r="AI84" s="179" t="str">
        <f t="array" ref="AI84">IF($F84&lt;&gt;"",XLOOKUP($F84,Productos!$A:$A,Productos!AB:AB,"Revisar"),"")</f>
        <v/>
      </c>
      <c r="AJ84" s="179" t="str">
        <f t="array" ref="AJ84">IF($F84&lt;&gt;"", XLOOKUP($F84,Productos!$A$2:$A1001,Productos!AC$2:AC1001,"")*$G84,"")</f>
        <v/>
      </c>
      <c r="AK84" s="179" t="str">
        <f t="array" ref="AK84">IF($F84&lt;&gt;"",XLOOKUP($F84,Productos!$A:$A,Productos!AD:AD,"Revisar"),"")</f>
        <v/>
      </c>
      <c r="AL84" s="179" t="str">
        <f t="array" ref="AL84">IF($F84&lt;&gt;"", XLOOKUP($F84,Productos!$A$2:$A1001,Productos!AE$2:AE1001,"")*$G84,"")</f>
        <v/>
      </c>
      <c r="AM84" s="179" t="str">
        <f t="array" ref="AM84">IF($F84&lt;&gt;"",XLOOKUP($F84,Productos!$A:$A,Productos!AF:AF,"Revisar"),"")</f>
        <v/>
      </c>
      <c r="AN84" s="179" t="str">
        <f t="array" ref="AN84">IF($F84&lt;&gt;"", XLOOKUP($F84,Productos!$A$2:$A1001,Productos!AG$2:AG1001,"")*$G84,"")</f>
        <v/>
      </c>
      <c r="AO84" s="179" t="str">
        <f t="array" ref="AO84">IF($F84&lt;&gt;"",XLOOKUP($F84,Productos!$A:$A,Productos!AH:AH,"Revisar"),"")</f>
        <v/>
      </c>
      <c r="AP84" s="179" t="str">
        <f t="array" ref="AP84">IF($F84&lt;&gt;"", XLOOKUP($F84,Productos!$A$2:$A1001,Productos!AI$2:AI1001,"")*$G84,"")</f>
        <v/>
      </c>
      <c r="AQ84" s="179" t="str">
        <f t="array" ref="AQ84">IF($F84&lt;&gt;"",XLOOKUP($F84,Productos!$A:$A,Productos!AJ:AJ,"Revisar"),"")</f>
        <v/>
      </c>
      <c r="AR84" s="179" t="str">
        <f t="array" ref="AR84">IF($F84&lt;&gt;"", XLOOKUP($F84,Productos!$A$2:$A1001,Productos!AK$2:AK1001,"")*$G84,"")</f>
        <v/>
      </c>
      <c r="AS84" s="179" t="str">
        <f t="array" ref="AS84">IF($F84&lt;&gt;"",XLOOKUP($F84,Productos!$A:$A,Productos!AL:AL,"Revisar"),"")</f>
        <v/>
      </c>
      <c r="AT84" s="179" t="str">
        <f t="array" ref="AT84">IF($F84&lt;&gt;"", XLOOKUP($F84,Productos!$A$2:$A1001,Productos!AM$2:AM1001,"")*$G84,"")</f>
        <v/>
      </c>
      <c r="AU84" s="179" t="str">
        <f t="array" ref="AU84">IF($F84&lt;&gt;"",XLOOKUP($F84,Productos!$A:$A,Productos!AN:AN,"Revisar"),"")</f>
        <v/>
      </c>
      <c r="AV84" s="179" t="str">
        <f t="array" ref="AV84">IF($F84&lt;&gt;"", XLOOKUP($F84,Productos!$A$2:$A1001,Productos!AO$2:AO1001,"")*$G84,"")</f>
        <v/>
      </c>
      <c r="AW84" s="179" t="str">
        <f t="array" ref="AW84">IF($F84&lt;&gt;"",XLOOKUP($F84,Productos!$A:$A,Productos!AP:AP,"Revisar"),"")</f>
        <v/>
      </c>
      <c r="AX84" s="179" t="str">
        <f t="array" ref="AX84">IF($F84&lt;&gt;"", XLOOKUP($F84,Productos!$A$2:$A1001,Productos!AQ$2:AQ1001,"")*$G84,"")</f>
        <v/>
      </c>
      <c r="AY84" s="179" t="str">
        <f t="array" ref="AY84">IF($F84&lt;&gt;"",XLOOKUP($F84,Productos!$A:$A,Productos!AR:AR,"Revisar"),"")</f>
        <v/>
      </c>
      <c r="AZ84" s="179" t="str">
        <f t="array" ref="AZ84">IF($F84&lt;&gt;"", XLOOKUP($F84,Productos!$A$2:$A1001,Productos!AS$2:AS1001,"")*$G84,"")</f>
        <v/>
      </c>
      <c r="BA84" s="179" t="str">
        <f t="array" ref="BA84">IF($F84&lt;&gt;"",XLOOKUP($F84,Productos!$A:$A,Productos!AT:AT,"Revisar"),"")</f>
        <v/>
      </c>
      <c r="BB84" s="179" t="str">
        <f t="array" ref="BB84">IF($F84&lt;&gt;"", XLOOKUP($F84,Productos!$A$2:$A1001,Productos!AU$2:AU1001,"")*$G84,"")</f>
        <v/>
      </c>
      <c r="BC84" s="179" t="str">
        <f t="array" ref="BC84">IF($F84&lt;&gt;"",XLOOKUP($F84,Productos!$A:$A,Productos!AV:AV,"Revisar"),"")</f>
        <v/>
      </c>
      <c r="BD84" s="179" t="str">
        <f t="array" ref="BD84">IF($F84&lt;&gt;"", XLOOKUP($F84,Productos!$A$2:$A1001,Productos!AW$2:AW1001,"")*$G84,"")</f>
        <v/>
      </c>
      <c r="BE84" s="179" t="str">
        <f t="array" ref="BE84">IF($F84&lt;&gt;"",XLOOKUP($F84,Productos!$A:$A,Productos!AX:AX,"Revisar"),"")</f>
        <v/>
      </c>
      <c r="BF84" s="179" t="str">
        <f t="array" ref="BF84">IF($F84&lt;&gt;"", XLOOKUP($F84,Productos!$A$2:$A1001,Productos!AY$2:AY1001,"")*$G84,"")</f>
        <v/>
      </c>
      <c r="BG84" s="179" t="str">
        <f t="array" ref="BG84">IF($F84&lt;&gt;"",XLOOKUP($F84,Productos!$A:$A,Productos!AZ:AZ,"Revisar"),"")</f>
        <v/>
      </c>
      <c r="BH84" s="179" t="str">
        <f t="array" ref="BH84">IF($F84&lt;&gt;"", XLOOKUP($F84,Productos!$A$2:$A1001,Productos!BA$2:BA1001,"")*$G84,"")</f>
        <v/>
      </c>
      <c r="BI84" s="179" t="str">
        <f t="array" ref="BI84">IF($F84&lt;&gt;"",XLOOKUP($F84,Productos!$A:$A,Productos!BB:BB,"Revisar"),"")</f>
        <v/>
      </c>
      <c r="BJ84" s="179" t="str">
        <f t="array" ref="BJ84">IF($F84&lt;&gt;"", XLOOKUP($F84,Productos!$A$2:$A1001,Productos!BC$2:BC1001,"")*$G84,"")</f>
        <v/>
      </c>
      <c r="BK84" s="179" t="str">
        <f t="array" ref="BK84">IF($F84&lt;&gt;"",XLOOKUP($F84,Productos!$A:$A,Productos!BD:BD,"Revisar"),"")</f>
        <v/>
      </c>
      <c r="BL84" s="179" t="str">
        <f t="array" ref="BL84">IF($F84&lt;&gt;"", XLOOKUP($F84,Productos!$A$2:$A1001,Productos!BE$2:BE1001,"")*$G84,"")</f>
        <v/>
      </c>
      <c r="BM84" s="179" t="str">
        <f t="array" ref="BM84">IF($F84&lt;&gt;"",XLOOKUP($F84,Productos!$A:$A,Productos!BF:BF,"Revisar"),"")</f>
        <v/>
      </c>
      <c r="BN84" s="179" t="str">
        <f t="array" ref="BN84">IF($F84&lt;&gt;"", XLOOKUP($F84,Productos!$A$2:$A1001,Productos!BG$2:BG1001,"")*$G84,"")</f>
        <v/>
      </c>
      <c r="BO84" s="179" t="str">
        <f t="array" ref="BO84">IF($F84&lt;&gt;"",XLOOKUP($F84,Productos!$A:$A,Productos!BH:BH,"Revisar"),"")</f>
        <v/>
      </c>
      <c r="BP84" s="179" t="str">
        <f t="array" ref="BP84">IF($F84&lt;&gt;"", XLOOKUP($F84,Productos!$A$2:$A1001,Productos!BI$2:BI1001,"")*$G84,"")</f>
        <v/>
      </c>
      <c r="BQ84" s="179" t="str">
        <f t="array" ref="BQ84">IF($F84&lt;&gt;"",XLOOKUP($F84,Productos!$A:$A,Productos!BJ:BJ,"Revisar"),"")</f>
        <v/>
      </c>
      <c r="BR84" s="179" t="str">
        <f t="array" ref="BR84">IF($F84&lt;&gt;"", XLOOKUP($F84,Productos!$A$2:$A1001,Productos!BK$2:BK1001,"")*$G84,"")</f>
        <v/>
      </c>
      <c r="BS84" s="179" t="str">
        <f t="array" ref="BS84">IF($F84&lt;&gt;"",XLOOKUP($F84,Productos!$A:$A,Productos!BL:BL,"Revisar"),"")</f>
        <v/>
      </c>
      <c r="BT84" s="179" t="str">
        <f t="array" ref="BT84">IF($F84&lt;&gt;"", XLOOKUP($F84,Productos!$A$2:$A1001,Productos!BM$2:BM1001,"")*$G84,"")</f>
        <v/>
      </c>
      <c r="BU84" s="179" t="str">
        <f t="array" ref="BU84">IF($F84&lt;&gt;"",XLOOKUP($F84,Productos!$A:$A,Productos!BN:BN,"Revisar"),"")</f>
        <v/>
      </c>
      <c r="BV84" s="179" t="str">
        <f t="array" ref="BV84">IF($F84&lt;&gt;"", XLOOKUP($F84,Productos!$A$2:$A1001,Productos!BO$2:BO1001,"")*$G84,"")</f>
        <v/>
      </c>
      <c r="BW84" s="179" t="str">
        <f t="array" ref="BW84">IF($F84&lt;&gt;"",XLOOKUP($F84,Productos!$A:$A,Productos!BP:BP,"Revisar"),"")</f>
        <v/>
      </c>
      <c r="BX84" s="179" t="str">
        <f t="array" ref="BX84">IF($F84&lt;&gt;"", XLOOKUP($F84,Productos!$A$2:$A1001,Productos!BQ$2:BQ1001,"")*$G84,"")</f>
        <v/>
      </c>
      <c r="BY84" s="179" t="str">
        <f t="array" ref="BY84">IF($F84&lt;&gt;"",XLOOKUP($F84,Productos!$A:$A,Productos!BR:BR,"Revisar"),"")</f>
        <v/>
      </c>
      <c r="BZ84" s="179" t="str">
        <f t="array" ref="BZ84">IF($F84&lt;&gt;"", XLOOKUP($F84,Productos!$A$2:$A1001,Productos!BS$2:BS1001,"")*$G84,"")</f>
        <v/>
      </c>
    </row>
    <row r="85">
      <c r="A85" s="180"/>
      <c r="B85" s="181"/>
      <c r="C85" s="182"/>
      <c r="D85" s="182"/>
      <c r="E85" s="185"/>
      <c r="F85" s="186"/>
      <c r="G85" s="187"/>
      <c r="H85" s="186"/>
      <c r="I85" s="179" t="str">
        <f t="array" ref="I85">IF($F85&lt;&gt;"",XLOOKUP($F85,Productos!$A:$A,Productos!B:B,"Revisar"),"")</f>
        <v/>
      </c>
      <c r="J85" s="179" t="str">
        <f t="array" ref="J85">IF($F85&lt;&gt;"", XLOOKUP($F85,Productos!$A$2:$A1001,Productos!C$2:C1001,"")*$G85,"")</f>
        <v/>
      </c>
      <c r="K85" s="179" t="str">
        <f t="array" ref="K85">IF($F85&lt;&gt;"",XLOOKUP($F85,Productos!$A:$A,Productos!D:D,"Revisar"),"")</f>
        <v/>
      </c>
      <c r="L85" s="179" t="str">
        <f t="array" ref="L85">IF($F85&lt;&gt;"", XLOOKUP($F85,Productos!$A$2:$A1001,Productos!E$2:E1001,"")*$G85,"")</f>
        <v/>
      </c>
      <c r="M85" s="179" t="str">
        <f t="array" ref="M85">IF($F85&lt;&gt;"",XLOOKUP($F85,Productos!$A:$A,Productos!F:F,"Revisar"),"")</f>
        <v/>
      </c>
      <c r="N85" s="179" t="str">
        <f t="array" ref="N85">IF($F85&lt;&gt;"", XLOOKUP($F85,Productos!$A$2:$A1001,Productos!G$2:G1001,"")*$G85,"")</f>
        <v/>
      </c>
      <c r="O85" s="179" t="str">
        <f t="array" ref="O85">IF($F85&lt;&gt;"",XLOOKUP($F85,Productos!$A:$A,Productos!H:H,"Revisar"),"")</f>
        <v/>
      </c>
      <c r="P85" s="179" t="str">
        <f t="array" ref="P85">IF($F85&lt;&gt;"", XLOOKUP($F85,Productos!$A$2:$A1001,Productos!I$2:I1001,"")*$G85,"")</f>
        <v/>
      </c>
      <c r="Q85" s="179" t="str">
        <f t="array" ref="Q85">IF($F85&lt;&gt;"",XLOOKUP($F85,Productos!$A:$A,Productos!J:J,"Revisar"),"")</f>
        <v/>
      </c>
      <c r="R85" s="179" t="str">
        <f t="array" ref="R85">IF($F85&lt;&gt;"", XLOOKUP($F85,Productos!$A$2:$A1001,Productos!K$2:K1001,"")*$G85,"")</f>
        <v/>
      </c>
      <c r="S85" s="179" t="str">
        <f t="array" ref="S85">IF($F85&lt;&gt;"",XLOOKUP($F85,Productos!$A:$A,Productos!L:L,"Revisar"),"")</f>
        <v/>
      </c>
      <c r="T85" s="179" t="str">
        <f t="array" ref="T85">IF($F85&lt;&gt;"", XLOOKUP($F85,Productos!$A$2:$A1001,Productos!M$2:M1001,"")*$G85,"")</f>
        <v/>
      </c>
      <c r="U85" s="179" t="str">
        <f t="array" ref="U85">IF($F85&lt;&gt;"",XLOOKUP($F85,Productos!$A:$A,Productos!N:N,"Revisar"),"")</f>
        <v/>
      </c>
      <c r="V85" s="179" t="str">
        <f t="array" ref="V85">IF($F85&lt;&gt;"", XLOOKUP($F85,Productos!$A$2:$A1001,Productos!O$2:O1001,"")*$G85,"")</f>
        <v/>
      </c>
      <c r="W85" s="179" t="str">
        <f t="array" ref="W85">IF($F85&lt;&gt;"",XLOOKUP($F85,Productos!$A:$A,Productos!P:P,"Revisar"),"")</f>
        <v/>
      </c>
      <c r="X85" s="179" t="str">
        <f t="array" ref="X85">IF($F85&lt;&gt;"", XLOOKUP($F85,Productos!$A$2:$A1001,Productos!Q$2:Q1001,"")*$G85,"")</f>
        <v/>
      </c>
      <c r="Y85" s="179" t="str">
        <f t="array" ref="Y85">IF($F85&lt;&gt;"",XLOOKUP($F85,Productos!$A:$A,Productos!R:R,"Revisar"),"")</f>
        <v/>
      </c>
      <c r="Z85" s="179" t="str">
        <f t="array" ref="Z85">IF($F85&lt;&gt;"", XLOOKUP($F85,Productos!$A$2:$A1001,Productos!S$2:S1001,"")*$G85,"")</f>
        <v/>
      </c>
      <c r="AA85" s="179" t="str">
        <f t="array" ref="AA85">IF($F85&lt;&gt;"",XLOOKUP($F85,Productos!$A:$A,Productos!T:T,"Revisar"),"")</f>
        <v/>
      </c>
      <c r="AB85" s="179" t="str">
        <f t="array" ref="AB85">IF($F85&lt;&gt;"", XLOOKUP($F85,Productos!$A$2:$A1001,Productos!U$2:U1001,"")*$G85,"")</f>
        <v/>
      </c>
      <c r="AC85" s="179" t="str">
        <f t="array" ref="AC85">IF($F85&lt;&gt;"",XLOOKUP($F85,Productos!$A:$A,Productos!V:V,"Revisar"),"")</f>
        <v/>
      </c>
      <c r="AD85" s="179" t="str">
        <f t="array" ref="AD85">IF($F85&lt;&gt;"", XLOOKUP($F85,Productos!$A$2:$A1001,Productos!W$2:W1001,"")*$G85,"")</f>
        <v/>
      </c>
      <c r="AE85" s="179" t="str">
        <f t="array" ref="AE85">IF($F85&lt;&gt;"",XLOOKUP($F85,Productos!$A:$A,Productos!X:X,"Revisar"),"")</f>
        <v/>
      </c>
      <c r="AF85" s="179" t="str">
        <f t="array" ref="AF85">IF($F85&lt;&gt;"", XLOOKUP($F85,Productos!$A$2:$A1001,Productos!Y$2:Y1001,"")*$G85,"")</f>
        <v/>
      </c>
      <c r="AG85" s="179" t="str">
        <f t="array" ref="AG85">IF($F85&lt;&gt;"",XLOOKUP($F85,Productos!$A:$A,Productos!Z:Z,"Revisar"),"")</f>
        <v/>
      </c>
      <c r="AH85" s="179" t="str">
        <f t="array" ref="AH85">IF($F85&lt;&gt;"", XLOOKUP($F85,Productos!$A$2:$A1001,Productos!AA$2:AA1001,"")*$G85,"")</f>
        <v/>
      </c>
      <c r="AI85" s="179" t="str">
        <f t="array" ref="AI85">IF($F85&lt;&gt;"",XLOOKUP($F85,Productos!$A:$A,Productos!AB:AB,"Revisar"),"")</f>
        <v/>
      </c>
      <c r="AJ85" s="179" t="str">
        <f t="array" ref="AJ85">IF($F85&lt;&gt;"", XLOOKUP($F85,Productos!$A$2:$A1001,Productos!AC$2:AC1001,"")*$G85,"")</f>
        <v/>
      </c>
      <c r="AK85" s="179" t="str">
        <f t="array" ref="AK85">IF($F85&lt;&gt;"",XLOOKUP($F85,Productos!$A:$A,Productos!AD:AD,"Revisar"),"")</f>
        <v/>
      </c>
      <c r="AL85" s="179" t="str">
        <f t="array" ref="AL85">IF($F85&lt;&gt;"", XLOOKUP($F85,Productos!$A$2:$A1001,Productos!AE$2:AE1001,"")*$G85,"")</f>
        <v/>
      </c>
      <c r="AM85" s="179" t="str">
        <f t="array" ref="AM85">IF($F85&lt;&gt;"",XLOOKUP($F85,Productos!$A:$A,Productos!AF:AF,"Revisar"),"")</f>
        <v/>
      </c>
      <c r="AN85" s="179" t="str">
        <f t="array" ref="AN85">IF($F85&lt;&gt;"", XLOOKUP($F85,Productos!$A$2:$A1001,Productos!AG$2:AG1001,"")*$G85,"")</f>
        <v/>
      </c>
      <c r="AO85" s="179" t="str">
        <f t="array" ref="AO85">IF($F85&lt;&gt;"",XLOOKUP($F85,Productos!$A:$A,Productos!AH:AH,"Revisar"),"")</f>
        <v/>
      </c>
      <c r="AP85" s="179" t="str">
        <f t="array" ref="AP85">IF($F85&lt;&gt;"", XLOOKUP($F85,Productos!$A$2:$A1001,Productos!AI$2:AI1001,"")*$G85,"")</f>
        <v/>
      </c>
      <c r="AQ85" s="179" t="str">
        <f t="array" ref="AQ85">IF($F85&lt;&gt;"",XLOOKUP($F85,Productos!$A:$A,Productos!AJ:AJ,"Revisar"),"")</f>
        <v/>
      </c>
      <c r="AR85" s="179" t="str">
        <f t="array" ref="AR85">IF($F85&lt;&gt;"", XLOOKUP($F85,Productos!$A$2:$A1001,Productos!AK$2:AK1001,"")*$G85,"")</f>
        <v/>
      </c>
      <c r="AS85" s="179" t="str">
        <f t="array" ref="AS85">IF($F85&lt;&gt;"",XLOOKUP($F85,Productos!$A:$A,Productos!AL:AL,"Revisar"),"")</f>
        <v/>
      </c>
      <c r="AT85" s="179" t="str">
        <f t="array" ref="AT85">IF($F85&lt;&gt;"", XLOOKUP($F85,Productos!$A$2:$A1001,Productos!AM$2:AM1001,"")*$G85,"")</f>
        <v/>
      </c>
      <c r="AU85" s="179" t="str">
        <f t="array" ref="AU85">IF($F85&lt;&gt;"",XLOOKUP($F85,Productos!$A:$A,Productos!AN:AN,"Revisar"),"")</f>
        <v/>
      </c>
      <c r="AV85" s="179" t="str">
        <f t="array" ref="AV85">IF($F85&lt;&gt;"", XLOOKUP($F85,Productos!$A$2:$A1001,Productos!AO$2:AO1001,"")*$G85,"")</f>
        <v/>
      </c>
      <c r="AW85" s="179" t="str">
        <f t="array" ref="AW85">IF($F85&lt;&gt;"",XLOOKUP($F85,Productos!$A:$A,Productos!AP:AP,"Revisar"),"")</f>
        <v/>
      </c>
      <c r="AX85" s="179" t="str">
        <f t="array" ref="AX85">IF($F85&lt;&gt;"", XLOOKUP($F85,Productos!$A$2:$A1001,Productos!AQ$2:AQ1001,"")*$G85,"")</f>
        <v/>
      </c>
      <c r="AY85" s="179" t="str">
        <f t="array" ref="AY85">IF($F85&lt;&gt;"",XLOOKUP($F85,Productos!$A:$A,Productos!AR:AR,"Revisar"),"")</f>
        <v/>
      </c>
      <c r="AZ85" s="179" t="str">
        <f t="array" ref="AZ85">IF($F85&lt;&gt;"", XLOOKUP($F85,Productos!$A$2:$A1001,Productos!AS$2:AS1001,"")*$G85,"")</f>
        <v/>
      </c>
      <c r="BA85" s="179" t="str">
        <f t="array" ref="BA85">IF($F85&lt;&gt;"",XLOOKUP($F85,Productos!$A:$A,Productos!AT:AT,"Revisar"),"")</f>
        <v/>
      </c>
      <c r="BB85" s="179" t="str">
        <f t="array" ref="BB85">IF($F85&lt;&gt;"", XLOOKUP($F85,Productos!$A$2:$A1001,Productos!AU$2:AU1001,"")*$G85,"")</f>
        <v/>
      </c>
      <c r="BC85" s="179" t="str">
        <f t="array" ref="BC85">IF($F85&lt;&gt;"",XLOOKUP($F85,Productos!$A:$A,Productos!AV:AV,"Revisar"),"")</f>
        <v/>
      </c>
      <c r="BD85" s="179" t="str">
        <f t="array" ref="BD85">IF($F85&lt;&gt;"", XLOOKUP($F85,Productos!$A$2:$A1001,Productos!AW$2:AW1001,"")*$G85,"")</f>
        <v/>
      </c>
      <c r="BE85" s="179" t="str">
        <f t="array" ref="BE85">IF($F85&lt;&gt;"",XLOOKUP($F85,Productos!$A:$A,Productos!AX:AX,"Revisar"),"")</f>
        <v/>
      </c>
      <c r="BF85" s="179" t="str">
        <f t="array" ref="BF85">IF($F85&lt;&gt;"", XLOOKUP($F85,Productos!$A$2:$A1001,Productos!AY$2:AY1001,"")*$G85,"")</f>
        <v/>
      </c>
      <c r="BG85" s="179" t="str">
        <f t="array" ref="BG85">IF($F85&lt;&gt;"",XLOOKUP($F85,Productos!$A:$A,Productos!AZ:AZ,"Revisar"),"")</f>
        <v/>
      </c>
      <c r="BH85" s="179" t="str">
        <f t="array" ref="BH85">IF($F85&lt;&gt;"", XLOOKUP($F85,Productos!$A$2:$A1001,Productos!BA$2:BA1001,"")*$G85,"")</f>
        <v/>
      </c>
      <c r="BI85" s="179" t="str">
        <f t="array" ref="BI85">IF($F85&lt;&gt;"",XLOOKUP($F85,Productos!$A:$A,Productos!BB:BB,"Revisar"),"")</f>
        <v/>
      </c>
      <c r="BJ85" s="179" t="str">
        <f t="array" ref="BJ85">IF($F85&lt;&gt;"", XLOOKUP($F85,Productos!$A$2:$A1001,Productos!BC$2:BC1001,"")*$G85,"")</f>
        <v/>
      </c>
      <c r="BK85" s="179" t="str">
        <f t="array" ref="BK85">IF($F85&lt;&gt;"",XLOOKUP($F85,Productos!$A:$A,Productos!BD:BD,"Revisar"),"")</f>
        <v/>
      </c>
      <c r="BL85" s="179" t="str">
        <f t="array" ref="BL85">IF($F85&lt;&gt;"", XLOOKUP($F85,Productos!$A$2:$A1001,Productos!BE$2:BE1001,"")*$G85,"")</f>
        <v/>
      </c>
      <c r="BM85" s="179" t="str">
        <f t="array" ref="BM85">IF($F85&lt;&gt;"",XLOOKUP($F85,Productos!$A:$A,Productos!BF:BF,"Revisar"),"")</f>
        <v/>
      </c>
      <c r="BN85" s="179" t="str">
        <f t="array" ref="BN85">IF($F85&lt;&gt;"", XLOOKUP($F85,Productos!$A$2:$A1001,Productos!BG$2:BG1001,"")*$G85,"")</f>
        <v/>
      </c>
      <c r="BO85" s="179" t="str">
        <f t="array" ref="BO85">IF($F85&lt;&gt;"",XLOOKUP($F85,Productos!$A:$A,Productos!BH:BH,"Revisar"),"")</f>
        <v/>
      </c>
      <c r="BP85" s="179" t="str">
        <f t="array" ref="BP85">IF($F85&lt;&gt;"", XLOOKUP($F85,Productos!$A$2:$A1001,Productos!BI$2:BI1001,"")*$G85,"")</f>
        <v/>
      </c>
      <c r="BQ85" s="179" t="str">
        <f t="array" ref="BQ85">IF($F85&lt;&gt;"",XLOOKUP($F85,Productos!$A:$A,Productos!BJ:BJ,"Revisar"),"")</f>
        <v/>
      </c>
      <c r="BR85" s="179" t="str">
        <f t="array" ref="BR85">IF($F85&lt;&gt;"", XLOOKUP($F85,Productos!$A$2:$A1001,Productos!BK$2:BK1001,"")*$G85,"")</f>
        <v/>
      </c>
      <c r="BS85" s="179" t="str">
        <f t="array" ref="BS85">IF($F85&lt;&gt;"",XLOOKUP($F85,Productos!$A:$A,Productos!BL:BL,"Revisar"),"")</f>
        <v/>
      </c>
      <c r="BT85" s="179" t="str">
        <f t="array" ref="BT85">IF($F85&lt;&gt;"", XLOOKUP($F85,Productos!$A$2:$A1001,Productos!BM$2:BM1001,"")*$G85,"")</f>
        <v/>
      </c>
      <c r="BU85" s="179" t="str">
        <f t="array" ref="BU85">IF($F85&lt;&gt;"",XLOOKUP($F85,Productos!$A:$A,Productos!BN:BN,"Revisar"),"")</f>
        <v/>
      </c>
      <c r="BV85" s="179" t="str">
        <f t="array" ref="BV85">IF($F85&lt;&gt;"", XLOOKUP($F85,Productos!$A$2:$A1001,Productos!BO$2:BO1001,"")*$G85,"")</f>
        <v/>
      </c>
      <c r="BW85" s="179" t="str">
        <f t="array" ref="BW85">IF($F85&lt;&gt;"",XLOOKUP($F85,Productos!$A:$A,Productos!BP:BP,"Revisar"),"")</f>
        <v/>
      </c>
      <c r="BX85" s="179" t="str">
        <f t="array" ref="BX85">IF($F85&lt;&gt;"", XLOOKUP($F85,Productos!$A$2:$A1001,Productos!BQ$2:BQ1001,"")*$G85,"")</f>
        <v/>
      </c>
      <c r="BY85" s="179" t="str">
        <f t="array" ref="BY85">IF($F85&lt;&gt;"",XLOOKUP($F85,Productos!$A:$A,Productos!BR:BR,"Revisar"),"")</f>
        <v/>
      </c>
      <c r="BZ85" s="179" t="str">
        <f t="array" ref="BZ85">IF($F85&lt;&gt;"", XLOOKUP($F85,Productos!$A$2:$A1001,Productos!BS$2:BS1001,"")*$G85,"")</f>
        <v/>
      </c>
    </row>
    <row r="86">
      <c r="A86" s="180"/>
      <c r="B86" s="181"/>
      <c r="C86" s="182"/>
      <c r="D86" s="182"/>
      <c r="E86" s="185"/>
      <c r="F86" s="186"/>
      <c r="G86" s="187"/>
      <c r="H86" s="186"/>
      <c r="I86" s="179" t="str">
        <f t="array" ref="I86">IF($F86&lt;&gt;"",XLOOKUP($F86,Productos!$A:$A,Productos!B:B,"Revisar"),"")</f>
        <v/>
      </c>
      <c r="J86" s="179" t="str">
        <f t="array" ref="J86">IF($F86&lt;&gt;"", XLOOKUP($F86,Productos!$A$2:$A1001,Productos!C$2:C1001,"")*$G86,"")</f>
        <v/>
      </c>
      <c r="K86" s="179" t="str">
        <f t="array" ref="K86">IF($F86&lt;&gt;"",XLOOKUP($F86,Productos!$A:$A,Productos!D:D,"Revisar"),"")</f>
        <v/>
      </c>
      <c r="L86" s="179" t="str">
        <f t="array" ref="L86">IF($F86&lt;&gt;"", XLOOKUP($F86,Productos!$A$2:$A1001,Productos!E$2:E1001,"")*$G86,"")</f>
        <v/>
      </c>
      <c r="M86" s="179" t="str">
        <f t="array" ref="M86">IF($F86&lt;&gt;"",XLOOKUP($F86,Productos!$A:$A,Productos!F:F,"Revisar"),"")</f>
        <v/>
      </c>
      <c r="N86" s="179" t="str">
        <f t="array" ref="N86">IF($F86&lt;&gt;"", XLOOKUP($F86,Productos!$A$2:$A1001,Productos!G$2:G1001,"")*$G86,"")</f>
        <v/>
      </c>
      <c r="O86" s="179" t="str">
        <f t="array" ref="O86">IF($F86&lt;&gt;"",XLOOKUP($F86,Productos!$A:$A,Productos!H:H,"Revisar"),"")</f>
        <v/>
      </c>
      <c r="P86" s="179" t="str">
        <f t="array" ref="P86">IF($F86&lt;&gt;"", XLOOKUP($F86,Productos!$A$2:$A1001,Productos!I$2:I1001,"")*$G86,"")</f>
        <v/>
      </c>
      <c r="Q86" s="179" t="str">
        <f t="array" ref="Q86">IF($F86&lt;&gt;"",XLOOKUP($F86,Productos!$A:$A,Productos!J:J,"Revisar"),"")</f>
        <v/>
      </c>
      <c r="R86" s="179" t="str">
        <f t="array" ref="R86">IF($F86&lt;&gt;"", XLOOKUP($F86,Productos!$A$2:$A1001,Productos!K$2:K1001,"")*$G86,"")</f>
        <v/>
      </c>
      <c r="S86" s="179" t="str">
        <f t="array" ref="S86">IF($F86&lt;&gt;"",XLOOKUP($F86,Productos!$A:$A,Productos!L:L,"Revisar"),"")</f>
        <v/>
      </c>
      <c r="T86" s="179" t="str">
        <f t="array" ref="T86">IF($F86&lt;&gt;"", XLOOKUP($F86,Productos!$A$2:$A1001,Productos!M$2:M1001,"")*$G86,"")</f>
        <v/>
      </c>
      <c r="U86" s="179" t="str">
        <f t="array" ref="U86">IF($F86&lt;&gt;"",XLOOKUP($F86,Productos!$A:$A,Productos!N:N,"Revisar"),"")</f>
        <v/>
      </c>
      <c r="V86" s="179" t="str">
        <f t="array" ref="V86">IF($F86&lt;&gt;"", XLOOKUP($F86,Productos!$A$2:$A1001,Productos!O$2:O1001,"")*$G86,"")</f>
        <v/>
      </c>
      <c r="W86" s="179" t="str">
        <f t="array" ref="W86">IF($F86&lt;&gt;"",XLOOKUP($F86,Productos!$A:$A,Productos!P:P,"Revisar"),"")</f>
        <v/>
      </c>
      <c r="X86" s="179" t="str">
        <f t="array" ref="X86">IF($F86&lt;&gt;"", XLOOKUP($F86,Productos!$A$2:$A1001,Productos!Q$2:Q1001,"")*$G86,"")</f>
        <v/>
      </c>
      <c r="Y86" s="179" t="str">
        <f t="array" ref="Y86">IF($F86&lt;&gt;"",XLOOKUP($F86,Productos!$A:$A,Productos!R:R,"Revisar"),"")</f>
        <v/>
      </c>
      <c r="Z86" s="179" t="str">
        <f t="array" ref="Z86">IF($F86&lt;&gt;"", XLOOKUP($F86,Productos!$A$2:$A1001,Productos!S$2:S1001,"")*$G86,"")</f>
        <v/>
      </c>
      <c r="AA86" s="179" t="str">
        <f t="array" ref="AA86">IF($F86&lt;&gt;"",XLOOKUP($F86,Productos!$A:$A,Productos!T:T,"Revisar"),"")</f>
        <v/>
      </c>
      <c r="AB86" s="179" t="str">
        <f t="array" ref="AB86">IF($F86&lt;&gt;"", XLOOKUP($F86,Productos!$A$2:$A1001,Productos!U$2:U1001,"")*$G86,"")</f>
        <v/>
      </c>
      <c r="AC86" s="179" t="str">
        <f t="array" ref="AC86">IF($F86&lt;&gt;"",XLOOKUP($F86,Productos!$A:$A,Productos!V:V,"Revisar"),"")</f>
        <v/>
      </c>
      <c r="AD86" s="179" t="str">
        <f t="array" ref="AD86">IF($F86&lt;&gt;"", XLOOKUP($F86,Productos!$A$2:$A1001,Productos!W$2:W1001,"")*$G86,"")</f>
        <v/>
      </c>
      <c r="AE86" s="179" t="str">
        <f t="array" ref="AE86">IF($F86&lt;&gt;"",XLOOKUP($F86,Productos!$A:$A,Productos!X:X,"Revisar"),"")</f>
        <v/>
      </c>
      <c r="AF86" s="179" t="str">
        <f t="array" ref="AF86">IF($F86&lt;&gt;"", XLOOKUP($F86,Productos!$A$2:$A1001,Productos!Y$2:Y1001,"")*$G86,"")</f>
        <v/>
      </c>
      <c r="AG86" s="179" t="str">
        <f t="array" ref="AG86">IF($F86&lt;&gt;"",XLOOKUP($F86,Productos!$A:$A,Productos!Z:Z,"Revisar"),"")</f>
        <v/>
      </c>
      <c r="AH86" s="179" t="str">
        <f t="array" ref="AH86">IF($F86&lt;&gt;"", XLOOKUP($F86,Productos!$A$2:$A1001,Productos!AA$2:AA1001,"")*$G86,"")</f>
        <v/>
      </c>
      <c r="AI86" s="179" t="str">
        <f t="array" ref="AI86">IF($F86&lt;&gt;"",XLOOKUP($F86,Productos!$A:$A,Productos!AB:AB,"Revisar"),"")</f>
        <v/>
      </c>
      <c r="AJ86" s="179" t="str">
        <f t="array" ref="AJ86">IF($F86&lt;&gt;"", XLOOKUP($F86,Productos!$A$2:$A1001,Productos!AC$2:AC1001,"")*$G86,"")</f>
        <v/>
      </c>
      <c r="AK86" s="179" t="str">
        <f t="array" ref="AK86">IF($F86&lt;&gt;"",XLOOKUP($F86,Productos!$A:$A,Productos!AD:AD,"Revisar"),"")</f>
        <v/>
      </c>
      <c r="AL86" s="179" t="str">
        <f t="array" ref="AL86">IF($F86&lt;&gt;"", XLOOKUP($F86,Productos!$A$2:$A1001,Productos!AE$2:AE1001,"")*$G86,"")</f>
        <v/>
      </c>
      <c r="AM86" s="179" t="str">
        <f t="array" ref="AM86">IF($F86&lt;&gt;"",XLOOKUP($F86,Productos!$A:$A,Productos!AF:AF,"Revisar"),"")</f>
        <v/>
      </c>
      <c r="AN86" s="179" t="str">
        <f t="array" ref="AN86">IF($F86&lt;&gt;"", XLOOKUP($F86,Productos!$A$2:$A1001,Productos!AG$2:AG1001,"")*$G86,"")</f>
        <v/>
      </c>
      <c r="AO86" s="179" t="str">
        <f t="array" ref="AO86">IF($F86&lt;&gt;"",XLOOKUP($F86,Productos!$A:$A,Productos!AH:AH,"Revisar"),"")</f>
        <v/>
      </c>
      <c r="AP86" s="179" t="str">
        <f t="array" ref="AP86">IF($F86&lt;&gt;"", XLOOKUP($F86,Productos!$A$2:$A1001,Productos!AI$2:AI1001,"")*$G86,"")</f>
        <v/>
      </c>
      <c r="AQ86" s="179" t="str">
        <f t="array" ref="AQ86">IF($F86&lt;&gt;"",XLOOKUP($F86,Productos!$A:$A,Productos!AJ:AJ,"Revisar"),"")</f>
        <v/>
      </c>
      <c r="AR86" s="179" t="str">
        <f t="array" ref="AR86">IF($F86&lt;&gt;"", XLOOKUP($F86,Productos!$A$2:$A1001,Productos!AK$2:AK1001,"")*$G86,"")</f>
        <v/>
      </c>
      <c r="AS86" s="179" t="str">
        <f t="array" ref="AS86">IF($F86&lt;&gt;"",XLOOKUP($F86,Productos!$A:$A,Productos!AL:AL,"Revisar"),"")</f>
        <v/>
      </c>
      <c r="AT86" s="179" t="str">
        <f t="array" ref="AT86">IF($F86&lt;&gt;"", XLOOKUP($F86,Productos!$A$2:$A1001,Productos!AM$2:AM1001,"")*$G86,"")</f>
        <v/>
      </c>
      <c r="AU86" s="179" t="str">
        <f t="array" ref="AU86">IF($F86&lt;&gt;"",XLOOKUP($F86,Productos!$A:$A,Productos!AN:AN,"Revisar"),"")</f>
        <v/>
      </c>
      <c r="AV86" s="179" t="str">
        <f t="array" ref="AV86">IF($F86&lt;&gt;"", XLOOKUP($F86,Productos!$A$2:$A1001,Productos!AO$2:AO1001,"")*$G86,"")</f>
        <v/>
      </c>
      <c r="AW86" s="179" t="str">
        <f t="array" ref="AW86">IF($F86&lt;&gt;"",XLOOKUP($F86,Productos!$A:$A,Productos!AP:AP,"Revisar"),"")</f>
        <v/>
      </c>
      <c r="AX86" s="179" t="str">
        <f t="array" ref="AX86">IF($F86&lt;&gt;"", XLOOKUP($F86,Productos!$A$2:$A1001,Productos!AQ$2:AQ1001,"")*$G86,"")</f>
        <v/>
      </c>
      <c r="AY86" s="179" t="str">
        <f t="array" ref="AY86">IF($F86&lt;&gt;"",XLOOKUP($F86,Productos!$A:$A,Productos!AR:AR,"Revisar"),"")</f>
        <v/>
      </c>
      <c r="AZ86" s="179" t="str">
        <f t="array" ref="AZ86">IF($F86&lt;&gt;"", XLOOKUP($F86,Productos!$A$2:$A1001,Productos!AS$2:AS1001,"")*$G86,"")</f>
        <v/>
      </c>
      <c r="BA86" s="179" t="str">
        <f t="array" ref="BA86">IF($F86&lt;&gt;"",XLOOKUP($F86,Productos!$A:$A,Productos!AT:AT,"Revisar"),"")</f>
        <v/>
      </c>
      <c r="BB86" s="179" t="str">
        <f t="array" ref="BB86">IF($F86&lt;&gt;"", XLOOKUP($F86,Productos!$A$2:$A1001,Productos!AU$2:AU1001,"")*$G86,"")</f>
        <v/>
      </c>
      <c r="BC86" s="179" t="str">
        <f t="array" ref="BC86">IF($F86&lt;&gt;"",XLOOKUP($F86,Productos!$A:$A,Productos!AV:AV,"Revisar"),"")</f>
        <v/>
      </c>
      <c r="BD86" s="179" t="str">
        <f t="array" ref="BD86">IF($F86&lt;&gt;"", XLOOKUP($F86,Productos!$A$2:$A1001,Productos!AW$2:AW1001,"")*$G86,"")</f>
        <v/>
      </c>
      <c r="BE86" s="179" t="str">
        <f t="array" ref="BE86">IF($F86&lt;&gt;"",XLOOKUP($F86,Productos!$A:$A,Productos!AX:AX,"Revisar"),"")</f>
        <v/>
      </c>
      <c r="BF86" s="179" t="str">
        <f t="array" ref="BF86">IF($F86&lt;&gt;"", XLOOKUP($F86,Productos!$A$2:$A1001,Productos!AY$2:AY1001,"")*$G86,"")</f>
        <v/>
      </c>
      <c r="BG86" s="179" t="str">
        <f t="array" ref="BG86">IF($F86&lt;&gt;"",XLOOKUP($F86,Productos!$A:$A,Productos!AZ:AZ,"Revisar"),"")</f>
        <v/>
      </c>
      <c r="BH86" s="179" t="str">
        <f t="array" ref="BH86">IF($F86&lt;&gt;"", XLOOKUP($F86,Productos!$A$2:$A1001,Productos!BA$2:BA1001,"")*$G86,"")</f>
        <v/>
      </c>
      <c r="BI86" s="179" t="str">
        <f t="array" ref="BI86">IF($F86&lt;&gt;"",XLOOKUP($F86,Productos!$A:$A,Productos!BB:BB,"Revisar"),"")</f>
        <v/>
      </c>
      <c r="BJ86" s="179" t="str">
        <f t="array" ref="BJ86">IF($F86&lt;&gt;"", XLOOKUP($F86,Productos!$A$2:$A1001,Productos!BC$2:BC1001,"")*$G86,"")</f>
        <v/>
      </c>
      <c r="BK86" s="179" t="str">
        <f t="array" ref="BK86">IF($F86&lt;&gt;"",XLOOKUP($F86,Productos!$A:$A,Productos!BD:BD,"Revisar"),"")</f>
        <v/>
      </c>
      <c r="BL86" s="179" t="str">
        <f t="array" ref="BL86">IF($F86&lt;&gt;"", XLOOKUP($F86,Productos!$A$2:$A1001,Productos!BE$2:BE1001,"")*$G86,"")</f>
        <v/>
      </c>
      <c r="BM86" s="179" t="str">
        <f t="array" ref="BM86">IF($F86&lt;&gt;"",XLOOKUP($F86,Productos!$A:$A,Productos!BF:BF,"Revisar"),"")</f>
        <v/>
      </c>
      <c r="BN86" s="179" t="str">
        <f t="array" ref="BN86">IF($F86&lt;&gt;"", XLOOKUP($F86,Productos!$A$2:$A1001,Productos!BG$2:BG1001,"")*$G86,"")</f>
        <v/>
      </c>
      <c r="BO86" s="179" t="str">
        <f t="array" ref="BO86">IF($F86&lt;&gt;"",XLOOKUP($F86,Productos!$A:$A,Productos!BH:BH,"Revisar"),"")</f>
        <v/>
      </c>
      <c r="BP86" s="179" t="str">
        <f t="array" ref="BP86">IF($F86&lt;&gt;"", XLOOKUP($F86,Productos!$A$2:$A1001,Productos!BI$2:BI1001,"")*$G86,"")</f>
        <v/>
      </c>
      <c r="BQ86" s="179" t="str">
        <f t="array" ref="BQ86">IF($F86&lt;&gt;"",XLOOKUP($F86,Productos!$A:$A,Productos!BJ:BJ,"Revisar"),"")</f>
        <v/>
      </c>
      <c r="BR86" s="179" t="str">
        <f t="array" ref="BR86">IF($F86&lt;&gt;"", XLOOKUP($F86,Productos!$A$2:$A1001,Productos!BK$2:BK1001,"")*$G86,"")</f>
        <v/>
      </c>
      <c r="BS86" s="179" t="str">
        <f t="array" ref="BS86">IF($F86&lt;&gt;"",XLOOKUP($F86,Productos!$A:$A,Productos!BL:BL,"Revisar"),"")</f>
        <v/>
      </c>
      <c r="BT86" s="179" t="str">
        <f t="array" ref="BT86">IF($F86&lt;&gt;"", XLOOKUP($F86,Productos!$A$2:$A1001,Productos!BM$2:BM1001,"")*$G86,"")</f>
        <v/>
      </c>
      <c r="BU86" s="179" t="str">
        <f t="array" ref="BU86">IF($F86&lt;&gt;"",XLOOKUP($F86,Productos!$A:$A,Productos!BN:BN,"Revisar"),"")</f>
        <v/>
      </c>
      <c r="BV86" s="179" t="str">
        <f t="array" ref="BV86">IF($F86&lt;&gt;"", XLOOKUP($F86,Productos!$A$2:$A1001,Productos!BO$2:BO1001,"")*$G86,"")</f>
        <v/>
      </c>
      <c r="BW86" s="179" t="str">
        <f t="array" ref="BW86">IF($F86&lt;&gt;"",XLOOKUP($F86,Productos!$A:$A,Productos!BP:BP,"Revisar"),"")</f>
        <v/>
      </c>
      <c r="BX86" s="179" t="str">
        <f t="array" ref="BX86">IF($F86&lt;&gt;"", XLOOKUP($F86,Productos!$A$2:$A1001,Productos!BQ$2:BQ1001,"")*$G86,"")</f>
        <v/>
      </c>
      <c r="BY86" s="179" t="str">
        <f t="array" ref="BY86">IF($F86&lt;&gt;"",XLOOKUP($F86,Productos!$A:$A,Productos!BR:BR,"Revisar"),"")</f>
        <v/>
      </c>
      <c r="BZ86" s="179" t="str">
        <f t="array" ref="BZ86">IF($F86&lt;&gt;"", XLOOKUP($F86,Productos!$A$2:$A1001,Productos!BS$2:BS1001,"")*$G86,"")</f>
        <v/>
      </c>
    </row>
    <row r="87">
      <c r="A87" s="180"/>
      <c r="B87" s="181"/>
      <c r="C87" s="182"/>
      <c r="D87" s="182"/>
      <c r="E87" s="185"/>
      <c r="F87" s="186"/>
      <c r="G87" s="187"/>
      <c r="H87" s="186"/>
      <c r="I87" s="179" t="str">
        <f t="array" ref="I87">IF($F87&lt;&gt;"",XLOOKUP($F87,Productos!$A:$A,Productos!B:B,"Revisar"),"")</f>
        <v/>
      </c>
      <c r="J87" s="179" t="str">
        <f t="array" ref="J87">IF($F87&lt;&gt;"", XLOOKUP($F87,Productos!$A$2:$A1001,Productos!C$2:C1001,"")*$G87,"")</f>
        <v/>
      </c>
      <c r="K87" s="179" t="str">
        <f t="array" ref="K87">IF($F87&lt;&gt;"",XLOOKUP($F87,Productos!$A:$A,Productos!D:D,"Revisar"),"")</f>
        <v/>
      </c>
      <c r="L87" s="179" t="str">
        <f t="array" ref="L87">IF($F87&lt;&gt;"", XLOOKUP($F87,Productos!$A$2:$A1001,Productos!E$2:E1001,"")*$G87,"")</f>
        <v/>
      </c>
      <c r="M87" s="179" t="str">
        <f t="array" ref="M87">IF($F87&lt;&gt;"",XLOOKUP($F87,Productos!$A:$A,Productos!F:F,"Revisar"),"")</f>
        <v/>
      </c>
      <c r="N87" s="179" t="str">
        <f t="array" ref="N87">IF($F87&lt;&gt;"", XLOOKUP($F87,Productos!$A$2:$A1001,Productos!G$2:G1001,"")*$G87,"")</f>
        <v/>
      </c>
      <c r="O87" s="179" t="str">
        <f t="array" ref="O87">IF($F87&lt;&gt;"",XLOOKUP($F87,Productos!$A:$A,Productos!H:H,"Revisar"),"")</f>
        <v/>
      </c>
      <c r="P87" s="179" t="str">
        <f t="array" ref="P87">IF($F87&lt;&gt;"", XLOOKUP($F87,Productos!$A$2:$A1001,Productos!I$2:I1001,"")*$G87,"")</f>
        <v/>
      </c>
      <c r="Q87" s="179" t="str">
        <f t="array" ref="Q87">IF($F87&lt;&gt;"",XLOOKUP($F87,Productos!$A:$A,Productos!J:J,"Revisar"),"")</f>
        <v/>
      </c>
      <c r="R87" s="179" t="str">
        <f t="array" ref="R87">IF($F87&lt;&gt;"", XLOOKUP($F87,Productos!$A$2:$A1001,Productos!K$2:K1001,"")*$G87,"")</f>
        <v/>
      </c>
      <c r="S87" s="179" t="str">
        <f t="array" ref="S87">IF($F87&lt;&gt;"",XLOOKUP($F87,Productos!$A:$A,Productos!L:L,"Revisar"),"")</f>
        <v/>
      </c>
      <c r="T87" s="179" t="str">
        <f t="array" ref="T87">IF($F87&lt;&gt;"", XLOOKUP($F87,Productos!$A$2:$A1001,Productos!M$2:M1001,"")*$G87,"")</f>
        <v/>
      </c>
      <c r="U87" s="179" t="str">
        <f t="array" ref="U87">IF($F87&lt;&gt;"",XLOOKUP($F87,Productos!$A:$A,Productos!N:N,"Revisar"),"")</f>
        <v/>
      </c>
      <c r="V87" s="179" t="str">
        <f t="array" ref="V87">IF($F87&lt;&gt;"", XLOOKUP($F87,Productos!$A$2:$A1001,Productos!O$2:O1001,"")*$G87,"")</f>
        <v/>
      </c>
      <c r="W87" s="179" t="str">
        <f t="array" ref="W87">IF($F87&lt;&gt;"",XLOOKUP($F87,Productos!$A:$A,Productos!P:P,"Revisar"),"")</f>
        <v/>
      </c>
      <c r="X87" s="179" t="str">
        <f t="array" ref="X87">IF($F87&lt;&gt;"", XLOOKUP($F87,Productos!$A$2:$A1001,Productos!Q$2:Q1001,"")*$G87,"")</f>
        <v/>
      </c>
      <c r="Y87" s="179" t="str">
        <f t="array" ref="Y87">IF($F87&lt;&gt;"",XLOOKUP($F87,Productos!$A:$A,Productos!R:R,"Revisar"),"")</f>
        <v/>
      </c>
      <c r="Z87" s="179" t="str">
        <f t="array" ref="Z87">IF($F87&lt;&gt;"", XLOOKUP($F87,Productos!$A$2:$A1001,Productos!S$2:S1001,"")*$G87,"")</f>
        <v/>
      </c>
      <c r="AA87" s="179" t="str">
        <f t="array" ref="AA87">IF($F87&lt;&gt;"",XLOOKUP($F87,Productos!$A:$A,Productos!T:T,"Revisar"),"")</f>
        <v/>
      </c>
      <c r="AB87" s="179" t="str">
        <f t="array" ref="AB87">IF($F87&lt;&gt;"", XLOOKUP($F87,Productos!$A$2:$A1001,Productos!U$2:U1001,"")*$G87,"")</f>
        <v/>
      </c>
      <c r="AC87" s="179" t="str">
        <f t="array" ref="AC87">IF($F87&lt;&gt;"",XLOOKUP($F87,Productos!$A:$A,Productos!V:V,"Revisar"),"")</f>
        <v/>
      </c>
      <c r="AD87" s="179" t="str">
        <f t="array" ref="AD87">IF($F87&lt;&gt;"", XLOOKUP($F87,Productos!$A$2:$A1001,Productos!W$2:W1001,"")*$G87,"")</f>
        <v/>
      </c>
      <c r="AE87" s="179" t="str">
        <f t="array" ref="AE87">IF($F87&lt;&gt;"",XLOOKUP($F87,Productos!$A:$A,Productos!X:X,"Revisar"),"")</f>
        <v/>
      </c>
      <c r="AF87" s="179" t="str">
        <f t="array" ref="AF87">IF($F87&lt;&gt;"", XLOOKUP($F87,Productos!$A$2:$A1001,Productos!Y$2:Y1001,"")*$G87,"")</f>
        <v/>
      </c>
      <c r="AG87" s="179" t="str">
        <f t="array" ref="AG87">IF($F87&lt;&gt;"",XLOOKUP($F87,Productos!$A:$A,Productos!Z:Z,"Revisar"),"")</f>
        <v/>
      </c>
      <c r="AH87" s="179" t="str">
        <f t="array" ref="AH87">IF($F87&lt;&gt;"", XLOOKUP($F87,Productos!$A$2:$A1001,Productos!AA$2:AA1001,"")*$G87,"")</f>
        <v/>
      </c>
      <c r="AI87" s="179" t="str">
        <f t="array" ref="AI87">IF($F87&lt;&gt;"",XLOOKUP($F87,Productos!$A:$A,Productos!AB:AB,"Revisar"),"")</f>
        <v/>
      </c>
      <c r="AJ87" s="179" t="str">
        <f t="array" ref="AJ87">IF($F87&lt;&gt;"", XLOOKUP($F87,Productos!$A$2:$A1001,Productos!AC$2:AC1001,"")*$G87,"")</f>
        <v/>
      </c>
      <c r="AK87" s="179" t="str">
        <f t="array" ref="AK87">IF($F87&lt;&gt;"",XLOOKUP($F87,Productos!$A:$A,Productos!AD:AD,"Revisar"),"")</f>
        <v/>
      </c>
      <c r="AL87" s="179" t="str">
        <f t="array" ref="AL87">IF($F87&lt;&gt;"", XLOOKUP($F87,Productos!$A$2:$A1001,Productos!AE$2:AE1001,"")*$G87,"")</f>
        <v/>
      </c>
      <c r="AM87" s="179" t="str">
        <f t="array" ref="AM87">IF($F87&lt;&gt;"",XLOOKUP($F87,Productos!$A:$A,Productos!AF:AF,"Revisar"),"")</f>
        <v/>
      </c>
      <c r="AN87" s="179" t="str">
        <f t="array" ref="AN87">IF($F87&lt;&gt;"", XLOOKUP($F87,Productos!$A$2:$A1001,Productos!AG$2:AG1001,"")*$G87,"")</f>
        <v/>
      </c>
      <c r="AO87" s="179" t="str">
        <f t="array" ref="AO87">IF($F87&lt;&gt;"",XLOOKUP($F87,Productos!$A:$A,Productos!AH:AH,"Revisar"),"")</f>
        <v/>
      </c>
      <c r="AP87" s="179" t="str">
        <f t="array" ref="AP87">IF($F87&lt;&gt;"", XLOOKUP($F87,Productos!$A$2:$A1001,Productos!AI$2:AI1001,"")*$G87,"")</f>
        <v/>
      </c>
      <c r="AQ87" s="179" t="str">
        <f t="array" ref="AQ87">IF($F87&lt;&gt;"",XLOOKUP($F87,Productos!$A:$A,Productos!AJ:AJ,"Revisar"),"")</f>
        <v/>
      </c>
      <c r="AR87" s="179" t="str">
        <f t="array" ref="AR87">IF($F87&lt;&gt;"", XLOOKUP($F87,Productos!$A$2:$A1001,Productos!AK$2:AK1001,"")*$G87,"")</f>
        <v/>
      </c>
      <c r="AS87" s="179" t="str">
        <f t="array" ref="AS87">IF($F87&lt;&gt;"",XLOOKUP($F87,Productos!$A:$A,Productos!AL:AL,"Revisar"),"")</f>
        <v/>
      </c>
      <c r="AT87" s="179" t="str">
        <f t="array" ref="AT87">IF($F87&lt;&gt;"", XLOOKUP($F87,Productos!$A$2:$A1001,Productos!AM$2:AM1001,"")*$G87,"")</f>
        <v/>
      </c>
      <c r="AU87" s="179" t="str">
        <f t="array" ref="AU87">IF($F87&lt;&gt;"",XLOOKUP($F87,Productos!$A:$A,Productos!AN:AN,"Revisar"),"")</f>
        <v/>
      </c>
      <c r="AV87" s="179" t="str">
        <f t="array" ref="AV87">IF($F87&lt;&gt;"", XLOOKUP($F87,Productos!$A$2:$A1001,Productos!AO$2:AO1001,"")*$G87,"")</f>
        <v/>
      </c>
      <c r="AW87" s="179" t="str">
        <f t="array" ref="AW87">IF($F87&lt;&gt;"",XLOOKUP($F87,Productos!$A:$A,Productos!AP:AP,"Revisar"),"")</f>
        <v/>
      </c>
      <c r="AX87" s="179" t="str">
        <f t="array" ref="AX87">IF($F87&lt;&gt;"", XLOOKUP($F87,Productos!$A$2:$A1001,Productos!AQ$2:AQ1001,"")*$G87,"")</f>
        <v/>
      </c>
      <c r="AY87" s="179" t="str">
        <f t="array" ref="AY87">IF($F87&lt;&gt;"",XLOOKUP($F87,Productos!$A:$A,Productos!AR:AR,"Revisar"),"")</f>
        <v/>
      </c>
      <c r="AZ87" s="179" t="str">
        <f t="array" ref="AZ87">IF($F87&lt;&gt;"", XLOOKUP($F87,Productos!$A$2:$A1001,Productos!AS$2:AS1001,"")*$G87,"")</f>
        <v/>
      </c>
      <c r="BA87" s="179" t="str">
        <f t="array" ref="BA87">IF($F87&lt;&gt;"",XLOOKUP($F87,Productos!$A:$A,Productos!AT:AT,"Revisar"),"")</f>
        <v/>
      </c>
      <c r="BB87" s="179" t="str">
        <f t="array" ref="BB87">IF($F87&lt;&gt;"", XLOOKUP($F87,Productos!$A$2:$A1001,Productos!AU$2:AU1001,"")*$G87,"")</f>
        <v/>
      </c>
      <c r="BC87" s="179" t="str">
        <f t="array" ref="BC87">IF($F87&lt;&gt;"",XLOOKUP($F87,Productos!$A:$A,Productos!AV:AV,"Revisar"),"")</f>
        <v/>
      </c>
      <c r="BD87" s="179" t="str">
        <f t="array" ref="BD87">IF($F87&lt;&gt;"", XLOOKUP($F87,Productos!$A$2:$A1001,Productos!AW$2:AW1001,"")*$G87,"")</f>
        <v/>
      </c>
      <c r="BE87" s="179" t="str">
        <f t="array" ref="BE87">IF($F87&lt;&gt;"",XLOOKUP($F87,Productos!$A:$A,Productos!AX:AX,"Revisar"),"")</f>
        <v/>
      </c>
      <c r="BF87" s="179" t="str">
        <f t="array" ref="BF87">IF($F87&lt;&gt;"", XLOOKUP($F87,Productos!$A$2:$A1001,Productos!AY$2:AY1001,"")*$G87,"")</f>
        <v/>
      </c>
      <c r="BG87" s="179" t="str">
        <f t="array" ref="BG87">IF($F87&lt;&gt;"",XLOOKUP($F87,Productos!$A:$A,Productos!AZ:AZ,"Revisar"),"")</f>
        <v/>
      </c>
      <c r="BH87" s="179" t="str">
        <f t="array" ref="BH87">IF($F87&lt;&gt;"", XLOOKUP($F87,Productos!$A$2:$A1001,Productos!BA$2:BA1001,"")*$G87,"")</f>
        <v/>
      </c>
      <c r="BI87" s="179" t="str">
        <f t="array" ref="BI87">IF($F87&lt;&gt;"",XLOOKUP($F87,Productos!$A:$A,Productos!BB:BB,"Revisar"),"")</f>
        <v/>
      </c>
      <c r="BJ87" s="179" t="str">
        <f t="array" ref="BJ87">IF($F87&lt;&gt;"", XLOOKUP($F87,Productos!$A$2:$A1001,Productos!BC$2:BC1001,"")*$G87,"")</f>
        <v/>
      </c>
      <c r="BK87" s="179" t="str">
        <f t="array" ref="BK87">IF($F87&lt;&gt;"",XLOOKUP($F87,Productos!$A:$A,Productos!BD:BD,"Revisar"),"")</f>
        <v/>
      </c>
      <c r="BL87" s="179" t="str">
        <f t="array" ref="BL87">IF($F87&lt;&gt;"", XLOOKUP($F87,Productos!$A$2:$A1001,Productos!BE$2:BE1001,"")*$G87,"")</f>
        <v/>
      </c>
      <c r="BM87" s="179" t="str">
        <f t="array" ref="BM87">IF($F87&lt;&gt;"",XLOOKUP($F87,Productos!$A:$A,Productos!BF:BF,"Revisar"),"")</f>
        <v/>
      </c>
      <c r="BN87" s="179" t="str">
        <f t="array" ref="BN87">IF($F87&lt;&gt;"", XLOOKUP($F87,Productos!$A$2:$A1001,Productos!BG$2:BG1001,"")*$G87,"")</f>
        <v/>
      </c>
      <c r="BO87" s="179" t="str">
        <f t="array" ref="BO87">IF($F87&lt;&gt;"",XLOOKUP($F87,Productos!$A:$A,Productos!BH:BH,"Revisar"),"")</f>
        <v/>
      </c>
      <c r="BP87" s="179" t="str">
        <f t="array" ref="BP87">IF($F87&lt;&gt;"", XLOOKUP($F87,Productos!$A$2:$A1001,Productos!BI$2:BI1001,"")*$G87,"")</f>
        <v/>
      </c>
      <c r="BQ87" s="179" t="str">
        <f t="array" ref="BQ87">IF($F87&lt;&gt;"",XLOOKUP($F87,Productos!$A:$A,Productos!BJ:BJ,"Revisar"),"")</f>
        <v/>
      </c>
      <c r="BR87" s="179" t="str">
        <f t="array" ref="BR87">IF($F87&lt;&gt;"", XLOOKUP($F87,Productos!$A$2:$A1001,Productos!BK$2:BK1001,"")*$G87,"")</f>
        <v/>
      </c>
      <c r="BS87" s="179" t="str">
        <f t="array" ref="BS87">IF($F87&lt;&gt;"",XLOOKUP($F87,Productos!$A:$A,Productos!BL:BL,"Revisar"),"")</f>
        <v/>
      </c>
      <c r="BT87" s="179" t="str">
        <f t="array" ref="BT87">IF($F87&lt;&gt;"", XLOOKUP($F87,Productos!$A$2:$A1001,Productos!BM$2:BM1001,"")*$G87,"")</f>
        <v/>
      </c>
      <c r="BU87" s="179" t="str">
        <f t="array" ref="BU87">IF($F87&lt;&gt;"",XLOOKUP($F87,Productos!$A:$A,Productos!BN:BN,"Revisar"),"")</f>
        <v/>
      </c>
      <c r="BV87" s="179" t="str">
        <f t="array" ref="BV87">IF($F87&lt;&gt;"", XLOOKUP($F87,Productos!$A$2:$A1001,Productos!BO$2:BO1001,"")*$G87,"")</f>
        <v/>
      </c>
      <c r="BW87" s="179" t="str">
        <f t="array" ref="BW87">IF($F87&lt;&gt;"",XLOOKUP($F87,Productos!$A:$A,Productos!BP:BP,"Revisar"),"")</f>
        <v/>
      </c>
      <c r="BX87" s="179" t="str">
        <f t="array" ref="BX87">IF($F87&lt;&gt;"", XLOOKUP($F87,Productos!$A$2:$A1001,Productos!BQ$2:BQ1001,"")*$G87,"")</f>
        <v/>
      </c>
      <c r="BY87" s="179" t="str">
        <f t="array" ref="BY87">IF($F87&lt;&gt;"",XLOOKUP($F87,Productos!$A:$A,Productos!BR:BR,"Revisar"),"")</f>
        <v/>
      </c>
      <c r="BZ87" s="179" t="str">
        <f t="array" ref="BZ87">IF($F87&lt;&gt;"", XLOOKUP($F87,Productos!$A$2:$A1001,Productos!BS$2:BS1001,"")*$G87,"")</f>
        <v/>
      </c>
    </row>
    <row r="88">
      <c r="A88" s="180"/>
      <c r="B88" s="181"/>
      <c r="C88" s="182"/>
      <c r="D88" s="182"/>
      <c r="E88" s="185"/>
      <c r="F88" s="186"/>
      <c r="G88" s="187"/>
      <c r="H88" s="186"/>
      <c r="I88" s="179" t="str">
        <f t="array" ref="I88">IF($F88&lt;&gt;"",XLOOKUP($F88,Productos!$A:$A,Productos!B:B,"Revisar"),"")</f>
        <v/>
      </c>
      <c r="J88" s="179" t="str">
        <f t="array" ref="J88">IF($F88&lt;&gt;"", XLOOKUP($F88,Productos!$A$2:$A1001,Productos!C$2:C1001,"")*$G88,"")</f>
        <v/>
      </c>
      <c r="K88" s="179" t="str">
        <f t="array" ref="K88">IF($F88&lt;&gt;"",XLOOKUP($F88,Productos!$A:$A,Productos!D:D,"Revisar"),"")</f>
        <v/>
      </c>
      <c r="L88" s="179" t="str">
        <f t="array" ref="L88">IF($F88&lt;&gt;"", XLOOKUP($F88,Productos!$A$2:$A1001,Productos!E$2:E1001,"")*$G88,"")</f>
        <v/>
      </c>
      <c r="M88" s="179" t="str">
        <f t="array" ref="M88">IF($F88&lt;&gt;"",XLOOKUP($F88,Productos!$A:$A,Productos!F:F,"Revisar"),"")</f>
        <v/>
      </c>
      <c r="N88" s="179" t="str">
        <f t="array" ref="N88">IF($F88&lt;&gt;"", XLOOKUP($F88,Productos!$A$2:$A1001,Productos!G$2:G1001,"")*$G88,"")</f>
        <v/>
      </c>
      <c r="O88" s="179" t="str">
        <f t="array" ref="O88">IF($F88&lt;&gt;"",XLOOKUP($F88,Productos!$A:$A,Productos!H:H,"Revisar"),"")</f>
        <v/>
      </c>
      <c r="P88" s="179" t="str">
        <f t="array" ref="P88">IF($F88&lt;&gt;"", XLOOKUP($F88,Productos!$A$2:$A1001,Productos!I$2:I1001,"")*$G88,"")</f>
        <v/>
      </c>
      <c r="Q88" s="179" t="str">
        <f t="array" ref="Q88">IF($F88&lt;&gt;"",XLOOKUP($F88,Productos!$A:$A,Productos!J:J,"Revisar"),"")</f>
        <v/>
      </c>
      <c r="R88" s="179" t="str">
        <f t="array" ref="R88">IF($F88&lt;&gt;"", XLOOKUP($F88,Productos!$A$2:$A1001,Productos!K$2:K1001,"")*$G88,"")</f>
        <v/>
      </c>
      <c r="S88" s="179" t="str">
        <f t="array" ref="S88">IF($F88&lt;&gt;"",XLOOKUP($F88,Productos!$A:$A,Productos!L:L,"Revisar"),"")</f>
        <v/>
      </c>
      <c r="T88" s="179" t="str">
        <f t="array" ref="T88">IF($F88&lt;&gt;"", XLOOKUP($F88,Productos!$A$2:$A1001,Productos!M$2:M1001,"")*$G88,"")</f>
        <v/>
      </c>
      <c r="U88" s="179" t="str">
        <f t="array" ref="U88">IF($F88&lt;&gt;"",XLOOKUP($F88,Productos!$A:$A,Productos!N:N,"Revisar"),"")</f>
        <v/>
      </c>
      <c r="V88" s="179" t="str">
        <f t="array" ref="V88">IF($F88&lt;&gt;"", XLOOKUP($F88,Productos!$A$2:$A1001,Productos!O$2:O1001,"")*$G88,"")</f>
        <v/>
      </c>
      <c r="W88" s="179" t="str">
        <f t="array" ref="W88">IF($F88&lt;&gt;"",XLOOKUP($F88,Productos!$A:$A,Productos!P:P,"Revisar"),"")</f>
        <v/>
      </c>
      <c r="X88" s="179" t="str">
        <f t="array" ref="X88">IF($F88&lt;&gt;"", XLOOKUP($F88,Productos!$A$2:$A1001,Productos!Q$2:Q1001,"")*$G88,"")</f>
        <v/>
      </c>
      <c r="Y88" s="179" t="str">
        <f t="array" ref="Y88">IF($F88&lt;&gt;"",XLOOKUP($F88,Productos!$A:$A,Productos!R:R,"Revisar"),"")</f>
        <v/>
      </c>
      <c r="Z88" s="179" t="str">
        <f t="array" ref="Z88">IF($F88&lt;&gt;"", XLOOKUP($F88,Productos!$A$2:$A1001,Productos!S$2:S1001,"")*$G88,"")</f>
        <v/>
      </c>
      <c r="AA88" s="179" t="str">
        <f t="array" ref="AA88">IF($F88&lt;&gt;"",XLOOKUP($F88,Productos!$A:$A,Productos!T:T,"Revisar"),"")</f>
        <v/>
      </c>
      <c r="AB88" s="179" t="str">
        <f t="array" ref="AB88">IF($F88&lt;&gt;"", XLOOKUP($F88,Productos!$A$2:$A1001,Productos!U$2:U1001,"")*$G88,"")</f>
        <v/>
      </c>
      <c r="AC88" s="179" t="str">
        <f t="array" ref="AC88">IF($F88&lt;&gt;"",XLOOKUP($F88,Productos!$A:$A,Productos!V:V,"Revisar"),"")</f>
        <v/>
      </c>
      <c r="AD88" s="179" t="str">
        <f t="array" ref="AD88">IF($F88&lt;&gt;"", XLOOKUP($F88,Productos!$A$2:$A1001,Productos!W$2:W1001,"")*$G88,"")</f>
        <v/>
      </c>
      <c r="AE88" s="179" t="str">
        <f t="array" ref="AE88">IF($F88&lt;&gt;"",XLOOKUP($F88,Productos!$A:$A,Productos!X:X,"Revisar"),"")</f>
        <v/>
      </c>
      <c r="AF88" s="179" t="str">
        <f t="array" ref="AF88">IF($F88&lt;&gt;"", XLOOKUP($F88,Productos!$A$2:$A1001,Productos!Y$2:Y1001,"")*$G88,"")</f>
        <v/>
      </c>
      <c r="AG88" s="179" t="str">
        <f t="array" ref="AG88">IF($F88&lt;&gt;"",XLOOKUP($F88,Productos!$A:$A,Productos!Z:Z,"Revisar"),"")</f>
        <v/>
      </c>
      <c r="AH88" s="179" t="str">
        <f t="array" ref="AH88">IF($F88&lt;&gt;"", XLOOKUP($F88,Productos!$A$2:$A1001,Productos!AA$2:AA1001,"")*$G88,"")</f>
        <v/>
      </c>
      <c r="AI88" s="179" t="str">
        <f t="array" ref="AI88">IF($F88&lt;&gt;"",XLOOKUP($F88,Productos!$A:$A,Productos!AB:AB,"Revisar"),"")</f>
        <v/>
      </c>
      <c r="AJ88" s="179" t="str">
        <f t="array" ref="AJ88">IF($F88&lt;&gt;"", XLOOKUP($F88,Productos!$A$2:$A1001,Productos!AC$2:AC1001,"")*$G88,"")</f>
        <v/>
      </c>
      <c r="AK88" s="179" t="str">
        <f t="array" ref="AK88">IF($F88&lt;&gt;"",XLOOKUP($F88,Productos!$A:$A,Productos!AD:AD,"Revisar"),"")</f>
        <v/>
      </c>
      <c r="AL88" s="179" t="str">
        <f t="array" ref="AL88">IF($F88&lt;&gt;"", XLOOKUP($F88,Productos!$A$2:$A1001,Productos!AE$2:AE1001,"")*$G88,"")</f>
        <v/>
      </c>
      <c r="AM88" s="179" t="str">
        <f t="array" ref="AM88">IF($F88&lt;&gt;"",XLOOKUP($F88,Productos!$A:$A,Productos!AF:AF,"Revisar"),"")</f>
        <v/>
      </c>
      <c r="AN88" s="179" t="str">
        <f t="array" ref="AN88">IF($F88&lt;&gt;"", XLOOKUP($F88,Productos!$A$2:$A1001,Productos!AG$2:AG1001,"")*$G88,"")</f>
        <v/>
      </c>
      <c r="AO88" s="179" t="str">
        <f t="array" ref="AO88">IF($F88&lt;&gt;"",XLOOKUP($F88,Productos!$A:$A,Productos!AH:AH,"Revisar"),"")</f>
        <v/>
      </c>
      <c r="AP88" s="179" t="str">
        <f t="array" ref="AP88">IF($F88&lt;&gt;"", XLOOKUP($F88,Productos!$A$2:$A1001,Productos!AI$2:AI1001,"")*$G88,"")</f>
        <v/>
      </c>
      <c r="AQ88" s="179" t="str">
        <f t="array" ref="AQ88">IF($F88&lt;&gt;"",XLOOKUP($F88,Productos!$A:$A,Productos!AJ:AJ,"Revisar"),"")</f>
        <v/>
      </c>
      <c r="AR88" s="179" t="str">
        <f t="array" ref="AR88">IF($F88&lt;&gt;"", XLOOKUP($F88,Productos!$A$2:$A1001,Productos!AK$2:AK1001,"")*$G88,"")</f>
        <v/>
      </c>
      <c r="AS88" s="179" t="str">
        <f t="array" ref="AS88">IF($F88&lt;&gt;"",XLOOKUP($F88,Productos!$A:$A,Productos!AL:AL,"Revisar"),"")</f>
        <v/>
      </c>
      <c r="AT88" s="179" t="str">
        <f t="array" ref="AT88">IF($F88&lt;&gt;"", XLOOKUP($F88,Productos!$A$2:$A1001,Productos!AM$2:AM1001,"")*$G88,"")</f>
        <v/>
      </c>
      <c r="AU88" s="179" t="str">
        <f t="array" ref="AU88">IF($F88&lt;&gt;"",XLOOKUP($F88,Productos!$A:$A,Productos!AN:AN,"Revisar"),"")</f>
        <v/>
      </c>
      <c r="AV88" s="179" t="str">
        <f t="array" ref="AV88">IF($F88&lt;&gt;"", XLOOKUP($F88,Productos!$A$2:$A1001,Productos!AO$2:AO1001,"")*$G88,"")</f>
        <v/>
      </c>
      <c r="AW88" s="179" t="str">
        <f t="array" ref="AW88">IF($F88&lt;&gt;"",XLOOKUP($F88,Productos!$A:$A,Productos!AP:AP,"Revisar"),"")</f>
        <v/>
      </c>
      <c r="AX88" s="179" t="str">
        <f t="array" ref="AX88">IF($F88&lt;&gt;"", XLOOKUP($F88,Productos!$A$2:$A1001,Productos!AQ$2:AQ1001,"")*$G88,"")</f>
        <v/>
      </c>
      <c r="AY88" s="179" t="str">
        <f t="array" ref="AY88">IF($F88&lt;&gt;"",XLOOKUP($F88,Productos!$A:$A,Productos!AR:AR,"Revisar"),"")</f>
        <v/>
      </c>
      <c r="AZ88" s="179" t="str">
        <f t="array" ref="AZ88">IF($F88&lt;&gt;"", XLOOKUP($F88,Productos!$A$2:$A1001,Productos!AS$2:AS1001,"")*$G88,"")</f>
        <v/>
      </c>
      <c r="BA88" s="179" t="str">
        <f t="array" ref="BA88">IF($F88&lt;&gt;"",XLOOKUP($F88,Productos!$A:$A,Productos!AT:AT,"Revisar"),"")</f>
        <v/>
      </c>
      <c r="BB88" s="179" t="str">
        <f t="array" ref="BB88">IF($F88&lt;&gt;"", XLOOKUP($F88,Productos!$A$2:$A1001,Productos!AU$2:AU1001,"")*$G88,"")</f>
        <v/>
      </c>
      <c r="BC88" s="179" t="str">
        <f t="array" ref="BC88">IF($F88&lt;&gt;"",XLOOKUP($F88,Productos!$A:$A,Productos!AV:AV,"Revisar"),"")</f>
        <v/>
      </c>
      <c r="BD88" s="179" t="str">
        <f t="array" ref="BD88">IF($F88&lt;&gt;"", XLOOKUP($F88,Productos!$A$2:$A1001,Productos!AW$2:AW1001,"")*$G88,"")</f>
        <v/>
      </c>
      <c r="BE88" s="179" t="str">
        <f t="array" ref="BE88">IF($F88&lt;&gt;"",XLOOKUP($F88,Productos!$A:$A,Productos!AX:AX,"Revisar"),"")</f>
        <v/>
      </c>
      <c r="BF88" s="179" t="str">
        <f t="array" ref="BF88">IF($F88&lt;&gt;"", XLOOKUP($F88,Productos!$A$2:$A1001,Productos!AY$2:AY1001,"")*$G88,"")</f>
        <v/>
      </c>
      <c r="BG88" s="179" t="str">
        <f t="array" ref="BG88">IF($F88&lt;&gt;"",XLOOKUP($F88,Productos!$A:$A,Productos!AZ:AZ,"Revisar"),"")</f>
        <v/>
      </c>
      <c r="BH88" s="179" t="str">
        <f t="array" ref="BH88">IF($F88&lt;&gt;"", XLOOKUP($F88,Productos!$A$2:$A1001,Productos!BA$2:BA1001,"")*$G88,"")</f>
        <v/>
      </c>
      <c r="BI88" s="179" t="str">
        <f t="array" ref="BI88">IF($F88&lt;&gt;"",XLOOKUP($F88,Productos!$A:$A,Productos!BB:BB,"Revisar"),"")</f>
        <v/>
      </c>
      <c r="BJ88" s="179" t="str">
        <f t="array" ref="BJ88">IF($F88&lt;&gt;"", XLOOKUP($F88,Productos!$A$2:$A1001,Productos!BC$2:BC1001,"")*$G88,"")</f>
        <v/>
      </c>
      <c r="BK88" s="179" t="str">
        <f t="array" ref="BK88">IF($F88&lt;&gt;"",XLOOKUP($F88,Productos!$A:$A,Productos!BD:BD,"Revisar"),"")</f>
        <v/>
      </c>
      <c r="BL88" s="179" t="str">
        <f t="array" ref="BL88">IF($F88&lt;&gt;"", XLOOKUP($F88,Productos!$A$2:$A1001,Productos!BE$2:BE1001,"")*$G88,"")</f>
        <v/>
      </c>
      <c r="BM88" s="179" t="str">
        <f t="array" ref="BM88">IF($F88&lt;&gt;"",XLOOKUP($F88,Productos!$A:$A,Productos!BF:BF,"Revisar"),"")</f>
        <v/>
      </c>
      <c r="BN88" s="179" t="str">
        <f t="array" ref="BN88">IF($F88&lt;&gt;"", XLOOKUP($F88,Productos!$A$2:$A1001,Productos!BG$2:BG1001,"")*$G88,"")</f>
        <v/>
      </c>
      <c r="BO88" s="179" t="str">
        <f t="array" ref="BO88">IF($F88&lt;&gt;"",XLOOKUP($F88,Productos!$A:$A,Productos!BH:BH,"Revisar"),"")</f>
        <v/>
      </c>
      <c r="BP88" s="179" t="str">
        <f t="array" ref="BP88">IF($F88&lt;&gt;"", XLOOKUP($F88,Productos!$A$2:$A1001,Productos!BI$2:BI1001,"")*$G88,"")</f>
        <v/>
      </c>
      <c r="BQ88" s="179" t="str">
        <f t="array" ref="BQ88">IF($F88&lt;&gt;"",XLOOKUP($F88,Productos!$A:$A,Productos!BJ:BJ,"Revisar"),"")</f>
        <v/>
      </c>
      <c r="BR88" s="179" t="str">
        <f t="array" ref="BR88">IF($F88&lt;&gt;"", XLOOKUP($F88,Productos!$A$2:$A1001,Productos!BK$2:BK1001,"")*$G88,"")</f>
        <v/>
      </c>
      <c r="BS88" s="179" t="str">
        <f t="array" ref="BS88">IF($F88&lt;&gt;"",XLOOKUP($F88,Productos!$A:$A,Productos!BL:BL,"Revisar"),"")</f>
        <v/>
      </c>
      <c r="BT88" s="179" t="str">
        <f t="array" ref="BT88">IF($F88&lt;&gt;"", XLOOKUP($F88,Productos!$A$2:$A1001,Productos!BM$2:BM1001,"")*$G88,"")</f>
        <v/>
      </c>
      <c r="BU88" s="179" t="str">
        <f t="array" ref="BU88">IF($F88&lt;&gt;"",XLOOKUP($F88,Productos!$A:$A,Productos!BN:BN,"Revisar"),"")</f>
        <v/>
      </c>
      <c r="BV88" s="179" t="str">
        <f t="array" ref="BV88">IF($F88&lt;&gt;"", XLOOKUP($F88,Productos!$A$2:$A1001,Productos!BO$2:BO1001,"")*$G88,"")</f>
        <v/>
      </c>
      <c r="BW88" s="179" t="str">
        <f t="array" ref="BW88">IF($F88&lt;&gt;"",XLOOKUP($F88,Productos!$A:$A,Productos!BP:BP,"Revisar"),"")</f>
        <v/>
      </c>
      <c r="BX88" s="179" t="str">
        <f t="array" ref="BX88">IF($F88&lt;&gt;"", XLOOKUP($F88,Productos!$A$2:$A1001,Productos!BQ$2:BQ1001,"")*$G88,"")</f>
        <v/>
      </c>
      <c r="BY88" s="179" t="str">
        <f t="array" ref="BY88">IF($F88&lt;&gt;"",XLOOKUP($F88,Productos!$A:$A,Productos!BR:BR,"Revisar"),"")</f>
        <v/>
      </c>
      <c r="BZ88" s="179" t="str">
        <f t="array" ref="BZ88">IF($F88&lt;&gt;"", XLOOKUP($F88,Productos!$A$2:$A1001,Productos!BS$2:BS1001,"")*$G88,"")</f>
        <v/>
      </c>
    </row>
    <row r="89">
      <c r="A89" s="180"/>
      <c r="B89" s="181"/>
      <c r="C89" s="182"/>
      <c r="D89" s="182"/>
      <c r="E89" s="185"/>
      <c r="F89" s="186"/>
      <c r="G89" s="187"/>
      <c r="H89" s="186"/>
      <c r="I89" s="179" t="str">
        <f t="array" ref="I89">IF($F89&lt;&gt;"",XLOOKUP($F89,Productos!$A:$A,Productos!B:B,"Revisar"),"")</f>
        <v/>
      </c>
      <c r="J89" s="179" t="str">
        <f t="array" ref="J89">IF($F89&lt;&gt;"", XLOOKUP($F89,Productos!$A$2:$A1001,Productos!C$2:C1001,"")*$G89,"")</f>
        <v/>
      </c>
      <c r="K89" s="179" t="str">
        <f t="array" ref="K89">IF($F89&lt;&gt;"",XLOOKUP($F89,Productos!$A:$A,Productos!D:D,"Revisar"),"")</f>
        <v/>
      </c>
      <c r="L89" s="179" t="str">
        <f t="array" ref="L89">IF($F89&lt;&gt;"", XLOOKUP($F89,Productos!$A$2:$A1001,Productos!E$2:E1001,"")*$G89,"")</f>
        <v/>
      </c>
      <c r="M89" s="179" t="str">
        <f t="array" ref="M89">IF($F89&lt;&gt;"",XLOOKUP($F89,Productos!$A:$A,Productos!F:F,"Revisar"),"")</f>
        <v/>
      </c>
      <c r="N89" s="179" t="str">
        <f t="array" ref="N89">IF($F89&lt;&gt;"", XLOOKUP($F89,Productos!$A$2:$A1001,Productos!G$2:G1001,"")*$G89,"")</f>
        <v/>
      </c>
      <c r="O89" s="179" t="str">
        <f t="array" ref="O89">IF($F89&lt;&gt;"",XLOOKUP($F89,Productos!$A:$A,Productos!H:H,"Revisar"),"")</f>
        <v/>
      </c>
      <c r="P89" s="179" t="str">
        <f t="array" ref="P89">IF($F89&lt;&gt;"", XLOOKUP($F89,Productos!$A$2:$A1001,Productos!I$2:I1001,"")*$G89,"")</f>
        <v/>
      </c>
      <c r="Q89" s="179" t="str">
        <f t="array" ref="Q89">IF($F89&lt;&gt;"",XLOOKUP($F89,Productos!$A:$A,Productos!J:J,"Revisar"),"")</f>
        <v/>
      </c>
      <c r="R89" s="179" t="str">
        <f t="array" ref="R89">IF($F89&lt;&gt;"", XLOOKUP($F89,Productos!$A$2:$A1001,Productos!K$2:K1001,"")*$G89,"")</f>
        <v/>
      </c>
      <c r="S89" s="179" t="str">
        <f t="array" ref="S89">IF($F89&lt;&gt;"",XLOOKUP($F89,Productos!$A:$A,Productos!L:L,"Revisar"),"")</f>
        <v/>
      </c>
      <c r="T89" s="179" t="str">
        <f t="array" ref="T89">IF($F89&lt;&gt;"", XLOOKUP($F89,Productos!$A$2:$A1001,Productos!M$2:M1001,"")*$G89,"")</f>
        <v/>
      </c>
      <c r="U89" s="179" t="str">
        <f t="array" ref="U89">IF($F89&lt;&gt;"",XLOOKUP($F89,Productos!$A:$A,Productos!N:N,"Revisar"),"")</f>
        <v/>
      </c>
      <c r="V89" s="179" t="str">
        <f t="array" ref="V89">IF($F89&lt;&gt;"", XLOOKUP($F89,Productos!$A$2:$A1001,Productos!O$2:O1001,"")*$G89,"")</f>
        <v/>
      </c>
      <c r="W89" s="179" t="str">
        <f t="array" ref="W89">IF($F89&lt;&gt;"",XLOOKUP($F89,Productos!$A:$A,Productos!P:P,"Revisar"),"")</f>
        <v/>
      </c>
      <c r="X89" s="179" t="str">
        <f t="array" ref="X89">IF($F89&lt;&gt;"", XLOOKUP($F89,Productos!$A$2:$A1001,Productos!Q$2:Q1001,"")*$G89,"")</f>
        <v/>
      </c>
      <c r="Y89" s="179" t="str">
        <f t="array" ref="Y89">IF($F89&lt;&gt;"",XLOOKUP($F89,Productos!$A:$A,Productos!R:R,"Revisar"),"")</f>
        <v/>
      </c>
      <c r="Z89" s="179" t="str">
        <f t="array" ref="Z89">IF($F89&lt;&gt;"", XLOOKUP($F89,Productos!$A$2:$A1001,Productos!S$2:S1001,"")*$G89,"")</f>
        <v/>
      </c>
      <c r="AA89" s="179" t="str">
        <f t="array" ref="AA89">IF($F89&lt;&gt;"",XLOOKUP($F89,Productos!$A:$A,Productos!T:T,"Revisar"),"")</f>
        <v/>
      </c>
      <c r="AB89" s="179" t="str">
        <f t="array" ref="AB89">IF($F89&lt;&gt;"", XLOOKUP($F89,Productos!$A$2:$A1001,Productos!U$2:U1001,"")*$G89,"")</f>
        <v/>
      </c>
      <c r="AC89" s="179" t="str">
        <f t="array" ref="AC89">IF($F89&lt;&gt;"",XLOOKUP($F89,Productos!$A:$A,Productos!V:V,"Revisar"),"")</f>
        <v/>
      </c>
      <c r="AD89" s="179" t="str">
        <f t="array" ref="AD89">IF($F89&lt;&gt;"", XLOOKUP($F89,Productos!$A$2:$A1001,Productos!W$2:W1001,"")*$G89,"")</f>
        <v/>
      </c>
      <c r="AE89" s="179" t="str">
        <f t="array" ref="AE89">IF($F89&lt;&gt;"",XLOOKUP($F89,Productos!$A:$A,Productos!X:X,"Revisar"),"")</f>
        <v/>
      </c>
      <c r="AF89" s="179" t="str">
        <f t="array" ref="AF89">IF($F89&lt;&gt;"", XLOOKUP($F89,Productos!$A$2:$A1001,Productos!Y$2:Y1001,"")*$G89,"")</f>
        <v/>
      </c>
      <c r="AG89" s="179" t="str">
        <f t="array" ref="AG89">IF($F89&lt;&gt;"",XLOOKUP($F89,Productos!$A:$A,Productos!Z:Z,"Revisar"),"")</f>
        <v/>
      </c>
      <c r="AH89" s="179" t="str">
        <f t="array" ref="AH89">IF($F89&lt;&gt;"", XLOOKUP($F89,Productos!$A$2:$A1001,Productos!AA$2:AA1001,"")*$G89,"")</f>
        <v/>
      </c>
      <c r="AI89" s="179" t="str">
        <f t="array" ref="AI89">IF($F89&lt;&gt;"",XLOOKUP($F89,Productos!$A:$A,Productos!AB:AB,"Revisar"),"")</f>
        <v/>
      </c>
      <c r="AJ89" s="179" t="str">
        <f t="array" ref="AJ89">IF($F89&lt;&gt;"", XLOOKUP($F89,Productos!$A$2:$A1001,Productos!AC$2:AC1001,"")*$G89,"")</f>
        <v/>
      </c>
      <c r="AK89" s="179" t="str">
        <f t="array" ref="AK89">IF($F89&lt;&gt;"",XLOOKUP($F89,Productos!$A:$A,Productos!AD:AD,"Revisar"),"")</f>
        <v/>
      </c>
      <c r="AL89" s="179" t="str">
        <f t="array" ref="AL89">IF($F89&lt;&gt;"", XLOOKUP($F89,Productos!$A$2:$A1001,Productos!AE$2:AE1001,"")*$G89,"")</f>
        <v/>
      </c>
      <c r="AM89" s="179" t="str">
        <f t="array" ref="AM89">IF($F89&lt;&gt;"",XLOOKUP($F89,Productos!$A:$A,Productos!AF:AF,"Revisar"),"")</f>
        <v/>
      </c>
      <c r="AN89" s="179" t="str">
        <f t="array" ref="AN89">IF($F89&lt;&gt;"", XLOOKUP($F89,Productos!$A$2:$A1001,Productos!AG$2:AG1001,"")*$G89,"")</f>
        <v/>
      </c>
      <c r="AO89" s="179" t="str">
        <f t="array" ref="AO89">IF($F89&lt;&gt;"",XLOOKUP($F89,Productos!$A:$A,Productos!AH:AH,"Revisar"),"")</f>
        <v/>
      </c>
      <c r="AP89" s="179" t="str">
        <f t="array" ref="AP89">IF($F89&lt;&gt;"", XLOOKUP($F89,Productos!$A$2:$A1001,Productos!AI$2:AI1001,"")*$G89,"")</f>
        <v/>
      </c>
      <c r="AQ89" s="179" t="str">
        <f t="array" ref="AQ89">IF($F89&lt;&gt;"",XLOOKUP($F89,Productos!$A:$A,Productos!AJ:AJ,"Revisar"),"")</f>
        <v/>
      </c>
      <c r="AR89" s="179" t="str">
        <f t="array" ref="AR89">IF($F89&lt;&gt;"", XLOOKUP($F89,Productos!$A$2:$A1001,Productos!AK$2:AK1001,"")*$G89,"")</f>
        <v/>
      </c>
      <c r="AS89" s="179" t="str">
        <f t="array" ref="AS89">IF($F89&lt;&gt;"",XLOOKUP($F89,Productos!$A:$A,Productos!AL:AL,"Revisar"),"")</f>
        <v/>
      </c>
      <c r="AT89" s="179" t="str">
        <f t="array" ref="AT89">IF($F89&lt;&gt;"", XLOOKUP($F89,Productos!$A$2:$A1001,Productos!AM$2:AM1001,"")*$G89,"")</f>
        <v/>
      </c>
      <c r="AU89" s="179" t="str">
        <f t="array" ref="AU89">IF($F89&lt;&gt;"",XLOOKUP($F89,Productos!$A:$A,Productos!AN:AN,"Revisar"),"")</f>
        <v/>
      </c>
      <c r="AV89" s="179" t="str">
        <f t="array" ref="AV89">IF($F89&lt;&gt;"", XLOOKUP($F89,Productos!$A$2:$A1001,Productos!AO$2:AO1001,"")*$G89,"")</f>
        <v/>
      </c>
      <c r="AW89" s="179" t="str">
        <f t="array" ref="AW89">IF($F89&lt;&gt;"",XLOOKUP($F89,Productos!$A:$A,Productos!AP:AP,"Revisar"),"")</f>
        <v/>
      </c>
      <c r="AX89" s="179" t="str">
        <f t="array" ref="AX89">IF($F89&lt;&gt;"", XLOOKUP($F89,Productos!$A$2:$A1001,Productos!AQ$2:AQ1001,"")*$G89,"")</f>
        <v/>
      </c>
      <c r="AY89" s="179" t="str">
        <f t="array" ref="AY89">IF($F89&lt;&gt;"",XLOOKUP($F89,Productos!$A:$A,Productos!AR:AR,"Revisar"),"")</f>
        <v/>
      </c>
      <c r="AZ89" s="179" t="str">
        <f t="array" ref="AZ89">IF($F89&lt;&gt;"", XLOOKUP($F89,Productos!$A$2:$A1001,Productos!AS$2:AS1001,"")*$G89,"")</f>
        <v/>
      </c>
      <c r="BA89" s="179" t="str">
        <f t="array" ref="BA89">IF($F89&lt;&gt;"",XLOOKUP($F89,Productos!$A:$A,Productos!AT:AT,"Revisar"),"")</f>
        <v/>
      </c>
      <c r="BB89" s="179" t="str">
        <f t="array" ref="BB89">IF($F89&lt;&gt;"", XLOOKUP($F89,Productos!$A$2:$A1001,Productos!AU$2:AU1001,"")*$G89,"")</f>
        <v/>
      </c>
      <c r="BC89" s="179" t="str">
        <f t="array" ref="BC89">IF($F89&lt;&gt;"",XLOOKUP($F89,Productos!$A:$A,Productos!AV:AV,"Revisar"),"")</f>
        <v/>
      </c>
      <c r="BD89" s="179" t="str">
        <f t="array" ref="BD89">IF($F89&lt;&gt;"", XLOOKUP($F89,Productos!$A$2:$A1001,Productos!AW$2:AW1001,"")*$G89,"")</f>
        <v/>
      </c>
      <c r="BE89" s="179" t="str">
        <f t="array" ref="BE89">IF($F89&lt;&gt;"",XLOOKUP($F89,Productos!$A:$A,Productos!AX:AX,"Revisar"),"")</f>
        <v/>
      </c>
      <c r="BF89" s="179" t="str">
        <f t="array" ref="BF89">IF($F89&lt;&gt;"", XLOOKUP($F89,Productos!$A$2:$A1001,Productos!AY$2:AY1001,"")*$G89,"")</f>
        <v/>
      </c>
      <c r="BG89" s="179" t="str">
        <f t="array" ref="BG89">IF($F89&lt;&gt;"",XLOOKUP($F89,Productos!$A:$A,Productos!AZ:AZ,"Revisar"),"")</f>
        <v/>
      </c>
      <c r="BH89" s="179" t="str">
        <f t="array" ref="BH89">IF($F89&lt;&gt;"", XLOOKUP($F89,Productos!$A$2:$A1001,Productos!BA$2:BA1001,"")*$G89,"")</f>
        <v/>
      </c>
      <c r="BI89" s="179" t="str">
        <f t="array" ref="BI89">IF($F89&lt;&gt;"",XLOOKUP($F89,Productos!$A:$A,Productos!BB:BB,"Revisar"),"")</f>
        <v/>
      </c>
      <c r="BJ89" s="179" t="str">
        <f t="array" ref="BJ89">IF($F89&lt;&gt;"", XLOOKUP($F89,Productos!$A$2:$A1001,Productos!BC$2:BC1001,"")*$G89,"")</f>
        <v/>
      </c>
      <c r="BK89" s="179" t="str">
        <f t="array" ref="BK89">IF($F89&lt;&gt;"",XLOOKUP($F89,Productos!$A:$A,Productos!BD:BD,"Revisar"),"")</f>
        <v/>
      </c>
      <c r="BL89" s="179" t="str">
        <f t="array" ref="BL89">IF($F89&lt;&gt;"", XLOOKUP($F89,Productos!$A$2:$A1001,Productos!BE$2:BE1001,"")*$G89,"")</f>
        <v/>
      </c>
      <c r="BM89" s="179" t="str">
        <f t="array" ref="BM89">IF($F89&lt;&gt;"",XLOOKUP($F89,Productos!$A:$A,Productos!BF:BF,"Revisar"),"")</f>
        <v/>
      </c>
      <c r="BN89" s="179" t="str">
        <f t="array" ref="BN89">IF($F89&lt;&gt;"", XLOOKUP($F89,Productos!$A$2:$A1001,Productos!BG$2:BG1001,"")*$G89,"")</f>
        <v/>
      </c>
      <c r="BO89" s="179" t="str">
        <f t="array" ref="BO89">IF($F89&lt;&gt;"",XLOOKUP($F89,Productos!$A:$A,Productos!BH:BH,"Revisar"),"")</f>
        <v/>
      </c>
      <c r="BP89" s="179" t="str">
        <f t="array" ref="BP89">IF($F89&lt;&gt;"", XLOOKUP($F89,Productos!$A$2:$A1001,Productos!BI$2:BI1001,"")*$G89,"")</f>
        <v/>
      </c>
      <c r="BQ89" s="179" t="str">
        <f t="array" ref="BQ89">IF($F89&lt;&gt;"",XLOOKUP($F89,Productos!$A:$A,Productos!BJ:BJ,"Revisar"),"")</f>
        <v/>
      </c>
      <c r="BR89" s="179" t="str">
        <f t="array" ref="BR89">IF($F89&lt;&gt;"", XLOOKUP($F89,Productos!$A$2:$A1001,Productos!BK$2:BK1001,"")*$G89,"")</f>
        <v/>
      </c>
      <c r="BS89" s="179" t="str">
        <f t="array" ref="BS89">IF($F89&lt;&gt;"",XLOOKUP($F89,Productos!$A:$A,Productos!BL:BL,"Revisar"),"")</f>
        <v/>
      </c>
      <c r="BT89" s="179" t="str">
        <f t="array" ref="BT89">IF($F89&lt;&gt;"", XLOOKUP($F89,Productos!$A$2:$A1001,Productos!BM$2:BM1001,"")*$G89,"")</f>
        <v/>
      </c>
      <c r="BU89" s="179" t="str">
        <f t="array" ref="BU89">IF($F89&lt;&gt;"",XLOOKUP($F89,Productos!$A:$A,Productos!BN:BN,"Revisar"),"")</f>
        <v/>
      </c>
      <c r="BV89" s="179" t="str">
        <f t="array" ref="BV89">IF($F89&lt;&gt;"", XLOOKUP($F89,Productos!$A$2:$A1001,Productos!BO$2:BO1001,"")*$G89,"")</f>
        <v/>
      </c>
      <c r="BW89" s="179" t="str">
        <f t="array" ref="BW89">IF($F89&lt;&gt;"",XLOOKUP($F89,Productos!$A:$A,Productos!BP:BP,"Revisar"),"")</f>
        <v/>
      </c>
      <c r="BX89" s="179" t="str">
        <f t="array" ref="BX89">IF($F89&lt;&gt;"", XLOOKUP($F89,Productos!$A$2:$A1001,Productos!BQ$2:BQ1001,"")*$G89,"")</f>
        <v/>
      </c>
      <c r="BY89" s="179" t="str">
        <f t="array" ref="BY89">IF($F89&lt;&gt;"",XLOOKUP($F89,Productos!$A:$A,Productos!BR:BR,"Revisar"),"")</f>
        <v/>
      </c>
      <c r="BZ89" s="179" t="str">
        <f t="array" ref="BZ89">IF($F89&lt;&gt;"", XLOOKUP($F89,Productos!$A$2:$A1001,Productos!BS$2:BS1001,"")*$G89,"")</f>
        <v/>
      </c>
    </row>
    <row r="90">
      <c r="A90" s="180"/>
      <c r="B90" s="181"/>
      <c r="C90" s="182"/>
      <c r="D90" s="182"/>
      <c r="E90" s="185"/>
      <c r="F90" s="186"/>
      <c r="G90" s="187"/>
      <c r="H90" s="186"/>
      <c r="I90" s="179" t="str">
        <f t="array" ref="I90">IF($F90&lt;&gt;"",XLOOKUP($F90,Productos!$A:$A,Productos!B:B,"Revisar"),"")</f>
        <v/>
      </c>
      <c r="J90" s="179" t="str">
        <f t="array" ref="J90">IF($F90&lt;&gt;"", XLOOKUP($F90,Productos!$A$2:$A1001,Productos!C$2:C1001,"")*$G90,"")</f>
        <v/>
      </c>
      <c r="K90" s="179" t="str">
        <f t="array" ref="K90">IF($F90&lt;&gt;"",XLOOKUP($F90,Productos!$A:$A,Productos!D:D,"Revisar"),"")</f>
        <v/>
      </c>
      <c r="L90" s="179" t="str">
        <f t="array" ref="L90">IF($F90&lt;&gt;"", XLOOKUP($F90,Productos!$A$2:$A1001,Productos!E$2:E1001,"")*$G90,"")</f>
        <v/>
      </c>
      <c r="M90" s="179" t="str">
        <f t="array" ref="M90">IF($F90&lt;&gt;"",XLOOKUP($F90,Productos!$A:$A,Productos!F:F,"Revisar"),"")</f>
        <v/>
      </c>
      <c r="N90" s="179" t="str">
        <f t="array" ref="N90">IF($F90&lt;&gt;"", XLOOKUP($F90,Productos!$A$2:$A1001,Productos!G$2:G1001,"")*$G90,"")</f>
        <v/>
      </c>
      <c r="O90" s="179" t="str">
        <f t="array" ref="O90">IF($F90&lt;&gt;"",XLOOKUP($F90,Productos!$A:$A,Productos!H:H,"Revisar"),"")</f>
        <v/>
      </c>
      <c r="P90" s="179" t="str">
        <f t="array" ref="P90">IF($F90&lt;&gt;"", XLOOKUP($F90,Productos!$A$2:$A1001,Productos!I$2:I1001,"")*$G90,"")</f>
        <v/>
      </c>
      <c r="Q90" s="179" t="str">
        <f t="array" ref="Q90">IF($F90&lt;&gt;"",XLOOKUP($F90,Productos!$A:$A,Productos!J:J,"Revisar"),"")</f>
        <v/>
      </c>
      <c r="R90" s="179" t="str">
        <f t="array" ref="R90">IF($F90&lt;&gt;"", XLOOKUP($F90,Productos!$A$2:$A1001,Productos!K$2:K1001,"")*$G90,"")</f>
        <v/>
      </c>
      <c r="S90" s="179" t="str">
        <f t="array" ref="S90">IF($F90&lt;&gt;"",XLOOKUP($F90,Productos!$A:$A,Productos!L:L,"Revisar"),"")</f>
        <v/>
      </c>
      <c r="T90" s="179" t="str">
        <f t="array" ref="T90">IF($F90&lt;&gt;"", XLOOKUP($F90,Productos!$A$2:$A1001,Productos!M$2:M1001,"")*$G90,"")</f>
        <v/>
      </c>
      <c r="U90" s="179" t="str">
        <f t="array" ref="U90">IF($F90&lt;&gt;"",XLOOKUP($F90,Productos!$A:$A,Productos!N:N,"Revisar"),"")</f>
        <v/>
      </c>
      <c r="V90" s="179" t="str">
        <f t="array" ref="V90">IF($F90&lt;&gt;"", XLOOKUP($F90,Productos!$A$2:$A1001,Productos!O$2:O1001,"")*$G90,"")</f>
        <v/>
      </c>
      <c r="W90" s="179" t="str">
        <f t="array" ref="W90">IF($F90&lt;&gt;"",XLOOKUP($F90,Productos!$A:$A,Productos!P:P,"Revisar"),"")</f>
        <v/>
      </c>
      <c r="X90" s="179" t="str">
        <f t="array" ref="X90">IF($F90&lt;&gt;"", XLOOKUP($F90,Productos!$A$2:$A1001,Productos!Q$2:Q1001,"")*$G90,"")</f>
        <v/>
      </c>
      <c r="Y90" s="179" t="str">
        <f t="array" ref="Y90">IF($F90&lt;&gt;"",XLOOKUP($F90,Productos!$A:$A,Productos!R:R,"Revisar"),"")</f>
        <v/>
      </c>
      <c r="Z90" s="179" t="str">
        <f t="array" ref="Z90">IF($F90&lt;&gt;"", XLOOKUP($F90,Productos!$A$2:$A1001,Productos!S$2:S1001,"")*$G90,"")</f>
        <v/>
      </c>
      <c r="AA90" s="179" t="str">
        <f t="array" ref="AA90">IF($F90&lt;&gt;"",XLOOKUP($F90,Productos!$A:$A,Productos!T:T,"Revisar"),"")</f>
        <v/>
      </c>
      <c r="AB90" s="179" t="str">
        <f t="array" ref="AB90">IF($F90&lt;&gt;"", XLOOKUP($F90,Productos!$A$2:$A1001,Productos!U$2:U1001,"")*$G90,"")</f>
        <v/>
      </c>
      <c r="AC90" s="179" t="str">
        <f t="array" ref="AC90">IF($F90&lt;&gt;"",XLOOKUP($F90,Productos!$A:$A,Productos!V:V,"Revisar"),"")</f>
        <v/>
      </c>
      <c r="AD90" s="179" t="str">
        <f t="array" ref="AD90">IF($F90&lt;&gt;"", XLOOKUP($F90,Productos!$A$2:$A1001,Productos!W$2:W1001,"")*$G90,"")</f>
        <v/>
      </c>
      <c r="AE90" s="179" t="str">
        <f t="array" ref="AE90">IF($F90&lt;&gt;"",XLOOKUP($F90,Productos!$A:$A,Productos!X:X,"Revisar"),"")</f>
        <v/>
      </c>
      <c r="AF90" s="179" t="str">
        <f t="array" ref="AF90">IF($F90&lt;&gt;"", XLOOKUP($F90,Productos!$A$2:$A1001,Productos!Y$2:Y1001,"")*$G90,"")</f>
        <v/>
      </c>
      <c r="AG90" s="179" t="str">
        <f t="array" ref="AG90">IF($F90&lt;&gt;"",XLOOKUP($F90,Productos!$A:$A,Productos!Z:Z,"Revisar"),"")</f>
        <v/>
      </c>
      <c r="AH90" s="179" t="str">
        <f t="array" ref="AH90">IF($F90&lt;&gt;"", XLOOKUP($F90,Productos!$A$2:$A1001,Productos!AA$2:AA1001,"")*$G90,"")</f>
        <v/>
      </c>
      <c r="AI90" s="179" t="str">
        <f t="array" ref="AI90">IF($F90&lt;&gt;"",XLOOKUP($F90,Productos!$A:$A,Productos!AB:AB,"Revisar"),"")</f>
        <v/>
      </c>
      <c r="AJ90" s="179" t="str">
        <f t="array" ref="AJ90">IF($F90&lt;&gt;"", XLOOKUP($F90,Productos!$A$2:$A1001,Productos!AC$2:AC1001,"")*$G90,"")</f>
        <v/>
      </c>
      <c r="AK90" s="179" t="str">
        <f t="array" ref="AK90">IF($F90&lt;&gt;"",XLOOKUP($F90,Productos!$A:$A,Productos!AD:AD,"Revisar"),"")</f>
        <v/>
      </c>
      <c r="AL90" s="179" t="str">
        <f t="array" ref="AL90">IF($F90&lt;&gt;"", XLOOKUP($F90,Productos!$A$2:$A1001,Productos!AE$2:AE1001,"")*$G90,"")</f>
        <v/>
      </c>
      <c r="AM90" s="179" t="str">
        <f t="array" ref="AM90">IF($F90&lt;&gt;"",XLOOKUP($F90,Productos!$A:$A,Productos!AF:AF,"Revisar"),"")</f>
        <v/>
      </c>
      <c r="AN90" s="179" t="str">
        <f t="array" ref="AN90">IF($F90&lt;&gt;"", XLOOKUP($F90,Productos!$A$2:$A1001,Productos!AG$2:AG1001,"")*$G90,"")</f>
        <v/>
      </c>
      <c r="AO90" s="179" t="str">
        <f t="array" ref="AO90">IF($F90&lt;&gt;"",XLOOKUP($F90,Productos!$A:$A,Productos!AH:AH,"Revisar"),"")</f>
        <v/>
      </c>
      <c r="AP90" s="179" t="str">
        <f t="array" ref="AP90">IF($F90&lt;&gt;"", XLOOKUP($F90,Productos!$A$2:$A1001,Productos!AI$2:AI1001,"")*$G90,"")</f>
        <v/>
      </c>
      <c r="AQ90" s="179" t="str">
        <f t="array" ref="AQ90">IF($F90&lt;&gt;"",XLOOKUP($F90,Productos!$A:$A,Productos!AJ:AJ,"Revisar"),"")</f>
        <v/>
      </c>
      <c r="AR90" s="179" t="str">
        <f t="array" ref="AR90">IF($F90&lt;&gt;"", XLOOKUP($F90,Productos!$A$2:$A1001,Productos!AK$2:AK1001,"")*$G90,"")</f>
        <v/>
      </c>
      <c r="AS90" s="179" t="str">
        <f t="array" ref="AS90">IF($F90&lt;&gt;"",XLOOKUP($F90,Productos!$A:$A,Productos!AL:AL,"Revisar"),"")</f>
        <v/>
      </c>
      <c r="AT90" s="179" t="str">
        <f t="array" ref="AT90">IF($F90&lt;&gt;"", XLOOKUP($F90,Productos!$A$2:$A1001,Productos!AM$2:AM1001,"")*$G90,"")</f>
        <v/>
      </c>
      <c r="AU90" s="179" t="str">
        <f t="array" ref="AU90">IF($F90&lt;&gt;"",XLOOKUP($F90,Productos!$A:$A,Productos!AN:AN,"Revisar"),"")</f>
        <v/>
      </c>
      <c r="AV90" s="179" t="str">
        <f t="array" ref="AV90">IF($F90&lt;&gt;"", XLOOKUP($F90,Productos!$A$2:$A1001,Productos!AO$2:AO1001,"")*$G90,"")</f>
        <v/>
      </c>
      <c r="AW90" s="179" t="str">
        <f t="array" ref="AW90">IF($F90&lt;&gt;"",XLOOKUP($F90,Productos!$A:$A,Productos!AP:AP,"Revisar"),"")</f>
        <v/>
      </c>
      <c r="AX90" s="179" t="str">
        <f t="array" ref="AX90">IF($F90&lt;&gt;"", XLOOKUP($F90,Productos!$A$2:$A1001,Productos!AQ$2:AQ1001,"")*$G90,"")</f>
        <v/>
      </c>
      <c r="AY90" s="179" t="str">
        <f t="array" ref="AY90">IF($F90&lt;&gt;"",XLOOKUP($F90,Productos!$A:$A,Productos!AR:AR,"Revisar"),"")</f>
        <v/>
      </c>
      <c r="AZ90" s="179" t="str">
        <f t="array" ref="AZ90">IF($F90&lt;&gt;"", XLOOKUP($F90,Productos!$A$2:$A1001,Productos!AS$2:AS1001,"")*$G90,"")</f>
        <v/>
      </c>
      <c r="BA90" s="179" t="str">
        <f t="array" ref="BA90">IF($F90&lt;&gt;"",XLOOKUP($F90,Productos!$A:$A,Productos!AT:AT,"Revisar"),"")</f>
        <v/>
      </c>
      <c r="BB90" s="179" t="str">
        <f t="array" ref="BB90">IF($F90&lt;&gt;"", XLOOKUP($F90,Productos!$A$2:$A1001,Productos!AU$2:AU1001,"")*$G90,"")</f>
        <v/>
      </c>
      <c r="BC90" s="179" t="str">
        <f t="array" ref="BC90">IF($F90&lt;&gt;"",XLOOKUP($F90,Productos!$A:$A,Productos!AV:AV,"Revisar"),"")</f>
        <v/>
      </c>
      <c r="BD90" s="179" t="str">
        <f t="array" ref="BD90">IF($F90&lt;&gt;"", XLOOKUP($F90,Productos!$A$2:$A1001,Productos!AW$2:AW1001,"")*$G90,"")</f>
        <v/>
      </c>
      <c r="BE90" s="179" t="str">
        <f t="array" ref="BE90">IF($F90&lt;&gt;"",XLOOKUP($F90,Productos!$A:$A,Productos!AX:AX,"Revisar"),"")</f>
        <v/>
      </c>
      <c r="BF90" s="179" t="str">
        <f t="array" ref="BF90">IF($F90&lt;&gt;"", XLOOKUP($F90,Productos!$A$2:$A1001,Productos!AY$2:AY1001,"")*$G90,"")</f>
        <v/>
      </c>
      <c r="BG90" s="179" t="str">
        <f t="array" ref="BG90">IF($F90&lt;&gt;"",XLOOKUP($F90,Productos!$A:$A,Productos!AZ:AZ,"Revisar"),"")</f>
        <v/>
      </c>
      <c r="BH90" s="179" t="str">
        <f t="array" ref="BH90">IF($F90&lt;&gt;"", XLOOKUP($F90,Productos!$A$2:$A1001,Productos!BA$2:BA1001,"")*$G90,"")</f>
        <v/>
      </c>
      <c r="BI90" s="179" t="str">
        <f t="array" ref="BI90">IF($F90&lt;&gt;"",XLOOKUP($F90,Productos!$A:$A,Productos!BB:BB,"Revisar"),"")</f>
        <v/>
      </c>
      <c r="BJ90" s="179" t="str">
        <f t="array" ref="BJ90">IF($F90&lt;&gt;"", XLOOKUP($F90,Productos!$A$2:$A1001,Productos!BC$2:BC1001,"")*$G90,"")</f>
        <v/>
      </c>
      <c r="BK90" s="179" t="str">
        <f t="array" ref="BK90">IF($F90&lt;&gt;"",XLOOKUP($F90,Productos!$A:$A,Productos!BD:BD,"Revisar"),"")</f>
        <v/>
      </c>
      <c r="BL90" s="179" t="str">
        <f t="array" ref="BL90">IF($F90&lt;&gt;"", XLOOKUP($F90,Productos!$A$2:$A1001,Productos!BE$2:BE1001,"")*$G90,"")</f>
        <v/>
      </c>
      <c r="BM90" s="179" t="str">
        <f t="array" ref="BM90">IF($F90&lt;&gt;"",XLOOKUP($F90,Productos!$A:$A,Productos!BF:BF,"Revisar"),"")</f>
        <v/>
      </c>
      <c r="BN90" s="179" t="str">
        <f t="array" ref="BN90">IF($F90&lt;&gt;"", XLOOKUP($F90,Productos!$A$2:$A1001,Productos!BG$2:BG1001,"")*$G90,"")</f>
        <v/>
      </c>
      <c r="BO90" s="179" t="str">
        <f t="array" ref="BO90">IF($F90&lt;&gt;"",XLOOKUP($F90,Productos!$A:$A,Productos!BH:BH,"Revisar"),"")</f>
        <v/>
      </c>
      <c r="BP90" s="179" t="str">
        <f t="array" ref="BP90">IF($F90&lt;&gt;"", XLOOKUP($F90,Productos!$A$2:$A1001,Productos!BI$2:BI1001,"")*$G90,"")</f>
        <v/>
      </c>
      <c r="BQ90" s="179" t="str">
        <f t="array" ref="BQ90">IF($F90&lt;&gt;"",XLOOKUP($F90,Productos!$A:$A,Productos!BJ:BJ,"Revisar"),"")</f>
        <v/>
      </c>
      <c r="BR90" s="179" t="str">
        <f t="array" ref="BR90">IF($F90&lt;&gt;"", XLOOKUP($F90,Productos!$A$2:$A1001,Productos!BK$2:BK1001,"")*$G90,"")</f>
        <v/>
      </c>
      <c r="BS90" s="179" t="str">
        <f t="array" ref="BS90">IF($F90&lt;&gt;"",XLOOKUP($F90,Productos!$A:$A,Productos!BL:BL,"Revisar"),"")</f>
        <v/>
      </c>
      <c r="BT90" s="179" t="str">
        <f t="array" ref="BT90">IF($F90&lt;&gt;"", XLOOKUP($F90,Productos!$A$2:$A1001,Productos!BM$2:BM1001,"")*$G90,"")</f>
        <v/>
      </c>
      <c r="BU90" s="179" t="str">
        <f t="array" ref="BU90">IF($F90&lt;&gt;"",XLOOKUP($F90,Productos!$A:$A,Productos!BN:BN,"Revisar"),"")</f>
        <v/>
      </c>
      <c r="BV90" s="179" t="str">
        <f t="array" ref="BV90">IF($F90&lt;&gt;"", XLOOKUP($F90,Productos!$A$2:$A1001,Productos!BO$2:BO1001,"")*$G90,"")</f>
        <v/>
      </c>
      <c r="BW90" s="179" t="str">
        <f t="array" ref="BW90">IF($F90&lt;&gt;"",XLOOKUP($F90,Productos!$A:$A,Productos!BP:BP,"Revisar"),"")</f>
        <v/>
      </c>
      <c r="BX90" s="179" t="str">
        <f t="array" ref="BX90">IF($F90&lt;&gt;"", XLOOKUP($F90,Productos!$A$2:$A1001,Productos!BQ$2:BQ1001,"")*$G90,"")</f>
        <v/>
      </c>
      <c r="BY90" s="179" t="str">
        <f t="array" ref="BY90">IF($F90&lt;&gt;"",XLOOKUP($F90,Productos!$A:$A,Productos!BR:BR,"Revisar"),"")</f>
        <v/>
      </c>
      <c r="BZ90" s="179" t="str">
        <f t="array" ref="BZ90">IF($F90&lt;&gt;"", XLOOKUP($F90,Productos!$A$2:$A1001,Productos!BS$2:BS1001,"")*$G90,"")</f>
        <v/>
      </c>
    </row>
    <row r="91">
      <c r="A91" s="180"/>
      <c r="B91" s="181"/>
      <c r="C91" s="182"/>
      <c r="D91" s="182"/>
      <c r="E91" s="185"/>
      <c r="F91" s="186"/>
      <c r="G91" s="187"/>
      <c r="H91" s="186"/>
      <c r="I91" s="179" t="str">
        <f t="array" ref="I91">IF($F91&lt;&gt;"",XLOOKUP($F91,Productos!$A:$A,Productos!B:B,"Revisar"),"")</f>
        <v/>
      </c>
      <c r="J91" s="179" t="str">
        <f t="array" ref="J91">IF($F91&lt;&gt;"", XLOOKUP($F91,Productos!$A$2:$A1001,Productos!C$2:C1001,"")*$G91,"")</f>
        <v/>
      </c>
      <c r="K91" s="179" t="str">
        <f t="array" ref="K91">IF($F91&lt;&gt;"",XLOOKUP($F91,Productos!$A:$A,Productos!D:D,"Revisar"),"")</f>
        <v/>
      </c>
      <c r="L91" s="179" t="str">
        <f t="array" ref="L91">IF($F91&lt;&gt;"", XLOOKUP($F91,Productos!$A$2:$A1001,Productos!E$2:E1001,"")*$G91,"")</f>
        <v/>
      </c>
      <c r="M91" s="179" t="str">
        <f t="array" ref="M91">IF($F91&lt;&gt;"",XLOOKUP($F91,Productos!$A:$A,Productos!F:F,"Revisar"),"")</f>
        <v/>
      </c>
      <c r="N91" s="179" t="str">
        <f t="array" ref="N91">IF($F91&lt;&gt;"", XLOOKUP($F91,Productos!$A$2:$A1001,Productos!G$2:G1001,"")*$G91,"")</f>
        <v/>
      </c>
      <c r="O91" s="179" t="str">
        <f t="array" ref="O91">IF($F91&lt;&gt;"",XLOOKUP($F91,Productos!$A:$A,Productos!H:H,"Revisar"),"")</f>
        <v/>
      </c>
      <c r="P91" s="179" t="str">
        <f t="array" ref="P91">IF($F91&lt;&gt;"", XLOOKUP($F91,Productos!$A$2:$A1001,Productos!I$2:I1001,"")*$G91,"")</f>
        <v/>
      </c>
      <c r="Q91" s="179" t="str">
        <f t="array" ref="Q91">IF($F91&lt;&gt;"",XLOOKUP($F91,Productos!$A:$A,Productos!J:J,"Revisar"),"")</f>
        <v/>
      </c>
      <c r="R91" s="179" t="str">
        <f t="array" ref="R91">IF($F91&lt;&gt;"", XLOOKUP($F91,Productos!$A$2:$A1001,Productos!K$2:K1001,"")*$G91,"")</f>
        <v/>
      </c>
      <c r="S91" s="179" t="str">
        <f t="array" ref="S91">IF($F91&lt;&gt;"",XLOOKUP($F91,Productos!$A:$A,Productos!L:L,"Revisar"),"")</f>
        <v/>
      </c>
      <c r="T91" s="179" t="str">
        <f t="array" ref="T91">IF($F91&lt;&gt;"", XLOOKUP($F91,Productos!$A$2:$A1001,Productos!M$2:M1001,"")*$G91,"")</f>
        <v/>
      </c>
      <c r="U91" s="179" t="str">
        <f t="array" ref="U91">IF($F91&lt;&gt;"",XLOOKUP($F91,Productos!$A:$A,Productos!N:N,"Revisar"),"")</f>
        <v/>
      </c>
      <c r="V91" s="179" t="str">
        <f t="array" ref="V91">IF($F91&lt;&gt;"", XLOOKUP($F91,Productos!$A$2:$A1001,Productos!O$2:O1001,"")*$G91,"")</f>
        <v/>
      </c>
      <c r="W91" s="179" t="str">
        <f t="array" ref="W91">IF($F91&lt;&gt;"",XLOOKUP($F91,Productos!$A:$A,Productos!P:P,"Revisar"),"")</f>
        <v/>
      </c>
      <c r="X91" s="179" t="str">
        <f t="array" ref="X91">IF($F91&lt;&gt;"", XLOOKUP($F91,Productos!$A$2:$A1001,Productos!Q$2:Q1001,"")*$G91,"")</f>
        <v/>
      </c>
      <c r="Y91" s="179" t="str">
        <f t="array" ref="Y91">IF($F91&lt;&gt;"",XLOOKUP($F91,Productos!$A:$A,Productos!R:R,"Revisar"),"")</f>
        <v/>
      </c>
      <c r="Z91" s="179" t="str">
        <f t="array" ref="Z91">IF($F91&lt;&gt;"", XLOOKUP($F91,Productos!$A$2:$A1001,Productos!S$2:S1001,"")*$G91,"")</f>
        <v/>
      </c>
      <c r="AA91" s="179" t="str">
        <f t="array" ref="AA91">IF($F91&lt;&gt;"",XLOOKUP($F91,Productos!$A:$A,Productos!T:T,"Revisar"),"")</f>
        <v/>
      </c>
      <c r="AB91" s="179" t="str">
        <f t="array" ref="AB91">IF($F91&lt;&gt;"", XLOOKUP($F91,Productos!$A$2:$A1001,Productos!U$2:U1001,"")*$G91,"")</f>
        <v/>
      </c>
      <c r="AC91" s="179" t="str">
        <f t="array" ref="AC91">IF($F91&lt;&gt;"",XLOOKUP($F91,Productos!$A:$A,Productos!V:V,"Revisar"),"")</f>
        <v/>
      </c>
      <c r="AD91" s="179" t="str">
        <f t="array" ref="AD91">IF($F91&lt;&gt;"", XLOOKUP($F91,Productos!$A$2:$A1001,Productos!W$2:W1001,"")*$G91,"")</f>
        <v/>
      </c>
      <c r="AE91" s="179" t="str">
        <f t="array" ref="AE91">IF($F91&lt;&gt;"",XLOOKUP($F91,Productos!$A:$A,Productos!X:X,"Revisar"),"")</f>
        <v/>
      </c>
      <c r="AF91" s="179" t="str">
        <f t="array" ref="AF91">IF($F91&lt;&gt;"", XLOOKUP($F91,Productos!$A$2:$A1001,Productos!Y$2:Y1001,"")*$G91,"")</f>
        <v/>
      </c>
      <c r="AG91" s="179" t="str">
        <f t="array" ref="AG91">IF($F91&lt;&gt;"",XLOOKUP($F91,Productos!$A:$A,Productos!Z:Z,"Revisar"),"")</f>
        <v/>
      </c>
      <c r="AH91" s="179" t="str">
        <f t="array" ref="AH91">IF($F91&lt;&gt;"", XLOOKUP($F91,Productos!$A$2:$A1001,Productos!AA$2:AA1001,"")*$G91,"")</f>
        <v/>
      </c>
      <c r="AI91" s="179" t="str">
        <f t="array" ref="AI91">IF($F91&lt;&gt;"",XLOOKUP($F91,Productos!$A:$A,Productos!AB:AB,"Revisar"),"")</f>
        <v/>
      </c>
      <c r="AJ91" s="179" t="str">
        <f t="array" ref="AJ91">IF($F91&lt;&gt;"", XLOOKUP($F91,Productos!$A$2:$A1001,Productos!AC$2:AC1001,"")*$G91,"")</f>
        <v/>
      </c>
      <c r="AK91" s="179" t="str">
        <f t="array" ref="AK91">IF($F91&lt;&gt;"",XLOOKUP($F91,Productos!$A:$A,Productos!AD:AD,"Revisar"),"")</f>
        <v/>
      </c>
      <c r="AL91" s="179" t="str">
        <f t="array" ref="AL91">IF($F91&lt;&gt;"", XLOOKUP($F91,Productos!$A$2:$A1001,Productos!AE$2:AE1001,"")*$G91,"")</f>
        <v/>
      </c>
      <c r="AM91" s="179" t="str">
        <f t="array" ref="AM91">IF($F91&lt;&gt;"",XLOOKUP($F91,Productos!$A:$A,Productos!AF:AF,"Revisar"),"")</f>
        <v/>
      </c>
      <c r="AN91" s="179" t="str">
        <f t="array" ref="AN91">IF($F91&lt;&gt;"", XLOOKUP($F91,Productos!$A$2:$A1001,Productos!AG$2:AG1001,"")*$G91,"")</f>
        <v/>
      </c>
      <c r="AO91" s="179" t="str">
        <f t="array" ref="AO91">IF($F91&lt;&gt;"",XLOOKUP($F91,Productos!$A:$A,Productos!AH:AH,"Revisar"),"")</f>
        <v/>
      </c>
      <c r="AP91" s="179" t="str">
        <f t="array" ref="AP91">IF($F91&lt;&gt;"", XLOOKUP($F91,Productos!$A$2:$A1001,Productos!AI$2:AI1001,"")*$G91,"")</f>
        <v/>
      </c>
      <c r="AQ91" s="179" t="str">
        <f t="array" ref="AQ91">IF($F91&lt;&gt;"",XLOOKUP($F91,Productos!$A:$A,Productos!AJ:AJ,"Revisar"),"")</f>
        <v/>
      </c>
      <c r="AR91" s="179" t="str">
        <f t="array" ref="AR91">IF($F91&lt;&gt;"", XLOOKUP($F91,Productos!$A$2:$A1001,Productos!AK$2:AK1001,"")*$G91,"")</f>
        <v/>
      </c>
      <c r="AS91" s="179" t="str">
        <f t="array" ref="AS91">IF($F91&lt;&gt;"",XLOOKUP($F91,Productos!$A:$A,Productos!AL:AL,"Revisar"),"")</f>
        <v/>
      </c>
      <c r="AT91" s="179" t="str">
        <f t="array" ref="AT91">IF($F91&lt;&gt;"", XLOOKUP($F91,Productos!$A$2:$A1001,Productos!AM$2:AM1001,"")*$G91,"")</f>
        <v/>
      </c>
      <c r="AU91" s="179" t="str">
        <f t="array" ref="AU91">IF($F91&lt;&gt;"",XLOOKUP($F91,Productos!$A:$A,Productos!AN:AN,"Revisar"),"")</f>
        <v/>
      </c>
      <c r="AV91" s="179" t="str">
        <f t="array" ref="AV91">IF($F91&lt;&gt;"", XLOOKUP($F91,Productos!$A$2:$A1001,Productos!AO$2:AO1001,"")*$G91,"")</f>
        <v/>
      </c>
      <c r="AW91" s="179" t="str">
        <f t="array" ref="AW91">IF($F91&lt;&gt;"",XLOOKUP($F91,Productos!$A:$A,Productos!AP:AP,"Revisar"),"")</f>
        <v/>
      </c>
      <c r="AX91" s="179" t="str">
        <f t="array" ref="AX91">IF($F91&lt;&gt;"", XLOOKUP($F91,Productos!$A$2:$A1001,Productos!AQ$2:AQ1001,"")*$G91,"")</f>
        <v/>
      </c>
      <c r="AY91" s="179" t="str">
        <f t="array" ref="AY91">IF($F91&lt;&gt;"",XLOOKUP($F91,Productos!$A:$A,Productos!AR:AR,"Revisar"),"")</f>
        <v/>
      </c>
      <c r="AZ91" s="179" t="str">
        <f t="array" ref="AZ91">IF($F91&lt;&gt;"", XLOOKUP($F91,Productos!$A$2:$A1001,Productos!AS$2:AS1001,"")*$G91,"")</f>
        <v/>
      </c>
      <c r="BA91" s="179" t="str">
        <f t="array" ref="BA91">IF($F91&lt;&gt;"",XLOOKUP($F91,Productos!$A:$A,Productos!AT:AT,"Revisar"),"")</f>
        <v/>
      </c>
      <c r="BB91" s="179" t="str">
        <f t="array" ref="BB91">IF($F91&lt;&gt;"", XLOOKUP($F91,Productos!$A$2:$A1001,Productos!AU$2:AU1001,"")*$G91,"")</f>
        <v/>
      </c>
      <c r="BC91" s="179" t="str">
        <f t="array" ref="BC91">IF($F91&lt;&gt;"",XLOOKUP($F91,Productos!$A:$A,Productos!AV:AV,"Revisar"),"")</f>
        <v/>
      </c>
      <c r="BD91" s="179" t="str">
        <f t="array" ref="BD91">IF($F91&lt;&gt;"", XLOOKUP($F91,Productos!$A$2:$A1001,Productos!AW$2:AW1001,"")*$G91,"")</f>
        <v/>
      </c>
      <c r="BE91" s="179" t="str">
        <f t="array" ref="BE91">IF($F91&lt;&gt;"",XLOOKUP($F91,Productos!$A:$A,Productos!AX:AX,"Revisar"),"")</f>
        <v/>
      </c>
      <c r="BF91" s="179" t="str">
        <f t="array" ref="BF91">IF($F91&lt;&gt;"", XLOOKUP($F91,Productos!$A$2:$A1001,Productos!AY$2:AY1001,"")*$G91,"")</f>
        <v/>
      </c>
      <c r="BG91" s="179" t="str">
        <f t="array" ref="BG91">IF($F91&lt;&gt;"",XLOOKUP($F91,Productos!$A:$A,Productos!AZ:AZ,"Revisar"),"")</f>
        <v/>
      </c>
      <c r="BH91" s="179" t="str">
        <f t="array" ref="BH91">IF($F91&lt;&gt;"", XLOOKUP($F91,Productos!$A$2:$A1001,Productos!BA$2:BA1001,"")*$G91,"")</f>
        <v/>
      </c>
      <c r="BI91" s="179" t="str">
        <f t="array" ref="BI91">IF($F91&lt;&gt;"",XLOOKUP($F91,Productos!$A:$A,Productos!BB:BB,"Revisar"),"")</f>
        <v/>
      </c>
      <c r="BJ91" s="179" t="str">
        <f t="array" ref="BJ91">IF($F91&lt;&gt;"", XLOOKUP($F91,Productos!$A$2:$A1001,Productos!BC$2:BC1001,"")*$G91,"")</f>
        <v/>
      </c>
      <c r="BK91" s="179" t="str">
        <f t="array" ref="BK91">IF($F91&lt;&gt;"",XLOOKUP($F91,Productos!$A:$A,Productos!BD:BD,"Revisar"),"")</f>
        <v/>
      </c>
      <c r="BL91" s="179" t="str">
        <f t="array" ref="BL91">IF($F91&lt;&gt;"", XLOOKUP($F91,Productos!$A$2:$A1001,Productos!BE$2:BE1001,"")*$G91,"")</f>
        <v/>
      </c>
      <c r="BM91" s="179" t="str">
        <f t="array" ref="BM91">IF($F91&lt;&gt;"",XLOOKUP($F91,Productos!$A:$A,Productos!BF:BF,"Revisar"),"")</f>
        <v/>
      </c>
      <c r="BN91" s="179" t="str">
        <f t="array" ref="BN91">IF($F91&lt;&gt;"", XLOOKUP($F91,Productos!$A$2:$A1001,Productos!BG$2:BG1001,"")*$G91,"")</f>
        <v/>
      </c>
      <c r="BO91" s="179" t="str">
        <f t="array" ref="BO91">IF($F91&lt;&gt;"",XLOOKUP($F91,Productos!$A:$A,Productos!BH:BH,"Revisar"),"")</f>
        <v/>
      </c>
      <c r="BP91" s="179" t="str">
        <f t="array" ref="BP91">IF($F91&lt;&gt;"", XLOOKUP($F91,Productos!$A$2:$A1001,Productos!BI$2:BI1001,"")*$G91,"")</f>
        <v/>
      </c>
      <c r="BQ91" s="179" t="str">
        <f t="array" ref="BQ91">IF($F91&lt;&gt;"",XLOOKUP($F91,Productos!$A:$A,Productos!BJ:BJ,"Revisar"),"")</f>
        <v/>
      </c>
      <c r="BR91" s="179" t="str">
        <f t="array" ref="BR91">IF($F91&lt;&gt;"", XLOOKUP($F91,Productos!$A$2:$A1001,Productos!BK$2:BK1001,"")*$G91,"")</f>
        <v/>
      </c>
      <c r="BS91" s="179" t="str">
        <f t="array" ref="BS91">IF($F91&lt;&gt;"",XLOOKUP($F91,Productos!$A:$A,Productos!BL:BL,"Revisar"),"")</f>
        <v/>
      </c>
      <c r="BT91" s="179" t="str">
        <f t="array" ref="BT91">IF($F91&lt;&gt;"", XLOOKUP($F91,Productos!$A$2:$A1001,Productos!BM$2:BM1001,"")*$G91,"")</f>
        <v/>
      </c>
      <c r="BU91" s="179" t="str">
        <f t="array" ref="BU91">IF($F91&lt;&gt;"",XLOOKUP($F91,Productos!$A:$A,Productos!BN:BN,"Revisar"),"")</f>
        <v/>
      </c>
      <c r="BV91" s="179" t="str">
        <f t="array" ref="BV91">IF($F91&lt;&gt;"", XLOOKUP($F91,Productos!$A$2:$A1001,Productos!BO$2:BO1001,"")*$G91,"")</f>
        <v/>
      </c>
      <c r="BW91" s="179" t="str">
        <f t="array" ref="BW91">IF($F91&lt;&gt;"",XLOOKUP($F91,Productos!$A:$A,Productos!BP:BP,"Revisar"),"")</f>
        <v/>
      </c>
      <c r="BX91" s="179" t="str">
        <f t="array" ref="BX91">IF($F91&lt;&gt;"", XLOOKUP($F91,Productos!$A$2:$A1001,Productos!BQ$2:BQ1001,"")*$G91,"")</f>
        <v/>
      </c>
      <c r="BY91" s="179" t="str">
        <f t="array" ref="BY91">IF($F91&lt;&gt;"",XLOOKUP($F91,Productos!$A:$A,Productos!BR:BR,"Revisar"),"")</f>
        <v/>
      </c>
      <c r="BZ91" s="179" t="str">
        <f t="array" ref="BZ91">IF($F91&lt;&gt;"", XLOOKUP($F91,Productos!$A$2:$A1001,Productos!BS$2:BS1001,"")*$G91,"")</f>
        <v/>
      </c>
    </row>
    <row r="92">
      <c r="A92" s="180"/>
      <c r="B92" s="181"/>
      <c r="C92" s="182"/>
      <c r="D92" s="182"/>
      <c r="E92" s="185"/>
      <c r="F92" s="186"/>
      <c r="G92" s="187"/>
      <c r="H92" s="186"/>
      <c r="I92" s="179" t="str">
        <f t="array" ref="I92">IF($F92&lt;&gt;"",XLOOKUP($F92,Productos!$A:$A,Productos!B:B,"Revisar"),"")</f>
        <v/>
      </c>
      <c r="J92" s="179" t="str">
        <f t="array" ref="J92">IF($F92&lt;&gt;"", XLOOKUP($F92,Productos!$A$2:$A1001,Productos!C$2:C1001,"")*$G92,"")</f>
        <v/>
      </c>
      <c r="K92" s="179" t="str">
        <f t="array" ref="K92">IF($F92&lt;&gt;"",XLOOKUP($F92,Productos!$A:$A,Productos!D:D,"Revisar"),"")</f>
        <v/>
      </c>
      <c r="L92" s="179" t="str">
        <f t="array" ref="L92">IF($F92&lt;&gt;"", XLOOKUP($F92,Productos!$A$2:$A1001,Productos!E$2:E1001,"")*$G92,"")</f>
        <v/>
      </c>
      <c r="M92" s="179" t="str">
        <f t="array" ref="M92">IF($F92&lt;&gt;"",XLOOKUP($F92,Productos!$A:$A,Productos!F:F,"Revisar"),"")</f>
        <v/>
      </c>
      <c r="N92" s="179" t="str">
        <f t="array" ref="N92">IF($F92&lt;&gt;"", XLOOKUP($F92,Productos!$A$2:$A1001,Productos!G$2:G1001,"")*$G92,"")</f>
        <v/>
      </c>
      <c r="O92" s="179" t="str">
        <f t="array" ref="O92">IF($F92&lt;&gt;"",XLOOKUP($F92,Productos!$A:$A,Productos!H:H,"Revisar"),"")</f>
        <v/>
      </c>
      <c r="P92" s="179" t="str">
        <f t="array" ref="P92">IF($F92&lt;&gt;"", XLOOKUP($F92,Productos!$A$2:$A1001,Productos!I$2:I1001,"")*$G92,"")</f>
        <v/>
      </c>
      <c r="Q92" s="179" t="str">
        <f t="array" ref="Q92">IF($F92&lt;&gt;"",XLOOKUP($F92,Productos!$A:$A,Productos!J:J,"Revisar"),"")</f>
        <v/>
      </c>
      <c r="R92" s="179" t="str">
        <f t="array" ref="R92">IF($F92&lt;&gt;"", XLOOKUP($F92,Productos!$A$2:$A1001,Productos!K$2:K1001,"")*$G92,"")</f>
        <v/>
      </c>
      <c r="S92" s="179" t="str">
        <f t="array" ref="S92">IF($F92&lt;&gt;"",XLOOKUP($F92,Productos!$A:$A,Productos!L:L,"Revisar"),"")</f>
        <v/>
      </c>
      <c r="T92" s="179" t="str">
        <f t="array" ref="T92">IF($F92&lt;&gt;"", XLOOKUP($F92,Productos!$A$2:$A1001,Productos!M$2:M1001,"")*$G92,"")</f>
        <v/>
      </c>
      <c r="U92" s="179" t="str">
        <f t="array" ref="U92">IF($F92&lt;&gt;"",XLOOKUP($F92,Productos!$A:$A,Productos!N:N,"Revisar"),"")</f>
        <v/>
      </c>
      <c r="V92" s="179" t="str">
        <f t="array" ref="V92">IF($F92&lt;&gt;"", XLOOKUP($F92,Productos!$A$2:$A1001,Productos!O$2:O1001,"")*$G92,"")</f>
        <v/>
      </c>
      <c r="W92" s="179" t="str">
        <f t="array" ref="W92">IF($F92&lt;&gt;"",XLOOKUP($F92,Productos!$A:$A,Productos!P:P,"Revisar"),"")</f>
        <v/>
      </c>
      <c r="X92" s="179" t="str">
        <f t="array" ref="X92">IF($F92&lt;&gt;"", XLOOKUP($F92,Productos!$A$2:$A1001,Productos!Q$2:Q1001,"")*$G92,"")</f>
        <v/>
      </c>
      <c r="Y92" s="179" t="str">
        <f t="array" ref="Y92">IF($F92&lt;&gt;"",XLOOKUP($F92,Productos!$A:$A,Productos!R:R,"Revisar"),"")</f>
        <v/>
      </c>
      <c r="Z92" s="179" t="str">
        <f t="array" ref="Z92">IF($F92&lt;&gt;"", XLOOKUP($F92,Productos!$A$2:$A1001,Productos!S$2:S1001,"")*$G92,"")</f>
        <v/>
      </c>
      <c r="AA92" s="179" t="str">
        <f t="array" ref="AA92">IF($F92&lt;&gt;"",XLOOKUP($F92,Productos!$A:$A,Productos!T:T,"Revisar"),"")</f>
        <v/>
      </c>
      <c r="AB92" s="179" t="str">
        <f t="array" ref="AB92">IF($F92&lt;&gt;"", XLOOKUP($F92,Productos!$A$2:$A1001,Productos!U$2:U1001,"")*$G92,"")</f>
        <v/>
      </c>
      <c r="AC92" s="179" t="str">
        <f t="array" ref="AC92">IF($F92&lt;&gt;"",XLOOKUP($F92,Productos!$A:$A,Productos!V:V,"Revisar"),"")</f>
        <v/>
      </c>
      <c r="AD92" s="179" t="str">
        <f t="array" ref="AD92">IF($F92&lt;&gt;"", XLOOKUP($F92,Productos!$A$2:$A1001,Productos!W$2:W1001,"")*$G92,"")</f>
        <v/>
      </c>
      <c r="AE92" s="179" t="str">
        <f t="array" ref="AE92">IF($F92&lt;&gt;"",XLOOKUP($F92,Productos!$A:$A,Productos!X:X,"Revisar"),"")</f>
        <v/>
      </c>
      <c r="AF92" s="179" t="str">
        <f t="array" ref="AF92">IF($F92&lt;&gt;"", XLOOKUP($F92,Productos!$A$2:$A1001,Productos!Y$2:Y1001,"")*$G92,"")</f>
        <v/>
      </c>
      <c r="AG92" s="179" t="str">
        <f t="array" ref="AG92">IF($F92&lt;&gt;"",XLOOKUP($F92,Productos!$A:$A,Productos!Z:Z,"Revisar"),"")</f>
        <v/>
      </c>
      <c r="AH92" s="179" t="str">
        <f t="array" ref="AH92">IF($F92&lt;&gt;"", XLOOKUP($F92,Productos!$A$2:$A1001,Productos!AA$2:AA1001,"")*$G92,"")</f>
        <v/>
      </c>
      <c r="AI92" s="179" t="str">
        <f t="array" ref="AI92">IF($F92&lt;&gt;"",XLOOKUP($F92,Productos!$A:$A,Productos!AB:AB,"Revisar"),"")</f>
        <v/>
      </c>
      <c r="AJ92" s="179" t="str">
        <f t="array" ref="AJ92">IF($F92&lt;&gt;"", XLOOKUP($F92,Productos!$A$2:$A1001,Productos!AC$2:AC1001,"")*$G92,"")</f>
        <v/>
      </c>
      <c r="AK92" s="179" t="str">
        <f t="array" ref="AK92">IF($F92&lt;&gt;"",XLOOKUP($F92,Productos!$A:$A,Productos!AD:AD,"Revisar"),"")</f>
        <v/>
      </c>
      <c r="AL92" s="179" t="str">
        <f t="array" ref="AL92">IF($F92&lt;&gt;"", XLOOKUP($F92,Productos!$A$2:$A1001,Productos!AE$2:AE1001,"")*$G92,"")</f>
        <v/>
      </c>
      <c r="AM92" s="179" t="str">
        <f t="array" ref="AM92">IF($F92&lt;&gt;"",XLOOKUP($F92,Productos!$A:$A,Productos!AF:AF,"Revisar"),"")</f>
        <v/>
      </c>
      <c r="AN92" s="179" t="str">
        <f t="array" ref="AN92">IF($F92&lt;&gt;"", XLOOKUP($F92,Productos!$A$2:$A1001,Productos!AG$2:AG1001,"")*$G92,"")</f>
        <v/>
      </c>
      <c r="AO92" s="179" t="str">
        <f t="array" ref="AO92">IF($F92&lt;&gt;"",XLOOKUP($F92,Productos!$A:$A,Productos!AH:AH,"Revisar"),"")</f>
        <v/>
      </c>
      <c r="AP92" s="179" t="str">
        <f t="array" ref="AP92">IF($F92&lt;&gt;"", XLOOKUP($F92,Productos!$A$2:$A1001,Productos!AI$2:AI1001,"")*$G92,"")</f>
        <v/>
      </c>
      <c r="AQ92" s="179" t="str">
        <f t="array" ref="AQ92">IF($F92&lt;&gt;"",XLOOKUP($F92,Productos!$A:$A,Productos!AJ:AJ,"Revisar"),"")</f>
        <v/>
      </c>
      <c r="AR92" s="179" t="str">
        <f t="array" ref="AR92">IF($F92&lt;&gt;"", XLOOKUP($F92,Productos!$A$2:$A1001,Productos!AK$2:AK1001,"")*$G92,"")</f>
        <v/>
      </c>
      <c r="AS92" s="179" t="str">
        <f t="array" ref="AS92">IF($F92&lt;&gt;"",XLOOKUP($F92,Productos!$A:$A,Productos!AL:AL,"Revisar"),"")</f>
        <v/>
      </c>
      <c r="AT92" s="179" t="str">
        <f t="array" ref="AT92">IF($F92&lt;&gt;"", XLOOKUP($F92,Productos!$A$2:$A1001,Productos!AM$2:AM1001,"")*$G92,"")</f>
        <v/>
      </c>
      <c r="AU92" s="179" t="str">
        <f t="array" ref="AU92">IF($F92&lt;&gt;"",XLOOKUP($F92,Productos!$A:$A,Productos!AN:AN,"Revisar"),"")</f>
        <v/>
      </c>
      <c r="AV92" s="179" t="str">
        <f t="array" ref="AV92">IF($F92&lt;&gt;"", XLOOKUP($F92,Productos!$A$2:$A1001,Productos!AO$2:AO1001,"")*$G92,"")</f>
        <v/>
      </c>
      <c r="AW92" s="179" t="str">
        <f t="array" ref="AW92">IF($F92&lt;&gt;"",XLOOKUP($F92,Productos!$A:$A,Productos!AP:AP,"Revisar"),"")</f>
        <v/>
      </c>
      <c r="AX92" s="179" t="str">
        <f t="array" ref="AX92">IF($F92&lt;&gt;"", XLOOKUP($F92,Productos!$A$2:$A1001,Productos!AQ$2:AQ1001,"")*$G92,"")</f>
        <v/>
      </c>
      <c r="AY92" s="179" t="str">
        <f t="array" ref="AY92">IF($F92&lt;&gt;"",XLOOKUP($F92,Productos!$A:$A,Productos!AR:AR,"Revisar"),"")</f>
        <v/>
      </c>
      <c r="AZ92" s="179" t="str">
        <f t="array" ref="AZ92">IF($F92&lt;&gt;"", XLOOKUP($F92,Productos!$A$2:$A1001,Productos!AS$2:AS1001,"")*$G92,"")</f>
        <v/>
      </c>
      <c r="BA92" s="179" t="str">
        <f t="array" ref="BA92">IF($F92&lt;&gt;"",XLOOKUP($F92,Productos!$A:$A,Productos!AT:AT,"Revisar"),"")</f>
        <v/>
      </c>
      <c r="BB92" s="179" t="str">
        <f t="array" ref="BB92">IF($F92&lt;&gt;"", XLOOKUP($F92,Productos!$A$2:$A1001,Productos!AU$2:AU1001,"")*$G92,"")</f>
        <v/>
      </c>
      <c r="BC92" s="179" t="str">
        <f t="array" ref="BC92">IF($F92&lt;&gt;"",XLOOKUP($F92,Productos!$A:$A,Productos!AV:AV,"Revisar"),"")</f>
        <v/>
      </c>
      <c r="BD92" s="179" t="str">
        <f t="array" ref="BD92">IF($F92&lt;&gt;"", XLOOKUP($F92,Productos!$A$2:$A1001,Productos!AW$2:AW1001,"")*$G92,"")</f>
        <v/>
      </c>
      <c r="BE92" s="179" t="str">
        <f t="array" ref="BE92">IF($F92&lt;&gt;"",XLOOKUP($F92,Productos!$A:$A,Productos!AX:AX,"Revisar"),"")</f>
        <v/>
      </c>
      <c r="BF92" s="179" t="str">
        <f t="array" ref="BF92">IF($F92&lt;&gt;"", XLOOKUP($F92,Productos!$A$2:$A1001,Productos!AY$2:AY1001,"")*$G92,"")</f>
        <v/>
      </c>
      <c r="BG92" s="179" t="str">
        <f t="array" ref="BG92">IF($F92&lt;&gt;"",XLOOKUP($F92,Productos!$A:$A,Productos!AZ:AZ,"Revisar"),"")</f>
        <v/>
      </c>
      <c r="BH92" s="179" t="str">
        <f t="array" ref="BH92">IF($F92&lt;&gt;"", XLOOKUP($F92,Productos!$A$2:$A1001,Productos!BA$2:BA1001,"")*$G92,"")</f>
        <v/>
      </c>
      <c r="BI92" s="179" t="str">
        <f t="array" ref="BI92">IF($F92&lt;&gt;"",XLOOKUP($F92,Productos!$A:$A,Productos!BB:BB,"Revisar"),"")</f>
        <v/>
      </c>
      <c r="BJ92" s="179" t="str">
        <f t="array" ref="BJ92">IF($F92&lt;&gt;"", XLOOKUP($F92,Productos!$A$2:$A1001,Productos!BC$2:BC1001,"")*$G92,"")</f>
        <v/>
      </c>
      <c r="BK92" s="179" t="str">
        <f t="array" ref="BK92">IF($F92&lt;&gt;"",XLOOKUP($F92,Productos!$A:$A,Productos!BD:BD,"Revisar"),"")</f>
        <v/>
      </c>
      <c r="BL92" s="179" t="str">
        <f t="array" ref="BL92">IF($F92&lt;&gt;"", XLOOKUP($F92,Productos!$A$2:$A1001,Productos!BE$2:BE1001,"")*$G92,"")</f>
        <v/>
      </c>
      <c r="BM92" s="179" t="str">
        <f t="array" ref="BM92">IF($F92&lt;&gt;"",XLOOKUP($F92,Productos!$A:$A,Productos!BF:BF,"Revisar"),"")</f>
        <v/>
      </c>
      <c r="BN92" s="179" t="str">
        <f t="array" ref="BN92">IF($F92&lt;&gt;"", XLOOKUP($F92,Productos!$A$2:$A1001,Productos!BG$2:BG1001,"")*$G92,"")</f>
        <v/>
      </c>
      <c r="BO92" s="179" t="str">
        <f t="array" ref="BO92">IF($F92&lt;&gt;"",XLOOKUP($F92,Productos!$A:$A,Productos!BH:BH,"Revisar"),"")</f>
        <v/>
      </c>
      <c r="BP92" s="179" t="str">
        <f t="array" ref="BP92">IF($F92&lt;&gt;"", XLOOKUP($F92,Productos!$A$2:$A1001,Productos!BI$2:BI1001,"")*$G92,"")</f>
        <v/>
      </c>
      <c r="BQ92" s="179" t="str">
        <f t="array" ref="BQ92">IF($F92&lt;&gt;"",XLOOKUP($F92,Productos!$A:$A,Productos!BJ:BJ,"Revisar"),"")</f>
        <v/>
      </c>
      <c r="BR92" s="179" t="str">
        <f t="array" ref="BR92">IF($F92&lt;&gt;"", XLOOKUP($F92,Productos!$A$2:$A1001,Productos!BK$2:BK1001,"")*$G92,"")</f>
        <v/>
      </c>
      <c r="BS92" s="179" t="str">
        <f t="array" ref="BS92">IF($F92&lt;&gt;"",XLOOKUP($F92,Productos!$A:$A,Productos!BL:BL,"Revisar"),"")</f>
        <v/>
      </c>
      <c r="BT92" s="179" t="str">
        <f t="array" ref="BT92">IF($F92&lt;&gt;"", XLOOKUP($F92,Productos!$A$2:$A1001,Productos!BM$2:BM1001,"")*$G92,"")</f>
        <v/>
      </c>
      <c r="BU92" s="179" t="str">
        <f t="array" ref="BU92">IF($F92&lt;&gt;"",XLOOKUP($F92,Productos!$A:$A,Productos!BN:BN,"Revisar"),"")</f>
        <v/>
      </c>
      <c r="BV92" s="179" t="str">
        <f t="array" ref="BV92">IF($F92&lt;&gt;"", XLOOKUP($F92,Productos!$A$2:$A1001,Productos!BO$2:BO1001,"")*$G92,"")</f>
        <v/>
      </c>
      <c r="BW92" s="179" t="str">
        <f t="array" ref="BW92">IF($F92&lt;&gt;"",XLOOKUP($F92,Productos!$A:$A,Productos!BP:BP,"Revisar"),"")</f>
        <v/>
      </c>
      <c r="BX92" s="179" t="str">
        <f t="array" ref="BX92">IF($F92&lt;&gt;"", XLOOKUP($F92,Productos!$A$2:$A1001,Productos!BQ$2:BQ1001,"")*$G92,"")</f>
        <v/>
      </c>
      <c r="BY92" s="179" t="str">
        <f t="array" ref="BY92">IF($F92&lt;&gt;"",XLOOKUP($F92,Productos!$A:$A,Productos!BR:BR,"Revisar"),"")</f>
        <v/>
      </c>
      <c r="BZ92" s="179" t="str">
        <f t="array" ref="BZ92">IF($F92&lt;&gt;"", XLOOKUP($F92,Productos!$A$2:$A1001,Productos!BS$2:BS1001,"")*$G92,"")</f>
        <v/>
      </c>
    </row>
    <row r="93">
      <c r="A93" s="180"/>
      <c r="B93" s="181"/>
      <c r="C93" s="182"/>
      <c r="D93" s="182"/>
      <c r="E93" s="185"/>
      <c r="F93" s="186"/>
      <c r="G93" s="187"/>
      <c r="H93" s="186"/>
      <c r="I93" s="179" t="str">
        <f t="array" ref="I93">IF($F93&lt;&gt;"",XLOOKUP($F93,Productos!$A:$A,Productos!B:B,"Revisar"),"")</f>
        <v/>
      </c>
      <c r="J93" s="179" t="str">
        <f t="array" ref="J93">IF($F93&lt;&gt;"", XLOOKUP($F93,Productos!$A$2:$A1001,Productos!C$2:C1001,"")*$G93,"")</f>
        <v/>
      </c>
      <c r="K93" s="179" t="str">
        <f t="array" ref="K93">IF($F93&lt;&gt;"",XLOOKUP($F93,Productos!$A:$A,Productos!D:D,"Revisar"),"")</f>
        <v/>
      </c>
      <c r="L93" s="179" t="str">
        <f t="array" ref="L93">IF($F93&lt;&gt;"", XLOOKUP($F93,Productos!$A$2:$A1001,Productos!E$2:E1001,"")*$G93,"")</f>
        <v/>
      </c>
      <c r="M93" s="179" t="str">
        <f t="array" ref="M93">IF($F93&lt;&gt;"",XLOOKUP($F93,Productos!$A:$A,Productos!F:F,"Revisar"),"")</f>
        <v/>
      </c>
      <c r="N93" s="179" t="str">
        <f t="array" ref="N93">IF($F93&lt;&gt;"", XLOOKUP($F93,Productos!$A$2:$A1001,Productos!G$2:G1001,"")*$G93,"")</f>
        <v/>
      </c>
      <c r="O93" s="179" t="str">
        <f t="array" ref="O93">IF($F93&lt;&gt;"",XLOOKUP($F93,Productos!$A:$A,Productos!H:H,"Revisar"),"")</f>
        <v/>
      </c>
      <c r="P93" s="179" t="str">
        <f t="array" ref="P93">IF($F93&lt;&gt;"", XLOOKUP($F93,Productos!$A$2:$A1001,Productos!I$2:I1001,"")*$G93,"")</f>
        <v/>
      </c>
      <c r="Q93" s="179" t="str">
        <f t="array" ref="Q93">IF($F93&lt;&gt;"",XLOOKUP($F93,Productos!$A:$A,Productos!J:J,"Revisar"),"")</f>
        <v/>
      </c>
      <c r="R93" s="179" t="str">
        <f t="array" ref="R93">IF($F93&lt;&gt;"", XLOOKUP($F93,Productos!$A$2:$A1001,Productos!K$2:K1001,"")*$G93,"")</f>
        <v/>
      </c>
      <c r="S93" s="179" t="str">
        <f t="array" ref="S93">IF($F93&lt;&gt;"",XLOOKUP($F93,Productos!$A:$A,Productos!L:L,"Revisar"),"")</f>
        <v/>
      </c>
      <c r="T93" s="179" t="str">
        <f t="array" ref="T93">IF($F93&lt;&gt;"", XLOOKUP($F93,Productos!$A$2:$A1001,Productos!M$2:M1001,"")*$G93,"")</f>
        <v/>
      </c>
      <c r="U93" s="179" t="str">
        <f t="array" ref="U93">IF($F93&lt;&gt;"",XLOOKUP($F93,Productos!$A:$A,Productos!N:N,"Revisar"),"")</f>
        <v/>
      </c>
      <c r="V93" s="179" t="str">
        <f t="array" ref="V93">IF($F93&lt;&gt;"", XLOOKUP($F93,Productos!$A$2:$A1001,Productos!O$2:O1001,"")*$G93,"")</f>
        <v/>
      </c>
      <c r="W93" s="179" t="str">
        <f t="array" ref="W93">IF($F93&lt;&gt;"",XLOOKUP($F93,Productos!$A:$A,Productos!P:P,"Revisar"),"")</f>
        <v/>
      </c>
      <c r="X93" s="179" t="str">
        <f t="array" ref="X93">IF($F93&lt;&gt;"", XLOOKUP($F93,Productos!$A$2:$A1001,Productos!Q$2:Q1001,"")*$G93,"")</f>
        <v/>
      </c>
      <c r="Y93" s="179" t="str">
        <f t="array" ref="Y93">IF($F93&lt;&gt;"",XLOOKUP($F93,Productos!$A:$A,Productos!R:R,"Revisar"),"")</f>
        <v/>
      </c>
      <c r="Z93" s="179" t="str">
        <f t="array" ref="Z93">IF($F93&lt;&gt;"", XLOOKUP($F93,Productos!$A$2:$A1001,Productos!S$2:S1001,"")*$G93,"")</f>
        <v/>
      </c>
      <c r="AA93" s="179" t="str">
        <f t="array" ref="AA93">IF($F93&lt;&gt;"",XLOOKUP($F93,Productos!$A:$A,Productos!T:T,"Revisar"),"")</f>
        <v/>
      </c>
      <c r="AB93" s="179" t="str">
        <f t="array" ref="AB93">IF($F93&lt;&gt;"", XLOOKUP($F93,Productos!$A$2:$A1001,Productos!U$2:U1001,"")*$G93,"")</f>
        <v/>
      </c>
      <c r="AC93" s="179" t="str">
        <f t="array" ref="AC93">IF($F93&lt;&gt;"",XLOOKUP($F93,Productos!$A:$A,Productos!V:V,"Revisar"),"")</f>
        <v/>
      </c>
      <c r="AD93" s="179" t="str">
        <f t="array" ref="AD93">IF($F93&lt;&gt;"", XLOOKUP($F93,Productos!$A$2:$A1001,Productos!W$2:W1001,"")*$G93,"")</f>
        <v/>
      </c>
      <c r="AE93" s="179" t="str">
        <f t="array" ref="AE93">IF($F93&lt;&gt;"",XLOOKUP($F93,Productos!$A:$A,Productos!X:X,"Revisar"),"")</f>
        <v/>
      </c>
      <c r="AF93" s="179" t="str">
        <f t="array" ref="AF93">IF($F93&lt;&gt;"", XLOOKUP($F93,Productos!$A$2:$A1001,Productos!Y$2:Y1001,"")*$G93,"")</f>
        <v/>
      </c>
      <c r="AG93" s="179" t="str">
        <f t="array" ref="AG93">IF($F93&lt;&gt;"",XLOOKUP($F93,Productos!$A:$A,Productos!Z:Z,"Revisar"),"")</f>
        <v/>
      </c>
      <c r="AH93" s="179" t="str">
        <f t="array" ref="AH93">IF($F93&lt;&gt;"", XLOOKUP($F93,Productos!$A$2:$A1001,Productos!AA$2:AA1001,"")*$G93,"")</f>
        <v/>
      </c>
      <c r="AI93" s="179" t="str">
        <f t="array" ref="AI93">IF($F93&lt;&gt;"",XLOOKUP($F93,Productos!$A:$A,Productos!AB:AB,"Revisar"),"")</f>
        <v/>
      </c>
      <c r="AJ93" s="179" t="str">
        <f t="array" ref="AJ93">IF($F93&lt;&gt;"", XLOOKUP($F93,Productos!$A$2:$A1001,Productos!AC$2:AC1001,"")*$G93,"")</f>
        <v/>
      </c>
      <c r="AK93" s="179" t="str">
        <f t="array" ref="AK93">IF($F93&lt;&gt;"",XLOOKUP($F93,Productos!$A:$A,Productos!AD:AD,"Revisar"),"")</f>
        <v/>
      </c>
      <c r="AL93" s="179" t="str">
        <f t="array" ref="AL93">IF($F93&lt;&gt;"", XLOOKUP($F93,Productos!$A$2:$A1001,Productos!AE$2:AE1001,"")*$G93,"")</f>
        <v/>
      </c>
      <c r="AM93" s="179" t="str">
        <f t="array" ref="AM93">IF($F93&lt;&gt;"",XLOOKUP($F93,Productos!$A:$A,Productos!AF:AF,"Revisar"),"")</f>
        <v/>
      </c>
      <c r="AN93" s="179" t="str">
        <f t="array" ref="AN93">IF($F93&lt;&gt;"", XLOOKUP($F93,Productos!$A$2:$A1001,Productos!AG$2:AG1001,"")*$G93,"")</f>
        <v/>
      </c>
      <c r="AO93" s="179" t="str">
        <f t="array" ref="AO93">IF($F93&lt;&gt;"",XLOOKUP($F93,Productos!$A:$A,Productos!AH:AH,"Revisar"),"")</f>
        <v/>
      </c>
      <c r="AP93" s="179" t="str">
        <f t="array" ref="AP93">IF($F93&lt;&gt;"", XLOOKUP($F93,Productos!$A$2:$A1001,Productos!AI$2:AI1001,"")*$G93,"")</f>
        <v/>
      </c>
      <c r="AQ93" s="179" t="str">
        <f t="array" ref="AQ93">IF($F93&lt;&gt;"",XLOOKUP($F93,Productos!$A:$A,Productos!AJ:AJ,"Revisar"),"")</f>
        <v/>
      </c>
      <c r="AR93" s="179" t="str">
        <f t="array" ref="AR93">IF($F93&lt;&gt;"", XLOOKUP($F93,Productos!$A$2:$A1001,Productos!AK$2:AK1001,"")*$G93,"")</f>
        <v/>
      </c>
      <c r="AS93" s="179" t="str">
        <f t="array" ref="AS93">IF($F93&lt;&gt;"",XLOOKUP($F93,Productos!$A:$A,Productos!AL:AL,"Revisar"),"")</f>
        <v/>
      </c>
      <c r="AT93" s="179" t="str">
        <f t="array" ref="AT93">IF($F93&lt;&gt;"", XLOOKUP($F93,Productos!$A$2:$A1001,Productos!AM$2:AM1001,"")*$G93,"")</f>
        <v/>
      </c>
      <c r="AU93" s="179" t="str">
        <f t="array" ref="AU93">IF($F93&lt;&gt;"",XLOOKUP($F93,Productos!$A:$A,Productos!AN:AN,"Revisar"),"")</f>
        <v/>
      </c>
      <c r="AV93" s="179" t="str">
        <f t="array" ref="AV93">IF($F93&lt;&gt;"", XLOOKUP($F93,Productos!$A$2:$A1001,Productos!AO$2:AO1001,"")*$G93,"")</f>
        <v/>
      </c>
      <c r="AW93" s="179" t="str">
        <f t="array" ref="AW93">IF($F93&lt;&gt;"",XLOOKUP($F93,Productos!$A:$A,Productos!AP:AP,"Revisar"),"")</f>
        <v/>
      </c>
      <c r="AX93" s="179" t="str">
        <f t="array" ref="AX93">IF($F93&lt;&gt;"", XLOOKUP($F93,Productos!$A$2:$A1001,Productos!AQ$2:AQ1001,"")*$G93,"")</f>
        <v/>
      </c>
      <c r="AY93" s="179" t="str">
        <f t="array" ref="AY93">IF($F93&lt;&gt;"",XLOOKUP($F93,Productos!$A:$A,Productos!AR:AR,"Revisar"),"")</f>
        <v/>
      </c>
      <c r="AZ93" s="179" t="str">
        <f t="array" ref="AZ93">IF($F93&lt;&gt;"", XLOOKUP($F93,Productos!$A$2:$A1001,Productos!AS$2:AS1001,"")*$G93,"")</f>
        <v/>
      </c>
      <c r="BA93" s="179" t="str">
        <f t="array" ref="BA93">IF($F93&lt;&gt;"",XLOOKUP($F93,Productos!$A:$A,Productos!AT:AT,"Revisar"),"")</f>
        <v/>
      </c>
      <c r="BB93" s="179" t="str">
        <f t="array" ref="BB93">IF($F93&lt;&gt;"", XLOOKUP($F93,Productos!$A$2:$A1001,Productos!AU$2:AU1001,"")*$G93,"")</f>
        <v/>
      </c>
      <c r="BC93" s="179" t="str">
        <f t="array" ref="BC93">IF($F93&lt;&gt;"",XLOOKUP($F93,Productos!$A:$A,Productos!AV:AV,"Revisar"),"")</f>
        <v/>
      </c>
      <c r="BD93" s="179" t="str">
        <f t="array" ref="BD93">IF($F93&lt;&gt;"", XLOOKUP($F93,Productos!$A$2:$A1001,Productos!AW$2:AW1001,"")*$G93,"")</f>
        <v/>
      </c>
      <c r="BE93" s="179" t="str">
        <f t="array" ref="BE93">IF($F93&lt;&gt;"",XLOOKUP($F93,Productos!$A:$A,Productos!AX:AX,"Revisar"),"")</f>
        <v/>
      </c>
      <c r="BF93" s="179" t="str">
        <f t="array" ref="BF93">IF($F93&lt;&gt;"", XLOOKUP($F93,Productos!$A$2:$A1001,Productos!AY$2:AY1001,"")*$G93,"")</f>
        <v/>
      </c>
      <c r="BG93" s="179" t="str">
        <f t="array" ref="BG93">IF($F93&lt;&gt;"",XLOOKUP($F93,Productos!$A:$A,Productos!AZ:AZ,"Revisar"),"")</f>
        <v/>
      </c>
      <c r="BH93" s="179" t="str">
        <f t="array" ref="BH93">IF($F93&lt;&gt;"", XLOOKUP($F93,Productos!$A$2:$A1001,Productos!BA$2:BA1001,"")*$G93,"")</f>
        <v/>
      </c>
      <c r="BI93" s="179" t="str">
        <f t="array" ref="BI93">IF($F93&lt;&gt;"",XLOOKUP($F93,Productos!$A:$A,Productos!BB:BB,"Revisar"),"")</f>
        <v/>
      </c>
      <c r="BJ93" s="179" t="str">
        <f t="array" ref="BJ93">IF($F93&lt;&gt;"", XLOOKUP($F93,Productos!$A$2:$A1001,Productos!BC$2:BC1001,"")*$G93,"")</f>
        <v/>
      </c>
      <c r="BK93" s="179" t="str">
        <f t="array" ref="BK93">IF($F93&lt;&gt;"",XLOOKUP($F93,Productos!$A:$A,Productos!BD:BD,"Revisar"),"")</f>
        <v/>
      </c>
      <c r="BL93" s="179" t="str">
        <f t="array" ref="BL93">IF($F93&lt;&gt;"", XLOOKUP($F93,Productos!$A$2:$A1001,Productos!BE$2:BE1001,"")*$G93,"")</f>
        <v/>
      </c>
      <c r="BM93" s="179" t="str">
        <f t="array" ref="BM93">IF($F93&lt;&gt;"",XLOOKUP($F93,Productos!$A:$A,Productos!BF:BF,"Revisar"),"")</f>
        <v/>
      </c>
      <c r="BN93" s="179" t="str">
        <f t="array" ref="BN93">IF($F93&lt;&gt;"", XLOOKUP($F93,Productos!$A$2:$A1001,Productos!BG$2:BG1001,"")*$G93,"")</f>
        <v/>
      </c>
      <c r="BO93" s="179" t="str">
        <f t="array" ref="BO93">IF($F93&lt;&gt;"",XLOOKUP($F93,Productos!$A:$A,Productos!BH:BH,"Revisar"),"")</f>
        <v/>
      </c>
      <c r="BP93" s="179" t="str">
        <f t="array" ref="BP93">IF($F93&lt;&gt;"", XLOOKUP($F93,Productos!$A$2:$A1001,Productos!BI$2:BI1001,"")*$G93,"")</f>
        <v/>
      </c>
      <c r="BQ93" s="179" t="str">
        <f t="array" ref="BQ93">IF($F93&lt;&gt;"",XLOOKUP($F93,Productos!$A:$A,Productos!BJ:BJ,"Revisar"),"")</f>
        <v/>
      </c>
      <c r="BR93" s="179" t="str">
        <f t="array" ref="BR93">IF($F93&lt;&gt;"", XLOOKUP($F93,Productos!$A$2:$A1001,Productos!BK$2:BK1001,"")*$G93,"")</f>
        <v/>
      </c>
      <c r="BS93" s="179" t="str">
        <f t="array" ref="BS93">IF($F93&lt;&gt;"",XLOOKUP($F93,Productos!$A:$A,Productos!BL:BL,"Revisar"),"")</f>
        <v/>
      </c>
      <c r="BT93" s="179" t="str">
        <f t="array" ref="BT93">IF($F93&lt;&gt;"", XLOOKUP($F93,Productos!$A$2:$A1001,Productos!BM$2:BM1001,"")*$G93,"")</f>
        <v/>
      </c>
      <c r="BU93" s="179" t="str">
        <f t="array" ref="BU93">IF($F93&lt;&gt;"",XLOOKUP($F93,Productos!$A:$A,Productos!BN:BN,"Revisar"),"")</f>
        <v/>
      </c>
      <c r="BV93" s="179" t="str">
        <f t="array" ref="BV93">IF($F93&lt;&gt;"", XLOOKUP($F93,Productos!$A$2:$A1001,Productos!BO$2:BO1001,"")*$G93,"")</f>
        <v/>
      </c>
      <c r="BW93" s="179" t="str">
        <f t="array" ref="BW93">IF($F93&lt;&gt;"",XLOOKUP($F93,Productos!$A:$A,Productos!BP:BP,"Revisar"),"")</f>
        <v/>
      </c>
      <c r="BX93" s="179" t="str">
        <f t="array" ref="BX93">IF($F93&lt;&gt;"", XLOOKUP($F93,Productos!$A$2:$A1001,Productos!BQ$2:BQ1001,"")*$G93,"")</f>
        <v/>
      </c>
      <c r="BY93" s="179" t="str">
        <f t="array" ref="BY93">IF($F93&lt;&gt;"",XLOOKUP($F93,Productos!$A:$A,Productos!BR:BR,"Revisar"),"")</f>
        <v/>
      </c>
      <c r="BZ93" s="179" t="str">
        <f t="array" ref="BZ93">IF($F93&lt;&gt;"", XLOOKUP($F93,Productos!$A$2:$A1001,Productos!BS$2:BS1001,"")*$G93,"")</f>
        <v/>
      </c>
    </row>
    <row r="94">
      <c r="A94" s="180"/>
      <c r="B94" s="181"/>
      <c r="C94" s="182"/>
      <c r="D94" s="182"/>
      <c r="E94" s="185"/>
      <c r="F94" s="186"/>
      <c r="G94" s="187"/>
      <c r="H94" s="186"/>
      <c r="I94" s="179" t="str">
        <f t="array" ref="I94">IF($F94&lt;&gt;"",XLOOKUP($F94,Productos!$A:$A,Productos!B:B,"Revisar"),"")</f>
        <v/>
      </c>
      <c r="J94" s="179" t="str">
        <f t="array" ref="J94">IF($F94&lt;&gt;"", XLOOKUP($F94,Productos!$A$2:$A1001,Productos!C$2:C1001,"")*$G94,"")</f>
        <v/>
      </c>
      <c r="K94" s="179" t="str">
        <f t="array" ref="K94">IF($F94&lt;&gt;"",XLOOKUP($F94,Productos!$A:$A,Productos!D:D,"Revisar"),"")</f>
        <v/>
      </c>
      <c r="L94" s="179" t="str">
        <f t="array" ref="L94">IF($F94&lt;&gt;"", XLOOKUP($F94,Productos!$A$2:$A1001,Productos!E$2:E1001,"")*$G94,"")</f>
        <v/>
      </c>
      <c r="M94" s="179" t="str">
        <f t="array" ref="M94">IF($F94&lt;&gt;"",XLOOKUP($F94,Productos!$A:$A,Productos!F:F,"Revisar"),"")</f>
        <v/>
      </c>
      <c r="N94" s="179" t="str">
        <f t="array" ref="N94">IF($F94&lt;&gt;"", XLOOKUP($F94,Productos!$A$2:$A1001,Productos!G$2:G1001,"")*$G94,"")</f>
        <v/>
      </c>
      <c r="O94" s="179" t="str">
        <f t="array" ref="O94">IF($F94&lt;&gt;"",XLOOKUP($F94,Productos!$A:$A,Productos!H:H,"Revisar"),"")</f>
        <v/>
      </c>
      <c r="P94" s="179" t="str">
        <f t="array" ref="P94">IF($F94&lt;&gt;"", XLOOKUP($F94,Productos!$A$2:$A1001,Productos!I$2:I1001,"")*$G94,"")</f>
        <v/>
      </c>
      <c r="Q94" s="179" t="str">
        <f t="array" ref="Q94">IF($F94&lt;&gt;"",XLOOKUP($F94,Productos!$A:$A,Productos!J:J,"Revisar"),"")</f>
        <v/>
      </c>
      <c r="R94" s="179" t="str">
        <f t="array" ref="R94">IF($F94&lt;&gt;"", XLOOKUP($F94,Productos!$A$2:$A1001,Productos!K$2:K1001,"")*$G94,"")</f>
        <v/>
      </c>
      <c r="S94" s="179" t="str">
        <f t="array" ref="S94">IF($F94&lt;&gt;"",XLOOKUP($F94,Productos!$A:$A,Productos!L:L,"Revisar"),"")</f>
        <v/>
      </c>
      <c r="T94" s="179" t="str">
        <f t="array" ref="T94">IF($F94&lt;&gt;"", XLOOKUP($F94,Productos!$A$2:$A1001,Productos!M$2:M1001,"")*$G94,"")</f>
        <v/>
      </c>
      <c r="U94" s="179" t="str">
        <f t="array" ref="U94">IF($F94&lt;&gt;"",XLOOKUP($F94,Productos!$A:$A,Productos!N:N,"Revisar"),"")</f>
        <v/>
      </c>
      <c r="V94" s="179" t="str">
        <f t="array" ref="V94">IF($F94&lt;&gt;"", XLOOKUP($F94,Productos!$A$2:$A1001,Productos!O$2:O1001,"")*$G94,"")</f>
        <v/>
      </c>
      <c r="W94" s="179" t="str">
        <f t="array" ref="W94">IF($F94&lt;&gt;"",XLOOKUP($F94,Productos!$A:$A,Productos!P:P,"Revisar"),"")</f>
        <v/>
      </c>
      <c r="X94" s="179" t="str">
        <f t="array" ref="X94">IF($F94&lt;&gt;"", XLOOKUP($F94,Productos!$A$2:$A1001,Productos!Q$2:Q1001,"")*$G94,"")</f>
        <v/>
      </c>
      <c r="Y94" s="179" t="str">
        <f t="array" ref="Y94">IF($F94&lt;&gt;"",XLOOKUP($F94,Productos!$A:$A,Productos!R:R,"Revisar"),"")</f>
        <v/>
      </c>
      <c r="Z94" s="179" t="str">
        <f t="array" ref="Z94">IF($F94&lt;&gt;"", XLOOKUP($F94,Productos!$A$2:$A1001,Productos!S$2:S1001,"")*$G94,"")</f>
        <v/>
      </c>
      <c r="AA94" s="179" t="str">
        <f t="array" ref="AA94">IF($F94&lt;&gt;"",XLOOKUP($F94,Productos!$A:$A,Productos!T:T,"Revisar"),"")</f>
        <v/>
      </c>
      <c r="AB94" s="179" t="str">
        <f t="array" ref="AB94">IF($F94&lt;&gt;"", XLOOKUP($F94,Productos!$A$2:$A1001,Productos!U$2:U1001,"")*$G94,"")</f>
        <v/>
      </c>
      <c r="AC94" s="179" t="str">
        <f t="array" ref="AC94">IF($F94&lt;&gt;"",XLOOKUP($F94,Productos!$A:$A,Productos!V:V,"Revisar"),"")</f>
        <v/>
      </c>
      <c r="AD94" s="179" t="str">
        <f t="array" ref="AD94">IF($F94&lt;&gt;"", XLOOKUP($F94,Productos!$A$2:$A1001,Productos!W$2:W1001,"")*$G94,"")</f>
        <v/>
      </c>
      <c r="AE94" s="179" t="str">
        <f t="array" ref="AE94">IF($F94&lt;&gt;"",XLOOKUP($F94,Productos!$A:$A,Productos!X:X,"Revisar"),"")</f>
        <v/>
      </c>
      <c r="AF94" s="179" t="str">
        <f t="array" ref="AF94">IF($F94&lt;&gt;"", XLOOKUP($F94,Productos!$A$2:$A1001,Productos!Y$2:Y1001,"")*$G94,"")</f>
        <v/>
      </c>
      <c r="AG94" s="179" t="str">
        <f t="array" ref="AG94">IF($F94&lt;&gt;"",XLOOKUP($F94,Productos!$A:$A,Productos!Z:Z,"Revisar"),"")</f>
        <v/>
      </c>
      <c r="AH94" s="179" t="str">
        <f t="array" ref="AH94">IF($F94&lt;&gt;"", XLOOKUP($F94,Productos!$A$2:$A1001,Productos!AA$2:AA1001,"")*$G94,"")</f>
        <v/>
      </c>
      <c r="AI94" s="179" t="str">
        <f t="array" ref="AI94">IF($F94&lt;&gt;"",XLOOKUP($F94,Productos!$A:$A,Productos!AB:AB,"Revisar"),"")</f>
        <v/>
      </c>
      <c r="AJ94" s="179" t="str">
        <f t="array" ref="AJ94">IF($F94&lt;&gt;"", XLOOKUP($F94,Productos!$A$2:$A1001,Productos!AC$2:AC1001,"")*$G94,"")</f>
        <v/>
      </c>
      <c r="AK94" s="179" t="str">
        <f t="array" ref="AK94">IF($F94&lt;&gt;"",XLOOKUP($F94,Productos!$A:$A,Productos!AD:AD,"Revisar"),"")</f>
        <v/>
      </c>
      <c r="AL94" s="179" t="str">
        <f t="array" ref="AL94">IF($F94&lt;&gt;"", XLOOKUP($F94,Productos!$A$2:$A1001,Productos!AE$2:AE1001,"")*$G94,"")</f>
        <v/>
      </c>
      <c r="AM94" s="179" t="str">
        <f t="array" ref="AM94">IF($F94&lt;&gt;"",XLOOKUP($F94,Productos!$A:$A,Productos!AF:AF,"Revisar"),"")</f>
        <v/>
      </c>
      <c r="AN94" s="179" t="str">
        <f t="array" ref="AN94">IF($F94&lt;&gt;"", XLOOKUP($F94,Productos!$A$2:$A1001,Productos!AG$2:AG1001,"")*$G94,"")</f>
        <v/>
      </c>
      <c r="AO94" s="179" t="str">
        <f t="array" ref="AO94">IF($F94&lt;&gt;"",XLOOKUP($F94,Productos!$A:$A,Productos!AH:AH,"Revisar"),"")</f>
        <v/>
      </c>
      <c r="AP94" s="179" t="str">
        <f t="array" ref="AP94">IF($F94&lt;&gt;"", XLOOKUP($F94,Productos!$A$2:$A1001,Productos!AI$2:AI1001,"")*$G94,"")</f>
        <v/>
      </c>
      <c r="AQ94" s="179" t="str">
        <f t="array" ref="AQ94">IF($F94&lt;&gt;"",XLOOKUP($F94,Productos!$A:$A,Productos!AJ:AJ,"Revisar"),"")</f>
        <v/>
      </c>
      <c r="AR94" s="179" t="str">
        <f t="array" ref="AR94">IF($F94&lt;&gt;"", XLOOKUP($F94,Productos!$A$2:$A1001,Productos!AK$2:AK1001,"")*$G94,"")</f>
        <v/>
      </c>
      <c r="AS94" s="179" t="str">
        <f t="array" ref="AS94">IF($F94&lt;&gt;"",XLOOKUP($F94,Productos!$A:$A,Productos!AL:AL,"Revisar"),"")</f>
        <v/>
      </c>
      <c r="AT94" s="179" t="str">
        <f t="array" ref="AT94">IF($F94&lt;&gt;"", XLOOKUP($F94,Productos!$A$2:$A1001,Productos!AM$2:AM1001,"")*$G94,"")</f>
        <v/>
      </c>
      <c r="AU94" s="179" t="str">
        <f t="array" ref="AU94">IF($F94&lt;&gt;"",XLOOKUP($F94,Productos!$A:$A,Productos!AN:AN,"Revisar"),"")</f>
        <v/>
      </c>
      <c r="AV94" s="179" t="str">
        <f t="array" ref="AV94">IF($F94&lt;&gt;"", XLOOKUP($F94,Productos!$A$2:$A1001,Productos!AO$2:AO1001,"")*$G94,"")</f>
        <v/>
      </c>
      <c r="AW94" s="179" t="str">
        <f t="array" ref="AW94">IF($F94&lt;&gt;"",XLOOKUP($F94,Productos!$A:$A,Productos!AP:AP,"Revisar"),"")</f>
        <v/>
      </c>
      <c r="AX94" s="179" t="str">
        <f t="array" ref="AX94">IF($F94&lt;&gt;"", XLOOKUP($F94,Productos!$A$2:$A1001,Productos!AQ$2:AQ1001,"")*$G94,"")</f>
        <v/>
      </c>
      <c r="AY94" s="179" t="str">
        <f t="array" ref="AY94">IF($F94&lt;&gt;"",XLOOKUP($F94,Productos!$A:$A,Productos!AR:AR,"Revisar"),"")</f>
        <v/>
      </c>
      <c r="AZ94" s="179" t="str">
        <f t="array" ref="AZ94">IF($F94&lt;&gt;"", XLOOKUP($F94,Productos!$A$2:$A1001,Productos!AS$2:AS1001,"")*$G94,"")</f>
        <v/>
      </c>
      <c r="BA94" s="179" t="str">
        <f t="array" ref="BA94">IF($F94&lt;&gt;"",XLOOKUP($F94,Productos!$A:$A,Productos!AT:AT,"Revisar"),"")</f>
        <v/>
      </c>
      <c r="BB94" s="179" t="str">
        <f t="array" ref="BB94">IF($F94&lt;&gt;"", XLOOKUP($F94,Productos!$A$2:$A1001,Productos!AU$2:AU1001,"")*$G94,"")</f>
        <v/>
      </c>
      <c r="BC94" s="179" t="str">
        <f t="array" ref="BC94">IF($F94&lt;&gt;"",XLOOKUP($F94,Productos!$A:$A,Productos!AV:AV,"Revisar"),"")</f>
        <v/>
      </c>
      <c r="BD94" s="179" t="str">
        <f t="array" ref="BD94">IF($F94&lt;&gt;"", XLOOKUP($F94,Productos!$A$2:$A1001,Productos!AW$2:AW1001,"")*$G94,"")</f>
        <v/>
      </c>
      <c r="BE94" s="179" t="str">
        <f t="array" ref="BE94">IF($F94&lt;&gt;"",XLOOKUP($F94,Productos!$A:$A,Productos!AX:AX,"Revisar"),"")</f>
        <v/>
      </c>
      <c r="BF94" s="179" t="str">
        <f t="array" ref="BF94">IF($F94&lt;&gt;"", XLOOKUP($F94,Productos!$A$2:$A1001,Productos!AY$2:AY1001,"")*$G94,"")</f>
        <v/>
      </c>
      <c r="BG94" s="179" t="str">
        <f t="array" ref="BG94">IF($F94&lt;&gt;"",XLOOKUP($F94,Productos!$A:$A,Productos!AZ:AZ,"Revisar"),"")</f>
        <v/>
      </c>
      <c r="BH94" s="179" t="str">
        <f t="array" ref="BH94">IF($F94&lt;&gt;"", XLOOKUP($F94,Productos!$A$2:$A1001,Productos!BA$2:BA1001,"")*$G94,"")</f>
        <v/>
      </c>
      <c r="BI94" s="179" t="str">
        <f t="array" ref="BI94">IF($F94&lt;&gt;"",XLOOKUP($F94,Productos!$A:$A,Productos!BB:BB,"Revisar"),"")</f>
        <v/>
      </c>
      <c r="BJ94" s="179" t="str">
        <f t="array" ref="BJ94">IF($F94&lt;&gt;"", XLOOKUP($F94,Productos!$A$2:$A1001,Productos!BC$2:BC1001,"")*$G94,"")</f>
        <v/>
      </c>
      <c r="BK94" s="179" t="str">
        <f t="array" ref="BK94">IF($F94&lt;&gt;"",XLOOKUP($F94,Productos!$A:$A,Productos!BD:BD,"Revisar"),"")</f>
        <v/>
      </c>
      <c r="BL94" s="179" t="str">
        <f t="array" ref="BL94">IF($F94&lt;&gt;"", XLOOKUP($F94,Productos!$A$2:$A1001,Productos!BE$2:BE1001,"")*$G94,"")</f>
        <v/>
      </c>
      <c r="BM94" s="179" t="str">
        <f t="array" ref="BM94">IF($F94&lt;&gt;"",XLOOKUP($F94,Productos!$A:$A,Productos!BF:BF,"Revisar"),"")</f>
        <v/>
      </c>
      <c r="BN94" s="179" t="str">
        <f t="array" ref="BN94">IF($F94&lt;&gt;"", XLOOKUP($F94,Productos!$A$2:$A1001,Productos!BG$2:BG1001,"")*$G94,"")</f>
        <v/>
      </c>
      <c r="BO94" s="179" t="str">
        <f t="array" ref="BO94">IF($F94&lt;&gt;"",XLOOKUP($F94,Productos!$A:$A,Productos!BH:BH,"Revisar"),"")</f>
        <v/>
      </c>
      <c r="BP94" s="179" t="str">
        <f t="array" ref="BP94">IF($F94&lt;&gt;"", XLOOKUP($F94,Productos!$A$2:$A1001,Productos!BI$2:BI1001,"")*$G94,"")</f>
        <v/>
      </c>
      <c r="BQ94" s="179" t="str">
        <f t="array" ref="BQ94">IF($F94&lt;&gt;"",XLOOKUP($F94,Productos!$A:$A,Productos!BJ:BJ,"Revisar"),"")</f>
        <v/>
      </c>
      <c r="BR94" s="179" t="str">
        <f t="array" ref="BR94">IF($F94&lt;&gt;"", XLOOKUP($F94,Productos!$A$2:$A1001,Productos!BK$2:BK1001,"")*$G94,"")</f>
        <v/>
      </c>
      <c r="BS94" s="179" t="str">
        <f t="array" ref="BS94">IF($F94&lt;&gt;"",XLOOKUP($F94,Productos!$A:$A,Productos!BL:BL,"Revisar"),"")</f>
        <v/>
      </c>
      <c r="BT94" s="179" t="str">
        <f t="array" ref="BT94">IF($F94&lt;&gt;"", XLOOKUP($F94,Productos!$A$2:$A1001,Productos!BM$2:BM1001,"")*$G94,"")</f>
        <v/>
      </c>
      <c r="BU94" s="179" t="str">
        <f t="array" ref="BU94">IF($F94&lt;&gt;"",XLOOKUP($F94,Productos!$A:$A,Productos!BN:BN,"Revisar"),"")</f>
        <v/>
      </c>
      <c r="BV94" s="179" t="str">
        <f t="array" ref="BV94">IF($F94&lt;&gt;"", XLOOKUP($F94,Productos!$A$2:$A1001,Productos!BO$2:BO1001,"")*$G94,"")</f>
        <v/>
      </c>
      <c r="BW94" s="179" t="str">
        <f t="array" ref="BW94">IF($F94&lt;&gt;"",XLOOKUP($F94,Productos!$A:$A,Productos!BP:BP,"Revisar"),"")</f>
        <v/>
      </c>
      <c r="BX94" s="179" t="str">
        <f t="array" ref="BX94">IF($F94&lt;&gt;"", XLOOKUP($F94,Productos!$A$2:$A1001,Productos!BQ$2:BQ1001,"")*$G94,"")</f>
        <v/>
      </c>
      <c r="BY94" s="179" t="str">
        <f t="array" ref="BY94">IF($F94&lt;&gt;"",XLOOKUP($F94,Productos!$A:$A,Productos!BR:BR,"Revisar"),"")</f>
        <v/>
      </c>
      <c r="BZ94" s="179" t="str">
        <f t="array" ref="BZ94">IF($F94&lt;&gt;"", XLOOKUP($F94,Productos!$A$2:$A1001,Productos!BS$2:BS1001,"")*$G94,"")</f>
        <v/>
      </c>
    </row>
    <row r="95">
      <c r="A95" s="180"/>
      <c r="B95" s="181"/>
      <c r="C95" s="182"/>
      <c r="D95" s="182"/>
      <c r="E95" s="185"/>
      <c r="F95" s="186"/>
      <c r="G95" s="187"/>
      <c r="H95" s="186"/>
      <c r="I95" s="179" t="str">
        <f t="array" ref="I95">IF($F95&lt;&gt;"",XLOOKUP($F95,Productos!$A:$A,Productos!B:B,"Revisar"),"")</f>
        <v/>
      </c>
      <c r="J95" s="179" t="str">
        <f t="array" ref="J95">IF($F95&lt;&gt;"", XLOOKUP($F95,Productos!$A$2:$A1001,Productos!C$2:C1001,"")*$G95,"")</f>
        <v/>
      </c>
      <c r="K95" s="179" t="str">
        <f t="array" ref="K95">IF($F95&lt;&gt;"",XLOOKUP($F95,Productos!$A:$A,Productos!D:D,"Revisar"),"")</f>
        <v/>
      </c>
      <c r="L95" s="179" t="str">
        <f t="array" ref="L95">IF($F95&lt;&gt;"", XLOOKUP($F95,Productos!$A$2:$A1001,Productos!E$2:E1001,"")*$G95,"")</f>
        <v/>
      </c>
      <c r="M95" s="179" t="str">
        <f t="array" ref="M95">IF($F95&lt;&gt;"",XLOOKUP($F95,Productos!$A:$A,Productos!F:F,"Revisar"),"")</f>
        <v/>
      </c>
      <c r="N95" s="179" t="str">
        <f t="array" ref="N95">IF($F95&lt;&gt;"", XLOOKUP($F95,Productos!$A$2:$A1001,Productos!G$2:G1001,"")*$G95,"")</f>
        <v/>
      </c>
      <c r="O95" s="179" t="str">
        <f t="array" ref="O95">IF($F95&lt;&gt;"",XLOOKUP($F95,Productos!$A:$A,Productos!H:H,"Revisar"),"")</f>
        <v/>
      </c>
      <c r="P95" s="179" t="str">
        <f t="array" ref="P95">IF($F95&lt;&gt;"", XLOOKUP($F95,Productos!$A$2:$A1001,Productos!I$2:I1001,"")*$G95,"")</f>
        <v/>
      </c>
      <c r="Q95" s="179" t="str">
        <f t="array" ref="Q95">IF($F95&lt;&gt;"",XLOOKUP($F95,Productos!$A:$A,Productos!J:J,"Revisar"),"")</f>
        <v/>
      </c>
      <c r="R95" s="179" t="str">
        <f t="array" ref="R95">IF($F95&lt;&gt;"", XLOOKUP($F95,Productos!$A$2:$A1001,Productos!K$2:K1001,"")*$G95,"")</f>
        <v/>
      </c>
      <c r="S95" s="179" t="str">
        <f t="array" ref="S95">IF($F95&lt;&gt;"",XLOOKUP($F95,Productos!$A:$A,Productos!L:L,"Revisar"),"")</f>
        <v/>
      </c>
      <c r="T95" s="179" t="str">
        <f t="array" ref="T95">IF($F95&lt;&gt;"", XLOOKUP($F95,Productos!$A$2:$A1001,Productos!M$2:M1001,"")*$G95,"")</f>
        <v/>
      </c>
      <c r="U95" s="179" t="str">
        <f t="array" ref="U95">IF($F95&lt;&gt;"",XLOOKUP($F95,Productos!$A:$A,Productos!N:N,"Revisar"),"")</f>
        <v/>
      </c>
      <c r="V95" s="179" t="str">
        <f t="array" ref="V95">IF($F95&lt;&gt;"", XLOOKUP($F95,Productos!$A$2:$A1001,Productos!O$2:O1001,"")*$G95,"")</f>
        <v/>
      </c>
      <c r="W95" s="179" t="str">
        <f t="array" ref="W95">IF($F95&lt;&gt;"",XLOOKUP($F95,Productos!$A:$A,Productos!P:P,"Revisar"),"")</f>
        <v/>
      </c>
      <c r="X95" s="179" t="str">
        <f t="array" ref="X95">IF($F95&lt;&gt;"", XLOOKUP($F95,Productos!$A$2:$A1001,Productos!Q$2:Q1001,"")*$G95,"")</f>
        <v/>
      </c>
      <c r="Y95" s="179" t="str">
        <f t="array" ref="Y95">IF($F95&lt;&gt;"",XLOOKUP($F95,Productos!$A:$A,Productos!R:R,"Revisar"),"")</f>
        <v/>
      </c>
      <c r="Z95" s="179" t="str">
        <f t="array" ref="Z95">IF($F95&lt;&gt;"", XLOOKUP($F95,Productos!$A$2:$A1001,Productos!S$2:S1001,"")*$G95,"")</f>
        <v/>
      </c>
      <c r="AA95" s="179" t="str">
        <f t="array" ref="AA95">IF($F95&lt;&gt;"",XLOOKUP($F95,Productos!$A:$A,Productos!T:T,"Revisar"),"")</f>
        <v/>
      </c>
      <c r="AB95" s="179" t="str">
        <f t="array" ref="AB95">IF($F95&lt;&gt;"", XLOOKUP($F95,Productos!$A$2:$A1001,Productos!U$2:U1001,"")*$G95,"")</f>
        <v/>
      </c>
      <c r="AC95" s="179" t="str">
        <f t="array" ref="AC95">IF($F95&lt;&gt;"",XLOOKUP($F95,Productos!$A:$A,Productos!V:V,"Revisar"),"")</f>
        <v/>
      </c>
      <c r="AD95" s="179" t="str">
        <f t="array" ref="AD95">IF($F95&lt;&gt;"", XLOOKUP($F95,Productos!$A$2:$A1001,Productos!W$2:W1001,"")*$G95,"")</f>
        <v/>
      </c>
      <c r="AE95" s="179" t="str">
        <f t="array" ref="AE95">IF($F95&lt;&gt;"",XLOOKUP($F95,Productos!$A:$A,Productos!X:X,"Revisar"),"")</f>
        <v/>
      </c>
      <c r="AF95" s="179" t="str">
        <f t="array" ref="AF95">IF($F95&lt;&gt;"", XLOOKUP($F95,Productos!$A$2:$A1001,Productos!Y$2:Y1001,"")*$G95,"")</f>
        <v/>
      </c>
      <c r="AG95" s="179" t="str">
        <f t="array" ref="AG95">IF($F95&lt;&gt;"",XLOOKUP($F95,Productos!$A:$A,Productos!Z:Z,"Revisar"),"")</f>
        <v/>
      </c>
      <c r="AH95" s="179" t="str">
        <f t="array" ref="AH95">IF($F95&lt;&gt;"", XLOOKUP($F95,Productos!$A$2:$A1001,Productos!AA$2:AA1001,"")*$G95,"")</f>
        <v/>
      </c>
      <c r="AI95" s="179" t="str">
        <f t="array" ref="AI95">IF($F95&lt;&gt;"",XLOOKUP($F95,Productos!$A:$A,Productos!AB:AB,"Revisar"),"")</f>
        <v/>
      </c>
      <c r="AJ95" s="179" t="str">
        <f t="array" ref="AJ95">IF($F95&lt;&gt;"", XLOOKUP($F95,Productos!$A$2:$A1001,Productos!AC$2:AC1001,"")*$G95,"")</f>
        <v/>
      </c>
      <c r="AK95" s="179" t="str">
        <f t="array" ref="AK95">IF($F95&lt;&gt;"",XLOOKUP($F95,Productos!$A:$A,Productos!AD:AD,"Revisar"),"")</f>
        <v/>
      </c>
      <c r="AL95" s="179" t="str">
        <f t="array" ref="AL95">IF($F95&lt;&gt;"", XLOOKUP($F95,Productos!$A$2:$A1001,Productos!AE$2:AE1001,"")*$G95,"")</f>
        <v/>
      </c>
      <c r="AM95" s="179" t="str">
        <f t="array" ref="AM95">IF($F95&lt;&gt;"",XLOOKUP($F95,Productos!$A:$A,Productos!AF:AF,"Revisar"),"")</f>
        <v/>
      </c>
      <c r="AN95" s="179" t="str">
        <f t="array" ref="AN95">IF($F95&lt;&gt;"", XLOOKUP($F95,Productos!$A$2:$A1001,Productos!AG$2:AG1001,"")*$G95,"")</f>
        <v/>
      </c>
      <c r="AO95" s="179" t="str">
        <f t="array" ref="AO95">IF($F95&lt;&gt;"",XLOOKUP($F95,Productos!$A:$A,Productos!AH:AH,"Revisar"),"")</f>
        <v/>
      </c>
      <c r="AP95" s="179" t="str">
        <f t="array" ref="AP95">IF($F95&lt;&gt;"", XLOOKUP($F95,Productos!$A$2:$A1001,Productos!AI$2:AI1001,"")*$G95,"")</f>
        <v/>
      </c>
      <c r="AQ95" s="179" t="str">
        <f t="array" ref="AQ95">IF($F95&lt;&gt;"",XLOOKUP($F95,Productos!$A:$A,Productos!AJ:AJ,"Revisar"),"")</f>
        <v/>
      </c>
      <c r="AR95" s="179" t="str">
        <f t="array" ref="AR95">IF($F95&lt;&gt;"", XLOOKUP($F95,Productos!$A$2:$A1001,Productos!AK$2:AK1001,"")*$G95,"")</f>
        <v/>
      </c>
      <c r="AS95" s="179" t="str">
        <f t="array" ref="AS95">IF($F95&lt;&gt;"",XLOOKUP($F95,Productos!$A:$A,Productos!AL:AL,"Revisar"),"")</f>
        <v/>
      </c>
      <c r="AT95" s="179" t="str">
        <f t="array" ref="AT95">IF($F95&lt;&gt;"", XLOOKUP($F95,Productos!$A$2:$A1001,Productos!AM$2:AM1001,"")*$G95,"")</f>
        <v/>
      </c>
      <c r="AU95" s="179" t="str">
        <f t="array" ref="AU95">IF($F95&lt;&gt;"",XLOOKUP($F95,Productos!$A:$A,Productos!AN:AN,"Revisar"),"")</f>
        <v/>
      </c>
      <c r="AV95" s="179" t="str">
        <f t="array" ref="AV95">IF($F95&lt;&gt;"", XLOOKUP($F95,Productos!$A$2:$A1001,Productos!AO$2:AO1001,"")*$G95,"")</f>
        <v/>
      </c>
      <c r="AW95" s="179" t="str">
        <f t="array" ref="AW95">IF($F95&lt;&gt;"",XLOOKUP($F95,Productos!$A:$A,Productos!AP:AP,"Revisar"),"")</f>
        <v/>
      </c>
      <c r="AX95" s="179" t="str">
        <f t="array" ref="AX95">IF($F95&lt;&gt;"", XLOOKUP($F95,Productos!$A$2:$A1001,Productos!AQ$2:AQ1001,"")*$G95,"")</f>
        <v/>
      </c>
      <c r="AY95" s="179" t="str">
        <f t="array" ref="AY95">IF($F95&lt;&gt;"",XLOOKUP($F95,Productos!$A:$A,Productos!AR:AR,"Revisar"),"")</f>
        <v/>
      </c>
      <c r="AZ95" s="179" t="str">
        <f t="array" ref="AZ95">IF($F95&lt;&gt;"", XLOOKUP($F95,Productos!$A$2:$A1001,Productos!AS$2:AS1001,"")*$G95,"")</f>
        <v/>
      </c>
      <c r="BA95" s="179" t="str">
        <f t="array" ref="BA95">IF($F95&lt;&gt;"",XLOOKUP($F95,Productos!$A:$A,Productos!AT:AT,"Revisar"),"")</f>
        <v/>
      </c>
      <c r="BB95" s="179" t="str">
        <f t="array" ref="BB95">IF($F95&lt;&gt;"", XLOOKUP($F95,Productos!$A$2:$A1001,Productos!AU$2:AU1001,"")*$G95,"")</f>
        <v/>
      </c>
      <c r="BC95" s="179" t="str">
        <f t="array" ref="BC95">IF($F95&lt;&gt;"",XLOOKUP($F95,Productos!$A:$A,Productos!AV:AV,"Revisar"),"")</f>
        <v/>
      </c>
      <c r="BD95" s="179" t="str">
        <f t="array" ref="BD95">IF($F95&lt;&gt;"", XLOOKUP($F95,Productos!$A$2:$A1001,Productos!AW$2:AW1001,"")*$G95,"")</f>
        <v/>
      </c>
      <c r="BE95" s="179" t="str">
        <f t="array" ref="BE95">IF($F95&lt;&gt;"",XLOOKUP($F95,Productos!$A:$A,Productos!AX:AX,"Revisar"),"")</f>
        <v/>
      </c>
      <c r="BF95" s="179" t="str">
        <f t="array" ref="BF95">IF($F95&lt;&gt;"", XLOOKUP($F95,Productos!$A$2:$A1001,Productos!AY$2:AY1001,"")*$G95,"")</f>
        <v/>
      </c>
      <c r="BG95" s="179" t="str">
        <f t="array" ref="BG95">IF($F95&lt;&gt;"",XLOOKUP($F95,Productos!$A:$A,Productos!AZ:AZ,"Revisar"),"")</f>
        <v/>
      </c>
      <c r="BH95" s="179" t="str">
        <f t="array" ref="BH95">IF($F95&lt;&gt;"", XLOOKUP($F95,Productos!$A$2:$A1001,Productos!BA$2:BA1001,"")*$G95,"")</f>
        <v/>
      </c>
      <c r="BI95" s="179" t="str">
        <f t="array" ref="BI95">IF($F95&lt;&gt;"",XLOOKUP($F95,Productos!$A:$A,Productos!BB:BB,"Revisar"),"")</f>
        <v/>
      </c>
      <c r="BJ95" s="179" t="str">
        <f t="array" ref="BJ95">IF($F95&lt;&gt;"", XLOOKUP($F95,Productos!$A$2:$A1001,Productos!BC$2:BC1001,"")*$G95,"")</f>
        <v/>
      </c>
      <c r="BK95" s="179" t="str">
        <f t="array" ref="BK95">IF($F95&lt;&gt;"",XLOOKUP($F95,Productos!$A:$A,Productos!BD:BD,"Revisar"),"")</f>
        <v/>
      </c>
      <c r="BL95" s="179" t="str">
        <f t="array" ref="BL95">IF($F95&lt;&gt;"", XLOOKUP($F95,Productos!$A$2:$A1001,Productos!BE$2:BE1001,"")*$G95,"")</f>
        <v/>
      </c>
      <c r="BM95" s="179" t="str">
        <f t="array" ref="BM95">IF($F95&lt;&gt;"",XLOOKUP($F95,Productos!$A:$A,Productos!BF:BF,"Revisar"),"")</f>
        <v/>
      </c>
      <c r="BN95" s="179" t="str">
        <f t="array" ref="BN95">IF($F95&lt;&gt;"", XLOOKUP($F95,Productos!$A$2:$A1001,Productos!BG$2:BG1001,"")*$G95,"")</f>
        <v/>
      </c>
      <c r="BO95" s="179" t="str">
        <f t="array" ref="BO95">IF($F95&lt;&gt;"",XLOOKUP($F95,Productos!$A:$A,Productos!BH:BH,"Revisar"),"")</f>
        <v/>
      </c>
      <c r="BP95" s="179" t="str">
        <f t="array" ref="BP95">IF($F95&lt;&gt;"", XLOOKUP($F95,Productos!$A$2:$A1001,Productos!BI$2:BI1001,"")*$G95,"")</f>
        <v/>
      </c>
      <c r="BQ95" s="179" t="str">
        <f t="array" ref="BQ95">IF($F95&lt;&gt;"",XLOOKUP($F95,Productos!$A:$A,Productos!BJ:BJ,"Revisar"),"")</f>
        <v/>
      </c>
      <c r="BR95" s="179" t="str">
        <f t="array" ref="BR95">IF($F95&lt;&gt;"", XLOOKUP($F95,Productos!$A$2:$A1001,Productos!BK$2:BK1001,"")*$G95,"")</f>
        <v/>
      </c>
      <c r="BS95" s="179" t="str">
        <f t="array" ref="BS95">IF($F95&lt;&gt;"",XLOOKUP($F95,Productos!$A:$A,Productos!BL:BL,"Revisar"),"")</f>
        <v/>
      </c>
      <c r="BT95" s="179" t="str">
        <f t="array" ref="BT95">IF($F95&lt;&gt;"", XLOOKUP($F95,Productos!$A$2:$A1001,Productos!BM$2:BM1001,"")*$G95,"")</f>
        <v/>
      </c>
      <c r="BU95" s="179" t="str">
        <f t="array" ref="BU95">IF($F95&lt;&gt;"",XLOOKUP($F95,Productos!$A:$A,Productos!BN:BN,"Revisar"),"")</f>
        <v/>
      </c>
      <c r="BV95" s="179" t="str">
        <f t="array" ref="BV95">IF($F95&lt;&gt;"", XLOOKUP($F95,Productos!$A$2:$A1001,Productos!BO$2:BO1001,"")*$G95,"")</f>
        <v/>
      </c>
      <c r="BW95" s="179" t="str">
        <f t="array" ref="BW95">IF($F95&lt;&gt;"",XLOOKUP($F95,Productos!$A:$A,Productos!BP:BP,"Revisar"),"")</f>
        <v/>
      </c>
      <c r="BX95" s="179" t="str">
        <f t="array" ref="BX95">IF($F95&lt;&gt;"", XLOOKUP($F95,Productos!$A$2:$A1001,Productos!BQ$2:BQ1001,"")*$G95,"")</f>
        <v/>
      </c>
      <c r="BY95" s="179" t="str">
        <f t="array" ref="BY95">IF($F95&lt;&gt;"",XLOOKUP($F95,Productos!$A:$A,Productos!BR:BR,"Revisar"),"")</f>
        <v/>
      </c>
      <c r="BZ95" s="179" t="str">
        <f t="array" ref="BZ95">IF($F95&lt;&gt;"", XLOOKUP($F95,Productos!$A$2:$A1001,Productos!BS$2:BS1001,"")*$G95,"")</f>
        <v/>
      </c>
    </row>
    <row r="96">
      <c r="A96" s="180"/>
      <c r="B96" s="181"/>
      <c r="C96" s="182"/>
      <c r="D96" s="182"/>
      <c r="E96" s="185"/>
      <c r="F96" s="186"/>
      <c r="G96" s="187"/>
      <c r="H96" s="186"/>
      <c r="I96" s="179" t="str">
        <f t="array" ref="I96">IF($F96&lt;&gt;"",XLOOKUP($F96,Productos!$A:$A,Productos!B:B,"Revisar"),"")</f>
        <v/>
      </c>
      <c r="J96" s="179" t="str">
        <f t="array" ref="J96">IF($F96&lt;&gt;"", XLOOKUP($F96,Productos!$A$2:$A1001,Productos!C$2:C1001,"")*$G96,"")</f>
        <v/>
      </c>
      <c r="K96" s="179" t="str">
        <f t="array" ref="K96">IF($F96&lt;&gt;"",XLOOKUP($F96,Productos!$A:$A,Productos!D:D,"Revisar"),"")</f>
        <v/>
      </c>
      <c r="L96" s="179" t="str">
        <f t="array" ref="L96">IF($F96&lt;&gt;"", XLOOKUP($F96,Productos!$A$2:$A1001,Productos!E$2:E1001,"")*$G96,"")</f>
        <v/>
      </c>
      <c r="M96" s="179" t="str">
        <f t="array" ref="M96">IF($F96&lt;&gt;"",XLOOKUP($F96,Productos!$A:$A,Productos!F:F,"Revisar"),"")</f>
        <v/>
      </c>
      <c r="N96" s="179" t="str">
        <f t="array" ref="N96">IF($F96&lt;&gt;"", XLOOKUP($F96,Productos!$A$2:$A1001,Productos!G$2:G1001,"")*$G96,"")</f>
        <v/>
      </c>
      <c r="O96" s="179" t="str">
        <f t="array" ref="O96">IF($F96&lt;&gt;"",XLOOKUP($F96,Productos!$A:$A,Productos!H:H,"Revisar"),"")</f>
        <v/>
      </c>
      <c r="P96" s="179" t="str">
        <f t="array" ref="P96">IF($F96&lt;&gt;"", XLOOKUP($F96,Productos!$A$2:$A1001,Productos!I$2:I1001,"")*$G96,"")</f>
        <v/>
      </c>
      <c r="Q96" s="179" t="str">
        <f t="array" ref="Q96">IF($F96&lt;&gt;"",XLOOKUP($F96,Productos!$A:$A,Productos!J:J,"Revisar"),"")</f>
        <v/>
      </c>
      <c r="R96" s="179" t="str">
        <f t="array" ref="R96">IF($F96&lt;&gt;"", XLOOKUP($F96,Productos!$A$2:$A1001,Productos!K$2:K1001,"")*$G96,"")</f>
        <v/>
      </c>
      <c r="S96" s="179" t="str">
        <f t="array" ref="S96">IF($F96&lt;&gt;"",XLOOKUP($F96,Productos!$A:$A,Productos!L:L,"Revisar"),"")</f>
        <v/>
      </c>
      <c r="T96" s="179" t="str">
        <f t="array" ref="T96">IF($F96&lt;&gt;"", XLOOKUP($F96,Productos!$A$2:$A1001,Productos!M$2:M1001,"")*$G96,"")</f>
        <v/>
      </c>
      <c r="U96" s="179" t="str">
        <f t="array" ref="U96">IF($F96&lt;&gt;"",XLOOKUP($F96,Productos!$A:$A,Productos!N:N,"Revisar"),"")</f>
        <v/>
      </c>
      <c r="V96" s="179" t="str">
        <f t="array" ref="V96">IF($F96&lt;&gt;"", XLOOKUP($F96,Productos!$A$2:$A1001,Productos!O$2:O1001,"")*$G96,"")</f>
        <v/>
      </c>
      <c r="W96" s="179" t="str">
        <f t="array" ref="W96">IF($F96&lt;&gt;"",XLOOKUP($F96,Productos!$A:$A,Productos!P:P,"Revisar"),"")</f>
        <v/>
      </c>
      <c r="X96" s="179" t="str">
        <f t="array" ref="X96">IF($F96&lt;&gt;"", XLOOKUP($F96,Productos!$A$2:$A1001,Productos!Q$2:Q1001,"")*$G96,"")</f>
        <v/>
      </c>
      <c r="Y96" s="179" t="str">
        <f t="array" ref="Y96">IF($F96&lt;&gt;"",XLOOKUP($F96,Productos!$A:$A,Productos!R:R,"Revisar"),"")</f>
        <v/>
      </c>
      <c r="Z96" s="179" t="str">
        <f t="array" ref="Z96">IF($F96&lt;&gt;"", XLOOKUP($F96,Productos!$A$2:$A1001,Productos!S$2:S1001,"")*$G96,"")</f>
        <v/>
      </c>
      <c r="AA96" s="179" t="str">
        <f t="array" ref="AA96">IF($F96&lt;&gt;"",XLOOKUP($F96,Productos!$A:$A,Productos!T:T,"Revisar"),"")</f>
        <v/>
      </c>
      <c r="AB96" s="179" t="str">
        <f t="array" ref="AB96">IF($F96&lt;&gt;"", XLOOKUP($F96,Productos!$A$2:$A1001,Productos!U$2:U1001,"")*$G96,"")</f>
        <v/>
      </c>
      <c r="AC96" s="179" t="str">
        <f t="array" ref="AC96">IF($F96&lt;&gt;"",XLOOKUP($F96,Productos!$A:$A,Productos!V:V,"Revisar"),"")</f>
        <v/>
      </c>
      <c r="AD96" s="179" t="str">
        <f t="array" ref="AD96">IF($F96&lt;&gt;"", XLOOKUP($F96,Productos!$A$2:$A1001,Productos!W$2:W1001,"")*$G96,"")</f>
        <v/>
      </c>
      <c r="AE96" s="179" t="str">
        <f t="array" ref="AE96">IF($F96&lt;&gt;"",XLOOKUP($F96,Productos!$A:$A,Productos!X:X,"Revisar"),"")</f>
        <v/>
      </c>
      <c r="AF96" s="179" t="str">
        <f t="array" ref="AF96">IF($F96&lt;&gt;"", XLOOKUP($F96,Productos!$A$2:$A1001,Productos!Y$2:Y1001,"")*$G96,"")</f>
        <v/>
      </c>
      <c r="AG96" s="179" t="str">
        <f t="array" ref="AG96">IF($F96&lt;&gt;"",XLOOKUP($F96,Productos!$A:$A,Productos!Z:Z,"Revisar"),"")</f>
        <v/>
      </c>
      <c r="AH96" s="179" t="str">
        <f t="array" ref="AH96">IF($F96&lt;&gt;"", XLOOKUP($F96,Productos!$A$2:$A1001,Productos!AA$2:AA1001,"")*$G96,"")</f>
        <v/>
      </c>
      <c r="AI96" s="179" t="str">
        <f t="array" ref="AI96">IF($F96&lt;&gt;"",XLOOKUP($F96,Productos!$A:$A,Productos!AB:AB,"Revisar"),"")</f>
        <v/>
      </c>
      <c r="AJ96" s="179" t="str">
        <f t="array" ref="AJ96">IF($F96&lt;&gt;"", XLOOKUP($F96,Productos!$A$2:$A1001,Productos!AC$2:AC1001,"")*$G96,"")</f>
        <v/>
      </c>
      <c r="AK96" s="179" t="str">
        <f t="array" ref="AK96">IF($F96&lt;&gt;"",XLOOKUP($F96,Productos!$A:$A,Productos!AD:AD,"Revisar"),"")</f>
        <v/>
      </c>
      <c r="AL96" s="179" t="str">
        <f t="array" ref="AL96">IF($F96&lt;&gt;"", XLOOKUP($F96,Productos!$A$2:$A1001,Productos!AE$2:AE1001,"")*$G96,"")</f>
        <v/>
      </c>
      <c r="AM96" s="179" t="str">
        <f t="array" ref="AM96">IF($F96&lt;&gt;"",XLOOKUP($F96,Productos!$A:$A,Productos!AF:AF,"Revisar"),"")</f>
        <v/>
      </c>
      <c r="AN96" s="179" t="str">
        <f t="array" ref="AN96">IF($F96&lt;&gt;"", XLOOKUP($F96,Productos!$A$2:$A1001,Productos!AG$2:AG1001,"")*$G96,"")</f>
        <v/>
      </c>
      <c r="AO96" s="179" t="str">
        <f t="array" ref="AO96">IF($F96&lt;&gt;"",XLOOKUP($F96,Productos!$A:$A,Productos!AH:AH,"Revisar"),"")</f>
        <v/>
      </c>
      <c r="AP96" s="179" t="str">
        <f t="array" ref="AP96">IF($F96&lt;&gt;"", XLOOKUP($F96,Productos!$A$2:$A1001,Productos!AI$2:AI1001,"")*$G96,"")</f>
        <v/>
      </c>
      <c r="AQ96" s="179" t="str">
        <f t="array" ref="AQ96">IF($F96&lt;&gt;"",XLOOKUP($F96,Productos!$A:$A,Productos!AJ:AJ,"Revisar"),"")</f>
        <v/>
      </c>
      <c r="AR96" s="179" t="str">
        <f t="array" ref="AR96">IF($F96&lt;&gt;"", XLOOKUP($F96,Productos!$A$2:$A1001,Productos!AK$2:AK1001,"")*$G96,"")</f>
        <v/>
      </c>
      <c r="AS96" s="179" t="str">
        <f t="array" ref="AS96">IF($F96&lt;&gt;"",XLOOKUP($F96,Productos!$A:$A,Productos!AL:AL,"Revisar"),"")</f>
        <v/>
      </c>
      <c r="AT96" s="179" t="str">
        <f t="array" ref="AT96">IF($F96&lt;&gt;"", XLOOKUP($F96,Productos!$A$2:$A1001,Productos!AM$2:AM1001,"")*$G96,"")</f>
        <v/>
      </c>
      <c r="AU96" s="179" t="str">
        <f t="array" ref="AU96">IF($F96&lt;&gt;"",XLOOKUP($F96,Productos!$A:$A,Productos!AN:AN,"Revisar"),"")</f>
        <v/>
      </c>
      <c r="AV96" s="179" t="str">
        <f t="array" ref="AV96">IF($F96&lt;&gt;"", XLOOKUP($F96,Productos!$A$2:$A1001,Productos!AO$2:AO1001,"")*$G96,"")</f>
        <v/>
      </c>
      <c r="AW96" s="179" t="str">
        <f t="array" ref="AW96">IF($F96&lt;&gt;"",XLOOKUP($F96,Productos!$A:$A,Productos!AP:AP,"Revisar"),"")</f>
        <v/>
      </c>
      <c r="AX96" s="179" t="str">
        <f t="array" ref="AX96">IF($F96&lt;&gt;"", XLOOKUP($F96,Productos!$A$2:$A1001,Productos!AQ$2:AQ1001,"")*$G96,"")</f>
        <v/>
      </c>
      <c r="AY96" s="179" t="str">
        <f t="array" ref="AY96">IF($F96&lt;&gt;"",XLOOKUP($F96,Productos!$A:$A,Productos!AR:AR,"Revisar"),"")</f>
        <v/>
      </c>
      <c r="AZ96" s="179" t="str">
        <f t="array" ref="AZ96">IF($F96&lt;&gt;"", XLOOKUP($F96,Productos!$A$2:$A1001,Productos!AS$2:AS1001,"")*$G96,"")</f>
        <v/>
      </c>
      <c r="BA96" s="179" t="str">
        <f t="array" ref="BA96">IF($F96&lt;&gt;"",XLOOKUP($F96,Productos!$A:$A,Productos!AT:AT,"Revisar"),"")</f>
        <v/>
      </c>
      <c r="BB96" s="179" t="str">
        <f t="array" ref="BB96">IF($F96&lt;&gt;"", XLOOKUP($F96,Productos!$A$2:$A1001,Productos!AU$2:AU1001,"")*$G96,"")</f>
        <v/>
      </c>
      <c r="BC96" s="179" t="str">
        <f t="array" ref="BC96">IF($F96&lt;&gt;"",XLOOKUP($F96,Productos!$A:$A,Productos!AV:AV,"Revisar"),"")</f>
        <v/>
      </c>
      <c r="BD96" s="179" t="str">
        <f t="array" ref="BD96">IF($F96&lt;&gt;"", XLOOKUP($F96,Productos!$A$2:$A1001,Productos!AW$2:AW1001,"")*$G96,"")</f>
        <v/>
      </c>
      <c r="BE96" s="179" t="str">
        <f t="array" ref="BE96">IF($F96&lt;&gt;"",XLOOKUP($F96,Productos!$A:$A,Productos!AX:AX,"Revisar"),"")</f>
        <v/>
      </c>
      <c r="BF96" s="179" t="str">
        <f t="array" ref="BF96">IF($F96&lt;&gt;"", XLOOKUP($F96,Productos!$A$2:$A1001,Productos!AY$2:AY1001,"")*$G96,"")</f>
        <v/>
      </c>
      <c r="BG96" s="179" t="str">
        <f t="array" ref="BG96">IF($F96&lt;&gt;"",XLOOKUP($F96,Productos!$A:$A,Productos!AZ:AZ,"Revisar"),"")</f>
        <v/>
      </c>
      <c r="BH96" s="179" t="str">
        <f t="array" ref="BH96">IF($F96&lt;&gt;"", XLOOKUP($F96,Productos!$A$2:$A1001,Productos!BA$2:BA1001,"")*$G96,"")</f>
        <v/>
      </c>
      <c r="BI96" s="179" t="str">
        <f t="array" ref="BI96">IF($F96&lt;&gt;"",XLOOKUP($F96,Productos!$A:$A,Productos!BB:BB,"Revisar"),"")</f>
        <v/>
      </c>
      <c r="BJ96" s="179" t="str">
        <f t="array" ref="BJ96">IF($F96&lt;&gt;"", XLOOKUP($F96,Productos!$A$2:$A1001,Productos!BC$2:BC1001,"")*$G96,"")</f>
        <v/>
      </c>
      <c r="BK96" s="179" t="str">
        <f t="array" ref="BK96">IF($F96&lt;&gt;"",XLOOKUP($F96,Productos!$A:$A,Productos!BD:BD,"Revisar"),"")</f>
        <v/>
      </c>
      <c r="BL96" s="179" t="str">
        <f t="array" ref="BL96">IF($F96&lt;&gt;"", XLOOKUP($F96,Productos!$A$2:$A1001,Productos!BE$2:BE1001,"")*$G96,"")</f>
        <v/>
      </c>
      <c r="BM96" s="179" t="str">
        <f t="array" ref="BM96">IF($F96&lt;&gt;"",XLOOKUP($F96,Productos!$A:$A,Productos!BF:BF,"Revisar"),"")</f>
        <v/>
      </c>
      <c r="BN96" s="179" t="str">
        <f t="array" ref="BN96">IF($F96&lt;&gt;"", XLOOKUP($F96,Productos!$A$2:$A1001,Productos!BG$2:BG1001,"")*$G96,"")</f>
        <v/>
      </c>
      <c r="BO96" s="179" t="str">
        <f t="array" ref="BO96">IF($F96&lt;&gt;"",XLOOKUP($F96,Productos!$A:$A,Productos!BH:BH,"Revisar"),"")</f>
        <v/>
      </c>
      <c r="BP96" s="179" t="str">
        <f t="array" ref="BP96">IF($F96&lt;&gt;"", XLOOKUP($F96,Productos!$A$2:$A1001,Productos!BI$2:BI1001,"")*$G96,"")</f>
        <v/>
      </c>
      <c r="BQ96" s="179" t="str">
        <f t="array" ref="BQ96">IF($F96&lt;&gt;"",XLOOKUP($F96,Productos!$A:$A,Productos!BJ:BJ,"Revisar"),"")</f>
        <v/>
      </c>
      <c r="BR96" s="179" t="str">
        <f t="array" ref="BR96">IF($F96&lt;&gt;"", XLOOKUP($F96,Productos!$A$2:$A1001,Productos!BK$2:BK1001,"")*$G96,"")</f>
        <v/>
      </c>
      <c r="BS96" s="179" t="str">
        <f t="array" ref="BS96">IF($F96&lt;&gt;"",XLOOKUP($F96,Productos!$A:$A,Productos!BL:BL,"Revisar"),"")</f>
        <v/>
      </c>
      <c r="BT96" s="179" t="str">
        <f t="array" ref="BT96">IF($F96&lt;&gt;"", XLOOKUP($F96,Productos!$A$2:$A1001,Productos!BM$2:BM1001,"")*$G96,"")</f>
        <v/>
      </c>
      <c r="BU96" s="179" t="str">
        <f t="array" ref="BU96">IF($F96&lt;&gt;"",XLOOKUP($F96,Productos!$A:$A,Productos!BN:BN,"Revisar"),"")</f>
        <v/>
      </c>
      <c r="BV96" s="179" t="str">
        <f t="array" ref="BV96">IF($F96&lt;&gt;"", XLOOKUP($F96,Productos!$A$2:$A1001,Productos!BO$2:BO1001,"")*$G96,"")</f>
        <v/>
      </c>
      <c r="BW96" s="179" t="str">
        <f t="array" ref="BW96">IF($F96&lt;&gt;"",XLOOKUP($F96,Productos!$A:$A,Productos!BP:BP,"Revisar"),"")</f>
        <v/>
      </c>
      <c r="BX96" s="179" t="str">
        <f t="array" ref="BX96">IF($F96&lt;&gt;"", XLOOKUP($F96,Productos!$A$2:$A1001,Productos!BQ$2:BQ1001,"")*$G96,"")</f>
        <v/>
      </c>
      <c r="BY96" s="179" t="str">
        <f t="array" ref="BY96">IF($F96&lt;&gt;"",XLOOKUP($F96,Productos!$A:$A,Productos!BR:BR,"Revisar"),"")</f>
        <v/>
      </c>
      <c r="BZ96" s="179" t="str">
        <f t="array" ref="BZ96">IF($F96&lt;&gt;"", XLOOKUP($F96,Productos!$A$2:$A1001,Productos!BS$2:BS1001,"")*$G96,"")</f>
        <v/>
      </c>
    </row>
    <row r="97">
      <c r="A97" s="180"/>
      <c r="B97" s="181"/>
      <c r="C97" s="182"/>
      <c r="D97" s="182"/>
      <c r="E97" s="185"/>
      <c r="F97" s="186"/>
      <c r="G97" s="187"/>
      <c r="H97" s="186"/>
      <c r="I97" s="179" t="str">
        <f t="array" ref="I97">IF($F97&lt;&gt;"",XLOOKUP($F97,Productos!$A:$A,Productos!B:B,"Revisar"),"")</f>
        <v/>
      </c>
      <c r="J97" s="179" t="str">
        <f t="array" ref="J97">IF($F97&lt;&gt;"", XLOOKUP($F97,Productos!$A$2:$A1001,Productos!C$2:C1001,"")*$G97,"")</f>
        <v/>
      </c>
      <c r="K97" s="179" t="str">
        <f t="array" ref="K97">IF($F97&lt;&gt;"",XLOOKUP($F97,Productos!$A:$A,Productos!D:D,"Revisar"),"")</f>
        <v/>
      </c>
      <c r="L97" s="179" t="str">
        <f t="array" ref="L97">IF($F97&lt;&gt;"", XLOOKUP($F97,Productos!$A$2:$A1001,Productos!E$2:E1001,"")*$G97,"")</f>
        <v/>
      </c>
      <c r="M97" s="179" t="str">
        <f t="array" ref="M97">IF($F97&lt;&gt;"",XLOOKUP($F97,Productos!$A:$A,Productos!F:F,"Revisar"),"")</f>
        <v/>
      </c>
      <c r="N97" s="179" t="str">
        <f t="array" ref="N97">IF($F97&lt;&gt;"", XLOOKUP($F97,Productos!$A$2:$A1001,Productos!G$2:G1001,"")*$G97,"")</f>
        <v/>
      </c>
      <c r="O97" s="179" t="str">
        <f t="array" ref="O97">IF($F97&lt;&gt;"",XLOOKUP($F97,Productos!$A:$A,Productos!H:H,"Revisar"),"")</f>
        <v/>
      </c>
      <c r="P97" s="179" t="str">
        <f t="array" ref="P97">IF($F97&lt;&gt;"", XLOOKUP($F97,Productos!$A$2:$A1001,Productos!I$2:I1001,"")*$G97,"")</f>
        <v/>
      </c>
      <c r="Q97" s="179" t="str">
        <f t="array" ref="Q97">IF($F97&lt;&gt;"",XLOOKUP($F97,Productos!$A:$A,Productos!J:J,"Revisar"),"")</f>
        <v/>
      </c>
      <c r="R97" s="179" t="str">
        <f t="array" ref="R97">IF($F97&lt;&gt;"", XLOOKUP($F97,Productos!$A$2:$A1001,Productos!K$2:K1001,"")*$G97,"")</f>
        <v/>
      </c>
      <c r="S97" s="179" t="str">
        <f t="array" ref="S97">IF($F97&lt;&gt;"",XLOOKUP($F97,Productos!$A:$A,Productos!L:L,"Revisar"),"")</f>
        <v/>
      </c>
      <c r="T97" s="179" t="str">
        <f t="array" ref="T97">IF($F97&lt;&gt;"", XLOOKUP($F97,Productos!$A$2:$A1001,Productos!M$2:M1001,"")*$G97,"")</f>
        <v/>
      </c>
      <c r="U97" s="179" t="str">
        <f t="array" ref="U97">IF($F97&lt;&gt;"",XLOOKUP($F97,Productos!$A:$A,Productos!N:N,"Revisar"),"")</f>
        <v/>
      </c>
      <c r="V97" s="179" t="str">
        <f t="array" ref="V97">IF($F97&lt;&gt;"", XLOOKUP($F97,Productos!$A$2:$A1001,Productos!O$2:O1001,"")*$G97,"")</f>
        <v/>
      </c>
      <c r="W97" s="179" t="str">
        <f t="array" ref="W97">IF($F97&lt;&gt;"",XLOOKUP($F97,Productos!$A:$A,Productos!P:P,"Revisar"),"")</f>
        <v/>
      </c>
      <c r="X97" s="179" t="str">
        <f t="array" ref="X97">IF($F97&lt;&gt;"", XLOOKUP($F97,Productos!$A$2:$A1001,Productos!Q$2:Q1001,"")*$G97,"")</f>
        <v/>
      </c>
      <c r="Y97" s="179" t="str">
        <f t="array" ref="Y97">IF($F97&lt;&gt;"",XLOOKUP($F97,Productos!$A:$A,Productos!R:R,"Revisar"),"")</f>
        <v/>
      </c>
      <c r="Z97" s="179" t="str">
        <f t="array" ref="Z97">IF($F97&lt;&gt;"", XLOOKUP($F97,Productos!$A$2:$A1001,Productos!S$2:S1001,"")*$G97,"")</f>
        <v/>
      </c>
      <c r="AA97" s="179" t="str">
        <f t="array" ref="AA97">IF($F97&lt;&gt;"",XLOOKUP($F97,Productos!$A:$A,Productos!T:T,"Revisar"),"")</f>
        <v/>
      </c>
      <c r="AB97" s="179" t="str">
        <f t="array" ref="AB97">IF($F97&lt;&gt;"", XLOOKUP($F97,Productos!$A$2:$A1001,Productos!U$2:U1001,"")*$G97,"")</f>
        <v/>
      </c>
      <c r="AC97" s="179" t="str">
        <f t="array" ref="AC97">IF($F97&lt;&gt;"",XLOOKUP($F97,Productos!$A:$A,Productos!V:V,"Revisar"),"")</f>
        <v/>
      </c>
      <c r="AD97" s="179" t="str">
        <f t="array" ref="AD97">IF($F97&lt;&gt;"", XLOOKUP($F97,Productos!$A$2:$A1001,Productos!W$2:W1001,"")*$G97,"")</f>
        <v/>
      </c>
      <c r="AE97" s="179" t="str">
        <f t="array" ref="AE97">IF($F97&lt;&gt;"",XLOOKUP($F97,Productos!$A:$A,Productos!X:X,"Revisar"),"")</f>
        <v/>
      </c>
      <c r="AF97" s="179" t="str">
        <f t="array" ref="AF97">IF($F97&lt;&gt;"", XLOOKUP($F97,Productos!$A$2:$A1001,Productos!Y$2:Y1001,"")*$G97,"")</f>
        <v/>
      </c>
      <c r="AG97" s="179" t="str">
        <f t="array" ref="AG97">IF($F97&lt;&gt;"",XLOOKUP($F97,Productos!$A:$A,Productos!Z:Z,"Revisar"),"")</f>
        <v/>
      </c>
      <c r="AH97" s="179" t="str">
        <f t="array" ref="AH97">IF($F97&lt;&gt;"", XLOOKUP($F97,Productos!$A$2:$A1001,Productos!AA$2:AA1001,"")*$G97,"")</f>
        <v/>
      </c>
      <c r="AI97" s="179" t="str">
        <f t="array" ref="AI97">IF($F97&lt;&gt;"",XLOOKUP($F97,Productos!$A:$A,Productos!AB:AB,"Revisar"),"")</f>
        <v/>
      </c>
      <c r="AJ97" s="179" t="str">
        <f t="array" ref="AJ97">IF($F97&lt;&gt;"", XLOOKUP($F97,Productos!$A$2:$A1001,Productos!AC$2:AC1001,"")*$G97,"")</f>
        <v/>
      </c>
      <c r="AK97" s="179" t="str">
        <f t="array" ref="AK97">IF($F97&lt;&gt;"",XLOOKUP($F97,Productos!$A:$A,Productos!AD:AD,"Revisar"),"")</f>
        <v/>
      </c>
      <c r="AL97" s="179" t="str">
        <f t="array" ref="AL97">IF($F97&lt;&gt;"", XLOOKUP($F97,Productos!$A$2:$A1001,Productos!AE$2:AE1001,"")*$G97,"")</f>
        <v/>
      </c>
      <c r="AM97" s="179" t="str">
        <f t="array" ref="AM97">IF($F97&lt;&gt;"",XLOOKUP($F97,Productos!$A:$A,Productos!AF:AF,"Revisar"),"")</f>
        <v/>
      </c>
      <c r="AN97" s="179" t="str">
        <f t="array" ref="AN97">IF($F97&lt;&gt;"", XLOOKUP($F97,Productos!$A$2:$A1001,Productos!AG$2:AG1001,"")*$G97,"")</f>
        <v/>
      </c>
      <c r="AO97" s="179" t="str">
        <f t="array" ref="AO97">IF($F97&lt;&gt;"",XLOOKUP($F97,Productos!$A:$A,Productos!AH:AH,"Revisar"),"")</f>
        <v/>
      </c>
      <c r="AP97" s="179" t="str">
        <f t="array" ref="AP97">IF($F97&lt;&gt;"", XLOOKUP($F97,Productos!$A$2:$A1001,Productos!AI$2:AI1001,"")*$G97,"")</f>
        <v/>
      </c>
      <c r="AQ97" s="179" t="str">
        <f t="array" ref="AQ97">IF($F97&lt;&gt;"",XLOOKUP($F97,Productos!$A:$A,Productos!AJ:AJ,"Revisar"),"")</f>
        <v/>
      </c>
      <c r="AR97" s="179" t="str">
        <f t="array" ref="AR97">IF($F97&lt;&gt;"", XLOOKUP($F97,Productos!$A$2:$A1001,Productos!AK$2:AK1001,"")*$G97,"")</f>
        <v/>
      </c>
      <c r="AS97" s="179" t="str">
        <f t="array" ref="AS97">IF($F97&lt;&gt;"",XLOOKUP($F97,Productos!$A:$A,Productos!AL:AL,"Revisar"),"")</f>
        <v/>
      </c>
      <c r="AT97" s="179" t="str">
        <f t="array" ref="AT97">IF($F97&lt;&gt;"", XLOOKUP($F97,Productos!$A$2:$A1001,Productos!AM$2:AM1001,"")*$G97,"")</f>
        <v/>
      </c>
      <c r="AU97" s="179" t="str">
        <f t="array" ref="AU97">IF($F97&lt;&gt;"",XLOOKUP($F97,Productos!$A:$A,Productos!AN:AN,"Revisar"),"")</f>
        <v/>
      </c>
      <c r="AV97" s="179" t="str">
        <f t="array" ref="AV97">IF($F97&lt;&gt;"", XLOOKUP($F97,Productos!$A$2:$A1001,Productos!AO$2:AO1001,"")*$G97,"")</f>
        <v/>
      </c>
      <c r="AW97" s="179" t="str">
        <f t="array" ref="AW97">IF($F97&lt;&gt;"",XLOOKUP($F97,Productos!$A:$A,Productos!AP:AP,"Revisar"),"")</f>
        <v/>
      </c>
      <c r="AX97" s="179" t="str">
        <f t="array" ref="AX97">IF($F97&lt;&gt;"", XLOOKUP($F97,Productos!$A$2:$A1001,Productos!AQ$2:AQ1001,"")*$G97,"")</f>
        <v/>
      </c>
      <c r="AY97" s="179" t="str">
        <f t="array" ref="AY97">IF($F97&lt;&gt;"",XLOOKUP($F97,Productos!$A:$A,Productos!AR:AR,"Revisar"),"")</f>
        <v/>
      </c>
      <c r="AZ97" s="179" t="str">
        <f t="array" ref="AZ97">IF($F97&lt;&gt;"", XLOOKUP($F97,Productos!$A$2:$A1001,Productos!AS$2:AS1001,"")*$G97,"")</f>
        <v/>
      </c>
      <c r="BA97" s="179" t="str">
        <f t="array" ref="BA97">IF($F97&lt;&gt;"",XLOOKUP($F97,Productos!$A:$A,Productos!AT:AT,"Revisar"),"")</f>
        <v/>
      </c>
      <c r="BB97" s="179" t="str">
        <f t="array" ref="BB97">IF($F97&lt;&gt;"", XLOOKUP($F97,Productos!$A$2:$A1001,Productos!AU$2:AU1001,"")*$G97,"")</f>
        <v/>
      </c>
      <c r="BC97" s="179" t="str">
        <f t="array" ref="BC97">IF($F97&lt;&gt;"",XLOOKUP($F97,Productos!$A:$A,Productos!AV:AV,"Revisar"),"")</f>
        <v/>
      </c>
      <c r="BD97" s="179" t="str">
        <f t="array" ref="BD97">IF($F97&lt;&gt;"", XLOOKUP($F97,Productos!$A$2:$A1001,Productos!AW$2:AW1001,"")*$G97,"")</f>
        <v/>
      </c>
      <c r="BE97" s="179" t="str">
        <f t="array" ref="BE97">IF($F97&lt;&gt;"",XLOOKUP($F97,Productos!$A:$A,Productos!AX:AX,"Revisar"),"")</f>
        <v/>
      </c>
      <c r="BF97" s="179" t="str">
        <f t="array" ref="BF97">IF($F97&lt;&gt;"", XLOOKUP($F97,Productos!$A$2:$A1001,Productos!AY$2:AY1001,"")*$G97,"")</f>
        <v/>
      </c>
      <c r="BG97" s="179" t="str">
        <f t="array" ref="BG97">IF($F97&lt;&gt;"",XLOOKUP($F97,Productos!$A:$A,Productos!AZ:AZ,"Revisar"),"")</f>
        <v/>
      </c>
      <c r="BH97" s="179" t="str">
        <f t="array" ref="BH97">IF($F97&lt;&gt;"", XLOOKUP($F97,Productos!$A$2:$A1001,Productos!BA$2:BA1001,"")*$G97,"")</f>
        <v/>
      </c>
      <c r="BI97" s="179" t="str">
        <f t="array" ref="BI97">IF($F97&lt;&gt;"",XLOOKUP($F97,Productos!$A:$A,Productos!BB:BB,"Revisar"),"")</f>
        <v/>
      </c>
      <c r="BJ97" s="179" t="str">
        <f t="array" ref="BJ97">IF($F97&lt;&gt;"", XLOOKUP($F97,Productos!$A$2:$A1001,Productos!BC$2:BC1001,"")*$G97,"")</f>
        <v/>
      </c>
      <c r="BK97" s="179" t="str">
        <f t="array" ref="BK97">IF($F97&lt;&gt;"",XLOOKUP($F97,Productos!$A:$A,Productos!BD:BD,"Revisar"),"")</f>
        <v/>
      </c>
      <c r="BL97" s="179" t="str">
        <f t="array" ref="BL97">IF($F97&lt;&gt;"", XLOOKUP($F97,Productos!$A$2:$A1001,Productos!BE$2:BE1001,"")*$G97,"")</f>
        <v/>
      </c>
      <c r="BM97" s="179" t="str">
        <f t="array" ref="BM97">IF($F97&lt;&gt;"",XLOOKUP($F97,Productos!$A:$A,Productos!BF:BF,"Revisar"),"")</f>
        <v/>
      </c>
      <c r="BN97" s="179" t="str">
        <f t="array" ref="BN97">IF($F97&lt;&gt;"", XLOOKUP($F97,Productos!$A$2:$A1001,Productos!BG$2:BG1001,"")*$G97,"")</f>
        <v/>
      </c>
      <c r="BO97" s="179" t="str">
        <f t="array" ref="BO97">IF($F97&lt;&gt;"",XLOOKUP($F97,Productos!$A:$A,Productos!BH:BH,"Revisar"),"")</f>
        <v/>
      </c>
      <c r="BP97" s="179" t="str">
        <f t="array" ref="BP97">IF($F97&lt;&gt;"", XLOOKUP($F97,Productos!$A$2:$A1001,Productos!BI$2:BI1001,"")*$G97,"")</f>
        <v/>
      </c>
      <c r="BQ97" s="179" t="str">
        <f t="array" ref="BQ97">IF($F97&lt;&gt;"",XLOOKUP($F97,Productos!$A:$A,Productos!BJ:BJ,"Revisar"),"")</f>
        <v/>
      </c>
      <c r="BR97" s="179" t="str">
        <f t="array" ref="BR97">IF($F97&lt;&gt;"", XLOOKUP($F97,Productos!$A$2:$A1001,Productos!BK$2:BK1001,"")*$G97,"")</f>
        <v/>
      </c>
      <c r="BS97" s="179" t="str">
        <f t="array" ref="BS97">IF($F97&lt;&gt;"",XLOOKUP($F97,Productos!$A:$A,Productos!BL:BL,"Revisar"),"")</f>
        <v/>
      </c>
      <c r="BT97" s="179" t="str">
        <f t="array" ref="BT97">IF($F97&lt;&gt;"", XLOOKUP($F97,Productos!$A$2:$A1001,Productos!BM$2:BM1001,"")*$G97,"")</f>
        <v/>
      </c>
      <c r="BU97" s="179" t="str">
        <f t="array" ref="BU97">IF($F97&lt;&gt;"",XLOOKUP($F97,Productos!$A:$A,Productos!BN:BN,"Revisar"),"")</f>
        <v/>
      </c>
      <c r="BV97" s="179" t="str">
        <f t="array" ref="BV97">IF($F97&lt;&gt;"", XLOOKUP($F97,Productos!$A$2:$A1001,Productos!BO$2:BO1001,"")*$G97,"")</f>
        <v/>
      </c>
      <c r="BW97" s="179" t="str">
        <f t="array" ref="BW97">IF($F97&lt;&gt;"",XLOOKUP($F97,Productos!$A:$A,Productos!BP:BP,"Revisar"),"")</f>
        <v/>
      </c>
      <c r="BX97" s="179" t="str">
        <f t="array" ref="BX97">IF($F97&lt;&gt;"", XLOOKUP($F97,Productos!$A$2:$A1001,Productos!BQ$2:BQ1001,"")*$G97,"")</f>
        <v/>
      </c>
      <c r="BY97" s="179" t="str">
        <f t="array" ref="BY97">IF($F97&lt;&gt;"",XLOOKUP($F97,Productos!$A:$A,Productos!BR:BR,"Revisar"),"")</f>
        <v/>
      </c>
      <c r="BZ97" s="179" t="str">
        <f t="array" ref="BZ97">IF($F97&lt;&gt;"", XLOOKUP($F97,Productos!$A$2:$A1001,Productos!BS$2:BS1001,"")*$G97,"")</f>
        <v/>
      </c>
    </row>
    <row r="98">
      <c r="A98" s="180"/>
      <c r="B98" s="181"/>
      <c r="C98" s="182"/>
      <c r="D98" s="182"/>
      <c r="E98" s="185"/>
      <c r="F98" s="186"/>
      <c r="G98" s="187"/>
      <c r="H98" s="186"/>
      <c r="I98" s="179" t="str">
        <f t="array" ref="I98">IF($F98&lt;&gt;"",XLOOKUP($F98,Productos!$A:$A,Productos!B:B,"Revisar"),"")</f>
        <v/>
      </c>
      <c r="J98" s="179" t="str">
        <f t="array" ref="J98">IF($F98&lt;&gt;"", XLOOKUP($F98,Productos!$A$2:$A1001,Productos!C$2:C1001,"")*$G98,"")</f>
        <v/>
      </c>
      <c r="K98" s="179" t="str">
        <f t="array" ref="K98">IF($F98&lt;&gt;"",XLOOKUP($F98,Productos!$A:$A,Productos!D:D,"Revisar"),"")</f>
        <v/>
      </c>
      <c r="L98" s="179" t="str">
        <f t="array" ref="L98">IF($F98&lt;&gt;"", XLOOKUP($F98,Productos!$A$2:$A1001,Productos!E$2:E1001,"")*$G98,"")</f>
        <v/>
      </c>
      <c r="M98" s="179" t="str">
        <f t="array" ref="M98">IF($F98&lt;&gt;"",XLOOKUP($F98,Productos!$A:$A,Productos!F:F,"Revisar"),"")</f>
        <v/>
      </c>
      <c r="N98" s="179" t="str">
        <f t="array" ref="N98">IF($F98&lt;&gt;"", XLOOKUP($F98,Productos!$A$2:$A1001,Productos!G$2:G1001,"")*$G98,"")</f>
        <v/>
      </c>
      <c r="O98" s="179" t="str">
        <f t="array" ref="O98">IF($F98&lt;&gt;"",XLOOKUP($F98,Productos!$A:$A,Productos!H:H,"Revisar"),"")</f>
        <v/>
      </c>
      <c r="P98" s="179" t="str">
        <f t="array" ref="P98">IF($F98&lt;&gt;"", XLOOKUP($F98,Productos!$A$2:$A1001,Productos!I$2:I1001,"")*$G98,"")</f>
        <v/>
      </c>
      <c r="Q98" s="179" t="str">
        <f t="array" ref="Q98">IF($F98&lt;&gt;"",XLOOKUP($F98,Productos!$A:$A,Productos!J:J,"Revisar"),"")</f>
        <v/>
      </c>
      <c r="R98" s="179" t="str">
        <f t="array" ref="R98">IF($F98&lt;&gt;"", XLOOKUP($F98,Productos!$A$2:$A1001,Productos!K$2:K1001,"")*$G98,"")</f>
        <v/>
      </c>
      <c r="S98" s="179" t="str">
        <f t="array" ref="S98">IF($F98&lt;&gt;"",XLOOKUP($F98,Productos!$A:$A,Productos!L:L,"Revisar"),"")</f>
        <v/>
      </c>
      <c r="T98" s="179" t="str">
        <f t="array" ref="T98">IF($F98&lt;&gt;"", XLOOKUP($F98,Productos!$A$2:$A1001,Productos!M$2:M1001,"")*$G98,"")</f>
        <v/>
      </c>
      <c r="U98" s="179" t="str">
        <f t="array" ref="U98">IF($F98&lt;&gt;"",XLOOKUP($F98,Productos!$A:$A,Productos!N:N,"Revisar"),"")</f>
        <v/>
      </c>
      <c r="V98" s="179" t="str">
        <f t="array" ref="V98">IF($F98&lt;&gt;"", XLOOKUP($F98,Productos!$A$2:$A1001,Productos!O$2:O1001,"")*$G98,"")</f>
        <v/>
      </c>
      <c r="W98" s="179" t="str">
        <f t="array" ref="W98">IF($F98&lt;&gt;"",XLOOKUP($F98,Productos!$A:$A,Productos!P:P,"Revisar"),"")</f>
        <v/>
      </c>
      <c r="X98" s="179" t="str">
        <f t="array" ref="X98">IF($F98&lt;&gt;"", XLOOKUP($F98,Productos!$A$2:$A1001,Productos!Q$2:Q1001,"")*$G98,"")</f>
        <v/>
      </c>
      <c r="Y98" s="179" t="str">
        <f t="array" ref="Y98">IF($F98&lt;&gt;"",XLOOKUP($F98,Productos!$A:$A,Productos!R:R,"Revisar"),"")</f>
        <v/>
      </c>
      <c r="Z98" s="179" t="str">
        <f t="array" ref="Z98">IF($F98&lt;&gt;"", XLOOKUP($F98,Productos!$A$2:$A1001,Productos!S$2:S1001,"")*$G98,"")</f>
        <v/>
      </c>
      <c r="AA98" s="179" t="str">
        <f t="array" ref="AA98">IF($F98&lt;&gt;"",XLOOKUP($F98,Productos!$A:$A,Productos!T:T,"Revisar"),"")</f>
        <v/>
      </c>
      <c r="AB98" s="179" t="str">
        <f t="array" ref="AB98">IF($F98&lt;&gt;"", XLOOKUP($F98,Productos!$A$2:$A1001,Productos!U$2:U1001,"")*$G98,"")</f>
        <v/>
      </c>
      <c r="AC98" s="179" t="str">
        <f t="array" ref="AC98">IF($F98&lt;&gt;"",XLOOKUP($F98,Productos!$A:$A,Productos!V:V,"Revisar"),"")</f>
        <v/>
      </c>
      <c r="AD98" s="179" t="str">
        <f t="array" ref="AD98">IF($F98&lt;&gt;"", XLOOKUP($F98,Productos!$A$2:$A1001,Productos!W$2:W1001,"")*$G98,"")</f>
        <v/>
      </c>
      <c r="AE98" s="179" t="str">
        <f t="array" ref="AE98">IF($F98&lt;&gt;"",XLOOKUP($F98,Productos!$A:$A,Productos!X:X,"Revisar"),"")</f>
        <v/>
      </c>
      <c r="AF98" s="179" t="str">
        <f t="array" ref="AF98">IF($F98&lt;&gt;"", XLOOKUP($F98,Productos!$A$2:$A1001,Productos!Y$2:Y1001,"")*$G98,"")</f>
        <v/>
      </c>
      <c r="AG98" s="179" t="str">
        <f t="array" ref="AG98">IF($F98&lt;&gt;"",XLOOKUP($F98,Productos!$A:$A,Productos!Z:Z,"Revisar"),"")</f>
        <v/>
      </c>
      <c r="AH98" s="179" t="str">
        <f t="array" ref="AH98">IF($F98&lt;&gt;"", XLOOKUP($F98,Productos!$A$2:$A1001,Productos!AA$2:AA1001,"")*$G98,"")</f>
        <v/>
      </c>
      <c r="AI98" s="179" t="str">
        <f t="array" ref="AI98">IF($F98&lt;&gt;"",XLOOKUP($F98,Productos!$A:$A,Productos!AB:AB,"Revisar"),"")</f>
        <v/>
      </c>
      <c r="AJ98" s="179" t="str">
        <f t="array" ref="AJ98">IF($F98&lt;&gt;"", XLOOKUP($F98,Productos!$A$2:$A1001,Productos!AC$2:AC1001,"")*$G98,"")</f>
        <v/>
      </c>
      <c r="AK98" s="179" t="str">
        <f t="array" ref="AK98">IF($F98&lt;&gt;"",XLOOKUP($F98,Productos!$A:$A,Productos!AD:AD,"Revisar"),"")</f>
        <v/>
      </c>
      <c r="AL98" s="179" t="str">
        <f t="array" ref="AL98">IF($F98&lt;&gt;"", XLOOKUP($F98,Productos!$A$2:$A1001,Productos!AE$2:AE1001,"")*$G98,"")</f>
        <v/>
      </c>
      <c r="AM98" s="179" t="str">
        <f t="array" ref="AM98">IF($F98&lt;&gt;"",XLOOKUP($F98,Productos!$A:$A,Productos!AF:AF,"Revisar"),"")</f>
        <v/>
      </c>
      <c r="AN98" s="179" t="str">
        <f t="array" ref="AN98">IF($F98&lt;&gt;"", XLOOKUP($F98,Productos!$A$2:$A1001,Productos!AG$2:AG1001,"")*$G98,"")</f>
        <v/>
      </c>
      <c r="AO98" s="179" t="str">
        <f t="array" ref="AO98">IF($F98&lt;&gt;"",XLOOKUP($F98,Productos!$A:$A,Productos!AH:AH,"Revisar"),"")</f>
        <v/>
      </c>
      <c r="AP98" s="179" t="str">
        <f t="array" ref="AP98">IF($F98&lt;&gt;"", XLOOKUP($F98,Productos!$A$2:$A1001,Productos!AI$2:AI1001,"")*$G98,"")</f>
        <v/>
      </c>
      <c r="AQ98" s="179" t="str">
        <f t="array" ref="AQ98">IF($F98&lt;&gt;"",XLOOKUP($F98,Productos!$A:$A,Productos!AJ:AJ,"Revisar"),"")</f>
        <v/>
      </c>
      <c r="AR98" s="179" t="str">
        <f t="array" ref="AR98">IF($F98&lt;&gt;"", XLOOKUP($F98,Productos!$A$2:$A1001,Productos!AK$2:AK1001,"")*$G98,"")</f>
        <v/>
      </c>
      <c r="AS98" s="179" t="str">
        <f t="array" ref="AS98">IF($F98&lt;&gt;"",XLOOKUP($F98,Productos!$A:$A,Productos!AL:AL,"Revisar"),"")</f>
        <v/>
      </c>
      <c r="AT98" s="179" t="str">
        <f t="array" ref="AT98">IF($F98&lt;&gt;"", XLOOKUP($F98,Productos!$A$2:$A1001,Productos!AM$2:AM1001,"")*$G98,"")</f>
        <v/>
      </c>
      <c r="AU98" s="179" t="str">
        <f t="array" ref="AU98">IF($F98&lt;&gt;"",XLOOKUP($F98,Productos!$A:$A,Productos!AN:AN,"Revisar"),"")</f>
        <v/>
      </c>
      <c r="AV98" s="179" t="str">
        <f t="array" ref="AV98">IF($F98&lt;&gt;"", XLOOKUP($F98,Productos!$A$2:$A1001,Productos!AO$2:AO1001,"")*$G98,"")</f>
        <v/>
      </c>
      <c r="AW98" s="179" t="str">
        <f t="array" ref="AW98">IF($F98&lt;&gt;"",XLOOKUP($F98,Productos!$A:$A,Productos!AP:AP,"Revisar"),"")</f>
        <v/>
      </c>
      <c r="AX98" s="179" t="str">
        <f t="array" ref="AX98">IF($F98&lt;&gt;"", XLOOKUP($F98,Productos!$A$2:$A1001,Productos!AQ$2:AQ1001,"")*$G98,"")</f>
        <v/>
      </c>
      <c r="AY98" s="179" t="str">
        <f t="array" ref="AY98">IF($F98&lt;&gt;"",XLOOKUP($F98,Productos!$A:$A,Productos!AR:AR,"Revisar"),"")</f>
        <v/>
      </c>
      <c r="AZ98" s="179" t="str">
        <f t="array" ref="AZ98">IF($F98&lt;&gt;"", XLOOKUP($F98,Productos!$A$2:$A1001,Productos!AS$2:AS1001,"")*$G98,"")</f>
        <v/>
      </c>
      <c r="BA98" s="179" t="str">
        <f t="array" ref="BA98">IF($F98&lt;&gt;"",XLOOKUP($F98,Productos!$A:$A,Productos!AT:AT,"Revisar"),"")</f>
        <v/>
      </c>
      <c r="BB98" s="179" t="str">
        <f t="array" ref="BB98">IF($F98&lt;&gt;"", XLOOKUP($F98,Productos!$A$2:$A1001,Productos!AU$2:AU1001,"")*$G98,"")</f>
        <v/>
      </c>
      <c r="BC98" s="179" t="str">
        <f t="array" ref="BC98">IF($F98&lt;&gt;"",XLOOKUP($F98,Productos!$A:$A,Productos!AV:AV,"Revisar"),"")</f>
        <v/>
      </c>
      <c r="BD98" s="179" t="str">
        <f t="array" ref="BD98">IF($F98&lt;&gt;"", XLOOKUP($F98,Productos!$A$2:$A1001,Productos!AW$2:AW1001,"")*$G98,"")</f>
        <v/>
      </c>
      <c r="BE98" s="179" t="str">
        <f t="array" ref="BE98">IF($F98&lt;&gt;"",XLOOKUP($F98,Productos!$A:$A,Productos!AX:AX,"Revisar"),"")</f>
        <v/>
      </c>
      <c r="BF98" s="179" t="str">
        <f t="array" ref="BF98">IF($F98&lt;&gt;"", XLOOKUP($F98,Productos!$A$2:$A1001,Productos!AY$2:AY1001,"")*$G98,"")</f>
        <v/>
      </c>
      <c r="BG98" s="179" t="str">
        <f t="array" ref="BG98">IF($F98&lt;&gt;"",XLOOKUP($F98,Productos!$A:$A,Productos!AZ:AZ,"Revisar"),"")</f>
        <v/>
      </c>
      <c r="BH98" s="179" t="str">
        <f t="array" ref="BH98">IF($F98&lt;&gt;"", XLOOKUP($F98,Productos!$A$2:$A1001,Productos!BA$2:BA1001,"")*$G98,"")</f>
        <v/>
      </c>
      <c r="BI98" s="179" t="str">
        <f t="array" ref="BI98">IF($F98&lt;&gt;"",XLOOKUP($F98,Productos!$A:$A,Productos!BB:BB,"Revisar"),"")</f>
        <v/>
      </c>
      <c r="BJ98" s="179" t="str">
        <f t="array" ref="BJ98">IF($F98&lt;&gt;"", XLOOKUP($F98,Productos!$A$2:$A1001,Productos!BC$2:BC1001,"")*$G98,"")</f>
        <v/>
      </c>
      <c r="BK98" s="179" t="str">
        <f t="array" ref="BK98">IF($F98&lt;&gt;"",XLOOKUP($F98,Productos!$A:$A,Productos!BD:BD,"Revisar"),"")</f>
        <v/>
      </c>
      <c r="BL98" s="179" t="str">
        <f t="array" ref="BL98">IF($F98&lt;&gt;"", XLOOKUP($F98,Productos!$A$2:$A1001,Productos!BE$2:BE1001,"")*$G98,"")</f>
        <v/>
      </c>
      <c r="BM98" s="179" t="str">
        <f t="array" ref="BM98">IF($F98&lt;&gt;"",XLOOKUP($F98,Productos!$A:$A,Productos!BF:BF,"Revisar"),"")</f>
        <v/>
      </c>
      <c r="BN98" s="179" t="str">
        <f t="array" ref="BN98">IF($F98&lt;&gt;"", XLOOKUP($F98,Productos!$A$2:$A1001,Productos!BG$2:BG1001,"")*$G98,"")</f>
        <v/>
      </c>
      <c r="BO98" s="179" t="str">
        <f t="array" ref="BO98">IF($F98&lt;&gt;"",XLOOKUP($F98,Productos!$A:$A,Productos!BH:BH,"Revisar"),"")</f>
        <v/>
      </c>
      <c r="BP98" s="179" t="str">
        <f t="array" ref="BP98">IF($F98&lt;&gt;"", XLOOKUP($F98,Productos!$A$2:$A1001,Productos!BI$2:BI1001,"")*$G98,"")</f>
        <v/>
      </c>
      <c r="BQ98" s="179" t="str">
        <f t="array" ref="BQ98">IF($F98&lt;&gt;"",XLOOKUP($F98,Productos!$A:$A,Productos!BJ:BJ,"Revisar"),"")</f>
        <v/>
      </c>
      <c r="BR98" s="179" t="str">
        <f t="array" ref="BR98">IF($F98&lt;&gt;"", XLOOKUP($F98,Productos!$A$2:$A1001,Productos!BK$2:BK1001,"")*$G98,"")</f>
        <v/>
      </c>
      <c r="BS98" s="179" t="str">
        <f t="array" ref="BS98">IF($F98&lt;&gt;"",XLOOKUP($F98,Productos!$A:$A,Productos!BL:BL,"Revisar"),"")</f>
        <v/>
      </c>
      <c r="BT98" s="179" t="str">
        <f t="array" ref="BT98">IF($F98&lt;&gt;"", XLOOKUP($F98,Productos!$A$2:$A1001,Productos!BM$2:BM1001,"")*$G98,"")</f>
        <v/>
      </c>
      <c r="BU98" s="179" t="str">
        <f t="array" ref="BU98">IF($F98&lt;&gt;"",XLOOKUP($F98,Productos!$A:$A,Productos!BN:BN,"Revisar"),"")</f>
        <v/>
      </c>
      <c r="BV98" s="179" t="str">
        <f t="array" ref="BV98">IF($F98&lt;&gt;"", XLOOKUP($F98,Productos!$A$2:$A1001,Productos!BO$2:BO1001,"")*$G98,"")</f>
        <v/>
      </c>
      <c r="BW98" s="179" t="str">
        <f t="array" ref="BW98">IF($F98&lt;&gt;"",XLOOKUP($F98,Productos!$A:$A,Productos!BP:BP,"Revisar"),"")</f>
        <v/>
      </c>
      <c r="BX98" s="179" t="str">
        <f t="array" ref="BX98">IF($F98&lt;&gt;"", XLOOKUP($F98,Productos!$A$2:$A1001,Productos!BQ$2:BQ1001,"")*$G98,"")</f>
        <v/>
      </c>
      <c r="BY98" s="179" t="str">
        <f t="array" ref="BY98">IF($F98&lt;&gt;"",XLOOKUP($F98,Productos!$A:$A,Productos!BR:BR,"Revisar"),"")</f>
        <v/>
      </c>
      <c r="BZ98" s="179" t="str">
        <f t="array" ref="BZ98">IF($F98&lt;&gt;"", XLOOKUP($F98,Productos!$A$2:$A1001,Productos!BS$2:BS1001,"")*$G98,"")</f>
        <v/>
      </c>
    </row>
    <row r="99">
      <c r="A99" s="180"/>
      <c r="B99" s="181"/>
      <c r="C99" s="182"/>
      <c r="D99" s="182"/>
      <c r="E99" s="185"/>
      <c r="F99" s="186"/>
      <c r="G99" s="187"/>
      <c r="H99" s="186"/>
      <c r="I99" s="179" t="str">
        <f t="array" ref="I99">IF($F99&lt;&gt;"",XLOOKUP($F99,Productos!$A:$A,Productos!B:B,"Revisar"),"")</f>
        <v/>
      </c>
      <c r="J99" s="179" t="str">
        <f t="array" ref="J99">IF($F99&lt;&gt;"", XLOOKUP($F99,Productos!$A$2:$A1001,Productos!C$2:C1001,"")*$G99,"")</f>
        <v/>
      </c>
      <c r="K99" s="179" t="str">
        <f t="array" ref="K99">IF($F99&lt;&gt;"",XLOOKUP($F99,Productos!$A:$A,Productos!D:D,"Revisar"),"")</f>
        <v/>
      </c>
      <c r="L99" s="179" t="str">
        <f t="array" ref="L99">IF($F99&lt;&gt;"", XLOOKUP($F99,Productos!$A$2:$A1001,Productos!E$2:E1001,"")*$G99,"")</f>
        <v/>
      </c>
      <c r="M99" s="179" t="str">
        <f t="array" ref="M99">IF($F99&lt;&gt;"",XLOOKUP($F99,Productos!$A:$A,Productos!F:F,"Revisar"),"")</f>
        <v/>
      </c>
      <c r="N99" s="179" t="str">
        <f t="array" ref="N99">IF($F99&lt;&gt;"", XLOOKUP($F99,Productos!$A$2:$A1001,Productos!G$2:G1001,"")*$G99,"")</f>
        <v/>
      </c>
      <c r="O99" s="179" t="str">
        <f t="array" ref="O99">IF($F99&lt;&gt;"",XLOOKUP($F99,Productos!$A:$A,Productos!H:H,"Revisar"),"")</f>
        <v/>
      </c>
      <c r="P99" s="179" t="str">
        <f t="array" ref="P99">IF($F99&lt;&gt;"", XLOOKUP($F99,Productos!$A$2:$A1001,Productos!I$2:I1001,"")*$G99,"")</f>
        <v/>
      </c>
      <c r="Q99" s="179" t="str">
        <f t="array" ref="Q99">IF($F99&lt;&gt;"",XLOOKUP($F99,Productos!$A:$A,Productos!J:J,"Revisar"),"")</f>
        <v/>
      </c>
      <c r="R99" s="179" t="str">
        <f t="array" ref="R99">IF($F99&lt;&gt;"", XLOOKUP($F99,Productos!$A$2:$A1001,Productos!K$2:K1001,"")*$G99,"")</f>
        <v/>
      </c>
      <c r="S99" s="179" t="str">
        <f t="array" ref="S99">IF($F99&lt;&gt;"",XLOOKUP($F99,Productos!$A:$A,Productos!L:L,"Revisar"),"")</f>
        <v/>
      </c>
      <c r="T99" s="179" t="str">
        <f t="array" ref="T99">IF($F99&lt;&gt;"", XLOOKUP($F99,Productos!$A$2:$A1001,Productos!M$2:M1001,"")*$G99,"")</f>
        <v/>
      </c>
      <c r="U99" s="179" t="str">
        <f t="array" ref="U99">IF($F99&lt;&gt;"",XLOOKUP($F99,Productos!$A:$A,Productos!N:N,"Revisar"),"")</f>
        <v/>
      </c>
      <c r="V99" s="179" t="str">
        <f t="array" ref="V99">IF($F99&lt;&gt;"", XLOOKUP($F99,Productos!$A$2:$A1001,Productos!O$2:O1001,"")*$G99,"")</f>
        <v/>
      </c>
      <c r="W99" s="179" t="str">
        <f t="array" ref="W99">IF($F99&lt;&gt;"",XLOOKUP($F99,Productos!$A:$A,Productos!P:P,"Revisar"),"")</f>
        <v/>
      </c>
      <c r="X99" s="179" t="str">
        <f t="array" ref="X99">IF($F99&lt;&gt;"", XLOOKUP($F99,Productos!$A$2:$A1001,Productos!Q$2:Q1001,"")*$G99,"")</f>
        <v/>
      </c>
      <c r="Y99" s="179" t="str">
        <f t="array" ref="Y99">IF($F99&lt;&gt;"",XLOOKUP($F99,Productos!$A:$A,Productos!R:R,"Revisar"),"")</f>
        <v/>
      </c>
      <c r="Z99" s="179" t="str">
        <f t="array" ref="Z99">IF($F99&lt;&gt;"", XLOOKUP($F99,Productos!$A$2:$A1001,Productos!S$2:S1001,"")*$G99,"")</f>
        <v/>
      </c>
      <c r="AA99" s="179" t="str">
        <f t="array" ref="AA99">IF($F99&lt;&gt;"",XLOOKUP($F99,Productos!$A:$A,Productos!T:T,"Revisar"),"")</f>
        <v/>
      </c>
      <c r="AB99" s="179" t="str">
        <f t="array" ref="AB99">IF($F99&lt;&gt;"", XLOOKUP($F99,Productos!$A$2:$A1001,Productos!U$2:U1001,"")*$G99,"")</f>
        <v/>
      </c>
      <c r="AC99" s="179" t="str">
        <f t="array" ref="AC99">IF($F99&lt;&gt;"",XLOOKUP($F99,Productos!$A:$A,Productos!V:V,"Revisar"),"")</f>
        <v/>
      </c>
      <c r="AD99" s="179" t="str">
        <f t="array" ref="AD99">IF($F99&lt;&gt;"", XLOOKUP($F99,Productos!$A$2:$A1001,Productos!W$2:W1001,"")*$G99,"")</f>
        <v/>
      </c>
      <c r="AE99" s="179" t="str">
        <f t="array" ref="AE99">IF($F99&lt;&gt;"",XLOOKUP($F99,Productos!$A:$A,Productos!X:X,"Revisar"),"")</f>
        <v/>
      </c>
      <c r="AF99" s="179" t="str">
        <f t="array" ref="AF99">IF($F99&lt;&gt;"", XLOOKUP($F99,Productos!$A$2:$A1001,Productos!Y$2:Y1001,"")*$G99,"")</f>
        <v/>
      </c>
      <c r="AG99" s="179" t="str">
        <f t="array" ref="AG99">IF($F99&lt;&gt;"",XLOOKUP($F99,Productos!$A:$A,Productos!Z:Z,"Revisar"),"")</f>
        <v/>
      </c>
      <c r="AH99" s="179" t="str">
        <f t="array" ref="AH99">IF($F99&lt;&gt;"", XLOOKUP($F99,Productos!$A$2:$A1001,Productos!AA$2:AA1001,"")*$G99,"")</f>
        <v/>
      </c>
      <c r="AI99" s="179" t="str">
        <f t="array" ref="AI99">IF($F99&lt;&gt;"",XLOOKUP($F99,Productos!$A:$A,Productos!AB:AB,"Revisar"),"")</f>
        <v/>
      </c>
      <c r="AJ99" s="179" t="str">
        <f t="array" ref="AJ99">IF($F99&lt;&gt;"", XLOOKUP($F99,Productos!$A$2:$A1001,Productos!AC$2:AC1001,"")*$G99,"")</f>
        <v/>
      </c>
      <c r="AK99" s="179" t="str">
        <f t="array" ref="AK99">IF($F99&lt;&gt;"",XLOOKUP($F99,Productos!$A:$A,Productos!AD:AD,"Revisar"),"")</f>
        <v/>
      </c>
      <c r="AL99" s="179" t="str">
        <f t="array" ref="AL99">IF($F99&lt;&gt;"", XLOOKUP($F99,Productos!$A$2:$A1001,Productos!AE$2:AE1001,"")*$G99,"")</f>
        <v/>
      </c>
      <c r="AM99" s="179" t="str">
        <f t="array" ref="AM99">IF($F99&lt;&gt;"",XLOOKUP($F99,Productos!$A:$A,Productos!AF:AF,"Revisar"),"")</f>
        <v/>
      </c>
      <c r="AN99" s="179" t="str">
        <f t="array" ref="AN99">IF($F99&lt;&gt;"", XLOOKUP($F99,Productos!$A$2:$A1001,Productos!AG$2:AG1001,"")*$G99,"")</f>
        <v/>
      </c>
      <c r="AO99" s="179" t="str">
        <f t="array" ref="AO99">IF($F99&lt;&gt;"",XLOOKUP($F99,Productos!$A:$A,Productos!AH:AH,"Revisar"),"")</f>
        <v/>
      </c>
      <c r="AP99" s="179" t="str">
        <f t="array" ref="AP99">IF($F99&lt;&gt;"", XLOOKUP($F99,Productos!$A$2:$A1001,Productos!AI$2:AI1001,"")*$G99,"")</f>
        <v/>
      </c>
      <c r="AQ99" s="179" t="str">
        <f t="array" ref="AQ99">IF($F99&lt;&gt;"",XLOOKUP($F99,Productos!$A:$A,Productos!AJ:AJ,"Revisar"),"")</f>
        <v/>
      </c>
      <c r="AR99" s="179" t="str">
        <f t="array" ref="AR99">IF($F99&lt;&gt;"", XLOOKUP($F99,Productos!$A$2:$A1001,Productos!AK$2:AK1001,"")*$G99,"")</f>
        <v/>
      </c>
      <c r="AS99" s="179" t="str">
        <f t="array" ref="AS99">IF($F99&lt;&gt;"",XLOOKUP($F99,Productos!$A:$A,Productos!AL:AL,"Revisar"),"")</f>
        <v/>
      </c>
      <c r="AT99" s="179" t="str">
        <f t="array" ref="AT99">IF($F99&lt;&gt;"", XLOOKUP($F99,Productos!$A$2:$A1001,Productos!AM$2:AM1001,"")*$G99,"")</f>
        <v/>
      </c>
      <c r="AU99" s="179" t="str">
        <f t="array" ref="AU99">IF($F99&lt;&gt;"",XLOOKUP($F99,Productos!$A:$A,Productos!AN:AN,"Revisar"),"")</f>
        <v/>
      </c>
      <c r="AV99" s="179" t="str">
        <f t="array" ref="AV99">IF($F99&lt;&gt;"", XLOOKUP($F99,Productos!$A$2:$A1001,Productos!AO$2:AO1001,"")*$G99,"")</f>
        <v/>
      </c>
      <c r="AW99" s="179" t="str">
        <f t="array" ref="AW99">IF($F99&lt;&gt;"",XLOOKUP($F99,Productos!$A:$A,Productos!AP:AP,"Revisar"),"")</f>
        <v/>
      </c>
      <c r="AX99" s="179" t="str">
        <f t="array" ref="AX99">IF($F99&lt;&gt;"", XLOOKUP($F99,Productos!$A$2:$A1001,Productos!AQ$2:AQ1001,"")*$G99,"")</f>
        <v/>
      </c>
      <c r="AY99" s="179" t="str">
        <f t="array" ref="AY99">IF($F99&lt;&gt;"",XLOOKUP($F99,Productos!$A:$A,Productos!AR:AR,"Revisar"),"")</f>
        <v/>
      </c>
      <c r="AZ99" s="179" t="str">
        <f t="array" ref="AZ99">IF($F99&lt;&gt;"", XLOOKUP($F99,Productos!$A$2:$A1001,Productos!AS$2:AS1001,"")*$G99,"")</f>
        <v/>
      </c>
      <c r="BA99" s="179" t="str">
        <f t="array" ref="BA99">IF($F99&lt;&gt;"",XLOOKUP($F99,Productos!$A:$A,Productos!AT:AT,"Revisar"),"")</f>
        <v/>
      </c>
      <c r="BB99" s="179" t="str">
        <f t="array" ref="BB99">IF($F99&lt;&gt;"", XLOOKUP($F99,Productos!$A$2:$A1001,Productos!AU$2:AU1001,"")*$G99,"")</f>
        <v/>
      </c>
      <c r="BC99" s="179" t="str">
        <f t="array" ref="BC99">IF($F99&lt;&gt;"",XLOOKUP($F99,Productos!$A:$A,Productos!AV:AV,"Revisar"),"")</f>
        <v/>
      </c>
      <c r="BD99" s="179" t="str">
        <f t="array" ref="BD99">IF($F99&lt;&gt;"", XLOOKUP($F99,Productos!$A$2:$A1001,Productos!AW$2:AW1001,"")*$G99,"")</f>
        <v/>
      </c>
      <c r="BE99" s="179" t="str">
        <f t="array" ref="BE99">IF($F99&lt;&gt;"",XLOOKUP($F99,Productos!$A:$A,Productos!AX:AX,"Revisar"),"")</f>
        <v/>
      </c>
      <c r="BF99" s="179" t="str">
        <f t="array" ref="BF99">IF($F99&lt;&gt;"", XLOOKUP($F99,Productos!$A$2:$A1001,Productos!AY$2:AY1001,"")*$G99,"")</f>
        <v/>
      </c>
      <c r="BG99" s="179" t="str">
        <f t="array" ref="BG99">IF($F99&lt;&gt;"",XLOOKUP($F99,Productos!$A:$A,Productos!AZ:AZ,"Revisar"),"")</f>
        <v/>
      </c>
      <c r="BH99" s="179" t="str">
        <f t="array" ref="BH99">IF($F99&lt;&gt;"", XLOOKUP($F99,Productos!$A$2:$A1001,Productos!BA$2:BA1001,"")*$G99,"")</f>
        <v/>
      </c>
      <c r="BI99" s="179" t="str">
        <f t="array" ref="BI99">IF($F99&lt;&gt;"",XLOOKUP($F99,Productos!$A:$A,Productos!BB:BB,"Revisar"),"")</f>
        <v/>
      </c>
      <c r="BJ99" s="179" t="str">
        <f t="array" ref="BJ99">IF($F99&lt;&gt;"", XLOOKUP($F99,Productos!$A$2:$A1001,Productos!BC$2:BC1001,"")*$G99,"")</f>
        <v/>
      </c>
      <c r="BK99" s="179" t="str">
        <f t="array" ref="BK99">IF($F99&lt;&gt;"",XLOOKUP($F99,Productos!$A:$A,Productos!BD:BD,"Revisar"),"")</f>
        <v/>
      </c>
      <c r="BL99" s="179" t="str">
        <f t="array" ref="BL99">IF($F99&lt;&gt;"", XLOOKUP($F99,Productos!$A$2:$A1001,Productos!BE$2:BE1001,"")*$G99,"")</f>
        <v/>
      </c>
      <c r="BM99" s="179" t="str">
        <f t="array" ref="BM99">IF($F99&lt;&gt;"",XLOOKUP($F99,Productos!$A:$A,Productos!BF:BF,"Revisar"),"")</f>
        <v/>
      </c>
      <c r="BN99" s="179" t="str">
        <f t="array" ref="BN99">IF($F99&lt;&gt;"", XLOOKUP($F99,Productos!$A$2:$A1001,Productos!BG$2:BG1001,"")*$G99,"")</f>
        <v/>
      </c>
      <c r="BO99" s="179" t="str">
        <f t="array" ref="BO99">IF($F99&lt;&gt;"",XLOOKUP($F99,Productos!$A:$A,Productos!BH:BH,"Revisar"),"")</f>
        <v/>
      </c>
      <c r="BP99" s="179" t="str">
        <f t="array" ref="BP99">IF($F99&lt;&gt;"", XLOOKUP($F99,Productos!$A$2:$A1001,Productos!BI$2:BI1001,"")*$G99,"")</f>
        <v/>
      </c>
      <c r="BQ99" s="179" t="str">
        <f t="array" ref="BQ99">IF($F99&lt;&gt;"",XLOOKUP($F99,Productos!$A:$A,Productos!BJ:BJ,"Revisar"),"")</f>
        <v/>
      </c>
      <c r="BR99" s="179" t="str">
        <f t="array" ref="BR99">IF($F99&lt;&gt;"", XLOOKUP($F99,Productos!$A$2:$A1001,Productos!BK$2:BK1001,"")*$G99,"")</f>
        <v/>
      </c>
      <c r="BS99" s="179" t="str">
        <f t="array" ref="BS99">IF($F99&lt;&gt;"",XLOOKUP($F99,Productos!$A:$A,Productos!BL:BL,"Revisar"),"")</f>
        <v/>
      </c>
      <c r="BT99" s="179" t="str">
        <f t="array" ref="BT99">IF($F99&lt;&gt;"", XLOOKUP($F99,Productos!$A$2:$A1001,Productos!BM$2:BM1001,"")*$G99,"")</f>
        <v/>
      </c>
      <c r="BU99" s="179" t="str">
        <f t="array" ref="BU99">IF($F99&lt;&gt;"",XLOOKUP($F99,Productos!$A:$A,Productos!BN:BN,"Revisar"),"")</f>
        <v/>
      </c>
      <c r="BV99" s="179" t="str">
        <f t="array" ref="BV99">IF($F99&lt;&gt;"", XLOOKUP($F99,Productos!$A$2:$A1001,Productos!BO$2:BO1001,"")*$G99,"")</f>
        <v/>
      </c>
      <c r="BW99" s="179" t="str">
        <f t="array" ref="BW99">IF($F99&lt;&gt;"",XLOOKUP($F99,Productos!$A:$A,Productos!BP:BP,"Revisar"),"")</f>
        <v/>
      </c>
      <c r="BX99" s="179" t="str">
        <f t="array" ref="BX99">IF($F99&lt;&gt;"", XLOOKUP($F99,Productos!$A$2:$A1001,Productos!BQ$2:BQ1001,"")*$G99,"")</f>
        <v/>
      </c>
      <c r="BY99" s="179" t="str">
        <f t="array" ref="BY99">IF($F99&lt;&gt;"",XLOOKUP($F99,Productos!$A:$A,Productos!BR:BR,"Revisar"),"")</f>
        <v/>
      </c>
      <c r="BZ99" s="179" t="str">
        <f t="array" ref="BZ99">IF($F99&lt;&gt;"", XLOOKUP($F99,Productos!$A$2:$A1001,Productos!BS$2:BS1001,"")*$G99,"")</f>
        <v/>
      </c>
    </row>
    <row r="100">
      <c r="A100" s="180"/>
      <c r="B100" s="181"/>
      <c r="C100" s="182"/>
      <c r="D100" s="182"/>
      <c r="E100" s="185"/>
      <c r="F100" s="186"/>
      <c r="G100" s="187"/>
      <c r="H100" s="186"/>
      <c r="I100" s="179" t="str">
        <f t="array" ref="I100">IF($F100&lt;&gt;"",XLOOKUP($F100,Productos!$A:$A,Productos!B:B,"Revisar"),"")</f>
        <v/>
      </c>
      <c r="J100" s="179" t="str">
        <f t="array" ref="J100">IF($F100&lt;&gt;"", XLOOKUP($F100,Productos!$A$2:$A1001,Productos!C$2:C1001,"")*$G100,"")</f>
        <v/>
      </c>
      <c r="K100" s="179" t="str">
        <f t="array" ref="K100">IF($F100&lt;&gt;"",XLOOKUP($F100,Productos!$A:$A,Productos!D:D,"Revisar"),"")</f>
        <v/>
      </c>
      <c r="L100" s="179" t="str">
        <f t="array" ref="L100">IF($F100&lt;&gt;"", XLOOKUP($F100,Productos!$A$2:$A1001,Productos!E$2:E1001,"")*$G100,"")</f>
        <v/>
      </c>
      <c r="M100" s="179" t="str">
        <f t="array" ref="M100">IF($F100&lt;&gt;"",XLOOKUP($F100,Productos!$A:$A,Productos!F:F,"Revisar"),"")</f>
        <v/>
      </c>
      <c r="N100" s="179" t="str">
        <f t="array" ref="N100">IF($F100&lt;&gt;"", XLOOKUP($F100,Productos!$A$2:$A1001,Productos!G$2:G1001,"")*$G100,"")</f>
        <v/>
      </c>
      <c r="O100" s="179" t="str">
        <f t="array" ref="O100">IF($F100&lt;&gt;"",XLOOKUP($F100,Productos!$A:$A,Productos!H:H,"Revisar"),"")</f>
        <v/>
      </c>
      <c r="P100" s="179" t="str">
        <f t="array" ref="P100">IF($F100&lt;&gt;"", XLOOKUP($F100,Productos!$A$2:$A1001,Productos!I$2:I1001,"")*$G100,"")</f>
        <v/>
      </c>
      <c r="Q100" s="179" t="str">
        <f t="array" ref="Q100">IF($F100&lt;&gt;"",XLOOKUP($F100,Productos!$A:$A,Productos!J:J,"Revisar"),"")</f>
        <v/>
      </c>
      <c r="R100" s="179" t="str">
        <f t="array" ref="R100">IF($F100&lt;&gt;"", XLOOKUP($F100,Productos!$A$2:$A1001,Productos!K$2:K1001,"")*$G100,"")</f>
        <v/>
      </c>
      <c r="S100" s="179" t="str">
        <f t="array" ref="S100">IF($F100&lt;&gt;"",XLOOKUP($F100,Productos!$A:$A,Productos!L:L,"Revisar"),"")</f>
        <v/>
      </c>
      <c r="T100" s="179" t="str">
        <f t="array" ref="T100">IF($F100&lt;&gt;"", XLOOKUP($F100,Productos!$A$2:$A1001,Productos!M$2:M1001,"")*$G100,"")</f>
        <v/>
      </c>
      <c r="U100" s="179" t="str">
        <f t="array" ref="U100">IF($F100&lt;&gt;"",XLOOKUP($F100,Productos!$A:$A,Productos!N:N,"Revisar"),"")</f>
        <v/>
      </c>
      <c r="V100" s="179" t="str">
        <f t="array" ref="V100">IF($F100&lt;&gt;"", XLOOKUP($F100,Productos!$A$2:$A1001,Productos!O$2:O1001,"")*$G100,"")</f>
        <v/>
      </c>
      <c r="W100" s="179" t="str">
        <f t="array" ref="W100">IF($F100&lt;&gt;"",XLOOKUP($F100,Productos!$A:$A,Productos!P:P,"Revisar"),"")</f>
        <v/>
      </c>
      <c r="X100" s="179" t="str">
        <f t="array" ref="X100">IF($F100&lt;&gt;"", XLOOKUP($F100,Productos!$A$2:$A1001,Productos!Q$2:Q1001,"")*$G100,"")</f>
        <v/>
      </c>
      <c r="Y100" s="179" t="str">
        <f t="array" ref="Y100">IF($F100&lt;&gt;"",XLOOKUP($F100,Productos!$A:$A,Productos!R:R,"Revisar"),"")</f>
        <v/>
      </c>
      <c r="Z100" s="179" t="str">
        <f t="array" ref="Z100">IF($F100&lt;&gt;"", XLOOKUP($F100,Productos!$A$2:$A1001,Productos!S$2:S1001,"")*$G100,"")</f>
        <v/>
      </c>
      <c r="AA100" s="179" t="str">
        <f t="array" ref="AA100">IF($F100&lt;&gt;"",XLOOKUP($F100,Productos!$A:$A,Productos!T:T,"Revisar"),"")</f>
        <v/>
      </c>
      <c r="AB100" s="179" t="str">
        <f t="array" ref="AB100">IF($F100&lt;&gt;"", XLOOKUP($F100,Productos!$A$2:$A1001,Productos!U$2:U1001,"")*$G100,"")</f>
        <v/>
      </c>
      <c r="AC100" s="179" t="str">
        <f t="array" ref="AC100">IF($F100&lt;&gt;"",XLOOKUP($F100,Productos!$A:$A,Productos!V:V,"Revisar"),"")</f>
        <v/>
      </c>
      <c r="AD100" s="179" t="str">
        <f t="array" ref="AD100">IF($F100&lt;&gt;"", XLOOKUP($F100,Productos!$A$2:$A1001,Productos!W$2:W1001,"")*$G100,"")</f>
        <v/>
      </c>
      <c r="AE100" s="179" t="str">
        <f t="array" ref="AE100">IF($F100&lt;&gt;"",XLOOKUP($F100,Productos!$A:$A,Productos!X:X,"Revisar"),"")</f>
        <v/>
      </c>
      <c r="AF100" s="179" t="str">
        <f t="array" ref="AF100">IF($F100&lt;&gt;"", XLOOKUP($F100,Productos!$A$2:$A1001,Productos!Y$2:Y1001,"")*$G100,"")</f>
        <v/>
      </c>
      <c r="AG100" s="179" t="str">
        <f t="array" ref="AG100">IF($F100&lt;&gt;"",XLOOKUP($F100,Productos!$A:$A,Productos!Z:Z,"Revisar"),"")</f>
        <v/>
      </c>
      <c r="AH100" s="179" t="str">
        <f t="array" ref="AH100">IF($F100&lt;&gt;"", XLOOKUP($F100,Productos!$A$2:$A1001,Productos!AA$2:AA1001,"")*$G100,"")</f>
        <v/>
      </c>
      <c r="AI100" s="179" t="str">
        <f t="array" ref="AI100">IF($F100&lt;&gt;"",XLOOKUP($F100,Productos!$A:$A,Productos!AB:AB,"Revisar"),"")</f>
        <v/>
      </c>
      <c r="AJ100" s="179" t="str">
        <f t="array" ref="AJ100">IF($F100&lt;&gt;"", XLOOKUP($F100,Productos!$A$2:$A1001,Productos!AC$2:AC1001,"")*$G100,"")</f>
        <v/>
      </c>
      <c r="AK100" s="179" t="str">
        <f t="array" ref="AK100">IF($F100&lt;&gt;"",XLOOKUP($F100,Productos!$A:$A,Productos!AD:AD,"Revisar"),"")</f>
        <v/>
      </c>
      <c r="AL100" s="179" t="str">
        <f t="array" ref="AL100">IF($F100&lt;&gt;"", XLOOKUP($F100,Productos!$A$2:$A1001,Productos!AE$2:AE1001,"")*$G100,"")</f>
        <v/>
      </c>
      <c r="AM100" s="179" t="str">
        <f t="array" ref="AM100">IF($F100&lt;&gt;"",XLOOKUP($F100,Productos!$A:$A,Productos!AF:AF,"Revisar"),"")</f>
        <v/>
      </c>
      <c r="AN100" s="179" t="str">
        <f t="array" ref="AN100">IF($F100&lt;&gt;"", XLOOKUP($F100,Productos!$A$2:$A1001,Productos!AG$2:AG1001,"")*$G100,"")</f>
        <v/>
      </c>
      <c r="AO100" s="179" t="str">
        <f t="array" ref="AO100">IF($F100&lt;&gt;"",XLOOKUP($F100,Productos!$A:$A,Productos!AH:AH,"Revisar"),"")</f>
        <v/>
      </c>
      <c r="AP100" s="179" t="str">
        <f t="array" ref="AP100">IF($F100&lt;&gt;"", XLOOKUP($F100,Productos!$A$2:$A1001,Productos!AI$2:AI1001,"")*$G100,"")</f>
        <v/>
      </c>
      <c r="AQ100" s="179" t="str">
        <f t="array" ref="AQ100">IF($F100&lt;&gt;"",XLOOKUP($F100,Productos!$A:$A,Productos!AJ:AJ,"Revisar"),"")</f>
        <v/>
      </c>
      <c r="AR100" s="179" t="str">
        <f t="array" ref="AR100">IF($F100&lt;&gt;"", XLOOKUP($F100,Productos!$A$2:$A1001,Productos!AK$2:AK1001,"")*$G100,"")</f>
        <v/>
      </c>
      <c r="AS100" s="179" t="str">
        <f t="array" ref="AS100">IF($F100&lt;&gt;"",XLOOKUP($F100,Productos!$A:$A,Productos!AL:AL,"Revisar"),"")</f>
        <v/>
      </c>
      <c r="AT100" s="179" t="str">
        <f t="array" ref="AT100">IF($F100&lt;&gt;"", XLOOKUP($F100,Productos!$A$2:$A1001,Productos!AM$2:AM1001,"")*$G100,"")</f>
        <v/>
      </c>
      <c r="AU100" s="179" t="str">
        <f t="array" ref="AU100">IF($F100&lt;&gt;"",XLOOKUP($F100,Productos!$A:$A,Productos!AN:AN,"Revisar"),"")</f>
        <v/>
      </c>
      <c r="AV100" s="179" t="str">
        <f t="array" ref="AV100">IF($F100&lt;&gt;"", XLOOKUP($F100,Productos!$A$2:$A1001,Productos!AO$2:AO1001,"")*$G100,"")</f>
        <v/>
      </c>
      <c r="AW100" s="179" t="str">
        <f t="array" ref="AW100">IF($F100&lt;&gt;"",XLOOKUP($F100,Productos!$A:$A,Productos!AP:AP,"Revisar"),"")</f>
        <v/>
      </c>
      <c r="AX100" s="179" t="str">
        <f t="array" ref="AX100">IF($F100&lt;&gt;"", XLOOKUP($F100,Productos!$A$2:$A1001,Productos!AQ$2:AQ1001,"")*$G100,"")</f>
        <v/>
      </c>
      <c r="AY100" s="179" t="str">
        <f t="array" ref="AY100">IF($F100&lt;&gt;"",XLOOKUP($F100,Productos!$A:$A,Productos!AR:AR,"Revisar"),"")</f>
        <v/>
      </c>
      <c r="AZ100" s="179" t="str">
        <f t="array" ref="AZ100">IF($F100&lt;&gt;"", XLOOKUP($F100,Productos!$A$2:$A1001,Productos!AS$2:AS1001,"")*$G100,"")</f>
        <v/>
      </c>
      <c r="BA100" s="179" t="str">
        <f t="array" ref="BA100">IF($F100&lt;&gt;"",XLOOKUP($F100,Productos!$A:$A,Productos!AT:AT,"Revisar"),"")</f>
        <v/>
      </c>
      <c r="BB100" s="179" t="str">
        <f t="array" ref="BB100">IF($F100&lt;&gt;"", XLOOKUP($F100,Productos!$A$2:$A1001,Productos!AU$2:AU1001,"")*$G100,"")</f>
        <v/>
      </c>
      <c r="BC100" s="179" t="str">
        <f t="array" ref="BC100">IF($F100&lt;&gt;"",XLOOKUP($F100,Productos!$A:$A,Productos!AV:AV,"Revisar"),"")</f>
        <v/>
      </c>
      <c r="BD100" s="179" t="str">
        <f t="array" ref="BD100">IF($F100&lt;&gt;"", XLOOKUP($F100,Productos!$A$2:$A1001,Productos!AW$2:AW1001,"")*$G100,"")</f>
        <v/>
      </c>
      <c r="BE100" s="179" t="str">
        <f t="array" ref="BE100">IF($F100&lt;&gt;"",XLOOKUP($F100,Productos!$A:$A,Productos!AX:AX,"Revisar"),"")</f>
        <v/>
      </c>
      <c r="BF100" s="179" t="str">
        <f t="array" ref="BF100">IF($F100&lt;&gt;"", XLOOKUP($F100,Productos!$A$2:$A1001,Productos!AY$2:AY1001,"")*$G100,"")</f>
        <v/>
      </c>
      <c r="BG100" s="179" t="str">
        <f t="array" ref="BG100">IF($F100&lt;&gt;"",XLOOKUP($F100,Productos!$A:$A,Productos!AZ:AZ,"Revisar"),"")</f>
        <v/>
      </c>
      <c r="BH100" s="179" t="str">
        <f t="array" ref="BH100">IF($F100&lt;&gt;"", XLOOKUP($F100,Productos!$A$2:$A1001,Productos!BA$2:BA1001,"")*$G100,"")</f>
        <v/>
      </c>
      <c r="BI100" s="179" t="str">
        <f t="array" ref="BI100">IF($F100&lt;&gt;"",XLOOKUP($F100,Productos!$A:$A,Productos!BB:BB,"Revisar"),"")</f>
        <v/>
      </c>
      <c r="BJ100" s="179" t="str">
        <f t="array" ref="BJ100">IF($F100&lt;&gt;"", XLOOKUP($F100,Productos!$A$2:$A1001,Productos!BC$2:BC1001,"")*$G100,"")</f>
        <v/>
      </c>
      <c r="BK100" s="179" t="str">
        <f t="array" ref="BK100">IF($F100&lt;&gt;"",XLOOKUP($F100,Productos!$A:$A,Productos!BD:BD,"Revisar"),"")</f>
        <v/>
      </c>
      <c r="BL100" s="179" t="str">
        <f t="array" ref="BL100">IF($F100&lt;&gt;"", XLOOKUP($F100,Productos!$A$2:$A1001,Productos!BE$2:BE1001,"")*$G100,"")</f>
        <v/>
      </c>
      <c r="BM100" s="179" t="str">
        <f t="array" ref="BM100">IF($F100&lt;&gt;"",XLOOKUP($F100,Productos!$A:$A,Productos!BF:BF,"Revisar"),"")</f>
        <v/>
      </c>
      <c r="BN100" s="179" t="str">
        <f t="array" ref="BN100">IF($F100&lt;&gt;"", XLOOKUP($F100,Productos!$A$2:$A1001,Productos!BG$2:BG1001,"")*$G100,"")</f>
        <v/>
      </c>
      <c r="BO100" s="179" t="str">
        <f t="array" ref="BO100">IF($F100&lt;&gt;"",XLOOKUP($F100,Productos!$A:$A,Productos!BH:BH,"Revisar"),"")</f>
        <v/>
      </c>
      <c r="BP100" s="179" t="str">
        <f t="array" ref="BP100">IF($F100&lt;&gt;"", XLOOKUP($F100,Productos!$A$2:$A1001,Productos!BI$2:BI1001,"")*$G100,"")</f>
        <v/>
      </c>
      <c r="BQ100" s="179" t="str">
        <f t="array" ref="BQ100">IF($F100&lt;&gt;"",XLOOKUP($F100,Productos!$A:$A,Productos!BJ:BJ,"Revisar"),"")</f>
        <v/>
      </c>
      <c r="BR100" s="179" t="str">
        <f t="array" ref="BR100">IF($F100&lt;&gt;"", XLOOKUP($F100,Productos!$A$2:$A1001,Productos!BK$2:BK1001,"")*$G100,"")</f>
        <v/>
      </c>
      <c r="BS100" s="179" t="str">
        <f t="array" ref="BS100">IF($F100&lt;&gt;"",XLOOKUP($F100,Productos!$A:$A,Productos!BL:BL,"Revisar"),"")</f>
        <v/>
      </c>
      <c r="BT100" s="179" t="str">
        <f t="array" ref="BT100">IF($F100&lt;&gt;"", XLOOKUP($F100,Productos!$A$2:$A1001,Productos!BM$2:BM1001,"")*$G100,"")</f>
        <v/>
      </c>
      <c r="BU100" s="179" t="str">
        <f t="array" ref="BU100">IF($F100&lt;&gt;"",XLOOKUP($F100,Productos!$A:$A,Productos!BN:BN,"Revisar"),"")</f>
        <v/>
      </c>
      <c r="BV100" s="179" t="str">
        <f t="array" ref="BV100">IF($F100&lt;&gt;"", XLOOKUP($F100,Productos!$A$2:$A1001,Productos!BO$2:BO1001,"")*$G100,"")</f>
        <v/>
      </c>
      <c r="BW100" s="179" t="str">
        <f t="array" ref="BW100">IF($F100&lt;&gt;"",XLOOKUP($F100,Productos!$A:$A,Productos!BP:BP,"Revisar"),"")</f>
        <v/>
      </c>
      <c r="BX100" s="179" t="str">
        <f t="array" ref="BX100">IF($F100&lt;&gt;"", XLOOKUP($F100,Productos!$A$2:$A1001,Productos!BQ$2:BQ1001,"")*$G100,"")</f>
        <v/>
      </c>
      <c r="BY100" s="179" t="str">
        <f t="array" ref="BY100">IF($F100&lt;&gt;"",XLOOKUP($F100,Productos!$A:$A,Productos!BR:BR,"Revisar"),"")</f>
        <v/>
      </c>
      <c r="BZ100" s="179" t="str">
        <f t="array" ref="BZ100">IF($F100&lt;&gt;"", XLOOKUP($F100,Productos!$A$2:$A1001,Productos!BS$2:BS1001,"")*$G100,"")</f>
        <v/>
      </c>
    </row>
    <row r="101">
      <c r="A101" s="180"/>
      <c r="B101" s="181"/>
      <c r="C101" s="182"/>
      <c r="D101" s="182"/>
      <c r="E101" s="185"/>
      <c r="F101" s="186"/>
      <c r="G101" s="187"/>
      <c r="H101" s="186"/>
      <c r="I101" s="179" t="str">
        <f t="array" ref="I101">IF($F101&lt;&gt;"",XLOOKUP($F101,Productos!$A:$A,Productos!B:B,"Revisar"),"")</f>
        <v/>
      </c>
      <c r="J101" s="179" t="str">
        <f t="array" ref="J101">IF($F101&lt;&gt;"", XLOOKUP($F101,Productos!$A$2:$A1001,Productos!C$2:C1001,"")*$G101,"")</f>
        <v/>
      </c>
      <c r="K101" s="179" t="str">
        <f t="array" ref="K101">IF($F101&lt;&gt;"",XLOOKUP($F101,Productos!$A:$A,Productos!D:D,"Revisar"),"")</f>
        <v/>
      </c>
      <c r="L101" s="179" t="str">
        <f t="array" ref="L101">IF($F101&lt;&gt;"", XLOOKUP($F101,Productos!$A$2:$A1001,Productos!E$2:E1001,"")*$G101,"")</f>
        <v/>
      </c>
      <c r="M101" s="179" t="str">
        <f t="array" ref="M101">IF($F101&lt;&gt;"",XLOOKUP($F101,Productos!$A:$A,Productos!F:F,"Revisar"),"")</f>
        <v/>
      </c>
      <c r="N101" s="179" t="str">
        <f t="array" ref="N101">IF($F101&lt;&gt;"", XLOOKUP($F101,Productos!$A$2:$A1001,Productos!G$2:G1001,"")*$G101,"")</f>
        <v/>
      </c>
      <c r="O101" s="179" t="str">
        <f t="array" ref="O101">IF($F101&lt;&gt;"",XLOOKUP($F101,Productos!$A:$A,Productos!H:H,"Revisar"),"")</f>
        <v/>
      </c>
      <c r="P101" s="179" t="str">
        <f t="array" ref="P101">IF($F101&lt;&gt;"", XLOOKUP($F101,Productos!$A$2:$A1001,Productos!I$2:I1001,"")*$G101,"")</f>
        <v/>
      </c>
      <c r="Q101" s="179" t="str">
        <f t="array" ref="Q101">IF($F101&lt;&gt;"",XLOOKUP($F101,Productos!$A:$A,Productos!J:J,"Revisar"),"")</f>
        <v/>
      </c>
      <c r="R101" s="179" t="str">
        <f t="array" ref="R101">IF($F101&lt;&gt;"", XLOOKUP($F101,Productos!$A$2:$A1001,Productos!K$2:K1001,"")*$G101,"")</f>
        <v/>
      </c>
      <c r="S101" s="179" t="str">
        <f t="array" ref="S101">IF($F101&lt;&gt;"",XLOOKUP($F101,Productos!$A:$A,Productos!L:L,"Revisar"),"")</f>
        <v/>
      </c>
      <c r="T101" s="179" t="str">
        <f t="array" ref="T101">IF($F101&lt;&gt;"", XLOOKUP($F101,Productos!$A$2:$A1001,Productos!M$2:M1001,"")*$G101,"")</f>
        <v/>
      </c>
      <c r="U101" s="179" t="str">
        <f t="array" ref="U101">IF($F101&lt;&gt;"",XLOOKUP($F101,Productos!$A:$A,Productos!N:N,"Revisar"),"")</f>
        <v/>
      </c>
      <c r="V101" s="179" t="str">
        <f t="array" ref="V101">IF($F101&lt;&gt;"", XLOOKUP($F101,Productos!$A$2:$A1001,Productos!O$2:O1001,"")*$G101,"")</f>
        <v/>
      </c>
      <c r="W101" s="179" t="str">
        <f t="array" ref="W101">IF($F101&lt;&gt;"",XLOOKUP($F101,Productos!$A:$A,Productos!P:P,"Revisar"),"")</f>
        <v/>
      </c>
      <c r="X101" s="179" t="str">
        <f t="array" ref="X101">IF($F101&lt;&gt;"", XLOOKUP($F101,Productos!$A$2:$A1001,Productos!Q$2:Q1001,"")*$G101,"")</f>
        <v/>
      </c>
      <c r="Y101" s="179" t="str">
        <f t="array" ref="Y101">IF($F101&lt;&gt;"",XLOOKUP($F101,Productos!$A:$A,Productos!R:R,"Revisar"),"")</f>
        <v/>
      </c>
      <c r="Z101" s="179" t="str">
        <f t="array" ref="Z101">IF($F101&lt;&gt;"", XLOOKUP($F101,Productos!$A$2:$A1001,Productos!S$2:S1001,"")*$G101,"")</f>
        <v/>
      </c>
      <c r="AA101" s="179" t="str">
        <f t="array" ref="AA101">IF($F101&lt;&gt;"",XLOOKUP($F101,Productos!$A:$A,Productos!T:T,"Revisar"),"")</f>
        <v/>
      </c>
      <c r="AB101" s="179" t="str">
        <f t="array" ref="AB101">IF($F101&lt;&gt;"", XLOOKUP($F101,Productos!$A$2:$A1001,Productos!U$2:U1001,"")*$G101,"")</f>
        <v/>
      </c>
      <c r="AC101" s="179" t="str">
        <f t="array" ref="AC101">IF($F101&lt;&gt;"",XLOOKUP($F101,Productos!$A:$A,Productos!V:V,"Revisar"),"")</f>
        <v/>
      </c>
      <c r="AD101" s="179" t="str">
        <f t="array" ref="AD101">IF($F101&lt;&gt;"", XLOOKUP($F101,Productos!$A$2:$A1001,Productos!W$2:W1001,"")*$G101,"")</f>
        <v/>
      </c>
      <c r="AE101" s="179" t="str">
        <f t="array" ref="AE101">IF($F101&lt;&gt;"",XLOOKUP($F101,Productos!$A:$A,Productos!X:X,"Revisar"),"")</f>
        <v/>
      </c>
      <c r="AF101" s="179" t="str">
        <f t="array" ref="AF101">IF($F101&lt;&gt;"", XLOOKUP($F101,Productos!$A$2:$A1001,Productos!Y$2:Y1001,"")*$G101,"")</f>
        <v/>
      </c>
      <c r="AG101" s="179" t="str">
        <f t="array" ref="AG101">IF($F101&lt;&gt;"",XLOOKUP($F101,Productos!$A:$A,Productos!Z:Z,"Revisar"),"")</f>
        <v/>
      </c>
      <c r="AH101" s="179" t="str">
        <f t="array" ref="AH101">IF($F101&lt;&gt;"", XLOOKUP($F101,Productos!$A$2:$A1001,Productos!AA$2:AA1001,"")*$G101,"")</f>
        <v/>
      </c>
      <c r="AI101" s="179" t="str">
        <f t="array" ref="AI101">IF($F101&lt;&gt;"",XLOOKUP($F101,Productos!$A:$A,Productos!AB:AB,"Revisar"),"")</f>
        <v/>
      </c>
      <c r="AJ101" s="179" t="str">
        <f t="array" ref="AJ101">IF($F101&lt;&gt;"", XLOOKUP($F101,Productos!$A$2:$A1001,Productos!AC$2:AC1001,"")*$G101,"")</f>
        <v/>
      </c>
      <c r="AK101" s="179" t="str">
        <f t="array" ref="AK101">IF($F101&lt;&gt;"",XLOOKUP($F101,Productos!$A:$A,Productos!AD:AD,"Revisar"),"")</f>
        <v/>
      </c>
      <c r="AL101" s="179" t="str">
        <f t="array" ref="AL101">IF($F101&lt;&gt;"", XLOOKUP($F101,Productos!$A$2:$A1001,Productos!AE$2:AE1001,"")*$G101,"")</f>
        <v/>
      </c>
      <c r="AM101" s="179" t="str">
        <f t="array" ref="AM101">IF($F101&lt;&gt;"",XLOOKUP($F101,Productos!$A:$A,Productos!AF:AF,"Revisar"),"")</f>
        <v/>
      </c>
      <c r="AN101" s="179" t="str">
        <f t="array" ref="AN101">IF($F101&lt;&gt;"", XLOOKUP($F101,Productos!$A$2:$A1001,Productos!AG$2:AG1001,"")*$G101,"")</f>
        <v/>
      </c>
      <c r="AO101" s="179" t="str">
        <f t="array" ref="AO101">IF($F101&lt;&gt;"",XLOOKUP($F101,Productos!$A:$A,Productos!AH:AH,"Revisar"),"")</f>
        <v/>
      </c>
      <c r="AP101" s="179" t="str">
        <f t="array" ref="AP101">IF($F101&lt;&gt;"", XLOOKUP($F101,Productos!$A$2:$A1001,Productos!AI$2:AI1001,"")*$G101,"")</f>
        <v/>
      </c>
      <c r="AQ101" s="179" t="str">
        <f t="array" ref="AQ101">IF($F101&lt;&gt;"",XLOOKUP($F101,Productos!$A:$A,Productos!AJ:AJ,"Revisar"),"")</f>
        <v/>
      </c>
      <c r="AR101" s="179" t="str">
        <f t="array" ref="AR101">IF($F101&lt;&gt;"", XLOOKUP($F101,Productos!$A$2:$A1001,Productos!AK$2:AK1001,"")*$G101,"")</f>
        <v/>
      </c>
      <c r="AS101" s="179" t="str">
        <f t="array" ref="AS101">IF($F101&lt;&gt;"",XLOOKUP($F101,Productos!$A:$A,Productos!AL:AL,"Revisar"),"")</f>
        <v/>
      </c>
      <c r="AT101" s="179" t="str">
        <f t="array" ref="AT101">IF($F101&lt;&gt;"", XLOOKUP($F101,Productos!$A$2:$A1001,Productos!AM$2:AM1001,"")*$G101,"")</f>
        <v/>
      </c>
      <c r="AU101" s="179" t="str">
        <f t="array" ref="AU101">IF($F101&lt;&gt;"",XLOOKUP($F101,Productos!$A:$A,Productos!AN:AN,"Revisar"),"")</f>
        <v/>
      </c>
      <c r="AV101" s="179" t="str">
        <f t="array" ref="AV101">IF($F101&lt;&gt;"", XLOOKUP($F101,Productos!$A$2:$A1001,Productos!AO$2:AO1001,"")*$G101,"")</f>
        <v/>
      </c>
      <c r="AW101" s="179" t="str">
        <f t="array" ref="AW101">IF($F101&lt;&gt;"",XLOOKUP($F101,Productos!$A:$A,Productos!AP:AP,"Revisar"),"")</f>
        <v/>
      </c>
      <c r="AX101" s="179" t="str">
        <f t="array" ref="AX101">IF($F101&lt;&gt;"", XLOOKUP($F101,Productos!$A$2:$A1001,Productos!AQ$2:AQ1001,"")*$G101,"")</f>
        <v/>
      </c>
      <c r="AY101" s="179" t="str">
        <f t="array" ref="AY101">IF($F101&lt;&gt;"",XLOOKUP($F101,Productos!$A:$A,Productos!AR:AR,"Revisar"),"")</f>
        <v/>
      </c>
      <c r="AZ101" s="179" t="str">
        <f t="array" ref="AZ101">IF($F101&lt;&gt;"", XLOOKUP($F101,Productos!$A$2:$A1001,Productos!AS$2:AS1001,"")*$G101,"")</f>
        <v/>
      </c>
      <c r="BA101" s="179" t="str">
        <f t="array" ref="BA101">IF($F101&lt;&gt;"",XLOOKUP($F101,Productos!$A:$A,Productos!AT:AT,"Revisar"),"")</f>
        <v/>
      </c>
      <c r="BB101" s="179" t="str">
        <f t="array" ref="BB101">IF($F101&lt;&gt;"", XLOOKUP($F101,Productos!$A$2:$A1001,Productos!AU$2:AU1001,"")*$G101,"")</f>
        <v/>
      </c>
      <c r="BC101" s="179" t="str">
        <f t="array" ref="BC101">IF($F101&lt;&gt;"",XLOOKUP($F101,Productos!$A:$A,Productos!AV:AV,"Revisar"),"")</f>
        <v/>
      </c>
      <c r="BD101" s="179" t="str">
        <f t="array" ref="BD101">IF($F101&lt;&gt;"", XLOOKUP($F101,Productos!$A$2:$A1001,Productos!AW$2:AW1001,"")*$G101,"")</f>
        <v/>
      </c>
      <c r="BE101" s="179" t="str">
        <f t="array" ref="BE101">IF($F101&lt;&gt;"",XLOOKUP($F101,Productos!$A:$A,Productos!AX:AX,"Revisar"),"")</f>
        <v/>
      </c>
      <c r="BF101" s="179" t="str">
        <f t="array" ref="BF101">IF($F101&lt;&gt;"", XLOOKUP($F101,Productos!$A$2:$A1001,Productos!AY$2:AY1001,"")*$G101,"")</f>
        <v/>
      </c>
      <c r="BG101" s="179" t="str">
        <f t="array" ref="BG101">IF($F101&lt;&gt;"",XLOOKUP($F101,Productos!$A:$A,Productos!AZ:AZ,"Revisar"),"")</f>
        <v/>
      </c>
      <c r="BH101" s="179" t="str">
        <f t="array" ref="BH101">IF($F101&lt;&gt;"", XLOOKUP($F101,Productos!$A$2:$A1001,Productos!BA$2:BA1001,"")*$G101,"")</f>
        <v/>
      </c>
      <c r="BI101" s="179" t="str">
        <f t="array" ref="BI101">IF($F101&lt;&gt;"",XLOOKUP($F101,Productos!$A:$A,Productos!BB:BB,"Revisar"),"")</f>
        <v/>
      </c>
      <c r="BJ101" s="179" t="str">
        <f t="array" ref="BJ101">IF($F101&lt;&gt;"", XLOOKUP($F101,Productos!$A$2:$A1001,Productos!BC$2:BC1001,"")*$G101,"")</f>
        <v/>
      </c>
      <c r="BK101" s="179" t="str">
        <f t="array" ref="BK101">IF($F101&lt;&gt;"",XLOOKUP($F101,Productos!$A:$A,Productos!BD:BD,"Revisar"),"")</f>
        <v/>
      </c>
      <c r="BL101" s="179" t="str">
        <f t="array" ref="BL101">IF($F101&lt;&gt;"", XLOOKUP($F101,Productos!$A$2:$A1001,Productos!BE$2:BE1001,"")*$G101,"")</f>
        <v/>
      </c>
      <c r="BM101" s="179" t="str">
        <f t="array" ref="BM101">IF($F101&lt;&gt;"",XLOOKUP($F101,Productos!$A:$A,Productos!BF:BF,"Revisar"),"")</f>
        <v/>
      </c>
      <c r="BN101" s="179" t="str">
        <f t="array" ref="BN101">IF($F101&lt;&gt;"", XLOOKUP($F101,Productos!$A$2:$A1001,Productos!BG$2:BG1001,"")*$G101,"")</f>
        <v/>
      </c>
      <c r="BO101" s="179" t="str">
        <f t="array" ref="BO101">IF($F101&lt;&gt;"",XLOOKUP($F101,Productos!$A:$A,Productos!BH:BH,"Revisar"),"")</f>
        <v/>
      </c>
      <c r="BP101" s="179" t="str">
        <f t="array" ref="BP101">IF($F101&lt;&gt;"", XLOOKUP($F101,Productos!$A$2:$A1001,Productos!BI$2:BI1001,"")*$G101,"")</f>
        <v/>
      </c>
      <c r="BQ101" s="179" t="str">
        <f t="array" ref="BQ101">IF($F101&lt;&gt;"",XLOOKUP($F101,Productos!$A:$A,Productos!BJ:BJ,"Revisar"),"")</f>
        <v/>
      </c>
      <c r="BR101" s="179" t="str">
        <f t="array" ref="BR101">IF($F101&lt;&gt;"", XLOOKUP($F101,Productos!$A$2:$A1001,Productos!BK$2:BK1001,"")*$G101,"")</f>
        <v/>
      </c>
      <c r="BS101" s="179" t="str">
        <f t="array" ref="BS101">IF($F101&lt;&gt;"",XLOOKUP($F101,Productos!$A:$A,Productos!BL:BL,"Revisar"),"")</f>
        <v/>
      </c>
      <c r="BT101" s="179" t="str">
        <f t="array" ref="BT101">IF($F101&lt;&gt;"", XLOOKUP($F101,Productos!$A$2:$A1001,Productos!BM$2:BM1001,"")*$G101,"")</f>
        <v/>
      </c>
      <c r="BU101" s="179" t="str">
        <f t="array" ref="BU101">IF($F101&lt;&gt;"",XLOOKUP($F101,Productos!$A:$A,Productos!BN:BN,"Revisar"),"")</f>
        <v/>
      </c>
      <c r="BV101" s="179" t="str">
        <f t="array" ref="BV101">IF($F101&lt;&gt;"", XLOOKUP($F101,Productos!$A$2:$A1001,Productos!BO$2:BO1001,"")*$G101,"")</f>
        <v/>
      </c>
      <c r="BW101" s="179" t="str">
        <f t="array" ref="BW101">IF($F101&lt;&gt;"",XLOOKUP($F101,Productos!$A:$A,Productos!BP:BP,"Revisar"),"")</f>
        <v/>
      </c>
      <c r="BX101" s="179" t="str">
        <f t="array" ref="BX101">IF($F101&lt;&gt;"", XLOOKUP($F101,Productos!$A$2:$A1001,Productos!BQ$2:BQ1001,"")*$G101,"")</f>
        <v/>
      </c>
      <c r="BY101" s="179" t="str">
        <f t="array" ref="BY101">IF($F101&lt;&gt;"",XLOOKUP($F101,Productos!$A:$A,Productos!BR:BR,"Revisar"),"")</f>
        <v/>
      </c>
      <c r="BZ101" s="179" t="str">
        <f t="array" ref="BZ101">IF($F101&lt;&gt;"", XLOOKUP($F101,Productos!$A$2:$A1001,Productos!BS$2:BS1001,"")*$G101,"")</f>
        <v/>
      </c>
    </row>
    <row r="102">
      <c r="A102" s="180"/>
      <c r="B102" s="181"/>
      <c r="C102" s="182"/>
      <c r="D102" s="182"/>
      <c r="E102" s="185"/>
      <c r="F102" s="186"/>
      <c r="G102" s="187"/>
      <c r="H102" s="186"/>
      <c r="I102" s="179" t="str">
        <f t="array" ref="I102">IF($F102&lt;&gt;"",XLOOKUP($F102,Productos!$A:$A,Productos!B:B,"Revisar"),"")</f>
        <v/>
      </c>
      <c r="J102" s="179" t="str">
        <f t="array" ref="J102">IF($F102&lt;&gt;"", XLOOKUP($F102,Productos!$A$2:$A1001,Productos!C$2:C1001,"")*$G102,"")</f>
        <v/>
      </c>
      <c r="K102" s="179" t="str">
        <f t="array" ref="K102">IF($F102&lt;&gt;"",XLOOKUP($F102,Productos!$A:$A,Productos!D:D,"Revisar"),"")</f>
        <v/>
      </c>
      <c r="L102" s="179" t="str">
        <f t="array" ref="L102">IF($F102&lt;&gt;"", XLOOKUP($F102,Productos!$A$2:$A1001,Productos!E$2:E1001,"")*$G102,"")</f>
        <v/>
      </c>
      <c r="M102" s="179" t="str">
        <f t="array" ref="M102">IF($F102&lt;&gt;"",XLOOKUP($F102,Productos!$A:$A,Productos!F:F,"Revisar"),"")</f>
        <v/>
      </c>
      <c r="N102" s="179" t="str">
        <f t="array" ref="N102">IF($F102&lt;&gt;"", XLOOKUP($F102,Productos!$A$2:$A1001,Productos!G$2:G1001,"")*$G102,"")</f>
        <v/>
      </c>
      <c r="O102" s="179" t="str">
        <f t="array" ref="O102">IF($F102&lt;&gt;"",XLOOKUP($F102,Productos!$A:$A,Productos!H:H,"Revisar"),"")</f>
        <v/>
      </c>
      <c r="P102" s="179" t="str">
        <f t="array" ref="P102">IF($F102&lt;&gt;"", XLOOKUP($F102,Productos!$A$2:$A1001,Productos!I$2:I1001,"")*$G102,"")</f>
        <v/>
      </c>
      <c r="Q102" s="179" t="str">
        <f t="array" ref="Q102">IF($F102&lt;&gt;"",XLOOKUP($F102,Productos!$A:$A,Productos!J:J,"Revisar"),"")</f>
        <v/>
      </c>
      <c r="R102" s="179" t="str">
        <f t="array" ref="R102">IF($F102&lt;&gt;"", XLOOKUP($F102,Productos!$A$2:$A1001,Productos!K$2:K1001,"")*$G102,"")</f>
        <v/>
      </c>
      <c r="S102" s="179" t="str">
        <f t="array" ref="S102">IF($F102&lt;&gt;"",XLOOKUP($F102,Productos!$A:$A,Productos!L:L,"Revisar"),"")</f>
        <v/>
      </c>
      <c r="T102" s="179" t="str">
        <f t="array" ref="T102">IF($F102&lt;&gt;"", XLOOKUP($F102,Productos!$A$2:$A1001,Productos!M$2:M1001,"")*$G102,"")</f>
        <v/>
      </c>
      <c r="U102" s="179" t="str">
        <f t="array" ref="U102">IF($F102&lt;&gt;"",XLOOKUP($F102,Productos!$A:$A,Productos!N:N,"Revisar"),"")</f>
        <v/>
      </c>
      <c r="V102" s="179" t="str">
        <f t="array" ref="V102">IF($F102&lt;&gt;"", XLOOKUP($F102,Productos!$A$2:$A1001,Productos!O$2:O1001,"")*$G102,"")</f>
        <v/>
      </c>
      <c r="W102" s="179" t="str">
        <f t="array" ref="W102">IF($F102&lt;&gt;"",XLOOKUP($F102,Productos!$A:$A,Productos!P:P,"Revisar"),"")</f>
        <v/>
      </c>
      <c r="X102" s="179" t="str">
        <f t="array" ref="X102">IF($F102&lt;&gt;"", XLOOKUP($F102,Productos!$A$2:$A1001,Productos!Q$2:Q1001,"")*$G102,"")</f>
        <v/>
      </c>
      <c r="Y102" s="179" t="str">
        <f t="array" ref="Y102">IF($F102&lt;&gt;"",XLOOKUP($F102,Productos!$A:$A,Productos!R:R,"Revisar"),"")</f>
        <v/>
      </c>
      <c r="Z102" s="179" t="str">
        <f t="array" ref="Z102">IF($F102&lt;&gt;"", XLOOKUP($F102,Productos!$A$2:$A1001,Productos!S$2:S1001,"")*$G102,"")</f>
        <v/>
      </c>
      <c r="AA102" s="179" t="str">
        <f t="array" ref="AA102">IF($F102&lt;&gt;"",XLOOKUP($F102,Productos!$A:$A,Productos!T:T,"Revisar"),"")</f>
        <v/>
      </c>
      <c r="AB102" s="179" t="str">
        <f t="array" ref="AB102">IF($F102&lt;&gt;"", XLOOKUP($F102,Productos!$A$2:$A1001,Productos!U$2:U1001,"")*$G102,"")</f>
        <v/>
      </c>
      <c r="AC102" s="179" t="str">
        <f t="array" ref="AC102">IF($F102&lt;&gt;"",XLOOKUP($F102,Productos!$A:$A,Productos!V:V,"Revisar"),"")</f>
        <v/>
      </c>
      <c r="AD102" s="179" t="str">
        <f t="array" ref="AD102">IF($F102&lt;&gt;"", XLOOKUP($F102,Productos!$A$2:$A1001,Productos!W$2:W1001,"")*$G102,"")</f>
        <v/>
      </c>
      <c r="AE102" s="179" t="str">
        <f t="array" ref="AE102">IF($F102&lt;&gt;"",XLOOKUP($F102,Productos!$A:$A,Productos!X:X,"Revisar"),"")</f>
        <v/>
      </c>
      <c r="AF102" s="179" t="str">
        <f t="array" ref="AF102">IF($F102&lt;&gt;"", XLOOKUP($F102,Productos!$A$2:$A1001,Productos!Y$2:Y1001,"")*$G102,"")</f>
        <v/>
      </c>
      <c r="AG102" s="179" t="str">
        <f t="array" ref="AG102">IF($F102&lt;&gt;"",XLOOKUP($F102,Productos!$A:$A,Productos!Z:Z,"Revisar"),"")</f>
        <v/>
      </c>
      <c r="AH102" s="179" t="str">
        <f t="array" ref="AH102">IF($F102&lt;&gt;"", XLOOKUP($F102,Productos!$A$2:$A1001,Productos!AA$2:AA1001,"")*$G102,"")</f>
        <v/>
      </c>
      <c r="AI102" s="179" t="str">
        <f t="array" ref="AI102">IF($F102&lt;&gt;"",XLOOKUP($F102,Productos!$A:$A,Productos!AB:AB,"Revisar"),"")</f>
        <v/>
      </c>
      <c r="AJ102" s="179" t="str">
        <f t="array" ref="AJ102">IF($F102&lt;&gt;"", XLOOKUP($F102,Productos!$A$2:$A1001,Productos!AC$2:AC1001,"")*$G102,"")</f>
        <v/>
      </c>
      <c r="AK102" s="179" t="str">
        <f t="array" ref="AK102">IF($F102&lt;&gt;"",XLOOKUP($F102,Productos!$A:$A,Productos!AD:AD,"Revisar"),"")</f>
        <v/>
      </c>
      <c r="AL102" s="179" t="str">
        <f t="array" ref="AL102">IF($F102&lt;&gt;"", XLOOKUP($F102,Productos!$A$2:$A1001,Productos!AE$2:AE1001,"")*$G102,"")</f>
        <v/>
      </c>
      <c r="AM102" s="179" t="str">
        <f t="array" ref="AM102">IF($F102&lt;&gt;"",XLOOKUP($F102,Productos!$A:$A,Productos!AF:AF,"Revisar"),"")</f>
        <v/>
      </c>
      <c r="AN102" s="179" t="str">
        <f t="array" ref="AN102">IF($F102&lt;&gt;"", XLOOKUP($F102,Productos!$A$2:$A1001,Productos!AG$2:AG1001,"")*$G102,"")</f>
        <v/>
      </c>
      <c r="AO102" s="179" t="str">
        <f t="array" ref="AO102">IF($F102&lt;&gt;"",XLOOKUP($F102,Productos!$A:$A,Productos!AH:AH,"Revisar"),"")</f>
        <v/>
      </c>
      <c r="AP102" s="179" t="str">
        <f t="array" ref="AP102">IF($F102&lt;&gt;"", XLOOKUP($F102,Productos!$A$2:$A1001,Productos!AI$2:AI1001,"")*$G102,"")</f>
        <v/>
      </c>
      <c r="AQ102" s="179" t="str">
        <f t="array" ref="AQ102">IF($F102&lt;&gt;"",XLOOKUP($F102,Productos!$A:$A,Productos!AJ:AJ,"Revisar"),"")</f>
        <v/>
      </c>
      <c r="AR102" s="179" t="str">
        <f t="array" ref="AR102">IF($F102&lt;&gt;"", XLOOKUP($F102,Productos!$A$2:$A1001,Productos!AK$2:AK1001,"")*$G102,"")</f>
        <v/>
      </c>
      <c r="AS102" s="179" t="str">
        <f t="array" ref="AS102">IF($F102&lt;&gt;"",XLOOKUP($F102,Productos!$A:$A,Productos!AL:AL,"Revisar"),"")</f>
        <v/>
      </c>
      <c r="AT102" s="179" t="str">
        <f t="array" ref="AT102">IF($F102&lt;&gt;"", XLOOKUP($F102,Productos!$A$2:$A1001,Productos!AM$2:AM1001,"")*$G102,"")</f>
        <v/>
      </c>
      <c r="AU102" s="179" t="str">
        <f t="array" ref="AU102">IF($F102&lt;&gt;"",XLOOKUP($F102,Productos!$A:$A,Productos!AN:AN,"Revisar"),"")</f>
        <v/>
      </c>
      <c r="AV102" s="179" t="str">
        <f t="array" ref="AV102">IF($F102&lt;&gt;"", XLOOKUP($F102,Productos!$A$2:$A1001,Productos!AO$2:AO1001,"")*$G102,"")</f>
        <v/>
      </c>
      <c r="AW102" s="179" t="str">
        <f t="array" ref="AW102">IF($F102&lt;&gt;"",XLOOKUP($F102,Productos!$A:$A,Productos!AP:AP,"Revisar"),"")</f>
        <v/>
      </c>
      <c r="AX102" s="179" t="str">
        <f t="array" ref="AX102">IF($F102&lt;&gt;"", XLOOKUP($F102,Productos!$A$2:$A1001,Productos!AQ$2:AQ1001,"")*$G102,"")</f>
        <v/>
      </c>
      <c r="AY102" s="179" t="str">
        <f t="array" ref="AY102">IF($F102&lt;&gt;"",XLOOKUP($F102,Productos!$A:$A,Productos!AR:AR,"Revisar"),"")</f>
        <v/>
      </c>
      <c r="AZ102" s="179" t="str">
        <f t="array" ref="AZ102">IF($F102&lt;&gt;"", XLOOKUP($F102,Productos!$A$2:$A1001,Productos!AS$2:AS1001,"")*$G102,"")</f>
        <v/>
      </c>
      <c r="BA102" s="179" t="str">
        <f t="array" ref="BA102">IF($F102&lt;&gt;"",XLOOKUP($F102,Productos!$A:$A,Productos!AT:AT,"Revisar"),"")</f>
        <v/>
      </c>
      <c r="BB102" s="179" t="str">
        <f t="array" ref="BB102">IF($F102&lt;&gt;"", XLOOKUP($F102,Productos!$A$2:$A1001,Productos!AU$2:AU1001,"")*$G102,"")</f>
        <v/>
      </c>
      <c r="BC102" s="179" t="str">
        <f t="array" ref="BC102">IF($F102&lt;&gt;"",XLOOKUP($F102,Productos!$A:$A,Productos!AV:AV,"Revisar"),"")</f>
        <v/>
      </c>
      <c r="BD102" s="179" t="str">
        <f t="array" ref="BD102">IF($F102&lt;&gt;"", XLOOKUP($F102,Productos!$A$2:$A1001,Productos!AW$2:AW1001,"")*$G102,"")</f>
        <v/>
      </c>
      <c r="BE102" s="179" t="str">
        <f t="array" ref="BE102">IF($F102&lt;&gt;"",XLOOKUP($F102,Productos!$A:$A,Productos!AX:AX,"Revisar"),"")</f>
        <v/>
      </c>
      <c r="BF102" s="179" t="str">
        <f t="array" ref="BF102">IF($F102&lt;&gt;"", XLOOKUP($F102,Productos!$A$2:$A1001,Productos!AY$2:AY1001,"")*$G102,"")</f>
        <v/>
      </c>
      <c r="BG102" s="179" t="str">
        <f t="array" ref="BG102">IF($F102&lt;&gt;"",XLOOKUP($F102,Productos!$A:$A,Productos!AZ:AZ,"Revisar"),"")</f>
        <v/>
      </c>
      <c r="BH102" s="179" t="str">
        <f t="array" ref="BH102">IF($F102&lt;&gt;"", XLOOKUP($F102,Productos!$A$2:$A1001,Productos!BA$2:BA1001,"")*$G102,"")</f>
        <v/>
      </c>
      <c r="BI102" s="179" t="str">
        <f t="array" ref="BI102">IF($F102&lt;&gt;"",XLOOKUP($F102,Productos!$A:$A,Productos!BB:BB,"Revisar"),"")</f>
        <v/>
      </c>
      <c r="BJ102" s="179" t="str">
        <f t="array" ref="BJ102">IF($F102&lt;&gt;"", XLOOKUP($F102,Productos!$A$2:$A1001,Productos!BC$2:BC1001,"")*$G102,"")</f>
        <v/>
      </c>
      <c r="BK102" s="179" t="str">
        <f t="array" ref="BK102">IF($F102&lt;&gt;"",XLOOKUP($F102,Productos!$A:$A,Productos!BD:BD,"Revisar"),"")</f>
        <v/>
      </c>
      <c r="BL102" s="179" t="str">
        <f t="array" ref="BL102">IF($F102&lt;&gt;"", XLOOKUP($F102,Productos!$A$2:$A1001,Productos!BE$2:BE1001,"")*$G102,"")</f>
        <v/>
      </c>
      <c r="BM102" s="179" t="str">
        <f t="array" ref="BM102">IF($F102&lt;&gt;"",XLOOKUP($F102,Productos!$A:$A,Productos!BF:BF,"Revisar"),"")</f>
        <v/>
      </c>
      <c r="BN102" s="179" t="str">
        <f t="array" ref="BN102">IF($F102&lt;&gt;"", XLOOKUP($F102,Productos!$A$2:$A1001,Productos!BG$2:BG1001,"")*$G102,"")</f>
        <v/>
      </c>
      <c r="BO102" s="179" t="str">
        <f t="array" ref="BO102">IF($F102&lt;&gt;"",XLOOKUP($F102,Productos!$A:$A,Productos!BH:BH,"Revisar"),"")</f>
        <v/>
      </c>
      <c r="BP102" s="179" t="str">
        <f t="array" ref="BP102">IF($F102&lt;&gt;"", XLOOKUP($F102,Productos!$A$2:$A1001,Productos!BI$2:BI1001,"")*$G102,"")</f>
        <v/>
      </c>
      <c r="BQ102" s="179" t="str">
        <f t="array" ref="BQ102">IF($F102&lt;&gt;"",XLOOKUP($F102,Productos!$A:$A,Productos!BJ:BJ,"Revisar"),"")</f>
        <v/>
      </c>
      <c r="BR102" s="179" t="str">
        <f t="array" ref="BR102">IF($F102&lt;&gt;"", XLOOKUP($F102,Productos!$A$2:$A1001,Productos!BK$2:BK1001,"")*$G102,"")</f>
        <v/>
      </c>
      <c r="BS102" s="179" t="str">
        <f t="array" ref="BS102">IF($F102&lt;&gt;"",XLOOKUP($F102,Productos!$A:$A,Productos!BL:BL,"Revisar"),"")</f>
        <v/>
      </c>
      <c r="BT102" s="179" t="str">
        <f t="array" ref="BT102">IF($F102&lt;&gt;"", XLOOKUP($F102,Productos!$A$2:$A1001,Productos!BM$2:BM1001,"")*$G102,"")</f>
        <v/>
      </c>
      <c r="BU102" s="179" t="str">
        <f t="array" ref="BU102">IF($F102&lt;&gt;"",XLOOKUP($F102,Productos!$A:$A,Productos!BN:BN,"Revisar"),"")</f>
        <v/>
      </c>
      <c r="BV102" s="179" t="str">
        <f t="array" ref="BV102">IF($F102&lt;&gt;"", XLOOKUP($F102,Productos!$A$2:$A1001,Productos!BO$2:BO1001,"")*$G102,"")</f>
        <v/>
      </c>
      <c r="BW102" s="179" t="str">
        <f t="array" ref="BW102">IF($F102&lt;&gt;"",XLOOKUP($F102,Productos!$A:$A,Productos!BP:BP,"Revisar"),"")</f>
        <v/>
      </c>
      <c r="BX102" s="179" t="str">
        <f t="array" ref="BX102">IF($F102&lt;&gt;"", XLOOKUP($F102,Productos!$A$2:$A1001,Productos!BQ$2:BQ1001,"")*$G102,"")</f>
        <v/>
      </c>
      <c r="BY102" s="179" t="str">
        <f t="array" ref="BY102">IF($F102&lt;&gt;"",XLOOKUP($F102,Productos!$A:$A,Productos!BR:BR,"Revisar"),"")</f>
        <v/>
      </c>
      <c r="BZ102" s="179" t="str">
        <f t="array" ref="BZ102">IF($F102&lt;&gt;"", XLOOKUP($F102,Productos!$A$2:$A1001,Productos!BS$2:BS1001,"")*$G102,"")</f>
        <v/>
      </c>
    </row>
    <row r="103">
      <c r="A103" s="180"/>
      <c r="B103" s="181"/>
      <c r="C103" s="182"/>
      <c r="D103" s="182"/>
      <c r="E103" s="185"/>
      <c r="F103" s="186"/>
      <c r="G103" s="187"/>
      <c r="H103" s="186"/>
      <c r="I103" s="179" t="str">
        <f t="array" ref="I103">IF($F103&lt;&gt;"",XLOOKUP($F103,Productos!$A:$A,Productos!B:B,"Revisar"),"")</f>
        <v/>
      </c>
      <c r="J103" s="179" t="str">
        <f t="array" ref="J103">IF($F103&lt;&gt;"", XLOOKUP($F103,Productos!$A$2:$A1001,Productos!C$2:C1001,"")*$G103,"")</f>
        <v/>
      </c>
      <c r="K103" s="179" t="str">
        <f t="array" ref="K103">IF($F103&lt;&gt;"",XLOOKUP($F103,Productos!$A:$A,Productos!D:D,"Revisar"),"")</f>
        <v/>
      </c>
      <c r="L103" s="179" t="str">
        <f t="array" ref="L103">IF($F103&lt;&gt;"", XLOOKUP($F103,Productos!$A$2:$A1001,Productos!E$2:E1001,"")*$G103,"")</f>
        <v/>
      </c>
      <c r="M103" s="179" t="str">
        <f t="array" ref="M103">IF($F103&lt;&gt;"",XLOOKUP($F103,Productos!$A:$A,Productos!F:F,"Revisar"),"")</f>
        <v/>
      </c>
      <c r="N103" s="179" t="str">
        <f t="array" ref="N103">IF($F103&lt;&gt;"", XLOOKUP($F103,Productos!$A$2:$A1001,Productos!G$2:G1001,"")*$G103,"")</f>
        <v/>
      </c>
      <c r="O103" s="179" t="str">
        <f t="array" ref="O103">IF($F103&lt;&gt;"",XLOOKUP($F103,Productos!$A:$A,Productos!H:H,"Revisar"),"")</f>
        <v/>
      </c>
      <c r="P103" s="179" t="str">
        <f t="array" ref="P103">IF($F103&lt;&gt;"", XLOOKUP($F103,Productos!$A$2:$A1001,Productos!I$2:I1001,"")*$G103,"")</f>
        <v/>
      </c>
      <c r="Q103" s="179" t="str">
        <f t="array" ref="Q103">IF($F103&lt;&gt;"",XLOOKUP($F103,Productos!$A:$A,Productos!J:J,"Revisar"),"")</f>
        <v/>
      </c>
      <c r="R103" s="179" t="str">
        <f t="array" ref="R103">IF($F103&lt;&gt;"", XLOOKUP($F103,Productos!$A$2:$A1001,Productos!K$2:K1001,"")*$G103,"")</f>
        <v/>
      </c>
      <c r="S103" s="179" t="str">
        <f t="array" ref="S103">IF($F103&lt;&gt;"",XLOOKUP($F103,Productos!$A:$A,Productos!L:L,"Revisar"),"")</f>
        <v/>
      </c>
      <c r="T103" s="179" t="str">
        <f t="array" ref="T103">IF($F103&lt;&gt;"", XLOOKUP($F103,Productos!$A$2:$A1001,Productos!M$2:M1001,"")*$G103,"")</f>
        <v/>
      </c>
      <c r="U103" s="179" t="str">
        <f t="array" ref="U103">IF($F103&lt;&gt;"",XLOOKUP($F103,Productos!$A:$A,Productos!N:N,"Revisar"),"")</f>
        <v/>
      </c>
      <c r="V103" s="179" t="str">
        <f t="array" ref="V103">IF($F103&lt;&gt;"", XLOOKUP($F103,Productos!$A$2:$A1001,Productos!O$2:O1001,"")*$G103,"")</f>
        <v/>
      </c>
      <c r="W103" s="179" t="str">
        <f t="array" ref="W103">IF($F103&lt;&gt;"",XLOOKUP($F103,Productos!$A:$A,Productos!P:P,"Revisar"),"")</f>
        <v/>
      </c>
      <c r="X103" s="179" t="str">
        <f t="array" ref="X103">IF($F103&lt;&gt;"", XLOOKUP($F103,Productos!$A$2:$A1001,Productos!Q$2:Q1001,"")*$G103,"")</f>
        <v/>
      </c>
      <c r="Y103" s="179" t="str">
        <f t="array" ref="Y103">IF($F103&lt;&gt;"",XLOOKUP($F103,Productos!$A:$A,Productos!R:R,"Revisar"),"")</f>
        <v/>
      </c>
      <c r="Z103" s="179" t="str">
        <f t="array" ref="Z103">IF($F103&lt;&gt;"", XLOOKUP($F103,Productos!$A$2:$A1001,Productos!S$2:S1001,"")*$G103,"")</f>
        <v/>
      </c>
      <c r="AA103" s="179" t="str">
        <f t="array" ref="AA103">IF($F103&lt;&gt;"",XLOOKUP($F103,Productos!$A:$A,Productos!T:T,"Revisar"),"")</f>
        <v/>
      </c>
      <c r="AB103" s="179" t="str">
        <f t="array" ref="AB103">IF($F103&lt;&gt;"", XLOOKUP($F103,Productos!$A$2:$A1001,Productos!U$2:U1001,"")*$G103,"")</f>
        <v/>
      </c>
      <c r="AC103" s="179" t="str">
        <f t="array" ref="AC103">IF($F103&lt;&gt;"",XLOOKUP($F103,Productos!$A:$A,Productos!V:V,"Revisar"),"")</f>
        <v/>
      </c>
      <c r="AD103" s="179" t="str">
        <f t="array" ref="AD103">IF($F103&lt;&gt;"", XLOOKUP($F103,Productos!$A$2:$A1001,Productos!W$2:W1001,"")*$G103,"")</f>
        <v/>
      </c>
      <c r="AE103" s="179" t="str">
        <f t="array" ref="AE103">IF($F103&lt;&gt;"",XLOOKUP($F103,Productos!$A:$A,Productos!X:X,"Revisar"),"")</f>
        <v/>
      </c>
      <c r="AF103" s="179" t="str">
        <f t="array" ref="AF103">IF($F103&lt;&gt;"", XLOOKUP($F103,Productos!$A$2:$A1001,Productos!Y$2:Y1001,"")*$G103,"")</f>
        <v/>
      </c>
      <c r="AG103" s="179" t="str">
        <f t="array" ref="AG103">IF($F103&lt;&gt;"",XLOOKUP($F103,Productos!$A:$A,Productos!Z:Z,"Revisar"),"")</f>
        <v/>
      </c>
      <c r="AH103" s="179" t="str">
        <f t="array" ref="AH103">IF($F103&lt;&gt;"", XLOOKUP($F103,Productos!$A$2:$A1001,Productos!AA$2:AA1001,"")*$G103,"")</f>
        <v/>
      </c>
      <c r="AI103" s="179" t="str">
        <f t="array" ref="AI103">IF($F103&lt;&gt;"",XLOOKUP($F103,Productos!$A:$A,Productos!AB:AB,"Revisar"),"")</f>
        <v/>
      </c>
      <c r="AJ103" s="179" t="str">
        <f t="array" ref="AJ103">IF($F103&lt;&gt;"", XLOOKUP($F103,Productos!$A$2:$A1001,Productos!AC$2:AC1001,"")*$G103,"")</f>
        <v/>
      </c>
      <c r="AK103" s="179" t="str">
        <f t="array" ref="AK103">IF($F103&lt;&gt;"",XLOOKUP($F103,Productos!$A:$A,Productos!AD:AD,"Revisar"),"")</f>
        <v/>
      </c>
      <c r="AL103" s="179" t="str">
        <f t="array" ref="AL103">IF($F103&lt;&gt;"", XLOOKUP($F103,Productos!$A$2:$A1001,Productos!AE$2:AE1001,"")*$G103,"")</f>
        <v/>
      </c>
      <c r="AM103" s="179" t="str">
        <f t="array" ref="AM103">IF($F103&lt;&gt;"",XLOOKUP($F103,Productos!$A:$A,Productos!AF:AF,"Revisar"),"")</f>
        <v/>
      </c>
      <c r="AN103" s="179" t="str">
        <f t="array" ref="AN103">IF($F103&lt;&gt;"", XLOOKUP($F103,Productos!$A$2:$A1001,Productos!AG$2:AG1001,"")*$G103,"")</f>
        <v/>
      </c>
      <c r="AO103" s="179" t="str">
        <f t="array" ref="AO103">IF($F103&lt;&gt;"",XLOOKUP($F103,Productos!$A:$A,Productos!AH:AH,"Revisar"),"")</f>
        <v/>
      </c>
      <c r="AP103" s="179" t="str">
        <f t="array" ref="AP103">IF($F103&lt;&gt;"", XLOOKUP($F103,Productos!$A$2:$A1001,Productos!AI$2:AI1001,"")*$G103,"")</f>
        <v/>
      </c>
      <c r="AQ103" s="179" t="str">
        <f t="array" ref="AQ103">IF($F103&lt;&gt;"",XLOOKUP($F103,Productos!$A:$A,Productos!AJ:AJ,"Revisar"),"")</f>
        <v/>
      </c>
      <c r="AR103" s="179" t="str">
        <f t="array" ref="AR103">IF($F103&lt;&gt;"", XLOOKUP($F103,Productos!$A$2:$A1001,Productos!AK$2:AK1001,"")*$G103,"")</f>
        <v/>
      </c>
      <c r="AS103" s="179" t="str">
        <f t="array" ref="AS103">IF($F103&lt;&gt;"",XLOOKUP($F103,Productos!$A:$A,Productos!AL:AL,"Revisar"),"")</f>
        <v/>
      </c>
      <c r="AT103" s="179" t="str">
        <f t="array" ref="AT103">IF($F103&lt;&gt;"", XLOOKUP($F103,Productos!$A$2:$A1001,Productos!AM$2:AM1001,"")*$G103,"")</f>
        <v/>
      </c>
      <c r="AU103" s="179" t="str">
        <f t="array" ref="AU103">IF($F103&lt;&gt;"",XLOOKUP($F103,Productos!$A:$A,Productos!AN:AN,"Revisar"),"")</f>
        <v/>
      </c>
      <c r="AV103" s="179" t="str">
        <f t="array" ref="AV103">IF($F103&lt;&gt;"", XLOOKUP($F103,Productos!$A$2:$A1001,Productos!AO$2:AO1001,"")*$G103,"")</f>
        <v/>
      </c>
      <c r="AW103" s="179" t="str">
        <f t="array" ref="AW103">IF($F103&lt;&gt;"",XLOOKUP($F103,Productos!$A:$A,Productos!AP:AP,"Revisar"),"")</f>
        <v/>
      </c>
      <c r="AX103" s="179" t="str">
        <f t="array" ref="AX103">IF($F103&lt;&gt;"", XLOOKUP($F103,Productos!$A$2:$A1001,Productos!AQ$2:AQ1001,"")*$G103,"")</f>
        <v/>
      </c>
      <c r="AY103" s="179" t="str">
        <f t="array" ref="AY103">IF($F103&lt;&gt;"",XLOOKUP($F103,Productos!$A:$A,Productos!AR:AR,"Revisar"),"")</f>
        <v/>
      </c>
      <c r="AZ103" s="179" t="str">
        <f t="array" ref="AZ103">IF($F103&lt;&gt;"", XLOOKUP($F103,Productos!$A$2:$A1001,Productos!AS$2:AS1001,"")*$G103,"")</f>
        <v/>
      </c>
      <c r="BA103" s="179" t="str">
        <f t="array" ref="BA103">IF($F103&lt;&gt;"",XLOOKUP($F103,Productos!$A:$A,Productos!AT:AT,"Revisar"),"")</f>
        <v/>
      </c>
      <c r="BB103" s="179" t="str">
        <f t="array" ref="BB103">IF($F103&lt;&gt;"", XLOOKUP($F103,Productos!$A$2:$A1001,Productos!AU$2:AU1001,"")*$G103,"")</f>
        <v/>
      </c>
      <c r="BC103" s="179" t="str">
        <f t="array" ref="BC103">IF($F103&lt;&gt;"",XLOOKUP($F103,Productos!$A:$A,Productos!AV:AV,"Revisar"),"")</f>
        <v/>
      </c>
      <c r="BD103" s="179" t="str">
        <f t="array" ref="BD103">IF($F103&lt;&gt;"", XLOOKUP($F103,Productos!$A$2:$A1001,Productos!AW$2:AW1001,"")*$G103,"")</f>
        <v/>
      </c>
      <c r="BE103" s="179" t="str">
        <f t="array" ref="BE103">IF($F103&lt;&gt;"",XLOOKUP($F103,Productos!$A:$A,Productos!AX:AX,"Revisar"),"")</f>
        <v/>
      </c>
      <c r="BF103" s="179" t="str">
        <f t="array" ref="BF103">IF($F103&lt;&gt;"", XLOOKUP($F103,Productos!$A$2:$A1001,Productos!AY$2:AY1001,"")*$G103,"")</f>
        <v/>
      </c>
      <c r="BG103" s="179" t="str">
        <f t="array" ref="BG103">IF($F103&lt;&gt;"",XLOOKUP($F103,Productos!$A:$A,Productos!AZ:AZ,"Revisar"),"")</f>
        <v/>
      </c>
      <c r="BH103" s="179" t="str">
        <f t="array" ref="BH103">IF($F103&lt;&gt;"", XLOOKUP($F103,Productos!$A$2:$A1001,Productos!BA$2:BA1001,"")*$G103,"")</f>
        <v/>
      </c>
      <c r="BI103" s="179" t="str">
        <f t="array" ref="BI103">IF($F103&lt;&gt;"",XLOOKUP($F103,Productos!$A:$A,Productos!BB:BB,"Revisar"),"")</f>
        <v/>
      </c>
      <c r="BJ103" s="179" t="str">
        <f t="array" ref="BJ103">IF($F103&lt;&gt;"", XLOOKUP($F103,Productos!$A$2:$A1001,Productos!BC$2:BC1001,"")*$G103,"")</f>
        <v/>
      </c>
      <c r="BK103" s="179" t="str">
        <f t="array" ref="BK103">IF($F103&lt;&gt;"",XLOOKUP($F103,Productos!$A:$A,Productos!BD:BD,"Revisar"),"")</f>
        <v/>
      </c>
      <c r="BL103" s="179" t="str">
        <f t="array" ref="BL103">IF($F103&lt;&gt;"", XLOOKUP($F103,Productos!$A$2:$A1001,Productos!BE$2:BE1001,"")*$G103,"")</f>
        <v/>
      </c>
      <c r="BM103" s="179" t="str">
        <f t="array" ref="BM103">IF($F103&lt;&gt;"",XLOOKUP($F103,Productos!$A:$A,Productos!BF:BF,"Revisar"),"")</f>
        <v/>
      </c>
      <c r="BN103" s="179" t="str">
        <f t="array" ref="BN103">IF($F103&lt;&gt;"", XLOOKUP($F103,Productos!$A$2:$A1001,Productos!BG$2:BG1001,"")*$G103,"")</f>
        <v/>
      </c>
      <c r="BO103" s="179" t="str">
        <f t="array" ref="BO103">IF($F103&lt;&gt;"",XLOOKUP($F103,Productos!$A:$A,Productos!BH:BH,"Revisar"),"")</f>
        <v/>
      </c>
      <c r="BP103" s="179" t="str">
        <f t="array" ref="BP103">IF($F103&lt;&gt;"", XLOOKUP($F103,Productos!$A$2:$A1001,Productos!BI$2:BI1001,"")*$G103,"")</f>
        <v/>
      </c>
      <c r="BQ103" s="179" t="str">
        <f t="array" ref="BQ103">IF($F103&lt;&gt;"",XLOOKUP($F103,Productos!$A:$A,Productos!BJ:BJ,"Revisar"),"")</f>
        <v/>
      </c>
      <c r="BR103" s="179" t="str">
        <f t="array" ref="BR103">IF($F103&lt;&gt;"", XLOOKUP($F103,Productos!$A$2:$A1001,Productos!BK$2:BK1001,"")*$G103,"")</f>
        <v/>
      </c>
      <c r="BS103" s="179" t="str">
        <f t="array" ref="BS103">IF($F103&lt;&gt;"",XLOOKUP($F103,Productos!$A:$A,Productos!BL:BL,"Revisar"),"")</f>
        <v/>
      </c>
      <c r="BT103" s="179" t="str">
        <f t="array" ref="BT103">IF($F103&lt;&gt;"", XLOOKUP($F103,Productos!$A$2:$A1001,Productos!BM$2:BM1001,"")*$G103,"")</f>
        <v/>
      </c>
      <c r="BU103" s="179" t="str">
        <f t="array" ref="BU103">IF($F103&lt;&gt;"",XLOOKUP($F103,Productos!$A:$A,Productos!BN:BN,"Revisar"),"")</f>
        <v/>
      </c>
      <c r="BV103" s="179" t="str">
        <f t="array" ref="BV103">IF($F103&lt;&gt;"", XLOOKUP($F103,Productos!$A$2:$A1001,Productos!BO$2:BO1001,"")*$G103,"")</f>
        <v/>
      </c>
      <c r="BW103" s="179" t="str">
        <f t="array" ref="BW103">IF($F103&lt;&gt;"",XLOOKUP($F103,Productos!$A:$A,Productos!BP:BP,"Revisar"),"")</f>
        <v/>
      </c>
      <c r="BX103" s="179" t="str">
        <f t="array" ref="BX103">IF($F103&lt;&gt;"", XLOOKUP($F103,Productos!$A$2:$A1001,Productos!BQ$2:BQ1001,"")*$G103,"")</f>
        <v/>
      </c>
      <c r="BY103" s="179" t="str">
        <f t="array" ref="BY103">IF($F103&lt;&gt;"",XLOOKUP($F103,Productos!$A:$A,Productos!BR:BR,"Revisar"),"")</f>
        <v/>
      </c>
      <c r="BZ103" s="179" t="str">
        <f t="array" ref="BZ103">IF($F103&lt;&gt;"", XLOOKUP($F103,Productos!$A$2:$A1001,Productos!BS$2:BS1001,"")*$G103,"")</f>
        <v/>
      </c>
    </row>
    <row r="104">
      <c r="A104" s="180"/>
      <c r="B104" s="181"/>
      <c r="C104" s="182"/>
      <c r="D104" s="182"/>
      <c r="E104" s="185"/>
      <c r="F104" s="186"/>
      <c r="G104" s="187"/>
      <c r="H104" s="186"/>
      <c r="I104" s="179" t="str">
        <f t="array" ref="I104">IF($F104&lt;&gt;"",XLOOKUP($F104,Productos!$A:$A,Productos!B:B,"Revisar"),"")</f>
        <v/>
      </c>
      <c r="J104" s="179" t="str">
        <f t="array" ref="J104">IF($F104&lt;&gt;"", XLOOKUP($F104,Productos!$A$2:$A1001,Productos!C$2:C1001,"")*$G104,"")</f>
        <v/>
      </c>
      <c r="K104" s="179" t="str">
        <f t="array" ref="K104">IF($F104&lt;&gt;"",XLOOKUP($F104,Productos!$A:$A,Productos!D:D,"Revisar"),"")</f>
        <v/>
      </c>
      <c r="L104" s="179" t="str">
        <f t="array" ref="L104">IF($F104&lt;&gt;"", XLOOKUP($F104,Productos!$A$2:$A1001,Productos!E$2:E1001,"")*$G104,"")</f>
        <v/>
      </c>
      <c r="M104" s="179" t="str">
        <f t="array" ref="M104">IF($F104&lt;&gt;"",XLOOKUP($F104,Productos!$A:$A,Productos!F:F,"Revisar"),"")</f>
        <v/>
      </c>
      <c r="N104" s="179" t="str">
        <f t="array" ref="N104">IF($F104&lt;&gt;"", XLOOKUP($F104,Productos!$A$2:$A1001,Productos!G$2:G1001,"")*$G104,"")</f>
        <v/>
      </c>
      <c r="O104" s="179" t="str">
        <f t="array" ref="O104">IF($F104&lt;&gt;"",XLOOKUP($F104,Productos!$A:$A,Productos!H:H,"Revisar"),"")</f>
        <v/>
      </c>
      <c r="P104" s="179" t="str">
        <f t="array" ref="P104">IF($F104&lt;&gt;"", XLOOKUP($F104,Productos!$A$2:$A1001,Productos!I$2:I1001,"")*$G104,"")</f>
        <v/>
      </c>
      <c r="Q104" s="179" t="str">
        <f t="array" ref="Q104">IF($F104&lt;&gt;"",XLOOKUP($F104,Productos!$A:$A,Productos!J:J,"Revisar"),"")</f>
        <v/>
      </c>
      <c r="R104" s="179" t="str">
        <f t="array" ref="R104">IF($F104&lt;&gt;"", XLOOKUP($F104,Productos!$A$2:$A1001,Productos!K$2:K1001,"")*$G104,"")</f>
        <v/>
      </c>
      <c r="S104" s="179" t="str">
        <f t="array" ref="S104">IF($F104&lt;&gt;"",XLOOKUP($F104,Productos!$A:$A,Productos!L:L,"Revisar"),"")</f>
        <v/>
      </c>
      <c r="T104" s="179" t="str">
        <f t="array" ref="T104">IF($F104&lt;&gt;"", XLOOKUP($F104,Productos!$A$2:$A1001,Productos!M$2:M1001,"")*$G104,"")</f>
        <v/>
      </c>
      <c r="U104" s="179" t="str">
        <f t="array" ref="U104">IF($F104&lt;&gt;"",XLOOKUP($F104,Productos!$A:$A,Productos!N:N,"Revisar"),"")</f>
        <v/>
      </c>
      <c r="V104" s="179" t="str">
        <f t="array" ref="V104">IF($F104&lt;&gt;"", XLOOKUP($F104,Productos!$A$2:$A1001,Productos!O$2:O1001,"")*$G104,"")</f>
        <v/>
      </c>
      <c r="W104" s="179" t="str">
        <f t="array" ref="W104">IF($F104&lt;&gt;"",XLOOKUP($F104,Productos!$A:$A,Productos!P:P,"Revisar"),"")</f>
        <v/>
      </c>
      <c r="X104" s="179" t="str">
        <f t="array" ref="X104">IF($F104&lt;&gt;"", XLOOKUP($F104,Productos!$A$2:$A1001,Productos!Q$2:Q1001,"")*$G104,"")</f>
        <v/>
      </c>
      <c r="Y104" s="179" t="str">
        <f t="array" ref="Y104">IF($F104&lt;&gt;"",XLOOKUP($F104,Productos!$A:$A,Productos!R:R,"Revisar"),"")</f>
        <v/>
      </c>
      <c r="Z104" s="179" t="str">
        <f t="array" ref="Z104">IF($F104&lt;&gt;"", XLOOKUP($F104,Productos!$A$2:$A1001,Productos!S$2:S1001,"")*$G104,"")</f>
        <v/>
      </c>
      <c r="AA104" s="179" t="str">
        <f t="array" ref="AA104">IF($F104&lt;&gt;"",XLOOKUP($F104,Productos!$A:$A,Productos!T:T,"Revisar"),"")</f>
        <v/>
      </c>
      <c r="AB104" s="179" t="str">
        <f t="array" ref="AB104">IF($F104&lt;&gt;"", XLOOKUP($F104,Productos!$A$2:$A1001,Productos!U$2:U1001,"")*$G104,"")</f>
        <v/>
      </c>
      <c r="AC104" s="179" t="str">
        <f t="array" ref="AC104">IF($F104&lt;&gt;"",XLOOKUP($F104,Productos!$A:$A,Productos!V:V,"Revisar"),"")</f>
        <v/>
      </c>
      <c r="AD104" s="179" t="str">
        <f t="array" ref="AD104">IF($F104&lt;&gt;"", XLOOKUP($F104,Productos!$A$2:$A1001,Productos!W$2:W1001,"")*$G104,"")</f>
        <v/>
      </c>
      <c r="AE104" s="179" t="str">
        <f t="array" ref="AE104">IF($F104&lt;&gt;"",XLOOKUP($F104,Productos!$A:$A,Productos!X:X,"Revisar"),"")</f>
        <v/>
      </c>
      <c r="AF104" s="179" t="str">
        <f t="array" ref="AF104">IF($F104&lt;&gt;"", XLOOKUP($F104,Productos!$A$2:$A1001,Productos!Y$2:Y1001,"")*$G104,"")</f>
        <v/>
      </c>
      <c r="AG104" s="179" t="str">
        <f t="array" ref="AG104">IF($F104&lt;&gt;"",XLOOKUP($F104,Productos!$A:$A,Productos!Z:Z,"Revisar"),"")</f>
        <v/>
      </c>
      <c r="AH104" s="179" t="str">
        <f t="array" ref="AH104">IF($F104&lt;&gt;"", XLOOKUP($F104,Productos!$A$2:$A1001,Productos!AA$2:AA1001,"")*$G104,"")</f>
        <v/>
      </c>
      <c r="AI104" s="179" t="str">
        <f t="array" ref="AI104">IF($F104&lt;&gt;"",XLOOKUP($F104,Productos!$A:$A,Productos!AB:AB,"Revisar"),"")</f>
        <v/>
      </c>
      <c r="AJ104" s="179" t="str">
        <f t="array" ref="AJ104">IF($F104&lt;&gt;"", XLOOKUP($F104,Productos!$A$2:$A1001,Productos!AC$2:AC1001,"")*$G104,"")</f>
        <v/>
      </c>
      <c r="AK104" s="179" t="str">
        <f t="array" ref="AK104">IF($F104&lt;&gt;"",XLOOKUP($F104,Productos!$A:$A,Productos!AD:AD,"Revisar"),"")</f>
        <v/>
      </c>
      <c r="AL104" s="179" t="str">
        <f t="array" ref="AL104">IF($F104&lt;&gt;"", XLOOKUP($F104,Productos!$A$2:$A1001,Productos!AE$2:AE1001,"")*$G104,"")</f>
        <v/>
      </c>
      <c r="AM104" s="179" t="str">
        <f t="array" ref="AM104">IF($F104&lt;&gt;"",XLOOKUP($F104,Productos!$A:$A,Productos!AF:AF,"Revisar"),"")</f>
        <v/>
      </c>
      <c r="AN104" s="179" t="str">
        <f t="array" ref="AN104">IF($F104&lt;&gt;"", XLOOKUP($F104,Productos!$A$2:$A1001,Productos!AG$2:AG1001,"")*$G104,"")</f>
        <v/>
      </c>
      <c r="AO104" s="179" t="str">
        <f t="array" ref="AO104">IF($F104&lt;&gt;"",XLOOKUP($F104,Productos!$A:$A,Productos!AH:AH,"Revisar"),"")</f>
        <v/>
      </c>
      <c r="AP104" s="179" t="str">
        <f t="array" ref="AP104">IF($F104&lt;&gt;"", XLOOKUP($F104,Productos!$A$2:$A1001,Productos!AI$2:AI1001,"")*$G104,"")</f>
        <v/>
      </c>
      <c r="AQ104" s="179" t="str">
        <f t="array" ref="AQ104">IF($F104&lt;&gt;"",XLOOKUP($F104,Productos!$A:$A,Productos!AJ:AJ,"Revisar"),"")</f>
        <v/>
      </c>
      <c r="AR104" s="179" t="str">
        <f t="array" ref="AR104">IF($F104&lt;&gt;"", XLOOKUP($F104,Productos!$A$2:$A1001,Productos!AK$2:AK1001,"")*$G104,"")</f>
        <v/>
      </c>
      <c r="AS104" s="179" t="str">
        <f t="array" ref="AS104">IF($F104&lt;&gt;"",XLOOKUP($F104,Productos!$A:$A,Productos!AL:AL,"Revisar"),"")</f>
        <v/>
      </c>
      <c r="AT104" s="179" t="str">
        <f t="array" ref="AT104">IF($F104&lt;&gt;"", XLOOKUP($F104,Productos!$A$2:$A1001,Productos!AM$2:AM1001,"")*$G104,"")</f>
        <v/>
      </c>
      <c r="AU104" s="179" t="str">
        <f t="array" ref="AU104">IF($F104&lt;&gt;"",XLOOKUP($F104,Productos!$A:$A,Productos!AN:AN,"Revisar"),"")</f>
        <v/>
      </c>
      <c r="AV104" s="179" t="str">
        <f t="array" ref="AV104">IF($F104&lt;&gt;"", XLOOKUP($F104,Productos!$A$2:$A1001,Productos!AO$2:AO1001,"")*$G104,"")</f>
        <v/>
      </c>
      <c r="AW104" s="179" t="str">
        <f t="array" ref="AW104">IF($F104&lt;&gt;"",XLOOKUP($F104,Productos!$A:$A,Productos!AP:AP,"Revisar"),"")</f>
        <v/>
      </c>
      <c r="AX104" s="179" t="str">
        <f t="array" ref="AX104">IF($F104&lt;&gt;"", XLOOKUP($F104,Productos!$A$2:$A1001,Productos!AQ$2:AQ1001,"")*$G104,"")</f>
        <v/>
      </c>
      <c r="AY104" s="179" t="str">
        <f t="array" ref="AY104">IF($F104&lt;&gt;"",XLOOKUP($F104,Productos!$A:$A,Productos!AR:AR,"Revisar"),"")</f>
        <v/>
      </c>
      <c r="AZ104" s="179" t="str">
        <f t="array" ref="AZ104">IF($F104&lt;&gt;"", XLOOKUP($F104,Productos!$A$2:$A1001,Productos!AS$2:AS1001,"")*$G104,"")</f>
        <v/>
      </c>
      <c r="BA104" s="179" t="str">
        <f t="array" ref="BA104">IF($F104&lt;&gt;"",XLOOKUP($F104,Productos!$A:$A,Productos!AT:AT,"Revisar"),"")</f>
        <v/>
      </c>
      <c r="BB104" s="179" t="str">
        <f t="array" ref="BB104">IF($F104&lt;&gt;"", XLOOKUP($F104,Productos!$A$2:$A1001,Productos!AU$2:AU1001,"")*$G104,"")</f>
        <v/>
      </c>
      <c r="BC104" s="179" t="str">
        <f t="array" ref="BC104">IF($F104&lt;&gt;"",XLOOKUP($F104,Productos!$A:$A,Productos!AV:AV,"Revisar"),"")</f>
        <v/>
      </c>
      <c r="BD104" s="179" t="str">
        <f t="array" ref="BD104">IF($F104&lt;&gt;"", XLOOKUP($F104,Productos!$A$2:$A1001,Productos!AW$2:AW1001,"")*$G104,"")</f>
        <v/>
      </c>
      <c r="BE104" s="179" t="str">
        <f t="array" ref="BE104">IF($F104&lt;&gt;"",XLOOKUP($F104,Productos!$A:$A,Productos!AX:AX,"Revisar"),"")</f>
        <v/>
      </c>
      <c r="BF104" s="179" t="str">
        <f t="array" ref="BF104">IF($F104&lt;&gt;"", XLOOKUP($F104,Productos!$A$2:$A1001,Productos!AY$2:AY1001,"")*$G104,"")</f>
        <v/>
      </c>
      <c r="BG104" s="179" t="str">
        <f t="array" ref="BG104">IF($F104&lt;&gt;"",XLOOKUP($F104,Productos!$A:$A,Productos!AZ:AZ,"Revisar"),"")</f>
        <v/>
      </c>
      <c r="BH104" s="179" t="str">
        <f t="array" ref="BH104">IF($F104&lt;&gt;"", XLOOKUP($F104,Productos!$A$2:$A1001,Productos!BA$2:BA1001,"")*$G104,"")</f>
        <v/>
      </c>
      <c r="BI104" s="179" t="str">
        <f t="array" ref="BI104">IF($F104&lt;&gt;"",XLOOKUP($F104,Productos!$A:$A,Productos!BB:BB,"Revisar"),"")</f>
        <v/>
      </c>
      <c r="BJ104" s="179" t="str">
        <f t="array" ref="BJ104">IF($F104&lt;&gt;"", XLOOKUP($F104,Productos!$A$2:$A1001,Productos!BC$2:BC1001,"")*$G104,"")</f>
        <v/>
      </c>
      <c r="BK104" s="179" t="str">
        <f t="array" ref="BK104">IF($F104&lt;&gt;"",XLOOKUP($F104,Productos!$A:$A,Productos!BD:BD,"Revisar"),"")</f>
        <v/>
      </c>
      <c r="BL104" s="179" t="str">
        <f t="array" ref="BL104">IF($F104&lt;&gt;"", XLOOKUP($F104,Productos!$A$2:$A1001,Productos!BE$2:BE1001,"")*$G104,"")</f>
        <v/>
      </c>
      <c r="BM104" s="179" t="str">
        <f t="array" ref="BM104">IF($F104&lt;&gt;"",XLOOKUP($F104,Productos!$A:$A,Productos!BF:BF,"Revisar"),"")</f>
        <v/>
      </c>
      <c r="BN104" s="179" t="str">
        <f t="array" ref="BN104">IF($F104&lt;&gt;"", XLOOKUP($F104,Productos!$A$2:$A1001,Productos!BG$2:BG1001,"")*$G104,"")</f>
        <v/>
      </c>
      <c r="BO104" s="179" t="str">
        <f t="array" ref="BO104">IF($F104&lt;&gt;"",XLOOKUP($F104,Productos!$A:$A,Productos!BH:BH,"Revisar"),"")</f>
        <v/>
      </c>
      <c r="BP104" s="179" t="str">
        <f t="array" ref="BP104">IF($F104&lt;&gt;"", XLOOKUP($F104,Productos!$A$2:$A1001,Productos!BI$2:BI1001,"")*$G104,"")</f>
        <v/>
      </c>
      <c r="BQ104" s="179" t="str">
        <f t="array" ref="BQ104">IF($F104&lt;&gt;"",XLOOKUP($F104,Productos!$A:$A,Productos!BJ:BJ,"Revisar"),"")</f>
        <v/>
      </c>
      <c r="BR104" s="179" t="str">
        <f t="array" ref="BR104">IF($F104&lt;&gt;"", XLOOKUP($F104,Productos!$A$2:$A1001,Productos!BK$2:BK1001,"")*$G104,"")</f>
        <v/>
      </c>
      <c r="BS104" s="179" t="str">
        <f t="array" ref="BS104">IF($F104&lt;&gt;"",XLOOKUP($F104,Productos!$A:$A,Productos!BL:BL,"Revisar"),"")</f>
        <v/>
      </c>
      <c r="BT104" s="179" t="str">
        <f t="array" ref="BT104">IF($F104&lt;&gt;"", XLOOKUP($F104,Productos!$A$2:$A1001,Productos!BM$2:BM1001,"")*$G104,"")</f>
        <v/>
      </c>
      <c r="BU104" s="179" t="str">
        <f t="array" ref="BU104">IF($F104&lt;&gt;"",XLOOKUP($F104,Productos!$A:$A,Productos!BN:BN,"Revisar"),"")</f>
        <v/>
      </c>
      <c r="BV104" s="179" t="str">
        <f t="array" ref="BV104">IF($F104&lt;&gt;"", XLOOKUP($F104,Productos!$A$2:$A1001,Productos!BO$2:BO1001,"")*$G104,"")</f>
        <v/>
      </c>
      <c r="BW104" s="179" t="str">
        <f t="array" ref="BW104">IF($F104&lt;&gt;"",XLOOKUP($F104,Productos!$A:$A,Productos!BP:BP,"Revisar"),"")</f>
        <v/>
      </c>
      <c r="BX104" s="179" t="str">
        <f t="array" ref="BX104">IF($F104&lt;&gt;"", XLOOKUP($F104,Productos!$A$2:$A1001,Productos!BQ$2:BQ1001,"")*$G104,"")</f>
        <v/>
      </c>
      <c r="BY104" s="179" t="str">
        <f t="array" ref="BY104">IF($F104&lt;&gt;"",XLOOKUP($F104,Productos!$A:$A,Productos!BR:BR,"Revisar"),"")</f>
        <v/>
      </c>
      <c r="BZ104" s="179" t="str">
        <f t="array" ref="BZ104">IF($F104&lt;&gt;"", XLOOKUP($F104,Productos!$A$2:$A1001,Productos!BS$2:BS1001,"")*$G104,"")</f>
        <v/>
      </c>
    </row>
    <row r="105">
      <c r="A105" s="180"/>
      <c r="B105" s="181"/>
      <c r="C105" s="182"/>
      <c r="D105" s="182"/>
      <c r="E105" s="185"/>
      <c r="F105" s="186"/>
      <c r="G105" s="187"/>
      <c r="H105" s="186"/>
      <c r="I105" s="179" t="str">
        <f t="array" ref="I105">IF($F105&lt;&gt;"",XLOOKUP($F105,Productos!$A:$A,Productos!B:B,"Revisar"),"")</f>
        <v/>
      </c>
      <c r="J105" s="179" t="str">
        <f t="array" ref="J105">IF($F105&lt;&gt;"", XLOOKUP($F105,Productos!$A$2:$A1001,Productos!C$2:C1001,"")*$G105,"")</f>
        <v/>
      </c>
      <c r="K105" s="179" t="str">
        <f t="array" ref="K105">IF($F105&lt;&gt;"",XLOOKUP($F105,Productos!$A:$A,Productos!D:D,"Revisar"),"")</f>
        <v/>
      </c>
      <c r="L105" s="179" t="str">
        <f t="array" ref="L105">IF($F105&lt;&gt;"", XLOOKUP($F105,Productos!$A$2:$A1001,Productos!E$2:E1001,"")*$G105,"")</f>
        <v/>
      </c>
      <c r="M105" s="179" t="str">
        <f t="array" ref="M105">IF($F105&lt;&gt;"",XLOOKUP($F105,Productos!$A:$A,Productos!F:F,"Revisar"),"")</f>
        <v/>
      </c>
      <c r="N105" s="179" t="str">
        <f t="array" ref="N105">IF($F105&lt;&gt;"", XLOOKUP($F105,Productos!$A$2:$A1001,Productos!G$2:G1001,"")*$G105,"")</f>
        <v/>
      </c>
      <c r="O105" s="179" t="str">
        <f t="array" ref="O105">IF($F105&lt;&gt;"",XLOOKUP($F105,Productos!$A:$A,Productos!H:H,"Revisar"),"")</f>
        <v/>
      </c>
      <c r="P105" s="179" t="str">
        <f t="array" ref="P105">IF($F105&lt;&gt;"", XLOOKUP($F105,Productos!$A$2:$A1001,Productos!I$2:I1001,"")*$G105,"")</f>
        <v/>
      </c>
      <c r="Q105" s="179" t="str">
        <f t="array" ref="Q105">IF($F105&lt;&gt;"",XLOOKUP($F105,Productos!$A:$A,Productos!J:J,"Revisar"),"")</f>
        <v/>
      </c>
      <c r="R105" s="179" t="str">
        <f t="array" ref="R105">IF($F105&lt;&gt;"", XLOOKUP($F105,Productos!$A$2:$A1001,Productos!K$2:K1001,"")*$G105,"")</f>
        <v/>
      </c>
      <c r="S105" s="179" t="str">
        <f t="array" ref="S105">IF($F105&lt;&gt;"",XLOOKUP($F105,Productos!$A:$A,Productos!L:L,"Revisar"),"")</f>
        <v/>
      </c>
      <c r="T105" s="179" t="str">
        <f t="array" ref="T105">IF($F105&lt;&gt;"", XLOOKUP($F105,Productos!$A$2:$A1001,Productos!M$2:M1001,"")*$G105,"")</f>
        <v/>
      </c>
      <c r="U105" s="179" t="str">
        <f t="array" ref="U105">IF($F105&lt;&gt;"",XLOOKUP($F105,Productos!$A:$A,Productos!N:N,"Revisar"),"")</f>
        <v/>
      </c>
      <c r="V105" s="179" t="str">
        <f t="array" ref="V105">IF($F105&lt;&gt;"", XLOOKUP($F105,Productos!$A$2:$A1001,Productos!O$2:O1001,"")*$G105,"")</f>
        <v/>
      </c>
      <c r="W105" s="179" t="str">
        <f t="array" ref="W105">IF($F105&lt;&gt;"",XLOOKUP($F105,Productos!$A:$A,Productos!P:P,"Revisar"),"")</f>
        <v/>
      </c>
      <c r="X105" s="179" t="str">
        <f t="array" ref="X105">IF($F105&lt;&gt;"", XLOOKUP($F105,Productos!$A$2:$A1001,Productos!Q$2:Q1001,"")*$G105,"")</f>
        <v/>
      </c>
      <c r="Y105" s="179" t="str">
        <f t="array" ref="Y105">IF($F105&lt;&gt;"",XLOOKUP($F105,Productos!$A:$A,Productos!R:R,"Revisar"),"")</f>
        <v/>
      </c>
      <c r="Z105" s="179" t="str">
        <f t="array" ref="Z105">IF($F105&lt;&gt;"", XLOOKUP($F105,Productos!$A$2:$A1001,Productos!S$2:S1001,"")*$G105,"")</f>
        <v/>
      </c>
      <c r="AA105" s="179" t="str">
        <f t="array" ref="AA105">IF($F105&lt;&gt;"",XLOOKUP($F105,Productos!$A:$A,Productos!T:T,"Revisar"),"")</f>
        <v/>
      </c>
      <c r="AB105" s="179" t="str">
        <f t="array" ref="AB105">IF($F105&lt;&gt;"", XLOOKUP($F105,Productos!$A$2:$A1001,Productos!U$2:U1001,"")*$G105,"")</f>
        <v/>
      </c>
      <c r="AC105" s="179" t="str">
        <f t="array" ref="AC105">IF($F105&lt;&gt;"",XLOOKUP($F105,Productos!$A:$A,Productos!V:V,"Revisar"),"")</f>
        <v/>
      </c>
      <c r="AD105" s="179" t="str">
        <f t="array" ref="AD105">IF($F105&lt;&gt;"", XLOOKUP($F105,Productos!$A$2:$A1001,Productos!W$2:W1001,"")*$G105,"")</f>
        <v/>
      </c>
      <c r="AE105" s="179" t="str">
        <f t="array" ref="AE105">IF($F105&lt;&gt;"",XLOOKUP($F105,Productos!$A:$A,Productos!X:X,"Revisar"),"")</f>
        <v/>
      </c>
      <c r="AF105" s="179" t="str">
        <f t="array" ref="AF105">IF($F105&lt;&gt;"", XLOOKUP($F105,Productos!$A$2:$A1001,Productos!Y$2:Y1001,"")*$G105,"")</f>
        <v/>
      </c>
      <c r="AG105" s="179" t="str">
        <f t="array" ref="AG105">IF($F105&lt;&gt;"",XLOOKUP($F105,Productos!$A:$A,Productos!Z:Z,"Revisar"),"")</f>
        <v/>
      </c>
      <c r="AH105" s="179" t="str">
        <f t="array" ref="AH105">IF($F105&lt;&gt;"", XLOOKUP($F105,Productos!$A$2:$A1001,Productos!AA$2:AA1001,"")*$G105,"")</f>
        <v/>
      </c>
      <c r="AI105" s="179" t="str">
        <f t="array" ref="AI105">IF($F105&lt;&gt;"",XLOOKUP($F105,Productos!$A:$A,Productos!AB:AB,"Revisar"),"")</f>
        <v/>
      </c>
      <c r="AJ105" s="179" t="str">
        <f t="array" ref="AJ105">IF($F105&lt;&gt;"", XLOOKUP($F105,Productos!$A$2:$A1001,Productos!AC$2:AC1001,"")*$G105,"")</f>
        <v/>
      </c>
      <c r="AK105" s="179" t="str">
        <f t="array" ref="AK105">IF($F105&lt;&gt;"",XLOOKUP($F105,Productos!$A:$A,Productos!AD:AD,"Revisar"),"")</f>
        <v/>
      </c>
      <c r="AL105" s="179" t="str">
        <f t="array" ref="AL105">IF($F105&lt;&gt;"", XLOOKUP($F105,Productos!$A$2:$A1001,Productos!AE$2:AE1001,"")*$G105,"")</f>
        <v/>
      </c>
      <c r="AM105" s="179" t="str">
        <f t="array" ref="AM105">IF($F105&lt;&gt;"",XLOOKUP($F105,Productos!$A:$A,Productos!AF:AF,"Revisar"),"")</f>
        <v/>
      </c>
      <c r="AN105" s="179" t="str">
        <f t="array" ref="AN105">IF($F105&lt;&gt;"", XLOOKUP($F105,Productos!$A$2:$A1001,Productos!AG$2:AG1001,"")*$G105,"")</f>
        <v/>
      </c>
      <c r="AO105" s="179" t="str">
        <f t="array" ref="AO105">IF($F105&lt;&gt;"",XLOOKUP($F105,Productos!$A:$A,Productos!AH:AH,"Revisar"),"")</f>
        <v/>
      </c>
      <c r="AP105" s="179" t="str">
        <f t="array" ref="AP105">IF($F105&lt;&gt;"", XLOOKUP($F105,Productos!$A$2:$A1001,Productos!AI$2:AI1001,"")*$G105,"")</f>
        <v/>
      </c>
      <c r="AQ105" s="179" t="str">
        <f t="array" ref="AQ105">IF($F105&lt;&gt;"",XLOOKUP($F105,Productos!$A:$A,Productos!AJ:AJ,"Revisar"),"")</f>
        <v/>
      </c>
      <c r="AR105" s="179" t="str">
        <f t="array" ref="AR105">IF($F105&lt;&gt;"", XLOOKUP($F105,Productos!$A$2:$A1001,Productos!AK$2:AK1001,"")*$G105,"")</f>
        <v/>
      </c>
      <c r="AS105" s="179" t="str">
        <f t="array" ref="AS105">IF($F105&lt;&gt;"",XLOOKUP($F105,Productos!$A:$A,Productos!AL:AL,"Revisar"),"")</f>
        <v/>
      </c>
      <c r="AT105" s="179" t="str">
        <f t="array" ref="AT105">IF($F105&lt;&gt;"", XLOOKUP($F105,Productos!$A$2:$A1001,Productos!AM$2:AM1001,"")*$G105,"")</f>
        <v/>
      </c>
      <c r="AU105" s="179" t="str">
        <f t="array" ref="AU105">IF($F105&lt;&gt;"",XLOOKUP($F105,Productos!$A:$A,Productos!AN:AN,"Revisar"),"")</f>
        <v/>
      </c>
      <c r="AV105" s="179" t="str">
        <f t="array" ref="AV105">IF($F105&lt;&gt;"", XLOOKUP($F105,Productos!$A$2:$A1001,Productos!AO$2:AO1001,"")*$G105,"")</f>
        <v/>
      </c>
      <c r="AW105" s="179" t="str">
        <f t="array" ref="AW105">IF($F105&lt;&gt;"",XLOOKUP($F105,Productos!$A:$A,Productos!AP:AP,"Revisar"),"")</f>
        <v/>
      </c>
      <c r="AX105" s="179" t="str">
        <f t="array" ref="AX105">IF($F105&lt;&gt;"", XLOOKUP($F105,Productos!$A$2:$A1001,Productos!AQ$2:AQ1001,"")*$G105,"")</f>
        <v/>
      </c>
      <c r="AY105" s="179" t="str">
        <f t="array" ref="AY105">IF($F105&lt;&gt;"",XLOOKUP($F105,Productos!$A:$A,Productos!AR:AR,"Revisar"),"")</f>
        <v/>
      </c>
      <c r="AZ105" s="179" t="str">
        <f t="array" ref="AZ105">IF($F105&lt;&gt;"", XLOOKUP($F105,Productos!$A$2:$A1001,Productos!AS$2:AS1001,"")*$G105,"")</f>
        <v/>
      </c>
      <c r="BA105" s="179" t="str">
        <f t="array" ref="BA105">IF($F105&lt;&gt;"",XLOOKUP($F105,Productos!$A:$A,Productos!AT:AT,"Revisar"),"")</f>
        <v/>
      </c>
      <c r="BB105" s="179" t="str">
        <f t="array" ref="BB105">IF($F105&lt;&gt;"", XLOOKUP($F105,Productos!$A$2:$A1001,Productos!AU$2:AU1001,"")*$G105,"")</f>
        <v/>
      </c>
      <c r="BC105" s="179" t="str">
        <f t="array" ref="BC105">IF($F105&lt;&gt;"",XLOOKUP($F105,Productos!$A:$A,Productos!AV:AV,"Revisar"),"")</f>
        <v/>
      </c>
      <c r="BD105" s="179" t="str">
        <f t="array" ref="BD105">IF($F105&lt;&gt;"", XLOOKUP($F105,Productos!$A$2:$A1001,Productos!AW$2:AW1001,"")*$G105,"")</f>
        <v/>
      </c>
      <c r="BE105" s="179" t="str">
        <f t="array" ref="BE105">IF($F105&lt;&gt;"",XLOOKUP($F105,Productos!$A:$A,Productos!AX:AX,"Revisar"),"")</f>
        <v/>
      </c>
      <c r="BF105" s="179" t="str">
        <f t="array" ref="BF105">IF($F105&lt;&gt;"", XLOOKUP($F105,Productos!$A$2:$A1001,Productos!AY$2:AY1001,"")*$G105,"")</f>
        <v/>
      </c>
      <c r="BG105" s="179" t="str">
        <f t="array" ref="BG105">IF($F105&lt;&gt;"",XLOOKUP($F105,Productos!$A:$A,Productos!AZ:AZ,"Revisar"),"")</f>
        <v/>
      </c>
      <c r="BH105" s="179" t="str">
        <f t="array" ref="BH105">IF($F105&lt;&gt;"", XLOOKUP($F105,Productos!$A$2:$A1001,Productos!BA$2:BA1001,"")*$G105,"")</f>
        <v/>
      </c>
      <c r="BI105" s="179" t="str">
        <f t="array" ref="BI105">IF($F105&lt;&gt;"",XLOOKUP($F105,Productos!$A:$A,Productos!BB:BB,"Revisar"),"")</f>
        <v/>
      </c>
      <c r="BJ105" s="179" t="str">
        <f t="array" ref="BJ105">IF($F105&lt;&gt;"", XLOOKUP($F105,Productos!$A$2:$A1001,Productos!BC$2:BC1001,"")*$G105,"")</f>
        <v/>
      </c>
      <c r="BK105" s="179" t="str">
        <f t="array" ref="BK105">IF($F105&lt;&gt;"",XLOOKUP($F105,Productos!$A:$A,Productos!BD:BD,"Revisar"),"")</f>
        <v/>
      </c>
      <c r="BL105" s="179" t="str">
        <f t="array" ref="BL105">IF($F105&lt;&gt;"", XLOOKUP($F105,Productos!$A$2:$A1001,Productos!BE$2:BE1001,"")*$G105,"")</f>
        <v/>
      </c>
      <c r="BM105" s="179" t="str">
        <f t="array" ref="BM105">IF($F105&lt;&gt;"",XLOOKUP($F105,Productos!$A:$A,Productos!BF:BF,"Revisar"),"")</f>
        <v/>
      </c>
      <c r="BN105" s="179" t="str">
        <f t="array" ref="BN105">IF($F105&lt;&gt;"", XLOOKUP($F105,Productos!$A$2:$A1001,Productos!BG$2:BG1001,"")*$G105,"")</f>
        <v/>
      </c>
      <c r="BO105" s="179" t="str">
        <f t="array" ref="BO105">IF($F105&lt;&gt;"",XLOOKUP($F105,Productos!$A:$A,Productos!BH:BH,"Revisar"),"")</f>
        <v/>
      </c>
      <c r="BP105" s="179" t="str">
        <f t="array" ref="BP105">IF($F105&lt;&gt;"", XLOOKUP($F105,Productos!$A$2:$A1001,Productos!BI$2:BI1001,"")*$G105,"")</f>
        <v/>
      </c>
      <c r="BQ105" s="179" t="str">
        <f t="array" ref="BQ105">IF($F105&lt;&gt;"",XLOOKUP($F105,Productos!$A:$A,Productos!BJ:BJ,"Revisar"),"")</f>
        <v/>
      </c>
      <c r="BR105" s="179" t="str">
        <f t="array" ref="BR105">IF($F105&lt;&gt;"", XLOOKUP($F105,Productos!$A$2:$A1001,Productos!BK$2:BK1001,"")*$G105,"")</f>
        <v/>
      </c>
      <c r="BS105" s="179" t="str">
        <f t="array" ref="BS105">IF($F105&lt;&gt;"",XLOOKUP($F105,Productos!$A:$A,Productos!BL:BL,"Revisar"),"")</f>
        <v/>
      </c>
      <c r="BT105" s="179" t="str">
        <f t="array" ref="BT105">IF($F105&lt;&gt;"", XLOOKUP($F105,Productos!$A$2:$A1001,Productos!BM$2:BM1001,"")*$G105,"")</f>
        <v/>
      </c>
      <c r="BU105" s="179" t="str">
        <f t="array" ref="BU105">IF($F105&lt;&gt;"",XLOOKUP($F105,Productos!$A:$A,Productos!BN:BN,"Revisar"),"")</f>
        <v/>
      </c>
      <c r="BV105" s="179" t="str">
        <f t="array" ref="BV105">IF($F105&lt;&gt;"", XLOOKUP($F105,Productos!$A$2:$A1001,Productos!BO$2:BO1001,"")*$G105,"")</f>
        <v/>
      </c>
      <c r="BW105" s="179" t="str">
        <f t="array" ref="BW105">IF($F105&lt;&gt;"",XLOOKUP($F105,Productos!$A:$A,Productos!BP:BP,"Revisar"),"")</f>
        <v/>
      </c>
      <c r="BX105" s="179" t="str">
        <f t="array" ref="BX105">IF($F105&lt;&gt;"", XLOOKUP($F105,Productos!$A$2:$A1001,Productos!BQ$2:BQ1001,"")*$G105,"")</f>
        <v/>
      </c>
      <c r="BY105" s="179" t="str">
        <f t="array" ref="BY105">IF($F105&lt;&gt;"",XLOOKUP($F105,Productos!$A:$A,Productos!BR:BR,"Revisar"),"")</f>
        <v/>
      </c>
      <c r="BZ105" s="179" t="str">
        <f t="array" ref="BZ105">IF($F105&lt;&gt;"", XLOOKUP($F105,Productos!$A$2:$A1001,Productos!BS$2:BS1001,"")*$G105,"")</f>
        <v/>
      </c>
    </row>
    <row r="106">
      <c r="A106" s="180"/>
      <c r="B106" s="181"/>
      <c r="C106" s="182"/>
      <c r="D106" s="182"/>
      <c r="E106" s="185"/>
      <c r="F106" s="186"/>
      <c r="G106" s="187"/>
      <c r="H106" s="186"/>
      <c r="I106" s="179" t="str">
        <f t="array" ref="I106">IF($F106&lt;&gt;"",XLOOKUP($F106,Productos!$A:$A,Productos!B:B,"Revisar"),"")</f>
        <v/>
      </c>
      <c r="J106" s="179" t="str">
        <f t="array" ref="J106">IF($F106&lt;&gt;"", XLOOKUP($F106,Productos!$A$2:$A1001,Productos!C$2:C1001,"")*$G106,"")</f>
        <v/>
      </c>
      <c r="K106" s="179" t="str">
        <f t="array" ref="K106">IF($F106&lt;&gt;"",XLOOKUP($F106,Productos!$A:$A,Productos!D:D,"Revisar"),"")</f>
        <v/>
      </c>
      <c r="L106" s="179" t="str">
        <f t="array" ref="L106">IF($F106&lt;&gt;"", XLOOKUP($F106,Productos!$A$2:$A1001,Productos!E$2:E1001,"")*$G106,"")</f>
        <v/>
      </c>
      <c r="M106" s="179" t="str">
        <f t="array" ref="M106">IF($F106&lt;&gt;"",XLOOKUP($F106,Productos!$A:$A,Productos!F:F,"Revisar"),"")</f>
        <v/>
      </c>
      <c r="N106" s="179" t="str">
        <f t="array" ref="N106">IF($F106&lt;&gt;"", XLOOKUP($F106,Productos!$A$2:$A1001,Productos!G$2:G1001,"")*$G106,"")</f>
        <v/>
      </c>
      <c r="O106" s="179" t="str">
        <f t="array" ref="O106">IF($F106&lt;&gt;"",XLOOKUP($F106,Productos!$A:$A,Productos!H:H,"Revisar"),"")</f>
        <v/>
      </c>
      <c r="P106" s="179" t="str">
        <f t="array" ref="P106">IF($F106&lt;&gt;"", XLOOKUP($F106,Productos!$A$2:$A1001,Productos!I$2:I1001,"")*$G106,"")</f>
        <v/>
      </c>
      <c r="Q106" s="179" t="str">
        <f t="array" ref="Q106">IF($F106&lt;&gt;"",XLOOKUP($F106,Productos!$A:$A,Productos!J:J,"Revisar"),"")</f>
        <v/>
      </c>
      <c r="R106" s="179" t="str">
        <f t="array" ref="R106">IF($F106&lt;&gt;"", XLOOKUP($F106,Productos!$A$2:$A1001,Productos!K$2:K1001,"")*$G106,"")</f>
        <v/>
      </c>
      <c r="S106" s="179" t="str">
        <f t="array" ref="S106">IF($F106&lt;&gt;"",XLOOKUP($F106,Productos!$A:$A,Productos!L:L,"Revisar"),"")</f>
        <v/>
      </c>
      <c r="T106" s="179" t="str">
        <f t="array" ref="T106">IF($F106&lt;&gt;"", XLOOKUP($F106,Productos!$A$2:$A1001,Productos!M$2:M1001,"")*$G106,"")</f>
        <v/>
      </c>
      <c r="U106" s="179" t="str">
        <f t="array" ref="U106">IF($F106&lt;&gt;"",XLOOKUP($F106,Productos!$A:$A,Productos!N:N,"Revisar"),"")</f>
        <v/>
      </c>
      <c r="V106" s="179" t="str">
        <f t="array" ref="V106">IF($F106&lt;&gt;"", XLOOKUP($F106,Productos!$A$2:$A1001,Productos!O$2:O1001,"")*$G106,"")</f>
        <v/>
      </c>
      <c r="W106" s="179" t="str">
        <f t="array" ref="W106">IF($F106&lt;&gt;"",XLOOKUP($F106,Productos!$A:$A,Productos!P:P,"Revisar"),"")</f>
        <v/>
      </c>
      <c r="X106" s="179" t="str">
        <f t="array" ref="X106">IF($F106&lt;&gt;"", XLOOKUP($F106,Productos!$A$2:$A1001,Productos!Q$2:Q1001,"")*$G106,"")</f>
        <v/>
      </c>
      <c r="Y106" s="179" t="str">
        <f t="array" ref="Y106">IF($F106&lt;&gt;"",XLOOKUP($F106,Productos!$A:$A,Productos!R:R,"Revisar"),"")</f>
        <v/>
      </c>
      <c r="Z106" s="179" t="str">
        <f t="array" ref="Z106">IF($F106&lt;&gt;"", XLOOKUP($F106,Productos!$A$2:$A1001,Productos!S$2:S1001,"")*$G106,"")</f>
        <v/>
      </c>
      <c r="AA106" s="179" t="str">
        <f t="array" ref="AA106">IF($F106&lt;&gt;"",XLOOKUP($F106,Productos!$A:$A,Productos!T:T,"Revisar"),"")</f>
        <v/>
      </c>
      <c r="AB106" s="179" t="str">
        <f t="array" ref="AB106">IF($F106&lt;&gt;"", XLOOKUP($F106,Productos!$A$2:$A1001,Productos!U$2:U1001,"")*$G106,"")</f>
        <v/>
      </c>
      <c r="AC106" s="179" t="str">
        <f t="array" ref="AC106">IF($F106&lt;&gt;"",XLOOKUP($F106,Productos!$A:$A,Productos!V:V,"Revisar"),"")</f>
        <v/>
      </c>
      <c r="AD106" s="179" t="str">
        <f t="array" ref="AD106">IF($F106&lt;&gt;"", XLOOKUP($F106,Productos!$A$2:$A1001,Productos!W$2:W1001,"")*$G106,"")</f>
        <v/>
      </c>
      <c r="AE106" s="179" t="str">
        <f t="array" ref="AE106">IF($F106&lt;&gt;"",XLOOKUP($F106,Productos!$A:$A,Productos!X:X,"Revisar"),"")</f>
        <v/>
      </c>
      <c r="AF106" s="179" t="str">
        <f t="array" ref="AF106">IF($F106&lt;&gt;"", XLOOKUP($F106,Productos!$A$2:$A1001,Productos!Y$2:Y1001,"")*$G106,"")</f>
        <v/>
      </c>
      <c r="AG106" s="179" t="str">
        <f t="array" ref="AG106">IF($F106&lt;&gt;"",XLOOKUP($F106,Productos!$A:$A,Productos!Z:Z,"Revisar"),"")</f>
        <v/>
      </c>
      <c r="AH106" s="179" t="str">
        <f t="array" ref="AH106">IF($F106&lt;&gt;"", XLOOKUP($F106,Productos!$A$2:$A1001,Productos!AA$2:AA1001,"")*$G106,"")</f>
        <v/>
      </c>
      <c r="AI106" s="179" t="str">
        <f t="array" ref="AI106">IF($F106&lt;&gt;"",XLOOKUP($F106,Productos!$A:$A,Productos!AB:AB,"Revisar"),"")</f>
        <v/>
      </c>
      <c r="AJ106" s="179" t="str">
        <f t="array" ref="AJ106">IF($F106&lt;&gt;"", XLOOKUP($F106,Productos!$A$2:$A1001,Productos!AC$2:AC1001,"")*$G106,"")</f>
        <v/>
      </c>
      <c r="AK106" s="179" t="str">
        <f t="array" ref="AK106">IF($F106&lt;&gt;"",XLOOKUP($F106,Productos!$A:$A,Productos!AD:AD,"Revisar"),"")</f>
        <v/>
      </c>
      <c r="AL106" s="179" t="str">
        <f t="array" ref="AL106">IF($F106&lt;&gt;"", XLOOKUP($F106,Productos!$A$2:$A1001,Productos!AE$2:AE1001,"")*$G106,"")</f>
        <v/>
      </c>
      <c r="AM106" s="179" t="str">
        <f t="array" ref="AM106">IF($F106&lt;&gt;"",XLOOKUP($F106,Productos!$A:$A,Productos!AF:AF,"Revisar"),"")</f>
        <v/>
      </c>
      <c r="AN106" s="179" t="str">
        <f t="array" ref="AN106">IF($F106&lt;&gt;"", XLOOKUP($F106,Productos!$A$2:$A1001,Productos!AG$2:AG1001,"")*$G106,"")</f>
        <v/>
      </c>
      <c r="AO106" s="179" t="str">
        <f t="array" ref="AO106">IF($F106&lt;&gt;"",XLOOKUP($F106,Productos!$A:$A,Productos!AH:AH,"Revisar"),"")</f>
        <v/>
      </c>
      <c r="AP106" s="179" t="str">
        <f t="array" ref="AP106">IF($F106&lt;&gt;"", XLOOKUP($F106,Productos!$A$2:$A1001,Productos!AI$2:AI1001,"")*$G106,"")</f>
        <v/>
      </c>
      <c r="AQ106" s="179" t="str">
        <f t="array" ref="AQ106">IF($F106&lt;&gt;"",XLOOKUP($F106,Productos!$A:$A,Productos!AJ:AJ,"Revisar"),"")</f>
        <v/>
      </c>
      <c r="AR106" s="179" t="str">
        <f t="array" ref="AR106">IF($F106&lt;&gt;"", XLOOKUP($F106,Productos!$A$2:$A1001,Productos!AK$2:AK1001,"")*$G106,"")</f>
        <v/>
      </c>
      <c r="AS106" s="179" t="str">
        <f t="array" ref="AS106">IF($F106&lt;&gt;"",XLOOKUP($F106,Productos!$A:$A,Productos!AL:AL,"Revisar"),"")</f>
        <v/>
      </c>
      <c r="AT106" s="179" t="str">
        <f t="array" ref="AT106">IF($F106&lt;&gt;"", XLOOKUP($F106,Productos!$A$2:$A1001,Productos!AM$2:AM1001,"")*$G106,"")</f>
        <v/>
      </c>
      <c r="AU106" s="179" t="str">
        <f t="array" ref="AU106">IF($F106&lt;&gt;"",XLOOKUP($F106,Productos!$A:$A,Productos!AN:AN,"Revisar"),"")</f>
        <v/>
      </c>
      <c r="AV106" s="179" t="str">
        <f t="array" ref="AV106">IF($F106&lt;&gt;"", XLOOKUP($F106,Productos!$A$2:$A1001,Productos!AO$2:AO1001,"")*$G106,"")</f>
        <v/>
      </c>
      <c r="AW106" s="179" t="str">
        <f t="array" ref="AW106">IF($F106&lt;&gt;"",XLOOKUP($F106,Productos!$A:$A,Productos!AP:AP,"Revisar"),"")</f>
        <v/>
      </c>
      <c r="AX106" s="179" t="str">
        <f t="array" ref="AX106">IF($F106&lt;&gt;"", XLOOKUP($F106,Productos!$A$2:$A1001,Productos!AQ$2:AQ1001,"")*$G106,"")</f>
        <v/>
      </c>
      <c r="AY106" s="179" t="str">
        <f t="array" ref="AY106">IF($F106&lt;&gt;"",XLOOKUP($F106,Productos!$A:$A,Productos!AR:AR,"Revisar"),"")</f>
        <v/>
      </c>
      <c r="AZ106" s="179" t="str">
        <f t="array" ref="AZ106">IF($F106&lt;&gt;"", XLOOKUP($F106,Productos!$A$2:$A1001,Productos!AS$2:AS1001,"")*$G106,"")</f>
        <v/>
      </c>
      <c r="BA106" s="179" t="str">
        <f t="array" ref="BA106">IF($F106&lt;&gt;"",XLOOKUP($F106,Productos!$A:$A,Productos!AT:AT,"Revisar"),"")</f>
        <v/>
      </c>
      <c r="BB106" s="179" t="str">
        <f t="array" ref="BB106">IF($F106&lt;&gt;"", XLOOKUP($F106,Productos!$A$2:$A1001,Productos!AU$2:AU1001,"")*$G106,"")</f>
        <v/>
      </c>
      <c r="BC106" s="179" t="str">
        <f t="array" ref="BC106">IF($F106&lt;&gt;"",XLOOKUP($F106,Productos!$A:$A,Productos!AV:AV,"Revisar"),"")</f>
        <v/>
      </c>
      <c r="BD106" s="179" t="str">
        <f t="array" ref="BD106">IF($F106&lt;&gt;"", XLOOKUP($F106,Productos!$A$2:$A1001,Productos!AW$2:AW1001,"")*$G106,"")</f>
        <v/>
      </c>
      <c r="BE106" s="179" t="str">
        <f t="array" ref="BE106">IF($F106&lt;&gt;"",XLOOKUP($F106,Productos!$A:$A,Productos!AX:AX,"Revisar"),"")</f>
        <v/>
      </c>
      <c r="BF106" s="179" t="str">
        <f t="array" ref="BF106">IF($F106&lt;&gt;"", XLOOKUP($F106,Productos!$A$2:$A1001,Productos!AY$2:AY1001,"")*$G106,"")</f>
        <v/>
      </c>
      <c r="BG106" s="179" t="str">
        <f t="array" ref="BG106">IF($F106&lt;&gt;"",XLOOKUP($F106,Productos!$A:$A,Productos!AZ:AZ,"Revisar"),"")</f>
        <v/>
      </c>
      <c r="BH106" s="179" t="str">
        <f t="array" ref="BH106">IF($F106&lt;&gt;"", XLOOKUP($F106,Productos!$A$2:$A1001,Productos!BA$2:BA1001,"")*$G106,"")</f>
        <v/>
      </c>
      <c r="BI106" s="179" t="str">
        <f t="array" ref="BI106">IF($F106&lt;&gt;"",XLOOKUP($F106,Productos!$A:$A,Productos!BB:BB,"Revisar"),"")</f>
        <v/>
      </c>
      <c r="BJ106" s="179" t="str">
        <f t="array" ref="BJ106">IF($F106&lt;&gt;"", XLOOKUP($F106,Productos!$A$2:$A1001,Productos!BC$2:BC1001,"")*$G106,"")</f>
        <v/>
      </c>
      <c r="BK106" s="179" t="str">
        <f t="array" ref="BK106">IF($F106&lt;&gt;"",XLOOKUP($F106,Productos!$A:$A,Productos!BD:BD,"Revisar"),"")</f>
        <v/>
      </c>
      <c r="BL106" s="179" t="str">
        <f t="array" ref="BL106">IF($F106&lt;&gt;"", XLOOKUP($F106,Productos!$A$2:$A1001,Productos!BE$2:BE1001,"")*$G106,"")</f>
        <v/>
      </c>
      <c r="BM106" s="179" t="str">
        <f t="array" ref="BM106">IF($F106&lt;&gt;"",XLOOKUP($F106,Productos!$A:$A,Productos!BF:BF,"Revisar"),"")</f>
        <v/>
      </c>
      <c r="BN106" s="179" t="str">
        <f t="array" ref="BN106">IF($F106&lt;&gt;"", XLOOKUP($F106,Productos!$A$2:$A1001,Productos!BG$2:BG1001,"")*$G106,"")</f>
        <v/>
      </c>
      <c r="BO106" s="179" t="str">
        <f t="array" ref="BO106">IF($F106&lt;&gt;"",XLOOKUP($F106,Productos!$A:$A,Productos!BH:BH,"Revisar"),"")</f>
        <v/>
      </c>
      <c r="BP106" s="179" t="str">
        <f t="array" ref="BP106">IF($F106&lt;&gt;"", XLOOKUP($F106,Productos!$A$2:$A1001,Productos!BI$2:BI1001,"")*$G106,"")</f>
        <v/>
      </c>
      <c r="BQ106" s="179" t="str">
        <f t="array" ref="BQ106">IF($F106&lt;&gt;"",XLOOKUP($F106,Productos!$A:$A,Productos!BJ:BJ,"Revisar"),"")</f>
        <v/>
      </c>
      <c r="BR106" s="179" t="str">
        <f t="array" ref="BR106">IF($F106&lt;&gt;"", XLOOKUP($F106,Productos!$A$2:$A1001,Productos!BK$2:BK1001,"")*$G106,"")</f>
        <v/>
      </c>
      <c r="BS106" s="179" t="str">
        <f t="array" ref="BS106">IF($F106&lt;&gt;"",XLOOKUP($F106,Productos!$A:$A,Productos!BL:BL,"Revisar"),"")</f>
        <v/>
      </c>
      <c r="BT106" s="179" t="str">
        <f t="array" ref="BT106">IF($F106&lt;&gt;"", XLOOKUP($F106,Productos!$A$2:$A1001,Productos!BM$2:BM1001,"")*$G106,"")</f>
        <v/>
      </c>
      <c r="BU106" s="179" t="str">
        <f t="array" ref="BU106">IF($F106&lt;&gt;"",XLOOKUP($F106,Productos!$A:$A,Productos!BN:BN,"Revisar"),"")</f>
        <v/>
      </c>
      <c r="BV106" s="179" t="str">
        <f t="array" ref="BV106">IF($F106&lt;&gt;"", XLOOKUP($F106,Productos!$A$2:$A1001,Productos!BO$2:BO1001,"")*$G106,"")</f>
        <v/>
      </c>
      <c r="BW106" s="179" t="str">
        <f t="array" ref="BW106">IF($F106&lt;&gt;"",XLOOKUP($F106,Productos!$A:$A,Productos!BP:BP,"Revisar"),"")</f>
        <v/>
      </c>
      <c r="BX106" s="179" t="str">
        <f t="array" ref="BX106">IF($F106&lt;&gt;"", XLOOKUP($F106,Productos!$A$2:$A1001,Productos!BQ$2:BQ1001,"")*$G106,"")</f>
        <v/>
      </c>
      <c r="BY106" s="179" t="str">
        <f t="array" ref="BY106">IF($F106&lt;&gt;"",XLOOKUP($F106,Productos!$A:$A,Productos!BR:BR,"Revisar"),"")</f>
        <v/>
      </c>
      <c r="BZ106" s="179" t="str">
        <f t="array" ref="BZ106">IF($F106&lt;&gt;"", XLOOKUP($F106,Productos!$A$2:$A1001,Productos!BS$2:BS1001,"")*$G106,"")</f>
        <v/>
      </c>
    </row>
    <row r="107">
      <c r="A107" s="180"/>
      <c r="B107" s="181"/>
      <c r="C107" s="182"/>
      <c r="D107" s="182"/>
      <c r="E107" s="185"/>
      <c r="F107" s="186"/>
      <c r="G107" s="187"/>
      <c r="H107" s="186"/>
      <c r="I107" s="179" t="str">
        <f t="array" ref="I107">IF($F107&lt;&gt;"",XLOOKUP($F107,Productos!$A:$A,Productos!B:B,"Revisar"),"")</f>
        <v/>
      </c>
      <c r="J107" s="179" t="str">
        <f t="array" ref="J107">IF($F107&lt;&gt;"", XLOOKUP($F107,Productos!$A$2:$A1001,Productos!C$2:C1001,"")*$G107,"")</f>
        <v/>
      </c>
      <c r="K107" s="179" t="str">
        <f t="array" ref="K107">IF($F107&lt;&gt;"",XLOOKUP($F107,Productos!$A:$A,Productos!D:D,"Revisar"),"")</f>
        <v/>
      </c>
      <c r="L107" s="179" t="str">
        <f t="array" ref="L107">IF($F107&lt;&gt;"", XLOOKUP($F107,Productos!$A$2:$A1001,Productos!E$2:E1001,"")*$G107,"")</f>
        <v/>
      </c>
      <c r="M107" s="179" t="str">
        <f t="array" ref="M107">IF($F107&lt;&gt;"",XLOOKUP($F107,Productos!$A:$A,Productos!F:F,"Revisar"),"")</f>
        <v/>
      </c>
      <c r="N107" s="179" t="str">
        <f t="array" ref="N107">IF($F107&lt;&gt;"", XLOOKUP($F107,Productos!$A$2:$A1001,Productos!G$2:G1001,"")*$G107,"")</f>
        <v/>
      </c>
      <c r="O107" s="179" t="str">
        <f t="array" ref="O107">IF($F107&lt;&gt;"",XLOOKUP($F107,Productos!$A:$A,Productos!H:H,"Revisar"),"")</f>
        <v/>
      </c>
      <c r="P107" s="179" t="str">
        <f t="array" ref="P107">IF($F107&lt;&gt;"", XLOOKUP($F107,Productos!$A$2:$A1001,Productos!I$2:I1001,"")*$G107,"")</f>
        <v/>
      </c>
      <c r="Q107" s="179" t="str">
        <f t="array" ref="Q107">IF($F107&lt;&gt;"",XLOOKUP($F107,Productos!$A:$A,Productos!J:J,"Revisar"),"")</f>
        <v/>
      </c>
      <c r="R107" s="179" t="str">
        <f t="array" ref="R107">IF($F107&lt;&gt;"", XLOOKUP($F107,Productos!$A$2:$A1001,Productos!K$2:K1001,"")*$G107,"")</f>
        <v/>
      </c>
      <c r="S107" s="179" t="str">
        <f t="array" ref="S107">IF($F107&lt;&gt;"",XLOOKUP($F107,Productos!$A:$A,Productos!L:L,"Revisar"),"")</f>
        <v/>
      </c>
      <c r="T107" s="179" t="str">
        <f t="array" ref="T107">IF($F107&lt;&gt;"", XLOOKUP($F107,Productos!$A$2:$A1001,Productos!M$2:M1001,"")*$G107,"")</f>
        <v/>
      </c>
      <c r="U107" s="179" t="str">
        <f t="array" ref="U107">IF($F107&lt;&gt;"",XLOOKUP($F107,Productos!$A:$A,Productos!N:N,"Revisar"),"")</f>
        <v/>
      </c>
      <c r="V107" s="179" t="str">
        <f t="array" ref="V107">IF($F107&lt;&gt;"", XLOOKUP($F107,Productos!$A$2:$A1001,Productos!O$2:O1001,"")*$G107,"")</f>
        <v/>
      </c>
      <c r="W107" s="179" t="str">
        <f t="array" ref="W107">IF($F107&lt;&gt;"",XLOOKUP($F107,Productos!$A:$A,Productos!P:P,"Revisar"),"")</f>
        <v/>
      </c>
      <c r="X107" s="179" t="str">
        <f t="array" ref="X107">IF($F107&lt;&gt;"", XLOOKUP($F107,Productos!$A$2:$A1001,Productos!Q$2:Q1001,"")*$G107,"")</f>
        <v/>
      </c>
      <c r="Y107" s="179" t="str">
        <f t="array" ref="Y107">IF($F107&lt;&gt;"",XLOOKUP($F107,Productos!$A:$A,Productos!R:R,"Revisar"),"")</f>
        <v/>
      </c>
      <c r="Z107" s="179" t="str">
        <f t="array" ref="Z107">IF($F107&lt;&gt;"", XLOOKUP($F107,Productos!$A$2:$A1001,Productos!S$2:S1001,"")*$G107,"")</f>
        <v/>
      </c>
      <c r="AA107" s="179" t="str">
        <f t="array" ref="AA107">IF($F107&lt;&gt;"",XLOOKUP($F107,Productos!$A:$A,Productos!T:T,"Revisar"),"")</f>
        <v/>
      </c>
      <c r="AB107" s="179" t="str">
        <f t="array" ref="AB107">IF($F107&lt;&gt;"", XLOOKUP($F107,Productos!$A$2:$A1001,Productos!U$2:U1001,"")*$G107,"")</f>
        <v/>
      </c>
      <c r="AC107" s="179" t="str">
        <f t="array" ref="AC107">IF($F107&lt;&gt;"",XLOOKUP($F107,Productos!$A:$A,Productos!V:V,"Revisar"),"")</f>
        <v/>
      </c>
      <c r="AD107" s="179" t="str">
        <f t="array" ref="AD107">IF($F107&lt;&gt;"", XLOOKUP($F107,Productos!$A$2:$A1001,Productos!W$2:W1001,"")*$G107,"")</f>
        <v/>
      </c>
      <c r="AE107" s="179" t="str">
        <f t="array" ref="AE107">IF($F107&lt;&gt;"",XLOOKUP($F107,Productos!$A:$A,Productos!X:X,"Revisar"),"")</f>
        <v/>
      </c>
      <c r="AF107" s="179" t="str">
        <f t="array" ref="AF107">IF($F107&lt;&gt;"", XLOOKUP($F107,Productos!$A$2:$A1001,Productos!Y$2:Y1001,"")*$G107,"")</f>
        <v/>
      </c>
      <c r="AG107" s="179" t="str">
        <f t="array" ref="AG107">IF($F107&lt;&gt;"",XLOOKUP($F107,Productos!$A:$A,Productos!Z:Z,"Revisar"),"")</f>
        <v/>
      </c>
      <c r="AH107" s="179" t="str">
        <f t="array" ref="AH107">IF($F107&lt;&gt;"", XLOOKUP($F107,Productos!$A$2:$A1001,Productos!AA$2:AA1001,"")*$G107,"")</f>
        <v/>
      </c>
      <c r="AI107" s="179" t="str">
        <f t="array" ref="AI107">IF($F107&lt;&gt;"",XLOOKUP($F107,Productos!$A:$A,Productos!AB:AB,"Revisar"),"")</f>
        <v/>
      </c>
      <c r="AJ107" s="179" t="str">
        <f t="array" ref="AJ107">IF($F107&lt;&gt;"", XLOOKUP($F107,Productos!$A$2:$A1001,Productos!AC$2:AC1001,"")*$G107,"")</f>
        <v/>
      </c>
      <c r="AK107" s="179" t="str">
        <f t="array" ref="AK107">IF($F107&lt;&gt;"",XLOOKUP($F107,Productos!$A:$A,Productos!AD:AD,"Revisar"),"")</f>
        <v/>
      </c>
      <c r="AL107" s="179" t="str">
        <f t="array" ref="AL107">IF($F107&lt;&gt;"", XLOOKUP($F107,Productos!$A$2:$A1001,Productos!AE$2:AE1001,"")*$G107,"")</f>
        <v/>
      </c>
      <c r="AM107" s="179" t="str">
        <f t="array" ref="AM107">IF($F107&lt;&gt;"",XLOOKUP($F107,Productos!$A:$A,Productos!AF:AF,"Revisar"),"")</f>
        <v/>
      </c>
      <c r="AN107" s="179" t="str">
        <f t="array" ref="AN107">IF($F107&lt;&gt;"", XLOOKUP($F107,Productos!$A$2:$A1001,Productos!AG$2:AG1001,"")*$G107,"")</f>
        <v/>
      </c>
      <c r="AO107" s="179" t="str">
        <f t="array" ref="AO107">IF($F107&lt;&gt;"",XLOOKUP($F107,Productos!$A:$A,Productos!AH:AH,"Revisar"),"")</f>
        <v/>
      </c>
      <c r="AP107" s="179" t="str">
        <f t="array" ref="AP107">IF($F107&lt;&gt;"", XLOOKUP($F107,Productos!$A$2:$A1001,Productos!AI$2:AI1001,"")*$G107,"")</f>
        <v/>
      </c>
      <c r="AQ107" s="179" t="str">
        <f t="array" ref="AQ107">IF($F107&lt;&gt;"",XLOOKUP($F107,Productos!$A:$A,Productos!AJ:AJ,"Revisar"),"")</f>
        <v/>
      </c>
      <c r="AR107" s="179" t="str">
        <f t="array" ref="AR107">IF($F107&lt;&gt;"", XLOOKUP($F107,Productos!$A$2:$A1001,Productos!AK$2:AK1001,"")*$G107,"")</f>
        <v/>
      </c>
      <c r="AS107" s="179" t="str">
        <f t="array" ref="AS107">IF($F107&lt;&gt;"",XLOOKUP($F107,Productos!$A:$A,Productos!AL:AL,"Revisar"),"")</f>
        <v/>
      </c>
      <c r="AT107" s="179" t="str">
        <f t="array" ref="AT107">IF($F107&lt;&gt;"", XLOOKUP($F107,Productos!$A$2:$A1001,Productos!AM$2:AM1001,"")*$G107,"")</f>
        <v/>
      </c>
      <c r="AU107" s="179" t="str">
        <f t="array" ref="AU107">IF($F107&lt;&gt;"",XLOOKUP($F107,Productos!$A:$A,Productos!AN:AN,"Revisar"),"")</f>
        <v/>
      </c>
      <c r="AV107" s="179" t="str">
        <f t="array" ref="AV107">IF($F107&lt;&gt;"", XLOOKUP($F107,Productos!$A$2:$A1001,Productos!AO$2:AO1001,"")*$G107,"")</f>
        <v/>
      </c>
      <c r="AW107" s="179" t="str">
        <f t="array" ref="AW107">IF($F107&lt;&gt;"",XLOOKUP($F107,Productos!$A:$A,Productos!AP:AP,"Revisar"),"")</f>
        <v/>
      </c>
      <c r="AX107" s="179" t="str">
        <f t="array" ref="AX107">IF($F107&lt;&gt;"", XLOOKUP($F107,Productos!$A$2:$A1001,Productos!AQ$2:AQ1001,"")*$G107,"")</f>
        <v/>
      </c>
      <c r="AY107" s="179" t="str">
        <f t="array" ref="AY107">IF($F107&lt;&gt;"",XLOOKUP($F107,Productos!$A:$A,Productos!AR:AR,"Revisar"),"")</f>
        <v/>
      </c>
      <c r="AZ107" s="179" t="str">
        <f t="array" ref="AZ107">IF($F107&lt;&gt;"", XLOOKUP($F107,Productos!$A$2:$A1001,Productos!AS$2:AS1001,"")*$G107,"")</f>
        <v/>
      </c>
      <c r="BA107" s="179" t="str">
        <f t="array" ref="BA107">IF($F107&lt;&gt;"",XLOOKUP($F107,Productos!$A:$A,Productos!AT:AT,"Revisar"),"")</f>
        <v/>
      </c>
      <c r="BB107" s="179" t="str">
        <f t="array" ref="BB107">IF($F107&lt;&gt;"", XLOOKUP($F107,Productos!$A$2:$A1001,Productos!AU$2:AU1001,"")*$G107,"")</f>
        <v/>
      </c>
      <c r="BC107" s="179" t="str">
        <f t="array" ref="BC107">IF($F107&lt;&gt;"",XLOOKUP($F107,Productos!$A:$A,Productos!AV:AV,"Revisar"),"")</f>
        <v/>
      </c>
      <c r="BD107" s="179" t="str">
        <f t="array" ref="BD107">IF($F107&lt;&gt;"", XLOOKUP($F107,Productos!$A$2:$A1001,Productos!AW$2:AW1001,"")*$G107,"")</f>
        <v/>
      </c>
      <c r="BE107" s="179" t="str">
        <f t="array" ref="BE107">IF($F107&lt;&gt;"",XLOOKUP($F107,Productos!$A:$A,Productos!AX:AX,"Revisar"),"")</f>
        <v/>
      </c>
      <c r="BF107" s="179" t="str">
        <f t="array" ref="BF107">IF($F107&lt;&gt;"", XLOOKUP($F107,Productos!$A$2:$A1001,Productos!AY$2:AY1001,"")*$G107,"")</f>
        <v/>
      </c>
      <c r="BG107" s="179" t="str">
        <f t="array" ref="BG107">IF($F107&lt;&gt;"",XLOOKUP($F107,Productos!$A:$A,Productos!AZ:AZ,"Revisar"),"")</f>
        <v/>
      </c>
      <c r="BH107" s="179" t="str">
        <f t="array" ref="BH107">IF($F107&lt;&gt;"", XLOOKUP($F107,Productos!$A$2:$A1001,Productos!BA$2:BA1001,"")*$G107,"")</f>
        <v/>
      </c>
      <c r="BI107" s="179" t="str">
        <f t="array" ref="BI107">IF($F107&lt;&gt;"",XLOOKUP($F107,Productos!$A:$A,Productos!BB:BB,"Revisar"),"")</f>
        <v/>
      </c>
      <c r="BJ107" s="179" t="str">
        <f t="array" ref="BJ107">IF($F107&lt;&gt;"", XLOOKUP($F107,Productos!$A$2:$A1001,Productos!BC$2:BC1001,"")*$G107,"")</f>
        <v/>
      </c>
      <c r="BK107" s="179" t="str">
        <f t="array" ref="BK107">IF($F107&lt;&gt;"",XLOOKUP($F107,Productos!$A:$A,Productos!BD:BD,"Revisar"),"")</f>
        <v/>
      </c>
      <c r="BL107" s="179" t="str">
        <f t="array" ref="BL107">IF($F107&lt;&gt;"", XLOOKUP($F107,Productos!$A$2:$A1001,Productos!BE$2:BE1001,"")*$G107,"")</f>
        <v/>
      </c>
      <c r="BM107" s="179" t="str">
        <f t="array" ref="BM107">IF($F107&lt;&gt;"",XLOOKUP($F107,Productos!$A:$A,Productos!BF:BF,"Revisar"),"")</f>
        <v/>
      </c>
      <c r="BN107" s="179" t="str">
        <f t="array" ref="BN107">IF($F107&lt;&gt;"", XLOOKUP($F107,Productos!$A$2:$A1001,Productos!BG$2:BG1001,"")*$G107,"")</f>
        <v/>
      </c>
      <c r="BO107" s="179" t="str">
        <f t="array" ref="BO107">IF($F107&lt;&gt;"",XLOOKUP($F107,Productos!$A:$A,Productos!BH:BH,"Revisar"),"")</f>
        <v/>
      </c>
      <c r="BP107" s="179" t="str">
        <f t="array" ref="BP107">IF($F107&lt;&gt;"", XLOOKUP($F107,Productos!$A$2:$A1001,Productos!BI$2:BI1001,"")*$G107,"")</f>
        <v/>
      </c>
      <c r="BQ107" s="179" t="str">
        <f t="array" ref="BQ107">IF($F107&lt;&gt;"",XLOOKUP($F107,Productos!$A:$A,Productos!BJ:BJ,"Revisar"),"")</f>
        <v/>
      </c>
      <c r="BR107" s="179" t="str">
        <f t="array" ref="BR107">IF($F107&lt;&gt;"", XLOOKUP($F107,Productos!$A$2:$A1001,Productos!BK$2:BK1001,"")*$G107,"")</f>
        <v/>
      </c>
      <c r="BS107" s="179" t="str">
        <f t="array" ref="BS107">IF($F107&lt;&gt;"",XLOOKUP($F107,Productos!$A:$A,Productos!BL:BL,"Revisar"),"")</f>
        <v/>
      </c>
      <c r="BT107" s="179" t="str">
        <f t="array" ref="BT107">IF($F107&lt;&gt;"", XLOOKUP($F107,Productos!$A$2:$A1001,Productos!BM$2:BM1001,"")*$G107,"")</f>
        <v/>
      </c>
      <c r="BU107" s="179" t="str">
        <f t="array" ref="BU107">IF($F107&lt;&gt;"",XLOOKUP($F107,Productos!$A:$A,Productos!BN:BN,"Revisar"),"")</f>
        <v/>
      </c>
      <c r="BV107" s="179" t="str">
        <f t="array" ref="BV107">IF($F107&lt;&gt;"", XLOOKUP($F107,Productos!$A$2:$A1001,Productos!BO$2:BO1001,"")*$G107,"")</f>
        <v/>
      </c>
      <c r="BW107" s="179" t="str">
        <f t="array" ref="BW107">IF($F107&lt;&gt;"",XLOOKUP($F107,Productos!$A:$A,Productos!BP:BP,"Revisar"),"")</f>
        <v/>
      </c>
      <c r="BX107" s="179" t="str">
        <f t="array" ref="BX107">IF($F107&lt;&gt;"", XLOOKUP($F107,Productos!$A$2:$A1001,Productos!BQ$2:BQ1001,"")*$G107,"")</f>
        <v/>
      </c>
      <c r="BY107" s="179" t="str">
        <f t="array" ref="BY107">IF($F107&lt;&gt;"",XLOOKUP($F107,Productos!$A:$A,Productos!BR:BR,"Revisar"),"")</f>
        <v/>
      </c>
      <c r="BZ107" s="179" t="str">
        <f t="array" ref="BZ107">IF($F107&lt;&gt;"", XLOOKUP($F107,Productos!$A$2:$A1001,Productos!BS$2:BS1001,"")*$G107,"")</f>
        <v/>
      </c>
    </row>
    <row r="108">
      <c r="A108" s="180"/>
      <c r="B108" s="181"/>
      <c r="C108" s="182"/>
      <c r="D108" s="182"/>
      <c r="E108" s="185"/>
      <c r="F108" s="186"/>
      <c r="G108" s="187"/>
      <c r="H108" s="186"/>
      <c r="I108" s="179" t="str">
        <f t="array" ref="I108">IF($F108&lt;&gt;"",XLOOKUP($F108,Productos!$A:$A,Productos!B:B,"Revisar"),"")</f>
        <v/>
      </c>
      <c r="J108" s="179" t="str">
        <f t="array" ref="J108">IF($F108&lt;&gt;"", XLOOKUP($F108,Productos!$A$2:$A1001,Productos!C$2:C1001,"")*$G108,"")</f>
        <v/>
      </c>
      <c r="K108" s="179" t="str">
        <f t="array" ref="K108">IF($F108&lt;&gt;"",XLOOKUP($F108,Productos!$A:$A,Productos!D:D,"Revisar"),"")</f>
        <v/>
      </c>
      <c r="L108" s="179" t="str">
        <f t="array" ref="L108">IF($F108&lt;&gt;"", XLOOKUP($F108,Productos!$A$2:$A1001,Productos!E$2:E1001,"")*$G108,"")</f>
        <v/>
      </c>
      <c r="M108" s="179" t="str">
        <f t="array" ref="M108">IF($F108&lt;&gt;"",XLOOKUP($F108,Productos!$A:$A,Productos!F:F,"Revisar"),"")</f>
        <v/>
      </c>
      <c r="N108" s="179" t="str">
        <f t="array" ref="N108">IF($F108&lt;&gt;"", XLOOKUP($F108,Productos!$A$2:$A1001,Productos!G$2:G1001,"")*$G108,"")</f>
        <v/>
      </c>
      <c r="O108" s="179" t="str">
        <f t="array" ref="O108">IF($F108&lt;&gt;"",XLOOKUP($F108,Productos!$A:$A,Productos!H:H,"Revisar"),"")</f>
        <v/>
      </c>
      <c r="P108" s="179" t="str">
        <f t="array" ref="P108">IF($F108&lt;&gt;"", XLOOKUP($F108,Productos!$A$2:$A1001,Productos!I$2:I1001,"")*$G108,"")</f>
        <v/>
      </c>
      <c r="Q108" s="179" t="str">
        <f t="array" ref="Q108">IF($F108&lt;&gt;"",XLOOKUP($F108,Productos!$A:$A,Productos!J:J,"Revisar"),"")</f>
        <v/>
      </c>
      <c r="R108" s="179" t="str">
        <f t="array" ref="R108">IF($F108&lt;&gt;"", XLOOKUP($F108,Productos!$A$2:$A1001,Productos!K$2:K1001,"")*$G108,"")</f>
        <v/>
      </c>
      <c r="S108" s="179" t="str">
        <f t="array" ref="S108">IF($F108&lt;&gt;"",XLOOKUP($F108,Productos!$A:$A,Productos!L:L,"Revisar"),"")</f>
        <v/>
      </c>
      <c r="T108" s="179" t="str">
        <f t="array" ref="T108">IF($F108&lt;&gt;"", XLOOKUP($F108,Productos!$A$2:$A1001,Productos!M$2:M1001,"")*$G108,"")</f>
        <v/>
      </c>
      <c r="U108" s="179" t="str">
        <f t="array" ref="U108">IF($F108&lt;&gt;"",XLOOKUP($F108,Productos!$A:$A,Productos!N:N,"Revisar"),"")</f>
        <v/>
      </c>
      <c r="V108" s="179" t="str">
        <f t="array" ref="V108">IF($F108&lt;&gt;"", XLOOKUP($F108,Productos!$A$2:$A1001,Productos!O$2:O1001,"")*$G108,"")</f>
        <v/>
      </c>
      <c r="W108" s="179" t="str">
        <f t="array" ref="W108">IF($F108&lt;&gt;"",XLOOKUP($F108,Productos!$A:$A,Productos!P:P,"Revisar"),"")</f>
        <v/>
      </c>
      <c r="X108" s="179" t="str">
        <f t="array" ref="X108">IF($F108&lt;&gt;"", XLOOKUP($F108,Productos!$A$2:$A1001,Productos!Q$2:Q1001,"")*$G108,"")</f>
        <v/>
      </c>
      <c r="Y108" s="179" t="str">
        <f t="array" ref="Y108">IF($F108&lt;&gt;"",XLOOKUP($F108,Productos!$A:$A,Productos!R:R,"Revisar"),"")</f>
        <v/>
      </c>
      <c r="Z108" s="179" t="str">
        <f t="array" ref="Z108">IF($F108&lt;&gt;"", XLOOKUP($F108,Productos!$A$2:$A1001,Productos!S$2:S1001,"")*$G108,"")</f>
        <v/>
      </c>
      <c r="AA108" s="179" t="str">
        <f t="array" ref="AA108">IF($F108&lt;&gt;"",XLOOKUP($F108,Productos!$A:$A,Productos!T:T,"Revisar"),"")</f>
        <v/>
      </c>
      <c r="AB108" s="179" t="str">
        <f t="array" ref="AB108">IF($F108&lt;&gt;"", XLOOKUP($F108,Productos!$A$2:$A1001,Productos!U$2:U1001,"")*$G108,"")</f>
        <v/>
      </c>
      <c r="AC108" s="179" t="str">
        <f t="array" ref="AC108">IF($F108&lt;&gt;"",XLOOKUP($F108,Productos!$A:$A,Productos!V:V,"Revisar"),"")</f>
        <v/>
      </c>
      <c r="AD108" s="179" t="str">
        <f t="array" ref="AD108">IF($F108&lt;&gt;"", XLOOKUP($F108,Productos!$A$2:$A1001,Productos!W$2:W1001,"")*$G108,"")</f>
        <v/>
      </c>
      <c r="AE108" s="179" t="str">
        <f t="array" ref="AE108">IF($F108&lt;&gt;"",XLOOKUP($F108,Productos!$A:$A,Productos!X:X,"Revisar"),"")</f>
        <v/>
      </c>
      <c r="AF108" s="179" t="str">
        <f t="array" ref="AF108">IF($F108&lt;&gt;"", XLOOKUP($F108,Productos!$A$2:$A1001,Productos!Y$2:Y1001,"")*$G108,"")</f>
        <v/>
      </c>
      <c r="AG108" s="179" t="str">
        <f t="array" ref="AG108">IF($F108&lt;&gt;"",XLOOKUP($F108,Productos!$A:$A,Productos!Z:Z,"Revisar"),"")</f>
        <v/>
      </c>
      <c r="AH108" s="179" t="str">
        <f t="array" ref="AH108">IF($F108&lt;&gt;"", XLOOKUP($F108,Productos!$A$2:$A1001,Productos!AA$2:AA1001,"")*$G108,"")</f>
        <v/>
      </c>
      <c r="AI108" s="179" t="str">
        <f t="array" ref="AI108">IF($F108&lt;&gt;"",XLOOKUP($F108,Productos!$A:$A,Productos!AB:AB,"Revisar"),"")</f>
        <v/>
      </c>
      <c r="AJ108" s="179" t="str">
        <f t="array" ref="AJ108">IF($F108&lt;&gt;"", XLOOKUP($F108,Productos!$A$2:$A1001,Productos!AC$2:AC1001,"")*$G108,"")</f>
        <v/>
      </c>
      <c r="AK108" s="179" t="str">
        <f t="array" ref="AK108">IF($F108&lt;&gt;"",XLOOKUP($F108,Productos!$A:$A,Productos!AD:AD,"Revisar"),"")</f>
        <v/>
      </c>
      <c r="AL108" s="179" t="str">
        <f t="array" ref="AL108">IF($F108&lt;&gt;"", XLOOKUP($F108,Productos!$A$2:$A1001,Productos!AE$2:AE1001,"")*$G108,"")</f>
        <v/>
      </c>
      <c r="AM108" s="179" t="str">
        <f t="array" ref="AM108">IF($F108&lt;&gt;"",XLOOKUP($F108,Productos!$A:$A,Productos!AF:AF,"Revisar"),"")</f>
        <v/>
      </c>
      <c r="AN108" s="179" t="str">
        <f t="array" ref="AN108">IF($F108&lt;&gt;"", XLOOKUP($F108,Productos!$A$2:$A1001,Productos!AG$2:AG1001,"")*$G108,"")</f>
        <v/>
      </c>
      <c r="AO108" s="179" t="str">
        <f t="array" ref="AO108">IF($F108&lt;&gt;"",XLOOKUP($F108,Productos!$A:$A,Productos!AH:AH,"Revisar"),"")</f>
        <v/>
      </c>
      <c r="AP108" s="179" t="str">
        <f t="array" ref="AP108">IF($F108&lt;&gt;"", XLOOKUP($F108,Productos!$A$2:$A1001,Productos!AI$2:AI1001,"")*$G108,"")</f>
        <v/>
      </c>
      <c r="AQ108" s="179" t="str">
        <f t="array" ref="AQ108">IF($F108&lt;&gt;"",XLOOKUP($F108,Productos!$A:$A,Productos!AJ:AJ,"Revisar"),"")</f>
        <v/>
      </c>
      <c r="AR108" s="179" t="str">
        <f t="array" ref="AR108">IF($F108&lt;&gt;"", XLOOKUP($F108,Productos!$A$2:$A1001,Productos!AK$2:AK1001,"")*$G108,"")</f>
        <v/>
      </c>
      <c r="AS108" s="179" t="str">
        <f t="array" ref="AS108">IF($F108&lt;&gt;"",XLOOKUP($F108,Productos!$A:$A,Productos!AL:AL,"Revisar"),"")</f>
        <v/>
      </c>
      <c r="AT108" s="179" t="str">
        <f t="array" ref="AT108">IF($F108&lt;&gt;"", XLOOKUP($F108,Productos!$A$2:$A1001,Productos!AM$2:AM1001,"")*$G108,"")</f>
        <v/>
      </c>
      <c r="AU108" s="179" t="str">
        <f t="array" ref="AU108">IF($F108&lt;&gt;"",XLOOKUP($F108,Productos!$A:$A,Productos!AN:AN,"Revisar"),"")</f>
        <v/>
      </c>
      <c r="AV108" s="179" t="str">
        <f t="array" ref="AV108">IF($F108&lt;&gt;"", XLOOKUP($F108,Productos!$A$2:$A1001,Productos!AO$2:AO1001,"")*$G108,"")</f>
        <v/>
      </c>
      <c r="AW108" s="179" t="str">
        <f t="array" ref="AW108">IF($F108&lt;&gt;"",XLOOKUP($F108,Productos!$A:$A,Productos!AP:AP,"Revisar"),"")</f>
        <v/>
      </c>
      <c r="AX108" s="179" t="str">
        <f t="array" ref="AX108">IF($F108&lt;&gt;"", XLOOKUP($F108,Productos!$A$2:$A1001,Productos!AQ$2:AQ1001,"")*$G108,"")</f>
        <v/>
      </c>
      <c r="AY108" s="179" t="str">
        <f t="array" ref="AY108">IF($F108&lt;&gt;"",XLOOKUP($F108,Productos!$A:$A,Productos!AR:AR,"Revisar"),"")</f>
        <v/>
      </c>
      <c r="AZ108" s="179" t="str">
        <f t="array" ref="AZ108">IF($F108&lt;&gt;"", XLOOKUP($F108,Productos!$A$2:$A1001,Productos!AS$2:AS1001,"")*$G108,"")</f>
        <v/>
      </c>
      <c r="BA108" s="179" t="str">
        <f t="array" ref="BA108">IF($F108&lt;&gt;"",XLOOKUP($F108,Productos!$A:$A,Productos!AT:AT,"Revisar"),"")</f>
        <v/>
      </c>
      <c r="BB108" s="179" t="str">
        <f t="array" ref="BB108">IF($F108&lt;&gt;"", XLOOKUP($F108,Productos!$A$2:$A1001,Productos!AU$2:AU1001,"")*$G108,"")</f>
        <v/>
      </c>
      <c r="BC108" s="179" t="str">
        <f t="array" ref="BC108">IF($F108&lt;&gt;"",XLOOKUP($F108,Productos!$A:$A,Productos!AV:AV,"Revisar"),"")</f>
        <v/>
      </c>
      <c r="BD108" s="179" t="str">
        <f t="array" ref="BD108">IF($F108&lt;&gt;"", XLOOKUP($F108,Productos!$A$2:$A1001,Productos!AW$2:AW1001,"")*$G108,"")</f>
        <v/>
      </c>
      <c r="BE108" s="179" t="str">
        <f t="array" ref="BE108">IF($F108&lt;&gt;"",XLOOKUP($F108,Productos!$A:$A,Productos!AX:AX,"Revisar"),"")</f>
        <v/>
      </c>
      <c r="BF108" s="179" t="str">
        <f t="array" ref="BF108">IF($F108&lt;&gt;"", XLOOKUP($F108,Productos!$A$2:$A1001,Productos!AY$2:AY1001,"")*$G108,"")</f>
        <v/>
      </c>
      <c r="BG108" s="179" t="str">
        <f t="array" ref="BG108">IF($F108&lt;&gt;"",XLOOKUP($F108,Productos!$A:$A,Productos!AZ:AZ,"Revisar"),"")</f>
        <v/>
      </c>
      <c r="BH108" s="179" t="str">
        <f t="array" ref="BH108">IF($F108&lt;&gt;"", XLOOKUP($F108,Productos!$A$2:$A1001,Productos!BA$2:BA1001,"")*$G108,"")</f>
        <v/>
      </c>
      <c r="BI108" s="179" t="str">
        <f t="array" ref="BI108">IF($F108&lt;&gt;"",XLOOKUP($F108,Productos!$A:$A,Productos!BB:BB,"Revisar"),"")</f>
        <v/>
      </c>
      <c r="BJ108" s="179" t="str">
        <f t="array" ref="BJ108">IF($F108&lt;&gt;"", XLOOKUP($F108,Productos!$A$2:$A1001,Productos!BC$2:BC1001,"")*$G108,"")</f>
        <v/>
      </c>
      <c r="BK108" s="179" t="str">
        <f t="array" ref="BK108">IF($F108&lt;&gt;"",XLOOKUP($F108,Productos!$A:$A,Productos!BD:BD,"Revisar"),"")</f>
        <v/>
      </c>
      <c r="BL108" s="179" t="str">
        <f t="array" ref="BL108">IF($F108&lt;&gt;"", XLOOKUP($F108,Productos!$A$2:$A1001,Productos!BE$2:BE1001,"")*$G108,"")</f>
        <v/>
      </c>
      <c r="BM108" s="179" t="str">
        <f t="array" ref="BM108">IF($F108&lt;&gt;"",XLOOKUP($F108,Productos!$A:$A,Productos!BF:BF,"Revisar"),"")</f>
        <v/>
      </c>
      <c r="BN108" s="179" t="str">
        <f t="array" ref="BN108">IF($F108&lt;&gt;"", XLOOKUP($F108,Productos!$A$2:$A1001,Productos!BG$2:BG1001,"")*$G108,"")</f>
        <v/>
      </c>
      <c r="BO108" s="179" t="str">
        <f t="array" ref="BO108">IF($F108&lt;&gt;"",XLOOKUP($F108,Productos!$A:$A,Productos!BH:BH,"Revisar"),"")</f>
        <v/>
      </c>
      <c r="BP108" s="179" t="str">
        <f t="array" ref="BP108">IF($F108&lt;&gt;"", XLOOKUP($F108,Productos!$A$2:$A1001,Productos!BI$2:BI1001,"")*$G108,"")</f>
        <v/>
      </c>
      <c r="BQ108" s="179" t="str">
        <f t="array" ref="BQ108">IF($F108&lt;&gt;"",XLOOKUP($F108,Productos!$A:$A,Productos!BJ:BJ,"Revisar"),"")</f>
        <v/>
      </c>
      <c r="BR108" s="179" t="str">
        <f t="array" ref="BR108">IF($F108&lt;&gt;"", XLOOKUP($F108,Productos!$A$2:$A1001,Productos!BK$2:BK1001,"")*$G108,"")</f>
        <v/>
      </c>
      <c r="BS108" s="179" t="str">
        <f t="array" ref="BS108">IF($F108&lt;&gt;"",XLOOKUP($F108,Productos!$A:$A,Productos!BL:BL,"Revisar"),"")</f>
        <v/>
      </c>
      <c r="BT108" s="179" t="str">
        <f t="array" ref="BT108">IF($F108&lt;&gt;"", XLOOKUP($F108,Productos!$A$2:$A1001,Productos!BM$2:BM1001,"")*$G108,"")</f>
        <v/>
      </c>
      <c r="BU108" s="179" t="str">
        <f t="array" ref="BU108">IF($F108&lt;&gt;"",XLOOKUP($F108,Productos!$A:$A,Productos!BN:BN,"Revisar"),"")</f>
        <v/>
      </c>
      <c r="BV108" s="179" t="str">
        <f t="array" ref="BV108">IF($F108&lt;&gt;"", XLOOKUP($F108,Productos!$A$2:$A1001,Productos!BO$2:BO1001,"")*$G108,"")</f>
        <v/>
      </c>
      <c r="BW108" s="179" t="str">
        <f t="array" ref="BW108">IF($F108&lt;&gt;"",XLOOKUP($F108,Productos!$A:$A,Productos!BP:BP,"Revisar"),"")</f>
        <v/>
      </c>
      <c r="BX108" s="179" t="str">
        <f t="array" ref="BX108">IF($F108&lt;&gt;"", XLOOKUP($F108,Productos!$A$2:$A1001,Productos!BQ$2:BQ1001,"")*$G108,"")</f>
        <v/>
      </c>
      <c r="BY108" s="179" t="str">
        <f t="array" ref="BY108">IF($F108&lt;&gt;"",XLOOKUP($F108,Productos!$A:$A,Productos!BR:BR,"Revisar"),"")</f>
        <v/>
      </c>
      <c r="BZ108" s="179" t="str">
        <f t="array" ref="BZ108">IF($F108&lt;&gt;"", XLOOKUP($F108,Productos!$A$2:$A1001,Productos!BS$2:BS1001,"")*$G108,"")</f>
        <v/>
      </c>
    </row>
    <row r="109">
      <c r="A109" s="180"/>
      <c r="B109" s="181"/>
      <c r="C109" s="182"/>
      <c r="D109" s="182"/>
      <c r="E109" s="185"/>
      <c r="F109" s="186"/>
      <c r="G109" s="187"/>
      <c r="H109" s="186"/>
      <c r="I109" s="179" t="str">
        <f t="array" ref="I109">IF($F109&lt;&gt;"",XLOOKUP($F109,Productos!$A:$A,Productos!B:B,"Revisar"),"")</f>
        <v/>
      </c>
      <c r="J109" s="179" t="str">
        <f t="array" ref="J109">IF($F109&lt;&gt;"", XLOOKUP($F109,Productos!$A$2:$A1001,Productos!C$2:C1001,"")*$G109,"")</f>
        <v/>
      </c>
      <c r="K109" s="179" t="str">
        <f t="array" ref="K109">IF($F109&lt;&gt;"",XLOOKUP($F109,Productos!$A:$A,Productos!D:D,"Revisar"),"")</f>
        <v/>
      </c>
      <c r="L109" s="179" t="str">
        <f t="array" ref="L109">IF($F109&lt;&gt;"", XLOOKUP($F109,Productos!$A$2:$A1001,Productos!E$2:E1001,"")*$G109,"")</f>
        <v/>
      </c>
      <c r="M109" s="179" t="str">
        <f t="array" ref="M109">IF($F109&lt;&gt;"",XLOOKUP($F109,Productos!$A:$A,Productos!F:F,"Revisar"),"")</f>
        <v/>
      </c>
      <c r="N109" s="179" t="str">
        <f t="array" ref="N109">IF($F109&lt;&gt;"", XLOOKUP($F109,Productos!$A$2:$A1001,Productos!G$2:G1001,"")*$G109,"")</f>
        <v/>
      </c>
      <c r="O109" s="179" t="str">
        <f t="array" ref="O109">IF($F109&lt;&gt;"",XLOOKUP($F109,Productos!$A:$A,Productos!H:H,"Revisar"),"")</f>
        <v/>
      </c>
      <c r="P109" s="179" t="str">
        <f t="array" ref="P109">IF($F109&lt;&gt;"", XLOOKUP($F109,Productos!$A$2:$A1001,Productos!I$2:I1001,"")*$G109,"")</f>
        <v/>
      </c>
      <c r="Q109" s="179" t="str">
        <f t="array" ref="Q109">IF($F109&lt;&gt;"",XLOOKUP($F109,Productos!$A:$A,Productos!J:J,"Revisar"),"")</f>
        <v/>
      </c>
      <c r="R109" s="179" t="str">
        <f t="array" ref="R109">IF($F109&lt;&gt;"", XLOOKUP($F109,Productos!$A$2:$A1001,Productos!K$2:K1001,"")*$G109,"")</f>
        <v/>
      </c>
      <c r="S109" s="179" t="str">
        <f t="array" ref="S109">IF($F109&lt;&gt;"",XLOOKUP($F109,Productos!$A:$A,Productos!L:L,"Revisar"),"")</f>
        <v/>
      </c>
      <c r="T109" s="179" t="str">
        <f t="array" ref="T109">IF($F109&lt;&gt;"", XLOOKUP($F109,Productos!$A$2:$A1001,Productos!M$2:M1001,"")*$G109,"")</f>
        <v/>
      </c>
      <c r="U109" s="179" t="str">
        <f t="array" ref="U109">IF($F109&lt;&gt;"",XLOOKUP($F109,Productos!$A:$A,Productos!N:N,"Revisar"),"")</f>
        <v/>
      </c>
      <c r="V109" s="179" t="str">
        <f t="array" ref="V109">IF($F109&lt;&gt;"", XLOOKUP($F109,Productos!$A$2:$A1001,Productos!O$2:O1001,"")*$G109,"")</f>
        <v/>
      </c>
      <c r="W109" s="179" t="str">
        <f t="array" ref="W109">IF($F109&lt;&gt;"",XLOOKUP($F109,Productos!$A:$A,Productos!P:P,"Revisar"),"")</f>
        <v/>
      </c>
      <c r="X109" s="179" t="str">
        <f t="array" ref="X109">IF($F109&lt;&gt;"", XLOOKUP($F109,Productos!$A$2:$A1001,Productos!Q$2:Q1001,"")*$G109,"")</f>
        <v/>
      </c>
      <c r="Y109" s="179" t="str">
        <f t="array" ref="Y109">IF($F109&lt;&gt;"",XLOOKUP($F109,Productos!$A:$A,Productos!R:R,"Revisar"),"")</f>
        <v/>
      </c>
      <c r="Z109" s="179" t="str">
        <f t="array" ref="Z109">IF($F109&lt;&gt;"", XLOOKUP($F109,Productos!$A$2:$A1001,Productos!S$2:S1001,"")*$G109,"")</f>
        <v/>
      </c>
      <c r="AA109" s="179" t="str">
        <f t="array" ref="AA109">IF($F109&lt;&gt;"",XLOOKUP($F109,Productos!$A:$A,Productos!T:T,"Revisar"),"")</f>
        <v/>
      </c>
      <c r="AB109" s="179" t="str">
        <f t="array" ref="AB109">IF($F109&lt;&gt;"", XLOOKUP($F109,Productos!$A$2:$A1001,Productos!U$2:U1001,"")*$G109,"")</f>
        <v/>
      </c>
      <c r="AC109" s="179" t="str">
        <f t="array" ref="AC109">IF($F109&lt;&gt;"",XLOOKUP($F109,Productos!$A:$A,Productos!V:V,"Revisar"),"")</f>
        <v/>
      </c>
      <c r="AD109" s="179" t="str">
        <f t="array" ref="AD109">IF($F109&lt;&gt;"", XLOOKUP($F109,Productos!$A$2:$A1001,Productos!W$2:W1001,"")*$G109,"")</f>
        <v/>
      </c>
      <c r="AE109" s="179" t="str">
        <f t="array" ref="AE109">IF($F109&lt;&gt;"",XLOOKUP($F109,Productos!$A:$A,Productos!X:X,"Revisar"),"")</f>
        <v/>
      </c>
      <c r="AF109" s="179" t="str">
        <f t="array" ref="AF109">IF($F109&lt;&gt;"", XLOOKUP($F109,Productos!$A$2:$A1001,Productos!Y$2:Y1001,"")*$G109,"")</f>
        <v/>
      </c>
      <c r="AG109" s="179" t="str">
        <f t="array" ref="AG109">IF($F109&lt;&gt;"",XLOOKUP($F109,Productos!$A:$A,Productos!Z:Z,"Revisar"),"")</f>
        <v/>
      </c>
      <c r="AH109" s="179" t="str">
        <f t="array" ref="AH109">IF($F109&lt;&gt;"", XLOOKUP($F109,Productos!$A$2:$A1001,Productos!AA$2:AA1001,"")*$G109,"")</f>
        <v/>
      </c>
      <c r="AI109" s="179" t="str">
        <f t="array" ref="AI109">IF($F109&lt;&gt;"",XLOOKUP($F109,Productos!$A:$A,Productos!AB:AB,"Revisar"),"")</f>
        <v/>
      </c>
      <c r="AJ109" s="179" t="str">
        <f t="array" ref="AJ109">IF($F109&lt;&gt;"", XLOOKUP($F109,Productos!$A$2:$A1001,Productos!AC$2:AC1001,"")*$G109,"")</f>
        <v/>
      </c>
      <c r="AK109" s="179" t="str">
        <f t="array" ref="AK109">IF($F109&lt;&gt;"",XLOOKUP($F109,Productos!$A:$A,Productos!AD:AD,"Revisar"),"")</f>
        <v/>
      </c>
      <c r="AL109" s="179" t="str">
        <f t="array" ref="AL109">IF($F109&lt;&gt;"", XLOOKUP($F109,Productos!$A$2:$A1001,Productos!AE$2:AE1001,"")*$G109,"")</f>
        <v/>
      </c>
      <c r="AM109" s="179" t="str">
        <f t="array" ref="AM109">IF($F109&lt;&gt;"",XLOOKUP($F109,Productos!$A:$A,Productos!AF:AF,"Revisar"),"")</f>
        <v/>
      </c>
      <c r="AN109" s="179" t="str">
        <f t="array" ref="AN109">IF($F109&lt;&gt;"", XLOOKUP($F109,Productos!$A$2:$A1001,Productos!AG$2:AG1001,"")*$G109,"")</f>
        <v/>
      </c>
      <c r="AO109" s="179" t="str">
        <f t="array" ref="AO109">IF($F109&lt;&gt;"",XLOOKUP($F109,Productos!$A:$A,Productos!AH:AH,"Revisar"),"")</f>
        <v/>
      </c>
      <c r="AP109" s="179" t="str">
        <f t="array" ref="AP109">IF($F109&lt;&gt;"", XLOOKUP($F109,Productos!$A$2:$A1001,Productos!AI$2:AI1001,"")*$G109,"")</f>
        <v/>
      </c>
      <c r="AQ109" s="179" t="str">
        <f t="array" ref="AQ109">IF($F109&lt;&gt;"",XLOOKUP($F109,Productos!$A:$A,Productos!AJ:AJ,"Revisar"),"")</f>
        <v/>
      </c>
      <c r="AR109" s="179" t="str">
        <f t="array" ref="AR109">IF($F109&lt;&gt;"", XLOOKUP($F109,Productos!$A$2:$A1001,Productos!AK$2:AK1001,"")*$G109,"")</f>
        <v/>
      </c>
      <c r="AS109" s="179" t="str">
        <f t="array" ref="AS109">IF($F109&lt;&gt;"",XLOOKUP($F109,Productos!$A:$A,Productos!AL:AL,"Revisar"),"")</f>
        <v/>
      </c>
      <c r="AT109" s="179" t="str">
        <f t="array" ref="AT109">IF($F109&lt;&gt;"", XLOOKUP($F109,Productos!$A$2:$A1001,Productos!AM$2:AM1001,"")*$G109,"")</f>
        <v/>
      </c>
      <c r="AU109" s="179" t="str">
        <f t="array" ref="AU109">IF($F109&lt;&gt;"",XLOOKUP($F109,Productos!$A:$A,Productos!AN:AN,"Revisar"),"")</f>
        <v/>
      </c>
      <c r="AV109" s="179" t="str">
        <f t="array" ref="AV109">IF($F109&lt;&gt;"", XLOOKUP($F109,Productos!$A$2:$A1001,Productos!AO$2:AO1001,"")*$G109,"")</f>
        <v/>
      </c>
      <c r="AW109" s="179" t="str">
        <f t="array" ref="AW109">IF($F109&lt;&gt;"",XLOOKUP($F109,Productos!$A:$A,Productos!AP:AP,"Revisar"),"")</f>
        <v/>
      </c>
      <c r="AX109" s="179" t="str">
        <f t="array" ref="AX109">IF($F109&lt;&gt;"", XLOOKUP($F109,Productos!$A$2:$A1001,Productos!AQ$2:AQ1001,"")*$G109,"")</f>
        <v/>
      </c>
      <c r="AY109" s="179" t="str">
        <f t="array" ref="AY109">IF($F109&lt;&gt;"",XLOOKUP($F109,Productos!$A:$A,Productos!AR:AR,"Revisar"),"")</f>
        <v/>
      </c>
      <c r="AZ109" s="179" t="str">
        <f t="array" ref="AZ109">IF($F109&lt;&gt;"", XLOOKUP($F109,Productos!$A$2:$A1001,Productos!AS$2:AS1001,"")*$G109,"")</f>
        <v/>
      </c>
      <c r="BA109" s="179" t="str">
        <f t="array" ref="BA109">IF($F109&lt;&gt;"",XLOOKUP($F109,Productos!$A:$A,Productos!AT:AT,"Revisar"),"")</f>
        <v/>
      </c>
      <c r="BB109" s="179" t="str">
        <f t="array" ref="BB109">IF($F109&lt;&gt;"", XLOOKUP($F109,Productos!$A$2:$A1001,Productos!AU$2:AU1001,"")*$G109,"")</f>
        <v/>
      </c>
      <c r="BC109" s="179" t="str">
        <f t="array" ref="BC109">IF($F109&lt;&gt;"",XLOOKUP($F109,Productos!$A:$A,Productos!AV:AV,"Revisar"),"")</f>
        <v/>
      </c>
      <c r="BD109" s="179" t="str">
        <f t="array" ref="BD109">IF($F109&lt;&gt;"", XLOOKUP($F109,Productos!$A$2:$A1001,Productos!AW$2:AW1001,"")*$G109,"")</f>
        <v/>
      </c>
      <c r="BE109" s="179" t="str">
        <f t="array" ref="BE109">IF($F109&lt;&gt;"",XLOOKUP($F109,Productos!$A:$A,Productos!AX:AX,"Revisar"),"")</f>
        <v/>
      </c>
      <c r="BF109" s="179" t="str">
        <f t="array" ref="BF109">IF($F109&lt;&gt;"", XLOOKUP($F109,Productos!$A$2:$A1001,Productos!AY$2:AY1001,"")*$G109,"")</f>
        <v/>
      </c>
      <c r="BG109" s="179" t="str">
        <f t="array" ref="BG109">IF($F109&lt;&gt;"",XLOOKUP($F109,Productos!$A:$A,Productos!AZ:AZ,"Revisar"),"")</f>
        <v/>
      </c>
      <c r="BH109" s="179" t="str">
        <f t="array" ref="BH109">IF($F109&lt;&gt;"", XLOOKUP($F109,Productos!$A$2:$A1001,Productos!BA$2:BA1001,"")*$G109,"")</f>
        <v/>
      </c>
      <c r="BI109" s="179" t="str">
        <f t="array" ref="BI109">IF($F109&lt;&gt;"",XLOOKUP($F109,Productos!$A:$A,Productos!BB:BB,"Revisar"),"")</f>
        <v/>
      </c>
      <c r="BJ109" s="179" t="str">
        <f t="array" ref="BJ109">IF($F109&lt;&gt;"", XLOOKUP($F109,Productos!$A$2:$A1001,Productos!BC$2:BC1001,"")*$G109,"")</f>
        <v/>
      </c>
      <c r="BK109" s="179" t="str">
        <f t="array" ref="BK109">IF($F109&lt;&gt;"",XLOOKUP($F109,Productos!$A:$A,Productos!BD:BD,"Revisar"),"")</f>
        <v/>
      </c>
      <c r="BL109" s="179" t="str">
        <f t="array" ref="BL109">IF($F109&lt;&gt;"", XLOOKUP($F109,Productos!$A$2:$A1001,Productos!BE$2:BE1001,"")*$G109,"")</f>
        <v/>
      </c>
      <c r="BM109" s="179" t="str">
        <f t="array" ref="BM109">IF($F109&lt;&gt;"",XLOOKUP($F109,Productos!$A:$A,Productos!BF:BF,"Revisar"),"")</f>
        <v/>
      </c>
      <c r="BN109" s="179" t="str">
        <f t="array" ref="BN109">IF($F109&lt;&gt;"", XLOOKUP($F109,Productos!$A$2:$A1001,Productos!BG$2:BG1001,"")*$G109,"")</f>
        <v/>
      </c>
      <c r="BO109" s="179" t="str">
        <f t="array" ref="BO109">IF($F109&lt;&gt;"",XLOOKUP($F109,Productos!$A:$A,Productos!BH:BH,"Revisar"),"")</f>
        <v/>
      </c>
      <c r="BP109" s="179" t="str">
        <f t="array" ref="BP109">IF($F109&lt;&gt;"", XLOOKUP($F109,Productos!$A$2:$A1001,Productos!BI$2:BI1001,"")*$G109,"")</f>
        <v/>
      </c>
      <c r="BQ109" s="179" t="str">
        <f t="array" ref="BQ109">IF($F109&lt;&gt;"",XLOOKUP($F109,Productos!$A:$A,Productos!BJ:BJ,"Revisar"),"")</f>
        <v/>
      </c>
      <c r="BR109" s="179" t="str">
        <f t="array" ref="BR109">IF($F109&lt;&gt;"", XLOOKUP($F109,Productos!$A$2:$A1001,Productos!BK$2:BK1001,"")*$G109,"")</f>
        <v/>
      </c>
      <c r="BS109" s="179" t="str">
        <f t="array" ref="BS109">IF($F109&lt;&gt;"",XLOOKUP($F109,Productos!$A:$A,Productos!BL:BL,"Revisar"),"")</f>
        <v/>
      </c>
      <c r="BT109" s="179" t="str">
        <f t="array" ref="BT109">IF($F109&lt;&gt;"", XLOOKUP($F109,Productos!$A$2:$A1001,Productos!BM$2:BM1001,"")*$G109,"")</f>
        <v/>
      </c>
      <c r="BU109" s="179" t="str">
        <f t="array" ref="BU109">IF($F109&lt;&gt;"",XLOOKUP($F109,Productos!$A:$A,Productos!BN:BN,"Revisar"),"")</f>
        <v/>
      </c>
      <c r="BV109" s="179" t="str">
        <f t="array" ref="BV109">IF($F109&lt;&gt;"", XLOOKUP($F109,Productos!$A$2:$A1001,Productos!BO$2:BO1001,"")*$G109,"")</f>
        <v/>
      </c>
      <c r="BW109" s="179" t="str">
        <f t="array" ref="BW109">IF($F109&lt;&gt;"",XLOOKUP($F109,Productos!$A:$A,Productos!BP:BP,"Revisar"),"")</f>
        <v/>
      </c>
      <c r="BX109" s="179" t="str">
        <f t="array" ref="BX109">IF($F109&lt;&gt;"", XLOOKUP($F109,Productos!$A$2:$A1001,Productos!BQ$2:BQ1001,"")*$G109,"")</f>
        <v/>
      </c>
      <c r="BY109" s="179" t="str">
        <f t="array" ref="BY109">IF($F109&lt;&gt;"",XLOOKUP($F109,Productos!$A:$A,Productos!BR:BR,"Revisar"),"")</f>
        <v/>
      </c>
      <c r="BZ109" s="179" t="str">
        <f t="array" ref="BZ109">IF($F109&lt;&gt;"", XLOOKUP($F109,Productos!$A$2:$A1001,Productos!BS$2:BS1001,"")*$G109,"")</f>
        <v/>
      </c>
    </row>
    <row r="110">
      <c r="A110" s="180"/>
      <c r="B110" s="181"/>
      <c r="C110" s="182"/>
      <c r="D110" s="182"/>
      <c r="E110" s="185"/>
      <c r="F110" s="186"/>
      <c r="G110" s="187"/>
      <c r="H110" s="186"/>
      <c r="I110" s="179" t="str">
        <f t="array" ref="I110">IF($F110&lt;&gt;"",XLOOKUP($F110,Productos!$A:$A,Productos!B:B,"Revisar"),"")</f>
        <v/>
      </c>
      <c r="J110" s="179" t="str">
        <f t="array" ref="J110">IF($F110&lt;&gt;"", XLOOKUP($F110,Productos!$A$2:$A1001,Productos!C$2:C1001,"")*$G110,"")</f>
        <v/>
      </c>
      <c r="K110" s="179" t="str">
        <f t="array" ref="K110">IF($F110&lt;&gt;"",XLOOKUP($F110,Productos!$A:$A,Productos!D:D,"Revisar"),"")</f>
        <v/>
      </c>
      <c r="L110" s="179" t="str">
        <f t="array" ref="L110">IF($F110&lt;&gt;"", XLOOKUP($F110,Productos!$A$2:$A1001,Productos!E$2:E1001,"")*$G110,"")</f>
        <v/>
      </c>
      <c r="M110" s="179" t="str">
        <f t="array" ref="M110">IF($F110&lt;&gt;"",XLOOKUP($F110,Productos!$A:$A,Productos!F:F,"Revisar"),"")</f>
        <v/>
      </c>
      <c r="N110" s="179" t="str">
        <f t="array" ref="N110">IF($F110&lt;&gt;"", XLOOKUP($F110,Productos!$A$2:$A1001,Productos!G$2:G1001,"")*$G110,"")</f>
        <v/>
      </c>
      <c r="O110" s="179" t="str">
        <f t="array" ref="O110">IF($F110&lt;&gt;"",XLOOKUP($F110,Productos!$A:$A,Productos!H:H,"Revisar"),"")</f>
        <v/>
      </c>
      <c r="P110" s="179" t="str">
        <f t="array" ref="P110">IF($F110&lt;&gt;"", XLOOKUP($F110,Productos!$A$2:$A1001,Productos!I$2:I1001,"")*$G110,"")</f>
        <v/>
      </c>
      <c r="Q110" s="179" t="str">
        <f t="array" ref="Q110">IF($F110&lt;&gt;"",XLOOKUP($F110,Productos!$A:$A,Productos!J:J,"Revisar"),"")</f>
        <v/>
      </c>
      <c r="R110" s="179" t="str">
        <f t="array" ref="R110">IF($F110&lt;&gt;"", XLOOKUP($F110,Productos!$A$2:$A1001,Productos!K$2:K1001,"")*$G110,"")</f>
        <v/>
      </c>
      <c r="S110" s="179" t="str">
        <f t="array" ref="S110">IF($F110&lt;&gt;"",XLOOKUP($F110,Productos!$A:$A,Productos!L:L,"Revisar"),"")</f>
        <v/>
      </c>
      <c r="T110" s="179" t="str">
        <f t="array" ref="T110">IF($F110&lt;&gt;"", XLOOKUP($F110,Productos!$A$2:$A1001,Productos!M$2:M1001,"")*$G110,"")</f>
        <v/>
      </c>
      <c r="U110" s="179" t="str">
        <f t="array" ref="U110">IF($F110&lt;&gt;"",XLOOKUP($F110,Productos!$A:$A,Productos!N:N,"Revisar"),"")</f>
        <v/>
      </c>
      <c r="V110" s="179" t="str">
        <f t="array" ref="V110">IF($F110&lt;&gt;"", XLOOKUP($F110,Productos!$A$2:$A1001,Productos!O$2:O1001,"")*$G110,"")</f>
        <v/>
      </c>
      <c r="W110" s="179" t="str">
        <f t="array" ref="W110">IF($F110&lt;&gt;"",XLOOKUP($F110,Productos!$A:$A,Productos!P:P,"Revisar"),"")</f>
        <v/>
      </c>
      <c r="X110" s="179" t="str">
        <f t="array" ref="X110">IF($F110&lt;&gt;"", XLOOKUP($F110,Productos!$A$2:$A1001,Productos!Q$2:Q1001,"")*$G110,"")</f>
        <v/>
      </c>
      <c r="Y110" s="179" t="str">
        <f t="array" ref="Y110">IF($F110&lt;&gt;"",XLOOKUP($F110,Productos!$A:$A,Productos!R:R,"Revisar"),"")</f>
        <v/>
      </c>
      <c r="Z110" s="179" t="str">
        <f t="array" ref="Z110">IF($F110&lt;&gt;"", XLOOKUP($F110,Productos!$A$2:$A1001,Productos!S$2:S1001,"")*$G110,"")</f>
        <v/>
      </c>
      <c r="AA110" s="179" t="str">
        <f t="array" ref="AA110">IF($F110&lt;&gt;"",XLOOKUP($F110,Productos!$A:$A,Productos!T:T,"Revisar"),"")</f>
        <v/>
      </c>
      <c r="AB110" s="179" t="str">
        <f t="array" ref="AB110">IF($F110&lt;&gt;"", XLOOKUP($F110,Productos!$A$2:$A1001,Productos!U$2:U1001,"")*$G110,"")</f>
        <v/>
      </c>
      <c r="AC110" s="179" t="str">
        <f t="array" ref="AC110">IF($F110&lt;&gt;"",XLOOKUP($F110,Productos!$A:$A,Productos!V:V,"Revisar"),"")</f>
        <v/>
      </c>
      <c r="AD110" s="179" t="str">
        <f t="array" ref="AD110">IF($F110&lt;&gt;"", XLOOKUP($F110,Productos!$A$2:$A1001,Productos!W$2:W1001,"")*$G110,"")</f>
        <v/>
      </c>
      <c r="AE110" s="179" t="str">
        <f t="array" ref="AE110">IF($F110&lt;&gt;"",XLOOKUP($F110,Productos!$A:$A,Productos!X:X,"Revisar"),"")</f>
        <v/>
      </c>
      <c r="AF110" s="179" t="str">
        <f t="array" ref="AF110">IF($F110&lt;&gt;"", XLOOKUP($F110,Productos!$A$2:$A1001,Productos!Y$2:Y1001,"")*$G110,"")</f>
        <v/>
      </c>
      <c r="AG110" s="179" t="str">
        <f t="array" ref="AG110">IF($F110&lt;&gt;"",XLOOKUP($F110,Productos!$A:$A,Productos!Z:Z,"Revisar"),"")</f>
        <v/>
      </c>
      <c r="AH110" s="179" t="str">
        <f t="array" ref="AH110">IF($F110&lt;&gt;"", XLOOKUP($F110,Productos!$A$2:$A1001,Productos!AA$2:AA1001,"")*$G110,"")</f>
        <v/>
      </c>
      <c r="AI110" s="179" t="str">
        <f t="array" ref="AI110">IF($F110&lt;&gt;"",XLOOKUP($F110,Productos!$A:$A,Productos!AB:AB,"Revisar"),"")</f>
        <v/>
      </c>
      <c r="AJ110" s="179" t="str">
        <f t="array" ref="AJ110">IF($F110&lt;&gt;"", XLOOKUP($F110,Productos!$A$2:$A1001,Productos!AC$2:AC1001,"")*$G110,"")</f>
        <v/>
      </c>
      <c r="AK110" s="179" t="str">
        <f t="array" ref="AK110">IF($F110&lt;&gt;"",XLOOKUP($F110,Productos!$A:$A,Productos!AD:AD,"Revisar"),"")</f>
        <v/>
      </c>
      <c r="AL110" s="179" t="str">
        <f t="array" ref="AL110">IF($F110&lt;&gt;"", XLOOKUP($F110,Productos!$A$2:$A1001,Productos!AE$2:AE1001,"")*$G110,"")</f>
        <v/>
      </c>
      <c r="AM110" s="179" t="str">
        <f t="array" ref="AM110">IF($F110&lt;&gt;"",XLOOKUP($F110,Productos!$A:$A,Productos!AF:AF,"Revisar"),"")</f>
        <v/>
      </c>
      <c r="AN110" s="179" t="str">
        <f t="array" ref="AN110">IF($F110&lt;&gt;"", XLOOKUP($F110,Productos!$A$2:$A1001,Productos!AG$2:AG1001,"")*$G110,"")</f>
        <v/>
      </c>
      <c r="AO110" s="179" t="str">
        <f t="array" ref="AO110">IF($F110&lt;&gt;"",XLOOKUP($F110,Productos!$A:$A,Productos!AH:AH,"Revisar"),"")</f>
        <v/>
      </c>
      <c r="AP110" s="179" t="str">
        <f t="array" ref="AP110">IF($F110&lt;&gt;"", XLOOKUP($F110,Productos!$A$2:$A1001,Productos!AI$2:AI1001,"")*$G110,"")</f>
        <v/>
      </c>
      <c r="AQ110" s="179" t="str">
        <f t="array" ref="AQ110">IF($F110&lt;&gt;"",XLOOKUP($F110,Productos!$A:$A,Productos!AJ:AJ,"Revisar"),"")</f>
        <v/>
      </c>
      <c r="AR110" s="179" t="str">
        <f t="array" ref="AR110">IF($F110&lt;&gt;"", XLOOKUP($F110,Productos!$A$2:$A1001,Productos!AK$2:AK1001,"")*$G110,"")</f>
        <v/>
      </c>
      <c r="AS110" s="179" t="str">
        <f t="array" ref="AS110">IF($F110&lt;&gt;"",XLOOKUP($F110,Productos!$A:$A,Productos!AL:AL,"Revisar"),"")</f>
        <v/>
      </c>
      <c r="AT110" s="179" t="str">
        <f t="array" ref="AT110">IF($F110&lt;&gt;"", XLOOKUP($F110,Productos!$A$2:$A1001,Productos!AM$2:AM1001,"")*$G110,"")</f>
        <v/>
      </c>
      <c r="AU110" s="179" t="str">
        <f t="array" ref="AU110">IF($F110&lt;&gt;"",XLOOKUP($F110,Productos!$A:$A,Productos!AN:AN,"Revisar"),"")</f>
        <v/>
      </c>
      <c r="AV110" s="179" t="str">
        <f t="array" ref="AV110">IF($F110&lt;&gt;"", XLOOKUP($F110,Productos!$A$2:$A1001,Productos!AO$2:AO1001,"")*$G110,"")</f>
        <v/>
      </c>
      <c r="AW110" s="179" t="str">
        <f t="array" ref="AW110">IF($F110&lt;&gt;"",XLOOKUP($F110,Productos!$A:$A,Productos!AP:AP,"Revisar"),"")</f>
        <v/>
      </c>
      <c r="AX110" s="179" t="str">
        <f t="array" ref="AX110">IF($F110&lt;&gt;"", XLOOKUP($F110,Productos!$A$2:$A1001,Productos!AQ$2:AQ1001,"")*$G110,"")</f>
        <v/>
      </c>
      <c r="AY110" s="179" t="str">
        <f t="array" ref="AY110">IF($F110&lt;&gt;"",XLOOKUP($F110,Productos!$A:$A,Productos!AR:AR,"Revisar"),"")</f>
        <v/>
      </c>
      <c r="AZ110" s="179" t="str">
        <f t="array" ref="AZ110">IF($F110&lt;&gt;"", XLOOKUP($F110,Productos!$A$2:$A1001,Productos!AS$2:AS1001,"")*$G110,"")</f>
        <v/>
      </c>
      <c r="BA110" s="179" t="str">
        <f t="array" ref="BA110">IF($F110&lt;&gt;"",XLOOKUP($F110,Productos!$A:$A,Productos!AT:AT,"Revisar"),"")</f>
        <v/>
      </c>
      <c r="BB110" s="179" t="str">
        <f t="array" ref="BB110">IF($F110&lt;&gt;"", XLOOKUP($F110,Productos!$A$2:$A1001,Productos!AU$2:AU1001,"")*$G110,"")</f>
        <v/>
      </c>
      <c r="BC110" s="179" t="str">
        <f t="array" ref="BC110">IF($F110&lt;&gt;"",XLOOKUP($F110,Productos!$A:$A,Productos!AV:AV,"Revisar"),"")</f>
        <v/>
      </c>
      <c r="BD110" s="179" t="str">
        <f t="array" ref="BD110">IF($F110&lt;&gt;"", XLOOKUP($F110,Productos!$A$2:$A1001,Productos!AW$2:AW1001,"")*$G110,"")</f>
        <v/>
      </c>
      <c r="BE110" s="179" t="str">
        <f t="array" ref="BE110">IF($F110&lt;&gt;"",XLOOKUP($F110,Productos!$A:$A,Productos!AX:AX,"Revisar"),"")</f>
        <v/>
      </c>
      <c r="BF110" s="179" t="str">
        <f t="array" ref="BF110">IF($F110&lt;&gt;"", XLOOKUP($F110,Productos!$A$2:$A1001,Productos!AY$2:AY1001,"")*$G110,"")</f>
        <v/>
      </c>
      <c r="BG110" s="179" t="str">
        <f t="array" ref="BG110">IF($F110&lt;&gt;"",XLOOKUP($F110,Productos!$A:$A,Productos!AZ:AZ,"Revisar"),"")</f>
        <v/>
      </c>
      <c r="BH110" s="179" t="str">
        <f t="array" ref="BH110">IF($F110&lt;&gt;"", XLOOKUP($F110,Productos!$A$2:$A1001,Productos!BA$2:BA1001,"")*$G110,"")</f>
        <v/>
      </c>
      <c r="BI110" s="179" t="str">
        <f t="array" ref="BI110">IF($F110&lt;&gt;"",XLOOKUP($F110,Productos!$A:$A,Productos!BB:BB,"Revisar"),"")</f>
        <v/>
      </c>
      <c r="BJ110" s="179" t="str">
        <f t="array" ref="BJ110">IF($F110&lt;&gt;"", XLOOKUP($F110,Productos!$A$2:$A1001,Productos!BC$2:BC1001,"")*$G110,"")</f>
        <v/>
      </c>
      <c r="BK110" s="179" t="str">
        <f t="array" ref="BK110">IF($F110&lt;&gt;"",XLOOKUP($F110,Productos!$A:$A,Productos!BD:BD,"Revisar"),"")</f>
        <v/>
      </c>
      <c r="BL110" s="179" t="str">
        <f t="array" ref="BL110">IF($F110&lt;&gt;"", XLOOKUP($F110,Productos!$A$2:$A1001,Productos!BE$2:BE1001,"")*$G110,"")</f>
        <v/>
      </c>
      <c r="BM110" s="179" t="str">
        <f t="array" ref="BM110">IF($F110&lt;&gt;"",XLOOKUP($F110,Productos!$A:$A,Productos!BF:BF,"Revisar"),"")</f>
        <v/>
      </c>
      <c r="BN110" s="179" t="str">
        <f t="array" ref="BN110">IF($F110&lt;&gt;"", XLOOKUP($F110,Productos!$A$2:$A1001,Productos!BG$2:BG1001,"")*$G110,"")</f>
        <v/>
      </c>
      <c r="BO110" s="179" t="str">
        <f t="array" ref="BO110">IF($F110&lt;&gt;"",XLOOKUP($F110,Productos!$A:$A,Productos!BH:BH,"Revisar"),"")</f>
        <v/>
      </c>
      <c r="BP110" s="179" t="str">
        <f t="array" ref="BP110">IF($F110&lt;&gt;"", XLOOKUP($F110,Productos!$A$2:$A1001,Productos!BI$2:BI1001,"")*$G110,"")</f>
        <v/>
      </c>
      <c r="BQ110" s="179" t="str">
        <f t="array" ref="BQ110">IF($F110&lt;&gt;"",XLOOKUP($F110,Productos!$A:$A,Productos!BJ:BJ,"Revisar"),"")</f>
        <v/>
      </c>
      <c r="BR110" s="179" t="str">
        <f t="array" ref="BR110">IF($F110&lt;&gt;"", XLOOKUP($F110,Productos!$A$2:$A1001,Productos!BK$2:BK1001,"")*$G110,"")</f>
        <v/>
      </c>
      <c r="BS110" s="179" t="str">
        <f t="array" ref="BS110">IF($F110&lt;&gt;"",XLOOKUP($F110,Productos!$A:$A,Productos!BL:BL,"Revisar"),"")</f>
        <v/>
      </c>
      <c r="BT110" s="179" t="str">
        <f t="array" ref="BT110">IF($F110&lt;&gt;"", XLOOKUP($F110,Productos!$A$2:$A1001,Productos!BM$2:BM1001,"")*$G110,"")</f>
        <v/>
      </c>
      <c r="BU110" s="179" t="str">
        <f t="array" ref="BU110">IF($F110&lt;&gt;"",XLOOKUP($F110,Productos!$A:$A,Productos!BN:BN,"Revisar"),"")</f>
        <v/>
      </c>
      <c r="BV110" s="179" t="str">
        <f t="array" ref="BV110">IF($F110&lt;&gt;"", XLOOKUP($F110,Productos!$A$2:$A1001,Productos!BO$2:BO1001,"")*$G110,"")</f>
        <v/>
      </c>
      <c r="BW110" s="179" t="str">
        <f t="array" ref="BW110">IF($F110&lt;&gt;"",XLOOKUP($F110,Productos!$A:$A,Productos!BP:BP,"Revisar"),"")</f>
        <v/>
      </c>
      <c r="BX110" s="179" t="str">
        <f t="array" ref="BX110">IF($F110&lt;&gt;"", XLOOKUP($F110,Productos!$A$2:$A1001,Productos!BQ$2:BQ1001,"")*$G110,"")</f>
        <v/>
      </c>
      <c r="BY110" s="179" t="str">
        <f t="array" ref="BY110">IF($F110&lt;&gt;"",XLOOKUP($F110,Productos!$A:$A,Productos!BR:BR,"Revisar"),"")</f>
        <v/>
      </c>
      <c r="BZ110" s="179" t="str">
        <f t="array" ref="BZ110">IF($F110&lt;&gt;"", XLOOKUP($F110,Productos!$A$2:$A1001,Productos!BS$2:BS1001,"")*$G110,"")</f>
        <v/>
      </c>
    </row>
    <row r="111">
      <c r="A111" s="180"/>
      <c r="B111" s="181"/>
      <c r="C111" s="182"/>
      <c r="D111" s="182"/>
      <c r="E111" s="185"/>
      <c r="F111" s="186"/>
      <c r="G111" s="187"/>
      <c r="H111" s="186"/>
      <c r="I111" s="179" t="str">
        <f t="array" ref="I111">IF($F111&lt;&gt;"",XLOOKUP($F111,Productos!$A:$A,Productos!B:B,"Revisar"),"")</f>
        <v/>
      </c>
      <c r="J111" s="179" t="str">
        <f t="array" ref="J111">IF($F111&lt;&gt;"", XLOOKUP($F111,Productos!$A$2:$A1001,Productos!C$2:C1001,"")*$G111,"")</f>
        <v/>
      </c>
      <c r="K111" s="179" t="str">
        <f t="array" ref="K111">IF($F111&lt;&gt;"",XLOOKUP($F111,Productos!$A:$A,Productos!D:D,"Revisar"),"")</f>
        <v/>
      </c>
      <c r="L111" s="179" t="str">
        <f t="array" ref="L111">IF($F111&lt;&gt;"", XLOOKUP($F111,Productos!$A$2:$A1001,Productos!E$2:E1001,"")*$G111,"")</f>
        <v/>
      </c>
      <c r="M111" s="179" t="str">
        <f t="array" ref="M111">IF($F111&lt;&gt;"",XLOOKUP($F111,Productos!$A:$A,Productos!F:F,"Revisar"),"")</f>
        <v/>
      </c>
      <c r="N111" s="179" t="str">
        <f t="array" ref="N111">IF($F111&lt;&gt;"", XLOOKUP($F111,Productos!$A$2:$A1001,Productos!G$2:G1001,"")*$G111,"")</f>
        <v/>
      </c>
      <c r="O111" s="179" t="str">
        <f t="array" ref="O111">IF($F111&lt;&gt;"",XLOOKUP($F111,Productos!$A:$A,Productos!H:H,"Revisar"),"")</f>
        <v/>
      </c>
      <c r="P111" s="179" t="str">
        <f t="array" ref="P111">IF($F111&lt;&gt;"", XLOOKUP($F111,Productos!$A$2:$A1001,Productos!I$2:I1001,"")*$G111,"")</f>
        <v/>
      </c>
      <c r="Q111" s="179" t="str">
        <f t="array" ref="Q111">IF($F111&lt;&gt;"",XLOOKUP($F111,Productos!$A:$A,Productos!J:J,"Revisar"),"")</f>
        <v/>
      </c>
      <c r="R111" s="179" t="str">
        <f t="array" ref="R111">IF($F111&lt;&gt;"", XLOOKUP($F111,Productos!$A$2:$A1001,Productos!K$2:K1001,"")*$G111,"")</f>
        <v/>
      </c>
      <c r="S111" s="179" t="str">
        <f t="array" ref="S111">IF($F111&lt;&gt;"",XLOOKUP($F111,Productos!$A:$A,Productos!L:L,"Revisar"),"")</f>
        <v/>
      </c>
      <c r="T111" s="179" t="str">
        <f t="array" ref="T111">IF($F111&lt;&gt;"", XLOOKUP($F111,Productos!$A$2:$A1001,Productos!M$2:M1001,"")*$G111,"")</f>
        <v/>
      </c>
      <c r="U111" s="179" t="str">
        <f t="array" ref="U111">IF($F111&lt;&gt;"",XLOOKUP($F111,Productos!$A:$A,Productos!N:N,"Revisar"),"")</f>
        <v/>
      </c>
      <c r="V111" s="179" t="str">
        <f t="array" ref="V111">IF($F111&lt;&gt;"", XLOOKUP($F111,Productos!$A$2:$A1001,Productos!O$2:O1001,"")*$G111,"")</f>
        <v/>
      </c>
      <c r="W111" s="179" t="str">
        <f t="array" ref="W111">IF($F111&lt;&gt;"",XLOOKUP($F111,Productos!$A:$A,Productos!P:P,"Revisar"),"")</f>
        <v/>
      </c>
      <c r="X111" s="179" t="str">
        <f t="array" ref="X111">IF($F111&lt;&gt;"", XLOOKUP($F111,Productos!$A$2:$A1001,Productos!Q$2:Q1001,"")*$G111,"")</f>
        <v/>
      </c>
      <c r="Y111" s="179" t="str">
        <f t="array" ref="Y111">IF($F111&lt;&gt;"",XLOOKUP($F111,Productos!$A:$A,Productos!R:R,"Revisar"),"")</f>
        <v/>
      </c>
      <c r="Z111" s="179" t="str">
        <f t="array" ref="Z111">IF($F111&lt;&gt;"", XLOOKUP($F111,Productos!$A$2:$A1001,Productos!S$2:S1001,"")*$G111,"")</f>
        <v/>
      </c>
      <c r="AA111" s="179" t="str">
        <f t="array" ref="AA111">IF($F111&lt;&gt;"",XLOOKUP($F111,Productos!$A:$A,Productos!T:T,"Revisar"),"")</f>
        <v/>
      </c>
      <c r="AB111" s="179" t="str">
        <f t="array" ref="AB111">IF($F111&lt;&gt;"", XLOOKUP($F111,Productos!$A$2:$A1001,Productos!U$2:U1001,"")*$G111,"")</f>
        <v/>
      </c>
      <c r="AC111" s="179" t="str">
        <f t="array" ref="AC111">IF($F111&lt;&gt;"",XLOOKUP($F111,Productos!$A:$A,Productos!V:V,"Revisar"),"")</f>
        <v/>
      </c>
      <c r="AD111" s="179" t="str">
        <f t="array" ref="AD111">IF($F111&lt;&gt;"", XLOOKUP($F111,Productos!$A$2:$A1001,Productos!W$2:W1001,"")*$G111,"")</f>
        <v/>
      </c>
      <c r="AE111" s="179" t="str">
        <f t="array" ref="AE111">IF($F111&lt;&gt;"",XLOOKUP($F111,Productos!$A:$A,Productos!X:X,"Revisar"),"")</f>
        <v/>
      </c>
      <c r="AF111" s="179" t="str">
        <f t="array" ref="AF111">IF($F111&lt;&gt;"", XLOOKUP($F111,Productos!$A$2:$A1001,Productos!Y$2:Y1001,"")*$G111,"")</f>
        <v/>
      </c>
      <c r="AG111" s="179" t="str">
        <f t="array" ref="AG111">IF($F111&lt;&gt;"",XLOOKUP($F111,Productos!$A:$A,Productos!Z:Z,"Revisar"),"")</f>
        <v/>
      </c>
      <c r="AH111" s="179" t="str">
        <f t="array" ref="AH111">IF($F111&lt;&gt;"", XLOOKUP($F111,Productos!$A$2:$A1001,Productos!AA$2:AA1001,"")*$G111,"")</f>
        <v/>
      </c>
      <c r="AI111" s="179" t="str">
        <f t="array" ref="AI111">IF($F111&lt;&gt;"",XLOOKUP($F111,Productos!$A:$A,Productos!AB:AB,"Revisar"),"")</f>
        <v/>
      </c>
      <c r="AJ111" s="179" t="str">
        <f t="array" ref="AJ111">IF($F111&lt;&gt;"", XLOOKUP($F111,Productos!$A$2:$A1001,Productos!AC$2:AC1001,"")*$G111,"")</f>
        <v/>
      </c>
      <c r="AK111" s="179" t="str">
        <f t="array" ref="AK111">IF($F111&lt;&gt;"",XLOOKUP($F111,Productos!$A:$A,Productos!AD:AD,"Revisar"),"")</f>
        <v/>
      </c>
      <c r="AL111" s="179" t="str">
        <f t="array" ref="AL111">IF($F111&lt;&gt;"", XLOOKUP($F111,Productos!$A$2:$A1001,Productos!AE$2:AE1001,"")*$G111,"")</f>
        <v/>
      </c>
      <c r="AM111" s="179" t="str">
        <f t="array" ref="AM111">IF($F111&lt;&gt;"",XLOOKUP($F111,Productos!$A:$A,Productos!AF:AF,"Revisar"),"")</f>
        <v/>
      </c>
      <c r="AN111" s="179" t="str">
        <f t="array" ref="AN111">IF($F111&lt;&gt;"", XLOOKUP($F111,Productos!$A$2:$A1001,Productos!AG$2:AG1001,"")*$G111,"")</f>
        <v/>
      </c>
      <c r="AO111" s="179" t="str">
        <f t="array" ref="AO111">IF($F111&lt;&gt;"",XLOOKUP($F111,Productos!$A:$A,Productos!AH:AH,"Revisar"),"")</f>
        <v/>
      </c>
      <c r="AP111" s="179" t="str">
        <f t="array" ref="AP111">IF($F111&lt;&gt;"", XLOOKUP($F111,Productos!$A$2:$A1001,Productos!AI$2:AI1001,"")*$G111,"")</f>
        <v/>
      </c>
      <c r="AQ111" s="179" t="str">
        <f t="array" ref="AQ111">IF($F111&lt;&gt;"",XLOOKUP($F111,Productos!$A:$A,Productos!AJ:AJ,"Revisar"),"")</f>
        <v/>
      </c>
      <c r="AR111" s="179" t="str">
        <f t="array" ref="AR111">IF($F111&lt;&gt;"", XLOOKUP($F111,Productos!$A$2:$A1001,Productos!AK$2:AK1001,"")*$G111,"")</f>
        <v/>
      </c>
      <c r="AS111" s="179" t="str">
        <f t="array" ref="AS111">IF($F111&lt;&gt;"",XLOOKUP($F111,Productos!$A:$A,Productos!AL:AL,"Revisar"),"")</f>
        <v/>
      </c>
      <c r="AT111" s="179" t="str">
        <f t="array" ref="AT111">IF($F111&lt;&gt;"", XLOOKUP($F111,Productos!$A$2:$A1001,Productos!AM$2:AM1001,"")*$G111,"")</f>
        <v/>
      </c>
      <c r="AU111" s="179" t="str">
        <f t="array" ref="AU111">IF($F111&lt;&gt;"",XLOOKUP($F111,Productos!$A:$A,Productos!AN:AN,"Revisar"),"")</f>
        <v/>
      </c>
      <c r="AV111" s="179" t="str">
        <f t="array" ref="AV111">IF($F111&lt;&gt;"", XLOOKUP($F111,Productos!$A$2:$A1001,Productos!AO$2:AO1001,"")*$G111,"")</f>
        <v/>
      </c>
      <c r="AW111" s="179" t="str">
        <f t="array" ref="AW111">IF($F111&lt;&gt;"",XLOOKUP($F111,Productos!$A:$A,Productos!AP:AP,"Revisar"),"")</f>
        <v/>
      </c>
      <c r="AX111" s="179" t="str">
        <f t="array" ref="AX111">IF($F111&lt;&gt;"", XLOOKUP($F111,Productos!$A$2:$A1001,Productos!AQ$2:AQ1001,"")*$G111,"")</f>
        <v/>
      </c>
      <c r="AY111" s="179" t="str">
        <f t="array" ref="AY111">IF($F111&lt;&gt;"",XLOOKUP($F111,Productos!$A:$A,Productos!AR:AR,"Revisar"),"")</f>
        <v/>
      </c>
      <c r="AZ111" s="179" t="str">
        <f t="array" ref="AZ111">IF($F111&lt;&gt;"", XLOOKUP($F111,Productos!$A$2:$A1001,Productos!AS$2:AS1001,"")*$G111,"")</f>
        <v/>
      </c>
      <c r="BA111" s="179" t="str">
        <f t="array" ref="BA111">IF($F111&lt;&gt;"",XLOOKUP($F111,Productos!$A:$A,Productos!AT:AT,"Revisar"),"")</f>
        <v/>
      </c>
      <c r="BB111" s="179" t="str">
        <f t="array" ref="BB111">IF($F111&lt;&gt;"", XLOOKUP($F111,Productos!$A$2:$A1001,Productos!AU$2:AU1001,"")*$G111,"")</f>
        <v/>
      </c>
      <c r="BC111" s="179" t="str">
        <f t="array" ref="BC111">IF($F111&lt;&gt;"",XLOOKUP($F111,Productos!$A:$A,Productos!AV:AV,"Revisar"),"")</f>
        <v/>
      </c>
      <c r="BD111" s="179" t="str">
        <f t="array" ref="BD111">IF($F111&lt;&gt;"", XLOOKUP($F111,Productos!$A$2:$A1001,Productos!AW$2:AW1001,"")*$G111,"")</f>
        <v/>
      </c>
      <c r="BE111" s="179" t="str">
        <f t="array" ref="BE111">IF($F111&lt;&gt;"",XLOOKUP($F111,Productos!$A:$A,Productos!AX:AX,"Revisar"),"")</f>
        <v/>
      </c>
      <c r="BF111" s="179" t="str">
        <f t="array" ref="BF111">IF($F111&lt;&gt;"", XLOOKUP($F111,Productos!$A$2:$A1001,Productos!AY$2:AY1001,"")*$G111,"")</f>
        <v/>
      </c>
      <c r="BG111" s="179" t="str">
        <f t="array" ref="BG111">IF($F111&lt;&gt;"",XLOOKUP($F111,Productos!$A:$A,Productos!AZ:AZ,"Revisar"),"")</f>
        <v/>
      </c>
      <c r="BH111" s="179" t="str">
        <f t="array" ref="BH111">IF($F111&lt;&gt;"", XLOOKUP($F111,Productos!$A$2:$A1001,Productos!BA$2:BA1001,"")*$G111,"")</f>
        <v/>
      </c>
      <c r="BI111" s="179" t="str">
        <f t="array" ref="BI111">IF($F111&lt;&gt;"",XLOOKUP($F111,Productos!$A:$A,Productos!BB:BB,"Revisar"),"")</f>
        <v/>
      </c>
      <c r="BJ111" s="179" t="str">
        <f t="array" ref="BJ111">IF($F111&lt;&gt;"", XLOOKUP($F111,Productos!$A$2:$A1001,Productos!BC$2:BC1001,"")*$G111,"")</f>
        <v/>
      </c>
      <c r="BK111" s="179" t="str">
        <f t="array" ref="BK111">IF($F111&lt;&gt;"",XLOOKUP($F111,Productos!$A:$A,Productos!BD:BD,"Revisar"),"")</f>
        <v/>
      </c>
      <c r="BL111" s="179" t="str">
        <f t="array" ref="BL111">IF($F111&lt;&gt;"", XLOOKUP($F111,Productos!$A$2:$A1001,Productos!BE$2:BE1001,"")*$G111,"")</f>
        <v/>
      </c>
      <c r="BM111" s="179" t="str">
        <f t="array" ref="BM111">IF($F111&lt;&gt;"",XLOOKUP($F111,Productos!$A:$A,Productos!BF:BF,"Revisar"),"")</f>
        <v/>
      </c>
      <c r="BN111" s="179" t="str">
        <f t="array" ref="BN111">IF($F111&lt;&gt;"", XLOOKUP($F111,Productos!$A$2:$A1001,Productos!BG$2:BG1001,"")*$G111,"")</f>
        <v/>
      </c>
      <c r="BO111" s="179" t="str">
        <f t="array" ref="BO111">IF($F111&lt;&gt;"",XLOOKUP($F111,Productos!$A:$A,Productos!BH:BH,"Revisar"),"")</f>
        <v/>
      </c>
      <c r="BP111" s="179" t="str">
        <f t="array" ref="BP111">IF($F111&lt;&gt;"", XLOOKUP($F111,Productos!$A$2:$A1001,Productos!BI$2:BI1001,"")*$G111,"")</f>
        <v/>
      </c>
      <c r="BQ111" s="179" t="str">
        <f t="array" ref="BQ111">IF($F111&lt;&gt;"",XLOOKUP($F111,Productos!$A:$A,Productos!BJ:BJ,"Revisar"),"")</f>
        <v/>
      </c>
      <c r="BR111" s="179" t="str">
        <f t="array" ref="BR111">IF($F111&lt;&gt;"", XLOOKUP($F111,Productos!$A$2:$A1001,Productos!BK$2:BK1001,"")*$G111,"")</f>
        <v/>
      </c>
      <c r="BS111" s="179" t="str">
        <f t="array" ref="BS111">IF($F111&lt;&gt;"",XLOOKUP($F111,Productos!$A:$A,Productos!BL:BL,"Revisar"),"")</f>
        <v/>
      </c>
      <c r="BT111" s="179" t="str">
        <f t="array" ref="BT111">IF($F111&lt;&gt;"", XLOOKUP($F111,Productos!$A$2:$A1001,Productos!BM$2:BM1001,"")*$G111,"")</f>
        <v/>
      </c>
      <c r="BU111" s="179" t="str">
        <f t="array" ref="BU111">IF($F111&lt;&gt;"",XLOOKUP($F111,Productos!$A:$A,Productos!BN:BN,"Revisar"),"")</f>
        <v/>
      </c>
      <c r="BV111" s="179" t="str">
        <f t="array" ref="BV111">IF($F111&lt;&gt;"", XLOOKUP($F111,Productos!$A$2:$A1001,Productos!BO$2:BO1001,"")*$G111,"")</f>
        <v/>
      </c>
      <c r="BW111" s="179" t="str">
        <f t="array" ref="BW111">IF($F111&lt;&gt;"",XLOOKUP($F111,Productos!$A:$A,Productos!BP:BP,"Revisar"),"")</f>
        <v/>
      </c>
      <c r="BX111" s="179" t="str">
        <f t="array" ref="BX111">IF($F111&lt;&gt;"", XLOOKUP($F111,Productos!$A$2:$A1001,Productos!BQ$2:BQ1001,"")*$G111,"")</f>
        <v/>
      </c>
      <c r="BY111" s="179" t="str">
        <f t="array" ref="BY111">IF($F111&lt;&gt;"",XLOOKUP($F111,Productos!$A:$A,Productos!BR:BR,"Revisar"),"")</f>
        <v/>
      </c>
      <c r="BZ111" s="179" t="str">
        <f t="array" ref="BZ111">IF($F111&lt;&gt;"", XLOOKUP($F111,Productos!$A$2:$A1001,Productos!BS$2:BS1001,"")*$G111,"")</f>
        <v/>
      </c>
    </row>
    <row r="112">
      <c r="A112" s="180"/>
      <c r="B112" s="181"/>
      <c r="C112" s="182"/>
      <c r="D112" s="182"/>
      <c r="E112" s="185"/>
      <c r="F112" s="186"/>
      <c r="G112" s="187"/>
      <c r="H112" s="186"/>
      <c r="I112" s="179" t="str">
        <f t="array" ref="I112">IF($F112&lt;&gt;"",XLOOKUP($F112,Productos!$A:$A,Productos!B:B,"Revisar"),"")</f>
        <v/>
      </c>
      <c r="J112" s="179" t="str">
        <f t="array" ref="J112">IF($F112&lt;&gt;"", XLOOKUP($F112,Productos!$A$2:$A1001,Productos!C$2:C1001,"")*$G112,"")</f>
        <v/>
      </c>
      <c r="K112" s="179" t="str">
        <f t="array" ref="K112">IF($F112&lt;&gt;"",XLOOKUP($F112,Productos!$A:$A,Productos!D:D,"Revisar"),"")</f>
        <v/>
      </c>
      <c r="L112" s="179" t="str">
        <f t="array" ref="L112">IF($F112&lt;&gt;"", XLOOKUP($F112,Productos!$A$2:$A1001,Productos!E$2:E1001,"")*$G112,"")</f>
        <v/>
      </c>
      <c r="M112" s="179" t="str">
        <f t="array" ref="M112">IF($F112&lt;&gt;"",XLOOKUP($F112,Productos!$A:$A,Productos!F:F,"Revisar"),"")</f>
        <v/>
      </c>
      <c r="N112" s="179" t="str">
        <f t="array" ref="N112">IF($F112&lt;&gt;"", XLOOKUP($F112,Productos!$A$2:$A1001,Productos!G$2:G1001,"")*$G112,"")</f>
        <v/>
      </c>
      <c r="O112" s="179" t="str">
        <f t="array" ref="O112">IF($F112&lt;&gt;"",XLOOKUP($F112,Productos!$A:$A,Productos!H:H,"Revisar"),"")</f>
        <v/>
      </c>
      <c r="P112" s="179" t="str">
        <f t="array" ref="P112">IF($F112&lt;&gt;"", XLOOKUP($F112,Productos!$A$2:$A1001,Productos!I$2:I1001,"")*$G112,"")</f>
        <v/>
      </c>
      <c r="Q112" s="179" t="str">
        <f t="array" ref="Q112">IF($F112&lt;&gt;"",XLOOKUP($F112,Productos!$A:$A,Productos!J:J,"Revisar"),"")</f>
        <v/>
      </c>
      <c r="R112" s="179" t="str">
        <f t="array" ref="R112">IF($F112&lt;&gt;"", XLOOKUP($F112,Productos!$A$2:$A1001,Productos!K$2:K1001,"")*$G112,"")</f>
        <v/>
      </c>
      <c r="S112" s="179" t="str">
        <f t="array" ref="S112">IF($F112&lt;&gt;"",XLOOKUP($F112,Productos!$A:$A,Productos!L:L,"Revisar"),"")</f>
        <v/>
      </c>
      <c r="T112" s="179" t="str">
        <f t="array" ref="T112">IF($F112&lt;&gt;"", XLOOKUP($F112,Productos!$A$2:$A1001,Productos!M$2:M1001,"")*$G112,"")</f>
        <v/>
      </c>
      <c r="U112" s="179" t="str">
        <f t="array" ref="U112">IF($F112&lt;&gt;"",XLOOKUP($F112,Productos!$A:$A,Productos!N:N,"Revisar"),"")</f>
        <v/>
      </c>
      <c r="V112" s="179" t="str">
        <f t="array" ref="V112">IF($F112&lt;&gt;"", XLOOKUP($F112,Productos!$A$2:$A1001,Productos!O$2:O1001,"")*$G112,"")</f>
        <v/>
      </c>
      <c r="W112" s="179" t="str">
        <f t="array" ref="W112">IF($F112&lt;&gt;"",XLOOKUP($F112,Productos!$A:$A,Productos!P:P,"Revisar"),"")</f>
        <v/>
      </c>
      <c r="X112" s="179" t="str">
        <f t="array" ref="X112">IF($F112&lt;&gt;"", XLOOKUP($F112,Productos!$A$2:$A1001,Productos!Q$2:Q1001,"")*$G112,"")</f>
        <v/>
      </c>
      <c r="Y112" s="179" t="str">
        <f t="array" ref="Y112">IF($F112&lt;&gt;"",XLOOKUP($F112,Productos!$A:$A,Productos!R:R,"Revisar"),"")</f>
        <v/>
      </c>
      <c r="Z112" s="179" t="str">
        <f t="array" ref="Z112">IF($F112&lt;&gt;"", XLOOKUP($F112,Productos!$A$2:$A1001,Productos!S$2:S1001,"")*$G112,"")</f>
        <v/>
      </c>
      <c r="AA112" s="179" t="str">
        <f t="array" ref="AA112">IF($F112&lt;&gt;"",XLOOKUP($F112,Productos!$A:$A,Productos!T:T,"Revisar"),"")</f>
        <v/>
      </c>
      <c r="AB112" s="179" t="str">
        <f t="array" ref="AB112">IF($F112&lt;&gt;"", XLOOKUP($F112,Productos!$A$2:$A1001,Productos!U$2:U1001,"")*$G112,"")</f>
        <v/>
      </c>
      <c r="AC112" s="179" t="str">
        <f t="array" ref="AC112">IF($F112&lt;&gt;"",XLOOKUP($F112,Productos!$A:$A,Productos!V:V,"Revisar"),"")</f>
        <v/>
      </c>
      <c r="AD112" s="179" t="str">
        <f t="array" ref="AD112">IF($F112&lt;&gt;"", XLOOKUP($F112,Productos!$A$2:$A1001,Productos!W$2:W1001,"")*$G112,"")</f>
        <v/>
      </c>
      <c r="AE112" s="179" t="str">
        <f t="array" ref="AE112">IF($F112&lt;&gt;"",XLOOKUP($F112,Productos!$A:$A,Productos!X:X,"Revisar"),"")</f>
        <v/>
      </c>
      <c r="AF112" s="179" t="str">
        <f t="array" ref="AF112">IF($F112&lt;&gt;"", XLOOKUP($F112,Productos!$A$2:$A1001,Productos!Y$2:Y1001,"")*$G112,"")</f>
        <v/>
      </c>
      <c r="AG112" s="179" t="str">
        <f t="array" ref="AG112">IF($F112&lt;&gt;"",XLOOKUP($F112,Productos!$A:$A,Productos!Z:Z,"Revisar"),"")</f>
        <v/>
      </c>
      <c r="AH112" s="179" t="str">
        <f t="array" ref="AH112">IF($F112&lt;&gt;"", XLOOKUP($F112,Productos!$A$2:$A1001,Productos!AA$2:AA1001,"")*$G112,"")</f>
        <v/>
      </c>
      <c r="AI112" s="179" t="str">
        <f t="array" ref="AI112">IF($F112&lt;&gt;"",XLOOKUP($F112,Productos!$A:$A,Productos!AB:AB,"Revisar"),"")</f>
        <v/>
      </c>
      <c r="AJ112" s="179" t="str">
        <f t="array" ref="AJ112">IF($F112&lt;&gt;"", XLOOKUP($F112,Productos!$A$2:$A1001,Productos!AC$2:AC1001,"")*$G112,"")</f>
        <v/>
      </c>
      <c r="AK112" s="179" t="str">
        <f t="array" ref="AK112">IF($F112&lt;&gt;"",XLOOKUP($F112,Productos!$A:$A,Productos!AD:AD,"Revisar"),"")</f>
        <v/>
      </c>
      <c r="AL112" s="179" t="str">
        <f t="array" ref="AL112">IF($F112&lt;&gt;"", XLOOKUP($F112,Productos!$A$2:$A1001,Productos!AE$2:AE1001,"")*$G112,"")</f>
        <v/>
      </c>
      <c r="AM112" s="179" t="str">
        <f t="array" ref="AM112">IF($F112&lt;&gt;"",XLOOKUP($F112,Productos!$A:$A,Productos!AF:AF,"Revisar"),"")</f>
        <v/>
      </c>
      <c r="AN112" s="179" t="str">
        <f t="array" ref="AN112">IF($F112&lt;&gt;"", XLOOKUP($F112,Productos!$A$2:$A1001,Productos!AG$2:AG1001,"")*$G112,"")</f>
        <v/>
      </c>
      <c r="AO112" s="179" t="str">
        <f t="array" ref="AO112">IF($F112&lt;&gt;"",XLOOKUP($F112,Productos!$A:$A,Productos!AH:AH,"Revisar"),"")</f>
        <v/>
      </c>
      <c r="AP112" s="179" t="str">
        <f t="array" ref="AP112">IF($F112&lt;&gt;"", XLOOKUP($F112,Productos!$A$2:$A1001,Productos!AI$2:AI1001,"")*$G112,"")</f>
        <v/>
      </c>
      <c r="AQ112" s="179" t="str">
        <f t="array" ref="AQ112">IF($F112&lt;&gt;"",XLOOKUP($F112,Productos!$A:$A,Productos!AJ:AJ,"Revisar"),"")</f>
        <v/>
      </c>
      <c r="AR112" s="179" t="str">
        <f t="array" ref="AR112">IF($F112&lt;&gt;"", XLOOKUP($F112,Productos!$A$2:$A1001,Productos!AK$2:AK1001,"")*$G112,"")</f>
        <v/>
      </c>
      <c r="AS112" s="179" t="str">
        <f t="array" ref="AS112">IF($F112&lt;&gt;"",XLOOKUP($F112,Productos!$A:$A,Productos!AL:AL,"Revisar"),"")</f>
        <v/>
      </c>
      <c r="AT112" s="179" t="str">
        <f t="array" ref="AT112">IF($F112&lt;&gt;"", XLOOKUP($F112,Productos!$A$2:$A1001,Productos!AM$2:AM1001,"")*$G112,"")</f>
        <v/>
      </c>
      <c r="AU112" s="179" t="str">
        <f t="array" ref="AU112">IF($F112&lt;&gt;"",XLOOKUP($F112,Productos!$A:$A,Productos!AN:AN,"Revisar"),"")</f>
        <v/>
      </c>
      <c r="AV112" s="179" t="str">
        <f t="array" ref="AV112">IF($F112&lt;&gt;"", XLOOKUP($F112,Productos!$A$2:$A1001,Productos!AO$2:AO1001,"")*$G112,"")</f>
        <v/>
      </c>
      <c r="AW112" s="179" t="str">
        <f t="array" ref="AW112">IF($F112&lt;&gt;"",XLOOKUP($F112,Productos!$A:$A,Productos!AP:AP,"Revisar"),"")</f>
        <v/>
      </c>
      <c r="AX112" s="179" t="str">
        <f t="array" ref="AX112">IF($F112&lt;&gt;"", XLOOKUP($F112,Productos!$A$2:$A1001,Productos!AQ$2:AQ1001,"")*$G112,"")</f>
        <v/>
      </c>
      <c r="AY112" s="179" t="str">
        <f t="array" ref="AY112">IF($F112&lt;&gt;"",XLOOKUP($F112,Productos!$A:$A,Productos!AR:AR,"Revisar"),"")</f>
        <v/>
      </c>
      <c r="AZ112" s="179" t="str">
        <f t="array" ref="AZ112">IF($F112&lt;&gt;"", XLOOKUP($F112,Productos!$A$2:$A1001,Productos!AS$2:AS1001,"")*$G112,"")</f>
        <v/>
      </c>
      <c r="BA112" s="179" t="str">
        <f t="array" ref="BA112">IF($F112&lt;&gt;"",XLOOKUP($F112,Productos!$A:$A,Productos!AT:AT,"Revisar"),"")</f>
        <v/>
      </c>
      <c r="BB112" s="179" t="str">
        <f t="array" ref="BB112">IF($F112&lt;&gt;"", XLOOKUP($F112,Productos!$A$2:$A1001,Productos!AU$2:AU1001,"")*$G112,"")</f>
        <v/>
      </c>
      <c r="BC112" s="179" t="str">
        <f t="array" ref="BC112">IF($F112&lt;&gt;"",XLOOKUP($F112,Productos!$A:$A,Productos!AV:AV,"Revisar"),"")</f>
        <v/>
      </c>
      <c r="BD112" s="179" t="str">
        <f t="array" ref="BD112">IF($F112&lt;&gt;"", XLOOKUP($F112,Productos!$A$2:$A1001,Productos!AW$2:AW1001,"")*$G112,"")</f>
        <v/>
      </c>
      <c r="BE112" s="179" t="str">
        <f t="array" ref="BE112">IF($F112&lt;&gt;"",XLOOKUP($F112,Productos!$A:$A,Productos!AX:AX,"Revisar"),"")</f>
        <v/>
      </c>
      <c r="BF112" s="179" t="str">
        <f t="array" ref="BF112">IF($F112&lt;&gt;"", XLOOKUP($F112,Productos!$A$2:$A1001,Productos!AY$2:AY1001,"")*$G112,"")</f>
        <v/>
      </c>
      <c r="BG112" s="179" t="str">
        <f t="array" ref="BG112">IF($F112&lt;&gt;"",XLOOKUP($F112,Productos!$A:$A,Productos!AZ:AZ,"Revisar"),"")</f>
        <v/>
      </c>
      <c r="BH112" s="179" t="str">
        <f t="array" ref="BH112">IF($F112&lt;&gt;"", XLOOKUP($F112,Productos!$A$2:$A1001,Productos!BA$2:BA1001,"")*$G112,"")</f>
        <v/>
      </c>
      <c r="BI112" s="179" t="str">
        <f t="array" ref="BI112">IF($F112&lt;&gt;"",XLOOKUP($F112,Productos!$A:$A,Productos!BB:BB,"Revisar"),"")</f>
        <v/>
      </c>
      <c r="BJ112" s="179" t="str">
        <f t="array" ref="BJ112">IF($F112&lt;&gt;"", XLOOKUP($F112,Productos!$A$2:$A1001,Productos!BC$2:BC1001,"")*$G112,"")</f>
        <v/>
      </c>
      <c r="BK112" s="179" t="str">
        <f t="array" ref="BK112">IF($F112&lt;&gt;"",XLOOKUP($F112,Productos!$A:$A,Productos!BD:BD,"Revisar"),"")</f>
        <v/>
      </c>
      <c r="BL112" s="179" t="str">
        <f t="array" ref="BL112">IF($F112&lt;&gt;"", XLOOKUP($F112,Productos!$A$2:$A1001,Productos!BE$2:BE1001,"")*$G112,"")</f>
        <v/>
      </c>
      <c r="BM112" s="179" t="str">
        <f t="array" ref="BM112">IF($F112&lt;&gt;"",XLOOKUP($F112,Productos!$A:$A,Productos!BF:BF,"Revisar"),"")</f>
        <v/>
      </c>
      <c r="BN112" s="179" t="str">
        <f t="array" ref="BN112">IF($F112&lt;&gt;"", XLOOKUP($F112,Productos!$A$2:$A1001,Productos!BG$2:BG1001,"")*$G112,"")</f>
        <v/>
      </c>
      <c r="BO112" s="179" t="str">
        <f t="array" ref="BO112">IF($F112&lt;&gt;"",XLOOKUP($F112,Productos!$A:$A,Productos!BH:BH,"Revisar"),"")</f>
        <v/>
      </c>
      <c r="BP112" s="179" t="str">
        <f t="array" ref="BP112">IF($F112&lt;&gt;"", XLOOKUP($F112,Productos!$A$2:$A1001,Productos!BI$2:BI1001,"")*$G112,"")</f>
        <v/>
      </c>
      <c r="BQ112" s="179" t="str">
        <f t="array" ref="BQ112">IF($F112&lt;&gt;"",XLOOKUP($F112,Productos!$A:$A,Productos!BJ:BJ,"Revisar"),"")</f>
        <v/>
      </c>
      <c r="BR112" s="179" t="str">
        <f t="array" ref="BR112">IF($F112&lt;&gt;"", XLOOKUP($F112,Productos!$A$2:$A1001,Productos!BK$2:BK1001,"")*$G112,"")</f>
        <v/>
      </c>
      <c r="BS112" s="179" t="str">
        <f t="array" ref="BS112">IF($F112&lt;&gt;"",XLOOKUP($F112,Productos!$A:$A,Productos!BL:BL,"Revisar"),"")</f>
        <v/>
      </c>
      <c r="BT112" s="179" t="str">
        <f t="array" ref="BT112">IF($F112&lt;&gt;"", XLOOKUP($F112,Productos!$A$2:$A1001,Productos!BM$2:BM1001,"")*$G112,"")</f>
        <v/>
      </c>
      <c r="BU112" s="179" t="str">
        <f t="array" ref="BU112">IF($F112&lt;&gt;"",XLOOKUP($F112,Productos!$A:$A,Productos!BN:BN,"Revisar"),"")</f>
        <v/>
      </c>
      <c r="BV112" s="179" t="str">
        <f t="array" ref="BV112">IF($F112&lt;&gt;"", XLOOKUP($F112,Productos!$A$2:$A1001,Productos!BO$2:BO1001,"")*$G112,"")</f>
        <v/>
      </c>
      <c r="BW112" s="179" t="str">
        <f t="array" ref="BW112">IF($F112&lt;&gt;"",XLOOKUP($F112,Productos!$A:$A,Productos!BP:BP,"Revisar"),"")</f>
        <v/>
      </c>
      <c r="BX112" s="179" t="str">
        <f t="array" ref="BX112">IF($F112&lt;&gt;"", XLOOKUP($F112,Productos!$A$2:$A1001,Productos!BQ$2:BQ1001,"")*$G112,"")</f>
        <v/>
      </c>
      <c r="BY112" s="179" t="str">
        <f t="array" ref="BY112">IF($F112&lt;&gt;"",XLOOKUP($F112,Productos!$A:$A,Productos!BR:BR,"Revisar"),"")</f>
        <v/>
      </c>
      <c r="BZ112" s="179" t="str">
        <f t="array" ref="BZ112">IF($F112&lt;&gt;"", XLOOKUP($F112,Productos!$A$2:$A1001,Productos!BS$2:BS1001,"")*$G112,"")</f>
        <v/>
      </c>
    </row>
    <row r="113">
      <c r="A113" s="180"/>
      <c r="B113" s="181"/>
      <c r="C113" s="182"/>
      <c r="D113" s="182"/>
      <c r="E113" s="185"/>
      <c r="F113" s="186"/>
      <c r="G113" s="187"/>
      <c r="H113" s="186"/>
      <c r="I113" s="179" t="str">
        <f t="array" ref="I113">IF($F113&lt;&gt;"",XLOOKUP($F113,Productos!$A:$A,Productos!B:B,"Revisar"),"")</f>
        <v/>
      </c>
      <c r="J113" s="179" t="str">
        <f t="array" ref="J113">IF($F113&lt;&gt;"", XLOOKUP($F113,Productos!$A$2:$A1001,Productos!C$2:C1001,"")*$G113,"")</f>
        <v/>
      </c>
      <c r="K113" s="179" t="str">
        <f t="array" ref="K113">IF($F113&lt;&gt;"",XLOOKUP($F113,Productos!$A:$A,Productos!D:D,"Revisar"),"")</f>
        <v/>
      </c>
      <c r="L113" s="179" t="str">
        <f t="array" ref="L113">IF($F113&lt;&gt;"", XLOOKUP($F113,Productos!$A$2:$A1001,Productos!E$2:E1001,"")*$G113,"")</f>
        <v/>
      </c>
      <c r="M113" s="179" t="str">
        <f t="array" ref="M113">IF($F113&lt;&gt;"",XLOOKUP($F113,Productos!$A:$A,Productos!F:F,"Revisar"),"")</f>
        <v/>
      </c>
      <c r="N113" s="179" t="str">
        <f t="array" ref="N113">IF($F113&lt;&gt;"", XLOOKUP($F113,Productos!$A$2:$A1001,Productos!G$2:G1001,"")*$G113,"")</f>
        <v/>
      </c>
      <c r="O113" s="179" t="str">
        <f t="array" ref="O113">IF($F113&lt;&gt;"",XLOOKUP($F113,Productos!$A:$A,Productos!H:H,"Revisar"),"")</f>
        <v/>
      </c>
      <c r="P113" s="179" t="str">
        <f t="array" ref="P113">IF($F113&lt;&gt;"", XLOOKUP($F113,Productos!$A$2:$A1001,Productos!I$2:I1001,"")*$G113,"")</f>
        <v/>
      </c>
      <c r="Q113" s="179" t="str">
        <f t="array" ref="Q113">IF($F113&lt;&gt;"",XLOOKUP($F113,Productos!$A:$A,Productos!J:J,"Revisar"),"")</f>
        <v/>
      </c>
      <c r="R113" s="179" t="str">
        <f t="array" ref="R113">IF($F113&lt;&gt;"", XLOOKUP($F113,Productos!$A$2:$A1001,Productos!K$2:K1001,"")*$G113,"")</f>
        <v/>
      </c>
      <c r="S113" s="179" t="str">
        <f t="array" ref="S113">IF($F113&lt;&gt;"",XLOOKUP($F113,Productos!$A:$A,Productos!L:L,"Revisar"),"")</f>
        <v/>
      </c>
      <c r="T113" s="179" t="str">
        <f t="array" ref="T113">IF($F113&lt;&gt;"", XLOOKUP($F113,Productos!$A$2:$A1001,Productos!M$2:M1001,"")*$G113,"")</f>
        <v/>
      </c>
      <c r="U113" s="179" t="str">
        <f t="array" ref="U113">IF($F113&lt;&gt;"",XLOOKUP($F113,Productos!$A:$A,Productos!N:N,"Revisar"),"")</f>
        <v/>
      </c>
      <c r="V113" s="179" t="str">
        <f t="array" ref="V113">IF($F113&lt;&gt;"", XLOOKUP($F113,Productos!$A$2:$A1001,Productos!O$2:O1001,"")*$G113,"")</f>
        <v/>
      </c>
      <c r="W113" s="179" t="str">
        <f t="array" ref="W113">IF($F113&lt;&gt;"",XLOOKUP($F113,Productos!$A:$A,Productos!P:P,"Revisar"),"")</f>
        <v/>
      </c>
      <c r="X113" s="179" t="str">
        <f t="array" ref="X113">IF($F113&lt;&gt;"", XLOOKUP($F113,Productos!$A$2:$A1001,Productos!Q$2:Q1001,"")*$G113,"")</f>
        <v/>
      </c>
      <c r="Y113" s="179" t="str">
        <f t="array" ref="Y113">IF($F113&lt;&gt;"",XLOOKUP($F113,Productos!$A:$A,Productos!R:R,"Revisar"),"")</f>
        <v/>
      </c>
      <c r="Z113" s="179" t="str">
        <f t="array" ref="Z113">IF($F113&lt;&gt;"", XLOOKUP($F113,Productos!$A$2:$A1001,Productos!S$2:S1001,"")*$G113,"")</f>
        <v/>
      </c>
      <c r="AA113" s="179" t="str">
        <f t="array" ref="AA113">IF($F113&lt;&gt;"",XLOOKUP($F113,Productos!$A:$A,Productos!T:T,"Revisar"),"")</f>
        <v/>
      </c>
      <c r="AB113" s="179" t="str">
        <f t="array" ref="AB113">IF($F113&lt;&gt;"", XLOOKUP($F113,Productos!$A$2:$A1001,Productos!U$2:U1001,"")*$G113,"")</f>
        <v/>
      </c>
      <c r="AC113" s="179" t="str">
        <f t="array" ref="AC113">IF($F113&lt;&gt;"",XLOOKUP($F113,Productos!$A:$A,Productos!V:V,"Revisar"),"")</f>
        <v/>
      </c>
      <c r="AD113" s="179" t="str">
        <f t="array" ref="AD113">IF($F113&lt;&gt;"", XLOOKUP($F113,Productos!$A$2:$A1001,Productos!W$2:W1001,"")*$G113,"")</f>
        <v/>
      </c>
      <c r="AE113" s="179" t="str">
        <f t="array" ref="AE113">IF($F113&lt;&gt;"",XLOOKUP($F113,Productos!$A:$A,Productos!X:X,"Revisar"),"")</f>
        <v/>
      </c>
      <c r="AF113" s="179" t="str">
        <f t="array" ref="AF113">IF($F113&lt;&gt;"", XLOOKUP($F113,Productos!$A$2:$A1001,Productos!Y$2:Y1001,"")*$G113,"")</f>
        <v/>
      </c>
      <c r="AG113" s="179" t="str">
        <f t="array" ref="AG113">IF($F113&lt;&gt;"",XLOOKUP($F113,Productos!$A:$A,Productos!Z:Z,"Revisar"),"")</f>
        <v/>
      </c>
      <c r="AH113" s="179" t="str">
        <f t="array" ref="AH113">IF($F113&lt;&gt;"", XLOOKUP($F113,Productos!$A$2:$A1001,Productos!AA$2:AA1001,"")*$G113,"")</f>
        <v/>
      </c>
      <c r="AI113" s="179" t="str">
        <f t="array" ref="AI113">IF($F113&lt;&gt;"",XLOOKUP($F113,Productos!$A:$A,Productos!AB:AB,"Revisar"),"")</f>
        <v/>
      </c>
      <c r="AJ113" s="179" t="str">
        <f t="array" ref="AJ113">IF($F113&lt;&gt;"", XLOOKUP($F113,Productos!$A$2:$A1001,Productos!AC$2:AC1001,"")*$G113,"")</f>
        <v/>
      </c>
      <c r="AK113" s="179" t="str">
        <f t="array" ref="AK113">IF($F113&lt;&gt;"",XLOOKUP($F113,Productos!$A:$A,Productos!AD:AD,"Revisar"),"")</f>
        <v/>
      </c>
      <c r="AL113" s="179" t="str">
        <f t="array" ref="AL113">IF($F113&lt;&gt;"", XLOOKUP($F113,Productos!$A$2:$A1001,Productos!AE$2:AE1001,"")*$G113,"")</f>
        <v/>
      </c>
      <c r="AM113" s="179" t="str">
        <f t="array" ref="AM113">IF($F113&lt;&gt;"",XLOOKUP($F113,Productos!$A:$A,Productos!AF:AF,"Revisar"),"")</f>
        <v/>
      </c>
      <c r="AN113" s="179" t="str">
        <f t="array" ref="AN113">IF($F113&lt;&gt;"", XLOOKUP($F113,Productos!$A$2:$A1001,Productos!AG$2:AG1001,"")*$G113,"")</f>
        <v/>
      </c>
      <c r="AO113" s="179" t="str">
        <f t="array" ref="AO113">IF($F113&lt;&gt;"",XLOOKUP($F113,Productos!$A:$A,Productos!AH:AH,"Revisar"),"")</f>
        <v/>
      </c>
      <c r="AP113" s="179" t="str">
        <f t="array" ref="AP113">IF($F113&lt;&gt;"", XLOOKUP($F113,Productos!$A$2:$A1001,Productos!AI$2:AI1001,"")*$G113,"")</f>
        <v/>
      </c>
      <c r="AQ113" s="179" t="str">
        <f t="array" ref="AQ113">IF($F113&lt;&gt;"",XLOOKUP($F113,Productos!$A:$A,Productos!AJ:AJ,"Revisar"),"")</f>
        <v/>
      </c>
      <c r="AR113" s="179" t="str">
        <f t="array" ref="AR113">IF($F113&lt;&gt;"", XLOOKUP($F113,Productos!$A$2:$A1001,Productos!AK$2:AK1001,"")*$G113,"")</f>
        <v/>
      </c>
      <c r="AS113" s="179" t="str">
        <f t="array" ref="AS113">IF($F113&lt;&gt;"",XLOOKUP($F113,Productos!$A:$A,Productos!AL:AL,"Revisar"),"")</f>
        <v/>
      </c>
      <c r="AT113" s="179" t="str">
        <f t="array" ref="AT113">IF($F113&lt;&gt;"", XLOOKUP($F113,Productos!$A$2:$A1001,Productos!AM$2:AM1001,"")*$G113,"")</f>
        <v/>
      </c>
      <c r="AU113" s="179" t="str">
        <f t="array" ref="AU113">IF($F113&lt;&gt;"",XLOOKUP($F113,Productos!$A:$A,Productos!AN:AN,"Revisar"),"")</f>
        <v/>
      </c>
      <c r="AV113" s="179" t="str">
        <f t="array" ref="AV113">IF($F113&lt;&gt;"", XLOOKUP($F113,Productos!$A$2:$A1001,Productos!AO$2:AO1001,"")*$G113,"")</f>
        <v/>
      </c>
      <c r="AW113" s="179" t="str">
        <f t="array" ref="AW113">IF($F113&lt;&gt;"",XLOOKUP($F113,Productos!$A:$A,Productos!AP:AP,"Revisar"),"")</f>
        <v/>
      </c>
      <c r="AX113" s="179" t="str">
        <f t="array" ref="AX113">IF($F113&lt;&gt;"", XLOOKUP($F113,Productos!$A$2:$A1001,Productos!AQ$2:AQ1001,"")*$G113,"")</f>
        <v/>
      </c>
      <c r="AY113" s="179" t="str">
        <f t="array" ref="AY113">IF($F113&lt;&gt;"",XLOOKUP($F113,Productos!$A:$A,Productos!AR:AR,"Revisar"),"")</f>
        <v/>
      </c>
      <c r="AZ113" s="179" t="str">
        <f t="array" ref="AZ113">IF($F113&lt;&gt;"", XLOOKUP($F113,Productos!$A$2:$A1001,Productos!AS$2:AS1001,"")*$G113,"")</f>
        <v/>
      </c>
      <c r="BA113" s="179" t="str">
        <f t="array" ref="BA113">IF($F113&lt;&gt;"",XLOOKUP($F113,Productos!$A:$A,Productos!AT:AT,"Revisar"),"")</f>
        <v/>
      </c>
      <c r="BB113" s="179" t="str">
        <f t="array" ref="BB113">IF($F113&lt;&gt;"", XLOOKUP($F113,Productos!$A$2:$A1001,Productos!AU$2:AU1001,"")*$G113,"")</f>
        <v/>
      </c>
      <c r="BC113" s="179" t="str">
        <f t="array" ref="BC113">IF($F113&lt;&gt;"",XLOOKUP($F113,Productos!$A:$A,Productos!AV:AV,"Revisar"),"")</f>
        <v/>
      </c>
      <c r="BD113" s="179" t="str">
        <f t="array" ref="BD113">IF($F113&lt;&gt;"", XLOOKUP($F113,Productos!$A$2:$A1001,Productos!AW$2:AW1001,"")*$G113,"")</f>
        <v/>
      </c>
      <c r="BE113" s="179" t="str">
        <f t="array" ref="BE113">IF($F113&lt;&gt;"",XLOOKUP($F113,Productos!$A:$A,Productos!AX:AX,"Revisar"),"")</f>
        <v/>
      </c>
      <c r="BF113" s="179" t="str">
        <f t="array" ref="BF113">IF($F113&lt;&gt;"", XLOOKUP($F113,Productos!$A$2:$A1001,Productos!AY$2:AY1001,"")*$G113,"")</f>
        <v/>
      </c>
      <c r="BG113" s="179" t="str">
        <f t="array" ref="BG113">IF($F113&lt;&gt;"",XLOOKUP($F113,Productos!$A:$A,Productos!AZ:AZ,"Revisar"),"")</f>
        <v/>
      </c>
      <c r="BH113" s="179" t="str">
        <f t="array" ref="BH113">IF($F113&lt;&gt;"", XLOOKUP($F113,Productos!$A$2:$A1001,Productos!BA$2:BA1001,"")*$G113,"")</f>
        <v/>
      </c>
      <c r="BI113" s="179" t="str">
        <f t="array" ref="BI113">IF($F113&lt;&gt;"",XLOOKUP($F113,Productos!$A:$A,Productos!BB:BB,"Revisar"),"")</f>
        <v/>
      </c>
      <c r="BJ113" s="179" t="str">
        <f t="array" ref="BJ113">IF($F113&lt;&gt;"", XLOOKUP($F113,Productos!$A$2:$A1001,Productos!BC$2:BC1001,"")*$G113,"")</f>
        <v/>
      </c>
      <c r="BK113" s="179" t="str">
        <f t="array" ref="BK113">IF($F113&lt;&gt;"",XLOOKUP($F113,Productos!$A:$A,Productos!BD:BD,"Revisar"),"")</f>
        <v/>
      </c>
      <c r="BL113" s="179" t="str">
        <f t="array" ref="BL113">IF($F113&lt;&gt;"", XLOOKUP($F113,Productos!$A$2:$A1001,Productos!BE$2:BE1001,"")*$G113,"")</f>
        <v/>
      </c>
      <c r="BM113" s="179" t="str">
        <f t="array" ref="BM113">IF($F113&lt;&gt;"",XLOOKUP($F113,Productos!$A:$A,Productos!BF:BF,"Revisar"),"")</f>
        <v/>
      </c>
      <c r="BN113" s="179" t="str">
        <f t="array" ref="BN113">IF($F113&lt;&gt;"", XLOOKUP($F113,Productos!$A$2:$A1001,Productos!BG$2:BG1001,"")*$G113,"")</f>
        <v/>
      </c>
      <c r="BO113" s="179" t="str">
        <f t="array" ref="BO113">IF($F113&lt;&gt;"",XLOOKUP($F113,Productos!$A:$A,Productos!BH:BH,"Revisar"),"")</f>
        <v/>
      </c>
      <c r="BP113" s="179" t="str">
        <f t="array" ref="BP113">IF($F113&lt;&gt;"", XLOOKUP($F113,Productos!$A$2:$A1001,Productos!BI$2:BI1001,"")*$G113,"")</f>
        <v/>
      </c>
      <c r="BQ113" s="179" t="str">
        <f t="array" ref="BQ113">IF($F113&lt;&gt;"",XLOOKUP($F113,Productos!$A:$A,Productos!BJ:BJ,"Revisar"),"")</f>
        <v/>
      </c>
      <c r="BR113" s="179" t="str">
        <f t="array" ref="BR113">IF($F113&lt;&gt;"", XLOOKUP($F113,Productos!$A$2:$A1001,Productos!BK$2:BK1001,"")*$G113,"")</f>
        <v/>
      </c>
      <c r="BS113" s="179" t="str">
        <f t="array" ref="BS113">IF($F113&lt;&gt;"",XLOOKUP($F113,Productos!$A:$A,Productos!BL:BL,"Revisar"),"")</f>
        <v/>
      </c>
      <c r="BT113" s="179" t="str">
        <f t="array" ref="BT113">IF($F113&lt;&gt;"", XLOOKUP($F113,Productos!$A$2:$A1001,Productos!BM$2:BM1001,"")*$G113,"")</f>
        <v/>
      </c>
      <c r="BU113" s="179" t="str">
        <f t="array" ref="BU113">IF($F113&lt;&gt;"",XLOOKUP($F113,Productos!$A:$A,Productos!BN:BN,"Revisar"),"")</f>
        <v/>
      </c>
      <c r="BV113" s="179" t="str">
        <f t="array" ref="BV113">IF($F113&lt;&gt;"", XLOOKUP($F113,Productos!$A$2:$A1001,Productos!BO$2:BO1001,"")*$G113,"")</f>
        <v/>
      </c>
      <c r="BW113" s="179" t="str">
        <f t="array" ref="BW113">IF($F113&lt;&gt;"",XLOOKUP($F113,Productos!$A:$A,Productos!BP:BP,"Revisar"),"")</f>
        <v/>
      </c>
      <c r="BX113" s="179" t="str">
        <f t="array" ref="BX113">IF($F113&lt;&gt;"", XLOOKUP($F113,Productos!$A$2:$A1001,Productos!BQ$2:BQ1001,"")*$G113,"")</f>
        <v/>
      </c>
      <c r="BY113" s="179" t="str">
        <f t="array" ref="BY113">IF($F113&lt;&gt;"",XLOOKUP($F113,Productos!$A:$A,Productos!BR:BR,"Revisar"),"")</f>
        <v/>
      </c>
      <c r="BZ113" s="179" t="str">
        <f t="array" ref="BZ113">IF($F113&lt;&gt;"", XLOOKUP($F113,Productos!$A$2:$A1001,Productos!BS$2:BS1001,"")*$G113,"")</f>
        <v/>
      </c>
    </row>
    <row r="114">
      <c r="A114" s="180"/>
      <c r="B114" s="181"/>
      <c r="C114" s="182"/>
      <c r="D114" s="182"/>
      <c r="E114" s="185"/>
      <c r="F114" s="186"/>
      <c r="G114" s="187"/>
      <c r="H114" s="186"/>
      <c r="I114" s="179" t="str">
        <f t="array" ref="I114">IF($F114&lt;&gt;"",XLOOKUP($F114,Productos!$A:$A,Productos!B:B,"Revisar"),"")</f>
        <v/>
      </c>
      <c r="J114" s="179" t="str">
        <f t="array" ref="J114">IF($F114&lt;&gt;"", XLOOKUP($F114,Productos!$A$2:$A1001,Productos!C$2:C1001,"")*$G114,"")</f>
        <v/>
      </c>
      <c r="K114" s="179" t="str">
        <f t="array" ref="K114">IF($F114&lt;&gt;"",XLOOKUP($F114,Productos!$A:$A,Productos!D:D,"Revisar"),"")</f>
        <v/>
      </c>
      <c r="L114" s="179" t="str">
        <f t="array" ref="L114">IF($F114&lt;&gt;"", XLOOKUP($F114,Productos!$A$2:$A1001,Productos!E$2:E1001,"")*$G114,"")</f>
        <v/>
      </c>
      <c r="M114" s="179" t="str">
        <f t="array" ref="M114">IF($F114&lt;&gt;"",XLOOKUP($F114,Productos!$A:$A,Productos!F:F,"Revisar"),"")</f>
        <v/>
      </c>
      <c r="N114" s="179" t="str">
        <f t="array" ref="N114">IF($F114&lt;&gt;"", XLOOKUP($F114,Productos!$A$2:$A1001,Productos!G$2:G1001,"")*$G114,"")</f>
        <v/>
      </c>
      <c r="O114" s="179" t="str">
        <f t="array" ref="O114">IF($F114&lt;&gt;"",XLOOKUP($F114,Productos!$A:$A,Productos!H:H,"Revisar"),"")</f>
        <v/>
      </c>
      <c r="P114" s="179" t="str">
        <f t="array" ref="P114">IF($F114&lt;&gt;"", XLOOKUP($F114,Productos!$A$2:$A1001,Productos!I$2:I1001,"")*$G114,"")</f>
        <v/>
      </c>
      <c r="Q114" s="179" t="str">
        <f t="array" ref="Q114">IF($F114&lt;&gt;"",XLOOKUP($F114,Productos!$A:$A,Productos!J:J,"Revisar"),"")</f>
        <v/>
      </c>
      <c r="R114" s="179" t="str">
        <f t="array" ref="R114">IF($F114&lt;&gt;"", XLOOKUP($F114,Productos!$A$2:$A1001,Productos!K$2:K1001,"")*$G114,"")</f>
        <v/>
      </c>
      <c r="S114" s="179" t="str">
        <f t="array" ref="S114">IF($F114&lt;&gt;"",XLOOKUP($F114,Productos!$A:$A,Productos!L:L,"Revisar"),"")</f>
        <v/>
      </c>
      <c r="T114" s="179" t="str">
        <f t="array" ref="T114">IF($F114&lt;&gt;"", XLOOKUP($F114,Productos!$A$2:$A1001,Productos!M$2:M1001,"")*$G114,"")</f>
        <v/>
      </c>
      <c r="U114" s="179" t="str">
        <f t="array" ref="U114">IF($F114&lt;&gt;"",XLOOKUP($F114,Productos!$A:$A,Productos!N:N,"Revisar"),"")</f>
        <v/>
      </c>
      <c r="V114" s="179" t="str">
        <f t="array" ref="V114">IF($F114&lt;&gt;"", XLOOKUP($F114,Productos!$A$2:$A1001,Productos!O$2:O1001,"")*$G114,"")</f>
        <v/>
      </c>
      <c r="W114" s="179" t="str">
        <f t="array" ref="W114">IF($F114&lt;&gt;"",XLOOKUP($F114,Productos!$A:$A,Productos!P:P,"Revisar"),"")</f>
        <v/>
      </c>
      <c r="X114" s="179" t="str">
        <f t="array" ref="X114">IF($F114&lt;&gt;"", XLOOKUP($F114,Productos!$A$2:$A1001,Productos!Q$2:Q1001,"")*$G114,"")</f>
        <v/>
      </c>
      <c r="Y114" s="179" t="str">
        <f t="array" ref="Y114">IF($F114&lt;&gt;"",XLOOKUP($F114,Productos!$A:$A,Productos!R:R,"Revisar"),"")</f>
        <v/>
      </c>
      <c r="Z114" s="179" t="str">
        <f t="array" ref="Z114">IF($F114&lt;&gt;"", XLOOKUP($F114,Productos!$A$2:$A1001,Productos!S$2:S1001,"")*$G114,"")</f>
        <v/>
      </c>
      <c r="AA114" s="179" t="str">
        <f t="array" ref="AA114">IF($F114&lt;&gt;"",XLOOKUP($F114,Productos!$A:$A,Productos!T:T,"Revisar"),"")</f>
        <v/>
      </c>
      <c r="AB114" s="179" t="str">
        <f t="array" ref="AB114">IF($F114&lt;&gt;"", XLOOKUP($F114,Productos!$A$2:$A1001,Productos!U$2:U1001,"")*$G114,"")</f>
        <v/>
      </c>
      <c r="AC114" s="179" t="str">
        <f t="array" ref="AC114">IF($F114&lt;&gt;"",XLOOKUP($F114,Productos!$A:$A,Productos!V:V,"Revisar"),"")</f>
        <v/>
      </c>
      <c r="AD114" s="179" t="str">
        <f t="array" ref="AD114">IF($F114&lt;&gt;"", XLOOKUP($F114,Productos!$A$2:$A1001,Productos!W$2:W1001,"")*$G114,"")</f>
        <v/>
      </c>
      <c r="AE114" s="179" t="str">
        <f t="array" ref="AE114">IF($F114&lt;&gt;"",XLOOKUP($F114,Productos!$A:$A,Productos!X:X,"Revisar"),"")</f>
        <v/>
      </c>
      <c r="AF114" s="179" t="str">
        <f t="array" ref="AF114">IF($F114&lt;&gt;"", XLOOKUP($F114,Productos!$A$2:$A1001,Productos!Y$2:Y1001,"")*$G114,"")</f>
        <v/>
      </c>
      <c r="AG114" s="179" t="str">
        <f t="array" ref="AG114">IF($F114&lt;&gt;"",XLOOKUP($F114,Productos!$A:$A,Productos!Z:Z,"Revisar"),"")</f>
        <v/>
      </c>
      <c r="AH114" s="179" t="str">
        <f t="array" ref="AH114">IF($F114&lt;&gt;"", XLOOKUP($F114,Productos!$A$2:$A1001,Productos!AA$2:AA1001,"")*$G114,"")</f>
        <v/>
      </c>
      <c r="AI114" s="179" t="str">
        <f t="array" ref="AI114">IF($F114&lt;&gt;"",XLOOKUP($F114,Productos!$A:$A,Productos!AB:AB,"Revisar"),"")</f>
        <v/>
      </c>
      <c r="AJ114" s="179" t="str">
        <f t="array" ref="AJ114">IF($F114&lt;&gt;"", XLOOKUP($F114,Productos!$A$2:$A1001,Productos!AC$2:AC1001,"")*$G114,"")</f>
        <v/>
      </c>
      <c r="AK114" s="179" t="str">
        <f t="array" ref="AK114">IF($F114&lt;&gt;"",XLOOKUP($F114,Productos!$A:$A,Productos!AD:AD,"Revisar"),"")</f>
        <v/>
      </c>
      <c r="AL114" s="179" t="str">
        <f t="array" ref="AL114">IF($F114&lt;&gt;"", XLOOKUP($F114,Productos!$A$2:$A1001,Productos!AE$2:AE1001,"")*$G114,"")</f>
        <v/>
      </c>
      <c r="AM114" s="179" t="str">
        <f t="array" ref="AM114">IF($F114&lt;&gt;"",XLOOKUP($F114,Productos!$A:$A,Productos!AF:AF,"Revisar"),"")</f>
        <v/>
      </c>
      <c r="AN114" s="179" t="str">
        <f t="array" ref="AN114">IF($F114&lt;&gt;"", XLOOKUP($F114,Productos!$A$2:$A1001,Productos!AG$2:AG1001,"")*$G114,"")</f>
        <v/>
      </c>
      <c r="AO114" s="179" t="str">
        <f t="array" ref="AO114">IF($F114&lt;&gt;"",XLOOKUP($F114,Productos!$A:$A,Productos!AH:AH,"Revisar"),"")</f>
        <v/>
      </c>
      <c r="AP114" s="179" t="str">
        <f t="array" ref="AP114">IF($F114&lt;&gt;"", XLOOKUP($F114,Productos!$A$2:$A1001,Productos!AI$2:AI1001,"")*$G114,"")</f>
        <v/>
      </c>
      <c r="AQ114" s="179" t="str">
        <f t="array" ref="AQ114">IF($F114&lt;&gt;"",XLOOKUP($F114,Productos!$A:$A,Productos!AJ:AJ,"Revisar"),"")</f>
        <v/>
      </c>
      <c r="AR114" s="179" t="str">
        <f t="array" ref="AR114">IF($F114&lt;&gt;"", XLOOKUP($F114,Productos!$A$2:$A1001,Productos!AK$2:AK1001,"")*$G114,"")</f>
        <v/>
      </c>
      <c r="AS114" s="179" t="str">
        <f t="array" ref="AS114">IF($F114&lt;&gt;"",XLOOKUP($F114,Productos!$A:$A,Productos!AL:AL,"Revisar"),"")</f>
        <v/>
      </c>
      <c r="AT114" s="179" t="str">
        <f t="array" ref="AT114">IF($F114&lt;&gt;"", XLOOKUP($F114,Productos!$A$2:$A1001,Productos!AM$2:AM1001,"")*$G114,"")</f>
        <v/>
      </c>
      <c r="AU114" s="179" t="str">
        <f t="array" ref="AU114">IF($F114&lt;&gt;"",XLOOKUP($F114,Productos!$A:$A,Productos!AN:AN,"Revisar"),"")</f>
        <v/>
      </c>
      <c r="AV114" s="179" t="str">
        <f t="array" ref="AV114">IF($F114&lt;&gt;"", XLOOKUP($F114,Productos!$A$2:$A1001,Productos!AO$2:AO1001,"")*$G114,"")</f>
        <v/>
      </c>
      <c r="AW114" s="179" t="str">
        <f t="array" ref="AW114">IF($F114&lt;&gt;"",XLOOKUP($F114,Productos!$A:$A,Productos!AP:AP,"Revisar"),"")</f>
        <v/>
      </c>
      <c r="AX114" s="179" t="str">
        <f t="array" ref="AX114">IF($F114&lt;&gt;"", XLOOKUP($F114,Productos!$A$2:$A1001,Productos!AQ$2:AQ1001,"")*$G114,"")</f>
        <v/>
      </c>
      <c r="AY114" s="179" t="str">
        <f t="array" ref="AY114">IF($F114&lt;&gt;"",XLOOKUP($F114,Productos!$A:$A,Productos!AR:AR,"Revisar"),"")</f>
        <v/>
      </c>
      <c r="AZ114" s="179" t="str">
        <f t="array" ref="AZ114">IF($F114&lt;&gt;"", XLOOKUP($F114,Productos!$A$2:$A1001,Productos!AS$2:AS1001,"")*$G114,"")</f>
        <v/>
      </c>
      <c r="BA114" s="179" t="str">
        <f t="array" ref="BA114">IF($F114&lt;&gt;"",XLOOKUP($F114,Productos!$A:$A,Productos!AT:AT,"Revisar"),"")</f>
        <v/>
      </c>
      <c r="BB114" s="179" t="str">
        <f t="array" ref="BB114">IF($F114&lt;&gt;"", XLOOKUP($F114,Productos!$A$2:$A1001,Productos!AU$2:AU1001,"")*$G114,"")</f>
        <v/>
      </c>
      <c r="BC114" s="179" t="str">
        <f t="array" ref="BC114">IF($F114&lt;&gt;"",XLOOKUP($F114,Productos!$A:$A,Productos!AV:AV,"Revisar"),"")</f>
        <v/>
      </c>
      <c r="BD114" s="179" t="str">
        <f t="array" ref="BD114">IF($F114&lt;&gt;"", XLOOKUP($F114,Productos!$A$2:$A1001,Productos!AW$2:AW1001,"")*$G114,"")</f>
        <v/>
      </c>
      <c r="BE114" s="179" t="str">
        <f t="array" ref="BE114">IF($F114&lt;&gt;"",XLOOKUP($F114,Productos!$A:$A,Productos!AX:AX,"Revisar"),"")</f>
        <v/>
      </c>
      <c r="BF114" s="179" t="str">
        <f t="array" ref="BF114">IF($F114&lt;&gt;"", XLOOKUP($F114,Productos!$A$2:$A1001,Productos!AY$2:AY1001,"")*$G114,"")</f>
        <v/>
      </c>
      <c r="BG114" s="179" t="str">
        <f t="array" ref="BG114">IF($F114&lt;&gt;"",XLOOKUP($F114,Productos!$A:$A,Productos!AZ:AZ,"Revisar"),"")</f>
        <v/>
      </c>
      <c r="BH114" s="179" t="str">
        <f t="array" ref="BH114">IF($F114&lt;&gt;"", XLOOKUP($F114,Productos!$A$2:$A1001,Productos!BA$2:BA1001,"")*$G114,"")</f>
        <v/>
      </c>
      <c r="BI114" s="179" t="str">
        <f t="array" ref="BI114">IF($F114&lt;&gt;"",XLOOKUP($F114,Productos!$A:$A,Productos!BB:BB,"Revisar"),"")</f>
        <v/>
      </c>
      <c r="BJ114" s="179" t="str">
        <f t="array" ref="BJ114">IF($F114&lt;&gt;"", XLOOKUP($F114,Productos!$A$2:$A1001,Productos!BC$2:BC1001,"")*$G114,"")</f>
        <v/>
      </c>
      <c r="BK114" s="179" t="str">
        <f t="array" ref="BK114">IF($F114&lt;&gt;"",XLOOKUP($F114,Productos!$A:$A,Productos!BD:BD,"Revisar"),"")</f>
        <v/>
      </c>
      <c r="BL114" s="179" t="str">
        <f t="array" ref="BL114">IF($F114&lt;&gt;"", XLOOKUP($F114,Productos!$A$2:$A1001,Productos!BE$2:BE1001,"")*$G114,"")</f>
        <v/>
      </c>
      <c r="BM114" s="179" t="str">
        <f t="array" ref="BM114">IF($F114&lt;&gt;"",XLOOKUP($F114,Productos!$A:$A,Productos!BF:BF,"Revisar"),"")</f>
        <v/>
      </c>
      <c r="BN114" s="179" t="str">
        <f t="array" ref="BN114">IF($F114&lt;&gt;"", XLOOKUP($F114,Productos!$A$2:$A1001,Productos!BG$2:BG1001,"")*$G114,"")</f>
        <v/>
      </c>
      <c r="BO114" s="179" t="str">
        <f t="array" ref="BO114">IF($F114&lt;&gt;"",XLOOKUP($F114,Productos!$A:$A,Productos!BH:BH,"Revisar"),"")</f>
        <v/>
      </c>
      <c r="BP114" s="179" t="str">
        <f t="array" ref="BP114">IF($F114&lt;&gt;"", XLOOKUP($F114,Productos!$A$2:$A1001,Productos!BI$2:BI1001,"")*$G114,"")</f>
        <v/>
      </c>
      <c r="BQ114" s="179" t="str">
        <f t="array" ref="BQ114">IF($F114&lt;&gt;"",XLOOKUP($F114,Productos!$A:$A,Productos!BJ:BJ,"Revisar"),"")</f>
        <v/>
      </c>
      <c r="BR114" s="179" t="str">
        <f t="array" ref="BR114">IF($F114&lt;&gt;"", XLOOKUP($F114,Productos!$A$2:$A1001,Productos!BK$2:BK1001,"")*$G114,"")</f>
        <v/>
      </c>
      <c r="BS114" s="179" t="str">
        <f t="array" ref="BS114">IF($F114&lt;&gt;"",XLOOKUP($F114,Productos!$A:$A,Productos!BL:BL,"Revisar"),"")</f>
        <v/>
      </c>
      <c r="BT114" s="179" t="str">
        <f t="array" ref="BT114">IF($F114&lt;&gt;"", XLOOKUP($F114,Productos!$A$2:$A1001,Productos!BM$2:BM1001,"")*$G114,"")</f>
        <v/>
      </c>
      <c r="BU114" s="179" t="str">
        <f t="array" ref="BU114">IF($F114&lt;&gt;"",XLOOKUP($F114,Productos!$A:$A,Productos!BN:BN,"Revisar"),"")</f>
        <v/>
      </c>
      <c r="BV114" s="179" t="str">
        <f t="array" ref="BV114">IF($F114&lt;&gt;"", XLOOKUP($F114,Productos!$A$2:$A1001,Productos!BO$2:BO1001,"")*$G114,"")</f>
        <v/>
      </c>
      <c r="BW114" s="179" t="str">
        <f t="array" ref="BW114">IF($F114&lt;&gt;"",XLOOKUP($F114,Productos!$A:$A,Productos!BP:BP,"Revisar"),"")</f>
        <v/>
      </c>
      <c r="BX114" s="179" t="str">
        <f t="array" ref="BX114">IF($F114&lt;&gt;"", XLOOKUP($F114,Productos!$A$2:$A1001,Productos!BQ$2:BQ1001,"")*$G114,"")</f>
        <v/>
      </c>
      <c r="BY114" s="179" t="str">
        <f t="array" ref="BY114">IF($F114&lt;&gt;"",XLOOKUP($F114,Productos!$A:$A,Productos!BR:BR,"Revisar"),"")</f>
        <v/>
      </c>
      <c r="BZ114" s="179" t="str">
        <f t="array" ref="BZ114">IF($F114&lt;&gt;"", XLOOKUP($F114,Productos!$A$2:$A1001,Productos!BS$2:BS1001,"")*$G114,"")</f>
        <v/>
      </c>
    </row>
    <row r="115">
      <c r="A115" s="180"/>
      <c r="B115" s="181"/>
      <c r="C115" s="182"/>
      <c r="D115" s="182"/>
      <c r="E115" s="185"/>
      <c r="F115" s="186"/>
      <c r="G115" s="187"/>
      <c r="H115" s="186"/>
      <c r="I115" s="179" t="str">
        <f t="array" ref="I115">IF($F115&lt;&gt;"",XLOOKUP($F115,Productos!$A:$A,Productos!B:B,"Revisar"),"")</f>
        <v/>
      </c>
      <c r="J115" s="179" t="str">
        <f t="array" ref="J115">IF($F115&lt;&gt;"", XLOOKUP($F115,Productos!$A$2:$A1001,Productos!C$2:C1001,"")*$G115,"")</f>
        <v/>
      </c>
      <c r="K115" s="179" t="str">
        <f t="array" ref="K115">IF($F115&lt;&gt;"",XLOOKUP($F115,Productos!$A:$A,Productos!D:D,"Revisar"),"")</f>
        <v/>
      </c>
      <c r="L115" s="179" t="str">
        <f t="array" ref="L115">IF($F115&lt;&gt;"", XLOOKUP($F115,Productos!$A$2:$A1001,Productos!E$2:E1001,"")*$G115,"")</f>
        <v/>
      </c>
      <c r="M115" s="179" t="str">
        <f t="array" ref="M115">IF($F115&lt;&gt;"",XLOOKUP($F115,Productos!$A:$A,Productos!F:F,"Revisar"),"")</f>
        <v/>
      </c>
      <c r="N115" s="179" t="str">
        <f t="array" ref="N115">IF($F115&lt;&gt;"", XLOOKUP($F115,Productos!$A$2:$A1001,Productos!G$2:G1001,"")*$G115,"")</f>
        <v/>
      </c>
      <c r="O115" s="179" t="str">
        <f t="array" ref="O115">IF($F115&lt;&gt;"",XLOOKUP($F115,Productos!$A:$A,Productos!H:H,"Revisar"),"")</f>
        <v/>
      </c>
      <c r="P115" s="179" t="str">
        <f t="array" ref="P115">IF($F115&lt;&gt;"", XLOOKUP($F115,Productos!$A$2:$A1001,Productos!I$2:I1001,"")*$G115,"")</f>
        <v/>
      </c>
      <c r="Q115" s="179" t="str">
        <f t="array" ref="Q115">IF($F115&lt;&gt;"",XLOOKUP($F115,Productos!$A:$A,Productos!J:J,"Revisar"),"")</f>
        <v/>
      </c>
      <c r="R115" s="179" t="str">
        <f t="array" ref="R115">IF($F115&lt;&gt;"", XLOOKUP($F115,Productos!$A$2:$A1001,Productos!K$2:K1001,"")*$G115,"")</f>
        <v/>
      </c>
      <c r="S115" s="179" t="str">
        <f t="array" ref="S115">IF($F115&lt;&gt;"",XLOOKUP($F115,Productos!$A:$A,Productos!L:L,"Revisar"),"")</f>
        <v/>
      </c>
      <c r="T115" s="179" t="str">
        <f t="array" ref="T115">IF($F115&lt;&gt;"", XLOOKUP($F115,Productos!$A$2:$A1001,Productos!M$2:M1001,"")*$G115,"")</f>
        <v/>
      </c>
      <c r="U115" s="179" t="str">
        <f t="array" ref="U115">IF($F115&lt;&gt;"",XLOOKUP($F115,Productos!$A:$A,Productos!N:N,"Revisar"),"")</f>
        <v/>
      </c>
      <c r="V115" s="179" t="str">
        <f t="array" ref="V115">IF($F115&lt;&gt;"", XLOOKUP($F115,Productos!$A$2:$A1001,Productos!O$2:O1001,"")*$G115,"")</f>
        <v/>
      </c>
      <c r="W115" s="179" t="str">
        <f t="array" ref="W115">IF($F115&lt;&gt;"",XLOOKUP($F115,Productos!$A:$A,Productos!P:P,"Revisar"),"")</f>
        <v/>
      </c>
      <c r="X115" s="179" t="str">
        <f t="array" ref="X115">IF($F115&lt;&gt;"", XLOOKUP($F115,Productos!$A$2:$A1001,Productos!Q$2:Q1001,"")*$G115,"")</f>
        <v/>
      </c>
      <c r="Y115" s="179" t="str">
        <f t="array" ref="Y115">IF($F115&lt;&gt;"",XLOOKUP($F115,Productos!$A:$A,Productos!R:R,"Revisar"),"")</f>
        <v/>
      </c>
      <c r="Z115" s="179" t="str">
        <f t="array" ref="Z115">IF($F115&lt;&gt;"", XLOOKUP($F115,Productos!$A$2:$A1001,Productos!S$2:S1001,"")*$G115,"")</f>
        <v/>
      </c>
      <c r="AA115" s="179" t="str">
        <f t="array" ref="AA115">IF($F115&lt;&gt;"",XLOOKUP($F115,Productos!$A:$A,Productos!T:T,"Revisar"),"")</f>
        <v/>
      </c>
      <c r="AB115" s="179" t="str">
        <f t="array" ref="AB115">IF($F115&lt;&gt;"", XLOOKUP($F115,Productos!$A$2:$A1001,Productos!U$2:U1001,"")*$G115,"")</f>
        <v/>
      </c>
      <c r="AC115" s="179" t="str">
        <f t="array" ref="AC115">IF($F115&lt;&gt;"",XLOOKUP($F115,Productos!$A:$A,Productos!V:V,"Revisar"),"")</f>
        <v/>
      </c>
      <c r="AD115" s="179" t="str">
        <f t="array" ref="AD115">IF($F115&lt;&gt;"", XLOOKUP($F115,Productos!$A$2:$A1001,Productos!W$2:W1001,"")*$G115,"")</f>
        <v/>
      </c>
      <c r="AE115" s="179" t="str">
        <f t="array" ref="AE115">IF($F115&lt;&gt;"",XLOOKUP($F115,Productos!$A:$A,Productos!X:X,"Revisar"),"")</f>
        <v/>
      </c>
      <c r="AF115" s="179" t="str">
        <f t="array" ref="AF115">IF($F115&lt;&gt;"", XLOOKUP($F115,Productos!$A$2:$A1001,Productos!Y$2:Y1001,"")*$G115,"")</f>
        <v/>
      </c>
      <c r="AG115" s="179" t="str">
        <f t="array" ref="AG115">IF($F115&lt;&gt;"",XLOOKUP($F115,Productos!$A:$A,Productos!Z:Z,"Revisar"),"")</f>
        <v/>
      </c>
      <c r="AH115" s="179" t="str">
        <f t="array" ref="AH115">IF($F115&lt;&gt;"", XLOOKUP($F115,Productos!$A$2:$A1001,Productos!AA$2:AA1001,"")*$G115,"")</f>
        <v/>
      </c>
      <c r="AI115" s="179" t="str">
        <f t="array" ref="AI115">IF($F115&lt;&gt;"",XLOOKUP($F115,Productos!$A:$A,Productos!AB:AB,"Revisar"),"")</f>
        <v/>
      </c>
      <c r="AJ115" s="179" t="str">
        <f t="array" ref="AJ115">IF($F115&lt;&gt;"", XLOOKUP($F115,Productos!$A$2:$A1001,Productos!AC$2:AC1001,"")*$G115,"")</f>
        <v/>
      </c>
      <c r="AK115" s="179" t="str">
        <f t="array" ref="AK115">IF($F115&lt;&gt;"",XLOOKUP($F115,Productos!$A:$A,Productos!AD:AD,"Revisar"),"")</f>
        <v/>
      </c>
      <c r="AL115" s="179" t="str">
        <f t="array" ref="AL115">IF($F115&lt;&gt;"", XLOOKUP($F115,Productos!$A$2:$A1001,Productos!AE$2:AE1001,"")*$G115,"")</f>
        <v/>
      </c>
      <c r="AM115" s="179" t="str">
        <f t="array" ref="AM115">IF($F115&lt;&gt;"",XLOOKUP($F115,Productos!$A:$A,Productos!AF:AF,"Revisar"),"")</f>
        <v/>
      </c>
      <c r="AN115" s="179" t="str">
        <f t="array" ref="AN115">IF($F115&lt;&gt;"", XLOOKUP($F115,Productos!$A$2:$A1001,Productos!AG$2:AG1001,"")*$G115,"")</f>
        <v/>
      </c>
      <c r="AO115" s="179" t="str">
        <f t="array" ref="AO115">IF($F115&lt;&gt;"",XLOOKUP($F115,Productos!$A:$A,Productos!AH:AH,"Revisar"),"")</f>
        <v/>
      </c>
      <c r="AP115" s="179" t="str">
        <f t="array" ref="AP115">IF($F115&lt;&gt;"", XLOOKUP($F115,Productos!$A$2:$A1001,Productos!AI$2:AI1001,"")*$G115,"")</f>
        <v/>
      </c>
      <c r="AQ115" s="179" t="str">
        <f t="array" ref="AQ115">IF($F115&lt;&gt;"",XLOOKUP($F115,Productos!$A:$A,Productos!AJ:AJ,"Revisar"),"")</f>
        <v/>
      </c>
      <c r="AR115" s="179" t="str">
        <f t="array" ref="AR115">IF($F115&lt;&gt;"", XLOOKUP($F115,Productos!$A$2:$A1001,Productos!AK$2:AK1001,"")*$G115,"")</f>
        <v/>
      </c>
      <c r="AS115" s="179" t="str">
        <f t="array" ref="AS115">IF($F115&lt;&gt;"",XLOOKUP($F115,Productos!$A:$A,Productos!AL:AL,"Revisar"),"")</f>
        <v/>
      </c>
      <c r="AT115" s="179" t="str">
        <f t="array" ref="AT115">IF($F115&lt;&gt;"", XLOOKUP($F115,Productos!$A$2:$A1001,Productos!AM$2:AM1001,"")*$G115,"")</f>
        <v/>
      </c>
      <c r="AU115" s="179" t="str">
        <f t="array" ref="AU115">IF($F115&lt;&gt;"",XLOOKUP($F115,Productos!$A:$A,Productos!AN:AN,"Revisar"),"")</f>
        <v/>
      </c>
      <c r="AV115" s="179" t="str">
        <f t="array" ref="AV115">IF($F115&lt;&gt;"", XLOOKUP($F115,Productos!$A$2:$A1001,Productos!AO$2:AO1001,"")*$G115,"")</f>
        <v/>
      </c>
      <c r="AW115" s="179" t="str">
        <f t="array" ref="AW115">IF($F115&lt;&gt;"",XLOOKUP($F115,Productos!$A:$A,Productos!AP:AP,"Revisar"),"")</f>
        <v/>
      </c>
      <c r="AX115" s="179" t="str">
        <f t="array" ref="AX115">IF($F115&lt;&gt;"", XLOOKUP($F115,Productos!$A$2:$A1001,Productos!AQ$2:AQ1001,"")*$G115,"")</f>
        <v/>
      </c>
      <c r="AY115" s="179" t="str">
        <f t="array" ref="AY115">IF($F115&lt;&gt;"",XLOOKUP($F115,Productos!$A:$A,Productos!AR:AR,"Revisar"),"")</f>
        <v/>
      </c>
      <c r="AZ115" s="179" t="str">
        <f t="array" ref="AZ115">IF($F115&lt;&gt;"", XLOOKUP($F115,Productos!$A$2:$A1001,Productos!AS$2:AS1001,"")*$G115,"")</f>
        <v/>
      </c>
      <c r="BA115" s="179" t="str">
        <f t="array" ref="BA115">IF($F115&lt;&gt;"",XLOOKUP($F115,Productos!$A:$A,Productos!AT:AT,"Revisar"),"")</f>
        <v/>
      </c>
      <c r="BB115" s="179" t="str">
        <f t="array" ref="BB115">IF($F115&lt;&gt;"", XLOOKUP($F115,Productos!$A$2:$A1001,Productos!AU$2:AU1001,"")*$G115,"")</f>
        <v/>
      </c>
      <c r="BC115" s="179" t="str">
        <f t="array" ref="BC115">IF($F115&lt;&gt;"",XLOOKUP($F115,Productos!$A:$A,Productos!AV:AV,"Revisar"),"")</f>
        <v/>
      </c>
      <c r="BD115" s="179" t="str">
        <f t="array" ref="BD115">IF($F115&lt;&gt;"", XLOOKUP($F115,Productos!$A$2:$A1001,Productos!AW$2:AW1001,"")*$G115,"")</f>
        <v/>
      </c>
      <c r="BE115" s="179" t="str">
        <f t="array" ref="BE115">IF($F115&lt;&gt;"",XLOOKUP($F115,Productos!$A:$A,Productos!AX:AX,"Revisar"),"")</f>
        <v/>
      </c>
      <c r="BF115" s="179" t="str">
        <f t="array" ref="BF115">IF($F115&lt;&gt;"", XLOOKUP($F115,Productos!$A$2:$A1001,Productos!AY$2:AY1001,"")*$G115,"")</f>
        <v/>
      </c>
      <c r="BG115" s="179" t="str">
        <f t="array" ref="BG115">IF($F115&lt;&gt;"",XLOOKUP($F115,Productos!$A:$A,Productos!AZ:AZ,"Revisar"),"")</f>
        <v/>
      </c>
      <c r="BH115" s="179" t="str">
        <f t="array" ref="BH115">IF($F115&lt;&gt;"", XLOOKUP($F115,Productos!$A$2:$A1001,Productos!BA$2:BA1001,"")*$G115,"")</f>
        <v/>
      </c>
      <c r="BI115" s="179" t="str">
        <f t="array" ref="BI115">IF($F115&lt;&gt;"",XLOOKUP($F115,Productos!$A:$A,Productos!BB:BB,"Revisar"),"")</f>
        <v/>
      </c>
      <c r="BJ115" s="179" t="str">
        <f t="array" ref="BJ115">IF($F115&lt;&gt;"", XLOOKUP($F115,Productos!$A$2:$A1001,Productos!BC$2:BC1001,"")*$G115,"")</f>
        <v/>
      </c>
      <c r="BK115" s="179" t="str">
        <f t="array" ref="BK115">IF($F115&lt;&gt;"",XLOOKUP($F115,Productos!$A:$A,Productos!BD:BD,"Revisar"),"")</f>
        <v/>
      </c>
      <c r="BL115" s="179" t="str">
        <f t="array" ref="BL115">IF($F115&lt;&gt;"", XLOOKUP($F115,Productos!$A$2:$A1001,Productos!BE$2:BE1001,"")*$G115,"")</f>
        <v/>
      </c>
      <c r="BM115" s="179" t="str">
        <f t="array" ref="BM115">IF($F115&lt;&gt;"",XLOOKUP($F115,Productos!$A:$A,Productos!BF:BF,"Revisar"),"")</f>
        <v/>
      </c>
      <c r="BN115" s="179" t="str">
        <f t="array" ref="BN115">IF($F115&lt;&gt;"", XLOOKUP($F115,Productos!$A$2:$A1001,Productos!BG$2:BG1001,"")*$G115,"")</f>
        <v/>
      </c>
      <c r="BO115" s="179" t="str">
        <f t="array" ref="BO115">IF($F115&lt;&gt;"",XLOOKUP($F115,Productos!$A:$A,Productos!BH:BH,"Revisar"),"")</f>
        <v/>
      </c>
      <c r="BP115" s="179" t="str">
        <f t="array" ref="BP115">IF($F115&lt;&gt;"", XLOOKUP($F115,Productos!$A$2:$A1001,Productos!BI$2:BI1001,"")*$G115,"")</f>
        <v/>
      </c>
      <c r="BQ115" s="179" t="str">
        <f t="array" ref="BQ115">IF($F115&lt;&gt;"",XLOOKUP($F115,Productos!$A:$A,Productos!BJ:BJ,"Revisar"),"")</f>
        <v/>
      </c>
      <c r="BR115" s="179" t="str">
        <f t="array" ref="BR115">IF($F115&lt;&gt;"", XLOOKUP($F115,Productos!$A$2:$A1001,Productos!BK$2:BK1001,"")*$G115,"")</f>
        <v/>
      </c>
      <c r="BS115" s="179" t="str">
        <f t="array" ref="BS115">IF($F115&lt;&gt;"",XLOOKUP($F115,Productos!$A:$A,Productos!BL:BL,"Revisar"),"")</f>
        <v/>
      </c>
      <c r="BT115" s="179" t="str">
        <f t="array" ref="BT115">IF($F115&lt;&gt;"", XLOOKUP($F115,Productos!$A$2:$A1001,Productos!BM$2:BM1001,"")*$G115,"")</f>
        <v/>
      </c>
      <c r="BU115" s="179" t="str">
        <f t="array" ref="BU115">IF($F115&lt;&gt;"",XLOOKUP($F115,Productos!$A:$A,Productos!BN:BN,"Revisar"),"")</f>
        <v/>
      </c>
      <c r="BV115" s="179" t="str">
        <f t="array" ref="BV115">IF($F115&lt;&gt;"", XLOOKUP($F115,Productos!$A$2:$A1001,Productos!BO$2:BO1001,"")*$G115,"")</f>
        <v/>
      </c>
      <c r="BW115" s="179" t="str">
        <f t="array" ref="BW115">IF($F115&lt;&gt;"",XLOOKUP($F115,Productos!$A:$A,Productos!BP:BP,"Revisar"),"")</f>
        <v/>
      </c>
      <c r="BX115" s="179" t="str">
        <f t="array" ref="BX115">IF($F115&lt;&gt;"", XLOOKUP($F115,Productos!$A$2:$A1001,Productos!BQ$2:BQ1001,"")*$G115,"")</f>
        <v/>
      </c>
      <c r="BY115" s="179" t="str">
        <f t="array" ref="BY115">IF($F115&lt;&gt;"",XLOOKUP($F115,Productos!$A:$A,Productos!BR:BR,"Revisar"),"")</f>
        <v/>
      </c>
      <c r="BZ115" s="179" t="str">
        <f t="array" ref="BZ115">IF($F115&lt;&gt;"", XLOOKUP($F115,Productos!$A$2:$A1001,Productos!BS$2:BS1001,"")*$G115,"")</f>
        <v/>
      </c>
    </row>
    <row r="116">
      <c r="A116" s="180"/>
      <c r="B116" s="181"/>
      <c r="C116" s="182"/>
      <c r="D116" s="182"/>
      <c r="E116" s="185"/>
      <c r="F116" s="186"/>
      <c r="G116" s="187"/>
      <c r="H116" s="186"/>
      <c r="I116" s="179" t="str">
        <f t="array" ref="I116">IF($F116&lt;&gt;"",XLOOKUP($F116,Productos!$A:$A,Productos!B:B,"Revisar"),"")</f>
        <v/>
      </c>
      <c r="J116" s="179" t="str">
        <f t="array" ref="J116">IF($F116&lt;&gt;"", XLOOKUP($F116,Productos!$A$2:$A1001,Productos!C$2:C1001,"")*$G116,"")</f>
        <v/>
      </c>
      <c r="K116" s="179" t="str">
        <f t="array" ref="K116">IF($F116&lt;&gt;"",XLOOKUP($F116,Productos!$A:$A,Productos!D:D,"Revisar"),"")</f>
        <v/>
      </c>
      <c r="L116" s="179" t="str">
        <f t="array" ref="L116">IF($F116&lt;&gt;"", XLOOKUP($F116,Productos!$A$2:$A1001,Productos!E$2:E1001,"")*$G116,"")</f>
        <v/>
      </c>
      <c r="M116" s="179" t="str">
        <f t="array" ref="M116">IF($F116&lt;&gt;"",XLOOKUP($F116,Productos!$A:$A,Productos!F:F,"Revisar"),"")</f>
        <v/>
      </c>
      <c r="N116" s="179" t="str">
        <f t="array" ref="N116">IF($F116&lt;&gt;"", XLOOKUP($F116,Productos!$A$2:$A1001,Productos!G$2:G1001,"")*$G116,"")</f>
        <v/>
      </c>
      <c r="O116" s="179" t="str">
        <f t="array" ref="O116">IF($F116&lt;&gt;"",XLOOKUP($F116,Productos!$A:$A,Productos!H:H,"Revisar"),"")</f>
        <v/>
      </c>
      <c r="P116" s="179" t="str">
        <f t="array" ref="P116">IF($F116&lt;&gt;"", XLOOKUP($F116,Productos!$A$2:$A1001,Productos!I$2:I1001,"")*$G116,"")</f>
        <v/>
      </c>
      <c r="Q116" s="179" t="str">
        <f t="array" ref="Q116">IF($F116&lt;&gt;"",XLOOKUP($F116,Productos!$A:$A,Productos!J:J,"Revisar"),"")</f>
        <v/>
      </c>
      <c r="R116" s="179" t="str">
        <f t="array" ref="R116">IF($F116&lt;&gt;"", XLOOKUP($F116,Productos!$A$2:$A1001,Productos!K$2:K1001,"")*$G116,"")</f>
        <v/>
      </c>
      <c r="S116" s="179" t="str">
        <f t="array" ref="S116">IF($F116&lt;&gt;"",XLOOKUP($F116,Productos!$A:$A,Productos!L:L,"Revisar"),"")</f>
        <v/>
      </c>
      <c r="T116" s="179" t="str">
        <f t="array" ref="T116">IF($F116&lt;&gt;"", XLOOKUP($F116,Productos!$A$2:$A1001,Productos!M$2:M1001,"")*$G116,"")</f>
        <v/>
      </c>
      <c r="U116" s="179" t="str">
        <f t="array" ref="U116">IF($F116&lt;&gt;"",XLOOKUP($F116,Productos!$A:$A,Productos!N:N,"Revisar"),"")</f>
        <v/>
      </c>
      <c r="V116" s="179" t="str">
        <f t="array" ref="V116">IF($F116&lt;&gt;"", XLOOKUP($F116,Productos!$A$2:$A1001,Productos!O$2:O1001,"")*$G116,"")</f>
        <v/>
      </c>
      <c r="W116" s="179" t="str">
        <f t="array" ref="W116">IF($F116&lt;&gt;"",XLOOKUP($F116,Productos!$A:$A,Productos!P:P,"Revisar"),"")</f>
        <v/>
      </c>
      <c r="X116" s="179" t="str">
        <f t="array" ref="X116">IF($F116&lt;&gt;"", XLOOKUP($F116,Productos!$A$2:$A1001,Productos!Q$2:Q1001,"")*$G116,"")</f>
        <v/>
      </c>
      <c r="Y116" s="179" t="str">
        <f t="array" ref="Y116">IF($F116&lt;&gt;"",XLOOKUP($F116,Productos!$A:$A,Productos!R:R,"Revisar"),"")</f>
        <v/>
      </c>
      <c r="Z116" s="179" t="str">
        <f t="array" ref="Z116">IF($F116&lt;&gt;"", XLOOKUP($F116,Productos!$A$2:$A1001,Productos!S$2:S1001,"")*$G116,"")</f>
        <v/>
      </c>
      <c r="AA116" s="179" t="str">
        <f t="array" ref="AA116">IF($F116&lt;&gt;"",XLOOKUP($F116,Productos!$A:$A,Productos!T:T,"Revisar"),"")</f>
        <v/>
      </c>
      <c r="AB116" s="179" t="str">
        <f t="array" ref="AB116">IF($F116&lt;&gt;"", XLOOKUP($F116,Productos!$A$2:$A1001,Productos!U$2:U1001,"")*$G116,"")</f>
        <v/>
      </c>
      <c r="AC116" s="179" t="str">
        <f t="array" ref="AC116">IF($F116&lt;&gt;"",XLOOKUP($F116,Productos!$A:$A,Productos!V:V,"Revisar"),"")</f>
        <v/>
      </c>
      <c r="AD116" s="179" t="str">
        <f t="array" ref="AD116">IF($F116&lt;&gt;"", XLOOKUP($F116,Productos!$A$2:$A1001,Productos!W$2:W1001,"")*$G116,"")</f>
        <v/>
      </c>
      <c r="AE116" s="179" t="str">
        <f t="array" ref="AE116">IF($F116&lt;&gt;"",XLOOKUP($F116,Productos!$A:$A,Productos!X:X,"Revisar"),"")</f>
        <v/>
      </c>
      <c r="AF116" s="179" t="str">
        <f t="array" ref="AF116">IF($F116&lt;&gt;"", XLOOKUP($F116,Productos!$A$2:$A1001,Productos!Y$2:Y1001,"")*$G116,"")</f>
        <v/>
      </c>
      <c r="AG116" s="179" t="str">
        <f t="array" ref="AG116">IF($F116&lt;&gt;"",XLOOKUP($F116,Productos!$A:$A,Productos!Z:Z,"Revisar"),"")</f>
        <v/>
      </c>
      <c r="AH116" s="179" t="str">
        <f t="array" ref="AH116">IF($F116&lt;&gt;"", XLOOKUP($F116,Productos!$A$2:$A1001,Productos!AA$2:AA1001,"")*$G116,"")</f>
        <v/>
      </c>
      <c r="AI116" s="179" t="str">
        <f t="array" ref="AI116">IF($F116&lt;&gt;"",XLOOKUP($F116,Productos!$A:$A,Productos!AB:AB,"Revisar"),"")</f>
        <v/>
      </c>
      <c r="AJ116" s="179" t="str">
        <f t="array" ref="AJ116">IF($F116&lt;&gt;"", XLOOKUP($F116,Productos!$A$2:$A1001,Productos!AC$2:AC1001,"")*$G116,"")</f>
        <v/>
      </c>
      <c r="AK116" s="179" t="str">
        <f t="array" ref="AK116">IF($F116&lt;&gt;"",XLOOKUP($F116,Productos!$A:$A,Productos!AD:AD,"Revisar"),"")</f>
        <v/>
      </c>
      <c r="AL116" s="179" t="str">
        <f t="array" ref="AL116">IF($F116&lt;&gt;"", XLOOKUP($F116,Productos!$A$2:$A1001,Productos!AE$2:AE1001,"")*$G116,"")</f>
        <v/>
      </c>
      <c r="AM116" s="179" t="str">
        <f t="array" ref="AM116">IF($F116&lt;&gt;"",XLOOKUP($F116,Productos!$A:$A,Productos!AF:AF,"Revisar"),"")</f>
        <v/>
      </c>
      <c r="AN116" s="179" t="str">
        <f t="array" ref="AN116">IF($F116&lt;&gt;"", XLOOKUP($F116,Productos!$A$2:$A1001,Productos!AG$2:AG1001,"")*$G116,"")</f>
        <v/>
      </c>
      <c r="AO116" s="179" t="str">
        <f t="array" ref="AO116">IF($F116&lt;&gt;"",XLOOKUP($F116,Productos!$A:$A,Productos!AH:AH,"Revisar"),"")</f>
        <v/>
      </c>
      <c r="AP116" s="179" t="str">
        <f t="array" ref="AP116">IF($F116&lt;&gt;"", XLOOKUP($F116,Productos!$A$2:$A1001,Productos!AI$2:AI1001,"")*$G116,"")</f>
        <v/>
      </c>
      <c r="AQ116" s="179" t="str">
        <f t="array" ref="AQ116">IF($F116&lt;&gt;"",XLOOKUP($F116,Productos!$A:$A,Productos!AJ:AJ,"Revisar"),"")</f>
        <v/>
      </c>
      <c r="AR116" s="179" t="str">
        <f t="array" ref="AR116">IF($F116&lt;&gt;"", XLOOKUP($F116,Productos!$A$2:$A1001,Productos!AK$2:AK1001,"")*$G116,"")</f>
        <v/>
      </c>
      <c r="AS116" s="179" t="str">
        <f t="array" ref="AS116">IF($F116&lt;&gt;"",XLOOKUP($F116,Productos!$A:$A,Productos!AL:AL,"Revisar"),"")</f>
        <v/>
      </c>
      <c r="AT116" s="179" t="str">
        <f t="array" ref="AT116">IF($F116&lt;&gt;"", XLOOKUP($F116,Productos!$A$2:$A1001,Productos!AM$2:AM1001,"")*$G116,"")</f>
        <v/>
      </c>
      <c r="AU116" s="179" t="str">
        <f t="array" ref="AU116">IF($F116&lt;&gt;"",XLOOKUP($F116,Productos!$A:$A,Productos!AN:AN,"Revisar"),"")</f>
        <v/>
      </c>
      <c r="AV116" s="179" t="str">
        <f t="array" ref="AV116">IF($F116&lt;&gt;"", XLOOKUP($F116,Productos!$A$2:$A1001,Productos!AO$2:AO1001,"")*$G116,"")</f>
        <v/>
      </c>
      <c r="AW116" s="179" t="str">
        <f t="array" ref="AW116">IF($F116&lt;&gt;"",XLOOKUP($F116,Productos!$A:$A,Productos!AP:AP,"Revisar"),"")</f>
        <v/>
      </c>
      <c r="AX116" s="179" t="str">
        <f t="array" ref="AX116">IF($F116&lt;&gt;"", XLOOKUP($F116,Productos!$A$2:$A1001,Productos!AQ$2:AQ1001,"")*$G116,"")</f>
        <v/>
      </c>
      <c r="AY116" s="179" t="str">
        <f t="array" ref="AY116">IF($F116&lt;&gt;"",XLOOKUP($F116,Productos!$A:$A,Productos!AR:AR,"Revisar"),"")</f>
        <v/>
      </c>
      <c r="AZ116" s="179" t="str">
        <f t="array" ref="AZ116">IF($F116&lt;&gt;"", XLOOKUP($F116,Productos!$A$2:$A1001,Productos!AS$2:AS1001,"")*$G116,"")</f>
        <v/>
      </c>
      <c r="BA116" s="179" t="str">
        <f t="array" ref="BA116">IF($F116&lt;&gt;"",XLOOKUP($F116,Productos!$A:$A,Productos!AT:AT,"Revisar"),"")</f>
        <v/>
      </c>
      <c r="BB116" s="179" t="str">
        <f t="array" ref="BB116">IF($F116&lt;&gt;"", XLOOKUP($F116,Productos!$A$2:$A1001,Productos!AU$2:AU1001,"")*$G116,"")</f>
        <v/>
      </c>
      <c r="BC116" s="179" t="str">
        <f t="array" ref="BC116">IF($F116&lt;&gt;"",XLOOKUP($F116,Productos!$A:$A,Productos!AV:AV,"Revisar"),"")</f>
        <v/>
      </c>
      <c r="BD116" s="179" t="str">
        <f t="array" ref="BD116">IF($F116&lt;&gt;"", XLOOKUP($F116,Productos!$A$2:$A1001,Productos!AW$2:AW1001,"")*$G116,"")</f>
        <v/>
      </c>
      <c r="BE116" s="179" t="str">
        <f t="array" ref="BE116">IF($F116&lt;&gt;"",XLOOKUP($F116,Productos!$A:$A,Productos!AX:AX,"Revisar"),"")</f>
        <v/>
      </c>
      <c r="BF116" s="179" t="str">
        <f t="array" ref="BF116">IF($F116&lt;&gt;"", XLOOKUP($F116,Productos!$A$2:$A1001,Productos!AY$2:AY1001,"")*$G116,"")</f>
        <v/>
      </c>
      <c r="BG116" s="179" t="str">
        <f t="array" ref="BG116">IF($F116&lt;&gt;"",XLOOKUP($F116,Productos!$A:$A,Productos!AZ:AZ,"Revisar"),"")</f>
        <v/>
      </c>
      <c r="BH116" s="179" t="str">
        <f t="array" ref="BH116">IF($F116&lt;&gt;"", XLOOKUP($F116,Productos!$A$2:$A1001,Productos!BA$2:BA1001,"")*$G116,"")</f>
        <v/>
      </c>
      <c r="BI116" s="179" t="str">
        <f t="array" ref="BI116">IF($F116&lt;&gt;"",XLOOKUP($F116,Productos!$A:$A,Productos!BB:BB,"Revisar"),"")</f>
        <v/>
      </c>
      <c r="BJ116" s="179" t="str">
        <f t="array" ref="BJ116">IF($F116&lt;&gt;"", XLOOKUP($F116,Productos!$A$2:$A1001,Productos!BC$2:BC1001,"")*$G116,"")</f>
        <v/>
      </c>
      <c r="BK116" s="179" t="str">
        <f t="array" ref="BK116">IF($F116&lt;&gt;"",XLOOKUP($F116,Productos!$A:$A,Productos!BD:BD,"Revisar"),"")</f>
        <v/>
      </c>
      <c r="BL116" s="179" t="str">
        <f t="array" ref="BL116">IF($F116&lt;&gt;"", XLOOKUP($F116,Productos!$A$2:$A1001,Productos!BE$2:BE1001,"")*$G116,"")</f>
        <v/>
      </c>
      <c r="BM116" s="179" t="str">
        <f t="array" ref="BM116">IF($F116&lt;&gt;"",XLOOKUP($F116,Productos!$A:$A,Productos!BF:BF,"Revisar"),"")</f>
        <v/>
      </c>
      <c r="BN116" s="179" t="str">
        <f t="array" ref="BN116">IF($F116&lt;&gt;"", XLOOKUP($F116,Productos!$A$2:$A1001,Productos!BG$2:BG1001,"")*$G116,"")</f>
        <v/>
      </c>
      <c r="BO116" s="179" t="str">
        <f t="array" ref="BO116">IF($F116&lt;&gt;"",XLOOKUP($F116,Productos!$A:$A,Productos!BH:BH,"Revisar"),"")</f>
        <v/>
      </c>
      <c r="BP116" s="179" t="str">
        <f t="array" ref="BP116">IF($F116&lt;&gt;"", XLOOKUP($F116,Productos!$A$2:$A1001,Productos!BI$2:BI1001,"")*$G116,"")</f>
        <v/>
      </c>
      <c r="BQ116" s="179" t="str">
        <f t="array" ref="BQ116">IF($F116&lt;&gt;"",XLOOKUP($F116,Productos!$A:$A,Productos!BJ:BJ,"Revisar"),"")</f>
        <v/>
      </c>
      <c r="BR116" s="179" t="str">
        <f t="array" ref="BR116">IF($F116&lt;&gt;"", XLOOKUP($F116,Productos!$A$2:$A1001,Productos!BK$2:BK1001,"")*$G116,"")</f>
        <v/>
      </c>
      <c r="BS116" s="179" t="str">
        <f t="array" ref="BS116">IF($F116&lt;&gt;"",XLOOKUP($F116,Productos!$A:$A,Productos!BL:BL,"Revisar"),"")</f>
        <v/>
      </c>
      <c r="BT116" s="179" t="str">
        <f t="array" ref="BT116">IF($F116&lt;&gt;"", XLOOKUP($F116,Productos!$A$2:$A1001,Productos!BM$2:BM1001,"")*$G116,"")</f>
        <v/>
      </c>
      <c r="BU116" s="179" t="str">
        <f t="array" ref="BU116">IF($F116&lt;&gt;"",XLOOKUP($F116,Productos!$A:$A,Productos!BN:BN,"Revisar"),"")</f>
        <v/>
      </c>
      <c r="BV116" s="179" t="str">
        <f t="array" ref="BV116">IF($F116&lt;&gt;"", XLOOKUP($F116,Productos!$A$2:$A1001,Productos!BO$2:BO1001,"")*$G116,"")</f>
        <v/>
      </c>
      <c r="BW116" s="179" t="str">
        <f t="array" ref="BW116">IF($F116&lt;&gt;"",XLOOKUP($F116,Productos!$A:$A,Productos!BP:BP,"Revisar"),"")</f>
        <v/>
      </c>
      <c r="BX116" s="179" t="str">
        <f t="array" ref="BX116">IF($F116&lt;&gt;"", XLOOKUP($F116,Productos!$A$2:$A1001,Productos!BQ$2:BQ1001,"")*$G116,"")</f>
        <v/>
      </c>
      <c r="BY116" s="179" t="str">
        <f t="array" ref="BY116">IF($F116&lt;&gt;"",XLOOKUP($F116,Productos!$A:$A,Productos!BR:BR,"Revisar"),"")</f>
        <v/>
      </c>
      <c r="BZ116" s="179" t="str">
        <f t="array" ref="BZ116">IF($F116&lt;&gt;"", XLOOKUP($F116,Productos!$A$2:$A1001,Productos!BS$2:BS1001,"")*$G116,"")</f>
        <v/>
      </c>
    </row>
    <row r="117">
      <c r="A117" s="180"/>
      <c r="B117" s="181"/>
      <c r="C117" s="182"/>
      <c r="D117" s="182"/>
      <c r="E117" s="185"/>
      <c r="F117" s="186"/>
      <c r="G117" s="187"/>
      <c r="H117" s="186"/>
      <c r="I117" s="179" t="str">
        <f t="array" ref="I117">IF($F117&lt;&gt;"",XLOOKUP($F117,Productos!$A:$A,Productos!B:B,"Revisar"),"")</f>
        <v/>
      </c>
      <c r="J117" s="179" t="str">
        <f t="array" ref="J117">IF($F117&lt;&gt;"", XLOOKUP($F117,Productos!$A$2:$A1001,Productos!C$2:C1001,"")*$G117,"")</f>
        <v/>
      </c>
      <c r="K117" s="179" t="str">
        <f t="array" ref="K117">IF($F117&lt;&gt;"",XLOOKUP($F117,Productos!$A:$A,Productos!D:D,"Revisar"),"")</f>
        <v/>
      </c>
      <c r="L117" s="179" t="str">
        <f t="array" ref="L117">IF($F117&lt;&gt;"", XLOOKUP($F117,Productos!$A$2:$A1001,Productos!E$2:E1001,"")*$G117,"")</f>
        <v/>
      </c>
      <c r="M117" s="179" t="str">
        <f t="array" ref="M117">IF($F117&lt;&gt;"",XLOOKUP($F117,Productos!$A:$A,Productos!F:F,"Revisar"),"")</f>
        <v/>
      </c>
      <c r="N117" s="179" t="str">
        <f t="array" ref="N117">IF($F117&lt;&gt;"", XLOOKUP($F117,Productos!$A$2:$A1001,Productos!G$2:G1001,"")*$G117,"")</f>
        <v/>
      </c>
      <c r="O117" s="179" t="str">
        <f t="array" ref="O117">IF($F117&lt;&gt;"",XLOOKUP($F117,Productos!$A:$A,Productos!H:H,"Revisar"),"")</f>
        <v/>
      </c>
      <c r="P117" s="179" t="str">
        <f t="array" ref="P117">IF($F117&lt;&gt;"", XLOOKUP($F117,Productos!$A$2:$A1001,Productos!I$2:I1001,"")*$G117,"")</f>
        <v/>
      </c>
      <c r="Q117" s="179" t="str">
        <f t="array" ref="Q117">IF($F117&lt;&gt;"",XLOOKUP($F117,Productos!$A:$A,Productos!J:J,"Revisar"),"")</f>
        <v/>
      </c>
      <c r="R117" s="179" t="str">
        <f t="array" ref="R117">IF($F117&lt;&gt;"", XLOOKUP($F117,Productos!$A$2:$A1001,Productos!K$2:K1001,"")*$G117,"")</f>
        <v/>
      </c>
      <c r="S117" s="179" t="str">
        <f t="array" ref="S117">IF($F117&lt;&gt;"",XLOOKUP($F117,Productos!$A:$A,Productos!L:L,"Revisar"),"")</f>
        <v/>
      </c>
      <c r="T117" s="179" t="str">
        <f t="array" ref="T117">IF($F117&lt;&gt;"", XLOOKUP($F117,Productos!$A$2:$A1001,Productos!M$2:M1001,"")*$G117,"")</f>
        <v/>
      </c>
      <c r="U117" s="179" t="str">
        <f t="array" ref="U117">IF($F117&lt;&gt;"",XLOOKUP($F117,Productos!$A:$A,Productos!N:N,"Revisar"),"")</f>
        <v/>
      </c>
      <c r="V117" s="179" t="str">
        <f t="array" ref="V117">IF($F117&lt;&gt;"", XLOOKUP($F117,Productos!$A$2:$A1001,Productos!O$2:O1001,"")*$G117,"")</f>
        <v/>
      </c>
      <c r="W117" s="179" t="str">
        <f t="array" ref="W117">IF($F117&lt;&gt;"",XLOOKUP($F117,Productos!$A:$A,Productos!P:P,"Revisar"),"")</f>
        <v/>
      </c>
      <c r="X117" s="179" t="str">
        <f t="array" ref="X117">IF($F117&lt;&gt;"", XLOOKUP($F117,Productos!$A$2:$A1001,Productos!Q$2:Q1001,"")*$G117,"")</f>
        <v/>
      </c>
      <c r="Y117" s="179" t="str">
        <f t="array" ref="Y117">IF($F117&lt;&gt;"",XLOOKUP($F117,Productos!$A:$A,Productos!R:R,"Revisar"),"")</f>
        <v/>
      </c>
      <c r="Z117" s="179" t="str">
        <f t="array" ref="Z117">IF($F117&lt;&gt;"", XLOOKUP($F117,Productos!$A$2:$A1001,Productos!S$2:S1001,"")*$G117,"")</f>
        <v/>
      </c>
      <c r="AA117" s="179" t="str">
        <f t="array" ref="AA117">IF($F117&lt;&gt;"",XLOOKUP($F117,Productos!$A:$A,Productos!T:T,"Revisar"),"")</f>
        <v/>
      </c>
      <c r="AB117" s="179" t="str">
        <f t="array" ref="AB117">IF($F117&lt;&gt;"", XLOOKUP($F117,Productos!$A$2:$A1001,Productos!U$2:U1001,"")*$G117,"")</f>
        <v/>
      </c>
      <c r="AC117" s="179" t="str">
        <f t="array" ref="AC117">IF($F117&lt;&gt;"",XLOOKUP($F117,Productos!$A:$A,Productos!V:V,"Revisar"),"")</f>
        <v/>
      </c>
      <c r="AD117" s="179" t="str">
        <f t="array" ref="AD117">IF($F117&lt;&gt;"", XLOOKUP($F117,Productos!$A$2:$A1001,Productos!W$2:W1001,"")*$G117,"")</f>
        <v/>
      </c>
      <c r="AE117" s="179" t="str">
        <f t="array" ref="AE117">IF($F117&lt;&gt;"",XLOOKUP($F117,Productos!$A:$A,Productos!X:X,"Revisar"),"")</f>
        <v/>
      </c>
      <c r="AF117" s="179" t="str">
        <f t="array" ref="AF117">IF($F117&lt;&gt;"", XLOOKUP($F117,Productos!$A$2:$A1001,Productos!Y$2:Y1001,"")*$G117,"")</f>
        <v/>
      </c>
      <c r="AG117" s="179" t="str">
        <f t="array" ref="AG117">IF($F117&lt;&gt;"",XLOOKUP($F117,Productos!$A:$A,Productos!Z:Z,"Revisar"),"")</f>
        <v/>
      </c>
      <c r="AH117" s="179" t="str">
        <f t="array" ref="AH117">IF($F117&lt;&gt;"", XLOOKUP($F117,Productos!$A$2:$A1001,Productos!AA$2:AA1001,"")*$G117,"")</f>
        <v/>
      </c>
      <c r="AI117" s="179" t="str">
        <f t="array" ref="AI117">IF($F117&lt;&gt;"",XLOOKUP($F117,Productos!$A:$A,Productos!AB:AB,"Revisar"),"")</f>
        <v/>
      </c>
      <c r="AJ117" s="179" t="str">
        <f t="array" ref="AJ117">IF($F117&lt;&gt;"", XLOOKUP($F117,Productos!$A$2:$A1001,Productos!AC$2:AC1001,"")*$G117,"")</f>
        <v/>
      </c>
      <c r="AK117" s="179" t="str">
        <f t="array" ref="AK117">IF($F117&lt;&gt;"",XLOOKUP($F117,Productos!$A:$A,Productos!AD:AD,"Revisar"),"")</f>
        <v/>
      </c>
      <c r="AL117" s="179" t="str">
        <f t="array" ref="AL117">IF($F117&lt;&gt;"", XLOOKUP($F117,Productos!$A$2:$A1001,Productos!AE$2:AE1001,"")*$G117,"")</f>
        <v/>
      </c>
      <c r="AM117" s="179" t="str">
        <f t="array" ref="AM117">IF($F117&lt;&gt;"",XLOOKUP($F117,Productos!$A:$A,Productos!AF:AF,"Revisar"),"")</f>
        <v/>
      </c>
      <c r="AN117" s="179" t="str">
        <f t="array" ref="AN117">IF($F117&lt;&gt;"", XLOOKUP($F117,Productos!$A$2:$A1001,Productos!AG$2:AG1001,"")*$G117,"")</f>
        <v/>
      </c>
      <c r="AO117" s="179" t="str">
        <f t="array" ref="AO117">IF($F117&lt;&gt;"",XLOOKUP($F117,Productos!$A:$A,Productos!AH:AH,"Revisar"),"")</f>
        <v/>
      </c>
      <c r="AP117" s="179" t="str">
        <f t="array" ref="AP117">IF($F117&lt;&gt;"", XLOOKUP($F117,Productos!$A$2:$A1001,Productos!AI$2:AI1001,"")*$G117,"")</f>
        <v/>
      </c>
      <c r="AQ117" s="179" t="str">
        <f t="array" ref="AQ117">IF($F117&lt;&gt;"",XLOOKUP($F117,Productos!$A:$A,Productos!AJ:AJ,"Revisar"),"")</f>
        <v/>
      </c>
      <c r="AR117" s="179" t="str">
        <f t="array" ref="AR117">IF($F117&lt;&gt;"", XLOOKUP($F117,Productos!$A$2:$A1001,Productos!AK$2:AK1001,"")*$G117,"")</f>
        <v/>
      </c>
      <c r="AS117" s="179" t="str">
        <f t="array" ref="AS117">IF($F117&lt;&gt;"",XLOOKUP($F117,Productos!$A:$A,Productos!AL:AL,"Revisar"),"")</f>
        <v/>
      </c>
      <c r="AT117" s="179" t="str">
        <f t="array" ref="AT117">IF($F117&lt;&gt;"", XLOOKUP($F117,Productos!$A$2:$A1001,Productos!AM$2:AM1001,"")*$G117,"")</f>
        <v/>
      </c>
      <c r="AU117" s="179" t="str">
        <f t="array" ref="AU117">IF($F117&lt;&gt;"",XLOOKUP($F117,Productos!$A:$A,Productos!AN:AN,"Revisar"),"")</f>
        <v/>
      </c>
      <c r="AV117" s="179" t="str">
        <f t="array" ref="AV117">IF($F117&lt;&gt;"", XLOOKUP($F117,Productos!$A$2:$A1001,Productos!AO$2:AO1001,"")*$G117,"")</f>
        <v/>
      </c>
      <c r="AW117" s="179" t="str">
        <f t="array" ref="AW117">IF($F117&lt;&gt;"",XLOOKUP($F117,Productos!$A:$A,Productos!AP:AP,"Revisar"),"")</f>
        <v/>
      </c>
      <c r="AX117" s="179" t="str">
        <f t="array" ref="AX117">IF($F117&lt;&gt;"", XLOOKUP($F117,Productos!$A$2:$A1001,Productos!AQ$2:AQ1001,"")*$G117,"")</f>
        <v/>
      </c>
      <c r="AY117" s="179" t="str">
        <f t="array" ref="AY117">IF($F117&lt;&gt;"",XLOOKUP($F117,Productos!$A:$A,Productos!AR:AR,"Revisar"),"")</f>
        <v/>
      </c>
      <c r="AZ117" s="179" t="str">
        <f t="array" ref="AZ117">IF($F117&lt;&gt;"", XLOOKUP($F117,Productos!$A$2:$A1001,Productos!AS$2:AS1001,"")*$G117,"")</f>
        <v/>
      </c>
      <c r="BA117" s="179" t="str">
        <f t="array" ref="BA117">IF($F117&lt;&gt;"",XLOOKUP($F117,Productos!$A:$A,Productos!AT:AT,"Revisar"),"")</f>
        <v/>
      </c>
      <c r="BB117" s="179" t="str">
        <f t="array" ref="BB117">IF($F117&lt;&gt;"", XLOOKUP($F117,Productos!$A$2:$A1001,Productos!AU$2:AU1001,"")*$G117,"")</f>
        <v/>
      </c>
      <c r="BC117" s="179" t="str">
        <f t="array" ref="BC117">IF($F117&lt;&gt;"",XLOOKUP($F117,Productos!$A:$A,Productos!AV:AV,"Revisar"),"")</f>
        <v/>
      </c>
      <c r="BD117" s="179" t="str">
        <f t="array" ref="BD117">IF($F117&lt;&gt;"", XLOOKUP($F117,Productos!$A$2:$A1001,Productos!AW$2:AW1001,"")*$G117,"")</f>
        <v/>
      </c>
      <c r="BE117" s="179" t="str">
        <f t="array" ref="BE117">IF($F117&lt;&gt;"",XLOOKUP($F117,Productos!$A:$A,Productos!AX:AX,"Revisar"),"")</f>
        <v/>
      </c>
      <c r="BF117" s="179" t="str">
        <f t="array" ref="BF117">IF($F117&lt;&gt;"", XLOOKUP($F117,Productos!$A$2:$A1001,Productos!AY$2:AY1001,"")*$G117,"")</f>
        <v/>
      </c>
      <c r="BG117" s="179" t="str">
        <f t="array" ref="BG117">IF($F117&lt;&gt;"",XLOOKUP($F117,Productos!$A:$A,Productos!AZ:AZ,"Revisar"),"")</f>
        <v/>
      </c>
      <c r="BH117" s="179" t="str">
        <f t="array" ref="BH117">IF($F117&lt;&gt;"", XLOOKUP($F117,Productos!$A$2:$A1001,Productos!BA$2:BA1001,"")*$G117,"")</f>
        <v/>
      </c>
      <c r="BI117" s="179" t="str">
        <f t="array" ref="BI117">IF($F117&lt;&gt;"",XLOOKUP($F117,Productos!$A:$A,Productos!BB:BB,"Revisar"),"")</f>
        <v/>
      </c>
      <c r="BJ117" s="179" t="str">
        <f t="array" ref="BJ117">IF($F117&lt;&gt;"", XLOOKUP($F117,Productos!$A$2:$A1001,Productos!BC$2:BC1001,"")*$G117,"")</f>
        <v/>
      </c>
      <c r="BK117" s="179" t="str">
        <f t="array" ref="BK117">IF($F117&lt;&gt;"",XLOOKUP($F117,Productos!$A:$A,Productos!BD:BD,"Revisar"),"")</f>
        <v/>
      </c>
      <c r="BL117" s="179" t="str">
        <f t="array" ref="BL117">IF($F117&lt;&gt;"", XLOOKUP($F117,Productos!$A$2:$A1001,Productos!BE$2:BE1001,"")*$G117,"")</f>
        <v/>
      </c>
      <c r="BM117" s="179" t="str">
        <f t="array" ref="BM117">IF($F117&lt;&gt;"",XLOOKUP($F117,Productos!$A:$A,Productos!BF:BF,"Revisar"),"")</f>
        <v/>
      </c>
      <c r="BN117" s="179" t="str">
        <f t="array" ref="BN117">IF($F117&lt;&gt;"", XLOOKUP($F117,Productos!$A$2:$A1001,Productos!BG$2:BG1001,"")*$G117,"")</f>
        <v/>
      </c>
      <c r="BO117" s="179" t="str">
        <f t="array" ref="BO117">IF($F117&lt;&gt;"",XLOOKUP($F117,Productos!$A:$A,Productos!BH:BH,"Revisar"),"")</f>
        <v/>
      </c>
      <c r="BP117" s="179" t="str">
        <f t="array" ref="BP117">IF($F117&lt;&gt;"", XLOOKUP($F117,Productos!$A$2:$A1001,Productos!BI$2:BI1001,"")*$G117,"")</f>
        <v/>
      </c>
      <c r="BQ117" s="179" t="str">
        <f t="array" ref="BQ117">IF($F117&lt;&gt;"",XLOOKUP($F117,Productos!$A:$A,Productos!BJ:BJ,"Revisar"),"")</f>
        <v/>
      </c>
      <c r="BR117" s="179" t="str">
        <f t="array" ref="BR117">IF($F117&lt;&gt;"", XLOOKUP($F117,Productos!$A$2:$A1001,Productos!BK$2:BK1001,"")*$G117,"")</f>
        <v/>
      </c>
      <c r="BS117" s="179" t="str">
        <f t="array" ref="BS117">IF($F117&lt;&gt;"",XLOOKUP($F117,Productos!$A:$A,Productos!BL:BL,"Revisar"),"")</f>
        <v/>
      </c>
      <c r="BT117" s="179" t="str">
        <f t="array" ref="BT117">IF($F117&lt;&gt;"", XLOOKUP($F117,Productos!$A$2:$A1001,Productos!BM$2:BM1001,"")*$G117,"")</f>
        <v/>
      </c>
      <c r="BU117" s="179" t="str">
        <f t="array" ref="BU117">IF($F117&lt;&gt;"",XLOOKUP($F117,Productos!$A:$A,Productos!BN:BN,"Revisar"),"")</f>
        <v/>
      </c>
      <c r="BV117" s="179" t="str">
        <f t="array" ref="BV117">IF($F117&lt;&gt;"", XLOOKUP($F117,Productos!$A$2:$A1001,Productos!BO$2:BO1001,"")*$G117,"")</f>
        <v/>
      </c>
      <c r="BW117" s="179" t="str">
        <f t="array" ref="BW117">IF($F117&lt;&gt;"",XLOOKUP($F117,Productos!$A:$A,Productos!BP:BP,"Revisar"),"")</f>
        <v/>
      </c>
      <c r="BX117" s="179" t="str">
        <f t="array" ref="BX117">IF($F117&lt;&gt;"", XLOOKUP($F117,Productos!$A$2:$A1001,Productos!BQ$2:BQ1001,"")*$G117,"")</f>
        <v/>
      </c>
      <c r="BY117" s="179" t="str">
        <f t="array" ref="BY117">IF($F117&lt;&gt;"",XLOOKUP($F117,Productos!$A:$A,Productos!BR:BR,"Revisar"),"")</f>
        <v/>
      </c>
      <c r="BZ117" s="179" t="str">
        <f t="array" ref="BZ117">IF($F117&lt;&gt;"", XLOOKUP($F117,Productos!$A$2:$A1001,Productos!BS$2:BS1001,"")*$G117,"")</f>
        <v/>
      </c>
    </row>
    <row r="118">
      <c r="A118" s="180"/>
      <c r="B118" s="181"/>
      <c r="C118" s="182"/>
      <c r="D118" s="182"/>
      <c r="E118" s="185"/>
      <c r="F118" s="186"/>
      <c r="G118" s="187"/>
      <c r="H118" s="186"/>
      <c r="I118" s="179" t="str">
        <f t="array" ref="I118">IF($F118&lt;&gt;"",XLOOKUP($F118,Productos!$A:$A,Productos!B:B,"Revisar"),"")</f>
        <v/>
      </c>
      <c r="J118" s="179" t="str">
        <f t="array" ref="J118">IF($F118&lt;&gt;"", XLOOKUP($F118,Productos!$A$2:$A1001,Productos!C$2:C1001,"")*$G118,"")</f>
        <v/>
      </c>
      <c r="K118" s="179" t="str">
        <f t="array" ref="K118">IF($F118&lt;&gt;"",XLOOKUP($F118,Productos!$A:$A,Productos!D:D,"Revisar"),"")</f>
        <v/>
      </c>
      <c r="L118" s="179" t="str">
        <f t="array" ref="L118">IF($F118&lt;&gt;"", XLOOKUP($F118,Productos!$A$2:$A1001,Productos!E$2:E1001,"")*$G118,"")</f>
        <v/>
      </c>
      <c r="M118" s="179" t="str">
        <f t="array" ref="M118">IF($F118&lt;&gt;"",XLOOKUP($F118,Productos!$A:$A,Productos!F:F,"Revisar"),"")</f>
        <v/>
      </c>
      <c r="N118" s="179" t="str">
        <f t="array" ref="N118">IF($F118&lt;&gt;"", XLOOKUP($F118,Productos!$A$2:$A1001,Productos!G$2:G1001,"")*$G118,"")</f>
        <v/>
      </c>
      <c r="O118" s="179" t="str">
        <f t="array" ref="O118">IF($F118&lt;&gt;"",XLOOKUP($F118,Productos!$A:$A,Productos!H:H,"Revisar"),"")</f>
        <v/>
      </c>
      <c r="P118" s="179" t="str">
        <f t="array" ref="P118">IF($F118&lt;&gt;"", XLOOKUP($F118,Productos!$A$2:$A1001,Productos!I$2:I1001,"")*$G118,"")</f>
        <v/>
      </c>
      <c r="Q118" s="179" t="str">
        <f t="array" ref="Q118">IF($F118&lt;&gt;"",XLOOKUP($F118,Productos!$A:$A,Productos!J:J,"Revisar"),"")</f>
        <v/>
      </c>
      <c r="R118" s="179" t="str">
        <f t="array" ref="R118">IF($F118&lt;&gt;"", XLOOKUP($F118,Productos!$A$2:$A1001,Productos!K$2:K1001,"")*$G118,"")</f>
        <v/>
      </c>
      <c r="S118" s="179" t="str">
        <f t="array" ref="S118">IF($F118&lt;&gt;"",XLOOKUP($F118,Productos!$A:$A,Productos!L:L,"Revisar"),"")</f>
        <v/>
      </c>
      <c r="T118" s="179" t="str">
        <f t="array" ref="T118">IF($F118&lt;&gt;"", XLOOKUP($F118,Productos!$A$2:$A1001,Productos!M$2:M1001,"")*$G118,"")</f>
        <v/>
      </c>
      <c r="U118" s="179" t="str">
        <f t="array" ref="U118">IF($F118&lt;&gt;"",XLOOKUP($F118,Productos!$A:$A,Productos!N:N,"Revisar"),"")</f>
        <v/>
      </c>
      <c r="V118" s="179" t="str">
        <f t="array" ref="V118">IF($F118&lt;&gt;"", XLOOKUP($F118,Productos!$A$2:$A1001,Productos!O$2:O1001,"")*$G118,"")</f>
        <v/>
      </c>
      <c r="W118" s="179" t="str">
        <f t="array" ref="W118">IF($F118&lt;&gt;"",XLOOKUP($F118,Productos!$A:$A,Productos!P:P,"Revisar"),"")</f>
        <v/>
      </c>
      <c r="X118" s="179" t="str">
        <f t="array" ref="X118">IF($F118&lt;&gt;"", XLOOKUP($F118,Productos!$A$2:$A1001,Productos!Q$2:Q1001,"")*$G118,"")</f>
        <v/>
      </c>
      <c r="Y118" s="179" t="str">
        <f t="array" ref="Y118">IF($F118&lt;&gt;"",XLOOKUP($F118,Productos!$A:$A,Productos!R:R,"Revisar"),"")</f>
        <v/>
      </c>
      <c r="Z118" s="179" t="str">
        <f t="array" ref="Z118">IF($F118&lt;&gt;"", XLOOKUP($F118,Productos!$A$2:$A1001,Productos!S$2:S1001,"")*$G118,"")</f>
        <v/>
      </c>
      <c r="AA118" s="179" t="str">
        <f t="array" ref="AA118">IF($F118&lt;&gt;"",XLOOKUP($F118,Productos!$A:$A,Productos!T:T,"Revisar"),"")</f>
        <v/>
      </c>
      <c r="AB118" s="179" t="str">
        <f t="array" ref="AB118">IF($F118&lt;&gt;"", XLOOKUP($F118,Productos!$A$2:$A1001,Productos!U$2:U1001,"")*$G118,"")</f>
        <v/>
      </c>
      <c r="AC118" s="179" t="str">
        <f t="array" ref="AC118">IF($F118&lt;&gt;"",XLOOKUP($F118,Productos!$A:$A,Productos!V:V,"Revisar"),"")</f>
        <v/>
      </c>
      <c r="AD118" s="179" t="str">
        <f t="array" ref="AD118">IF($F118&lt;&gt;"", XLOOKUP($F118,Productos!$A$2:$A1001,Productos!W$2:W1001,"")*$G118,"")</f>
        <v/>
      </c>
      <c r="AE118" s="179" t="str">
        <f t="array" ref="AE118">IF($F118&lt;&gt;"",XLOOKUP($F118,Productos!$A:$A,Productos!X:X,"Revisar"),"")</f>
        <v/>
      </c>
      <c r="AF118" s="179" t="str">
        <f t="array" ref="AF118">IF($F118&lt;&gt;"", XLOOKUP($F118,Productos!$A$2:$A1001,Productos!Y$2:Y1001,"")*$G118,"")</f>
        <v/>
      </c>
      <c r="AG118" s="179" t="str">
        <f t="array" ref="AG118">IF($F118&lt;&gt;"",XLOOKUP($F118,Productos!$A:$A,Productos!Z:Z,"Revisar"),"")</f>
        <v/>
      </c>
      <c r="AH118" s="179" t="str">
        <f t="array" ref="AH118">IF($F118&lt;&gt;"", XLOOKUP($F118,Productos!$A$2:$A1001,Productos!AA$2:AA1001,"")*$G118,"")</f>
        <v/>
      </c>
      <c r="AI118" s="179" t="str">
        <f t="array" ref="AI118">IF($F118&lt;&gt;"",XLOOKUP($F118,Productos!$A:$A,Productos!AB:AB,"Revisar"),"")</f>
        <v/>
      </c>
      <c r="AJ118" s="179" t="str">
        <f t="array" ref="AJ118">IF($F118&lt;&gt;"", XLOOKUP($F118,Productos!$A$2:$A1001,Productos!AC$2:AC1001,"")*$G118,"")</f>
        <v/>
      </c>
      <c r="AK118" s="179" t="str">
        <f t="array" ref="AK118">IF($F118&lt;&gt;"",XLOOKUP($F118,Productos!$A:$A,Productos!AD:AD,"Revisar"),"")</f>
        <v/>
      </c>
      <c r="AL118" s="179" t="str">
        <f t="array" ref="AL118">IF($F118&lt;&gt;"", XLOOKUP($F118,Productos!$A$2:$A1001,Productos!AE$2:AE1001,"")*$G118,"")</f>
        <v/>
      </c>
      <c r="AM118" s="179" t="str">
        <f t="array" ref="AM118">IF($F118&lt;&gt;"",XLOOKUP($F118,Productos!$A:$A,Productos!AF:AF,"Revisar"),"")</f>
        <v/>
      </c>
      <c r="AN118" s="179" t="str">
        <f t="array" ref="AN118">IF($F118&lt;&gt;"", XLOOKUP($F118,Productos!$A$2:$A1001,Productos!AG$2:AG1001,"")*$G118,"")</f>
        <v/>
      </c>
      <c r="AO118" s="179" t="str">
        <f t="array" ref="AO118">IF($F118&lt;&gt;"",XLOOKUP($F118,Productos!$A:$A,Productos!AH:AH,"Revisar"),"")</f>
        <v/>
      </c>
      <c r="AP118" s="179" t="str">
        <f t="array" ref="AP118">IF($F118&lt;&gt;"", XLOOKUP($F118,Productos!$A$2:$A1001,Productos!AI$2:AI1001,"")*$G118,"")</f>
        <v/>
      </c>
      <c r="AQ118" s="179" t="str">
        <f t="array" ref="AQ118">IF($F118&lt;&gt;"",XLOOKUP($F118,Productos!$A:$A,Productos!AJ:AJ,"Revisar"),"")</f>
        <v/>
      </c>
      <c r="AR118" s="179" t="str">
        <f t="array" ref="AR118">IF($F118&lt;&gt;"", XLOOKUP($F118,Productos!$A$2:$A1001,Productos!AK$2:AK1001,"")*$G118,"")</f>
        <v/>
      </c>
      <c r="AS118" s="179" t="str">
        <f t="array" ref="AS118">IF($F118&lt;&gt;"",XLOOKUP($F118,Productos!$A:$A,Productos!AL:AL,"Revisar"),"")</f>
        <v/>
      </c>
      <c r="AT118" s="179" t="str">
        <f t="array" ref="AT118">IF($F118&lt;&gt;"", XLOOKUP($F118,Productos!$A$2:$A1001,Productos!AM$2:AM1001,"")*$G118,"")</f>
        <v/>
      </c>
      <c r="AU118" s="179" t="str">
        <f t="array" ref="AU118">IF($F118&lt;&gt;"",XLOOKUP($F118,Productos!$A:$A,Productos!AN:AN,"Revisar"),"")</f>
        <v/>
      </c>
      <c r="AV118" s="179" t="str">
        <f t="array" ref="AV118">IF($F118&lt;&gt;"", XLOOKUP($F118,Productos!$A$2:$A1001,Productos!AO$2:AO1001,"")*$G118,"")</f>
        <v/>
      </c>
      <c r="AW118" s="179" t="str">
        <f t="array" ref="AW118">IF($F118&lt;&gt;"",XLOOKUP($F118,Productos!$A:$A,Productos!AP:AP,"Revisar"),"")</f>
        <v/>
      </c>
      <c r="AX118" s="179" t="str">
        <f t="array" ref="AX118">IF($F118&lt;&gt;"", XLOOKUP($F118,Productos!$A$2:$A1001,Productos!AQ$2:AQ1001,"")*$G118,"")</f>
        <v/>
      </c>
      <c r="AY118" s="179" t="str">
        <f t="array" ref="AY118">IF($F118&lt;&gt;"",XLOOKUP($F118,Productos!$A:$A,Productos!AR:AR,"Revisar"),"")</f>
        <v/>
      </c>
      <c r="AZ118" s="179" t="str">
        <f t="array" ref="AZ118">IF($F118&lt;&gt;"", XLOOKUP($F118,Productos!$A$2:$A1001,Productos!AS$2:AS1001,"")*$G118,"")</f>
        <v/>
      </c>
      <c r="BA118" s="179" t="str">
        <f t="array" ref="BA118">IF($F118&lt;&gt;"",XLOOKUP($F118,Productos!$A:$A,Productos!AT:AT,"Revisar"),"")</f>
        <v/>
      </c>
      <c r="BB118" s="179" t="str">
        <f t="array" ref="BB118">IF($F118&lt;&gt;"", XLOOKUP($F118,Productos!$A$2:$A1001,Productos!AU$2:AU1001,"")*$G118,"")</f>
        <v/>
      </c>
      <c r="BC118" s="179" t="str">
        <f t="array" ref="BC118">IF($F118&lt;&gt;"",XLOOKUP($F118,Productos!$A:$A,Productos!AV:AV,"Revisar"),"")</f>
        <v/>
      </c>
      <c r="BD118" s="179" t="str">
        <f t="array" ref="BD118">IF($F118&lt;&gt;"", XLOOKUP($F118,Productos!$A$2:$A1001,Productos!AW$2:AW1001,"")*$G118,"")</f>
        <v/>
      </c>
      <c r="BE118" s="179" t="str">
        <f t="array" ref="BE118">IF($F118&lt;&gt;"",XLOOKUP($F118,Productos!$A:$A,Productos!AX:AX,"Revisar"),"")</f>
        <v/>
      </c>
      <c r="BF118" s="179" t="str">
        <f t="array" ref="BF118">IF($F118&lt;&gt;"", XLOOKUP($F118,Productos!$A$2:$A1001,Productos!AY$2:AY1001,"")*$G118,"")</f>
        <v/>
      </c>
      <c r="BG118" s="179" t="str">
        <f t="array" ref="BG118">IF($F118&lt;&gt;"",XLOOKUP($F118,Productos!$A:$A,Productos!AZ:AZ,"Revisar"),"")</f>
        <v/>
      </c>
      <c r="BH118" s="179" t="str">
        <f t="array" ref="BH118">IF($F118&lt;&gt;"", XLOOKUP($F118,Productos!$A$2:$A1001,Productos!BA$2:BA1001,"")*$G118,"")</f>
        <v/>
      </c>
      <c r="BI118" s="179" t="str">
        <f t="array" ref="BI118">IF($F118&lt;&gt;"",XLOOKUP($F118,Productos!$A:$A,Productos!BB:BB,"Revisar"),"")</f>
        <v/>
      </c>
      <c r="BJ118" s="179" t="str">
        <f t="array" ref="BJ118">IF($F118&lt;&gt;"", XLOOKUP($F118,Productos!$A$2:$A1001,Productos!BC$2:BC1001,"")*$G118,"")</f>
        <v/>
      </c>
      <c r="BK118" s="179" t="str">
        <f t="array" ref="BK118">IF($F118&lt;&gt;"",XLOOKUP($F118,Productos!$A:$A,Productos!BD:BD,"Revisar"),"")</f>
        <v/>
      </c>
      <c r="BL118" s="179" t="str">
        <f t="array" ref="BL118">IF($F118&lt;&gt;"", XLOOKUP($F118,Productos!$A$2:$A1001,Productos!BE$2:BE1001,"")*$G118,"")</f>
        <v/>
      </c>
      <c r="BM118" s="179" t="str">
        <f t="array" ref="BM118">IF($F118&lt;&gt;"",XLOOKUP($F118,Productos!$A:$A,Productos!BF:BF,"Revisar"),"")</f>
        <v/>
      </c>
      <c r="BN118" s="179" t="str">
        <f t="array" ref="BN118">IF($F118&lt;&gt;"", XLOOKUP($F118,Productos!$A$2:$A1001,Productos!BG$2:BG1001,"")*$G118,"")</f>
        <v/>
      </c>
      <c r="BO118" s="179" t="str">
        <f t="array" ref="BO118">IF($F118&lt;&gt;"",XLOOKUP($F118,Productos!$A:$A,Productos!BH:BH,"Revisar"),"")</f>
        <v/>
      </c>
      <c r="BP118" s="179" t="str">
        <f t="array" ref="BP118">IF($F118&lt;&gt;"", XLOOKUP($F118,Productos!$A$2:$A1001,Productos!BI$2:BI1001,"")*$G118,"")</f>
        <v/>
      </c>
      <c r="BQ118" s="179" t="str">
        <f t="array" ref="BQ118">IF($F118&lt;&gt;"",XLOOKUP($F118,Productos!$A:$A,Productos!BJ:BJ,"Revisar"),"")</f>
        <v/>
      </c>
      <c r="BR118" s="179" t="str">
        <f t="array" ref="BR118">IF($F118&lt;&gt;"", XLOOKUP($F118,Productos!$A$2:$A1001,Productos!BK$2:BK1001,"")*$G118,"")</f>
        <v/>
      </c>
      <c r="BS118" s="179" t="str">
        <f t="array" ref="BS118">IF($F118&lt;&gt;"",XLOOKUP($F118,Productos!$A:$A,Productos!BL:BL,"Revisar"),"")</f>
        <v/>
      </c>
      <c r="BT118" s="179" t="str">
        <f t="array" ref="BT118">IF($F118&lt;&gt;"", XLOOKUP($F118,Productos!$A$2:$A1001,Productos!BM$2:BM1001,"")*$G118,"")</f>
        <v/>
      </c>
      <c r="BU118" s="179" t="str">
        <f t="array" ref="BU118">IF($F118&lt;&gt;"",XLOOKUP($F118,Productos!$A:$A,Productos!BN:BN,"Revisar"),"")</f>
        <v/>
      </c>
      <c r="BV118" s="179" t="str">
        <f t="array" ref="BV118">IF($F118&lt;&gt;"", XLOOKUP($F118,Productos!$A$2:$A1001,Productos!BO$2:BO1001,"")*$G118,"")</f>
        <v/>
      </c>
      <c r="BW118" s="179" t="str">
        <f t="array" ref="BW118">IF($F118&lt;&gt;"",XLOOKUP($F118,Productos!$A:$A,Productos!BP:BP,"Revisar"),"")</f>
        <v/>
      </c>
      <c r="BX118" s="179" t="str">
        <f t="array" ref="BX118">IF($F118&lt;&gt;"", XLOOKUP($F118,Productos!$A$2:$A1001,Productos!BQ$2:BQ1001,"")*$G118,"")</f>
        <v/>
      </c>
      <c r="BY118" s="179" t="str">
        <f t="array" ref="BY118">IF($F118&lt;&gt;"",XLOOKUP($F118,Productos!$A:$A,Productos!BR:BR,"Revisar"),"")</f>
        <v/>
      </c>
      <c r="BZ118" s="179" t="str">
        <f t="array" ref="BZ118">IF($F118&lt;&gt;"", XLOOKUP($F118,Productos!$A$2:$A1001,Productos!BS$2:BS1001,"")*$G118,"")</f>
        <v/>
      </c>
    </row>
    <row r="119">
      <c r="A119" s="180"/>
      <c r="B119" s="181"/>
      <c r="C119" s="182"/>
      <c r="D119" s="182"/>
      <c r="E119" s="185"/>
      <c r="F119" s="186"/>
      <c r="G119" s="187"/>
      <c r="H119" s="186"/>
      <c r="I119" s="179" t="str">
        <f t="array" ref="I119">IF($F119&lt;&gt;"",XLOOKUP($F119,Productos!$A:$A,Productos!B:B,"Revisar"),"")</f>
        <v/>
      </c>
      <c r="J119" s="179" t="str">
        <f t="array" ref="J119">IF($F119&lt;&gt;"", XLOOKUP($F119,Productos!$A$2:$A1001,Productos!C$2:C1001,"")*$G119,"")</f>
        <v/>
      </c>
      <c r="K119" s="179" t="str">
        <f t="array" ref="K119">IF($F119&lt;&gt;"",XLOOKUP($F119,Productos!$A:$A,Productos!D:D,"Revisar"),"")</f>
        <v/>
      </c>
      <c r="L119" s="179" t="str">
        <f t="array" ref="L119">IF($F119&lt;&gt;"", XLOOKUP($F119,Productos!$A$2:$A1001,Productos!E$2:E1001,"")*$G119,"")</f>
        <v/>
      </c>
      <c r="M119" s="179" t="str">
        <f t="array" ref="M119">IF($F119&lt;&gt;"",XLOOKUP($F119,Productos!$A:$A,Productos!F:F,"Revisar"),"")</f>
        <v/>
      </c>
      <c r="N119" s="179" t="str">
        <f t="array" ref="N119">IF($F119&lt;&gt;"", XLOOKUP($F119,Productos!$A$2:$A1001,Productos!G$2:G1001,"")*$G119,"")</f>
        <v/>
      </c>
      <c r="O119" s="179" t="str">
        <f t="array" ref="O119">IF($F119&lt;&gt;"",XLOOKUP($F119,Productos!$A:$A,Productos!H:H,"Revisar"),"")</f>
        <v/>
      </c>
      <c r="P119" s="179" t="str">
        <f t="array" ref="P119">IF($F119&lt;&gt;"", XLOOKUP($F119,Productos!$A$2:$A1001,Productos!I$2:I1001,"")*$G119,"")</f>
        <v/>
      </c>
      <c r="Q119" s="179" t="str">
        <f t="array" ref="Q119">IF($F119&lt;&gt;"",XLOOKUP($F119,Productos!$A:$A,Productos!J:J,"Revisar"),"")</f>
        <v/>
      </c>
      <c r="R119" s="179" t="str">
        <f t="array" ref="R119">IF($F119&lt;&gt;"", XLOOKUP($F119,Productos!$A$2:$A1001,Productos!K$2:K1001,"")*$G119,"")</f>
        <v/>
      </c>
      <c r="S119" s="179" t="str">
        <f t="array" ref="S119">IF($F119&lt;&gt;"",XLOOKUP($F119,Productos!$A:$A,Productos!L:L,"Revisar"),"")</f>
        <v/>
      </c>
      <c r="T119" s="179" t="str">
        <f t="array" ref="T119">IF($F119&lt;&gt;"", XLOOKUP($F119,Productos!$A$2:$A1001,Productos!M$2:M1001,"")*$G119,"")</f>
        <v/>
      </c>
      <c r="U119" s="179" t="str">
        <f t="array" ref="U119">IF($F119&lt;&gt;"",XLOOKUP($F119,Productos!$A:$A,Productos!N:N,"Revisar"),"")</f>
        <v/>
      </c>
      <c r="V119" s="179" t="str">
        <f t="array" ref="V119">IF($F119&lt;&gt;"", XLOOKUP($F119,Productos!$A$2:$A1001,Productos!O$2:O1001,"")*$G119,"")</f>
        <v/>
      </c>
      <c r="W119" s="179" t="str">
        <f t="array" ref="W119">IF($F119&lt;&gt;"",XLOOKUP($F119,Productos!$A:$A,Productos!P:P,"Revisar"),"")</f>
        <v/>
      </c>
      <c r="X119" s="179" t="str">
        <f t="array" ref="X119">IF($F119&lt;&gt;"", XLOOKUP($F119,Productos!$A$2:$A1001,Productos!Q$2:Q1001,"")*$G119,"")</f>
        <v/>
      </c>
      <c r="Y119" s="179" t="str">
        <f t="array" ref="Y119">IF($F119&lt;&gt;"",XLOOKUP($F119,Productos!$A:$A,Productos!R:R,"Revisar"),"")</f>
        <v/>
      </c>
      <c r="Z119" s="179" t="str">
        <f t="array" ref="Z119">IF($F119&lt;&gt;"", XLOOKUP($F119,Productos!$A$2:$A1001,Productos!S$2:S1001,"")*$G119,"")</f>
        <v/>
      </c>
      <c r="AA119" s="179" t="str">
        <f t="array" ref="AA119">IF($F119&lt;&gt;"",XLOOKUP($F119,Productos!$A:$A,Productos!T:T,"Revisar"),"")</f>
        <v/>
      </c>
      <c r="AB119" s="179" t="str">
        <f t="array" ref="AB119">IF($F119&lt;&gt;"", XLOOKUP($F119,Productos!$A$2:$A1001,Productos!U$2:U1001,"")*$G119,"")</f>
        <v/>
      </c>
      <c r="AC119" s="179" t="str">
        <f t="array" ref="AC119">IF($F119&lt;&gt;"",XLOOKUP($F119,Productos!$A:$A,Productos!V:V,"Revisar"),"")</f>
        <v/>
      </c>
      <c r="AD119" s="179" t="str">
        <f t="array" ref="AD119">IF($F119&lt;&gt;"", XLOOKUP($F119,Productos!$A$2:$A1001,Productos!W$2:W1001,"")*$G119,"")</f>
        <v/>
      </c>
      <c r="AE119" s="179" t="str">
        <f t="array" ref="AE119">IF($F119&lt;&gt;"",XLOOKUP($F119,Productos!$A:$A,Productos!X:X,"Revisar"),"")</f>
        <v/>
      </c>
      <c r="AF119" s="179" t="str">
        <f t="array" ref="AF119">IF($F119&lt;&gt;"", XLOOKUP($F119,Productos!$A$2:$A1001,Productos!Y$2:Y1001,"")*$G119,"")</f>
        <v/>
      </c>
      <c r="AG119" s="179" t="str">
        <f t="array" ref="AG119">IF($F119&lt;&gt;"",XLOOKUP($F119,Productos!$A:$A,Productos!Z:Z,"Revisar"),"")</f>
        <v/>
      </c>
      <c r="AH119" s="179" t="str">
        <f t="array" ref="AH119">IF($F119&lt;&gt;"", XLOOKUP($F119,Productos!$A$2:$A1001,Productos!AA$2:AA1001,"")*$G119,"")</f>
        <v/>
      </c>
      <c r="AI119" s="179" t="str">
        <f t="array" ref="AI119">IF($F119&lt;&gt;"",XLOOKUP($F119,Productos!$A:$A,Productos!AB:AB,"Revisar"),"")</f>
        <v/>
      </c>
      <c r="AJ119" s="179" t="str">
        <f t="array" ref="AJ119">IF($F119&lt;&gt;"", XLOOKUP($F119,Productos!$A$2:$A1001,Productos!AC$2:AC1001,"")*$G119,"")</f>
        <v/>
      </c>
      <c r="AK119" s="179" t="str">
        <f t="array" ref="AK119">IF($F119&lt;&gt;"",XLOOKUP($F119,Productos!$A:$A,Productos!AD:AD,"Revisar"),"")</f>
        <v/>
      </c>
      <c r="AL119" s="179" t="str">
        <f t="array" ref="AL119">IF($F119&lt;&gt;"", XLOOKUP($F119,Productos!$A$2:$A1001,Productos!AE$2:AE1001,"")*$G119,"")</f>
        <v/>
      </c>
      <c r="AM119" s="179" t="str">
        <f t="array" ref="AM119">IF($F119&lt;&gt;"",XLOOKUP($F119,Productos!$A:$A,Productos!AF:AF,"Revisar"),"")</f>
        <v/>
      </c>
      <c r="AN119" s="179" t="str">
        <f t="array" ref="AN119">IF($F119&lt;&gt;"", XLOOKUP($F119,Productos!$A$2:$A1001,Productos!AG$2:AG1001,"")*$G119,"")</f>
        <v/>
      </c>
      <c r="AO119" s="179" t="str">
        <f t="array" ref="AO119">IF($F119&lt;&gt;"",XLOOKUP($F119,Productos!$A:$A,Productos!AH:AH,"Revisar"),"")</f>
        <v/>
      </c>
      <c r="AP119" s="179" t="str">
        <f t="array" ref="AP119">IF($F119&lt;&gt;"", XLOOKUP($F119,Productos!$A$2:$A1001,Productos!AI$2:AI1001,"")*$G119,"")</f>
        <v/>
      </c>
      <c r="AQ119" s="179" t="str">
        <f t="array" ref="AQ119">IF($F119&lt;&gt;"",XLOOKUP($F119,Productos!$A:$A,Productos!AJ:AJ,"Revisar"),"")</f>
        <v/>
      </c>
      <c r="AR119" s="179" t="str">
        <f t="array" ref="AR119">IF($F119&lt;&gt;"", XLOOKUP($F119,Productos!$A$2:$A1001,Productos!AK$2:AK1001,"")*$G119,"")</f>
        <v/>
      </c>
      <c r="AS119" s="179" t="str">
        <f t="array" ref="AS119">IF($F119&lt;&gt;"",XLOOKUP($F119,Productos!$A:$A,Productos!AL:AL,"Revisar"),"")</f>
        <v/>
      </c>
      <c r="AT119" s="179" t="str">
        <f t="array" ref="AT119">IF($F119&lt;&gt;"", XLOOKUP($F119,Productos!$A$2:$A1001,Productos!AM$2:AM1001,"")*$G119,"")</f>
        <v/>
      </c>
      <c r="AU119" s="179" t="str">
        <f t="array" ref="AU119">IF($F119&lt;&gt;"",XLOOKUP($F119,Productos!$A:$A,Productos!AN:AN,"Revisar"),"")</f>
        <v/>
      </c>
      <c r="AV119" s="179" t="str">
        <f t="array" ref="AV119">IF($F119&lt;&gt;"", XLOOKUP($F119,Productos!$A$2:$A1001,Productos!AO$2:AO1001,"")*$G119,"")</f>
        <v/>
      </c>
      <c r="AW119" s="179" t="str">
        <f t="array" ref="AW119">IF($F119&lt;&gt;"",XLOOKUP($F119,Productos!$A:$A,Productos!AP:AP,"Revisar"),"")</f>
        <v/>
      </c>
      <c r="AX119" s="179" t="str">
        <f t="array" ref="AX119">IF($F119&lt;&gt;"", XLOOKUP($F119,Productos!$A$2:$A1001,Productos!AQ$2:AQ1001,"")*$G119,"")</f>
        <v/>
      </c>
      <c r="AY119" s="179" t="str">
        <f t="array" ref="AY119">IF($F119&lt;&gt;"",XLOOKUP($F119,Productos!$A:$A,Productos!AR:AR,"Revisar"),"")</f>
        <v/>
      </c>
      <c r="AZ119" s="179" t="str">
        <f t="array" ref="AZ119">IF($F119&lt;&gt;"", XLOOKUP($F119,Productos!$A$2:$A1001,Productos!AS$2:AS1001,"")*$G119,"")</f>
        <v/>
      </c>
      <c r="BA119" s="179" t="str">
        <f t="array" ref="BA119">IF($F119&lt;&gt;"",XLOOKUP($F119,Productos!$A:$A,Productos!AT:AT,"Revisar"),"")</f>
        <v/>
      </c>
      <c r="BB119" s="179" t="str">
        <f t="array" ref="BB119">IF($F119&lt;&gt;"", XLOOKUP($F119,Productos!$A$2:$A1001,Productos!AU$2:AU1001,"")*$G119,"")</f>
        <v/>
      </c>
      <c r="BC119" s="179" t="str">
        <f t="array" ref="BC119">IF($F119&lt;&gt;"",XLOOKUP($F119,Productos!$A:$A,Productos!AV:AV,"Revisar"),"")</f>
        <v/>
      </c>
      <c r="BD119" s="179" t="str">
        <f t="array" ref="BD119">IF($F119&lt;&gt;"", XLOOKUP($F119,Productos!$A$2:$A1001,Productos!AW$2:AW1001,"")*$G119,"")</f>
        <v/>
      </c>
      <c r="BE119" s="179" t="str">
        <f t="array" ref="BE119">IF($F119&lt;&gt;"",XLOOKUP($F119,Productos!$A:$A,Productos!AX:AX,"Revisar"),"")</f>
        <v/>
      </c>
      <c r="BF119" s="179" t="str">
        <f t="array" ref="BF119">IF($F119&lt;&gt;"", XLOOKUP($F119,Productos!$A$2:$A1001,Productos!AY$2:AY1001,"")*$G119,"")</f>
        <v/>
      </c>
      <c r="BG119" s="179" t="str">
        <f t="array" ref="BG119">IF($F119&lt;&gt;"",XLOOKUP($F119,Productos!$A:$A,Productos!AZ:AZ,"Revisar"),"")</f>
        <v/>
      </c>
      <c r="BH119" s="179" t="str">
        <f t="array" ref="BH119">IF($F119&lt;&gt;"", XLOOKUP($F119,Productos!$A$2:$A1001,Productos!BA$2:BA1001,"")*$G119,"")</f>
        <v/>
      </c>
      <c r="BI119" s="179" t="str">
        <f t="array" ref="BI119">IF($F119&lt;&gt;"",XLOOKUP($F119,Productos!$A:$A,Productos!BB:BB,"Revisar"),"")</f>
        <v/>
      </c>
      <c r="BJ119" s="179" t="str">
        <f t="array" ref="BJ119">IF($F119&lt;&gt;"", XLOOKUP($F119,Productos!$A$2:$A1001,Productos!BC$2:BC1001,"")*$G119,"")</f>
        <v/>
      </c>
      <c r="BK119" s="179" t="str">
        <f t="array" ref="BK119">IF($F119&lt;&gt;"",XLOOKUP($F119,Productos!$A:$A,Productos!BD:BD,"Revisar"),"")</f>
        <v/>
      </c>
      <c r="BL119" s="179" t="str">
        <f t="array" ref="BL119">IF($F119&lt;&gt;"", XLOOKUP($F119,Productos!$A$2:$A1001,Productos!BE$2:BE1001,"")*$G119,"")</f>
        <v/>
      </c>
      <c r="BM119" s="179" t="str">
        <f t="array" ref="BM119">IF($F119&lt;&gt;"",XLOOKUP($F119,Productos!$A:$A,Productos!BF:BF,"Revisar"),"")</f>
        <v/>
      </c>
      <c r="BN119" s="179" t="str">
        <f t="array" ref="BN119">IF($F119&lt;&gt;"", XLOOKUP($F119,Productos!$A$2:$A1001,Productos!BG$2:BG1001,"")*$G119,"")</f>
        <v/>
      </c>
      <c r="BO119" s="179" t="str">
        <f t="array" ref="BO119">IF($F119&lt;&gt;"",XLOOKUP($F119,Productos!$A:$A,Productos!BH:BH,"Revisar"),"")</f>
        <v/>
      </c>
      <c r="BP119" s="179" t="str">
        <f t="array" ref="BP119">IF($F119&lt;&gt;"", XLOOKUP($F119,Productos!$A$2:$A1001,Productos!BI$2:BI1001,"")*$G119,"")</f>
        <v/>
      </c>
      <c r="BQ119" s="179" t="str">
        <f t="array" ref="BQ119">IF($F119&lt;&gt;"",XLOOKUP($F119,Productos!$A:$A,Productos!BJ:BJ,"Revisar"),"")</f>
        <v/>
      </c>
      <c r="BR119" s="179" t="str">
        <f t="array" ref="BR119">IF($F119&lt;&gt;"", XLOOKUP($F119,Productos!$A$2:$A1001,Productos!BK$2:BK1001,"")*$G119,"")</f>
        <v/>
      </c>
      <c r="BS119" s="179" t="str">
        <f t="array" ref="BS119">IF($F119&lt;&gt;"",XLOOKUP($F119,Productos!$A:$A,Productos!BL:BL,"Revisar"),"")</f>
        <v/>
      </c>
      <c r="BT119" s="179" t="str">
        <f t="array" ref="BT119">IF($F119&lt;&gt;"", XLOOKUP($F119,Productos!$A$2:$A1001,Productos!BM$2:BM1001,"")*$G119,"")</f>
        <v/>
      </c>
      <c r="BU119" s="179" t="str">
        <f t="array" ref="BU119">IF($F119&lt;&gt;"",XLOOKUP($F119,Productos!$A:$A,Productos!BN:BN,"Revisar"),"")</f>
        <v/>
      </c>
      <c r="BV119" s="179" t="str">
        <f t="array" ref="BV119">IF($F119&lt;&gt;"", XLOOKUP($F119,Productos!$A$2:$A1001,Productos!BO$2:BO1001,"")*$G119,"")</f>
        <v/>
      </c>
      <c r="BW119" s="179" t="str">
        <f t="array" ref="BW119">IF($F119&lt;&gt;"",XLOOKUP($F119,Productos!$A:$A,Productos!BP:BP,"Revisar"),"")</f>
        <v/>
      </c>
      <c r="BX119" s="179" t="str">
        <f t="array" ref="BX119">IF($F119&lt;&gt;"", XLOOKUP($F119,Productos!$A$2:$A1001,Productos!BQ$2:BQ1001,"")*$G119,"")</f>
        <v/>
      </c>
      <c r="BY119" s="179" t="str">
        <f t="array" ref="BY119">IF($F119&lt;&gt;"",XLOOKUP($F119,Productos!$A:$A,Productos!BR:BR,"Revisar"),"")</f>
        <v/>
      </c>
      <c r="BZ119" s="179" t="str">
        <f t="array" ref="BZ119">IF($F119&lt;&gt;"", XLOOKUP($F119,Productos!$A$2:$A1001,Productos!BS$2:BS1001,"")*$G119,"")</f>
        <v/>
      </c>
    </row>
    <row r="120">
      <c r="A120" s="180"/>
      <c r="B120" s="181"/>
      <c r="C120" s="182"/>
      <c r="D120" s="182"/>
      <c r="E120" s="185"/>
      <c r="F120" s="186"/>
      <c r="G120" s="187"/>
      <c r="H120" s="186"/>
      <c r="I120" s="179" t="str">
        <f t="array" ref="I120">IF($F120&lt;&gt;"",XLOOKUP($F120,Productos!$A:$A,Productos!B:B,"Revisar"),"")</f>
        <v/>
      </c>
      <c r="J120" s="179" t="str">
        <f t="array" ref="J120">IF($F120&lt;&gt;"", XLOOKUP($F120,Productos!$A$2:$A1001,Productos!C$2:C1001,"")*$G120,"")</f>
        <v/>
      </c>
      <c r="K120" s="179" t="str">
        <f t="array" ref="K120">IF($F120&lt;&gt;"",XLOOKUP($F120,Productos!$A:$A,Productos!D:D,"Revisar"),"")</f>
        <v/>
      </c>
      <c r="L120" s="179" t="str">
        <f t="array" ref="L120">IF($F120&lt;&gt;"", XLOOKUP($F120,Productos!$A$2:$A1001,Productos!E$2:E1001,"")*$G120,"")</f>
        <v/>
      </c>
      <c r="M120" s="179" t="str">
        <f t="array" ref="M120">IF($F120&lt;&gt;"",XLOOKUP($F120,Productos!$A:$A,Productos!F:F,"Revisar"),"")</f>
        <v/>
      </c>
      <c r="N120" s="179" t="str">
        <f t="array" ref="N120">IF($F120&lt;&gt;"", XLOOKUP($F120,Productos!$A$2:$A1001,Productos!G$2:G1001,"")*$G120,"")</f>
        <v/>
      </c>
      <c r="O120" s="179" t="str">
        <f t="array" ref="O120">IF($F120&lt;&gt;"",XLOOKUP($F120,Productos!$A:$A,Productos!H:H,"Revisar"),"")</f>
        <v/>
      </c>
      <c r="P120" s="179" t="str">
        <f t="array" ref="P120">IF($F120&lt;&gt;"", XLOOKUP($F120,Productos!$A$2:$A1001,Productos!I$2:I1001,"")*$G120,"")</f>
        <v/>
      </c>
      <c r="Q120" s="179" t="str">
        <f t="array" ref="Q120">IF($F120&lt;&gt;"",XLOOKUP($F120,Productos!$A:$A,Productos!J:J,"Revisar"),"")</f>
        <v/>
      </c>
      <c r="R120" s="179" t="str">
        <f t="array" ref="R120">IF($F120&lt;&gt;"", XLOOKUP($F120,Productos!$A$2:$A1001,Productos!K$2:K1001,"")*$G120,"")</f>
        <v/>
      </c>
      <c r="S120" s="179" t="str">
        <f t="array" ref="S120">IF($F120&lt;&gt;"",XLOOKUP($F120,Productos!$A:$A,Productos!L:L,"Revisar"),"")</f>
        <v/>
      </c>
      <c r="T120" s="179" t="str">
        <f t="array" ref="T120">IF($F120&lt;&gt;"", XLOOKUP($F120,Productos!$A$2:$A1001,Productos!M$2:M1001,"")*$G120,"")</f>
        <v/>
      </c>
      <c r="U120" s="179" t="str">
        <f t="array" ref="U120">IF($F120&lt;&gt;"",XLOOKUP($F120,Productos!$A:$A,Productos!N:N,"Revisar"),"")</f>
        <v/>
      </c>
      <c r="V120" s="179" t="str">
        <f t="array" ref="V120">IF($F120&lt;&gt;"", XLOOKUP($F120,Productos!$A$2:$A1001,Productos!O$2:O1001,"")*$G120,"")</f>
        <v/>
      </c>
      <c r="W120" s="179" t="str">
        <f t="array" ref="W120">IF($F120&lt;&gt;"",XLOOKUP($F120,Productos!$A:$A,Productos!P:P,"Revisar"),"")</f>
        <v/>
      </c>
      <c r="X120" s="179" t="str">
        <f t="array" ref="X120">IF($F120&lt;&gt;"", XLOOKUP($F120,Productos!$A$2:$A1001,Productos!Q$2:Q1001,"")*$G120,"")</f>
        <v/>
      </c>
      <c r="Y120" s="179" t="str">
        <f t="array" ref="Y120">IF($F120&lt;&gt;"",XLOOKUP($F120,Productos!$A:$A,Productos!R:R,"Revisar"),"")</f>
        <v/>
      </c>
      <c r="Z120" s="179" t="str">
        <f t="array" ref="Z120">IF($F120&lt;&gt;"", XLOOKUP($F120,Productos!$A$2:$A1001,Productos!S$2:S1001,"")*$G120,"")</f>
        <v/>
      </c>
      <c r="AA120" s="179" t="str">
        <f t="array" ref="AA120">IF($F120&lt;&gt;"",XLOOKUP($F120,Productos!$A:$A,Productos!T:T,"Revisar"),"")</f>
        <v/>
      </c>
      <c r="AB120" s="179" t="str">
        <f t="array" ref="AB120">IF($F120&lt;&gt;"", XLOOKUP($F120,Productos!$A$2:$A1001,Productos!U$2:U1001,"")*$G120,"")</f>
        <v/>
      </c>
      <c r="AC120" s="179" t="str">
        <f t="array" ref="AC120">IF($F120&lt;&gt;"",XLOOKUP($F120,Productos!$A:$A,Productos!V:V,"Revisar"),"")</f>
        <v/>
      </c>
      <c r="AD120" s="179" t="str">
        <f t="array" ref="AD120">IF($F120&lt;&gt;"", XLOOKUP($F120,Productos!$A$2:$A1001,Productos!W$2:W1001,"")*$G120,"")</f>
        <v/>
      </c>
      <c r="AE120" s="179" t="str">
        <f t="array" ref="AE120">IF($F120&lt;&gt;"",XLOOKUP($F120,Productos!$A:$A,Productos!X:X,"Revisar"),"")</f>
        <v/>
      </c>
      <c r="AF120" s="179" t="str">
        <f t="array" ref="AF120">IF($F120&lt;&gt;"", XLOOKUP($F120,Productos!$A$2:$A1001,Productos!Y$2:Y1001,"")*$G120,"")</f>
        <v/>
      </c>
      <c r="AG120" s="179" t="str">
        <f t="array" ref="AG120">IF($F120&lt;&gt;"",XLOOKUP($F120,Productos!$A:$A,Productos!Z:Z,"Revisar"),"")</f>
        <v/>
      </c>
      <c r="AH120" s="179" t="str">
        <f t="array" ref="AH120">IF($F120&lt;&gt;"", XLOOKUP($F120,Productos!$A$2:$A1001,Productos!AA$2:AA1001,"")*$G120,"")</f>
        <v/>
      </c>
      <c r="AI120" s="179" t="str">
        <f t="array" ref="AI120">IF($F120&lt;&gt;"",XLOOKUP($F120,Productos!$A:$A,Productos!AB:AB,"Revisar"),"")</f>
        <v/>
      </c>
      <c r="AJ120" s="179" t="str">
        <f t="array" ref="AJ120">IF($F120&lt;&gt;"", XLOOKUP($F120,Productos!$A$2:$A1001,Productos!AC$2:AC1001,"")*$G120,"")</f>
        <v/>
      </c>
      <c r="AK120" s="179" t="str">
        <f t="array" ref="AK120">IF($F120&lt;&gt;"",XLOOKUP($F120,Productos!$A:$A,Productos!AD:AD,"Revisar"),"")</f>
        <v/>
      </c>
      <c r="AL120" s="179" t="str">
        <f t="array" ref="AL120">IF($F120&lt;&gt;"", XLOOKUP($F120,Productos!$A$2:$A1001,Productos!AE$2:AE1001,"")*$G120,"")</f>
        <v/>
      </c>
      <c r="AM120" s="179" t="str">
        <f t="array" ref="AM120">IF($F120&lt;&gt;"",XLOOKUP($F120,Productos!$A:$A,Productos!AF:AF,"Revisar"),"")</f>
        <v/>
      </c>
      <c r="AN120" s="179" t="str">
        <f t="array" ref="AN120">IF($F120&lt;&gt;"", XLOOKUP($F120,Productos!$A$2:$A1001,Productos!AG$2:AG1001,"")*$G120,"")</f>
        <v/>
      </c>
      <c r="AO120" s="179" t="str">
        <f t="array" ref="AO120">IF($F120&lt;&gt;"",XLOOKUP($F120,Productos!$A:$A,Productos!AH:AH,"Revisar"),"")</f>
        <v/>
      </c>
      <c r="AP120" s="179" t="str">
        <f t="array" ref="AP120">IF($F120&lt;&gt;"", XLOOKUP($F120,Productos!$A$2:$A1001,Productos!AI$2:AI1001,"")*$G120,"")</f>
        <v/>
      </c>
      <c r="AQ120" s="179" t="str">
        <f t="array" ref="AQ120">IF($F120&lt;&gt;"",XLOOKUP($F120,Productos!$A:$A,Productos!AJ:AJ,"Revisar"),"")</f>
        <v/>
      </c>
      <c r="AR120" s="179" t="str">
        <f t="array" ref="AR120">IF($F120&lt;&gt;"", XLOOKUP($F120,Productos!$A$2:$A1001,Productos!AK$2:AK1001,"")*$G120,"")</f>
        <v/>
      </c>
      <c r="AS120" s="179" t="str">
        <f t="array" ref="AS120">IF($F120&lt;&gt;"",XLOOKUP($F120,Productos!$A:$A,Productos!AL:AL,"Revisar"),"")</f>
        <v/>
      </c>
      <c r="AT120" s="179" t="str">
        <f t="array" ref="AT120">IF($F120&lt;&gt;"", XLOOKUP($F120,Productos!$A$2:$A1001,Productos!AM$2:AM1001,"")*$G120,"")</f>
        <v/>
      </c>
      <c r="AU120" s="179" t="str">
        <f t="array" ref="AU120">IF($F120&lt;&gt;"",XLOOKUP($F120,Productos!$A:$A,Productos!AN:AN,"Revisar"),"")</f>
        <v/>
      </c>
      <c r="AV120" s="179" t="str">
        <f t="array" ref="AV120">IF($F120&lt;&gt;"", XLOOKUP($F120,Productos!$A$2:$A1001,Productos!AO$2:AO1001,"")*$G120,"")</f>
        <v/>
      </c>
      <c r="AW120" s="179" t="str">
        <f t="array" ref="AW120">IF($F120&lt;&gt;"",XLOOKUP($F120,Productos!$A:$A,Productos!AP:AP,"Revisar"),"")</f>
        <v/>
      </c>
      <c r="AX120" s="179" t="str">
        <f t="array" ref="AX120">IF($F120&lt;&gt;"", XLOOKUP($F120,Productos!$A$2:$A1001,Productos!AQ$2:AQ1001,"")*$G120,"")</f>
        <v/>
      </c>
      <c r="AY120" s="179" t="str">
        <f t="array" ref="AY120">IF($F120&lt;&gt;"",XLOOKUP($F120,Productos!$A:$A,Productos!AR:AR,"Revisar"),"")</f>
        <v/>
      </c>
      <c r="AZ120" s="179" t="str">
        <f t="array" ref="AZ120">IF($F120&lt;&gt;"", XLOOKUP($F120,Productos!$A$2:$A1001,Productos!AS$2:AS1001,"")*$G120,"")</f>
        <v/>
      </c>
      <c r="BA120" s="179" t="str">
        <f t="array" ref="BA120">IF($F120&lt;&gt;"",XLOOKUP($F120,Productos!$A:$A,Productos!AT:AT,"Revisar"),"")</f>
        <v/>
      </c>
      <c r="BB120" s="179" t="str">
        <f t="array" ref="BB120">IF($F120&lt;&gt;"", XLOOKUP($F120,Productos!$A$2:$A1001,Productos!AU$2:AU1001,"")*$G120,"")</f>
        <v/>
      </c>
      <c r="BC120" s="179" t="str">
        <f t="array" ref="BC120">IF($F120&lt;&gt;"",XLOOKUP($F120,Productos!$A:$A,Productos!AV:AV,"Revisar"),"")</f>
        <v/>
      </c>
      <c r="BD120" s="179" t="str">
        <f t="array" ref="BD120">IF($F120&lt;&gt;"", XLOOKUP($F120,Productos!$A$2:$A1001,Productos!AW$2:AW1001,"")*$G120,"")</f>
        <v/>
      </c>
      <c r="BE120" s="179" t="str">
        <f t="array" ref="BE120">IF($F120&lt;&gt;"",XLOOKUP($F120,Productos!$A:$A,Productos!AX:AX,"Revisar"),"")</f>
        <v/>
      </c>
      <c r="BF120" s="179" t="str">
        <f t="array" ref="BF120">IF($F120&lt;&gt;"", XLOOKUP($F120,Productos!$A$2:$A1001,Productos!AY$2:AY1001,"")*$G120,"")</f>
        <v/>
      </c>
      <c r="BG120" s="179" t="str">
        <f t="array" ref="BG120">IF($F120&lt;&gt;"",XLOOKUP($F120,Productos!$A:$A,Productos!AZ:AZ,"Revisar"),"")</f>
        <v/>
      </c>
      <c r="BH120" s="179" t="str">
        <f t="array" ref="BH120">IF($F120&lt;&gt;"", XLOOKUP($F120,Productos!$A$2:$A1001,Productos!BA$2:BA1001,"")*$G120,"")</f>
        <v/>
      </c>
      <c r="BI120" s="179" t="str">
        <f t="array" ref="BI120">IF($F120&lt;&gt;"",XLOOKUP($F120,Productos!$A:$A,Productos!BB:BB,"Revisar"),"")</f>
        <v/>
      </c>
      <c r="BJ120" s="179" t="str">
        <f t="array" ref="BJ120">IF($F120&lt;&gt;"", XLOOKUP($F120,Productos!$A$2:$A1001,Productos!BC$2:BC1001,"")*$G120,"")</f>
        <v/>
      </c>
      <c r="BK120" s="179" t="str">
        <f t="array" ref="BK120">IF($F120&lt;&gt;"",XLOOKUP($F120,Productos!$A:$A,Productos!BD:BD,"Revisar"),"")</f>
        <v/>
      </c>
      <c r="BL120" s="179" t="str">
        <f t="array" ref="BL120">IF($F120&lt;&gt;"", XLOOKUP($F120,Productos!$A$2:$A1001,Productos!BE$2:BE1001,"")*$G120,"")</f>
        <v/>
      </c>
      <c r="BM120" s="179" t="str">
        <f t="array" ref="BM120">IF($F120&lt;&gt;"",XLOOKUP($F120,Productos!$A:$A,Productos!BF:BF,"Revisar"),"")</f>
        <v/>
      </c>
      <c r="BN120" s="179" t="str">
        <f t="array" ref="BN120">IF($F120&lt;&gt;"", XLOOKUP($F120,Productos!$A$2:$A1001,Productos!BG$2:BG1001,"")*$G120,"")</f>
        <v/>
      </c>
      <c r="BO120" s="179" t="str">
        <f t="array" ref="BO120">IF($F120&lt;&gt;"",XLOOKUP($F120,Productos!$A:$A,Productos!BH:BH,"Revisar"),"")</f>
        <v/>
      </c>
      <c r="BP120" s="179" t="str">
        <f t="array" ref="BP120">IF($F120&lt;&gt;"", XLOOKUP($F120,Productos!$A$2:$A1001,Productos!BI$2:BI1001,"")*$G120,"")</f>
        <v/>
      </c>
      <c r="BQ120" s="179" t="str">
        <f t="array" ref="BQ120">IF($F120&lt;&gt;"",XLOOKUP($F120,Productos!$A:$A,Productos!BJ:BJ,"Revisar"),"")</f>
        <v/>
      </c>
      <c r="BR120" s="179" t="str">
        <f t="array" ref="BR120">IF($F120&lt;&gt;"", XLOOKUP($F120,Productos!$A$2:$A1001,Productos!BK$2:BK1001,"")*$G120,"")</f>
        <v/>
      </c>
      <c r="BS120" s="179" t="str">
        <f t="array" ref="BS120">IF($F120&lt;&gt;"",XLOOKUP($F120,Productos!$A:$A,Productos!BL:BL,"Revisar"),"")</f>
        <v/>
      </c>
      <c r="BT120" s="179" t="str">
        <f t="array" ref="BT120">IF($F120&lt;&gt;"", XLOOKUP($F120,Productos!$A$2:$A1001,Productos!BM$2:BM1001,"")*$G120,"")</f>
        <v/>
      </c>
      <c r="BU120" s="179" t="str">
        <f t="array" ref="BU120">IF($F120&lt;&gt;"",XLOOKUP($F120,Productos!$A:$A,Productos!BN:BN,"Revisar"),"")</f>
        <v/>
      </c>
      <c r="BV120" s="179" t="str">
        <f t="array" ref="BV120">IF($F120&lt;&gt;"", XLOOKUP($F120,Productos!$A$2:$A1001,Productos!BO$2:BO1001,"")*$G120,"")</f>
        <v/>
      </c>
      <c r="BW120" s="179" t="str">
        <f t="array" ref="BW120">IF($F120&lt;&gt;"",XLOOKUP($F120,Productos!$A:$A,Productos!BP:BP,"Revisar"),"")</f>
        <v/>
      </c>
      <c r="BX120" s="179" t="str">
        <f t="array" ref="BX120">IF($F120&lt;&gt;"", XLOOKUP($F120,Productos!$A$2:$A1001,Productos!BQ$2:BQ1001,"")*$G120,"")</f>
        <v/>
      </c>
      <c r="BY120" s="179" t="str">
        <f t="array" ref="BY120">IF($F120&lt;&gt;"",XLOOKUP($F120,Productos!$A:$A,Productos!BR:BR,"Revisar"),"")</f>
        <v/>
      </c>
      <c r="BZ120" s="179" t="str">
        <f t="array" ref="BZ120">IF($F120&lt;&gt;"", XLOOKUP($F120,Productos!$A$2:$A1001,Productos!BS$2:BS1001,"")*$G120,"")</f>
        <v/>
      </c>
    </row>
    <row r="121">
      <c r="A121" s="180"/>
      <c r="B121" s="181"/>
      <c r="C121" s="182"/>
      <c r="D121" s="182"/>
      <c r="E121" s="185"/>
      <c r="F121" s="186"/>
      <c r="G121" s="187"/>
      <c r="H121" s="186"/>
      <c r="I121" s="179" t="str">
        <f t="array" ref="I121">IF($F121&lt;&gt;"",XLOOKUP($F121,Productos!$A:$A,Productos!B:B,"Revisar"),"")</f>
        <v/>
      </c>
      <c r="J121" s="179" t="str">
        <f t="array" ref="J121">IF($F121&lt;&gt;"", XLOOKUP($F121,Productos!$A$2:$A1001,Productos!C$2:C1001,"")*$G121,"")</f>
        <v/>
      </c>
      <c r="K121" s="179" t="str">
        <f t="array" ref="K121">IF($F121&lt;&gt;"",XLOOKUP($F121,Productos!$A:$A,Productos!D:D,"Revisar"),"")</f>
        <v/>
      </c>
      <c r="L121" s="179" t="str">
        <f t="array" ref="L121">IF($F121&lt;&gt;"", XLOOKUP($F121,Productos!$A$2:$A1001,Productos!E$2:E1001,"")*$G121,"")</f>
        <v/>
      </c>
      <c r="M121" s="179" t="str">
        <f t="array" ref="M121">IF($F121&lt;&gt;"",XLOOKUP($F121,Productos!$A:$A,Productos!F:F,"Revisar"),"")</f>
        <v/>
      </c>
      <c r="N121" s="179" t="str">
        <f t="array" ref="N121">IF($F121&lt;&gt;"", XLOOKUP($F121,Productos!$A$2:$A1001,Productos!G$2:G1001,"")*$G121,"")</f>
        <v/>
      </c>
      <c r="O121" s="179" t="str">
        <f t="array" ref="O121">IF($F121&lt;&gt;"",XLOOKUP($F121,Productos!$A:$A,Productos!H:H,"Revisar"),"")</f>
        <v/>
      </c>
      <c r="P121" s="179" t="str">
        <f t="array" ref="P121">IF($F121&lt;&gt;"", XLOOKUP($F121,Productos!$A$2:$A1001,Productos!I$2:I1001,"")*$G121,"")</f>
        <v/>
      </c>
      <c r="Q121" s="179" t="str">
        <f t="array" ref="Q121">IF($F121&lt;&gt;"",XLOOKUP($F121,Productos!$A:$A,Productos!J:J,"Revisar"),"")</f>
        <v/>
      </c>
      <c r="R121" s="179" t="str">
        <f t="array" ref="R121">IF($F121&lt;&gt;"", XLOOKUP($F121,Productos!$A$2:$A1001,Productos!K$2:K1001,"")*$G121,"")</f>
        <v/>
      </c>
      <c r="S121" s="179" t="str">
        <f t="array" ref="S121">IF($F121&lt;&gt;"",XLOOKUP($F121,Productos!$A:$A,Productos!L:L,"Revisar"),"")</f>
        <v/>
      </c>
      <c r="T121" s="179" t="str">
        <f t="array" ref="T121">IF($F121&lt;&gt;"", XLOOKUP($F121,Productos!$A$2:$A1001,Productos!M$2:M1001,"")*$G121,"")</f>
        <v/>
      </c>
      <c r="U121" s="179" t="str">
        <f t="array" ref="U121">IF($F121&lt;&gt;"",XLOOKUP($F121,Productos!$A:$A,Productos!N:N,"Revisar"),"")</f>
        <v/>
      </c>
      <c r="V121" s="179" t="str">
        <f t="array" ref="V121">IF($F121&lt;&gt;"", XLOOKUP($F121,Productos!$A$2:$A1001,Productos!O$2:O1001,"")*$G121,"")</f>
        <v/>
      </c>
      <c r="W121" s="179" t="str">
        <f t="array" ref="W121">IF($F121&lt;&gt;"",XLOOKUP($F121,Productos!$A:$A,Productos!P:P,"Revisar"),"")</f>
        <v/>
      </c>
      <c r="X121" s="179" t="str">
        <f t="array" ref="X121">IF($F121&lt;&gt;"", XLOOKUP($F121,Productos!$A$2:$A1001,Productos!Q$2:Q1001,"")*$G121,"")</f>
        <v/>
      </c>
      <c r="Y121" s="179" t="str">
        <f t="array" ref="Y121">IF($F121&lt;&gt;"",XLOOKUP($F121,Productos!$A:$A,Productos!R:R,"Revisar"),"")</f>
        <v/>
      </c>
      <c r="Z121" s="179" t="str">
        <f t="array" ref="Z121">IF($F121&lt;&gt;"", XLOOKUP($F121,Productos!$A$2:$A1001,Productos!S$2:S1001,"")*$G121,"")</f>
        <v/>
      </c>
      <c r="AA121" s="179" t="str">
        <f t="array" ref="AA121">IF($F121&lt;&gt;"",XLOOKUP($F121,Productos!$A:$A,Productos!T:T,"Revisar"),"")</f>
        <v/>
      </c>
      <c r="AB121" s="179" t="str">
        <f t="array" ref="AB121">IF($F121&lt;&gt;"", XLOOKUP($F121,Productos!$A$2:$A1001,Productos!U$2:U1001,"")*$G121,"")</f>
        <v/>
      </c>
      <c r="AC121" s="179" t="str">
        <f t="array" ref="AC121">IF($F121&lt;&gt;"",XLOOKUP($F121,Productos!$A:$A,Productos!V:V,"Revisar"),"")</f>
        <v/>
      </c>
      <c r="AD121" s="179" t="str">
        <f t="array" ref="AD121">IF($F121&lt;&gt;"", XLOOKUP($F121,Productos!$A$2:$A1001,Productos!W$2:W1001,"")*$G121,"")</f>
        <v/>
      </c>
      <c r="AE121" s="179" t="str">
        <f t="array" ref="AE121">IF($F121&lt;&gt;"",XLOOKUP($F121,Productos!$A:$A,Productos!X:X,"Revisar"),"")</f>
        <v/>
      </c>
      <c r="AF121" s="179" t="str">
        <f t="array" ref="AF121">IF($F121&lt;&gt;"", XLOOKUP($F121,Productos!$A$2:$A1001,Productos!Y$2:Y1001,"")*$G121,"")</f>
        <v/>
      </c>
      <c r="AG121" s="179" t="str">
        <f t="array" ref="AG121">IF($F121&lt;&gt;"",XLOOKUP($F121,Productos!$A:$A,Productos!Z:Z,"Revisar"),"")</f>
        <v/>
      </c>
      <c r="AH121" s="179" t="str">
        <f t="array" ref="AH121">IF($F121&lt;&gt;"", XLOOKUP($F121,Productos!$A$2:$A1001,Productos!AA$2:AA1001,"")*$G121,"")</f>
        <v/>
      </c>
      <c r="AI121" s="179" t="str">
        <f t="array" ref="AI121">IF($F121&lt;&gt;"",XLOOKUP($F121,Productos!$A:$A,Productos!AB:AB,"Revisar"),"")</f>
        <v/>
      </c>
      <c r="AJ121" s="179" t="str">
        <f t="array" ref="AJ121">IF($F121&lt;&gt;"", XLOOKUP($F121,Productos!$A$2:$A1001,Productos!AC$2:AC1001,"")*$G121,"")</f>
        <v/>
      </c>
      <c r="AK121" s="179" t="str">
        <f t="array" ref="AK121">IF($F121&lt;&gt;"",XLOOKUP($F121,Productos!$A:$A,Productos!AD:AD,"Revisar"),"")</f>
        <v/>
      </c>
      <c r="AL121" s="179" t="str">
        <f t="array" ref="AL121">IF($F121&lt;&gt;"", XLOOKUP($F121,Productos!$A$2:$A1001,Productos!AE$2:AE1001,"")*$G121,"")</f>
        <v/>
      </c>
      <c r="AM121" s="179" t="str">
        <f t="array" ref="AM121">IF($F121&lt;&gt;"",XLOOKUP($F121,Productos!$A:$A,Productos!AF:AF,"Revisar"),"")</f>
        <v/>
      </c>
      <c r="AN121" s="179" t="str">
        <f t="array" ref="AN121">IF($F121&lt;&gt;"", XLOOKUP($F121,Productos!$A$2:$A1001,Productos!AG$2:AG1001,"")*$G121,"")</f>
        <v/>
      </c>
      <c r="AO121" s="179" t="str">
        <f t="array" ref="AO121">IF($F121&lt;&gt;"",XLOOKUP($F121,Productos!$A:$A,Productos!AH:AH,"Revisar"),"")</f>
        <v/>
      </c>
      <c r="AP121" s="179" t="str">
        <f t="array" ref="AP121">IF($F121&lt;&gt;"", XLOOKUP($F121,Productos!$A$2:$A1001,Productos!AI$2:AI1001,"")*$G121,"")</f>
        <v/>
      </c>
      <c r="AQ121" s="179" t="str">
        <f t="array" ref="AQ121">IF($F121&lt;&gt;"",XLOOKUP($F121,Productos!$A:$A,Productos!AJ:AJ,"Revisar"),"")</f>
        <v/>
      </c>
      <c r="AR121" s="179" t="str">
        <f t="array" ref="AR121">IF($F121&lt;&gt;"", XLOOKUP($F121,Productos!$A$2:$A1001,Productos!AK$2:AK1001,"")*$G121,"")</f>
        <v/>
      </c>
      <c r="AS121" s="179" t="str">
        <f t="array" ref="AS121">IF($F121&lt;&gt;"",XLOOKUP($F121,Productos!$A:$A,Productos!AL:AL,"Revisar"),"")</f>
        <v/>
      </c>
      <c r="AT121" s="179" t="str">
        <f t="array" ref="AT121">IF($F121&lt;&gt;"", XLOOKUP($F121,Productos!$A$2:$A1001,Productos!AM$2:AM1001,"")*$G121,"")</f>
        <v/>
      </c>
      <c r="AU121" s="179" t="str">
        <f t="array" ref="AU121">IF($F121&lt;&gt;"",XLOOKUP($F121,Productos!$A:$A,Productos!AN:AN,"Revisar"),"")</f>
        <v/>
      </c>
      <c r="AV121" s="179" t="str">
        <f t="array" ref="AV121">IF($F121&lt;&gt;"", XLOOKUP($F121,Productos!$A$2:$A1001,Productos!AO$2:AO1001,"")*$G121,"")</f>
        <v/>
      </c>
      <c r="AW121" s="179" t="str">
        <f t="array" ref="AW121">IF($F121&lt;&gt;"",XLOOKUP($F121,Productos!$A:$A,Productos!AP:AP,"Revisar"),"")</f>
        <v/>
      </c>
      <c r="AX121" s="179" t="str">
        <f t="array" ref="AX121">IF($F121&lt;&gt;"", XLOOKUP($F121,Productos!$A$2:$A1001,Productos!AQ$2:AQ1001,"")*$G121,"")</f>
        <v/>
      </c>
      <c r="AY121" s="179" t="str">
        <f t="array" ref="AY121">IF($F121&lt;&gt;"",XLOOKUP($F121,Productos!$A:$A,Productos!AR:AR,"Revisar"),"")</f>
        <v/>
      </c>
      <c r="AZ121" s="179" t="str">
        <f t="array" ref="AZ121">IF($F121&lt;&gt;"", XLOOKUP($F121,Productos!$A$2:$A1001,Productos!AS$2:AS1001,"")*$G121,"")</f>
        <v/>
      </c>
      <c r="BA121" s="179" t="str">
        <f t="array" ref="BA121">IF($F121&lt;&gt;"",XLOOKUP($F121,Productos!$A:$A,Productos!AT:AT,"Revisar"),"")</f>
        <v/>
      </c>
      <c r="BB121" s="179" t="str">
        <f t="array" ref="BB121">IF($F121&lt;&gt;"", XLOOKUP($F121,Productos!$A$2:$A1001,Productos!AU$2:AU1001,"")*$G121,"")</f>
        <v/>
      </c>
      <c r="BC121" s="179" t="str">
        <f t="array" ref="BC121">IF($F121&lt;&gt;"",XLOOKUP($F121,Productos!$A:$A,Productos!AV:AV,"Revisar"),"")</f>
        <v/>
      </c>
      <c r="BD121" s="179" t="str">
        <f t="array" ref="BD121">IF($F121&lt;&gt;"", XLOOKUP($F121,Productos!$A$2:$A1001,Productos!AW$2:AW1001,"")*$G121,"")</f>
        <v/>
      </c>
      <c r="BE121" s="179" t="str">
        <f t="array" ref="BE121">IF($F121&lt;&gt;"",XLOOKUP($F121,Productos!$A:$A,Productos!AX:AX,"Revisar"),"")</f>
        <v/>
      </c>
      <c r="BF121" s="179" t="str">
        <f t="array" ref="BF121">IF($F121&lt;&gt;"", XLOOKUP($F121,Productos!$A$2:$A1001,Productos!AY$2:AY1001,"")*$G121,"")</f>
        <v/>
      </c>
      <c r="BG121" s="179" t="str">
        <f t="array" ref="BG121">IF($F121&lt;&gt;"",XLOOKUP($F121,Productos!$A:$A,Productos!AZ:AZ,"Revisar"),"")</f>
        <v/>
      </c>
      <c r="BH121" s="179" t="str">
        <f t="array" ref="BH121">IF($F121&lt;&gt;"", XLOOKUP($F121,Productos!$A$2:$A1001,Productos!BA$2:BA1001,"")*$G121,"")</f>
        <v/>
      </c>
      <c r="BI121" s="179" t="str">
        <f t="array" ref="BI121">IF($F121&lt;&gt;"",XLOOKUP($F121,Productos!$A:$A,Productos!BB:BB,"Revisar"),"")</f>
        <v/>
      </c>
      <c r="BJ121" s="179" t="str">
        <f t="array" ref="BJ121">IF($F121&lt;&gt;"", XLOOKUP($F121,Productos!$A$2:$A1001,Productos!BC$2:BC1001,"")*$G121,"")</f>
        <v/>
      </c>
      <c r="BK121" s="179" t="str">
        <f t="array" ref="BK121">IF($F121&lt;&gt;"",XLOOKUP($F121,Productos!$A:$A,Productos!BD:BD,"Revisar"),"")</f>
        <v/>
      </c>
      <c r="BL121" s="179" t="str">
        <f t="array" ref="BL121">IF($F121&lt;&gt;"", XLOOKUP($F121,Productos!$A$2:$A1001,Productos!BE$2:BE1001,"")*$G121,"")</f>
        <v/>
      </c>
      <c r="BM121" s="179" t="str">
        <f t="array" ref="BM121">IF($F121&lt;&gt;"",XLOOKUP($F121,Productos!$A:$A,Productos!BF:BF,"Revisar"),"")</f>
        <v/>
      </c>
      <c r="BN121" s="179" t="str">
        <f t="array" ref="BN121">IF($F121&lt;&gt;"", XLOOKUP($F121,Productos!$A$2:$A1001,Productos!BG$2:BG1001,"")*$G121,"")</f>
        <v/>
      </c>
      <c r="BO121" s="179" t="str">
        <f t="array" ref="BO121">IF($F121&lt;&gt;"",XLOOKUP($F121,Productos!$A:$A,Productos!BH:BH,"Revisar"),"")</f>
        <v/>
      </c>
      <c r="BP121" s="179" t="str">
        <f t="array" ref="BP121">IF($F121&lt;&gt;"", XLOOKUP($F121,Productos!$A$2:$A1001,Productos!BI$2:BI1001,"")*$G121,"")</f>
        <v/>
      </c>
      <c r="BQ121" s="179" t="str">
        <f t="array" ref="BQ121">IF($F121&lt;&gt;"",XLOOKUP($F121,Productos!$A:$A,Productos!BJ:BJ,"Revisar"),"")</f>
        <v/>
      </c>
      <c r="BR121" s="179" t="str">
        <f t="array" ref="BR121">IF($F121&lt;&gt;"", XLOOKUP($F121,Productos!$A$2:$A1001,Productos!BK$2:BK1001,"")*$G121,"")</f>
        <v/>
      </c>
      <c r="BS121" s="179" t="str">
        <f t="array" ref="BS121">IF($F121&lt;&gt;"",XLOOKUP($F121,Productos!$A:$A,Productos!BL:BL,"Revisar"),"")</f>
        <v/>
      </c>
      <c r="BT121" s="179" t="str">
        <f t="array" ref="BT121">IF($F121&lt;&gt;"", XLOOKUP($F121,Productos!$A$2:$A1001,Productos!BM$2:BM1001,"")*$G121,"")</f>
        <v/>
      </c>
      <c r="BU121" s="179" t="str">
        <f t="array" ref="BU121">IF($F121&lt;&gt;"",XLOOKUP($F121,Productos!$A:$A,Productos!BN:BN,"Revisar"),"")</f>
        <v/>
      </c>
      <c r="BV121" s="179" t="str">
        <f t="array" ref="BV121">IF($F121&lt;&gt;"", XLOOKUP($F121,Productos!$A$2:$A1001,Productos!BO$2:BO1001,"")*$G121,"")</f>
        <v/>
      </c>
      <c r="BW121" s="179" t="str">
        <f t="array" ref="BW121">IF($F121&lt;&gt;"",XLOOKUP($F121,Productos!$A:$A,Productos!BP:BP,"Revisar"),"")</f>
        <v/>
      </c>
      <c r="BX121" s="179" t="str">
        <f t="array" ref="BX121">IF($F121&lt;&gt;"", XLOOKUP($F121,Productos!$A$2:$A1001,Productos!BQ$2:BQ1001,"")*$G121,"")</f>
        <v/>
      </c>
      <c r="BY121" s="179" t="str">
        <f t="array" ref="BY121">IF($F121&lt;&gt;"",XLOOKUP($F121,Productos!$A:$A,Productos!BR:BR,"Revisar"),"")</f>
        <v/>
      </c>
      <c r="BZ121" s="179" t="str">
        <f t="array" ref="BZ121">IF($F121&lt;&gt;"", XLOOKUP($F121,Productos!$A$2:$A1001,Productos!BS$2:BS1001,"")*$G121,"")</f>
        <v/>
      </c>
    </row>
    <row r="122">
      <c r="A122" s="180"/>
      <c r="B122" s="181"/>
      <c r="C122" s="182"/>
      <c r="D122" s="182"/>
      <c r="E122" s="185"/>
      <c r="F122" s="186"/>
      <c r="G122" s="187"/>
      <c r="H122" s="186"/>
      <c r="I122" s="179" t="str">
        <f t="array" ref="I122">IF($F122&lt;&gt;"",XLOOKUP($F122,Productos!$A:$A,Productos!B:B,"Revisar"),"")</f>
        <v/>
      </c>
      <c r="J122" s="179" t="str">
        <f t="array" ref="J122">IF($F122&lt;&gt;"", XLOOKUP($F122,Productos!$A$2:$A1001,Productos!C$2:C1001,"")*$G122,"")</f>
        <v/>
      </c>
      <c r="K122" s="179" t="str">
        <f t="array" ref="K122">IF($F122&lt;&gt;"",XLOOKUP($F122,Productos!$A:$A,Productos!D:D,"Revisar"),"")</f>
        <v/>
      </c>
      <c r="L122" s="179" t="str">
        <f t="array" ref="L122">IF($F122&lt;&gt;"", XLOOKUP($F122,Productos!$A$2:$A1001,Productos!E$2:E1001,"")*$G122,"")</f>
        <v/>
      </c>
      <c r="M122" s="179" t="str">
        <f t="array" ref="M122">IF($F122&lt;&gt;"",XLOOKUP($F122,Productos!$A:$A,Productos!F:F,"Revisar"),"")</f>
        <v/>
      </c>
      <c r="N122" s="179" t="str">
        <f t="array" ref="N122">IF($F122&lt;&gt;"", XLOOKUP($F122,Productos!$A$2:$A1001,Productos!G$2:G1001,"")*$G122,"")</f>
        <v/>
      </c>
      <c r="O122" s="179" t="str">
        <f t="array" ref="O122">IF($F122&lt;&gt;"",XLOOKUP($F122,Productos!$A:$A,Productos!H:H,"Revisar"),"")</f>
        <v/>
      </c>
      <c r="P122" s="179" t="str">
        <f t="array" ref="P122">IF($F122&lt;&gt;"", XLOOKUP($F122,Productos!$A$2:$A1001,Productos!I$2:I1001,"")*$G122,"")</f>
        <v/>
      </c>
      <c r="Q122" s="179" t="str">
        <f t="array" ref="Q122">IF($F122&lt;&gt;"",XLOOKUP($F122,Productos!$A:$A,Productos!J:J,"Revisar"),"")</f>
        <v/>
      </c>
      <c r="R122" s="179" t="str">
        <f t="array" ref="R122">IF($F122&lt;&gt;"", XLOOKUP($F122,Productos!$A$2:$A1001,Productos!K$2:K1001,"")*$G122,"")</f>
        <v/>
      </c>
      <c r="S122" s="179" t="str">
        <f t="array" ref="S122">IF($F122&lt;&gt;"",XLOOKUP($F122,Productos!$A:$A,Productos!L:L,"Revisar"),"")</f>
        <v/>
      </c>
      <c r="T122" s="179" t="str">
        <f t="array" ref="T122">IF($F122&lt;&gt;"", XLOOKUP($F122,Productos!$A$2:$A1001,Productos!M$2:M1001,"")*$G122,"")</f>
        <v/>
      </c>
      <c r="U122" s="179" t="str">
        <f t="array" ref="U122">IF($F122&lt;&gt;"",XLOOKUP($F122,Productos!$A:$A,Productos!N:N,"Revisar"),"")</f>
        <v/>
      </c>
      <c r="V122" s="179" t="str">
        <f t="array" ref="V122">IF($F122&lt;&gt;"", XLOOKUP($F122,Productos!$A$2:$A1001,Productos!O$2:O1001,"")*$G122,"")</f>
        <v/>
      </c>
      <c r="W122" s="179" t="str">
        <f t="array" ref="W122">IF($F122&lt;&gt;"",XLOOKUP($F122,Productos!$A:$A,Productos!P:P,"Revisar"),"")</f>
        <v/>
      </c>
      <c r="X122" s="179" t="str">
        <f t="array" ref="X122">IF($F122&lt;&gt;"", XLOOKUP($F122,Productos!$A$2:$A1001,Productos!Q$2:Q1001,"")*$G122,"")</f>
        <v/>
      </c>
      <c r="Y122" s="179" t="str">
        <f t="array" ref="Y122">IF($F122&lt;&gt;"",XLOOKUP($F122,Productos!$A:$A,Productos!R:R,"Revisar"),"")</f>
        <v/>
      </c>
      <c r="Z122" s="179" t="str">
        <f t="array" ref="Z122">IF($F122&lt;&gt;"", XLOOKUP($F122,Productos!$A$2:$A1001,Productos!S$2:S1001,"")*$G122,"")</f>
        <v/>
      </c>
      <c r="AA122" s="179" t="str">
        <f t="array" ref="AA122">IF($F122&lt;&gt;"",XLOOKUP($F122,Productos!$A:$A,Productos!T:T,"Revisar"),"")</f>
        <v/>
      </c>
      <c r="AB122" s="179" t="str">
        <f t="array" ref="AB122">IF($F122&lt;&gt;"", XLOOKUP($F122,Productos!$A$2:$A1001,Productos!U$2:U1001,"")*$G122,"")</f>
        <v/>
      </c>
      <c r="AC122" s="179" t="str">
        <f t="array" ref="AC122">IF($F122&lt;&gt;"",XLOOKUP($F122,Productos!$A:$A,Productos!V:V,"Revisar"),"")</f>
        <v/>
      </c>
      <c r="AD122" s="179" t="str">
        <f t="array" ref="AD122">IF($F122&lt;&gt;"", XLOOKUP($F122,Productos!$A$2:$A1001,Productos!W$2:W1001,"")*$G122,"")</f>
        <v/>
      </c>
      <c r="AE122" s="179" t="str">
        <f t="array" ref="AE122">IF($F122&lt;&gt;"",XLOOKUP($F122,Productos!$A:$A,Productos!X:X,"Revisar"),"")</f>
        <v/>
      </c>
      <c r="AF122" s="179" t="str">
        <f t="array" ref="AF122">IF($F122&lt;&gt;"", XLOOKUP($F122,Productos!$A$2:$A1001,Productos!Y$2:Y1001,"")*$G122,"")</f>
        <v/>
      </c>
      <c r="AG122" s="179" t="str">
        <f t="array" ref="AG122">IF($F122&lt;&gt;"",XLOOKUP($F122,Productos!$A:$A,Productos!Z:Z,"Revisar"),"")</f>
        <v/>
      </c>
      <c r="AH122" s="179" t="str">
        <f t="array" ref="AH122">IF($F122&lt;&gt;"", XLOOKUP($F122,Productos!$A$2:$A1001,Productos!AA$2:AA1001,"")*$G122,"")</f>
        <v/>
      </c>
      <c r="AI122" s="179" t="str">
        <f t="array" ref="AI122">IF($F122&lt;&gt;"",XLOOKUP($F122,Productos!$A:$A,Productos!AB:AB,"Revisar"),"")</f>
        <v/>
      </c>
      <c r="AJ122" s="179" t="str">
        <f t="array" ref="AJ122">IF($F122&lt;&gt;"", XLOOKUP($F122,Productos!$A$2:$A1001,Productos!AC$2:AC1001,"")*$G122,"")</f>
        <v/>
      </c>
      <c r="AK122" s="179" t="str">
        <f t="array" ref="AK122">IF($F122&lt;&gt;"",XLOOKUP($F122,Productos!$A:$A,Productos!AD:AD,"Revisar"),"")</f>
        <v/>
      </c>
      <c r="AL122" s="179" t="str">
        <f t="array" ref="AL122">IF($F122&lt;&gt;"", XLOOKUP($F122,Productos!$A$2:$A1001,Productos!AE$2:AE1001,"")*$G122,"")</f>
        <v/>
      </c>
      <c r="AM122" s="179" t="str">
        <f t="array" ref="AM122">IF($F122&lt;&gt;"",XLOOKUP($F122,Productos!$A:$A,Productos!AF:AF,"Revisar"),"")</f>
        <v/>
      </c>
      <c r="AN122" s="179" t="str">
        <f t="array" ref="AN122">IF($F122&lt;&gt;"", XLOOKUP($F122,Productos!$A$2:$A1001,Productos!AG$2:AG1001,"")*$G122,"")</f>
        <v/>
      </c>
      <c r="AO122" s="179" t="str">
        <f t="array" ref="AO122">IF($F122&lt;&gt;"",XLOOKUP($F122,Productos!$A:$A,Productos!AH:AH,"Revisar"),"")</f>
        <v/>
      </c>
      <c r="AP122" s="179" t="str">
        <f t="array" ref="AP122">IF($F122&lt;&gt;"", XLOOKUP($F122,Productos!$A$2:$A1001,Productos!AI$2:AI1001,"")*$G122,"")</f>
        <v/>
      </c>
      <c r="AQ122" s="179" t="str">
        <f t="array" ref="AQ122">IF($F122&lt;&gt;"",XLOOKUP($F122,Productos!$A:$A,Productos!AJ:AJ,"Revisar"),"")</f>
        <v/>
      </c>
      <c r="AR122" s="179" t="str">
        <f t="array" ref="AR122">IF($F122&lt;&gt;"", XLOOKUP($F122,Productos!$A$2:$A1001,Productos!AK$2:AK1001,"")*$G122,"")</f>
        <v/>
      </c>
      <c r="AS122" s="179" t="str">
        <f t="array" ref="AS122">IF($F122&lt;&gt;"",XLOOKUP($F122,Productos!$A:$A,Productos!AL:AL,"Revisar"),"")</f>
        <v/>
      </c>
      <c r="AT122" s="179" t="str">
        <f t="array" ref="AT122">IF($F122&lt;&gt;"", XLOOKUP($F122,Productos!$A$2:$A1001,Productos!AM$2:AM1001,"")*$G122,"")</f>
        <v/>
      </c>
      <c r="AU122" s="179" t="str">
        <f t="array" ref="AU122">IF($F122&lt;&gt;"",XLOOKUP($F122,Productos!$A:$A,Productos!AN:AN,"Revisar"),"")</f>
        <v/>
      </c>
      <c r="AV122" s="179" t="str">
        <f t="array" ref="AV122">IF($F122&lt;&gt;"", XLOOKUP($F122,Productos!$A$2:$A1001,Productos!AO$2:AO1001,"")*$G122,"")</f>
        <v/>
      </c>
      <c r="AW122" s="179" t="str">
        <f t="array" ref="AW122">IF($F122&lt;&gt;"",XLOOKUP($F122,Productos!$A:$A,Productos!AP:AP,"Revisar"),"")</f>
        <v/>
      </c>
      <c r="AX122" s="179" t="str">
        <f t="array" ref="AX122">IF($F122&lt;&gt;"", XLOOKUP($F122,Productos!$A$2:$A1001,Productos!AQ$2:AQ1001,"")*$G122,"")</f>
        <v/>
      </c>
      <c r="AY122" s="179" t="str">
        <f t="array" ref="AY122">IF($F122&lt;&gt;"",XLOOKUP($F122,Productos!$A:$A,Productos!AR:AR,"Revisar"),"")</f>
        <v/>
      </c>
      <c r="AZ122" s="179" t="str">
        <f t="array" ref="AZ122">IF($F122&lt;&gt;"", XLOOKUP($F122,Productos!$A$2:$A1001,Productos!AS$2:AS1001,"")*$G122,"")</f>
        <v/>
      </c>
      <c r="BA122" s="179" t="str">
        <f t="array" ref="BA122">IF($F122&lt;&gt;"",XLOOKUP($F122,Productos!$A:$A,Productos!AT:AT,"Revisar"),"")</f>
        <v/>
      </c>
      <c r="BB122" s="179" t="str">
        <f t="array" ref="BB122">IF($F122&lt;&gt;"", XLOOKUP($F122,Productos!$A$2:$A1001,Productos!AU$2:AU1001,"")*$G122,"")</f>
        <v/>
      </c>
      <c r="BC122" s="179" t="str">
        <f t="array" ref="BC122">IF($F122&lt;&gt;"",XLOOKUP($F122,Productos!$A:$A,Productos!AV:AV,"Revisar"),"")</f>
        <v/>
      </c>
      <c r="BD122" s="179" t="str">
        <f t="array" ref="BD122">IF($F122&lt;&gt;"", XLOOKUP($F122,Productos!$A$2:$A1001,Productos!AW$2:AW1001,"")*$G122,"")</f>
        <v/>
      </c>
      <c r="BE122" s="179" t="str">
        <f t="array" ref="BE122">IF($F122&lt;&gt;"",XLOOKUP($F122,Productos!$A:$A,Productos!AX:AX,"Revisar"),"")</f>
        <v/>
      </c>
      <c r="BF122" s="179" t="str">
        <f t="array" ref="BF122">IF($F122&lt;&gt;"", XLOOKUP($F122,Productos!$A$2:$A1001,Productos!AY$2:AY1001,"")*$G122,"")</f>
        <v/>
      </c>
      <c r="BG122" s="179" t="str">
        <f t="array" ref="BG122">IF($F122&lt;&gt;"",XLOOKUP($F122,Productos!$A:$A,Productos!AZ:AZ,"Revisar"),"")</f>
        <v/>
      </c>
      <c r="BH122" s="179" t="str">
        <f t="array" ref="BH122">IF($F122&lt;&gt;"", XLOOKUP($F122,Productos!$A$2:$A1001,Productos!BA$2:BA1001,"")*$G122,"")</f>
        <v/>
      </c>
      <c r="BI122" s="179" t="str">
        <f t="array" ref="BI122">IF($F122&lt;&gt;"",XLOOKUP($F122,Productos!$A:$A,Productos!BB:BB,"Revisar"),"")</f>
        <v/>
      </c>
      <c r="BJ122" s="179" t="str">
        <f t="array" ref="BJ122">IF($F122&lt;&gt;"", XLOOKUP($F122,Productos!$A$2:$A1001,Productos!BC$2:BC1001,"")*$G122,"")</f>
        <v/>
      </c>
      <c r="BK122" s="179" t="str">
        <f t="array" ref="BK122">IF($F122&lt;&gt;"",XLOOKUP($F122,Productos!$A:$A,Productos!BD:BD,"Revisar"),"")</f>
        <v/>
      </c>
      <c r="BL122" s="179" t="str">
        <f t="array" ref="BL122">IF($F122&lt;&gt;"", XLOOKUP($F122,Productos!$A$2:$A1001,Productos!BE$2:BE1001,"")*$G122,"")</f>
        <v/>
      </c>
      <c r="BM122" s="179" t="str">
        <f t="array" ref="BM122">IF($F122&lt;&gt;"",XLOOKUP($F122,Productos!$A:$A,Productos!BF:BF,"Revisar"),"")</f>
        <v/>
      </c>
      <c r="BN122" s="179" t="str">
        <f t="array" ref="BN122">IF($F122&lt;&gt;"", XLOOKUP($F122,Productos!$A$2:$A1001,Productos!BG$2:BG1001,"")*$G122,"")</f>
        <v/>
      </c>
      <c r="BO122" s="179" t="str">
        <f t="array" ref="BO122">IF($F122&lt;&gt;"",XLOOKUP($F122,Productos!$A:$A,Productos!BH:BH,"Revisar"),"")</f>
        <v/>
      </c>
      <c r="BP122" s="179" t="str">
        <f t="array" ref="BP122">IF($F122&lt;&gt;"", XLOOKUP($F122,Productos!$A$2:$A1001,Productos!BI$2:BI1001,"")*$G122,"")</f>
        <v/>
      </c>
      <c r="BQ122" s="179" t="str">
        <f t="array" ref="BQ122">IF($F122&lt;&gt;"",XLOOKUP($F122,Productos!$A:$A,Productos!BJ:BJ,"Revisar"),"")</f>
        <v/>
      </c>
      <c r="BR122" s="179" t="str">
        <f t="array" ref="BR122">IF($F122&lt;&gt;"", XLOOKUP($F122,Productos!$A$2:$A1001,Productos!BK$2:BK1001,"")*$G122,"")</f>
        <v/>
      </c>
      <c r="BS122" s="179" t="str">
        <f t="array" ref="BS122">IF($F122&lt;&gt;"",XLOOKUP($F122,Productos!$A:$A,Productos!BL:BL,"Revisar"),"")</f>
        <v/>
      </c>
      <c r="BT122" s="179" t="str">
        <f t="array" ref="BT122">IF($F122&lt;&gt;"", XLOOKUP($F122,Productos!$A$2:$A1001,Productos!BM$2:BM1001,"")*$G122,"")</f>
        <v/>
      </c>
      <c r="BU122" s="179" t="str">
        <f t="array" ref="BU122">IF($F122&lt;&gt;"",XLOOKUP($F122,Productos!$A:$A,Productos!BN:BN,"Revisar"),"")</f>
        <v/>
      </c>
      <c r="BV122" s="179" t="str">
        <f t="array" ref="BV122">IF($F122&lt;&gt;"", XLOOKUP($F122,Productos!$A$2:$A1001,Productos!BO$2:BO1001,"")*$G122,"")</f>
        <v/>
      </c>
      <c r="BW122" s="179" t="str">
        <f t="array" ref="BW122">IF($F122&lt;&gt;"",XLOOKUP($F122,Productos!$A:$A,Productos!BP:BP,"Revisar"),"")</f>
        <v/>
      </c>
      <c r="BX122" s="179" t="str">
        <f t="array" ref="BX122">IF($F122&lt;&gt;"", XLOOKUP($F122,Productos!$A$2:$A1001,Productos!BQ$2:BQ1001,"")*$G122,"")</f>
        <v/>
      </c>
      <c r="BY122" s="179" t="str">
        <f t="array" ref="BY122">IF($F122&lt;&gt;"",XLOOKUP($F122,Productos!$A:$A,Productos!BR:BR,"Revisar"),"")</f>
        <v/>
      </c>
      <c r="BZ122" s="179" t="str">
        <f t="array" ref="BZ122">IF($F122&lt;&gt;"", XLOOKUP($F122,Productos!$A$2:$A1001,Productos!BS$2:BS1001,"")*$G122,"")</f>
        <v/>
      </c>
    </row>
    <row r="123">
      <c r="A123" s="180"/>
      <c r="B123" s="181"/>
      <c r="C123" s="182"/>
      <c r="D123" s="182"/>
      <c r="E123" s="185"/>
      <c r="F123" s="186"/>
      <c r="G123" s="187"/>
      <c r="H123" s="186"/>
      <c r="I123" s="179" t="str">
        <f t="array" ref="I123">IF($F123&lt;&gt;"",XLOOKUP($F123,Productos!$A:$A,Productos!B:B,"Revisar"),"")</f>
        <v/>
      </c>
      <c r="J123" s="179" t="str">
        <f t="array" ref="J123">IF($F123&lt;&gt;"", XLOOKUP($F123,Productos!$A$2:$A1001,Productos!C$2:C1001,"")*$G123,"")</f>
        <v/>
      </c>
      <c r="K123" s="179" t="str">
        <f t="array" ref="K123">IF($F123&lt;&gt;"",XLOOKUP($F123,Productos!$A:$A,Productos!D:D,"Revisar"),"")</f>
        <v/>
      </c>
      <c r="L123" s="179" t="str">
        <f t="array" ref="L123">IF($F123&lt;&gt;"", XLOOKUP($F123,Productos!$A$2:$A1001,Productos!E$2:E1001,"")*$G123,"")</f>
        <v/>
      </c>
      <c r="M123" s="179" t="str">
        <f t="array" ref="M123">IF($F123&lt;&gt;"",XLOOKUP($F123,Productos!$A:$A,Productos!F:F,"Revisar"),"")</f>
        <v/>
      </c>
      <c r="N123" s="179" t="str">
        <f t="array" ref="N123">IF($F123&lt;&gt;"", XLOOKUP($F123,Productos!$A$2:$A1001,Productos!G$2:G1001,"")*$G123,"")</f>
        <v/>
      </c>
      <c r="O123" s="179" t="str">
        <f t="array" ref="O123">IF($F123&lt;&gt;"",XLOOKUP($F123,Productos!$A:$A,Productos!H:H,"Revisar"),"")</f>
        <v/>
      </c>
      <c r="P123" s="179" t="str">
        <f t="array" ref="P123">IF($F123&lt;&gt;"", XLOOKUP($F123,Productos!$A$2:$A1001,Productos!I$2:I1001,"")*$G123,"")</f>
        <v/>
      </c>
      <c r="Q123" s="179" t="str">
        <f t="array" ref="Q123">IF($F123&lt;&gt;"",XLOOKUP($F123,Productos!$A:$A,Productos!J:J,"Revisar"),"")</f>
        <v/>
      </c>
      <c r="R123" s="179" t="str">
        <f t="array" ref="R123">IF($F123&lt;&gt;"", XLOOKUP($F123,Productos!$A$2:$A1001,Productos!K$2:K1001,"")*$G123,"")</f>
        <v/>
      </c>
      <c r="S123" s="179" t="str">
        <f t="array" ref="S123">IF($F123&lt;&gt;"",XLOOKUP($F123,Productos!$A:$A,Productos!L:L,"Revisar"),"")</f>
        <v/>
      </c>
      <c r="T123" s="179" t="str">
        <f t="array" ref="T123">IF($F123&lt;&gt;"", XLOOKUP($F123,Productos!$A$2:$A1001,Productos!M$2:M1001,"")*$G123,"")</f>
        <v/>
      </c>
      <c r="U123" s="179" t="str">
        <f t="array" ref="U123">IF($F123&lt;&gt;"",XLOOKUP($F123,Productos!$A:$A,Productos!N:N,"Revisar"),"")</f>
        <v/>
      </c>
      <c r="V123" s="179" t="str">
        <f t="array" ref="V123">IF($F123&lt;&gt;"", XLOOKUP($F123,Productos!$A$2:$A1001,Productos!O$2:O1001,"")*$G123,"")</f>
        <v/>
      </c>
      <c r="W123" s="179" t="str">
        <f t="array" ref="W123">IF($F123&lt;&gt;"",XLOOKUP($F123,Productos!$A:$A,Productos!P:P,"Revisar"),"")</f>
        <v/>
      </c>
      <c r="X123" s="179" t="str">
        <f t="array" ref="X123">IF($F123&lt;&gt;"", XLOOKUP($F123,Productos!$A$2:$A1001,Productos!Q$2:Q1001,"")*$G123,"")</f>
        <v/>
      </c>
      <c r="Y123" s="179" t="str">
        <f t="array" ref="Y123">IF($F123&lt;&gt;"",XLOOKUP($F123,Productos!$A:$A,Productos!R:R,"Revisar"),"")</f>
        <v/>
      </c>
      <c r="Z123" s="179" t="str">
        <f t="array" ref="Z123">IF($F123&lt;&gt;"", XLOOKUP($F123,Productos!$A$2:$A1001,Productos!S$2:S1001,"")*$G123,"")</f>
        <v/>
      </c>
      <c r="AA123" s="179" t="str">
        <f t="array" ref="AA123">IF($F123&lt;&gt;"",XLOOKUP($F123,Productos!$A:$A,Productos!T:T,"Revisar"),"")</f>
        <v/>
      </c>
      <c r="AB123" s="179" t="str">
        <f t="array" ref="AB123">IF($F123&lt;&gt;"", XLOOKUP($F123,Productos!$A$2:$A1001,Productos!U$2:U1001,"")*$G123,"")</f>
        <v/>
      </c>
      <c r="AC123" s="179" t="str">
        <f t="array" ref="AC123">IF($F123&lt;&gt;"",XLOOKUP($F123,Productos!$A:$A,Productos!V:V,"Revisar"),"")</f>
        <v/>
      </c>
      <c r="AD123" s="179" t="str">
        <f t="array" ref="AD123">IF($F123&lt;&gt;"", XLOOKUP($F123,Productos!$A$2:$A1001,Productos!W$2:W1001,"")*$G123,"")</f>
        <v/>
      </c>
      <c r="AE123" s="179" t="str">
        <f t="array" ref="AE123">IF($F123&lt;&gt;"",XLOOKUP($F123,Productos!$A:$A,Productos!X:X,"Revisar"),"")</f>
        <v/>
      </c>
      <c r="AF123" s="179" t="str">
        <f t="array" ref="AF123">IF($F123&lt;&gt;"", XLOOKUP($F123,Productos!$A$2:$A1001,Productos!Y$2:Y1001,"")*$G123,"")</f>
        <v/>
      </c>
      <c r="AG123" s="179" t="str">
        <f t="array" ref="AG123">IF($F123&lt;&gt;"",XLOOKUP($F123,Productos!$A:$A,Productos!Z:Z,"Revisar"),"")</f>
        <v/>
      </c>
      <c r="AH123" s="179" t="str">
        <f t="array" ref="AH123">IF($F123&lt;&gt;"", XLOOKUP($F123,Productos!$A$2:$A1001,Productos!AA$2:AA1001,"")*$G123,"")</f>
        <v/>
      </c>
      <c r="AI123" s="179" t="str">
        <f t="array" ref="AI123">IF($F123&lt;&gt;"",XLOOKUP($F123,Productos!$A:$A,Productos!AB:AB,"Revisar"),"")</f>
        <v/>
      </c>
      <c r="AJ123" s="179" t="str">
        <f t="array" ref="AJ123">IF($F123&lt;&gt;"", XLOOKUP($F123,Productos!$A$2:$A1001,Productos!AC$2:AC1001,"")*$G123,"")</f>
        <v/>
      </c>
      <c r="AK123" s="179" t="str">
        <f t="array" ref="AK123">IF($F123&lt;&gt;"",XLOOKUP($F123,Productos!$A:$A,Productos!AD:AD,"Revisar"),"")</f>
        <v/>
      </c>
      <c r="AL123" s="179" t="str">
        <f t="array" ref="AL123">IF($F123&lt;&gt;"", XLOOKUP($F123,Productos!$A$2:$A1001,Productos!AE$2:AE1001,"")*$G123,"")</f>
        <v/>
      </c>
      <c r="AM123" s="179" t="str">
        <f t="array" ref="AM123">IF($F123&lt;&gt;"",XLOOKUP($F123,Productos!$A:$A,Productos!AF:AF,"Revisar"),"")</f>
        <v/>
      </c>
      <c r="AN123" s="179" t="str">
        <f t="array" ref="AN123">IF($F123&lt;&gt;"", XLOOKUP($F123,Productos!$A$2:$A1001,Productos!AG$2:AG1001,"")*$G123,"")</f>
        <v/>
      </c>
      <c r="AO123" s="179" t="str">
        <f t="array" ref="AO123">IF($F123&lt;&gt;"",XLOOKUP($F123,Productos!$A:$A,Productos!AH:AH,"Revisar"),"")</f>
        <v/>
      </c>
      <c r="AP123" s="179" t="str">
        <f t="array" ref="AP123">IF($F123&lt;&gt;"", XLOOKUP($F123,Productos!$A$2:$A1001,Productos!AI$2:AI1001,"")*$G123,"")</f>
        <v/>
      </c>
      <c r="AQ123" s="179" t="str">
        <f t="array" ref="AQ123">IF($F123&lt;&gt;"",XLOOKUP($F123,Productos!$A:$A,Productos!AJ:AJ,"Revisar"),"")</f>
        <v/>
      </c>
      <c r="AR123" s="179" t="str">
        <f t="array" ref="AR123">IF($F123&lt;&gt;"", XLOOKUP($F123,Productos!$A$2:$A1001,Productos!AK$2:AK1001,"")*$G123,"")</f>
        <v/>
      </c>
      <c r="AS123" s="179" t="str">
        <f t="array" ref="AS123">IF($F123&lt;&gt;"",XLOOKUP($F123,Productos!$A:$A,Productos!AL:AL,"Revisar"),"")</f>
        <v/>
      </c>
      <c r="AT123" s="179" t="str">
        <f t="array" ref="AT123">IF($F123&lt;&gt;"", XLOOKUP($F123,Productos!$A$2:$A1001,Productos!AM$2:AM1001,"")*$G123,"")</f>
        <v/>
      </c>
      <c r="AU123" s="179" t="str">
        <f t="array" ref="AU123">IF($F123&lt;&gt;"",XLOOKUP($F123,Productos!$A:$A,Productos!AN:AN,"Revisar"),"")</f>
        <v/>
      </c>
      <c r="AV123" s="179" t="str">
        <f t="array" ref="AV123">IF($F123&lt;&gt;"", XLOOKUP($F123,Productos!$A$2:$A1001,Productos!AO$2:AO1001,"")*$G123,"")</f>
        <v/>
      </c>
      <c r="AW123" s="179" t="str">
        <f t="array" ref="AW123">IF($F123&lt;&gt;"",XLOOKUP($F123,Productos!$A:$A,Productos!AP:AP,"Revisar"),"")</f>
        <v/>
      </c>
      <c r="AX123" s="179" t="str">
        <f t="array" ref="AX123">IF($F123&lt;&gt;"", XLOOKUP($F123,Productos!$A$2:$A1001,Productos!AQ$2:AQ1001,"")*$G123,"")</f>
        <v/>
      </c>
      <c r="AY123" s="179" t="str">
        <f t="array" ref="AY123">IF($F123&lt;&gt;"",XLOOKUP($F123,Productos!$A:$A,Productos!AR:AR,"Revisar"),"")</f>
        <v/>
      </c>
      <c r="AZ123" s="179" t="str">
        <f t="array" ref="AZ123">IF($F123&lt;&gt;"", XLOOKUP($F123,Productos!$A$2:$A1001,Productos!AS$2:AS1001,"")*$G123,"")</f>
        <v/>
      </c>
      <c r="BA123" s="179" t="str">
        <f t="array" ref="BA123">IF($F123&lt;&gt;"",XLOOKUP($F123,Productos!$A:$A,Productos!AT:AT,"Revisar"),"")</f>
        <v/>
      </c>
      <c r="BB123" s="179" t="str">
        <f t="array" ref="BB123">IF($F123&lt;&gt;"", XLOOKUP($F123,Productos!$A$2:$A1001,Productos!AU$2:AU1001,"")*$G123,"")</f>
        <v/>
      </c>
      <c r="BC123" s="179" t="str">
        <f t="array" ref="BC123">IF($F123&lt;&gt;"",XLOOKUP($F123,Productos!$A:$A,Productos!AV:AV,"Revisar"),"")</f>
        <v/>
      </c>
      <c r="BD123" s="179" t="str">
        <f t="array" ref="BD123">IF($F123&lt;&gt;"", XLOOKUP($F123,Productos!$A$2:$A1001,Productos!AW$2:AW1001,"")*$G123,"")</f>
        <v/>
      </c>
      <c r="BE123" s="179" t="str">
        <f t="array" ref="BE123">IF($F123&lt;&gt;"",XLOOKUP($F123,Productos!$A:$A,Productos!AX:AX,"Revisar"),"")</f>
        <v/>
      </c>
      <c r="BF123" s="179" t="str">
        <f t="array" ref="BF123">IF($F123&lt;&gt;"", XLOOKUP($F123,Productos!$A$2:$A1001,Productos!AY$2:AY1001,"")*$G123,"")</f>
        <v/>
      </c>
      <c r="BG123" s="179" t="str">
        <f t="array" ref="BG123">IF($F123&lt;&gt;"",XLOOKUP($F123,Productos!$A:$A,Productos!AZ:AZ,"Revisar"),"")</f>
        <v/>
      </c>
      <c r="BH123" s="179" t="str">
        <f t="array" ref="BH123">IF($F123&lt;&gt;"", XLOOKUP($F123,Productos!$A$2:$A1001,Productos!BA$2:BA1001,"")*$G123,"")</f>
        <v/>
      </c>
      <c r="BI123" s="179" t="str">
        <f t="array" ref="BI123">IF($F123&lt;&gt;"",XLOOKUP($F123,Productos!$A:$A,Productos!BB:BB,"Revisar"),"")</f>
        <v/>
      </c>
      <c r="BJ123" s="179" t="str">
        <f t="array" ref="BJ123">IF($F123&lt;&gt;"", XLOOKUP($F123,Productos!$A$2:$A1001,Productos!BC$2:BC1001,"")*$G123,"")</f>
        <v/>
      </c>
      <c r="BK123" s="179" t="str">
        <f t="array" ref="BK123">IF($F123&lt;&gt;"",XLOOKUP($F123,Productos!$A:$A,Productos!BD:BD,"Revisar"),"")</f>
        <v/>
      </c>
      <c r="BL123" s="179" t="str">
        <f t="array" ref="BL123">IF($F123&lt;&gt;"", XLOOKUP($F123,Productos!$A$2:$A1001,Productos!BE$2:BE1001,"")*$G123,"")</f>
        <v/>
      </c>
      <c r="BM123" s="179" t="str">
        <f t="array" ref="BM123">IF($F123&lt;&gt;"",XLOOKUP($F123,Productos!$A:$A,Productos!BF:BF,"Revisar"),"")</f>
        <v/>
      </c>
      <c r="BN123" s="179" t="str">
        <f t="array" ref="BN123">IF($F123&lt;&gt;"", XLOOKUP($F123,Productos!$A$2:$A1001,Productos!BG$2:BG1001,"")*$G123,"")</f>
        <v/>
      </c>
      <c r="BO123" s="179" t="str">
        <f t="array" ref="BO123">IF($F123&lt;&gt;"",XLOOKUP($F123,Productos!$A:$A,Productos!BH:BH,"Revisar"),"")</f>
        <v/>
      </c>
      <c r="BP123" s="179" t="str">
        <f t="array" ref="BP123">IF($F123&lt;&gt;"", XLOOKUP($F123,Productos!$A$2:$A1001,Productos!BI$2:BI1001,"")*$G123,"")</f>
        <v/>
      </c>
      <c r="BQ123" s="179" t="str">
        <f t="array" ref="BQ123">IF($F123&lt;&gt;"",XLOOKUP($F123,Productos!$A:$A,Productos!BJ:BJ,"Revisar"),"")</f>
        <v/>
      </c>
      <c r="BR123" s="179" t="str">
        <f t="array" ref="BR123">IF($F123&lt;&gt;"", XLOOKUP($F123,Productos!$A$2:$A1001,Productos!BK$2:BK1001,"")*$G123,"")</f>
        <v/>
      </c>
      <c r="BS123" s="179" t="str">
        <f t="array" ref="BS123">IF($F123&lt;&gt;"",XLOOKUP($F123,Productos!$A:$A,Productos!BL:BL,"Revisar"),"")</f>
        <v/>
      </c>
      <c r="BT123" s="179" t="str">
        <f t="array" ref="BT123">IF($F123&lt;&gt;"", XLOOKUP($F123,Productos!$A$2:$A1001,Productos!BM$2:BM1001,"")*$G123,"")</f>
        <v/>
      </c>
      <c r="BU123" s="179" t="str">
        <f t="array" ref="BU123">IF($F123&lt;&gt;"",XLOOKUP($F123,Productos!$A:$A,Productos!BN:BN,"Revisar"),"")</f>
        <v/>
      </c>
      <c r="BV123" s="179" t="str">
        <f t="array" ref="BV123">IF($F123&lt;&gt;"", XLOOKUP($F123,Productos!$A$2:$A1001,Productos!BO$2:BO1001,"")*$G123,"")</f>
        <v/>
      </c>
      <c r="BW123" s="179" t="str">
        <f t="array" ref="BW123">IF($F123&lt;&gt;"",XLOOKUP($F123,Productos!$A:$A,Productos!BP:BP,"Revisar"),"")</f>
        <v/>
      </c>
      <c r="BX123" s="179" t="str">
        <f t="array" ref="BX123">IF($F123&lt;&gt;"", XLOOKUP($F123,Productos!$A$2:$A1001,Productos!BQ$2:BQ1001,"")*$G123,"")</f>
        <v/>
      </c>
      <c r="BY123" s="179" t="str">
        <f t="array" ref="BY123">IF($F123&lt;&gt;"",XLOOKUP($F123,Productos!$A:$A,Productos!BR:BR,"Revisar"),"")</f>
        <v/>
      </c>
      <c r="BZ123" s="179" t="str">
        <f t="array" ref="BZ123">IF($F123&lt;&gt;"", XLOOKUP($F123,Productos!$A$2:$A1001,Productos!BS$2:BS1001,"")*$G123,"")</f>
        <v/>
      </c>
    </row>
    <row r="124">
      <c r="A124" s="180"/>
      <c r="B124" s="181"/>
      <c r="C124" s="182"/>
      <c r="D124" s="182"/>
      <c r="E124" s="185"/>
      <c r="F124" s="186"/>
      <c r="G124" s="187"/>
      <c r="H124" s="186"/>
      <c r="I124" s="179" t="str">
        <f t="array" ref="I124">IF($F124&lt;&gt;"",XLOOKUP($F124,Productos!$A:$A,Productos!B:B,"Revisar"),"")</f>
        <v/>
      </c>
      <c r="J124" s="179" t="str">
        <f t="array" ref="J124">IF($F124&lt;&gt;"", XLOOKUP($F124,Productos!$A$2:$A1001,Productos!C$2:C1001,"")*$G124,"")</f>
        <v/>
      </c>
      <c r="K124" s="179" t="str">
        <f t="array" ref="K124">IF($F124&lt;&gt;"",XLOOKUP($F124,Productos!$A:$A,Productos!D:D,"Revisar"),"")</f>
        <v/>
      </c>
      <c r="L124" s="179" t="str">
        <f t="array" ref="L124">IF($F124&lt;&gt;"", XLOOKUP($F124,Productos!$A$2:$A1001,Productos!E$2:E1001,"")*$G124,"")</f>
        <v/>
      </c>
      <c r="M124" s="179" t="str">
        <f t="array" ref="M124">IF($F124&lt;&gt;"",XLOOKUP($F124,Productos!$A:$A,Productos!F:F,"Revisar"),"")</f>
        <v/>
      </c>
      <c r="N124" s="179" t="str">
        <f t="array" ref="N124">IF($F124&lt;&gt;"", XLOOKUP($F124,Productos!$A$2:$A1001,Productos!G$2:G1001,"")*$G124,"")</f>
        <v/>
      </c>
      <c r="O124" s="179" t="str">
        <f t="array" ref="O124">IF($F124&lt;&gt;"",XLOOKUP($F124,Productos!$A:$A,Productos!H:H,"Revisar"),"")</f>
        <v/>
      </c>
      <c r="P124" s="179" t="str">
        <f t="array" ref="P124">IF($F124&lt;&gt;"", XLOOKUP($F124,Productos!$A$2:$A1001,Productos!I$2:I1001,"")*$G124,"")</f>
        <v/>
      </c>
      <c r="Q124" s="179" t="str">
        <f t="array" ref="Q124">IF($F124&lt;&gt;"",XLOOKUP($F124,Productos!$A:$A,Productos!J:J,"Revisar"),"")</f>
        <v/>
      </c>
      <c r="R124" s="179" t="str">
        <f t="array" ref="R124">IF($F124&lt;&gt;"", XLOOKUP($F124,Productos!$A$2:$A1001,Productos!K$2:K1001,"")*$G124,"")</f>
        <v/>
      </c>
      <c r="S124" s="179" t="str">
        <f t="array" ref="S124">IF($F124&lt;&gt;"",XLOOKUP($F124,Productos!$A:$A,Productos!L:L,"Revisar"),"")</f>
        <v/>
      </c>
      <c r="T124" s="179" t="str">
        <f t="array" ref="T124">IF($F124&lt;&gt;"", XLOOKUP($F124,Productos!$A$2:$A1001,Productos!M$2:M1001,"")*$G124,"")</f>
        <v/>
      </c>
      <c r="U124" s="179" t="str">
        <f t="array" ref="U124">IF($F124&lt;&gt;"",XLOOKUP($F124,Productos!$A:$A,Productos!N:N,"Revisar"),"")</f>
        <v/>
      </c>
      <c r="V124" s="179" t="str">
        <f t="array" ref="V124">IF($F124&lt;&gt;"", XLOOKUP($F124,Productos!$A$2:$A1001,Productos!O$2:O1001,"")*$G124,"")</f>
        <v/>
      </c>
      <c r="W124" s="179" t="str">
        <f t="array" ref="W124">IF($F124&lt;&gt;"",XLOOKUP($F124,Productos!$A:$A,Productos!P:P,"Revisar"),"")</f>
        <v/>
      </c>
      <c r="X124" s="179" t="str">
        <f t="array" ref="X124">IF($F124&lt;&gt;"", XLOOKUP($F124,Productos!$A$2:$A1001,Productos!Q$2:Q1001,"")*$G124,"")</f>
        <v/>
      </c>
      <c r="Y124" s="179" t="str">
        <f t="array" ref="Y124">IF($F124&lt;&gt;"",XLOOKUP($F124,Productos!$A:$A,Productos!R:R,"Revisar"),"")</f>
        <v/>
      </c>
      <c r="Z124" s="179" t="str">
        <f t="array" ref="Z124">IF($F124&lt;&gt;"", XLOOKUP($F124,Productos!$A$2:$A1001,Productos!S$2:S1001,"")*$G124,"")</f>
        <v/>
      </c>
      <c r="AA124" s="179" t="str">
        <f t="array" ref="AA124">IF($F124&lt;&gt;"",XLOOKUP($F124,Productos!$A:$A,Productos!T:T,"Revisar"),"")</f>
        <v/>
      </c>
      <c r="AB124" s="179" t="str">
        <f t="array" ref="AB124">IF($F124&lt;&gt;"", XLOOKUP($F124,Productos!$A$2:$A1001,Productos!U$2:U1001,"")*$G124,"")</f>
        <v/>
      </c>
      <c r="AC124" s="179" t="str">
        <f t="array" ref="AC124">IF($F124&lt;&gt;"",XLOOKUP($F124,Productos!$A:$A,Productos!V:V,"Revisar"),"")</f>
        <v/>
      </c>
      <c r="AD124" s="179" t="str">
        <f t="array" ref="AD124">IF($F124&lt;&gt;"", XLOOKUP($F124,Productos!$A$2:$A1001,Productos!W$2:W1001,"")*$G124,"")</f>
        <v/>
      </c>
      <c r="AE124" s="179" t="str">
        <f t="array" ref="AE124">IF($F124&lt;&gt;"",XLOOKUP($F124,Productos!$A:$A,Productos!X:X,"Revisar"),"")</f>
        <v/>
      </c>
      <c r="AF124" s="179" t="str">
        <f t="array" ref="AF124">IF($F124&lt;&gt;"", XLOOKUP($F124,Productos!$A$2:$A1001,Productos!Y$2:Y1001,"")*$G124,"")</f>
        <v/>
      </c>
      <c r="AG124" s="179" t="str">
        <f t="array" ref="AG124">IF($F124&lt;&gt;"",XLOOKUP($F124,Productos!$A:$A,Productos!Z:Z,"Revisar"),"")</f>
        <v/>
      </c>
      <c r="AH124" s="179" t="str">
        <f t="array" ref="AH124">IF($F124&lt;&gt;"", XLOOKUP($F124,Productos!$A$2:$A1001,Productos!AA$2:AA1001,"")*$G124,"")</f>
        <v/>
      </c>
      <c r="AI124" s="179" t="str">
        <f t="array" ref="AI124">IF($F124&lt;&gt;"",XLOOKUP($F124,Productos!$A:$A,Productos!AB:AB,"Revisar"),"")</f>
        <v/>
      </c>
      <c r="AJ124" s="179" t="str">
        <f t="array" ref="AJ124">IF($F124&lt;&gt;"", XLOOKUP($F124,Productos!$A$2:$A1001,Productos!AC$2:AC1001,"")*$G124,"")</f>
        <v/>
      </c>
      <c r="AK124" s="179" t="str">
        <f t="array" ref="AK124">IF($F124&lt;&gt;"",XLOOKUP($F124,Productos!$A:$A,Productos!AD:AD,"Revisar"),"")</f>
        <v/>
      </c>
      <c r="AL124" s="179" t="str">
        <f t="array" ref="AL124">IF($F124&lt;&gt;"", XLOOKUP($F124,Productos!$A$2:$A1001,Productos!AE$2:AE1001,"")*$G124,"")</f>
        <v/>
      </c>
      <c r="AM124" s="179" t="str">
        <f t="array" ref="AM124">IF($F124&lt;&gt;"",XLOOKUP($F124,Productos!$A:$A,Productos!AF:AF,"Revisar"),"")</f>
        <v/>
      </c>
      <c r="AN124" s="179" t="str">
        <f t="array" ref="AN124">IF($F124&lt;&gt;"", XLOOKUP($F124,Productos!$A$2:$A1001,Productos!AG$2:AG1001,"")*$G124,"")</f>
        <v/>
      </c>
      <c r="AO124" s="179" t="str">
        <f t="array" ref="AO124">IF($F124&lt;&gt;"",XLOOKUP($F124,Productos!$A:$A,Productos!AH:AH,"Revisar"),"")</f>
        <v/>
      </c>
      <c r="AP124" s="179" t="str">
        <f t="array" ref="AP124">IF($F124&lt;&gt;"", XLOOKUP($F124,Productos!$A$2:$A1001,Productos!AI$2:AI1001,"")*$G124,"")</f>
        <v/>
      </c>
      <c r="AQ124" s="179" t="str">
        <f t="array" ref="AQ124">IF($F124&lt;&gt;"",XLOOKUP($F124,Productos!$A:$A,Productos!AJ:AJ,"Revisar"),"")</f>
        <v/>
      </c>
      <c r="AR124" s="179" t="str">
        <f t="array" ref="AR124">IF($F124&lt;&gt;"", XLOOKUP($F124,Productos!$A$2:$A1001,Productos!AK$2:AK1001,"")*$G124,"")</f>
        <v/>
      </c>
      <c r="AS124" s="179" t="str">
        <f t="array" ref="AS124">IF($F124&lt;&gt;"",XLOOKUP($F124,Productos!$A:$A,Productos!AL:AL,"Revisar"),"")</f>
        <v/>
      </c>
      <c r="AT124" s="179" t="str">
        <f t="array" ref="AT124">IF($F124&lt;&gt;"", XLOOKUP($F124,Productos!$A$2:$A1001,Productos!AM$2:AM1001,"")*$G124,"")</f>
        <v/>
      </c>
      <c r="AU124" s="179" t="str">
        <f t="array" ref="AU124">IF($F124&lt;&gt;"",XLOOKUP($F124,Productos!$A:$A,Productos!AN:AN,"Revisar"),"")</f>
        <v/>
      </c>
      <c r="AV124" s="179" t="str">
        <f t="array" ref="AV124">IF($F124&lt;&gt;"", XLOOKUP($F124,Productos!$A$2:$A1001,Productos!AO$2:AO1001,"")*$G124,"")</f>
        <v/>
      </c>
      <c r="AW124" s="179" t="str">
        <f t="array" ref="AW124">IF($F124&lt;&gt;"",XLOOKUP($F124,Productos!$A:$A,Productos!AP:AP,"Revisar"),"")</f>
        <v/>
      </c>
      <c r="AX124" s="179" t="str">
        <f t="array" ref="AX124">IF($F124&lt;&gt;"", XLOOKUP($F124,Productos!$A$2:$A1001,Productos!AQ$2:AQ1001,"")*$G124,"")</f>
        <v/>
      </c>
      <c r="AY124" s="179" t="str">
        <f t="array" ref="AY124">IF($F124&lt;&gt;"",XLOOKUP($F124,Productos!$A:$A,Productos!AR:AR,"Revisar"),"")</f>
        <v/>
      </c>
      <c r="AZ124" s="179" t="str">
        <f t="array" ref="AZ124">IF($F124&lt;&gt;"", XLOOKUP($F124,Productos!$A$2:$A1001,Productos!AS$2:AS1001,"")*$G124,"")</f>
        <v/>
      </c>
      <c r="BA124" s="179" t="str">
        <f t="array" ref="BA124">IF($F124&lt;&gt;"",XLOOKUP($F124,Productos!$A:$A,Productos!AT:AT,"Revisar"),"")</f>
        <v/>
      </c>
      <c r="BB124" s="179" t="str">
        <f t="array" ref="BB124">IF($F124&lt;&gt;"", XLOOKUP($F124,Productos!$A$2:$A1001,Productos!AU$2:AU1001,"")*$G124,"")</f>
        <v/>
      </c>
      <c r="BC124" s="179" t="str">
        <f t="array" ref="BC124">IF($F124&lt;&gt;"",XLOOKUP($F124,Productos!$A:$A,Productos!AV:AV,"Revisar"),"")</f>
        <v/>
      </c>
      <c r="BD124" s="179" t="str">
        <f t="array" ref="BD124">IF($F124&lt;&gt;"", XLOOKUP($F124,Productos!$A$2:$A1001,Productos!AW$2:AW1001,"")*$G124,"")</f>
        <v/>
      </c>
      <c r="BE124" s="179" t="str">
        <f t="array" ref="BE124">IF($F124&lt;&gt;"",XLOOKUP($F124,Productos!$A:$A,Productos!AX:AX,"Revisar"),"")</f>
        <v/>
      </c>
      <c r="BF124" s="179" t="str">
        <f t="array" ref="BF124">IF($F124&lt;&gt;"", XLOOKUP($F124,Productos!$A$2:$A1001,Productos!AY$2:AY1001,"")*$G124,"")</f>
        <v/>
      </c>
      <c r="BG124" s="179" t="str">
        <f t="array" ref="BG124">IF($F124&lt;&gt;"",XLOOKUP($F124,Productos!$A:$A,Productos!AZ:AZ,"Revisar"),"")</f>
        <v/>
      </c>
      <c r="BH124" s="179" t="str">
        <f t="array" ref="BH124">IF($F124&lt;&gt;"", XLOOKUP($F124,Productos!$A$2:$A1001,Productos!BA$2:BA1001,"")*$G124,"")</f>
        <v/>
      </c>
      <c r="BI124" s="179" t="str">
        <f t="array" ref="BI124">IF($F124&lt;&gt;"",XLOOKUP($F124,Productos!$A:$A,Productos!BB:BB,"Revisar"),"")</f>
        <v/>
      </c>
      <c r="BJ124" s="179" t="str">
        <f t="array" ref="BJ124">IF($F124&lt;&gt;"", XLOOKUP($F124,Productos!$A$2:$A1001,Productos!BC$2:BC1001,"")*$G124,"")</f>
        <v/>
      </c>
      <c r="BK124" s="179" t="str">
        <f t="array" ref="BK124">IF($F124&lt;&gt;"",XLOOKUP($F124,Productos!$A:$A,Productos!BD:BD,"Revisar"),"")</f>
        <v/>
      </c>
      <c r="BL124" s="179" t="str">
        <f t="array" ref="BL124">IF($F124&lt;&gt;"", XLOOKUP($F124,Productos!$A$2:$A1001,Productos!BE$2:BE1001,"")*$G124,"")</f>
        <v/>
      </c>
      <c r="BM124" s="179" t="str">
        <f t="array" ref="BM124">IF($F124&lt;&gt;"",XLOOKUP($F124,Productos!$A:$A,Productos!BF:BF,"Revisar"),"")</f>
        <v/>
      </c>
      <c r="BN124" s="179" t="str">
        <f t="array" ref="BN124">IF($F124&lt;&gt;"", XLOOKUP($F124,Productos!$A$2:$A1001,Productos!BG$2:BG1001,"")*$G124,"")</f>
        <v/>
      </c>
      <c r="BO124" s="179" t="str">
        <f t="array" ref="BO124">IF($F124&lt;&gt;"",XLOOKUP($F124,Productos!$A:$A,Productos!BH:BH,"Revisar"),"")</f>
        <v/>
      </c>
      <c r="BP124" s="179" t="str">
        <f t="array" ref="BP124">IF($F124&lt;&gt;"", XLOOKUP($F124,Productos!$A$2:$A1001,Productos!BI$2:BI1001,"")*$G124,"")</f>
        <v/>
      </c>
      <c r="BQ124" s="179" t="str">
        <f t="array" ref="BQ124">IF($F124&lt;&gt;"",XLOOKUP($F124,Productos!$A:$A,Productos!BJ:BJ,"Revisar"),"")</f>
        <v/>
      </c>
      <c r="BR124" s="179" t="str">
        <f t="array" ref="BR124">IF($F124&lt;&gt;"", XLOOKUP($F124,Productos!$A$2:$A1001,Productos!BK$2:BK1001,"")*$G124,"")</f>
        <v/>
      </c>
      <c r="BS124" s="179" t="str">
        <f t="array" ref="BS124">IF($F124&lt;&gt;"",XLOOKUP($F124,Productos!$A:$A,Productos!BL:BL,"Revisar"),"")</f>
        <v/>
      </c>
      <c r="BT124" s="179" t="str">
        <f t="array" ref="BT124">IF($F124&lt;&gt;"", XLOOKUP($F124,Productos!$A$2:$A1001,Productos!BM$2:BM1001,"")*$G124,"")</f>
        <v/>
      </c>
      <c r="BU124" s="179" t="str">
        <f t="array" ref="BU124">IF($F124&lt;&gt;"",XLOOKUP($F124,Productos!$A:$A,Productos!BN:BN,"Revisar"),"")</f>
        <v/>
      </c>
      <c r="BV124" s="179" t="str">
        <f t="array" ref="BV124">IF($F124&lt;&gt;"", XLOOKUP($F124,Productos!$A$2:$A1001,Productos!BO$2:BO1001,"")*$G124,"")</f>
        <v/>
      </c>
      <c r="BW124" s="179" t="str">
        <f t="array" ref="BW124">IF($F124&lt;&gt;"",XLOOKUP($F124,Productos!$A:$A,Productos!BP:BP,"Revisar"),"")</f>
        <v/>
      </c>
      <c r="BX124" s="179" t="str">
        <f t="array" ref="BX124">IF($F124&lt;&gt;"", XLOOKUP($F124,Productos!$A$2:$A1001,Productos!BQ$2:BQ1001,"")*$G124,"")</f>
        <v/>
      </c>
      <c r="BY124" s="179" t="str">
        <f t="array" ref="BY124">IF($F124&lt;&gt;"",XLOOKUP($F124,Productos!$A:$A,Productos!BR:BR,"Revisar"),"")</f>
        <v/>
      </c>
      <c r="BZ124" s="179" t="str">
        <f t="array" ref="BZ124">IF($F124&lt;&gt;"", XLOOKUP($F124,Productos!$A$2:$A1001,Productos!BS$2:BS1001,"")*$G124,"")</f>
        <v/>
      </c>
    </row>
    <row r="125">
      <c r="A125" s="180"/>
      <c r="B125" s="181"/>
      <c r="C125" s="182"/>
      <c r="D125" s="182"/>
      <c r="E125" s="185"/>
      <c r="F125" s="186"/>
      <c r="G125" s="187"/>
      <c r="H125" s="186"/>
      <c r="I125" s="179" t="str">
        <f t="array" ref="I125">IF($F125&lt;&gt;"",XLOOKUP($F125,Productos!$A:$A,Productos!B:B,"Revisar"),"")</f>
        <v/>
      </c>
      <c r="J125" s="179" t="str">
        <f t="array" ref="J125">IF($F125&lt;&gt;"", XLOOKUP($F125,Productos!$A$2:$A1001,Productos!C$2:C1001,"")*$G125,"")</f>
        <v/>
      </c>
      <c r="K125" s="179" t="str">
        <f t="array" ref="K125">IF($F125&lt;&gt;"",XLOOKUP($F125,Productos!$A:$A,Productos!D:D,"Revisar"),"")</f>
        <v/>
      </c>
      <c r="L125" s="179" t="str">
        <f t="array" ref="L125">IF($F125&lt;&gt;"", XLOOKUP($F125,Productos!$A$2:$A1001,Productos!E$2:E1001,"")*$G125,"")</f>
        <v/>
      </c>
      <c r="M125" s="179" t="str">
        <f t="array" ref="M125">IF($F125&lt;&gt;"",XLOOKUP($F125,Productos!$A:$A,Productos!F:F,"Revisar"),"")</f>
        <v/>
      </c>
      <c r="N125" s="179" t="str">
        <f t="array" ref="N125">IF($F125&lt;&gt;"", XLOOKUP($F125,Productos!$A$2:$A1001,Productos!G$2:G1001,"")*$G125,"")</f>
        <v/>
      </c>
      <c r="O125" s="179" t="str">
        <f t="array" ref="O125">IF($F125&lt;&gt;"",XLOOKUP($F125,Productos!$A:$A,Productos!H:H,"Revisar"),"")</f>
        <v/>
      </c>
      <c r="P125" s="179" t="str">
        <f t="array" ref="P125">IF($F125&lt;&gt;"", XLOOKUP($F125,Productos!$A$2:$A1001,Productos!I$2:I1001,"")*$G125,"")</f>
        <v/>
      </c>
      <c r="Q125" s="179" t="str">
        <f t="array" ref="Q125">IF($F125&lt;&gt;"",XLOOKUP($F125,Productos!$A:$A,Productos!J:J,"Revisar"),"")</f>
        <v/>
      </c>
      <c r="R125" s="179" t="str">
        <f t="array" ref="R125">IF($F125&lt;&gt;"", XLOOKUP($F125,Productos!$A$2:$A1001,Productos!K$2:K1001,"")*$G125,"")</f>
        <v/>
      </c>
      <c r="S125" s="179" t="str">
        <f t="array" ref="S125">IF($F125&lt;&gt;"",XLOOKUP($F125,Productos!$A:$A,Productos!L:L,"Revisar"),"")</f>
        <v/>
      </c>
      <c r="T125" s="179" t="str">
        <f t="array" ref="T125">IF($F125&lt;&gt;"", XLOOKUP($F125,Productos!$A$2:$A1001,Productos!M$2:M1001,"")*$G125,"")</f>
        <v/>
      </c>
      <c r="U125" s="179" t="str">
        <f t="array" ref="U125">IF($F125&lt;&gt;"",XLOOKUP($F125,Productos!$A:$A,Productos!N:N,"Revisar"),"")</f>
        <v/>
      </c>
      <c r="V125" s="179" t="str">
        <f t="array" ref="V125">IF($F125&lt;&gt;"", XLOOKUP($F125,Productos!$A$2:$A1001,Productos!O$2:O1001,"")*$G125,"")</f>
        <v/>
      </c>
      <c r="W125" s="179" t="str">
        <f t="array" ref="W125">IF($F125&lt;&gt;"",XLOOKUP($F125,Productos!$A:$A,Productos!P:P,"Revisar"),"")</f>
        <v/>
      </c>
      <c r="X125" s="179" t="str">
        <f t="array" ref="X125">IF($F125&lt;&gt;"", XLOOKUP($F125,Productos!$A$2:$A1001,Productos!Q$2:Q1001,"")*$G125,"")</f>
        <v/>
      </c>
      <c r="Y125" s="179" t="str">
        <f t="array" ref="Y125">IF($F125&lt;&gt;"",XLOOKUP($F125,Productos!$A:$A,Productos!R:R,"Revisar"),"")</f>
        <v/>
      </c>
      <c r="Z125" s="179" t="str">
        <f t="array" ref="Z125">IF($F125&lt;&gt;"", XLOOKUP($F125,Productos!$A$2:$A1001,Productos!S$2:S1001,"")*$G125,"")</f>
        <v/>
      </c>
      <c r="AA125" s="179" t="str">
        <f t="array" ref="AA125">IF($F125&lt;&gt;"",XLOOKUP($F125,Productos!$A:$A,Productos!T:T,"Revisar"),"")</f>
        <v/>
      </c>
      <c r="AB125" s="179" t="str">
        <f t="array" ref="AB125">IF($F125&lt;&gt;"", XLOOKUP($F125,Productos!$A$2:$A1001,Productos!U$2:U1001,"")*$G125,"")</f>
        <v/>
      </c>
      <c r="AC125" s="179" t="str">
        <f t="array" ref="AC125">IF($F125&lt;&gt;"",XLOOKUP($F125,Productos!$A:$A,Productos!V:V,"Revisar"),"")</f>
        <v/>
      </c>
      <c r="AD125" s="179" t="str">
        <f t="array" ref="AD125">IF($F125&lt;&gt;"", XLOOKUP($F125,Productos!$A$2:$A1001,Productos!W$2:W1001,"")*$G125,"")</f>
        <v/>
      </c>
      <c r="AE125" s="179" t="str">
        <f t="array" ref="AE125">IF($F125&lt;&gt;"",XLOOKUP($F125,Productos!$A:$A,Productos!X:X,"Revisar"),"")</f>
        <v/>
      </c>
      <c r="AF125" s="179" t="str">
        <f t="array" ref="AF125">IF($F125&lt;&gt;"", XLOOKUP($F125,Productos!$A$2:$A1001,Productos!Y$2:Y1001,"")*$G125,"")</f>
        <v/>
      </c>
      <c r="AG125" s="179" t="str">
        <f t="array" ref="AG125">IF($F125&lt;&gt;"",XLOOKUP($F125,Productos!$A:$A,Productos!Z:Z,"Revisar"),"")</f>
        <v/>
      </c>
      <c r="AH125" s="179" t="str">
        <f t="array" ref="AH125">IF($F125&lt;&gt;"", XLOOKUP($F125,Productos!$A$2:$A1001,Productos!AA$2:AA1001,"")*$G125,"")</f>
        <v/>
      </c>
      <c r="AI125" s="179" t="str">
        <f t="array" ref="AI125">IF($F125&lt;&gt;"",XLOOKUP($F125,Productos!$A:$A,Productos!AB:AB,"Revisar"),"")</f>
        <v/>
      </c>
      <c r="AJ125" s="179" t="str">
        <f t="array" ref="AJ125">IF($F125&lt;&gt;"", XLOOKUP($F125,Productos!$A$2:$A1001,Productos!AC$2:AC1001,"")*$G125,"")</f>
        <v/>
      </c>
      <c r="AK125" s="179" t="str">
        <f t="array" ref="AK125">IF($F125&lt;&gt;"",XLOOKUP($F125,Productos!$A:$A,Productos!AD:AD,"Revisar"),"")</f>
        <v/>
      </c>
      <c r="AL125" s="179" t="str">
        <f t="array" ref="AL125">IF($F125&lt;&gt;"", XLOOKUP($F125,Productos!$A$2:$A1001,Productos!AE$2:AE1001,"")*$G125,"")</f>
        <v/>
      </c>
      <c r="AM125" s="179" t="str">
        <f t="array" ref="AM125">IF($F125&lt;&gt;"",XLOOKUP($F125,Productos!$A:$A,Productos!AF:AF,"Revisar"),"")</f>
        <v/>
      </c>
      <c r="AN125" s="179" t="str">
        <f t="array" ref="AN125">IF($F125&lt;&gt;"", XLOOKUP($F125,Productos!$A$2:$A1001,Productos!AG$2:AG1001,"")*$G125,"")</f>
        <v/>
      </c>
      <c r="AO125" s="179" t="str">
        <f t="array" ref="AO125">IF($F125&lt;&gt;"",XLOOKUP($F125,Productos!$A:$A,Productos!AH:AH,"Revisar"),"")</f>
        <v/>
      </c>
      <c r="AP125" s="179" t="str">
        <f t="array" ref="AP125">IF($F125&lt;&gt;"", XLOOKUP($F125,Productos!$A$2:$A1001,Productos!AI$2:AI1001,"")*$G125,"")</f>
        <v/>
      </c>
      <c r="AQ125" s="179" t="str">
        <f t="array" ref="AQ125">IF($F125&lt;&gt;"",XLOOKUP($F125,Productos!$A:$A,Productos!AJ:AJ,"Revisar"),"")</f>
        <v/>
      </c>
      <c r="AR125" s="179" t="str">
        <f t="array" ref="AR125">IF($F125&lt;&gt;"", XLOOKUP($F125,Productos!$A$2:$A1001,Productos!AK$2:AK1001,"")*$G125,"")</f>
        <v/>
      </c>
      <c r="AS125" s="179" t="str">
        <f t="array" ref="AS125">IF($F125&lt;&gt;"",XLOOKUP($F125,Productos!$A:$A,Productos!AL:AL,"Revisar"),"")</f>
        <v/>
      </c>
      <c r="AT125" s="179" t="str">
        <f t="array" ref="AT125">IF($F125&lt;&gt;"", XLOOKUP($F125,Productos!$A$2:$A1001,Productos!AM$2:AM1001,"")*$G125,"")</f>
        <v/>
      </c>
      <c r="AU125" s="179" t="str">
        <f t="array" ref="AU125">IF($F125&lt;&gt;"",XLOOKUP($F125,Productos!$A:$A,Productos!AN:AN,"Revisar"),"")</f>
        <v/>
      </c>
      <c r="AV125" s="179" t="str">
        <f t="array" ref="AV125">IF($F125&lt;&gt;"", XLOOKUP($F125,Productos!$A$2:$A1001,Productos!AO$2:AO1001,"")*$G125,"")</f>
        <v/>
      </c>
      <c r="AW125" s="179" t="str">
        <f t="array" ref="AW125">IF($F125&lt;&gt;"",XLOOKUP($F125,Productos!$A:$A,Productos!AP:AP,"Revisar"),"")</f>
        <v/>
      </c>
      <c r="AX125" s="179" t="str">
        <f t="array" ref="AX125">IF($F125&lt;&gt;"", XLOOKUP($F125,Productos!$A$2:$A1001,Productos!AQ$2:AQ1001,"")*$G125,"")</f>
        <v/>
      </c>
      <c r="AY125" s="179" t="str">
        <f t="array" ref="AY125">IF($F125&lt;&gt;"",XLOOKUP($F125,Productos!$A:$A,Productos!AR:AR,"Revisar"),"")</f>
        <v/>
      </c>
      <c r="AZ125" s="179" t="str">
        <f t="array" ref="AZ125">IF($F125&lt;&gt;"", XLOOKUP($F125,Productos!$A$2:$A1001,Productos!AS$2:AS1001,"")*$G125,"")</f>
        <v/>
      </c>
      <c r="BA125" s="179" t="str">
        <f t="array" ref="BA125">IF($F125&lt;&gt;"",XLOOKUP($F125,Productos!$A:$A,Productos!AT:AT,"Revisar"),"")</f>
        <v/>
      </c>
      <c r="BB125" s="179" t="str">
        <f t="array" ref="BB125">IF($F125&lt;&gt;"", XLOOKUP($F125,Productos!$A$2:$A1001,Productos!AU$2:AU1001,"")*$G125,"")</f>
        <v/>
      </c>
      <c r="BC125" s="179" t="str">
        <f t="array" ref="BC125">IF($F125&lt;&gt;"",XLOOKUP($F125,Productos!$A:$A,Productos!AV:AV,"Revisar"),"")</f>
        <v/>
      </c>
      <c r="BD125" s="179" t="str">
        <f t="array" ref="BD125">IF($F125&lt;&gt;"", XLOOKUP($F125,Productos!$A$2:$A1001,Productos!AW$2:AW1001,"")*$G125,"")</f>
        <v/>
      </c>
      <c r="BE125" s="179" t="str">
        <f t="array" ref="BE125">IF($F125&lt;&gt;"",XLOOKUP($F125,Productos!$A:$A,Productos!AX:AX,"Revisar"),"")</f>
        <v/>
      </c>
      <c r="BF125" s="179" t="str">
        <f t="array" ref="BF125">IF($F125&lt;&gt;"", XLOOKUP($F125,Productos!$A$2:$A1001,Productos!AY$2:AY1001,"")*$G125,"")</f>
        <v/>
      </c>
      <c r="BG125" s="179" t="str">
        <f t="array" ref="BG125">IF($F125&lt;&gt;"",XLOOKUP($F125,Productos!$A:$A,Productos!AZ:AZ,"Revisar"),"")</f>
        <v/>
      </c>
      <c r="BH125" s="179" t="str">
        <f t="array" ref="BH125">IF($F125&lt;&gt;"", XLOOKUP($F125,Productos!$A$2:$A1001,Productos!BA$2:BA1001,"")*$G125,"")</f>
        <v/>
      </c>
      <c r="BI125" s="179" t="str">
        <f t="array" ref="BI125">IF($F125&lt;&gt;"",XLOOKUP($F125,Productos!$A:$A,Productos!BB:BB,"Revisar"),"")</f>
        <v/>
      </c>
      <c r="BJ125" s="179" t="str">
        <f t="array" ref="BJ125">IF($F125&lt;&gt;"", XLOOKUP($F125,Productos!$A$2:$A1001,Productos!BC$2:BC1001,"")*$G125,"")</f>
        <v/>
      </c>
      <c r="BK125" s="179" t="str">
        <f t="array" ref="BK125">IF($F125&lt;&gt;"",XLOOKUP($F125,Productos!$A:$A,Productos!BD:BD,"Revisar"),"")</f>
        <v/>
      </c>
      <c r="BL125" s="179" t="str">
        <f t="array" ref="BL125">IF($F125&lt;&gt;"", XLOOKUP($F125,Productos!$A$2:$A1001,Productos!BE$2:BE1001,"")*$G125,"")</f>
        <v/>
      </c>
      <c r="BM125" s="179" t="str">
        <f t="array" ref="BM125">IF($F125&lt;&gt;"",XLOOKUP($F125,Productos!$A:$A,Productos!BF:BF,"Revisar"),"")</f>
        <v/>
      </c>
      <c r="BN125" s="179" t="str">
        <f t="array" ref="BN125">IF($F125&lt;&gt;"", XLOOKUP($F125,Productos!$A$2:$A1001,Productos!BG$2:BG1001,"")*$G125,"")</f>
        <v/>
      </c>
      <c r="BO125" s="179" t="str">
        <f t="array" ref="BO125">IF($F125&lt;&gt;"",XLOOKUP($F125,Productos!$A:$A,Productos!BH:BH,"Revisar"),"")</f>
        <v/>
      </c>
      <c r="BP125" s="179" t="str">
        <f t="array" ref="BP125">IF($F125&lt;&gt;"", XLOOKUP($F125,Productos!$A$2:$A1001,Productos!BI$2:BI1001,"")*$G125,"")</f>
        <v/>
      </c>
      <c r="BQ125" s="179" t="str">
        <f t="array" ref="BQ125">IF($F125&lt;&gt;"",XLOOKUP($F125,Productos!$A:$A,Productos!BJ:BJ,"Revisar"),"")</f>
        <v/>
      </c>
      <c r="BR125" s="179" t="str">
        <f t="array" ref="BR125">IF($F125&lt;&gt;"", XLOOKUP($F125,Productos!$A$2:$A1001,Productos!BK$2:BK1001,"")*$G125,"")</f>
        <v/>
      </c>
      <c r="BS125" s="179" t="str">
        <f t="array" ref="BS125">IF($F125&lt;&gt;"",XLOOKUP($F125,Productos!$A:$A,Productos!BL:BL,"Revisar"),"")</f>
        <v/>
      </c>
      <c r="BT125" s="179" t="str">
        <f t="array" ref="BT125">IF($F125&lt;&gt;"", XLOOKUP($F125,Productos!$A$2:$A1001,Productos!BM$2:BM1001,"")*$G125,"")</f>
        <v/>
      </c>
      <c r="BU125" s="179" t="str">
        <f t="array" ref="BU125">IF($F125&lt;&gt;"",XLOOKUP($F125,Productos!$A:$A,Productos!BN:BN,"Revisar"),"")</f>
        <v/>
      </c>
      <c r="BV125" s="179" t="str">
        <f t="array" ref="BV125">IF($F125&lt;&gt;"", XLOOKUP($F125,Productos!$A$2:$A1001,Productos!BO$2:BO1001,"")*$G125,"")</f>
        <v/>
      </c>
      <c r="BW125" s="179" t="str">
        <f t="array" ref="BW125">IF($F125&lt;&gt;"",XLOOKUP($F125,Productos!$A:$A,Productos!BP:BP,"Revisar"),"")</f>
        <v/>
      </c>
      <c r="BX125" s="179" t="str">
        <f t="array" ref="BX125">IF($F125&lt;&gt;"", XLOOKUP($F125,Productos!$A$2:$A1001,Productos!BQ$2:BQ1001,"")*$G125,"")</f>
        <v/>
      </c>
      <c r="BY125" s="179" t="str">
        <f t="array" ref="BY125">IF($F125&lt;&gt;"",XLOOKUP($F125,Productos!$A:$A,Productos!BR:BR,"Revisar"),"")</f>
        <v/>
      </c>
      <c r="BZ125" s="179" t="str">
        <f t="array" ref="BZ125">IF($F125&lt;&gt;"", XLOOKUP($F125,Productos!$A$2:$A1001,Productos!BS$2:BS1001,"")*$G125,"")</f>
        <v/>
      </c>
    </row>
    <row r="126">
      <c r="A126" s="180"/>
      <c r="B126" s="181"/>
      <c r="C126" s="182"/>
      <c r="D126" s="182"/>
      <c r="E126" s="185"/>
      <c r="F126" s="186"/>
      <c r="G126" s="187"/>
      <c r="H126" s="186"/>
      <c r="I126" s="179" t="str">
        <f t="array" ref="I126">IF($F126&lt;&gt;"",XLOOKUP($F126,Productos!$A:$A,Productos!B:B,"Revisar"),"")</f>
        <v/>
      </c>
      <c r="J126" s="179" t="str">
        <f t="array" ref="J126">IF($F126&lt;&gt;"", XLOOKUP($F126,Productos!$A$2:$A1001,Productos!C$2:C1001,"")*$G126,"")</f>
        <v/>
      </c>
      <c r="K126" s="179" t="str">
        <f t="array" ref="K126">IF($F126&lt;&gt;"",XLOOKUP($F126,Productos!$A:$A,Productos!D:D,"Revisar"),"")</f>
        <v/>
      </c>
      <c r="L126" s="179" t="str">
        <f t="array" ref="L126">IF($F126&lt;&gt;"", XLOOKUP($F126,Productos!$A$2:$A1001,Productos!E$2:E1001,"")*$G126,"")</f>
        <v/>
      </c>
      <c r="M126" s="179" t="str">
        <f t="array" ref="M126">IF($F126&lt;&gt;"",XLOOKUP($F126,Productos!$A:$A,Productos!F:F,"Revisar"),"")</f>
        <v/>
      </c>
      <c r="N126" s="179" t="str">
        <f t="array" ref="N126">IF($F126&lt;&gt;"", XLOOKUP($F126,Productos!$A$2:$A1001,Productos!G$2:G1001,"")*$G126,"")</f>
        <v/>
      </c>
      <c r="O126" s="179" t="str">
        <f t="array" ref="O126">IF($F126&lt;&gt;"",XLOOKUP($F126,Productos!$A:$A,Productos!H:H,"Revisar"),"")</f>
        <v/>
      </c>
      <c r="P126" s="179" t="str">
        <f t="array" ref="P126">IF($F126&lt;&gt;"", XLOOKUP($F126,Productos!$A$2:$A1001,Productos!I$2:I1001,"")*$G126,"")</f>
        <v/>
      </c>
      <c r="Q126" s="179" t="str">
        <f t="array" ref="Q126">IF($F126&lt;&gt;"",XLOOKUP($F126,Productos!$A:$A,Productos!J:J,"Revisar"),"")</f>
        <v/>
      </c>
      <c r="R126" s="179" t="str">
        <f t="array" ref="R126">IF($F126&lt;&gt;"", XLOOKUP($F126,Productos!$A$2:$A1001,Productos!K$2:K1001,"")*$G126,"")</f>
        <v/>
      </c>
      <c r="S126" s="179" t="str">
        <f t="array" ref="S126">IF($F126&lt;&gt;"",XLOOKUP($F126,Productos!$A:$A,Productos!L:L,"Revisar"),"")</f>
        <v/>
      </c>
      <c r="T126" s="179" t="str">
        <f t="array" ref="T126">IF($F126&lt;&gt;"", XLOOKUP($F126,Productos!$A$2:$A1001,Productos!M$2:M1001,"")*$G126,"")</f>
        <v/>
      </c>
      <c r="U126" s="179" t="str">
        <f t="array" ref="U126">IF($F126&lt;&gt;"",XLOOKUP($F126,Productos!$A:$A,Productos!N:N,"Revisar"),"")</f>
        <v/>
      </c>
      <c r="V126" s="179" t="str">
        <f t="array" ref="V126">IF($F126&lt;&gt;"", XLOOKUP($F126,Productos!$A$2:$A1001,Productos!O$2:O1001,"")*$G126,"")</f>
        <v/>
      </c>
      <c r="W126" s="179" t="str">
        <f t="array" ref="W126">IF($F126&lt;&gt;"",XLOOKUP($F126,Productos!$A:$A,Productos!P:P,"Revisar"),"")</f>
        <v/>
      </c>
      <c r="X126" s="179" t="str">
        <f t="array" ref="X126">IF($F126&lt;&gt;"", XLOOKUP($F126,Productos!$A$2:$A1001,Productos!Q$2:Q1001,"")*$G126,"")</f>
        <v/>
      </c>
      <c r="Y126" s="179" t="str">
        <f t="array" ref="Y126">IF($F126&lt;&gt;"",XLOOKUP($F126,Productos!$A:$A,Productos!R:R,"Revisar"),"")</f>
        <v/>
      </c>
      <c r="Z126" s="179" t="str">
        <f t="array" ref="Z126">IF($F126&lt;&gt;"", XLOOKUP($F126,Productos!$A$2:$A1001,Productos!S$2:S1001,"")*$G126,"")</f>
        <v/>
      </c>
      <c r="AA126" s="179" t="str">
        <f t="array" ref="AA126">IF($F126&lt;&gt;"",XLOOKUP($F126,Productos!$A:$A,Productos!T:T,"Revisar"),"")</f>
        <v/>
      </c>
      <c r="AB126" s="179" t="str">
        <f t="array" ref="AB126">IF($F126&lt;&gt;"", XLOOKUP($F126,Productos!$A$2:$A1001,Productos!U$2:U1001,"")*$G126,"")</f>
        <v/>
      </c>
      <c r="AC126" s="179" t="str">
        <f t="array" ref="AC126">IF($F126&lt;&gt;"",XLOOKUP($F126,Productos!$A:$A,Productos!V:V,"Revisar"),"")</f>
        <v/>
      </c>
      <c r="AD126" s="179" t="str">
        <f t="array" ref="AD126">IF($F126&lt;&gt;"", XLOOKUP($F126,Productos!$A$2:$A1001,Productos!W$2:W1001,"")*$G126,"")</f>
        <v/>
      </c>
      <c r="AE126" s="179" t="str">
        <f t="array" ref="AE126">IF($F126&lt;&gt;"",XLOOKUP($F126,Productos!$A:$A,Productos!X:X,"Revisar"),"")</f>
        <v/>
      </c>
      <c r="AF126" s="179" t="str">
        <f t="array" ref="AF126">IF($F126&lt;&gt;"", XLOOKUP($F126,Productos!$A$2:$A1001,Productos!Y$2:Y1001,"")*$G126,"")</f>
        <v/>
      </c>
      <c r="AG126" s="179" t="str">
        <f t="array" ref="AG126">IF($F126&lt;&gt;"",XLOOKUP($F126,Productos!$A:$A,Productos!Z:Z,"Revisar"),"")</f>
        <v/>
      </c>
      <c r="AH126" s="179" t="str">
        <f t="array" ref="AH126">IF($F126&lt;&gt;"", XLOOKUP($F126,Productos!$A$2:$A1001,Productos!AA$2:AA1001,"")*$G126,"")</f>
        <v/>
      </c>
      <c r="AI126" s="179" t="str">
        <f t="array" ref="AI126">IF($F126&lt;&gt;"",XLOOKUP($F126,Productos!$A:$A,Productos!AB:AB,"Revisar"),"")</f>
        <v/>
      </c>
      <c r="AJ126" s="179" t="str">
        <f t="array" ref="AJ126">IF($F126&lt;&gt;"", XLOOKUP($F126,Productos!$A$2:$A1001,Productos!AC$2:AC1001,"")*$G126,"")</f>
        <v/>
      </c>
      <c r="AK126" s="179" t="str">
        <f t="array" ref="AK126">IF($F126&lt;&gt;"",XLOOKUP($F126,Productos!$A:$A,Productos!AD:AD,"Revisar"),"")</f>
        <v/>
      </c>
      <c r="AL126" s="179" t="str">
        <f t="array" ref="AL126">IF($F126&lt;&gt;"", XLOOKUP($F126,Productos!$A$2:$A1001,Productos!AE$2:AE1001,"")*$G126,"")</f>
        <v/>
      </c>
      <c r="AM126" s="179" t="str">
        <f t="array" ref="AM126">IF($F126&lt;&gt;"",XLOOKUP($F126,Productos!$A:$A,Productos!AF:AF,"Revisar"),"")</f>
        <v/>
      </c>
      <c r="AN126" s="179" t="str">
        <f t="array" ref="AN126">IF($F126&lt;&gt;"", XLOOKUP($F126,Productos!$A$2:$A1001,Productos!AG$2:AG1001,"")*$G126,"")</f>
        <v/>
      </c>
      <c r="AO126" s="179" t="str">
        <f t="array" ref="AO126">IF($F126&lt;&gt;"",XLOOKUP($F126,Productos!$A:$A,Productos!AH:AH,"Revisar"),"")</f>
        <v/>
      </c>
      <c r="AP126" s="179" t="str">
        <f t="array" ref="AP126">IF($F126&lt;&gt;"", XLOOKUP($F126,Productos!$A$2:$A1001,Productos!AI$2:AI1001,"")*$G126,"")</f>
        <v/>
      </c>
      <c r="AQ126" s="179" t="str">
        <f t="array" ref="AQ126">IF($F126&lt;&gt;"",XLOOKUP($F126,Productos!$A:$A,Productos!AJ:AJ,"Revisar"),"")</f>
        <v/>
      </c>
      <c r="AR126" s="179" t="str">
        <f t="array" ref="AR126">IF($F126&lt;&gt;"", XLOOKUP($F126,Productos!$A$2:$A1001,Productos!AK$2:AK1001,"")*$G126,"")</f>
        <v/>
      </c>
      <c r="AS126" s="179" t="str">
        <f t="array" ref="AS126">IF($F126&lt;&gt;"",XLOOKUP($F126,Productos!$A:$A,Productos!AL:AL,"Revisar"),"")</f>
        <v/>
      </c>
      <c r="AT126" s="179" t="str">
        <f t="array" ref="AT126">IF($F126&lt;&gt;"", XLOOKUP($F126,Productos!$A$2:$A1001,Productos!AM$2:AM1001,"")*$G126,"")</f>
        <v/>
      </c>
      <c r="AU126" s="179" t="str">
        <f t="array" ref="AU126">IF($F126&lt;&gt;"",XLOOKUP($F126,Productos!$A:$A,Productos!AN:AN,"Revisar"),"")</f>
        <v/>
      </c>
      <c r="AV126" s="179" t="str">
        <f t="array" ref="AV126">IF($F126&lt;&gt;"", XLOOKUP($F126,Productos!$A$2:$A1001,Productos!AO$2:AO1001,"")*$G126,"")</f>
        <v/>
      </c>
      <c r="AW126" s="179" t="str">
        <f t="array" ref="AW126">IF($F126&lt;&gt;"",XLOOKUP($F126,Productos!$A:$A,Productos!AP:AP,"Revisar"),"")</f>
        <v/>
      </c>
      <c r="AX126" s="179" t="str">
        <f t="array" ref="AX126">IF($F126&lt;&gt;"", XLOOKUP($F126,Productos!$A$2:$A1001,Productos!AQ$2:AQ1001,"")*$G126,"")</f>
        <v/>
      </c>
      <c r="AY126" s="179" t="str">
        <f t="array" ref="AY126">IF($F126&lt;&gt;"",XLOOKUP($F126,Productos!$A:$A,Productos!AR:AR,"Revisar"),"")</f>
        <v/>
      </c>
      <c r="AZ126" s="179" t="str">
        <f t="array" ref="AZ126">IF($F126&lt;&gt;"", XLOOKUP($F126,Productos!$A$2:$A1001,Productos!AS$2:AS1001,"")*$G126,"")</f>
        <v/>
      </c>
      <c r="BA126" s="179" t="str">
        <f t="array" ref="BA126">IF($F126&lt;&gt;"",XLOOKUP($F126,Productos!$A:$A,Productos!AT:AT,"Revisar"),"")</f>
        <v/>
      </c>
      <c r="BB126" s="179" t="str">
        <f t="array" ref="BB126">IF($F126&lt;&gt;"", XLOOKUP($F126,Productos!$A$2:$A1001,Productos!AU$2:AU1001,"")*$G126,"")</f>
        <v/>
      </c>
      <c r="BC126" s="179" t="str">
        <f t="array" ref="BC126">IF($F126&lt;&gt;"",XLOOKUP($F126,Productos!$A:$A,Productos!AV:AV,"Revisar"),"")</f>
        <v/>
      </c>
      <c r="BD126" s="179" t="str">
        <f t="array" ref="BD126">IF($F126&lt;&gt;"", XLOOKUP($F126,Productos!$A$2:$A1001,Productos!AW$2:AW1001,"")*$G126,"")</f>
        <v/>
      </c>
      <c r="BE126" s="179" t="str">
        <f t="array" ref="BE126">IF($F126&lt;&gt;"",XLOOKUP($F126,Productos!$A:$A,Productos!AX:AX,"Revisar"),"")</f>
        <v/>
      </c>
      <c r="BF126" s="179" t="str">
        <f t="array" ref="BF126">IF($F126&lt;&gt;"", XLOOKUP($F126,Productos!$A$2:$A1001,Productos!AY$2:AY1001,"")*$G126,"")</f>
        <v/>
      </c>
      <c r="BG126" s="179" t="str">
        <f t="array" ref="BG126">IF($F126&lt;&gt;"",XLOOKUP($F126,Productos!$A:$A,Productos!AZ:AZ,"Revisar"),"")</f>
        <v/>
      </c>
      <c r="BH126" s="179" t="str">
        <f t="array" ref="BH126">IF($F126&lt;&gt;"", XLOOKUP($F126,Productos!$A$2:$A1001,Productos!BA$2:BA1001,"")*$G126,"")</f>
        <v/>
      </c>
      <c r="BI126" s="179" t="str">
        <f t="array" ref="BI126">IF($F126&lt;&gt;"",XLOOKUP($F126,Productos!$A:$A,Productos!BB:BB,"Revisar"),"")</f>
        <v/>
      </c>
      <c r="BJ126" s="179" t="str">
        <f t="array" ref="BJ126">IF($F126&lt;&gt;"", XLOOKUP($F126,Productos!$A$2:$A1001,Productos!BC$2:BC1001,"")*$G126,"")</f>
        <v/>
      </c>
      <c r="BK126" s="179" t="str">
        <f t="array" ref="BK126">IF($F126&lt;&gt;"",XLOOKUP($F126,Productos!$A:$A,Productos!BD:BD,"Revisar"),"")</f>
        <v/>
      </c>
      <c r="BL126" s="179" t="str">
        <f t="array" ref="BL126">IF($F126&lt;&gt;"", XLOOKUP($F126,Productos!$A$2:$A1001,Productos!BE$2:BE1001,"")*$G126,"")</f>
        <v/>
      </c>
      <c r="BM126" s="179" t="str">
        <f t="array" ref="BM126">IF($F126&lt;&gt;"",XLOOKUP($F126,Productos!$A:$A,Productos!BF:BF,"Revisar"),"")</f>
        <v/>
      </c>
      <c r="BN126" s="179" t="str">
        <f t="array" ref="BN126">IF($F126&lt;&gt;"", XLOOKUP($F126,Productos!$A$2:$A1001,Productos!BG$2:BG1001,"")*$G126,"")</f>
        <v/>
      </c>
      <c r="BO126" s="179" t="str">
        <f t="array" ref="BO126">IF($F126&lt;&gt;"",XLOOKUP($F126,Productos!$A:$A,Productos!BH:BH,"Revisar"),"")</f>
        <v/>
      </c>
      <c r="BP126" s="179" t="str">
        <f t="array" ref="BP126">IF($F126&lt;&gt;"", XLOOKUP($F126,Productos!$A$2:$A1001,Productos!BI$2:BI1001,"")*$G126,"")</f>
        <v/>
      </c>
      <c r="BQ126" s="179" t="str">
        <f t="array" ref="BQ126">IF($F126&lt;&gt;"",XLOOKUP($F126,Productos!$A:$A,Productos!BJ:BJ,"Revisar"),"")</f>
        <v/>
      </c>
      <c r="BR126" s="179" t="str">
        <f t="array" ref="BR126">IF($F126&lt;&gt;"", XLOOKUP($F126,Productos!$A$2:$A1001,Productos!BK$2:BK1001,"")*$G126,"")</f>
        <v/>
      </c>
      <c r="BS126" s="179" t="str">
        <f t="array" ref="BS126">IF($F126&lt;&gt;"",XLOOKUP($F126,Productos!$A:$A,Productos!BL:BL,"Revisar"),"")</f>
        <v/>
      </c>
      <c r="BT126" s="179" t="str">
        <f t="array" ref="BT126">IF($F126&lt;&gt;"", XLOOKUP($F126,Productos!$A$2:$A1001,Productos!BM$2:BM1001,"")*$G126,"")</f>
        <v/>
      </c>
      <c r="BU126" s="179" t="str">
        <f t="array" ref="BU126">IF($F126&lt;&gt;"",XLOOKUP($F126,Productos!$A:$A,Productos!BN:BN,"Revisar"),"")</f>
        <v/>
      </c>
      <c r="BV126" s="179" t="str">
        <f t="array" ref="BV126">IF($F126&lt;&gt;"", XLOOKUP($F126,Productos!$A$2:$A1001,Productos!BO$2:BO1001,"")*$G126,"")</f>
        <v/>
      </c>
      <c r="BW126" s="179" t="str">
        <f t="array" ref="BW126">IF($F126&lt;&gt;"",XLOOKUP($F126,Productos!$A:$A,Productos!BP:BP,"Revisar"),"")</f>
        <v/>
      </c>
      <c r="BX126" s="179" t="str">
        <f t="array" ref="BX126">IF($F126&lt;&gt;"", XLOOKUP($F126,Productos!$A$2:$A1001,Productos!BQ$2:BQ1001,"")*$G126,"")</f>
        <v/>
      </c>
      <c r="BY126" s="179" t="str">
        <f t="array" ref="BY126">IF($F126&lt;&gt;"",XLOOKUP($F126,Productos!$A:$A,Productos!BR:BR,"Revisar"),"")</f>
        <v/>
      </c>
      <c r="BZ126" s="179" t="str">
        <f t="array" ref="BZ126">IF($F126&lt;&gt;"", XLOOKUP($F126,Productos!$A$2:$A1001,Productos!BS$2:BS1001,"")*$G126,"")</f>
        <v/>
      </c>
    </row>
    <row r="127">
      <c r="A127" s="180"/>
      <c r="B127" s="181"/>
      <c r="C127" s="182"/>
      <c r="D127" s="182"/>
      <c r="E127" s="185"/>
      <c r="F127" s="186"/>
      <c r="G127" s="187"/>
      <c r="H127" s="186"/>
      <c r="I127" s="179" t="str">
        <f t="array" ref="I127">IF($F127&lt;&gt;"",XLOOKUP($F127,Productos!$A:$A,Productos!B:B,"Revisar"),"")</f>
        <v/>
      </c>
      <c r="J127" s="179" t="str">
        <f t="array" ref="J127">IF($F127&lt;&gt;"", XLOOKUP($F127,Productos!$A$2:$A1001,Productos!C$2:C1001,"")*$G127,"")</f>
        <v/>
      </c>
      <c r="K127" s="179" t="str">
        <f t="array" ref="K127">IF($F127&lt;&gt;"",XLOOKUP($F127,Productos!$A:$A,Productos!D:D,"Revisar"),"")</f>
        <v/>
      </c>
      <c r="L127" s="179" t="str">
        <f t="array" ref="L127">IF($F127&lt;&gt;"", XLOOKUP($F127,Productos!$A$2:$A1001,Productos!E$2:E1001,"")*$G127,"")</f>
        <v/>
      </c>
      <c r="M127" s="179" t="str">
        <f t="array" ref="M127">IF($F127&lt;&gt;"",XLOOKUP($F127,Productos!$A:$A,Productos!F:F,"Revisar"),"")</f>
        <v/>
      </c>
      <c r="N127" s="179" t="str">
        <f t="array" ref="N127">IF($F127&lt;&gt;"", XLOOKUP($F127,Productos!$A$2:$A1001,Productos!G$2:G1001,"")*$G127,"")</f>
        <v/>
      </c>
      <c r="O127" s="179" t="str">
        <f t="array" ref="O127">IF($F127&lt;&gt;"",XLOOKUP($F127,Productos!$A:$A,Productos!H:H,"Revisar"),"")</f>
        <v/>
      </c>
      <c r="P127" s="179" t="str">
        <f t="array" ref="P127">IF($F127&lt;&gt;"", XLOOKUP($F127,Productos!$A$2:$A1001,Productos!I$2:I1001,"")*$G127,"")</f>
        <v/>
      </c>
      <c r="Q127" s="179" t="str">
        <f t="array" ref="Q127">IF($F127&lt;&gt;"",XLOOKUP($F127,Productos!$A:$A,Productos!J:J,"Revisar"),"")</f>
        <v/>
      </c>
      <c r="R127" s="179" t="str">
        <f t="array" ref="R127">IF($F127&lt;&gt;"", XLOOKUP($F127,Productos!$A$2:$A1001,Productos!K$2:K1001,"")*$G127,"")</f>
        <v/>
      </c>
      <c r="S127" s="179" t="str">
        <f t="array" ref="S127">IF($F127&lt;&gt;"",XLOOKUP($F127,Productos!$A:$A,Productos!L:L,"Revisar"),"")</f>
        <v/>
      </c>
      <c r="T127" s="179" t="str">
        <f t="array" ref="T127">IF($F127&lt;&gt;"", XLOOKUP($F127,Productos!$A$2:$A1001,Productos!M$2:M1001,"")*$G127,"")</f>
        <v/>
      </c>
      <c r="U127" s="179" t="str">
        <f t="array" ref="U127">IF($F127&lt;&gt;"",XLOOKUP($F127,Productos!$A:$A,Productos!N:N,"Revisar"),"")</f>
        <v/>
      </c>
      <c r="V127" s="179" t="str">
        <f t="array" ref="V127">IF($F127&lt;&gt;"", XLOOKUP($F127,Productos!$A$2:$A1001,Productos!O$2:O1001,"")*$G127,"")</f>
        <v/>
      </c>
      <c r="W127" s="179" t="str">
        <f t="array" ref="W127">IF($F127&lt;&gt;"",XLOOKUP($F127,Productos!$A:$A,Productos!P:P,"Revisar"),"")</f>
        <v/>
      </c>
      <c r="X127" s="179" t="str">
        <f t="array" ref="X127">IF($F127&lt;&gt;"", XLOOKUP($F127,Productos!$A$2:$A1001,Productos!Q$2:Q1001,"")*$G127,"")</f>
        <v/>
      </c>
      <c r="Y127" s="179" t="str">
        <f t="array" ref="Y127">IF($F127&lt;&gt;"",XLOOKUP($F127,Productos!$A:$A,Productos!R:R,"Revisar"),"")</f>
        <v/>
      </c>
      <c r="Z127" s="179" t="str">
        <f t="array" ref="Z127">IF($F127&lt;&gt;"", XLOOKUP($F127,Productos!$A$2:$A1001,Productos!S$2:S1001,"")*$G127,"")</f>
        <v/>
      </c>
      <c r="AA127" s="179" t="str">
        <f t="array" ref="AA127">IF($F127&lt;&gt;"",XLOOKUP($F127,Productos!$A:$A,Productos!T:T,"Revisar"),"")</f>
        <v/>
      </c>
      <c r="AB127" s="179" t="str">
        <f t="array" ref="AB127">IF($F127&lt;&gt;"", XLOOKUP($F127,Productos!$A$2:$A1001,Productos!U$2:U1001,"")*$G127,"")</f>
        <v/>
      </c>
      <c r="AC127" s="179" t="str">
        <f t="array" ref="AC127">IF($F127&lt;&gt;"",XLOOKUP($F127,Productos!$A:$A,Productos!V:V,"Revisar"),"")</f>
        <v/>
      </c>
      <c r="AD127" s="179" t="str">
        <f t="array" ref="AD127">IF($F127&lt;&gt;"", XLOOKUP($F127,Productos!$A$2:$A1001,Productos!W$2:W1001,"")*$G127,"")</f>
        <v/>
      </c>
      <c r="AE127" s="179" t="str">
        <f t="array" ref="AE127">IF($F127&lt;&gt;"",XLOOKUP($F127,Productos!$A:$A,Productos!X:X,"Revisar"),"")</f>
        <v/>
      </c>
      <c r="AF127" s="179" t="str">
        <f t="array" ref="AF127">IF($F127&lt;&gt;"", XLOOKUP($F127,Productos!$A$2:$A1001,Productos!Y$2:Y1001,"")*$G127,"")</f>
        <v/>
      </c>
      <c r="AG127" s="179" t="str">
        <f t="array" ref="AG127">IF($F127&lt;&gt;"",XLOOKUP($F127,Productos!$A:$A,Productos!Z:Z,"Revisar"),"")</f>
        <v/>
      </c>
      <c r="AH127" s="179" t="str">
        <f t="array" ref="AH127">IF($F127&lt;&gt;"", XLOOKUP($F127,Productos!$A$2:$A1001,Productos!AA$2:AA1001,"")*$G127,"")</f>
        <v/>
      </c>
      <c r="AI127" s="179" t="str">
        <f t="array" ref="AI127">IF($F127&lt;&gt;"",XLOOKUP($F127,Productos!$A:$A,Productos!AB:AB,"Revisar"),"")</f>
        <v/>
      </c>
      <c r="AJ127" s="179" t="str">
        <f t="array" ref="AJ127">IF($F127&lt;&gt;"", XLOOKUP($F127,Productos!$A$2:$A1001,Productos!AC$2:AC1001,"")*$G127,"")</f>
        <v/>
      </c>
      <c r="AK127" s="179" t="str">
        <f t="array" ref="AK127">IF($F127&lt;&gt;"",XLOOKUP($F127,Productos!$A:$A,Productos!AD:AD,"Revisar"),"")</f>
        <v/>
      </c>
      <c r="AL127" s="179" t="str">
        <f t="array" ref="AL127">IF($F127&lt;&gt;"", XLOOKUP($F127,Productos!$A$2:$A1001,Productos!AE$2:AE1001,"")*$G127,"")</f>
        <v/>
      </c>
      <c r="AM127" s="179" t="str">
        <f t="array" ref="AM127">IF($F127&lt;&gt;"",XLOOKUP($F127,Productos!$A:$A,Productos!AF:AF,"Revisar"),"")</f>
        <v/>
      </c>
      <c r="AN127" s="179" t="str">
        <f t="array" ref="AN127">IF($F127&lt;&gt;"", XLOOKUP($F127,Productos!$A$2:$A1001,Productos!AG$2:AG1001,"")*$G127,"")</f>
        <v/>
      </c>
      <c r="AO127" s="179" t="str">
        <f t="array" ref="AO127">IF($F127&lt;&gt;"",XLOOKUP($F127,Productos!$A:$A,Productos!AH:AH,"Revisar"),"")</f>
        <v/>
      </c>
      <c r="AP127" s="179" t="str">
        <f t="array" ref="AP127">IF($F127&lt;&gt;"", XLOOKUP($F127,Productos!$A$2:$A1001,Productos!AI$2:AI1001,"")*$G127,"")</f>
        <v/>
      </c>
      <c r="AQ127" s="179" t="str">
        <f t="array" ref="AQ127">IF($F127&lt;&gt;"",XLOOKUP($F127,Productos!$A:$A,Productos!AJ:AJ,"Revisar"),"")</f>
        <v/>
      </c>
      <c r="AR127" s="179" t="str">
        <f t="array" ref="AR127">IF($F127&lt;&gt;"", XLOOKUP($F127,Productos!$A$2:$A1001,Productos!AK$2:AK1001,"")*$G127,"")</f>
        <v/>
      </c>
      <c r="AS127" s="179" t="str">
        <f t="array" ref="AS127">IF($F127&lt;&gt;"",XLOOKUP($F127,Productos!$A:$A,Productos!AL:AL,"Revisar"),"")</f>
        <v/>
      </c>
      <c r="AT127" s="179" t="str">
        <f t="array" ref="AT127">IF($F127&lt;&gt;"", XLOOKUP($F127,Productos!$A$2:$A1001,Productos!AM$2:AM1001,"")*$G127,"")</f>
        <v/>
      </c>
      <c r="AU127" s="179" t="str">
        <f t="array" ref="AU127">IF($F127&lt;&gt;"",XLOOKUP($F127,Productos!$A:$A,Productos!AN:AN,"Revisar"),"")</f>
        <v/>
      </c>
      <c r="AV127" s="179" t="str">
        <f t="array" ref="AV127">IF($F127&lt;&gt;"", XLOOKUP($F127,Productos!$A$2:$A1001,Productos!AO$2:AO1001,"")*$G127,"")</f>
        <v/>
      </c>
      <c r="AW127" s="179" t="str">
        <f t="array" ref="AW127">IF($F127&lt;&gt;"",XLOOKUP($F127,Productos!$A:$A,Productos!AP:AP,"Revisar"),"")</f>
        <v/>
      </c>
      <c r="AX127" s="179" t="str">
        <f t="array" ref="AX127">IF($F127&lt;&gt;"", XLOOKUP($F127,Productos!$A$2:$A1001,Productos!AQ$2:AQ1001,"")*$G127,"")</f>
        <v/>
      </c>
      <c r="AY127" s="179" t="str">
        <f t="array" ref="AY127">IF($F127&lt;&gt;"",XLOOKUP($F127,Productos!$A:$A,Productos!AR:AR,"Revisar"),"")</f>
        <v/>
      </c>
      <c r="AZ127" s="179" t="str">
        <f t="array" ref="AZ127">IF($F127&lt;&gt;"", XLOOKUP($F127,Productos!$A$2:$A1001,Productos!AS$2:AS1001,"")*$G127,"")</f>
        <v/>
      </c>
      <c r="BA127" s="179" t="str">
        <f t="array" ref="BA127">IF($F127&lt;&gt;"",XLOOKUP($F127,Productos!$A:$A,Productos!AT:AT,"Revisar"),"")</f>
        <v/>
      </c>
      <c r="BB127" s="179" t="str">
        <f t="array" ref="BB127">IF($F127&lt;&gt;"", XLOOKUP($F127,Productos!$A$2:$A1001,Productos!AU$2:AU1001,"")*$G127,"")</f>
        <v/>
      </c>
      <c r="BC127" s="179" t="str">
        <f t="array" ref="BC127">IF($F127&lt;&gt;"",XLOOKUP($F127,Productos!$A:$A,Productos!AV:AV,"Revisar"),"")</f>
        <v/>
      </c>
      <c r="BD127" s="179" t="str">
        <f t="array" ref="BD127">IF($F127&lt;&gt;"", XLOOKUP($F127,Productos!$A$2:$A1001,Productos!AW$2:AW1001,"")*$G127,"")</f>
        <v/>
      </c>
      <c r="BE127" s="179" t="str">
        <f t="array" ref="BE127">IF($F127&lt;&gt;"",XLOOKUP($F127,Productos!$A:$A,Productos!AX:AX,"Revisar"),"")</f>
        <v/>
      </c>
      <c r="BF127" s="179" t="str">
        <f t="array" ref="BF127">IF($F127&lt;&gt;"", XLOOKUP($F127,Productos!$A$2:$A1001,Productos!AY$2:AY1001,"")*$G127,"")</f>
        <v/>
      </c>
      <c r="BG127" s="179" t="str">
        <f t="array" ref="BG127">IF($F127&lt;&gt;"",XLOOKUP($F127,Productos!$A:$A,Productos!AZ:AZ,"Revisar"),"")</f>
        <v/>
      </c>
      <c r="BH127" s="179" t="str">
        <f t="array" ref="BH127">IF($F127&lt;&gt;"", XLOOKUP($F127,Productos!$A$2:$A1001,Productos!BA$2:BA1001,"")*$G127,"")</f>
        <v/>
      </c>
      <c r="BI127" s="179" t="str">
        <f t="array" ref="BI127">IF($F127&lt;&gt;"",XLOOKUP($F127,Productos!$A:$A,Productos!BB:BB,"Revisar"),"")</f>
        <v/>
      </c>
      <c r="BJ127" s="179" t="str">
        <f t="array" ref="BJ127">IF($F127&lt;&gt;"", XLOOKUP($F127,Productos!$A$2:$A1001,Productos!BC$2:BC1001,"")*$G127,"")</f>
        <v/>
      </c>
      <c r="BK127" s="179" t="str">
        <f t="array" ref="BK127">IF($F127&lt;&gt;"",XLOOKUP($F127,Productos!$A:$A,Productos!BD:BD,"Revisar"),"")</f>
        <v/>
      </c>
      <c r="BL127" s="179" t="str">
        <f t="array" ref="BL127">IF($F127&lt;&gt;"", XLOOKUP($F127,Productos!$A$2:$A1001,Productos!BE$2:BE1001,"")*$G127,"")</f>
        <v/>
      </c>
      <c r="BM127" s="179" t="str">
        <f t="array" ref="BM127">IF($F127&lt;&gt;"",XLOOKUP($F127,Productos!$A:$A,Productos!BF:BF,"Revisar"),"")</f>
        <v/>
      </c>
      <c r="BN127" s="179" t="str">
        <f t="array" ref="BN127">IF($F127&lt;&gt;"", XLOOKUP($F127,Productos!$A$2:$A1001,Productos!BG$2:BG1001,"")*$G127,"")</f>
        <v/>
      </c>
      <c r="BO127" s="179" t="str">
        <f t="array" ref="BO127">IF($F127&lt;&gt;"",XLOOKUP($F127,Productos!$A:$A,Productos!BH:BH,"Revisar"),"")</f>
        <v/>
      </c>
      <c r="BP127" s="179" t="str">
        <f t="array" ref="BP127">IF($F127&lt;&gt;"", XLOOKUP($F127,Productos!$A$2:$A1001,Productos!BI$2:BI1001,"")*$G127,"")</f>
        <v/>
      </c>
      <c r="BQ127" s="179" t="str">
        <f t="array" ref="BQ127">IF($F127&lt;&gt;"",XLOOKUP($F127,Productos!$A:$A,Productos!BJ:BJ,"Revisar"),"")</f>
        <v/>
      </c>
      <c r="BR127" s="179" t="str">
        <f t="array" ref="BR127">IF($F127&lt;&gt;"", XLOOKUP($F127,Productos!$A$2:$A1001,Productos!BK$2:BK1001,"")*$G127,"")</f>
        <v/>
      </c>
      <c r="BS127" s="179" t="str">
        <f t="array" ref="BS127">IF($F127&lt;&gt;"",XLOOKUP($F127,Productos!$A:$A,Productos!BL:BL,"Revisar"),"")</f>
        <v/>
      </c>
      <c r="BT127" s="179" t="str">
        <f t="array" ref="BT127">IF($F127&lt;&gt;"", XLOOKUP($F127,Productos!$A$2:$A1001,Productos!BM$2:BM1001,"")*$G127,"")</f>
        <v/>
      </c>
      <c r="BU127" s="179" t="str">
        <f t="array" ref="BU127">IF($F127&lt;&gt;"",XLOOKUP($F127,Productos!$A:$A,Productos!BN:BN,"Revisar"),"")</f>
        <v/>
      </c>
      <c r="BV127" s="179" t="str">
        <f t="array" ref="BV127">IF($F127&lt;&gt;"", XLOOKUP($F127,Productos!$A$2:$A1001,Productos!BO$2:BO1001,"")*$G127,"")</f>
        <v/>
      </c>
      <c r="BW127" s="179" t="str">
        <f t="array" ref="BW127">IF($F127&lt;&gt;"",XLOOKUP($F127,Productos!$A:$A,Productos!BP:BP,"Revisar"),"")</f>
        <v/>
      </c>
      <c r="BX127" s="179" t="str">
        <f t="array" ref="BX127">IF($F127&lt;&gt;"", XLOOKUP($F127,Productos!$A$2:$A1001,Productos!BQ$2:BQ1001,"")*$G127,"")</f>
        <v/>
      </c>
      <c r="BY127" s="179" t="str">
        <f t="array" ref="BY127">IF($F127&lt;&gt;"",XLOOKUP($F127,Productos!$A:$A,Productos!BR:BR,"Revisar"),"")</f>
        <v/>
      </c>
      <c r="BZ127" s="179" t="str">
        <f t="array" ref="BZ127">IF($F127&lt;&gt;"", XLOOKUP($F127,Productos!$A$2:$A1001,Productos!BS$2:BS1001,"")*$G127,"")</f>
        <v/>
      </c>
    </row>
    <row r="128">
      <c r="A128" s="180"/>
      <c r="B128" s="181"/>
      <c r="C128" s="182"/>
      <c r="D128" s="182"/>
      <c r="E128" s="185"/>
      <c r="F128" s="186"/>
      <c r="G128" s="187"/>
      <c r="H128" s="186"/>
      <c r="I128" s="179" t="str">
        <f t="array" ref="I128">IF($F128&lt;&gt;"",XLOOKUP($F128,Productos!$A:$A,Productos!B:B,"Revisar"),"")</f>
        <v/>
      </c>
      <c r="J128" s="179" t="str">
        <f t="array" ref="J128">IF($F128&lt;&gt;"", XLOOKUP($F128,Productos!$A$2:$A1001,Productos!C$2:C1001,"")*$G128,"")</f>
        <v/>
      </c>
      <c r="K128" s="179" t="str">
        <f t="array" ref="K128">IF($F128&lt;&gt;"",XLOOKUP($F128,Productos!$A:$A,Productos!D:D,"Revisar"),"")</f>
        <v/>
      </c>
      <c r="L128" s="179" t="str">
        <f t="array" ref="L128">IF($F128&lt;&gt;"", XLOOKUP($F128,Productos!$A$2:$A1001,Productos!E$2:E1001,"")*$G128,"")</f>
        <v/>
      </c>
      <c r="M128" s="179" t="str">
        <f t="array" ref="M128">IF($F128&lt;&gt;"",XLOOKUP($F128,Productos!$A:$A,Productos!F:F,"Revisar"),"")</f>
        <v/>
      </c>
      <c r="N128" s="179" t="str">
        <f t="array" ref="N128">IF($F128&lt;&gt;"", XLOOKUP($F128,Productos!$A$2:$A1001,Productos!G$2:G1001,"")*$G128,"")</f>
        <v/>
      </c>
      <c r="O128" s="179" t="str">
        <f t="array" ref="O128">IF($F128&lt;&gt;"",XLOOKUP($F128,Productos!$A:$A,Productos!H:H,"Revisar"),"")</f>
        <v/>
      </c>
      <c r="P128" s="179" t="str">
        <f t="array" ref="P128">IF($F128&lt;&gt;"", XLOOKUP($F128,Productos!$A$2:$A1001,Productos!I$2:I1001,"")*$G128,"")</f>
        <v/>
      </c>
      <c r="Q128" s="179" t="str">
        <f t="array" ref="Q128">IF($F128&lt;&gt;"",XLOOKUP($F128,Productos!$A:$A,Productos!J:J,"Revisar"),"")</f>
        <v/>
      </c>
      <c r="R128" s="179" t="str">
        <f t="array" ref="R128">IF($F128&lt;&gt;"", XLOOKUP($F128,Productos!$A$2:$A1001,Productos!K$2:K1001,"")*$G128,"")</f>
        <v/>
      </c>
      <c r="S128" s="179" t="str">
        <f t="array" ref="S128">IF($F128&lt;&gt;"",XLOOKUP($F128,Productos!$A:$A,Productos!L:L,"Revisar"),"")</f>
        <v/>
      </c>
      <c r="T128" s="179" t="str">
        <f t="array" ref="T128">IF($F128&lt;&gt;"", XLOOKUP($F128,Productos!$A$2:$A1001,Productos!M$2:M1001,"")*$G128,"")</f>
        <v/>
      </c>
      <c r="U128" s="179" t="str">
        <f t="array" ref="U128">IF($F128&lt;&gt;"",XLOOKUP($F128,Productos!$A:$A,Productos!N:N,"Revisar"),"")</f>
        <v/>
      </c>
      <c r="V128" s="179" t="str">
        <f t="array" ref="V128">IF($F128&lt;&gt;"", XLOOKUP($F128,Productos!$A$2:$A1001,Productos!O$2:O1001,"")*$G128,"")</f>
        <v/>
      </c>
      <c r="W128" s="179" t="str">
        <f t="array" ref="W128">IF($F128&lt;&gt;"",XLOOKUP($F128,Productos!$A:$A,Productos!P:P,"Revisar"),"")</f>
        <v/>
      </c>
      <c r="X128" s="179" t="str">
        <f t="array" ref="X128">IF($F128&lt;&gt;"", XLOOKUP($F128,Productos!$A$2:$A1001,Productos!Q$2:Q1001,"")*$G128,"")</f>
        <v/>
      </c>
      <c r="Y128" s="179" t="str">
        <f t="array" ref="Y128">IF($F128&lt;&gt;"",XLOOKUP($F128,Productos!$A:$A,Productos!R:R,"Revisar"),"")</f>
        <v/>
      </c>
      <c r="Z128" s="179" t="str">
        <f t="array" ref="Z128">IF($F128&lt;&gt;"", XLOOKUP($F128,Productos!$A$2:$A1001,Productos!S$2:S1001,"")*$G128,"")</f>
        <v/>
      </c>
      <c r="AA128" s="179" t="str">
        <f t="array" ref="AA128">IF($F128&lt;&gt;"",XLOOKUP($F128,Productos!$A:$A,Productos!T:T,"Revisar"),"")</f>
        <v/>
      </c>
      <c r="AB128" s="179" t="str">
        <f t="array" ref="AB128">IF($F128&lt;&gt;"", XLOOKUP($F128,Productos!$A$2:$A1001,Productos!U$2:U1001,"")*$G128,"")</f>
        <v/>
      </c>
      <c r="AC128" s="179" t="str">
        <f t="array" ref="AC128">IF($F128&lt;&gt;"",XLOOKUP($F128,Productos!$A:$A,Productos!V:V,"Revisar"),"")</f>
        <v/>
      </c>
      <c r="AD128" s="179" t="str">
        <f t="array" ref="AD128">IF($F128&lt;&gt;"", XLOOKUP($F128,Productos!$A$2:$A1001,Productos!W$2:W1001,"")*$G128,"")</f>
        <v/>
      </c>
      <c r="AE128" s="179" t="str">
        <f t="array" ref="AE128">IF($F128&lt;&gt;"",XLOOKUP($F128,Productos!$A:$A,Productos!X:X,"Revisar"),"")</f>
        <v/>
      </c>
      <c r="AF128" s="179" t="str">
        <f t="array" ref="AF128">IF($F128&lt;&gt;"", XLOOKUP($F128,Productos!$A$2:$A1001,Productos!Y$2:Y1001,"")*$G128,"")</f>
        <v/>
      </c>
      <c r="AG128" s="179" t="str">
        <f t="array" ref="AG128">IF($F128&lt;&gt;"",XLOOKUP($F128,Productos!$A:$A,Productos!Z:Z,"Revisar"),"")</f>
        <v/>
      </c>
      <c r="AH128" s="179" t="str">
        <f t="array" ref="AH128">IF($F128&lt;&gt;"", XLOOKUP($F128,Productos!$A$2:$A1001,Productos!AA$2:AA1001,"")*$G128,"")</f>
        <v/>
      </c>
      <c r="AI128" s="179" t="str">
        <f t="array" ref="AI128">IF($F128&lt;&gt;"",XLOOKUP($F128,Productos!$A:$A,Productos!AB:AB,"Revisar"),"")</f>
        <v/>
      </c>
      <c r="AJ128" s="179" t="str">
        <f t="array" ref="AJ128">IF($F128&lt;&gt;"", XLOOKUP($F128,Productos!$A$2:$A1001,Productos!AC$2:AC1001,"")*$G128,"")</f>
        <v/>
      </c>
      <c r="AK128" s="179" t="str">
        <f t="array" ref="AK128">IF($F128&lt;&gt;"",XLOOKUP($F128,Productos!$A:$A,Productos!AD:AD,"Revisar"),"")</f>
        <v/>
      </c>
      <c r="AL128" s="179" t="str">
        <f t="array" ref="AL128">IF($F128&lt;&gt;"", XLOOKUP($F128,Productos!$A$2:$A1001,Productos!AE$2:AE1001,"")*$G128,"")</f>
        <v/>
      </c>
      <c r="AM128" s="179" t="str">
        <f t="array" ref="AM128">IF($F128&lt;&gt;"",XLOOKUP($F128,Productos!$A:$A,Productos!AF:AF,"Revisar"),"")</f>
        <v/>
      </c>
      <c r="AN128" s="179" t="str">
        <f t="array" ref="AN128">IF($F128&lt;&gt;"", XLOOKUP($F128,Productos!$A$2:$A1001,Productos!AG$2:AG1001,"")*$G128,"")</f>
        <v/>
      </c>
      <c r="AO128" s="179" t="str">
        <f t="array" ref="AO128">IF($F128&lt;&gt;"",XLOOKUP($F128,Productos!$A:$A,Productos!AH:AH,"Revisar"),"")</f>
        <v/>
      </c>
      <c r="AP128" s="179" t="str">
        <f t="array" ref="AP128">IF($F128&lt;&gt;"", XLOOKUP($F128,Productos!$A$2:$A1001,Productos!AI$2:AI1001,"")*$G128,"")</f>
        <v/>
      </c>
      <c r="AQ128" s="179" t="str">
        <f t="array" ref="AQ128">IF($F128&lt;&gt;"",XLOOKUP($F128,Productos!$A:$A,Productos!AJ:AJ,"Revisar"),"")</f>
        <v/>
      </c>
      <c r="AR128" s="179" t="str">
        <f t="array" ref="AR128">IF($F128&lt;&gt;"", XLOOKUP($F128,Productos!$A$2:$A1001,Productos!AK$2:AK1001,"")*$G128,"")</f>
        <v/>
      </c>
      <c r="AS128" s="179" t="str">
        <f t="array" ref="AS128">IF($F128&lt;&gt;"",XLOOKUP($F128,Productos!$A:$A,Productos!AL:AL,"Revisar"),"")</f>
        <v/>
      </c>
      <c r="AT128" s="179" t="str">
        <f t="array" ref="AT128">IF($F128&lt;&gt;"", XLOOKUP($F128,Productos!$A$2:$A1001,Productos!AM$2:AM1001,"")*$G128,"")</f>
        <v/>
      </c>
      <c r="AU128" s="179" t="str">
        <f t="array" ref="AU128">IF($F128&lt;&gt;"",XLOOKUP($F128,Productos!$A:$A,Productos!AN:AN,"Revisar"),"")</f>
        <v/>
      </c>
      <c r="AV128" s="179" t="str">
        <f t="array" ref="AV128">IF($F128&lt;&gt;"", XLOOKUP($F128,Productos!$A$2:$A1001,Productos!AO$2:AO1001,"")*$G128,"")</f>
        <v/>
      </c>
      <c r="AW128" s="179" t="str">
        <f t="array" ref="AW128">IF($F128&lt;&gt;"",XLOOKUP($F128,Productos!$A:$A,Productos!AP:AP,"Revisar"),"")</f>
        <v/>
      </c>
      <c r="AX128" s="179" t="str">
        <f t="array" ref="AX128">IF($F128&lt;&gt;"", XLOOKUP($F128,Productos!$A$2:$A1001,Productos!AQ$2:AQ1001,"")*$G128,"")</f>
        <v/>
      </c>
      <c r="AY128" s="179" t="str">
        <f t="array" ref="AY128">IF($F128&lt;&gt;"",XLOOKUP($F128,Productos!$A:$A,Productos!AR:AR,"Revisar"),"")</f>
        <v/>
      </c>
      <c r="AZ128" s="179" t="str">
        <f t="array" ref="AZ128">IF($F128&lt;&gt;"", XLOOKUP($F128,Productos!$A$2:$A1001,Productos!AS$2:AS1001,"")*$G128,"")</f>
        <v/>
      </c>
      <c r="BA128" s="179" t="str">
        <f t="array" ref="BA128">IF($F128&lt;&gt;"",XLOOKUP($F128,Productos!$A:$A,Productos!AT:AT,"Revisar"),"")</f>
        <v/>
      </c>
      <c r="BB128" s="179" t="str">
        <f t="array" ref="BB128">IF($F128&lt;&gt;"", XLOOKUP($F128,Productos!$A$2:$A1001,Productos!AU$2:AU1001,"")*$G128,"")</f>
        <v/>
      </c>
      <c r="BC128" s="179" t="str">
        <f t="array" ref="BC128">IF($F128&lt;&gt;"",XLOOKUP($F128,Productos!$A:$A,Productos!AV:AV,"Revisar"),"")</f>
        <v/>
      </c>
      <c r="BD128" s="179" t="str">
        <f t="array" ref="BD128">IF($F128&lt;&gt;"", XLOOKUP($F128,Productos!$A$2:$A1001,Productos!AW$2:AW1001,"")*$G128,"")</f>
        <v/>
      </c>
      <c r="BE128" s="179" t="str">
        <f t="array" ref="BE128">IF($F128&lt;&gt;"",XLOOKUP($F128,Productos!$A:$A,Productos!AX:AX,"Revisar"),"")</f>
        <v/>
      </c>
      <c r="BF128" s="179" t="str">
        <f t="array" ref="BF128">IF($F128&lt;&gt;"", XLOOKUP($F128,Productos!$A$2:$A1001,Productos!AY$2:AY1001,"")*$G128,"")</f>
        <v/>
      </c>
      <c r="BG128" s="179" t="str">
        <f t="array" ref="BG128">IF($F128&lt;&gt;"",XLOOKUP($F128,Productos!$A:$A,Productos!AZ:AZ,"Revisar"),"")</f>
        <v/>
      </c>
      <c r="BH128" s="179" t="str">
        <f t="array" ref="BH128">IF($F128&lt;&gt;"", XLOOKUP($F128,Productos!$A$2:$A1001,Productos!BA$2:BA1001,"")*$G128,"")</f>
        <v/>
      </c>
      <c r="BI128" s="179" t="str">
        <f t="array" ref="BI128">IF($F128&lt;&gt;"",XLOOKUP($F128,Productos!$A:$A,Productos!BB:BB,"Revisar"),"")</f>
        <v/>
      </c>
      <c r="BJ128" s="179" t="str">
        <f t="array" ref="BJ128">IF($F128&lt;&gt;"", XLOOKUP($F128,Productos!$A$2:$A1001,Productos!BC$2:BC1001,"")*$G128,"")</f>
        <v/>
      </c>
      <c r="BK128" s="179" t="str">
        <f t="array" ref="BK128">IF($F128&lt;&gt;"",XLOOKUP($F128,Productos!$A:$A,Productos!BD:BD,"Revisar"),"")</f>
        <v/>
      </c>
      <c r="BL128" s="179" t="str">
        <f t="array" ref="BL128">IF($F128&lt;&gt;"", XLOOKUP($F128,Productos!$A$2:$A1001,Productos!BE$2:BE1001,"")*$G128,"")</f>
        <v/>
      </c>
      <c r="BM128" s="179" t="str">
        <f t="array" ref="BM128">IF($F128&lt;&gt;"",XLOOKUP($F128,Productos!$A:$A,Productos!BF:BF,"Revisar"),"")</f>
        <v/>
      </c>
      <c r="BN128" s="179" t="str">
        <f t="array" ref="BN128">IF($F128&lt;&gt;"", XLOOKUP($F128,Productos!$A$2:$A1001,Productos!BG$2:BG1001,"")*$G128,"")</f>
        <v/>
      </c>
      <c r="BO128" s="179" t="str">
        <f t="array" ref="BO128">IF($F128&lt;&gt;"",XLOOKUP($F128,Productos!$A:$A,Productos!BH:BH,"Revisar"),"")</f>
        <v/>
      </c>
      <c r="BP128" s="179" t="str">
        <f t="array" ref="BP128">IF($F128&lt;&gt;"", XLOOKUP($F128,Productos!$A$2:$A1001,Productos!BI$2:BI1001,"")*$G128,"")</f>
        <v/>
      </c>
      <c r="BQ128" s="179" t="str">
        <f t="array" ref="BQ128">IF($F128&lt;&gt;"",XLOOKUP($F128,Productos!$A:$A,Productos!BJ:BJ,"Revisar"),"")</f>
        <v/>
      </c>
      <c r="BR128" s="179" t="str">
        <f t="array" ref="BR128">IF($F128&lt;&gt;"", XLOOKUP($F128,Productos!$A$2:$A1001,Productos!BK$2:BK1001,"")*$G128,"")</f>
        <v/>
      </c>
      <c r="BS128" s="179" t="str">
        <f t="array" ref="BS128">IF($F128&lt;&gt;"",XLOOKUP($F128,Productos!$A:$A,Productos!BL:BL,"Revisar"),"")</f>
        <v/>
      </c>
      <c r="BT128" s="179" t="str">
        <f t="array" ref="BT128">IF($F128&lt;&gt;"", XLOOKUP($F128,Productos!$A$2:$A1001,Productos!BM$2:BM1001,"")*$G128,"")</f>
        <v/>
      </c>
      <c r="BU128" s="179" t="str">
        <f t="array" ref="BU128">IF($F128&lt;&gt;"",XLOOKUP($F128,Productos!$A:$A,Productos!BN:BN,"Revisar"),"")</f>
        <v/>
      </c>
      <c r="BV128" s="179" t="str">
        <f t="array" ref="BV128">IF($F128&lt;&gt;"", XLOOKUP($F128,Productos!$A$2:$A1001,Productos!BO$2:BO1001,"")*$G128,"")</f>
        <v/>
      </c>
      <c r="BW128" s="179" t="str">
        <f t="array" ref="BW128">IF($F128&lt;&gt;"",XLOOKUP($F128,Productos!$A:$A,Productos!BP:BP,"Revisar"),"")</f>
        <v/>
      </c>
      <c r="BX128" s="179" t="str">
        <f t="array" ref="BX128">IF($F128&lt;&gt;"", XLOOKUP($F128,Productos!$A$2:$A1001,Productos!BQ$2:BQ1001,"")*$G128,"")</f>
        <v/>
      </c>
      <c r="BY128" s="179" t="str">
        <f t="array" ref="BY128">IF($F128&lt;&gt;"",XLOOKUP($F128,Productos!$A:$A,Productos!BR:BR,"Revisar"),"")</f>
        <v/>
      </c>
      <c r="BZ128" s="179" t="str">
        <f t="array" ref="BZ128">IF($F128&lt;&gt;"", XLOOKUP($F128,Productos!$A$2:$A1001,Productos!BS$2:BS1001,"")*$G128,"")</f>
        <v/>
      </c>
    </row>
    <row r="129">
      <c r="A129" s="180"/>
      <c r="B129" s="181"/>
      <c r="C129" s="182"/>
      <c r="D129" s="182"/>
      <c r="E129" s="185"/>
      <c r="F129" s="186"/>
      <c r="G129" s="187"/>
      <c r="H129" s="186"/>
      <c r="I129" s="179" t="str">
        <f t="array" ref="I129">IF($F129&lt;&gt;"",XLOOKUP($F129,Productos!$A:$A,Productos!B:B,"Revisar"),"")</f>
        <v/>
      </c>
      <c r="J129" s="179" t="str">
        <f t="array" ref="J129">IF($F129&lt;&gt;"", XLOOKUP($F129,Productos!$A$2:$A1001,Productos!C$2:C1001,"")*$G129,"")</f>
        <v/>
      </c>
      <c r="K129" s="179" t="str">
        <f t="array" ref="K129">IF($F129&lt;&gt;"",XLOOKUP($F129,Productos!$A:$A,Productos!D:D,"Revisar"),"")</f>
        <v/>
      </c>
      <c r="L129" s="179" t="str">
        <f t="array" ref="L129">IF($F129&lt;&gt;"", XLOOKUP($F129,Productos!$A$2:$A1001,Productos!E$2:E1001,"")*$G129,"")</f>
        <v/>
      </c>
      <c r="M129" s="179" t="str">
        <f t="array" ref="M129">IF($F129&lt;&gt;"",XLOOKUP($F129,Productos!$A:$A,Productos!F:F,"Revisar"),"")</f>
        <v/>
      </c>
      <c r="N129" s="179" t="str">
        <f t="array" ref="N129">IF($F129&lt;&gt;"", XLOOKUP($F129,Productos!$A$2:$A1001,Productos!G$2:G1001,"")*$G129,"")</f>
        <v/>
      </c>
      <c r="O129" s="179" t="str">
        <f t="array" ref="O129">IF($F129&lt;&gt;"",XLOOKUP($F129,Productos!$A:$A,Productos!H:H,"Revisar"),"")</f>
        <v/>
      </c>
      <c r="P129" s="179" t="str">
        <f t="array" ref="P129">IF($F129&lt;&gt;"", XLOOKUP($F129,Productos!$A$2:$A1001,Productos!I$2:I1001,"")*$G129,"")</f>
        <v/>
      </c>
      <c r="Q129" s="179" t="str">
        <f t="array" ref="Q129">IF($F129&lt;&gt;"",XLOOKUP($F129,Productos!$A:$A,Productos!J:J,"Revisar"),"")</f>
        <v/>
      </c>
      <c r="R129" s="179" t="str">
        <f t="array" ref="R129">IF($F129&lt;&gt;"", XLOOKUP($F129,Productos!$A$2:$A1001,Productos!K$2:K1001,"")*$G129,"")</f>
        <v/>
      </c>
      <c r="S129" s="179" t="str">
        <f t="array" ref="S129">IF($F129&lt;&gt;"",XLOOKUP($F129,Productos!$A:$A,Productos!L:L,"Revisar"),"")</f>
        <v/>
      </c>
      <c r="T129" s="179" t="str">
        <f t="array" ref="T129">IF($F129&lt;&gt;"", XLOOKUP($F129,Productos!$A$2:$A1001,Productos!M$2:M1001,"")*$G129,"")</f>
        <v/>
      </c>
      <c r="U129" s="179" t="str">
        <f t="array" ref="U129">IF($F129&lt;&gt;"",XLOOKUP($F129,Productos!$A:$A,Productos!N:N,"Revisar"),"")</f>
        <v/>
      </c>
      <c r="V129" s="179" t="str">
        <f t="array" ref="V129">IF($F129&lt;&gt;"", XLOOKUP($F129,Productos!$A$2:$A1001,Productos!O$2:O1001,"")*$G129,"")</f>
        <v/>
      </c>
      <c r="W129" s="179" t="str">
        <f t="array" ref="W129">IF($F129&lt;&gt;"",XLOOKUP($F129,Productos!$A:$A,Productos!P:P,"Revisar"),"")</f>
        <v/>
      </c>
      <c r="X129" s="179" t="str">
        <f t="array" ref="X129">IF($F129&lt;&gt;"", XLOOKUP($F129,Productos!$A$2:$A1001,Productos!Q$2:Q1001,"")*$G129,"")</f>
        <v/>
      </c>
      <c r="Y129" s="179" t="str">
        <f t="array" ref="Y129">IF($F129&lt;&gt;"",XLOOKUP($F129,Productos!$A:$A,Productos!R:R,"Revisar"),"")</f>
        <v/>
      </c>
      <c r="Z129" s="179" t="str">
        <f t="array" ref="Z129">IF($F129&lt;&gt;"", XLOOKUP($F129,Productos!$A$2:$A1001,Productos!S$2:S1001,"")*$G129,"")</f>
        <v/>
      </c>
      <c r="AA129" s="179" t="str">
        <f t="array" ref="AA129">IF($F129&lt;&gt;"",XLOOKUP($F129,Productos!$A:$A,Productos!T:T,"Revisar"),"")</f>
        <v/>
      </c>
      <c r="AB129" s="179" t="str">
        <f t="array" ref="AB129">IF($F129&lt;&gt;"", XLOOKUP($F129,Productos!$A$2:$A1001,Productos!U$2:U1001,"")*$G129,"")</f>
        <v/>
      </c>
      <c r="AC129" s="179" t="str">
        <f t="array" ref="AC129">IF($F129&lt;&gt;"",XLOOKUP($F129,Productos!$A:$A,Productos!V:V,"Revisar"),"")</f>
        <v/>
      </c>
      <c r="AD129" s="179" t="str">
        <f t="array" ref="AD129">IF($F129&lt;&gt;"", XLOOKUP($F129,Productos!$A$2:$A1001,Productos!W$2:W1001,"")*$G129,"")</f>
        <v/>
      </c>
      <c r="AE129" s="179" t="str">
        <f t="array" ref="AE129">IF($F129&lt;&gt;"",XLOOKUP($F129,Productos!$A:$A,Productos!X:X,"Revisar"),"")</f>
        <v/>
      </c>
      <c r="AF129" s="179" t="str">
        <f t="array" ref="AF129">IF($F129&lt;&gt;"", XLOOKUP($F129,Productos!$A$2:$A1001,Productos!Y$2:Y1001,"")*$G129,"")</f>
        <v/>
      </c>
      <c r="AG129" s="179" t="str">
        <f t="array" ref="AG129">IF($F129&lt;&gt;"",XLOOKUP($F129,Productos!$A:$A,Productos!Z:Z,"Revisar"),"")</f>
        <v/>
      </c>
      <c r="AH129" s="179" t="str">
        <f t="array" ref="AH129">IF($F129&lt;&gt;"", XLOOKUP($F129,Productos!$A$2:$A1001,Productos!AA$2:AA1001,"")*$G129,"")</f>
        <v/>
      </c>
      <c r="AI129" s="179" t="str">
        <f t="array" ref="AI129">IF($F129&lt;&gt;"",XLOOKUP($F129,Productos!$A:$A,Productos!AB:AB,"Revisar"),"")</f>
        <v/>
      </c>
      <c r="AJ129" s="179" t="str">
        <f t="array" ref="AJ129">IF($F129&lt;&gt;"", XLOOKUP($F129,Productos!$A$2:$A1001,Productos!AC$2:AC1001,"")*$G129,"")</f>
        <v/>
      </c>
      <c r="AK129" s="179" t="str">
        <f t="array" ref="AK129">IF($F129&lt;&gt;"",XLOOKUP($F129,Productos!$A:$A,Productos!AD:AD,"Revisar"),"")</f>
        <v/>
      </c>
      <c r="AL129" s="179" t="str">
        <f t="array" ref="AL129">IF($F129&lt;&gt;"", XLOOKUP($F129,Productos!$A$2:$A1001,Productos!AE$2:AE1001,"")*$G129,"")</f>
        <v/>
      </c>
      <c r="AM129" s="179" t="str">
        <f t="array" ref="AM129">IF($F129&lt;&gt;"",XLOOKUP($F129,Productos!$A:$A,Productos!AF:AF,"Revisar"),"")</f>
        <v/>
      </c>
      <c r="AN129" s="179" t="str">
        <f t="array" ref="AN129">IF($F129&lt;&gt;"", XLOOKUP($F129,Productos!$A$2:$A1001,Productos!AG$2:AG1001,"")*$G129,"")</f>
        <v/>
      </c>
      <c r="AO129" s="179" t="str">
        <f t="array" ref="AO129">IF($F129&lt;&gt;"",XLOOKUP($F129,Productos!$A:$A,Productos!AH:AH,"Revisar"),"")</f>
        <v/>
      </c>
      <c r="AP129" s="179" t="str">
        <f t="array" ref="AP129">IF($F129&lt;&gt;"", XLOOKUP($F129,Productos!$A$2:$A1001,Productos!AI$2:AI1001,"")*$G129,"")</f>
        <v/>
      </c>
      <c r="AQ129" s="179" t="str">
        <f t="array" ref="AQ129">IF($F129&lt;&gt;"",XLOOKUP($F129,Productos!$A:$A,Productos!AJ:AJ,"Revisar"),"")</f>
        <v/>
      </c>
      <c r="AR129" s="179" t="str">
        <f t="array" ref="AR129">IF($F129&lt;&gt;"", XLOOKUP($F129,Productos!$A$2:$A1001,Productos!AK$2:AK1001,"")*$G129,"")</f>
        <v/>
      </c>
      <c r="AS129" s="179" t="str">
        <f t="array" ref="AS129">IF($F129&lt;&gt;"",XLOOKUP($F129,Productos!$A:$A,Productos!AL:AL,"Revisar"),"")</f>
        <v/>
      </c>
      <c r="AT129" s="179" t="str">
        <f t="array" ref="AT129">IF($F129&lt;&gt;"", XLOOKUP($F129,Productos!$A$2:$A1001,Productos!AM$2:AM1001,"")*$G129,"")</f>
        <v/>
      </c>
      <c r="AU129" s="179" t="str">
        <f t="array" ref="AU129">IF($F129&lt;&gt;"",XLOOKUP($F129,Productos!$A:$A,Productos!AN:AN,"Revisar"),"")</f>
        <v/>
      </c>
      <c r="AV129" s="179" t="str">
        <f t="array" ref="AV129">IF($F129&lt;&gt;"", XLOOKUP($F129,Productos!$A$2:$A1001,Productos!AO$2:AO1001,"")*$G129,"")</f>
        <v/>
      </c>
      <c r="AW129" s="179" t="str">
        <f t="array" ref="AW129">IF($F129&lt;&gt;"",XLOOKUP($F129,Productos!$A:$A,Productos!AP:AP,"Revisar"),"")</f>
        <v/>
      </c>
      <c r="AX129" s="179" t="str">
        <f t="array" ref="AX129">IF($F129&lt;&gt;"", XLOOKUP($F129,Productos!$A$2:$A1001,Productos!AQ$2:AQ1001,"")*$G129,"")</f>
        <v/>
      </c>
      <c r="AY129" s="179" t="str">
        <f t="array" ref="AY129">IF($F129&lt;&gt;"",XLOOKUP($F129,Productos!$A:$A,Productos!AR:AR,"Revisar"),"")</f>
        <v/>
      </c>
      <c r="AZ129" s="179" t="str">
        <f t="array" ref="AZ129">IF($F129&lt;&gt;"", XLOOKUP($F129,Productos!$A$2:$A1001,Productos!AS$2:AS1001,"")*$G129,"")</f>
        <v/>
      </c>
      <c r="BA129" s="179" t="str">
        <f t="array" ref="BA129">IF($F129&lt;&gt;"",XLOOKUP($F129,Productos!$A:$A,Productos!AT:AT,"Revisar"),"")</f>
        <v/>
      </c>
      <c r="BB129" s="179" t="str">
        <f t="array" ref="BB129">IF($F129&lt;&gt;"", XLOOKUP($F129,Productos!$A$2:$A1001,Productos!AU$2:AU1001,"")*$G129,"")</f>
        <v/>
      </c>
      <c r="BC129" s="179" t="str">
        <f t="array" ref="BC129">IF($F129&lt;&gt;"",XLOOKUP($F129,Productos!$A:$A,Productos!AV:AV,"Revisar"),"")</f>
        <v/>
      </c>
      <c r="BD129" s="179" t="str">
        <f t="array" ref="BD129">IF($F129&lt;&gt;"", XLOOKUP($F129,Productos!$A$2:$A1001,Productos!AW$2:AW1001,"")*$G129,"")</f>
        <v/>
      </c>
      <c r="BE129" s="179" t="str">
        <f t="array" ref="BE129">IF($F129&lt;&gt;"",XLOOKUP($F129,Productos!$A:$A,Productos!AX:AX,"Revisar"),"")</f>
        <v/>
      </c>
      <c r="BF129" s="179" t="str">
        <f t="array" ref="BF129">IF($F129&lt;&gt;"", XLOOKUP($F129,Productos!$A$2:$A1001,Productos!AY$2:AY1001,"")*$G129,"")</f>
        <v/>
      </c>
      <c r="BG129" s="179" t="str">
        <f t="array" ref="BG129">IF($F129&lt;&gt;"",XLOOKUP($F129,Productos!$A:$A,Productos!AZ:AZ,"Revisar"),"")</f>
        <v/>
      </c>
      <c r="BH129" s="179" t="str">
        <f t="array" ref="BH129">IF($F129&lt;&gt;"", XLOOKUP($F129,Productos!$A$2:$A1001,Productos!BA$2:BA1001,"")*$G129,"")</f>
        <v/>
      </c>
      <c r="BI129" s="179" t="str">
        <f t="array" ref="BI129">IF($F129&lt;&gt;"",XLOOKUP($F129,Productos!$A:$A,Productos!BB:BB,"Revisar"),"")</f>
        <v/>
      </c>
      <c r="BJ129" s="179" t="str">
        <f t="array" ref="BJ129">IF($F129&lt;&gt;"", XLOOKUP($F129,Productos!$A$2:$A1001,Productos!BC$2:BC1001,"")*$G129,"")</f>
        <v/>
      </c>
      <c r="BK129" s="179" t="str">
        <f t="array" ref="BK129">IF($F129&lt;&gt;"",XLOOKUP($F129,Productos!$A:$A,Productos!BD:BD,"Revisar"),"")</f>
        <v/>
      </c>
      <c r="BL129" s="179" t="str">
        <f t="array" ref="BL129">IF($F129&lt;&gt;"", XLOOKUP($F129,Productos!$A$2:$A1001,Productos!BE$2:BE1001,"")*$G129,"")</f>
        <v/>
      </c>
      <c r="BM129" s="179" t="str">
        <f t="array" ref="BM129">IF($F129&lt;&gt;"",XLOOKUP($F129,Productos!$A:$A,Productos!BF:BF,"Revisar"),"")</f>
        <v/>
      </c>
      <c r="BN129" s="179" t="str">
        <f t="array" ref="BN129">IF($F129&lt;&gt;"", XLOOKUP($F129,Productos!$A$2:$A1001,Productos!BG$2:BG1001,"")*$G129,"")</f>
        <v/>
      </c>
      <c r="BO129" s="179" t="str">
        <f t="array" ref="BO129">IF($F129&lt;&gt;"",XLOOKUP($F129,Productos!$A:$A,Productos!BH:BH,"Revisar"),"")</f>
        <v/>
      </c>
      <c r="BP129" s="179" t="str">
        <f t="array" ref="BP129">IF($F129&lt;&gt;"", XLOOKUP($F129,Productos!$A$2:$A1001,Productos!BI$2:BI1001,"")*$G129,"")</f>
        <v/>
      </c>
      <c r="BQ129" s="179" t="str">
        <f t="array" ref="BQ129">IF($F129&lt;&gt;"",XLOOKUP($F129,Productos!$A:$A,Productos!BJ:BJ,"Revisar"),"")</f>
        <v/>
      </c>
      <c r="BR129" s="179" t="str">
        <f t="array" ref="BR129">IF($F129&lt;&gt;"", XLOOKUP($F129,Productos!$A$2:$A1001,Productos!BK$2:BK1001,"")*$G129,"")</f>
        <v/>
      </c>
      <c r="BS129" s="179" t="str">
        <f t="array" ref="BS129">IF($F129&lt;&gt;"",XLOOKUP($F129,Productos!$A:$A,Productos!BL:BL,"Revisar"),"")</f>
        <v/>
      </c>
      <c r="BT129" s="179" t="str">
        <f t="array" ref="BT129">IF($F129&lt;&gt;"", XLOOKUP($F129,Productos!$A$2:$A1001,Productos!BM$2:BM1001,"")*$G129,"")</f>
        <v/>
      </c>
      <c r="BU129" s="179" t="str">
        <f t="array" ref="BU129">IF($F129&lt;&gt;"",XLOOKUP($F129,Productos!$A:$A,Productos!BN:BN,"Revisar"),"")</f>
        <v/>
      </c>
      <c r="BV129" s="179" t="str">
        <f t="array" ref="BV129">IF($F129&lt;&gt;"", XLOOKUP($F129,Productos!$A$2:$A1001,Productos!BO$2:BO1001,"")*$G129,"")</f>
        <v/>
      </c>
      <c r="BW129" s="179" t="str">
        <f t="array" ref="BW129">IF($F129&lt;&gt;"",XLOOKUP($F129,Productos!$A:$A,Productos!BP:BP,"Revisar"),"")</f>
        <v/>
      </c>
      <c r="BX129" s="179" t="str">
        <f t="array" ref="BX129">IF($F129&lt;&gt;"", XLOOKUP($F129,Productos!$A$2:$A1001,Productos!BQ$2:BQ1001,"")*$G129,"")</f>
        <v/>
      </c>
      <c r="BY129" s="179" t="str">
        <f t="array" ref="BY129">IF($F129&lt;&gt;"",XLOOKUP($F129,Productos!$A:$A,Productos!BR:BR,"Revisar"),"")</f>
        <v/>
      </c>
      <c r="BZ129" s="179" t="str">
        <f t="array" ref="BZ129">IF($F129&lt;&gt;"", XLOOKUP($F129,Productos!$A$2:$A1001,Productos!BS$2:BS1001,"")*$G129,"")</f>
        <v/>
      </c>
    </row>
    <row r="130">
      <c r="A130" s="180"/>
      <c r="B130" s="181"/>
      <c r="C130" s="182"/>
      <c r="D130" s="182"/>
      <c r="E130" s="185"/>
      <c r="F130" s="186"/>
      <c r="G130" s="187"/>
      <c r="H130" s="186"/>
      <c r="I130" s="179" t="str">
        <f t="array" ref="I130">IF($F130&lt;&gt;"",XLOOKUP($F130,Productos!$A:$A,Productos!B:B,"Revisar"),"")</f>
        <v/>
      </c>
      <c r="J130" s="179" t="str">
        <f t="array" ref="J130">IF($F130&lt;&gt;"", XLOOKUP($F130,Productos!$A$2:$A1001,Productos!C$2:C1001,"")*$G130,"")</f>
        <v/>
      </c>
      <c r="K130" s="179" t="str">
        <f t="array" ref="K130">IF($F130&lt;&gt;"",XLOOKUP($F130,Productos!$A:$A,Productos!D:D,"Revisar"),"")</f>
        <v/>
      </c>
      <c r="L130" s="179" t="str">
        <f t="array" ref="L130">IF($F130&lt;&gt;"", XLOOKUP($F130,Productos!$A$2:$A1001,Productos!E$2:E1001,"")*$G130,"")</f>
        <v/>
      </c>
      <c r="M130" s="179" t="str">
        <f t="array" ref="M130">IF($F130&lt;&gt;"",XLOOKUP($F130,Productos!$A:$A,Productos!F:F,"Revisar"),"")</f>
        <v/>
      </c>
      <c r="N130" s="179" t="str">
        <f t="array" ref="N130">IF($F130&lt;&gt;"", XLOOKUP($F130,Productos!$A$2:$A1001,Productos!G$2:G1001,"")*$G130,"")</f>
        <v/>
      </c>
      <c r="O130" s="179" t="str">
        <f t="array" ref="O130">IF($F130&lt;&gt;"",XLOOKUP($F130,Productos!$A:$A,Productos!H:H,"Revisar"),"")</f>
        <v/>
      </c>
      <c r="P130" s="179" t="str">
        <f t="array" ref="P130">IF($F130&lt;&gt;"", XLOOKUP($F130,Productos!$A$2:$A1001,Productos!I$2:I1001,"")*$G130,"")</f>
        <v/>
      </c>
      <c r="Q130" s="179" t="str">
        <f t="array" ref="Q130">IF($F130&lt;&gt;"",XLOOKUP($F130,Productos!$A:$A,Productos!J:J,"Revisar"),"")</f>
        <v/>
      </c>
      <c r="R130" s="179" t="str">
        <f t="array" ref="R130">IF($F130&lt;&gt;"", XLOOKUP($F130,Productos!$A$2:$A1001,Productos!K$2:K1001,"")*$G130,"")</f>
        <v/>
      </c>
      <c r="S130" s="179" t="str">
        <f t="array" ref="S130">IF($F130&lt;&gt;"",XLOOKUP($F130,Productos!$A:$A,Productos!L:L,"Revisar"),"")</f>
        <v/>
      </c>
      <c r="T130" s="179" t="str">
        <f t="array" ref="T130">IF($F130&lt;&gt;"", XLOOKUP($F130,Productos!$A$2:$A1001,Productos!M$2:M1001,"")*$G130,"")</f>
        <v/>
      </c>
      <c r="U130" s="179" t="str">
        <f t="array" ref="U130">IF($F130&lt;&gt;"",XLOOKUP($F130,Productos!$A:$A,Productos!N:N,"Revisar"),"")</f>
        <v/>
      </c>
      <c r="V130" s="179" t="str">
        <f t="array" ref="V130">IF($F130&lt;&gt;"", XLOOKUP($F130,Productos!$A$2:$A1001,Productos!O$2:O1001,"")*$G130,"")</f>
        <v/>
      </c>
      <c r="W130" s="179" t="str">
        <f t="array" ref="W130">IF($F130&lt;&gt;"",XLOOKUP($F130,Productos!$A:$A,Productos!P:P,"Revisar"),"")</f>
        <v/>
      </c>
      <c r="X130" s="179" t="str">
        <f t="array" ref="X130">IF($F130&lt;&gt;"", XLOOKUP($F130,Productos!$A$2:$A1001,Productos!Q$2:Q1001,"")*$G130,"")</f>
        <v/>
      </c>
      <c r="Y130" s="179" t="str">
        <f t="array" ref="Y130">IF($F130&lt;&gt;"",XLOOKUP($F130,Productos!$A:$A,Productos!R:R,"Revisar"),"")</f>
        <v/>
      </c>
      <c r="Z130" s="179" t="str">
        <f t="array" ref="Z130">IF($F130&lt;&gt;"", XLOOKUP($F130,Productos!$A$2:$A1001,Productos!S$2:S1001,"")*$G130,"")</f>
        <v/>
      </c>
      <c r="AA130" s="179" t="str">
        <f t="array" ref="AA130">IF($F130&lt;&gt;"",XLOOKUP($F130,Productos!$A:$A,Productos!T:T,"Revisar"),"")</f>
        <v/>
      </c>
      <c r="AB130" s="179" t="str">
        <f t="array" ref="AB130">IF($F130&lt;&gt;"", XLOOKUP($F130,Productos!$A$2:$A1001,Productos!U$2:U1001,"")*$G130,"")</f>
        <v/>
      </c>
      <c r="AC130" s="179" t="str">
        <f t="array" ref="AC130">IF($F130&lt;&gt;"",XLOOKUP($F130,Productos!$A:$A,Productos!V:V,"Revisar"),"")</f>
        <v/>
      </c>
      <c r="AD130" s="179" t="str">
        <f t="array" ref="AD130">IF($F130&lt;&gt;"", XLOOKUP($F130,Productos!$A$2:$A1001,Productos!W$2:W1001,"")*$G130,"")</f>
        <v/>
      </c>
      <c r="AE130" s="179" t="str">
        <f t="array" ref="AE130">IF($F130&lt;&gt;"",XLOOKUP($F130,Productos!$A:$A,Productos!X:X,"Revisar"),"")</f>
        <v/>
      </c>
      <c r="AF130" s="179" t="str">
        <f t="array" ref="AF130">IF($F130&lt;&gt;"", XLOOKUP($F130,Productos!$A$2:$A1001,Productos!Y$2:Y1001,"")*$G130,"")</f>
        <v/>
      </c>
      <c r="AG130" s="179" t="str">
        <f t="array" ref="AG130">IF($F130&lt;&gt;"",XLOOKUP($F130,Productos!$A:$A,Productos!Z:Z,"Revisar"),"")</f>
        <v/>
      </c>
      <c r="AH130" s="179" t="str">
        <f t="array" ref="AH130">IF($F130&lt;&gt;"", XLOOKUP($F130,Productos!$A$2:$A1001,Productos!AA$2:AA1001,"")*$G130,"")</f>
        <v/>
      </c>
      <c r="AI130" s="179" t="str">
        <f t="array" ref="AI130">IF($F130&lt;&gt;"",XLOOKUP($F130,Productos!$A:$A,Productos!AB:AB,"Revisar"),"")</f>
        <v/>
      </c>
      <c r="AJ130" s="179" t="str">
        <f t="array" ref="AJ130">IF($F130&lt;&gt;"", XLOOKUP($F130,Productos!$A$2:$A1001,Productos!AC$2:AC1001,"")*$G130,"")</f>
        <v/>
      </c>
      <c r="AK130" s="179" t="str">
        <f t="array" ref="AK130">IF($F130&lt;&gt;"",XLOOKUP($F130,Productos!$A:$A,Productos!AD:AD,"Revisar"),"")</f>
        <v/>
      </c>
      <c r="AL130" s="179" t="str">
        <f t="array" ref="AL130">IF($F130&lt;&gt;"", XLOOKUP($F130,Productos!$A$2:$A1001,Productos!AE$2:AE1001,"")*$G130,"")</f>
        <v/>
      </c>
      <c r="AM130" s="179" t="str">
        <f t="array" ref="AM130">IF($F130&lt;&gt;"",XLOOKUP($F130,Productos!$A:$A,Productos!AF:AF,"Revisar"),"")</f>
        <v/>
      </c>
      <c r="AN130" s="179" t="str">
        <f t="array" ref="AN130">IF($F130&lt;&gt;"", XLOOKUP($F130,Productos!$A$2:$A1001,Productos!AG$2:AG1001,"")*$G130,"")</f>
        <v/>
      </c>
      <c r="AO130" s="179" t="str">
        <f t="array" ref="AO130">IF($F130&lt;&gt;"",XLOOKUP($F130,Productos!$A:$A,Productos!AH:AH,"Revisar"),"")</f>
        <v/>
      </c>
      <c r="AP130" s="179" t="str">
        <f t="array" ref="AP130">IF($F130&lt;&gt;"", XLOOKUP($F130,Productos!$A$2:$A1001,Productos!AI$2:AI1001,"")*$G130,"")</f>
        <v/>
      </c>
      <c r="AQ130" s="179" t="str">
        <f t="array" ref="AQ130">IF($F130&lt;&gt;"",XLOOKUP($F130,Productos!$A:$A,Productos!AJ:AJ,"Revisar"),"")</f>
        <v/>
      </c>
      <c r="AR130" s="179" t="str">
        <f t="array" ref="AR130">IF($F130&lt;&gt;"", XLOOKUP($F130,Productos!$A$2:$A1001,Productos!AK$2:AK1001,"")*$G130,"")</f>
        <v/>
      </c>
      <c r="AS130" s="179" t="str">
        <f t="array" ref="AS130">IF($F130&lt;&gt;"",XLOOKUP($F130,Productos!$A:$A,Productos!AL:AL,"Revisar"),"")</f>
        <v/>
      </c>
      <c r="AT130" s="179" t="str">
        <f t="array" ref="AT130">IF($F130&lt;&gt;"", XLOOKUP($F130,Productos!$A$2:$A1001,Productos!AM$2:AM1001,"")*$G130,"")</f>
        <v/>
      </c>
      <c r="AU130" s="179" t="str">
        <f t="array" ref="AU130">IF($F130&lt;&gt;"",XLOOKUP($F130,Productos!$A:$A,Productos!AN:AN,"Revisar"),"")</f>
        <v/>
      </c>
      <c r="AV130" s="179" t="str">
        <f t="array" ref="AV130">IF($F130&lt;&gt;"", XLOOKUP($F130,Productos!$A$2:$A1001,Productos!AO$2:AO1001,"")*$G130,"")</f>
        <v/>
      </c>
      <c r="AW130" s="179" t="str">
        <f t="array" ref="AW130">IF($F130&lt;&gt;"",XLOOKUP($F130,Productos!$A:$A,Productos!AP:AP,"Revisar"),"")</f>
        <v/>
      </c>
      <c r="AX130" s="179" t="str">
        <f t="array" ref="AX130">IF($F130&lt;&gt;"", XLOOKUP($F130,Productos!$A$2:$A1001,Productos!AQ$2:AQ1001,"")*$G130,"")</f>
        <v/>
      </c>
      <c r="AY130" s="179" t="str">
        <f t="array" ref="AY130">IF($F130&lt;&gt;"",XLOOKUP($F130,Productos!$A:$A,Productos!AR:AR,"Revisar"),"")</f>
        <v/>
      </c>
      <c r="AZ130" s="179" t="str">
        <f t="array" ref="AZ130">IF($F130&lt;&gt;"", XLOOKUP($F130,Productos!$A$2:$A1001,Productos!AS$2:AS1001,"")*$G130,"")</f>
        <v/>
      </c>
      <c r="BA130" s="179" t="str">
        <f t="array" ref="BA130">IF($F130&lt;&gt;"",XLOOKUP($F130,Productos!$A:$A,Productos!AT:AT,"Revisar"),"")</f>
        <v/>
      </c>
      <c r="BB130" s="179" t="str">
        <f t="array" ref="BB130">IF($F130&lt;&gt;"", XLOOKUP($F130,Productos!$A$2:$A1001,Productos!AU$2:AU1001,"")*$G130,"")</f>
        <v/>
      </c>
      <c r="BC130" s="179" t="str">
        <f t="array" ref="BC130">IF($F130&lt;&gt;"",XLOOKUP($F130,Productos!$A:$A,Productos!AV:AV,"Revisar"),"")</f>
        <v/>
      </c>
      <c r="BD130" s="179" t="str">
        <f t="array" ref="BD130">IF($F130&lt;&gt;"", XLOOKUP($F130,Productos!$A$2:$A1001,Productos!AW$2:AW1001,"")*$G130,"")</f>
        <v/>
      </c>
      <c r="BE130" s="179" t="str">
        <f t="array" ref="BE130">IF($F130&lt;&gt;"",XLOOKUP($F130,Productos!$A:$A,Productos!AX:AX,"Revisar"),"")</f>
        <v/>
      </c>
      <c r="BF130" s="179" t="str">
        <f t="array" ref="BF130">IF($F130&lt;&gt;"", XLOOKUP($F130,Productos!$A$2:$A1001,Productos!AY$2:AY1001,"")*$G130,"")</f>
        <v/>
      </c>
      <c r="BG130" s="179" t="str">
        <f t="array" ref="BG130">IF($F130&lt;&gt;"",XLOOKUP($F130,Productos!$A:$A,Productos!AZ:AZ,"Revisar"),"")</f>
        <v/>
      </c>
      <c r="BH130" s="179" t="str">
        <f t="array" ref="BH130">IF($F130&lt;&gt;"", XLOOKUP($F130,Productos!$A$2:$A1001,Productos!BA$2:BA1001,"")*$G130,"")</f>
        <v/>
      </c>
      <c r="BI130" s="179" t="str">
        <f t="array" ref="BI130">IF($F130&lt;&gt;"",XLOOKUP($F130,Productos!$A:$A,Productos!BB:BB,"Revisar"),"")</f>
        <v/>
      </c>
      <c r="BJ130" s="179" t="str">
        <f t="array" ref="BJ130">IF($F130&lt;&gt;"", XLOOKUP($F130,Productos!$A$2:$A1001,Productos!BC$2:BC1001,"")*$G130,"")</f>
        <v/>
      </c>
      <c r="BK130" s="179" t="str">
        <f t="array" ref="BK130">IF($F130&lt;&gt;"",XLOOKUP($F130,Productos!$A:$A,Productos!BD:BD,"Revisar"),"")</f>
        <v/>
      </c>
      <c r="BL130" s="179" t="str">
        <f t="array" ref="BL130">IF($F130&lt;&gt;"", XLOOKUP($F130,Productos!$A$2:$A1001,Productos!BE$2:BE1001,"")*$G130,"")</f>
        <v/>
      </c>
      <c r="BM130" s="179" t="str">
        <f t="array" ref="BM130">IF($F130&lt;&gt;"",XLOOKUP($F130,Productos!$A:$A,Productos!BF:BF,"Revisar"),"")</f>
        <v/>
      </c>
      <c r="BN130" s="179" t="str">
        <f t="array" ref="BN130">IF($F130&lt;&gt;"", XLOOKUP($F130,Productos!$A$2:$A1001,Productos!BG$2:BG1001,"")*$G130,"")</f>
        <v/>
      </c>
      <c r="BO130" s="179" t="str">
        <f t="array" ref="BO130">IF($F130&lt;&gt;"",XLOOKUP($F130,Productos!$A:$A,Productos!BH:BH,"Revisar"),"")</f>
        <v/>
      </c>
      <c r="BP130" s="179" t="str">
        <f t="array" ref="BP130">IF($F130&lt;&gt;"", XLOOKUP($F130,Productos!$A$2:$A1001,Productos!BI$2:BI1001,"")*$G130,"")</f>
        <v/>
      </c>
      <c r="BQ130" s="179" t="str">
        <f t="array" ref="BQ130">IF($F130&lt;&gt;"",XLOOKUP($F130,Productos!$A:$A,Productos!BJ:BJ,"Revisar"),"")</f>
        <v/>
      </c>
      <c r="BR130" s="179" t="str">
        <f t="array" ref="BR130">IF($F130&lt;&gt;"", XLOOKUP($F130,Productos!$A$2:$A1001,Productos!BK$2:BK1001,"")*$G130,"")</f>
        <v/>
      </c>
      <c r="BS130" s="179" t="str">
        <f t="array" ref="BS130">IF($F130&lt;&gt;"",XLOOKUP($F130,Productos!$A:$A,Productos!BL:BL,"Revisar"),"")</f>
        <v/>
      </c>
      <c r="BT130" s="179" t="str">
        <f t="array" ref="BT130">IF($F130&lt;&gt;"", XLOOKUP($F130,Productos!$A$2:$A1001,Productos!BM$2:BM1001,"")*$G130,"")</f>
        <v/>
      </c>
      <c r="BU130" s="179" t="str">
        <f t="array" ref="BU130">IF($F130&lt;&gt;"",XLOOKUP($F130,Productos!$A:$A,Productos!BN:BN,"Revisar"),"")</f>
        <v/>
      </c>
      <c r="BV130" s="179" t="str">
        <f t="array" ref="BV130">IF($F130&lt;&gt;"", XLOOKUP($F130,Productos!$A$2:$A1001,Productos!BO$2:BO1001,"")*$G130,"")</f>
        <v/>
      </c>
      <c r="BW130" s="179" t="str">
        <f t="array" ref="BW130">IF($F130&lt;&gt;"",XLOOKUP($F130,Productos!$A:$A,Productos!BP:BP,"Revisar"),"")</f>
        <v/>
      </c>
      <c r="BX130" s="179" t="str">
        <f t="array" ref="BX130">IF($F130&lt;&gt;"", XLOOKUP($F130,Productos!$A$2:$A1001,Productos!BQ$2:BQ1001,"")*$G130,"")</f>
        <v/>
      </c>
      <c r="BY130" s="179" t="str">
        <f t="array" ref="BY130">IF($F130&lt;&gt;"",XLOOKUP($F130,Productos!$A:$A,Productos!BR:BR,"Revisar"),"")</f>
        <v/>
      </c>
      <c r="BZ130" s="179" t="str">
        <f t="array" ref="BZ130">IF($F130&lt;&gt;"", XLOOKUP($F130,Productos!$A$2:$A1001,Productos!BS$2:BS1001,"")*$G130,"")</f>
        <v/>
      </c>
    </row>
    <row r="131">
      <c r="A131" s="180"/>
      <c r="B131" s="181"/>
      <c r="C131" s="182"/>
      <c r="D131" s="182"/>
      <c r="E131" s="185"/>
      <c r="F131" s="186"/>
      <c r="G131" s="187"/>
      <c r="H131" s="186"/>
      <c r="I131" s="179" t="str">
        <f t="array" ref="I131">IF($F131&lt;&gt;"",XLOOKUP($F131,Productos!$A:$A,Productos!B:B,"Revisar"),"")</f>
        <v/>
      </c>
      <c r="J131" s="179" t="str">
        <f t="array" ref="J131">IF($F131&lt;&gt;"", XLOOKUP($F131,Productos!$A$2:$A1001,Productos!C$2:C1001,"")*$G131,"")</f>
        <v/>
      </c>
      <c r="K131" s="179" t="str">
        <f t="array" ref="K131">IF($F131&lt;&gt;"",XLOOKUP($F131,Productos!$A:$A,Productos!D:D,"Revisar"),"")</f>
        <v/>
      </c>
      <c r="L131" s="179" t="str">
        <f t="array" ref="L131">IF($F131&lt;&gt;"", XLOOKUP($F131,Productos!$A$2:$A1001,Productos!E$2:E1001,"")*$G131,"")</f>
        <v/>
      </c>
      <c r="M131" s="179" t="str">
        <f t="array" ref="M131">IF($F131&lt;&gt;"",XLOOKUP($F131,Productos!$A:$A,Productos!F:F,"Revisar"),"")</f>
        <v/>
      </c>
      <c r="N131" s="179" t="str">
        <f t="array" ref="N131">IF($F131&lt;&gt;"", XLOOKUP($F131,Productos!$A$2:$A1001,Productos!G$2:G1001,"")*$G131,"")</f>
        <v/>
      </c>
      <c r="O131" s="179" t="str">
        <f t="array" ref="O131">IF($F131&lt;&gt;"",XLOOKUP($F131,Productos!$A:$A,Productos!H:H,"Revisar"),"")</f>
        <v/>
      </c>
      <c r="P131" s="179" t="str">
        <f t="array" ref="P131">IF($F131&lt;&gt;"", XLOOKUP($F131,Productos!$A$2:$A1001,Productos!I$2:I1001,"")*$G131,"")</f>
        <v/>
      </c>
      <c r="Q131" s="179" t="str">
        <f t="array" ref="Q131">IF($F131&lt;&gt;"",XLOOKUP($F131,Productos!$A:$A,Productos!J:J,"Revisar"),"")</f>
        <v/>
      </c>
      <c r="R131" s="179" t="str">
        <f t="array" ref="R131">IF($F131&lt;&gt;"", XLOOKUP($F131,Productos!$A$2:$A1001,Productos!K$2:K1001,"")*$G131,"")</f>
        <v/>
      </c>
      <c r="S131" s="179" t="str">
        <f t="array" ref="S131">IF($F131&lt;&gt;"",XLOOKUP($F131,Productos!$A:$A,Productos!L:L,"Revisar"),"")</f>
        <v/>
      </c>
      <c r="T131" s="179" t="str">
        <f t="array" ref="T131">IF($F131&lt;&gt;"", XLOOKUP($F131,Productos!$A$2:$A1001,Productos!M$2:M1001,"")*$G131,"")</f>
        <v/>
      </c>
      <c r="U131" s="179" t="str">
        <f t="array" ref="U131">IF($F131&lt;&gt;"",XLOOKUP($F131,Productos!$A:$A,Productos!N:N,"Revisar"),"")</f>
        <v/>
      </c>
      <c r="V131" s="179" t="str">
        <f t="array" ref="V131">IF($F131&lt;&gt;"", XLOOKUP($F131,Productos!$A$2:$A1001,Productos!O$2:O1001,"")*$G131,"")</f>
        <v/>
      </c>
      <c r="W131" s="179" t="str">
        <f t="array" ref="W131">IF($F131&lt;&gt;"",XLOOKUP($F131,Productos!$A:$A,Productos!P:P,"Revisar"),"")</f>
        <v/>
      </c>
      <c r="X131" s="179" t="str">
        <f t="array" ref="X131">IF($F131&lt;&gt;"", XLOOKUP($F131,Productos!$A$2:$A1001,Productos!Q$2:Q1001,"")*$G131,"")</f>
        <v/>
      </c>
      <c r="Y131" s="179" t="str">
        <f t="array" ref="Y131">IF($F131&lt;&gt;"",XLOOKUP($F131,Productos!$A:$A,Productos!R:R,"Revisar"),"")</f>
        <v/>
      </c>
      <c r="Z131" s="179" t="str">
        <f t="array" ref="Z131">IF($F131&lt;&gt;"", XLOOKUP($F131,Productos!$A$2:$A1001,Productos!S$2:S1001,"")*$G131,"")</f>
        <v/>
      </c>
      <c r="AA131" s="179" t="str">
        <f t="array" ref="AA131">IF($F131&lt;&gt;"",XLOOKUP($F131,Productos!$A:$A,Productos!T:T,"Revisar"),"")</f>
        <v/>
      </c>
      <c r="AB131" s="179" t="str">
        <f t="array" ref="AB131">IF($F131&lt;&gt;"", XLOOKUP($F131,Productos!$A$2:$A1001,Productos!U$2:U1001,"")*$G131,"")</f>
        <v/>
      </c>
      <c r="AC131" s="179" t="str">
        <f t="array" ref="AC131">IF($F131&lt;&gt;"",XLOOKUP($F131,Productos!$A:$A,Productos!V:V,"Revisar"),"")</f>
        <v/>
      </c>
      <c r="AD131" s="179" t="str">
        <f t="array" ref="AD131">IF($F131&lt;&gt;"", XLOOKUP($F131,Productos!$A$2:$A1001,Productos!W$2:W1001,"")*$G131,"")</f>
        <v/>
      </c>
      <c r="AE131" s="179" t="str">
        <f t="array" ref="AE131">IF($F131&lt;&gt;"",XLOOKUP($F131,Productos!$A:$A,Productos!X:X,"Revisar"),"")</f>
        <v/>
      </c>
      <c r="AF131" s="179" t="str">
        <f t="array" ref="AF131">IF($F131&lt;&gt;"", XLOOKUP($F131,Productos!$A$2:$A1001,Productos!Y$2:Y1001,"")*$G131,"")</f>
        <v/>
      </c>
      <c r="AG131" s="179" t="str">
        <f t="array" ref="AG131">IF($F131&lt;&gt;"",XLOOKUP($F131,Productos!$A:$A,Productos!Z:Z,"Revisar"),"")</f>
        <v/>
      </c>
      <c r="AH131" s="179" t="str">
        <f t="array" ref="AH131">IF($F131&lt;&gt;"", XLOOKUP($F131,Productos!$A$2:$A1001,Productos!AA$2:AA1001,"")*$G131,"")</f>
        <v/>
      </c>
      <c r="AI131" s="179" t="str">
        <f t="array" ref="AI131">IF($F131&lt;&gt;"",XLOOKUP($F131,Productos!$A:$A,Productos!AB:AB,"Revisar"),"")</f>
        <v/>
      </c>
      <c r="AJ131" s="179" t="str">
        <f t="array" ref="AJ131">IF($F131&lt;&gt;"", XLOOKUP($F131,Productos!$A$2:$A1001,Productos!AC$2:AC1001,"")*$G131,"")</f>
        <v/>
      </c>
      <c r="AK131" s="179" t="str">
        <f t="array" ref="AK131">IF($F131&lt;&gt;"",XLOOKUP($F131,Productos!$A:$A,Productos!AD:AD,"Revisar"),"")</f>
        <v/>
      </c>
      <c r="AL131" s="179" t="str">
        <f t="array" ref="AL131">IF($F131&lt;&gt;"", XLOOKUP($F131,Productos!$A$2:$A1001,Productos!AE$2:AE1001,"")*$G131,"")</f>
        <v/>
      </c>
      <c r="AM131" s="179" t="str">
        <f t="array" ref="AM131">IF($F131&lt;&gt;"",XLOOKUP($F131,Productos!$A:$A,Productos!AF:AF,"Revisar"),"")</f>
        <v/>
      </c>
      <c r="AN131" s="179" t="str">
        <f t="array" ref="AN131">IF($F131&lt;&gt;"", XLOOKUP($F131,Productos!$A$2:$A1001,Productos!AG$2:AG1001,"")*$G131,"")</f>
        <v/>
      </c>
      <c r="AO131" s="179" t="str">
        <f t="array" ref="AO131">IF($F131&lt;&gt;"",XLOOKUP($F131,Productos!$A:$A,Productos!AH:AH,"Revisar"),"")</f>
        <v/>
      </c>
      <c r="AP131" s="179" t="str">
        <f t="array" ref="AP131">IF($F131&lt;&gt;"", XLOOKUP($F131,Productos!$A$2:$A1001,Productos!AI$2:AI1001,"")*$G131,"")</f>
        <v/>
      </c>
      <c r="AQ131" s="179" t="str">
        <f t="array" ref="AQ131">IF($F131&lt;&gt;"",XLOOKUP($F131,Productos!$A:$A,Productos!AJ:AJ,"Revisar"),"")</f>
        <v/>
      </c>
      <c r="AR131" s="179" t="str">
        <f t="array" ref="AR131">IF($F131&lt;&gt;"", XLOOKUP($F131,Productos!$A$2:$A1001,Productos!AK$2:AK1001,"")*$G131,"")</f>
        <v/>
      </c>
      <c r="AS131" s="179" t="str">
        <f t="array" ref="AS131">IF($F131&lt;&gt;"",XLOOKUP($F131,Productos!$A:$A,Productos!AL:AL,"Revisar"),"")</f>
        <v/>
      </c>
      <c r="AT131" s="179" t="str">
        <f t="array" ref="AT131">IF($F131&lt;&gt;"", XLOOKUP($F131,Productos!$A$2:$A1001,Productos!AM$2:AM1001,"")*$G131,"")</f>
        <v/>
      </c>
      <c r="AU131" s="179" t="str">
        <f t="array" ref="AU131">IF($F131&lt;&gt;"",XLOOKUP($F131,Productos!$A:$A,Productos!AN:AN,"Revisar"),"")</f>
        <v/>
      </c>
      <c r="AV131" s="179" t="str">
        <f t="array" ref="AV131">IF($F131&lt;&gt;"", XLOOKUP($F131,Productos!$A$2:$A1001,Productos!AO$2:AO1001,"")*$G131,"")</f>
        <v/>
      </c>
      <c r="AW131" s="179" t="str">
        <f t="array" ref="AW131">IF($F131&lt;&gt;"",XLOOKUP($F131,Productos!$A:$A,Productos!AP:AP,"Revisar"),"")</f>
        <v/>
      </c>
      <c r="AX131" s="179" t="str">
        <f t="array" ref="AX131">IF($F131&lt;&gt;"", XLOOKUP($F131,Productos!$A$2:$A1001,Productos!AQ$2:AQ1001,"")*$G131,"")</f>
        <v/>
      </c>
      <c r="AY131" s="179" t="str">
        <f t="array" ref="AY131">IF($F131&lt;&gt;"",XLOOKUP($F131,Productos!$A:$A,Productos!AR:AR,"Revisar"),"")</f>
        <v/>
      </c>
      <c r="AZ131" s="179" t="str">
        <f t="array" ref="AZ131">IF($F131&lt;&gt;"", XLOOKUP($F131,Productos!$A$2:$A1001,Productos!AS$2:AS1001,"")*$G131,"")</f>
        <v/>
      </c>
      <c r="BA131" s="179" t="str">
        <f t="array" ref="BA131">IF($F131&lt;&gt;"",XLOOKUP($F131,Productos!$A:$A,Productos!AT:AT,"Revisar"),"")</f>
        <v/>
      </c>
      <c r="BB131" s="179" t="str">
        <f t="array" ref="BB131">IF($F131&lt;&gt;"", XLOOKUP($F131,Productos!$A$2:$A1001,Productos!AU$2:AU1001,"")*$G131,"")</f>
        <v/>
      </c>
      <c r="BC131" s="179" t="str">
        <f t="array" ref="BC131">IF($F131&lt;&gt;"",XLOOKUP($F131,Productos!$A:$A,Productos!AV:AV,"Revisar"),"")</f>
        <v/>
      </c>
      <c r="BD131" s="179" t="str">
        <f t="array" ref="BD131">IF($F131&lt;&gt;"", XLOOKUP($F131,Productos!$A$2:$A1001,Productos!AW$2:AW1001,"")*$G131,"")</f>
        <v/>
      </c>
      <c r="BE131" s="179" t="str">
        <f t="array" ref="BE131">IF($F131&lt;&gt;"",XLOOKUP($F131,Productos!$A:$A,Productos!AX:AX,"Revisar"),"")</f>
        <v/>
      </c>
      <c r="BF131" s="179" t="str">
        <f t="array" ref="BF131">IF($F131&lt;&gt;"", XLOOKUP($F131,Productos!$A$2:$A1001,Productos!AY$2:AY1001,"")*$G131,"")</f>
        <v/>
      </c>
      <c r="BG131" s="179" t="str">
        <f t="array" ref="BG131">IF($F131&lt;&gt;"",XLOOKUP($F131,Productos!$A:$A,Productos!AZ:AZ,"Revisar"),"")</f>
        <v/>
      </c>
      <c r="BH131" s="179" t="str">
        <f t="array" ref="BH131">IF($F131&lt;&gt;"", XLOOKUP($F131,Productos!$A$2:$A1001,Productos!BA$2:BA1001,"")*$G131,"")</f>
        <v/>
      </c>
      <c r="BI131" s="179" t="str">
        <f t="array" ref="BI131">IF($F131&lt;&gt;"",XLOOKUP($F131,Productos!$A:$A,Productos!BB:BB,"Revisar"),"")</f>
        <v/>
      </c>
      <c r="BJ131" s="179" t="str">
        <f t="array" ref="BJ131">IF($F131&lt;&gt;"", XLOOKUP($F131,Productos!$A$2:$A1001,Productos!BC$2:BC1001,"")*$G131,"")</f>
        <v/>
      </c>
      <c r="BK131" s="179" t="str">
        <f t="array" ref="BK131">IF($F131&lt;&gt;"",XLOOKUP($F131,Productos!$A:$A,Productos!BD:BD,"Revisar"),"")</f>
        <v/>
      </c>
      <c r="BL131" s="179" t="str">
        <f t="array" ref="BL131">IF($F131&lt;&gt;"", XLOOKUP($F131,Productos!$A$2:$A1001,Productos!BE$2:BE1001,"")*$G131,"")</f>
        <v/>
      </c>
      <c r="BM131" s="179" t="str">
        <f t="array" ref="BM131">IF($F131&lt;&gt;"",XLOOKUP($F131,Productos!$A:$A,Productos!BF:BF,"Revisar"),"")</f>
        <v/>
      </c>
      <c r="BN131" s="179" t="str">
        <f t="array" ref="BN131">IF($F131&lt;&gt;"", XLOOKUP($F131,Productos!$A$2:$A1001,Productos!BG$2:BG1001,"")*$G131,"")</f>
        <v/>
      </c>
      <c r="BO131" s="179" t="str">
        <f t="array" ref="BO131">IF($F131&lt;&gt;"",XLOOKUP($F131,Productos!$A:$A,Productos!BH:BH,"Revisar"),"")</f>
        <v/>
      </c>
      <c r="BP131" s="179" t="str">
        <f t="array" ref="BP131">IF($F131&lt;&gt;"", XLOOKUP($F131,Productos!$A$2:$A1001,Productos!BI$2:BI1001,"")*$G131,"")</f>
        <v/>
      </c>
      <c r="BQ131" s="179" t="str">
        <f t="array" ref="BQ131">IF($F131&lt;&gt;"",XLOOKUP($F131,Productos!$A:$A,Productos!BJ:BJ,"Revisar"),"")</f>
        <v/>
      </c>
      <c r="BR131" s="179" t="str">
        <f t="array" ref="BR131">IF($F131&lt;&gt;"", XLOOKUP($F131,Productos!$A$2:$A1001,Productos!BK$2:BK1001,"")*$G131,"")</f>
        <v/>
      </c>
      <c r="BS131" s="179" t="str">
        <f t="array" ref="BS131">IF($F131&lt;&gt;"",XLOOKUP($F131,Productos!$A:$A,Productos!BL:BL,"Revisar"),"")</f>
        <v/>
      </c>
      <c r="BT131" s="179" t="str">
        <f t="array" ref="BT131">IF($F131&lt;&gt;"", XLOOKUP($F131,Productos!$A$2:$A1001,Productos!BM$2:BM1001,"")*$G131,"")</f>
        <v/>
      </c>
      <c r="BU131" s="179" t="str">
        <f t="array" ref="BU131">IF($F131&lt;&gt;"",XLOOKUP($F131,Productos!$A:$A,Productos!BN:BN,"Revisar"),"")</f>
        <v/>
      </c>
      <c r="BV131" s="179" t="str">
        <f t="array" ref="BV131">IF($F131&lt;&gt;"", XLOOKUP($F131,Productos!$A$2:$A1001,Productos!BO$2:BO1001,"")*$G131,"")</f>
        <v/>
      </c>
      <c r="BW131" s="179" t="str">
        <f t="array" ref="BW131">IF($F131&lt;&gt;"",XLOOKUP($F131,Productos!$A:$A,Productos!BP:BP,"Revisar"),"")</f>
        <v/>
      </c>
      <c r="BX131" s="179" t="str">
        <f t="array" ref="BX131">IF($F131&lt;&gt;"", XLOOKUP($F131,Productos!$A$2:$A1001,Productos!BQ$2:BQ1001,"")*$G131,"")</f>
        <v/>
      </c>
      <c r="BY131" s="179" t="str">
        <f t="array" ref="BY131">IF($F131&lt;&gt;"",XLOOKUP($F131,Productos!$A:$A,Productos!BR:BR,"Revisar"),"")</f>
        <v/>
      </c>
      <c r="BZ131" s="179" t="str">
        <f t="array" ref="BZ131">IF($F131&lt;&gt;"", XLOOKUP($F131,Productos!$A$2:$A1001,Productos!BS$2:BS1001,"")*$G131,"")</f>
        <v/>
      </c>
    </row>
    <row r="132">
      <c r="A132" s="180"/>
      <c r="B132" s="181"/>
      <c r="C132" s="182"/>
      <c r="D132" s="182"/>
      <c r="E132" s="185"/>
      <c r="F132" s="186"/>
      <c r="G132" s="187"/>
      <c r="H132" s="186"/>
      <c r="I132" s="179" t="str">
        <f t="array" ref="I132">IF($F132&lt;&gt;"",XLOOKUP($F132,Productos!$A:$A,Productos!B:B,"Revisar"),"")</f>
        <v/>
      </c>
      <c r="J132" s="179" t="str">
        <f t="array" ref="J132">IF($F132&lt;&gt;"", XLOOKUP($F132,Productos!$A$2:$A1001,Productos!C$2:C1001,"")*$G132,"")</f>
        <v/>
      </c>
      <c r="K132" s="179" t="str">
        <f t="array" ref="K132">IF($F132&lt;&gt;"",XLOOKUP($F132,Productos!$A:$A,Productos!D:D,"Revisar"),"")</f>
        <v/>
      </c>
      <c r="L132" s="179" t="str">
        <f t="array" ref="L132">IF($F132&lt;&gt;"", XLOOKUP($F132,Productos!$A$2:$A1001,Productos!E$2:E1001,"")*$G132,"")</f>
        <v/>
      </c>
      <c r="M132" s="179" t="str">
        <f t="array" ref="M132">IF($F132&lt;&gt;"",XLOOKUP($F132,Productos!$A:$A,Productos!F:F,"Revisar"),"")</f>
        <v/>
      </c>
      <c r="N132" s="179" t="str">
        <f t="array" ref="N132">IF($F132&lt;&gt;"", XLOOKUP($F132,Productos!$A$2:$A1001,Productos!G$2:G1001,"")*$G132,"")</f>
        <v/>
      </c>
      <c r="O132" s="179" t="str">
        <f t="array" ref="O132">IF($F132&lt;&gt;"",XLOOKUP($F132,Productos!$A:$A,Productos!H:H,"Revisar"),"")</f>
        <v/>
      </c>
      <c r="P132" s="179" t="str">
        <f t="array" ref="P132">IF($F132&lt;&gt;"", XLOOKUP($F132,Productos!$A$2:$A1001,Productos!I$2:I1001,"")*$G132,"")</f>
        <v/>
      </c>
      <c r="Q132" s="179" t="str">
        <f t="array" ref="Q132">IF($F132&lt;&gt;"",XLOOKUP($F132,Productos!$A:$A,Productos!J:J,"Revisar"),"")</f>
        <v/>
      </c>
      <c r="R132" s="179" t="str">
        <f t="array" ref="R132">IF($F132&lt;&gt;"", XLOOKUP($F132,Productos!$A$2:$A1001,Productos!K$2:K1001,"")*$G132,"")</f>
        <v/>
      </c>
      <c r="S132" s="179" t="str">
        <f t="array" ref="S132">IF($F132&lt;&gt;"",XLOOKUP($F132,Productos!$A:$A,Productos!L:L,"Revisar"),"")</f>
        <v/>
      </c>
      <c r="T132" s="179" t="str">
        <f t="array" ref="T132">IF($F132&lt;&gt;"", XLOOKUP($F132,Productos!$A$2:$A1001,Productos!M$2:M1001,"")*$G132,"")</f>
        <v/>
      </c>
      <c r="U132" s="179" t="str">
        <f t="array" ref="U132">IF($F132&lt;&gt;"",XLOOKUP($F132,Productos!$A:$A,Productos!N:N,"Revisar"),"")</f>
        <v/>
      </c>
      <c r="V132" s="179" t="str">
        <f t="array" ref="V132">IF($F132&lt;&gt;"", XLOOKUP($F132,Productos!$A$2:$A1001,Productos!O$2:O1001,"")*$G132,"")</f>
        <v/>
      </c>
      <c r="W132" s="179" t="str">
        <f t="array" ref="W132">IF($F132&lt;&gt;"",XLOOKUP($F132,Productos!$A:$A,Productos!P:P,"Revisar"),"")</f>
        <v/>
      </c>
      <c r="X132" s="179" t="str">
        <f t="array" ref="X132">IF($F132&lt;&gt;"", XLOOKUP($F132,Productos!$A$2:$A1001,Productos!Q$2:Q1001,"")*$G132,"")</f>
        <v/>
      </c>
      <c r="Y132" s="179" t="str">
        <f t="array" ref="Y132">IF($F132&lt;&gt;"",XLOOKUP($F132,Productos!$A:$A,Productos!R:R,"Revisar"),"")</f>
        <v/>
      </c>
      <c r="Z132" s="179" t="str">
        <f t="array" ref="Z132">IF($F132&lt;&gt;"", XLOOKUP($F132,Productos!$A$2:$A1001,Productos!S$2:S1001,"")*$G132,"")</f>
        <v/>
      </c>
      <c r="AA132" s="179" t="str">
        <f t="array" ref="AA132">IF($F132&lt;&gt;"",XLOOKUP($F132,Productos!$A:$A,Productos!T:T,"Revisar"),"")</f>
        <v/>
      </c>
      <c r="AB132" s="179" t="str">
        <f t="array" ref="AB132">IF($F132&lt;&gt;"", XLOOKUP($F132,Productos!$A$2:$A1001,Productos!U$2:U1001,"")*$G132,"")</f>
        <v/>
      </c>
      <c r="AC132" s="179" t="str">
        <f t="array" ref="AC132">IF($F132&lt;&gt;"",XLOOKUP($F132,Productos!$A:$A,Productos!V:V,"Revisar"),"")</f>
        <v/>
      </c>
      <c r="AD132" s="179" t="str">
        <f t="array" ref="AD132">IF($F132&lt;&gt;"", XLOOKUP($F132,Productos!$A$2:$A1001,Productos!W$2:W1001,"")*$G132,"")</f>
        <v/>
      </c>
      <c r="AE132" s="179" t="str">
        <f t="array" ref="AE132">IF($F132&lt;&gt;"",XLOOKUP($F132,Productos!$A:$A,Productos!X:X,"Revisar"),"")</f>
        <v/>
      </c>
      <c r="AF132" s="179" t="str">
        <f t="array" ref="AF132">IF($F132&lt;&gt;"", XLOOKUP($F132,Productos!$A$2:$A1001,Productos!Y$2:Y1001,"")*$G132,"")</f>
        <v/>
      </c>
      <c r="AG132" s="179" t="str">
        <f t="array" ref="AG132">IF($F132&lt;&gt;"",XLOOKUP($F132,Productos!$A:$A,Productos!Z:Z,"Revisar"),"")</f>
        <v/>
      </c>
      <c r="AH132" s="179" t="str">
        <f t="array" ref="AH132">IF($F132&lt;&gt;"", XLOOKUP($F132,Productos!$A$2:$A1001,Productos!AA$2:AA1001,"")*$G132,"")</f>
        <v/>
      </c>
      <c r="AI132" s="179" t="str">
        <f t="array" ref="AI132">IF($F132&lt;&gt;"",XLOOKUP($F132,Productos!$A:$A,Productos!AB:AB,"Revisar"),"")</f>
        <v/>
      </c>
      <c r="AJ132" s="179" t="str">
        <f t="array" ref="AJ132">IF($F132&lt;&gt;"", XLOOKUP($F132,Productos!$A$2:$A1001,Productos!AC$2:AC1001,"")*$G132,"")</f>
        <v/>
      </c>
      <c r="AK132" s="179" t="str">
        <f t="array" ref="AK132">IF($F132&lt;&gt;"",XLOOKUP($F132,Productos!$A:$A,Productos!AD:AD,"Revisar"),"")</f>
        <v/>
      </c>
      <c r="AL132" s="179" t="str">
        <f t="array" ref="AL132">IF($F132&lt;&gt;"", XLOOKUP($F132,Productos!$A$2:$A1001,Productos!AE$2:AE1001,"")*$G132,"")</f>
        <v/>
      </c>
      <c r="AM132" s="179" t="str">
        <f t="array" ref="AM132">IF($F132&lt;&gt;"",XLOOKUP($F132,Productos!$A:$A,Productos!AF:AF,"Revisar"),"")</f>
        <v/>
      </c>
      <c r="AN132" s="179" t="str">
        <f t="array" ref="AN132">IF($F132&lt;&gt;"", XLOOKUP($F132,Productos!$A$2:$A1001,Productos!AG$2:AG1001,"")*$G132,"")</f>
        <v/>
      </c>
      <c r="AO132" s="179" t="str">
        <f t="array" ref="AO132">IF($F132&lt;&gt;"",XLOOKUP($F132,Productos!$A:$A,Productos!AH:AH,"Revisar"),"")</f>
        <v/>
      </c>
      <c r="AP132" s="179" t="str">
        <f t="array" ref="AP132">IF($F132&lt;&gt;"", XLOOKUP($F132,Productos!$A$2:$A1001,Productos!AI$2:AI1001,"")*$G132,"")</f>
        <v/>
      </c>
      <c r="AQ132" s="179" t="str">
        <f t="array" ref="AQ132">IF($F132&lt;&gt;"",XLOOKUP($F132,Productos!$A:$A,Productos!AJ:AJ,"Revisar"),"")</f>
        <v/>
      </c>
      <c r="AR132" s="179" t="str">
        <f t="array" ref="AR132">IF($F132&lt;&gt;"", XLOOKUP($F132,Productos!$A$2:$A1001,Productos!AK$2:AK1001,"")*$G132,"")</f>
        <v/>
      </c>
      <c r="AS132" s="179" t="str">
        <f t="array" ref="AS132">IF($F132&lt;&gt;"",XLOOKUP($F132,Productos!$A:$A,Productos!AL:AL,"Revisar"),"")</f>
        <v/>
      </c>
      <c r="AT132" s="179" t="str">
        <f t="array" ref="AT132">IF($F132&lt;&gt;"", XLOOKUP($F132,Productos!$A$2:$A1001,Productos!AM$2:AM1001,"")*$G132,"")</f>
        <v/>
      </c>
      <c r="AU132" s="179" t="str">
        <f t="array" ref="AU132">IF($F132&lt;&gt;"",XLOOKUP($F132,Productos!$A:$A,Productos!AN:AN,"Revisar"),"")</f>
        <v/>
      </c>
      <c r="AV132" s="179" t="str">
        <f t="array" ref="AV132">IF($F132&lt;&gt;"", XLOOKUP($F132,Productos!$A$2:$A1001,Productos!AO$2:AO1001,"")*$G132,"")</f>
        <v/>
      </c>
      <c r="AW132" s="179" t="str">
        <f t="array" ref="AW132">IF($F132&lt;&gt;"",XLOOKUP($F132,Productos!$A:$A,Productos!AP:AP,"Revisar"),"")</f>
        <v/>
      </c>
      <c r="AX132" s="179" t="str">
        <f t="array" ref="AX132">IF($F132&lt;&gt;"", XLOOKUP($F132,Productos!$A$2:$A1001,Productos!AQ$2:AQ1001,"")*$G132,"")</f>
        <v/>
      </c>
      <c r="AY132" s="179" t="str">
        <f t="array" ref="AY132">IF($F132&lt;&gt;"",XLOOKUP($F132,Productos!$A:$A,Productos!AR:AR,"Revisar"),"")</f>
        <v/>
      </c>
      <c r="AZ132" s="179" t="str">
        <f t="array" ref="AZ132">IF($F132&lt;&gt;"", XLOOKUP($F132,Productos!$A$2:$A1001,Productos!AS$2:AS1001,"")*$G132,"")</f>
        <v/>
      </c>
      <c r="BA132" s="179" t="str">
        <f t="array" ref="BA132">IF($F132&lt;&gt;"",XLOOKUP($F132,Productos!$A:$A,Productos!AT:AT,"Revisar"),"")</f>
        <v/>
      </c>
      <c r="BB132" s="179" t="str">
        <f t="array" ref="BB132">IF($F132&lt;&gt;"", XLOOKUP($F132,Productos!$A$2:$A1001,Productos!AU$2:AU1001,"")*$G132,"")</f>
        <v/>
      </c>
      <c r="BC132" s="179" t="str">
        <f t="array" ref="BC132">IF($F132&lt;&gt;"",XLOOKUP($F132,Productos!$A:$A,Productos!AV:AV,"Revisar"),"")</f>
        <v/>
      </c>
      <c r="BD132" s="179" t="str">
        <f t="array" ref="BD132">IF($F132&lt;&gt;"", XLOOKUP($F132,Productos!$A$2:$A1001,Productos!AW$2:AW1001,"")*$G132,"")</f>
        <v/>
      </c>
      <c r="BE132" s="179" t="str">
        <f t="array" ref="BE132">IF($F132&lt;&gt;"",XLOOKUP($F132,Productos!$A:$A,Productos!AX:AX,"Revisar"),"")</f>
        <v/>
      </c>
      <c r="BF132" s="179" t="str">
        <f t="array" ref="BF132">IF($F132&lt;&gt;"", XLOOKUP($F132,Productos!$A$2:$A1001,Productos!AY$2:AY1001,"")*$G132,"")</f>
        <v/>
      </c>
      <c r="BG132" s="179" t="str">
        <f t="array" ref="BG132">IF($F132&lt;&gt;"",XLOOKUP($F132,Productos!$A:$A,Productos!AZ:AZ,"Revisar"),"")</f>
        <v/>
      </c>
      <c r="BH132" s="179" t="str">
        <f t="array" ref="BH132">IF($F132&lt;&gt;"", XLOOKUP($F132,Productos!$A$2:$A1001,Productos!BA$2:BA1001,"")*$G132,"")</f>
        <v/>
      </c>
      <c r="BI132" s="179" t="str">
        <f t="array" ref="BI132">IF($F132&lt;&gt;"",XLOOKUP($F132,Productos!$A:$A,Productos!BB:BB,"Revisar"),"")</f>
        <v/>
      </c>
      <c r="BJ132" s="179" t="str">
        <f t="array" ref="BJ132">IF($F132&lt;&gt;"", XLOOKUP($F132,Productos!$A$2:$A1001,Productos!BC$2:BC1001,"")*$G132,"")</f>
        <v/>
      </c>
      <c r="BK132" s="179" t="str">
        <f t="array" ref="BK132">IF($F132&lt;&gt;"",XLOOKUP($F132,Productos!$A:$A,Productos!BD:BD,"Revisar"),"")</f>
        <v/>
      </c>
      <c r="BL132" s="179" t="str">
        <f t="array" ref="BL132">IF($F132&lt;&gt;"", XLOOKUP($F132,Productos!$A$2:$A1001,Productos!BE$2:BE1001,"")*$G132,"")</f>
        <v/>
      </c>
      <c r="BM132" s="179" t="str">
        <f t="array" ref="BM132">IF($F132&lt;&gt;"",XLOOKUP($F132,Productos!$A:$A,Productos!BF:BF,"Revisar"),"")</f>
        <v/>
      </c>
      <c r="BN132" s="179" t="str">
        <f t="array" ref="BN132">IF($F132&lt;&gt;"", XLOOKUP($F132,Productos!$A$2:$A1001,Productos!BG$2:BG1001,"")*$G132,"")</f>
        <v/>
      </c>
      <c r="BO132" s="179" t="str">
        <f t="array" ref="BO132">IF($F132&lt;&gt;"",XLOOKUP($F132,Productos!$A:$A,Productos!BH:BH,"Revisar"),"")</f>
        <v/>
      </c>
      <c r="BP132" s="179" t="str">
        <f t="array" ref="BP132">IF($F132&lt;&gt;"", XLOOKUP($F132,Productos!$A$2:$A1001,Productos!BI$2:BI1001,"")*$G132,"")</f>
        <v/>
      </c>
      <c r="BQ132" s="179" t="str">
        <f t="array" ref="BQ132">IF($F132&lt;&gt;"",XLOOKUP($F132,Productos!$A:$A,Productos!BJ:BJ,"Revisar"),"")</f>
        <v/>
      </c>
      <c r="BR132" s="179" t="str">
        <f t="array" ref="BR132">IF($F132&lt;&gt;"", XLOOKUP($F132,Productos!$A$2:$A1001,Productos!BK$2:BK1001,"")*$G132,"")</f>
        <v/>
      </c>
      <c r="BS132" s="179" t="str">
        <f t="array" ref="BS132">IF($F132&lt;&gt;"",XLOOKUP($F132,Productos!$A:$A,Productos!BL:BL,"Revisar"),"")</f>
        <v/>
      </c>
      <c r="BT132" s="179" t="str">
        <f t="array" ref="BT132">IF($F132&lt;&gt;"", XLOOKUP($F132,Productos!$A$2:$A1001,Productos!BM$2:BM1001,"")*$G132,"")</f>
        <v/>
      </c>
      <c r="BU132" s="179" t="str">
        <f t="array" ref="BU132">IF($F132&lt;&gt;"",XLOOKUP($F132,Productos!$A:$A,Productos!BN:BN,"Revisar"),"")</f>
        <v/>
      </c>
      <c r="BV132" s="179" t="str">
        <f t="array" ref="BV132">IF($F132&lt;&gt;"", XLOOKUP($F132,Productos!$A$2:$A1001,Productos!BO$2:BO1001,"")*$G132,"")</f>
        <v/>
      </c>
      <c r="BW132" s="179" t="str">
        <f t="array" ref="BW132">IF($F132&lt;&gt;"",XLOOKUP($F132,Productos!$A:$A,Productos!BP:BP,"Revisar"),"")</f>
        <v/>
      </c>
      <c r="BX132" s="179" t="str">
        <f t="array" ref="BX132">IF($F132&lt;&gt;"", XLOOKUP($F132,Productos!$A$2:$A1001,Productos!BQ$2:BQ1001,"")*$G132,"")</f>
        <v/>
      </c>
      <c r="BY132" s="179" t="str">
        <f t="array" ref="BY132">IF($F132&lt;&gt;"",XLOOKUP($F132,Productos!$A:$A,Productos!BR:BR,"Revisar"),"")</f>
        <v/>
      </c>
      <c r="BZ132" s="179" t="str">
        <f t="array" ref="BZ132">IF($F132&lt;&gt;"", XLOOKUP($F132,Productos!$A$2:$A1001,Productos!BS$2:BS1001,"")*$G132,"")</f>
        <v/>
      </c>
    </row>
    <row r="133">
      <c r="A133" s="180"/>
      <c r="B133" s="181"/>
      <c r="C133" s="182"/>
      <c r="D133" s="182"/>
      <c r="E133" s="185"/>
      <c r="F133" s="186"/>
      <c r="G133" s="187"/>
      <c r="H133" s="186"/>
      <c r="I133" s="179" t="str">
        <f t="array" ref="I133">IF($F133&lt;&gt;"",XLOOKUP($F133,Productos!$A:$A,Productos!B:B,"Revisar"),"")</f>
        <v/>
      </c>
      <c r="J133" s="179" t="str">
        <f t="array" ref="J133">IF($F133&lt;&gt;"", XLOOKUP($F133,Productos!$A$2:$A1001,Productos!C$2:C1001,"")*$G133,"")</f>
        <v/>
      </c>
      <c r="K133" s="179" t="str">
        <f t="array" ref="K133">IF($F133&lt;&gt;"",XLOOKUP($F133,Productos!$A:$A,Productos!D:D,"Revisar"),"")</f>
        <v/>
      </c>
      <c r="L133" s="179" t="str">
        <f t="array" ref="L133">IF($F133&lt;&gt;"", XLOOKUP($F133,Productos!$A$2:$A1001,Productos!E$2:E1001,"")*$G133,"")</f>
        <v/>
      </c>
      <c r="M133" s="179" t="str">
        <f t="array" ref="M133">IF($F133&lt;&gt;"",XLOOKUP($F133,Productos!$A:$A,Productos!F:F,"Revisar"),"")</f>
        <v/>
      </c>
      <c r="N133" s="179" t="str">
        <f t="array" ref="N133">IF($F133&lt;&gt;"", XLOOKUP($F133,Productos!$A$2:$A1001,Productos!G$2:G1001,"")*$G133,"")</f>
        <v/>
      </c>
      <c r="O133" s="179" t="str">
        <f t="array" ref="O133">IF($F133&lt;&gt;"",XLOOKUP($F133,Productos!$A:$A,Productos!H:H,"Revisar"),"")</f>
        <v/>
      </c>
      <c r="P133" s="179" t="str">
        <f t="array" ref="P133">IF($F133&lt;&gt;"", XLOOKUP($F133,Productos!$A$2:$A1001,Productos!I$2:I1001,"")*$G133,"")</f>
        <v/>
      </c>
      <c r="Q133" s="179" t="str">
        <f t="array" ref="Q133">IF($F133&lt;&gt;"",XLOOKUP($F133,Productos!$A:$A,Productos!J:J,"Revisar"),"")</f>
        <v/>
      </c>
      <c r="R133" s="179" t="str">
        <f t="array" ref="R133">IF($F133&lt;&gt;"", XLOOKUP($F133,Productos!$A$2:$A1001,Productos!K$2:K1001,"")*$G133,"")</f>
        <v/>
      </c>
      <c r="S133" s="179" t="str">
        <f t="array" ref="S133">IF($F133&lt;&gt;"",XLOOKUP($F133,Productos!$A:$A,Productos!L:L,"Revisar"),"")</f>
        <v/>
      </c>
      <c r="T133" s="179" t="str">
        <f t="array" ref="T133">IF($F133&lt;&gt;"", XLOOKUP($F133,Productos!$A$2:$A1001,Productos!M$2:M1001,"")*$G133,"")</f>
        <v/>
      </c>
      <c r="U133" s="179" t="str">
        <f t="array" ref="U133">IF($F133&lt;&gt;"",XLOOKUP($F133,Productos!$A:$A,Productos!N:N,"Revisar"),"")</f>
        <v/>
      </c>
      <c r="V133" s="179" t="str">
        <f t="array" ref="V133">IF($F133&lt;&gt;"", XLOOKUP($F133,Productos!$A$2:$A1001,Productos!O$2:O1001,"")*$G133,"")</f>
        <v/>
      </c>
      <c r="W133" s="179" t="str">
        <f t="array" ref="W133">IF($F133&lt;&gt;"",XLOOKUP($F133,Productos!$A:$A,Productos!P:P,"Revisar"),"")</f>
        <v/>
      </c>
      <c r="X133" s="179" t="str">
        <f t="array" ref="X133">IF($F133&lt;&gt;"", XLOOKUP($F133,Productos!$A$2:$A1001,Productos!Q$2:Q1001,"")*$G133,"")</f>
        <v/>
      </c>
      <c r="Y133" s="179" t="str">
        <f t="array" ref="Y133">IF($F133&lt;&gt;"",XLOOKUP($F133,Productos!$A:$A,Productos!R:R,"Revisar"),"")</f>
        <v/>
      </c>
      <c r="Z133" s="179" t="str">
        <f t="array" ref="Z133">IF($F133&lt;&gt;"", XLOOKUP($F133,Productos!$A$2:$A1001,Productos!S$2:S1001,"")*$G133,"")</f>
        <v/>
      </c>
      <c r="AA133" s="179" t="str">
        <f t="array" ref="AA133">IF($F133&lt;&gt;"",XLOOKUP($F133,Productos!$A:$A,Productos!T:T,"Revisar"),"")</f>
        <v/>
      </c>
      <c r="AB133" s="179" t="str">
        <f t="array" ref="AB133">IF($F133&lt;&gt;"", XLOOKUP($F133,Productos!$A$2:$A1001,Productos!U$2:U1001,"")*$G133,"")</f>
        <v/>
      </c>
      <c r="AC133" s="179" t="str">
        <f t="array" ref="AC133">IF($F133&lt;&gt;"",XLOOKUP($F133,Productos!$A:$A,Productos!V:V,"Revisar"),"")</f>
        <v/>
      </c>
      <c r="AD133" s="179" t="str">
        <f t="array" ref="AD133">IF($F133&lt;&gt;"", XLOOKUP($F133,Productos!$A$2:$A1001,Productos!W$2:W1001,"")*$G133,"")</f>
        <v/>
      </c>
      <c r="AE133" s="179" t="str">
        <f t="array" ref="AE133">IF($F133&lt;&gt;"",XLOOKUP($F133,Productos!$A:$A,Productos!X:X,"Revisar"),"")</f>
        <v/>
      </c>
      <c r="AF133" s="179" t="str">
        <f t="array" ref="AF133">IF($F133&lt;&gt;"", XLOOKUP($F133,Productos!$A$2:$A1001,Productos!Y$2:Y1001,"")*$G133,"")</f>
        <v/>
      </c>
      <c r="AG133" s="179" t="str">
        <f t="array" ref="AG133">IF($F133&lt;&gt;"",XLOOKUP($F133,Productos!$A:$A,Productos!Z:Z,"Revisar"),"")</f>
        <v/>
      </c>
      <c r="AH133" s="179" t="str">
        <f t="array" ref="AH133">IF($F133&lt;&gt;"", XLOOKUP($F133,Productos!$A$2:$A1001,Productos!AA$2:AA1001,"")*$G133,"")</f>
        <v/>
      </c>
      <c r="AI133" s="179" t="str">
        <f t="array" ref="AI133">IF($F133&lt;&gt;"",XLOOKUP($F133,Productos!$A:$A,Productos!AB:AB,"Revisar"),"")</f>
        <v/>
      </c>
      <c r="AJ133" s="179" t="str">
        <f t="array" ref="AJ133">IF($F133&lt;&gt;"", XLOOKUP($F133,Productos!$A$2:$A1001,Productos!AC$2:AC1001,"")*$G133,"")</f>
        <v/>
      </c>
      <c r="AK133" s="179" t="str">
        <f t="array" ref="AK133">IF($F133&lt;&gt;"",XLOOKUP($F133,Productos!$A:$A,Productos!AD:AD,"Revisar"),"")</f>
        <v/>
      </c>
      <c r="AL133" s="179" t="str">
        <f t="array" ref="AL133">IF($F133&lt;&gt;"", XLOOKUP($F133,Productos!$A$2:$A1001,Productos!AE$2:AE1001,"")*$G133,"")</f>
        <v/>
      </c>
      <c r="AM133" s="179" t="str">
        <f t="array" ref="AM133">IF($F133&lt;&gt;"",XLOOKUP($F133,Productos!$A:$A,Productos!AF:AF,"Revisar"),"")</f>
        <v/>
      </c>
      <c r="AN133" s="179" t="str">
        <f t="array" ref="AN133">IF($F133&lt;&gt;"", XLOOKUP($F133,Productos!$A$2:$A1001,Productos!AG$2:AG1001,"")*$G133,"")</f>
        <v/>
      </c>
      <c r="AO133" s="179" t="str">
        <f t="array" ref="AO133">IF($F133&lt;&gt;"",XLOOKUP($F133,Productos!$A:$A,Productos!AH:AH,"Revisar"),"")</f>
        <v/>
      </c>
      <c r="AP133" s="179" t="str">
        <f t="array" ref="AP133">IF($F133&lt;&gt;"", XLOOKUP($F133,Productos!$A$2:$A1001,Productos!AI$2:AI1001,"")*$G133,"")</f>
        <v/>
      </c>
      <c r="AQ133" s="179" t="str">
        <f t="array" ref="AQ133">IF($F133&lt;&gt;"",XLOOKUP($F133,Productos!$A:$A,Productos!AJ:AJ,"Revisar"),"")</f>
        <v/>
      </c>
      <c r="AR133" s="179" t="str">
        <f t="array" ref="AR133">IF($F133&lt;&gt;"", XLOOKUP($F133,Productos!$A$2:$A1001,Productos!AK$2:AK1001,"")*$G133,"")</f>
        <v/>
      </c>
      <c r="AS133" s="179" t="str">
        <f t="array" ref="AS133">IF($F133&lt;&gt;"",XLOOKUP($F133,Productos!$A:$A,Productos!AL:AL,"Revisar"),"")</f>
        <v/>
      </c>
      <c r="AT133" s="179" t="str">
        <f t="array" ref="AT133">IF($F133&lt;&gt;"", XLOOKUP($F133,Productos!$A$2:$A1001,Productos!AM$2:AM1001,"")*$G133,"")</f>
        <v/>
      </c>
      <c r="AU133" s="179" t="str">
        <f t="array" ref="AU133">IF($F133&lt;&gt;"",XLOOKUP($F133,Productos!$A:$A,Productos!AN:AN,"Revisar"),"")</f>
        <v/>
      </c>
      <c r="AV133" s="179" t="str">
        <f t="array" ref="AV133">IF($F133&lt;&gt;"", XLOOKUP($F133,Productos!$A$2:$A1001,Productos!AO$2:AO1001,"")*$G133,"")</f>
        <v/>
      </c>
      <c r="AW133" s="179" t="str">
        <f t="array" ref="AW133">IF($F133&lt;&gt;"",XLOOKUP($F133,Productos!$A:$A,Productos!AP:AP,"Revisar"),"")</f>
        <v/>
      </c>
      <c r="AX133" s="179" t="str">
        <f t="array" ref="AX133">IF($F133&lt;&gt;"", XLOOKUP($F133,Productos!$A$2:$A1001,Productos!AQ$2:AQ1001,"")*$G133,"")</f>
        <v/>
      </c>
      <c r="AY133" s="179" t="str">
        <f t="array" ref="AY133">IF($F133&lt;&gt;"",XLOOKUP($F133,Productos!$A:$A,Productos!AR:AR,"Revisar"),"")</f>
        <v/>
      </c>
      <c r="AZ133" s="179" t="str">
        <f t="array" ref="AZ133">IF($F133&lt;&gt;"", XLOOKUP($F133,Productos!$A$2:$A1001,Productos!AS$2:AS1001,"")*$G133,"")</f>
        <v/>
      </c>
      <c r="BA133" s="179" t="str">
        <f t="array" ref="BA133">IF($F133&lt;&gt;"",XLOOKUP($F133,Productos!$A:$A,Productos!AT:AT,"Revisar"),"")</f>
        <v/>
      </c>
      <c r="BB133" s="179" t="str">
        <f t="array" ref="BB133">IF($F133&lt;&gt;"", XLOOKUP($F133,Productos!$A$2:$A1001,Productos!AU$2:AU1001,"")*$G133,"")</f>
        <v/>
      </c>
      <c r="BC133" s="179" t="str">
        <f t="array" ref="BC133">IF($F133&lt;&gt;"",XLOOKUP($F133,Productos!$A:$A,Productos!AV:AV,"Revisar"),"")</f>
        <v/>
      </c>
      <c r="BD133" s="179" t="str">
        <f t="array" ref="BD133">IF($F133&lt;&gt;"", XLOOKUP($F133,Productos!$A$2:$A1001,Productos!AW$2:AW1001,"")*$G133,"")</f>
        <v/>
      </c>
      <c r="BE133" s="179" t="str">
        <f t="array" ref="BE133">IF($F133&lt;&gt;"",XLOOKUP($F133,Productos!$A:$A,Productos!AX:AX,"Revisar"),"")</f>
        <v/>
      </c>
      <c r="BF133" s="179" t="str">
        <f t="array" ref="BF133">IF($F133&lt;&gt;"", XLOOKUP($F133,Productos!$A$2:$A1001,Productos!AY$2:AY1001,"")*$G133,"")</f>
        <v/>
      </c>
      <c r="BG133" s="179" t="str">
        <f t="array" ref="BG133">IF($F133&lt;&gt;"",XLOOKUP($F133,Productos!$A:$A,Productos!AZ:AZ,"Revisar"),"")</f>
        <v/>
      </c>
      <c r="BH133" s="179" t="str">
        <f t="array" ref="BH133">IF($F133&lt;&gt;"", XLOOKUP($F133,Productos!$A$2:$A1001,Productos!BA$2:BA1001,"")*$G133,"")</f>
        <v/>
      </c>
      <c r="BI133" s="179" t="str">
        <f t="array" ref="BI133">IF($F133&lt;&gt;"",XLOOKUP($F133,Productos!$A:$A,Productos!BB:BB,"Revisar"),"")</f>
        <v/>
      </c>
      <c r="BJ133" s="179" t="str">
        <f t="array" ref="BJ133">IF($F133&lt;&gt;"", XLOOKUP($F133,Productos!$A$2:$A1001,Productos!BC$2:BC1001,"")*$G133,"")</f>
        <v/>
      </c>
      <c r="BK133" s="179" t="str">
        <f t="array" ref="BK133">IF($F133&lt;&gt;"",XLOOKUP($F133,Productos!$A:$A,Productos!BD:BD,"Revisar"),"")</f>
        <v/>
      </c>
      <c r="BL133" s="179" t="str">
        <f t="array" ref="BL133">IF($F133&lt;&gt;"", XLOOKUP($F133,Productos!$A$2:$A1001,Productos!BE$2:BE1001,"")*$G133,"")</f>
        <v/>
      </c>
      <c r="BM133" s="179" t="str">
        <f t="array" ref="BM133">IF($F133&lt;&gt;"",XLOOKUP($F133,Productos!$A:$A,Productos!BF:BF,"Revisar"),"")</f>
        <v/>
      </c>
      <c r="BN133" s="179" t="str">
        <f t="array" ref="BN133">IF($F133&lt;&gt;"", XLOOKUP($F133,Productos!$A$2:$A1001,Productos!BG$2:BG1001,"")*$G133,"")</f>
        <v/>
      </c>
      <c r="BO133" s="179" t="str">
        <f t="array" ref="BO133">IF($F133&lt;&gt;"",XLOOKUP($F133,Productos!$A:$A,Productos!BH:BH,"Revisar"),"")</f>
        <v/>
      </c>
      <c r="BP133" s="179" t="str">
        <f t="array" ref="BP133">IF($F133&lt;&gt;"", XLOOKUP($F133,Productos!$A$2:$A1001,Productos!BI$2:BI1001,"")*$G133,"")</f>
        <v/>
      </c>
      <c r="BQ133" s="179" t="str">
        <f t="array" ref="BQ133">IF($F133&lt;&gt;"",XLOOKUP($F133,Productos!$A:$A,Productos!BJ:BJ,"Revisar"),"")</f>
        <v/>
      </c>
      <c r="BR133" s="179" t="str">
        <f t="array" ref="BR133">IF($F133&lt;&gt;"", XLOOKUP($F133,Productos!$A$2:$A1001,Productos!BK$2:BK1001,"")*$G133,"")</f>
        <v/>
      </c>
      <c r="BS133" s="179" t="str">
        <f t="array" ref="BS133">IF($F133&lt;&gt;"",XLOOKUP($F133,Productos!$A:$A,Productos!BL:BL,"Revisar"),"")</f>
        <v/>
      </c>
      <c r="BT133" s="179" t="str">
        <f t="array" ref="BT133">IF($F133&lt;&gt;"", XLOOKUP($F133,Productos!$A$2:$A1001,Productos!BM$2:BM1001,"")*$G133,"")</f>
        <v/>
      </c>
      <c r="BU133" s="179" t="str">
        <f t="array" ref="BU133">IF($F133&lt;&gt;"",XLOOKUP($F133,Productos!$A:$A,Productos!BN:BN,"Revisar"),"")</f>
        <v/>
      </c>
      <c r="BV133" s="179" t="str">
        <f t="array" ref="BV133">IF($F133&lt;&gt;"", XLOOKUP($F133,Productos!$A$2:$A1001,Productos!BO$2:BO1001,"")*$G133,"")</f>
        <v/>
      </c>
      <c r="BW133" s="179" t="str">
        <f t="array" ref="BW133">IF($F133&lt;&gt;"",XLOOKUP($F133,Productos!$A:$A,Productos!BP:BP,"Revisar"),"")</f>
        <v/>
      </c>
      <c r="BX133" s="179" t="str">
        <f t="array" ref="BX133">IF($F133&lt;&gt;"", XLOOKUP($F133,Productos!$A$2:$A1001,Productos!BQ$2:BQ1001,"")*$G133,"")</f>
        <v/>
      </c>
      <c r="BY133" s="179" t="str">
        <f t="array" ref="BY133">IF($F133&lt;&gt;"",XLOOKUP($F133,Productos!$A:$A,Productos!BR:BR,"Revisar"),"")</f>
        <v/>
      </c>
      <c r="BZ133" s="179" t="str">
        <f t="array" ref="BZ133">IF($F133&lt;&gt;"", XLOOKUP($F133,Productos!$A$2:$A1001,Productos!BS$2:BS1001,"")*$G133,"")</f>
        <v/>
      </c>
    </row>
    <row r="134">
      <c r="A134" s="180"/>
      <c r="B134" s="181"/>
      <c r="C134" s="182"/>
      <c r="D134" s="182"/>
      <c r="E134" s="185"/>
      <c r="F134" s="186"/>
      <c r="G134" s="187"/>
      <c r="H134" s="186"/>
      <c r="I134" s="179" t="str">
        <f t="array" ref="I134">IF($F134&lt;&gt;"",XLOOKUP($F134,Productos!$A:$A,Productos!B:B,"Revisar"),"")</f>
        <v/>
      </c>
      <c r="J134" s="179" t="str">
        <f t="array" ref="J134">IF($F134&lt;&gt;"", XLOOKUP($F134,Productos!$A$2:$A1001,Productos!C$2:C1001,"")*$G134,"")</f>
        <v/>
      </c>
      <c r="K134" s="179" t="str">
        <f t="array" ref="K134">IF($F134&lt;&gt;"",XLOOKUP($F134,Productos!$A:$A,Productos!D:D,"Revisar"),"")</f>
        <v/>
      </c>
      <c r="L134" s="179" t="str">
        <f t="array" ref="L134">IF($F134&lt;&gt;"", XLOOKUP($F134,Productos!$A$2:$A1001,Productos!E$2:E1001,"")*$G134,"")</f>
        <v/>
      </c>
      <c r="M134" s="179" t="str">
        <f t="array" ref="M134">IF($F134&lt;&gt;"",XLOOKUP($F134,Productos!$A:$A,Productos!F:F,"Revisar"),"")</f>
        <v/>
      </c>
      <c r="N134" s="179" t="str">
        <f t="array" ref="N134">IF($F134&lt;&gt;"", XLOOKUP($F134,Productos!$A$2:$A1001,Productos!G$2:G1001,"")*$G134,"")</f>
        <v/>
      </c>
      <c r="O134" s="179" t="str">
        <f t="array" ref="O134">IF($F134&lt;&gt;"",XLOOKUP($F134,Productos!$A:$A,Productos!H:H,"Revisar"),"")</f>
        <v/>
      </c>
      <c r="P134" s="179" t="str">
        <f t="array" ref="P134">IF($F134&lt;&gt;"", XLOOKUP($F134,Productos!$A$2:$A1001,Productos!I$2:I1001,"")*$G134,"")</f>
        <v/>
      </c>
      <c r="Q134" s="179" t="str">
        <f t="array" ref="Q134">IF($F134&lt;&gt;"",XLOOKUP($F134,Productos!$A:$A,Productos!J:J,"Revisar"),"")</f>
        <v/>
      </c>
      <c r="R134" s="179" t="str">
        <f t="array" ref="R134">IF($F134&lt;&gt;"", XLOOKUP($F134,Productos!$A$2:$A1001,Productos!K$2:K1001,"")*$G134,"")</f>
        <v/>
      </c>
      <c r="S134" s="179" t="str">
        <f t="array" ref="S134">IF($F134&lt;&gt;"",XLOOKUP($F134,Productos!$A:$A,Productos!L:L,"Revisar"),"")</f>
        <v/>
      </c>
      <c r="T134" s="179" t="str">
        <f t="array" ref="T134">IF($F134&lt;&gt;"", XLOOKUP($F134,Productos!$A$2:$A1001,Productos!M$2:M1001,"")*$G134,"")</f>
        <v/>
      </c>
      <c r="U134" s="179" t="str">
        <f t="array" ref="U134">IF($F134&lt;&gt;"",XLOOKUP($F134,Productos!$A:$A,Productos!N:N,"Revisar"),"")</f>
        <v/>
      </c>
      <c r="V134" s="179" t="str">
        <f t="array" ref="V134">IF($F134&lt;&gt;"", XLOOKUP($F134,Productos!$A$2:$A1001,Productos!O$2:O1001,"")*$G134,"")</f>
        <v/>
      </c>
      <c r="W134" s="179" t="str">
        <f t="array" ref="W134">IF($F134&lt;&gt;"",XLOOKUP($F134,Productos!$A:$A,Productos!P:P,"Revisar"),"")</f>
        <v/>
      </c>
      <c r="X134" s="179" t="str">
        <f t="array" ref="X134">IF($F134&lt;&gt;"", XLOOKUP($F134,Productos!$A$2:$A1001,Productos!Q$2:Q1001,"")*$G134,"")</f>
        <v/>
      </c>
      <c r="Y134" s="179" t="str">
        <f t="array" ref="Y134">IF($F134&lt;&gt;"",XLOOKUP($F134,Productos!$A:$A,Productos!R:R,"Revisar"),"")</f>
        <v/>
      </c>
      <c r="Z134" s="179" t="str">
        <f t="array" ref="Z134">IF($F134&lt;&gt;"", XLOOKUP($F134,Productos!$A$2:$A1001,Productos!S$2:S1001,"")*$G134,"")</f>
        <v/>
      </c>
      <c r="AA134" s="179" t="str">
        <f t="array" ref="AA134">IF($F134&lt;&gt;"",XLOOKUP($F134,Productos!$A:$A,Productos!T:T,"Revisar"),"")</f>
        <v/>
      </c>
      <c r="AB134" s="179" t="str">
        <f t="array" ref="AB134">IF($F134&lt;&gt;"", XLOOKUP($F134,Productos!$A$2:$A1001,Productos!U$2:U1001,"")*$G134,"")</f>
        <v/>
      </c>
      <c r="AC134" s="179" t="str">
        <f t="array" ref="AC134">IF($F134&lt;&gt;"",XLOOKUP($F134,Productos!$A:$A,Productos!V:V,"Revisar"),"")</f>
        <v/>
      </c>
      <c r="AD134" s="179" t="str">
        <f t="array" ref="AD134">IF($F134&lt;&gt;"", XLOOKUP($F134,Productos!$A$2:$A1001,Productos!W$2:W1001,"")*$G134,"")</f>
        <v/>
      </c>
      <c r="AE134" s="179" t="str">
        <f t="array" ref="AE134">IF($F134&lt;&gt;"",XLOOKUP($F134,Productos!$A:$A,Productos!X:X,"Revisar"),"")</f>
        <v/>
      </c>
      <c r="AF134" s="179" t="str">
        <f t="array" ref="AF134">IF($F134&lt;&gt;"", XLOOKUP($F134,Productos!$A$2:$A1001,Productos!Y$2:Y1001,"")*$G134,"")</f>
        <v/>
      </c>
      <c r="AG134" s="179" t="str">
        <f t="array" ref="AG134">IF($F134&lt;&gt;"",XLOOKUP($F134,Productos!$A:$A,Productos!Z:Z,"Revisar"),"")</f>
        <v/>
      </c>
      <c r="AH134" s="179" t="str">
        <f t="array" ref="AH134">IF($F134&lt;&gt;"", XLOOKUP($F134,Productos!$A$2:$A1001,Productos!AA$2:AA1001,"")*$G134,"")</f>
        <v/>
      </c>
      <c r="AI134" s="179" t="str">
        <f t="array" ref="AI134">IF($F134&lt;&gt;"",XLOOKUP($F134,Productos!$A:$A,Productos!AB:AB,"Revisar"),"")</f>
        <v/>
      </c>
      <c r="AJ134" s="179" t="str">
        <f t="array" ref="AJ134">IF($F134&lt;&gt;"", XLOOKUP($F134,Productos!$A$2:$A1001,Productos!AC$2:AC1001,"")*$G134,"")</f>
        <v/>
      </c>
      <c r="AK134" s="179" t="str">
        <f t="array" ref="AK134">IF($F134&lt;&gt;"",XLOOKUP($F134,Productos!$A:$A,Productos!AD:AD,"Revisar"),"")</f>
        <v/>
      </c>
      <c r="AL134" s="179" t="str">
        <f t="array" ref="AL134">IF($F134&lt;&gt;"", XLOOKUP($F134,Productos!$A$2:$A1001,Productos!AE$2:AE1001,"")*$G134,"")</f>
        <v/>
      </c>
      <c r="AM134" s="179" t="str">
        <f t="array" ref="AM134">IF($F134&lt;&gt;"",XLOOKUP($F134,Productos!$A:$A,Productos!AF:AF,"Revisar"),"")</f>
        <v/>
      </c>
      <c r="AN134" s="179" t="str">
        <f t="array" ref="AN134">IF($F134&lt;&gt;"", XLOOKUP($F134,Productos!$A$2:$A1001,Productos!AG$2:AG1001,"")*$G134,"")</f>
        <v/>
      </c>
      <c r="AO134" s="179" t="str">
        <f t="array" ref="AO134">IF($F134&lt;&gt;"",XLOOKUP($F134,Productos!$A:$A,Productos!AH:AH,"Revisar"),"")</f>
        <v/>
      </c>
      <c r="AP134" s="179" t="str">
        <f t="array" ref="AP134">IF($F134&lt;&gt;"", XLOOKUP($F134,Productos!$A$2:$A1001,Productos!AI$2:AI1001,"")*$G134,"")</f>
        <v/>
      </c>
      <c r="AQ134" s="179" t="str">
        <f t="array" ref="AQ134">IF($F134&lt;&gt;"",XLOOKUP($F134,Productos!$A:$A,Productos!AJ:AJ,"Revisar"),"")</f>
        <v/>
      </c>
      <c r="AR134" s="179" t="str">
        <f t="array" ref="AR134">IF($F134&lt;&gt;"", XLOOKUP($F134,Productos!$A$2:$A1001,Productos!AK$2:AK1001,"")*$G134,"")</f>
        <v/>
      </c>
      <c r="AS134" s="179" t="str">
        <f t="array" ref="AS134">IF($F134&lt;&gt;"",XLOOKUP($F134,Productos!$A:$A,Productos!AL:AL,"Revisar"),"")</f>
        <v/>
      </c>
      <c r="AT134" s="179" t="str">
        <f t="array" ref="AT134">IF($F134&lt;&gt;"", XLOOKUP($F134,Productos!$A$2:$A1001,Productos!AM$2:AM1001,"")*$G134,"")</f>
        <v/>
      </c>
      <c r="AU134" s="179" t="str">
        <f t="array" ref="AU134">IF($F134&lt;&gt;"",XLOOKUP($F134,Productos!$A:$A,Productos!AN:AN,"Revisar"),"")</f>
        <v/>
      </c>
      <c r="AV134" s="179" t="str">
        <f t="array" ref="AV134">IF($F134&lt;&gt;"", XLOOKUP($F134,Productos!$A$2:$A1001,Productos!AO$2:AO1001,"")*$G134,"")</f>
        <v/>
      </c>
      <c r="AW134" s="179" t="str">
        <f t="array" ref="AW134">IF($F134&lt;&gt;"",XLOOKUP($F134,Productos!$A:$A,Productos!AP:AP,"Revisar"),"")</f>
        <v/>
      </c>
      <c r="AX134" s="179" t="str">
        <f t="array" ref="AX134">IF($F134&lt;&gt;"", XLOOKUP($F134,Productos!$A$2:$A1001,Productos!AQ$2:AQ1001,"")*$G134,"")</f>
        <v/>
      </c>
      <c r="AY134" s="179" t="str">
        <f t="array" ref="AY134">IF($F134&lt;&gt;"",XLOOKUP($F134,Productos!$A:$A,Productos!AR:AR,"Revisar"),"")</f>
        <v/>
      </c>
      <c r="AZ134" s="179" t="str">
        <f t="array" ref="AZ134">IF($F134&lt;&gt;"", XLOOKUP($F134,Productos!$A$2:$A1001,Productos!AS$2:AS1001,"")*$G134,"")</f>
        <v/>
      </c>
      <c r="BA134" s="179" t="str">
        <f t="array" ref="BA134">IF($F134&lt;&gt;"",XLOOKUP($F134,Productos!$A:$A,Productos!AT:AT,"Revisar"),"")</f>
        <v/>
      </c>
      <c r="BB134" s="179" t="str">
        <f t="array" ref="BB134">IF($F134&lt;&gt;"", XLOOKUP($F134,Productos!$A$2:$A1001,Productos!AU$2:AU1001,"")*$G134,"")</f>
        <v/>
      </c>
      <c r="BC134" s="179" t="str">
        <f t="array" ref="BC134">IF($F134&lt;&gt;"",XLOOKUP($F134,Productos!$A:$A,Productos!AV:AV,"Revisar"),"")</f>
        <v/>
      </c>
      <c r="BD134" s="179" t="str">
        <f t="array" ref="BD134">IF($F134&lt;&gt;"", XLOOKUP($F134,Productos!$A$2:$A1001,Productos!AW$2:AW1001,"")*$G134,"")</f>
        <v/>
      </c>
      <c r="BE134" s="179" t="str">
        <f t="array" ref="BE134">IF($F134&lt;&gt;"",XLOOKUP($F134,Productos!$A:$A,Productos!AX:AX,"Revisar"),"")</f>
        <v/>
      </c>
      <c r="BF134" s="179" t="str">
        <f t="array" ref="BF134">IF($F134&lt;&gt;"", XLOOKUP($F134,Productos!$A$2:$A1001,Productos!AY$2:AY1001,"")*$G134,"")</f>
        <v/>
      </c>
      <c r="BG134" s="179" t="str">
        <f t="array" ref="BG134">IF($F134&lt;&gt;"",XLOOKUP($F134,Productos!$A:$A,Productos!AZ:AZ,"Revisar"),"")</f>
        <v/>
      </c>
      <c r="BH134" s="179" t="str">
        <f t="array" ref="BH134">IF($F134&lt;&gt;"", XLOOKUP($F134,Productos!$A$2:$A1001,Productos!BA$2:BA1001,"")*$G134,"")</f>
        <v/>
      </c>
      <c r="BI134" s="179" t="str">
        <f t="array" ref="BI134">IF($F134&lt;&gt;"",XLOOKUP($F134,Productos!$A:$A,Productos!BB:BB,"Revisar"),"")</f>
        <v/>
      </c>
      <c r="BJ134" s="179" t="str">
        <f t="array" ref="BJ134">IF($F134&lt;&gt;"", XLOOKUP($F134,Productos!$A$2:$A1001,Productos!BC$2:BC1001,"")*$G134,"")</f>
        <v/>
      </c>
      <c r="BK134" s="179" t="str">
        <f t="array" ref="BK134">IF($F134&lt;&gt;"",XLOOKUP($F134,Productos!$A:$A,Productos!BD:BD,"Revisar"),"")</f>
        <v/>
      </c>
      <c r="BL134" s="179" t="str">
        <f t="array" ref="BL134">IF($F134&lt;&gt;"", XLOOKUP($F134,Productos!$A$2:$A1001,Productos!BE$2:BE1001,"")*$G134,"")</f>
        <v/>
      </c>
      <c r="BM134" s="179" t="str">
        <f t="array" ref="BM134">IF($F134&lt;&gt;"",XLOOKUP($F134,Productos!$A:$A,Productos!BF:BF,"Revisar"),"")</f>
        <v/>
      </c>
      <c r="BN134" s="179" t="str">
        <f t="array" ref="BN134">IF($F134&lt;&gt;"", XLOOKUP($F134,Productos!$A$2:$A1001,Productos!BG$2:BG1001,"")*$G134,"")</f>
        <v/>
      </c>
      <c r="BO134" s="179" t="str">
        <f t="array" ref="BO134">IF($F134&lt;&gt;"",XLOOKUP($F134,Productos!$A:$A,Productos!BH:BH,"Revisar"),"")</f>
        <v/>
      </c>
      <c r="BP134" s="179" t="str">
        <f t="array" ref="BP134">IF($F134&lt;&gt;"", XLOOKUP($F134,Productos!$A$2:$A1001,Productos!BI$2:BI1001,"")*$G134,"")</f>
        <v/>
      </c>
      <c r="BQ134" s="179" t="str">
        <f t="array" ref="BQ134">IF($F134&lt;&gt;"",XLOOKUP($F134,Productos!$A:$A,Productos!BJ:BJ,"Revisar"),"")</f>
        <v/>
      </c>
      <c r="BR134" s="179" t="str">
        <f t="array" ref="BR134">IF($F134&lt;&gt;"", XLOOKUP($F134,Productos!$A$2:$A1001,Productos!BK$2:BK1001,"")*$G134,"")</f>
        <v/>
      </c>
      <c r="BS134" s="179" t="str">
        <f t="array" ref="BS134">IF($F134&lt;&gt;"",XLOOKUP($F134,Productos!$A:$A,Productos!BL:BL,"Revisar"),"")</f>
        <v/>
      </c>
      <c r="BT134" s="179" t="str">
        <f t="array" ref="BT134">IF($F134&lt;&gt;"", XLOOKUP($F134,Productos!$A$2:$A1001,Productos!BM$2:BM1001,"")*$G134,"")</f>
        <v/>
      </c>
      <c r="BU134" s="179" t="str">
        <f t="array" ref="BU134">IF($F134&lt;&gt;"",XLOOKUP($F134,Productos!$A:$A,Productos!BN:BN,"Revisar"),"")</f>
        <v/>
      </c>
      <c r="BV134" s="179" t="str">
        <f t="array" ref="BV134">IF($F134&lt;&gt;"", XLOOKUP($F134,Productos!$A$2:$A1001,Productos!BO$2:BO1001,"")*$G134,"")</f>
        <v/>
      </c>
      <c r="BW134" s="179" t="str">
        <f t="array" ref="BW134">IF($F134&lt;&gt;"",XLOOKUP($F134,Productos!$A:$A,Productos!BP:BP,"Revisar"),"")</f>
        <v/>
      </c>
      <c r="BX134" s="179" t="str">
        <f t="array" ref="BX134">IF($F134&lt;&gt;"", XLOOKUP($F134,Productos!$A$2:$A1001,Productos!BQ$2:BQ1001,"")*$G134,"")</f>
        <v/>
      </c>
      <c r="BY134" s="179" t="str">
        <f t="array" ref="BY134">IF($F134&lt;&gt;"",XLOOKUP($F134,Productos!$A:$A,Productos!BR:BR,"Revisar"),"")</f>
        <v/>
      </c>
      <c r="BZ134" s="179" t="str">
        <f t="array" ref="BZ134">IF($F134&lt;&gt;"", XLOOKUP($F134,Productos!$A$2:$A1001,Productos!BS$2:BS1001,"")*$G134,"")</f>
        <v/>
      </c>
    </row>
    <row r="135">
      <c r="A135" s="180"/>
      <c r="B135" s="181"/>
      <c r="C135" s="182"/>
      <c r="D135" s="182"/>
      <c r="E135" s="185"/>
      <c r="F135" s="186"/>
      <c r="G135" s="187"/>
      <c r="H135" s="186"/>
      <c r="I135" s="179" t="str">
        <f t="array" ref="I135">IF($F135&lt;&gt;"",XLOOKUP($F135,Productos!$A:$A,Productos!B:B,"Revisar"),"")</f>
        <v/>
      </c>
      <c r="J135" s="179" t="str">
        <f t="array" ref="J135">IF($F135&lt;&gt;"", XLOOKUP($F135,Productos!$A$2:$A1001,Productos!C$2:C1001,"")*$G135,"")</f>
        <v/>
      </c>
      <c r="K135" s="179" t="str">
        <f t="array" ref="K135">IF($F135&lt;&gt;"",XLOOKUP($F135,Productos!$A:$A,Productos!D:D,"Revisar"),"")</f>
        <v/>
      </c>
      <c r="L135" s="179" t="str">
        <f t="array" ref="L135">IF($F135&lt;&gt;"", XLOOKUP($F135,Productos!$A$2:$A1001,Productos!E$2:E1001,"")*$G135,"")</f>
        <v/>
      </c>
      <c r="M135" s="179" t="str">
        <f t="array" ref="M135">IF($F135&lt;&gt;"",XLOOKUP($F135,Productos!$A:$A,Productos!F:F,"Revisar"),"")</f>
        <v/>
      </c>
      <c r="N135" s="179" t="str">
        <f t="array" ref="N135">IF($F135&lt;&gt;"", XLOOKUP($F135,Productos!$A$2:$A1001,Productos!G$2:G1001,"")*$G135,"")</f>
        <v/>
      </c>
      <c r="O135" s="179" t="str">
        <f t="array" ref="O135">IF($F135&lt;&gt;"",XLOOKUP($F135,Productos!$A:$A,Productos!H:H,"Revisar"),"")</f>
        <v/>
      </c>
      <c r="P135" s="179" t="str">
        <f t="array" ref="P135">IF($F135&lt;&gt;"", XLOOKUP($F135,Productos!$A$2:$A1001,Productos!I$2:I1001,"")*$G135,"")</f>
        <v/>
      </c>
      <c r="Q135" s="179" t="str">
        <f t="array" ref="Q135">IF($F135&lt;&gt;"",XLOOKUP($F135,Productos!$A:$A,Productos!J:J,"Revisar"),"")</f>
        <v/>
      </c>
      <c r="R135" s="179" t="str">
        <f t="array" ref="R135">IF($F135&lt;&gt;"", XLOOKUP($F135,Productos!$A$2:$A1001,Productos!K$2:K1001,"")*$G135,"")</f>
        <v/>
      </c>
      <c r="S135" s="179" t="str">
        <f t="array" ref="S135">IF($F135&lt;&gt;"",XLOOKUP($F135,Productos!$A:$A,Productos!L:L,"Revisar"),"")</f>
        <v/>
      </c>
      <c r="T135" s="179" t="str">
        <f t="array" ref="T135">IF($F135&lt;&gt;"", XLOOKUP($F135,Productos!$A$2:$A1001,Productos!M$2:M1001,"")*$G135,"")</f>
        <v/>
      </c>
      <c r="U135" s="179" t="str">
        <f t="array" ref="U135">IF($F135&lt;&gt;"",XLOOKUP($F135,Productos!$A:$A,Productos!N:N,"Revisar"),"")</f>
        <v/>
      </c>
      <c r="V135" s="179" t="str">
        <f t="array" ref="V135">IF($F135&lt;&gt;"", XLOOKUP($F135,Productos!$A$2:$A1001,Productos!O$2:O1001,"")*$G135,"")</f>
        <v/>
      </c>
      <c r="W135" s="179" t="str">
        <f t="array" ref="W135">IF($F135&lt;&gt;"",XLOOKUP($F135,Productos!$A:$A,Productos!P:P,"Revisar"),"")</f>
        <v/>
      </c>
      <c r="X135" s="179" t="str">
        <f t="array" ref="X135">IF($F135&lt;&gt;"", XLOOKUP($F135,Productos!$A$2:$A1001,Productos!Q$2:Q1001,"")*$G135,"")</f>
        <v/>
      </c>
      <c r="Y135" s="179" t="str">
        <f t="array" ref="Y135">IF($F135&lt;&gt;"",XLOOKUP($F135,Productos!$A:$A,Productos!R:R,"Revisar"),"")</f>
        <v/>
      </c>
      <c r="Z135" s="179" t="str">
        <f t="array" ref="Z135">IF($F135&lt;&gt;"", XLOOKUP($F135,Productos!$A$2:$A1001,Productos!S$2:S1001,"")*$G135,"")</f>
        <v/>
      </c>
      <c r="AA135" s="179" t="str">
        <f t="array" ref="AA135">IF($F135&lt;&gt;"",XLOOKUP($F135,Productos!$A:$A,Productos!T:T,"Revisar"),"")</f>
        <v/>
      </c>
      <c r="AB135" s="179" t="str">
        <f t="array" ref="AB135">IF($F135&lt;&gt;"", XLOOKUP($F135,Productos!$A$2:$A1001,Productos!U$2:U1001,"")*$G135,"")</f>
        <v/>
      </c>
      <c r="AC135" s="179" t="str">
        <f t="array" ref="AC135">IF($F135&lt;&gt;"",XLOOKUP($F135,Productos!$A:$A,Productos!V:V,"Revisar"),"")</f>
        <v/>
      </c>
      <c r="AD135" s="179" t="str">
        <f t="array" ref="AD135">IF($F135&lt;&gt;"", XLOOKUP($F135,Productos!$A$2:$A1001,Productos!W$2:W1001,"")*$G135,"")</f>
        <v/>
      </c>
      <c r="AE135" s="179" t="str">
        <f t="array" ref="AE135">IF($F135&lt;&gt;"",XLOOKUP($F135,Productos!$A:$A,Productos!X:X,"Revisar"),"")</f>
        <v/>
      </c>
      <c r="AF135" s="179" t="str">
        <f t="array" ref="AF135">IF($F135&lt;&gt;"", XLOOKUP($F135,Productos!$A$2:$A1001,Productos!Y$2:Y1001,"")*$G135,"")</f>
        <v/>
      </c>
      <c r="AG135" s="179" t="str">
        <f t="array" ref="AG135">IF($F135&lt;&gt;"",XLOOKUP($F135,Productos!$A:$A,Productos!Z:Z,"Revisar"),"")</f>
        <v/>
      </c>
      <c r="AH135" s="179" t="str">
        <f t="array" ref="AH135">IF($F135&lt;&gt;"", XLOOKUP($F135,Productos!$A$2:$A1001,Productos!AA$2:AA1001,"")*$G135,"")</f>
        <v/>
      </c>
      <c r="AI135" s="179" t="str">
        <f t="array" ref="AI135">IF($F135&lt;&gt;"",XLOOKUP($F135,Productos!$A:$A,Productos!AB:AB,"Revisar"),"")</f>
        <v/>
      </c>
      <c r="AJ135" s="179" t="str">
        <f t="array" ref="AJ135">IF($F135&lt;&gt;"", XLOOKUP($F135,Productos!$A$2:$A1001,Productos!AC$2:AC1001,"")*$G135,"")</f>
        <v/>
      </c>
      <c r="AK135" s="179" t="str">
        <f t="array" ref="AK135">IF($F135&lt;&gt;"",XLOOKUP($F135,Productos!$A:$A,Productos!AD:AD,"Revisar"),"")</f>
        <v/>
      </c>
      <c r="AL135" s="179" t="str">
        <f t="array" ref="AL135">IF($F135&lt;&gt;"", XLOOKUP($F135,Productos!$A$2:$A1001,Productos!AE$2:AE1001,"")*$G135,"")</f>
        <v/>
      </c>
      <c r="AM135" s="179" t="str">
        <f t="array" ref="AM135">IF($F135&lt;&gt;"",XLOOKUP($F135,Productos!$A:$A,Productos!AF:AF,"Revisar"),"")</f>
        <v/>
      </c>
      <c r="AN135" s="179" t="str">
        <f t="array" ref="AN135">IF($F135&lt;&gt;"", XLOOKUP($F135,Productos!$A$2:$A1001,Productos!AG$2:AG1001,"")*$G135,"")</f>
        <v/>
      </c>
      <c r="AO135" s="179" t="str">
        <f t="array" ref="AO135">IF($F135&lt;&gt;"",XLOOKUP($F135,Productos!$A:$A,Productos!AH:AH,"Revisar"),"")</f>
        <v/>
      </c>
      <c r="AP135" s="179" t="str">
        <f t="array" ref="AP135">IF($F135&lt;&gt;"", XLOOKUP($F135,Productos!$A$2:$A1001,Productos!AI$2:AI1001,"")*$G135,"")</f>
        <v/>
      </c>
      <c r="AQ135" s="179" t="str">
        <f t="array" ref="AQ135">IF($F135&lt;&gt;"",XLOOKUP($F135,Productos!$A:$A,Productos!AJ:AJ,"Revisar"),"")</f>
        <v/>
      </c>
      <c r="AR135" s="179" t="str">
        <f t="array" ref="AR135">IF($F135&lt;&gt;"", XLOOKUP($F135,Productos!$A$2:$A1001,Productos!AK$2:AK1001,"")*$G135,"")</f>
        <v/>
      </c>
      <c r="AS135" s="179" t="str">
        <f t="array" ref="AS135">IF($F135&lt;&gt;"",XLOOKUP($F135,Productos!$A:$A,Productos!AL:AL,"Revisar"),"")</f>
        <v/>
      </c>
      <c r="AT135" s="179" t="str">
        <f t="array" ref="AT135">IF($F135&lt;&gt;"", XLOOKUP($F135,Productos!$A$2:$A1001,Productos!AM$2:AM1001,"")*$G135,"")</f>
        <v/>
      </c>
      <c r="AU135" s="179" t="str">
        <f t="array" ref="AU135">IF($F135&lt;&gt;"",XLOOKUP($F135,Productos!$A:$A,Productos!AN:AN,"Revisar"),"")</f>
        <v/>
      </c>
      <c r="AV135" s="179" t="str">
        <f t="array" ref="AV135">IF($F135&lt;&gt;"", XLOOKUP($F135,Productos!$A$2:$A1001,Productos!AO$2:AO1001,"")*$G135,"")</f>
        <v/>
      </c>
      <c r="AW135" s="179" t="str">
        <f t="array" ref="AW135">IF($F135&lt;&gt;"",XLOOKUP($F135,Productos!$A:$A,Productos!AP:AP,"Revisar"),"")</f>
        <v/>
      </c>
      <c r="AX135" s="179" t="str">
        <f t="array" ref="AX135">IF($F135&lt;&gt;"", XLOOKUP($F135,Productos!$A$2:$A1001,Productos!AQ$2:AQ1001,"")*$G135,"")</f>
        <v/>
      </c>
      <c r="AY135" s="179" t="str">
        <f t="array" ref="AY135">IF($F135&lt;&gt;"",XLOOKUP($F135,Productos!$A:$A,Productos!AR:AR,"Revisar"),"")</f>
        <v/>
      </c>
      <c r="AZ135" s="179" t="str">
        <f t="array" ref="AZ135">IF($F135&lt;&gt;"", XLOOKUP($F135,Productos!$A$2:$A1001,Productos!AS$2:AS1001,"")*$G135,"")</f>
        <v/>
      </c>
      <c r="BA135" s="179" t="str">
        <f t="array" ref="BA135">IF($F135&lt;&gt;"",XLOOKUP($F135,Productos!$A:$A,Productos!AT:AT,"Revisar"),"")</f>
        <v/>
      </c>
      <c r="BB135" s="179" t="str">
        <f t="array" ref="BB135">IF($F135&lt;&gt;"", XLOOKUP($F135,Productos!$A$2:$A1001,Productos!AU$2:AU1001,"")*$G135,"")</f>
        <v/>
      </c>
      <c r="BC135" s="179" t="str">
        <f t="array" ref="BC135">IF($F135&lt;&gt;"",XLOOKUP($F135,Productos!$A:$A,Productos!AV:AV,"Revisar"),"")</f>
        <v/>
      </c>
      <c r="BD135" s="179" t="str">
        <f t="array" ref="BD135">IF($F135&lt;&gt;"", XLOOKUP($F135,Productos!$A$2:$A1001,Productos!AW$2:AW1001,"")*$G135,"")</f>
        <v/>
      </c>
      <c r="BE135" s="179" t="str">
        <f t="array" ref="BE135">IF($F135&lt;&gt;"",XLOOKUP($F135,Productos!$A:$A,Productos!AX:AX,"Revisar"),"")</f>
        <v/>
      </c>
      <c r="BF135" s="179" t="str">
        <f t="array" ref="BF135">IF($F135&lt;&gt;"", XLOOKUP($F135,Productos!$A$2:$A1001,Productos!AY$2:AY1001,"")*$G135,"")</f>
        <v/>
      </c>
      <c r="BG135" s="179" t="str">
        <f t="array" ref="BG135">IF($F135&lt;&gt;"",XLOOKUP($F135,Productos!$A:$A,Productos!AZ:AZ,"Revisar"),"")</f>
        <v/>
      </c>
      <c r="BH135" s="179" t="str">
        <f t="array" ref="BH135">IF($F135&lt;&gt;"", XLOOKUP($F135,Productos!$A$2:$A1001,Productos!BA$2:BA1001,"")*$G135,"")</f>
        <v/>
      </c>
      <c r="BI135" s="179" t="str">
        <f t="array" ref="BI135">IF($F135&lt;&gt;"",XLOOKUP($F135,Productos!$A:$A,Productos!BB:BB,"Revisar"),"")</f>
        <v/>
      </c>
      <c r="BJ135" s="179" t="str">
        <f t="array" ref="BJ135">IF($F135&lt;&gt;"", XLOOKUP($F135,Productos!$A$2:$A1001,Productos!BC$2:BC1001,"")*$G135,"")</f>
        <v/>
      </c>
      <c r="BK135" s="179" t="str">
        <f t="array" ref="BK135">IF($F135&lt;&gt;"",XLOOKUP($F135,Productos!$A:$A,Productos!BD:BD,"Revisar"),"")</f>
        <v/>
      </c>
      <c r="BL135" s="179" t="str">
        <f t="array" ref="BL135">IF($F135&lt;&gt;"", XLOOKUP($F135,Productos!$A$2:$A1001,Productos!BE$2:BE1001,"")*$G135,"")</f>
        <v/>
      </c>
      <c r="BM135" s="179" t="str">
        <f t="array" ref="BM135">IF($F135&lt;&gt;"",XLOOKUP($F135,Productos!$A:$A,Productos!BF:BF,"Revisar"),"")</f>
        <v/>
      </c>
      <c r="BN135" s="179" t="str">
        <f t="array" ref="BN135">IF($F135&lt;&gt;"", XLOOKUP($F135,Productos!$A$2:$A1001,Productos!BG$2:BG1001,"")*$G135,"")</f>
        <v/>
      </c>
      <c r="BO135" s="179" t="str">
        <f t="array" ref="BO135">IF($F135&lt;&gt;"",XLOOKUP($F135,Productos!$A:$A,Productos!BH:BH,"Revisar"),"")</f>
        <v/>
      </c>
      <c r="BP135" s="179" t="str">
        <f t="array" ref="BP135">IF($F135&lt;&gt;"", XLOOKUP($F135,Productos!$A$2:$A1001,Productos!BI$2:BI1001,"")*$G135,"")</f>
        <v/>
      </c>
      <c r="BQ135" s="179" t="str">
        <f t="array" ref="BQ135">IF($F135&lt;&gt;"",XLOOKUP($F135,Productos!$A:$A,Productos!BJ:BJ,"Revisar"),"")</f>
        <v/>
      </c>
      <c r="BR135" s="179" t="str">
        <f t="array" ref="BR135">IF($F135&lt;&gt;"", XLOOKUP($F135,Productos!$A$2:$A1001,Productos!BK$2:BK1001,"")*$G135,"")</f>
        <v/>
      </c>
      <c r="BS135" s="179" t="str">
        <f t="array" ref="BS135">IF($F135&lt;&gt;"",XLOOKUP($F135,Productos!$A:$A,Productos!BL:BL,"Revisar"),"")</f>
        <v/>
      </c>
      <c r="BT135" s="179" t="str">
        <f t="array" ref="BT135">IF($F135&lt;&gt;"", XLOOKUP($F135,Productos!$A$2:$A1001,Productos!BM$2:BM1001,"")*$G135,"")</f>
        <v/>
      </c>
      <c r="BU135" s="179" t="str">
        <f t="array" ref="BU135">IF($F135&lt;&gt;"",XLOOKUP($F135,Productos!$A:$A,Productos!BN:BN,"Revisar"),"")</f>
        <v/>
      </c>
      <c r="BV135" s="179" t="str">
        <f t="array" ref="BV135">IF($F135&lt;&gt;"", XLOOKUP($F135,Productos!$A$2:$A1001,Productos!BO$2:BO1001,"")*$G135,"")</f>
        <v/>
      </c>
      <c r="BW135" s="179" t="str">
        <f t="array" ref="BW135">IF($F135&lt;&gt;"",XLOOKUP($F135,Productos!$A:$A,Productos!BP:BP,"Revisar"),"")</f>
        <v/>
      </c>
      <c r="BX135" s="179" t="str">
        <f t="array" ref="BX135">IF($F135&lt;&gt;"", XLOOKUP($F135,Productos!$A$2:$A1001,Productos!BQ$2:BQ1001,"")*$G135,"")</f>
        <v/>
      </c>
      <c r="BY135" s="179" t="str">
        <f t="array" ref="BY135">IF($F135&lt;&gt;"",XLOOKUP($F135,Productos!$A:$A,Productos!BR:BR,"Revisar"),"")</f>
        <v/>
      </c>
      <c r="BZ135" s="179" t="str">
        <f t="array" ref="BZ135">IF($F135&lt;&gt;"", XLOOKUP($F135,Productos!$A$2:$A1001,Productos!BS$2:BS1001,"")*$G135,"")</f>
        <v/>
      </c>
    </row>
    <row r="136">
      <c r="A136" s="180"/>
      <c r="B136" s="181"/>
      <c r="C136" s="182"/>
      <c r="D136" s="182"/>
      <c r="E136" s="185"/>
      <c r="F136" s="186"/>
      <c r="G136" s="187"/>
      <c r="H136" s="186"/>
      <c r="I136" s="179" t="str">
        <f t="array" ref="I136">IF($F136&lt;&gt;"",XLOOKUP($F136,Productos!$A:$A,Productos!B:B,"Revisar"),"")</f>
        <v/>
      </c>
      <c r="J136" s="179" t="str">
        <f t="array" ref="J136">IF($F136&lt;&gt;"", XLOOKUP($F136,Productos!$A$2:$A1001,Productos!C$2:C1001,"")*$G136,"")</f>
        <v/>
      </c>
      <c r="K136" s="179" t="str">
        <f t="array" ref="K136">IF($F136&lt;&gt;"",XLOOKUP($F136,Productos!$A:$A,Productos!D:D,"Revisar"),"")</f>
        <v/>
      </c>
      <c r="L136" s="179" t="str">
        <f t="array" ref="L136">IF($F136&lt;&gt;"", XLOOKUP($F136,Productos!$A$2:$A1001,Productos!E$2:E1001,"")*$G136,"")</f>
        <v/>
      </c>
      <c r="M136" s="179" t="str">
        <f t="array" ref="M136">IF($F136&lt;&gt;"",XLOOKUP($F136,Productos!$A:$A,Productos!F:F,"Revisar"),"")</f>
        <v/>
      </c>
      <c r="N136" s="179" t="str">
        <f t="array" ref="N136">IF($F136&lt;&gt;"", XLOOKUP($F136,Productos!$A$2:$A1001,Productos!G$2:G1001,"")*$G136,"")</f>
        <v/>
      </c>
      <c r="O136" s="179" t="str">
        <f t="array" ref="O136">IF($F136&lt;&gt;"",XLOOKUP($F136,Productos!$A:$A,Productos!H:H,"Revisar"),"")</f>
        <v/>
      </c>
      <c r="P136" s="179" t="str">
        <f t="array" ref="P136">IF($F136&lt;&gt;"", XLOOKUP($F136,Productos!$A$2:$A1001,Productos!I$2:I1001,"")*$G136,"")</f>
        <v/>
      </c>
      <c r="Q136" s="179" t="str">
        <f t="array" ref="Q136">IF($F136&lt;&gt;"",XLOOKUP($F136,Productos!$A:$A,Productos!J:J,"Revisar"),"")</f>
        <v/>
      </c>
      <c r="R136" s="179" t="str">
        <f t="array" ref="R136">IF($F136&lt;&gt;"", XLOOKUP($F136,Productos!$A$2:$A1001,Productos!K$2:K1001,"")*$G136,"")</f>
        <v/>
      </c>
      <c r="S136" s="179" t="str">
        <f t="array" ref="S136">IF($F136&lt;&gt;"",XLOOKUP($F136,Productos!$A:$A,Productos!L:L,"Revisar"),"")</f>
        <v/>
      </c>
      <c r="T136" s="179" t="str">
        <f t="array" ref="T136">IF($F136&lt;&gt;"", XLOOKUP($F136,Productos!$A$2:$A1001,Productos!M$2:M1001,"")*$G136,"")</f>
        <v/>
      </c>
      <c r="U136" s="179" t="str">
        <f t="array" ref="U136">IF($F136&lt;&gt;"",XLOOKUP($F136,Productos!$A:$A,Productos!N:N,"Revisar"),"")</f>
        <v/>
      </c>
      <c r="V136" s="179" t="str">
        <f t="array" ref="V136">IF($F136&lt;&gt;"", XLOOKUP($F136,Productos!$A$2:$A1001,Productos!O$2:O1001,"")*$G136,"")</f>
        <v/>
      </c>
      <c r="W136" s="179" t="str">
        <f t="array" ref="W136">IF($F136&lt;&gt;"",XLOOKUP($F136,Productos!$A:$A,Productos!P:P,"Revisar"),"")</f>
        <v/>
      </c>
      <c r="X136" s="179" t="str">
        <f t="array" ref="X136">IF($F136&lt;&gt;"", XLOOKUP($F136,Productos!$A$2:$A1001,Productos!Q$2:Q1001,"")*$G136,"")</f>
        <v/>
      </c>
      <c r="Y136" s="179" t="str">
        <f t="array" ref="Y136">IF($F136&lt;&gt;"",XLOOKUP($F136,Productos!$A:$A,Productos!R:R,"Revisar"),"")</f>
        <v/>
      </c>
      <c r="Z136" s="179" t="str">
        <f t="array" ref="Z136">IF($F136&lt;&gt;"", XLOOKUP($F136,Productos!$A$2:$A1001,Productos!S$2:S1001,"")*$G136,"")</f>
        <v/>
      </c>
      <c r="AA136" s="179" t="str">
        <f t="array" ref="AA136">IF($F136&lt;&gt;"",XLOOKUP($F136,Productos!$A:$A,Productos!T:T,"Revisar"),"")</f>
        <v/>
      </c>
      <c r="AB136" s="179" t="str">
        <f t="array" ref="AB136">IF($F136&lt;&gt;"", XLOOKUP($F136,Productos!$A$2:$A1001,Productos!U$2:U1001,"")*$G136,"")</f>
        <v/>
      </c>
      <c r="AC136" s="179" t="str">
        <f t="array" ref="AC136">IF($F136&lt;&gt;"",XLOOKUP($F136,Productos!$A:$A,Productos!V:V,"Revisar"),"")</f>
        <v/>
      </c>
      <c r="AD136" s="179" t="str">
        <f t="array" ref="AD136">IF($F136&lt;&gt;"", XLOOKUP($F136,Productos!$A$2:$A1001,Productos!W$2:W1001,"")*$G136,"")</f>
        <v/>
      </c>
      <c r="AE136" s="179" t="str">
        <f t="array" ref="AE136">IF($F136&lt;&gt;"",XLOOKUP($F136,Productos!$A:$A,Productos!X:X,"Revisar"),"")</f>
        <v/>
      </c>
      <c r="AF136" s="179" t="str">
        <f t="array" ref="AF136">IF($F136&lt;&gt;"", XLOOKUP($F136,Productos!$A$2:$A1001,Productos!Y$2:Y1001,"")*$G136,"")</f>
        <v/>
      </c>
      <c r="AG136" s="179" t="str">
        <f t="array" ref="AG136">IF($F136&lt;&gt;"",XLOOKUP($F136,Productos!$A:$A,Productos!Z:Z,"Revisar"),"")</f>
        <v/>
      </c>
      <c r="AH136" s="179" t="str">
        <f t="array" ref="AH136">IF($F136&lt;&gt;"", XLOOKUP($F136,Productos!$A$2:$A1001,Productos!AA$2:AA1001,"")*$G136,"")</f>
        <v/>
      </c>
      <c r="AI136" s="179" t="str">
        <f t="array" ref="AI136">IF($F136&lt;&gt;"",XLOOKUP($F136,Productos!$A:$A,Productos!AB:AB,"Revisar"),"")</f>
        <v/>
      </c>
      <c r="AJ136" s="179" t="str">
        <f t="array" ref="AJ136">IF($F136&lt;&gt;"", XLOOKUP($F136,Productos!$A$2:$A1001,Productos!AC$2:AC1001,"")*$G136,"")</f>
        <v/>
      </c>
      <c r="AK136" s="179" t="str">
        <f t="array" ref="AK136">IF($F136&lt;&gt;"",XLOOKUP($F136,Productos!$A:$A,Productos!AD:AD,"Revisar"),"")</f>
        <v/>
      </c>
      <c r="AL136" s="179" t="str">
        <f t="array" ref="AL136">IF($F136&lt;&gt;"", XLOOKUP($F136,Productos!$A$2:$A1001,Productos!AE$2:AE1001,"")*$G136,"")</f>
        <v/>
      </c>
      <c r="AM136" s="179" t="str">
        <f t="array" ref="AM136">IF($F136&lt;&gt;"",XLOOKUP($F136,Productos!$A:$A,Productos!AF:AF,"Revisar"),"")</f>
        <v/>
      </c>
      <c r="AN136" s="179" t="str">
        <f t="array" ref="AN136">IF($F136&lt;&gt;"", XLOOKUP($F136,Productos!$A$2:$A1001,Productos!AG$2:AG1001,"")*$G136,"")</f>
        <v/>
      </c>
      <c r="AO136" s="179" t="str">
        <f t="array" ref="AO136">IF($F136&lt;&gt;"",XLOOKUP($F136,Productos!$A:$A,Productos!AH:AH,"Revisar"),"")</f>
        <v/>
      </c>
      <c r="AP136" s="179" t="str">
        <f t="array" ref="AP136">IF($F136&lt;&gt;"", XLOOKUP($F136,Productos!$A$2:$A1001,Productos!AI$2:AI1001,"")*$G136,"")</f>
        <v/>
      </c>
      <c r="AQ136" s="179" t="str">
        <f t="array" ref="AQ136">IF($F136&lt;&gt;"",XLOOKUP($F136,Productos!$A:$A,Productos!AJ:AJ,"Revisar"),"")</f>
        <v/>
      </c>
      <c r="AR136" s="179" t="str">
        <f t="array" ref="AR136">IF($F136&lt;&gt;"", XLOOKUP($F136,Productos!$A$2:$A1001,Productos!AK$2:AK1001,"")*$G136,"")</f>
        <v/>
      </c>
      <c r="AS136" s="179" t="str">
        <f t="array" ref="AS136">IF($F136&lt;&gt;"",XLOOKUP($F136,Productos!$A:$A,Productos!AL:AL,"Revisar"),"")</f>
        <v/>
      </c>
      <c r="AT136" s="179" t="str">
        <f t="array" ref="AT136">IF($F136&lt;&gt;"", XLOOKUP($F136,Productos!$A$2:$A1001,Productos!AM$2:AM1001,"")*$G136,"")</f>
        <v/>
      </c>
      <c r="AU136" s="179" t="str">
        <f t="array" ref="AU136">IF($F136&lt;&gt;"",XLOOKUP($F136,Productos!$A:$A,Productos!AN:AN,"Revisar"),"")</f>
        <v/>
      </c>
      <c r="AV136" s="179" t="str">
        <f t="array" ref="AV136">IF($F136&lt;&gt;"", XLOOKUP($F136,Productos!$A$2:$A1001,Productos!AO$2:AO1001,"")*$G136,"")</f>
        <v/>
      </c>
      <c r="AW136" s="179" t="str">
        <f t="array" ref="AW136">IF($F136&lt;&gt;"",XLOOKUP($F136,Productos!$A:$A,Productos!AP:AP,"Revisar"),"")</f>
        <v/>
      </c>
      <c r="AX136" s="179" t="str">
        <f t="array" ref="AX136">IF($F136&lt;&gt;"", XLOOKUP($F136,Productos!$A$2:$A1001,Productos!AQ$2:AQ1001,"")*$G136,"")</f>
        <v/>
      </c>
      <c r="AY136" s="179" t="str">
        <f t="array" ref="AY136">IF($F136&lt;&gt;"",XLOOKUP($F136,Productos!$A:$A,Productos!AR:AR,"Revisar"),"")</f>
        <v/>
      </c>
      <c r="AZ136" s="179" t="str">
        <f t="array" ref="AZ136">IF($F136&lt;&gt;"", XLOOKUP($F136,Productos!$A$2:$A1001,Productos!AS$2:AS1001,"")*$G136,"")</f>
        <v/>
      </c>
      <c r="BA136" s="179" t="str">
        <f t="array" ref="BA136">IF($F136&lt;&gt;"",XLOOKUP($F136,Productos!$A:$A,Productos!AT:AT,"Revisar"),"")</f>
        <v/>
      </c>
      <c r="BB136" s="179" t="str">
        <f t="array" ref="BB136">IF($F136&lt;&gt;"", XLOOKUP($F136,Productos!$A$2:$A1001,Productos!AU$2:AU1001,"")*$G136,"")</f>
        <v/>
      </c>
      <c r="BC136" s="179" t="str">
        <f t="array" ref="BC136">IF($F136&lt;&gt;"",XLOOKUP($F136,Productos!$A:$A,Productos!AV:AV,"Revisar"),"")</f>
        <v/>
      </c>
      <c r="BD136" s="179" t="str">
        <f t="array" ref="BD136">IF($F136&lt;&gt;"", XLOOKUP($F136,Productos!$A$2:$A1001,Productos!AW$2:AW1001,"")*$G136,"")</f>
        <v/>
      </c>
      <c r="BE136" s="179" t="str">
        <f t="array" ref="BE136">IF($F136&lt;&gt;"",XLOOKUP($F136,Productos!$A:$A,Productos!AX:AX,"Revisar"),"")</f>
        <v/>
      </c>
      <c r="BF136" s="179" t="str">
        <f t="array" ref="BF136">IF($F136&lt;&gt;"", XLOOKUP($F136,Productos!$A$2:$A1001,Productos!AY$2:AY1001,"")*$G136,"")</f>
        <v/>
      </c>
      <c r="BG136" s="179" t="str">
        <f t="array" ref="BG136">IF($F136&lt;&gt;"",XLOOKUP($F136,Productos!$A:$A,Productos!AZ:AZ,"Revisar"),"")</f>
        <v/>
      </c>
      <c r="BH136" s="179" t="str">
        <f t="array" ref="BH136">IF($F136&lt;&gt;"", XLOOKUP($F136,Productos!$A$2:$A1001,Productos!BA$2:BA1001,"")*$G136,"")</f>
        <v/>
      </c>
      <c r="BI136" s="179" t="str">
        <f t="array" ref="BI136">IF($F136&lt;&gt;"",XLOOKUP($F136,Productos!$A:$A,Productos!BB:BB,"Revisar"),"")</f>
        <v/>
      </c>
      <c r="BJ136" s="179" t="str">
        <f t="array" ref="BJ136">IF($F136&lt;&gt;"", XLOOKUP($F136,Productos!$A$2:$A1001,Productos!BC$2:BC1001,"")*$G136,"")</f>
        <v/>
      </c>
      <c r="BK136" s="179" t="str">
        <f t="array" ref="BK136">IF($F136&lt;&gt;"",XLOOKUP($F136,Productos!$A:$A,Productos!BD:BD,"Revisar"),"")</f>
        <v/>
      </c>
      <c r="BL136" s="179" t="str">
        <f t="array" ref="BL136">IF($F136&lt;&gt;"", XLOOKUP($F136,Productos!$A$2:$A1001,Productos!BE$2:BE1001,"")*$G136,"")</f>
        <v/>
      </c>
      <c r="BM136" s="179" t="str">
        <f t="array" ref="BM136">IF($F136&lt;&gt;"",XLOOKUP($F136,Productos!$A:$A,Productos!BF:BF,"Revisar"),"")</f>
        <v/>
      </c>
      <c r="BN136" s="179" t="str">
        <f t="array" ref="BN136">IF($F136&lt;&gt;"", XLOOKUP($F136,Productos!$A$2:$A1001,Productos!BG$2:BG1001,"")*$G136,"")</f>
        <v/>
      </c>
      <c r="BO136" s="179" t="str">
        <f t="array" ref="BO136">IF($F136&lt;&gt;"",XLOOKUP($F136,Productos!$A:$A,Productos!BH:BH,"Revisar"),"")</f>
        <v/>
      </c>
      <c r="BP136" s="179" t="str">
        <f t="array" ref="BP136">IF($F136&lt;&gt;"", XLOOKUP($F136,Productos!$A$2:$A1001,Productos!BI$2:BI1001,"")*$G136,"")</f>
        <v/>
      </c>
      <c r="BQ136" s="179" t="str">
        <f t="array" ref="BQ136">IF($F136&lt;&gt;"",XLOOKUP($F136,Productos!$A:$A,Productos!BJ:BJ,"Revisar"),"")</f>
        <v/>
      </c>
      <c r="BR136" s="179" t="str">
        <f t="array" ref="BR136">IF($F136&lt;&gt;"", XLOOKUP($F136,Productos!$A$2:$A1001,Productos!BK$2:BK1001,"")*$G136,"")</f>
        <v/>
      </c>
      <c r="BS136" s="179" t="str">
        <f t="array" ref="BS136">IF($F136&lt;&gt;"",XLOOKUP($F136,Productos!$A:$A,Productos!BL:BL,"Revisar"),"")</f>
        <v/>
      </c>
      <c r="BT136" s="179" t="str">
        <f t="array" ref="BT136">IF($F136&lt;&gt;"", XLOOKUP($F136,Productos!$A$2:$A1001,Productos!BM$2:BM1001,"")*$G136,"")</f>
        <v/>
      </c>
      <c r="BU136" s="179" t="str">
        <f t="array" ref="BU136">IF($F136&lt;&gt;"",XLOOKUP($F136,Productos!$A:$A,Productos!BN:BN,"Revisar"),"")</f>
        <v/>
      </c>
      <c r="BV136" s="179" t="str">
        <f t="array" ref="BV136">IF($F136&lt;&gt;"", XLOOKUP($F136,Productos!$A$2:$A1001,Productos!BO$2:BO1001,"")*$G136,"")</f>
        <v/>
      </c>
      <c r="BW136" s="179" t="str">
        <f t="array" ref="BW136">IF($F136&lt;&gt;"",XLOOKUP($F136,Productos!$A:$A,Productos!BP:BP,"Revisar"),"")</f>
        <v/>
      </c>
      <c r="BX136" s="179" t="str">
        <f t="array" ref="BX136">IF($F136&lt;&gt;"", XLOOKUP($F136,Productos!$A$2:$A1001,Productos!BQ$2:BQ1001,"")*$G136,"")</f>
        <v/>
      </c>
      <c r="BY136" s="179" t="str">
        <f t="array" ref="BY136">IF($F136&lt;&gt;"",XLOOKUP($F136,Productos!$A:$A,Productos!BR:BR,"Revisar"),"")</f>
        <v/>
      </c>
      <c r="BZ136" s="179" t="str">
        <f t="array" ref="BZ136">IF($F136&lt;&gt;"", XLOOKUP($F136,Productos!$A$2:$A1001,Productos!BS$2:BS1001,"")*$G136,"")</f>
        <v/>
      </c>
    </row>
    <row r="137">
      <c r="A137" s="180"/>
      <c r="B137" s="181"/>
      <c r="C137" s="182"/>
      <c r="D137" s="182"/>
      <c r="E137" s="185"/>
      <c r="F137" s="186"/>
      <c r="G137" s="187"/>
      <c r="H137" s="186"/>
      <c r="I137" s="179" t="str">
        <f t="array" ref="I137">IF($F137&lt;&gt;"",XLOOKUP($F137,Productos!$A:$A,Productos!B:B,"Revisar"),"")</f>
        <v/>
      </c>
      <c r="J137" s="179" t="str">
        <f t="array" ref="J137">IF($F137&lt;&gt;"", XLOOKUP($F137,Productos!$A$2:$A1001,Productos!C$2:C1001,"")*$G137,"")</f>
        <v/>
      </c>
      <c r="K137" s="179" t="str">
        <f t="array" ref="K137">IF($F137&lt;&gt;"",XLOOKUP($F137,Productos!$A:$A,Productos!D:D,"Revisar"),"")</f>
        <v/>
      </c>
      <c r="L137" s="179" t="str">
        <f t="array" ref="L137">IF($F137&lt;&gt;"", XLOOKUP($F137,Productos!$A$2:$A1001,Productos!E$2:E1001,"")*$G137,"")</f>
        <v/>
      </c>
      <c r="M137" s="179" t="str">
        <f t="array" ref="M137">IF($F137&lt;&gt;"",XLOOKUP($F137,Productos!$A:$A,Productos!F:F,"Revisar"),"")</f>
        <v/>
      </c>
      <c r="N137" s="179" t="str">
        <f t="array" ref="N137">IF($F137&lt;&gt;"", XLOOKUP($F137,Productos!$A$2:$A1001,Productos!G$2:G1001,"")*$G137,"")</f>
        <v/>
      </c>
      <c r="O137" s="179" t="str">
        <f t="array" ref="O137">IF($F137&lt;&gt;"",XLOOKUP($F137,Productos!$A:$A,Productos!H:H,"Revisar"),"")</f>
        <v/>
      </c>
      <c r="P137" s="179" t="str">
        <f t="array" ref="P137">IF($F137&lt;&gt;"", XLOOKUP($F137,Productos!$A$2:$A1001,Productos!I$2:I1001,"")*$G137,"")</f>
        <v/>
      </c>
      <c r="Q137" s="179" t="str">
        <f t="array" ref="Q137">IF($F137&lt;&gt;"",XLOOKUP($F137,Productos!$A:$A,Productos!J:J,"Revisar"),"")</f>
        <v/>
      </c>
      <c r="R137" s="179" t="str">
        <f t="array" ref="R137">IF($F137&lt;&gt;"", XLOOKUP($F137,Productos!$A$2:$A1001,Productos!K$2:K1001,"")*$G137,"")</f>
        <v/>
      </c>
      <c r="S137" s="179" t="str">
        <f t="array" ref="S137">IF($F137&lt;&gt;"",XLOOKUP($F137,Productos!$A:$A,Productos!L:L,"Revisar"),"")</f>
        <v/>
      </c>
      <c r="T137" s="179" t="str">
        <f t="array" ref="T137">IF($F137&lt;&gt;"", XLOOKUP($F137,Productos!$A$2:$A1001,Productos!M$2:M1001,"")*$G137,"")</f>
        <v/>
      </c>
      <c r="U137" s="179" t="str">
        <f t="array" ref="U137">IF($F137&lt;&gt;"",XLOOKUP($F137,Productos!$A:$A,Productos!N:N,"Revisar"),"")</f>
        <v/>
      </c>
      <c r="V137" s="179" t="str">
        <f t="array" ref="V137">IF($F137&lt;&gt;"", XLOOKUP($F137,Productos!$A$2:$A1001,Productos!O$2:O1001,"")*$G137,"")</f>
        <v/>
      </c>
      <c r="W137" s="179" t="str">
        <f t="array" ref="W137">IF($F137&lt;&gt;"",XLOOKUP($F137,Productos!$A:$A,Productos!P:P,"Revisar"),"")</f>
        <v/>
      </c>
      <c r="X137" s="179" t="str">
        <f t="array" ref="X137">IF($F137&lt;&gt;"", XLOOKUP($F137,Productos!$A$2:$A1001,Productos!Q$2:Q1001,"")*$G137,"")</f>
        <v/>
      </c>
      <c r="Y137" s="179" t="str">
        <f t="array" ref="Y137">IF($F137&lt;&gt;"",XLOOKUP($F137,Productos!$A:$A,Productos!R:R,"Revisar"),"")</f>
        <v/>
      </c>
      <c r="Z137" s="179" t="str">
        <f t="array" ref="Z137">IF($F137&lt;&gt;"", XLOOKUP($F137,Productos!$A$2:$A1001,Productos!S$2:S1001,"")*$G137,"")</f>
        <v/>
      </c>
      <c r="AA137" s="179" t="str">
        <f t="array" ref="AA137">IF($F137&lt;&gt;"",XLOOKUP($F137,Productos!$A:$A,Productos!T:T,"Revisar"),"")</f>
        <v/>
      </c>
      <c r="AB137" s="179" t="str">
        <f t="array" ref="AB137">IF($F137&lt;&gt;"", XLOOKUP($F137,Productos!$A$2:$A1001,Productos!U$2:U1001,"")*$G137,"")</f>
        <v/>
      </c>
      <c r="AC137" s="179" t="str">
        <f t="array" ref="AC137">IF($F137&lt;&gt;"",XLOOKUP($F137,Productos!$A:$A,Productos!V:V,"Revisar"),"")</f>
        <v/>
      </c>
      <c r="AD137" s="179" t="str">
        <f t="array" ref="AD137">IF($F137&lt;&gt;"", XLOOKUP($F137,Productos!$A$2:$A1001,Productos!W$2:W1001,"")*$G137,"")</f>
        <v/>
      </c>
      <c r="AE137" s="179" t="str">
        <f t="array" ref="AE137">IF($F137&lt;&gt;"",XLOOKUP($F137,Productos!$A:$A,Productos!X:X,"Revisar"),"")</f>
        <v/>
      </c>
      <c r="AF137" s="179" t="str">
        <f t="array" ref="AF137">IF($F137&lt;&gt;"", XLOOKUP($F137,Productos!$A$2:$A1001,Productos!Y$2:Y1001,"")*$G137,"")</f>
        <v/>
      </c>
      <c r="AG137" s="179" t="str">
        <f t="array" ref="AG137">IF($F137&lt;&gt;"",XLOOKUP($F137,Productos!$A:$A,Productos!Z:Z,"Revisar"),"")</f>
        <v/>
      </c>
      <c r="AH137" s="179" t="str">
        <f t="array" ref="AH137">IF($F137&lt;&gt;"", XLOOKUP($F137,Productos!$A$2:$A1001,Productos!AA$2:AA1001,"")*$G137,"")</f>
        <v/>
      </c>
      <c r="AI137" s="179" t="str">
        <f t="array" ref="AI137">IF($F137&lt;&gt;"",XLOOKUP($F137,Productos!$A:$A,Productos!AB:AB,"Revisar"),"")</f>
        <v/>
      </c>
      <c r="AJ137" s="179" t="str">
        <f t="array" ref="AJ137">IF($F137&lt;&gt;"", XLOOKUP($F137,Productos!$A$2:$A1001,Productos!AC$2:AC1001,"")*$G137,"")</f>
        <v/>
      </c>
      <c r="AK137" s="179" t="str">
        <f t="array" ref="AK137">IF($F137&lt;&gt;"",XLOOKUP($F137,Productos!$A:$A,Productos!AD:AD,"Revisar"),"")</f>
        <v/>
      </c>
      <c r="AL137" s="179" t="str">
        <f t="array" ref="AL137">IF($F137&lt;&gt;"", XLOOKUP($F137,Productos!$A$2:$A1001,Productos!AE$2:AE1001,"")*$G137,"")</f>
        <v/>
      </c>
      <c r="AM137" s="179" t="str">
        <f t="array" ref="AM137">IF($F137&lt;&gt;"",XLOOKUP($F137,Productos!$A:$A,Productos!AF:AF,"Revisar"),"")</f>
        <v/>
      </c>
      <c r="AN137" s="179" t="str">
        <f t="array" ref="AN137">IF($F137&lt;&gt;"", XLOOKUP($F137,Productos!$A$2:$A1001,Productos!AG$2:AG1001,"")*$G137,"")</f>
        <v/>
      </c>
      <c r="AO137" s="179" t="str">
        <f t="array" ref="AO137">IF($F137&lt;&gt;"",XLOOKUP($F137,Productos!$A:$A,Productos!AH:AH,"Revisar"),"")</f>
        <v/>
      </c>
      <c r="AP137" s="179" t="str">
        <f t="array" ref="AP137">IF($F137&lt;&gt;"", XLOOKUP($F137,Productos!$A$2:$A1001,Productos!AI$2:AI1001,"")*$G137,"")</f>
        <v/>
      </c>
      <c r="AQ137" s="179" t="str">
        <f t="array" ref="AQ137">IF($F137&lt;&gt;"",XLOOKUP($F137,Productos!$A:$A,Productos!AJ:AJ,"Revisar"),"")</f>
        <v/>
      </c>
      <c r="AR137" s="179" t="str">
        <f t="array" ref="AR137">IF($F137&lt;&gt;"", XLOOKUP($F137,Productos!$A$2:$A1001,Productos!AK$2:AK1001,"")*$G137,"")</f>
        <v/>
      </c>
      <c r="AS137" s="179" t="str">
        <f t="array" ref="AS137">IF($F137&lt;&gt;"",XLOOKUP($F137,Productos!$A:$A,Productos!AL:AL,"Revisar"),"")</f>
        <v/>
      </c>
      <c r="AT137" s="179" t="str">
        <f t="array" ref="AT137">IF($F137&lt;&gt;"", XLOOKUP($F137,Productos!$A$2:$A1001,Productos!AM$2:AM1001,"")*$G137,"")</f>
        <v/>
      </c>
      <c r="AU137" s="179" t="str">
        <f t="array" ref="AU137">IF($F137&lt;&gt;"",XLOOKUP($F137,Productos!$A:$A,Productos!AN:AN,"Revisar"),"")</f>
        <v/>
      </c>
      <c r="AV137" s="179" t="str">
        <f t="array" ref="AV137">IF($F137&lt;&gt;"", XLOOKUP($F137,Productos!$A$2:$A1001,Productos!AO$2:AO1001,"")*$G137,"")</f>
        <v/>
      </c>
      <c r="AW137" s="179" t="str">
        <f t="array" ref="AW137">IF($F137&lt;&gt;"",XLOOKUP($F137,Productos!$A:$A,Productos!AP:AP,"Revisar"),"")</f>
        <v/>
      </c>
      <c r="AX137" s="179" t="str">
        <f t="array" ref="AX137">IF($F137&lt;&gt;"", XLOOKUP($F137,Productos!$A$2:$A1001,Productos!AQ$2:AQ1001,"")*$G137,"")</f>
        <v/>
      </c>
      <c r="AY137" s="179" t="str">
        <f t="array" ref="AY137">IF($F137&lt;&gt;"",XLOOKUP($F137,Productos!$A:$A,Productos!AR:AR,"Revisar"),"")</f>
        <v/>
      </c>
      <c r="AZ137" s="179" t="str">
        <f t="array" ref="AZ137">IF($F137&lt;&gt;"", XLOOKUP($F137,Productos!$A$2:$A1001,Productos!AS$2:AS1001,"")*$G137,"")</f>
        <v/>
      </c>
      <c r="BA137" s="179" t="str">
        <f t="array" ref="BA137">IF($F137&lt;&gt;"",XLOOKUP($F137,Productos!$A:$A,Productos!AT:AT,"Revisar"),"")</f>
        <v/>
      </c>
      <c r="BB137" s="179" t="str">
        <f t="array" ref="BB137">IF($F137&lt;&gt;"", XLOOKUP($F137,Productos!$A$2:$A1001,Productos!AU$2:AU1001,"")*$G137,"")</f>
        <v/>
      </c>
      <c r="BC137" s="179" t="str">
        <f t="array" ref="BC137">IF($F137&lt;&gt;"",XLOOKUP($F137,Productos!$A:$A,Productos!AV:AV,"Revisar"),"")</f>
        <v/>
      </c>
      <c r="BD137" s="179" t="str">
        <f t="array" ref="BD137">IF($F137&lt;&gt;"", XLOOKUP($F137,Productos!$A$2:$A1001,Productos!AW$2:AW1001,"")*$G137,"")</f>
        <v/>
      </c>
      <c r="BE137" s="179" t="str">
        <f t="array" ref="BE137">IF($F137&lt;&gt;"",XLOOKUP($F137,Productos!$A:$A,Productos!AX:AX,"Revisar"),"")</f>
        <v/>
      </c>
      <c r="BF137" s="179" t="str">
        <f t="array" ref="BF137">IF($F137&lt;&gt;"", XLOOKUP($F137,Productos!$A$2:$A1001,Productos!AY$2:AY1001,"")*$G137,"")</f>
        <v/>
      </c>
      <c r="BG137" s="179" t="str">
        <f t="array" ref="BG137">IF($F137&lt;&gt;"",XLOOKUP($F137,Productos!$A:$A,Productos!AZ:AZ,"Revisar"),"")</f>
        <v/>
      </c>
      <c r="BH137" s="179" t="str">
        <f t="array" ref="BH137">IF($F137&lt;&gt;"", XLOOKUP($F137,Productos!$A$2:$A1001,Productos!BA$2:BA1001,"")*$G137,"")</f>
        <v/>
      </c>
      <c r="BI137" s="179" t="str">
        <f t="array" ref="BI137">IF($F137&lt;&gt;"",XLOOKUP($F137,Productos!$A:$A,Productos!BB:BB,"Revisar"),"")</f>
        <v/>
      </c>
      <c r="BJ137" s="179" t="str">
        <f t="array" ref="BJ137">IF($F137&lt;&gt;"", XLOOKUP($F137,Productos!$A$2:$A1001,Productos!BC$2:BC1001,"")*$G137,"")</f>
        <v/>
      </c>
      <c r="BK137" s="179" t="str">
        <f t="array" ref="BK137">IF($F137&lt;&gt;"",XLOOKUP($F137,Productos!$A:$A,Productos!BD:BD,"Revisar"),"")</f>
        <v/>
      </c>
      <c r="BL137" s="179" t="str">
        <f t="array" ref="BL137">IF($F137&lt;&gt;"", XLOOKUP($F137,Productos!$A$2:$A1001,Productos!BE$2:BE1001,"")*$G137,"")</f>
        <v/>
      </c>
      <c r="BM137" s="179" t="str">
        <f t="array" ref="BM137">IF($F137&lt;&gt;"",XLOOKUP($F137,Productos!$A:$A,Productos!BF:BF,"Revisar"),"")</f>
        <v/>
      </c>
      <c r="BN137" s="179" t="str">
        <f t="array" ref="BN137">IF($F137&lt;&gt;"", XLOOKUP($F137,Productos!$A$2:$A1001,Productos!BG$2:BG1001,"")*$G137,"")</f>
        <v/>
      </c>
      <c r="BO137" s="179" t="str">
        <f t="array" ref="BO137">IF($F137&lt;&gt;"",XLOOKUP($F137,Productos!$A:$A,Productos!BH:BH,"Revisar"),"")</f>
        <v/>
      </c>
      <c r="BP137" s="179" t="str">
        <f t="array" ref="BP137">IF($F137&lt;&gt;"", XLOOKUP($F137,Productos!$A$2:$A1001,Productos!BI$2:BI1001,"")*$G137,"")</f>
        <v/>
      </c>
      <c r="BQ137" s="179" t="str">
        <f t="array" ref="BQ137">IF($F137&lt;&gt;"",XLOOKUP($F137,Productos!$A:$A,Productos!BJ:BJ,"Revisar"),"")</f>
        <v/>
      </c>
      <c r="BR137" s="179" t="str">
        <f t="array" ref="BR137">IF($F137&lt;&gt;"", XLOOKUP($F137,Productos!$A$2:$A1001,Productos!BK$2:BK1001,"")*$G137,"")</f>
        <v/>
      </c>
      <c r="BS137" s="179" t="str">
        <f t="array" ref="BS137">IF($F137&lt;&gt;"",XLOOKUP($F137,Productos!$A:$A,Productos!BL:BL,"Revisar"),"")</f>
        <v/>
      </c>
      <c r="BT137" s="179" t="str">
        <f t="array" ref="BT137">IF($F137&lt;&gt;"", XLOOKUP($F137,Productos!$A$2:$A1001,Productos!BM$2:BM1001,"")*$G137,"")</f>
        <v/>
      </c>
      <c r="BU137" s="179" t="str">
        <f t="array" ref="BU137">IF($F137&lt;&gt;"",XLOOKUP($F137,Productos!$A:$A,Productos!BN:BN,"Revisar"),"")</f>
        <v/>
      </c>
      <c r="BV137" s="179" t="str">
        <f t="array" ref="BV137">IF($F137&lt;&gt;"", XLOOKUP($F137,Productos!$A$2:$A1001,Productos!BO$2:BO1001,"")*$G137,"")</f>
        <v/>
      </c>
      <c r="BW137" s="179" t="str">
        <f t="array" ref="BW137">IF($F137&lt;&gt;"",XLOOKUP($F137,Productos!$A:$A,Productos!BP:BP,"Revisar"),"")</f>
        <v/>
      </c>
      <c r="BX137" s="179" t="str">
        <f t="array" ref="BX137">IF($F137&lt;&gt;"", XLOOKUP($F137,Productos!$A$2:$A1001,Productos!BQ$2:BQ1001,"")*$G137,"")</f>
        <v/>
      </c>
      <c r="BY137" s="179" t="str">
        <f t="array" ref="BY137">IF($F137&lt;&gt;"",XLOOKUP($F137,Productos!$A:$A,Productos!BR:BR,"Revisar"),"")</f>
        <v/>
      </c>
      <c r="BZ137" s="179" t="str">
        <f t="array" ref="BZ137">IF($F137&lt;&gt;"", XLOOKUP($F137,Productos!$A$2:$A1001,Productos!BS$2:BS1001,"")*$G137,"")</f>
        <v/>
      </c>
    </row>
    <row r="138">
      <c r="A138" s="180"/>
      <c r="B138" s="181"/>
      <c r="C138" s="182"/>
      <c r="D138" s="182"/>
      <c r="E138" s="185"/>
      <c r="F138" s="186"/>
      <c r="G138" s="187"/>
      <c r="H138" s="186"/>
      <c r="I138" s="179" t="str">
        <f t="array" ref="I138">IF($F138&lt;&gt;"",XLOOKUP($F138,Productos!$A:$A,Productos!B:B,"Revisar"),"")</f>
        <v/>
      </c>
      <c r="J138" s="179" t="str">
        <f t="array" ref="J138">IF($F138&lt;&gt;"", XLOOKUP($F138,Productos!$A$2:$A1001,Productos!C$2:C1001,"")*$G138,"")</f>
        <v/>
      </c>
      <c r="K138" s="179" t="str">
        <f t="array" ref="K138">IF($F138&lt;&gt;"",XLOOKUP($F138,Productos!$A:$A,Productos!D:D,"Revisar"),"")</f>
        <v/>
      </c>
      <c r="L138" s="179" t="str">
        <f t="array" ref="L138">IF($F138&lt;&gt;"", XLOOKUP($F138,Productos!$A$2:$A1001,Productos!E$2:E1001,"")*$G138,"")</f>
        <v/>
      </c>
      <c r="M138" s="179" t="str">
        <f t="array" ref="M138">IF($F138&lt;&gt;"",XLOOKUP($F138,Productos!$A:$A,Productos!F:F,"Revisar"),"")</f>
        <v/>
      </c>
      <c r="N138" s="179" t="str">
        <f t="array" ref="N138">IF($F138&lt;&gt;"", XLOOKUP($F138,Productos!$A$2:$A1001,Productos!G$2:G1001,"")*$G138,"")</f>
        <v/>
      </c>
      <c r="O138" s="179" t="str">
        <f t="array" ref="O138">IF($F138&lt;&gt;"",XLOOKUP($F138,Productos!$A:$A,Productos!H:H,"Revisar"),"")</f>
        <v/>
      </c>
      <c r="P138" s="179" t="str">
        <f t="array" ref="P138">IF($F138&lt;&gt;"", XLOOKUP($F138,Productos!$A$2:$A1001,Productos!I$2:I1001,"")*$G138,"")</f>
        <v/>
      </c>
      <c r="Q138" s="179" t="str">
        <f t="array" ref="Q138">IF($F138&lt;&gt;"",XLOOKUP($F138,Productos!$A:$A,Productos!J:J,"Revisar"),"")</f>
        <v/>
      </c>
      <c r="R138" s="179" t="str">
        <f t="array" ref="R138">IF($F138&lt;&gt;"", XLOOKUP($F138,Productos!$A$2:$A1001,Productos!K$2:K1001,"")*$G138,"")</f>
        <v/>
      </c>
      <c r="S138" s="179" t="str">
        <f t="array" ref="S138">IF($F138&lt;&gt;"",XLOOKUP($F138,Productos!$A:$A,Productos!L:L,"Revisar"),"")</f>
        <v/>
      </c>
      <c r="T138" s="179" t="str">
        <f t="array" ref="T138">IF($F138&lt;&gt;"", XLOOKUP($F138,Productos!$A$2:$A1001,Productos!M$2:M1001,"")*$G138,"")</f>
        <v/>
      </c>
      <c r="U138" s="179" t="str">
        <f t="array" ref="U138">IF($F138&lt;&gt;"",XLOOKUP($F138,Productos!$A:$A,Productos!N:N,"Revisar"),"")</f>
        <v/>
      </c>
      <c r="V138" s="179" t="str">
        <f t="array" ref="V138">IF($F138&lt;&gt;"", XLOOKUP($F138,Productos!$A$2:$A1001,Productos!O$2:O1001,"")*$G138,"")</f>
        <v/>
      </c>
      <c r="W138" s="179" t="str">
        <f t="array" ref="W138">IF($F138&lt;&gt;"",XLOOKUP($F138,Productos!$A:$A,Productos!P:P,"Revisar"),"")</f>
        <v/>
      </c>
      <c r="X138" s="179" t="str">
        <f t="array" ref="X138">IF($F138&lt;&gt;"", XLOOKUP($F138,Productos!$A$2:$A1001,Productos!Q$2:Q1001,"")*$G138,"")</f>
        <v/>
      </c>
      <c r="Y138" s="179" t="str">
        <f t="array" ref="Y138">IF($F138&lt;&gt;"",XLOOKUP($F138,Productos!$A:$A,Productos!R:R,"Revisar"),"")</f>
        <v/>
      </c>
      <c r="Z138" s="179" t="str">
        <f t="array" ref="Z138">IF($F138&lt;&gt;"", XLOOKUP($F138,Productos!$A$2:$A1001,Productos!S$2:S1001,"")*$G138,"")</f>
        <v/>
      </c>
      <c r="AA138" s="179" t="str">
        <f t="array" ref="AA138">IF($F138&lt;&gt;"",XLOOKUP($F138,Productos!$A:$A,Productos!T:T,"Revisar"),"")</f>
        <v/>
      </c>
      <c r="AB138" s="179" t="str">
        <f t="array" ref="AB138">IF($F138&lt;&gt;"", XLOOKUP($F138,Productos!$A$2:$A1001,Productos!U$2:U1001,"")*$G138,"")</f>
        <v/>
      </c>
      <c r="AC138" s="179" t="str">
        <f t="array" ref="AC138">IF($F138&lt;&gt;"",XLOOKUP($F138,Productos!$A:$A,Productos!V:V,"Revisar"),"")</f>
        <v/>
      </c>
      <c r="AD138" s="179" t="str">
        <f t="array" ref="AD138">IF($F138&lt;&gt;"", XLOOKUP($F138,Productos!$A$2:$A1001,Productos!W$2:W1001,"")*$G138,"")</f>
        <v/>
      </c>
      <c r="AE138" s="179" t="str">
        <f t="array" ref="AE138">IF($F138&lt;&gt;"",XLOOKUP($F138,Productos!$A:$A,Productos!X:X,"Revisar"),"")</f>
        <v/>
      </c>
      <c r="AF138" s="179" t="str">
        <f t="array" ref="AF138">IF($F138&lt;&gt;"", XLOOKUP($F138,Productos!$A$2:$A1001,Productos!Y$2:Y1001,"")*$G138,"")</f>
        <v/>
      </c>
      <c r="AG138" s="179" t="str">
        <f t="array" ref="AG138">IF($F138&lt;&gt;"",XLOOKUP($F138,Productos!$A:$A,Productos!Z:Z,"Revisar"),"")</f>
        <v/>
      </c>
      <c r="AH138" s="179" t="str">
        <f t="array" ref="AH138">IF($F138&lt;&gt;"", XLOOKUP($F138,Productos!$A$2:$A1001,Productos!AA$2:AA1001,"")*$G138,"")</f>
        <v/>
      </c>
      <c r="AI138" s="179" t="str">
        <f t="array" ref="AI138">IF($F138&lt;&gt;"",XLOOKUP($F138,Productos!$A:$A,Productos!AB:AB,"Revisar"),"")</f>
        <v/>
      </c>
      <c r="AJ138" s="179" t="str">
        <f t="array" ref="AJ138">IF($F138&lt;&gt;"", XLOOKUP($F138,Productos!$A$2:$A1001,Productos!AC$2:AC1001,"")*$G138,"")</f>
        <v/>
      </c>
      <c r="AK138" s="179" t="str">
        <f t="array" ref="AK138">IF($F138&lt;&gt;"",XLOOKUP($F138,Productos!$A:$A,Productos!AD:AD,"Revisar"),"")</f>
        <v/>
      </c>
      <c r="AL138" s="179" t="str">
        <f t="array" ref="AL138">IF($F138&lt;&gt;"", XLOOKUP($F138,Productos!$A$2:$A1001,Productos!AE$2:AE1001,"")*$G138,"")</f>
        <v/>
      </c>
      <c r="AM138" s="179" t="str">
        <f t="array" ref="AM138">IF($F138&lt;&gt;"",XLOOKUP($F138,Productos!$A:$A,Productos!AF:AF,"Revisar"),"")</f>
        <v/>
      </c>
      <c r="AN138" s="179" t="str">
        <f t="array" ref="AN138">IF($F138&lt;&gt;"", XLOOKUP($F138,Productos!$A$2:$A1001,Productos!AG$2:AG1001,"")*$G138,"")</f>
        <v/>
      </c>
      <c r="AO138" s="179" t="str">
        <f t="array" ref="AO138">IF($F138&lt;&gt;"",XLOOKUP($F138,Productos!$A:$A,Productos!AH:AH,"Revisar"),"")</f>
        <v/>
      </c>
      <c r="AP138" s="179" t="str">
        <f t="array" ref="AP138">IF($F138&lt;&gt;"", XLOOKUP($F138,Productos!$A$2:$A1001,Productos!AI$2:AI1001,"")*$G138,"")</f>
        <v/>
      </c>
      <c r="AQ138" s="179" t="str">
        <f t="array" ref="AQ138">IF($F138&lt;&gt;"",XLOOKUP($F138,Productos!$A:$A,Productos!AJ:AJ,"Revisar"),"")</f>
        <v/>
      </c>
      <c r="AR138" s="179" t="str">
        <f t="array" ref="AR138">IF($F138&lt;&gt;"", XLOOKUP($F138,Productos!$A$2:$A1001,Productos!AK$2:AK1001,"")*$G138,"")</f>
        <v/>
      </c>
      <c r="AS138" s="179" t="str">
        <f t="array" ref="AS138">IF($F138&lt;&gt;"",XLOOKUP($F138,Productos!$A:$A,Productos!AL:AL,"Revisar"),"")</f>
        <v/>
      </c>
      <c r="AT138" s="179" t="str">
        <f t="array" ref="AT138">IF($F138&lt;&gt;"", XLOOKUP($F138,Productos!$A$2:$A1001,Productos!AM$2:AM1001,"")*$G138,"")</f>
        <v/>
      </c>
      <c r="AU138" s="179" t="str">
        <f t="array" ref="AU138">IF($F138&lt;&gt;"",XLOOKUP($F138,Productos!$A:$A,Productos!AN:AN,"Revisar"),"")</f>
        <v/>
      </c>
      <c r="AV138" s="179" t="str">
        <f t="array" ref="AV138">IF($F138&lt;&gt;"", XLOOKUP($F138,Productos!$A$2:$A1001,Productos!AO$2:AO1001,"")*$G138,"")</f>
        <v/>
      </c>
      <c r="AW138" s="179" t="str">
        <f t="array" ref="AW138">IF($F138&lt;&gt;"",XLOOKUP($F138,Productos!$A:$A,Productos!AP:AP,"Revisar"),"")</f>
        <v/>
      </c>
      <c r="AX138" s="179" t="str">
        <f t="array" ref="AX138">IF($F138&lt;&gt;"", XLOOKUP($F138,Productos!$A$2:$A1001,Productos!AQ$2:AQ1001,"")*$G138,"")</f>
        <v/>
      </c>
      <c r="AY138" s="179" t="str">
        <f t="array" ref="AY138">IF($F138&lt;&gt;"",XLOOKUP($F138,Productos!$A:$A,Productos!AR:AR,"Revisar"),"")</f>
        <v/>
      </c>
      <c r="AZ138" s="179" t="str">
        <f t="array" ref="AZ138">IF($F138&lt;&gt;"", XLOOKUP($F138,Productos!$A$2:$A1001,Productos!AS$2:AS1001,"")*$G138,"")</f>
        <v/>
      </c>
      <c r="BA138" s="179" t="str">
        <f t="array" ref="BA138">IF($F138&lt;&gt;"",XLOOKUP($F138,Productos!$A:$A,Productos!AT:AT,"Revisar"),"")</f>
        <v/>
      </c>
      <c r="BB138" s="179" t="str">
        <f t="array" ref="BB138">IF($F138&lt;&gt;"", XLOOKUP($F138,Productos!$A$2:$A1001,Productos!AU$2:AU1001,"")*$G138,"")</f>
        <v/>
      </c>
      <c r="BC138" s="179" t="str">
        <f t="array" ref="BC138">IF($F138&lt;&gt;"",XLOOKUP($F138,Productos!$A:$A,Productos!AV:AV,"Revisar"),"")</f>
        <v/>
      </c>
      <c r="BD138" s="179" t="str">
        <f t="array" ref="BD138">IF($F138&lt;&gt;"", XLOOKUP($F138,Productos!$A$2:$A1001,Productos!AW$2:AW1001,"")*$G138,"")</f>
        <v/>
      </c>
      <c r="BE138" s="179" t="str">
        <f t="array" ref="BE138">IF($F138&lt;&gt;"",XLOOKUP($F138,Productos!$A:$A,Productos!AX:AX,"Revisar"),"")</f>
        <v/>
      </c>
      <c r="BF138" s="179" t="str">
        <f t="array" ref="BF138">IF($F138&lt;&gt;"", XLOOKUP($F138,Productos!$A$2:$A1001,Productos!AY$2:AY1001,"")*$G138,"")</f>
        <v/>
      </c>
      <c r="BG138" s="179" t="str">
        <f t="array" ref="BG138">IF($F138&lt;&gt;"",XLOOKUP($F138,Productos!$A:$A,Productos!AZ:AZ,"Revisar"),"")</f>
        <v/>
      </c>
      <c r="BH138" s="179" t="str">
        <f t="array" ref="BH138">IF($F138&lt;&gt;"", XLOOKUP($F138,Productos!$A$2:$A1001,Productos!BA$2:BA1001,"")*$G138,"")</f>
        <v/>
      </c>
      <c r="BI138" s="179" t="str">
        <f t="array" ref="BI138">IF($F138&lt;&gt;"",XLOOKUP($F138,Productos!$A:$A,Productos!BB:BB,"Revisar"),"")</f>
        <v/>
      </c>
      <c r="BJ138" s="179" t="str">
        <f t="array" ref="BJ138">IF($F138&lt;&gt;"", XLOOKUP($F138,Productos!$A$2:$A1001,Productos!BC$2:BC1001,"")*$G138,"")</f>
        <v/>
      </c>
      <c r="BK138" s="179" t="str">
        <f t="array" ref="BK138">IF($F138&lt;&gt;"",XLOOKUP($F138,Productos!$A:$A,Productos!BD:BD,"Revisar"),"")</f>
        <v/>
      </c>
      <c r="BL138" s="179" t="str">
        <f t="array" ref="BL138">IF($F138&lt;&gt;"", XLOOKUP($F138,Productos!$A$2:$A1001,Productos!BE$2:BE1001,"")*$G138,"")</f>
        <v/>
      </c>
      <c r="BM138" s="179" t="str">
        <f t="array" ref="BM138">IF($F138&lt;&gt;"",XLOOKUP($F138,Productos!$A:$A,Productos!BF:BF,"Revisar"),"")</f>
        <v/>
      </c>
      <c r="BN138" s="179" t="str">
        <f t="array" ref="BN138">IF($F138&lt;&gt;"", XLOOKUP($F138,Productos!$A$2:$A1001,Productos!BG$2:BG1001,"")*$G138,"")</f>
        <v/>
      </c>
      <c r="BO138" s="179" t="str">
        <f t="array" ref="BO138">IF($F138&lt;&gt;"",XLOOKUP($F138,Productos!$A:$A,Productos!BH:BH,"Revisar"),"")</f>
        <v/>
      </c>
      <c r="BP138" s="179" t="str">
        <f t="array" ref="BP138">IF($F138&lt;&gt;"", XLOOKUP($F138,Productos!$A$2:$A1001,Productos!BI$2:BI1001,"")*$G138,"")</f>
        <v/>
      </c>
      <c r="BQ138" s="179" t="str">
        <f t="array" ref="BQ138">IF($F138&lt;&gt;"",XLOOKUP($F138,Productos!$A:$A,Productos!BJ:BJ,"Revisar"),"")</f>
        <v/>
      </c>
      <c r="BR138" s="179" t="str">
        <f t="array" ref="BR138">IF($F138&lt;&gt;"", XLOOKUP($F138,Productos!$A$2:$A1001,Productos!BK$2:BK1001,"")*$G138,"")</f>
        <v/>
      </c>
      <c r="BS138" s="179" t="str">
        <f t="array" ref="BS138">IF($F138&lt;&gt;"",XLOOKUP($F138,Productos!$A:$A,Productos!BL:BL,"Revisar"),"")</f>
        <v/>
      </c>
      <c r="BT138" s="179" t="str">
        <f t="array" ref="BT138">IF($F138&lt;&gt;"", XLOOKUP($F138,Productos!$A$2:$A1001,Productos!BM$2:BM1001,"")*$G138,"")</f>
        <v/>
      </c>
      <c r="BU138" s="179" t="str">
        <f t="array" ref="BU138">IF($F138&lt;&gt;"",XLOOKUP($F138,Productos!$A:$A,Productos!BN:BN,"Revisar"),"")</f>
        <v/>
      </c>
      <c r="BV138" s="179" t="str">
        <f t="array" ref="BV138">IF($F138&lt;&gt;"", XLOOKUP($F138,Productos!$A$2:$A1001,Productos!BO$2:BO1001,"")*$G138,"")</f>
        <v/>
      </c>
      <c r="BW138" s="179" t="str">
        <f t="array" ref="BW138">IF($F138&lt;&gt;"",XLOOKUP($F138,Productos!$A:$A,Productos!BP:BP,"Revisar"),"")</f>
        <v/>
      </c>
      <c r="BX138" s="179" t="str">
        <f t="array" ref="BX138">IF($F138&lt;&gt;"", XLOOKUP($F138,Productos!$A$2:$A1001,Productos!BQ$2:BQ1001,"")*$G138,"")</f>
        <v/>
      </c>
      <c r="BY138" s="179" t="str">
        <f t="array" ref="BY138">IF($F138&lt;&gt;"",XLOOKUP($F138,Productos!$A:$A,Productos!BR:BR,"Revisar"),"")</f>
        <v/>
      </c>
      <c r="BZ138" s="179" t="str">
        <f t="array" ref="BZ138">IF($F138&lt;&gt;"", XLOOKUP($F138,Productos!$A$2:$A1001,Productos!BS$2:BS1001,"")*$G138,"")</f>
        <v/>
      </c>
    </row>
    <row r="139">
      <c r="A139" s="180"/>
      <c r="B139" s="181"/>
      <c r="C139" s="182"/>
      <c r="D139" s="182"/>
      <c r="E139" s="185"/>
      <c r="F139" s="186"/>
      <c r="G139" s="187"/>
      <c r="H139" s="186"/>
      <c r="I139" s="179" t="str">
        <f t="array" ref="I139">IF($F139&lt;&gt;"",XLOOKUP($F139,Productos!$A:$A,Productos!B:B,"Revisar"),"")</f>
        <v/>
      </c>
      <c r="J139" s="179" t="str">
        <f t="array" ref="J139">IF($F139&lt;&gt;"", XLOOKUP($F139,Productos!$A$2:$A1001,Productos!C$2:C1001,"")*$G139,"")</f>
        <v/>
      </c>
      <c r="K139" s="179" t="str">
        <f t="array" ref="K139">IF($F139&lt;&gt;"",XLOOKUP($F139,Productos!$A:$A,Productos!D:D,"Revisar"),"")</f>
        <v/>
      </c>
      <c r="L139" s="179" t="str">
        <f t="array" ref="L139">IF($F139&lt;&gt;"", XLOOKUP($F139,Productos!$A$2:$A1001,Productos!E$2:E1001,"")*$G139,"")</f>
        <v/>
      </c>
      <c r="M139" s="179" t="str">
        <f t="array" ref="M139">IF($F139&lt;&gt;"",XLOOKUP($F139,Productos!$A:$A,Productos!F:F,"Revisar"),"")</f>
        <v/>
      </c>
      <c r="N139" s="179" t="str">
        <f t="array" ref="N139">IF($F139&lt;&gt;"", XLOOKUP($F139,Productos!$A$2:$A1001,Productos!G$2:G1001,"")*$G139,"")</f>
        <v/>
      </c>
      <c r="O139" s="179" t="str">
        <f t="array" ref="O139">IF($F139&lt;&gt;"",XLOOKUP($F139,Productos!$A:$A,Productos!H:H,"Revisar"),"")</f>
        <v/>
      </c>
      <c r="P139" s="179" t="str">
        <f t="array" ref="P139">IF($F139&lt;&gt;"", XLOOKUP($F139,Productos!$A$2:$A1001,Productos!I$2:I1001,"")*$G139,"")</f>
        <v/>
      </c>
      <c r="Q139" s="179" t="str">
        <f t="array" ref="Q139">IF($F139&lt;&gt;"",XLOOKUP($F139,Productos!$A:$A,Productos!J:J,"Revisar"),"")</f>
        <v/>
      </c>
      <c r="R139" s="179" t="str">
        <f t="array" ref="R139">IF($F139&lt;&gt;"", XLOOKUP($F139,Productos!$A$2:$A1001,Productos!K$2:K1001,"")*$G139,"")</f>
        <v/>
      </c>
      <c r="S139" s="179" t="str">
        <f t="array" ref="S139">IF($F139&lt;&gt;"",XLOOKUP($F139,Productos!$A:$A,Productos!L:L,"Revisar"),"")</f>
        <v/>
      </c>
      <c r="T139" s="179" t="str">
        <f t="array" ref="T139">IF($F139&lt;&gt;"", XLOOKUP($F139,Productos!$A$2:$A1001,Productos!M$2:M1001,"")*$G139,"")</f>
        <v/>
      </c>
      <c r="U139" s="179" t="str">
        <f t="array" ref="U139">IF($F139&lt;&gt;"",XLOOKUP($F139,Productos!$A:$A,Productos!N:N,"Revisar"),"")</f>
        <v/>
      </c>
      <c r="V139" s="179" t="str">
        <f t="array" ref="V139">IF($F139&lt;&gt;"", XLOOKUP($F139,Productos!$A$2:$A1001,Productos!O$2:O1001,"")*$G139,"")</f>
        <v/>
      </c>
      <c r="W139" s="179" t="str">
        <f t="array" ref="W139">IF($F139&lt;&gt;"",XLOOKUP($F139,Productos!$A:$A,Productos!P:P,"Revisar"),"")</f>
        <v/>
      </c>
      <c r="X139" s="179" t="str">
        <f t="array" ref="X139">IF($F139&lt;&gt;"", XLOOKUP($F139,Productos!$A$2:$A1001,Productos!Q$2:Q1001,"")*$G139,"")</f>
        <v/>
      </c>
      <c r="Y139" s="179" t="str">
        <f t="array" ref="Y139">IF($F139&lt;&gt;"",XLOOKUP($F139,Productos!$A:$A,Productos!R:R,"Revisar"),"")</f>
        <v/>
      </c>
      <c r="Z139" s="179" t="str">
        <f t="array" ref="Z139">IF($F139&lt;&gt;"", XLOOKUP($F139,Productos!$A$2:$A1001,Productos!S$2:S1001,"")*$G139,"")</f>
        <v/>
      </c>
      <c r="AA139" s="179" t="str">
        <f t="array" ref="AA139">IF($F139&lt;&gt;"",XLOOKUP($F139,Productos!$A:$A,Productos!T:T,"Revisar"),"")</f>
        <v/>
      </c>
      <c r="AB139" s="179" t="str">
        <f t="array" ref="AB139">IF($F139&lt;&gt;"", XLOOKUP($F139,Productos!$A$2:$A1001,Productos!U$2:U1001,"")*$G139,"")</f>
        <v/>
      </c>
      <c r="AC139" s="179" t="str">
        <f t="array" ref="AC139">IF($F139&lt;&gt;"",XLOOKUP($F139,Productos!$A:$A,Productos!V:V,"Revisar"),"")</f>
        <v/>
      </c>
      <c r="AD139" s="179" t="str">
        <f t="array" ref="AD139">IF($F139&lt;&gt;"", XLOOKUP($F139,Productos!$A$2:$A1001,Productos!W$2:W1001,"")*$G139,"")</f>
        <v/>
      </c>
      <c r="AE139" s="179" t="str">
        <f t="array" ref="AE139">IF($F139&lt;&gt;"",XLOOKUP($F139,Productos!$A:$A,Productos!X:X,"Revisar"),"")</f>
        <v/>
      </c>
      <c r="AF139" s="179" t="str">
        <f t="array" ref="AF139">IF($F139&lt;&gt;"", XLOOKUP($F139,Productos!$A$2:$A1001,Productos!Y$2:Y1001,"")*$G139,"")</f>
        <v/>
      </c>
      <c r="AG139" s="179" t="str">
        <f t="array" ref="AG139">IF($F139&lt;&gt;"",XLOOKUP($F139,Productos!$A:$A,Productos!Z:Z,"Revisar"),"")</f>
        <v/>
      </c>
      <c r="AH139" s="179" t="str">
        <f t="array" ref="AH139">IF($F139&lt;&gt;"", XLOOKUP($F139,Productos!$A$2:$A1001,Productos!AA$2:AA1001,"")*$G139,"")</f>
        <v/>
      </c>
      <c r="AI139" s="179" t="str">
        <f t="array" ref="AI139">IF($F139&lt;&gt;"",XLOOKUP($F139,Productos!$A:$A,Productos!AB:AB,"Revisar"),"")</f>
        <v/>
      </c>
      <c r="AJ139" s="179" t="str">
        <f t="array" ref="AJ139">IF($F139&lt;&gt;"", XLOOKUP($F139,Productos!$A$2:$A1001,Productos!AC$2:AC1001,"")*$G139,"")</f>
        <v/>
      </c>
      <c r="AK139" s="179" t="str">
        <f t="array" ref="AK139">IF($F139&lt;&gt;"",XLOOKUP($F139,Productos!$A:$A,Productos!AD:AD,"Revisar"),"")</f>
        <v/>
      </c>
      <c r="AL139" s="179" t="str">
        <f t="array" ref="AL139">IF($F139&lt;&gt;"", XLOOKUP($F139,Productos!$A$2:$A1001,Productos!AE$2:AE1001,"")*$G139,"")</f>
        <v/>
      </c>
      <c r="AM139" s="179" t="str">
        <f t="array" ref="AM139">IF($F139&lt;&gt;"",XLOOKUP($F139,Productos!$A:$A,Productos!AF:AF,"Revisar"),"")</f>
        <v/>
      </c>
      <c r="AN139" s="179" t="str">
        <f t="array" ref="AN139">IF($F139&lt;&gt;"", XLOOKUP($F139,Productos!$A$2:$A1001,Productos!AG$2:AG1001,"")*$G139,"")</f>
        <v/>
      </c>
      <c r="AO139" s="179" t="str">
        <f t="array" ref="AO139">IF($F139&lt;&gt;"",XLOOKUP($F139,Productos!$A:$A,Productos!AH:AH,"Revisar"),"")</f>
        <v/>
      </c>
      <c r="AP139" s="179" t="str">
        <f t="array" ref="AP139">IF($F139&lt;&gt;"", XLOOKUP($F139,Productos!$A$2:$A1001,Productos!AI$2:AI1001,"")*$G139,"")</f>
        <v/>
      </c>
      <c r="AQ139" s="179" t="str">
        <f t="array" ref="AQ139">IF($F139&lt;&gt;"",XLOOKUP($F139,Productos!$A:$A,Productos!AJ:AJ,"Revisar"),"")</f>
        <v/>
      </c>
      <c r="AR139" s="179" t="str">
        <f t="array" ref="AR139">IF($F139&lt;&gt;"", XLOOKUP($F139,Productos!$A$2:$A1001,Productos!AK$2:AK1001,"")*$G139,"")</f>
        <v/>
      </c>
      <c r="AS139" s="179" t="str">
        <f t="array" ref="AS139">IF($F139&lt;&gt;"",XLOOKUP($F139,Productos!$A:$A,Productos!AL:AL,"Revisar"),"")</f>
        <v/>
      </c>
      <c r="AT139" s="179" t="str">
        <f t="array" ref="AT139">IF($F139&lt;&gt;"", XLOOKUP($F139,Productos!$A$2:$A1001,Productos!AM$2:AM1001,"")*$G139,"")</f>
        <v/>
      </c>
      <c r="AU139" s="179" t="str">
        <f t="array" ref="AU139">IF($F139&lt;&gt;"",XLOOKUP($F139,Productos!$A:$A,Productos!AN:AN,"Revisar"),"")</f>
        <v/>
      </c>
      <c r="AV139" s="179" t="str">
        <f t="array" ref="AV139">IF($F139&lt;&gt;"", XLOOKUP($F139,Productos!$A$2:$A1001,Productos!AO$2:AO1001,"")*$G139,"")</f>
        <v/>
      </c>
      <c r="AW139" s="179" t="str">
        <f t="array" ref="AW139">IF($F139&lt;&gt;"",XLOOKUP($F139,Productos!$A:$A,Productos!AP:AP,"Revisar"),"")</f>
        <v/>
      </c>
      <c r="AX139" s="179" t="str">
        <f t="array" ref="AX139">IF($F139&lt;&gt;"", XLOOKUP($F139,Productos!$A$2:$A1001,Productos!AQ$2:AQ1001,"")*$G139,"")</f>
        <v/>
      </c>
      <c r="AY139" s="179" t="str">
        <f t="array" ref="AY139">IF($F139&lt;&gt;"",XLOOKUP($F139,Productos!$A:$A,Productos!AR:AR,"Revisar"),"")</f>
        <v/>
      </c>
      <c r="AZ139" s="179" t="str">
        <f t="array" ref="AZ139">IF($F139&lt;&gt;"", XLOOKUP($F139,Productos!$A$2:$A1001,Productos!AS$2:AS1001,"")*$G139,"")</f>
        <v/>
      </c>
      <c r="BA139" s="179" t="str">
        <f t="array" ref="BA139">IF($F139&lt;&gt;"",XLOOKUP($F139,Productos!$A:$A,Productos!AT:AT,"Revisar"),"")</f>
        <v/>
      </c>
      <c r="BB139" s="179" t="str">
        <f t="array" ref="BB139">IF($F139&lt;&gt;"", XLOOKUP($F139,Productos!$A$2:$A1001,Productos!AU$2:AU1001,"")*$G139,"")</f>
        <v/>
      </c>
      <c r="BC139" s="179" t="str">
        <f t="array" ref="BC139">IF($F139&lt;&gt;"",XLOOKUP($F139,Productos!$A:$A,Productos!AV:AV,"Revisar"),"")</f>
        <v/>
      </c>
      <c r="BD139" s="179" t="str">
        <f t="array" ref="BD139">IF($F139&lt;&gt;"", XLOOKUP($F139,Productos!$A$2:$A1001,Productos!AW$2:AW1001,"")*$G139,"")</f>
        <v/>
      </c>
      <c r="BE139" s="179" t="str">
        <f t="array" ref="BE139">IF($F139&lt;&gt;"",XLOOKUP($F139,Productos!$A:$A,Productos!AX:AX,"Revisar"),"")</f>
        <v/>
      </c>
      <c r="BF139" s="179" t="str">
        <f t="array" ref="BF139">IF($F139&lt;&gt;"", XLOOKUP($F139,Productos!$A$2:$A1001,Productos!AY$2:AY1001,"")*$G139,"")</f>
        <v/>
      </c>
      <c r="BG139" s="179" t="str">
        <f t="array" ref="BG139">IF($F139&lt;&gt;"",XLOOKUP($F139,Productos!$A:$A,Productos!AZ:AZ,"Revisar"),"")</f>
        <v/>
      </c>
      <c r="BH139" s="179" t="str">
        <f t="array" ref="BH139">IF($F139&lt;&gt;"", XLOOKUP($F139,Productos!$A$2:$A1001,Productos!BA$2:BA1001,"")*$G139,"")</f>
        <v/>
      </c>
      <c r="BI139" s="179" t="str">
        <f t="array" ref="BI139">IF($F139&lt;&gt;"",XLOOKUP($F139,Productos!$A:$A,Productos!BB:BB,"Revisar"),"")</f>
        <v/>
      </c>
      <c r="BJ139" s="179" t="str">
        <f t="array" ref="BJ139">IF($F139&lt;&gt;"", XLOOKUP($F139,Productos!$A$2:$A1001,Productos!BC$2:BC1001,"")*$G139,"")</f>
        <v/>
      </c>
      <c r="BK139" s="179" t="str">
        <f t="array" ref="BK139">IF($F139&lt;&gt;"",XLOOKUP($F139,Productos!$A:$A,Productos!BD:BD,"Revisar"),"")</f>
        <v/>
      </c>
      <c r="BL139" s="179" t="str">
        <f t="array" ref="BL139">IF($F139&lt;&gt;"", XLOOKUP($F139,Productos!$A$2:$A1001,Productos!BE$2:BE1001,"")*$G139,"")</f>
        <v/>
      </c>
      <c r="BM139" s="179" t="str">
        <f t="array" ref="BM139">IF($F139&lt;&gt;"",XLOOKUP($F139,Productos!$A:$A,Productos!BF:BF,"Revisar"),"")</f>
        <v/>
      </c>
      <c r="BN139" s="179" t="str">
        <f t="array" ref="BN139">IF($F139&lt;&gt;"", XLOOKUP($F139,Productos!$A$2:$A1001,Productos!BG$2:BG1001,"")*$G139,"")</f>
        <v/>
      </c>
      <c r="BO139" s="179" t="str">
        <f t="array" ref="BO139">IF($F139&lt;&gt;"",XLOOKUP($F139,Productos!$A:$A,Productos!BH:BH,"Revisar"),"")</f>
        <v/>
      </c>
      <c r="BP139" s="179" t="str">
        <f t="array" ref="BP139">IF($F139&lt;&gt;"", XLOOKUP($F139,Productos!$A$2:$A1001,Productos!BI$2:BI1001,"")*$G139,"")</f>
        <v/>
      </c>
      <c r="BQ139" s="179" t="str">
        <f t="array" ref="BQ139">IF($F139&lt;&gt;"",XLOOKUP($F139,Productos!$A:$A,Productos!BJ:BJ,"Revisar"),"")</f>
        <v/>
      </c>
      <c r="BR139" s="179" t="str">
        <f t="array" ref="BR139">IF($F139&lt;&gt;"", XLOOKUP($F139,Productos!$A$2:$A1001,Productos!BK$2:BK1001,"")*$G139,"")</f>
        <v/>
      </c>
      <c r="BS139" s="179" t="str">
        <f t="array" ref="BS139">IF($F139&lt;&gt;"",XLOOKUP($F139,Productos!$A:$A,Productos!BL:BL,"Revisar"),"")</f>
        <v/>
      </c>
      <c r="BT139" s="179" t="str">
        <f t="array" ref="BT139">IF($F139&lt;&gt;"", XLOOKUP($F139,Productos!$A$2:$A1001,Productos!BM$2:BM1001,"")*$G139,"")</f>
        <v/>
      </c>
      <c r="BU139" s="179" t="str">
        <f t="array" ref="BU139">IF($F139&lt;&gt;"",XLOOKUP($F139,Productos!$A:$A,Productos!BN:BN,"Revisar"),"")</f>
        <v/>
      </c>
      <c r="BV139" s="179" t="str">
        <f t="array" ref="BV139">IF($F139&lt;&gt;"", XLOOKUP($F139,Productos!$A$2:$A1001,Productos!BO$2:BO1001,"")*$G139,"")</f>
        <v/>
      </c>
      <c r="BW139" s="179" t="str">
        <f t="array" ref="BW139">IF($F139&lt;&gt;"",XLOOKUP($F139,Productos!$A:$A,Productos!BP:BP,"Revisar"),"")</f>
        <v/>
      </c>
      <c r="BX139" s="179" t="str">
        <f t="array" ref="BX139">IF($F139&lt;&gt;"", XLOOKUP($F139,Productos!$A$2:$A1001,Productos!BQ$2:BQ1001,"")*$G139,"")</f>
        <v/>
      </c>
      <c r="BY139" s="179" t="str">
        <f t="array" ref="BY139">IF($F139&lt;&gt;"",XLOOKUP($F139,Productos!$A:$A,Productos!BR:BR,"Revisar"),"")</f>
        <v/>
      </c>
      <c r="BZ139" s="179" t="str">
        <f t="array" ref="BZ139">IF($F139&lt;&gt;"", XLOOKUP($F139,Productos!$A$2:$A1001,Productos!BS$2:BS1001,"")*$G139,"")</f>
        <v/>
      </c>
    </row>
    <row r="140">
      <c r="A140" s="180"/>
      <c r="B140" s="181"/>
      <c r="C140" s="182"/>
      <c r="D140" s="182"/>
      <c r="E140" s="185"/>
      <c r="F140" s="186"/>
      <c r="G140" s="187"/>
      <c r="H140" s="186"/>
      <c r="I140" s="179" t="str">
        <f t="array" ref="I140">IF($F140&lt;&gt;"",XLOOKUP($F140,Productos!$A:$A,Productos!B:B,"Revisar"),"")</f>
        <v/>
      </c>
      <c r="J140" s="179" t="str">
        <f t="array" ref="J140">IF($F140&lt;&gt;"", XLOOKUP($F140,Productos!$A$2:$A1001,Productos!C$2:C1001,"")*$G140,"")</f>
        <v/>
      </c>
      <c r="K140" s="179" t="str">
        <f t="array" ref="K140">IF($F140&lt;&gt;"",XLOOKUP($F140,Productos!$A:$A,Productos!D:D,"Revisar"),"")</f>
        <v/>
      </c>
      <c r="L140" s="179" t="str">
        <f t="array" ref="L140">IF($F140&lt;&gt;"", XLOOKUP($F140,Productos!$A$2:$A1001,Productos!E$2:E1001,"")*$G140,"")</f>
        <v/>
      </c>
      <c r="M140" s="179" t="str">
        <f t="array" ref="M140">IF($F140&lt;&gt;"",XLOOKUP($F140,Productos!$A:$A,Productos!F:F,"Revisar"),"")</f>
        <v/>
      </c>
      <c r="N140" s="179" t="str">
        <f t="array" ref="N140">IF($F140&lt;&gt;"", XLOOKUP($F140,Productos!$A$2:$A1001,Productos!G$2:G1001,"")*$G140,"")</f>
        <v/>
      </c>
      <c r="O140" s="179" t="str">
        <f t="array" ref="O140">IF($F140&lt;&gt;"",XLOOKUP($F140,Productos!$A:$A,Productos!H:H,"Revisar"),"")</f>
        <v/>
      </c>
      <c r="P140" s="179" t="str">
        <f t="array" ref="P140">IF($F140&lt;&gt;"", XLOOKUP($F140,Productos!$A$2:$A1001,Productos!I$2:I1001,"")*$G140,"")</f>
        <v/>
      </c>
      <c r="Q140" s="179" t="str">
        <f t="array" ref="Q140">IF($F140&lt;&gt;"",XLOOKUP($F140,Productos!$A:$A,Productos!J:J,"Revisar"),"")</f>
        <v/>
      </c>
      <c r="R140" s="179" t="str">
        <f t="array" ref="R140">IF($F140&lt;&gt;"", XLOOKUP($F140,Productos!$A$2:$A1001,Productos!K$2:K1001,"")*$G140,"")</f>
        <v/>
      </c>
      <c r="S140" s="179" t="str">
        <f t="array" ref="S140">IF($F140&lt;&gt;"",XLOOKUP($F140,Productos!$A:$A,Productos!L:L,"Revisar"),"")</f>
        <v/>
      </c>
      <c r="T140" s="179" t="str">
        <f t="array" ref="T140">IF($F140&lt;&gt;"", XLOOKUP($F140,Productos!$A$2:$A1001,Productos!M$2:M1001,"")*$G140,"")</f>
        <v/>
      </c>
      <c r="U140" s="179" t="str">
        <f t="array" ref="U140">IF($F140&lt;&gt;"",XLOOKUP($F140,Productos!$A:$A,Productos!N:N,"Revisar"),"")</f>
        <v/>
      </c>
      <c r="V140" s="179" t="str">
        <f t="array" ref="V140">IF($F140&lt;&gt;"", XLOOKUP($F140,Productos!$A$2:$A1001,Productos!O$2:O1001,"")*$G140,"")</f>
        <v/>
      </c>
      <c r="W140" s="179" t="str">
        <f t="array" ref="W140">IF($F140&lt;&gt;"",XLOOKUP($F140,Productos!$A:$A,Productos!P:P,"Revisar"),"")</f>
        <v/>
      </c>
      <c r="X140" s="179" t="str">
        <f t="array" ref="X140">IF($F140&lt;&gt;"", XLOOKUP($F140,Productos!$A$2:$A1001,Productos!Q$2:Q1001,"")*$G140,"")</f>
        <v/>
      </c>
      <c r="Y140" s="179" t="str">
        <f t="array" ref="Y140">IF($F140&lt;&gt;"",XLOOKUP($F140,Productos!$A:$A,Productos!R:R,"Revisar"),"")</f>
        <v/>
      </c>
      <c r="Z140" s="179" t="str">
        <f t="array" ref="Z140">IF($F140&lt;&gt;"", XLOOKUP($F140,Productos!$A$2:$A1001,Productos!S$2:S1001,"")*$G140,"")</f>
        <v/>
      </c>
      <c r="AA140" s="179" t="str">
        <f t="array" ref="AA140">IF($F140&lt;&gt;"",XLOOKUP($F140,Productos!$A:$A,Productos!T:T,"Revisar"),"")</f>
        <v/>
      </c>
      <c r="AB140" s="179" t="str">
        <f t="array" ref="AB140">IF($F140&lt;&gt;"", XLOOKUP($F140,Productos!$A$2:$A1001,Productos!U$2:U1001,"")*$G140,"")</f>
        <v/>
      </c>
      <c r="AC140" s="179" t="str">
        <f t="array" ref="AC140">IF($F140&lt;&gt;"",XLOOKUP($F140,Productos!$A:$A,Productos!V:V,"Revisar"),"")</f>
        <v/>
      </c>
      <c r="AD140" s="179" t="str">
        <f t="array" ref="AD140">IF($F140&lt;&gt;"", XLOOKUP($F140,Productos!$A$2:$A1001,Productos!W$2:W1001,"")*$G140,"")</f>
        <v/>
      </c>
      <c r="AE140" s="179" t="str">
        <f t="array" ref="AE140">IF($F140&lt;&gt;"",XLOOKUP($F140,Productos!$A:$A,Productos!X:X,"Revisar"),"")</f>
        <v/>
      </c>
      <c r="AF140" s="179" t="str">
        <f t="array" ref="AF140">IF($F140&lt;&gt;"", XLOOKUP($F140,Productos!$A$2:$A1001,Productos!Y$2:Y1001,"")*$G140,"")</f>
        <v/>
      </c>
      <c r="AG140" s="179" t="str">
        <f t="array" ref="AG140">IF($F140&lt;&gt;"",XLOOKUP($F140,Productos!$A:$A,Productos!Z:Z,"Revisar"),"")</f>
        <v/>
      </c>
      <c r="AH140" s="179" t="str">
        <f t="array" ref="AH140">IF($F140&lt;&gt;"", XLOOKUP($F140,Productos!$A$2:$A1001,Productos!AA$2:AA1001,"")*$G140,"")</f>
        <v/>
      </c>
      <c r="AI140" s="179" t="str">
        <f t="array" ref="AI140">IF($F140&lt;&gt;"",XLOOKUP($F140,Productos!$A:$A,Productos!AB:AB,"Revisar"),"")</f>
        <v/>
      </c>
      <c r="AJ140" s="179" t="str">
        <f t="array" ref="AJ140">IF($F140&lt;&gt;"", XLOOKUP($F140,Productos!$A$2:$A1001,Productos!AC$2:AC1001,"")*$G140,"")</f>
        <v/>
      </c>
      <c r="AK140" s="179" t="str">
        <f t="array" ref="AK140">IF($F140&lt;&gt;"",XLOOKUP($F140,Productos!$A:$A,Productos!AD:AD,"Revisar"),"")</f>
        <v/>
      </c>
      <c r="AL140" s="179" t="str">
        <f t="array" ref="AL140">IF($F140&lt;&gt;"", XLOOKUP($F140,Productos!$A$2:$A1001,Productos!AE$2:AE1001,"")*$G140,"")</f>
        <v/>
      </c>
      <c r="AM140" s="179" t="str">
        <f t="array" ref="AM140">IF($F140&lt;&gt;"",XLOOKUP($F140,Productos!$A:$A,Productos!AF:AF,"Revisar"),"")</f>
        <v/>
      </c>
      <c r="AN140" s="179" t="str">
        <f t="array" ref="AN140">IF($F140&lt;&gt;"", XLOOKUP($F140,Productos!$A$2:$A1001,Productos!AG$2:AG1001,"")*$G140,"")</f>
        <v/>
      </c>
      <c r="AO140" s="179" t="str">
        <f t="array" ref="AO140">IF($F140&lt;&gt;"",XLOOKUP($F140,Productos!$A:$A,Productos!AH:AH,"Revisar"),"")</f>
        <v/>
      </c>
      <c r="AP140" s="179" t="str">
        <f t="array" ref="AP140">IF($F140&lt;&gt;"", XLOOKUP($F140,Productos!$A$2:$A1001,Productos!AI$2:AI1001,"")*$G140,"")</f>
        <v/>
      </c>
      <c r="AQ140" s="179" t="str">
        <f t="array" ref="AQ140">IF($F140&lt;&gt;"",XLOOKUP($F140,Productos!$A:$A,Productos!AJ:AJ,"Revisar"),"")</f>
        <v/>
      </c>
      <c r="AR140" s="179" t="str">
        <f t="array" ref="AR140">IF($F140&lt;&gt;"", XLOOKUP($F140,Productos!$A$2:$A1001,Productos!AK$2:AK1001,"")*$G140,"")</f>
        <v/>
      </c>
      <c r="AS140" s="179" t="str">
        <f t="array" ref="AS140">IF($F140&lt;&gt;"",XLOOKUP($F140,Productos!$A:$A,Productos!AL:AL,"Revisar"),"")</f>
        <v/>
      </c>
      <c r="AT140" s="179" t="str">
        <f t="array" ref="AT140">IF($F140&lt;&gt;"", XLOOKUP($F140,Productos!$A$2:$A1001,Productos!AM$2:AM1001,"")*$G140,"")</f>
        <v/>
      </c>
      <c r="AU140" s="179" t="str">
        <f t="array" ref="AU140">IF($F140&lt;&gt;"",XLOOKUP($F140,Productos!$A:$A,Productos!AN:AN,"Revisar"),"")</f>
        <v/>
      </c>
      <c r="AV140" s="179" t="str">
        <f t="array" ref="AV140">IF($F140&lt;&gt;"", XLOOKUP($F140,Productos!$A$2:$A1001,Productos!AO$2:AO1001,"")*$G140,"")</f>
        <v/>
      </c>
      <c r="AW140" s="179" t="str">
        <f t="array" ref="AW140">IF($F140&lt;&gt;"",XLOOKUP($F140,Productos!$A:$A,Productos!AP:AP,"Revisar"),"")</f>
        <v/>
      </c>
      <c r="AX140" s="179" t="str">
        <f t="array" ref="AX140">IF($F140&lt;&gt;"", XLOOKUP($F140,Productos!$A$2:$A1001,Productos!AQ$2:AQ1001,"")*$G140,"")</f>
        <v/>
      </c>
      <c r="AY140" s="179" t="str">
        <f t="array" ref="AY140">IF($F140&lt;&gt;"",XLOOKUP($F140,Productos!$A:$A,Productos!AR:AR,"Revisar"),"")</f>
        <v/>
      </c>
      <c r="AZ140" s="179" t="str">
        <f t="array" ref="AZ140">IF($F140&lt;&gt;"", XLOOKUP($F140,Productos!$A$2:$A1001,Productos!AS$2:AS1001,"")*$G140,"")</f>
        <v/>
      </c>
      <c r="BA140" s="179" t="str">
        <f t="array" ref="BA140">IF($F140&lt;&gt;"",XLOOKUP($F140,Productos!$A:$A,Productos!AT:AT,"Revisar"),"")</f>
        <v/>
      </c>
      <c r="BB140" s="179" t="str">
        <f t="array" ref="BB140">IF($F140&lt;&gt;"", XLOOKUP($F140,Productos!$A$2:$A1001,Productos!AU$2:AU1001,"")*$G140,"")</f>
        <v/>
      </c>
      <c r="BC140" s="179" t="str">
        <f t="array" ref="BC140">IF($F140&lt;&gt;"",XLOOKUP($F140,Productos!$A:$A,Productos!AV:AV,"Revisar"),"")</f>
        <v/>
      </c>
      <c r="BD140" s="179" t="str">
        <f t="array" ref="BD140">IF($F140&lt;&gt;"", XLOOKUP($F140,Productos!$A$2:$A1001,Productos!AW$2:AW1001,"")*$G140,"")</f>
        <v/>
      </c>
      <c r="BE140" s="179" t="str">
        <f t="array" ref="BE140">IF($F140&lt;&gt;"",XLOOKUP($F140,Productos!$A:$A,Productos!AX:AX,"Revisar"),"")</f>
        <v/>
      </c>
      <c r="BF140" s="179" t="str">
        <f t="array" ref="BF140">IF($F140&lt;&gt;"", XLOOKUP($F140,Productos!$A$2:$A1001,Productos!AY$2:AY1001,"")*$G140,"")</f>
        <v/>
      </c>
      <c r="BG140" s="179" t="str">
        <f t="array" ref="BG140">IF($F140&lt;&gt;"",XLOOKUP($F140,Productos!$A:$A,Productos!AZ:AZ,"Revisar"),"")</f>
        <v/>
      </c>
      <c r="BH140" s="179" t="str">
        <f t="array" ref="BH140">IF($F140&lt;&gt;"", XLOOKUP($F140,Productos!$A$2:$A1001,Productos!BA$2:BA1001,"")*$G140,"")</f>
        <v/>
      </c>
      <c r="BI140" s="179" t="str">
        <f t="array" ref="BI140">IF($F140&lt;&gt;"",XLOOKUP($F140,Productos!$A:$A,Productos!BB:BB,"Revisar"),"")</f>
        <v/>
      </c>
      <c r="BJ140" s="179" t="str">
        <f t="array" ref="BJ140">IF($F140&lt;&gt;"", XLOOKUP($F140,Productos!$A$2:$A1001,Productos!BC$2:BC1001,"")*$G140,"")</f>
        <v/>
      </c>
      <c r="BK140" s="179" t="str">
        <f t="array" ref="BK140">IF($F140&lt;&gt;"",XLOOKUP($F140,Productos!$A:$A,Productos!BD:BD,"Revisar"),"")</f>
        <v/>
      </c>
      <c r="BL140" s="179" t="str">
        <f t="array" ref="BL140">IF($F140&lt;&gt;"", XLOOKUP($F140,Productos!$A$2:$A1001,Productos!BE$2:BE1001,"")*$G140,"")</f>
        <v/>
      </c>
      <c r="BM140" s="179" t="str">
        <f t="array" ref="BM140">IF($F140&lt;&gt;"",XLOOKUP($F140,Productos!$A:$A,Productos!BF:BF,"Revisar"),"")</f>
        <v/>
      </c>
      <c r="BN140" s="179" t="str">
        <f t="array" ref="BN140">IF($F140&lt;&gt;"", XLOOKUP($F140,Productos!$A$2:$A1001,Productos!BG$2:BG1001,"")*$G140,"")</f>
        <v/>
      </c>
      <c r="BO140" s="179" t="str">
        <f t="array" ref="BO140">IF($F140&lt;&gt;"",XLOOKUP($F140,Productos!$A:$A,Productos!BH:BH,"Revisar"),"")</f>
        <v/>
      </c>
      <c r="BP140" s="179" t="str">
        <f t="array" ref="BP140">IF($F140&lt;&gt;"", XLOOKUP($F140,Productos!$A$2:$A1001,Productos!BI$2:BI1001,"")*$G140,"")</f>
        <v/>
      </c>
      <c r="BQ140" s="179" t="str">
        <f t="array" ref="BQ140">IF($F140&lt;&gt;"",XLOOKUP($F140,Productos!$A:$A,Productos!BJ:BJ,"Revisar"),"")</f>
        <v/>
      </c>
      <c r="BR140" s="179" t="str">
        <f t="array" ref="BR140">IF($F140&lt;&gt;"", XLOOKUP($F140,Productos!$A$2:$A1001,Productos!BK$2:BK1001,"")*$G140,"")</f>
        <v/>
      </c>
      <c r="BS140" s="179" t="str">
        <f t="array" ref="BS140">IF($F140&lt;&gt;"",XLOOKUP($F140,Productos!$A:$A,Productos!BL:BL,"Revisar"),"")</f>
        <v/>
      </c>
      <c r="BT140" s="179" t="str">
        <f t="array" ref="BT140">IF($F140&lt;&gt;"", XLOOKUP($F140,Productos!$A$2:$A1001,Productos!BM$2:BM1001,"")*$G140,"")</f>
        <v/>
      </c>
      <c r="BU140" s="179" t="str">
        <f t="array" ref="BU140">IF($F140&lt;&gt;"",XLOOKUP($F140,Productos!$A:$A,Productos!BN:BN,"Revisar"),"")</f>
        <v/>
      </c>
      <c r="BV140" s="179" t="str">
        <f t="array" ref="BV140">IF($F140&lt;&gt;"", XLOOKUP($F140,Productos!$A$2:$A1001,Productos!BO$2:BO1001,"")*$G140,"")</f>
        <v/>
      </c>
      <c r="BW140" s="179" t="str">
        <f t="array" ref="BW140">IF($F140&lt;&gt;"",XLOOKUP($F140,Productos!$A:$A,Productos!BP:BP,"Revisar"),"")</f>
        <v/>
      </c>
      <c r="BX140" s="179" t="str">
        <f t="array" ref="BX140">IF($F140&lt;&gt;"", XLOOKUP($F140,Productos!$A$2:$A1001,Productos!BQ$2:BQ1001,"")*$G140,"")</f>
        <v/>
      </c>
      <c r="BY140" s="179" t="str">
        <f t="array" ref="BY140">IF($F140&lt;&gt;"",XLOOKUP($F140,Productos!$A:$A,Productos!BR:BR,"Revisar"),"")</f>
        <v/>
      </c>
      <c r="BZ140" s="179" t="str">
        <f t="array" ref="BZ140">IF($F140&lt;&gt;"", XLOOKUP($F140,Productos!$A$2:$A1001,Productos!BS$2:BS1001,"")*$G140,"")</f>
        <v/>
      </c>
    </row>
    <row r="141">
      <c r="A141" s="180"/>
      <c r="B141" s="181"/>
      <c r="C141" s="182"/>
      <c r="D141" s="182"/>
      <c r="E141" s="185"/>
      <c r="F141" s="186"/>
      <c r="G141" s="187"/>
      <c r="H141" s="186"/>
      <c r="I141" s="179" t="str">
        <f t="array" ref="I141">IF($F141&lt;&gt;"",XLOOKUP($F141,Productos!$A:$A,Productos!B:B,"Revisar"),"")</f>
        <v/>
      </c>
      <c r="J141" s="179" t="str">
        <f t="array" ref="J141">IF($F141&lt;&gt;"", XLOOKUP($F141,Productos!$A$2:$A1001,Productos!C$2:C1001,"")*$G141,"")</f>
        <v/>
      </c>
      <c r="K141" s="179" t="str">
        <f t="array" ref="K141">IF($F141&lt;&gt;"",XLOOKUP($F141,Productos!$A:$A,Productos!D:D,"Revisar"),"")</f>
        <v/>
      </c>
      <c r="L141" s="179" t="str">
        <f t="array" ref="L141">IF($F141&lt;&gt;"", XLOOKUP($F141,Productos!$A$2:$A1001,Productos!E$2:E1001,"")*$G141,"")</f>
        <v/>
      </c>
      <c r="M141" s="179" t="str">
        <f t="array" ref="M141">IF($F141&lt;&gt;"",XLOOKUP($F141,Productos!$A:$A,Productos!F:F,"Revisar"),"")</f>
        <v/>
      </c>
      <c r="N141" s="179" t="str">
        <f t="array" ref="N141">IF($F141&lt;&gt;"", XLOOKUP($F141,Productos!$A$2:$A1001,Productos!G$2:G1001,"")*$G141,"")</f>
        <v/>
      </c>
      <c r="O141" s="179" t="str">
        <f t="array" ref="O141">IF($F141&lt;&gt;"",XLOOKUP($F141,Productos!$A:$A,Productos!H:H,"Revisar"),"")</f>
        <v/>
      </c>
      <c r="P141" s="179" t="str">
        <f t="array" ref="P141">IF($F141&lt;&gt;"", XLOOKUP($F141,Productos!$A$2:$A1001,Productos!I$2:I1001,"")*$G141,"")</f>
        <v/>
      </c>
      <c r="Q141" s="179" t="str">
        <f t="array" ref="Q141">IF($F141&lt;&gt;"",XLOOKUP($F141,Productos!$A:$A,Productos!J:J,"Revisar"),"")</f>
        <v/>
      </c>
      <c r="R141" s="179" t="str">
        <f t="array" ref="R141">IF($F141&lt;&gt;"", XLOOKUP($F141,Productos!$A$2:$A1001,Productos!K$2:K1001,"")*$G141,"")</f>
        <v/>
      </c>
      <c r="S141" s="179" t="str">
        <f t="array" ref="S141">IF($F141&lt;&gt;"",XLOOKUP($F141,Productos!$A:$A,Productos!L:L,"Revisar"),"")</f>
        <v/>
      </c>
      <c r="T141" s="179" t="str">
        <f t="array" ref="T141">IF($F141&lt;&gt;"", XLOOKUP($F141,Productos!$A$2:$A1001,Productos!M$2:M1001,"")*$G141,"")</f>
        <v/>
      </c>
      <c r="U141" s="179" t="str">
        <f t="array" ref="U141">IF($F141&lt;&gt;"",XLOOKUP($F141,Productos!$A:$A,Productos!N:N,"Revisar"),"")</f>
        <v/>
      </c>
      <c r="V141" s="179" t="str">
        <f t="array" ref="V141">IF($F141&lt;&gt;"", XLOOKUP($F141,Productos!$A$2:$A1001,Productos!O$2:O1001,"")*$G141,"")</f>
        <v/>
      </c>
      <c r="W141" s="179" t="str">
        <f t="array" ref="W141">IF($F141&lt;&gt;"",XLOOKUP($F141,Productos!$A:$A,Productos!P:P,"Revisar"),"")</f>
        <v/>
      </c>
      <c r="X141" s="179" t="str">
        <f t="array" ref="X141">IF($F141&lt;&gt;"", XLOOKUP($F141,Productos!$A$2:$A1001,Productos!Q$2:Q1001,"")*$G141,"")</f>
        <v/>
      </c>
      <c r="Y141" s="179" t="str">
        <f t="array" ref="Y141">IF($F141&lt;&gt;"",XLOOKUP($F141,Productos!$A:$A,Productos!R:R,"Revisar"),"")</f>
        <v/>
      </c>
      <c r="Z141" s="179" t="str">
        <f t="array" ref="Z141">IF($F141&lt;&gt;"", XLOOKUP($F141,Productos!$A$2:$A1001,Productos!S$2:S1001,"")*$G141,"")</f>
        <v/>
      </c>
      <c r="AA141" s="179" t="str">
        <f t="array" ref="AA141">IF($F141&lt;&gt;"",XLOOKUP($F141,Productos!$A:$A,Productos!T:T,"Revisar"),"")</f>
        <v/>
      </c>
      <c r="AB141" s="179" t="str">
        <f t="array" ref="AB141">IF($F141&lt;&gt;"", XLOOKUP($F141,Productos!$A$2:$A1001,Productos!U$2:U1001,"")*$G141,"")</f>
        <v/>
      </c>
      <c r="AC141" s="179" t="str">
        <f t="array" ref="AC141">IF($F141&lt;&gt;"",XLOOKUP($F141,Productos!$A:$A,Productos!V:V,"Revisar"),"")</f>
        <v/>
      </c>
      <c r="AD141" s="179" t="str">
        <f t="array" ref="AD141">IF($F141&lt;&gt;"", XLOOKUP($F141,Productos!$A$2:$A1001,Productos!W$2:W1001,"")*$G141,"")</f>
        <v/>
      </c>
      <c r="AE141" s="179" t="str">
        <f t="array" ref="AE141">IF($F141&lt;&gt;"",XLOOKUP($F141,Productos!$A:$A,Productos!X:X,"Revisar"),"")</f>
        <v/>
      </c>
      <c r="AF141" s="179" t="str">
        <f t="array" ref="AF141">IF($F141&lt;&gt;"", XLOOKUP($F141,Productos!$A$2:$A1001,Productos!Y$2:Y1001,"")*$G141,"")</f>
        <v/>
      </c>
      <c r="AG141" s="179" t="str">
        <f t="array" ref="AG141">IF($F141&lt;&gt;"",XLOOKUP($F141,Productos!$A:$A,Productos!Z:Z,"Revisar"),"")</f>
        <v/>
      </c>
      <c r="AH141" s="179" t="str">
        <f t="array" ref="AH141">IF($F141&lt;&gt;"", XLOOKUP($F141,Productos!$A$2:$A1001,Productos!AA$2:AA1001,"")*$G141,"")</f>
        <v/>
      </c>
      <c r="AI141" s="179" t="str">
        <f t="array" ref="AI141">IF($F141&lt;&gt;"",XLOOKUP($F141,Productos!$A:$A,Productos!AB:AB,"Revisar"),"")</f>
        <v/>
      </c>
      <c r="AJ141" s="179" t="str">
        <f t="array" ref="AJ141">IF($F141&lt;&gt;"", XLOOKUP($F141,Productos!$A$2:$A1001,Productos!AC$2:AC1001,"")*$G141,"")</f>
        <v/>
      </c>
      <c r="AK141" s="179" t="str">
        <f t="array" ref="AK141">IF($F141&lt;&gt;"",XLOOKUP($F141,Productos!$A:$A,Productos!AD:AD,"Revisar"),"")</f>
        <v/>
      </c>
      <c r="AL141" s="179" t="str">
        <f t="array" ref="AL141">IF($F141&lt;&gt;"", XLOOKUP($F141,Productos!$A$2:$A1001,Productos!AE$2:AE1001,"")*$G141,"")</f>
        <v/>
      </c>
      <c r="AM141" s="179" t="str">
        <f t="array" ref="AM141">IF($F141&lt;&gt;"",XLOOKUP($F141,Productos!$A:$A,Productos!AF:AF,"Revisar"),"")</f>
        <v/>
      </c>
      <c r="AN141" s="179" t="str">
        <f t="array" ref="AN141">IF($F141&lt;&gt;"", XLOOKUP($F141,Productos!$A$2:$A1001,Productos!AG$2:AG1001,"")*$G141,"")</f>
        <v/>
      </c>
      <c r="AO141" s="179" t="str">
        <f t="array" ref="AO141">IF($F141&lt;&gt;"",XLOOKUP($F141,Productos!$A:$A,Productos!AH:AH,"Revisar"),"")</f>
        <v/>
      </c>
      <c r="AP141" s="179" t="str">
        <f t="array" ref="AP141">IF($F141&lt;&gt;"", XLOOKUP($F141,Productos!$A$2:$A1001,Productos!AI$2:AI1001,"")*$G141,"")</f>
        <v/>
      </c>
      <c r="AQ141" s="179" t="str">
        <f t="array" ref="AQ141">IF($F141&lt;&gt;"",XLOOKUP($F141,Productos!$A:$A,Productos!AJ:AJ,"Revisar"),"")</f>
        <v/>
      </c>
      <c r="AR141" s="179" t="str">
        <f t="array" ref="AR141">IF($F141&lt;&gt;"", XLOOKUP($F141,Productos!$A$2:$A1001,Productos!AK$2:AK1001,"")*$G141,"")</f>
        <v/>
      </c>
      <c r="AS141" s="179" t="str">
        <f t="array" ref="AS141">IF($F141&lt;&gt;"",XLOOKUP($F141,Productos!$A:$A,Productos!AL:AL,"Revisar"),"")</f>
        <v/>
      </c>
      <c r="AT141" s="179" t="str">
        <f t="array" ref="AT141">IF($F141&lt;&gt;"", XLOOKUP($F141,Productos!$A$2:$A1001,Productos!AM$2:AM1001,"")*$G141,"")</f>
        <v/>
      </c>
      <c r="AU141" s="179" t="str">
        <f t="array" ref="AU141">IF($F141&lt;&gt;"",XLOOKUP($F141,Productos!$A:$A,Productos!AN:AN,"Revisar"),"")</f>
        <v/>
      </c>
      <c r="AV141" s="179" t="str">
        <f t="array" ref="AV141">IF($F141&lt;&gt;"", XLOOKUP($F141,Productos!$A$2:$A1001,Productos!AO$2:AO1001,"")*$G141,"")</f>
        <v/>
      </c>
      <c r="AW141" s="179" t="str">
        <f t="array" ref="AW141">IF($F141&lt;&gt;"",XLOOKUP($F141,Productos!$A:$A,Productos!AP:AP,"Revisar"),"")</f>
        <v/>
      </c>
      <c r="AX141" s="179" t="str">
        <f t="array" ref="AX141">IF($F141&lt;&gt;"", XLOOKUP($F141,Productos!$A$2:$A1001,Productos!AQ$2:AQ1001,"")*$G141,"")</f>
        <v/>
      </c>
      <c r="AY141" s="179" t="str">
        <f t="array" ref="AY141">IF($F141&lt;&gt;"",XLOOKUP($F141,Productos!$A:$A,Productos!AR:AR,"Revisar"),"")</f>
        <v/>
      </c>
      <c r="AZ141" s="179" t="str">
        <f t="array" ref="AZ141">IF($F141&lt;&gt;"", XLOOKUP($F141,Productos!$A$2:$A1001,Productos!AS$2:AS1001,"")*$G141,"")</f>
        <v/>
      </c>
      <c r="BA141" s="179" t="str">
        <f t="array" ref="BA141">IF($F141&lt;&gt;"",XLOOKUP($F141,Productos!$A:$A,Productos!AT:AT,"Revisar"),"")</f>
        <v/>
      </c>
      <c r="BB141" s="179" t="str">
        <f t="array" ref="BB141">IF($F141&lt;&gt;"", XLOOKUP($F141,Productos!$A$2:$A1001,Productos!AU$2:AU1001,"")*$G141,"")</f>
        <v/>
      </c>
      <c r="BC141" s="179" t="str">
        <f t="array" ref="BC141">IF($F141&lt;&gt;"",XLOOKUP($F141,Productos!$A:$A,Productos!AV:AV,"Revisar"),"")</f>
        <v/>
      </c>
      <c r="BD141" s="179" t="str">
        <f t="array" ref="BD141">IF($F141&lt;&gt;"", XLOOKUP($F141,Productos!$A$2:$A1001,Productos!AW$2:AW1001,"")*$G141,"")</f>
        <v/>
      </c>
      <c r="BE141" s="179" t="str">
        <f t="array" ref="BE141">IF($F141&lt;&gt;"",XLOOKUP($F141,Productos!$A:$A,Productos!AX:AX,"Revisar"),"")</f>
        <v/>
      </c>
      <c r="BF141" s="179" t="str">
        <f t="array" ref="BF141">IF($F141&lt;&gt;"", XLOOKUP($F141,Productos!$A$2:$A1001,Productos!AY$2:AY1001,"")*$G141,"")</f>
        <v/>
      </c>
      <c r="BG141" s="179" t="str">
        <f t="array" ref="BG141">IF($F141&lt;&gt;"",XLOOKUP($F141,Productos!$A:$A,Productos!AZ:AZ,"Revisar"),"")</f>
        <v/>
      </c>
      <c r="BH141" s="179" t="str">
        <f t="array" ref="BH141">IF($F141&lt;&gt;"", XLOOKUP($F141,Productos!$A$2:$A1001,Productos!BA$2:BA1001,"")*$G141,"")</f>
        <v/>
      </c>
      <c r="BI141" s="179" t="str">
        <f t="array" ref="BI141">IF($F141&lt;&gt;"",XLOOKUP($F141,Productos!$A:$A,Productos!BB:BB,"Revisar"),"")</f>
        <v/>
      </c>
      <c r="BJ141" s="179" t="str">
        <f t="array" ref="BJ141">IF($F141&lt;&gt;"", XLOOKUP($F141,Productos!$A$2:$A1001,Productos!BC$2:BC1001,"")*$G141,"")</f>
        <v/>
      </c>
      <c r="BK141" s="179" t="str">
        <f t="array" ref="BK141">IF($F141&lt;&gt;"",XLOOKUP($F141,Productos!$A:$A,Productos!BD:BD,"Revisar"),"")</f>
        <v/>
      </c>
      <c r="BL141" s="179" t="str">
        <f t="array" ref="BL141">IF($F141&lt;&gt;"", XLOOKUP($F141,Productos!$A$2:$A1001,Productos!BE$2:BE1001,"")*$G141,"")</f>
        <v/>
      </c>
      <c r="BM141" s="179" t="str">
        <f t="array" ref="BM141">IF($F141&lt;&gt;"",XLOOKUP($F141,Productos!$A:$A,Productos!BF:BF,"Revisar"),"")</f>
        <v/>
      </c>
      <c r="BN141" s="179" t="str">
        <f t="array" ref="BN141">IF($F141&lt;&gt;"", XLOOKUP($F141,Productos!$A$2:$A1001,Productos!BG$2:BG1001,"")*$G141,"")</f>
        <v/>
      </c>
      <c r="BO141" s="179" t="str">
        <f t="array" ref="BO141">IF($F141&lt;&gt;"",XLOOKUP($F141,Productos!$A:$A,Productos!BH:BH,"Revisar"),"")</f>
        <v/>
      </c>
      <c r="BP141" s="179" t="str">
        <f t="array" ref="BP141">IF($F141&lt;&gt;"", XLOOKUP($F141,Productos!$A$2:$A1001,Productos!BI$2:BI1001,"")*$G141,"")</f>
        <v/>
      </c>
      <c r="BQ141" s="179" t="str">
        <f t="array" ref="BQ141">IF($F141&lt;&gt;"",XLOOKUP($F141,Productos!$A:$A,Productos!BJ:BJ,"Revisar"),"")</f>
        <v/>
      </c>
      <c r="BR141" s="179" t="str">
        <f t="array" ref="BR141">IF($F141&lt;&gt;"", XLOOKUP($F141,Productos!$A$2:$A1001,Productos!BK$2:BK1001,"")*$G141,"")</f>
        <v/>
      </c>
      <c r="BS141" s="179" t="str">
        <f t="array" ref="BS141">IF($F141&lt;&gt;"",XLOOKUP($F141,Productos!$A:$A,Productos!BL:BL,"Revisar"),"")</f>
        <v/>
      </c>
      <c r="BT141" s="179" t="str">
        <f t="array" ref="BT141">IF($F141&lt;&gt;"", XLOOKUP($F141,Productos!$A$2:$A1001,Productos!BM$2:BM1001,"")*$G141,"")</f>
        <v/>
      </c>
      <c r="BU141" s="179" t="str">
        <f t="array" ref="BU141">IF($F141&lt;&gt;"",XLOOKUP($F141,Productos!$A:$A,Productos!BN:BN,"Revisar"),"")</f>
        <v/>
      </c>
      <c r="BV141" s="179" t="str">
        <f t="array" ref="BV141">IF($F141&lt;&gt;"", XLOOKUP($F141,Productos!$A$2:$A1001,Productos!BO$2:BO1001,"")*$G141,"")</f>
        <v/>
      </c>
      <c r="BW141" s="179" t="str">
        <f t="array" ref="BW141">IF($F141&lt;&gt;"",XLOOKUP($F141,Productos!$A:$A,Productos!BP:BP,"Revisar"),"")</f>
        <v/>
      </c>
      <c r="BX141" s="179" t="str">
        <f t="array" ref="BX141">IF($F141&lt;&gt;"", XLOOKUP($F141,Productos!$A$2:$A1001,Productos!BQ$2:BQ1001,"")*$G141,"")</f>
        <v/>
      </c>
      <c r="BY141" s="179" t="str">
        <f t="array" ref="BY141">IF($F141&lt;&gt;"",XLOOKUP($F141,Productos!$A:$A,Productos!BR:BR,"Revisar"),"")</f>
        <v/>
      </c>
      <c r="BZ141" s="179" t="str">
        <f t="array" ref="BZ141">IF($F141&lt;&gt;"", XLOOKUP($F141,Productos!$A$2:$A1001,Productos!BS$2:BS1001,"")*$G141,"")</f>
        <v/>
      </c>
    </row>
    <row r="142">
      <c r="A142" s="180"/>
      <c r="B142" s="181"/>
      <c r="C142" s="182"/>
      <c r="D142" s="182"/>
      <c r="E142" s="185"/>
      <c r="F142" s="186"/>
      <c r="G142" s="187"/>
      <c r="H142" s="186"/>
      <c r="I142" s="179" t="str">
        <f t="array" ref="I142">IF($F142&lt;&gt;"",XLOOKUP($F142,Productos!$A:$A,Productos!B:B,"Revisar"),"")</f>
        <v/>
      </c>
      <c r="J142" s="179" t="str">
        <f t="array" ref="J142">IF($F142&lt;&gt;"", XLOOKUP($F142,Productos!$A$2:$A1001,Productos!C$2:C1001,"")*$G142,"")</f>
        <v/>
      </c>
      <c r="K142" s="179" t="str">
        <f t="array" ref="K142">IF($F142&lt;&gt;"",XLOOKUP($F142,Productos!$A:$A,Productos!D:D,"Revisar"),"")</f>
        <v/>
      </c>
      <c r="L142" s="179" t="str">
        <f t="array" ref="L142">IF($F142&lt;&gt;"", XLOOKUP($F142,Productos!$A$2:$A1001,Productos!E$2:E1001,"")*$G142,"")</f>
        <v/>
      </c>
      <c r="M142" s="179" t="str">
        <f t="array" ref="M142">IF($F142&lt;&gt;"",XLOOKUP($F142,Productos!$A:$A,Productos!F:F,"Revisar"),"")</f>
        <v/>
      </c>
      <c r="N142" s="179" t="str">
        <f t="array" ref="N142">IF($F142&lt;&gt;"", XLOOKUP($F142,Productos!$A$2:$A1001,Productos!G$2:G1001,"")*$G142,"")</f>
        <v/>
      </c>
      <c r="O142" s="179" t="str">
        <f t="array" ref="O142">IF($F142&lt;&gt;"",XLOOKUP($F142,Productos!$A:$A,Productos!H:H,"Revisar"),"")</f>
        <v/>
      </c>
      <c r="P142" s="179" t="str">
        <f t="array" ref="P142">IF($F142&lt;&gt;"", XLOOKUP($F142,Productos!$A$2:$A1001,Productos!I$2:I1001,"")*$G142,"")</f>
        <v/>
      </c>
      <c r="Q142" s="179" t="str">
        <f t="array" ref="Q142">IF($F142&lt;&gt;"",XLOOKUP($F142,Productos!$A:$A,Productos!J:J,"Revisar"),"")</f>
        <v/>
      </c>
      <c r="R142" s="179" t="str">
        <f t="array" ref="R142">IF($F142&lt;&gt;"", XLOOKUP($F142,Productos!$A$2:$A1001,Productos!K$2:K1001,"")*$G142,"")</f>
        <v/>
      </c>
      <c r="S142" s="179" t="str">
        <f t="array" ref="S142">IF($F142&lt;&gt;"",XLOOKUP($F142,Productos!$A:$A,Productos!L:L,"Revisar"),"")</f>
        <v/>
      </c>
      <c r="T142" s="179" t="str">
        <f t="array" ref="T142">IF($F142&lt;&gt;"", XLOOKUP($F142,Productos!$A$2:$A1001,Productos!M$2:M1001,"")*$G142,"")</f>
        <v/>
      </c>
      <c r="U142" s="179" t="str">
        <f t="array" ref="U142">IF($F142&lt;&gt;"",XLOOKUP($F142,Productos!$A:$A,Productos!N:N,"Revisar"),"")</f>
        <v/>
      </c>
      <c r="V142" s="179" t="str">
        <f t="array" ref="V142">IF($F142&lt;&gt;"", XLOOKUP($F142,Productos!$A$2:$A1001,Productos!O$2:O1001,"")*$G142,"")</f>
        <v/>
      </c>
      <c r="W142" s="179" t="str">
        <f t="array" ref="W142">IF($F142&lt;&gt;"",XLOOKUP($F142,Productos!$A:$A,Productos!P:P,"Revisar"),"")</f>
        <v/>
      </c>
      <c r="X142" s="179" t="str">
        <f t="array" ref="X142">IF($F142&lt;&gt;"", XLOOKUP($F142,Productos!$A$2:$A1001,Productos!Q$2:Q1001,"")*$G142,"")</f>
        <v/>
      </c>
      <c r="Y142" s="179" t="str">
        <f t="array" ref="Y142">IF($F142&lt;&gt;"",XLOOKUP($F142,Productos!$A:$A,Productos!R:R,"Revisar"),"")</f>
        <v/>
      </c>
      <c r="Z142" s="179" t="str">
        <f t="array" ref="Z142">IF($F142&lt;&gt;"", XLOOKUP($F142,Productos!$A$2:$A1001,Productos!S$2:S1001,"")*$G142,"")</f>
        <v/>
      </c>
      <c r="AA142" s="179" t="str">
        <f t="array" ref="AA142">IF($F142&lt;&gt;"",XLOOKUP($F142,Productos!$A:$A,Productos!T:T,"Revisar"),"")</f>
        <v/>
      </c>
      <c r="AB142" s="179" t="str">
        <f t="array" ref="AB142">IF($F142&lt;&gt;"", XLOOKUP($F142,Productos!$A$2:$A1001,Productos!U$2:U1001,"")*$G142,"")</f>
        <v/>
      </c>
      <c r="AC142" s="179" t="str">
        <f t="array" ref="AC142">IF($F142&lt;&gt;"",XLOOKUP($F142,Productos!$A:$A,Productos!V:V,"Revisar"),"")</f>
        <v/>
      </c>
      <c r="AD142" s="179" t="str">
        <f t="array" ref="AD142">IF($F142&lt;&gt;"", XLOOKUP($F142,Productos!$A$2:$A1001,Productos!W$2:W1001,"")*$G142,"")</f>
        <v/>
      </c>
      <c r="AE142" s="179" t="str">
        <f t="array" ref="AE142">IF($F142&lt;&gt;"",XLOOKUP($F142,Productos!$A:$A,Productos!X:X,"Revisar"),"")</f>
        <v/>
      </c>
      <c r="AF142" s="179" t="str">
        <f t="array" ref="AF142">IF($F142&lt;&gt;"", XLOOKUP($F142,Productos!$A$2:$A1001,Productos!Y$2:Y1001,"")*$G142,"")</f>
        <v/>
      </c>
      <c r="AG142" s="179" t="str">
        <f t="array" ref="AG142">IF($F142&lt;&gt;"",XLOOKUP($F142,Productos!$A:$A,Productos!Z:Z,"Revisar"),"")</f>
        <v/>
      </c>
      <c r="AH142" s="179" t="str">
        <f t="array" ref="AH142">IF($F142&lt;&gt;"", XLOOKUP($F142,Productos!$A$2:$A1001,Productos!AA$2:AA1001,"")*$G142,"")</f>
        <v/>
      </c>
      <c r="AI142" s="179" t="str">
        <f t="array" ref="AI142">IF($F142&lt;&gt;"",XLOOKUP($F142,Productos!$A:$A,Productos!AB:AB,"Revisar"),"")</f>
        <v/>
      </c>
      <c r="AJ142" s="179" t="str">
        <f t="array" ref="AJ142">IF($F142&lt;&gt;"", XLOOKUP($F142,Productos!$A$2:$A1001,Productos!AC$2:AC1001,"")*$G142,"")</f>
        <v/>
      </c>
      <c r="AK142" s="179" t="str">
        <f t="array" ref="AK142">IF($F142&lt;&gt;"",XLOOKUP($F142,Productos!$A:$A,Productos!AD:AD,"Revisar"),"")</f>
        <v/>
      </c>
      <c r="AL142" s="179" t="str">
        <f t="array" ref="AL142">IF($F142&lt;&gt;"", XLOOKUP($F142,Productos!$A$2:$A1001,Productos!AE$2:AE1001,"")*$G142,"")</f>
        <v/>
      </c>
      <c r="AM142" s="179" t="str">
        <f t="array" ref="AM142">IF($F142&lt;&gt;"",XLOOKUP($F142,Productos!$A:$A,Productos!AF:AF,"Revisar"),"")</f>
        <v/>
      </c>
      <c r="AN142" s="179" t="str">
        <f t="array" ref="AN142">IF($F142&lt;&gt;"", XLOOKUP($F142,Productos!$A$2:$A1001,Productos!AG$2:AG1001,"")*$G142,"")</f>
        <v/>
      </c>
      <c r="AO142" s="179" t="str">
        <f t="array" ref="AO142">IF($F142&lt;&gt;"",XLOOKUP($F142,Productos!$A:$A,Productos!AH:AH,"Revisar"),"")</f>
        <v/>
      </c>
      <c r="AP142" s="179" t="str">
        <f t="array" ref="AP142">IF($F142&lt;&gt;"", XLOOKUP($F142,Productos!$A$2:$A1001,Productos!AI$2:AI1001,"")*$G142,"")</f>
        <v/>
      </c>
      <c r="AQ142" s="179" t="str">
        <f t="array" ref="AQ142">IF($F142&lt;&gt;"",XLOOKUP($F142,Productos!$A:$A,Productos!AJ:AJ,"Revisar"),"")</f>
        <v/>
      </c>
      <c r="AR142" s="179" t="str">
        <f t="array" ref="AR142">IF($F142&lt;&gt;"", XLOOKUP($F142,Productos!$A$2:$A1001,Productos!AK$2:AK1001,"")*$G142,"")</f>
        <v/>
      </c>
      <c r="AS142" s="179" t="str">
        <f t="array" ref="AS142">IF($F142&lt;&gt;"",XLOOKUP($F142,Productos!$A:$A,Productos!AL:AL,"Revisar"),"")</f>
        <v/>
      </c>
      <c r="AT142" s="179" t="str">
        <f t="array" ref="AT142">IF($F142&lt;&gt;"", XLOOKUP($F142,Productos!$A$2:$A1001,Productos!AM$2:AM1001,"")*$G142,"")</f>
        <v/>
      </c>
      <c r="AU142" s="179" t="str">
        <f t="array" ref="AU142">IF($F142&lt;&gt;"",XLOOKUP($F142,Productos!$A:$A,Productos!AN:AN,"Revisar"),"")</f>
        <v/>
      </c>
      <c r="AV142" s="179" t="str">
        <f t="array" ref="AV142">IF($F142&lt;&gt;"", XLOOKUP($F142,Productos!$A$2:$A1001,Productos!AO$2:AO1001,"")*$G142,"")</f>
        <v/>
      </c>
      <c r="AW142" s="179" t="str">
        <f t="array" ref="AW142">IF($F142&lt;&gt;"",XLOOKUP($F142,Productos!$A:$A,Productos!AP:AP,"Revisar"),"")</f>
        <v/>
      </c>
      <c r="AX142" s="179" t="str">
        <f t="array" ref="AX142">IF($F142&lt;&gt;"", XLOOKUP($F142,Productos!$A$2:$A1001,Productos!AQ$2:AQ1001,"")*$G142,"")</f>
        <v/>
      </c>
      <c r="AY142" s="179" t="str">
        <f t="array" ref="AY142">IF($F142&lt;&gt;"",XLOOKUP($F142,Productos!$A:$A,Productos!AR:AR,"Revisar"),"")</f>
        <v/>
      </c>
      <c r="AZ142" s="179" t="str">
        <f t="array" ref="AZ142">IF($F142&lt;&gt;"", XLOOKUP($F142,Productos!$A$2:$A1001,Productos!AS$2:AS1001,"")*$G142,"")</f>
        <v/>
      </c>
      <c r="BA142" s="179" t="str">
        <f t="array" ref="BA142">IF($F142&lt;&gt;"",XLOOKUP($F142,Productos!$A:$A,Productos!AT:AT,"Revisar"),"")</f>
        <v/>
      </c>
      <c r="BB142" s="179" t="str">
        <f t="array" ref="BB142">IF($F142&lt;&gt;"", XLOOKUP($F142,Productos!$A$2:$A1001,Productos!AU$2:AU1001,"")*$G142,"")</f>
        <v/>
      </c>
      <c r="BC142" s="179" t="str">
        <f t="array" ref="BC142">IF($F142&lt;&gt;"",XLOOKUP($F142,Productos!$A:$A,Productos!AV:AV,"Revisar"),"")</f>
        <v/>
      </c>
      <c r="BD142" s="179" t="str">
        <f t="array" ref="BD142">IF($F142&lt;&gt;"", XLOOKUP($F142,Productos!$A$2:$A1001,Productos!AW$2:AW1001,"")*$G142,"")</f>
        <v/>
      </c>
      <c r="BE142" s="179" t="str">
        <f t="array" ref="BE142">IF($F142&lt;&gt;"",XLOOKUP($F142,Productos!$A:$A,Productos!AX:AX,"Revisar"),"")</f>
        <v/>
      </c>
      <c r="BF142" s="179" t="str">
        <f t="array" ref="BF142">IF($F142&lt;&gt;"", XLOOKUP($F142,Productos!$A$2:$A1001,Productos!AY$2:AY1001,"")*$G142,"")</f>
        <v/>
      </c>
      <c r="BG142" s="179" t="str">
        <f t="array" ref="BG142">IF($F142&lt;&gt;"",XLOOKUP($F142,Productos!$A:$A,Productos!AZ:AZ,"Revisar"),"")</f>
        <v/>
      </c>
      <c r="BH142" s="179" t="str">
        <f t="array" ref="BH142">IF($F142&lt;&gt;"", XLOOKUP($F142,Productos!$A$2:$A1001,Productos!BA$2:BA1001,"")*$G142,"")</f>
        <v/>
      </c>
      <c r="BI142" s="179" t="str">
        <f t="array" ref="BI142">IF($F142&lt;&gt;"",XLOOKUP($F142,Productos!$A:$A,Productos!BB:BB,"Revisar"),"")</f>
        <v/>
      </c>
      <c r="BJ142" s="179" t="str">
        <f t="array" ref="BJ142">IF($F142&lt;&gt;"", XLOOKUP($F142,Productos!$A$2:$A1001,Productos!BC$2:BC1001,"")*$G142,"")</f>
        <v/>
      </c>
      <c r="BK142" s="179" t="str">
        <f t="array" ref="BK142">IF($F142&lt;&gt;"",XLOOKUP($F142,Productos!$A:$A,Productos!BD:BD,"Revisar"),"")</f>
        <v/>
      </c>
      <c r="BL142" s="179" t="str">
        <f t="array" ref="BL142">IF($F142&lt;&gt;"", XLOOKUP($F142,Productos!$A$2:$A1001,Productos!BE$2:BE1001,"")*$G142,"")</f>
        <v/>
      </c>
      <c r="BM142" s="179" t="str">
        <f t="array" ref="BM142">IF($F142&lt;&gt;"",XLOOKUP($F142,Productos!$A:$A,Productos!BF:BF,"Revisar"),"")</f>
        <v/>
      </c>
      <c r="BN142" s="179" t="str">
        <f t="array" ref="BN142">IF($F142&lt;&gt;"", XLOOKUP($F142,Productos!$A$2:$A1001,Productos!BG$2:BG1001,"")*$G142,"")</f>
        <v/>
      </c>
      <c r="BO142" s="179" t="str">
        <f t="array" ref="BO142">IF($F142&lt;&gt;"",XLOOKUP($F142,Productos!$A:$A,Productos!BH:BH,"Revisar"),"")</f>
        <v/>
      </c>
      <c r="BP142" s="179" t="str">
        <f t="array" ref="BP142">IF($F142&lt;&gt;"", XLOOKUP($F142,Productos!$A$2:$A1001,Productos!BI$2:BI1001,"")*$G142,"")</f>
        <v/>
      </c>
      <c r="BQ142" s="179" t="str">
        <f t="array" ref="BQ142">IF($F142&lt;&gt;"",XLOOKUP($F142,Productos!$A:$A,Productos!BJ:BJ,"Revisar"),"")</f>
        <v/>
      </c>
      <c r="BR142" s="179" t="str">
        <f t="array" ref="BR142">IF($F142&lt;&gt;"", XLOOKUP($F142,Productos!$A$2:$A1001,Productos!BK$2:BK1001,"")*$G142,"")</f>
        <v/>
      </c>
      <c r="BS142" s="179" t="str">
        <f t="array" ref="BS142">IF($F142&lt;&gt;"",XLOOKUP($F142,Productos!$A:$A,Productos!BL:BL,"Revisar"),"")</f>
        <v/>
      </c>
      <c r="BT142" s="179" t="str">
        <f t="array" ref="BT142">IF($F142&lt;&gt;"", XLOOKUP($F142,Productos!$A$2:$A1001,Productos!BM$2:BM1001,"")*$G142,"")</f>
        <v/>
      </c>
      <c r="BU142" s="179" t="str">
        <f t="array" ref="BU142">IF($F142&lt;&gt;"",XLOOKUP($F142,Productos!$A:$A,Productos!BN:BN,"Revisar"),"")</f>
        <v/>
      </c>
      <c r="BV142" s="179" t="str">
        <f t="array" ref="BV142">IF($F142&lt;&gt;"", XLOOKUP($F142,Productos!$A$2:$A1001,Productos!BO$2:BO1001,"")*$G142,"")</f>
        <v/>
      </c>
      <c r="BW142" s="179" t="str">
        <f t="array" ref="BW142">IF($F142&lt;&gt;"",XLOOKUP($F142,Productos!$A:$A,Productos!BP:BP,"Revisar"),"")</f>
        <v/>
      </c>
      <c r="BX142" s="179" t="str">
        <f t="array" ref="BX142">IF($F142&lt;&gt;"", XLOOKUP($F142,Productos!$A$2:$A1001,Productos!BQ$2:BQ1001,"")*$G142,"")</f>
        <v/>
      </c>
      <c r="BY142" s="179" t="str">
        <f t="array" ref="BY142">IF($F142&lt;&gt;"",XLOOKUP($F142,Productos!$A:$A,Productos!BR:BR,"Revisar"),"")</f>
        <v/>
      </c>
      <c r="BZ142" s="179" t="str">
        <f t="array" ref="BZ142">IF($F142&lt;&gt;"", XLOOKUP($F142,Productos!$A$2:$A1001,Productos!BS$2:BS1001,"")*$G142,"")</f>
        <v/>
      </c>
    </row>
    <row r="143">
      <c r="A143" s="180"/>
      <c r="B143" s="181"/>
      <c r="C143" s="182"/>
      <c r="D143" s="182"/>
      <c r="E143" s="185"/>
      <c r="F143" s="186"/>
      <c r="G143" s="187"/>
      <c r="H143" s="186"/>
      <c r="I143" s="179" t="str">
        <f t="array" ref="I143">IF($F143&lt;&gt;"",XLOOKUP($F143,Productos!$A:$A,Productos!B:B,"Revisar"),"")</f>
        <v/>
      </c>
      <c r="J143" s="179" t="str">
        <f t="array" ref="J143">IF($F143&lt;&gt;"", XLOOKUP($F143,Productos!$A$2:$A1001,Productos!C$2:C1001,"")*$G143,"")</f>
        <v/>
      </c>
      <c r="K143" s="179" t="str">
        <f t="array" ref="K143">IF($F143&lt;&gt;"",XLOOKUP($F143,Productos!$A:$A,Productos!D:D,"Revisar"),"")</f>
        <v/>
      </c>
      <c r="L143" s="179" t="str">
        <f t="array" ref="L143">IF($F143&lt;&gt;"", XLOOKUP($F143,Productos!$A$2:$A1001,Productos!E$2:E1001,"")*$G143,"")</f>
        <v/>
      </c>
      <c r="M143" s="179" t="str">
        <f t="array" ref="M143">IF($F143&lt;&gt;"",XLOOKUP($F143,Productos!$A:$A,Productos!F:F,"Revisar"),"")</f>
        <v/>
      </c>
      <c r="N143" s="179" t="str">
        <f t="array" ref="N143">IF($F143&lt;&gt;"", XLOOKUP($F143,Productos!$A$2:$A1001,Productos!G$2:G1001,"")*$G143,"")</f>
        <v/>
      </c>
      <c r="O143" s="179" t="str">
        <f t="array" ref="O143">IF($F143&lt;&gt;"",XLOOKUP($F143,Productos!$A:$A,Productos!H:H,"Revisar"),"")</f>
        <v/>
      </c>
      <c r="P143" s="179" t="str">
        <f t="array" ref="P143">IF($F143&lt;&gt;"", XLOOKUP($F143,Productos!$A$2:$A1001,Productos!I$2:I1001,"")*$G143,"")</f>
        <v/>
      </c>
      <c r="Q143" s="179" t="str">
        <f t="array" ref="Q143">IF($F143&lt;&gt;"",XLOOKUP($F143,Productos!$A:$A,Productos!J:J,"Revisar"),"")</f>
        <v/>
      </c>
      <c r="R143" s="179" t="str">
        <f t="array" ref="R143">IF($F143&lt;&gt;"", XLOOKUP($F143,Productos!$A$2:$A1001,Productos!K$2:K1001,"")*$G143,"")</f>
        <v/>
      </c>
      <c r="S143" s="179" t="str">
        <f t="array" ref="S143">IF($F143&lt;&gt;"",XLOOKUP($F143,Productos!$A:$A,Productos!L:L,"Revisar"),"")</f>
        <v/>
      </c>
      <c r="T143" s="179" t="str">
        <f t="array" ref="T143">IF($F143&lt;&gt;"", XLOOKUP($F143,Productos!$A$2:$A1001,Productos!M$2:M1001,"")*$G143,"")</f>
        <v/>
      </c>
      <c r="U143" s="179" t="str">
        <f t="array" ref="U143">IF($F143&lt;&gt;"",XLOOKUP($F143,Productos!$A:$A,Productos!N:N,"Revisar"),"")</f>
        <v/>
      </c>
      <c r="V143" s="179" t="str">
        <f t="array" ref="V143">IF($F143&lt;&gt;"", XLOOKUP($F143,Productos!$A$2:$A1001,Productos!O$2:O1001,"")*$G143,"")</f>
        <v/>
      </c>
      <c r="W143" s="179" t="str">
        <f t="array" ref="W143">IF($F143&lt;&gt;"",XLOOKUP($F143,Productos!$A:$A,Productos!P:P,"Revisar"),"")</f>
        <v/>
      </c>
      <c r="X143" s="179" t="str">
        <f t="array" ref="X143">IF($F143&lt;&gt;"", XLOOKUP($F143,Productos!$A$2:$A1001,Productos!Q$2:Q1001,"")*$G143,"")</f>
        <v/>
      </c>
      <c r="Y143" s="179" t="str">
        <f t="array" ref="Y143">IF($F143&lt;&gt;"",XLOOKUP($F143,Productos!$A:$A,Productos!R:R,"Revisar"),"")</f>
        <v/>
      </c>
      <c r="Z143" s="179" t="str">
        <f t="array" ref="Z143">IF($F143&lt;&gt;"", XLOOKUP($F143,Productos!$A$2:$A1001,Productos!S$2:S1001,"")*$G143,"")</f>
        <v/>
      </c>
      <c r="AA143" s="179" t="str">
        <f t="array" ref="AA143">IF($F143&lt;&gt;"",XLOOKUP($F143,Productos!$A:$A,Productos!T:T,"Revisar"),"")</f>
        <v/>
      </c>
      <c r="AB143" s="179" t="str">
        <f t="array" ref="AB143">IF($F143&lt;&gt;"", XLOOKUP($F143,Productos!$A$2:$A1001,Productos!U$2:U1001,"")*$G143,"")</f>
        <v/>
      </c>
      <c r="AC143" s="179" t="str">
        <f t="array" ref="AC143">IF($F143&lt;&gt;"",XLOOKUP($F143,Productos!$A:$A,Productos!V:V,"Revisar"),"")</f>
        <v/>
      </c>
      <c r="AD143" s="179" t="str">
        <f t="array" ref="AD143">IF($F143&lt;&gt;"", XLOOKUP($F143,Productos!$A$2:$A1001,Productos!W$2:W1001,"")*$G143,"")</f>
        <v/>
      </c>
      <c r="AE143" s="179" t="str">
        <f t="array" ref="AE143">IF($F143&lt;&gt;"",XLOOKUP($F143,Productos!$A:$A,Productos!X:X,"Revisar"),"")</f>
        <v/>
      </c>
      <c r="AF143" s="179" t="str">
        <f t="array" ref="AF143">IF($F143&lt;&gt;"", XLOOKUP($F143,Productos!$A$2:$A1001,Productos!Y$2:Y1001,"")*$G143,"")</f>
        <v/>
      </c>
      <c r="AG143" s="179" t="str">
        <f t="array" ref="AG143">IF($F143&lt;&gt;"",XLOOKUP($F143,Productos!$A:$A,Productos!Z:Z,"Revisar"),"")</f>
        <v/>
      </c>
      <c r="AH143" s="179" t="str">
        <f t="array" ref="AH143">IF($F143&lt;&gt;"", XLOOKUP($F143,Productos!$A$2:$A1001,Productos!AA$2:AA1001,"")*$G143,"")</f>
        <v/>
      </c>
      <c r="AI143" s="179" t="str">
        <f t="array" ref="AI143">IF($F143&lt;&gt;"",XLOOKUP($F143,Productos!$A:$A,Productos!AB:AB,"Revisar"),"")</f>
        <v/>
      </c>
      <c r="AJ143" s="179" t="str">
        <f t="array" ref="AJ143">IF($F143&lt;&gt;"", XLOOKUP($F143,Productos!$A$2:$A1001,Productos!AC$2:AC1001,"")*$G143,"")</f>
        <v/>
      </c>
      <c r="AK143" s="179" t="str">
        <f t="array" ref="AK143">IF($F143&lt;&gt;"",XLOOKUP($F143,Productos!$A:$A,Productos!AD:AD,"Revisar"),"")</f>
        <v/>
      </c>
      <c r="AL143" s="179" t="str">
        <f t="array" ref="AL143">IF($F143&lt;&gt;"", XLOOKUP($F143,Productos!$A$2:$A1001,Productos!AE$2:AE1001,"")*$G143,"")</f>
        <v/>
      </c>
      <c r="AM143" s="179" t="str">
        <f t="array" ref="AM143">IF($F143&lt;&gt;"",XLOOKUP($F143,Productos!$A:$A,Productos!AF:AF,"Revisar"),"")</f>
        <v/>
      </c>
      <c r="AN143" s="179" t="str">
        <f t="array" ref="AN143">IF($F143&lt;&gt;"", XLOOKUP($F143,Productos!$A$2:$A1001,Productos!AG$2:AG1001,"")*$G143,"")</f>
        <v/>
      </c>
      <c r="AO143" s="179" t="str">
        <f t="array" ref="AO143">IF($F143&lt;&gt;"",XLOOKUP($F143,Productos!$A:$A,Productos!AH:AH,"Revisar"),"")</f>
        <v/>
      </c>
      <c r="AP143" s="179" t="str">
        <f t="array" ref="AP143">IF($F143&lt;&gt;"", XLOOKUP($F143,Productos!$A$2:$A1001,Productos!AI$2:AI1001,"")*$G143,"")</f>
        <v/>
      </c>
      <c r="AQ143" s="179" t="str">
        <f t="array" ref="AQ143">IF($F143&lt;&gt;"",XLOOKUP($F143,Productos!$A:$A,Productos!AJ:AJ,"Revisar"),"")</f>
        <v/>
      </c>
      <c r="AR143" s="179" t="str">
        <f t="array" ref="AR143">IF($F143&lt;&gt;"", XLOOKUP($F143,Productos!$A$2:$A1001,Productos!AK$2:AK1001,"")*$G143,"")</f>
        <v/>
      </c>
      <c r="AS143" s="179" t="str">
        <f t="array" ref="AS143">IF($F143&lt;&gt;"",XLOOKUP($F143,Productos!$A:$A,Productos!AL:AL,"Revisar"),"")</f>
        <v/>
      </c>
      <c r="AT143" s="179" t="str">
        <f t="array" ref="AT143">IF($F143&lt;&gt;"", XLOOKUP($F143,Productos!$A$2:$A1001,Productos!AM$2:AM1001,"")*$G143,"")</f>
        <v/>
      </c>
      <c r="AU143" s="179" t="str">
        <f t="array" ref="AU143">IF($F143&lt;&gt;"",XLOOKUP($F143,Productos!$A:$A,Productos!AN:AN,"Revisar"),"")</f>
        <v/>
      </c>
      <c r="AV143" s="179" t="str">
        <f t="array" ref="AV143">IF($F143&lt;&gt;"", XLOOKUP($F143,Productos!$A$2:$A1001,Productos!AO$2:AO1001,"")*$G143,"")</f>
        <v/>
      </c>
      <c r="AW143" s="179" t="str">
        <f t="array" ref="AW143">IF($F143&lt;&gt;"",XLOOKUP($F143,Productos!$A:$A,Productos!AP:AP,"Revisar"),"")</f>
        <v/>
      </c>
      <c r="AX143" s="179" t="str">
        <f t="array" ref="AX143">IF($F143&lt;&gt;"", XLOOKUP($F143,Productos!$A$2:$A1001,Productos!AQ$2:AQ1001,"")*$G143,"")</f>
        <v/>
      </c>
      <c r="AY143" s="179" t="str">
        <f t="array" ref="AY143">IF($F143&lt;&gt;"",XLOOKUP($F143,Productos!$A:$A,Productos!AR:AR,"Revisar"),"")</f>
        <v/>
      </c>
      <c r="AZ143" s="179" t="str">
        <f t="array" ref="AZ143">IF($F143&lt;&gt;"", XLOOKUP($F143,Productos!$A$2:$A1001,Productos!AS$2:AS1001,"")*$G143,"")</f>
        <v/>
      </c>
      <c r="BA143" s="179" t="str">
        <f t="array" ref="BA143">IF($F143&lt;&gt;"",XLOOKUP($F143,Productos!$A:$A,Productos!AT:AT,"Revisar"),"")</f>
        <v/>
      </c>
      <c r="BB143" s="179" t="str">
        <f t="array" ref="BB143">IF($F143&lt;&gt;"", XLOOKUP($F143,Productos!$A$2:$A1001,Productos!AU$2:AU1001,"")*$G143,"")</f>
        <v/>
      </c>
      <c r="BC143" s="179" t="str">
        <f t="array" ref="BC143">IF($F143&lt;&gt;"",XLOOKUP($F143,Productos!$A:$A,Productos!AV:AV,"Revisar"),"")</f>
        <v/>
      </c>
      <c r="BD143" s="179" t="str">
        <f t="array" ref="BD143">IF($F143&lt;&gt;"", XLOOKUP($F143,Productos!$A$2:$A1001,Productos!AW$2:AW1001,"")*$G143,"")</f>
        <v/>
      </c>
      <c r="BE143" s="179" t="str">
        <f t="array" ref="BE143">IF($F143&lt;&gt;"",XLOOKUP($F143,Productos!$A:$A,Productos!AX:AX,"Revisar"),"")</f>
        <v/>
      </c>
      <c r="BF143" s="179" t="str">
        <f t="array" ref="BF143">IF($F143&lt;&gt;"", XLOOKUP($F143,Productos!$A$2:$A1001,Productos!AY$2:AY1001,"")*$G143,"")</f>
        <v/>
      </c>
      <c r="BG143" s="179" t="str">
        <f t="array" ref="BG143">IF($F143&lt;&gt;"",XLOOKUP($F143,Productos!$A:$A,Productos!AZ:AZ,"Revisar"),"")</f>
        <v/>
      </c>
      <c r="BH143" s="179" t="str">
        <f t="array" ref="BH143">IF($F143&lt;&gt;"", XLOOKUP($F143,Productos!$A$2:$A1001,Productos!BA$2:BA1001,"")*$G143,"")</f>
        <v/>
      </c>
      <c r="BI143" s="179" t="str">
        <f t="array" ref="BI143">IF($F143&lt;&gt;"",XLOOKUP($F143,Productos!$A:$A,Productos!BB:BB,"Revisar"),"")</f>
        <v/>
      </c>
      <c r="BJ143" s="179" t="str">
        <f t="array" ref="BJ143">IF($F143&lt;&gt;"", XLOOKUP($F143,Productos!$A$2:$A1001,Productos!BC$2:BC1001,"")*$G143,"")</f>
        <v/>
      </c>
      <c r="BK143" s="179" t="str">
        <f t="array" ref="BK143">IF($F143&lt;&gt;"",XLOOKUP($F143,Productos!$A:$A,Productos!BD:BD,"Revisar"),"")</f>
        <v/>
      </c>
      <c r="BL143" s="179" t="str">
        <f t="array" ref="BL143">IF($F143&lt;&gt;"", XLOOKUP($F143,Productos!$A$2:$A1001,Productos!BE$2:BE1001,"")*$G143,"")</f>
        <v/>
      </c>
      <c r="BM143" s="179" t="str">
        <f t="array" ref="BM143">IF($F143&lt;&gt;"",XLOOKUP($F143,Productos!$A:$A,Productos!BF:BF,"Revisar"),"")</f>
        <v/>
      </c>
      <c r="BN143" s="179" t="str">
        <f t="array" ref="BN143">IF($F143&lt;&gt;"", XLOOKUP($F143,Productos!$A$2:$A1001,Productos!BG$2:BG1001,"")*$G143,"")</f>
        <v/>
      </c>
      <c r="BO143" s="179" t="str">
        <f t="array" ref="BO143">IF($F143&lt;&gt;"",XLOOKUP($F143,Productos!$A:$A,Productos!BH:BH,"Revisar"),"")</f>
        <v/>
      </c>
      <c r="BP143" s="179" t="str">
        <f t="array" ref="BP143">IF($F143&lt;&gt;"", XLOOKUP($F143,Productos!$A$2:$A1001,Productos!BI$2:BI1001,"")*$G143,"")</f>
        <v/>
      </c>
      <c r="BQ143" s="179" t="str">
        <f t="array" ref="BQ143">IF($F143&lt;&gt;"",XLOOKUP($F143,Productos!$A:$A,Productos!BJ:BJ,"Revisar"),"")</f>
        <v/>
      </c>
      <c r="BR143" s="179" t="str">
        <f t="array" ref="BR143">IF($F143&lt;&gt;"", XLOOKUP($F143,Productos!$A$2:$A1001,Productos!BK$2:BK1001,"")*$G143,"")</f>
        <v/>
      </c>
      <c r="BS143" s="179" t="str">
        <f t="array" ref="BS143">IF($F143&lt;&gt;"",XLOOKUP($F143,Productos!$A:$A,Productos!BL:BL,"Revisar"),"")</f>
        <v/>
      </c>
      <c r="BT143" s="179" t="str">
        <f t="array" ref="BT143">IF($F143&lt;&gt;"", XLOOKUP($F143,Productos!$A$2:$A1001,Productos!BM$2:BM1001,"")*$G143,"")</f>
        <v/>
      </c>
      <c r="BU143" s="179" t="str">
        <f t="array" ref="BU143">IF($F143&lt;&gt;"",XLOOKUP($F143,Productos!$A:$A,Productos!BN:BN,"Revisar"),"")</f>
        <v/>
      </c>
      <c r="BV143" s="179" t="str">
        <f t="array" ref="BV143">IF($F143&lt;&gt;"", XLOOKUP($F143,Productos!$A$2:$A1001,Productos!BO$2:BO1001,"")*$G143,"")</f>
        <v/>
      </c>
      <c r="BW143" s="179" t="str">
        <f t="array" ref="BW143">IF($F143&lt;&gt;"",XLOOKUP($F143,Productos!$A:$A,Productos!BP:BP,"Revisar"),"")</f>
        <v/>
      </c>
      <c r="BX143" s="179" t="str">
        <f t="array" ref="BX143">IF($F143&lt;&gt;"", XLOOKUP($F143,Productos!$A$2:$A1001,Productos!BQ$2:BQ1001,"")*$G143,"")</f>
        <v/>
      </c>
      <c r="BY143" s="179" t="str">
        <f t="array" ref="BY143">IF($F143&lt;&gt;"",XLOOKUP($F143,Productos!$A:$A,Productos!BR:BR,"Revisar"),"")</f>
        <v/>
      </c>
      <c r="BZ143" s="179" t="str">
        <f t="array" ref="BZ143">IF($F143&lt;&gt;"", XLOOKUP($F143,Productos!$A$2:$A1001,Productos!BS$2:BS1001,"")*$G143,"")</f>
        <v/>
      </c>
    </row>
    <row r="144">
      <c r="A144" s="180"/>
      <c r="B144" s="181"/>
      <c r="C144" s="182"/>
      <c r="D144" s="182"/>
      <c r="E144" s="185"/>
      <c r="F144" s="186"/>
      <c r="G144" s="187"/>
      <c r="H144" s="186"/>
      <c r="I144" s="179" t="str">
        <f t="array" ref="I144">IF($F144&lt;&gt;"",XLOOKUP($F144,Productos!$A:$A,Productos!B:B,"Revisar"),"")</f>
        <v/>
      </c>
      <c r="J144" s="179" t="str">
        <f t="array" ref="J144">IF($F144&lt;&gt;"", XLOOKUP($F144,Productos!$A$2:$A1001,Productos!C$2:C1001,"")*$G144,"")</f>
        <v/>
      </c>
      <c r="K144" s="179" t="str">
        <f t="array" ref="K144">IF($F144&lt;&gt;"",XLOOKUP($F144,Productos!$A:$A,Productos!D:D,"Revisar"),"")</f>
        <v/>
      </c>
      <c r="L144" s="179" t="str">
        <f t="array" ref="L144">IF($F144&lt;&gt;"", XLOOKUP($F144,Productos!$A$2:$A1001,Productos!E$2:E1001,"")*$G144,"")</f>
        <v/>
      </c>
      <c r="M144" s="179" t="str">
        <f t="array" ref="M144">IF($F144&lt;&gt;"",XLOOKUP($F144,Productos!$A:$A,Productos!F:F,"Revisar"),"")</f>
        <v/>
      </c>
      <c r="N144" s="179" t="str">
        <f t="array" ref="N144">IF($F144&lt;&gt;"", XLOOKUP($F144,Productos!$A$2:$A1001,Productos!G$2:G1001,"")*$G144,"")</f>
        <v/>
      </c>
      <c r="O144" s="179" t="str">
        <f t="array" ref="O144">IF($F144&lt;&gt;"",XLOOKUP($F144,Productos!$A:$A,Productos!H:H,"Revisar"),"")</f>
        <v/>
      </c>
      <c r="P144" s="179" t="str">
        <f t="array" ref="P144">IF($F144&lt;&gt;"", XLOOKUP($F144,Productos!$A$2:$A1001,Productos!I$2:I1001,"")*$G144,"")</f>
        <v/>
      </c>
      <c r="Q144" s="179" t="str">
        <f t="array" ref="Q144">IF($F144&lt;&gt;"",XLOOKUP($F144,Productos!$A:$A,Productos!J:J,"Revisar"),"")</f>
        <v/>
      </c>
      <c r="R144" s="179" t="str">
        <f t="array" ref="R144">IF($F144&lt;&gt;"", XLOOKUP($F144,Productos!$A$2:$A1001,Productos!K$2:K1001,"")*$G144,"")</f>
        <v/>
      </c>
      <c r="S144" s="179" t="str">
        <f t="array" ref="S144">IF($F144&lt;&gt;"",XLOOKUP($F144,Productos!$A:$A,Productos!L:L,"Revisar"),"")</f>
        <v/>
      </c>
      <c r="T144" s="179" t="str">
        <f t="array" ref="T144">IF($F144&lt;&gt;"", XLOOKUP($F144,Productos!$A$2:$A1001,Productos!M$2:M1001,"")*$G144,"")</f>
        <v/>
      </c>
      <c r="U144" s="179" t="str">
        <f t="array" ref="U144">IF($F144&lt;&gt;"",XLOOKUP($F144,Productos!$A:$A,Productos!N:N,"Revisar"),"")</f>
        <v/>
      </c>
      <c r="V144" s="179" t="str">
        <f t="array" ref="V144">IF($F144&lt;&gt;"", XLOOKUP($F144,Productos!$A$2:$A1001,Productos!O$2:O1001,"")*$G144,"")</f>
        <v/>
      </c>
      <c r="W144" s="179" t="str">
        <f t="array" ref="W144">IF($F144&lt;&gt;"",XLOOKUP($F144,Productos!$A:$A,Productos!P:P,"Revisar"),"")</f>
        <v/>
      </c>
      <c r="X144" s="179" t="str">
        <f t="array" ref="X144">IF($F144&lt;&gt;"", XLOOKUP($F144,Productos!$A$2:$A1001,Productos!Q$2:Q1001,"")*$G144,"")</f>
        <v/>
      </c>
      <c r="Y144" s="179" t="str">
        <f t="array" ref="Y144">IF($F144&lt;&gt;"",XLOOKUP($F144,Productos!$A:$A,Productos!R:R,"Revisar"),"")</f>
        <v/>
      </c>
      <c r="Z144" s="179" t="str">
        <f t="array" ref="Z144">IF($F144&lt;&gt;"", XLOOKUP($F144,Productos!$A$2:$A1001,Productos!S$2:S1001,"")*$G144,"")</f>
        <v/>
      </c>
      <c r="AA144" s="179" t="str">
        <f t="array" ref="AA144">IF($F144&lt;&gt;"",XLOOKUP($F144,Productos!$A:$A,Productos!T:T,"Revisar"),"")</f>
        <v/>
      </c>
      <c r="AB144" s="179" t="str">
        <f t="array" ref="AB144">IF($F144&lt;&gt;"", XLOOKUP($F144,Productos!$A$2:$A1001,Productos!U$2:U1001,"")*$G144,"")</f>
        <v/>
      </c>
      <c r="AC144" s="179" t="str">
        <f t="array" ref="AC144">IF($F144&lt;&gt;"",XLOOKUP($F144,Productos!$A:$A,Productos!V:V,"Revisar"),"")</f>
        <v/>
      </c>
      <c r="AD144" s="179" t="str">
        <f t="array" ref="AD144">IF($F144&lt;&gt;"", XLOOKUP($F144,Productos!$A$2:$A1001,Productos!W$2:W1001,"")*$G144,"")</f>
        <v/>
      </c>
      <c r="AE144" s="179" t="str">
        <f t="array" ref="AE144">IF($F144&lt;&gt;"",XLOOKUP($F144,Productos!$A:$A,Productos!X:X,"Revisar"),"")</f>
        <v/>
      </c>
      <c r="AF144" s="179" t="str">
        <f t="array" ref="AF144">IF($F144&lt;&gt;"", XLOOKUP($F144,Productos!$A$2:$A1001,Productos!Y$2:Y1001,"")*$G144,"")</f>
        <v/>
      </c>
      <c r="AG144" s="179" t="str">
        <f t="array" ref="AG144">IF($F144&lt;&gt;"",XLOOKUP($F144,Productos!$A:$A,Productos!Z:Z,"Revisar"),"")</f>
        <v/>
      </c>
      <c r="AH144" s="179" t="str">
        <f t="array" ref="AH144">IF($F144&lt;&gt;"", XLOOKUP($F144,Productos!$A$2:$A1001,Productos!AA$2:AA1001,"")*$G144,"")</f>
        <v/>
      </c>
      <c r="AI144" s="179" t="str">
        <f t="array" ref="AI144">IF($F144&lt;&gt;"",XLOOKUP($F144,Productos!$A:$A,Productos!AB:AB,"Revisar"),"")</f>
        <v/>
      </c>
      <c r="AJ144" s="179" t="str">
        <f t="array" ref="AJ144">IF($F144&lt;&gt;"", XLOOKUP($F144,Productos!$A$2:$A1001,Productos!AC$2:AC1001,"")*$G144,"")</f>
        <v/>
      </c>
      <c r="AK144" s="179" t="str">
        <f t="array" ref="AK144">IF($F144&lt;&gt;"",XLOOKUP($F144,Productos!$A:$A,Productos!AD:AD,"Revisar"),"")</f>
        <v/>
      </c>
      <c r="AL144" s="179" t="str">
        <f t="array" ref="AL144">IF($F144&lt;&gt;"", XLOOKUP($F144,Productos!$A$2:$A1001,Productos!AE$2:AE1001,"")*$G144,"")</f>
        <v/>
      </c>
      <c r="AM144" s="179" t="str">
        <f t="array" ref="AM144">IF($F144&lt;&gt;"",XLOOKUP($F144,Productos!$A:$A,Productos!AF:AF,"Revisar"),"")</f>
        <v/>
      </c>
      <c r="AN144" s="179" t="str">
        <f t="array" ref="AN144">IF($F144&lt;&gt;"", XLOOKUP($F144,Productos!$A$2:$A1001,Productos!AG$2:AG1001,"")*$G144,"")</f>
        <v/>
      </c>
      <c r="AO144" s="179" t="str">
        <f t="array" ref="AO144">IF($F144&lt;&gt;"",XLOOKUP($F144,Productos!$A:$A,Productos!AH:AH,"Revisar"),"")</f>
        <v/>
      </c>
      <c r="AP144" s="179" t="str">
        <f t="array" ref="AP144">IF($F144&lt;&gt;"", XLOOKUP($F144,Productos!$A$2:$A1001,Productos!AI$2:AI1001,"")*$G144,"")</f>
        <v/>
      </c>
      <c r="AQ144" s="179" t="str">
        <f t="array" ref="AQ144">IF($F144&lt;&gt;"",XLOOKUP($F144,Productos!$A:$A,Productos!AJ:AJ,"Revisar"),"")</f>
        <v/>
      </c>
      <c r="AR144" s="179" t="str">
        <f t="array" ref="AR144">IF($F144&lt;&gt;"", XLOOKUP($F144,Productos!$A$2:$A1001,Productos!AK$2:AK1001,"")*$G144,"")</f>
        <v/>
      </c>
      <c r="AS144" s="179" t="str">
        <f t="array" ref="AS144">IF($F144&lt;&gt;"",XLOOKUP($F144,Productos!$A:$A,Productos!AL:AL,"Revisar"),"")</f>
        <v/>
      </c>
      <c r="AT144" s="179" t="str">
        <f t="array" ref="AT144">IF($F144&lt;&gt;"", XLOOKUP($F144,Productos!$A$2:$A1001,Productos!AM$2:AM1001,"")*$G144,"")</f>
        <v/>
      </c>
      <c r="AU144" s="179" t="str">
        <f t="array" ref="AU144">IF($F144&lt;&gt;"",XLOOKUP($F144,Productos!$A:$A,Productos!AN:AN,"Revisar"),"")</f>
        <v/>
      </c>
      <c r="AV144" s="179" t="str">
        <f t="array" ref="AV144">IF($F144&lt;&gt;"", XLOOKUP($F144,Productos!$A$2:$A1001,Productos!AO$2:AO1001,"")*$G144,"")</f>
        <v/>
      </c>
      <c r="AW144" s="179" t="str">
        <f t="array" ref="AW144">IF($F144&lt;&gt;"",XLOOKUP($F144,Productos!$A:$A,Productos!AP:AP,"Revisar"),"")</f>
        <v/>
      </c>
      <c r="AX144" s="179" t="str">
        <f t="array" ref="AX144">IF($F144&lt;&gt;"", XLOOKUP($F144,Productos!$A$2:$A1001,Productos!AQ$2:AQ1001,"")*$G144,"")</f>
        <v/>
      </c>
      <c r="AY144" s="179" t="str">
        <f t="array" ref="AY144">IF($F144&lt;&gt;"",XLOOKUP($F144,Productos!$A:$A,Productos!AR:AR,"Revisar"),"")</f>
        <v/>
      </c>
      <c r="AZ144" s="179" t="str">
        <f t="array" ref="AZ144">IF($F144&lt;&gt;"", XLOOKUP($F144,Productos!$A$2:$A1001,Productos!AS$2:AS1001,"")*$G144,"")</f>
        <v/>
      </c>
      <c r="BA144" s="179" t="str">
        <f t="array" ref="BA144">IF($F144&lt;&gt;"",XLOOKUP($F144,Productos!$A:$A,Productos!AT:AT,"Revisar"),"")</f>
        <v/>
      </c>
      <c r="BB144" s="179" t="str">
        <f t="array" ref="BB144">IF($F144&lt;&gt;"", XLOOKUP($F144,Productos!$A$2:$A1001,Productos!AU$2:AU1001,"")*$G144,"")</f>
        <v/>
      </c>
      <c r="BC144" s="179" t="str">
        <f t="array" ref="BC144">IF($F144&lt;&gt;"",XLOOKUP($F144,Productos!$A:$A,Productos!AV:AV,"Revisar"),"")</f>
        <v/>
      </c>
      <c r="BD144" s="179" t="str">
        <f t="array" ref="BD144">IF($F144&lt;&gt;"", XLOOKUP($F144,Productos!$A$2:$A1001,Productos!AW$2:AW1001,"")*$G144,"")</f>
        <v/>
      </c>
      <c r="BE144" s="179" t="str">
        <f t="array" ref="BE144">IF($F144&lt;&gt;"",XLOOKUP($F144,Productos!$A:$A,Productos!AX:AX,"Revisar"),"")</f>
        <v/>
      </c>
      <c r="BF144" s="179" t="str">
        <f t="array" ref="BF144">IF($F144&lt;&gt;"", XLOOKUP($F144,Productos!$A$2:$A1001,Productos!AY$2:AY1001,"")*$G144,"")</f>
        <v/>
      </c>
      <c r="BG144" s="179" t="str">
        <f t="array" ref="BG144">IF($F144&lt;&gt;"",XLOOKUP($F144,Productos!$A:$A,Productos!AZ:AZ,"Revisar"),"")</f>
        <v/>
      </c>
      <c r="BH144" s="179" t="str">
        <f t="array" ref="BH144">IF($F144&lt;&gt;"", XLOOKUP($F144,Productos!$A$2:$A1001,Productos!BA$2:BA1001,"")*$G144,"")</f>
        <v/>
      </c>
      <c r="BI144" s="179" t="str">
        <f t="array" ref="BI144">IF($F144&lt;&gt;"",XLOOKUP($F144,Productos!$A:$A,Productos!BB:BB,"Revisar"),"")</f>
        <v/>
      </c>
      <c r="BJ144" s="179" t="str">
        <f t="array" ref="BJ144">IF($F144&lt;&gt;"", XLOOKUP($F144,Productos!$A$2:$A1001,Productos!BC$2:BC1001,"")*$G144,"")</f>
        <v/>
      </c>
      <c r="BK144" s="179" t="str">
        <f t="array" ref="BK144">IF($F144&lt;&gt;"",XLOOKUP($F144,Productos!$A:$A,Productos!BD:BD,"Revisar"),"")</f>
        <v/>
      </c>
      <c r="BL144" s="179" t="str">
        <f t="array" ref="BL144">IF($F144&lt;&gt;"", XLOOKUP($F144,Productos!$A$2:$A1001,Productos!BE$2:BE1001,"")*$G144,"")</f>
        <v/>
      </c>
      <c r="BM144" s="179" t="str">
        <f t="array" ref="BM144">IF($F144&lt;&gt;"",XLOOKUP($F144,Productos!$A:$A,Productos!BF:BF,"Revisar"),"")</f>
        <v/>
      </c>
      <c r="BN144" s="179" t="str">
        <f t="array" ref="BN144">IF($F144&lt;&gt;"", XLOOKUP($F144,Productos!$A$2:$A1001,Productos!BG$2:BG1001,"")*$G144,"")</f>
        <v/>
      </c>
      <c r="BO144" s="179" t="str">
        <f t="array" ref="BO144">IF($F144&lt;&gt;"",XLOOKUP($F144,Productos!$A:$A,Productos!BH:BH,"Revisar"),"")</f>
        <v/>
      </c>
      <c r="BP144" s="179" t="str">
        <f t="array" ref="BP144">IF($F144&lt;&gt;"", XLOOKUP($F144,Productos!$A$2:$A1001,Productos!BI$2:BI1001,"")*$G144,"")</f>
        <v/>
      </c>
      <c r="BQ144" s="179" t="str">
        <f t="array" ref="BQ144">IF($F144&lt;&gt;"",XLOOKUP($F144,Productos!$A:$A,Productos!BJ:BJ,"Revisar"),"")</f>
        <v/>
      </c>
      <c r="BR144" s="179" t="str">
        <f t="array" ref="BR144">IF($F144&lt;&gt;"", XLOOKUP($F144,Productos!$A$2:$A1001,Productos!BK$2:BK1001,"")*$G144,"")</f>
        <v/>
      </c>
      <c r="BS144" s="179" t="str">
        <f t="array" ref="BS144">IF($F144&lt;&gt;"",XLOOKUP($F144,Productos!$A:$A,Productos!BL:BL,"Revisar"),"")</f>
        <v/>
      </c>
      <c r="BT144" s="179" t="str">
        <f t="array" ref="BT144">IF($F144&lt;&gt;"", XLOOKUP($F144,Productos!$A$2:$A1001,Productos!BM$2:BM1001,"")*$G144,"")</f>
        <v/>
      </c>
      <c r="BU144" s="179" t="str">
        <f t="array" ref="BU144">IF($F144&lt;&gt;"",XLOOKUP($F144,Productos!$A:$A,Productos!BN:BN,"Revisar"),"")</f>
        <v/>
      </c>
      <c r="BV144" s="179" t="str">
        <f t="array" ref="BV144">IF($F144&lt;&gt;"", XLOOKUP($F144,Productos!$A$2:$A1001,Productos!BO$2:BO1001,"")*$G144,"")</f>
        <v/>
      </c>
      <c r="BW144" s="179" t="str">
        <f t="array" ref="BW144">IF($F144&lt;&gt;"",XLOOKUP($F144,Productos!$A:$A,Productos!BP:BP,"Revisar"),"")</f>
        <v/>
      </c>
      <c r="BX144" s="179" t="str">
        <f t="array" ref="BX144">IF($F144&lt;&gt;"", XLOOKUP($F144,Productos!$A$2:$A1001,Productos!BQ$2:BQ1001,"")*$G144,"")</f>
        <v/>
      </c>
      <c r="BY144" s="179" t="str">
        <f t="array" ref="BY144">IF($F144&lt;&gt;"",XLOOKUP($F144,Productos!$A:$A,Productos!BR:BR,"Revisar"),"")</f>
        <v/>
      </c>
      <c r="BZ144" s="179" t="str">
        <f t="array" ref="BZ144">IF($F144&lt;&gt;"", XLOOKUP($F144,Productos!$A$2:$A1001,Productos!BS$2:BS1001,"")*$G144,"")</f>
        <v/>
      </c>
    </row>
    <row r="145">
      <c r="A145" s="180"/>
      <c r="B145" s="181"/>
      <c r="C145" s="182"/>
      <c r="D145" s="182"/>
      <c r="E145" s="185"/>
      <c r="F145" s="186"/>
      <c r="G145" s="187"/>
      <c r="H145" s="186"/>
      <c r="I145" s="179" t="str">
        <f t="array" ref="I145">IF($F145&lt;&gt;"",XLOOKUP($F145,Productos!$A:$A,Productos!B:B,"Revisar"),"")</f>
        <v/>
      </c>
      <c r="J145" s="179" t="str">
        <f t="array" ref="J145">IF($F145&lt;&gt;"", XLOOKUP($F145,Productos!$A$2:$A1001,Productos!C$2:C1001,"")*$G145,"")</f>
        <v/>
      </c>
      <c r="K145" s="179" t="str">
        <f t="array" ref="K145">IF($F145&lt;&gt;"",XLOOKUP($F145,Productos!$A:$A,Productos!D:D,"Revisar"),"")</f>
        <v/>
      </c>
      <c r="L145" s="179" t="str">
        <f t="array" ref="L145">IF($F145&lt;&gt;"", XLOOKUP($F145,Productos!$A$2:$A1001,Productos!E$2:E1001,"")*$G145,"")</f>
        <v/>
      </c>
      <c r="M145" s="179" t="str">
        <f t="array" ref="M145">IF($F145&lt;&gt;"",XLOOKUP($F145,Productos!$A:$A,Productos!F:F,"Revisar"),"")</f>
        <v/>
      </c>
      <c r="N145" s="179" t="str">
        <f t="array" ref="N145">IF($F145&lt;&gt;"", XLOOKUP($F145,Productos!$A$2:$A1001,Productos!G$2:G1001,"")*$G145,"")</f>
        <v/>
      </c>
      <c r="O145" s="179" t="str">
        <f t="array" ref="O145">IF($F145&lt;&gt;"",XLOOKUP($F145,Productos!$A:$A,Productos!H:H,"Revisar"),"")</f>
        <v/>
      </c>
      <c r="P145" s="179" t="str">
        <f t="array" ref="P145">IF($F145&lt;&gt;"", XLOOKUP($F145,Productos!$A$2:$A1001,Productos!I$2:I1001,"")*$G145,"")</f>
        <v/>
      </c>
      <c r="Q145" s="179" t="str">
        <f t="array" ref="Q145">IF($F145&lt;&gt;"",XLOOKUP($F145,Productos!$A:$A,Productos!J:J,"Revisar"),"")</f>
        <v/>
      </c>
      <c r="R145" s="179" t="str">
        <f t="array" ref="R145">IF($F145&lt;&gt;"", XLOOKUP($F145,Productos!$A$2:$A1001,Productos!K$2:K1001,"")*$G145,"")</f>
        <v/>
      </c>
      <c r="S145" s="179" t="str">
        <f t="array" ref="S145">IF($F145&lt;&gt;"",XLOOKUP($F145,Productos!$A:$A,Productos!L:L,"Revisar"),"")</f>
        <v/>
      </c>
      <c r="T145" s="179" t="str">
        <f t="array" ref="T145">IF($F145&lt;&gt;"", XLOOKUP($F145,Productos!$A$2:$A1001,Productos!M$2:M1001,"")*$G145,"")</f>
        <v/>
      </c>
      <c r="U145" s="179" t="str">
        <f t="array" ref="U145">IF($F145&lt;&gt;"",XLOOKUP($F145,Productos!$A:$A,Productos!N:N,"Revisar"),"")</f>
        <v/>
      </c>
      <c r="V145" s="179" t="str">
        <f t="array" ref="V145">IF($F145&lt;&gt;"", XLOOKUP($F145,Productos!$A$2:$A1001,Productos!O$2:O1001,"")*$G145,"")</f>
        <v/>
      </c>
      <c r="W145" s="179" t="str">
        <f t="array" ref="W145">IF($F145&lt;&gt;"",XLOOKUP($F145,Productos!$A:$A,Productos!P:P,"Revisar"),"")</f>
        <v/>
      </c>
      <c r="X145" s="179" t="str">
        <f t="array" ref="X145">IF($F145&lt;&gt;"", XLOOKUP($F145,Productos!$A$2:$A1001,Productos!Q$2:Q1001,"")*$G145,"")</f>
        <v/>
      </c>
      <c r="Y145" s="179" t="str">
        <f t="array" ref="Y145">IF($F145&lt;&gt;"",XLOOKUP($F145,Productos!$A:$A,Productos!R:R,"Revisar"),"")</f>
        <v/>
      </c>
      <c r="Z145" s="179" t="str">
        <f t="array" ref="Z145">IF($F145&lt;&gt;"", XLOOKUP($F145,Productos!$A$2:$A1001,Productos!S$2:S1001,"")*$G145,"")</f>
        <v/>
      </c>
      <c r="AA145" s="179" t="str">
        <f t="array" ref="AA145">IF($F145&lt;&gt;"",XLOOKUP($F145,Productos!$A:$A,Productos!T:T,"Revisar"),"")</f>
        <v/>
      </c>
      <c r="AB145" s="179" t="str">
        <f t="array" ref="AB145">IF($F145&lt;&gt;"", XLOOKUP($F145,Productos!$A$2:$A1001,Productos!U$2:U1001,"")*$G145,"")</f>
        <v/>
      </c>
      <c r="AC145" s="179" t="str">
        <f t="array" ref="AC145">IF($F145&lt;&gt;"",XLOOKUP($F145,Productos!$A:$A,Productos!V:V,"Revisar"),"")</f>
        <v/>
      </c>
      <c r="AD145" s="179" t="str">
        <f t="array" ref="AD145">IF($F145&lt;&gt;"", XLOOKUP($F145,Productos!$A$2:$A1001,Productos!W$2:W1001,"")*$G145,"")</f>
        <v/>
      </c>
      <c r="AE145" s="179" t="str">
        <f t="array" ref="AE145">IF($F145&lt;&gt;"",XLOOKUP($F145,Productos!$A:$A,Productos!X:X,"Revisar"),"")</f>
        <v/>
      </c>
      <c r="AF145" s="179" t="str">
        <f t="array" ref="AF145">IF($F145&lt;&gt;"", XLOOKUP($F145,Productos!$A$2:$A1001,Productos!Y$2:Y1001,"")*$G145,"")</f>
        <v/>
      </c>
      <c r="AG145" s="179" t="str">
        <f t="array" ref="AG145">IF($F145&lt;&gt;"",XLOOKUP($F145,Productos!$A:$A,Productos!Z:Z,"Revisar"),"")</f>
        <v/>
      </c>
      <c r="AH145" s="179" t="str">
        <f t="array" ref="AH145">IF($F145&lt;&gt;"", XLOOKUP($F145,Productos!$A$2:$A1001,Productos!AA$2:AA1001,"")*$G145,"")</f>
        <v/>
      </c>
      <c r="AI145" s="179" t="str">
        <f t="array" ref="AI145">IF($F145&lt;&gt;"",XLOOKUP($F145,Productos!$A:$A,Productos!AB:AB,"Revisar"),"")</f>
        <v/>
      </c>
      <c r="AJ145" s="179" t="str">
        <f t="array" ref="AJ145">IF($F145&lt;&gt;"", XLOOKUP($F145,Productos!$A$2:$A1001,Productos!AC$2:AC1001,"")*$G145,"")</f>
        <v/>
      </c>
      <c r="AK145" s="179" t="str">
        <f t="array" ref="AK145">IF($F145&lt;&gt;"",XLOOKUP($F145,Productos!$A:$A,Productos!AD:AD,"Revisar"),"")</f>
        <v/>
      </c>
      <c r="AL145" s="179" t="str">
        <f t="array" ref="AL145">IF($F145&lt;&gt;"", XLOOKUP($F145,Productos!$A$2:$A1001,Productos!AE$2:AE1001,"")*$G145,"")</f>
        <v/>
      </c>
      <c r="AM145" s="179" t="str">
        <f t="array" ref="AM145">IF($F145&lt;&gt;"",XLOOKUP($F145,Productos!$A:$A,Productos!AF:AF,"Revisar"),"")</f>
        <v/>
      </c>
      <c r="AN145" s="179" t="str">
        <f t="array" ref="AN145">IF($F145&lt;&gt;"", XLOOKUP($F145,Productos!$A$2:$A1001,Productos!AG$2:AG1001,"")*$G145,"")</f>
        <v/>
      </c>
      <c r="AO145" s="179" t="str">
        <f t="array" ref="AO145">IF($F145&lt;&gt;"",XLOOKUP($F145,Productos!$A:$A,Productos!AH:AH,"Revisar"),"")</f>
        <v/>
      </c>
      <c r="AP145" s="179" t="str">
        <f t="array" ref="AP145">IF($F145&lt;&gt;"", XLOOKUP($F145,Productos!$A$2:$A1001,Productos!AI$2:AI1001,"")*$G145,"")</f>
        <v/>
      </c>
      <c r="AQ145" s="179" t="str">
        <f t="array" ref="AQ145">IF($F145&lt;&gt;"",XLOOKUP($F145,Productos!$A:$A,Productos!AJ:AJ,"Revisar"),"")</f>
        <v/>
      </c>
      <c r="AR145" s="179" t="str">
        <f t="array" ref="AR145">IF($F145&lt;&gt;"", XLOOKUP($F145,Productos!$A$2:$A1001,Productos!AK$2:AK1001,"")*$G145,"")</f>
        <v/>
      </c>
      <c r="AS145" s="179" t="str">
        <f t="array" ref="AS145">IF($F145&lt;&gt;"",XLOOKUP($F145,Productos!$A:$A,Productos!AL:AL,"Revisar"),"")</f>
        <v/>
      </c>
      <c r="AT145" s="179" t="str">
        <f t="array" ref="AT145">IF($F145&lt;&gt;"", XLOOKUP($F145,Productos!$A$2:$A1001,Productos!AM$2:AM1001,"")*$G145,"")</f>
        <v/>
      </c>
      <c r="AU145" s="179" t="str">
        <f t="array" ref="AU145">IF($F145&lt;&gt;"",XLOOKUP($F145,Productos!$A:$A,Productos!AN:AN,"Revisar"),"")</f>
        <v/>
      </c>
      <c r="AV145" s="179" t="str">
        <f t="array" ref="AV145">IF($F145&lt;&gt;"", XLOOKUP($F145,Productos!$A$2:$A1001,Productos!AO$2:AO1001,"")*$G145,"")</f>
        <v/>
      </c>
      <c r="AW145" s="179" t="str">
        <f t="array" ref="AW145">IF($F145&lt;&gt;"",XLOOKUP($F145,Productos!$A:$A,Productos!AP:AP,"Revisar"),"")</f>
        <v/>
      </c>
      <c r="AX145" s="179" t="str">
        <f t="array" ref="AX145">IF($F145&lt;&gt;"", XLOOKUP($F145,Productos!$A$2:$A1001,Productos!AQ$2:AQ1001,"")*$G145,"")</f>
        <v/>
      </c>
      <c r="AY145" s="179" t="str">
        <f t="array" ref="AY145">IF($F145&lt;&gt;"",XLOOKUP($F145,Productos!$A:$A,Productos!AR:AR,"Revisar"),"")</f>
        <v/>
      </c>
      <c r="AZ145" s="179" t="str">
        <f t="array" ref="AZ145">IF($F145&lt;&gt;"", XLOOKUP($F145,Productos!$A$2:$A1001,Productos!AS$2:AS1001,"")*$G145,"")</f>
        <v/>
      </c>
      <c r="BA145" s="179" t="str">
        <f t="array" ref="BA145">IF($F145&lt;&gt;"",XLOOKUP($F145,Productos!$A:$A,Productos!AT:AT,"Revisar"),"")</f>
        <v/>
      </c>
      <c r="BB145" s="179" t="str">
        <f t="array" ref="BB145">IF($F145&lt;&gt;"", XLOOKUP($F145,Productos!$A$2:$A1001,Productos!AU$2:AU1001,"")*$G145,"")</f>
        <v/>
      </c>
      <c r="BC145" s="179" t="str">
        <f t="array" ref="BC145">IF($F145&lt;&gt;"",XLOOKUP($F145,Productos!$A:$A,Productos!AV:AV,"Revisar"),"")</f>
        <v/>
      </c>
      <c r="BD145" s="179" t="str">
        <f t="array" ref="BD145">IF($F145&lt;&gt;"", XLOOKUP($F145,Productos!$A$2:$A1001,Productos!AW$2:AW1001,"")*$G145,"")</f>
        <v/>
      </c>
      <c r="BE145" s="179" t="str">
        <f t="array" ref="BE145">IF($F145&lt;&gt;"",XLOOKUP($F145,Productos!$A:$A,Productos!AX:AX,"Revisar"),"")</f>
        <v/>
      </c>
      <c r="BF145" s="179" t="str">
        <f t="array" ref="BF145">IF($F145&lt;&gt;"", XLOOKUP($F145,Productos!$A$2:$A1001,Productos!AY$2:AY1001,"")*$G145,"")</f>
        <v/>
      </c>
      <c r="BG145" s="179" t="str">
        <f t="array" ref="BG145">IF($F145&lt;&gt;"",XLOOKUP($F145,Productos!$A:$A,Productos!AZ:AZ,"Revisar"),"")</f>
        <v/>
      </c>
      <c r="BH145" s="179" t="str">
        <f t="array" ref="BH145">IF($F145&lt;&gt;"", XLOOKUP($F145,Productos!$A$2:$A1001,Productos!BA$2:BA1001,"")*$G145,"")</f>
        <v/>
      </c>
      <c r="BI145" s="179" t="str">
        <f t="array" ref="BI145">IF($F145&lt;&gt;"",XLOOKUP($F145,Productos!$A:$A,Productos!BB:BB,"Revisar"),"")</f>
        <v/>
      </c>
      <c r="BJ145" s="179" t="str">
        <f t="array" ref="BJ145">IF($F145&lt;&gt;"", XLOOKUP($F145,Productos!$A$2:$A1001,Productos!BC$2:BC1001,"")*$G145,"")</f>
        <v/>
      </c>
      <c r="BK145" s="179" t="str">
        <f t="array" ref="BK145">IF($F145&lt;&gt;"",XLOOKUP($F145,Productos!$A:$A,Productos!BD:BD,"Revisar"),"")</f>
        <v/>
      </c>
      <c r="BL145" s="179" t="str">
        <f t="array" ref="BL145">IF($F145&lt;&gt;"", XLOOKUP($F145,Productos!$A$2:$A1001,Productos!BE$2:BE1001,"")*$G145,"")</f>
        <v/>
      </c>
      <c r="BM145" s="179" t="str">
        <f t="array" ref="BM145">IF($F145&lt;&gt;"",XLOOKUP($F145,Productos!$A:$A,Productos!BF:BF,"Revisar"),"")</f>
        <v/>
      </c>
      <c r="BN145" s="179" t="str">
        <f t="array" ref="BN145">IF($F145&lt;&gt;"", XLOOKUP($F145,Productos!$A$2:$A1001,Productos!BG$2:BG1001,"")*$G145,"")</f>
        <v/>
      </c>
      <c r="BO145" s="179" t="str">
        <f t="array" ref="BO145">IF($F145&lt;&gt;"",XLOOKUP($F145,Productos!$A:$A,Productos!BH:BH,"Revisar"),"")</f>
        <v/>
      </c>
      <c r="BP145" s="179" t="str">
        <f t="array" ref="BP145">IF($F145&lt;&gt;"", XLOOKUP($F145,Productos!$A$2:$A1001,Productos!BI$2:BI1001,"")*$G145,"")</f>
        <v/>
      </c>
      <c r="BQ145" s="179" t="str">
        <f t="array" ref="BQ145">IF($F145&lt;&gt;"",XLOOKUP($F145,Productos!$A:$A,Productos!BJ:BJ,"Revisar"),"")</f>
        <v/>
      </c>
      <c r="BR145" s="179" t="str">
        <f t="array" ref="BR145">IF($F145&lt;&gt;"", XLOOKUP($F145,Productos!$A$2:$A1001,Productos!BK$2:BK1001,"")*$G145,"")</f>
        <v/>
      </c>
      <c r="BS145" s="179" t="str">
        <f t="array" ref="BS145">IF($F145&lt;&gt;"",XLOOKUP($F145,Productos!$A:$A,Productos!BL:BL,"Revisar"),"")</f>
        <v/>
      </c>
      <c r="BT145" s="179" t="str">
        <f t="array" ref="BT145">IF($F145&lt;&gt;"", XLOOKUP($F145,Productos!$A$2:$A1001,Productos!BM$2:BM1001,"")*$G145,"")</f>
        <v/>
      </c>
      <c r="BU145" s="179" t="str">
        <f t="array" ref="BU145">IF($F145&lt;&gt;"",XLOOKUP($F145,Productos!$A:$A,Productos!BN:BN,"Revisar"),"")</f>
        <v/>
      </c>
      <c r="BV145" s="179" t="str">
        <f t="array" ref="BV145">IF($F145&lt;&gt;"", XLOOKUP($F145,Productos!$A$2:$A1001,Productos!BO$2:BO1001,"")*$G145,"")</f>
        <v/>
      </c>
      <c r="BW145" s="179" t="str">
        <f t="array" ref="BW145">IF($F145&lt;&gt;"",XLOOKUP($F145,Productos!$A:$A,Productos!BP:BP,"Revisar"),"")</f>
        <v/>
      </c>
      <c r="BX145" s="179" t="str">
        <f t="array" ref="BX145">IF($F145&lt;&gt;"", XLOOKUP($F145,Productos!$A$2:$A1001,Productos!BQ$2:BQ1001,"")*$G145,"")</f>
        <v/>
      </c>
      <c r="BY145" s="179" t="str">
        <f t="array" ref="BY145">IF($F145&lt;&gt;"",XLOOKUP($F145,Productos!$A:$A,Productos!BR:BR,"Revisar"),"")</f>
        <v/>
      </c>
      <c r="BZ145" s="179" t="str">
        <f t="array" ref="BZ145">IF($F145&lt;&gt;"", XLOOKUP($F145,Productos!$A$2:$A1001,Productos!BS$2:BS1001,"")*$G145,"")</f>
        <v/>
      </c>
    </row>
    <row r="146">
      <c r="A146" s="180"/>
      <c r="B146" s="181"/>
      <c r="C146" s="182"/>
      <c r="D146" s="182"/>
      <c r="E146" s="185"/>
      <c r="F146" s="186"/>
      <c r="G146" s="187"/>
      <c r="H146" s="186"/>
      <c r="I146" s="179" t="str">
        <f t="array" ref="I146">IF($F146&lt;&gt;"",XLOOKUP($F146,Productos!$A:$A,Productos!B:B,"Revisar"),"")</f>
        <v/>
      </c>
      <c r="J146" s="179" t="str">
        <f t="array" ref="J146">IF($F146&lt;&gt;"", XLOOKUP($F146,Productos!$A$2:$A1001,Productos!C$2:C1001,"")*$G146,"")</f>
        <v/>
      </c>
      <c r="K146" s="179" t="str">
        <f t="array" ref="K146">IF($F146&lt;&gt;"",XLOOKUP($F146,Productos!$A:$A,Productos!D:D,"Revisar"),"")</f>
        <v/>
      </c>
      <c r="L146" s="179" t="str">
        <f t="array" ref="L146">IF($F146&lt;&gt;"", XLOOKUP($F146,Productos!$A$2:$A1001,Productos!E$2:E1001,"")*$G146,"")</f>
        <v/>
      </c>
      <c r="M146" s="179" t="str">
        <f t="array" ref="M146">IF($F146&lt;&gt;"",XLOOKUP($F146,Productos!$A:$A,Productos!F:F,"Revisar"),"")</f>
        <v/>
      </c>
      <c r="N146" s="179" t="str">
        <f t="array" ref="N146">IF($F146&lt;&gt;"", XLOOKUP($F146,Productos!$A$2:$A1001,Productos!G$2:G1001,"")*$G146,"")</f>
        <v/>
      </c>
      <c r="O146" s="179" t="str">
        <f t="array" ref="O146">IF($F146&lt;&gt;"",XLOOKUP($F146,Productos!$A:$A,Productos!H:H,"Revisar"),"")</f>
        <v/>
      </c>
      <c r="P146" s="179" t="str">
        <f t="array" ref="P146">IF($F146&lt;&gt;"", XLOOKUP($F146,Productos!$A$2:$A1001,Productos!I$2:I1001,"")*$G146,"")</f>
        <v/>
      </c>
      <c r="Q146" s="179" t="str">
        <f t="array" ref="Q146">IF($F146&lt;&gt;"",XLOOKUP($F146,Productos!$A:$A,Productos!J:J,"Revisar"),"")</f>
        <v/>
      </c>
      <c r="R146" s="179" t="str">
        <f t="array" ref="R146">IF($F146&lt;&gt;"", XLOOKUP($F146,Productos!$A$2:$A1001,Productos!K$2:K1001,"")*$G146,"")</f>
        <v/>
      </c>
      <c r="S146" s="179" t="str">
        <f t="array" ref="S146">IF($F146&lt;&gt;"",XLOOKUP($F146,Productos!$A:$A,Productos!L:L,"Revisar"),"")</f>
        <v/>
      </c>
      <c r="T146" s="179" t="str">
        <f t="array" ref="T146">IF($F146&lt;&gt;"", XLOOKUP($F146,Productos!$A$2:$A1001,Productos!M$2:M1001,"")*$G146,"")</f>
        <v/>
      </c>
      <c r="U146" s="179" t="str">
        <f t="array" ref="U146">IF($F146&lt;&gt;"",XLOOKUP($F146,Productos!$A:$A,Productos!N:N,"Revisar"),"")</f>
        <v/>
      </c>
      <c r="V146" s="179" t="str">
        <f t="array" ref="V146">IF($F146&lt;&gt;"", XLOOKUP($F146,Productos!$A$2:$A1001,Productos!O$2:O1001,"")*$G146,"")</f>
        <v/>
      </c>
      <c r="W146" s="179" t="str">
        <f t="array" ref="W146">IF($F146&lt;&gt;"",XLOOKUP($F146,Productos!$A:$A,Productos!P:P,"Revisar"),"")</f>
        <v/>
      </c>
      <c r="X146" s="179" t="str">
        <f t="array" ref="X146">IF($F146&lt;&gt;"", XLOOKUP($F146,Productos!$A$2:$A1001,Productos!Q$2:Q1001,"")*$G146,"")</f>
        <v/>
      </c>
      <c r="Y146" s="179" t="str">
        <f t="array" ref="Y146">IF($F146&lt;&gt;"",XLOOKUP($F146,Productos!$A:$A,Productos!R:R,"Revisar"),"")</f>
        <v/>
      </c>
      <c r="Z146" s="179" t="str">
        <f t="array" ref="Z146">IF($F146&lt;&gt;"", XLOOKUP($F146,Productos!$A$2:$A1001,Productos!S$2:S1001,"")*$G146,"")</f>
        <v/>
      </c>
      <c r="AA146" s="179" t="str">
        <f t="array" ref="AA146">IF($F146&lt;&gt;"",XLOOKUP($F146,Productos!$A:$A,Productos!T:T,"Revisar"),"")</f>
        <v/>
      </c>
      <c r="AB146" s="179" t="str">
        <f t="array" ref="AB146">IF($F146&lt;&gt;"", XLOOKUP($F146,Productos!$A$2:$A1001,Productos!U$2:U1001,"")*$G146,"")</f>
        <v/>
      </c>
      <c r="AC146" s="179" t="str">
        <f t="array" ref="AC146">IF($F146&lt;&gt;"",XLOOKUP($F146,Productos!$A:$A,Productos!V:V,"Revisar"),"")</f>
        <v/>
      </c>
      <c r="AD146" s="179" t="str">
        <f t="array" ref="AD146">IF($F146&lt;&gt;"", XLOOKUP($F146,Productos!$A$2:$A1001,Productos!W$2:W1001,"")*$G146,"")</f>
        <v/>
      </c>
      <c r="AE146" s="179" t="str">
        <f t="array" ref="AE146">IF($F146&lt;&gt;"",XLOOKUP($F146,Productos!$A:$A,Productos!X:X,"Revisar"),"")</f>
        <v/>
      </c>
      <c r="AF146" s="179" t="str">
        <f t="array" ref="AF146">IF($F146&lt;&gt;"", XLOOKUP($F146,Productos!$A$2:$A1001,Productos!Y$2:Y1001,"")*$G146,"")</f>
        <v/>
      </c>
      <c r="AG146" s="179" t="str">
        <f t="array" ref="AG146">IF($F146&lt;&gt;"",XLOOKUP($F146,Productos!$A:$A,Productos!Z:Z,"Revisar"),"")</f>
        <v/>
      </c>
      <c r="AH146" s="179" t="str">
        <f t="array" ref="AH146">IF($F146&lt;&gt;"", XLOOKUP($F146,Productos!$A$2:$A1001,Productos!AA$2:AA1001,"")*$G146,"")</f>
        <v/>
      </c>
      <c r="AI146" s="179" t="str">
        <f t="array" ref="AI146">IF($F146&lt;&gt;"",XLOOKUP($F146,Productos!$A:$A,Productos!AB:AB,"Revisar"),"")</f>
        <v/>
      </c>
      <c r="AJ146" s="179" t="str">
        <f t="array" ref="AJ146">IF($F146&lt;&gt;"", XLOOKUP($F146,Productos!$A$2:$A1001,Productos!AC$2:AC1001,"")*$G146,"")</f>
        <v/>
      </c>
      <c r="AK146" s="179" t="str">
        <f t="array" ref="AK146">IF($F146&lt;&gt;"",XLOOKUP($F146,Productos!$A:$A,Productos!AD:AD,"Revisar"),"")</f>
        <v/>
      </c>
      <c r="AL146" s="179" t="str">
        <f t="array" ref="AL146">IF($F146&lt;&gt;"", XLOOKUP($F146,Productos!$A$2:$A1001,Productos!AE$2:AE1001,"")*$G146,"")</f>
        <v/>
      </c>
      <c r="AM146" s="179" t="str">
        <f t="array" ref="AM146">IF($F146&lt;&gt;"",XLOOKUP($F146,Productos!$A:$A,Productos!AF:AF,"Revisar"),"")</f>
        <v/>
      </c>
      <c r="AN146" s="179" t="str">
        <f t="array" ref="AN146">IF($F146&lt;&gt;"", XLOOKUP($F146,Productos!$A$2:$A1001,Productos!AG$2:AG1001,"")*$G146,"")</f>
        <v/>
      </c>
      <c r="AO146" s="179" t="str">
        <f t="array" ref="AO146">IF($F146&lt;&gt;"",XLOOKUP($F146,Productos!$A:$A,Productos!AH:AH,"Revisar"),"")</f>
        <v/>
      </c>
      <c r="AP146" s="179" t="str">
        <f t="array" ref="AP146">IF($F146&lt;&gt;"", XLOOKUP($F146,Productos!$A$2:$A1001,Productos!AI$2:AI1001,"")*$G146,"")</f>
        <v/>
      </c>
      <c r="AQ146" s="179" t="str">
        <f t="array" ref="AQ146">IF($F146&lt;&gt;"",XLOOKUP($F146,Productos!$A:$A,Productos!AJ:AJ,"Revisar"),"")</f>
        <v/>
      </c>
      <c r="AR146" s="179" t="str">
        <f t="array" ref="AR146">IF($F146&lt;&gt;"", XLOOKUP($F146,Productos!$A$2:$A1001,Productos!AK$2:AK1001,"")*$G146,"")</f>
        <v/>
      </c>
      <c r="AS146" s="179" t="str">
        <f t="array" ref="AS146">IF($F146&lt;&gt;"",XLOOKUP($F146,Productos!$A:$A,Productos!AL:AL,"Revisar"),"")</f>
        <v/>
      </c>
      <c r="AT146" s="179" t="str">
        <f t="array" ref="AT146">IF($F146&lt;&gt;"", XLOOKUP($F146,Productos!$A$2:$A1001,Productos!AM$2:AM1001,"")*$G146,"")</f>
        <v/>
      </c>
      <c r="AU146" s="179" t="str">
        <f t="array" ref="AU146">IF($F146&lt;&gt;"",XLOOKUP($F146,Productos!$A:$A,Productos!AN:AN,"Revisar"),"")</f>
        <v/>
      </c>
      <c r="AV146" s="179" t="str">
        <f t="array" ref="AV146">IF($F146&lt;&gt;"", XLOOKUP($F146,Productos!$A$2:$A1001,Productos!AO$2:AO1001,"")*$G146,"")</f>
        <v/>
      </c>
      <c r="AW146" s="179" t="str">
        <f t="array" ref="AW146">IF($F146&lt;&gt;"",XLOOKUP($F146,Productos!$A:$A,Productos!AP:AP,"Revisar"),"")</f>
        <v/>
      </c>
      <c r="AX146" s="179" t="str">
        <f t="array" ref="AX146">IF($F146&lt;&gt;"", XLOOKUP($F146,Productos!$A$2:$A1001,Productos!AQ$2:AQ1001,"")*$G146,"")</f>
        <v/>
      </c>
      <c r="AY146" s="179" t="str">
        <f t="array" ref="AY146">IF($F146&lt;&gt;"",XLOOKUP($F146,Productos!$A:$A,Productos!AR:AR,"Revisar"),"")</f>
        <v/>
      </c>
      <c r="AZ146" s="179" t="str">
        <f t="array" ref="AZ146">IF($F146&lt;&gt;"", XLOOKUP($F146,Productos!$A$2:$A1001,Productos!AS$2:AS1001,"")*$G146,"")</f>
        <v/>
      </c>
      <c r="BA146" s="179" t="str">
        <f t="array" ref="BA146">IF($F146&lt;&gt;"",XLOOKUP($F146,Productos!$A:$A,Productos!AT:AT,"Revisar"),"")</f>
        <v/>
      </c>
      <c r="BB146" s="179" t="str">
        <f t="array" ref="BB146">IF($F146&lt;&gt;"", XLOOKUP($F146,Productos!$A$2:$A1001,Productos!AU$2:AU1001,"")*$G146,"")</f>
        <v/>
      </c>
      <c r="BC146" s="179" t="str">
        <f t="array" ref="BC146">IF($F146&lt;&gt;"",XLOOKUP($F146,Productos!$A:$A,Productos!AV:AV,"Revisar"),"")</f>
        <v/>
      </c>
      <c r="BD146" s="179" t="str">
        <f t="array" ref="BD146">IF($F146&lt;&gt;"", XLOOKUP($F146,Productos!$A$2:$A1001,Productos!AW$2:AW1001,"")*$G146,"")</f>
        <v/>
      </c>
      <c r="BE146" s="179" t="str">
        <f t="array" ref="BE146">IF($F146&lt;&gt;"",XLOOKUP($F146,Productos!$A:$A,Productos!AX:AX,"Revisar"),"")</f>
        <v/>
      </c>
      <c r="BF146" s="179" t="str">
        <f t="array" ref="BF146">IF($F146&lt;&gt;"", XLOOKUP($F146,Productos!$A$2:$A1001,Productos!AY$2:AY1001,"")*$G146,"")</f>
        <v/>
      </c>
      <c r="BG146" s="179" t="str">
        <f t="array" ref="BG146">IF($F146&lt;&gt;"",XLOOKUP($F146,Productos!$A:$A,Productos!AZ:AZ,"Revisar"),"")</f>
        <v/>
      </c>
      <c r="BH146" s="179" t="str">
        <f t="array" ref="BH146">IF($F146&lt;&gt;"", XLOOKUP($F146,Productos!$A$2:$A1001,Productos!BA$2:BA1001,"")*$G146,"")</f>
        <v/>
      </c>
      <c r="BI146" s="179" t="str">
        <f t="array" ref="BI146">IF($F146&lt;&gt;"",XLOOKUP($F146,Productos!$A:$A,Productos!BB:BB,"Revisar"),"")</f>
        <v/>
      </c>
      <c r="BJ146" s="179" t="str">
        <f t="array" ref="BJ146">IF($F146&lt;&gt;"", XLOOKUP($F146,Productos!$A$2:$A1001,Productos!BC$2:BC1001,"")*$G146,"")</f>
        <v/>
      </c>
      <c r="BK146" s="179" t="str">
        <f t="array" ref="BK146">IF($F146&lt;&gt;"",XLOOKUP($F146,Productos!$A:$A,Productos!BD:BD,"Revisar"),"")</f>
        <v/>
      </c>
      <c r="BL146" s="179" t="str">
        <f t="array" ref="BL146">IF($F146&lt;&gt;"", XLOOKUP($F146,Productos!$A$2:$A1001,Productos!BE$2:BE1001,"")*$G146,"")</f>
        <v/>
      </c>
      <c r="BM146" s="179" t="str">
        <f t="array" ref="BM146">IF($F146&lt;&gt;"",XLOOKUP($F146,Productos!$A:$A,Productos!BF:BF,"Revisar"),"")</f>
        <v/>
      </c>
      <c r="BN146" s="179" t="str">
        <f t="array" ref="BN146">IF($F146&lt;&gt;"", XLOOKUP($F146,Productos!$A$2:$A1001,Productos!BG$2:BG1001,"")*$G146,"")</f>
        <v/>
      </c>
      <c r="BO146" s="179" t="str">
        <f t="array" ref="BO146">IF($F146&lt;&gt;"",XLOOKUP($F146,Productos!$A:$A,Productos!BH:BH,"Revisar"),"")</f>
        <v/>
      </c>
      <c r="BP146" s="179" t="str">
        <f t="array" ref="BP146">IF($F146&lt;&gt;"", XLOOKUP($F146,Productos!$A$2:$A1001,Productos!BI$2:BI1001,"")*$G146,"")</f>
        <v/>
      </c>
      <c r="BQ146" s="179" t="str">
        <f t="array" ref="BQ146">IF($F146&lt;&gt;"",XLOOKUP($F146,Productos!$A:$A,Productos!BJ:BJ,"Revisar"),"")</f>
        <v/>
      </c>
      <c r="BR146" s="179" t="str">
        <f t="array" ref="BR146">IF($F146&lt;&gt;"", XLOOKUP($F146,Productos!$A$2:$A1001,Productos!BK$2:BK1001,"")*$G146,"")</f>
        <v/>
      </c>
      <c r="BS146" s="179" t="str">
        <f t="array" ref="BS146">IF($F146&lt;&gt;"",XLOOKUP($F146,Productos!$A:$A,Productos!BL:BL,"Revisar"),"")</f>
        <v/>
      </c>
      <c r="BT146" s="179" t="str">
        <f t="array" ref="BT146">IF($F146&lt;&gt;"", XLOOKUP($F146,Productos!$A$2:$A1001,Productos!BM$2:BM1001,"")*$G146,"")</f>
        <v/>
      </c>
      <c r="BU146" s="179" t="str">
        <f t="array" ref="BU146">IF($F146&lt;&gt;"",XLOOKUP($F146,Productos!$A:$A,Productos!BN:BN,"Revisar"),"")</f>
        <v/>
      </c>
      <c r="BV146" s="179" t="str">
        <f t="array" ref="BV146">IF($F146&lt;&gt;"", XLOOKUP($F146,Productos!$A$2:$A1001,Productos!BO$2:BO1001,"")*$G146,"")</f>
        <v/>
      </c>
      <c r="BW146" s="179" t="str">
        <f t="array" ref="BW146">IF($F146&lt;&gt;"",XLOOKUP($F146,Productos!$A:$A,Productos!BP:BP,"Revisar"),"")</f>
        <v/>
      </c>
      <c r="BX146" s="179" t="str">
        <f t="array" ref="BX146">IF($F146&lt;&gt;"", XLOOKUP($F146,Productos!$A$2:$A1001,Productos!BQ$2:BQ1001,"")*$G146,"")</f>
        <v/>
      </c>
      <c r="BY146" s="179" t="str">
        <f t="array" ref="BY146">IF($F146&lt;&gt;"",XLOOKUP($F146,Productos!$A:$A,Productos!BR:BR,"Revisar"),"")</f>
        <v/>
      </c>
      <c r="BZ146" s="179" t="str">
        <f t="array" ref="BZ146">IF($F146&lt;&gt;"", XLOOKUP($F146,Productos!$A$2:$A1001,Productos!BS$2:BS1001,"")*$G146,"")</f>
        <v/>
      </c>
    </row>
    <row r="147">
      <c r="A147" s="180"/>
      <c r="B147" s="181"/>
      <c r="C147" s="182"/>
      <c r="D147" s="182"/>
      <c r="E147" s="185"/>
      <c r="F147" s="186"/>
      <c r="G147" s="187"/>
      <c r="H147" s="186"/>
      <c r="I147" s="179" t="str">
        <f t="array" ref="I147">IF($F147&lt;&gt;"",XLOOKUP($F147,Productos!$A:$A,Productos!B:B,"Revisar"),"")</f>
        <v/>
      </c>
      <c r="J147" s="179" t="str">
        <f t="array" ref="J147">IF($F147&lt;&gt;"", XLOOKUP($F147,Productos!$A$2:$A1001,Productos!C$2:C1001,"")*$G147,"")</f>
        <v/>
      </c>
      <c r="K147" s="179" t="str">
        <f t="array" ref="K147">IF($F147&lt;&gt;"",XLOOKUP($F147,Productos!$A:$A,Productos!D:D,"Revisar"),"")</f>
        <v/>
      </c>
      <c r="L147" s="179" t="str">
        <f t="array" ref="L147">IF($F147&lt;&gt;"", XLOOKUP($F147,Productos!$A$2:$A1001,Productos!E$2:E1001,"")*$G147,"")</f>
        <v/>
      </c>
      <c r="M147" s="179" t="str">
        <f t="array" ref="M147">IF($F147&lt;&gt;"",XLOOKUP($F147,Productos!$A:$A,Productos!F:F,"Revisar"),"")</f>
        <v/>
      </c>
      <c r="N147" s="179" t="str">
        <f t="array" ref="N147">IF($F147&lt;&gt;"", XLOOKUP($F147,Productos!$A$2:$A1001,Productos!G$2:G1001,"")*$G147,"")</f>
        <v/>
      </c>
      <c r="O147" s="179" t="str">
        <f t="array" ref="O147">IF($F147&lt;&gt;"",XLOOKUP($F147,Productos!$A:$A,Productos!H:H,"Revisar"),"")</f>
        <v/>
      </c>
      <c r="P147" s="179" t="str">
        <f t="array" ref="P147">IF($F147&lt;&gt;"", XLOOKUP($F147,Productos!$A$2:$A1001,Productos!I$2:I1001,"")*$G147,"")</f>
        <v/>
      </c>
      <c r="Q147" s="179" t="str">
        <f t="array" ref="Q147">IF($F147&lt;&gt;"",XLOOKUP($F147,Productos!$A:$A,Productos!J:J,"Revisar"),"")</f>
        <v/>
      </c>
      <c r="R147" s="179" t="str">
        <f t="array" ref="R147">IF($F147&lt;&gt;"", XLOOKUP($F147,Productos!$A$2:$A1001,Productos!K$2:K1001,"")*$G147,"")</f>
        <v/>
      </c>
      <c r="S147" s="179" t="str">
        <f t="array" ref="S147">IF($F147&lt;&gt;"",XLOOKUP($F147,Productos!$A:$A,Productos!L:L,"Revisar"),"")</f>
        <v/>
      </c>
      <c r="T147" s="179" t="str">
        <f t="array" ref="T147">IF($F147&lt;&gt;"", XLOOKUP($F147,Productos!$A$2:$A1001,Productos!M$2:M1001,"")*$G147,"")</f>
        <v/>
      </c>
      <c r="U147" s="179" t="str">
        <f t="array" ref="U147">IF($F147&lt;&gt;"",XLOOKUP($F147,Productos!$A:$A,Productos!N:N,"Revisar"),"")</f>
        <v/>
      </c>
      <c r="V147" s="179" t="str">
        <f t="array" ref="V147">IF($F147&lt;&gt;"", XLOOKUP($F147,Productos!$A$2:$A1001,Productos!O$2:O1001,"")*$G147,"")</f>
        <v/>
      </c>
      <c r="W147" s="179" t="str">
        <f t="array" ref="W147">IF($F147&lt;&gt;"",XLOOKUP($F147,Productos!$A:$A,Productos!P:P,"Revisar"),"")</f>
        <v/>
      </c>
      <c r="X147" s="179" t="str">
        <f t="array" ref="X147">IF($F147&lt;&gt;"", XLOOKUP($F147,Productos!$A$2:$A1001,Productos!Q$2:Q1001,"")*$G147,"")</f>
        <v/>
      </c>
      <c r="Y147" s="179" t="str">
        <f t="array" ref="Y147">IF($F147&lt;&gt;"",XLOOKUP($F147,Productos!$A:$A,Productos!R:R,"Revisar"),"")</f>
        <v/>
      </c>
      <c r="Z147" s="179" t="str">
        <f t="array" ref="Z147">IF($F147&lt;&gt;"", XLOOKUP($F147,Productos!$A$2:$A1001,Productos!S$2:S1001,"")*$G147,"")</f>
        <v/>
      </c>
      <c r="AA147" s="179" t="str">
        <f t="array" ref="AA147">IF($F147&lt;&gt;"",XLOOKUP($F147,Productos!$A:$A,Productos!T:T,"Revisar"),"")</f>
        <v/>
      </c>
      <c r="AB147" s="179" t="str">
        <f t="array" ref="AB147">IF($F147&lt;&gt;"", XLOOKUP($F147,Productos!$A$2:$A1001,Productos!U$2:U1001,"")*$G147,"")</f>
        <v/>
      </c>
      <c r="AC147" s="179" t="str">
        <f t="array" ref="AC147">IF($F147&lt;&gt;"",XLOOKUP($F147,Productos!$A:$A,Productos!V:V,"Revisar"),"")</f>
        <v/>
      </c>
      <c r="AD147" s="179" t="str">
        <f t="array" ref="AD147">IF($F147&lt;&gt;"", XLOOKUP($F147,Productos!$A$2:$A1001,Productos!W$2:W1001,"")*$G147,"")</f>
        <v/>
      </c>
      <c r="AE147" s="179" t="str">
        <f t="array" ref="AE147">IF($F147&lt;&gt;"",XLOOKUP($F147,Productos!$A:$A,Productos!X:X,"Revisar"),"")</f>
        <v/>
      </c>
      <c r="AF147" s="179" t="str">
        <f t="array" ref="AF147">IF($F147&lt;&gt;"", XLOOKUP($F147,Productos!$A$2:$A1001,Productos!Y$2:Y1001,"")*$G147,"")</f>
        <v/>
      </c>
      <c r="AG147" s="179" t="str">
        <f t="array" ref="AG147">IF($F147&lt;&gt;"",XLOOKUP($F147,Productos!$A:$A,Productos!Z:Z,"Revisar"),"")</f>
        <v/>
      </c>
      <c r="AH147" s="179" t="str">
        <f t="array" ref="AH147">IF($F147&lt;&gt;"", XLOOKUP($F147,Productos!$A$2:$A1001,Productos!AA$2:AA1001,"")*$G147,"")</f>
        <v/>
      </c>
      <c r="AI147" s="179" t="str">
        <f t="array" ref="AI147">IF($F147&lt;&gt;"",XLOOKUP($F147,Productos!$A:$A,Productos!AB:AB,"Revisar"),"")</f>
        <v/>
      </c>
      <c r="AJ147" s="179" t="str">
        <f t="array" ref="AJ147">IF($F147&lt;&gt;"", XLOOKUP($F147,Productos!$A$2:$A1001,Productos!AC$2:AC1001,"")*$G147,"")</f>
        <v/>
      </c>
      <c r="AK147" s="179" t="str">
        <f t="array" ref="AK147">IF($F147&lt;&gt;"",XLOOKUP($F147,Productos!$A:$A,Productos!AD:AD,"Revisar"),"")</f>
        <v/>
      </c>
      <c r="AL147" s="179" t="str">
        <f t="array" ref="AL147">IF($F147&lt;&gt;"", XLOOKUP($F147,Productos!$A$2:$A1001,Productos!AE$2:AE1001,"")*$G147,"")</f>
        <v/>
      </c>
      <c r="AM147" s="179" t="str">
        <f t="array" ref="AM147">IF($F147&lt;&gt;"",XLOOKUP($F147,Productos!$A:$A,Productos!AF:AF,"Revisar"),"")</f>
        <v/>
      </c>
      <c r="AN147" s="179" t="str">
        <f t="array" ref="AN147">IF($F147&lt;&gt;"", XLOOKUP($F147,Productos!$A$2:$A1001,Productos!AG$2:AG1001,"")*$G147,"")</f>
        <v/>
      </c>
      <c r="AO147" s="179" t="str">
        <f t="array" ref="AO147">IF($F147&lt;&gt;"",XLOOKUP($F147,Productos!$A:$A,Productos!AH:AH,"Revisar"),"")</f>
        <v/>
      </c>
      <c r="AP147" s="179" t="str">
        <f t="array" ref="AP147">IF($F147&lt;&gt;"", XLOOKUP($F147,Productos!$A$2:$A1001,Productos!AI$2:AI1001,"")*$G147,"")</f>
        <v/>
      </c>
      <c r="AQ147" s="179" t="str">
        <f t="array" ref="AQ147">IF($F147&lt;&gt;"",XLOOKUP($F147,Productos!$A:$A,Productos!AJ:AJ,"Revisar"),"")</f>
        <v/>
      </c>
      <c r="AR147" s="179" t="str">
        <f t="array" ref="AR147">IF($F147&lt;&gt;"", XLOOKUP($F147,Productos!$A$2:$A1001,Productos!AK$2:AK1001,"")*$G147,"")</f>
        <v/>
      </c>
      <c r="AS147" s="179" t="str">
        <f t="array" ref="AS147">IF($F147&lt;&gt;"",XLOOKUP($F147,Productos!$A:$A,Productos!AL:AL,"Revisar"),"")</f>
        <v/>
      </c>
      <c r="AT147" s="179" t="str">
        <f t="array" ref="AT147">IF($F147&lt;&gt;"", XLOOKUP($F147,Productos!$A$2:$A1001,Productos!AM$2:AM1001,"")*$G147,"")</f>
        <v/>
      </c>
      <c r="AU147" s="179" t="str">
        <f t="array" ref="AU147">IF($F147&lt;&gt;"",XLOOKUP($F147,Productos!$A:$A,Productos!AN:AN,"Revisar"),"")</f>
        <v/>
      </c>
      <c r="AV147" s="179" t="str">
        <f t="array" ref="AV147">IF($F147&lt;&gt;"", XLOOKUP($F147,Productos!$A$2:$A1001,Productos!AO$2:AO1001,"")*$G147,"")</f>
        <v/>
      </c>
      <c r="AW147" s="179" t="str">
        <f t="array" ref="AW147">IF($F147&lt;&gt;"",XLOOKUP($F147,Productos!$A:$A,Productos!AP:AP,"Revisar"),"")</f>
        <v/>
      </c>
      <c r="AX147" s="179" t="str">
        <f t="array" ref="AX147">IF($F147&lt;&gt;"", XLOOKUP($F147,Productos!$A$2:$A1001,Productos!AQ$2:AQ1001,"")*$G147,"")</f>
        <v/>
      </c>
      <c r="AY147" s="179" t="str">
        <f t="array" ref="AY147">IF($F147&lt;&gt;"",XLOOKUP($F147,Productos!$A:$A,Productos!AR:AR,"Revisar"),"")</f>
        <v/>
      </c>
      <c r="AZ147" s="179" t="str">
        <f t="array" ref="AZ147">IF($F147&lt;&gt;"", XLOOKUP($F147,Productos!$A$2:$A1001,Productos!AS$2:AS1001,"")*$G147,"")</f>
        <v/>
      </c>
      <c r="BA147" s="179" t="str">
        <f t="array" ref="BA147">IF($F147&lt;&gt;"",XLOOKUP($F147,Productos!$A:$A,Productos!AT:AT,"Revisar"),"")</f>
        <v/>
      </c>
      <c r="BB147" s="179" t="str">
        <f t="array" ref="BB147">IF($F147&lt;&gt;"", XLOOKUP($F147,Productos!$A$2:$A1001,Productos!AU$2:AU1001,"")*$G147,"")</f>
        <v/>
      </c>
      <c r="BC147" s="179" t="str">
        <f t="array" ref="BC147">IF($F147&lt;&gt;"",XLOOKUP($F147,Productos!$A:$A,Productos!AV:AV,"Revisar"),"")</f>
        <v/>
      </c>
      <c r="BD147" s="179" t="str">
        <f t="array" ref="BD147">IF($F147&lt;&gt;"", XLOOKUP($F147,Productos!$A$2:$A1001,Productos!AW$2:AW1001,"")*$G147,"")</f>
        <v/>
      </c>
      <c r="BE147" s="179" t="str">
        <f t="array" ref="BE147">IF($F147&lt;&gt;"",XLOOKUP($F147,Productos!$A:$A,Productos!AX:AX,"Revisar"),"")</f>
        <v/>
      </c>
      <c r="BF147" s="179" t="str">
        <f t="array" ref="BF147">IF($F147&lt;&gt;"", XLOOKUP($F147,Productos!$A$2:$A1001,Productos!AY$2:AY1001,"")*$G147,"")</f>
        <v/>
      </c>
      <c r="BG147" s="179" t="str">
        <f t="array" ref="BG147">IF($F147&lt;&gt;"",XLOOKUP($F147,Productos!$A:$A,Productos!AZ:AZ,"Revisar"),"")</f>
        <v/>
      </c>
      <c r="BH147" s="179" t="str">
        <f t="array" ref="BH147">IF($F147&lt;&gt;"", XLOOKUP($F147,Productos!$A$2:$A1001,Productos!BA$2:BA1001,"")*$G147,"")</f>
        <v/>
      </c>
      <c r="BI147" s="179" t="str">
        <f t="array" ref="BI147">IF($F147&lt;&gt;"",XLOOKUP($F147,Productos!$A:$A,Productos!BB:BB,"Revisar"),"")</f>
        <v/>
      </c>
      <c r="BJ147" s="179" t="str">
        <f t="array" ref="BJ147">IF($F147&lt;&gt;"", XLOOKUP($F147,Productos!$A$2:$A1001,Productos!BC$2:BC1001,"")*$G147,"")</f>
        <v/>
      </c>
      <c r="BK147" s="179" t="str">
        <f t="array" ref="BK147">IF($F147&lt;&gt;"",XLOOKUP($F147,Productos!$A:$A,Productos!BD:BD,"Revisar"),"")</f>
        <v/>
      </c>
      <c r="BL147" s="179" t="str">
        <f t="array" ref="BL147">IF($F147&lt;&gt;"", XLOOKUP($F147,Productos!$A$2:$A1001,Productos!BE$2:BE1001,"")*$G147,"")</f>
        <v/>
      </c>
      <c r="BM147" s="179" t="str">
        <f t="array" ref="BM147">IF($F147&lt;&gt;"",XLOOKUP($F147,Productos!$A:$A,Productos!BF:BF,"Revisar"),"")</f>
        <v/>
      </c>
      <c r="BN147" s="179" t="str">
        <f t="array" ref="BN147">IF($F147&lt;&gt;"", XLOOKUP($F147,Productos!$A$2:$A1001,Productos!BG$2:BG1001,"")*$G147,"")</f>
        <v/>
      </c>
      <c r="BO147" s="179" t="str">
        <f t="array" ref="BO147">IF($F147&lt;&gt;"",XLOOKUP($F147,Productos!$A:$A,Productos!BH:BH,"Revisar"),"")</f>
        <v/>
      </c>
      <c r="BP147" s="179" t="str">
        <f t="array" ref="BP147">IF($F147&lt;&gt;"", XLOOKUP($F147,Productos!$A$2:$A1001,Productos!BI$2:BI1001,"")*$G147,"")</f>
        <v/>
      </c>
      <c r="BQ147" s="179" t="str">
        <f t="array" ref="BQ147">IF($F147&lt;&gt;"",XLOOKUP($F147,Productos!$A:$A,Productos!BJ:BJ,"Revisar"),"")</f>
        <v/>
      </c>
      <c r="BR147" s="179" t="str">
        <f t="array" ref="BR147">IF($F147&lt;&gt;"", XLOOKUP($F147,Productos!$A$2:$A1001,Productos!BK$2:BK1001,"")*$G147,"")</f>
        <v/>
      </c>
      <c r="BS147" s="179" t="str">
        <f t="array" ref="BS147">IF($F147&lt;&gt;"",XLOOKUP($F147,Productos!$A:$A,Productos!BL:BL,"Revisar"),"")</f>
        <v/>
      </c>
      <c r="BT147" s="179" t="str">
        <f t="array" ref="BT147">IF($F147&lt;&gt;"", XLOOKUP($F147,Productos!$A$2:$A1001,Productos!BM$2:BM1001,"")*$G147,"")</f>
        <v/>
      </c>
      <c r="BU147" s="179" t="str">
        <f t="array" ref="BU147">IF($F147&lt;&gt;"",XLOOKUP($F147,Productos!$A:$A,Productos!BN:BN,"Revisar"),"")</f>
        <v/>
      </c>
      <c r="BV147" s="179" t="str">
        <f t="array" ref="BV147">IF($F147&lt;&gt;"", XLOOKUP($F147,Productos!$A$2:$A1001,Productos!BO$2:BO1001,"")*$G147,"")</f>
        <v/>
      </c>
      <c r="BW147" s="179" t="str">
        <f t="array" ref="BW147">IF($F147&lt;&gt;"",XLOOKUP($F147,Productos!$A:$A,Productos!BP:BP,"Revisar"),"")</f>
        <v/>
      </c>
      <c r="BX147" s="179" t="str">
        <f t="array" ref="BX147">IF($F147&lt;&gt;"", XLOOKUP($F147,Productos!$A$2:$A1001,Productos!BQ$2:BQ1001,"")*$G147,"")</f>
        <v/>
      </c>
      <c r="BY147" s="179" t="str">
        <f t="array" ref="BY147">IF($F147&lt;&gt;"",XLOOKUP($F147,Productos!$A:$A,Productos!BR:BR,"Revisar"),"")</f>
        <v/>
      </c>
      <c r="BZ147" s="179" t="str">
        <f t="array" ref="BZ147">IF($F147&lt;&gt;"", XLOOKUP($F147,Productos!$A$2:$A1001,Productos!BS$2:BS1001,"")*$G147,"")</f>
        <v/>
      </c>
    </row>
    <row r="148">
      <c r="A148" s="180"/>
      <c r="B148" s="181"/>
      <c r="C148" s="182"/>
      <c r="D148" s="182"/>
      <c r="E148" s="185"/>
      <c r="F148" s="186"/>
      <c r="G148" s="187"/>
      <c r="H148" s="186"/>
      <c r="I148" s="179" t="str">
        <f t="array" ref="I148">IF($F148&lt;&gt;"",XLOOKUP($F148,Productos!$A:$A,Productos!B:B,"Revisar"),"")</f>
        <v/>
      </c>
      <c r="J148" s="179" t="str">
        <f t="array" ref="J148">IF($F148&lt;&gt;"", XLOOKUP($F148,Productos!$A$2:$A1001,Productos!C$2:C1001,"")*$G148,"")</f>
        <v/>
      </c>
      <c r="K148" s="179" t="str">
        <f t="array" ref="K148">IF($F148&lt;&gt;"",XLOOKUP($F148,Productos!$A:$A,Productos!D:D,"Revisar"),"")</f>
        <v/>
      </c>
      <c r="L148" s="179" t="str">
        <f t="array" ref="L148">IF($F148&lt;&gt;"", XLOOKUP($F148,Productos!$A$2:$A1001,Productos!E$2:E1001,"")*$G148,"")</f>
        <v/>
      </c>
      <c r="M148" s="179" t="str">
        <f t="array" ref="M148">IF($F148&lt;&gt;"",XLOOKUP($F148,Productos!$A:$A,Productos!F:F,"Revisar"),"")</f>
        <v/>
      </c>
      <c r="N148" s="179" t="str">
        <f t="array" ref="N148">IF($F148&lt;&gt;"", XLOOKUP($F148,Productos!$A$2:$A1001,Productos!G$2:G1001,"")*$G148,"")</f>
        <v/>
      </c>
      <c r="O148" s="179" t="str">
        <f t="array" ref="O148">IF($F148&lt;&gt;"",XLOOKUP($F148,Productos!$A:$A,Productos!H:H,"Revisar"),"")</f>
        <v/>
      </c>
      <c r="P148" s="179" t="str">
        <f t="array" ref="P148">IF($F148&lt;&gt;"", XLOOKUP($F148,Productos!$A$2:$A1001,Productos!I$2:I1001,"")*$G148,"")</f>
        <v/>
      </c>
      <c r="Q148" s="179" t="str">
        <f t="array" ref="Q148">IF($F148&lt;&gt;"",XLOOKUP($F148,Productos!$A:$A,Productos!J:J,"Revisar"),"")</f>
        <v/>
      </c>
      <c r="R148" s="179" t="str">
        <f t="array" ref="R148">IF($F148&lt;&gt;"", XLOOKUP($F148,Productos!$A$2:$A1001,Productos!K$2:K1001,"")*$G148,"")</f>
        <v/>
      </c>
      <c r="S148" s="179" t="str">
        <f t="array" ref="S148">IF($F148&lt;&gt;"",XLOOKUP($F148,Productos!$A:$A,Productos!L:L,"Revisar"),"")</f>
        <v/>
      </c>
      <c r="T148" s="179" t="str">
        <f t="array" ref="T148">IF($F148&lt;&gt;"", XLOOKUP($F148,Productos!$A$2:$A1001,Productos!M$2:M1001,"")*$G148,"")</f>
        <v/>
      </c>
      <c r="U148" s="179" t="str">
        <f t="array" ref="U148">IF($F148&lt;&gt;"",XLOOKUP($F148,Productos!$A:$A,Productos!N:N,"Revisar"),"")</f>
        <v/>
      </c>
      <c r="V148" s="179" t="str">
        <f t="array" ref="V148">IF($F148&lt;&gt;"", XLOOKUP($F148,Productos!$A$2:$A1001,Productos!O$2:O1001,"")*$G148,"")</f>
        <v/>
      </c>
      <c r="W148" s="179" t="str">
        <f t="array" ref="W148">IF($F148&lt;&gt;"",XLOOKUP($F148,Productos!$A:$A,Productos!P:P,"Revisar"),"")</f>
        <v/>
      </c>
      <c r="X148" s="179" t="str">
        <f t="array" ref="X148">IF($F148&lt;&gt;"", XLOOKUP($F148,Productos!$A$2:$A1001,Productos!Q$2:Q1001,"")*$G148,"")</f>
        <v/>
      </c>
      <c r="Y148" s="179" t="str">
        <f t="array" ref="Y148">IF($F148&lt;&gt;"",XLOOKUP($F148,Productos!$A:$A,Productos!R:R,"Revisar"),"")</f>
        <v/>
      </c>
      <c r="Z148" s="179" t="str">
        <f t="array" ref="Z148">IF($F148&lt;&gt;"", XLOOKUP($F148,Productos!$A$2:$A1001,Productos!S$2:S1001,"")*$G148,"")</f>
        <v/>
      </c>
      <c r="AA148" s="179" t="str">
        <f t="array" ref="AA148">IF($F148&lt;&gt;"",XLOOKUP($F148,Productos!$A:$A,Productos!T:T,"Revisar"),"")</f>
        <v/>
      </c>
      <c r="AB148" s="179" t="str">
        <f t="array" ref="AB148">IF($F148&lt;&gt;"", XLOOKUP($F148,Productos!$A$2:$A1001,Productos!U$2:U1001,"")*$G148,"")</f>
        <v/>
      </c>
      <c r="AC148" s="179" t="str">
        <f t="array" ref="AC148">IF($F148&lt;&gt;"",XLOOKUP($F148,Productos!$A:$A,Productos!V:V,"Revisar"),"")</f>
        <v/>
      </c>
      <c r="AD148" s="179" t="str">
        <f t="array" ref="AD148">IF($F148&lt;&gt;"", XLOOKUP($F148,Productos!$A$2:$A1001,Productos!W$2:W1001,"")*$G148,"")</f>
        <v/>
      </c>
      <c r="AE148" s="179" t="str">
        <f t="array" ref="AE148">IF($F148&lt;&gt;"",XLOOKUP($F148,Productos!$A:$A,Productos!X:X,"Revisar"),"")</f>
        <v/>
      </c>
      <c r="AF148" s="179" t="str">
        <f t="array" ref="AF148">IF($F148&lt;&gt;"", XLOOKUP($F148,Productos!$A$2:$A1001,Productos!Y$2:Y1001,"")*$G148,"")</f>
        <v/>
      </c>
      <c r="AG148" s="179" t="str">
        <f t="array" ref="AG148">IF($F148&lt;&gt;"",XLOOKUP($F148,Productos!$A:$A,Productos!Z:Z,"Revisar"),"")</f>
        <v/>
      </c>
      <c r="AH148" s="179" t="str">
        <f t="array" ref="AH148">IF($F148&lt;&gt;"", XLOOKUP($F148,Productos!$A$2:$A1001,Productos!AA$2:AA1001,"")*$G148,"")</f>
        <v/>
      </c>
      <c r="AI148" s="179" t="str">
        <f t="array" ref="AI148">IF($F148&lt;&gt;"",XLOOKUP($F148,Productos!$A:$A,Productos!AB:AB,"Revisar"),"")</f>
        <v/>
      </c>
      <c r="AJ148" s="179" t="str">
        <f t="array" ref="AJ148">IF($F148&lt;&gt;"", XLOOKUP($F148,Productos!$A$2:$A1001,Productos!AC$2:AC1001,"")*$G148,"")</f>
        <v/>
      </c>
      <c r="AK148" s="179" t="str">
        <f t="array" ref="AK148">IF($F148&lt;&gt;"",XLOOKUP($F148,Productos!$A:$A,Productos!AD:AD,"Revisar"),"")</f>
        <v/>
      </c>
      <c r="AL148" s="179" t="str">
        <f t="array" ref="AL148">IF($F148&lt;&gt;"", XLOOKUP($F148,Productos!$A$2:$A1001,Productos!AE$2:AE1001,"")*$G148,"")</f>
        <v/>
      </c>
      <c r="AM148" s="179" t="str">
        <f t="array" ref="AM148">IF($F148&lt;&gt;"",XLOOKUP($F148,Productos!$A:$A,Productos!AF:AF,"Revisar"),"")</f>
        <v/>
      </c>
      <c r="AN148" s="179" t="str">
        <f t="array" ref="AN148">IF($F148&lt;&gt;"", XLOOKUP($F148,Productos!$A$2:$A1001,Productos!AG$2:AG1001,"")*$G148,"")</f>
        <v/>
      </c>
      <c r="AO148" s="179" t="str">
        <f t="array" ref="AO148">IF($F148&lt;&gt;"",XLOOKUP($F148,Productos!$A:$A,Productos!AH:AH,"Revisar"),"")</f>
        <v/>
      </c>
      <c r="AP148" s="179" t="str">
        <f t="array" ref="AP148">IF($F148&lt;&gt;"", XLOOKUP($F148,Productos!$A$2:$A1001,Productos!AI$2:AI1001,"")*$G148,"")</f>
        <v/>
      </c>
      <c r="AQ148" s="179" t="str">
        <f t="array" ref="AQ148">IF($F148&lt;&gt;"",XLOOKUP($F148,Productos!$A:$A,Productos!AJ:AJ,"Revisar"),"")</f>
        <v/>
      </c>
      <c r="AR148" s="179" t="str">
        <f t="array" ref="AR148">IF($F148&lt;&gt;"", XLOOKUP($F148,Productos!$A$2:$A1001,Productos!AK$2:AK1001,"")*$G148,"")</f>
        <v/>
      </c>
      <c r="AS148" s="179" t="str">
        <f t="array" ref="AS148">IF($F148&lt;&gt;"",XLOOKUP($F148,Productos!$A:$A,Productos!AL:AL,"Revisar"),"")</f>
        <v/>
      </c>
      <c r="AT148" s="179" t="str">
        <f t="array" ref="AT148">IF($F148&lt;&gt;"", XLOOKUP($F148,Productos!$A$2:$A1001,Productos!AM$2:AM1001,"")*$G148,"")</f>
        <v/>
      </c>
      <c r="AU148" s="179" t="str">
        <f t="array" ref="AU148">IF($F148&lt;&gt;"",XLOOKUP($F148,Productos!$A:$A,Productos!AN:AN,"Revisar"),"")</f>
        <v/>
      </c>
      <c r="AV148" s="179" t="str">
        <f t="array" ref="AV148">IF($F148&lt;&gt;"", XLOOKUP($F148,Productos!$A$2:$A1001,Productos!AO$2:AO1001,"")*$G148,"")</f>
        <v/>
      </c>
      <c r="AW148" s="179" t="str">
        <f t="array" ref="AW148">IF($F148&lt;&gt;"",XLOOKUP($F148,Productos!$A:$A,Productos!AP:AP,"Revisar"),"")</f>
        <v/>
      </c>
      <c r="AX148" s="179" t="str">
        <f t="array" ref="AX148">IF($F148&lt;&gt;"", XLOOKUP($F148,Productos!$A$2:$A1001,Productos!AQ$2:AQ1001,"")*$G148,"")</f>
        <v/>
      </c>
      <c r="AY148" s="179" t="str">
        <f t="array" ref="AY148">IF($F148&lt;&gt;"",XLOOKUP($F148,Productos!$A:$A,Productos!AR:AR,"Revisar"),"")</f>
        <v/>
      </c>
      <c r="AZ148" s="179" t="str">
        <f t="array" ref="AZ148">IF($F148&lt;&gt;"", XLOOKUP($F148,Productos!$A$2:$A1001,Productos!AS$2:AS1001,"")*$G148,"")</f>
        <v/>
      </c>
      <c r="BA148" s="179" t="str">
        <f t="array" ref="BA148">IF($F148&lt;&gt;"",XLOOKUP($F148,Productos!$A:$A,Productos!AT:AT,"Revisar"),"")</f>
        <v/>
      </c>
      <c r="BB148" s="179" t="str">
        <f t="array" ref="BB148">IF($F148&lt;&gt;"", XLOOKUP($F148,Productos!$A$2:$A1001,Productos!AU$2:AU1001,"")*$G148,"")</f>
        <v/>
      </c>
      <c r="BC148" s="179" t="str">
        <f t="array" ref="BC148">IF($F148&lt;&gt;"",XLOOKUP($F148,Productos!$A:$A,Productos!AV:AV,"Revisar"),"")</f>
        <v/>
      </c>
      <c r="BD148" s="179" t="str">
        <f t="array" ref="BD148">IF($F148&lt;&gt;"", XLOOKUP($F148,Productos!$A$2:$A1001,Productos!AW$2:AW1001,"")*$G148,"")</f>
        <v/>
      </c>
      <c r="BE148" s="179" t="str">
        <f t="array" ref="BE148">IF($F148&lt;&gt;"",XLOOKUP($F148,Productos!$A:$A,Productos!AX:AX,"Revisar"),"")</f>
        <v/>
      </c>
      <c r="BF148" s="179" t="str">
        <f t="array" ref="BF148">IF($F148&lt;&gt;"", XLOOKUP($F148,Productos!$A$2:$A1001,Productos!AY$2:AY1001,"")*$G148,"")</f>
        <v/>
      </c>
      <c r="BG148" s="179" t="str">
        <f t="array" ref="BG148">IF($F148&lt;&gt;"",XLOOKUP($F148,Productos!$A:$A,Productos!AZ:AZ,"Revisar"),"")</f>
        <v/>
      </c>
      <c r="BH148" s="179" t="str">
        <f t="array" ref="BH148">IF($F148&lt;&gt;"", XLOOKUP($F148,Productos!$A$2:$A1001,Productos!BA$2:BA1001,"")*$G148,"")</f>
        <v/>
      </c>
      <c r="BI148" s="179" t="str">
        <f t="array" ref="BI148">IF($F148&lt;&gt;"",XLOOKUP($F148,Productos!$A:$A,Productos!BB:BB,"Revisar"),"")</f>
        <v/>
      </c>
      <c r="BJ148" s="179" t="str">
        <f t="array" ref="BJ148">IF($F148&lt;&gt;"", XLOOKUP($F148,Productos!$A$2:$A1001,Productos!BC$2:BC1001,"")*$G148,"")</f>
        <v/>
      </c>
      <c r="BK148" s="179" t="str">
        <f t="array" ref="BK148">IF($F148&lt;&gt;"",XLOOKUP($F148,Productos!$A:$A,Productos!BD:BD,"Revisar"),"")</f>
        <v/>
      </c>
      <c r="BL148" s="179" t="str">
        <f t="array" ref="BL148">IF($F148&lt;&gt;"", XLOOKUP($F148,Productos!$A$2:$A1001,Productos!BE$2:BE1001,"")*$G148,"")</f>
        <v/>
      </c>
      <c r="BM148" s="179" t="str">
        <f t="array" ref="BM148">IF($F148&lt;&gt;"",XLOOKUP($F148,Productos!$A:$A,Productos!BF:BF,"Revisar"),"")</f>
        <v/>
      </c>
      <c r="BN148" s="179" t="str">
        <f t="array" ref="BN148">IF($F148&lt;&gt;"", XLOOKUP($F148,Productos!$A$2:$A1001,Productos!BG$2:BG1001,"")*$G148,"")</f>
        <v/>
      </c>
      <c r="BO148" s="179" t="str">
        <f t="array" ref="BO148">IF($F148&lt;&gt;"",XLOOKUP($F148,Productos!$A:$A,Productos!BH:BH,"Revisar"),"")</f>
        <v/>
      </c>
      <c r="BP148" s="179" t="str">
        <f t="array" ref="BP148">IF($F148&lt;&gt;"", XLOOKUP($F148,Productos!$A$2:$A1001,Productos!BI$2:BI1001,"")*$G148,"")</f>
        <v/>
      </c>
      <c r="BQ148" s="179" t="str">
        <f t="array" ref="BQ148">IF($F148&lt;&gt;"",XLOOKUP($F148,Productos!$A:$A,Productos!BJ:BJ,"Revisar"),"")</f>
        <v/>
      </c>
      <c r="BR148" s="179" t="str">
        <f t="array" ref="BR148">IF($F148&lt;&gt;"", XLOOKUP($F148,Productos!$A$2:$A1001,Productos!BK$2:BK1001,"")*$G148,"")</f>
        <v/>
      </c>
      <c r="BS148" s="179" t="str">
        <f t="array" ref="BS148">IF($F148&lt;&gt;"",XLOOKUP($F148,Productos!$A:$A,Productos!BL:BL,"Revisar"),"")</f>
        <v/>
      </c>
      <c r="BT148" s="179" t="str">
        <f t="array" ref="BT148">IF($F148&lt;&gt;"", XLOOKUP($F148,Productos!$A$2:$A1001,Productos!BM$2:BM1001,"")*$G148,"")</f>
        <v/>
      </c>
      <c r="BU148" s="179" t="str">
        <f t="array" ref="BU148">IF($F148&lt;&gt;"",XLOOKUP($F148,Productos!$A:$A,Productos!BN:BN,"Revisar"),"")</f>
        <v/>
      </c>
      <c r="BV148" s="179" t="str">
        <f t="array" ref="BV148">IF($F148&lt;&gt;"", XLOOKUP($F148,Productos!$A$2:$A1001,Productos!BO$2:BO1001,"")*$G148,"")</f>
        <v/>
      </c>
      <c r="BW148" s="179" t="str">
        <f t="array" ref="BW148">IF($F148&lt;&gt;"",XLOOKUP($F148,Productos!$A:$A,Productos!BP:BP,"Revisar"),"")</f>
        <v/>
      </c>
      <c r="BX148" s="179" t="str">
        <f t="array" ref="BX148">IF($F148&lt;&gt;"", XLOOKUP($F148,Productos!$A$2:$A1001,Productos!BQ$2:BQ1001,"")*$G148,"")</f>
        <v/>
      </c>
      <c r="BY148" s="179" t="str">
        <f t="array" ref="BY148">IF($F148&lt;&gt;"",XLOOKUP($F148,Productos!$A:$A,Productos!BR:BR,"Revisar"),"")</f>
        <v/>
      </c>
      <c r="BZ148" s="179" t="str">
        <f t="array" ref="BZ148">IF($F148&lt;&gt;"", XLOOKUP($F148,Productos!$A$2:$A1001,Productos!BS$2:BS1001,"")*$G148,"")</f>
        <v/>
      </c>
    </row>
    <row r="149">
      <c r="A149" s="180"/>
      <c r="B149" s="181"/>
      <c r="C149" s="182"/>
      <c r="D149" s="182"/>
      <c r="E149" s="185"/>
      <c r="F149" s="186"/>
      <c r="G149" s="187"/>
      <c r="H149" s="186"/>
      <c r="I149" s="179" t="str">
        <f t="array" ref="I149">IF($F149&lt;&gt;"",XLOOKUP($F149,Productos!$A:$A,Productos!B:B,"Revisar"),"")</f>
        <v/>
      </c>
      <c r="J149" s="179" t="str">
        <f t="array" ref="J149">IF($F149&lt;&gt;"", XLOOKUP($F149,Productos!$A$2:$A1001,Productos!C$2:C1001,"")*$G149,"")</f>
        <v/>
      </c>
      <c r="K149" s="179" t="str">
        <f t="array" ref="K149">IF($F149&lt;&gt;"",XLOOKUP($F149,Productos!$A:$A,Productos!D:D,"Revisar"),"")</f>
        <v/>
      </c>
      <c r="L149" s="179" t="str">
        <f t="array" ref="L149">IF($F149&lt;&gt;"", XLOOKUP($F149,Productos!$A$2:$A1001,Productos!E$2:E1001,"")*$G149,"")</f>
        <v/>
      </c>
      <c r="M149" s="179" t="str">
        <f t="array" ref="M149">IF($F149&lt;&gt;"",XLOOKUP($F149,Productos!$A:$A,Productos!F:F,"Revisar"),"")</f>
        <v/>
      </c>
      <c r="N149" s="179" t="str">
        <f t="array" ref="N149">IF($F149&lt;&gt;"", XLOOKUP($F149,Productos!$A$2:$A1001,Productos!G$2:G1001,"")*$G149,"")</f>
        <v/>
      </c>
      <c r="O149" s="179" t="str">
        <f t="array" ref="O149">IF($F149&lt;&gt;"",XLOOKUP($F149,Productos!$A:$A,Productos!H:H,"Revisar"),"")</f>
        <v/>
      </c>
      <c r="P149" s="179" t="str">
        <f t="array" ref="P149">IF($F149&lt;&gt;"", XLOOKUP($F149,Productos!$A$2:$A1001,Productos!I$2:I1001,"")*$G149,"")</f>
        <v/>
      </c>
      <c r="Q149" s="179" t="str">
        <f t="array" ref="Q149">IF($F149&lt;&gt;"",XLOOKUP($F149,Productos!$A:$A,Productos!J:J,"Revisar"),"")</f>
        <v/>
      </c>
      <c r="R149" s="179" t="str">
        <f t="array" ref="R149">IF($F149&lt;&gt;"", XLOOKUP($F149,Productos!$A$2:$A1001,Productos!K$2:K1001,"")*$G149,"")</f>
        <v/>
      </c>
      <c r="S149" s="179" t="str">
        <f t="array" ref="S149">IF($F149&lt;&gt;"",XLOOKUP($F149,Productos!$A:$A,Productos!L:L,"Revisar"),"")</f>
        <v/>
      </c>
      <c r="T149" s="179" t="str">
        <f t="array" ref="T149">IF($F149&lt;&gt;"", XLOOKUP($F149,Productos!$A$2:$A1001,Productos!M$2:M1001,"")*$G149,"")</f>
        <v/>
      </c>
      <c r="U149" s="179" t="str">
        <f t="array" ref="U149">IF($F149&lt;&gt;"",XLOOKUP($F149,Productos!$A:$A,Productos!N:N,"Revisar"),"")</f>
        <v/>
      </c>
      <c r="V149" s="179" t="str">
        <f t="array" ref="V149">IF($F149&lt;&gt;"", XLOOKUP($F149,Productos!$A$2:$A1001,Productos!O$2:O1001,"")*$G149,"")</f>
        <v/>
      </c>
      <c r="W149" s="179" t="str">
        <f t="array" ref="W149">IF($F149&lt;&gt;"",XLOOKUP($F149,Productos!$A:$A,Productos!P:P,"Revisar"),"")</f>
        <v/>
      </c>
      <c r="X149" s="179" t="str">
        <f t="array" ref="X149">IF($F149&lt;&gt;"", XLOOKUP($F149,Productos!$A$2:$A1001,Productos!Q$2:Q1001,"")*$G149,"")</f>
        <v/>
      </c>
      <c r="Y149" s="179" t="str">
        <f t="array" ref="Y149">IF($F149&lt;&gt;"",XLOOKUP($F149,Productos!$A:$A,Productos!R:R,"Revisar"),"")</f>
        <v/>
      </c>
      <c r="Z149" s="179" t="str">
        <f t="array" ref="Z149">IF($F149&lt;&gt;"", XLOOKUP($F149,Productos!$A$2:$A1001,Productos!S$2:S1001,"")*$G149,"")</f>
        <v/>
      </c>
      <c r="AA149" s="179" t="str">
        <f t="array" ref="AA149">IF($F149&lt;&gt;"",XLOOKUP($F149,Productos!$A:$A,Productos!T:T,"Revisar"),"")</f>
        <v/>
      </c>
      <c r="AB149" s="179" t="str">
        <f t="array" ref="AB149">IF($F149&lt;&gt;"", XLOOKUP($F149,Productos!$A$2:$A1001,Productos!U$2:U1001,"")*$G149,"")</f>
        <v/>
      </c>
      <c r="AC149" s="179" t="str">
        <f t="array" ref="AC149">IF($F149&lt;&gt;"",XLOOKUP($F149,Productos!$A:$A,Productos!V:V,"Revisar"),"")</f>
        <v/>
      </c>
      <c r="AD149" s="179" t="str">
        <f t="array" ref="AD149">IF($F149&lt;&gt;"", XLOOKUP($F149,Productos!$A$2:$A1001,Productos!W$2:W1001,"")*$G149,"")</f>
        <v/>
      </c>
      <c r="AE149" s="179" t="str">
        <f t="array" ref="AE149">IF($F149&lt;&gt;"",XLOOKUP($F149,Productos!$A:$A,Productos!X:X,"Revisar"),"")</f>
        <v/>
      </c>
      <c r="AF149" s="179" t="str">
        <f t="array" ref="AF149">IF($F149&lt;&gt;"", XLOOKUP($F149,Productos!$A$2:$A1001,Productos!Y$2:Y1001,"")*$G149,"")</f>
        <v/>
      </c>
      <c r="AG149" s="179" t="str">
        <f t="array" ref="AG149">IF($F149&lt;&gt;"",XLOOKUP($F149,Productos!$A:$A,Productos!Z:Z,"Revisar"),"")</f>
        <v/>
      </c>
      <c r="AH149" s="179" t="str">
        <f t="array" ref="AH149">IF($F149&lt;&gt;"", XLOOKUP($F149,Productos!$A$2:$A1001,Productos!AA$2:AA1001,"")*$G149,"")</f>
        <v/>
      </c>
      <c r="AI149" s="179" t="str">
        <f t="array" ref="AI149">IF($F149&lt;&gt;"",XLOOKUP($F149,Productos!$A:$A,Productos!AB:AB,"Revisar"),"")</f>
        <v/>
      </c>
      <c r="AJ149" s="179" t="str">
        <f t="array" ref="AJ149">IF($F149&lt;&gt;"", XLOOKUP($F149,Productos!$A$2:$A1001,Productos!AC$2:AC1001,"")*$G149,"")</f>
        <v/>
      </c>
      <c r="AK149" s="179" t="str">
        <f t="array" ref="AK149">IF($F149&lt;&gt;"",XLOOKUP($F149,Productos!$A:$A,Productos!AD:AD,"Revisar"),"")</f>
        <v/>
      </c>
      <c r="AL149" s="179" t="str">
        <f t="array" ref="AL149">IF($F149&lt;&gt;"", XLOOKUP($F149,Productos!$A$2:$A1001,Productos!AE$2:AE1001,"")*$G149,"")</f>
        <v/>
      </c>
      <c r="AM149" s="179" t="str">
        <f t="array" ref="AM149">IF($F149&lt;&gt;"",XLOOKUP($F149,Productos!$A:$A,Productos!AF:AF,"Revisar"),"")</f>
        <v/>
      </c>
      <c r="AN149" s="179" t="str">
        <f t="array" ref="AN149">IF($F149&lt;&gt;"", XLOOKUP($F149,Productos!$A$2:$A1001,Productos!AG$2:AG1001,"")*$G149,"")</f>
        <v/>
      </c>
      <c r="AO149" s="179" t="str">
        <f t="array" ref="AO149">IF($F149&lt;&gt;"",XLOOKUP($F149,Productos!$A:$A,Productos!AH:AH,"Revisar"),"")</f>
        <v/>
      </c>
      <c r="AP149" s="179" t="str">
        <f t="array" ref="AP149">IF($F149&lt;&gt;"", XLOOKUP($F149,Productos!$A$2:$A1001,Productos!AI$2:AI1001,"")*$G149,"")</f>
        <v/>
      </c>
      <c r="AQ149" s="179" t="str">
        <f t="array" ref="AQ149">IF($F149&lt;&gt;"",XLOOKUP($F149,Productos!$A:$A,Productos!AJ:AJ,"Revisar"),"")</f>
        <v/>
      </c>
      <c r="AR149" s="179" t="str">
        <f t="array" ref="AR149">IF($F149&lt;&gt;"", XLOOKUP($F149,Productos!$A$2:$A1001,Productos!AK$2:AK1001,"")*$G149,"")</f>
        <v/>
      </c>
      <c r="AS149" s="179" t="str">
        <f t="array" ref="AS149">IF($F149&lt;&gt;"",XLOOKUP($F149,Productos!$A:$A,Productos!AL:AL,"Revisar"),"")</f>
        <v/>
      </c>
      <c r="AT149" s="179" t="str">
        <f t="array" ref="AT149">IF($F149&lt;&gt;"", XLOOKUP($F149,Productos!$A$2:$A1001,Productos!AM$2:AM1001,"")*$G149,"")</f>
        <v/>
      </c>
      <c r="AU149" s="179" t="str">
        <f t="array" ref="AU149">IF($F149&lt;&gt;"",XLOOKUP($F149,Productos!$A:$A,Productos!AN:AN,"Revisar"),"")</f>
        <v/>
      </c>
      <c r="AV149" s="179" t="str">
        <f t="array" ref="AV149">IF($F149&lt;&gt;"", XLOOKUP($F149,Productos!$A$2:$A1001,Productos!AO$2:AO1001,"")*$G149,"")</f>
        <v/>
      </c>
      <c r="AW149" s="179" t="str">
        <f t="array" ref="AW149">IF($F149&lt;&gt;"",XLOOKUP($F149,Productos!$A:$A,Productos!AP:AP,"Revisar"),"")</f>
        <v/>
      </c>
      <c r="AX149" s="179" t="str">
        <f t="array" ref="AX149">IF($F149&lt;&gt;"", XLOOKUP($F149,Productos!$A$2:$A1001,Productos!AQ$2:AQ1001,"")*$G149,"")</f>
        <v/>
      </c>
      <c r="AY149" s="179" t="str">
        <f t="array" ref="AY149">IF($F149&lt;&gt;"",XLOOKUP($F149,Productos!$A:$A,Productos!AR:AR,"Revisar"),"")</f>
        <v/>
      </c>
      <c r="AZ149" s="179" t="str">
        <f t="array" ref="AZ149">IF($F149&lt;&gt;"", XLOOKUP($F149,Productos!$A$2:$A1001,Productos!AS$2:AS1001,"")*$G149,"")</f>
        <v/>
      </c>
      <c r="BA149" s="179" t="str">
        <f t="array" ref="BA149">IF($F149&lt;&gt;"",XLOOKUP($F149,Productos!$A:$A,Productos!AT:AT,"Revisar"),"")</f>
        <v/>
      </c>
      <c r="BB149" s="179" t="str">
        <f t="array" ref="BB149">IF($F149&lt;&gt;"", XLOOKUP($F149,Productos!$A$2:$A1001,Productos!AU$2:AU1001,"")*$G149,"")</f>
        <v/>
      </c>
      <c r="BC149" s="179" t="str">
        <f t="array" ref="BC149">IF($F149&lt;&gt;"",XLOOKUP($F149,Productos!$A:$A,Productos!AV:AV,"Revisar"),"")</f>
        <v/>
      </c>
      <c r="BD149" s="179" t="str">
        <f t="array" ref="BD149">IF($F149&lt;&gt;"", XLOOKUP($F149,Productos!$A$2:$A1001,Productos!AW$2:AW1001,"")*$G149,"")</f>
        <v/>
      </c>
      <c r="BE149" s="179" t="str">
        <f t="array" ref="BE149">IF($F149&lt;&gt;"",XLOOKUP($F149,Productos!$A:$A,Productos!AX:AX,"Revisar"),"")</f>
        <v/>
      </c>
      <c r="BF149" s="179" t="str">
        <f t="array" ref="BF149">IF($F149&lt;&gt;"", XLOOKUP($F149,Productos!$A$2:$A1001,Productos!AY$2:AY1001,"")*$G149,"")</f>
        <v/>
      </c>
      <c r="BG149" s="179" t="str">
        <f t="array" ref="BG149">IF($F149&lt;&gt;"",XLOOKUP($F149,Productos!$A:$A,Productos!AZ:AZ,"Revisar"),"")</f>
        <v/>
      </c>
      <c r="BH149" s="179" t="str">
        <f t="array" ref="BH149">IF($F149&lt;&gt;"", XLOOKUP($F149,Productos!$A$2:$A1001,Productos!BA$2:BA1001,"")*$G149,"")</f>
        <v/>
      </c>
      <c r="BI149" s="179" t="str">
        <f t="array" ref="BI149">IF($F149&lt;&gt;"",XLOOKUP($F149,Productos!$A:$A,Productos!BB:BB,"Revisar"),"")</f>
        <v/>
      </c>
      <c r="BJ149" s="179" t="str">
        <f t="array" ref="BJ149">IF($F149&lt;&gt;"", XLOOKUP($F149,Productos!$A$2:$A1001,Productos!BC$2:BC1001,"")*$G149,"")</f>
        <v/>
      </c>
      <c r="BK149" s="179" t="str">
        <f t="array" ref="BK149">IF($F149&lt;&gt;"",XLOOKUP($F149,Productos!$A:$A,Productos!BD:BD,"Revisar"),"")</f>
        <v/>
      </c>
      <c r="BL149" s="179" t="str">
        <f t="array" ref="BL149">IF($F149&lt;&gt;"", XLOOKUP($F149,Productos!$A$2:$A1001,Productos!BE$2:BE1001,"")*$G149,"")</f>
        <v/>
      </c>
      <c r="BM149" s="179" t="str">
        <f t="array" ref="BM149">IF($F149&lt;&gt;"",XLOOKUP($F149,Productos!$A:$A,Productos!BF:BF,"Revisar"),"")</f>
        <v/>
      </c>
      <c r="BN149" s="179" t="str">
        <f t="array" ref="BN149">IF($F149&lt;&gt;"", XLOOKUP($F149,Productos!$A$2:$A1001,Productos!BG$2:BG1001,"")*$G149,"")</f>
        <v/>
      </c>
      <c r="BO149" s="179" t="str">
        <f t="array" ref="BO149">IF($F149&lt;&gt;"",XLOOKUP($F149,Productos!$A:$A,Productos!BH:BH,"Revisar"),"")</f>
        <v/>
      </c>
      <c r="BP149" s="179" t="str">
        <f t="array" ref="BP149">IF($F149&lt;&gt;"", XLOOKUP($F149,Productos!$A$2:$A1001,Productos!BI$2:BI1001,"")*$G149,"")</f>
        <v/>
      </c>
      <c r="BQ149" s="179" t="str">
        <f t="array" ref="BQ149">IF($F149&lt;&gt;"",XLOOKUP($F149,Productos!$A:$A,Productos!BJ:BJ,"Revisar"),"")</f>
        <v/>
      </c>
      <c r="BR149" s="179" t="str">
        <f t="array" ref="BR149">IF($F149&lt;&gt;"", XLOOKUP($F149,Productos!$A$2:$A1001,Productos!BK$2:BK1001,"")*$G149,"")</f>
        <v/>
      </c>
      <c r="BS149" s="179" t="str">
        <f t="array" ref="BS149">IF($F149&lt;&gt;"",XLOOKUP($F149,Productos!$A:$A,Productos!BL:BL,"Revisar"),"")</f>
        <v/>
      </c>
      <c r="BT149" s="179" t="str">
        <f t="array" ref="BT149">IF($F149&lt;&gt;"", XLOOKUP($F149,Productos!$A$2:$A1001,Productos!BM$2:BM1001,"")*$G149,"")</f>
        <v/>
      </c>
      <c r="BU149" s="179" t="str">
        <f t="array" ref="BU149">IF($F149&lt;&gt;"",XLOOKUP($F149,Productos!$A:$A,Productos!BN:BN,"Revisar"),"")</f>
        <v/>
      </c>
      <c r="BV149" s="179" t="str">
        <f t="array" ref="BV149">IF($F149&lt;&gt;"", XLOOKUP($F149,Productos!$A$2:$A1001,Productos!BO$2:BO1001,"")*$G149,"")</f>
        <v/>
      </c>
      <c r="BW149" s="179" t="str">
        <f t="array" ref="BW149">IF($F149&lt;&gt;"",XLOOKUP($F149,Productos!$A:$A,Productos!BP:BP,"Revisar"),"")</f>
        <v/>
      </c>
      <c r="BX149" s="179" t="str">
        <f t="array" ref="BX149">IF($F149&lt;&gt;"", XLOOKUP($F149,Productos!$A$2:$A1001,Productos!BQ$2:BQ1001,"")*$G149,"")</f>
        <v/>
      </c>
      <c r="BY149" s="179" t="str">
        <f t="array" ref="BY149">IF($F149&lt;&gt;"",XLOOKUP($F149,Productos!$A:$A,Productos!BR:BR,"Revisar"),"")</f>
        <v/>
      </c>
      <c r="BZ149" s="179" t="str">
        <f t="array" ref="BZ149">IF($F149&lt;&gt;"", XLOOKUP($F149,Productos!$A$2:$A1001,Productos!BS$2:BS1001,"")*$G149,"")</f>
        <v/>
      </c>
    </row>
    <row r="150">
      <c r="A150" s="180"/>
      <c r="B150" s="181"/>
      <c r="C150" s="182"/>
      <c r="D150" s="182"/>
      <c r="E150" s="185"/>
      <c r="F150" s="186"/>
      <c r="G150" s="187"/>
      <c r="H150" s="186"/>
      <c r="I150" s="179" t="str">
        <f t="array" ref="I150">IF($F150&lt;&gt;"",XLOOKUP($F150,Productos!$A:$A,Productos!B:B,"Revisar"),"")</f>
        <v/>
      </c>
      <c r="J150" s="179" t="str">
        <f t="array" ref="J150">IF($F150&lt;&gt;"", XLOOKUP($F150,Productos!$A$2:$A1001,Productos!C$2:C1001,"")*$G150,"")</f>
        <v/>
      </c>
      <c r="K150" s="179" t="str">
        <f t="array" ref="K150">IF($F150&lt;&gt;"",XLOOKUP($F150,Productos!$A:$A,Productos!D:D,"Revisar"),"")</f>
        <v/>
      </c>
      <c r="L150" s="179" t="str">
        <f t="array" ref="L150">IF($F150&lt;&gt;"", XLOOKUP($F150,Productos!$A$2:$A1001,Productos!E$2:E1001,"")*$G150,"")</f>
        <v/>
      </c>
      <c r="M150" s="179" t="str">
        <f t="array" ref="M150">IF($F150&lt;&gt;"",XLOOKUP($F150,Productos!$A:$A,Productos!F:F,"Revisar"),"")</f>
        <v/>
      </c>
      <c r="N150" s="179" t="str">
        <f t="array" ref="N150">IF($F150&lt;&gt;"", XLOOKUP($F150,Productos!$A$2:$A1001,Productos!G$2:G1001,"")*$G150,"")</f>
        <v/>
      </c>
      <c r="O150" s="179" t="str">
        <f t="array" ref="O150">IF($F150&lt;&gt;"",XLOOKUP($F150,Productos!$A:$A,Productos!H:H,"Revisar"),"")</f>
        <v/>
      </c>
      <c r="P150" s="179" t="str">
        <f t="array" ref="P150">IF($F150&lt;&gt;"", XLOOKUP($F150,Productos!$A$2:$A1001,Productos!I$2:I1001,"")*$G150,"")</f>
        <v/>
      </c>
      <c r="Q150" s="179" t="str">
        <f t="array" ref="Q150">IF($F150&lt;&gt;"",XLOOKUP($F150,Productos!$A:$A,Productos!J:J,"Revisar"),"")</f>
        <v/>
      </c>
      <c r="R150" s="179" t="str">
        <f t="array" ref="R150">IF($F150&lt;&gt;"", XLOOKUP($F150,Productos!$A$2:$A1001,Productos!K$2:K1001,"")*$G150,"")</f>
        <v/>
      </c>
      <c r="S150" s="179" t="str">
        <f t="array" ref="S150">IF($F150&lt;&gt;"",XLOOKUP($F150,Productos!$A:$A,Productos!L:L,"Revisar"),"")</f>
        <v/>
      </c>
      <c r="T150" s="179" t="str">
        <f t="array" ref="T150">IF($F150&lt;&gt;"", XLOOKUP($F150,Productos!$A$2:$A1001,Productos!M$2:M1001,"")*$G150,"")</f>
        <v/>
      </c>
      <c r="U150" s="179" t="str">
        <f t="array" ref="U150">IF($F150&lt;&gt;"",XLOOKUP($F150,Productos!$A:$A,Productos!N:N,"Revisar"),"")</f>
        <v/>
      </c>
      <c r="V150" s="179" t="str">
        <f t="array" ref="V150">IF($F150&lt;&gt;"", XLOOKUP($F150,Productos!$A$2:$A1001,Productos!O$2:O1001,"")*$G150,"")</f>
        <v/>
      </c>
      <c r="W150" s="179" t="str">
        <f t="array" ref="W150">IF($F150&lt;&gt;"",XLOOKUP($F150,Productos!$A:$A,Productos!P:P,"Revisar"),"")</f>
        <v/>
      </c>
      <c r="X150" s="179" t="str">
        <f t="array" ref="X150">IF($F150&lt;&gt;"", XLOOKUP($F150,Productos!$A$2:$A1001,Productos!Q$2:Q1001,"")*$G150,"")</f>
        <v/>
      </c>
      <c r="Y150" s="179" t="str">
        <f t="array" ref="Y150">IF($F150&lt;&gt;"",XLOOKUP($F150,Productos!$A:$A,Productos!R:R,"Revisar"),"")</f>
        <v/>
      </c>
      <c r="Z150" s="179" t="str">
        <f t="array" ref="Z150">IF($F150&lt;&gt;"", XLOOKUP($F150,Productos!$A$2:$A1001,Productos!S$2:S1001,"")*$G150,"")</f>
        <v/>
      </c>
      <c r="AA150" s="179" t="str">
        <f t="array" ref="AA150">IF($F150&lt;&gt;"",XLOOKUP($F150,Productos!$A:$A,Productos!T:T,"Revisar"),"")</f>
        <v/>
      </c>
      <c r="AB150" s="179" t="str">
        <f t="array" ref="AB150">IF($F150&lt;&gt;"", XLOOKUP($F150,Productos!$A$2:$A1001,Productos!U$2:U1001,"")*$G150,"")</f>
        <v/>
      </c>
      <c r="AC150" s="179" t="str">
        <f t="array" ref="AC150">IF($F150&lt;&gt;"",XLOOKUP($F150,Productos!$A:$A,Productos!V:V,"Revisar"),"")</f>
        <v/>
      </c>
      <c r="AD150" s="179" t="str">
        <f t="array" ref="AD150">IF($F150&lt;&gt;"", XLOOKUP($F150,Productos!$A$2:$A1001,Productos!W$2:W1001,"")*$G150,"")</f>
        <v/>
      </c>
      <c r="AE150" s="179" t="str">
        <f t="array" ref="AE150">IF($F150&lt;&gt;"",XLOOKUP($F150,Productos!$A:$A,Productos!X:X,"Revisar"),"")</f>
        <v/>
      </c>
      <c r="AF150" s="179" t="str">
        <f t="array" ref="AF150">IF($F150&lt;&gt;"", XLOOKUP($F150,Productos!$A$2:$A1001,Productos!Y$2:Y1001,"")*$G150,"")</f>
        <v/>
      </c>
      <c r="AG150" s="179" t="str">
        <f t="array" ref="AG150">IF($F150&lt;&gt;"",XLOOKUP($F150,Productos!$A:$A,Productos!Z:Z,"Revisar"),"")</f>
        <v/>
      </c>
      <c r="AH150" s="179" t="str">
        <f t="array" ref="AH150">IF($F150&lt;&gt;"", XLOOKUP($F150,Productos!$A$2:$A1001,Productos!AA$2:AA1001,"")*$G150,"")</f>
        <v/>
      </c>
      <c r="AI150" s="179" t="str">
        <f t="array" ref="AI150">IF($F150&lt;&gt;"",XLOOKUP($F150,Productos!$A:$A,Productos!AB:AB,"Revisar"),"")</f>
        <v/>
      </c>
      <c r="AJ150" s="179" t="str">
        <f t="array" ref="AJ150">IF($F150&lt;&gt;"", XLOOKUP($F150,Productos!$A$2:$A1001,Productos!AC$2:AC1001,"")*$G150,"")</f>
        <v/>
      </c>
      <c r="AK150" s="179" t="str">
        <f t="array" ref="AK150">IF($F150&lt;&gt;"",XLOOKUP($F150,Productos!$A:$A,Productos!AD:AD,"Revisar"),"")</f>
        <v/>
      </c>
      <c r="AL150" s="179" t="str">
        <f t="array" ref="AL150">IF($F150&lt;&gt;"", XLOOKUP($F150,Productos!$A$2:$A1001,Productos!AE$2:AE1001,"")*$G150,"")</f>
        <v/>
      </c>
      <c r="AM150" s="179" t="str">
        <f t="array" ref="AM150">IF($F150&lt;&gt;"",XLOOKUP($F150,Productos!$A:$A,Productos!AF:AF,"Revisar"),"")</f>
        <v/>
      </c>
      <c r="AN150" s="179" t="str">
        <f t="array" ref="AN150">IF($F150&lt;&gt;"", XLOOKUP($F150,Productos!$A$2:$A1001,Productos!AG$2:AG1001,"")*$G150,"")</f>
        <v/>
      </c>
      <c r="AO150" s="179" t="str">
        <f t="array" ref="AO150">IF($F150&lt;&gt;"",XLOOKUP($F150,Productos!$A:$A,Productos!AH:AH,"Revisar"),"")</f>
        <v/>
      </c>
      <c r="AP150" s="179" t="str">
        <f t="array" ref="AP150">IF($F150&lt;&gt;"", XLOOKUP($F150,Productos!$A$2:$A1001,Productos!AI$2:AI1001,"")*$G150,"")</f>
        <v/>
      </c>
      <c r="AQ150" s="179" t="str">
        <f t="array" ref="AQ150">IF($F150&lt;&gt;"",XLOOKUP($F150,Productos!$A:$A,Productos!AJ:AJ,"Revisar"),"")</f>
        <v/>
      </c>
      <c r="AR150" s="179" t="str">
        <f t="array" ref="AR150">IF($F150&lt;&gt;"", XLOOKUP($F150,Productos!$A$2:$A1001,Productos!AK$2:AK1001,"")*$G150,"")</f>
        <v/>
      </c>
      <c r="AS150" s="179" t="str">
        <f t="array" ref="AS150">IF($F150&lt;&gt;"",XLOOKUP($F150,Productos!$A:$A,Productos!AL:AL,"Revisar"),"")</f>
        <v/>
      </c>
      <c r="AT150" s="179" t="str">
        <f t="array" ref="AT150">IF($F150&lt;&gt;"", XLOOKUP($F150,Productos!$A$2:$A1001,Productos!AM$2:AM1001,"")*$G150,"")</f>
        <v/>
      </c>
      <c r="AU150" s="179" t="str">
        <f t="array" ref="AU150">IF($F150&lt;&gt;"",XLOOKUP($F150,Productos!$A:$A,Productos!AN:AN,"Revisar"),"")</f>
        <v/>
      </c>
      <c r="AV150" s="179" t="str">
        <f t="array" ref="AV150">IF($F150&lt;&gt;"", XLOOKUP($F150,Productos!$A$2:$A1001,Productos!AO$2:AO1001,"")*$G150,"")</f>
        <v/>
      </c>
      <c r="AW150" s="179" t="str">
        <f t="array" ref="AW150">IF($F150&lt;&gt;"",XLOOKUP($F150,Productos!$A:$A,Productos!AP:AP,"Revisar"),"")</f>
        <v/>
      </c>
      <c r="AX150" s="179" t="str">
        <f t="array" ref="AX150">IF($F150&lt;&gt;"", XLOOKUP($F150,Productos!$A$2:$A1001,Productos!AQ$2:AQ1001,"")*$G150,"")</f>
        <v/>
      </c>
      <c r="AY150" s="179" t="str">
        <f t="array" ref="AY150">IF($F150&lt;&gt;"",XLOOKUP($F150,Productos!$A:$A,Productos!AR:AR,"Revisar"),"")</f>
        <v/>
      </c>
      <c r="AZ150" s="179" t="str">
        <f t="array" ref="AZ150">IF($F150&lt;&gt;"", XLOOKUP($F150,Productos!$A$2:$A1001,Productos!AS$2:AS1001,"")*$G150,"")</f>
        <v/>
      </c>
      <c r="BA150" s="179" t="str">
        <f t="array" ref="BA150">IF($F150&lt;&gt;"",XLOOKUP($F150,Productos!$A:$A,Productos!AT:AT,"Revisar"),"")</f>
        <v/>
      </c>
      <c r="BB150" s="179" t="str">
        <f t="array" ref="BB150">IF($F150&lt;&gt;"", XLOOKUP($F150,Productos!$A$2:$A1001,Productos!AU$2:AU1001,"")*$G150,"")</f>
        <v/>
      </c>
      <c r="BC150" s="179" t="str">
        <f t="array" ref="BC150">IF($F150&lt;&gt;"",XLOOKUP($F150,Productos!$A:$A,Productos!AV:AV,"Revisar"),"")</f>
        <v/>
      </c>
      <c r="BD150" s="179" t="str">
        <f t="array" ref="BD150">IF($F150&lt;&gt;"", XLOOKUP($F150,Productos!$A$2:$A1001,Productos!AW$2:AW1001,"")*$G150,"")</f>
        <v/>
      </c>
      <c r="BE150" s="179" t="str">
        <f t="array" ref="BE150">IF($F150&lt;&gt;"",XLOOKUP($F150,Productos!$A:$A,Productos!AX:AX,"Revisar"),"")</f>
        <v/>
      </c>
      <c r="BF150" s="179" t="str">
        <f t="array" ref="BF150">IF($F150&lt;&gt;"", XLOOKUP($F150,Productos!$A$2:$A1001,Productos!AY$2:AY1001,"")*$G150,"")</f>
        <v/>
      </c>
      <c r="BG150" s="179" t="str">
        <f t="array" ref="BG150">IF($F150&lt;&gt;"",XLOOKUP($F150,Productos!$A:$A,Productos!AZ:AZ,"Revisar"),"")</f>
        <v/>
      </c>
      <c r="BH150" s="179" t="str">
        <f t="array" ref="BH150">IF($F150&lt;&gt;"", XLOOKUP($F150,Productos!$A$2:$A1001,Productos!BA$2:BA1001,"")*$G150,"")</f>
        <v/>
      </c>
      <c r="BI150" s="179" t="str">
        <f t="array" ref="BI150">IF($F150&lt;&gt;"",XLOOKUP($F150,Productos!$A:$A,Productos!BB:BB,"Revisar"),"")</f>
        <v/>
      </c>
      <c r="BJ150" s="179" t="str">
        <f t="array" ref="BJ150">IF($F150&lt;&gt;"", XLOOKUP($F150,Productos!$A$2:$A1001,Productos!BC$2:BC1001,"")*$G150,"")</f>
        <v/>
      </c>
      <c r="BK150" s="179" t="str">
        <f t="array" ref="BK150">IF($F150&lt;&gt;"",XLOOKUP($F150,Productos!$A:$A,Productos!BD:BD,"Revisar"),"")</f>
        <v/>
      </c>
      <c r="BL150" s="179" t="str">
        <f t="array" ref="BL150">IF($F150&lt;&gt;"", XLOOKUP($F150,Productos!$A$2:$A1001,Productos!BE$2:BE1001,"")*$G150,"")</f>
        <v/>
      </c>
      <c r="BM150" s="179" t="str">
        <f t="array" ref="BM150">IF($F150&lt;&gt;"",XLOOKUP($F150,Productos!$A:$A,Productos!BF:BF,"Revisar"),"")</f>
        <v/>
      </c>
      <c r="BN150" s="179" t="str">
        <f t="array" ref="BN150">IF($F150&lt;&gt;"", XLOOKUP($F150,Productos!$A$2:$A1001,Productos!BG$2:BG1001,"")*$G150,"")</f>
        <v/>
      </c>
      <c r="BO150" s="179" t="str">
        <f t="array" ref="BO150">IF($F150&lt;&gt;"",XLOOKUP($F150,Productos!$A:$A,Productos!BH:BH,"Revisar"),"")</f>
        <v/>
      </c>
      <c r="BP150" s="179" t="str">
        <f t="array" ref="BP150">IF($F150&lt;&gt;"", XLOOKUP($F150,Productos!$A$2:$A1001,Productos!BI$2:BI1001,"")*$G150,"")</f>
        <v/>
      </c>
      <c r="BQ150" s="179" t="str">
        <f t="array" ref="BQ150">IF($F150&lt;&gt;"",XLOOKUP($F150,Productos!$A:$A,Productos!BJ:BJ,"Revisar"),"")</f>
        <v/>
      </c>
      <c r="BR150" s="179" t="str">
        <f t="array" ref="BR150">IF($F150&lt;&gt;"", XLOOKUP($F150,Productos!$A$2:$A1001,Productos!BK$2:BK1001,"")*$G150,"")</f>
        <v/>
      </c>
      <c r="BS150" s="179" t="str">
        <f t="array" ref="BS150">IF($F150&lt;&gt;"",XLOOKUP($F150,Productos!$A:$A,Productos!BL:BL,"Revisar"),"")</f>
        <v/>
      </c>
      <c r="BT150" s="179" t="str">
        <f t="array" ref="BT150">IF($F150&lt;&gt;"", XLOOKUP($F150,Productos!$A$2:$A1001,Productos!BM$2:BM1001,"")*$G150,"")</f>
        <v/>
      </c>
      <c r="BU150" s="179" t="str">
        <f t="array" ref="BU150">IF($F150&lt;&gt;"",XLOOKUP($F150,Productos!$A:$A,Productos!BN:BN,"Revisar"),"")</f>
        <v/>
      </c>
      <c r="BV150" s="179" t="str">
        <f t="array" ref="BV150">IF($F150&lt;&gt;"", XLOOKUP($F150,Productos!$A$2:$A1001,Productos!BO$2:BO1001,"")*$G150,"")</f>
        <v/>
      </c>
      <c r="BW150" s="179" t="str">
        <f t="array" ref="BW150">IF($F150&lt;&gt;"",XLOOKUP($F150,Productos!$A:$A,Productos!BP:BP,"Revisar"),"")</f>
        <v/>
      </c>
      <c r="BX150" s="179" t="str">
        <f t="array" ref="BX150">IF($F150&lt;&gt;"", XLOOKUP($F150,Productos!$A$2:$A1001,Productos!BQ$2:BQ1001,"")*$G150,"")</f>
        <v/>
      </c>
      <c r="BY150" s="179" t="str">
        <f t="array" ref="BY150">IF($F150&lt;&gt;"",XLOOKUP($F150,Productos!$A:$A,Productos!BR:BR,"Revisar"),"")</f>
        <v/>
      </c>
      <c r="BZ150" s="179" t="str">
        <f t="array" ref="BZ150">IF($F150&lt;&gt;"", XLOOKUP($F150,Productos!$A$2:$A1001,Productos!BS$2:BS1001,"")*$G150,"")</f>
        <v/>
      </c>
    </row>
    <row r="151">
      <c r="A151" s="180"/>
      <c r="B151" s="181"/>
      <c r="C151" s="182"/>
      <c r="D151" s="182"/>
      <c r="E151" s="185"/>
      <c r="F151" s="186"/>
      <c r="G151" s="187"/>
      <c r="H151" s="186"/>
      <c r="I151" s="179" t="str">
        <f t="array" ref="I151">IF($F151&lt;&gt;"",XLOOKUP($F151,Productos!$A:$A,Productos!B:B,"Revisar"),"")</f>
        <v/>
      </c>
      <c r="J151" s="179" t="str">
        <f t="array" ref="J151">IF($F151&lt;&gt;"", XLOOKUP($F151,Productos!$A$2:$A1001,Productos!C$2:C1001,"")*$G151,"")</f>
        <v/>
      </c>
      <c r="K151" s="179" t="str">
        <f t="array" ref="K151">IF($F151&lt;&gt;"",XLOOKUP($F151,Productos!$A:$A,Productos!D:D,"Revisar"),"")</f>
        <v/>
      </c>
      <c r="L151" s="179" t="str">
        <f t="array" ref="L151">IF($F151&lt;&gt;"", XLOOKUP($F151,Productos!$A$2:$A1001,Productos!E$2:E1001,"")*$G151,"")</f>
        <v/>
      </c>
      <c r="M151" s="179" t="str">
        <f t="array" ref="M151">IF($F151&lt;&gt;"",XLOOKUP($F151,Productos!$A:$A,Productos!F:F,"Revisar"),"")</f>
        <v/>
      </c>
      <c r="N151" s="179" t="str">
        <f t="array" ref="N151">IF($F151&lt;&gt;"", XLOOKUP($F151,Productos!$A$2:$A1001,Productos!G$2:G1001,"")*$G151,"")</f>
        <v/>
      </c>
      <c r="O151" s="179" t="str">
        <f t="array" ref="O151">IF($F151&lt;&gt;"",XLOOKUP($F151,Productos!$A:$A,Productos!H:H,"Revisar"),"")</f>
        <v/>
      </c>
      <c r="P151" s="179" t="str">
        <f t="array" ref="P151">IF($F151&lt;&gt;"", XLOOKUP($F151,Productos!$A$2:$A1001,Productos!I$2:I1001,"")*$G151,"")</f>
        <v/>
      </c>
      <c r="Q151" s="179" t="str">
        <f t="array" ref="Q151">IF($F151&lt;&gt;"",XLOOKUP($F151,Productos!$A:$A,Productos!J:J,"Revisar"),"")</f>
        <v/>
      </c>
      <c r="R151" s="179" t="str">
        <f t="array" ref="R151">IF($F151&lt;&gt;"", XLOOKUP($F151,Productos!$A$2:$A1001,Productos!K$2:K1001,"")*$G151,"")</f>
        <v/>
      </c>
      <c r="S151" s="179" t="str">
        <f t="array" ref="S151">IF($F151&lt;&gt;"",XLOOKUP($F151,Productos!$A:$A,Productos!L:L,"Revisar"),"")</f>
        <v/>
      </c>
      <c r="T151" s="179" t="str">
        <f t="array" ref="T151">IF($F151&lt;&gt;"", XLOOKUP($F151,Productos!$A$2:$A1001,Productos!M$2:M1001,"")*$G151,"")</f>
        <v/>
      </c>
      <c r="U151" s="179" t="str">
        <f t="array" ref="U151">IF($F151&lt;&gt;"",XLOOKUP($F151,Productos!$A:$A,Productos!N:N,"Revisar"),"")</f>
        <v/>
      </c>
      <c r="V151" s="179" t="str">
        <f t="array" ref="V151">IF($F151&lt;&gt;"", XLOOKUP($F151,Productos!$A$2:$A1001,Productos!O$2:O1001,"")*$G151,"")</f>
        <v/>
      </c>
      <c r="W151" s="179" t="str">
        <f t="array" ref="W151">IF($F151&lt;&gt;"",XLOOKUP($F151,Productos!$A:$A,Productos!P:P,"Revisar"),"")</f>
        <v/>
      </c>
      <c r="X151" s="179" t="str">
        <f t="array" ref="X151">IF($F151&lt;&gt;"", XLOOKUP($F151,Productos!$A$2:$A1001,Productos!Q$2:Q1001,"")*$G151,"")</f>
        <v/>
      </c>
      <c r="Y151" s="179" t="str">
        <f t="array" ref="Y151">IF($F151&lt;&gt;"",XLOOKUP($F151,Productos!$A:$A,Productos!R:R,"Revisar"),"")</f>
        <v/>
      </c>
      <c r="Z151" s="179" t="str">
        <f t="array" ref="Z151">IF($F151&lt;&gt;"", XLOOKUP($F151,Productos!$A$2:$A1001,Productos!S$2:S1001,"")*$G151,"")</f>
        <v/>
      </c>
      <c r="AA151" s="179" t="str">
        <f t="array" ref="AA151">IF($F151&lt;&gt;"",XLOOKUP($F151,Productos!$A:$A,Productos!T:T,"Revisar"),"")</f>
        <v/>
      </c>
      <c r="AB151" s="179" t="str">
        <f t="array" ref="AB151">IF($F151&lt;&gt;"", XLOOKUP($F151,Productos!$A$2:$A1001,Productos!U$2:U1001,"")*$G151,"")</f>
        <v/>
      </c>
      <c r="AC151" s="179" t="str">
        <f t="array" ref="AC151">IF($F151&lt;&gt;"",XLOOKUP($F151,Productos!$A:$A,Productos!V:V,"Revisar"),"")</f>
        <v/>
      </c>
      <c r="AD151" s="179" t="str">
        <f t="array" ref="AD151">IF($F151&lt;&gt;"", XLOOKUP($F151,Productos!$A$2:$A1001,Productos!W$2:W1001,"")*$G151,"")</f>
        <v/>
      </c>
      <c r="AE151" s="179" t="str">
        <f t="array" ref="AE151">IF($F151&lt;&gt;"",XLOOKUP($F151,Productos!$A:$A,Productos!X:X,"Revisar"),"")</f>
        <v/>
      </c>
      <c r="AF151" s="179" t="str">
        <f t="array" ref="AF151">IF($F151&lt;&gt;"", XLOOKUP($F151,Productos!$A$2:$A1001,Productos!Y$2:Y1001,"")*$G151,"")</f>
        <v/>
      </c>
      <c r="AG151" s="179" t="str">
        <f t="array" ref="AG151">IF($F151&lt;&gt;"",XLOOKUP($F151,Productos!$A:$A,Productos!Z:Z,"Revisar"),"")</f>
        <v/>
      </c>
      <c r="AH151" s="179" t="str">
        <f t="array" ref="AH151">IF($F151&lt;&gt;"", XLOOKUP($F151,Productos!$A$2:$A1001,Productos!AA$2:AA1001,"")*$G151,"")</f>
        <v/>
      </c>
      <c r="AI151" s="179" t="str">
        <f t="array" ref="AI151">IF($F151&lt;&gt;"",XLOOKUP($F151,Productos!$A:$A,Productos!AB:AB,"Revisar"),"")</f>
        <v/>
      </c>
      <c r="AJ151" s="179" t="str">
        <f t="array" ref="AJ151">IF($F151&lt;&gt;"", XLOOKUP($F151,Productos!$A$2:$A1001,Productos!AC$2:AC1001,"")*$G151,"")</f>
        <v/>
      </c>
      <c r="AK151" s="179" t="str">
        <f t="array" ref="AK151">IF($F151&lt;&gt;"",XLOOKUP($F151,Productos!$A:$A,Productos!AD:AD,"Revisar"),"")</f>
        <v/>
      </c>
      <c r="AL151" s="179" t="str">
        <f t="array" ref="AL151">IF($F151&lt;&gt;"", XLOOKUP($F151,Productos!$A$2:$A1001,Productos!AE$2:AE1001,"")*$G151,"")</f>
        <v/>
      </c>
      <c r="AM151" s="179" t="str">
        <f t="array" ref="AM151">IF($F151&lt;&gt;"",XLOOKUP($F151,Productos!$A:$A,Productos!AF:AF,"Revisar"),"")</f>
        <v/>
      </c>
      <c r="AN151" s="179" t="str">
        <f t="array" ref="AN151">IF($F151&lt;&gt;"", XLOOKUP($F151,Productos!$A$2:$A1001,Productos!AG$2:AG1001,"")*$G151,"")</f>
        <v/>
      </c>
      <c r="AO151" s="179" t="str">
        <f t="array" ref="AO151">IF($F151&lt;&gt;"",XLOOKUP($F151,Productos!$A:$A,Productos!AH:AH,"Revisar"),"")</f>
        <v/>
      </c>
      <c r="AP151" s="179" t="str">
        <f t="array" ref="AP151">IF($F151&lt;&gt;"", XLOOKUP($F151,Productos!$A$2:$A1001,Productos!AI$2:AI1001,"")*$G151,"")</f>
        <v/>
      </c>
      <c r="AQ151" s="179" t="str">
        <f t="array" ref="AQ151">IF($F151&lt;&gt;"",XLOOKUP($F151,Productos!$A:$A,Productos!AJ:AJ,"Revisar"),"")</f>
        <v/>
      </c>
      <c r="AR151" s="179" t="str">
        <f t="array" ref="AR151">IF($F151&lt;&gt;"", XLOOKUP($F151,Productos!$A$2:$A1001,Productos!AK$2:AK1001,"")*$G151,"")</f>
        <v/>
      </c>
      <c r="AS151" s="179" t="str">
        <f t="array" ref="AS151">IF($F151&lt;&gt;"",XLOOKUP($F151,Productos!$A:$A,Productos!AL:AL,"Revisar"),"")</f>
        <v/>
      </c>
      <c r="AT151" s="179" t="str">
        <f t="array" ref="AT151">IF($F151&lt;&gt;"", XLOOKUP($F151,Productos!$A$2:$A1001,Productos!AM$2:AM1001,"")*$G151,"")</f>
        <v/>
      </c>
      <c r="AU151" s="179" t="str">
        <f t="array" ref="AU151">IF($F151&lt;&gt;"",XLOOKUP($F151,Productos!$A:$A,Productos!AN:AN,"Revisar"),"")</f>
        <v/>
      </c>
      <c r="AV151" s="179" t="str">
        <f t="array" ref="AV151">IF($F151&lt;&gt;"", XLOOKUP($F151,Productos!$A$2:$A1001,Productos!AO$2:AO1001,"")*$G151,"")</f>
        <v/>
      </c>
      <c r="AW151" s="179" t="str">
        <f t="array" ref="AW151">IF($F151&lt;&gt;"",XLOOKUP($F151,Productos!$A:$A,Productos!AP:AP,"Revisar"),"")</f>
        <v/>
      </c>
      <c r="AX151" s="179" t="str">
        <f t="array" ref="AX151">IF($F151&lt;&gt;"", XLOOKUP($F151,Productos!$A$2:$A1001,Productos!AQ$2:AQ1001,"")*$G151,"")</f>
        <v/>
      </c>
      <c r="AY151" s="179" t="str">
        <f t="array" ref="AY151">IF($F151&lt;&gt;"",XLOOKUP($F151,Productos!$A:$A,Productos!AR:AR,"Revisar"),"")</f>
        <v/>
      </c>
      <c r="AZ151" s="179" t="str">
        <f t="array" ref="AZ151">IF($F151&lt;&gt;"", XLOOKUP($F151,Productos!$A$2:$A1001,Productos!AS$2:AS1001,"")*$G151,"")</f>
        <v/>
      </c>
      <c r="BA151" s="179" t="str">
        <f t="array" ref="BA151">IF($F151&lt;&gt;"",XLOOKUP($F151,Productos!$A:$A,Productos!AT:AT,"Revisar"),"")</f>
        <v/>
      </c>
      <c r="BB151" s="179" t="str">
        <f t="array" ref="BB151">IF($F151&lt;&gt;"", XLOOKUP($F151,Productos!$A$2:$A1001,Productos!AU$2:AU1001,"")*$G151,"")</f>
        <v/>
      </c>
      <c r="BC151" s="179" t="str">
        <f t="array" ref="BC151">IF($F151&lt;&gt;"",XLOOKUP($F151,Productos!$A:$A,Productos!AV:AV,"Revisar"),"")</f>
        <v/>
      </c>
      <c r="BD151" s="179" t="str">
        <f t="array" ref="BD151">IF($F151&lt;&gt;"", XLOOKUP($F151,Productos!$A$2:$A1001,Productos!AW$2:AW1001,"")*$G151,"")</f>
        <v/>
      </c>
      <c r="BE151" s="179" t="str">
        <f t="array" ref="BE151">IF($F151&lt;&gt;"",XLOOKUP($F151,Productos!$A:$A,Productos!AX:AX,"Revisar"),"")</f>
        <v/>
      </c>
      <c r="BF151" s="179" t="str">
        <f t="array" ref="BF151">IF($F151&lt;&gt;"", XLOOKUP($F151,Productos!$A$2:$A1001,Productos!AY$2:AY1001,"")*$G151,"")</f>
        <v/>
      </c>
      <c r="BG151" s="179" t="str">
        <f t="array" ref="BG151">IF($F151&lt;&gt;"",XLOOKUP($F151,Productos!$A:$A,Productos!AZ:AZ,"Revisar"),"")</f>
        <v/>
      </c>
      <c r="BH151" s="179" t="str">
        <f t="array" ref="BH151">IF($F151&lt;&gt;"", XLOOKUP($F151,Productos!$A$2:$A1001,Productos!BA$2:BA1001,"")*$G151,"")</f>
        <v/>
      </c>
      <c r="BI151" s="179" t="str">
        <f t="array" ref="BI151">IF($F151&lt;&gt;"",XLOOKUP($F151,Productos!$A:$A,Productos!BB:BB,"Revisar"),"")</f>
        <v/>
      </c>
      <c r="BJ151" s="179" t="str">
        <f t="array" ref="BJ151">IF($F151&lt;&gt;"", XLOOKUP($F151,Productos!$A$2:$A1001,Productos!BC$2:BC1001,"")*$G151,"")</f>
        <v/>
      </c>
      <c r="BK151" s="179" t="str">
        <f t="array" ref="BK151">IF($F151&lt;&gt;"",XLOOKUP($F151,Productos!$A:$A,Productos!BD:BD,"Revisar"),"")</f>
        <v/>
      </c>
      <c r="BL151" s="179" t="str">
        <f t="array" ref="BL151">IF($F151&lt;&gt;"", XLOOKUP($F151,Productos!$A$2:$A1001,Productos!BE$2:BE1001,"")*$G151,"")</f>
        <v/>
      </c>
      <c r="BM151" s="179" t="str">
        <f t="array" ref="BM151">IF($F151&lt;&gt;"",XLOOKUP($F151,Productos!$A:$A,Productos!BF:BF,"Revisar"),"")</f>
        <v/>
      </c>
      <c r="BN151" s="179" t="str">
        <f t="array" ref="BN151">IF($F151&lt;&gt;"", XLOOKUP($F151,Productos!$A$2:$A1001,Productos!BG$2:BG1001,"")*$G151,"")</f>
        <v/>
      </c>
      <c r="BO151" s="179" t="str">
        <f t="array" ref="BO151">IF($F151&lt;&gt;"",XLOOKUP($F151,Productos!$A:$A,Productos!BH:BH,"Revisar"),"")</f>
        <v/>
      </c>
      <c r="BP151" s="179" t="str">
        <f t="array" ref="BP151">IF($F151&lt;&gt;"", XLOOKUP($F151,Productos!$A$2:$A1001,Productos!BI$2:BI1001,"")*$G151,"")</f>
        <v/>
      </c>
      <c r="BQ151" s="179" t="str">
        <f t="array" ref="BQ151">IF($F151&lt;&gt;"",XLOOKUP($F151,Productos!$A:$A,Productos!BJ:BJ,"Revisar"),"")</f>
        <v/>
      </c>
      <c r="BR151" s="179" t="str">
        <f t="array" ref="BR151">IF($F151&lt;&gt;"", XLOOKUP($F151,Productos!$A$2:$A1001,Productos!BK$2:BK1001,"")*$G151,"")</f>
        <v/>
      </c>
      <c r="BS151" s="179" t="str">
        <f t="array" ref="BS151">IF($F151&lt;&gt;"",XLOOKUP($F151,Productos!$A:$A,Productos!BL:BL,"Revisar"),"")</f>
        <v/>
      </c>
      <c r="BT151" s="179" t="str">
        <f t="array" ref="BT151">IF($F151&lt;&gt;"", XLOOKUP($F151,Productos!$A$2:$A1001,Productos!BM$2:BM1001,"")*$G151,"")</f>
        <v/>
      </c>
      <c r="BU151" s="179" t="str">
        <f t="array" ref="BU151">IF($F151&lt;&gt;"",XLOOKUP($F151,Productos!$A:$A,Productos!BN:BN,"Revisar"),"")</f>
        <v/>
      </c>
      <c r="BV151" s="179" t="str">
        <f t="array" ref="BV151">IF($F151&lt;&gt;"", XLOOKUP($F151,Productos!$A$2:$A1001,Productos!BO$2:BO1001,"")*$G151,"")</f>
        <v/>
      </c>
      <c r="BW151" s="179" t="str">
        <f t="array" ref="BW151">IF($F151&lt;&gt;"",XLOOKUP($F151,Productos!$A:$A,Productos!BP:BP,"Revisar"),"")</f>
        <v/>
      </c>
      <c r="BX151" s="179" t="str">
        <f t="array" ref="BX151">IF($F151&lt;&gt;"", XLOOKUP($F151,Productos!$A$2:$A1001,Productos!BQ$2:BQ1001,"")*$G151,"")</f>
        <v/>
      </c>
      <c r="BY151" s="179" t="str">
        <f t="array" ref="BY151">IF($F151&lt;&gt;"",XLOOKUP($F151,Productos!$A:$A,Productos!BR:BR,"Revisar"),"")</f>
        <v/>
      </c>
      <c r="BZ151" s="179" t="str">
        <f t="array" ref="BZ151">IF($F151&lt;&gt;"", XLOOKUP($F151,Productos!$A$2:$A1001,Productos!BS$2:BS1001,"")*$G151,"")</f>
        <v/>
      </c>
    </row>
    <row r="152">
      <c r="A152" s="180"/>
      <c r="B152" s="181"/>
      <c r="C152" s="182"/>
      <c r="D152" s="182"/>
      <c r="E152" s="185"/>
      <c r="F152" s="186"/>
      <c r="G152" s="187"/>
      <c r="H152" s="186"/>
      <c r="I152" s="179" t="str">
        <f t="array" ref="I152">IF($F152&lt;&gt;"",XLOOKUP($F152,Productos!$A:$A,Productos!B:B,"Revisar"),"")</f>
        <v/>
      </c>
      <c r="J152" s="179" t="str">
        <f t="array" ref="J152">IF($F152&lt;&gt;"", XLOOKUP($F152,Productos!$A$2:$A1001,Productos!C$2:C1001,"")*$G152,"")</f>
        <v/>
      </c>
      <c r="K152" s="179" t="str">
        <f t="array" ref="K152">IF($F152&lt;&gt;"",XLOOKUP($F152,Productos!$A:$A,Productos!D:D,"Revisar"),"")</f>
        <v/>
      </c>
      <c r="L152" s="179" t="str">
        <f t="array" ref="L152">IF($F152&lt;&gt;"", XLOOKUP($F152,Productos!$A$2:$A1001,Productos!E$2:E1001,"")*$G152,"")</f>
        <v/>
      </c>
      <c r="M152" s="179" t="str">
        <f t="array" ref="M152">IF($F152&lt;&gt;"",XLOOKUP($F152,Productos!$A:$A,Productos!F:F,"Revisar"),"")</f>
        <v/>
      </c>
      <c r="N152" s="179" t="str">
        <f t="array" ref="N152">IF($F152&lt;&gt;"", XLOOKUP($F152,Productos!$A$2:$A1001,Productos!G$2:G1001,"")*$G152,"")</f>
        <v/>
      </c>
      <c r="O152" s="179" t="str">
        <f t="array" ref="O152">IF($F152&lt;&gt;"",XLOOKUP($F152,Productos!$A:$A,Productos!H:H,"Revisar"),"")</f>
        <v/>
      </c>
      <c r="P152" s="179" t="str">
        <f t="array" ref="P152">IF($F152&lt;&gt;"", XLOOKUP($F152,Productos!$A$2:$A1001,Productos!I$2:I1001,"")*$G152,"")</f>
        <v/>
      </c>
      <c r="Q152" s="179" t="str">
        <f t="array" ref="Q152">IF($F152&lt;&gt;"",XLOOKUP($F152,Productos!$A:$A,Productos!J:J,"Revisar"),"")</f>
        <v/>
      </c>
      <c r="R152" s="179" t="str">
        <f t="array" ref="R152">IF($F152&lt;&gt;"", XLOOKUP($F152,Productos!$A$2:$A1001,Productos!K$2:K1001,"")*$G152,"")</f>
        <v/>
      </c>
      <c r="S152" s="179" t="str">
        <f t="array" ref="S152">IF($F152&lt;&gt;"",XLOOKUP($F152,Productos!$A:$A,Productos!L:L,"Revisar"),"")</f>
        <v/>
      </c>
      <c r="T152" s="179" t="str">
        <f t="array" ref="T152">IF($F152&lt;&gt;"", XLOOKUP($F152,Productos!$A$2:$A1001,Productos!M$2:M1001,"")*$G152,"")</f>
        <v/>
      </c>
      <c r="U152" s="179" t="str">
        <f t="array" ref="U152">IF($F152&lt;&gt;"",XLOOKUP($F152,Productos!$A:$A,Productos!N:N,"Revisar"),"")</f>
        <v/>
      </c>
      <c r="V152" s="179" t="str">
        <f t="array" ref="V152">IF($F152&lt;&gt;"", XLOOKUP($F152,Productos!$A$2:$A1001,Productos!O$2:O1001,"")*$G152,"")</f>
        <v/>
      </c>
      <c r="W152" s="179" t="str">
        <f t="array" ref="W152">IF($F152&lt;&gt;"",XLOOKUP($F152,Productos!$A:$A,Productos!P:P,"Revisar"),"")</f>
        <v/>
      </c>
      <c r="X152" s="179" t="str">
        <f t="array" ref="X152">IF($F152&lt;&gt;"", XLOOKUP($F152,Productos!$A$2:$A1001,Productos!Q$2:Q1001,"")*$G152,"")</f>
        <v/>
      </c>
      <c r="Y152" s="179" t="str">
        <f t="array" ref="Y152">IF($F152&lt;&gt;"",XLOOKUP($F152,Productos!$A:$A,Productos!R:R,"Revisar"),"")</f>
        <v/>
      </c>
      <c r="Z152" s="179" t="str">
        <f t="array" ref="Z152">IF($F152&lt;&gt;"", XLOOKUP($F152,Productos!$A$2:$A1001,Productos!S$2:S1001,"")*$G152,"")</f>
        <v/>
      </c>
      <c r="AA152" s="179" t="str">
        <f t="array" ref="AA152">IF($F152&lt;&gt;"",XLOOKUP($F152,Productos!$A:$A,Productos!T:T,"Revisar"),"")</f>
        <v/>
      </c>
      <c r="AB152" s="179" t="str">
        <f t="array" ref="AB152">IF($F152&lt;&gt;"", XLOOKUP($F152,Productos!$A$2:$A1001,Productos!U$2:U1001,"")*$G152,"")</f>
        <v/>
      </c>
      <c r="AC152" s="179" t="str">
        <f t="array" ref="AC152">IF($F152&lt;&gt;"",XLOOKUP($F152,Productos!$A:$A,Productos!V:V,"Revisar"),"")</f>
        <v/>
      </c>
      <c r="AD152" s="179" t="str">
        <f t="array" ref="AD152">IF($F152&lt;&gt;"", XLOOKUP($F152,Productos!$A$2:$A1001,Productos!W$2:W1001,"")*$G152,"")</f>
        <v/>
      </c>
      <c r="AE152" s="179" t="str">
        <f t="array" ref="AE152">IF($F152&lt;&gt;"",XLOOKUP($F152,Productos!$A:$A,Productos!X:X,"Revisar"),"")</f>
        <v/>
      </c>
      <c r="AF152" s="179" t="str">
        <f t="array" ref="AF152">IF($F152&lt;&gt;"", XLOOKUP($F152,Productos!$A$2:$A1001,Productos!Y$2:Y1001,"")*$G152,"")</f>
        <v/>
      </c>
      <c r="AG152" s="179" t="str">
        <f t="array" ref="AG152">IF($F152&lt;&gt;"",XLOOKUP($F152,Productos!$A:$A,Productos!Z:Z,"Revisar"),"")</f>
        <v/>
      </c>
      <c r="AH152" s="179" t="str">
        <f t="array" ref="AH152">IF($F152&lt;&gt;"", XLOOKUP($F152,Productos!$A$2:$A1001,Productos!AA$2:AA1001,"")*$G152,"")</f>
        <v/>
      </c>
      <c r="AI152" s="179" t="str">
        <f t="array" ref="AI152">IF($F152&lt;&gt;"",XLOOKUP($F152,Productos!$A:$A,Productos!AB:AB,"Revisar"),"")</f>
        <v/>
      </c>
      <c r="AJ152" s="179" t="str">
        <f t="array" ref="AJ152">IF($F152&lt;&gt;"", XLOOKUP($F152,Productos!$A$2:$A1001,Productos!AC$2:AC1001,"")*$G152,"")</f>
        <v/>
      </c>
      <c r="AK152" s="179" t="str">
        <f t="array" ref="AK152">IF($F152&lt;&gt;"",XLOOKUP($F152,Productos!$A:$A,Productos!AD:AD,"Revisar"),"")</f>
        <v/>
      </c>
      <c r="AL152" s="179" t="str">
        <f t="array" ref="AL152">IF($F152&lt;&gt;"", XLOOKUP($F152,Productos!$A$2:$A1001,Productos!AE$2:AE1001,"")*$G152,"")</f>
        <v/>
      </c>
      <c r="AM152" s="179" t="str">
        <f t="array" ref="AM152">IF($F152&lt;&gt;"",XLOOKUP($F152,Productos!$A:$A,Productos!AF:AF,"Revisar"),"")</f>
        <v/>
      </c>
      <c r="AN152" s="179" t="str">
        <f t="array" ref="AN152">IF($F152&lt;&gt;"", XLOOKUP($F152,Productos!$A$2:$A1001,Productos!AG$2:AG1001,"")*$G152,"")</f>
        <v/>
      </c>
      <c r="AO152" s="179" t="str">
        <f t="array" ref="AO152">IF($F152&lt;&gt;"",XLOOKUP($F152,Productos!$A:$A,Productos!AH:AH,"Revisar"),"")</f>
        <v/>
      </c>
      <c r="AP152" s="179" t="str">
        <f t="array" ref="AP152">IF($F152&lt;&gt;"", XLOOKUP($F152,Productos!$A$2:$A1001,Productos!AI$2:AI1001,"")*$G152,"")</f>
        <v/>
      </c>
      <c r="AQ152" s="179" t="str">
        <f t="array" ref="AQ152">IF($F152&lt;&gt;"",XLOOKUP($F152,Productos!$A:$A,Productos!AJ:AJ,"Revisar"),"")</f>
        <v/>
      </c>
      <c r="AR152" s="179" t="str">
        <f t="array" ref="AR152">IF($F152&lt;&gt;"", XLOOKUP($F152,Productos!$A$2:$A1001,Productos!AK$2:AK1001,"")*$G152,"")</f>
        <v/>
      </c>
      <c r="AS152" s="179" t="str">
        <f t="array" ref="AS152">IF($F152&lt;&gt;"",XLOOKUP($F152,Productos!$A:$A,Productos!AL:AL,"Revisar"),"")</f>
        <v/>
      </c>
      <c r="AT152" s="179" t="str">
        <f t="array" ref="AT152">IF($F152&lt;&gt;"", XLOOKUP($F152,Productos!$A$2:$A1001,Productos!AM$2:AM1001,"")*$G152,"")</f>
        <v/>
      </c>
      <c r="AU152" s="179" t="str">
        <f t="array" ref="AU152">IF($F152&lt;&gt;"",XLOOKUP($F152,Productos!$A:$A,Productos!AN:AN,"Revisar"),"")</f>
        <v/>
      </c>
      <c r="AV152" s="179" t="str">
        <f t="array" ref="AV152">IF($F152&lt;&gt;"", XLOOKUP($F152,Productos!$A$2:$A1001,Productos!AO$2:AO1001,"")*$G152,"")</f>
        <v/>
      </c>
      <c r="AW152" s="179" t="str">
        <f t="array" ref="AW152">IF($F152&lt;&gt;"",XLOOKUP($F152,Productos!$A:$A,Productos!AP:AP,"Revisar"),"")</f>
        <v/>
      </c>
      <c r="AX152" s="179" t="str">
        <f t="array" ref="AX152">IF($F152&lt;&gt;"", XLOOKUP($F152,Productos!$A$2:$A1001,Productos!AQ$2:AQ1001,"")*$G152,"")</f>
        <v/>
      </c>
      <c r="AY152" s="179" t="str">
        <f t="array" ref="AY152">IF($F152&lt;&gt;"",XLOOKUP($F152,Productos!$A:$A,Productos!AR:AR,"Revisar"),"")</f>
        <v/>
      </c>
      <c r="AZ152" s="179" t="str">
        <f t="array" ref="AZ152">IF($F152&lt;&gt;"", XLOOKUP($F152,Productos!$A$2:$A1001,Productos!AS$2:AS1001,"")*$G152,"")</f>
        <v/>
      </c>
      <c r="BA152" s="179" t="str">
        <f t="array" ref="BA152">IF($F152&lt;&gt;"",XLOOKUP($F152,Productos!$A:$A,Productos!AT:AT,"Revisar"),"")</f>
        <v/>
      </c>
      <c r="BB152" s="179" t="str">
        <f t="array" ref="BB152">IF($F152&lt;&gt;"", XLOOKUP($F152,Productos!$A$2:$A1001,Productos!AU$2:AU1001,"")*$G152,"")</f>
        <v/>
      </c>
      <c r="BC152" s="179" t="str">
        <f t="array" ref="BC152">IF($F152&lt;&gt;"",XLOOKUP($F152,Productos!$A:$A,Productos!AV:AV,"Revisar"),"")</f>
        <v/>
      </c>
      <c r="BD152" s="179" t="str">
        <f t="array" ref="BD152">IF($F152&lt;&gt;"", XLOOKUP($F152,Productos!$A$2:$A1001,Productos!AW$2:AW1001,"")*$G152,"")</f>
        <v/>
      </c>
      <c r="BE152" s="179" t="str">
        <f t="array" ref="BE152">IF($F152&lt;&gt;"",XLOOKUP($F152,Productos!$A:$A,Productos!AX:AX,"Revisar"),"")</f>
        <v/>
      </c>
      <c r="BF152" s="179" t="str">
        <f t="array" ref="BF152">IF($F152&lt;&gt;"", XLOOKUP($F152,Productos!$A$2:$A1001,Productos!AY$2:AY1001,"")*$G152,"")</f>
        <v/>
      </c>
      <c r="BG152" s="179" t="str">
        <f t="array" ref="BG152">IF($F152&lt;&gt;"",XLOOKUP($F152,Productos!$A:$A,Productos!AZ:AZ,"Revisar"),"")</f>
        <v/>
      </c>
      <c r="BH152" s="179" t="str">
        <f t="array" ref="BH152">IF($F152&lt;&gt;"", XLOOKUP($F152,Productos!$A$2:$A1001,Productos!BA$2:BA1001,"")*$G152,"")</f>
        <v/>
      </c>
      <c r="BI152" s="179" t="str">
        <f t="array" ref="BI152">IF($F152&lt;&gt;"",XLOOKUP($F152,Productos!$A:$A,Productos!BB:BB,"Revisar"),"")</f>
        <v/>
      </c>
      <c r="BJ152" s="179" t="str">
        <f t="array" ref="BJ152">IF($F152&lt;&gt;"", XLOOKUP($F152,Productos!$A$2:$A1001,Productos!BC$2:BC1001,"")*$G152,"")</f>
        <v/>
      </c>
      <c r="BK152" s="179" t="str">
        <f t="array" ref="BK152">IF($F152&lt;&gt;"",XLOOKUP($F152,Productos!$A:$A,Productos!BD:BD,"Revisar"),"")</f>
        <v/>
      </c>
      <c r="BL152" s="179" t="str">
        <f t="array" ref="BL152">IF($F152&lt;&gt;"", XLOOKUP($F152,Productos!$A$2:$A1001,Productos!BE$2:BE1001,"")*$G152,"")</f>
        <v/>
      </c>
      <c r="BM152" s="179" t="str">
        <f t="array" ref="BM152">IF($F152&lt;&gt;"",XLOOKUP($F152,Productos!$A:$A,Productos!BF:BF,"Revisar"),"")</f>
        <v/>
      </c>
      <c r="BN152" s="179" t="str">
        <f t="array" ref="BN152">IF($F152&lt;&gt;"", XLOOKUP($F152,Productos!$A$2:$A1001,Productos!BG$2:BG1001,"")*$G152,"")</f>
        <v/>
      </c>
      <c r="BO152" s="179" t="str">
        <f t="array" ref="BO152">IF($F152&lt;&gt;"",XLOOKUP($F152,Productos!$A:$A,Productos!BH:BH,"Revisar"),"")</f>
        <v/>
      </c>
      <c r="BP152" s="179" t="str">
        <f t="array" ref="BP152">IF($F152&lt;&gt;"", XLOOKUP($F152,Productos!$A$2:$A1001,Productos!BI$2:BI1001,"")*$G152,"")</f>
        <v/>
      </c>
      <c r="BQ152" s="179" t="str">
        <f t="array" ref="BQ152">IF($F152&lt;&gt;"",XLOOKUP($F152,Productos!$A:$A,Productos!BJ:BJ,"Revisar"),"")</f>
        <v/>
      </c>
      <c r="BR152" s="179" t="str">
        <f t="array" ref="BR152">IF($F152&lt;&gt;"", XLOOKUP($F152,Productos!$A$2:$A1001,Productos!BK$2:BK1001,"")*$G152,"")</f>
        <v/>
      </c>
      <c r="BS152" s="179" t="str">
        <f t="array" ref="BS152">IF($F152&lt;&gt;"",XLOOKUP($F152,Productos!$A:$A,Productos!BL:BL,"Revisar"),"")</f>
        <v/>
      </c>
      <c r="BT152" s="179" t="str">
        <f t="array" ref="BT152">IF($F152&lt;&gt;"", XLOOKUP($F152,Productos!$A$2:$A1001,Productos!BM$2:BM1001,"")*$G152,"")</f>
        <v/>
      </c>
      <c r="BU152" s="179" t="str">
        <f t="array" ref="BU152">IF($F152&lt;&gt;"",XLOOKUP($F152,Productos!$A:$A,Productos!BN:BN,"Revisar"),"")</f>
        <v/>
      </c>
      <c r="BV152" s="179" t="str">
        <f t="array" ref="BV152">IF($F152&lt;&gt;"", XLOOKUP($F152,Productos!$A$2:$A1001,Productos!BO$2:BO1001,"")*$G152,"")</f>
        <v/>
      </c>
      <c r="BW152" s="179" t="str">
        <f t="array" ref="BW152">IF($F152&lt;&gt;"",XLOOKUP($F152,Productos!$A:$A,Productos!BP:BP,"Revisar"),"")</f>
        <v/>
      </c>
      <c r="BX152" s="179" t="str">
        <f t="array" ref="BX152">IF($F152&lt;&gt;"", XLOOKUP($F152,Productos!$A$2:$A1001,Productos!BQ$2:BQ1001,"")*$G152,"")</f>
        <v/>
      </c>
      <c r="BY152" s="179" t="str">
        <f t="array" ref="BY152">IF($F152&lt;&gt;"",XLOOKUP($F152,Productos!$A:$A,Productos!BR:BR,"Revisar"),"")</f>
        <v/>
      </c>
      <c r="BZ152" s="179" t="str">
        <f t="array" ref="BZ152">IF($F152&lt;&gt;"", XLOOKUP($F152,Productos!$A$2:$A1001,Productos!BS$2:BS1001,"")*$G152,"")</f>
        <v/>
      </c>
    </row>
    <row r="153">
      <c r="A153" s="180"/>
      <c r="B153" s="181"/>
      <c r="C153" s="182"/>
      <c r="D153" s="182"/>
      <c r="E153" s="185"/>
      <c r="F153" s="186"/>
      <c r="G153" s="187"/>
      <c r="H153" s="186"/>
      <c r="I153" s="179" t="str">
        <f t="array" ref="I153">IF($F153&lt;&gt;"",XLOOKUP($F153,Productos!$A:$A,Productos!B:B,"Revisar"),"")</f>
        <v/>
      </c>
      <c r="J153" s="179" t="str">
        <f t="array" ref="J153">IF($F153&lt;&gt;"", XLOOKUP($F153,Productos!$A$2:$A1001,Productos!C$2:C1001,"")*$G153,"")</f>
        <v/>
      </c>
      <c r="K153" s="179" t="str">
        <f t="array" ref="K153">IF($F153&lt;&gt;"",XLOOKUP($F153,Productos!$A:$A,Productos!D:D,"Revisar"),"")</f>
        <v/>
      </c>
      <c r="L153" s="179" t="str">
        <f t="array" ref="L153">IF($F153&lt;&gt;"", XLOOKUP($F153,Productos!$A$2:$A1001,Productos!E$2:E1001,"")*$G153,"")</f>
        <v/>
      </c>
      <c r="M153" s="179" t="str">
        <f t="array" ref="M153">IF($F153&lt;&gt;"",XLOOKUP($F153,Productos!$A:$A,Productos!F:F,"Revisar"),"")</f>
        <v/>
      </c>
      <c r="N153" s="179" t="str">
        <f t="array" ref="N153">IF($F153&lt;&gt;"", XLOOKUP($F153,Productos!$A$2:$A1001,Productos!G$2:G1001,"")*$G153,"")</f>
        <v/>
      </c>
      <c r="O153" s="179" t="str">
        <f t="array" ref="O153">IF($F153&lt;&gt;"",XLOOKUP($F153,Productos!$A:$A,Productos!H:H,"Revisar"),"")</f>
        <v/>
      </c>
      <c r="P153" s="179" t="str">
        <f t="array" ref="P153">IF($F153&lt;&gt;"", XLOOKUP($F153,Productos!$A$2:$A1001,Productos!I$2:I1001,"")*$G153,"")</f>
        <v/>
      </c>
      <c r="Q153" s="179" t="str">
        <f t="array" ref="Q153">IF($F153&lt;&gt;"",XLOOKUP($F153,Productos!$A:$A,Productos!J:J,"Revisar"),"")</f>
        <v/>
      </c>
      <c r="R153" s="179" t="str">
        <f t="array" ref="R153">IF($F153&lt;&gt;"", XLOOKUP($F153,Productos!$A$2:$A1001,Productos!K$2:K1001,"")*$G153,"")</f>
        <v/>
      </c>
      <c r="S153" s="179" t="str">
        <f t="array" ref="S153">IF($F153&lt;&gt;"",XLOOKUP($F153,Productos!$A:$A,Productos!L:L,"Revisar"),"")</f>
        <v/>
      </c>
      <c r="T153" s="179" t="str">
        <f t="array" ref="T153">IF($F153&lt;&gt;"", XLOOKUP($F153,Productos!$A$2:$A1001,Productos!M$2:M1001,"")*$G153,"")</f>
        <v/>
      </c>
      <c r="U153" s="179" t="str">
        <f t="array" ref="U153">IF($F153&lt;&gt;"",XLOOKUP($F153,Productos!$A:$A,Productos!N:N,"Revisar"),"")</f>
        <v/>
      </c>
      <c r="V153" s="179" t="str">
        <f t="array" ref="V153">IF($F153&lt;&gt;"", XLOOKUP($F153,Productos!$A$2:$A1001,Productos!O$2:O1001,"")*$G153,"")</f>
        <v/>
      </c>
      <c r="W153" s="179" t="str">
        <f t="array" ref="W153">IF($F153&lt;&gt;"",XLOOKUP($F153,Productos!$A:$A,Productos!P:P,"Revisar"),"")</f>
        <v/>
      </c>
      <c r="X153" s="179" t="str">
        <f t="array" ref="X153">IF($F153&lt;&gt;"", XLOOKUP($F153,Productos!$A$2:$A1001,Productos!Q$2:Q1001,"")*$G153,"")</f>
        <v/>
      </c>
      <c r="Y153" s="179" t="str">
        <f t="array" ref="Y153">IF($F153&lt;&gt;"",XLOOKUP($F153,Productos!$A:$A,Productos!R:R,"Revisar"),"")</f>
        <v/>
      </c>
      <c r="Z153" s="179" t="str">
        <f t="array" ref="Z153">IF($F153&lt;&gt;"", XLOOKUP($F153,Productos!$A$2:$A1001,Productos!S$2:S1001,"")*$G153,"")</f>
        <v/>
      </c>
      <c r="AA153" s="179" t="str">
        <f t="array" ref="AA153">IF($F153&lt;&gt;"",XLOOKUP($F153,Productos!$A:$A,Productos!T:T,"Revisar"),"")</f>
        <v/>
      </c>
      <c r="AB153" s="179" t="str">
        <f t="array" ref="AB153">IF($F153&lt;&gt;"", XLOOKUP($F153,Productos!$A$2:$A1001,Productos!U$2:U1001,"")*$G153,"")</f>
        <v/>
      </c>
      <c r="AC153" s="179" t="str">
        <f t="array" ref="AC153">IF($F153&lt;&gt;"",XLOOKUP($F153,Productos!$A:$A,Productos!V:V,"Revisar"),"")</f>
        <v/>
      </c>
      <c r="AD153" s="179" t="str">
        <f t="array" ref="AD153">IF($F153&lt;&gt;"", XLOOKUP($F153,Productos!$A$2:$A1001,Productos!W$2:W1001,"")*$G153,"")</f>
        <v/>
      </c>
      <c r="AE153" s="179" t="str">
        <f t="array" ref="AE153">IF($F153&lt;&gt;"",XLOOKUP($F153,Productos!$A:$A,Productos!X:X,"Revisar"),"")</f>
        <v/>
      </c>
      <c r="AF153" s="179" t="str">
        <f t="array" ref="AF153">IF($F153&lt;&gt;"", XLOOKUP($F153,Productos!$A$2:$A1001,Productos!Y$2:Y1001,"")*$G153,"")</f>
        <v/>
      </c>
      <c r="AG153" s="179" t="str">
        <f t="array" ref="AG153">IF($F153&lt;&gt;"",XLOOKUP($F153,Productos!$A:$A,Productos!Z:Z,"Revisar"),"")</f>
        <v/>
      </c>
      <c r="AH153" s="179" t="str">
        <f t="array" ref="AH153">IF($F153&lt;&gt;"", XLOOKUP($F153,Productos!$A$2:$A1001,Productos!AA$2:AA1001,"")*$G153,"")</f>
        <v/>
      </c>
      <c r="AI153" s="179" t="str">
        <f t="array" ref="AI153">IF($F153&lt;&gt;"",XLOOKUP($F153,Productos!$A:$A,Productos!AB:AB,"Revisar"),"")</f>
        <v/>
      </c>
      <c r="AJ153" s="179" t="str">
        <f t="array" ref="AJ153">IF($F153&lt;&gt;"", XLOOKUP($F153,Productos!$A$2:$A1001,Productos!AC$2:AC1001,"")*$G153,"")</f>
        <v/>
      </c>
      <c r="AK153" s="179" t="str">
        <f t="array" ref="AK153">IF($F153&lt;&gt;"",XLOOKUP($F153,Productos!$A:$A,Productos!AD:AD,"Revisar"),"")</f>
        <v/>
      </c>
      <c r="AL153" s="179" t="str">
        <f t="array" ref="AL153">IF($F153&lt;&gt;"", XLOOKUP($F153,Productos!$A$2:$A1001,Productos!AE$2:AE1001,"")*$G153,"")</f>
        <v/>
      </c>
      <c r="AM153" s="179" t="str">
        <f t="array" ref="AM153">IF($F153&lt;&gt;"",XLOOKUP($F153,Productos!$A:$A,Productos!AF:AF,"Revisar"),"")</f>
        <v/>
      </c>
      <c r="AN153" s="179" t="str">
        <f t="array" ref="AN153">IF($F153&lt;&gt;"", XLOOKUP($F153,Productos!$A$2:$A1001,Productos!AG$2:AG1001,"")*$G153,"")</f>
        <v/>
      </c>
      <c r="AO153" s="179" t="str">
        <f t="array" ref="AO153">IF($F153&lt;&gt;"",XLOOKUP($F153,Productos!$A:$A,Productos!AH:AH,"Revisar"),"")</f>
        <v/>
      </c>
      <c r="AP153" s="179" t="str">
        <f t="array" ref="AP153">IF($F153&lt;&gt;"", XLOOKUP($F153,Productos!$A$2:$A1001,Productos!AI$2:AI1001,"")*$G153,"")</f>
        <v/>
      </c>
      <c r="AQ153" s="179" t="str">
        <f t="array" ref="AQ153">IF($F153&lt;&gt;"",XLOOKUP($F153,Productos!$A:$A,Productos!AJ:AJ,"Revisar"),"")</f>
        <v/>
      </c>
      <c r="AR153" s="179" t="str">
        <f t="array" ref="AR153">IF($F153&lt;&gt;"", XLOOKUP($F153,Productos!$A$2:$A1001,Productos!AK$2:AK1001,"")*$G153,"")</f>
        <v/>
      </c>
      <c r="AS153" s="179" t="str">
        <f t="array" ref="AS153">IF($F153&lt;&gt;"",XLOOKUP($F153,Productos!$A:$A,Productos!AL:AL,"Revisar"),"")</f>
        <v/>
      </c>
      <c r="AT153" s="179" t="str">
        <f t="array" ref="AT153">IF($F153&lt;&gt;"", XLOOKUP($F153,Productos!$A$2:$A1001,Productos!AM$2:AM1001,"")*$G153,"")</f>
        <v/>
      </c>
      <c r="AU153" s="179" t="str">
        <f t="array" ref="AU153">IF($F153&lt;&gt;"",XLOOKUP($F153,Productos!$A:$A,Productos!AN:AN,"Revisar"),"")</f>
        <v/>
      </c>
      <c r="AV153" s="179" t="str">
        <f t="array" ref="AV153">IF($F153&lt;&gt;"", XLOOKUP($F153,Productos!$A$2:$A1001,Productos!AO$2:AO1001,"")*$G153,"")</f>
        <v/>
      </c>
      <c r="AW153" s="179" t="str">
        <f t="array" ref="AW153">IF($F153&lt;&gt;"",XLOOKUP($F153,Productos!$A:$A,Productos!AP:AP,"Revisar"),"")</f>
        <v/>
      </c>
      <c r="AX153" s="179" t="str">
        <f t="array" ref="AX153">IF($F153&lt;&gt;"", XLOOKUP($F153,Productos!$A$2:$A1001,Productos!AQ$2:AQ1001,"")*$G153,"")</f>
        <v/>
      </c>
      <c r="AY153" s="179" t="str">
        <f t="array" ref="AY153">IF($F153&lt;&gt;"",XLOOKUP($F153,Productos!$A:$A,Productos!AR:AR,"Revisar"),"")</f>
        <v/>
      </c>
      <c r="AZ153" s="179" t="str">
        <f t="array" ref="AZ153">IF($F153&lt;&gt;"", XLOOKUP($F153,Productos!$A$2:$A1001,Productos!AS$2:AS1001,"")*$G153,"")</f>
        <v/>
      </c>
      <c r="BA153" s="179" t="str">
        <f t="array" ref="BA153">IF($F153&lt;&gt;"",XLOOKUP($F153,Productos!$A:$A,Productos!AT:AT,"Revisar"),"")</f>
        <v/>
      </c>
      <c r="BB153" s="179" t="str">
        <f t="array" ref="BB153">IF($F153&lt;&gt;"", XLOOKUP($F153,Productos!$A$2:$A1001,Productos!AU$2:AU1001,"")*$G153,"")</f>
        <v/>
      </c>
      <c r="BC153" s="179" t="str">
        <f t="array" ref="BC153">IF($F153&lt;&gt;"",XLOOKUP($F153,Productos!$A:$A,Productos!AV:AV,"Revisar"),"")</f>
        <v/>
      </c>
      <c r="BD153" s="179" t="str">
        <f t="array" ref="BD153">IF($F153&lt;&gt;"", XLOOKUP($F153,Productos!$A$2:$A1001,Productos!AW$2:AW1001,"")*$G153,"")</f>
        <v/>
      </c>
      <c r="BE153" s="179" t="str">
        <f t="array" ref="BE153">IF($F153&lt;&gt;"",XLOOKUP($F153,Productos!$A:$A,Productos!AX:AX,"Revisar"),"")</f>
        <v/>
      </c>
      <c r="BF153" s="179" t="str">
        <f t="array" ref="BF153">IF($F153&lt;&gt;"", XLOOKUP($F153,Productos!$A$2:$A1001,Productos!AY$2:AY1001,"")*$G153,"")</f>
        <v/>
      </c>
      <c r="BG153" s="179" t="str">
        <f t="array" ref="BG153">IF($F153&lt;&gt;"",XLOOKUP($F153,Productos!$A:$A,Productos!AZ:AZ,"Revisar"),"")</f>
        <v/>
      </c>
      <c r="BH153" s="179" t="str">
        <f t="array" ref="BH153">IF($F153&lt;&gt;"", XLOOKUP($F153,Productos!$A$2:$A1001,Productos!BA$2:BA1001,"")*$G153,"")</f>
        <v/>
      </c>
      <c r="BI153" s="179" t="str">
        <f t="array" ref="BI153">IF($F153&lt;&gt;"",XLOOKUP($F153,Productos!$A:$A,Productos!BB:BB,"Revisar"),"")</f>
        <v/>
      </c>
      <c r="BJ153" s="179" t="str">
        <f t="array" ref="BJ153">IF($F153&lt;&gt;"", XLOOKUP($F153,Productos!$A$2:$A1001,Productos!BC$2:BC1001,"")*$G153,"")</f>
        <v/>
      </c>
      <c r="BK153" s="179" t="str">
        <f t="array" ref="BK153">IF($F153&lt;&gt;"",XLOOKUP($F153,Productos!$A:$A,Productos!BD:BD,"Revisar"),"")</f>
        <v/>
      </c>
      <c r="BL153" s="179" t="str">
        <f t="array" ref="BL153">IF($F153&lt;&gt;"", XLOOKUP($F153,Productos!$A$2:$A1001,Productos!BE$2:BE1001,"")*$G153,"")</f>
        <v/>
      </c>
      <c r="BM153" s="179" t="str">
        <f t="array" ref="BM153">IF($F153&lt;&gt;"",XLOOKUP($F153,Productos!$A:$A,Productos!BF:BF,"Revisar"),"")</f>
        <v/>
      </c>
      <c r="BN153" s="179" t="str">
        <f t="array" ref="BN153">IF($F153&lt;&gt;"", XLOOKUP($F153,Productos!$A$2:$A1001,Productos!BG$2:BG1001,"")*$G153,"")</f>
        <v/>
      </c>
      <c r="BO153" s="179" t="str">
        <f t="array" ref="BO153">IF($F153&lt;&gt;"",XLOOKUP($F153,Productos!$A:$A,Productos!BH:BH,"Revisar"),"")</f>
        <v/>
      </c>
      <c r="BP153" s="179" t="str">
        <f t="array" ref="BP153">IF($F153&lt;&gt;"", XLOOKUP($F153,Productos!$A$2:$A1001,Productos!BI$2:BI1001,"")*$G153,"")</f>
        <v/>
      </c>
      <c r="BQ153" s="179" t="str">
        <f t="array" ref="BQ153">IF($F153&lt;&gt;"",XLOOKUP($F153,Productos!$A:$A,Productos!BJ:BJ,"Revisar"),"")</f>
        <v/>
      </c>
      <c r="BR153" s="179" t="str">
        <f t="array" ref="BR153">IF($F153&lt;&gt;"", XLOOKUP($F153,Productos!$A$2:$A1001,Productos!BK$2:BK1001,"")*$G153,"")</f>
        <v/>
      </c>
      <c r="BS153" s="179" t="str">
        <f t="array" ref="BS153">IF($F153&lt;&gt;"",XLOOKUP($F153,Productos!$A:$A,Productos!BL:BL,"Revisar"),"")</f>
        <v/>
      </c>
      <c r="BT153" s="179" t="str">
        <f t="array" ref="BT153">IF($F153&lt;&gt;"", XLOOKUP($F153,Productos!$A$2:$A1001,Productos!BM$2:BM1001,"")*$G153,"")</f>
        <v/>
      </c>
      <c r="BU153" s="179" t="str">
        <f t="array" ref="BU153">IF($F153&lt;&gt;"",XLOOKUP($F153,Productos!$A:$A,Productos!BN:BN,"Revisar"),"")</f>
        <v/>
      </c>
      <c r="BV153" s="179" t="str">
        <f t="array" ref="BV153">IF($F153&lt;&gt;"", XLOOKUP($F153,Productos!$A$2:$A1001,Productos!BO$2:BO1001,"")*$G153,"")</f>
        <v/>
      </c>
      <c r="BW153" s="179" t="str">
        <f t="array" ref="BW153">IF($F153&lt;&gt;"",XLOOKUP($F153,Productos!$A:$A,Productos!BP:BP,"Revisar"),"")</f>
        <v/>
      </c>
      <c r="BX153" s="179" t="str">
        <f t="array" ref="BX153">IF($F153&lt;&gt;"", XLOOKUP($F153,Productos!$A$2:$A1001,Productos!BQ$2:BQ1001,"")*$G153,"")</f>
        <v/>
      </c>
      <c r="BY153" s="179" t="str">
        <f t="array" ref="BY153">IF($F153&lt;&gt;"",XLOOKUP($F153,Productos!$A:$A,Productos!BR:BR,"Revisar"),"")</f>
        <v/>
      </c>
      <c r="BZ153" s="179" t="str">
        <f t="array" ref="BZ153">IF($F153&lt;&gt;"", XLOOKUP($F153,Productos!$A$2:$A1001,Productos!BS$2:BS1001,"")*$G153,"")</f>
        <v/>
      </c>
    </row>
    <row r="154">
      <c r="A154" s="180"/>
      <c r="B154" s="181"/>
      <c r="C154" s="182"/>
      <c r="D154" s="182"/>
      <c r="E154" s="185"/>
      <c r="F154" s="186"/>
      <c r="G154" s="187"/>
      <c r="H154" s="186"/>
      <c r="I154" s="179" t="str">
        <f t="array" ref="I154">IF($F154&lt;&gt;"",XLOOKUP($F154,Productos!$A:$A,Productos!B:B,"Revisar"),"")</f>
        <v/>
      </c>
      <c r="J154" s="179" t="str">
        <f t="array" ref="J154">IF($F154&lt;&gt;"", XLOOKUP($F154,Productos!$A$2:$A1001,Productos!C$2:C1001,"")*$G154,"")</f>
        <v/>
      </c>
      <c r="K154" s="179" t="str">
        <f t="array" ref="K154">IF($F154&lt;&gt;"",XLOOKUP($F154,Productos!$A:$A,Productos!D:D,"Revisar"),"")</f>
        <v/>
      </c>
      <c r="L154" s="179" t="str">
        <f t="array" ref="L154">IF($F154&lt;&gt;"", XLOOKUP($F154,Productos!$A$2:$A1001,Productos!E$2:E1001,"")*$G154,"")</f>
        <v/>
      </c>
      <c r="M154" s="179" t="str">
        <f t="array" ref="M154">IF($F154&lt;&gt;"",XLOOKUP($F154,Productos!$A:$A,Productos!F:F,"Revisar"),"")</f>
        <v/>
      </c>
      <c r="N154" s="179" t="str">
        <f t="array" ref="N154">IF($F154&lt;&gt;"", XLOOKUP($F154,Productos!$A$2:$A1001,Productos!G$2:G1001,"")*$G154,"")</f>
        <v/>
      </c>
      <c r="O154" s="179" t="str">
        <f t="array" ref="O154">IF($F154&lt;&gt;"",XLOOKUP($F154,Productos!$A:$A,Productos!H:H,"Revisar"),"")</f>
        <v/>
      </c>
      <c r="P154" s="179" t="str">
        <f t="array" ref="P154">IF($F154&lt;&gt;"", XLOOKUP($F154,Productos!$A$2:$A1001,Productos!I$2:I1001,"")*$G154,"")</f>
        <v/>
      </c>
      <c r="Q154" s="179" t="str">
        <f t="array" ref="Q154">IF($F154&lt;&gt;"",XLOOKUP($F154,Productos!$A:$A,Productos!J:J,"Revisar"),"")</f>
        <v/>
      </c>
      <c r="R154" s="179" t="str">
        <f t="array" ref="R154">IF($F154&lt;&gt;"", XLOOKUP($F154,Productos!$A$2:$A1001,Productos!K$2:K1001,"")*$G154,"")</f>
        <v/>
      </c>
      <c r="S154" s="179" t="str">
        <f t="array" ref="S154">IF($F154&lt;&gt;"",XLOOKUP($F154,Productos!$A:$A,Productos!L:L,"Revisar"),"")</f>
        <v/>
      </c>
      <c r="T154" s="179" t="str">
        <f t="array" ref="T154">IF($F154&lt;&gt;"", XLOOKUP($F154,Productos!$A$2:$A1001,Productos!M$2:M1001,"")*$G154,"")</f>
        <v/>
      </c>
      <c r="U154" s="179" t="str">
        <f t="array" ref="U154">IF($F154&lt;&gt;"",XLOOKUP($F154,Productos!$A:$A,Productos!N:N,"Revisar"),"")</f>
        <v/>
      </c>
      <c r="V154" s="179" t="str">
        <f t="array" ref="V154">IF($F154&lt;&gt;"", XLOOKUP($F154,Productos!$A$2:$A1001,Productos!O$2:O1001,"")*$G154,"")</f>
        <v/>
      </c>
      <c r="W154" s="179" t="str">
        <f t="array" ref="W154">IF($F154&lt;&gt;"",XLOOKUP($F154,Productos!$A:$A,Productos!P:P,"Revisar"),"")</f>
        <v/>
      </c>
      <c r="X154" s="179" t="str">
        <f t="array" ref="X154">IF($F154&lt;&gt;"", XLOOKUP($F154,Productos!$A$2:$A1001,Productos!Q$2:Q1001,"")*$G154,"")</f>
        <v/>
      </c>
      <c r="Y154" s="179" t="str">
        <f t="array" ref="Y154">IF($F154&lt;&gt;"",XLOOKUP($F154,Productos!$A:$A,Productos!R:R,"Revisar"),"")</f>
        <v/>
      </c>
      <c r="Z154" s="179" t="str">
        <f t="array" ref="Z154">IF($F154&lt;&gt;"", XLOOKUP($F154,Productos!$A$2:$A1001,Productos!S$2:S1001,"")*$G154,"")</f>
        <v/>
      </c>
      <c r="AA154" s="179" t="str">
        <f t="array" ref="AA154">IF($F154&lt;&gt;"",XLOOKUP($F154,Productos!$A:$A,Productos!T:T,"Revisar"),"")</f>
        <v/>
      </c>
      <c r="AB154" s="179" t="str">
        <f t="array" ref="AB154">IF($F154&lt;&gt;"", XLOOKUP($F154,Productos!$A$2:$A1001,Productos!U$2:U1001,"")*$G154,"")</f>
        <v/>
      </c>
      <c r="AC154" s="179" t="str">
        <f t="array" ref="AC154">IF($F154&lt;&gt;"",XLOOKUP($F154,Productos!$A:$A,Productos!V:V,"Revisar"),"")</f>
        <v/>
      </c>
      <c r="AD154" s="179" t="str">
        <f t="array" ref="AD154">IF($F154&lt;&gt;"", XLOOKUP($F154,Productos!$A$2:$A1001,Productos!W$2:W1001,"")*$G154,"")</f>
        <v/>
      </c>
      <c r="AE154" s="179" t="str">
        <f t="array" ref="AE154">IF($F154&lt;&gt;"",XLOOKUP($F154,Productos!$A:$A,Productos!X:X,"Revisar"),"")</f>
        <v/>
      </c>
      <c r="AF154" s="179" t="str">
        <f t="array" ref="AF154">IF($F154&lt;&gt;"", XLOOKUP($F154,Productos!$A$2:$A1001,Productos!Y$2:Y1001,"")*$G154,"")</f>
        <v/>
      </c>
      <c r="AG154" s="179" t="str">
        <f t="array" ref="AG154">IF($F154&lt;&gt;"",XLOOKUP($F154,Productos!$A:$A,Productos!Z:Z,"Revisar"),"")</f>
        <v/>
      </c>
      <c r="AH154" s="179" t="str">
        <f t="array" ref="AH154">IF($F154&lt;&gt;"", XLOOKUP($F154,Productos!$A$2:$A1001,Productos!AA$2:AA1001,"")*$G154,"")</f>
        <v/>
      </c>
      <c r="AI154" s="179" t="str">
        <f t="array" ref="AI154">IF($F154&lt;&gt;"",XLOOKUP($F154,Productos!$A:$A,Productos!AB:AB,"Revisar"),"")</f>
        <v/>
      </c>
      <c r="AJ154" s="179" t="str">
        <f t="array" ref="AJ154">IF($F154&lt;&gt;"", XLOOKUP($F154,Productos!$A$2:$A1001,Productos!AC$2:AC1001,"")*$G154,"")</f>
        <v/>
      </c>
      <c r="AK154" s="179" t="str">
        <f t="array" ref="AK154">IF($F154&lt;&gt;"",XLOOKUP($F154,Productos!$A:$A,Productos!AD:AD,"Revisar"),"")</f>
        <v/>
      </c>
      <c r="AL154" s="179" t="str">
        <f t="array" ref="AL154">IF($F154&lt;&gt;"", XLOOKUP($F154,Productos!$A$2:$A1001,Productos!AE$2:AE1001,"")*$G154,"")</f>
        <v/>
      </c>
      <c r="AM154" s="179" t="str">
        <f t="array" ref="AM154">IF($F154&lt;&gt;"",XLOOKUP($F154,Productos!$A:$A,Productos!AF:AF,"Revisar"),"")</f>
        <v/>
      </c>
      <c r="AN154" s="179" t="str">
        <f t="array" ref="AN154">IF($F154&lt;&gt;"", XLOOKUP($F154,Productos!$A$2:$A1001,Productos!AG$2:AG1001,"")*$G154,"")</f>
        <v/>
      </c>
      <c r="AO154" s="179" t="str">
        <f t="array" ref="AO154">IF($F154&lt;&gt;"",XLOOKUP($F154,Productos!$A:$A,Productos!AH:AH,"Revisar"),"")</f>
        <v/>
      </c>
      <c r="AP154" s="179" t="str">
        <f t="array" ref="AP154">IF($F154&lt;&gt;"", XLOOKUP($F154,Productos!$A$2:$A1001,Productos!AI$2:AI1001,"")*$G154,"")</f>
        <v/>
      </c>
      <c r="AQ154" s="179" t="str">
        <f t="array" ref="AQ154">IF($F154&lt;&gt;"",XLOOKUP($F154,Productos!$A:$A,Productos!AJ:AJ,"Revisar"),"")</f>
        <v/>
      </c>
      <c r="AR154" s="179" t="str">
        <f t="array" ref="AR154">IF($F154&lt;&gt;"", XLOOKUP($F154,Productos!$A$2:$A1001,Productos!AK$2:AK1001,"")*$G154,"")</f>
        <v/>
      </c>
      <c r="AS154" s="179" t="str">
        <f t="array" ref="AS154">IF($F154&lt;&gt;"",XLOOKUP($F154,Productos!$A:$A,Productos!AL:AL,"Revisar"),"")</f>
        <v/>
      </c>
      <c r="AT154" s="179" t="str">
        <f t="array" ref="AT154">IF($F154&lt;&gt;"", XLOOKUP($F154,Productos!$A$2:$A1001,Productos!AM$2:AM1001,"")*$G154,"")</f>
        <v/>
      </c>
      <c r="AU154" s="179" t="str">
        <f t="array" ref="AU154">IF($F154&lt;&gt;"",XLOOKUP($F154,Productos!$A:$A,Productos!AN:AN,"Revisar"),"")</f>
        <v/>
      </c>
      <c r="AV154" s="179" t="str">
        <f t="array" ref="AV154">IF($F154&lt;&gt;"", XLOOKUP($F154,Productos!$A$2:$A1001,Productos!AO$2:AO1001,"")*$G154,"")</f>
        <v/>
      </c>
      <c r="AW154" s="179" t="str">
        <f t="array" ref="AW154">IF($F154&lt;&gt;"",XLOOKUP($F154,Productos!$A:$A,Productos!AP:AP,"Revisar"),"")</f>
        <v/>
      </c>
      <c r="AX154" s="179" t="str">
        <f t="array" ref="AX154">IF($F154&lt;&gt;"", XLOOKUP($F154,Productos!$A$2:$A1001,Productos!AQ$2:AQ1001,"")*$G154,"")</f>
        <v/>
      </c>
      <c r="AY154" s="179" t="str">
        <f t="array" ref="AY154">IF($F154&lt;&gt;"",XLOOKUP($F154,Productos!$A:$A,Productos!AR:AR,"Revisar"),"")</f>
        <v/>
      </c>
      <c r="AZ154" s="179" t="str">
        <f t="array" ref="AZ154">IF($F154&lt;&gt;"", XLOOKUP($F154,Productos!$A$2:$A1001,Productos!AS$2:AS1001,"")*$G154,"")</f>
        <v/>
      </c>
      <c r="BA154" s="179" t="str">
        <f t="array" ref="BA154">IF($F154&lt;&gt;"",XLOOKUP($F154,Productos!$A:$A,Productos!AT:AT,"Revisar"),"")</f>
        <v/>
      </c>
      <c r="BB154" s="179" t="str">
        <f t="array" ref="BB154">IF($F154&lt;&gt;"", XLOOKUP($F154,Productos!$A$2:$A1001,Productos!AU$2:AU1001,"")*$G154,"")</f>
        <v/>
      </c>
      <c r="BC154" s="179" t="str">
        <f t="array" ref="BC154">IF($F154&lt;&gt;"",XLOOKUP($F154,Productos!$A:$A,Productos!AV:AV,"Revisar"),"")</f>
        <v/>
      </c>
      <c r="BD154" s="179" t="str">
        <f t="array" ref="BD154">IF($F154&lt;&gt;"", XLOOKUP($F154,Productos!$A$2:$A1001,Productos!AW$2:AW1001,"")*$G154,"")</f>
        <v/>
      </c>
      <c r="BE154" s="179" t="str">
        <f t="array" ref="BE154">IF($F154&lt;&gt;"",XLOOKUP($F154,Productos!$A:$A,Productos!AX:AX,"Revisar"),"")</f>
        <v/>
      </c>
      <c r="BF154" s="179" t="str">
        <f t="array" ref="BF154">IF($F154&lt;&gt;"", XLOOKUP($F154,Productos!$A$2:$A1001,Productos!AY$2:AY1001,"")*$G154,"")</f>
        <v/>
      </c>
      <c r="BG154" s="179" t="str">
        <f t="array" ref="BG154">IF($F154&lt;&gt;"",XLOOKUP($F154,Productos!$A:$A,Productos!AZ:AZ,"Revisar"),"")</f>
        <v/>
      </c>
      <c r="BH154" s="179" t="str">
        <f t="array" ref="BH154">IF($F154&lt;&gt;"", XLOOKUP($F154,Productos!$A$2:$A1001,Productos!BA$2:BA1001,"")*$G154,"")</f>
        <v/>
      </c>
      <c r="BI154" s="179" t="str">
        <f t="array" ref="BI154">IF($F154&lt;&gt;"",XLOOKUP($F154,Productos!$A:$A,Productos!BB:BB,"Revisar"),"")</f>
        <v/>
      </c>
      <c r="BJ154" s="179" t="str">
        <f t="array" ref="BJ154">IF($F154&lt;&gt;"", XLOOKUP($F154,Productos!$A$2:$A1001,Productos!BC$2:BC1001,"")*$G154,"")</f>
        <v/>
      </c>
      <c r="BK154" s="179" t="str">
        <f t="array" ref="BK154">IF($F154&lt;&gt;"",XLOOKUP($F154,Productos!$A:$A,Productos!BD:BD,"Revisar"),"")</f>
        <v/>
      </c>
      <c r="BL154" s="179" t="str">
        <f t="array" ref="BL154">IF($F154&lt;&gt;"", XLOOKUP($F154,Productos!$A$2:$A1001,Productos!BE$2:BE1001,"")*$G154,"")</f>
        <v/>
      </c>
      <c r="BM154" s="179" t="str">
        <f t="array" ref="BM154">IF($F154&lt;&gt;"",XLOOKUP($F154,Productos!$A:$A,Productos!BF:BF,"Revisar"),"")</f>
        <v/>
      </c>
      <c r="BN154" s="179" t="str">
        <f t="array" ref="BN154">IF($F154&lt;&gt;"", XLOOKUP($F154,Productos!$A$2:$A1001,Productos!BG$2:BG1001,"")*$G154,"")</f>
        <v/>
      </c>
      <c r="BO154" s="179" t="str">
        <f t="array" ref="BO154">IF($F154&lt;&gt;"",XLOOKUP($F154,Productos!$A:$A,Productos!BH:BH,"Revisar"),"")</f>
        <v/>
      </c>
      <c r="BP154" s="179" t="str">
        <f t="array" ref="BP154">IF($F154&lt;&gt;"", XLOOKUP($F154,Productos!$A$2:$A1001,Productos!BI$2:BI1001,"")*$G154,"")</f>
        <v/>
      </c>
      <c r="BQ154" s="179" t="str">
        <f t="array" ref="BQ154">IF($F154&lt;&gt;"",XLOOKUP($F154,Productos!$A:$A,Productos!BJ:BJ,"Revisar"),"")</f>
        <v/>
      </c>
      <c r="BR154" s="179" t="str">
        <f t="array" ref="BR154">IF($F154&lt;&gt;"", XLOOKUP($F154,Productos!$A$2:$A1001,Productos!BK$2:BK1001,"")*$G154,"")</f>
        <v/>
      </c>
      <c r="BS154" s="179" t="str">
        <f t="array" ref="BS154">IF($F154&lt;&gt;"",XLOOKUP($F154,Productos!$A:$A,Productos!BL:BL,"Revisar"),"")</f>
        <v/>
      </c>
      <c r="BT154" s="179" t="str">
        <f t="array" ref="BT154">IF($F154&lt;&gt;"", XLOOKUP($F154,Productos!$A$2:$A1001,Productos!BM$2:BM1001,"")*$G154,"")</f>
        <v/>
      </c>
      <c r="BU154" s="179" t="str">
        <f t="array" ref="BU154">IF($F154&lt;&gt;"",XLOOKUP($F154,Productos!$A:$A,Productos!BN:BN,"Revisar"),"")</f>
        <v/>
      </c>
      <c r="BV154" s="179" t="str">
        <f t="array" ref="BV154">IF($F154&lt;&gt;"", XLOOKUP($F154,Productos!$A$2:$A1001,Productos!BO$2:BO1001,"")*$G154,"")</f>
        <v/>
      </c>
      <c r="BW154" s="179" t="str">
        <f t="array" ref="BW154">IF($F154&lt;&gt;"",XLOOKUP($F154,Productos!$A:$A,Productos!BP:BP,"Revisar"),"")</f>
        <v/>
      </c>
      <c r="BX154" s="179" t="str">
        <f t="array" ref="BX154">IF($F154&lt;&gt;"", XLOOKUP($F154,Productos!$A$2:$A1001,Productos!BQ$2:BQ1001,"")*$G154,"")</f>
        <v/>
      </c>
      <c r="BY154" s="179" t="str">
        <f t="array" ref="BY154">IF($F154&lt;&gt;"",XLOOKUP($F154,Productos!$A:$A,Productos!BR:BR,"Revisar"),"")</f>
        <v/>
      </c>
      <c r="BZ154" s="179" t="str">
        <f t="array" ref="BZ154">IF($F154&lt;&gt;"", XLOOKUP($F154,Productos!$A$2:$A1001,Productos!BS$2:BS1001,"")*$G154,"")</f>
        <v/>
      </c>
    </row>
    <row r="155">
      <c r="A155" s="180"/>
      <c r="B155" s="181"/>
      <c r="C155" s="182"/>
      <c r="D155" s="182"/>
      <c r="E155" s="185"/>
      <c r="F155" s="186"/>
      <c r="G155" s="187"/>
      <c r="H155" s="186"/>
      <c r="I155" s="179" t="str">
        <f t="array" ref="I155">IF($F155&lt;&gt;"",XLOOKUP($F155,Productos!$A:$A,Productos!B:B,"Revisar"),"")</f>
        <v/>
      </c>
      <c r="J155" s="179" t="str">
        <f t="array" ref="J155">IF($F155&lt;&gt;"", XLOOKUP($F155,Productos!$A$2:$A1001,Productos!C$2:C1001,"")*$G155,"")</f>
        <v/>
      </c>
      <c r="K155" s="179" t="str">
        <f t="array" ref="K155">IF($F155&lt;&gt;"",XLOOKUP($F155,Productos!$A:$A,Productos!D:D,"Revisar"),"")</f>
        <v/>
      </c>
      <c r="L155" s="179" t="str">
        <f t="array" ref="L155">IF($F155&lt;&gt;"", XLOOKUP($F155,Productos!$A$2:$A1001,Productos!E$2:E1001,"")*$G155,"")</f>
        <v/>
      </c>
      <c r="M155" s="179" t="str">
        <f t="array" ref="M155">IF($F155&lt;&gt;"",XLOOKUP($F155,Productos!$A:$A,Productos!F:F,"Revisar"),"")</f>
        <v/>
      </c>
      <c r="N155" s="179" t="str">
        <f t="array" ref="N155">IF($F155&lt;&gt;"", XLOOKUP($F155,Productos!$A$2:$A1001,Productos!G$2:G1001,"")*$G155,"")</f>
        <v/>
      </c>
      <c r="O155" s="179" t="str">
        <f t="array" ref="O155">IF($F155&lt;&gt;"",XLOOKUP($F155,Productos!$A:$A,Productos!H:H,"Revisar"),"")</f>
        <v/>
      </c>
      <c r="P155" s="179" t="str">
        <f t="array" ref="P155">IF($F155&lt;&gt;"", XLOOKUP($F155,Productos!$A$2:$A1001,Productos!I$2:I1001,"")*$G155,"")</f>
        <v/>
      </c>
      <c r="Q155" s="179" t="str">
        <f t="array" ref="Q155">IF($F155&lt;&gt;"",XLOOKUP($F155,Productos!$A:$A,Productos!J:J,"Revisar"),"")</f>
        <v/>
      </c>
      <c r="R155" s="179" t="str">
        <f t="array" ref="R155">IF($F155&lt;&gt;"", XLOOKUP($F155,Productos!$A$2:$A1001,Productos!K$2:K1001,"")*$G155,"")</f>
        <v/>
      </c>
      <c r="S155" s="179" t="str">
        <f t="array" ref="S155">IF($F155&lt;&gt;"",XLOOKUP($F155,Productos!$A:$A,Productos!L:L,"Revisar"),"")</f>
        <v/>
      </c>
      <c r="T155" s="179" t="str">
        <f t="array" ref="T155">IF($F155&lt;&gt;"", XLOOKUP($F155,Productos!$A$2:$A1001,Productos!M$2:M1001,"")*$G155,"")</f>
        <v/>
      </c>
      <c r="U155" s="179" t="str">
        <f t="array" ref="U155">IF($F155&lt;&gt;"",XLOOKUP($F155,Productos!$A:$A,Productos!N:N,"Revisar"),"")</f>
        <v/>
      </c>
      <c r="V155" s="179" t="str">
        <f t="array" ref="V155">IF($F155&lt;&gt;"", XLOOKUP($F155,Productos!$A$2:$A1001,Productos!O$2:O1001,"")*$G155,"")</f>
        <v/>
      </c>
      <c r="W155" s="179" t="str">
        <f t="array" ref="W155">IF($F155&lt;&gt;"",XLOOKUP($F155,Productos!$A:$A,Productos!P:P,"Revisar"),"")</f>
        <v/>
      </c>
      <c r="X155" s="179" t="str">
        <f t="array" ref="X155">IF($F155&lt;&gt;"", XLOOKUP($F155,Productos!$A$2:$A1001,Productos!Q$2:Q1001,"")*$G155,"")</f>
        <v/>
      </c>
      <c r="Y155" s="179" t="str">
        <f t="array" ref="Y155">IF($F155&lt;&gt;"",XLOOKUP($F155,Productos!$A:$A,Productos!R:R,"Revisar"),"")</f>
        <v/>
      </c>
      <c r="Z155" s="179" t="str">
        <f t="array" ref="Z155">IF($F155&lt;&gt;"", XLOOKUP($F155,Productos!$A$2:$A1001,Productos!S$2:S1001,"")*$G155,"")</f>
        <v/>
      </c>
      <c r="AA155" s="179" t="str">
        <f t="array" ref="AA155">IF($F155&lt;&gt;"",XLOOKUP($F155,Productos!$A:$A,Productos!T:T,"Revisar"),"")</f>
        <v/>
      </c>
      <c r="AB155" s="179" t="str">
        <f t="array" ref="AB155">IF($F155&lt;&gt;"", XLOOKUP($F155,Productos!$A$2:$A1001,Productos!U$2:U1001,"")*$G155,"")</f>
        <v/>
      </c>
      <c r="AC155" s="179" t="str">
        <f t="array" ref="AC155">IF($F155&lt;&gt;"",XLOOKUP($F155,Productos!$A:$A,Productos!V:V,"Revisar"),"")</f>
        <v/>
      </c>
      <c r="AD155" s="179" t="str">
        <f t="array" ref="AD155">IF($F155&lt;&gt;"", XLOOKUP($F155,Productos!$A$2:$A1001,Productos!W$2:W1001,"")*$G155,"")</f>
        <v/>
      </c>
      <c r="AE155" s="179" t="str">
        <f t="array" ref="AE155">IF($F155&lt;&gt;"",XLOOKUP($F155,Productos!$A:$A,Productos!X:X,"Revisar"),"")</f>
        <v/>
      </c>
      <c r="AF155" s="179" t="str">
        <f t="array" ref="AF155">IF($F155&lt;&gt;"", XLOOKUP($F155,Productos!$A$2:$A1001,Productos!Y$2:Y1001,"")*$G155,"")</f>
        <v/>
      </c>
      <c r="AG155" s="179" t="str">
        <f t="array" ref="AG155">IF($F155&lt;&gt;"",XLOOKUP($F155,Productos!$A:$A,Productos!Z:Z,"Revisar"),"")</f>
        <v/>
      </c>
      <c r="AH155" s="179" t="str">
        <f t="array" ref="AH155">IF($F155&lt;&gt;"", XLOOKUP($F155,Productos!$A$2:$A1001,Productos!AA$2:AA1001,"")*$G155,"")</f>
        <v/>
      </c>
      <c r="AI155" s="179" t="str">
        <f t="array" ref="AI155">IF($F155&lt;&gt;"",XLOOKUP($F155,Productos!$A:$A,Productos!AB:AB,"Revisar"),"")</f>
        <v/>
      </c>
      <c r="AJ155" s="179" t="str">
        <f t="array" ref="AJ155">IF($F155&lt;&gt;"", XLOOKUP($F155,Productos!$A$2:$A1001,Productos!AC$2:AC1001,"")*$G155,"")</f>
        <v/>
      </c>
      <c r="AK155" s="179" t="str">
        <f t="array" ref="AK155">IF($F155&lt;&gt;"",XLOOKUP($F155,Productos!$A:$A,Productos!AD:AD,"Revisar"),"")</f>
        <v/>
      </c>
      <c r="AL155" s="179" t="str">
        <f t="array" ref="AL155">IF($F155&lt;&gt;"", XLOOKUP($F155,Productos!$A$2:$A1001,Productos!AE$2:AE1001,"")*$G155,"")</f>
        <v/>
      </c>
      <c r="AM155" s="179" t="str">
        <f t="array" ref="AM155">IF($F155&lt;&gt;"",XLOOKUP($F155,Productos!$A:$A,Productos!AF:AF,"Revisar"),"")</f>
        <v/>
      </c>
      <c r="AN155" s="179" t="str">
        <f t="array" ref="AN155">IF($F155&lt;&gt;"", XLOOKUP($F155,Productos!$A$2:$A1001,Productos!AG$2:AG1001,"")*$G155,"")</f>
        <v/>
      </c>
      <c r="AO155" s="179" t="str">
        <f t="array" ref="AO155">IF($F155&lt;&gt;"",XLOOKUP($F155,Productos!$A:$A,Productos!AH:AH,"Revisar"),"")</f>
        <v/>
      </c>
      <c r="AP155" s="179" t="str">
        <f t="array" ref="AP155">IF($F155&lt;&gt;"", XLOOKUP($F155,Productos!$A$2:$A1001,Productos!AI$2:AI1001,"")*$G155,"")</f>
        <v/>
      </c>
      <c r="AQ155" s="179" t="str">
        <f t="array" ref="AQ155">IF($F155&lt;&gt;"",XLOOKUP($F155,Productos!$A:$A,Productos!AJ:AJ,"Revisar"),"")</f>
        <v/>
      </c>
      <c r="AR155" s="179" t="str">
        <f t="array" ref="AR155">IF($F155&lt;&gt;"", XLOOKUP($F155,Productos!$A$2:$A1001,Productos!AK$2:AK1001,"")*$G155,"")</f>
        <v/>
      </c>
      <c r="AS155" s="179" t="str">
        <f t="array" ref="AS155">IF($F155&lt;&gt;"",XLOOKUP($F155,Productos!$A:$A,Productos!AL:AL,"Revisar"),"")</f>
        <v/>
      </c>
      <c r="AT155" s="179" t="str">
        <f t="array" ref="AT155">IF($F155&lt;&gt;"", XLOOKUP($F155,Productos!$A$2:$A1001,Productos!AM$2:AM1001,"")*$G155,"")</f>
        <v/>
      </c>
      <c r="AU155" s="179" t="str">
        <f t="array" ref="AU155">IF($F155&lt;&gt;"",XLOOKUP($F155,Productos!$A:$A,Productos!AN:AN,"Revisar"),"")</f>
        <v/>
      </c>
      <c r="AV155" s="179" t="str">
        <f t="array" ref="AV155">IF($F155&lt;&gt;"", XLOOKUP($F155,Productos!$A$2:$A1001,Productos!AO$2:AO1001,"")*$G155,"")</f>
        <v/>
      </c>
      <c r="AW155" s="179" t="str">
        <f t="array" ref="AW155">IF($F155&lt;&gt;"",XLOOKUP($F155,Productos!$A:$A,Productos!AP:AP,"Revisar"),"")</f>
        <v/>
      </c>
      <c r="AX155" s="179" t="str">
        <f t="array" ref="AX155">IF($F155&lt;&gt;"", XLOOKUP($F155,Productos!$A$2:$A1001,Productos!AQ$2:AQ1001,"")*$G155,"")</f>
        <v/>
      </c>
      <c r="AY155" s="179" t="str">
        <f t="array" ref="AY155">IF($F155&lt;&gt;"",XLOOKUP($F155,Productos!$A:$A,Productos!AR:AR,"Revisar"),"")</f>
        <v/>
      </c>
      <c r="AZ155" s="179" t="str">
        <f t="array" ref="AZ155">IF($F155&lt;&gt;"", XLOOKUP($F155,Productos!$A$2:$A1001,Productos!AS$2:AS1001,"")*$G155,"")</f>
        <v/>
      </c>
      <c r="BA155" s="179" t="str">
        <f t="array" ref="BA155">IF($F155&lt;&gt;"",XLOOKUP($F155,Productos!$A:$A,Productos!AT:AT,"Revisar"),"")</f>
        <v/>
      </c>
      <c r="BB155" s="179" t="str">
        <f t="array" ref="BB155">IF($F155&lt;&gt;"", XLOOKUP($F155,Productos!$A$2:$A1001,Productos!AU$2:AU1001,"")*$G155,"")</f>
        <v/>
      </c>
      <c r="BC155" s="179" t="str">
        <f t="array" ref="BC155">IF($F155&lt;&gt;"",XLOOKUP($F155,Productos!$A:$A,Productos!AV:AV,"Revisar"),"")</f>
        <v/>
      </c>
      <c r="BD155" s="179" t="str">
        <f t="array" ref="BD155">IF($F155&lt;&gt;"", XLOOKUP($F155,Productos!$A$2:$A1001,Productos!AW$2:AW1001,"")*$G155,"")</f>
        <v/>
      </c>
      <c r="BE155" s="179" t="str">
        <f t="array" ref="BE155">IF($F155&lt;&gt;"",XLOOKUP($F155,Productos!$A:$A,Productos!AX:AX,"Revisar"),"")</f>
        <v/>
      </c>
      <c r="BF155" s="179" t="str">
        <f t="array" ref="BF155">IF($F155&lt;&gt;"", XLOOKUP($F155,Productos!$A$2:$A1001,Productos!AY$2:AY1001,"")*$G155,"")</f>
        <v/>
      </c>
      <c r="BG155" s="179" t="str">
        <f t="array" ref="BG155">IF($F155&lt;&gt;"",XLOOKUP($F155,Productos!$A:$A,Productos!AZ:AZ,"Revisar"),"")</f>
        <v/>
      </c>
      <c r="BH155" s="179" t="str">
        <f t="array" ref="BH155">IF($F155&lt;&gt;"", XLOOKUP($F155,Productos!$A$2:$A1001,Productos!BA$2:BA1001,"")*$G155,"")</f>
        <v/>
      </c>
      <c r="BI155" s="179" t="str">
        <f t="array" ref="BI155">IF($F155&lt;&gt;"",XLOOKUP($F155,Productos!$A:$A,Productos!BB:BB,"Revisar"),"")</f>
        <v/>
      </c>
      <c r="BJ155" s="179" t="str">
        <f t="array" ref="BJ155">IF($F155&lt;&gt;"", XLOOKUP($F155,Productos!$A$2:$A1001,Productos!BC$2:BC1001,"")*$G155,"")</f>
        <v/>
      </c>
      <c r="BK155" s="179" t="str">
        <f t="array" ref="BK155">IF($F155&lt;&gt;"",XLOOKUP($F155,Productos!$A:$A,Productos!BD:BD,"Revisar"),"")</f>
        <v/>
      </c>
      <c r="BL155" s="179" t="str">
        <f t="array" ref="BL155">IF($F155&lt;&gt;"", XLOOKUP($F155,Productos!$A$2:$A1001,Productos!BE$2:BE1001,"")*$G155,"")</f>
        <v/>
      </c>
      <c r="BM155" s="179" t="str">
        <f t="array" ref="BM155">IF($F155&lt;&gt;"",XLOOKUP($F155,Productos!$A:$A,Productos!BF:BF,"Revisar"),"")</f>
        <v/>
      </c>
      <c r="BN155" s="179" t="str">
        <f t="array" ref="BN155">IF($F155&lt;&gt;"", XLOOKUP($F155,Productos!$A$2:$A1001,Productos!BG$2:BG1001,"")*$G155,"")</f>
        <v/>
      </c>
      <c r="BO155" s="179" t="str">
        <f t="array" ref="BO155">IF($F155&lt;&gt;"",XLOOKUP($F155,Productos!$A:$A,Productos!BH:BH,"Revisar"),"")</f>
        <v/>
      </c>
      <c r="BP155" s="179" t="str">
        <f t="array" ref="BP155">IF($F155&lt;&gt;"", XLOOKUP($F155,Productos!$A$2:$A1001,Productos!BI$2:BI1001,"")*$G155,"")</f>
        <v/>
      </c>
      <c r="BQ155" s="179" t="str">
        <f t="array" ref="BQ155">IF($F155&lt;&gt;"",XLOOKUP($F155,Productos!$A:$A,Productos!BJ:BJ,"Revisar"),"")</f>
        <v/>
      </c>
      <c r="BR155" s="179" t="str">
        <f t="array" ref="BR155">IF($F155&lt;&gt;"", XLOOKUP($F155,Productos!$A$2:$A1001,Productos!BK$2:BK1001,"")*$G155,"")</f>
        <v/>
      </c>
      <c r="BS155" s="179" t="str">
        <f t="array" ref="BS155">IF($F155&lt;&gt;"",XLOOKUP($F155,Productos!$A:$A,Productos!BL:BL,"Revisar"),"")</f>
        <v/>
      </c>
      <c r="BT155" s="179" t="str">
        <f t="array" ref="BT155">IF($F155&lt;&gt;"", XLOOKUP($F155,Productos!$A$2:$A1001,Productos!BM$2:BM1001,"")*$G155,"")</f>
        <v/>
      </c>
      <c r="BU155" s="179" t="str">
        <f t="array" ref="BU155">IF($F155&lt;&gt;"",XLOOKUP($F155,Productos!$A:$A,Productos!BN:BN,"Revisar"),"")</f>
        <v/>
      </c>
      <c r="BV155" s="179" t="str">
        <f t="array" ref="BV155">IF($F155&lt;&gt;"", XLOOKUP($F155,Productos!$A$2:$A1001,Productos!BO$2:BO1001,"")*$G155,"")</f>
        <v/>
      </c>
      <c r="BW155" s="179" t="str">
        <f t="array" ref="BW155">IF($F155&lt;&gt;"",XLOOKUP($F155,Productos!$A:$A,Productos!BP:BP,"Revisar"),"")</f>
        <v/>
      </c>
      <c r="BX155" s="179" t="str">
        <f t="array" ref="BX155">IF($F155&lt;&gt;"", XLOOKUP($F155,Productos!$A$2:$A1001,Productos!BQ$2:BQ1001,"")*$G155,"")</f>
        <v/>
      </c>
      <c r="BY155" s="179" t="str">
        <f t="array" ref="BY155">IF($F155&lt;&gt;"",XLOOKUP($F155,Productos!$A:$A,Productos!BR:BR,"Revisar"),"")</f>
        <v/>
      </c>
      <c r="BZ155" s="179" t="str">
        <f t="array" ref="BZ155">IF($F155&lt;&gt;"", XLOOKUP($F155,Productos!$A$2:$A1001,Productos!BS$2:BS1001,"")*$G155,"")</f>
        <v/>
      </c>
    </row>
    <row r="156">
      <c r="A156" s="180"/>
      <c r="B156" s="181"/>
      <c r="C156" s="182"/>
      <c r="D156" s="182"/>
      <c r="E156" s="185"/>
      <c r="F156" s="186"/>
      <c r="G156" s="187"/>
      <c r="H156" s="186"/>
      <c r="I156" s="179" t="str">
        <f t="array" ref="I156">IF($F156&lt;&gt;"",XLOOKUP($F156,Productos!$A:$A,Productos!B:B,"Revisar"),"")</f>
        <v/>
      </c>
      <c r="J156" s="179" t="str">
        <f t="array" ref="J156">IF($F156&lt;&gt;"", XLOOKUP($F156,Productos!$A$2:$A1001,Productos!C$2:C1001,"")*$G156,"")</f>
        <v/>
      </c>
      <c r="K156" s="179" t="str">
        <f t="array" ref="K156">IF($F156&lt;&gt;"",XLOOKUP($F156,Productos!$A:$A,Productos!D:D,"Revisar"),"")</f>
        <v/>
      </c>
      <c r="L156" s="179" t="str">
        <f t="array" ref="L156">IF($F156&lt;&gt;"", XLOOKUP($F156,Productos!$A$2:$A1001,Productos!E$2:E1001,"")*$G156,"")</f>
        <v/>
      </c>
      <c r="M156" s="179" t="str">
        <f t="array" ref="M156">IF($F156&lt;&gt;"",XLOOKUP($F156,Productos!$A:$A,Productos!F:F,"Revisar"),"")</f>
        <v/>
      </c>
      <c r="N156" s="179" t="str">
        <f t="array" ref="N156">IF($F156&lt;&gt;"", XLOOKUP($F156,Productos!$A$2:$A1001,Productos!G$2:G1001,"")*$G156,"")</f>
        <v/>
      </c>
      <c r="O156" s="179" t="str">
        <f t="array" ref="O156">IF($F156&lt;&gt;"",XLOOKUP($F156,Productos!$A:$A,Productos!H:H,"Revisar"),"")</f>
        <v/>
      </c>
      <c r="P156" s="179" t="str">
        <f t="array" ref="P156">IF($F156&lt;&gt;"", XLOOKUP($F156,Productos!$A$2:$A1001,Productos!I$2:I1001,"")*$G156,"")</f>
        <v/>
      </c>
      <c r="Q156" s="179" t="str">
        <f t="array" ref="Q156">IF($F156&lt;&gt;"",XLOOKUP($F156,Productos!$A:$A,Productos!J:J,"Revisar"),"")</f>
        <v/>
      </c>
      <c r="R156" s="179" t="str">
        <f t="array" ref="R156">IF($F156&lt;&gt;"", XLOOKUP($F156,Productos!$A$2:$A1001,Productos!K$2:K1001,"")*$G156,"")</f>
        <v/>
      </c>
      <c r="S156" s="179" t="str">
        <f t="array" ref="S156">IF($F156&lt;&gt;"",XLOOKUP($F156,Productos!$A:$A,Productos!L:L,"Revisar"),"")</f>
        <v/>
      </c>
      <c r="T156" s="179" t="str">
        <f t="array" ref="T156">IF($F156&lt;&gt;"", XLOOKUP($F156,Productos!$A$2:$A1001,Productos!M$2:M1001,"")*$G156,"")</f>
        <v/>
      </c>
      <c r="U156" s="179" t="str">
        <f t="array" ref="U156">IF($F156&lt;&gt;"",XLOOKUP($F156,Productos!$A:$A,Productos!N:N,"Revisar"),"")</f>
        <v/>
      </c>
      <c r="V156" s="179" t="str">
        <f t="array" ref="V156">IF($F156&lt;&gt;"", XLOOKUP($F156,Productos!$A$2:$A1001,Productos!O$2:O1001,"")*$G156,"")</f>
        <v/>
      </c>
      <c r="W156" s="179" t="str">
        <f t="array" ref="W156">IF($F156&lt;&gt;"",XLOOKUP($F156,Productos!$A:$A,Productos!P:P,"Revisar"),"")</f>
        <v/>
      </c>
      <c r="X156" s="179" t="str">
        <f t="array" ref="X156">IF($F156&lt;&gt;"", XLOOKUP($F156,Productos!$A$2:$A1001,Productos!Q$2:Q1001,"")*$G156,"")</f>
        <v/>
      </c>
      <c r="Y156" s="179" t="str">
        <f t="array" ref="Y156">IF($F156&lt;&gt;"",XLOOKUP($F156,Productos!$A:$A,Productos!R:R,"Revisar"),"")</f>
        <v/>
      </c>
      <c r="Z156" s="179" t="str">
        <f t="array" ref="Z156">IF($F156&lt;&gt;"", XLOOKUP($F156,Productos!$A$2:$A1001,Productos!S$2:S1001,"")*$G156,"")</f>
        <v/>
      </c>
      <c r="AA156" s="179" t="str">
        <f t="array" ref="AA156">IF($F156&lt;&gt;"",XLOOKUP($F156,Productos!$A:$A,Productos!T:T,"Revisar"),"")</f>
        <v/>
      </c>
      <c r="AB156" s="179" t="str">
        <f t="array" ref="AB156">IF($F156&lt;&gt;"", XLOOKUP($F156,Productos!$A$2:$A1001,Productos!U$2:U1001,"")*$G156,"")</f>
        <v/>
      </c>
      <c r="AC156" s="179" t="str">
        <f t="array" ref="AC156">IF($F156&lt;&gt;"",XLOOKUP($F156,Productos!$A:$A,Productos!V:V,"Revisar"),"")</f>
        <v/>
      </c>
      <c r="AD156" s="179" t="str">
        <f t="array" ref="AD156">IF($F156&lt;&gt;"", XLOOKUP($F156,Productos!$A$2:$A1001,Productos!W$2:W1001,"")*$G156,"")</f>
        <v/>
      </c>
      <c r="AE156" s="179" t="str">
        <f t="array" ref="AE156">IF($F156&lt;&gt;"",XLOOKUP($F156,Productos!$A:$A,Productos!X:X,"Revisar"),"")</f>
        <v/>
      </c>
      <c r="AF156" s="179" t="str">
        <f t="array" ref="AF156">IF($F156&lt;&gt;"", XLOOKUP($F156,Productos!$A$2:$A1001,Productos!Y$2:Y1001,"")*$G156,"")</f>
        <v/>
      </c>
      <c r="AG156" s="179" t="str">
        <f t="array" ref="AG156">IF($F156&lt;&gt;"",XLOOKUP($F156,Productos!$A:$A,Productos!Z:Z,"Revisar"),"")</f>
        <v/>
      </c>
      <c r="AH156" s="179" t="str">
        <f t="array" ref="AH156">IF($F156&lt;&gt;"", XLOOKUP($F156,Productos!$A$2:$A1001,Productos!AA$2:AA1001,"")*$G156,"")</f>
        <v/>
      </c>
      <c r="AI156" s="179" t="str">
        <f t="array" ref="AI156">IF($F156&lt;&gt;"",XLOOKUP($F156,Productos!$A:$A,Productos!AB:AB,"Revisar"),"")</f>
        <v/>
      </c>
      <c r="AJ156" s="179" t="str">
        <f t="array" ref="AJ156">IF($F156&lt;&gt;"", XLOOKUP($F156,Productos!$A$2:$A1001,Productos!AC$2:AC1001,"")*$G156,"")</f>
        <v/>
      </c>
      <c r="AK156" s="179" t="str">
        <f t="array" ref="AK156">IF($F156&lt;&gt;"",XLOOKUP($F156,Productos!$A:$A,Productos!AD:AD,"Revisar"),"")</f>
        <v/>
      </c>
      <c r="AL156" s="179" t="str">
        <f t="array" ref="AL156">IF($F156&lt;&gt;"", XLOOKUP($F156,Productos!$A$2:$A1001,Productos!AE$2:AE1001,"")*$G156,"")</f>
        <v/>
      </c>
      <c r="AM156" s="179" t="str">
        <f t="array" ref="AM156">IF($F156&lt;&gt;"",XLOOKUP($F156,Productos!$A:$A,Productos!AF:AF,"Revisar"),"")</f>
        <v/>
      </c>
      <c r="AN156" s="179" t="str">
        <f t="array" ref="AN156">IF($F156&lt;&gt;"", XLOOKUP($F156,Productos!$A$2:$A1001,Productos!AG$2:AG1001,"")*$G156,"")</f>
        <v/>
      </c>
      <c r="AO156" s="179" t="str">
        <f t="array" ref="AO156">IF($F156&lt;&gt;"",XLOOKUP($F156,Productos!$A:$A,Productos!AH:AH,"Revisar"),"")</f>
        <v/>
      </c>
      <c r="AP156" s="179" t="str">
        <f t="array" ref="AP156">IF($F156&lt;&gt;"", XLOOKUP($F156,Productos!$A$2:$A1001,Productos!AI$2:AI1001,"")*$G156,"")</f>
        <v/>
      </c>
      <c r="AQ156" s="179" t="str">
        <f t="array" ref="AQ156">IF($F156&lt;&gt;"",XLOOKUP($F156,Productos!$A:$A,Productos!AJ:AJ,"Revisar"),"")</f>
        <v/>
      </c>
      <c r="AR156" s="179" t="str">
        <f t="array" ref="AR156">IF($F156&lt;&gt;"", XLOOKUP($F156,Productos!$A$2:$A1001,Productos!AK$2:AK1001,"")*$G156,"")</f>
        <v/>
      </c>
      <c r="AS156" s="179" t="str">
        <f t="array" ref="AS156">IF($F156&lt;&gt;"",XLOOKUP($F156,Productos!$A:$A,Productos!AL:AL,"Revisar"),"")</f>
        <v/>
      </c>
      <c r="AT156" s="179" t="str">
        <f t="array" ref="AT156">IF($F156&lt;&gt;"", XLOOKUP($F156,Productos!$A$2:$A1001,Productos!AM$2:AM1001,"")*$G156,"")</f>
        <v/>
      </c>
      <c r="AU156" s="179" t="str">
        <f t="array" ref="AU156">IF($F156&lt;&gt;"",XLOOKUP($F156,Productos!$A:$A,Productos!AN:AN,"Revisar"),"")</f>
        <v/>
      </c>
      <c r="AV156" s="179" t="str">
        <f t="array" ref="AV156">IF($F156&lt;&gt;"", XLOOKUP($F156,Productos!$A$2:$A1001,Productos!AO$2:AO1001,"")*$G156,"")</f>
        <v/>
      </c>
      <c r="AW156" s="179" t="str">
        <f t="array" ref="AW156">IF($F156&lt;&gt;"",XLOOKUP($F156,Productos!$A:$A,Productos!AP:AP,"Revisar"),"")</f>
        <v/>
      </c>
      <c r="AX156" s="179" t="str">
        <f t="array" ref="AX156">IF($F156&lt;&gt;"", XLOOKUP($F156,Productos!$A$2:$A1001,Productos!AQ$2:AQ1001,"")*$G156,"")</f>
        <v/>
      </c>
      <c r="AY156" s="179" t="str">
        <f t="array" ref="AY156">IF($F156&lt;&gt;"",XLOOKUP($F156,Productos!$A:$A,Productos!AR:AR,"Revisar"),"")</f>
        <v/>
      </c>
      <c r="AZ156" s="179" t="str">
        <f t="array" ref="AZ156">IF($F156&lt;&gt;"", XLOOKUP($F156,Productos!$A$2:$A1001,Productos!AS$2:AS1001,"")*$G156,"")</f>
        <v/>
      </c>
      <c r="BA156" s="179" t="str">
        <f t="array" ref="BA156">IF($F156&lt;&gt;"",XLOOKUP($F156,Productos!$A:$A,Productos!AT:AT,"Revisar"),"")</f>
        <v/>
      </c>
      <c r="BB156" s="179" t="str">
        <f t="array" ref="BB156">IF($F156&lt;&gt;"", XLOOKUP($F156,Productos!$A$2:$A1001,Productos!AU$2:AU1001,"")*$G156,"")</f>
        <v/>
      </c>
      <c r="BC156" s="179" t="str">
        <f t="array" ref="BC156">IF($F156&lt;&gt;"",XLOOKUP($F156,Productos!$A:$A,Productos!AV:AV,"Revisar"),"")</f>
        <v/>
      </c>
      <c r="BD156" s="179" t="str">
        <f t="array" ref="BD156">IF($F156&lt;&gt;"", XLOOKUP($F156,Productos!$A$2:$A1001,Productos!AW$2:AW1001,"")*$G156,"")</f>
        <v/>
      </c>
      <c r="BE156" s="179" t="str">
        <f t="array" ref="BE156">IF($F156&lt;&gt;"",XLOOKUP($F156,Productos!$A:$A,Productos!AX:AX,"Revisar"),"")</f>
        <v/>
      </c>
      <c r="BF156" s="179" t="str">
        <f t="array" ref="BF156">IF($F156&lt;&gt;"", XLOOKUP($F156,Productos!$A$2:$A1001,Productos!AY$2:AY1001,"")*$G156,"")</f>
        <v/>
      </c>
      <c r="BG156" s="179" t="str">
        <f t="array" ref="BG156">IF($F156&lt;&gt;"",XLOOKUP($F156,Productos!$A:$A,Productos!AZ:AZ,"Revisar"),"")</f>
        <v/>
      </c>
      <c r="BH156" s="179" t="str">
        <f t="array" ref="BH156">IF($F156&lt;&gt;"", XLOOKUP($F156,Productos!$A$2:$A1001,Productos!BA$2:BA1001,"")*$G156,"")</f>
        <v/>
      </c>
      <c r="BI156" s="179" t="str">
        <f t="array" ref="BI156">IF($F156&lt;&gt;"",XLOOKUP($F156,Productos!$A:$A,Productos!BB:BB,"Revisar"),"")</f>
        <v/>
      </c>
      <c r="BJ156" s="179" t="str">
        <f t="array" ref="BJ156">IF($F156&lt;&gt;"", XLOOKUP($F156,Productos!$A$2:$A1001,Productos!BC$2:BC1001,"")*$G156,"")</f>
        <v/>
      </c>
      <c r="BK156" s="179" t="str">
        <f t="array" ref="BK156">IF($F156&lt;&gt;"",XLOOKUP($F156,Productos!$A:$A,Productos!BD:BD,"Revisar"),"")</f>
        <v/>
      </c>
      <c r="BL156" s="179" t="str">
        <f t="array" ref="BL156">IF($F156&lt;&gt;"", XLOOKUP($F156,Productos!$A$2:$A1001,Productos!BE$2:BE1001,"")*$G156,"")</f>
        <v/>
      </c>
      <c r="BM156" s="179" t="str">
        <f t="array" ref="BM156">IF($F156&lt;&gt;"",XLOOKUP($F156,Productos!$A:$A,Productos!BF:BF,"Revisar"),"")</f>
        <v/>
      </c>
      <c r="BN156" s="179" t="str">
        <f t="array" ref="BN156">IF($F156&lt;&gt;"", XLOOKUP($F156,Productos!$A$2:$A1001,Productos!BG$2:BG1001,"")*$G156,"")</f>
        <v/>
      </c>
      <c r="BO156" s="179" t="str">
        <f t="array" ref="BO156">IF($F156&lt;&gt;"",XLOOKUP($F156,Productos!$A:$A,Productos!BH:BH,"Revisar"),"")</f>
        <v/>
      </c>
      <c r="BP156" s="179" t="str">
        <f t="array" ref="BP156">IF($F156&lt;&gt;"", XLOOKUP($F156,Productos!$A$2:$A1001,Productos!BI$2:BI1001,"")*$G156,"")</f>
        <v/>
      </c>
      <c r="BQ156" s="179" t="str">
        <f t="array" ref="BQ156">IF($F156&lt;&gt;"",XLOOKUP($F156,Productos!$A:$A,Productos!BJ:BJ,"Revisar"),"")</f>
        <v/>
      </c>
      <c r="BR156" s="179" t="str">
        <f t="array" ref="BR156">IF($F156&lt;&gt;"", XLOOKUP($F156,Productos!$A$2:$A1001,Productos!BK$2:BK1001,"")*$G156,"")</f>
        <v/>
      </c>
      <c r="BS156" s="179" t="str">
        <f t="array" ref="BS156">IF($F156&lt;&gt;"",XLOOKUP($F156,Productos!$A:$A,Productos!BL:BL,"Revisar"),"")</f>
        <v/>
      </c>
      <c r="BT156" s="179" t="str">
        <f t="array" ref="BT156">IF($F156&lt;&gt;"", XLOOKUP($F156,Productos!$A$2:$A1001,Productos!BM$2:BM1001,"")*$G156,"")</f>
        <v/>
      </c>
      <c r="BU156" s="179" t="str">
        <f t="array" ref="BU156">IF($F156&lt;&gt;"",XLOOKUP($F156,Productos!$A:$A,Productos!BN:BN,"Revisar"),"")</f>
        <v/>
      </c>
      <c r="BV156" s="179" t="str">
        <f t="array" ref="BV156">IF($F156&lt;&gt;"", XLOOKUP($F156,Productos!$A$2:$A1001,Productos!BO$2:BO1001,"")*$G156,"")</f>
        <v/>
      </c>
      <c r="BW156" s="179" t="str">
        <f t="array" ref="BW156">IF($F156&lt;&gt;"",XLOOKUP($F156,Productos!$A:$A,Productos!BP:BP,"Revisar"),"")</f>
        <v/>
      </c>
      <c r="BX156" s="179" t="str">
        <f t="array" ref="BX156">IF($F156&lt;&gt;"", XLOOKUP($F156,Productos!$A$2:$A1001,Productos!BQ$2:BQ1001,"")*$G156,"")</f>
        <v/>
      </c>
      <c r="BY156" s="179" t="str">
        <f t="array" ref="BY156">IF($F156&lt;&gt;"",XLOOKUP($F156,Productos!$A:$A,Productos!BR:BR,"Revisar"),"")</f>
        <v/>
      </c>
      <c r="BZ156" s="179" t="str">
        <f t="array" ref="BZ156">IF($F156&lt;&gt;"", XLOOKUP($F156,Productos!$A$2:$A1001,Productos!BS$2:BS1001,"")*$G156,"")</f>
        <v/>
      </c>
    </row>
    <row r="157">
      <c r="A157" s="180"/>
      <c r="B157" s="181"/>
      <c r="C157" s="182"/>
      <c r="D157" s="182"/>
      <c r="E157" s="185"/>
      <c r="F157" s="186"/>
      <c r="G157" s="187"/>
      <c r="H157" s="186"/>
      <c r="I157" s="179" t="str">
        <f t="array" ref="I157">IF($F157&lt;&gt;"",XLOOKUP($F157,Productos!$A:$A,Productos!B:B,"Revisar"),"")</f>
        <v/>
      </c>
      <c r="J157" s="179" t="str">
        <f t="array" ref="J157">IF($F157&lt;&gt;"", XLOOKUP($F157,Productos!$A$2:$A1001,Productos!C$2:C1001,"")*$G157,"")</f>
        <v/>
      </c>
      <c r="K157" s="179" t="str">
        <f t="array" ref="K157">IF($F157&lt;&gt;"",XLOOKUP($F157,Productos!$A:$A,Productos!D:D,"Revisar"),"")</f>
        <v/>
      </c>
      <c r="L157" s="179" t="str">
        <f t="array" ref="L157">IF($F157&lt;&gt;"", XLOOKUP($F157,Productos!$A$2:$A1001,Productos!E$2:E1001,"")*$G157,"")</f>
        <v/>
      </c>
      <c r="M157" s="179" t="str">
        <f t="array" ref="M157">IF($F157&lt;&gt;"",XLOOKUP($F157,Productos!$A:$A,Productos!F:F,"Revisar"),"")</f>
        <v/>
      </c>
      <c r="N157" s="179" t="str">
        <f t="array" ref="N157">IF($F157&lt;&gt;"", XLOOKUP($F157,Productos!$A$2:$A1001,Productos!G$2:G1001,"")*$G157,"")</f>
        <v/>
      </c>
      <c r="O157" s="179" t="str">
        <f t="array" ref="O157">IF($F157&lt;&gt;"",XLOOKUP($F157,Productos!$A:$A,Productos!H:H,"Revisar"),"")</f>
        <v/>
      </c>
      <c r="P157" s="179" t="str">
        <f t="array" ref="P157">IF($F157&lt;&gt;"", XLOOKUP($F157,Productos!$A$2:$A1001,Productos!I$2:I1001,"")*$G157,"")</f>
        <v/>
      </c>
      <c r="Q157" s="179" t="str">
        <f t="array" ref="Q157">IF($F157&lt;&gt;"",XLOOKUP($F157,Productos!$A:$A,Productos!J:J,"Revisar"),"")</f>
        <v/>
      </c>
      <c r="R157" s="179" t="str">
        <f t="array" ref="R157">IF($F157&lt;&gt;"", XLOOKUP($F157,Productos!$A$2:$A1001,Productos!K$2:K1001,"")*$G157,"")</f>
        <v/>
      </c>
      <c r="S157" s="179" t="str">
        <f t="array" ref="S157">IF($F157&lt;&gt;"",XLOOKUP($F157,Productos!$A:$A,Productos!L:L,"Revisar"),"")</f>
        <v/>
      </c>
      <c r="T157" s="179" t="str">
        <f t="array" ref="T157">IF($F157&lt;&gt;"", XLOOKUP($F157,Productos!$A$2:$A1001,Productos!M$2:M1001,"")*$G157,"")</f>
        <v/>
      </c>
      <c r="U157" s="179" t="str">
        <f t="array" ref="U157">IF($F157&lt;&gt;"",XLOOKUP($F157,Productos!$A:$A,Productos!N:N,"Revisar"),"")</f>
        <v/>
      </c>
      <c r="V157" s="179" t="str">
        <f t="array" ref="V157">IF($F157&lt;&gt;"", XLOOKUP($F157,Productos!$A$2:$A1001,Productos!O$2:O1001,"")*$G157,"")</f>
        <v/>
      </c>
      <c r="W157" s="179" t="str">
        <f t="array" ref="W157">IF($F157&lt;&gt;"",XLOOKUP($F157,Productos!$A:$A,Productos!P:P,"Revisar"),"")</f>
        <v/>
      </c>
      <c r="X157" s="179" t="str">
        <f t="array" ref="X157">IF($F157&lt;&gt;"", XLOOKUP($F157,Productos!$A$2:$A1001,Productos!Q$2:Q1001,"")*$G157,"")</f>
        <v/>
      </c>
      <c r="Y157" s="179" t="str">
        <f t="array" ref="Y157">IF($F157&lt;&gt;"",XLOOKUP($F157,Productos!$A:$A,Productos!R:R,"Revisar"),"")</f>
        <v/>
      </c>
      <c r="Z157" s="179" t="str">
        <f t="array" ref="Z157">IF($F157&lt;&gt;"", XLOOKUP($F157,Productos!$A$2:$A1001,Productos!S$2:S1001,"")*$G157,"")</f>
        <v/>
      </c>
      <c r="AA157" s="179" t="str">
        <f t="array" ref="AA157">IF($F157&lt;&gt;"",XLOOKUP($F157,Productos!$A:$A,Productos!T:T,"Revisar"),"")</f>
        <v/>
      </c>
      <c r="AB157" s="179" t="str">
        <f t="array" ref="AB157">IF($F157&lt;&gt;"", XLOOKUP($F157,Productos!$A$2:$A1001,Productos!U$2:U1001,"")*$G157,"")</f>
        <v/>
      </c>
      <c r="AC157" s="179" t="str">
        <f t="array" ref="AC157">IF($F157&lt;&gt;"",XLOOKUP($F157,Productos!$A:$A,Productos!V:V,"Revisar"),"")</f>
        <v/>
      </c>
      <c r="AD157" s="179" t="str">
        <f t="array" ref="AD157">IF($F157&lt;&gt;"", XLOOKUP($F157,Productos!$A$2:$A1001,Productos!W$2:W1001,"")*$G157,"")</f>
        <v/>
      </c>
      <c r="AE157" s="179" t="str">
        <f t="array" ref="AE157">IF($F157&lt;&gt;"",XLOOKUP($F157,Productos!$A:$A,Productos!X:X,"Revisar"),"")</f>
        <v/>
      </c>
      <c r="AF157" s="179" t="str">
        <f t="array" ref="AF157">IF($F157&lt;&gt;"", XLOOKUP($F157,Productos!$A$2:$A1001,Productos!Y$2:Y1001,"")*$G157,"")</f>
        <v/>
      </c>
      <c r="AG157" s="179" t="str">
        <f t="array" ref="AG157">IF($F157&lt;&gt;"",XLOOKUP($F157,Productos!$A:$A,Productos!Z:Z,"Revisar"),"")</f>
        <v/>
      </c>
      <c r="AH157" s="179" t="str">
        <f t="array" ref="AH157">IF($F157&lt;&gt;"", XLOOKUP($F157,Productos!$A$2:$A1001,Productos!AA$2:AA1001,"")*$G157,"")</f>
        <v/>
      </c>
      <c r="AI157" s="179" t="str">
        <f t="array" ref="AI157">IF($F157&lt;&gt;"",XLOOKUP($F157,Productos!$A:$A,Productos!AB:AB,"Revisar"),"")</f>
        <v/>
      </c>
      <c r="AJ157" s="179" t="str">
        <f t="array" ref="AJ157">IF($F157&lt;&gt;"", XLOOKUP($F157,Productos!$A$2:$A1001,Productos!AC$2:AC1001,"")*$G157,"")</f>
        <v/>
      </c>
      <c r="AK157" s="179" t="str">
        <f t="array" ref="AK157">IF($F157&lt;&gt;"",XLOOKUP($F157,Productos!$A:$A,Productos!AD:AD,"Revisar"),"")</f>
        <v/>
      </c>
      <c r="AL157" s="179" t="str">
        <f t="array" ref="AL157">IF($F157&lt;&gt;"", XLOOKUP($F157,Productos!$A$2:$A1001,Productos!AE$2:AE1001,"")*$G157,"")</f>
        <v/>
      </c>
      <c r="AM157" s="179" t="str">
        <f t="array" ref="AM157">IF($F157&lt;&gt;"",XLOOKUP($F157,Productos!$A:$A,Productos!AF:AF,"Revisar"),"")</f>
        <v/>
      </c>
      <c r="AN157" s="179" t="str">
        <f t="array" ref="AN157">IF($F157&lt;&gt;"", XLOOKUP($F157,Productos!$A$2:$A1001,Productos!AG$2:AG1001,"")*$G157,"")</f>
        <v/>
      </c>
      <c r="AO157" s="179" t="str">
        <f t="array" ref="AO157">IF($F157&lt;&gt;"",XLOOKUP($F157,Productos!$A:$A,Productos!AH:AH,"Revisar"),"")</f>
        <v/>
      </c>
      <c r="AP157" s="179" t="str">
        <f t="array" ref="AP157">IF($F157&lt;&gt;"", XLOOKUP($F157,Productos!$A$2:$A1001,Productos!AI$2:AI1001,"")*$G157,"")</f>
        <v/>
      </c>
      <c r="AQ157" s="179" t="str">
        <f t="array" ref="AQ157">IF($F157&lt;&gt;"",XLOOKUP($F157,Productos!$A:$A,Productos!AJ:AJ,"Revisar"),"")</f>
        <v/>
      </c>
      <c r="AR157" s="179" t="str">
        <f t="array" ref="AR157">IF($F157&lt;&gt;"", XLOOKUP($F157,Productos!$A$2:$A1001,Productos!AK$2:AK1001,"")*$G157,"")</f>
        <v/>
      </c>
      <c r="AS157" s="179" t="str">
        <f t="array" ref="AS157">IF($F157&lt;&gt;"",XLOOKUP($F157,Productos!$A:$A,Productos!AL:AL,"Revisar"),"")</f>
        <v/>
      </c>
      <c r="AT157" s="179" t="str">
        <f t="array" ref="AT157">IF($F157&lt;&gt;"", XLOOKUP($F157,Productos!$A$2:$A1001,Productos!AM$2:AM1001,"")*$G157,"")</f>
        <v/>
      </c>
      <c r="AU157" s="179" t="str">
        <f t="array" ref="AU157">IF($F157&lt;&gt;"",XLOOKUP($F157,Productos!$A:$A,Productos!AN:AN,"Revisar"),"")</f>
        <v/>
      </c>
      <c r="AV157" s="179" t="str">
        <f t="array" ref="AV157">IF($F157&lt;&gt;"", XLOOKUP($F157,Productos!$A$2:$A1001,Productos!AO$2:AO1001,"")*$G157,"")</f>
        <v/>
      </c>
      <c r="AW157" s="179" t="str">
        <f t="array" ref="AW157">IF($F157&lt;&gt;"",XLOOKUP($F157,Productos!$A:$A,Productos!AP:AP,"Revisar"),"")</f>
        <v/>
      </c>
      <c r="AX157" s="179" t="str">
        <f t="array" ref="AX157">IF($F157&lt;&gt;"", XLOOKUP($F157,Productos!$A$2:$A1001,Productos!AQ$2:AQ1001,"")*$G157,"")</f>
        <v/>
      </c>
      <c r="AY157" s="179" t="str">
        <f t="array" ref="AY157">IF($F157&lt;&gt;"",XLOOKUP($F157,Productos!$A:$A,Productos!AR:AR,"Revisar"),"")</f>
        <v/>
      </c>
      <c r="AZ157" s="179" t="str">
        <f t="array" ref="AZ157">IF($F157&lt;&gt;"", XLOOKUP($F157,Productos!$A$2:$A1001,Productos!AS$2:AS1001,"")*$G157,"")</f>
        <v/>
      </c>
      <c r="BA157" s="179" t="str">
        <f t="array" ref="BA157">IF($F157&lt;&gt;"",XLOOKUP($F157,Productos!$A:$A,Productos!AT:AT,"Revisar"),"")</f>
        <v/>
      </c>
      <c r="BB157" s="179" t="str">
        <f t="array" ref="BB157">IF($F157&lt;&gt;"", XLOOKUP($F157,Productos!$A$2:$A1001,Productos!AU$2:AU1001,"")*$G157,"")</f>
        <v/>
      </c>
      <c r="BC157" s="179" t="str">
        <f t="array" ref="BC157">IF($F157&lt;&gt;"",XLOOKUP($F157,Productos!$A:$A,Productos!AV:AV,"Revisar"),"")</f>
        <v/>
      </c>
      <c r="BD157" s="179" t="str">
        <f t="array" ref="BD157">IF($F157&lt;&gt;"", XLOOKUP($F157,Productos!$A$2:$A1001,Productos!AW$2:AW1001,"")*$G157,"")</f>
        <v/>
      </c>
      <c r="BE157" s="179" t="str">
        <f t="array" ref="BE157">IF($F157&lt;&gt;"",XLOOKUP($F157,Productos!$A:$A,Productos!AX:AX,"Revisar"),"")</f>
        <v/>
      </c>
      <c r="BF157" s="179" t="str">
        <f t="array" ref="BF157">IF($F157&lt;&gt;"", XLOOKUP($F157,Productos!$A$2:$A1001,Productos!AY$2:AY1001,"")*$G157,"")</f>
        <v/>
      </c>
      <c r="BG157" s="179" t="str">
        <f t="array" ref="BG157">IF($F157&lt;&gt;"",XLOOKUP($F157,Productos!$A:$A,Productos!AZ:AZ,"Revisar"),"")</f>
        <v/>
      </c>
      <c r="BH157" s="179" t="str">
        <f t="array" ref="BH157">IF($F157&lt;&gt;"", XLOOKUP($F157,Productos!$A$2:$A1001,Productos!BA$2:BA1001,"")*$G157,"")</f>
        <v/>
      </c>
      <c r="BI157" s="179" t="str">
        <f t="array" ref="BI157">IF($F157&lt;&gt;"",XLOOKUP($F157,Productos!$A:$A,Productos!BB:BB,"Revisar"),"")</f>
        <v/>
      </c>
      <c r="BJ157" s="179" t="str">
        <f t="array" ref="BJ157">IF($F157&lt;&gt;"", XLOOKUP($F157,Productos!$A$2:$A1001,Productos!BC$2:BC1001,"")*$G157,"")</f>
        <v/>
      </c>
      <c r="BK157" s="179" t="str">
        <f t="array" ref="BK157">IF($F157&lt;&gt;"",XLOOKUP($F157,Productos!$A:$A,Productos!BD:BD,"Revisar"),"")</f>
        <v/>
      </c>
      <c r="BL157" s="179" t="str">
        <f t="array" ref="BL157">IF($F157&lt;&gt;"", XLOOKUP($F157,Productos!$A$2:$A1001,Productos!BE$2:BE1001,"")*$G157,"")</f>
        <v/>
      </c>
      <c r="BM157" s="179" t="str">
        <f t="array" ref="BM157">IF($F157&lt;&gt;"",XLOOKUP($F157,Productos!$A:$A,Productos!BF:BF,"Revisar"),"")</f>
        <v/>
      </c>
      <c r="BN157" s="179" t="str">
        <f t="array" ref="BN157">IF($F157&lt;&gt;"", XLOOKUP($F157,Productos!$A$2:$A1001,Productos!BG$2:BG1001,"")*$G157,"")</f>
        <v/>
      </c>
      <c r="BO157" s="179" t="str">
        <f t="array" ref="BO157">IF($F157&lt;&gt;"",XLOOKUP($F157,Productos!$A:$A,Productos!BH:BH,"Revisar"),"")</f>
        <v/>
      </c>
      <c r="BP157" s="179" t="str">
        <f t="array" ref="BP157">IF($F157&lt;&gt;"", XLOOKUP($F157,Productos!$A$2:$A1001,Productos!BI$2:BI1001,"")*$G157,"")</f>
        <v/>
      </c>
      <c r="BQ157" s="179" t="str">
        <f t="array" ref="BQ157">IF($F157&lt;&gt;"",XLOOKUP($F157,Productos!$A:$A,Productos!BJ:BJ,"Revisar"),"")</f>
        <v/>
      </c>
      <c r="BR157" s="179" t="str">
        <f t="array" ref="BR157">IF($F157&lt;&gt;"", XLOOKUP($F157,Productos!$A$2:$A1001,Productos!BK$2:BK1001,"")*$G157,"")</f>
        <v/>
      </c>
      <c r="BS157" s="179" t="str">
        <f t="array" ref="BS157">IF($F157&lt;&gt;"",XLOOKUP($F157,Productos!$A:$A,Productos!BL:BL,"Revisar"),"")</f>
        <v/>
      </c>
      <c r="BT157" s="179" t="str">
        <f t="array" ref="BT157">IF($F157&lt;&gt;"", XLOOKUP($F157,Productos!$A$2:$A1001,Productos!BM$2:BM1001,"")*$G157,"")</f>
        <v/>
      </c>
      <c r="BU157" s="179" t="str">
        <f t="array" ref="BU157">IF($F157&lt;&gt;"",XLOOKUP($F157,Productos!$A:$A,Productos!BN:BN,"Revisar"),"")</f>
        <v/>
      </c>
      <c r="BV157" s="179" t="str">
        <f t="array" ref="BV157">IF($F157&lt;&gt;"", XLOOKUP($F157,Productos!$A$2:$A1001,Productos!BO$2:BO1001,"")*$G157,"")</f>
        <v/>
      </c>
      <c r="BW157" s="179" t="str">
        <f t="array" ref="BW157">IF($F157&lt;&gt;"",XLOOKUP($F157,Productos!$A:$A,Productos!BP:BP,"Revisar"),"")</f>
        <v/>
      </c>
      <c r="BX157" s="179" t="str">
        <f t="array" ref="BX157">IF($F157&lt;&gt;"", XLOOKUP($F157,Productos!$A$2:$A1001,Productos!BQ$2:BQ1001,"")*$G157,"")</f>
        <v/>
      </c>
      <c r="BY157" s="179" t="str">
        <f t="array" ref="BY157">IF($F157&lt;&gt;"",XLOOKUP($F157,Productos!$A:$A,Productos!BR:BR,"Revisar"),"")</f>
        <v/>
      </c>
      <c r="BZ157" s="179" t="str">
        <f t="array" ref="BZ157">IF($F157&lt;&gt;"", XLOOKUP($F157,Productos!$A$2:$A1001,Productos!BS$2:BS1001,"")*$G157,"")</f>
        <v/>
      </c>
    </row>
    <row r="158">
      <c r="A158" s="180"/>
      <c r="B158" s="181"/>
      <c r="C158" s="182"/>
      <c r="D158" s="182"/>
      <c r="E158" s="185"/>
      <c r="F158" s="186"/>
      <c r="G158" s="187"/>
      <c r="H158" s="186"/>
      <c r="I158" s="179" t="str">
        <f t="array" ref="I158">IF($F158&lt;&gt;"",XLOOKUP($F158,Productos!$A:$A,Productos!B:B,"Revisar"),"")</f>
        <v/>
      </c>
      <c r="J158" s="179" t="str">
        <f t="array" ref="J158">IF($F158&lt;&gt;"", XLOOKUP($F158,Productos!$A$2:$A1001,Productos!C$2:C1001,"")*$G158,"")</f>
        <v/>
      </c>
      <c r="K158" s="179" t="str">
        <f t="array" ref="K158">IF($F158&lt;&gt;"",XLOOKUP($F158,Productos!$A:$A,Productos!D:D,"Revisar"),"")</f>
        <v/>
      </c>
      <c r="L158" s="179" t="str">
        <f t="array" ref="L158">IF($F158&lt;&gt;"", XLOOKUP($F158,Productos!$A$2:$A1001,Productos!E$2:E1001,"")*$G158,"")</f>
        <v/>
      </c>
      <c r="M158" s="179" t="str">
        <f t="array" ref="M158">IF($F158&lt;&gt;"",XLOOKUP($F158,Productos!$A:$A,Productos!F:F,"Revisar"),"")</f>
        <v/>
      </c>
      <c r="N158" s="179" t="str">
        <f t="array" ref="N158">IF($F158&lt;&gt;"", XLOOKUP($F158,Productos!$A$2:$A1001,Productos!G$2:G1001,"")*$G158,"")</f>
        <v/>
      </c>
      <c r="O158" s="179" t="str">
        <f t="array" ref="O158">IF($F158&lt;&gt;"",XLOOKUP($F158,Productos!$A:$A,Productos!H:H,"Revisar"),"")</f>
        <v/>
      </c>
      <c r="P158" s="179" t="str">
        <f t="array" ref="P158">IF($F158&lt;&gt;"", XLOOKUP($F158,Productos!$A$2:$A1001,Productos!I$2:I1001,"")*$G158,"")</f>
        <v/>
      </c>
      <c r="Q158" s="179" t="str">
        <f t="array" ref="Q158">IF($F158&lt;&gt;"",XLOOKUP($F158,Productos!$A:$A,Productos!J:J,"Revisar"),"")</f>
        <v/>
      </c>
      <c r="R158" s="179" t="str">
        <f t="array" ref="R158">IF($F158&lt;&gt;"", XLOOKUP($F158,Productos!$A$2:$A1001,Productos!K$2:K1001,"")*$G158,"")</f>
        <v/>
      </c>
      <c r="S158" s="179" t="str">
        <f t="array" ref="S158">IF($F158&lt;&gt;"",XLOOKUP($F158,Productos!$A:$A,Productos!L:L,"Revisar"),"")</f>
        <v/>
      </c>
      <c r="T158" s="179" t="str">
        <f t="array" ref="T158">IF($F158&lt;&gt;"", XLOOKUP($F158,Productos!$A$2:$A1001,Productos!M$2:M1001,"")*$G158,"")</f>
        <v/>
      </c>
      <c r="U158" s="179" t="str">
        <f t="array" ref="U158">IF($F158&lt;&gt;"",XLOOKUP($F158,Productos!$A:$A,Productos!N:N,"Revisar"),"")</f>
        <v/>
      </c>
      <c r="V158" s="179" t="str">
        <f t="array" ref="V158">IF($F158&lt;&gt;"", XLOOKUP($F158,Productos!$A$2:$A1001,Productos!O$2:O1001,"")*$G158,"")</f>
        <v/>
      </c>
      <c r="W158" s="179" t="str">
        <f t="array" ref="W158">IF($F158&lt;&gt;"",XLOOKUP($F158,Productos!$A:$A,Productos!P:P,"Revisar"),"")</f>
        <v/>
      </c>
      <c r="X158" s="179" t="str">
        <f t="array" ref="X158">IF($F158&lt;&gt;"", XLOOKUP($F158,Productos!$A$2:$A1001,Productos!Q$2:Q1001,"")*$G158,"")</f>
        <v/>
      </c>
      <c r="Y158" s="179" t="str">
        <f t="array" ref="Y158">IF($F158&lt;&gt;"",XLOOKUP($F158,Productos!$A:$A,Productos!R:R,"Revisar"),"")</f>
        <v/>
      </c>
      <c r="Z158" s="179" t="str">
        <f t="array" ref="Z158">IF($F158&lt;&gt;"", XLOOKUP($F158,Productos!$A$2:$A1001,Productos!S$2:S1001,"")*$G158,"")</f>
        <v/>
      </c>
      <c r="AA158" s="179" t="str">
        <f t="array" ref="AA158">IF($F158&lt;&gt;"",XLOOKUP($F158,Productos!$A:$A,Productos!T:T,"Revisar"),"")</f>
        <v/>
      </c>
      <c r="AB158" s="179" t="str">
        <f t="array" ref="AB158">IF($F158&lt;&gt;"", XLOOKUP($F158,Productos!$A$2:$A1001,Productos!U$2:U1001,"")*$G158,"")</f>
        <v/>
      </c>
      <c r="AC158" s="179" t="str">
        <f t="array" ref="AC158">IF($F158&lt;&gt;"",XLOOKUP($F158,Productos!$A:$A,Productos!V:V,"Revisar"),"")</f>
        <v/>
      </c>
      <c r="AD158" s="179" t="str">
        <f t="array" ref="AD158">IF($F158&lt;&gt;"", XLOOKUP($F158,Productos!$A$2:$A1001,Productos!W$2:W1001,"")*$G158,"")</f>
        <v/>
      </c>
      <c r="AE158" s="179" t="str">
        <f t="array" ref="AE158">IF($F158&lt;&gt;"",XLOOKUP($F158,Productos!$A:$A,Productos!X:X,"Revisar"),"")</f>
        <v/>
      </c>
      <c r="AF158" s="179" t="str">
        <f t="array" ref="AF158">IF($F158&lt;&gt;"", XLOOKUP($F158,Productos!$A$2:$A1001,Productos!Y$2:Y1001,"")*$G158,"")</f>
        <v/>
      </c>
      <c r="AG158" s="179" t="str">
        <f t="array" ref="AG158">IF($F158&lt;&gt;"",XLOOKUP($F158,Productos!$A:$A,Productos!Z:Z,"Revisar"),"")</f>
        <v/>
      </c>
      <c r="AH158" s="179" t="str">
        <f t="array" ref="AH158">IF($F158&lt;&gt;"", XLOOKUP($F158,Productos!$A$2:$A1001,Productos!AA$2:AA1001,"")*$G158,"")</f>
        <v/>
      </c>
      <c r="AI158" s="179" t="str">
        <f t="array" ref="AI158">IF($F158&lt;&gt;"",XLOOKUP($F158,Productos!$A:$A,Productos!AB:AB,"Revisar"),"")</f>
        <v/>
      </c>
      <c r="AJ158" s="179" t="str">
        <f t="array" ref="AJ158">IF($F158&lt;&gt;"", XLOOKUP($F158,Productos!$A$2:$A1001,Productos!AC$2:AC1001,"")*$G158,"")</f>
        <v/>
      </c>
      <c r="AK158" s="179" t="str">
        <f t="array" ref="AK158">IF($F158&lt;&gt;"",XLOOKUP($F158,Productos!$A:$A,Productos!AD:AD,"Revisar"),"")</f>
        <v/>
      </c>
      <c r="AL158" s="179" t="str">
        <f t="array" ref="AL158">IF($F158&lt;&gt;"", XLOOKUP($F158,Productos!$A$2:$A1001,Productos!AE$2:AE1001,"")*$G158,"")</f>
        <v/>
      </c>
      <c r="AM158" s="179" t="str">
        <f t="array" ref="AM158">IF($F158&lt;&gt;"",XLOOKUP($F158,Productos!$A:$A,Productos!AF:AF,"Revisar"),"")</f>
        <v/>
      </c>
      <c r="AN158" s="179" t="str">
        <f t="array" ref="AN158">IF($F158&lt;&gt;"", XLOOKUP($F158,Productos!$A$2:$A1001,Productos!AG$2:AG1001,"")*$G158,"")</f>
        <v/>
      </c>
      <c r="AO158" s="179" t="str">
        <f t="array" ref="AO158">IF($F158&lt;&gt;"",XLOOKUP($F158,Productos!$A:$A,Productos!AH:AH,"Revisar"),"")</f>
        <v/>
      </c>
      <c r="AP158" s="179" t="str">
        <f t="array" ref="AP158">IF($F158&lt;&gt;"", XLOOKUP($F158,Productos!$A$2:$A1001,Productos!AI$2:AI1001,"")*$G158,"")</f>
        <v/>
      </c>
      <c r="AQ158" s="179" t="str">
        <f t="array" ref="AQ158">IF($F158&lt;&gt;"",XLOOKUP($F158,Productos!$A:$A,Productos!AJ:AJ,"Revisar"),"")</f>
        <v/>
      </c>
      <c r="AR158" s="179" t="str">
        <f t="array" ref="AR158">IF($F158&lt;&gt;"", XLOOKUP($F158,Productos!$A$2:$A1001,Productos!AK$2:AK1001,"")*$G158,"")</f>
        <v/>
      </c>
      <c r="AS158" s="179" t="str">
        <f t="array" ref="AS158">IF($F158&lt;&gt;"",XLOOKUP($F158,Productos!$A:$A,Productos!AL:AL,"Revisar"),"")</f>
        <v/>
      </c>
      <c r="AT158" s="179" t="str">
        <f t="array" ref="AT158">IF($F158&lt;&gt;"", XLOOKUP($F158,Productos!$A$2:$A1001,Productos!AM$2:AM1001,"")*$G158,"")</f>
        <v/>
      </c>
      <c r="AU158" s="179" t="str">
        <f t="array" ref="AU158">IF($F158&lt;&gt;"",XLOOKUP($F158,Productos!$A:$A,Productos!AN:AN,"Revisar"),"")</f>
        <v/>
      </c>
      <c r="AV158" s="179" t="str">
        <f t="array" ref="AV158">IF($F158&lt;&gt;"", XLOOKUP($F158,Productos!$A$2:$A1001,Productos!AO$2:AO1001,"")*$G158,"")</f>
        <v/>
      </c>
      <c r="AW158" s="179" t="str">
        <f t="array" ref="AW158">IF($F158&lt;&gt;"",XLOOKUP($F158,Productos!$A:$A,Productos!AP:AP,"Revisar"),"")</f>
        <v/>
      </c>
      <c r="AX158" s="179" t="str">
        <f t="array" ref="AX158">IF($F158&lt;&gt;"", XLOOKUP($F158,Productos!$A$2:$A1001,Productos!AQ$2:AQ1001,"")*$G158,"")</f>
        <v/>
      </c>
      <c r="AY158" s="179" t="str">
        <f t="array" ref="AY158">IF($F158&lt;&gt;"",XLOOKUP($F158,Productos!$A:$A,Productos!AR:AR,"Revisar"),"")</f>
        <v/>
      </c>
      <c r="AZ158" s="179" t="str">
        <f t="array" ref="AZ158">IF($F158&lt;&gt;"", XLOOKUP($F158,Productos!$A$2:$A1001,Productos!AS$2:AS1001,"")*$G158,"")</f>
        <v/>
      </c>
      <c r="BA158" s="179" t="str">
        <f t="array" ref="BA158">IF($F158&lt;&gt;"",XLOOKUP($F158,Productos!$A:$A,Productos!AT:AT,"Revisar"),"")</f>
        <v/>
      </c>
      <c r="BB158" s="179" t="str">
        <f t="array" ref="BB158">IF($F158&lt;&gt;"", XLOOKUP($F158,Productos!$A$2:$A1001,Productos!AU$2:AU1001,"")*$G158,"")</f>
        <v/>
      </c>
      <c r="BC158" s="179" t="str">
        <f t="array" ref="BC158">IF($F158&lt;&gt;"",XLOOKUP($F158,Productos!$A:$A,Productos!AV:AV,"Revisar"),"")</f>
        <v/>
      </c>
      <c r="BD158" s="179" t="str">
        <f t="array" ref="BD158">IF($F158&lt;&gt;"", XLOOKUP($F158,Productos!$A$2:$A1001,Productos!AW$2:AW1001,"")*$G158,"")</f>
        <v/>
      </c>
      <c r="BE158" s="179" t="str">
        <f t="array" ref="BE158">IF($F158&lt;&gt;"",XLOOKUP($F158,Productos!$A:$A,Productos!AX:AX,"Revisar"),"")</f>
        <v/>
      </c>
      <c r="BF158" s="179" t="str">
        <f t="array" ref="BF158">IF($F158&lt;&gt;"", XLOOKUP($F158,Productos!$A$2:$A1001,Productos!AY$2:AY1001,"")*$G158,"")</f>
        <v/>
      </c>
      <c r="BG158" s="179" t="str">
        <f t="array" ref="BG158">IF($F158&lt;&gt;"",XLOOKUP($F158,Productos!$A:$A,Productos!AZ:AZ,"Revisar"),"")</f>
        <v/>
      </c>
      <c r="BH158" s="179" t="str">
        <f t="array" ref="BH158">IF($F158&lt;&gt;"", XLOOKUP($F158,Productos!$A$2:$A1001,Productos!BA$2:BA1001,"")*$G158,"")</f>
        <v/>
      </c>
      <c r="BI158" s="179" t="str">
        <f t="array" ref="BI158">IF($F158&lt;&gt;"",XLOOKUP($F158,Productos!$A:$A,Productos!BB:BB,"Revisar"),"")</f>
        <v/>
      </c>
      <c r="BJ158" s="179" t="str">
        <f t="array" ref="BJ158">IF($F158&lt;&gt;"", XLOOKUP($F158,Productos!$A$2:$A1001,Productos!BC$2:BC1001,"")*$G158,"")</f>
        <v/>
      </c>
      <c r="BK158" s="179" t="str">
        <f t="array" ref="BK158">IF($F158&lt;&gt;"",XLOOKUP($F158,Productos!$A:$A,Productos!BD:BD,"Revisar"),"")</f>
        <v/>
      </c>
      <c r="BL158" s="179" t="str">
        <f t="array" ref="BL158">IF($F158&lt;&gt;"", XLOOKUP($F158,Productos!$A$2:$A1001,Productos!BE$2:BE1001,"")*$G158,"")</f>
        <v/>
      </c>
      <c r="BM158" s="179" t="str">
        <f t="array" ref="BM158">IF($F158&lt;&gt;"",XLOOKUP($F158,Productos!$A:$A,Productos!BF:BF,"Revisar"),"")</f>
        <v/>
      </c>
      <c r="BN158" s="179" t="str">
        <f t="array" ref="BN158">IF($F158&lt;&gt;"", XLOOKUP($F158,Productos!$A$2:$A1001,Productos!BG$2:BG1001,"")*$G158,"")</f>
        <v/>
      </c>
      <c r="BO158" s="179" t="str">
        <f t="array" ref="BO158">IF($F158&lt;&gt;"",XLOOKUP($F158,Productos!$A:$A,Productos!BH:BH,"Revisar"),"")</f>
        <v/>
      </c>
      <c r="BP158" s="179" t="str">
        <f t="array" ref="BP158">IF($F158&lt;&gt;"", XLOOKUP($F158,Productos!$A$2:$A1001,Productos!BI$2:BI1001,"")*$G158,"")</f>
        <v/>
      </c>
      <c r="BQ158" s="179" t="str">
        <f t="array" ref="BQ158">IF($F158&lt;&gt;"",XLOOKUP($F158,Productos!$A:$A,Productos!BJ:BJ,"Revisar"),"")</f>
        <v/>
      </c>
      <c r="BR158" s="179" t="str">
        <f t="array" ref="BR158">IF($F158&lt;&gt;"", XLOOKUP($F158,Productos!$A$2:$A1001,Productos!BK$2:BK1001,"")*$G158,"")</f>
        <v/>
      </c>
      <c r="BS158" s="179" t="str">
        <f t="array" ref="BS158">IF($F158&lt;&gt;"",XLOOKUP($F158,Productos!$A:$A,Productos!BL:BL,"Revisar"),"")</f>
        <v/>
      </c>
      <c r="BT158" s="179" t="str">
        <f t="array" ref="BT158">IF($F158&lt;&gt;"", XLOOKUP($F158,Productos!$A$2:$A1001,Productos!BM$2:BM1001,"")*$G158,"")</f>
        <v/>
      </c>
      <c r="BU158" s="179" t="str">
        <f t="array" ref="BU158">IF($F158&lt;&gt;"",XLOOKUP($F158,Productos!$A:$A,Productos!BN:BN,"Revisar"),"")</f>
        <v/>
      </c>
      <c r="BV158" s="179" t="str">
        <f t="array" ref="BV158">IF($F158&lt;&gt;"", XLOOKUP($F158,Productos!$A$2:$A1001,Productos!BO$2:BO1001,"")*$G158,"")</f>
        <v/>
      </c>
      <c r="BW158" s="179" t="str">
        <f t="array" ref="BW158">IF($F158&lt;&gt;"",XLOOKUP($F158,Productos!$A:$A,Productos!BP:BP,"Revisar"),"")</f>
        <v/>
      </c>
      <c r="BX158" s="179" t="str">
        <f t="array" ref="BX158">IF($F158&lt;&gt;"", XLOOKUP($F158,Productos!$A$2:$A1001,Productos!BQ$2:BQ1001,"")*$G158,"")</f>
        <v/>
      </c>
      <c r="BY158" s="179" t="str">
        <f t="array" ref="BY158">IF($F158&lt;&gt;"",XLOOKUP($F158,Productos!$A:$A,Productos!BR:BR,"Revisar"),"")</f>
        <v/>
      </c>
      <c r="BZ158" s="179" t="str">
        <f t="array" ref="BZ158">IF($F158&lt;&gt;"", XLOOKUP($F158,Productos!$A$2:$A1001,Productos!BS$2:BS1001,"")*$G158,"")</f>
        <v/>
      </c>
    </row>
    <row r="159">
      <c r="A159" s="180"/>
      <c r="B159" s="181"/>
      <c r="C159" s="182"/>
      <c r="D159" s="182"/>
      <c r="E159" s="185"/>
      <c r="F159" s="186"/>
      <c r="G159" s="187"/>
      <c r="H159" s="186"/>
      <c r="I159" s="179" t="str">
        <f t="array" ref="I159">IF($F159&lt;&gt;"",XLOOKUP($F159,Productos!$A:$A,Productos!B:B,"Revisar"),"")</f>
        <v/>
      </c>
      <c r="J159" s="179" t="str">
        <f t="array" ref="J159">IF($F159&lt;&gt;"", XLOOKUP($F159,Productos!$A$2:$A1001,Productos!C$2:C1001,"")*$G159,"")</f>
        <v/>
      </c>
      <c r="K159" s="179" t="str">
        <f t="array" ref="K159">IF($F159&lt;&gt;"",XLOOKUP($F159,Productos!$A:$A,Productos!D:D,"Revisar"),"")</f>
        <v/>
      </c>
      <c r="L159" s="179" t="str">
        <f t="array" ref="L159">IF($F159&lt;&gt;"", XLOOKUP($F159,Productos!$A$2:$A1001,Productos!E$2:E1001,"")*$G159,"")</f>
        <v/>
      </c>
      <c r="M159" s="179" t="str">
        <f t="array" ref="M159">IF($F159&lt;&gt;"",XLOOKUP($F159,Productos!$A:$A,Productos!F:F,"Revisar"),"")</f>
        <v/>
      </c>
      <c r="N159" s="179" t="str">
        <f t="array" ref="N159">IF($F159&lt;&gt;"", XLOOKUP($F159,Productos!$A$2:$A1001,Productos!G$2:G1001,"")*$G159,"")</f>
        <v/>
      </c>
      <c r="O159" s="179" t="str">
        <f t="array" ref="O159">IF($F159&lt;&gt;"",XLOOKUP($F159,Productos!$A:$A,Productos!H:H,"Revisar"),"")</f>
        <v/>
      </c>
      <c r="P159" s="179" t="str">
        <f t="array" ref="P159">IF($F159&lt;&gt;"", XLOOKUP($F159,Productos!$A$2:$A1001,Productos!I$2:I1001,"")*$G159,"")</f>
        <v/>
      </c>
      <c r="Q159" s="179" t="str">
        <f t="array" ref="Q159">IF($F159&lt;&gt;"",XLOOKUP($F159,Productos!$A:$A,Productos!J:J,"Revisar"),"")</f>
        <v/>
      </c>
      <c r="R159" s="179" t="str">
        <f t="array" ref="R159">IF($F159&lt;&gt;"", XLOOKUP($F159,Productos!$A$2:$A1001,Productos!K$2:K1001,"")*$G159,"")</f>
        <v/>
      </c>
      <c r="S159" s="179" t="str">
        <f t="array" ref="S159">IF($F159&lt;&gt;"",XLOOKUP($F159,Productos!$A:$A,Productos!L:L,"Revisar"),"")</f>
        <v/>
      </c>
      <c r="T159" s="179" t="str">
        <f t="array" ref="T159">IF($F159&lt;&gt;"", XLOOKUP($F159,Productos!$A$2:$A1001,Productos!M$2:M1001,"")*$G159,"")</f>
        <v/>
      </c>
      <c r="U159" s="179" t="str">
        <f t="array" ref="U159">IF($F159&lt;&gt;"",XLOOKUP($F159,Productos!$A:$A,Productos!N:N,"Revisar"),"")</f>
        <v/>
      </c>
      <c r="V159" s="179" t="str">
        <f t="array" ref="V159">IF($F159&lt;&gt;"", XLOOKUP($F159,Productos!$A$2:$A1001,Productos!O$2:O1001,"")*$G159,"")</f>
        <v/>
      </c>
      <c r="W159" s="179" t="str">
        <f t="array" ref="W159">IF($F159&lt;&gt;"",XLOOKUP($F159,Productos!$A:$A,Productos!P:P,"Revisar"),"")</f>
        <v/>
      </c>
      <c r="X159" s="179" t="str">
        <f t="array" ref="X159">IF($F159&lt;&gt;"", XLOOKUP($F159,Productos!$A$2:$A1001,Productos!Q$2:Q1001,"")*$G159,"")</f>
        <v/>
      </c>
      <c r="Y159" s="179" t="str">
        <f t="array" ref="Y159">IF($F159&lt;&gt;"",XLOOKUP($F159,Productos!$A:$A,Productos!R:R,"Revisar"),"")</f>
        <v/>
      </c>
      <c r="Z159" s="179" t="str">
        <f t="array" ref="Z159">IF($F159&lt;&gt;"", XLOOKUP($F159,Productos!$A$2:$A1001,Productos!S$2:S1001,"")*$G159,"")</f>
        <v/>
      </c>
      <c r="AA159" s="179" t="str">
        <f t="array" ref="AA159">IF($F159&lt;&gt;"",XLOOKUP($F159,Productos!$A:$A,Productos!T:T,"Revisar"),"")</f>
        <v/>
      </c>
      <c r="AB159" s="179" t="str">
        <f t="array" ref="AB159">IF($F159&lt;&gt;"", XLOOKUP($F159,Productos!$A$2:$A1001,Productos!U$2:U1001,"")*$G159,"")</f>
        <v/>
      </c>
      <c r="AC159" s="179" t="str">
        <f t="array" ref="AC159">IF($F159&lt;&gt;"",XLOOKUP($F159,Productos!$A:$A,Productos!V:V,"Revisar"),"")</f>
        <v/>
      </c>
      <c r="AD159" s="179" t="str">
        <f t="array" ref="AD159">IF($F159&lt;&gt;"", XLOOKUP($F159,Productos!$A$2:$A1001,Productos!W$2:W1001,"")*$G159,"")</f>
        <v/>
      </c>
      <c r="AE159" s="179" t="str">
        <f t="array" ref="AE159">IF($F159&lt;&gt;"",XLOOKUP($F159,Productos!$A:$A,Productos!X:X,"Revisar"),"")</f>
        <v/>
      </c>
      <c r="AF159" s="179" t="str">
        <f t="array" ref="AF159">IF($F159&lt;&gt;"", XLOOKUP($F159,Productos!$A$2:$A1001,Productos!Y$2:Y1001,"")*$G159,"")</f>
        <v/>
      </c>
      <c r="AG159" s="179" t="str">
        <f t="array" ref="AG159">IF($F159&lt;&gt;"",XLOOKUP($F159,Productos!$A:$A,Productos!Z:Z,"Revisar"),"")</f>
        <v/>
      </c>
      <c r="AH159" s="179" t="str">
        <f t="array" ref="AH159">IF($F159&lt;&gt;"", XLOOKUP($F159,Productos!$A$2:$A1001,Productos!AA$2:AA1001,"")*$G159,"")</f>
        <v/>
      </c>
      <c r="AI159" s="179" t="str">
        <f t="array" ref="AI159">IF($F159&lt;&gt;"",XLOOKUP($F159,Productos!$A:$A,Productos!AB:AB,"Revisar"),"")</f>
        <v/>
      </c>
      <c r="AJ159" s="179" t="str">
        <f t="array" ref="AJ159">IF($F159&lt;&gt;"", XLOOKUP($F159,Productos!$A$2:$A1001,Productos!AC$2:AC1001,"")*$G159,"")</f>
        <v/>
      </c>
      <c r="AK159" s="179" t="str">
        <f t="array" ref="AK159">IF($F159&lt;&gt;"",XLOOKUP($F159,Productos!$A:$A,Productos!AD:AD,"Revisar"),"")</f>
        <v/>
      </c>
      <c r="AL159" s="179" t="str">
        <f t="array" ref="AL159">IF($F159&lt;&gt;"", XLOOKUP($F159,Productos!$A$2:$A1001,Productos!AE$2:AE1001,"")*$G159,"")</f>
        <v/>
      </c>
      <c r="AM159" s="179" t="str">
        <f t="array" ref="AM159">IF($F159&lt;&gt;"",XLOOKUP($F159,Productos!$A:$A,Productos!AF:AF,"Revisar"),"")</f>
        <v/>
      </c>
      <c r="AN159" s="179" t="str">
        <f t="array" ref="AN159">IF($F159&lt;&gt;"", XLOOKUP($F159,Productos!$A$2:$A1001,Productos!AG$2:AG1001,"")*$G159,"")</f>
        <v/>
      </c>
      <c r="AO159" s="179" t="str">
        <f t="array" ref="AO159">IF($F159&lt;&gt;"",XLOOKUP($F159,Productos!$A:$A,Productos!AH:AH,"Revisar"),"")</f>
        <v/>
      </c>
      <c r="AP159" s="179" t="str">
        <f t="array" ref="AP159">IF($F159&lt;&gt;"", XLOOKUP($F159,Productos!$A$2:$A1001,Productos!AI$2:AI1001,"")*$G159,"")</f>
        <v/>
      </c>
      <c r="AQ159" s="179" t="str">
        <f t="array" ref="AQ159">IF($F159&lt;&gt;"",XLOOKUP($F159,Productos!$A:$A,Productos!AJ:AJ,"Revisar"),"")</f>
        <v/>
      </c>
      <c r="AR159" s="179" t="str">
        <f t="array" ref="AR159">IF($F159&lt;&gt;"", XLOOKUP($F159,Productos!$A$2:$A1001,Productos!AK$2:AK1001,"")*$G159,"")</f>
        <v/>
      </c>
      <c r="AS159" s="179" t="str">
        <f t="array" ref="AS159">IF($F159&lt;&gt;"",XLOOKUP($F159,Productos!$A:$A,Productos!AL:AL,"Revisar"),"")</f>
        <v/>
      </c>
      <c r="AT159" s="179" t="str">
        <f t="array" ref="AT159">IF($F159&lt;&gt;"", XLOOKUP($F159,Productos!$A$2:$A1001,Productos!AM$2:AM1001,"")*$G159,"")</f>
        <v/>
      </c>
      <c r="AU159" s="179" t="str">
        <f t="array" ref="AU159">IF($F159&lt;&gt;"",XLOOKUP($F159,Productos!$A:$A,Productos!AN:AN,"Revisar"),"")</f>
        <v/>
      </c>
      <c r="AV159" s="179" t="str">
        <f t="array" ref="AV159">IF($F159&lt;&gt;"", XLOOKUP($F159,Productos!$A$2:$A1001,Productos!AO$2:AO1001,"")*$G159,"")</f>
        <v/>
      </c>
      <c r="AW159" s="179" t="str">
        <f t="array" ref="AW159">IF($F159&lt;&gt;"",XLOOKUP($F159,Productos!$A:$A,Productos!AP:AP,"Revisar"),"")</f>
        <v/>
      </c>
      <c r="AX159" s="179" t="str">
        <f t="array" ref="AX159">IF($F159&lt;&gt;"", XLOOKUP($F159,Productos!$A$2:$A1001,Productos!AQ$2:AQ1001,"")*$G159,"")</f>
        <v/>
      </c>
      <c r="AY159" s="179" t="str">
        <f t="array" ref="AY159">IF($F159&lt;&gt;"",XLOOKUP($F159,Productos!$A:$A,Productos!AR:AR,"Revisar"),"")</f>
        <v/>
      </c>
      <c r="AZ159" s="179" t="str">
        <f t="array" ref="AZ159">IF($F159&lt;&gt;"", XLOOKUP($F159,Productos!$A$2:$A1001,Productos!AS$2:AS1001,"")*$G159,"")</f>
        <v/>
      </c>
      <c r="BA159" s="179" t="str">
        <f t="array" ref="BA159">IF($F159&lt;&gt;"",XLOOKUP($F159,Productos!$A:$A,Productos!AT:AT,"Revisar"),"")</f>
        <v/>
      </c>
      <c r="BB159" s="179" t="str">
        <f t="array" ref="BB159">IF($F159&lt;&gt;"", XLOOKUP($F159,Productos!$A$2:$A1001,Productos!AU$2:AU1001,"")*$G159,"")</f>
        <v/>
      </c>
      <c r="BC159" s="179" t="str">
        <f t="array" ref="BC159">IF($F159&lt;&gt;"",XLOOKUP($F159,Productos!$A:$A,Productos!AV:AV,"Revisar"),"")</f>
        <v/>
      </c>
      <c r="BD159" s="179" t="str">
        <f t="array" ref="BD159">IF($F159&lt;&gt;"", XLOOKUP($F159,Productos!$A$2:$A1001,Productos!AW$2:AW1001,"")*$G159,"")</f>
        <v/>
      </c>
      <c r="BE159" s="179" t="str">
        <f t="array" ref="BE159">IF($F159&lt;&gt;"",XLOOKUP($F159,Productos!$A:$A,Productos!AX:AX,"Revisar"),"")</f>
        <v/>
      </c>
      <c r="BF159" s="179" t="str">
        <f t="array" ref="BF159">IF($F159&lt;&gt;"", XLOOKUP($F159,Productos!$A$2:$A1001,Productos!AY$2:AY1001,"")*$G159,"")</f>
        <v/>
      </c>
      <c r="BG159" s="179" t="str">
        <f t="array" ref="BG159">IF($F159&lt;&gt;"",XLOOKUP($F159,Productos!$A:$A,Productos!AZ:AZ,"Revisar"),"")</f>
        <v/>
      </c>
      <c r="BH159" s="179" t="str">
        <f t="array" ref="BH159">IF($F159&lt;&gt;"", XLOOKUP($F159,Productos!$A$2:$A1001,Productos!BA$2:BA1001,"")*$G159,"")</f>
        <v/>
      </c>
      <c r="BI159" s="179" t="str">
        <f t="array" ref="BI159">IF($F159&lt;&gt;"",XLOOKUP($F159,Productos!$A:$A,Productos!BB:BB,"Revisar"),"")</f>
        <v/>
      </c>
      <c r="BJ159" s="179" t="str">
        <f t="array" ref="BJ159">IF($F159&lt;&gt;"", XLOOKUP($F159,Productos!$A$2:$A1001,Productos!BC$2:BC1001,"")*$G159,"")</f>
        <v/>
      </c>
      <c r="BK159" s="179" t="str">
        <f t="array" ref="BK159">IF($F159&lt;&gt;"",XLOOKUP($F159,Productos!$A:$A,Productos!BD:BD,"Revisar"),"")</f>
        <v/>
      </c>
      <c r="BL159" s="179" t="str">
        <f t="array" ref="BL159">IF($F159&lt;&gt;"", XLOOKUP($F159,Productos!$A$2:$A1001,Productos!BE$2:BE1001,"")*$G159,"")</f>
        <v/>
      </c>
      <c r="BM159" s="179" t="str">
        <f t="array" ref="BM159">IF($F159&lt;&gt;"",XLOOKUP($F159,Productos!$A:$A,Productos!BF:BF,"Revisar"),"")</f>
        <v/>
      </c>
      <c r="BN159" s="179" t="str">
        <f t="array" ref="BN159">IF($F159&lt;&gt;"", XLOOKUP($F159,Productos!$A$2:$A1001,Productos!BG$2:BG1001,"")*$G159,"")</f>
        <v/>
      </c>
      <c r="BO159" s="179" t="str">
        <f t="array" ref="BO159">IF($F159&lt;&gt;"",XLOOKUP($F159,Productos!$A:$A,Productos!BH:BH,"Revisar"),"")</f>
        <v/>
      </c>
      <c r="BP159" s="179" t="str">
        <f t="array" ref="BP159">IF($F159&lt;&gt;"", XLOOKUP($F159,Productos!$A$2:$A1001,Productos!BI$2:BI1001,"")*$G159,"")</f>
        <v/>
      </c>
      <c r="BQ159" s="179" t="str">
        <f t="array" ref="BQ159">IF($F159&lt;&gt;"",XLOOKUP($F159,Productos!$A:$A,Productos!BJ:BJ,"Revisar"),"")</f>
        <v/>
      </c>
      <c r="BR159" s="179" t="str">
        <f t="array" ref="BR159">IF($F159&lt;&gt;"", XLOOKUP($F159,Productos!$A$2:$A1001,Productos!BK$2:BK1001,"")*$G159,"")</f>
        <v/>
      </c>
      <c r="BS159" s="179" t="str">
        <f t="array" ref="BS159">IF($F159&lt;&gt;"",XLOOKUP($F159,Productos!$A:$A,Productos!BL:BL,"Revisar"),"")</f>
        <v/>
      </c>
      <c r="BT159" s="179" t="str">
        <f t="array" ref="BT159">IF($F159&lt;&gt;"", XLOOKUP($F159,Productos!$A$2:$A1001,Productos!BM$2:BM1001,"")*$G159,"")</f>
        <v/>
      </c>
      <c r="BU159" s="179" t="str">
        <f t="array" ref="BU159">IF($F159&lt;&gt;"",XLOOKUP($F159,Productos!$A:$A,Productos!BN:BN,"Revisar"),"")</f>
        <v/>
      </c>
      <c r="BV159" s="179" t="str">
        <f t="array" ref="BV159">IF($F159&lt;&gt;"", XLOOKUP($F159,Productos!$A$2:$A1001,Productos!BO$2:BO1001,"")*$G159,"")</f>
        <v/>
      </c>
      <c r="BW159" s="179" t="str">
        <f t="array" ref="BW159">IF($F159&lt;&gt;"",XLOOKUP($F159,Productos!$A:$A,Productos!BP:BP,"Revisar"),"")</f>
        <v/>
      </c>
      <c r="BX159" s="179" t="str">
        <f t="array" ref="BX159">IF($F159&lt;&gt;"", XLOOKUP($F159,Productos!$A$2:$A1001,Productos!BQ$2:BQ1001,"")*$G159,"")</f>
        <v/>
      </c>
      <c r="BY159" s="179" t="str">
        <f t="array" ref="BY159">IF($F159&lt;&gt;"",XLOOKUP($F159,Productos!$A:$A,Productos!BR:BR,"Revisar"),"")</f>
        <v/>
      </c>
      <c r="BZ159" s="179" t="str">
        <f t="array" ref="BZ159">IF($F159&lt;&gt;"", XLOOKUP($F159,Productos!$A$2:$A1001,Productos!BS$2:BS1001,"")*$G159,"")</f>
        <v/>
      </c>
    </row>
    <row r="160">
      <c r="A160" s="180"/>
      <c r="B160" s="181"/>
      <c r="C160" s="182"/>
      <c r="D160" s="182"/>
      <c r="E160" s="185"/>
      <c r="F160" s="186"/>
      <c r="G160" s="187"/>
      <c r="H160" s="186"/>
      <c r="I160" s="179" t="str">
        <f t="array" ref="I160">IF($F160&lt;&gt;"",XLOOKUP($F160,Productos!$A:$A,Productos!B:B,"Revisar"),"")</f>
        <v/>
      </c>
      <c r="J160" s="179" t="str">
        <f t="array" ref="J160">IF($F160&lt;&gt;"", XLOOKUP($F160,Productos!$A$2:$A1001,Productos!C$2:C1001,"")*$G160,"")</f>
        <v/>
      </c>
      <c r="K160" s="179" t="str">
        <f t="array" ref="K160">IF($F160&lt;&gt;"",XLOOKUP($F160,Productos!$A:$A,Productos!D:D,"Revisar"),"")</f>
        <v/>
      </c>
      <c r="L160" s="179" t="str">
        <f t="array" ref="L160">IF($F160&lt;&gt;"", XLOOKUP($F160,Productos!$A$2:$A1001,Productos!E$2:E1001,"")*$G160,"")</f>
        <v/>
      </c>
      <c r="M160" s="179" t="str">
        <f t="array" ref="M160">IF($F160&lt;&gt;"",XLOOKUP($F160,Productos!$A:$A,Productos!F:F,"Revisar"),"")</f>
        <v/>
      </c>
      <c r="N160" s="179" t="str">
        <f t="array" ref="N160">IF($F160&lt;&gt;"", XLOOKUP($F160,Productos!$A$2:$A1001,Productos!G$2:G1001,"")*$G160,"")</f>
        <v/>
      </c>
      <c r="O160" s="179" t="str">
        <f t="array" ref="O160">IF($F160&lt;&gt;"",XLOOKUP($F160,Productos!$A:$A,Productos!H:H,"Revisar"),"")</f>
        <v/>
      </c>
      <c r="P160" s="179" t="str">
        <f t="array" ref="P160">IF($F160&lt;&gt;"", XLOOKUP($F160,Productos!$A$2:$A1001,Productos!I$2:I1001,"")*$G160,"")</f>
        <v/>
      </c>
      <c r="Q160" s="179" t="str">
        <f t="array" ref="Q160">IF($F160&lt;&gt;"",XLOOKUP($F160,Productos!$A:$A,Productos!J:J,"Revisar"),"")</f>
        <v/>
      </c>
      <c r="R160" s="179" t="str">
        <f t="array" ref="R160">IF($F160&lt;&gt;"", XLOOKUP($F160,Productos!$A$2:$A1001,Productos!K$2:K1001,"")*$G160,"")</f>
        <v/>
      </c>
      <c r="S160" s="179" t="str">
        <f t="array" ref="S160">IF($F160&lt;&gt;"",XLOOKUP($F160,Productos!$A:$A,Productos!L:L,"Revisar"),"")</f>
        <v/>
      </c>
      <c r="T160" s="179" t="str">
        <f t="array" ref="T160">IF($F160&lt;&gt;"", XLOOKUP($F160,Productos!$A$2:$A1001,Productos!M$2:M1001,"")*$G160,"")</f>
        <v/>
      </c>
      <c r="U160" s="179" t="str">
        <f t="array" ref="U160">IF($F160&lt;&gt;"",XLOOKUP($F160,Productos!$A:$A,Productos!N:N,"Revisar"),"")</f>
        <v/>
      </c>
      <c r="V160" s="179" t="str">
        <f t="array" ref="V160">IF($F160&lt;&gt;"", XLOOKUP($F160,Productos!$A$2:$A1001,Productos!O$2:O1001,"")*$G160,"")</f>
        <v/>
      </c>
      <c r="W160" s="179" t="str">
        <f t="array" ref="W160">IF($F160&lt;&gt;"",XLOOKUP($F160,Productos!$A:$A,Productos!P:P,"Revisar"),"")</f>
        <v/>
      </c>
      <c r="X160" s="179" t="str">
        <f t="array" ref="X160">IF($F160&lt;&gt;"", XLOOKUP($F160,Productos!$A$2:$A1001,Productos!Q$2:Q1001,"")*$G160,"")</f>
        <v/>
      </c>
      <c r="Y160" s="179" t="str">
        <f t="array" ref="Y160">IF($F160&lt;&gt;"",XLOOKUP($F160,Productos!$A:$A,Productos!R:R,"Revisar"),"")</f>
        <v/>
      </c>
      <c r="Z160" s="179" t="str">
        <f t="array" ref="Z160">IF($F160&lt;&gt;"", XLOOKUP($F160,Productos!$A$2:$A1001,Productos!S$2:S1001,"")*$G160,"")</f>
        <v/>
      </c>
      <c r="AA160" s="179" t="str">
        <f t="array" ref="AA160">IF($F160&lt;&gt;"",XLOOKUP($F160,Productos!$A:$A,Productos!T:T,"Revisar"),"")</f>
        <v/>
      </c>
      <c r="AB160" s="179" t="str">
        <f t="array" ref="AB160">IF($F160&lt;&gt;"", XLOOKUP($F160,Productos!$A$2:$A1001,Productos!U$2:U1001,"")*$G160,"")</f>
        <v/>
      </c>
      <c r="AC160" s="179" t="str">
        <f t="array" ref="AC160">IF($F160&lt;&gt;"",XLOOKUP($F160,Productos!$A:$A,Productos!V:V,"Revisar"),"")</f>
        <v/>
      </c>
      <c r="AD160" s="179" t="str">
        <f t="array" ref="AD160">IF($F160&lt;&gt;"", XLOOKUP($F160,Productos!$A$2:$A1001,Productos!W$2:W1001,"")*$G160,"")</f>
        <v/>
      </c>
      <c r="AE160" s="179" t="str">
        <f t="array" ref="AE160">IF($F160&lt;&gt;"",XLOOKUP($F160,Productos!$A:$A,Productos!X:X,"Revisar"),"")</f>
        <v/>
      </c>
      <c r="AF160" s="179" t="str">
        <f t="array" ref="AF160">IF($F160&lt;&gt;"", XLOOKUP($F160,Productos!$A$2:$A1001,Productos!Y$2:Y1001,"")*$G160,"")</f>
        <v/>
      </c>
      <c r="AG160" s="179" t="str">
        <f t="array" ref="AG160">IF($F160&lt;&gt;"",XLOOKUP($F160,Productos!$A:$A,Productos!Z:Z,"Revisar"),"")</f>
        <v/>
      </c>
      <c r="AH160" s="179" t="str">
        <f t="array" ref="AH160">IF($F160&lt;&gt;"", XLOOKUP($F160,Productos!$A$2:$A1001,Productos!AA$2:AA1001,"")*$G160,"")</f>
        <v/>
      </c>
      <c r="AI160" s="179" t="str">
        <f t="array" ref="AI160">IF($F160&lt;&gt;"",XLOOKUP($F160,Productos!$A:$A,Productos!AB:AB,"Revisar"),"")</f>
        <v/>
      </c>
      <c r="AJ160" s="179" t="str">
        <f t="array" ref="AJ160">IF($F160&lt;&gt;"", XLOOKUP($F160,Productos!$A$2:$A1001,Productos!AC$2:AC1001,"")*$G160,"")</f>
        <v/>
      </c>
      <c r="AK160" s="179" t="str">
        <f t="array" ref="AK160">IF($F160&lt;&gt;"",XLOOKUP($F160,Productos!$A:$A,Productos!AD:AD,"Revisar"),"")</f>
        <v/>
      </c>
      <c r="AL160" s="179" t="str">
        <f t="array" ref="AL160">IF($F160&lt;&gt;"", XLOOKUP($F160,Productos!$A$2:$A1001,Productos!AE$2:AE1001,"")*$G160,"")</f>
        <v/>
      </c>
      <c r="AM160" s="179" t="str">
        <f t="array" ref="AM160">IF($F160&lt;&gt;"",XLOOKUP($F160,Productos!$A:$A,Productos!AF:AF,"Revisar"),"")</f>
        <v/>
      </c>
      <c r="AN160" s="179" t="str">
        <f t="array" ref="AN160">IF($F160&lt;&gt;"", XLOOKUP($F160,Productos!$A$2:$A1001,Productos!AG$2:AG1001,"")*$G160,"")</f>
        <v/>
      </c>
      <c r="AO160" s="179" t="str">
        <f t="array" ref="AO160">IF($F160&lt;&gt;"",XLOOKUP($F160,Productos!$A:$A,Productos!AH:AH,"Revisar"),"")</f>
        <v/>
      </c>
      <c r="AP160" s="179" t="str">
        <f t="array" ref="AP160">IF($F160&lt;&gt;"", XLOOKUP($F160,Productos!$A$2:$A1001,Productos!AI$2:AI1001,"")*$G160,"")</f>
        <v/>
      </c>
      <c r="AQ160" s="179" t="str">
        <f t="array" ref="AQ160">IF($F160&lt;&gt;"",XLOOKUP($F160,Productos!$A:$A,Productos!AJ:AJ,"Revisar"),"")</f>
        <v/>
      </c>
      <c r="AR160" s="179" t="str">
        <f t="array" ref="AR160">IF($F160&lt;&gt;"", XLOOKUP($F160,Productos!$A$2:$A1001,Productos!AK$2:AK1001,"")*$G160,"")</f>
        <v/>
      </c>
      <c r="AS160" s="179" t="str">
        <f t="array" ref="AS160">IF($F160&lt;&gt;"",XLOOKUP($F160,Productos!$A:$A,Productos!AL:AL,"Revisar"),"")</f>
        <v/>
      </c>
      <c r="AT160" s="179" t="str">
        <f t="array" ref="AT160">IF($F160&lt;&gt;"", XLOOKUP($F160,Productos!$A$2:$A1001,Productos!AM$2:AM1001,"")*$G160,"")</f>
        <v/>
      </c>
      <c r="AU160" s="179" t="str">
        <f t="array" ref="AU160">IF($F160&lt;&gt;"",XLOOKUP($F160,Productos!$A:$A,Productos!AN:AN,"Revisar"),"")</f>
        <v/>
      </c>
      <c r="AV160" s="179" t="str">
        <f t="array" ref="AV160">IF($F160&lt;&gt;"", XLOOKUP($F160,Productos!$A$2:$A1001,Productos!AO$2:AO1001,"")*$G160,"")</f>
        <v/>
      </c>
      <c r="AW160" s="179" t="str">
        <f t="array" ref="AW160">IF($F160&lt;&gt;"",XLOOKUP($F160,Productos!$A:$A,Productos!AP:AP,"Revisar"),"")</f>
        <v/>
      </c>
      <c r="AX160" s="179" t="str">
        <f t="array" ref="AX160">IF($F160&lt;&gt;"", XLOOKUP($F160,Productos!$A$2:$A1001,Productos!AQ$2:AQ1001,"")*$G160,"")</f>
        <v/>
      </c>
      <c r="AY160" s="179" t="str">
        <f t="array" ref="AY160">IF($F160&lt;&gt;"",XLOOKUP($F160,Productos!$A:$A,Productos!AR:AR,"Revisar"),"")</f>
        <v/>
      </c>
      <c r="AZ160" s="179" t="str">
        <f t="array" ref="AZ160">IF($F160&lt;&gt;"", XLOOKUP($F160,Productos!$A$2:$A1001,Productos!AS$2:AS1001,"")*$G160,"")</f>
        <v/>
      </c>
      <c r="BA160" s="179" t="str">
        <f t="array" ref="BA160">IF($F160&lt;&gt;"",XLOOKUP($F160,Productos!$A:$A,Productos!AT:AT,"Revisar"),"")</f>
        <v/>
      </c>
      <c r="BB160" s="179" t="str">
        <f t="array" ref="BB160">IF($F160&lt;&gt;"", XLOOKUP($F160,Productos!$A$2:$A1001,Productos!AU$2:AU1001,"")*$G160,"")</f>
        <v/>
      </c>
      <c r="BC160" s="179" t="str">
        <f t="array" ref="BC160">IF($F160&lt;&gt;"",XLOOKUP($F160,Productos!$A:$A,Productos!AV:AV,"Revisar"),"")</f>
        <v/>
      </c>
      <c r="BD160" s="179" t="str">
        <f t="array" ref="BD160">IF($F160&lt;&gt;"", XLOOKUP($F160,Productos!$A$2:$A1001,Productos!AW$2:AW1001,"")*$G160,"")</f>
        <v/>
      </c>
      <c r="BE160" s="179" t="str">
        <f t="array" ref="BE160">IF($F160&lt;&gt;"",XLOOKUP($F160,Productos!$A:$A,Productos!AX:AX,"Revisar"),"")</f>
        <v/>
      </c>
      <c r="BF160" s="179" t="str">
        <f t="array" ref="BF160">IF($F160&lt;&gt;"", XLOOKUP($F160,Productos!$A$2:$A1001,Productos!AY$2:AY1001,"")*$G160,"")</f>
        <v/>
      </c>
      <c r="BG160" s="179" t="str">
        <f t="array" ref="BG160">IF($F160&lt;&gt;"",XLOOKUP($F160,Productos!$A:$A,Productos!AZ:AZ,"Revisar"),"")</f>
        <v/>
      </c>
      <c r="BH160" s="179" t="str">
        <f t="array" ref="BH160">IF($F160&lt;&gt;"", XLOOKUP($F160,Productos!$A$2:$A1001,Productos!BA$2:BA1001,"")*$G160,"")</f>
        <v/>
      </c>
      <c r="BI160" s="179" t="str">
        <f t="array" ref="BI160">IF($F160&lt;&gt;"",XLOOKUP($F160,Productos!$A:$A,Productos!BB:BB,"Revisar"),"")</f>
        <v/>
      </c>
      <c r="BJ160" s="179" t="str">
        <f t="array" ref="BJ160">IF($F160&lt;&gt;"", XLOOKUP($F160,Productos!$A$2:$A1001,Productos!BC$2:BC1001,"")*$G160,"")</f>
        <v/>
      </c>
      <c r="BK160" s="179" t="str">
        <f t="array" ref="BK160">IF($F160&lt;&gt;"",XLOOKUP($F160,Productos!$A:$A,Productos!BD:BD,"Revisar"),"")</f>
        <v/>
      </c>
      <c r="BL160" s="179" t="str">
        <f t="array" ref="BL160">IF($F160&lt;&gt;"", XLOOKUP($F160,Productos!$A$2:$A1001,Productos!BE$2:BE1001,"")*$G160,"")</f>
        <v/>
      </c>
      <c r="BM160" s="179" t="str">
        <f t="array" ref="BM160">IF($F160&lt;&gt;"",XLOOKUP($F160,Productos!$A:$A,Productos!BF:BF,"Revisar"),"")</f>
        <v/>
      </c>
      <c r="BN160" s="179" t="str">
        <f t="array" ref="BN160">IF($F160&lt;&gt;"", XLOOKUP($F160,Productos!$A$2:$A1001,Productos!BG$2:BG1001,"")*$G160,"")</f>
        <v/>
      </c>
      <c r="BO160" s="179" t="str">
        <f t="array" ref="BO160">IF($F160&lt;&gt;"",XLOOKUP($F160,Productos!$A:$A,Productos!BH:BH,"Revisar"),"")</f>
        <v/>
      </c>
      <c r="BP160" s="179" t="str">
        <f t="array" ref="BP160">IF($F160&lt;&gt;"", XLOOKUP($F160,Productos!$A$2:$A1001,Productos!BI$2:BI1001,"")*$G160,"")</f>
        <v/>
      </c>
      <c r="BQ160" s="179" t="str">
        <f t="array" ref="BQ160">IF($F160&lt;&gt;"",XLOOKUP($F160,Productos!$A:$A,Productos!BJ:BJ,"Revisar"),"")</f>
        <v/>
      </c>
      <c r="BR160" s="179" t="str">
        <f t="array" ref="BR160">IF($F160&lt;&gt;"", XLOOKUP($F160,Productos!$A$2:$A1001,Productos!BK$2:BK1001,"")*$G160,"")</f>
        <v/>
      </c>
      <c r="BS160" s="179" t="str">
        <f t="array" ref="BS160">IF($F160&lt;&gt;"",XLOOKUP($F160,Productos!$A:$A,Productos!BL:BL,"Revisar"),"")</f>
        <v/>
      </c>
      <c r="BT160" s="179" t="str">
        <f t="array" ref="BT160">IF($F160&lt;&gt;"", XLOOKUP($F160,Productos!$A$2:$A1001,Productos!BM$2:BM1001,"")*$G160,"")</f>
        <v/>
      </c>
      <c r="BU160" s="179" t="str">
        <f t="array" ref="BU160">IF($F160&lt;&gt;"",XLOOKUP($F160,Productos!$A:$A,Productos!BN:BN,"Revisar"),"")</f>
        <v/>
      </c>
      <c r="BV160" s="179" t="str">
        <f t="array" ref="BV160">IF($F160&lt;&gt;"", XLOOKUP($F160,Productos!$A$2:$A1001,Productos!BO$2:BO1001,"")*$G160,"")</f>
        <v/>
      </c>
      <c r="BW160" s="179" t="str">
        <f t="array" ref="BW160">IF($F160&lt;&gt;"",XLOOKUP($F160,Productos!$A:$A,Productos!BP:BP,"Revisar"),"")</f>
        <v/>
      </c>
      <c r="BX160" s="179" t="str">
        <f t="array" ref="BX160">IF($F160&lt;&gt;"", XLOOKUP($F160,Productos!$A$2:$A1001,Productos!BQ$2:BQ1001,"")*$G160,"")</f>
        <v/>
      </c>
      <c r="BY160" s="179" t="str">
        <f t="array" ref="BY160">IF($F160&lt;&gt;"",XLOOKUP($F160,Productos!$A:$A,Productos!BR:BR,"Revisar"),"")</f>
        <v/>
      </c>
      <c r="BZ160" s="179" t="str">
        <f t="array" ref="BZ160">IF($F160&lt;&gt;"", XLOOKUP($F160,Productos!$A$2:$A1001,Productos!BS$2:BS1001,"")*$G160,"")</f>
        <v/>
      </c>
    </row>
    <row r="161">
      <c r="A161" s="180"/>
      <c r="B161" s="181"/>
      <c r="C161" s="182"/>
      <c r="D161" s="182"/>
      <c r="E161" s="185"/>
      <c r="F161" s="186"/>
      <c r="G161" s="187"/>
      <c r="H161" s="186"/>
      <c r="I161" s="179" t="str">
        <f t="array" ref="I161">IF($F161&lt;&gt;"",XLOOKUP($F161,Productos!$A:$A,Productos!B:B,"Revisar"),"")</f>
        <v/>
      </c>
      <c r="J161" s="179" t="str">
        <f t="array" ref="J161">IF($F161&lt;&gt;"", XLOOKUP($F161,Productos!$A$2:$A1001,Productos!C$2:C1001,"")*$G161,"")</f>
        <v/>
      </c>
      <c r="K161" s="179" t="str">
        <f t="array" ref="K161">IF($F161&lt;&gt;"",XLOOKUP($F161,Productos!$A:$A,Productos!D:D,"Revisar"),"")</f>
        <v/>
      </c>
      <c r="L161" s="179" t="str">
        <f t="array" ref="L161">IF($F161&lt;&gt;"", XLOOKUP($F161,Productos!$A$2:$A1001,Productos!E$2:E1001,"")*$G161,"")</f>
        <v/>
      </c>
      <c r="M161" s="179" t="str">
        <f t="array" ref="M161">IF($F161&lt;&gt;"",XLOOKUP($F161,Productos!$A:$A,Productos!F:F,"Revisar"),"")</f>
        <v/>
      </c>
      <c r="N161" s="179" t="str">
        <f t="array" ref="N161">IF($F161&lt;&gt;"", XLOOKUP($F161,Productos!$A$2:$A1001,Productos!G$2:G1001,"")*$G161,"")</f>
        <v/>
      </c>
      <c r="O161" s="179" t="str">
        <f t="array" ref="O161">IF($F161&lt;&gt;"",XLOOKUP($F161,Productos!$A:$A,Productos!H:H,"Revisar"),"")</f>
        <v/>
      </c>
      <c r="P161" s="179" t="str">
        <f t="array" ref="P161">IF($F161&lt;&gt;"", XLOOKUP($F161,Productos!$A$2:$A1001,Productos!I$2:I1001,"")*$G161,"")</f>
        <v/>
      </c>
      <c r="Q161" s="179" t="str">
        <f t="array" ref="Q161">IF($F161&lt;&gt;"",XLOOKUP($F161,Productos!$A:$A,Productos!J:J,"Revisar"),"")</f>
        <v/>
      </c>
      <c r="R161" s="179" t="str">
        <f t="array" ref="R161">IF($F161&lt;&gt;"", XLOOKUP($F161,Productos!$A$2:$A1001,Productos!K$2:K1001,"")*$G161,"")</f>
        <v/>
      </c>
      <c r="S161" s="179" t="str">
        <f t="array" ref="S161">IF($F161&lt;&gt;"",XLOOKUP($F161,Productos!$A:$A,Productos!L:L,"Revisar"),"")</f>
        <v/>
      </c>
      <c r="T161" s="179" t="str">
        <f t="array" ref="T161">IF($F161&lt;&gt;"", XLOOKUP($F161,Productos!$A$2:$A1001,Productos!M$2:M1001,"")*$G161,"")</f>
        <v/>
      </c>
      <c r="U161" s="179" t="str">
        <f t="array" ref="U161">IF($F161&lt;&gt;"",XLOOKUP($F161,Productos!$A:$A,Productos!N:N,"Revisar"),"")</f>
        <v/>
      </c>
      <c r="V161" s="179" t="str">
        <f t="array" ref="V161">IF($F161&lt;&gt;"", XLOOKUP($F161,Productos!$A$2:$A1001,Productos!O$2:O1001,"")*$G161,"")</f>
        <v/>
      </c>
      <c r="W161" s="179" t="str">
        <f t="array" ref="W161">IF($F161&lt;&gt;"",XLOOKUP($F161,Productos!$A:$A,Productos!P:P,"Revisar"),"")</f>
        <v/>
      </c>
      <c r="X161" s="179" t="str">
        <f t="array" ref="X161">IF($F161&lt;&gt;"", XLOOKUP($F161,Productos!$A$2:$A1001,Productos!Q$2:Q1001,"")*$G161,"")</f>
        <v/>
      </c>
      <c r="Y161" s="179" t="str">
        <f t="array" ref="Y161">IF($F161&lt;&gt;"",XLOOKUP($F161,Productos!$A:$A,Productos!R:R,"Revisar"),"")</f>
        <v/>
      </c>
      <c r="Z161" s="179" t="str">
        <f t="array" ref="Z161">IF($F161&lt;&gt;"", XLOOKUP($F161,Productos!$A$2:$A1001,Productos!S$2:S1001,"")*$G161,"")</f>
        <v/>
      </c>
      <c r="AA161" s="179" t="str">
        <f t="array" ref="AA161">IF($F161&lt;&gt;"",XLOOKUP($F161,Productos!$A:$A,Productos!T:T,"Revisar"),"")</f>
        <v/>
      </c>
      <c r="AB161" s="179" t="str">
        <f t="array" ref="AB161">IF($F161&lt;&gt;"", XLOOKUP($F161,Productos!$A$2:$A1001,Productos!U$2:U1001,"")*$G161,"")</f>
        <v/>
      </c>
      <c r="AC161" s="179" t="str">
        <f t="array" ref="AC161">IF($F161&lt;&gt;"",XLOOKUP($F161,Productos!$A:$A,Productos!V:V,"Revisar"),"")</f>
        <v/>
      </c>
      <c r="AD161" s="179" t="str">
        <f t="array" ref="AD161">IF($F161&lt;&gt;"", XLOOKUP($F161,Productos!$A$2:$A1001,Productos!W$2:W1001,"")*$G161,"")</f>
        <v/>
      </c>
      <c r="AE161" s="179" t="str">
        <f t="array" ref="AE161">IF($F161&lt;&gt;"",XLOOKUP($F161,Productos!$A:$A,Productos!X:X,"Revisar"),"")</f>
        <v/>
      </c>
      <c r="AF161" s="179" t="str">
        <f t="array" ref="AF161">IF($F161&lt;&gt;"", XLOOKUP($F161,Productos!$A$2:$A1001,Productos!Y$2:Y1001,"")*$G161,"")</f>
        <v/>
      </c>
      <c r="AG161" s="179" t="str">
        <f t="array" ref="AG161">IF($F161&lt;&gt;"",XLOOKUP($F161,Productos!$A:$A,Productos!Z:Z,"Revisar"),"")</f>
        <v/>
      </c>
      <c r="AH161" s="179" t="str">
        <f t="array" ref="AH161">IF($F161&lt;&gt;"", XLOOKUP($F161,Productos!$A$2:$A1001,Productos!AA$2:AA1001,"")*$G161,"")</f>
        <v/>
      </c>
      <c r="AI161" s="179" t="str">
        <f t="array" ref="AI161">IF($F161&lt;&gt;"",XLOOKUP($F161,Productos!$A:$A,Productos!AB:AB,"Revisar"),"")</f>
        <v/>
      </c>
      <c r="AJ161" s="179" t="str">
        <f t="array" ref="AJ161">IF($F161&lt;&gt;"", XLOOKUP($F161,Productos!$A$2:$A1001,Productos!AC$2:AC1001,"")*$G161,"")</f>
        <v/>
      </c>
      <c r="AK161" s="179" t="str">
        <f t="array" ref="AK161">IF($F161&lt;&gt;"",XLOOKUP($F161,Productos!$A:$A,Productos!AD:AD,"Revisar"),"")</f>
        <v/>
      </c>
      <c r="AL161" s="179" t="str">
        <f t="array" ref="AL161">IF($F161&lt;&gt;"", XLOOKUP($F161,Productos!$A$2:$A1001,Productos!AE$2:AE1001,"")*$G161,"")</f>
        <v/>
      </c>
      <c r="AM161" s="179" t="str">
        <f t="array" ref="AM161">IF($F161&lt;&gt;"",XLOOKUP($F161,Productos!$A:$A,Productos!AF:AF,"Revisar"),"")</f>
        <v/>
      </c>
      <c r="AN161" s="179" t="str">
        <f t="array" ref="AN161">IF($F161&lt;&gt;"", XLOOKUP($F161,Productos!$A$2:$A1001,Productos!AG$2:AG1001,"")*$G161,"")</f>
        <v/>
      </c>
      <c r="AO161" s="179" t="str">
        <f t="array" ref="AO161">IF($F161&lt;&gt;"",XLOOKUP($F161,Productos!$A:$A,Productos!AH:AH,"Revisar"),"")</f>
        <v/>
      </c>
      <c r="AP161" s="179" t="str">
        <f t="array" ref="AP161">IF($F161&lt;&gt;"", XLOOKUP($F161,Productos!$A$2:$A1001,Productos!AI$2:AI1001,"")*$G161,"")</f>
        <v/>
      </c>
      <c r="AQ161" s="179" t="str">
        <f t="array" ref="AQ161">IF($F161&lt;&gt;"",XLOOKUP($F161,Productos!$A:$A,Productos!AJ:AJ,"Revisar"),"")</f>
        <v/>
      </c>
      <c r="AR161" s="179" t="str">
        <f t="array" ref="AR161">IF($F161&lt;&gt;"", XLOOKUP($F161,Productos!$A$2:$A1001,Productos!AK$2:AK1001,"")*$G161,"")</f>
        <v/>
      </c>
      <c r="AS161" s="179" t="str">
        <f t="array" ref="AS161">IF($F161&lt;&gt;"",XLOOKUP($F161,Productos!$A:$A,Productos!AL:AL,"Revisar"),"")</f>
        <v/>
      </c>
      <c r="AT161" s="179" t="str">
        <f t="array" ref="AT161">IF($F161&lt;&gt;"", XLOOKUP($F161,Productos!$A$2:$A1001,Productos!AM$2:AM1001,"")*$G161,"")</f>
        <v/>
      </c>
      <c r="AU161" s="179" t="str">
        <f t="array" ref="AU161">IF($F161&lt;&gt;"",XLOOKUP($F161,Productos!$A:$A,Productos!AN:AN,"Revisar"),"")</f>
        <v/>
      </c>
      <c r="AV161" s="179" t="str">
        <f t="array" ref="AV161">IF($F161&lt;&gt;"", XLOOKUP($F161,Productos!$A$2:$A1001,Productos!AO$2:AO1001,"")*$G161,"")</f>
        <v/>
      </c>
      <c r="AW161" s="179" t="str">
        <f t="array" ref="AW161">IF($F161&lt;&gt;"",XLOOKUP($F161,Productos!$A:$A,Productos!AP:AP,"Revisar"),"")</f>
        <v/>
      </c>
      <c r="AX161" s="179" t="str">
        <f t="array" ref="AX161">IF($F161&lt;&gt;"", XLOOKUP($F161,Productos!$A$2:$A1001,Productos!AQ$2:AQ1001,"")*$G161,"")</f>
        <v/>
      </c>
      <c r="AY161" s="179" t="str">
        <f t="array" ref="AY161">IF($F161&lt;&gt;"",XLOOKUP($F161,Productos!$A:$A,Productos!AR:AR,"Revisar"),"")</f>
        <v/>
      </c>
      <c r="AZ161" s="179" t="str">
        <f t="array" ref="AZ161">IF($F161&lt;&gt;"", XLOOKUP($F161,Productos!$A$2:$A1001,Productos!AS$2:AS1001,"")*$G161,"")</f>
        <v/>
      </c>
      <c r="BA161" s="179" t="str">
        <f t="array" ref="BA161">IF($F161&lt;&gt;"",XLOOKUP($F161,Productos!$A:$A,Productos!AT:AT,"Revisar"),"")</f>
        <v/>
      </c>
      <c r="BB161" s="179" t="str">
        <f t="array" ref="BB161">IF($F161&lt;&gt;"", XLOOKUP($F161,Productos!$A$2:$A1001,Productos!AU$2:AU1001,"")*$G161,"")</f>
        <v/>
      </c>
      <c r="BC161" s="179" t="str">
        <f t="array" ref="BC161">IF($F161&lt;&gt;"",XLOOKUP($F161,Productos!$A:$A,Productos!AV:AV,"Revisar"),"")</f>
        <v/>
      </c>
      <c r="BD161" s="179" t="str">
        <f t="array" ref="BD161">IF($F161&lt;&gt;"", XLOOKUP($F161,Productos!$A$2:$A1001,Productos!AW$2:AW1001,"")*$G161,"")</f>
        <v/>
      </c>
      <c r="BE161" s="179" t="str">
        <f t="array" ref="BE161">IF($F161&lt;&gt;"",XLOOKUP($F161,Productos!$A:$A,Productos!AX:AX,"Revisar"),"")</f>
        <v/>
      </c>
      <c r="BF161" s="179" t="str">
        <f t="array" ref="BF161">IF($F161&lt;&gt;"", XLOOKUP($F161,Productos!$A$2:$A1001,Productos!AY$2:AY1001,"")*$G161,"")</f>
        <v/>
      </c>
      <c r="BG161" s="179" t="str">
        <f t="array" ref="BG161">IF($F161&lt;&gt;"",XLOOKUP($F161,Productos!$A:$A,Productos!AZ:AZ,"Revisar"),"")</f>
        <v/>
      </c>
      <c r="BH161" s="179" t="str">
        <f t="array" ref="BH161">IF($F161&lt;&gt;"", XLOOKUP($F161,Productos!$A$2:$A1001,Productos!BA$2:BA1001,"")*$G161,"")</f>
        <v/>
      </c>
      <c r="BI161" s="179" t="str">
        <f t="array" ref="BI161">IF($F161&lt;&gt;"",XLOOKUP($F161,Productos!$A:$A,Productos!BB:BB,"Revisar"),"")</f>
        <v/>
      </c>
      <c r="BJ161" s="179" t="str">
        <f t="array" ref="BJ161">IF($F161&lt;&gt;"", XLOOKUP($F161,Productos!$A$2:$A1001,Productos!BC$2:BC1001,"")*$G161,"")</f>
        <v/>
      </c>
      <c r="BK161" s="179" t="str">
        <f t="array" ref="BK161">IF($F161&lt;&gt;"",XLOOKUP($F161,Productos!$A:$A,Productos!BD:BD,"Revisar"),"")</f>
        <v/>
      </c>
      <c r="BL161" s="179" t="str">
        <f t="array" ref="BL161">IF($F161&lt;&gt;"", XLOOKUP($F161,Productos!$A$2:$A1001,Productos!BE$2:BE1001,"")*$G161,"")</f>
        <v/>
      </c>
      <c r="BM161" s="179" t="str">
        <f t="array" ref="BM161">IF($F161&lt;&gt;"",XLOOKUP($F161,Productos!$A:$A,Productos!BF:BF,"Revisar"),"")</f>
        <v/>
      </c>
      <c r="BN161" s="179" t="str">
        <f t="array" ref="BN161">IF($F161&lt;&gt;"", XLOOKUP($F161,Productos!$A$2:$A1001,Productos!BG$2:BG1001,"")*$G161,"")</f>
        <v/>
      </c>
      <c r="BO161" s="179" t="str">
        <f t="array" ref="BO161">IF($F161&lt;&gt;"",XLOOKUP($F161,Productos!$A:$A,Productos!BH:BH,"Revisar"),"")</f>
        <v/>
      </c>
      <c r="BP161" s="179" t="str">
        <f t="array" ref="BP161">IF($F161&lt;&gt;"", XLOOKUP($F161,Productos!$A$2:$A1001,Productos!BI$2:BI1001,"")*$G161,"")</f>
        <v/>
      </c>
      <c r="BQ161" s="179" t="str">
        <f t="array" ref="BQ161">IF($F161&lt;&gt;"",XLOOKUP($F161,Productos!$A:$A,Productos!BJ:BJ,"Revisar"),"")</f>
        <v/>
      </c>
      <c r="BR161" s="179" t="str">
        <f t="array" ref="BR161">IF($F161&lt;&gt;"", XLOOKUP($F161,Productos!$A$2:$A1001,Productos!BK$2:BK1001,"")*$G161,"")</f>
        <v/>
      </c>
      <c r="BS161" s="179" t="str">
        <f t="array" ref="BS161">IF($F161&lt;&gt;"",XLOOKUP($F161,Productos!$A:$A,Productos!BL:BL,"Revisar"),"")</f>
        <v/>
      </c>
      <c r="BT161" s="179" t="str">
        <f t="array" ref="BT161">IF($F161&lt;&gt;"", XLOOKUP($F161,Productos!$A$2:$A1001,Productos!BM$2:BM1001,"")*$G161,"")</f>
        <v/>
      </c>
      <c r="BU161" s="179" t="str">
        <f t="array" ref="BU161">IF($F161&lt;&gt;"",XLOOKUP($F161,Productos!$A:$A,Productos!BN:BN,"Revisar"),"")</f>
        <v/>
      </c>
      <c r="BV161" s="179" t="str">
        <f t="array" ref="BV161">IF($F161&lt;&gt;"", XLOOKUP($F161,Productos!$A$2:$A1001,Productos!BO$2:BO1001,"")*$G161,"")</f>
        <v/>
      </c>
      <c r="BW161" s="179" t="str">
        <f t="array" ref="BW161">IF($F161&lt;&gt;"",XLOOKUP($F161,Productos!$A:$A,Productos!BP:BP,"Revisar"),"")</f>
        <v/>
      </c>
      <c r="BX161" s="179" t="str">
        <f t="array" ref="BX161">IF($F161&lt;&gt;"", XLOOKUP($F161,Productos!$A$2:$A1001,Productos!BQ$2:BQ1001,"")*$G161,"")</f>
        <v/>
      </c>
      <c r="BY161" s="179" t="str">
        <f t="array" ref="BY161">IF($F161&lt;&gt;"",XLOOKUP($F161,Productos!$A:$A,Productos!BR:BR,"Revisar"),"")</f>
        <v/>
      </c>
      <c r="BZ161" s="179" t="str">
        <f t="array" ref="BZ161">IF($F161&lt;&gt;"", XLOOKUP($F161,Productos!$A$2:$A1001,Productos!BS$2:BS1001,"")*$G161,"")</f>
        <v/>
      </c>
    </row>
    <row r="162">
      <c r="A162" s="180"/>
      <c r="B162" s="181"/>
      <c r="C162" s="182"/>
      <c r="D162" s="182"/>
      <c r="E162" s="185"/>
      <c r="F162" s="186"/>
      <c r="G162" s="187"/>
      <c r="H162" s="186"/>
      <c r="I162" s="179" t="str">
        <f t="array" ref="I162">IF($F162&lt;&gt;"",XLOOKUP($F162,Productos!$A:$A,Productos!B:B,"Revisar"),"")</f>
        <v/>
      </c>
      <c r="J162" s="179" t="str">
        <f t="array" ref="J162">IF($F162&lt;&gt;"", XLOOKUP($F162,Productos!$A$2:$A1001,Productos!C$2:C1001,"")*$G162,"")</f>
        <v/>
      </c>
      <c r="K162" s="179" t="str">
        <f t="array" ref="K162">IF($F162&lt;&gt;"",XLOOKUP($F162,Productos!$A:$A,Productos!D:D,"Revisar"),"")</f>
        <v/>
      </c>
      <c r="L162" s="179" t="str">
        <f t="array" ref="L162">IF($F162&lt;&gt;"", XLOOKUP($F162,Productos!$A$2:$A1001,Productos!E$2:E1001,"")*$G162,"")</f>
        <v/>
      </c>
      <c r="M162" s="179" t="str">
        <f t="array" ref="M162">IF($F162&lt;&gt;"",XLOOKUP($F162,Productos!$A:$A,Productos!F:F,"Revisar"),"")</f>
        <v/>
      </c>
      <c r="N162" s="179" t="str">
        <f t="array" ref="N162">IF($F162&lt;&gt;"", XLOOKUP($F162,Productos!$A$2:$A1001,Productos!G$2:G1001,"")*$G162,"")</f>
        <v/>
      </c>
      <c r="O162" s="179" t="str">
        <f t="array" ref="O162">IF($F162&lt;&gt;"",XLOOKUP($F162,Productos!$A:$A,Productos!H:H,"Revisar"),"")</f>
        <v/>
      </c>
      <c r="P162" s="179" t="str">
        <f t="array" ref="P162">IF($F162&lt;&gt;"", XLOOKUP($F162,Productos!$A$2:$A1001,Productos!I$2:I1001,"")*$G162,"")</f>
        <v/>
      </c>
      <c r="Q162" s="179" t="str">
        <f t="array" ref="Q162">IF($F162&lt;&gt;"",XLOOKUP($F162,Productos!$A:$A,Productos!J:J,"Revisar"),"")</f>
        <v/>
      </c>
      <c r="R162" s="179" t="str">
        <f t="array" ref="R162">IF($F162&lt;&gt;"", XLOOKUP($F162,Productos!$A$2:$A1001,Productos!K$2:K1001,"")*$G162,"")</f>
        <v/>
      </c>
      <c r="S162" s="179" t="str">
        <f t="array" ref="S162">IF($F162&lt;&gt;"",XLOOKUP($F162,Productos!$A:$A,Productos!L:L,"Revisar"),"")</f>
        <v/>
      </c>
      <c r="T162" s="179" t="str">
        <f t="array" ref="T162">IF($F162&lt;&gt;"", XLOOKUP($F162,Productos!$A$2:$A1001,Productos!M$2:M1001,"")*$G162,"")</f>
        <v/>
      </c>
      <c r="U162" s="179" t="str">
        <f t="array" ref="U162">IF($F162&lt;&gt;"",XLOOKUP($F162,Productos!$A:$A,Productos!N:N,"Revisar"),"")</f>
        <v/>
      </c>
      <c r="V162" s="179" t="str">
        <f t="array" ref="V162">IF($F162&lt;&gt;"", XLOOKUP($F162,Productos!$A$2:$A1001,Productos!O$2:O1001,"")*$G162,"")</f>
        <v/>
      </c>
      <c r="W162" s="179" t="str">
        <f t="array" ref="W162">IF($F162&lt;&gt;"",XLOOKUP($F162,Productos!$A:$A,Productos!P:P,"Revisar"),"")</f>
        <v/>
      </c>
      <c r="X162" s="179" t="str">
        <f t="array" ref="X162">IF($F162&lt;&gt;"", XLOOKUP($F162,Productos!$A$2:$A1001,Productos!Q$2:Q1001,"")*$G162,"")</f>
        <v/>
      </c>
      <c r="Y162" s="179" t="str">
        <f t="array" ref="Y162">IF($F162&lt;&gt;"",XLOOKUP($F162,Productos!$A:$A,Productos!R:R,"Revisar"),"")</f>
        <v/>
      </c>
      <c r="Z162" s="179" t="str">
        <f t="array" ref="Z162">IF($F162&lt;&gt;"", XLOOKUP($F162,Productos!$A$2:$A1001,Productos!S$2:S1001,"")*$G162,"")</f>
        <v/>
      </c>
      <c r="AA162" s="179" t="str">
        <f t="array" ref="AA162">IF($F162&lt;&gt;"",XLOOKUP($F162,Productos!$A:$A,Productos!T:T,"Revisar"),"")</f>
        <v/>
      </c>
      <c r="AB162" s="179" t="str">
        <f t="array" ref="AB162">IF($F162&lt;&gt;"", XLOOKUP($F162,Productos!$A$2:$A1001,Productos!U$2:U1001,"")*$G162,"")</f>
        <v/>
      </c>
      <c r="AC162" s="179" t="str">
        <f t="array" ref="AC162">IF($F162&lt;&gt;"",XLOOKUP($F162,Productos!$A:$A,Productos!V:V,"Revisar"),"")</f>
        <v/>
      </c>
      <c r="AD162" s="179" t="str">
        <f t="array" ref="AD162">IF($F162&lt;&gt;"", XLOOKUP($F162,Productos!$A$2:$A1001,Productos!W$2:W1001,"")*$G162,"")</f>
        <v/>
      </c>
      <c r="AE162" s="179" t="str">
        <f t="array" ref="AE162">IF($F162&lt;&gt;"",XLOOKUP($F162,Productos!$A:$A,Productos!X:X,"Revisar"),"")</f>
        <v/>
      </c>
      <c r="AF162" s="179" t="str">
        <f t="array" ref="AF162">IF($F162&lt;&gt;"", XLOOKUP($F162,Productos!$A$2:$A1001,Productos!Y$2:Y1001,"")*$G162,"")</f>
        <v/>
      </c>
      <c r="AG162" s="179" t="str">
        <f t="array" ref="AG162">IF($F162&lt;&gt;"",XLOOKUP($F162,Productos!$A:$A,Productos!Z:Z,"Revisar"),"")</f>
        <v/>
      </c>
      <c r="AH162" s="179" t="str">
        <f t="array" ref="AH162">IF($F162&lt;&gt;"", XLOOKUP($F162,Productos!$A$2:$A1001,Productos!AA$2:AA1001,"")*$G162,"")</f>
        <v/>
      </c>
      <c r="AI162" s="179" t="str">
        <f t="array" ref="AI162">IF($F162&lt;&gt;"",XLOOKUP($F162,Productos!$A:$A,Productos!AB:AB,"Revisar"),"")</f>
        <v/>
      </c>
      <c r="AJ162" s="179" t="str">
        <f t="array" ref="AJ162">IF($F162&lt;&gt;"", XLOOKUP($F162,Productos!$A$2:$A1001,Productos!AC$2:AC1001,"")*$G162,"")</f>
        <v/>
      </c>
      <c r="AK162" s="179" t="str">
        <f t="array" ref="AK162">IF($F162&lt;&gt;"",XLOOKUP($F162,Productos!$A:$A,Productos!AD:AD,"Revisar"),"")</f>
        <v/>
      </c>
      <c r="AL162" s="179" t="str">
        <f t="array" ref="AL162">IF($F162&lt;&gt;"", XLOOKUP($F162,Productos!$A$2:$A1001,Productos!AE$2:AE1001,"")*$G162,"")</f>
        <v/>
      </c>
      <c r="AM162" s="179" t="str">
        <f t="array" ref="AM162">IF($F162&lt;&gt;"",XLOOKUP($F162,Productos!$A:$A,Productos!AF:AF,"Revisar"),"")</f>
        <v/>
      </c>
      <c r="AN162" s="179" t="str">
        <f t="array" ref="AN162">IF($F162&lt;&gt;"", XLOOKUP($F162,Productos!$A$2:$A1001,Productos!AG$2:AG1001,"")*$G162,"")</f>
        <v/>
      </c>
      <c r="AO162" s="179" t="str">
        <f t="array" ref="AO162">IF($F162&lt;&gt;"",XLOOKUP($F162,Productos!$A:$A,Productos!AH:AH,"Revisar"),"")</f>
        <v/>
      </c>
      <c r="AP162" s="179" t="str">
        <f t="array" ref="AP162">IF($F162&lt;&gt;"", XLOOKUP($F162,Productos!$A$2:$A1001,Productos!AI$2:AI1001,"")*$G162,"")</f>
        <v/>
      </c>
      <c r="AQ162" s="179" t="str">
        <f t="array" ref="AQ162">IF($F162&lt;&gt;"",XLOOKUP($F162,Productos!$A:$A,Productos!AJ:AJ,"Revisar"),"")</f>
        <v/>
      </c>
      <c r="AR162" s="179" t="str">
        <f t="array" ref="AR162">IF($F162&lt;&gt;"", XLOOKUP($F162,Productos!$A$2:$A1001,Productos!AK$2:AK1001,"")*$G162,"")</f>
        <v/>
      </c>
      <c r="AS162" s="179" t="str">
        <f t="array" ref="AS162">IF($F162&lt;&gt;"",XLOOKUP($F162,Productos!$A:$A,Productos!AL:AL,"Revisar"),"")</f>
        <v/>
      </c>
      <c r="AT162" s="179" t="str">
        <f t="array" ref="AT162">IF($F162&lt;&gt;"", XLOOKUP($F162,Productos!$A$2:$A1001,Productos!AM$2:AM1001,"")*$G162,"")</f>
        <v/>
      </c>
      <c r="AU162" s="179" t="str">
        <f t="array" ref="AU162">IF($F162&lt;&gt;"",XLOOKUP($F162,Productos!$A:$A,Productos!AN:AN,"Revisar"),"")</f>
        <v/>
      </c>
      <c r="AV162" s="179" t="str">
        <f t="array" ref="AV162">IF($F162&lt;&gt;"", XLOOKUP($F162,Productos!$A$2:$A1001,Productos!AO$2:AO1001,"")*$G162,"")</f>
        <v/>
      </c>
      <c r="AW162" s="179" t="str">
        <f t="array" ref="AW162">IF($F162&lt;&gt;"",XLOOKUP($F162,Productos!$A:$A,Productos!AP:AP,"Revisar"),"")</f>
        <v/>
      </c>
      <c r="AX162" s="179" t="str">
        <f t="array" ref="AX162">IF($F162&lt;&gt;"", XLOOKUP($F162,Productos!$A$2:$A1001,Productos!AQ$2:AQ1001,"")*$G162,"")</f>
        <v/>
      </c>
      <c r="AY162" s="179" t="str">
        <f t="array" ref="AY162">IF($F162&lt;&gt;"",XLOOKUP($F162,Productos!$A:$A,Productos!AR:AR,"Revisar"),"")</f>
        <v/>
      </c>
      <c r="AZ162" s="179" t="str">
        <f t="array" ref="AZ162">IF($F162&lt;&gt;"", XLOOKUP($F162,Productos!$A$2:$A1001,Productos!AS$2:AS1001,"")*$G162,"")</f>
        <v/>
      </c>
      <c r="BA162" s="179" t="str">
        <f t="array" ref="BA162">IF($F162&lt;&gt;"",XLOOKUP($F162,Productos!$A:$A,Productos!AT:AT,"Revisar"),"")</f>
        <v/>
      </c>
      <c r="BB162" s="179" t="str">
        <f t="array" ref="BB162">IF($F162&lt;&gt;"", XLOOKUP($F162,Productos!$A$2:$A1001,Productos!AU$2:AU1001,"")*$G162,"")</f>
        <v/>
      </c>
      <c r="BC162" s="179" t="str">
        <f t="array" ref="BC162">IF($F162&lt;&gt;"",XLOOKUP($F162,Productos!$A:$A,Productos!AV:AV,"Revisar"),"")</f>
        <v/>
      </c>
      <c r="BD162" s="179" t="str">
        <f t="array" ref="BD162">IF($F162&lt;&gt;"", XLOOKUP($F162,Productos!$A$2:$A1001,Productos!AW$2:AW1001,"")*$G162,"")</f>
        <v/>
      </c>
      <c r="BE162" s="179" t="str">
        <f t="array" ref="BE162">IF($F162&lt;&gt;"",XLOOKUP($F162,Productos!$A:$A,Productos!AX:AX,"Revisar"),"")</f>
        <v/>
      </c>
      <c r="BF162" s="179" t="str">
        <f t="array" ref="BF162">IF($F162&lt;&gt;"", XLOOKUP($F162,Productos!$A$2:$A1001,Productos!AY$2:AY1001,"")*$G162,"")</f>
        <v/>
      </c>
      <c r="BG162" s="179" t="str">
        <f t="array" ref="BG162">IF($F162&lt;&gt;"",XLOOKUP($F162,Productos!$A:$A,Productos!AZ:AZ,"Revisar"),"")</f>
        <v/>
      </c>
      <c r="BH162" s="179" t="str">
        <f t="array" ref="BH162">IF($F162&lt;&gt;"", XLOOKUP($F162,Productos!$A$2:$A1001,Productos!BA$2:BA1001,"")*$G162,"")</f>
        <v/>
      </c>
      <c r="BI162" s="179" t="str">
        <f t="array" ref="BI162">IF($F162&lt;&gt;"",XLOOKUP($F162,Productos!$A:$A,Productos!BB:BB,"Revisar"),"")</f>
        <v/>
      </c>
      <c r="BJ162" s="179" t="str">
        <f t="array" ref="BJ162">IF($F162&lt;&gt;"", XLOOKUP($F162,Productos!$A$2:$A1001,Productos!BC$2:BC1001,"")*$G162,"")</f>
        <v/>
      </c>
      <c r="BK162" s="179" t="str">
        <f t="array" ref="BK162">IF($F162&lt;&gt;"",XLOOKUP($F162,Productos!$A:$A,Productos!BD:BD,"Revisar"),"")</f>
        <v/>
      </c>
      <c r="BL162" s="179" t="str">
        <f t="array" ref="BL162">IF($F162&lt;&gt;"", XLOOKUP($F162,Productos!$A$2:$A1001,Productos!BE$2:BE1001,"")*$G162,"")</f>
        <v/>
      </c>
      <c r="BM162" s="179" t="str">
        <f t="array" ref="BM162">IF($F162&lt;&gt;"",XLOOKUP($F162,Productos!$A:$A,Productos!BF:BF,"Revisar"),"")</f>
        <v/>
      </c>
      <c r="BN162" s="179" t="str">
        <f t="array" ref="BN162">IF($F162&lt;&gt;"", XLOOKUP($F162,Productos!$A$2:$A1001,Productos!BG$2:BG1001,"")*$G162,"")</f>
        <v/>
      </c>
      <c r="BO162" s="179" t="str">
        <f t="array" ref="BO162">IF($F162&lt;&gt;"",XLOOKUP($F162,Productos!$A:$A,Productos!BH:BH,"Revisar"),"")</f>
        <v/>
      </c>
      <c r="BP162" s="179" t="str">
        <f t="array" ref="BP162">IF($F162&lt;&gt;"", XLOOKUP($F162,Productos!$A$2:$A1001,Productos!BI$2:BI1001,"")*$G162,"")</f>
        <v/>
      </c>
      <c r="BQ162" s="179" t="str">
        <f t="array" ref="BQ162">IF($F162&lt;&gt;"",XLOOKUP($F162,Productos!$A:$A,Productos!BJ:BJ,"Revisar"),"")</f>
        <v/>
      </c>
      <c r="BR162" s="179" t="str">
        <f t="array" ref="BR162">IF($F162&lt;&gt;"", XLOOKUP($F162,Productos!$A$2:$A1001,Productos!BK$2:BK1001,"")*$G162,"")</f>
        <v/>
      </c>
      <c r="BS162" s="179" t="str">
        <f t="array" ref="BS162">IF($F162&lt;&gt;"",XLOOKUP($F162,Productos!$A:$A,Productos!BL:BL,"Revisar"),"")</f>
        <v/>
      </c>
      <c r="BT162" s="179" t="str">
        <f t="array" ref="BT162">IF($F162&lt;&gt;"", XLOOKUP($F162,Productos!$A$2:$A1001,Productos!BM$2:BM1001,"")*$G162,"")</f>
        <v/>
      </c>
      <c r="BU162" s="179" t="str">
        <f t="array" ref="BU162">IF($F162&lt;&gt;"",XLOOKUP($F162,Productos!$A:$A,Productos!BN:BN,"Revisar"),"")</f>
        <v/>
      </c>
      <c r="BV162" s="179" t="str">
        <f t="array" ref="BV162">IF($F162&lt;&gt;"", XLOOKUP($F162,Productos!$A$2:$A1001,Productos!BO$2:BO1001,"")*$G162,"")</f>
        <v/>
      </c>
      <c r="BW162" s="179" t="str">
        <f t="array" ref="BW162">IF($F162&lt;&gt;"",XLOOKUP($F162,Productos!$A:$A,Productos!BP:BP,"Revisar"),"")</f>
        <v/>
      </c>
      <c r="BX162" s="179" t="str">
        <f t="array" ref="BX162">IF($F162&lt;&gt;"", XLOOKUP($F162,Productos!$A$2:$A1001,Productos!BQ$2:BQ1001,"")*$G162,"")</f>
        <v/>
      </c>
      <c r="BY162" s="179" t="str">
        <f t="array" ref="BY162">IF($F162&lt;&gt;"",XLOOKUP($F162,Productos!$A:$A,Productos!BR:BR,"Revisar"),"")</f>
        <v/>
      </c>
      <c r="BZ162" s="179" t="str">
        <f t="array" ref="BZ162">IF($F162&lt;&gt;"", XLOOKUP($F162,Productos!$A$2:$A1001,Productos!BS$2:BS1001,"")*$G162,"")</f>
        <v/>
      </c>
    </row>
    <row r="163">
      <c r="A163" s="180"/>
      <c r="B163" s="181"/>
      <c r="C163" s="182"/>
      <c r="D163" s="182"/>
      <c r="E163" s="185"/>
      <c r="F163" s="186"/>
      <c r="G163" s="187"/>
      <c r="H163" s="186"/>
      <c r="I163" s="179" t="str">
        <f t="array" ref="I163">IF($F163&lt;&gt;"",XLOOKUP($F163,Productos!$A:$A,Productos!B:B,"Revisar"),"")</f>
        <v/>
      </c>
      <c r="J163" s="179" t="str">
        <f t="array" ref="J163">IF($F163&lt;&gt;"", XLOOKUP($F163,Productos!$A$2:$A1001,Productos!C$2:C1001,"")*$G163,"")</f>
        <v/>
      </c>
      <c r="K163" s="179" t="str">
        <f t="array" ref="K163">IF($F163&lt;&gt;"",XLOOKUP($F163,Productos!$A:$A,Productos!D:D,"Revisar"),"")</f>
        <v/>
      </c>
      <c r="L163" s="179" t="str">
        <f t="array" ref="L163">IF($F163&lt;&gt;"", XLOOKUP($F163,Productos!$A$2:$A1001,Productos!E$2:E1001,"")*$G163,"")</f>
        <v/>
      </c>
      <c r="M163" s="179" t="str">
        <f t="array" ref="M163">IF($F163&lt;&gt;"",XLOOKUP($F163,Productos!$A:$A,Productos!F:F,"Revisar"),"")</f>
        <v/>
      </c>
      <c r="N163" s="179" t="str">
        <f t="array" ref="N163">IF($F163&lt;&gt;"", XLOOKUP($F163,Productos!$A$2:$A1001,Productos!G$2:G1001,"")*$G163,"")</f>
        <v/>
      </c>
      <c r="O163" s="179" t="str">
        <f t="array" ref="O163">IF($F163&lt;&gt;"",XLOOKUP($F163,Productos!$A:$A,Productos!H:H,"Revisar"),"")</f>
        <v/>
      </c>
      <c r="P163" s="179" t="str">
        <f t="array" ref="P163">IF($F163&lt;&gt;"", XLOOKUP($F163,Productos!$A$2:$A1001,Productos!I$2:I1001,"")*$G163,"")</f>
        <v/>
      </c>
      <c r="Q163" s="179" t="str">
        <f t="array" ref="Q163">IF($F163&lt;&gt;"",XLOOKUP($F163,Productos!$A:$A,Productos!J:J,"Revisar"),"")</f>
        <v/>
      </c>
      <c r="R163" s="179" t="str">
        <f t="array" ref="R163">IF($F163&lt;&gt;"", XLOOKUP($F163,Productos!$A$2:$A1001,Productos!K$2:K1001,"")*$G163,"")</f>
        <v/>
      </c>
      <c r="S163" s="179" t="str">
        <f t="array" ref="S163">IF($F163&lt;&gt;"",XLOOKUP($F163,Productos!$A:$A,Productos!L:L,"Revisar"),"")</f>
        <v/>
      </c>
      <c r="T163" s="179" t="str">
        <f t="array" ref="T163">IF($F163&lt;&gt;"", XLOOKUP($F163,Productos!$A$2:$A1001,Productos!M$2:M1001,"")*$G163,"")</f>
        <v/>
      </c>
      <c r="U163" s="179" t="str">
        <f t="array" ref="U163">IF($F163&lt;&gt;"",XLOOKUP($F163,Productos!$A:$A,Productos!N:N,"Revisar"),"")</f>
        <v/>
      </c>
      <c r="V163" s="179" t="str">
        <f t="array" ref="V163">IF($F163&lt;&gt;"", XLOOKUP($F163,Productos!$A$2:$A1001,Productos!O$2:O1001,"")*$G163,"")</f>
        <v/>
      </c>
      <c r="W163" s="179" t="str">
        <f t="array" ref="W163">IF($F163&lt;&gt;"",XLOOKUP($F163,Productos!$A:$A,Productos!P:P,"Revisar"),"")</f>
        <v/>
      </c>
      <c r="X163" s="179" t="str">
        <f t="array" ref="X163">IF($F163&lt;&gt;"", XLOOKUP($F163,Productos!$A$2:$A1001,Productos!Q$2:Q1001,"")*$G163,"")</f>
        <v/>
      </c>
      <c r="Y163" s="179" t="str">
        <f t="array" ref="Y163">IF($F163&lt;&gt;"",XLOOKUP($F163,Productos!$A:$A,Productos!R:R,"Revisar"),"")</f>
        <v/>
      </c>
      <c r="Z163" s="179" t="str">
        <f t="array" ref="Z163">IF($F163&lt;&gt;"", XLOOKUP($F163,Productos!$A$2:$A1001,Productos!S$2:S1001,"")*$G163,"")</f>
        <v/>
      </c>
      <c r="AA163" s="179" t="str">
        <f t="array" ref="AA163">IF($F163&lt;&gt;"",XLOOKUP($F163,Productos!$A:$A,Productos!T:T,"Revisar"),"")</f>
        <v/>
      </c>
      <c r="AB163" s="179" t="str">
        <f t="array" ref="AB163">IF($F163&lt;&gt;"", XLOOKUP($F163,Productos!$A$2:$A1001,Productos!U$2:U1001,"")*$G163,"")</f>
        <v/>
      </c>
      <c r="AC163" s="179" t="str">
        <f t="array" ref="AC163">IF($F163&lt;&gt;"",XLOOKUP($F163,Productos!$A:$A,Productos!V:V,"Revisar"),"")</f>
        <v/>
      </c>
      <c r="AD163" s="179" t="str">
        <f t="array" ref="AD163">IF($F163&lt;&gt;"", XLOOKUP($F163,Productos!$A$2:$A1001,Productos!W$2:W1001,"")*$G163,"")</f>
        <v/>
      </c>
      <c r="AE163" s="179" t="str">
        <f t="array" ref="AE163">IF($F163&lt;&gt;"",XLOOKUP($F163,Productos!$A:$A,Productos!X:X,"Revisar"),"")</f>
        <v/>
      </c>
      <c r="AF163" s="179" t="str">
        <f t="array" ref="AF163">IF($F163&lt;&gt;"", XLOOKUP($F163,Productos!$A$2:$A1001,Productos!Y$2:Y1001,"")*$G163,"")</f>
        <v/>
      </c>
      <c r="AG163" s="179" t="str">
        <f t="array" ref="AG163">IF($F163&lt;&gt;"",XLOOKUP($F163,Productos!$A:$A,Productos!Z:Z,"Revisar"),"")</f>
        <v/>
      </c>
      <c r="AH163" s="179" t="str">
        <f t="array" ref="AH163">IF($F163&lt;&gt;"", XLOOKUP($F163,Productos!$A$2:$A1001,Productos!AA$2:AA1001,"")*$G163,"")</f>
        <v/>
      </c>
      <c r="AI163" s="179" t="str">
        <f t="array" ref="AI163">IF($F163&lt;&gt;"",XLOOKUP($F163,Productos!$A:$A,Productos!AB:AB,"Revisar"),"")</f>
        <v/>
      </c>
      <c r="AJ163" s="179" t="str">
        <f t="array" ref="AJ163">IF($F163&lt;&gt;"", XLOOKUP($F163,Productos!$A$2:$A1001,Productos!AC$2:AC1001,"")*$G163,"")</f>
        <v/>
      </c>
      <c r="AK163" s="179" t="str">
        <f t="array" ref="AK163">IF($F163&lt;&gt;"",XLOOKUP($F163,Productos!$A:$A,Productos!AD:AD,"Revisar"),"")</f>
        <v/>
      </c>
      <c r="AL163" s="179" t="str">
        <f t="array" ref="AL163">IF($F163&lt;&gt;"", XLOOKUP($F163,Productos!$A$2:$A1001,Productos!AE$2:AE1001,"")*$G163,"")</f>
        <v/>
      </c>
      <c r="AM163" s="179" t="str">
        <f t="array" ref="AM163">IF($F163&lt;&gt;"",XLOOKUP($F163,Productos!$A:$A,Productos!AF:AF,"Revisar"),"")</f>
        <v/>
      </c>
      <c r="AN163" s="179" t="str">
        <f t="array" ref="AN163">IF($F163&lt;&gt;"", XLOOKUP($F163,Productos!$A$2:$A1001,Productos!AG$2:AG1001,"")*$G163,"")</f>
        <v/>
      </c>
      <c r="AO163" s="179" t="str">
        <f t="array" ref="AO163">IF($F163&lt;&gt;"",XLOOKUP($F163,Productos!$A:$A,Productos!AH:AH,"Revisar"),"")</f>
        <v/>
      </c>
      <c r="AP163" s="179" t="str">
        <f t="array" ref="AP163">IF($F163&lt;&gt;"", XLOOKUP($F163,Productos!$A$2:$A1001,Productos!AI$2:AI1001,"")*$G163,"")</f>
        <v/>
      </c>
      <c r="AQ163" s="179" t="str">
        <f t="array" ref="AQ163">IF($F163&lt;&gt;"",XLOOKUP($F163,Productos!$A:$A,Productos!AJ:AJ,"Revisar"),"")</f>
        <v/>
      </c>
      <c r="AR163" s="179" t="str">
        <f t="array" ref="AR163">IF($F163&lt;&gt;"", XLOOKUP($F163,Productos!$A$2:$A1001,Productos!AK$2:AK1001,"")*$G163,"")</f>
        <v/>
      </c>
      <c r="AS163" s="179" t="str">
        <f t="array" ref="AS163">IF($F163&lt;&gt;"",XLOOKUP($F163,Productos!$A:$A,Productos!AL:AL,"Revisar"),"")</f>
        <v/>
      </c>
      <c r="AT163" s="179" t="str">
        <f t="array" ref="AT163">IF($F163&lt;&gt;"", XLOOKUP($F163,Productos!$A$2:$A1001,Productos!AM$2:AM1001,"")*$G163,"")</f>
        <v/>
      </c>
      <c r="AU163" s="179" t="str">
        <f t="array" ref="AU163">IF($F163&lt;&gt;"",XLOOKUP($F163,Productos!$A:$A,Productos!AN:AN,"Revisar"),"")</f>
        <v/>
      </c>
      <c r="AV163" s="179" t="str">
        <f t="array" ref="AV163">IF($F163&lt;&gt;"", XLOOKUP($F163,Productos!$A$2:$A1001,Productos!AO$2:AO1001,"")*$G163,"")</f>
        <v/>
      </c>
      <c r="AW163" s="179" t="str">
        <f t="array" ref="AW163">IF($F163&lt;&gt;"",XLOOKUP($F163,Productos!$A:$A,Productos!AP:AP,"Revisar"),"")</f>
        <v/>
      </c>
      <c r="AX163" s="179" t="str">
        <f t="array" ref="AX163">IF($F163&lt;&gt;"", XLOOKUP($F163,Productos!$A$2:$A1001,Productos!AQ$2:AQ1001,"")*$G163,"")</f>
        <v/>
      </c>
      <c r="AY163" s="179" t="str">
        <f t="array" ref="AY163">IF($F163&lt;&gt;"",XLOOKUP($F163,Productos!$A:$A,Productos!AR:AR,"Revisar"),"")</f>
        <v/>
      </c>
      <c r="AZ163" s="179" t="str">
        <f t="array" ref="AZ163">IF($F163&lt;&gt;"", XLOOKUP($F163,Productos!$A$2:$A1001,Productos!AS$2:AS1001,"")*$G163,"")</f>
        <v/>
      </c>
      <c r="BA163" s="179" t="str">
        <f t="array" ref="BA163">IF($F163&lt;&gt;"",XLOOKUP($F163,Productos!$A:$A,Productos!AT:AT,"Revisar"),"")</f>
        <v/>
      </c>
      <c r="BB163" s="179" t="str">
        <f t="array" ref="BB163">IF($F163&lt;&gt;"", XLOOKUP($F163,Productos!$A$2:$A1001,Productos!AU$2:AU1001,"")*$G163,"")</f>
        <v/>
      </c>
      <c r="BC163" s="179" t="str">
        <f t="array" ref="BC163">IF($F163&lt;&gt;"",XLOOKUP($F163,Productos!$A:$A,Productos!AV:AV,"Revisar"),"")</f>
        <v/>
      </c>
      <c r="BD163" s="179" t="str">
        <f t="array" ref="BD163">IF($F163&lt;&gt;"", XLOOKUP($F163,Productos!$A$2:$A1001,Productos!AW$2:AW1001,"")*$G163,"")</f>
        <v/>
      </c>
      <c r="BE163" s="179" t="str">
        <f t="array" ref="BE163">IF($F163&lt;&gt;"",XLOOKUP($F163,Productos!$A:$A,Productos!AX:AX,"Revisar"),"")</f>
        <v/>
      </c>
      <c r="BF163" s="179" t="str">
        <f t="array" ref="BF163">IF($F163&lt;&gt;"", XLOOKUP($F163,Productos!$A$2:$A1001,Productos!AY$2:AY1001,"")*$G163,"")</f>
        <v/>
      </c>
      <c r="BG163" s="179" t="str">
        <f t="array" ref="BG163">IF($F163&lt;&gt;"",XLOOKUP($F163,Productos!$A:$A,Productos!AZ:AZ,"Revisar"),"")</f>
        <v/>
      </c>
      <c r="BH163" s="179" t="str">
        <f t="array" ref="BH163">IF($F163&lt;&gt;"", XLOOKUP($F163,Productos!$A$2:$A1001,Productos!BA$2:BA1001,"")*$G163,"")</f>
        <v/>
      </c>
      <c r="BI163" s="179" t="str">
        <f t="array" ref="BI163">IF($F163&lt;&gt;"",XLOOKUP($F163,Productos!$A:$A,Productos!BB:BB,"Revisar"),"")</f>
        <v/>
      </c>
      <c r="BJ163" s="179" t="str">
        <f t="array" ref="BJ163">IF($F163&lt;&gt;"", XLOOKUP($F163,Productos!$A$2:$A1001,Productos!BC$2:BC1001,"")*$G163,"")</f>
        <v/>
      </c>
      <c r="BK163" s="179" t="str">
        <f t="array" ref="BK163">IF($F163&lt;&gt;"",XLOOKUP($F163,Productos!$A:$A,Productos!BD:BD,"Revisar"),"")</f>
        <v/>
      </c>
      <c r="BL163" s="179" t="str">
        <f t="array" ref="BL163">IF($F163&lt;&gt;"", XLOOKUP($F163,Productos!$A$2:$A1001,Productos!BE$2:BE1001,"")*$G163,"")</f>
        <v/>
      </c>
      <c r="BM163" s="179" t="str">
        <f t="array" ref="BM163">IF($F163&lt;&gt;"",XLOOKUP($F163,Productos!$A:$A,Productos!BF:BF,"Revisar"),"")</f>
        <v/>
      </c>
      <c r="BN163" s="179" t="str">
        <f t="array" ref="BN163">IF($F163&lt;&gt;"", XLOOKUP($F163,Productos!$A$2:$A1001,Productos!BG$2:BG1001,"")*$G163,"")</f>
        <v/>
      </c>
      <c r="BO163" s="179" t="str">
        <f t="array" ref="BO163">IF($F163&lt;&gt;"",XLOOKUP($F163,Productos!$A:$A,Productos!BH:BH,"Revisar"),"")</f>
        <v/>
      </c>
      <c r="BP163" s="179" t="str">
        <f t="array" ref="BP163">IF($F163&lt;&gt;"", XLOOKUP($F163,Productos!$A$2:$A1001,Productos!BI$2:BI1001,"")*$G163,"")</f>
        <v/>
      </c>
      <c r="BQ163" s="179" t="str">
        <f t="array" ref="BQ163">IF($F163&lt;&gt;"",XLOOKUP($F163,Productos!$A:$A,Productos!BJ:BJ,"Revisar"),"")</f>
        <v/>
      </c>
      <c r="BR163" s="179" t="str">
        <f t="array" ref="BR163">IF($F163&lt;&gt;"", XLOOKUP($F163,Productos!$A$2:$A1001,Productos!BK$2:BK1001,"")*$G163,"")</f>
        <v/>
      </c>
      <c r="BS163" s="179" t="str">
        <f t="array" ref="BS163">IF($F163&lt;&gt;"",XLOOKUP($F163,Productos!$A:$A,Productos!BL:BL,"Revisar"),"")</f>
        <v/>
      </c>
      <c r="BT163" s="179" t="str">
        <f t="array" ref="BT163">IF($F163&lt;&gt;"", XLOOKUP($F163,Productos!$A$2:$A1001,Productos!BM$2:BM1001,"")*$G163,"")</f>
        <v/>
      </c>
      <c r="BU163" s="179" t="str">
        <f t="array" ref="BU163">IF($F163&lt;&gt;"",XLOOKUP($F163,Productos!$A:$A,Productos!BN:BN,"Revisar"),"")</f>
        <v/>
      </c>
      <c r="BV163" s="179" t="str">
        <f t="array" ref="BV163">IF($F163&lt;&gt;"", XLOOKUP($F163,Productos!$A$2:$A1001,Productos!BO$2:BO1001,"")*$G163,"")</f>
        <v/>
      </c>
      <c r="BW163" s="179" t="str">
        <f t="array" ref="BW163">IF($F163&lt;&gt;"",XLOOKUP($F163,Productos!$A:$A,Productos!BP:BP,"Revisar"),"")</f>
        <v/>
      </c>
      <c r="BX163" s="179" t="str">
        <f t="array" ref="BX163">IF($F163&lt;&gt;"", XLOOKUP($F163,Productos!$A$2:$A1001,Productos!BQ$2:BQ1001,"")*$G163,"")</f>
        <v/>
      </c>
      <c r="BY163" s="179" t="str">
        <f t="array" ref="BY163">IF($F163&lt;&gt;"",XLOOKUP($F163,Productos!$A:$A,Productos!BR:BR,"Revisar"),"")</f>
        <v/>
      </c>
      <c r="BZ163" s="179" t="str">
        <f t="array" ref="BZ163">IF($F163&lt;&gt;"", XLOOKUP($F163,Productos!$A$2:$A1001,Productos!BS$2:BS1001,"")*$G163,"")</f>
        <v/>
      </c>
    </row>
    <row r="164">
      <c r="A164" s="180"/>
      <c r="B164" s="181"/>
      <c r="C164" s="182"/>
      <c r="D164" s="182"/>
      <c r="E164" s="185"/>
      <c r="F164" s="186"/>
      <c r="G164" s="187"/>
      <c r="H164" s="186"/>
      <c r="I164" s="179" t="str">
        <f t="array" ref="I164">IF($F164&lt;&gt;"",XLOOKUP($F164,Productos!$A:$A,Productos!B:B,"Revisar"),"")</f>
        <v/>
      </c>
      <c r="J164" s="179" t="str">
        <f t="array" ref="J164">IF($F164&lt;&gt;"", XLOOKUP($F164,Productos!$A$2:$A1001,Productos!C$2:C1001,"")*$G164,"")</f>
        <v/>
      </c>
      <c r="K164" s="179" t="str">
        <f t="array" ref="K164">IF($F164&lt;&gt;"",XLOOKUP($F164,Productos!$A:$A,Productos!D:D,"Revisar"),"")</f>
        <v/>
      </c>
      <c r="L164" s="179" t="str">
        <f t="array" ref="L164">IF($F164&lt;&gt;"", XLOOKUP($F164,Productos!$A$2:$A1001,Productos!E$2:E1001,"")*$G164,"")</f>
        <v/>
      </c>
      <c r="M164" s="179" t="str">
        <f t="array" ref="M164">IF($F164&lt;&gt;"",XLOOKUP($F164,Productos!$A:$A,Productos!F:F,"Revisar"),"")</f>
        <v/>
      </c>
      <c r="N164" s="179" t="str">
        <f t="array" ref="N164">IF($F164&lt;&gt;"", XLOOKUP($F164,Productos!$A$2:$A1001,Productos!G$2:G1001,"")*$G164,"")</f>
        <v/>
      </c>
      <c r="O164" s="179" t="str">
        <f t="array" ref="O164">IF($F164&lt;&gt;"",XLOOKUP($F164,Productos!$A:$A,Productos!H:H,"Revisar"),"")</f>
        <v/>
      </c>
      <c r="P164" s="179" t="str">
        <f t="array" ref="P164">IF($F164&lt;&gt;"", XLOOKUP($F164,Productos!$A$2:$A1001,Productos!I$2:I1001,"")*$G164,"")</f>
        <v/>
      </c>
      <c r="Q164" s="179" t="str">
        <f t="array" ref="Q164">IF($F164&lt;&gt;"",XLOOKUP($F164,Productos!$A:$A,Productos!J:J,"Revisar"),"")</f>
        <v/>
      </c>
      <c r="R164" s="179" t="str">
        <f t="array" ref="R164">IF($F164&lt;&gt;"", XLOOKUP($F164,Productos!$A$2:$A1001,Productos!K$2:K1001,"")*$G164,"")</f>
        <v/>
      </c>
      <c r="S164" s="179" t="str">
        <f t="array" ref="S164">IF($F164&lt;&gt;"",XLOOKUP($F164,Productos!$A:$A,Productos!L:L,"Revisar"),"")</f>
        <v/>
      </c>
      <c r="T164" s="179" t="str">
        <f t="array" ref="T164">IF($F164&lt;&gt;"", XLOOKUP($F164,Productos!$A$2:$A1001,Productos!M$2:M1001,"")*$G164,"")</f>
        <v/>
      </c>
      <c r="U164" s="179" t="str">
        <f t="array" ref="U164">IF($F164&lt;&gt;"",XLOOKUP($F164,Productos!$A:$A,Productos!N:N,"Revisar"),"")</f>
        <v/>
      </c>
      <c r="V164" s="179" t="str">
        <f t="array" ref="V164">IF($F164&lt;&gt;"", XLOOKUP($F164,Productos!$A$2:$A1001,Productos!O$2:O1001,"")*$G164,"")</f>
        <v/>
      </c>
      <c r="W164" s="179" t="str">
        <f t="array" ref="W164">IF($F164&lt;&gt;"",XLOOKUP($F164,Productos!$A:$A,Productos!P:P,"Revisar"),"")</f>
        <v/>
      </c>
      <c r="X164" s="179" t="str">
        <f t="array" ref="X164">IF($F164&lt;&gt;"", XLOOKUP($F164,Productos!$A$2:$A1001,Productos!Q$2:Q1001,"")*$G164,"")</f>
        <v/>
      </c>
      <c r="Y164" s="179" t="str">
        <f t="array" ref="Y164">IF($F164&lt;&gt;"",XLOOKUP($F164,Productos!$A:$A,Productos!R:R,"Revisar"),"")</f>
        <v/>
      </c>
      <c r="Z164" s="179" t="str">
        <f t="array" ref="Z164">IF($F164&lt;&gt;"", XLOOKUP($F164,Productos!$A$2:$A1001,Productos!S$2:S1001,"")*$G164,"")</f>
        <v/>
      </c>
      <c r="AA164" s="179" t="str">
        <f t="array" ref="AA164">IF($F164&lt;&gt;"",XLOOKUP($F164,Productos!$A:$A,Productos!T:T,"Revisar"),"")</f>
        <v/>
      </c>
      <c r="AB164" s="179" t="str">
        <f t="array" ref="AB164">IF($F164&lt;&gt;"", XLOOKUP($F164,Productos!$A$2:$A1001,Productos!U$2:U1001,"")*$G164,"")</f>
        <v/>
      </c>
      <c r="AC164" s="179" t="str">
        <f t="array" ref="AC164">IF($F164&lt;&gt;"",XLOOKUP($F164,Productos!$A:$A,Productos!V:V,"Revisar"),"")</f>
        <v/>
      </c>
      <c r="AD164" s="179" t="str">
        <f t="array" ref="AD164">IF($F164&lt;&gt;"", XLOOKUP($F164,Productos!$A$2:$A1001,Productos!W$2:W1001,"")*$G164,"")</f>
        <v/>
      </c>
      <c r="AE164" s="179" t="str">
        <f t="array" ref="AE164">IF($F164&lt;&gt;"",XLOOKUP($F164,Productos!$A:$A,Productos!X:X,"Revisar"),"")</f>
        <v/>
      </c>
      <c r="AF164" s="179" t="str">
        <f t="array" ref="AF164">IF($F164&lt;&gt;"", XLOOKUP($F164,Productos!$A$2:$A1001,Productos!Y$2:Y1001,"")*$G164,"")</f>
        <v/>
      </c>
      <c r="AG164" s="179" t="str">
        <f t="array" ref="AG164">IF($F164&lt;&gt;"",XLOOKUP($F164,Productos!$A:$A,Productos!Z:Z,"Revisar"),"")</f>
        <v/>
      </c>
      <c r="AH164" s="179" t="str">
        <f t="array" ref="AH164">IF($F164&lt;&gt;"", XLOOKUP($F164,Productos!$A$2:$A1001,Productos!AA$2:AA1001,"")*$G164,"")</f>
        <v/>
      </c>
      <c r="AI164" s="179" t="str">
        <f t="array" ref="AI164">IF($F164&lt;&gt;"",XLOOKUP($F164,Productos!$A:$A,Productos!AB:AB,"Revisar"),"")</f>
        <v/>
      </c>
      <c r="AJ164" s="179" t="str">
        <f t="array" ref="AJ164">IF($F164&lt;&gt;"", XLOOKUP($F164,Productos!$A$2:$A1001,Productos!AC$2:AC1001,"")*$G164,"")</f>
        <v/>
      </c>
      <c r="AK164" s="179" t="str">
        <f t="array" ref="AK164">IF($F164&lt;&gt;"",XLOOKUP($F164,Productos!$A:$A,Productos!AD:AD,"Revisar"),"")</f>
        <v/>
      </c>
      <c r="AL164" s="179" t="str">
        <f t="array" ref="AL164">IF($F164&lt;&gt;"", XLOOKUP($F164,Productos!$A$2:$A1001,Productos!AE$2:AE1001,"")*$G164,"")</f>
        <v/>
      </c>
      <c r="AM164" s="179" t="str">
        <f t="array" ref="AM164">IF($F164&lt;&gt;"",XLOOKUP($F164,Productos!$A:$A,Productos!AF:AF,"Revisar"),"")</f>
        <v/>
      </c>
      <c r="AN164" s="179" t="str">
        <f t="array" ref="AN164">IF($F164&lt;&gt;"", XLOOKUP($F164,Productos!$A$2:$A1001,Productos!AG$2:AG1001,"")*$G164,"")</f>
        <v/>
      </c>
      <c r="AO164" s="179" t="str">
        <f t="array" ref="AO164">IF($F164&lt;&gt;"",XLOOKUP($F164,Productos!$A:$A,Productos!AH:AH,"Revisar"),"")</f>
        <v/>
      </c>
      <c r="AP164" s="179" t="str">
        <f t="array" ref="AP164">IF($F164&lt;&gt;"", XLOOKUP($F164,Productos!$A$2:$A1001,Productos!AI$2:AI1001,"")*$G164,"")</f>
        <v/>
      </c>
      <c r="AQ164" s="179" t="str">
        <f t="array" ref="AQ164">IF($F164&lt;&gt;"",XLOOKUP($F164,Productos!$A:$A,Productos!AJ:AJ,"Revisar"),"")</f>
        <v/>
      </c>
      <c r="AR164" s="179" t="str">
        <f t="array" ref="AR164">IF($F164&lt;&gt;"", XLOOKUP($F164,Productos!$A$2:$A1001,Productos!AK$2:AK1001,"")*$G164,"")</f>
        <v/>
      </c>
      <c r="AS164" s="179" t="str">
        <f t="array" ref="AS164">IF($F164&lt;&gt;"",XLOOKUP($F164,Productos!$A:$A,Productos!AL:AL,"Revisar"),"")</f>
        <v/>
      </c>
      <c r="AT164" s="179" t="str">
        <f t="array" ref="AT164">IF($F164&lt;&gt;"", XLOOKUP($F164,Productos!$A$2:$A1001,Productos!AM$2:AM1001,"")*$G164,"")</f>
        <v/>
      </c>
      <c r="AU164" s="179" t="str">
        <f t="array" ref="AU164">IF($F164&lt;&gt;"",XLOOKUP($F164,Productos!$A:$A,Productos!AN:AN,"Revisar"),"")</f>
        <v/>
      </c>
      <c r="AV164" s="179" t="str">
        <f t="array" ref="AV164">IF($F164&lt;&gt;"", XLOOKUP($F164,Productos!$A$2:$A1001,Productos!AO$2:AO1001,"")*$G164,"")</f>
        <v/>
      </c>
      <c r="AW164" s="179" t="str">
        <f t="array" ref="AW164">IF($F164&lt;&gt;"",XLOOKUP($F164,Productos!$A:$A,Productos!AP:AP,"Revisar"),"")</f>
        <v/>
      </c>
      <c r="AX164" s="179" t="str">
        <f t="array" ref="AX164">IF($F164&lt;&gt;"", XLOOKUP($F164,Productos!$A$2:$A1001,Productos!AQ$2:AQ1001,"")*$G164,"")</f>
        <v/>
      </c>
      <c r="AY164" s="179" t="str">
        <f t="array" ref="AY164">IF($F164&lt;&gt;"",XLOOKUP($F164,Productos!$A:$A,Productos!AR:AR,"Revisar"),"")</f>
        <v/>
      </c>
      <c r="AZ164" s="179" t="str">
        <f t="array" ref="AZ164">IF($F164&lt;&gt;"", XLOOKUP($F164,Productos!$A$2:$A1001,Productos!AS$2:AS1001,"")*$G164,"")</f>
        <v/>
      </c>
      <c r="BA164" s="179" t="str">
        <f t="array" ref="BA164">IF($F164&lt;&gt;"",XLOOKUP($F164,Productos!$A:$A,Productos!AT:AT,"Revisar"),"")</f>
        <v/>
      </c>
      <c r="BB164" s="179" t="str">
        <f t="array" ref="BB164">IF($F164&lt;&gt;"", XLOOKUP($F164,Productos!$A$2:$A1001,Productos!AU$2:AU1001,"")*$G164,"")</f>
        <v/>
      </c>
      <c r="BC164" s="179" t="str">
        <f t="array" ref="BC164">IF($F164&lt;&gt;"",XLOOKUP($F164,Productos!$A:$A,Productos!AV:AV,"Revisar"),"")</f>
        <v/>
      </c>
      <c r="BD164" s="179" t="str">
        <f t="array" ref="BD164">IF($F164&lt;&gt;"", XLOOKUP($F164,Productos!$A$2:$A1001,Productos!AW$2:AW1001,"")*$G164,"")</f>
        <v/>
      </c>
      <c r="BE164" s="179" t="str">
        <f t="array" ref="BE164">IF($F164&lt;&gt;"",XLOOKUP($F164,Productos!$A:$A,Productos!AX:AX,"Revisar"),"")</f>
        <v/>
      </c>
      <c r="BF164" s="179" t="str">
        <f t="array" ref="BF164">IF($F164&lt;&gt;"", XLOOKUP($F164,Productos!$A$2:$A1001,Productos!AY$2:AY1001,"")*$G164,"")</f>
        <v/>
      </c>
      <c r="BG164" s="179" t="str">
        <f t="array" ref="BG164">IF($F164&lt;&gt;"",XLOOKUP($F164,Productos!$A:$A,Productos!AZ:AZ,"Revisar"),"")</f>
        <v/>
      </c>
      <c r="BH164" s="179" t="str">
        <f t="array" ref="BH164">IF($F164&lt;&gt;"", XLOOKUP($F164,Productos!$A$2:$A1001,Productos!BA$2:BA1001,"")*$G164,"")</f>
        <v/>
      </c>
      <c r="BI164" s="179" t="str">
        <f t="array" ref="BI164">IF($F164&lt;&gt;"",XLOOKUP($F164,Productos!$A:$A,Productos!BB:BB,"Revisar"),"")</f>
        <v/>
      </c>
      <c r="BJ164" s="179" t="str">
        <f t="array" ref="BJ164">IF($F164&lt;&gt;"", XLOOKUP($F164,Productos!$A$2:$A1001,Productos!BC$2:BC1001,"")*$G164,"")</f>
        <v/>
      </c>
      <c r="BK164" s="179" t="str">
        <f t="array" ref="BK164">IF($F164&lt;&gt;"",XLOOKUP($F164,Productos!$A:$A,Productos!BD:BD,"Revisar"),"")</f>
        <v/>
      </c>
      <c r="BL164" s="179" t="str">
        <f t="array" ref="BL164">IF($F164&lt;&gt;"", XLOOKUP($F164,Productos!$A$2:$A1001,Productos!BE$2:BE1001,"")*$G164,"")</f>
        <v/>
      </c>
      <c r="BM164" s="179" t="str">
        <f t="array" ref="BM164">IF($F164&lt;&gt;"",XLOOKUP($F164,Productos!$A:$A,Productos!BF:BF,"Revisar"),"")</f>
        <v/>
      </c>
      <c r="BN164" s="179" t="str">
        <f t="array" ref="BN164">IF($F164&lt;&gt;"", XLOOKUP($F164,Productos!$A$2:$A1001,Productos!BG$2:BG1001,"")*$G164,"")</f>
        <v/>
      </c>
      <c r="BO164" s="179" t="str">
        <f t="array" ref="BO164">IF($F164&lt;&gt;"",XLOOKUP($F164,Productos!$A:$A,Productos!BH:BH,"Revisar"),"")</f>
        <v/>
      </c>
      <c r="BP164" s="179" t="str">
        <f t="array" ref="BP164">IF($F164&lt;&gt;"", XLOOKUP($F164,Productos!$A$2:$A1001,Productos!BI$2:BI1001,"")*$G164,"")</f>
        <v/>
      </c>
      <c r="BQ164" s="179" t="str">
        <f t="array" ref="BQ164">IF($F164&lt;&gt;"",XLOOKUP($F164,Productos!$A:$A,Productos!BJ:BJ,"Revisar"),"")</f>
        <v/>
      </c>
      <c r="BR164" s="179" t="str">
        <f t="array" ref="BR164">IF($F164&lt;&gt;"", XLOOKUP($F164,Productos!$A$2:$A1001,Productos!BK$2:BK1001,"")*$G164,"")</f>
        <v/>
      </c>
      <c r="BS164" s="179" t="str">
        <f t="array" ref="BS164">IF($F164&lt;&gt;"",XLOOKUP($F164,Productos!$A:$A,Productos!BL:BL,"Revisar"),"")</f>
        <v/>
      </c>
      <c r="BT164" s="179" t="str">
        <f t="array" ref="BT164">IF($F164&lt;&gt;"", XLOOKUP($F164,Productos!$A$2:$A1001,Productos!BM$2:BM1001,"")*$G164,"")</f>
        <v/>
      </c>
      <c r="BU164" s="179" t="str">
        <f t="array" ref="BU164">IF($F164&lt;&gt;"",XLOOKUP($F164,Productos!$A:$A,Productos!BN:BN,"Revisar"),"")</f>
        <v/>
      </c>
      <c r="BV164" s="179" t="str">
        <f t="array" ref="BV164">IF($F164&lt;&gt;"", XLOOKUP($F164,Productos!$A$2:$A1001,Productos!BO$2:BO1001,"")*$G164,"")</f>
        <v/>
      </c>
      <c r="BW164" s="179" t="str">
        <f t="array" ref="BW164">IF($F164&lt;&gt;"",XLOOKUP($F164,Productos!$A:$A,Productos!BP:BP,"Revisar"),"")</f>
        <v/>
      </c>
      <c r="BX164" s="179" t="str">
        <f t="array" ref="BX164">IF($F164&lt;&gt;"", XLOOKUP($F164,Productos!$A$2:$A1001,Productos!BQ$2:BQ1001,"")*$G164,"")</f>
        <v/>
      </c>
      <c r="BY164" s="179" t="str">
        <f t="array" ref="BY164">IF($F164&lt;&gt;"",XLOOKUP($F164,Productos!$A:$A,Productos!BR:BR,"Revisar"),"")</f>
        <v/>
      </c>
      <c r="BZ164" s="179" t="str">
        <f t="array" ref="BZ164">IF($F164&lt;&gt;"", XLOOKUP($F164,Productos!$A$2:$A1001,Productos!BS$2:BS1001,"")*$G164,"")</f>
        <v/>
      </c>
    </row>
    <row r="165">
      <c r="A165" s="180"/>
      <c r="B165" s="181"/>
      <c r="C165" s="182"/>
      <c r="D165" s="182"/>
      <c r="E165" s="185"/>
      <c r="F165" s="186"/>
      <c r="G165" s="187"/>
      <c r="H165" s="186"/>
      <c r="I165" s="179" t="str">
        <f t="array" ref="I165">IF($F165&lt;&gt;"",XLOOKUP($F165,Productos!$A:$A,Productos!B:B,"Revisar"),"")</f>
        <v/>
      </c>
      <c r="J165" s="179" t="str">
        <f t="array" ref="J165">IF($F165&lt;&gt;"", XLOOKUP($F165,Productos!$A$2:$A1001,Productos!C$2:C1001,"")*$G165,"")</f>
        <v/>
      </c>
      <c r="K165" s="179" t="str">
        <f t="array" ref="K165">IF($F165&lt;&gt;"",XLOOKUP($F165,Productos!$A:$A,Productos!D:D,"Revisar"),"")</f>
        <v/>
      </c>
      <c r="L165" s="179" t="str">
        <f t="array" ref="L165">IF($F165&lt;&gt;"", XLOOKUP($F165,Productos!$A$2:$A1001,Productos!E$2:E1001,"")*$G165,"")</f>
        <v/>
      </c>
      <c r="M165" s="179" t="str">
        <f t="array" ref="M165">IF($F165&lt;&gt;"",XLOOKUP($F165,Productos!$A:$A,Productos!F:F,"Revisar"),"")</f>
        <v/>
      </c>
      <c r="N165" s="179" t="str">
        <f t="array" ref="N165">IF($F165&lt;&gt;"", XLOOKUP($F165,Productos!$A$2:$A1001,Productos!G$2:G1001,"")*$G165,"")</f>
        <v/>
      </c>
      <c r="O165" s="179" t="str">
        <f t="array" ref="O165">IF($F165&lt;&gt;"",XLOOKUP($F165,Productos!$A:$A,Productos!H:H,"Revisar"),"")</f>
        <v/>
      </c>
      <c r="P165" s="179" t="str">
        <f t="array" ref="P165">IF($F165&lt;&gt;"", XLOOKUP($F165,Productos!$A$2:$A1001,Productos!I$2:I1001,"")*$G165,"")</f>
        <v/>
      </c>
      <c r="Q165" s="179" t="str">
        <f t="array" ref="Q165">IF($F165&lt;&gt;"",XLOOKUP($F165,Productos!$A:$A,Productos!J:J,"Revisar"),"")</f>
        <v/>
      </c>
      <c r="R165" s="179" t="str">
        <f t="array" ref="R165">IF($F165&lt;&gt;"", XLOOKUP($F165,Productos!$A$2:$A1001,Productos!K$2:K1001,"")*$G165,"")</f>
        <v/>
      </c>
      <c r="S165" s="179" t="str">
        <f t="array" ref="S165">IF($F165&lt;&gt;"",XLOOKUP($F165,Productos!$A:$A,Productos!L:L,"Revisar"),"")</f>
        <v/>
      </c>
      <c r="T165" s="179" t="str">
        <f t="array" ref="T165">IF($F165&lt;&gt;"", XLOOKUP($F165,Productos!$A$2:$A1001,Productos!M$2:M1001,"")*$G165,"")</f>
        <v/>
      </c>
      <c r="U165" s="179" t="str">
        <f t="array" ref="U165">IF($F165&lt;&gt;"",XLOOKUP($F165,Productos!$A:$A,Productos!N:N,"Revisar"),"")</f>
        <v/>
      </c>
      <c r="V165" s="179" t="str">
        <f t="array" ref="V165">IF($F165&lt;&gt;"", XLOOKUP($F165,Productos!$A$2:$A1001,Productos!O$2:O1001,"")*$G165,"")</f>
        <v/>
      </c>
      <c r="W165" s="179" t="str">
        <f t="array" ref="W165">IF($F165&lt;&gt;"",XLOOKUP($F165,Productos!$A:$A,Productos!P:P,"Revisar"),"")</f>
        <v/>
      </c>
      <c r="X165" s="179" t="str">
        <f t="array" ref="X165">IF($F165&lt;&gt;"", XLOOKUP($F165,Productos!$A$2:$A1001,Productos!Q$2:Q1001,"")*$G165,"")</f>
        <v/>
      </c>
      <c r="Y165" s="179" t="str">
        <f t="array" ref="Y165">IF($F165&lt;&gt;"",XLOOKUP($F165,Productos!$A:$A,Productos!R:R,"Revisar"),"")</f>
        <v/>
      </c>
      <c r="Z165" s="179" t="str">
        <f t="array" ref="Z165">IF($F165&lt;&gt;"", XLOOKUP($F165,Productos!$A$2:$A1001,Productos!S$2:S1001,"")*$G165,"")</f>
        <v/>
      </c>
      <c r="AA165" s="179" t="str">
        <f t="array" ref="AA165">IF($F165&lt;&gt;"",XLOOKUP($F165,Productos!$A:$A,Productos!T:T,"Revisar"),"")</f>
        <v/>
      </c>
      <c r="AB165" s="179" t="str">
        <f t="array" ref="AB165">IF($F165&lt;&gt;"", XLOOKUP($F165,Productos!$A$2:$A1001,Productos!U$2:U1001,"")*$G165,"")</f>
        <v/>
      </c>
      <c r="AC165" s="179" t="str">
        <f t="array" ref="AC165">IF($F165&lt;&gt;"",XLOOKUP($F165,Productos!$A:$A,Productos!V:V,"Revisar"),"")</f>
        <v/>
      </c>
      <c r="AD165" s="179" t="str">
        <f t="array" ref="AD165">IF($F165&lt;&gt;"", XLOOKUP($F165,Productos!$A$2:$A1001,Productos!W$2:W1001,"")*$G165,"")</f>
        <v/>
      </c>
      <c r="AE165" s="179" t="str">
        <f t="array" ref="AE165">IF($F165&lt;&gt;"",XLOOKUP($F165,Productos!$A:$A,Productos!X:X,"Revisar"),"")</f>
        <v/>
      </c>
      <c r="AF165" s="179" t="str">
        <f t="array" ref="AF165">IF($F165&lt;&gt;"", XLOOKUP($F165,Productos!$A$2:$A1001,Productos!Y$2:Y1001,"")*$G165,"")</f>
        <v/>
      </c>
      <c r="AG165" s="179" t="str">
        <f t="array" ref="AG165">IF($F165&lt;&gt;"",XLOOKUP($F165,Productos!$A:$A,Productos!Z:Z,"Revisar"),"")</f>
        <v/>
      </c>
      <c r="AH165" s="179" t="str">
        <f t="array" ref="AH165">IF($F165&lt;&gt;"", XLOOKUP($F165,Productos!$A$2:$A1001,Productos!AA$2:AA1001,"")*$G165,"")</f>
        <v/>
      </c>
      <c r="AI165" s="179" t="str">
        <f t="array" ref="AI165">IF($F165&lt;&gt;"",XLOOKUP($F165,Productos!$A:$A,Productos!AB:AB,"Revisar"),"")</f>
        <v/>
      </c>
      <c r="AJ165" s="179" t="str">
        <f t="array" ref="AJ165">IF($F165&lt;&gt;"", XLOOKUP($F165,Productos!$A$2:$A1001,Productos!AC$2:AC1001,"")*$G165,"")</f>
        <v/>
      </c>
      <c r="AK165" s="179" t="str">
        <f t="array" ref="AK165">IF($F165&lt;&gt;"",XLOOKUP($F165,Productos!$A:$A,Productos!AD:AD,"Revisar"),"")</f>
        <v/>
      </c>
      <c r="AL165" s="179" t="str">
        <f t="array" ref="AL165">IF($F165&lt;&gt;"", XLOOKUP($F165,Productos!$A$2:$A1001,Productos!AE$2:AE1001,"")*$G165,"")</f>
        <v/>
      </c>
      <c r="AM165" s="179" t="str">
        <f t="array" ref="AM165">IF($F165&lt;&gt;"",XLOOKUP($F165,Productos!$A:$A,Productos!AF:AF,"Revisar"),"")</f>
        <v/>
      </c>
      <c r="AN165" s="179" t="str">
        <f t="array" ref="AN165">IF($F165&lt;&gt;"", XLOOKUP($F165,Productos!$A$2:$A1001,Productos!AG$2:AG1001,"")*$G165,"")</f>
        <v/>
      </c>
      <c r="AO165" s="179" t="str">
        <f t="array" ref="AO165">IF($F165&lt;&gt;"",XLOOKUP($F165,Productos!$A:$A,Productos!AH:AH,"Revisar"),"")</f>
        <v/>
      </c>
      <c r="AP165" s="179" t="str">
        <f t="array" ref="AP165">IF($F165&lt;&gt;"", XLOOKUP($F165,Productos!$A$2:$A1001,Productos!AI$2:AI1001,"")*$G165,"")</f>
        <v/>
      </c>
      <c r="AQ165" s="179" t="str">
        <f t="array" ref="AQ165">IF($F165&lt;&gt;"",XLOOKUP($F165,Productos!$A:$A,Productos!AJ:AJ,"Revisar"),"")</f>
        <v/>
      </c>
      <c r="AR165" s="179" t="str">
        <f t="array" ref="AR165">IF($F165&lt;&gt;"", XLOOKUP($F165,Productos!$A$2:$A1001,Productos!AK$2:AK1001,"")*$G165,"")</f>
        <v/>
      </c>
      <c r="AS165" s="179" t="str">
        <f t="array" ref="AS165">IF($F165&lt;&gt;"",XLOOKUP($F165,Productos!$A:$A,Productos!AL:AL,"Revisar"),"")</f>
        <v/>
      </c>
      <c r="AT165" s="179" t="str">
        <f t="array" ref="AT165">IF($F165&lt;&gt;"", XLOOKUP($F165,Productos!$A$2:$A1001,Productos!AM$2:AM1001,"")*$G165,"")</f>
        <v/>
      </c>
      <c r="AU165" s="179" t="str">
        <f t="array" ref="AU165">IF($F165&lt;&gt;"",XLOOKUP($F165,Productos!$A:$A,Productos!AN:AN,"Revisar"),"")</f>
        <v/>
      </c>
      <c r="AV165" s="179" t="str">
        <f t="array" ref="AV165">IF($F165&lt;&gt;"", XLOOKUP($F165,Productos!$A$2:$A1001,Productos!AO$2:AO1001,"")*$G165,"")</f>
        <v/>
      </c>
      <c r="AW165" s="179" t="str">
        <f t="array" ref="AW165">IF($F165&lt;&gt;"",XLOOKUP($F165,Productos!$A:$A,Productos!AP:AP,"Revisar"),"")</f>
        <v/>
      </c>
      <c r="AX165" s="179" t="str">
        <f t="array" ref="AX165">IF($F165&lt;&gt;"", XLOOKUP($F165,Productos!$A$2:$A1001,Productos!AQ$2:AQ1001,"")*$G165,"")</f>
        <v/>
      </c>
      <c r="AY165" s="179" t="str">
        <f t="array" ref="AY165">IF($F165&lt;&gt;"",XLOOKUP($F165,Productos!$A:$A,Productos!AR:AR,"Revisar"),"")</f>
        <v/>
      </c>
      <c r="AZ165" s="179" t="str">
        <f t="array" ref="AZ165">IF($F165&lt;&gt;"", XLOOKUP($F165,Productos!$A$2:$A1001,Productos!AS$2:AS1001,"")*$G165,"")</f>
        <v/>
      </c>
      <c r="BA165" s="179" t="str">
        <f t="array" ref="BA165">IF($F165&lt;&gt;"",XLOOKUP($F165,Productos!$A:$A,Productos!AT:AT,"Revisar"),"")</f>
        <v/>
      </c>
      <c r="BB165" s="179" t="str">
        <f t="array" ref="BB165">IF($F165&lt;&gt;"", XLOOKUP($F165,Productos!$A$2:$A1001,Productos!AU$2:AU1001,"")*$G165,"")</f>
        <v/>
      </c>
      <c r="BC165" s="179" t="str">
        <f t="array" ref="BC165">IF($F165&lt;&gt;"",XLOOKUP($F165,Productos!$A:$A,Productos!AV:AV,"Revisar"),"")</f>
        <v/>
      </c>
      <c r="BD165" s="179" t="str">
        <f t="array" ref="BD165">IF($F165&lt;&gt;"", XLOOKUP($F165,Productos!$A$2:$A1001,Productos!AW$2:AW1001,"")*$G165,"")</f>
        <v/>
      </c>
      <c r="BE165" s="179" t="str">
        <f t="array" ref="BE165">IF($F165&lt;&gt;"",XLOOKUP($F165,Productos!$A:$A,Productos!AX:AX,"Revisar"),"")</f>
        <v/>
      </c>
      <c r="BF165" s="179" t="str">
        <f t="array" ref="BF165">IF($F165&lt;&gt;"", XLOOKUP($F165,Productos!$A$2:$A1001,Productos!AY$2:AY1001,"")*$G165,"")</f>
        <v/>
      </c>
      <c r="BG165" s="179" t="str">
        <f t="array" ref="BG165">IF($F165&lt;&gt;"",XLOOKUP($F165,Productos!$A:$A,Productos!AZ:AZ,"Revisar"),"")</f>
        <v/>
      </c>
      <c r="BH165" s="179" t="str">
        <f t="array" ref="BH165">IF($F165&lt;&gt;"", XLOOKUP($F165,Productos!$A$2:$A1001,Productos!BA$2:BA1001,"")*$G165,"")</f>
        <v/>
      </c>
      <c r="BI165" s="179" t="str">
        <f t="array" ref="BI165">IF($F165&lt;&gt;"",XLOOKUP($F165,Productos!$A:$A,Productos!BB:BB,"Revisar"),"")</f>
        <v/>
      </c>
      <c r="BJ165" s="179" t="str">
        <f t="array" ref="BJ165">IF($F165&lt;&gt;"", XLOOKUP($F165,Productos!$A$2:$A1001,Productos!BC$2:BC1001,"")*$G165,"")</f>
        <v/>
      </c>
      <c r="BK165" s="179" t="str">
        <f t="array" ref="BK165">IF($F165&lt;&gt;"",XLOOKUP($F165,Productos!$A:$A,Productos!BD:BD,"Revisar"),"")</f>
        <v/>
      </c>
      <c r="BL165" s="179" t="str">
        <f t="array" ref="BL165">IF($F165&lt;&gt;"", XLOOKUP($F165,Productos!$A$2:$A1001,Productos!BE$2:BE1001,"")*$G165,"")</f>
        <v/>
      </c>
      <c r="BM165" s="179" t="str">
        <f t="array" ref="BM165">IF($F165&lt;&gt;"",XLOOKUP($F165,Productos!$A:$A,Productos!BF:BF,"Revisar"),"")</f>
        <v/>
      </c>
      <c r="BN165" s="179" t="str">
        <f t="array" ref="BN165">IF($F165&lt;&gt;"", XLOOKUP($F165,Productos!$A$2:$A1001,Productos!BG$2:BG1001,"")*$G165,"")</f>
        <v/>
      </c>
      <c r="BO165" s="179" t="str">
        <f t="array" ref="BO165">IF($F165&lt;&gt;"",XLOOKUP($F165,Productos!$A:$A,Productos!BH:BH,"Revisar"),"")</f>
        <v/>
      </c>
      <c r="BP165" s="179" t="str">
        <f t="array" ref="BP165">IF($F165&lt;&gt;"", XLOOKUP($F165,Productos!$A$2:$A1001,Productos!BI$2:BI1001,"")*$G165,"")</f>
        <v/>
      </c>
      <c r="BQ165" s="179" t="str">
        <f t="array" ref="BQ165">IF($F165&lt;&gt;"",XLOOKUP($F165,Productos!$A:$A,Productos!BJ:BJ,"Revisar"),"")</f>
        <v/>
      </c>
      <c r="BR165" s="179" t="str">
        <f t="array" ref="BR165">IF($F165&lt;&gt;"", XLOOKUP($F165,Productos!$A$2:$A1001,Productos!BK$2:BK1001,"")*$G165,"")</f>
        <v/>
      </c>
      <c r="BS165" s="179" t="str">
        <f t="array" ref="BS165">IF($F165&lt;&gt;"",XLOOKUP($F165,Productos!$A:$A,Productos!BL:BL,"Revisar"),"")</f>
        <v/>
      </c>
      <c r="BT165" s="179" t="str">
        <f t="array" ref="BT165">IF($F165&lt;&gt;"", XLOOKUP($F165,Productos!$A$2:$A1001,Productos!BM$2:BM1001,"")*$G165,"")</f>
        <v/>
      </c>
      <c r="BU165" s="179" t="str">
        <f t="array" ref="BU165">IF($F165&lt;&gt;"",XLOOKUP($F165,Productos!$A:$A,Productos!BN:BN,"Revisar"),"")</f>
        <v/>
      </c>
      <c r="BV165" s="179" t="str">
        <f t="array" ref="BV165">IF($F165&lt;&gt;"", XLOOKUP($F165,Productos!$A$2:$A1001,Productos!BO$2:BO1001,"")*$G165,"")</f>
        <v/>
      </c>
      <c r="BW165" s="179" t="str">
        <f t="array" ref="BW165">IF($F165&lt;&gt;"",XLOOKUP($F165,Productos!$A:$A,Productos!BP:BP,"Revisar"),"")</f>
        <v/>
      </c>
      <c r="BX165" s="179" t="str">
        <f t="array" ref="BX165">IF($F165&lt;&gt;"", XLOOKUP($F165,Productos!$A$2:$A1001,Productos!BQ$2:BQ1001,"")*$G165,"")</f>
        <v/>
      </c>
      <c r="BY165" s="179" t="str">
        <f t="array" ref="BY165">IF($F165&lt;&gt;"",XLOOKUP($F165,Productos!$A:$A,Productos!BR:BR,"Revisar"),"")</f>
        <v/>
      </c>
      <c r="BZ165" s="179" t="str">
        <f t="array" ref="BZ165">IF($F165&lt;&gt;"", XLOOKUP($F165,Productos!$A$2:$A1001,Productos!BS$2:BS1001,"")*$G165,"")</f>
        <v/>
      </c>
    </row>
    <row r="166">
      <c r="A166" s="180"/>
      <c r="B166" s="181"/>
      <c r="C166" s="182"/>
      <c r="D166" s="182"/>
      <c r="E166" s="185"/>
      <c r="F166" s="186"/>
      <c r="G166" s="187"/>
      <c r="H166" s="186"/>
      <c r="I166" s="179" t="str">
        <f t="array" ref="I166">IF($F166&lt;&gt;"",XLOOKUP($F166,Productos!$A:$A,Productos!B:B,"Revisar"),"")</f>
        <v/>
      </c>
      <c r="J166" s="179" t="str">
        <f t="array" ref="J166">IF($F166&lt;&gt;"", XLOOKUP($F166,Productos!$A$2:$A1001,Productos!C$2:C1001,"")*$G166,"")</f>
        <v/>
      </c>
      <c r="K166" s="179" t="str">
        <f t="array" ref="K166">IF($F166&lt;&gt;"",XLOOKUP($F166,Productos!$A:$A,Productos!D:D,"Revisar"),"")</f>
        <v/>
      </c>
      <c r="L166" s="179" t="str">
        <f t="array" ref="L166">IF($F166&lt;&gt;"", XLOOKUP($F166,Productos!$A$2:$A1001,Productos!E$2:E1001,"")*$G166,"")</f>
        <v/>
      </c>
      <c r="M166" s="179" t="str">
        <f t="array" ref="M166">IF($F166&lt;&gt;"",XLOOKUP($F166,Productos!$A:$A,Productos!F:F,"Revisar"),"")</f>
        <v/>
      </c>
      <c r="N166" s="179" t="str">
        <f t="array" ref="N166">IF($F166&lt;&gt;"", XLOOKUP($F166,Productos!$A$2:$A1001,Productos!G$2:G1001,"")*$G166,"")</f>
        <v/>
      </c>
      <c r="O166" s="179" t="str">
        <f t="array" ref="O166">IF($F166&lt;&gt;"",XLOOKUP($F166,Productos!$A:$A,Productos!H:H,"Revisar"),"")</f>
        <v/>
      </c>
      <c r="P166" s="179" t="str">
        <f t="array" ref="P166">IF($F166&lt;&gt;"", XLOOKUP($F166,Productos!$A$2:$A1001,Productos!I$2:I1001,"")*$G166,"")</f>
        <v/>
      </c>
      <c r="Q166" s="179" t="str">
        <f t="array" ref="Q166">IF($F166&lt;&gt;"",XLOOKUP($F166,Productos!$A:$A,Productos!J:J,"Revisar"),"")</f>
        <v/>
      </c>
      <c r="R166" s="179" t="str">
        <f t="array" ref="R166">IF($F166&lt;&gt;"", XLOOKUP($F166,Productos!$A$2:$A1001,Productos!K$2:K1001,"")*$G166,"")</f>
        <v/>
      </c>
      <c r="S166" s="179" t="str">
        <f t="array" ref="S166">IF($F166&lt;&gt;"",XLOOKUP($F166,Productos!$A:$A,Productos!L:L,"Revisar"),"")</f>
        <v/>
      </c>
      <c r="T166" s="179" t="str">
        <f t="array" ref="T166">IF($F166&lt;&gt;"", XLOOKUP($F166,Productos!$A$2:$A1001,Productos!M$2:M1001,"")*$G166,"")</f>
        <v/>
      </c>
      <c r="U166" s="179" t="str">
        <f t="array" ref="U166">IF($F166&lt;&gt;"",XLOOKUP($F166,Productos!$A:$A,Productos!N:N,"Revisar"),"")</f>
        <v/>
      </c>
      <c r="V166" s="179" t="str">
        <f t="array" ref="V166">IF($F166&lt;&gt;"", XLOOKUP($F166,Productos!$A$2:$A1001,Productos!O$2:O1001,"")*$G166,"")</f>
        <v/>
      </c>
      <c r="W166" s="179" t="str">
        <f t="array" ref="W166">IF($F166&lt;&gt;"",XLOOKUP($F166,Productos!$A:$A,Productos!P:P,"Revisar"),"")</f>
        <v/>
      </c>
      <c r="X166" s="179" t="str">
        <f t="array" ref="X166">IF($F166&lt;&gt;"", XLOOKUP($F166,Productos!$A$2:$A1001,Productos!Q$2:Q1001,"")*$G166,"")</f>
        <v/>
      </c>
      <c r="Y166" s="179" t="str">
        <f t="array" ref="Y166">IF($F166&lt;&gt;"",XLOOKUP($F166,Productos!$A:$A,Productos!R:R,"Revisar"),"")</f>
        <v/>
      </c>
      <c r="Z166" s="179" t="str">
        <f t="array" ref="Z166">IF($F166&lt;&gt;"", XLOOKUP($F166,Productos!$A$2:$A1001,Productos!S$2:S1001,"")*$G166,"")</f>
        <v/>
      </c>
      <c r="AA166" s="179" t="str">
        <f t="array" ref="AA166">IF($F166&lt;&gt;"",XLOOKUP($F166,Productos!$A:$A,Productos!T:T,"Revisar"),"")</f>
        <v/>
      </c>
      <c r="AB166" s="179" t="str">
        <f t="array" ref="AB166">IF($F166&lt;&gt;"", XLOOKUP($F166,Productos!$A$2:$A1001,Productos!U$2:U1001,"")*$G166,"")</f>
        <v/>
      </c>
      <c r="AC166" s="179" t="str">
        <f t="array" ref="AC166">IF($F166&lt;&gt;"",XLOOKUP($F166,Productos!$A:$A,Productos!V:V,"Revisar"),"")</f>
        <v/>
      </c>
      <c r="AD166" s="179" t="str">
        <f t="array" ref="AD166">IF($F166&lt;&gt;"", XLOOKUP($F166,Productos!$A$2:$A1001,Productos!W$2:W1001,"")*$G166,"")</f>
        <v/>
      </c>
      <c r="AE166" s="179" t="str">
        <f t="array" ref="AE166">IF($F166&lt;&gt;"",XLOOKUP($F166,Productos!$A:$A,Productos!X:X,"Revisar"),"")</f>
        <v/>
      </c>
      <c r="AF166" s="179" t="str">
        <f t="array" ref="AF166">IF($F166&lt;&gt;"", XLOOKUP($F166,Productos!$A$2:$A1001,Productos!Y$2:Y1001,"")*$G166,"")</f>
        <v/>
      </c>
      <c r="AG166" s="179" t="str">
        <f t="array" ref="AG166">IF($F166&lt;&gt;"",XLOOKUP($F166,Productos!$A:$A,Productos!Z:Z,"Revisar"),"")</f>
        <v/>
      </c>
      <c r="AH166" s="179" t="str">
        <f t="array" ref="AH166">IF($F166&lt;&gt;"", XLOOKUP($F166,Productos!$A$2:$A1001,Productos!AA$2:AA1001,"")*$G166,"")</f>
        <v/>
      </c>
      <c r="AI166" s="179" t="str">
        <f t="array" ref="AI166">IF($F166&lt;&gt;"",XLOOKUP($F166,Productos!$A:$A,Productos!AB:AB,"Revisar"),"")</f>
        <v/>
      </c>
      <c r="AJ166" s="179" t="str">
        <f t="array" ref="AJ166">IF($F166&lt;&gt;"", XLOOKUP($F166,Productos!$A$2:$A1001,Productos!AC$2:AC1001,"")*$G166,"")</f>
        <v/>
      </c>
      <c r="AK166" s="179" t="str">
        <f t="array" ref="AK166">IF($F166&lt;&gt;"",XLOOKUP($F166,Productos!$A:$A,Productos!AD:AD,"Revisar"),"")</f>
        <v/>
      </c>
      <c r="AL166" s="179" t="str">
        <f t="array" ref="AL166">IF($F166&lt;&gt;"", XLOOKUP($F166,Productos!$A$2:$A1001,Productos!AE$2:AE1001,"")*$G166,"")</f>
        <v/>
      </c>
      <c r="AM166" s="179" t="str">
        <f t="array" ref="AM166">IF($F166&lt;&gt;"",XLOOKUP($F166,Productos!$A:$A,Productos!AF:AF,"Revisar"),"")</f>
        <v/>
      </c>
      <c r="AN166" s="179" t="str">
        <f t="array" ref="AN166">IF($F166&lt;&gt;"", XLOOKUP($F166,Productos!$A$2:$A1001,Productos!AG$2:AG1001,"")*$G166,"")</f>
        <v/>
      </c>
      <c r="AO166" s="179" t="str">
        <f t="array" ref="AO166">IF($F166&lt;&gt;"",XLOOKUP($F166,Productos!$A:$A,Productos!AH:AH,"Revisar"),"")</f>
        <v/>
      </c>
      <c r="AP166" s="179" t="str">
        <f t="array" ref="AP166">IF($F166&lt;&gt;"", XLOOKUP($F166,Productos!$A$2:$A1001,Productos!AI$2:AI1001,"")*$G166,"")</f>
        <v/>
      </c>
      <c r="AQ166" s="179" t="str">
        <f t="array" ref="AQ166">IF($F166&lt;&gt;"",XLOOKUP($F166,Productos!$A:$A,Productos!AJ:AJ,"Revisar"),"")</f>
        <v/>
      </c>
      <c r="AR166" s="179" t="str">
        <f t="array" ref="AR166">IF($F166&lt;&gt;"", XLOOKUP($F166,Productos!$A$2:$A1001,Productos!AK$2:AK1001,"")*$G166,"")</f>
        <v/>
      </c>
      <c r="AS166" s="179" t="str">
        <f t="array" ref="AS166">IF($F166&lt;&gt;"",XLOOKUP($F166,Productos!$A:$A,Productos!AL:AL,"Revisar"),"")</f>
        <v/>
      </c>
      <c r="AT166" s="179" t="str">
        <f t="array" ref="AT166">IF($F166&lt;&gt;"", XLOOKUP($F166,Productos!$A$2:$A1001,Productos!AM$2:AM1001,"")*$G166,"")</f>
        <v/>
      </c>
      <c r="AU166" s="179" t="str">
        <f t="array" ref="AU166">IF($F166&lt;&gt;"",XLOOKUP($F166,Productos!$A:$A,Productos!AN:AN,"Revisar"),"")</f>
        <v/>
      </c>
      <c r="AV166" s="179" t="str">
        <f t="array" ref="AV166">IF($F166&lt;&gt;"", XLOOKUP($F166,Productos!$A$2:$A1001,Productos!AO$2:AO1001,"")*$G166,"")</f>
        <v/>
      </c>
      <c r="AW166" s="179" t="str">
        <f t="array" ref="AW166">IF($F166&lt;&gt;"",XLOOKUP($F166,Productos!$A:$A,Productos!AP:AP,"Revisar"),"")</f>
        <v/>
      </c>
      <c r="AX166" s="179" t="str">
        <f t="array" ref="AX166">IF($F166&lt;&gt;"", XLOOKUP($F166,Productos!$A$2:$A1001,Productos!AQ$2:AQ1001,"")*$G166,"")</f>
        <v/>
      </c>
      <c r="AY166" s="179" t="str">
        <f t="array" ref="AY166">IF($F166&lt;&gt;"",XLOOKUP($F166,Productos!$A:$A,Productos!AR:AR,"Revisar"),"")</f>
        <v/>
      </c>
      <c r="AZ166" s="179" t="str">
        <f t="array" ref="AZ166">IF($F166&lt;&gt;"", XLOOKUP($F166,Productos!$A$2:$A1001,Productos!AS$2:AS1001,"")*$G166,"")</f>
        <v/>
      </c>
      <c r="BA166" s="179" t="str">
        <f t="array" ref="BA166">IF($F166&lt;&gt;"",XLOOKUP($F166,Productos!$A:$A,Productos!AT:AT,"Revisar"),"")</f>
        <v/>
      </c>
      <c r="BB166" s="179" t="str">
        <f t="array" ref="BB166">IF($F166&lt;&gt;"", XLOOKUP($F166,Productos!$A$2:$A1001,Productos!AU$2:AU1001,"")*$G166,"")</f>
        <v/>
      </c>
      <c r="BC166" s="179" t="str">
        <f t="array" ref="BC166">IF($F166&lt;&gt;"",XLOOKUP($F166,Productos!$A:$A,Productos!AV:AV,"Revisar"),"")</f>
        <v/>
      </c>
      <c r="BD166" s="179" t="str">
        <f t="array" ref="BD166">IF($F166&lt;&gt;"", XLOOKUP($F166,Productos!$A$2:$A1001,Productos!AW$2:AW1001,"")*$G166,"")</f>
        <v/>
      </c>
      <c r="BE166" s="179" t="str">
        <f t="array" ref="BE166">IF($F166&lt;&gt;"",XLOOKUP($F166,Productos!$A:$A,Productos!AX:AX,"Revisar"),"")</f>
        <v/>
      </c>
      <c r="BF166" s="179" t="str">
        <f t="array" ref="BF166">IF($F166&lt;&gt;"", XLOOKUP($F166,Productos!$A$2:$A1001,Productos!AY$2:AY1001,"")*$G166,"")</f>
        <v/>
      </c>
      <c r="BG166" s="179" t="str">
        <f t="array" ref="BG166">IF($F166&lt;&gt;"",XLOOKUP($F166,Productos!$A:$A,Productos!AZ:AZ,"Revisar"),"")</f>
        <v/>
      </c>
      <c r="BH166" s="179" t="str">
        <f t="array" ref="BH166">IF($F166&lt;&gt;"", XLOOKUP($F166,Productos!$A$2:$A1001,Productos!BA$2:BA1001,"")*$G166,"")</f>
        <v/>
      </c>
      <c r="BI166" s="179" t="str">
        <f t="array" ref="BI166">IF($F166&lt;&gt;"",XLOOKUP($F166,Productos!$A:$A,Productos!BB:BB,"Revisar"),"")</f>
        <v/>
      </c>
      <c r="BJ166" s="179" t="str">
        <f t="array" ref="BJ166">IF($F166&lt;&gt;"", XLOOKUP($F166,Productos!$A$2:$A1001,Productos!BC$2:BC1001,"")*$G166,"")</f>
        <v/>
      </c>
      <c r="BK166" s="179" t="str">
        <f t="array" ref="BK166">IF($F166&lt;&gt;"",XLOOKUP($F166,Productos!$A:$A,Productos!BD:BD,"Revisar"),"")</f>
        <v/>
      </c>
      <c r="BL166" s="179" t="str">
        <f t="array" ref="BL166">IF($F166&lt;&gt;"", XLOOKUP($F166,Productos!$A$2:$A1001,Productos!BE$2:BE1001,"")*$G166,"")</f>
        <v/>
      </c>
      <c r="BM166" s="179" t="str">
        <f t="array" ref="BM166">IF($F166&lt;&gt;"",XLOOKUP($F166,Productos!$A:$A,Productos!BF:BF,"Revisar"),"")</f>
        <v/>
      </c>
      <c r="BN166" s="179" t="str">
        <f t="array" ref="BN166">IF($F166&lt;&gt;"", XLOOKUP($F166,Productos!$A$2:$A1001,Productos!BG$2:BG1001,"")*$G166,"")</f>
        <v/>
      </c>
      <c r="BO166" s="179" t="str">
        <f t="array" ref="BO166">IF($F166&lt;&gt;"",XLOOKUP($F166,Productos!$A:$A,Productos!BH:BH,"Revisar"),"")</f>
        <v/>
      </c>
      <c r="BP166" s="179" t="str">
        <f t="array" ref="BP166">IF($F166&lt;&gt;"", XLOOKUP($F166,Productos!$A$2:$A1001,Productos!BI$2:BI1001,"")*$G166,"")</f>
        <v/>
      </c>
      <c r="BQ166" s="179" t="str">
        <f t="array" ref="BQ166">IF($F166&lt;&gt;"",XLOOKUP($F166,Productos!$A:$A,Productos!BJ:BJ,"Revisar"),"")</f>
        <v/>
      </c>
      <c r="BR166" s="179" t="str">
        <f t="array" ref="BR166">IF($F166&lt;&gt;"", XLOOKUP($F166,Productos!$A$2:$A1001,Productos!BK$2:BK1001,"")*$G166,"")</f>
        <v/>
      </c>
      <c r="BS166" s="179" t="str">
        <f t="array" ref="BS166">IF($F166&lt;&gt;"",XLOOKUP($F166,Productos!$A:$A,Productos!BL:BL,"Revisar"),"")</f>
        <v/>
      </c>
      <c r="BT166" s="179" t="str">
        <f t="array" ref="BT166">IF($F166&lt;&gt;"", XLOOKUP($F166,Productos!$A$2:$A1001,Productos!BM$2:BM1001,"")*$G166,"")</f>
        <v/>
      </c>
      <c r="BU166" s="179" t="str">
        <f t="array" ref="BU166">IF($F166&lt;&gt;"",XLOOKUP($F166,Productos!$A:$A,Productos!BN:BN,"Revisar"),"")</f>
        <v/>
      </c>
      <c r="BV166" s="179" t="str">
        <f t="array" ref="BV166">IF($F166&lt;&gt;"", XLOOKUP($F166,Productos!$A$2:$A1001,Productos!BO$2:BO1001,"")*$G166,"")</f>
        <v/>
      </c>
      <c r="BW166" s="179" t="str">
        <f t="array" ref="BW166">IF($F166&lt;&gt;"",XLOOKUP($F166,Productos!$A:$A,Productos!BP:BP,"Revisar"),"")</f>
        <v/>
      </c>
      <c r="BX166" s="179" t="str">
        <f t="array" ref="BX166">IF($F166&lt;&gt;"", XLOOKUP($F166,Productos!$A$2:$A1001,Productos!BQ$2:BQ1001,"")*$G166,"")</f>
        <v/>
      </c>
      <c r="BY166" s="179" t="str">
        <f t="array" ref="BY166">IF($F166&lt;&gt;"",XLOOKUP($F166,Productos!$A:$A,Productos!BR:BR,"Revisar"),"")</f>
        <v/>
      </c>
      <c r="BZ166" s="179" t="str">
        <f t="array" ref="BZ166">IF($F166&lt;&gt;"", XLOOKUP($F166,Productos!$A$2:$A1001,Productos!BS$2:BS1001,"")*$G166,"")</f>
        <v/>
      </c>
    </row>
    <row r="167">
      <c r="A167" s="180"/>
      <c r="B167" s="181"/>
      <c r="C167" s="182"/>
      <c r="D167" s="182"/>
      <c r="E167" s="185"/>
      <c r="F167" s="186"/>
      <c r="G167" s="187"/>
      <c r="H167" s="186"/>
      <c r="I167" s="179" t="str">
        <f t="array" ref="I167">IF($F167&lt;&gt;"",XLOOKUP($F167,Productos!$A:$A,Productos!B:B,"Revisar"),"")</f>
        <v/>
      </c>
      <c r="J167" s="179" t="str">
        <f t="array" ref="J167">IF($F167&lt;&gt;"", XLOOKUP($F167,Productos!$A$2:$A1001,Productos!C$2:C1001,"")*$G167,"")</f>
        <v/>
      </c>
      <c r="K167" s="179" t="str">
        <f t="array" ref="K167">IF($F167&lt;&gt;"",XLOOKUP($F167,Productos!$A:$A,Productos!D:D,"Revisar"),"")</f>
        <v/>
      </c>
      <c r="L167" s="179" t="str">
        <f t="array" ref="L167">IF($F167&lt;&gt;"", XLOOKUP($F167,Productos!$A$2:$A1001,Productos!E$2:E1001,"")*$G167,"")</f>
        <v/>
      </c>
      <c r="M167" s="179" t="str">
        <f t="array" ref="M167">IF($F167&lt;&gt;"",XLOOKUP($F167,Productos!$A:$A,Productos!F:F,"Revisar"),"")</f>
        <v/>
      </c>
      <c r="N167" s="179" t="str">
        <f t="array" ref="N167">IF($F167&lt;&gt;"", XLOOKUP($F167,Productos!$A$2:$A1001,Productos!G$2:G1001,"")*$G167,"")</f>
        <v/>
      </c>
      <c r="O167" s="179" t="str">
        <f t="array" ref="O167">IF($F167&lt;&gt;"",XLOOKUP($F167,Productos!$A:$A,Productos!H:H,"Revisar"),"")</f>
        <v/>
      </c>
      <c r="P167" s="179" t="str">
        <f t="array" ref="P167">IF($F167&lt;&gt;"", XLOOKUP($F167,Productos!$A$2:$A1001,Productos!I$2:I1001,"")*$G167,"")</f>
        <v/>
      </c>
      <c r="Q167" s="179" t="str">
        <f t="array" ref="Q167">IF($F167&lt;&gt;"",XLOOKUP($F167,Productos!$A:$A,Productos!J:J,"Revisar"),"")</f>
        <v/>
      </c>
      <c r="R167" s="179" t="str">
        <f t="array" ref="R167">IF($F167&lt;&gt;"", XLOOKUP($F167,Productos!$A$2:$A1001,Productos!K$2:K1001,"")*$G167,"")</f>
        <v/>
      </c>
      <c r="S167" s="179" t="str">
        <f t="array" ref="S167">IF($F167&lt;&gt;"",XLOOKUP($F167,Productos!$A:$A,Productos!L:L,"Revisar"),"")</f>
        <v/>
      </c>
      <c r="T167" s="179" t="str">
        <f t="array" ref="T167">IF($F167&lt;&gt;"", XLOOKUP($F167,Productos!$A$2:$A1001,Productos!M$2:M1001,"")*$G167,"")</f>
        <v/>
      </c>
      <c r="U167" s="179" t="str">
        <f t="array" ref="U167">IF($F167&lt;&gt;"",XLOOKUP($F167,Productos!$A:$A,Productos!N:N,"Revisar"),"")</f>
        <v/>
      </c>
      <c r="V167" s="179" t="str">
        <f t="array" ref="V167">IF($F167&lt;&gt;"", XLOOKUP($F167,Productos!$A$2:$A1001,Productos!O$2:O1001,"")*$G167,"")</f>
        <v/>
      </c>
      <c r="W167" s="179" t="str">
        <f t="array" ref="W167">IF($F167&lt;&gt;"",XLOOKUP($F167,Productos!$A:$A,Productos!P:P,"Revisar"),"")</f>
        <v/>
      </c>
      <c r="X167" s="179" t="str">
        <f t="array" ref="X167">IF($F167&lt;&gt;"", XLOOKUP($F167,Productos!$A$2:$A1001,Productos!Q$2:Q1001,"")*$G167,"")</f>
        <v/>
      </c>
      <c r="Y167" s="179" t="str">
        <f t="array" ref="Y167">IF($F167&lt;&gt;"",XLOOKUP($F167,Productos!$A:$A,Productos!R:R,"Revisar"),"")</f>
        <v/>
      </c>
      <c r="Z167" s="179" t="str">
        <f t="array" ref="Z167">IF($F167&lt;&gt;"", XLOOKUP($F167,Productos!$A$2:$A1001,Productos!S$2:S1001,"")*$G167,"")</f>
        <v/>
      </c>
      <c r="AA167" s="179" t="str">
        <f t="array" ref="AA167">IF($F167&lt;&gt;"",XLOOKUP($F167,Productos!$A:$A,Productos!T:T,"Revisar"),"")</f>
        <v/>
      </c>
      <c r="AB167" s="179" t="str">
        <f t="array" ref="AB167">IF($F167&lt;&gt;"", XLOOKUP($F167,Productos!$A$2:$A1001,Productos!U$2:U1001,"")*$G167,"")</f>
        <v/>
      </c>
      <c r="AC167" s="179" t="str">
        <f t="array" ref="AC167">IF($F167&lt;&gt;"",XLOOKUP($F167,Productos!$A:$A,Productos!V:V,"Revisar"),"")</f>
        <v/>
      </c>
      <c r="AD167" s="179" t="str">
        <f t="array" ref="AD167">IF($F167&lt;&gt;"", XLOOKUP($F167,Productos!$A$2:$A1001,Productos!W$2:W1001,"")*$G167,"")</f>
        <v/>
      </c>
      <c r="AE167" s="179" t="str">
        <f t="array" ref="AE167">IF($F167&lt;&gt;"",XLOOKUP($F167,Productos!$A:$A,Productos!X:X,"Revisar"),"")</f>
        <v/>
      </c>
      <c r="AF167" s="179" t="str">
        <f t="array" ref="AF167">IF($F167&lt;&gt;"", XLOOKUP($F167,Productos!$A$2:$A1001,Productos!Y$2:Y1001,"")*$G167,"")</f>
        <v/>
      </c>
      <c r="AG167" s="179" t="str">
        <f t="array" ref="AG167">IF($F167&lt;&gt;"",XLOOKUP($F167,Productos!$A:$A,Productos!Z:Z,"Revisar"),"")</f>
        <v/>
      </c>
      <c r="AH167" s="179" t="str">
        <f t="array" ref="AH167">IF($F167&lt;&gt;"", XLOOKUP($F167,Productos!$A$2:$A1001,Productos!AA$2:AA1001,"")*$G167,"")</f>
        <v/>
      </c>
      <c r="AI167" s="179" t="str">
        <f t="array" ref="AI167">IF($F167&lt;&gt;"",XLOOKUP($F167,Productos!$A:$A,Productos!AB:AB,"Revisar"),"")</f>
        <v/>
      </c>
      <c r="AJ167" s="179" t="str">
        <f t="array" ref="AJ167">IF($F167&lt;&gt;"", XLOOKUP($F167,Productos!$A$2:$A1001,Productos!AC$2:AC1001,"")*$G167,"")</f>
        <v/>
      </c>
      <c r="AK167" s="179" t="str">
        <f t="array" ref="AK167">IF($F167&lt;&gt;"",XLOOKUP($F167,Productos!$A:$A,Productos!AD:AD,"Revisar"),"")</f>
        <v/>
      </c>
      <c r="AL167" s="179" t="str">
        <f t="array" ref="AL167">IF($F167&lt;&gt;"", XLOOKUP($F167,Productos!$A$2:$A1001,Productos!AE$2:AE1001,"")*$G167,"")</f>
        <v/>
      </c>
      <c r="AM167" s="179" t="str">
        <f t="array" ref="AM167">IF($F167&lt;&gt;"",XLOOKUP($F167,Productos!$A:$A,Productos!AF:AF,"Revisar"),"")</f>
        <v/>
      </c>
      <c r="AN167" s="179" t="str">
        <f t="array" ref="AN167">IF($F167&lt;&gt;"", XLOOKUP($F167,Productos!$A$2:$A1001,Productos!AG$2:AG1001,"")*$G167,"")</f>
        <v/>
      </c>
      <c r="AO167" s="179" t="str">
        <f t="array" ref="AO167">IF($F167&lt;&gt;"",XLOOKUP($F167,Productos!$A:$A,Productos!AH:AH,"Revisar"),"")</f>
        <v/>
      </c>
      <c r="AP167" s="179" t="str">
        <f t="array" ref="AP167">IF($F167&lt;&gt;"", XLOOKUP($F167,Productos!$A$2:$A1001,Productos!AI$2:AI1001,"")*$G167,"")</f>
        <v/>
      </c>
      <c r="AQ167" s="179" t="str">
        <f t="array" ref="AQ167">IF($F167&lt;&gt;"",XLOOKUP($F167,Productos!$A:$A,Productos!AJ:AJ,"Revisar"),"")</f>
        <v/>
      </c>
      <c r="AR167" s="179" t="str">
        <f t="array" ref="AR167">IF($F167&lt;&gt;"", XLOOKUP($F167,Productos!$A$2:$A1001,Productos!AK$2:AK1001,"")*$G167,"")</f>
        <v/>
      </c>
      <c r="AS167" s="179" t="str">
        <f t="array" ref="AS167">IF($F167&lt;&gt;"",XLOOKUP($F167,Productos!$A:$A,Productos!AL:AL,"Revisar"),"")</f>
        <v/>
      </c>
      <c r="AT167" s="179" t="str">
        <f t="array" ref="AT167">IF($F167&lt;&gt;"", XLOOKUP($F167,Productos!$A$2:$A1001,Productos!AM$2:AM1001,"")*$G167,"")</f>
        <v/>
      </c>
      <c r="AU167" s="179" t="str">
        <f t="array" ref="AU167">IF($F167&lt;&gt;"",XLOOKUP($F167,Productos!$A:$A,Productos!AN:AN,"Revisar"),"")</f>
        <v/>
      </c>
      <c r="AV167" s="179" t="str">
        <f t="array" ref="AV167">IF($F167&lt;&gt;"", XLOOKUP($F167,Productos!$A$2:$A1001,Productos!AO$2:AO1001,"")*$G167,"")</f>
        <v/>
      </c>
      <c r="AW167" s="179" t="str">
        <f t="array" ref="AW167">IF($F167&lt;&gt;"",XLOOKUP($F167,Productos!$A:$A,Productos!AP:AP,"Revisar"),"")</f>
        <v/>
      </c>
      <c r="AX167" s="179" t="str">
        <f t="array" ref="AX167">IF($F167&lt;&gt;"", XLOOKUP($F167,Productos!$A$2:$A1001,Productos!AQ$2:AQ1001,"")*$G167,"")</f>
        <v/>
      </c>
      <c r="AY167" s="179" t="str">
        <f t="array" ref="AY167">IF($F167&lt;&gt;"",XLOOKUP($F167,Productos!$A:$A,Productos!AR:AR,"Revisar"),"")</f>
        <v/>
      </c>
      <c r="AZ167" s="179" t="str">
        <f t="array" ref="AZ167">IF($F167&lt;&gt;"", XLOOKUP($F167,Productos!$A$2:$A1001,Productos!AS$2:AS1001,"")*$G167,"")</f>
        <v/>
      </c>
      <c r="BA167" s="179" t="str">
        <f t="array" ref="BA167">IF($F167&lt;&gt;"",XLOOKUP($F167,Productos!$A:$A,Productos!AT:AT,"Revisar"),"")</f>
        <v/>
      </c>
      <c r="BB167" s="179" t="str">
        <f t="array" ref="BB167">IF($F167&lt;&gt;"", XLOOKUP($F167,Productos!$A$2:$A1001,Productos!AU$2:AU1001,"")*$G167,"")</f>
        <v/>
      </c>
      <c r="BC167" s="179" t="str">
        <f t="array" ref="BC167">IF($F167&lt;&gt;"",XLOOKUP($F167,Productos!$A:$A,Productos!AV:AV,"Revisar"),"")</f>
        <v/>
      </c>
      <c r="BD167" s="179" t="str">
        <f t="array" ref="BD167">IF($F167&lt;&gt;"", XLOOKUP($F167,Productos!$A$2:$A1001,Productos!AW$2:AW1001,"")*$G167,"")</f>
        <v/>
      </c>
      <c r="BE167" s="179" t="str">
        <f t="array" ref="BE167">IF($F167&lt;&gt;"",XLOOKUP($F167,Productos!$A:$A,Productos!AX:AX,"Revisar"),"")</f>
        <v/>
      </c>
      <c r="BF167" s="179" t="str">
        <f t="array" ref="BF167">IF($F167&lt;&gt;"", XLOOKUP($F167,Productos!$A$2:$A1001,Productos!AY$2:AY1001,"")*$G167,"")</f>
        <v/>
      </c>
      <c r="BG167" s="179" t="str">
        <f t="array" ref="BG167">IF($F167&lt;&gt;"",XLOOKUP($F167,Productos!$A:$A,Productos!AZ:AZ,"Revisar"),"")</f>
        <v/>
      </c>
      <c r="BH167" s="179" t="str">
        <f t="array" ref="BH167">IF($F167&lt;&gt;"", XLOOKUP($F167,Productos!$A$2:$A1001,Productos!BA$2:BA1001,"")*$G167,"")</f>
        <v/>
      </c>
      <c r="BI167" s="179" t="str">
        <f t="array" ref="BI167">IF($F167&lt;&gt;"",XLOOKUP($F167,Productos!$A:$A,Productos!BB:BB,"Revisar"),"")</f>
        <v/>
      </c>
      <c r="BJ167" s="179" t="str">
        <f t="array" ref="BJ167">IF($F167&lt;&gt;"", XLOOKUP($F167,Productos!$A$2:$A1001,Productos!BC$2:BC1001,"")*$G167,"")</f>
        <v/>
      </c>
      <c r="BK167" s="179" t="str">
        <f t="array" ref="BK167">IF($F167&lt;&gt;"",XLOOKUP($F167,Productos!$A:$A,Productos!BD:BD,"Revisar"),"")</f>
        <v/>
      </c>
      <c r="BL167" s="179" t="str">
        <f t="array" ref="BL167">IF($F167&lt;&gt;"", XLOOKUP($F167,Productos!$A$2:$A1001,Productos!BE$2:BE1001,"")*$G167,"")</f>
        <v/>
      </c>
      <c r="BM167" s="179" t="str">
        <f t="array" ref="BM167">IF($F167&lt;&gt;"",XLOOKUP($F167,Productos!$A:$A,Productos!BF:BF,"Revisar"),"")</f>
        <v/>
      </c>
      <c r="BN167" s="179" t="str">
        <f t="array" ref="BN167">IF($F167&lt;&gt;"", XLOOKUP($F167,Productos!$A$2:$A1001,Productos!BG$2:BG1001,"")*$G167,"")</f>
        <v/>
      </c>
      <c r="BO167" s="179" t="str">
        <f t="array" ref="BO167">IF($F167&lt;&gt;"",XLOOKUP($F167,Productos!$A:$A,Productos!BH:BH,"Revisar"),"")</f>
        <v/>
      </c>
      <c r="BP167" s="179" t="str">
        <f t="array" ref="BP167">IF($F167&lt;&gt;"", XLOOKUP($F167,Productos!$A$2:$A1001,Productos!BI$2:BI1001,"")*$G167,"")</f>
        <v/>
      </c>
      <c r="BQ167" s="179" t="str">
        <f t="array" ref="BQ167">IF($F167&lt;&gt;"",XLOOKUP($F167,Productos!$A:$A,Productos!BJ:BJ,"Revisar"),"")</f>
        <v/>
      </c>
      <c r="BR167" s="179" t="str">
        <f t="array" ref="BR167">IF($F167&lt;&gt;"", XLOOKUP($F167,Productos!$A$2:$A1001,Productos!BK$2:BK1001,"")*$G167,"")</f>
        <v/>
      </c>
      <c r="BS167" s="179" t="str">
        <f t="array" ref="BS167">IF($F167&lt;&gt;"",XLOOKUP($F167,Productos!$A:$A,Productos!BL:BL,"Revisar"),"")</f>
        <v/>
      </c>
      <c r="BT167" s="179" t="str">
        <f t="array" ref="BT167">IF($F167&lt;&gt;"", XLOOKUP($F167,Productos!$A$2:$A1001,Productos!BM$2:BM1001,"")*$G167,"")</f>
        <v/>
      </c>
      <c r="BU167" s="179" t="str">
        <f t="array" ref="BU167">IF($F167&lt;&gt;"",XLOOKUP($F167,Productos!$A:$A,Productos!BN:BN,"Revisar"),"")</f>
        <v/>
      </c>
      <c r="BV167" s="179" t="str">
        <f t="array" ref="BV167">IF($F167&lt;&gt;"", XLOOKUP($F167,Productos!$A$2:$A1001,Productos!BO$2:BO1001,"")*$G167,"")</f>
        <v/>
      </c>
      <c r="BW167" s="179" t="str">
        <f t="array" ref="BW167">IF($F167&lt;&gt;"",XLOOKUP($F167,Productos!$A:$A,Productos!BP:BP,"Revisar"),"")</f>
        <v/>
      </c>
      <c r="BX167" s="179" t="str">
        <f t="array" ref="BX167">IF($F167&lt;&gt;"", XLOOKUP($F167,Productos!$A$2:$A1001,Productos!BQ$2:BQ1001,"")*$G167,"")</f>
        <v/>
      </c>
      <c r="BY167" s="179" t="str">
        <f t="array" ref="BY167">IF($F167&lt;&gt;"",XLOOKUP($F167,Productos!$A:$A,Productos!BR:BR,"Revisar"),"")</f>
        <v/>
      </c>
      <c r="BZ167" s="179" t="str">
        <f t="array" ref="BZ167">IF($F167&lt;&gt;"", XLOOKUP($F167,Productos!$A$2:$A1001,Productos!BS$2:BS1001,"")*$G167,"")</f>
        <v/>
      </c>
    </row>
    <row r="168">
      <c r="A168" s="180"/>
      <c r="B168" s="181"/>
      <c r="C168" s="182"/>
      <c r="D168" s="182"/>
      <c r="E168" s="185"/>
      <c r="F168" s="186"/>
      <c r="G168" s="187"/>
      <c r="H168" s="186"/>
      <c r="I168" s="179" t="str">
        <f t="array" ref="I168">IF($F168&lt;&gt;"",XLOOKUP($F168,Productos!$A:$A,Productos!B:B,"Revisar"),"")</f>
        <v/>
      </c>
      <c r="J168" s="179" t="str">
        <f t="array" ref="J168">IF($F168&lt;&gt;"", XLOOKUP($F168,Productos!$A$2:$A1001,Productos!C$2:C1001,"")*$G168,"")</f>
        <v/>
      </c>
      <c r="K168" s="179" t="str">
        <f t="array" ref="K168">IF($F168&lt;&gt;"",XLOOKUP($F168,Productos!$A:$A,Productos!D:D,"Revisar"),"")</f>
        <v/>
      </c>
      <c r="L168" s="179" t="str">
        <f t="array" ref="L168">IF($F168&lt;&gt;"", XLOOKUP($F168,Productos!$A$2:$A1001,Productos!E$2:E1001,"")*$G168,"")</f>
        <v/>
      </c>
      <c r="M168" s="179" t="str">
        <f t="array" ref="M168">IF($F168&lt;&gt;"",XLOOKUP($F168,Productos!$A:$A,Productos!F:F,"Revisar"),"")</f>
        <v/>
      </c>
      <c r="N168" s="179" t="str">
        <f t="array" ref="N168">IF($F168&lt;&gt;"", XLOOKUP($F168,Productos!$A$2:$A1001,Productos!G$2:G1001,"")*$G168,"")</f>
        <v/>
      </c>
      <c r="O168" s="179" t="str">
        <f t="array" ref="O168">IF($F168&lt;&gt;"",XLOOKUP($F168,Productos!$A:$A,Productos!H:H,"Revisar"),"")</f>
        <v/>
      </c>
      <c r="P168" s="179" t="str">
        <f t="array" ref="P168">IF($F168&lt;&gt;"", XLOOKUP($F168,Productos!$A$2:$A1001,Productos!I$2:I1001,"")*$G168,"")</f>
        <v/>
      </c>
      <c r="Q168" s="179" t="str">
        <f t="array" ref="Q168">IF($F168&lt;&gt;"",XLOOKUP($F168,Productos!$A:$A,Productos!J:J,"Revisar"),"")</f>
        <v/>
      </c>
      <c r="R168" s="179" t="str">
        <f t="array" ref="R168">IF($F168&lt;&gt;"", XLOOKUP($F168,Productos!$A$2:$A1001,Productos!K$2:K1001,"")*$G168,"")</f>
        <v/>
      </c>
      <c r="S168" s="179" t="str">
        <f t="array" ref="S168">IF($F168&lt;&gt;"",XLOOKUP($F168,Productos!$A:$A,Productos!L:L,"Revisar"),"")</f>
        <v/>
      </c>
      <c r="T168" s="179" t="str">
        <f t="array" ref="T168">IF($F168&lt;&gt;"", XLOOKUP($F168,Productos!$A$2:$A1001,Productos!M$2:M1001,"")*$G168,"")</f>
        <v/>
      </c>
      <c r="U168" s="179" t="str">
        <f t="array" ref="U168">IF($F168&lt;&gt;"",XLOOKUP($F168,Productos!$A:$A,Productos!N:N,"Revisar"),"")</f>
        <v/>
      </c>
      <c r="V168" s="179" t="str">
        <f t="array" ref="V168">IF($F168&lt;&gt;"", XLOOKUP($F168,Productos!$A$2:$A1001,Productos!O$2:O1001,"")*$G168,"")</f>
        <v/>
      </c>
      <c r="W168" s="179" t="str">
        <f t="array" ref="W168">IF($F168&lt;&gt;"",XLOOKUP($F168,Productos!$A:$A,Productos!P:P,"Revisar"),"")</f>
        <v/>
      </c>
      <c r="X168" s="179" t="str">
        <f t="array" ref="X168">IF($F168&lt;&gt;"", XLOOKUP($F168,Productos!$A$2:$A1001,Productos!Q$2:Q1001,"")*$G168,"")</f>
        <v/>
      </c>
      <c r="Y168" s="179" t="str">
        <f t="array" ref="Y168">IF($F168&lt;&gt;"",XLOOKUP($F168,Productos!$A:$A,Productos!R:R,"Revisar"),"")</f>
        <v/>
      </c>
      <c r="Z168" s="179" t="str">
        <f t="array" ref="Z168">IF($F168&lt;&gt;"", XLOOKUP($F168,Productos!$A$2:$A1001,Productos!S$2:S1001,"")*$G168,"")</f>
        <v/>
      </c>
      <c r="AA168" s="179" t="str">
        <f t="array" ref="AA168">IF($F168&lt;&gt;"",XLOOKUP($F168,Productos!$A:$A,Productos!T:T,"Revisar"),"")</f>
        <v/>
      </c>
      <c r="AB168" s="179" t="str">
        <f t="array" ref="AB168">IF($F168&lt;&gt;"", XLOOKUP($F168,Productos!$A$2:$A1001,Productos!U$2:U1001,"")*$G168,"")</f>
        <v/>
      </c>
      <c r="AC168" s="179" t="str">
        <f t="array" ref="AC168">IF($F168&lt;&gt;"",XLOOKUP($F168,Productos!$A:$A,Productos!V:V,"Revisar"),"")</f>
        <v/>
      </c>
      <c r="AD168" s="179" t="str">
        <f t="array" ref="AD168">IF($F168&lt;&gt;"", XLOOKUP($F168,Productos!$A$2:$A1001,Productos!W$2:W1001,"")*$G168,"")</f>
        <v/>
      </c>
      <c r="AE168" s="179" t="str">
        <f t="array" ref="AE168">IF($F168&lt;&gt;"",XLOOKUP($F168,Productos!$A:$A,Productos!X:X,"Revisar"),"")</f>
        <v/>
      </c>
      <c r="AF168" s="179" t="str">
        <f t="array" ref="AF168">IF($F168&lt;&gt;"", XLOOKUP($F168,Productos!$A$2:$A1001,Productos!Y$2:Y1001,"")*$G168,"")</f>
        <v/>
      </c>
      <c r="AG168" s="179" t="str">
        <f t="array" ref="AG168">IF($F168&lt;&gt;"",XLOOKUP($F168,Productos!$A:$A,Productos!Z:Z,"Revisar"),"")</f>
        <v/>
      </c>
      <c r="AH168" s="179" t="str">
        <f t="array" ref="AH168">IF($F168&lt;&gt;"", XLOOKUP($F168,Productos!$A$2:$A1001,Productos!AA$2:AA1001,"")*$G168,"")</f>
        <v/>
      </c>
      <c r="AI168" s="179" t="str">
        <f t="array" ref="AI168">IF($F168&lt;&gt;"",XLOOKUP($F168,Productos!$A:$A,Productos!AB:AB,"Revisar"),"")</f>
        <v/>
      </c>
      <c r="AJ168" s="179" t="str">
        <f t="array" ref="AJ168">IF($F168&lt;&gt;"", XLOOKUP($F168,Productos!$A$2:$A1001,Productos!AC$2:AC1001,"")*$G168,"")</f>
        <v/>
      </c>
      <c r="AK168" s="179" t="str">
        <f t="array" ref="AK168">IF($F168&lt;&gt;"",XLOOKUP($F168,Productos!$A:$A,Productos!AD:AD,"Revisar"),"")</f>
        <v/>
      </c>
      <c r="AL168" s="179" t="str">
        <f t="array" ref="AL168">IF($F168&lt;&gt;"", XLOOKUP($F168,Productos!$A$2:$A1001,Productos!AE$2:AE1001,"")*$G168,"")</f>
        <v/>
      </c>
      <c r="AM168" s="179" t="str">
        <f t="array" ref="AM168">IF($F168&lt;&gt;"",XLOOKUP($F168,Productos!$A:$A,Productos!AF:AF,"Revisar"),"")</f>
        <v/>
      </c>
      <c r="AN168" s="179" t="str">
        <f t="array" ref="AN168">IF($F168&lt;&gt;"", XLOOKUP($F168,Productos!$A$2:$A1001,Productos!AG$2:AG1001,"")*$G168,"")</f>
        <v/>
      </c>
      <c r="AO168" s="179" t="str">
        <f t="array" ref="AO168">IF($F168&lt;&gt;"",XLOOKUP($F168,Productos!$A:$A,Productos!AH:AH,"Revisar"),"")</f>
        <v/>
      </c>
      <c r="AP168" s="179" t="str">
        <f t="array" ref="AP168">IF($F168&lt;&gt;"", XLOOKUP($F168,Productos!$A$2:$A1001,Productos!AI$2:AI1001,"")*$G168,"")</f>
        <v/>
      </c>
      <c r="AQ168" s="179" t="str">
        <f t="array" ref="AQ168">IF($F168&lt;&gt;"",XLOOKUP($F168,Productos!$A:$A,Productos!AJ:AJ,"Revisar"),"")</f>
        <v/>
      </c>
      <c r="AR168" s="179" t="str">
        <f t="array" ref="AR168">IF($F168&lt;&gt;"", XLOOKUP($F168,Productos!$A$2:$A1001,Productos!AK$2:AK1001,"")*$G168,"")</f>
        <v/>
      </c>
      <c r="AS168" s="179" t="str">
        <f t="array" ref="AS168">IF($F168&lt;&gt;"",XLOOKUP($F168,Productos!$A:$A,Productos!AL:AL,"Revisar"),"")</f>
        <v/>
      </c>
      <c r="AT168" s="179" t="str">
        <f t="array" ref="AT168">IF($F168&lt;&gt;"", XLOOKUP($F168,Productos!$A$2:$A1001,Productos!AM$2:AM1001,"")*$G168,"")</f>
        <v/>
      </c>
      <c r="AU168" s="179" t="str">
        <f t="array" ref="AU168">IF($F168&lt;&gt;"",XLOOKUP($F168,Productos!$A:$A,Productos!AN:AN,"Revisar"),"")</f>
        <v/>
      </c>
      <c r="AV168" s="179" t="str">
        <f t="array" ref="AV168">IF($F168&lt;&gt;"", XLOOKUP($F168,Productos!$A$2:$A1001,Productos!AO$2:AO1001,"")*$G168,"")</f>
        <v/>
      </c>
      <c r="AW168" s="179" t="str">
        <f t="array" ref="AW168">IF($F168&lt;&gt;"",XLOOKUP($F168,Productos!$A:$A,Productos!AP:AP,"Revisar"),"")</f>
        <v/>
      </c>
      <c r="AX168" s="179" t="str">
        <f t="array" ref="AX168">IF($F168&lt;&gt;"", XLOOKUP($F168,Productos!$A$2:$A1001,Productos!AQ$2:AQ1001,"")*$G168,"")</f>
        <v/>
      </c>
      <c r="AY168" s="179" t="str">
        <f t="array" ref="AY168">IF($F168&lt;&gt;"",XLOOKUP($F168,Productos!$A:$A,Productos!AR:AR,"Revisar"),"")</f>
        <v/>
      </c>
      <c r="AZ168" s="179" t="str">
        <f t="array" ref="AZ168">IF($F168&lt;&gt;"", XLOOKUP($F168,Productos!$A$2:$A1001,Productos!AS$2:AS1001,"")*$G168,"")</f>
        <v/>
      </c>
      <c r="BA168" s="179" t="str">
        <f t="array" ref="BA168">IF($F168&lt;&gt;"",XLOOKUP($F168,Productos!$A:$A,Productos!AT:AT,"Revisar"),"")</f>
        <v/>
      </c>
      <c r="BB168" s="179" t="str">
        <f t="array" ref="BB168">IF($F168&lt;&gt;"", XLOOKUP($F168,Productos!$A$2:$A1001,Productos!AU$2:AU1001,"")*$G168,"")</f>
        <v/>
      </c>
      <c r="BC168" s="179" t="str">
        <f t="array" ref="BC168">IF($F168&lt;&gt;"",XLOOKUP($F168,Productos!$A:$A,Productos!AV:AV,"Revisar"),"")</f>
        <v/>
      </c>
      <c r="BD168" s="179" t="str">
        <f t="array" ref="BD168">IF($F168&lt;&gt;"", XLOOKUP($F168,Productos!$A$2:$A1001,Productos!AW$2:AW1001,"")*$G168,"")</f>
        <v/>
      </c>
      <c r="BE168" s="179" t="str">
        <f t="array" ref="BE168">IF($F168&lt;&gt;"",XLOOKUP($F168,Productos!$A:$A,Productos!AX:AX,"Revisar"),"")</f>
        <v/>
      </c>
      <c r="BF168" s="179" t="str">
        <f t="array" ref="BF168">IF($F168&lt;&gt;"", XLOOKUP($F168,Productos!$A$2:$A1001,Productos!AY$2:AY1001,"")*$G168,"")</f>
        <v/>
      </c>
      <c r="BG168" s="179" t="str">
        <f t="array" ref="BG168">IF($F168&lt;&gt;"",XLOOKUP($F168,Productos!$A:$A,Productos!AZ:AZ,"Revisar"),"")</f>
        <v/>
      </c>
      <c r="BH168" s="179" t="str">
        <f t="array" ref="BH168">IF($F168&lt;&gt;"", XLOOKUP($F168,Productos!$A$2:$A1001,Productos!BA$2:BA1001,"")*$G168,"")</f>
        <v/>
      </c>
      <c r="BI168" s="179" t="str">
        <f t="array" ref="BI168">IF($F168&lt;&gt;"",XLOOKUP($F168,Productos!$A:$A,Productos!BB:BB,"Revisar"),"")</f>
        <v/>
      </c>
      <c r="BJ168" s="179" t="str">
        <f t="array" ref="BJ168">IF($F168&lt;&gt;"", XLOOKUP($F168,Productos!$A$2:$A1001,Productos!BC$2:BC1001,"")*$G168,"")</f>
        <v/>
      </c>
      <c r="BK168" s="179" t="str">
        <f t="array" ref="BK168">IF($F168&lt;&gt;"",XLOOKUP($F168,Productos!$A:$A,Productos!BD:BD,"Revisar"),"")</f>
        <v/>
      </c>
      <c r="BL168" s="179" t="str">
        <f t="array" ref="BL168">IF($F168&lt;&gt;"", XLOOKUP($F168,Productos!$A$2:$A1001,Productos!BE$2:BE1001,"")*$G168,"")</f>
        <v/>
      </c>
      <c r="BM168" s="179" t="str">
        <f t="array" ref="BM168">IF($F168&lt;&gt;"",XLOOKUP($F168,Productos!$A:$A,Productos!BF:BF,"Revisar"),"")</f>
        <v/>
      </c>
      <c r="BN168" s="179" t="str">
        <f t="array" ref="BN168">IF($F168&lt;&gt;"", XLOOKUP($F168,Productos!$A$2:$A1001,Productos!BG$2:BG1001,"")*$G168,"")</f>
        <v/>
      </c>
      <c r="BO168" s="179" t="str">
        <f t="array" ref="BO168">IF($F168&lt;&gt;"",XLOOKUP($F168,Productos!$A:$A,Productos!BH:BH,"Revisar"),"")</f>
        <v/>
      </c>
      <c r="BP168" s="179" t="str">
        <f t="array" ref="BP168">IF($F168&lt;&gt;"", XLOOKUP($F168,Productos!$A$2:$A1001,Productos!BI$2:BI1001,"")*$G168,"")</f>
        <v/>
      </c>
      <c r="BQ168" s="179" t="str">
        <f t="array" ref="BQ168">IF($F168&lt;&gt;"",XLOOKUP($F168,Productos!$A:$A,Productos!BJ:BJ,"Revisar"),"")</f>
        <v/>
      </c>
      <c r="BR168" s="179" t="str">
        <f t="array" ref="BR168">IF($F168&lt;&gt;"", XLOOKUP($F168,Productos!$A$2:$A1001,Productos!BK$2:BK1001,"")*$G168,"")</f>
        <v/>
      </c>
      <c r="BS168" s="179" t="str">
        <f t="array" ref="BS168">IF($F168&lt;&gt;"",XLOOKUP($F168,Productos!$A:$A,Productos!BL:BL,"Revisar"),"")</f>
        <v/>
      </c>
      <c r="BT168" s="179" t="str">
        <f t="array" ref="BT168">IF($F168&lt;&gt;"", XLOOKUP($F168,Productos!$A$2:$A1001,Productos!BM$2:BM1001,"")*$G168,"")</f>
        <v/>
      </c>
      <c r="BU168" s="179" t="str">
        <f t="array" ref="BU168">IF($F168&lt;&gt;"",XLOOKUP($F168,Productos!$A:$A,Productos!BN:BN,"Revisar"),"")</f>
        <v/>
      </c>
      <c r="BV168" s="179" t="str">
        <f t="array" ref="BV168">IF($F168&lt;&gt;"", XLOOKUP($F168,Productos!$A$2:$A1001,Productos!BO$2:BO1001,"")*$G168,"")</f>
        <v/>
      </c>
      <c r="BW168" s="179" t="str">
        <f t="array" ref="BW168">IF($F168&lt;&gt;"",XLOOKUP($F168,Productos!$A:$A,Productos!BP:BP,"Revisar"),"")</f>
        <v/>
      </c>
      <c r="BX168" s="179" t="str">
        <f t="array" ref="BX168">IF($F168&lt;&gt;"", XLOOKUP($F168,Productos!$A$2:$A1001,Productos!BQ$2:BQ1001,"")*$G168,"")</f>
        <v/>
      </c>
      <c r="BY168" s="179" t="str">
        <f t="array" ref="BY168">IF($F168&lt;&gt;"",XLOOKUP($F168,Productos!$A:$A,Productos!BR:BR,"Revisar"),"")</f>
        <v/>
      </c>
      <c r="BZ168" s="179" t="str">
        <f t="array" ref="BZ168">IF($F168&lt;&gt;"", XLOOKUP($F168,Productos!$A$2:$A1001,Productos!BS$2:BS1001,"")*$G168,"")</f>
        <v/>
      </c>
    </row>
    <row r="169">
      <c r="A169" s="180"/>
      <c r="B169" s="181"/>
      <c r="C169" s="182"/>
      <c r="D169" s="182"/>
      <c r="E169" s="185"/>
      <c r="F169" s="186"/>
      <c r="G169" s="187"/>
      <c r="H169" s="186"/>
      <c r="I169" s="179" t="str">
        <f t="array" ref="I169">IF($F169&lt;&gt;"",XLOOKUP($F169,Productos!$A:$A,Productos!B:B,"Revisar"),"")</f>
        <v/>
      </c>
      <c r="J169" s="179" t="str">
        <f t="array" ref="J169">IF($F169&lt;&gt;"", XLOOKUP($F169,Productos!$A$2:$A1001,Productos!C$2:C1001,"")*$G169,"")</f>
        <v/>
      </c>
      <c r="K169" s="179" t="str">
        <f t="array" ref="K169">IF($F169&lt;&gt;"",XLOOKUP($F169,Productos!$A:$A,Productos!D:D,"Revisar"),"")</f>
        <v/>
      </c>
      <c r="L169" s="179" t="str">
        <f t="array" ref="L169">IF($F169&lt;&gt;"", XLOOKUP($F169,Productos!$A$2:$A1001,Productos!E$2:E1001,"")*$G169,"")</f>
        <v/>
      </c>
      <c r="M169" s="179" t="str">
        <f t="array" ref="M169">IF($F169&lt;&gt;"",XLOOKUP($F169,Productos!$A:$A,Productos!F:F,"Revisar"),"")</f>
        <v/>
      </c>
      <c r="N169" s="179" t="str">
        <f t="array" ref="N169">IF($F169&lt;&gt;"", XLOOKUP($F169,Productos!$A$2:$A1001,Productos!G$2:G1001,"")*$G169,"")</f>
        <v/>
      </c>
      <c r="O169" s="179" t="str">
        <f t="array" ref="O169">IF($F169&lt;&gt;"",XLOOKUP($F169,Productos!$A:$A,Productos!H:H,"Revisar"),"")</f>
        <v/>
      </c>
      <c r="P169" s="179" t="str">
        <f t="array" ref="P169">IF($F169&lt;&gt;"", XLOOKUP($F169,Productos!$A$2:$A1001,Productos!I$2:I1001,"")*$G169,"")</f>
        <v/>
      </c>
      <c r="Q169" s="179" t="str">
        <f t="array" ref="Q169">IF($F169&lt;&gt;"",XLOOKUP($F169,Productos!$A:$A,Productos!J:J,"Revisar"),"")</f>
        <v/>
      </c>
      <c r="R169" s="179" t="str">
        <f t="array" ref="R169">IF($F169&lt;&gt;"", XLOOKUP($F169,Productos!$A$2:$A1001,Productos!K$2:K1001,"")*$G169,"")</f>
        <v/>
      </c>
      <c r="S169" s="179" t="str">
        <f t="array" ref="S169">IF($F169&lt;&gt;"",XLOOKUP($F169,Productos!$A:$A,Productos!L:L,"Revisar"),"")</f>
        <v/>
      </c>
      <c r="T169" s="179" t="str">
        <f t="array" ref="T169">IF($F169&lt;&gt;"", XLOOKUP($F169,Productos!$A$2:$A1001,Productos!M$2:M1001,"")*$G169,"")</f>
        <v/>
      </c>
      <c r="U169" s="179" t="str">
        <f t="array" ref="U169">IF($F169&lt;&gt;"",XLOOKUP($F169,Productos!$A:$A,Productos!N:N,"Revisar"),"")</f>
        <v/>
      </c>
      <c r="V169" s="179" t="str">
        <f t="array" ref="V169">IF($F169&lt;&gt;"", XLOOKUP($F169,Productos!$A$2:$A1001,Productos!O$2:O1001,"")*$G169,"")</f>
        <v/>
      </c>
      <c r="W169" s="179" t="str">
        <f t="array" ref="W169">IF($F169&lt;&gt;"",XLOOKUP($F169,Productos!$A:$A,Productos!P:P,"Revisar"),"")</f>
        <v/>
      </c>
      <c r="X169" s="179" t="str">
        <f t="array" ref="X169">IF($F169&lt;&gt;"", XLOOKUP($F169,Productos!$A$2:$A1001,Productos!Q$2:Q1001,"")*$G169,"")</f>
        <v/>
      </c>
      <c r="Y169" s="179" t="str">
        <f t="array" ref="Y169">IF($F169&lt;&gt;"",XLOOKUP($F169,Productos!$A:$A,Productos!R:R,"Revisar"),"")</f>
        <v/>
      </c>
      <c r="Z169" s="179" t="str">
        <f t="array" ref="Z169">IF($F169&lt;&gt;"", XLOOKUP($F169,Productos!$A$2:$A1001,Productos!S$2:S1001,"")*$G169,"")</f>
        <v/>
      </c>
      <c r="AA169" s="179" t="str">
        <f t="array" ref="AA169">IF($F169&lt;&gt;"",XLOOKUP($F169,Productos!$A:$A,Productos!T:T,"Revisar"),"")</f>
        <v/>
      </c>
      <c r="AB169" s="179" t="str">
        <f t="array" ref="AB169">IF($F169&lt;&gt;"", XLOOKUP($F169,Productos!$A$2:$A1001,Productos!U$2:U1001,"")*$G169,"")</f>
        <v/>
      </c>
      <c r="AC169" s="179" t="str">
        <f t="array" ref="AC169">IF($F169&lt;&gt;"",XLOOKUP($F169,Productos!$A:$A,Productos!V:V,"Revisar"),"")</f>
        <v/>
      </c>
      <c r="AD169" s="179" t="str">
        <f t="array" ref="AD169">IF($F169&lt;&gt;"", XLOOKUP($F169,Productos!$A$2:$A1001,Productos!W$2:W1001,"")*$G169,"")</f>
        <v/>
      </c>
      <c r="AE169" s="179" t="str">
        <f t="array" ref="AE169">IF($F169&lt;&gt;"",XLOOKUP($F169,Productos!$A:$A,Productos!X:X,"Revisar"),"")</f>
        <v/>
      </c>
      <c r="AF169" s="179" t="str">
        <f t="array" ref="AF169">IF($F169&lt;&gt;"", XLOOKUP($F169,Productos!$A$2:$A1001,Productos!Y$2:Y1001,"")*$G169,"")</f>
        <v/>
      </c>
      <c r="AG169" s="179" t="str">
        <f t="array" ref="AG169">IF($F169&lt;&gt;"",XLOOKUP($F169,Productos!$A:$A,Productos!Z:Z,"Revisar"),"")</f>
        <v/>
      </c>
      <c r="AH169" s="179" t="str">
        <f t="array" ref="AH169">IF($F169&lt;&gt;"", XLOOKUP($F169,Productos!$A$2:$A1001,Productos!AA$2:AA1001,"")*$G169,"")</f>
        <v/>
      </c>
      <c r="AI169" s="179" t="str">
        <f t="array" ref="AI169">IF($F169&lt;&gt;"",XLOOKUP($F169,Productos!$A:$A,Productos!AB:AB,"Revisar"),"")</f>
        <v/>
      </c>
      <c r="AJ169" s="179" t="str">
        <f t="array" ref="AJ169">IF($F169&lt;&gt;"", XLOOKUP($F169,Productos!$A$2:$A1001,Productos!AC$2:AC1001,"")*$G169,"")</f>
        <v/>
      </c>
      <c r="AK169" s="179" t="str">
        <f t="array" ref="AK169">IF($F169&lt;&gt;"",XLOOKUP($F169,Productos!$A:$A,Productos!AD:AD,"Revisar"),"")</f>
        <v/>
      </c>
      <c r="AL169" s="179" t="str">
        <f t="array" ref="AL169">IF($F169&lt;&gt;"", XLOOKUP($F169,Productos!$A$2:$A1001,Productos!AE$2:AE1001,"")*$G169,"")</f>
        <v/>
      </c>
      <c r="AM169" s="179" t="str">
        <f t="array" ref="AM169">IF($F169&lt;&gt;"",XLOOKUP($F169,Productos!$A:$A,Productos!AF:AF,"Revisar"),"")</f>
        <v/>
      </c>
      <c r="AN169" s="179" t="str">
        <f t="array" ref="AN169">IF($F169&lt;&gt;"", XLOOKUP($F169,Productos!$A$2:$A1001,Productos!AG$2:AG1001,"")*$G169,"")</f>
        <v/>
      </c>
      <c r="AO169" s="179" t="str">
        <f t="array" ref="AO169">IF($F169&lt;&gt;"",XLOOKUP($F169,Productos!$A:$A,Productos!AH:AH,"Revisar"),"")</f>
        <v/>
      </c>
      <c r="AP169" s="179" t="str">
        <f t="array" ref="AP169">IF($F169&lt;&gt;"", XLOOKUP($F169,Productos!$A$2:$A1001,Productos!AI$2:AI1001,"")*$G169,"")</f>
        <v/>
      </c>
      <c r="AQ169" s="179" t="str">
        <f t="array" ref="AQ169">IF($F169&lt;&gt;"",XLOOKUP($F169,Productos!$A:$A,Productos!AJ:AJ,"Revisar"),"")</f>
        <v/>
      </c>
      <c r="AR169" s="179" t="str">
        <f t="array" ref="AR169">IF($F169&lt;&gt;"", XLOOKUP($F169,Productos!$A$2:$A1001,Productos!AK$2:AK1001,"")*$G169,"")</f>
        <v/>
      </c>
      <c r="AS169" s="179" t="str">
        <f t="array" ref="AS169">IF($F169&lt;&gt;"",XLOOKUP($F169,Productos!$A:$A,Productos!AL:AL,"Revisar"),"")</f>
        <v/>
      </c>
      <c r="AT169" s="179" t="str">
        <f t="array" ref="AT169">IF($F169&lt;&gt;"", XLOOKUP($F169,Productos!$A$2:$A1001,Productos!AM$2:AM1001,"")*$G169,"")</f>
        <v/>
      </c>
      <c r="AU169" s="179" t="str">
        <f t="array" ref="AU169">IF($F169&lt;&gt;"",XLOOKUP($F169,Productos!$A:$A,Productos!AN:AN,"Revisar"),"")</f>
        <v/>
      </c>
      <c r="AV169" s="179" t="str">
        <f t="array" ref="AV169">IF($F169&lt;&gt;"", XLOOKUP($F169,Productos!$A$2:$A1001,Productos!AO$2:AO1001,"")*$G169,"")</f>
        <v/>
      </c>
      <c r="AW169" s="179" t="str">
        <f t="array" ref="AW169">IF($F169&lt;&gt;"",XLOOKUP($F169,Productos!$A:$A,Productos!AP:AP,"Revisar"),"")</f>
        <v/>
      </c>
      <c r="AX169" s="179" t="str">
        <f t="array" ref="AX169">IF($F169&lt;&gt;"", XLOOKUP($F169,Productos!$A$2:$A1001,Productos!AQ$2:AQ1001,"")*$G169,"")</f>
        <v/>
      </c>
      <c r="AY169" s="179" t="str">
        <f t="array" ref="AY169">IF($F169&lt;&gt;"",XLOOKUP($F169,Productos!$A:$A,Productos!AR:AR,"Revisar"),"")</f>
        <v/>
      </c>
      <c r="AZ169" s="179" t="str">
        <f t="array" ref="AZ169">IF($F169&lt;&gt;"", XLOOKUP($F169,Productos!$A$2:$A1001,Productos!AS$2:AS1001,"")*$G169,"")</f>
        <v/>
      </c>
      <c r="BA169" s="179" t="str">
        <f t="array" ref="BA169">IF($F169&lt;&gt;"",XLOOKUP($F169,Productos!$A:$A,Productos!AT:AT,"Revisar"),"")</f>
        <v/>
      </c>
      <c r="BB169" s="179" t="str">
        <f t="array" ref="BB169">IF($F169&lt;&gt;"", XLOOKUP($F169,Productos!$A$2:$A1001,Productos!AU$2:AU1001,"")*$G169,"")</f>
        <v/>
      </c>
      <c r="BC169" s="179" t="str">
        <f t="array" ref="BC169">IF($F169&lt;&gt;"",XLOOKUP($F169,Productos!$A:$A,Productos!AV:AV,"Revisar"),"")</f>
        <v/>
      </c>
      <c r="BD169" s="179" t="str">
        <f t="array" ref="BD169">IF($F169&lt;&gt;"", XLOOKUP($F169,Productos!$A$2:$A1001,Productos!AW$2:AW1001,"")*$G169,"")</f>
        <v/>
      </c>
      <c r="BE169" s="179" t="str">
        <f t="array" ref="BE169">IF($F169&lt;&gt;"",XLOOKUP($F169,Productos!$A:$A,Productos!AX:AX,"Revisar"),"")</f>
        <v/>
      </c>
      <c r="BF169" s="179" t="str">
        <f t="array" ref="BF169">IF($F169&lt;&gt;"", XLOOKUP($F169,Productos!$A$2:$A1001,Productos!AY$2:AY1001,"")*$G169,"")</f>
        <v/>
      </c>
      <c r="BG169" s="179" t="str">
        <f t="array" ref="BG169">IF($F169&lt;&gt;"",XLOOKUP($F169,Productos!$A:$A,Productos!AZ:AZ,"Revisar"),"")</f>
        <v/>
      </c>
      <c r="BH169" s="179" t="str">
        <f t="array" ref="BH169">IF($F169&lt;&gt;"", XLOOKUP($F169,Productos!$A$2:$A1001,Productos!BA$2:BA1001,"")*$G169,"")</f>
        <v/>
      </c>
      <c r="BI169" s="179" t="str">
        <f t="array" ref="BI169">IF($F169&lt;&gt;"",XLOOKUP($F169,Productos!$A:$A,Productos!BB:BB,"Revisar"),"")</f>
        <v/>
      </c>
      <c r="BJ169" s="179" t="str">
        <f t="array" ref="BJ169">IF($F169&lt;&gt;"", XLOOKUP($F169,Productos!$A$2:$A1001,Productos!BC$2:BC1001,"")*$G169,"")</f>
        <v/>
      </c>
      <c r="BK169" s="179" t="str">
        <f t="array" ref="BK169">IF($F169&lt;&gt;"",XLOOKUP($F169,Productos!$A:$A,Productos!BD:BD,"Revisar"),"")</f>
        <v/>
      </c>
      <c r="BL169" s="179" t="str">
        <f t="array" ref="BL169">IF($F169&lt;&gt;"", XLOOKUP($F169,Productos!$A$2:$A1001,Productos!BE$2:BE1001,"")*$G169,"")</f>
        <v/>
      </c>
      <c r="BM169" s="179" t="str">
        <f t="array" ref="BM169">IF($F169&lt;&gt;"",XLOOKUP($F169,Productos!$A:$A,Productos!BF:BF,"Revisar"),"")</f>
        <v/>
      </c>
      <c r="BN169" s="179" t="str">
        <f t="array" ref="BN169">IF($F169&lt;&gt;"", XLOOKUP($F169,Productos!$A$2:$A1001,Productos!BG$2:BG1001,"")*$G169,"")</f>
        <v/>
      </c>
      <c r="BO169" s="179" t="str">
        <f t="array" ref="BO169">IF($F169&lt;&gt;"",XLOOKUP($F169,Productos!$A:$A,Productos!BH:BH,"Revisar"),"")</f>
        <v/>
      </c>
      <c r="BP169" s="179" t="str">
        <f t="array" ref="BP169">IF($F169&lt;&gt;"", XLOOKUP($F169,Productos!$A$2:$A1001,Productos!BI$2:BI1001,"")*$G169,"")</f>
        <v/>
      </c>
      <c r="BQ169" s="179" t="str">
        <f t="array" ref="BQ169">IF($F169&lt;&gt;"",XLOOKUP($F169,Productos!$A:$A,Productos!BJ:BJ,"Revisar"),"")</f>
        <v/>
      </c>
      <c r="BR169" s="179" t="str">
        <f t="array" ref="BR169">IF($F169&lt;&gt;"", XLOOKUP($F169,Productos!$A$2:$A1001,Productos!BK$2:BK1001,"")*$G169,"")</f>
        <v/>
      </c>
      <c r="BS169" s="179" t="str">
        <f t="array" ref="BS169">IF($F169&lt;&gt;"",XLOOKUP($F169,Productos!$A:$A,Productos!BL:BL,"Revisar"),"")</f>
        <v/>
      </c>
      <c r="BT169" s="179" t="str">
        <f t="array" ref="BT169">IF($F169&lt;&gt;"", XLOOKUP($F169,Productos!$A$2:$A1001,Productos!BM$2:BM1001,"")*$G169,"")</f>
        <v/>
      </c>
      <c r="BU169" s="179" t="str">
        <f t="array" ref="BU169">IF($F169&lt;&gt;"",XLOOKUP($F169,Productos!$A:$A,Productos!BN:BN,"Revisar"),"")</f>
        <v/>
      </c>
      <c r="BV169" s="179" t="str">
        <f t="array" ref="BV169">IF($F169&lt;&gt;"", XLOOKUP($F169,Productos!$A$2:$A1001,Productos!BO$2:BO1001,"")*$G169,"")</f>
        <v/>
      </c>
      <c r="BW169" s="179" t="str">
        <f t="array" ref="BW169">IF($F169&lt;&gt;"",XLOOKUP($F169,Productos!$A:$A,Productos!BP:BP,"Revisar"),"")</f>
        <v/>
      </c>
      <c r="BX169" s="179" t="str">
        <f t="array" ref="BX169">IF($F169&lt;&gt;"", XLOOKUP($F169,Productos!$A$2:$A1001,Productos!BQ$2:BQ1001,"")*$G169,"")</f>
        <v/>
      </c>
      <c r="BY169" s="179" t="str">
        <f t="array" ref="BY169">IF($F169&lt;&gt;"",XLOOKUP($F169,Productos!$A:$A,Productos!BR:BR,"Revisar"),"")</f>
        <v/>
      </c>
      <c r="BZ169" s="179" t="str">
        <f t="array" ref="BZ169">IF($F169&lt;&gt;"", XLOOKUP($F169,Productos!$A$2:$A1001,Productos!BS$2:BS1001,"")*$G169,"")</f>
        <v/>
      </c>
    </row>
    <row r="170">
      <c r="A170" s="180"/>
      <c r="B170" s="181"/>
      <c r="C170" s="182"/>
      <c r="D170" s="182"/>
      <c r="E170" s="185"/>
      <c r="F170" s="186"/>
      <c r="G170" s="187"/>
      <c r="H170" s="186"/>
      <c r="I170" s="179" t="str">
        <f t="array" ref="I170">IF($F170&lt;&gt;"",XLOOKUP($F170,Productos!$A:$A,Productos!B:B,"Revisar"),"")</f>
        <v/>
      </c>
      <c r="J170" s="179" t="str">
        <f t="array" ref="J170">IF($F170&lt;&gt;"", XLOOKUP($F170,Productos!$A$2:$A1001,Productos!C$2:C1001,"")*$G170,"")</f>
        <v/>
      </c>
      <c r="K170" s="179" t="str">
        <f t="array" ref="K170">IF($F170&lt;&gt;"",XLOOKUP($F170,Productos!$A:$A,Productos!D:D,"Revisar"),"")</f>
        <v/>
      </c>
      <c r="L170" s="179" t="str">
        <f t="array" ref="L170">IF($F170&lt;&gt;"", XLOOKUP($F170,Productos!$A$2:$A1001,Productos!E$2:E1001,"")*$G170,"")</f>
        <v/>
      </c>
      <c r="M170" s="179" t="str">
        <f t="array" ref="M170">IF($F170&lt;&gt;"",XLOOKUP($F170,Productos!$A:$A,Productos!F:F,"Revisar"),"")</f>
        <v/>
      </c>
      <c r="N170" s="179" t="str">
        <f t="array" ref="N170">IF($F170&lt;&gt;"", XLOOKUP($F170,Productos!$A$2:$A1001,Productos!G$2:G1001,"")*$G170,"")</f>
        <v/>
      </c>
      <c r="O170" s="179" t="str">
        <f t="array" ref="O170">IF($F170&lt;&gt;"",XLOOKUP($F170,Productos!$A:$A,Productos!H:H,"Revisar"),"")</f>
        <v/>
      </c>
      <c r="P170" s="179" t="str">
        <f t="array" ref="P170">IF($F170&lt;&gt;"", XLOOKUP($F170,Productos!$A$2:$A1001,Productos!I$2:I1001,"")*$G170,"")</f>
        <v/>
      </c>
      <c r="Q170" s="179" t="str">
        <f t="array" ref="Q170">IF($F170&lt;&gt;"",XLOOKUP($F170,Productos!$A:$A,Productos!J:J,"Revisar"),"")</f>
        <v/>
      </c>
      <c r="R170" s="179" t="str">
        <f t="array" ref="R170">IF($F170&lt;&gt;"", XLOOKUP($F170,Productos!$A$2:$A1001,Productos!K$2:K1001,"")*$G170,"")</f>
        <v/>
      </c>
      <c r="S170" s="179" t="str">
        <f t="array" ref="S170">IF($F170&lt;&gt;"",XLOOKUP($F170,Productos!$A:$A,Productos!L:L,"Revisar"),"")</f>
        <v/>
      </c>
      <c r="T170" s="179" t="str">
        <f t="array" ref="T170">IF($F170&lt;&gt;"", XLOOKUP($F170,Productos!$A$2:$A1001,Productos!M$2:M1001,"")*$G170,"")</f>
        <v/>
      </c>
      <c r="U170" s="179" t="str">
        <f t="array" ref="U170">IF($F170&lt;&gt;"",XLOOKUP($F170,Productos!$A:$A,Productos!N:N,"Revisar"),"")</f>
        <v/>
      </c>
      <c r="V170" s="179" t="str">
        <f t="array" ref="V170">IF($F170&lt;&gt;"", XLOOKUP($F170,Productos!$A$2:$A1001,Productos!O$2:O1001,"")*$G170,"")</f>
        <v/>
      </c>
      <c r="W170" s="179" t="str">
        <f t="array" ref="W170">IF($F170&lt;&gt;"",XLOOKUP($F170,Productos!$A:$A,Productos!P:P,"Revisar"),"")</f>
        <v/>
      </c>
      <c r="X170" s="179" t="str">
        <f t="array" ref="X170">IF($F170&lt;&gt;"", XLOOKUP($F170,Productos!$A$2:$A1001,Productos!Q$2:Q1001,"")*$G170,"")</f>
        <v/>
      </c>
      <c r="Y170" s="179" t="str">
        <f t="array" ref="Y170">IF($F170&lt;&gt;"",XLOOKUP($F170,Productos!$A:$A,Productos!R:R,"Revisar"),"")</f>
        <v/>
      </c>
      <c r="Z170" s="179" t="str">
        <f t="array" ref="Z170">IF($F170&lt;&gt;"", XLOOKUP($F170,Productos!$A$2:$A1001,Productos!S$2:S1001,"")*$G170,"")</f>
        <v/>
      </c>
      <c r="AA170" s="179" t="str">
        <f t="array" ref="AA170">IF($F170&lt;&gt;"",XLOOKUP($F170,Productos!$A:$A,Productos!T:T,"Revisar"),"")</f>
        <v/>
      </c>
      <c r="AB170" s="179" t="str">
        <f t="array" ref="AB170">IF($F170&lt;&gt;"", XLOOKUP($F170,Productos!$A$2:$A1001,Productos!U$2:U1001,"")*$G170,"")</f>
        <v/>
      </c>
      <c r="AC170" s="179" t="str">
        <f t="array" ref="AC170">IF($F170&lt;&gt;"",XLOOKUP($F170,Productos!$A:$A,Productos!V:V,"Revisar"),"")</f>
        <v/>
      </c>
      <c r="AD170" s="179" t="str">
        <f t="array" ref="AD170">IF($F170&lt;&gt;"", XLOOKUP($F170,Productos!$A$2:$A1001,Productos!W$2:W1001,"")*$G170,"")</f>
        <v/>
      </c>
      <c r="AE170" s="179" t="str">
        <f t="array" ref="AE170">IF($F170&lt;&gt;"",XLOOKUP($F170,Productos!$A:$A,Productos!X:X,"Revisar"),"")</f>
        <v/>
      </c>
      <c r="AF170" s="179" t="str">
        <f t="array" ref="AF170">IF($F170&lt;&gt;"", XLOOKUP($F170,Productos!$A$2:$A1001,Productos!Y$2:Y1001,"")*$G170,"")</f>
        <v/>
      </c>
      <c r="AG170" s="179" t="str">
        <f t="array" ref="AG170">IF($F170&lt;&gt;"",XLOOKUP($F170,Productos!$A:$A,Productos!Z:Z,"Revisar"),"")</f>
        <v/>
      </c>
      <c r="AH170" s="179" t="str">
        <f t="array" ref="AH170">IF($F170&lt;&gt;"", XLOOKUP($F170,Productos!$A$2:$A1001,Productos!AA$2:AA1001,"")*$G170,"")</f>
        <v/>
      </c>
      <c r="AI170" s="179" t="str">
        <f t="array" ref="AI170">IF($F170&lt;&gt;"",XLOOKUP($F170,Productos!$A:$A,Productos!AB:AB,"Revisar"),"")</f>
        <v/>
      </c>
      <c r="AJ170" s="179" t="str">
        <f t="array" ref="AJ170">IF($F170&lt;&gt;"", XLOOKUP($F170,Productos!$A$2:$A1001,Productos!AC$2:AC1001,"")*$G170,"")</f>
        <v/>
      </c>
      <c r="AK170" s="179" t="str">
        <f t="array" ref="AK170">IF($F170&lt;&gt;"",XLOOKUP($F170,Productos!$A:$A,Productos!AD:AD,"Revisar"),"")</f>
        <v/>
      </c>
      <c r="AL170" s="179" t="str">
        <f t="array" ref="AL170">IF($F170&lt;&gt;"", XLOOKUP($F170,Productos!$A$2:$A1001,Productos!AE$2:AE1001,"")*$G170,"")</f>
        <v/>
      </c>
      <c r="AM170" s="179" t="str">
        <f t="array" ref="AM170">IF($F170&lt;&gt;"",XLOOKUP($F170,Productos!$A:$A,Productos!AF:AF,"Revisar"),"")</f>
        <v/>
      </c>
      <c r="AN170" s="179" t="str">
        <f t="array" ref="AN170">IF($F170&lt;&gt;"", XLOOKUP($F170,Productos!$A$2:$A1001,Productos!AG$2:AG1001,"")*$G170,"")</f>
        <v/>
      </c>
      <c r="AO170" s="179" t="str">
        <f t="array" ref="AO170">IF($F170&lt;&gt;"",XLOOKUP($F170,Productos!$A:$A,Productos!AH:AH,"Revisar"),"")</f>
        <v/>
      </c>
      <c r="AP170" s="179" t="str">
        <f t="array" ref="AP170">IF($F170&lt;&gt;"", XLOOKUP($F170,Productos!$A$2:$A1001,Productos!AI$2:AI1001,"")*$G170,"")</f>
        <v/>
      </c>
      <c r="AQ170" s="179" t="str">
        <f t="array" ref="AQ170">IF($F170&lt;&gt;"",XLOOKUP($F170,Productos!$A:$A,Productos!AJ:AJ,"Revisar"),"")</f>
        <v/>
      </c>
      <c r="AR170" s="179" t="str">
        <f t="array" ref="AR170">IF($F170&lt;&gt;"", XLOOKUP($F170,Productos!$A$2:$A1001,Productos!AK$2:AK1001,"")*$G170,"")</f>
        <v/>
      </c>
      <c r="AS170" s="179" t="str">
        <f t="array" ref="AS170">IF($F170&lt;&gt;"",XLOOKUP($F170,Productos!$A:$A,Productos!AL:AL,"Revisar"),"")</f>
        <v/>
      </c>
      <c r="AT170" s="179" t="str">
        <f t="array" ref="AT170">IF($F170&lt;&gt;"", XLOOKUP($F170,Productos!$A$2:$A1001,Productos!AM$2:AM1001,"")*$G170,"")</f>
        <v/>
      </c>
      <c r="AU170" s="179" t="str">
        <f t="array" ref="AU170">IF($F170&lt;&gt;"",XLOOKUP($F170,Productos!$A:$A,Productos!AN:AN,"Revisar"),"")</f>
        <v/>
      </c>
      <c r="AV170" s="179" t="str">
        <f t="array" ref="AV170">IF($F170&lt;&gt;"", XLOOKUP($F170,Productos!$A$2:$A1001,Productos!AO$2:AO1001,"")*$G170,"")</f>
        <v/>
      </c>
      <c r="AW170" s="179" t="str">
        <f t="array" ref="AW170">IF($F170&lt;&gt;"",XLOOKUP($F170,Productos!$A:$A,Productos!AP:AP,"Revisar"),"")</f>
        <v/>
      </c>
      <c r="AX170" s="179" t="str">
        <f t="array" ref="AX170">IF($F170&lt;&gt;"", XLOOKUP($F170,Productos!$A$2:$A1001,Productos!AQ$2:AQ1001,"")*$G170,"")</f>
        <v/>
      </c>
      <c r="AY170" s="179" t="str">
        <f t="array" ref="AY170">IF($F170&lt;&gt;"",XLOOKUP($F170,Productos!$A:$A,Productos!AR:AR,"Revisar"),"")</f>
        <v/>
      </c>
      <c r="AZ170" s="179" t="str">
        <f t="array" ref="AZ170">IF($F170&lt;&gt;"", XLOOKUP($F170,Productos!$A$2:$A1001,Productos!AS$2:AS1001,"")*$G170,"")</f>
        <v/>
      </c>
      <c r="BA170" s="179" t="str">
        <f t="array" ref="BA170">IF($F170&lt;&gt;"",XLOOKUP($F170,Productos!$A:$A,Productos!AT:AT,"Revisar"),"")</f>
        <v/>
      </c>
      <c r="BB170" s="179" t="str">
        <f t="array" ref="BB170">IF($F170&lt;&gt;"", XLOOKUP($F170,Productos!$A$2:$A1001,Productos!AU$2:AU1001,"")*$G170,"")</f>
        <v/>
      </c>
      <c r="BC170" s="179" t="str">
        <f t="array" ref="BC170">IF($F170&lt;&gt;"",XLOOKUP($F170,Productos!$A:$A,Productos!AV:AV,"Revisar"),"")</f>
        <v/>
      </c>
      <c r="BD170" s="179" t="str">
        <f t="array" ref="BD170">IF($F170&lt;&gt;"", XLOOKUP($F170,Productos!$A$2:$A1001,Productos!AW$2:AW1001,"")*$G170,"")</f>
        <v/>
      </c>
      <c r="BE170" s="179" t="str">
        <f t="array" ref="BE170">IF($F170&lt;&gt;"",XLOOKUP($F170,Productos!$A:$A,Productos!AX:AX,"Revisar"),"")</f>
        <v/>
      </c>
      <c r="BF170" s="179" t="str">
        <f t="array" ref="BF170">IF($F170&lt;&gt;"", XLOOKUP($F170,Productos!$A$2:$A1001,Productos!AY$2:AY1001,"")*$G170,"")</f>
        <v/>
      </c>
      <c r="BG170" s="179" t="str">
        <f t="array" ref="BG170">IF($F170&lt;&gt;"",XLOOKUP($F170,Productos!$A:$A,Productos!AZ:AZ,"Revisar"),"")</f>
        <v/>
      </c>
      <c r="BH170" s="179" t="str">
        <f t="array" ref="BH170">IF($F170&lt;&gt;"", XLOOKUP($F170,Productos!$A$2:$A1001,Productos!BA$2:BA1001,"")*$G170,"")</f>
        <v/>
      </c>
      <c r="BI170" s="179" t="str">
        <f t="array" ref="BI170">IF($F170&lt;&gt;"",XLOOKUP($F170,Productos!$A:$A,Productos!BB:BB,"Revisar"),"")</f>
        <v/>
      </c>
      <c r="BJ170" s="179" t="str">
        <f t="array" ref="BJ170">IF($F170&lt;&gt;"", XLOOKUP($F170,Productos!$A$2:$A1001,Productos!BC$2:BC1001,"")*$G170,"")</f>
        <v/>
      </c>
      <c r="BK170" s="179" t="str">
        <f t="array" ref="BK170">IF($F170&lt;&gt;"",XLOOKUP($F170,Productos!$A:$A,Productos!BD:BD,"Revisar"),"")</f>
        <v/>
      </c>
      <c r="BL170" s="179" t="str">
        <f t="array" ref="BL170">IF($F170&lt;&gt;"", XLOOKUP($F170,Productos!$A$2:$A1001,Productos!BE$2:BE1001,"")*$G170,"")</f>
        <v/>
      </c>
      <c r="BM170" s="179" t="str">
        <f t="array" ref="BM170">IF($F170&lt;&gt;"",XLOOKUP($F170,Productos!$A:$A,Productos!BF:BF,"Revisar"),"")</f>
        <v/>
      </c>
      <c r="BN170" s="179" t="str">
        <f t="array" ref="BN170">IF($F170&lt;&gt;"", XLOOKUP($F170,Productos!$A$2:$A1001,Productos!BG$2:BG1001,"")*$G170,"")</f>
        <v/>
      </c>
      <c r="BO170" s="179" t="str">
        <f t="array" ref="BO170">IF($F170&lt;&gt;"",XLOOKUP($F170,Productos!$A:$A,Productos!BH:BH,"Revisar"),"")</f>
        <v/>
      </c>
      <c r="BP170" s="179" t="str">
        <f t="array" ref="BP170">IF($F170&lt;&gt;"", XLOOKUP($F170,Productos!$A$2:$A1001,Productos!BI$2:BI1001,"")*$G170,"")</f>
        <v/>
      </c>
      <c r="BQ170" s="179" t="str">
        <f t="array" ref="BQ170">IF($F170&lt;&gt;"",XLOOKUP($F170,Productos!$A:$A,Productos!BJ:BJ,"Revisar"),"")</f>
        <v/>
      </c>
      <c r="BR170" s="179" t="str">
        <f t="array" ref="BR170">IF($F170&lt;&gt;"", XLOOKUP($F170,Productos!$A$2:$A1001,Productos!BK$2:BK1001,"")*$G170,"")</f>
        <v/>
      </c>
      <c r="BS170" s="179" t="str">
        <f t="array" ref="BS170">IF($F170&lt;&gt;"",XLOOKUP($F170,Productos!$A:$A,Productos!BL:BL,"Revisar"),"")</f>
        <v/>
      </c>
      <c r="BT170" s="179" t="str">
        <f t="array" ref="BT170">IF($F170&lt;&gt;"", XLOOKUP($F170,Productos!$A$2:$A1001,Productos!BM$2:BM1001,"")*$G170,"")</f>
        <v/>
      </c>
      <c r="BU170" s="179" t="str">
        <f t="array" ref="BU170">IF($F170&lt;&gt;"",XLOOKUP($F170,Productos!$A:$A,Productos!BN:BN,"Revisar"),"")</f>
        <v/>
      </c>
      <c r="BV170" s="179" t="str">
        <f t="array" ref="BV170">IF($F170&lt;&gt;"", XLOOKUP($F170,Productos!$A$2:$A1001,Productos!BO$2:BO1001,"")*$G170,"")</f>
        <v/>
      </c>
      <c r="BW170" s="179" t="str">
        <f t="array" ref="BW170">IF($F170&lt;&gt;"",XLOOKUP($F170,Productos!$A:$A,Productos!BP:BP,"Revisar"),"")</f>
        <v/>
      </c>
      <c r="BX170" s="179" t="str">
        <f t="array" ref="BX170">IF($F170&lt;&gt;"", XLOOKUP($F170,Productos!$A$2:$A1001,Productos!BQ$2:BQ1001,"")*$G170,"")</f>
        <v/>
      </c>
      <c r="BY170" s="179" t="str">
        <f t="array" ref="BY170">IF($F170&lt;&gt;"",XLOOKUP($F170,Productos!$A:$A,Productos!BR:BR,"Revisar"),"")</f>
        <v/>
      </c>
      <c r="BZ170" s="179" t="str">
        <f t="array" ref="BZ170">IF($F170&lt;&gt;"", XLOOKUP($F170,Productos!$A$2:$A1001,Productos!BS$2:BS1001,"")*$G170,"")</f>
        <v/>
      </c>
    </row>
    <row r="171">
      <c r="A171" s="180"/>
      <c r="B171" s="181"/>
      <c r="C171" s="182"/>
      <c r="D171" s="182"/>
      <c r="E171" s="185"/>
      <c r="F171" s="186"/>
      <c r="G171" s="187"/>
      <c r="H171" s="186"/>
      <c r="I171" s="179" t="str">
        <f t="array" ref="I171">IF($F171&lt;&gt;"",XLOOKUP($F171,Productos!$A:$A,Productos!B:B,"Revisar"),"")</f>
        <v/>
      </c>
      <c r="J171" s="179" t="str">
        <f t="array" ref="J171">IF($F171&lt;&gt;"", XLOOKUP($F171,Productos!$A$2:$A1001,Productos!C$2:C1001,"")*$G171,"")</f>
        <v/>
      </c>
      <c r="K171" s="179" t="str">
        <f t="array" ref="K171">IF($F171&lt;&gt;"",XLOOKUP($F171,Productos!$A:$A,Productos!D:D,"Revisar"),"")</f>
        <v/>
      </c>
      <c r="L171" s="179" t="str">
        <f t="array" ref="L171">IF($F171&lt;&gt;"", XLOOKUP($F171,Productos!$A$2:$A1001,Productos!E$2:E1001,"")*$G171,"")</f>
        <v/>
      </c>
      <c r="M171" s="179" t="str">
        <f t="array" ref="M171">IF($F171&lt;&gt;"",XLOOKUP($F171,Productos!$A:$A,Productos!F:F,"Revisar"),"")</f>
        <v/>
      </c>
      <c r="N171" s="179" t="str">
        <f t="array" ref="N171">IF($F171&lt;&gt;"", XLOOKUP($F171,Productos!$A$2:$A1001,Productos!G$2:G1001,"")*$G171,"")</f>
        <v/>
      </c>
      <c r="O171" s="179" t="str">
        <f t="array" ref="O171">IF($F171&lt;&gt;"",XLOOKUP($F171,Productos!$A:$A,Productos!H:H,"Revisar"),"")</f>
        <v/>
      </c>
      <c r="P171" s="179" t="str">
        <f t="array" ref="P171">IF($F171&lt;&gt;"", XLOOKUP($F171,Productos!$A$2:$A1001,Productos!I$2:I1001,"")*$G171,"")</f>
        <v/>
      </c>
      <c r="Q171" s="179" t="str">
        <f t="array" ref="Q171">IF($F171&lt;&gt;"",XLOOKUP($F171,Productos!$A:$A,Productos!J:J,"Revisar"),"")</f>
        <v/>
      </c>
      <c r="R171" s="179" t="str">
        <f t="array" ref="R171">IF($F171&lt;&gt;"", XLOOKUP($F171,Productos!$A$2:$A1001,Productos!K$2:K1001,"")*$G171,"")</f>
        <v/>
      </c>
      <c r="S171" s="179" t="str">
        <f t="array" ref="S171">IF($F171&lt;&gt;"",XLOOKUP($F171,Productos!$A:$A,Productos!L:L,"Revisar"),"")</f>
        <v/>
      </c>
      <c r="T171" s="179" t="str">
        <f t="array" ref="T171">IF($F171&lt;&gt;"", XLOOKUP($F171,Productos!$A$2:$A1001,Productos!M$2:M1001,"")*$G171,"")</f>
        <v/>
      </c>
      <c r="U171" s="179" t="str">
        <f t="array" ref="U171">IF($F171&lt;&gt;"",XLOOKUP($F171,Productos!$A:$A,Productos!N:N,"Revisar"),"")</f>
        <v/>
      </c>
      <c r="V171" s="179" t="str">
        <f t="array" ref="V171">IF($F171&lt;&gt;"", XLOOKUP($F171,Productos!$A$2:$A1001,Productos!O$2:O1001,"")*$G171,"")</f>
        <v/>
      </c>
      <c r="W171" s="179" t="str">
        <f t="array" ref="W171">IF($F171&lt;&gt;"",XLOOKUP($F171,Productos!$A:$A,Productos!P:P,"Revisar"),"")</f>
        <v/>
      </c>
      <c r="X171" s="179" t="str">
        <f t="array" ref="X171">IF($F171&lt;&gt;"", XLOOKUP($F171,Productos!$A$2:$A1001,Productos!Q$2:Q1001,"")*$G171,"")</f>
        <v/>
      </c>
      <c r="Y171" s="179" t="str">
        <f t="array" ref="Y171">IF($F171&lt;&gt;"",XLOOKUP($F171,Productos!$A:$A,Productos!R:R,"Revisar"),"")</f>
        <v/>
      </c>
      <c r="Z171" s="179" t="str">
        <f t="array" ref="Z171">IF($F171&lt;&gt;"", XLOOKUP($F171,Productos!$A$2:$A1001,Productos!S$2:S1001,"")*$G171,"")</f>
        <v/>
      </c>
      <c r="AA171" s="179" t="str">
        <f t="array" ref="AA171">IF($F171&lt;&gt;"",XLOOKUP($F171,Productos!$A:$A,Productos!T:T,"Revisar"),"")</f>
        <v/>
      </c>
      <c r="AB171" s="179" t="str">
        <f t="array" ref="AB171">IF($F171&lt;&gt;"", XLOOKUP($F171,Productos!$A$2:$A1001,Productos!U$2:U1001,"")*$G171,"")</f>
        <v/>
      </c>
      <c r="AC171" s="179" t="str">
        <f t="array" ref="AC171">IF($F171&lt;&gt;"",XLOOKUP($F171,Productos!$A:$A,Productos!V:V,"Revisar"),"")</f>
        <v/>
      </c>
      <c r="AD171" s="179" t="str">
        <f t="array" ref="AD171">IF($F171&lt;&gt;"", XLOOKUP($F171,Productos!$A$2:$A1001,Productos!W$2:W1001,"")*$G171,"")</f>
        <v/>
      </c>
      <c r="AE171" s="179" t="str">
        <f t="array" ref="AE171">IF($F171&lt;&gt;"",XLOOKUP($F171,Productos!$A:$A,Productos!X:X,"Revisar"),"")</f>
        <v/>
      </c>
      <c r="AF171" s="179" t="str">
        <f t="array" ref="AF171">IF($F171&lt;&gt;"", XLOOKUP($F171,Productos!$A$2:$A1001,Productos!Y$2:Y1001,"")*$G171,"")</f>
        <v/>
      </c>
      <c r="AG171" s="179" t="str">
        <f t="array" ref="AG171">IF($F171&lt;&gt;"",XLOOKUP($F171,Productos!$A:$A,Productos!Z:Z,"Revisar"),"")</f>
        <v/>
      </c>
      <c r="AH171" s="179" t="str">
        <f t="array" ref="AH171">IF($F171&lt;&gt;"", XLOOKUP($F171,Productos!$A$2:$A1001,Productos!AA$2:AA1001,"")*$G171,"")</f>
        <v/>
      </c>
      <c r="AI171" s="179" t="str">
        <f t="array" ref="AI171">IF($F171&lt;&gt;"",XLOOKUP($F171,Productos!$A:$A,Productos!AB:AB,"Revisar"),"")</f>
        <v/>
      </c>
      <c r="AJ171" s="179" t="str">
        <f t="array" ref="AJ171">IF($F171&lt;&gt;"", XLOOKUP($F171,Productos!$A$2:$A1001,Productos!AC$2:AC1001,"")*$G171,"")</f>
        <v/>
      </c>
      <c r="AK171" s="179" t="str">
        <f t="array" ref="AK171">IF($F171&lt;&gt;"",XLOOKUP($F171,Productos!$A:$A,Productos!AD:AD,"Revisar"),"")</f>
        <v/>
      </c>
      <c r="AL171" s="179" t="str">
        <f t="array" ref="AL171">IF($F171&lt;&gt;"", XLOOKUP($F171,Productos!$A$2:$A1001,Productos!AE$2:AE1001,"")*$G171,"")</f>
        <v/>
      </c>
      <c r="AM171" s="179" t="str">
        <f t="array" ref="AM171">IF($F171&lt;&gt;"",XLOOKUP($F171,Productos!$A:$A,Productos!AF:AF,"Revisar"),"")</f>
        <v/>
      </c>
      <c r="AN171" s="179" t="str">
        <f t="array" ref="AN171">IF($F171&lt;&gt;"", XLOOKUP($F171,Productos!$A$2:$A1001,Productos!AG$2:AG1001,"")*$G171,"")</f>
        <v/>
      </c>
      <c r="AO171" s="179" t="str">
        <f t="array" ref="AO171">IF($F171&lt;&gt;"",XLOOKUP($F171,Productos!$A:$A,Productos!AH:AH,"Revisar"),"")</f>
        <v/>
      </c>
      <c r="AP171" s="179" t="str">
        <f t="array" ref="AP171">IF($F171&lt;&gt;"", XLOOKUP($F171,Productos!$A$2:$A1001,Productos!AI$2:AI1001,"")*$G171,"")</f>
        <v/>
      </c>
      <c r="AQ171" s="179" t="str">
        <f t="array" ref="AQ171">IF($F171&lt;&gt;"",XLOOKUP($F171,Productos!$A:$A,Productos!AJ:AJ,"Revisar"),"")</f>
        <v/>
      </c>
      <c r="AR171" s="179" t="str">
        <f t="array" ref="AR171">IF($F171&lt;&gt;"", XLOOKUP($F171,Productos!$A$2:$A1001,Productos!AK$2:AK1001,"")*$G171,"")</f>
        <v/>
      </c>
      <c r="AS171" s="179" t="str">
        <f t="array" ref="AS171">IF($F171&lt;&gt;"",XLOOKUP($F171,Productos!$A:$A,Productos!AL:AL,"Revisar"),"")</f>
        <v/>
      </c>
      <c r="AT171" s="179" t="str">
        <f t="array" ref="AT171">IF($F171&lt;&gt;"", XLOOKUP($F171,Productos!$A$2:$A1001,Productos!AM$2:AM1001,"")*$G171,"")</f>
        <v/>
      </c>
      <c r="AU171" s="179" t="str">
        <f t="array" ref="AU171">IF($F171&lt;&gt;"",XLOOKUP($F171,Productos!$A:$A,Productos!AN:AN,"Revisar"),"")</f>
        <v/>
      </c>
      <c r="AV171" s="179" t="str">
        <f t="array" ref="AV171">IF($F171&lt;&gt;"", XLOOKUP($F171,Productos!$A$2:$A1001,Productos!AO$2:AO1001,"")*$G171,"")</f>
        <v/>
      </c>
      <c r="AW171" s="179" t="str">
        <f t="array" ref="AW171">IF($F171&lt;&gt;"",XLOOKUP($F171,Productos!$A:$A,Productos!AP:AP,"Revisar"),"")</f>
        <v/>
      </c>
      <c r="AX171" s="179" t="str">
        <f t="array" ref="AX171">IF($F171&lt;&gt;"", XLOOKUP($F171,Productos!$A$2:$A1001,Productos!AQ$2:AQ1001,"")*$G171,"")</f>
        <v/>
      </c>
      <c r="AY171" s="179" t="str">
        <f t="array" ref="AY171">IF($F171&lt;&gt;"",XLOOKUP($F171,Productos!$A:$A,Productos!AR:AR,"Revisar"),"")</f>
        <v/>
      </c>
      <c r="AZ171" s="179" t="str">
        <f t="array" ref="AZ171">IF($F171&lt;&gt;"", XLOOKUP($F171,Productos!$A$2:$A1001,Productos!AS$2:AS1001,"")*$G171,"")</f>
        <v/>
      </c>
      <c r="BA171" s="179" t="str">
        <f t="array" ref="BA171">IF($F171&lt;&gt;"",XLOOKUP($F171,Productos!$A:$A,Productos!AT:AT,"Revisar"),"")</f>
        <v/>
      </c>
      <c r="BB171" s="179" t="str">
        <f t="array" ref="BB171">IF($F171&lt;&gt;"", XLOOKUP($F171,Productos!$A$2:$A1001,Productos!AU$2:AU1001,"")*$G171,"")</f>
        <v/>
      </c>
      <c r="BC171" s="179" t="str">
        <f t="array" ref="BC171">IF($F171&lt;&gt;"",XLOOKUP($F171,Productos!$A:$A,Productos!AV:AV,"Revisar"),"")</f>
        <v/>
      </c>
      <c r="BD171" s="179" t="str">
        <f t="array" ref="BD171">IF($F171&lt;&gt;"", XLOOKUP($F171,Productos!$A$2:$A1001,Productos!AW$2:AW1001,"")*$G171,"")</f>
        <v/>
      </c>
      <c r="BE171" s="179" t="str">
        <f t="array" ref="BE171">IF($F171&lt;&gt;"",XLOOKUP($F171,Productos!$A:$A,Productos!AX:AX,"Revisar"),"")</f>
        <v/>
      </c>
      <c r="BF171" s="179" t="str">
        <f t="array" ref="BF171">IF($F171&lt;&gt;"", XLOOKUP($F171,Productos!$A$2:$A1001,Productos!AY$2:AY1001,"")*$G171,"")</f>
        <v/>
      </c>
      <c r="BG171" s="179" t="str">
        <f t="array" ref="BG171">IF($F171&lt;&gt;"",XLOOKUP($F171,Productos!$A:$A,Productos!AZ:AZ,"Revisar"),"")</f>
        <v/>
      </c>
      <c r="BH171" s="179" t="str">
        <f t="array" ref="BH171">IF($F171&lt;&gt;"", XLOOKUP($F171,Productos!$A$2:$A1001,Productos!BA$2:BA1001,"")*$G171,"")</f>
        <v/>
      </c>
      <c r="BI171" s="179" t="str">
        <f t="array" ref="BI171">IF($F171&lt;&gt;"",XLOOKUP($F171,Productos!$A:$A,Productos!BB:BB,"Revisar"),"")</f>
        <v/>
      </c>
      <c r="BJ171" s="179" t="str">
        <f t="array" ref="BJ171">IF($F171&lt;&gt;"", XLOOKUP($F171,Productos!$A$2:$A1001,Productos!BC$2:BC1001,"")*$G171,"")</f>
        <v/>
      </c>
      <c r="BK171" s="179" t="str">
        <f t="array" ref="BK171">IF($F171&lt;&gt;"",XLOOKUP($F171,Productos!$A:$A,Productos!BD:BD,"Revisar"),"")</f>
        <v/>
      </c>
      <c r="BL171" s="179" t="str">
        <f t="array" ref="BL171">IF($F171&lt;&gt;"", XLOOKUP($F171,Productos!$A$2:$A1001,Productos!BE$2:BE1001,"")*$G171,"")</f>
        <v/>
      </c>
      <c r="BM171" s="179" t="str">
        <f t="array" ref="BM171">IF($F171&lt;&gt;"",XLOOKUP($F171,Productos!$A:$A,Productos!BF:BF,"Revisar"),"")</f>
        <v/>
      </c>
      <c r="BN171" s="179" t="str">
        <f t="array" ref="BN171">IF($F171&lt;&gt;"", XLOOKUP($F171,Productos!$A$2:$A1001,Productos!BG$2:BG1001,"")*$G171,"")</f>
        <v/>
      </c>
      <c r="BO171" s="179" t="str">
        <f t="array" ref="BO171">IF($F171&lt;&gt;"",XLOOKUP($F171,Productos!$A:$A,Productos!BH:BH,"Revisar"),"")</f>
        <v/>
      </c>
      <c r="BP171" s="179" t="str">
        <f t="array" ref="BP171">IF($F171&lt;&gt;"", XLOOKUP($F171,Productos!$A$2:$A1001,Productos!BI$2:BI1001,"")*$G171,"")</f>
        <v/>
      </c>
      <c r="BQ171" s="179" t="str">
        <f t="array" ref="BQ171">IF($F171&lt;&gt;"",XLOOKUP($F171,Productos!$A:$A,Productos!BJ:BJ,"Revisar"),"")</f>
        <v/>
      </c>
      <c r="BR171" s="179" t="str">
        <f t="array" ref="BR171">IF($F171&lt;&gt;"", XLOOKUP($F171,Productos!$A$2:$A1001,Productos!BK$2:BK1001,"")*$G171,"")</f>
        <v/>
      </c>
      <c r="BS171" s="179" t="str">
        <f t="array" ref="BS171">IF($F171&lt;&gt;"",XLOOKUP($F171,Productos!$A:$A,Productos!BL:BL,"Revisar"),"")</f>
        <v/>
      </c>
      <c r="BT171" s="179" t="str">
        <f t="array" ref="BT171">IF($F171&lt;&gt;"", XLOOKUP($F171,Productos!$A$2:$A1001,Productos!BM$2:BM1001,"")*$G171,"")</f>
        <v/>
      </c>
      <c r="BU171" s="179" t="str">
        <f t="array" ref="BU171">IF($F171&lt;&gt;"",XLOOKUP($F171,Productos!$A:$A,Productos!BN:BN,"Revisar"),"")</f>
        <v/>
      </c>
      <c r="BV171" s="179" t="str">
        <f t="array" ref="BV171">IF($F171&lt;&gt;"", XLOOKUP($F171,Productos!$A$2:$A1001,Productos!BO$2:BO1001,"")*$G171,"")</f>
        <v/>
      </c>
      <c r="BW171" s="179" t="str">
        <f t="array" ref="BW171">IF($F171&lt;&gt;"",XLOOKUP($F171,Productos!$A:$A,Productos!BP:BP,"Revisar"),"")</f>
        <v/>
      </c>
      <c r="BX171" s="179" t="str">
        <f t="array" ref="BX171">IF($F171&lt;&gt;"", XLOOKUP($F171,Productos!$A$2:$A1001,Productos!BQ$2:BQ1001,"")*$G171,"")</f>
        <v/>
      </c>
      <c r="BY171" s="179" t="str">
        <f t="array" ref="BY171">IF($F171&lt;&gt;"",XLOOKUP($F171,Productos!$A:$A,Productos!BR:BR,"Revisar"),"")</f>
        <v/>
      </c>
      <c r="BZ171" s="179" t="str">
        <f t="array" ref="BZ171">IF($F171&lt;&gt;"", XLOOKUP($F171,Productos!$A$2:$A1001,Productos!BS$2:BS1001,"")*$G171,"")</f>
        <v/>
      </c>
    </row>
    <row r="172">
      <c r="A172" s="180"/>
      <c r="B172" s="181"/>
      <c r="C172" s="182"/>
      <c r="D172" s="182"/>
      <c r="E172" s="185"/>
      <c r="F172" s="186"/>
      <c r="G172" s="187"/>
      <c r="H172" s="186"/>
      <c r="I172" s="179" t="str">
        <f t="array" ref="I172">IF($F172&lt;&gt;"",XLOOKUP($F172,Productos!$A:$A,Productos!B:B,"Revisar"),"")</f>
        <v/>
      </c>
      <c r="J172" s="179" t="str">
        <f t="array" ref="J172">IF($F172&lt;&gt;"", XLOOKUP($F172,Productos!$A$2:$A1001,Productos!C$2:C1001,"")*$G172,"")</f>
        <v/>
      </c>
      <c r="K172" s="179" t="str">
        <f t="array" ref="K172">IF($F172&lt;&gt;"",XLOOKUP($F172,Productos!$A:$A,Productos!D:D,"Revisar"),"")</f>
        <v/>
      </c>
      <c r="L172" s="179" t="str">
        <f t="array" ref="L172">IF($F172&lt;&gt;"", XLOOKUP($F172,Productos!$A$2:$A1001,Productos!E$2:E1001,"")*$G172,"")</f>
        <v/>
      </c>
      <c r="M172" s="179" t="str">
        <f t="array" ref="M172">IF($F172&lt;&gt;"",XLOOKUP($F172,Productos!$A:$A,Productos!F:F,"Revisar"),"")</f>
        <v/>
      </c>
      <c r="N172" s="179" t="str">
        <f t="array" ref="N172">IF($F172&lt;&gt;"", XLOOKUP($F172,Productos!$A$2:$A1001,Productos!G$2:G1001,"")*$G172,"")</f>
        <v/>
      </c>
      <c r="O172" s="179" t="str">
        <f t="array" ref="O172">IF($F172&lt;&gt;"",XLOOKUP($F172,Productos!$A:$A,Productos!H:H,"Revisar"),"")</f>
        <v/>
      </c>
      <c r="P172" s="179" t="str">
        <f t="array" ref="P172">IF($F172&lt;&gt;"", XLOOKUP($F172,Productos!$A$2:$A1001,Productos!I$2:I1001,"")*$G172,"")</f>
        <v/>
      </c>
      <c r="Q172" s="179" t="str">
        <f t="array" ref="Q172">IF($F172&lt;&gt;"",XLOOKUP($F172,Productos!$A:$A,Productos!J:J,"Revisar"),"")</f>
        <v/>
      </c>
      <c r="R172" s="179" t="str">
        <f t="array" ref="R172">IF($F172&lt;&gt;"", XLOOKUP($F172,Productos!$A$2:$A1001,Productos!K$2:K1001,"")*$G172,"")</f>
        <v/>
      </c>
      <c r="S172" s="179" t="str">
        <f t="array" ref="S172">IF($F172&lt;&gt;"",XLOOKUP($F172,Productos!$A:$A,Productos!L:L,"Revisar"),"")</f>
        <v/>
      </c>
      <c r="T172" s="179" t="str">
        <f t="array" ref="T172">IF($F172&lt;&gt;"", XLOOKUP($F172,Productos!$A$2:$A1001,Productos!M$2:M1001,"")*$G172,"")</f>
        <v/>
      </c>
      <c r="U172" s="179" t="str">
        <f t="array" ref="U172">IF($F172&lt;&gt;"",XLOOKUP($F172,Productos!$A:$A,Productos!N:N,"Revisar"),"")</f>
        <v/>
      </c>
      <c r="V172" s="179" t="str">
        <f t="array" ref="V172">IF($F172&lt;&gt;"", XLOOKUP($F172,Productos!$A$2:$A1001,Productos!O$2:O1001,"")*$G172,"")</f>
        <v/>
      </c>
      <c r="W172" s="179" t="str">
        <f t="array" ref="W172">IF($F172&lt;&gt;"",XLOOKUP($F172,Productos!$A:$A,Productos!P:P,"Revisar"),"")</f>
        <v/>
      </c>
      <c r="X172" s="179" t="str">
        <f t="array" ref="X172">IF($F172&lt;&gt;"", XLOOKUP($F172,Productos!$A$2:$A1001,Productos!Q$2:Q1001,"")*$G172,"")</f>
        <v/>
      </c>
      <c r="Y172" s="179" t="str">
        <f t="array" ref="Y172">IF($F172&lt;&gt;"",XLOOKUP($F172,Productos!$A:$A,Productos!R:R,"Revisar"),"")</f>
        <v/>
      </c>
      <c r="Z172" s="179" t="str">
        <f t="array" ref="Z172">IF($F172&lt;&gt;"", XLOOKUP($F172,Productos!$A$2:$A1001,Productos!S$2:S1001,"")*$G172,"")</f>
        <v/>
      </c>
      <c r="AA172" s="179" t="str">
        <f t="array" ref="AA172">IF($F172&lt;&gt;"",XLOOKUP($F172,Productos!$A:$A,Productos!T:T,"Revisar"),"")</f>
        <v/>
      </c>
      <c r="AB172" s="179" t="str">
        <f t="array" ref="AB172">IF($F172&lt;&gt;"", XLOOKUP($F172,Productos!$A$2:$A1001,Productos!U$2:U1001,"")*$G172,"")</f>
        <v/>
      </c>
      <c r="AC172" s="179" t="str">
        <f t="array" ref="AC172">IF($F172&lt;&gt;"",XLOOKUP($F172,Productos!$A:$A,Productos!V:V,"Revisar"),"")</f>
        <v/>
      </c>
      <c r="AD172" s="179" t="str">
        <f t="array" ref="AD172">IF($F172&lt;&gt;"", XLOOKUP($F172,Productos!$A$2:$A1001,Productos!W$2:W1001,"")*$G172,"")</f>
        <v/>
      </c>
      <c r="AE172" s="179" t="str">
        <f t="array" ref="AE172">IF($F172&lt;&gt;"",XLOOKUP($F172,Productos!$A:$A,Productos!X:X,"Revisar"),"")</f>
        <v/>
      </c>
      <c r="AF172" s="179" t="str">
        <f t="array" ref="AF172">IF($F172&lt;&gt;"", XLOOKUP($F172,Productos!$A$2:$A1001,Productos!Y$2:Y1001,"")*$G172,"")</f>
        <v/>
      </c>
      <c r="AG172" s="179" t="str">
        <f t="array" ref="AG172">IF($F172&lt;&gt;"",XLOOKUP($F172,Productos!$A:$A,Productos!Z:Z,"Revisar"),"")</f>
        <v/>
      </c>
      <c r="AH172" s="179" t="str">
        <f t="array" ref="AH172">IF($F172&lt;&gt;"", XLOOKUP($F172,Productos!$A$2:$A1001,Productos!AA$2:AA1001,"")*$G172,"")</f>
        <v/>
      </c>
      <c r="AI172" s="179" t="str">
        <f t="array" ref="AI172">IF($F172&lt;&gt;"",XLOOKUP($F172,Productos!$A:$A,Productos!AB:AB,"Revisar"),"")</f>
        <v/>
      </c>
      <c r="AJ172" s="179" t="str">
        <f t="array" ref="AJ172">IF($F172&lt;&gt;"", XLOOKUP($F172,Productos!$A$2:$A1001,Productos!AC$2:AC1001,"")*$G172,"")</f>
        <v/>
      </c>
      <c r="AK172" s="179" t="str">
        <f t="array" ref="AK172">IF($F172&lt;&gt;"",XLOOKUP($F172,Productos!$A:$A,Productos!AD:AD,"Revisar"),"")</f>
        <v/>
      </c>
      <c r="AL172" s="179" t="str">
        <f t="array" ref="AL172">IF($F172&lt;&gt;"", XLOOKUP($F172,Productos!$A$2:$A1001,Productos!AE$2:AE1001,"")*$G172,"")</f>
        <v/>
      </c>
      <c r="AM172" s="179" t="str">
        <f t="array" ref="AM172">IF($F172&lt;&gt;"",XLOOKUP($F172,Productos!$A:$A,Productos!AF:AF,"Revisar"),"")</f>
        <v/>
      </c>
      <c r="AN172" s="179" t="str">
        <f t="array" ref="AN172">IF($F172&lt;&gt;"", XLOOKUP($F172,Productos!$A$2:$A1001,Productos!AG$2:AG1001,"")*$G172,"")</f>
        <v/>
      </c>
      <c r="AO172" s="179" t="str">
        <f t="array" ref="AO172">IF($F172&lt;&gt;"",XLOOKUP($F172,Productos!$A:$A,Productos!AH:AH,"Revisar"),"")</f>
        <v/>
      </c>
      <c r="AP172" s="179" t="str">
        <f t="array" ref="AP172">IF($F172&lt;&gt;"", XLOOKUP($F172,Productos!$A$2:$A1001,Productos!AI$2:AI1001,"")*$G172,"")</f>
        <v/>
      </c>
      <c r="AQ172" s="179" t="str">
        <f t="array" ref="AQ172">IF($F172&lt;&gt;"",XLOOKUP($F172,Productos!$A:$A,Productos!AJ:AJ,"Revisar"),"")</f>
        <v/>
      </c>
      <c r="AR172" s="179" t="str">
        <f t="array" ref="AR172">IF($F172&lt;&gt;"", XLOOKUP($F172,Productos!$A$2:$A1001,Productos!AK$2:AK1001,"")*$G172,"")</f>
        <v/>
      </c>
      <c r="AS172" s="179" t="str">
        <f t="array" ref="AS172">IF($F172&lt;&gt;"",XLOOKUP($F172,Productos!$A:$A,Productos!AL:AL,"Revisar"),"")</f>
        <v/>
      </c>
      <c r="AT172" s="179" t="str">
        <f t="array" ref="AT172">IF($F172&lt;&gt;"", XLOOKUP($F172,Productos!$A$2:$A1001,Productos!AM$2:AM1001,"")*$G172,"")</f>
        <v/>
      </c>
      <c r="AU172" s="179" t="str">
        <f t="array" ref="AU172">IF($F172&lt;&gt;"",XLOOKUP($F172,Productos!$A:$A,Productos!AN:AN,"Revisar"),"")</f>
        <v/>
      </c>
      <c r="AV172" s="179" t="str">
        <f t="array" ref="AV172">IF($F172&lt;&gt;"", XLOOKUP($F172,Productos!$A$2:$A1001,Productos!AO$2:AO1001,"")*$G172,"")</f>
        <v/>
      </c>
      <c r="AW172" s="179" t="str">
        <f t="array" ref="AW172">IF($F172&lt;&gt;"",XLOOKUP($F172,Productos!$A:$A,Productos!AP:AP,"Revisar"),"")</f>
        <v/>
      </c>
      <c r="AX172" s="179" t="str">
        <f t="array" ref="AX172">IF($F172&lt;&gt;"", XLOOKUP($F172,Productos!$A$2:$A1001,Productos!AQ$2:AQ1001,"")*$G172,"")</f>
        <v/>
      </c>
      <c r="AY172" s="179" t="str">
        <f t="array" ref="AY172">IF($F172&lt;&gt;"",XLOOKUP($F172,Productos!$A:$A,Productos!AR:AR,"Revisar"),"")</f>
        <v/>
      </c>
      <c r="AZ172" s="179" t="str">
        <f t="array" ref="AZ172">IF($F172&lt;&gt;"", XLOOKUP($F172,Productos!$A$2:$A1001,Productos!AS$2:AS1001,"")*$G172,"")</f>
        <v/>
      </c>
      <c r="BA172" s="179" t="str">
        <f t="array" ref="BA172">IF($F172&lt;&gt;"",XLOOKUP($F172,Productos!$A:$A,Productos!AT:AT,"Revisar"),"")</f>
        <v/>
      </c>
      <c r="BB172" s="179" t="str">
        <f t="array" ref="BB172">IF($F172&lt;&gt;"", XLOOKUP($F172,Productos!$A$2:$A1001,Productos!AU$2:AU1001,"")*$G172,"")</f>
        <v/>
      </c>
      <c r="BC172" s="179" t="str">
        <f t="array" ref="BC172">IF($F172&lt;&gt;"",XLOOKUP($F172,Productos!$A:$A,Productos!AV:AV,"Revisar"),"")</f>
        <v/>
      </c>
      <c r="BD172" s="179" t="str">
        <f t="array" ref="BD172">IF($F172&lt;&gt;"", XLOOKUP($F172,Productos!$A$2:$A1001,Productos!AW$2:AW1001,"")*$G172,"")</f>
        <v/>
      </c>
      <c r="BE172" s="179" t="str">
        <f t="array" ref="BE172">IF($F172&lt;&gt;"",XLOOKUP($F172,Productos!$A:$A,Productos!AX:AX,"Revisar"),"")</f>
        <v/>
      </c>
      <c r="BF172" s="179" t="str">
        <f t="array" ref="BF172">IF($F172&lt;&gt;"", XLOOKUP($F172,Productos!$A$2:$A1001,Productos!AY$2:AY1001,"")*$G172,"")</f>
        <v/>
      </c>
      <c r="BG172" s="179" t="str">
        <f t="array" ref="BG172">IF($F172&lt;&gt;"",XLOOKUP($F172,Productos!$A:$A,Productos!AZ:AZ,"Revisar"),"")</f>
        <v/>
      </c>
      <c r="BH172" s="179" t="str">
        <f t="array" ref="BH172">IF($F172&lt;&gt;"", XLOOKUP($F172,Productos!$A$2:$A1001,Productos!BA$2:BA1001,"")*$G172,"")</f>
        <v/>
      </c>
      <c r="BI172" s="179" t="str">
        <f t="array" ref="BI172">IF($F172&lt;&gt;"",XLOOKUP($F172,Productos!$A:$A,Productos!BB:BB,"Revisar"),"")</f>
        <v/>
      </c>
      <c r="BJ172" s="179" t="str">
        <f t="array" ref="BJ172">IF($F172&lt;&gt;"", XLOOKUP($F172,Productos!$A$2:$A1001,Productos!BC$2:BC1001,"")*$G172,"")</f>
        <v/>
      </c>
      <c r="BK172" s="179" t="str">
        <f t="array" ref="BK172">IF($F172&lt;&gt;"",XLOOKUP($F172,Productos!$A:$A,Productos!BD:BD,"Revisar"),"")</f>
        <v/>
      </c>
      <c r="BL172" s="179" t="str">
        <f t="array" ref="BL172">IF($F172&lt;&gt;"", XLOOKUP($F172,Productos!$A$2:$A1001,Productos!BE$2:BE1001,"")*$G172,"")</f>
        <v/>
      </c>
      <c r="BM172" s="179" t="str">
        <f t="array" ref="BM172">IF($F172&lt;&gt;"",XLOOKUP($F172,Productos!$A:$A,Productos!BF:BF,"Revisar"),"")</f>
        <v/>
      </c>
      <c r="BN172" s="179" t="str">
        <f t="array" ref="BN172">IF($F172&lt;&gt;"", XLOOKUP($F172,Productos!$A$2:$A1001,Productos!BG$2:BG1001,"")*$G172,"")</f>
        <v/>
      </c>
      <c r="BO172" s="179" t="str">
        <f t="array" ref="BO172">IF($F172&lt;&gt;"",XLOOKUP($F172,Productos!$A:$A,Productos!BH:BH,"Revisar"),"")</f>
        <v/>
      </c>
      <c r="BP172" s="179" t="str">
        <f t="array" ref="BP172">IF($F172&lt;&gt;"", XLOOKUP($F172,Productos!$A$2:$A1001,Productos!BI$2:BI1001,"")*$G172,"")</f>
        <v/>
      </c>
      <c r="BQ172" s="179" t="str">
        <f t="array" ref="BQ172">IF($F172&lt;&gt;"",XLOOKUP($F172,Productos!$A:$A,Productos!BJ:BJ,"Revisar"),"")</f>
        <v/>
      </c>
      <c r="BR172" s="179" t="str">
        <f t="array" ref="BR172">IF($F172&lt;&gt;"", XLOOKUP($F172,Productos!$A$2:$A1001,Productos!BK$2:BK1001,"")*$G172,"")</f>
        <v/>
      </c>
      <c r="BS172" s="179" t="str">
        <f t="array" ref="BS172">IF($F172&lt;&gt;"",XLOOKUP($F172,Productos!$A:$A,Productos!BL:BL,"Revisar"),"")</f>
        <v/>
      </c>
      <c r="BT172" s="179" t="str">
        <f t="array" ref="BT172">IF($F172&lt;&gt;"", XLOOKUP($F172,Productos!$A$2:$A1001,Productos!BM$2:BM1001,"")*$G172,"")</f>
        <v/>
      </c>
      <c r="BU172" s="179" t="str">
        <f t="array" ref="BU172">IF($F172&lt;&gt;"",XLOOKUP($F172,Productos!$A:$A,Productos!BN:BN,"Revisar"),"")</f>
        <v/>
      </c>
      <c r="BV172" s="179" t="str">
        <f t="array" ref="BV172">IF($F172&lt;&gt;"", XLOOKUP($F172,Productos!$A$2:$A1001,Productos!BO$2:BO1001,"")*$G172,"")</f>
        <v/>
      </c>
      <c r="BW172" s="179" t="str">
        <f t="array" ref="BW172">IF($F172&lt;&gt;"",XLOOKUP($F172,Productos!$A:$A,Productos!BP:BP,"Revisar"),"")</f>
        <v/>
      </c>
      <c r="BX172" s="179" t="str">
        <f t="array" ref="BX172">IF($F172&lt;&gt;"", XLOOKUP($F172,Productos!$A$2:$A1001,Productos!BQ$2:BQ1001,"")*$G172,"")</f>
        <v/>
      </c>
      <c r="BY172" s="179" t="str">
        <f t="array" ref="BY172">IF($F172&lt;&gt;"",XLOOKUP($F172,Productos!$A:$A,Productos!BR:BR,"Revisar"),"")</f>
        <v/>
      </c>
      <c r="BZ172" s="179" t="str">
        <f t="array" ref="BZ172">IF($F172&lt;&gt;"", XLOOKUP($F172,Productos!$A$2:$A1001,Productos!BS$2:BS1001,"")*$G172,"")</f>
        <v/>
      </c>
    </row>
    <row r="173">
      <c r="A173" s="180"/>
      <c r="B173" s="181"/>
      <c r="C173" s="182"/>
      <c r="D173" s="182"/>
      <c r="E173" s="185"/>
      <c r="F173" s="186"/>
      <c r="G173" s="187"/>
      <c r="H173" s="186"/>
      <c r="I173" s="179" t="str">
        <f t="array" ref="I173">IF($F173&lt;&gt;"",XLOOKUP($F173,Productos!$A:$A,Productos!B:B,"Revisar"),"")</f>
        <v/>
      </c>
      <c r="J173" s="179" t="str">
        <f t="array" ref="J173">IF($F173&lt;&gt;"", XLOOKUP($F173,Productos!$A$2:$A1001,Productos!C$2:C1001,"")*$G173,"")</f>
        <v/>
      </c>
      <c r="K173" s="179" t="str">
        <f t="array" ref="K173">IF($F173&lt;&gt;"",XLOOKUP($F173,Productos!$A:$A,Productos!D:D,"Revisar"),"")</f>
        <v/>
      </c>
      <c r="L173" s="179" t="str">
        <f t="array" ref="L173">IF($F173&lt;&gt;"", XLOOKUP($F173,Productos!$A$2:$A1001,Productos!E$2:E1001,"")*$G173,"")</f>
        <v/>
      </c>
      <c r="M173" s="179" t="str">
        <f t="array" ref="M173">IF($F173&lt;&gt;"",XLOOKUP($F173,Productos!$A:$A,Productos!F:F,"Revisar"),"")</f>
        <v/>
      </c>
      <c r="N173" s="179" t="str">
        <f t="array" ref="N173">IF($F173&lt;&gt;"", XLOOKUP($F173,Productos!$A$2:$A1001,Productos!G$2:G1001,"")*$G173,"")</f>
        <v/>
      </c>
      <c r="O173" s="179" t="str">
        <f t="array" ref="O173">IF($F173&lt;&gt;"",XLOOKUP($F173,Productos!$A:$A,Productos!H:H,"Revisar"),"")</f>
        <v/>
      </c>
      <c r="P173" s="179" t="str">
        <f t="array" ref="P173">IF($F173&lt;&gt;"", XLOOKUP($F173,Productos!$A$2:$A1001,Productos!I$2:I1001,"")*$G173,"")</f>
        <v/>
      </c>
      <c r="Q173" s="179" t="str">
        <f t="array" ref="Q173">IF($F173&lt;&gt;"",XLOOKUP($F173,Productos!$A:$A,Productos!J:J,"Revisar"),"")</f>
        <v/>
      </c>
      <c r="R173" s="179" t="str">
        <f t="array" ref="R173">IF($F173&lt;&gt;"", XLOOKUP($F173,Productos!$A$2:$A1001,Productos!K$2:K1001,"")*$G173,"")</f>
        <v/>
      </c>
      <c r="S173" s="179" t="str">
        <f t="array" ref="S173">IF($F173&lt;&gt;"",XLOOKUP($F173,Productos!$A:$A,Productos!L:L,"Revisar"),"")</f>
        <v/>
      </c>
      <c r="T173" s="179" t="str">
        <f t="array" ref="T173">IF($F173&lt;&gt;"", XLOOKUP($F173,Productos!$A$2:$A1001,Productos!M$2:M1001,"")*$G173,"")</f>
        <v/>
      </c>
      <c r="U173" s="179" t="str">
        <f t="array" ref="U173">IF($F173&lt;&gt;"",XLOOKUP($F173,Productos!$A:$A,Productos!N:N,"Revisar"),"")</f>
        <v/>
      </c>
      <c r="V173" s="179" t="str">
        <f t="array" ref="V173">IF($F173&lt;&gt;"", XLOOKUP($F173,Productos!$A$2:$A1001,Productos!O$2:O1001,"")*$G173,"")</f>
        <v/>
      </c>
      <c r="W173" s="179" t="str">
        <f t="array" ref="W173">IF($F173&lt;&gt;"",XLOOKUP($F173,Productos!$A:$A,Productos!P:P,"Revisar"),"")</f>
        <v/>
      </c>
      <c r="X173" s="179" t="str">
        <f t="array" ref="X173">IF($F173&lt;&gt;"", XLOOKUP($F173,Productos!$A$2:$A1001,Productos!Q$2:Q1001,"")*$G173,"")</f>
        <v/>
      </c>
      <c r="Y173" s="179" t="str">
        <f t="array" ref="Y173">IF($F173&lt;&gt;"",XLOOKUP($F173,Productos!$A:$A,Productos!R:R,"Revisar"),"")</f>
        <v/>
      </c>
      <c r="Z173" s="179" t="str">
        <f t="array" ref="Z173">IF($F173&lt;&gt;"", XLOOKUP($F173,Productos!$A$2:$A1001,Productos!S$2:S1001,"")*$G173,"")</f>
        <v/>
      </c>
      <c r="AA173" s="179" t="str">
        <f t="array" ref="AA173">IF($F173&lt;&gt;"",XLOOKUP($F173,Productos!$A:$A,Productos!T:T,"Revisar"),"")</f>
        <v/>
      </c>
      <c r="AB173" s="179" t="str">
        <f t="array" ref="AB173">IF($F173&lt;&gt;"", XLOOKUP($F173,Productos!$A$2:$A1001,Productos!U$2:U1001,"")*$G173,"")</f>
        <v/>
      </c>
      <c r="AC173" s="179" t="str">
        <f t="array" ref="AC173">IF($F173&lt;&gt;"",XLOOKUP($F173,Productos!$A:$A,Productos!V:V,"Revisar"),"")</f>
        <v/>
      </c>
      <c r="AD173" s="179" t="str">
        <f t="array" ref="AD173">IF($F173&lt;&gt;"", XLOOKUP($F173,Productos!$A$2:$A1001,Productos!W$2:W1001,"")*$G173,"")</f>
        <v/>
      </c>
      <c r="AE173" s="179" t="str">
        <f t="array" ref="AE173">IF($F173&lt;&gt;"",XLOOKUP($F173,Productos!$A:$A,Productos!X:X,"Revisar"),"")</f>
        <v/>
      </c>
      <c r="AF173" s="179" t="str">
        <f t="array" ref="AF173">IF($F173&lt;&gt;"", XLOOKUP($F173,Productos!$A$2:$A1001,Productos!Y$2:Y1001,"")*$G173,"")</f>
        <v/>
      </c>
      <c r="AG173" s="179" t="str">
        <f t="array" ref="AG173">IF($F173&lt;&gt;"",XLOOKUP($F173,Productos!$A:$A,Productos!Z:Z,"Revisar"),"")</f>
        <v/>
      </c>
      <c r="AH173" s="179" t="str">
        <f t="array" ref="AH173">IF($F173&lt;&gt;"", XLOOKUP($F173,Productos!$A$2:$A1001,Productos!AA$2:AA1001,"")*$G173,"")</f>
        <v/>
      </c>
      <c r="AI173" s="179" t="str">
        <f t="array" ref="AI173">IF($F173&lt;&gt;"",XLOOKUP($F173,Productos!$A:$A,Productos!AB:AB,"Revisar"),"")</f>
        <v/>
      </c>
      <c r="AJ173" s="179" t="str">
        <f t="array" ref="AJ173">IF($F173&lt;&gt;"", XLOOKUP($F173,Productos!$A$2:$A1001,Productos!AC$2:AC1001,"")*$G173,"")</f>
        <v/>
      </c>
      <c r="AK173" s="179" t="str">
        <f t="array" ref="AK173">IF($F173&lt;&gt;"",XLOOKUP($F173,Productos!$A:$A,Productos!AD:AD,"Revisar"),"")</f>
        <v/>
      </c>
      <c r="AL173" s="179" t="str">
        <f t="array" ref="AL173">IF($F173&lt;&gt;"", XLOOKUP($F173,Productos!$A$2:$A1001,Productos!AE$2:AE1001,"")*$G173,"")</f>
        <v/>
      </c>
      <c r="AM173" s="179" t="str">
        <f t="array" ref="AM173">IF($F173&lt;&gt;"",XLOOKUP($F173,Productos!$A:$A,Productos!AF:AF,"Revisar"),"")</f>
        <v/>
      </c>
      <c r="AN173" s="179" t="str">
        <f t="array" ref="AN173">IF($F173&lt;&gt;"", XLOOKUP($F173,Productos!$A$2:$A1001,Productos!AG$2:AG1001,"")*$G173,"")</f>
        <v/>
      </c>
      <c r="AO173" s="179" t="str">
        <f t="array" ref="AO173">IF($F173&lt;&gt;"",XLOOKUP($F173,Productos!$A:$A,Productos!AH:AH,"Revisar"),"")</f>
        <v/>
      </c>
      <c r="AP173" s="179" t="str">
        <f t="array" ref="AP173">IF($F173&lt;&gt;"", XLOOKUP($F173,Productos!$A$2:$A1001,Productos!AI$2:AI1001,"")*$G173,"")</f>
        <v/>
      </c>
      <c r="AQ173" s="179" t="str">
        <f t="array" ref="AQ173">IF($F173&lt;&gt;"",XLOOKUP($F173,Productos!$A:$A,Productos!AJ:AJ,"Revisar"),"")</f>
        <v/>
      </c>
      <c r="AR173" s="179" t="str">
        <f t="array" ref="AR173">IF($F173&lt;&gt;"", XLOOKUP($F173,Productos!$A$2:$A1001,Productos!AK$2:AK1001,"")*$G173,"")</f>
        <v/>
      </c>
      <c r="AS173" s="179" t="str">
        <f t="array" ref="AS173">IF($F173&lt;&gt;"",XLOOKUP($F173,Productos!$A:$A,Productos!AL:AL,"Revisar"),"")</f>
        <v/>
      </c>
      <c r="AT173" s="179" t="str">
        <f t="array" ref="AT173">IF($F173&lt;&gt;"", XLOOKUP($F173,Productos!$A$2:$A1001,Productos!AM$2:AM1001,"")*$G173,"")</f>
        <v/>
      </c>
      <c r="AU173" s="179" t="str">
        <f t="array" ref="AU173">IF($F173&lt;&gt;"",XLOOKUP($F173,Productos!$A:$A,Productos!AN:AN,"Revisar"),"")</f>
        <v/>
      </c>
      <c r="AV173" s="179" t="str">
        <f t="array" ref="AV173">IF($F173&lt;&gt;"", XLOOKUP($F173,Productos!$A$2:$A1001,Productos!AO$2:AO1001,"")*$G173,"")</f>
        <v/>
      </c>
      <c r="AW173" s="179" t="str">
        <f t="array" ref="AW173">IF($F173&lt;&gt;"",XLOOKUP($F173,Productos!$A:$A,Productos!AP:AP,"Revisar"),"")</f>
        <v/>
      </c>
      <c r="AX173" s="179" t="str">
        <f t="array" ref="AX173">IF($F173&lt;&gt;"", XLOOKUP($F173,Productos!$A$2:$A1001,Productos!AQ$2:AQ1001,"")*$G173,"")</f>
        <v/>
      </c>
      <c r="AY173" s="179" t="str">
        <f t="array" ref="AY173">IF($F173&lt;&gt;"",XLOOKUP($F173,Productos!$A:$A,Productos!AR:AR,"Revisar"),"")</f>
        <v/>
      </c>
      <c r="AZ173" s="179" t="str">
        <f t="array" ref="AZ173">IF($F173&lt;&gt;"", XLOOKUP($F173,Productos!$A$2:$A1001,Productos!AS$2:AS1001,"")*$G173,"")</f>
        <v/>
      </c>
      <c r="BA173" s="179" t="str">
        <f t="array" ref="BA173">IF($F173&lt;&gt;"",XLOOKUP($F173,Productos!$A:$A,Productos!AT:AT,"Revisar"),"")</f>
        <v/>
      </c>
      <c r="BB173" s="179" t="str">
        <f t="array" ref="BB173">IF($F173&lt;&gt;"", XLOOKUP($F173,Productos!$A$2:$A1001,Productos!AU$2:AU1001,"")*$G173,"")</f>
        <v/>
      </c>
      <c r="BC173" s="179" t="str">
        <f t="array" ref="BC173">IF($F173&lt;&gt;"",XLOOKUP($F173,Productos!$A:$A,Productos!AV:AV,"Revisar"),"")</f>
        <v/>
      </c>
      <c r="BD173" s="179" t="str">
        <f t="array" ref="BD173">IF($F173&lt;&gt;"", XLOOKUP($F173,Productos!$A$2:$A1001,Productos!AW$2:AW1001,"")*$G173,"")</f>
        <v/>
      </c>
      <c r="BE173" s="179" t="str">
        <f t="array" ref="BE173">IF($F173&lt;&gt;"",XLOOKUP($F173,Productos!$A:$A,Productos!AX:AX,"Revisar"),"")</f>
        <v/>
      </c>
      <c r="BF173" s="179" t="str">
        <f t="array" ref="BF173">IF($F173&lt;&gt;"", XLOOKUP($F173,Productos!$A$2:$A1001,Productos!AY$2:AY1001,"")*$G173,"")</f>
        <v/>
      </c>
      <c r="BG173" s="179" t="str">
        <f t="array" ref="BG173">IF($F173&lt;&gt;"",XLOOKUP($F173,Productos!$A:$A,Productos!AZ:AZ,"Revisar"),"")</f>
        <v/>
      </c>
      <c r="BH173" s="179" t="str">
        <f t="array" ref="BH173">IF($F173&lt;&gt;"", XLOOKUP($F173,Productos!$A$2:$A1001,Productos!BA$2:BA1001,"")*$G173,"")</f>
        <v/>
      </c>
      <c r="BI173" s="179" t="str">
        <f t="array" ref="BI173">IF($F173&lt;&gt;"",XLOOKUP($F173,Productos!$A:$A,Productos!BB:BB,"Revisar"),"")</f>
        <v/>
      </c>
      <c r="BJ173" s="179" t="str">
        <f t="array" ref="BJ173">IF($F173&lt;&gt;"", XLOOKUP($F173,Productos!$A$2:$A1001,Productos!BC$2:BC1001,"")*$G173,"")</f>
        <v/>
      </c>
      <c r="BK173" s="179" t="str">
        <f t="array" ref="BK173">IF($F173&lt;&gt;"",XLOOKUP($F173,Productos!$A:$A,Productos!BD:BD,"Revisar"),"")</f>
        <v/>
      </c>
      <c r="BL173" s="179" t="str">
        <f t="array" ref="BL173">IF($F173&lt;&gt;"", XLOOKUP($F173,Productos!$A$2:$A1001,Productos!BE$2:BE1001,"")*$G173,"")</f>
        <v/>
      </c>
      <c r="BM173" s="179" t="str">
        <f t="array" ref="BM173">IF($F173&lt;&gt;"",XLOOKUP($F173,Productos!$A:$A,Productos!BF:BF,"Revisar"),"")</f>
        <v/>
      </c>
      <c r="BN173" s="179" t="str">
        <f t="array" ref="BN173">IF($F173&lt;&gt;"", XLOOKUP($F173,Productos!$A$2:$A1001,Productos!BG$2:BG1001,"")*$G173,"")</f>
        <v/>
      </c>
      <c r="BO173" s="179" t="str">
        <f t="array" ref="BO173">IF($F173&lt;&gt;"",XLOOKUP($F173,Productos!$A:$A,Productos!BH:BH,"Revisar"),"")</f>
        <v/>
      </c>
      <c r="BP173" s="179" t="str">
        <f t="array" ref="BP173">IF($F173&lt;&gt;"", XLOOKUP($F173,Productos!$A$2:$A1001,Productos!BI$2:BI1001,"")*$G173,"")</f>
        <v/>
      </c>
      <c r="BQ173" s="179" t="str">
        <f t="array" ref="BQ173">IF($F173&lt;&gt;"",XLOOKUP($F173,Productos!$A:$A,Productos!BJ:BJ,"Revisar"),"")</f>
        <v/>
      </c>
      <c r="BR173" s="179" t="str">
        <f t="array" ref="BR173">IF($F173&lt;&gt;"", XLOOKUP($F173,Productos!$A$2:$A1001,Productos!BK$2:BK1001,"")*$G173,"")</f>
        <v/>
      </c>
      <c r="BS173" s="179" t="str">
        <f t="array" ref="BS173">IF($F173&lt;&gt;"",XLOOKUP($F173,Productos!$A:$A,Productos!BL:BL,"Revisar"),"")</f>
        <v/>
      </c>
      <c r="BT173" s="179" t="str">
        <f t="array" ref="BT173">IF($F173&lt;&gt;"", XLOOKUP($F173,Productos!$A$2:$A1001,Productos!BM$2:BM1001,"")*$G173,"")</f>
        <v/>
      </c>
      <c r="BU173" s="179" t="str">
        <f t="array" ref="BU173">IF($F173&lt;&gt;"",XLOOKUP($F173,Productos!$A:$A,Productos!BN:BN,"Revisar"),"")</f>
        <v/>
      </c>
      <c r="BV173" s="179" t="str">
        <f t="array" ref="BV173">IF($F173&lt;&gt;"", XLOOKUP($F173,Productos!$A$2:$A1001,Productos!BO$2:BO1001,"")*$G173,"")</f>
        <v/>
      </c>
      <c r="BW173" s="179" t="str">
        <f t="array" ref="BW173">IF($F173&lt;&gt;"",XLOOKUP($F173,Productos!$A:$A,Productos!BP:BP,"Revisar"),"")</f>
        <v/>
      </c>
      <c r="BX173" s="179" t="str">
        <f t="array" ref="BX173">IF($F173&lt;&gt;"", XLOOKUP($F173,Productos!$A$2:$A1001,Productos!BQ$2:BQ1001,"")*$G173,"")</f>
        <v/>
      </c>
      <c r="BY173" s="179" t="str">
        <f t="array" ref="BY173">IF($F173&lt;&gt;"",XLOOKUP($F173,Productos!$A:$A,Productos!BR:BR,"Revisar"),"")</f>
        <v/>
      </c>
      <c r="BZ173" s="179" t="str">
        <f t="array" ref="BZ173">IF($F173&lt;&gt;"", XLOOKUP($F173,Productos!$A$2:$A1001,Productos!BS$2:BS1001,"")*$G173,"")</f>
        <v/>
      </c>
    </row>
    <row r="174">
      <c r="A174" s="180"/>
      <c r="B174" s="181"/>
      <c r="C174" s="182"/>
      <c r="D174" s="182"/>
      <c r="E174" s="185"/>
      <c r="F174" s="186"/>
      <c r="G174" s="187"/>
      <c r="H174" s="186"/>
      <c r="I174" s="179" t="str">
        <f t="array" ref="I174">IF($F174&lt;&gt;"",XLOOKUP($F174,Productos!$A:$A,Productos!B:B,"Revisar"),"")</f>
        <v/>
      </c>
      <c r="J174" s="179" t="str">
        <f t="array" ref="J174">IF($F174&lt;&gt;"", XLOOKUP($F174,Productos!$A$2:$A1001,Productos!C$2:C1001,"")*$G174,"")</f>
        <v/>
      </c>
      <c r="K174" s="179" t="str">
        <f t="array" ref="K174">IF($F174&lt;&gt;"",XLOOKUP($F174,Productos!$A:$A,Productos!D:D,"Revisar"),"")</f>
        <v/>
      </c>
      <c r="L174" s="179" t="str">
        <f t="array" ref="L174">IF($F174&lt;&gt;"", XLOOKUP($F174,Productos!$A$2:$A1001,Productos!E$2:E1001,"")*$G174,"")</f>
        <v/>
      </c>
      <c r="M174" s="179" t="str">
        <f t="array" ref="M174">IF($F174&lt;&gt;"",XLOOKUP($F174,Productos!$A:$A,Productos!F:F,"Revisar"),"")</f>
        <v/>
      </c>
      <c r="N174" s="179" t="str">
        <f t="array" ref="N174">IF($F174&lt;&gt;"", XLOOKUP($F174,Productos!$A$2:$A1001,Productos!G$2:G1001,"")*$G174,"")</f>
        <v/>
      </c>
      <c r="O174" s="179" t="str">
        <f t="array" ref="O174">IF($F174&lt;&gt;"",XLOOKUP($F174,Productos!$A:$A,Productos!H:H,"Revisar"),"")</f>
        <v/>
      </c>
      <c r="P174" s="179" t="str">
        <f t="array" ref="P174">IF($F174&lt;&gt;"", XLOOKUP($F174,Productos!$A$2:$A1001,Productos!I$2:I1001,"")*$G174,"")</f>
        <v/>
      </c>
      <c r="Q174" s="179" t="str">
        <f t="array" ref="Q174">IF($F174&lt;&gt;"",XLOOKUP($F174,Productos!$A:$A,Productos!J:J,"Revisar"),"")</f>
        <v/>
      </c>
      <c r="R174" s="179" t="str">
        <f t="array" ref="R174">IF($F174&lt;&gt;"", XLOOKUP($F174,Productos!$A$2:$A1001,Productos!K$2:K1001,"")*$G174,"")</f>
        <v/>
      </c>
      <c r="S174" s="179" t="str">
        <f t="array" ref="S174">IF($F174&lt;&gt;"",XLOOKUP($F174,Productos!$A:$A,Productos!L:L,"Revisar"),"")</f>
        <v/>
      </c>
      <c r="T174" s="179" t="str">
        <f t="array" ref="T174">IF($F174&lt;&gt;"", XLOOKUP($F174,Productos!$A$2:$A1001,Productos!M$2:M1001,"")*$G174,"")</f>
        <v/>
      </c>
      <c r="U174" s="179" t="str">
        <f t="array" ref="U174">IF($F174&lt;&gt;"",XLOOKUP($F174,Productos!$A:$A,Productos!N:N,"Revisar"),"")</f>
        <v/>
      </c>
      <c r="V174" s="179" t="str">
        <f t="array" ref="V174">IF($F174&lt;&gt;"", XLOOKUP($F174,Productos!$A$2:$A1001,Productos!O$2:O1001,"")*$G174,"")</f>
        <v/>
      </c>
      <c r="W174" s="179" t="str">
        <f t="array" ref="W174">IF($F174&lt;&gt;"",XLOOKUP($F174,Productos!$A:$A,Productos!P:P,"Revisar"),"")</f>
        <v/>
      </c>
      <c r="X174" s="179" t="str">
        <f t="array" ref="X174">IF($F174&lt;&gt;"", XLOOKUP($F174,Productos!$A$2:$A1001,Productos!Q$2:Q1001,"")*$G174,"")</f>
        <v/>
      </c>
      <c r="Y174" s="179" t="str">
        <f t="array" ref="Y174">IF($F174&lt;&gt;"",XLOOKUP($F174,Productos!$A:$A,Productos!R:R,"Revisar"),"")</f>
        <v/>
      </c>
      <c r="Z174" s="179" t="str">
        <f t="array" ref="Z174">IF($F174&lt;&gt;"", XLOOKUP($F174,Productos!$A$2:$A1001,Productos!S$2:S1001,"")*$G174,"")</f>
        <v/>
      </c>
      <c r="AA174" s="179" t="str">
        <f t="array" ref="AA174">IF($F174&lt;&gt;"",XLOOKUP($F174,Productos!$A:$A,Productos!T:T,"Revisar"),"")</f>
        <v/>
      </c>
      <c r="AB174" s="179" t="str">
        <f t="array" ref="AB174">IF($F174&lt;&gt;"", XLOOKUP($F174,Productos!$A$2:$A1001,Productos!U$2:U1001,"")*$G174,"")</f>
        <v/>
      </c>
      <c r="AC174" s="179" t="str">
        <f t="array" ref="AC174">IF($F174&lt;&gt;"",XLOOKUP($F174,Productos!$A:$A,Productos!V:V,"Revisar"),"")</f>
        <v/>
      </c>
      <c r="AD174" s="179" t="str">
        <f t="array" ref="AD174">IF($F174&lt;&gt;"", XLOOKUP($F174,Productos!$A$2:$A1001,Productos!W$2:W1001,"")*$G174,"")</f>
        <v/>
      </c>
      <c r="AE174" s="179" t="str">
        <f t="array" ref="AE174">IF($F174&lt;&gt;"",XLOOKUP($F174,Productos!$A:$A,Productos!X:X,"Revisar"),"")</f>
        <v/>
      </c>
      <c r="AF174" s="179" t="str">
        <f t="array" ref="AF174">IF($F174&lt;&gt;"", XLOOKUP($F174,Productos!$A$2:$A1001,Productos!Y$2:Y1001,"")*$G174,"")</f>
        <v/>
      </c>
      <c r="AG174" s="179" t="str">
        <f t="array" ref="AG174">IF($F174&lt;&gt;"",XLOOKUP($F174,Productos!$A:$A,Productos!Z:Z,"Revisar"),"")</f>
        <v/>
      </c>
      <c r="AH174" s="179" t="str">
        <f t="array" ref="AH174">IF($F174&lt;&gt;"", XLOOKUP($F174,Productos!$A$2:$A1001,Productos!AA$2:AA1001,"")*$G174,"")</f>
        <v/>
      </c>
      <c r="AI174" s="179" t="str">
        <f t="array" ref="AI174">IF($F174&lt;&gt;"",XLOOKUP($F174,Productos!$A:$A,Productos!AB:AB,"Revisar"),"")</f>
        <v/>
      </c>
      <c r="AJ174" s="179" t="str">
        <f t="array" ref="AJ174">IF($F174&lt;&gt;"", XLOOKUP($F174,Productos!$A$2:$A1001,Productos!AC$2:AC1001,"")*$G174,"")</f>
        <v/>
      </c>
      <c r="AK174" s="179" t="str">
        <f t="array" ref="AK174">IF($F174&lt;&gt;"",XLOOKUP($F174,Productos!$A:$A,Productos!AD:AD,"Revisar"),"")</f>
        <v/>
      </c>
      <c r="AL174" s="179" t="str">
        <f t="array" ref="AL174">IF($F174&lt;&gt;"", XLOOKUP($F174,Productos!$A$2:$A1001,Productos!AE$2:AE1001,"")*$G174,"")</f>
        <v/>
      </c>
      <c r="AM174" s="179" t="str">
        <f t="array" ref="AM174">IF($F174&lt;&gt;"",XLOOKUP($F174,Productos!$A:$A,Productos!AF:AF,"Revisar"),"")</f>
        <v/>
      </c>
      <c r="AN174" s="179" t="str">
        <f t="array" ref="AN174">IF($F174&lt;&gt;"", XLOOKUP($F174,Productos!$A$2:$A1001,Productos!AG$2:AG1001,"")*$G174,"")</f>
        <v/>
      </c>
      <c r="AO174" s="179" t="str">
        <f t="array" ref="AO174">IF($F174&lt;&gt;"",XLOOKUP($F174,Productos!$A:$A,Productos!AH:AH,"Revisar"),"")</f>
        <v/>
      </c>
      <c r="AP174" s="179" t="str">
        <f t="array" ref="AP174">IF($F174&lt;&gt;"", XLOOKUP($F174,Productos!$A$2:$A1001,Productos!AI$2:AI1001,"")*$G174,"")</f>
        <v/>
      </c>
      <c r="AQ174" s="179" t="str">
        <f t="array" ref="AQ174">IF($F174&lt;&gt;"",XLOOKUP($F174,Productos!$A:$A,Productos!AJ:AJ,"Revisar"),"")</f>
        <v/>
      </c>
      <c r="AR174" s="179" t="str">
        <f t="array" ref="AR174">IF($F174&lt;&gt;"", XLOOKUP($F174,Productos!$A$2:$A1001,Productos!AK$2:AK1001,"")*$G174,"")</f>
        <v/>
      </c>
      <c r="AS174" s="179" t="str">
        <f t="array" ref="AS174">IF($F174&lt;&gt;"",XLOOKUP($F174,Productos!$A:$A,Productos!AL:AL,"Revisar"),"")</f>
        <v/>
      </c>
      <c r="AT174" s="179" t="str">
        <f t="array" ref="AT174">IF($F174&lt;&gt;"", XLOOKUP($F174,Productos!$A$2:$A1001,Productos!AM$2:AM1001,"")*$G174,"")</f>
        <v/>
      </c>
      <c r="AU174" s="179" t="str">
        <f t="array" ref="AU174">IF($F174&lt;&gt;"",XLOOKUP($F174,Productos!$A:$A,Productos!AN:AN,"Revisar"),"")</f>
        <v/>
      </c>
      <c r="AV174" s="179" t="str">
        <f t="array" ref="AV174">IF($F174&lt;&gt;"", XLOOKUP($F174,Productos!$A$2:$A1001,Productos!AO$2:AO1001,"")*$G174,"")</f>
        <v/>
      </c>
      <c r="AW174" s="179" t="str">
        <f t="array" ref="AW174">IF($F174&lt;&gt;"",XLOOKUP($F174,Productos!$A:$A,Productos!AP:AP,"Revisar"),"")</f>
        <v/>
      </c>
      <c r="AX174" s="179" t="str">
        <f t="array" ref="AX174">IF($F174&lt;&gt;"", XLOOKUP($F174,Productos!$A$2:$A1001,Productos!AQ$2:AQ1001,"")*$G174,"")</f>
        <v/>
      </c>
      <c r="AY174" s="179" t="str">
        <f t="array" ref="AY174">IF($F174&lt;&gt;"",XLOOKUP($F174,Productos!$A:$A,Productos!AR:AR,"Revisar"),"")</f>
        <v/>
      </c>
      <c r="AZ174" s="179" t="str">
        <f t="array" ref="AZ174">IF($F174&lt;&gt;"", XLOOKUP($F174,Productos!$A$2:$A1001,Productos!AS$2:AS1001,"")*$G174,"")</f>
        <v/>
      </c>
      <c r="BA174" s="179" t="str">
        <f t="array" ref="BA174">IF($F174&lt;&gt;"",XLOOKUP($F174,Productos!$A:$A,Productos!AT:AT,"Revisar"),"")</f>
        <v/>
      </c>
      <c r="BB174" s="179" t="str">
        <f t="array" ref="BB174">IF($F174&lt;&gt;"", XLOOKUP($F174,Productos!$A$2:$A1001,Productos!AU$2:AU1001,"")*$G174,"")</f>
        <v/>
      </c>
      <c r="BC174" s="179" t="str">
        <f t="array" ref="BC174">IF($F174&lt;&gt;"",XLOOKUP($F174,Productos!$A:$A,Productos!AV:AV,"Revisar"),"")</f>
        <v/>
      </c>
      <c r="BD174" s="179" t="str">
        <f t="array" ref="BD174">IF($F174&lt;&gt;"", XLOOKUP($F174,Productos!$A$2:$A1001,Productos!AW$2:AW1001,"")*$G174,"")</f>
        <v/>
      </c>
      <c r="BE174" s="179" t="str">
        <f t="array" ref="BE174">IF($F174&lt;&gt;"",XLOOKUP($F174,Productos!$A:$A,Productos!AX:AX,"Revisar"),"")</f>
        <v/>
      </c>
      <c r="BF174" s="179" t="str">
        <f t="array" ref="BF174">IF($F174&lt;&gt;"", XLOOKUP($F174,Productos!$A$2:$A1001,Productos!AY$2:AY1001,"")*$G174,"")</f>
        <v/>
      </c>
      <c r="BG174" s="179" t="str">
        <f t="array" ref="BG174">IF($F174&lt;&gt;"",XLOOKUP($F174,Productos!$A:$A,Productos!AZ:AZ,"Revisar"),"")</f>
        <v/>
      </c>
      <c r="BH174" s="179" t="str">
        <f t="array" ref="BH174">IF($F174&lt;&gt;"", XLOOKUP($F174,Productos!$A$2:$A1001,Productos!BA$2:BA1001,"")*$G174,"")</f>
        <v/>
      </c>
      <c r="BI174" s="179" t="str">
        <f t="array" ref="BI174">IF($F174&lt;&gt;"",XLOOKUP($F174,Productos!$A:$A,Productos!BB:BB,"Revisar"),"")</f>
        <v/>
      </c>
      <c r="BJ174" s="179" t="str">
        <f t="array" ref="BJ174">IF($F174&lt;&gt;"", XLOOKUP($F174,Productos!$A$2:$A1001,Productos!BC$2:BC1001,"")*$G174,"")</f>
        <v/>
      </c>
      <c r="BK174" s="179" t="str">
        <f t="array" ref="BK174">IF($F174&lt;&gt;"",XLOOKUP($F174,Productos!$A:$A,Productos!BD:BD,"Revisar"),"")</f>
        <v/>
      </c>
      <c r="BL174" s="179" t="str">
        <f t="array" ref="BL174">IF($F174&lt;&gt;"", XLOOKUP($F174,Productos!$A$2:$A1001,Productos!BE$2:BE1001,"")*$G174,"")</f>
        <v/>
      </c>
      <c r="BM174" s="179" t="str">
        <f t="array" ref="BM174">IF($F174&lt;&gt;"",XLOOKUP($F174,Productos!$A:$A,Productos!BF:BF,"Revisar"),"")</f>
        <v/>
      </c>
      <c r="BN174" s="179" t="str">
        <f t="array" ref="BN174">IF($F174&lt;&gt;"", XLOOKUP($F174,Productos!$A$2:$A1001,Productos!BG$2:BG1001,"")*$G174,"")</f>
        <v/>
      </c>
      <c r="BO174" s="179" t="str">
        <f t="array" ref="BO174">IF($F174&lt;&gt;"",XLOOKUP($F174,Productos!$A:$A,Productos!BH:BH,"Revisar"),"")</f>
        <v/>
      </c>
      <c r="BP174" s="179" t="str">
        <f t="array" ref="BP174">IF($F174&lt;&gt;"", XLOOKUP($F174,Productos!$A$2:$A1001,Productos!BI$2:BI1001,"")*$G174,"")</f>
        <v/>
      </c>
      <c r="BQ174" s="179" t="str">
        <f t="array" ref="BQ174">IF($F174&lt;&gt;"",XLOOKUP($F174,Productos!$A:$A,Productos!BJ:BJ,"Revisar"),"")</f>
        <v/>
      </c>
      <c r="BR174" s="179" t="str">
        <f t="array" ref="BR174">IF($F174&lt;&gt;"", XLOOKUP($F174,Productos!$A$2:$A1001,Productos!BK$2:BK1001,"")*$G174,"")</f>
        <v/>
      </c>
      <c r="BS174" s="179" t="str">
        <f t="array" ref="BS174">IF($F174&lt;&gt;"",XLOOKUP($F174,Productos!$A:$A,Productos!BL:BL,"Revisar"),"")</f>
        <v/>
      </c>
      <c r="BT174" s="179" t="str">
        <f t="array" ref="BT174">IF($F174&lt;&gt;"", XLOOKUP($F174,Productos!$A$2:$A1001,Productos!BM$2:BM1001,"")*$G174,"")</f>
        <v/>
      </c>
      <c r="BU174" s="179" t="str">
        <f t="array" ref="BU174">IF($F174&lt;&gt;"",XLOOKUP($F174,Productos!$A:$A,Productos!BN:BN,"Revisar"),"")</f>
        <v/>
      </c>
      <c r="BV174" s="179" t="str">
        <f t="array" ref="BV174">IF($F174&lt;&gt;"", XLOOKUP($F174,Productos!$A$2:$A1001,Productos!BO$2:BO1001,"")*$G174,"")</f>
        <v/>
      </c>
      <c r="BW174" s="179" t="str">
        <f t="array" ref="BW174">IF($F174&lt;&gt;"",XLOOKUP($F174,Productos!$A:$A,Productos!BP:BP,"Revisar"),"")</f>
        <v/>
      </c>
      <c r="BX174" s="179" t="str">
        <f t="array" ref="BX174">IF($F174&lt;&gt;"", XLOOKUP($F174,Productos!$A$2:$A1001,Productos!BQ$2:BQ1001,"")*$G174,"")</f>
        <v/>
      </c>
      <c r="BY174" s="179" t="str">
        <f t="array" ref="BY174">IF($F174&lt;&gt;"",XLOOKUP($F174,Productos!$A:$A,Productos!BR:BR,"Revisar"),"")</f>
        <v/>
      </c>
      <c r="BZ174" s="179" t="str">
        <f t="array" ref="BZ174">IF($F174&lt;&gt;"", XLOOKUP($F174,Productos!$A$2:$A1001,Productos!BS$2:BS1001,"")*$G174,"")</f>
        <v/>
      </c>
    </row>
    <row r="175">
      <c r="A175" s="180"/>
      <c r="B175" s="181"/>
      <c r="C175" s="182"/>
      <c r="D175" s="182"/>
      <c r="E175" s="185"/>
      <c r="F175" s="186"/>
      <c r="G175" s="187"/>
      <c r="H175" s="186"/>
      <c r="I175" s="179" t="str">
        <f t="array" ref="I175">IF($F175&lt;&gt;"",XLOOKUP($F175,Productos!$A:$A,Productos!B:B,"Revisar"),"")</f>
        <v/>
      </c>
      <c r="J175" s="179" t="str">
        <f t="array" ref="J175">IF($F175&lt;&gt;"", XLOOKUP($F175,Productos!$A$2:$A1001,Productos!C$2:C1001,"")*$G175,"")</f>
        <v/>
      </c>
      <c r="K175" s="179" t="str">
        <f t="array" ref="K175">IF($F175&lt;&gt;"",XLOOKUP($F175,Productos!$A:$A,Productos!D:D,"Revisar"),"")</f>
        <v/>
      </c>
      <c r="L175" s="179" t="str">
        <f t="array" ref="L175">IF($F175&lt;&gt;"", XLOOKUP($F175,Productos!$A$2:$A1001,Productos!E$2:E1001,"")*$G175,"")</f>
        <v/>
      </c>
      <c r="M175" s="179" t="str">
        <f t="array" ref="M175">IF($F175&lt;&gt;"",XLOOKUP($F175,Productos!$A:$A,Productos!F:F,"Revisar"),"")</f>
        <v/>
      </c>
      <c r="N175" s="179" t="str">
        <f t="array" ref="N175">IF($F175&lt;&gt;"", XLOOKUP($F175,Productos!$A$2:$A1001,Productos!G$2:G1001,"")*$G175,"")</f>
        <v/>
      </c>
      <c r="O175" s="179" t="str">
        <f t="array" ref="O175">IF($F175&lt;&gt;"",XLOOKUP($F175,Productos!$A:$A,Productos!H:H,"Revisar"),"")</f>
        <v/>
      </c>
      <c r="P175" s="179" t="str">
        <f t="array" ref="P175">IF($F175&lt;&gt;"", XLOOKUP($F175,Productos!$A$2:$A1001,Productos!I$2:I1001,"")*$G175,"")</f>
        <v/>
      </c>
      <c r="Q175" s="179" t="str">
        <f t="array" ref="Q175">IF($F175&lt;&gt;"",XLOOKUP($F175,Productos!$A:$A,Productos!J:J,"Revisar"),"")</f>
        <v/>
      </c>
      <c r="R175" s="179" t="str">
        <f t="array" ref="R175">IF($F175&lt;&gt;"", XLOOKUP($F175,Productos!$A$2:$A1001,Productos!K$2:K1001,"")*$G175,"")</f>
        <v/>
      </c>
      <c r="S175" s="179" t="str">
        <f t="array" ref="S175">IF($F175&lt;&gt;"",XLOOKUP($F175,Productos!$A:$A,Productos!L:L,"Revisar"),"")</f>
        <v/>
      </c>
      <c r="T175" s="179" t="str">
        <f t="array" ref="T175">IF($F175&lt;&gt;"", XLOOKUP($F175,Productos!$A$2:$A1001,Productos!M$2:M1001,"")*$G175,"")</f>
        <v/>
      </c>
      <c r="U175" s="179" t="str">
        <f t="array" ref="U175">IF($F175&lt;&gt;"",XLOOKUP($F175,Productos!$A:$A,Productos!N:N,"Revisar"),"")</f>
        <v/>
      </c>
      <c r="V175" s="179" t="str">
        <f t="array" ref="V175">IF($F175&lt;&gt;"", XLOOKUP($F175,Productos!$A$2:$A1001,Productos!O$2:O1001,"")*$G175,"")</f>
        <v/>
      </c>
      <c r="W175" s="179" t="str">
        <f t="array" ref="W175">IF($F175&lt;&gt;"",XLOOKUP($F175,Productos!$A:$A,Productos!P:P,"Revisar"),"")</f>
        <v/>
      </c>
      <c r="X175" s="179" t="str">
        <f t="array" ref="X175">IF($F175&lt;&gt;"", XLOOKUP($F175,Productos!$A$2:$A1001,Productos!Q$2:Q1001,"")*$G175,"")</f>
        <v/>
      </c>
      <c r="Y175" s="179" t="str">
        <f t="array" ref="Y175">IF($F175&lt;&gt;"",XLOOKUP($F175,Productos!$A:$A,Productos!R:R,"Revisar"),"")</f>
        <v/>
      </c>
      <c r="Z175" s="179" t="str">
        <f t="array" ref="Z175">IF($F175&lt;&gt;"", XLOOKUP($F175,Productos!$A$2:$A1001,Productos!S$2:S1001,"")*$G175,"")</f>
        <v/>
      </c>
      <c r="AA175" s="179" t="str">
        <f t="array" ref="AA175">IF($F175&lt;&gt;"",XLOOKUP($F175,Productos!$A:$A,Productos!T:T,"Revisar"),"")</f>
        <v/>
      </c>
      <c r="AB175" s="179" t="str">
        <f t="array" ref="AB175">IF($F175&lt;&gt;"", XLOOKUP($F175,Productos!$A$2:$A1001,Productos!U$2:U1001,"")*$G175,"")</f>
        <v/>
      </c>
      <c r="AC175" s="179" t="str">
        <f t="array" ref="AC175">IF($F175&lt;&gt;"",XLOOKUP($F175,Productos!$A:$A,Productos!V:V,"Revisar"),"")</f>
        <v/>
      </c>
      <c r="AD175" s="179" t="str">
        <f t="array" ref="AD175">IF($F175&lt;&gt;"", XLOOKUP($F175,Productos!$A$2:$A1001,Productos!W$2:W1001,"")*$G175,"")</f>
        <v/>
      </c>
      <c r="AE175" s="179" t="str">
        <f t="array" ref="AE175">IF($F175&lt;&gt;"",XLOOKUP($F175,Productos!$A:$A,Productos!X:X,"Revisar"),"")</f>
        <v/>
      </c>
      <c r="AF175" s="179" t="str">
        <f t="array" ref="AF175">IF($F175&lt;&gt;"", XLOOKUP($F175,Productos!$A$2:$A1001,Productos!Y$2:Y1001,"")*$G175,"")</f>
        <v/>
      </c>
      <c r="AG175" s="179" t="str">
        <f t="array" ref="AG175">IF($F175&lt;&gt;"",XLOOKUP($F175,Productos!$A:$A,Productos!Z:Z,"Revisar"),"")</f>
        <v/>
      </c>
      <c r="AH175" s="179" t="str">
        <f t="array" ref="AH175">IF($F175&lt;&gt;"", XLOOKUP($F175,Productos!$A$2:$A1001,Productos!AA$2:AA1001,"")*$G175,"")</f>
        <v/>
      </c>
      <c r="AI175" s="179" t="str">
        <f t="array" ref="AI175">IF($F175&lt;&gt;"",XLOOKUP($F175,Productos!$A:$A,Productos!AB:AB,"Revisar"),"")</f>
        <v/>
      </c>
      <c r="AJ175" s="179" t="str">
        <f t="array" ref="AJ175">IF($F175&lt;&gt;"", XLOOKUP($F175,Productos!$A$2:$A1001,Productos!AC$2:AC1001,"")*$G175,"")</f>
        <v/>
      </c>
      <c r="AK175" s="179" t="str">
        <f t="array" ref="AK175">IF($F175&lt;&gt;"",XLOOKUP($F175,Productos!$A:$A,Productos!AD:AD,"Revisar"),"")</f>
        <v/>
      </c>
      <c r="AL175" s="179" t="str">
        <f t="array" ref="AL175">IF($F175&lt;&gt;"", XLOOKUP($F175,Productos!$A$2:$A1001,Productos!AE$2:AE1001,"")*$G175,"")</f>
        <v/>
      </c>
      <c r="AM175" s="179" t="str">
        <f t="array" ref="AM175">IF($F175&lt;&gt;"",XLOOKUP($F175,Productos!$A:$A,Productos!AF:AF,"Revisar"),"")</f>
        <v/>
      </c>
      <c r="AN175" s="179" t="str">
        <f t="array" ref="AN175">IF($F175&lt;&gt;"", XLOOKUP($F175,Productos!$A$2:$A1001,Productos!AG$2:AG1001,"")*$G175,"")</f>
        <v/>
      </c>
      <c r="AO175" s="179" t="str">
        <f t="array" ref="AO175">IF($F175&lt;&gt;"",XLOOKUP($F175,Productos!$A:$A,Productos!AH:AH,"Revisar"),"")</f>
        <v/>
      </c>
      <c r="AP175" s="179" t="str">
        <f t="array" ref="AP175">IF($F175&lt;&gt;"", XLOOKUP($F175,Productos!$A$2:$A1001,Productos!AI$2:AI1001,"")*$G175,"")</f>
        <v/>
      </c>
      <c r="AQ175" s="179" t="str">
        <f t="array" ref="AQ175">IF($F175&lt;&gt;"",XLOOKUP($F175,Productos!$A:$A,Productos!AJ:AJ,"Revisar"),"")</f>
        <v/>
      </c>
      <c r="AR175" s="179" t="str">
        <f t="array" ref="AR175">IF($F175&lt;&gt;"", XLOOKUP($F175,Productos!$A$2:$A1001,Productos!AK$2:AK1001,"")*$G175,"")</f>
        <v/>
      </c>
      <c r="AS175" s="179" t="str">
        <f t="array" ref="AS175">IF($F175&lt;&gt;"",XLOOKUP($F175,Productos!$A:$A,Productos!AL:AL,"Revisar"),"")</f>
        <v/>
      </c>
      <c r="AT175" s="179" t="str">
        <f t="array" ref="AT175">IF($F175&lt;&gt;"", XLOOKUP($F175,Productos!$A$2:$A1001,Productos!AM$2:AM1001,"")*$G175,"")</f>
        <v/>
      </c>
      <c r="AU175" s="179" t="str">
        <f t="array" ref="AU175">IF($F175&lt;&gt;"",XLOOKUP($F175,Productos!$A:$A,Productos!AN:AN,"Revisar"),"")</f>
        <v/>
      </c>
      <c r="AV175" s="179" t="str">
        <f t="array" ref="AV175">IF($F175&lt;&gt;"", XLOOKUP($F175,Productos!$A$2:$A1001,Productos!AO$2:AO1001,"")*$G175,"")</f>
        <v/>
      </c>
      <c r="AW175" s="179" t="str">
        <f t="array" ref="AW175">IF($F175&lt;&gt;"",XLOOKUP($F175,Productos!$A:$A,Productos!AP:AP,"Revisar"),"")</f>
        <v/>
      </c>
      <c r="AX175" s="179" t="str">
        <f t="array" ref="AX175">IF($F175&lt;&gt;"", XLOOKUP($F175,Productos!$A$2:$A1001,Productos!AQ$2:AQ1001,"")*$G175,"")</f>
        <v/>
      </c>
      <c r="AY175" s="179" t="str">
        <f t="array" ref="AY175">IF($F175&lt;&gt;"",XLOOKUP($F175,Productos!$A:$A,Productos!AR:AR,"Revisar"),"")</f>
        <v/>
      </c>
      <c r="AZ175" s="179" t="str">
        <f t="array" ref="AZ175">IF($F175&lt;&gt;"", XLOOKUP($F175,Productos!$A$2:$A1001,Productos!AS$2:AS1001,"")*$G175,"")</f>
        <v/>
      </c>
      <c r="BA175" s="179" t="str">
        <f t="array" ref="BA175">IF($F175&lt;&gt;"",XLOOKUP($F175,Productos!$A:$A,Productos!AT:AT,"Revisar"),"")</f>
        <v/>
      </c>
      <c r="BB175" s="179" t="str">
        <f t="array" ref="BB175">IF($F175&lt;&gt;"", XLOOKUP($F175,Productos!$A$2:$A1001,Productos!AU$2:AU1001,"")*$G175,"")</f>
        <v/>
      </c>
      <c r="BC175" s="179" t="str">
        <f t="array" ref="BC175">IF($F175&lt;&gt;"",XLOOKUP($F175,Productos!$A:$A,Productos!AV:AV,"Revisar"),"")</f>
        <v/>
      </c>
      <c r="BD175" s="179" t="str">
        <f t="array" ref="BD175">IF($F175&lt;&gt;"", XLOOKUP($F175,Productos!$A$2:$A1001,Productos!AW$2:AW1001,"")*$G175,"")</f>
        <v/>
      </c>
      <c r="BE175" s="179" t="str">
        <f t="array" ref="BE175">IF($F175&lt;&gt;"",XLOOKUP($F175,Productos!$A:$A,Productos!AX:AX,"Revisar"),"")</f>
        <v/>
      </c>
      <c r="BF175" s="179" t="str">
        <f t="array" ref="BF175">IF($F175&lt;&gt;"", XLOOKUP($F175,Productos!$A$2:$A1001,Productos!AY$2:AY1001,"")*$G175,"")</f>
        <v/>
      </c>
      <c r="BG175" s="179" t="str">
        <f t="array" ref="BG175">IF($F175&lt;&gt;"",XLOOKUP($F175,Productos!$A:$A,Productos!AZ:AZ,"Revisar"),"")</f>
        <v/>
      </c>
      <c r="BH175" s="179" t="str">
        <f t="array" ref="BH175">IF($F175&lt;&gt;"", XLOOKUP($F175,Productos!$A$2:$A1001,Productos!BA$2:BA1001,"")*$G175,"")</f>
        <v/>
      </c>
      <c r="BI175" s="179" t="str">
        <f t="array" ref="BI175">IF($F175&lt;&gt;"",XLOOKUP($F175,Productos!$A:$A,Productos!BB:BB,"Revisar"),"")</f>
        <v/>
      </c>
      <c r="BJ175" s="179" t="str">
        <f t="array" ref="BJ175">IF($F175&lt;&gt;"", XLOOKUP($F175,Productos!$A$2:$A1001,Productos!BC$2:BC1001,"")*$G175,"")</f>
        <v/>
      </c>
      <c r="BK175" s="179" t="str">
        <f t="array" ref="BK175">IF($F175&lt;&gt;"",XLOOKUP($F175,Productos!$A:$A,Productos!BD:BD,"Revisar"),"")</f>
        <v/>
      </c>
      <c r="BL175" s="179" t="str">
        <f t="array" ref="BL175">IF($F175&lt;&gt;"", XLOOKUP($F175,Productos!$A$2:$A1001,Productos!BE$2:BE1001,"")*$G175,"")</f>
        <v/>
      </c>
      <c r="BM175" s="179" t="str">
        <f t="array" ref="BM175">IF($F175&lt;&gt;"",XLOOKUP($F175,Productos!$A:$A,Productos!BF:BF,"Revisar"),"")</f>
        <v/>
      </c>
      <c r="BN175" s="179" t="str">
        <f t="array" ref="BN175">IF($F175&lt;&gt;"", XLOOKUP($F175,Productos!$A$2:$A1001,Productos!BG$2:BG1001,"")*$G175,"")</f>
        <v/>
      </c>
      <c r="BO175" s="179" t="str">
        <f t="array" ref="BO175">IF($F175&lt;&gt;"",XLOOKUP($F175,Productos!$A:$A,Productos!BH:BH,"Revisar"),"")</f>
        <v/>
      </c>
      <c r="BP175" s="179" t="str">
        <f t="array" ref="BP175">IF($F175&lt;&gt;"", XLOOKUP($F175,Productos!$A$2:$A1001,Productos!BI$2:BI1001,"")*$G175,"")</f>
        <v/>
      </c>
      <c r="BQ175" s="179" t="str">
        <f t="array" ref="BQ175">IF($F175&lt;&gt;"",XLOOKUP($F175,Productos!$A:$A,Productos!BJ:BJ,"Revisar"),"")</f>
        <v/>
      </c>
      <c r="BR175" s="179" t="str">
        <f t="array" ref="BR175">IF($F175&lt;&gt;"", XLOOKUP($F175,Productos!$A$2:$A1001,Productos!BK$2:BK1001,"")*$G175,"")</f>
        <v/>
      </c>
      <c r="BS175" s="179" t="str">
        <f t="array" ref="BS175">IF($F175&lt;&gt;"",XLOOKUP($F175,Productos!$A:$A,Productos!BL:BL,"Revisar"),"")</f>
        <v/>
      </c>
      <c r="BT175" s="179" t="str">
        <f t="array" ref="BT175">IF($F175&lt;&gt;"", XLOOKUP($F175,Productos!$A$2:$A1001,Productos!BM$2:BM1001,"")*$G175,"")</f>
        <v/>
      </c>
      <c r="BU175" s="179" t="str">
        <f t="array" ref="BU175">IF($F175&lt;&gt;"",XLOOKUP($F175,Productos!$A:$A,Productos!BN:BN,"Revisar"),"")</f>
        <v/>
      </c>
      <c r="BV175" s="179" t="str">
        <f t="array" ref="BV175">IF($F175&lt;&gt;"", XLOOKUP($F175,Productos!$A$2:$A1001,Productos!BO$2:BO1001,"")*$G175,"")</f>
        <v/>
      </c>
      <c r="BW175" s="179" t="str">
        <f t="array" ref="BW175">IF($F175&lt;&gt;"",XLOOKUP($F175,Productos!$A:$A,Productos!BP:BP,"Revisar"),"")</f>
        <v/>
      </c>
      <c r="BX175" s="179" t="str">
        <f t="array" ref="BX175">IF($F175&lt;&gt;"", XLOOKUP($F175,Productos!$A$2:$A1001,Productos!BQ$2:BQ1001,"")*$G175,"")</f>
        <v/>
      </c>
      <c r="BY175" s="179" t="str">
        <f t="array" ref="BY175">IF($F175&lt;&gt;"",XLOOKUP($F175,Productos!$A:$A,Productos!BR:BR,"Revisar"),"")</f>
        <v/>
      </c>
      <c r="BZ175" s="179" t="str">
        <f t="array" ref="BZ175">IF($F175&lt;&gt;"", XLOOKUP($F175,Productos!$A$2:$A1001,Productos!BS$2:BS1001,"")*$G175,"")</f>
        <v/>
      </c>
    </row>
    <row r="176">
      <c r="A176" s="180"/>
      <c r="B176" s="181"/>
      <c r="C176" s="182"/>
      <c r="D176" s="182"/>
      <c r="E176" s="185"/>
      <c r="F176" s="186"/>
      <c r="G176" s="187"/>
      <c r="H176" s="186"/>
      <c r="I176" s="179" t="str">
        <f t="array" ref="I176">IF($F176&lt;&gt;"",XLOOKUP($F176,Productos!$A:$A,Productos!B:B,"Revisar"),"")</f>
        <v/>
      </c>
      <c r="J176" s="179" t="str">
        <f t="array" ref="J176">IF($F176&lt;&gt;"", XLOOKUP($F176,Productos!$A$2:$A1001,Productos!C$2:C1001,"")*$G176,"")</f>
        <v/>
      </c>
      <c r="K176" s="179" t="str">
        <f t="array" ref="K176">IF($F176&lt;&gt;"",XLOOKUP($F176,Productos!$A:$A,Productos!D:D,"Revisar"),"")</f>
        <v/>
      </c>
      <c r="L176" s="179" t="str">
        <f t="array" ref="L176">IF($F176&lt;&gt;"", XLOOKUP($F176,Productos!$A$2:$A1001,Productos!E$2:E1001,"")*$G176,"")</f>
        <v/>
      </c>
      <c r="M176" s="179" t="str">
        <f t="array" ref="M176">IF($F176&lt;&gt;"",XLOOKUP($F176,Productos!$A:$A,Productos!F:F,"Revisar"),"")</f>
        <v/>
      </c>
      <c r="N176" s="179" t="str">
        <f t="array" ref="N176">IF($F176&lt;&gt;"", XLOOKUP($F176,Productos!$A$2:$A1001,Productos!G$2:G1001,"")*$G176,"")</f>
        <v/>
      </c>
      <c r="O176" s="179" t="str">
        <f t="array" ref="O176">IF($F176&lt;&gt;"",XLOOKUP($F176,Productos!$A:$A,Productos!H:H,"Revisar"),"")</f>
        <v/>
      </c>
      <c r="P176" s="179" t="str">
        <f t="array" ref="P176">IF($F176&lt;&gt;"", XLOOKUP($F176,Productos!$A$2:$A1001,Productos!I$2:I1001,"")*$G176,"")</f>
        <v/>
      </c>
      <c r="Q176" s="179" t="str">
        <f t="array" ref="Q176">IF($F176&lt;&gt;"",XLOOKUP($F176,Productos!$A:$A,Productos!J:J,"Revisar"),"")</f>
        <v/>
      </c>
      <c r="R176" s="179" t="str">
        <f t="array" ref="R176">IF($F176&lt;&gt;"", XLOOKUP($F176,Productos!$A$2:$A1001,Productos!K$2:K1001,"")*$G176,"")</f>
        <v/>
      </c>
      <c r="S176" s="179" t="str">
        <f t="array" ref="S176">IF($F176&lt;&gt;"",XLOOKUP($F176,Productos!$A:$A,Productos!L:L,"Revisar"),"")</f>
        <v/>
      </c>
      <c r="T176" s="179" t="str">
        <f t="array" ref="T176">IF($F176&lt;&gt;"", XLOOKUP($F176,Productos!$A$2:$A1001,Productos!M$2:M1001,"")*$G176,"")</f>
        <v/>
      </c>
      <c r="U176" s="179" t="str">
        <f t="array" ref="U176">IF($F176&lt;&gt;"",XLOOKUP($F176,Productos!$A:$A,Productos!N:N,"Revisar"),"")</f>
        <v/>
      </c>
      <c r="V176" s="179" t="str">
        <f t="array" ref="V176">IF($F176&lt;&gt;"", XLOOKUP($F176,Productos!$A$2:$A1001,Productos!O$2:O1001,"")*$G176,"")</f>
        <v/>
      </c>
      <c r="W176" s="179" t="str">
        <f t="array" ref="W176">IF($F176&lt;&gt;"",XLOOKUP($F176,Productos!$A:$A,Productos!P:P,"Revisar"),"")</f>
        <v/>
      </c>
      <c r="X176" s="179" t="str">
        <f t="array" ref="X176">IF($F176&lt;&gt;"", XLOOKUP($F176,Productos!$A$2:$A1001,Productos!Q$2:Q1001,"")*$G176,"")</f>
        <v/>
      </c>
      <c r="Y176" s="179" t="str">
        <f t="array" ref="Y176">IF($F176&lt;&gt;"",XLOOKUP($F176,Productos!$A:$A,Productos!R:R,"Revisar"),"")</f>
        <v/>
      </c>
      <c r="Z176" s="179" t="str">
        <f t="array" ref="Z176">IF($F176&lt;&gt;"", XLOOKUP($F176,Productos!$A$2:$A1001,Productos!S$2:S1001,"")*$G176,"")</f>
        <v/>
      </c>
      <c r="AA176" s="179" t="str">
        <f t="array" ref="AA176">IF($F176&lt;&gt;"",XLOOKUP($F176,Productos!$A:$A,Productos!T:T,"Revisar"),"")</f>
        <v/>
      </c>
      <c r="AB176" s="179" t="str">
        <f t="array" ref="AB176">IF($F176&lt;&gt;"", XLOOKUP($F176,Productos!$A$2:$A1001,Productos!U$2:U1001,"")*$G176,"")</f>
        <v/>
      </c>
      <c r="AC176" s="179" t="str">
        <f t="array" ref="AC176">IF($F176&lt;&gt;"",XLOOKUP($F176,Productos!$A:$A,Productos!V:V,"Revisar"),"")</f>
        <v/>
      </c>
      <c r="AD176" s="179" t="str">
        <f t="array" ref="AD176">IF($F176&lt;&gt;"", XLOOKUP($F176,Productos!$A$2:$A1001,Productos!W$2:W1001,"")*$G176,"")</f>
        <v/>
      </c>
      <c r="AE176" s="179" t="str">
        <f t="array" ref="AE176">IF($F176&lt;&gt;"",XLOOKUP($F176,Productos!$A:$A,Productos!X:X,"Revisar"),"")</f>
        <v/>
      </c>
      <c r="AF176" s="179" t="str">
        <f t="array" ref="AF176">IF($F176&lt;&gt;"", XLOOKUP($F176,Productos!$A$2:$A1001,Productos!Y$2:Y1001,"")*$G176,"")</f>
        <v/>
      </c>
      <c r="AG176" s="179" t="str">
        <f t="array" ref="AG176">IF($F176&lt;&gt;"",XLOOKUP($F176,Productos!$A:$A,Productos!Z:Z,"Revisar"),"")</f>
        <v/>
      </c>
      <c r="AH176" s="179" t="str">
        <f t="array" ref="AH176">IF($F176&lt;&gt;"", XLOOKUP($F176,Productos!$A$2:$A1001,Productos!AA$2:AA1001,"")*$G176,"")</f>
        <v/>
      </c>
      <c r="AI176" s="179" t="str">
        <f t="array" ref="AI176">IF($F176&lt;&gt;"",XLOOKUP($F176,Productos!$A:$A,Productos!AB:AB,"Revisar"),"")</f>
        <v/>
      </c>
      <c r="AJ176" s="179" t="str">
        <f t="array" ref="AJ176">IF($F176&lt;&gt;"", XLOOKUP($F176,Productos!$A$2:$A1001,Productos!AC$2:AC1001,"")*$G176,"")</f>
        <v/>
      </c>
      <c r="AK176" s="179" t="str">
        <f t="array" ref="AK176">IF($F176&lt;&gt;"",XLOOKUP($F176,Productos!$A:$A,Productos!AD:AD,"Revisar"),"")</f>
        <v/>
      </c>
      <c r="AL176" s="179" t="str">
        <f t="array" ref="AL176">IF($F176&lt;&gt;"", XLOOKUP($F176,Productos!$A$2:$A1001,Productos!AE$2:AE1001,"")*$G176,"")</f>
        <v/>
      </c>
      <c r="AM176" s="179" t="str">
        <f t="array" ref="AM176">IF($F176&lt;&gt;"",XLOOKUP($F176,Productos!$A:$A,Productos!AF:AF,"Revisar"),"")</f>
        <v/>
      </c>
      <c r="AN176" s="179" t="str">
        <f t="array" ref="AN176">IF($F176&lt;&gt;"", XLOOKUP($F176,Productos!$A$2:$A1001,Productos!AG$2:AG1001,"")*$G176,"")</f>
        <v/>
      </c>
      <c r="AO176" s="179" t="str">
        <f t="array" ref="AO176">IF($F176&lt;&gt;"",XLOOKUP($F176,Productos!$A:$A,Productos!AH:AH,"Revisar"),"")</f>
        <v/>
      </c>
      <c r="AP176" s="179" t="str">
        <f t="array" ref="AP176">IF($F176&lt;&gt;"", XLOOKUP($F176,Productos!$A$2:$A1001,Productos!AI$2:AI1001,"")*$G176,"")</f>
        <v/>
      </c>
      <c r="AQ176" s="179" t="str">
        <f t="array" ref="AQ176">IF($F176&lt;&gt;"",XLOOKUP($F176,Productos!$A:$A,Productos!AJ:AJ,"Revisar"),"")</f>
        <v/>
      </c>
      <c r="AR176" s="179" t="str">
        <f t="array" ref="AR176">IF($F176&lt;&gt;"", XLOOKUP($F176,Productos!$A$2:$A1001,Productos!AK$2:AK1001,"")*$G176,"")</f>
        <v/>
      </c>
      <c r="AS176" s="179" t="str">
        <f t="array" ref="AS176">IF($F176&lt;&gt;"",XLOOKUP($F176,Productos!$A:$A,Productos!AL:AL,"Revisar"),"")</f>
        <v/>
      </c>
      <c r="AT176" s="179" t="str">
        <f t="array" ref="AT176">IF($F176&lt;&gt;"", XLOOKUP($F176,Productos!$A$2:$A1001,Productos!AM$2:AM1001,"")*$G176,"")</f>
        <v/>
      </c>
      <c r="AU176" s="179" t="str">
        <f t="array" ref="AU176">IF($F176&lt;&gt;"",XLOOKUP($F176,Productos!$A:$A,Productos!AN:AN,"Revisar"),"")</f>
        <v/>
      </c>
      <c r="AV176" s="179" t="str">
        <f t="array" ref="AV176">IF($F176&lt;&gt;"", XLOOKUP($F176,Productos!$A$2:$A1001,Productos!AO$2:AO1001,"")*$G176,"")</f>
        <v/>
      </c>
      <c r="AW176" s="179" t="str">
        <f t="array" ref="AW176">IF($F176&lt;&gt;"",XLOOKUP($F176,Productos!$A:$A,Productos!AP:AP,"Revisar"),"")</f>
        <v/>
      </c>
      <c r="AX176" s="179" t="str">
        <f t="array" ref="AX176">IF($F176&lt;&gt;"", XLOOKUP($F176,Productos!$A$2:$A1001,Productos!AQ$2:AQ1001,"")*$G176,"")</f>
        <v/>
      </c>
      <c r="AY176" s="179" t="str">
        <f t="array" ref="AY176">IF($F176&lt;&gt;"",XLOOKUP($F176,Productos!$A:$A,Productos!AR:AR,"Revisar"),"")</f>
        <v/>
      </c>
      <c r="AZ176" s="179" t="str">
        <f t="array" ref="AZ176">IF($F176&lt;&gt;"", XLOOKUP($F176,Productos!$A$2:$A1001,Productos!AS$2:AS1001,"")*$G176,"")</f>
        <v/>
      </c>
      <c r="BA176" s="179" t="str">
        <f t="array" ref="BA176">IF($F176&lt;&gt;"",XLOOKUP($F176,Productos!$A:$A,Productos!AT:AT,"Revisar"),"")</f>
        <v/>
      </c>
      <c r="BB176" s="179" t="str">
        <f t="array" ref="BB176">IF($F176&lt;&gt;"", XLOOKUP($F176,Productos!$A$2:$A1001,Productos!AU$2:AU1001,"")*$G176,"")</f>
        <v/>
      </c>
      <c r="BC176" s="179" t="str">
        <f t="array" ref="BC176">IF($F176&lt;&gt;"",XLOOKUP($F176,Productos!$A:$A,Productos!AV:AV,"Revisar"),"")</f>
        <v/>
      </c>
      <c r="BD176" s="179" t="str">
        <f t="array" ref="BD176">IF($F176&lt;&gt;"", XLOOKUP($F176,Productos!$A$2:$A1001,Productos!AW$2:AW1001,"")*$G176,"")</f>
        <v/>
      </c>
      <c r="BE176" s="179" t="str">
        <f t="array" ref="BE176">IF($F176&lt;&gt;"",XLOOKUP($F176,Productos!$A:$A,Productos!AX:AX,"Revisar"),"")</f>
        <v/>
      </c>
      <c r="BF176" s="179" t="str">
        <f t="array" ref="BF176">IF($F176&lt;&gt;"", XLOOKUP($F176,Productos!$A$2:$A1001,Productos!AY$2:AY1001,"")*$G176,"")</f>
        <v/>
      </c>
      <c r="BG176" s="179" t="str">
        <f t="array" ref="BG176">IF($F176&lt;&gt;"",XLOOKUP($F176,Productos!$A:$A,Productos!AZ:AZ,"Revisar"),"")</f>
        <v/>
      </c>
      <c r="BH176" s="179" t="str">
        <f t="array" ref="BH176">IF($F176&lt;&gt;"", XLOOKUP($F176,Productos!$A$2:$A1001,Productos!BA$2:BA1001,"")*$G176,"")</f>
        <v/>
      </c>
      <c r="BI176" s="179" t="str">
        <f t="array" ref="BI176">IF($F176&lt;&gt;"",XLOOKUP($F176,Productos!$A:$A,Productos!BB:BB,"Revisar"),"")</f>
        <v/>
      </c>
      <c r="BJ176" s="179" t="str">
        <f t="array" ref="BJ176">IF($F176&lt;&gt;"", XLOOKUP($F176,Productos!$A$2:$A1001,Productos!BC$2:BC1001,"")*$G176,"")</f>
        <v/>
      </c>
      <c r="BK176" s="179" t="str">
        <f t="array" ref="BK176">IF($F176&lt;&gt;"",XLOOKUP($F176,Productos!$A:$A,Productos!BD:BD,"Revisar"),"")</f>
        <v/>
      </c>
      <c r="BL176" s="179" t="str">
        <f t="array" ref="BL176">IF($F176&lt;&gt;"", XLOOKUP($F176,Productos!$A$2:$A1001,Productos!BE$2:BE1001,"")*$G176,"")</f>
        <v/>
      </c>
      <c r="BM176" s="179" t="str">
        <f t="array" ref="BM176">IF($F176&lt;&gt;"",XLOOKUP($F176,Productos!$A:$A,Productos!BF:BF,"Revisar"),"")</f>
        <v/>
      </c>
      <c r="BN176" s="179" t="str">
        <f t="array" ref="BN176">IF($F176&lt;&gt;"", XLOOKUP($F176,Productos!$A$2:$A1001,Productos!BG$2:BG1001,"")*$G176,"")</f>
        <v/>
      </c>
      <c r="BO176" s="179" t="str">
        <f t="array" ref="BO176">IF($F176&lt;&gt;"",XLOOKUP($F176,Productos!$A:$A,Productos!BH:BH,"Revisar"),"")</f>
        <v/>
      </c>
      <c r="BP176" s="179" t="str">
        <f t="array" ref="BP176">IF($F176&lt;&gt;"", XLOOKUP($F176,Productos!$A$2:$A1001,Productos!BI$2:BI1001,"")*$G176,"")</f>
        <v/>
      </c>
      <c r="BQ176" s="179" t="str">
        <f t="array" ref="BQ176">IF($F176&lt;&gt;"",XLOOKUP($F176,Productos!$A:$A,Productos!BJ:BJ,"Revisar"),"")</f>
        <v/>
      </c>
      <c r="BR176" s="179" t="str">
        <f t="array" ref="BR176">IF($F176&lt;&gt;"", XLOOKUP($F176,Productos!$A$2:$A1001,Productos!BK$2:BK1001,"")*$G176,"")</f>
        <v/>
      </c>
      <c r="BS176" s="179" t="str">
        <f t="array" ref="BS176">IF($F176&lt;&gt;"",XLOOKUP($F176,Productos!$A:$A,Productos!BL:BL,"Revisar"),"")</f>
        <v/>
      </c>
      <c r="BT176" s="179" t="str">
        <f t="array" ref="BT176">IF($F176&lt;&gt;"", XLOOKUP($F176,Productos!$A$2:$A1001,Productos!BM$2:BM1001,"")*$G176,"")</f>
        <v/>
      </c>
      <c r="BU176" s="179" t="str">
        <f t="array" ref="BU176">IF($F176&lt;&gt;"",XLOOKUP($F176,Productos!$A:$A,Productos!BN:BN,"Revisar"),"")</f>
        <v/>
      </c>
      <c r="BV176" s="179" t="str">
        <f t="array" ref="BV176">IF($F176&lt;&gt;"", XLOOKUP($F176,Productos!$A$2:$A1001,Productos!BO$2:BO1001,"")*$G176,"")</f>
        <v/>
      </c>
      <c r="BW176" s="179" t="str">
        <f t="array" ref="BW176">IF($F176&lt;&gt;"",XLOOKUP($F176,Productos!$A:$A,Productos!BP:BP,"Revisar"),"")</f>
        <v/>
      </c>
      <c r="BX176" s="179" t="str">
        <f t="array" ref="BX176">IF($F176&lt;&gt;"", XLOOKUP($F176,Productos!$A$2:$A1001,Productos!BQ$2:BQ1001,"")*$G176,"")</f>
        <v/>
      </c>
      <c r="BY176" s="179" t="str">
        <f t="array" ref="BY176">IF($F176&lt;&gt;"",XLOOKUP($F176,Productos!$A:$A,Productos!BR:BR,"Revisar"),"")</f>
        <v/>
      </c>
      <c r="BZ176" s="179" t="str">
        <f t="array" ref="BZ176">IF($F176&lt;&gt;"", XLOOKUP($F176,Productos!$A$2:$A1001,Productos!BS$2:BS1001,"")*$G176,"")</f>
        <v/>
      </c>
    </row>
    <row r="177">
      <c r="A177" s="180"/>
      <c r="B177" s="181"/>
      <c r="C177" s="182"/>
      <c r="D177" s="182"/>
      <c r="E177" s="185"/>
      <c r="F177" s="186"/>
      <c r="G177" s="187"/>
      <c r="H177" s="186"/>
      <c r="I177" s="179" t="str">
        <f t="array" ref="I177">IF($F177&lt;&gt;"",XLOOKUP($F177,Productos!$A:$A,Productos!B:B,"Revisar"),"")</f>
        <v/>
      </c>
      <c r="J177" s="179" t="str">
        <f t="array" ref="J177">IF($F177&lt;&gt;"", XLOOKUP($F177,Productos!$A$2:$A1001,Productos!C$2:C1001,"")*$G177,"")</f>
        <v/>
      </c>
      <c r="K177" s="179" t="str">
        <f t="array" ref="K177">IF($F177&lt;&gt;"",XLOOKUP($F177,Productos!$A:$A,Productos!D:D,"Revisar"),"")</f>
        <v/>
      </c>
      <c r="L177" s="179" t="str">
        <f t="array" ref="L177">IF($F177&lt;&gt;"", XLOOKUP($F177,Productos!$A$2:$A1001,Productos!E$2:E1001,"")*$G177,"")</f>
        <v/>
      </c>
      <c r="M177" s="179" t="str">
        <f t="array" ref="M177">IF($F177&lt;&gt;"",XLOOKUP($F177,Productos!$A:$A,Productos!F:F,"Revisar"),"")</f>
        <v/>
      </c>
      <c r="N177" s="179" t="str">
        <f t="array" ref="N177">IF($F177&lt;&gt;"", XLOOKUP($F177,Productos!$A$2:$A1001,Productos!G$2:G1001,"")*$G177,"")</f>
        <v/>
      </c>
      <c r="O177" s="179" t="str">
        <f t="array" ref="O177">IF($F177&lt;&gt;"",XLOOKUP($F177,Productos!$A:$A,Productos!H:H,"Revisar"),"")</f>
        <v/>
      </c>
      <c r="P177" s="179" t="str">
        <f t="array" ref="P177">IF($F177&lt;&gt;"", XLOOKUP($F177,Productos!$A$2:$A1001,Productos!I$2:I1001,"")*$G177,"")</f>
        <v/>
      </c>
      <c r="Q177" s="179" t="str">
        <f t="array" ref="Q177">IF($F177&lt;&gt;"",XLOOKUP($F177,Productos!$A:$A,Productos!J:J,"Revisar"),"")</f>
        <v/>
      </c>
      <c r="R177" s="179" t="str">
        <f t="array" ref="R177">IF($F177&lt;&gt;"", XLOOKUP($F177,Productos!$A$2:$A1001,Productos!K$2:K1001,"")*$G177,"")</f>
        <v/>
      </c>
      <c r="S177" s="179" t="str">
        <f t="array" ref="S177">IF($F177&lt;&gt;"",XLOOKUP($F177,Productos!$A:$A,Productos!L:L,"Revisar"),"")</f>
        <v/>
      </c>
      <c r="T177" s="179" t="str">
        <f t="array" ref="T177">IF($F177&lt;&gt;"", XLOOKUP($F177,Productos!$A$2:$A1001,Productos!M$2:M1001,"")*$G177,"")</f>
        <v/>
      </c>
      <c r="U177" s="179" t="str">
        <f t="array" ref="U177">IF($F177&lt;&gt;"",XLOOKUP($F177,Productos!$A:$A,Productos!N:N,"Revisar"),"")</f>
        <v/>
      </c>
      <c r="V177" s="179" t="str">
        <f t="array" ref="V177">IF($F177&lt;&gt;"", XLOOKUP($F177,Productos!$A$2:$A1001,Productos!O$2:O1001,"")*$G177,"")</f>
        <v/>
      </c>
      <c r="W177" s="179" t="str">
        <f t="array" ref="W177">IF($F177&lt;&gt;"",XLOOKUP($F177,Productos!$A:$A,Productos!P:P,"Revisar"),"")</f>
        <v/>
      </c>
      <c r="X177" s="179" t="str">
        <f t="array" ref="X177">IF($F177&lt;&gt;"", XLOOKUP($F177,Productos!$A$2:$A1001,Productos!Q$2:Q1001,"")*$G177,"")</f>
        <v/>
      </c>
      <c r="Y177" s="179" t="str">
        <f t="array" ref="Y177">IF($F177&lt;&gt;"",XLOOKUP($F177,Productos!$A:$A,Productos!R:R,"Revisar"),"")</f>
        <v/>
      </c>
      <c r="Z177" s="179" t="str">
        <f t="array" ref="Z177">IF($F177&lt;&gt;"", XLOOKUP($F177,Productos!$A$2:$A1001,Productos!S$2:S1001,"")*$G177,"")</f>
        <v/>
      </c>
      <c r="AA177" s="179" t="str">
        <f t="array" ref="AA177">IF($F177&lt;&gt;"",XLOOKUP($F177,Productos!$A:$A,Productos!T:T,"Revisar"),"")</f>
        <v/>
      </c>
      <c r="AB177" s="179" t="str">
        <f t="array" ref="AB177">IF($F177&lt;&gt;"", XLOOKUP($F177,Productos!$A$2:$A1001,Productos!U$2:U1001,"")*$G177,"")</f>
        <v/>
      </c>
      <c r="AC177" s="179" t="str">
        <f t="array" ref="AC177">IF($F177&lt;&gt;"",XLOOKUP($F177,Productos!$A:$A,Productos!V:V,"Revisar"),"")</f>
        <v/>
      </c>
      <c r="AD177" s="179" t="str">
        <f t="array" ref="AD177">IF($F177&lt;&gt;"", XLOOKUP($F177,Productos!$A$2:$A1001,Productos!W$2:W1001,"")*$G177,"")</f>
        <v/>
      </c>
      <c r="AE177" s="179" t="str">
        <f t="array" ref="AE177">IF($F177&lt;&gt;"",XLOOKUP($F177,Productos!$A:$A,Productos!X:X,"Revisar"),"")</f>
        <v/>
      </c>
      <c r="AF177" s="179" t="str">
        <f t="array" ref="AF177">IF($F177&lt;&gt;"", XLOOKUP($F177,Productos!$A$2:$A1001,Productos!Y$2:Y1001,"")*$G177,"")</f>
        <v/>
      </c>
      <c r="AG177" s="179" t="str">
        <f t="array" ref="AG177">IF($F177&lt;&gt;"",XLOOKUP($F177,Productos!$A:$A,Productos!Z:Z,"Revisar"),"")</f>
        <v/>
      </c>
      <c r="AH177" s="179" t="str">
        <f t="array" ref="AH177">IF($F177&lt;&gt;"", XLOOKUP($F177,Productos!$A$2:$A1001,Productos!AA$2:AA1001,"")*$G177,"")</f>
        <v/>
      </c>
      <c r="AI177" s="179" t="str">
        <f t="array" ref="AI177">IF($F177&lt;&gt;"",XLOOKUP($F177,Productos!$A:$A,Productos!AB:AB,"Revisar"),"")</f>
        <v/>
      </c>
      <c r="AJ177" s="179" t="str">
        <f t="array" ref="AJ177">IF($F177&lt;&gt;"", XLOOKUP($F177,Productos!$A$2:$A1001,Productos!AC$2:AC1001,"")*$G177,"")</f>
        <v/>
      </c>
      <c r="AK177" s="179" t="str">
        <f t="array" ref="AK177">IF($F177&lt;&gt;"",XLOOKUP($F177,Productos!$A:$A,Productos!AD:AD,"Revisar"),"")</f>
        <v/>
      </c>
      <c r="AL177" s="179" t="str">
        <f t="array" ref="AL177">IF($F177&lt;&gt;"", XLOOKUP($F177,Productos!$A$2:$A1001,Productos!AE$2:AE1001,"")*$G177,"")</f>
        <v/>
      </c>
      <c r="AM177" s="179" t="str">
        <f t="array" ref="AM177">IF($F177&lt;&gt;"",XLOOKUP($F177,Productos!$A:$A,Productos!AF:AF,"Revisar"),"")</f>
        <v/>
      </c>
      <c r="AN177" s="179" t="str">
        <f t="array" ref="AN177">IF($F177&lt;&gt;"", XLOOKUP($F177,Productos!$A$2:$A1001,Productos!AG$2:AG1001,"")*$G177,"")</f>
        <v/>
      </c>
      <c r="AO177" s="179" t="str">
        <f t="array" ref="AO177">IF($F177&lt;&gt;"",XLOOKUP($F177,Productos!$A:$A,Productos!AH:AH,"Revisar"),"")</f>
        <v/>
      </c>
      <c r="AP177" s="179" t="str">
        <f t="array" ref="AP177">IF($F177&lt;&gt;"", XLOOKUP($F177,Productos!$A$2:$A1001,Productos!AI$2:AI1001,"")*$G177,"")</f>
        <v/>
      </c>
      <c r="AQ177" s="179" t="str">
        <f t="array" ref="AQ177">IF($F177&lt;&gt;"",XLOOKUP($F177,Productos!$A:$A,Productos!AJ:AJ,"Revisar"),"")</f>
        <v/>
      </c>
      <c r="AR177" s="179" t="str">
        <f t="array" ref="AR177">IF($F177&lt;&gt;"", XLOOKUP($F177,Productos!$A$2:$A1001,Productos!AK$2:AK1001,"")*$G177,"")</f>
        <v/>
      </c>
      <c r="AS177" s="179" t="str">
        <f t="array" ref="AS177">IF($F177&lt;&gt;"",XLOOKUP($F177,Productos!$A:$A,Productos!AL:AL,"Revisar"),"")</f>
        <v/>
      </c>
      <c r="AT177" s="179" t="str">
        <f t="array" ref="AT177">IF($F177&lt;&gt;"", XLOOKUP($F177,Productos!$A$2:$A1001,Productos!AM$2:AM1001,"")*$G177,"")</f>
        <v/>
      </c>
      <c r="AU177" s="179" t="str">
        <f t="array" ref="AU177">IF($F177&lt;&gt;"",XLOOKUP($F177,Productos!$A:$A,Productos!AN:AN,"Revisar"),"")</f>
        <v/>
      </c>
      <c r="AV177" s="179" t="str">
        <f t="array" ref="AV177">IF($F177&lt;&gt;"", XLOOKUP($F177,Productos!$A$2:$A1001,Productos!AO$2:AO1001,"")*$G177,"")</f>
        <v/>
      </c>
      <c r="AW177" s="179" t="str">
        <f t="array" ref="AW177">IF($F177&lt;&gt;"",XLOOKUP($F177,Productos!$A:$A,Productos!AP:AP,"Revisar"),"")</f>
        <v/>
      </c>
      <c r="AX177" s="179" t="str">
        <f t="array" ref="AX177">IF($F177&lt;&gt;"", XLOOKUP($F177,Productos!$A$2:$A1001,Productos!AQ$2:AQ1001,"")*$G177,"")</f>
        <v/>
      </c>
      <c r="AY177" s="179" t="str">
        <f t="array" ref="AY177">IF($F177&lt;&gt;"",XLOOKUP($F177,Productos!$A:$A,Productos!AR:AR,"Revisar"),"")</f>
        <v/>
      </c>
      <c r="AZ177" s="179" t="str">
        <f t="array" ref="AZ177">IF($F177&lt;&gt;"", XLOOKUP($F177,Productos!$A$2:$A1001,Productos!AS$2:AS1001,"")*$G177,"")</f>
        <v/>
      </c>
      <c r="BA177" s="179" t="str">
        <f t="array" ref="BA177">IF($F177&lt;&gt;"",XLOOKUP($F177,Productos!$A:$A,Productos!AT:AT,"Revisar"),"")</f>
        <v/>
      </c>
      <c r="BB177" s="179" t="str">
        <f t="array" ref="BB177">IF($F177&lt;&gt;"", XLOOKUP($F177,Productos!$A$2:$A1001,Productos!AU$2:AU1001,"")*$G177,"")</f>
        <v/>
      </c>
      <c r="BC177" s="179" t="str">
        <f t="array" ref="BC177">IF($F177&lt;&gt;"",XLOOKUP($F177,Productos!$A:$A,Productos!AV:AV,"Revisar"),"")</f>
        <v/>
      </c>
      <c r="BD177" s="179" t="str">
        <f t="array" ref="BD177">IF($F177&lt;&gt;"", XLOOKUP($F177,Productos!$A$2:$A1001,Productos!AW$2:AW1001,"")*$G177,"")</f>
        <v/>
      </c>
      <c r="BE177" s="179" t="str">
        <f t="array" ref="BE177">IF($F177&lt;&gt;"",XLOOKUP($F177,Productos!$A:$A,Productos!AX:AX,"Revisar"),"")</f>
        <v/>
      </c>
      <c r="BF177" s="179" t="str">
        <f t="array" ref="BF177">IF($F177&lt;&gt;"", XLOOKUP($F177,Productos!$A$2:$A1001,Productos!AY$2:AY1001,"")*$G177,"")</f>
        <v/>
      </c>
      <c r="BG177" s="179" t="str">
        <f t="array" ref="BG177">IF($F177&lt;&gt;"",XLOOKUP($F177,Productos!$A:$A,Productos!AZ:AZ,"Revisar"),"")</f>
        <v/>
      </c>
      <c r="BH177" s="179" t="str">
        <f t="array" ref="BH177">IF($F177&lt;&gt;"", XLOOKUP($F177,Productos!$A$2:$A1001,Productos!BA$2:BA1001,"")*$G177,"")</f>
        <v/>
      </c>
      <c r="BI177" s="179" t="str">
        <f t="array" ref="BI177">IF($F177&lt;&gt;"",XLOOKUP($F177,Productos!$A:$A,Productos!BB:BB,"Revisar"),"")</f>
        <v/>
      </c>
      <c r="BJ177" s="179" t="str">
        <f t="array" ref="BJ177">IF($F177&lt;&gt;"", XLOOKUP($F177,Productos!$A$2:$A1001,Productos!BC$2:BC1001,"")*$G177,"")</f>
        <v/>
      </c>
      <c r="BK177" s="179" t="str">
        <f t="array" ref="BK177">IF($F177&lt;&gt;"",XLOOKUP($F177,Productos!$A:$A,Productos!BD:BD,"Revisar"),"")</f>
        <v/>
      </c>
      <c r="BL177" s="179" t="str">
        <f t="array" ref="BL177">IF($F177&lt;&gt;"", XLOOKUP($F177,Productos!$A$2:$A1001,Productos!BE$2:BE1001,"")*$G177,"")</f>
        <v/>
      </c>
      <c r="BM177" s="179" t="str">
        <f t="array" ref="BM177">IF($F177&lt;&gt;"",XLOOKUP($F177,Productos!$A:$A,Productos!BF:BF,"Revisar"),"")</f>
        <v/>
      </c>
      <c r="BN177" s="179" t="str">
        <f t="array" ref="BN177">IF($F177&lt;&gt;"", XLOOKUP($F177,Productos!$A$2:$A1001,Productos!BG$2:BG1001,"")*$G177,"")</f>
        <v/>
      </c>
      <c r="BO177" s="179" t="str">
        <f t="array" ref="BO177">IF($F177&lt;&gt;"",XLOOKUP($F177,Productos!$A:$A,Productos!BH:BH,"Revisar"),"")</f>
        <v/>
      </c>
      <c r="BP177" s="179" t="str">
        <f t="array" ref="BP177">IF($F177&lt;&gt;"", XLOOKUP($F177,Productos!$A$2:$A1001,Productos!BI$2:BI1001,"")*$G177,"")</f>
        <v/>
      </c>
      <c r="BQ177" s="179" t="str">
        <f t="array" ref="BQ177">IF($F177&lt;&gt;"",XLOOKUP($F177,Productos!$A:$A,Productos!BJ:BJ,"Revisar"),"")</f>
        <v/>
      </c>
      <c r="BR177" s="179" t="str">
        <f t="array" ref="BR177">IF($F177&lt;&gt;"", XLOOKUP($F177,Productos!$A$2:$A1001,Productos!BK$2:BK1001,"")*$G177,"")</f>
        <v/>
      </c>
      <c r="BS177" s="179" t="str">
        <f t="array" ref="BS177">IF($F177&lt;&gt;"",XLOOKUP($F177,Productos!$A:$A,Productos!BL:BL,"Revisar"),"")</f>
        <v/>
      </c>
      <c r="BT177" s="179" t="str">
        <f t="array" ref="BT177">IF($F177&lt;&gt;"", XLOOKUP($F177,Productos!$A$2:$A1001,Productos!BM$2:BM1001,"")*$G177,"")</f>
        <v/>
      </c>
      <c r="BU177" s="179" t="str">
        <f t="array" ref="BU177">IF($F177&lt;&gt;"",XLOOKUP($F177,Productos!$A:$A,Productos!BN:BN,"Revisar"),"")</f>
        <v/>
      </c>
      <c r="BV177" s="179" t="str">
        <f t="array" ref="BV177">IF($F177&lt;&gt;"", XLOOKUP($F177,Productos!$A$2:$A1001,Productos!BO$2:BO1001,"")*$G177,"")</f>
        <v/>
      </c>
      <c r="BW177" s="179" t="str">
        <f t="array" ref="BW177">IF($F177&lt;&gt;"",XLOOKUP($F177,Productos!$A:$A,Productos!BP:BP,"Revisar"),"")</f>
        <v/>
      </c>
      <c r="BX177" s="179" t="str">
        <f t="array" ref="BX177">IF($F177&lt;&gt;"", XLOOKUP($F177,Productos!$A$2:$A1001,Productos!BQ$2:BQ1001,"")*$G177,"")</f>
        <v/>
      </c>
      <c r="BY177" s="179" t="str">
        <f t="array" ref="BY177">IF($F177&lt;&gt;"",XLOOKUP($F177,Productos!$A:$A,Productos!BR:BR,"Revisar"),"")</f>
        <v/>
      </c>
      <c r="BZ177" s="179" t="str">
        <f t="array" ref="BZ177">IF($F177&lt;&gt;"", XLOOKUP($F177,Productos!$A$2:$A1001,Productos!BS$2:BS1001,"")*$G177,"")</f>
        <v/>
      </c>
    </row>
    <row r="178">
      <c r="A178" s="180"/>
      <c r="B178" s="181"/>
      <c r="C178" s="182"/>
      <c r="D178" s="182"/>
      <c r="E178" s="185"/>
      <c r="F178" s="186"/>
      <c r="G178" s="187"/>
      <c r="H178" s="186"/>
      <c r="I178" s="179" t="str">
        <f t="array" ref="I178">IF($F178&lt;&gt;"",XLOOKUP($F178,Productos!$A:$A,Productos!B:B,"Revisar"),"")</f>
        <v/>
      </c>
      <c r="J178" s="179" t="str">
        <f t="array" ref="J178">IF($F178&lt;&gt;"", XLOOKUP($F178,Productos!$A$2:$A1001,Productos!C$2:C1001,"")*$G178,"")</f>
        <v/>
      </c>
      <c r="K178" s="179" t="str">
        <f t="array" ref="K178">IF($F178&lt;&gt;"",XLOOKUP($F178,Productos!$A:$A,Productos!D:D,"Revisar"),"")</f>
        <v/>
      </c>
      <c r="L178" s="179" t="str">
        <f t="array" ref="L178">IF($F178&lt;&gt;"", XLOOKUP($F178,Productos!$A$2:$A1001,Productos!E$2:E1001,"")*$G178,"")</f>
        <v/>
      </c>
      <c r="M178" s="179" t="str">
        <f t="array" ref="M178">IF($F178&lt;&gt;"",XLOOKUP($F178,Productos!$A:$A,Productos!F:F,"Revisar"),"")</f>
        <v/>
      </c>
      <c r="N178" s="179" t="str">
        <f t="array" ref="N178">IF($F178&lt;&gt;"", XLOOKUP($F178,Productos!$A$2:$A1001,Productos!G$2:G1001,"")*$G178,"")</f>
        <v/>
      </c>
      <c r="O178" s="179" t="str">
        <f t="array" ref="O178">IF($F178&lt;&gt;"",XLOOKUP($F178,Productos!$A:$A,Productos!H:H,"Revisar"),"")</f>
        <v/>
      </c>
      <c r="P178" s="179" t="str">
        <f t="array" ref="P178">IF($F178&lt;&gt;"", XLOOKUP($F178,Productos!$A$2:$A1001,Productos!I$2:I1001,"")*$G178,"")</f>
        <v/>
      </c>
      <c r="Q178" s="179" t="str">
        <f t="array" ref="Q178">IF($F178&lt;&gt;"",XLOOKUP($F178,Productos!$A:$A,Productos!J:J,"Revisar"),"")</f>
        <v/>
      </c>
      <c r="R178" s="179" t="str">
        <f t="array" ref="R178">IF($F178&lt;&gt;"", XLOOKUP($F178,Productos!$A$2:$A1001,Productos!K$2:K1001,"")*$G178,"")</f>
        <v/>
      </c>
      <c r="S178" s="179" t="str">
        <f t="array" ref="S178">IF($F178&lt;&gt;"",XLOOKUP($F178,Productos!$A:$A,Productos!L:L,"Revisar"),"")</f>
        <v/>
      </c>
      <c r="T178" s="179" t="str">
        <f t="array" ref="T178">IF($F178&lt;&gt;"", XLOOKUP($F178,Productos!$A$2:$A1001,Productos!M$2:M1001,"")*$G178,"")</f>
        <v/>
      </c>
      <c r="U178" s="179" t="str">
        <f t="array" ref="U178">IF($F178&lt;&gt;"",XLOOKUP($F178,Productos!$A:$A,Productos!N:N,"Revisar"),"")</f>
        <v/>
      </c>
      <c r="V178" s="179" t="str">
        <f t="array" ref="V178">IF($F178&lt;&gt;"", XLOOKUP($F178,Productos!$A$2:$A1001,Productos!O$2:O1001,"")*$G178,"")</f>
        <v/>
      </c>
      <c r="W178" s="179" t="str">
        <f t="array" ref="W178">IF($F178&lt;&gt;"",XLOOKUP($F178,Productos!$A:$A,Productos!P:P,"Revisar"),"")</f>
        <v/>
      </c>
      <c r="X178" s="179" t="str">
        <f t="array" ref="X178">IF($F178&lt;&gt;"", XLOOKUP($F178,Productos!$A$2:$A1001,Productos!Q$2:Q1001,"")*$G178,"")</f>
        <v/>
      </c>
      <c r="Y178" s="179" t="str">
        <f t="array" ref="Y178">IF($F178&lt;&gt;"",XLOOKUP($F178,Productos!$A:$A,Productos!R:R,"Revisar"),"")</f>
        <v/>
      </c>
      <c r="Z178" s="179" t="str">
        <f t="array" ref="Z178">IF($F178&lt;&gt;"", XLOOKUP($F178,Productos!$A$2:$A1001,Productos!S$2:S1001,"")*$G178,"")</f>
        <v/>
      </c>
      <c r="AA178" s="179" t="str">
        <f t="array" ref="AA178">IF($F178&lt;&gt;"",XLOOKUP($F178,Productos!$A:$A,Productos!T:T,"Revisar"),"")</f>
        <v/>
      </c>
      <c r="AB178" s="179" t="str">
        <f t="array" ref="AB178">IF($F178&lt;&gt;"", XLOOKUP($F178,Productos!$A$2:$A1001,Productos!U$2:U1001,"")*$G178,"")</f>
        <v/>
      </c>
      <c r="AC178" s="179" t="str">
        <f t="array" ref="AC178">IF($F178&lt;&gt;"",XLOOKUP($F178,Productos!$A:$A,Productos!V:V,"Revisar"),"")</f>
        <v/>
      </c>
      <c r="AD178" s="179" t="str">
        <f t="array" ref="AD178">IF($F178&lt;&gt;"", XLOOKUP($F178,Productos!$A$2:$A1001,Productos!W$2:W1001,"")*$G178,"")</f>
        <v/>
      </c>
      <c r="AE178" s="179" t="str">
        <f t="array" ref="AE178">IF($F178&lt;&gt;"",XLOOKUP($F178,Productos!$A:$A,Productos!X:X,"Revisar"),"")</f>
        <v/>
      </c>
      <c r="AF178" s="179" t="str">
        <f t="array" ref="AF178">IF($F178&lt;&gt;"", XLOOKUP($F178,Productos!$A$2:$A1001,Productos!Y$2:Y1001,"")*$G178,"")</f>
        <v/>
      </c>
      <c r="AG178" s="179" t="str">
        <f t="array" ref="AG178">IF($F178&lt;&gt;"",XLOOKUP($F178,Productos!$A:$A,Productos!Z:Z,"Revisar"),"")</f>
        <v/>
      </c>
      <c r="AH178" s="179" t="str">
        <f t="array" ref="AH178">IF($F178&lt;&gt;"", XLOOKUP($F178,Productos!$A$2:$A1001,Productos!AA$2:AA1001,"")*$G178,"")</f>
        <v/>
      </c>
      <c r="AI178" s="179" t="str">
        <f t="array" ref="AI178">IF($F178&lt;&gt;"",XLOOKUP($F178,Productos!$A:$A,Productos!AB:AB,"Revisar"),"")</f>
        <v/>
      </c>
      <c r="AJ178" s="179" t="str">
        <f t="array" ref="AJ178">IF($F178&lt;&gt;"", XLOOKUP($F178,Productos!$A$2:$A1001,Productos!AC$2:AC1001,"")*$G178,"")</f>
        <v/>
      </c>
      <c r="AK178" s="179" t="str">
        <f t="array" ref="AK178">IF($F178&lt;&gt;"",XLOOKUP($F178,Productos!$A:$A,Productos!AD:AD,"Revisar"),"")</f>
        <v/>
      </c>
      <c r="AL178" s="179" t="str">
        <f t="array" ref="AL178">IF($F178&lt;&gt;"", XLOOKUP($F178,Productos!$A$2:$A1001,Productos!AE$2:AE1001,"")*$G178,"")</f>
        <v/>
      </c>
      <c r="AM178" s="179" t="str">
        <f t="array" ref="AM178">IF($F178&lt;&gt;"",XLOOKUP($F178,Productos!$A:$A,Productos!AF:AF,"Revisar"),"")</f>
        <v/>
      </c>
      <c r="AN178" s="179" t="str">
        <f t="array" ref="AN178">IF($F178&lt;&gt;"", XLOOKUP($F178,Productos!$A$2:$A1001,Productos!AG$2:AG1001,"")*$G178,"")</f>
        <v/>
      </c>
      <c r="AO178" s="179" t="str">
        <f t="array" ref="AO178">IF($F178&lt;&gt;"",XLOOKUP($F178,Productos!$A:$A,Productos!AH:AH,"Revisar"),"")</f>
        <v/>
      </c>
      <c r="AP178" s="179" t="str">
        <f t="array" ref="AP178">IF($F178&lt;&gt;"", XLOOKUP($F178,Productos!$A$2:$A1001,Productos!AI$2:AI1001,"")*$G178,"")</f>
        <v/>
      </c>
      <c r="AQ178" s="179" t="str">
        <f t="array" ref="AQ178">IF($F178&lt;&gt;"",XLOOKUP($F178,Productos!$A:$A,Productos!AJ:AJ,"Revisar"),"")</f>
        <v/>
      </c>
      <c r="AR178" s="179" t="str">
        <f t="array" ref="AR178">IF($F178&lt;&gt;"", XLOOKUP($F178,Productos!$A$2:$A1001,Productos!AK$2:AK1001,"")*$G178,"")</f>
        <v/>
      </c>
      <c r="AS178" s="179" t="str">
        <f t="array" ref="AS178">IF($F178&lt;&gt;"",XLOOKUP($F178,Productos!$A:$A,Productos!AL:AL,"Revisar"),"")</f>
        <v/>
      </c>
      <c r="AT178" s="179" t="str">
        <f t="array" ref="AT178">IF($F178&lt;&gt;"", XLOOKUP($F178,Productos!$A$2:$A1001,Productos!AM$2:AM1001,"")*$G178,"")</f>
        <v/>
      </c>
      <c r="AU178" s="179" t="str">
        <f t="array" ref="AU178">IF($F178&lt;&gt;"",XLOOKUP($F178,Productos!$A:$A,Productos!AN:AN,"Revisar"),"")</f>
        <v/>
      </c>
      <c r="AV178" s="179" t="str">
        <f t="array" ref="AV178">IF($F178&lt;&gt;"", XLOOKUP($F178,Productos!$A$2:$A1001,Productos!AO$2:AO1001,"")*$G178,"")</f>
        <v/>
      </c>
      <c r="AW178" s="179" t="str">
        <f t="array" ref="AW178">IF($F178&lt;&gt;"",XLOOKUP($F178,Productos!$A:$A,Productos!AP:AP,"Revisar"),"")</f>
        <v/>
      </c>
      <c r="AX178" s="179" t="str">
        <f t="array" ref="AX178">IF($F178&lt;&gt;"", XLOOKUP($F178,Productos!$A$2:$A1001,Productos!AQ$2:AQ1001,"")*$G178,"")</f>
        <v/>
      </c>
      <c r="AY178" s="179" t="str">
        <f t="array" ref="AY178">IF($F178&lt;&gt;"",XLOOKUP($F178,Productos!$A:$A,Productos!AR:AR,"Revisar"),"")</f>
        <v/>
      </c>
      <c r="AZ178" s="179" t="str">
        <f t="array" ref="AZ178">IF($F178&lt;&gt;"", XLOOKUP($F178,Productos!$A$2:$A1001,Productos!AS$2:AS1001,"")*$G178,"")</f>
        <v/>
      </c>
      <c r="BA178" s="179" t="str">
        <f t="array" ref="BA178">IF($F178&lt;&gt;"",XLOOKUP($F178,Productos!$A:$A,Productos!AT:AT,"Revisar"),"")</f>
        <v/>
      </c>
      <c r="BB178" s="179" t="str">
        <f t="array" ref="BB178">IF($F178&lt;&gt;"", XLOOKUP($F178,Productos!$A$2:$A1001,Productos!AU$2:AU1001,"")*$G178,"")</f>
        <v/>
      </c>
      <c r="BC178" s="179" t="str">
        <f t="array" ref="BC178">IF($F178&lt;&gt;"",XLOOKUP($F178,Productos!$A:$A,Productos!AV:AV,"Revisar"),"")</f>
        <v/>
      </c>
      <c r="BD178" s="179" t="str">
        <f t="array" ref="BD178">IF($F178&lt;&gt;"", XLOOKUP($F178,Productos!$A$2:$A1001,Productos!AW$2:AW1001,"")*$G178,"")</f>
        <v/>
      </c>
      <c r="BE178" s="179" t="str">
        <f t="array" ref="BE178">IF($F178&lt;&gt;"",XLOOKUP($F178,Productos!$A:$A,Productos!AX:AX,"Revisar"),"")</f>
        <v/>
      </c>
      <c r="BF178" s="179" t="str">
        <f t="array" ref="BF178">IF($F178&lt;&gt;"", XLOOKUP($F178,Productos!$A$2:$A1001,Productos!AY$2:AY1001,"")*$G178,"")</f>
        <v/>
      </c>
      <c r="BG178" s="179" t="str">
        <f t="array" ref="BG178">IF($F178&lt;&gt;"",XLOOKUP($F178,Productos!$A:$A,Productos!AZ:AZ,"Revisar"),"")</f>
        <v/>
      </c>
      <c r="BH178" s="179" t="str">
        <f t="array" ref="BH178">IF($F178&lt;&gt;"", XLOOKUP($F178,Productos!$A$2:$A1001,Productos!BA$2:BA1001,"")*$G178,"")</f>
        <v/>
      </c>
      <c r="BI178" s="179" t="str">
        <f t="array" ref="BI178">IF($F178&lt;&gt;"",XLOOKUP($F178,Productos!$A:$A,Productos!BB:BB,"Revisar"),"")</f>
        <v/>
      </c>
      <c r="BJ178" s="179" t="str">
        <f t="array" ref="BJ178">IF($F178&lt;&gt;"", XLOOKUP($F178,Productos!$A$2:$A1001,Productos!BC$2:BC1001,"")*$G178,"")</f>
        <v/>
      </c>
      <c r="BK178" s="179" t="str">
        <f t="array" ref="BK178">IF($F178&lt;&gt;"",XLOOKUP($F178,Productos!$A:$A,Productos!BD:BD,"Revisar"),"")</f>
        <v/>
      </c>
      <c r="BL178" s="179" t="str">
        <f t="array" ref="BL178">IF($F178&lt;&gt;"", XLOOKUP($F178,Productos!$A$2:$A1001,Productos!BE$2:BE1001,"")*$G178,"")</f>
        <v/>
      </c>
      <c r="BM178" s="179" t="str">
        <f t="array" ref="BM178">IF($F178&lt;&gt;"",XLOOKUP($F178,Productos!$A:$A,Productos!BF:BF,"Revisar"),"")</f>
        <v/>
      </c>
      <c r="BN178" s="179" t="str">
        <f t="array" ref="BN178">IF($F178&lt;&gt;"", XLOOKUP($F178,Productos!$A$2:$A1001,Productos!BG$2:BG1001,"")*$G178,"")</f>
        <v/>
      </c>
      <c r="BO178" s="179" t="str">
        <f t="array" ref="BO178">IF($F178&lt;&gt;"",XLOOKUP($F178,Productos!$A:$A,Productos!BH:BH,"Revisar"),"")</f>
        <v/>
      </c>
      <c r="BP178" s="179" t="str">
        <f t="array" ref="BP178">IF($F178&lt;&gt;"", XLOOKUP($F178,Productos!$A$2:$A1001,Productos!BI$2:BI1001,"")*$G178,"")</f>
        <v/>
      </c>
      <c r="BQ178" s="179" t="str">
        <f t="array" ref="BQ178">IF($F178&lt;&gt;"",XLOOKUP($F178,Productos!$A:$A,Productos!BJ:BJ,"Revisar"),"")</f>
        <v/>
      </c>
      <c r="BR178" s="179" t="str">
        <f t="array" ref="BR178">IF($F178&lt;&gt;"", XLOOKUP($F178,Productos!$A$2:$A1001,Productos!BK$2:BK1001,"")*$G178,"")</f>
        <v/>
      </c>
      <c r="BS178" s="179" t="str">
        <f t="array" ref="BS178">IF($F178&lt;&gt;"",XLOOKUP($F178,Productos!$A:$A,Productos!BL:BL,"Revisar"),"")</f>
        <v/>
      </c>
      <c r="BT178" s="179" t="str">
        <f t="array" ref="BT178">IF($F178&lt;&gt;"", XLOOKUP($F178,Productos!$A$2:$A1001,Productos!BM$2:BM1001,"")*$G178,"")</f>
        <v/>
      </c>
      <c r="BU178" s="179" t="str">
        <f t="array" ref="BU178">IF($F178&lt;&gt;"",XLOOKUP($F178,Productos!$A:$A,Productos!BN:BN,"Revisar"),"")</f>
        <v/>
      </c>
      <c r="BV178" s="179" t="str">
        <f t="array" ref="BV178">IF($F178&lt;&gt;"", XLOOKUP($F178,Productos!$A$2:$A1001,Productos!BO$2:BO1001,"")*$G178,"")</f>
        <v/>
      </c>
      <c r="BW178" s="179" t="str">
        <f t="array" ref="BW178">IF($F178&lt;&gt;"",XLOOKUP($F178,Productos!$A:$A,Productos!BP:BP,"Revisar"),"")</f>
        <v/>
      </c>
      <c r="BX178" s="179" t="str">
        <f t="array" ref="BX178">IF($F178&lt;&gt;"", XLOOKUP($F178,Productos!$A$2:$A1001,Productos!BQ$2:BQ1001,"")*$G178,"")</f>
        <v/>
      </c>
      <c r="BY178" s="179" t="str">
        <f t="array" ref="BY178">IF($F178&lt;&gt;"",XLOOKUP($F178,Productos!$A:$A,Productos!BR:BR,"Revisar"),"")</f>
        <v/>
      </c>
      <c r="BZ178" s="179" t="str">
        <f t="array" ref="BZ178">IF($F178&lt;&gt;"", XLOOKUP($F178,Productos!$A$2:$A1001,Productos!BS$2:BS1001,"")*$G178,"")</f>
        <v/>
      </c>
    </row>
    <row r="179">
      <c r="A179" s="180"/>
      <c r="B179" s="181"/>
      <c r="C179" s="182"/>
      <c r="D179" s="182"/>
      <c r="E179" s="185"/>
      <c r="F179" s="186"/>
      <c r="G179" s="187"/>
      <c r="H179" s="186"/>
      <c r="I179" s="179" t="str">
        <f t="array" ref="I179">IF($F179&lt;&gt;"",XLOOKUP($F179,Productos!$A:$A,Productos!B:B,"Revisar"),"")</f>
        <v/>
      </c>
      <c r="J179" s="179" t="str">
        <f t="array" ref="J179">IF($F179&lt;&gt;"", XLOOKUP($F179,Productos!$A$2:$A1001,Productos!C$2:C1001,"")*$G179,"")</f>
        <v/>
      </c>
      <c r="K179" s="179" t="str">
        <f t="array" ref="K179">IF($F179&lt;&gt;"",XLOOKUP($F179,Productos!$A:$A,Productos!D:D,"Revisar"),"")</f>
        <v/>
      </c>
      <c r="L179" s="179" t="str">
        <f t="array" ref="L179">IF($F179&lt;&gt;"", XLOOKUP($F179,Productos!$A$2:$A1001,Productos!E$2:E1001,"")*$G179,"")</f>
        <v/>
      </c>
      <c r="M179" s="179" t="str">
        <f t="array" ref="M179">IF($F179&lt;&gt;"",XLOOKUP($F179,Productos!$A:$A,Productos!F:F,"Revisar"),"")</f>
        <v/>
      </c>
      <c r="N179" s="179" t="str">
        <f t="array" ref="N179">IF($F179&lt;&gt;"", XLOOKUP($F179,Productos!$A$2:$A1001,Productos!G$2:G1001,"")*$G179,"")</f>
        <v/>
      </c>
      <c r="O179" s="179" t="str">
        <f t="array" ref="O179">IF($F179&lt;&gt;"",XLOOKUP($F179,Productos!$A:$A,Productos!H:H,"Revisar"),"")</f>
        <v/>
      </c>
      <c r="P179" s="179" t="str">
        <f t="array" ref="P179">IF($F179&lt;&gt;"", XLOOKUP($F179,Productos!$A$2:$A1001,Productos!I$2:I1001,"")*$G179,"")</f>
        <v/>
      </c>
      <c r="Q179" s="179" t="str">
        <f t="array" ref="Q179">IF($F179&lt;&gt;"",XLOOKUP($F179,Productos!$A:$A,Productos!J:J,"Revisar"),"")</f>
        <v/>
      </c>
      <c r="R179" s="179" t="str">
        <f t="array" ref="R179">IF($F179&lt;&gt;"", XLOOKUP($F179,Productos!$A$2:$A1001,Productos!K$2:K1001,"")*$G179,"")</f>
        <v/>
      </c>
      <c r="S179" s="179" t="str">
        <f t="array" ref="S179">IF($F179&lt;&gt;"",XLOOKUP($F179,Productos!$A:$A,Productos!L:L,"Revisar"),"")</f>
        <v/>
      </c>
      <c r="T179" s="179" t="str">
        <f t="array" ref="T179">IF($F179&lt;&gt;"", XLOOKUP($F179,Productos!$A$2:$A1001,Productos!M$2:M1001,"")*$G179,"")</f>
        <v/>
      </c>
      <c r="U179" s="179" t="str">
        <f t="array" ref="U179">IF($F179&lt;&gt;"",XLOOKUP($F179,Productos!$A:$A,Productos!N:N,"Revisar"),"")</f>
        <v/>
      </c>
      <c r="V179" s="179" t="str">
        <f t="array" ref="V179">IF($F179&lt;&gt;"", XLOOKUP($F179,Productos!$A$2:$A1001,Productos!O$2:O1001,"")*$G179,"")</f>
        <v/>
      </c>
      <c r="W179" s="179" t="str">
        <f t="array" ref="W179">IF($F179&lt;&gt;"",XLOOKUP($F179,Productos!$A:$A,Productos!P:P,"Revisar"),"")</f>
        <v/>
      </c>
      <c r="X179" s="179" t="str">
        <f t="array" ref="X179">IF($F179&lt;&gt;"", XLOOKUP($F179,Productos!$A$2:$A1001,Productos!Q$2:Q1001,"")*$G179,"")</f>
        <v/>
      </c>
      <c r="Y179" s="179" t="str">
        <f t="array" ref="Y179">IF($F179&lt;&gt;"",XLOOKUP($F179,Productos!$A:$A,Productos!R:R,"Revisar"),"")</f>
        <v/>
      </c>
      <c r="Z179" s="179" t="str">
        <f t="array" ref="Z179">IF($F179&lt;&gt;"", XLOOKUP($F179,Productos!$A$2:$A1001,Productos!S$2:S1001,"")*$G179,"")</f>
        <v/>
      </c>
      <c r="AA179" s="179" t="str">
        <f t="array" ref="AA179">IF($F179&lt;&gt;"",XLOOKUP($F179,Productos!$A:$A,Productos!T:T,"Revisar"),"")</f>
        <v/>
      </c>
      <c r="AB179" s="179" t="str">
        <f t="array" ref="AB179">IF($F179&lt;&gt;"", XLOOKUP($F179,Productos!$A$2:$A1001,Productos!U$2:U1001,"")*$G179,"")</f>
        <v/>
      </c>
      <c r="AC179" s="179" t="str">
        <f t="array" ref="AC179">IF($F179&lt;&gt;"",XLOOKUP($F179,Productos!$A:$A,Productos!V:V,"Revisar"),"")</f>
        <v/>
      </c>
      <c r="AD179" s="179" t="str">
        <f t="array" ref="AD179">IF($F179&lt;&gt;"", XLOOKUP($F179,Productos!$A$2:$A1001,Productos!W$2:W1001,"")*$G179,"")</f>
        <v/>
      </c>
      <c r="AE179" s="179" t="str">
        <f t="array" ref="AE179">IF($F179&lt;&gt;"",XLOOKUP($F179,Productos!$A:$A,Productos!X:X,"Revisar"),"")</f>
        <v/>
      </c>
      <c r="AF179" s="179" t="str">
        <f t="array" ref="AF179">IF($F179&lt;&gt;"", XLOOKUP($F179,Productos!$A$2:$A1001,Productos!Y$2:Y1001,"")*$G179,"")</f>
        <v/>
      </c>
      <c r="AG179" s="179" t="str">
        <f t="array" ref="AG179">IF($F179&lt;&gt;"",XLOOKUP($F179,Productos!$A:$A,Productos!Z:Z,"Revisar"),"")</f>
        <v/>
      </c>
      <c r="AH179" s="179" t="str">
        <f t="array" ref="AH179">IF($F179&lt;&gt;"", XLOOKUP($F179,Productos!$A$2:$A1001,Productos!AA$2:AA1001,"")*$G179,"")</f>
        <v/>
      </c>
      <c r="AI179" s="179" t="str">
        <f t="array" ref="AI179">IF($F179&lt;&gt;"",XLOOKUP($F179,Productos!$A:$A,Productos!AB:AB,"Revisar"),"")</f>
        <v/>
      </c>
      <c r="AJ179" s="179" t="str">
        <f t="array" ref="AJ179">IF($F179&lt;&gt;"", XLOOKUP($F179,Productos!$A$2:$A1001,Productos!AC$2:AC1001,"")*$G179,"")</f>
        <v/>
      </c>
      <c r="AK179" s="179" t="str">
        <f t="array" ref="AK179">IF($F179&lt;&gt;"",XLOOKUP($F179,Productos!$A:$A,Productos!AD:AD,"Revisar"),"")</f>
        <v/>
      </c>
      <c r="AL179" s="179" t="str">
        <f t="array" ref="AL179">IF($F179&lt;&gt;"", XLOOKUP($F179,Productos!$A$2:$A1001,Productos!AE$2:AE1001,"")*$G179,"")</f>
        <v/>
      </c>
      <c r="AM179" s="179" t="str">
        <f t="array" ref="AM179">IF($F179&lt;&gt;"",XLOOKUP($F179,Productos!$A:$A,Productos!AF:AF,"Revisar"),"")</f>
        <v/>
      </c>
      <c r="AN179" s="179" t="str">
        <f t="array" ref="AN179">IF($F179&lt;&gt;"", XLOOKUP($F179,Productos!$A$2:$A1001,Productos!AG$2:AG1001,"")*$G179,"")</f>
        <v/>
      </c>
      <c r="AO179" s="179" t="str">
        <f t="array" ref="AO179">IF($F179&lt;&gt;"",XLOOKUP($F179,Productos!$A:$A,Productos!AH:AH,"Revisar"),"")</f>
        <v/>
      </c>
      <c r="AP179" s="179" t="str">
        <f t="array" ref="AP179">IF($F179&lt;&gt;"", XLOOKUP($F179,Productos!$A$2:$A1001,Productos!AI$2:AI1001,"")*$G179,"")</f>
        <v/>
      </c>
      <c r="AQ179" s="179" t="str">
        <f t="array" ref="AQ179">IF($F179&lt;&gt;"",XLOOKUP($F179,Productos!$A:$A,Productos!AJ:AJ,"Revisar"),"")</f>
        <v/>
      </c>
      <c r="AR179" s="179" t="str">
        <f t="array" ref="AR179">IF($F179&lt;&gt;"", XLOOKUP($F179,Productos!$A$2:$A1001,Productos!AK$2:AK1001,"")*$G179,"")</f>
        <v/>
      </c>
      <c r="AS179" s="179" t="str">
        <f t="array" ref="AS179">IF($F179&lt;&gt;"",XLOOKUP($F179,Productos!$A:$A,Productos!AL:AL,"Revisar"),"")</f>
        <v/>
      </c>
      <c r="AT179" s="179" t="str">
        <f t="array" ref="AT179">IF($F179&lt;&gt;"", XLOOKUP($F179,Productos!$A$2:$A1001,Productos!AM$2:AM1001,"")*$G179,"")</f>
        <v/>
      </c>
      <c r="AU179" s="179" t="str">
        <f t="array" ref="AU179">IF($F179&lt;&gt;"",XLOOKUP($F179,Productos!$A:$A,Productos!AN:AN,"Revisar"),"")</f>
        <v/>
      </c>
      <c r="AV179" s="179" t="str">
        <f t="array" ref="AV179">IF($F179&lt;&gt;"", XLOOKUP($F179,Productos!$A$2:$A1001,Productos!AO$2:AO1001,"")*$G179,"")</f>
        <v/>
      </c>
      <c r="AW179" s="179" t="str">
        <f t="array" ref="AW179">IF($F179&lt;&gt;"",XLOOKUP($F179,Productos!$A:$A,Productos!AP:AP,"Revisar"),"")</f>
        <v/>
      </c>
      <c r="AX179" s="179" t="str">
        <f t="array" ref="AX179">IF($F179&lt;&gt;"", XLOOKUP($F179,Productos!$A$2:$A1001,Productos!AQ$2:AQ1001,"")*$G179,"")</f>
        <v/>
      </c>
      <c r="AY179" s="179" t="str">
        <f t="array" ref="AY179">IF($F179&lt;&gt;"",XLOOKUP($F179,Productos!$A:$A,Productos!AR:AR,"Revisar"),"")</f>
        <v/>
      </c>
      <c r="AZ179" s="179" t="str">
        <f t="array" ref="AZ179">IF($F179&lt;&gt;"", XLOOKUP($F179,Productos!$A$2:$A1001,Productos!AS$2:AS1001,"")*$G179,"")</f>
        <v/>
      </c>
      <c r="BA179" s="179" t="str">
        <f t="array" ref="BA179">IF($F179&lt;&gt;"",XLOOKUP($F179,Productos!$A:$A,Productos!AT:AT,"Revisar"),"")</f>
        <v/>
      </c>
      <c r="BB179" s="179" t="str">
        <f t="array" ref="BB179">IF($F179&lt;&gt;"", XLOOKUP($F179,Productos!$A$2:$A1001,Productos!AU$2:AU1001,"")*$G179,"")</f>
        <v/>
      </c>
      <c r="BC179" s="179" t="str">
        <f t="array" ref="BC179">IF($F179&lt;&gt;"",XLOOKUP($F179,Productos!$A:$A,Productos!AV:AV,"Revisar"),"")</f>
        <v/>
      </c>
      <c r="BD179" s="179" t="str">
        <f t="array" ref="BD179">IF($F179&lt;&gt;"", XLOOKUP($F179,Productos!$A$2:$A1001,Productos!AW$2:AW1001,"")*$G179,"")</f>
        <v/>
      </c>
      <c r="BE179" s="179" t="str">
        <f t="array" ref="BE179">IF($F179&lt;&gt;"",XLOOKUP($F179,Productos!$A:$A,Productos!AX:AX,"Revisar"),"")</f>
        <v/>
      </c>
      <c r="BF179" s="179" t="str">
        <f t="array" ref="BF179">IF($F179&lt;&gt;"", XLOOKUP($F179,Productos!$A$2:$A1001,Productos!AY$2:AY1001,"")*$G179,"")</f>
        <v/>
      </c>
      <c r="BG179" s="179" t="str">
        <f t="array" ref="BG179">IF($F179&lt;&gt;"",XLOOKUP($F179,Productos!$A:$A,Productos!AZ:AZ,"Revisar"),"")</f>
        <v/>
      </c>
      <c r="BH179" s="179" t="str">
        <f t="array" ref="BH179">IF($F179&lt;&gt;"", XLOOKUP($F179,Productos!$A$2:$A1001,Productos!BA$2:BA1001,"")*$G179,"")</f>
        <v/>
      </c>
      <c r="BI179" s="179" t="str">
        <f t="array" ref="BI179">IF($F179&lt;&gt;"",XLOOKUP($F179,Productos!$A:$A,Productos!BB:BB,"Revisar"),"")</f>
        <v/>
      </c>
      <c r="BJ179" s="179" t="str">
        <f t="array" ref="BJ179">IF($F179&lt;&gt;"", XLOOKUP($F179,Productos!$A$2:$A1001,Productos!BC$2:BC1001,"")*$G179,"")</f>
        <v/>
      </c>
      <c r="BK179" s="179" t="str">
        <f t="array" ref="BK179">IF($F179&lt;&gt;"",XLOOKUP($F179,Productos!$A:$A,Productos!BD:BD,"Revisar"),"")</f>
        <v/>
      </c>
      <c r="BL179" s="179" t="str">
        <f t="array" ref="BL179">IF($F179&lt;&gt;"", XLOOKUP($F179,Productos!$A$2:$A1001,Productos!BE$2:BE1001,"")*$G179,"")</f>
        <v/>
      </c>
      <c r="BM179" s="179" t="str">
        <f t="array" ref="BM179">IF($F179&lt;&gt;"",XLOOKUP($F179,Productos!$A:$A,Productos!BF:BF,"Revisar"),"")</f>
        <v/>
      </c>
      <c r="BN179" s="179" t="str">
        <f t="array" ref="BN179">IF($F179&lt;&gt;"", XLOOKUP($F179,Productos!$A$2:$A1001,Productos!BG$2:BG1001,"")*$G179,"")</f>
        <v/>
      </c>
      <c r="BO179" s="179" t="str">
        <f t="array" ref="BO179">IF($F179&lt;&gt;"",XLOOKUP($F179,Productos!$A:$A,Productos!BH:BH,"Revisar"),"")</f>
        <v/>
      </c>
      <c r="BP179" s="179" t="str">
        <f t="array" ref="BP179">IF($F179&lt;&gt;"", XLOOKUP($F179,Productos!$A$2:$A1001,Productos!BI$2:BI1001,"")*$G179,"")</f>
        <v/>
      </c>
      <c r="BQ179" s="179" t="str">
        <f t="array" ref="BQ179">IF($F179&lt;&gt;"",XLOOKUP($F179,Productos!$A:$A,Productos!BJ:BJ,"Revisar"),"")</f>
        <v/>
      </c>
      <c r="BR179" s="179" t="str">
        <f t="array" ref="BR179">IF($F179&lt;&gt;"", XLOOKUP($F179,Productos!$A$2:$A1001,Productos!BK$2:BK1001,"")*$G179,"")</f>
        <v/>
      </c>
      <c r="BS179" s="179" t="str">
        <f t="array" ref="BS179">IF($F179&lt;&gt;"",XLOOKUP($F179,Productos!$A:$A,Productos!BL:BL,"Revisar"),"")</f>
        <v/>
      </c>
      <c r="BT179" s="179" t="str">
        <f t="array" ref="BT179">IF($F179&lt;&gt;"", XLOOKUP($F179,Productos!$A$2:$A1001,Productos!BM$2:BM1001,"")*$G179,"")</f>
        <v/>
      </c>
      <c r="BU179" s="179" t="str">
        <f t="array" ref="BU179">IF($F179&lt;&gt;"",XLOOKUP($F179,Productos!$A:$A,Productos!BN:BN,"Revisar"),"")</f>
        <v/>
      </c>
      <c r="BV179" s="179" t="str">
        <f t="array" ref="BV179">IF($F179&lt;&gt;"", XLOOKUP($F179,Productos!$A$2:$A1001,Productos!BO$2:BO1001,"")*$G179,"")</f>
        <v/>
      </c>
      <c r="BW179" s="179" t="str">
        <f t="array" ref="BW179">IF($F179&lt;&gt;"",XLOOKUP($F179,Productos!$A:$A,Productos!BP:BP,"Revisar"),"")</f>
        <v/>
      </c>
      <c r="BX179" s="179" t="str">
        <f t="array" ref="BX179">IF($F179&lt;&gt;"", XLOOKUP($F179,Productos!$A$2:$A1001,Productos!BQ$2:BQ1001,"")*$G179,"")</f>
        <v/>
      </c>
      <c r="BY179" s="179" t="str">
        <f t="array" ref="BY179">IF($F179&lt;&gt;"",XLOOKUP($F179,Productos!$A:$A,Productos!BR:BR,"Revisar"),"")</f>
        <v/>
      </c>
      <c r="BZ179" s="179" t="str">
        <f t="array" ref="BZ179">IF($F179&lt;&gt;"", XLOOKUP($F179,Productos!$A$2:$A1001,Productos!BS$2:BS1001,"")*$G179,"")</f>
        <v/>
      </c>
    </row>
    <row r="180">
      <c r="A180" s="180"/>
      <c r="B180" s="181"/>
      <c r="C180" s="182"/>
      <c r="D180" s="182"/>
      <c r="E180" s="185"/>
      <c r="F180" s="186"/>
      <c r="G180" s="187"/>
      <c r="H180" s="186"/>
      <c r="I180" s="179" t="str">
        <f t="array" ref="I180">IF($F180&lt;&gt;"",XLOOKUP($F180,Productos!$A:$A,Productos!B:B,"Revisar"),"")</f>
        <v/>
      </c>
      <c r="J180" s="179" t="str">
        <f t="array" ref="J180">IF($F180&lt;&gt;"", XLOOKUP($F180,Productos!$A$2:$A1001,Productos!C$2:C1001,"")*$G180,"")</f>
        <v/>
      </c>
      <c r="K180" s="179" t="str">
        <f t="array" ref="K180">IF($F180&lt;&gt;"",XLOOKUP($F180,Productos!$A:$A,Productos!D:D,"Revisar"),"")</f>
        <v/>
      </c>
      <c r="L180" s="179" t="str">
        <f t="array" ref="L180">IF($F180&lt;&gt;"", XLOOKUP($F180,Productos!$A$2:$A1001,Productos!E$2:E1001,"")*$G180,"")</f>
        <v/>
      </c>
      <c r="M180" s="179" t="str">
        <f t="array" ref="M180">IF($F180&lt;&gt;"",XLOOKUP($F180,Productos!$A:$A,Productos!F:F,"Revisar"),"")</f>
        <v/>
      </c>
      <c r="N180" s="179" t="str">
        <f t="array" ref="N180">IF($F180&lt;&gt;"", XLOOKUP($F180,Productos!$A$2:$A1001,Productos!G$2:G1001,"")*$G180,"")</f>
        <v/>
      </c>
      <c r="O180" s="179" t="str">
        <f t="array" ref="O180">IF($F180&lt;&gt;"",XLOOKUP($F180,Productos!$A:$A,Productos!H:H,"Revisar"),"")</f>
        <v/>
      </c>
      <c r="P180" s="179" t="str">
        <f t="array" ref="P180">IF($F180&lt;&gt;"", XLOOKUP($F180,Productos!$A$2:$A1001,Productos!I$2:I1001,"")*$G180,"")</f>
        <v/>
      </c>
      <c r="Q180" s="179" t="str">
        <f t="array" ref="Q180">IF($F180&lt;&gt;"",XLOOKUP($F180,Productos!$A:$A,Productos!J:J,"Revisar"),"")</f>
        <v/>
      </c>
      <c r="R180" s="179" t="str">
        <f t="array" ref="R180">IF($F180&lt;&gt;"", XLOOKUP($F180,Productos!$A$2:$A1001,Productos!K$2:K1001,"")*$G180,"")</f>
        <v/>
      </c>
      <c r="S180" s="179" t="str">
        <f t="array" ref="S180">IF($F180&lt;&gt;"",XLOOKUP($F180,Productos!$A:$A,Productos!L:L,"Revisar"),"")</f>
        <v/>
      </c>
      <c r="T180" s="179" t="str">
        <f t="array" ref="T180">IF($F180&lt;&gt;"", XLOOKUP($F180,Productos!$A$2:$A1001,Productos!M$2:M1001,"")*$G180,"")</f>
        <v/>
      </c>
      <c r="U180" s="179" t="str">
        <f t="array" ref="U180">IF($F180&lt;&gt;"",XLOOKUP($F180,Productos!$A:$A,Productos!N:N,"Revisar"),"")</f>
        <v/>
      </c>
      <c r="V180" s="179" t="str">
        <f t="array" ref="V180">IF($F180&lt;&gt;"", XLOOKUP($F180,Productos!$A$2:$A1001,Productos!O$2:O1001,"")*$G180,"")</f>
        <v/>
      </c>
      <c r="W180" s="179" t="str">
        <f t="array" ref="W180">IF($F180&lt;&gt;"",XLOOKUP($F180,Productos!$A:$A,Productos!P:P,"Revisar"),"")</f>
        <v/>
      </c>
      <c r="X180" s="179" t="str">
        <f t="array" ref="X180">IF($F180&lt;&gt;"", XLOOKUP($F180,Productos!$A$2:$A1001,Productos!Q$2:Q1001,"")*$G180,"")</f>
        <v/>
      </c>
      <c r="Y180" s="179" t="str">
        <f t="array" ref="Y180">IF($F180&lt;&gt;"",XLOOKUP($F180,Productos!$A:$A,Productos!R:R,"Revisar"),"")</f>
        <v/>
      </c>
      <c r="Z180" s="179" t="str">
        <f t="array" ref="Z180">IF($F180&lt;&gt;"", XLOOKUP($F180,Productos!$A$2:$A1001,Productos!S$2:S1001,"")*$G180,"")</f>
        <v/>
      </c>
      <c r="AA180" s="179" t="str">
        <f t="array" ref="AA180">IF($F180&lt;&gt;"",XLOOKUP($F180,Productos!$A:$A,Productos!T:T,"Revisar"),"")</f>
        <v/>
      </c>
      <c r="AB180" s="179" t="str">
        <f t="array" ref="AB180">IF($F180&lt;&gt;"", XLOOKUP($F180,Productos!$A$2:$A1001,Productos!U$2:U1001,"")*$G180,"")</f>
        <v/>
      </c>
      <c r="AC180" s="179" t="str">
        <f t="array" ref="AC180">IF($F180&lt;&gt;"",XLOOKUP($F180,Productos!$A:$A,Productos!V:V,"Revisar"),"")</f>
        <v/>
      </c>
      <c r="AD180" s="179" t="str">
        <f t="array" ref="AD180">IF($F180&lt;&gt;"", XLOOKUP($F180,Productos!$A$2:$A1001,Productos!W$2:W1001,"")*$G180,"")</f>
        <v/>
      </c>
      <c r="AE180" s="179" t="str">
        <f t="array" ref="AE180">IF($F180&lt;&gt;"",XLOOKUP($F180,Productos!$A:$A,Productos!X:X,"Revisar"),"")</f>
        <v/>
      </c>
      <c r="AF180" s="179" t="str">
        <f t="array" ref="AF180">IF($F180&lt;&gt;"", XLOOKUP($F180,Productos!$A$2:$A1001,Productos!Y$2:Y1001,"")*$G180,"")</f>
        <v/>
      </c>
      <c r="AG180" s="179" t="str">
        <f t="array" ref="AG180">IF($F180&lt;&gt;"",XLOOKUP($F180,Productos!$A:$A,Productos!Z:Z,"Revisar"),"")</f>
        <v/>
      </c>
      <c r="AH180" s="179" t="str">
        <f t="array" ref="AH180">IF($F180&lt;&gt;"", XLOOKUP($F180,Productos!$A$2:$A1001,Productos!AA$2:AA1001,"")*$G180,"")</f>
        <v/>
      </c>
      <c r="AI180" s="179" t="str">
        <f t="array" ref="AI180">IF($F180&lt;&gt;"",XLOOKUP($F180,Productos!$A:$A,Productos!AB:AB,"Revisar"),"")</f>
        <v/>
      </c>
      <c r="AJ180" s="179" t="str">
        <f t="array" ref="AJ180">IF($F180&lt;&gt;"", XLOOKUP($F180,Productos!$A$2:$A1001,Productos!AC$2:AC1001,"")*$G180,"")</f>
        <v/>
      </c>
      <c r="AK180" s="179" t="str">
        <f t="array" ref="AK180">IF($F180&lt;&gt;"",XLOOKUP($F180,Productos!$A:$A,Productos!AD:AD,"Revisar"),"")</f>
        <v/>
      </c>
      <c r="AL180" s="179" t="str">
        <f t="array" ref="AL180">IF($F180&lt;&gt;"", XLOOKUP($F180,Productos!$A$2:$A1001,Productos!AE$2:AE1001,"")*$G180,"")</f>
        <v/>
      </c>
      <c r="AM180" s="179" t="str">
        <f t="array" ref="AM180">IF($F180&lt;&gt;"",XLOOKUP($F180,Productos!$A:$A,Productos!AF:AF,"Revisar"),"")</f>
        <v/>
      </c>
      <c r="AN180" s="179" t="str">
        <f t="array" ref="AN180">IF($F180&lt;&gt;"", XLOOKUP($F180,Productos!$A$2:$A1001,Productos!AG$2:AG1001,"")*$G180,"")</f>
        <v/>
      </c>
      <c r="AO180" s="179" t="str">
        <f t="array" ref="AO180">IF($F180&lt;&gt;"",XLOOKUP($F180,Productos!$A:$A,Productos!AH:AH,"Revisar"),"")</f>
        <v/>
      </c>
      <c r="AP180" s="179" t="str">
        <f t="array" ref="AP180">IF($F180&lt;&gt;"", XLOOKUP($F180,Productos!$A$2:$A1001,Productos!AI$2:AI1001,"")*$G180,"")</f>
        <v/>
      </c>
      <c r="AQ180" s="179" t="str">
        <f t="array" ref="AQ180">IF($F180&lt;&gt;"",XLOOKUP($F180,Productos!$A:$A,Productos!AJ:AJ,"Revisar"),"")</f>
        <v/>
      </c>
      <c r="AR180" s="179" t="str">
        <f t="array" ref="AR180">IF($F180&lt;&gt;"", XLOOKUP($F180,Productos!$A$2:$A1001,Productos!AK$2:AK1001,"")*$G180,"")</f>
        <v/>
      </c>
      <c r="AS180" s="179" t="str">
        <f t="array" ref="AS180">IF($F180&lt;&gt;"",XLOOKUP($F180,Productos!$A:$A,Productos!AL:AL,"Revisar"),"")</f>
        <v/>
      </c>
      <c r="AT180" s="179" t="str">
        <f t="array" ref="AT180">IF($F180&lt;&gt;"", XLOOKUP($F180,Productos!$A$2:$A1001,Productos!AM$2:AM1001,"")*$G180,"")</f>
        <v/>
      </c>
      <c r="AU180" s="179" t="str">
        <f t="array" ref="AU180">IF($F180&lt;&gt;"",XLOOKUP($F180,Productos!$A:$A,Productos!AN:AN,"Revisar"),"")</f>
        <v/>
      </c>
      <c r="AV180" s="179" t="str">
        <f t="array" ref="AV180">IF($F180&lt;&gt;"", XLOOKUP($F180,Productos!$A$2:$A1001,Productos!AO$2:AO1001,"")*$G180,"")</f>
        <v/>
      </c>
      <c r="AW180" s="179" t="str">
        <f t="array" ref="AW180">IF($F180&lt;&gt;"",XLOOKUP($F180,Productos!$A:$A,Productos!AP:AP,"Revisar"),"")</f>
        <v/>
      </c>
      <c r="AX180" s="179" t="str">
        <f t="array" ref="AX180">IF($F180&lt;&gt;"", XLOOKUP($F180,Productos!$A$2:$A1001,Productos!AQ$2:AQ1001,"")*$G180,"")</f>
        <v/>
      </c>
      <c r="AY180" s="179" t="str">
        <f t="array" ref="AY180">IF($F180&lt;&gt;"",XLOOKUP($F180,Productos!$A:$A,Productos!AR:AR,"Revisar"),"")</f>
        <v/>
      </c>
      <c r="AZ180" s="179" t="str">
        <f t="array" ref="AZ180">IF($F180&lt;&gt;"", XLOOKUP($F180,Productos!$A$2:$A1001,Productos!AS$2:AS1001,"")*$G180,"")</f>
        <v/>
      </c>
      <c r="BA180" s="179" t="str">
        <f t="array" ref="BA180">IF($F180&lt;&gt;"",XLOOKUP($F180,Productos!$A:$A,Productos!AT:AT,"Revisar"),"")</f>
        <v/>
      </c>
      <c r="BB180" s="179" t="str">
        <f t="array" ref="BB180">IF($F180&lt;&gt;"", XLOOKUP($F180,Productos!$A$2:$A1001,Productos!AU$2:AU1001,"")*$G180,"")</f>
        <v/>
      </c>
      <c r="BC180" s="179" t="str">
        <f t="array" ref="BC180">IF($F180&lt;&gt;"",XLOOKUP($F180,Productos!$A:$A,Productos!AV:AV,"Revisar"),"")</f>
        <v/>
      </c>
      <c r="BD180" s="179" t="str">
        <f t="array" ref="BD180">IF($F180&lt;&gt;"", XLOOKUP($F180,Productos!$A$2:$A1001,Productos!AW$2:AW1001,"")*$G180,"")</f>
        <v/>
      </c>
      <c r="BE180" s="179" t="str">
        <f t="array" ref="BE180">IF($F180&lt;&gt;"",XLOOKUP($F180,Productos!$A:$A,Productos!AX:AX,"Revisar"),"")</f>
        <v/>
      </c>
      <c r="BF180" s="179" t="str">
        <f t="array" ref="BF180">IF($F180&lt;&gt;"", XLOOKUP($F180,Productos!$A$2:$A1001,Productos!AY$2:AY1001,"")*$G180,"")</f>
        <v/>
      </c>
      <c r="BG180" s="179" t="str">
        <f t="array" ref="BG180">IF($F180&lt;&gt;"",XLOOKUP($F180,Productos!$A:$A,Productos!AZ:AZ,"Revisar"),"")</f>
        <v/>
      </c>
      <c r="BH180" s="179" t="str">
        <f t="array" ref="BH180">IF($F180&lt;&gt;"", XLOOKUP($F180,Productos!$A$2:$A1001,Productos!BA$2:BA1001,"")*$G180,"")</f>
        <v/>
      </c>
      <c r="BI180" s="179" t="str">
        <f t="array" ref="BI180">IF($F180&lt;&gt;"",XLOOKUP($F180,Productos!$A:$A,Productos!BB:BB,"Revisar"),"")</f>
        <v/>
      </c>
      <c r="BJ180" s="179" t="str">
        <f t="array" ref="BJ180">IF($F180&lt;&gt;"", XLOOKUP($F180,Productos!$A$2:$A1001,Productos!BC$2:BC1001,"")*$G180,"")</f>
        <v/>
      </c>
      <c r="BK180" s="179" t="str">
        <f t="array" ref="BK180">IF($F180&lt;&gt;"",XLOOKUP($F180,Productos!$A:$A,Productos!BD:BD,"Revisar"),"")</f>
        <v/>
      </c>
      <c r="BL180" s="179" t="str">
        <f t="array" ref="BL180">IF($F180&lt;&gt;"", XLOOKUP($F180,Productos!$A$2:$A1001,Productos!BE$2:BE1001,"")*$G180,"")</f>
        <v/>
      </c>
      <c r="BM180" s="179" t="str">
        <f t="array" ref="BM180">IF($F180&lt;&gt;"",XLOOKUP($F180,Productos!$A:$A,Productos!BF:BF,"Revisar"),"")</f>
        <v/>
      </c>
      <c r="BN180" s="179" t="str">
        <f t="array" ref="BN180">IF($F180&lt;&gt;"", XLOOKUP($F180,Productos!$A$2:$A1001,Productos!BG$2:BG1001,"")*$G180,"")</f>
        <v/>
      </c>
      <c r="BO180" s="179" t="str">
        <f t="array" ref="BO180">IF($F180&lt;&gt;"",XLOOKUP($F180,Productos!$A:$A,Productos!BH:BH,"Revisar"),"")</f>
        <v/>
      </c>
      <c r="BP180" s="179" t="str">
        <f t="array" ref="BP180">IF($F180&lt;&gt;"", XLOOKUP($F180,Productos!$A$2:$A1001,Productos!BI$2:BI1001,"")*$G180,"")</f>
        <v/>
      </c>
      <c r="BQ180" s="179" t="str">
        <f t="array" ref="BQ180">IF($F180&lt;&gt;"",XLOOKUP($F180,Productos!$A:$A,Productos!BJ:BJ,"Revisar"),"")</f>
        <v/>
      </c>
      <c r="BR180" s="179" t="str">
        <f t="array" ref="BR180">IF($F180&lt;&gt;"", XLOOKUP($F180,Productos!$A$2:$A1001,Productos!BK$2:BK1001,"")*$G180,"")</f>
        <v/>
      </c>
      <c r="BS180" s="179" t="str">
        <f t="array" ref="BS180">IF($F180&lt;&gt;"",XLOOKUP($F180,Productos!$A:$A,Productos!BL:BL,"Revisar"),"")</f>
        <v/>
      </c>
      <c r="BT180" s="179" t="str">
        <f t="array" ref="BT180">IF($F180&lt;&gt;"", XLOOKUP($F180,Productos!$A$2:$A1001,Productos!BM$2:BM1001,"")*$G180,"")</f>
        <v/>
      </c>
      <c r="BU180" s="179" t="str">
        <f t="array" ref="BU180">IF($F180&lt;&gt;"",XLOOKUP($F180,Productos!$A:$A,Productos!BN:BN,"Revisar"),"")</f>
        <v/>
      </c>
      <c r="BV180" s="179" t="str">
        <f t="array" ref="BV180">IF($F180&lt;&gt;"", XLOOKUP($F180,Productos!$A$2:$A1001,Productos!BO$2:BO1001,"")*$G180,"")</f>
        <v/>
      </c>
      <c r="BW180" s="179" t="str">
        <f t="array" ref="BW180">IF($F180&lt;&gt;"",XLOOKUP($F180,Productos!$A:$A,Productos!BP:BP,"Revisar"),"")</f>
        <v/>
      </c>
      <c r="BX180" s="179" t="str">
        <f t="array" ref="BX180">IF($F180&lt;&gt;"", XLOOKUP($F180,Productos!$A$2:$A1001,Productos!BQ$2:BQ1001,"")*$G180,"")</f>
        <v/>
      </c>
      <c r="BY180" s="179" t="str">
        <f t="array" ref="BY180">IF($F180&lt;&gt;"",XLOOKUP($F180,Productos!$A:$A,Productos!BR:BR,"Revisar"),"")</f>
        <v/>
      </c>
      <c r="BZ180" s="179" t="str">
        <f t="array" ref="BZ180">IF($F180&lt;&gt;"", XLOOKUP($F180,Productos!$A$2:$A1001,Productos!BS$2:BS1001,"")*$G180,"")</f>
        <v/>
      </c>
    </row>
    <row r="181">
      <c r="A181" s="180"/>
      <c r="B181" s="181"/>
      <c r="C181" s="182"/>
      <c r="D181" s="182"/>
      <c r="E181" s="185"/>
      <c r="F181" s="186"/>
      <c r="G181" s="187"/>
      <c r="H181" s="186"/>
      <c r="I181" s="179" t="str">
        <f t="array" ref="I181">IF($F181&lt;&gt;"",XLOOKUP($F181,Productos!$A:$A,Productos!B:B,"Revisar"),"")</f>
        <v/>
      </c>
      <c r="J181" s="179" t="str">
        <f t="array" ref="J181">IF($F181&lt;&gt;"", XLOOKUP($F181,Productos!$A$2:$A1001,Productos!C$2:C1001,"")*$G181,"")</f>
        <v/>
      </c>
      <c r="K181" s="179" t="str">
        <f t="array" ref="K181">IF($F181&lt;&gt;"",XLOOKUP($F181,Productos!$A:$A,Productos!D:D,"Revisar"),"")</f>
        <v/>
      </c>
      <c r="L181" s="179" t="str">
        <f t="array" ref="L181">IF($F181&lt;&gt;"", XLOOKUP($F181,Productos!$A$2:$A1001,Productos!E$2:E1001,"")*$G181,"")</f>
        <v/>
      </c>
      <c r="M181" s="179" t="str">
        <f t="array" ref="M181">IF($F181&lt;&gt;"",XLOOKUP($F181,Productos!$A:$A,Productos!F:F,"Revisar"),"")</f>
        <v/>
      </c>
      <c r="N181" s="179" t="str">
        <f t="array" ref="N181">IF($F181&lt;&gt;"", XLOOKUP($F181,Productos!$A$2:$A1001,Productos!G$2:G1001,"")*$G181,"")</f>
        <v/>
      </c>
      <c r="O181" s="179" t="str">
        <f t="array" ref="O181">IF($F181&lt;&gt;"",XLOOKUP($F181,Productos!$A:$A,Productos!H:H,"Revisar"),"")</f>
        <v/>
      </c>
      <c r="P181" s="179" t="str">
        <f t="array" ref="P181">IF($F181&lt;&gt;"", XLOOKUP($F181,Productos!$A$2:$A1001,Productos!I$2:I1001,"")*$G181,"")</f>
        <v/>
      </c>
      <c r="Q181" s="179" t="str">
        <f t="array" ref="Q181">IF($F181&lt;&gt;"",XLOOKUP($F181,Productos!$A:$A,Productos!J:J,"Revisar"),"")</f>
        <v/>
      </c>
      <c r="R181" s="179" t="str">
        <f t="array" ref="R181">IF($F181&lt;&gt;"", XLOOKUP($F181,Productos!$A$2:$A1001,Productos!K$2:K1001,"")*$G181,"")</f>
        <v/>
      </c>
      <c r="S181" s="179" t="str">
        <f t="array" ref="S181">IF($F181&lt;&gt;"",XLOOKUP($F181,Productos!$A:$A,Productos!L:L,"Revisar"),"")</f>
        <v/>
      </c>
      <c r="T181" s="179" t="str">
        <f t="array" ref="T181">IF($F181&lt;&gt;"", XLOOKUP($F181,Productos!$A$2:$A1001,Productos!M$2:M1001,"")*$G181,"")</f>
        <v/>
      </c>
      <c r="U181" s="179" t="str">
        <f t="array" ref="U181">IF($F181&lt;&gt;"",XLOOKUP($F181,Productos!$A:$A,Productos!N:N,"Revisar"),"")</f>
        <v/>
      </c>
      <c r="V181" s="179" t="str">
        <f t="array" ref="V181">IF($F181&lt;&gt;"", XLOOKUP($F181,Productos!$A$2:$A1001,Productos!O$2:O1001,"")*$G181,"")</f>
        <v/>
      </c>
      <c r="W181" s="179" t="str">
        <f t="array" ref="W181">IF($F181&lt;&gt;"",XLOOKUP($F181,Productos!$A:$A,Productos!P:P,"Revisar"),"")</f>
        <v/>
      </c>
      <c r="X181" s="179" t="str">
        <f t="array" ref="X181">IF($F181&lt;&gt;"", XLOOKUP($F181,Productos!$A$2:$A1001,Productos!Q$2:Q1001,"")*$G181,"")</f>
        <v/>
      </c>
      <c r="Y181" s="179" t="str">
        <f t="array" ref="Y181">IF($F181&lt;&gt;"",XLOOKUP($F181,Productos!$A:$A,Productos!R:R,"Revisar"),"")</f>
        <v/>
      </c>
      <c r="Z181" s="179" t="str">
        <f t="array" ref="Z181">IF($F181&lt;&gt;"", XLOOKUP($F181,Productos!$A$2:$A1001,Productos!S$2:S1001,"")*$G181,"")</f>
        <v/>
      </c>
      <c r="AA181" s="179" t="str">
        <f t="array" ref="AA181">IF($F181&lt;&gt;"",XLOOKUP($F181,Productos!$A:$A,Productos!T:T,"Revisar"),"")</f>
        <v/>
      </c>
      <c r="AB181" s="179" t="str">
        <f t="array" ref="AB181">IF($F181&lt;&gt;"", XLOOKUP($F181,Productos!$A$2:$A1001,Productos!U$2:U1001,"")*$G181,"")</f>
        <v/>
      </c>
      <c r="AC181" s="179" t="str">
        <f t="array" ref="AC181">IF($F181&lt;&gt;"",XLOOKUP($F181,Productos!$A:$A,Productos!V:V,"Revisar"),"")</f>
        <v/>
      </c>
      <c r="AD181" s="179" t="str">
        <f t="array" ref="AD181">IF($F181&lt;&gt;"", XLOOKUP($F181,Productos!$A$2:$A1001,Productos!W$2:W1001,"")*$G181,"")</f>
        <v/>
      </c>
      <c r="AE181" s="179" t="str">
        <f t="array" ref="AE181">IF($F181&lt;&gt;"",XLOOKUP($F181,Productos!$A:$A,Productos!X:X,"Revisar"),"")</f>
        <v/>
      </c>
      <c r="AF181" s="179" t="str">
        <f t="array" ref="AF181">IF($F181&lt;&gt;"", XLOOKUP($F181,Productos!$A$2:$A1001,Productos!Y$2:Y1001,"")*$G181,"")</f>
        <v/>
      </c>
      <c r="AG181" s="179" t="str">
        <f t="array" ref="AG181">IF($F181&lt;&gt;"",XLOOKUP($F181,Productos!$A:$A,Productos!Z:Z,"Revisar"),"")</f>
        <v/>
      </c>
      <c r="AH181" s="179" t="str">
        <f t="array" ref="AH181">IF($F181&lt;&gt;"", XLOOKUP($F181,Productos!$A$2:$A1001,Productos!AA$2:AA1001,"")*$G181,"")</f>
        <v/>
      </c>
      <c r="AI181" s="179" t="str">
        <f t="array" ref="AI181">IF($F181&lt;&gt;"",XLOOKUP($F181,Productos!$A:$A,Productos!AB:AB,"Revisar"),"")</f>
        <v/>
      </c>
      <c r="AJ181" s="179" t="str">
        <f t="array" ref="AJ181">IF($F181&lt;&gt;"", XLOOKUP($F181,Productos!$A$2:$A1001,Productos!AC$2:AC1001,"")*$G181,"")</f>
        <v/>
      </c>
      <c r="AK181" s="179" t="str">
        <f t="array" ref="AK181">IF($F181&lt;&gt;"",XLOOKUP($F181,Productos!$A:$A,Productos!AD:AD,"Revisar"),"")</f>
        <v/>
      </c>
      <c r="AL181" s="179" t="str">
        <f t="array" ref="AL181">IF($F181&lt;&gt;"", XLOOKUP($F181,Productos!$A$2:$A1001,Productos!AE$2:AE1001,"")*$G181,"")</f>
        <v/>
      </c>
      <c r="AM181" s="179" t="str">
        <f t="array" ref="AM181">IF($F181&lt;&gt;"",XLOOKUP($F181,Productos!$A:$A,Productos!AF:AF,"Revisar"),"")</f>
        <v/>
      </c>
      <c r="AN181" s="179" t="str">
        <f t="array" ref="AN181">IF($F181&lt;&gt;"", XLOOKUP($F181,Productos!$A$2:$A1001,Productos!AG$2:AG1001,"")*$G181,"")</f>
        <v/>
      </c>
      <c r="AO181" s="179" t="str">
        <f t="array" ref="AO181">IF($F181&lt;&gt;"",XLOOKUP($F181,Productos!$A:$A,Productos!AH:AH,"Revisar"),"")</f>
        <v/>
      </c>
      <c r="AP181" s="179" t="str">
        <f t="array" ref="AP181">IF($F181&lt;&gt;"", XLOOKUP($F181,Productos!$A$2:$A1001,Productos!AI$2:AI1001,"")*$G181,"")</f>
        <v/>
      </c>
      <c r="AQ181" s="179" t="str">
        <f t="array" ref="AQ181">IF($F181&lt;&gt;"",XLOOKUP($F181,Productos!$A:$A,Productos!AJ:AJ,"Revisar"),"")</f>
        <v/>
      </c>
      <c r="AR181" s="179" t="str">
        <f t="array" ref="AR181">IF($F181&lt;&gt;"", XLOOKUP($F181,Productos!$A$2:$A1001,Productos!AK$2:AK1001,"")*$G181,"")</f>
        <v/>
      </c>
      <c r="AS181" s="179" t="str">
        <f t="array" ref="AS181">IF($F181&lt;&gt;"",XLOOKUP($F181,Productos!$A:$A,Productos!AL:AL,"Revisar"),"")</f>
        <v/>
      </c>
      <c r="AT181" s="179" t="str">
        <f t="array" ref="AT181">IF($F181&lt;&gt;"", XLOOKUP($F181,Productos!$A$2:$A1001,Productos!AM$2:AM1001,"")*$G181,"")</f>
        <v/>
      </c>
      <c r="AU181" s="179" t="str">
        <f t="array" ref="AU181">IF($F181&lt;&gt;"",XLOOKUP($F181,Productos!$A:$A,Productos!AN:AN,"Revisar"),"")</f>
        <v/>
      </c>
      <c r="AV181" s="179" t="str">
        <f t="array" ref="AV181">IF($F181&lt;&gt;"", XLOOKUP($F181,Productos!$A$2:$A1001,Productos!AO$2:AO1001,"")*$G181,"")</f>
        <v/>
      </c>
      <c r="AW181" s="179" t="str">
        <f t="array" ref="AW181">IF($F181&lt;&gt;"",XLOOKUP($F181,Productos!$A:$A,Productos!AP:AP,"Revisar"),"")</f>
        <v/>
      </c>
      <c r="AX181" s="179" t="str">
        <f t="array" ref="AX181">IF($F181&lt;&gt;"", XLOOKUP($F181,Productos!$A$2:$A1001,Productos!AQ$2:AQ1001,"")*$G181,"")</f>
        <v/>
      </c>
      <c r="AY181" s="179" t="str">
        <f t="array" ref="AY181">IF($F181&lt;&gt;"",XLOOKUP($F181,Productos!$A:$A,Productos!AR:AR,"Revisar"),"")</f>
        <v/>
      </c>
      <c r="AZ181" s="179" t="str">
        <f t="array" ref="AZ181">IF($F181&lt;&gt;"", XLOOKUP($F181,Productos!$A$2:$A1001,Productos!AS$2:AS1001,"")*$G181,"")</f>
        <v/>
      </c>
      <c r="BA181" s="179" t="str">
        <f t="array" ref="BA181">IF($F181&lt;&gt;"",XLOOKUP($F181,Productos!$A:$A,Productos!AT:AT,"Revisar"),"")</f>
        <v/>
      </c>
      <c r="BB181" s="179" t="str">
        <f t="array" ref="BB181">IF($F181&lt;&gt;"", XLOOKUP($F181,Productos!$A$2:$A1001,Productos!AU$2:AU1001,"")*$G181,"")</f>
        <v/>
      </c>
      <c r="BC181" s="179" t="str">
        <f t="array" ref="BC181">IF($F181&lt;&gt;"",XLOOKUP($F181,Productos!$A:$A,Productos!AV:AV,"Revisar"),"")</f>
        <v/>
      </c>
      <c r="BD181" s="179" t="str">
        <f t="array" ref="BD181">IF($F181&lt;&gt;"", XLOOKUP($F181,Productos!$A$2:$A1001,Productos!AW$2:AW1001,"")*$G181,"")</f>
        <v/>
      </c>
      <c r="BE181" s="179" t="str">
        <f t="array" ref="BE181">IF($F181&lt;&gt;"",XLOOKUP($F181,Productos!$A:$A,Productos!AX:AX,"Revisar"),"")</f>
        <v/>
      </c>
      <c r="BF181" s="179" t="str">
        <f t="array" ref="BF181">IF($F181&lt;&gt;"", XLOOKUP($F181,Productos!$A$2:$A1001,Productos!AY$2:AY1001,"")*$G181,"")</f>
        <v/>
      </c>
      <c r="BG181" s="179" t="str">
        <f t="array" ref="BG181">IF($F181&lt;&gt;"",XLOOKUP($F181,Productos!$A:$A,Productos!AZ:AZ,"Revisar"),"")</f>
        <v/>
      </c>
      <c r="BH181" s="179" t="str">
        <f t="array" ref="BH181">IF($F181&lt;&gt;"", XLOOKUP($F181,Productos!$A$2:$A1001,Productos!BA$2:BA1001,"")*$G181,"")</f>
        <v/>
      </c>
      <c r="BI181" s="179" t="str">
        <f t="array" ref="BI181">IF($F181&lt;&gt;"",XLOOKUP($F181,Productos!$A:$A,Productos!BB:BB,"Revisar"),"")</f>
        <v/>
      </c>
      <c r="BJ181" s="179" t="str">
        <f t="array" ref="BJ181">IF($F181&lt;&gt;"", XLOOKUP($F181,Productos!$A$2:$A1001,Productos!BC$2:BC1001,"")*$G181,"")</f>
        <v/>
      </c>
      <c r="BK181" s="179" t="str">
        <f t="array" ref="BK181">IF($F181&lt;&gt;"",XLOOKUP($F181,Productos!$A:$A,Productos!BD:BD,"Revisar"),"")</f>
        <v/>
      </c>
      <c r="BL181" s="179" t="str">
        <f t="array" ref="BL181">IF($F181&lt;&gt;"", XLOOKUP($F181,Productos!$A$2:$A1001,Productos!BE$2:BE1001,"")*$G181,"")</f>
        <v/>
      </c>
      <c r="BM181" s="179" t="str">
        <f t="array" ref="BM181">IF($F181&lt;&gt;"",XLOOKUP($F181,Productos!$A:$A,Productos!BF:BF,"Revisar"),"")</f>
        <v/>
      </c>
      <c r="BN181" s="179" t="str">
        <f t="array" ref="BN181">IF($F181&lt;&gt;"", XLOOKUP($F181,Productos!$A$2:$A1001,Productos!BG$2:BG1001,"")*$G181,"")</f>
        <v/>
      </c>
      <c r="BO181" s="179" t="str">
        <f t="array" ref="BO181">IF($F181&lt;&gt;"",XLOOKUP($F181,Productos!$A:$A,Productos!BH:BH,"Revisar"),"")</f>
        <v/>
      </c>
      <c r="BP181" s="179" t="str">
        <f t="array" ref="BP181">IF($F181&lt;&gt;"", XLOOKUP($F181,Productos!$A$2:$A1001,Productos!BI$2:BI1001,"")*$G181,"")</f>
        <v/>
      </c>
      <c r="BQ181" s="179" t="str">
        <f t="array" ref="BQ181">IF($F181&lt;&gt;"",XLOOKUP($F181,Productos!$A:$A,Productos!BJ:BJ,"Revisar"),"")</f>
        <v/>
      </c>
      <c r="BR181" s="179" t="str">
        <f t="array" ref="BR181">IF($F181&lt;&gt;"", XLOOKUP($F181,Productos!$A$2:$A1001,Productos!BK$2:BK1001,"")*$G181,"")</f>
        <v/>
      </c>
      <c r="BS181" s="179" t="str">
        <f t="array" ref="BS181">IF($F181&lt;&gt;"",XLOOKUP($F181,Productos!$A:$A,Productos!BL:BL,"Revisar"),"")</f>
        <v/>
      </c>
      <c r="BT181" s="179" t="str">
        <f t="array" ref="BT181">IF($F181&lt;&gt;"", XLOOKUP($F181,Productos!$A$2:$A1001,Productos!BM$2:BM1001,"")*$G181,"")</f>
        <v/>
      </c>
      <c r="BU181" s="179" t="str">
        <f t="array" ref="BU181">IF($F181&lt;&gt;"",XLOOKUP($F181,Productos!$A:$A,Productos!BN:BN,"Revisar"),"")</f>
        <v/>
      </c>
      <c r="BV181" s="179" t="str">
        <f t="array" ref="BV181">IF($F181&lt;&gt;"", XLOOKUP($F181,Productos!$A$2:$A1001,Productos!BO$2:BO1001,"")*$G181,"")</f>
        <v/>
      </c>
      <c r="BW181" s="179" t="str">
        <f t="array" ref="BW181">IF($F181&lt;&gt;"",XLOOKUP($F181,Productos!$A:$A,Productos!BP:BP,"Revisar"),"")</f>
        <v/>
      </c>
      <c r="BX181" s="179" t="str">
        <f t="array" ref="BX181">IF($F181&lt;&gt;"", XLOOKUP($F181,Productos!$A$2:$A1001,Productos!BQ$2:BQ1001,"")*$G181,"")</f>
        <v/>
      </c>
      <c r="BY181" s="179" t="str">
        <f t="array" ref="BY181">IF($F181&lt;&gt;"",XLOOKUP($F181,Productos!$A:$A,Productos!BR:BR,"Revisar"),"")</f>
        <v/>
      </c>
      <c r="BZ181" s="179" t="str">
        <f t="array" ref="BZ181">IF($F181&lt;&gt;"", XLOOKUP($F181,Productos!$A$2:$A1001,Productos!BS$2:BS1001,"")*$G181,"")</f>
        <v/>
      </c>
    </row>
    <row r="182">
      <c r="A182" s="180"/>
      <c r="B182" s="181"/>
      <c r="C182" s="182"/>
      <c r="D182" s="182"/>
      <c r="E182" s="185"/>
      <c r="F182" s="186"/>
      <c r="G182" s="187"/>
      <c r="H182" s="186"/>
      <c r="I182" s="179" t="str">
        <f t="array" ref="I182">IF($F182&lt;&gt;"",XLOOKUP($F182,Productos!$A:$A,Productos!B:B,"Revisar"),"")</f>
        <v/>
      </c>
      <c r="J182" s="179" t="str">
        <f t="array" ref="J182">IF($F182&lt;&gt;"", XLOOKUP($F182,Productos!$A$2:$A1001,Productos!C$2:C1001,"")*$G182,"")</f>
        <v/>
      </c>
      <c r="K182" s="179" t="str">
        <f t="array" ref="K182">IF($F182&lt;&gt;"",XLOOKUP($F182,Productos!$A:$A,Productos!D:D,"Revisar"),"")</f>
        <v/>
      </c>
      <c r="L182" s="179" t="str">
        <f t="array" ref="L182">IF($F182&lt;&gt;"", XLOOKUP($F182,Productos!$A$2:$A1001,Productos!E$2:E1001,"")*$G182,"")</f>
        <v/>
      </c>
      <c r="M182" s="179" t="str">
        <f t="array" ref="M182">IF($F182&lt;&gt;"",XLOOKUP($F182,Productos!$A:$A,Productos!F:F,"Revisar"),"")</f>
        <v/>
      </c>
      <c r="N182" s="179" t="str">
        <f t="array" ref="N182">IF($F182&lt;&gt;"", XLOOKUP($F182,Productos!$A$2:$A1001,Productos!G$2:G1001,"")*$G182,"")</f>
        <v/>
      </c>
      <c r="O182" s="179" t="str">
        <f t="array" ref="O182">IF($F182&lt;&gt;"",XLOOKUP($F182,Productos!$A:$A,Productos!H:H,"Revisar"),"")</f>
        <v/>
      </c>
      <c r="P182" s="179" t="str">
        <f t="array" ref="P182">IF($F182&lt;&gt;"", XLOOKUP($F182,Productos!$A$2:$A1001,Productos!I$2:I1001,"")*$G182,"")</f>
        <v/>
      </c>
      <c r="Q182" s="179" t="str">
        <f t="array" ref="Q182">IF($F182&lt;&gt;"",XLOOKUP($F182,Productos!$A:$A,Productos!J:J,"Revisar"),"")</f>
        <v/>
      </c>
      <c r="R182" s="179" t="str">
        <f t="array" ref="R182">IF($F182&lt;&gt;"", XLOOKUP($F182,Productos!$A$2:$A1001,Productos!K$2:K1001,"")*$G182,"")</f>
        <v/>
      </c>
      <c r="S182" s="179" t="str">
        <f t="array" ref="S182">IF($F182&lt;&gt;"",XLOOKUP($F182,Productos!$A:$A,Productos!L:L,"Revisar"),"")</f>
        <v/>
      </c>
      <c r="T182" s="179" t="str">
        <f t="array" ref="T182">IF($F182&lt;&gt;"", XLOOKUP($F182,Productos!$A$2:$A1001,Productos!M$2:M1001,"")*$G182,"")</f>
        <v/>
      </c>
      <c r="U182" s="179" t="str">
        <f t="array" ref="U182">IF($F182&lt;&gt;"",XLOOKUP($F182,Productos!$A:$A,Productos!N:N,"Revisar"),"")</f>
        <v/>
      </c>
      <c r="V182" s="179" t="str">
        <f t="array" ref="V182">IF($F182&lt;&gt;"", XLOOKUP($F182,Productos!$A$2:$A1001,Productos!O$2:O1001,"")*$G182,"")</f>
        <v/>
      </c>
      <c r="W182" s="179" t="str">
        <f t="array" ref="W182">IF($F182&lt;&gt;"",XLOOKUP($F182,Productos!$A:$A,Productos!P:P,"Revisar"),"")</f>
        <v/>
      </c>
      <c r="X182" s="179" t="str">
        <f t="array" ref="X182">IF($F182&lt;&gt;"", XLOOKUP($F182,Productos!$A$2:$A1001,Productos!Q$2:Q1001,"")*$G182,"")</f>
        <v/>
      </c>
      <c r="Y182" s="179" t="str">
        <f t="array" ref="Y182">IF($F182&lt;&gt;"",XLOOKUP($F182,Productos!$A:$A,Productos!R:R,"Revisar"),"")</f>
        <v/>
      </c>
      <c r="Z182" s="179" t="str">
        <f t="array" ref="Z182">IF($F182&lt;&gt;"", XLOOKUP($F182,Productos!$A$2:$A1001,Productos!S$2:S1001,"")*$G182,"")</f>
        <v/>
      </c>
      <c r="AA182" s="179" t="str">
        <f t="array" ref="AA182">IF($F182&lt;&gt;"",XLOOKUP($F182,Productos!$A:$A,Productos!T:T,"Revisar"),"")</f>
        <v/>
      </c>
      <c r="AB182" s="179" t="str">
        <f t="array" ref="AB182">IF($F182&lt;&gt;"", XLOOKUP($F182,Productos!$A$2:$A1001,Productos!U$2:U1001,"")*$G182,"")</f>
        <v/>
      </c>
      <c r="AC182" s="179" t="str">
        <f t="array" ref="AC182">IF($F182&lt;&gt;"",XLOOKUP($F182,Productos!$A:$A,Productos!V:V,"Revisar"),"")</f>
        <v/>
      </c>
      <c r="AD182" s="179" t="str">
        <f t="array" ref="AD182">IF($F182&lt;&gt;"", XLOOKUP($F182,Productos!$A$2:$A1001,Productos!W$2:W1001,"")*$G182,"")</f>
        <v/>
      </c>
      <c r="AE182" s="179" t="str">
        <f t="array" ref="AE182">IF($F182&lt;&gt;"",XLOOKUP($F182,Productos!$A:$A,Productos!X:X,"Revisar"),"")</f>
        <v/>
      </c>
      <c r="AF182" s="179" t="str">
        <f t="array" ref="AF182">IF($F182&lt;&gt;"", XLOOKUP($F182,Productos!$A$2:$A1001,Productos!Y$2:Y1001,"")*$G182,"")</f>
        <v/>
      </c>
      <c r="AG182" s="179" t="str">
        <f t="array" ref="AG182">IF($F182&lt;&gt;"",XLOOKUP($F182,Productos!$A:$A,Productos!Z:Z,"Revisar"),"")</f>
        <v/>
      </c>
      <c r="AH182" s="179" t="str">
        <f t="array" ref="AH182">IF($F182&lt;&gt;"", XLOOKUP($F182,Productos!$A$2:$A1001,Productos!AA$2:AA1001,"")*$G182,"")</f>
        <v/>
      </c>
      <c r="AI182" s="179" t="str">
        <f t="array" ref="AI182">IF($F182&lt;&gt;"",XLOOKUP($F182,Productos!$A:$A,Productos!AB:AB,"Revisar"),"")</f>
        <v/>
      </c>
      <c r="AJ182" s="179" t="str">
        <f t="array" ref="AJ182">IF($F182&lt;&gt;"", XLOOKUP($F182,Productos!$A$2:$A1001,Productos!AC$2:AC1001,"")*$G182,"")</f>
        <v/>
      </c>
      <c r="AK182" s="179" t="str">
        <f t="array" ref="AK182">IF($F182&lt;&gt;"",XLOOKUP($F182,Productos!$A:$A,Productos!AD:AD,"Revisar"),"")</f>
        <v/>
      </c>
      <c r="AL182" s="179" t="str">
        <f t="array" ref="AL182">IF($F182&lt;&gt;"", XLOOKUP($F182,Productos!$A$2:$A1001,Productos!AE$2:AE1001,"")*$G182,"")</f>
        <v/>
      </c>
      <c r="AM182" s="179" t="str">
        <f t="array" ref="AM182">IF($F182&lt;&gt;"",XLOOKUP($F182,Productos!$A:$A,Productos!AF:AF,"Revisar"),"")</f>
        <v/>
      </c>
      <c r="AN182" s="179" t="str">
        <f t="array" ref="AN182">IF($F182&lt;&gt;"", XLOOKUP($F182,Productos!$A$2:$A1001,Productos!AG$2:AG1001,"")*$G182,"")</f>
        <v/>
      </c>
      <c r="AO182" s="179" t="str">
        <f t="array" ref="AO182">IF($F182&lt;&gt;"",XLOOKUP($F182,Productos!$A:$A,Productos!AH:AH,"Revisar"),"")</f>
        <v/>
      </c>
      <c r="AP182" s="179" t="str">
        <f t="array" ref="AP182">IF($F182&lt;&gt;"", XLOOKUP($F182,Productos!$A$2:$A1001,Productos!AI$2:AI1001,"")*$G182,"")</f>
        <v/>
      </c>
      <c r="AQ182" s="179" t="str">
        <f t="array" ref="AQ182">IF($F182&lt;&gt;"",XLOOKUP($F182,Productos!$A:$A,Productos!AJ:AJ,"Revisar"),"")</f>
        <v/>
      </c>
      <c r="AR182" s="179" t="str">
        <f t="array" ref="AR182">IF($F182&lt;&gt;"", XLOOKUP($F182,Productos!$A$2:$A1001,Productos!AK$2:AK1001,"")*$G182,"")</f>
        <v/>
      </c>
      <c r="AS182" s="179" t="str">
        <f t="array" ref="AS182">IF($F182&lt;&gt;"",XLOOKUP($F182,Productos!$A:$A,Productos!AL:AL,"Revisar"),"")</f>
        <v/>
      </c>
      <c r="AT182" s="179" t="str">
        <f t="array" ref="AT182">IF($F182&lt;&gt;"", XLOOKUP($F182,Productos!$A$2:$A1001,Productos!AM$2:AM1001,"")*$G182,"")</f>
        <v/>
      </c>
      <c r="AU182" s="179" t="str">
        <f t="array" ref="AU182">IF($F182&lt;&gt;"",XLOOKUP($F182,Productos!$A:$A,Productos!AN:AN,"Revisar"),"")</f>
        <v/>
      </c>
      <c r="AV182" s="179" t="str">
        <f t="array" ref="AV182">IF($F182&lt;&gt;"", XLOOKUP($F182,Productos!$A$2:$A1001,Productos!AO$2:AO1001,"")*$G182,"")</f>
        <v/>
      </c>
      <c r="AW182" s="179" t="str">
        <f t="array" ref="AW182">IF($F182&lt;&gt;"",XLOOKUP($F182,Productos!$A:$A,Productos!AP:AP,"Revisar"),"")</f>
        <v/>
      </c>
      <c r="AX182" s="179" t="str">
        <f t="array" ref="AX182">IF($F182&lt;&gt;"", XLOOKUP($F182,Productos!$A$2:$A1001,Productos!AQ$2:AQ1001,"")*$G182,"")</f>
        <v/>
      </c>
      <c r="AY182" s="179" t="str">
        <f t="array" ref="AY182">IF($F182&lt;&gt;"",XLOOKUP($F182,Productos!$A:$A,Productos!AR:AR,"Revisar"),"")</f>
        <v/>
      </c>
      <c r="AZ182" s="179" t="str">
        <f t="array" ref="AZ182">IF($F182&lt;&gt;"", XLOOKUP($F182,Productos!$A$2:$A1001,Productos!AS$2:AS1001,"")*$G182,"")</f>
        <v/>
      </c>
      <c r="BA182" s="179" t="str">
        <f t="array" ref="BA182">IF($F182&lt;&gt;"",XLOOKUP($F182,Productos!$A:$A,Productos!AT:AT,"Revisar"),"")</f>
        <v/>
      </c>
      <c r="BB182" s="179" t="str">
        <f t="array" ref="BB182">IF($F182&lt;&gt;"", XLOOKUP($F182,Productos!$A$2:$A1001,Productos!AU$2:AU1001,"")*$G182,"")</f>
        <v/>
      </c>
      <c r="BC182" s="179" t="str">
        <f t="array" ref="BC182">IF($F182&lt;&gt;"",XLOOKUP($F182,Productos!$A:$A,Productos!AV:AV,"Revisar"),"")</f>
        <v/>
      </c>
      <c r="BD182" s="179" t="str">
        <f t="array" ref="BD182">IF($F182&lt;&gt;"", XLOOKUP($F182,Productos!$A$2:$A1001,Productos!AW$2:AW1001,"")*$G182,"")</f>
        <v/>
      </c>
      <c r="BE182" s="179" t="str">
        <f t="array" ref="BE182">IF($F182&lt;&gt;"",XLOOKUP($F182,Productos!$A:$A,Productos!AX:AX,"Revisar"),"")</f>
        <v/>
      </c>
      <c r="BF182" s="179" t="str">
        <f t="array" ref="BF182">IF($F182&lt;&gt;"", XLOOKUP($F182,Productos!$A$2:$A1001,Productos!AY$2:AY1001,"")*$G182,"")</f>
        <v/>
      </c>
      <c r="BG182" s="179" t="str">
        <f t="array" ref="BG182">IF($F182&lt;&gt;"",XLOOKUP($F182,Productos!$A:$A,Productos!AZ:AZ,"Revisar"),"")</f>
        <v/>
      </c>
      <c r="BH182" s="179" t="str">
        <f t="array" ref="BH182">IF($F182&lt;&gt;"", XLOOKUP($F182,Productos!$A$2:$A1001,Productos!BA$2:BA1001,"")*$G182,"")</f>
        <v/>
      </c>
      <c r="BI182" s="179" t="str">
        <f t="array" ref="BI182">IF($F182&lt;&gt;"",XLOOKUP($F182,Productos!$A:$A,Productos!BB:BB,"Revisar"),"")</f>
        <v/>
      </c>
      <c r="BJ182" s="179" t="str">
        <f t="array" ref="BJ182">IF($F182&lt;&gt;"", XLOOKUP($F182,Productos!$A$2:$A1001,Productos!BC$2:BC1001,"")*$G182,"")</f>
        <v/>
      </c>
      <c r="BK182" s="179" t="str">
        <f t="array" ref="BK182">IF($F182&lt;&gt;"",XLOOKUP($F182,Productos!$A:$A,Productos!BD:BD,"Revisar"),"")</f>
        <v/>
      </c>
      <c r="BL182" s="179" t="str">
        <f t="array" ref="BL182">IF($F182&lt;&gt;"", XLOOKUP($F182,Productos!$A$2:$A1001,Productos!BE$2:BE1001,"")*$G182,"")</f>
        <v/>
      </c>
      <c r="BM182" s="179" t="str">
        <f t="array" ref="BM182">IF($F182&lt;&gt;"",XLOOKUP($F182,Productos!$A:$A,Productos!BF:BF,"Revisar"),"")</f>
        <v/>
      </c>
      <c r="BN182" s="179" t="str">
        <f t="array" ref="BN182">IF($F182&lt;&gt;"", XLOOKUP($F182,Productos!$A$2:$A1001,Productos!BG$2:BG1001,"")*$G182,"")</f>
        <v/>
      </c>
      <c r="BO182" s="179" t="str">
        <f t="array" ref="BO182">IF($F182&lt;&gt;"",XLOOKUP($F182,Productos!$A:$A,Productos!BH:BH,"Revisar"),"")</f>
        <v/>
      </c>
      <c r="BP182" s="179" t="str">
        <f t="array" ref="BP182">IF($F182&lt;&gt;"", XLOOKUP($F182,Productos!$A$2:$A1001,Productos!BI$2:BI1001,"")*$G182,"")</f>
        <v/>
      </c>
      <c r="BQ182" s="179" t="str">
        <f t="array" ref="BQ182">IF($F182&lt;&gt;"",XLOOKUP($F182,Productos!$A:$A,Productos!BJ:BJ,"Revisar"),"")</f>
        <v/>
      </c>
      <c r="BR182" s="179" t="str">
        <f t="array" ref="BR182">IF($F182&lt;&gt;"", XLOOKUP($F182,Productos!$A$2:$A1001,Productos!BK$2:BK1001,"")*$G182,"")</f>
        <v/>
      </c>
      <c r="BS182" s="179" t="str">
        <f t="array" ref="BS182">IF($F182&lt;&gt;"",XLOOKUP($F182,Productos!$A:$A,Productos!BL:BL,"Revisar"),"")</f>
        <v/>
      </c>
      <c r="BT182" s="179" t="str">
        <f t="array" ref="BT182">IF($F182&lt;&gt;"", XLOOKUP($F182,Productos!$A$2:$A1001,Productos!BM$2:BM1001,"")*$G182,"")</f>
        <v/>
      </c>
      <c r="BU182" s="179" t="str">
        <f t="array" ref="BU182">IF($F182&lt;&gt;"",XLOOKUP($F182,Productos!$A:$A,Productos!BN:BN,"Revisar"),"")</f>
        <v/>
      </c>
      <c r="BV182" s="179" t="str">
        <f t="array" ref="BV182">IF($F182&lt;&gt;"", XLOOKUP($F182,Productos!$A$2:$A1001,Productos!BO$2:BO1001,"")*$G182,"")</f>
        <v/>
      </c>
      <c r="BW182" s="179" t="str">
        <f t="array" ref="BW182">IF($F182&lt;&gt;"",XLOOKUP($F182,Productos!$A:$A,Productos!BP:BP,"Revisar"),"")</f>
        <v/>
      </c>
      <c r="BX182" s="179" t="str">
        <f t="array" ref="BX182">IF($F182&lt;&gt;"", XLOOKUP($F182,Productos!$A$2:$A1001,Productos!BQ$2:BQ1001,"")*$G182,"")</f>
        <v/>
      </c>
      <c r="BY182" s="179" t="str">
        <f t="array" ref="BY182">IF($F182&lt;&gt;"",XLOOKUP($F182,Productos!$A:$A,Productos!BR:BR,"Revisar"),"")</f>
        <v/>
      </c>
      <c r="BZ182" s="179" t="str">
        <f t="array" ref="BZ182">IF($F182&lt;&gt;"", XLOOKUP($F182,Productos!$A$2:$A1001,Productos!BS$2:BS1001,"")*$G182,"")</f>
        <v/>
      </c>
    </row>
    <row r="183">
      <c r="A183" s="180"/>
      <c r="B183" s="181"/>
      <c r="C183" s="182"/>
      <c r="D183" s="182"/>
      <c r="E183" s="185"/>
      <c r="F183" s="186"/>
      <c r="G183" s="187"/>
      <c r="H183" s="186"/>
      <c r="I183" s="179" t="str">
        <f t="array" ref="I183">IF($F183&lt;&gt;"",XLOOKUP($F183,Productos!$A:$A,Productos!B:B,"Revisar"),"")</f>
        <v/>
      </c>
      <c r="J183" s="179" t="str">
        <f t="array" ref="J183">IF($F183&lt;&gt;"", XLOOKUP($F183,Productos!$A$2:$A1001,Productos!C$2:C1001,"")*$G183,"")</f>
        <v/>
      </c>
      <c r="K183" s="179" t="str">
        <f t="array" ref="K183">IF($F183&lt;&gt;"",XLOOKUP($F183,Productos!$A:$A,Productos!D:D,"Revisar"),"")</f>
        <v/>
      </c>
      <c r="L183" s="179" t="str">
        <f t="array" ref="L183">IF($F183&lt;&gt;"", XLOOKUP($F183,Productos!$A$2:$A1001,Productos!E$2:E1001,"")*$G183,"")</f>
        <v/>
      </c>
      <c r="M183" s="179" t="str">
        <f t="array" ref="M183">IF($F183&lt;&gt;"",XLOOKUP($F183,Productos!$A:$A,Productos!F:F,"Revisar"),"")</f>
        <v/>
      </c>
      <c r="N183" s="179" t="str">
        <f t="array" ref="N183">IF($F183&lt;&gt;"", XLOOKUP($F183,Productos!$A$2:$A1001,Productos!G$2:G1001,"")*$G183,"")</f>
        <v/>
      </c>
      <c r="O183" s="179" t="str">
        <f t="array" ref="O183">IF($F183&lt;&gt;"",XLOOKUP($F183,Productos!$A:$A,Productos!H:H,"Revisar"),"")</f>
        <v/>
      </c>
      <c r="P183" s="179" t="str">
        <f t="array" ref="P183">IF($F183&lt;&gt;"", XLOOKUP($F183,Productos!$A$2:$A1001,Productos!I$2:I1001,"")*$G183,"")</f>
        <v/>
      </c>
      <c r="Q183" s="179" t="str">
        <f t="array" ref="Q183">IF($F183&lt;&gt;"",XLOOKUP($F183,Productos!$A:$A,Productos!J:J,"Revisar"),"")</f>
        <v/>
      </c>
      <c r="R183" s="179" t="str">
        <f t="array" ref="R183">IF($F183&lt;&gt;"", XLOOKUP($F183,Productos!$A$2:$A1001,Productos!K$2:K1001,"")*$G183,"")</f>
        <v/>
      </c>
      <c r="S183" s="179" t="str">
        <f t="array" ref="S183">IF($F183&lt;&gt;"",XLOOKUP($F183,Productos!$A:$A,Productos!L:L,"Revisar"),"")</f>
        <v/>
      </c>
      <c r="T183" s="179" t="str">
        <f t="array" ref="T183">IF($F183&lt;&gt;"", XLOOKUP($F183,Productos!$A$2:$A1001,Productos!M$2:M1001,"")*$G183,"")</f>
        <v/>
      </c>
      <c r="U183" s="179" t="str">
        <f t="array" ref="U183">IF($F183&lt;&gt;"",XLOOKUP($F183,Productos!$A:$A,Productos!N:N,"Revisar"),"")</f>
        <v/>
      </c>
      <c r="V183" s="179" t="str">
        <f t="array" ref="V183">IF($F183&lt;&gt;"", XLOOKUP($F183,Productos!$A$2:$A1001,Productos!O$2:O1001,"")*$G183,"")</f>
        <v/>
      </c>
      <c r="W183" s="179" t="str">
        <f t="array" ref="W183">IF($F183&lt;&gt;"",XLOOKUP($F183,Productos!$A:$A,Productos!P:P,"Revisar"),"")</f>
        <v/>
      </c>
      <c r="X183" s="179" t="str">
        <f t="array" ref="X183">IF($F183&lt;&gt;"", XLOOKUP($F183,Productos!$A$2:$A1001,Productos!Q$2:Q1001,"")*$G183,"")</f>
        <v/>
      </c>
      <c r="Y183" s="179" t="str">
        <f t="array" ref="Y183">IF($F183&lt;&gt;"",XLOOKUP($F183,Productos!$A:$A,Productos!R:R,"Revisar"),"")</f>
        <v/>
      </c>
      <c r="Z183" s="179" t="str">
        <f t="array" ref="Z183">IF($F183&lt;&gt;"", XLOOKUP($F183,Productos!$A$2:$A1001,Productos!S$2:S1001,"")*$G183,"")</f>
        <v/>
      </c>
      <c r="AA183" s="179" t="str">
        <f t="array" ref="AA183">IF($F183&lt;&gt;"",XLOOKUP($F183,Productos!$A:$A,Productos!T:T,"Revisar"),"")</f>
        <v/>
      </c>
      <c r="AB183" s="179" t="str">
        <f t="array" ref="AB183">IF($F183&lt;&gt;"", XLOOKUP($F183,Productos!$A$2:$A1001,Productos!U$2:U1001,"")*$G183,"")</f>
        <v/>
      </c>
      <c r="AC183" s="179" t="str">
        <f t="array" ref="AC183">IF($F183&lt;&gt;"",XLOOKUP($F183,Productos!$A:$A,Productos!V:V,"Revisar"),"")</f>
        <v/>
      </c>
      <c r="AD183" s="179" t="str">
        <f t="array" ref="AD183">IF($F183&lt;&gt;"", XLOOKUP($F183,Productos!$A$2:$A1001,Productos!W$2:W1001,"")*$G183,"")</f>
        <v/>
      </c>
      <c r="AE183" s="179" t="str">
        <f t="array" ref="AE183">IF($F183&lt;&gt;"",XLOOKUP($F183,Productos!$A:$A,Productos!X:X,"Revisar"),"")</f>
        <v/>
      </c>
      <c r="AF183" s="179" t="str">
        <f t="array" ref="AF183">IF($F183&lt;&gt;"", XLOOKUP($F183,Productos!$A$2:$A1001,Productos!Y$2:Y1001,"")*$G183,"")</f>
        <v/>
      </c>
      <c r="AG183" s="179" t="str">
        <f t="array" ref="AG183">IF($F183&lt;&gt;"",XLOOKUP($F183,Productos!$A:$A,Productos!Z:Z,"Revisar"),"")</f>
        <v/>
      </c>
      <c r="AH183" s="179" t="str">
        <f t="array" ref="AH183">IF($F183&lt;&gt;"", XLOOKUP($F183,Productos!$A$2:$A1001,Productos!AA$2:AA1001,"")*$G183,"")</f>
        <v/>
      </c>
      <c r="AI183" s="179" t="str">
        <f t="array" ref="AI183">IF($F183&lt;&gt;"",XLOOKUP($F183,Productos!$A:$A,Productos!AB:AB,"Revisar"),"")</f>
        <v/>
      </c>
      <c r="AJ183" s="179" t="str">
        <f t="array" ref="AJ183">IF($F183&lt;&gt;"", XLOOKUP($F183,Productos!$A$2:$A1001,Productos!AC$2:AC1001,"")*$G183,"")</f>
        <v/>
      </c>
      <c r="AK183" s="179" t="str">
        <f t="array" ref="AK183">IF($F183&lt;&gt;"",XLOOKUP($F183,Productos!$A:$A,Productos!AD:AD,"Revisar"),"")</f>
        <v/>
      </c>
      <c r="AL183" s="179" t="str">
        <f t="array" ref="AL183">IF($F183&lt;&gt;"", XLOOKUP($F183,Productos!$A$2:$A1001,Productos!AE$2:AE1001,"")*$G183,"")</f>
        <v/>
      </c>
      <c r="AM183" s="179" t="str">
        <f t="array" ref="AM183">IF($F183&lt;&gt;"",XLOOKUP($F183,Productos!$A:$A,Productos!AF:AF,"Revisar"),"")</f>
        <v/>
      </c>
      <c r="AN183" s="179" t="str">
        <f t="array" ref="AN183">IF($F183&lt;&gt;"", XLOOKUP($F183,Productos!$A$2:$A1001,Productos!AG$2:AG1001,"")*$G183,"")</f>
        <v/>
      </c>
      <c r="AO183" s="179" t="str">
        <f t="array" ref="AO183">IF($F183&lt;&gt;"",XLOOKUP($F183,Productos!$A:$A,Productos!AH:AH,"Revisar"),"")</f>
        <v/>
      </c>
      <c r="AP183" s="179" t="str">
        <f t="array" ref="AP183">IF($F183&lt;&gt;"", XLOOKUP($F183,Productos!$A$2:$A1001,Productos!AI$2:AI1001,"")*$G183,"")</f>
        <v/>
      </c>
      <c r="AQ183" s="179" t="str">
        <f t="array" ref="AQ183">IF($F183&lt;&gt;"",XLOOKUP($F183,Productos!$A:$A,Productos!AJ:AJ,"Revisar"),"")</f>
        <v/>
      </c>
      <c r="AR183" s="179" t="str">
        <f t="array" ref="AR183">IF($F183&lt;&gt;"", XLOOKUP($F183,Productos!$A$2:$A1001,Productos!AK$2:AK1001,"")*$G183,"")</f>
        <v/>
      </c>
      <c r="AS183" s="179" t="str">
        <f t="array" ref="AS183">IF($F183&lt;&gt;"",XLOOKUP($F183,Productos!$A:$A,Productos!AL:AL,"Revisar"),"")</f>
        <v/>
      </c>
      <c r="AT183" s="179" t="str">
        <f t="array" ref="AT183">IF($F183&lt;&gt;"", XLOOKUP($F183,Productos!$A$2:$A1001,Productos!AM$2:AM1001,"")*$G183,"")</f>
        <v/>
      </c>
      <c r="AU183" s="179" t="str">
        <f t="array" ref="AU183">IF($F183&lt;&gt;"",XLOOKUP($F183,Productos!$A:$A,Productos!AN:AN,"Revisar"),"")</f>
        <v/>
      </c>
      <c r="AV183" s="179" t="str">
        <f t="array" ref="AV183">IF($F183&lt;&gt;"", XLOOKUP($F183,Productos!$A$2:$A1001,Productos!AO$2:AO1001,"")*$G183,"")</f>
        <v/>
      </c>
      <c r="AW183" s="179" t="str">
        <f t="array" ref="AW183">IF($F183&lt;&gt;"",XLOOKUP($F183,Productos!$A:$A,Productos!AP:AP,"Revisar"),"")</f>
        <v/>
      </c>
      <c r="AX183" s="179" t="str">
        <f t="array" ref="AX183">IF($F183&lt;&gt;"", XLOOKUP($F183,Productos!$A$2:$A1001,Productos!AQ$2:AQ1001,"")*$G183,"")</f>
        <v/>
      </c>
      <c r="AY183" s="179" t="str">
        <f t="array" ref="AY183">IF($F183&lt;&gt;"",XLOOKUP($F183,Productos!$A:$A,Productos!AR:AR,"Revisar"),"")</f>
        <v/>
      </c>
      <c r="AZ183" s="179" t="str">
        <f t="array" ref="AZ183">IF($F183&lt;&gt;"", XLOOKUP($F183,Productos!$A$2:$A1001,Productos!AS$2:AS1001,"")*$G183,"")</f>
        <v/>
      </c>
      <c r="BA183" s="179" t="str">
        <f t="array" ref="BA183">IF($F183&lt;&gt;"",XLOOKUP($F183,Productos!$A:$A,Productos!AT:AT,"Revisar"),"")</f>
        <v/>
      </c>
      <c r="BB183" s="179" t="str">
        <f t="array" ref="BB183">IF($F183&lt;&gt;"", XLOOKUP($F183,Productos!$A$2:$A1001,Productos!AU$2:AU1001,"")*$G183,"")</f>
        <v/>
      </c>
      <c r="BC183" s="179" t="str">
        <f t="array" ref="BC183">IF($F183&lt;&gt;"",XLOOKUP($F183,Productos!$A:$A,Productos!AV:AV,"Revisar"),"")</f>
        <v/>
      </c>
      <c r="BD183" s="179" t="str">
        <f t="array" ref="BD183">IF($F183&lt;&gt;"", XLOOKUP($F183,Productos!$A$2:$A1001,Productos!AW$2:AW1001,"")*$G183,"")</f>
        <v/>
      </c>
      <c r="BE183" s="179" t="str">
        <f t="array" ref="BE183">IF($F183&lt;&gt;"",XLOOKUP($F183,Productos!$A:$A,Productos!AX:AX,"Revisar"),"")</f>
        <v/>
      </c>
      <c r="BF183" s="179" t="str">
        <f t="array" ref="BF183">IF($F183&lt;&gt;"", XLOOKUP($F183,Productos!$A$2:$A1001,Productos!AY$2:AY1001,"")*$G183,"")</f>
        <v/>
      </c>
      <c r="BG183" s="179" t="str">
        <f t="array" ref="BG183">IF($F183&lt;&gt;"",XLOOKUP($F183,Productos!$A:$A,Productos!AZ:AZ,"Revisar"),"")</f>
        <v/>
      </c>
      <c r="BH183" s="179" t="str">
        <f t="array" ref="BH183">IF($F183&lt;&gt;"", XLOOKUP($F183,Productos!$A$2:$A1001,Productos!BA$2:BA1001,"")*$G183,"")</f>
        <v/>
      </c>
      <c r="BI183" s="179" t="str">
        <f t="array" ref="BI183">IF($F183&lt;&gt;"",XLOOKUP($F183,Productos!$A:$A,Productos!BB:BB,"Revisar"),"")</f>
        <v/>
      </c>
      <c r="BJ183" s="179" t="str">
        <f t="array" ref="BJ183">IF($F183&lt;&gt;"", XLOOKUP($F183,Productos!$A$2:$A1001,Productos!BC$2:BC1001,"")*$G183,"")</f>
        <v/>
      </c>
      <c r="BK183" s="179" t="str">
        <f t="array" ref="BK183">IF($F183&lt;&gt;"",XLOOKUP($F183,Productos!$A:$A,Productos!BD:BD,"Revisar"),"")</f>
        <v/>
      </c>
      <c r="BL183" s="179" t="str">
        <f t="array" ref="BL183">IF($F183&lt;&gt;"", XLOOKUP($F183,Productos!$A$2:$A1001,Productos!BE$2:BE1001,"")*$G183,"")</f>
        <v/>
      </c>
      <c r="BM183" s="179" t="str">
        <f t="array" ref="BM183">IF($F183&lt;&gt;"",XLOOKUP($F183,Productos!$A:$A,Productos!BF:BF,"Revisar"),"")</f>
        <v/>
      </c>
      <c r="BN183" s="179" t="str">
        <f t="array" ref="BN183">IF($F183&lt;&gt;"", XLOOKUP($F183,Productos!$A$2:$A1001,Productos!BG$2:BG1001,"")*$G183,"")</f>
        <v/>
      </c>
      <c r="BO183" s="179" t="str">
        <f t="array" ref="BO183">IF($F183&lt;&gt;"",XLOOKUP($F183,Productos!$A:$A,Productos!BH:BH,"Revisar"),"")</f>
        <v/>
      </c>
      <c r="BP183" s="179" t="str">
        <f t="array" ref="BP183">IF($F183&lt;&gt;"", XLOOKUP($F183,Productos!$A$2:$A1001,Productos!BI$2:BI1001,"")*$G183,"")</f>
        <v/>
      </c>
      <c r="BQ183" s="179" t="str">
        <f t="array" ref="BQ183">IF($F183&lt;&gt;"",XLOOKUP($F183,Productos!$A:$A,Productos!BJ:BJ,"Revisar"),"")</f>
        <v/>
      </c>
      <c r="BR183" s="179" t="str">
        <f t="array" ref="BR183">IF($F183&lt;&gt;"", XLOOKUP($F183,Productos!$A$2:$A1001,Productos!BK$2:BK1001,"")*$G183,"")</f>
        <v/>
      </c>
      <c r="BS183" s="179" t="str">
        <f t="array" ref="BS183">IF($F183&lt;&gt;"",XLOOKUP($F183,Productos!$A:$A,Productos!BL:BL,"Revisar"),"")</f>
        <v/>
      </c>
      <c r="BT183" s="179" t="str">
        <f t="array" ref="BT183">IF($F183&lt;&gt;"", XLOOKUP($F183,Productos!$A$2:$A1001,Productos!BM$2:BM1001,"")*$G183,"")</f>
        <v/>
      </c>
      <c r="BU183" s="179" t="str">
        <f t="array" ref="BU183">IF($F183&lt;&gt;"",XLOOKUP($F183,Productos!$A:$A,Productos!BN:BN,"Revisar"),"")</f>
        <v/>
      </c>
      <c r="BV183" s="179" t="str">
        <f t="array" ref="BV183">IF($F183&lt;&gt;"", XLOOKUP($F183,Productos!$A$2:$A1001,Productos!BO$2:BO1001,"")*$G183,"")</f>
        <v/>
      </c>
      <c r="BW183" s="179" t="str">
        <f t="array" ref="BW183">IF($F183&lt;&gt;"",XLOOKUP($F183,Productos!$A:$A,Productos!BP:BP,"Revisar"),"")</f>
        <v/>
      </c>
      <c r="BX183" s="179" t="str">
        <f t="array" ref="BX183">IF($F183&lt;&gt;"", XLOOKUP($F183,Productos!$A$2:$A1001,Productos!BQ$2:BQ1001,"")*$G183,"")</f>
        <v/>
      </c>
      <c r="BY183" s="179" t="str">
        <f t="array" ref="BY183">IF($F183&lt;&gt;"",XLOOKUP($F183,Productos!$A:$A,Productos!BR:BR,"Revisar"),"")</f>
        <v/>
      </c>
      <c r="BZ183" s="179" t="str">
        <f t="array" ref="BZ183">IF($F183&lt;&gt;"", XLOOKUP($F183,Productos!$A$2:$A1001,Productos!BS$2:BS1001,"")*$G183,"")</f>
        <v/>
      </c>
    </row>
    <row r="184">
      <c r="A184" s="180"/>
      <c r="B184" s="181"/>
      <c r="C184" s="182"/>
      <c r="D184" s="182"/>
      <c r="E184" s="185"/>
      <c r="F184" s="186"/>
      <c r="G184" s="187"/>
      <c r="H184" s="186"/>
      <c r="I184" s="179" t="str">
        <f t="array" ref="I184">IF($F184&lt;&gt;"",XLOOKUP($F184,Productos!$A:$A,Productos!B:B,"Revisar"),"")</f>
        <v/>
      </c>
      <c r="J184" s="179" t="str">
        <f t="array" ref="J184">IF($F184&lt;&gt;"", XLOOKUP($F184,Productos!$A$2:$A1001,Productos!C$2:C1001,"")*$G184,"")</f>
        <v/>
      </c>
      <c r="K184" s="179" t="str">
        <f t="array" ref="K184">IF($F184&lt;&gt;"",XLOOKUP($F184,Productos!$A:$A,Productos!D:D,"Revisar"),"")</f>
        <v/>
      </c>
      <c r="L184" s="179" t="str">
        <f t="array" ref="L184">IF($F184&lt;&gt;"", XLOOKUP($F184,Productos!$A$2:$A1001,Productos!E$2:E1001,"")*$G184,"")</f>
        <v/>
      </c>
      <c r="M184" s="179" t="str">
        <f t="array" ref="M184">IF($F184&lt;&gt;"",XLOOKUP($F184,Productos!$A:$A,Productos!F:F,"Revisar"),"")</f>
        <v/>
      </c>
      <c r="N184" s="179" t="str">
        <f t="array" ref="N184">IF($F184&lt;&gt;"", XLOOKUP($F184,Productos!$A$2:$A1001,Productos!G$2:G1001,"")*$G184,"")</f>
        <v/>
      </c>
      <c r="O184" s="179" t="str">
        <f t="array" ref="O184">IF($F184&lt;&gt;"",XLOOKUP($F184,Productos!$A:$A,Productos!H:H,"Revisar"),"")</f>
        <v/>
      </c>
      <c r="P184" s="179" t="str">
        <f t="array" ref="P184">IF($F184&lt;&gt;"", XLOOKUP($F184,Productos!$A$2:$A1001,Productos!I$2:I1001,"")*$G184,"")</f>
        <v/>
      </c>
      <c r="Q184" s="179" t="str">
        <f t="array" ref="Q184">IF($F184&lt;&gt;"",XLOOKUP($F184,Productos!$A:$A,Productos!J:J,"Revisar"),"")</f>
        <v/>
      </c>
      <c r="R184" s="179" t="str">
        <f t="array" ref="R184">IF($F184&lt;&gt;"", XLOOKUP($F184,Productos!$A$2:$A1001,Productos!K$2:K1001,"")*$G184,"")</f>
        <v/>
      </c>
      <c r="S184" s="179" t="str">
        <f t="array" ref="S184">IF($F184&lt;&gt;"",XLOOKUP($F184,Productos!$A:$A,Productos!L:L,"Revisar"),"")</f>
        <v/>
      </c>
      <c r="T184" s="179" t="str">
        <f t="array" ref="T184">IF($F184&lt;&gt;"", XLOOKUP($F184,Productos!$A$2:$A1001,Productos!M$2:M1001,"")*$G184,"")</f>
        <v/>
      </c>
      <c r="U184" s="179" t="str">
        <f t="array" ref="U184">IF($F184&lt;&gt;"",XLOOKUP($F184,Productos!$A:$A,Productos!N:N,"Revisar"),"")</f>
        <v/>
      </c>
      <c r="V184" s="179" t="str">
        <f t="array" ref="V184">IF($F184&lt;&gt;"", XLOOKUP($F184,Productos!$A$2:$A1001,Productos!O$2:O1001,"")*$G184,"")</f>
        <v/>
      </c>
      <c r="W184" s="179" t="str">
        <f t="array" ref="W184">IF($F184&lt;&gt;"",XLOOKUP($F184,Productos!$A:$A,Productos!P:P,"Revisar"),"")</f>
        <v/>
      </c>
      <c r="X184" s="179" t="str">
        <f t="array" ref="X184">IF($F184&lt;&gt;"", XLOOKUP($F184,Productos!$A$2:$A1001,Productos!Q$2:Q1001,"")*$G184,"")</f>
        <v/>
      </c>
      <c r="Y184" s="179" t="str">
        <f t="array" ref="Y184">IF($F184&lt;&gt;"",XLOOKUP($F184,Productos!$A:$A,Productos!R:R,"Revisar"),"")</f>
        <v/>
      </c>
      <c r="Z184" s="179" t="str">
        <f t="array" ref="Z184">IF($F184&lt;&gt;"", XLOOKUP($F184,Productos!$A$2:$A1001,Productos!S$2:S1001,"")*$G184,"")</f>
        <v/>
      </c>
      <c r="AA184" s="179" t="str">
        <f t="array" ref="AA184">IF($F184&lt;&gt;"",XLOOKUP($F184,Productos!$A:$A,Productos!T:T,"Revisar"),"")</f>
        <v/>
      </c>
      <c r="AB184" s="179" t="str">
        <f t="array" ref="AB184">IF($F184&lt;&gt;"", XLOOKUP($F184,Productos!$A$2:$A1001,Productos!U$2:U1001,"")*$G184,"")</f>
        <v/>
      </c>
      <c r="AC184" s="179" t="str">
        <f t="array" ref="AC184">IF($F184&lt;&gt;"",XLOOKUP($F184,Productos!$A:$A,Productos!V:V,"Revisar"),"")</f>
        <v/>
      </c>
      <c r="AD184" s="179" t="str">
        <f t="array" ref="AD184">IF($F184&lt;&gt;"", XLOOKUP($F184,Productos!$A$2:$A1001,Productos!W$2:W1001,"")*$G184,"")</f>
        <v/>
      </c>
      <c r="AE184" s="179" t="str">
        <f t="array" ref="AE184">IF($F184&lt;&gt;"",XLOOKUP($F184,Productos!$A:$A,Productos!X:X,"Revisar"),"")</f>
        <v/>
      </c>
      <c r="AF184" s="179" t="str">
        <f t="array" ref="AF184">IF($F184&lt;&gt;"", XLOOKUP($F184,Productos!$A$2:$A1001,Productos!Y$2:Y1001,"")*$G184,"")</f>
        <v/>
      </c>
      <c r="AG184" s="179" t="str">
        <f t="array" ref="AG184">IF($F184&lt;&gt;"",XLOOKUP($F184,Productos!$A:$A,Productos!Z:Z,"Revisar"),"")</f>
        <v/>
      </c>
      <c r="AH184" s="179" t="str">
        <f t="array" ref="AH184">IF($F184&lt;&gt;"", XLOOKUP($F184,Productos!$A$2:$A1001,Productos!AA$2:AA1001,"")*$G184,"")</f>
        <v/>
      </c>
      <c r="AI184" s="179" t="str">
        <f t="array" ref="AI184">IF($F184&lt;&gt;"",XLOOKUP($F184,Productos!$A:$A,Productos!AB:AB,"Revisar"),"")</f>
        <v/>
      </c>
      <c r="AJ184" s="179" t="str">
        <f t="array" ref="AJ184">IF($F184&lt;&gt;"", XLOOKUP($F184,Productos!$A$2:$A1001,Productos!AC$2:AC1001,"")*$G184,"")</f>
        <v/>
      </c>
      <c r="AK184" s="179" t="str">
        <f t="array" ref="AK184">IF($F184&lt;&gt;"",XLOOKUP($F184,Productos!$A:$A,Productos!AD:AD,"Revisar"),"")</f>
        <v/>
      </c>
      <c r="AL184" s="179" t="str">
        <f t="array" ref="AL184">IF($F184&lt;&gt;"", XLOOKUP($F184,Productos!$A$2:$A1001,Productos!AE$2:AE1001,"")*$G184,"")</f>
        <v/>
      </c>
      <c r="AM184" s="179" t="str">
        <f t="array" ref="AM184">IF($F184&lt;&gt;"",XLOOKUP($F184,Productos!$A:$A,Productos!AF:AF,"Revisar"),"")</f>
        <v/>
      </c>
      <c r="AN184" s="179" t="str">
        <f t="array" ref="AN184">IF($F184&lt;&gt;"", XLOOKUP($F184,Productos!$A$2:$A1001,Productos!AG$2:AG1001,"")*$G184,"")</f>
        <v/>
      </c>
      <c r="AO184" s="179" t="str">
        <f t="array" ref="AO184">IF($F184&lt;&gt;"",XLOOKUP($F184,Productos!$A:$A,Productos!AH:AH,"Revisar"),"")</f>
        <v/>
      </c>
      <c r="AP184" s="179" t="str">
        <f t="array" ref="AP184">IF($F184&lt;&gt;"", XLOOKUP($F184,Productos!$A$2:$A1001,Productos!AI$2:AI1001,"")*$G184,"")</f>
        <v/>
      </c>
      <c r="AQ184" s="179" t="str">
        <f t="array" ref="AQ184">IF($F184&lt;&gt;"",XLOOKUP($F184,Productos!$A:$A,Productos!AJ:AJ,"Revisar"),"")</f>
        <v/>
      </c>
      <c r="AR184" s="179" t="str">
        <f t="array" ref="AR184">IF($F184&lt;&gt;"", XLOOKUP($F184,Productos!$A$2:$A1001,Productos!AK$2:AK1001,"")*$G184,"")</f>
        <v/>
      </c>
      <c r="AS184" s="179" t="str">
        <f t="array" ref="AS184">IF($F184&lt;&gt;"",XLOOKUP($F184,Productos!$A:$A,Productos!AL:AL,"Revisar"),"")</f>
        <v/>
      </c>
      <c r="AT184" s="179" t="str">
        <f t="array" ref="AT184">IF($F184&lt;&gt;"", XLOOKUP($F184,Productos!$A$2:$A1001,Productos!AM$2:AM1001,"")*$G184,"")</f>
        <v/>
      </c>
      <c r="AU184" s="179" t="str">
        <f t="array" ref="AU184">IF($F184&lt;&gt;"",XLOOKUP($F184,Productos!$A:$A,Productos!AN:AN,"Revisar"),"")</f>
        <v/>
      </c>
      <c r="AV184" s="179" t="str">
        <f t="array" ref="AV184">IF($F184&lt;&gt;"", XLOOKUP($F184,Productos!$A$2:$A1001,Productos!AO$2:AO1001,"")*$G184,"")</f>
        <v/>
      </c>
      <c r="AW184" s="179" t="str">
        <f t="array" ref="AW184">IF($F184&lt;&gt;"",XLOOKUP($F184,Productos!$A:$A,Productos!AP:AP,"Revisar"),"")</f>
        <v/>
      </c>
      <c r="AX184" s="179" t="str">
        <f t="array" ref="AX184">IF($F184&lt;&gt;"", XLOOKUP($F184,Productos!$A$2:$A1001,Productos!AQ$2:AQ1001,"")*$G184,"")</f>
        <v/>
      </c>
      <c r="AY184" s="179" t="str">
        <f t="array" ref="AY184">IF($F184&lt;&gt;"",XLOOKUP($F184,Productos!$A:$A,Productos!AR:AR,"Revisar"),"")</f>
        <v/>
      </c>
      <c r="AZ184" s="179" t="str">
        <f t="array" ref="AZ184">IF($F184&lt;&gt;"", XLOOKUP($F184,Productos!$A$2:$A1001,Productos!AS$2:AS1001,"")*$G184,"")</f>
        <v/>
      </c>
      <c r="BA184" s="179" t="str">
        <f t="array" ref="BA184">IF($F184&lt;&gt;"",XLOOKUP($F184,Productos!$A:$A,Productos!AT:AT,"Revisar"),"")</f>
        <v/>
      </c>
      <c r="BB184" s="179" t="str">
        <f t="array" ref="BB184">IF($F184&lt;&gt;"", XLOOKUP($F184,Productos!$A$2:$A1001,Productos!AU$2:AU1001,"")*$G184,"")</f>
        <v/>
      </c>
      <c r="BC184" s="179" t="str">
        <f t="array" ref="BC184">IF($F184&lt;&gt;"",XLOOKUP($F184,Productos!$A:$A,Productos!AV:AV,"Revisar"),"")</f>
        <v/>
      </c>
      <c r="BD184" s="179" t="str">
        <f t="array" ref="BD184">IF($F184&lt;&gt;"", XLOOKUP($F184,Productos!$A$2:$A1001,Productos!AW$2:AW1001,"")*$G184,"")</f>
        <v/>
      </c>
      <c r="BE184" s="179" t="str">
        <f t="array" ref="BE184">IF($F184&lt;&gt;"",XLOOKUP($F184,Productos!$A:$A,Productos!AX:AX,"Revisar"),"")</f>
        <v/>
      </c>
      <c r="BF184" s="179" t="str">
        <f t="array" ref="BF184">IF($F184&lt;&gt;"", XLOOKUP($F184,Productos!$A$2:$A1001,Productos!AY$2:AY1001,"")*$G184,"")</f>
        <v/>
      </c>
      <c r="BG184" s="179" t="str">
        <f t="array" ref="BG184">IF($F184&lt;&gt;"",XLOOKUP($F184,Productos!$A:$A,Productos!AZ:AZ,"Revisar"),"")</f>
        <v/>
      </c>
      <c r="BH184" s="179" t="str">
        <f t="array" ref="BH184">IF($F184&lt;&gt;"", XLOOKUP($F184,Productos!$A$2:$A1001,Productos!BA$2:BA1001,"")*$G184,"")</f>
        <v/>
      </c>
      <c r="BI184" s="179" t="str">
        <f t="array" ref="BI184">IF($F184&lt;&gt;"",XLOOKUP($F184,Productos!$A:$A,Productos!BB:BB,"Revisar"),"")</f>
        <v/>
      </c>
      <c r="BJ184" s="179" t="str">
        <f t="array" ref="BJ184">IF($F184&lt;&gt;"", XLOOKUP($F184,Productos!$A$2:$A1001,Productos!BC$2:BC1001,"")*$G184,"")</f>
        <v/>
      </c>
      <c r="BK184" s="179" t="str">
        <f t="array" ref="BK184">IF($F184&lt;&gt;"",XLOOKUP($F184,Productos!$A:$A,Productos!BD:BD,"Revisar"),"")</f>
        <v/>
      </c>
      <c r="BL184" s="179" t="str">
        <f t="array" ref="BL184">IF($F184&lt;&gt;"", XLOOKUP($F184,Productos!$A$2:$A1001,Productos!BE$2:BE1001,"")*$G184,"")</f>
        <v/>
      </c>
      <c r="BM184" s="179" t="str">
        <f t="array" ref="BM184">IF($F184&lt;&gt;"",XLOOKUP($F184,Productos!$A:$A,Productos!BF:BF,"Revisar"),"")</f>
        <v/>
      </c>
      <c r="BN184" s="179" t="str">
        <f t="array" ref="BN184">IF($F184&lt;&gt;"", XLOOKUP($F184,Productos!$A$2:$A1001,Productos!BG$2:BG1001,"")*$G184,"")</f>
        <v/>
      </c>
      <c r="BO184" s="179" t="str">
        <f t="array" ref="BO184">IF($F184&lt;&gt;"",XLOOKUP($F184,Productos!$A:$A,Productos!BH:BH,"Revisar"),"")</f>
        <v/>
      </c>
      <c r="BP184" s="179" t="str">
        <f t="array" ref="BP184">IF($F184&lt;&gt;"", XLOOKUP($F184,Productos!$A$2:$A1001,Productos!BI$2:BI1001,"")*$G184,"")</f>
        <v/>
      </c>
      <c r="BQ184" s="179" t="str">
        <f t="array" ref="BQ184">IF($F184&lt;&gt;"",XLOOKUP($F184,Productos!$A:$A,Productos!BJ:BJ,"Revisar"),"")</f>
        <v/>
      </c>
      <c r="BR184" s="179" t="str">
        <f t="array" ref="BR184">IF($F184&lt;&gt;"", XLOOKUP($F184,Productos!$A$2:$A1001,Productos!BK$2:BK1001,"")*$G184,"")</f>
        <v/>
      </c>
      <c r="BS184" s="179" t="str">
        <f t="array" ref="BS184">IF($F184&lt;&gt;"",XLOOKUP($F184,Productos!$A:$A,Productos!BL:BL,"Revisar"),"")</f>
        <v/>
      </c>
      <c r="BT184" s="179" t="str">
        <f t="array" ref="BT184">IF($F184&lt;&gt;"", XLOOKUP($F184,Productos!$A$2:$A1001,Productos!BM$2:BM1001,"")*$G184,"")</f>
        <v/>
      </c>
      <c r="BU184" s="179" t="str">
        <f t="array" ref="BU184">IF($F184&lt;&gt;"",XLOOKUP($F184,Productos!$A:$A,Productos!BN:BN,"Revisar"),"")</f>
        <v/>
      </c>
      <c r="BV184" s="179" t="str">
        <f t="array" ref="BV184">IF($F184&lt;&gt;"", XLOOKUP($F184,Productos!$A$2:$A1001,Productos!BO$2:BO1001,"")*$G184,"")</f>
        <v/>
      </c>
      <c r="BW184" s="179" t="str">
        <f t="array" ref="BW184">IF($F184&lt;&gt;"",XLOOKUP($F184,Productos!$A:$A,Productos!BP:BP,"Revisar"),"")</f>
        <v/>
      </c>
      <c r="BX184" s="179" t="str">
        <f t="array" ref="BX184">IF($F184&lt;&gt;"", XLOOKUP($F184,Productos!$A$2:$A1001,Productos!BQ$2:BQ1001,"")*$G184,"")</f>
        <v/>
      </c>
      <c r="BY184" s="179" t="str">
        <f t="array" ref="BY184">IF($F184&lt;&gt;"",XLOOKUP($F184,Productos!$A:$A,Productos!BR:BR,"Revisar"),"")</f>
        <v/>
      </c>
      <c r="BZ184" s="179" t="str">
        <f t="array" ref="BZ184">IF($F184&lt;&gt;"", XLOOKUP($F184,Productos!$A$2:$A1001,Productos!BS$2:BS1001,"")*$G184,"")</f>
        <v/>
      </c>
    </row>
    <row r="185">
      <c r="A185" s="180"/>
      <c r="B185" s="181"/>
      <c r="C185" s="182"/>
      <c r="D185" s="182"/>
      <c r="E185" s="185"/>
      <c r="F185" s="186"/>
      <c r="G185" s="187"/>
      <c r="H185" s="186"/>
      <c r="I185" s="179" t="str">
        <f t="array" ref="I185">IF($F185&lt;&gt;"",XLOOKUP($F185,Productos!$A:$A,Productos!B:B,"Revisar"),"")</f>
        <v/>
      </c>
      <c r="J185" s="179" t="str">
        <f t="array" ref="J185">IF($F185&lt;&gt;"", XLOOKUP($F185,Productos!$A$2:$A1001,Productos!C$2:C1001,"")*$G185,"")</f>
        <v/>
      </c>
      <c r="K185" s="179" t="str">
        <f t="array" ref="K185">IF($F185&lt;&gt;"",XLOOKUP($F185,Productos!$A:$A,Productos!D:D,"Revisar"),"")</f>
        <v/>
      </c>
      <c r="L185" s="179" t="str">
        <f t="array" ref="L185">IF($F185&lt;&gt;"", XLOOKUP($F185,Productos!$A$2:$A1001,Productos!E$2:E1001,"")*$G185,"")</f>
        <v/>
      </c>
      <c r="M185" s="179" t="str">
        <f t="array" ref="M185">IF($F185&lt;&gt;"",XLOOKUP($F185,Productos!$A:$A,Productos!F:F,"Revisar"),"")</f>
        <v/>
      </c>
      <c r="N185" s="179" t="str">
        <f t="array" ref="N185">IF($F185&lt;&gt;"", XLOOKUP($F185,Productos!$A$2:$A1001,Productos!G$2:G1001,"")*$G185,"")</f>
        <v/>
      </c>
      <c r="O185" s="179" t="str">
        <f t="array" ref="O185">IF($F185&lt;&gt;"",XLOOKUP($F185,Productos!$A:$A,Productos!H:H,"Revisar"),"")</f>
        <v/>
      </c>
      <c r="P185" s="179" t="str">
        <f t="array" ref="P185">IF($F185&lt;&gt;"", XLOOKUP($F185,Productos!$A$2:$A1001,Productos!I$2:I1001,"")*$G185,"")</f>
        <v/>
      </c>
      <c r="Q185" s="179" t="str">
        <f t="array" ref="Q185">IF($F185&lt;&gt;"",XLOOKUP($F185,Productos!$A:$A,Productos!J:J,"Revisar"),"")</f>
        <v/>
      </c>
      <c r="R185" s="179" t="str">
        <f t="array" ref="R185">IF($F185&lt;&gt;"", XLOOKUP($F185,Productos!$A$2:$A1001,Productos!K$2:K1001,"")*$G185,"")</f>
        <v/>
      </c>
      <c r="S185" s="179" t="str">
        <f t="array" ref="S185">IF($F185&lt;&gt;"",XLOOKUP($F185,Productos!$A:$A,Productos!L:L,"Revisar"),"")</f>
        <v/>
      </c>
      <c r="T185" s="179" t="str">
        <f t="array" ref="T185">IF($F185&lt;&gt;"", XLOOKUP($F185,Productos!$A$2:$A1001,Productos!M$2:M1001,"")*$G185,"")</f>
        <v/>
      </c>
      <c r="U185" s="179" t="str">
        <f t="array" ref="U185">IF($F185&lt;&gt;"",XLOOKUP($F185,Productos!$A:$A,Productos!N:N,"Revisar"),"")</f>
        <v/>
      </c>
      <c r="V185" s="179" t="str">
        <f t="array" ref="V185">IF($F185&lt;&gt;"", XLOOKUP($F185,Productos!$A$2:$A1001,Productos!O$2:O1001,"")*$G185,"")</f>
        <v/>
      </c>
      <c r="W185" s="179" t="str">
        <f t="array" ref="W185">IF($F185&lt;&gt;"",XLOOKUP($F185,Productos!$A:$A,Productos!P:P,"Revisar"),"")</f>
        <v/>
      </c>
      <c r="X185" s="179" t="str">
        <f t="array" ref="X185">IF($F185&lt;&gt;"", XLOOKUP($F185,Productos!$A$2:$A1001,Productos!Q$2:Q1001,"")*$G185,"")</f>
        <v/>
      </c>
      <c r="Y185" s="179" t="str">
        <f t="array" ref="Y185">IF($F185&lt;&gt;"",XLOOKUP($F185,Productos!$A:$A,Productos!R:R,"Revisar"),"")</f>
        <v/>
      </c>
      <c r="Z185" s="179" t="str">
        <f t="array" ref="Z185">IF($F185&lt;&gt;"", XLOOKUP($F185,Productos!$A$2:$A1001,Productos!S$2:S1001,"")*$G185,"")</f>
        <v/>
      </c>
      <c r="AA185" s="179" t="str">
        <f t="array" ref="AA185">IF($F185&lt;&gt;"",XLOOKUP($F185,Productos!$A:$A,Productos!T:T,"Revisar"),"")</f>
        <v/>
      </c>
      <c r="AB185" s="179" t="str">
        <f t="array" ref="AB185">IF($F185&lt;&gt;"", XLOOKUP($F185,Productos!$A$2:$A1001,Productos!U$2:U1001,"")*$G185,"")</f>
        <v/>
      </c>
      <c r="AC185" s="179" t="str">
        <f t="array" ref="AC185">IF($F185&lt;&gt;"",XLOOKUP($F185,Productos!$A:$A,Productos!V:V,"Revisar"),"")</f>
        <v/>
      </c>
      <c r="AD185" s="179" t="str">
        <f t="array" ref="AD185">IF($F185&lt;&gt;"", XLOOKUP($F185,Productos!$A$2:$A1001,Productos!W$2:W1001,"")*$G185,"")</f>
        <v/>
      </c>
      <c r="AE185" s="179" t="str">
        <f t="array" ref="AE185">IF($F185&lt;&gt;"",XLOOKUP($F185,Productos!$A:$A,Productos!X:X,"Revisar"),"")</f>
        <v/>
      </c>
      <c r="AF185" s="179" t="str">
        <f t="array" ref="AF185">IF($F185&lt;&gt;"", XLOOKUP($F185,Productos!$A$2:$A1001,Productos!Y$2:Y1001,"")*$G185,"")</f>
        <v/>
      </c>
      <c r="AG185" s="179" t="str">
        <f t="array" ref="AG185">IF($F185&lt;&gt;"",XLOOKUP($F185,Productos!$A:$A,Productos!Z:Z,"Revisar"),"")</f>
        <v/>
      </c>
      <c r="AH185" s="179" t="str">
        <f t="array" ref="AH185">IF($F185&lt;&gt;"", XLOOKUP($F185,Productos!$A$2:$A1001,Productos!AA$2:AA1001,"")*$G185,"")</f>
        <v/>
      </c>
      <c r="AI185" s="179" t="str">
        <f t="array" ref="AI185">IF($F185&lt;&gt;"",XLOOKUP($F185,Productos!$A:$A,Productos!AB:AB,"Revisar"),"")</f>
        <v/>
      </c>
      <c r="AJ185" s="179" t="str">
        <f t="array" ref="AJ185">IF($F185&lt;&gt;"", XLOOKUP($F185,Productos!$A$2:$A1001,Productos!AC$2:AC1001,"")*$G185,"")</f>
        <v/>
      </c>
      <c r="AK185" s="179" t="str">
        <f t="array" ref="AK185">IF($F185&lt;&gt;"",XLOOKUP($F185,Productos!$A:$A,Productos!AD:AD,"Revisar"),"")</f>
        <v/>
      </c>
      <c r="AL185" s="179" t="str">
        <f t="array" ref="AL185">IF($F185&lt;&gt;"", XLOOKUP($F185,Productos!$A$2:$A1001,Productos!AE$2:AE1001,"")*$G185,"")</f>
        <v/>
      </c>
      <c r="AM185" s="179" t="str">
        <f t="array" ref="AM185">IF($F185&lt;&gt;"",XLOOKUP($F185,Productos!$A:$A,Productos!AF:AF,"Revisar"),"")</f>
        <v/>
      </c>
      <c r="AN185" s="179" t="str">
        <f t="array" ref="AN185">IF($F185&lt;&gt;"", XLOOKUP($F185,Productos!$A$2:$A1001,Productos!AG$2:AG1001,"")*$G185,"")</f>
        <v/>
      </c>
      <c r="AO185" s="179" t="str">
        <f t="array" ref="AO185">IF($F185&lt;&gt;"",XLOOKUP($F185,Productos!$A:$A,Productos!AH:AH,"Revisar"),"")</f>
        <v/>
      </c>
      <c r="AP185" s="179" t="str">
        <f t="array" ref="AP185">IF($F185&lt;&gt;"", XLOOKUP($F185,Productos!$A$2:$A1001,Productos!AI$2:AI1001,"")*$G185,"")</f>
        <v/>
      </c>
      <c r="AQ185" s="179" t="str">
        <f t="array" ref="AQ185">IF($F185&lt;&gt;"",XLOOKUP($F185,Productos!$A:$A,Productos!AJ:AJ,"Revisar"),"")</f>
        <v/>
      </c>
      <c r="AR185" s="179" t="str">
        <f t="array" ref="AR185">IF($F185&lt;&gt;"", XLOOKUP($F185,Productos!$A$2:$A1001,Productos!AK$2:AK1001,"")*$G185,"")</f>
        <v/>
      </c>
      <c r="AS185" s="179" t="str">
        <f t="array" ref="AS185">IF($F185&lt;&gt;"",XLOOKUP($F185,Productos!$A:$A,Productos!AL:AL,"Revisar"),"")</f>
        <v/>
      </c>
      <c r="AT185" s="179" t="str">
        <f t="array" ref="AT185">IF($F185&lt;&gt;"", XLOOKUP($F185,Productos!$A$2:$A1001,Productos!AM$2:AM1001,"")*$G185,"")</f>
        <v/>
      </c>
      <c r="AU185" s="179" t="str">
        <f t="array" ref="AU185">IF($F185&lt;&gt;"",XLOOKUP($F185,Productos!$A:$A,Productos!AN:AN,"Revisar"),"")</f>
        <v/>
      </c>
      <c r="AV185" s="179" t="str">
        <f t="array" ref="AV185">IF($F185&lt;&gt;"", XLOOKUP($F185,Productos!$A$2:$A1001,Productos!AO$2:AO1001,"")*$G185,"")</f>
        <v/>
      </c>
      <c r="AW185" s="179" t="str">
        <f t="array" ref="AW185">IF($F185&lt;&gt;"",XLOOKUP($F185,Productos!$A:$A,Productos!AP:AP,"Revisar"),"")</f>
        <v/>
      </c>
      <c r="AX185" s="179" t="str">
        <f t="array" ref="AX185">IF($F185&lt;&gt;"", XLOOKUP($F185,Productos!$A$2:$A1001,Productos!AQ$2:AQ1001,"")*$G185,"")</f>
        <v/>
      </c>
      <c r="AY185" s="179" t="str">
        <f t="array" ref="AY185">IF($F185&lt;&gt;"",XLOOKUP($F185,Productos!$A:$A,Productos!AR:AR,"Revisar"),"")</f>
        <v/>
      </c>
      <c r="AZ185" s="179" t="str">
        <f t="array" ref="AZ185">IF($F185&lt;&gt;"", XLOOKUP($F185,Productos!$A$2:$A1001,Productos!AS$2:AS1001,"")*$G185,"")</f>
        <v/>
      </c>
      <c r="BA185" s="179" t="str">
        <f t="array" ref="BA185">IF($F185&lt;&gt;"",XLOOKUP($F185,Productos!$A:$A,Productos!AT:AT,"Revisar"),"")</f>
        <v/>
      </c>
      <c r="BB185" s="179" t="str">
        <f t="array" ref="BB185">IF($F185&lt;&gt;"", XLOOKUP($F185,Productos!$A$2:$A1001,Productos!AU$2:AU1001,"")*$G185,"")</f>
        <v/>
      </c>
      <c r="BC185" s="179" t="str">
        <f t="array" ref="BC185">IF($F185&lt;&gt;"",XLOOKUP($F185,Productos!$A:$A,Productos!AV:AV,"Revisar"),"")</f>
        <v/>
      </c>
      <c r="BD185" s="179" t="str">
        <f t="array" ref="BD185">IF($F185&lt;&gt;"", XLOOKUP($F185,Productos!$A$2:$A1001,Productos!AW$2:AW1001,"")*$G185,"")</f>
        <v/>
      </c>
      <c r="BE185" s="179" t="str">
        <f t="array" ref="BE185">IF($F185&lt;&gt;"",XLOOKUP($F185,Productos!$A:$A,Productos!AX:AX,"Revisar"),"")</f>
        <v/>
      </c>
      <c r="BF185" s="179" t="str">
        <f t="array" ref="BF185">IF($F185&lt;&gt;"", XLOOKUP($F185,Productos!$A$2:$A1001,Productos!AY$2:AY1001,"")*$G185,"")</f>
        <v/>
      </c>
      <c r="BG185" s="179" t="str">
        <f t="array" ref="BG185">IF($F185&lt;&gt;"",XLOOKUP($F185,Productos!$A:$A,Productos!AZ:AZ,"Revisar"),"")</f>
        <v/>
      </c>
      <c r="BH185" s="179" t="str">
        <f t="array" ref="BH185">IF($F185&lt;&gt;"", XLOOKUP($F185,Productos!$A$2:$A1001,Productos!BA$2:BA1001,"")*$G185,"")</f>
        <v/>
      </c>
      <c r="BI185" s="179" t="str">
        <f t="array" ref="BI185">IF($F185&lt;&gt;"",XLOOKUP($F185,Productos!$A:$A,Productos!BB:BB,"Revisar"),"")</f>
        <v/>
      </c>
      <c r="BJ185" s="179" t="str">
        <f t="array" ref="BJ185">IF($F185&lt;&gt;"", XLOOKUP($F185,Productos!$A$2:$A1001,Productos!BC$2:BC1001,"")*$G185,"")</f>
        <v/>
      </c>
      <c r="BK185" s="179" t="str">
        <f t="array" ref="BK185">IF($F185&lt;&gt;"",XLOOKUP($F185,Productos!$A:$A,Productos!BD:BD,"Revisar"),"")</f>
        <v/>
      </c>
      <c r="BL185" s="179" t="str">
        <f t="array" ref="BL185">IF($F185&lt;&gt;"", XLOOKUP($F185,Productos!$A$2:$A1001,Productos!BE$2:BE1001,"")*$G185,"")</f>
        <v/>
      </c>
      <c r="BM185" s="179" t="str">
        <f t="array" ref="BM185">IF($F185&lt;&gt;"",XLOOKUP($F185,Productos!$A:$A,Productos!BF:BF,"Revisar"),"")</f>
        <v/>
      </c>
      <c r="BN185" s="179" t="str">
        <f t="array" ref="BN185">IF($F185&lt;&gt;"", XLOOKUP($F185,Productos!$A$2:$A1001,Productos!BG$2:BG1001,"")*$G185,"")</f>
        <v/>
      </c>
      <c r="BO185" s="179" t="str">
        <f t="array" ref="BO185">IF($F185&lt;&gt;"",XLOOKUP($F185,Productos!$A:$A,Productos!BH:BH,"Revisar"),"")</f>
        <v/>
      </c>
      <c r="BP185" s="179" t="str">
        <f t="array" ref="BP185">IF($F185&lt;&gt;"", XLOOKUP($F185,Productos!$A$2:$A1001,Productos!BI$2:BI1001,"")*$G185,"")</f>
        <v/>
      </c>
      <c r="BQ185" s="179" t="str">
        <f t="array" ref="BQ185">IF($F185&lt;&gt;"",XLOOKUP($F185,Productos!$A:$A,Productos!BJ:BJ,"Revisar"),"")</f>
        <v/>
      </c>
      <c r="BR185" s="179" t="str">
        <f t="array" ref="BR185">IF($F185&lt;&gt;"", XLOOKUP($F185,Productos!$A$2:$A1001,Productos!BK$2:BK1001,"")*$G185,"")</f>
        <v/>
      </c>
      <c r="BS185" s="179" t="str">
        <f t="array" ref="BS185">IF($F185&lt;&gt;"",XLOOKUP($F185,Productos!$A:$A,Productos!BL:BL,"Revisar"),"")</f>
        <v/>
      </c>
      <c r="BT185" s="179" t="str">
        <f t="array" ref="BT185">IF($F185&lt;&gt;"", XLOOKUP($F185,Productos!$A$2:$A1001,Productos!BM$2:BM1001,"")*$G185,"")</f>
        <v/>
      </c>
      <c r="BU185" s="179" t="str">
        <f t="array" ref="BU185">IF($F185&lt;&gt;"",XLOOKUP($F185,Productos!$A:$A,Productos!BN:BN,"Revisar"),"")</f>
        <v/>
      </c>
      <c r="BV185" s="179" t="str">
        <f t="array" ref="BV185">IF($F185&lt;&gt;"", XLOOKUP($F185,Productos!$A$2:$A1001,Productos!BO$2:BO1001,"")*$G185,"")</f>
        <v/>
      </c>
      <c r="BW185" s="179" t="str">
        <f t="array" ref="BW185">IF($F185&lt;&gt;"",XLOOKUP($F185,Productos!$A:$A,Productos!BP:BP,"Revisar"),"")</f>
        <v/>
      </c>
      <c r="BX185" s="179" t="str">
        <f t="array" ref="BX185">IF($F185&lt;&gt;"", XLOOKUP($F185,Productos!$A$2:$A1001,Productos!BQ$2:BQ1001,"")*$G185,"")</f>
        <v/>
      </c>
      <c r="BY185" s="179" t="str">
        <f t="array" ref="BY185">IF($F185&lt;&gt;"",XLOOKUP($F185,Productos!$A:$A,Productos!BR:BR,"Revisar"),"")</f>
        <v/>
      </c>
      <c r="BZ185" s="179" t="str">
        <f t="array" ref="BZ185">IF($F185&lt;&gt;"", XLOOKUP($F185,Productos!$A$2:$A1001,Productos!BS$2:BS1001,"")*$G185,"")</f>
        <v/>
      </c>
    </row>
    <row r="186">
      <c r="A186" s="180"/>
      <c r="B186" s="181"/>
      <c r="C186" s="182"/>
      <c r="D186" s="182"/>
      <c r="E186" s="185"/>
      <c r="F186" s="186"/>
      <c r="G186" s="187"/>
      <c r="H186" s="186"/>
      <c r="I186" s="179" t="str">
        <f t="array" ref="I186">IF($F186&lt;&gt;"",XLOOKUP($F186,Productos!$A:$A,Productos!B:B,"Revisar"),"")</f>
        <v/>
      </c>
      <c r="J186" s="179" t="str">
        <f t="array" ref="J186">IF($F186&lt;&gt;"", XLOOKUP($F186,Productos!$A$2:$A1001,Productos!C$2:C1001,"")*$G186,"")</f>
        <v/>
      </c>
      <c r="K186" s="179" t="str">
        <f t="array" ref="K186">IF($F186&lt;&gt;"",XLOOKUP($F186,Productos!$A:$A,Productos!D:D,"Revisar"),"")</f>
        <v/>
      </c>
      <c r="L186" s="179" t="str">
        <f t="array" ref="L186">IF($F186&lt;&gt;"", XLOOKUP($F186,Productos!$A$2:$A1001,Productos!E$2:E1001,"")*$G186,"")</f>
        <v/>
      </c>
      <c r="M186" s="179" t="str">
        <f t="array" ref="M186">IF($F186&lt;&gt;"",XLOOKUP($F186,Productos!$A:$A,Productos!F:F,"Revisar"),"")</f>
        <v/>
      </c>
      <c r="N186" s="179" t="str">
        <f t="array" ref="N186">IF($F186&lt;&gt;"", XLOOKUP($F186,Productos!$A$2:$A1001,Productos!G$2:G1001,"")*$G186,"")</f>
        <v/>
      </c>
      <c r="O186" s="179" t="str">
        <f t="array" ref="O186">IF($F186&lt;&gt;"",XLOOKUP($F186,Productos!$A:$A,Productos!H:H,"Revisar"),"")</f>
        <v/>
      </c>
      <c r="P186" s="179" t="str">
        <f t="array" ref="P186">IF($F186&lt;&gt;"", XLOOKUP($F186,Productos!$A$2:$A1001,Productos!I$2:I1001,"")*$G186,"")</f>
        <v/>
      </c>
      <c r="Q186" s="179" t="str">
        <f t="array" ref="Q186">IF($F186&lt;&gt;"",XLOOKUP($F186,Productos!$A:$A,Productos!J:J,"Revisar"),"")</f>
        <v/>
      </c>
      <c r="R186" s="179" t="str">
        <f t="array" ref="R186">IF($F186&lt;&gt;"", XLOOKUP($F186,Productos!$A$2:$A1001,Productos!K$2:K1001,"")*$G186,"")</f>
        <v/>
      </c>
      <c r="S186" s="179" t="str">
        <f t="array" ref="S186">IF($F186&lt;&gt;"",XLOOKUP($F186,Productos!$A:$A,Productos!L:L,"Revisar"),"")</f>
        <v/>
      </c>
      <c r="T186" s="179" t="str">
        <f t="array" ref="T186">IF($F186&lt;&gt;"", XLOOKUP($F186,Productos!$A$2:$A1001,Productos!M$2:M1001,"")*$G186,"")</f>
        <v/>
      </c>
      <c r="U186" s="179" t="str">
        <f t="array" ref="U186">IF($F186&lt;&gt;"",XLOOKUP($F186,Productos!$A:$A,Productos!N:N,"Revisar"),"")</f>
        <v/>
      </c>
      <c r="V186" s="179" t="str">
        <f t="array" ref="V186">IF($F186&lt;&gt;"", XLOOKUP($F186,Productos!$A$2:$A1001,Productos!O$2:O1001,"")*$G186,"")</f>
        <v/>
      </c>
      <c r="W186" s="179" t="str">
        <f t="array" ref="W186">IF($F186&lt;&gt;"",XLOOKUP($F186,Productos!$A:$A,Productos!P:P,"Revisar"),"")</f>
        <v/>
      </c>
      <c r="X186" s="179" t="str">
        <f t="array" ref="X186">IF($F186&lt;&gt;"", XLOOKUP($F186,Productos!$A$2:$A1001,Productos!Q$2:Q1001,"")*$G186,"")</f>
        <v/>
      </c>
      <c r="Y186" s="179" t="str">
        <f t="array" ref="Y186">IF($F186&lt;&gt;"",XLOOKUP($F186,Productos!$A:$A,Productos!R:R,"Revisar"),"")</f>
        <v/>
      </c>
      <c r="Z186" s="179" t="str">
        <f t="array" ref="Z186">IF($F186&lt;&gt;"", XLOOKUP($F186,Productos!$A$2:$A1001,Productos!S$2:S1001,"")*$G186,"")</f>
        <v/>
      </c>
      <c r="AA186" s="179" t="str">
        <f t="array" ref="AA186">IF($F186&lt;&gt;"",XLOOKUP($F186,Productos!$A:$A,Productos!T:T,"Revisar"),"")</f>
        <v/>
      </c>
      <c r="AB186" s="179" t="str">
        <f t="array" ref="AB186">IF($F186&lt;&gt;"", XLOOKUP($F186,Productos!$A$2:$A1001,Productos!U$2:U1001,"")*$G186,"")</f>
        <v/>
      </c>
      <c r="AC186" s="179" t="str">
        <f t="array" ref="AC186">IF($F186&lt;&gt;"",XLOOKUP($F186,Productos!$A:$A,Productos!V:V,"Revisar"),"")</f>
        <v/>
      </c>
      <c r="AD186" s="179" t="str">
        <f t="array" ref="AD186">IF($F186&lt;&gt;"", XLOOKUP($F186,Productos!$A$2:$A1001,Productos!W$2:W1001,"")*$G186,"")</f>
        <v/>
      </c>
      <c r="AE186" s="179" t="str">
        <f t="array" ref="AE186">IF($F186&lt;&gt;"",XLOOKUP($F186,Productos!$A:$A,Productos!X:X,"Revisar"),"")</f>
        <v/>
      </c>
      <c r="AF186" s="179" t="str">
        <f t="array" ref="AF186">IF($F186&lt;&gt;"", XLOOKUP($F186,Productos!$A$2:$A1001,Productos!Y$2:Y1001,"")*$G186,"")</f>
        <v/>
      </c>
      <c r="AG186" s="179" t="str">
        <f t="array" ref="AG186">IF($F186&lt;&gt;"",XLOOKUP($F186,Productos!$A:$A,Productos!Z:Z,"Revisar"),"")</f>
        <v/>
      </c>
      <c r="AH186" s="179" t="str">
        <f t="array" ref="AH186">IF($F186&lt;&gt;"", XLOOKUP($F186,Productos!$A$2:$A1001,Productos!AA$2:AA1001,"")*$G186,"")</f>
        <v/>
      </c>
      <c r="AI186" s="179" t="str">
        <f t="array" ref="AI186">IF($F186&lt;&gt;"",XLOOKUP($F186,Productos!$A:$A,Productos!AB:AB,"Revisar"),"")</f>
        <v/>
      </c>
      <c r="AJ186" s="179" t="str">
        <f t="array" ref="AJ186">IF($F186&lt;&gt;"", XLOOKUP($F186,Productos!$A$2:$A1001,Productos!AC$2:AC1001,"")*$G186,"")</f>
        <v/>
      </c>
      <c r="AK186" s="179" t="str">
        <f t="array" ref="AK186">IF($F186&lt;&gt;"",XLOOKUP($F186,Productos!$A:$A,Productos!AD:AD,"Revisar"),"")</f>
        <v/>
      </c>
      <c r="AL186" s="179" t="str">
        <f t="array" ref="AL186">IF($F186&lt;&gt;"", XLOOKUP($F186,Productos!$A$2:$A1001,Productos!AE$2:AE1001,"")*$G186,"")</f>
        <v/>
      </c>
      <c r="AM186" s="179" t="str">
        <f t="array" ref="AM186">IF($F186&lt;&gt;"",XLOOKUP($F186,Productos!$A:$A,Productos!AF:AF,"Revisar"),"")</f>
        <v/>
      </c>
      <c r="AN186" s="179" t="str">
        <f t="array" ref="AN186">IF($F186&lt;&gt;"", XLOOKUP($F186,Productos!$A$2:$A1001,Productos!AG$2:AG1001,"")*$G186,"")</f>
        <v/>
      </c>
      <c r="AO186" s="179" t="str">
        <f t="array" ref="AO186">IF($F186&lt;&gt;"",XLOOKUP($F186,Productos!$A:$A,Productos!AH:AH,"Revisar"),"")</f>
        <v/>
      </c>
      <c r="AP186" s="179" t="str">
        <f t="array" ref="AP186">IF($F186&lt;&gt;"", XLOOKUP($F186,Productos!$A$2:$A1001,Productos!AI$2:AI1001,"")*$G186,"")</f>
        <v/>
      </c>
      <c r="AQ186" s="179" t="str">
        <f t="array" ref="AQ186">IF($F186&lt;&gt;"",XLOOKUP($F186,Productos!$A:$A,Productos!AJ:AJ,"Revisar"),"")</f>
        <v/>
      </c>
      <c r="AR186" s="179" t="str">
        <f t="array" ref="AR186">IF($F186&lt;&gt;"", XLOOKUP($F186,Productos!$A$2:$A1001,Productos!AK$2:AK1001,"")*$G186,"")</f>
        <v/>
      </c>
      <c r="AS186" s="179" t="str">
        <f t="array" ref="AS186">IF($F186&lt;&gt;"",XLOOKUP($F186,Productos!$A:$A,Productos!AL:AL,"Revisar"),"")</f>
        <v/>
      </c>
      <c r="AT186" s="179" t="str">
        <f t="array" ref="AT186">IF($F186&lt;&gt;"", XLOOKUP($F186,Productos!$A$2:$A1001,Productos!AM$2:AM1001,"")*$G186,"")</f>
        <v/>
      </c>
      <c r="AU186" s="179" t="str">
        <f t="array" ref="AU186">IF($F186&lt;&gt;"",XLOOKUP($F186,Productos!$A:$A,Productos!AN:AN,"Revisar"),"")</f>
        <v/>
      </c>
      <c r="AV186" s="179" t="str">
        <f t="array" ref="AV186">IF($F186&lt;&gt;"", XLOOKUP($F186,Productos!$A$2:$A1001,Productos!AO$2:AO1001,"")*$G186,"")</f>
        <v/>
      </c>
      <c r="AW186" s="179" t="str">
        <f t="array" ref="AW186">IF($F186&lt;&gt;"",XLOOKUP($F186,Productos!$A:$A,Productos!AP:AP,"Revisar"),"")</f>
        <v/>
      </c>
      <c r="AX186" s="179" t="str">
        <f t="array" ref="AX186">IF($F186&lt;&gt;"", XLOOKUP($F186,Productos!$A$2:$A1001,Productos!AQ$2:AQ1001,"")*$G186,"")</f>
        <v/>
      </c>
      <c r="AY186" s="179" t="str">
        <f t="array" ref="AY186">IF($F186&lt;&gt;"",XLOOKUP($F186,Productos!$A:$A,Productos!AR:AR,"Revisar"),"")</f>
        <v/>
      </c>
      <c r="AZ186" s="179" t="str">
        <f t="array" ref="AZ186">IF($F186&lt;&gt;"", XLOOKUP($F186,Productos!$A$2:$A1001,Productos!AS$2:AS1001,"")*$G186,"")</f>
        <v/>
      </c>
      <c r="BA186" s="179" t="str">
        <f t="array" ref="BA186">IF($F186&lt;&gt;"",XLOOKUP($F186,Productos!$A:$A,Productos!AT:AT,"Revisar"),"")</f>
        <v/>
      </c>
      <c r="BB186" s="179" t="str">
        <f t="array" ref="BB186">IF($F186&lt;&gt;"", XLOOKUP($F186,Productos!$A$2:$A1001,Productos!AU$2:AU1001,"")*$G186,"")</f>
        <v/>
      </c>
      <c r="BC186" s="179" t="str">
        <f t="array" ref="BC186">IF($F186&lt;&gt;"",XLOOKUP($F186,Productos!$A:$A,Productos!AV:AV,"Revisar"),"")</f>
        <v/>
      </c>
      <c r="BD186" s="179" t="str">
        <f t="array" ref="BD186">IF($F186&lt;&gt;"", XLOOKUP($F186,Productos!$A$2:$A1001,Productos!AW$2:AW1001,"")*$G186,"")</f>
        <v/>
      </c>
      <c r="BE186" s="179" t="str">
        <f t="array" ref="BE186">IF($F186&lt;&gt;"",XLOOKUP($F186,Productos!$A:$A,Productos!AX:AX,"Revisar"),"")</f>
        <v/>
      </c>
      <c r="BF186" s="179" t="str">
        <f t="array" ref="BF186">IF($F186&lt;&gt;"", XLOOKUP($F186,Productos!$A$2:$A1001,Productos!AY$2:AY1001,"")*$G186,"")</f>
        <v/>
      </c>
      <c r="BG186" s="179" t="str">
        <f t="array" ref="BG186">IF($F186&lt;&gt;"",XLOOKUP($F186,Productos!$A:$A,Productos!AZ:AZ,"Revisar"),"")</f>
        <v/>
      </c>
      <c r="BH186" s="179" t="str">
        <f t="array" ref="BH186">IF($F186&lt;&gt;"", XLOOKUP($F186,Productos!$A$2:$A1001,Productos!BA$2:BA1001,"")*$G186,"")</f>
        <v/>
      </c>
      <c r="BI186" s="179" t="str">
        <f t="array" ref="BI186">IF($F186&lt;&gt;"",XLOOKUP($F186,Productos!$A:$A,Productos!BB:BB,"Revisar"),"")</f>
        <v/>
      </c>
      <c r="BJ186" s="179" t="str">
        <f t="array" ref="BJ186">IF($F186&lt;&gt;"", XLOOKUP($F186,Productos!$A$2:$A1001,Productos!BC$2:BC1001,"")*$G186,"")</f>
        <v/>
      </c>
      <c r="BK186" s="179" t="str">
        <f t="array" ref="BK186">IF($F186&lt;&gt;"",XLOOKUP($F186,Productos!$A:$A,Productos!BD:BD,"Revisar"),"")</f>
        <v/>
      </c>
      <c r="BL186" s="179" t="str">
        <f t="array" ref="BL186">IF($F186&lt;&gt;"", XLOOKUP($F186,Productos!$A$2:$A1001,Productos!BE$2:BE1001,"")*$G186,"")</f>
        <v/>
      </c>
      <c r="BM186" s="179" t="str">
        <f t="array" ref="BM186">IF($F186&lt;&gt;"",XLOOKUP($F186,Productos!$A:$A,Productos!BF:BF,"Revisar"),"")</f>
        <v/>
      </c>
      <c r="BN186" s="179" t="str">
        <f t="array" ref="BN186">IF($F186&lt;&gt;"", XLOOKUP($F186,Productos!$A$2:$A1001,Productos!BG$2:BG1001,"")*$G186,"")</f>
        <v/>
      </c>
      <c r="BO186" s="179" t="str">
        <f t="array" ref="BO186">IF($F186&lt;&gt;"",XLOOKUP($F186,Productos!$A:$A,Productos!BH:BH,"Revisar"),"")</f>
        <v/>
      </c>
      <c r="BP186" s="179" t="str">
        <f t="array" ref="BP186">IF($F186&lt;&gt;"", XLOOKUP($F186,Productos!$A$2:$A1001,Productos!BI$2:BI1001,"")*$G186,"")</f>
        <v/>
      </c>
      <c r="BQ186" s="179" t="str">
        <f t="array" ref="BQ186">IF($F186&lt;&gt;"",XLOOKUP($F186,Productos!$A:$A,Productos!BJ:BJ,"Revisar"),"")</f>
        <v/>
      </c>
      <c r="BR186" s="179" t="str">
        <f t="array" ref="BR186">IF($F186&lt;&gt;"", XLOOKUP($F186,Productos!$A$2:$A1001,Productos!BK$2:BK1001,"")*$G186,"")</f>
        <v/>
      </c>
      <c r="BS186" s="179" t="str">
        <f t="array" ref="BS186">IF($F186&lt;&gt;"",XLOOKUP($F186,Productos!$A:$A,Productos!BL:BL,"Revisar"),"")</f>
        <v/>
      </c>
      <c r="BT186" s="179" t="str">
        <f t="array" ref="BT186">IF($F186&lt;&gt;"", XLOOKUP($F186,Productos!$A$2:$A1001,Productos!BM$2:BM1001,"")*$G186,"")</f>
        <v/>
      </c>
      <c r="BU186" s="179" t="str">
        <f t="array" ref="BU186">IF($F186&lt;&gt;"",XLOOKUP($F186,Productos!$A:$A,Productos!BN:BN,"Revisar"),"")</f>
        <v/>
      </c>
      <c r="BV186" s="179" t="str">
        <f t="array" ref="BV186">IF($F186&lt;&gt;"", XLOOKUP($F186,Productos!$A$2:$A1001,Productos!BO$2:BO1001,"")*$G186,"")</f>
        <v/>
      </c>
      <c r="BW186" s="179" t="str">
        <f t="array" ref="BW186">IF($F186&lt;&gt;"",XLOOKUP($F186,Productos!$A:$A,Productos!BP:BP,"Revisar"),"")</f>
        <v/>
      </c>
      <c r="BX186" s="179" t="str">
        <f t="array" ref="BX186">IF($F186&lt;&gt;"", XLOOKUP($F186,Productos!$A$2:$A1001,Productos!BQ$2:BQ1001,"")*$G186,"")</f>
        <v/>
      </c>
      <c r="BY186" s="179" t="str">
        <f t="array" ref="BY186">IF($F186&lt;&gt;"",XLOOKUP($F186,Productos!$A:$A,Productos!BR:BR,"Revisar"),"")</f>
        <v/>
      </c>
      <c r="BZ186" s="179" t="str">
        <f t="array" ref="BZ186">IF($F186&lt;&gt;"", XLOOKUP($F186,Productos!$A$2:$A1001,Productos!BS$2:BS1001,"")*$G186,"")</f>
        <v/>
      </c>
    </row>
    <row r="187">
      <c r="A187" s="180"/>
      <c r="B187" s="181"/>
      <c r="C187" s="182"/>
      <c r="D187" s="182"/>
      <c r="E187" s="185"/>
      <c r="F187" s="186"/>
      <c r="G187" s="187"/>
      <c r="H187" s="186"/>
      <c r="I187" s="179" t="str">
        <f t="array" ref="I187">IF($F187&lt;&gt;"",XLOOKUP($F187,Productos!$A:$A,Productos!B:B,"Revisar"),"")</f>
        <v/>
      </c>
      <c r="J187" s="179" t="str">
        <f t="array" ref="J187">IF($F187&lt;&gt;"", XLOOKUP($F187,Productos!$A$2:$A1001,Productos!C$2:C1001,"")*$G187,"")</f>
        <v/>
      </c>
      <c r="K187" s="179" t="str">
        <f t="array" ref="K187">IF($F187&lt;&gt;"",XLOOKUP($F187,Productos!$A:$A,Productos!D:D,"Revisar"),"")</f>
        <v/>
      </c>
      <c r="L187" s="179" t="str">
        <f t="array" ref="L187">IF($F187&lt;&gt;"", XLOOKUP($F187,Productos!$A$2:$A1001,Productos!E$2:E1001,"")*$G187,"")</f>
        <v/>
      </c>
      <c r="M187" s="179" t="str">
        <f t="array" ref="M187">IF($F187&lt;&gt;"",XLOOKUP($F187,Productos!$A:$A,Productos!F:F,"Revisar"),"")</f>
        <v/>
      </c>
      <c r="N187" s="179" t="str">
        <f t="array" ref="N187">IF($F187&lt;&gt;"", XLOOKUP($F187,Productos!$A$2:$A1001,Productos!G$2:G1001,"")*$G187,"")</f>
        <v/>
      </c>
      <c r="O187" s="179" t="str">
        <f t="array" ref="O187">IF($F187&lt;&gt;"",XLOOKUP($F187,Productos!$A:$A,Productos!H:H,"Revisar"),"")</f>
        <v/>
      </c>
      <c r="P187" s="179" t="str">
        <f t="array" ref="P187">IF($F187&lt;&gt;"", XLOOKUP($F187,Productos!$A$2:$A1001,Productos!I$2:I1001,"")*$G187,"")</f>
        <v/>
      </c>
      <c r="Q187" s="179" t="str">
        <f t="array" ref="Q187">IF($F187&lt;&gt;"",XLOOKUP($F187,Productos!$A:$A,Productos!J:J,"Revisar"),"")</f>
        <v/>
      </c>
      <c r="R187" s="179" t="str">
        <f t="array" ref="R187">IF($F187&lt;&gt;"", XLOOKUP($F187,Productos!$A$2:$A1001,Productos!K$2:K1001,"")*$G187,"")</f>
        <v/>
      </c>
      <c r="S187" s="179" t="str">
        <f t="array" ref="S187">IF($F187&lt;&gt;"",XLOOKUP($F187,Productos!$A:$A,Productos!L:L,"Revisar"),"")</f>
        <v/>
      </c>
      <c r="T187" s="179" t="str">
        <f t="array" ref="T187">IF($F187&lt;&gt;"", XLOOKUP($F187,Productos!$A$2:$A1001,Productos!M$2:M1001,"")*$G187,"")</f>
        <v/>
      </c>
      <c r="U187" s="179" t="str">
        <f t="array" ref="U187">IF($F187&lt;&gt;"",XLOOKUP($F187,Productos!$A:$A,Productos!N:N,"Revisar"),"")</f>
        <v/>
      </c>
      <c r="V187" s="179" t="str">
        <f t="array" ref="V187">IF($F187&lt;&gt;"", XLOOKUP($F187,Productos!$A$2:$A1001,Productos!O$2:O1001,"")*$G187,"")</f>
        <v/>
      </c>
      <c r="W187" s="179" t="str">
        <f t="array" ref="W187">IF($F187&lt;&gt;"",XLOOKUP($F187,Productos!$A:$A,Productos!P:P,"Revisar"),"")</f>
        <v/>
      </c>
      <c r="X187" s="179" t="str">
        <f t="array" ref="X187">IF($F187&lt;&gt;"", XLOOKUP($F187,Productos!$A$2:$A1001,Productos!Q$2:Q1001,"")*$G187,"")</f>
        <v/>
      </c>
      <c r="Y187" s="179" t="str">
        <f t="array" ref="Y187">IF($F187&lt;&gt;"",XLOOKUP($F187,Productos!$A:$A,Productos!R:R,"Revisar"),"")</f>
        <v/>
      </c>
      <c r="Z187" s="179" t="str">
        <f t="array" ref="Z187">IF($F187&lt;&gt;"", XLOOKUP($F187,Productos!$A$2:$A1001,Productos!S$2:S1001,"")*$G187,"")</f>
        <v/>
      </c>
      <c r="AA187" s="179" t="str">
        <f t="array" ref="AA187">IF($F187&lt;&gt;"",XLOOKUP($F187,Productos!$A:$A,Productos!T:T,"Revisar"),"")</f>
        <v/>
      </c>
      <c r="AB187" s="179" t="str">
        <f t="array" ref="AB187">IF($F187&lt;&gt;"", XLOOKUP($F187,Productos!$A$2:$A1001,Productos!U$2:U1001,"")*$G187,"")</f>
        <v/>
      </c>
      <c r="AC187" s="179" t="str">
        <f t="array" ref="AC187">IF($F187&lt;&gt;"",XLOOKUP($F187,Productos!$A:$A,Productos!V:V,"Revisar"),"")</f>
        <v/>
      </c>
      <c r="AD187" s="179" t="str">
        <f t="array" ref="AD187">IF($F187&lt;&gt;"", XLOOKUP($F187,Productos!$A$2:$A1001,Productos!W$2:W1001,"")*$G187,"")</f>
        <v/>
      </c>
      <c r="AE187" s="179" t="str">
        <f t="array" ref="AE187">IF($F187&lt;&gt;"",XLOOKUP($F187,Productos!$A:$A,Productos!X:X,"Revisar"),"")</f>
        <v/>
      </c>
      <c r="AF187" s="179" t="str">
        <f t="array" ref="AF187">IF($F187&lt;&gt;"", XLOOKUP($F187,Productos!$A$2:$A1001,Productos!Y$2:Y1001,"")*$G187,"")</f>
        <v/>
      </c>
      <c r="AG187" s="179" t="str">
        <f t="array" ref="AG187">IF($F187&lt;&gt;"",XLOOKUP($F187,Productos!$A:$A,Productos!Z:Z,"Revisar"),"")</f>
        <v/>
      </c>
      <c r="AH187" s="179" t="str">
        <f t="array" ref="AH187">IF($F187&lt;&gt;"", XLOOKUP($F187,Productos!$A$2:$A1001,Productos!AA$2:AA1001,"")*$G187,"")</f>
        <v/>
      </c>
      <c r="AI187" s="179" t="str">
        <f t="array" ref="AI187">IF($F187&lt;&gt;"",XLOOKUP($F187,Productos!$A:$A,Productos!AB:AB,"Revisar"),"")</f>
        <v/>
      </c>
      <c r="AJ187" s="179" t="str">
        <f t="array" ref="AJ187">IF($F187&lt;&gt;"", XLOOKUP($F187,Productos!$A$2:$A1001,Productos!AC$2:AC1001,"")*$G187,"")</f>
        <v/>
      </c>
      <c r="AK187" s="179" t="str">
        <f t="array" ref="AK187">IF($F187&lt;&gt;"",XLOOKUP($F187,Productos!$A:$A,Productos!AD:AD,"Revisar"),"")</f>
        <v/>
      </c>
      <c r="AL187" s="179" t="str">
        <f t="array" ref="AL187">IF($F187&lt;&gt;"", XLOOKUP($F187,Productos!$A$2:$A1001,Productos!AE$2:AE1001,"")*$G187,"")</f>
        <v/>
      </c>
      <c r="AM187" s="179" t="str">
        <f t="array" ref="AM187">IF($F187&lt;&gt;"",XLOOKUP($F187,Productos!$A:$A,Productos!AF:AF,"Revisar"),"")</f>
        <v/>
      </c>
      <c r="AN187" s="179" t="str">
        <f t="array" ref="AN187">IF($F187&lt;&gt;"", XLOOKUP($F187,Productos!$A$2:$A1001,Productos!AG$2:AG1001,"")*$G187,"")</f>
        <v/>
      </c>
      <c r="AO187" s="179" t="str">
        <f t="array" ref="AO187">IF($F187&lt;&gt;"",XLOOKUP($F187,Productos!$A:$A,Productos!AH:AH,"Revisar"),"")</f>
        <v/>
      </c>
      <c r="AP187" s="179" t="str">
        <f t="array" ref="AP187">IF($F187&lt;&gt;"", XLOOKUP($F187,Productos!$A$2:$A1001,Productos!AI$2:AI1001,"")*$G187,"")</f>
        <v/>
      </c>
      <c r="AQ187" s="179" t="str">
        <f t="array" ref="AQ187">IF($F187&lt;&gt;"",XLOOKUP($F187,Productos!$A:$A,Productos!AJ:AJ,"Revisar"),"")</f>
        <v/>
      </c>
      <c r="AR187" s="179" t="str">
        <f t="array" ref="AR187">IF($F187&lt;&gt;"", XLOOKUP($F187,Productos!$A$2:$A1001,Productos!AK$2:AK1001,"")*$G187,"")</f>
        <v/>
      </c>
      <c r="AS187" s="179" t="str">
        <f t="array" ref="AS187">IF($F187&lt;&gt;"",XLOOKUP($F187,Productos!$A:$A,Productos!AL:AL,"Revisar"),"")</f>
        <v/>
      </c>
      <c r="AT187" s="179" t="str">
        <f t="array" ref="AT187">IF($F187&lt;&gt;"", XLOOKUP($F187,Productos!$A$2:$A1001,Productos!AM$2:AM1001,"")*$G187,"")</f>
        <v/>
      </c>
      <c r="AU187" s="179" t="str">
        <f t="array" ref="AU187">IF($F187&lt;&gt;"",XLOOKUP($F187,Productos!$A:$A,Productos!AN:AN,"Revisar"),"")</f>
        <v/>
      </c>
      <c r="AV187" s="179" t="str">
        <f t="array" ref="AV187">IF($F187&lt;&gt;"", XLOOKUP($F187,Productos!$A$2:$A1001,Productos!AO$2:AO1001,"")*$G187,"")</f>
        <v/>
      </c>
      <c r="AW187" s="179" t="str">
        <f t="array" ref="AW187">IF($F187&lt;&gt;"",XLOOKUP($F187,Productos!$A:$A,Productos!AP:AP,"Revisar"),"")</f>
        <v/>
      </c>
      <c r="AX187" s="179" t="str">
        <f t="array" ref="AX187">IF($F187&lt;&gt;"", XLOOKUP($F187,Productos!$A$2:$A1001,Productos!AQ$2:AQ1001,"")*$G187,"")</f>
        <v/>
      </c>
      <c r="AY187" s="179" t="str">
        <f t="array" ref="AY187">IF($F187&lt;&gt;"",XLOOKUP($F187,Productos!$A:$A,Productos!AR:AR,"Revisar"),"")</f>
        <v/>
      </c>
      <c r="AZ187" s="179" t="str">
        <f t="array" ref="AZ187">IF($F187&lt;&gt;"", XLOOKUP($F187,Productos!$A$2:$A1001,Productos!AS$2:AS1001,"")*$G187,"")</f>
        <v/>
      </c>
      <c r="BA187" s="179" t="str">
        <f t="array" ref="BA187">IF($F187&lt;&gt;"",XLOOKUP($F187,Productos!$A:$A,Productos!AT:AT,"Revisar"),"")</f>
        <v/>
      </c>
      <c r="BB187" s="179" t="str">
        <f t="array" ref="BB187">IF($F187&lt;&gt;"", XLOOKUP($F187,Productos!$A$2:$A1001,Productos!AU$2:AU1001,"")*$G187,"")</f>
        <v/>
      </c>
      <c r="BC187" s="179" t="str">
        <f t="array" ref="BC187">IF($F187&lt;&gt;"",XLOOKUP($F187,Productos!$A:$A,Productos!AV:AV,"Revisar"),"")</f>
        <v/>
      </c>
      <c r="BD187" s="179" t="str">
        <f t="array" ref="BD187">IF($F187&lt;&gt;"", XLOOKUP($F187,Productos!$A$2:$A1001,Productos!AW$2:AW1001,"")*$G187,"")</f>
        <v/>
      </c>
      <c r="BE187" s="179" t="str">
        <f t="array" ref="BE187">IF($F187&lt;&gt;"",XLOOKUP($F187,Productos!$A:$A,Productos!AX:AX,"Revisar"),"")</f>
        <v/>
      </c>
      <c r="BF187" s="179" t="str">
        <f t="array" ref="BF187">IF($F187&lt;&gt;"", XLOOKUP($F187,Productos!$A$2:$A1001,Productos!AY$2:AY1001,"")*$G187,"")</f>
        <v/>
      </c>
      <c r="BG187" s="179" t="str">
        <f t="array" ref="BG187">IF($F187&lt;&gt;"",XLOOKUP($F187,Productos!$A:$A,Productos!AZ:AZ,"Revisar"),"")</f>
        <v/>
      </c>
      <c r="BH187" s="179" t="str">
        <f t="array" ref="BH187">IF($F187&lt;&gt;"", XLOOKUP($F187,Productos!$A$2:$A1001,Productos!BA$2:BA1001,"")*$G187,"")</f>
        <v/>
      </c>
      <c r="BI187" s="179" t="str">
        <f t="array" ref="BI187">IF($F187&lt;&gt;"",XLOOKUP($F187,Productos!$A:$A,Productos!BB:BB,"Revisar"),"")</f>
        <v/>
      </c>
      <c r="BJ187" s="179" t="str">
        <f t="array" ref="BJ187">IF($F187&lt;&gt;"", XLOOKUP($F187,Productos!$A$2:$A1001,Productos!BC$2:BC1001,"")*$G187,"")</f>
        <v/>
      </c>
      <c r="BK187" s="179" t="str">
        <f t="array" ref="BK187">IF($F187&lt;&gt;"",XLOOKUP($F187,Productos!$A:$A,Productos!BD:BD,"Revisar"),"")</f>
        <v/>
      </c>
      <c r="BL187" s="179" t="str">
        <f t="array" ref="BL187">IF($F187&lt;&gt;"", XLOOKUP($F187,Productos!$A$2:$A1001,Productos!BE$2:BE1001,"")*$G187,"")</f>
        <v/>
      </c>
      <c r="BM187" s="179" t="str">
        <f t="array" ref="BM187">IF($F187&lt;&gt;"",XLOOKUP($F187,Productos!$A:$A,Productos!BF:BF,"Revisar"),"")</f>
        <v/>
      </c>
      <c r="BN187" s="179" t="str">
        <f t="array" ref="BN187">IF($F187&lt;&gt;"", XLOOKUP($F187,Productos!$A$2:$A1001,Productos!BG$2:BG1001,"")*$G187,"")</f>
        <v/>
      </c>
      <c r="BO187" s="179" t="str">
        <f t="array" ref="BO187">IF($F187&lt;&gt;"",XLOOKUP($F187,Productos!$A:$A,Productos!BH:BH,"Revisar"),"")</f>
        <v/>
      </c>
      <c r="BP187" s="179" t="str">
        <f t="array" ref="BP187">IF($F187&lt;&gt;"", XLOOKUP($F187,Productos!$A$2:$A1001,Productos!BI$2:BI1001,"")*$G187,"")</f>
        <v/>
      </c>
      <c r="BQ187" s="179" t="str">
        <f t="array" ref="BQ187">IF($F187&lt;&gt;"",XLOOKUP($F187,Productos!$A:$A,Productos!BJ:BJ,"Revisar"),"")</f>
        <v/>
      </c>
      <c r="BR187" s="179" t="str">
        <f t="array" ref="BR187">IF($F187&lt;&gt;"", XLOOKUP($F187,Productos!$A$2:$A1001,Productos!BK$2:BK1001,"")*$G187,"")</f>
        <v/>
      </c>
      <c r="BS187" s="179" t="str">
        <f t="array" ref="BS187">IF($F187&lt;&gt;"",XLOOKUP($F187,Productos!$A:$A,Productos!BL:BL,"Revisar"),"")</f>
        <v/>
      </c>
      <c r="BT187" s="179" t="str">
        <f t="array" ref="BT187">IF($F187&lt;&gt;"", XLOOKUP($F187,Productos!$A$2:$A1001,Productos!BM$2:BM1001,"")*$G187,"")</f>
        <v/>
      </c>
      <c r="BU187" s="179" t="str">
        <f t="array" ref="BU187">IF($F187&lt;&gt;"",XLOOKUP($F187,Productos!$A:$A,Productos!BN:BN,"Revisar"),"")</f>
        <v/>
      </c>
      <c r="BV187" s="179" t="str">
        <f t="array" ref="BV187">IF($F187&lt;&gt;"", XLOOKUP($F187,Productos!$A$2:$A1001,Productos!BO$2:BO1001,"")*$G187,"")</f>
        <v/>
      </c>
      <c r="BW187" s="179" t="str">
        <f t="array" ref="BW187">IF($F187&lt;&gt;"",XLOOKUP($F187,Productos!$A:$A,Productos!BP:BP,"Revisar"),"")</f>
        <v/>
      </c>
      <c r="BX187" s="179" t="str">
        <f t="array" ref="BX187">IF($F187&lt;&gt;"", XLOOKUP($F187,Productos!$A$2:$A1001,Productos!BQ$2:BQ1001,"")*$G187,"")</f>
        <v/>
      </c>
      <c r="BY187" s="179" t="str">
        <f t="array" ref="BY187">IF($F187&lt;&gt;"",XLOOKUP($F187,Productos!$A:$A,Productos!BR:BR,"Revisar"),"")</f>
        <v/>
      </c>
      <c r="BZ187" s="179" t="str">
        <f t="array" ref="BZ187">IF($F187&lt;&gt;"", XLOOKUP($F187,Productos!$A$2:$A1001,Productos!BS$2:BS1001,"")*$G187,"")</f>
        <v/>
      </c>
    </row>
    <row r="188">
      <c r="A188" s="180"/>
      <c r="B188" s="181"/>
      <c r="C188" s="182"/>
      <c r="D188" s="182"/>
      <c r="E188" s="185"/>
      <c r="F188" s="186"/>
      <c r="G188" s="187"/>
      <c r="H188" s="186"/>
      <c r="I188" s="179" t="str">
        <f t="array" ref="I188">IF($F188&lt;&gt;"",XLOOKUP($F188,Productos!$A:$A,Productos!B:B,"Revisar"),"")</f>
        <v/>
      </c>
      <c r="J188" s="179" t="str">
        <f t="array" ref="J188">IF($F188&lt;&gt;"", XLOOKUP($F188,Productos!$A$2:$A1001,Productos!C$2:C1001,"")*$G188,"")</f>
        <v/>
      </c>
      <c r="K188" s="179" t="str">
        <f t="array" ref="K188">IF($F188&lt;&gt;"",XLOOKUP($F188,Productos!$A:$A,Productos!D:D,"Revisar"),"")</f>
        <v/>
      </c>
      <c r="L188" s="179" t="str">
        <f t="array" ref="L188">IF($F188&lt;&gt;"", XLOOKUP($F188,Productos!$A$2:$A1001,Productos!E$2:E1001,"")*$G188,"")</f>
        <v/>
      </c>
      <c r="M188" s="179" t="str">
        <f t="array" ref="M188">IF($F188&lt;&gt;"",XLOOKUP($F188,Productos!$A:$A,Productos!F:F,"Revisar"),"")</f>
        <v/>
      </c>
      <c r="N188" s="179" t="str">
        <f t="array" ref="N188">IF($F188&lt;&gt;"", XLOOKUP($F188,Productos!$A$2:$A1001,Productos!G$2:G1001,"")*$G188,"")</f>
        <v/>
      </c>
      <c r="O188" s="179" t="str">
        <f t="array" ref="O188">IF($F188&lt;&gt;"",XLOOKUP($F188,Productos!$A:$A,Productos!H:H,"Revisar"),"")</f>
        <v/>
      </c>
      <c r="P188" s="179" t="str">
        <f t="array" ref="P188">IF($F188&lt;&gt;"", XLOOKUP($F188,Productos!$A$2:$A1001,Productos!I$2:I1001,"")*$G188,"")</f>
        <v/>
      </c>
      <c r="Q188" s="179" t="str">
        <f t="array" ref="Q188">IF($F188&lt;&gt;"",XLOOKUP($F188,Productos!$A:$A,Productos!J:J,"Revisar"),"")</f>
        <v/>
      </c>
      <c r="R188" s="179" t="str">
        <f t="array" ref="R188">IF($F188&lt;&gt;"", XLOOKUP($F188,Productos!$A$2:$A1001,Productos!K$2:K1001,"")*$G188,"")</f>
        <v/>
      </c>
      <c r="S188" s="179" t="str">
        <f t="array" ref="S188">IF($F188&lt;&gt;"",XLOOKUP($F188,Productos!$A:$A,Productos!L:L,"Revisar"),"")</f>
        <v/>
      </c>
      <c r="T188" s="179" t="str">
        <f t="array" ref="T188">IF($F188&lt;&gt;"", XLOOKUP($F188,Productos!$A$2:$A1001,Productos!M$2:M1001,"")*$G188,"")</f>
        <v/>
      </c>
      <c r="U188" s="179" t="str">
        <f t="array" ref="U188">IF($F188&lt;&gt;"",XLOOKUP($F188,Productos!$A:$A,Productos!N:N,"Revisar"),"")</f>
        <v/>
      </c>
      <c r="V188" s="179" t="str">
        <f t="array" ref="V188">IF($F188&lt;&gt;"", XLOOKUP($F188,Productos!$A$2:$A1001,Productos!O$2:O1001,"")*$G188,"")</f>
        <v/>
      </c>
      <c r="W188" s="179" t="str">
        <f t="array" ref="W188">IF($F188&lt;&gt;"",XLOOKUP($F188,Productos!$A:$A,Productos!P:P,"Revisar"),"")</f>
        <v/>
      </c>
      <c r="X188" s="179" t="str">
        <f t="array" ref="X188">IF($F188&lt;&gt;"", XLOOKUP($F188,Productos!$A$2:$A1001,Productos!Q$2:Q1001,"")*$G188,"")</f>
        <v/>
      </c>
      <c r="Y188" s="179" t="str">
        <f t="array" ref="Y188">IF($F188&lt;&gt;"",XLOOKUP($F188,Productos!$A:$A,Productos!R:R,"Revisar"),"")</f>
        <v/>
      </c>
      <c r="Z188" s="179" t="str">
        <f t="array" ref="Z188">IF($F188&lt;&gt;"", XLOOKUP($F188,Productos!$A$2:$A1001,Productos!S$2:S1001,"")*$G188,"")</f>
        <v/>
      </c>
      <c r="AA188" s="179" t="str">
        <f t="array" ref="AA188">IF($F188&lt;&gt;"",XLOOKUP($F188,Productos!$A:$A,Productos!T:T,"Revisar"),"")</f>
        <v/>
      </c>
      <c r="AB188" s="179" t="str">
        <f t="array" ref="AB188">IF($F188&lt;&gt;"", XLOOKUP($F188,Productos!$A$2:$A1001,Productos!U$2:U1001,"")*$G188,"")</f>
        <v/>
      </c>
      <c r="AC188" s="179" t="str">
        <f t="array" ref="AC188">IF($F188&lt;&gt;"",XLOOKUP($F188,Productos!$A:$A,Productos!V:V,"Revisar"),"")</f>
        <v/>
      </c>
      <c r="AD188" s="179" t="str">
        <f t="array" ref="AD188">IF($F188&lt;&gt;"", XLOOKUP($F188,Productos!$A$2:$A1001,Productos!W$2:W1001,"")*$G188,"")</f>
        <v/>
      </c>
      <c r="AE188" s="179" t="str">
        <f t="array" ref="AE188">IF($F188&lt;&gt;"",XLOOKUP($F188,Productos!$A:$A,Productos!X:X,"Revisar"),"")</f>
        <v/>
      </c>
      <c r="AF188" s="179" t="str">
        <f t="array" ref="AF188">IF($F188&lt;&gt;"", XLOOKUP($F188,Productos!$A$2:$A1001,Productos!Y$2:Y1001,"")*$G188,"")</f>
        <v/>
      </c>
      <c r="AG188" s="179" t="str">
        <f t="array" ref="AG188">IF($F188&lt;&gt;"",XLOOKUP($F188,Productos!$A:$A,Productos!Z:Z,"Revisar"),"")</f>
        <v/>
      </c>
      <c r="AH188" s="179" t="str">
        <f t="array" ref="AH188">IF($F188&lt;&gt;"", XLOOKUP($F188,Productos!$A$2:$A1001,Productos!AA$2:AA1001,"")*$G188,"")</f>
        <v/>
      </c>
      <c r="AI188" s="179" t="str">
        <f t="array" ref="AI188">IF($F188&lt;&gt;"",XLOOKUP($F188,Productos!$A:$A,Productos!AB:AB,"Revisar"),"")</f>
        <v/>
      </c>
      <c r="AJ188" s="179" t="str">
        <f t="array" ref="AJ188">IF($F188&lt;&gt;"", XLOOKUP($F188,Productos!$A$2:$A1001,Productos!AC$2:AC1001,"")*$G188,"")</f>
        <v/>
      </c>
      <c r="AK188" s="179" t="str">
        <f t="array" ref="AK188">IF($F188&lt;&gt;"",XLOOKUP($F188,Productos!$A:$A,Productos!AD:AD,"Revisar"),"")</f>
        <v/>
      </c>
      <c r="AL188" s="179" t="str">
        <f t="array" ref="AL188">IF($F188&lt;&gt;"", XLOOKUP($F188,Productos!$A$2:$A1001,Productos!AE$2:AE1001,"")*$G188,"")</f>
        <v/>
      </c>
      <c r="AM188" s="179" t="str">
        <f t="array" ref="AM188">IF($F188&lt;&gt;"",XLOOKUP($F188,Productos!$A:$A,Productos!AF:AF,"Revisar"),"")</f>
        <v/>
      </c>
      <c r="AN188" s="179" t="str">
        <f t="array" ref="AN188">IF($F188&lt;&gt;"", XLOOKUP($F188,Productos!$A$2:$A1001,Productos!AG$2:AG1001,"")*$G188,"")</f>
        <v/>
      </c>
      <c r="AO188" s="179" t="str">
        <f t="array" ref="AO188">IF($F188&lt;&gt;"",XLOOKUP($F188,Productos!$A:$A,Productos!AH:AH,"Revisar"),"")</f>
        <v/>
      </c>
      <c r="AP188" s="179" t="str">
        <f t="array" ref="AP188">IF($F188&lt;&gt;"", XLOOKUP($F188,Productos!$A$2:$A1001,Productos!AI$2:AI1001,"")*$G188,"")</f>
        <v/>
      </c>
      <c r="AQ188" s="179" t="str">
        <f t="array" ref="AQ188">IF($F188&lt;&gt;"",XLOOKUP($F188,Productos!$A:$A,Productos!AJ:AJ,"Revisar"),"")</f>
        <v/>
      </c>
      <c r="AR188" s="179" t="str">
        <f t="array" ref="AR188">IF($F188&lt;&gt;"", XLOOKUP($F188,Productos!$A$2:$A1001,Productos!AK$2:AK1001,"")*$G188,"")</f>
        <v/>
      </c>
      <c r="AS188" s="179" t="str">
        <f t="array" ref="AS188">IF($F188&lt;&gt;"",XLOOKUP($F188,Productos!$A:$A,Productos!AL:AL,"Revisar"),"")</f>
        <v/>
      </c>
      <c r="AT188" s="179" t="str">
        <f t="array" ref="AT188">IF($F188&lt;&gt;"", XLOOKUP($F188,Productos!$A$2:$A1001,Productos!AM$2:AM1001,"")*$G188,"")</f>
        <v/>
      </c>
      <c r="AU188" s="179" t="str">
        <f t="array" ref="AU188">IF($F188&lt;&gt;"",XLOOKUP($F188,Productos!$A:$A,Productos!AN:AN,"Revisar"),"")</f>
        <v/>
      </c>
      <c r="AV188" s="179" t="str">
        <f t="array" ref="AV188">IF($F188&lt;&gt;"", XLOOKUP($F188,Productos!$A$2:$A1001,Productos!AO$2:AO1001,"")*$G188,"")</f>
        <v/>
      </c>
      <c r="AW188" s="179" t="str">
        <f t="array" ref="AW188">IF($F188&lt;&gt;"",XLOOKUP($F188,Productos!$A:$A,Productos!AP:AP,"Revisar"),"")</f>
        <v/>
      </c>
      <c r="AX188" s="179" t="str">
        <f t="array" ref="AX188">IF($F188&lt;&gt;"", XLOOKUP($F188,Productos!$A$2:$A1001,Productos!AQ$2:AQ1001,"")*$G188,"")</f>
        <v/>
      </c>
      <c r="AY188" s="179" t="str">
        <f t="array" ref="AY188">IF($F188&lt;&gt;"",XLOOKUP($F188,Productos!$A:$A,Productos!AR:AR,"Revisar"),"")</f>
        <v/>
      </c>
      <c r="AZ188" s="179" t="str">
        <f t="array" ref="AZ188">IF($F188&lt;&gt;"", XLOOKUP($F188,Productos!$A$2:$A1001,Productos!AS$2:AS1001,"")*$G188,"")</f>
        <v/>
      </c>
      <c r="BA188" s="179" t="str">
        <f t="array" ref="BA188">IF($F188&lt;&gt;"",XLOOKUP($F188,Productos!$A:$A,Productos!AT:AT,"Revisar"),"")</f>
        <v/>
      </c>
      <c r="BB188" s="179" t="str">
        <f t="array" ref="BB188">IF($F188&lt;&gt;"", XLOOKUP($F188,Productos!$A$2:$A1001,Productos!AU$2:AU1001,"")*$G188,"")</f>
        <v/>
      </c>
      <c r="BC188" s="179" t="str">
        <f t="array" ref="BC188">IF($F188&lt;&gt;"",XLOOKUP($F188,Productos!$A:$A,Productos!AV:AV,"Revisar"),"")</f>
        <v/>
      </c>
      <c r="BD188" s="179" t="str">
        <f t="array" ref="BD188">IF($F188&lt;&gt;"", XLOOKUP($F188,Productos!$A$2:$A1001,Productos!AW$2:AW1001,"")*$G188,"")</f>
        <v/>
      </c>
      <c r="BE188" s="179" t="str">
        <f t="array" ref="BE188">IF($F188&lt;&gt;"",XLOOKUP($F188,Productos!$A:$A,Productos!AX:AX,"Revisar"),"")</f>
        <v/>
      </c>
      <c r="BF188" s="179" t="str">
        <f t="array" ref="BF188">IF($F188&lt;&gt;"", XLOOKUP($F188,Productos!$A$2:$A1001,Productos!AY$2:AY1001,"")*$G188,"")</f>
        <v/>
      </c>
      <c r="BG188" s="179" t="str">
        <f t="array" ref="BG188">IF($F188&lt;&gt;"",XLOOKUP($F188,Productos!$A:$A,Productos!AZ:AZ,"Revisar"),"")</f>
        <v/>
      </c>
      <c r="BH188" s="179" t="str">
        <f t="array" ref="BH188">IF($F188&lt;&gt;"", XLOOKUP($F188,Productos!$A$2:$A1001,Productos!BA$2:BA1001,"")*$G188,"")</f>
        <v/>
      </c>
      <c r="BI188" s="179" t="str">
        <f t="array" ref="BI188">IF($F188&lt;&gt;"",XLOOKUP($F188,Productos!$A:$A,Productos!BB:BB,"Revisar"),"")</f>
        <v/>
      </c>
      <c r="BJ188" s="179" t="str">
        <f t="array" ref="BJ188">IF($F188&lt;&gt;"", XLOOKUP($F188,Productos!$A$2:$A1001,Productos!BC$2:BC1001,"")*$G188,"")</f>
        <v/>
      </c>
      <c r="BK188" s="179" t="str">
        <f t="array" ref="BK188">IF($F188&lt;&gt;"",XLOOKUP($F188,Productos!$A:$A,Productos!BD:BD,"Revisar"),"")</f>
        <v/>
      </c>
      <c r="BL188" s="179" t="str">
        <f t="array" ref="BL188">IF($F188&lt;&gt;"", XLOOKUP($F188,Productos!$A$2:$A1001,Productos!BE$2:BE1001,"")*$G188,"")</f>
        <v/>
      </c>
      <c r="BM188" s="179" t="str">
        <f t="array" ref="BM188">IF($F188&lt;&gt;"",XLOOKUP($F188,Productos!$A:$A,Productos!BF:BF,"Revisar"),"")</f>
        <v/>
      </c>
      <c r="BN188" s="179" t="str">
        <f t="array" ref="BN188">IF($F188&lt;&gt;"", XLOOKUP($F188,Productos!$A$2:$A1001,Productos!BG$2:BG1001,"")*$G188,"")</f>
        <v/>
      </c>
      <c r="BO188" s="179" t="str">
        <f t="array" ref="BO188">IF($F188&lt;&gt;"",XLOOKUP($F188,Productos!$A:$A,Productos!BH:BH,"Revisar"),"")</f>
        <v/>
      </c>
      <c r="BP188" s="179" t="str">
        <f t="array" ref="BP188">IF($F188&lt;&gt;"", XLOOKUP($F188,Productos!$A$2:$A1001,Productos!BI$2:BI1001,"")*$G188,"")</f>
        <v/>
      </c>
      <c r="BQ188" s="179" t="str">
        <f t="array" ref="BQ188">IF($F188&lt;&gt;"",XLOOKUP($F188,Productos!$A:$A,Productos!BJ:BJ,"Revisar"),"")</f>
        <v/>
      </c>
      <c r="BR188" s="179" t="str">
        <f t="array" ref="BR188">IF($F188&lt;&gt;"", XLOOKUP($F188,Productos!$A$2:$A1001,Productos!BK$2:BK1001,"")*$G188,"")</f>
        <v/>
      </c>
      <c r="BS188" s="179" t="str">
        <f t="array" ref="BS188">IF($F188&lt;&gt;"",XLOOKUP($F188,Productos!$A:$A,Productos!BL:BL,"Revisar"),"")</f>
        <v/>
      </c>
      <c r="BT188" s="179" t="str">
        <f t="array" ref="BT188">IF($F188&lt;&gt;"", XLOOKUP($F188,Productos!$A$2:$A1001,Productos!BM$2:BM1001,"")*$G188,"")</f>
        <v/>
      </c>
      <c r="BU188" s="179" t="str">
        <f t="array" ref="BU188">IF($F188&lt;&gt;"",XLOOKUP($F188,Productos!$A:$A,Productos!BN:BN,"Revisar"),"")</f>
        <v/>
      </c>
      <c r="BV188" s="179" t="str">
        <f t="array" ref="BV188">IF($F188&lt;&gt;"", XLOOKUP($F188,Productos!$A$2:$A1001,Productos!BO$2:BO1001,"")*$G188,"")</f>
        <v/>
      </c>
      <c r="BW188" s="179" t="str">
        <f t="array" ref="BW188">IF($F188&lt;&gt;"",XLOOKUP($F188,Productos!$A:$A,Productos!BP:BP,"Revisar"),"")</f>
        <v/>
      </c>
      <c r="BX188" s="179" t="str">
        <f t="array" ref="BX188">IF($F188&lt;&gt;"", XLOOKUP($F188,Productos!$A$2:$A1001,Productos!BQ$2:BQ1001,"")*$G188,"")</f>
        <v/>
      </c>
      <c r="BY188" s="179" t="str">
        <f t="array" ref="BY188">IF($F188&lt;&gt;"",XLOOKUP($F188,Productos!$A:$A,Productos!BR:BR,"Revisar"),"")</f>
        <v/>
      </c>
      <c r="BZ188" s="179" t="str">
        <f t="array" ref="BZ188">IF($F188&lt;&gt;"", XLOOKUP($F188,Productos!$A$2:$A1001,Productos!BS$2:BS1001,"")*$G188,"")</f>
        <v/>
      </c>
    </row>
    <row r="189">
      <c r="A189" s="180"/>
      <c r="B189" s="181"/>
      <c r="C189" s="182"/>
      <c r="D189" s="182"/>
      <c r="E189" s="185"/>
      <c r="F189" s="186"/>
      <c r="G189" s="187"/>
      <c r="H189" s="186"/>
      <c r="I189" s="179" t="str">
        <f t="array" ref="I189">IF($F189&lt;&gt;"",XLOOKUP($F189,Productos!$A:$A,Productos!B:B,"Revisar"),"")</f>
        <v/>
      </c>
      <c r="J189" s="179" t="str">
        <f t="array" ref="J189">IF($F189&lt;&gt;"", XLOOKUP($F189,Productos!$A$2:$A1001,Productos!C$2:C1001,"")*$G189,"")</f>
        <v/>
      </c>
      <c r="K189" s="179" t="str">
        <f t="array" ref="K189">IF($F189&lt;&gt;"",XLOOKUP($F189,Productos!$A:$A,Productos!D:D,"Revisar"),"")</f>
        <v/>
      </c>
      <c r="L189" s="179" t="str">
        <f t="array" ref="L189">IF($F189&lt;&gt;"", XLOOKUP($F189,Productos!$A$2:$A1001,Productos!E$2:E1001,"")*$G189,"")</f>
        <v/>
      </c>
      <c r="M189" s="179" t="str">
        <f t="array" ref="M189">IF($F189&lt;&gt;"",XLOOKUP($F189,Productos!$A:$A,Productos!F:F,"Revisar"),"")</f>
        <v/>
      </c>
      <c r="N189" s="179" t="str">
        <f t="array" ref="N189">IF($F189&lt;&gt;"", XLOOKUP($F189,Productos!$A$2:$A1001,Productos!G$2:G1001,"")*$G189,"")</f>
        <v/>
      </c>
      <c r="O189" s="179" t="str">
        <f t="array" ref="O189">IF($F189&lt;&gt;"",XLOOKUP($F189,Productos!$A:$A,Productos!H:H,"Revisar"),"")</f>
        <v/>
      </c>
      <c r="P189" s="179" t="str">
        <f t="array" ref="P189">IF($F189&lt;&gt;"", XLOOKUP($F189,Productos!$A$2:$A1001,Productos!I$2:I1001,"")*$G189,"")</f>
        <v/>
      </c>
      <c r="Q189" s="179" t="str">
        <f t="array" ref="Q189">IF($F189&lt;&gt;"",XLOOKUP($F189,Productos!$A:$A,Productos!J:J,"Revisar"),"")</f>
        <v/>
      </c>
      <c r="R189" s="179" t="str">
        <f t="array" ref="R189">IF($F189&lt;&gt;"", XLOOKUP($F189,Productos!$A$2:$A1001,Productos!K$2:K1001,"")*$G189,"")</f>
        <v/>
      </c>
      <c r="S189" s="179" t="str">
        <f t="array" ref="S189">IF($F189&lt;&gt;"",XLOOKUP($F189,Productos!$A:$A,Productos!L:L,"Revisar"),"")</f>
        <v/>
      </c>
      <c r="T189" s="179" t="str">
        <f t="array" ref="T189">IF($F189&lt;&gt;"", XLOOKUP($F189,Productos!$A$2:$A1001,Productos!M$2:M1001,"")*$G189,"")</f>
        <v/>
      </c>
      <c r="U189" s="179" t="str">
        <f t="array" ref="U189">IF($F189&lt;&gt;"",XLOOKUP($F189,Productos!$A:$A,Productos!N:N,"Revisar"),"")</f>
        <v/>
      </c>
      <c r="V189" s="179" t="str">
        <f t="array" ref="V189">IF($F189&lt;&gt;"", XLOOKUP($F189,Productos!$A$2:$A1001,Productos!O$2:O1001,"")*$G189,"")</f>
        <v/>
      </c>
      <c r="W189" s="179" t="str">
        <f t="array" ref="W189">IF($F189&lt;&gt;"",XLOOKUP($F189,Productos!$A:$A,Productos!P:P,"Revisar"),"")</f>
        <v/>
      </c>
      <c r="X189" s="179" t="str">
        <f t="array" ref="X189">IF($F189&lt;&gt;"", XLOOKUP($F189,Productos!$A$2:$A1001,Productos!Q$2:Q1001,"")*$G189,"")</f>
        <v/>
      </c>
      <c r="Y189" s="179" t="str">
        <f t="array" ref="Y189">IF($F189&lt;&gt;"",XLOOKUP($F189,Productos!$A:$A,Productos!R:R,"Revisar"),"")</f>
        <v/>
      </c>
      <c r="Z189" s="179" t="str">
        <f t="array" ref="Z189">IF($F189&lt;&gt;"", XLOOKUP($F189,Productos!$A$2:$A1001,Productos!S$2:S1001,"")*$G189,"")</f>
        <v/>
      </c>
      <c r="AA189" s="179" t="str">
        <f t="array" ref="AA189">IF($F189&lt;&gt;"",XLOOKUP($F189,Productos!$A:$A,Productos!T:T,"Revisar"),"")</f>
        <v/>
      </c>
      <c r="AB189" s="179" t="str">
        <f t="array" ref="AB189">IF($F189&lt;&gt;"", XLOOKUP($F189,Productos!$A$2:$A1001,Productos!U$2:U1001,"")*$G189,"")</f>
        <v/>
      </c>
      <c r="AC189" s="179" t="str">
        <f t="array" ref="AC189">IF($F189&lt;&gt;"",XLOOKUP($F189,Productos!$A:$A,Productos!V:V,"Revisar"),"")</f>
        <v/>
      </c>
      <c r="AD189" s="179" t="str">
        <f t="array" ref="AD189">IF($F189&lt;&gt;"", XLOOKUP($F189,Productos!$A$2:$A1001,Productos!W$2:W1001,"")*$G189,"")</f>
        <v/>
      </c>
      <c r="AE189" s="179" t="str">
        <f t="array" ref="AE189">IF($F189&lt;&gt;"",XLOOKUP($F189,Productos!$A:$A,Productos!X:X,"Revisar"),"")</f>
        <v/>
      </c>
      <c r="AF189" s="179" t="str">
        <f t="array" ref="AF189">IF($F189&lt;&gt;"", XLOOKUP($F189,Productos!$A$2:$A1001,Productos!Y$2:Y1001,"")*$G189,"")</f>
        <v/>
      </c>
      <c r="AG189" s="179" t="str">
        <f t="array" ref="AG189">IF($F189&lt;&gt;"",XLOOKUP($F189,Productos!$A:$A,Productos!Z:Z,"Revisar"),"")</f>
        <v/>
      </c>
      <c r="AH189" s="179" t="str">
        <f t="array" ref="AH189">IF($F189&lt;&gt;"", XLOOKUP($F189,Productos!$A$2:$A1001,Productos!AA$2:AA1001,"")*$G189,"")</f>
        <v/>
      </c>
      <c r="AI189" s="179" t="str">
        <f t="array" ref="AI189">IF($F189&lt;&gt;"",XLOOKUP($F189,Productos!$A:$A,Productos!AB:AB,"Revisar"),"")</f>
        <v/>
      </c>
      <c r="AJ189" s="179" t="str">
        <f t="array" ref="AJ189">IF($F189&lt;&gt;"", XLOOKUP($F189,Productos!$A$2:$A1001,Productos!AC$2:AC1001,"")*$G189,"")</f>
        <v/>
      </c>
      <c r="AK189" s="179" t="str">
        <f t="array" ref="AK189">IF($F189&lt;&gt;"",XLOOKUP($F189,Productos!$A:$A,Productos!AD:AD,"Revisar"),"")</f>
        <v/>
      </c>
      <c r="AL189" s="179" t="str">
        <f t="array" ref="AL189">IF($F189&lt;&gt;"", XLOOKUP($F189,Productos!$A$2:$A1001,Productos!AE$2:AE1001,"")*$G189,"")</f>
        <v/>
      </c>
      <c r="AM189" s="179" t="str">
        <f t="array" ref="AM189">IF($F189&lt;&gt;"",XLOOKUP($F189,Productos!$A:$A,Productos!AF:AF,"Revisar"),"")</f>
        <v/>
      </c>
      <c r="AN189" s="179" t="str">
        <f t="array" ref="AN189">IF($F189&lt;&gt;"", XLOOKUP($F189,Productos!$A$2:$A1001,Productos!AG$2:AG1001,"")*$G189,"")</f>
        <v/>
      </c>
      <c r="AO189" s="179" t="str">
        <f t="array" ref="AO189">IF($F189&lt;&gt;"",XLOOKUP($F189,Productos!$A:$A,Productos!AH:AH,"Revisar"),"")</f>
        <v/>
      </c>
      <c r="AP189" s="179" t="str">
        <f t="array" ref="AP189">IF($F189&lt;&gt;"", XLOOKUP($F189,Productos!$A$2:$A1001,Productos!AI$2:AI1001,"")*$G189,"")</f>
        <v/>
      </c>
      <c r="AQ189" s="179" t="str">
        <f t="array" ref="AQ189">IF($F189&lt;&gt;"",XLOOKUP($F189,Productos!$A:$A,Productos!AJ:AJ,"Revisar"),"")</f>
        <v/>
      </c>
      <c r="AR189" s="179" t="str">
        <f t="array" ref="AR189">IF($F189&lt;&gt;"", XLOOKUP($F189,Productos!$A$2:$A1001,Productos!AK$2:AK1001,"")*$G189,"")</f>
        <v/>
      </c>
      <c r="AS189" s="179" t="str">
        <f t="array" ref="AS189">IF($F189&lt;&gt;"",XLOOKUP($F189,Productos!$A:$A,Productos!AL:AL,"Revisar"),"")</f>
        <v/>
      </c>
      <c r="AT189" s="179" t="str">
        <f t="array" ref="AT189">IF($F189&lt;&gt;"", XLOOKUP($F189,Productos!$A$2:$A1001,Productos!AM$2:AM1001,"")*$G189,"")</f>
        <v/>
      </c>
      <c r="AU189" s="179" t="str">
        <f t="array" ref="AU189">IF($F189&lt;&gt;"",XLOOKUP($F189,Productos!$A:$A,Productos!AN:AN,"Revisar"),"")</f>
        <v/>
      </c>
      <c r="AV189" s="179" t="str">
        <f t="array" ref="AV189">IF($F189&lt;&gt;"", XLOOKUP($F189,Productos!$A$2:$A1001,Productos!AO$2:AO1001,"")*$G189,"")</f>
        <v/>
      </c>
      <c r="AW189" s="179" t="str">
        <f t="array" ref="AW189">IF($F189&lt;&gt;"",XLOOKUP($F189,Productos!$A:$A,Productos!AP:AP,"Revisar"),"")</f>
        <v/>
      </c>
      <c r="AX189" s="179" t="str">
        <f t="array" ref="AX189">IF($F189&lt;&gt;"", XLOOKUP($F189,Productos!$A$2:$A1001,Productos!AQ$2:AQ1001,"")*$G189,"")</f>
        <v/>
      </c>
      <c r="AY189" s="179" t="str">
        <f t="array" ref="AY189">IF($F189&lt;&gt;"",XLOOKUP($F189,Productos!$A:$A,Productos!AR:AR,"Revisar"),"")</f>
        <v/>
      </c>
      <c r="AZ189" s="179" t="str">
        <f t="array" ref="AZ189">IF($F189&lt;&gt;"", XLOOKUP($F189,Productos!$A$2:$A1001,Productos!AS$2:AS1001,"")*$G189,"")</f>
        <v/>
      </c>
      <c r="BA189" s="179" t="str">
        <f t="array" ref="BA189">IF($F189&lt;&gt;"",XLOOKUP($F189,Productos!$A:$A,Productos!AT:AT,"Revisar"),"")</f>
        <v/>
      </c>
      <c r="BB189" s="179" t="str">
        <f t="array" ref="BB189">IF($F189&lt;&gt;"", XLOOKUP($F189,Productos!$A$2:$A1001,Productos!AU$2:AU1001,"")*$G189,"")</f>
        <v/>
      </c>
      <c r="BC189" s="179" t="str">
        <f t="array" ref="BC189">IF($F189&lt;&gt;"",XLOOKUP($F189,Productos!$A:$A,Productos!AV:AV,"Revisar"),"")</f>
        <v/>
      </c>
      <c r="BD189" s="179" t="str">
        <f t="array" ref="BD189">IF($F189&lt;&gt;"", XLOOKUP($F189,Productos!$A$2:$A1001,Productos!AW$2:AW1001,"")*$G189,"")</f>
        <v/>
      </c>
      <c r="BE189" s="179" t="str">
        <f t="array" ref="BE189">IF($F189&lt;&gt;"",XLOOKUP($F189,Productos!$A:$A,Productos!AX:AX,"Revisar"),"")</f>
        <v/>
      </c>
      <c r="BF189" s="179" t="str">
        <f t="array" ref="BF189">IF($F189&lt;&gt;"", XLOOKUP($F189,Productos!$A$2:$A1001,Productos!AY$2:AY1001,"")*$G189,"")</f>
        <v/>
      </c>
      <c r="BG189" s="179" t="str">
        <f t="array" ref="BG189">IF($F189&lt;&gt;"",XLOOKUP($F189,Productos!$A:$A,Productos!AZ:AZ,"Revisar"),"")</f>
        <v/>
      </c>
      <c r="BH189" s="179" t="str">
        <f t="array" ref="BH189">IF($F189&lt;&gt;"", XLOOKUP($F189,Productos!$A$2:$A1001,Productos!BA$2:BA1001,"")*$G189,"")</f>
        <v/>
      </c>
      <c r="BI189" s="179" t="str">
        <f t="array" ref="BI189">IF($F189&lt;&gt;"",XLOOKUP($F189,Productos!$A:$A,Productos!BB:BB,"Revisar"),"")</f>
        <v/>
      </c>
      <c r="BJ189" s="179" t="str">
        <f t="array" ref="BJ189">IF($F189&lt;&gt;"", XLOOKUP($F189,Productos!$A$2:$A1001,Productos!BC$2:BC1001,"")*$G189,"")</f>
        <v/>
      </c>
      <c r="BK189" s="179" t="str">
        <f t="array" ref="BK189">IF($F189&lt;&gt;"",XLOOKUP($F189,Productos!$A:$A,Productos!BD:BD,"Revisar"),"")</f>
        <v/>
      </c>
      <c r="BL189" s="179" t="str">
        <f t="array" ref="BL189">IF($F189&lt;&gt;"", XLOOKUP($F189,Productos!$A$2:$A1001,Productos!BE$2:BE1001,"")*$G189,"")</f>
        <v/>
      </c>
      <c r="BM189" s="179" t="str">
        <f t="array" ref="BM189">IF($F189&lt;&gt;"",XLOOKUP($F189,Productos!$A:$A,Productos!BF:BF,"Revisar"),"")</f>
        <v/>
      </c>
      <c r="BN189" s="179" t="str">
        <f t="array" ref="BN189">IF($F189&lt;&gt;"", XLOOKUP($F189,Productos!$A$2:$A1001,Productos!BG$2:BG1001,"")*$G189,"")</f>
        <v/>
      </c>
      <c r="BO189" s="179" t="str">
        <f t="array" ref="BO189">IF($F189&lt;&gt;"",XLOOKUP($F189,Productos!$A:$A,Productos!BH:BH,"Revisar"),"")</f>
        <v/>
      </c>
      <c r="BP189" s="179" t="str">
        <f t="array" ref="BP189">IF($F189&lt;&gt;"", XLOOKUP($F189,Productos!$A$2:$A1001,Productos!BI$2:BI1001,"")*$G189,"")</f>
        <v/>
      </c>
      <c r="BQ189" s="179" t="str">
        <f t="array" ref="BQ189">IF($F189&lt;&gt;"",XLOOKUP($F189,Productos!$A:$A,Productos!BJ:BJ,"Revisar"),"")</f>
        <v/>
      </c>
      <c r="BR189" s="179" t="str">
        <f t="array" ref="BR189">IF($F189&lt;&gt;"", XLOOKUP($F189,Productos!$A$2:$A1001,Productos!BK$2:BK1001,"")*$G189,"")</f>
        <v/>
      </c>
      <c r="BS189" s="179" t="str">
        <f t="array" ref="BS189">IF($F189&lt;&gt;"",XLOOKUP($F189,Productos!$A:$A,Productos!BL:BL,"Revisar"),"")</f>
        <v/>
      </c>
      <c r="BT189" s="179" t="str">
        <f t="array" ref="BT189">IF($F189&lt;&gt;"", XLOOKUP($F189,Productos!$A$2:$A1001,Productos!BM$2:BM1001,"")*$G189,"")</f>
        <v/>
      </c>
      <c r="BU189" s="179" t="str">
        <f t="array" ref="BU189">IF($F189&lt;&gt;"",XLOOKUP($F189,Productos!$A:$A,Productos!BN:BN,"Revisar"),"")</f>
        <v/>
      </c>
      <c r="BV189" s="179" t="str">
        <f t="array" ref="BV189">IF($F189&lt;&gt;"", XLOOKUP($F189,Productos!$A$2:$A1001,Productos!BO$2:BO1001,"")*$G189,"")</f>
        <v/>
      </c>
      <c r="BW189" s="179" t="str">
        <f t="array" ref="BW189">IF($F189&lt;&gt;"",XLOOKUP($F189,Productos!$A:$A,Productos!BP:BP,"Revisar"),"")</f>
        <v/>
      </c>
      <c r="BX189" s="179" t="str">
        <f t="array" ref="BX189">IF($F189&lt;&gt;"", XLOOKUP($F189,Productos!$A$2:$A1001,Productos!BQ$2:BQ1001,"")*$G189,"")</f>
        <v/>
      </c>
      <c r="BY189" s="179" t="str">
        <f t="array" ref="BY189">IF($F189&lt;&gt;"",XLOOKUP($F189,Productos!$A:$A,Productos!BR:BR,"Revisar"),"")</f>
        <v/>
      </c>
      <c r="BZ189" s="179" t="str">
        <f t="array" ref="BZ189">IF($F189&lt;&gt;"", XLOOKUP($F189,Productos!$A$2:$A1001,Productos!BS$2:BS1001,"")*$G189,"")</f>
        <v/>
      </c>
    </row>
    <row r="190">
      <c r="A190" s="180"/>
      <c r="B190" s="181"/>
      <c r="C190" s="182"/>
      <c r="D190" s="182"/>
      <c r="E190" s="185"/>
      <c r="F190" s="186"/>
      <c r="G190" s="187"/>
      <c r="H190" s="186"/>
      <c r="I190" s="179" t="str">
        <f t="array" ref="I190">IF($F190&lt;&gt;"",XLOOKUP($F190,Productos!$A:$A,Productos!B:B,"Revisar"),"")</f>
        <v/>
      </c>
      <c r="J190" s="179" t="str">
        <f t="array" ref="J190">IF($F190&lt;&gt;"", XLOOKUP($F190,Productos!$A$2:$A1001,Productos!C$2:C1001,"")*$G190,"")</f>
        <v/>
      </c>
      <c r="K190" s="179" t="str">
        <f t="array" ref="K190">IF($F190&lt;&gt;"",XLOOKUP($F190,Productos!$A:$A,Productos!D:D,"Revisar"),"")</f>
        <v/>
      </c>
      <c r="L190" s="179" t="str">
        <f t="array" ref="L190">IF($F190&lt;&gt;"", XLOOKUP($F190,Productos!$A$2:$A1001,Productos!E$2:E1001,"")*$G190,"")</f>
        <v/>
      </c>
      <c r="M190" s="179" t="str">
        <f t="array" ref="M190">IF($F190&lt;&gt;"",XLOOKUP($F190,Productos!$A:$A,Productos!F:F,"Revisar"),"")</f>
        <v/>
      </c>
      <c r="N190" s="179" t="str">
        <f t="array" ref="N190">IF($F190&lt;&gt;"", XLOOKUP($F190,Productos!$A$2:$A1001,Productos!G$2:G1001,"")*$G190,"")</f>
        <v/>
      </c>
      <c r="O190" s="179" t="str">
        <f t="array" ref="O190">IF($F190&lt;&gt;"",XLOOKUP($F190,Productos!$A:$A,Productos!H:H,"Revisar"),"")</f>
        <v/>
      </c>
      <c r="P190" s="179" t="str">
        <f t="array" ref="P190">IF($F190&lt;&gt;"", XLOOKUP($F190,Productos!$A$2:$A1001,Productos!I$2:I1001,"")*$G190,"")</f>
        <v/>
      </c>
      <c r="Q190" s="179" t="str">
        <f t="array" ref="Q190">IF($F190&lt;&gt;"",XLOOKUP($F190,Productos!$A:$A,Productos!J:J,"Revisar"),"")</f>
        <v/>
      </c>
      <c r="R190" s="179" t="str">
        <f t="array" ref="R190">IF($F190&lt;&gt;"", XLOOKUP($F190,Productos!$A$2:$A1001,Productos!K$2:K1001,"")*$G190,"")</f>
        <v/>
      </c>
      <c r="S190" s="179" t="str">
        <f t="array" ref="S190">IF($F190&lt;&gt;"",XLOOKUP($F190,Productos!$A:$A,Productos!L:L,"Revisar"),"")</f>
        <v/>
      </c>
      <c r="T190" s="179" t="str">
        <f t="array" ref="T190">IF($F190&lt;&gt;"", XLOOKUP($F190,Productos!$A$2:$A1001,Productos!M$2:M1001,"")*$G190,"")</f>
        <v/>
      </c>
      <c r="U190" s="179" t="str">
        <f t="array" ref="U190">IF($F190&lt;&gt;"",XLOOKUP($F190,Productos!$A:$A,Productos!N:N,"Revisar"),"")</f>
        <v/>
      </c>
      <c r="V190" s="179" t="str">
        <f t="array" ref="V190">IF($F190&lt;&gt;"", XLOOKUP($F190,Productos!$A$2:$A1001,Productos!O$2:O1001,"")*$G190,"")</f>
        <v/>
      </c>
      <c r="W190" s="179" t="str">
        <f t="array" ref="W190">IF($F190&lt;&gt;"",XLOOKUP($F190,Productos!$A:$A,Productos!P:P,"Revisar"),"")</f>
        <v/>
      </c>
      <c r="X190" s="179" t="str">
        <f t="array" ref="X190">IF($F190&lt;&gt;"", XLOOKUP($F190,Productos!$A$2:$A1001,Productos!Q$2:Q1001,"")*$G190,"")</f>
        <v/>
      </c>
      <c r="Y190" s="179" t="str">
        <f t="array" ref="Y190">IF($F190&lt;&gt;"",XLOOKUP($F190,Productos!$A:$A,Productos!R:R,"Revisar"),"")</f>
        <v/>
      </c>
      <c r="Z190" s="179" t="str">
        <f t="array" ref="Z190">IF($F190&lt;&gt;"", XLOOKUP($F190,Productos!$A$2:$A1001,Productos!S$2:S1001,"")*$G190,"")</f>
        <v/>
      </c>
      <c r="AA190" s="179" t="str">
        <f t="array" ref="AA190">IF($F190&lt;&gt;"",XLOOKUP($F190,Productos!$A:$A,Productos!T:T,"Revisar"),"")</f>
        <v/>
      </c>
      <c r="AB190" s="179" t="str">
        <f t="array" ref="AB190">IF($F190&lt;&gt;"", XLOOKUP($F190,Productos!$A$2:$A1001,Productos!U$2:U1001,"")*$G190,"")</f>
        <v/>
      </c>
      <c r="AC190" s="179" t="str">
        <f t="array" ref="AC190">IF($F190&lt;&gt;"",XLOOKUP($F190,Productos!$A:$A,Productos!V:V,"Revisar"),"")</f>
        <v/>
      </c>
      <c r="AD190" s="179" t="str">
        <f t="array" ref="AD190">IF($F190&lt;&gt;"", XLOOKUP($F190,Productos!$A$2:$A1001,Productos!W$2:W1001,"")*$G190,"")</f>
        <v/>
      </c>
      <c r="AE190" s="179" t="str">
        <f t="array" ref="AE190">IF($F190&lt;&gt;"",XLOOKUP($F190,Productos!$A:$A,Productos!X:X,"Revisar"),"")</f>
        <v/>
      </c>
      <c r="AF190" s="179" t="str">
        <f t="array" ref="AF190">IF($F190&lt;&gt;"", XLOOKUP($F190,Productos!$A$2:$A1001,Productos!Y$2:Y1001,"")*$G190,"")</f>
        <v/>
      </c>
      <c r="AG190" s="179" t="str">
        <f t="array" ref="AG190">IF($F190&lt;&gt;"",XLOOKUP($F190,Productos!$A:$A,Productos!Z:Z,"Revisar"),"")</f>
        <v/>
      </c>
      <c r="AH190" s="179" t="str">
        <f t="array" ref="AH190">IF($F190&lt;&gt;"", XLOOKUP($F190,Productos!$A$2:$A1001,Productos!AA$2:AA1001,"")*$G190,"")</f>
        <v/>
      </c>
      <c r="AI190" s="179" t="str">
        <f t="array" ref="AI190">IF($F190&lt;&gt;"",XLOOKUP($F190,Productos!$A:$A,Productos!AB:AB,"Revisar"),"")</f>
        <v/>
      </c>
      <c r="AJ190" s="179" t="str">
        <f t="array" ref="AJ190">IF($F190&lt;&gt;"", XLOOKUP($F190,Productos!$A$2:$A1001,Productos!AC$2:AC1001,"")*$G190,"")</f>
        <v/>
      </c>
      <c r="AK190" s="179" t="str">
        <f t="array" ref="AK190">IF($F190&lt;&gt;"",XLOOKUP($F190,Productos!$A:$A,Productos!AD:AD,"Revisar"),"")</f>
        <v/>
      </c>
      <c r="AL190" s="179" t="str">
        <f t="array" ref="AL190">IF($F190&lt;&gt;"", XLOOKUP($F190,Productos!$A$2:$A1001,Productos!AE$2:AE1001,"")*$G190,"")</f>
        <v/>
      </c>
      <c r="AM190" s="179" t="str">
        <f t="array" ref="AM190">IF($F190&lt;&gt;"",XLOOKUP($F190,Productos!$A:$A,Productos!AF:AF,"Revisar"),"")</f>
        <v/>
      </c>
      <c r="AN190" s="179" t="str">
        <f t="array" ref="AN190">IF($F190&lt;&gt;"", XLOOKUP($F190,Productos!$A$2:$A1001,Productos!AG$2:AG1001,"")*$G190,"")</f>
        <v/>
      </c>
      <c r="AO190" s="179" t="str">
        <f t="array" ref="AO190">IF($F190&lt;&gt;"",XLOOKUP($F190,Productos!$A:$A,Productos!AH:AH,"Revisar"),"")</f>
        <v/>
      </c>
      <c r="AP190" s="179" t="str">
        <f t="array" ref="AP190">IF($F190&lt;&gt;"", XLOOKUP($F190,Productos!$A$2:$A1001,Productos!AI$2:AI1001,"")*$G190,"")</f>
        <v/>
      </c>
      <c r="AQ190" s="179" t="str">
        <f t="array" ref="AQ190">IF($F190&lt;&gt;"",XLOOKUP($F190,Productos!$A:$A,Productos!AJ:AJ,"Revisar"),"")</f>
        <v/>
      </c>
      <c r="AR190" s="179" t="str">
        <f t="array" ref="AR190">IF($F190&lt;&gt;"", XLOOKUP($F190,Productos!$A$2:$A1001,Productos!AK$2:AK1001,"")*$G190,"")</f>
        <v/>
      </c>
      <c r="AS190" s="179" t="str">
        <f t="array" ref="AS190">IF($F190&lt;&gt;"",XLOOKUP($F190,Productos!$A:$A,Productos!AL:AL,"Revisar"),"")</f>
        <v/>
      </c>
      <c r="AT190" s="179" t="str">
        <f t="array" ref="AT190">IF($F190&lt;&gt;"", XLOOKUP($F190,Productos!$A$2:$A1001,Productos!AM$2:AM1001,"")*$G190,"")</f>
        <v/>
      </c>
      <c r="AU190" s="179" t="str">
        <f t="array" ref="AU190">IF($F190&lt;&gt;"",XLOOKUP($F190,Productos!$A:$A,Productos!AN:AN,"Revisar"),"")</f>
        <v/>
      </c>
      <c r="AV190" s="179" t="str">
        <f t="array" ref="AV190">IF($F190&lt;&gt;"", XLOOKUP($F190,Productos!$A$2:$A1001,Productos!AO$2:AO1001,"")*$G190,"")</f>
        <v/>
      </c>
      <c r="AW190" s="179" t="str">
        <f t="array" ref="AW190">IF($F190&lt;&gt;"",XLOOKUP($F190,Productos!$A:$A,Productos!AP:AP,"Revisar"),"")</f>
        <v/>
      </c>
      <c r="AX190" s="179" t="str">
        <f t="array" ref="AX190">IF($F190&lt;&gt;"", XLOOKUP($F190,Productos!$A$2:$A1001,Productos!AQ$2:AQ1001,"")*$G190,"")</f>
        <v/>
      </c>
      <c r="AY190" s="179" t="str">
        <f t="array" ref="AY190">IF($F190&lt;&gt;"",XLOOKUP($F190,Productos!$A:$A,Productos!AR:AR,"Revisar"),"")</f>
        <v/>
      </c>
      <c r="AZ190" s="179" t="str">
        <f t="array" ref="AZ190">IF($F190&lt;&gt;"", XLOOKUP($F190,Productos!$A$2:$A1001,Productos!AS$2:AS1001,"")*$G190,"")</f>
        <v/>
      </c>
      <c r="BA190" s="179" t="str">
        <f t="array" ref="BA190">IF($F190&lt;&gt;"",XLOOKUP($F190,Productos!$A:$A,Productos!AT:AT,"Revisar"),"")</f>
        <v/>
      </c>
      <c r="BB190" s="179" t="str">
        <f t="array" ref="BB190">IF($F190&lt;&gt;"", XLOOKUP($F190,Productos!$A$2:$A1001,Productos!AU$2:AU1001,"")*$G190,"")</f>
        <v/>
      </c>
      <c r="BC190" s="179" t="str">
        <f t="array" ref="BC190">IF($F190&lt;&gt;"",XLOOKUP($F190,Productos!$A:$A,Productos!AV:AV,"Revisar"),"")</f>
        <v/>
      </c>
      <c r="BD190" s="179" t="str">
        <f t="array" ref="BD190">IF($F190&lt;&gt;"", XLOOKUP($F190,Productos!$A$2:$A1001,Productos!AW$2:AW1001,"")*$G190,"")</f>
        <v/>
      </c>
      <c r="BE190" s="179" t="str">
        <f t="array" ref="BE190">IF($F190&lt;&gt;"",XLOOKUP($F190,Productos!$A:$A,Productos!AX:AX,"Revisar"),"")</f>
        <v/>
      </c>
      <c r="BF190" s="179" t="str">
        <f t="array" ref="BF190">IF($F190&lt;&gt;"", XLOOKUP($F190,Productos!$A$2:$A1001,Productos!AY$2:AY1001,"")*$G190,"")</f>
        <v/>
      </c>
      <c r="BG190" s="179" t="str">
        <f t="array" ref="BG190">IF($F190&lt;&gt;"",XLOOKUP($F190,Productos!$A:$A,Productos!AZ:AZ,"Revisar"),"")</f>
        <v/>
      </c>
      <c r="BH190" s="179" t="str">
        <f t="array" ref="BH190">IF($F190&lt;&gt;"", XLOOKUP($F190,Productos!$A$2:$A1001,Productos!BA$2:BA1001,"")*$G190,"")</f>
        <v/>
      </c>
      <c r="BI190" s="179" t="str">
        <f t="array" ref="BI190">IF($F190&lt;&gt;"",XLOOKUP($F190,Productos!$A:$A,Productos!BB:BB,"Revisar"),"")</f>
        <v/>
      </c>
      <c r="BJ190" s="179" t="str">
        <f t="array" ref="BJ190">IF($F190&lt;&gt;"", XLOOKUP($F190,Productos!$A$2:$A1001,Productos!BC$2:BC1001,"")*$G190,"")</f>
        <v/>
      </c>
      <c r="BK190" s="179" t="str">
        <f t="array" ref="BK190">IF($F190&lt;&gt;"",XLOOKUP($F190,Productos!$A:$A,Productos!BD:BD,"Revisar"),"")</f>
        <v/>
      </c>
      <c r="BL190" s="179" t="str">
        <f t="array" ref="BL190">IF($F190&lt;&gt;"", XLOOKUP($F190,Productos!$A$2:$A1001,Productos!BE$2:BE1001,"")*$G190,"")</f>
        <v/>
      </c>
      <c r="BM190" s="179" t="str">
        <f t="array" ref="BM190">IF($F190&lt;&gt;"",XLOOKUP($F190,Productos!$A:$A,Productos!BF:BF,"Revisar"),"")</f>
        <v/>
      </c>
      <c r="BN190" s="179" t="str">
        <f t="array" ref="BN190">IF($F190&lt;&gt;"", XLOOKUP($F190,Productos!$A$2:$A1001,Productos!BG$2:BG1001,"")*$G190,"")</f>
        <v/>
      </c>
      <c r="BO190" s="179" t="str">
        <f t="array" ref="BO190">IF($F190&lt;&gt;"",XLOOKUP($F190,Productos!$A:$A,Productos!BH:BH,"Revisar"),"")</f>
        <v/>
      </c>
      <c r="BP190" s="179" t="str">
        <f t="array" ref="BP190">IF($F190&lt;&gt;"", XLOOKUP($F190,Productos!$A$2:$A1001,Productos!BI$2:BI1001,"")*$G190,"")</f>
        <v/>
      </c>
      <c r="BQ190" s="179" t="str">
        <f t="array" ref="BQ190">IF($F190&lt;&gt;"",XLOOKUP($F190,Productos!$A:$A,Productos!BJ:BJ,"Revisar"),"")</f>
        <v/>
      </c>
      <c r="BR190" s="179" t="str">
        <f t="array" ref="BR190">IF($F190&lt;&gt;"", XLOOKUP($F190,Productos!$A$2:$A1001,Productos!BK$2:BK1001,"")*$G190,"")</f>
        <v/>
      </c>
      <c r="BS190" s="179" t="str">
        <f t="array" ref="BS190">IF($F190&lt;&gt;"",XLOOKUP($F190,Productos!$A:$A,Productos!BL:BL,"Revisar"),"")</f>
        <v/>
      </c>
      <c r="BT190" s="179" t="str">
        <f t="array" ref="BT190">IF($F190&lt;&gt;"", XLOOKUP($F190,Productos!$A$2:$A1001,Productos!BM$2:BM1001,"")*$G190,"")</f>
        <v/>
      </c>
      <c r="BU190" s="179" t="str">
        <f t="array" ref="BU190">IF($F190&lt;&gt;"",XLOOKUP($F190,Productos!$A:$A,Productos!BN:BN,"Revisar"),"")</f>
        <v/>
      </c>
      <c r="BV190" s="179" t="str">
        <f t="array" ref="BV190">IF($F190&lt;&gt;"", XLOOKUP($F190,Productos!$A$2:$A1001,Productos!BO$2:BO1001,"")*$G190,"")</f>
        <v/>
      </c>
      <c r="BW190" s="179" t="str">
        <f t="array" ref="BW190">IF($F190&lt;&gt;"",XLOOKUP($F190,Productos!$A:$A,Productos!BP:BP,"Revisar"),"")</f>
        <v/>
      </c>
      <c r="BX190" s="179" t="str">
        <f t="array" ref="BX190">IF($F190&lt;&gt;"", XLOOKUP($F190,Productos!$A$2:$A1001,Productos!BQ$2:BQ1001,"")*$G190,"")</f>
        <v/>
      </c>
      <c r="BY190" s="179" t="str">
        <f t="array" ref="BY190">IF($F190&lt;&gt;"",XLOOKUP($F190,Productos!$A:$A,Productos!BR:BR,"Revisar"),"")</f>
        <v/>
      </c>
      <c r="BZ190" s="179" t="str">
        <f t="array" ref="BZ190">IF($F190&lt;&gt;"", XLOOKUP($F190,Productos!$A$2:$A1001,Productos!BS$2:BS1001,"")*$G190,"")</f>
        <v/>
      </c>
    </row>
    <row r="191">
      <c r="A191" s="180"/>
      <c r="B191" s="181"/>
      <c r="C191" s="182"/>
      <c r="D191" s="182"/>
      <c r="E191" s="185"/>
      <c r="F191" s="186"/>
      <c r="G191" s="187"/>
      <c r="H191" s="186"/>
      <c r="I191" s="179" t="str">
        <f t="array" ref="I191">IF($F191&lt;&gt;"",XLOOKUP($F191,Productos!$A:$A,Productos!B:B,"Revisar"),"")</f>
        <v/>
      </c>
      <c r="J191" s="179" t="str">
        <f t="array" ref="J191">IF($F191&lt;&gt;"", XLOOKUP($F191,Productos!$A$2:$A1001,Productos!C$2:C1001,"")*$G191,"")</f>
        <v/>
      </c>
      <c r="K191" s="179" t="str">
        <f t="array" ref="K191">IF($F191&lt;&gt;"",XLOOKUP($F191,Productos!$A:$A,Productos!D:D,"Revisar"),"")</f>
        <v/>
      </c>
      <c r="L191" s="179" t="str">
        <f t="array" ref="L191">IF($F191&lt;&gt;"", XLOOKUP($F191,Productos!$A$2:$A1001,Productos!E$2:E1001,"")*$G191,"")</f>
        <v/>
      </c>
      <c r="M191" s="179" t="str">
        <f t="array" ref="M191">IF($F191&lt;&gt;"",XLOOKUP($F191,Productos!$A:$A,Productos!F:F,"Revisar"),"")</f>
        <v/>
      </c>
      <c r="N191" s="179" t="str">
        <f t="array" ref="N191">IF($F191&lt;&gt;"", XLOOKUP($F191,Productos!$A$2:$A1001,Productos!G$2:G1001,"")*$G191,"")</f>
        <v/>
      </c>
      <c r="O191" s="179" t="str">
        <f t="array" ref="O191">IF($F191&lt;&gt;"",XLOOKUP($F191,Productos!$A:$A,Productos!H:H,"Revisar"),"")</f>
        <v/>
      </c>
      <c r="P191" s="179" t="str">
        <f t="array" ref="P191">IF($F191&lt;&gt;"", XLOOKUP($F191,Productos!$A$2:$A1001,Productos!I$2:I1001,"")*$G191,"")</f>
        <v/>
      </c>
      <c r="Q191" s="179" t="str">
        <f t="array" ref="Q191">IF($F191&lt;&gt;"",XLOOKUP($F191,Productos!$A:$A,Productos!J:J,"Revisar"),"")</f>
        <v/>
      </c>
      <c r="R191" s="179" t="str">
        <f t="array" ref="R191">IF($F191&lt;&gt;"", XLOOKUP($F191,Productos!$A$2:$A1001,Productos!K$2:K1001,"")*$G191,"")</f>
        <v/>
      </c>
      <c r="S191" s="179" t="str">
        <f t="array" ref="S191">IF($F191&lt;&gt;"",XLOOKUP($F191,Productos!$A:$A,Productos!L:L,"Revisar"),"")</f>
        <v/>
      </c>
      <c r="T191" s="179" t="str">
        <f t="array" ref="T191">IF($F191&lt;&gt;"", XLOOKUP($F191,Productos!$A$2:$A1001,Productos!M$2:M1001,"")*$G191,"")</f>
        <v/>
      </c>
      <c r="U191" s="179" t="str">
        <f t="array" ref="U191">IF($F191&lt;&gt;"",XLOOKUP($F191,Productos!$A:$A,Productos!N:N,"Revisar"),"")</f>
        <v/>
      </c>
      <c r="V191" s="179" t="str">
        <f t="array" ref="V191">IF($F191&lt;&gt;"", XLOOKUP($F191,Productos!$A$2:$A1001,Productos!O$2:O1001,"")*$G191,"")</f>
        <v/>
      </c>
      <c r="W191" s="179" t="str">
        <f t="array" ref="W191">IF($F191&lt;&gt;"",XLOOKUP($F191,Productos!$A:$A,Productos!P:P,"Revisar"),"")</f>
        <v/>
      </c>
      <c r="X191" s="179" t="str">
        <f t="array" ref="X191">IF($F191&lt;&gt;"", XLOOKUP($F191,Productos!$A$2:$A1001,Productos!Q$2:Q1001,"")*$G191,"")</f>
        <v/>
      </c>
      <c r="Y191" s="179" t="str">
        <f t="array" ref="Y191">IF($F191&lt;&gt;"",XLOOKUP($F191,Productos!$A:$A,Productos!R:R,"Revisar"),"")</f>
        <v/>
      </c>
      <c r="Z191" s="179" t="str">
        <f t="array" ref="Z191">IF($F191&lt;&gt;"", XLOOKUP($F191,Productos!$A$2:$A1001,Productos!S$2:S1001,"")*$G191,"")</f>
        <v/>
      </c>
      <c r="AA191" s="179" t="str">
        <f t="array" ref="AA191">IF($F191&lt;&gt;"",XLOOKUP($F191,Productos!$A:$A,Productos!T:T,"Revisar"),"")</f>
        <v/>
      </c>
      <c r="AB191" s="179" t="str">
        <f t="array" ref="AB191">IF($F191&lt;&gt;"", XLOOKUP($F191,Productos!$A$2:$A1001,Productos!U$2:U1001,"")*$G191,"")</f>
        <v/>
      </c>
      <c r="AC191" s="179" t="str">
        <f t="array" ref="AC191">IF($F191&lt;&gt;"",XLOOKUP($F191,Productos!$A:$A,Productos!V:V,"Revisar"),"")</f>
        <v/>
      </c>
      <c r="AD191" s="179" t="str">
        <f t="array" ref="AD191">IF($F191&lt;&gt;"", XLOOKUP($F191,Productos!$A$2:$A1001,Productos!W$2:W1001,"")*$G191,"")</f>
        <v/>
      </c>
      <c r="AE191" s="179" t="str">
        <f t="array" ref="AE191">IF($F191&lt;&gt;"",XLOOKUP($F191,Productos!$A:$A,Productos!X:X,"Revisar"),"")</f>
        <v/>
      </c>
      <c r="AF191" s="179" t="str">
        <f t="array" ref="AF191">IF($F191&lt;&gt;"", XLOOKUP($F191,Productos!$A$2:$A1001,Productos!Y$2:Y1001,"")*$G191,"")</f>
        <v/>
      </c>
      <c r="AG191" s="179" t="str">
        <f t="array" ref="AG191">IF($F191&lt;&gt;"",XLOOKUP($F191,Productos!$A:$A,Productos!Z:Z,"Revisar"),"")</f>
        <v/>
      </c>
      <c r="AH191" s="179" t="str">
        <f t="array" ref="AH191">IF($F191&lt;&gt;"", XLOOKUP($F191,Productos!$A$2:$A1001,Productos!AA$2:AA1001,"")*$G191,"")</f>
        <v/>
      </c>
      <c r="AI191" s="179" t="str">
        <f t="array" ref="AI191">IF($F191&lt;&gt;"",XLOOKUP($F191,Productos!$A:$A,Productos!AB:AB,"Revisar"),"")</f>
        <v/>
      </c>
      <c r="AJ191" s="179" t="str">
        <f t="array" ref="AJ191">IF($F191&lt;&gt;"", XLOOKUP($F191,Productos!$A$2:$A1001,Productos!AC$2:AC1001,"")*$G191,"")</f>
        <v/>
      </c>
      <c r="AK191" s="179" t="str">
        <f t="array" ref="AK191">IF($F191&lt;&gt;"",XLOOKUP($F191,Productos!$A:$A,Productos!AD:AD,"Revisar"),"")</f>
        <v/>
      </c>
      <c r="AL191" s="179" t="str">
        <f t="array" ref="AL191">IF($F191&lt;&gt;"", XLOOKUP($F191,Productos!$A$2:$A1001,Productos!AE$2:AE1001,"")*$G191,"")</f>
        <v/>
      </c>
      <c r="AM191" s="179" t="str">
        <f t="array" ref="AM191">IF($F191&lt;&gt;"",XLOOKUP($F191,Productos!$A:$A,Productos!AF:AF,"Revisar"),"")</f>
        <v/>
      </c>
      <c r="AN191" s="179" t="str">
        <f t="array" ref="AN191">IF($F191&lt;&gt;"", XLOOKUP($F191,Productos!$A$2:$A1001,Productos!AG$2:AG1001,"")*$G191,"")</f>
        <v/>
      </c>
      <c r="AO191" s="179" t="str">
        <f t="array" ref="AO191">IF($F191&lt;&gt;"",XLOOKUP($F191,Productos!$A:$A,Productos!AH:AH,"Revisar"),"")</f>
        <v/>
      </c>
      <c r="AP191" s="179" t="str">
        <f t="array" ref="AP191">IF($F191&lt;&gt;"", XLOOKUP($F191,Productos!$A$2:$A1001,Productos!AI$2:AI1001,"")*$G191,"")</f>
        <v/>
      </c>
      <c r="AQ191" s="179" t="str">
        <f t="array" ref="AQ191">IF($F191&lt;&gt;"",XLOOKUP($F191,Productos!$A:$A,Productos!AJ:AJ,"Revisar"),"")</f>
        <v/>
      </c>
      <c r="AR191" s="179" t="str">
        <f t="array" ref="AR191">IF($F191&lt;&gt;"", XLOOKUP($F191,Productos!$A$2:$A1001,Productos!AK$2:AK1001,"")*$G191,"")</f>
        <v/>
      </c>
      <c r="AS191" s="179" t="str">
        <f t="array" ref="AS191">IF($F191&lt;&gt;"",XLOOKUP($F191,Productos!$A:$A,Productos!AL:AL,"Revisar"),"")</f>
        <v/>
      </c>
      <c r="AT191" s="179" t="str">
        <f t="array" ref="AT191">IF($F191&lt;&gt;"", XLOOKUP($F191,Productos!$A$2:$A1001,Productos!AM$2:AM1001,"")*$G191,"")</f>
        <v/>
      </c>
      <c r="AU191" s="179" t="str">
        <f t="array" ref="AU191">IF($F191&lt;&gt;"",XLOOKUP($F191,Productos!$A:$A,Productos!AN:AN,"Revisar"),"")</f>
        <v/>
      </c>
      <c r="AV191" s="179" t="str">
        <f t="array" ref="AV191">IF($F191&lt;&gt;"", XLOOKUP($F191,Productos!$A$2:$A1001,Productos!AO$2:AO1001,"")*$G191,"")</f>
        <v/>
      </c>
      <c r="AW191" s="179" t="str">
        <f t="array" ref="AW191">IF($F191&lt;&gt;"",XLOOKUP($F191,Productos!$A:$A,Productos!AP:AP,"Revisar"),"")</f>
        <v/>
      </c>
      <c r="AX191" s="179" t="str">
        <f t="array" ref="AX191">IF($F191&lt;&gt;"", XLOOKUP($F191,Productos!$A$2:$A1001,Productos!AQ$2:AQ1001,"")*$G191,"")</f>
        <v/>
      </c>
      <c r="AY191" s="179" t="str">
        <f t="array" ref="AY191">IF($F191&lt;&gt;"",XLOOKUP($F191,Productos!$A:$A,Productos!AR:AR,"Revisar"),"")</f>
        <v/>
      </c>
      <c r="AZ191" s="179" t="str">
        <f t="array" ref="AZ191">IF($F191&lt;&gt;"", XLOOKUP($F191,Productos!$A$2:$A1001,Productos!AS$2:AS1001,"")*$G191,"")</f>
        <v/>
      </c>
      <c r="BA191" s="179" t="str">
        <f t="array" ref="BA191">IF($F191&lt;&gt;"",XLOOKUP($F191,Productos!$A:$A,Productos!AT:AT,"Revisar"),"")</f>
        <v/>
      </c>
      <c r="BB191" s="179" t="str">
        <f t="array" ref="BB191">IF($F191&lt;&gt;"", XLOOKUP($F191,Productos!$A$2:$A1001,Productos!AU$2:AU1001,"")*$G191,"")</f>
        <v/>
      </c>
      <c r="BC191" s="179" t="str">
        <f t="array" ref="BC191">IF($F191&lt;&gt;"",XLOOKUP($F191,Productos!$A:$A,Productos!AV:AV,"Revisar"),"")</f>
        <v/>
      </c>
      <c r="BD191" s="179" t="str">
        <f t="array" ref="BD191">IF($F191&lt;&gt;"", XLOOKUP($F191,Productos!$A$2:$A1001,Productos!AW$2:AW1001,"")*$G191,"")</f>
        <v/>
      </c>
      <c r="BE191" s="179" t="str">
        <f t="array" ref="BE191">IF($F191&lt;&gt;"",XLOOKUP($F191,Productos!$A:$A,Productos!AX:AX,"Revisar"),"")</f>
        <v/>
      </c>
      <c r="BF191" s="179" t="str">
        <f t="array" ref="BF191">IF($F191&lt;&gt;"", XLOOKUP($F191,Productos!$A$2:$A1001,Productos!AY$2:AY1001,"")*$G191,"")</f>
        <v/>
      </c>
      <c r="BG191" s="179" t="str">
        <f t="array" ref="BG191">IF($F191&lt;&gt;"",XLOOKUP($F191,Productos!$A:$A,Productos!AZ:AZ,"Revisar"),"")</f>
        <v/>
      </c>
      <c r="BH191" s="179" t="str">
        <f t="array" ref="BH191">IF($F191&lt;&gt;"", XLOOKUP($F191,Productos!$A$2:$A1001,Productos!BA$2:BA1001,"")*$G191,"")</f>
        <v/>
      </c>
      <c r="BI191" s="179" t="str">
        <f t="array" ref="BI191">IF($F191&lt;&gt;"",XLOOKUP($F191,Productos!$A:$A,Productos!BB:BB,"Revisar"),"")</f>
        <v/>
      </c>
      <c r="BJ191" s="179" t="str">
        <f t="array" ref="BJ191">IF($F191&lt;&gt;"", XLOOKUP($F191,Productos!$A$2:$A1001,Productos!BC$2:BC1001,"")*$G191,"")</f>
        <v/>
      </c>
      <c r="BK191" s="179" t="str">
        <f t="array" ref="BK191">IF($F191&lt;&gt;"",XLOOKUP($F191,Productos!$A:$A,Productos!BD:BD,"Revisar"),"")</f>
        <v/>
      </c>
      <c r="BL191" s="179" t="str">
        <f t="array" ref="BL191">IF($F191&lt;&gt;"", XLOOKUP($F191,Productos!$A$2:$A1001,Productos!BE$2:BE1001,"")*$G191,"")</f>
        <v/>
      </c>
      <c r="BM191" s="179" t="str">
        <f t="array" ref="BM191">IF($F191&lt;&gt;"",XLOOKUP($F191,Productos!$A:$A,Productos!BF:BF,"Revisar"),"")</f>
        <v/>
      </c>
      <c r="BN191" s="179" t="str">
        <f t="array" ref="BN191">IF($F191&lt;&gt;"", XLOOKUP($F191,Productos!$A$2:$A1001,Productos!BG$2:BG1001,"")*$G191,"")</f>
        <v/>
      </c>
      <c r="BO191" s="179" t="str">
        <f t="array" ref="BO191">IF($F191&lt;&gt;"",XLOOKUP($F191,Productos!$A:$A,Productos!BH:BH,"Revisar"),"")</f>
        <v/>
      </c>
      <c r="BP191" s="179" t="str">
        <f t="array" ref="BP191">IF($F191&lt;&gt;"", XLOOKUP($F191,Productos!$A$2:$A1001,Productos!BI$2:BI1001,"")*$G191,"")</f>
        <v/>
      </c>
      <c r="BQ191" s="179" t="str">
        <f t="array" ref="BQ191">IF($F191&lt;&gt;"",XLOOKUP($F191,Productos!$A:$A,Productos!BJ:BJ,"Revisar"),"")</f>
        <v/>
      </c>
      <c r="BR191" s="179" t="str">
        <f t="array" ref="BR191">IF($F191&lt;&gt;"", XLOOKUP($F191,Productos!$A$2:$A1001,Productos!BK$2:BK1001,"")*$G191,"")</f>
        <v/>
      </c>
      <c r="BS191" s="179" t="str">
        <f t="array" ref="BS191">IF($F191&lt;&gt;"",XLOOKUP($F191,Productos!$A:$A,Productos!BL:BL,"Revisar"),"")</f>
        <v/>
      </c>
      <c r="BT191" s="179" t="str">
        <f t="array" ref="BT191">IF($F191&lt;&gt;"", XLOOKUP($F191,Productos!$A$2:$A1001,Productos!BM$2:BM1001,"")*$G191,"")</f>
        <v/>
      </c>
      <c r="BU191" s="179" t="str">
        <f t="array" ref="BU191">IF($F191&lt;&gt;"",XLOOKUP($F191,Productos!$A:$A,Productos!BN:BN,"Revisar"),"")</f>
        <v/>
      </c>
      <c r="BV191" s="179" t="str">
        <f t="array" ref="BV191">IF($F191&lt;&gt;"", XLOOKUP($F191,Productos!$A$2:$A1001,Productos!BO$2:BO1001,"")*$G191,"")</f>
        <v/>
      </c>
      <c r="BW191" s="179" t="str">
        <f t="array" ref="BW191">IF($F191&lt;&gt;"",XLOOKUP($F191,Productos!$A:$A,Productos!BP:BP,"Revisar"),"")</f>
        <v/>
      </c>
      <c r="BX191" s="179" t="str">
        <f t="array" ref="BX191">IF($F191&lt;&gt;"", XLOOKUP($F191,Productos!$A$2:$A1001,Productos!BQ$2:BQ1001,"")*$G191,"")</f>
        <v/>
      </c>
      <c r="BY191" s="179" t="str">
        <f t="array" ref="BY191">IF($F191&lt;&gt;"",XLOOKUP($F191,Productos!$A:$A,Productos!BR:BR,"Revisar"),"")</f>
        <v/>
      </c>
      <c r="BZ191" s="179" t="str">
        <f t="array" ref="BZ191">IF($F191&lt;&gt;"", XLOOKUP($F191,Productos!$A$2:$A1001,Productos!BS$2:BS1001,"")*$G191,"")</f>
        <v/>
      </c>
    </row>
    <row r="192">
      <c r="A192" s="180"/>
      <c r="B192" s="181"/>
      <c r="C192" s="182"/>
      <c r="D192" s="182"/>
      <c r="E192" s="185"/>
      <c r="F192" s="186"/>
      <c r="G192" s="187"/>
      <c r="H192" s="186"/>
      <c r="I192" s="179" t="str">
        <f t="array" ref="I192">IF($F192&lt;&gt;"",XLOOKUP($F192,Productos!$A:$A,Productos!B:B,"Revisar"),"")</f>
        <v/>
      </c>
      <c r="J192" s="179" t="str">
        <f t="array" ref="J192">IF($F192&lt;&gt;"", XLOOKUP($F192,Productos!$A$2:$A1001,Productos!C$2:C1001,"")*$G192,"")</f>
        <v/>
      </c>
      <c r="K192" s="179" t="str">
        <f t="array" ref="K192">IF($F192&lt;&gt;"",XLOOKUP($F192,Productos!$A:$A,Productos!D:D,"Revisar"),"")</f>
        <v/>
      </c>
      <c r="L192" s="179" t="str">
        <f t="array" ref="L192">IF($F192&lt;&gt;"", XLOOKUP($F192,Productos!$A$2:$A1001,Productos!E$2:E1001,"")*$G192,"")</f>
        <v/>
      </c>
      <c r="M192" s="179" t="str">
        <f t="array" ref="M192">IF($F192&lt;&gt;"",XLOOKUP($F192,Productos!$A:$A,Productos!F:F,"Revisar"),"")</f>
        <v/>
      </c>
      <c r="N192" s="179" t="str">
        <f t="array" ref="N192">IF($F192&lt;&gt;"", XLOOKUP($F192,Productos!$A$2:$A1001,Productos!G$2:G1001,"")*$G192,"")</f>
        <v/>
      </c>
      <c r="O192" s="179" t="str">
        <f t="array" ref="O192">IF($F192&lt;&gt;"",XLOOKUP($F192,Productos!$A:$A,Productos!H:H,"Revisar"),"")</f>
        <v/>
      </c>
      <c r="P192" s="179" t="str">
        <f t="array" ref="P192">IF($F192&lt;&gt;"", XLOOKUP($F192,Productos!$A$2:$A1001,Productos!I$2:I1001,"")*$G192,"")</f>
        <v/>
      </c>
      <c r="Q192" s="179" t="str">
        <f t="array" ref="Q192">IF($F192&lt;&gt;"",XLOOKUP($F192,Productos!$A:$A,Productos!J:J,"Revisar"),"")</f>
        <v/>
      </c>
      <c r="R192" s="179" t="str">
        <f t="array" ref="R192">IF($F192&lt;&gt;"", XLOOKUP($F192,Productos!$A$2:$A1001,Productos!K$2:K1001,"")*$G192,"")</f>
        <v/>
      </c>
      <c r="S192" s="179" t="str">
        <f t="array" ref="S192">IF($F192&lt;&gt;"",XLOOKUP($F192,Productos!$A:$A,Productos!L:L,"Revisar"),"")</f>
        <v/>
      </c>
      <c r="T192" s="179" t="str">
        <f t="array" ref="T192">IF($F192&lt;&gt;"", XLOOKUP($F192,Productos!$A$2:$A1001,Productos!M$2:M1001,"")*$G192,"")</f>
        <v/>
      </c>
      <c r="U192" s="179" t="str">
        <f t="array" ref="U192">IF($F192&lt;&gt;"",XLOOKUP($F192,Productos!$A:$A,Productos!N:N,"Revisar"),"")</f>
        <v/>
      </c>
      <c r="V192" s="179" t="str">
        <f t="array" ref="V192">IF($F192&lt;&gt;"", XLOOKUP($F192,Productos!$A$2:$A1001,Productos!O$2:O1001,"")*$G192,"")</f>
        <v/>
      </c>
      <c r="W192" s="179" t="str">
        <f t="array" ref="W192">IF($F192&lt;&gt;"",XLOOKUP($F192,Productos!$A:$A,Productos!P:P,"Revisar"),"")</f>
        <v/>
      </c>
      <c r="X192" s="179" t="str">
        <f t="array" ref="X192">IF($F192&lt;&gt;"", XLOOKUP($F192,Productos!$A$2:$A1001,Productos!Q$2:Q1001,"")*$G192,"")</f>
        <v/>
      </c>
      <c r="Y192" s="179" t="str">
        <f t="array" ref="Y192">IF($F192&lt;&gt;"",XLOOKUP($F192,Productos!$A:$A,Productos!R:R,"Revisar"),"")</f>
        <v/>
      </c>
      <c r="Z192" s="179" t="str">
        <f t="array" ref="Z192">IF($F192&lt;&gt;"", XLOOKUP($F192,Productos!$A$2:$A1001,Productos!S$2:S1001,"")*$G192,"")</f>
        <v/>
      </c>
      <c r="AA192" s="179" t="str">
        <f t="array" ref="AA192">IF($F192&lt;&gt;"",XLOOKUP($F192,Productos!$A:$A,Productos!T:T,"Revisar"),"")</f>
        <v/>
      </c>
      <c r="AB192" s="179" t="str">
        <f t="array" ref="AB192">IF($F192&lt;&gt;"", XLOOKUP($F192,Productos!$A$2:$A1001,Productos!U$2:U1001,"")*$G192,"")</f>
        <v/>
      </c>
      <c r="AC192" s="179" t="str">
        <f t="array" ref="AC192">IF($F192&lt;&gt;"",XLOOKUP($F192,Productos!$A:$A,Productos!V:V,"Revisar"),"")</f>
        <v/>
      </c>
      <c r="AD192" s="179" t="str">
        <f t="array" ref="AD192">IF($F192&lt;&gt;"", XLOOKUP($F192,Productos!$A$2:$A1001,Productos!W$2:W1001,"")*$G192,"")</f>
        <v/>
      </c>
      <c r="AE192" s="179" t="str">
        <f t="array" ref="AE192">IF($F192&lt;&gt;"",XLOOKUP($F192,Productos!$A:$A,Productos!X:X,"Revisar"),"")</f>
        <v/>
      </c>
      <c r="AF192" s="179" t="str">
        <f t="array" ref="AF192">IF($F192&lt;&gt;"", XLOOKUP($F192,Productos!$A$2:$A1001,Productos!Y$2:Y1001,"")*$G192,"")</f>
        <v/>
      </c>
      <c r="AG192" s="179" t="str">
        <f t="array" ref="AG192">IF($F192&lt;&gt;"",XLOOKUP($F192,Productos!$A:$A,Productos!Z:Z,"Revisar"),"")</f>
        <v/>
      </c>
      <c r="AH192" s="179" t="str">
        <f t="array" ref="AH192">IF($F192&lt;&gt;"", XLOOKUP($F192,Productos!$A$2:$A1001,Productos!AA$2:AA1001,"")*$G192,"")</f>
        <v/>
      </c>
      <c r="AI192" s="179" t="str">
        <f t="array" ref="AI192">IF($F192&lt;&gt;"",XLOOKUP($F192,Productos!$A:$A,Productos!AB:AB,"Revisar"),"")</f>
        <v/>
      </c>
      <c r="AJ192" s="179" t="str">
        <f t="array" ref="AJ192">IF($F192&lt;&gt;"", XLOOKUP($F192,Productos!$A$2:$A1001,Productos!AC$2:AC1001,"")*$G192,"")</f>
        <v/>
      </c>
      <c r="AK192" s="179" t="str">
        <f t="array" ref="AK192">IF($F192&lt;&gt;"",XLOOKUP($F192,Productos!$A:$A,Productos!AD:AD,"Revisar"),"")</f>
        <v/>
      </c>
      <c r="AL192" s="179" t="str">
        <f t="array" ref="AL192">IF($F192&lt;&gt;"", XLOOKUP($F192,Productos!$A$2:$A1001,Productos!AE$2:AE1001,"")*$G192,"")</f>
        <v/>
      </c>
      <c r="AM192" s="179" t="str">
        <f t="array" ref="AM192">IF($F192&lt;&gt;"",XLOOKUP($F192,Productos!$A:$A,Productos!AF:AF,"Revisar"),"")</f>
        <v/>
      </c>
      <c r="AN192" s="179" t="str">
        <f t="array" ref="AN192">IF($F192&lt;&gt;"", XLOOKUP($F192,Productos!$A$2:$A1001,Productos!AG$2:AG1001,"")*$G192,"")</f>
        <v/>
      </c>
      <c r="AO192" s="179" t="str">
        <f t="array" ref="AO192">IF($F192&lt;&gt;"",XLOOKUP($F192,Productos!$A:$A,Productos!AH:AH,"Revisar"),"")</f>
        <v/>
      </c>
      <c r="AP192" s="179" t="str">
        <f t="array" ref="AP192">IF($F192&lt;&gt;"", XLOOKUP($F192,Productos!$A$2:$A1001,Productos!AI$2:AI1001,"")*$G192,"")</f>
        <v/>
      </c>
      <c r="AQ192" s="179" t="str">
        <f t="array" ref="AQ192">IF($F192&lt;&gt;"",XLOOKUP($F192,Productos!$A:$A,Productos!AJ:AJ,"Revisar"),"")</f>
        <v/>
      </c>
      <c r="AR192" s="179" t="str">
        <f t="array" ref="AR192">IF($F192&lt;&gt;"", XLOOKUP($F192,Productos!$A$2:$A1001,Productos!AK$2:AK1001,"")*$G192,"")</f>
        <v/>
      </c>
      <c r="AS192" s="179" t="str">
        <f t="array" ref="AS192">IF($F192&lt;&gt;"",XLOOKUP($F192,Productos!$A:$A,Productos!AL:AL,"Revisar"),"")</f>
        <v/>
      </c>
      <c r="AT192" s="179" t="str">
        <f t="array" ref="AT192">IF($F192&lt;&gt;"", XLOOKUP($F192,Productos!$A$2:$A1001,Productos!AM$2:AM1001,"")*$G192,"")</f>
        <v/>
      </c>
      <c r="AU192" s="179" t="str">
        <f t="array" ref="AU192">IF($F192&lt;&gt;"",XLOOKUP($F192,Productos!$A:$A,Productos!AN:AN,"Revisar"),"")</f>
        <v/>
      </c>
      <c r="AV192" s="179" t="str">
        <f t="array" ref="AV192">IF($F192&lt;&gt;"", XLOOKUP($F192,Productos!$A$2:$A1001,Productos!AO$2:AO1001,"")*$G192,"")</f>
        <v/>
      </c>
      <c r="AW192" s="179" t="str">
        <f t="array" ref="AW192">IF($F192&lt;&gt;"",XLOOKUP($F192,Productos!$A:$A,Productos!AP:AP,"Revisar"),"")</f>
        <v/>
      </c>
      <c r="AX192" s="179" t="str">
        <f t="array" ref="AX192">IF($F192&lt;&gt;"", XLOOKUP($F192,Productos!$A$2:$A1001,Productos!AQ$2:AQ1001,"")*$G192,"")</f>
        <v/>
      </c>
      <c r="AY192" s="179" t="str">
        <f t="array" ref="AY192">IF($F192&lt;&gt;"",XLOOKUP($F192,Productos!$A:$A,Productos!AR:AR,"Revisar"),"")</f>
        <v/>
      </c>
      <c r="AZ192" s="179" t="str">
        <f t="array" ref="AZ192">IF($F192&lt;&gt;"", XLOOKUP($F192,Productos!$A$2:$A1001,Productos!AS$2:AS1001,"")*$G192,"")</f>
        <v/>
      </c>
      <c r="BA192" s="179" t="str">
        <f t="array" ref="BA192">IF($F192&lt;&gt;"",XLOOKUP($F192,Productos!$A:$A,Productos!AT:AT,"Revisar"),"")</f>
        <v/>
      </c>
      <c r="BB192" s="179" t="str">
        <f t="array" ref="BB192">IF($F192&lt;&gt;"", XLOOKUP($F192,Productos!$A$2:$A1001,Productos!AU$2:AU1001,"")*$G192,"")</f>
        <v/>
      </c>
      <c r="BC192" s="179" t="str">
        <f t="array" ref="BC192">IF($F192&lt;&gt;"",XLOOKUP($F192,Productos!$A:$A,Productos!AV:AV,"Revisar"),"")</f>
        <v/>
      </c>
      <c r="BD192" s="179" t="str">
        <f t="array" ref="BD192">IF($F192&lt;&gt;"", XLOOKUP($F192,Productos!$A$2:$A1001,Productos!AW$2:AW1001,"")*$G192,"")</f>
        <v/>
      </c>
      <c r="BE192" s="179" t="str">
        <f t="array" ref="BE192">IF($F192&lt;&gt;"",XLOOKUP($F192,Productos!$A:$A,Productos!AX:AX,"Revisar"),"")</f>
        <v/>
      </c>
      <c r="BF192" s="179" t="str">
        <f t="array" ref="BF192">IF($F192&lt;&gt;"", XLOOKUP($F192,Productos!$A$2:$A1001,Productos!AY$2:AY1001,"")*$G192,"")</f>
        <v/>
      </c>
      <c r="BG192" s="179" t="str">
        <f t="array" ref="BG192">IF($F192&lt;&gt;"",XLOOKUP($F192,Productos!$A:$A,Productos!AZ:AZ,"Revisar"),"")</f>
        <v/>
      </c>
      <c r="BH192" s="179" t="str">
        <f t="array" ref="BH192">IF($F192&lt;&gt;"", XLOOKUP($F192,Productos!$A$2:$A1001,Productos!BA$2:BA1001,"")*$G192,"")</f>
        <v/>
      </c>
      <c r="BI192" s="179" t="str">
        <f t="array" ref="BI192">IF($F192&lt;&gt;"",XLOOKUP($F192,Productos!$A:$A,Productos!BB:BB,"Revisar"),"")</f>
        <v/>
      </c>
      <c r="BJ192" s="179" t="str">
        <f t="array" ref="BJ192">IF($F192&lt;&gt;"", XLOOKUP($F192,Productos!$A$2:$A1001,Productos!BC$2:BC1001,"")*$G192,"")</f>
        <v/>
      </c>
      <c r="BK192" s="179" t="str">
        <f t="array" ref="BK192">IF($F192&lt;&gt;"",XLOOKUP($F192,Productos!$A:$A,Productos!BD:BD,"Revisar"),"")</f>
        <v/>
      </c>
      <c r="BL192" s="179" t="str">
        <f t="array" ref="BL192">IF($F192&lt;&gt;"", XLOOKUP($F192,Productos!$A$2:$A1001,Productos!BE$2:BE1001,"")*$G192,"")</f>
        <v/>
      </c>
      <c r="BM192" s="179" t="str">
        <f t="array" ref="BM192">IF($F192&lt;&gt;"",XLOOKUP($F192,Productos!$A:$A,Productos!BF:BF,"Revisar"),"")</f>
        <v/>
      </c>
      <c r="BN192" s="179" t="str">
        <f t="array" ref="BN192">IF($F192&lt;&gt;"", XLOOKUP($F192,Productos!$A$2:$A1001,Productos!BG$2:BG1001,"")*$G192,"")</f>
        <v/>
      </c>
      <c r="BO192" s="179" t="str">
        <f t="array" ref="BO192">IF($F192&lt;&gt;"",XLOOKUP($F192,Productos!$A:$A,Productos!BH:BH,"Revisar"),"")</f>
        <v/>
      </c>
      <c r="BP192" s="179" t="str">
        <f t="array" ref="BP192">IF($F192&lt;&gt;"", XLOOKUP($F192,Productos!$A$2:$A1001,Productos!BI$2:BI1001,"")*$G192,"")</f>
        <v/>
      </c>
      <c r="BQ192" s="179" t="str">
        <f t="array" ref="BQ192">IF($F192&lt;&gt;"",XLOOKUP($F192,Productos!$A:$A,Productos!BJ:BJ,"Revisar"),"")</f>
        <v/>
      </c>
      <c r="BR192" s="179" t="str">
        <f t="array" ref="BR192">IF($F192&lt;&gt;"", XLOOKUP($F192,Productos!$A$2:$A1001,Productos!BK$2:BK1001,"")*$G192,"")</f>
        <v/>
      </c>
      <c r="BS192" s="179" t="str">
        <f t="array" ref="BS192">IF($F192&lt;&gt;"",XLOOKUP($F192,Productos!$A:$A,Productos!BL:BL,"Revisar"),"")</f>
        <v/>
      </c>
      <c r="BT192" s="179" t="str">
        <f t="array" ref="BT192">IF($F192&lt;&gt;"", XLOOKUP($F192,Productos!$A$2:$A1001,Productos!BM$2:BM1001,"")*$G192,"")</f>
        <v/>
      </c>
      <c r="BU192" s="179" t="str">
        <f t="array" ref="BU192">IF($F192&lt;&gt;"",XLOOKUP($F192,Productos!$A:$A,Productos!BN:BN,"Revisar"),"")</f>
        <v/>
      </c>
      <c r="BV192" s="179" t="str">
        <f t="array" ref="BV192">IF($F192&lt;&gt;"", XLOOKUP($F192,Productos!$A$2:$A1001,Productos!BO$2:BO1001,"")*$G192,"")</f>
        <v/>
      </c>
      <c r="BW192" s="179" t="str">
        <f t="array" ref="BW192">IF($F192&lt;&gt;"",XLOOKUP($F192,Productos!$A:$A,Productos!BP:BP,"Revisar"),"")</f>
        <v/>
      </c>
      <c r="BX192" s="179" t="str">
        <f t="array" ref="BX192">IF($F192&lt;&gt;"", XLOOKUP($F192,Productos!$A$2:$A1001,Productos!BQ$2:BQ1001,"")*$G192,"")</f>
        <v/>
      </c>
      <c r="BY192" s="179" t="str">
        <f t="array" ref="BY192">IF($F192&lt;&gt;"",XLOOKUP($F192,Productos!$A:$A,Productos!BR:BR,"Revisar"),"")</f>
        <v/>
      </c>
      <c r="BZ192" s="179" t="str">
        <f t="array" ref="BZ192">IF($F192&lt;&gt;"", XLOOKUP($F192,Productos!$A$2:$A1001,Productos!BS$2:BS1001,"")*$G192,"")</f>
        <v/>
      </c>
    </row>
    <row r="193">
      <c r="A193" s="180"/>
      <c r="B193" s="181"/>
      <c r="C193" s="182"/>
      <c r="D193" s="182"/>
      <c r="E193" s="185"/>
      <c r="F193" s="186"/>
      <c r="G193" s="187"/>
      <c r="H193" s="186"/>
      <c r="I193" s="179" t="str">
        <f t="array" ref="I193">IF($F193&lt;&gt;"",XLOOKUP($F193,Productos!$A:$A,Productos!B:B,"Revisar"),"")</f>
        <v/>
      </c>
      <c r="J193" s="179" t="str">
        <f t="array" ref="J193">IF($F193&lt;&gt;"", XLOOKUP($F193,Productos!$A$2:$A1001,Productos!C$2:C1001,"")*$G193,"")</f>
        <v/>
      </c>
      <c r="K193" s="179" t="str">
        <f t="array" ref="K193">IF($F193&lt;&gt;"",XLOOKUP($F193,Productos!$A:$A,Productos!D:D,"Revisar"),"")</f>
        <v/>
      </c>
      <c r="L193" s="179" t="str">
        <f t="array" ref="L193">IF($F193&lt;&gt;"", XLOOKUP($F193,Productos!$A$2:$A1001,Productos!E$2:E1001,"")*$G193,"")</f>
        <v/>
      </c>
      <c r="M193" s="179" t="str">
        <f t="array" ref="M193">IF($F193&lt;&gt;"",XLOOKUP($F193,Productos!$A:$A,Productos!F:F,"Revisar"),"")</f>
        <v/>
      </c>
      <c r="N193" s="179" t="str">
        <f t="array" ref="N193">IF($F193&lt;&gt;"", XLOOKUP($F193,Productos!$A$2:$A1001,Productos!G$2:G1001,"")*$G193,"")</f>
        <v/>
      </c>
      <c r="O193" s="179" t="str">
        <f t="array" ref="O193">IF($F193&lt;&gt;"",XLOOKUP($F193,Productos!$A:$A,Productos!H:H,"Revisar"),"")</f>
        <v/>
      </c>
      <c r="P193" s="179" t="str">
        <f t="array" ref="P193">IF($F193&lt;&gt;"", XLOOKUP($F193,Productos!$A$2:$A1001,Productos!I$2:I1001,"")*$G193,"")</f>
        <v/>
      </c>
      <c r="Q193" s="179" t="str">
        <f t="array" ref="Q193">IF($F193&lt;&gt;"",XLOOKUP($F193,Productos!$A:$A,Productos!J:J,"Revisar"),"")</f>
        <v/>
      </c>
      <c r="R193" s="179" t="str">
        <f t="array" ref="R193">IF($F193&lt;&gt;"", XLOOKUP($F193,Productos!$A$2:$A1001,Productos!K$2:K1001,"")*$G193,"")</f>
        <v/>
      </c>
      <c r="S193" s="179" t="str">
        <f t="array" ref="S193">IF($F193&lt;&gt;"",XLOOKUP($F193,Productos!$A:$A,Productos!L:L,"Revisar"),"")</f>
        <v/>
      </c>
      <c r="T193" s="179" t="str">
        <f t="array" ref="T193">IF($F193&lt;&gt;"", XLOOKUP($F193,Productos!$A$2:$A1001,Productos!M$2:M1001,"")*$G193,"")</f>
        <v/>
      </c>
      <c r="U193" s="179" t="str">
        <f t="array" ref="U193">IF($F193&lt;&gt;"",XLOOKUP($F193,Productos!$A:$A,Productos!N:N,"Revisar"),"")</f>
        <v/>
      </c>
      <c r="V193" s="179" t="str">
        <f t="array" ref="V193">IF($F193&lt;&gt;"", XLOOKUP($F193,Productos!$A$2:$A1001,Productos!O$2:O1001,"")*$G193,"")</f>
        <v/>
      </c>
      <c r="W193" s="179" t="str">
        <f t="array" ref="W193">IF($F193&lt;&gt;"",XLOOKUP($F193,Productos!$A:$A,Productos!P:P,"Revisar"),"")</f>
        <v/>
      </c>
      <c r="X193" s="179" t="str">
        <f t="array" ref="X193">IF($F193&lt;&gt;"", XLOOKUP($F193,Productos!$A$2:$A1001,Productos!Q$2:Q1001,"")*$G193,"")</f>
        <v/>
      </c>
      <c r="Y193" s="179" t="str">
        <f t="array" ref="Y193">IF($F193&lt;&gt;"",XLOOKUP($F193,Productos!$A:$A,Productos!R:R,"Revisar"),"")</f>
        <v/>
      </c>
      <c r="Z193" s="179" t="str">
        <f t="array" ref="Z193">IF($F193&lt;&gt;"", XLOOKUP($F193,Productos!$A$2:$A1001,Productos!S$2:S1001,"")*$G193,"")</f>
        <v/>
      </c>
      <c r="AA193" s="179" t="str">
        <f t="array" ref="AA193">IF($F193&lt;&gt;"",XLOOKUP($F193,Productos!$A:$A,Productos!T:T,"Revisar"),"")</f>
        <v/>
      </c>
      <c r="AB193" s="179" t="str">
        <f t="array" ref="AB193">IF($F193&lt;&gt;"", XLOOKUP($F193,Productos!$A$2:$A1001,Productos!U$2:U1001,"")*$G193,"")</f>
        <v/>
      </c>
      <c r="AC193" s="179" t="str">
        <f t="array" ref="AC193">IF($F193&lt;&gt;"",XLOOKUP($F193,Productos!$A:$A,Productos!V:V,"Revisar"),"")</f>
        <v/>
      </c>
      <c r="AD193" s="179" t="str">
        <f t="array" ref="AD193">IF($F193&lt;&gt;"", XLOOKUP($F193,Productos!$A$2:$A1001,Productos!W$2:W1001,"")*$G193,"")</f>
        <v/>
      </c>
      <c r="AE193" s="179" t="str">
        <f t="array" ref="AE193">IF($F193&lt;&gt;"",XLOOKUP($F193,Productos!$A:$A,Productos!X:X,"Revisar"),"")</f>
        <v/>
      </c>
      <c r="AF193" s="179" t="str">
        <f t="array" ref="AF193">IF($F193&lt;&gt;"", XLOOKUP($F193,Productos!$A$2:$A1001,Productos!Y$2:Y1001,"")*$G193,"")</f>
        <v/>
      </c>
      <c r="AG193" s="179" t="str">
        <f t="array" ref="AG193">IF($F193&lt;&gt;"",XLOOKUP($F193,Productos!$A:$A,Productos!Z:Z,"Revisar"),"")</f>
        <v/>
      </c>
      <c r="AH193" s="179" t="str">
        <f t="array" ref="AH193">IF($F193&lt;&gt;"", XLOOKUP($F193,Productos!$A$2:$A1001,Productos!AA$2:AA1001,"")*$G193,"")</f>
        <v/>
      </c>
      <c r="AI193" s="179" t="str">
        <f t="array" ref="AI193">IF($F193&lt;&gt;"",XLOOKUP($F193,Productos!$A:$A,Productos!AB:AB,"Revisar"),"")</f>
        <v/>
      </c>
      <c r="AJ193" s="179" t="str">
        <f t="array" ref="AJ193">IF($F193&lt;&gt;"", XLOOKUP($F193,Productos!$A$2:$A1001,Productos!AC$2:AC1001,"")*$G193,"")</f>
        <v/>
      </c>
      <c r="AK193" s="179" t="str">
        <f t="array" ref="AK193">IF($F193&lt;&gt;"",XLOOKUP($F193,Productos!$A:$A,Productos!AD:AD,"Revisar"),"")</f>
        <v/>
      </c>
      <c r="AL193" s="179" t="str">
        <f t="array" ref="AL193">IF($F193&lt;&gt;"", XLOOKUP($F193,Productos!$A$2:$A1001,Productos!AE$2:AE1001,"")*$G193,"")</f>
        <v/>
      </c>
      <c r="AM193" s="179" t="str">
        <f t="array" ref="AM193">IF($F193&lt;&gt;"",XLOOKUP($F193,Productos!$A:$A,Productos!AF:AF,"Revisar"),"")</f>
        <v/>
      </c>
      <c r="AN193" s="179" t="str">
        <f t="array" ref="AN193">IF($F193&lt;&gt;"", XLOOKUP($F193,Productos!$A$2:$A1001,Productos!AG$2:AG1001,"")*$G193,"")</f>
        <v/>
      </c>
      <c r="AO193" s="179" t="str">
        <f t="array" ref="AO193">IF($F193&lt;&gt;"",XLOOKUP($F193,Productos!$A:$A,Productos!AH:AH,"Revisar"),"")</f>
        <v/>
      </c>
      <c r="AP193" s="179" t="str">
        <f t="array" ref="AP193">IF($F193&lt;&gt;"", XLOOKUP($F193,Productos!$A$2:$A1001,Productos!AI$2:AI1001,"")*$G193,"")</f>
        <v/>
      </c>
      <c r="AQ193" s="179" t="str">
        <f t="array" ref="AQ193">IF($F193&lt;&gt;"",XLOOKUP($F193,Productos!$A:$A,Productos!AJ:AJ,"Revisar"),"")</f>
        <v/>
      </c>
      <c r="AR193" s="179" t="str">
        <f t="array" ref="AR193">IF($F193&lt;&gt;"", XLOOKUP($F193,Productos!$A$2:$A1001,Productos!AK$2:AK1001,"")*$G193,"")</f>
        <v/>
      </c>
      <c r="AS193" s="179" t="str">
        <f t="array" ref="AS193">IF($F193&lt;&gt;"",XLOOKUP($F193,Productos!$A:$A,Productos!AL:AL,"Revisar"),"")</f>
        <v/>
      </c>
      <c r="AT193" s="179" t="str">
        <f t="array" ref="AT193">IF($F193&lt;&gt;"", XLOOKUP($F193,Productos!$A$2:$A1001,Productos!AM$2:AM1001,"")*$G193,"")</f>
        <v/>
      </c>
      <c r="AU193" s="179" t="str">
        <f t="array" ref="AU193">IF($F193&lt;&gt;"",XLOOKUP($F193,Productos!$A:$A,Productos!AN:AN,"Revisar"),"")</f>
        <v/>
      </c>
      <c r="AV193" s="179" t="str">
        <f t="array" ref="AV193">IF($F193&lt;&gt;"", XLOOKUP($F193,Productos!$A$2:$A1001,Productos!AO$2:AO1001,"")*$G193,"")</f>
        <v/>
      </c>
      <c r="AW193" s="179" t="str">
        <f t="array" ref="AW193">IF($F193&lt;&gt;"",XLOOKUP($F193,Productos!$A:$A,Productos!AP:AP,"Revisar"),"")</f>
        <v/>
      </c>
      <c r="AX193" s="179" t="str">
        <f t="array" ref="AX193">IF($F193&lt;&gt;"", XLOOKUP($F193,Productos!$A$2:$A1001,Productos!AQ$2:AQ1001,"")*$G193,"")</f>
        <v/>
      </c>
      <c r="AY193" s="179" t="str">
        <f t="array" ref="AY193">IF($F193&lt;&gt;"",XLOOKUP($F193,Productos!$A:$A,Productos!AR:AR,"Revisar"),"")</f>
        <v/>
      </c>
      <c r="AZ193" s="179" t="str">
        <f t="array" ref="AZ193">IF($F193&lt;&gt;"", XLOOKUP($F193,Productos!$A$2:$A1001,Productos!AS$2:AS1001,"")*$G193,"")</f>
        <v/>
      </c>
      <c r="BA193" s="179" t="str">
        <f t="array" ref="BA193">IF($F193&lt;&gt;"",XLOOKUP($F193,Productos!$A:$A,Productos!AT:AT,"Revisar"),"")</f>
        <v/>
      </c>
      <c r="BB193" s="179" t="str">
        <f t="array" ref="BB193">IF($F193&lt;&gt;"", XLOOKUP($F193,Productos!$A$2:$A1001,Productos!AU$2:AU1001,"")*$G193,"")</f>
        <v/>
      </c>
      <c r="BC193" s="179" t="str">
        <f t="array" ref="BC193">IF($F193&lt;&gt;"",XLOOKUP($F193,Productos!$A:$A,Productos!AV:AV,"Revisar"),"")</f>
        <v/>
      </c>
      <c r="BD193" s="179" t="str">
        <f t="array" ref="BD193">IF($F193&lt;&gt;"", XLOOKUP($F193,Productos!$A$2:$A1001,Productos!AW$2:AW1001,"")*$G193,"")</f>
        <v/>
      </c>
      <c r="BE193" s="179" t="str">
        <f t="array" ref="BE193">IF($F193&lt;&gt;"",XLOOKUP($F193,Productos!$A:$A,Productos!AX:AX,"Revisar"),"")</f>
        <v/>
      </c>
      <c r="BF193" s="179" t="str">
        <f t="array" ref="BF193">IF($F193&lt;&gt;"", XLOOKUP($F193,Productos!$A$2:$A1001,Productos!AY$2:AY1001,"")*$G193,"")</f>
        <v/>
      </c>
      <c r="BG193" s="179" t="str">
        <f t="array" ref="BG193">IF($F193&lt;&gt;"",XLOOKUP($F193,Productos!$A:$A,Productos!AZ:AZ,"Revisar"),"")</f>
        <v/>
      </c>
      <c r="BH193" s="179" t="str">
        <f t="array" ref="BH193">IF($F193&lt;&gt;"", XLOOKUP($F193,Productos!$A$2:$A1001,Productos!BA$2:BA1001,"")*$G193,"")</f>
        <v/>
      </c>
      <c r="BI193" s="179" t="str">
        <f t="array" ref="BI193">IF($F193&lt;&gt;"",XLOOKUP($F193,Productos!$A:$A,Productos!BB:BB,"Revisar"),"")</f>
        <v/>
      </c>
      <c r="BJ193" s="179" t="str">
        <f t="array" ref="BJ193">IF($F193&lt;&gt;"", XLOOKUP($F193,Productos!$A$2:$A1001,Productos!BC$2:BC1001,"")*$G193,"")</f>
        <v/>
      </c>
      <c r="BK193" s="179" t="str">
        <f t="array" ref="BK193">IF($F193&lt;&gt;"",XLOOKUP($F193,Productos!$A:$A,Productos!BD:BD,"Revisar"),"")</f>
        <v/>
      </c>
      <c r="BL193" s="179" t="str">
        <f t="array" ref="BL193">IF($F193&lt;&gt;"", XLOOKUP($F193,Productos!$A$2:$A1001,Productos!BE$2:BE1001,"")*$G193,"")</f>
        <v/>
      </c>
      <c r="BM193" s="179" t="str">
        <f t="array" ref="BM193">IF($F193&lt;&gt;"",XLOOKUP($F193,Productos!$A:$A,Productos!BF:BF,"Revisar"),"")</f>
        <v/>
      </c>
      <c r="BN193" s="179" t="str">
        <f t="array" ref="BN193">IF($F193&lt;&gt;"", XLOOKUP($F193,Productos!$A$2:$A1001,Productos!BG$2:BG1001,"")*$G193,"")</f>
        <v/>
      </c>
      <c r="BO193" s="179" t="str">
        <f t="array" ref="BO193">IF($F193&lt;&gt;"",XLOOKUP($F193,Productos!$A:$A,Productos!BH:BH,"Revisar"),"")</f>
        <v/>
      </c>
      <c r="BP193" s="179" t="str">
        <f t="array" ref="BP193">IF($F193&lt;&gt;"", XLOOKUP($F193,Productos!$A$2:$A1001,Productos!BI$2:BI1001,"")*$G193,"")</f>
        <v/>
      </c>
      <c r="BQ193" s="179" t="str">
        <f t="array" ref="BQ193">IF($F193&lt;&gt;"",XLOOKUP($F193,Productos!$A:$A,Productos!BJ:BJ,"Revisar"),"")</f>
        <v/>
      </c>
      <c r="BR193" s="179" t="str">
        <f t="array" ref="BR193">IF($F193&lt;&gt;"", XLOOKUP($F193,Productos!$A$2:$A1001,Productos!BK$2:BK1001,"")*$G193,"")</f>
        <v/>
      </c>
      <c r="BS193" s="179" t="str">
        <f t="array" ref="BS193">IF($F193&lt;&gt;"",XLOOKUP($F193,Productos!$A:$A,Productos!BL:BL,"Revisar"),"")</f>
        <v/>
      </c>
      <c r="BT193" s="179" t="str">
        <f t="array" ref="BT193">IF($F193&lt;&gt;"", XLOOKUP($F193,Productos!$A$2:$A1001,Productos!BM$2:BM1001,"")*$G193,"")</f>
        <v/>
      </c>
      <c r="BU193" s="179" t="str">
        <f t="array" ref="BU193">IF($F193&lt;&gt;"",XLOOKUP($F193,Productos!$A:$A,Productos!BN:BN,"Revisar"),"")</f>
        <v/>
      </c>
      <c r="BV193" s="179" t="str">
        <f t="array" ref="BV193">IF($F193&lt;&gt;"", XLOOKUP($F193,Productos!$A$2:$A1001,Productos!BO$2:BO1001,"")*$G193,"")</f>
        <v/>
      </c>
      <c r="BW193" s="179" t="str">
        <f t="array" ref="BW193">IF($F193&lt;&gt;"",XLOOKUP($F193,Productos!$A:$A,Productos!BP:BP,"Revisar"),"")</f>
        <v/>
      </c>
      <c r="BX193" s="179" t="str">
        <f t="array" ref="BX193">IF($F193&lt;&gt;"", XLOOKUP($F193,Productos!$A$2:$A1001,Productos!BQ$2:BQ1001,"")*$G193,"")</f>
        <v/>
      </c>
      <c r="BY193" s="179" t="str">
        <f t="array" ref="BY193">IF($F193&lt;&gt;"",XLOOKUP($F193,Productos!$A:$A,Productos!BR:BR,"Revisar"),"")</f>
        <v/>
      </c>
      <c r="BZ193" s="179" t="str">
        <f t="array" ref="BZ193">IF($F193&lt;&gt;"", XLOOKUP($F193,Productos!$A$2:$A1001,Productos!BS$2:BS1001,"")*$G193,"")</f>
        <v/>
      </c>
    </row>
    <row r="194">
      <c r="A194" s="180"/>
      <c r="B194" s="181"/>
      <c r="C194" s="182"/>
      <c r="D194" s="182"/>
      <c r="E194" s="185"/>
      <c r="F194" s="186"/>
      <c r="G194" s="187"/>
      <c r="H194" s="186"/>
      <c r="I194" s="179" t="str">
        <f t="array" ref="I194">IF($F194&lt;&gt;"",XLOOKUP($F194,Productos!$A:$A,Productos!B:B,"Revisar"),"")</f>
        <v/>
      </c>
      <c r="J194" s="179" t="str">
        <f t="array" ref="J194">IF($F194&lt;&gt;"", XLOOKUP($F194,Productos!$A$2:$A1001,Productos!C$2:C1001,"")*$G194,"")</f>
        <v/>
      </c>
      <c r="K194" s="179" t="str">
        <f t="array" ref="K194">IF($F194&lt;&gt;"",XLOOKUP($F194,Productos!$A:$A,Productos!D:D,"Revisar"),"")</f>
        <v/>
      </c>
      <c r="L194" s="179" t="str">
        <f t="array" ref="L194">IF($F194&lt;&gt;"", XLOOKUP($F194,Productos!$A$2:$A1001,Productos!E$2:E1001,"")*$G194,"")</f>
        <v/>
      </c>
      <c r="M194" s="179" t="str">
        <f t="array" ref="M194">IF($F194&lt;&gt;"",XLOOKUP($F194,Productos!$A:$A,Productos!F:F,"Revisar"),"")</f>
        <v/>
      </c>
      <c r="N194" s="179" t="str">
        <f t="array" ref="N194">IF($F194&lt;&gt;"", XLOOKUP($F194,Productos!$A$2:$A1001,Productos!G$2:G1001,"")*$G194,"")</f>
        <v/>
      </c>
      <c r="O194" s="179" t="str">
        <f t="array" ref="O194">IF($F194&lt;&gt;"",XLOOKUP($F194,Productos!$A:$A,Productos!H:H,"Revisar"),"")</f>
        <v/>
      </c>
      <c r="P194" s="179" t="str">
        <f t="array" ref="P194">IF($F194&lt;&gt;"", XLOOKUP($F194,Productos!$A$2:$A1001,Productos!I$2:I1001,"")*$G194,"")</f>
        <v/>
      </c>
      <c r="Q194" s="179" t="str">
        <f t="array" ref="Q194">IF($F194&lt;&gt;"",XLOOKUP($F194,Productos!$A:$A,Productos!J:J,"Revisar"),"")</f>
        <v/>
      </c>
      <c r="R194" s="179" t="str">
        <f t="array" ref="R194">IF($F194&lt;&gt;"", XLOOKUP($F194,Productos!$A$2:$A1001,Productos!K$2:K1001,"")*$G194,"")</f>
        <v/>
      </c>
      <c r="S194" s="179" t="str">
        <f t="array" ref="S194">IF($F194&lt;&gt;"",XLOOKUP($F194,Productos!$A:$A,Productos!L:L,"Revisar"),"")</f>
        <v/>
      </c>
      <c r="T194" s="179" t="str">
        <f t="array" ref="T194">IF($F194&lt;&gt;"", XLOOKUP($F194,Productos!$A$2:$A1001,Productos!M$2:M1001,"")*$G194,"")</f>
        <v/>
      </c>
      <c r="U194" s="179" t="str">
        <f t="array" ref="U194">IF($F194&lt;&gt;"",XLOOKUP($F194,Productos!$A:$A,Productos!N:N,"Revisar"),"")</f>
        <v/>
      </c>
      <c r="V194" s="179" t="str">
        <f t="array" ref="V194">IF($F194&lt;&gt;"", XLOOKUP($F194,Productos!$A$2:$A1001,Productos!O$2:O1001,"")*$G194,"")</f>
        <v/>
      </c>
      <c r="W194" s="179" t="str">
        <f t="array" ref="W194">IF($F194&lt;&gt;"",XLOOKUP($F194,Productos!$A:$A,Productos!P:P,"Revisar"),"")</f>
        <v/>
      </c>
      <c r="X194" s="179" t="str">
        <f t="array" ref="X194">IF($F194&lt;&gt;"", XLOOKUP($F194,Productos!$A$2:$A1001,Productos!Q$2:Q1001,"")*$G194,"")</f>
        <v/>
      </c>
      <c r="Y194" s="179" t="str">
        <f t="array" ref="Y194">IF($F194&lt;&gt;"",XLOOKUP($F194,Productos!$A:$A,Productos!R:R,"Revisar"),"")</f>
        <v/>
      </c>
      <c r="Z194" s="179" t="str">
        <f t="array" ref="Z194">IF($F194&lt;&gt;"", XLOOKUP($F194,Productos!$A$2:$A1001,Productos!S$2:S1001,"")*$G194,"")</f>
        <v/>
      </c>
      <c r="AA194" s="179" t="str">
        <f t="array" ref="AA194">IF($F194&lt;&gt;"",XLOOKUP($F194,Productos!$A:$A,Productos!T:T,"Revisar"),"")</f>
        <v/>
      </c>
      <c r="AB194" s="179" t="str">
        <f t="array" ref="AB194">IF($F194&lt;&gt;"", XLOOKUP($F194,Productos!$A$2:$A1001,Productos!U$2:U1001,"")*$G194,"")</f>
        <v/>
      </c>
      <c r="AC194" s="179" t="str">
        <f t="array" ref="AC194">IF($F194&lt;&gt;"",XLOOKUP($F194,Productos!$A:$A,Productos!V:V,"Revisar"),"")</f>
        <v/>
      </c>
      <c r="AD194" s="179" t="str">
        <f t="array" ref="AD194">IF($F194&lt;&gt;"", XLOOKUP($F194,Productos!$A$2:$A1001,Productos!W$2:W1001,"")*$G194,"")</f>
        <v/>
      </c>
      <c r="AE194" s="179" t="str">
        <f t="array" ref="AE194">IF($F194&lt;&gt;"",XLOOKUP($F194,Productos!$A:$A,Productos!X:X,"Revisar"),"")</f>
        <v/>
      </c>
      <c r="AF194" s="179" t="str">
        <f t="array" ref="AF194">IF($F194&lt;&gt;"", XLOOKUP($F194,Productos!$A$2:$A1001,Productos!Y$2:Y1001,"")*$G194,"")</f>
        <v/>
      </c>
      <c r="AG194" s="179" t="str">
        <f t="array" ref="AG194">IF($F194&lt;&gt;"",XLOOKUP($F194,Productos!$A:$A,Productos!Z:Z,"Revisar"),"")</f>
        <v/>
      </c>
      <c r="AH194" s="179" t="str">
        <f t="array" ref="AH194">IF($F194&lt;&gt;"", XLOOKUP($F194,Productos!$A$2:$A1001,Productos!AA$2:AA1001,"")*$G194,"")</f>
        <v/>
      </c>
      <c r="AI194" s="179" t="str">
        <f t="array" ref="AI194">IF($F194&lt;&gt;"",XLOOKUP($F194,Productos!$A:$A,Productos!AB:AB,"Revisar"),"")</f>
        <v/>
      </c>
      <c r="AJ194" s="179" t="str">
        <f t="array" ref="AJ194">IF($F194&lt;&gt;"", XLOOKUP($F194,Productos!$A$2:$A1001,Productos!AC$2:AC1001,"")*$G194,"")</f>
        <v/>
      </c>
      <c r="AK194" s="179" t="str">
        <f t="array" ref="AK194">IF($F194&lt;&gt;"",XLOOKUP($F194,Productos!$A:$A,Productos!AD:AD,"Revisar"),"")</f>
        <v/>
      </c>
      <c r="AL194" s="179" t="str">
        <f t="array" ref="AL194">IF($F194&lt;&gt;"", XLOOKUP($F194,Productos!$A$2:$A1001,Productos!AE$2:AE1001,"")*$G194,"")</f>
        <v/>
      </c>
      <c r="AM194" s="179" t="str">
        <f t="array" ref="AM194">IF($F194&lt;&gt;"",XLOOKUP($F194,Productos!$A:$A,Productos!AF:AF,"Revisar"),"")</f>
        <v/>
      </c>
      <c r="AN194" s="179" t="str">
        <f t="array" ref="AN194">IF($F194&lt;&gt;"", XLOOKUP($F194,Productos!$A$2:$A1001,Productos!AG$2:AG1001,"")*$G194,"")</f>
        <v/>
      </c>
      <c r="AO194" s="179" t="str">
        <f t="array" ref="AO194">IF($F194&lt;&gt;"",XLOOKUP($F194,Productos!$A:$A,Productos!AH:AH,"Revisar"),"")</f>
        <v/>
      </c>
      <c r="AP194" s="179" t="str">
        <f t="array" ref="AP194">IF($F194&lt;&gt;"", XLOOKUP($F194,Productos!$A$2:$A1001,Productos!AI$2:AI1001,"")*$G194,"")</f>
        <v/>
      </c>
      <c r="AQ194" s="179" t="str">
        <f t="array" ref="AQ194">IF($F194&lt;&gt;"",XLOOKUP($F194,Productos!$A:$A,Productos!AJ:AJ,"Revisar"),"")</f>
        <v/>
      </c>
      <c r="AR194" s="179" t="str">
        <f t="array" ref="AR194">IF($F194&lt;&gt;"", XLOOKUP($F194,Productos!$A$2:$A1001,Productos!AK$2:AK1001,"")*$G194,"")</f>
        <v/>
      </c>
      <c r="AS194" s="179" t="str">
        <f t="array" ref="AS194">IF($F194&lt;&gt;"",XLOOKUP($F194,Productos!$A:$A,Productos!AL:AL,"Revisar"),"")</f>
        <v/>
      </c>
      <c r="AT194" s="179" t="str">
        <f t="array" ref="AT194">IF($F194&lt;&gt;"", XLOOKUP($F194,Productos!$A$2:$A1001,Productos!AM$2:AM1001,"")*$G194,"")</f>
        <v/>
      </c>
      <c r="AU194" s="179" t="str">
        <f t="array" ref="AU194">IF($F194&lt;&gt;"",XLOOKUP($F194,Productos!$A:$A,Productos!AN:AN,"Revisar"),"")</f>
        <v/>
      </c>
      <c r="AV194" s="179" t="str">
        <f t="array" ref="AV194">IF($F194&lt;&gt;"", XLOOKUP($F194,Productos!$A$2:$A1001,Productos!AO$2:AO1001,"")*$G194,"")</f>
        <v/>
      </c>
      <c r="AW194" s="179" t="str">
        <f t="array" ref="AW194">IF($F194&lt;&gt;"",XLOOKUP($F194,Productos!$A:$A,Productos!AP:AP,"Revisar"),"")</f>
        <v/>
      </c>
      <c r="AX194" s="179" t="str">
        <f t="array" ref="AX194">IF($F194&lt;&gt;"", XLOOKUP($F194,Productos!$A$2:$A1001,Productos!AQ$2:AQ1001,"")*$G194,"")</f>
        <v/>
      </c>
      <c r="AY194" s="179" t="str">
        <f t="array" ref="AY194">IF($F194&lt;&gt;"",XLOOKUP($F194,Productos!$A:$A,Productos!AR:AR,"Revisar"),"")</f>
        <v/>
      </c>
      <c r="AZ194" s="179" t="str">
        <f t="array" ref="AZ194">IF($F194&lt;&gt;"", XLOOKUP($F194,Productos!$A$2:$A1001,Productos!AS$2:AS1001,"")*$G194,"")</f>
        <v/>
      </c>
      <c r="BA194" s="179" t="str">
        <f t="array" ref="BA194">IF($F194&lt;&gt;"",XLOOKUP($F194,Productos!$A:$A,Productos!AT:AT,"Revisar"),"")</f>
        <v/>
      </c>
      <c r="BB194" s="179" t="str">
        <f t="array" ref="BB194">IF($F194&lt;&gt;"", XLOOKUP($F194,Productos!$A$2:$A1001,Productos!AU$2:AU1001,"")*$G194,"")</f>
        <v/>
      </c>
      <c r="BC194" s="179" t="str">
        <f t="array" ref="BC194">IF($F194&lt;&gt;"",XLOOKUP($F194,Productos!$A:$A,Productos!AV:AV,"Revisar"),"")</f>
        <v/>
      </c>
      <c r="BD194" s="179" t="str">
        <f t="array" ref="BD194">IF($F194&lt;&gt;"", XLOOKUP($F194,Productos!$A$2:$A1001,Productos!AW$2:AW1001,"")*$G194,"")</f>
        <v/>
      </c>
      <c r="BE194" s="179" t="str">
        <f t="array" ref="BE194">IF($F194&lt;&gt;"",XLOOKUP($F194,Productos!$A:$A,Productos!AX:AX,"Revisar"),"")</f>
        <v/>
      </c>
      <c r="BF194" s="179" t="str">
        <f t="array" ref="BF194">IF($F194&lt;&gt;"", XLOOKUP($F194,Productos!$A$2:$A1001,Productos!AY$2:AY1001,"")*$G194,"")</f>
        <v/>
      </c>
      <c r="BG194" s="179" t="str">
        <f t="array" ref="BG194">IF($F194&lt;&gt;"",XLOOKUP($F194,Productos!$A:$A,Productos!AZ:AZ,"Revisar"),"")</f>
        <v/>
      </c>
      <c r="BH194" s="179" t="str">
        <f t="array" ref="BH194">IF($F194&lt;&gt;"", XLOOKUP($F194,Productos!$A$2:$A1001,Productos!BA$2:BA1001,"")*$G194,"")</f>
        <v/>
      </c>
      <c r="BI194" s="179" t="str">
        <f t="array" ref="BI194">IF($F194&lt;&gt;"",XLOOKUP($F194,Productos!$A:$A,Productos!BB:BB,"Revisar"),"")</f>
        <v/>
      </c>
      <c r="BJ194" s="179" t="str">
        <f t="array" ref="BJ194">IF($F194&lt;&gt;"", XLOOKUP($F194,Productos!$A$2:$A1001,Productos!BC$2:BC1001,"")*$G194,"")</f>
        <v/>
      </c>
      <c r="BK194" s="179" t="str">
        <f t="array" ref="BK194">IF($F194&lt;&gt;"",XLOOKUP($F194,Productos!$A:$A,Productos!BD:BD,"Revisar"),"")</f>
        <v/>
      </c>
      <c r="BL194" s="179" t="str">
        <f t="array" ref="BL194">IF($F194&lt;&gt;"", XLOOKUP($F194,Productos!$A$2:$A1001,Productos!BE$2:BE1001,"")*$G194,"")</f>
        <v/>
      </c>
      <c r="BM194" s="179" t="str">
        <f t="array" ref="BM194">IF($F194&lt;&gt;"",XLOOKUP($F194,Productos!$A:$A,Productos!BF:BF,"Revisar"),"")</f>
        <v/>
      </c>
      <c r="BN194" s="179" t="str">
        <f t="array" ref="BN194">IF($F194&lt;&gt;"", XLOOKUP($F194,Productos!$A$2:$A1001,Productos!BG$2:BG1001,"")*$G194,"")</f>
        <v/>
      </c>
      <c r="BO194" s="179" t="str">
        <f t="array" ref="BO194">IF($F194&lt;&gt;"",XLOOKUP($F194,Productos!$A:$A,Productos!BH:BH,"Revisar"),"")</f>
        <v/>
      </c>
      <c r="BP194" s="179" t="str">
        <f t="array" ref="BP194">IF($F194&lt;&gt;"", XLOOKUP($F194,Productos!$A$2:$A1001,Productos!BI$2:BI1001,"")*$G194,"")</f>
        <v/>
      </c>
      <c r="BQ194" s="179" t="str">
        <f t="array" ref="BQ194">IF($F194&lt;&gt;"",XLOOKUP($F194,Productos!$A:$A,Productos!BJ:BJ,"Revisar"),"")</f>
        <v/>
      </c>
      <c r="BR194" s="179" t="str">
        <f t="array" ref="BR194">IF($F194&lt;&gt;"", XLOOKUP($F194,Productos!$A$2:$A1001,Productos!BK$2:BK1001,"")*$G194,"")</f>
        <v/>
      </c>
      <c r="BS194" s="179" t="str">
        <f t="array" ref="BS194">IF($F194&lt;&gt;"",XLOOKUP($F194,Productos!$A:$A,Productos!BL:BL,"Revisar"),"")</f>
        <v/>
      </c>
      <c r="BT194" s="179" t="str">
        <f t="array" ref="BT194">IF($F194&lt;&gt;"", XLOOKUP($F194,Productos!$A$2:$A1001,Productos!BM$2:BM1001,"")*$G194,"")</f>
        <v/>
      </c>
      <c r="BU194" s="179" t="str">
        <f t="array" ref="BU194">IF($F194&lt;&gt;"",XLOOKUP($F194,Productos!$A:$A,Productos!BN:BN,"Revisar"),"")</f>
        <v/>
      </c>
      <c r="BV194" s="179" t="str">
        <f t="array" ref="BV194">IF($F194&lt;&gt;"", XLOOKUP($F194,Productos!$A$2:$A1001,Productos!BO$2:BO1001,"")*$G194,"")</f>
        <v/>
      </c>
      <c r="BW194" s="179" t="str">
        <f t="array" ref="BW194">IF($F194&lt;&gt;"",XLOOKUP($F194,Productos!$A:$A,Productos!BP:BP,"Revisar"),"")</f>
        <v/>
      </c>
      <c r="BX194" s="179" t="str">
        <f t="array" ref="BX194">IF($F194&lt;&gt;"", XLOOKUP($F194,Productos!$A$2:$A1001,Productos!BQ$2:BQ1001,"")*$G194,"")</f>
        <v/>
      </c>
      <c r="BY194" s="179" t="str">
        <f t="array" ref="BY194">IF($F194&lt;&gt;"",XLOOKUP($F194,Productos!$A:$A,Productos!BR:BR,"Revisar"),"")</f>
        <v/>
      </c>
      <c r="BZ194" s="179" t="str">
        <f t="array" ref="BZ194">IF($F194&lt;&gt;"", XLOOKUP($F194,Productos!$A$2:$A1001,Productos!BS$2:BS1001,"")*$G194,"")</f>
        <v/>
      </c>
    </row>
    <row r="195">
      <c r="A195" s="180"/>
      <c r="B195" s="181"/>
      <c r="C195" s="182"/>
      <c r="D195" s="182"/>
      <c r="E195" s="185"/>
      <c r="F195" s="186"/>
      <c r="G195" s="187"/>
      <c r="H195" s="186"/>
      <c r="I195" s="179" t="str">
        <f t="array" ref="I195">IF($F195&lt;&gt;"",XLOOKUP($F195,Productos!$A:$A,Productos!B:B,"Revisar"),"")</f>
        <v/>
      </c>
      <c r="J195" s="179" t="str">
        <f t="array" ref="J195">IF($F195&lt;&gt;"", XLOOKUP($F195,Productos!$A$2:$A1001,Productos!C$2:C1001,"")*$G195,"")</f>
        <v/>
      </c>
      <c r="K195" s="179" t="str">
        <f t="array" ref="K195">IF($F195&lt;&gt;"",XLOOKUP($F195,Productos!$A:$A,Productos!D:D,"Revisar"),"")</f>
        <v/>
      </c>
      <c r="L195" s="179" t="str">
        <f t="array" ref="L195">IF($F195&lt;&gt;"", XLOOKUP($F195,Productos!$A$2:$A1001,Productos!E$2:E1001,"")*$G195,"")</f>
        <v/>
      </c>
      <c r="M195" s="179" t="str">
        <f t="array" ref="M195">IF($F195&lt;&gt;"",XLOOKUP($F195,Productos!$A:$A,Productos!F:F,"Revisar"),"")</f>
        <v/>
      </c>
      <c r="N195" s="179" t="str">
        <f t="array" ref="N195">IF($F195&lt;&gt;"", XLOOKUP($F195,Productos!$A$2:$A1001,Productos!G$2:G1001,"")*$G195,"")</f>
        <v/>
      </c>
      <c r="O195" s="179" t="str">
        <f t="array" ref="O195">IF($F195&lt;&gt;"",XLOOKUP($F195,Productos!$A:$A,Productos!H:H,"Revisar"),"")</f>
        <v/>
      </c>
      <c r="P195" s="179" t="str">
        <f t="array" ref="P195">IF($F195&lt;&gt;"", XLOOKUP($F195,Productos!$A$2:$A1001,Productos!I$2:I1001,"")*$G195,"")</f>
        <v/>
      </c>
      <c r="Q195" s="179" t="str">
        <f t="array" ref="Q195">IF($F195&lt;&gt;"",XLOOKUP($F195,Productos!$A:$A,Productos!J:J,"Revisar"),"")</f>
        <v/>
      </c>
      <c r="R195" s="179" t="str">
        <f t="array" ref="R195">IF($F195&lt;&gt;"", XLOOKUP($F195,Productos!$A$2:$A1001,Productos!K$2:K1001,"")*$G195,"")</f>
        <v/>
      </c>
      <c r="S195" s="179" t="str">
        <f t="array" ref="S195">IF($F195&lt;&gt;"",XLOOKUP($F195,Productos!$A:$A,Productos!L:L,"Revisar"),"")</f>
        <v/>
      </c>
      <c r="T195" s="179" t="str">
        <f t="array" ref="T195">IF($F195&lt;&gt;"", XLOOKUP($F195,Productos!$A$2:$A1001,Productos!M$2:M1001,"")*$G195,"")</f>
        <v/>
      </c>
      <c r="U195" s="179" t="str">
        <f t="array" ref="U195">IF($F195&lt;&gt;"",XLOOKUP($F195,Productos!$A:$A,Productos!N:N,"Revisar"),"")</f>
        <v/>
      </c>
      <c r="V195" s="179" t="str">
        <f t="array" ref="V195">IF($F195&lt;&gt;"", XLOOKUP($F195,Productos!$A$2:$A1001,Productos!O$2:O1001,"")*$G195,"")</f>
        <v/>
      </c>
      <c r="W195" s="179" t="str">
        <f t="array" ref="W195">IF($F195&lt;&gt;"",XLOOKUP($F195,Productos!$A:$A,Productos!P:P,"Revisar"),"")</f>
        <v/>
      </c>
      <c r="X195" s="179" t="str">
        <f t="array" ref="X195">IF($F195&lt;&gt;"", XLOOKUP($F195,Productos!$A$2:$A1001,Productos!Q$2:Q1001,"")*$G195,"")</f>
        <v/>
      </c>
      <c r="Y195" s="179" t="str">
        <f t="array" ref="Y195">IF($F195&lt;&gt;"",XLOOKUP($F195,Productos!$A:$A,Productos!R:R,"Revisar"),"")</f>
        <v/>
      </c>
      <c r="Z195" s="179" t="str">
        <f t="array" ref="Z195">IF($F195&lt;&gt;"", XLOOKUP($F195,Productos!$A$2:$A1001,Productos!S$2:S1001,"")*$G195,"")</f>
        <v/>
      </c>
      <c r="AA195" s="179" t="str">
        <f t="array" ref="AA195">IF($F195&lt;&gt;"",XLOOKUP($F195,Productos!$A:$A,Productos!T:T,"Revisar"),"")</f>
        <v/>
      </c>
      <c r="AB195" s="179" t="str">
        <f t="array" ref="AB195">IF($F195&lt;&gt;"", XLOOKUP($F195,Productos!$A$2:$A1001,Productos!U$2:U1001,"")*$G195,"")</f>
        <v/>
      </c>
      <c r="AC195" s="179" t="str">
        <f t="array" ref="AC195">IF($F195&lt;&gt;"",XLOOKUP($F195,Productos!$A:$A,Productos!V:V,"Revisar"),"")</f>
        <v/>
      </c>
      <c r="AD195" s="179" t="str">
        <f t="array" ref="AD195">IF($F195&lt;&gt;"", XLOOKUP($F195,Productos!$A$2:$A1001,Productos!W$2:W1001,"")*$G195,"")</f>
        <v/>
      </c>
      <c r="AE195" s="179" t="str">
        <f t="array" ref="AE195">IF($F195&lt;&gt;"",XLOOKUP($F195,Productos!$A:$A,Productos!X:X,"Revisar"),"")</f>
        <v/>
      </c>
      <c r="AF195" s="179" t="str">
        <f t="array" ref="AF195">IF($F195&lt;&gt;"", XLOOKUP($F195,Productos!$A$2:$A1001,Productos!Y$2:Y1001,"")*$G195,"")</f>
        <v/>
      </c>
      <c r="AG195" s="179" t="str">
        <f t="array" ref="AG195">IF($F195&lt;&gt;"",XLOOKUP($F195,Productos!$A:$A,Productos!Z:Z,"Revisar"),"")</f>
        <v/>
      </c>
      <c r="AH195" s="179" t="str">
        <f t="array" ref="AH195">IF($F195&lt;&gt;"", XLOOKUP($F195,Productos!$A$2:$A1001,Productos!AA$2:AA1001,"")*$G195,"")</f>
        <v/>
      </c>
      <c r="AI195" s="179" t="str">
        <f t="array" ref="AI195">IF($F195&lt;&gt;"",XLOOKUP($F195,Productos!$A:$A,Productos!AB:AB,"Revisar"),"")</f>
        <v/>
      </c>
      <c r="AJ195" s="179" t="str">
        <f t="array" ref="AJ195">IF($F195&lt;&gt;"", XLOOKUP($F195,Productos!$A$2:$A1001,Productos!AC$2:AC1001,"")*$G195,"")</f>
        <v/>
      </c>
      <c r="AK195" s="179" t="str">
        <f t="array" ref="AK195">IF($F195&lt;&gt;"",XLOOKUP($F195,Productos!$A:$A,Productos!AD:AD,"Revisar"),"")</f>
        <v/>
      </c>
      <c r="AL195" s="179" t="str">
        <f t="array" ref="AL195">IF($F195&lt;&gt;"", XLOOKUP($F195,Productos!$A$2:$A1001,Productos!AE$2:AE1001,"")*$G195,"")</f>
        <v/>
      </c>
      <c r="AM195" s="179" t="str">
        <f t="array" ref="AM195">IF($F195&lt;&gt;"",XLOOKUP($F195,Productos!$A:$A,Productos!AF:AF,"Revisar"),"")</f>
        <v/>
      </c>
      <c r="AN195" s="179" t="str">
        <f t="array" ref="AN195">IF($F195&lt;&gt;"", XLOOKUP($F195,Productos!$A$2:$A1001,Productos!AG$2:AG1001,"")*$G195,"")</f>
        <v/>
      </c>
      <c r="AO195" s="179" t="str">
        <f t="array" ref="AO195">IF($F195&lt;&gt;"",XLOOKUP($F195,Productos!$A:$A,Productos!AH:AH,"Revisar"),"")</f>
        <v/>
      </c>
      <c r="AP195" s="179" t="str">
        <f t="array" ref="AP195">IF($F195&lt;&gt;"", XLOOKUP($F195,Productos!$A$2:$A1001,Productos!AI$2:AI1001,"")*$G195,"")</f>
        <v/>
      </c>
      <c r="AQ195" s="179" t="str">
        <f t="array" ref="AQ195">IF($F195&lt;&gt;"",XLOOKUP($F195,Productos!$A:$A,Productos!AJ:AJ,"Revisar"),"")</f>
        <v/>
      </c>
      <c r="AR195" s="179" t="str">
        <f t="array" ref="AR195">IF($F195&lt;&gt;"", XLOOKUP($F195,Productos!$A$2:$A1001,Productos!AK$2:AK1001,"")*$G195,"")</f>
        <v/>
      </c>
      <c r="AS195" s="179" t="str">
        <f t="array" ref="AS195">IF($F195&lt;&gt;"",XLOOKUP($F195,Productos!$A:$A,Productos!AL:AL,"Revisar"),"")</f>
        <v/>
      </c>
      <c r="AT195" s="179" t="str">
        <f t="array" ref="AT195">IF($F195&lt;&gt;"", XLOOKUP($F195,Productos!$A$2:$A1001,Productos!AM$2:AM1001,"")*$G195,"")</f>
        <v/>
      </c>
      <c r="AU195" s="179" t="str">
        <f t="array" ref="AU195">IF($F195&lt;&gt;"",XLOOKUP($F195,Productos!$A:$A,Productos!AN:AN,"Revisar"),"")</f>
        <v/>
      </c>
      <c r="AV195" s="179" t="str">
        <f t="array" ref="AV195">IF($F195&lt;&gt;"", XLOOKUP($F195,Productos!$A$2:$A1001,Productos!AO$2:AO1001,"")*$G195,"")</f>
        <v/>
      </c>
      <c r="AW195" s="179" t="str">
        <f t="array" ref="AW195">IF($F195&lt;&gt;"",XLOOKUP($F195,Productos!$A:$A,Productos!AP:AP,"Revisar"),"")</f>
        <v/>
      </c>
      <c r="AX195" s="179" t="str">
        <f t="array" ref="AX195">IF($F195&lt;&gt;"", XLOOKUP($F195,Productos!$A$2:$A1001,Productos!AQ$2:AQ1001,"")*$G195,"")</f>
        <v/>
      </c>
      <c r="AY195" s="179" t="str">
        <f t="array" ref="AY195">IF($F195&lt;&gt;"",XLOOKUP($F195,Productos!$A:$A,Productos!AR:AR,"Revisar"),"")</f>
        <v/>
      </c>
      <c r="AZ195" s="179" t="str">
        <f t="array" ref="AZ195">IF($F195&lt;&gt;"", XLOOKUP($F195,Productos!$A$2:$A1001,Productos!AS$2:AS1001,"")*$G195,"")</f>
        <v/>
      </c>
      <c r="BA195" s="179" t="str">
        <f t="array" ref="BA195">IF($F195&lt;&gt;"",XLOOKUP($F195,Productos!$A:$A,Productos!AT:AT,"Revisar"),"")</f>
        <v/>
      </c>
      <c r="BB195" s="179" t="str">
        <f t="array" ref="BB195">IF($F195&lt;&gt;"", XLOOKUP($F195,Productos!$A$2:$A1001,Productos!AU$2:AU1001,"")*$G195,"")</f>
        <v/>
      </c>
      <c r="BC195" s="179" t="str">
        <f t="array" ref="BC195">IF($F195&lt;&gt;"",XLOOKUP($F195,Productos!$A:$A,Productos!AV:AV,"Revisar"),"")</f>
        <v/>
      </c>
      <c r="BD195" s="179" t="str">
        <f t="array" ref="BD195">IF($F195&lt;&gt;"", XLOOKUP($F195,Productos!$A$2:$A1001,Productos!AW$2:AW1001,"")*$G195,"")</f>
        <v/>
      </c>
      <c r="BE195" s="179" t="str">
        <f t="array" ref="BE195">IF($F195&lt;&gt;"",XLOOKUP($F195,Productos!$A:$A,Productos!AX:AX,"Revisar"),"")</f>
        <v/>
      </c>
      <c r="BF195" s="179" t="str">
        <f t="array" ref="BF195">IF($F195&lt;&gt;"", XLOOKUP($F195,Productos!$A$2:$A1001,Productos!AY$2:AY1001,"")*$G195,"")</f>
        <v/>
      </c>
      <c r="BG195" s="179" t="str">
        <f t="array" ref="BG195">IF($F195&lt;&gt;"",XLOOKUP($F195,Productos!$A:$A,Productos!AZ:AZ,"Revisar"),"")</f>
        <v/>
      </c>
      <c r="BH195" s="179" t="str">
        <f t="array" ref="BH195">IF($F195&lt;&gt;"", XLOOKUP($F195,Productos!$A$2:$A1001,Productos!BA$2:BA1001,"")*$G195,"")</f>
        <v/>
      </c>
      <c r="BI195" s="179" t="str">
        <f t="array" ref="BI195">IF($F195&lt;&gt;"",XLOOKUP($F195,Productos!$A:$A,Productos!BB:BB,"Revisar"),"")</f>
        <v/>
      </c>
      <c r="BJ195" s="179" t="str">
        <f t="array" ref="BJ195">IF($F195&lt;&gt;"", XLOOKUP($F195,Productos!$A$2:$A1001,Productos!BC$2:BC1001,"")*$G195,"")</f>
        <v/>
      </c>
      <c r="BK195" s="179" t="str">
        <f t="array" ref="BK195">IF($F195&lt;&gt;"",XLOOKUP($F195,Productos!$A:$A,Productos!BD:BD,"Revisar"),"")</f>
        <v/>
      </c>
      <c r="BL195" s="179" t="str">
        <f t="array" ref="BL195">IF($F195&lt;&gt;"", XLOOKUP($F195,Productos!$A$2:$A1001,Productos!BE$2:BE1001,"")*$G195,"")</f>
        <v/>
      </c>
      <c r="BM195" s="179" t="str">
        <f t="array" ref="BM195">IF($F195&lt;&gt;"",XLOOKUP($F195,Productos!$A:$A,Productos!BF:BF,"Revisar"),"")</f>
        <v/>
      </c>
      <c r="BN195" s="179" t="str">
        <f t="array" ref="BN195">IF($F195&lt;&gt;"", XLOOKUP($F195,Productos!$A$2:$A1001,Productos!BG$2:BG1001,"")*$G195,"")</f>
        <v/>
      </c>
      <c r="BO195" s="179" t="str">
        <f t="array" ref="BO195">IF($F195&lt;&gt;"",XLOOKUP($F195,Productos!$A:$A,Productos!BH:BH,"Revisar"),"")</f>
        <v/>
      </c>
      <c r="BP195" s="179" t="str">
        <f t="array" ref="BP195">IF($F195&lt;&gt;"", XLOOKUP($F195,Productos!$A$2:$A1001,Productos!BI$2:BI1001,"")*$G195,"")</f>
        <v/>
      </c>
      <c r="BQ195" s="179" t="str">
        <f t="array" ref="BQ195">IF($F195&lt;&gt;"",XLOOKUP($F195,Productos!$A:$A,Productos!BJ:BJ,"Revisar"),"")</f>
        <v/>
      </c>
      <c r="BR195" s="179" t="str">
        <f t="array" ref="BR195">IF($F195&lt;&gt;"", XLOOKUP($F195,Productos!$A$2:$A1001,Productos!BK$2:BK1001,"")*$G195,"")</f>
        <v/>
      </c>
      <c r="BS195" s="179" t="str">
        <f t="array" ref="BS195">IF($F195&lt;&gt;"",XLOOKUP($F195,Productos!$A:$A,Productos!BL:BL,"Revisar"),"")</f>
        <v/>
      </c>
      <c r="BT195" s="179" t="str">
        <f t="array" ref="BT195">IF($F195&lt;&gt;"", XLOOKUP($F195,Productos!$A$2:$A1001,Productos!BM$2:BM1001,"")*$G195,"")</f>
        <v/>
      </c>
      <c r="BU195" s="179" t="str">
        <f t="array" ref="BU195">IF($F195&lt;&gt;"",XLOOKUP($F195,Productos!$A:$A,Productos!BN:BN,"Revisar"),"")</f>
        <v/>
      </c>
      <c r="BV195" s="179" t="str">
        <f t="array" ref="BV195">IF($F195&lt;&gt;"", XLOOKUP($F195,Productos!$A$2:$A1001,Productos!BO$2:BO1001,"")*$G195,"")</f>
        <v/>
      </c>
      <c r="BW195" s="179" t="str">
        <f t="array" ref="BW195">IF($F195&lt;&gt;"",XLOOKUP($F195,Productos!$A:$A,Productos!BP:BP,"Revisar"),"")</f>
        <v/>
      </c>
      <c r="BX195" s="179" t="str">
        <f t="array" ref="BX195">IF($F195&lt;&gt;"", XLOOKUP($F195,Productos!$A$2:$A1001,Productos!BQ$2:BQ1001,"")*$G195,"")</f>
        <v/>
      </c>
      <c r="BY195" s="179" t="str">
        <f t="array" ref="BY195">IF($F195&lt;&gt;"",XLOOKUP($F195,Productos!$A:$A,Productos!BR:BR,"Revisar"),"")</f>
        <v/>
      </c>
      <c r="BZ195" s="179" t="str">
        <f t="array" ref="BZ195">IF($F195&lt;&gt;"", XLOOKUP($F195,Productos!$A$2:$A1001,Productos!BS$2:BS1001,"")*$G195,"")</f>
        <v/>
      </c>
    </row>
    <row r="196">
      <c r="A196" s="180"/>
      <c r="B196" s="181"/>
      <c r="C196" s="182"/>
      <c r="D196" s="182"/>
      <c r="E196" s="185"/>
      <c r="F196" s="186"/>
      <c r="G196" s="187"/>
      <c r="H196" s="186"/>
      <c r="I196" s="179" t="str">
        <f t="array" ref="I196">IF($F196&lt;&gt;"",XLOOKUP($F196,Productos!$A:$A,Productos!B:B,"Revisar"),"")</f>
        <v/>
      </c>
      <c r="J196" s="179" t="str">
        <f t="array" ref="J196">IF($F196&lt;&gt;"", XLOOKUP($F196,Productos!$A$2:$A1001,Productos!C$2:C1001,"")*$G196,"")</f>
        <v/>
      </c>
      <c r="K196" s="179" t="str">
        <f t="array" ref="K196">IF($F196&lt;&gt;"",XLOOKUP($F196,Productos!$A:$A,Productos!D:D,"Revisar"),"")</f>
        <v/>
      </c>
      <c r="L196" s="179" t="str">
        <f t="array" ref="L196">IF($F196&lt;&gt;"", XLOOKUP($F196,Productos!$A$2:$A1001,Productos!E$2:E1001,"")*$G196,"")</f>
        <v/>
      </c>
      <c r="M196" s="179" t="str">
        <f t="array" ref="M196">IF($F196&lt;&gt;"",XLOOKUP($F196,Productos!$A:$A,Productos!F:F,"Revisar"),"")</f>
        <v/>
      </c>
      <c r="N196" s="179" t="str">
        <f t="array" ref="N196">IF($F196&lt;&gt;"", XLOOKUP($F196,Productos!$A$2:$A1001,Productos!G$2:G1001,"")*$G196,"")</f>
        <v/>
      </c>
      <c r="O196" s="179" t="str">
        <f t="array" ref="O196">IF($F196&lt;&gt;"",XLOOKUP($F196,Productos!$A:$A,Productos!H:H,"Revisar"),"")</f>
        <v/>
      </c>
      <c r="P196" s="179" t="str">
        <f t="array" ref="P196">IF($F196&lt;&gt;"", XLOOKUP($F196,Productos!$A$2:$A1001,Productos!I$2:I1001,"")*$G196,"")</f>
        <v/>
      </c>
      <c r="Q196" s="179" t="str">
        <f t="array" ref="Q196">IF($F196&lt;&gt;"",XLOOKUP($F196,Productos!$A:$A,Productos!J:J,"Revisar"),"")</f>
        <v/>
      </c>
      <c r="R196" s="179" t="str">
        <f t="array" ref="R196">IF($F196&lt;&gt;"", XLOOKUP($F196,Productos!$A$2:$A1001,Productos!K$2:K1001,"")*$G196,"")</f>
        <v/>
      </c>
      <c r="S196" s="179" t="str">
        <f t="array" ref="S196">IF($F196&lt;&gt;"",XLOOKUP($F196,Productos!$A:$A,Productos!L:L,"Revisar"),"")</f>
        <v/>
      </c>
      <c r="T196" s="179" t="str">
        <f t="array" ref="T196">IF($F196&lt;&gt;"", XLOOKUP($F196,Productos!$A$2:$A1001,Productos!M$2:M1001,"")*$G196,"")</f>
        <v/>
      </c>
      <c r="U196" s="179" t="str">
        <f t="array" ref="U196">IF($F196&lt;&gt;"",XLOOKUP($F196,Productos!$A:$A,Productos!N:N,"Revisar"),"")</f>
        <v/>
      </c>
      <c r="V196" s="179" t="str">
        <f t="array" ref="V196">IF($F196&lt;&gt;"", XLOOKUP($F196,Productos!$A$2:$A1001,Productos!O$2:O1001,"")*$G196,"")</f>
        <v/>
      </c>
      <c r="W196" s="179" t="str">
        <f t="array" ref="W196">IF($F196&lt;&gt;"",XLOOKUP($F196,Productos!$A:$A,Productos!P:P,"Revisar"),"")</f>
        <v/>
      </c>
      <c r="X196" s="179" t="str">
        <f t="array" ref="X196">IF($F196&lt;&gt;"", XLOOKUP($F196,Productos!$A$2:$A1001,Productos!Q$2:Q1001,"")*$G196,"")</f>
        <v/>
      </c>
      <c r="Y196" s="179" t="str">
        <f t="array" ref="Y196">IF($F196&lt;&gt;"",XLOOKUP($F196,Productos!$A:$A,Productos!R:R,"Revisar"),"")</f>
        <v/>
      </c>
      <c r="Z196" s="179" t="str">
        <f t="array" ref="Z196">IF($F196&lt;&gt;"", XLOOKUP($F196,Productos!$A$2:$A1001,Productos!S$2:S1001,"")*$G196,"")</f>
        <v/>
      </c>
      <c r="AA196" s="179" t="str">
        <f t="array" ref="AA196">IF($F196&lt;&gt;"",XLOOKUP($F196,Productos!$A:$A,Productos!T:T,"Revisar"),"")</f>
        <v/>
      </c>
      <c r="AB196" s="179" t="str">
        <f t="array" ref="AB196">IF($F196&lt;&gt;"", XLOOKUP($F196,Productos!$A$2:$A1001,Productos!U$2:U1001,"")*$G196,"")</f>
        <v/>
      </c>
      <c r="AC196" s="179" t="str">
        <f t="array" ref="AC196">IF($F196&lt;&gt;"",XLOOKUP($F196,Productos!$A:$A,Productos!V:V,"Revisar"),"")</f>
        <v/>
      </c>
      <c r="AD196" s="179" t="str">
        <f t="array" ref="AD196">IF($F196&lt;&gt;"", XLOOKUP($F196,Productos!$A$2:$A1001,Productos!W$2:W1001,"")*$G196,"")</f>
        <v/>
      </c>
      <c r="AE196" s="179" t="str">
        <f t="array" ref="AE196">IF($F196&lt;&gt;"",XLOOKUP($F196,Productos!$A:$A,Productos!X:X,"Revisar"),"")</f>
        <v/>
      </c>
      <c r="AF196" s="179" t="str">
        <f t="array" ref="AF196">IF($F196&lt;&gt;"", XLOOKUP($F196,Productos!$A$2:$A1001,Productos!Y$2:Y1001,"")*$G196,"")</f>
        <v/>
      </c>
      <c r="AG196" s="179" t="str">
        <f t="array" ref="AG196">IF($F196&lt;&gt;"",XLOOKUP($F196,Productos!$A:$A,Productos!Z:Z,"Revisar"),"")</f>
        <v/>
      </c>
      <c r="AH196" s="179" t="str">
        <f t="array" ref="AH196">IF($F196&lt;&gt;"", XLOOKUP($F196,Productos!$A$2:$A1001,Productos!AA$2:AA1001,"")*$G196,"")</f>
        <v/>
      </c>
      <c r="AI196" s="179" t="str">
        <f t="array" ref="AI196">IF($F196&lt;&gt;"",XLOOKUP($F196,Productos!$A:$A,Productos!AB:AB,"Revisar"),"")</f>
        <v/>
      </c>
      <c r="AJ196" s="179" t="str">
        <f t="array" ref="AJ196">IF($F196&lt;&gt;"", XLOOKUP($F196,Productos!$A$2:$A1001,Productos!AC$2:AC1001,"")*$G196,"")</f>
        <v/>
      </c>
      <c r="AK196" s="179" t="str">
        <f t="array" ref="AK196">IF($F196&lt;&gt;"",XLOOKUP($F196,Productos!$A:$A,Productos!AD:AD,"Revisar"),"")</f>
        <v/>
      </c>
      <c r="AL196" s="179" t="str">
        <f t="array" ref="AL196">IF($F196&lt;&gt;"", XLOOKUP($F196,Productos!$A$2:$A1001,Productos!AE$2:AE1001,"")*$G196,"")</f>
        <v/>
      </c>
      <c r="AM196" s="179" t="str">
        <f t="array" ref="AM196">IF($F196&lt;&gt;"",XLOOKUP($F196,Productos!$A:$A,Productos!AF:AF,"Revisar"),"")</f>
        <v/>
      </c>
      <c r="AN196" s="179" t="str">
        <f t="array" ref="AN196">IF($F196&lt;&gt;"", XLOOKUP($F196,Productos!$A$2:$A1001,Productos!AG$2:AG1001,"")*$G196,"")</f>
        <v/>
      </c>
      <c r="AO196" s="179" t="str">
        <f t="array" ref="AO196">IF($F196&lt;&gt;"",XLOOKUP($F196,Productos!$A:$A,Productos!AH:AH,"Revisar"),"")</f>
        <v/>
      </c>
      <c r="AP196" s="179" t="str">
        <f t="array" ref="AP196">IF($F196&lt;&gt;"", XLOOKUP($F196,Productos!$A$2:$A1001,Productos!AI$2:AI1001,"")*$G196,"")</f>
        <v/>
      </c>
      <c r="AQ196" s="179" t="str">
        <f t="array" ref="AQ196">IF($F196&lt;&gt;"",XLOOKUP($F196,Productos!$A:$A,Productos!AJ:AJ,"Revisar"),"")</f>
        <v/>
      </c>
      <c r="AR196" s="179" t="str">
        <f t="array" ref="AR196">IF($F196&lt;&gt;"", XLOOKUP($F196,Productos!$A$2:$A1001,Productos!AK$2:AK1001,"")*$G196,"")</f>
        <v/>
      </c>
      <c r="AS196" s="179" t="str">
        <f t="array" ref="AS196">IF($F196&lt;&gt;"",XLOOKUP($F196,Productos!$A:$A,Productos!AL:AL,"Revisar"),"")</f>
        <v/>
      </c>
      <c r="AT196" s="179" t="str">
        <f t="array" ref="AT196">IF($F196&lt;&gt;"", XLOOKUP($F196,Productos!$A$2:$A1001,Productos!AM$2:AM1001,"")*$G196,"")</f>
        <v/>
      </c>
      <c r="AU196" s="179" t="str">
        <f t="array" ref="AU196">IF($F196&lt;&gt;"",XLOOKUP($F196,Productos!$A:$A,Productos!AN:AN,"Revisar"),"")</f>
        <v/>
      </c>
      <c r="AV196" s="179" t="str">
        <f t="array" ref="AV196">IF($F196&lt;&gt;"", XLOOKUP($F196,Productos!$A$2:$A1001,Productos!AO$2:AO1001,"")*$G196,"")</f>
        <v/>
      </c>
      <c r="AW196" s="179" t="str">
        <f t="array" ref="AW196">IF($F196&lt;&gt;"",XLOOKUP($F196,Productos!$A:$A,Productos!AP:AP,"Revisar"),"")</f>
        <v/>
      </c>
      <c r="AX196" s="179" t="str">
        <f t="array" ref="AX196">IF($F196&lt;&gt;"", XLOOKUP($F196,Productos!$A$2:$A1001,Productos!AQ$2:AQ1001,"")*$G196,"")</f>
        <v/>
      </c>
      <c r="AY196" s="179" t="str">
        <f t="array" ref="AY196">IF($F196&lt;&gt;"",XLOOKUP($F196,Productos!$A:$A,Productos!AR:AR,"Revisar"),"")</f>
        <v/>
      </c>
      <c r="AZ196" s="179" t="str">
        <f t="array" ref="AZ196">IF($F196&lt;&gt;"", XLOOKUP($F196,Productos!$A$2:$A1001,Productos!AS$2:AS1001,"")*$G196,"")</f>
        <v/>
      </c>
      <c r="BA196" s="179" t="str">
        <f t="array" ref="BA196">IF($F196&lt;&gt;"",XLOOKUP($F196,Productos!$A:$A,Productos!AT:AT,"Revisar"),"")</f>
        <v/>
      </c>
      <c r="BB196" s="179" t="str">
        <f t="array" ref="BB196">IF($F196&lt;&gt;"", XLOOKUP($F196,Productos!$A$2:$A1001,Productos!AU$2:AU1001,"")*$G196,"")</f>
        <v/>
      </c>
      <c r="BC196" s="179" t="str">
        <f t="array" ref="BC196">IF($F196&lt;&gt;"",XLOOKUP($F196,Productos!$A:$A,Productos!AV:AV,"Revisar"),"")</f>
        <v/>
      </c>
      <c r="BD196" s="179" t="str">
        <f t="array" ref="BD196">IF($F196&lt;&gt;"", XLOOKUP($F196,Productos!$A$2:$A1001,Productos!AW$2:AW1001,"")*$G196,"")</f>
        <v/>
      </c>
      <c r="BE196" s="179" t="str">
        <f t="array" ref="BE196">IF($F196&lt;&gt;"",XLOOKUP($F196,Productos!$A:$A,Productos!AX:AX,"Revisar"),"")</f>
        <v/>
      </c>
      <c r="BF196" s="179" t="str">
        <f t="array" ref="BF196">IF($F196&lt;&gt;"", XLOOKUP($F196,Productos!$A$2:$A1001,Productos!AY$2:AY1001,"")*$G196,"")</f>
        <v/>
      </c>
      <c r="BG196" s="179" t="str">
        <f t="array" ref="BG196">IF($F196&lt;&gt;"",XLOOKUP($F196,Productos!$A:$A,Productos!AZ:AZ,"Revisar"),"")</f>
        <v/>
      </c>
      <c r="BH196" s="179" t="str">
        <f t="array" ref="BH196">IF($F196&lt;&gt;"", XLOOKUP($F196,Productos!$A$2:$A1001,Productos!BA$2:BA1001,"")*$G196,"")</f>
        <v/>
      </c>
      <c r="BI196" s="179" t="str">
        <f t="array" ref="BI196">IF($F196&lt;&gt;"",XLOOKUP($F196,Productos!$A:$A,Productos!BB:BB,"Revisar"),"")</f>
        <v/>
      </c>
      <c r="BJ196" s="179" t="str">
        <f t="array" ref="BJ196">IF($F196&lt;&gt;"", XLOOKUP($F196,Productos!$A$2:$A1001,Productos!BC$2:BC1001,"")*$G196,"")</f>
        <v/>
      </c>
      <c r="BK196" s="179" t="str">
        <f t="array" ref="BK196">IF($F196&lt;&gt;"",XLOOKUP($F196,Productos!$A:$A,Productos!BD:BD,"Revisar"),"")</f>
        <v/>
      </c>
      <c r="BL196" s="179" t="str">
        <f t="array" ref="BL196">IF($F196&lt;&gt;"", XLOOKUP($F196,Productos!$A$2:$A1001,Productos!BE$2:BE1001,"")*$G196,"")</f>
        <v/>
      </c>
      <c r="BM196" s="179" t="str">
        <f t="array" ref="BM196">IF($F196&lt;&gt;"",XLOOKUP($F196,Productos!$A:$A,Productos!BF:BF,"Revisar"),"")</f>
        <v/>
      </c>
      <c r="BN196" s="179" t="str">
        <f t="array" ref="BN196">IF($F196&lt;&gt;"", XLOOKUP($F196,Productos!$A$2:$A1001,Productos!BG$2:BG1001,"")*$G196,"")</f>
        <v/>
      </c>
      <c r="BO196" s="179" t="str">
        <f t="array" ref="BO196">IF($F196&lt;&gt;"",XLOOKUP($F196,Productos!$A:$A,Productos!BH:BH,"Revisar"),"")</f>
        <v/>
      </c>
      <c r="BP196" s="179" t="str">
        <f t="array" ref="BP196">IF($F196&lt;&gt;"", XLOOKUP($F196,Productos!$A$2:$A1001,Productos!BI$2:BI1001,"")*$G196,"")</f>
        <v/>
      </c>
      <c r="BQ196" s="179" t="str">
        <f t="array" ref="BQ196">IF($F196&lt;&gt;"",XLOOKUP($F196,Productos!$A:$A,Productos!BJ:BJ,"Revisar"),"")</f>
        <v/>
      </c>
      <c r="BR196" s="179" t="str">
        <f t="array" ref="BR196">IF($F196&lt;&gt;"", XLOOKUP($F196,Productos!$A$2:$A1001,Productos!BK$2:BK1001,"")*$G196,"")</f>
        <v/>
      </c>
      <c r="BS196" s="179" t="str">
        <f t="array" ref="BS196">IF($F196&lt;&gt;"",XLOOKUP($F196,Productos!$A:$A,Productos!BL:BL,"Revisar"),"")</f>
        <v/>
      </c>
      <c r="BT196" s="179" t="str">
        <f t="array" ref="BT196">IF($F196&lt;&gt;"", XLOOKUP($F196,Productos!$A$2:$A1001,Productos!BM$2:BM1001,"")*$G196,"")</f>
        <v/>
      </c>
      <c r="BU196" s="179" t="str">
        <f t="array" ref="BU196">IF($F196&lt;&gt;"",XLOOKUP($F196,Productos!$A:$A,Productos!BN:BN,"Revisar"),"")</f>
        <v/>
      </c>
      <c r="BV196" s="179" t="str">
        <f t="array" ref="BV196">IF($F196&lt;&gt;"", XLOOKUP($F196,Productos!$A$2:$A1001,Productos!BO$2:BO1001,"")*$G196,"")</f>
        <v/>
      </c>
      <c r="BW196" s="179" t="str">
        <f t="array" ref="BW196">IF($F196&lt;&gt;"",XLOOKUP($F196,Productos!$A:$A,Productos!BP:BP,"Revisar"),"")</f>
        <v/>
      </c>
      <c r="BX196" s="179" t="str">
        <f t="array" ref="BX196">IF($F196&lt;&gt;"", XLOOKUP($F196,Productos!$A$2:$A1001,Productos!BQ$2:BQ1001,"")*$G196,"")</f>
        <v/>
      </c>
      <c r="BY196" s="179" t="str">
        <f t="array" ref="BY196">IF($F196&lt;&gt;"",XLOOKUP($F196,Productos!$A:$A,Productos!BR:BR,"Revisar"),"")</f>
        <v/>
      </c>
      <c r="BZ196" s="179" t="str">
        <f t="array" ref="BZ196">IF($F196&lt;&gt;"", XLOOKUP($F196,Productos!$A$2:$A1001,Productos!BS$2:BS1001,"")*$G196,"")</f>
        <v/>
      </c>
    </row>
    <row r="197">
      <c r="A197" s="180"/>
      <c r="B197" s="181"/>
      <c r="C197" s="182"/>
      <c r="D197" s="182"/>
      <c r="E197" s="185"/>
      <c r="F197" s="186"/>
      <c r="G197" s="187"/>
      <c r="H197" s="186"/>
      <c r="I197" s="179" t="str">
        <f t="array" ref="I197">IF($F197&lt;&gt;"",XLOOKUP($F197,Productos!$A:$A,Productos!B:B,"Revisar"),"")</f>
        <v/>
      </c>
      <c r="J197" s="179" t="str">
        <f t="array" ref="J197">IF($F197&lt;&gt;"", XLOOKUP($F197,Productos!$A$2:$A1001,Productos!C$2:C1001,"")*$G197,"")</f>
        <v/>
      </c>
      <c r="K197" s="179" t="str">
        <f t="array" ref="K197">IF($F197&lt;&gt;"",XLOOKUP($F197,Productos!$A:$A,Productos!D:D,"Revisar"),"")</f>
        <v/>
      </c>
      <c r="L197" s="179" t="str">
        <f t="array" ref="L197">IF($F197&lt;&gt;"", XLOOKUP($F197,Productos!$A$2:$A1001,Productos!E$2:E1001,"")*$G197,"")</f>
        <v/>
      </c>
      <c r="M197" s="179" t="str">
        <f t="array" ref="M197">IF($F197&lt;&gt;"",XLOOKUP($F197,Productos!$A:$A,Productos!F:F,"Revisar"),"")</f>
        <v/>
      </c>
      <c r="N197" s="179" t="str">
        <f t="array" ref="N197">IF($F197&lt;&gt;"", XLOOKUP($F197,Productos!$A$2:$A1001,Productos!G$2:G1001,"")*$G197,"")</f>
        <v/>
      </c>
      <c r="O197" s="179" t="str">
        <f t="array" ref="O197">IF($F197&lt;&gt;"",XLOOKUP($F197,Productos!$A:$A,Productos!H:H,"Revisar"),"")</f>
        <v/>
      </c>
      <c r="P197" s="179" t="str">
        <f t="array" ref="P197">IF($F197&lt;&gt;"", XLOOKUP($F197,Productos!$A$2:$A1001,Productos!I$2:I1001,"")*$G197,"")</f>
        <v/>
      </c>
      <c r="Q197" s="179" t="str">
        <f t="array" ref="Q197">IF($F197&lt;&gt;"",XLOOKUP($F197,Productos!$A:$A,Productos!J:J,"Revisar"),"")</f>
        <v/>
      </c>
      <c r="R197" s="179" t="str">
        <f t="array" ref="R197">IF($F197&lt;&gt;"", XLOOKUP($F197,Productos!$A$2:$A1001,Productos!K$2:K1001,"")*$G197,"")</f>
        <v/>
      </c>
      <c r="S197" s="179" t="str">
        <f t="array" ref="S197">IF($F197&lt;&gt;"",XLOOKUP($F197,Productos!$A:$A,Productos!L:L,"Revisar"),"")</f>
        <v/>
      </c>
      <c r="T197" s="179" t="str">
        <f t="array" ref="T197">IF($F197&lt;&gt;"", XLOOKUP($F197,Productos!$A$2:$A1001,Productos!M$2:M1001,"")*$G197,"")</f>
        <v/>
      </c>
      <c r="U197" s="179" t="str">
        <f t="array" ref="U197">IF($F197&lt;&gt;"",XLOOKUP($F197,Productos!$A:$A,Productos!N:N,"Revisar"),"")</f>
        <v/>
      </c>
      <c r="V197" s="179" t="str">
        <f t="array" ref="V197">IF($F197&lt;&gt;"", XLOOKUP($F197,Productos!$A$2:$A1001,Productos!O$2:O1001,"")*$G197,"")</f>
        <v/>
      </c>
      <c r="W197" s="179" t="str">
        <f t="array" ref="W197">IF($F197&lt;&gt;"",XLOOKUP($F197,Productos!$A:$A,Productos!P:P,"Revisar"),"")</f>
        <v/>
      </c>
      <c r="X197" s="179" t="str">
        <f t="array" ref="X197">IF($F197&lt;&gt;"", XLOOKUP($F197,Productos!$A$2:$A1001,Productos!Q$2:Q1001,"")*$G197,"")</f>
        <v/>
      </c>
      <c r="Y197" s="179" t="str">
        <f t="array" ref="Y197">IF($F197&lt;&gt;"",XLOOKUP($F197,Productos!$A:$A,Productos!R:R,"Revisar"),"")</f>
        <v/>
      </c>
      <c r="Z197" s="179" t="str">
        <f t="array" ref="Z197">IF($F197&lt;&gt;"", XLOOKUP($F197,Productos!$A$2:$A1001,Productos!S$2:S1001,"")*$G197,"")</f>
        <v/>
      </c>
      <c r="AA197" s="179" t="str">
        <f t="array" ref="AA197">IF($F197&lt;&gt;"",XLOOKUP($F197,Productos!$A:$A,Productos!T:T,"Revisar"),"")</f>
        <v/>
      </c>
      <c r="AB197" s="179" t="str">
        <f t="array" ref="AB197">IF($F197&lt;&gt;"", XLOOKUP($F197,Productos!$A$2:$A1001,Productos!U$2:U1001,"")*$G197,"")</f>
        <v/>
      </c>
      <c r="AC197" s="179" t="str">
        <f t="array" ref="AC197">IF($F197&lt;&gt;"",XLOOKUP($F197,Productos!$A:$A,Productos!V:V,"Revisar"),"")</f>
        <v/>
      </c>
      <c r="AD197" s="179" t="str">
        <f t="array" ref="AD197">IF($F197&lt;&gt;"", XLOOKUP($F197,Productos!$A$2:$A1001,Productos!W$2:W1001,"")*$G197,"")</f>
        <v/>
      </c>
      <c r="AE197" s="179" t="str">
        <f t="array" ref="AE197">IF($F197&lt;&gt;"",XLOOKUP($F197,Productos!$A:$A,Productos!X:X,"Revisar"),"")</f>
        <v/>
      </c>
      <c r="AF197" s="179" t="str">
        <f t="array" ref="AF197">IF($F197&lt;&gt;"", XLOOKUP($F197,Productos!$A$2:$A1001,Productos!Y$2:Y1001,"")*$G197,"")</f>
        <v/>
      </c>
      <c r="AG197" s="179" t="str">
        <f t="array" ref="AG197">IF($F197&lt;&gt;"",XLOOKUP($F197,Productos!$A:$A,Productos!Z:Z,"Revisar"),"")</f>
        <v/>
      </c>
      <c r="AH197" s="179" t="str">
        <f t="array" ref="AH197">IF($F197&lt;&gt;"", XLOOKUP($F197,Productos!$A$2:$A1001,Productos!AA$2:AA1001,"")*$G197,"")</f>
        <v/>
      </c>
      <c r="AI197" s="179" t="str">
        <f t="array" ref="AI197">IF($F197&lt;&gt;"",XLOOKUP($F197,Productos!$A:$A,Productos!AB:AB,"Revisar"),"")</f>
        <v/>
      </c>
      <c r="AJ197" s="179" t="str">
        <f t="array" ref="AJ197">IF($F197&lt;&gt;"", XLOOKUP($F197,Productos!$A$2:$A1001,Productos!AC$2:AC1001,"")*$G197,"")</f>
        <v/>
      </c>
      <c r="AK197" s="179" t="str">
        <f t="array" ref="AK197">IF($F197&lt;&gt;"",XLOOKUP($F197,Productos!$A:$A,Productos!AD:AD,"Revisar"),"")</f>
        <v/>
      </c>
      <c r="AL197" s="179" t="str">
        <f t="array" ref="AL197">IF($F197&lt;&gt;"", XLOOKUP($F197,Productos!$A$2:$A1001,Productos!AE$2:AE1001,"")*$G197,"")</f>
        <v/>
      </c>
      <c r="AM197" s="179" t="str">
        <f t="array" ref="AM197">IF($F197&lt;&gt;"",XLOOKUP($F197,Productos!$A:$A,Productos!AF:AF,"Revisar"),"")</f>
        <v/>
      </c>
      <c r="AN197" s="179" t="str">
        <f t="array" ref="AN197">IF($F197&lt;&gt;"", XLOOKUP($F197,Productos!$A$2:$A1001,Productos!AG$2:AG1001,"")*$G197,"")</f>
        <v/>
      </c>
      <c r="AO197" s="179" t="str">
        <f t="array" ref="AO197">IF($F197&lt;&gt;"",XLOOKUP($F197,Productos!$A:$A,Productos!AH:AH,"Revisar"),"")</f>
        <v/>
      </c>
      <c r="AP197" s="179" t="str">
        <f t="array" ref="AP197">IF($F197&lt;&gt;"", XLOOKUP($F197,Productos!$A$2:$A1001,Productos!AI$2:AI1001,"")*$G197,"")</f>
        <v/>
      </c>
      <c r="AQ197" s="179" t="str">
        <f t="array" ref="AQ197">IF($F197&lt;&gt;"",XLOOKUP($F197,Productos!$A:$A,Productos!AJ:AJ,"Revisar"),"")</f>
        <v/>
      </c>
      <c r="AR197" s="179" t="str">
        <f t="array" ref="AR197">IF($F197&lt;&gt;"", XLOOKUP($F197,Productos!$A$2:$A1001,Productos!AK$2:AK1001,"")*$G197,"")</f>
        <v/>
      </c>
      <c r="AS197" s="179" t="str">
        <f t="array" ref="AS197">IF($F197&lt;&gt;"",XLOOKUP($F197,Productos!$A:$A,Productos!AL:AL,"Revisar"),"")</f>
        <v/>
      </c>
      <c r="AT197" s="179" t="str">
        <f t="array" ref="AT197">IF($F197&lt;&gt;"", XLOOKUP($F197,Productos!$A$2:$A1001,Productos!AM$2:AM1001,"")*$G197,"")</f>
        <v/>
      </c>
      <c r="AU197" s="179" t="str">
        <f t="array" ref="AU197">IF($F197&lt;&gt;"",XLOOKUP($F197,Productos!$A:$A,Productos!AN:AN,"Revisar"),"")</f>
        <v/>
      </c>
      <c r="AV197" s="179" t="str">
        <f t="array" ref="AV197">IF($F197&lt;&gt;"", XLOOKUP($F197,Productos!$A$2:$A1001,Productos!AO$2:AO1001,"")*$G197,"")</f>
        <v/>
      </c>
      <c r="AW197" s="179" t="str">
        <f t="array" ref="AW197">IF($F197&lt;&gt;"",XLOOKUP($F197,Productos!$A:$A,Productos!AP:AP,"Revisar"),"")</f>
        <v/>
      </c>
      <c r="AX197" s="179" t="str">
        <f t="array" ref="AX197">IF($F197&lt;&gt;"", XLOOKUP($F197,Productos!$A$2:$A1001,Productos!AQ$2:AQ1001,"")*$G197,"")</f>
        <v/>
      </c>
      <c r="AY197" s="179" t="str">
        <f t="array" ref="AY197">IF($F197&lt;&gt;"",XLOOKUP($F197,Productos!$A:$A,Productos!AR:AR,"Revisar"),"")</f>
        <v/>
      </c>
      <c r="AZ197" s="179" t="str">
        <f t="array" ref="AZ197">IF($F197&lt;&gt;"", XLOOKUP($F197,Productos!$A$2:$A1001,Productos!AS$2:AS1001,"")*$G197,"")</f>
        <v/>
      </c>
      <c r="BA197" s="179" t="str">
        <f t="array" ref="BA197">IF($F197&lt;&gt;"",XLOOKUP($F197,Productos!$A:$A,Productos!AT:AT,"Revisar"),"")</f>
        <v/>
      </c>
      <c r="BB197" s="179" t="str">
        <f t="array" ref="BB197">IF($F197&lt;&gt;"", XLOOKUP($F197,Productos!$A$2:$A1001,Productos!AU$2:AU1001,"")*$G197,"")</f>
        <v/>
      </c>
      <c r="BC197" s="179" t="str">
        <f t="array" ref="BC197">IF($F197&lt;&gt;"",XLOOKUP($F197,Productos!$A:$A,Productos!AV:AV,"Revisar"),"")</f>
        <v/>
      </c>
      <c r="BD197" s="179" t="str">
        <f t="array" ref="BD197">IF($F197&lt;&gt;"", XLOOKUP($F197,Productos!$A$2:$A1001,Productos!AW$2:AW1001,"")*$G197,"")</f>
        <v/>
      </c>
      <c r="BE197" s="179" t="str">
        <f t="array" ref="BE197">IF($F197&lt;&gt;"",XLOOKUP($F197,Productos!$A:$A,Productos!AX:AX,"Revisar"),"")</f>
        <v/>
      </c>
      <c r="BF197" s="179" t="str">
        <f t="array" ref="BF197">IF($F197&lt;&gt;"", XLOOKUP($F197,Productos!$A$2:$A1001,Productos!AY$2:AY1001,"")*$G197,"")</f>
        <v/>
      </c>
      <c r="BG197" s="179" t="str">
        <f t="array" ref="BG197">IF($F197&lt;&gt;"",XLOOKUP($F197,Productos!$A:$A,Productos!AZ:AZ,"Revisar"),"")</f>
        <v/>
      </c>
      <c r="BH197" s="179" t="str">
        <f t="array" ref="BH197">IF($F197&lt;&gt;"", XLOOKUP($F197,Productos!$A$2:$A1001,Productos!BA$2:BA1001,"")*$G197,"")</f>
        <v/>
      </c>
      <c r="BI197" s="179" t="str">
        <f t="array" ref="BI197">IF($F197&lt;&gt;"",XLOOKUP($F197,Productos!$A:$A,Productos!BB:BB,"Revisar"),"")</f>
        <v/>
      </c>
      <c r="BJ197" s="179" t="str">
        <f t="array" ref="BJ197">IF($F197&lt;&gt;"", XLOOKUP($F197,Productos!$A$2:$A1001,Productos!BC$2:BC1001,"")*$G197,"")</f>
        <v/>
      </c>
      <c r="BK197" s="179" t="str">
        <f t="array" ref="BK197">IF($F197&lt;&gt;"",XLOOKUP($F197,Productos!$A:$A,Productos!BD:BD,"Revisar"),"")</f>
        <v/>
      </c>
      <c r="BL197" s="179" t="str">
        <f t="array" ref="BL197">IF($F197&lt;&gt;"", XLOOKUP($F197,Productos!$A$2:$A1001,Productos!BE$2:BE1001,"")*$G197,"")</f>
        <v/>
      </c>
      <c r="BM197" s="179" t="str">
        <f t="array" ref="BM197">IF($F197&lt;&gt;"",XLOOKUP($F197,Productos!$A:$A,Productos!BF:BF,"Revisar"),"")</f>
        <v/>
      </c>
      <c r="BN197" s="179" t="str">
        <f t="array" ref="BN197">IF($F197&lt;&gt;"", XLOOKUP($F197,Productos!$A$2:$A1001,Productos!BG$2:BG1001,"")*$G197,"")</f>
        <v/>
      </c>
      <c r="BO197" s="179" t="str">
        <f t="array" ref="BO197">IF($F197&lt;&gt;"",XLOOKUP($F197,Productos!$A:$A,Productos!BH:BH,"Revisar"),"")</f>
        <v/>
      </c>
      <c r="BP197" s="179" t="str">
        <f t="array" ref="BP197">IF($F197&lt;&gt;"", XLOOKUP($F197,Productos!$A$2:$A1001,Productos!BI$2:BI1001,"")*$G197,"")</f>
        <v/>
      </c>
      <c r="BQ197" s="179" t="str">
        <f t="array" ref="BQ197">IF($F197&lt;&gt;"",XLOOKUP($F197,Productos!$A:$A,Productos!BJ:BJ,"Revisar"),"")</f>
        <v/>
      </c>
      <c r="BR197" s="179" t="str">
        <f t="array" ref="BR197">IF($F197&lt;&gt;"", XLOOKUP($F197,Productos!$A$2:$A1001,Productos!BK$2:BK1001,"")*$G197,"")</f>
        <v/>
      </c>
      <c r="BS197" s="179" t="str">
        <f t="array" ref="BS197">IF($F197&lt;&gt;"",XLOOKUP($F197,Productos!$A:$A,Productos!BL:BL,"Revisar"),"")</f>
        <v/>
      </c>
      <c r="BT197" s="179" t="str">
        <f t="array" ref="BT197">IF($F197&lt;&gt;"", XLOOKUP($F197,Productos!$A$2:$A1001,Productos!BM$2:BM1001,"")*$G197,"")</f>
        <v/>
      </c>
      <c r="BU197" s="179" t="str">
        <f t="array" ref="BU197">IF($F197&lt;&gt;"",XLOOKUP($F197,Productos!$A:$A,Productos!BN:BN,"Revisar"),"")</f>
        <v/>
      </c>
      <c r="BV197" s="179" t="str">
        <f t="array" ref="BV197">IF($F197&lt;&gt;"", XLOOKUP($F197,Productos!$A$2:$A1001,Productos!BO$2:BO1001,"")*$G197,"")</f>
        <v/>
      </c>
      <c r="BW197" s="179" t="str">
        <f t="array" ref="BW197">IF($F197&lt;&gt;"",XLOOKUP($F197,Productos!$A:$A,Productos!BP:BP,"Revisar"),"")</f>
        <v/>
      </c>
      <c r="BX197" s="179" t="str">
        <f t="array" ref="BX197">IF($F197&lt;&gt;"", XLOOKUP($F197,Productos!$A$2:$A1001,Productos!BQ$2:BQ1001,"")*$G197,"")</f>
        <v/>
      </c>
      <c r="BY197" s="179" t="str">
        <f t="array" ref="BY197">IF($F197&lt;&gt;"",XLOOKUP($F197,Productos!$A:$A,Productos!BR:BR,"Revisar"),"")</f>
        <v/>
      </c>
      <c r="BZ197" s="179" t="str">
        <f t="array" ref="BZ197">IF($F197&lt;&gt;"", XLOOKUP($F197,Productos!$A$2:$A1001,Productos!BS$2:BS1001,"")*$G197,"")</f>
        <v/>
      </c>
    </row>
    <row r="198">
      <c r="A198" s="180"/>
      <c r="B198" s="181"/>
      <c r="C198" s="182"/>
      <c r="D198" s="182"/>
      <c r="E198" s="185"/>
      <c r="F198" s="186"/>
      <c r="G198" s="187"/>
      <c r="H198" s="186"/>
      <c r="I198" s="179" t="str">
        <f t="array" ref="I198">IF($F198&lt;&gt;"",XLOOKUP($F198,Productos!$A:$A,Productos!B:B,"Revisar"),"")</f>
        <v/>
      </c>
      <c r="J198" s="179" t="str">
        <f t="array" ref="J198">IF($F198&lt;&gt;"", XLOOKUP($F198,Productos!$A$2:$A1001,Productos!C$2:C1001,"")*$G198,"")</f>
        <v/>
      </c>
      <c r="K198" s="179" t="str">
        <f t="array" ref="K198">IF($F198&lt;&gt;"",XLOOKUP($F198,Productos!$A:$A,Productos!D:D,"Revisar"),"")</f>
        <v/>
      </c>
      <c r="L198" s="179" t="str">
        <f t="array" ref="L198">IF($F198&lt;&gt;"", XLOOKUP($F198,Productos!$A$2:$A1001,Productos!E$2:E1001,"")*$G198,"")</f>
        <v/>
      </c>
      <c r="M198" s="179" t="str">
        <f t="array" ref="M198">IF($F198&lt;&gt;"",XLOOKUP($F198,Productos!$A:$A,Productos!F:F,"Revisar"),"")</f>
        <v/>
      </c>
      <c r="N198" s="179" t="str">
        <f t="array" ref="N198">IF($F198&lt;&gt;"", XLOOKUP($F198,Productos!$A$2:$A1001,Productos!G$2:G1001,"")*$G198,"")</f>
        <v/>
      </c>
      <c r="O198" s="179" t="str">
        <f t="array" ref="O198">IF($F198&lt;&gt;"",XLOOKUP($F198,Productos!$A:$A,Productos!H:H,"Revisar"),"")</f>
        <v/>
      </c>
      <c r="P198" s="179" t="str">
        <f t="array" ref="P198">IF($F198&lt;&gt;"", XLOOKUP($F198,Productos!$A$2:$A1001,Productos!I$2:I1001,"")*$G198,"")</f>
        <v/>
      </c>
      <c r="Q198" s="179" t="str">
        <f t="array" ref="Q198">IF($F198&lt;&gt;"",XLOOKUP($F198,Productos!$A:$A,Productos!J:J,"Revisar"),"")</f>
        <v/>
      </c>
      <c r="R198" s="179" t="str">
        <f t="array" ref="R198">IF($F198&lt;&gt;"", XLOOKUP($F198,Productos!$A$2:$A1001,Productos!K$2:K1001,"")*$G198,"")</f>
        <v/>
      </c>
      <c r="S198" s="179" t="str">
        <f t="array" ref="S198">IF($F198&lt;&gt;"",XLOOKUP($F198,Productos!$A:$A,Productos!L:L,"Revisar"),"")</f>
        <v/>
      </c>
      <c r="T198" s="179" t="str">
        <f t="array" ref="T198">IF($F198&lt;&gt;"", XLOOKUP($F198,Productos!$A$2:$A1001,Productos!M$2:M1001,"")*$G198,"")</f>
        <v/>
      </c>
      <c r="U198" s="179" t="str">
        <f t="array" ref="U198">IF($F198&lt;&gt;"",XLOOKUP($F198,Productos!$A:$A,Productos!N:N,"Revisar"),"")</f>
        <v/>
      </c>
      <c r="V198" s="179" t="str">
        <f t="array" ref="V198">IF($F198&lt;&gt;"", XLOOKUP($F198,Productos!$A$2:$A1001,Productos!O$2:O1001,"")*$G198,"")</f>
        <v/>
      </c>
      <c r="W198" s="179" t="str">
        <f t="array" ref="W198">IF($F198&lt;&gt;"",XLOOKUP($F198,Productos!$A:$A,Productos!P:P,"Revisar"),"")</f>
        <v/>
      </c>
      <c r="X198" s="179" t="str">
        <f t="array" ref="X198">IF($F198&lt;&gt;"", XLOOKUP($F198,Productos!$A$2:$A1001,Productos!Q$2:Q1001,"")*$G198,"")</f>
        <v/>
      </c>
      <c r="Y198" s="179" t="str">
        <f t="array" ref="Y198">IF($F198&lt;&gt;"",XLOOKUP($F198,Productos!$A:$A,Productos!R:R,"Revisar"),"")</f>
        <v/>
      </c>
      <c r="Z198" s="179" t="str">
        <f t="array" ref="Z198">IF($F198&lt;&gt;"", XLOOKUP($F198,Productos!$A$2:$A1001,Productos!S$2:S1001,"")*$G198,"")</f>
        <v/>
      </c>
      <c r="AA198" s="179" t="str">
        <f t="array" ref="AA198">IF($F198&lt;&gt;"",XLOOKUP($F198,Productos!$A:$A,Productos!T:T,"Revisar"),"")</f>
        <v/>
      </c>
      <c r="AB198" s="179" t="str">
        <f t="array" ref="AB198">IF($F198&lt;&gt;"", XLOOKUP($F198,Productos!$A$2:$A1001,Productos!U$2:U1001,"")*$G198,"")</f>
        <v/>
      </c>
      <c r="AC198" s="179" t="str">
        <f t="array" ref="AC198">IF($F198&lt;&gt;"",XLOOKUP($F198,Productos!$A:$A,Productos!V:V,"Revisar"),"")</f>
        <v/>
      </c>
      <c r="AD198" s="179" t="str">
        <f t="array" ref="AD198">IF($F198&lt;&gt;"", XLOOKUP($F198,Productos!$A$2:$A1001,Productos!W$2:W1001,"")*$G198,"")</f>
        <v/>
      </c>
      <c r="AE198" s="179" t="str">
        <f t="array" ref="AE198">IF($F198&lt;&gt;"",XLOOKUP($F198,Productos!$A:$A,Productos!X:X,"Revisar"),"")</f>
        <v/>
      </c>
      <c r="AF198" s="179" t="str">
        <f t="array" ref="AF198">IF($F198&lt;&gt;"", XLOOKUP($F198,Productos!$A$2:$A1001,Productos!Y$2:Y1001,"")*$G198,"")</f>
        <v/>
      </c>
      <c r="AG198" s="179" t="str">
        <f t="array" ref="AG198">IF($F198&lt;&gt;"",XLOOKUP($F198,Productos!$A:$A,Productos!Z:Z,"Revisar"),"")</f>
        <v/>
      </c>
      <c r="AH198" s="179" t="str">
        <f t="array" ref="AH198">IF($F198&lt;&gt;"", XLOOKUP($F198,Productos!$A$2:$A1001,Productos!AA$2:AA1001,"")*$G198,"")</f>
        <v/>
      </c>
      <c r="AI198" s="179" t="str">
        <f t="array" ref="AI198">IF($F198&lt;&gt;"",XLOOKUP($F198,Productos!$A:$A,Productos!AB:AB,"Revisar"),"")</f>
        <v/>
      </c>
      <c r="AJ198" s="179" t="str">
        <f t="array" ref="AJ198">IF($F198&lt;&gt;"", XLOOKUP($F198,Productos!$A$2:$A1001,Productos!AC$2:AC1001,"")*$G198,"")</f>
        <v/>
      </c>
      <c r="AK198" s="179" t="str">
        <f t="array" ref="AK198">IF($F198&lt;&gt;"",XLOOKUP($F198,Productos!$A:$A,Productos!AD:AD,"Revisar"),"")</f>
        <v/>
      </c>
      <c r="AL198" s="179" t="str">
        <f t="array" ref="AL198">IF($F198&lt;&gt;"", XLOOKUP($F198,Productos!$A$2:$A1001,Productos!AE$2:AE1001,"")*$G198,"")</f>
        <v/>
      </c>
      <c r="AM198" s="179" t="str">
        <f t="array" ref="AM198">IF($F198&lt;&gt;"",XLOOKUP($F198,Productos!$A:$A,Productos!AF:AF,"Revisar"),"")</f>
        <v/>
      </c>
      <c r="AN198" s="179" t="str">
        <f t="array" ref="AN198">IF($F198&lt;&gt;"", XLOOKUP($F198,Productos!$A$2:$A1001,Productos!AG$2:AG1001,"")*$G198,"")</f>
        <v/>
      </c>
      <c r="AO198" s="179" t="str">
        <f t="array" ref="AO198">IF($F198&lt;&gt;"",XLOOKUP($F198,Productos!$A:$A,Productos!AH:AH,"Revisar"),"")</f>
        <v/>
      </c>
      <c r="AP198" s="179" t="str">
        <f t="array" ref="AP198">IF($F198&lt;&gt;"", XLOOKUP($F198,Productos!$A$2:$A1001,Productos!AI$2:AI1001,"")*$G198,"")</f>
        <v/>
      </c>
      <c r="AQ198" s="179" t="str">
        <f t="array" ref="AQ198">IF($F198&lt;&gt;"",XLOOKUP($F198,Productos!$A:$A,Productos!AJ:AJ,"Revisar"),"")</f>
        <v/>
      </c>
      <c r="AR198" s="179" t="str">
        <f t="array" ref="AR198">IF($F198&lt;&gt;"", XLOOKUP($F198,Productos!$A$2:$A1001,Productos!AK$2:AK1001,"")*$G198,"")</f>
        <v/>
      </c>
      <c r="AS198" s="179" t="str">
        <f t="array" ref="AS198">IF($F198&lt;&gt;"",XLOOKUP($F198,Productos!$A:$A,Productos!AL:AL,"Revisar"),"")</f>
        <v/>
      </c>
      <c r="AT198" s="179" t="str">
        <f t="array" ref="AT198">IF($F198&lt;&gt;"", XLOOKUP($F198,Productos!$A$2:$A1001,Productos!AM$2:AM1001,"")*$G198,"")</f>
        <v/>
      </c>
      <c r="AU198" s="179" t="str">
        <f t="array" ref="AU198">IF($F198&lt;&gt;"",XLOOKUP($F198,Productos!$A:$A,Productos!AN:AN,"Revisar"),"")</f>
        <v/>
      </c>
      <c r="AV198" s="179" t="str">
        <f t="array" ref="AV198">IF($F198&lt;&gt;"", XLOOKUP($F198,Productos!$A$2:$A1001,Productos!AO$2:AO1001,"")*$G198,"")</f>
        <v/>
      </c>
      <c r="AW198" s="179" t="str">
        <f t="array" ref="AW198">IF($F198&lt;&gt;"",XLOOKUP($F198,Productos!$A:$A,Productos!AP:AP,"Revisar"),"")</f>
        <v/>
      </c>
      <c r="AX198" s="179" t="str">
        <f t="array" ref="AX198">IF($F198&lt;&gt;"", XLOOKUP($F198,Productos!$A$2:$A1001,Productos!AQ$2:AQ1001,"")*$G198,"")</f>
        <v/>
      </c>
      <c r="AY198" s="179" t="str">
        <f t="array" ref="AY198">IF($F198&lt;&gt;"",XLOOKUP($F198,Productos!$A:$A,Productos!AR:AR,"Revisar"),"")</f>
        <v/>
      </c>
      <c r="AZ198" s="179" t="str">
        <f t="array" ref="AZ198">IF($F198&lt;&gt;"", XLOOKUP($F198,Productos!$A$2:$A1001,Productos!AS$2:AS1001,"")*$G198,"")</f>
        <v/>
      </c>
      <c r="BA198" s="179" t="str">
        <f t="array" ref="BA198">IF($F198&lt;&gt;"",XLOOKUP($F198,Productos!$A:$A,Productos!AT:AT,"Revisar"),"")</f>
        <v/>
      </c>
      <c r="BB198" s="179" t="str">
        <f t="array" ref="BB198">IF($F198&lt;&gt;"", XLOOKUP($F198,Productos!$A$2:$A1001,Productos!AU$2:AU1001,"")*$G198,"")</f>
        <v/>
      </c>
      <c r="BC198" s="179" t="str">
        <f t="array" ref="BC198">IF($F198&lt;&gt;"",XLOOKUP($F198,Productos!$A:$A,Productos!AV:AV,"Revisar"),"")</f>
        <v/>
      </c>
      <c r="BD198" s="179" t="str">
        <f t="array" ref="BD198">IF($F198&lt;&gt;"", XLOOKUP($F198,Productos!$A$2:$A1001,Productos!AW$2:AW1001,"")*$G198,"")</f>
        <v/>
      </c>
      <c r="BE198" s="179" t="str">
        <f t="array" ref="BE198">IF($F198&lt;&gt;"",XLOOKUP($F198,Productos!$A:$A,Productos!AX:AX,"Revisar"),"")</f>
        <v/>
      </c>
      <c r="BF198" s="179" t="str">
        <f t="array" ref="BF198">IF($F198&lt;&gt;"", XLOOKUP($F198,Productos!$A$2:$A1001,Productos!AY$2:AY1001,"")*$G198,"")</f>
        <v/>
      </c>
      <c r="BG198" s="179" t="str">
        <f t="array" ref="BG198">IF($F198&lt;&gt;"",XLOOKUP($F198,Productos!$A:$A,Productos!AZ:AZ,"Revisar"),"")</f>
        <v/>
      </c>
      <c r="BH198" s="179" t="str">
        <f t="array" ref="BH198">IF($F198&lt;&gt;"", XLOOKUP($F198,Productos!$A$2:$A1001,Productos!BA$2:BA1001,"")*$G198,"")</f>
        <v/>
      </c>
      <c r="BI198" s="179" t="str">
        <f t="array" ref="BI198">IF($F198&lt;&gt;"",XLOOKUP($F198,Productos!$A:$A,Productos!BB:BB,"Revisar"),"")</f>
        <v/>
      </c>
      <c r="BJ198" s="179" t="str">
        <f t="array" ref="BJ198">IF($F198&lt;&gt;"", XLOOKUP($F198,Productos!$A$2:$A1001,Productos!BC$2:BC1001,"")*$G198,"")</f>
        <v/>
      </c>
      <c r="BK198" s="179" t="str">
        <f t="array" ref="BK198">IF($F198&lt;&gt;"",XLOOKUP($F198,Productos!$A:$A,Productos!BD:BD,"Revisar"),"")</f>
        <v/>
      </c>
      <c r="BL198" s="179" t="str">
        <f t="array" ref="BL198">IF($F198&lt;&gt;"", XLOOKUP($F198,Productos!$A$2:$A1001,Productos!BE$2:BE1001,"")*$G198,"")</f>
        <v/>
      </c>
      <c r="BM198" s="179" t="str">
        <f t="array" ref="BM198">IF($F198&lt;&gt;"",XLOOKUP($F198,Productos!$A:$A,Productos!BF:BF,"Revisar"),"")</f>
        <v/>
      </c>
      <c r="BN198" s="179" t="str">
        <f t="array" ref="BN198">IF($F198&lt;&gt;"", XLOOKUP($F198,Productos!$A$2:$A1001,Productos!BG$2:BG1001,"")*$G198,"")</f>
        <v/>
      </c>
      <c r="BO198" s="179" t="str">
        <f t="array" ref="BO198">IF($F198&lt;&gt;"",XLOOKUP($F198,Productos!$A:$A,Productos!BH:BH,"Revisar"),"")</f>
        <v/>
      </c>
      <c r="BP198" s="179" t="str">
        <f t="array" ref="BP198">IF($F198&lt;&gt;"", XLOOKUP($F198,Productos!$A$2:$A1001,Productos!BI$2:BI1001,"")*$G198,"")</f>
        <v/>
      </c>
      <c r="BQ198" s="179" t="str">
        <f t="array" ref="BQ198">IF($F198&lt;&gt;"",XLOOKUP($F198,Productos!$A:$A,Productos!BJ:BJ,"Revisar"),"")</f>
        <v/>
      </c>
      <c r="BR198" s="179" t="str">
        <f t="array" ref="BR198">IF($F198&lt;&gt;"", XLOOKUP($F198,Productos!$A$2:$A1001,Productos!BK$2:BK1001,"")*$G198,"")</f>
        <v/>
      </c>
      <c r="BS198" s="179" t="str">
        <f t="array" ref="BS198">IF($F198&lt;&gt;"",XLOOKUP($F198,Productos!$A:$A,Productos!BL:BL,"Revisar"),"")</f>
        <v/>
      </c>
      <c r="BT198" s="179" t="str">
        <f t="array" ref="BT198">IF($F198&lt;&gt;"", XLOOKUP($F198,Productos!$A$2:$A1001,Productos!BM$2:BM1001,"")*$G198,"")</f>
        <v/>
      </c>
      <c r="BU198" s="179" t="str">
        <f t="array" ref="BU198">IF($F198&lt;&gt;"",XLOOKUP($F198,Productos!$A:$A,Productos!BN:BN,"Revisar"),"")</f>
        <v/>
      </c>
      <c r="BV198" s="179" t="str">
        <f t="array" ref="BV198">IF($F198&lt;&gt;"", XLOOKUP($F198,Productos!$A$2:$A1001,Productos!BO$2:BO1001,"")*$G198,"")</f>
        <v/>
      </c>
      <c r="BW198" s="179" t="str">
        <f t="array" ref="BW198">IF($F198&lt;&gt;"",XLOOKUP($F198,Productos!$A:$A,Productos!BP:BP,"Revisar"),"")</f>
        <v/>
      </c>
      <c r="BX198" s="179" t="str">
        <f t="array" ref="BX198">IF($F198&lt;&gt;"", XLOOKUP($F198,Productos!$A$2:$A1001,Productos!BQ$2:BQ1001,"")*$G198,"")</f>
        <v/>
      </c>
      <c r="BY198" s="179" t="str">
        <f t="array" ref="BY198">IF($F198&lt;&gt;"",XLOOKUP($F198,Productos!$A:$A,Productos!BR:BR,"Revisar"),"")</f>
        <v/>
      </c>
      <c r="BZ198" s="179" t="str">
        <f t="array" ref="BZ198">IF($F198&lt;&gt;"", XLOOKUP($F198,Productos!$A$2:$A1001,Productos!BS$2:BS1001,"")*$G198,"")</f>
        <v/>
      </c>
    </row>
    <row r="199">
      <c r="A199" s="180"/>
      <c r="B199" s="181"/>
      <c r="C199" s="182"/>
      <c r="D199" s="182"/>
      <c r="E199" s="185"/>
      <c r="F199" s="186"/>
      <c r="G199" s="187"/>
      <c r="H199" s="186"/>
      <c r="I199" s="179" t="str">
        <f t="array" ref="I199">IF($F199&lt;&gt;"",XLOOKUP($F199,Productos!$A:$A,Productos!B:B,"Revisar"),"")</f>
        <v/>
      </c>
      <c r="J199" s="179" t="str">
        <f t="array" ref="J199">IF($F199&lt;&gt;"", XLOOKUP($F199,Productos!$A$2:$A1001,Productos!C$2:C1001,"")*$G199,"")</f>
        <v/>
      </c>
      <c r="K199" s="179" t="str">
        <f t="array" ref="K199">IF($F199&lt;&gt;"",XLOOKUP($F199,Productos!$A:$A,Productos!D:D,"Revisar"),"")</f>
        <v/>
      </c>
      <c r="L199" s="179" t="str">
        <f t="array" ref="L199">IF($F199&lt;&gt;"", XLOOKUP($F199,Productos!$A$2:$A1001,Productos!E$2:E1001,"")*$G199,"")</f>
        <v/>
      </c>
      <c r="M199" s="179" t="str">
        <f t="array" ref="M199">IF($F199&lt;&gt;"",XLOOKUP($F199,Productos!$A:$A,Productos!F:F,"Revisar"),"")</f>
        <v/>
      </c>
      <c r="N199" s="179" t="str">
        <f t="array" ref="N199">IF($F199&lt;&gt;"", XLOOKUP($F199,Productos!$A$2:$A1001,Productos!G$2:G1001,"")*$G199,"")</f>
        <v/>
      </c>
      <c r="O199" s="179" t="str">
        <f t="array" ref="O199">IF($F199&lt;&gt;"",XLOOKUP($F199,Productos!$A:$A,Productos!H:H,"Revisar"),"")</f>
        <v/>
      </c>
      <c r="P199" s="179" t="str">
        <f t="array" ref="P199">IF($F199&lt;&gt;"", XLOOKUP($F199,Productos!$A$2:$A1001,Productos!I$2:I1001,"")*$G199,"")</f>
        <v/>
      </c>
      <c r="Q199" s="179" t="str">
        <f t="array" ref="Q199">IF($F199&lt;&gt;"",XLOOKUP($F199,Productos!$A:$A,Productos!J:J,"Revisar"),"")</f>
        <v/>
      </c>
      <c r="R199" s="179" t="str">
        <f t="array" ref="R199">IF($F199&lt;&gt;"", XLOOKUP($F199,Productos!$A$2:$A1001,Productos!K$2:K1001,"")*$G199,"")</f>
        <v/>
      </c>
      <c r="S199" s="179" t="str">
        <f t="array" ref="S199">IF($F199&lt;&gt;"",XLOOKUP($F199,Productos!$A:$A,Productos!L:L,"Revisar"),"")</f>
        <v/>
      </c>
      <c r="T199" s="179" t="str">
        <f t="array" ref="T199">IF($F199&lt;&gt;"", XLOOKUP($F199,Productos!$A$2:$A1001,Productos!M$2:M1001,"")*$G199,"")</f>
        <v/>
      </c>
      <c r="U199" s="179" t="str">
        <f t="array" ref="U199">IF($F199&lt;&gt;"",XLOOKUP($F199,Productos!$A:$A,Productos!N:N,"Revisar"),"")</f>
        <v/>
      </c>
      <c r="V199" s="179" t="str">
        <f t="array" ref="V199">IF($F199&lt;&gt;"", XLOOKUP($F199,Productos!$A$2:$A1001,Productos!O$2:O1001,"")*$G199,"")</f>
        <v/>
      </c>
      <c r="W199" s="179" t="str">
        <f t="array" ref="W199">IF($F199&lt;&gt;"",XLOOKUP($F199,Productos!$A:$A,Productos!P:P,"Revisar"),"")</f>
        <v/>
      </c>
      <c r="X199" s="179" t="str">
        <f t="array" ref="X199">IF($F199&lt;&gt;"", XLOOKUP($F199,Productos!$A$2:$A1001,Productos!Q$2:Q1001,"")*$G199,"")</f>
        <v/>
      </c>
      <c r="Y199" s="179" t="str">
        <f t="array" ref="Y199">IF($F199&lt;&gt;"",XLOOKUP($F199,Productos!$A:$A,Productos!R:R,"Revisar"),"")</f>
        <v/>
      </c>
      <c r="Z199" s="179" t="str">
        <f t="array" ref="Z199">IF($F199&lt;&gt;"", XLOOKUP($F199,Productos!$A$2:$A1001,Productos!S$2:S1001,"")*$G199,"")</f>
        <v/>
      </c>
      <c r="AA199" s="179" t="str">
        <f t="array" ref="AA199">IF($F199&lt;&gt;"",XLOOKUP($F199,Productos!$A:$A,Productos!T:T,"Revisar"),"")</f>
        <v/>
      </c>
      <c r="AB199" s="179" t="str">
        <f t="array" ref="AB199">IF($F199&lt;&gt;"", XLOOKUP($F199,Productos!$A$2:$A1001,Productos!U$2:U1001,"")*$G199,"")</f>
        <v/>
      </c>
      <c r="AC199" s="179" t="str">
        <f t="array" ref="AC199">IF($F199&lt;&gt;"",XLOOKUP($F199,Productos!$A:$A,Productos!V:V,"Revisar"),"")</f>
        <v/>
      </c>
      <c r="AD199" s="179" t="str">
        <f t="array" ref="AD199">IF($F199&lt;&gt;"", XLOOKUP($F199,Productos!$A$2:$A1001,Productos!W$2:W1001,"")*$G199,"")</f>
        <v/>
      </c>
      <c r="AE199" s="179" t="str">
        <f t="array" ref="AE199">IF($F199&lt;&gt;"",XLOOKUP($F199,Productos!$A:$A,Productos!X:X,"Revisar"),"")</f>
        <v/>
      </c>
      <c r="AF199" s="179" t="str">
        <f t="array" ref="AF199">IF($F199&lt;&gt;"", XLOOKUP($F199,Productos!$A$2:$A1001,Productos!Y$2:Y1001,"")*$G199,"")</f>
        <v/>
      </c>
      <c r="AG199" s="179" t="str">
        <f t="array" ref="AG199">IF($F199&lt;&gt;"",XLOOKUP($F199,Productos!$A:$A,Productos!Z:Z,"Revisar"),"")</f>
        <v/>
      </c>
      <c r="AH199" s="179" t="str">
        <f t="array" ref="AH199">IF($F199&lt;&gt;"", XLOOKUP($F199,Productos!$A$2:$A1001,Productos!AA$2:AA1001,"")*$G199,"")</f>
        <v/>
      </c>
      <c r="AI199" s="179" t="str">
        <f t="array" ref="AI199">IF($F199&lt;&gt;"",XLOOKUP($F199,Productos!$A:$A,Productos!AB:AB,"Revisar"),"")</f>
        <v/>
      </c>
      <c r="AJ199" s="179" t="str">
        <f t="array" ref="AJ199">IF($F199&lt;&gt;"", XLOOKUP($F199,Productos!$A$2:$A1001,Productos!AC$2:AC1001,"")*$G199,"")</f>
        <v/>
      </c>
      <c r="AK199" s="179" t="str">
        <f t="array" ref="AK199">IF($F199&lt;&gt;"",XLOOKUP($F199,Productos!$A:$A,Productos!AD:AD,"Revisar"),"")</f>
        <v/>
      </c>
      <c r="AL199" s="179" t="str">
        <f t="array" ref="AL199">IF($F199&lt;&gt;"", XLOOKUP($F199,Productos!$A$2:$A1001,Productos!AE$2:AE1001,"")*$G199,"")</f>
        <v/>
      </c>
      <c r="AM199" s="179" t="str">
        <f t="array" ref="AM199">IF($F199&lt;&gt;"",XLOOKUP($F199,Productos!$A:$A,Productos!AF:AF,"Revisar"),"")</f>
        <v/>
      </c>
      <c r="AN199" s="179" t="str">
        <f t="array" ref="AN199">IF($F199&lt;&gt;"", XLOOKUP($F199,Productos!$A$2:$A1001,Productos!AG$2:AG1001,"")*$G199,"")</f>
        <v/>
      </c>
      <c r="AO199" s="179" t="str">
        <f t="array" ref="AO199">IF($F199&lt;&gt;"",XLOOKUP($F199,Productos!$A:$A,Productos!AH:AH,"Revisar"),"")</f>
        <v/>
      </c>
      <c r="AP199" s="179" t="str">
        <f t="array" ref="AP199">IF($F199&lt;&gt;"", XLOOKUP($F199,Productos!$A$2:$A1001,Productos!AI$2:AI1001,"")*$G199,"")</f>
        <v/>
      </c>
      <c r="AQ199" s="179" t="str">
        <f t="array" ref="AQ199">IF($F199&lt;&gt;"",XLOOKUP($F199,Productos!$A:$A,Productos!AJ:AJ,"Revisar"),"")</f>
        <v/>
      </c>
      <c r="AR199" s="179" t="str">
        <f t="array" ref="AR199">IF($F199&lt;&gt;"", XLOOKUP($F199,Productos!$A$2:$A1001,Productos!AK$2:AK1001,"")*$G199,"")</f>
        <v/>
      </c>
      <c r="AS199" s="179" t="str">
        <f t="array" ref="AS199">IF($F199&lt;&gt;"",XLOOKUP($F199,Productos!$A:$A,Productos!AL:AL,"Revisar"),"")</f>
        <v/>
      </c>
      <c r="AT199" s="179" t="str">
        <f t="array" ref="AT199">IF($F199&lt;&gt;"", XLOOKUP($F199,Productos!$A$2:$A1001,Productos!AM$2:AM1001,"")*$G199,"")</f>
        <v/>
      </c>
      <c r="AU199" s="179" t="str">
        <f t="array" ref="AU199">IF($F199&lt;&gt;"",XLOOKUP($F199,Productos!$A:$A,Productos!AN:AN,"Revisar"),"")</f>
        <v/>
      </c>
      <c r="AV199" s="179" t="str">
        <f t="array" ref="AV199">IF($F199&lt;&gt;"", XLOOKUP($F199,Productos!$A$2:$A1001,Productos!AO$2:AO1001,"")*$G199,"")</f>
        <v/>
      </c>
      <c r="AW199" s="179" t="str">
        <f t="array" ref="AW199">IF($F199&lt;&gt;"",XLOOKUP($F199,Productos!$A:$A,Productos!AP:AP,"Revisar"),"")</f>
        <v/>
      </c>
      <c r="AX199" s="179" t="str">
        <f t="array" ref="AX199">IF($F199&lt;&gt;"", XLOOKUP($F199,Productos!$A$2:$A1001,Productos!AQ$2:AQ1001,"")*$G199,"")</f>
        <v/>
      </c>
      <c r="AY199" s="179" t="str">
        <f t="array" ref="AY199">IF($F199&lt;&gt;"",XLOOKUP($F199,Productos!$A:$A,Productos!AR:AR,"Revisar"),"")</f>
        <v/>
      </c>
      <c r="AZ199" s="179" t="str">
        <f t="array" ref="AZ199">IF($F199&lt;&gt;"", XLOOKUP($F199,Productos!$A$2:$A1001,Productos!AS$2:AS1001,"")*$G199,"")</f>
        <v/>
      </c>
      <c r="BA199" s="179" t="str">
        <f t="array" ref="BA199">IF($F199&lt;&gt;"",XLOOKUP($F199,Productos!$A:$A,Productos!AT:AT,"Revisar"),"")</f>
        <v/>
      </c>
      <c r="BB199" s="179" t="str">
        <f t="array" ref="BB199">IF($F199&lt;&gt;"", XLOOKUP($F199,Productos!$A$2:$A1001,Productos!AU$2:AU1001,"")*$G199,"")</f>
        <v/>
      </c>
      <c r="BC199" s="179" t="str">
        <f t="array" ref="BC199">IF($F199&lt;&gt;"",XLOOKUP($F199,Productos!$A:$A,Productos!AV:AV,"Revisar"),"")</f>
        <v/>
      </c>
      <c r="BD199" s="179" t="str">
        <f t="array" ref="BD199">IF($F199&lt;&gt;"", XLOOKUP($F199,Productos!$A$2:$A1001,Productos!AW$2:AW1001,"")*$G199,"")</f>
        <v/>
      </c>
      <c r="BE199" s="179" t="str">
        <f t="array" ref="BE199">IF($F199&lt;&gt;"",XLOOKUP($F199,Productos!$A:$A,Productos!AX:AX,"Revisar"),"")</f>
        <v/>
      </c>
      <c r="BF199" s="179" t="str">
        <f t="array" ref="BF199">IF($F199&lt;&gt;"", XLOOKUP($F199,Productos!$A$2:$A1001,Productos!AY$2:AY1001,"")*$G199,"")</f>
        <v/>
      </c>
      <c r="BG199" s="179" t="str">
        <f t="array" ref="BG199">IF($F199&lt;&gt;"",XLOOKUP($F199,Productos!$A:$A,Productos!AZ:AZ,"Revisar"),"")</f>
        <v/>
      </c>
      <c r="BH199" s="179" t="str">
        <f t="array" ref="BH199">IF($F199&lt;&gt;"", XLOOKUP($F199,Productos!$A$2:$A1001,Productos!BA$2:BA1001,"")*$G199,"")</f>
        <v/>
      </c>
      <c r="BI199" s="179" t="str">
        <f t="array" ref="BI199">IF($F199&lt;&gt;"",XLOOKUP($F199,Productos!$A:$A,Productos!BB:BB,"Revisar"),"")</f>
        <v/>
      </c>
      <c r="BJ199" s="179" t="str">
        <f t="array" ref="BJ199">IF($F199&lt;&gt;"", XLOOKUP($F199,Productos!$A$2:$A1001,Productos!BC$2:BC1001,"")*$G199,"")</f>
        <v/>
      </c>
      <c r="BK199" s="179" t="str">
        <f t="array" ref="BK199">IF($F199&lt;&gt;"",XLOOKUP($F199,Productos!$A:$A,Productos!BD:BD,"Revisar"),"")</f>
        <v/>
      </c>
      <c r="BL199" s="179" t="str">
        <f t="array" ref="BL199">IF($F199&lt;&gt;"", XLOOKUP($F199,Productos!$A$2:$A1001,Productos!BE$2:BE1001,"")*$G199,"")</f>
        <v/>
      </c>
      <c r="BM199" s="179" t="str">
        <f t="array" ref="BM199">IF($F199&lt;&gt;"",XLOOKUP($F199,Productos!$A:$A,Productos!BF:BF,"Revisar"),"")</f>
        <v/>
      </c>
      <c r="BN199" s="179" t="str">
        <f t="array" ref="BN199">IF($F199&lt;&gt;"", XLOOKUP($F199,Productos!$A$2:$A1001,Productos!BG$2:BG1001,"")*$G199,"")</f>
        <v/>
      </c>
      <c r="BO199" s="179" t="str">
        <f t="array" ref="BO199">IF($F199&lt;&gt;"",XLOOKUP($F199,Productos!$A:$A,Productos!BH:BH,"Revisar"),"")</f>
        <v/>
      </c>
      <c r="BP199" s="179" t="str">
        <f t="array" ref="BP199">IF($F199&lt;&gt;"", XLOOKUP($F199,Productos!$A$2:$A1001,Productos!BI$2:BI1001,"")*$G199,"")</f>
        <v/>
      </c>
      <c r="BQ199" s="179" t="str">
        <f t="array" ref="BQ199">IF($F199&lt;&gt;"",XLOOKUP($F199,Productos!$A:$A,Productos!BJ:BJ,"Revisar"),"")</f>
        <v/>
      </c>
      <c r="BR199" s="179" t="str">
        <f t="array" ref="BR199">IF($F199&lt;&gt;"", XLOOKUP($F199,Productos!$A$2:$A1001,Productos!BK$2:BK1001,"")*$G199,"")</f>
        <v/>
      </c>
      <c r="BS199" s="179" t="str">
        <f t="array" ref="BS199">IF($F199&lt;&gt;"",XLOOKUP($F199,Productos!$A:$A,Productos!BL:BL,"Revisar"),"")</f>
        <v/>
      </c>
      <c r="BT199" s="179" t="str">
        <f t="array" ref="BT199">IF($F199&lt;&gt;"", XLOOKUP($F199,Productos!$A$2:$A1001,Productos!BM$2:BM1001,"")*$G199,"")</f>
        <v/>
      </c>
      <c r="BU199" s="179" t="str">
        <f t="array" ref="BU199">IF($F199&lt;&gt;"",XLOOKUP($F199,Productos!$A:$A,Productos!BN:BN,"Revisar"),"")</f>
        <v/>
      </c>
      <c r="BV199" s="179" t="str">
        <f t="array" ref="BV199">IF($F199&lt;&gt;"", XLOOKUP($F199,Productos!$A$2:$A1001,Productos!BO$2:BO1001,"")*$G199,"")</f>
        <v/>
      </c>
      <c r="BW199" s="179" t="str">
        <f t="array" ref="BW199">IF($F199&lt;&gt;"",XLOOKUP($F199,Productos!$A:$A,Productos!BP:BP,"Revisar"),"")</f>
        <v/>
      </c>
      <c r="BX199" s="179" t="str">
        <f t="array" ref="BX199">IF($F199&lt;&gt;"", XLOOKUP($F199,Productos!$A$2:$A1001,Productos!BQ$2:BQ1001,"")*$G199,"")</f>
        <v/>
      </c>
      <c r="BY199" s="179" t="str">
        <f t="array" ref="BY199">IF($F199&lt;&gt;"",XLOOKUP($F199,Productos!$A:$A,Productos!BR:BR,"Revisar"),"")</f>
        <v/>
      </c>
      <c r="BZ199" s="179" t="str">
        <f t="array" ref="BZ199">IF($F199&lt;&gt;"", XLOOKUP($F199,Productos!$A$2:$A1001,Productos!BS$2:BS1001,"")*$G199,"")</f>
        <v/>
      </c>
    </row>
    <row r="200">
      <c r="A200" s="180"/>
      <c r="B200" s="181"/>
      <c r="C200" s="182"/>
      <c r="D200" s="182"/>
      <c r="E200" s="185"/>
      <c r="F200" s="186"/>
      <c r="G200" s="187"/>
      <c r="H200" s="186"/>
      <c r="I200" s="179" t="str">
        <f t="array" ref="I200">IF($F200&lt;&gt;"",XLOOKUP($F200,Productos!$A:$A,Productos!B:B,"Revisar"),"")</f>
        <v/>
      </c>
      <c r="J200" s="179" t="str">
        <f t="array" ref="J200">IF($F200&lt;&gt;"", XLOOKUP($F200,Productos!$A$2:$A1001,Productos!C$2:C1001,"")*$G200,"")</f>
        <v/>
      </c>
      <c r="K200" s="179" t="str">
        <f t="array" ref="K200">IF($F200&lt;&gt;"",XLOOKUP($F200,Productos!$A:$A,Productos!D:D,"Revisar"),"")</f>
        <v/>
      </c>
      <c r="L200" s="179" t="str">
        <f t="array" ref="L200">IF($F200&lt;&gt;"", XLOOKUP($F200,Productos!$A$2:$A1001,Productos!E$2:E1001,"")*$G200,"")</f>
        <v/>
      </c>
      <c r="M200" s="179" t="str">
        <f t="array" ref="M200">IF($F200&lt;&gt;"",XLOOKUP($F200,Productos!$A:$A,Productos!F:F,"Revisar"),"")</f>
        <v/>
      </c>
      <c r="N200" s="179" t="str">
        <f t="array" ref="N200">IF($F200&lt;&gt;"", XLOOKUP($F200,Productos!$A$2:$A1001,Productos!G$2:G1001,"")*$G200,"")</f>
        <v/>
      </c>
      <c r="O200" s="179" t="str">
        <f t="array" ref="O200">IF($F200&lt;&gt;"",XLOOKUP($F200,Productos!$A:$A,Productos!H:H,"Revisar"),"")</f>
        <v/>
      </c>
      <c r="P200" s="179" t="str">
        <f t="array" ref="P200">IF($F200&lt;&gt;"", XLOOKUP($F200,Productos!$A$2:$A1001,Productos!I$2:I1001,"")*$G200,"")</f>
        <v/>
      </c>
      <c r="Q200" s="179" t="str">
        <f t="array" ref="Q200">IF($F200&lt;&gt;"",XLOOKUP($F200,Productos!$A:$A,Productos!J:J,"Revisar"),"")</f>
        <v/>
      </c>
      <c r="R200" s="179" t="str">
        <f t="array" ref="R200">IF($F200&lt;&gt;"", XLOOKUP($F200,Productos!$A$2:$A1001,Productos!K$2:K1001,"")*$G200,"")</f>
        <v/>
      </c>
      <c r="S200" s="179" t="str">
        <f t="array" ref="S200">IF($F200&lt;&gt;"",XLOOKUP($F200,Productos!$A:$A,Productos!L:L,"Revisar"),"")</f>
        <v/>
      </c>
      <c r="T200" s="179" t="str">
        <f t="array" ref="T200">IF($F200&lt;&gt;"", XLOOKUP($F200,Productos!$A$2:$A1001,Productos!M$2:M1001,"")*$G200,"")</f>
        <v/>
      </c>
      <c r="U200" s="179" t="str">
        <f t="array" ref="U200">IF($F200&lt;&gt;"",XLOOKUP($F200,Productos!$A:$A,Productos!N:N,"Revisar"),"")</f>
        <v/>
      </c>
      <c r="V200" s="179" t="str">
        <f t="array" ref="V200">IF($F200&lt;&gt;"", XLOOKUP($F200,Productos!$A$2:$A1001,Productos!O$2:O1001,"")*$G200,"")</f>
        <v/>
      </c>
      <c r="W200" s="179" t="str">
        <f t="array" ref="W200">IF($F200&lt;&gt;"",XLOOKUP($F200,Productos!$A:$A,Productos!P:P,"Revisar"),"")</f>
        <v/>
      </c>
      <c r="X200" s="179" t="str">
        <f t="array" ref="X200">IF($F200&lt;&gt;"", XLOOKUP($F200,Productos!$A$2:$A1001,Productos!Q$2:Q1001,"")*$G200,"")</f>
        <v/>
      </c>
      <c r="Y200" s="179" t="str">
        <f t="array" ref="Y200">IF($F200&lt;&gt;"",XLOOKUP($F200,Productos!$A:$A,Productos!R:R,"Revisar"),"")</f>
        <v/>
      </c>
      <c r="Z200" s="179" t="str">
        <f t="array" ref="Z200">IF($F200&lt;&gt;"", XLOOKUP($F200,Productos!$A$2:$A1001,Productos!S$2:S1001,"")*$G200,"")</f>
        <v/>
      </c>
      <c r="AA200" s="179" t="str">
        <f t="array" ref="AA200">IF($F200&lt;&gt;"",XLOOKUP($F200,Productos!$A:$A,Productos!T:T,"Revisar"),"")</f>
        <v/>
      </c>
      <c r="AB200" s="179" t="str">
        <f t="array" ref="AB200">IF($F200&lt;&gt;"", XLOOKUP($F200,Productos!$A$2:$A1001,Productos!U$2:U1001,"")*$G200,"")</f>
        <v/>
      </c>
      <c r="AC200" s="179" t="str">
        <f t="array" ref="AC200">IF($F200&lt;&gt;"",XLOOKUP($F200,Productos!$A:$A,Productos!V:V,"Revisar"),"")</f>
        <v/>
      </c>
      <c r="AD200" s="179" t="str">
        <f t="array" ref="AD200">IF($F200&lt;&gt;"", XLOOKUP($F200,Productos!$A$2:$A1001,Productos!W$2:W1001,"")*$G200,"")</f>
        <v/>
      </c>
      <c r="AE200" s="179" t="str">
        <f t="array" ref="AE200">IF($F200&lt;&gt;"",XLOOKUP($F200,Productos!$A:$A,Productos!X:X,"Revisar"),"")</f>
        <v/>
      </c>
      <c r="AF200" s="179" t="str">
        <f t="array" ref="AF200">IF($F200&lt;&gt;"", XLOOKUP($F200,Productos!$A$2:$A1001,Productos!Y$2:Y1001,"")*$G200,"")</f>
        <v/>
      </c>
      <c r="AG200" s="179" t="str">
        <f t="array" ref="AG200">IF($F200&lt;&gt;"",XLOOKUP($F200,Productos!$A:$A,Productos!Z:Z,"Revisar"),"")</f>
        <v/>
      </c>
      <c r="AH200" s="179" t="str">
        <f t="array" ref="AH200">IF($F200&lt;&gt;"", XLOOKUP($F200,Productos!$A$2:$A1001,Productos!AA$2:AA1001,"")*$G200,"")</f>
        <v/>
      </c>
      <c r="AI200" s="179" t="str">
        <f t="array" ref="AI200">IF($F200&lt;&gt;"",XLOOKUP($F200,Productos!$A:$A,Productos!AB:AB,"Revisar"),"")</f>
        <v/>
      </c>
      <c r="AJ200" s="179" t="str">
        <f t="array" ref="AJ200">IF($F200&lt;&gt;"", XLOOKUP($F200,Productos!$A$2:$A1001,Productos!AC$2:AC1001,"")*$G200,"")</f>
        <v/>
      </c>
      <c r="AK200" s="179" t="str">
        <f t="array" ref="AK200">IF($F200&lt;&gt;"",XLOOKUP($F200,Productos!$A:$A,Productos!AD:AD,"Revisar"),"")</f>
        <v/>
      </c>
      <c r="AL200" s="179" t="str">
        <f t="array" ref="AL200">IF($F200&lt;&gt;"", XLOOKUP($F200,Productos!$A$2:$A1001,Productos!AE$2:AE1001,"")*$G200,"")</f>
        <v/>
      </c>
      <c r="AM200" s="179" t="str">
        <f t="array" ref="AM200">IF($F200&lt;&gt;"",XLOOKUP($F200,Productos!$A:$A,Productos!AF:AF,"Revisar"),"")</f>
        <v/>
      </c>
      <c r="AN200" s="179" t="str">
        <f t="array" ref="AN200">IF($F200&lt;&gt;"", XLOOKUP($F200,Productos!$A$2:$A1001,Productos!AG$2:AG1001,"")*$G200,"")</f>
        <v/>
      </c>
      <c r="AO200" s="179" t="str">
        <f t="array" ref="AO200">IF($F200&lt;&gt;"",XLOOKUP($F200,Productos!$A:$A,Productos!AH:AH,"Revisar"),"")</f>
        <v/>
      </c>
      <c r="AP200" s="179" t="str">
        <f t="array" ref="AP200">IF($F200&lt;&gt;"", XLOOKUP($F200,Productos!$A$2:$A1001,Productos!AI$2:AI1001,"")*$G200,"")</f>
        <v/>
      </c>
      <c r="AQ200" s="179" t="str">
        <f t="array" ref="AQ200">IF($F200&lt;&gt;"",XLOOKUP($F200,Productos!$A:$A,Productos!AJ:AJ,"Revisar"),"")</f>
        <v/>
      </c>
      <c r="AR200" s="179" t="str">
        <f t="array" ref="AR200">IF($F200&lt;&gt;"", XLOOKUP($F200,Productos!$A$2:$A1001,Productos!AK$2:AK1001,"")*$G200,"")</f>
        <v/>
      </c>
      <c r="AS200" s="179" t="str">
        <f t="array" ref="AS200">IF($F200&lt;&gt;"",XLOOKUP($F200,Productos!$A:$A,Productos!AL:AL,"Revisar"),"")</f>
        <v/>
      </c>
      <c r="AT200" s="179" t="str">
        <f t="array" ref="AT200">IF($F200&lt;&gt;"", XLOOKUP($F200,Productos!$A$2:$A1001,Productos!AM$2:AM1001,"")*$G200,"")</f>
        <v/>
      </c>
      <c r="AU200" s="179" t="str">
        <f t="array" ref="AU200">IF($F200&lt;&gt;"",XLOOKUP($F200,Productos!$A:$A,Productos!AN:AN,"Revisar"),"")</f>
        <v/>
      </c>
      <c r="AV200" s="179" t="str">
        <f t="array" ref="AV200">IF($F200&lt;&gt;"", XLOOKUP($F200,Productos!$A$2:$A1001,Productos!AO$2:AO1001,"")*$G200,"")</f>
        <v/>
      </c>
      <c r="AW200" s="179" t="str">
        <f t="array" ref="AW200">IF($F200&lt;&gt;"",XLOOKUP($F200,Productos!$A:$A,Productos!AP:AP,"Revisar"),"")</f>
        <v/>
      </c>
      <c r="AX200" s="179" t="str">
        <f t="array" ref="AX200">IF($F200&lt;&gt;"", XLOOKUP($F200,Productos!$A$2:$A1001,Productos!AQ$2:AQ1001,"")*$G200,"")</f>
        <v/>
      </c>
      <c r="AY200" s="179" t="str">
        <f t="array" ref="AY200">IF($F200&lt;&gt;"",XLOOKUP($F200,Productos!$A:$A,Productos!AR:AR,"Revisar"),"")</f>
        <v/>
      </c>
      <c r="AZ200" s="179" t="str">
        <f t="array" ref="AZ200">IF($F200&lt;&gt;"", XLOOKUP($F200,Productos!$A$2:$A1001,Productos!AS$2:AS1001,"")*$G200,"")</f>
        <v/>
      </c>
      <c r="BA200" s="179" t="str">
        <f t="array" ref="BA200">IF($F200&lt;&gt;"",XLOOKUP($F200,Productos!$A:$A,Productos!AT:AT,"Revisar"),"")</f>
        <v/>
      </c>
      <c r="BB200" s="179" t="str">
        <f t="array" ref="BB200">IF($F200&lt;&gt;"", XLOOKUP($F200,Productos!$A$2:$A1001,Productos!AU$2:AU1001,"")*$G200,"")</f>
        <v/>
      </c>
      <c r="BC200" s="179" t="str">
        <f t="array" ref="BC200">IF($F200&lt;&gt;"",XLOOKUP($F200,Productos!$A:$A,Productos!AV:AV,"Revisar"),"")</f>
        <v/>
      </c>
      <c r="BD200" s="179" t="str">
        <f t="array" ref="BD200">IF($F200&lt;&gt;"", XLOOKUP($F200,Productos!$A$2:$A1001,Productos!AW$2:AW1001,"")*$G200,"")</f>
        <v/>
      </c>
      <c r="BE200" s="179" t="str">
        <f t="array" ref="BE200">IF($F200&lt;&gt;"",XLOOKUP($F200,Productos!$A:$A,Productos!AX:AX,"Revisar"),"")</f>
        <v/>
      </c>
      <c r="BF200" s="179" t="str">
        <f t="array" ref="BF200">IF($F200&lt;&gt;"", XLOOKUP($F200,Productos!$A$2:$A1001,Productos!AY$2:AY1001,"")*$G200,"")</f>
        <v/>
      </c>
      <c r="BG200" s="179" t="str">
        <f t="array" ref="BG200">IF($F200&lt;&gt;"",XLOOKUP($F200,Productos!$A:$A,Productos!AZ:AZ,"Revisar"),"")</f>
        <v/>
      </c>
      <c r="BH200" s="179" t="str">
        <f t="array" ref="BH200">IF($F200&lt;&gt;"", XLOOKUP($F200,Productos!$A$2:$A1001,Productos!BA$2:BA1001,"")*$G200,"")</f>
        <v/>
      </c>
      <c r="BI200" s="179" t="str">
        <f t="array" ref="BI200">IF($F200&lt;&gt;"",XLOOKUP($F200,Productos!$A:$A,Productos!BB:BB,"Revisar"),"")</f>
        <v/>
      </c>
      <c r="BJ200" s="179" t="str">
        <f t="array" ref="BJ200">IF($F200&lt;&gt;"", XLOOKUP($F200,Productos!$A$2:$A1001,Productos!BC$2:BC1001,"")*$G200,"")</f>
        <v/>
      </c>
      <c r="BK200" s="179" t="str">
        <f t="array" ref="BK200">IF($F200&lt;&gt;"",XLOOKUP($F200,Productos!$A:$A,Productos!BD:BD,"Revisar"),"")</f>
        <v/>
      </c>
      <c r="BL200" s="179" t="str">
        <f t="array" ref="BL200">IF($F200&lt;&gt;"", XLOOKUP($F200,Productos!$A$2:$A1001,Productos!BE$2:BE1001,"")*$G200,"")</f>
        <v/>
      </c>
      <c r="BM200" s="179" t="str">
        <f t="array" ref="BM200">IF($F200&lt;&gt;"",XLOOKUP($F200,Productos!$A:$A,Productos!BF:BF,"Revisar"),"")</f>
        <v/>
      </c>
      <c r="BN200" s="179" t="str">
        <f t="array" ref="BN200">IF($F200&lt;&gt;"", XLOOKUP($F200,Productos!$A$2:$A1001,Productos!BG$2:BG1001,"")*$G200,"")</f>
        <v/>
      </c>
      <c r="BO200" s="179" t="str">
        <f t="array" ref="BO200">IF($F200&lt;&gt;"",XLOOKUP($F200,Productos!$A:$A,Productos!BH:BH,"Revisar"),"")</f>
        <v/>
      </c>
      <c r="BP200" s="179" t="str">
        <f t="array" ref="BP200">IF($F200&lt;&gt;"", XLOOKUP($F200,Productos!$A$2:$A1001,Productos!BI$2:BI1001,"")*$G200,"")</f>
        <v/>
      </c>
      <c r="BQ200" s="179" t="str">
        <f t="array" ref="BQ200">IF($F200&lt;&gt;"",XLOOKUP($F200,Productos!$A:$A,Productos!BJ:BJ,"Revisar"),"")</f>
        <v/>
      </c>
      <c r="BR200" s="179" t="str">
        <f t="array" ref="BR200">IF($F200&lt;&gt;"", XLOOKUP($F200,Productos!$A$2:$A1001,Productos!BK$2:BK1001,"")*$G200,"")</f>
        <v/>
      </c>
      <c r="BS200" s="179" t="str">
        <f t="array" ref="BS200">IF($F200&lt;&gt;"",XLOOKUP($F200,Productos!$A:$A,Productos!BL:BL,"Revisar"),"")</f>
        <v/>
      </c>
      <c r="BT200" s="179" t="str">
        <f t="array" ref="BT200">IF($F200&lt;&gt;"", XLOOKUP($F200,Productos!$A$2:$A1001,Productos!BM$2:BM1001,"")*$G200,"")</f>
        <v/>
      </c>
      <c r="BU200" s="179" t="str">
        <f t="array" ref="BU200">IF($F200&lt;&gt;"",XLOOKUP($F200,Productos!$A:$A,Productos!BN:BN,"Revisar"),"")</f>
        <v/>
      </c>
      <c r="BV200" s="179" t="str">
        <f t="array" ref="BV200">IF($F200&lt;&gt;"", XLOOKUP($F200,Productos!$A$2:$A1001,Productos!BO$2:BO1001,"")*$G200,"")</f>
        <v/>
      </c>
      <c r="BW200" s="179" t="str">
        <f t="array" ref="BW200">IF($F200&lt;&gt;"",XLOOKUP($F200,Productos!$A:$A,Productos!BP:BP,"Revisar"),"")</f>
        <v/>
      </c>
      <c r="BX200" s="179" t="str">
        <f t="array" ref="BX200">IF($F200&lt;&gt;"", XLOOKUP($F200,Productos!$A$2:$A1001,Productos!BQ$2:BQ1001,"")*$G200,"")</f>
        <v/>
      </c>
      <c r="BY200" s="179" t="str">
        <f t="array" ref="BY200">IF($F200&lt;&gt;"",XLOOKUP($F200,Productos!$A:$A,Productos!BR:BR,"Revisar"),"")</f>
        <v/>
      </c>
      <c r="BZ200" s="179" t="str">
        <f t="array" ref="BZ200">IF($F200&lt;&gt;"", XLOOKUP($F200,Productos!$A$2:$A1001,Productos!BS$2:BS1001,"")*$G200,"")</f>
        <v/>
      </c>
    </row>
    <row r="201">
      <c r="A201" s="180"/>
      <c r="B201" s="181"/>
      <c r="C201" s="182"/>
      <c r="D201" s="182"/>
      <c r="E201" s="185"/>
      <c r="F201" s="186"/>
      <c r="G201" s="187"/>
      <c r="H201" s="186"/>
      <c r="I201" s="179" t="str">
        <f t="array" ref="I201">IF($F201&lt;&gt;"",XLOOKUP($F201,Productos!$A:$A,Productos!B:B,"Revisar"),"")</f>
        <v/>
      </c>
      <c r="J201" s="179" t="str">
        <f t="array" ref="J201">IF($F201&lt;&gt;"", XLOOKUP($F201,Productos!$A$2:$A1001,Productos!C$2:C1001,"")*$G201,"")</f>
        <v/>
      </c>
      <c r="K201" s="179" t="str">
        <f t="array" ref="K201">IF($F201&lt;&gt;"",XLOOKUP($F201,Productos!$A:$A,Productos!D:D,"Revisar"),"")</f>
        <v/>
      </c>
      <c r="L201" s="179" t="str">
        <f t="array" ref="L201">IF($F201&lt;&gt;"", XLOOKUP($F201,Productos!$A$2:$A1001,Productos!E$2:E1001,"")*$G201,"")</f>
        <v/>
      </c>
      <c r="M201" s="179" t="str">
        <f t="array" ref="M201">IF($F201&lt;&gt;"",XLOOKUP($F201,Productos!$A:$A,Productos!F:F,"Revisar"),"")</f>
        <v/>
      </c>
      <c r="N201" s="179" t="str">
        <f t="array" ref="N201">IF($F201&lt;&gt;"", XLOOKUP($F201,Productos!$A$2:$A1001,Productos!G$2:G1001,"")*$G201,"")</f>
        <v/>
      </c>
      <c r="O201" s="179" t="str">
        <f t="array" ref="O201">IF($F201&lt;&gt;"",XLOOKUP($F201,Productos!$A:$A,Productos!H:H,"Revisar"),"")</f>
        <v/>
      </c>
      <c r="P201" s="179" t="str">
        <f t="array" ref="P201">IF($F201&lt;&gt;"", XLOOKUP($F201,Productos!$A$2:$A1001,Productos!I$2:I1001,"")*$G201,"")</f>
        <v/>
      </c>
      <c r="Q201" s="179" t="str">
        <f t="array" ref="Q201">IF($F201&lt;&gt;"",XLOOKUP($F201,Productos!$A:$A,Productos!J:J,"Revisar"),"")</f>
        <v/>
      </c>
      <c r="R201" s="179" t="str">
        <f t="array" ref="R201">IF($F201&lt;&gt;"", XLOOKUP($F201,Productos!$A$2:$A1001,Productos!K$2:K1001,"")*$G201,"")</f>
        <v/>
      </c>
      <c r="S201" s="179" t="str">
        <f t="array" ref="S201">IF($F201&lt;&gt;"",XLOOKUP($F201,Productos!$A:$A,Productos!L:L,"Revisar"),"")</f>
        <v/>
      </c>
      <c r="T201" s="179" t="str">
        <f t="array" ref="T201">IF($F201&lt;&gt;"", XLOOKUP($F201,Productos!$A$2:$A1001,Productos!M$2:M1001,"")*$G201,"")</f>
        <v/>
      </c>
      <c r="U201" s="179" t="str">
        <f t="array" ref="U201">IF($F201&lt;&gt;"",XLOOKUP($F201,Productos!$A:$A,Productos!N:N,"Revisar"),"")</f>
        <v/>
      </c>
      <c r="V201" s="179" t="str">
        <f t="array" ref="V201">IF($F201&lt;&gt;"", XLOOKUP($F201,Productos!$A$2:$A1001,Productos!O$2:O1001,"")*$G201,"")</f>
        <v/>
      </c>
      <c r="W201" s="179" t="str">
        <f t="array" ref="W201">IF($F201&lt;&gt;"",XLOOKUP($F201,Productos!$A:$A,Productos!P:P,"Revisar"),"")</f>
        <v/>
      </c>
      <c r="X201" s="179" t="str">
        <f t="array" ref="X201">IF($F201&lt;&gt;"", XLOOKUP($F201,Productos!$A$2:$A1001,Productos!Q$2:Q1001,"")*$G201,"")</f>
        <v/>
      </c>
      <c r="Y201" s="179" t="str">
        <f t="array" ref="Y201">IF($F201&lt;&gt;"",XLOOKUP($F201,Productos!$A:$A,Productos!R:R,"Revisar"),"")</f>
        <v/>
      </c>
      <c r="Z201" s="179" t="str">
        <f t="array" ref="Z201">IF($F201&lt;&gt;"", XLOOKUP($F201,Productos!$A$2:$A1001,Productos!S$2:S1001,"")*$G201,"")</f>
        <v/>
      </c>
      <c r="AA201" s="179" t="str">
        <f t="array" ref="AA201">IF($F201&lt;&gt;"",XLOOKUP($F201,Productos!$A:$A,Productos!T:T,"Revisar"),"")</f>
        <v/>
      </c>
      <c r="AB201" s="179" t="str">
        <f t="array" ref="AB201">IF($F201&lt;&gt;"", XLOOKUP($F201,Productos!$A$2:$A1001,Productos!U$2:U1001,"")*$G201,"")</f>
        <v/>
      </c>
      <c r="AC201" s="179" t="str">
        <f t="array" ref="AC201">IF($F201&lt;&gt;"",XLOOKUP($F201,Productos!$A:$A,Productos!V:V,"Revisar"),"")</f>
        <v/>
      </c>
      <c r="AD201" s="179" t="str">
        <f t="array" ref="AD201">IF($F201&lt;&gt;"", XLOOKUP($F201,Productos!$A$2:$A1001,Productos!W$2:W1001,"")*$G201,"")</f>
        <v/>
      </c>
      <c r="AE201" s="179" t="str">
        <f t="array" ref="AE201">IF($F201&lt;&gt;"",XLOOKUP($F201,Productos!$A:$A,Productos!X:X,"Revisar"),"")</f>
        <v/>
      </c>
      <c r="AF201" s="179" t="str">
        <f t="array" ref="AF201">IF($F201&lt;&gt;"", XLOOKUP($F201,Productos!$A$2:$A1001,Productos!Y$2:Y1001,"")*$G201,"")</f>
        <v/>
      </c>
      <c r="AG201" s="179" t="str">
        <f t="array" ref="AG201">IF($F201&lt;&gt;"",XLOOKUP($F201,Productos!$A:$A,Productos!Z:Z,"Revisar"),"")</f>
        <v/>
      </c>
      <c r="AH201" s="179" t="str">
        <f t="array" ref="AH201">IF($F201&lt;&gt;"", XLOOKUP($F201,Productos!$A$2:$A1001,Productos!AA$2:AA1001,"")*$G201,"")</f>
        <v/>
      </c>
      <c r="AI201" s="179" t="str">
        <f t="array" ref="AI201">IF($F201&lt;&gt;"",XLOOKUP($F201,Productos!$A:$A,Productos!AB:AB,"Revisar"),"")</f>
        <v/>
      </c>
      <c r="AJ201" s="179" t="str">
        <f t="array" ref="AJ201">IF($F201&lt;&gt;"", XLOOKUP($F201,Productos!$A$2:$A1001,Productos!AC$2:AC1001,"")*$G201,"")</f>
        <v/>
      </c>
      <c r="AK201" s="179" t="str">
        <f t="array" ref="AK201">IF($F201&lt;&gt;"",XLOOKUP($F201,Productos!$A:$A,Productos!AD:AD,"Revisar"),"")</f>
        <v/>
      </c>
      <c r="AL201" s="179" t="str">
        <f t="array" ref="AL201">IF($F201&lt;&gt;"", XLOOKUP($F201,Productos!$A$2:$A1001,Productos!AE$2:AE1001,"")*$G201,"")</f>
        <v/>
      </c>
      <c r="AM201" s="179" t="str">
        <f t="array" ref="AM201">IF($F201&lt;&gt;"",XLOOKUP($F201,Productos!$A:$A,Productos!AF:AF,"Revisar"),"")</f>
        <v/>
      </c>
      <c r="AN201" s="179" t="str">
        <f t="array" ref="AN201">IF($F201&lt;&gt;"", XLOOKUP($F201,Productos!$A$2:$A1001,Productos!AG$2:AG1001,"")*$G201,"")</f>
        <v/>
      </c>
      <c r="AO201" s="179" t="str">
        <f t="array" ref="AO201">IF($F201&lt;&gt;"",XLOOKUP($F201,Productos!$A:$A,Productos!AH:AH,"Revisar"),"")</f>
        <v/>
      </c>
      <c r="AP201" s="179" t="str">
        <f t="array" ref="AP201">IF($F201&lt;&gt;"", XLOOKUP($F201,Productos!$A$2:$A1001,Productos!AI$2:AI1001,"")*$G201,"")</f>
        <v/>
      </c>
      <c r="AQ201" s="179" t="str">
        <f t="array" ref="AQ201">IF($F201&lt;&gt;"",XLOOKUP($F201,Productos!$A:$A,Productos!AJ:AJ,"Revisar"),"")</f>
        <v/>
      </c>
      <c r="AR201" s="179" t="str">
        <f t="array" ref="AR201">IF($F201&lt;&gt;"", XLOOKUP($F201,Productos!$A$2:$A1001,Productos!AK$2:AK1001,"")*$G201,"")</f>
        <v/>
      </c>
      <c r="AS201" s="179" t="str">
        <f t="array" ref="AS201">IF($F201&lt;&gt;"",XLOOKUP($F201,Productos!$A:$A,Productos!AL:AL,"Revisar"),"")</f>
        <v/>
      </c>
      <c r="AT201" s="179" t="str">
        <f t="array" ref="AT201">IF($F201&lt;&gt;"", XLOOKUP($F201,Productos!$A$2:$A1001,Productos!AM$2:AM1001,"")*$G201,"")</f>
        <v/>
      </c>
      <c r="AU201" s="179" t="str">
        <f t="array" ref="AU201">IF($F201&lt;&gt;"",XLOOKUP($F201,Productos!$A:$A,Productos!AN:AN,"Revisar"),"")</f>
        <v/>
      </c>
      <c r="AV201" s="179" t="str">
        <f t="array" ref="AV201">IF($F201&lt;&gt;"", XLOOKUP($F201,Productos!$A$2:$A1001,Productos!AO$2:AO1001,"")*$G201,"")</f>
        <v/>
      </c>
      <c r="AW201" s="179" t="str">
        <f t="array" ref="AW201">IF($F201&lt;&gt;"",XLOOKUP($F201,Productos!$A:$A,Productos!AP:AP,"Revisar"),"")</f>
        <v/>
      </c>
      <c r="AX201" s="179" t="str">
        <f t="array" ref="AX201">IF($F201&lt;&gt;"", XLOOKUP($F201,Productos!$A$2:$A1001,Productos!AQ$2:AQ1001,"")*$G201,"")</f>
        <v/>
      </c>
      <c r="AY201" s="179" t="str">
        <f t="array" ref="AY201">IF($F201&lt;&gt;"",XLOOKUP($F201,Productos!$A:$A,Productos!AR:AR,"Revisar"),"")</f>
        <v/>
      </c>
      <c r="AZ201" s="179" t="str">
        <f t="array" ref="AZ201">IF($F201&lt;&gt;"", XLOOKUP($F201,Productos!$A$2:$A1001,Productos!AS$2:AS1001,"")*$G201,"")</f>
        <v/>
      </c>
      <c r="BA201" s="179" t="str">
        <f t="array" ref="BA201">IF($F201&lt;&gt;"",XLOOKUP($F201,Productos!$A:$A,Productos!AT:AT,"Revisar"),"")</f>
        <v/>
      </c>
      <c r="BB201" s="179" t="str">
        <f t="array" ref="BB201">IF($F201&lt;&gt;"", XLOOKUP($F201,Productos!$A$2:$A1001,Productos!AU$2:AU1001,"")*$G201,"")</f>
        <v/>
      </c>
      <c r="BC201" s="179" t="str">
        <f t="array" ref="BC201">IF($F201&lt;&gt;"",XLOOKUP($F201,Productos!$A:$A,Productos!AV:AV,"Revisar"),"")</f>
        <v/>
      </c>
      <c r="BD201" s="179" t="str">
        <f t="array" ref="BD201">IF($F201&lt;&gt;"", XLOOKUP($F201,Productos!$A$2:$A1001,Productos!AW$2:AW1001,"")*$G201,"")</f>
        <v/>
      </c>
      <c r="BE201" s="179" t="str">
        <f t="array" ref="BE201">IF($F201&lt;&gt;"",XLOOKUP($F201,Productos!$A:$A,Productos!AX:AX,"Revisar"),"")</f>
        <v/>
      </c>
      <c r="BF201" s="179" t="str">
        <f t="array" ref="BF201">IF($F201&lt;&gt;"", XLOOKUP($F201,Productos!$A$2:$A1001,Productos!AY$2:AY1001,"")*$G201,"")</f>
        <v/>
      </c>
      <c r="BG201" s="179" t="str">
        <f t="array" ref="BG201">IF($F201&lt;&gt;"",XLOOKUP($F201,Productos!$A:$A,Productos!AZ:AZ,"Revisar"),"")</f>
        <v/>
      </c>
      <c r="BH201" s="179" t="str">
        <f t="array" ref="BH201">IF($F201&lt;&gt;"", XLOOKUP($F201,Productos!$A$2:$A1001,Productos!BA$2:BA1001,"")*$G201,"")</f>
        <v/>
      </c>
      <c r="BI201" s="179" t="str">
        <f t="array" ref="BI201">IF($F201&lt;&gt;"",XLOOKUP($F201,Productos!$A:$A,Productos!BB:BB,"Revisar"),"")</f>
        <v/>
      </c>
      <c r="BJ201" s="179" t="str">
        <f t="array" ref="BJ201">IF($F201&lt;&gt;"", XLOOKUP($F201,Productos!$A$2:$A1001,Productos!BC$2:BC1001,"")*$G201,"")</f>
        <v/>
      </c>
      <c r="BK201" s="179" t="str">
        <f t="array" ref="BK201">IF($F201&lt;&gt;"",XLOOKUP($F201,Productos!$A:$A,Productos!BD:BD,"Revisar"),"")</f>
        <v/>
      </c>
      <c r="BL201" s="179" t="str">
        <f t="array" ref="BL201">IF($F201&lt;&gt;"", XLOOKUP($F201,Productos!$A$2:$A1001,Productos!BE$2:BE1001,"")*$G201,"")</f>
        <v/>
      </c>
      <c r="BM201" s="179" t="str">
        <f t="array" ref="BM201">IF($F201&lt;&gt;"",XLOOKUP($F201,Productos!$A:$A,Productos!BF:BF,"Revisar"),"")</f>
        <v/>
      </c>
      <c r="BN201" s="179" t="str">
        <f t="array" ref="BN201">IF($F201&lt;&gt;"", XLOOKUP($F201,Productos!$A$2:$A1001,Productos!BG$2:BG1001,"")*$G201,"")</f>
        <v/>
      </c>
      <c r="BO201" s="179" t="str">
        <f t="array" ref="BO201">IF($F201&lt;&gt;"",XLOOKUP($F201,Productos!$A:$A,Productos!BH:BH,"Revisar"),"")</f>
        <v/>
      </c>
      <c r="BP201" s="179" t="str">
        <f t="array" ref="BP201">IF($F201&lt;&gt;"", XLOOKUP($F201,Productos!$A$2:$A1001,Productos!BI$2:BI1001,"")*$G201,"")</f>
        <v/>
      </c>
      <c r="BQ201" s="179" t="str">
        <f t="array" ref="BQ201">IF($F201&lt;&gt;"",XLOOKUP($F201,Productos!$A:$A,Productos!BJ:BJ,"Revisar"),"")</f>
        <v/>
      </c>
      <c r="BR201" s="179" t="str">
        <f t="array" ref="BR201">IF($F201&lt;&gt;"", XLOOKUP($F201,Productos!$A$2:$A1001,Productos!BK$2:BK1001,"")*$G201,"")</f>
        <v/>
      </c>
      <c r="BS201" s="179" t="str">
        <f t="array" ref="BS201">IF($F201&lt;&gt;"",XLOOKUP($F201,Productos!$A:$A,Productos!BL:BL,"Revisar"),"")</f>
        <v/>
      </c>
      <c r="BT201" s="179" t="str">
        <f t="array" ref="BT201">IF($F201&lt;&gt;"", XLOOKUP($F201,Productos!$A$2:$A1001,Productos!BM$2:BM1001,"")*$G201,"")</f>
        <v/>
      </c>
      <c r="BU201" s="179" t="str">
        <f t="array" ref="BU201">IF($F201&lt;&gt;"",XLOOKUP($F201,Productos!$A:$A,Productos!BN:BN,"Revisar"),"")</f>
        <v/>
      </c>
      <c r="BV201" s="179" t="str">
        <f t="array" ref="BV201">IF($F201&lt;&gt;"", XLOOKUP($F201,Productos!$A$2:$A1001,Productos!BO$2:BO1001,"")*$G201,"")</f>
        <v/>
      </c>
      <c r="BW201" s="179" t="str">
        <f t="array" ref="BW201">IF($F201&lt;&gt;"",XLOOKUP($F201,Productos!$A:$A,Productos!BP:BP,"Revisar"),"")</f>
        <v/>
      </c>
      <c r="BX201" s="179" t="str">
        <f t="array" ref="BX201">IF($F201&lt;&gt;"", XLOOKUP($F201,Productos!$A$2:$A1001,Productos!BQ$2:BQ1001,"")*$G201,"")</f>
        <v/>
      </c>
      <c r="BY201" s="179" t="str">
        <f t="array" ref="BY201">IF($F201&lt;&gt;"",XLOOKUP($F201,Productos!$A:$A,Productos!BR:BR,"Revisar"),"")</f>
        <v/>
      </c>
      <c r="BZ201" s="179" t="str">
        <f t="array" ref="BZ201">IF($F201&lt;&gt;"", XLOOKUP($F201,Productos!$A$2:$A1001,Productos!BS$2:BS1001,"")*$G201,"")</f>
        <v/>
      </c>
    </row>
    <row r="202">
      <c r="A202" s="180"/>
      <c r="B202" s="181"/>
      <c r="C202" s="182"/>
      <c r="D202" s="182"/>
      <c r="E202" s="185"/>
      <c r="F202" s="186"/>
      <c r="G202" s="187"/>
      <c r="H202" s="186"/>
      <c r="I202" s="179" t="str">
        <f t="array" ref="I202">IF($F202&lt;&gt;"",XLOOKUP($F202,Productos!$A:$A,Productos!B:B,"Revisar"),"")</f>
        <v/>
      </c>
      <c r="J202" s="179" t="str">
        <f t="array" ref="J202">IF($F202&lt;&gt;"", XLOOKUP($F202,Productos!$A$2:$A1001,Productos!C$2:C1001,"")*$G202,"")</f>
        <v/>
      </c>
      <c r="K202" s="179" t="str">
        <f t="array" ref="K202">IF($F202&lt;&gt;"",XLOOKUP($F202,Productos!$A:$A,Productos!D:D,"Revisar"),"")</f>
        <v/>
      </c>
      <c r="L202" s="179" t="str">
        <f t="array" ref="L202">IF($F202&lt;&gt;"", XLOOKUP($F202,Productos!$A$2:$A1001,Productos!E$2:E1001,"")*$G202,"")</f>
        <v/>
      </c>
      <c r="M202" s="179" t="str">
        <f t="array" ref="M202">IF($F202&lt;&gt;"",XLOOKUP($F202,Productos!$A:$A,Productos!F:F,"Revisar"),"")</f>
        <v/>
      </c>
      <c r="N202" s="179" t="str">
        <f t="array" ref="N202">IF($F202&lt;&gt;"", XLOOKUP($F202,Productos!$A$2:$A1001,Productos!G$2:G1001,"")*$G202,"")</f>
        <v/>
      </c>
      <c r="O202" s="179" t="str">
        <f t="array" ref="O202">IF($F202&lt;&gt;"",XLOOKUP($F202,Productos!$A:$A,Productos!H:H,"Revisar"),"")</f>
        <v/>
      </c>
      <c r="P202" s="179" t="str">
        <f t="array" ref="P202">IF($F202&lt;&gt;"", XLOOKUP($F202,Productos!$A$2:$A1001,Productos!I$2:I1001,"")*$G202,"")</f>
        <v/>
      </c>
      <c r="Q202" s="179" t="str">
        <f t="array" ref="Q202">IF($F202&lt;&gt;"",XLOOKUP($F202,Productos!$A:$A,Productos!J:J,"Revisar"),"")</f>
        <v/>
      </c>
      <c r="R202" s="179" t="str">
        <f t="array" ref="R202">IF($F202&lt;&gt;"", XLOOKUP($F202,Productos!$A$2:$A1001,Productos!K$2:K1001,"")*$G202,"")</f>
        <v/>
      </c>
      <c r="S202" s="179" t="str">
        <f t="array" ref="S202">IF($F202&lt;&gt;"",XLOOKUP($F202,Productos!$A:$A,Productos!L:L,"Revisar"),"")</f>
        <v/>
      </c>
      <c r="T202" s="179" t="str">
        <f t="array" ref="T202">IF($F202&lt;&gt;"", XLOOKUP($F202,Productos!$A$2:$A1001,Productos!M$2:M1001,"")*$G202,"")</f>
        <v/>
      </c>
      <c r="U202" s="179" t="str">
        <f t="array" ref="U202">IF($F202&lt;&gt;"",XLOOKUP($F202,Productos!$A:$A,Productos!N:N,"Revisar"),"")</f>
        <v/>
      </c>
      <c r="V202" s="179" t="str">
        <f t="array" ref="V202">IF($F202&lt;&gt;"", XLOOKUP($F202,Productos!$A$2:$A1001,Productos!O$2:O1001,"")*$G202,"")</f>
        <v/>
      </c>
      <c r="W202" s="179" t="str">
        <f t="array" ref="W202">IF($F202&lt;&gt;"",XLOOKUP($F202,Productos!$A:$A,Productos!P:P,"Revisar"),"")</f>
        <v/>
      </c>
      <c r="X202" s="179" t="str">
        <f t="array" ref="X202">IF($F202&lt;&gt;"", XLOOKUP($F202,Productos!$A$2:$A1001,Productos!Q$2:Q1001,"")*$G202,"")</f>
        <v/>
      </c>
      <c r="Y202" s="179" t="str">
        <f t="array" ref="Y202">IF($F202&lt;&gt;"",XLOOKUP($F202,Productos!$A:$A,Productos!R:R,"Revisar"),"")</f>
        <v/>
      </c>
      <c r="Z202" s="179" t="str">
        <f t="array" ref="Z202">IF($F202&lt;&gt;"", XLOOKUP($F202,Productos!$A$2:$A1001,Productos!S$2:S1001,"")*$G202,"")</f>
        <v/>
      </c>
      <c r="AA202" s="179" t="str">
        <f t="array" ref="AA202">IF($F202&lt;&gt;"",XLOOKUP($F202,Productos!$A:$A,Productos!T:T,"Revisar"),"")</f>
        <v/>
      </c>
      <c r="AB202" s="179" t="str">
        <f t="array" ref="AB202">IF($F202&lt;&gt;"", XLOOKUP($F202,Productos!$A$2:$A1001,Productos!U$2:U1001,"")*$G202,"")</f>
        <v/>
      </c>
      <c r="AC202" s="179" t="str">
        <f t="array" ref="AC202">IF($F202&lt;&gt;"",XLOOKUP($F202,Productos!$A:$A,Productos!V:V,"Revisar"),"")</f>
        <v/>
      </c>
      <c r="AD202" s="179" t="str">
        <f t="array" ref="AD202">IF($F202&lt;&gt;"", XLOOKUP($F202,Productos!$A$2:$A1001,Productos!W$2:W1001,"")*$G202,"")</f>
        <v/>
      </c>
      <c r="AE202" s="179" t="str">
        <f t="array" ref="AE202">IF($F202&lt;&gt;"",XLOOKUP($F202,Productos!$A:$A,Productos!X:X,"Revisar"),"")</f>
        <v/>
      </c>
      <c r="AF202" s="179" t="str">
        <f t="array" ref="AF202">IF($F202&lt;&gt;"", XLOOKUP($F202,Productos!$A$2:$A1001,Productos!Y$2:Y1001,"")*$G202,"")</f>
        <v/>
      </c>
      <c r="AG202" s="179" t="str">
        <f t="array" ref="AG202">IF($F202&lt;&gt;"",XLOOKUP($F202,Productos!$A:$A,Productos!Z:Z,"Revisar"),"")</f>
        <v/>
      </c>
      <c r="AH202" s="179" t="str">
        <f t="array" ref="AH202">IF($F202&lt;&gt;"", XLOOKUP($F202,Productos!$A$2:$A1001,Productos!AA$2:AA1001,"")*$G202,"")</f>
        <v/>
      </c>
      <c r="AI202" s="179" t="str">
        <f t="array" ref="AI202">IF($F202&lt;&gt;"",XLOOKUP($F202,Productos!$A:$A,Productos!AB:AB,"Revisar"),"")</f>
        <v/>
      </c>
      <c r="AJ202" s="179" t="str">
        <f t="array" ref="AJ202">IF($F202&lt;&gt;"", XLOOKUP($F202,Productos!$A$2:$A1001,Productos!AC$2:AC1001,"")*$G202,"")</f>
        <v/>
      </c>
      <c r="AK202" s="179" t="str">
        <f t="array" ref="AK202">IF($F202&lt;&gt;"",XLOOKUP($F202,Productos!$A:$A,Productos!AD:AD,"Revisar"),"")</f>
        <v/>
      </c>
      <c r="AL202" s="179" t="str">
        <f t="array" ref="AL202">IF($F202&lt;&gt;"", XLOOKUP($F202,Productos!$A$2:$A1001,Productos!AE$2:AE1001,"")*$G202,"")</f>
        <v/>
      </c>
      <c r="AM202" s="179" t="str">
        <f t="array" ref="AM202">IF($F202&lt;&gt;"",XLOOKUP($F202,Productos!$A:$A,Productos!AF:AF,"Revisar"),"")</f>
        <v/>
      </c>
      <c r="AN202" s="179" t="str">
        <f t="array" ref="AN202">IF($F202&lt;&gt;"", XLOOKUP($F202,Productos!$A$2:$A1001,Productos!AG$2:AG1001,"")*$G202,"")</f>
        <v/>
      </c>
      <c r="AO202" s="179" t="str">
        <f t="array" ref="AO202">IF($F202&lt;&gt;"",XLOOKUP($F202,Productos!$A:$A,Productos!AH:AH,"Revisar"),"")</f>
        <v/>
      </c>
      <c r="AP202" s="179" t="str">
        <f t="array" ref="AP202">IF($F202&lt;&gt;"", XLOOKUP($F202,Productos!$A$2:$A1001,Productos!AI$2:AI1001,"")*$G202,"")</f>
        <v/>
      </c>
      <c r="AQ202" s="179" t="str">
        <f t="array" ref="AQ202">IF($F202&lt;&gt;"",XLOOKUP($F202,Productos!$A:$A,Productos!AJ:AJ,"Revisar"),"")</f>
        <v/>
      </c>
      <c r="AR202" s="179" t="str">
        <f t="array" ref="AR202">IF($F202&lt;&gt;"", XLOOKUP($F202,Productos!$A$2:$A1001,Productos!AK$2:AK1001,"")*$G202,"")</f>
        <v/>
      </c>
      <c r="AS202" s="179" t="str">
        <f t="array" ref="AS202">IF($F202&lt;&gt;"",XLOOKUP($F202,Productos!$A:$A,Productos!AL:AL,"Revisar"),"")</f>
        <v/>
      </c>
      <c r="AT202" s="179" t="str">
        <f t="array" ref="AT202">IF($F202&lt;&gt;"", XLOOKUP($F202,Productos!$A$2:$A1001,Productos!AM$2:AM1001,"")*$G202,"")</f>
        <v/>
      </c>
      <c r="AU202" s="179" t="str">
        <f t="array" ref="AU202">IF($F202&lt;&gt;"",XLOOKUP($F202,Productos!$A:$A,Productos!AN:AN,"Revisar"),"")</f>
        <v/>
      </c>
      <c r="AV202" s="179" t="str">
        <f t="array" ref="AV202">IF($F202&lt;&gt;"", XLOOKUP($F202,Productos!$A$2:$A1001,Productos!AO$2:AO1001,"")*$G202,"")</f>
        <v/>
      </c>
      <c r="AW202" s="179" t="str">
        <f t="array" ref="AW202">IF($F202&lt;&gt;"",XLOOKUP($F202,Productos!$A:$A,Productos!AP:AP,"Revisar"),"")</f>
        <v/>
      </c>
      <c r="AX202" s="179" t="str">
        <f t="array" ref="AX202">IF($F202&lt;&gt;"", XLOOKUP($F202,Productos!$A$2:$A1001,Productos!AQ$2:AQ1001,"")*$G202,"")</f>
        <v/>
      </c>
      <c r="AY202" s="179" t="str">
        <f t="array" ref="AY202">IF($F202&lt;&gt;"",XLOOKUP($F202,Productos!$A:$A,Productos!AR:AR,"Revisar"),"")</f>
        <v/>
      </c>
      <c r="AZ202" s="179" t="str">
        <f t="array" ref="AZ202">IF($F202&lt;&gt;"", XLOOKUP($F202,Productos!$A$2:$A1001,Productos!AS$2:AS1001,"")*$G202,"")</f>
        <v/>
      </c>
      <c r="BA202" s="179" t="str">
        <f t="array" ref="BA202">IF($F202&lt;&gt;"",XLOOKUP($F202,Productos!$A:$A,Productos!AT:AT,"Revisar"),"")</f>
        <v/>
      </c>
      <c r="BB202" s="179" t="str">
        <f t="array" ref="BB202">IF($F202&lt;&gt;"", XLOOKUP($F202,Productos!$A$2:$A1001,Productos!AU$2:AU1001,"")*$G202,"")</f>
        <v/>
      </c>
      <c r="BC202" s="179" t="str">
        <f t="array" ref="BC202">IF($F202&lt;&gt;"",XLOOKUP($F202,Productos!$A:$A,Productos!AV:AV,"Revisar"),"")</f>
        <v/>
      </c>
      <c r="BD202" s="179" t="str">
        <f t="array" ref="BD202">IF($F202&lt;&gt;"", XLOOKUP($F202,Productos!$A$2:$A1001,Productos!AW$2:AW1001,"")*$G202,"")</f>
        <v/>
      </c>
      <c r="BE202" s="179" t="str">
        <f t="array" ref="BE202">IF($F202&lt;&gt;"",XLOOKUP($F202,Productos!$A:$A,Productos!AX:AX,"Revisar"),"")</f>
        <v/>
      </c>
      <c r="BF202" s="179" t="str">
        <f t="array" ref="BF202">IF($F202&lt;&gt;"", XLOOKUP($F202,Productos!$A$2:$A1001,Productos!AY$2:AY1001,"")*$G202,"")</f>
        <v/>
      </c>
      <c r="BG202" s="179" t="str">
        <f t="array" ref="BG202">IF($F202&lt;&gt;"",XLOOKUP($F202,Productos!$A:$A,Productos!AZ:AZ,"Revisar"),"")</f>
        <v/>
      </c>
      <c r="BH202" s="179" t="str">
        <f t="array" ref="BH202">IF($F202&lt;&gt;"", XLOOKUP($F202,Productos!$A$2:$A1001,Productos!BA$2:BA1001,"")*$G202,"")</f>
        <v/>
      </c>
      <c r="BI202" s="179" t="str">
        <f t="array" ref="BI202">IF($F202&lt;&gt;"",XLOOKUP($F202,Productos!$A:$A,Productos!BB:BB,"Revisar"),"")</f>
        <v/>
      </c>
      <c r="BJ202" s="179" t="str">
        <f t="array" ref="BJ202">IF($F202&lt;&gt;"", XLOOKUP($F202,Productos!$A$2:$A1001,Productos!BC$2:BC1001,"")*$G202,"")</f>
        <v/>
      </c>
      <c r="BK202" s="179" t="str">
        <f t="array" ref="BK202">IF($F202&lt;&gt;"",XLOOKUP($F202,Productos!$A:$A,Productos!BD:BD,"Revisar"),"")</f>
        <v/>
      </c>
      <c r="BL202" s="179" t="str">
        <f t="array" ref="BL202">IF($F202&lt;&gt;"", XLOOKUP($F202,Productos!$A$2:$A1001,Productos!BE$2:BE1001,"")*$G202,"")</f>
        <v/>
      </c>
      <c r="BM202" s="179" t="str">
        <f t="array" ref="BM202">IF($F202&lt;&gt;"",XLOOKUP($F202,Productos!$A:$A,Productos!BF:BF,"Revisar"),"")</f>
        <v/>
      </c>
      <c r="BN202" s="179" t="str">
        <f t="array" ref="BN202">IF($F202&lt;&gt;"", XLOOKUP($F202,Productos!$A$2:$A1001,Productos!BG$2:BG1001,"")*$G202,"")</f>
        <v/>
      </c>
      <c r="BO202" s="179" t="str">
        <f t="array" ref="BO202">IF($F202&lt;&gt;"",XLOOKUP($F202,Productos!$A:$A,Productos!BH:BH,"Revisar"),"")</f>
        <v/>
      </c>
      <c r="BP202" s="179" t="str">
        <f t="array" ref="BP202">IF($F202&lt;&gt;"", XLOOKUP($F202,Productos!$A$2:$A1001,Productos!BI$2:BI1001,"")*$G202,"")</f>
        <v/>
      </c>
      <c r="BQ202" s="179" t="str">
        <f t="array" ref="BQ202">IF($F202&lt;&gt;"",XLOOKUP($F202,Productos!$A:$A,Productos!BJ:BJ,"Revisar"),"")</f>
        <v/>
      </c>
      <c r="BR202" s="179" t="str">
        <f t="array" ref="BR202">IF($F202&lt;&gt;"", XLOOKUP($F202,Productos!$A$2:$A1001,Productos!BK$2:BK1001,"")*$G202,"")</f>
        <v/>
      </c>
      <c r="BS202" s="179" t="str">
        <f t="array" ref="BS202">IF($F202&lt;&gt;"",XLOOKUP($F202,Productos!$A:$A,Productos!BL:BL,"Revisar"),"")</f>
        <v/>
      </c>
      <c r="BT202" s="179" t="str">
        <f t="array" ref="BT202">IF($F202&lt;&gt;"", XLOOKUP($F202,Productos!$A$2:$A1001,Productos!BM$2:BM1001,"")*$G202,"")</f>
        <v/>
      </c>
      <c r="BU202" s="179" t="str">
        <f t="array" ref="BU202">IF($F202&lt;&gt;"",XLOOKUP($F202,Productos!$A:$A,Productos!BN:BN,"Revisar"),"")</f>
        <v/>
      </c>
      <c r="BV202" s="179" t="str">
        <f t="array" ref="BV202">IF($F202&lt;&gt;"", XLOOKUP($F202,Productos!$A$2:$A1001,Productos!BO$2:BO1001,"")*$G202,"")</f>
        <v/>
      </c>
      <c r="BW202" s="179" t="str">
        <f t="array" ref="BW202">IF($F202&lt;&gt;"",XLOOKUP($F202,Productos!$A:$A,Productos!BP:BP,"Revisar"),"")</f>
        <v/>
      </c>
      <c r="BX202" s="179" t="str">
        <f t="array" ref="BX202">IF($F202&lt;&gt;"", XLOOKUP($F202,Productos!$A$2:$A1001,Productos!BQ$2:BQ1001,"")*$G202,"")</f>
        <v/>
      </c>
      <c r="BY202" s="179" t="str">
        <f t="array" ref="BY202">IF($F202&lt;&gt;"",XLOOKUP($F202,Productos!$A:$A,Productos!BR:BR,"Revisar"),"")</f>
        <v/>
      </c>
      <c r="BZ202" s="179" t="str">
        <f t="array" ref="BZ202">IF($F202&lt;&gt;"", XLOOKUP($F202,Productos!$A$2:$A1001,Productos!BS$2:BS1001,"")*$G202,"")</f>
        <v/>
      </c>
    </row>
    <row r="203">
      <c r="A203" s="180"/>
      <c r="B203" s="181"/>
      <c r="C203" s="182"/>
      <c r="D203" s="182"/>
      <c r="E203" s="185"/>
      <c r="F203" s="186"/>
      <c r="G203" s="187"/>
      <c r="H203" s="186"/>
      <c r="I203" s="179" t="str">
        <f t="array" ref="I203">IF($F203&lt;&gt;"",XLOOKUP($F203,Productos!$A:$A,Productos!B:B,"Revisar"),"")</f>
        <v/>
      </c>
      <c r="J203" s="179" t="str">
        <f t="array" ref="J203">IF($F203&lt;&gt;"", XLOOKUP($F203,Productos!$A$2:$A1001,Productos!C$2:C1001,"")*$G203,"")</f>
        <v/>
      </c>
      <c r="K203" s="179" t="str">
        <f t="array" ref="K203">IF($F203&lt;&gt;"",XLOOKUP($F203,Productos!$A:$A,Productos!D:D,"Revisar"),"")</f>
        <v/>
      </c>
      <c r="L203" s="179" t="str">
        <f t="array" ref="L203">IF($F203&lt;&gt;"", XLOOKUP($F203,Productos!$A$2:$A1001,Productos!E$2:E1001,"")*$G203,"")</f>
        <v/>
      </c>
      <c r="M203" s="179" t="str">
        <f t="array" ref="M203">IF($F203&lt;&gt;"",XLOOKUP($F203,Productos!$A:$A,Productos!F:F,"Revisar"),"")</f>
        <v/>
      </c>
      <c r="N203" s="179" t="str">
        <f t="array" ref="N203">IF($F203&lt;&gt;"", XLOOKUP($F203,Productos!$A$2:$A1001,Productos!G$2:G1001,"")*$G203,"")</f>
        <v/>
      </c>
      <c r="O203" s="179" t="str">
        <f t="array" ref="O203">IF($F203&lt;&gt;"",XLOOKUP($F203,Productos!$A:$A,Productos!H:H,"Revisar"),"")</f>
        <v/>
      </c>
      <c r="P203" s="179" t="str">
        <f t="array" ref="P203">IF($F203&lt;&gt;"", XLOOKUP($F203,Productos!$A$2:$A1001,Productos!I$2:I1001,"")*$G203,"")</f>
        <v/>
      </c>
      <c r="Q203" s="179" t="str">
        <f t="array" ref="Q203">IF($F203&lt;&gt;"",XLOOKUP($F203,Productos!$A:$A,Productos!J:J,"Revisar"),"")</f>
        <v/>
      </c>
      <c r="R203" s="179" t="str">
        <f t="array" ref="R203">IF($F203&lt;&gt;"", XLOOKUP($F203,Productos!$A$2:$A1001,Productos!K$2:K1001,"")*$G203,"")</f>
        <v/>
      </c>
      <c r="S203" s="179" t="str">
        <f t="array" ref="S203">IF($F203&lt;&gt;"",XLOOKUP($F203,Productos!$A:$A,Productos!L:L,"Revisar"),"")</f>
        <v/>
      </c>
      <c r="T203" s="179" t="str">
        <f t="array" ref="T203">IF($F203&lt;&gt;"", XLOOKUP($F203,Productos!$A$2:$A1001,Productos!M$2:M1001,"")*$G203,"")</f>
        <v/>
      </c>
      <c r="U203" s="179" t="str">
        <f t="array" ref="U203">IF($F203&lt;&gt;"",XLOOKUP($F203,Productos!$A:$A,Productos!N:N,"Revisar"),"")</f>
        <v/>
      </c>
      <c r="V203" s="179" t="str">
        <f t="array" ref="V203">IF($F203&lt;&gt;"", XLOOKUP($F203,Productos!$A$2:$A1001,Productos!O$2:O1001,"")*$G203,"")</f>
        <v/>
      </c>
      <c r="W203" s="179" t="str">
        <f t="array" ref="W203">IF($F203&lt;&gt;"",XLOOKUP($F203,Productos!$A:$A,Productos!P:P,"Revisar"),"")</f>
        <v/>
      </c>
      <c r="X203" s="179" t="str">
        <f t="array" ref="X203">IF($F203&lt;&gt;"", XLOOKUP($F203,Productos!$A$2:$A1001,Productos!Q$2:Q1001,"")*$G203,"")</f>
        <v/>
      </c>
      <c r="Y203" s="179" t="str">
        <f t="array" ref="Y203">IF($F203&lt;&gt;"",XLOOKUP($F203,Productos!$A:$A,Productos!R:R,"Revisar"),"")</f>
        <v/>
      </c>
      <c r="Z203" s="179" t="str">
        <f t="array" ref="Z203">IF($F203&lt;&gt;"", XLOOKUP($F203,Productos!$A$2:$A1001,Productos!S$2:S1001,"")*$G203,"")</f>
        <v/>
      </c>
      <c r="AA203" s="179" t="str">
        <f t="array" ref="AA203">IF($F203&lt;&gt;"",XLOOKUP($F203,Productos!$A:$A,Productos!T:T,"Revisar"),"")</f>
        <v/>
      </c>
      <c r="AB203" s="179" t="str">
        <f t="array" ref="AB203">IF($F203&lt;&gt;"", XLOOKUP($F203,Productos!$A$2:$A1001,Productos!U$2:U1001,"")*$G203,"")</f>
        <v/>
      </c>
      <c r="AC203" s="179" t="str">
        <f t="array" ref="AC203">IF($F203&lt;&gt;"",XLOOKUP($F203,Productos!$A:$A,Productos!V:V,"Revisar"),"")</f>
        <v/>
      </c>
      <c r="AD203" s="179" t="str">
        <f t="array" ref="AD203">IF($F203&lt;&gt;"", XLOOKUP($F203,Productos!$A$2:$A1001,Productos!W$2:W1001,"")*$G203,"")</f>
        <v/>
      </c>
      <c r="AE203" s="179" t="str">
        <f t="array" ref="AE203">IF($F203&lt;&gt;"",XLOOKUP($F203,Productos!$A:$A,Productos!X:X,"Revisar"),"")</f>
        <v/>
      </c>
      <c r="AF203" s="179" t="str">
        <f t="array" ref="AF203">IF($F203&lt;&gt;"", XLOOKUP($F203,Productos!$A$2:$A1001,Productos!Y$2:Y1001,"")*$G203,"")</f>
        <v/>
      </c>
      <c r="AG203" s="179" t="str">
        <f t="array" ref="AG203">IF($F203&lt;&gt;"",XLOOKUP($F203,Productos!$A:$A,Productos!Z:Z,"Revisar"),"")</f>
        <v/>
      </c>
      <c r="AH203" s="179" t="str">
        <f t="array" ref="AH203">IF($F203&lt;&gt;"", XLOOKUP($F203,Productos!$A$2:$A1001,Productos!AA$2:AA1001,"")*$G203,"")</f>
        <v/>
      </c>
      <c r="AI203" s="179" t="str">
        <f t="array" ref="AI203">IF($F203&lt;&gt;"",XLOOKUP($F203,Productos!$A:$A,Productos!AB:AB,"Revisar"),"")</f>
        <v/>
      </c>
      <c r="AJ203" s="179" t="str">
        <f t="array" ref="AJ203">IF($F203&lt;&gt;"", XLOOKUP($F203,Productos!$A$2:$A1001,Productos!AC$2:AC1001,"")*$G203,"")</f>
        <v/>
      </c>
      <c r="AK203" s="179" t="str">
        <f t="array" ref="AK203">IF($F203&lt;&gt;"",XLOOKUP($F203,Productos!$A:$A,Productos!AD:AD,"Revisar"),"")</f>
        <v/>
      </c>
      <c r="AL203" s="179" t="str">
        <f t="array" ref="AL203">IF($F203&lt;&gt;"", XLOOKUP($F203,Productos!$A$2:$A1001,Productos!AE$2:AE1001,"")*$G203,"")</f>
        <v/>
      </c>
      <c r="AM203" s="179" t="str">
        <f t="array" ref="AM203">IF($F203&lt;&gt;"",XLOOKUP($F203,Productos!$A:$A,Productos!AF:AF,"Revisar"),"")</f>
        <v/>
      </c>
      <c r="AN203" s="179" t="str">
        <f t="array" ref="AN203">IF($F203&lt;&gt;"", XLOOKUP($F203,Productos!$A$2:$A1001,Productos!AG$2:AG1001,"")*$G203,"")</f>
        <v/>
      </c>
      <c r="AO203" s="179" t="str">
        <f t="array" ref="AO203">IF($F203&lt;&gt;"",XLOOKUP($F203,Productos!$A:$A,Productos!AH:AH,"Revisar"),"")</f>
        <v/>
      </c>
      <c r="AP203" s="179" t="str">
        <f t="array" ref="AP203">IF($F203&lt;&gt;"", XLOOKUP($F203,Productos!$A$2:$A1001,Productos!AI$2:AI1001,"")*$G203,"")</f>
        <v/>
      </c>
      <c r="AQ203" s="179" t="str">
        <f t="array" ref="AQ203">IF($F203&lt;&gt;"",XLOOKUP($F203,Productos!$A:$A,Productos!AJ:AJ,"Revisar"),"")</f>
        <v/>
      </c>
      <c r="AR203" s="179" t="str">
        <f t="array" ref="AR203">IF($F203&lt;&gt;"", XLOOKUP($F203,Productos!$A$2:$A1001,Productos!AK$2:AK1001,"")*$G203,"")</f>
        <v/>
      </c>
      <c r="AS203" s="179" t="str">
        <f t="array" ref="AS203">IF($F203&lt;&gt;"",XLOOKUP($F203,Productos!$A:$A,Productos!AL:AL,"Revisar"),"")</f>
        <v/>
      </c>
      <c r="AT203" s="179" t="str">
        <f t="array" ref="AT203">IF($F203&lt;&gt;"", XLOOKUP($F203,Productos!$A$2:$A1001,Productos!AM$2:AM1001,"")*$G203,"")</f>
        <v/>
      </c>
      <c r="AU203" s="179" t="str">
        <f t="array" ref="AU203">IF($F203&lt;&gt;"",XLOOKUP($F203,Productos!$A:$A,Productos!AN:AN,"Revisar"),"")</f>
        <v/>
      </c>
      <c r="AV203" s="179" t="str">
        <f t="array" ref="AV203">IF($F203&lt;&gt;"", XLOOKUP($F203,Productos!$A$2:$A1001,Productos!AO$2:AO1001,"")*$G203,"")</f>
        <v/>
      </c>
      <c r="AW203" s="179" t="str">
        <f t="array" ref="AW203">IF($F203&lt;&gt;"",XLOOKUP($F203,Productos!$A:$A,Productos!AP:AP,"Revisar"),"")</f>
        <v/>
      </c>
      <c r="AX203" s="179" t="str">
        <f t="array" ref="AX203">IF($F203&lt;&gt;"", XLOOKUP($F203,Productos!$A$2:$A1001,Productos!AQ$2:AQ1001,"")*$G203,"")</f>
        <v/>
      </c>
      <c r="AY203" s="179" t="str">
        <f t="array" ref="AY203">IF($F203&lt;&gt;"",XLOOKUP($F203,Productos!$A:$A,Productos!AR:AR,"Revisar"),"")</f>
        <v/>
      </c>
      <c r="AZ203" s="179" t="str">
        <f t="array" ref="AZ203">IF($F203&lt;&gt;"", XLOOKUP($F203,Productos!$A$2:$A1001,Productos!AS$2:AS1001,"")*$G203,"")</f>
        <v/>
      </c>
      <c r="BA203" s="179" t="str">
        <f t="array" ref="BA203">IF($F203&lt;&gt;"",XLOOKUP($F203,Productos!$A:$A,Productos!AT:AT,"Revisar"),"")</f>
        <v/>
      </c>
      <c r="BB203" s="179" t="str">
        <f t="array" ref="BB203">IF($F203&lt;&gt;"", XLOOKUP($F203,Productos!$A$2:$A1001,Productos!AU$2:AU1001,"")*$G203,"")</f>
        <v/>
      </c>
      <c r="BC203" s="179" t="str">
        <f t="array" ref="BC203">IF($F203&lt;&gt;"",XLOOKUP($F203,Productos!$A:$A,Productos!AV:AV,"Revisar"),"")</f>
        <v/>
      </c>
      <c r="BD203" s="179" t="str">
        <f t="array" ref="BD203">IF($F203&lt;&gt;"", XLOOKUP($F203,Productos!$A$2:$A1001,Productos!AW$2:AW1001,"")*$G203,"")</f>
        <v/>
      </c>
      <c r="BE203" s="179" t="str">
        <f t="array" ref="BE203">IF($F203&lt;&gt;"",XLOOKUP($F203,Productos!$A:$A,Productos!AX:AX,"Revisar"),"")</f>
        <v/>
      </c>
      <c r="BF203" s="179" t="str">
        <f t="array" ref="BF203">IF($F203&lt;&gt;"", XLOOKUP($F203,Productos!$A$2:$A1001,Productos!AY$2:AY1001,"")*$G203,"")</f>
        <v/>
      </c>
      <c r="BG203" s="179" t="str">
        <f t="array" ref="BG203">IF($F203&lt;&gt;"",XLOOKUP($F203,Productos!$A:$A,Productos!AZ:AZ,"Revisar"),"")</f>
        <v/>
      </c>
      <c r="BH203" s="179" t="str">
        <f t="array" ref="BH203">IF($F203&lt;&gt;"", XLOOKUP($F203,Productos!$A$2:$A1001,Productos!BA$2:BA1001,"")*$G203,"")</f>
        <v/>
      </c>
      <c r="BI203" s="179" t="str">
        <f t="array" ref="BI203">IF($F203&lt;&gt;"",XLOOKUP($F203,Productos!$A:$A,Productos!BB:BB,"Revisar"),"")</f>
        <v/>
      </c>
      <c r="BJ203" s="179" t="str">
        <f t="array" ref="BJ203">IF($F203&lt;&gt;"", XLOOKUP($F203,Productos!$A$2:$A1001,Productos!BC$2:BC1001,"")*$G203,"")</f>
        <v/>
      </c>
      <c r="BK203" s="179" t="str">
        <f t="array" ref="BK203">IF($F203&lt;&gt;"",XLOOKUP($F203,Productos!$A:$A,Productos!BD:BD,"Revisar"),"")</f>
        <v/>
      </c>
      <c r="BL203" s="179" t="str">
        <f t="array" ref="BL203">IF($F203&lt;&gt;"", XLOOKUP($F203,Productos!$A$2:$A1001,Productos!BE$2:BE1001,"")*$G203,"")</f>
        <v/>
      </c>
      <c r="BM203" s="179" t="str">
        <f t="array" ref="BM203">IF($F203&lt;&gt;"",XLOOKUP($F203,Productos!$A:$A,Productos!BF:BF,"Revisar"),"")</f>
        <v/>
      </c>
      <c r="BN203" s="179" t="str">
        <f t="array" ref="BN203">IF($F203&lt;&gt;"", XLOOKUP($F203,Productos!$A$2:$A1001,Productos!BG$2:BG1001,"")*$G203,"")</f>
        <v/>
      </c>
      <c r="BO203" s="179" t="str">
        <f t="array" ref="BO203">IF($F203&lt;&gt;"",XLOOKUP($F203,Productos!$A:$A,Productos!BH:BH,"Revisar"),"")</f>
        <v/>
      </c>
      <c r="BP203" s="179" t="str">
        <f t="array" ref="BP203">IF($F203&lt;&gt;"", XLOOKUP($F203,Productos!$A$2:$A1001,Productos!BI$2:BI1001,"")*$G203,"")</f>
        <v/>
      </c>
      <c r="BQ203" s="179" t="str">
        <f t="array" ref="BQ203">IF($F203&lt;&gt;"",XLOOKUP($F203,Productos!$A:$A,Productos!BJ:BJ,"Revisar"),"")</f>
        <v/>
      </c>
      <c r="BR203" s="179" t="str">
        <f t="array" ref="BR203">IF($F203&lt;&gt;"", XLOOKUP($F203,Productos!$A$2:$A1001,Productos!BK$2:BK1001,"")*$G203,"")</f>
        <v/>
      </c>
      <c r="BS203" s="179" t="str">
        <f t="array" ref="BS203">IF($F203&lt;&gt;"",XLOOKUP($F203,Productos!$A:$A,Productos!BL:BL,"Revisar"),"")</f>
        <v/>
      </c>
      <c r="BT203" s="179" t="str">
        <f t="array" ref="BT203">IF($F203&lt;&gt;"", XLOOKUP($F203,Productos!$A$2:$A1001,Productos!BM$2:BM1001,"")*$G203,"")</f>
        <v/>
      </c>
      <c r="BU203" s="179" t="str">
        <f t="array" ref="BU203">IF($F203&lt;&gt;"",XLOOKUP($F203,Productos!$A:$A,Productos!BN:BN,"Revisar"),"")</f>
        <v/>
      </c>
      <c r="BV203" s="179" t="str">
        <f t="array" ref="BV203">IF($F203&lt;&gt;"", XLOOKUP($F203,Productos!$A$2:$A1001,Productos!BO$2:BO1001,"")*$G203,"")</f>
        <v/>
      </c>
      <c r="BW203" s="179" t="str">
        <f t="array" ref="BW203">IF($F203&lt;&gt;"",XLOOKUP($F203,Productos!$A:$A,Productos!BP:BP,"Revisar"),"")</f>
        <v/>
      </c>
      <c r="BX203" s="179" t="str">
        <f t="array" ref="BX203">IF($F203&lt;&gt;"", XLOOKUP($F203,Productos!$A$2:$A1001,Productos!BQ$2:BQ1001,"")*$G203,"")</f>
        <v/>
      </c>
      <c r="BY203" s="179" t="str">
        <f t="array" ref="BY203">IF($F203&lt;&gt;"",XLOOKUP($F203,Productos!$A:$A,Productos!BR:BR,"Revisar"),"")</f>
        <v/>
      </c>
      <c r="BZ203" s="179" t="str">
        <f t="array" ref="BZ203">IF($F203&lt;&gt;"", XLOOKUP($F203,Productos!$A$2:$A1001,Productos!BS$2:BS1001,"")*$G203,"")</f>
        <v/>
      </c>
    </row>
    <row r="204">
      <c r="A204" s="180"/>
      <c r="B204" s="181"/>
      <c r="C204" s="182"/>
      <c r="D204" s="182"/>
      <c r="E204" s="185"/>
      <c r="F204" s="186"/>
      <c r="G204" s="187"/>
      <c r="H204" s="186"/>
      <c r="I204" s="179" t="str">
        <f t="array" ref="I204">IF($F204&lt;&gt;"",XLOOKUP($F204,Productos!$A:$A,Productos!B:B,"Revisar"),"")</f>
        <v/>
      </c>
      <c r="J204" s="179" t="str">
        <f t="array" ref="J204">IF($F204&lt;&gt;"", XLOOKUP($F204,Productos!$A$2:$A1001,Productos!C$2:C1001,"")*$G204,"")</f>
        <v/>
      </c>
      <c r="K204" s="179" t="str">
        <f t="array" ref="K204">IF($F204&lt;&gt;"",XLOOKUP($F204,Productos!$A:$A,Productos!D:D,"Revisar"),"")</f>
        <v/>
      </c>
      <c r="L204" s="179" t="str">
        <f t="array" ref="L204">IF($F204&lt;&gt;"", XLOOKUP($F204,Productos!$A$2:$A1001,Productos!E$2:E1001,"")*$G204,"")</f>
        <v/>
      </c>
      <c r="M204" s="179" t="str">
        <f t="array" ref="M204">IF($F204&lt;&gt;"",XLOOKUP($F204,Productos!$A:$A,Productos!F:F,"Revisar"),"")</f>
        <v/>
      </c>
      <c r="N204" s="179" t="str">
        <f t="array" ref="N204">IF($F204&lt;&gt;"", XLOOKUP($F204,Productos!$A$2:$A1001,Productos!G$2:G1001,"")*$G204,"")</f>
        <v/>
      </c>
      <c r="O204" s="179" t="str">
        <f t="array" ref="O204">IF($F204&lt;&gt;"",XLOOKUP($F204,Productos!$A:$A,Productos!H:H,"Revisar"),"")</f>
        <v/>
      </c>
      <c r="P204" s="179" t="str">
        <f t="array" ref="P204">IF($F204&lt;&gt;"", XLOOKUP($F204,Productos!$A$2:$A1001,Productos!I$2:I1001,"")*$G204,"")</f>
        <v/>
      </c>
      <c r="Q204" s="179" t="str">
        <f t="array" ref="Q204">IF($F204&lt;&gt;"",XLOOKUP($F204,Productos!$A:$A,Productos!J:J,"Revisar"),"")</f>
        <v/>
      </c>
      <c r="R204" s="179" t="str">
        <f t="array" ref="R204">IF($F204&lt;&gt;"", XLOOKUP($F204,Productos!$A$2:$A1001,Productos!K$2:K1001,"")*$G204,"")</f>
        <v/>
      </c>
      <c r="S204" s="179" t="str">
        <f t="array" ref="S204">IF($F204&lt;&gt;"",XLOOKUP($F204,Productos!$A:$A,Productos!L:L,"Revisar"),"")</f>
        <v/>
      </c>
      <c r="T204" s="179" t="str">
        <f t="array" ref="T204">IF($F204&lt;&gt;"", XLOOKUP($F204,Productos!$A$2:$A1001,Productos!M$2:M1001,"")*$G204,"")</f>
        <v/>
      </c>
      <c r="U204" s="179" t="str">
        <f t="array" ref="U204">IF($F204&lt;&gt;"",XLOOKUP($F204,Productos!$A:$A,Productos!N:N,"Revisar"),"")</f>
        <v/>
      </c>
      <c r="V204" s="179" t="str">
        <f t="array" ref="V204">IF($F204&lt;&gt;"", XLOOKUP($F204,Productos!$A$2:$A1001,Productos!O$2:O1001,"")*$G204,"")</f>
        <v/>
      </c>
      <c r="W204" s="179" t="str">
        <f t="array" ref="W204">IF($F204&lt;&gt;"",XLOOKUP($F204,Productos!$A:$A,Productos!P:P,"Revisar"),"")</f>
        <v/>
      </c>
      <c r="X204" s="179" t="str">
        <f t="array" ref="X204">IF($F204&lt;&gt;"", XLOOKUP($F204,Productos!$A$2:$A1001,Productos!Q$2:Q1001,"")*$G204,"")</f>
        <v/>
      </c>
      <c r="Y204" s="179" t="str">
        <f t="array" ref="Y204">IF($F204&lt;&gt;"",XLOOKUP($F204,Productos!$A:$A,Productos!R:R,"Revisar"),"")</f>
        <v/>
      </c>
      <c r="Z204" s="179" t="str">
        <f t="array" ref="Z204">IF($F204&lt;&gt;"", XLOOKUP($F204,Productos!$A$2:$A1001,Productos!S$2:S1001,"")*$G204,"")</f>
        <v/>
      </c>
      <c r="AA204" s="179" t="str">
        <f t="array" ref="AA204">IF($F204&lt;&gt;"",XLOOKUP($F204,Productos!$A:$A,Productos!T:T,"Revisar"),"")</f>
        <v/>
      </c>
      <c r="AB204" s="179" t="str">
        <f t="array" ref="AB204">IF($F204&lt;&gt;"", XLOOKUP($F204,Productos!$A$2:$A1001,Productos!U$2:U1001,"")*$G204,"")</f>
        <v/>
      </c>
      <c r="AC204" s="179" t="str">
        <f t="array" ref="AC204">IF($F204&lt;&gt;"",XLOOKUP($F204,Productos!$A:$A,Productos!V:V,"Revisar"),"")</f>
        <v/>
      </c>
      <c r="AD204" s="179" t="str">
        <f t="array" ref="AD204">IF($F204&lt;&gt;"", XLOOKUP($F204,Productos!$A$2:$A1001,Productos!W$2:W1001,"")*$G204,"")</f>
        <v/>
      </c>
      <c r="AE204" s="179" t="str">
        <f t="array" ref="AE204">IF($F204&lt;&gt;"",XLOOKUP($F204,Productos!$A:$A,Productos!X:X,"Revisar"),"")</f>
        <v/>
      </c>
      <c r="AF204" s="179" t="str">
        <f t="array" ref="AF204">IF($F204&lt;&gt;"", XLOOKUP($F204,Productos!$A$2:$A1001,Productos!Y$2:Y1001,"")*$G204,"")</f>
        <v/>
      </c>
      <c r="AG204" s="179" t="str">
        <f t="array" ref="AG204">IF($F204&lt;&gt;"",XLOOKUP($F204,Productos!$A:$A,Productos!Z:Z,"Revisar"),"")</f>
        <v/>
      </c>
      <c r="AH204" s="179" t="str">
        <f t="array" ref="AH204">IF($F204&lt;&gt;"", XLOOKUP($F204,Productos!$A$2:$A1001,Productos!AA$2:AA1001,"")*$G204,"")</f>
        <v/>
      </c>
      <c r="AI204" s="179" t="str">
        <f t="array" ref="AI204">IF($F204&lt;&gt;"",XLOOKUP($F204,Productos!$A:$A,Productos!AB:AB,"Revisar"),"")</f>
        <v/>
      </c>
      <c r="AJ204" s="179" t="str">
        <f t="array" ref="AJ204">IF($F204&lt;&gt;"", XLOOKUP($F204,Productos!$A$2:$A1001,Productos!AC$2:AC1001,"")*$G204,"")</f>
        <v/>
      </c>
      <c r="AK204" s="179" t="str">
        <f t="array" ref="AK204">IF($F204&lt;&gt;"",XLOOKUP($F204,Productos!$A:$A,Productos!AD:AD,"Revisar"),"")</f>
        <v/>
      </c>
      <c r="AL204" s="179" t="str">
        <f t="array" ref="AL204">IF($F204&lt;&gt;"", XLOOKUP($F204,Productos!$A$2:$A1001,Productos!AE$2:AE1001,"")*$G204,"")</f>
        <v/>
      </c>
      <c r="AM204" s="179" t="str">
        <f t="array" ref="AM204">IF($F204&lt;&gt;"",XLOOKUP($F204,Productos!$A:$A,Productos!AF:AF,"Revisar"),"")</f>
        <v/>
      </c>
      <c r="AN204" s="179" t="str">
        <f t="array" ref="AN204">IF($F204&lt;&gt;"", XLOOKUP($F204,Productos!$A$2:$A1001,Productos!AG$2:AG1001,"")*$G204,"")</f>
        <v/>
      </c>
      <c r="AO204" s="179" t="str">
        <f t="array" ref="AO204">IF($F204&lt;&gt;"",XLOOKUP($F204,Productos!$A:$A,Productos!AH:AH,"Revisar"),"")</f>
        <v/>
      </c>
      <c r="AP204" s="179" t="str">
        <f t="array" ref="AP204">IF($F204&lt;&gt;"", XLOOKUP($F204,Productos!$A$2:$A1001,Productos!AI$2:AI1001,"")*$G204,"")</f>
        <v/>
      </c>
      <c r="AQ204" s="179" t="str">
        <f t="array" ref="AQ204">IF($F204&lt;&gt;"",XLOOKUP($F204,Productos!$A:$A,Productos!AJ:AJ,"Revisar"),"")</f>
        <v/>
      </c>
      <c r="AR204" s="179" t="str">
        <f t="array" ref="AR204">IF($F204&lt;&gt;"", XLOOKUP($F204,Productos!$A$2:$A1001,Productos!AK$2:AK1001,"")*$G204,"")</f>
        <v/>
      </c>
      <c r="AS204" s="179" t="str">
        <f t="array" ref="AS204">IF($F204&lt;&gt;"",XLOOKUP($F204,Productos!$A:$A,Productos!AL:AL,"Revisar"),"")</f>
        <v/>
      </c>
      <c r="AT204" s="179" t="str">
        <f t="array" ref="AT204">IF($F204&lt;&gt;"", XLOOKUP($F204,Productos!$A$2:$A1001,Productos!AM$2:AM1001,"")*$G204,"")</f>
        <v/>
      </c>
      <c r="AU204" s="179" t="str">
        <f t="array" ref="AU204">IF($F204&lt;&gt;"",XLOOKUP($F204,Productos!$A:$A,Productos!AN:AN,"Revisar"),"")</f>
        <v/>
      </c>
      <c r="AV204" s="179" t="str">
        <f t="array" ref="AV204">IF($F204&lt;&gt;"", XLOOKUP($F204,Productos!$A$2:$A1001,Productos!AO$2:AO1001,"")*$G204,"")</f>
        <v/>
      </c>
      <c r="AW204" s="179" t="str">
        <f t="array" ref="AW204">IF($F204&lt;&gt;"",XLOOKUP($F204,Productos!$A:$A,Productos!AP:AP,"Revisar"),"")</f>
        <v/>
      </c>
      <c r="AX204" s="179" t="str">
        <f t="array" ref="AX204">IF($F204&lt;&gt;"", XLOOKUP($F204,Productos!$A$2:$A1001,Productos!AQ$2:AQ1001,"")*$G204,"")</f>
        <v/>
      </c>
      <c r="AY204" s="179" t="str">
        <f t="array" ref="AY204">IF($F204&lt;&gt;"",XLOOKUP($F204,Productos!$A:$A,Productos!AR:AR,"Revisar"),"")</f>
        <v/>
      </c>
      <c r="AZ204" s="179" t="str">
        <f t="array" ref="AZ204">IF($F204&lt;&gt;"", XLOOKUP($F204,Productos!$A$2:$A1001,Productos!AS$2:AS1001,"")*$G204,"")</f>
        <v/>
      </c>
      <c r="BA204" s="179" t="str">
        <f t="array" ref="BA204">IF($F204&lt;&gt;"",XLOOKUP($F204,Productos!$A:$A,Productos!AT:AT,"Revisar"),"")</f>
        <v/>
      </c>
      <c r="BB204" s="179" t="str">
        <f t="array" ref="BB204">IF($F204&lt;&gt;"", XLOOKUP($F204,Productos!$A$2:$A1001,Productos!AU$2:AU1001,"")*$G204,"")</f>
        <v/>
      </c>
      <c r="BC204" s="179" t="str">
        <f t="array" ref="BC204">IF($F204&lt;&gt;"",XLOOKUP($F204,Productos!$A:$A,Productos!AV:AV,"Revisar"),"")</f>
        <v/>
      </c>
      <c r="BD204" s="179" t="str">
        <f t="array" ref="BD204">IF($F204&lt;&gt;"", XLOOKUP($F204,Productos!$A$2:$A1001,Productos!AW$2:AW1001,"")*$G204,"")</f>
        <v/>
      </c>
      <c r="BE204" s="179" t="str">
        <f t="array" ref="BE204">IF($F204&lt;&gt;"",XLOOKUP($F204,Productos!$A:$A,Productos!AX:AX,"Revisar"),"")</f>
        <v/>
      </c>
      <c r="BF204" s="179" t="str">
        <f t="array" ref="BF204">IF($F204&lt;&gt;"", XLOOKUP($F204,Productos!$A$2:$A1001,Productos!AY$2:AY1001,"")*$G204,"")</f>
        <v/>
      </c>
      <c r="BG204" s="179" t="str">
        <f t="array" ref="BG204">IF($F204&lt;&gt;"",XLOOKUP($F204,Productos!$A:$A,Productos!AZ:AZ,"Revisar"),"")</f>
        <v/>
      </c>
      <c r="BH204" s="179" t="str">
        <f t="array" ref="BH204">IF($F204&lt;&gt;"", XLOOKUP($F204,Productos!$A$2:$A1001,Productos!BA$2:BA1001,"")*$G204,"")</f>
        <v/>
      </c>
      <c r="BI204" s="179" t="str">
        <f t="array" ref="BI204">IF($F204&lt;&gt;"",XLOOKUP($F204,Productos!$A:$A,Productos!BB:BB,"Revisar"),"")</f>
        <v/>
      </c>
      <c r="BJ204" s="179" t="str">
        <f t="array" ref="BJ204">IF($F204&lt;&gt;"", XLOOKUP($F204,Productos!$A$2:$A1001,Productos!BC$2:BC1001,"")*$G204,"")</f>
        <v/>
      </c>
      <c r="BK204" s="179" t="str">
        <f t="array" ref="BK204">IF($F204&lt;&gt;"",XLOOKUP($F204,Productos!$A:$A,Productos!BD:BD,"Revisar"),"")</f>
        <v/>
      </c>
      <c r="BL204" s="179" t="str">
        <f t="array" ref="BL204">IF($F204&lt;&gt;"", XLOOKUP($F204,Productos!$A$2:$A1001,Productos!BE$2:BE1001,"")*$G204,"")</f>
        <v/>
      </c>
      <c r="BM204" s="179" t="str">
        <f t="array" ref="BM204">IF($F204&lt;&gt;"",XLOOKUP($F204,Productos!$A:$A,Productos!BF:BF,"Revisar"),"")</f>
        <v/>
      </c>
      <c r="BN204" s="179" t="str">
        <f t="array" ref="BN204">IF($F204&lt;&gt;"", XLOOKUP($F204,Productos!$A$2:$A1001,Productos!BG$2:BG1001,"")*$G204,"")</f>
        <v/>
      </c>
      <c r="BO204" s="179" t="str">
        <f t="array" ref="BO204">IF($F204&lt;&gt;"",XLOOKUP($F204,Productos!$A:$A,Productos!BH:BH,"Revisar"),"")</f>
        <v/>
      </c>
      <c r="BP204" s="179" t="str">
        <f t="array" ref="BP204">IF($F204&lt;&gt;"", XLOOKUP($F204,Productos!$A$2:$A1001,Productos!BI$2:BI1001,"")*$G204,"")</f>
        <v/>
      </c>
      <c r="BQ204" s="179" t="str">
        <f t="array" ref="BQ204">IF($F204&lt;&gt;"",XLOOKUP($F204,Productos!$A:$A,Productos!BJ:BJ,"Revisar"),"")</f>
        <v/>
      </c>
      <c r="BR204" s="179" t="str">
        <f t="array" ref="BR204">IF($F204&lt;&gt;"", XLOOKUP($F204,Productos!$A$2:$A1001,Productos!BK$2:BK1001,"")*$G204,"")</f>
        <v/>
      </c>
      <c r="BS204" s="179" t="str">
        <f t="array" ref="BS204">IF($F204&lt;&gt;"",XLOOKUP($F204,Productos!$A:$A,Productos!BL:BL,"Revisar"),"")</f>
        <v/>
      </c>
      <c r="BT204" s="179" t="str">
        <f t="array" ref="BT204">IF($F204&lt;&gt;"", XLOOKUP($F204,Productos!$A$2:$A1001,Productos!BM$2:BM1001,"")*$G204,"")</f>
        <v/>
      </c>
      <c r="BU204" s="179" t="str">
        <f t="array" ref="BU204">IF($F204&lt;&gt;"",XLOOKUP($F204,Productos!$A:$A,Productos!BN:BN,"Revisar"),"")</f>
        <v/>
      </c>
      <c r="BV204" s="179" t="str">
        <f t="array" ref="BV204">IF($F204&lt;&gt;"", XLOOKUP($F204,Productos!$A$2:$A1001,Productos!BO$2:BO1001,"")*$G204,"")</f>
        <v/>
      </c>
      <c r="BW204" s="179" t="str">
        <f t="array" ref="BW204">IF($F204&lt;&gt;"",XLOOKUP($F204,Productos!$A:$A,Productos!BP:BP,"Revisar"),"")</f>
        <v/>
      </c>
      <c r="BX204" s="179" t="str">
        <f t="array" ref="BX204">IF($F204&lt;&gt;"", XLOOKUP($F204,Productos!$A$2:$A1001,Productos!BQ$2:BQ1001,"")*$G204,"")</f>
        <v/>
      </c>
      <c r="BY204" s="179" t="str">
        <f t="array" ref="BY204">IF($F204&lt;&gt;"",XLOOKUP($F204,Productos!$A:$A,Productos!BR:BR,"Revisar"),"")</f>
        <v/>
      </c>
      <c r="BZ204" s="179" t="str">
        <f t="array" ref="BZ204">IF($F204&lt;&gt;"", XLOOKUP($F204,Productos!$A$2:$A1001,Productos!BS$2:BS1001,"")*$G204,"")</f>
        <v/>
      </c>
    </row>
    <row r="205">
      <c r="A205" s="180"/>
      <c r="B205" s="181"/>
      <c r="C205" s="182"/>
      <c r="D205" s="182"/>
      <c r="E205" s="185"/>
      <c r="F205" s="186"/>
      <c r="G205" s="187"/>
      <c r="H205" s="186"/>
      <c r="I205" s="179" t="str">
        <f t="array" ref="I205">IF($F205&lt;&gt;"",XLOOKUP($F205,Productos!$A:$A,Productos!B:B,"Revisar"),"")</f>
        <v/>
      </c>
      <c r="J205" s="179" t="str">
        <f t="array" ref="J205">IF($F205&lt;&gt;"", XLOOKUP($F205,Productos!$A$2:$A1001,Productos!C$2:C1001,"")*$G205,"")</f>
        <v/>
      </c>
      <c r="K205" s="179" t="str">
        <f t="array" ref="K205">IF($F205&lt;&gt;"",XLOOKUP($F205,Productos!$A:$A,Productos!D:D,"Revisar"),"")</f>
        <v/>
      </c>
      <c r="L205" s="179" t="str">
        <f t="array" ref="L205">IF($F205&lt;&gt;"", XLOOKUP($F205,Productos!$A$2:$A1001,Productos!E$2:E1001,"")*$G205,"")</f>
        <v/>
      </c>
      <c r="M205" s="179" t="str">
        <f t="array" ref="M205">IF($F205&lt;&gt;"",XLOOKUP($F205,Productos!$A:$A,Productos!F:F,"Revisar"),"")</f>
        <v/>
      </c>
      <c r="N205" s="179" t="str">
        <f t="array" ref="N205">IF($F205&lt;&gt;"", XLOOKUP($F205,Productos!$A$2:$A1001,Productos!G$2:G1001,"")*$G205,"")</f>
        <v/>
      </c>
      <c r="O205" s="179" t="str">
        <f t="array" ref="O205">IF($F205&lt;&gt;"",XLOOKUP($F205,Productos!$A:$A,Productos!H:H,"Revisar"),"")</f>
        <v/>
      </c>
      <c r="P205" s="179" t="str">
        <f t="array" ref="P205">IF($F205&lt;&gt;"", XLOOKUP($F205,Productos!$A$2:$A1001,Productos!I$2:I1001,"")*$G205,"")</f>
        <v/>
      </c>
      <c r="Q205" s="179" t="str">
        <f t="array" ref="Q205">IF($F205&lt;&gt;"",XLOOKUP($F205,Productos!$A:$A,Productos!J:J,"Revisar"),"")</f>
        <v/>
      </c>
      <c r="R205" s="179" t="str">
        <f t="array" ref="R205">IF($F205&lt;&gt;"", XLOOKUP($F205,Productos!$A$2:$A1001,Productos!K$2:K1001,"")*$G205,"")</f>
        <v/>
      </c>
      <c r="S205" s="179" t="str">
        <f t="array" ref="S205">IF($F205&lt;&gt;"",XLOOKUP($F205,Productos!$A:$A,Productos!L:L,"Revisar"),"")</f>
        <v/>
      </c>
      <c r="T205" s="179" t="str">
        <f t="array" ref="T205">IF($F205&lt;&gt;"", XLOOKUP($F205,Productos!$A$2:$A1001,Productos!M$2:M1001,"")*$G205,"")</f>
        <v/>
      </c>
      <c r="U205" s="179" t="str">
        <f t="array" ref="U205">IF($F205&lt;&gt;"",XLOOKUP($F205,Productos!$A:$A,Productos!N:N,"Revisar"),"")</f>
        <v/>
      </c>
      <c r="V205" s="179" t="str">
        <f t="array" ref="V205">IF($F205&lt;&gt;"", XLOOKUP($F205,Productos!$A$2:$A1001,Productos!O$2:O1001,"")*$G205,"")</f>
        <v/>
      </c>
      <c r="W205" s="179" t="str">
        <f t="array" ref="W205">IF($F205&lt;&gt;"",XLOOKUP($F205,Productos!$A:$A,Productos!P:P,"Revisar"),"")</f>
        <v/>
      </c>
      <c r="X205" s="179" t="str">
        <f t="array" ref="X205">IF($F205&lt;&gt;"", XLOOKUP($F205,Productos!$A$2:$A1001,Productos!Q$2:Q1001,"")*$G205,"")</f>
        <v/>
      </c>
      <c r="Y205" s="179" t="str">
        <f t="array" ref="Y205">IF($F205&lt;&gt;"",XLOOKUP($F205,Productos!$A:$A,Productos!R:R,"Revisar"),"")</f>
        <v/>
      </c>
      <c r="Z205" s="179" t="str">
        <f t="array" ref="Z205">IF($F205&lt;&gt;"", XLOOKUP($F205,Productos!$A$2:$A1001,Productos!S$2:S1001,"")*$G205,"")</f>
        <v/>
      </c>
      <c r="AA205" s="179" t="str">
        <f t="array" ref="AA205">IF($F205&lt;&gt;"",XLOOKUP($F205,Productos!$A:$A,Productos!T:T,"Revisar"),"")</f>
        <v/>
      </c>
      <c r="AB205" s="179" t="str">
        <f t="array" ref="AB205">IF($F205&lt;&gt;"", XLOOKUP($F205,Productos!$A$2:$A1001,Productos!U$2:U1001,"")*$G205,"")</f>
        <v/>
      </c>
      <c r="AC205" s="179" t="str">
        <f t="array" ref="AC205">IF($F205&lt;&gt;"",XLOOKUP($F205,Productos!$A:$A,Productos!V:V,"Revisar"),"")</f>
        <v/>
      </c>
      <c r="AD205" s="179" t="str">
        <f t="array" ref="AD205">IF($F205&lt;&gt;"", XLOOKUP($F205,Productos!$A$2:$A1001,Productos!W$2:W1001,"")*$G205,"")</f>
        <v/>
      </c>
      <c r="AE205" s="179" t="str">
        <f t="array" ref="AE205">IF($F205&lt;&gt;"",XLOOKUP($F205,Productos!$A:$A,Productos!X:X,"Revisar"),"")</f>
        <v/>
      </c>
      <c r="AF205" s="179" t="str">
        <f t="array" ref="AF205">IF($F205&lt;&gt;"", XLOOKUP($F205,Productos!$A$2:$A1001,Productos!Y$2:Y1001,"")*$G205,"")</f>
        <v/>
      </c>
      <c r="AG205" s="179" t="str">
        <f t="array" ref="AG205">IF($F205&lt;&gt;"",XLOOKUP($F205,Productos!$A:$A,Productos!Z:Z,"Revisar"),"")</f>
        <v/>
      </c>
      <c r="AH205" s="179" t="str">
        <f t="array" ref="AH205">IF($F205&lt;&gt;"", XLOOKUP($F205,Productos!$A$2:$A1001,Productos!AA$2:AA1001,"")*$G205,"")</f>
        <v/>
      </c>
      <c r="AI205" s="179" t="str">
        <f t="array" ref="AI205">IF($F205&lt;&gt;"",XLOOKUP($F205,Productos!$A:$A,Productos!AB:AB,"Revisar"),"")</f>
        <v/>
      </c>
      <c r="AJ205" s="179" t="str">
        <f t="array" ref="AJ205">IF($F205&lt;&gt;"", XLOOKUP($F205,Productos!$A$2:$A1001,Productos!AC$2:AC1001,"")*$G205,"")</f>
        <v/>
      </c>
      <c r="AK205" s="179" t="str">
        <f t="array" ref="AK205">IF($F205&lt;&gt;"",XLOOKUP($F205,Productos!$A:$A,Productos!AD:AD,"Revisar"),"")</f>
        <v/>
      </c>
      <c r="AL205" s="179" t="str">
        <f t="array" ref="AL205">IF($F205&lt;&gt;"", XLOOKUP($F205,Productos!$A$2:$A1001,Productos!AE$2:AE1001,"")*$G205,"")</f>
        <v/>
      </c>
      <c r="AM205" s="179" t="str">
        <f t="array" ref="AM205">IF($F205&lt;&gt;"",XLOOKUP($F205,Productos!$A:$A,Productos!AF:AF,"Revisar"),"")</f>
        <v/>
      </c>
      <c r="AN205" s="179" t="str">
        <f t="array" ref="AN205">IF($F205&lt;&gt;"", XLOOKUP($F205,Productos!$A$2:$A1001,Productos!AG$2:AG1001,"")*$G205,"")</f>
        <v/>
      </c>
      <c r="AO205" s="179" t="str">
        <f t="array" ref="AO205">IF($F205&lt;&gt;"",XLOOKUP($F205,Productos!$A:$A,Productos!AH:AH,"Revisar"),"")</f>
        <v/>
      </c>
      <c r="AP205" s="179" t="str">
        <f t="array" ref="AP205">IF($F205&lt;&gt;"", XLOOKUP($F205,Productos!$A$2:$A1001,Productos!AI$2:AI1001,"")*$G205,"")</f>
        <v/>
      </c>
      <c r="AQ205" s="179" t="str">
        <f t="array" ref="AQ205">IF($F205&lt;&gt;"",XLOOKUP($F205,Productos!$A:$A,Productos!AJ:AJ,"Revisar"),"")</f>
        <v/>
      </c>
      <c r="AR205" s="179" t="str">
        <f t="array" ref="AR205">IF($F205&lt;&gt;"", XLOOKUP($F205,Productos!$A$2:$A1001,Productos!AK$2:AK1001,"")*$G205,"")</f>
        <v/>
      </c>
      <c r="AS205" s="179" t="str">
        <f t="array" ref="AS205">IF($F205&lt;&gt;"",XLOOKUP($F205,Productos!$A:$A,Productos!AL:AL,"Revisar"),"")</f>
        <v/>
      </c>
      <c r="AT205" s="179" t="str">
        <f t="array" ref="AT205">IF($F205&lt;&gt;"", XLOOKUP($F205,Productos!$A$2:$A1001,Productos!AM$2:AM1001,"")*$G205,"")</f>
        <v/>
      </c>
      <c r="AU205" s="179" t="str">
        <f t="array" ref="AU205">IF($F205&lt;&gt;"",XLOOKUP($F205,Productos!$A:$A,Productos!AN:AN,"Revisar"),"")</f>
        <v/>
      </c>
      <c r="AV205" s="179" t="str">
        <f t="array" ref="AV205">IF($F205&lt;&gt;"", XLOOKUP($F205,Productos!$A$2:$A1001,Productos!AO$2:AO1001,"")*$G205,"")</f>
        <v/>
      </c>
      <c r="AW205" s="179" t="str">
        <f t="array" ref="AW205">IF($F205&lt;&gt;"",XLOOKUP($F205,Productos!$A:$A,Productos!AP:AP,"Revisar"),"")</f>
        <v/>
      </c>
      <c r="AX205" s="179" t="str">
        <f t="array" ref="AX205">IF($F205&lt;&gt;"", XLOOKUP($F205,Productos!$A$2:$A1001,Productos!AQ$2:AQ1001,"")*$G205,"")</f>
        <v/>
      </c>
      <c r="AY205" s="179" t="str">
        <f t="array" ref="AY205">IF($F205&lt;&gt;"",XLOOKUP($F205,Productos!$A:$A,Productos!AR:AR,"Revisar"),"")</f>
        <v/>
      </c>
      <c r="AZ205" s="179" t="str">
        <f t="array" ref="AZ205">IF($F205&lt;&gt;"", XLOOKUP($F205,Productos!$A$2:$A1001,Productos!AS$2:AS1001,"")*$G205,"")</f>
        <v/>
      </c>
      <c r="BA205" s="179" t="str">
        <f t="array" ref="BA205">IF($F205&lt;&gt;"",XLOOKUP($F205,Productos!$A:$A,Productos!AT:AT,"Revisar"),"")</f>
        <v/>
      </c>
      <c r="BB205" s="179" t="str">
        <f t="array" ref="BB205">IF($F205&lt;&gt;"", XLOOKUP($F205,Productos!$A$2:$A1001,Productos!AU$2:AU1001,"")*$G205,"")</f>
        <v/>
      </c>
      <c r="BC205" s="179" t="str">
        <f t="array" ref="BC205">IF($F205&lt;&gt;"",XLOOKUP($F205,Productos!$A:$A,Productos!AV:AV,"Revisar"),"")</f>
        <v/>
      </c>
      <c r="BD205" s="179" t="str">
        <f t="array" ref="BD205">IF($F205&lt;&gt;"", XLOOKUP($F205,Productos!$A$2:$A1001,Productos!AW$2:AW1001,"")*$G205,"")</f>
        <v/>
      </c>
      <c r="BE205" s="179" t="str">
        <f t="array" ref="BE205">IF($F205&lt;&gt;"",XLOOKUP($F205,Productos!$A:$A,Productos!AX:AX,"Revisar"),"")</f>
        <v/>
      </c>
      <c r="BF205" s="179" t="str">
        <f t="array" ref="BF205">IF($F205&lt;&gt;"", XLOOKUP($F205,Productos!$A$2:$A1001,Productos!AY$2:AY1001,"")*$G205,"")</f>
        <v/>
      </c>
      <c r="BG205" s="179" t="str">
        <f t="array" ref="BG205">IF($F205&lt;&gt;"",XLOOKUP($F205,Productos!$A:$A,Productos!AZ:AZ,"Revisar"),"")</f>
        <v/>
      </c>
      <c r="BH205" s="179" t="str">
        <f t="array" ref="BH205">IF($F205&lt;&gt;"", XLOOKUP($F205,Productos!$A$2:$A1001,Productos!BA$2:BA1001,"")*$G205,"")</f>
        <v/>
      </c>
      <c r="BI205" s="179" t="str">
        <f t="array" ref="BI205">IF($F205&lt;&gt;"",XLOOKUP($F205,Productos!$A:$A,Productos!BB:BB,"Revisar"),"")</f>
        <v/>
      </c>
      <c r="BJ205" s="179" t="str">
        <f t="array" ref="BJ205">IF($F205&lt;&gt;"", XLOOKUP($F205,Productos!$A$2:$A1001,Productos!BC$2:BC1001,"")*$G205,"")</f>
        <v/>
      </c>
      <c r="BK205" s="179" t="str">
        <f t="array" ref="BK205">IF($F205&lt;&gt;"",XLOOKUP($F205,Productos!$A:$A,Productos!BD:BD,"Revisar"),"")</f>
        <v/>
      </c>
      <c r="BL205" s="179" t="str">
        <f t="array" ref="BL205">IF($F205&lt;&gt;"", XLOOKUP($F205,Productos!$A$2:$A1001,Productos!BE$2:BE1001,"")*$G205,"")</f>
        <v/>
      </c>
      <c r="BM205" s="179" t="str">
        <f t="array" ref="BM205">IF($F205&lt;&gt;"",XLOOKUP($F205,Productos!$A:$A,Productos!BF:BF,"Revisar"),"")</f>
        <v/>
      </c>
      <c r="BN205" s="179" t="str">
        <f t="array" ref="BN205">IF($F205&lt;&gt;"", XLOOKUP($F205,Productos!$A$2:$A1001,Productos!BG$2:BG1001,"")*$G205,"")</f>
        <v/>
      </c>
      <c r="BO205" s="179" t="str">
        <f t="array" ref="BO205">IF($F205&lt;&gt;"",XLOOKUP($F205,Productos!$A:$A,Productos!BH:BH,"Revisar"),"")</f>
        <v/>
      </c>
      <c r="BP205" s="179" t="str">
        <f t="array" ref="BP205">IF($F205&lt;&gt;"", XLOOKUP($F205,Productos!$A$2:$A1001,Productos!BI$2:BI1001,"")*$G205,"")</f>
        <v/>
      </c>
      <c r="BQ205" s="179" t="str">
        <f t="array" ref="BQ205">IF($F205&lt;&gt;"",XLOOKUP($F205,Productos!$A:$A,Productos!BJ:BJ,"Revisar"),"")</f>
        <v/>
      </c>
      <c r="BR205" s="179" t="str">
        <f t="array" ref="BR205">IF($F205&lt;&gt;"", XLOOKUP($F205,Productos!$A$2:$A1001,Productos!BK$2:BK1001,"")*$G205,"")</f>
        <v/>
      </c>
      <c r="BS205" s="179" t="str">
        <f t="array" ref="BS205">IF($F205&lt;&gt;"",XLOOKUP($F205,Productos!$A:$A,Productos!BL:BL,"Revisar"),"")</f>
        <v/>
      </c>
      <c r="BT205" s="179" t="str">
        <f t="array" ref="BT205">IF($F205&lt;&gt;"", XLOOKUP($F205,Productos!$A$2:$A1001,Productos!BM$2:BM1001,"")*$G205,"")</f>
        <v/>
      </c>
      <c r="BU205" s="179" t="str">
        <f t="array" ref="BU205">IF($F205&lt;&gt;"",XLOOKUP($F205,Productos!$A:$A,Productos!BN:BN,"Revisar"),"")</f>
        <v/>
      </c>
      <c r="BV205" s="179" t="str">
        <f t="array" ref="BV205">IF($F205&lt;&gt;"", XLOOKUP($F205,Productos!$A$2:$A1001,Productos!BO$2:BO1001,"")*$G205,"")</f>
        <v/>
      </c>
      <c r="BW205" s="179" t="str">
        <f t="array" ref="BW205">IF($F205&lt;&gt;"",XLOOKUP($F205,Productos!$A:$A,Productos!BP:BP,"Revisar"),"")</f>
        <v/>
      </c>
      <c r="BX205" s="179" t="str">
        <f t="array" ref="BX205">IF($F205&lt;&gt;"", XLOOKUP($F205,Productos!$A$2:$A1001,Productos!BQ$2:BQ1001,"")*$G205,"")</f>
        <v/>
      </c>
      <c r="BY205" s="179" t="str">
        <f t="array" ref="BY205">IF($F205&lt;&gt;"",XLOOKUP($F205,Productos!$A:$A,Productos!BR:BR,"Revisar"),"")</f>
        <v/>
      </c>
      <c r="BZ205" s="179" t="str">
        <f t="array" ref="BZ205">IF($F205&lt;&gt;"", XLOOKUP($F205,Productos!$A$2:$A1001,Productos!BS$2:BS1001,"")*$G205,"")</f>
        <v/>
      </c>
    </row>
    <row r="206">
      <c r="A206" s="180"/>
      <c r="B206" s="181"/>
      <c r="C206" s="182"/>
      <c r="D206" s="182"/>
      <c r="E206" s="185"/>
      <c r="F206" s="186"/>
      <c r="G206" s="187"/>
      <c r="H206" s="186"/>
      <c r="I206" s="179" t="str">
        <f t="array" ref="I206">IF($F206&lt;&gt;"",XLOOKUP($F206,Productos!$A:$A,Productos!B:B,"Revisar"),"")</f>
        <v/>
      </c>
      <c r="J206" s="179" t="str">
        <f t="array" ref="J206">IF($F206&lt;&gt;"", XLOOKUP($F206,Productos!$A$2:$A1001,Productos!C$2:C1001,"")*$G206,"")</f>
        <v/>
      </c>
      <c r="K206" s="179" t="str">
        <f t="array" ref="K206">IF($F206&lt;&gt;"",XLOOKUP($F206,Productos!$A:$A,Productos!D:D,"Revisar"),"")</f>
        <v/>
      </c>
      <c r="L206" s="179" t="str">
        <f t="array" ref="L206">IF($F206&lt;&gt;"", XLOOKUP($F206,Productos!$A$2:$A1001,Productos!E$2:E1001,"")*$G206,"")</f>
        <v/>
      </c>
      <c r="M206" s="179" t="str">
        <f t="array" ref="M206">IF($F206&lt;&gt;"",XLOOKUP($F206,Productos!$A:$A,Productos!F:F,"Revisar"),"")</f>
        <v/>
      </c>
      <c r="N206" s="179" t="str">
        <f t="array" ref="N206">IF($F206&lt;&gt;"", XLOOKUP($F206,Productos!$A$2:$A1001,Productos!G$2:G1001,"")*$G206,"")</f>
        <v/>
      </c>
      <c r="O206" s="179" t="str">
        <f t="array" ref="O206">IF($F206&lt;&gt;"",XLOOKUP($F206,Productos!$A:$A,Productos!H:H,"Revisar"),"")</f>
        <v/>
      </c>
      <c r="P206" s="179" t="str">
        <f t="array" ref="P206">IF($F206&lt;&gt;"", XLOOKUP($F206,Productos!$A$2:$A1001,Productos!I$2:I1001,"")*$G206,"")</f>
        <v/>
      </c>
      <c r="Q206" s="179" t="str">
        <f t="array" ref="Q206">IF($F206&lt;&gt;"",XLOOKUP($F206,Productos!$A:$A,Productos!J:J,"Revisar"),"")</f>
        <v/>
      </c>
      <c r="R206" s="179" t="str">
        <f t="array" ref="R206">IF($F206&lt;&gt;"", XLOOKUP($F206,Productos!$A$2:$A1001,Productos!K$2:K1001,"")*$G206,"")</f>
        <v/>
      </c>
      <c r="S206" s="179" t="str">
        <f t="array" ref="S206">IF($F206&lt;&gt;"",XLOOKUP($F206,Productos!$A:$A,Productos!L:L,"Revisar"),"")</f>
        <v/>
      </c>
      <c r="T206" s="179" t="str">
        <f t="array" ref="T206">IF($F206&lt;&gt;"", XLOOKUP($F206,Productos!$A$2:$A1001,Productos!M$2:M1001,"")*$G206,"")</f>
        <v/>
      </c>
      <c r="U206" s="179" t="str">
        <f t="array" ref="U206">IF($F206&lt;&gt;"",XLOOKUP($F206,Productos!$A:$A,Productos!N:N,"Revisar"),"")</f>
        <v/>
      </c>
      <c r="V206" s="179" t="str">
        <f t="array" ref="V206">IF($F206&lt;&gt;"", XLOOKUP($F206,Productos!$A$2:$A1001,Productos!O$2:O1001,"")*$G206,"")</f>
        <v/>
      </c>
      <c r="W206" s="179" t="str">
        <f t="array" ref="W206">IF($F206&lt;&gt;"",XLOOKUP($F206,Productos!$A:$A,Productos!P:P,"Revisar"),"")</f>
        <v/>
      </c>
      <c r="X206" s="179" t="str">
        <f t="array" ref="X206">IF($F206&lt;&gt;"", XLOOKUP($F206,Productos!$A$2:$A1001,Productos!Q$2:Q1001,"")*$G206,"")</f>
        <v/>
      </c>
      <c r="Y206" s="179" t="str">
        <f t="array" ref="Y206">IF($F206&lt;&gt;"",XLOOKUP($F206,Productos!$A:$A,Productos!R:R,"Revisar"),"")</f>
        <v/>
      </c>
      <c r="Z206" s="179" t="str">
        <f t="array" ref="Z206">IF($F206&lt;&gt;"", XLOOKUP($F206,Productos!$A$2:$A1001,Productos!S$2:S1001,"")*$G206,"")</f>
        <v/>
      </c>
      <c r="AA206" s="179" t="str">
        <f t="array" ref="AA206">IF($F206&lt;&gt;"",XLOOKUP($F206,Productos!$A:$A,Productos!T:T,"Revisar"),"")</f>
        <v/>
      </c>
      <c r="AB206" s="179" t="str">
        <f t="array" ref="AB206">IF($F206&lt;&gt;"", XLOOKUP($F206,Productos!$A$2:$A1001,Productos!U$2:U1001,"")*$G206,"")</f>
        <v/>
      </c>
      <c r="AC206" s="179" t="str">
        <f t="array" ref="AC206">IF($F206&lt;&gt;"",XLOOKUP($F206,Productos!$A:$A,Productos!V:V,"Revisar"),"")</f>
        <v/>
      </c>
      <c r="AD206" s="179" t="str">
        <f t="array" ref="AD206">IF($F206&lt;&gt;"", XLOOKUP($F206,Productos!$A$2:$A1001,Productos!W$2:W1001,"")*$G206,"")</f>
        <v/>
      </c>
      <c r="AE206" s="179" t="str">
        <f t="array" ref="AE206">IF($F206&lt;&gt;"",XLOOKUP($F206,Productos!$A:$A,Productos!X:X,"Revisar"),"")</f>
        <v/>
      </c>
      <c r="AF206" s="179" t="str">
        <f t="array" ref="AF206">IF($F206&lt;&gt;"", XLOOKUP($F206,Productos!$A$2:$A1001,Productos!Y$2:Y1001,"")*$G206,"")</f>
        <v/>
      </c>
      <c r="AG206" s="179" t="str">
        <f t="array" ref="AG206">IF($F206&lt;&gt;"",XLOOKUP($F206,Productos!$A:$A,Productos!Z:Z,"Revisar"),"")</f>
        <v/>
      </c>
      <c r="AH206" s="179" t="str">
        <f t="array" ref="AH206">IF($F206&lt;&gt;"", XLOOKUP($F206,Productos!$A$2:$A1001,Productos!AA$2:AA1001,"")*$G206,"")</f>
        <v/>
      </c>
      <c r="AI206" s="179" t="str">
        <f t="array" ref="AI206">IF($F206&lt;&gt;"",XLOOKUP($F206,Productos!$A:$A,Productos!AB:AB,"Revisar"),"")</f>
        <v/>
      </c>
      <c r="AJ206" s="179" t="str">
        <f t="array" ref="AJ206">IF($F206&lt;&gt;"", XLOOKUP($F206,Productos!$A$2:$A1001,Productos!AC$2:AC1001,"")*$G206,"")</f>
        <v/>
      </c>
      <c r="AK206" s="179" t="str">
        <f t="array" ref="AK206">IF($F206&lt;&gt;"",XLOOKUP($F206,Productos!$A:$A,Productos!AD:AD,"Revisar"),"")</f>
        <v/>
      </c>
      <c r="AL206" s="179" t="str">
        <f t="array" ref="AL206">IF($F206&lt;&gt;"", XLOOKUP($F206,Productos!$A$2:$A1001,Productos!AE$2:AE1001,"")*$G206,"")</f>
        <v/>
      </c>
      <c r="AM206" s="179" t="str">
        <f t="array" ref="AM206">IF($F206&lt;&gt;"",XLOOKUP($F206,Productos!$A:$A,Productos!AF:AF,"Revisar"),"")</f>
        <v/>
      </c>
      <c r="AN206" s="179" t="str">
        <f t="array" ref="AN206">IF($F206&lt;&gt;"", XLOOKUP($F206,Productos!$A$2:$A1001,Productos!AG$2:AG1001,"")*$G206,"")</f>
        <v/>
      </c>
      <c r="AO206" s="179" t="str">
        <f t="array" ref="AO206">IF($F206&lt;&gt;"",XLOOKUP($F206,Productos!$A:$A,Productos!AH:AH,"Revisar"),"")</f>
        <v/>
      </c>
      <c r="AP206" s="179" t="str">
        <f t="array" ref="AP206">IF($F206&lt;&gt;"", XLOOKUP($F206,Productos!$A$2:$A1001,Productos!AI$2:AI1001,"")*$G206,"")</f>
        <v/>
      </c>
      <c r="AQ206" s="179" t="str">
        <f t="array" ref="AQ206">IF($F206&lt;&gt;"",XLOOKUP($F206,Productos!$A:$A,Productos!AJ:AJ,"Revisar"),"")</f>
        <v/>
      </c>
      <c r="AR206" s="179" t="str">
        <f t="array" ref="AR206">IF($F206&lt;&gt;"", XLOOKUP($F206,Productos!$A$2:$A1001,Productos!AK$2:AK1001,"")*$G206,"")</f>
        <v/>
      </c>
      <c r="AS206" s="179" t="str">
        <f t="array" ref="AS206">IF($F206&lt;&gt;"",XLOOKUP($F206,Productos!$A:$A,Productos!AL:AL,"Revisar"),"")</f>
        <v/>
      </c>
      <c r="AT206" s="179" t="str">
        <f t="array" ref="AT206">IF($F206&lt;&gt;"", XLOOKUP($F206,Productos!$A$2:$A1001,Productos!AM$2:AM1001,"")*$G206,"")</f>
        <v/>
      </c>
      <c r="AU206" s="179" t="str">
        <f t="array" ref="AU206">IF($F206&lt;&gt;"",XLOOKUP($F206,Productos!$A:$A,Productos!AN:AN,"Revisar"),"")</f>
        <v/>
      </c>
      <c r="AV206" s="179" t="str">
        <f t="array" ref="AV206">IF($F206&lt;&gt;"", XLOOKUP($F206,Productos!$A$2:$A1001,Productos!AO$2:AO1001,"")*$G206,"")</f>
        <v/>
      </c>
      <c r="AW206" s="179" t="str">
        <f t="array" ref="AW206">IF($F206&lt;&gt;"",XLOOKUP($F206,Productos!$A:$A,Productos!AP:AP,"Revisar"),"")</f>
        <v/>
      </c>
      <c r="AX206" s="179" t="str">
        <f t="array" ref="AX206">IF($F206&lt;&gt;"", XLOOKUP($F206,Productos!$A$2:$A1001,Productos!AQ$2:AQ1001,"")*$G206,"")</f>
        <v/>
      </c>
      <c r="AY206" s="179" t="str">
        <f t="array" ref="AY206">IF($F206&lt;&gt;"",XLOOKUP($F206,Productos!$A:$A,Productos!AR:AR,"Revisar"),"")</f>
        <v/>
      </c>
      <c r="AZ206" s="179" t="str">
        <f t="array" ref="AZ206">IF($F206&lt;&gt;"", XLOOKUP($F206,Productos!$A$2:$A1001,Productos!AS$2:AS1001,"")*$G206,"")</f>
        <v/>
      </c>
      <c r="BA206" s="179" t="str">
        <f t="array" ref="BA206">IF($F206&lt;&gt;"",XLOOKUP($F206,Productos!$A:$A,Productos!AT:AT,"Revisar"),"")</f>
        <v/>
      </c>
      <c r="BB206" s="179" t="str">
        <f t="array" ref="BB206">IF($F206&lt;&gt;"", XLOOKUP($F206,Productos!$A$2:$A1001,Productos!AU$2:AU1001,"")*$G206,"")</f>
        <v/>
      </c>
      <c r="BC206" s="179" t="str">
        <f t="array" ref="BC206">IF($F206&lt;&gt;"",XLOOKUP($F206,Productos!$A:$A,Productos!AV:AV,"Revisar"),"")</f>
        <v/>
      </c>
      <c r="BD206" s="179" t="str">
        <f t="array" ref="BD206">IF($F206&lt;&gt;"", XLOOKUP($F206,Productos!$A$2:$A1001,Productos!AW$2:AW1001,"")*$G206,"")</f>
        <v/>
      </c>
      <c r="BE206" s="179" t="str">
        <f t="array" ref="BE206">IF($F206&lt;&gt;"",XLOOKUP($F206,Productos!$A:$A,Productos!AX:AX,"Revisar"),"")</f>
        <v/>
      </c>
      <c r="BF206" s="179" t="str">
        <f t="array" ref="BF206">IF($F206&lt;&gt;"", XLOOKUP($F206,Productos!$A$2:$A1001,Productos!AY$2:AY1001,"")*$G206,"")</f>
        <v/>
      </c>
      <c r="BG206" s="179" t="str">
        <f t="array" ref="BG206">IF($F206&lt;&gt;"",XLOOKUP($F206,Productos!$A:$A,Productos!AZ:AZ,"Revisar"),"")</f>
        <v/>
      </c>
      <c r="BH206" s="179" t="str">
        <f t="array" ref="BH206">IF($F206&lt;&gt;"", XLOOKUP($F206,Productos!$A$2:$A1001,Productos!BA$2:BA1001,"")*$G206,"")</f>
        <v/>
      </c>
      <c r="BI206" s="179" t="str">
        <f t="array" ref="BI206">IF($F206&lt;&gt;"",XLOOKUP($F206,Productos!$A:$A,Productos!BB:BB,"Revisar"),"")</f>
        <v/>
      </c>
      <c r="BJ206" s="179" t="str">
        <f t="array" ref="BJ206">IF($F206&lt;&gt;"", XLOOKUP($F206,Productos!$A$2:$A1001,Productos!BC$2:BC1001,"")*$G206,"")</f>
        <v/>
      </c>
      <c r="BK206" s="179" t="str">
        <f t="array" ref="BK206">IF($F206&lt;&gt;"",XLOOKUP($F206,Productos!$A:$A,Productos!BD:BD,"Revisar"),"")</f>
        <v/>
      </c>
      <c r="BL206" s="179" t="str">
        <f t="array" ref="BL206">IF($F206&lt;&gt;"", XLOOKUP($F206,Productos!$A$2:$A1001,Productos!BE$2:BE1001,"")*$G206,"")</f>
        <v/>
      </c>
      <c r="BM206" s="179" t="str">
        <f t="array" ref="BM206">IF($F206&lt;&gt;"",XLOOKUP($F206,Productos!$A:$A,Productos!BF:BF,"Revisar"),"")</f>
        <v/>
      </c>
      <c r="BN206" s="179" t="str">
        <f t="array" ref="BN206">IF($F206&lt;&gt;"", XLOOKUP($F206,Productos!$A$2:$A1001,Productos!BG$2:BG1001,"")*$G206,"")</f>
        <v/>
      </c>
      <c r="BO206" s="179" t="str">
        <f t="array" ref="BO206">IF($F206&lt;&gt;"",XLOOKUP($F206,Productos!$A:$A,Productos!BH:BH,"Revisar"),"")</f>
        <v/>
      </c>
      <c r="BP206" s="179" t="str">
        <f t="array" ref="BP206">IF($F206&lt;&gt;"", XLOOKUP($F206,Productos!$A$2:$A1001,Productos!BI$2:BI1001,"")*$G206,"")</f>
        <v/>
      </c>
      <c r="BQ206" s="179" t="str">
        <f t="array" ref="BQ206">IF($F206&lt;&gt;"",XLOOKUP($F206,Productos!$A:$A,Productos!BJ:BJ,"Revisar"),"")</f>
        <v/>
      </c>
      <c r="BR206" s="179" t="str">
        <f t="array" ref="BR206">IF($F206&lt;&gt;"", XLOOKUP($F206,Productos!$A$2:$A1001,Productos!BK$2:BK1001,"")*$G206,"")</f>
        <v/>
      </c>
      <c r="BS206" s="179" t="str">
        <f t="array" ref="BS206">IF($F206&lt;&gt;"",XLOOKUP($F206,Productos!$A:$A,Productos!BL:BL,"Revisar"),"")</f>
        <v/>
      </c>
      <c r="BT206" s="179" t="str">
        <f t="array" ref="BT206">IF($F206&lt;&gt;"", XLOOKUP($F206,Productos!$A$2:$A1001,Productos!BM$2:BM1001,"")*$G206,"")</f>
        <v/>
      </c>
      <c r="BU206" s="179" t="str">
        <f t="array" ref="BU206">IF($F206&lt;&gt;"",XLOOKUP($F206,Productos!$A:$A,Productos!BN:BN,"Revisar"),"")</f>
        <v/>
      </c>
      <c r="BV206" s="179" t="str">
        <f t="array" ref="BV206">IF($F206&lt;&gt;"", XLOOKUP($F206,Productos!$A$2:$A1001,Productos!BO$2:BO1001,"")*$G206,"")</f>
        <v/>
      </c>
      <c r="BW206" s="179" t="str">
        <f t="array" ref="BW206">IF($F206&lt;&gt;"",XLOOKUP($F206,Productos!$A:$A,Productos!BP:BP,"Revisar"),"")</f>
        <v/>
      </c>
      <c r="BX206" s="179" t="str">
        <f t="array" ref="BX206">IF($F206&lt;&gt;"", XLOOKUP($F206,Productos!$A$2:$A1001,Productos!BQ$2:BQ1001,"")*$G206,"")</f>
        <v/>
      </c>
      <c r="BY206" s="179" t="str">
        <f t="array" ref="BY206">IF($F206&lt;&gt;"",XLOOKUP($F206,Productos!$A:$A,Productos!BR:BR,"Revisar"),"")</f>
        <v/>
      </c>
      <c r="BZ206" s="179" t="str">
        <f t="array" ref="BZ206">IF($F206&lt;&gt;"", XLOOKUP($F206,Productos!$A$2:$A1001,Productos!BS$2:BS1001,"")*$G206,"")</f>
        <v/>
      </c>
    </row>
    <row r="207">
      <c r="A207" s="180"/>
      <c r="B207" s="181"/>
      <c r="C207" s="182"/>
      <c r="D207" s="182"/>
      <c r="E207" s="185"/>
      <c r="F207" s="186"/>
      <c r="G207" s="187"/>
      <c r="H207" s="186"/>
      <c r="I207" s="179" t="str">
        <f t="array" ref="I207">IF($F207&lt;&gt;"",XLOOKUP($F207,Productos!$A:$A,Productos!B:B,"Revisar"),"")</f>
        <v/>
      </c>
      <c r="J207" s="179" t="str">
        <f t="array" ref="J207">IF($F207&lt;&gt;"", XLOOKUP($F207,Productos!$A$2:$A1001,Productos!C$2:C1001,"")*$G207,"")</f>
        <v/>
      </c>
      <c r="K207" s="179" t="str">
        <f t="array" ref="K207">IF($F207&lt;&gt;"",XLOOKUP($F207,Productos!$A:$A,Productos!D:D,"Revisar"),"")</f>
        <v/>
      </c>
      <c r="L207" s="179" t="str">
        <f t="array" ref="L207">IF($F207&lt;&gt;"", XLOOKUP($F207,Productos!$A$2:$A1001,Productos!E$2:E1001,"")*$G207,"")</f>
        <v/>
      </c>
      <c r="M207" s="179" t="str">
        <f t="array" ref="M207">IF($F207&lt;&gt;"",XLOOKUP($F207,Productos!$A:$A,Productos!F:F,"Revisar"),"")</f>
        <v/>
      </c>
      <c r="N207" s="179" t="str">
        <f t="array" ref="N207">IF($F207&lt;&gt;"", XLOOKUP($F207,Productos!$A$2:$A1001,Productos!G$2:G1001,"")*$G207,"")</f>
        <v/>
      </c>
      <c r="O207" s="179" t="str">
        <f t="array" ref="O207">IF($F207&lt;&gt;"",XLOOKUP($F207,Productos!$A:$A,Productos!H:H,"Revisar"),"")</f>
        <v/>
      </c>
      <c r="P207" s="179" t="str">
        <f t="array" ref="P207">IF($F207&lt;&gt;"", XLOOKUP($F207,Productos!$A$2:$A1001,Productos!I$2:I1001,"")*$G207,"")</f>
        <v/>
      </c>
      <c r="Q207" s="179" t="str">
        <f t="array" ref="Q207">IF($F207&lt;&gt;"",XLOOKUP($F207,Productos!$A:$A,Productos!J:J,"Revisar"),"")</f>
        <v/>
      </c>
      <c r="R207" s="179" t="str">
        <f t="array" ref="R207">IF($F207&lt;&gt;"", XLOOKUP($F207,Productos!$A$2:$A1001,Productos!K$2:K1001,"")*$G207,"")</f>
        <v/>
      </c>
      <c r="S207" s="179" t="str">
        <f t="array" ref="S207">IF($F207&lt;&gt;"",XLOOKUP($F207,Productos!$A:$A,Productos!L:L,"Revisar"),"")</f>
        <v/>
      </c>
      <c r="T207" s="179" t="str">
        <f t="array" ref="T207">IF($F207&lt;&gt;"", XLOOKUP($F207,Productos!$A$2:$A1001,Productos!M$2:M1001,"")*$G207,"")</f>
        <v/>
      </c>
      <c r="U207" s="179" t="str">
        <f t="array" ref="U207">IF($F207&lt;&gt;"",XLOOKUP($F207,Productos!$A:$A,Productos!N:N,"Revisar"),"")</f>
        <v/>
      </c>
      <c r="V207" s="179" t="str">
        <f t="array" ref="V207">IF($F207&lt;&gt;"", XLOOKUP($F207,Productos!$A$2:$A1001,Productos!O$2:O1001,"")*$G207,"")</f>
        <v/>
      </c>
      <c r="W207" s="179" t="str">
        <f t="array" ref="W207">IF($F207&lt;&gt;"",XLOOKUP($F207,Productos!$A:$A,Productos!P:P,"Revisar"),"")</f>
        <v/>
      </c>
      <c r="X207" s="179" t="str">
        <f t="array" ref="X207">IF($F207&lt;&gt;"", XLOOKUP($F207,Productos!$A$2:$A1001,Productos!Q$2:Q1001,"")*$G207,"")</f>
        <v/>
      </c>
      <c r="Y207" s="179" t="str">
        <f t="array" ref="Y207">IF($F207&lt;&gt;"",XLOOKUP($F207,Productos!$A:$A,Productos!R:R,"Revisar"),"")</f>
        <v/>
      </c>
      <c r="Z207" s="179" t="str">
        <f t="array" ref="Z207">IF($F207&lt;&gt;"", XLOOKUP($F207,Productos!$A$2:$A1001,Productos!S$2:S1001,"")*$G207,"")</f>
        <v/>
      </c>
      <c r="AA207" s="179" t="str">
        <f t="array" ref="AA207">IF($F207&lt;&gt;"",XLOOKUP($F207,Productos!$A:$A,Productos!T:T,"Revisar"),"")</f>
        <v/>
      </c>
      <c r="AB207" s="179" t="str">
        <f t="array" ref="AB207">IF($F207&lt;&gt;"", XLOOKUP($F207,Productos!$A$2:$A1001,Productos!U$2:U1001,"")*$G207,"")</f>
        <v/>
      </c>
      <c r="AC207" s="179" t="str">
        <f t="array" ref="AC207">IF($F207&lt;&gt;"",XLOOKUP($F207,Productos!$A:$A,Productos!V:V,"Revisar"),"")</f>
        <v/>
      </c>
      <c r="AD207" s="179" t="str">
        <f t="array" ref="AD207">IF($F207&lt;&gt;"", XLOOKUP($F207,Productos!$A$2:$A1001,Productos!W$2:W1001,"")*$G207,"")</f>
        <v/>
      </c>
      <c r="AE207" s="179" t="str">
        <f t="array" ref="AE207">IF($F207&lt;&gt;"",XLOOKUP($F207,Productos!$A:$A,Productos!X:X,"Revisar"),"")</f>
        <v/>
      </c>
      <c r="AF207" s="179" t="str">
        <f t="array" ref="AF207">IF($F207&lt;&gt;"", XLOOKUP($F207,Productos!$A$2:$A1001,Productos!Y$2:Y1001,"")*$G207,"")</f>
        <v/>
      </c>
      <c r="AG207" s="179" t="str">
        <f t="array" ref="AG207">IF($F207&lt;&gt;"",XLOOKUP($F207,Productos!$A:$A,Productos!Z:Z,"Revisar"),"")</f>
        <v/>
      </c>
      <c r="AH207" s="179" t="str">
        <f t="array" ref="AH207">IF($F207&lt;&gt;"", XLOOKUP($F207,Productos!$A$2:$A1001,Productos!AA$2:AA1001,"")*$G207,"")</f>
        <v/>
      </c>
      <c r="AI207" s="179" t="str">
        <f t="array" ref="AI207">IF($F207&lt;&gt;"",XLOOKUP($F207,Productos!$A:$A,Productos!AB:AB,"Revisar"),"")</f>
        <v/>
      </c>
      <c r="AJ207" s="179" t="str">
        <f t="array" ref="AJ207">IF($F207&lt;&gt;"", XLOOKUP($F207,Productos!$A$2:$A1001,Productos!AC$2:AC1001,"")*$G207,"")</f>
        <v/>
      </c>
      <c r="AK207" s="179" t="str">
        <f t="array" ref="AK207">IF($F207&lt;&gt;"",XLOOKUP($F207,Productos!$A:$A,Productos!AD:AD,"Revisar"),"")</f>
        <v/>
      </c>
      <c r="AL207" s="179" t="str">
        <f t="array" ref="AL207">IF($F207&lt;&gt;"", XLOOKUP($F207,Productos!$A$2:$A1001,Productos!AE$2:AE1001,"")*$G207,"")</f>
        <v/>
      </c>
      <c r="AM207" s="179" t="str">
        <f t="array" ref="AM207">IF($F207&lt;&gt;"",XLOOKUP($F207,Productos!$A:$A,Productos!AF:AF,"Revisar"),"")</f>
        <v/>
      </c>
      <c r="AN207" s="179" t="str">
        <f t="array" ref="AN207">IF($F207&lt;&gt;"", XLOOKUP($F207,Productos!$A$2:$A1001,Productos!AG$2:AG1001,"")*$G207,"")</f>
        <v/>
      </c>
      <c r="AO207" s="179" t="str">
        <f t="array" ref="AO207">IF($F207&lt;&gt;"",XLOOKUP($F207,Productos!$A:$A,Productos!AH:AH,"Revisar"),"")</f>
        <v/>
      </c>
      <c r="AP207" s="179" t="str">
        <f t="array" ref="AP207">IF($F207&lt;&gt;"", XLOOKUP($F207,Productos!$A$2:$A1001,Productos!AI$2:AI1001,"")*$G207,"")</f>
        <v/>
      </c>
      <c r="AQ207" s="179" t="str">
        <f t="array" ref="AQ207">IF($F207&lt;&gt;"",XLOOKUP($F207,Productos!$A:$A,Productos!AJ:AJ,"Revisar"),"")</f>
        <v/>
      </c>
      <c r="AR207" s="179" t="str">
        <f t="array" ref="AR207">IF($F207&lt;&gt;"", XLOOKUP($F207,Productos!$A$2:$A1001,Productos!AK$2:AK1001,"")*$G207,"")</f>
        <v/>
      </c>
      <c r="AS207" s="179" t="str">
        <f t="array" ref="AS207">IF($F207&lt;&gt;"",XLOOKUP($F207,Productos!$A:$A,Productos!AL:AL,"Revisar"),"")</f>
        <v/>
      </c>
      <c r="AT207" s="179" t="str">
        <f t="array" ref="AT207">IF($F207&lt;&gt;"", XLOOKUP($F207,Productos!$A$2:$A1001,Productos!AM$2:AM1001,"")*$G207,"")</f>
        <v/>
      </c>
      <c r="AU207" s="179" t="str">
        <f t="array" ref="AU207">IF($F207&lt;&gt;"",XLOOKUP($F207,Productos!$A:$A,Productos!AN:AN,"Revisar"),"")</f>
        <v/>
      </c>
      <c r="AV207" s="179" t="str">
        <f t="array" ref="AV207">IF($F207&lt;&gt;"", XLOOKUP($F207,Productos!$A$2:$A1001,Productos!AO$2:AO1001,"")*$G207,"")</f>
        <v/>
      </c>
      <c r="AW207" s="179" t="str">
        <f t="array" ref="AW207">IF($F207&lt;&gt;"",XLOOKUP($F207,Productos!$A:$A,Productos!AP:AP,"Revisar"),"")</f>
        <v/>
      </c>
      <c r="AX207" s="179" t="str">
        <f t="array" ref="AX207">IF($F207&lt;&gt;"", XLOOKUP($F207,Productos!$A$2:$A1001,Productos!AQ$2:AQ1001,"")*$G207,"")</f>
        <v/>
      </c>
      <c r="AY207" s="179" t="str">
        <f t="array" ref="AY207">IF($F207&lt;&gt;"",XLOOKUP($F207,Productos!$A:$A,Productos!AR:AR,"Revisar"),"")</f>
        <v/>
      </c>
      <c r="AZ207" s="179" t="str">
        <f t="array" ref="AZ207">IF($F207&lt;&gt;"", XLOOKUP($F207,Productos!$A$2:$A1001,Productos!AS$2:AS1001,"")*$G207,"")</f>
        <v/>
      </c>
      <c r="BA207" s="179" t="str">
        <f t="array" ref="BA207">IF($F207&lt;&gt;"",XLOOKUP($F207,Productos!$A:$A,Productos!AT:AT,"Revisar"),"")</f>
        <v/>
      </c>
      <c r="BB207" s="179" t="str">
        <f t="array" ref="BB207">IF($F207&lt;&gt;"", XLOOKUP($F207,Productos!$A$2:$A1001,Productos!AU$2:AU1001,"")*$G207,"")</f>
        <v/>
      </c>
      <c r="BC207" s="179" t="str">
        <f t="array" ref="BC207">IF($F207&lt;&gt;"",XLOOKUP($F207,Productos!$A:$A,Productos!AV:AV,"Revisar"),"")</f>
        <v/>
      </c>
      <c r="BD207" s="179" t="str">
        <f t="array" ref="BD207">IF($F207&lt;&gt;"", XLOOKUP($F207,Productos!$A$2:$A1001,Productos!AW$2:AW1001,"")*$G207,"")</f>
        <v/>
      </c>
      <c r="BE207" s="179" t="str">
        <f t="array" ref="BE207">IF($F207&lt;&gt;"",XLOOKUP($F207,Productos!$A:$A,Productos!AX:AX,"Revisar"),"")</f>
        <v/>
      </c>
      <c r="BF207" s="179" t="str">
        <f t="array" ref="BF207">IF($F207&lt;&gt;"", XLOOKUP($F207,Productos!$A$2:$A1001,Productos!AY$2:AY1001,"")*$G207,"")</f>
        <v/>
      </c>
      <c r="BG207" s="179" t="str">
        <f t="array" ref="BG207">IF($F207&lt;&gt;"",XLOOKUP($F207,Productos!$A:$A,Productos!AZ:AZ,"Revisar"),"")</f>
        <v/>
      </c>
      <c r="BH207" s="179" t="str">
        <f t="array" ref="BH207">IF($F207&lt;&gt;"", XLOOKUP($F207,Productos!$A$2:$A1001,Productos!BA$2:BA1001,"")*$G207,"")</f>
        <v/>
      </c>
      <c r="BI207" s="179" t="str">
        <f t="array" ref="BI207">IF($F207&lt;&gt;"",XLOOKUP($F207,Productos!$A:$A,Productos!BB:BB,"Revisar"),"")</f>
        <v/>
      </c>
      <c r="BJ207" s="179" t="str">
        <f t="array" ref="BJ207">IF($F207&lt;&gt;"", XLOOKUP($F207,Productos!$A$2:$A1001,Productos!BC$2:BC1001,"")*$G207,"")</f>
        <v/>
      </c>
      <c r="BK207" s="179" t="str">
        <f t="array" ref="BK207">IF($F207&lt;&gt;"",XLOOKUP($F207,Productos!$A:$A,Productos!BD:BD,"Revisar"),"")</f>
        <v/>
      </c>
      <c r="BL207" s="179" t="str">
        <f t="array" ref="BL207">IF($F207&lt;&gt;"", XLOOKUP($F207,Productos!$A$2:$A1001,Productos!BE$2:BE1001,"")*$G207,"")</f>
        <v/>
      </c>
      <c r="BM207" s="179" t="str">
        <f t="array" ref="BM207">IF($F207&lt;&gt;"",XLOOKUP($F207,Productos!$A:$A,Productos!BF:BF,"Revisar"),"")</f>
        <v/>
      </c>
      <c r="BN207" s="179" t="str">
        <f t="array" ref="BN207">IF($F207&lt;&gt;"", XLOOKUP($F207,Productos!$A$2:$A1001,Productos!BG$2:BG1001,"")*$G207,"")</f>
        <v/>
      </c>
      <c r="BO207" s="179" t="str">
        <f t="array" ref="BO207">IF($F207&lt;&gt;"",XLOOKUP($F207,Productos!$A:$A,Productos!BH:BH,"Revisar"),"")</f>
        <v/>
      </c>
      <c r="BP207" s="179" t="str">
        <f t="array" ref="BP207">IF($F207&lt;&gt;"", XLOOKUP($F207,Productos!$A$2:$A1001,Productos!BI$2:BI1001,"")*$G207,"")</f>
        <v/>
      </c>
      <c r="BQ207" s="179" t="str">
        <f t="array" ref="BQ207">IF($F207&lt;&gt;"",XLOOKUP($F207,Productos!$A:$A,Productos!BJ:BJ,"Revisar"),"")</f>
        <v/>
      </c>
      <c r="BR207" s="179" t="str">
        <f t="array" ref="BR207">IF($F207&lt;&gt;"", XLOOKUP($F207,Productos!$A$2:$A1001,Productos!BK$2:BK1001,"")*$G207,"")</f>
        <v/>
      </c>
      <c r="BS207" s="179" t="str">
        <f t="array" ref="BS207">IF($F207&lt;&gt;"",XLOOKUP($F207,Productos!$A:$A,Productos!BL:BL,"Revisar"),"")</f>
        <v/>
      </c>
      <c r="BT207" s="179" t="str">
        <f t="array" ref="BT207">IF($F207&lt;&gt;"", XLOOKUP($F207,Productos!$A$2:$A1001,Productos!BM$2:BM1001,"")*$G207,"")</f>
        <v/>
      </c>
      <c r="BU207" s="179" t="str">
        <f t="array" ref="BU207">IF($F207&lt;&gt;"",XLOOKUP($F207,Productos!$A:$A,Productos!BN:BN,"Revisar"),"")</f>
        <v/>
      </c>
      <c r="BV207" s="179" t="str">
        <f t="array" ref="BV207">IF($F207&lt;&gt;"", XLOOKUP($F207,Productos!$A$2:$A1001,Productos!BO$2:BO1001,"")*$G207,"")</f>
        <v/>
      </c>
      <c r="BW207" s="179" t="str">
        <f t="array" ref="BW207">IF($F207&lt;&gt;"",XLOOKUP($F207,Productos!$A:$A,Productos!BP:BP,"Revisar"),"")</f>
        <v/>
      </c>
      <c r="BX207" s="179" t="str">
        <f t="array" ref="BX207">IF($F207&lt;&gt;"", XLOOKUP($F207,Productos!$A$2:$A1001,Productos!BQ$2:BQ1001,"")*$G207,"")</f>
        <v/>
      </c>
      <c r="BY207" s="179" t="str">
        <f t="array" ref="BY207">IF($F207&lt;&gt;"",XLOOKUP($F207,Productos!$A:$A,Productos!BR:BR,"Revisar"),"")</f>
        <v/>
      </c>
      <c r="BZ207" s="179" t="str">
        <f t="array" ref="BZ207">IF($F207&lt;&gt;"", XLOOKUP($F207,Productos!$A$2:$A1001,Productos!BS$2:BS1001,"")*$G207,"")</f>
        <v/>
      </c>
    </row>
    <row r="208">
      <c r="A208" s="180"/>
      <c r="B208" s="181"/>
      <c r="C208" s="182"/>
      <c r="D208" s="182"/>
      <c r="E208" s="185"/>
      <c r="F208" s="186"/>
      <c r="G208" s="187"/>
      <c r="H208" s="186"/>
      <c r="I208" s="179" t="str">
        <f t="array" ref="I208">IF($F208&lt;&gt;"",XLOOKUP($F208,Productos!$A:$A,Productos!B:B,"Revisar"),"")</f>
        <v/>
      </c>
      <c r="J208" s="179" t="str">
        <f t="array" ref="J208">IF($F208&lt;&gt;"", XLOOKUP($F208,Productos!$A$2:$A1001,Productos!C$2:C1001,"")*$G208,"")</f>
        <v/>
      </c>
      <c r="K208" s="179" t="str">
        <f t="array" ref="K208">IF($F208&lt;&gt;"",XLOOKUP($F208,Productos!$A:$A,Productos!D:D,"Revisar"),"")</f>
        <v/>
      </c>
      <c r="L208" s="179" t="str">
        <f t="array" ref="L208">IF($F208&lt;&gt;"", XLOOKUP($F208,Productos!$A$2:$A1001,Productos!E$2:E1001,"")*$G208,"")</f>
        <v/>
      </c>
      <c r="M208" s="179" t="str">
        <f t="array" ref="M208">IF($F208&lt;&gt;"",XLOOKUP($F208,Productos!$A:$A,Productos!F:F,"Revisar"),"")</f>
        <v/>
      </c>
      <c r="N208" s="179" t="str">
        <f t="array" ref="N208">IF($F208&lt;&gt;"", XLOOKUP($F208,Productos!$A$2:$A1001,Productos!G$2:G1001,"")*$G208,"")</f>
        <v/>
      </c>
      <c r="O208" s="179" t="str">
        <f t="array" ref="O208">IF($F208&lt;&gt;"",XLOOKUP($F208,Productos!$A:$A,Productos!H:H,"Revisar"),"")</f>
        <v/>
      </c>
      <c r="P208" s="179" t="str">
        <f t="array" ref="P208">IF($F208&lt;&gt;"", XLOOKUP($F208,Productos!$A$2:$A1001,Productos!I$2:I1001,"")*$G208,"")</f>
        <v/>
      </c>
      <c r="Q208" s="179" t="str">
        <f t="array" ref="Q208">IF($F208&lt;&gt;"",XLOOKUP($F208,Productos!$A:$A,Productos!J:J,"Revisar"),"")</f>
        <v/>
      </c>
      <c r="R208" s="179" t="str">
        <f t="array" ref="R208">IF($F208&lt;&gt;"", XLOOKUP($F208,Productos!$A$2:$A1001,Productos!K$2:K1001,"")*$G208,"")</f>
        <v/>
      </c>
      <c r="S208" s="179" t="str">
        <f t="array" ref="S208">IF($F208&lt;&gt;"",XLOOKUP($F208,Productos!$A:$A,Productos!L:L,"Revisar"),"")</f>
        <v/>
      </c>
      <c r="T208" s="179" t="str">
        <f t="array" ref="T208">IF($F208&lt;&gt;"", XLOOKUP($F208,Productos!$A$2:$A1001,Productos!M$2:M1001,"")*$G208,"")</f>
        <v/>
      </c>
      <c r="U208" s="179" t="str">
        <f t="array" ref="U208">IF($F208&lt;&gt;"",XLOOKUP($F208,Productos!$A:$A,Productos!N:N,"Revisar"),"")</f>
        <v/>
      </c>
      <c r="V208" s="179" t="str">
        <f t="array" ref="V208">IF($F208&lt;&gt;"", XLOOKUP($F208,Productos!$A$2:$A1001,Productos!O$2:O1001,"")*$G208,"")</f>
        <v/>
      </c>
      <c r="W208" s="179" t="str">
        <f t="array" ref="W208">IF($F208&lt;&gt;"",XLOOKUP($F208,Productos!$A:$A,Productos!P:P,"Revisar"),"")</f>
        <v/>
      </c>
      <c r="X208" s="179" t="str">
        <f t="array" ref="X208">IF($F208&lt;&gt;"", XLOOKUP($F208,Productos!$A$2:$A1001,Productos!Q$2:Q1001,"")*$G208,"")</f>
        <v/>
      </c>
      <c r="Y208" s="179" t="str">
        <f t="array" ref="Y208">IF($F208&lt;&gt;"",XLOOKUP($F208,Productos!$A:$A,Productos!R:R,"Revisar"),"")</f>
        <v/>
      </c>
      <c r="Z208" s="179" t="str">
        <f t="array" ref="Z208">IF($F208&lt;&gt;"", XLOOKUP($F208,Productos!$A$2:$A1001,Productos!S$2:S1001,"")*$G208,"")</f>
        <v/>
      </c>
      <c r="AA208" s="179" t="str">
        <f t="array" ref="AA208">IF($F208&lt;&gt;"",XLOOKUP($F208,Productos!$A:$A,Productos!T:T,"Revisar"),"")</f>
        <v/>
      </c>
      <c r="AB208" s="179" t="str">
        <f t="array" ref="AB208">IF($F208&lt;&gt;"", XLOOKUP($F208,Productos!$A$2:$A1001,Productos!U$2:U1001,"")*$G208,"")</f>
        <v/>
      </c>
      <c r="AC208" s="179" t="str">
        <f t="array" ref="AC208">IF($F208&lt;&gt;"",XLOOKUP($F208,Productos!$A:$A,Productos!V:V,"Revisar"),"")</f>
        <v/>
      </c>
      <c r="AD208" s="179" t="str">
        <f t="array" ref="AD208">IF($F208&lt;&gt;"", XLOOKUP($F208,Productos!$A$2:$A1001,Productos!W$2:W1001,"")*$G208,"")</f>
        <v/>
      </c>
      <c r="AE208" s="179" t="str">
        <f t="array" ref="AE208">IF($F208&lt;&gt;"",XLOOKUP($F208,Productos!$A:$A,Productos!X:X,"Revisar"),"")</f>
        <v/>
      </c>
      <c r="AF208" s="179" t="str">
        <f t="array" ref="AF208">IF($F208&lt;&gt;"", XLOOKUP($F208,Productos!$A$2:$A1001,Productos!Y$2:Y1001,"")*$G208,"")</f>
        <v/>
      </c>
      <c r="AG208" s="179" t="str">
        <f t="array" ref="AG208">IF($F208&lt;&gt;"",XLOOKUP($F208,Productos!$A:$A,Productos!Z:Z,"Revisar"),"")</f>
        <v/>
      </c>
      <c r="AH208" s="179" t="str">
        <f t="array" ref="AH208">IF($F208&lt;&gt;"", XLOOKUP($F208,Productos!$A$2:$A1001,Productos!AA$2:AA1001,"")*$G208,"")</f>
        <v/>
      </c>
      <c r="AI208" s="179" t="str">
        <f t="array" ref="AI208">IF($F208&lt;&gt;"",XLOOKUP($F208,Productos!$A:$A,Productos!AB:AB,"Revisar"),"")</f>
        <v/>
      </c>
      <c r="AJ208" s="179" t="str">
        <f t="array" ref="AJ208">IF($F208&lt;&gt;"", XLOOKUP($F208,Productos!$A$2:$A1001,Productos!AC$2:AC1001,"")*$G208,"")</f>
        <v/>
      </c>
      <c r="AK208" s="179" t="str">
        <f t="array" ref="AK208">IF($F208&lt;&gt;"",XLOOKUP($F208,Productos!$A:$A,Productos!AD:AD,"Revisar"),"")</f>
        <v/>
      </c>
      <c r="AL208" s="179" t="str">
        <f t="array" ref="AL208">IF($F208&lt;&gt;"", XLOOKUP($F208,Productos!$A$2:$A1001,Productos!AE$2:AE1001,"")*$G208,"")</f>
        <v/>
      </c>
      <c r="AM208" s="179" t="str">
        <f t="array" ref="AM208">IF($F208&lt;&gt;"",XLOOKUP($F208,Productos!$A:$A,Productos!AF:AF,"Revisar"),"")</f>
        <v/>
      </c>
      <c r="AN208" s="179" t="str">
        <f t="array" ref="AN208">IF($F208&lt;&gt;"", XLOOKUP($F208,Productos!$A$2:$A1001,Productos!AG$2:AG1001,"")*$G208,"")</f>
        <v/>
      </c>
      <c r="AO208" s="179" t="str">
        <f t="array" ref="AO208">IF($F208&lt;&gt;"",XLOOKUP($F208,Productos!$A:$A,Productos!AH:AH,"Revisar"),"")</f>
        <v/>
      </c>
      <c r="AP208" s="179" t="str">
        <f t="array" ref="AP208">IF($F208&lt;&gt;"", XLOOKUP($F208,Productos!$A$2:$A1001,Productos!AI$2:AI1001,"")*$G208,"")</f>
        <v/>
      </c>
      <c r="AQ208" s="179" t="str">
        <f t="array" ref="AQ208">IF($F208&lt;&gt;"",XLOOKUP($F208,Productos!$A:$A,Productos!AJ:AJ,"Revisar"),"")</f>
        <v/>
      </c>
      <c r="AR208" s="179" t="str">
        <f t="array" ref="AR208">IF($F208&lt;&gt;"", XLOOKUP($F208,Productos!$A$2:$A1001,Productos!AK$2:AK1001,"")*$G208,"")</f>
        <v/>
      </c>
      <c r="AS208" s="179" t="str">
        <f t="array" ref="AS208">IF($F208&lt;&gt;"",XLOOKUP($F208,Productos!$A:$A,Productos!AL:AL,"Revisar"),"")</f>
        <v/>
      </c>
      <c r="AT208" s="179" t="str">
        <f t="array" ref="AT208">IF($F208&lt;&gt;"", XLOOKUP($F208,Productos!$A$2:$A1001,Productos!AM$2:AM1001,"")*$G208,"")</f>
        <v/>
      </c>
      <c r="AU208" s="179" t="str">
        <f t="array" ref="AU208">IF($F208&lt;&gt;"",XLOOKUP($F208,Productos!$A:$A,Productos!AN:AN,"Revisar"),"")</f>
        <v/>
      </c>
      <c r="AV208" s="179" t="str">
        <f t="array" ref="AV208">IF($F208&lt;&gt;"", XLOOKUP($F208,Productos!$A$2:$A1001,Productos!AO$2:AO1001,"")*$G208,"")</f>
        <v/>
      </c>
      <c r="AW208" s="179" t="str">
        <f t="array" ref="AW208">IF($F208&lt;&gt;"",XLOOKUP($F208,Productos!$A:$A,Productos!AP:AP,"Revisar"),"")</f>
        <v/>
      </c>
      <c r="AX208" s="179" t="str">
        <f t="array" ref="AX208">IF($F208&lt;&gt;"", XLOOKUP($F208,Productos!$A$2:$A1001,Productos!AQ$2:AQ1001,"")*$G208,"")</f>
        <v/>
      </c>
      <c r="AY208" s="179" t="str">
        <f t="array" ref="AY208">IF($F208&lt;&gt;"",XLOOKUP($F208,Productos!$A:$A,Productos!AR:AR,"Revisar"),"")</f>
        <v/>
      </c>
      <c r="AZ208" s="179" t="str">
        <f t="array" ref="AZ208">IF($F208&lt;&gt;"", XLOOKUP($F208,Productos!$A$2:$A1001,Productos!AS$2:AS1001,"")*$G208,"")</f>
        <v/>
      </c>
      <c r="BA208" s="179" t="str">
        <f t="array" ref="BA208">IF($F208&lt;&gt;"",XLOOKUP($F208,Productos!$A:$A,Productos!AT:AT,"Revisar"),"")</f>
        <v/>
      </c>
      <c r="BB208" s="179" t="str">
        <f t="array" ref="BB208">IF($F208&lt;&gt;"", XLOOKUP($F208,Productos!$A$2:$A1001,Productos!AU$2:AU1001,"")*$G208,"")</f>
        <v/>
      </c>
      <c r="BC208" s="179" t="str">
        <f t="array" ref="BC208">IF($F208&lt;&gt;"",XLOOKUP($F208,Productos!$A:$A,Productos!AV:AV,"Revisar"),"")</f>
        <v/>
      </c>
      <c r="BD208" s="179" t="str">
        <f t="array" ref="BD208">IF($F208&lt;&gt;"", XLOOKUP($F208,Productos!$A$2:$A1001,Productos!AW$2:AW1001,"")*$G208,"")</f>
        <v/>
      </c>
      <c r="BE208" s="179" t="str">
        <f t="array" ref="BE208">IF($F208&lt;&gt;"",XLOOKUP($F208,Productos!$A:$A,Productos!AX:AX,"Revisar"),"")</f>
        <v/>
      </c>
      <c r="BF208" s="179" t="str">
        <f t="array" ref="BF208">IF($F208&lt;&gt;"", XLOOKUP($F208,Productos!$A$2:$A1001,Productos!AY$2:AY1001,"")*$G208,"")</f>
        <v/>
      </c>
      <c r="BG208" s="179" t="str">
        <f t="array" ref="BG208">IF($F208&lt;&gt;"",XLOOKUP($F208,Productos!$A:$A,Productos!AZ:AZ,"Revisar"),"")</f>
        <v/>
      </c>
      <c r="BH208" s="179" t="str">
        <f t="array" ref="BH208">IF($F208&lt;&gt;"", XLOOKUP($F208,Productos!$A$2:$A1001,Productos!BA$2:BA1001,"")*$G208,"")</f>
        <v/>
      </c>
      <c r="BI208" s="179" t="str">
        <f t="array" ref="BI208">IF($F208&lt;&gt;"",XLOOKUP($F208,Productos!$A:$A,Productos!BB:BB,"Revisar"),"")</f>
        <v/>
      </c>
      <c r="BJ208" s="179" t="str">
        <f t="array" ref="BJ208">IF($F208&lt;&gt;"", XLOOKUP($F208,Productos!$A$2:$A1001,Productos!BC$2:BC1001,"")*$G208,"")</f>
        <v/>
      </c>
      <c r="BK208" s="179" t="str">
        <f t="array" ref="BK208">IF($F208&lt;&gt;"",XLOOKUP($F208,Productos!$A:$A,Productos!BD:BD,"Revisar"),"")</f>
        <v/>
      </c>
      <c r="BL208" s="179" t="str">
        <f t="array" ref="BL208">IF($F208&lt;&gt;"", XLOOKUP($F208,Productos!$A$2:$A1001,Productos!BE$2:BE1001,"")*$G208,"")</f>
        <v/>
      </c>
      <c r="BM208" s="179" t="str">
        <f t="array" ref="BM208">IF($F208&lt;&gt;"",XLOOKUP($F208,Productos!$A:$A,Productos!BF:BF,"Revisar"),"")</f>
        <v/>
      </c>
      <c r="BN208" s="179" t="str">
        <f t="array" ref="BN208">IF($F208&lt;&gt;"", XLOOKUP($F208,Productos!$A$2:$A1001,Productos!BG$2:BG1001,"")*$G208,"")</f>
        <v/>
      </c>
      <c r="BO208" s="179" t="str">
        <f t="array" ref="BO208">IF($F208&lt;&gt;"",XLOOKUP($F208,Productos!$A:$A,Productos!BH:BH,"Revisar"),"")</f>
        <v/>
      </c>
      <c r="BP208" s="179" t="str">
        <f t="array" ref="BP208">IF($F208&lt;&gt;"", XLOOKUP($F208,Productos!$A$2:$A1001,Productos!BI$2:BI1001,"")*$G208,"")</f>
        <v/>
      </c>
      <c r="BQ208" s="179" t="str">
        <f t="array" ref="BQ208">IF($F208&lt;&gt;"",XLOOKUP($F208,Productos!$A:$A,Productos!BJ:BJ,"Revisar"),"")</f>
        <v/>
      </c>
      <c r="BR208" s="179" t="str">
        <f t="array" ref="BR208">IF($F208&lt;&gt;"", XLOOKUP($F208,Productos!$A$2:$A1001,Productos!BK$2:BK1001,"")*$G208,"")</f>
        <v/>
      </c>
      <c r="BS208" s="179" t="str">
        <f t="array" ref="BS208">IF($F208&lt;&gt;"",XLOOKUP($F208,Productos!$A:$A,Productos!BL:BL,"Revisar"),"")</f>
        <v/>
      </c>
      <c r="BT208" s="179" t="str">
        <f t="array" ref="BT208">IF($F208&lt;&gt;"", XLOOKUP($F208,Productos!$A$2:$A1001,Productos!BM$2:BM1001,"")*$G208,"")</f>
        <v/>
      </c>
      <c r="BU208" s="179" t="str">
        <f t="array" ref="BU208">IF($F208&lt;&gt;"",XLOOKUP($F208,Productos!$A:$A,Productos!BN:BN,"Revisar"),"")</f>
        <v/>
      </c>
      <c r="BV208" s="179" t="str">
        <f t="array" ref="BV208">IF($F208&lt;&gt;"", XLOOKUP($F208,Productos!$A$2:$A1001,Productos!BO$2:BO1001,"")*$G208,"")</f>
        <v/>
      </c>
      <c r="BW208" s="179" t="str">
        <f t="array" ref="BW208">IF($F208&lt;&gt;"",XLOOKUP($F208,Productos!$A:$A,Productos!BP:BP,"Revisar"),"")</f>
        <v/>
      </c>
      <c r="BX208" s="179" t="str">
        <f t="array" ref="BX208">IF($F208&lt;&gt;"", XLOOKUP($F208,Productos!$A$2:$A1001,Productos!BQ$2:BQ1001,"")*$G208,"")</f>
        <v/>
      </c>
      <c r="BY208" s="179" t="str">
        <f t="array" ref="BY208">IF($F208&lt;&gt;"",XLOOKUP($F208,Productos!$A:$A,Productos!BR:BR,"Revisar"),"")</f>
        <v/>
      </c>
      <c r="BZ208" s="179" t="str">
        <f t="array" ref="BZ208">IF($F208&lt;&gt;"", XLOOKUP($F208,Productos!$A$2:$A1001,Productos!BS$2:BS1001,"")*$G208,"")</f>
        <v/>
      </c>
    </row>
    <row r="209">
      <c r="A209" s="180"/>
      <c r="B209" s="181"/>
      <c r="C209" s="182"/>
      <c r="D209" s="182"/>
      <c r="E209" s="185"/>
      <c r="F209" s="186"/>
      <c r="G209" s="187"/>
      <c r="H209" s="186"/>
      <c r="I209" s="179" t="str">
        <f t="array" ref="I209">IF($F209&lt;&gt;"",XLOOKUP($F209,Productos!$A:$A,Productos!B:B,"Revisar"),"")</f>
        <v/>
      </c>
      <c r="J209" s="179" t="str">
        <f t="array" ref="J209">IF($F209&lt;&gt;"", XLOOKUP($F209,Productos!$A$2:$A1001,Productos!C$2:C1001,"")*$G209,"")</f>
        <v/>
      </c>
      <c r="K209" s="179" t="str">
        <f t="array" ref="K209">IF($F209&lt;&gt;"",XLOOKUP($F209,Productos!$A:$A,Productos!D:D,"Revisar"),"")</f>
        <v/>
      </c>
      <c r="L209" s="179" t="str">
        <f t="array" ref="L209">IF($F209&lt;&gt;"", XLOOKUP($F209,Productos!$A$2:$A1001,Productos!E$2:E1001,"")*$G209,"")</f>
        <v/>
      </c>
      <c r="M209" s="179" t="str">
        <f t="array" ref="M209">IF($F209&lt;&gt;"",XLOOKUP($F209,Productos!$A:$A,Productos!F:F,"Revisar"),"")</f>
        <v/>
      </c>
      <c r="N209" s="179" t="str">
        <f t="array" ref="N209">IF($F209&lt;&gt;"", XLOOKUP($F209,Productos!$A$2:$A1001,Productos!G$2:G1001,"")*$G209,"")</f>
        <v/>
      </c>
      <c r="O209" s="179" t="str">
        <f t="array" ref="O209">IF($F209&lt;&gt;"",XLOOKUP($F209,Productos!$A:$A,Productos!H:H,"Revisar"),"")</f>
        <v/>
      </c>
      <c r="P209" s="179" t="str">
        <f t="array" ref="P209">IF($F209&lt;&gt;"", XLOOKUP($F209,Productos!$A$2:$A1001,Productos!I$2:I1001,"")*$G209,"")</f>
        <v/>
      </c>
      <c r="Q209" s="179" t="str">
        <f t="array" ref="Q209">IF($F209&lt;&gt;"",XLOOKUP($F209,Productos!$A:$A,Productos!J:J,"Revisar"),"")</f>
        <v/>
      </c>
      <c r="R209" s="179" t="str">
        <f t="array" ref="R209">IF($F209&lt;&gt;"", XLOOKUP($F209,Productos!$A$2:$A1001,Productos!K$2:K1001,"")*$G209,"")</f>
        <v/>
      </c>
      <c r="S209" s="179" t="str">
        <f t="array" ref="S209">IF($F209&lt;&gt;"",XLOOKUP($F209,Productos!$A:$A,Productos!L:L,"Revisar"),"")</f>
        <v/>
      </c>
      <c r="T209" s="179" t="str">
        <f t="array" ref="T209">IF($F209&lt;&gt;"", XLOOKUP($F209,Productos!$A$2:$A1001,Productos!M$2:M1001,"")*$G209,"")</f>
        <v/>
      </c>
      <c r="U209" s="179" t="str">
        <f t="array" ref="U209">IF($F209&lt;&gt;"",XLOOKUP($F209,Productos!$A:$A,Productos!N:N,"Revisar"),"")</f>
        <v/>
      </c>
      <c r="V209" s="179" t="str">
        <f t="array" ref="V209">IF($F209&lt;&gt;"", XLOOKUP($F209,Productos!$A$2:$A1001,Productos!O$2:O1001,"")*$G209,"")</f>
        <v/>
      </c>
      <c r="W209" s="179" t="str">
        <f t="array" ref="W209">IF($F209&lt;&gt;"",XLOOKUP($F209,Productos!$A:$A,Productos!P:P,"Revisar"),"")</f>
        <v/>
      </c>
      <c r="X209" s="179" t="str">
        <f t="array" ref="X209">IF($F209&lt;&gt;"", XLOOKUP($F209,Productos!$A$2:$A1001,Productos!Q$2:Q1001,"")*$G209,"")</f>
        <v/>
      </c>
      <c r="Y209" s="179" t="str">
        <f t="array" ref="Y209">IF($F209&lt;&gt;"",XLOOKUP($F209,Productos!$A:$A,Productos!R:R,"Revisar"),"")</f>
        <v/>
      </c>
      <c r="Z209" s="179" t="str">
        <f t="array" ref="Z209">IF($F209&lt;&gt;"", XLOOKUP($F209,Productos!$A$2:$A1001,Productos!S$2:S1001,"")*$G209,"")</f>
        <v/>
      </c>
      <c r="AA209" s="179" t="str">
        <f t="array" ref="AA209">IF($F209&lt;&gt;"",XLOOKUP($F209,Productos!$A:$A,Productos!T:T,"Revisar"),"")</f>
        <v/>
      </c>
      <c r="AB209" s="179" t="str">
        <f t="array" ref="AB209">IF($F209&lt;&gt;"", XLOOKUP($F209,Productos!$A$2:$A1001,Productos!U$2:U1001,"")*$G209,"")</f>
        <v/>
      </c>
      <c r="AC209" s="179" t="str">
        <f t="array" ref="AC209">IF($F209&lt;&gt;"",XLOOKUP($F209,Productos!$A:$A,Productos!V:V,"Revisar"),"")</f>
        <v/>
      </c>
      <c r="AD209" s="179" t="str">
        <f t="array" ref="AD209">IF($F209&lt;&gt;"", XLOOKUP($F209,Productos!$A$2:$A1001,Productos!W$2:W1001,"")*$G209,"")</f>
        <v/>
      </c>
      <c r="AE209" s="179" t="str">
        <f t="array" ref="AE209">IF($F209&lt;&gt;"",XLOOKUP($F209,Productos!$A:$A,Productos!X:X,"Revisar"),"")</f>
        <v/>
      </c>
      <c r="AF209" s="179" t="str">
        <f t="array" ref="AF209">IF($F209&lt;&gt;"", XLOOKUP($F209,Productos!$A$2:$A1001,Productos!Y$2:Y1001,"")*$G209,"")</f>
        <v/>
      </c>
      <c r="AG209" s="179" t="str">
        <f t="array" ref="AG209">IF($F209&lt;&gt;"",XLOOKUP($F209,Productos!$A:$A,Productos!Z:Z,"Revisar"),"")</f>
        <v/>
      </c>
      <c r="AH209" s="179" t="str">
        <f t="array" ref="AH209">IF($F209&lt;&gt;"", XLOOKUP($F209,Productos!$A$2:$A1001,Productos!AA$2:AA1001,"")*$G209,"")</f>
        <v/>
      </c>
      <c r="AI209" s="179" t="str">
        <f t="array" ref="AI209">IF($F209&lt;&gt;"",XLOOKUP($F209,Productos!$A:$A,Productos!AB:AB,"Revisar"),"")</f>
        <v/>
      </c>
      <c r="AJ209" s="179" t="str">
        <f t="array" ref="AJ209">IF($F209&lt;&gt;"", XLOOKUP($F209,Productos!$A$2:$A1001,Productos!AC$2:AC1001,"")*$G209,"")</f>
        <v/>
      </c>
      <c r="AK209" s="179" t="str">
        <f t="array" ref="AK209">IF($F209&lt;&gt;"",XLOOKUP($F209,Productos!$A:$A,Productos!AD:AD,"Revisar"),"")</f>
        <v/>
      </c>
      <c r="AL209" s="179" t="str">
        <f t="array" ref="AL209">IF($F209&lt;&gt;"", XLOOKUP($F209,Productos!$A$2:$A1001,Productos!AE$2:AE1001,"")*$G209,"")</f>
        <v/>
      </c>
      <c r="AM209" s="179" t="str">
        <f t="array" ref="AM209">IF($F209&lt;&gt;"",XLOOKUP($F209,Productos!$A:$A,Productos!AF:AF,"Revisar"),"")</f>
        <v/>
      </c>
      <c r="AN209" s="179" t="str">
        <f t="array" ref="AN209">IF($F209&lt;&gt;"", XLOOKUP($F209,Productos!$A$2:$A1001,Productos!AG$2:AG1001,"")*$G209,"")</f>
        <v/>
      </c>
      <c r="AO209" s="179" t="str">
        <f t="array" ref="AO209">IF($F209&lt;&gt;"",XLOOKUP($F209,Productos!$A:$A,Productos!AH:AH,"Revisar"),"")</f>
        <v/>
      </c>
      <c r="AP209" s="179" t="str">
        <f t="array" ref="AP209">IF($F209&lt;&gt;"", XLOOKUP($F209,Productos!$A$2:$A1001,Productos!AI$2:AI1001,"")*$G209,"")</f>
        <v/>
      </c>
      <c r="AQ209" s="179" t="str">
        <f t="array" ref="AQ209">IF($F209&lt;&gt;"",XLOOKUP($F209,Productos!$A:$A,Productos!AJ:AJ,"Revisar"),"")</f>
        <v/>
      </c>
      <c r="AR209" s="179" t="str">
        <f t="array" ref="AR209">IF($F209&lt;&gt;"", XLOOKUP($F209,Productos!$A$2:$A1001,Productos!AK$2:AK1001,"")*$G209,"")</f>
        <v/>
      </c>
      <c r="AS209" s="179" t="str">
        <f t="array" ref="AS209">IF($F209&lt;&gt;"",XLOOKUP($F209,Productos!$A:$A,Productos!AL:AL,"Revisar"),"")</f>
        <v/>
      </c>
      <c r="AT209" s="179" t="str">
        <f t="array" ref="AT209">IF($F209&lt;&gt;"", XLOOKUP($F209,Productos!$A$2:$A1001,Productos!AM$2:AM1001,"")*$G209,"")</f>
        <v/>
      </c>
      <c r="AU209" s="179" t="str">
        <f t="array" ref="AU209">IF($F209&lt;&gt;"",XLOOKUP($F209,Productos!$A:$A,Productos!AN:AN,"Revisar"),"")</f>
        <v/>
      </c>
      <c r="AV209" s="179" t="str">
        <f t="array" ref="AV209">IF($F209&lt;&gt;"", XLOOKUP($F209,Productos!$A$2:$A1001,Productos!AO$2:AO1001,"")*$G209,"")</f>
        <v/>
      </c>
      <c r="AW209" s="179" t="str">
        <f t="array" ref="AW209">IF($F209&lt;&gt;"",XLOOKUP($F209,Productos!$A:$A,Productos!AP:AP,"Revisar"),"")</f>
        <v/>
      </c>
      <c r="AX209" s="179" t="str">
        <f t="array" ref="AX209">IF($F209&lt;&gt;"", XLOOKUP($F209,Productos!$A$2:$A1001,Productos!AQ$2:AQ1001,"")*$G209,"")</f>
        <v/>
      </c>
      <c r="AY209" s="179" t="str">
        <f t="array" ref="AY209">IF($F209&lt;&gt;"",XLOOKUP($F209,Productos!$A:$A,Productos!AR:AR,"Revisar"),"")</f>
        <v/>
      </c>
      <c r="AZ209" s="179" t="str">
        <f t="array" ref="AZ209">IF($F209&lt;&gt;"", XLOOKUP($F209,Productos!$A$2:$A1001,Productos!AS$2:AS1001,"")*$G209,"")</f>
        <v/>
      </c>
      <c r="BA209" s="179" t="str">
        <f t="array" ref="BA209">IF($F209&lt;&gt;"",XLOOKUP($F209,Productos!$A:$A,Productos!AT:AT,"Revisar"),"")</f>
        <v/>
      </c>
      <c r="BB209" s="179" t="str">
        <f t="array" ref="BB209">IF($F209&lt;&gt;"", XLOOKUP($F209,Productos!$A$2:$A1001,Productos!AU$2:AU1001,"")*$G209,"")</f>
        <v/>
      </c>
      <c r="BC209" s="179" t="str">
        <f t="array" ref="BC209">IF($F209&lt;&gt;"",XLOOKUP($F209,Productos!$A:$A,Productos!AV:AV,"Revisar"),"")</f>
        <v/>
      </c>
      <c r="BD209" s="179" t="str">
        <f t="array" ref="BD209">IF($F209&lt;&gt;"", XLOOKUP($F209,Productos!$A$2:$A1001,Productos!AW$2:AW1001,"")*$G209,"")</f>
        <v/>
      </c>
      <c r="BE209" s="179" t="str">
        <f t="array" ref="BE209">IF($F209&lt;&gt;"",XLOOKUP($F209,Productos!$A:$A,Productos!AX:AX,"Revisar"),"")</f>
        <v/>
      </c>
      <c r="BF209" s="179" t="str">
        <f t="array" ref="BF209">IF($F209&lt;&gt;"", XLOOKUP($F209,Productos!$A$2:$A1001,Productos!AY$2:AY1001,"")*$G209,"")</f>
        <v/>
      </c>
      <c r="BG209" s="179" t="str">
        <f t="array" ref="BG209">IF($F209&lt;&gt;"",XLOOKUP($F209,Productos!$A:$A,Productos!AZ:AZ,"Revisar"),"")</f>
        <v/>
      </c>
      <c r="BH209" s="179" t="str">
        <f t="array" ref="BH209">IF($F209&lt;&gt;"", XLOOKUP($F209,Productos!$A$2:$A1001,Productos!BA$2:BA1001,"")*$G209,"")</f>
        <v/>
      </c>
      <c r="BI209" s="179" t="str">
        <f t="array" ref="BI209">IF($F209&lt;&gt;"",XLOOKUP($F209,Productos!$A:$A,Productos!BB:BB,"Revisar"),"")</f>
        <v/>
      </c>
      <c r="BJ209" s="179" t="str">
        <f t="array" ref="BJ209">IF($F209&lt;&gt;"", XLOOKUP($F209,Productos!$A$2:$A1001,Productos!BC$2:BC1001,"")*$G209,"")</f>
        <v/>
      </c>
      <c r="BK209" s="179" t="str">
        <f t="array" ref="BK209">IF($F209&lt;&gt;"",XLOOKUP($F209,Productos!$A:$A,Productos!BD:BD,"Revisar"),"")</f>
        <v/>
      </c>
      <c r="BL209" s="179" t="str">
        <f t="array" ref="BL209">IF($F209&lt;&gt;"", XLOOKUP($F209,Productos!$A$2:$A1001,Productos!BE$2:BE1001,"")*$G209,"")</f>
        <v/>
      </c>
      <c r="BM209" s="179" t="str">
        <f t="array" ref="BM209">IF($F209&lt;&gt;"",XLOOKUP($F209,Productos!$A:$A,Productos!BF:BF,"Revisar"),"")</f>
        <v/>
      </c>
      <c r="BN209" s="179" t="str">
        <f t="array" ref="BN209">IF($F209&lt;&gt;"", XLOOKUP($F209,Productos!$A$2:$A1001,Productos!BG$2:BG1001,"")*$G209,"")</f>
        <v/>
      </c>
      <c r="BO209" s="179" t="str">
        <f t="array" ref="BO209">IF($F209&lt;&gt;"",XLOOKUP($F209,Productos!$A:$A,Productos!BH:BH,"Revisar"),"")</f>
        <v/>
      </c>
      <c r="BP209" s="179" t="str">
        <f t="array" ref="BP209">IF($F209&lt;&gt;"", XLOOKUP($F209,Productos!$A$2:$A1001,Productos!BI$2:BI1001,"")*$G209,"")</f>
        <v/>
      </c>
      <c r="BQ209" s="179" t="str">
        <f t="array" ref="BQ209">IF($F209&lt;&gt;"",XLOOKUP($F209,Productos!$A:$A,Productos!BJ:BJ,"Revisar"),"")</f>
        <v/>
      </c>
      <c r="BR209" s="179" t="str">
        <f t="array" ref="BR209">IF($F209&lt;&gt;"", XLOOKUP($F209,Productos!$A$2:$A1001,Productos!BK$2:BK1001,"")*$G209,"")</f>
        <v/>
      </c>
      <c r="BS209" s="179" t="str">
        <f t="array" ref="BS209">IF($F209&lt;&gt;"",XLOOKUP($F209,Productos!$A:$A,Productos!BL:BL,"Revisar"),"")</f>
        <v/>
      </c>
      <c r="BT209" s="179" t="str">
        <f t="array" ref="BT209">IF($F209&lt;&gt;"", XLOOKUP($F209,Productos!$A$2:$A1001,Productos!BM$2:BM1001,"")*$G209,"")</f>
        <v/>
      </c>
      <c r="BU209" s="179" t="str">
        <f t="array" ref="BU209">IF($F209&lt;&gt;"",XLOOKUP($F209,Productos!$A:$A,Productos!BN:BN,"Revisar"),"")</f>
        <v/>
      </c>
      <c r="BV209" s="179" t="str">
        <f t="array" ref="BV209">IF($F209&lt;&gt;"", XLOOKUP($F209,Productos!$A$2:$A1001,Productos!BO$2:BO1001,"")*$G209,"")</f>
        <v/>
      </c>
      <c r="BW209" s="179" t="str">
        <f t="array" ref="BW209">IF($F209&lt;&gt;"",XLOOKUP($F209,Productos!$A:$A,Productos!BP:BP,"Revisar"),"")</f>
        <v/>
      </c>
      <c r="BX209" s="179" t="str">
        <f t="array" ref="BX209">IF($F209&lt;&gt;"", XLOOKUP($F209,Productos!$A$2:$A1001,Productos!BQ$2:BQ1001,"")*$G209,"")</f>
        <v/>
      </c>
      <c r="BY209" s="179" t="str">
        <f t="array" ref="BY209">IF($F209&lt;&gt;"",XLOOKUP($F209,Productos!$A:$A,Productos!BR:BR,"Revisar"),"")</f>
        <v/>
      </c>
      <c r="BZ209" s="179" t="str">
        <f t="array" ref="BZ209">IF($F209&lt;&gt;"", XLOOKUP($F209,Productos!$A$2:$A1001,Productos!BS$2:BS1001,"")*$G209,"")</f>
        <v/>
      </c>
    </row>
    <row r="210">
      <c r="A210" s="180"/>
      <c r="B210" s="181"/>
      <c r="C210" s="182"/>
      <c r="D210" s="182"/>
      <c r="E210" s="185"/>
      <c r="F210" s="186"/>
      <c r="G210" s="187"/>
      <c r="H210" s="186"/>
      <c r="I210" s="179" t="str">
        <f t="array" ref="I210">IF($F210&lt;&gt;"",XLOOKUP($F210,Productos!$A:$A,Productos!B:B,"Revisar"),"")</f>
        <v/>
      </c>
      <c r="J210" s="179" t="str">
        <f t="array" ref="J210">IF($F210&lt;&gt;"", XLOOKUP($F210,Productos!$A$2:$A1001,Productos!C$2:C1001,"")*$G210,"")</f>
        <v/>
      </c>
      <c r="K210" s="179" t="str">
        <f t="array" ref="K210">IF($F210&lt;&gt;"",XLOOKUP($F210,Productos!$A:$A,Productos!D:D,"Revisar"),"")</f>
        <v/>
      </c>
      <c r="L210" s="179" t="str">
        <f t="array" ref="L210">IF($F210&lt;&gt;"", XLOOKUP($F210,Productos!$A$2:$A1001,Productos!E$2:E1001,"")*$G210,"")</f>
        <v/>
      </c>
      <c r="M210" s="179" t="str">
        <f t="array" ref="M210">IF($F210&lt;&gt;"",XLOOKUP($F210,Productos!$A:$A,Productos!F:F,"Revisar"),"")</f>
        <v/>
      </c>
      <c r="N210" s="179" t="str">
        <f t="array" ref="N210">IF($F210&lt;&gt;"", XLOOKUP($F210,Productos!$A$2:$A1001,Productos!G$2:G1001,"")*$G210,"")</f>
        <v/>
      </c>
      <c r="O210" s="179" t="str">
        <f t="array" ref="O210">IF($F210&lt;&gt;"",XLOOKUP($F210,Productos!$A:$A,Productos!H:H,"Revisar"),"")</f>
        <v/>
      </c>
      <c r="P210" s="179" t="str">
        <f t="array" ref="P210">IF($F210&lt;&gt;"", XLOOKUP($F210,Productos!$A$2:$A1001,Productos!I$2:I1001,"")*$G210,"")</f>
        <v/>
      </c>
      <c r="Q210" s="179" t="str">
        <f t="array" ref="Q210">IF($F210&lt;&gt;"",XLOOKUP($F210,Productos!$A:$A,Productos!J:J,"Revisar"),"")</f>
        <v/>
      </c>
      <c r="R210" s="179" t="str">
        <f t="array" ref="R210">IF($F210&lt;&gt;"", XLOOKUP($F210,Productos!$A$2:$A1001,Productos!K$2:K1001,"")*$G210,"")</f>
        <v/>
      </c>
      <c r="S210" s="179" t="str">
        <f t="array" ref="S210">IF($F210&lt;&gt;"",XLOOKUP($F210,Productos!$A:$A,Productos!L:L,"Revisar"),"")</f>
        <v/>
      </c>
      <c r="T210" s="179" t="str">
        <f t="array" ref="T210">IF($F210&lt;&gt;"", XLOOKUP($F210,Productos!$A$2:$A1001,Productos!M$2:M1001,"")*$G210,"")</f>
        <v/>
      </c>
      <c r="U210" s="179" t="str">
        <f t="array" ref="U210">IF($F210&lt;&gt;"",XLOOKUP($F210,Productos!$A:$A,Productos!N:N,"Revisar"),"")</f>
        <v/>
      </c>
      <c r="V210" s="179" t="str">
        <f t="array" ref="V210">IF($F210&lt;&gt;"", XLOOKUP($F210,Productos!$A$2:$A1001,Productos!O$2:O1001,"")*$G210,"")</f>
        <v/>
      </c>
      <c r="W210" s="179" t="str">
        <f t="array" ref="W210">IF($F210&lt;&gt;"",XLOOKUP($F210,Productos!$A:$A,Productos!P:P,"Revisar"),"")</f>
        <v/>
      </c>
      <c r="X210" s="179" t="str">
        <f t="array" ref="X210">IF($F210&lt;&gt;"", XLOOKUP($F210,Productos!$A$2:$A1001,Productos!Q$2:Q1001,"")*$G210,"")</f>
        <v/>
      </c>
      <c r="Y210" s="179" t="str">
        <f t="array" ref="Y210">IF($F210&lt;&gt;"",XLOOKUP($F210,Productos!$A:$A,Productos!R:R,"Revisar"),"")</f>
        <v/>
      </c>
      <c r="Z210" s="179" t="str">
        <f t="array" ref="Z210">IF($F210&lt;&gt;"", XLOOKUP($F210,Productos!$A$2:$A1001,Productos!S$2:S1001,"")*$G210,"")</f>
        <v/>
      </c>
      <c r="AA210" s="179" t="str">
        <f t="array" ref="AA210">IF($F210&lt;&gt;"",XLOOKUP($F210,Productos!$A:$A,Productos!T:T,"Revisar"),"")</f>
        <v/>
      </c>
      <c r="AB210" s="179" t="str">
        <f t="array" ref="AB210">IF($F210&lt;&gt;"", XLOOKUP($F210,Productos!$A$2:$A1001,Productos!U$2:U1001,"")*$G210,"")</f>
        <v/>
      </c>
      <c r="AC210" s="179" t="str">
        <f t="array" ref="AC210">IF($F210&lt;&gt;"",XLOOKUP($F210,Productos!$A:$A,Productos!V:V,"Revisar"),"")</f>
        <v/>
      </c>
      <c r="AD210" s="179" t="str">
        <f t="array" ref="AD210">IF($F210&lt;&gt;"", XLOOKUP($F210,Productos!$A$2:$A1001,Productos!W$2:W1001,"")*$G210,"")</f>
        <v/>
      </c>
      <c r="AE210" s="179" t="str">
        <f t="array" ref="AE210">IF($F210&lt;&gt;"",XLOOKUP($F210,Productos!$A:$A,Productos!X:X,"Revisar"),"")</f>
        <v/>
      </c>
      <c r="AF210" s="179" t="str">
        <f t="array" ref="AF210">IF($F210&lt;&gt;"", XLOOKUP($F210,Productos!$A$2:$A1001,Productos!Y$2:Y1001,"")*$G210,"")</f>
        <v/>
      </c>
      <c r="AG210" s="179" t="str">
        <f t="array" ref="AG210">IF($F210&lt;&gt;"",XLOOKUP($F210,Productos!$A:$A,Productos!Z:Z,"Revisar"),"")</f>
        <v/>
      </c>
      <c r="AH210" s="179" t="str">
        <f t="array" ref="AH210">IF($F210&lt;&gt;"", XLOOKUP($F210,Productos!$A$2:$A1001,Productos!AA$2:AA1001,"")*$G210,"")</f>
        <v/>
      </c>
      <c r="AI210" s="179" t="str">
        <f t="array" ref="AI210">IF($F210&lt;&gt;"",XLOOKUP($F210,Productos!$A:$A,Productos!AB:AB,"Revisar"),"")</f>
        <v/>
      </c>
      <c r="AJ210" s="179" t="str">
        <f t="array" ref="AJ210">IF($F210&lt;&gt;"", XLOOKUP($F210,Productos!$A$2:$A1001,Productos!AC$2:AC1001,"")*$G210,"")</f>
        <v/>
      </c>
      <c r="AK210" s="179" t="str">
        <f t="array" ref="AK210">IF($F210&lt;&gt;"",XLOOKUP($F210,Productos!$A:$A,Productos!AD:AD,"Revisar"),"")</f>
        <v/>
      </c>
      <c r="AL210" s="179" t="str">
        <f t="array" ref="AL210">IF($F210&lt;&gt;"", XLOOKUP($F210,Productos!$A$2:$A1001,Productos!AE$2:AE1001,"")*$G210,"")</f>
        <v/>
      </c>
      <c r="AM210" s="179" t="str">
        <f t="array" ref="AM210">IF($F210&lt;&gt;"",XLOOKUP($F210,Productos!$A:$A,Productos!AF:AF,"Revisar"),"")</f>
        <v/>
      </c>
      <c r="AN210" s="179" t="str">
        <f t="array" ref="AN210">IF($F210&lt;&gt;"", XLOOKUP($F210,Productos!$A$2:$A1001,Productos!AG$2:AG1001,"")*$G210,"")</f>
        <v/>
      </c>
      <c r="AO210" s="179" t="str">
        <f t="array" ref="AO210">IF($F210&lt;&gt;"",XLOOKUP($F210,Productos!$A:$A,Productos!AH:AH,"Revisar"),"")</f>
        <v/>
      </c>
      <c r="AP210" s="179" t="str">
        <f t="array" ref="AP210">IF($F210&lt;&gt;"", XLOOKUP($F210,Productos!$A$2:$A1001,Productos!AI$2:AI1001,"")*$G210,"")</f>
        <v/>
      </c>
      <c r="AQ210" s="179" t="str">
        <f t="array" ref="AQ210">IF($F210&lt;&gt;"",XLOOKUP($F210,Productos!$A:$A,Productos!AJ:AJ,"Revisar"),"")</f>
        <v/>
      </c>
      <c r="AR210" s="179" t="str">
        <f t="array" ref="AR210">IF($F210&lt;&gt;"", XLOOKUP($F210,Productos!$A$2:$A1001,Productos!AK$2:AK1001,"")*$G210,"")</f>
        <v/>
      </c>
      <c r="AS210" s="179" t="str">
        <f t="array" ref="AS210">IF($F210&lt;&gt;"",XLOOKUP($F210,Productos!$A:$A,Productos!AL:AL,"Revisar"),"")</f>
        <v/>
      </c>
      <c r="AT210" s="179" t="str">
        <f t="array" ref="AT210">IF($F210&lt;&gt;"", XLOOKUP($F210,Productos!$A$2:$A1001,Productos!AM$2:AM1001,"")*$G210,"")</f>
        <v/>
      </c>
      <c r="AU210" s="179" t="str">
        <f t="array" ref="AU210">IF($F210&lt;&gt;"",XLOOKUP($F210,Productos!$A:$A,Productos!AN:AN,"Revisar"),"")</f>
        <v/>
      </c>
      <c r="AV210" s="179" t="str">
        <f t="array" ref="AV210">IF($F210&lt;&gt;"", XLOOKUP($F210,Productos!$A$2:$A1001,Productos!AO$2:AO1001,"")*$G210,"")</f>
        <v/>
      </c>
      <c r="AW210" s="179" t="str">
        <f t="array" ref="AW210">IF($F210&lt;&gt;"",XLOOKUP($F210,Productos!$A:$A,Productos!AP:AP,"Revisar"),"")</f>
        <v/>
      </c>
      <c r="AX210" s="179" t="str">
        <f t="array" ref="AX210">IF($F210&lt;&gt;"", XLOOKUP($F210,Productos!$A$2:$A1001,Productos!AQ$2:AQ1001,"")*$G210,"")</f>
        <v/>
      </c>
      <c r="AY210" s="179" t="str">
        <f t="array" ref="AY210">IF($F210&lt;&gt;"",XLOOKUP($F210,Productos!$A:$A,Productos!AR:AR,"Revisar"),"")</f>
        <v/>
      </c>
      <c r="AZ210" s="179" t="str">
        <f t="array" ref="AZ210">IF($F210&lt;&gt;"", XLOOKUP($F210,Productos!$A$2:$A1001,Productos!AS$2:AS1001,"")*$G210,"")</f>
        <v/>
      </c>
      <c r="BA210" s="179" t="str">
        <f t="array" ref="BA210">IF($F210&lt;&gt;"",XLOOKUP($F210,Productos!$A:$A,Productos!AT:AT,"Revisar"),"")</f>
        <v/>
      </c>
      <c r="BB210" s="179" t="str">
        <f t="array" ref="BB210">IF($F210&lt;&gt;"", XLOOKUP($F210,Productos!$A$2:$A1001,Productos!AU$2:AU1001,"")*$G210,"")</f>
        <v/>
      </c>
      <c r="BC210" s="179" t="str">
        <f t="array" ref="BC210">IF($F210&lt;&gt;"",XLOOKUP($F210,Productos!$A:$A,Productos!AV:AV,"Revisar"),"")</f>
        <v/>
      </c>
      <c r="BD210" s="179" t="str">
        <f t="array" ref="BD210">IF($F210&lt;&gt;"", XLOOKUP($F210,Productos!$A$2:$A1001,Productos!AW$2:AW1001,"")*$G210,"")</f>
        <v/>
      </c>
      <c r="BE210" s="179" t="str">
        <f t="array" ref="BE210">IF($F210&lt;&gt;"",XLOOKUP($F210,Productos!$A:$A,Productos!AX:AX,"Revisar"),"")</f>
        <v/>
      </c>
      <c r="BF210" s="179" t="str">
        <f t="array" ref="BF210">IF($F210&lt;&gt;"", XLOOKUP($F210,Productos!$A$2:$A1001,Productos!AY$2:AY1001,"")*$G210,"")</f>
        <v/>
      </c>
      <c r="BG210" s="179" t="str">
        <f t="array" ref="BG210">IF($F210&lt;&gt;"",XLOOKUP($F210,Productos!$A:$A,Productos!AZ:AZ,"Revisar"),"")</f>
        <v/>
      </c>
      <c r="BH210" s="179" t="str">
        <f t="array" ref="BH210">IF($F210&lt;&gt;"", XLOOKUP($F210,Productos!$A$2:$A1001,Productos!BA$2:BA1001,"")*$G210,"")</f>
        <v/>
      </c>
      <c r="BI210" s="179" t="str">
        <f t="array" ref="BI210">IF($F210&lt;&gt;"",XLOOKUP($F210,Productos!$A:$A,Productos!BB:BB,"Revisar"),"")</f>
        <v/>
      </c>
      <c r="BJ210" s="179" t="str">
        <f t="array" ref="BJ210">IF($F210&lt;&gt;"", XLOOKUP($F210,Productos!$A$2:$A1001,Productos!BC$2:BC1001,"")*$G210,"")</f>
        <v/>
      </c>
      <c r="BK210" s="179" t="str">
        <f t="array" ref="BK210">IF($F210&lt;&gt;"",XLOOKUP($F210,Productos!$A:$A,Productos!BD:BD,"Revisar"),"")</f>
        <v/>
      </c>
      <c r="BL210" s="179" t="str">
        <f t="array" ref="BL210">IF($F210&lt;&gt;"", XLOOKUP($F210,Productos!$A$2:$A1001,Productos!BE$2:BE1001,"")*$G210,"")</f>
        <v/>
      </c>
      <c r="BM210" s="179" t="str">
        <f t="array" ref="BM210">IF($F210&lt;&gt;"",XLOOKUP($F210,Productos!$A:$A,Productos!BF:BF,"Revisar"),"")</f>
        <v/>
      </c>
      <c r="BN210" s="179" t="str">
        <f t="array" ref="BN210">IF($F210&lt;&gt;"", XLOOKUP($F210,Productos!$A$2:$A1001,Productos!BG$2:BG1001,"")*$G210,"")</f>
        <v/>
      </c>
      <c r="BO210" s="179" t="str">
        <f t="array" ref="BO210">IF($F210&lt;&gt;"",XLOOKUP($F210,Productos!$A:$A,Productos!BH:BH,"Revisar"),"")</f>
        <v/>
      </c>
      <c r="BP210" s="179" t="str">
        <f t="array" ref="BP210">IF($F210&lt;&gt;"", XLOOKUP($F210,Productos!$A$2:$A1001,Productos!BI$2:BI1001,"")*$G210,"")</f>
        <v/>
      </c>
      <c r="BQ210" s="179" t="str">
        <f t="array" ref="BQ210">IF($F210&lt;&gt;"",XLOOKUP($F210,Productos!$A:$A,Productos!BJ:BJ,"Revisar"),"")</f>
        <v/>
      </c>
      <c r="BR210" s="179" t="str">
        <f t="array" ref="BR210">IF($F210&lt;&gt;"", XLOOKUP($F210,Productos!$A$2:$A1001,Productos!BK$2:BK1001,"")*$G210,"")</f>
        <v/>
      </c>
      <c r="BS210" s="179" t="str">
        <f t="array" ref="BS210">IF($F210&lt;&gt;"",XLOOKUP($F210,Productos!$A:$A,Productos!BL:BL,"Revisar"),"")</f>
        <v/>
      </c>
      <c r="BT210" s="179" t="str">
        <f t="array" ref="BT210">IF($F210&lt;&gt;"", XLOOKUP($F210,Productos!$A$2:$A1001,Productos!BM$2:BM1001,"")*$G210,"")</f>
        <v/>
      </c>
      <c r="BU210" s="179" t="str">
        <f t="array" ref="BU210">IF($F210&lt;&gt;"",XLOOKUP($F210,Productos!$A:$A,Productos!BN:BN,"Revisar"),"")</f>
        <v/>
      </c>
      <c r="BV210" s="179" t="str">
        <f t="array" ref="BV210">IF($F210&lt;&gt;"", XLOOKUP($F210,Productos!$A$2:$A1001,Productos!BO$2:BO1001,"")*$G210,"")</f>
        <v/>
      </c>
      <c r="BW210" s="179" t="str">
        <f t="array" ref="BW210">IF($F210&lt;&gt;"",XLOOKUP($F210,Productos!$A:$A,Productos!BP:BP,"Revisar"),"")</f>
        <v/>
      </c>
      <c r="BX210" s="179" t="str">
        <f t="array" ref="BX210">IF($F210&lt;&gt;"", XLOOKUP($F210,Productos!$A$2:$A1001,Productos!BQ$2:BQ1001,"")*$G210,"")</f>
        <v/>
      </c>
      <c r="BY210" s="179" t="str">
        <f t="array" ref="BY210">IF($F210&lt;&gt;"",XLOOKUP($F210,Productos!$A:$A,Productos!BR:BR,"Revisar"),"")</f>
        <v/>
      </c>
      <c r="BZ210" s="179" t="str">
        <f t="array" ref="BZ210">IF($F210&lt;&gt;"", XLOOKUP($F210,Productos!$A$2:$A1001,Productos!BS$2:BS1001,"")*$G210,"")</f>
        <v/>
      </c>
    </row>
    <row r="211">
      <c r="A211" s="180"/>
      <c r="B211" s="181"/>
      <c r="C211" s="182"/>
      <c r="D211" s="182"/>
      <c r="E211" s="185"/>
      <c r="F211" s="177"/>
      <c r="G211" s="187"/>
      <c r="H211" s="186"/>
      <c r="I211" s="179" t="str">
        <f t="array" ref="I211">IF($F211&lt;&gt;"",XLOOKUP($F211,Productos!$A:$A,Productos!B:B,"Revisar"),"")</f>
        <v/>
      </c>
      <c r="J211" s="179" t="str">
        <f t="array" ref="J211">IF($F211&lt;&gt;"", XLOOKUP($F211,Productos!$A$2:$A1001,Productos!C$2:C1001,"")*$G211,"")</f>
        <v/>
      </c>
      <c r="K211" s="179" t="str">
        <f t="array" ref="K211">IF($F211&lt;&gt;"",XLOOKUP($F211,Productos!$A:$A,Productos!D:D,"Revisar"),"")</f>
        <v/>
      </c>
      <c r="L211" s="179" t="str">
        <f t="array" ref="L211">IF($F211&lt;&gt;"", XLOOKUP($F211,Productos!$A$2:$A1001,Productos!E$2:E1001,"")*$G211,"")</f>
        <v/>
      </c>
      <c r="M211" s="179" t="str">
        <f t="array" ref="M211">IF($F211&lt;&gt;"",XLOOKUP($F211,Productos!$A:$A,Productos!F:F,"Revisar"),"")</f>
        <v/>
      </c>
      <c r="N211" s="179" t="str">
        <f t="array" ref="N211">IF($F211&lt;&gt;"", XLOOKUP($F211,Productos!$A$2:$A1001,Productos!G$2:G1001,"")*$G211,"")</f>
        <v/>
      </c>
      <c r="O211" s="179" t="str">
        <f t="array" ref="O211">IF($F211&lt;&gt;"",XLOOKUP($F211,Productos!$A:$A,Productos!H:H,"Revisar"),"")</f>
        <v/>
      </c>
      <c r="P211" s="179" t="str">
        <f t="array" ref="P211">IF($F211&lt;&gt;"", XLOOKUP($F211,Productos!$A$2:$A1001,Productos!I$2:I1001,"")*$G211,"")</f>
        <v/>
      </c>
      <c r="Q211" s="179" t="str">
        <f t="array" ref="Q211">IF($F211&lt;&gt;"",XLOOKUP($F211,Productos!$A:$A,Productos!J:J,"Revisar"),"")</f>
        <v/>
      </c>
      <c r="R211" s="179" t="str">
        <f t="array" ref="R211">IF($F211&lt;&gt;"", XLOOKUP($F211,Productos!$A$2:$A1001,Productos!K$2:K1001,"")*$G211,"")</f>
        <v/>
      </c>
      <c r="S211" s="179" t="str">
        <f t="array" ref="S211">IF($F211&lt;&gt;"",XLOOKUP($F211,Productos!$A:$A,Productos!L:L,"Revisar"),"")</f>
        <v/>
      </c>
      <c r="T211" s="179" t="str">
        <f t="array" ref="T211">IF($F211&lt;&gt;"", XLOOKUP($F211,Productos!$A$2:$A1001,Productos!M$2:M1001,"")*$G211,"")</f>
        <v/>
      </c>
      <c r="U211" s="179" t="str">
        <f t="array" ref="U211">IF($F211&lt;&gt;"",XLOOKUP($F211,Productos!$A:$A,Productos!N:N,"Revisar"),"")</f>
        <v/>
      </c>
      <c r="V211" s="179" t="str">
        <f t="array" ref="V211">IF($F211&lt;&gt;"", XLOOKUP($F211,Productos!$A$2:$A1001,Productos!O$2:O1001,"")*$G211,"")</f>
        <v/>
      </c>
      <c r="W211" s="179" t="str">
        <f t="array" ref="W211">IF($F211&lt;&gt;"",XLOOKUP($F211,Productos!$A:$A,Productos!P:P,"Revisar"),"")</f>
        <v/>
      </c>
      <c r="X211" s="179" t="str">
        <f t="array" ref="X211">IF($F211&lt;&gt;"", XLOOKUP($F211,Productos!$A$2:$A1001,Productos!Q$2:Q1001,"")*$G211,"")</f>
        <v/>
      </c>
      <c r="Y211" s="179" t="str">
        <f t="array" ref="Y211">IF($F211&lt;&gt;"",XLOOKUP($F211,Productos!$A:$A,Productos!R:R,"Revisar"),"")</f>
        <v/>
      </c>
      <c r="Z211" s="179" t="str">
        <f t="array" ref="Z211">IF($F211&lt;&gt;"", XLOOKUP($F211,Productos!$A$2:$A1001,Productos!S$2:S1001,"")*$G211,"")</f>
        <v/>
      </c>
      <c r="AA211" s="179" t="str">
        <f t="array" ref="AA211">IF($F211&lt;&gt;"",XLOOKUP($F211,Productos!$A:$A,Productos!T:T,"Revisar"),"")</f>
        <v/>
      </c>
      <c r="AB211" s="179" t="str">
        <f t="array" ref="AB211">IF($F211&lt;&gt;"", XLOOKUP($F211,Productos!$A$2:$A1001,Productos!U$2:U1001,"")*$G211,"")</f>
        <v/>
      </c>
      <c r="AC211" s="179" t="str">
        <f t="array" ref="AC211">IF($F211&lt;&gt;"",XLOOKUP($F211,Productos!$A:$A,Productos!V:V,"Revisar"),"")</f>
        <v/>
      </c>
      <c r="AD211" s="179" t="str">
        <f t="array" ref="AD211">IF($F211&lt;&gt;"", XLOOKUP($F211,Productos!$A$2:$A1001,Productos!W$2:W1001,"")*$G211,"")</f>
        <v/>
      </c>
      <c r="AE211" s="179" t="str">
        <f t="array" ref="AE211">IF($F211&lt;&gt;"",XLOOKUP($F211,Productos!$A:$A,Productos!X:X,"Revisar"),"")</f>
        <v/>
      </c>
      <c r="AF211" s="179" t="str">
        <f t="array" ref="AF211">IF($F211&lt;&gt;"", XLOOKUP($F211,Productos!$A$2:$A1001,Productos!Y$2:Y1001,"")*$G211,"")</f>
        <v/>
      </c>
      <c r="AG211" s="179" t="str">
        <f t="array" ref="AG211">IF($F211&lt;&gt;"",XLOOKUP($F211,Productos!$A:$A,Productos!Z:Z,"Revisar"),"")</f>
        <v/>
      </c>
      <c r="AH211" s="179" t="str">
        <f t="array" ref="AH211">IF($F211&lt;&gt;"", XLOOKUP($F211,Productos!$A$2:$A1001,Productos!AA$2:AA1001,"")*$G211,"")</f>
        <v/>
      </c>
      <c r="AI211" s="179" t="str">
        <f t="array" ref="AI211">IF($F211&lt;&gt;"",XLOOKUP($F211,Productos!$A:$A,Productos!AB:AB,"Revisar"),"")</f>
        <v/>
      </c>
      <c r="AJ211" s="179" t="str">
        <f t="array" ref="AJ211">IF($F211&lt;&gt;"", XLOOKUP($F211,Productos!$A$2:$A1001,Productos!AC$2:AC1001,"")*$G211,"")</f>
        <v/>
      </c>
      <c r="AK211" s="179" t="str">
        <f t="array" ref="AK211">IF($F211&lt;&gt;"",XLOOKUP($F211,Productos!$A:$A,Productos!AD:AD,"Revisar"),"")</f>
        <v/>
      </c>
      <c r="AL211" s="179" t="str">
        <f t="array" ref="AL211">IF($F211&lt;&gt;"", XLOOKUP($F211,Productos!$A$2:$A1001,Productos!AE$2:AE1001,"")*$G211,"")</f>
        <v/>
      </c>
      <c r="AM211" s="179" t="str">
        <f t="array" ref="AM211">IF($F211&lt;&gt;"",XLOOKUP($F211,Productos!$A:$A,Productos!AF:AF,"Revisar"),"")</f>
        <v/>
      </c>
      <c r="AN211" s="179" t="str">
        <f t="array" ref="AN211">IF($F211&lt;&gt;"", XLOOKUP($F211,Productos!$A$2:$A1001,Productos!AG$2:AG1001,"")*$G211,"")</f>
        <v/>
      </c>
      <c r="AO211" s="179" t="str">
        <f t="array" ref="AO211">IF($F211&lt;&gt;"",XLOOKUP($F211,Productos!$A:$A,Productos!AH:AH,"Revisar"),"")</f>
        <v/>
      </c>
      <c r="AP211" s="179" t="str">
        <f t="array" ref="AP211">IF($F211&lt;&gt;"", XLOOKUP($F211,Productos!$A$2:$A1001,Productos!AI$2:AI1001,"")*$G211,"")</f>
        <v/>
      </c>
      <c r="AQ211" s="179" t="str">
        <f t="array" ref="AQ211">IF($F211&lt;&gt;"",XLOOKUP($F211,Productos!$A:$A,Productos!AJ:AJ,"Revisar"),"")</f>
        <v/>
      </c>
      <c r="AR211" s="179" t="str">
        <f t="array" ref="AR211">IF($F211&lt;&gt;"", XLOOKUP($F211,Productos!$A$2:$A1001,Productos!AK$2:AK1001,"")*$G211,"")</f>
        <v/>
      </c>
      <c r="AS211" s="179" t="str">
        <f t="array" ref="AS211">IF($F211&lt;&gt;"",XLOOKUP($F211,Productos!$A:$A,Productos!AL:AL,"Revisar"),"")</f>
        <v/>
      </c>
      <c r="AT211" s="179" t="str">
        <f t="array" ref="AT211">IF($F211&lt;&gt;"", XLOOKUP($F211,Productos!$A$2:$A1001,Productos!AM$2:AM1001,"")*$G211,"")</f>
        <v/>
      </c>
      <c r="AU211" s="179" t="str">
        <f t="array" ref="AU211">IF($F211&lt;&gt;"",XLOOKUP($F211,Productos!$A:$A,Productos!AN:AN,"Revisar"),"")</f>
        <v/>
      </c>
      <c r="AV211" s="179" t="str">
        <f t="array" ref="AV211">IF($F211&lt;&gt;"", XLOOKUP($F211,Productos!$A$2:$A1001,Productos!AO$2:AO1001,"")*$G211,"")</f>
        <v/>
      </c>
      <c r="AW211" s="179" t="str">
        <f t="array" ref="AW211">IF($F211&lt;&gt;"",XLOOKUP($F211,Productos!$A:$A,Productos!AP:AP,"Revisar"),"")</f>
        <v/>
      </c>
      <c r="AX211" s="179" t="str">
        <f t="array" ref="AX211">IF($F211&lt;&gt;"", XLOOKUP($F211,Productos!$A$2:$A1001,Productos!AQ$2:AQ1001,"")*$G211,"")</f>
        <v/>
      </c>
      <c r="AY211" s="179" t="str">
        <f t="array" ref="AY211">IF($F211&lt;&gt;"",XLOOKUP($F211,Productos!$A:$A,Productos!AR:AR,"Revisar"),"")</f>
        <v/>
      </c>
      <c r="AZ211" s="179" t="str">
        <f t="array" ref="AZ211">IF($F211&lt;&gt;"", XLOOKUP($F211,Productos!$A$2:$A1001,Productos!AS$2:AS1001,"")*$G211,"")</f>
        <v/>
      </c>
      <c r="BA211" s="179" t="str">
        <f t="array" ref="BA211">IF($F211&lt;&gt;"",XLOOKUP($F211,Productos!$A:$A,Productos!AT:AT,"Revisar"),"")</f>
        <v/>
      </c>
      <c r="BB211" s="179" t="str">
        <f t="array" ref="BB211">IF($F211&lt;&gt;"", XLOOKUP($F211,Productos!$A$2:$A1001,Productos!AU$2:AU1001,"")*$G211,"")</f>
        <v/>
      </c>
      <c r="BC211" s="179" t="str">
        <f t="array" ref="BC211">IF($F211&lt;&gt;"",XLOOKUP($F211,Productos!$A:$A,Productos!AV:AV,"Revisar"),"")</f>
        <v/>
      </c>
      <c r="BD211" s="179" t="str">
        <f t="array" ref="BD211">IF($F211&lt;&gt;"", XLOOKUP($F211,Productos!$A$2:$A1001,Productos!AW$2:AW1001,"")*$G211,"")</f>
        <v/>
      </c>
      <c r="BE211" s="179" t="str">
        <f t="array" ref="BE211">IF($F211&lt;&gt;"",XLOOKUP($F211,Productos!$A:$A,Productos!AX:AX,"Revisar"),"")</f>
        <v/>
      </c>
      <c r="BF211" s="179" t="str">
        <f t="array" ref="BF211">IF($F211&lt;&gt;"", XLOOKUP($F211,Productos!$A$2:$A1001,Productos!AY$2:AY1001,"")*$G211,"")</f>
        <v/>
      </c>
      <c r="BG211" s="179" t="str">
        <f t="array" ref="BG211">IF($F211&lt;&gt;"",XLOOKUP($F211,Productos!$A:$A,Productos!AZ:AZ,"Revisar"),"")</f>
        <v/>
      </c>
      <c r="BH211" s="179" t="str">
        <f t="array" ref="BH211">IF($F211&lt;&gt;"", XLOOKUP($F211,Productos!$A$2:$A1001,Productos!BA$2:BA1001,"")*$G211,"")</f>
        <v/>
      </c>
      <c r="BI211" s="179" t="str">
        <f t="array" ref="BI211">IF($F211&lt;&gt;"",XLOOKUP($F211,Productos!$A:$A,Productos!BB:BB,"Revisar"),"")</f>
        <v/>
      </c>
      <c r="BJ211" s="179" t="str">
        <f t="array" ref="BJ211">IF($F211&lt;&gt;"", XLOOKUP($F211,Productos!$A$2:$A1001,Productos!BC$2:BC1001,"")*$G211,"")</f>
        <v/>
      </c>
      <c r="BK211" s="179" t="str">
        <f t="array" ref="BK211">IF($F211&lt;&gt;"",XLOOKUP($F211,Productos!$A:$A,Productos!BD:BD,"Revisar"),"")</f>
        <v/>
      </c>
      <c r="BL211" s="179" t="str">
        <f t="array" ref="BL211">IF($F211&lt;&gt;"", XLOOKUP($F211,Productos!$A$2:$A1001,Productos!BE$2:BE1001,"")*$G211,"")</f>
        <v/>
      </c>
      <c r="BM211" s="179" t="str">
        <f t="array" ref="BM211">IF($F211&lt;&gt;"",XLOOKUP($F211,Productos!$A:$A,Productos!BF:BF,"Revisar"),"")</f>
        <v/>
      </c>
      <c r="BN211" s="179" t="str">
        <f t="array" ref="BN211">IF($F211&lt;&gt;"", XLOOKUP($F211,Productos!$A$2:$A1001,Productos!BG$2:BG1001,"")*$G211,"")</f>
        <v/>
      </c>
      <c r="BO211" s="179" t="str">
        <f t="array" ref="BO211">IF($F211&lt;&gt;"",XLOOKUP($F211,Productos!$A:$A,Productos!BH:BH,"Revisar"),"")</f>
        <v/>
      </c>
      <c r="BP211" s="179" t="str">
        <f t="array" ref="BP211">IF($F211&lt;&gt;"", XLOOKUP($F211,Productos!$A$2:$A1001,Productos!BI$2:BI1001,"")*$G211,"")</f>
        <v/>
      </c>
      <c r="BQ211" s="179" t="str">
        <f t="array" ref="BQ211">IF($F211&lt;&gt;"",XLOOKUP($F211,Productos!$A:$A,Productos!BJ:BJ,"Revisar"),"")</f>
        <v/>
      </c>
      <c r="BR211" s="179" t="str">
        <f t="array" ref="BR211">IF($F211&lt;&gt;"", XLOOKUP($F211,Productos!$A$2:$A1001,Productos!BK$2:BK1001,"")*$G211,"")</f>
        <v/>
      </c>
      <c r="BS211" s="179" t="str">
        <f t="array" ref="BS211">IF($F211&lt;&gt;"",XLOOKUP($F211,Productos!$A:$A,Productos!BL:BL,"Revisar"),"")</f>
        <v/>
      </c>
      <c r="BT211" s="179" t="str">
        <f t="array" ref="BT211">IF($F211&lt;&gt;"", XLOOKUP($F211,Productos!$A$2:$A1001,Productos!BM$2:BM1001,"")*$G211,"")</f>
        <v/>
      </c>
      <c r="BU211" s="179" t="str">
        <f t="array" ref="BU211">IF($F211&lt;&gt;"",XLOOKUP($F211,Productos!$A:$A,Productos!BN:BN,"Revisar"),"")</f>
        <v/>
      </c>
      <c r="BV211" s="179" t="str">
        <f t="array" ref="BV211">IF($F211&lt;&gt;"", XLOOKUP($F211,Productos!$A$2:$A1001,Productos!BO$2:BO1001,"")*$G211,"")</f>
        <v/>
      </c>
      <c r="BW211" s="179" t="str">
        <f t="array" ref="BW211">IF($F211&lt;&gt;"",XLOOKUP($F211,Productos!$A:$A,Productos!BP:BP,"Revisar"),"")</f>
        <v/>
      </c>
      <c r="BX211" s="179" t="str">
        <f t="array" ref="BX211">IF($F211&lt;&gt;"", XLOOKUP($F211,Productos!$A$2:$A1001,Productos!BQ$2:BQ1001,"")*$G211,"")</f>
        <v/>
      </c>
      <c r="BY211" s="179" t="str">
        <f t="array" ref="BY211">IF($F211&lt;&gt;"",XLOOKUP($F211,Productos!$A:$A,Productos!BR:BR,"Revisar"),"")</f>
        <v/>
      </c>
      <c r="BZ211" s="179" t="str">
        <f t="array" ref="BZ211">IF($F211&lt;&gt;"", XLOOKUP($F211,Productos!$A$2:$A1001,Productos!BS$2:BS1001,"")*$G211,"")</f>
        <v/>
      </c>
    </row>
    <row r="212">
      <c r="A212" s="180"/>
      <c r="B212" s="181"/>
      <c r="C212" s="182"/>
      <c r="D212" s="182"/>
      <c r="E212" s="185"/>
      <c r="F212" s="186"/>
      <c r="G212" s="187"/>
      <c r="H212" s="186"/>
      <c r="I212" s="179" t="str">
        <f t="array" ref="I212">IF($F212&lt;&gt;"",XLOOKUP($F212,Productos!$A:$A,Productos!B:B,"Revisar"),"")</f>
        <v/>
      </c>
      <c r="J212" s="179" t="str">
        <f t="array" ref="J212">IF($F212&lt;&gt;"", XLOOKUP($F212,Productos!$A$2:$A1001,Productos!C$2:C1001,"")*$G212,"")</f>
        <v/>
      </c>
      <c r="K212" s="179" t="str">
        <f t="array" ref="K212">IF($F212&lt;&gt;"",XLOOKUP($F212,Productos!$A:$A,Productos!D:D,"Revisar"),"")</f>
        <v/>
      </c>
      <c r="L212" s="179" t="str">
        <f t="array" ref="L212">IF($F212&lt;&gt;"", XLOOKUP($F212,Productos!$A$2:$A1001,Productos!E$2:E1001,"")*$G212,"")</f>
        <v/>
      </c>
      <c r="M212" s="179" t="str">
        <f t="array" ref="M212">IF($F212&lt;&gt;"",XLOOKUP($F212,Productos!$A:$A,Productos!F:F,"Revisar"),"")</f>
        <v/>
      </c>
      <c r="N212" s="179" t="str">
        <f t="array" ref="N212">IF($F212&lt;&gt;"", XLOOKUP($F212,Productos!$A$2:$A1001,Productos!G$2:G1001,"")*$G212,"")</f>
        <v/>
      </c>
      <c r="O212" s="179" t="str">
        <f t="array" ref="O212">IF($F212&lt;&gt;"",XLOOKUP($F212,Productos!$A:$A,Productos!H:H,"Revisar"),"")</f>
        <v/>
      </c>
      <c r="P212" s="179" t="str">
        <f t="array" ref="P212">IF($F212&lt;&gt;"", XLOOKUP($F212,Productos!$A$2:$A1001,Productos!I$2:I1001,"")*$G212,"")</f>
        <v/>
      </c>
      <c r="Q212" s="179" t="str">
        <f t="array" ref="Q212">IF($F212&lt;&gt;"",XLOOKUP($F212,Productos!$A:$A,Productos!J:J,"Revisar"),"")</f>
        <v/>
      </c>
      <c r="R212" s="179" t="str">
        <f t="array" ref="R212">IF($F212&lt;&gt;"", XLOOKUP($F212,Productos!$A$2:$A1001,Productos!K$2:K1001,"")*$G212,"")</f>
        <v/>
      </c>
      <c r="S212" s="179" t="str">
        <f t="array" ref="S212">IF($F212&lt;&gt;"",XLOOKUP($F212,Productos!$A:$A,Productos!L:L,"Revisar"),"")</f>
        <v/>
      </c>
      <c r="T212" s="179" t="str">
        <f t="array" ref="T212">IF($F212&lt;&gt;"", XLOOKUP($F212,Productos!$A$2:$A1001,Productos!M$2:M1001,"")*$G212,"")</f>
        <v/>
      </c>
      <c r="U212" s="179" t="str">
        <f t="array" ref="U212">IF($F212&lt;&gt;"",XLOOKUP($F212,Productos!$A:$A,Productos!N:N,"Revisar"),"")</f>
        <v/>
      </c>
      <c r="V212" s="179" t="str">
        <f t="array" ref="V212">IF($F212&lt;&gt;"", XLOOKUP($F212,Productos!$A$2:$A1001,Productos!O$2:O1001,"")*$G212,"")</f>
        <v/>
      </c>
      <c r="W212" s="179" t="str">
        <f t="array" ref="W212">IF($F212&lt;&gt;"",XLOOKUP($F212,Productos!$A:$A,Productos!P:P,"Revisar"),"")</f>
        <v/>
      </c>
      <c r="X212" s="179" t="str">
        <f t="array" ref="X212">IF($F212&lt;&gt;"", XLOOKUP($F212,Productos!$A$2:$A1001,Productos!Q$2:Q1001,"")*$G212,"")</f>
        <v/>
      </c>
      <c r="Y212" s="179" t="str">
        <f t="array" ref="Y212">IF($F212&lt;&gt;"",XLOOKUP($F212,Productos!$A:$A,Productos!R:R,"Revisar"),"")</f>
        <v/>
      </c>
      <c r="Z212" s="179" t="str">
        <f t="array" ref="Z212">IF($F212&lt;&gt;"", XLOOKUP($F212,Productos!$A$2:$A1001,Productos!S$2:S1001,"")*$G212,"")</f>
        <v/>
      </c>
      <c r="AA212" s="179" t="str">
        <f t="array" ref="AA212">IF($F212&lt;&gt;"",XLOOKUP($F212,Productos!$A:$A,Productos!T:T,"Revisar"),"")</f>
        <v/>
      </c>
      <c r="AB212" s="179" t="str">
        <f t="array" ref="AB212">IF($F212&lt;&gt;"", XLOOKUP($F212,Productos!$A$2:$A1001,Productos!U$2:U1001,"")*$G212,"")</f>
        <v/>
      </c>
      <c r="AC212" s="179" t="str">
        <f t="array" ref="AC212">IF($F212&lt;&gt;"",XLOOKUP($F212,Productos!$A:$A,Productos!V:V,"Revisar"),"")</f>
        <v/>
      </c>
      <c r="AD212" s="179" t="str">
        <f t="array" ref="AD212">IF($F212&lt;&gt;"", XLOOKUP($F212,Productos!$A$2:$A1001,Productos!W$2:W1001,"")*$G212,"")</f>
        <v/>
      </c>
      <c r="AE212" s="179" t="str">
        <f t="array" ref="AE212">IF($F212&lt;&gt;"",XLOOKUP($F212,Productos!$A:$A,Productos!X:X,"Revisar"),"")</f>
        <v/>
      </c>
      <c r="AF212" s="179" t="str">
        <f t="array" ref="AF212">IF($F212&lt;&gt;"", XLOOKUP($F212,Productos!$A$2:$A1001,Productos!Y$2:Y1001,"")*$G212,"")</f>
        <v/>
      </c>
      <c r="AG212" s="179" t="str">
        <f t="array" ref="AG212">IF($F212&lt;&gt;"",XLOOKUP($F212,Productos!$A:$A,Productos!Z:Z,"Revisar"),"")</f>
        <v/>
      </c>
      <c r="AH212" s="179" t="str">
        <f t="array" ref="AH212">IF($F212&lt;&gt;"", XLOOKUP($F212,Productos!$A$2:$A1001,Productos!AA$2:AA1001,"")*$G212,"")</f>
        <v/>
      </c>
      <c r="AI212" s="179" t="str">
        <f t="array" ref="AI212">IF($F212&lt;&gt;"",XLOOKUP($F212,Productos!$A:$A,Productos!AB:AB,"Revisar"),"")</f>
        <v/>
      </c>
      <c r="AJ212" s="179" t="str">
        <f t="array" ref="AJ212">IF($F212&lt;&gt;"", XLOOKUP($F212,Productos!$A$2:$A1001,Productos!AC$2:AC1001,"")*$G212,"")</f>
        <v/>
      </c>
      <c r="AK212" s="179" t="str">
        <f t="array" ref="AK212">IF($F212&lt;&gt;"",XLOOKUP($F212,Productos!$A:$A,Productos!AD:AD,"Revisar"),"")</f>
        <v/>
      </c>
      <c r="AL212" s="179" t="str">
        <f t="array" ref="AL212">IF($F212&lt;&gt;"", XLOOKUP($F212,Productos!$A$2:$A1001,Productos!AE$2:AE1001,"")*$G212,"")</f>
        <v/>
      </c>
      <c r="AM212" s="179" t="str">
        <f t="array" ref="AM212">IF($F212&lt;&gt;"",XLOOKUP($F212,Productos!$A:$A,Productos!AF:AF,"Revisar"),"")</f>
        <v/>
      </c>
      <c r="AN212" s="179" t="str">
        <f t="array" ref="AN212">IF($F212&lt;&gt;"", XLOOKUP($F212,Productos!$A$2:$A1001,Productos!AG$2:AG1001,"")*$G212,"")</f>
        <v/>
      </c>
      <c r="AO212" s="179" t="str">
        <f t="array" ref="AO212">IF($F212&lt;&gt;"",XLOOKUP($F212,Productos!$A:$A,Productos!AH:AH,"Revisar"),"")</f>
        <v/>
      </c>
      <c r="AP212" s="179" t="str">
        <f t="array" ref="AP212">IF($F212&lt;&gt;"", XLOOKUP($F212,Productos!$A$2:$A1001,Productos!AI$2:AI1001,"")*$G212,"")</f>
        <v/>
      </c>
      <c r="AQ212" s="179" t="str">
        <f t="array" ref="AQ212">IF($F212&lt;&gt;"",XLOOKUP($F212,Productos!$A:$A,Productos!AJ:AJ,"Revisar"),"")</f>
        <v/>
      </c>
      <c r="AR212" s="179" t="str">
        <f t="array" ref="AR212">IF($F212&lt;&gt;"", XLOOKUP($F212,Productos!$A$2:$A1001,Productos!AK$2:AK1001,"")*$G212,"")</f>
        <v/>
      </c>
      <c r="AS212" s="179" t="str">
        <f t="array" ref="AS212">IF($F212&lt;&gt;"",XLOOKUP($F212,Productos!$A:$A,Productos!AL:AL,"Revisar"),"")</f>
        <v/>
      </c>
      <c r="AT212" s="179" t="str">
        <f t="array" ref="AT212">IF($F212&lt;&gt;"", XLOOKUP($F212,Productos!$A$2:$A1001,Productos!AM$2:AM1001,"")*$G212,"")</f>
        <v/>
      </c>
      <c r="AU212" s="179" t="str">
        <f t="array" ref="AU212">IF($F212&lt;&gt;"",XLOOKUP($F212,Productos!$A:$A,Productos!AN:AN,"Revisar"),"")</f>
        <v/>
      </c>
      <c r="AV212" s="179" t="str">
        <f t="array" ref="AV212">IF($F212&lt;&gt;"", XLOOKUP($F212,Productos!$A$2:$A1001,Productos!AO$2:AO1001,"")*$G212,"")</f>
        <v/>
      </c>
      <c r="AW212" s="179" t="str">
        <f t="array" ref="AW212">IF($F212&lt;&gt;"",XLOOKUP($F212,Productos!$A:$A,Productos!AP:AP,"Revisar"),"")</f>
        <v/>
      </c>
      <c r="AX212" s="179" t="str">
        <f t="array" ref="AX212">IF($F212&lt;&gt;"", XLOOKUP($F212,Productos!$A$2:$A1001,Productos!AQ$2:AQ1001,"")*$G212,"")</f>
        <v/>
      </c>
      <c r="AY212" s="179" t="str">
        <f t="array" ref="AY212">IF($F212&lt;&gt;"",XLOOKUP($F212,Productos!$A:$A,Productos!AR:AR,"Revisar"),"")</f>
        <v/>
      </c>
      <c r="AZ212" s="179" t="str">
        <f t="array" ref="AZ212">IF($F212&lt;&gt;"", XLOOKUP($F212,Productos!$A$2:$A1001,Productos!AS$2:AS1001,"")*$G212,"")</f>
        <v/>
      </c>
      <c r="BA212" s="179" t="str">
        <f t="array" ref="BA212">IF($F212&lt;&gt;"",XLOOKUP($F212,Productos!$A:$A,Productos!AT:AT,"Revisar"),"")</f>
        <v/>
      </c>
      <c r="BB212" s="179" t="str">
        <f t="array" ref="BB212">IF($F212&lt;&gt;"", XLOOKUP($F212,Productos!$A$2:$A1001,Productos!AU$2:AU1001,"")*$G212,"")</f>
        <v/>
      </c>
      <c r="BC212" s="179" t="str">
        <f t="array" ref="BC212">IF($F212&lt;&gt;"",XLOOKUP($F212,Productos!$A:$A,Productos!AV:AV,"Revisar"),"")</f>
        <v/>
      </c>
      <c r="BD212" s="179" t="str">
        <f t="array" ref="BD212">IF($F212&lt;&gt;"", XLOOKUP($F212,Productos!$A$2:$A1001,Productos!AW$2:AW1001,"")*$G212,"")</f>
        <v/>
      </c>
      <c r="BE212" s="179" t="str">
        <f t="array" ref="BE212">IF($F212&lt;&gt;"",XLOOKUP($F212,Productos!$A:$A,Productos!AX:AX,"Revisar"),"")</f>
        <v/>
      </c>
      <c r="BF212" s="179" t="str">
        <f t="array" ref="BF212">IF($F212&lt;&gt;"", XLOOKUP($F212,Productos!$A$2:$A1001,Productos!AY$2:AY1001,"")*$G212,"")</f>
        <v/>
      </c>
      <c r="BG212" s="179" t="str">
        <f t="array" ref="BG212">IF($F212&lt;&gt;"",XLOOKUP($F212,Productos!$A:$A,Productos!AZ:AZ,"Revisar"),"")</f>
        <v/>
      </c>
      <c r="BH212" s="179" t="str">
        <f t="array" ref="BH212">IF($F212&lt;&gt;"", XLOOKUP($F212,Productos!$A$2:$A1001,Productos!BA$2:BA1001,"")*$G212,"")</f>
        <v/>
      </c>
      <c r="BI212" s="179" t="str">
        <f t="array" ref="BI212">IF($F212&lt;&gt;"",XLOOKUP($F212,Productos!$A:$A,Productos!BB:BB,"Revisar"),"")</f>
        <v/>
      </c>
      <c r="BJ212" s="179" t="str">
        <f t="array" ref="BJ212">IF($F212&lt;&gt;"", XLOOKUP($F212,Productos!$A$2:$A1001,Productos!BC$2:BC1001,"")*$G212,"")</f>
        <v/>
      </c>
      <c r="BK212" s="179" t="str">
        <f t="array" ref="BK212">IF($F212&lt;&gt;"",XLOOKUP($F212,Productos!$A:$A,Productos!BD:BD,"Revisar"),"")</f>
        <v/>
      </c>
      <c r="BL212" s="179" t="str">
        <f t="array" ref="BL212">IF($F212&lt;&gt;"", XLOOKUP($F212,Productos!$A$2:$A1001,Productos!BE$2:BE1001,"")*$G212,"")</f>
        <v/>
      </c>
      <c r="BM212" s="179" t="str">
        <f t="array" ref="BM212">IF($F212&lt;&gt;"",XLOOKUP($F212,Productos!$A:$A,Productos!BF:BF,"Revisar"),"")</f>
        <v/>
      </c>
      <c r="BN212" s="179" t="str">
        <f t="array" ref="BN212">IF($F212&lt;&gt;"", XLOOKUP($F212,Productos!$A$2:$A1001,Productos!BG$2:BG1001,"")*$G212,"")</f>
        <v/>
      </c>
      <c r="BO212" s="179" t="str">
        <f t="array" ref="BO212">IF($F212&lt;&gt;"",XLOOKUP($F212,Productos!$A:$A,Productos!BH:BH,"Revisar"),"")</f>
        <v/>
      </c>
      <c r="BP212" s="179" t="str">
        <f t="array" ref="BP212">IF($F212&lt;&gt;"", XLOOKUP($F212,Productos!$A$2:$A1001,Productos!BI$2:BI1001,"")*$G212,"")</f>
        <v/>
      </c>
      <c r="BQ212" s="179" t="str">
        <f t="array" ref="BQ212">IF($F212&lt;&gt;"",XLOOKUP($F212,Productos!$A:$A,Productos!BJ:BJ,"Revisar"),"")</f>
        <v/>
      </c>
      <c r="BR212" s="179" t="str">
        <f t="array" ref="BR212">IF($F212&lt;&gt;"", XLOOKUP($F212,Productos!$A$2:$A1001,Productos!BK$2:BK1001,"")*$G212,"")</f>
        <v/>
      </c>
      <c r="BS212" s="179" t="str">
        <f t="array" ref="BS212">IF($F212&lt;&gt;"",XLOOKUP($F212,Productos!$A:$A,Productos!BL:BL,"Revisar"),"")</f>
        <v/>
      </c>
      <c r="BT212" s="179" t="str">
        <f t="array" ref="BT212">IF($F212&lt;&gt;"", XLOOKUP($F212,Productos!$A$2:$A1001,Productos!BM$2:BM1001,"")*$G212,"")</f>
        <v/>
      </c>
      <c r="BU212" s="179" t="str">
        <f t="array" ref="BU212">IF($F212&lt;&gt;"",XLOOKUP($F212,Productos!$A:$A,Productos!BN:BN,"Revisar"),"")</f>
        <v/>
      </c>
      <c r="BV212" s="179" t="str">
        <f t="array" ref="BV212">IF($F212&lt;&gt;"", XLOOKUP($F212,Productos!$A$2:$A1001,Productos!BO$2:BO1001,"")*$G212,"")</f>
        <v/>
      </c>
      <c r="BW212" s="179" t="str">
        <f t="array" ref="BW212">IF($F212&lt;&gt;"",XLOOKUP($F212,Productos!$A:$A,Productos!BP:BP,"Revisar"),"")</f>
        <v/>
      </c>
      <c r="BX212" s="179" t="str">
        <f t="array" ref="BX212">IF($F212&lt;&gt;"", XLOOKUP($F212,Productos!$A$2:$A1001,Productos!BQ$2:BQ1001,"")*$G212,"")</f>
        <v/>
      </c>
      <c r="BY212" s="179" t="str">
        <f t="array" ref="BY212">IF($F212&lt;&gt;"",XLOOKUP($F212,Productos!$A:$A,Productos!BR:BR,"Revisar"),"")</f>
        <v/>
      </c>
      <c r="BZ212" s="179" t="str">
        <f t="array" ref="BZ212">IF($F212&lt;&gt;"", XLOOKUP($F212,Productos!$A$2:$A1001,Productos!BS$2:BS1001,"")*$G212,"")</f>
        <v/>
      </c>
    </row>
    <row r="213">
      <c r="A213" s="180"/>
      <c r="B213" s="181"/>
      <c r="C213" s="182"/>
      <c r="D213" s="182"/>
      <c r="E213" s="185"/>
      <c r="F213" s="186"/>
      <c r="G213" s="187"/>
      <c r="H213" s="186"/>
      <c r="I213" s="179" t="str">
        <f t="array" ref="I213">IF($F213&lt;&gt;"",XLOOKUP($F213,Productos!$A:$A,Productos!B:B,"Revisar"),"")</f>
        <v/>
      </c>
      <c r="J213" s="179" t="str">
        <f t="array" ref="J213">IF($F213&lt;&gt;"", XLOOKUP($F213,Productos!$A$2:$A1001,Productos!C$2:C1001,"")*$G213,"")</f>
        <v/>
      </c>
      <c r="K213" s="179" t="str">
        <f t="array" ref="K213">IF($F213&lt;&gt;"",XLOOKUP($F213,Productos!$A:$A,Productos!D:D,"Revisar"),"")</f>
        <v/>
      </c>
      <c r="L213" s="179" t="str">
        <f t="array" ref="L213">IF($F213&lt;&gt;"", XLOOKUP($F213,Productos!$A$2:$A1001,Productos!E$2:E1001,"")*$G213,"")</f>
        <v/>
      </c>
      <c r="M213" s="179" t="str">
        <f t="array" ref="M213">IF($F213&lt;&gt;"",XLOOKUP($F213,Productos!$A:$A,Productos!F:F,"Revisar"),"")</f>
        <v/>
      </c>
      <c r="N213" s="179" t="str">
        <f t="array" ref="N213">IF($F213&lt;&gt;"", XLOOKUP($F213,Productos!$A$2:$A1001,Productos!G$2:G1001,"")*$G213,"")</f>
        <v/>
      </c>
      <c r="O213" s="179" t="str">
        <f t="array" ref="O213">IF($F213&lt;&gt;"",XLOOKUP($F213,Productos!$A:$A,Productos!H:H,"Revisar"),"")</f>
        <v/>
      </c>
      <c r="P213" s="179" t="str">
        <f t="array" ref="P213">IF($F213&lt;&gt;"", XLOOKUP($F213,Productos!$A$2:$A1001,Productos!I$2:I1001,"")*$G213,"")</f>
        <v/>
      </c>
      <c r="Q213" s="179" t="str">
        <f t="array" ref="Q213">IF($F213&lt;&gt;"",XLOOKUP($F213,Productos!$A:$A,Productos!J:J,"Revisar"),"")</f>
        <v/>
      </c>
      <c r="R213" s="179" t="str">
        <f t="array" ref="R213">IF($F213&lt;&gt;"", XLOOKUP($F213,Productos!$A$2:$A1001,Productos!K$2:K1001,"")*$G213,"")</f>
        <v/>
      </c>
      <c r="S213" s="179" t="str">
        <f t="array" ref="S213">IF($F213&lt;&gt;"",XLOOKUP($F213,Productos!$A:$A,Productos!L:L,"Revisar"),"")</f>
        <v/>
      </c>
      <c r="T213" s="179" t="str">
        <f t="array" ref="T213">IF($F213&lt;&gt;"", XLOOKUP($F213,Productos!$A$2:$A1001,Productos!M$2:M1001,"")*$G213,"")</f>
        <v/>
      </c>
      <c r="U213" s="179" t="str">
        <f t="array" ref="U213">IF($F213&lt;&gt;"",XLOOKUP($F213,Productos!$A:$A,Productos!N:N,"Revisar"),"")</f>
        <v/>
      </c>
      <c r="V213" s="179" t="str">
        <f t="array" ref="V213">IF($F213&lt;&gt;"", XLOOKUP($F213,Productos!$A$2:$A1001,Productos!O$2:O1001,"")*$G213,"")</f>
        <v/>
      </c>
      <c r="W213" s="179" t="str">
        <f t="array" ref="W213">IF($F213&lt;&gt;"",XLOOKUP($F213,Productos!$A:$A,Productos!P:P,"Revisar"),"")</f>
        <v/>
      </c>
      <c r="X213" s="179" t="str">
        <f t="array" ref="X213">IF($F213&lt;&gt;"", XLOOKUP($F213,Productos!$A$2:$A1001,Productos!Q$2:Q1001,"")*$G213,"")</f>
        <v/>
      </c>
      <c r="Y213" s="179" t="str">
        <f t="array" ref="Y213">IF($F213&lt;&gt;"",XLOOKUP($F213,Productos!$A:$A,Productos!R:R,"Revisar"),"")</f>
        <v/>
      </c>
      <c r="Z213" s="179" t="str">
        <f t="array" ref="Z213">IF($F213&lt;&gt;"", XLOOKUP($F213,Productos!$A$2:$A1001,Productos!S$2:S1001,"")*$G213,"")</f>
        <v/>
      </c>
      <c r="AA213" s="179" t="str">
        <f t="array" ref="AA213">IF($F213&lt;&gt;"",XLOOKUP($F213,Productos!$A:$A,Productos!T:T,"Revisar"),"")</f>
        <v/>
      </c>
      <c r="AB213" s="179" t="str">
        <f t="array" ref="AB213">IF($F213&lt;&gt;"", XLOOKUP($F213,Productos!$A$2:$A1001,Productos!U$2:U1001,"")*$G213,"")</f>
        <v/>
      </c>
      <c r="AC213" s="179" t="str">
        <f t="array" ref="AC213">IF($F213&lt;&gt;"",XLOOKUP($F213,Productos!$A:$A,Productos!V:V,"Revisar"),"")</f>
        <v/>
      </c>
      <c r="AD213" s="179" t="str">
        <f t="array" ref="AD213">IF($F213&lt;&gt;"", XLOOKUP($F213,Productos!$A$2:$A1001,Productos!W$2:W1001,"")*$G213,"")</f>
        <v/>
      </c>
      <c r="AE213" s="179" t="str">
        <f t="array" ref="AE213">IF($F213&lt;&gt;"",XLOOKUP($F213,Productos!$A:$A,Productos!X:X,"Revisar"),"")</f>
        <v/>
      </c>
      <c r="AF213" s="179" t="str">
        <f t="array" ref="AF213">IF($F213&lt;&gt;"", XLOOKUP($F213,Productos!$A$2:$A1001,Productos!Y$2:Y1001,"")*$G213,"")</f>
        <v/>
      </c>
      <c r="AG213" s="179" t="str">
        <f t="array" ref="AG213">IF($F213&lt;&gt;"",XLOOKUP($F213,Productos!$A:$A,Productos!Z:Z,"Revisar"),"")</f>
        <v/>
      </c>
      <c r="AH213" s="179" t="str">
        <f t="array" ref="AH213">IF($F213&lt;&gt;"", XLOOKUP($F213,Productos!$A$2:$A1001,Productos!AA$2:AA1001,"")*$G213,"")</f>
        <v/>
      </c>
      <c r="AI213" s="179" t="str">
        <f t="array" ref="AI213">IF($F213&lt;&gt;"",XLOOKUP($F213,Productos!$A:$A,Productos!AB:AB,"Revisar"),"")</f>
        <v/>
      </c>
      <c r="AJ213" s="179" t="str">
        <f t="array" ref="AJ213">IF($F213&lt;&gt;"", XLOOKUP($F213,Productos!$A$2:$A1001,Productos!AC$2:AC1001,"")*$G213,"")</f>
        <v/>
      </c>
      <c r="AK213" s="179" t="str">
        <f t="array" ref="AK213">IF($F213&lt;&gt;"",XLOOKUP($F213,Productos!$A:$A,Productos!AD:AD,"Revisar"),"")</f>
        <v/>
      </c>
      <c r="AL213" s="179" t="str">
        <f t="array" ref="AL213">IF($F213&lt;&gt;"", XLOOKUP($F213,Productos!$A$2:$A1001,Productos!AE$2:AE1001,"")*$G213,"")</f>
        <v/>
      </c>
      <c r="AM213" s="179" t="str">
        <f t="array" ref="AM213">IF($F213&lt;&gt;"",XLOOKUP($F213,Productos!$A:$A,Productos!AF:AF,"Revisar"),"")</f>
        <v/>
      </c>
      <c r="AN213" s="179" t="str">
        <f t="array" ref="AN213">IF($F213&lt;&gt;"", XLOOKUP($F213,Productos!$A$2:$A1001,Productos!AG$2:AG1001,"")*$G213,"")</f>
        <v/>
      </c>
      <c r="AO213" s="179" t="str">
        <f t="array" ref="AO213">IF($F213&lt;&gt;"",XLOOKUP($F213,Productos!$A:$A,Productos!AH:AH,"Revisar"),"")</f>
        <v/>
      </c>
      <c r="AP213" s="179" t="str">
        <f t="array" ref="AP213">IF($F213&lt;&gt;"", XLOOKUP($F213,Productos!$A$2:$A1001,Productos!AI$2:AI1001,"")*$G213,"")</f>
        <v/>
      </c>
      <c r="AQ213" s="179" t="str">
        <f t="array" ref="AQ213">IF($F213&lt;&gt;"",XLOOKUP($F213,Productos!$A:$A,Productos!AJ:AJ,"Revisar"),"")</f>
        <v/>
      </c>
      <c r="AR213" s="179" t="str">
        <f t="array" ref="AR213">IF($F213&lt;&gt;"", XLOOKUP($F213,Productos!$A$2:$A1001,Productos!AK$2:AK1001,"")*$G213,"")</f>
        <v/>
      </c>
      <c r="AS213" s="179" t="str">
        <f t="array" ref="AS213">IF($F213&lt;&gt;"",XLOOKUP($F213,Productos!$A:$A,Productos!AL:AL,"Revisar"),"")</f>
        <v/>
      </c>
      <c r="AT213" s="179" t="str">
        <f t="array" ref="AT213">IF($F213&lt;&gt;"", XLOOKUP($F213,Productos!$A$2:$A1001,Productos!AM$2:AM1001,"")*$G213,"")</f>
        <v/>
      </c>
      <c r="AU213" s="179" t="str">
        <f t="array" ref="AU213">IF($F213&lt;&gt;"",XLOOKUP($F213,Productos!$A:$A,Productos!AN:AN,"Revisar"),"")</f>
        <v/>
      </c>
      <c r="AV213" s="179" t="str">
        <f t="array" ref="AV213">IF($F213&lt;&gt;"", XLOOKUP($F213,Productos!$A$2:$A1001,Productos!AO$2:AO1001,"")*$G213,"")</f>
        <v/>
      </c>
      <c r="AW213" s="179" t="str">
        <f t="array" ref="AW213">IF($F213&lt;&gt;"",XLOOKUP($F213,Productos!$A:$A,Productos!AP:AP,"Revisar"),"")</f>
        <v/>
      </c>
      <c r="AX213" s="179" t="str">
        <f t="array" ref="AX213">IF($F213&lt;&gt;"", XLOOKUP($F213,Productos!$A$2:$A1001,Productos!AQ$2:AQ1001,"")*$G213,"")</f>
        <v/>
      </c>
      <c r="AY213" s="179" t="str">
        <f t="array" ref="AY213">IF($F213&lt;&gt;"",XLOOKUP($F213,Productos!$A:$A,Productos!AR:AR,"Revisar"),"")</f>
        <v/>
      </c>
      <c r="AZ213" s="179" t="str">
        <f t="array" ref="AZ213">IF($F213&lt;&gt;"", XLOOKUP($F213,Productos!$A$2:$A1001,Productos!AS$2:AS1001,"")*$G213,"")</f>
        <v/>
      </c>
      <c r="BA213" s="179" t="str">
        <f t="array" ref="BA213">IF($F213&lt;&gt;"",XLOOKUP($F213,Productos!$A:$A,Productos!AT:AT,"Revisar"),"")</f>
        <v/>
      </c>
      <c r="BB213" s="179" t="str">
        <f t="array" ref="BB213">IF($F213&lt;&gt;"", XLOOKUP($F213,Productos!$A$2:$A1001,Productos!AU$2:AU1001,"")*$G213,"")</f>
        <v/>
      </c>
      <c r="BC213" s="179" t="str">
        <f t="array" ref="BC213">IF($F213&lt;&gt;"",XLOOKUP($F213,Productos!$A:$A,Productos!AV:AV,"Revisar"),"")</f>
        <v/>
      </c>
      <c r="BD213" s="179" t="str">
        <f t="array" ref="BD213">IF($F213&lt;&gt;"", XLOOKUP($F213,Productos!$A$2:$A1001,Productos!AW$2:AW1001,"")*$G213,"")</f>
        <v/>
      </c>
      <c r="BE213" s="179" t="str">
        <f t="array" ref="BE213">IF($F213&lt;&gt;"",XLOOKUP($F213,Productos!$A:$A,Productos!AX:AX,"Revisar"),"")</f>
        <v/>
      </c>
      <c r="BF213" s="179" t="str">
        <f t="array" ref="BF213">IF($F213&lt;&gt;"", XLOOKUP($F213,Productos!$A$2:$A1001,Productos!AY$2:AY1001,"")*$G213,"")</f>
        <v/>
      </c>
      <c r="BG213" s="179" t="str">
        <f t="array" ref="BG213">IF($F213&lt;&gt;"",XLOOKUP($F213,Productos!$A:$A,Productos!AZ:AZ,"Revisar"),"")</f>
        <v/>
      </c>
      <c r="BH213" s="179" t="str">
        <f t="array" ref="BH213">IF($F213&lt;&gt;"", XLOOKUP($F213,Productos!$A$2:$A1001,Productos!BA$2:BA1001,"")*$G213,"")</f>
        <v/>
      </c>
      <c r="BI213" s="179" t="str">
        <f t="array" ref="BI213">IF($F213&lt;&gt;"",XLOOKUP($F213,Productos!$A:$A,Productos!BB:BB,"Revisar"),"")</f>
        <v/>
      </c>
      <c r="BJ213" s="179" t="str">
        <f t="array" ref="BJ213">IF($F213&lt;&gt;"", XLOOKUP($F213,Productos!$A$2:$A1001,Productos!BC$2:BC1001,"")*$G213,"")</f>
        <v/>
      </c>
      <c r="BK213" s="179" t="str">
        <f t="array" ref="BK213">IF($F213&lt;&gt;"",XLOOKUP($F213,Productos!$A:$A,Productos!BD:BD,"Revisar"),"")</f>
        <v/>
      </c>
      <c r="BL213" s="179" t="str">
        <f t="array" ref="BL213">IF($F213&lt;&gt;"", XLOOKUP($F213,Productos!$A$2:$A1001,Productos!BE$2:BE1001,"")*$G213,"")</f>
        <v/>
      </c>
      <c r="BM213" s="179" t="str">
        <f t="array" ref="BM213">IF($F213&lt;&gt;"",XLOOKUP($F213,Productos!$A:$A,Productos!BF:BF,"Revisar"),"")</f>
        <v/>
      </c>
      <c r="BN213" s="179" t="str">
        <f t="array" ref="BN213">IF($F213&lt;&gt;"", XLOOKUP($F213,Productos!$A$2:$A1001,Productos!BG$2:BG1001,"")*$G213,"")</f>
        <v/>
      </c>
      <c r="BO213" s="179" t="str">
        <f t="array" ref="BO213">IF($F213&lt;&gt;"",XLOOKUP($F213,Productos!$A:$A,Productos!BH:BH,"Revisar"),"")</f>
        <v/>
      </c>
      <c r="BP213" s="179" t="str">
        <f t="array" ref="BP213">IF($F213&lt;&gt;"", XLOOKUP($F213,Productos!$A$2:$A1001,Productos!BI$2:BI1001,"")*$G213,"")</f>
        <v/>
      </c>
      <c r="BQ213" s="179" t="str">
        <f t="array" ref="BQ213">IF($F213&lt;&gt;"",XLOOKUP($F213,Productos!$A:$A,Productos!BJ:BJ,"Revisar"),"")</f>
        <v/>
      </c>
      <c r="BR213" s="179" t="str">
        <f t="array" ref="BR213">IF($F213&lt;&gt;"", XLOOKUP($F213,Productos!$A$2:$A1001,Productos!BK$2:BK1001,"")*$G213,"")</f>
        <v/>
      </c>
      <c r="BS213" s="179" t="str">
        <f t="array" ref="BS213">IF($F213&lt;&gt;"",XLOOKUP($F213,Productos!$A:$A,Productos!BL:BL,"Revisar"),"")</f>
        <v/>
      </c>
      <c r="BT213" s="179" t="str">
        <f t="array" ref="BT213">IF($F213&lt;&gt;"", XLOOKUP($F213,Productos!$A$2:$A1001,Productos!BM$2:BM1001,"")*$G213,"")</f>
        <v/>
      </c>
      <c r="BU213" s="179" t="str">
        <f t="array" ref="BU213">IF($F213&lt;&gt;"",XLOOKUP($F213,Productos!$A:$A,Productos!BN:BN,"Revisar"),"")</f>
        <v/>
      </c>
      <c r="BV213" s="179" t="str">
        <f t="array" ref="BV213">IF($F213&lt;&gt;"", XLOOKUP($F213,Productos!$A$2:$A1001,Productos!BO$2:BO1001,"")*$G213,"")</f>
        <v/>
      </c>
      <c r="BW213" s="179" t="str">
        <f t="array" ref="BW213">IF($F213&lt;&gt;"",XLOOKUP($F213,Productos!$A:$A,Productos!BP:BP,"Revisar"),"")</f>
        <v/>
      </c>
      <c r="BX213" s="179" t="str">
        <f t="array" ref="BX213">IF($F213&lt;&gt;"", XLOOKUP($F213,Productos!$A$2:$A1001,Productos!BQ$2:BQ1001,"")*$G213,"")</f>
        <v/>
      </c>
      <c r="BY213" s="179" t="str">
        <f t="array" ref="BY213">IF($F213&lt;&gt;"",XLOOKUP($F213,Productos!$A:$A,Productos!BR:BR,"Revisar"),"")</f>
        <v/>
      </c>
      <c r="BZ213" s="179" t="str">
        <f t="array" ref="BZ213">IF($F213&lt;&gt;"", XLOOKUP($F213,Productos!$A$2:$A1001,Productos!BS$2:BS1001,"")*$G213,"")</f>
        <v/>
      </c>
    </row>
    <row r="214">
      <c r="A214" s="180"/>
      <c r="B214" s="181"/>
      <c r="C214" s="182"/>
      <c r="D214" s="182"/>
      <c r="E214" s="185"/>
      <c r="F214" s="186"/>
      <c r="G214" s="187"/>
      <c r="H214" s="186"/>
      <c r="I214" s="179" t="str">
        <f t="array" ref="I214">IF($F214&lt;&gt;"",XLOOKUP($F214,Productos!$A:$A,Productos!B:B,"Revisar"),"")</f>
        <v/>
      </c>
      <c r="J214" s="179" t="str">
        <f t="array" ref="J214">IF($F214&lt;&gt;"", XLOOKUP($F214,Productos!$A$2:$A1001,Productos!C$2:C1001,"")*$G214,"")</f>
        <v/>
      </c>
      <c r="K214" s="179" t="str">
        <f t="array" ref="K214">IF($F214&lt;&gt;"",XLOOKUP($F214,Productos!$A:$A,Productos!D:D,"Revisar"),"")</f>
        <v/>
      </c>
      <c r="L214" s="179" t="str">
        <f t="array" ref="L214">IF($F214&lt;&gt;"", XLOOKUP($F214,Productos!$A$2:$A1001,Productos!E$2:E1001,"")*$G214,"")</f>
        <v/>
      </c>
      <c r="M214" s="179" t="str">
        <f t="array" ref="M214">IF($F214&lt;&gt;"",XLOOKUP($F214,Productos!$A:$A,Productos!F:F,"Revisar"),"")</f>
        <v/>
      </c>
      <c r="N214" s="179" t="str">
        <f t="array" ref="N214">IF($F214&lt;&gt;"", XLOOKUP($F214,Productos!$A$2:$A1001,Productos!G$2:G1001,"")*$G214,"")</f>
        <v/>
      </c>
      <c r="O214" s="179" t="str">
        <f t="array" ref="O214">IF($F214&lt;&gt;"",XLOOKUP($F214,Productos!$A:$A,Productos!H:H,"Revisar"),"")</f>
        <v/>
      </c>
      <c r="P214" s="179" t="str">
        <f t="array" ref="P214">IF($F214&lt;&gt;"", XLOOKUP($F214,Productos!$A$2:$A1001,Productos!I$2:I1001,"")*$G214,"")</f>
        <v/>
      </c>
      <c r="Q214" s="179" t="str">
        <f t="array" ref="Q214">IF($F214&lt;&gt;"",XLOOKUP($F214,Productos!$A:$A,Productos!J:J,"Revisar"),"")</f>
        <v/>
      </c>
      <c r="R214" s="179" t="str">
        <f t="array" ref="R214">IF($F214&lt;&gt;"", XLOOKUP($F214,Productos!$A$2:$A1001,Productos!K$2:K1001,"")*$G214,"")</f>
        <v/>
      </c>
      <c r="S214" s="179" t="str">
        <f t="array" ref="S214">IF($F214&lt;&gt;"",XLOOKUP($F214,Productos!$A:$A,Productos!L:L,"Revisar"),"")</f>
        <v/>
      </c>
      <c r="T214" s="179" t="str">
        <f t="array" ref="T214">IF($F214&lt;&gt;"", XLOOKUP($F214,Productos!$A$2:$A1001,Productos!M$2:M1001,"")*$G214,"")</f>
        <v/>
      </c>
      <c r="U214" s="179" t="str">
        <f t="array" ref="U214">IF($F214&lt;&gt;"",XLOOKUP($F214,Productos!$A:$A,Productos!N:N,"Revisar"),"")</f>
        <v/>
      </c>
      <c r="V214" s="179" t="str">
        <f t="array" ref="V214">IF($F214&lt;&gt;"", XLOOKUP($F214,Productos!$A$2:$A1001,Productos!O$2:O1001,"")*$G214,"")</f>
        <v/>
      </c>
      <c r="W214" s="179" t="str">
        <f t="array" ref="W214">IF($F214&lt;&gt;"",XLOOKUP($F214,Productos!$A:$A,Productos!P:P,"Revisar"),"")</f>
        <v/>
      </c>
      <c r="X214" s="179" t="str">
        <f t="array" ref="X214">IF($F214&lt;&gt;"", XLOOKUP($F214,Productos!$A$2:$A1001,Productos!Q$2:Q1001,"")*$G214,"")</f>
        <v/>
      </c>
      <c r="Y214" s="179" t="str">
        <f t="array" ref="Y214">IF($F214&lt;&gt;"",XLOOKUP($F214,Productos!$A:$A,Productos!R:R,"Revisar"),"")</f>
        <v/>
      </c>
      <c r="Z214" s="179" t="str">
        <f t="array" ref="Z214">IF($F214&lt;&gt;"", XLOOKUP($F214,Productos!$A$2:$A1001,Productos!S$2:S1001,"")*$G214,"")</f>
        <v/>
      </c>
      <c r="AA214" s="179" t="str">
        <f t="array" ref="AA214">IF($F214&lt;&gt;"",XLOOKUP($F214,Productos!$A:$A,Productos!T:T,"Revisar"),"")</f>
        <v/>
      </c>
      <c r="AB214" s="179" t="str">
        <f t="array" ref="AB214">IF($F214&lt;&gt;"", XLOOKUP($F214,Productos!$A$2:$A1001,Productos!U$2:U1001,"")*$G214,"")</f>
        <v/>
      </c>
      <c r="AC214" s="179" t="str">
        <f t="array" ref="AC214">IF($F214&lt;&gt;"",XLOOKUP($F214,Productos!$A:$A,Productos!V:V,"Revisar"),"")</f>
        <v/>
      </c>
      <c r="AD214" s="179" t="str">
        <f t="array" ref="AD214">IF($F214&lt;&gt;"", XLOOKUP($F214,Productos!$A$2:$A1001,Productos!W$2:W1001,"")*$G214,"")</f>
        <v/>
      </c>
      <c r="AE214" s="179" t="str">
        <f t="array" ref="AE214">IF($F214&lt;&gt;"",XLOOKUP($F214,Productos!$A:$A,Productos!X:X,"Revisar"),"")</f>
        <v/>
      </c>
      <c r="AF214" s="179" t="str">
        <f t="array" ref="AF214">IF($F214&lt;&gt;"", XLOOKUP($F214,Productos!$A$2:$A1001,Productos!Y$2:Y1001,"")*$G214,"")</f>
        <v/>
      </c>
      <c r="AG214" s="179" t="str">
        <f t="array" ref="AG214">IF($F214&lt;&gt;"",XLOOKUP($F214,Productos!$A:$A,Productos!Z:Z,"Revisar"),"")</f>
        <v/>
      </c>
      <c r="AH214" s="179" t="str">
        <f t="array" ref="AH214">IF($F214&lt;&gt;"", XLOOKUP($F214,Productos!$A$2:$A1001,Productos!AA$2:AA1001,"")*$G214,"")</f>
        <v/>
      </c>
      <c r="AI214" s="179" t="str">
        <f t="array" ref="AI214">IF($F214&lt;&gt;"",XLOOKUP($F214,Productos!$A:$A,Productos!AB:AB,"Revisar"),"")</f>
        <v/>
      </c>
      <c r="AJ214" s="179" t="str">
        <f t="array" ref="AJ214">IF($F214&lt;&gt;"", XLOOKUP($F214,Productos!$A$2:$A1001,Productos!AC$2:AC1001,"")*$G214,"")</f>
        <v/>
      </c>
      <c r="AK214" s="179" t="str">
        <f t="array" ref="AK214">IF($F214&lt;&gt;"",XLOOKUP($F214,Productos!$A:$A,Productos!AD:AD,"Revisar"),"")</f>
        <v/>
      </c>
      <c r="AL214" s="179" t="str">
        <f t="array" ref="AL214">IF($F214&lt;&gt;"", XLOOKUP($F214,Productos!$A$2:$A1001,Productos!AE$2:AE1001,"")*$G214,"")</f>
        <v/>
      </c>
      <c r="AM214" s="179" t="str">
        <f t="array" ref="AM214">IF($F214&lt;&gt;"",XLOOKUP($F214,Productos!$A:$A,Productos!AF:AF,"Revisar"),"")</f>
        <v/>
      </c>
      <c r="AN214" s="179" t="str">
        <f t="array" ref="AN214">IF($F214&lt;&gt;"", XLOOKUP($F214,Productos!$A$2:$A1001,Productos!AG$2:AG1001,"")*$G214,"")</f>
        <v/>
      </c>
      <c r="AO214" s="179" t="str">
        <f t="array" ref="AO214">IF($F214&lt;&gt;"",XLOOKUP($F214,Productos!$A:$A,Productos!AH:AH,"Revisar"),"")</f>
        <v/>
      </c>
      <c r="AP214" s="179" t="str">
        <f t="array" ref="AP214">IF($F214&lt;&gt;"", XLOOKUP($F214,Productos!$A$2:$A1001,Productos!AI$2:AI1001,"")*$G214,"")</f>
        <v/>
      </c>
      <c r="AQ214" s="179" t="str">
        <f t="array" ref="AQ214">IF($F214&lt;&gt;"",XLOOKUP($F214,Productos!$A:$A,Productos!AJ:AJ,"Revisar"),"")</f>
        <v/>
      </c>
      <c r="AR214" s="179" t="str">
        <f t="array" ref="AR214">IF($F214&lt;&gt;"", XLOOKUP($F214,Productos!$A$2:$A1001,Productos!AK$2:AK1001,"")*$G214,"")</f>
        <v/>
      </c>
      <c r="AS214" s="179" t="str">
        <f t="array" ref="AS214">IF($F214&lt;&gt;"",XLOOKUP($F214,Productos!$A:$A,Productos!AL:AL,"Revisar"),"")</f>
        <v/>
      </c>
      <c r="AT214" s="179" t="str">
        <f t="array" ref="AT214">IF($F214&lt;&gt;"", XLOOKUP($F214,Productos!$A$2:$A1001,Productos!AM$2:AM1001,"")*$G214,"")</f>
        <v/>
      </c>
      <c r="AU214" s="179" t="str">
        <f t="array" ref="AU214">IF($F214&lt;&gt;"",XLOOKUP($F214,Productos!$A:$A,Productos!AN:AN,"Revisar"),"")</f>
        <v/>
      </c>
      <c r="AV214" s="179" t="str">
        <f t="array" ref="AV214">IF($F214&lt;&gt;"", XLOOKUP($F214,Productos!$A$2:$A1001,Productos!AO$2:AO1001,"")*$G214,"")</f>
        <v/>
      </c>
      <c r="AW214" s="179" t="str">
        <f t="array" ref="AW214">IF($F214&lt;&gt;"",XLOOKUP($F214,Productos!$A:$A,Productos!AP:AP,"Revisar"),"")</f>
        <v/>
      </c>
      <c r="AX214" s="179" t="str">
        <f t="array" ref="AX214">IF($F214&lt;&gt;"", XLOOKUP($F214,Productos!$A$2:$A1001,Productos!AQ$2:AQ1001,"")*$G214,"")</f>
        <v/>
      </c>
      <c r="AY214" s="179" t="str">
        <f t="array" ref="AY214">IF($F214&lt;&gt;"",XLOOKUP($F214,Productos!$A:$A,Productos!AR:AR,"Revisar"),"")</f>
        <v/>
      </c>
      <c r="AZ214" s="179" t="str">
        <f t="array" ref="AZ214">IF($F214&lt;&gt;"", XLOOKUP($F214,Productos!$A$2:$A1001,Productos!AS$2:AS1001,"")*$G214,"")</f>
        <v/>
      </c>
      <c r="BA214" s="179" t="str">
        <f t="array" ref="BA214">IF($F214&lt;&gt;"",XLOOKUP($F214,Productos!$A:$A,Productos!AT:AT,"Revisar"),"")</f>
        <v/>
      </c>
      <c r="BB214" s="179" t="str">
        <f t="array" ref="BB214">IF($F214&lt;&gt;"", XLOOKUP($F214,Productos!$A$2:$A1001,Productos!AU$2:AU1001,"")*$G214,"")</f>
        <v/>
      </c>
      <c r="BC214" s="179" t="str">
        <f t="array" ref="BC214">IF($F214&lt;&gt;"",XLOOKUP($F214,Productos!$A:$A,Productos!AV:AV,"Revisar"),"")</f>
        <v/>
      </c>
      <c r="BD214" s="179" t="str">
        <f t="array" ref="BD214">IF($F214&lt;&gt;"", XLOOKUP($F214,Productos!$A$2:$A1001,Productos!AW$2:AW1001,"")*$G214,"")</f>
        <v/>
      </c>
      <c r="BE214" s="179" t="str">
        <f t="array" ref="BE214">IF($F214&lt;&gt;"",XLOOKUP($F214,Productos!$A:$A,Productos!AX:AX,"Revisar"),"")</f>
        <v/>
      </c>
      <c r="BF214" s="179" t="str">
        <f t="array" ref="BF214">IF($F214&lt;&gt;"", XLOOKUP($F214,Productos!$A$2:$A1001,Productos!AY$2:AY1001,"")*$G214,"")</f>
        <v/>
      </c>
      <c r="BG214" s="179" t="str">
        <f t="array" ref="BG214">IF($F214&lt;&gt;"",XLOOKUP($F214,Productos!$A:$A,Productos!AZ:AZ,"Revisar"),"")</f>
        <v/>
      </c>
      <c r="BH214" s="179" t="str">
        <f t="array" ref="BH214">IF($F214&lt;&gt;"", XLOOKUP($F214,Productos!$A$2:$A1001,Productos!BA$2:BA1001,"")*$G214,"")</f>
        <v/>
      </c>
      <c r="BI214" s="179" t="str">
        <f t="array" ref="BI214">IF($F214&lt;&gt;"",XLOOKUP($F214,Productos!$A:$A,Productos!BB:BB,"Revisar"),"")</f>
        <v/>
      </c>
      <c r="BJ214" s="179" t="str">
        <f t="array" ref="BJ214">IF($F214&lt;&gt;"", XLOOKUP($F214,Productos!$A$2:$A1001,Productos!BC$2:BC1001,"")*$G214,"")</f>
        <v/>
      </c>
      <c r="BK214" s="179" t="str">
        <f t="array" ref="BK214">IF($F214&lt;&gt;"",XLOOKUP($F214,Productos!$A:$A,Productos!BD:BD,"Revisar"),"")</f>
        <v/>
      </c>
      <c r="BL214" s="179" t="str">
        <f t="array" ref="BL214">IF($F214&lt;&gt;"", XLOOKUP($F214,Productos!$A$2:$A1001,Productos!BE$2:BE1001,"")*$G214,"")</f>
        <v/>
      </c>
      <c r="BM214" s="179" t="str">
        <f t="array" ref="BM214">IF($F214&lt;&gt;"",XLOOKUP($F214,Productos!$A:$A,Productos!BF:BF,"Revisar"),"")</f>
        <v/>
      </c>
      <c r="BN214" s="179" t="str">
        <f t="array" ref="BN214">IF($F214&lt;&gt;"", XLOOKUP($F214,Productos!$A$2:$A1001,Productos!BG$2:BG1001,"")*$G214,"")</f>
        <v/>
      </c>
      <c r="BO214" s="179" t="str">
        <f t="array" ref="BO214">IF($F214&lt;&gt;"",XLOOKUP($F214,Productos!$A:$A,Productos!BH:BH,"Revisar"),"")</f>
        <v/>
      </c>
      <c r="BP214" s="179" t="str">
        <f t="array" ref="BP214">IF($F214&lt;&gt;"", XLOOKUP($F214,Productos!$A$2:$A1001,Productos!BI$2:BI1001,"")*$G214,"")</f>
        <v/>
      </c>
      <c r="BQ214" s="179" t="str">
        <f t="array" ref="BQ214">IF($F214&lt;&gt;"",XLOOKUP($F214,Productos!$A:$A,Productos!BJ:BJ,"Revisar"),"")</f>
        <v/>
      </c>
      <c r="BR214" s="179" t="str">
        <f t="array" ref="BR214">IF($F214&lt;&gt;"", XLOOKUP($F214,Productos!$A$2:$A1001,Productos!BK$2:BK1001,"")*$G214,"")</f>
        <v/>
      </c>
      <c r="BS214" s="179" t="str">
        <f t="array" ref="BS214">IF($F214&lt;&gt;"",XLOOKUP($F214,Productos!$A:$A,Productos!BL:BL,"Revisar"),"")</f>
        <v/>
      </c>
      <c r="BT214" s="179" t="str">
        <f t="array" ref="BT214">IF($F214&lt;&gt;"", XLOOKUP($F214,Productos!$A$2:$A1001,Productos!BM$2:BM1001,"")*$G214,"")</f>
        <v/>
      </c>
      <c r="BU214" s="179" t="str">
        <f t="array" ref="BU214">IF($F214&lt;&gt;"",XLOOKUP($F214,Productos!$A:$A,Productos!BN:BN,"Revisar"),"")</f>
        <v/>
      </c>
      <c r="BV214" s="179" t="str">
        <f t="array" ref="BV214">IF($F214&lt;&gt;"", XLOOKUP($F214,Productos!$A$2:$A1001,Productos!BO$2:BO1001,"")*$G214,"")</f>
        <v/>
      </c>
      <c r="BW214" s="179" t="str">
        <f t="array" ref="BW214">IF($F214&lt;&gt;"",XLOOKUP($F214,Productos!$A:$A,Productos!BP:BP,"Revisar"),"")</f>
        <v/>
      </c>
      <c r="BX214" s="179" t="str">
        <f t="array" ref="BX214">IF($F214&lt;&gt;"", XLOOKUP($F214,Productos!$A$2:$A1001,Productos!BQ$2:BQ1001,"")*$G214,"")</f>
        <v/>
      </c>
      <c r="BY214" s="179" t="str">
        <f t="array" ref="BY214">IF($F214&lt;&gt;"",XLOOKUP($F214,Productos!$A:$A,Productos!BR:BR,"Revisar"),"")</f>
        <v/>
      </c>
      <c r="BZ214" s="179" t="str">
        <f t="array" ref="BZ214">IF($F214&lt;&gt;"", XLOOKUP($F214,Productos!$A$2:$A1001,Productos!BS$2:BS1001,"")*$G214,"")</f>
        <v/>
      </c>
    </row>
    <row r="215">
      <c r="A215" s="180"/>
      <c r="B215" s="181"/>
      <c r="C215" s="182"/>
      <c r="D215" s="182"/>
      <c r="E215" s="185"/>
      <c r="F215" s="186"/>
      <c r="G215" s="187"/>
      <c r="H215" s="186"/>
      <c r="I215" s="179" t="str">
        <f t="array" ref="I215">IF($F215&lt;&gt;"",XLOOKUP($F215,Productos!$A:$A,Productos!B:B,"Revisar"),"")</f>
        <v/>
      </c>
      <c r="J215" s="179" t="str">
        <f t="array" ref="J215">IF($F215&lt;&gt;"", XLOOKUP($F215,Productos!$A$2:$A1001,Productos!C$2:C1001,"")*$G215,"")</f>
        <v/>
      </c>
      <c r="K215" s="179" t="str">
        <f t="array" ref="K215">IF($F215&lt;&gt;"",XLOOKUP($F215,Productos!$A:$A,Productos!D:D,"Revisar"),"")</f>
        <v/>
      </c>
      <c r="L215" s="179" t="str">
        <f t="array" ref="L215">IF($F215&lt;&gt;"", XLOOKUP($F215,Productos!$A$2:$A1001,Productos!E$2:E1001,"")*$G215,"")</f>
        <v/>
      </c>
      <c r="M215" s="179" t="str">
        <f t="array" ref="M215">IF($F215&lt;&gt;"",XLOOKUP($F215,Productos!$A:$A,Productos!F:F,"Revisar"),"")</f>
        <v/>
      </c>
      <c r="N215" s="179" t="str">
        <f t="array" ref="N215">IF($F215&lt;&gt;"", XLOOKUP($F215,Productos!$A$2:$A1001,Productos!G$2:G1001,"")*$G215,"")</f>
        <v/>
      </c>
      <c r="O215" s="179" t="str">
        <f t="array" ref="O215">IF($F215&lt;&gt;"",XLOOKUP($F215,Productos!$A:$A,Productos!H:H,"Revisar"),"")</f>
        <v/>
      </c>
      <c r="P215" s="179" t="str">
        <f t="array" ref="P215">IF($F215&lt;&gt;"", XLOOKUP($F215,Productos!$A$2:$A1001,Productos!I$2:I1001,"")*$G215,"")</f>
        <v/>
      </c>
      <c r="Q215" s="179" t="str">
        <f t="array" ref="Q215">IF($F215&lt;&gt;"",XLOOKUP($F215,Productos!$A:$A,Productos!J:J,"Revisar"),"")</f>
        <v/>
      </c>
      <c r="R215" s="179" t="str">
        <f t="array" ref="R215">IF($F215&lt;&gt;"", XLOOKUP($F215,Productos!$A$2:$A1001,Productos!K$2:K1001,"")*$G215,"")</f>
        <v/>
      </c>
      <c r="S215" s="179" t="str">
        <f t="array" ref="S215">IF($F215&lt;&gt;"",XLOOKUP($F215,Productos!$A:$A,Productos!L:L,"Revisar"),"")</f>
        <v/>
      </c>
      <c r="T215" s="179" t="str">
        <f t="array" ref="T215">IF($F215&lt;&gt;"", XLOOKUP($F215,Productos!$A$2:$A1001,Productos!M$2:M1001,"")*$G215,"")</f>
        <v/>
      </c>
      <c r="U215" s="179" t="str">
        <f t="array" ref="U215">IF($F215&lt;&gt;"",XLOOKUP($F215,Productos!$A:$A,Productos!N:N,"Revisar"),"")</f>
        <v/>
      </c>
      <c r="V215" s="179" t="str">
        <f t="array" ref="V215">IF($F215&lt;&gt;"", XLOOKUP($F215,Productos!$A$2:$A1001,Productos!O$2:O1001,"")*$G215,"")</f>
        <v/>
      </c>
      <c r="W215" s="179" t="str">
        <f t="array" ref="W215">IF($F215&lt;&gt;"",XLOOKUP($F215,Productos!$A:$A,Productos!P:P,"Revisar"),"")</f>
        <v/>
      </c>
      <c r="X215" s="179" t="str">
        <f t="array" ref="X215">IF($F215&lt;&gt;"", XLOOKUP($F215,Productos!$A$2:$A1001,Productos!Q$2:Q1001,"")*$G215,"")</f>
        <v/>
      </c>
      <c r="Y215" s="179" t="str">
        <f t="array" ref="Y215">IF($F215&lt;&gt;"",XLOOKUP($F215,Productos!$A:$A,Productos!R:R,"Revisar"),"")</f>
        <v/>
      </c>
      <c r="Z215" s="179" t="str">
        <f t="array" ref="Z215">IF($F215&lt;&gt;"", XLOOKUP($F215,Productos!$A$2:$A1001,Productos!S$2:S1001,"")*$G215,"")</f>
        <v/>
      </c>
      <c r="AA215" s="179" t="str">
        <f t="array" ref="AA215">IF($F215&lt;&gt;"",XLOOKUP($F215,Productos!$A:$A,Productos!T:T,"Revisar"),"")</f>
        <v/>
      </c>
      <c r="AB215" s="179" t="str">
        <f t="array" ref="AB215">IF($F215&lt;&gt;"", XLOOKUP($F215,Productos!$A$2:$A1001,Productos!U$2:U1001,"")*$G215,"")</f>
        <v/>
      </c>
      <c r="AC215" s="179" t="str">
        <f t="array" ref="AC215">IF($F215&lt;&gt;"",XLOOKUP($F215,Productos!$A:$A,Productos!V:V,"Revisar"),"")</f>
        <v/>
      </c>
      <c r="AD215" s="179" t="str">
        <f t="array" ref="AD215">IF($F215&lt;&gt;"", XLOOKUP($F215,Productos!$A$2:$A1001,Productos!W$2:W1001,"")*$G215,"")</f>
        <v/>
      </c>
      <c r="AE215" s="179" t="str">
        <f t="array" ref="AE215">IF($F215&lt;&gt;"",XLOOKUP($F215,Productos!$A:$A,Productos!X:X,"Revisar"),"")</f>
        <v/>
      </c>
      <c r="AF215" s="179" t="str">
        <f t="array" ref="AF215">IF($F215&lt;&gt;"", XLOOKUP($F215,Productos!$A$2:$A1001,Productos!Y$2:Y1001,"")*$G215,"")</f>
        <v/>
      </c>
      <c r="AG215" s="179" t="str">
        <f t="array" ref="AG215">IF($F215&lt;&gt;"",XLOOKUP($F215,Productos!$A:$A,Productos!Z:Z,"Revisar"),"")</f>
        <v/>
      </c>
      <c r="AH215" s="179" t="str">
        <f t="array" ref="AH215">IF($F215&lt;&gt;"", XLOOKUP($F215,Productos!$A$2:$A1001,Productos!AA$2:AA1001,"")*$G215,"")</f>
        <v/>
      </c>
      <c r="AI215" s="179" t="str">
        <f t="array" ref="AI215">IF($F215&lt;&gt;"",XLOOKUP($F215,Productos!$A:$A,Productos!AB:AB,"Revisar"),"")</f>
        <v/>
      </c>
      <c r="AJ215" s="179" t="str">
        <f t="array" ref="AJ215">IF($F215&lt;&gt;"", XLOOKUP($F215,Productos!$A$2:$A1001,Productos!AC$2:AC1001,"")*$G215,"")</f>
        <v/>
      </c>
      <c r="AK215" s="179" t="str">
        <f t="array" ref="AK215">IF($F215&lt;&gt;"",XLOOKUP($F215,Productos!$A:$A,Productos!AD:AD,"Revisar"),"")</f>
        <v/>
      </c>
      <c r="AL215" s="179" t="str">
        <f t="array" ref="AL215">IF($F215&lt;&gt;"", XLOOKUP($F215,Productos!$A$2:$A1001,Productos!AE$2:AE1001,"")*$G215,"")</f>
        <v/>
      </c>
      <c r="AM215" s="179" t="str">
        <f t="array" ref="AM215">IF($F215&lt;&gt;"",XLOOKUP($F215,Productos!$A:$A,Productos!AF:AF,"Revisar"),"")</f>
        <v/>
      </c>
      <c r="AN215" s="179" t="str">
        <f t="array" ref="AN215">IF($F215&lt;&gt;"", XLOOKUP($F215,Productos!$A$2:$A1001,Productos!AG$2:AG1001,"")*$G215,"")</f>
        <v/>
      </c>
      <c r="AO215" s="179" t="str">
        <f t="array" ref="AO215">IF($F215&lt;&gt;"",XLOOKUP($F215,Productos!$A:$A,Productos!AH:AH,"Revisar"),"")</f>
        <v/>
      </c>
      <c r="AP215" s="179" t="str">
        <f t="array" ref="AP215">IF($F215&lt;&gt;"", XLOOKUP($F215,Productos!$A$2:$A1001,Productos!AI$2:AI1001,"")*$G215,"")</f>
        <v/>
      </c>
      <c r="AQ215" s="179" t="str">
        <f t="array" ref="AQ215">IF($F215&lt;&gt;"",XLOOKUP($F215,Productos!$A:$A,Productos!AJ:AJ,"Revisar"),"")</f>
        <v/>
      </c>
      <c r="AR215" s="179" t="str">
        <f t="array" ref="AR215">IF($F215&lt;&gt;"", XLOOKUP($F215,Productos!$A$2:$A1001,Productos!AK$2:AK1001,"")*$G215,"")</f>
        <v/>
      </c>
      <c r="AS215" s="179" t="str">
        <f t="array" ref="AS215">IF($F215&lt;&gt;"",XLOOKUP($F215,Productos!$A:$A,Productos!AL:AL,"Revisar"),"")</f>
        <v/>
      </c>
      <c r="AT215" s="179" t="str">
        <f t="array" ref="AT215">IF($F215&lt;&gt;"", XLOOKUP($F215,Productos!$A$2:$A1001,Productos!AM$2:AM1001,"")*$G215,"")</f>
        <v/>
      </c>
      <c r="AU215" s="179" t="str">
        <f t="array" ref="AU215">IF($F215&lt;&gt;"",XLOOKUP($F215,Productos!$A:$A,Productos!AN:AN,"Revisar"),"")</f>
        <v/>
      </c>
      <c r="AV215" s="179" t="str">
        <f t="array" ref="AV215">IF($F215&lt;&gt;"", XLOOKUP($F215,Productos!$A$2:$A1001,Productos!AO$2:AO1001,"")*$G215,"")</f>
        <v/>
      </c>
      <c r="AW215" s="179" t="str">
        <f t="array" ref="AW215">IF($F215&lt;&gt;"",XLOOKUP($F215,Productos!$A:$A,Productos!AP:AP,"Revisar"),"")</f>
        <v/>
      </c>
      <c r="AX215" s="179" t="str">
        <f t="array" ref="AX215">IF($F215&lt;&gt;"", XLOOKUP($F215,Productos!$A$2:$A1001,Productos!AQ$2:AQ1001,"")*$G215,"")</f>
        <v/>
      </c>
      <c r="AY215" s="179" t="str">
        <f t="array" ref="AY215">IF($F215&lt;&gt;"",XLOOKUP($F215,Productos!$A:$A,Productos!AR:AR,"Revisar"),"")</f>
        <v/>
      </c>
      <c r="AZ215" s="179" t="str">
        <f t="array" ref="AZ215">IF($F215&lt;&gt;"", XLOOKUP($F215,Productos!$A$2:$A1001,Productos!AS$2:AS1001,"")*$G215,"")</f>
        <v/>
      </c>
      <c r="BA215" s="179" t="str">
        <f t="array" ref="BA215">IF($F215&lt;&gt;"",XLOOKUP($F215,Productos!$A:$A,Productos!AT:AT,"Revisar"),"")</f>
        <v/>
      </c>
      <c r="BB215" s="179" t="str">
        <f t="array" ref="BB215">IF($F215&lt;&gt;"", XLOOKUP($F215,Productos!$A$2:$A1001,Productos!AU$2:AU1001,"")*$G215,"")</f>
        <v/>
      </c>
      <c r="BC215" s="179" t="str">
        <f t="array" ref="BC215">IF($F215&lt;&gt;"",XLOOKUP($F215,Productos!$A:$A,Productos!AV:AV,"Revisar"),"")</f>
        <v/>
      </c>
      <c r="BD215" s="179" t="str">
        <f t="array" ref="BD215">IF($F215&lt;&gt;"", XLOOKUP($F215,Productos!$A$2:$A1001,Productos!AW$2:AW1001,"")*$G215,"")</f>
        <v/>
      </c>
      <c r="BE215" s="179" t="str">
        <f t="array" ref="BE215">IF($F215&lt;&gt;"",XLOOKUP($F215,Productos!$A:$A,Productos!AX:AX,"Revisar"),"")</f>
        <v/>
      </c>
      <c r="BF215" s="179" t="str">
        <f t="array" ref="BF215">IF($F215&lt;&gt;"", XLOOKUP($F215,Productos!$A$2:$A1001,Productos!AY$2:AY1001,"")*$G215,"")</f>
        <v/>
      </c>
      <c r="BG215" s="179" t="str">
        <f t="array" ref="BG215">IF($F215&lt;&gt;"",XLOOKUP($F215,Productos!$A:$A,Productos!AZ:AZ,"Revisar"),"")</f>
        <v/>
      </c>
      <c r="BH215" s="179" t="str">
        <f t="array" ref="BH215">IF($F215&lt;&gt;"", XLOOKUP($F215,Productos!$A$2:$A1001,Productos!BA$2:BA1001,"")*$G215,"")</f>
        <v/>
      </c>
      <c r="BI215" s="179" t="str">
        <f t="array" ref="BI215">IF($F215&lt;&gt;"",XLOOKUP($F215,Productos!$A:$A,Productos!BB:BB,"Revisar"),"")</f>
        <v/>
      </c>
      <c r="BJ215" s="179" t="str">
        <f t="array" ref="BJ215">IF($F215&lt;&gt;"", XLOOKUP($F215,Productos!$A$2:$A1001,Productos!BC$2:BC1001,"")*$G215,"")</f>
        <v/>
      </c>
      <c r="BK215" s="179" t="str">
        <f t="array" ref="BK215">IF($F215&lt;&gt;"",XLOOKUP($F215,Productos!$A:$A,Productos!BD:BD,"Revisar"),"")</f>
        <v/>
      </c>
      <c r="BL215" s="179" t="str">
        <f t="array" ref="BL215">IF($F215&lt;&gt;"", XLOOKUP($F215,Productos!$A$2:$A1001,Productos!BE$2:BE1001,"")*$G215,"")</f>
        <v/>
      </c>
      <c r="BM215" s="179" t="str">
        <f t="array" ref="BM215">IF($F215&lt;&gt;"",XLOOKUP($F215,Productos!$A:$A,Productos!BF:BF,"Revisar"),"")</f>
        <v/>
      </c>
      <c r="BN215" s="179" t="str">
        <f t="array" ref="BN215">IF($F215&lt;&gt;"", XLOOKUP($F215,Productos!$A$2:$A1001,Productos!BG$2:BG1001,"")*$G215,"")</f>
        <v/>
      </c>
      <c r="BO215" s="179" t="str">
        <f t="array" ref="BO215">IF($F215&lt;&gt;"",XLOOKUP($F215,Productos!$A:$A,Productos!BH:BH,"Revisar"),"")</f>
        <v/>
      </c>
      <c r="BP215" s="179" t="str">
        <f t="array" ref="BP215">IF($F215&lt;&gt;"", XLOOKUP($F215,Productos!$A$2:$A1001,Productos!BI$2:BI1001,"")*$G215,"")</f>
        <v/>
      </c>
      <c r="BQ215" s="179" t="str">
        <f t="array" ref="BQ215">IF($F215&lt;&gt;"",XLOOKUP($F215,Productos!$A:$A,Productos!BJ:BJ,"Revisar"),"")</f>
        <v/>
      </c>
      <c r="BR215" s="179" t="str">
        <f t="array" ref="BR215">IF($F215&lt;&gt;"", XLOOKUP($F215,Productos!$A$2:$A1001,Productos!BK$2:BK1001,"")*$G215,"")</f>
        <v/>
      </c>
      <c r="BS215" s="179" t="str">
        <f t="array" ref="BS215">IF($F215&lt;&gt;"",XLOOKUP($F215,Productos!$A:$A,Productos!BL:BL,"Revisar"),"")</f>
        <v/>
      </c>
      <c r="BT215" s="179" t="str">
        <f t="array" ref="BT215">IF($F215&lt;&gt;"", XLOOKUP($F215,Productos!$A$2:$A1001,Productos!BM$2:BM1001,"")*$G215,"")</f>
        <v/>
      </c>
      <c r="BU215" s="179" t="str">
        <f t="array" ref="BU215">IF($F215&lt;&gt;"",XLOOKUP($F215,Productos!$A:$A,Productos!BN:BN,"Revisar"),"")</f>
        <v/>
      </c>
      <c r="BV215" s="179" t="str">
        <f t="array" ref="BV215">IF($F215&lt;&gt;"", XLOOKUP($F215,Productos!$A$2:$A1001,Productos!BO$2:BO1001,"")*$G215,"")</f>
        <v/>
      </c>
      <c r="BW215" s="179" t="str">
        <f t="array" ref="BW215">IF($F215&lt;&gt;"",XLOOKUP($F215,Productos!$A:$A,Productos!BP:BP,"Revisar"),"")</f>
        <v/>
      </c>
      <c r="BX215" s="179" t="str">
        <f t="array" ref="BX215">IF($F215&lt;&gt;"", XLOOKUP($F215,Productos!$A$2:$A1001,Productos!BQ$2:BQ1001,"")*$G215,"")</f>
        <v/>
      </c>
      <c r="BY215" s="179" t="str">
        <f t="array" ref="BY215">IF($F215&lt;&gt;"",XLOOKUP($F215,Productos!$A:$A,Productos!BR:BR,"Revisar"),"")</f>
        <v/>
      </c>
      <c r="BZ215" s="179" t="str">
        <f t="array" ref="BZ215">IF($F215&lt;&gt;"", XLOOKUP($F215,Productos!$A$2:$A1001,Productos!BS$2:BS1001,"")*$G215,"")</f>
        <v/>
      </c>
    </row>
    <row r="216">
      <c r="A216" s="180"/>
      <c r="B216" s="181"/>
      <c r="C216" s="182"/>
      <c r="D216" s="182"/>
      <c r="E216" s="185"/>
      <c r="F216" s="186"/>
      <c r="G216" s="187"/>
      <c r="H216" s="186"/>
      <c r="I216" s="179" t="str">
        <f t="array" ref="I216">IF($F216&lt;&gt;"",XLOOKUP($F216,Productos!$A:$A,Productos!B:B,"Revisar"),"")</f>
        <v/>
      </c>
      <c r="J216" s="179" t="str">
        <f t="array" ref="J216">IF($F216&lt;&gt;"", XLOOKUP($F216,Productos!$A$2:$A1001,Productos!C$2:C1001,"")*$G216,"")</f>
        <v/>
      </c>
      <c r="K216" s="179" t="str">
        <f t="array" ref="K216">IF($F216&lt;&gt;"",XLOOKUP($F216,Productos!$A:$A,Productos!D:D,"Revisar"),"")</f>
        <v/>
      </c>
      <c r="L216" s="179" t="str">
        <f t="array" ref="L216">IF($F216&lt;&gt;"", XLOOKUP($F216,Productos!$A$2:$A1001,Productos!E$2:E1001,"")*$G216,"")</f>
        <v/>
      </c>
      <c r="M216" s="179" t="str">
        <f t="array" ref="M216">IF($F216&lt;&gt;"",XLOOKUP($F216,Productos!$A:$A,Productos!F:F,"Revisar"),"")</f>
        <v/>
      </c>
      <c r="N216" s="179" t="str">
        <f t="array" ref="N216">IF($F216&lt;&gt;"", XLOOKUP($F216,Productos!$A$2:$A1001,Productos!G$2:G1001,"")*$G216,"")</f>
        <v/>
      </c>
      <c r="O216" s="179" t="str">
        <f t="array" ref="O216">IF($F216&lt;&gt;"",XLOOKUP($F216,Productos!$A:$A,Productos!H:H,"Revisar"),"")</f>
        <v/>
      </c>
      <c r="P216" s="179" t="str">
        <f t="array" ref="P216">IF($F216&lt;&gt;"", XLOOKUP($F216,Productos!$A$2:$A1001,Productos!I$2:I1001,"")*$G216,"")</f>
        <v/>
      </c>
      <c r="Q216" s="179" t="str">
        <f t="array" ref="Q216">IF($F216&lt;&gt;"",XLOOKUP($F216,Productos!$A:$A,Productos!J:J,"Revisar"),"")</f>
        <v/>
      </c>
      <c r="R216" s="179" t="str">
        <f t="array" ref="R216">IF($F216&lt;&gt;"", XLOOKUP($F216,Productos!$A$2:$A1001,Productos!K$2:K1001,"")*$G216,"")</f>
        <v/>
      </c>
      <c r="S216" s="179" t="str">
        <f t="array" ref="S216">IF($F216&lt;&gt;"",XLOOKUP($F216,Productos!$A:$A,Productos!L:L,"Revisar"),"")</f>
        <v/>
      </c>
      <c r="T216" s="179" t="str">
        <f t="array" ref="T216">IF($F216&lt;&gt;"", XLOOKUP($F216,Productos!$A$2:$A1001,Productos!M$2:M1001,"")*$G216,"")</f>
        <v/>
      </c>
      <c r="U216" s="179" t="str">
        <f t="array" ref="U216">IF($F216&lt;&gt;"",XLOOKUP($F216,Productos!$A:$A,Productos!N:N,"Revisar"),"")</f>
        <v/>
      </c>
      <c r="V216" s="179" t="str">
        <f t="array" ref="V216">IF($F216&lt;&gt;"", XLOOKUP($F216,Productos!$A$2:$A1001,Productos!O$2:O1001,"")*$G216,"")</f>
        <v/>
      </c>
      <c r="W216" s="179" t="str">
        <f t="array" ref="W216">IF($F216&lt;&gt;"",XLOOKUP($F216,Productos!$A:$A,Productos!P:P,"Revisar"),"")</f>
        <v/>
      </c>
      <c r="X216" s="179" t="str">
        <f t="array" ref="X216">IF($F216&lt;&gt;"", XLOOKUP($F216,Productos!$A$2:$A1001,Productos!Q$2:Q1001,"")*$G216,"")</f>
        <v/>
      </c>
      <c r="Y216" s="179" t="str">
        <f t="array" ref="Y216">IF($F216&lt;&gt;"",XLOOKUP($F216,Productos!$A:$A,Productos!R:R,"Revisar"),"")</f>
        <v/>
      </c>
      <c r="Z216" s="179" t="str">
        <f t="array" ref="Z216">IF($F216&lt;&gt;"", XLOOKUP($F216,Productos!$A$2:$A1001,Productos!S$2:S1001,"")*$G216,"")</f>
        <v/>
      </c>
      <c r="AA216" s="179" t="str">
        <f t="array" ref="AA216">IF($F216&lt;&gt;"",XLOOKUP($F216,Productos!$A:$A,Productos!T:T,"Revisar"),"")</f>
        <v/>
      </c>
      <c r="AB216" s="179" t="str">
        <f t="array" ref="AB216">IF($F216&lt;&gt;"", XLOOKUP($F216,Productos!$A$2:$A1001,Productos!U$2:U1001,"")*$G216,"")</f>
        <v/>
      </c>
      <c r="AC216" s="179" t="str">
        <f t="array" ref="AC216">IF($F216&lt;&gt;"",XLOOKUP($F216,Productos!$A:$A,Productos!V:V,"Revisar"),"")</f>
        <v/>
      </c>
      <c r="AD216" s="179" t="str">
        <f t="array" ref="AD216">IF($F216&lt;&gt;"", XLOOKUP($F216,Productos!$A$2:$A1001,Productos!W$2:W1001,"")*$G216,"")</f>
        <v/>
      </c>
      <c r="AE216" s="179" t="str">
        <f t="array" ref="AE216">IF($F216&lt;&gt;"",XLOOKUP($F216,Productos!$A:$A,Productos!X:X,"Revisar"),"")</f>
        <v/>
      </c>
      <c r="AF216" s="179" t="str">
        <f t="array" ref="AF216">IF($F216&lt;&gt;"", XLOOKUP($F216,Productos!$A$2:$A1001,Productos!Y$2:Y1001,"")*$G216,"")</f>
        <v/>
      </c>
      <c r="AG216" s="179" t="str">
        <f t="array" ref="AG216">IF($F216&lt;&gt;"",XLOOKUP($F216,Productos!$A:$A,Productos!Z:Z,"Revisar"),"")</f>
        <v/>
      </c>
      <c r="AH216" s="179" t="str">
        <f t="array" ref="AH216">IF($F216&lt;&gt;"", XLOOKUP($F216,Productos!$A$2:$A1001,Productos!AA$2:AA1001,"")*$G216,"")</f>
        <v/>
      </c>
      <c r="AI216" s="179" t="str">
        <f t="array" ref="AI216">IF($F216&lt;&gt;"",XLOOKUP($F216,Productos!$A:$A,Productos!AB:AB,"Revisar"),"")</f>
        <v/>
      </c>
      <c r="AJ216" s="179" t="str">
        <f t="array" ref="AJ216">IF($F216&lt;&gt;"", XLOOKUP($F216,Productos!$A$2:$A1001,Productos!AC$2:AC1001,"")*$G216,"")</f>
        <v/>
      </c>
      <c r="AK216" s="179" t="str">
        <f t="array" ref="AK216">IF($F216&lt;&gt;"",XLOOKUP($F216,Productos!$A:$A,Productos!AD:AD,"Revisar"),"")</f>
        <v/>
      </c>
      <c r="AL216" s="179" t="str">
        <f t="array" ref="AL216">IF($F216&lt;&gt;"", XLOOKUP($F216,Productos!$A$2:$A1001,Productos!AE$2:AE1001,"")*$G216,"")</f>
        <v/>
      </c>
      <c r="AM216" s="179" t="str">
        <f t="array" ref="AM216">IF($F216&lt;&gt;"",XLOOKUP($F216,Productos!$A:$A,Productos!AF:AF,"Revisar"),"")</f>
        <v/>
      </c>
      <c r="AN216" s="179" t="str">
        <f t="array" ref="AN216">IF($F216&lt;&gt;"", XLOOKUP($F216,Productos!$A$2:$A1001,Productos!AG$2:AG1001,"")*$G216,"")</f>
        <v/>
      </c>
      <c r="AO216" s="179" t="str">
        <f t="array" ref="AO216">IF($F216&lt;&gt;"",XLOOKUP($F216,Productos!$A:$A,Productos!AH:AH,"Revisar"),"")</f>
        <v/>
      </c>
      <c r="AP216" s="179" t="str">
        <f t="array" ref="AP216">IF($F216&lt;&gt;"", XLOOKUP($F216,Productos!$A$2:$A1001,Productos!AI$2:AI1001,"")*$G216,"")</f>
        <v/>
      </c>
      <c r="AQ216" s="179" t="str">
        <f t="array" ref="AQ216">IF($F216&lt;&gt;"",XLOOKUP($F216,Productos!$A:$A,Productos!AJ:AJ,"Revisar"),"")</f>
        <v/>
      </c>
      <c r="AR216" s="179" t="str">
        <f t="array" ref="AR216">IF($F216&lt;&gt;"", XLOOKUP($F216,Productos!$A$2:$A1001,Productos!AK$2:AK1001,"")*$G216,"")</f>
        <v/>
      </c>
      <c r="AS216" s="179" t="str">
        <f t="array" ref="AS216">IF($F216&lt;&gt;"",XLOOKUP($F216,Productos!$A:$A,Productos!AL:AL,"Revisar"),"")</f>
        <v/>
      </c>
      <c r="AT216" s="179" t="str">
        <f t="array" ref="AT216">IF($F216&lt;&gt;"", XLOOKUP($F216,Productos!$A$2:$A1001,Productos!AM$2:AM1001,"")*$G216,"")</f>
        <v/>
      </c>
      <c r="AU216" s="179" t="str">
        <f t="array" ref="AU216">IF($F216&lt;&gt;"",XLOOKUP($F216,Productos!$A:$A,Productos!AN:AN,"Revisar"),"")</f>
        <v/>
      </c>
      <c r="AV216" s="179" t="str">
        <f t="array" ref="AV216">IF($F216&lt;&gt;"", XLOOKUP($F216,Productos!$A$2:$A1001,Productos!AO$2:AO1001,"")*$G216,"")</f>
        <v/>
      </c>
      <c r="AW216" s="179" t="str">
        <f t="array" ref="AW216">IF($F216&lt;&gt;"",XLOOKUP($F216,Productos!$A:$A,Productos!AP:AP,"Revisar"),"")</f>
        <v/>
      </c>
      <c r="AX216" s="179" t="str">
        <f t="array" ref="AX216">IF($F216&lt;&gt;"", XLOOKUP($F216,Productos!$A$2:$A1001,Productos!AQ$2:AQ1001,"")*$G216,"")</f>
        <v/>
      </c>
      <c r="AY216" s="179" t="str">
        <f t="array" ref="AY216">IF($F216&lt;&gt;"",XLOOKUP($F216,Productos!$A:$A,Productos!AR:AR,"Revisar"),"")</f>
        <v/>
      </c>
      <c r="AZ216" s="179" t="str">
        <f t="array" ref="AZ216">IF($F216&lt;&gt;"", XLOOKUP($F216,Productos!$A$2:$A1001,Productos!AS$2:AS1001,"")*$G216,"")</f>
        <v/>
      </c>
      <c r="BA216" s="179" t="str">
        <f t="array" ref="BA216">IF($F216&lt;&gt;"",XLOOKUP($F216,Productos!$A:$A,Productos!AT:AT,"Revisar"),"")</f>
        <v/>
      </c>
      <c r="BB216" s="179" t="str">
        <f t="array" ref="BB216">IF($F216&lt;&gt;"", XLOOKUP($F216,Productos!$A$2:$A1001,Productos!AU$2:AU1001,"")*$G216,"")</f>
        <v/>
      </c>
      <c r="BC216" s="179" t="str">
        <f t="array" ref="BC216">IF($F216&lt;&gt;"",XLOOKUP($F216,Productos!$A:$A,Productos!AV:AV,"Revisar"),"")</f>
        <v/>
      </c>
      <c r="BD216" s="179" t="str">
        <f t="array" ref="BD216">IF($F216&lt;&gt;"", XLOOKUP($F216,Productos!$A$2:$A1001,Productos!AW$2:AW1001,"")*$G216,"")</f>
        <v/>
      </c>
      <c r="BE216" s="179" t="str">
        <f t="array" ref="BE216">IF($F216&lt;&gt;"",XLOOKUP($F216,Productos!$A:$A,Productos!AX:AX,"Revisar"),"")</f>
        <v/>
      </c>
      <c r="BF216" s="179" t="str">
        <f t="array" ref="BF216">IF($F216&lt;&gt;"", XLOOKUP($F216,Productos!$A$2:$A1001,Productos!AY$2:AY1001,"")*$G216,"")</f>
        <v/>
      </c>
      <c r="BG216" s="179" t="str">
        <f t="array" ref="BG216">IF($F216&lt;&gt;"",XLOOKUP($F216,Productos!$A:$A,Productos!AZ:AZ,"Revisar"),"")</f>
        <v/>
      </c>
      <c r="BH216" s="179" t="str">
        <f t="array" ref="BH216">IF($F216&lt;&gt;"", XLOOKUP($F216,Productos!$A$2:$A1001,Productos!BA$2:BA1001,"")*$G216,"")</f>
        <v/>
      </c>
      <c r="BI216" s="179" t="str">
        <f t="array" ref="BI216">IF($F216&lt;&gt;"",XLOOKUP($F216,Productos!$A:$A,Productos!BB:BB,"Revisar"),"")</f>
        <v/>
      </c>
      <c r="BJ216" s="179" t="str">
        <f t="array" ref="BJ216">IF($F216&lt;&gt;"", XLOOKUP($F216,Productos!$A$2:$A1001,Productos!BC$2:BC1001,"")*$G216,"")</f>
        <v/>
      </c>
      <c r="BK216" s="179" t="str">
        <f t="array" ref="BK216">IF($F216&lt;&gt;"",XLOOKUP($F216,Productos!$A:$A,Productos!BD:BD,"Revisar"),"")</f>
        <v/>
      </c>
      <c r="BL216" s="179" t="str">
        <f t="array" ref="BL216">IF($F216&lt;&gt;"", XLOOKUP($F216,Productos!$A$2:$A1001,Productos!BE$2:BE1001,"")*$G216,"")</f>
        <v/>
      </c>
      <c r="BM216" s="179" t="str">
        <f t="array" ref="BM216">IF($F216&lt;&gt;"",XLOOKUP($F216,Productos!$A:$A,Productos!BF:BF,"Revisar"),"")</f>
        <v/>
      </c>
      <c r="BN216" s="179" t="str">
        <f t="array" ref="BN216">IF($F216&lt;&gt;"", XLOOKUP($F216,Productos!$A$2:$A1001,Productos!BG$2:BG1001,"")*$G216,"")</f>
        <v/>
      </c>
      <c r="BO216" s="179" t="str">
        <f t="array" ref="BO216">IF($F216&lt;&gt;"",XLOOKUP($F216,Productos!$A:$A,Productos!BH:BH,"Revisar"),"")</f>
        <v/>
      </c>
      <c r="BP216" s="179" t="str">
        <f t="array" ref="BP216">IF($F216&lt;&gt;"", XLOOKUP($F216,Productos!$A$2:$A1001,Productos!BI$2:BI1001,"")*$G216,"")</f>
        <v/>
      </c>
      <c r="BQ216" s="179" t="str">
        <f t="array" ref="BQ216">IF($F216&lt;&gt;"",XLOOKUP($F216,Productos!$A:$A,Productos!BJ:BJ,"Revisar"),"")</f>
        <v/>
      </c>
      <c r="BR216" s="179" t="str">
        <f t="array" ref="BR216">IF($F216&lt;&gt;"", XLOOKUP($F216,Productos!$A$2:$A1001,Productos!BK$2:BK1001,"")*$G216,"")</f>
        <v/>
      </c>
      <c r="BS216" s="179" t="str">
        <f t="array" ref="BS216">IF($F216&lt;&gt;"",XLOOKUP($F216,Productos!$A:$A,Productos!BL:BL,"Revisar"),"")</f>
        <v/>
      </c>
      <c r="BT216" s="179" t="str">
        <f t="array" ref="BT216">IF($F216&lt;&gt;"", XLOOKUP($F216,Productos!$A$2:$A1001,Productos!BM$2:BM1001,"")*$G216,"")</f>
        <v/>
      </c>
      <c r="BU216" s="179" t="str">
        <f t="array" ref="BU216">IF($F216&lt;&gt;"",XLOOKUP($F216,Productos!$A:$A,Productos!BN:BN,"Revisar"),"")</f>
        <v/>
      </c>
      <c r="BV216" s="179" t="str">
        <f t="array" ref="BV216">IF($F216&lt;&gt;"", XLOOKUP($F216,Productos!$A$2:$A1001,Productos!BO$2:BO1001,"")*$G216,"")</f>
        <v/>
      </c>
      <c r="BW216" s="179" t="str">
        <f t="array" ref="BW216">IF($F216&lt;&gt;"",XLOOKUP($F216,Productos!$A:$A,Productos!BP:BP,"Revisar"),"")</f>
        <v/>
      </c>
      <c r="BX216" s="179" t="str">
        <f t="array" ref="BX216">IF($F216&lt;&gt;"", XLOOKUP($F216,Productos!$A$2:$A1001,Productos!BQ$2:BQ1001,"")*$G216,"")</f>
        <v/>
      </c>
      <c r="BY216" s="179" t="str">
        <f t="array" ref="BY216">IF($F216&lt;&gt;"",XLOOKUP($F216,Productos!$A:$A,Productos!BR:BR,"Revisar"),"")</f>
        <v/>
      </c>
      <c r="BZ216" s="179" t="str">
        <f t="array" ref="BZ216">IF($F216&lt;&gt;"", XLOOKUP($F216,Productos!$A$2:$A1001,Productos!BS$2:BS1001,"")*$G216,"")</f>
        <v/>
      </c>
    </row>
    <row r="217">
      <c r="A217" s="180"/>
      <c r="B217" s="181"/>
      <c r="C217" s="182"/>
      <c r="D217" s="182"/>
      <c r="E217" s="185"/>
      <c r="F217" s="186"/>
      <c r="G217" s="187"/>
      <c r="H217" s="186"/>
      <c r="I217" s="179" t="str">
        <f t="array" ref="I217">IF($F217&lt;&gt;"",XLOOKUP($F217,Productos!$A:$A,Productos!B:B,"Revisar"),"")</f>
        <v/>
      </c>
      <c r="J217" s="179" t="str">
        <f t="array" ref="J217">IF($F217&lt;&gt;"", XLOOKUP($F217,Productos!$A$2:$A1001,Productos!C$2:C1001,"")*$G217,"")</f>
        <v/>
      </c>
      <c r="K217" s="179" t="str">
        <f t="array" ref="K217">IF($F217&lt;&gt;"",XLOOKUP($F217,Productos!$A:$A,Productos!D:D,"Revisar"),"")</f>
        <v/>
      </c>
      <c r="L217" s="179" t="str">
        <f t="array" ref="L217">IF($F217&lt;&gt;"", XLOOKUP($F217,Productos!$A$2:$A1001,Productos!E$2:E1001,"")*$G217,"")</f>
        <v/>
      </c>
      <c r="M217" s="179" t="str">
        <f t="array" ref="M217">IF($F217&lt;&gt;"",XLOOKUP($F217,Productos!$A:$A,Productos!F:F,"Revisar"),"")</f>
        <v/>
      </c>
      <c r="N217" s="179" t="str">
        <f t="array" ref="N217">IF($F217&lt;&gt;"", XLOOKUP($F217,Productos!$A$2:$A1001,Productos!G$2:G1001,"")*$G217,"")</f>
        <v/>
      </c>
      <c r="O217" s="179" t="str">
        <f t="array" ref="O217">IF($F217&lt;&gt;"",XLOOKUP($F217,Productos!$A:$A,Productos!H:H,"Revisar"),"")</f>
        <v/>
      </c>
      <c r="P217" s="179" t="str">
        <f t="array" ref="P217">IF($F217&lt;&gt;"", XLOOKUP($F217,Productos!$A$2:$A1001,Productos!I$2:I1001,"")*$G217,"")</f>
        <v/>
      </c>
      <c r="Q217" s="179" t="str">
        <f t="array" ref="Q217">IF($F217&lt;&gt;"",XLOOKUP($F217,Productos!$A:$A,Productos!J:J,"Revisar"),"")</f>
        <v/>
      </c>
      <c r="R217" s="179" t="str">
        <f t="array" ref="R217">IF($F217&lt;&gt;"", XLOOKUP($F217,Productos!$A$2:$A1001,Productos!K$2:K1001,"")*$G217,"")</f>
        <v/>
      </c>
      <c r="S217" s="179" t="str">
        <f t="array" ref="S217">IF($F217&lt;&gt;"",XLOOKUP($F217,Productos!$A:$A,Productos!L:L,"Revisar"),"")</f>
        <v/>
      </c>
      <c r="T217" s="179" t="str">
        <f t="array" ref="T217">IF($F217&lt;&gt;"", XLOOKUP($F217,Productos!$A$2:$A1001,Productos!M$2:M1001,"")*$G217,"")</f>
        <v/>
      </c>
      <c r="U217" s="179" t="str">
        <f t="array" ref="U217">IF($F217&lt;&gt;"",XLOOKUP($F217,Productos!$A:$A,Productos!N:N,"Revisar"),"")</f>
        <v/>
      </c>
      <c r="V217" s="179" t="str">
        <f t="array" ref="V217">IF($F217&lt;&gt;"", XLOOKUP($F217,Productos!$A$2:$A1001,Productos!O$2:O1001,"")*$G217,"")</f>
        <v/>
      </c>
      <c r="W217" s="179" t="str">
        <f t="array" ref="W217">IF($F217&lt;&gt;"",XLOOKUP($F217,Productos!$A:$A,Productos!P:P,"Revisar"),"")</f>
        <v/>
      </c>
      <c r="X217" s="179" t="str">
        <f t="array" ref="X217">IF($F217&lt;&gt;"", XLOOKUP($F217,Productos!$A$2:$A1001,Productos!Q$2:Q1001,"")*$G217,"")</f>
        <v/>
      </c>
      <c r="Y217" s="179" t="str">
        <f t="array" ref="Y217">IF($F217&lt;&gt;"",XLOOKUP($F217,Productos!$A:$A,Productos!R:R,"Revisar"),"")</f>
        <v/>
      </c>
      <c r="Z217" s="179" t="str">
        <f t="array" ref="Z217">IF($F217&lt;&gt;"", XLOOKUP($F217,Productos!$A$2:$A1001,Productos!S$2:S1001,"")*$G217,"")</f>
        <v/>
      </c>
      <c r="AA217" s="179" t="str">
        <f t="array" ref="AA217">IF($F217&lt;&gt;"",XLOOKUP($F217,Productos!$A:$A,Productos!T:T,"Revisar"),"")</f>
        <v/>
      </c>
      <c r="AB217" s="179" t="str">
        <f t="array" ref="AB217">IF($F217&lt;&gt;"", XLOOKUP($F217,Productos!$A$2:$A1001,Productos!U$2:U1001,"")*$G217,"")</f>
        <v/>
      </c>
      <c r="AC217" s="179" t="str">
        <f t="array" ref="AC217">IF($F217&lt;&gt;"",XLOOKUP($F217,Productos!$A:$A,Productos!V:V,"Revisar"),"")</f>
        <v/>
      </c>
      <c r="AD217" s="179" t="str">
        <f t="array" ref="AD217">IF($F217&lt;&gt;"", XLOOKUP($F217,Productos!$A$2:$A1001,Productos!W$2:W1001,"")*$G217,"")</f>
        <v/>
      </c>
      <c r="AE217" s="179" t="str">
        <f t="array" ref="AE217">IF($F217&lt;&gt;"",XLOOKUP($F217,Productos!$A:$A,Productos!X:X,"Revisar"),"")</f>
        <v/>
      </c>
      <c r="AF217" s="179" t="str">
        <f t="array" ref="AF217">IF($F217&lt;&gt;"", XLOOKUP($F217,Productos!$A$2:$A1001,Productos!Y$2:Y1001,"")*$G217,"")</f>
        <v/>
      </c>
      <c r="AG217" s="179" t="str">
        <f t="array" ref="AG217">IF($F217&lt;&gt;"",XLOOKUP($F217,Productos!$A:$A,Productos!Z:Z,"Revisar"),"")</f>
        <v/>
      </c>
      <c r="AH217" s="179" t="str">
        <f t="array" ref="AH217">IF($F217&lt;&gt;"", XLOOKUP($F217,Productos!$A$2:$A1001,Productos!AA$2:AA1001,"")*$G217,"")</f>
        <v/>
      </c>
      <c r="AI217" s="179" t="str">
        <f t="array" ref="AI217">IF($F217&lt;&gt;"",XLOOKUP($F217,Productos!$A:$A,Productos!AB:AB,"Revisar"),"")</f>
        <v/>
      </c>
      <c r="AJ217" s="179" t="str">
        <f t="array" ref="AJ217">IF($F217&lt;&gt;"", XLOOKUP($F217,Productos!$A$2:$A1001,Productos!AC$2:AC1001,"")*$G217,"")</f>
        <v/>
      </c>
      <c r="AK217" s="179" t="str">
        <f t="array" ref="AK217">IF($F217&lt;&gt;"",XLOOKUP($F217,Productos!$A:$A,Productos!AD:AD,"Revisar"),"")</f>
        <v/>
      </c>
      <c r="AL217" s="179" t="str">
        <f t="array" ref="AL217">IF($F217&lt;&gt;"", XLOOKUP($F217,Productos!$A$2:$A1001,Productos!AE$2:AE1001,"")*$G217,"")</f>
        <v/>
      </c>
      <c r="AM217" s="179" t="str">
        <f t="array" ref="AM217">IF($F217&lt;&gt;"",XLOOKUP($F217,Productos!$A:$A,Productos!AF:AF,"Revisar"),"")</f>
        <v/>
      </c>
      <c r="AN217" s="179" t="str">
        <f t="array" ref="AN217">IF($F217&lt;&gt;"", XLOOKUP($F217,Productos!$A$2:$A1001,Productos!AG$2:AG1001,"")*$G217,"")</f>
        <v/>
      </c>
      <c r="AO217" s="179" t="str">
        <f t="array" ref="AO217">IF($F217&lt;&gt;"",XLOOKUP($F217,Productos!$A:$A,Productos!AH:AH,"Revisar"),"")</f>
        <v/>
      </c>
      <c r="AP217" s="179" t="str">
        <f t="array" ref="AP217">IF($F217&lt;&gt;"", XLOOKUP($F217,Productos!$A$2:$A1001,Productos!AI$2:AI1001,"")*$G217,"")</f>
        <v/>
      </c>
      <c r="AQ217" s="179" t="str">
        <f t="array" ref="AQ217">IF($F217&lt;&gt;"",XLOOKUP($F217,Productos!$A:$A,Productos!AJ:AJ,"Revisar"),"")</f>
        <v/>
      </c>
      <c r="AR217" s="179" t="str">
        <f t="array" ref="AR217">IF($F217&lt;&gt;"", XLOOKUP($F217,Productos!$A$2:$A1001,Productos!AK$2:AK1001,"")*$G217,"")</f>
        <v/>
      </c>
      <c r="AS217" s="179" t="str">
        <f t="array" ref="AS217">IF($F217&lt;&gt;"",XLOOKUP($F217,Productos!$A:$A,Productos!AL:AL,"Revisar"),"")</f>
        <v/>
      </c>
      <c r="AT217" s="179" t="str">
        <f t="array" ref="AT217">IF($F217&lt;&gt;"", XLOOKUP($F217,Productos!$A$2:$A1001,Productos!AM$2:AM1001,"")*$G217,"")</f>
        <v/>
      </c>
      <c r="AU217" s="179" t="str">
        <f t="array" ref="AU217">IF($F217&lt;&gt;"",XLOOKUP($F217,Productos!$A:$A,Productos!AN:AN,"Revisar"),"")</f>
        <v/>
      </c>
      <c r="AV217" s="179" t="str">
        <f t="array" ref="AV217">IF($F217&lt;&gt;"", XLOOKUP($F217,Productos!$A$2:$A1001,Productos!AO$2:AO1001,"")*$G217,"")</f>
        <v/>
      </c>
      <c r="AW217" s="179" t="str">
        <f t="array" ref="AW217">IF($F217&lt;&gt;"",XLOOKUP($F217,Productos!$A:$A,Productos!AP:AP,"Revisar"),"")</f>
        <v/>
      </c>
      <c r="AX217" s="179" t="str">
        <f t="array" ref="AX217">IF($F217&lt;&gt;"", XLOOKUP($F217,Productos!$A$2:$A1001,Productos!AQ$2:AQ1001,"")*$G217,"")</f>
        <v/>
      </c>
      <c r="AY217" s="179" t="str">
        <f t="array" ref="AY217">IF($F217&lt;&gt;"",XLOOKUP($F217,Productos!$A:$A,Productos!AR:AR,"Revisar"),"")</f>
        <v/>
      </c>
      <c r="AZ217" s="179" t="str">
        <f t="array" ref="AZ217">IF($F217&lt;&gt;"", XLOOKUP($F217,Productos!$A$2:$A1001,Productos!AS$2:AS1001,"")*$G217,"")</f>
        <v/>
      </c>
      <c r="BA217" s="179" t="str">
        <f t="array" ref="BA217">IF($F217&lt;&gt;"",XLOOKUP($F217,Productos!$A:$A,Productos!AT:AT,"Revisar"),"")</f>
        <v/>
      </c>
      <c r="BB217" s="179" t="str">
        <f t="array" ref="BB217">IF($F217&lt;&gt;"", XLOOKUP($F217,Productos!$A$2:$A1001,Productos!AU$2:AU1001,"")*$G217,"")</f>
        <v/>
      </c>
      <c r="BC217" s="179" t="str">
        <f t="array" ref="BC217">IF($F217&lt;&gt;"",XLOOKUP($F217,Productos!$A:$A,Productos!AV:AV,"Revisar"),"")</f>
        <v/>
      </c>
      <c r="BD217" s="179" t="str">
        <f t="array" ref="BD217">IF($F217&lt;&gt;"", XLOOKUP($F217,Productos!$A$2:$A1001,Productos!AW$2:AW1001,"")*$G217,"")</f>
        <v/>
      </c>
      <c r="BE217" s="179" t="str">
        <f t="array" ref="BE217">IF($F217&lt;&gt;"",XLOOKUP($F217,Productos!$A:$A,Productos!AX:AX,"Revisar"),"")</f>
        <v/>
      </c>
      <c r="BF217" s="179" t="str">
        <f t="array" ref="BF217">IF($F217&lt;&gt;"", XLOOKUP($F217,Productos!$A$2:$A1001,Productos!AY$2:AY1001,"")*$G217,"")</f>
        <v/>
      </c>
      <c r="BG217" s="179" t="str">
        <f t="array" ref="BG217">IF($F217&lt;&gt;"",XLOOKUP($F217,Productos!$A:$A,Productos!AZ:AZ,"Revisar"),"")</f>
        <v/>
      </c>
      <c r="BH217" s="179" t="str">
        <f t="array" ref="BH217">IF($F217&lt;&gt;"", XLOOKUP($F217,Productos!$A$2:$A1001,Productos!BA$2:BA1001,"")*$G217,"")</f>
        <v/>
      </c>
      <c r="BI217" s="179" t="str">
        <f t="array" ref="BI217">IF($F217&lt;&gt;"",XLOOKUP($F217,Productos!$A:$A,Productos!BB:BB,"Revisar"),"")</f>
        <v/>
      </c>
      <c r="BJ217" s="179" t="str">
        <f t="array" ref="BJ217">IF($F217&lt;&gt;"", XLOOKUP($F217,Productos!$A$2:$A1001,Productos!BC$2:BC1001,"")*$G217,"")</f>
        <v/>
      </c>
      <c r="BK217" s="179" t="str">
        <f t="array" ref="BK217">IF($F217&lt;&gt;"",XLOOKUP($F217,Productos!$A:$A,Productos!BD:BD,"Revisar"),"")</f>
        <v/>
      </c>
      <c r="BL217" s="179" t="str">
        <f t="array" ref="BL217">IF($F217&lt;&gt;"", XLOOKUP($F217,Productos!$A$2:$A1001,Productos!BE$2:BE1001,"")*$G217,"")</f>
        <v/>
      </c>
      <c r="BM217" s="179" t="str">
        <f t="array" ref="BM217">IF($F217&lt;&gt;"",XLOOKUP($F217,Productos!$A:$A,Productos!BF:BF,"Revisar"),"")</f>
        <v/>
      </c>
      <c r="BN217" s="179" t="str">
        <f t="array" ref="BN217">IF($F217&lt;&gt;"", XLOOKUP($F217,Productos!$A$2:$A1001,Productos!BG$2:BG1001,"")*$G217,"")</f>
        <v/>
      </c>
      <c r="BO217" s="179" t="str">
        <f t="array" ref="BO217">IF($F217&lt;&gt;"",XLOOKUP($F217,Productos!$A:$A,Productos!BH:BH,"Revisar"),"")</f>
        <v/>
      </c>
      <c r="BP217" s="179" t="str">
        <f t="array" ref="BP217">IF($F217&lt;&gt;"", XLOOKUP($F217,Productos!$A$2:$A1001,Productos!BI$2:BI1001,"")*$G217,"")</f>
        <v/>
      </c>
      <c r="BQ217" s="179" t="str">
        <f t="array" ref="BQ217">IF($F217&lt;&gt;"",XLOOKUP($F217,Productos!$A:$A,Productos!BJ:BJ,"Revisar"),"")</f>
        <v/>
      </c>
      <c r="BR217" s="179" t="str">
        <f t="array" ref="BR217">IF($F217&lt;&gt;"", XLOOKUP($F217,Productos!$A$2:$A1001,Productos!BK$2:BK1001,"")*$G217,"")</f>
        <v/>
      </c>
      <c r="BS217" s="179" t="str">
        <f t="array" ref="BS217">IF($F217&lt;&gt;"",XLOOKUP($F217,Productos!$A:$A,Productos!BL:BL,"Revisar"),"")</f>
        <v/>
      </c>
      <c r="BT217" s="179" t="str">
        <f t="array" ref="BT217">IF($F217&lt;&gt;"", XLOOKUP($F217,Productos!$A$2:$A1001,Productos!BM$2:BM1001,"")*$G217,"")</f>
        <v/>
      </c>
      <c r="BU217" s="179" t="str">
        <f t="array" ref="BU217">IF($F217&lt;&gt;"",XLOOKUP($F217,Productos!$A:$A,Productos!BN:BN,"Revisar"),"")</f>
        <v/>
      </c>
      <c r="BV217" s="179" t="str">
        <f t="array" ref="BV217">IF($F217&lt;&gt;"", XLOOKUP($F217,Productos!$A$2:$A1001,Productos!BO$2:BO1001,"")*$G217,"")</f>
        <v/>
      </c>
      <c r="BW217" s="179" t="str">
        <f t="array" ref="BW217">IF($F217&lt;&gt;"",XLOOKUP($F217,Productos!$A:$A,Productos!BP:BP,"Revisar"),"")</f>
        <v/>
      </c>
      <c r="BX217" s="179" t="str">
        <f t="array" ref="BX217">IF($F217&lt;&gt;"", XLOOKUP($F217,Productos!$A$2:$A1001,Productos!BQ$2:BQ1001,"")*$G217,"")</f>
        <v/>
      </c>
      <c r="BY217" s="179" t="str">
        <f t="array" ref="BY217">IF($F217&lt;&gt;"",XLOOKUP($F217,Productos!$A:$A,Productos!BR:BR,"Revisar"),"")</f>
        <v/>
      </c>
      <c r="BZ217" s="179" t="str">
        <f t="array" ref="BZ217">IF($F217&lt;&gt;"", XLOOKUP($F217,Productos!$A$2:$A1001,Productos!BS$2:BS1001,"")*$G217,"")</f>
        <v/>
      </c>
    </row>
    <row r="218">
      <c r="A218" s="180"/>
      <c r="B218" s="181"/>
      <c r="C218" s="182"/>
      <c r="D218" s="182"/>
      <c r="E218" s="185"/>
      <c r="F218" s="186"/>
      <c r="G218" s="187"/>
      <c r="H218" s="186"/>
      <c r="I218" s="179" t="str">
        <f t="array" ref="I218">IF($F218&lt;&gt;"",XLOOKUP($F218,Productos!$A:$A,Productos!B:B,"Revisar"),"")</f>
        <v/>
      </c>
      <c r="J218" s="179" t="str">
        <f t="array" ref="J218">IF($F218&lt;&gt;"", XLOOKUP($F218,Productos!$A$2:$A1001,Productos!C$2:C1001,"")*$G218,"")</f>
        <v/>
      </c>
      <c r="K218" s="179" t="str">
        <f t="array" ref="K218">IF($F218&lt;&gt;"",XLOOKUP($F218,Productos!$A:$A,Productos!D:D,"Revisar"),"")</f>
        <v/>
      </c>
      <c r="L218" s="179" t="str">
        <f t="array" ref="L218">IF($F218&lt;&gt;"", XLOOKUP($F218,Productos!$A$2:$A1001,Productos!E$2:E1001,"")*$G218,"")</f>
        <v/>
      </c>
      <c r="M218" s="179" t="str">
        <f t="array" ref="M218">IF($F218&lt;&gt;"",XLOOKUP($F218,Productos!$A:$A,Productos!F:F,"Revisar"),"")</f>
        <v/>
      </c>
      <c r="N218" s="179" t="str">
        <f t="array" ref="N218">IF($F218&lt;&gt;"", XLOOKUP($F218,Productos!$A$2:$A1001,Productos!G$2:G1001,"")*$G218,"")</f>
        <v/>
      </c>
      <c r="O218" s="179" t="str">
        <f t="array" ref="O218">IF($F218&lt;&gt;"",XLOOKUP($F218,Productos!$A:$A,Productos!H:H,"Revisar"),"")</f>
        <v/>
      </c>
      <c r="P218" s="179" t="str">
        <f t="array" ref="P218">IF($F218&lt;&gt;"", XLOOKUP($F218,Productos!$A$2:$A1001,Productos!I$2:I1001,"")*$G218,"")</f>
        <v/>
      </c>
      <c r="Q218" s="179" t="str">
        <f t="array" ref="Q218">IF($F218&lt;&gt;"",XLOOKUP($F218,Productos!$A:$A,Productos!J:J,"Revisar"),"")</f>
        <v/>
      </c>
      <c r="R218" s="179" t="str">
        <f t="array" ref="R218">IF($F218&lt;&gt;"", XLOOKUP($F218,Productos!$A$2:$A1001,Productos!K$2:K1001,"")*$G218,"")</f>
        <v/>
      </c>
      <c r="S218" s="179" t="str">
        <f t="array" ref="S218">IF($F218&lt;&gt;"",XLOOKUP($F218,Productos!$A:$A,Productos!L:L,"Revisar"),"")</f>
        <v/>
      </c>
      <c r="T218" s="179" t="str">
        <f t="array" ref="T218">IF($F218&lt;&gt;"", XLOOKUP($F218,Productos!$A$2:$A1001,Productos!M$2:M1001,"")*$G218,"")</f>
        <v/>
      </c>
      <c r="U218" s="179" t="str">
        <f t="array" ref="U218">IF($F218&lt;&gt;"",XLOOKUP($F218,Productos!$A:$A,Productos!N:N,"Revisar"),"")</f>
        <v/>
      </c>
      <c r="V218" s="179" t="str">
        <f t="array" ref="V218">IF($F218&lt;&gt;"", XLOOKUP($F218,Productos!$A$2:$A1001,Productos!O$2:O1001,"")*$G218,"")</f>
        <v/>
      </c>
      <c r="W218" s="179" t="str">
        <f t="array" ref="W218">IF($F218&lt;&gt;"",XLOOKUP($F218,Productos!$A:$A,Productos!P:P,"Revisar"),"")</f>
        <v/>
      </c>
      <c r="X218" s="179" t="str">
        <f t="array" ref="X218">IF($F218&lt;&gt;"", XLOOKUP($F218,Productos!$A$2:$A1001,Productos!Q$2:Q1001,"")*$G218,"")</f>
        <v/>
      </c>
      <c r="Y218" s="179" t="str">
        <f t="array" ref="Y218">IF($F218&lt;&gt;"",XLOOKUP($F218,Productos!$A:$A,Productos!R:R,"Revisar"),"")</f>
        <v/>
      </c>
      <c r="Z218" s="179" t="str">
        <f t="array" ref="Z218">IF($F218&lt;&gt;"", XLOOKUP($F218,Productos!$A$2:$A1001,Productos!S$2:S1001,"")*$G218,"")</f>
        <v/>
      </c>
      <c r="AA218" s="179" t="str">
        <f t="array" ref="AA218">IF($F218&lt;&gt;"",XLOOKUP($F218,Productos!$A:$A,Productos!T:T,"Revisar"),"")</f>
        <v/>
      </c>
      <c r="AB218" s="179" t="str">
        <f t="array" ref="AB218">IF($F218&lt;&gt;"", XLOOKUP($F218,Productos!$A$2:$A1001,Productos!U$2:U1001,"")*$G218,"")</f>
        <v/>
      </c>
      <c r="AC218" s="179" t="str">
        <f t="array" ref="AC218">IF($F218&lt;&gt;"",XLOOKUP($F218,Productos!$A:$A,Productos!V:V,"Revisar"),"")</f>
        <v/>
      </c>
      <c r="AD218" s="179" t="str">
        <f t="array" ref="AD218">IF($F218&lt;&gt;"", XLOOKUP($F218,Productos!$A$2:$A1001,Productos!W$2:W1001,"")*$G218,"")</f>
        <v/>
      </c>
      <c r="AE218" s="179" t="str">
        <f t="array" ref="AE218">IF($F218&lt;&gt;"",XLOOKUP($F218,Productos!$A:$A,Productos!X:X,"Revisar"),"")</f>
        <v/>
      </c>
      <c r="AF218" s="179" t="str">
        <f t="array" ref="AF218">IF($F218&lt;&gt;"", XLOOKUP($F218,Productos!$A$2:$A1001,Productos!Y$2:Y1001,"")*$G218,"")</f>
        <v/>
      </c>
      <c r="AG218" s="179" t="str">
        <f t="array" ref="AG218">IF($F218&lt;&gt;"",XLOOKUP($F218,Productos!$A:$A,Productos!Z:Z,"Revisar"),"")</f>
        <v/>
      </c>
      <c r="AH218" s="179" t="str">
        <f t="array" ref="AH218">IF($F218&lt;&gt;"", XLOOKUP($F218,Productos!$A$2:$A1001,Productos!AA$2:AA1001,"")*$G218,"")</f>
        <v/>
      </c>
      <c r="AI218" s="179" t="str">
        <f t="array" ref="AI218">IF($F218&lt;&gt;"",XLOOKUP($F218,Productos!$A:$A,Productos!AB:AB,"Revisar"),"")</f>
        <v/>
      </c>
      <c r="AJ218" s="179" t="str">
        <f t="array" ref="AJ218">IF($F218&lt;&gt;"", XLOOKUP($F218,Productos!$A$2:$A1001,Productos!AC$2:AC1001,"")*$G218,"")</f>
        <v/>
      </c>
      <c r="AK218" s="179" t="str">
        <f t="array" ref="AK218">IF($F218&lt;&gt;"",XLOOKUP($F218,Productos!$A:$A,Productos!AD:AD,"Revisar"),"")</f>
        <v/>
      </c>
      <c r="AL218" s="179" t="str">
        <f t="array" ref="AL218">IF($F218&lt;&gt;"", XLOOKUP($F218,Productos!$A$2:$A1001,Productos!AE$2:AE1001,"")*$G218,"")</f>
        <v/>
      </c>
      <c r="AM218" s="179" t="str">
        <f t="array" ref="AM218">IF($F218&lt;&gt;"",XLOOKUP($F218,Productos!$A:$A,Productos!AF:AF,"Revisar"),"")</f>
        <v/>
      </c>
      <c r="AN218" s="179" t="str">
        <f t="array" ref="AN218">IF($F218&lt;&gt;"", XLOOKUP($F218,Productos!$A$2:$A1001,Productos!AG$2:AG1001,"")*$G218,"")</f>
        <v/>
      </c>
      <c r="AO218" s="179" t="str">
        <f t="array" ref="AO218">IF($F218&lt;&gt;"",XLOOKUP($F218,Productos!$A:$A,Productos!AH:AH,"Revisar"),"")</f>
        <v/>
      </c>
      <c r="AP218" s="179" t="str">
        <f t="array" ref="AP218">IF($F218&lt;&gt;"", XLOOKUP($F218,Productos!$A$2:$A1001,Productos!AI$2:AI1001,"")*$G218,"")</f>
        <v/>
      </c>
      <c r="AQ218" s="179" t="str">
        <f t="array" ref="AQ218">IF($F218&lt;&gt;"",XLOOKUP($F218,Productos!$A:$A,Productos!AJ:AJ,"Revisar"),"")</f>
        <v/>
      </c>
      <c r="AR218" s="179" t="str">
        <f t="array" ref="AR218">IF($F218&lt;&gt;"", XLOOKUP($F218,Productos!$A$2:$A1001,Productos!AK$2:AK1001,"")*$G218,"")</f>
        <v/>
      </c>
      <c r="AS218" s="179" t="str">
        <f t="array" ref="AS218">IF($F218&lt;&gt;"",XLOOKUP($F218,Productos!$A:$A,Productos!AL:AL,"Revisar"),"")</f>
        <v/>
      </c>
      <c r="AT218" s="179" t="str">
        <f t="array" ref="AT218">IF($F218&lt;&gt;"", XLOOKUP($F218,Productos!$A$2:$A1001,Productos!AM$2:AM1001,"")*$G218,"")</f>
        <v/>
      </c>
      <c r="AU218" s="179" t="str">
        <f t="array" ref="AU218">IF($F218&lt;&gt;"",XLOOKUP($F218,Productos!$A:$A,Productos!AN:AN,"Revisar"),"")</f>
        <v/>
      </c>
      <c r="AV218" s="179" t="str">
        <f t="array" ref="AV218">IF($F218&lt;&gt;"", XLOOKUP($F218,Productos!$A$2:$A1001,Productos!AO$2:AO1001,"")*$G218,"")</f>
        <v/>
      </c>
      <c r="AW218" s="179" t="str">
        <f t="array" ref="AW218">IF($F218&lt;&gt;"",XLOOKUP($F218,Productos!$A:$A,Productos!AP:AP,"Revisar"),"")</f>
        <v/>
      </c>
      <c r="AX218" s="179" t="str">
        <f t="array" ref="AX218">IF($F218&lt;&gt;"", XLOOKUP($F218,Productos!$A$2:$A1001,Productos!AQ$2:AQ1001,"")*$G218,"")</f>
        <v/>
      </c>
      <c r="AY218" s="179" t="str">
        <f t="array" ref="AY218">IF($F218&lt;&gt;"",XLOOKUP($F218,Productos!$A:$A,Productos!AR:AR,"Revisar"),"")</f>
        <v/>
      </c>
      <c r="AZ218" s="179" t="str">
        <f t="array" ref="AZ218">IF($F218&lt;&gt;"", XLOOKUP($F218,Productos!$A$2:$A1001,Productos!AS$2:AS1001,"")*$G218,"")</f>
        <v/>
      </c>
      <c r="BA218" s="179" t="str">
        <f t="array" ref="BA218">IF($F218&lt;&gt;"",XLOOKUP($F218,Productos!$A:$A,Productos!AT:AT,"Revisar"),"")</f>
        <v/>
      </c>
      <c r="BB218" s="179" t="str">
        <f t="array" ref="BB218">IF($F218&lt;&gt;"", XLOOKUP($F218,Productos!$A$2:$A1001,Productos!AU$2:AU1001,"")*$G218,"")</f>
        <v/>
      </c>
      <c r="BC218" s="179" t="str">
        <f t="array" ref="BC218">IF($F218&lt;&gt;"",XLOOKUP($F218,Productos!$A:$A,Productos!AV:AV,"Revisar"),"")</f>
        <v/>
      </c>
      <c r="BD218" s="179" t="str">
        <f t="array" ref="BD218">IF($F218&lt;&gt;"", XLOOKUP($F218,Productos!$A$2:$A1001,Productos!AW$2:AW1001,"")*$G218,"")</f>
        <v/>
      </c>
      <c r="BE218" s="179" t="str">
        <f t="array" ref="BE218">IF($F218&lt;&gt;"",XLOOKUP($F218,Productos!$A:$A,Productos!AX:AX,"Revisar"),"")</f>
        <v/>
      </c>
      <c r="BF218" s="179" t="str">
        <f t="array" ref="BF218">IF($F218&lt;&gt;"", XLOOKUP($F218,Productos!$A$2:$A1001,Productos!AY$2:AY1001,"")*$G218,"")</f>
        <v/>
      </c>
      <c r="BG218" s="179" t="str">
        <f t="array" ref="BG218">IF($F218&lt;&gt;"",XLOOKUP($F218,Productos!$A:$A,Productos!AZ:AZ,"Revisar"),"")</f>
        <v/>
      </c>
      <c r="BH218" s="179" t="str">
        <f t="array" ref="BH218">IF($F218&lt;&gt;"", XLOOKUP($F218,Productos!$A$2:$A1001,Productos!BA$2:BA1001,"")*$G218,"")</f>
        <v/>
      </c>
      <c r="BI218" s="179" t="str">
        <f t="array" ref="BI218">IF($F218&lt;&gt;"",XLOOKUP($F218,Productos!$A:$A,Productos!BB:BB,"Revisar"),"")</f>
        <v/>
      </c>
      <c r="BJ218" s="179" t="str">
        <f t="array" ref="BJ218">IF($F218&lt;&gt;"", XLOOKUP($F218,Productos!$A$2:$A1001,Productos!BC$2:BC1001,"")*$G218,"")</f>
        <v/>
      </c>
      <c r="BK218" s="179" t="str">
        <f t="array" ref="BK218">IF($F218&lt;&gt;"",XLOOKUP($F218,Productos!$A:$A,Productos!BD:BD,"Revisar"),"")</f>
        <v/>
      </c>
      <c r="BL218" s="179" t="str">
        <f t="array" ref="BL218">IF($F218&lt;&gt;"", XLOOKUP($F218,Productos!$A$2:$A1001,Productos!BE$2:BE1001,"")*$G218,"")</f>
        <v/>
      </c>
      <c r="BM218" s="179" t="str">
        <f t="array" ref="BM218">IF($F218&lt;&gt;"",XLOOKUP($F218,Productos!$A:$A,Productos!BF:BF,"Revisar"),"")</f>
        <v/>
      </c>
      <c r="BN218" s="179" t="str">
        <f t="array" ref="BN218">IF($F218&lt;&gt;"", XLOOKUP($F218,Productos!$A$2:$A1001,Productos!BG$2:BG1001,"")*$G218,"")</f>
        <v/>
      </c>
      <c r="BO218" s="179" t="str">
        <f t="array" ref="BO218">IF($F218&lt;&gt;"",XLOOKUP($F218,Productos!$A:$A,Productos!BH:BH,"Revisar"),"")</f>
        <v/>
      </c>
      <c r="BP218" s="179" t="str">
        <f t="array" ref="BP218">IF($F218&lt;&gt;"", XLOOKUP($F218,Productos!$A$2:$A1001,Productos!BI$2:BI1001,"")*$G218,"")</f>
        <v/>
      </c>
      <c r="BQ218" s="179" t="str">
        <f t="array" ref="BQ218">IF($F218&lt;&gt;"",XLOOKUP($F218,Productos!$A:$A,Productos!BJ:BJ,"Revisar"),"")</f>
        <v/>
      </c>
      <c r="BR218" s="179" t="str">
        <f t="array" ref="BR218">IF($F218&lt;&gt;"", XLOOKUP($F218,Productos!$A$2:$A1001,Productos!BK$2:BK1001,"")*$G218,"")</f>
        <v/>
      </c>
      <c r="BS218" s="179" t="str">
        <f t="array" ref="BS218">IF($F218&lt;&gt;"",XLOOKUP($F218,Productos!$A:$A,Productos!BL:BL,"Revisar"),"")</f>
        <v/>
      </c>
      <c r="BT218" s="179" t="str">
        <f t="array" ref="BT218">IF($F218&lt;&gt;"", XLOOKUP($F218,Productos!$A$2:$A1001,Productos!BM$2:BM1001,"")*$G218,"")</f>
        <v/>
      </c>
      <c r="BU218" s="179" t="str">
        <f t="array" ref="BU218">IF($F218&lt;&gt;"",XLOOKUP($F218,Productos!$A:$A,Productos!BN:BN,"Revisar"),"")</f>
        <v/>
      </c>
      <c r="BV218" s="179" t="str">
        <f t="array" ref="BV218">IF($F218&lt;&gt;"", XLOOKUP($F218,Productos!$A$2:$A1001,Productos!BO$2:BO1001,"")*$G218,"")</f>
        <v/>
      </c>
      <c r="BW218" s="179" t="str">
        <f t="array" ref="BW218">IF($F218&lt;&gt;"",XLOOKUP($F218,Productos!$A:$A,Productos!BP:BP,"Revisar"),"")</f>
        <v/>
      </c>
      <c r="BX218" s="179" t="str">
        <f t="array" ref="BX218">IF($F218&lt;&gt;"", XLOOKUP($F218,Productos!$A$2:$A1001,Productos!BQ$2:BQ1001,"")*$G218,"")</f>
        <v/>
      </c>
      <c r="BY218" s="179" t="str">
        <f t="array" ref="BY218">IF($F218&lt;&gt;"",XLOOKUP($F218,Productos!$A:$A,Productos!BR:BR,"Revisar"),"")</f>
        <v/>
      </c>
      <c r="BZ218" s="179" t="str">
        <f t="array" ref="BZ218">IF($F218&lt;&gt;"", XLOOKUP($F218,Productos!$A$2:$A1001,Productos!BS$2:BS1001,"")*$G218,"")</f>
        <v/>
      </c>
    </row>
    <row r="219">
      <c r="A219" s="180"/>
      <c r="B219" s="181"/>
      <c r="C219" s="182"/>
      <c r="D219" s="182"/>
      <c r="E219" s="185"/>
      <c r="F219" s="186"/>
      <c r="G219" s="187"/>
      <c r="H219" s="186"/>
      <c r="I219" s="179" t="str">
        <f t="array" ref="I219">IF($F219&lt;&gt;"",XLOOKUP($F219,Productos!$A:$A,Productos!B:B,"Revisar"),"")</f>
        <v/>
      </c>
      <c r="J219" s="179" t="str">
        <f t="array" ref="J219">IF($F219&lt;&gt;"", XLOOKUP($F219,Productos!$A$2:$A1001,Productos!C$2:C1001,"")*$G219,"")</f>
        <v/>
      </c>
      <c r="K219" s="179" t="str">
        <f t="array" ref="K219">IF($F219&lt;&gt;"",XLOOKUP($F219,Productos!$A:$A,Productos!D:D,"Revisar"),"")</f>
        <v/>
      </c>
      <c r="L219" s="179" t="str">
        <f t="array" ref="L219">IF($F219&lt;&gt;"", XLOOKUP($F219,Productos!$A$2:$A1001,Productos!E$2:E1001,"")*$G219,"")</f>
        <v/>
      </c>
      <c r="M219" s="179" t="str">
        <f t="array" ref="M219">IF($F219&lt;&gt;"",XLOOKUP($F219,Productos!$A:$A,Productos!F:F,"Revisar"),"")</f>
        <v/>
      </c>
      <c r="N219" s="179" t="str">
        <f t="array" ref="N219">IF($F219&lt;&gt;"", XLOOKUP($F219,Productos!$A$2:$A1001,Productos!G$2:G1001,"")*$G219,"")</f>
        <v/>
      </c>
      <c r="O219" s="179" t="str">
        <f t="array" ref="O219">IF($F219&lt;&gt;"",XLOOKUP($F219,Productos!$A:$A,Productos!H:H,"Revisar"),"")</f>
        <v/>
      </c>
      <c r="P219" s="179" t="str">
        <f t="array" ref="P219">IF($F219&lt;&gt;"", XLOOKUP($F219,Productos!$A$2:$A1001,Productos!I$2:I1001,"")*$G219,"")</f>
        <v/>
      </c>
      <c r="Q219" s="179" t="str">
        <f t="array" ref="Q219">IF($F219&lt;&gt;"",XLOOKUP($F219,Productos!$A:$A,Productos!J:J,"Revisar"),"")</f>
        <v/>
      </c>
      <c r="R219" s="179" t="str">
        <f t="array" ref="R219">IF($F219&lt;&gt;"", XLOOKUP($F219,Productos!$A$2:$A1001,Productos!K$2:K1001,"")*$G219,"")</f>
        <v/>
      </c>
      <c r="S219" s="179" t="str">
        <f t="array" ref="S219">IF($F219&lt;&gt;"",XLOOKUP($F219,Productos!$A:$A,Productos!L:L,"Revisar"),"")</f>
        <v/>
      </c>
      <c r="T219" s="179" t="str">
        <f t="array" ref="T219">IF($F219&lt;&gt;"", XLOOKUP($F219,Productos!$A$2:$A1001,Productos!M$2:M1001,"")*$G219,"")</f>
        <v/>
      </c>
      <c r="U219" s="179" t="str">
        <f t="array" ref="U219">IF($F219&lt;&gt;"",XLOOKUP($F219,Productos!$A:$A,Productos!N:N,"Revisar"),"")</f>
        <v/>
      </c>
      <c r="V219" s="179" t="str">
        <f t="array" ref="V219">IF($F219&lt;&gt;"", XLOOKUP($F219,Productos!$A$2:$A1001,Productos!O$2:O1001,"")*$G219,"")</f>
        <v/>
      </c>
      <c r="W219" s="179" t="str">
        <f t="array" ref="W219">IF($F219&lt;&gt;"",XLOOKUP($F219,Productos!$A:$A,Productos!P:P,"Revisar"),"")</f>
        <v/>
      </c>
      <c r="X219" s="179" t="str">
        <f t="array" ref="X219">IF($F219&lt;&gt;"", XLOOKUP($F219,Productos!$A$2:$A1001,Productos!Q$2:Q1001,"")*$G219,"")</f>
        <v/>
      </c>
      <c r="Y219" s="179" t="str">
        <f t="array" ref="Y219">IF($F219&lt;&gt;"",XLOOKUP($F219,Productos!$A:$A,Productos!R:R,"Revisar"),"")</f>
        <v/>
      </c>
      <c r="Z219" s="179" t="str">
        <f t="array" ref="Z219">IF($F219&lt;&gt;"", XLOOKUP($F219,Productos!$A$2:$A1001,Productos!S$2:S1001,"")*$G219,"")</f>
        <v/>
      </c>
      <c r="AA219" s="179" t="str">
        <f t="array" ref="AA219">IF($F219&lt;&gt;"",XLOOKUP($F219,Productos!$A:$A,Productos!T:T,"Revisar"),"")</f>
        <v/>
      </c>
      <c r="AB219" s="179" t="str">
        <f t="array" ref="AB219">IF($F219&lt;&gt;"", XLOOKUP($F219,Productos!$A$2:$A1001,Productos!U$2:U1001,"")*$G219,"")</f>
        <v/>
      </c>
      <c r="AC219" s="179" t="str">
        <f t="array" ref="AC219">IF($F219&lt;&gt;"",XLOOKUP($F219,Productos!$A:$A,Productos!V:V,"Revisar"),"")</f>
        <v/>
      </c>
      <c r="AD219" s="179" t="str">
        <f t="array" ref="AD219">IF($F219&lt;&gt;"", XLOOKUP($F219,Productos!$A$2:$A1001,Productos!W$2:W1001,"")*$G219,"")</f>
        <v/>
      </c>
      <c r="AE219" s="179" t="str">
        <f t="array" ref="AE219">IF($F219&lt;&gt;"",XLOOKUP($F219,Productos!$A:$A,Productos!X:X,"Revisar"),"")</f>
        <v/>
      </c>
      <c r="AF219" s="179" t="str">
        <f t="array" ref="AF219">IF($F219&lt;&gt;"", XLOOKUP($F219,Productos!$A$2:$A1001,Productos!Y$2:Y1001,"")*$G219,"")</f>
        <v/>
      </c>
      <c r="AG219" s="179" t="str">
        <f t="array" ref="AG219">IF($F219&lt;&gt;"",XLOOKUP($F219,Productos!$A:$A,Productos!Z:Z,"Revisar"),"")</f>
        <v/>
      </c>
      <c r="AH219" s="179" t="str">
        <f t="array" ref="AH219">IF($F219&lt;&gt;"", XLOOKUP($F219,Productos!$A$2:$A1001,Productos!AA$2:AA1001,"")*$G219,"")</f>
        <v/>
      </c>
      <c r="AI219" s="179" t="str">
        <f t="array" ref="AI219">IF($F219&lt;&gt;"",XLOOKUP($F219,Productos!$A:$A,Productos!AB:AB,"Revisar"),"")</f>
        <v/>
      </c>
      <c r="AJ219" s="179" t="str">
        <f t="array" ref="AJ219">IF($F219&lt;&gt;"", XLOOKUP($F219,Productos!$A$2:$A1001,Productos!AC$2:AC1001,"")*$G219,"")</f>
        <v/>
      </c>
      <c r="AK219" s="179" t="str">
        <f t="array" ref="AK219">IF($F219&lt;&gt;"",XLOOKUP($F219,Productos!$A:$A,Productos!AD:AD,"Revisar"),"")</f>
        <v/>
      </c>
      <c r="AL219" s="179" t="str">
        <f t="array" ref="AL219">IF($F219&lt;&gt;"", XLOOKUP($F219,Productos!$A$2:$A1001,Productos!AE$2:AE1001,"")*$G219,"")</f>
        <v/>
      </c>
      <c r="AM219" s="179" t="str">
        <f t="array" ref="AM219">IF($F219&lt;&gt;"",XLOOKUP($F219,Productos!$A:$A,Productos!AF:AF,"Revisar"),"")</f>
        <v/>
      </c>
      <c r="AN219" s="179" t="str">
        <f t="array" ref="AN219">IF($F219&lt;&gt;"", XLOOKUP($F219,Productos!$A$2:$A1001,Productos!AG$2:AG1001,"")*$G219,"")</f>
        <v/>
      </c>
      <c r="AO219" s="179" t="str">
        <f t="array" ref="AO219">IF($F219&lt;&gt;"",XLOOKUP($F219,Productos!$A:$A,Productos!AH:AH,"Revisar"),"")</f>
        <v/>
      </c>
      <c r="AP219" s="179" t="str">
        <f t="array" ref="AP219">IF($F219&lt;&gt;"", XLOOKUP($F219,Productos!$A$2:$A1001,Productos!AI$2:AI1001,"")*$G219,"")</f>
        <v/>
      </c>
      <c r="AQ219" s="179" t="str">
        <f t="array" ref="AQ219">IF($F219&lt;&gt;"",XLOOKUP($F219,Productos!$A:$A,Productos!AJ:AJ,"Revisar"),"")</f>
        <v/>
      </c>
      <c r="AR219" s="179" t="str">
        <f t="array" ref="AR219">IF($F219&lt;&gt;"", XLOOKUP($F219,Productos!$A$2:$A1001,Productos!AK$2:AK1001,"")*$G219,"")</f>
        <v/>
      </c>
      <c r="AS219" s="179" t="str">
        <f t="array" ref="AS219">IF($F219&lt;&gt;"",XLOOKUP($F219,Productos!$A:$A,Productos!AL:AL,"Revisar"),"")</f>
        <v/>
      </c>
      <c r="AT219" s="179" t="str">
        <f t="array" ref="AT219">IF($F219&lt;&gt;"", XLOOKUP($F219,Productos!$A$2:$A1001,Productos!AM$2:AM1001,"")*$G219,"")</f>
        <v/>
      </c>
      <c r="AU219" s="179" t="str">
        <f t="array" ref="AU219">IF($F219&lt;&gt;"",XLOOKUP($F219,Productos!$A:$A,Productos!AN:AN,"Revisar"),"")</f>
        <v/>
      </c>
      <c r="AV219" s="179" t="str">
        <f t="array" ref="AV219">IF($F219&lt;&gt;"", XLOOKUP($F219,Productos!$A$2:$A1001,Productos!AO$2:AO1001,"")*$G219,"")</f>
        <v/>
      </c>
      <c r="AW219" s="179" t="str">
        <f t="array" ref="AW219">IF($F219&lt;&gt;"",XLOOKUP($F219,Productos!$A:$A,Productos!AP:AP,"Revisar"),"")</f>
        <v/>
      </c>
      <c r="AX219" s="179" t="str">
        <f t="array" ref="AX219">IF($F219&lt;&gt;"", XLOOKUP($F219,Productos!$A$2:$A1001,Productos!AQ$2:AQ1001,"")*$G219,"")</f>
        <v/>
      </c>
      <c r="AY219" s="179" t="str">
        <f t="array" ref="AY219">IF($F219&lt;&gt;"",XLOOKUP($F219,Productos!$A:$A,Productos!AR:AR,"Revisar"),"")</f>
        <v/>
      </c>
      <c r="AZ219" s="179" t="str">
        <f t="array" ref="AZ219">IF($F219&lt;&gt;"", XLOOKUP($F219,Productos!$A$2:$A1001,Productos!AS$2:AS1001,"")*$G219,"")</f>
        <v/>
      </c>
      <c r="BA219" s="179" t="str">
        <f t="array" ref="BA219">IF($F219&lt;&gt;"",XLOOKUP($F219,Productos!$A:$A,Productos!AT:AT,"Revisar"),"")</f>
        <v/>
      </c>
      <c r="BB219" s="179" t="str">
        <f t="array" ref="BB219">IF($F219&lt;&gt;"", XLOOKUP($F219,Productos!$A$2:$A1001,Productos!AU$2:AU1001,"")*$G219,"")</f>
        <v/>
      </c>
      <c r="BC219" s="179" t="str">
        <f t="array" ref="BC219">IF($F219&lt;&gt;"",XLOOKUP($F219,Productos!$A:$A,Productos!AV:AV,"Revisar"),"")</f>
        <v/>
      </c>
      <c r="BD219" s="179" t="str">
        <f t="array" ref="BD219">IF($F219&lt;&gt;"", XLOOKUP($F219,Productos!$A$2:$A1001,Productos!AW$2:AW1001,"")*$G219,"")</f>
        <v/>
      </c>
      <c r="BE219" s="179" t="str">
        <f t="array" ref="BE219">IF($F219&lt;&gt;"",XLOOKUP($F219,Productos!$A:$A,Productos!AX:AX,"Revisar"),"")</f>
        <v/>
      </c>
      <c r="BF219" s="179" t="str">
        <f t="array" ref="BF219">IF($F219&lt;&gt;"", XLOOKUP($F219,Productos!$A$2:$A1001,Productos!AY$2:AY1001,"")*$G219,"")</f>
        <v/>
      </c>
      <c r="BG219" s="179" t="str">
        <f t="array" ref="BG219">IF($F219&lt;&gt;"",XLOOKUP($F219,Productos!$A:$A,Productos!AZ:AZ,"Revisar"),"")</f>
        <v/>
      </c>
      <c r="BH219" s="179" t="str">
        <f t="array" ref="BH219">IF($F219&lt;&gt;"", XLOOKUP($F219,Productos!$A$2:$A1001,Productos!BA$2:BA1001,"")*$G219,"")</f>
        <v/>
      </c>
      <c r="BI219" s="179" t="str">
        <f t="array" ref="BI219">IF($F219&lt;&gt;"",XLOOKUP($F219,Productos!$A:$A,Productos!BB:BB,"Revisar"),"")</f>
        <v/>
      </c>
      <c r="BJ219" s="179" t="str">
        <f t="array" ref="BJ219">IF($F219&lt;&gt;"", XLOOKUP($F219,Productos!$A$2:$A1001,Productos!BC$2:BC1001,"")*$G219,"")</f>
        <v/>
      </c>
      <c r="BK219" s="179" t="str">
        <f t="array" ref="BK219">IF($F219&lt;&gt;"",XLOOKUP($F219,Productos!$A:$A,Productos!BD:BD,"Revisar"),"")</f>
        <v/>
      </c>
      <c r="BL219" s="179" t="str">
        <f t="array" ref="BL219">IF($F219&lt;&gt;"", XLOOKUP($F219,Productos!$A$2:$A1001,Productos!BE$2:BE1001,"")*$G219,"")</f>
        <v/>
      </c>
      <c r="BM219" s="179" t="str">
        <f t="array" ref="BM219">IF($F219&lt;&gt;"",XLOOKUP($F219,Productos!$A:$A,Productos!BF:BF,"Revisar"),"")</f>
        <v/>
      </c>
      <c r="BN219" s="179" t="str">
        <f t="array" ref="BN219">IF($F219&lt;&gt;"", XLOOKUP($F219,Productos!$A$2:$A1001,Productos!BG$2:BG1001,"")*$G219,"")</f>
        <v/>
      </c>
      <c r="BO219" s="179" t="str">
        <f t="array" ref="BO219">IF($F219&lt;&gt;"",XLOOKUP($F219,Productos!$A:$A,Productos!BH:BH,"Revisar"),"")</f>
        <v/>
      </c>
      <c r="BP219" s="179" t="str">
        <f t="array" ref="BP219">IF($F219&lt;&gt;"", XLOOKUP($F219,Productos!$A$2:$A1001,Productos!BI$2:BI1001,"")*$G219,"")</f>
        <v/>
      </c>
      <c r="BQ219" s="179" t="str">
        <f t="array" ref="BQ219">IF($F219&lt;&gt;"",XLOOKUP($F219,Productos!$A:$A,Productos!BJ:BJ,"Revisar"),"")</f>
        <v/>
      </c>
      <c r="BR219" s="179" t="str">
        <f t="array" ref="BR219">IF($F219&lt;&gt;"", XLOOKUP($F219,Productos!$A$2:$A1001,Productos!BK$2:BK1001,"")*$G219,"")</f>
        <v/>
      </c>
      <c r="BS219" s="179" t="str">
        <f t="array" ref="BS219">IF($F219&lt;&gt;"",XLOOKUP($F219,Productos!$A:$A,Productos!BL:BL,"Revisar"),"")</f>
        <v/>
      </c>
      <c r="BT219" s="179" t="str">
        <f t="array" ref="BT219">IF($F219&lt;&gt;"", XLOOKUP($F219,Productos!$A$2:$A1001,Productos!BM$2:BM1001,"")*$G219,"")</f>
        <v/>
      </c>
      <c r="BU219" s="179" t="str">
        <f t="array" ref="BU219">IF($F219&lt;&gt;"",XLOOKUP($F219,Productos!$A:$A,Productos!BN:BN,"Revisar"),"")</f>
        <v/>
      </c>
      <c r="BV219" s="179" t="str">
        <f t="array" ref="BV219">IF($F219&lt;&gt;"", XLOOKUP($F219,Productos!$A$2:$A1001,Productos!BO$2:BO1001,"")*$G219,"")</f>
        <v/>
      </c>
      <c r="BW219" s="179" t="str">
        <f t="array" ref="BW219">IF($F219&lt;&gt;"",XLOOKUP($F219,Productos!$A:$A,Productos!BP:BP,"Revisar"),"")</f>
        <v/>
      </c>
      <c r="BX219" s="179" t="str">
        <f t="array" ref="BX219">IF($F219&lt;&gt;"", XLOOKUP($F219,Productos!$A$2:$A1001,Productos!BQ$2:BQ1001,"")*$G219,"")</f>
        <v/>
      </c>
      <c r="BY219" s="179" t="str">
        <f t="array" ref="BY219">IF($F219&lt;&gt;"",XLOOKUP($F219,Productos!$A:$A,Productos!BR:BR,"Revisar"),"")</f>
        <v/>
      </c>
      <c r="BZ219" s="179" t="str">
        <f t="array" ref="BZ219">IF($F219&lt;&gt;"", XLOOKUP($F219,Productos!$A$2:$A1001,Productos!BS$2:BS1001,"")*$G219,"")</f>
        <v/>
      </c>
    </row>
    <row r="220">
      <c r="A220" s="180"/>
      <c r="B220" s="181"/>
      <c r="C220" s="182"/>
      <c r="D220" s="182"/>
      <c r="E220" s="185"/>
      <c r="F220" s="186"/>
      <c r="G220" s="187"/>
      <c r="H220" s="186"/>
      <c r="I220" s="179" t="str">
        <f t="array" ref="I220">IF($F220&lt;&gt;"",XLOOKUP($F220,Productos!$A:$A,Productos!B:B,"Revisar"),"")</f>
        <v/>
      </c>
      <c r="J220" s="179" t="str">
        <f t="array" ref="J220">IF($F220&lt;&gt;"", XLOOKUP($F220,Productos!$A$2:$A1001,Productos!C$2:C1001,"")*$G220,"")</f>
        <v/>
      </c>
      <c r="K220" s="179" t="str">
        <f t="array" ref="K220">IF($F220&lt;&gt;"",XLOOKUP($F220,Productos!$A:$A,Productos!D:D,"Revisar"),"")</f>
        <v/>
      </c>
      <c r="L220" s="179" t="str">
        <f t="array" ref="L220">IF($F220&lt;&gt;"", XLOOKUP($F220,Productos!$A$2:$A1001,Productos!E$2:E1001,"")*$G220,"")</f>
        <v/>
      </c>
      <c r="M220" s="179" t="str">
        <f t="array" ref="M220">IF($F220&lt;&gt;"",XLOOKUP($F220,Productos!$A:$A,Productos!F:F,"Revisar"),"")</f>
        <v/>
      </c>
      <c r="N220" s="179" t="str">
        <f t="array" ref="N220">IF($F220&lt;&gt;"", XLOOKUP($F220,Productos!$A$2:$A1001,Productos!G$2:G1001,"")*$G220,"")</f>
        <v/>
      </c>
      <c r="O220" s="179" t="str">
        <f t="array" ref="O220">IF($F220&lt;&gt;"",XLOOKUP($F220,Productos!$A:$A,Productos!H:H,"Revisar"),"")</f>
        <v/>
      </c>
      <c r="P220" s="179" t="str">
        <f t="array" ref="P220">IF($F220&lt;&gt;"", XLOOKUP($F220,Productos!$A$2:$A1001,Productos!I$2:I1001,"")*$G220,"")</f>
        <v/>
      </c>
      <c r="Q220" s="179" t="str">
        <f t="array" ref="Q220">IF($F220&lt;&gt;"",XLOOKUP($F220,Productos!$A:$A,Productos!J:J,"Revisar"),"")</f>
        <v/>
      </c>
      <c r="R220" s="179" t="str">
        <f t="array" ref="R220">IF($F220&lt;&gt;"", XLOOKUP($F220,Productos!$A$2:$A1001,Productos!K$2:K1001,"")*$G220,"")</f>
        <v/>
      </c>
      <c r="S220" s="179" t="str">
        <f t="array" ref="S220">IF($F220&lt;&gt;"",XLOOKUP($F220,Productos!$A:$A,Productos!L:L,"Revisar"),"")</f>
        <v/>
      </c>
      <c r="T220" s="179" t="str">
        <f t="array" ref="T220">IF($F220&lt;&gt;"", XLOOKUP($F220,Productos!$A$2:$A1001,Productos!M$2:M1001,"")*$G220,"")</f>
        <v/>
      </c>
      <c r="U220" s="179" t="str">
        <f t="array" ref="U220">IF($F220&lt;&gt;"",XLOOKUP($F220,Productos!$A:$A,Productos!N:N,"Revisar"),"")</f>
        <v/>
      </c>
      <c r="V220" s="179" t="str">
        <f t="array" ref="V220">IF($F220&lt;&gt;"", XLOOKUP($F220,Productos!$A$2:$A1001,Productos!O$2:O1001,"")*$G220,"")</f>
        <v/>
      </c>
      <c r="W220" s="179" t="str">
        <f t="array" ref="W220">IF($F220&lt;&gt;"",XLOOKUP($F220,Productos!$A:$A,Productos!P:P,"Revisar"),"")</f>
        <v/>
      </c>
      <c r="X220" s="179" t="str">
        <f t="array" ref="X220">IF($F220&lt;&gt;"", XLOOKUP($F220,Productos!$A$2:$A1001,Productos!Q$2:Q1001,"")*$G220,"")</f>
        <v/>
      </c>
      <c r="Y220" s="179" t="str">
        <f t="array" ref="Y220">IF($F220&lt;&gt;"",XLOOKUP($F220,Productos!$A:$A,Productos!R:R,"Revisar"),"")</f>
        <v/>
      </c>
      <c r="Z220" s="179" t="str">
        <f t="array" ref="Z220">IF($F220&lt;&gt;"", XLOOKUP($F220,Productos!$A$2:$A1001,Productos!S$2:S1001,"")*$G220,"")</f>
        <v/>
      </c>
      <c r="AA220" s="179" t="str">
        <f t="array" ref="AA220">IF($F220&lt;&gt;"",XLOOKUP($F220,Productos!$A:$A,Productos!T:T,"Revisar"),"")</f>
        <v/>
      </c>
      <c r="AB220" s="179" t="str">
        <f t="array" ref="AB220">IF($F220&lt;&gt;"", XLOOKUP($F220,Productos!$A$2:$A1001,Productos!U$2:U1001,"")*$G220,"")</f>
        <v/>
      </c>
      <c r="AC220" s="179" t="str">
        <f t="array" ref="AC220">IF($F220&lt;&gt;"",XLOOKUP($F220,Productos!$A:$A,Productos!V:V,"Revisar"),"")</f>
        <v/>
      </c>
      <c r="AD220" s="179" t="str">
        <f t="array" ref="AD220">IF($F220&lt;&gt;"", XLOOKUP($F220,Productos!$A$2:$A1001,Productos!W$2:W1001,"")*$G220,"")</f>
        <v/>
      </c>
      <c r="AE220" s="179" t="str">
        <f t="array" ref="AE220">IF($F220&lt;&gt;"",XLOOKUP($F220,Productos!$A:$A,Productos!X:X,"Revisar"),"")</f>
        <v/>
      </c>
      <c r="AF220" s="179" t="str">
        <f t="array" ref="AF220">IF($F220&lt;&gt;"", XLOOKUP($F220,Productos!$A$2:$A1001,Productos!Y$2:Y1001,"")*$G220,"")</f>
        <v/>
      </c>
      <c r="AG220" s="179" t="str">
        <f t="array" ref="AG220">IF($F220&lt;&gt;"",XLOOKUP($F220,Productos!$A:$A,Productos!Z:Z,"Revisar"),"")</f>
        <v/>
      </c>
      <c r="AH220" s="179" t="str">
        <f t="array" ref="AH220">IF($F220&lt;&gt;"", XLOOKUP($F220,Productos!$A$2:$A1001,Productos!AA$2:AA1001,"")*$G220,"")</f>
        <v/>
      </c>
      <c r="AI220" s="179" t="str">
        <f t="array" ref="AI220">IF($F220&lt;&gt;"",XLOOKUP($F220,Productos!$A:$A,Productos!AB:AB,"Revisar"),"")</f>
        <v/>
      </c>
      <c r="AJ220" s="179" t="str">
        <f t="array" ref="AJ220">IF($F220&lt;&gt;"", XLOOKUP($F220,Productos!$A$2:$A1001,Productos!AC$2:AC1001,"")*$G220,"")</f>
        <v/>
      </c>
      <c r="AK220" s="179" t="str">
        <f t="array" ref="AK220">IF($F220&lt;&gt;"",XLOOKUP($F220,Productos!$A:$A,Productos!AD:AD,"Revisar"),"")</f>
        <v/>
      </c>
      <c r="AL220" s="179" t="str">
        <f t="array" ref="AL220">IF($F220&lt;&gt;"", XLOOKUP($F220,Productos!$A$2:$A1001,Productos!AE$2:AE1001,"")*$G220,"")</f>
        <v/>
      </c>
      <c r="AM220" s="179" t="str">
        <f t="array" ref="AM220">IF($F220&lt;&gt;"",XLOOKUP($F220,Productos!$A:$A,Productos!AF:AF,"Revisar"),"")</f>
        <v/>
      </c>
      <c r="AN220" s="179" t="str">
        <f t="array" ref="AN220">IF($F220&lt;&gt;"", XLOOKUP($F220,Productos!$A$2:$A1001,Productos!AG$2:AG1001,"")*$G220,"")</f>
        <v/>
      </c>
      <c r="AO220" s="179" t="str">
        <f t="array" ref="AO220">IF($F220&lt;&gt;"",XLOOKUP($F220,Productos!$A:$A,Productos!AH:AH,"Revisar"),"")</f>
        <v/>
      </c>
      <c r="AP220" s="179" t="str">
        <f t="array" ref="AP220">IF($F220&lt;&gt;"", XLOOKUP($F220,Productos!$A$2:$A1001,Productos!AI$2:AI1001,"")*$G220,"")</f>
        <v/>
      </c>
      <c r="AQ220" s="179" t="str">
        <f t="array" ref="AQ220">IF($F220&lt;&gt;"",XLOOKUP($F220,Productos!$A:$A,Productos!AJ:AJ,"Revisar"),"")</f>
        <v/>
      </c>
      <c r="AR220" s="179" t="str">
        <f t="array" ref="AR220">IF($F220&lt;&gt;"", XLOOKUP($F220,Productos!$A$2:$A1001,Productos!AK$2:AK1001,"")*$G220,"")</f>
        <v/>
      </c>
      <c r="AS220" s="179" t="str">
        <f t="array" ref="AS220">IF($F220&lt;&gt;"",XLOOKUP($F220,Productos!$A:$A,Productos!AL:AL,"Revisar"),"")</f>
        <v/>
      </c>
      <c r="AT220" s="179" t="str">
        <f t="array" ref="AT220">IF($F220&lt;&gt;"", XLOOKUP($F220,Productos!$A$2:$A1001,Productos!AM$2:AM1001,"")*$G220,"")</f>
        <v/>
      </c>
      <c r="AU220" s="179" t="str">
        <f t="array" ref="AU220">IF($F220&lt;&gt;"",XLOOKUP($F220,Productos!$A:$A,Productos!AN:AN,"Revisar"),"")</f>
        <v/>
      </c>
      <c r="AV220" s="179" t="str">
        <f t="array" ref="AV220">IF($F220&lt;&gt;"", XLOOKUP($F220,Productos!$A$2:$A1001,Productos!AO$2:AO1001,"")*$G220,"")</f>
        <v/>
      </c>
      <c r="AW220" s="179" t="str">
        <f t="array" ref="AW220">IF($F220&lt;&gt;"",XLOOKUP($F220,Productos!$A:$A,Productos!AP:AP,"Revisar"),"")</f>
        <v/>
      </c>
      <c r="AX220" s="179" t="str">
        <f t="array" ref="AX220">IF($F220&lt;&gt;"", XLOOKUP($F220,Productos!$A$2:$A1001,Productos!AQ$2:AQ1001,"")*$G220,"")</f>
        <v/>
      </c>
      <c r="AY220" s="179" t="str">
        <f t="array" ref="AY220">IF($F220&lt;&gt;"",XLOOKUP($F220,Productos!$A:$A,Productos!AR:AR,"Revisar"),"")</f>
        <v/>
      </c>
      <c r="AZ220" s="179" t="str">
        <f t="array" ref="AZ220">IF($F220&lt;&gt;"", XLOOKUP($F220,Productos!$A$2:$A1001,Productos!AS$2:AS1001,"")*$G220,"")</f>
        <v/>
      </c>
      <c r="BA220" s="179" t="str">
        <f t="array" ref="BA220">IF($F220&lt;&gt;"",XLOOKUP($F220,Productos!$A:$A,Productos!AT:AT,"Revisar"),"")</f>
        <v/>
      </c>
      <c r="BB220" s="179" t="str">
        <f t="array" ref="BB220">IF($F220&lt;&gt;"", XLOOKUP($F220,Productos!$A$2:$A1001,Productos!AU$2:AU1001,"")*$G220,"")</f>
        <v/>
      </c>
      <c r="BC220" s="179" t="str">
        <f t="array" ref="BC220">IF($F220&lt;&gt;"",XLOOKUP($F220,Productos!$A:$A,Productos!AV:AV,"Revisar"),"")</f>
        <v/>
      </c>
      <c r="BD220" s="179" t="str">
        <f t="array" ref="BD220">IF($F220&lt;&gt;"", XLOOKUP($F220,Productos!$A$2:$A1001,Productos!AW$2:AW1001,"")*$G220,"")</f>
        <v/>
      </c>
      <c r="BE220" s="179" t="str">
        <f t="array" ref="BE220">IF($F220&lt;&gt;"",XLOOKUP($F220,Productos!$A:$A,Productos!AX:AX,"Revisar"),"")</f>
        <v/>
      </c>
      <c r="BF220" s="179" t="str">
        <f t="array" ref="BF220">IF($F220&lt;&gt;"", XLOOKUP($F220,Productos!$A$2:$A1001,Productos!AY$2:AY1001,"")*$G220,"")</f>
        <v/>
      </c>
      <c r="BG220" s="179" t="str">
        <f t="array" ref="BG220">IF($F220&lt;&gt;"",XLOOKUP($F220,Productos!$A:$A,Productos!AZ:AZ,"Revisar"),"")</f>
        <v/>
      </c>
      <c r="BH220" s="179" t="str">
        <f t="array" ref="BH220">IF($F220&lt;&gt;"", XLOOKUP($F220,Productos!$A$2:$A1001,Productos!BA$2:BA1001,"")*$G220,"")</f>
        <v/>
      </c>
      <c r="BI220" s="179" t="str">
        <f t="array" ref="BI220">IF($F220&lt;&gt;"",XLOOKUP($F220,Productos!$A:$A,Productos!BB:BB,"Revisar"),"")</f>
        <v/>
      </c>
      <c r="BJ220" s="179" t="str">
        <f t="array" ref="BJ220">IF($F220&lt;&gt;"", XLOOKUP($F220,Productos!$A$2:$A1001,Productos!BC$2:BC1001,"")*$G220,"")</f>
        <v/>
      </c>
      <c r="BK220" s="179" t="str">
        <f t="array" ref="BK220">IF($F220&lt;&gt;"",XLOOKUP($F220,Productos!$A:$A,Productos!BD:BD,"Revisar"),"")</f>
        <v/>
      </c>
      <c r="BL220" s="179" t="str">
        <f t="array" ref="BL220">IF($F220&lt;&gt;"", XLOOKUP($F220,Productos!$A$2:$A1001,Productos!BE$2:BE1001,"")*$G220,"")</f>
        <v/>
      </c>
      <c r="BM220" s="179" t="str">
        <f t="array" ref="BM220">IF($F220&lt;&gt;"",XLOOKUP($F220,Productos!$A:$A,Productos!BF:BF,"Revisar"),"")</f>
        <v/>
      </c>
      <c r="BN220" s="179" t="str">
        <f t="array" ref="BN220">IF($F220&lt;&gt;"", XLOOKUP($F220,Productos!$A$2:$A1001,Productos!BG$2:BG1001,"")*$G220,"")</f>
        <v/>
      </c>
      <c r="BO220" s="179" t="str">
        <f t="array" ref="BO220">IF($F220&lt;&gt;"",XLOOKUP($F220,Productos!$A:$A,Productos!BH:BH,"Revisar"),"")</f>
        <v/>
      </c>
      <c r="BP220" s="179" t="str">
        <f t="array" ref="BP220">IF($F220&lt;&gt;"", XLOOKUP($F220,Productos!$A$2:$A1001,Productos!BI$2:BI1001,"")*$G220,"")</f>
        <v/>
      </c>
      <c r="BQ220" s="179" t="str">
        <f t="array" ref="BQ220">IF($F220&lt;&gt;"",XLOOKUP($F220,Productos!$A:$A,Productos!BJ:BJ,"Revisar"),"")</f>
        <v/>
      </c>
      <c r="BR220" s="179" t="str">
        <f t="array" ref="BR220">IF($F220&lt;&gt;"", XLOOKUP($F220,Productos!$A$2:$A1001,Productos!BK$2:BK1001,"")*$G220,"")</f>
        <v/>
      </c>
      <c r="BS220" s="179" t="str">
        <f t="array" ref="BS220">IF($F220&lt;&gt;"",XLOOKUP($F220,Productos!$A:$A,Productos!BL:BL,"Revisar"),"")</f>
        <v/>
      </c>
      <c r="BT220" s="179" t="str">
        <f t="array" ref="BT220">IF($F220&lt;&gt;"", XLOOKUP($F220,Productos!$A$2:$A1001,Productos!BM$2:BM1001,"")*$G220,"")</f>
        <v/>
      </c>
      <c r="BU220" s="179" t="str">
        <f t="array" ref="BU220">IF($F220&lt;&gt;"",XLOOKUP($F220,Productos!$A:$A,Productos!BN:BN,"Revisar"),"")</f>
        <v/>
      </c>
      <c r="BV220" s="179" t="str">
        <f t="array" ref="BV220">IF($F220&lt;&gt;"", XLOOKUP($F220,Productos!$A$2:$A1001,Productos!BO$2:BO1001,"")*$G220,"")</f>
        <v/>
      </c>
      <c r="BW220" s="179" t="str">
        <f t="array" ref="BW220">IF($F220&lt;&gt;"",XLOOKUP($F220,Productos!$A:$A,Productos!BP:BP,"Revisar"),"")</f>
        <v/>
      </c>
      <c r="BX220" s="179" t="str">
        <f t="array" ref="BX220">IF($F220&lt;&gt;"", XLOOKUP($F220,Productos!$A$2:$A1001,Productos!BQ$2:BQ1001,"")*$G220,"")</f>
        <v/>
      </c>
      <c r="BY220" s="179" t="str">
        <f t="array" ref="BY220">IF($F220&lt;&gt;"",XLOOKUP($F220,Productos!$A:$A,Productos!BR:BR,"Revisar"),"")</f>
        <v/>
      </c>
      <c r="BZ220" s="179" t="str">
        <f t="array" ref="BZ220">IF($F220&lt;&gt;"", XLOOKUP($F220,Productos!$A$2:$A1001,Productos!BS$2:BS1001,"")*$G220,"")</f>
        <v/>
      </c>
    </row>
    <row r="221">
      <c r="A221" s="180"/>
      <c r="B221" s="181"/>
      <c r="C221" s="182"/>
      <c r="D221" s="182"/>
      <c r="E221" s="185"/>
      <c r="F221" s="186"/>
      <c r="G221" s="187"/>
      <c r="H221" s="186"/>
      <c r="I221" s="179" t="str">
        <f t="array" ref="I221">IF($F221&lt;&gt;"",XLOOKUP($F221,Productos!$A:$A,Productos!B:B,"Revisar"),"")</f>
        <v/>
      </c>
      <c r="J221" s="179" t="str">
        <f t="array" ref="J221">IF($F221&lt;&gt;"", XLOOKUP($F221,Productos!$A$2:$A1001,Productos!C$2:C1001,"")*$G221,"")</f>
        <v/>
      </c>
      <c r="K221" s="179" t="str">
        <f t="array" ref="K221">IF($F221&lt;&gt;"",XLOOKUP($F221,Productos!$A:$A,Productos!D:D,"Revisar"),"")</f>
        <v/>
      </c>
      <c r="L221" s="179" t="str">
        <f t="array" ref="L221">IF($F221&lt;&gt;"", XLOOKUP($F221,Productos!$A$2:$A1001,Productos!E$2:E1001,"")*$G221,"")</f>
        <v/>
      </c>
      <c r="M221" s="179" t="str">
        <f t="array" ref="M221">IF($F221&lt;&gt;"",XLOOKUP($F221,Productos!$A:$A,Productos!F:F,"Revisar"),"")</f>
        <v/>
      </c>
      <c r="N221" s="179" t="str">
        <f t="array" ref="N221">IF($F221&lt;&gt;"", XLOOKUP($F221,Productos!$A$2:$A1001,Productos!G$2:G1001,"")*$G221,"")</f>
        <v/>
      </c>
      <c r="O221" s="179" t="str">
        <f t="array" ref="O221">IF($F221&lt;&gt;"",XLOOKUP($F221,Productos!$A:$A,Productos!H:H,"Revisar"),"")</f>
        <v/>
      </c>
      <c r="P221" s="179" t="str">
        <f t="array" ref="P221">IF($F221&lt;&gt;"", XLOOKUP($F221,Productos!$A$2:$A1001,Productos!I$2:I1001,"")*$G221,"")</f>
        <v/>
      </c>
      <c r="Q221" s="179" t="str">
        <f t="array" ref="Q221">IF($F221&lt;&gt;"",XLOOKUP($F221,Productos!$A:$A,Productos!J:J,"Revisar"),"")</f>
        <v/>
      </c>
      <c r="R221" s="179" t="str">
        <f t="array" ref="R221">IF($F221&lt;&gt;"", XLOOKUP($F221,Productos!$A$2:$A1001,Productos!K$2:K1001,"")*$G221,"")</f>
        <v/>
      </c>
      <c r="S221" s="179" t="str">
        <f t="array" ref="S221">IF($F221&lt;&gt;"",XLOOKUP($F221,Productos!$A:$A,Productos!L:L,"Revisar"),"")</f>
        <v/>
      </c>
      <c r="T221" s="179" t="str">
        <f t="array" ref="T221">IF($F221&lt;&gt;"", XLOOKUP($F221,Productos!$A$2:$A1001,Productos!M$2:M1001,"")*$G221,"")</f>
        <v/>
      </c>
      <c r="U221" s="179" t="str">
        <f t="array" ref="U221">IF($F221&lt;&gt;"",XLOOKUP($F221,Productos!$A:$A,Productos!N:N,"Revisar"),"")</f>
        <v/>
      </c>
      <c r="V221" s="179" t="str">
        <f t="array" ref="V221">IF($F221&lt;&gt;"", XLOOKUP($F221,Productos!$A$2:$A1001,Productos!O$2:O1001,"")*$G221,"")</f>
        <v/>
      </c>
      <c r="W221" s="179" t="str">
        <f t="array" ref="W221">IF($F221&lt;&gt;"",XLOOKUP($F221,Productos!$A:$A,Productos!P:P,"Revisar"),"")</f>
        <v/>
      </c>
      <c r="X221" s="179" t="str">
        <f t="array" ref="X221">IF($F221&lt;&gt;"", XLOOKUP($F221,Productos!$A$2:$A1001,Productos!Q$2:Q1001,"")*$G221,"")</f>
        <v/>
      </c>
      <c r="Y221" s="179" t="str">
        <f t="array" ref="Y221">IF($F221&lt;&gt;"",XLOOKUP($F221,Productos!$A:$A,Productos!R:R,"Revisar"),"")</f>
        <v/>
      </c>
      <c r="Z221" s="179" t="str">
        <f t="array" ref="Z221">IF($F221&lt;&gt;"", XLOOKUP($F221,Productos!$A$2:$A1001,Productos!S$2:S1001,"")*$G221,"")</f>
        <v/>
      </c>
      <c r="AA221" s="179" t="str">
        <f t="array" ref="AA221">IF($F221&lt;&gt;"",XLOOKUP($F221,Productos!$A:$A,Productos!T:T,"Revisar"),"")</f>
        <v/>
      </c>
      <c r="AB221" s="179" t="str">
        <f t="array" ref="AB221">IF($F221&lt;&gt;"", XLOOKUP($F221,Productos!$A$2:$A1001,Productos!U$2:U1001,"")*$G221,"")</f>
        <v/>
      </c>
      <c r="AC221" s="179" t="str">
        <f t="array" ref="AC221">IF($F221&lt;&gt;"",XLOOKUP($F221,Productos!$A:$A,Productos!V:V,"Revisar"),"")</f>
        <v/>
      </c>
      <c r="AD221" s="179" t="str">
        <f t="array" ref="AD221">IF($F221&lt;&gt;"", XLOOKUP($F221,Productos!$A$2:$A1001,Productos!W$2:W1001,"")*$G221,"")</f>
        <v/>
      </c>
      <c r="AE221" s="179" t="str">
        <f t="array" ref="AE221">IF($F221&lt;&gt;"",XLOOKUP($F221,Productos!$A:$A,Productos!X:X,"Revisar"),"")</f>
        <v/>
      </c>
      <c r="AF221" s="179" t="str">
        <f t="array" ref="AF221">IF($F221&lt;&gt;"", XLOOKUP($F221,Productos!$A$2:$A1001,Productos!Y$2:Y1001,"")*$G221,"")</f>
        <v/>
      </c>
      <c r="AG221" s="179" t="str">
        <f t="array" ref="AG221">IF($F221&lt;&gt;"",XLOOKUP($F221,Productos!$A:$A,Productos!Z:Z,"Revisar"),"")</f>
        <v/>
      </c>
      <c r="AH221" s="179" t="str">
        <f t="array" ref="AH221">IF($F221&lt;&gt;"", XLOOKUP($F221,Productos!$A$2:$A1001,Productos!AA$2:AA1001,"")*$G221,"")</f>
        <v/>
      </c>
      <c r="AI221" s="179" t="str">
        <f t="array" ref="AI221">IF($F221&lt;&gt;"",XLOOKUP($F221,Productos!$A:$A,Productos!AB:AB,"Revisar"),"")</f>
        <v/>
      </c>
      <c r="AJ221" s="179" t="str">
        <f t="array" ref="AJ221">IF($F221&lt;&gt;"", XLOOKUP($F221,Productos!$A$2:$A1001,Productos!AC$2:AC1001,"")*$G221,"")</f>
        <v/>
      </c>
      <c r="AK221" s="179" t="str">
        <f t="array" ref="AK221">IF($F221&lt;&gt;"",XLOOKUP($F221,Productos!$A:$A,Productos!AD:AD,"Revisar"),"")</f>
        <v/>
      </c>
      <c r="AL221" s="179" t="str">
        <f t="array" ref="AL221">IF($F221&lt;&gt;"", XLOOKUP($F221,Productos!$A$2:$A1001,Productos!AE$2:AE1001,"")*$G221,"")</f>
        <v/>
      </c>
      <c r="AM221" s="179" t="str">
        <f t="array" ref="AM221">IF($F221&lt;&gt;"",XLOOKUP($F221,Productos!$A:$A,Productos!AF:AF,"Revisar"),"")</f>
        <v/>
      </c>
      <c r="AN221" s="179" t="str">
        <f t="array" ref="AN221">IF($F221&lt;&gt;"", XLOOKUP($F221,Productos!$A$2:$A1001,Productos!AG$2:AG1001,"")*$G221,"")</f>
        <v/>
      </c>
      <c r="AO221" s="179" t="str">
        <f t="array" ref="AO221">IF($F221&lt;&gt;"",XLOOKUP($F221,Productos!$A:$A,Productos!AH:AH,"Revisar"),"")</f>
        <v/>
      </c>
      <c r="AP221" s="179" t="str">
        <f t="array" ref="AP221">IF($F221&lt;&gt;"", XLOOKUP($F221,Productos!$A$2:$A1001,Productos!AI$2:AI1001,"")*$G221,"")</f>
        <v/>
      </c>
      <c r="AQ221" s="179" t="str">
        <f t="array" ref="AQ221">IF($F221&lt;&gt;"",XLOOKUP($F221,Productos!$A:$A,Productos!AJ:AJ,"Revisar"),"")</f>
        <v/>
      </c>
      <c r="AR221" s="179" t="str">
        <f t="array" ref="AR221">IF($F221&lt;&gt;"", XLOOKUP($F221,Productos!$A$2:$A1001,Productos!AK$2:AK1001,"")*$G221,"")</f>
        <v/>
      </c>
      <c r="AS221" s="179" t="str">
        <f t="array" ref="AS221">IF($F221&lt;&gt;"",XLOOKUP($F221,Productos!$A:$A,Productos!AL:AL,"Revisar"),"")</f>
        <v/>
      </c>
      <c r="AT221" s="179" t="str">
        <f t="array" ref="AT221">IF($F221&lt;&gt;"", XLOOKUP($F221,Productos!$A$2:$A1001,Productos!AM$2:AM1001,"")*$G221,"")</f>
        <v/>
      </c>
      <c r="AU221" s="179" t="str">
        <f t="array" ref="AU221">IF($F221&lt;&gt;"",XLOOKUP($F221,Productos!$A:$A,Productos!AN:AN,"Revisar"),"")</f>
        <v/>
      </c>
      <c r="AV221" s="179" t="str">
        <f t="array" ref="AV221">IF($F221&lt;&gt;"", XLOOKUP($F221,Productos!$A$2:$A1001,Productos!AO$2:AO1001,"")*$G221,"")</f>
        <v/>
      </c>
      <c r="AW221" s="179" t="str">
        <f t="array" ref="AW221">IF($F221&lt;&gt;"",XLOOKUP($F221,Productos!$A:$A,Productos!AP:AP,"Revisar"),"")</f>
        <v/>
      </c>
      <c r="AX221" s="179" t="str">
        <f t="array" ref="AX221">IF($F221&lt;&gt;"", XLOOKUP($F221,Productos!$A$2:$A1001,Productos!AQ$2:AQ1001,"")*$G221,"")</f>
        <v/>
      </c>
      <c r="AY221" s="179" t="str">
        <f t="array" ref="AY221">IF($F221&lt;&gt;"",XLOOKUP($F221,Productos!$A:$A,Productos!AR:AR,"Revisar"),"")</f>
        <v/>
      </c>
      <c r="AZ221" s="179" t="str">
        <f t="array" ref="AZ221">IF($F221&lt;&gt;"", XLOOKUP($F221,Productos!$A$2:$A1001,Productos!AS$2:AS1001,"")*$G221,"")</f>
        <v/>
      </c>
      <c r="BA221" s="179" t="str">
        <f t="array" ref="BA221">IF($F221&lt;&gt;"",XLOOKUP($F221,Productos!$A:$A,Productos!AT:AT,"Revisar"),"")</f>
        <v/>
      </c>
      <c r="BB221" s="179" t="str">
        <f t="array" ref="BB221">IF($F221&lt;&gt;"", XLOOKUP($F221,Productos!$A$2:$A1001,Productos!AU$2:AU1001,"")*$G221,"")</f>
        <v/>
      </c>
      <c r="BC221" s="179" t="str">
        <f t="array" ref="BC221">IF($F221&lt;&gt;"",XLOOKUP($F221,Productos!$A:$A,Productos!AV:AV,"Revisar"),"")</f>
        <v/>
      </c>
      <c r="BD221" s="179" t="str">
        <f t="array" ref="BD221">IF($F221&lt;&gt;"", XLOOKUP($F221,Productos!$A$2:$A1001,Productos!AW$2:AW1001,"")*$G221,"")</f>
        <v/>
      </c>
      <c r="BE221" s="179" t="str">
        <f t="array" ref="BE221">IF($F221&lt;&gt;"",XLOOKUP($F221,Productos!$A:$A,Productos!AX:AX,"Revisar"),"")</f>
        <v/>
      </c>
      <c r="BF221" s="179" t="str">
        <f t="array" ref="BF221">IF($F221&lt;&gt;"", XLOOKUP($F221,Productos!$A$2:$A1001,Productos!AY$2:AY1001,"")*$G221,"")</f>
        <v/>
      </c>
      <c r="BG221" s="179" t="str">
        <f t="array" ref="BG221">IF($F221&lt;&gt;"",XLOOKUP($F221,Productos!$A:$A,Productos!AZ:AZ,"Revisar"),"")</f>
        <v/>
      </c>
      <c r="BH221" s="179" t="str">
        <f t="array" ref="BH221">IF($F221&lt;&gt;"", XLOOKUP($F221,Productos!$A$2:$A1001,Productos!BA$2:BA1001,"")*$G221,"")</f>
        <v/>
      </c>
      <c r="BI221" s="179" t="str">
        <f t="array" ref="BI221">IF($F221&lt;&gt;"",XLOOKUP($F221,Productos!$A:$A,Productos!BB:BB,"Revisar"),"")</f>
        <v/>
      </c>
      <c r="BJ221" s="179" t="str">
        <f t="array" ref="BJ221">IF($F221&lt;&gt;"", XLOOKUP($F221,Productos!$A$2:$A1001,Productos!BC$2:BC1001,"")*$G221,"")</f>
        <v/>
      </c>
      <c r="BK221" s="179" t="str">
        <f t="array" ref="BK221">IF($F221&lt;&gt;"",XLOOKUP($F221,Productos!$A:$A,Productos!BD:BD,"Revisar"),"")</f>
        <v/>
      </c>
      <c r="BL221" s="179" t="str">
        <f t="array" ref="BL221">IF($F221&lt;&gt;"", XLOOKUP($F221,Productos!$A$2:$A1001,Productos!BE$2:BE1001,"")*$G221,"")</f>
        <v/>
      </c>
      <c r="BM221" s="179" t="str">
        <f t="array" ref="BM221">IF($F221&lt;&gt;"",XLOOKUP($F221,Productos!$A:$A,Productos!BF:BF,"Revisar"),"")</f>
        <v/>
      </c>
      <c r="BN221" s="179" t="str">
        <f t="array" ref="BN221">IF($F221&lt;&gt;"", XLOOKUP($F221,Productos!$A$2:$A1001,Productos!BG$2:BG1001,"")*$G221,"")</f>
        <v/>
      </c>
      <c r="BO221" s="179" t="str">
        <f t="array" ref="BO221">IF($F221&lt;&gt;"",XLOOKUP($F221,Productos!$A:$A,Productos!BH:BH,"Revisar"),"")</f>
        <v/>
      </c>
      <c r="BP221" s="179" t="str">
        <f t="array" ref="BP221">IF($F221&lt;&gt;"", XLOOKUP($F221,Productos!$A$2:$A1001,Productos!BI$2:BI1001,"")*$G221,"")</f>
        <v/>
      </c>
      <c r="BQ221" s="179" t="str">
        <f t="array" ref="BQ221">IF($F221&lt;&gt;"",XLOOKUP($F221,Productos!$A:$A,Productos!BJ:BJ,"Revisar"),"")</f>
        <v/>
      </c>
      <c r="BR221" s="179" t="str">
        <f t="array" ref="BR221">IF($F221&lt;&gt;"", XLOOKUP($F221,Productos!$A$2:$A1001,Productos!BK$2:BK1001,"")*$G221,"")</f>
        <v/>
      </c>
      <c r="BS221" s="179" t="str">
        <f t="array" ref="BS221">IF($F221&lt;&gt;"",XLOOKUP($F221,Productos!$A:$A,Productos!BL:BL,"Revisar"),"")</f>
        <v/>
      </c>
      <c r="BT221" s="179" t="str">
        <f t="array" ref="BT221">IF($F221&lt;&gt;"", XLOOKUP($F221,Productos!$A$2:$A1001,Productos!BM$2:BM1001,"")*$G221,"")</f>
        <v/>
      </c>
      <c r="BU221" s="179" t="str">
        <f t="array" ref="BU221">IF($F221&lt;&gt;"",XLOOKUP($F221,Productos!$A:$A,Productos!BN:BN,"Revisar"),"")</f>
        <v/>
      </c>
      <c r="BV221" s="179" t="str">
        <f t="array" ref="BV221">IF($F221&lt;&gt;"", XLOOKUP($F221,Productos!$A$2:$A1001,Productos!BO$2:BO1001,"")*$G221,"")</f>
        <v/>
      </c>
      <c r="BW221" s="179" t="str">
        <f t="array" ref="BW221">IF($F221&lt;&gt;"",XLOOKUP($F221,Productos!$A:$A,Productos!BP:BP,"Revisar"),"")</f>
        <v/>
      </c>
      <c r="BX221" s="179" t="str">
        <f t="array" ref="BX221">IF($F221&lt;&gt;"", XLOOKUP($F221,Productos!$A$2:$A1001,Productos!BQ$2:BQ1001,"")*$G221,"")</f>
        <v/>
      </c>
      <c r="BY221" s="179" t="str">
        <f t="array" ref="BY221">IF($F221&lt;&gt;"",XLOOKUP($F221,Productos!$A:$A,Productos!BR:BR,"Revisar"),"")</f>
        <v/>
      </c>
      <c r="BZ221" s="179" t="str">
        <f t="array" ref="BZ221">IF($F221&lt;&gt;"", XLOOKUP($F221,Productos!$A$2:$A1001,Productos!BS$2:BS1001,"")*$G221,"")</f>
        <v/>
      </c>
    </row>
    <row r="222">
      <c r="A222" s="180"/>
      <c r="B222" s="181"/>
      <c r="C222" s="182"/>
      <c r="D222" s="182"/>
      <c r="E222" s="185"/>
      <c r="F222" s="186"/>
      <c r="G222" s="187"/>
      <c r="H222" s="186"/>
      <c r="I222" s="179" t="str">
        <f t="array" ref="I222">IF($F222&lt;&gt;"",XLOOKUP($F222,Productos!$A:$A,Productos!B:B,"Revisar"),"")</f>
        <v/>
      </c>
      <c r="J222" s="179" t="str">
        <f t="array" ref="J222">IF($F222&lt;&gt;"", XLOOKUP($F222,Productos!$A$2:$A1001,Productos!C$2:C1001,"")*$G222,"")</f>
        <v/>
      </c>
      <c r="K222" s="179" t="str">
        <f t="array" ref="K222">IF($F222&lt;&gt;"",XLOOKUP($F222,Productos!$A:$A,Productos!D:D,"Revisar"),"")</f>
        <v/>
      </c>
      <c r="L222" s="179" t="str">
        <f t="array" ref="L222">IF($F222&lt;&gt;"", XLOOKUP($F222,Productos!$A$2:$A1001,Productos!E$2:E1001,"")*$G222,"")</f>
        <v/>
      </c>
      <c r="M222" s="179" t="str">
        <f t="array" ref="M222">IF($F222&lt;&gt;"",XLOOKUP($F222,Productos!$A:$A,Productos!F:F,"Revisar"),"")</f>
        <v/>
      </c>
      <c r="N222" s="179" t="str">
        <f t="array" ref="N222">IF($F222&lt;&gt;"", XLOOKUP($F222,Productos!$A$2:$A1001,Productos!G$2:G1001,"")*$G222,"")</f>
        <v/>
      </c>
      <c r="O222" s="179" t="str">
        <f t="array" ref="O222">IF($F222&lt;&gt;"",XLOOKUP($F222,Productos!$A:$A,Productos!H:H,"Revisar"),"")</f>
        <v/>
      </c>
      <c r="P222" s="179" t="str">
        <f t="array" ref="P222">IF($F222&lt;&gt;"", XLOOKUP($F222,Productos!$A$2:$A1001,Productos!I$2:I1001,"")*$G222,"")</f>
        <v/>
      </c>
      <c r="Q222" s="179" t="str">
        <f t="array" ref="Q222">IF($F222&lt;&gt;"",XLOOKUP($F222,Productos!$A:$A,Productos!J:J,"Revisar"),"")</f>
        <v/>
      </c>
      <c r="R222" s="179" t="str">
        <f t="array" ref="R222">IF($F222&lt;&gt;"", XLOOKUP($F222,Productos!$A$2:$A1001,Productos!K$2:K1001,"")*$G222,"")</f>
        <v/>
      </c>
      <c r="S222" s="179" t="str">
        <f t="array" ref="S222">IF($F222&lt;&gt;"",XLOOKUP($F222,Productos!$A:$A,Productos!L:L,"Revisar"),"")</f>
        <v/>
      </c>
      <c r="T222" s="179" t="str">
        <f t="array" ref="T222">IF($F222&lt;&gt;"", XLOOKUP($F222,Productos!$A$2:$A1001,Productos!M$2:M1001,"")*$G222,"")</f>
        <v/>
      </c>
      <c r="U222" s="179" t="str">
        <f t="array" ref="U222">IF($F222&lt;&gt;"",XLOOKUP($F222,Productos!$A:$A,Productos!N:N,"Revisar"),"")</f>
        <v/>
      </c>
      <c r="V222" s="179" t="str">
        <f t="array" ref="V222">IF($F222&lt;&gt;"", XLOOKUP($F222,Productos!$A$2:$A1001,Productos!O$2:O1001,"")*$G222,"")</f>
        <v/>
      </c>
      <c r="W222" s="179" t="str">
        <f t="array" ref="W222">IF($F222&lt;&gt;"",XLOOKUP($F222,Productos!$A:$A,Productos!P:P,"Revisar"),"")</f>
        <v/>
      </c>
      <c r="X222" s="179" t="str">
        <f t="array" ref="X222">IF($F222&lt;&gt;"", XLOOKUP($F222,Productos!$A$2:$A1001,Productos!Q$2:Q1001,"")*$G222,"")</f>
        <v/>
      </c>
      <c r="Y222" s="179" t="str">
        <f t="array" ref="Y222">IF($F222&lt;&gt;"",XLOOKUP($F222,Productos!$A:$A,Productos!R:R,"Revisar"),"")</f>
        <v/>
      </c>
      <c r="Z222" s="179" t="str">
        <f t="array" ref="Z222">IF($F222&lt;&gt;"", XLOOKUP($F222,Productos!$A$2:$A1001,Productos!S$2:S1001,"")*$G222,"")</f>
        <v/>
      </c>
      <c r="AA222" s="179" t="str">
        <f t="array" ref="AA222">IF($F222&lt;&gt;"",XLOOKUP($F222,Productos!$A:$A,Productos!T:T,"Revisar"),"")</f>
        <v/>
      </c>
      <c r="AB222" s="179" t="str">
        <f t="array" ref="AB222">IF($F222&lt;&gt;"", XLOOKUP($F222,Productos!$A$2:$A1001,Productos!U$2:U1001,"")*$G222,"")</f>
        <v/>
      </c>
      <c r="AC222" s="179" t="str">
        <f t="array" ref="AC222">IF($F222&lt;&gt;"",XLOOKUP($F222,Productos!$A:$A,Productos!V:V,"Revisar"),"")</f>
        <v/>
      </c>
      <c r="AD222" s="179" t="str">
        <f t="array" ref="AD222">IF($F222&lt;&gt;"", XLOOKUP($F222,Productos!$A$2:$A1001,Productos!W$2:W1001,"")*$G222,"")</f>
        <v/>
      </c>
      <c r="AE222" s="179" t="str">
        <f t="array" ref="AE222">IF($F222&lt;&gt;"",XLOOKUP($F222,Productos!$A:$A,Productos!X:X,"Revisar"),"")</f>
        <v/>
      </c>
      <c r="AF222" s="179" t="str">
        <f t="array" ref="AF222">IF($F222&lt;&gt;"", XLOOKUP($F222,Productos!$A$2:$A1001,Productos!Y$2:Y1001,"")*$G222,"")</f>
        <v/>
      </c>
      <c r="AG222" s="179" t="str">
        <f t="array" ref="AG222">IF($F222&lt;&gt;"",XLOOKUP($F222,Productos!$A:$A,Productos!Z:Z,"Revisar"),"")</f>
        <v/>
      </c>
      <c r="AH222" s="179" t="str">
        <f t="array" ref="AH222">IF($F222&lt;&gt;"", XLOOKUP($F222,Productos!$A$2:$A1001,Productos!AA$2:AA1001,"")*$G222,"")</f>
        <v/>
      </c>
      <c r="AI222" s="179" t="str">
        <f t="array" ref="AI222">IF($F222&lt;&gt;"",XLOOKUP($F222,Productos!$A:$A,Productos!AB:AB,"Revisar"),"")</f>
        <v/>
      </c>
      <c r="AJ222" s="179" t="str">
        <f t="array" ref="AJ222">IF($F222&lt;&gt;"", XLOOKUP($F222,Productos!$A$2:$A1001,Productos!AC$2:AC1001,"")*$G222,"")</f>
        <v/>
      </c>
      <c r="AK222" s="179" t="str">
        <f t="array" ref="AK222">IF($F222&lt;&gt;"",XLOOKUP($F222,Productos!$A:$A,Productos!AD:AD,"Revisar"),"")</f>
        <v/>
      </c>
      <c r="AL222" s="179" t="str">
        <f t="array" ref="AL222">IF($F222&lt;&gt;"", XLOOKUP($F222,Productos!$A$2:$A1001,Productos!AE$2:AE1001,"")*$G222,"")</f>
        <v/>
      </c>
      <c r="AM222" s="179" t="str">
        <f t="array" ref="AM222">IF($F222&lt;&gt;"",XLOOKUP($F222,Productos!$A:$A,Productos!AF:AF,"Revisar"),"")</f>
        <v/>
      </c>
      <c r="AN222" s="179" t="str">
        <f t="array" ref="AN222">IF($F222&lt;&gt;"", XLOOKUP($F222,Productos!$A$2:$A1001,Productos!AG$2:AG1001,"")*$G222,"")</f>
        <v/>
      </c>
      <c r="AO222" s="179" t="str">
        <f t="array" ref="AO222">IF($F222&lt;&gt;"",XLOOKUP($F222,Productos!$A:$A,Productos!AH:AH,"Revisar"),"")</f>
        <v/>
      </c>
      <c r="AP222" s="179" t="str">
        <f t="array" ref="AP222">IF($F222&lt;&gt;"", XLOOKUP($F222,Productos!$A$2:$A1001,Productos!AI$2:AI1001,"")*$G222,"")</f>
        <v/>
      </c>
      <c r="AQ222" s="179" t="str">
        <f t="array" ref="AQ222">IF($F222&lt;&gt;"",XLOOKUP($F222,Productos!$A:$A,Productos!AJ:AJ,"Revisar"),"")</f>
        <v/>
      </c>
      <c r="AR222" s="179" t="str">
        <f t="array" ref="AR222">IF($F222&lt;&gt;"", XLOOKUP($F222,Productos!$A$2:$A1001,Productos!AK$2:AK1001,"")*$G222,"")</f>
        <v/>
      </c>
      <c r="AS222" s="179" t="str">
        <f t="array" ref="AS222">IF($F222&lt;&gt;"",XLOOKUP($F222,Productos!$A:$A,Productos!AL:AL,"Revisar"),"")</f>
        <v/>
      </c>
      <c r="AT222" s="179" t="str">
        <f t="array" ref="AT222">IF($F222&lt;&gt;"", XLOOKUP($F222,Productos!$A$2:$A1001,Productos!AM$2:AM1001,"")*$G222,"")</f>
        <v/>
      </c>
      <c r="AU222" s="179" t="str">
        <f t="array" ref="AU222">IF($F222&lt;&gt;"",XLOOKUP($F222,Productos!$A:$A,Productos!AN:AN,"Revisar"),"")</f>
        <v/>
      </c>
      <c r="AV222" s="179" t="str">
        <f t="array" ref="AV222">IF($F222&lt;&gt;"", XLOOKUP($F222,Productos!$A$2:$A1001,Productos!AO$2:AO1001,"")*$G222,"")</f>
        <v/>
      </c>
      <c r="AW222" s="179" t="str">
        <f t="array" ref="AW222">IF($F222&lt;&gt;"",XLOOKUP($F222,Productos!$A:$A,Productos!AP:AP,"Revisar"),"")</f>
        <v/>
      </c>
      <c r="AX222" s="179" t="str">
        <f t="array" ref="AX222">IF($F222&lt;&gt;"", XLOOKUP($F222,Productos!$A$2:$A1001,Productos!AQ$2:AQ1001,"")*$G222,"")</f>
        <v/>
      </c>
      <c r="AY222" s="179" t="str">
        <f t="array" ref="AY222">IF($F222&lt;&gt;"",XLOOKUP($F222,Productos!$A:$A,Productos!AR:AR,"Revisar"),"")</f>
        <v/>
      </c>
      <c r="AZ222" s="179" t="str">
        <f t="array" ref="AZ222">IF($F222&lt;&gt;"", XLOOKUP($F222,Productos!$A$2:$A1001,Productos!AS$2:AS1001,"")*$G222,"")</f>
        <v/>
      </c>
      <c r="BA222" s="179" t="str">
        <f t="array" ref="BA222">IF($F222&lt;&gt;"",XLOOKUP($F222,Productos!$A:$A,Productos!AT:AT,"Revisar"),"")</f>
        <v/>
      </c>
      <c r="BB222" s="179" t="str">
        <f t="array" ref="BB222">IF($F222&lt;&gt;"", XLOOKUP($F222,Productos!$A$2:$A1001,Productos!AU$2:AU1001,"")*$G222,"")</f>
        <v/>
      </c>
      <c r="BC222" s="179" t="str">
        <f t="array" ref="BC222">IF($F222&lt;&gt;"",XLOOKUP($F222,Productos!$A:$A,Productos!AV:AV,"Revisar"),"")</f>
        <v/>
      </c>
      <c r="BD222" s="179" t="str">
        <f t="array" ref="BD222">IF($F222&lt;&gt;"", XLOOKUP($F222,Productos!$A$2:$A1001,Productos!AW$2:AW1001,"")*$G222,"")</f>
        <v/>
      </c>
      <c r="BE222" s="179" t="str">
        <f t="array" ref="BE222">IF($F222&lt;&gt;"",XLOOKUP($F222,Productos!$A:$A,Productos!AX:AX,"Revisar"),"")</f>
        <v/>
      </c>
      <c r="BF222" s="179" t="str">
        <f t="array" ref="BF222">IF($F222&lt;&gt;"", XLOOKUP($F222,Productos!$A$2:$A1001,Productos!AY$2:AY1001,"")*$G222,"")</f>
        <v/>
      </c>
      <c r="BG222" s="179" t="str">
        <f t="array" ref="BG222">IF($F222&lt;&gt;"",XLOOKUP($F222,Productos!$A:$A,Productos!AZ:AZ,"Revisar"),"")</f>
        <v/>
      </c>
      <c r="BH222" s="179" t="str">
        <f t="array" ref="BH222">IF($F222&lt;&gt;"", XLOOKUP($F222,Productos!$A$2:$A1001,Productos!BA$2:BA1001,"")*$G222,"")</f>
        <v/>
      </c>
      <c r="BI222" s="179" t="str">
        <f t="array" ref="BI222">IF($F222&lt;&gt;"",XLOOKUP($F222,Productos!$A:$A,Productos!BB:BB,"Revisar"),"")</f>
        <v/>
      </c>
      <c r="BJ222" s="179" t="str">
        <f t="array" ref="BJ222">IF($F222&lt;&gt;"", XLOOKUP($F222,Productos!$A$2:$A1001,Productos!BC$2:BC1001,"")*$G222,"")</f>
        <v/>
      </c>
      <c r="BK222" s="179" t="str">
        <f t="array" ref="BK222">IF($F222&lt;&gt;"",XLOOKUP($F222,Productos!$A:$A,Productos!BD:BD,"Revisar"),"")</f>
        <v/>
      </c>
      <c r="BL222" s="179" t="str">
        <f t="array" ref="BL222">IF($F222&lt;&gt;"", XLOOKUP($F222,Productos!$A$2:$A1001,Productos!BE$2:BE1001,"")*$G222,"")</f>
        <v/>
      </c>
      <c r="BM222" s="179" t="str">
        <f t="array" ref="BM222">IF($F222&lt;&gt;"",XLOOKUP($F222,Productos!$A:$A,Productos!BF:BF,"Revisar"),"")</f>
        <v/>
      </c>
      <c r="BN222" s="179" t="str">
        <f t="array" ref="BN222">IF($F222&lt;&gt;"", XLOOKUP($F222,Productos!$A$2:$A1001,Productos!BG$2:BG1001,"")*$G222,"")</f>
        <v/>
      </c>
      <c r="BO222" s="179" t="str">
        <f t="array" ref="BO222">IF($F222&lt;&gt;"",XLOOKUP($F222,Productos!$A:$A,Productos!BH:BH,"Revisar"),"")</f>
        <v/>
      </c>
      <c r="BP222" s="179" t="str">
        <f t="array" ref="BP222">IF($F222&lt;&gt;"", XLOOKUP($F222,Productos!$A$2:$A1001,Productos!BI$2:BI1001,"")*$G222,"")</f>
        <v/>
      </c>
      <c r="BQ222" s="179" t="str">
        <f t="array" ref="BQ222">IF($F222&lt;&gt;"",XLOOKUP($F222,Productos!$A:$A,Productos!BJ:BJ,"Revisar"),"")</f>
        <v/>
      </c>
      <c r="BR222" s="179" t="str">
        <f t="array" ref="BR222">IF($F222&lt;&gt;"", XLOOKUP($F222,Productos!$A$2:$A1001,Productos!BK$2:BK1001,"")*$G222,"")</f>
        <v/>
      </c>
      <c r="BS222" s="179" t="str">
        <f t="array" ref="BS222">IF($F222&lt;&gt;"",XLOOKUP($F222,Productos!$A:$A,Productos!BL:BL,"Revisar"),"")</f>
        <v/>
      </c>
      <c r="BT222" s="179" t="str">
        <f t="array" ref="BT222">IF($F222&lt;&gt;"", XLOOKUP($F222,Productos!$A$2:$A1001,Productos!BM$2:BM1001,"")*$G222,"")</f>
        <v/>
      </c>
      <c r="BU222" s="179" t="str">
        <f t="array" ref="BU222">IF($F222&lt;&gt;"",XLOOKUP($F222,Productos!$A:$A,Productos!BN:BN,"Revisar"),"")</f>
        <v/>
      </c>
      <c r="BV222" s="179" t="str">
        <f t="array" ref="BV222">IF($F222&lt;&gt;"", XLOOKUP($F222,Productos!$A$2:$A1001,Productos!BO$2:BO1001,"")*$G222,"")</f>
        <v/>
      </c>
      <c r="BW222" s="179" t="str">
        <f t="array" ref="BW222">IF($F222&lt;&gt;"",XLOOKUP($F222,Productos!$A:$A,Productos!BP:BP,"Revisar"),"")</f>
        <v/>
      </c>
      <c r="BX222" s="179" t="str">
        <f t="array" ref="BX222">IF($F222&lt;&gt;"", XLOOKUP($F222,Productos!$A$2:$A1001,Productos!BQ$2:BQ1001,"")*$G222,"")</f>
        <v/>
      </c>
      <c r="BY222" s="179" t="str">
        <f t="array" ref="BY222">IF($F222&lt;&gt;"",XLOOKUP($F222,Productos!$A:$A,Productos!BR:BR,"Revisar"),"")</f>
        <v/>
      </c>
      <c r="BZ222" s="179" t="str">
        <f t="array" ref="BZ222">IF($F222&lt;&gt;"", XLOOKUP($F222,Productos!$A$2:$A1001,Productos!BS$2:BS1001,"")*$G222,"")</f>
        <v/>
      </c>
    </row>
    <row r="223">
      <c r="A223" s="180"/>
      <c r="B223" s="181"/>
      <c r="C223" s="182"/>
      <c r="D223" s="182"/>
      <c r="E223" s="185"/>
      <c r="F223" s="186"/>
      <c r="G223" s="187"/>
      <c r="H223" s="186"/>
      <c r="I223" s="179" t="str">
        <f t="array" ref="I223">IF($F223&lt;&gt;"",XLOOKUP($F223,Productos!$A:$A,Productos!B:B,"Revisar"),"")</f>
        <v/>
      </c>
      <c r="J223" s="179" t="str">
        <f t="array" ref="J223">IF($F223&lt;&gt;"", XLOOKUP($F223,Productos!$A$2:$A1001,Productos!C$2:C1001,"")*$G223,"")</f>
        <v/>
      </c>
      <c r="K223" s="179" t="str">
        <f t="array" ref="K223">IF($F223&lt;&gt;"",XLOOKUP($F223,Productos!$A:$A,Productos!D:D,"Revisar"),"")</f>
        <v/>
      </c>
      <c r="L223" s="179" t="str">
        <f t="array" ref="L223">IF($F223&lt;&gt;"", XLOOKUP($F223,Productos!$A$2:$A1001,Productos!E$2:E1001,"")*$G223,"")</f>
        <v/>
      </c>
      <c r="M223" s="179" t="str">
        <f t="array" ref="M223">IF($F223&lt;&gt;"",XLOOKUP($F223,Productos!$A:$A,Productos!F:F,"Revisar"),"")</f>
        <v/>
      </c>
      <c r="N223" s="179" t="str">
        <f t="array" ref="N223">IF($F223&lt;&gt;"", XLOOKUP($F223,Productos!$A$2:$A1001,Productos!G$2:G1001,"")*$G223,"")</f>
        <v/>
      </c>
      <c r="O223" s="179" t="str">
        <f t="array" ref="O223">IF($F223&lt;&gt;"",XLOOKUP($F223,Productos!$A:$A,Productos!H:H,"Revisar"),"")</f>
        <v/>
      </c>
      <c r="P223" s="179" t="str">
        <f t="array" ref="P223">IF($F223&lt;&gt;"", XLOOKUP($F223,Productos!$A$2:$A1001,Productos!I$2:I1001,"")*$G223,"")</f>
        <v/>
      </c>
      <c r="Q223" s="179" t="str">
        <f t="array" ref="Q223">IF($F223&lt;&gt;"",XLOOKUP($F223,Productos!$A:$A,Productos!J:J,"Revisar"),"")</f>
        <v/>
      </c>
      <c r="R223" s="179" t="str">
        <f t="array" ref="R223">IF($F223&lt;&gt;"", XLOOKUP($F223,Productos!$A$2:$A1001,Productos!K$2:K1001,"")*$G223,"")</f>
        <v/>
      </c>
      <c r="S223" s="179" t="str">
        <f t="array" ref="S223">IF($F223&lt;&gt;"",XLOOKUP($F223,Productos!$A:$A,Productos!L:L,"Revisar"),"")</f>
        <v/>
      </c>
      <c r="T223" s="179" t="str">
        <f t="array" ref="T223">IF($F223&lt;&gt;"", XLOOKUP($F223,Productos!$A$2:$A1001,Productos!M$2:M1001,"")*$G223,"")</f>
        <v/>
      </c>
      <c r="U223" s="179" t="str">
        <f t="array" ref="U223">IF($F223&lt;&gt;"",XLOOKUP($F223,Productos!$A:$A,Productos!N:N,"Revisar"),"")</f>
        <v/>
      </c>
      <c r="V223" s="179" t="str">
        <f t="array" ref="V223">IF($F223&lt;&gt;"", XLOOKUP($F223,Productos!$A$2:$A1001,Productos!O$2:O1001,"")*$G223,"")</f>
        <v/>
      </c>
      <c r="W223" s="179" t="str">
        <f t="array" ref="W223">IF($F223&lt;&gt;"",XLOOKUP($F223,Productos!$A:$A,Productos!P:P,"Revisar"),"")</f>
        <v/>
      </c>
      <c r="X223" s="179" t="str">
        <f t="array" ref="X223">IF($F223&lt;&gt;"", XLOOKUP($F223,Productos!$A$2:$A1001,Productos!Q$2:Q1001,"")*$G223,"")</f>
        <v/>
      </c>
      <c r="Y223" s="179" t="str">
        <f t="array" ref="Y223">IF($F223&lt;&gt;"",XLOOKUP($F223,Productos!$A:$A,Productos!R:R,"Revisar"),"")</f>
        <v/>
      </c>
      <c r="Z223" s="179" t="str">
        <f t="array" ref="Z223">IF($F223&lt;&gt;"", XLOOKUP($F223,Productos!$A$2:$A1001,Productos!S$2:S1001,"")*$G223,"")</f>
        <v/>
      </c>
      <c r="AA223" s="179" t="str">
        <f t="array" ref="AA223">IF($F223&lt;&gt;"",XLOOKUP($F223,Productos!$A:$A,Productos!T:T,"Revisar"),"")</f>
        <v/>
      </c>
      <c r="AB223" s="179" t="str">
        <f t="array" ref="AB223">IF($F223&lt;&gt;"", XLOOKUP($F223,Productos!$A$2:$A1001,Productos!U$2:U1001,"")*$G223,"")</f>
        <v/>
      </c>
      <c r="AC223" s="179" t="str">
        <f t="array" ref="AC223">IF($F223&lt;&gt;"",XLOOKUP($F223,Productos!$A:$A,Productos!V:V,"Revisar"),"")</f>
        <v/>
      </c>
      <c r="AD223" s="179" t="str">
        <f t="array" ref="AD223">IF($F223&lt;&gt;"", XLOOKUP($F223,Productos!$A$2:$A1001,Productos!W$2:W1001,"")*$G223,"")</f>
        <v/>
      </c>
      <c r="AE223" s="179" t="str">
        <f t="array" ref="AE223">IF($F223&lt;&gt;"",XLOOKUP($F223,Productos!$A:$A,Productos!X:X,"Revisar"),"")</f>
        <v/>
      </c>
      <c r="AF223" s="179" t="str">
        <f t="array" ref="AF223">IF($F223&lt;&gt;"", XLOOKUP($F223,Productos!$A$2:$A1001,Productos!Y$2:Y1001,"")*$G223,"")</f>
        <v/>
      </c>
      <c r="AG223" s="179" t="str">
        <f t="array" ref="AG223">IF($F223&lt;&gt;"",XLOOKUP($F223,Productos!$A:$A,Productos!Z:Z,"Revisar"),"")</f>
        <v/>
      </c>
      <c r="AH223" s="179" t="str">
        <f t="array" ref="AH223">IF($F223&lt;&gt;"", XLOOKUP($F223,Productos!$A$2:$A1001,Productos!AA$2:AA1001,"")*$G223,"")</f>
        <v/>
      </c>
      <c r="AI223" s="179" t="str">
        <f t="array" ref="AI223">IF($F223&lt;&gt;"",XLOOKUP($F223,Productos!$A:$A,Productos!AB:AB,"Revisar"),"")</f>
        <v/>
      </c>
      <c r="AJ223" s="179" t="str">
        <f t="array" ref="AJ223">IF($F223&lt;&gt;"", XLOOKUP($F223,Productos!$A$2:$A1001,Productos!AC$2:AC1001,"")*$G223,"")</f>
        <v/>
      </c>
      <c r="AK223" s="179" t="str">
        <f t="array" ref="AK223">IF($F223&lt;&gt;"",XLOOKUP($F223,Productos!$A:$A,Productos!AD:AD,"Revisar"),"")</f>
        <v/>
      </c>
      <c r="AL223" s="179" t="str">
        <f t="array" ref="AL223">IF($F223&lt;&gt;"", XLOOKUP($F223,Productos!$A$2:$A1001,Productos!AE$2:AE1001,"")*$G223,"")</f>
        <v/>
      </c>
      <c r="AM223" s="179" t="str">
        <f t="array" ref="AM223">IF($F223&lt;&gt;"",XLOOKUP($F223,Productos!$A:$A,Productos!AF:AF,"Revisar"),"")</f>
        <v/>
      </c>
      <c r="AN223" s="179" t="str">
        <f t="array" ref="AN223">IF($F223&lt;&gt;"", XLOOKUP($F223,Productos!$A$2:$A1001,Productos!AG$2:AG1001,"")*$G223,"")</f>
        <v/>
      </c>
      <c r="AO223" s="179" t="str">
        <f t="array" ref="AO223">IF($F223&lt;&gt;"",XLOOKUP($F223,Productos!$A:$A,Productos!AH:AH,"Revisar"),"")</f>
        <v/>
      </c>
      <c r="AP223" s="179" t="str">
        <f t="array" ref="AP223">IF($F223&lt;&gt;"", XLOOKUP($F223,Productos!$A$2:$A1001,Productos!AI$2:AI1001,"")*$G223,"")</f>
        <v/>
      </c>
      <c r="AQ223" s="179" t="str">
        <f t="array" ref="AQ223">IF($F223&lt;&gt;"",XLOOKUP($F223,Productos!$A:$A,Productos!AJ:AJ,"Revisar"),"")</f>
        <v/>
      </c>
      <c r="AR223" s="179" t="str">
        <f t="array" ref="AR223">IF($F223&lt;&gt;"", XLOOKUP($F223,Productos!$A$2:$A1001,Productos!AK$2:AK1001,"")*$G223,"")</f>
        <v/>
      </c>
      <c r="AS223" s="179" t="str">
        <f t="array" ref="AS223">IF($F223&lt;&gt;"",XLOOKUP($F223,Productos!$A:$A,Productos!AL:AL,"Revisar"),"")</f>
        <v/>
      </c>
      <c r="AT223" s="179" t="str">
        <f t="array" ref="AT223">IF($F223&lt;&gt;"", XLOOKUP($F223,Productos!$A$2:$A1001,Productos!AM$2:AM1001,"")*$G223,"")</f>
        <v/>
      </c>
      <c r="AU223" s="179" t="str">
        <f t="array" ref="AU223">IF($F223&lt;&gt;"",XLOOKUP($F223,Productos!$A:$A,Productos!AN:AN,"Revisar"),"")</f>
        <v/>
      </c>
      <c r="AV223" s="179" t="str">
        <f t="array" ref="AV223">IF($F223&lt;&gt;"", XLOOKUP($F223,Productos!$A$2:$A1001,Productos!AO$2:AO1001,"")*$G223,"")</f>
        <v/>
      </c>
      <c r="AW223" s="179" t="str">
        <f t="array" ref="AW223">IF($F223&lt;&gt;"",XLOOKUP($F223,Productos!$A:$A,Productos!AP:AP,"Revisar"),"")</f>
        <v/>
      </c>
      <c r="AX223" s="179" t="str">
        <f t="array" ref="AX223">IF($F223&lt;&gt;"", XLOOKUP($F223,Productos!$A$2:$A1001,Productos!AQ$2:AQ1001,"")*$G223,"")</f>
        <v/>
      </c>
      <c r="AY223" s="179" t="str">
        <f t="array" ref="AY223">IF($F223&lt;&gt;"",XLOOKUP($F223,Productos!$A:$A,Productos!AR:AR,"Revisar"),"")</f>
        <v/>
      </c>
      <c r="AZ223" s="179" t="str">
        <f t="array" ref="AZ223">IF($F223&lt;&gt;"", XLOOKUP($F223,Productos!$A$2:$A1001,Productos!AS$2:AS1001,"")*$G223,"")</f>
        <v/>
      </c>
      <c r="BA223" s="179" t="str">
        <f t="array" ref="BA223">IF($F223&lt;&gt;"",XLOOKUP($F223,Productos!$A:$A,Productos!AT:AT,"Revisar"),"")</f>
        <v/>
      </c>
      <c r="BB223" s="179" t="str">
        <f t="array" ref="BB223">IF($F223&lt;&gt;"", XLOOKUP($F223,Productos!$A$2:$A1001,Productos!AU$2:AU1001,"")*$G223,"")</f>
        <v/>
      </c>
      <c r="BC223" s="179" t="str">
        <f t="array" ref="BC223">IF($F223&lt;&gt;"",XLOOKUP($F223,Productos!$A:$A,Productos!AV:AV,"Revisar"),"")</f>
        <v/>
      </c>
      <c r="BD223" s="179" t="str">
        <f t="array" ref="BD223">IF($F223&lt;&gt;"", XLOOKUP($F223,Productos!$A$2:$A1001,Productos!AW$2:AW1001,"")*$G223,"")</f>
        <v/>
      </c>
      <c r="BE223" s="179" t="str">
        <f t="array" ref="BE223">IF($F223&lt;&gt;"",XLOOKUP($F223,Productos!$A:$A,Productos!AX:AX,"Revisar"),"")</f>
        <v/>
      </c>
      <c r="BF223" s="179" t="str">
        <f t="array" ref="BF223">IF($F223&lt;&gt;"", XLOOKUP($F223,Productos!$A$2:$A1001,Productos!AY$2:AY1001,"")*$G223,"")</f>
        <v/>
      </c>
      <c r="BG223" s="179" t="str">
        <f t="array" ref="BG223">IF($F223&lt;&gt;"",XLOOKUP($F223,Productos!$A:$A,Productos!AZ:AZ,"Revisar"),"")</f>
        <v/>
      </c>
      <c r="BH223" s="179" t="str">
        <f t="array" ref="BH223">IF($F223&lt;&gt;"", XLOOKUP($F223,Productos!$A$2:$A1001,Productos!BA$2:BA1001,"")*$G223,"")</f>
        <v/>
      </c>
      <c r="BI223" s="179" t="str">
        <f t="array" ref="BI223">IF($F223&lt;&gt;"",XLOOKUP($F223,Productos!$A:$A,Productos!BB:BB,"Revisar"),"")</f>
        <v/>
      </c>
      <c r="BJ223" s="179" t="str">
        <f t="array" ref="BJ223">IF($F223&lt;&gt;"", XLOOKUP($F223,Productos!$A$2:$A1001,Productos!BC$2:BC1001,"")*$G223,"")</f>
        <v/>
      </c>
      <c r="BK223" s="179" t="str">
        <f t="array" ref="BK223">IF($F223&lt;&gt;"",XLOOKUP($F223,Productos!$A:$A,Productos!BD:BD,"Revisar"),"")</f>
        <v/>
      </c>
      <c r="BL223" s="179" t="str">
        <f t="array" ref="BL223">IF($F223&lt;&gt;"", XLOOKUP($F223,Productos!$A$2:$A1001,Productos!BE$2:BE1001,"")*$G223,"")</f>
        <v/>
      </c>
      <c r="BM223" s="179" t="str">
        <f t="array" ref="BM223">IF($F223&lt;&gt;"",XLOOKUP($F223,Productos!$A:$A,Productos!BF:BF,"Revisar"),"")</f>
        <v/>
      </c>
      <c r="BN223" s="179" t="str">
        <f t="array" ref="BN223">IF($F223&lt;&gt;"", XLOOKUP($F223,Productos!$A$2:$A1001,Productos!BG$2:BG1001,"")*$G223,"")</f>
        <v/>
      </c>
      <c r="BO223" s="179" t="str">
        <f t="array" ref="BO223">IF($F223&lt;&gt;"",XLOOKUP($F223,Productos!$A:$A,Productos!BH:BH,"Revisar"),"")</f>
        <v/>
      </c>
      <c r="BP223" s="179" t="str">
        <f t="array" ref="BP223">IF($F223&lt;&gt;"", XLOOKUP($F223,Productos!$A$2:$A1001,Productos!BI$2:BI1001,"")*$G223,"")</f>
        <v/>
      </c>
      <c r="BQ223" s="179" t="str">
        <f t="array" ref="BQ223">IF($F223&lt;&gt;"",XLOOKUP($F223,Productos!$A:$A,Productos!BJ:BJ,"Revisar"),"")</f>
        <v/>
      </c>
      <c r="BR223" s="179" t="str">
        <f t="array" ref="BR223">IF($F223&lt;&gt;"", XLOOKUP($F223,Productos!$A$2:$A1001,Productos!BK$2:BK1001,"")*$G223,"")</f>
        <v/>
      </c>
      <c r="BS223" s="179" t="str">
        <f t="array" ref="BS223">IF($F223&lt;&gt;"",XLOOKUP($F223,Productos!$A:$A,Productos!BL:BL,"Revisar"),"")</f>
        <v/>
      </c>
      <c r="BT223" s="179" t="str">
        <f t="array" ref="BT223">IF($F223&lt;&gt;"", XLOOKUP($F223,Productos!$A$2:$A1001,Productos!BM$2:BM1001,"")*$G223,"")</f>
        <v/>
      </c>
      <c r="BU223" s="179" t="str">
        <f t="array" ref="BU223">IF($F223&lt;&gt;"",XLOOKUP($F223,Productos!$A:$A,Productos!BN:BN,"Revisar"),"")</f>
        <v/>
      </c>
      <c r="BV223" s="179" t="str">
        <f t="array" ref="BV223">IF($F223&lt;&gt;"", XLOOKUP($F223,Productos!$A$2:$A1001,Productos!BO$2:BO1001,"")*$G223,"")</f>
        <v/>
      </c>
      <c r="BW223" s="179" t="str">
        <f t="array" ref="BW223">IF($F223&lt;&gt;"",XLOOKUP($F223,Productos!$A:$A,Productos!BP:BP,"Revisar"),"")</f>
        <v/>
      </c>
      <c r="BX223" s="179" t="str">
        <f t="array" ref="BX223">IF($F223&lt;&gt;"", XLOOKUP($F223,Productos!$A$2:$A1001,Productos!BQ$2:BQ1001,"")*$G223,"")</f>
        <v/>
      </c>
      <c r="BY223" s="179" t="str">
        <f t="array" ref="BY223">IF($F223&lt;&gt;"",XLOOKUP($F223,Productos!$A:$A,Productos!BR:BR,"Revisar"),"")</f>
        <v/>
      </c>
      <c r="BZ223" s="179" t="str">
        <f t="array" ref="BZ223">IF($F223&lt;&gt;"", XLOOKUP($F223,Productos!$A$2:$A1001,Productos!BS$2:BS1001,"")*$G223,"")</f>
        <v/>
      </c>
    </row>
    <row r="224">
      <c r="A224" s="180"/>
      <c r="B224" s="181"/>
      <c r="C224" s="182"/>
      <c r="D224" s="182"/>
      <c r="E224" s="185"/>
      <c r="F224" s="186"/>
      <c r="G224" s="187"/>
      <c r="H224" s="186"/>
      <c r="I224" s="179" t="str">
        <f t="array" ref="I224">IF($F224&lt;&gt;"",XLOOKUP($F224,Productos!$A:$A,Productos!B:B,"Revisar"),"")</f>
        <v/>
      </c>
      <c r="J224" s="179" t="str">
        <f t="array" ref="J224">IF($F224&lt;&gt;"", XLOOKUP($F224,Productos!$A$2:$A1001,Productos!C$2:C1001,"")*$G224,"")</f>
        <v/>
      </c>
      <c r="K224" s="179" t="str">
        <f t="array" ref="K224">IF($F224&lt;&gt;"",XLOOKUP($F224,Productos!$A:$A,Productos!D:D,"Revisar"),"")</f>
        <v/>
      </c>
      <c r="L224" s="179" t="str">
        <f t="array" ref="L224">IF($F224&lt;&gt;"", XLOOKUP($F224,Productos!$A$2:$A1001,Productos!E$2:E1001,"")*$G224,"")</f>
        <v/>
      </c>
      <c r="M224" s="179" t="str">
        <f t="array" ref="M224">IF($F224&lt;&gt;"",XLOOKUP($F224,Productos!$A:$A,Productos!F:F,"Revisar"),"")</f>
        <v/>
      </c>
      <c r="N224" s="179" t="str">
        <f t="array" ref="N224">IF($F224&lt;&gt;"", XLOOKUP($F224,Productos!$A$2:$A1001,Productos!G$2:G1001,"")*$G224,"")</f>
        <v/>
      </c>
      <c r="O224" s="179" t="str">
        <f t="array" ref="O224">IF($F224&lt;&gt;"",XLOOKUP($F224,Productos!$A:$A,Productos!H:H,"Revisar"),"")</f>
        <v/>
      </c>
      <c r="P224" s="179" t="str">
        <f t="array" ref="P224">IF($F224&lt;&gt;"", XLOOKUP($F224,Productos!$A$2:$A1001,Productos!I$2:I1001,"")*$G224,"")</f>
        <v/>
      </c>
      <c r="Q224" s="179" t="str">
        <f t="array" ref="Q224">IF($F224&lt;&gt;"",XLOOKUP($F224,Productos!$A:$A,Productos!J:J,"Revisar"),"")</f>
        <v/>
      </c>
      <c r="R224" s="179" t="str">
        <f t="array" ref="R224">IF($F224&lt;&gt;"", XLOOKUP($F224,Productos!$A$2:$A1001,Productos!K$2:K1001,"")*$G224,"")</f>
        <v/>
      </c>
      <c r="S224" s="179" t="str">
        <f t="array" ref="S224">IF($F224&lt;&gt;"",XLOOKUP($F224,Productos!$A:$A,Productos!L:L,"Revisar"),"")</f>
        <v/>
      </c>
      <c r="T224" s="179" t="str">
        <f t="array" ref="T224">IF($F224&lt;&gt;"", XLOOKUP($F224,Productos!$A$2:$A1001,Productos!M$2:M1001,"")*$G224,"")</f>
        <v/>
      </c>
      <c r="U224" s="179" t="str">
        <f t="array" ref="U224">IF($F224&lt;&gt;"",XLOOKUP($F224,Productos!$A:$A,Productos!N:N,"Revisar"),"")</f>
        <v/>
      </c>
      <c r="V224" s="179" t="str">
        <f t="array" ref="V224">IF($F224&lt;&gt;"", XLOOKUP($F224,Productos!$A$2:$A1001,Productos!O$2:O1001,"")*$G224,"")</f>
        <v/>
      </c>
      <c r="W224" s="179" t="str">
        <f t="array" ref="W224">IF($F224&lt;&gt;"",XLOOKUP($F224,Productos!$A:$A,Productos!P:P,"Revisar"),"")</f>
        <v/>
      </c>
      <c r="X224" s="179" t="str">
        <f t="array" ref="X224">IF($F224&lt;&gt;"", XLOOKUP($F224,Productos!$A$2:$A1001,Productos!Q$2:Q1001,"")*$G224,"")</f>
        <v/>
      </c>
      <c r="Y224" s="179" t="str">
        <f t="array" ref="Y224">IF($F224&lt;&gt;"",XLOOKUP($F224,Productos!$A:$A,Productos!R:R,"Revisar"),"")</f>
        <v/>
      </c>
      <c r="Z224" s="179" t="str">
        <f t="array" ref="Z224">IF($F224&lt;&gt;"", XLOOKUP($F224,Productos!$A$2:$A1001,Productos!S$2:S1001,"")*$G224,"")</f>
        <v/>
      </c>
      <c r="AA224" s="179" t="str">
        <f t="array" ref="AA224">IF($F224&lt;&gt;"",XLOOKUP($F224,Productos!$A:$A,Productos!T:T,"Revisar"),"")</f>
        <v/>
      </c>
      <c r="AB224" s="179" t="str">
        <f t="array" ref="AB224">IF($F224&lt;&gt;"", XLOOKUP($F224,Productos!$A$2:$A1001,Productos!U$2:U1001,"")*$G224,"")</f>
        <v/>
      </c>
      <c r="AC224" s="179" t="str">
        <f t="array" ref="AC224">IF($F224&lt;&gt;"",XLOOKUP($F224,Productos!$A:$A,Productos!V:V,"Revisar"),"")</f>
        <v/>
      </c>
      <c r="AD224" s="179" t="str">
        <f t="array" ref="AD224">IF($F224&lt;&gt;"", XLOOKUP($F224,Productos!$A$2:$A1001,Productos!W$2:W1001,"")*$G224,"")</f>
        <v/>
      </c>
      <c r="AE224" s="179" t="str">
        <f t="array" ref="AE224">IF($F224&lt;&gt;"",XLOOKUP($F224,Productos!$A:$A,Productos!X:X,"Revisar"),"")</f>
        <v/>
      </c>
      <c r="AF224" s="179" t="str">
        <f t="array" ref="AF224">IF($F224&lt;&gt;"", XLOOKUP($F224,Productos!$A$2:$A1001,Productos!Y$2:Y1001,"")*$G224,"")</f>
        <v/>
      </c>
      <c r="AG224" s="179" t="str">
        <f t="array" ref="AG224">IF($F224&lt;&gt;"",XLOOKUP($F224,Productos!$A:$A,Productos!Z:Z,"Revisar"),"")</f>
        <v/>
      </c>
      <c r="AH224" s="179" t="str">
        <f t="array" ref="AH224">IF($F224&lt;&gt;"", XLOOKUP($F224,Productos!$A$2:$A1001,Productos!AA$2:AA1001,"")*$G224,"")</f>
        <v/>
      </c>
      <c r="AI224" s="179" t="str">
        <f t="array" ref="AI224">IF($F224&lt;&gt;"",XLOOKUP($F224,Productos!$A:$A,Productos!AB:AB,"Revisar"),"")</f>
        <v/>
      </c>
      <c r="AJ224" s="179" t="str">
        <f t="array" ref="AJ224">IF($F224&lt;&gt;"", XLOOKUP($F224,Productos!$A$2:$A1001,Productos!AC$2:AC1001,"")*$G224,"")</f>
        <v/>
      </c>
      <c r="AK224" s="179" t="str">
        <f t="array" ref="AK224">IF($F224&lt;&gt;"",XLOOKUP($F224,Productos!$A:$A,Productos!AD:AD,"Revisar"),"")</f>
        <v/>
      </c>
      <c r="AL224" s="179" t="str">
        <f t="array" ref="AL224">IF($F224&lt;&gt;"", XLOOKUP($F224,Productos!$A$2:$A1001,Productos!AE$2:AE1001,"")*$G224,"")</f>
        <v/>
      </c>
      <c r="AM224" s="179" t="str">
        <f t="array" ref="AM224">IF($F224&lt;&gt;"",XLOOKUP($F224,Productos!$A:$A,Productos!AF:AF,"Revisar"),"")</f>
        <v/>
      </c>
      <c r="AN224" s="179" t="str">
        <f t="array" ref="AN224">IF($F224&lt;&gt;"", XLOOKUP($F224,Productos!$A$2:$A1001,Productos!AG$2:AG1001,"")*$G224,"")</f>
        <v/>
      </c>
      <c r="AO224" s="179" t="str">
        <f t="array" ref="AO224">IF($F224&lt;&gt;"",XLOOKUP($F224,Productos!$A:$A,Productos!AH:AH,"Revisar"),"")</f>
        <v/>
      </c>
      <c r="AP224" s="179" t="str">
        <f t="array" ref="AP224">IF($F224&lt;&gt;"", XLOOKUP($F224,Productos!$A$2:$A1001,Productos!AI$2:AI1001,"")*$G224,"")</f>
        <v/>
      </c>
      <c r="AQ224" s="179" t="str">
        <f t="array" ref="AQ224">IF($F224&lt;&gt;"",XLOOKUP($F224,Productos!$A:$A,Productos!AJ:AJ,"Revisar"),"")</f>
        <v/>
      </c>
      <c r="AR224" s="179" t="str">
        <f t="array" ref="AR224">IF($F224&lt;&gt;"", XLOOKUP($F224,Productos!$A$2:$A1001,Productos!AK$2:AK1001,"")*$G224,"")</f>
        <v/>
      </c>
      <c r="AS224" s="179" t="str">
        <f t="array" ref="AS224">IF($F224&lt;&gt;"",XLOOKUP($F224,Productos!$A:$A,Productos!AL:AL,"Revisar"),"")</f>
        <v/>
      </c>
      <c r="AT224" s="179" t="str">
        <f t="array" ref="AT224">IF($F224&lt;&gt;"", XLOOKUP($F224,Productos!$A$2:$A1001,Productos!AM$2:AM1001,"")*$G224,"")</f>
        <v/>
      </c>
      <c r="AU224" s="179" t="str">
        <f t="array" ref="AU224">IF($F224&lt;&gt;"",XLOOKUP($F224,Productos!$A:$A,Productos!AN:AN,"Revisar"),"")</f>
        <v/>
      </c>
      <c r="AV224" s="179" t="str">
        <f t="array" ref="AV224">IF($F224&lt;&gt;"", XLOOKUP($F224,Productos!$A$2:$A1001,Productos!AO$2:AO1001,"")*$G224,"")</f>
        <v/>
      </c>
      <c r="AW224" s="179" t="str">
        <f t="array" ref="AW224">IF($F224&lt;&gt;"",XLOOKUP($F224,Productos!$A:$A,Productos!AP:AP,"Revisar"),"")</f>
        <v/>
      </c>
      <c r="AX224" s="179" t="str">
        <f t="array" ref="AX224">IF($F224&lt;&gt;"", XLOOKUP($F224,Productos!$A$2:$A1001,Productos!AQ$2:AQ1001,"")*$G224,"")</f>
        <v/>
      </c>
      <c r="AY224" s="179" t="str">
        <f t="array" ref="AY224">IF($F224&lt;&gt;"",XLOOKUP($F224,Productos!$A:$A,Productos!AR:AR,"Revisar"),"")</f>
        <v/>
      </c>
      <c r="AZ224" s="179" t="str">
        <f t="array" ref="AZ224">IF($F224&lt;&gt;"", XLOOKUP($F224,Productos!$A$2:$A1001,Productos!AS$2:AS1001,"")*$G224,"")</f>
        <v/>
      </c>
      <c r="BA224" s="179" t="str">
        <f t="array" ref="BA224">IF($F224&lt;&gt;"",XLOOKUP($F224,Productos!$A:$A,Productos!AT:AT,"Revisar"),"")</f>
        <v/>
      </c>
      <c r="BB224" s="179" t="str">
        <f t="array" ref="BB224">IF($F224&lt;&gt;"", XLOOKUP($F224,Productos!$A$2:$A1001,Productos!AU$2:AU1001,"")*$G224,"")</f>
        <v/>
      </c>
      <c r="BC224" s="179" t="str">
        <f t="array" ref="BC224">IF($F224&lt;&gt;"",XLOOKUP($F224,Productos!$A:$A,Productos!AV:AV,"Revisar"),"")</f>
        <v/>
      </c>
      <c r="BD224" s="179" t="str">
        <f t="array" ref="BD224">IF($F224&lt;&gt;"", XLOOKUP($F224,Productos!$A$2:$A1001,Productos!AW$2:AW1001,"")*$G224,"")</f>
        <v/>
      </c>
      <c r="BE224" s="179" t="str">
        <f t="array" ref="BE224">IF($F224&lt;&gt;"",XLOOKUP($F224,Productos!$A:$A,Productos!AX:AX,"Revisar"),"")</f>
        <v/>
      </c>
      <c r="BF224" s="179" t="str">
        <f t="array" ref="BF224">IF($F224&lt;&gt;"", XLOOKUP($F224,Productos!$A$2:$A1001,Productos!AY$2:AY1001,"")*$G224,"")</f>
        <v/>
      </c>
      <c r="BG224" s="179" t="str">
        <f t="array" ref="BG224">IF($F224&lt;&gt;"",XLOOKUP($F224,Productos!$A:$A,Productos!AZ:AZ,"Revisar"),"")</f>
        <v/>
      </c>
      <c r="BH224" s="179" t="str">
        <f t="array" ref="BH224">IF($F224&lt;&gt;"", XLOOKUP($F224,Productos!$A$2:$A1001,Productos!BA$2:BA1001,"")*$G224,"")</f>
        <v/>
      </c>
      <c r="BI224" s="179" t="str">
        <f t="array" ref="BI224">IF($F224&lt;&gt;"",XLOOKUP($F224,Productos!$A:$A,Productos!BB:BB,"Revisar"),"")</f>
        <v/>
      </c>
      <c r="BJ224" s="179" t="str">
        <f t="array" ref="BJ224">IF($F224&lt;&gt;"", XLOOKUP($F224,Productos!$A$2:$A1001,Productos!BC$2:BC1001,"")*$G224,"")</f>
        <v/>
      </c>
      <c r="BK224" s="179" t="str">
        <f t="array" ref="BK224">IF($F224&lt;&gt;"",XLOOKUP($F224,Productos!$A:$A,Productos!BD:BD,"Revisar"),"")</f>
        <v/>
      </c>
      <c r="BL224" s="179" t="str">
        <f t="array" ref="BL224">IF($F224&lt;&gt;"", XLOOKUP($F224,Productos!$A$2:$A1001,Productos!BE$2:BE1001,"")*$G224,"")</f>
        <v/>
      </c>
      <c r="BM224" s="179" t="str">
        <f t="array" ref="BM224">IF($F224&lt;&gt;"",XLOOKUP($F224,Productos!$A:$A,Productos!BF:BF,"Revisar"),"")</f>
        <v/>
      </c>
      <c r="BN224" s="179" t="str">
        <f t="array" ref="BN224">IF($F224&lt;&gt;"", XLOOKUP($F224,Productos!$A$2:$A1001,Productos!BG$2:BG1001,"")*$G224,"")</f>
        <v/>
      </c>
      <c r="BO224" s="179" t="str">
        <f t="array" ref="BO224">IF($F224&lt;&gt;"",XLOOKUP($F224,Productos!$A:$A,Productos!BH:BH,"Revisar"),"")</f>
        <v/>
      </c>
      <c r="BP224" s="179" t="str">
        <f t="array" ref="BP224">IF($F224&lt;&gt;"", XLOOKUP($F224,Productos!$A$2:$A1001,Productos!BI$2:BI1001,"")*$G224,"")</f>
        <v/>
      </c>
      <c r="BQ224" s="179" t="str">
        <f t="array" ref="BQ224">IF($F224&lt;&gt;"",XLOOKUP($F224,Productos!$A:$A,Productos!BJ:BJ,"Revisar"),"")</f>
        <v/>
      </c>
      <c r="BR224" s="179" t="str">
        <f t="array" ref="BR224">IF($F224&lt;&gt;"", XLOOKUP($F224,Productos!$A$2:$A1001,Productos!BK$2:BK1001,"")*$G224,"")</f>
        <v/>
      </c>
      <c r="BS224" s="179" t="str">
        <f t="array" ref="BS224">IF($F224&lt;&gt;"",XLOOKUP($F224,Productos!$A:$A,Productos!BL:BL,"Revisar"),"")</f>
        <v/>
      </c>
      <c r="BT224" s="179" t="str">
        <f t="array" ref="BT224">IF($F224&lt;&gt;"", XLOOKUP($F224,Productos!$A$2:$A1001,Productos!BM$2:BM1001,"")*$G224,"")</f>
        <v/>
      </c>
      <c r="BU224" s="179" t="str">
        <f t="array" ref="BU224">IF($F224&lt;&gt;"",XLOOKUP($F224,Productos!$A:$A,Productos!BN:BN,"Revisar"),"")</f>
        <v/>
      </c>
      <c r="BV224" s="179" t="str">
        <f t="array" ref="BV224">IF($F224&lt;&gt;"", XLOOKUP($F224,Productos!$A$2:$A1001,Productos!BO$2:BO1001,"")*$G224,"")</f>
        <v/>
      </c>
      <c r="BW224" s="179" t="str">
        <f t="array" ref="BW224">IF($F224&lt;&gt;"",XLOOKUP($F224,Productos!$A:$A,Productos!BP:BP,"Revisar"),"")</f>
        <v/>
      </c>
      <c r="BX224" s="179" t="str">
        <f t="array" ref="BX224">IF($F224&lt;&gt;"", XLOOKUP($F224,Productos!$A$2:$A1001,Productos!BQ$2:BQ1001,"")*$G224,"")</f>
        <v/>
      </c>
      <c r="BY224" s="179" t="str">
        <f t="array" ref="BY224">IF($F224&lt;&gt;"",XLOOKUP($F224,Productos!$A:$A,Productos!BR:BR,"Revisar"),"")</f>
        <v/>
      </c>
      <c r="BZ224" s="179" t="str">
        <f t="array" ref="BZ224">IF($F224&lt;&gt;"", XLOOKUP($F224,Productos!$A$2:$A1001,Productos!BS$2:BS1001,"")*$G224,"")</f>
        <v/>
      </c>
    </row>
    <row r="225">
      <c r="A225" s="180"/>
      <c r="B225" s="181"/>
      <c r="C225" s="182"/>
      <c r="D225" s="182"/>
      <c r="E225" s="185"/>
      <c r="F225" s="186"/>
      <c r="G225" s="187"/>
      <c r="H225" s="186"/>
      <c r="I225" s="179" t="str">
        <f t="array" ref="I225">IF($F225&lt;&gt;"",XLOOKUP($F225,Productos!$A:$A,Productos!B:B,"Revisar"),"")</f>
        <v/>
      </c>
      <c r="J225" s="179" t="str">
        <f t="array" ref="J225">IF($F225&lt;&gt;"", XLOOKUP($F225,Productos!$A$2:$A1001,Productos!C$2:C1001,"")*$G225,"")</f>
        <v/>
      </c>
      <c r="K225" s="179" t="str">
        <f t="array" ref="K225">IF($F225&lt;&gt;"",XLOOKUP($F225,Productos!$A:$A,Productos!D:D,"Revisar"),"")</f>
        <v/>
      </c>
      <c r="L225" s="179" t="str">
        <f t="array" ref="L225">IF($F225&lt;&gt;"", XLOOKUP($F225,Productos!$A$2:$A1001,Productos!E$2:E1001,"")*$G225,"")</f>
        <v/>
      </c>
      <c r="M225" s="179" t="str">
        <f t="array" ref="M225">IF($F225&lt;&gt;"",XLOOKUP($F225,Productos!$A:$A,Productos!F:F,"Revisar"),"")</f>
        <v/>
      </c>
      <c r="N225" s="179" t="str">
        <f t="array" ref="N225">IF($F225&lt;&gt;"", XLOOKUP($F225,Productos!$A$2:$A1001,Productos!G$2:G1001,"")*$G225,"")</f>
        <v/>
      </c>
      <c r="O225" s="179" t="str">
        <f t="array" ref="O225">IF($F225&lt;&gt;"",XLOOKUP($F225,Productos!$A:$A,Productos!H:H,"Revisar"),"")</f>
        <v/>
      </c>
      <c r="P225" s="179" t="str">
        <f t="array" ref="P225">IF($F225&lt;&gt;"", XLOOKUP($F225,Productos!$A$2:$A1001,Productos!I$2:I1001,"")*$G225,"")</f>
        <v/>
      </c>
      <c r="Q225" s="179" t="str">
        <f t="array" ref="Q225">IF($F225&lt;&gt;"",XLOOKUP($F225,Productos!$A:$A,Productos!J:J,"Revisar"),"")</f>
        <v/>
      </c>
      <c r="R225" s="179" t="str">
        <f t="array" ref="R225">IF($F225&lt;&gt;"", XLOOKUP($F225,Productos!$A$2:$A1001,Productos!K$2:K1001,"")*$G225,"")</f>
        <v/>
      </c>
      <c r="S225" s="179" t="str">
        <f t="array" ref="S225">IF($F225&lt;&gt;"",XLOOKUP($F225,Productos!$A:$A,Productos!L:L,"Revisar"),"")</f>
        <v/>
      </c>
      <c r="T225" s="179" t="str">
        <f t="array" ref="T225">IF($F225&lt;&gt;"", XLOOKUP($F225,Productos!$A$2:$A1001,Productos!M$2:M1001,"")*$G225,"")</f>
        <v/>
      </c>
      <c r="U225" s="179" t="str">
        <f t="array" ref="U225">IF($F225&lt;&gt;"",XLOOKUP($F225,Productos!$A:$A,Productos!N:N,"Revisar"),"")</f>
        <v/>
      </c>
      <c r="V225" s="179" t="str">
        <f t="array" ref="V225">IF($F225&lt;&gt;"", XLOOKUP($F225,Productos!$A$2:$A1001,Productos!O$2:O1001,"")*$G225,"")</f>
        <v/>
      </c>
      <c r="W225" s="179" t="str">
        <f t="array" ref="W225">IF($F225&lt;&gt;"",XLOOKUP($F225,Productos!$A:$A,Productos!P:P,"Revisar"),"")</f>
        <v/>
      </c>
      <c r="X225" s="179" t="str">
        <f t="array" ref="X225">IF($F225&lt;&gt;"", XLOOKUP($F225,Productos!$A$2:$A1001,Productos!Q$2:Q1001,"")*$G225,"")</f>
        <v/>
      </c>
      <c r="Y225" s="179" t="str">
        <f t="array" ref="Y225">IF($F225&lt;&gt;"",XLOOKUP($F225,Productos!$A:$A,Productos!R:R,"Revisar"),"")</f>
        <v/>
      </c>
      <c r="Z225" s="179" t="str">
        <f t="array" ref="Z225">IF($F225&lt;&gt;"", XLOOKUP($F225,Productos!$A$2:$A1001,Productos!S$2:S1001,"")*$G225,"")</f>
        <v/>
      </c>
      <c r="AA225" s="179" t="str">
        <f t="array" ref="AA225">IF($F225&lt;&gt;"",XLOOKUP($F225,Productos!$A:$A,Productos!T:T,"Revisar"),"")</f>
        <v/>
      </c>
      <c r="AB225" s="179" t="str">
        <f t="array" ref="AB225">IF($F225&lt;&gt;"", XLOOKUP($F225,Productos!$A$2:$A1001,Productos!U$2:U1001,"")*$G225,"")</f>
        <v/>
      </c>
      <c r="AC225" s="179" t="str">
        <f t="array" ref="AC225">IF($F225&lt;&gt;"",XLOOKUP($F225,Productos!$A:$A,Productos!V:V,"Revisar"),"")</f>
        <v/>
      </c>
      <c r="AD225" s="179" t="str">
        <f t="array" ref="AD225">IF($F225&lt;&gt;"", XLOOKUP($F225,Productos!$A$2:$A1001,Productos!W$2:W1001,"")*$G225,"")</f>
        <v/>
      </c>
      <c r="AE225" s="179" t="str">
        <f t="array" ref="AE225">IF($F225&lt;&gt;"",XLOOKUP($F225,Productos!$A:$A,Productos!X:X,"Revisar"),"")</f>
        <v/>
      </c>
      <c r="AF225" s="179" t="str">
        <f t="array" ref="AF225">IF($F225&lt;&gt;"", XLOOKUP($F225,Productos!$A$2:$A1001,Productos!Y$2:Y1001,"")*$G225,"")</f>
        <v/>
      </c>
      <c r="AG225" s="179" t="str">
        <f t="array" ref="AG225">IF($F225&lt;&gt;"",XLOOKUP($F225,Productos!$A:$A,Productos!Z:Z,"Revisar"),"")</f>
        <v/>
      </c>
      <c r="AH225" s="179" t="str">
        <f t="array" ref="AH225">IF($F225&lt;&gt;"", XLOOKUP($F225,Productos!$A$2:$A1001,Productos!AA$2:AA1001,"")*$G225,"")</f>
        <v/>
      </c>
      <c r="AI225" s="179" t="str">
        <f t="array" ref="AI225">IF($F225&lt;&gt;"",XLOOKUP($F225,Productos!$A:$A,Productos!AB:AB,"Revisar"),"")</f>
        <v/>
      </c>
      <c r="AJ225" s="179" t="str">
        <f t="array" ref="AJ225">IF($F225&lt;&gt;"", XLOOKUP($F225,Productos!$A$2:$A1001,Productos!AC$2:AC1001,"")*$G225,"")</f>
        <v/>
      </c>
      <c r="AK225" s="179" t="str">
        <f t="array" ref="AK225">IF($F225&lt;&gt;"",XLOOKUP($F225,Productos!$A:$A,Productos!AD:AD,"Revisar"),"")</f>
        <v/>
      </c>
      <c r="AL225" s="179" t="str">
        <f t="array" ref="AL225">IF($F225&lt;&gt;"", XLOOKUP($F225,Productos!$A$2:$A1001,Productos!AE$2:AE1001,"")*$G225,"")</f>
        <v/>
      </c>
      <c r="AM225" s="179" t="str">
        <f t="array" ref="AM225">IF($F225&lt;&gt;"",XLOOKUP($F225,Productos!$A:$A,Productos!AF:AF,"Revisar"),"")</f>
        <v/>
      </c>
      <c r="AN225" s="179" t="str">
        <f t="array" ref="AN225">IF($F225&lt;&gt;"", XLOOKUP($F225,Productos!$A$2:$A1001,Productos!AG$2:AG1001,"")*$G225,"")</f>
        <v/>
      </c>
      <c r="AO225" s="179" t="str">
        <f t="array" ref="AO225">IF($F225&lt;&gt;"",XLOOKUP($F225,Productos!$A:$A,Productos!AH:AH,"Revisar"),"")</f>
        <v/>
      </c>
      <c r="AP225" s="179" t="str">
        <f t="array" ref="AP225">IF($F225&lt;&gt;"", XLOOKUP($F225,Productos!$A$2:$A1001,Productos!AI$2:AI1001,"")*$G225,"")</f>
        <v/>
      </c>
      <c r="AQ225" s="179" t="str">
        <f t="array" ref="AQ225">IF($F225&lt;&gt;"",XLOOKUP($F225,Productos!$A:$A,Productos!AJ:AJ,"Revisar"),"")</f>
        <v/>
      </c>
      <c r="AR225" s="179" t="str">
        <f t="array" ref="AR225">IF($F225&lt;&gt;"", XLOOKUP($F225,Productos!$A$2:$A1001,Productos!AK$2:AK1001,"")*$G225,"")</f>
        <v/>
      </c>
      <c r="AS225" s="179" t="str">
        <f t="array" ref="AS225">IF($F225&lt;&gt;"",XLOOKUP($F225,Productos!$A:$A,Productos!AL:AL,"Revisar"),"")</f>
        <v/>
      </c>
      <c r="AT225" s="179" t="str">
        <f t="array" ref="AT225">IF($F225&lt;&gt;"", XLOOKUP($F225,Productos!$A$2:$A1001,Productos!AM$2:AM1001,"")*$G225,"")</f>
        <v/>
      </c>
      <c r="AU225" s="179" t="str">
        <f t="array" ref="AU225">IF($F225&lt;&gt;"",XLOOKUP($F225,Productos!$A:$A,Productos!AN:AN,"Revisar"),"")</f>
        <v/>
      </c>
      <c r="AV225" s="179" t="str">
        <f t="array" ref="AV225">IF($F225&lt;&gt;"", XLOOKUP($F225,Productos!$A$2:$A1001,Productos!AO$2:AO1001,"")*$G225,"")</f>
        <v/>
      </c>
      <c r="AW225" s="179" t="str">
        <f t="array" ref="AW225">IF($F225&lt;&gt;"",XLOOKUP($F225,Productos!$A:$A,Productos!AP:AP,"Revisar"),"")</f>
        <v/>
      </c>
      <c r="AX225" s="179" t="str">
        <f t="array" ref="AX225">IF($F225&lt;&gt;"", XLOOKUP($F225,Productos!$A$2:$A1001,Productos!AQ$2:AQ1001,"")*$G225,"")</f>
        <v/>
      </c>
      <c r="AY225" s="179" t="str">
        <f t="array" ref="AY225">IF($F225&lt;&gt;"",XLOOKUP($F225,Productos!$A:$A,Productos!AR:AR,"Revisar"),"")</f>
        <v/>
      </c>
      <c r="AZ225" s="179" t="str">
        <f t="array" ref="AZ225">IF($F225&lt;&gt;"", XLOOKUP($F225,Productos!$A$2:$A1001,Productos!AS$2:AS1001,"")*$G225,"")</f>
        <v/>
      </c>
      <c r="BA225" s="179" t="str">
        <f t="array" ref="BA225">IF($F225&lt;&gt;"",XLOOKUP($F225,Productos!$A:$A,Productos!AT:AT,"Revisar"),"")</f>
        <v/>
      </c>
      <c r="BB225" s="179" t="str">
        <f t="array" ref="BB225">IF($F225&lt;&gt;"", XLOOKUP($F225,Productos!$A$2:$A1001,Productos!AU$2:AU1001,"")*$G225,"")</f>
        <v/>
      </c>
      <c r="BC225" s="179" t="str">
        <f t="array" ref="BC225">IF($F225&lt;&gt;"",XLOOKUP($F225,Productos!$A:$A,Productos!AV:AV,"Revisar"),"")</f>
        <v/>
      </c>
      <c r="BD225" s="179" t="str">
        <f t="array" ref="BD225">IF($F225&lt;&gt;"", XLOOKUP($F225,Productos!$A$2:$A1001,Productos!AW$2:AW1001,"")*$G225,"")</f>
        <v/>
      </c>
      <c r="BE225" s="179" t="str">
        <f t="array" ref="BE225">IF($F225&lt;&gt;"",XLOOKUP($F225,Productos!$A:$A,Productos!AX:AX,"Revisar"),"")</f>
        <v/>
      </c>
      <c r="BF225" s="179" t="str">
        <f t="array" ref="BF225">IF($F225&lt;&gt;"", XLOOKUP($F225,Productos!$A$2:$A1001,Productos!AY$2:AY1001,"")*$G225,"")</f>
        <v/>
      </c>
      <c r="BG225" s="179" t="str">
        <f t="array" ref="BG225">IF($F225&lt;&gt;"",XLOOKUP($F225,Productos!$A:$A,Productos!AZ:AZ,"Revisar"),"")</f>
        <v/>
      </c>
      <c r="BH225" s="179" t="str">
        <f t="array" ref="BH225">IF($F225&lt;&gt;"", XLOOKUP($F225,Productos!$A$2:$A1001,Productos!BA$2:BA1001,"")*$G225,"")</f>
        <v/>
      </c>
      <c r="BI225" s="179" t="str">
        <f t="array" ref="BI225">IF($F225&lt;&gt;"",XLOOKUP($F225,Productos!$A:$A,Productos!BB:BB,"Revisar"),"")</f>
        <v/>
      </c>
      <c r="BJ225" s="179" t="str">
        <f t="array" ref="BJ225">IF($F225&lt;&gt;"", XLOOKUP($F225,Productos!$A$2:$A1001,Productos!BC$2:BC1001,"")*$G225,"")</f>
        <v/>
      </c>
      <c r="BK225" s="179" t="str">
        <f t="array" ref="BK225">IF($F225&lt;&gt;"",XLOOKUP($F225,Productos!$A:$A,Productos!BD:BD,"Revisar"),"")</f>
        <v/>
      </c>
      <c r="BL225" s="179" t="str">
        <f t="array" ref="BL225">IF($F225&lt;&gt;"", XLOOKUP($F225,Productos!$A$2:$A1001,Productos!BE$2:BE1001,"")*$G225,"")</f>
        <v/>
      </c>
      <c r="BM225" s="179" t="str">
        <f t="array" ref="BM225">IF($F225&lt;&gt;"",XLOOKUP($F225,Productos!$A:$A,Productos!BF:BF,"Revisar"),"")</f>
        <v/>
      </c>
      <c r="BN225" s="179" t="str">
        <f t="array" ref="BN225">IF($F225&lt;&gt;"", XLOOKUP($F225,Productos!$A$2:$A1001,Productos!BG$2:BG1001,"")*$G225,"")</f>
        <v/>
      </c>
      <c r="BO225" s="179" t="str">
        <f t="array" ref="BO225">IF($F225&lt;&gt;"",XLOOKUP($F225,Productos!$A:$A,Productos!BH:BH,"Revisar"),"")</f>
        <v/>
      </c>
      <c r="BP225" s="179" t="str">
        <f t="array" ref="BP225">IF($F225&lt;&gt;"", XLOOKUP($F225,Productos!$A$2:$A1001,Productos!BI$2:BI1001,"")*$G225,"")</f>
        <v/>
      </c>
      <c r="BQ225" s="179" t="str">
        <f t="array" ref="BQ225">IF($F225&lt;&gt;"",XLOOKUP($F225,Productos!$A:$A,Productos!BJ:BJ,"Revisar"),"")</f>
        <v/>
      </c>
      <c r="BR225" s="179" t="str">
        <f t="array" ref="BR225">IF($F225&lt;&gt;"", XLOOKUP($F225,Productos!$A$2:$A1001,Productos!BK$2:BK1001,"")*$G225,"")</f>
        <v/>
      </c>
      <c r="BS225" s="179" t="str">
        <f t="array" ref="BS225">IF($F225&lt;&gt;"",XLOOKUP($F225,Productos!$A:$A,Productos!BL:BL,"Revisar"),"")</f>
        <v/>
      </c>
      <c r="BT225" s="179" t="str">
        <f t="array" ref="BT225">IF($F225&lt;&gt;"", XLOOKUP($F225,Productos!$A$2:$A1001,Productos!BM$2:BM1001,"")*$G225,"")</f>
        <v/>
      </c>
      <c r="BU225" s="179" t="str">
        <f t="array" ref="BU225">IF($F225&lt;&gt;"",XLOOKUP($F225,Productos!$A:$A,Productos!BN:BN,"Revisar"),"")</f>
        <v/>
      </c>
      <c r="BV225" s="179" t="str">
        <f t="array" ref="BV225">IF($F225&lt;&gt;"", XLOOKUP($F225,Productos!$A$2:$A1001,Productos!BO$2:BO1001,"")*$G225,"")</f>
        <v/>
      </c>
      <c r="BW225" s="179" t="str">
        <f t="array" ref="BW225">IF($F225&lt;&gt;"",XLOOKUP($F225,Productos!$A:$A,Productos!BP:BP,"Revisar"),"")</f>
        <v/>
      </c>
      <c r="BX225" s="179" t="str">
        <f t="array" ref="BX225">IF($F225&lt;&gt;"", XLOOKUP($F225,Productos!$A$2:$A1001,Productos!BQ$2:BQ1001,"")*$G225,"")</f>
        <v/>
      </c>
      <c r="BY225" s="179" t="str">
        <f t="array" ref="BY225">IF($F225&lt;&gt;"",XLOOKUP($F225,Productos!$A:$A,Productos!BR:BR,"Revisar"),"")</f>
        <v/>
      </c>
      <c r="BZ225" s="179" t="str">
        <f t="array" ref="BZ225">IF($F225&lt;&gt;"", XLOOKUP($F225,Productos!$A$2:$A1001,Productos!BS$2:BS1001,"")*$G225,"")</f>
        <v/>
      </c>
    </row>
    <row r="226">
      <c r="A226" s="180"/>
      <c r="B226" s="181"/>
      <c r="C226" s="182"/>
      <c r="D226" s="182"/>
      <c r="E226" s="185"/>
      <c r="F226" s="186"/>
      <c r="G226" s="187"/>
      <c r="H226" s="186"/>
      <c r="I226" s="179" t="str">
        <f t="array" ref="I226">IF($F226&lt;&gt;"",XLOOKUP($F226,Productos!$A:$A,Productos!B:B,"Revisar"),"")</f>
        <v/>
      </c>
      <c r="J226" s="179" t="str">
        <f t="array" ref="J226">IF($F226&lt;&gt;"", XLOOKUP($F226,Productos!$A$2:$A1001,Productos!C$2:C1001,"")*$G226,"")</f>
        <v/>
      </c>
      <c r="K226" s="179" t="str">
        <f t="array" ref="K226">IF($F226&lt;&gt;"",XLOOKUP($F226,Productos!$A:$A,Productos!D:D,"Revisar"),"")</f>
        <v/>
      </c>
      <c r="L226" s="179" t="str">
        <f t="array" ref="L226">IF($F226&lt;&gt;"", XLOOKUP($F226,Productos!$A$2:$A1001,Productos!E$2:E1001,"")*$G226,"")</f>
        <v/>
      </c>
      <c r="M226" s="179" t="str">
        <f t="array" ref="M226">IF($F226&lt;&gt;"",XLOOKUP($F226,Productos!$A:$A,Productos!F:F,"Revisar"),"")</f>
        <v/>
      </c>
      <c r="N226" s="179" t="str">
        <f t="array" ref="N226">IF($F226&lt;&gt;"", XLOOKUP($F226,Productos!$A$2:$A1001,Productos!G$2:G1001,"")*$G226,"")</f>
        <v/>
      </c>
      <c r="O226" s="179" t="str">
        <f t="array" ref="O226">IF($F226&lt;&gt;"",XLOOKUP($F226,Productos!$A:$A,Productos!H:H,"Revisar"),"")</f>
        <v/>
      </c>
      <c r="P226" s="179" t="str">
        <f t="array" ref="P226">IF($F226&lt;&gt;"", XLOOKUP($F226,Productos!$A$2:$A1001,Productos!I$2:I1001,"")*$G226,"")</f>
        <v/>
      </c>
      <c r="Q226" s="179" t="str">
        <f t="array" ref="Q226">IF($F226&lt;&gt;"",XLOOKUP($F226,Productos!$A:$A,Productos!J:J,"Revisar"),"")</f>
        <v/>
      </c>
      <c r="R226" s="179" t="str">
        <f t="array" ref="R226">IF($F226&lt;&gt;"", XLOOKUP($F226,Productos!$A$2:$A1001,Productos!K$2:K1001,"")*$G226,"")</f>
        <v/>
      </c>
      <c r="S226" s="179" t="str">
        <f t="array" ref="S226">IF($F226&lt;&gt;"",XLOOKUP($F226,Productos!$A:$A,Productos!L:L,"Revisar"),"")</f>
        <v/>
      </c>
      <c r="T226" s="179" t="str">
        <f t="array" ref="T226">IF($F226&lt;&gt;"", XLOOKUP($F226,Productos!$A$2:$A1001,Productos!M$2:M1001,"")*$G226,"")</f>
        <v/>
      </c>
      <c r="U226" s="179" t="str">
        <f t="array" ref="U226">IF($F226&lt;&gt;"",XLOOKUP($F226,Productos!$A:$A,Productos!N:N,"Revisar"),"")</f>
        <v/>
      </c>
      <c r="V226" s="179" t="str">
        <f t="array" ref="V226">IF($F226&lt;&gt;"", XLOOKUP($F226,Productos!$A$2:$A1001,Productos!O$2:O1001,"")*$G226,"")</f>
        <v/>
      </c>
      <c r="W226" s="179" t="str">
        <f t="array" ref="W226">IF($F226&lt;&gt;"",XLOOKUP($F226,Productos!$A:$A,Productos!P:P,"Revisar"),"")</f>
        <v/>
      </c>
      <c r="X226" s="179" t="str">
        <f t="array" ref="X226">IF($F226&lt;&gt;"", XLOOKUP($F226,Productos!$A$2:$A1001,Productos!Q$2:Q1001,"")*$G226,"")</f>
        <v/>
      </c>
      <c r="Y226" s="179" t="str">
        <f t="array" ref="Y226">IF($F226&lt;&gt;"",XLOOKUP($F226,Productos!$A:$A,Productos!R:R,"Revisar"),"")</f>
        <v/>
      </c>
      <c r="Z226" s="179" t="str">
        <f t="array" ref="Z226">IF($F226&lt;&gt;"", XLOOKUP($F226,Productos!$A$2:$A1001,Productos!S$2:S1001,"")*$G226,"")</f>
        <v/>
      </c>
      <c r="AA226" s="179" t="str">
        <f t="array" ref="AA226">IF($F226&lt;&gt;"",XLOOKUP($F226,Productos!$A:$A,Productos!T:T,"Revisar"),"")</f>
        <v/>
      </c>
      <c r="AB226" s="179" t="str">
        <f t="array" ref="AB226">IF($F226&lt;&gt;"", XLOOKUP($F226,Productos!$A$2:$A1001,Productos!U$2:U1001,"")*$G226,"")</f>
        <v/>
      </c>
      <c r="AC226" s="179" t="str">
        <f t="array" ref="AC226">IF($F226&lt;&gt;"",XLOOKUP($F226,Productos!$A:$A,Productos!V:V,"Revisar"),"")</f>
        <v/>
      </c>
      <c r="AD226" s="179" t="str">
        <f t="array" ref="AD226">IF($F226&lt;&gt;"", XLOOKUP($F226,Productos!$A$2:$A1001,Productos!W$2:W1001,"")*$G226,"")</f>
        <v/>
      </c>
      <c r="AE226" s="179" t="str">
        <f t="array" ref="AE226">IF($F226&lt;&gt;"",XLOOKUP($F226,Productos!$A:$A,Productos!X:X,"Revisar"),"")</f>
        <v/>
      </c>
      <c r="AF226" s="179" t="str">
        <f t="array" ref="AF226">IF($F226&lt;&gt;"", XLOOKUP($F226,Productos!$A$2:$A1001,Productos!Y$2:Y1001,"")*$G226,"")</f>
        <v/>
      </c>
      <c r="AG226" s="179" t="str">
        <f t="array" ref="AG226">IF($F226&lt;&gt;"",XLOOKUP($F226,Productos!$A:$A,Productos!Z:Z,"Revisar"),"")</f>
        <v/>
      </c>
      <c r="AH226" s="179" t="str">
        <f t="array" ref="AH226">IF($F226&lt;&gt;"", XLOOKUP($F226,Productos!$A$2:$A1001,Productos!AA$2:AA1001,"")*$G226,"")</f>
        <v/>
      </c>
      <c r="AI226" s="179" t="str">
        <f t="array" ref="AI226">IF($F226&lt;&gt;"",XLOOKUP($F226,Productos!$A:$A,Productos!AB:AB,"Revisar"),"")</f>
        <v/>
      </c>
      <c r="AJ226" s="179" t="str">
        <f t="array" ref="AJ226">IF($F226&lt;&gt;"", XLOOKUP($F226,Productos!$A$2:$A1001,Productos!AC$2:AC1001,"")*$G226,"")</f>
        <v/>
      </c>
      <c r="AK226" s="179" t="str">
        <f t="array" ref="AK226">IF($F226&lt;&gt;"",XLOOKUP($F226,Productos!$A:$A,Productos!AD:AD,"Revisar"),"")</f>
        <v/>
      </c>
      <c r="AL226" s="179" t="str">
        <f t="array" ref="AL226">IF($F226&lt;&gt;"", XLOOKUP($F226,Productos!$A$2:$A1001,Productos!AE$2:AE1001,"")*$G226,"")</f>
        <v/>
      </c>
      <c r="AM226" s="179" t="str">
        <f t="array" ref="AM226">IF($F226&lt;&gt;"",XLOOKUP($F226,Productos!$A:$A,Productos!AF:AF,"Revisar"),"")</f>
        <v/>
      </c>
      <c r="AN226" s="179" t="str">
        <f t="array" ref="AN226">IF($F226&lt;&gt;"", XLOOKUP($F226,Productos!$A$2:$A1001,Productos!AG$2:AG1001,"")*$G226,"")</f>
        <v/>
      </c>
      <c r="AO226" s="179" t="str">
        <f t="array" ref="AO226">IF($F226&lt;&gt;"",XLOOKUP($F226,Productos!$A:$A,Productos!AH:AH,"Revisar"),"")</f>
        <v/>
      </c>
      <c r="AP226" s="179" t="str">
        <f t="array" ref="AP226">IF($F226&lt;&gt;"", XLOOKUP($F226,Productos!$A$2:$A1001,Productos!AI$2:AI1001,"")*$G226,"")</f>
        <v/>
      </c>
      <c r="AQ226" s="179" t="str">
        <f t="array" ref="AQ226">IF($F226&lt;&gt;"",XLOOKUP($F226,Productos!$A:$A,Productos!AJ:AJ,"Revisar"),"")</f>
        <v/>
      </c>
      <c r="AR226" s="179" t="str">
        <f t="array" ref="AR226">IF($F226&lt;&gt;"", XLOOKUP($F226,Productos!$A$2:$A1001,Productos!AK$2:AK1001,"")*$G226,"")</f>
        <v/>
      </c>
      <c r="AS226" s="179" t="str">
        <f t="array" ref="AS226">IF($F226&lt;&gt;"",XLOOKUP($F226,Productos!$A:$A,Productos!AL:AL,"Revisar"),"")</f>
        <v/>
      </c>
      <c r="AT226" s="179" t="str">
        <f t="array" ref="AT226">IF($F226&lt;&gt;"", XLOOKUP($F226,Productos!$A$2:$A1001,Productos!AM$2:AM1001,"")*$G226,"")</f>
        <v/>
      </c>
      <c r="AU226" s="179" t="str">
        <f t="array" ref="AU226">IF($F226&lt;&gt;"",XLOOKUP($F226,Productos!$A:$A,Productos!AN:AN,"Revisar"),"")</f>
        <v/>
      </c>
      <c r="AV226" s="179" t="str">
        <f t="array" ref="AV226">IF($F226&lt;&gt;"", XLOOKUP($F226,Productos!$A$2:$A1001,Productos!AO$2:AO1001,"")*$G226,"")</f>
        <v/>
      </c>
      <c r="AW226" s="179" t="str">
        <f t="array" ref="AW226">IF($F226&lt;&gt;"",XLOOKUP($F226,Productos!$A:$A,Productos!AP:AP,"Revisar"),"")</f>
        <v/>
      </c>
      <c r="AX226" s="179" t="str">
        <f t="array" ref="AX226">IF($F226&lt;&gt;"", XLOOKUP($F226,Productos!$A$2:$A1001,Productos!AQ$2:AQ1001,"")*$G226,"")</f>
        <v/>
      </c>
      <c r="AY226" s="179" t="str">
        <f t="array" ref="AY226">IF($F226&lt;&gt;"",XLOOKUP($F226,Productos!$A:$A,Productos!AR:AR,"Revisar"),"")</f>
        <v/>
      </c>
      <c r="AZ226" s="179" t="str">
        <f t="array" ref="AZ226">IF($F226&lt;&gt;"", XLOOKUP($F226,Productos!$A$2:$A1001,Productos!AS$2:AS1001,"")*$G226,"")</f>
        <v/>
      </c>
      <c r="BA226" s="179" t="str">
        <f t="array" ref="BA226">IF($F226&lt;&gt;"",XLOOKUP($F226,Productos!$A:$A,Productos!AT:AT,"Revisar"),"")</f>
        <v/>
      </c>
      <c r="BB226" s="179" t="str">
        <f t="array" ref="BB226">IF($F226&lt;&gt;"", XLOOKUP($F226,Productos!$A$2:$A1001,Productos!AU$2:AU1001,"")*$G226,"")</f>
        <v/>
      </c>
      <c r="BC226" s="179" t="str">
        <f t="array" ref="BC226">IF($F226&lt;&gt;"",XLOOKUP($F226,Productos!$A:$A,Productos!AV:AV,"Revisar"),"")</f>
        <v/>
      </c>
      <c r="BD226" s="179" t="str">
        <f t="array" ref="BD226">IF($F226&lt;&gt;"", XLOOKUP($F226,Productos!$A$2:$A1001,Productos!AW$2:AW1001,"")*$G226,"")</f>
        <v/>
      </c>
      <c r="BE226" s="179" t="str">
        <f t="array" ref="BE226">IF($F226&lt;&gt;"",XLOOKUP($F226,Productos!$A:$A,Productos!AX:AX,"Revisar"),"")</f>
        <v/>
      </c>
      <c r="BF226" s="179" t="str">
        <f t="array" ref="BF226">IF($F226&lt;&gt;"", XLOOKUP($F226,Productos!$A$2:$A1001,Productos!AY$2:AY1001,"")*$G226,"")</f>
        <v/>
      </c>
      <c r="BG226" s="179" t="str">
        <f t="array" ref="BG226">IF($F226&lt;&gt;"",XLOOKUP($F226,Productos!$A:$A,Productos!AZ:AZ,"Revisar"),"")</f>
        <v/>
      </c>
      <c r="BH226" s="179" t="str">
        <f t="array" ref="BH226">IF($F226&lt;&gt;"", XLOOKUP($F226,Productos!$A$2:$A1001,Productos!BA$2:BA1001,"")*$G226,"")</f>
        <v/>
      </c>
      <c r="BI226" s="179" t="str">
        <f t="array" ref="BI226">IF($F226&lt;&gt;"",XLOOKUP($F226,Productos!$A:$A,Productos!BB:BB,"Revisar"),"")</f>
        <v/>
      </c>
      <c r="BJ226" s="179" t="str">
        <f t="array" ref="BJ226">IF($F226&lt;&gt;"", XLOOKUP($F226,Productos!$A$2:$A1001,Productos!BC$2:BC1001,"")*$G226,"")</f>
        <v/>
      </c>
      <c r="BK226" s="179" t="str">
        <f t="array" ref="BK226">IF($F226&lt;&gt;"",XLOOKUP($F226,Productos!$A:$A,Productos!BD:BD,"Revisar"),"")</f>
        <v/>
      </c>
      <c r="BL226" s="179" t="str">
        <f t="array" ref="BL226">IF($F226&lt;&gt;"", XLOOKUP($F226,Productos!$A$2:$A1001,Productos!BE$2:BE1001,"")*$G226,"")</f>
        <v/>
      </c>
      <c r="BM226" s="179" t="str">
        <f t="array" ref="BM226">IF($F226&lt;&gt;"",XLOOKUP($F226,Productos!$A:$A,Productos!BF:BF,"Revisar"),"")</f>
        <v/>
      </c>
      <c r="BN226" s="179" t="str">
        <f t="array" ref="BN226">IF($F226&lt;&gt;"", XLOOKUP($F226,Productos!$A$2:$A1001,Productos!BG$2:BG1001,"")*$G226,"")</f>
        <v/>
      </c>
      <c r="BO226" s="179" t="str">
        <f t="array" ref="BO226">IF($F226&lt;&gt;"",XLOOKUP($F226,Productos!$A:$A,Productos!BH:BH,"Revisar"),"")</f>
        <v/>
      </c>
      <c r="BP226" s="179" t="str">
        <f t="array" ref="BP226">IF($F226&lt;&gt;"", XLOOKUP($F226,Productos!$A$2:$A1001,Productos!BI$2:BI1001,"")*$G226,"")</f>
        <v/>
      </c>
      <c r="BQ226" s="179" t="str">
        <f t="array" ref="BQ226">IF($F226&lt;&gt;"",XLOOKUP($F226,Productos!$A:$A,Productos!BJ:BJ,"Revisar"),"")</f>
        <v/>
      </c>
      <c r="BR226" s="179" t="str">
        <f t="array" ref="BR226">IF($F226&lt;&gt;"", XLOOKUP($F226,Productos!$A$2:$A1001,Productos!BK$2:BK1001,"")*$G226,"")</f>
        <v/>
      </c>
      <c r="BS226" s="179" t="str">
        <f t="array" ref="BS226">IF($F226&lt;&gt;"",XLOOKUP($F226,Productos!$A:$A,Productos!BL:BL,"Revisar"),"")</f>
        <v/>
      </c>
      <c r="BT226" s="179" t="str">
        <f t="array" ref="BT226">IF($F226&lt;&gt;"", XLOOKUP($F226,Productos!$A$2:$A1001,Productos!BM$2:BM1001,"")*$G226,"")</f>
        <v/>
      </c>
      <c r="BU226" s="179" t="str">
        <f t="array" ref="BU226">IF($F226&lt;&gt;"",XLOOKUP($F226,Productos!$A:$A,Productos!BN:BN,"Revisar"),"")</f>
        <v/>
      </c>
      <c r="BV226" s="179" t="str">
        <f t="array" ref="BV226">IF($F226&lt;&gt;"", XLOOKUP($F226,Productos!$A$2:$A1001,Productos!BO$2:BO1001,"")*$G226,"")</f>
        <v/>
      </c>
      <c r="BW226" s="179" t="str">
        <f t="array" ref="BW226">IF($F226&lt;&gt;"",XLOOKUP($F226,Productos!$A:$A,Productos!BP:BP,"Revisar"),"")</f>
        <v/>
      </c>
      <c r="BX226" s="179" t="str">
        <f t="array" ref="BX226">IF($F226&lt;&gt;"", XLOOKUP($F226,Productos!$A$2:$A1001,Productos!BQ$2:BQ1001,"")*$G226,"")</f>
        <v/>
      </c>
      <c r="BY226" s="179" t="str">
        <f t="array" ref="BY226">IF($F226&lt;&gt;"",XLOOKUP($F226,Productos!$A:$A,Productos!BR:BR,"Revisar"),"")</f>
        <v/>
      </c>
      <c r="BZ226" s="179" t="str">
        <f t="array" ref="BZ226">IF($F226&lt;&gt;"", XLOOKUP($F226,Productos!$A$2:$A1001,Productos!BS$2:BS1001,"")*$G226,"")</f>
        <v/>
      </c>
    </row>
    <row r="227">
      <c r="A227" s="180"/>
      <c r="B227" s="181"/>
      <c r="C227" s="182"/>
      <c r="D227" s="182"/>
      <c r="E227" s="185"/>
      <c r="F227" s="186"/>
      <c r="G227" s="187"/>
      <c r="H227" s="186"/>
      <c r="I227" s="179" t="str">
        <f t="array" ref="I227">IF($F227&lt;&gt;"",XLOOKUP($F227,Productos!$A:$A,Productos!B:B,"Revisar"),"")</f>
        <v/>
      </c>
      <c r="J227" s="179" t="str">
        <f t="array" ref="J227">IF($F227&lt;&gt;"", XLOOKUP($F227,Productos!$A$2:$A1001,Productos!C$2:C1001,"")*$G227,"")</f>
        <v/>
      </c>
      <c r="K227" s="179" t="str">
        <f t="array" ref="K227">IF($F227&lt;&gt;"",XLOOKUP($F227,Productos!$A:$A,Productos!D:D,"Revisar"),"")</f>
        <v/>
      </c>
      <c r="L227" s="179" t="str">
        <f t="array" ref="L227">IF($F227&lt;&gt;"", XLOOKUP($F227,Productos!$A$2:$A1001,Productos!E$2:E1001,"")*$G227,"")</f>
        <v/>
      </c>
      <c r="M227" s="179" t="str">
        <f t="array" ref="M227">IF($F227&lt;&gt;"",XLOOKUP($F227,Productos!$A:$A,Productos!F:F,"Revisar"),"")</f>
        <v/>
      </c>
      <c r="N227" s="179" t="str">
        <f t="array" ref="N227">IF($F227&lt;&gt;"", XLOOKUP($F227,Productos!$A$2:$A1001,Productos!G$2:G1001,"")*$G227,"")</f>
        <v/>
      </c>
      <c r="O227" s="179" t="str">
        <f t="array" ref="O227">IF($F227&lt;&gt;"",XLOOKUP($F227,Productos!$A:$A,Productos!H:H,"Revisar"),"")</f>
        <v/>
      </c>
      <c r="P227" s="179" t="str">
        <f t="array" ref="P227">IF($F227&lt;&gt;"", XLOOKUP($F227,Productos!$A$2:$A1001,Productos!I$2:I1001,"")*$G227,"")</f>
        <v/>
      </c>
      <c r="Q227" s="179" t="str">
        <f t="array" ref="Q227">IF($F227&lt;&gt;"",XLOOKUP($F227,Productos!$A:$A,Productos!J:J,"Revisar"),"")</f>
        <v/>
      </c>
      <c r="R227" s="179" t="str">
        <f t="array" ref="R227">IF($F227&lt;&gt;"", XLOOKUP($F227,Productos!$A$2:$A1001,Productos!K$2:K1001,"")*$G227,"")</f>
        <v/>
      </c>
      <c r="S227" s="179" t="str">
        <f t="array" ref="S227">IF($F227&lt;&gt;"",XLOOKUP($F227,Productos!$A:$A,Productos!L:L,"Revisar"),"")</f>
        <v/>
      </c>
      <c r="T227" s="179" t="str">
        <f t="array" ref="T227">IF($F227&lt;&gt;"", XLOOKUP($F227,Productos!$A$2:$A1001,Productos!M$2:M1001,"")*$G227,"")</f>
        <v/>
      </c>
      <c r="U227" s="179" t="str">
        <f t="array" ref="U227">IF($F227&lt;&gt;"",XLOOKUP($F227,Productos!$A:$A,Productos!N:N,"Revisar"),"")</f>
        <v/>
      </c>
      <c r="V227" s="179" t="str">
        <f t="array" ref="V227">IF($F227&lt;&gt;"", XLOOKUP($F227,Productos!$A$2:$A1001,Productos!O$2:O1001,"")*$G227,"")</f>
        <v/>
      </c>
      <c r="W227" s="179" t="str">
        <f t="array" ref="W227">IF($F227&lt;&gt;"",XLOOKUP($F227,Productos!$A:$A,Productos!P:P,"Revisar"),"")</f>
        <v/>
      </c>
      <c r="X227" s="179" t="str">
        <f t="array" ref="X227">IF($F227&lt;&gt;"", XLOOKUP($F227,Productos!$A$2:$A1001,Productos!Q$2:Q1001,"")*$G227,"")</f>
        <v/>
      </c>
      <c r="Y227" s="179" t="str">
        <f t="array" ref="Y227">IF($F227&lt;&gt;"",XLOOKUP($F227,Productos!$A:$A,Productos!R:R,"Revisar"),"")</f>
        <v/>
      </c>
      <c r="Z227" s="179" t="str">
        <f t="array" ref="Z227">IF($F227&lt;&gt;"", XLOOKUP($F227,Productos!$A$2:$A1001,Productos!S$2:S1001,"")*$G227,"")</f>
        <v/>
      </c>
      <c r="AA227" s="179" t="str">
        <f t="array" ref="AA227">IF($F227&lt;&gt;"",XLOOKUP($F227,Productos!$A:$A,Productos!T:T,"Revisar"),"")</f>
        <v/>
      </c>
      <c r="AB227" s="179" t="str">
        <f t="array" ref="AB227">IF($F227&lt;&gt;"", XLOOKUP($F227,Productos!$A$2:$A1001,Productos!U$2:U1001,"")*$G227,"")</f>
        <v/>
      </c>
      <c r="AC227" s="179" t="str">
        <f t="array" ref="AC227">IF($F227&lt;&gt;"",XLOOKUP($F227,Productos!$A:$A,Productos!V:V,"Revisar"),"")</f>
        <v/>
      </c>
      <c r="AD227" s="179" t="str">
        <f t="array" ref="AD227">IF($F227&lt;&gt;"", XLOOKUP($F227,Productos!$A$2:$A1001,Productos!W$2:W1001,"")*$G227,"")</f>
        <v/>
      </c>
      <c r="AE227" s="179" t="str">
        <f t="array" ref="AE227">IF($F227&lt;&gt;"",XLOOKUP($F227,Productos!$A:$A,Productos!X:X,"Revisar"),"")</f>
        <v/>
      </c>
      <c r="AF227" s="179" t="str">
        <f t="array" ref="AF227">IF($F227&lt;&gt;"", XLOOKUP($F227,Productos!$A$2:$A1001,Productos!Y$2:Y1001,"")*$G227,"")</f>
        <v/>
      </c>
      <c r="AG227" s="179" t="str">
        <f t="array" ref="AG227">IF($F227&lt;&gt;"",XLOOKUP($F227,Productos!$A:$A,Productos!Z:Z,"Revisar"),"")</f>
        <v/>
      </c>
      <c r="AH227" s="179" t="str">
        <f t="array" ref="AH227">IF($F227&lt;&gt;"", XLOOKUP($F227,Productos!$A$2:$A1001,Productos!AA$2:AA1001,"")*$G227,"")</f>
        <v/>
      </c>
      <c r="AI227" s="179" t="str">
        <f t="array" ref="AI227">IF($F227&lt;&gt;"",XLOOKUP($F227,Productos!$A:$A,Productos!AB:AB,"Revisar"),"")</f>
        <v/>
      </c>
      <c r="AJ227" s="179" t="str">
        <f t="array" ref="AJ227">IF($F227&lt;&gt;"", XLOOKUP($F227,Productos!$A$2:$A1001,Productos!AC$2:AC1001,"")*$G227,"")</f>
        <v/>
      </c>
      <c r="AK227" s="179" t="str">
        <f t="array" ref="AK227">IF($F227&lt;&gt;"",XLOOKUP($F227,Productos!$A:$A,Productos!AD:AD,"Revisar"),"")</f>
        <v/>
      </c>
      <c r="AL227" s="179" t="str">
        <f t="array" ref="AL227">IF($F227&lt;&gt;"", XLOOKUP($F227,Productos!$A$2:$A1001,Productos!AE$2:AE1001,"")*$G227,"")</f>
        <v/>
      </c>
      <c r="AM227" s="179" t="str">
        <f t="array" ref="AM227">IF($F227&lt;&gt;"",XLOOKUP($F227,Productos!$A:$A,Productos!AF:AF,"Revisar"),"")</f>
        <v/>
      </c>
      <c r="AN227" s="179" t="str">
        <f t="array" ref="AN227">IF($F227&lt;&gt;"", XLOOKUP($F227,Productos!$A$2:$A1001,Productos!AG$2:AG1001,"")*$G227,"")</f>
        <v/>
      </c>
      <c r="AO227" s="179" t="str">
        <f t="array" ref="AO227">IF($F227&lt;&gt;"",XLOOKUP($F227,Productos!$A:$A,Productos!AH:AH,"Revisar"),"")</f>
        <v/>
      </c>
      <c r="AP227" s="179" t="str">
        <f t="array" ref="AP227">IF($F227&lt;&gt;"", XLOOKUP($F227,Productos!$A$2:$A1001,Productos!AI$2:AI1001,"")*$G227,"")</f>
        <v/>
      </c>
      <c r="AQ227" s="179" t="str">
        <f t="array" ref="AQ227">IF($F227&lt;&gt;"",XLOOKUP($F227,Productos!$A:$A,Productos!AJ:AJ,"Revisar"),"")</f>
        <v/>
      </c>
      <c r="AR227" s="179" t="str">
        <f t="array" ref="AR227">IF($F227&lt;&gt;"", XLOOKUP($F227,Productos!$A$2:$A1001,Productos!AK$2:AK1001,"")*$G227,"")</f>
        <v/>
      </c>
      <c r="AS227" s="179" t="str">
        <f t="array" ref="AS227">IF($F227&lt;&gt;"",XLOOKUP($F227,Productos!$A:$A,Productos!AL:AL,"Revisar"),"")</f>
        <v/>
      </c>
      <c r="AT227" s="179" t="str">
        <f t="array" ref="AT227">IF($F227&lt;&gt;"", XLOOKUP($F227,Productos!$A$2:$A1001,Productos!AM$2:AM1001,"")*$G227,"")</f>
        <v/>
      </c>
      <c r="AU227" s="179" t="str">
        <f t="array" ref="AU227">IF($F227&lt;&gt;"",XLOOKUP($F227,Productos!$A:$A,Productos!AN:AN,"Revisar"),"")</f>
        <v/>
      </c>
      <c r="AV227" s="179" t="str">
        <f t="array" ref="AV227">IF($F227&lt;&gt;"", XLOOKUP($F227,Productos!$A$2:$A1001,Productos!AO$2:AO1001,"")*$G227,"")</f>
        <v/>
      </c>
      <c r="AW227" s="179" t="str">
        <f t="array" ref="AW227">IF($F227&lt;&gt;"",XLOOKUP($F227,Productos!$A:$A,Productos!AP:AP,"Revisar"),"")</f>
        <v/>
      </c>
      <c r="AX227" s="179" t="str">
        <f t="array" ref="AX227">IF($F227&lt;&gt;"", XLOOKUP($F227,Productos!$A$2:$A1001,Productos!AQ$2:AQ1001,"")*$G227,"")</f>
        <v/>
      </c>
      <c r="AY227" s="179" t="str">
        <f t="array" ref="AY227">IF($F227&lt;&gt;"",XLOOKUP($F227,Productos!$A:$A,Productos!AR:AR,"Revisar"),"")</f>
        <v/>
      </c>
      <c r="AZ227" s="179" t="str">
        <f t="array" ref="AZ227">IF($F227&lt;&gt;"", XLOOKUP($F227,Productos!$A$2:$A1001,Productos!AS$2:AS1001,"")*$G227,"")</f>
        <v/>
      </c>
      <c r="BA227" s="179" t="str">
        <f t="array" ref="BA227">IF($F227&lt;&gt;"",XLOOKUP($F227,Productos!$A:$A,Productos!AT:AT,"Revisar"),"")</f>
        <v/>
      </c>
      <c r="BB227" s="179" t="str">
        <f t="array" ref="BB227">IF($F227&lt;&gt;"", XLOOKUP($F227,Productos!$A$2:$A1001,Productos!AU$2:AU1001,"")*$G227,"")</f>
        <v/>
      </c>
      <c r="BC227" s="179" t="str">
        <f t="array" ref="BC227">IF($F227&lt;&gt;"",XLOOKUP($F227,Productos!$A:$A,Productos!AV:AV,"Revisar"),"")</f>
        <v/>
      </c>
      <c r="BD227" s="179" t="str">
        <f t="array" ref="BD227">IF($F227&lt;&gt;"", XLOOKUP($F227,Productos!$A$2:$A1001,Productos!AW$2:AW1001,"")*$G227,"")</f>
        <v/>
      </c>
      <c r="BE227" s="179" t="str">
        <f t="array" ref="BE227">IF($F227&lt;&gt;"",XLOOKUP($F227,Productos!$A:$A,Productos!AX:AX,"Revisar"),"")</f>
        <v/>
      </c>
      <c r="BF227" s="179" t="str">
        <f t="array" ref="BF227">IF($F227&lt;&gt;"", XLOOKUP($F227,Productos!$A$2:$A1001,Productos!AY$2:AY1001,"")*$G227,"")</f>
        <v/>
      </c>
      <c r="BG227" s="179" t="str">
        <f t="array" ref="BG227">IF($F227&lt;&gt;"",XLOOKUP($F227,Productos!$A:$A,Productos!AZ:AZ,"Revisar"),"")</f>
        <v/>
      </c>
      <c r="BH227" s="179" t="str">
        <f t="array" ref="BH227">IF($F227&lt;&gt;"", XLOOKUP($F227,Productos!$A$2:$A1001,Productos!BA$2:BA1001,"")*$G227,"")</f>
        <v/>
      </c>
      <c r="BI227" s="179" t="str">
        <f t="array" ref="BI227">IF($F227&lt;&gt;"",XLOOKUP($F227,Productos!$A:$A,Productos!BB:BB,"Revisar"),"")</f>
        <v/>
      </c>
      <c r="BJ227" s="179" t="str">
        <f t="array" ref="BJ227">IF($F227&lt;&gt;"", XLOOKUP($F227,Productos!$A$2:$A1001,Productos!BC$2:BC1001,"")*$G227,"")</f>
        <v/>
      </c>
      <c r="BK227" s="179" t="str">
        <f t="array" ref="BK227">IF($F227&lt;&gt;"",XLOOKUP($F227,Productos!$A:$A,Productos!BD:BD,"Revisar"),"")</f>
        <v/>
      </c>
      <c r="BL227" s="179" t="str">
        <f t="array" ref="BL227">IF($F227&lt;&gt;"", XLOOKUP($F227,Productos!$A$2:$A1001,Productos!BE$2:BE1001,"")*$G227,"")</f>
        <v/>
      </c>
      <c r="BM227" s="179" t="str">
        <f t="array" ref="BM227">IF($F227&lt;&gt;"",XLOOKUP($F227,Productos!$A:$A,Productos!BF:BF,"Revisar"),"")</f>
        <v/>
      </c>
      <c r="BN227" s="179" t="str">
        <f t="array" ref="BN227">IF($F227&lt;&gt;"", XLOOKUP($F227,Productos!$A$2:$A1001,Productos!BG$2:BG1001,"")*$G227,"")</f>
        <v/>
      </c>
      <c r="BO227" s="179" t="str">
        <f t="array" ref="BO227">IF($F227&lt;&gt;"",XLOOKUP($F227,Productos!$A:$A,Productos!BH:BH,"Revisar"),"")</f>
        <v/>
      </c>
      <c r="BP227" s="179" t="str">
        <f t="array" ref="BP227">IF($F227&lt;&gt;"", XLOOKUP($F227,Productos!$A$2:$A1001,Productos!BI$2:BI1001,"")*$G227,"")</f>
        <v/>
      </c>
      <c r="BQ227" s="179" t="str">
        <f t="array" ref="BQ227">IF($F227&lt;&gt;"",XLOOKUP($F227,Productos!$A:$A,Productos!BJ:BJ,"Revisar"),"")</f>
        <v/>
      </c>
      <c r="BR227" s="179" t="str">
        <f t="array" ref="BR227">IF($F227&lt;&gt;"", XLOOKUP($F227,Productos!$A$2:$A1001,Productos!BK$2:BK1001,"")*$G227,"")</f>
        <v/>
      </c>
      <c r="BS227" s="179" t="str">
        <f t="array" ref="BS227">IF($F227&lt;&gt;"",XLOOKUP($F227,Productos!$A:$A,Productos!BL:BL,"Revisar"),"")</f>
        <v/>
      </c>
      <c r="BT227" s="179" t="str">
        <f t="array" ref="BT227">IF($F227&lt;&gt;"", XLOOKUP($F227,Productos!$A$2:$A1001,Productos!BM$2:BM1001,"")*$G227,"")</f>
        <v/>
      </c>
      <c r="BU227" s="179" t="str">
        <f t="array" ref="BU227">IF($F227&lt;&gt;"",XLOOKUP($F227,Productos!$A:$A,Productos!BN:BN,"Revisar"),"")</f>
        <v/>
      </c>
      <c r="BV227" s="179" t="str">
        <f t="array" ref="BV227">IF($F227&lt;&gt;"", XLOOKUP($F227,Productos!$A$2:$A1001,Productos!BO$2:BO1001,"")*$G227,"")</f>
        <v/>
      </c>
      <c r="BW227" s="179" t="str">
        <f t="array" ref="BW227">IF($F227&lt;&gt;"",XLOOKUP($F227,Productos!$A:$A,Productos!BP:BP,"Revisar"),"")</f>
        <v/>
      </c>
      <c r="BX227" s="179" t="str">
        <f t="array" ref="BX227">IF($F227&lt;&gt;"", XLOOKUP($F227,Productos!$A$2:$A1001,Productos!BQ$2:BQ1001,"")*$G227,"")</f>
        <v/>
      </c>
      <c r="BY227" s="179" t="str">
        <f t="array" ref="BY227">IF($F227&lt;&gt;"",XLOOKUP($F227,Productos!$A:$A,Productos!BR:BR,"Revisar"),"")</f>
        <v/>
      </c>
      <c r="BZ227" s="179" t="str">
        <f t="array" ref="BZ227">IF($F227&lt;&gt;"", XLOOKUP($F227,Productos!$A$2:$A1001,Productos!BS$2:BS1001,"")*$G227,"")</f>
        <v/>
      </c>
    </row>
    <row r="228">
      <c r="A228" s="180"/>
      <c r="B228" s="181"/>
      <c r="C228" s="182"/>
      <c r="D228" s="182"/>
      <c r="E228" s="185"/>
      <c r="F228" s="186"/>
      <c r="G228" s="187"/>
      <c r="H228" s="186"/>
      <c r="I228" s="179" t="str">
        <f t="array" ref="I228">IF($F228&lt;&gt;"",XLOOKUP($F228,Productos!$A:$A,Productos!B:B,"Revisar"),"")</f>
        <v/>
      </c>
      <c r="J228" s="179" t="str">
        <f t="array" ref="J228">IF($F228&lt;&gt;"", XLOOKUP($F228,Productos!$A$2:$A1001,Productos!C$2:C1001,"")*$G228,"")</f>
        <v/>
      </c>
      <c r="K228" s="179" t="str">
        <f t="array" ref="K228">IF($F228&lt;&gt;"",XLOOKUP($F228,Productos!$A:$A,Productos!D:D,"Revisar"),"")</f>
        <v/>
      </c>
      <c r="L228" s="179" t="str">
        <f t="array" ref="L228">IF($F228&lt;&gt;"", XLOOKUP($F228,Productos!$A$2:$A1001,Productos!E$2:E1001,"")*$G228,"")</f>
        <v/>
      </c>
      <c r="M228" s="179" t="str">
        <f t="array" ref="M228">IF($F228&lt;&gt;"",XLOOKUP($F228,Productos!$A:$A,Productos!F:F,"Revisar"),"")</f>
        <v/>
      </c>
      <c r="N228" s="179" t="str">
        <f t="array" ref="N228">IF($F228&lt;&gt;"", XLOOKUP($F228,Productos!$A$2:$A1001,Productos!G$2:G1001,"")*$G228,"")</f>
        <v/>
      </c>
      <c r="O228" s="179" t="str">
        <f t="array" ref="O228">IF($F228&lt;&gt;"",XLOOKUP($F228,Productos!$A:$A,Productos!H:H,"Revisar"),"")</f>
        <v/>
      </c>
      <c r="P228" s="179" t="str">
        <f t="array" ref="P228">IF($F228&lt;&gt;"", XLOOKUP($F228,Productos!$A$2:$A1001,Productos!I$2:I1001,"")*$G228,"")</f>
        <v/>
      </c>
      <c r="Q228" s="179" t="str">
        <f t="array" ref="Q228">IF($F228&lt;&gt;"",XLOOKUP($F228,Productos!$A:$A,Productos!J:J,"Revisar"),"")</f>
        <v/>
      </c>
      <c r="R228" s="179" t="str">
        <f t="array" ref="R228">IF($F228&lt;&gt;"", XLOOKUP($F228,Productos!$A$2:$A1001,Productos!K$2:K1001,"")*$G228,"")</f>
        <v/>
      </c>
      <c r="S228" s="179" t="str">
        <f t="array" ref="S228">IF($F228&lt;&gt;"",XLOOKUP($F228,Productos!$A:$A,Productos!L:L,"Revisar"),"")</f>
        <v/>
      </c>
      <c r="T228" s="179" t="str">
        <f t="array" ref="T228">IF($F228&lt;&gt;"", XLOOKUP($F228,Productos!$A$2:$A1001,Productos!M$2:M1001,"")*$G228,"")</f>
        <v/>
      </c>
      <c r="U228" s="179" t="str">
        <f t="array" ref="U228">IF($F228&lt;&gt;"",XLOOKUP($F228,Productos!$A:$A,Productos!N:N,"Revisar"),"")</f>
        <v/>
      </c>
      <c r="V228" s="179" t="str">
        <f t="array" ref="V228">IF($F228&lt;&gt;"", XLOOKUP($F228,Productos!$A$2:$A1001,Productos!O$2:O1001,"")*$G228,"")</f>
        <v/>
      </c>
      <c r="W228" s="179" t="str">
        <f t="array" ref="W228">IF($F228&lt;&gt;"",XLOOKUP($F228,Productos!$A:$A,Productos!P:P,"Revisar"),"")</f>
        <v/>
      </c>
      <c r="X228" s="179" t="str">
        <f t="array" ref="X228">IF($F228&lt;&gt;"", XLOOKUP($F228,Productos!$A$2:$A1001,Productos!Q$2:Q1001,"")*$G228,"")</f>
        <v/>
      </c>
      <c r="Y228" s="179" t="str">
        <f t="array" ref="Y228">IF($F228&lt;&gt;"",XLOOKUP($F228,Productos!$A:$A,Productos!R:R,"Revisar"),"")</f>
        <v/>
      </c>
      <c r="Z228" s="179" t="str">
        <f t="array" ref="Z228">IF($F228&lt;&gt;"", XLOOKUP($F228,Productos!$A$2:$A1001,Productos!S$2:S1001,"")*$G228,"")</f>
        <v/>
      </c>
      <c r="AA228" s="179" t="str">
        <f t="array" ref="AA228">IF($F228&lt;&gt;"",XLOOKUP($F228,Productos!$A:$A,Productos!T:T,"Revisar"),"")</f>
        <v/>
      </c>
      <c r="AB228" s="179" t="str">
        <f t="array" ref="AB228">IF($F228&lt;&gt;"", XLOOKUP($F228,Productos!$A$2:$A1001,Productos!U$2:U1001,"")*$G228,"")</f>
        <v/>
      </c>
      <c r="AC228" s="179" t="str">
        <f t="array" ref="AC228">IF($F228&lt;&gt;"",XLOOKUP($F228,Productos!$A:$A,Productos!V:V,"Revisar"),"")</f>
        <v/>
      </c>
      <c r="AD228" s="179" t="str">
        <f t="array" ref="AD228">IF($F228&lt;&gt;"", XLOOKUP($F228,Productos!$A$2:$A1001,Productos!W$2:W1001,"")*$G228,"")</f>
        <v/>
      </c>
      <c r="AE228" s="179" t="str">
        <f t="array" ref="AE228">IF($F228&lt;&gt;"",XLOOKUP($F228,Productos!$A:$A,Productos!X:X,"Revisar"),"")</f>
        <v/>
      </c>
      <c r="AF228" s="179" t="str">
        <f t="array" ref="AF228">IF($F228&lt;&gt;"", XLOOKUP($F228,Productos!$A$2:$A1001,Productos!Y$2:Y1001,"")*$G228,"")</f>
        <v/>
      </c>
      <c r="AG228" s="179" t="str">
        <f t="array" ref="AG228">IF($F228&lt;&gt;"",XLOOKUP($F228,Productos!$A:$A,Productos!Z:Z,"Revisar"),"")</f>
        <v/>
      </c>
      <c r="AH228" s="179" t="str">
        <f t="array" ref="AH228">IF($F228&lt;&gt;"", XLOOKUP($F228,Productos!$A$2:$A1001,Productos!AA$2:AA1001,"")*$G228,"")</f>
        <v/>
      </c>
      <c r="AI228" s="179" t="str">
        <f t="array" ref="AI228">IF($F228&lt;&gt;"",XLOOKUP($F228,Productos!$A:$A,Productos!AB:AB,"Revisar"),"")</f>
        <v/>
      </c>
      <c r="AJ228" s="179" t="str">
        <f t="array" ref="AJ228">IF($F228&lt;&gt;"", XLOOKUP($F228,Productos!$A$2:$A1001,Productos!AC$2:AC1001,"")*$G228,"")</f>
        <v/>
      </c>
      <c r="AK228" s="179" t="str">
        <f t="array" ref="AK228">IF($F228&lt;&gt;"",XLOOKUP($F228,Productos!$A:$A,Productos!AD:AD,"Revisar"),"")</f>
        <v/>
      </c>
      <c r="AL228" s="179" t="str">
        <f t="array" ref="AL228">IF($F228&lt;&gt;"", XLOOKUP($F228,Productos!$A$2:$A1001,Productos!AE$2:AE1001,"")*$G228,"")</f>
        <v/>
      </c>
      <c r="AM228" s="179" t="str">
        <f t="array" ref="AM228">IF($F228&lt;&gt;"",XLOOKUP($F228,Productos!$A:$A,Productos!AF:AF,"Revisar"),"")</f>
        <v/>
      </c>
      <c r="AN228" s="179" t="str">
        <f t="array" ref="AN228">IF($F228&lt;&gt;"", XLOOKUP($F228,Productos!$A$2:$A1001,Productos!AG$2:AG1001,"")*$G228,"")</f>
        <v/>
      </c>
      <c r="AO228" s="179" t="str">
        <f t="array" ref="AO228">IF($F228&lt;&gt;"",XLOOKUP($F228,Productos!$A:$A,Productos!AH:AH,"Revisar"),"")</f>
        <v/>
      </c>
      <c r="AP228" s="179" t="str">
        <f t="array" ref="AP228">IF($F228&lt;&gt;"", XLOOKUP($F228,Productos!$A$2:$A1001,Productos!AI$2:AI1001,"")*$G228,"")</f>
        <v/>
      </c>
      <c r="AQ228" s="179" t="str">
        <f t="array" ref="AQ228">IF($F228&lt;&gt;"",XLOOKUP($F228,Productos!$A:$A,Productos!AJ:AJ,"Revisar"),"")</f>
        <v/>
      </c>
      <c r="AR228" s="179" t="str">
        <f t="array" ref="AR228">IF($F228&lt;&gt;"", XLOOKUP($F228,Productos!$A$2:$A1001,Productos!AK$2:AK1001,"")*$G228,"")</f>
        <v/>
      </c>
      <c r="AS228" s="179" t="str">
        <f t="array" ref="AS228">IF($F228&lt;&gt;"",XLOOKUP($F228,Productos!$A:$A,Productos!AL:AL,"Revisar"),"")</f>
        <v/>
      </c>
      <c r="AT228" s="179" t="str">
        <f t="array" ref="AT228">IF($F228&lt;&gt;"", XLOOKUP($F228,Productos!$A$2:$A1001,Productos!AM$2:AM1001,"")*$G228,"")</f>
        <v/>
      </c>
      <c r="AU228" s="179" t="str">
        <f t="array" ref="AU228">IF($F228&lt;&gt;"",XLOOKUP($F228,Productos!$A:$A,Productos!AN:AN,"Revisar"),"")</f>
        <v/>
      </c>
      <c r="AV228" s="179" t="str">
        <f t="array" ref="AV228">IF($F228&lt;&gt;"", XLOOKUP($F228,Productos!$A$2:$A1001,Productos!AO$2:AO1001,"")*$G228,"")</f>
        <v/>
      </c>
      <c r="AW228" s="179" t="str">
        <f t="array" ref="AW228">IF($F228&lt;&gt;"",XLOOKUP($F228,Productos!$A:$A,Productos!AP:AP,"Revisar"),"")</f>
        <v/>
      </c>
      <c r="AX228" s="179" t="str">
        <f t="array" ref="AX228">IF($F228&lt;&gt;"", XLOOKUP($F228,Productos!$A$2:$A1001,Productos!AQ$2:AQ1001,"")*$G228,"")</f>
        <v/>
      </c>
      <c r="AY228" s="179" t="str">
        <f t="array" ref="AY228">IF($F228&lt;&gt;"",XLOOKUP($F228,Productos!$A:$A,Productos!AR:AR,"Revisar"),"")</f>
        <v/>
      </c>
      <c r="AZ228" s="179" t="str">
        <f t="array" ref="AZ228">IF($F228&lt;&gt;"", XLOOKUP($F228,Productos!$A$2:$A1001,Productos!AS$2:AS1001,"")*$G228,"")</f>
        <v/>
      </c>
      <c r="BA228" s="179" t="str">
        <f t="array" ref="BA228">IF($F228&lt;&gt;"",XLOOKUP($F228,Productos!$A:$A,Productos!AT:AT,"Revisar"),"")</f>
        <v/>
      </c>
      <c r="BB228" s="179" t="str">
        <f t="array" ref="BB228">IF($F228&lt;&gt;"", XLOOKUP($F228,Productos!$A$2:$A1001,Productos!AU$2:AU1001,"")*$G228,"")</f>
        <v/>
      </c>
      <c r="BC228" s="179" t="str">
        <f t="array" ref="BC228">IF($F228&lt;&gt;"",XLOOKUP($F228,Productos!$A:$A,Productos!AV:AV,"Revisar"),"")</f>
        <v/>
      </c>
      <c r="BD228" s="179" t="str">
        <f t="array" ref="BD228">IF($F228&lt;&gt;"", XLOOKUP($F228,Productos!$A$2:$A1001,Productos!AW$2:AW1001,"")*$G228,"")</f>
        <v/>
      </c>
      <c r="BE228" s="179" t="str">
        <f t="array" ref="BE228">IF($F228&lt;&gt;"",XLOOKUP($F228,Productos!$A:$A,Productos!AX:AX,"Revisar"),"")</f>
        <v/>
      </c>
      <c r="BF228" s="179" t="str">
        <f t="array" ref="BF228">IF($F228&lt;&gt;"", XLOOKUP($F228,Productos!$A$2:$A1001,Productos!AY$2:AY1001,"")*$G228,"")</f>
        <v/>
      </c>
      <c r="BG228" s="179" t="str">
        <f t="array" ref="BG228">IF($F228&lt;&gt;"",XLOOKUP($F228,Productos!$A:$A,Productos!AZ:AZ,"Revisar"),"")</f>
        <v/>
      </c>
      <c r="BH228" s="179" t="str">
        <f t="array" ref="BH228">IF($F228&lt;&gt;"", XLOOKUP($F228,Productos!$A$2:$A1001,Productos!BA$2:BA1001,"")*$G228,"")</f>
        <v/>
      </c>
      <c r="BI228" s="179" t="str">
        <f t="array" ref="BI228">IF($F228&lt;&gt;"",XLOOKUP($F228,Productos!$A:$A,Productos!BB:BB,"Revisar"),"")</f>
        <v/>
      </c>
      <c r="BJ228" s="179" t="str">
        <f t="array" ref="BJ228">IF($F228&lt;&gt;"", XLOOKUP($F228,Productos!$A$2:$A1001,Productos!BC$2:BC1001,"")*$G228,"")</f>
        <v/>
      </c>
      <c r="BK228" s="179" t="str">
        <f t="array" ref="BK228">IF($F228&lt;&gt;"",XLOOKUP($F228,Productos!$A:$A,Productos!BD:BD,"Revisar"),"")</f>
        <v/>
      </c>
      <c r="BL228" s="179" t="str">
        <f t="array" ref="BL228">IF($F228&lt;&gt;"", XLOOKUP($F228,Productos!$A$2:$A1001,Productos!BE$2:BE1001,"")*$G228,"")</f>
        <v/>
      </c>
      <c r="BM228" s="179" t="str">
        <f t="array" ref="BM228">IF($F228&lt;&gt;"",XLOOKUP($F228,Productos!$A:$A,Productos!BF:BF,"Revisar"),"")</f>
        <v/>
      </c>
      <c r="BN228" s="179" t="str">
        <f t="array" ref="BN228">IF($F228&lt;&gt;"", XLOOKUP($F228,Productos!$A$2:$A1001,Productos!BG$2:BG1001,"")*$G228,"")</f>
        <v/>
      </c>
      <c r="BO228" s="179" t="str">
        <f t="array" ref="BO228">IF($F228&lt;&gt;"",XLOOKUP($F228,Productos!$A:$A,Productos!BH:BH,"Revisar"),"")</f>
        <v/>
      </c>
      <c r="BP228" s="179" t="str">
        <f t="array" ref="BP228">IF($F228&lt;&gt;"", XLOOKUP($F228,Productos!$A$2:$A1001,Productos!BI$2:BI1001,"")*$G228,"")</f>
        <v/>
      </c>
      <c r="BQ228" s="179" t="str">
        <f t="array" ref="BQ228">IF($F228&lt;&gt;"",XLOOKUP($F228,Productos!$A:$A,Productos!BJ:BJ,"Revisar"),"")</f>
        <v/>
      </c>
      <c r="BR228" s="179" t="str">
        <f t="array" ref="BR228">IF($F228&lt;&gt;"", XLOOKUP($F228,Productos!$A$2:$A1001,Productos!BK$2:BK1001,"")*$G228,"")</f>
        <v/>
      </c>
      <c r="BS228" s="179" t="str">
        <f t="array" ref="BS228">IF($F228&lt;&gt;"",XLOOKUP($F228,Productos!$A:$A,Productos!BL:BL,"Revisar"),"")</f>
        <v/>
      </c>
      <c r="BT228" s="179" t="str">
        <f t="array" ref="BT228">IF($F228&lt;&gt;"", XLOOKUP($F228,Productos!$A$2:$A1001,Productos!BM$2:BM1001,"")*$G228,"")</f>
        <v/>
      </c>
      <c r="BU228" s="179" t="str">
        <f t="array" ref="BU228">IF($F228&lt;&gt;"",XLOOKUP($F228,Productos!$A:$A,Productos!BN:BN,"Revisar"),"")</f>
        <v/>
      </c>
      <c r="BV228" s="179" t="str">
        <f t="array" ref="BV228">IF($F228&lt;&gt;"", XLOOKUP($F228,Productos!$A$2:$A1001,Productos!BO$2:BO1001,"")*$G228,"")</f>
        <v/>
      </c>
      <c r="BW228" s="179" t="str">
        <f t="array" ref="BW228">IF($F228&lt;&gt;"",XLOOKUP($F228,Productos!$A:$A,Productos!BP:BP,"Revisar"),"")</f>
        <v/>
      </c>
      <c r="BX228" s="179" t="str">
        <f t="array" ref="BX228">IF($F228&lt;&gt;"", XLOOKUP($F228,Productos!$A$2:$A1001,Productos!BQ$2:BQ1001,"")*$G228,"")</f>
        <v/>
      </c>
      <c r="BY228" s="179" t="str">
        <f t="array" ref="BY228">IF($F228&lt;&gt;"",XLOOKUP($F228,Productos!$A:$A,Productos!BR:BR,"Revisar"),"")</f>
        <v/>
      </c>
      <c r="BZ228" s="179" t="str">
        <f t="array" ref="BZ228">IF($F228&lt;&gt;"", XLOOKUP($F228,Productos!$A$2:$A1001,Productos!BS$2:BS1001,"")*$G228,"")</f>
        <v/>
      </c>
    </row>
    <row r="229">
      <c r="A229" s="180"/>
      <c r="B229" s="181"/>
      <c r="C229" s="182"/>
      <c r="D229" s="182"/>
      <c r="E229" s="185"/>
      <c r="F229" s="186"/>
      <c r="G229" s="187"/>
      <c r="H229" s="186"/>
      <c r="I229" s="179" t="str">
        <f t="array" ref="I229">IF($F229&lt;&gt;"",XLOOKUP($F229,Productos!$A:$A,Productos!B:B,"Revisar"),"")</f>
        <v/>
      </c>
      <c r="J229" s="179" t="str">
        <f t="array" ref="J229">IF($F229&lt;&gt;"", XLOOKUP($F229,Productos!$A$2:$A1001,Productos!C$2:C1001,"")*$G229,"")</f>
        <v/>
      </c>
      <c r="K229" s="179" t="str">
        <f t="array" ref="K229">IF($F229&lt;&gt;"",XLOOKUP($F229,Productos!$A:$A,Productos!D:D,"Revisar"),"")</f>
        <v/>
      </c>
      <c r="L229" s="179" t="str">
        <f t="array" ref="L229">IF($F229&lt;&gt;"", XLOOKUP($F229,Productos!$A$2:$A1001,Productos!E$2:E1001,"")*$G229,"")</f>
        <v/>
      </c>
      <c r="M229" s="179" t="str">
        <f t="array" ref="M229">IF($F229&lt;&gt;"",XLOOKUP($F229,Productos!$A:$A,Productos!F:F,"Revisar"),"")</f>
        <v/>
      </c>
      <c r="N229" s="179" t="str">
        <f t="array" ref="N229">IF($F229&lt;&gt;"", XLOOKUP($F229,Productos!$A$2:$A1001,Productos!G$2:G1001,"")*$G229,"")</f>
        <v/>
      </c>
      <c r="O229" s="179" t="str">
        <f t="array" ref="O229">IF($F229&lt;&gt;"",XLOOKUP($F229,Productos!$A:$A,Productos!H:H,"Revisar"),"")</f>
        <v/>
      </c>
      <c r="P229" s="179" t="str">
        <f t="array" ref="P229">IF($F229&lt;&gt;"", XLOOKUP($F229,Productos!$A$2:$A1001,Productos!I$2:I1001,"")*$G229,"")</f>
        <v/>
      </c>
      <c r="Q229" s="179" t="str">
        <f t="array" ref="Q229">IF($F229&lt;&gt;"",XLOOKUP($F229,Productos!$A:$A,Productos!J:J,"Revisar"),"")</f>
        <v/>
      </c>
      <c r="R229" s="179" t="str">
        <f t="array" ref="R229">IF($F229&lt;&gt;"", XLOOKUP($F229,Productos!$A$2:$A1001,Productos!K$2:K1001,"")*$G229,"")</f>
        <v/>
      </c>
      <c r="S229" s="179" t="str">
        <f t="array" ref="S229">IF($F229&lt;&gt;"",XLOOKUP($F229,Productos!$A:$A,Productos!L:L,"Revisar"),"")</f>
        <v/>
      </c>
      <c r="T229" s="179" t="str">
        <f t="array" ref="T229">IF($F229&lt;&gt;"", XLOOKUP($F229,Productos!$A$2:$A1001,Productos!M$2:M1001,"")*$G229,"")</f>
        <v/>
      </c>
      <c r="U229" s="179" t="str">
        <f t="array" ref="U229">IF($F229&lt;&gt;"",XLOOKUP($F229,Productos!$A:$A,Productos!N:N,"Revisar"),"")</f>
        <v/>
      </c>
      <c r="V229" s="179" t="str">
        <f t="array" ref="V229">IF($F229&lt;&gt;"", XLOOKUP($F229,Productos!$A$2:$A1001,Productos!O$2:O1001,"")*$G229,"")</f>
        <v/>
      </c>
      <c r="W229" s="179" t="str">
        <f t="array" ref="W229">IF($F229&lt;&gt;"",XLOOKUP($F229,Productos!$A:$A,Productos!P:P,"Revisar"),"")</f>
        <v/>
      </c>
      <c r="X229" s="179" t="str">
        <f t="array" ref="X229">IF($F229&lt;&gt;"", XLOOKUP($F229,Productos!$A$2:$A1001,Productos!Q$2:Q1001,"")*$G229,"")</f>
        <v/>
      </c>
      <c r="Y229" s="179" t="str">
        <f t="array" ref="Y229">IF($F229&lt;&gt;"",XLOOKUP($F229,Productos!$A:$A,Productos!R:R,"Revisar"),"")</f>
        <v/>
      </c>
      <c r="Z229" s="179" t="str">
        <f t="array" ref="Z229">IF($F229&lt;&gt;"", XLOOKUP($F229,Productos!$A$2:$A1001,Productos!S$2:S1001,"")*$G229,"")</f>
        <v/>
      </c>
      <c r="AA229" s="179" t="str">
        <f t="array" ref="AA229">IF($F229&lt;&gt;"",XLOOKUP($F229,Productos!$A:$A,Productos!T:T,"Revisar"),"")</f>
        <v/>
      </c>
      <c r="AB229" s="179" t="str">
        <f t="array" ref="AB229">IF($F229&lt;&gt;"", XLOOKUP($F229,Productos!$A$2:$A1001,Productos!U$2:U1001,"")*$G229,"")</f>
        <v/>
      </c>
      <c r="AC229" s="179" t="str">
        <f t="array" ref="AC229">IF($F229&lt;&gt;"",XLOOKUP($F229,Productos!$A:$A,Productos!V:V,"Revisar"),"")</f>
        <v/>
      </c>
      <c r="AD229" s="179" t="str">
        <f t="array" ref="AD229">IF($F229&lt;&gt;"", XLOOKUP($F229,Productos!$A$2:$A1001,Productos!W$2:W1001,"")*$G229,"")</f>
        <v/>
      </c>
      <c r="AE229" s="179" t="str">
        <f t="array" ref="AE229">IF($F229&lt;&gt;"",XLOOKUP($F229,Productos!$A:$A,Productos!X:X,"Revisar"),"")</f>
        <v/>
      </c>
      <c r="AF229" s="179" t="str">
        <f t="array" ref="AF229">IF($F229&lt;&gt;"", XLOOKUP($F229,Productos!$A$2:$A1001,Productos!Y$2:Y1001,"")*$G229,"")</f>
        <v/>
      </c>
      <c r="AG229" s="179" t="str">
        <f t="array" ref="AG229">IF($F229&lt;&gt;"",XLOOKUP($F229,Productos!$A:$A,Productos!Z:Z,"Revisar"),"")</f>
        <v/>
      </c>
      <c r="AH229" s="179" t="str">
        <f t="array" ref="AH229">IF($F229&lt;&gt;"", XLOOKUP($F229,Productos!$A$2:$A1001,Productos!AA$2:AA1001,"")*$G229,"")</f>
        <v/>
      </c>
      <c r="AI229" s="179" t="str">
        <f t="array" ref="AI229">IF($F229&lt;&gt;"",XLOOKUP($F229,Productos!$A:$A,Productos!AB:AB,"Revisar"),"")</f>
        <v/>
      </c>
      <c r="AJ229" s="179" t="str">
        <f t="array" ref="AJ229">IF($F229&lt;&gt;"", XLOOKUP($F229,Productos!$A$2:$A1001,Productos!AC$2:AC1001,"")*$G229,"")</f>
        <v/>
      </c>
      <c r="AK229" s="179" t="str">
        <f t="array" ref="AK229">IF($F229&lt;&gt;"",XLOOKUP($F229,Productos!$A:$A,Productos!AD:AD,"Revisar"),"")</f>
        <v/>
      </c>
      <c r="AL229" s="179" t="str">
        <f t="array" ref="AL229">IF($F229&lt;&gt;"", XLOOKUP($F229,Productos!$A$2:$A1001,Productos!AE$2:AE1001,"")*$G229,"")</f>
        <v/>
      </c>
      <c r="AM229" s="179" t="str">
        <f t="array" ref="AM229">IF($F229&lt;&gt;"",XLOOKUP($F229,Productos!$A:$A,Productos!AF:AF,"Revisar"),"")</f>
        <v/>
      </c>
      <c r="AN229" s="179" t="str">
        <f t="array" ref="AN229">IF($F229&lt;&gt;"", XLOOKUP($F229,Productos!$A$2:$A1001,Productos!AG$2:AG1001,"")*$G229,"")</f>
        <v/>
      </c>
      <c r="AO229" s="179" t="str">
        <f t="array" ref="AO229">IF($F229&lt;&gt;"",XLOOKUP($F229,Productos!$A:$A,Productos!AH:AH,"Revisar"),"")</f>
        <v/>
      </c>
      <c r="AP229" s="179" t="str">
        <f t="array" ref="AP229">IF($F229&lt;&gt;"", XLOOKUP($F229,Productos!$A$2:$A1001,Productos!AI$2:AI1001,"")*$G229,"")</f>
        <v/>
      </c>
      <c r="AQ229" s="179" t="str">
        <f t="array" ref="AQ229">IF($F229&lt;&gt;"",XLOOKUP($F229,Productos!$A:$A,Productos!AJ:AJ,"Revisar"),"")</f>
        <v/>
      </c>
      <c r="AR229" s="179" t="str">
        <f t="array" ref="AR229">IF($F229&lt;&gt;"", XLOOKUP($F229,Productos!$A$2:$A1001,Productos!AK$2:AK1001,"")*$G229,"")</f>
        <v/>
      </c>
      <c r="AS229" s="179" t="str">
        <f t="array" ref="AS229">IF($F229&lt;&gt;"",XLOOKUP($F229,Productos!$A:$A,Productos!AL:AL,"Revisar"),"")</f>
        <v/>
      </c>
      <c r="AT229" s="179" t="str">
        <f t="array" ref="AT229">IF($F229&lt;&gt;"", XLOOKUP($F229,Productos!$A$2:$A1001,Productos!AM$2:AM1001,"")*$G229,"")</f>
        <v/>
      </c>
      <c r="AU229" s="179" t="str">
        <f t="array" ref="AU229">IF($F229&lt;&gt;"",XLOOKUP($F229,Productos!$A:$A,Productos!AN:AN,"Revisar"),"")</f>
        <v/>
      </c>
      <c r="AV229" s="179" t="str">
        <f t="array" ref="AV229">IF($F229&lt;&gt;"", XLOOKUP($F229,Productos!$A$2:$A1001,Productos!AO$2:AO1001,"")*$G229,"")</f>
        <v/>
      </c>
      <c r="AW229" s="179" t="str">
        <f t="array" ref="AW229">IF($F229&lt;&gt;"",XLOOKUP($F229,Productos!$A:$A,Productos!AP:AP,"Revisar"),"")</f>
        <v/>
      </c>
      <c r="AX229" s="179" t="str">
        <f t="array" ref="AX229">IF($F229&lt;&gt;"", XLOOKUP($F229,Productos!$A$2:$A1001,Productos!AQ$2:AQ1001,"")*$G229,"")</f>
        <v/>
      </c>
      <c r="AY229" s="179" t="str">
        <f t="array" ref="AY229">IF($F229&lt;&gt;"",XLOOKUP($F229,Productos!$A:$A,Productos!AR:AR,"Revisar"),"")</f>
        <v/>
      </c>
      <c r="AZ229" s="179" t="str">
        <f t="array" ref="AZ229">IF($F229&lt;&gt;"", XLOOKUP($F229,Productos!$A$2:$A1001,Productos!AS$2:AS1001,"")*$G229,"")</f>
        <v/>
      </c>
      <c r="BA229" s="179" t="str">
        <f t="array" ref="BA229">IF($F229&lt;&gt;"",XLOOKUP($F229,Productos!$A:$A,Productos!AT:AT,"Revisar"),"")</f>
        <v/>
      </c>
      <c r="BB229" s="179" t="str">
        <f t="array" ref="BB229">IF($F229&lt;&gt;"", XLOOKUP($F229,Productos!$A$2:$A1001,Productos!AU$2:AU1001,"")*$G229,"")</f>
        <v/>
      </c>
      <c r="BC229" s="179" t="str">
        <f t="array" ref="BC229">IF($F229&lt;&gt;"",XLOOKUP($F229,Productos!$A:$A,Productos!AV:AV,"Revisar"),"")</f>
        <v/>
      </c>
      <c r="BD229" s="179" t="str">
        <f t="array" ref="BD229">IF($F229&lt;&gt;"", XLOOKUP($F229,Productos!$A$2:$A1001,Productos!AW$2:AW1001,"")*$G229,"")</f>
        <v/>
      </c>
      <c r="BE229" s="179" t="str">
        <f t="array" ref="BE229">IF($F229&lt;&gt;"",XLOOKUP($F229,Productos!$A:$A,Productos!AX:AX,"Revisar"),"")</f>
        <v/>
      </c>
      <c r="BF229" s="179" t="str">
        <f t="array" ref="BF229">IF($F229&lt;&gt;"", XLOOKUP($F229,Productos!$A$2:$A1001,Productos!AY$2:AY1001,"")*$G229,"")</f>
        <v/>
      </c>
      <c r="BG229" s="179" t="str">
        <f t="array" ref="BG229">IF($F229&lt;&gt;"",XLOOKUP($F229,Productos!$A:$A,Productos!AZ:AZ,"Revisar"),"")</f>
        <v/>
      </c>
      <c r="BH229" s="179" t="str">
        <f t="array" ref="BH229">IF($F229&lt;&gt;"", XLOOKUP($F229,Productos!$A$2:$A1001,Productos!BA$2:BA1001,"")*$G229,"")</f>
        <v/>
      </c>
      <c r="BI229" s="179" t="str">
        <f t="array" ref="BI229">IF($F229&lt;&gt;"",XLOOKUP($F229,Productos!$A:$A,Productos!BB:BB,"Revisar"),"")</f>
        <v/>
      </c>
      <c r="BJ229" s="179" t="str">
        <f t="array" ref="BJ229">IF($F229&lt;&gt;"", XLOOKUP($F229,Productos!$A$2:$A1001,Productos!BC$2:BC1001,"")*$G229,"")</f>
        <v/>
      </c>
      <c r="BK229" s="179" t="str">
        <f t="array" ref="BK229">IF($F229&lt;&gt;"",XLOOKUP($F229,Productos!$A:$A,Productos!BD:BD,"Revisar"),"")</f>
        <v/>
      </c>
      <c r="BL229" s="179" t="str">
        <f t="array" ref="BL229">IF($F229&lt;&gt;"", XLOOKUP($F229,Productos!$A$2:$A1001,Productos!BE$2:BE1001,"")*$G229,"")</f>
        <v/>
      </c>
      <c r="BM229" s="179" t="str">
        <f t="array" ref="BM229">IF($F229&lt;&gt;"",XLOOKUP($F229,Productos!$A:$A,Productos!BF:BF,"Revisar"),"")</f>
        <v/>
      </c>
      <c r="BN229" s="179" t="str">
        <f t="array" ref="BN229">IF($F229&lt;&gt;"", XLOOKUP($F229,Productos!$A$2:$A1001,Productos!BG$2:BG1001,"")*$G229,"")</f>
        <v/>
      </c>
      <c r="BO229" s="179" t="str">
        <f t="array" ref="BO229">IF($F229&lt;&gt;"",XLOOKUP($F229,Productos!$A:$A,Productos!BH:BH,"Revisar"),"")</f>
        <v/>
      </c>
      <c r="BP229" s="179" t="str">
        <f t="array" ref="BP229">IF($F229&lt;&gt;"", XLOOKUP($F229,Productos!$A$2:$A1001,Productos!BI$2:BI1001,"")*$G229,"")</f>
        <v/>
      </c>
      <c r="BQ229" s="179" t="str">
        <f t="array" ref="BQ229">IF($F229&lt;&gt;"",XLOOKUP($F229,Productos!$A:$A,Productos!BJ:BJ,"Revisar"),"")</f>
        <v/>
      </c>
      <c r="BR229" s="179" t="str">
        <f t="array" ref="BR229">IF($F229&lt;&gt;"", XLOOKUP($F229,Productos!$A$2:$A1001,Productos!BK$2:BK1001,"")*$G229,"")</f>
        <v/>
      </c>
      <c r="BS229" s="179" t="str">
        <f t="array" ref="BS229">IF($F229&lt;&gt;"",XLOOKUP($F229,Productos!$A:$A,Productos!BL:BL,"Revisar"),"")</f>
        <v/>
      </c>
      <c r="BT229" s="179" t="str">
        <f t="array" ref="BT229">IF($F229&lt;&gt;"", XLOOKUP($F229,Productos!$A$2:$A1001,Productos!BM$2:BM1001,"")*$G229,"")</f>
        <v/>
      </c>
      <c r="BU229" s="179" t="str">
        <f t="array" ref="BU229">IF($F229&lt;&gt;"",XLOOKUP($F229,Productos!$A:$A,Productos!BN:BN,"Revisar"),"")</f>
        <v/>
      </c>
      <c r="BV229" s="179" t="str">
        <f t="array" ref="BV229">IF($F229&lt;&gt;"", XLOOKUP($F229,Productos!$A$2:$A1001,Productos!BO$2:BO1001,"")*$G229,"")</f>
        <v/>
      </c>
      <c r="BW229" s="179" t="str">
        <f t="array" ref="BW229">IF($F229&lt;&gt;"",XLOOKUP($F229,Productos!$A:$A,Productos!BP:BP,"Revisar"),"")</f>
        <v/>
      </c>
      <c r="BX229" s="179" t="str">
        <f t="array" ref="BX229">IF($F229&lt;&gt;"", XLOOKUP($F229,Productos!$A$2:$A1001,Productos!BQ$2:BQ1001,"")*$G229,"")</f>
        <v/>
      </c>
      <c r="BY229" s="179" t="str">
        <f t="array" ref="BY229">IF($F229&lt;&gt;"",XLOOKUP($F229,Productos!$A:$A,Productos!BR:BR,"Revisar"),"")</f>
        <v/>
      </c>
      <c r="BZ229" s="179" t="str">
        <f t="array" ref="BZ229">IF($F229&lt;&gt;"", XLOOKUP($F229,Productos!$A$2:$A1001,Productos!BS$2:BS1001,"")*$G229,"")</f>
        <v/>
      </c>
    </row>
    <row r="230">
      <c r="A230" s="180"/>
      <c r="B230" s="181"/>
      <c r="C230" s="182"/>
      <c r="D230" s="182"/>
      <c r="E230" s="185"/>
      <c r="F230" s="186"/>
      <c r="G230" s="187"/>
      <c r="H230" s="186"/>
      <c r="I230" s="179" t="str">
        <f t="array" ref="I230">IF($F230&lt;&gt;"",XLOOKUP($F230,Productos!$A:$A,Productos!B:B,"Revisar"),"")</f>
        <v/>
      </c>
      <c r="J230" s="179" t="str">
        <f t="array" ref="J230">IF($F230&lt;&gt;"", XLOOKUP($F230,Productos!$A$2:$A1001,Productos!C$2:C1001,"")*$G230,"")</f>
        <v/>
      </c>
      <c r="K230" s="179" t="str">
        <f t="array" ref="K230">IF($F230&lt;&gt;"",XLOOKUP($F230,Productos!$A:$A,Productos!D:D,"Revisar"),"")</f>
        <v/>
      </c>
      <c r="L230" s="179" t="str">
        <f t="array" ref="L230">IF($F230&lt;&gt;"", XLOOKUP($F230,Productos!$A$2:$A1001,Productos!E$2:E1001,"")*$G230,"")</f>
        <v/>
      </c>
      <c r="M230" s="179" t="str">
        <f t="array" ref="M230">IF($F230&lt;&gt;"",XLOOKUP($F230,Productos!$A:$A,Productos!F:F,"Revisar"),"")</f>
        <v/>
      </c>
      <c r="N230" s="179" t="str">
        <f t="array" ref="N230">IF($F230&lt;&gt;"", XLOOKUP($F230,Productos!$A$2:$A1001,Productos!G$2:G1001,"")*$G230,"")</f>
        <v/>
      </c>
      <c r="O230" s="179" t="str">
        <f t="array" ref="O230">IF($F230&lt;&gt;"",XLOOKUP($F230,Productos!$A:$A,Productos!H:H,"Revisar"),"")</f>
        <v/>
      </c>
      <c r="P230" s="179" t="str">
        <f t="array" ref="P230">IF($F230&lt;&gt;"", XLOOKUP($F230,Productos!$A$2:$A1001,Productos!I$2:I1001,"")*$G230,"")</f>
        <v/>
      </c>
      <c r="Q230" s="179" t="str">
        <f t="array" ref="Q230">IF($F230&lt;&gt;"",XLOOKUP($F230,Productos!$A:$A,Productos!J:J,"Revisar"),"")</f>
        <v/>
      </c>
      <c r="R230" s="179" t="str">
        <f t="array" ref="R230">IF($F230&lt;&gt;"", XLOOKUP($F230,Productos!$A$2:$A1001,Productos!K$2:K1001,"")*$G230,"")</f>
        <v/>
      </c>
      <c r="S230" s="179" t="str">
        <f t="array" ref="S230">IF($F230&lt;&gt;"",XLOOKUP($F230,Productos!$A:$A,Productos!L:L,"Revisar"),"")</f>
        <v/>
      </c>
      <c r="T230" s="179" t="str">
        <f t="array" ref="T230">IF($F230&lt;&gt;"", XLOOKUP($F230,Productos!$A$2:$A1001,Productos!M$2:M1001,"")*$G230,"")</f>
        <v/>
      </c>
      <c r="U230" s="179" t="str">
        <f t="array" ref="U230">IF($F230&lt;&gt;"",XLOOKUP($F230,Productos!$A:$A,Productos!N:N,"Revisar"),"")</f>
        <v/>
      </c>
      <c r="V230" s="179" t="str">
        <f t="array" ref="V230">IF($F230&lt;&gt;"", XLOOKUP($F230,Productos!$A$2:$A1001,Productos!O$2:O1001,"")*$G230,"")</f>
        <v/>
      </c>
      <c r="W230" s="179" t="str">
        <f t="array" ref="W230">IF($F230&lt;&gt;"",XLOOKUP($F230,Productos!$A:$A,Productos!P:P,"Revisar"),"")</f>
        <v/>
      </c>
      <c r="X230" s="179" t="str">
        <f t="array" ref="X230">IF($F230&lt;&gt;"", XLOOKUP($F230,Productos!$A$2:$A1001,Productos!Q$2:Q1001,"")*$G230,"")</f>
        <v/>
      </c>
      <c r="Y230" s="179" t="str">
        <f t="array" ref="Y230">IF($F230&lt;&gt;"",XLOOKUP($F230,Productos!$A:$A,Productos!R:R,"Revisar"),"")</f>
        <v/>
      </c>
      <c r="Z230" s="179" t="str">
        <f t="array" ref="Z230">IF($F230&lt;&gt;"", XLOOKUP($F230,Productos!$A$2:$A1001,Productos!S$2:S1001,"")*$G230,"")</f>
        <v/>
      </c>
      <c r="AA230" s="179" t="str">
        <f t="array" ref="AA230">IF($F230&lt;&gt;"",XLOOKUP($F230,Productos!$A:$A,Productos!T:T,"Revisar"),"")</f>
        <v/>
      </c>
      <c r="AB230" s="179" t="str">
        <f t="array" ref="AB230">IF($F230&lt;&gt;"", XLOOKUP($F230,Productos!$A$2:$A1001,Productos!U$2:U1001,"")*$G230,"")</f>
        <v/>
      </c>
      <c r="AC230" s="179" t="str">
        <f t="array" ref="AC230">IF($F230&lt;&gt;"",XLOOKUP($F230,Productos!$A:$A,Productos!V:V,"Revisar"),"")</f>
        <v/>
      </c>
      <c r="AD230" s="179" t="str">
        <f t="array" ref="AD230">IF($F230&lt;&gt;"", XLOOKUP($F230,Productos!$A$2:$A1001,Productos!W$2:W1001,"")*$G230,"")</f>
        <v/>
      </c>
      <c r="AE230" s="179" t="str">
        <f t="array" ref="AE230">IF($F230&lt;&gt;"",XLOOKUP($F230,Productos!$A:$A,Productos!X:X,"Revisar"),"")</f>
        <v/>
      </c>
      <c r="AF230" s="179" t="str">
        <f t="array" ref="AF230">IF($F230&lt;&gt;"", XLOOKUP($F230,Productos!$A$2:$A1001,Productos!Y$2:Y1001,"")*$G230,"")</f>
        <v/>
      </c>
      <c r="AG230" s="179" t="str">
        <f t="array" ref="AG230">IF($F230&lt;&gt;"",XLOOKUP($F230,Productos!$A:$A,Productos!Z:Z,"Revisar"),"")</f>
        <v/>
      </c>
      <c r="AH230" s="179" t="str">
        <f t="array" ref="AH230">IF($F230&lt;&gt;"", XLOOKUP($F230,Productos!$A$2:$A1001,Productos!AA$2:AA1001,"")*$G230,"")</f>
        <v/>
      </c>
      <c r="AI230" s="179" t="str">
        <f t="array" ref="AI230">IF($F230&lt;&gt;"",XLOOKUP($F230,Productos!$A:$A,Productos!AB:AB,"Revisar"),"")</f>
        <v/>
      </c>
      <c r="AJ230" s="179" t="str">
        <f t="array" ref="AJ230">IF($F230&lt;&gt;"", XLOOKUP($F230,Productos!$A$2:$A1001,Productos!AC$2:AC1001,"")*$G230,"")</f>
        <v/>
      </c>
      <c r="AK230" s="179" t="str">
        <f t="array" ref="AK230">IF($F230&lt;&gt;"",XLOOKUP($F230,Productos!$A:$A,Productos!AD:AD,"Revisar"),"")</f>
        <v/>
      </c>
      <c r="AL230" s="179" t="str">
        <f t="array" ref="AL230">IF($F230&lt;&gt;"", XLOOKUP($F230,Productos!$A$2:$A1001,Productos!AE$2:AE1001,"")*$G230,"")</f>
        <v/>
      </c>
      <c r="AM230" s="179" t="str">
        <f t="array" ref="AM230">IF($F230&lt;&gt;"",XLOOKUP($F230,Productos!$A:$A,Productos!AF:AF,"Revisar"),"")</f>
        <v/>
      </c>
      <c r="AN230" s="179" t="str">
        <f t="array" ref="AN230">IF($F230&lt;&gt;"", XLOOKUP($F230,Productos!$A$2:$A1001,Productos!AG$2:AG1001,"")*$G230,"")</f>
        <v/>
      </c>
      <c r="AO230" s="179" t="str">
        <f t="array" ref="AO230">IF($F230&lt;&gt;"",XLOOKUP($F230,Productos!$A:$A,Productos!AH:AH,"Revisar"),"")</f>
        <v/>
      </c>
      <c r="AP230" s="179" t="str">
        <f t="array" ref="AP230">IF($F230&lt;&gt;"", XLOOKUP($F230,Productos!$A$2:$A1001,Productos!AI$2:AI1001,"")*$G230,"")</f>
        <v/>
      </c>
      <c r="AQ230" s="179" t="str">
        <f t="array" ref="AQ230">IF($F230&lt;&gt;"",XLOOKUP($F230,Productos!$A:$A,Productos!AJ:AJ,"Revisar"),"")</f>
        <v/>
      </c>
      <c r="AR230" s="179" t="str">
        <f t="array" ref="AR230">IF($F230&lt;&gt;"", XLOOKUP($F230,Productos!$A$2:$A1001,Productos!AK$2:AK1001,"")*$G230,"")</f>
        <v/>
      </c>
      <c r="AS230" s="179" t="str">
        <f t="array" ref="AS230">IF($F230&lt;&gt;"",XLOOKUP($F230,Productos!$A:$A,Productos!AL:AL,"Revisar"),"")</f>
        <v/>
      </c>
      <c r="AT230" s="179" t="str">
        <f t="array" ref="AT230">IF($F230&lt;&gt;"", XLOOKUP($F230,Productos!$A$2:$A1001,Productos!AM$2:AM1001,"")*$G230,"")</f>
        <v/>
      </c>
      <c r="AU230" s="179" t="str">
        <f t="array" ref="AU230">IF($F230&lt;&gt;"",XLOOKUP($F230,Productos!$A:$A,Productos!AN:AN,"Revisar"),"")</f>
        <v/>
      </c>
      <c r="AV230" s="179" t="str">
        <f t="array" ref="AV230">IF($F230&lt;&gt;"", XLOOKUP($F230,Productos!$A$2:$A1001,Productos!AO$2:AO1001,"")*$G230,"")</f>
        <v/>
      </c>
      <c r="AW230" s="179" t="str">
        <f t="array" ref="AW230">IF($F230&lt;&gt;"",XLOOKUP($F230,Productos!$A:$A,Productos!AP:AP,"Revisar"),"")</f>
        <v/>
      </c>
      <c r="AX230" s="179" t="str">
        <f t="array" ref="AX230">IF($F230&lt;&gt;"", XLOOKUP($F230,Productos!$A$2:$A1001,Productos!AQ$2:AQ1001,"")*$G230,"")</f>
        <v/>
      </c>
      <c r="AY230" s="179" t="str">
        <f t="array" ref="AY230">IF($F230&lt;&gt;"",XLOOKUP($F230,Productos!$A:$A,Productos!AR:AR,"Revisar"),"")</f>
        <v/>
      </c>
      <c r="AZ230" s="179" t="str">
        <f t="array" ref="AZ230">IF($F230&lt;&gt;"", XLOOKUP($F230,Productos!$A$2:$A1001,Productos!AS$2:AS1001,"")*$G230,"")</f>
        <v/>
      </c>
      <c r="BA230" s="179" t="str">
        <f t="array" ref="BA230">IF($F230&lt;&gt;"",XLOOKUP($F230,Productos!$A:$A,Productos!AT:AT,"Revisar"),"")</f>
        <v/>
      </c>
      <c r="BB230" s="179" t="str">
        <f t="array" ref="BB230">IF($F230&lt;&gt;"", XLOOKUP($F230,Productos!$A$2:$A1001,Productos!AU$2:AU1001,"")*$G230,"")</f>
        <v/>
      </c>
      <c r="BC230" s="179" t="str">
        <f t="array" ref="BC230">IF($F230&lt;&gt;"",XLOOKUP($F230,Productos!$A:$A,Productos!AV:AV,"Revisar"),"")</f>
        <v/>
      </c>
      <c r="BD230" s="179" t="str">
        <f t="array" ref="BD230">IF($F230&lt;&gt;"", XLOOKUP($F230,Productos!$A$2:$A1001,Productos!AW$2:AW1001,"")*$G230,"")</f>
        <v/>
      </c>
      <c r="BE230" s="179" t="str">
        <f t="array" ref="BE230">IF($F230&lt;&gt;"",XLOOKUP($F230,Productos!$A:$A,Productos!AX:AX,"Revisar"),"")</f>
        <v/>
      </c>
      <c r="BF230" s="179" t="str">
        <f t="array" ref="BF230">IF($F230&lt;&gt;"", XLOOKUP($F230,Productos!$A$2:$A1001,Productos!AY$2:AY1001,"")*$G230,"")</f>
        <v/>
      </c>
      <c r="BG230" s="179" t="str">
        <f t="array" ref="BG230">IF($F230&lt;&gt;"",XLOOKUP($F230,Productos!$A:$A,Productos!AZ:AZ,"Revisar"),"")</f>
        <v/>
      </c>
      <c r="BH230" s="179" t="str">
        <f t="array" ref="BH230">IF($F230&lt;&gt;"", XLOOKUP($F230,Productos!$A$2:$A1001,Productos!BA$2:BA1001,"")*$G230,"")</f>
        <v/>
      </c>
      <c r="BI230" s="179" t="str">
        <f t="array" ref="BI230">IF($F230&lt;&gt;"",XLOOKUP($F230,Productos!$A:$A,Productos!BB:BB,"Revisar"),"")</f>
        <v/>
      </c>
      <c r="BJ230" s="179" t="str">
        <f t="array" ref="BJ230">IF($F230&lt;&gt;"", XLOOKUP($F230,Productos!$A$2:$A1001,Productos!BC$2:BC1001,"")*$G230,"")</f>
        <v/>
      </c>
      <c r="BK230" s="179" t="str">
        <f t="array" ref="BK230">IF($F230&lt;&gt;"",XLOOKUP($F230,Productos!$A:$A,Productos!BD:BD,"Revisar"),"")</f>
        <v/>
      </c>
      <c r="BL230" s="179" t="str">
        <f t="array" ref="BL230">IF($F230&lt;&gt;"", XLOOKUP($F230,Productos!$A$2:$A1001,Productos!BE$2:BE1001,"")*$G230,"")</f>
        <v/>
      </c>
      <c r="BM230" s="179" t="str">
        <f t="array" ref="BM230">IF($F230&lt;&gt;"",XLOOKUP($F230,Productos!$A:$A,Productos!BF:BF,"Revisar"),"")</f>
        <v/>
      </c>
      <c r="BN230" s="179" t="str">
        <f t="array" ref="BN230">IF($F230&lt;&gt;"", XLOOKUP($F230,Productos!$A$2:$A1001,Productos!BG$2:BG1001,"")*$G230,"")</f>
        <v/>
      </c>
      <c r="BO230" s="179" t="str">
        <f t="array" ref="BO230">IF($F230&lt;&gt;"",XLOOKUP($F230,Productos!$A:$A,Productos!BH:BH,"Revisar"),"")</f>
        <v/>
      </c>
      <c r="BP230" s="179" t="str">
        <f t="array" ref="BP230">IF($F230&lt;&gt;"", XLOOKUP($F230,Productos!$A$2:$A1001,Productos!BI$2:BI1001,"")*$G230,"")</f>
        <v/>
      </c>
      <c r="BQ230" s="179" t="str">
        <f t="array" ref="BQ230">IF($F230&lt;&gt;"",XLOOKUP($F230,Productos!$A:$A,Productos!BJ:BJ,"Revisar"),"")</f>
        <v/>
      </c>
      <c r="BR230" s="179" t="str">
        <f t="array" ref="BR230">IF($F230&lt;&gt;"", XLOOKUP($F230,Productos!$A$2:$A1001,Productos!BK$2:BK1001,"")*$G230,"")</f>
        <v/>
      </c>
      <c r="BS230" s="179" t="str">
        <f t="array" ref="BS230">IF($F230&lt;&gt;"",XLOOKUP($F230,Productos!$A:$A,Productos!BL:BL,"Revisar"),"")</f>
        <v/>
      </c>
      <c r="BT230" s="179" t="str">
        <f t="array" ref="BT230">IF($F230&lt;&gt;"", XLOOKUP($F230,Productos!$A$2:$A1001,Productos!BM$2:BM1001,"")*$G230,"")</f>
        <v/>
      </c>
      <c r="BU230" s="179" t="str">
        <f t="array" ref="BU230">IF($F230&lt;&gt;"",XLOOKUP($F230,Productos!$A:$A,Productos!BN:BN,"Revisar"),"")</f>
        <v/>
      </c>
      <c r="BV230" s="179" t="str">
        <f t="array" ref="BV230">IF($F230&lt;&gt;"", XLOOKUP($F230,Productos!$A$2:$A1001,Productos!BO$2:BO1001,"")*$G230,"")</f>
        <v/>
      </c>
      <c r="BW230" s="179" t="str">
        <f t="array" ref="BW230">IF($F230&lt;&gt;"",XLOOKUP($F230,Productos!$A:$A,Productos!BP:BP,"Revisar"),"")</f>
        <v/>
      </c>
      <c r="BX230" s="179" t="str">
        <f t="array" ref="BX230">IF($F230&lt;&gt;"", XLOOKUP($F230,Productos!$A$2:$A1001,Productos!BQ$2:BQ1001,"")*$G230,"")</f>
        <v/>
      </c>
      <c r="BY230" s="179" t="str">
        <f t="array" ref="BY230">IF($F230&lt;&gt;"",XLOOKUP($F230,Productos!$A:$A,Productos!BR:BR,"Revisar"),"")</f>
        <v/>
      </c>
      <c r="BZ230" s="179" t="str">
        <f t="array" ref="BZ230">IF($F230&lt;&gt;"", XLOOKUP($F230,Productos!$A$2:$A1001,Productos!BS$2:BS1001,"")*$G230,"")</f>
        <v/>
      </c>
    </row>
    <row r="231">
      <c r="A231" s="180"/>
      <c r="B231" s="181"/>
      <c r="C231" s="182"/>
      <c r="D231" s="182"/>
      <c r="E231" s="185"/>
      <c r="F231" s="186"/>
      <c r="G231" s="187"/>
      <c r="H231" s="186"/>
      <c r="I231" s="179" t="str">
        <f t="array" ref="I231">IF($F231&lt;&gt;"",XLOOKUP($F231,Productos!$A:$A,Productos!B:B,"Revisar"),"")</f>
        <v/>
      </c>
      <c r="J231" s="179" t="str">
        <f t="array" ref="J231">IF($F231&lt;&gt;"", XLOOKUP($F231,Productos!$A$2:$A1001,Productos!C$2:C1001,"")*$G231,"")</f>
        <v/>
      </c>
      <c r="K231" s="179" t="str">
        <f t="array" ref="K231">IF($F231&lt;&gt;"",XLOOKUP($F231,Productos!$A:$A,Productos!D:D,"Revisar"),"")</f>
        <v/>
      </c>
      <c r="L231" s="179" t="str">
        <f t="array" ref="L231">IF($F231&lt;&gt;"", XLOOKUP($F231,Productos!$A$2:$A1001,Productos!E$2:E1001,"")*$G231,"")</f>
        <v/>
      </c>
      <c r="M231" s="179" t="str">
        <f t="array" ref="M231">IF($F231&lt;&gt;"",XLOOKUP($F231,Productos!$A:$A,Productos!F:F,"Revisar"),"")</f>
        <v/>
      </c>
      <c r="N231" s="179" t="str">
        <f t="array" ref="N231">IF($F231&lt;&gt;"", XLOOKUP($F231,Productos!$A$2:$A1001,Productos!G$2:G1001,"")*$G231,"")</f>
        <v/>
      </c>
      <c r="O231" s="179" t="str">
        <f t="array" ref="O231">IF($F231&lt;&gt;"",XLOOKUP($F231,Productos!$A:$A,Productos!H:H,"Revisar"),"")</f>
        <v/>
      </c>
      <c r="P231" s="179" t="str">
        <f t="array" ref="P231">IF($F231&lt;&gt;"", XLOOKUP($F231,Productos!$A$2:$A1001,Productos!I$2:I1001,"")*$G231,"")</f>
        <v/>
      </c>
      <c r="Q231" s="179" t="str">
        <f t="array" ref="Q231">IF($F231&lt;&gt;"",XLOOKUP($F231,Productos!$A:$A,Productos!J:J,"Revisar"),"")</f>
        <v/>
      </c>
      <c r="R231" s="179" t="str">
        <f t="array" ref="R231">IF($F231&lt;&gt;"", XLOOKUP($F231,Productos!$A$2:$A1001,Productos!K$2:K1001,"")*$G231,"")</f>
        <v/>
      </c>
      <c r="S231" s="179" t="str">
        <f t="array" ref="S231">IF($F231&lt;&gt;"",XLOOKUP($F231,Productos!$A:$A,Productos!L:L,"Revisar"),"")</f>
        <v/>
      </c>
      <c r="T231" s="179" t="str">
        <f t="array" ref="T231">IF($F231&lt;&gt;"", XLOOKUP($F231,Productos!$A$2:$A1001,Productos!M$2:M1001,"")*$G231,"")</f>
        <v/>
      </c>
      <c r="U231" s="179" t="str">
        <f t="array" ref="U231">IF($F231&lt;&gt;"",XLOOKUP($F231,Productos!$A:$A,Productos!N:N,"Revisar"),"")</f>
        <v/>
      </c>
      <c r="V231" s="179" t="str">
        <f t="array" ref="V231">IF($F231&lt;&gt;"", XLOOKUP($F231,Productos!$A$2:$A1001,Productos!O$2:O1001,"")*$G231,"")</f>
        <v/>
      </c>
      <c r="W231" s="179" t="str">
        <f t="array" ref="W231">IF($F231&lt;&gt;"",XLOOKUP($F231,Productos!$A:$A,Productos!P:P,"Revisar"),"")</f>
        <v/>
      </c>
      <c r="X231" s="179" t="str">
        <f t="array" ref="X231">IF($F231&lt;&gt;"", XLOOKUP($F231,Productos!$A$2:$A1001,Productos!Q$2:Q1001,"")*$G231,"")</f>
        <v/>
      </c>
      <c r="Y231" s="179" t="str">
        <f t="array" ref="Y231">IF($F231&lt;&gt;"",XLOOKUP($F231,Productos!$A:$A,Productos!R:R,"Revisar"),"")</f>
        <v/>
      </c>
      <c r="Z231" s="179" t="str">
        <f t="array" ref="Z231">IF($F231&lt;&gt;"", XLOOKUP($F231,Productos!$A$2:$A1001,Productos!S$2:S1001,"")*$G231,"")</f>
        <v/>
      </c>
      <c r="AA231" s="179" t="str">
        <f t="array" ref="AA231">IF($F231&lt;&gt;"",XLOOKUP($F231,Productos!$A:$A,Productos!T:T,"Revisar"),"")</f>
        <v/>
      </c>
      <c r="AB231" s="179" t="str">
        <f t="array" ref="AB231">IF($F231&lt;&gt;"", XLOOKUP($F231,Productos!$A$2:$A1001,Productos!U$2:U1001,"")*$G231,"")</f>
        <v/>
      </c>
      <c r="AC231" s="179" t="str">
        <f t="array" ref="AC231">IF($F231&lt;&gt;"",XLOOKUP($F231,Productos!$A:$A,Productos!V:V,"Revisar"),"")</f>
        <v/>
      </c>
      <c r="AD231" s="179" t="str">
        <f t="array" ref="AD231">IF($F231&lt;&gt;"", XLOOKUP($F231,Productos!$A$2:$A1001,Productos!W$2:W1001,"")*$G231,"")</f>
        <v/>
      </c>
      <c r="AE231" s="179" t="str">
        <f t="array" ref="AE231">IF($F231&lt;&gt;"",XLOOKUP($F231,Productos!$A:$A,Productos!X:X,"Revisar"),"")</f>
        <v/>
      </c>
      <c r="AF231" s="179" t="str">
        <f t="array" ref="AF231">IF($F231&lt;&gt;"", XLOOKUP($F231,Productos!$A$2:$A1001,Productos!Y$2:Y1001,"")*$G231,"")</f>
        <v/>
      </c>
      <c r="AG231" s="179" t="str">
        <f t="array" ref="AG231">IF($F231&lt;&gt;"",XLOOKUP($F231,Productos!$A:$A,Productos!Z:Z,"Revisar"),"")</f>
        <v/>
      </c>
      <c r="AH231" s="179" t="str">
        <f t="array" ref="AH231">IF($F231&lt;&gt;"", XLOOKUP($F231,Productos!$A$2:$A1001,Productos!AA$2:AA1001,"")*$G231,"")</f>
        <v/>
      </c>
      <c r="AI231" s="179" t="str">
        <f t="array" ref="AI231">IF($F231&lt;&gt;"",XLOOKUP($F231,Productos!$A:$A,Productos!AB:AB,"Revisar"),"")</f>
        <v/>
      </c>
      <c r="AJ231" s="179" t="str">
        <f t="array" ref="AJ231">IF($F231&lt;&gt;"", XLOOKUP($F231,Productos!$A$2:$A1001,Productos!AC$2:AC1001,"")*$G231,"")</f>
        <v/>
      </c>
      <c r="AK231" s="179" t="str">
        <f t="array" ref="AK231">IF($F231&lt;&gt;"",XLOOKUP($F231,Productos!$A:$A,Productos!AD:AD,"Revisar"),"")</f>
        <v/>
      </c>
      <c r="AL231" s="179" t="str">
        <f t="array" ref="AL231">IF($F231&lt;&gt;"", XLOOKUP($F231,Productos!$A$2:$A1001,Productos!AE$2:AE1001,"")*$G231,"")</f>
        <v/>
      </c>
      <c r="AM231" s="179" t="str">
        <f t="array" ref="AM231">IF($F231&lt;&gt;"",XLOOKUP($F231,Productos!$A:$A,Productos!AF:AF,"Revisar"),"")</f>
        <v/>
      </c>
      <c r="AN231" s="179" t="str">
        <f t="array" ref="AN231">IF($F231&lt;&gt;"", XLOOKUP($F231,Productos!$A$2:$A1001,Productos!AG$2:AG1001,"")*$G231,"")</f>
        <v/>
      </c>
      <c r="AO231" s="179" t="str">
        <f t="array" ref="AO231">IF($F231&lt;&gt;"",XLOOKUP($F231,Productos!$A:$A,Productos!AH:AH,"Revisar"),"")</f>
        <v/>
      </c>
      <c r="AP231" s="179" t="str">
        <f t="array" ref="AP231">IF($F231&lt;&gt;"", XLOOKUP($F231,Productos!$A$2:$A1001,Productos!AI$2:AI1001,"")*$G231,"")</f>
        <v/>
      </c>
      <c r="AQ231" s="179" t="str">
        <f t="array" ref="AQ231">IF($F231&lt;&gt;"",XLOOKUP($F231,Productos!$A:$A,Productos!AJ:AJ,"Revisar"),"")</f>
        <v/>
      </c>
      <c r="AR231" s="179" t="str">
        <f t="array" ref="AR231">IF($F231&lt;&gt;"", XLOOKUP($F231,Productos!$A$2:$A1001,Productos!AK$2:AK1001,"")*$G231,"")</f>
        <v/>
      </c>
      <c r="AS231" s="179" t="str">
        <f t="array" ref="AS231">IF($F231&lt;&gt;"",XLOOKUP($F231,Productos!$A:$A,Productos!AL:AL,"Revisar"),"")</f>
        <v/>
      </c>
      <c r="AT231" s="179" t="str">
        <f t="array" ref="AT231">IF($F231&lt;&gt;"", XLOOKUP($F231,Productos!$A$2:$A1001,Productos!AM$2:AM1001,"")*$G231,"")</f>
        <v/>
      </c>
      <c r="AU231" s="179" t="str">
        <f t="array" ref="AU231">IF($F231&lt;&gt;"",XLOOKUP($F231,Productos!$A:$A,Productos!AN:AN,"Revisar"),"")</f>
        <v/>
      </c>
      <c r="AV231" s="179" t="str">
        <f t="array" ref="AV231">IF($F231&lt;&gt;"", XLOOKUP($F231,Productos!$A$2:$A1001,Productos!AO$2:AO1001,"")*$G231,"")</f>
        <v/>
      </c>
      <c r="AW231" s="179" t="str">
        <f t="array" ref="AW231">IF($F231&lt;&gt;"",XLOOKUP($F231,Productos!$A:$A,Productos!AP:AP,"Revisar"),"")</f>
        <v/>
      </c>
      <c r="AX231" s="179" t="str">
        <f t="array" ref="AX231">IF($F231&lt;&gt;"", XLOOKUP($F231,Productos!$A$2:$A1001,Productos!AQ$2:AQ1001,"")*$G231,"")</f>
        <v/>
      </c>
      <c r="AY231" s="179" t="str">
        <f t="array" ref="AY231">IF($F231&lt;&gt;"",XLOOKUP($F231,Productos!$A:$A,Productos!AR:AR,"Revisar"),"")</f>
        <v/>
      </c>
      <c r="AZ231" s="179" t="str">
        <f t="array" ref="AZ231">IF($F231&lt;&gt;"", XLOOKUP($F231,Productos!$A$2:$A1001,Productos!AS$2:AS1001,"")*$G231,"")</f>
        <v/>
      </c>
      <c r="BA231" s="179" t="str">
        <f t="array" ref="BA231">IF($F231&lt;&gt;"",XLOOKUP($F231,Productos!$A:$A,Productos!AT:AT,"Revisar"),"")</f>
        <v/>
      </c>
      <c r="BB231" s="179" t="str">
        <f t="array" ref="BB231">IF($F231&lt;&gt;"", XLOOKUP($F231,Productos!$A$2:$A1001,Productos!AU$2:AU1001,"")*$G231,"")</f>
        <v/>
      </c>
      <c r="BC231" s="179" t="str">
        <f t="array" ref="BC231">IF($F231&lt;&gt;"",XLOOKUP($F231,Productos!$A:$A,Productos!AV:AV,"Revisar"),"")</f>
        <v/>
      </c>
      <c r="BD231" s="179" t="str">
        <f t="array" ref="BD231">IF($F231&lt;&gt;"", XLOOKUP($F231,Productos!$A$2:$A1001,Productos!AW$2:AW1001,"")*$G231,"")</f>
        <v/>
      </c>
      <c r="BE231" s="179" t="str">
        <f t="array" ref="BE231">IF($F231&lt;&gt;"",XLOOKUP($F231,Productos!$A:$A,Productos!AX:AX,"Revisar"),"")</f>
        <v/>
      </c>
      <c r="BF231" s="179" t="str">
        <f t="array" ref="BF231">IF($F231&lt;&gt;"", XLOOKUP($F231,Productos!$A$2:$A1001,Productos!AY$2:AY1001,"")*$G231,"")</f>
        <v/>
      </c>
      <c r="BG231" s="179" t="str">
        <f t="array" ref="BG231">IF($F231&lt;&gt;"",XLOOKUP($F231,Productos!$A:$A,Productos!AZ:AZ,"Revisar"),"")</f>
        <v/>
      </c>
      <c r="BH231" s="179" t="str">
        <f t="array" ref="BH231">IF($F231&lt;&gt;"", XLOOKUP($F231,Productos!$A$2:$A1001,Productos!BA$2:BA1001,"")*$G231,"")</f>
        <v/>
      </c>
      <c r="BI231" s="179" t="str">
        <f t="array" ref="BI231">IF($F231&lt;&gt;"",XLOOKUP($F231,Productos!$A:$A,Productos!BB:BB,"Revisar"),"")</f>
        <v/>
      </c>
      <c r="BJ231" s="179" t="str">
        <f t="array" ref="BJ231">IF($F231&lt;&gt;"", XLOOKUP($F231,Productos!$A$2:$A1001,Productos!BC$2:BC1001,"")*$G231,"")</f>
        <v/>
      </c>
      <c r="BK231" s="179" t="str">
        <f t="array" ref="BK231">IF($F231&lt;&gt;"",XLOOKUP($F231,Productos!$A:$A,Productos!BD:BD,"Revisar"),"")</f>
        <v/>
      </c>
      <c r="BL231" s="179" t="str">
        <f t="array" ref="BL231">IF($F231&lt;&gt;"", XLOOKUP($F231,Productos!$A$2:$A1001,Productos!BE$2:BE1001,"")*$G231,"")</f>
        <v/>
      </c>
      <c r="BM231" s="179" t="str">
        <f t="array" ref="BM231">IF($F231&lt;&gt;"",XLOOKUP($F231,Productos!$A:$A,Productos!BF:BF,"Revisar"),"")</f>
        <v/>
      </c>
      <c r="BN231" s="179" t="str">
        <f t="array" ref="BN231">IF($F231&lt;&gt;"", XLOOKUP($F231,Productos!$A$2:$A1001,Productos!BG$2:BG1001,"")*$G231,"")</f>
        <v/>
      </c>
      <c r="BO231" s="179" t="str">
        <f t="array" ref="BO231">IF($F231&lt;&gt;"",XLOOKUP($F231,Productos!$A:$A,Productos!BH:BH,"Revisar"),"")</f>
        <v/>
      </c>
      <c r="BP231" s="179" t="str">
        <f t="array" ref="BP231">IF($F231&lt;&gt;"", XLOOKUP($F231,Productos!$A$2:$A1001,Productos!BI$2:BI1001,"")*$G231,"")</f>
        <v/>
      </c>
      <c r="BQ231" s="179" t="str">
        <f t="array" ref="BQ231">IF($F231&lt;&gt;"",XLOOKUP($F231,Productos!$A:$A,Productos!BJ:BJ,"Revisar"),"")</f>
        <v/>
      </c>
      <c r="BR231" s="179" t="str">
        <f t="array" ref="BR231">IF($F231&lt;&gt;"", XLOOKUP($F231,Productos!$A$2:$A1001,Productos!BK$2:BK1001,"")*$G231,"")</f>
        <v/>
      </c>
      <c r="BS231" s="179" t="str">
        <f t="array" ref="BS231">IF($F231&lt;&gt;"",XLOOKUP($F231,Productos!$A:$A,Productos!BL:BL,"Revisar"),"")</f>
        <v/>
      </c>
      <c r="BT231" s="179" t="str">
        <f t="array" ref="BT231">IF($F231&lt;&gt;"", XLOOKUP($F231,Productos!$A$2:$A1001,Productos!BM$2:BM1001,"")*$G231,"")</f>
        <v/>
      </c>
      <c r="BU231" s="179" t="str">
        <f t="array" ref="BU231">IF($F231&lt;&gt;"",XLOOKUP($F231,Productos!$A:$A,Productos!BN:BN,"Revisar"),"")</f>
        <v/>
      </c>
      <c r="BV231" s="179" t="str">
        <f t="array" ref="BV231">IF($F231&lt;&gt;"", XLOOKUP($F231,Productos!$A$2:$A1001,Productos!BO$2:BO1001,"")*$G231,"")</f>
        <v/>
      </c>
      <c r="BW231" s="179" t="str">
        <f t="array" ref="BW231">IF($F231&lt;&gt;"",XLOOKUP($F231,Productos!$A:$A,Productos!BP:BP,"Revisar"),"")</f>
        <v/>
      </c>
      <c r="BX231" s="179" t="str">
        <f t="array" ref="BX231">IF($F231&lt;&gt;"", XLOOKUP($F231,Productos!$A$2:$A1001,Productos!BQ$2:BQ1001,"")*$G231,"")</f>
        <v/>
      </c>
      <c r="BY231" s="179" t="str">
        <f t="array" ref="BY231">IF($F231&lt;&gt;"",XLOOKUP($F231,Productos!$A:$A,Productos!BR:BR,"Revisar"),"")</f>
        <v/>
      </c>
      <c r="BZ231" s="179" t="str">
        <f t="array" ref="BZ231">IF($F231&lt;&gt;"", XLOOKUP($F231,Productos!$A$2:$A1001,Productos!BS$2:BS1001,"")*$G231,"")</f>
        <v/>
      </c>
    </row>
    <row r="232">
      <c r="A232" s="180"/>
      <c r="B232" s="181"/>
      <c r="C232" s="182"/>
      <c r="D232" s="182"/>
      <c r="E232" s="185"/>
      <c r="F232" s="186"/>
      <c r="G232" s="187"/>
      <c r="H232" s="186"/>
      <c r="I232" s="179" t="str">
        <f t="array" ref="I232">IF($F232&lt;&gt;"",XLOOKUP($F232,Productos!$A:$A,Productos!B:B,"Revisar"),"")</f>
        <v/>
      </c>
      <c r="J232" s="179" t="str">
        <f t="array" ref="J232">IF($F232&lt;&gt;"", XLOOKUP($F232,Productos!$A$2:$A1001,Productos!C$2:C1001,"")*$G232,"")</f>
        <v/>
      </c>
      <c r="K232" s="179" t="str">
        <f t="array" ref="K232">IF($F232&lt;&gt;"",XLOOKUP($F232,Productos!$A:$A,Productos!D:D,"Revisar"),"")</f>
        <v/>
      </c>
      <c r="L232" s="179" t="str">
        <f t="array" ref="L232">IF($F232&lt;&gt;"", XLOOKUP($F232,Productos!$A$2:$A1001,Productos!E$2:E1001,"")*$G232,"")</f>
        <v/>
      </c>
      <c r="M232" s="179" t="str">
        <f t="array" ref="M232">IF($F232&lt;&gt;"",XLOOKUP($F232,Productos!$A:$A,Productos!F:F,"Revisar"),"")</f>
        <v/>
      </c>
      <c r="N232" s="179" t="str">
        <f t="array" ref="N232">IF($F232&lt;&gt;"", XLOOKUP($F232,Productos!$A$2:$A1001,Productos!G$2:G1001,"")*$G232,"")</f>
        <v/>
      </c>
      <c r="O232" s="179" t="str">
        <f t="array" ref="O232">IF($F232&lt;&gt;"",XLOOKUP($F232,Productos!$A:$A,Productos!H:H,"Revisar"),"")</f>
        <v/>
      </c>
      <c r="P232" s="179" t="str">
        <f t="array" ref="P232">IF($F232&lt;&gt;"", XLOOKUP($F232,Productos!$A$2:$A1001,Productos!I$2:I1001,"")*$G232,"")</f>
        <v/>
      </c>
      <c r="Q232" s="179" t="str">
        <f t="array" ref="Q232">IF($F232&lt;&gt;"",XLOOKUP($F232,Productos!$A:$A,Productos!J:J,"Revisar"),"")</f>
        <v/>
      </c>
      <c r="R232" s="179" t="str">
        <f t="array" ref="R232">IF($F232&lt;&gt;"", XLOOKUP($F232,Productos!$A$2:$A1001,Productos!K$2:K1001,"")*$G232,"")</f>
        <v/>
      </c>
      <c r="S232" s="179" t="str">
        <f t="array" ref="S232">IF($F232&lt;&gt;"",XLOOKUP($F232,Productos!$A:$A,Productos!L:L,"Revisar"),"")</f>
        <v/>
      </c>
      <c r="T232" s="179" t="str">
        <f t="array" ref="T232">IF($F232&lt;&gt;"", XLOOKUP($F232,Productos!$A$2:$A1001,Productos!M$2:M1001,"")*$G232,"")</f>
        <v/>
      </c>
      <c r="U232" s="179" t="str">
        <f t="array" ref="U232">IF($F232&lt;&gt;"",XLOOKUP($F232,Productos!$A:$A,Productos!N:N,"Revisar"),"")</f>
        <v/>
      </c>
      <c r="V232" s="179" t="str">
        <f t="array" ref="V232">IF($F232&lt;&gt;"", XLOOKUP($F232,Productos!$A$2:$A1001,Productos!O$2:O1001,"")*$G232,"")</f>
        <v/>
      </c>
      <c r="W232" s="179" t="str">
        <f t="array" ref="W232">IF($F232&lt;&gt;"",XLOOKUP($F232,Productos!$A:$A,Productos!P:P,"Revisar"),"")</f>
        <v/>
      </c>
      <c r="X232" s="179" t="str">
        <f t="array" ref="X232">IF($F232&lt;&gt;"", XLOOKUP($F232,Productos!$A$2:$A1001,Productos!Q$2:Q1001,"")*$G232,"")</f>
        <v/>
      </c>
      <c r="Y232" s="179" t="str">
        <f t="array" ref="Y232">IF($F232&lt;&gt;"",XLOOKUP($F232,Productos!$A:$A,Productos!R:R,"Revisar"),"")</f>
        <v/>
      </c>
      <c r="Z232" s="179" t="str">
        <f t="array" ref="Z232">IF($F232&lt;&gt;"", XLOOKUP($F232,Productos!$A$2:$A1001,Productos!S$2:S1001,"")*$G232,"")</f>
        <v/>
      </c>
      <c r="AA232" s="179" t="str">
        <f t="array" ref="AA232">IF($F232&lt;&gt;"",XLOOKUP($F232,Productos!$A:$A,Productos!T:T,"Revisar"),"")</f>
        <v/>
      </c>
      <c r="AB232" s="179" t="str">
        <f t="array" ref="AB232">IF($F232&lt;&gt;"", XLOOKUP($F232,Productos!$A$2:$A1001,Productos!U$2:U1001,"")*$G232,"")</f>
        <v/>
      </c>
      <c r="AC232" s="179" t="str">
        <f t="array" ref="AC232">IF($F232&lt;&gt;"",XLOOKUP($F232,Productos!$A:$A,Productos!V:V,"Revisar"),"")</f>
        <v/>
      </c>
      <c r="AD232" s="179" t="str">
        <f t="array" ref="AD232">IF($F232&lt;&gt;"", XLOOKUP($F232,Productos!$A$2:$A1001,Productos!W$2:W1001,"")*$G232,"")</f>
        <v/>
      </c>
      <c r="AE232" s="179" t="str">
        <f t="array" ref="AE232">IF($F232&lt;&gt;"",XLOOKUP($F232,Productos!$A:$A,Productos!X:X,"Revisar"),"")</f>
        <v/>
      </c>
      <c r="AF232" s="179" t="str">
        <f t="array" ref="AF232">IF($F232&lt;&gt;"", XLOOKUP($F232,Productos!$A$2:$A1001,Productos!Y$2:Y1001,"")*$G232,"")</f>
        <v/>
      </c>
      <c r="AG232" s="179" t="str">
        <f t="array" ref="AG232">IF($F232&lt;&gt;"",XLOOKUP($F232,Productos!$A:$A,Productos!Z:Z,"Revisar"),"")</f>
        <v/>
      </c>
      <c r="AH232" s="179" t="str">
        <f t="array" ref="AH232">IF($F232&lt;&gt;"", XLOOKUP($F232,Productos!$A$2:$A1001,Productos!AA$2:AA1001,"")*$G232,"")</f>
        <v/>
      </c>
      <c r="AI232" s="179" t="str">
        <f t="array" ref="AI232">IF($F232&lt;&gt;"",XLOOKUP($F232,Productos!$A:$A,Productos!AB:AB,"Revisar"),"")</f>
        <v/>
      </c>
      <c r="AJ232" s="179" t="str">
        <f t="array" ref="AJ232">IF($F232&lt;&gt;"", XLOOKUP($F232,Productos!$A$2:$A1001,Productos!AC$2:AC1001,"")*$G232,"")</f>
        <v/>
      </c>
      <c r="AK232" s="179" t="str">
        <f t="array" ref="AK232">IF($F232&lt;&gt;"",XLOOKUP($F232,Productos!$A:$A,Productos!AD:AD,"Revisar"),"")</f>
        <v/>
      </c>
      <c r="AL232" s="179" t="str">
        <f t="array" ref="AL232">IF($F232&lt;&gt;"", XLOOKUP($F232,Productos!$A$2:$A1001,Productos!AE$2:AE1001,"")*$G232,"")</f>
        <v/>
      </c>
      <c r="AM232" s="179" t="str">
        <f t="array" ref="AM232">IF($F232&lt;&gt;"",XLOOKUP($F232,Productos!$A:$A,Productos!AF:AF,"Revisar"),"")</f>
        <v/>
      </c>
      <c r="AN232" s="179" t="str">
        <f t="array" ref="AN232">IF($F232&lt;&gt;"", XLOOKUP($F232,Productos!$A$2:$A1001,Productos!AG$2:AG1001,"")*$G232,"")</f>
        <v/>
      </c>
      <c r="AO232" s="179" t="str">
        <f t="array" ref="AO232">IF($F232&lt;&gt;"",XLOOKUP($F232,Productos!$A:$A,Productos!AH:AH,"Revisar"),"")</f>
        <v/>
      </c>
      <c r="AP232" s="179" t="str">
        <f t="array" ref="AP232">IF($F232&lt;&gt;"", XLOOKUP($F232,Productos!$A$2:$A1001,Productos!AI$2:AI1001,"")*$G232,"")</f>
        <v/>
      </c>
      <c r="AQ232" s="179" t="str">
        <f t="array" ref="AQ232">IF($F232&lt;&gt;"",XLOOKUP($F232,Productos!$A:$A,Productos!AJ:AJ,"Revisar"),"")</f>
        <v/>
      </c>
      <c r="AR232" s="179" t="str">
        <f t="array" ref="AR232">IF($F232&lt;&gt;"", XLOOKUP($F232,Productos!$A$2:$A1001,Productos!AK$2:AK1001,"")*$G232,"")</f>
        <v/>
      </c>
      <c r="AS232" s="179" t="str">
        <f t="array" ref="AS232">IF($F232&lt;&gt;"",XLOOKUP($F232,Productos!$A:$A,Productos!AL:AL,"Revisar"),"")</f>
        <v/>
      </c>
      <c r="AT232" s="179" t="str">
        <f t="array" ref="AT232">IF($F232&lt;&gt;"", XLOOKUP($F232,Productos!$A$2:$A1001,Productos!AM$2:AM1001,"")*$G232,"")</f>
        <v/>
      </c>
      <c r="AU232" s="179" t="str">
        <f t="array" ref="AU232">IF($F232&lt;&gt;"",XLOOKUP($F232,Productos!$A:$A,Productos!AN:AN,"Revisar"),"")</f>
        <v/>
      </c>
      <c r="AV232" s="179" t="str">
        <f t="array" ref="AV232">IF($F232&lt;&gt;"", XLOOKUP($F232,Productos!$A$2:$A1001,Productos!AO$2:AO1001,"")*$G232,"")</f>
        <v/>
      </c>
      <c r="AW232" s="179" t="str">
        <f t="array" ref="AW232">IF($F232&lt;&gt;"",XLOOKUP($F232,Productos!$A:$A,Productos!AP:AP,"Revisar"),"")</f>
        <v/>
      </c>
      <c r="AX232" s="179" t="str">
        <f t="array" ref="AX232">IF($F232&lt;&gt;"", XLOOKUP($F232,Productos!$A$2:$A1001,Productos!AQ$2:AQ1001,"")*$G232,"")</f>
        <v/>
      </c>
      <c r="AY232" s="179" t="str">
        <f t="array" ref="AY232">IF($F232&lt;&gt;"",XLOOKUP($F232,Productos!$A:$A,Productos!AR:AR,"Revisar"),"")</f>
        <v/>
      </c>
      <c r="AZ232" s="179" t="str">
        <f t="array" ref="AZ232">IF($F232&lt;&gt;"", XLOOKUP($F232,Productos!$A$2:$A1001,Productos!AS$2:AS1001,"")*$G232,"")</f>
        <v/>
      </c>
      <c r="BA232" s="179" t="str">
        <f t="array" ref="BA232">IF($F232&lt;&gt;"",XLOOKUP($F232,Productos!$A:$A,Productos!AT:AT,"Revisar"),"")</f>
        <v/>
      </c>
      <c r="BB232" s="179" t="str">
        <f t="array" ref="BB232">IF($F232&lt;&gt;"", XLOOKUP($F232,Productos!$A$2:$A1001,Productos!AU$2:AU1001,"")*$G232,"")</f>
        <v/>
      </c>
      <c r="BC232" s="179" t="str">
        <f t="array" ref="BC232">IF($F232&lt;&gt;"",XLOOKUP($F232,Productos!$A:$A,Productos!AV:AV,"Revisar"),"")</f>
        <v/>
      </c>
      <c r="BD232" s="179" t="str">
        <f t="array" ref="BD232">IF($F232&lt;&gt;"", XLOOKUP($F232,Productos!$A$2:$A1001,Productos!AW$2:AW1001,"")*$G232,"")</f>
        <v/>
      </c>
      <c r="BE232" s="179" t="str">
        <f t="array" ref="BE232">IF($F232&lt;&gt;"",XLOOKUP($F232,Productos!$A:$A,Productos!AX:AX,"Revisar"),"")</f>
        <v/>
      </c>
      <c r="BF232" s="179" t="str">
        <f t="array" ref="BF232">IF($F232&lt;&gt;"", XLOOKUP($F232,Productos!$A$2:$A1001,Productos!AY$2:AY1001,"")*$G232,"")</f>
        <v/>
      </c>
      <c r="BG232" s="179" t="str">
        <f t="array" ref="BG232">IF($F232&lt;&gt;"",XLOOKUP($F232,Productos!$A:$A,Productos!AZ:AZ,"Revisar"),"")</f>
        <v/>
      </c>
      <c r="BH232" s="179" t="str">
        <f t="array" ref="BH232">IF($F232&lt;&gt;"", XLOOKUP($F232,Productos!$A$2:$A1001,Productos!BA$2:BA1001,"")*$G232,"")</f>
        <v/>
      </c>
      <c r="BI232" s="179" t="str">
        <f t="array" ref="BI232">IF($F232&lt;&gt;"",XLOOKUP($F232,Productos!$A:$A,Productos!BB:BB,"Revisar"),"")</f>
        <v/>
      </c>
      <c r="BJ232" s="179" t="str">
        <f t="array" ref="BJ232">IF($F232&lt;&gt;"", XLOOKUP($F232,Productos!$A$2:$A1001,Productos!BC$2:BC1001,"")*$G232,"")</f>
        <v/>
      </c>
      <c r="BK232" s="179" t="str">
        <f t="array" ref="BK232">IF($F232&lt;&gt;"",XLOOKUP($F232,Productos!$A:$A,Productos!BD:BD,"Revisar"),"")</f>
        <v/>
      </c>
      <c r="BL232" s="179" t="str">
        <f t="array" ref="BL232">IF($F232&lt;&gt;"", XLOOKUP($F232,Productos!$A$2:$A1001,Productos!BE$2:BE1001,"")*$G232,"")</f>
        <v/>
      </c>
      <c r="BM232" s="179" t="str">
        <f t="array" ref="BM232">IF($F232&lt;&gt;"",XLOOKUP($F232,Productos!$A:$A,Productos!BF:BF,"Revisar"),"")</f>
        <v/>
      </c>
      <c r="BN232" s="179" t="str">
        <f t="array" ref="BN232">IF($F232&lt;&gt;"", XLOOKUP($F232,Productos!$A$2:$A1001,Productos!BG$2:BG1001,"")*$G232,"")</f>
        <v/>
      </c>
      <c r="BO232" s="179" t="str">
        <f t="array" ref="BO232">IF($F232&lt;&gt;"",XLOOKUP($F232,Productos!$A:$A,Productos!BH:BH,"Revisar"),"")</f>
        <v/>
      </c>
      <c r="BP232" s="179" t="str">
        <f t="array" ref="BP232">IF($F232&lt;&gt;"", XLOOKUP($F232,Productos!$A$2:$A1001,Productos!BI$2:BI1001,"")*$G232,"")</f>
        <v/>
      </c>
      <c r="BQ232" s="179" t="str">
        <f t="array" ref="BQ232">IF($F232&lt;&gt;"",XLOOKUP($F232,Productos!$A:$A,Productos!BJ:BJ,"Revisar"),"")</f>
        <v/>
      </c>
      <c r="BR232" s="179" t="str">
        <f t="array" ref="BR232">IF($F232&lt;&gt;"", XLOOKUP($F232,Productos!$A$2:$A1001,Productos!BK$2:BK1001,"")*$G232,"")</f>
        <v/>
      </c>
      <c r="BS232" s="179" t="str">
        <f t="array" ref="BS232">IF($F232&lt;&gt;"",XLOOKUP($F232,Productos!$A:$A,Productos!BL:BL,"Revisar"),"")</f>
        <v/>
      </c>
      <c r="BT232" s="179" t="str">
        <f t="array" ref="BT232">IF($F232&lt;&gt;"", XLOOKUP($F232,Productos!$A$2:$A1001,Productos!BM$2:BM1001,"")*$G232,"")</f>
        <v/>
      </c>
      <c r="BU232" s="179" t="str">
        <f t="array" ref="BU232">IF($F232&lt;&gt;"",XLOOKUP($F232,Productos!$A:$A,Productos!BN:BN,"Revisar"),"")</f>
        <v/>
      </c>
      <c r="BV232" s="179" t="str">
        <f t="array" ref="BV232">IF($F232&lt;&gt;"", XLOOKUP($F232,Productos!$A$2:$A1001,Productos!BO$2:BO1001,"")*$G232,"")</f>
        <v/>
      </c>
      <c r="BW232" s="179" t="str">
        <f t="array" ref="BW232">IF($F232&lt;&gt;"",XLOOKUP($F232,Productos!$A:$A,Productos!BP:BP,"Revisar"),"")</f>
        <v/>
      </c>
      <c r="BX232" s="179" t="str">
        <f t="array" ref="BX232">IF($F232&lt;&gt;"", XLOOKUP($F232,Productos!$A$2:$A1001,Productos!BQ$2:BQ1001,"")*$G232,"")</f>
        <v/>
      </c>
      <c r="BY232" s="179" t="str">
        <f t="array" ref="BY232">IF($F232&lt;&gt;"",XLOOKUP($F232,Productos!$A:$A,Productos!BR:BR,"Revisar"),"")</f>
        <v/>
      </c>
      <c r="BZ232" s="179" t="str">
        <f t="array" ref="BZ232">IF($F232&lt;&gt;"", XLOOKUP($F232,Productos!$A$2:$A1001,Productos!BS$2:BS1001,"")*$G232,"")</f>
        <v/>
      </c>
    </row>
    <row r="233">
      <c r="A233" s="180"/>
      <c r="B233" s="181"/>
      <c r="C233" s="182"/>
      <c r="D233" s="182"/>
      <c r="E233" s="185"/>
      <c r="F233" s="186"/>
      <c r="G233" s="187"/>
      <c r="H233" s="186"/>
      <c r="I233" s="179" t="str">
        <f t="array" ref="I233">IF($F233&lt;&gt;"",XLOOKUP($F233,Productos!$A:$A,Productos!B:B,"Revisar"),"")</f>
        <v/>
      </c>
      <c r="J233" s="179" t="str">
        <f t="array" ref="J233">IF($F233&lt;&gt;"", XLOOKUP($F233,Productos!$A$2:$A1001,Productos!C$2:C1001,"")*$G233,"")</f>
        <v/>
      </c>
      <c r="K233" s="179" t="str">
        <f t="array" ref="K233">IF($F233&lt;&gt;"",XLOOKUP($F233,Productos!$A:$A,Productos!D:D,"Revisar"),"")</f>
        <v/>
      </c>
      <c r="L233" s="179" t="str">
        <f t="array" ref="L233">IF($F233&lt;&gt;"", XLOOKUP($F233,Productos!$A$2:$A1001,Productos!E$2:E1001,"")*$G233,"")</f>
        <v/>
      </c>
      <c r="M233" s="179" t="str">
        <f t="array" ref="M233">IF($F233&lt;&gt;"",XLOOKUP($F233,Productos!$A:$A,Productos!F:F,"Revisar"),"")</f>
        <v/>
      </c>
      <c r="N233" s="179" t="str">
        <f t="array" ref="N233">IF($F233&lt;&gt;"", XLOOKUP($F233,Productos!$A$2:$A1001,Productos!G$2:G1001,"")*$G233,"")</f>
        <v/>
      </c>
      <c r="O233" s="179" t="str">
        <f t="array" ref="O233">IF($F233&lt;&gt;"",XLOOKUP($F233,Productos!$A:$A,Productos!H:H,"Revisar"),"")</f>
        <v/>
      </c>
      <c r="P233" s="179" t="str">
        <f t="array" ref="P233">IF($F233&lt;&gt;"", XLOOKUP($F233,Productos!$A$2:$A1001,Productos!I$2:I1001,"")*$G233,"")</f>
        <v/>
      </c>
      <c r="Q233" s="179" t="str">
        <f t="array" ref="Q233">IF($F233&lt;&gt;"",XLOOKUP($F233,Productos!$A:$A,Productos!J:J,"Revisar"),"")</f>
        <v/>
      </c>
      <c r="R233" s="179" t="str">
        <f t="array" ref="R233">IF($F233&lt;&gt;"", XLOOKUP($F233,Productos!$A$2:$A1001,Productos!K$2:K1001,"")*$G233,"")</f>
        <v/>
      </c>
      <c r="S233" s="179" t="str">
        <f t="array" ref="S233">IF($F233&lt;&gt;"",XLOOKUP($F233,Productos!$A:$A,Productos!L:L,"Revisar"),"")</f>
        <v/>
      </c>
      <c r="T233" s="179" t="str">
        <f t="array" ref="T233">IF($F233&lt;&gt;"", XLOOKUP($F233,Productos!$A$2:$A1001,Productos!M$2:M1001,"")*$G233,"")</f>
        <v/>
      </c>
      <c r="U233" s="179" t="str">
        <f t="array" ref="U233">IF($F233&lt;&gt;"",XLOOKUP($F233,Productos!$A:$A,Productos!N:N,"Revisar"),"")</f>
        <v/>
      </c>
      <c r="V233" s="179" t="str">
        <f t="array" ref="V233">IF($F233&lt;&gt;"", XLOOKUP($F233,Productos!$A$2:$A1001,Productos!O$2:O1001,"")*$G233,"")</f>
        <v/>
      </c>
      <c r="W233" s="179" t="str">
        <f t="array" ref="W233">IF($F233&lt;&gt;"",XLOOKUP($F233,Productos!$A:$A,Productos!P:P,"Revisar"),"")</f>
        <v/>
      </c>
      <c r="X233" s="179" t="str">
        <f t="array" ref="X233">IF($F233&lt;&gt;"", XLOOKUP($F233,Productos!$A$2:$A1001,Productos!Q$2:Q1001,"")*$G233,"")</f>
        <v/>
      </c>
      <c r="Y233" s="179" t="str">
        <f t="array" ref="Y233">IF($F233&lt;&gt;"",XLOOKUP($F233,Productos!$A:$A,Productos!R:R,"Revisar"),"")</f>
        <v/>
      </c>
      <c r="Z233" s="179" t="str">
        <f t="array" ref="Z233">IF($F233&lt;&gt;"", XLOOKUP($F233,Productos!$A$2:$A1001,Productos!S$2:S1001,"")*$G233,"")</f>
        <v/>
      </c>
      <c r="AA233" s="179" t="str">
        <f t="array" ref="AA233">IF($F233&lt;&gt;"",XLOOKUP($F233,Productos!$A:$A,Productos!T:T,"Revisar"),"")</f>
        <v/>
      </c>
      <c r="AB233" s="179" t="str">
        <f t="array" ref="AB233">IF($F233&lt;&gt;"", XLOOKUP($F233,Productos!$A$2:$A1001,Productos!U$2:U1001,"")*$G233,"")</f>
        <v/>
      </c>
      <c r="AC233" s="179" t="str">
        <f t="array" ref="AC233">IF($F233&lt;&gt;"",XLOOKUP($F233,Productos!$A:$A,Productos!V:V,"Revisar"),"")</f>
        <v/>
      </c>
      <c r="AD233" s="179" t="str">
        <f t="array" ref="AD233">IF($F233&lt;&gt;"", XLOOKUP($F233,Productos!$A$2:$A1001,Productos!W$2:W1001,"")*$G233,"")</f>
        <v/>
      </c>
      <c r="AE233" s="179" t="str">
        <f t="array" ref="AE233">IF($F233&lt;&gt;"",XLOOKUP($F233,Productos!$A:$A,Productos!X:X,"Revisar"),"")</f>
        <v/>
      </c>
      <c r="AF233" s="179" t="str">
        <f t="array" ref="AF233">IF($F233&lt;&gt;"", XLOOKUP($F233,Productos!$A$2:$A1001,Productos!Y$2:Y1001,"")*$G233,"")</f>
        <v/>
      </c>
      <c r="AG233" s="179" t="str">
        <f t="array" ref="AG233">IF($F233&lt;&gt;"",XLOOKUP($F233,Productos!$A:$A,Productos!Z:Z,"Revisar"),"")</f>
        <v/>
      </c>
      <c r="AH233" s="179" t="str">
        <f t="array" ref="AH233">IF($F233&lt;&gt;"", XLOOKUP($F233,Productos!$A$2:$A1001,Productos!AA$2:AA1001,"")*$G233,"")</f>
        <v/>
      </c>
      <c r="AI233" s="179" t="str">
        <f t="array" ref="AI233">IF($F233&lt;&gt;"",XLOOKUP($F233,Productos!$A:$A,Productos!AB:AB,"Revisar"),"")</f>
        <v/>
      </c>
      <c r="AJ233" s="179" t="str">
        <f t="array" ref="AJ233">IF($F233&lt;&gt;"", XLOOKUP($F233,Productos!$A$2:$A1001,Productos!AC$2:AC1001,"")*$G233,"")</f>
        <v/>
      </c>
      <c r="AK233" s="179" t="str">
        <f t="array" ref="AK233">IF($F233&lt;&gt;"",XLOOKUP($F233,Productos!$A:$A,Productos!AD:AD,"Revisar"),"")</f>
        <v/>
      </c>
      <c r="AL233" s="179" t="str">
        <f t="array" ref="AL233">IF($F233&lt;&gt;"", XLOOKUP($F233,Productos!$A$2:$A1001,Productos!AE$2:AE1001,"")*$G233,"")</f>
        <v/>
      </c>
      <c r="AM233" s="179" t="str">
        <f t="array" ref="AM233">IF($F233&lt;&gt;"",XLOOKUP($F233,Productos!$A:$A,Productos!AF:AF,"Revisar"),"")</f>
        <v/>
      </c>
      <c r="AN233" s="179" t="str">
        <f t="array" ref="AN233">IF($F233&lt;&gt;"", XLOOKUP($F233,Productos!$A$2:$A1001,Productos!AG$2:AG1001,"")*$G233,"")</f>
        <v/>
      </c>
      <c r="AO233" s="179" t="str">
        <f t="array" ref="AO233">IF($F233&lt;&gt;"",XLOOKUP($F233,Productos!$A:$A,Productos!AH:AH,"Revisar"),"")</f>
        <v/>
      </c>
      <c r="AP233" s="179" t="str">
        <f t="array" ref="AP233">IF($F233&lt;&gt;"", XLOOKUP($F233,Productos!$A$2:$A1001,Productos!AI$2:AI1001,"")*$G233,"")</f>
        <v/>
      </c>
      <c r="AQ233" s="179" t="str">
        <f t="array" ref="AQ233">IF($F233&lt;&gt;"",XLOOKUP($F233,Productos!$A:$A,Productos!AJ:AJ,"Revisar"),"")</f>
        <v/>
      </c>
      <c r="AR233" s="179" t="str">
        <f t="array" ref="AR233">IF($F233&lt;&gt;"", XLOOKUP($F233,Productos!$A$2:$A1001,Productos!AK$2:AK1001,"")*$G233,"")</f>
        <v/>
      </c>
      <c r="AS233" s="179" t="str">
        <f t="array" ref="AS233">IF($F233&lt;&gt;"",XLOOKUP($F233,Productos!$A:$A,Productos!AL:AL,"Revisar"),"")</f>
        <v/>
      </c>
      <c r="AT233" s="179" t="str">
        <f t="array" ref="AT233">IF($F233&lt;&gt;"", XLOOKUP($F233,Productos!$A$2:$A1001,Productos!AM$2:AM1001,"")*$G233,"")</f>
        <v/>
      </c>
      <c r="AU233" s="179" t="str">
        <f t="array" ref="AU233">IF($F233&lt;&gt;"",XLOOKUP($F233,Productos!$A:$A,Productos!AN:AN,"Revisar"),"")</f>
        <v/>
      </c>
      <c r="AV233" s="179" t="str">
        <f t="array" ref="AV233">IF($F233&lt;&gt;"", XLOOKUP($F233,Productos!$A$2:$A1001,Productos!AO$2:AO1001,"")*$G233,"")</f>
        <v/>
      </c>
      <c r="AW233" s="179" t="str">
        <f t="array" ref="AW233">IF($F233&lt;&gt;"",XLOOKUP($F233,Productos!$A:$A,Productos!AP:AP,"Revisar"),"")</f>
        <v/>
      </c>
      <c r="AX233" s="179" t="str">
        <f t="array" ref="AX233">IF($F233&lt;&gt;"", XLOOKUP($F233,Productos!$A$2:$A1001,Productos!AQ$2:AQ1001,"")*$G233,"")</f>
        <v/>
      </c>
      <c r="AY233" s="179" t="str">
        <f t="array" ref="AY233">IF($F233&lt;&gt;"",XLOOKUP($F233,Productos!$A:$A,Productos!AR:AR,"Revisar"),"")</f>
        <v/>
      </c>
      <c r="AZ233" s="179" t="str">
        <f t="array" ref="AZ233">IF($F233&lt;&gt;"", XLOOKUP($F233,Productos!$A$2:$A1001,Productos!AS$2:AS1001,"")*$G233,"")</f>
        <v/>
      </c>
      <c r="BA233" s="179" t="str">
        <f t="array" ref="BA233">IF($F233&lt;&gt;"",XLOOKUP($F233,Productos!$A:$A,Productos!AT:AT,"Revisar"),"")</f>
        <v/>
      </c>
      <c r="BB233" s="179" t="str">
        <f t="array" ref="BB233">IF($F233&lt;&gt;"", XLOOKUP($F233,Productos!$A$2:$A1001,Productos!AU$2:AU1001,"")*$G233,"")</f>
        <v/>
      </c>
      <c r="BC233" s="179" t="str">
        <f t="array" ref="BC233">IF($F233&lt;&gt;"",XLOOKUP($F233,Productos!$A:$A,Productos!AV:AV,"Revisar"),"")</f>
        <v/>
      </c>
      <c r="BD233" s="179" t="str">
        <f t="array" ref="BD233">IF($F233&lt;&gt;"", XLOOKUP($F233,Productos!$A$2:$A1001,Productos!AW$2:AW1001,"")*$G233,"")</f>
        <v/>
      </c>
      <c r="BE233" s="179" t="str">
        <f t="array" ref="BE233">IF($F233&lt;&gt;"",XLOOKUP($F233,Productos!$A:$A,Productos!AX:AX,"Revisar"),"")</f>
        <v/>
      </c>
      <c r="BF233" s="179" t="str">
        <f t="array" ref="BF233">IF($F233&lt;&gt;"", XLOOKUP($F233,Productos!$A$2:$A1001,Productos!AY$2:AY1001,"")*$G233,"")</f>
        <v/>
      </c>
      <c r="BG233" s="179" t="str">
        <f t="array" ref="BG233">IF($F233&lt;&gt;"",XLOOKUP($F233,Productos!$A:$A,Productos!AZ:AZ,"Revisar"),"")</f>
        <v/>
      </c>
      <c r="BH233" s="179" t="str">
        <f t="array" ref="BH233">IF($F233&lt;&gt;"", XLOOKUP($F233,Productos!$A$2:$A1001,Productos!BA$2:BA1001,"")*$G233,"")</f>
        <v/>
      </c>
      <c r="BI233" s="179" t="str">
        <f t="array" ref="BI233">IF($F233&lt;&gt;"",XLOOKUP($F233,Productos!$A:$A,Productos!BB:BB,"Revisar"),"")</f>
        <v/>
      </c>
      <c r="BJ233" s="179" t="str">
        <f t="array" ref="BJ233">IF($F233&lt;&gt;"", XLOOKUP($F233,Productos!$A$2:$A1001,Productos!BC$2:BC1001,"")*$G233,"")</f>
        <v/>
      </c>
      <c r="BK233" s="179" t="str">
        <f t="array" ref="BK233">IF($F233&lt;&gt;"",XLOOKUP($F233,Productos!$A:$A,Productos!BD:BD,"Revisar"),"")</f>
        <v/>
      </c>
      <c r="BL233" s="179" t="str">
        <f t="array" ref="BL233">IF($F233&lt;&gt;"", XLOOKUP($F233,Productos!$A$2:$A1001,Productos!BE$2:BE1001,"")*$G233,"")</f>
        <v/>
      </c>
      <c r="BM233" s="179" t="str">
        <f t="array" ref="BM233">IF($F233&lt;&gt;"",XLOOKUP($F233,Productos!$A:$A,Productos!BF:BF,"Revisar"),"")</f>
        <v/>
      </c>
      <c r="BN233" s="179" t="str">
        <f t="array" ref="BN233">IF($F233&lt;&gt;"", XLOOKUP($F233,Productos!$A$2:$A1001,Productos!BG$2:BG1001,"")*$G233,"")</f>
        <v/>
      </c>
      <c r="BO233" s="179" t="str">
        <f t="array" ref="BO233">IF($F233&lt;&gt;"",XLOOKUP($F233,Productos!$A:$A,Productos!BH:BH,"Revisar"),"")</f>
        <v/>
      </c>
      <c r="BP233" s="179" t="str">
        <f t="array" ref="BP233">IF($F233&lt;&gt;"", XLOOKUP($F233,Productos!$A$2:$A1001,Productos!BI$2:BI1001,"")*$G233,"")</f>
        <v/>
      </c>
      <c r="BQ233" s="179" t="str">
        <f t="array" ref="BQ233">IF($F233&lt;&gt;"",XLOOKUP($F233,Productos!$A:$A,Productos!BJ:BJ,"Revisar"),"")</f>
        <v/>
      </c>
      <c r="BR233" s="179" t="str">
        <f t="array" ref="BR233">IF($F233&lt;&gt;"", XLOOKUP($F233,Productos!$A$2:$A1001,Productos!BK$2:BK1001,"")*$G233,"")</f>
        <v/>
      </c>
      <c r="BS233" s="179" t="str">
        <f t="array" ref="BS233">IF($F233&lt;&gt;"",XLOOKUP($F233,Productos!$A:$A,Productos!BL:BL,"Revisar"),"")</f>
        <v/>
      </c>
      <c r="BT233" s="179" t="str">
        <f t="array" ref="BT233">IF($F233&lt;&gt;"", XLOOKUP($F233,Productos!$A$2:$A1001,Productos!BM$2:BM1001,"")*$G233,"")</f>
        <v/>
      </c>
      <c r="BU233" s="179" t="str">
        <f t="array" ref="BU233">IF($F233&lt;&gt;"",XLOOKUP($F233,Productos!$A:$A,Productos!BN:BN,"Revisar"),"")</f>
        <v/>
      </c>
      <c r="BV233" s="179" t="str">
        <f t="array" ref="BV233">IF($F233&lt;&gt;"", XLOOKUP($F233,Productos!$A$2:$A1001,Productos!BO$2:BO1001,"")*$G233,"")</f>
        <v/>
      </c>
      <c r="BW233" s="179" t="str">
        <f t="array" ref="BW233">IF($F233&lt;&gt;"",XLOOKUP($F233,Productos!$A:$A,Productos!BP:BP,"Revisar"),"")</f>
        <v/>
      </c>
      <c r="BX233" s="179" t="str">
        <f t="array" ref="BX233">IF($F233&lt;&gt;"", XLOOKUP($F233,Productos!$A$2:$A1001,Productos!BQ$2:BQ1001,"")*$G233,"")</f>
        <v/>
      </c>
      <c r="BY233" s="179" t="str">
        <f t="array" ref="BY233">IF($F233&lt;&gt;"",XLOOKUP($F233,Productos!$A:$A,Productos!BR:BR,"Revisar"),"")</f>
        <v/>
      </c>
      <c r="BZ233" s="179" t="str">
        <f t="array" ref="BZ233">IF($F233&lt;&gt;"", XLOOKUP($F233,Productos!$A$2:$A1001,Productos!BS$2:BS1001,"")*$G233,"")</f>
        <v/>
      </c>
    </row>
    <row r="234">
      <c r="A234" s="180"/>
      <c r="B234" s="181"/>
      <c r="C234" s="182"/>
      <c r="D234" s="182"/>
      <c r="E234" s="185"/>
      <c r="F234" s="186"/>
      <c r="G234" s="187"/>
      <c r="H234" s="186"/>
      <c r="I234" s="179" t="str">
        <f t="array" ref="I234">IF($F234&lt;&gt;"",XLOOKUP($F234,Productos!$A:$A,Productos!B:B,"Revisar"),"")</f>
        <v/>
      </c>
      <c r="J234" s="179" t="str">
        <f t="array" ref="J234">IF($F234&lt;&gt;"", XLOOKUP($F234,Productos!$A$2:$A1001,Productos!C$2:C1001,"")*$G234,"")</f>
        <v/>
      </c>
      <c r="K234" s="179" t="str">
        <f t="array" ref="K234">IF($F234&lt;&gt;"",XLOOKUP($F234,Productos!$A:$A,Productos!D:D,"Revisar"),"")</f>
        <v/>
      </c>
      <c r="L234" s="179" t="str">
        <f t="array" ref="L234">IF($F234&lt;&gt;"", XLOOKUP($F234,Productos!$A$2:$A1001,Productos!E$2:E1001,"")*$G234,"")</f>
        <v/>
      </c>
      <c r="M234" s="179" t="str">
        <f t="array" ref="M234">IF($F234&lt;&gt;"",XLOOKUP($F234,Productos!$A:$A,Productos!F:F,"Revisar"),"")</f>
        <v/>
      </c>
      <c r="N234" s="179" t="str">
        <f t="array" ref="N234">IF($F234&lt;&gt;"", XLOOKUP($F234,Productos!$A$2:$A1001,Productos!G$2:G1001,"")*$G234,"")</f>
        <v/>
      </c>
      <c r="O234" s="179" t="str">
        <f t="array" ref="O234">IF($F234&lt;&gt;"",XLOOKUP($F234,Productos!$A:$A,Productos!H:H,"Revisar"),"")</f>
        <v/>
      </c>
      <c r="P234" s="179" t="str">
        <f t="array" ref="P234">IF($F234&lt;&gt;"", XLOOKUP($F234,Productos!$A$2:$A1001,Productos!I$2:I1001,"")*$G234,"")</f>
        <v/>
      </c>
      <c r="Q234" s="179" t="str">
        <f t="array" ref="Q234">IF($F234&lt;&gt;"",XLOOKUP($F234,Productos!$A:$A,Productos!J:J,"Revisar"),"")</f>
        <v/>
      </c>
      <c r="R234" s="179" t="str">
        <f t="array" ref="R234">IF($F234&lt;&gt;"", XLOOKUP($F234,Productos!$A$2:$A1001,Productos!K$2:K1001,"")*$G234,"")</f>
        <v/>
      </c>
      <c r="S234" s="179" t="str">
        <f t="array" ref="S234">IF($F234&lt;&gt;"",XLOOKUP($F234,Productos!$A:$A,Productos!L:L,"Revisar"),"")</f>
        <v/>
      </c>
      <c r="T234" s="179" t="str">
        <f t="array" ref="T234">IF($F234&lt;&gt;"", XLOOKUP($F234,Productos!$A$2:$A1001,Productos!M$2:M1001,"")*$G234,"")</f>
        <v/>
      </c>
      <c r="U234" s="179" t="str">
        <f t="array" ref="U234">IF($F234&lt;&gt;"",XLOOKUP($F234,Productos!$A:$A,Productos!N:N,"Revisar"),"")</f>
        <v/>
      </c>
      <c r="V234" s="179" t="str">
        <f t="array" ref="V234">IF($F234&lt;&gt;"", XLOOKUP($F234,Productos!$A$2:$A1001,Productos!O$2:O1001,"")*$G234,"")</f>
        <v/>
      </c>
      <c r="W234" s="179" t="str">
        <f t="array" ref="W234">IF($F234&lt;&gt;"",XLOOKUP($F234,Productos!$A:$A,Productos!P:P,"Revisar"),"")</f>
        <v/>
      </c>
      <c r="X234" s="179" t="str">
        <f t="array" ref="X234">IF($F234&lt;&gt;"", XLOOKUP($F234,Productos!$A$2:$A1001,Productos!Q$2:Q1001,"")*$G234,"")</f>
        <v/>
      </c>
      <c r="Y234" s="179" t="str">
        <f t="array" ref="Y234">IF($F234&lt;&gt;"",XLOOKUP($F234,Productos!$A:$A,Productos!R:R,"Revisar"),"")</f>
        <v/>
      </c>
      <c r="Z234" s="179" t="str">
        <f t="array" ref="Z234">IF($F234&lt;&gt;"", XLOOKUP($F234,Productos!$A$2:$A1001,Productos!S$2:S1001,"")*$G234,"")</f>
        <v/>
      </c>
      <c r="AA234" s="179" t="str">
        <f t="array" ref="AA234">IF($F234&lt;&gt;"",XLOOKUP($F234,Productos!$A:$A,Productos!T:T,"Revisar"),"")</f>
        <v/>
      </c>
      <c r="AB234" s="179" t="str">
        <f t="array" ref="AB234">IF($F234&lt;&gt;"", XLOOKUP($F234,Productos!$A$2:$A1001,Productos!U$2:U1001,"")*$G234,"")</f>
        <v/>
      </c>
      <c r="AC234" s="179" t="str">
        <f t="array" ref="AC234">IF($F234&lt;&gt;"",XLOOKUP($F234,Productos!$A:$A,Productos!V:V,"Revisar"),"")</f>
        <v/>
      </c>
      <c r="AD234" s="179" t="str">
        <f t="array" ref="AD234">IF($F234&lt;&gt;"", XLOOKUP($F234,Productos!$A$2:$A1001,Productos!W$2:W1001,"")*$G234,"")</f>
        <v/>
      </c>
      <c r="AE234" s="179" t="str">
        <f t="array" ref="AE234">IF($F234&lt;&gt;"",XLOOKUP($F234,Productos!$A:$A,Productos!X:X,"Revisar"),"")</f>
        <v/>
      </c>
      <c r="AF234" s="179" t="str">
        <f t="array" ref="AF234">IF($F234&lt;&gt;"", XLOOKUP($F234,Productos!$A$2:$A1001,Productos!Y$2:Y1001,"")*$G234,"")</f>
        <v/>
      </c>
      <c r="AG234" s="179" t="str">
        <f t="array" ref="AG234">IF($F234&lt;&gt;"",XLOOKUP($F234,Productos!$A:$A,Productos!Z:Z,"Revisar"),"")</f>
        <v/>
      </c>
      <c r="AH234" s="179" t="str">
        <f t="array" ref="AH234">IF($F234&lt;&gt;"", XLOOKUP($F234,Productos!$A$2:$A1001,Productos!AA$2:AA1001,"")*$G234,"")</f>
        <v/>
      </c>
      <c r="AI234" s="179" t="str">
        <f t="array" ref="AI234">IF($F234&lt;&gt;"",XLOOKUP($F234,Productos!$A:$A,Productos!AB:AB,"Revisar"),"")</f>
        <v/>
      </c>
      <c r="AJ234" s="179" t="str">
        <f t="array" ref="AJ234">IF($F234&lt;&gt;"", XLOOKUP($F234,Productos!$A$2:$A1001,Productos!AC$2:AC1001,"")*$G234,"")</f>
        <v/>
      </c>
      <c r="AK234" s="179" t="str">
        <f t="array" ref="AK234">IF($F234&lt;&gt;"",XLOOKUP($F234,Productos!$A:$A,Productos!AD:AD,"Revisar"),"")</f>
        <v/>
      </c>
      <c r="AL234" s="179" t="str">
        <f t="array" ref="AL234">IF($F234&lt;&gt;"", XLOOKUP($F234,Productos!$A$2:$A1001,Productos!AE$2:AE1001,"")*$G234,"")</f>
        <v/>
      </c>
      <c r="AM234" s="179" t="str">
        <f t="array" ref="AM234">IF($F234&lt;&gt;"",XLOOKUP($F234,Productos!$A:$A,Productos!AF:AF,"Revisar"),"")</f>
        <v/>
      </c>
      <c r="AN234" s="179" t="str">
        <f t="array" ref="AN234">IF($F234&lt;&gt;"", XLOOKUP($F234,Productos!$A$2:$A1001,Productos!AG$2:AG1001,"")*$G234,"")</f>
        <v/>
      </c>
      <c r="AO234" s="179" t="str">
        <f t="array" ref="AO234">IF($F234&lt;&gt;"",XLOOKUP($F234,Productos!$A:$A,Productos!AH:AH,"Revisar"),"")</f>
        <v/>
      </c>
      <c r="AP234" s="179" t="str">
        <f t="array" ref="AP234">IF($F234&lt;&gt;"", XLOOKUP($F234,Productos!$A$2:$A1001,Productos!AI$2:AI1001,"")*$G234,"")</f>
        <v/>
      </c>
      <c r="AQ234" s="179" t="str">
        <f t="array" ref="AQ234">IF($F234&lt;&gt;"",XLOOKUP($F234,Productos!$A:$A,Productos!AJ:AJ,"Revisar"),"")</f>
        <v/>
      </c>
      <c r="AR234" s="179" t="str">
        <f t="array" ref="AR234">IF($F234&lt;&gt;"", XLOOKUP($F234,Productos!$A$2:$A1001,Productos!AK$2:AK1001,"")*$G234,"")</f>
        <v/>
      </c>
      <c r="AS234" s="179" t="str">
        <f t="array" ref="AS234">IF($F234&lt;&gt;"",XLOOKUP($F234,Productos!$A:$A,Productos!AL:AL,"Revisar"),"")</f>
        <v/>
      </c>
      <c r="AT234" s="179" t="str">
        <f t="array" ref="AT234">IF($F234&lt;&gt;"", XLOOKUP($F234,Productos!$A$2:$A1001,Productos!AM$2:AM1001,"")*$G234,"")</f>
        <v/>
      </c>
      <c r="AU234" s="179" t="str">
        <f t="array" ref="AU234">IF($F234&lt;&gt;"",XLOOKUP($F234,Productos!$A:$A,Productos!AN:AN,"Revisar"),"")</f>
        <v/>
      </c>
      <c r="AV234" s="179" t="str">
        <f t="array" ref="AV234">IF($F234&lt;&gt;"", XLOOKUP($F234,Productos!$A$2:$A1001,Productos!AO$2:AO1001,"")*$G234,"")</f>
        <v/>
      </c>
      <c r="AW234" s="179" t="str">
        <f t="array" ref="AW234">IF($F234&lt;&gt;"",XLOOKUP($F234,Productos!$A:$A,Productos!AP:AP,"Revisar"),"")</f>
        <v/>
      </c>
      <c r="AX234" s="179" t="str">
        <f t="array" ref="AX234">IF($F234&lt;&gt;"", XLOOKUP($F234,Productos!$A$2:$A1001,Productos!AQ$2:AQ1001,"")*$G234,"")</f>
        <v/>
      </c>
      <c r="AY234" s="179" t="str">
        <f t="array" ref="AY234">IF($F234&lt;&gt;"",XLOOKUP($F234,Productos!$A:$A,Productos!AR:AR,"Revisar"),"")</f>
        <v/>
      </c>
      <c r="AZ234" s="179" t="str">
        <f t="array" ref="AZ234">IF($F234&lt;&gt;"", XLOOKUP($F234,Productos!$A$2:$A1001,Productos!AS$2:AS1001,"")*$G234,"")</f>
        <v/>
      </c>
      <c r="BA234" s="179" t="str">
        <f t="array" ref="BA234">IF($F234&lt;&gt;"",XLOOKUP($F234,Productos!$A:$A,Productos!AT:AT,"Revisar"),"")</f>
        <v/>
      </c>
      <c r="BB234" s="179" t="str">
        <f t="array" ref="BB234">IF($F234&lt;&gt;"", XLOOKUP($F234,Productos!$A$2:$A1001,Productos!AU$2:AU1001,"")*$G234,"")</f>
        <v/>
      </c>
      <c r="BC234" s="179" t="str">
        <f t="array" ref="BC234">IF($F234&lt;&gt;"",XLOOKUP($F234,Productos!$A:$A,Productos!AV:AV,"Revisar"),"")</f>
        <v/>
      </c>
      <c r="BD234" s="179" t="str">
        <f t="array" ref="BD234">IF($F234&lt;&gt;"", XLOOKUP($F234,Productos!$A$2:$A1001,Productos!AW$2:AW1001,"")*$G234,"")</f>
        <v/>
      </c>
      <c r="BE234" s="179" t="str">
        <f t="array" ref="BE234">IF($F234&lt;&gt;"",XLOOKUP($F234,Productos!$A:$A,Productos!AX:AX,"Revisar"),"")</f>
        <v/>
      </c>
      <c r="BF234" s="179" t="str">
        <f t="array" ref="BF234">IF($F234&lt;&gt;"", XLOOKUP($F234,Productos!$A$2:$A1001,Productos!AY$2:AY1001,"")*$G234,"")</f>
        <v/>
      </c>
      <c r="BG234" s="179" t="str">
        <f t="array" ref="BG234">IF($F234&lt;&gt;"",XLOOKUP($F234,Productos!$A:$A,Productos!AZ:AZ,"Revisar"),"")</f>
        <v/>
      </c>
      <c r="BH234" s="179" t="str">
        <f t="array" ref="BH234">IF($F234&lt;&gt;"", XLOOKUP($F234,Productos!$A$2:$A1001,Productos!BA$2:BA1001,"")*$G234,"")</f>
        <v/>
      </c>
      <c r="BI234" s="179" t="str">
        <f t="array" ref="BI234">IF($F234&lt;&gt;"",XLOOKUP($F234,Productos!$A:$A,Productos!BB:BB,"Revisar"),"")</f>
        <v/>
      </c>
      <c r="BJ234" s="179" t="str">
        <f t="array" ref="BJ234">IF($F234&lt;&gt;"", XLOOKUP($F234,Productos!$A$2:$A1001,Productos!BC$2:BC1001,"")*$G234,"")</f>
        <v/>
      </c>
      <c r="BK234" s="179" t="str">
        <f t="array" ref="BK234">IF($F234&lt;&gt;"",XLOOKUP($F234,Productos!$A:$A,Productos!BD:BD,"Revisar"),"")</f>
        <v/>
      </c>
      <c r="BL234" s="179" t="str">
        <f t="array" ref="BL234">IF($F234&lt;&gt;"", XLOOKUP($F234,Productos!$A$2:$A1001,Productos!BE$2:BE1001,"")*$G234,"")</f>
        <v/>
      </c>
      <c r="BM234" s="179" t="str">
        <f t="array" ref="BM234">IF($F234&lt;&gt;"",XLOOKUP($F234,Productos!$A:$A,Productos!BF:BF,"Revisar"),"")</f>
        <v/>
      </c>
      <c r="BN234" s="179" t="str">
        <f t="array" ref="BN234">IF($F234&lt;&gt;"", XLOOKUP($F234,Productos!$A$2:$A1001,Productos!BG$2:BG1001,"")*$G234,"")</f>
        <v/>
      </c>
      <c r="BO234" s="179" t="str">
        <f t="array" ref="BO234">IF($F234&lt;&gt;"",XLOOKUP($F234,Productos!$A:$A,Productos!BH:BH,"Revisar"),"")</f>
        <v/>
      </c>
      <c r="BP234" s="179" t="str">
        <f t="array" ref="BP234">IF($F234&lt;&gt;"", XLOOKUP($F234,Productos!$A$2:$A1001,Productos!BI$2:BI1001,"")*$G234,"")</f>
        <v/>
      </c>
      <c r="BQ234" s="179" t="str">
        <f t="array" ref="BQ234">IF($F234&lt;&gt;"",XLOOKUP($F234,Productos!$A:$A,Productos!BJ:BJ,"Revisar"),"")</f>
        <v/>
      </c>
      <c r="BR234" s="179" t="str">
        <f t="array" ref="BR234">IF($F234&lt;&gt;"", XLOOKUP($F234,Productos!$A$2:$A1001,Productos!BK$2:BK1001,"")*$G234,"")</f>
        <v/>
      </c>
      <c r="BS234" s="179" t="str">
        <f t="array" ref="BS234">IF($F234&lt;&gt;"",XLOOKUP($F234,Productos!$A:$A,Productos!BL:BL,"Revisar"),"")</f>
        <v/>
      </c>
      <c r="BT234" s="179" t="str">
        <f t="array" ref="BT234">IF($F234&lt;&gt;"", XLOOKUP($F234,Productos!$A$2:$A1001,Productos!BM$2:BM1001,"")*$G234,"")</f>
        <v/>
      </c>
      <c r="BU234" s="179" t="str">
        <f t="array" ref="BU234">IF($F234&lt;&gt;"",XLOOKUP($F234,Productos!$A:$A,Productos!BN:BN,"Revisar"),"")</f>
        <v/>
      </c>
      <c r="BV234" s="179" t="str">
        <f t="array" ref="BV234">IF($F234&lt;&gt;"", XLOOKUP($F234,Productos!$A$2:$A1001,Productos!BO$2:BO1001,"")*$G234,"")</f>
        <v/>
      </c>
      <c r="BW234" s="179" t="str">
        <f t="array" ref="BW234">IF($F234&lt;&gt;"",XLOOKUP($F234,Productos!$A:$A,Productos!BP:BP,"Revisar"),"")</f>
        <v/>
      </c>
      <c r="BX234" s="179" t="str">
        <f t="array" ref="BX234">IF($F234&lt;&gt;"", XLOOKUP($F234,Productos!$A$2:$A1001,Productos!BQ$2:BQ1001,"")*$G234,"")</f>
        <v/>
      </c>
      <c r="BY234" s="179" t="str">
        <f t="array" ref="BY234">IF($F234&lt;&gt;"",XLOOKUP($F234,Productos!$A:$A,Productos!BR:BR,"Revisar"),"")</f>
        <v/>
      </c>
      <c r="BZ234" s="179" t="str">
        <f t="array" ref="BZ234">IF($F234&lt;&gt;"", XLOOKUP($F234,Productos!$A$2:$A1001,Productos!BS$2:BS1001,"")*$G234,"")</f>
        <v/>
      </c>
    </row>
    <row r="235">
      <c r="A235" s="180"/>
      <c r="B235" s="181"/>
      <c r="C235" s="182"/>
      <c r="D235" s="182"/>
      <c r="E235" s="185"/>
      <c r="F235" s="186"/>
      <c r="G235" s="187"/>
      <c r="H235" s="186"/>
      <c r="I235" s="179" t="str">
        <f t="array" ref="I235">IF($F235&lt;&gt;"",XLOOKUP($F235,Productos!$A:$A,Productos!B:B,"Revisar"),"")</f>
        <v/>
      </c>
      <c r="J235" s="179" t="str">
        <f t="array" ref="J235">IF($F235&lt;&gt;"", XLOOKUP($F235,Productos!$A$2:$A1001,Productos!C$2:C1001,"")*$G235,"")</f>
        <v/>
      </c>
      <c r="K235" s="179" t="str">
        <f t="array" ref="K235">IF($F235&lt;&gt;"",XLOOKUP($F235,Productos!$A:$A,Productos!D:D,"Revisar"),"")</f>
        <v/>
      </c>
      <c r="L235" s="179" t="str">
        <f t="array" ref="L235">IF($F235&lt;&gt;"", XLOOKUP($F235,Productos!$A$2:$A1001,Productos!E$2:E1001,"")*$G235,"")</f>
        <v/>
      </c>
      <c r="M235" s="179" t="str">
        <f t="array" ref="M235">IF($F235&lt;&gt;"",XLOOKUP($F235,Productos!$A:$A,Productos!F:F,"Revisar"),"")</f>
        <v/>
      </c>
      <c r="N235" s="179" t="str">
        <f t="array" ref="N235">IF($F235&lt;&gt;"", XLOOKUP($F235,Productos!$A$2:$A1001,Productos!G$2:G1001,"")*$G235,"")</f>
        <v/>
      </c>
      <c r="O235" s="179" t="str">
        <f t="array" ref="O235">IF($F235&lt;&gt;"",XLOOKUP($F235,Productos!$A:$A,Productos!H:H,"Revisar"),"")</f>
        <v/>
      </c>
      <c r="P235" s="179" t="str">
        <f t="array" ref="P235">IF($F235&lt;&gt;"", XLOOKUP($F235,Productos!$A$2:$A1001,Productos!I$2:I1001,"")*$G235,"")</f>
        <v/>
      </c>
      <c r="Q235" s="179" t="str">
        <f t="array" ref="Q235">IF($F235&lt;&gt;"",XLOOKUP($F235,Productos!$A:$A,Productos!J:J,"Revisar"),"")</f>
        <v/>
      </c>
      <c r="R235" s="179" t="str">
        <f t="array" ref="R235">IF($F235&lt;&gt;"", XLOOKUP($F235,Productos!$A$2:$A1001,Productos!K$2:K1001,"")*$G235,"")</f>
        <v/>
      </c>
      <c r="S235" s="179" t="str">
        <f t="array" ref="S235">IF($F235&lt;&gt;"",XLOOKUP($F235,Productos!$A:$A,Productos!L:L,"Revisar"),"")</f>
        <v/>
      </c>
      <c r="T235" s="179" t="str">
        <f t="array" ref="T235">IF($F235&lt;&gt;"", XLOOKUP($F235,Productos!$A$2:$A1001,Productos!M$2:M1001,"")*$G235,"")</f>
        <v/>
      </c>
      <c r="U235" s="179" t="str">
        <f t="array" ref="U235">IF($F235&lt;&gt;"",XLOOKUP($F235,Productos!$A:$A,Productos!N:N,"Revisar"),"")</f>
        <v/>
      </c>
      <c r="V235" s="179" t="str">
        <f t="array" ref="V235">IF($F235&lt;&gt;"", XLOOKUP($F235,Productos!$A$2:$A1001,Productos!O$2:O1001,"")*$G235,"")</f>
        <v/>
      </c>
      <c r="W235" s="179" t="str">
        <f t="array" ref="W235">IF($F235&lt;&gt;"",XLOOKUP($F235,Productos!$A:$A,Productos!P:P,"Revisar"),"")</f>
        <v/>
      </c>
      <c r="X235" s="179" t="str">
        <f t="array" ref="X235">IF($F235&lt;&gt;"", XLOOKUP($F235,Productos!$A$2:$A1001,Productos!Q$2:Q1001,"")*$G235,"")</f>
        <v/>
      </c>
      <c r="Y235" s="179" t="str">
        <f t="array" ref="Y235">IF($F235&lt;&gt;"",XLOOKUP($F235,Productos!$A:$A,Productos!R:R,"Revisar"),"")</f>
        <v/>
      </c>
      <c r="Z235" s="179" t="str">
        <f t="array" ref="Z235">IF($F235&lt;&gt;"", XLOOKUP($F235,Productos!$A$2:$A1001,Productos!S$2:S1001,"")*$G235,"")</f>
        <v/>
      </c>
      <c r="AA235" s="179" t="str">
        <f t="array" ref="AA235">IF($F235&lt;&gt;"",XLOOKUP($F235,Productos!$A:$A,Productos!T:T,"Revisar"),"")</f>
        <v/>
      </c>
      <c r="AB235" s="179" t="str">
        <f t="array" ref="AB235">IF($F235&lt;&gt;"", XLOOKUP($F235,Productos!$A$2:$A1001,Productos!U$2:U1001,"")*$G235,"")</f>
        <v/>
      </c>
      <c r="AC235" s="179" t="str">
        <f t="array" ref="AC235">IF($F235&lt;&gt;"",XLOOKUP($F235,Productos!$A:$A,Productos!V:V,"Revisar"),"")</f>
        <v/>
      </c>
      <c r="AD235" s="179" t="str">
        <f t="array" ref="AD235">IF($F235&lt;&gt;"", XLOOKUP($F235,Productos!$A$2:$A1001,Productos!W$2:W1001,"")*$G235,"")</f>
        <v/>
      </c>
      <c r="AE235" s="179" t="str">
        <f t="array" ref="AE235">IF($F235&lt;&gt;"",XLOOKUP($F235,Productos!$A:$A,Productos!X:X,"Revisar"),"")</f>
        <v/>
      </c>
      <c r="AF235" s="179" t="str">
        <f t="array" ref="AF235">IF($F235&lt;&gt;"", XLOOKUP($F235,Productos!$A$2:$A1001,Productos!Y$2:Y1001,"")*$G235,"")</f>
        <v/>
      </c>
      <c r="AG235" s="179" t="str">
        <f t="array" ref="AG235">IF($F235&lt;&gt;"",XLOOKUP($F235,Productos!$A:$A,Productos!Z:Z,"Revisar"),"")</f>
        <v/>
      </c>
      <c r="AH235" s="179" t="str">
        <f t="array" ref="AH235">IF($F235&lt;&gt;"", XLOOKUP($F235,Productos!$A$2:$A1001,Productos!AA$2:AA1001,"")*$G235,"")</f>
        <v/>
      </c>
      <c r="AI235" s="179" t="str">
        <f t="array" ref="AI235">IF($F235&lt;&gt;"",XLOOKUP($F235,Productos!$A:$A,Productos!AB:AB,"Revisar"),"")</f>
        <v/>
      </c>
      <c r="AJ235" s="179" t="str">
        <f t="array" ref="AJ235">IF($F235&lt;&gt;"", XLOOKUP($F235,Productos!$A$2:$A1001,Productos!AC$2:AC1001,"")*$G235,"")</f>
        <v/>
      </c>
      <c r="AK235" s="179" t="str">
        <f t="array" ref="AK235">IF($F235&lt;&gt;"",XLOOKUP($F235,Productos!$A:$A,Productos!AD:AD,"Revisar"),"")</f>
        <v/>
      </c>
      <c r="AL235" s="179" t="str">
        <f t="array" ref="AL235">IF($F235&lt;&gt;"", XLOOKUP($F235,Productos!$A$2:$A1001,Productos!AE$2:AE1001,"")*$G235,"")</f>
        <v/>
      </c>
      <c r="AM235" s="179" t="str">
        <f t="array" ref="AM235">IF($F235&lt;&gt;"",XLOOKUP($F235,Productos!$A:$A,Productos!AF:AF,"Revisar"),"")</f>
        <v/>
      </c>
      <c r="AN235" s="179" t="str">
        <f t="array" ref="AN235">IF($F235&lt;&gt;"", XLOOKUP($F235,Productos!$A$2:$A1001,Productos!AG$2:AG1001,"")*$G235,"")</f>
        <v/>
      </c>
      <c r="AO235" s="179" t="str">
        <f t="array" ref="AO235">IF($F235&lt;&gt;"",XLOOKUP($F235,Productos!$A:$A,Productos!AH:AH,"Revisar"),"")</f>
        <v/>
      </c>
      <c r="AP235" s="179" t="str">
        <f t="array" ref="AP235">IF($F235&lt;&gt;"", XLOOKUP($F235,Productos!$A$2:$A1001,Productos!AI$2:AI1001,"")*$G235,"")</f>
        <v/>
      </c>
      <c r="AQ235" s="179" t="str">
        <f t="array" ref="AQ235">IF($F235&lt;&gt;"",XLOOKUP($F235,Productos!$A:$A,Productos!AJ:AJ,"Revisar"),"")</f>
        <v/>
      </c>
      <c r="AR235" s="179" t="str">
        <f t="array" ref="AR235">IF($F235&lt;&gt;"", XLOOKUP($F235,Productos!$A$2:$A1001,Productos!AK$2:AK1001,"")*$G235,"")</f>
        <v/>
      </c>
      <c r="AS235" s="179" t="str">
        <f t="array" ref="AS235">IF($F235&lt;&gt;"",XLOOKUP($F235,Productos!$A:$A,Productos!AL:AL,"Revisar"),"")</f>
        <v/>
      </c>
      <c r="AT235" s="179" t="str">
        <f t="array" ref="AT235">IF($F235&lt;&gt;"", XLOOKUP($F235,Productos!$A$2:$A1001,Productos!AM$2:AM1001,"")*$G235,"")</f>
        <v/>
      </c>
      <c r="AU235" s="179" t="str">
        <f t="array" ref="AU235">IF($F235&lt;&gt;"",XLOOKUP($F235,Productos!$A:$A,Productos!AN:AN,"Revisar"),"")</f>
        <v/>
      </c>
      <c r="AV235" s="179" t="str">
        <f t="array" ref="AV235">IF($F235&lt;&gt;"", XLOOKUP($F235,Productos!$A$2:$A1001,Productos!AO$2:AO1001,"")*$G235,"")</f>
        <v/>
      </c>
      <c r="AW235" s="179" t="str">
        <f t="array" ref="AW235">IF($F235&lt;&gt;"",XLOOKUP($F235,Productos!$A:$A,Productos!AP:AP,"Revisar"),"")</f>
        <v/>
      </c>
      <c r="AX235" s="179" t="str">
        <f t="array" ref="AX235">IF($F235&lt;&gt;"", XLOOKUP($F235,Productos!$A$2:$A1001,Productos!AQ$2:AQ1001,"")*$G235,"")</f>
        <v/>
      </c>
      <c r="AY235" s="179" t="str">
        <f t="array" ref="AY235">IF($F235&lt;&gt;"",XLOOKUP($F235,Productos!$A:$A,Productos!AR:AR,"Revisar"),"")</f>
        <v/>
      </c>
      <c r="AZ235" s="179" t="str">
        <f t="array" ref="AZ235">IF($F235&lt;&gt;"", XLOOKUP($F235,Productos!$A$2:$A1001,Productos!AS$2:AS1001,"")*$G235,"")</f>
        <v/>
      </c>
      <c r="BA235" s="179" t="str">
        <f t="array" ref="BA235">IF($F235&lt;&gt;"",XLOOKUP($F235,Productos!$A:$A,Productos!AT:AT,"Revisar"),"")</f>
        <v/>
      </c>
      <c r="BB235" s="179" t="str">
        <f t="array" ref="BB235">IF($F235&lt;&gt;"", XLOOKUP($F235,Productos!$A$2:$A1001,Productos!AU$2:AU1001,"")*$G235,"")</f>
        <v/>
      </c>
      <c r="BC235" s="179" t="str">
        <f t="array" ref="BC235">IF($F235&lt;&gt;"",XLOOKUP($F235,Productos!$A:$A,Productos!AV:AV,"Revisar"),"")</f>
        <v/>
      </c>
      <c r="BD235" s="179" t="str">
        <f t="array" ref="BD235">IF($F235&lt;&gt;"", XLOOKUP($F235,Productos!$A$2:$A1001,Productos!AW$2:AW1001,"")*$G235,"")</f>
        <v/>
      </c>
      <c r="BE235" s="179" t="str">
        <f t="array" ref="BE235">IF($F235&lt;&gt;"",XLOOKUP($F235,Productos!$A:$A,Productos!AX:AX,"Revisar"),"")</f>
        <v/>
      </c>
      <c r="BF235" s="179" t="str">
        <f t="array" ref="BF235">IF($F235&lt;&gt;"", XLOOKUP($F235,Productos!$A$2:$A1001,Productos!AY$2:AY1001,"")*$G235,"")</f>
        <v/>
      </c>
      <c r="BG235" s="179" t="str">
        <f t="array" ref="BG235">IF($F235&lt;&gt;"",XLOOKUP($F235,Productos!$A:$A,Productos!AZ:AZ,"Revisar"),"")</f>
        <v/>
      </c>
      <c r="BH235" s="179" t="str">
        <f t="array" ref="BH235">IF($F235&lt;&gt;"", XLOOKUP($F235,Productos!$A$2:$A1001,Productos!BA$2:BA1001,"")*$G235,"")</f>
        <v/>
      </c>
      <c r="BI235" s="179" t="str">
        <f t="array" ref="BI235">IF($F235&lt;&gt;"",XLOOKUP($F235,Productos!$A:$A,Productos!BB:BB,"Revisar"),"")</f>
        <v/>
      </c>
      <c r="BJ235" s="179" t="str">
        <f t="array" ref="BJ235">IF($F235&lt;&gt;"", XLOOKUP($F235,Productos!$A$2:$A1001,Productos!BC$2:BC1001,"")*$G235,"")</f>
        <v/>
      </c>
      <c r="BK235" s="179" t="str">
        <f t="array" ref="BK235">IF($F235&lt;&gt;"",XLOOKUP($F235,Productos!$A:$A,Productos!BD:BD,"Revisar"),"")</f>
        <v/>
      </c>
      <c r="BL235" s="179" t="str">
        <f t="array" ref="BL235">IF($F235&lt;&gt;"", XLOOKUP($F235,Productos!$A$2:$A1001,Productos!BE$2:BE1001,"")*$G235,"")</f>
        <v/>
      </c>
      <c r="BM235" s="179" t="str">
        <f t="array" ref="BM235">IF($F235&lt;&gt;"",XLOOKUP($F235,Productos!$A:$A,Productos!BF:BF,"Revisar"),"")</f>
        <v/>
      </c>
      <c r="BN235" s="179" t="str">
        <f t="array" ref="BN235">IF($F235&lt;&gt;"", XLOOKUP($F235,Productos!$A$2:$A1001,Productos!BG$2:BG1001,"")*$G235,"")</f>
        <v/>
      </c>
      <c r="BO235" s="179" t="str">
        <f t="array" ref="BO235">IF($F235&lt;&gt;"",XLOOKUP($F235,Productos!$A:$A,Productos!BH:BH,"Revisar"),"")</f>
        <v/>
      </c>
      <c r="BP235" s="179" t="str">
        <f t="array" ref="BP235">IF($F235&lt;&gt;"", XLOOKUP($F235,Productos!$A$2:$A1001,Productos!BI$2:BI1001,"")*$G235,"")</f>
        <v/>
      </c>
      <c r="BQ235" s="179" t="str">
        <f t="array" ref="BQ235">IF($F235&lt;&gt;"",XLOOKUP($F235,Productos!$A:$A,Productos!BJ:BJ,"Revisar"),"")</f>
        <v/>
      </c>
      <c r="BR235" s="179" t="str">
        <f t="array" ref="BR235">IF($F235&lt;&gt;"", XLOOKUP($F235,Productos!$A$2:$A1001,Productos!BK$2:BK1001,"")*$G235,"")</f>
        <v/>
      </c>
      <c r="BS235" s="179" t="str">
        <f t="array" ref="BS235">IF($F235&lt;&gt;"",XLOOKUP($F235,Productos!$A:$A,Productos!BL:BL,"Revisar"),"")</f>
        <v/>
      </c>
      <c r="BT235" s="179" t="str">
        <f t="array" ref="BT235">IF($F235&lt;&gt;"", XLOOKUP($F235,Productos!$A$2:$A1001,Productos!BM$2:BM1001,"")*$G235,"")</f>
        <v/>
      </c>
      <c r="BU235" s="179" t="str">
        <f t="array" ref="BU235">IF($F235&lt;&gt;"",XLOOKUP($F235,Productos!$A:$A,Productos!BN:BN,"Revisar"),"")</f>
        <v/>
      </c>
      <c r="BV235" s="179" t="str">
        <f t="array" ref="BV235">IF($F235&lt;&gt;"", XLOOKUP($F235,Productos!$A$2:$A1001,Productos!BO$2:BO1001,"")*$G235,"")</f>
        <v/>
      </c>
      <c r="BW235" s="179" t="str">
        <f t="array" ref="BW235">IF($F235&lt;&gt;"",XLOOKUP($F235,Productos!$A:$A,Productos!BP:BP,"Revisar"),"")</f>
        <v/>
      </c>
      <c r="BX235" s="179" t="str">
        <f t="array" ref="BX235">IF($F235&lt;&gt;"", XLOOKUP($F235,Productos!$A$2:$A1001,Productos!BQ$2:BQ1001,"")*$G235,"")</f>
        <v/>
      </c>
      <c r="BY235" s="179" t="str">
        <f t="array" ref="BY235">IF($F235&lt;&gt;"",XLOOKUP($F235,Productos!$A:$A,Productos!BR:BR,"Revisar"),"")</f>
        <v/>
      </c>
      <c r="BZ235" s="179" t="str">
        <f t="array" ref="BZ235">IF($F235&lt;&gt;"", XLOOKUP($F235,Productos!$A$2:$A1001,Productos!BS$2:BS1001,"")*$G235,"")</f>
        <v/>
      </c>
    </row>
    <row r="236">
      <c r="A236" s="180"/>
      <c r="B236" s="181"/>
      <c r="C236" s="182"/>
      <c r="D236" s="182"/>
      <c r="E236" s="185"/>
      <c r="F236" s="186"/>
      <c r="G236" s="187"/>
      <c r="H236" s="186"/>
      <c r="I236" s="179" t="str">
        <f t="array" ref="I236">IF($F236&lt;&gt;"",XLOOKUP($F236,Productos!$A:$A,Productos!B:B,"Revisar"),"")</f>
        <v/>
      </c>
      <c r="J236" s="179" t="str">
        <f t="array" ref="J236">IF($F236&lt;&gt;"", XLOOKUP($F236,Productos!$A$2:$A1001,Productos!C$2:C1001,"")*$G236,"")</f>
        <v/>
      </c>
      <c r="K236" s="179" t="str">
        <f t="array" ref="K236">IF($F236&lt;&gt;"",XLOOKUP($F236,Productos!$A:$A,Productos!D:D,"Revisar"),"")</f>
        <v/>
      </c>
      <c r="L236" s="179" t="str">
        <f t="array" ref="L236">IF($F236&lt;&gt;"", XLOOKUP($F236,Productos!$A$2:$A1001,Productos!E$2:E1001,"")*$G236,"")</f>
        <v/>
      </c>
      <c r="M236" s="179" t="str">
        <f t="array" ref="M236">IF($F236&lt;&gt;"",XLOOKUP($F236,Productos!$A:$A,Productos!F:F,"Revisar"),"")</f>
        <v/>
      </c>
      <c r="N236" s="179" t="str">
        <f t="array" ref="N236">IF($F236&lt;&gt;"", XLOOKUP($F236,Productos!$A$2:$A1001,Productos!G$2:G1001,"")*$G236,"")</f>
        <v/>
      </c>
      <c r="O236" s="179" t="str">
        <f t="array" ref="O236">IF($F236&lt;&gt;"",XLOOKUP($F236,Productos!$A:$A,Productos!H:H,"Revisar"),"")</f>
        <v/>
      </c>
      <c r="P236" s="179" t="str">
        <f t="array" ref="P236">IF($F236&lt;&gt;"", XLOOKUP($F236,Productos!$A$2:$A1001,Productos!I$2:I1001,"")*$G236,"")</f>
        <v/>
      </c>
      <c r="Q236" s="179" t="str">
        <f t="array" ref="Q236">IF($F236&lt;&gt;"",XLOOKUP($F236,Productos!$A:$A,Productos!J:J,"Revisar"),"")</f>
        <v/>
      </c>
      <c r="R236" s="179" t="str">
        <f t="array" ref="R236">IF($F236&lt;&gt;"", XLOOKUP($F236,Productos!$A$2:$A1001,Productos!K$2:K1001,"")*$G236,"")</f>
        <v/>
      </c>
      <c r="S236" s="179" t="str">
        <f t="array" ref="S236">IF($F236&lt;&gt;"",XLOOKUP($F236,Productos!$A:$A,Productos!L:L,"Revisar"),"")</f>
        <v/>
      </c>
      <c r="T236" s="179" t="str">
        <f t="array" ref="T236">IF($F236&lt;&gt;"", XLOOKUP($F236,Productos!$A$2:$A1001,Productos!M$2:M1001,"")*$G236,"")</f>
        <v/>
      </c>
      <c r="U236" s="179" t="str">
        <f t="array" ref="U236">IF($F236&lt;&gt;"",XLOOKUP($F236,Productos!$A:$A,Productos!N:N,"Revisar"),"")</f>
        <v/>
      </c>
      <c r="V236" s="179" t="str">
        <f t="array" ref="V236">IF($F236&lt;&gt;"", XLOOKUP($F236,Productos!$A$2:$A1001,Productos!O$2:O1001,"")*$G236,"")</f>
        <v/>
      </c>
      <c r="W236" s="179" t="str">
        <f t="array" ref="W236">IF($F236&lt;&gt;"",XLOOKUP($F236,Productos!$A:$A,Productos!P:P,"Revisar"),"")</f>
        <v/>
      </c>
      <c r="X236" s="179" t="str">
        <f t="array" ref="X236">IF($F236&lt;&gt;"", XLOOKUP($F236,Productos!$A$2:$A1001,Productos!Q$2:Q1001,"")*$G236,"")</f>
        <v/>
      </c>
      <c r="Y236" s="179" t="str">
        <f t="array" ref="Y236">IF($F236&lt;&gt;"",XLOOKUP($F236,Productos!$A:$A,Productos!R:R,"Revisar"),"")</f>
        <v/>
      </c>
      <c r="Z236" s="179" t="str">
        <f t="array" ref="Z236">IF($F236&lt;&gt;"", XLOOKUP($F236,Productos!$A$2:$A1001,Productos!S$2:S1001,"")*$G236,"")</f>
        <v/>
      </c>
      <c r="AA236" s="179" t="str">
        <f t="array" ref="AA236">IF($F236&lt;&gt;"",XLOOKUP($F236,Productos!$A:$A,Productos!T:T,"Revisar"),"")</f>
        <v/>
      </c>
      <c r="AB236" s="179" t="str">
        <f t="array" ref="AB236">IF($F236&lt;&gt;"", XLOOKUP($F236,Productos!$A$2:$A1001,Productos!U$2:U1001,"")*$G236,"")</f>
        <v/>
      </c>
      <c r="AC236" s="179" t="str">
        <f t="array" ref="AC236">IF($F236&lt;&gt;"",XLOOKUP($F236,Productos!$A:$A,Productos!V:V,"Revisar"),"")</f>
        <v/>
      </c>
      <c r="AD236" s="179" t="str">
        <f t="array" ref="AD236">IF($F236&lt;&gt;"", XLOOKUP($F236,Productos!$A$2:$A1001,Productos!W$2:W1001,"")*$G236,"")</f>
        <v/>
      </c>
      <c r="AE236" s="179" t="str">
        <f t="array" ref="AE236">IF($F236&lt;&gt;"",XLOOKUP($F236,Productos!$A:$A,Productos!X:X,"Revisar"),"")</f>
        <v/>
      </c>
      <c r="AF236" s="179" t="str">
        <f t="array" ref="AF236">IF($F236&lt;&gt;"", XLOOKUP($F236,Productos!$A$2:$A1001,Productos!Y$2:Y1001,"")*$G236,"")</f>
        <v/>
      </c>
      <c r="AG236" s="179" t="str">
        <f t="array" ref="AG236">IF($F236&lt;&gt;"",XLOOKUP($F236,Productos!$A:$A,Productos!Z:Z,"Revisar"),"")</f>
        <v/>
      </c>
      <c r="AH236" s="179" t="str">
        <f t="array" ref="AH236">IF($F236&lt;&gt;"", XLOOKUP($F236,Productos!$A$2:$A1001,Productos!AA$2:AA1001,"")*$G236,"")</f>
        <v/>
      </c>
      <c r="AI236" s="179" t="str">
        <f t="array" ref="AI236">IF($F236&lt;&gt;"",XLOOKUP($F236,Productos!$A:$A,Productos!AB:AB,"Revisar"),"")</f>
        <v/>
      </c>
      <c r="AJ236" s="179" t="str">
        <f t="array" ref="AJ236">IF($F236&lt;&gt;"", XLOOKUP($F236,Productos!$A$2:$A1001,Productos!AC$2:AC1001,"")*$G236,"")</f>
        <v/>
      </c>
      <c r="AK236" s="179" t="str">
        <f t="array" ref="AK236">IF($F236&lt;&gt;"",XLOOKUP($F236,Productos!$A:$A,Productos!AD:AD,"Revisar"),"")</f>
        <v/>
      </c>
      <c r="AL236" s="179" t="str">
        <f t="array" ref="AL236">IF($F236&lt;&gt;"", XLOOKUP($F236,Productos!$A$2:$A1001,Productos!AE$2:AE1001,"")*$G236,"")</f>
        <v/>
      </c>
      <c r="AM236" s="179" t="str">
        <f t="array" ref="AM236">IF($F236&lt;&gt;"",XLOOKUP($F236,Productos!$A:$A,Productos!AF:AF,"Revisar"),"")</f>
        <v/>
      </c>
      <c r="AN236" s="179" t="str">
        <f t="array" ref="AN236">IF($F236&lt;&gt;"", XLOOKUP($F236,Productos!$A$2:$A1001,Productos!AG$2:AG1001,"")*$G236,"")</f>
        <v/>
      </c>
      <c r="AO236" s="179" t="str">
        <f t="array" ref="AO236">IF($F236&lt;&gt;"",XLOOKUP($F236,Productos!$A:$A,Productos!AH:AH,"Revisar"),"")</f>
        <v/>
      </c>
      <c r="AP236" s="179" t="str">
        <f t="array" ref="AP236">IF($F236&lt;&gt;"", XLOOKUP($F236,Productos!$A$2:$A1001,Productos!AI$2:AI1001,"")*$G236,"")</f>
        <v/>
      </c>
      <c r="AQ236" s="179" t="str">
        <f t="array" ref="AQ236">IF($F236&lt;&gt;"",XLOOKUP($F236,Productos!$A:$A,Productos!AJ:AJ,"Revisar"),"")</f>
        <v/>
      </c>
      <c r="AR236" s="179" t="str">
        <f t="array" ref="AR236">IF($F236&lt;&gt;"", XLOOKUP($F236,Productos!$A$2:$A1001,Productos!AK$2:AK1001,"")*$G236,"")</f>
        <v/>
      </c>
      <c r="AS236" s="179" t="str">
        <f t="array" ref="AS236">IF($F236&lt;&gt;"",XLOOKUP($F236,Productos!$A:$A,Productos!AL:AL,"Revisar"),"")</f>
        <v/>
      </c>
      <c r="AT236" s="179" t="str">
        <f t="array" ref="AT236">IF($F236&lt;&gt;"", XLOOKUP($F236,Productos!$A$2:$A1001,Productos!AM$2:AM1001,"")*$G236,"")</f>
        <v/>
      </c>
      <c r="AU236" s="179" t="str">
        <f t="array" ref="AU236">IF($F236&lt;&gt;"",XLOOKUP($F236,Productos!$A:$A,Productos!AN:AN,"Revisar"),"")</f>
        <v/>
      </c>
      <c r="AV236" s="179" t="str">
        <f t="array" ref="AV236">IF($F236&lt;&gt;"", XLOOKUP($F236,Productos!$A$2:$A1001,Productos!AO$2:AO1001,"")*$G236,"")</f>
        <v/>
      </c>
      <c r="AW236" s="179" t="str">
        <f t="array" ref="AW236">IF($F236&lt;&gt;"",XLOOKUP($F236,Productos!$A:$A,Productos!AP:AP,"Revisar"),"")</f>
        <v/>
      </c>
      <c r="AX236" s="179" t="str">
        <f t="array" ref="AX236">IF($F236&lt;&gt;"", XLOOKUP($F236,Productos!$A$2:$A1001,Productos!AQ$2:AQ1001,"")*$G236,"")</f>
        <v/>
      </c>
      <c r="AY236" s="179" t="str">
        <f t="array" ref="AY236">IF($F236&lt;&gt;"",XLOOKUP($F236,Productos!$A:$A,Productos!AR:AR,"Revisar"),"")</f>
        <v/>
      </c>
      <c r="AZ236" s="179" t="str">
        <f t="array" ref="AZ236">IF($F236&lt;&gt;"", XLOOKUP($F236,Productos!$A$2:$A1001,Productos!AS$2:AS1001,"")*$G236,"")</f>
        <v/>
      </c>
      <c r="BA236" s="179" t="str">
        <f t="array" ref="BA236">IF($F236&lt;&gt;"",XLOOKUP($F236,Productos!$A:$A,Productos!AT:AT,"Revisar"),"")</f>
        <v/>
      </c>
      <c r="BB236" s="179" t="str">
        <f t="array" ref="BB236">IF($F236&lt;&gt;"", XLOOKUP($F236,Productos!$A$2:$A1001,Productos!AU$2:AU1001,"")*$G236,"")</f>
        <v/>
      </c>
      <c r="BC236" s="179" t="str">
        <f t="array" ref="BC236">IF($F236&lt;&gt;"",XLOOKUP($F236,Productos!$A:$A,Productos!AV:AV,"Revisar"),"")</f>
        <v/>
      </c>
      <c r="BD236" s="179" t="str">
        <f t="array" ref="BD236">IF($F236&lt;&gt;"", XLOOKUP($F236,Productos!$A$2:$A1001,Productos!AW$2:AW1001,"")*$G236,"")</f>
        <v/>
      </c>
      <c r="BE236" s="179" t="str">
        <f t="array" ref="BE236">IF($F236&lt;&gt;"",XLOOKUP($F236,Productos!$A:$A,Productos!AX:AX,"Revisar"),"")</f>
        <v/>
      </c>
      <c r="BF236" s="179" t="str">
        <f t="array" ref="BF236">IF($F236&lt;&gt;"", XLOOKUP($F236,Productos!$A$2:$A1001,Productos!AY$2:AY1001,"")*$G236,"")</f>
        <v/>
      </c>
      <c r="BG236" s="179" t="str">
        <f t="array" ref="BG236">IF($F236&lt;&gt;"",XLOOKUP($F236,Productos!$A:$A,Productos!AZ:AZ,"Revisar"),"")</f>
        <v/>
      </c>
      <c r="BH236" s="179" t="str">
        <f t="array" ref="BH236">IF($F236&lt;&gt;"", XLOOKUP($F236,Productos!$A$2:$A1001,Productos!BA$2:BA1001,"")*$G236,"")</f>
        <v/>
      </c>
      <c r="BI236" s="179" t="str">
        <f t="array" ref="BI236">IF($F236&lt;&gt;"",XLOOKUP($F236,Productos!$A:$A,Productos!BB:BB,"Revisar"),"")</f>
        <v/>
      </c>
      <c r="BJ236" s="179" t="str">
        <f t="array" ref="BJ236">IF($F236&lt;&gt;"", XLOOKUP($F236,Productos!$A$2:$A1001,Productos!BC$2:BC1001,"")*$G236,"")</f>
        <v/>
      </c>
      <c r="BK236" s="179" t="str">
        <f t="array" ref="BK236">IF($F236&lt;&gt;"",XLOOKUP($F236,Productos!$A:$A,Productos!BD:BD,"Revisar"),"")</f>
        <v/>
      </c>
      <c r="BL236" s="179" t="str">
        <f t="array" ref="BL236">IF($F236&lt;&gt;"", XLOOKUP($F236,Productos!$A$2:$A1001,Productos!BE$2:BE1001,"")*$G236,"")</f>
        <v/>
      </c>
      <c r="BM236" s="179" t="str">
        <f t="array" ref="BM236">IF($F236&lt;&gt;"",XLOOKUP($F236,Productos!$A:$A,Productos!BF:BF,"Revisar"),"")</f>
        <v/>
      </c>
      <c r="BN236" s="179" t="str">
        <f t="array" ref="BN236">IF($F236&lt;&gt;"", XLOOKUP($F236,Productos!$A$2:$A1001,Productos!BG$2:BG1001,"")*$G236,"")</f>
        <v/>
      </c>
      <c r="BO236" s="179" t="str">
        <f t="array" ref="BO236">IF($F236&lt;&gt;"",XLOOKUP($F236,Productos!$A:$A,Productos!BH:BH,"Revisar"),"")</f>
        <v/>
      </c>
      <c r="BP236" s="179" t="str">
        <f t="array" ref="BP236">IF($F236&lt;&gt;"", XLOOKUP($F236,Productos!$A$2:$A1001,Productos!BI$2:BI1001,"")*$G236,"")</f>
        <v/>
      </c>
      <c r="BQ236" s="179" t="str">
        <f t="array" ref="BQ236">IF($F236&lt;&gt;"",XLOOKUP($F236,Productos!$A:$A,Productos!BJ:BJ,"Revisar"),"")</f>
        <v/>
      </c>
      <c r="BR236" s="179" t="str">
        <f t="array" ref="BR236">IF($F236&lt;&gt;"", XLOOKUP($F236,Productos!$A$2:$A1001,Productos!BK$2:BK1001,"")*$G236,"")</f>
        <v/>
      </c>
      <c r="BS236" s="179" t="str">
        <f t="array" ref="BS236">IF($F236&lt;&gt;"",XLOOKUP($F236,Productos!$A:$A,Productos!BL:BL,"Revisar"),"")</f>
        <v/>
      </c>
      <c r="BT236" s="179" t="str">
        <f t="array" ref="BT236">IF($F236&lt;&gt;"", XLOOKUP($F236,Productos!$A$2:$A1001,Productos!BM$2:BM1001,"")*$G236,"")</f>
        <v/>
      </c>
      <c r="BU236" s="179" t="str">
        <f t="array" ref="BU236">IF($F236&lt;&gt;"",XLOOKUP($F236,Productos!$A:$A,Productos!BN:BN,"Revisar"),"")</f>
        <v/>
      </c>
      <c r="BV236" s="179" t="str">
        <f t="array" ref="BV236">IF($F236&lt;&gt;"", XLOOKUP($F236,Productos!$A$2:$A1001,Productos!BO$2:BO1001,"")*$G236,"")</f>
        <v/>
      </c>
      <c r="BW236" s="179" t="str">
        <f t="array" ref="BW236">IF($F236&lt;&gt;"",XLOOKUP($F236,Productos!$A:$A,Productos!BP:BP,"Revisar"),"")</f>
        <v/>
      </c>
      <c r="BX236" s="179" t="str">
        <f t="array" ref="BX236">IF($F236&lt;&gt;"", XLOOKUP($F236,Productos!$A$2:$A1001,Productos!BQ$2:BQ1001,"")*$G236,"")</f>
        <v/>
      </c>
      <c r="BY236" s="179" t="str">
        <f t="array" ref="BY236">IF($F236&lt;&gt;"",XLOOKUP($F236,Productos!$A:$A,Productos!BR:BR,"Revisar"),"")</f>
        <v/>
      </c>
      <c r="BZ236" s="179" t="str">
        <f t="array" ref="BZ236">IF($F236&lt;&gt;"", XLOOKUP($F236,Productos!$A$2:$A1001,Productos!BS$2:BS1001,"")*$G236,"")</f>
        <v/>
      </c>
    </row>
    <row r="237">
      <c r="A237" s="180"/>
      <c r="B237" s="181"/>
      <c r="C237" s="182"/>
      <c r="D237" s="182"/>
      <c r="E237" s="185"/>
      <c r="F237" s="186"/>
      <c r="G237" s="187"/>
      <c r="H237" s="186"/>
      <c r="I237" s="179" t="str">
        <f t="array" ref="I237">IF($F237&lt;&gt;"",XLOOKUP($F237,Productos!$A:$A,Productos!B:B,"Revisar"),"")</f>
        <v/>
      </c>
      <c r="J237" s="179" t="str">
        <f t="array" ref="J237">IF($F237&lt;&gt;"", XLOOKUP($F237,Productos!$A$2:$A1001,Productos!C$2:C1001,"")*$G237,"")</f>
        <v/>
      </c>
      <c r="K237" s="179" t="str">
        <f t="array" ref="K237">IF($F237&lt;&gt;"",XLOOKUP($F237,Productos!$A:$A,Productos!D:D,"Revisar"),"")</f>
        <v/>
      </c>
      <c r="L237" s="179" t="str">
        <f t="array" ref="L237">IF($F237&lt;&gt;"", XLOOKUP($F237,Productos!$A$2:$A1001,Productos!E$2:E1001,"")*$G237,"")</f>
        <v/>
      </c>
      <c r="M237" s="179" t="str">
        <f t="array" ref="M237">IF($F237&lt;&gt;"",XLOOKUP($F237,Productos!$A:$A,Productos!F:F,"Revisar"),"")</f>
        <v/>
      </c>
      <c r="N237" s="179" t="str">
        <f t="array" ref="N237">IF($F237&lt;&gt;"", XLOOKUP($F237,Productos!$A$2:$A1001,Productos!G$2:G1001,"")*$G237,"")</f>
        <v/>
      </c>
      <c r="O237" s="179" t="str">
        <f t="array" ref="O237">IF($F237&lt;&gt;"",XLOOKUP($F237,Productos!$A:$A,Productos!H:H,"Revisar"),"")</f>
        <v/>
      </c>
      <c r="P237" s="179" t="str">
        <f t="array" ref="P237">IF($F237&lt;&gt;"", XLOOKUP($F237,Productos!$A$2:$A1001,Productos!I$2:I1001,"")*$G237,"")</f>
        <v/>
      </c>
      <c r="Q237" s="179" t="str">
        <f t="array" ref="Q237">IF($F237&lt;&gt;"",XLOOKUP($F237,Productos!$A:$A,Productos!J:J,"Revisar"),"")</f>
        <v/>
      </c>
      <c r="R237" s="179" t="str">
        <f t="array" ref="R237">IF($F237&lt;&gt;"", XLOOKUP($F237,Productos!$A$2:$A1001,Productos!K$2:K1001,"")*$G237,"")</f>
        <v/>
      </c>
      <c r="S237" s="179" t="str">
        <f t="array" ref="S237">IF($F237&lt;&gt;"",XLOOKUP($F237,Productos!$A:$A,Productos!L:L,"Revisar"),"")</f>
        <v/>
      </c>
      <c r="T237" s="179" t="str">
        <f t="array" ref="T237">IF($F237&lt;&gt;"", XLOOKUP($F237,Productos!$A$2:$A1001,Productos!M$2:M1001,"")*$G237,"")</f>
        <v/>
      </c>
      <c r="U237" s="179" t="str">
        <f t="array" ref="U237">IF($F237&lt;&gt;"",XLOOKUP($F237,Productos!$A:$A,Productos!N:N,"Revisar"),"")</f>
        <v/>
      </c>
      <c r="V237" s="179" t="str">
        <f t="array" ref="V237">IF($F237&lt;&gt;"", XLOOKUP($F237,Productos!$A$2:$A1001,Productos!O$2:O1001,"")*$G237,"")</f>
        <v/>
      </c>
      <c r="W237" s="179" t="str">
        <f t="array" ref="W237">IF($F237&lt;&gt;"",XLOOKUP($F237,Productos!$A:$A,Productos!P:P,"Revisar"),"")</f>
        <v/>
      </c>
      <c r="X237" s="179" t="str">
        <f t="array" ref="X237">IF($F237&lt;&gt;"", XLOOKUP($F237,Productos!$A$2:$A1001,Productos!Q$2:Q1001,"")*$G237,"")</f>
        <v/>
      </c>
      <c r="Y237" s="179" t="str">
        <f t="array" ref="Y237">IF($F237&lt;&gt;"",XLOOKUP($F237,Productos!$A:$A,Productos!R:R,"Revisar"),"")</f>
        <v/>
      </c>
      <c r="Z237" s="179" t="str">
        <f t="array" ref="Z237">IF($F237&lt;&gt;"", XLOOKUP($F237,Productos!$A$2:$A1001,Productos!S$2:S1001,"")*$G237,"")</f>
        <v/>
      </c>
      <c r="AA237" s="179" t="str">
        <f t="array" ref="AA237">IF($F237&lt;&gt;"",XLOOKUP($F237,Productos!$A:$A,Productos!T:T,"Revisar"),"")</f>
        <v/>
      </c>
      <c r="AB237" s="179" t="str">
        <f t="array" ref="AB237">IF($F237&lt;&gt;"", XLOOKUP($F237,Productos!$A$2:$A1001,Productos!U$2:U1001,"")*$G237,"")</f>
        <v/>
      </c>
      <c r="AC237" s="179" t="str">
        <f t="array" ref="AC237">IF($F237&lt;&gt;"",XLOOKUP($F237,Productos!$A:$A,Productos!V:V,"Revisar"),"")</f>
        <v/>
      </c>
      <c r="AD237" s="179" t="str">
        <f t="array" ref="AD237">IF($F237&lt;&gt;"", XLOOKUP($F237,Productos!$A$2:$A1001,Productos!W$2:W1001,"")*$G237,"")</f>
        <v/>
      </c>
      <c r="AE237" s="179" t="str">
        <f t="array" ref="AE237">IF($F237&lt;&gt;"",XLOOKUP($F237,Productos!$A:$A,Productos!X:X,"Revisar"),"")</f>
        <v/>
      </c>
      <c r="AF237" s="179" t="str">
        <f t="array" ref="AF237">IF($F237&lt;&gt;"", XLOOKUP($F237,Productos!$A$2:$A1001,Productos!Y$2:Y1001,"")*$G237,"")</f>
        <v/>
      </c>
      <c r="AG237" s="179" t="str">
        <f t="array" ref="AG237">IF($F237&lt;&gt;"",XLOOKUP($F237,Productos!$A:$A,Productos!Z:Z,"Revisar"),"")</f>
        <v/>
      </c>
      <c r="AH237" s="179" t="str">
        <f t="array" ref="AH237">IF($F237&lt;&gt;"", XLOOKUP($F237,Productos!$A$2:$A1001,Productos!AA$2:AA1001,"")*$G237,"")</f>
        <v/>
      </c>
      <c r="AI237" s="179" t="str">
        <f t="array" ref="AI237">IF($F237&lt;&gt;"",XLOOKUP($F237,Productos!$A:$A,Productos!AB:AB,"Revisar"),"")</f>
        <v/>
      </c>
      <c r="AJ237" s="179" t="str">
        <f t="array" ref="AJ237">IF($F237&lt;&gt;"", XLOOKUP($F237,Productos!$A$2:$A1001,Productos!AC$2:AC1001,"")*$G237,"")</f>
        <v/>
      </c>
      <c r="AK237" s="179" t="str">
        <f t="array" ref="AK237">IF($F237&lt;&gt;"",XLOOKUP($F237,Productos!$A:$A,Productos!AD:AD,"Revisar"),"")</f>
        <v/>
      </c>
      <c r="AL237" s="179" t="str">
        <f t="array" ref="AL237">IF($F237&lt;&gt;"", XLOOKUP($F237,Productos!$A$2:$A1001,Productos!AE$2:AE1001,"")*$G237,"")</f>
        <v/>
      </c>
      <c r="AM237" s="179" t="str">
        <f t="array" ref="AM237">IF($F237&lt;&gt;"",XLOOKUP($F237,Productos!$A:$A,Productos!AF:AF,"Revisar"),"")</f>
        <v/>
      </c>
      <c r="AN237" s="179" t="str">
        <f t="array" ref="AN237">IF($F237&lt;&gt;"", XLOOKUP($F237,Productos!$A$2:$A1001,Productos!AG$2:AG1001,"")*$G237,"")</f>
        <v/>
      </c>
      <c r="AO237" s="179" t="str">
        <f t="array" ref="AO237">IF($F237&lt;&gt;"",XLOOKUP($F237,Productos!$A:$A,Productos!AH:AH,"Revisar"),"")</f>
        <v/>
      </c>
      <c r="AP237" s="179" t="str">
        <f t="array" ref="AP237">IF($F237&lt;&gt;"", XLOOKUP($F237,Productos!$A$2:$A1001,Productos!AI$2:AI1001,"")*$G237,"")</f>
        <v/>
      </c>
      <c r="AQ237" s="179" t="str">
        <f t="array" ref="AQ237">IF($F237&lt;&gt;"",XLOOKUP($F237,Productos!$A:$A,Productos!AJ:AJ,"Revisar"),"")</f>
        <v/>
      </c>
      <c r="AR237" s="179" t="str">
        <f t="array" ref="AR237">IF($F237&lt;&gt;"", XLOOKUP($F237,Productos!$A$2:$A1001,Productos!AK$2:AK1001,"")*$G237,"")</f>
        <v/>
      </c>
      <c r="AS237" s="179" t="str">
        <f t="array" ref="AS237">IF($F237&lt;&gt;"",XLOOKUP($F237,Productos!$A:$A,Productos!AL:AL,"Revisar"),"")</f>
        <v/>
      </c>
      <c r="AT237" s="179" t="str">
        <f t="array" ref="AT237">IF($F237&lt;&gt;"", XLOOKUP($F237,Productos!$A$2:$A1001,Productos!AM$2:AM1001,"")*$G237,"")</f>
        <v/>
      </c>
      <c r="AU237" s="179" t="str">
        <f t="array" ref="AU237">IF($F237&lt;&gt;"",XLOOKUP($F237,Productos!$A:$A,Productos!AN:AN,"Revisar"),"")</f>
        <v/>
      </c>
      <c r="AV237" s="179" t="str">
        <f t="array" ref="AV237">IF($F237&lt;&gt;"", XLOOKUP($F237,Productos!$A$2:$A1001,Productos!AO$2:AO1001,"")*$G237,"")</f>
        <v/>
      </c>
      <c r="AW237" s="179" t="str">
        <f t="array" ref="AW237">IF($F237&lt;&gt;"",XLOOKUP($F237,Productos!$A:$A,Productos!AP:AP,"Revisar"),"")</f>
        <v/>
      </c>
      <c r="AX237" s="179" t="str">
        <f t="array" ref="AX237">IF($F237&lt;&gt;"", XLOOKUP($F237,Productos!$A$2:$A1001,Productos!AQ$2:AQ1001,"")*$G237,"")</f>
        <v/>
      </c>
      <c r="AY237" s="179" t="str">
        <f t="array" ref="AY237">IF($F237&lt;&gt;"",XLOOKUP($F237,Productos!$A:$A,Productos!AR:AR,"Revisar"),"")</f>
        <v/>
      </c>
      <c r="AZ237" s="179" t="str">
        <f t="array" ref="AZ237">IF($F237&lt;&gt;"", XLOOKUP($F237,Productos!$A$2:$A1001,Productos!AS$2:AS1001,"")*$G237,"")</f>
        <v/>
      </c>
      <c r="BA237" s="179" t="str">
        <f t="array" ref="BA237">IF($F237&lt;&gt;"",XLOOKUP($F237,Productos!$A:$A,Productos!AT:AT,"Revisar"),"")</f>
        <v/>
      </c>
      <c r="BB237" s="179" t="str">
        <f t="array" ref="BB237">IF($F237&lt;&gt;"", XLOOKUP($F237,Productos!$A$2:$A1001,Productos!AU$2:AU1001,"")*$G237,"")</f>
        <v/>
      </c>
      <c r="BC237" s="179" t="str">
        <f t="array" ref="BC237">IF($F237&lt;&gt;"",XLOOKUP($F237,Productos!$A:$A,Productos!AV:AV,"Revisar"),"")</f>
        <v/>
      </c>
      <c r="BD237" s="179" t="str">
        <f t="array" ref="BD237">IF($F237&lt;&gt;"", XLOOKUP($F237,Productos!$A$2:$A1001,Productos!AW$2:AW1001,"")*$G237,"")</f>
        <v/>
      </c>
      <c r="BE237" s="179" t="str">
        <f t="array" ref="BE237">IF($F237&lt;&gt;"",XLOOKUP($F237,Productos!$A:$A,Productos!AX:AX,"Revisar"),"")</f>
        <v/>
      </c>
      <c r="BF237" s="179" t="str">
        <f t="array" ref="BF237">IF($F237&lt;&gt;"", XLOOKUP($F237,Productos!$A$2:$A1001,Productos!AY$2:AY1001,"")*$G237,"")</f>
        <v/>
      </c>
      <c r="BG237" s="179" t="str">
        <f t="array" ref="BG237">IF($F237&lt;&gt;"",XLOOKUP($F237,Productos!$A:$A,Productos!AZ:AZ,"Revisar"),"")</f>
        <v/>
      </c>
      <c r="BH237" s="179" t="str">
        <f t="array" ref="BH237">IF($F237&lt;&gt;"", XLOOKUP($F237,Productos!$A$2:$A1001,Productos!BA$2:BA1001,"")*$G237,"")</f>
        <v/>
      </c>
      <c r="BI237" s="179" t="str">
        <f t="array" ref="BI237">IF($F237&lt;&gt;"",XLOOKUP($F237,Productos!$A:$A,Productos!BB:BB,"Revisar"),"")</f>
        <v/>
      </c>
      <c r="BJ237" s="179" t="str">
        <f t="array" ref="BJ237">IF($F237&lt;&gt;"", XLOOKUP($F237,Productos!$A$2:$A1001,Productos!BC$2:BC1001,"")*$G237,"")</f>
        <v/>
      </c>
      <c r="BK237" s="179" t="str">
        <f t="array" ref="BK237">IF($F237&lt;&gt;"",XLOOKUP($F237,Productos!$A:$A,Productos!BD:BD,"Revisar"),"")</f>
        <v/>
      </c>
      <c r="BL237" s="179" t="str">
        <f t="array" ref="BL237">IF($F237&lt;&gt;"", XLOOKUP($F237,Productos!$A$2:$A1001,Productos!BE$2:BE1001,"")*$G237,"")</f>
        <v/>
      </c>
      <c r="BM237" s="179" t="str">
        <f t="array" ref="BM237">IF($F237&lt;&gt;"",XLOOKUP($F237,Productos!$A:$A,Productos!BF:BF,"Revisar"),"")</f>
        <v/>
      </c>
      <c r="BN237" s="179" t="str">
        <f t="array" ref="BN237">IF($F237&lt;&gt;"", XLOOKUP($F237,Productos!$A$2:$A1001,Productos!BG$2:BG1001,"")*$G237,"")</f>
        <v/>
      </c>
      <c r="BO237" s="179" t="str">
        <f t="array" ref="BO237">IF($F237&lt;&gt;"",XLOOKUP($F237,Productos!$A:$A,Productos!BH:BH,"Revisar"),"")</f>
        <v/>
      </c>
      <c r="BP237" s="179" t="str">
        <f t="array" ref="BP237">IF($F237&lt;&gt;"", XLOOKUP($F237,Productos!$A$2:$A1001,Productos!BI$2:BI1001,"")*$G237,"")</f>
        <v/>
      </c>
      <c r="BQ237" s="179" t="str">
        <f t="array" ref="BQ237">IF($F237&lt;&gt;"",XLOOKUP($F237,Productos!$A:$A,Productos!BJ:BJ,"Revisar"),"")</f>
        <v/>
      </c>
      <c r="BR237" s="179" t="str">
        <f t="array" ref="BR237">IF($F237&lt;&gt;"", XLOOKUP($F237,Productos!$A$2:$A1001,Productos!BK$2:BK1001,"")*$G237,"")</f>
        <v/>
      </c>
      <c r="BS237" s="179" t="str">
        <f t="array" ref="BS237">IF($F237&lt;&gt;"",XLOOKUP($F237,Productos!$A:$A,Productos!BL:BL,"Revisar"),"")</f>
        <v/>
      </c>
      <c r="BT237" s="179" t="str">
        <f t="array" ref="BT237">IF($F237&lt;&gt;"", XLOOKUP($F237,Productos!$A$2:$A1001,Productos!BM$2:BM1001,"")*$G237,"")</f>
        <v/>
      </c>
      <c r="BU237" s="179" t="str">
        <f t="array" ref="BU237">IF($F237&lt;&gt;"",XLOOKUP($F237,Productos!$A:$A,Productos!BN:BN,"Revisar"),"")</f>
        <v/>
      </c>
      <c r="BV237" s="179" t="str">
        <f t="array" ref="BV237">IF($F237&lt;&gt;"", XLOOKUP($F237,Productos!$A$2:$A1001,Productos!BO$2:BO1001,"")*$G237,"")</f>
        <v/>
      </c>
      <c r="BW237" s="179" t="str">
        <f t="array" ref="BW237">IF($F237&lt;&gt;"",XLOOKUP($F237,Productos!$A:$A,Productos!BP:BP,"Revisar"),"")</f>
        <v/>
      </c>
      <c r="BX237" s="179" t="str">
        <f t="array" ref="BX237">IF($F237&lt;&gt;"", XLOOKUP($F237,Productos!$A$2:$A1001,Productos!BQ$2:BQ1001,"")*$G237,"")</f>
        <v/>
      </c>
      <c r="BY237" s="179" t="str">
        <f t="array" ref="BY237">IF($F237&lt;&gt;"",XLOOKUP($F237,Productos!$A:$A,Productos!BR:BR,"Revisar"),"")</f>
        <v/>
      </c>
      <c r="BZ237" s="179" t="str">
        <f t="array" ref="BZ237">IF($F237&lt;&gt;"", XLOOKUP($F237,Productos!$A$2:$A1001,Productos!BS$2:BS1001,"")*$G237,"")</f>
        <v/>
      </c>
    </row>
    <row r="238">
      <c r="A238" s="180"/>
      <c r="B238" s="181"/>
      <c r="C238" s="182"/>
      <c r="D238" s="182"/>
      <c r="E238" s="185"/>
      <c r="F238" s="186"/>
      <c r="G238" s="187"/>
      <c r="H238" s="186"/>
      <c r="I238" s="179" t="str">
        <f t="array" ref="I238">IF($F238&lt;&gt;"",XLOOKUP($F238,Productos!$A:$A,Productos!B:B,"Revisar"),"")</f>
        <v/>
      </c>
      <c r="J238" s="179" t="str">
        <f t="array" ref="J238">IF($F238&lt;&gt;"", XLOOKUP($F238,Productos!$A$2:$A1001,Productos!C$2:C1001,"")*$G238,"")</f>
        <v/>
      </c>
      <c r="K238" s="179" t="str">
        <f t="array" ref="K238">IF($F238&lt;&gt;"",XLOOKUP($F238,Productos!$A:$A,Productos!D:D,"Revisar"),"")</f>
        <v/>
      </c>
      <c r="L238" s="179" t="str">
        <f t="array" ref="L238">IF($F238&lt;&gt;"", XLOOKUP($F238,Productos!$A$2:$A1001,Productos!E$2:E1001,"")*$G238,"")</f>
        <v/>
      </c>
      <c r="M238" s="179" t="str">
        <f t="array" ref="M238">IF($F238&lt;&gt;"",XLOOKUP($F238,Productos!$A:$A,Productos!F:F,"Revisar"),"")</f>
        <v/>
      </c>
      <c r="N238" s="179" t="str">
        <f t="array" ref="N238">IF($F238&lt;&gt;"", XLOOKUP($F238,Productos!$A$2:$A1001,Productos!G$2:G1001,"")*$G238,"")</f>
        <v/>
      </c>
      <c r="O238" s="179" t="str">
        <f t="array" ref="O238">IF($F238&lt;&gt;"",XLOOKUP($F238,Productos!$A:$A,Productos!H:H,"Revisar"),"")</f>
        <v/>
      </c>
      <c r="P238" s="179" t="str">
        <f t="array" ref="P238">IF($F238&lt;&gt;"", XLOOKUP($F238,Productos!$A$2:$A1001,Productos!I$2:I1001,"")*$G238,"")</f>
        <v/>
      </c>
      <c r="Q238" s="179" t="str">
        <f t="array" ref="Q238">IF($F238&lt;&gt;"",XLOOKUP($F238,Productos!$A:$A,Productos!J:J,"Revisar"),"")</f>
        <v/>
      </c>
      <c r="R238" s="179" t="str">
        <f t="array" ref="R238">IF($F238&lt;&gt;"", XLOOKUP($F238,Productos!$A$2:$A1001,Productos!K$2:K1001,"")*$G238,"")</f>
        <v/>
      </c>
      <c r="S238" s="179" t="str">
        <f t="array" ref="S238">IF($F238&lt;&gt;"",XLOOKUP($F238,Productos!$A:$A,Productos!L:L,"Revisar"),"")</f>
        <v/>
      </c>
      <c r="T238" s="179" t="str">
        <f t="array" ref="T238">IF($F238&lt;&gt;"", XLOOKUP($F238,Productos!$A$2:$A1001,Productos!M$2:M1001,"")*$G238,"")</f>
        <v/>
      </c>
      <c r="U238" s="179" t="str">
        <f t="array" ref="U238">IF($F238&lt;&gt;"",XLOOKUP($F238,Productos!$A:$A,Productos!N:N,"Revisar"),"")</f>
        <v/>
      </c>
      <c r="V238" s="179" t="str">
        <f t="array" ref="V238">IF($F238&lt;&gt;"", XLOOKUP($F238,Productos!$A$2:$A1001,Productos!O$2:O1001,"")*$G238,"")</f>
        <v/>
      </c>
      <c r="W238" s="179" t="str">
        <f t="array" ref="W238">IF($F238&lt;&gt;"",XLOOKUP($F238,Productos!$A:$A,Productos!P:P,"Revisar"),"")</f>
        <v/>
      </c>
      <c r="X238" s="179" t="str">
        <f t="array" ref="X238">IF($F238&lt;&gt;"", XLOOKUP($F238,Productos!$A$2:$A1001,Productos!Q$2:Q1001,"")*$G238,"")</f>
        <v/>
      </c>
      <c r="Y238" s="179" t="str">
        <f t="array" ref="Y238">IF($F238&lt;&gt;"",XLOOKUP($F238,Productos!$A:$A,Productos!R:R,"Revisar"),"")</f>
        <v/>
      </c>
      <c r="Z238" s="179" t="str">
        <f t="array" ref="Z238">IF($F238&lt;&gt;"", XLOOKUP($F238,Productos!$A$2:$A1001,Productos!S$2:S1001,"")*$G238,"")</f>
        <v/>
      </c>
      <c r="AA238" s="179" t="str">
        <f t="array" ref="AA238">IF($F238&lt;&gt;"",XLOOKUP($F238,Productos!$A:$A,Productos!T:T,"Revisar"),"")</f>
        <v/>
      </c>
      <c r="AB238" s="179" t="str">
        <f t="array" ref="AB238">IF($F238&lt;&gt;"", XLOOKUP($F238,Productos!$A$2:$A1001,Productos!U$2:U1001,"")*$G238,"")</f>
        <v/>
      </c>
      <c r="AC238" s="179" t="str">
        <f t="array" ref="AC238">IF($F238&lt;&gt;"",XLOOKUP($F238,Productos!$A:$A,Productos!V:V,"Revisar"),"")</f>
        <v/>
      </c>
      <c r="AD238" s="179" t="str">
        <f t="array" ref="AD238">IF($F238&lt;&gt;"", XLOOKUP($F238,Productos!$A$2:$A1001,Productos!W$2:W1001,"")*$G238,"")</f>
        <v/>
      </c>
      <c r="AE238" s="179" t="str">
        <f t="array" ref="AE238">IF($F238&lt;&gt;"",XLOOKUP($F238,Productos!$A:$A,Productos!X:X,"Revisar"),"")</f>
        <v/>
      </c>
      <c r="AF238" s="179" t="str">
        <f t="array" ref="AF238">IF($F238&lt;&gt;"", XLOOKUP($F238,Productos!$A$2:$A1001,Productos!Y$2:Y1001,"")*$G238,"")</f>
        <v/>
      </c>
      <c r="AG238" s="179" t="str">
        <f t="array" ref="AG238">IF($F238&lt;&gt;"",XLOOKUP($F238,Productos!$A:$A,Productos!Z:Z,"Revisar"),"")</f>
        <v/>
      </c>
      <c r="AH238" s="179" t="str">
        <f t="array" ref="AH238">IF($F238&lt;&gt;"", XLOOKUP($F238,Productos!$A$2:$A1001,Productos!AA$2:AA1001,"")*$G238,"")</f>
        <v/>
      </c>
      <c r="AI238" s="179" t="str">
        <f t="array" ref="AI238">IF($F238&lt;&gt;"",XLOOKUP($F238,Productos!$A:$A,Productos!AB:AB,"Revisar"),"")</f>
        <v/>
      </c>
      <c r="AJ238" s="179" t="str">
        <f t="array" ref="AJ238">IF($F238&lt;&gt;"", XLOOKUP($F238,Productos!$A$2:$A1001,Productos!AC$2:AC1001,"")*$G238,"")</f>
        <v/>
      </c>
      <c r="AK238" s="179" t="str">
        <f t="array" ref="AK238">IF($F238&lt;&gt;"",XLOOKUP($F238,Productos!$A:$A,Productos!AD:AD,"Revisar"),"")</f>
        <v/>
      </c>
      <c r="AL238" s="179" t="str">
        <f t="array" ref="AL238">IF($F238&lt;&gt;"", XLOOKUP($F238,Productos!$A$2:$A1001,Productos!AE$2:AE1001,"")*$G238,"")</f>
        <v/>
      </c>
      <c r="AM238" s="179" t="str">
        <f t="array" ref="AM238">IF($F238&lt;&gt;"",XLOOKUP($F238,Productos!$A:$A,Productos!AF:AF,"Revisar"),"")</f>
        <v/>
      </c>
      <c r="AN238" s="179" t="str">
        <f t="array" ref="AN238">IF($F238&lt;&gt;"", XLOOKUP($F238,Productos!$A$2:$A1001,Productos!AG$2:AG1001,"")*$G238,"")</f>
        <v/>
      </c>
      <c r="AO238" s="179" t="str">
        <f t="array" ref="AO238">IF($F238&lt;&gt;"",XLOOKUP($F238,Productos!$A:$A,Productos!AH:AH,"Revisar"),"")</f>
        <v/>
      </c>
      <c r="AP238" s="179" t="str">
        <f t="array" ref="AP238">IF($F238&lt;&gt;"", XLOOKUP($F238,Productos!$A$2:$A1001,Productos!AI$2:AI1001,"")*$G238,"")</f>
        <v/>
      </c>
      <c r="AQ238" s="179" t="str">
        <f t="array" ref="AQ238">IF($F238&lt;&gt;"",XLOOKUP($F238,Productos!$A:$A,Productos!AJ:AJ,"Revisar"),"")</f>
        <v/>
      </c>
      <c r="AR238" s="179" t="str">
        <f t="array" ref="AR238">IF($F238&lt;&gt;"", XLOOKUP($F238,Productos!$A$2:$A1001,Productos!AK$2:AK1001,"")*$G238,"")</f>
        <v/>
      </c>
      <c r="AS238" s="179" t="str">
        <f t="array" ref="AS238">IF($F238&lt;&gt;"",XLOOKUP($F238,Productos!$A:$A,Productos!AL:AL,"Revisar"),"")</f>
        <v/>
      </c>
      <c r="AT238" s="179" t="str">
        <f t="array" ref="AT238">IF($F238&lt;&gt;"", XLOOKUP($F238,Productos!$A$2:$A1001,Productos!AM$2:AM1001,"")*$G238,"")</f>
        <v/>
      </c>
      <c r="AU238" s="179" t="str">
        <f t="array" ref="AU238">IF($F238&lt;&gt;"",XLOOKUP($F238,Productos!$A:$A,Productos!AN:AN,"Revisar"),"")</f>
        <v/>
      </c>
      <c r="AV238" s="179" t="str">
        <f t="array" ref="AV238">IF($F238&lt;&gt;"", XLOOKUP($F238,Productos!$A$2:$A1001,Productos!AO$2:AO1001,"")*$G238,"")</f>
        <v/>
      </c>
      <c r="AW238" s="179" t="str">
        <f t="array" ref="AW238">IF($F238&lt;&gt;"",XLOOKUP($F238,Productos!$A:$A,Productos!AP:AP,"Revisar"),"")</f>
        <v/>
      </c>
      <c r="AX238" s="179" t="str">
        <f t="array" ref="AX238">IF($F238&lt;&gt;"", XLOOKUP($F238,Productos!$A$2:$A1001,Productos!AQ$2:AQ1001,"")*$G238,"")</f>
        <v/>
      </c>
      <c r="AY238" s="179" t="str">
        <f t="array" ref="AY238">IF($F238&lt;&gt;"",XLOOKUP($F238,Productos!$A:$A,Productos!AR:AR,"Revisar"),"")</f>
        <v/>
      </c>
      <c r="AZ238" s="179" t="str">
        <f t="array" ref="AZ238">IF($F238&lt;&gt;"", XLOOKUP($F238,Productos!$A$2:$A1001,Productos!AS$2:AS1001,"")*$G238,"")</f>
        <v/>
      </c>
      <c r="BA238" s="179" t="str">
        <f t="array" ref="BA238">IF($F238&lt;&gt;"",XLOOKUP($F238,Productos!$A:$A,Productos!AT:AT,"Revisar"),"")</f>
        <v/>
      </c>
      <c r="BB238" s="179" t="str">
        <f t="array" ref="BB238">IF($F238&lt;&gt;"", XLOOKUP($F238,Productos!$A$2:$A1001,Productos!AU$2:AU1001,"")*$G238,"")</f>
        <v/>
      </c>
      <c r="BC238" s="179" t="str">
        <f t="array" ref="BC238">IF($F238&lt;&gt;"",XLOOKUP($F238,Productos!$A:$A,Productos!AV:AV,"Revisar"),"")</f>
        <v/>
      </c>
      <c r="BD238" s="179" t="str">
        <f t="array" ref="BD238">IF($F238&lt;&gt;"", XLOOKUP($F238,Productos!$A$2:$A1001,Productos!AW$2:AW1001,"")*$G238,"")</f>
        <v/>
      </c>
      <c r="BE238" s="179" t="str">
        <f t="array" ref="BE238">IF($F238&lt;&gt;"",XLOOKUP($F238,Productos!$A:$A,Productos!AX:AX,"Revisar"),"")</f>
        <v/>
      </c>
      <c r="BF238" s="179" t="str">
        <f t="array" ref="BF238">IF($F238&lt;&gt;"", XLOOKUP($F238,Productos!$A$2:$A1001,Productos!AY$2:AY1001,"")*$G238,"")</f>
        <v/>
      </c>
      <c r="BG238" s="179" t="str">
        <f t="array" ref="BG238">IF($F238&lt;&gt;"",XLOOKUP($F238,Productos!$A:$A,Productos!AZ:AZ,"Revisar"),"")</f>
        <v/>
      </c>
      <c r="BH238" s="179" t="str">
        <f t="array" ref="BH238">IF($F238&lt;&gt;"", XLOOKUP($F238,Productos!$A$2:$A1001,Productos!BA$2:BA1001,"")*$G238,"")</f>
        <v/>
      </c>
      <c r="BI238" s="179" t="str">
        <f t="array" ref="BI238">IF($F238&lt;&gt;"",XLOOKUP($F238,Productos!$A:$A,Productos!BB:BB,"Revisar"),"")</f>
        <v/>
      </c>
      <c r="BJ238" s="179" t="str">
        <f t="array" ref="BJ238">IF($F238&lt;&gt;"", XLOOKUP($F238,Productos!$A$2:$A1001,Productos!BC$2:BC1001,"")*$G238,"")</f>
        <v/>
      </c>
      <c r="BK238" s="179" t="str">
        <f t="array" ref="BK238">IF($F238&lt;&gt;"",XLOOKUP($F238,Productos!$A:$A,Productos!BD:BD,"Revisar"),"")</f>
        <v/>
      </c>
      <c r="BL238" s="179" t="str">
        <f t="array" ref="BL238">IF($F238&lt;&gt;"", XLOOKUP($F238,Productos!$A$2:$A1001,Productos!BE$2:BE1001,"")*$G238,"")</f>
        <v/>
      </c>
      <c r="BM238" s="179" t="str">
        <f t="array" ref="BM238">IF($F238&lt;&gt;"",XLOOKUP($F238,Productos!$A:$A,Productos!BF:BF,"Revisar"),"")</f>
        <v/>
      </c>
      <c r="BN238" s="179" t="str">
        <f t="array" ref="BN238">IF($F238&lt;&gt;"", XLOOKUP($F238,Productos!$A$2:$A1001,Productos!BG$2:BG1001,"")*$G238,"")</f>
        <v/>
      </c>
      <c r="BO238" s="179" t="str">
        <f t="array" ref="BO238">IF($F238&lt;&gt;"",XLOOKUP($F238,Productos!$A:$A,Productos!BH:BH,"Revisar"),"")</f>
        <v/>
      </c>
      <c r="BP238" s="179" t="str">
        <f t="array" ref="BP238">IF($F238&lt;&gt;"", XLOOKUP($F238,Productos!$A$2:$A1001,Productos!BI$2:BI1001,"")*$G238,"")</f>
        <v/>
      </c>
      <c r="BQ238" s="179" t="str">
        <f t="array" ref="BQ238">IF($F238&lt;&gt;"",XLOOKUP($F238,Productos!$A:$A,Productos!BJ:BJ,"Revisar"),"")</f>
        <v/>
      </c>
      <c r="BR238" s="179" t="str">
        <f t="array" ref="BR238">IF($F238&lt;&gt;"", XLOOKUP($F238,Productos!$A$2:$A1001,Productos!BK$2:BK1001,"")*$G238,"")</f>
        <v/>
      </c>
      <c r="BS238" s="179" t="str">
        <f t="array" ref="BS238">IF($F238&lt;&gt;"",XLOOKUP($F238,Productos!$A:$A,Productos!BL:BL,"Revisar"),"")</f>
        <v/>
      </c>
      <c r="BT238" s="179" t="str">
        <f t="array" ref="BT238">IF($F238&lt;&gt;"", XLOOKUP($F238,Productos!$A$2:$A1001,Productos!BM$2:BM1001,"")*$G238,"")</f>
        <v/>
      </c>
      <c r="BU238" s="179" t="str">
        <f t="array" ref="BU238">IF($F238&lt;&gt;"",XLOOKUP($F238,Productos!$A:$A,Productos!BN:BN,"Revisar"),"")</f>
        <v/>
      </c>
      <c r="BV238" s="179" t="str">
        <f t="array" ref="BV238">IF($F238&lt;&gt;"", XLOOKUP($F238,Productos!$A$2:$A1001,Productos!BO$2:BO1001,"")*$G238,"")</f>
        <v/>
      </c>
      <c r="BW238" s="179" t="str">
        <f t="array" ref="BW238">IF($F238&lt;&gt;"",XLOOKUP($F238,Productos!$A:$A,Productos!BP:BP,"Revisar"),"")</f>
        <v/>
      </c>
      <c r="BX238" s="179" t="str">
        <f t="array" ref="BX238">IF($F238&lt;&gt;"", XLOOKUP($F238,Productos!$A$2:$A1001,Productos!BQ$2:BQ1001,"")*$G238,"")</f>
        <v/>
      </c>
      <c r="BY238" s="179" t="str">
        <f t="array" ref="BY238">IF($F238&lt;&gt;"",XLOOKUP($F238,Productos!$A:$A,Productos!BR:BR,"Revisar"),"")</f>
        <v/>
      </c>
      <c r="BZ238" s="179" t="str">
        <f t="array" ref="BZ238">IF($F238&lt;&gt;"", XLOOKUP($F238,Productos!$A$2:$A1001,Productos!BS$2:BS1001,"")*$G238,"")</f>
        <v/>
      </c>
    </row>
    <row r="239">
      <c r="A239" s="180"/>
      <c r="B239" s="181"/>
      <c r="C239" s="182"/>
      <c r="D239" s="182"/>
      <c r="E239" s="185"/>
      <c r="F239" s="186"/>
      <c r="G239" s="187"/>
      <c r="H239" s="186"/>
      <c r="I239" s="179" t="str">
        <f t="array" ref="I239">IF($F239&lt;&gt;"",XLOOKUP($F239,Productos!$A:$A,Productos!B:B,"Revisar"),"")</f>
        <v/>
      </c>
      <c r="J239" s="179" t="str">
        <f t="array" ref="J239">IF($F239&lt;&gt;"", XLOOKUP($F239,Productos!$A$2:$A1001,Productos!C$2:C1001,"")*$G239,"")</f>
        <v/>
      </c>
      <c r="K239" s="179" t="str">
        <f t="array" ref="K239">IF($F239&lt;&gt;"",XLOOKUP($F239,Productos!$A:$A,Productos!D:D,"Revisar"),"")</f>
        <v/>
      </c>
      <c r="L239" s="179" t="str">
        <f t="array" ref="L239">IF($F239&lt;&gt;"", XLOOKUP($F239,Productos!$A$2:$A1001,Productos!E$2:E1001,"")*$G239,"")</f>
        <v/>
      </c>
      <c r="M239" s="179" t="str">
        <f t="array" ref="M239">IF($F239&lt;&gt;"",XLOOKUP($F239,Productos!$A:$A,Productos!F:F,"Revisar"),"")</f>
        <v/>
      </c>
      <c r="N239" s="179" t="str">
        <f t="array" ref="N239">IF($F239&lt;&gt;"", XLOOKUP($F239,Productos!$A$2:$A1001,Productos!G$2:G1001,"")*$G239,"")</f>
        <v/>
      </c>
      <c r="O239" s="179" t="str">
        <f t="array" ref="O239">IF($F239&lt;&gt;"",XLOOKUP($F239,Productos!$A:$A,Productos!H:H,"Revisar"),"")</f>
        <v/>
      </c>
      <c r="P239" s="179" t="str">
        <f t="array" ref="P239">IF($F239&lt;&gt;"", XLOOKUP($F239,Productos!$A$2:$A1001,Productos!I$2:I1001,"")*$G239,"")</f>
        <v/>
      </c>
      <c r="Q239" s="179" t="str">
        <f t="array" ref="Q239">IF($F239&lt;&gt;"",XLOOKUP($F239,Productos!$A:$A,Productos!J:J,"Revisar"),"")</f>
        <v/>
      </c>
      <c r="R239" s="179" t="str">
        <f t="array" ref="R239">IF($F239&lt;&gt;"", XLOOKUP($F239,Productos!$A$2:$A1001,Productos!K$2:K1001,"")*$G239,"")</f>
        <v/>
      </c>
      <c r="S239" s="179" t="str">
        <f t="array" ref="S239">IF($F239&lt;&gt;"",XLOOKUP($F239,Productos!$A:$A,Productos!L:L,"Revisar"),"")</f>
        <v/>
      </c>
      <c r="T239" s="179" t="str">
        <f t="array" ref="T239">IF($F239&lt;&gt;"", XLOOKUP($F239,Productos!$A$2:$A1001,Productos!M$2:M1001,"")*$G239,"")</f>
        <v/>
      </c>
      <c r="U239" s="179" t="str">
        <f t="array" ref="U239">IF($F239&lt;&gt;"",XLOOKUP($F239,Productos!$A:$A,Productos!N:N,"Revisar"),"")</f>
        <v/>
      </c>
      <c r="V239" s="179" t="str">
        <f t="array" ref="V239">IF($F239&lt;&gt;"", XLOOKUP($F239,Productos!$A$2:$A1001,Productos!O$2:O1001,"")*$G239,"")</f>
        <v/>
      </c>
      <c r="W239" s="179" t="str">
        <f t="array" ref="W239">IF($F239&lt;&gt;"",XLOOKUP($F239,Productos!$A:$A,Productos!P:P,"Revisar"),"")</f>
        <v/>
      </c>
      <c r="X239" s="179" t="str">
        <f t="array" ref="X239">IF($F239&lt;&gt;"", XLOOKUP($F239,Productos!$A$2:$A1001,Productos!Q$2:Q1001,"")*$G239,"")</f>
        <v/>
      </c>
      <c r="Y239" s="179" t="str">
        <f t="array" ref="Y239">IF($F239&lt;&gt;"",XLOOKUP($F239,Productos!$A:$A,Productos!R:R,"Revisar"),"")</f>
        <v/>
      </c>
      <c r="Z239" s="179" t="str">
        <f t="array" ref="Z239">IF($F239&lt;&gt;"", XLOOKUP($F239,Productos!$A$2:$A1001,Productos!S$2:S1001,"")*$G239,"")</f>
        <v/>
      </c>
      <c r="AA239" s="179" t="str">
        <f t="array" ref="AA239">IF($F239&lt;&gt;"",XLOOKUP($F239,Productos!$A:$A,Productos!T:T,"Revisar"),"")</f>
        <v/>
      </c>
      <c r="AB239" s="179" t="str">
        <f t="array" ref="AB239">IF($F239&lt;&gt;"", XLOOKUP($F239,Productos!$A$2:$A1001,Productos!U$2:U1001,"")*$G239,"")</f>
        <v/>
      </c>
      <c r="AC239" s="179" t="str">
        <f t="array" ref="AC239">IF($F239&lt;&gt;"",XLOOKUP($F239,Productos!$A:$A,Productos!V:V,"Revisar"),"")</f>
        <v/>
      </c>
      <c r="AD239" s="179" t="str">
        <f t="array" ref="AD239">IF($F239&lt;&gt;"", XLOOKUP($F239,Productos!$A$2:$A1001,Productos!W$2:W1001,"")*$G239,"")</f>
        <v/>
      </c>
      <c r="AE239" s="179" t="str">
        <f t="array" ref="AE239">IF($F239&lt;&gt;"",XLOOKUP($F239,Productos!$A:$A,Productos!X:X,"Revisar"),"")</f>
        <v/>
      </c>
      <c r="AF239" s="179" t="str">
        <f t="array" ref="AF239">IF($F239&lt;&gt;"", XLOOKUP($F239,Productos!$A$2:$A1001,Productos!Y$2:Y1001,"")*$G239,"")</f>
        <v/>
      </c>
      <c r="AG239" s="179" t="str">
        <f t="array" ref="AG239">IF($F239&lt;&gt;"",XLOOKUP($F239,Productos!$A:$A,Productos!Z:Z,"Revisar"),"")</f>
        <v/>
      </c>
      <c r="AH239" s="179" t="str">
        <f t="array" ref="AH239">IF($F239&lt;&gt;"", XLOOKUP($F239,Productos!$A$2:$A1001,Productos!AA$2:AA1001,"")*$G239,"")</f>
        <v/>
      </c>
      <c r="AI239" s="179" t="str">
        <f t="array" ref="AI239">IF($F239&lt;&gt;"",XLOOKUP($F239,Productos!$A:$A,Productos!AB:AB,"Revisar"),"")</f>
        <v/>
      </c>
      <c r="AJ239" s="179" t="str">
        <f t="array" ref="AJ239">IF($F239&lt;&gt;"", XLOOKUP($F239,Productos!$A$2:$A1001,Productos!AC$2:AC1001,"")*$G239,"")</f>
        <v/>
      </c>
      <c r="AK239" s="179" t="str">
        <f t="array" ref="AK239">IF($F239&lt;&gt;"",XLOOKUP($F239,Productos!$A:$A,Productos!AD:AD,"Revisar"),"")</f>
        <v/>
      </c>
      <c r="AL239" s="179" t="str">
        <f t="array" ref="AL239">IF($F239&lt;&gt;"", XLOOKUP($F239,Productos!$A$2:$A1001,Productos!AE$2:AE1001,"")*$G239,"")</f>
        <v/>
      </c>
      <c r="AM239" s="179" t="str">
        <f t="array" ref="AM239">IF($F239&lt;&gt;"",XLOOKUP($F239,Productos!$A:$A,Productos!AF:AF,"Revisar"),"")</f>
        <v/>
      </c>
      <c r="AN239" s="179" t="str">
        <f t="array" ref="AN239">IF($F239&lt;&gt;"", XLOOKUP($F239,Productos!$A$2:$A1001,Productos!AG$2:AG1001,"")*$G239,"")</f>
        <v/>
      </c>
      <c r="AO239" s="179" t="str">
        <f t="array" ref="AO239">IF($F239&lt;&gt;"",XLOOKUP($F239,Productos!$A:$A,Productos!AH:AH,"Revisar"),"")</f>
        <v/>
      </c>
      <c r="AP239" s="179" t="str">
        <f t="array" ref="AP239">IF($F239&lt;&gt;"", XLOOKUP($F239,Productos!$A$2:$A1001,Productos!AI$2:AI1001,"")*$G239,"")</f>
        <v/>
      </c>
      <c r="AQ239" s="179" t="str">
        <f t="array" ref="AQ239">IF($F239&lt;&gt;"",XLOOKUP($F239,Productos!$A:$A,Productos!AJ:AJ,"Revisar"),"")</f>
        <v/>
      </c>
      <c r="AR239" s="179" t="str">
        <f t="array" ref="AR239">IF($F239&lt;&gt;"", XLOOKUP($F239,Productos!$A$2:$A1001,Productos!AK$2:AK1001,"")*$G239,"")</f>
        <v/>
      </c>
      <c r="AS239" s="179" t="str">
        <f t="array" ref="AS239">IF($F239&lt;&gt;"",XLOOKUP($F239,Productos!$A:$A,Productos!AL:AL,"Revisar"),"")</f>
        <v/>
      </c>
      <c r="AT239" s="179" t="str">
        <f t="array" ref="AT239">IF($F239&lt;&gt;"", XLOOKUP($F239,Productos!$A$2:$A1001,Productos!AM$2:AM1001,"")*$G239,"")</f>
        <v/>
      </c>
      <c r="AU239" s="179" t="str">
        <f t="array" ref="AU239">IF($F239&lt;&gt;"",XLOOKUP($F239,Productos!$A:$A,Productos!AN:AN,"Revisar"),"")</f>
        <v/>
      </c>
      <c r="AV239" s="179" t="str">
        <f t="array" ref="AV239">IF($F239&lt;&gt;"", XLOOKUP($F239,Productos!$A$2:$A1001,Productos!AO$2:AO1001,"")*$G239,"")</f>
        <v/>
      </c>
      <c r="AW239" s="179" t="str">
        <f t="array" ref="AW239">IF($F239&lt;&gt;"",XLOOKUP($F239,Productos!$A:$A,Productos!AP:AP,"Revisar"),"")</f>
        <v/>
      </c>
      <c r="AX239" s="179" t="str">
        <f t="array" ref="AX239">IF($F239&lt;&gt;"", XLOOKUP($F239,Productos!$A$2:$A1001,Productos!AQ$2:AQ1001,"")*$G239,"")</f>
        <v/>
      </c>
      <c r="AY239" s="179" t="str">
        <f t="array" ref="AY239">IF($F239&lt;&gt;"",XLOOKUP($F239,Productos!$A:$A,Productos!AR:AR,"Revisar"),"")</f>
        <v/>
      </c>
      <c r="AZ239" s="179" t="str">
        <f t="array" ref="AZ239">IF($F239&lt;&gt;"", XLOOKUP($F239,Productos!$A$2:$A1001,Productos!AS$2:AS1001,"")*$G239,"")</f>
        <v/>
      </c>
      <c r="BA239" s="179" t="str">
        <f t="array" ref="BA239">IF($F239&lt;&gt;"",XLOOKUP($F239,Productos!$A:$A,Productos!AT:AT,"Revisar"),"")</f>
        <v/>
      </c>
      <c r="BB239" s="179" t="str">
        <f t="array" ref="BB239">IF($F239&lt;&gt;"", XLOOKUP($F239,Productos!$A$2:$A1001,Productos!AU$2:AU1001,"")*$G239,"")</f>
        <v/>
      </c>
      <c r="BC239" s="179" t="str">
        <f t="array" ref="BC239">IF($F239&lt;&gt;"",XLOOKUP($F239,Productos!$A:$A,Productos!AV:AV,"Revisar"),"")</f>
        <v/>
      </c>
      <c r="BD239" s="179" t="str">
        <f t="array" ref="BD239">IF($F239&lt;&gt;"", XLOOKUP($F239,Productos!$A$2:$A1001,Productos!AW$2:AW1001,"")*$G239,"")</f>
        <v/>
      </c>
      <c r="BE239" s="179" t="str">
        <f t="array" ref="BE239">IF($F239&lt;&gt;"",XLOOKUP($F239,Productos!$A:$A,Productos!AX:AX,"Revisar"),"")</f>
        <v/>
      </c>
      <c r="BF239" s="179" t="str">
        <f t="array" ref="BF239">IF($F239&lt;&gt;"", XLOOKUP($F239,Productos!$A$2:$A1001,Productos!AY$2:AY1001,"")*$G239,"")</f>
        <v/>
      </c>
      <c r="BG239" s="179" t="str">
        <f t="array" ref="BG239">IF($F239&lt;&gt;"",XLOOKUP($F239,Productos!$A:$A,Productos!AZ:AZ,"Revisar"),"")</f>
        <v/>
      </c>
      <c r="BH239" s="179" t="str">
        <f t="array" ref="BH239">IF($F239&lt;&gt;"", XLOOKUP($F239,Productos!$A$2:$A1001,Productos!BA$2:BA1001,"")*$G239,"")</f>
        <v/>
      </c>
      <c r="BI239" s="179" t="str">
        <f t="array" ref="BI239">IF($F239&lt;&gt;"",XLOOKUP($F239,Productos!$A:$A,Productos!BB:BB,"Revisar"),"")</f>
        <v/>
      </c>
      <c r="BJ239" s="179" t="str">
        <f t="array" ref="BJ239">IF($F239&lt;&gt;"", XLOOKUP($F239,Productos!$A$2:$A1001,Productos!BC$2:BC1001,"")*$G239,"")</f>
        <v/>
      </c>
      <c r="BK239" s="179" t="str">
        <f t="array" ref="BK239">IF($F239&lt;&gt;"",XLOOKUP($F239,Productos!$A:$A,Productos!BD:BD,"Revisar"),"")</f>
        <v/>
      </c>
      <c r="BL239" s="179" t="str">
        <f t="array" ref="BL239">IF($F239&lt;&gt;"", XLOOKUP($F239,Productos!$A$2:$A1001,Productos!BE$2:BE1001,"")*$G239,"")</f>
        <v/>
      </c>
      <c r="BM239" s="179" t="str">
        <f t="array" ref="BM239">IF($F239&lt;&gt;"",XLOOKUP($F239,Productos!$A:$A,Productos!BF:BF,"Revisar"),"")</f>
        <v/>
      </c>
      <c r="BN239" s="179" t="str">
        <f t="array" ref="BN239">IF($F239&lt;&gt;"", XLOOKUP($F239,Productos!$A$2:$A1001,Productos!BG$2:BG1001,"")*$G239,"")</f>
        <v/>
      </c>
      <c r="BO239" s="179" t="str">
        <f t="array" ref="BO239">IF($F239&lt;&gt;"",XLOOKUP($F239,Productos!$A:$A,Productos!BH:BH,"Revisar"),"")</f>
        <v/>
      </c>
      <c r="BP239" s="179" t="str">
        <f t="array" ref="BP239">IF($F239&lt;&gt;"", XLOOKUP($F239,Productos!$A$2:$A1001,Productos!BI$2:BI1001,"")*$G239,"")</f>
        <v/>
      </c>
      <c r="BQ239" s="179" t="str">
        <f t="array" ref="BQ239">IF($F239&lt;&gt;"",XLOOKUP($F239,Productos!$A:$A,Productos!BJ:BJ,"Revisar"),"")</f>
        <v/>
      </c>
      <c r="BR239" s="179" t="str">
        <f t="array" ref="BR239">IF($F239&lt;&gt;"", XLOOKUP($F239,Productos!$A$2:$A1001,Productos!BK$2:BK1001,"")*$G239,"")</f>
        <v/>
      </c>
      <c r="BS239" s="179" t="str">
        <f t="array" ref="BS239">IF($F239&lt;&gt;"",XLOOKUP($F239,Productos!$A:$A,Productos!BL:BL,"Revisar"),"")</f>
        <v/>
      </c>
      <c r="BT239" s="179" t="str">
        <f t="array" ref="BT239">IF($F239&lt;&gt;"", XLOOKUP($F239,Productos!$A$2:$A1001,Productos!BM$2:BM1001,"")*$G239,"")</f>
        <v/>
      </c>
      <c r="BU239" s="179" t="str">
        <f t="array" ref="BU239">IF($F239&lt;&gt;"",XLOOKUP($F239,Productos!$A:$A,Productos!BN:BN,"Revisar"),"")</f>
        <v/>
      </c>
      <c r="BV239" s="179" t="str">
        <f t="array" ref="BV239">IF($F239&lt;&gt;"", XLOOKUP($F239,Productos!$A$2:$A1001,Productos!BO$2:BO1001,"")*$G239,"")</f>
        <v/>
      </c>
      <c r="BW239" s="179" t="str">
        <f t="array" ref="BW239">IF($F239&lt;&gt;"",XLOOKUP($F239,Productos!$A:$A,Productos!BP:BP,"Revisar"),"")</f>
        <v/>
      </c>
      <c r="BX239" s="179" t="str">
        <f t="array" ref="BX239">IF($F239&lt;&gt;"", XLOOKUP($F239,Productos!$A$2:$A1001,Productos!BQ$2:BQ1001,"")*$G239,"")</f>
        <v/>
      </c>
      <c r="BY239" s="179" t="str">
        <f t="array" ref="BY239">IF($F239&lt;&gt;"",XLOOKUP($F239,Productos!$A:$A,Productos!BR:BR,"Revisar"),"")</f>
        <v/>
      </c>
      <c r="BZ239" s="179" t="str">
        <f t="array" ref="BZ239">IF($F239&lt;&gt;"", XLOOKUP($F239,Productos!$A$2:$A1001,Productos!BS$2:BS1001,"")*$G239,"")</f>
        <v/>
      </c>
    </row>
    <row r="240">
      <c r="A240" s="180"/>
      <c r="B240" s="181"/>
      <c r="C240" s="182"/>
      <c r="D240" s="182"/>
      <c r="E240" s="185"/>
      <c r="F240" s="186"/>
      <c r="G240" s="187"/>
      <c r="H240" s="186"/>
      <c r="I240" s="179" t="str">
        <f t="array" ref="I240">IF($F240&lt;&gt;"",XLOOKUP($F240,Productos!$A:$A,Productos!B:B,"Revisar"),"")</f>
        <v/>
      </c>
      <c r="J240" s="179" t="str">
        <f t="array" ref="J240">IF($F240&lt;&gt;"", XLOOKUP($F240,Productos!$A$2:$A1001,Productos!C$2:C1001,"")*$G240,"")</f>
        <v/>
      </c>
      <c r="K240" s="179" t="str">
        <f t="array" ref="K240">IF($F240&lt;&gt;"",XLOOKUP($F240,Productos!$A:$A,Productos!D:D,"Revisar"),"")</f>
        <v/>
      </c>
      <c r="L240" s="179" t="str">
        <f t="array" ref="L240">IF($F240&lt;&gt;"", XLOOKUP($F240,Productos!$A$2:$A1001,Productos!E$2:E1001,"")*$G240,"")</f>
        <v/>
      </c>
      <c r="M240" s="179" t="str">
        <f t="array" ref="M240">IF($F240&lt;&gt;"",XLOOKUP($F240,Productos!$A:$A,Productos!F:F,"Revisar"),"")</f>
        <v/>
      </c>
      <c r="N240" s="179" t="str">
        <f t="array" ref="N240">IF($F240&lt;&gt;"", XLOOKUP($F240,Productos!$A$2:$A1001,Productos!G$2:G1001,"")*$G240,"")</f>
        <v/>
      </c>
      <c r="O240" s="179" t="str">
        <f t="array" ref="O240">IF($F240&lt;&gt;"",XLOOKUP($F240,Productos!$A:$A,Productos!H:H,"Revisar"),"")</f>
        <v/>
      </c>
      <c r="P240" s="179" t="str">
        <f t="array" ref="P240">IF($F240&lt;&gt;"", XLOOKUP($F240,Productos!$A$2:$A1001,Productos!I$2:I1001,"")*$G240,"")</f>
        <v/>
      </c>
      <c r="Q240" s="179" t="str">
        <f t="array" ref="Q240">IF($F240&lt;&gt;"",XLOOKUP($F240,Productos!$A:$A,Productos!J:J,"Revisar"),"")</f>
        <v/>
      </c>
      <c r="R240" s="179" t="str">
        <f t="array" ref="R240">IF($F240&lt;&gt;"", XLOOKUP($F240,Productos!$A$2:$A1001,Productos!K$2:K1001,"")*$G240,"")</f>
        <v/>
      </c>
      <c r="S240" s="179" t="str">
        <f t="array" ref="S240">IF($F240&lt;&gt;"",XLOOKUP($F240,Productos!$A:$A,Productos!L:L,"Revisar"),"")</f>
        <v/>
      </c>
      <c r="T240" s="179" t="str">
        <f t="array" ref="T240">IF($F240&lt;&gt;"", XLOOKUP($F240,Productos!$A$2:$A1001,Productos!M$2:M1001,"")*$G240,"")</f>
        <v/>
      </c>
      <c r="U240" s="179" t="str">
        <f t="array" ref="U240">IF($F240&lt;&gt;"",XLOOKUP($F240,Productos!$A:$A,Productos!N:N,"Revisar"),"")</f>
        <v/>
      </c>
      <c r="V240" s="179" t="str">
        <f t="array" ref="V240">IF($F240&lt;&gt;"", XLOOKUP($F240,Productos!$A$2:$A1001,Productos!O$2:O1001,"")*$G240,"")</f>
        <v/>
      </c>
      <c r="W240" s="179" t="str">
        <f t="array" ref="W240">IF($F240&lt;&gt;"",XLOOKUP($F240,Productos!$A:$A,Productos!P:P,"Revisar"),"")</f>
        <v/>
      </c>
      <c r="X240" s="179" t="str">
        <f t="array" ref="X240">IF($F240&lt;&gt;"", XLOOKUP($F240,Productos!$A$2:$A1001,Productos!Q$2:Q1001,"")*$G240,"")</f>
        <v/>
      </c>
      <c r="Y240" s="179" t="str">
        <f t="array" ref="Y240">IF($F240&lt;&gt;"",XLOOKUP($F240,Productos!$A:$A,Productos!R:R,"Revisar"),"")</f>
        <v/>
      </c>
      <c r="Z240" s="179" t="str">
        <f t="array" ref="Z240">IF($F240&lt;&gt;"", XLOOKUP($F240,Productos!$A$2:$A1001,Productos!S$2:S1001,"")*$G240,"")</f>
        <v/>
      </c>
      <c r="AA240" s="179" t="str">
        <f t="array" ref="AA240">IF($F240&lt;&gt;"",XLOOKUP($F240,Productos!$A:$A,Productos!T:T,"Revisar"),"")</f>
        <v/>
      </c>
      <c r="AB240" s="179" t="str">
        <f t="array" ref="AB240">IF($F240&lt;&gt;"", XLOOKUP($F240,Productos!$A$2:$A1001,Productos!U$2:U1001,"")*$G240,"")</f>
        <v/>
      </c>
      <c r="AC240" s="179" t="str">
        <f t="array" ref="AC240">IF($F240&lt;&gt;"",XLOOKUP($F240,Productos!$A:$A,Productos!V:V,"Revisar"),"")</f>
        <v/>
      </c>
      <c r="AD240" s="179" t="str">
        <f t="array" ref="AD240">IF($F240&lt;&gt;"", XLOOKUP($F240,Productos!$A$2:$A1001,Productos!W$2:W1001,"")*$G240,"")</f>
        <v/>
      </c>
      <c r="AE240" s="179" t="str">
        <f t="array" ref="AE240">IF($F240&lt;&gt;"",XLOOKUP($F240,Productos!$A:$A,Productos!X:X,"Revisar"),"")</f>
        <v/>
      </c>
      <c r="AF240" s="179" t="str">
        <f t="array" ref="AF240">IF($F240&lt;&gt;"", XLOOKUP($F240,Productos!$A$2:$A1001,Productos!Y$2:Y1001,"")*$G240,"")</f>
        <v/>
      </c>
      <c r="AG240" s="179" t="str">
        <f t="array" ref="AG240">IF($F240&lt;&gt;"",XLOOKUP($F240,Productos!$A:$A,Productos!Z:Z,"Revisar"),"")</f>
        <v/>
      </c>
      <c r="AH240" s="179" t="str">
        <f t="array" ref="AH240">IF($F240&lt;&gt;"", XLOOKUP($F240,Productos!$A$2:$A1001,Productos!AA$2:AA1001,"")*$G240,"")</f>
        <v/>
      </c>
      <c r="AI240" s="179" t="str">
        <f t="array" ref="AI240">IF($F240&lt;&gt;"",XLOOKUP($F240,Productos!$A:$A,Productos!AB:AB,"Revisar"),"")</f>
        <v/>
      </c>
      <c r="AJ240" s="179" t="str">
        <f t="array" ref="AJ240">IF($F240&lt;&gt;"", XLOOKUP($F240,Productos!$A$2:$A1001,Productos!AC$2:AC1001,"")*$G240,"")</f>
        <v/>
      </c>
      <c r="AK240" s="179" t="str">
        <f t="array" ref="AK240">IF($F240&lt;&gt;"",XLOOKUP($F240,Productos!$A:$A,Productos!AD:AD,"Revisar"),"")</f>
        <v/>
      </c>
      <c r="AL240" s="179" t="str">
        <f t="array" ref="AL240">IF($F240&lt;&gt;"", XLOOKUP($F240,Productos!$A$2:$A1001,Productos!AE$2:AE1001,"")*$G240,"")</f>
        <v/>
      </c>
      <c r="AM240" s="179" t="str">
        <f t="array" ref="AM240">IF($F240&lt;&gt;"",XLOOKUP($F240,Productos!$A:$A,Productos!AF:AF,"Revisar"),"")</f>
        <v/>
      </c>
      <c r="AN240" s="179" t="str">
        <f t="array" ref="AN240">IF($F240&lt;&gt;"", XLOOKUP($F240,Productos!$A$2:$A1001,Productos!AG$2:AG1001,"")*$G240,"")</f>
        <v/>
      </c>
      <c r="AO240" s="179" t="str">
        <f t="array" ref="AO240">IF($F240&lt;&gt;"",XLOOKUP($F240,Productos!$A:$A,Productos!AH:AH,"Revisar"),"")</f>
        <v/>
      </c>
      <c r="AP240" s="179" t="str">
        <f t="array" ref="AP240">IF($F240&lt;&gt;"", XLOOKUP($F240,Productos!$A$2:$A1001,Productos!AI$2:AI1001,"")*$G240,"")</f>
        <v/>
      </c>
      <c r="AQ240" s="179" t="str">
        <f t="array" ref="AQ240">IF($F240&lt;&gt;"",XLOOKUP($F240,Productos!$A:$A,Productos!AJ:AJ,"Revisar"),"")</f>
        <v/>
      </c>
      <c r="AR240" s="179" t="str">
        <f t="array" ref="AR240">IF($F240&lt;&gt;"", XLOOKUP($F240,Productos!$A$2:$A1001,Productos!AK$2:AK1001,"")*$G240,"")</f>
        <v/>
      </c>
      <c r="AS240" s="179" t="str">
        <f t="array" ref="AS240">IF($F240&lt;&gt;"",XLOOKUP($F240,Productos!$A:$A,Productos!AL:AL,"Revisar"),"")</f>
        <v/>
      </c>
      <c r="AT240" s="179" t="str">
        <f t="array" ref="AT240">IF($F240&lt;&gt;"", XLOOKUP($F240,Productos!$A$2:$A1001,Productos!AM$2:AM1001,"")*$G240,"")</f>
        <v/>
      </c>
      <c r="AU240" s="179" t="str">
        <f t="array" ref="AU240">IF($F240&lt;&gt;"",XLOOKUP($F240,Productos!$A:$A,Productos!AN:AN,"Revisar"),"")</f>
        <v/>
      </c>
      <c r="AV240" s="179" t="str">
        <f t="array" ref="AV240">IF($F240&lt;&gt;"", XLOOKUP($F240,Productos!$A$2:$A1001,Productos!AO$2:AO1001,"")*$G240,"")</f>
        <v/>
      </c>
      <c r="AW240" s="179" t="str">
        <f t="array" ref="AW240">IF($F240&lt;&gt;"",XLOOKUP($F240,Productos!$A:$A,Productos!AP:AP,"Revisar"),"")</f>
        <v/>
      </c>
      <c r="AX240" s="179" t="str">
        <f t="array" ref="AX240">IF($F240&lt;&gt;"", XLOOKUP($F240,Productos!$A$2:$A1001,Productos!AQ$2:AQ1001,"")*$G240,"")</f>
        <v/>
      </c>
      <c r="AY240" s="179" t="str">
        <f t="array" ref="AY240">IF($F240&lt;&gt;"",XLOOKUP($F240,Productos!$A:$A,Productos!AR:AR,"Revisar"),"")</f>
        <v/>
      </c>
      <c r="AZ240" s="179" t="str">
        <f t="array" ref="AZ240">IF($F240&lt;&gt;"", XLOOKUP($F240,Productos!$A$2:$A1001,Productos!AS$2:AS1001,"")*$G240,"")</f>
        <v/>
      </c>
      <c r="BA240" s="179" t="str">
        <f t="array" ref="BA240">IF($F240&lt;&gt;"",XLOOKUP($F240,Productos!$A:$A,Productos!AT:AT,"Revisar"),"")</f>
        <v/>
      </c>
      <c r="BB240" s="179" t="str">
        <f t="array" ref="BB240">IF($F240&lt;&gt;"", XLOOKUP($F240,Productos!$A$2:$A1001,Productos!AU$2:AU1001,"")*$G240,"")</f>
        <v/>
      </c>
      <c r="BC240" s="179" t="str">
        <f t="array" ref="BC240">IF($F240&lt;&gt;"",XLOOKUP($F240,Productos!$A:$A,Productos!AV:AV,"Revisar"),"")</f>
        <v/>
      </c>
      <c r="BD240" s="179" t="str">
        <f t="array" ref="BD240">IF($F240&lt;&gt;"", XLOOKUP($F240,Productos!$A$2:$A1001,Productos!AW$2:AW1001,"")*$G240,"")</f>
        <v/>
      </c>
      <c r="BE240" s="179" t="str">
        <f t="array" ref="BE240">IF($F240&lt;&gt;"",XLOOKUP($F240,Productos!$A:$A,Productos!AX:AX,"Revisar"),"")</f>
        <v/>
      </c>
      <c r="BF240" s="179" t="str">
        <f t="array" ref="BF240">IF($F240&lt;&gt;"", XLOOKUP($F240,Productos!$A$2:$A1001,Productos!AY$2:AY1001,"")*$G240,"")</f>
        <v/>
      </c>
      <c r="BG240" s="179" t="str">
        <f t="array" ref="BG240">IF($F240&lt;&gt;"",XLOOKUP($F240,Productos!$A:$A,Productos!AZ:AZ,"Revisar"),"")</f>
        <v/>
      </c>
      <c r="BH240" s="179" t="str">
        <f t="array" ref="BH240">IF($F240&lt;&gt;"", XLOOKUP($F240,Productos!$A$2:$A1001,Productos!BA$2:BA1001,"")*$G240,"")</f>
        <v/>
      </c>
      <c r="BI240" s="179" t="str">
        <f t="array" ref="BI240">IF($F240&lt;&gt;"",XLOOKUP($F240,Productos!$A:$A,Productos!BB:BB,"Revisar"),"")</f>
        <v/>
      </c>
      <c r="BJ240" s="179" t="str">
        <f t="array" ref="BJ240">IF($F240&lt;&gt;"", XLOOKUP($F240,Productos!$A$2:$A1001,Productos!BC$2:BC1001,"")*$G240,"")</f>
        <v/>
      </c>
      <c r="BK240" s="179" t="str">
        <f t="array" ref="BK240">IF($F240&lt;&gt;"",XLOOKUP($F240,Productos!$A:$A,Productos!BD:BD,"Revisar"),"")</f>
        <v/>
      </c>
      <c r="BL240" s="179" t="str">
        <f t="array" ref="BL240">IF($F240&lt;&gt;"", XLOOKUP($F240,Productos!$A$2:$A1001,Productos!BE$2:BE1001,"")*$G240,"")</f>
        <v/>
      </c>
      <c r="BM240" s="179" t="str">
        <f t="array" ref="BM240">IF($F240&lt;&gt;"",XLOOKUP($F240,Productos!$A:$A,Productos!BF:BF,"Revisar"),"")</f>
        <v/>
      </c>
      <c r="BN240" s="179" t="str">
        <f t="array" ref="BN240">IF($F240&lt;&gt;"", XLOOKUP($F240,Productos!$A$2:$A1001,Productos!BG$2:BG1001,"")*$G240,"")</f>
        <v/>
      </c>
      <c r="BO240" s="179" t="str">
        <f t="array" ref="BO240">IF($F240&lt;&gt;"",XLOOKUP($F240,Productos!$A:$A,Productos!BH:BH,"Revisar"),"")</f>
        <v/>
      </c>
      <c r="BP240" s="179" t="str">
        <f t="array" ref="BP240">IF($F240&lt;&gt;"", XLOOKUP($F240,Productos!$A$2:$A1001,Productos!BI$2:BI1001,"")*$G240,"")</f>
        <v/>
      </c>
      <c r="BQ240" s="179" t="str">
        <f t="array" ref="BQ240">IF($F240&lt;&gt;"",XLOOKUP($F240,Productos!$A:$A,Productos!BJ:BJ,"Revisar"),"")</f>
        <v/>
      </c>
      <c r="BR240" s="179" t="str">
        <f t="array" ref="BR240">IF($F240&lt;&gt;"", XLOOKUP($F240,Productos!$A$2:$A1001,Productos!BK$2:BK1001,"")*$G240,"")</f>
        <v/>
      </c>
      <c r="BS240" s="179" t="str">
        <f t="array" ref="BS240">IF($F240&lt;&gt;"",XLOOKUP($F240,Productos!$A:$A,Productos!BL:BL,"Revisar"),"")</f>
        <v/>
      </c>
      <c r="BT240" s="179" t="str">
        <f t="array" ref="BT240">IF($F240&lt;&gt;"", XLOOKUP($F240,Productos!$A$2:$A1001,Productos!BM$2:BM1001,"")*$G240,"")</f>
        <v/>
      </c>
      <c r="BU240" s="179" t="str">
        <f t="array" ref="BU240">IF($F240&lt;&gt;"",XLOOKUP($F240,Productos!$A:$A,Productos!BN:BN,"Revisar"),"")</f>
        <v/>
      </c>
      <c r="BV240" s="179" t="str">
        <f t="array" ref="BV240">IF($F240&lt;&gt;"", XLOOKUP($F240,Productos!$A$2:$A1001,Productos!BO$2:BO1001,"")*$G240,"")</f>
        <v/>
      </c>
      <c r="BW240" s="179" t="str">
        <f t="array" ref="BW240">IF($F240&lt;&gt;"",XLOOKUP($F240,Productos!$A:$A,Productos!BP:BP,"Revisar"),"")</f>
        <v/>
      </c>
      <c r="BX240" s="179" t="str">
        <f t="array" ref="BX240">IF($F240&lt;&gt;"", XLOOKUP($F240,Productos!$A$2:$A1001,Productos!BQ$2:BQ1001,"")*$G240,"")</f>
        <v/>
      </c>
      <c r="BY240" s="179" t="str">
        <f t="array" ref="BY240">IF($F240&lt;&gt;"",XLOOKUP($F240,Productos!$A:$A,Productos!BR:BR,"Revisar"),"")</f>
        <v/>
      </c>
      <c r="BZ240" s="179" t="str">
        <f t="array" ref="BZ240">IF($F240&lt;&gt;"", XLOOKUP($F240,Productos!$A$2:$A1001,Productos!BS$2:BS1001,"")*$G240,"")</f>
        <v/>
      </c>
    </row>
    <row r="241">
      <c r="A241" s="180"/>
      <c r="B241" s="181"/>
      <c r="C241" s="182"/>
      <c r="D241" s="182"/>
      <c r="E241" s="185"/>
      <c r="F241" s="186"/>
      <c r="G241" s="187"/>
      <c r="H241" s="186"/>
      <c r="I241" s="179" t="str">
        <f t="array" ref="I241">IF($F241&lt;&gt;"",XLOOKUP($F241,Productos!$A:$A,Productos!B:B,"Revisar"),"")</f>
        <v/>
      </c>
      <c r="J241" s="179" t="str">
        <f t="array" ref="J241">IF($F241&lt;&gt;"", XLOOKUP($F241,Productos!$A$2:$A1001,Productos!C$2:C1001,"")*$G241,"")</f>
        <v/>
      </c>
      <c r="K241" s="179" t="str">
        <f t="array" ref="K241">IF($F241&lt;&gt;"",XLOOKUP($F241,Productos!$A:$A,Productos!D:D,"Revisar"),"")</f>
        <v/>
      </c>
      <c r="L241" s="179" t="str">
        <f t="array" ref="L241">IF($F241&lt;&gt;"", XLOOKUP($F241,Productos!$A$2:$A1001,Productos!E$2:E1001,"")*$G241,"")</f>
        <v/>
      </c>
      <c r="M241" s="179" t="str">
        <f t="array" ref="M241">IF($F241&lt;&gt;"",XLOOKUP($F241,Productos!$A:$A,Productos!F:F,"Revisar"),"")</f>
        <v/>
      </c>
      <c r="N241" s="179" t="str">
        <f t="array" ref="N241">IF($F241&lt;&gt;"", XLOOKUP($F241,Productos!$A$2:$A1001,Productos!G$2:G1001,"")*$G241,"")</f>
        <v/>
      </c>
      <c r="O241" s="179" t="str">
        <f t="array" ref="O241">IF($F241&lt;&gt;"",XLOOKUP($F241,Productos!$A:$A,Productos!H:H,"Revisar"),"")</f>
        <v/>
      </c>
      <c r="P241" s="179" t="str">
        <f t="array" ref="P241">IF($F241&lt;&gt;"", XLOOKUP($F241,Productos!$A$2:$A1001,Productos!I$2:I1001,"")*$G241,"")</f>
        <v/>
      </c>
      <c r="Q241" s="179" t="str">
        <f t="array" ref="Q241">IF($F241&lt;&gt;"",XLOOKUP($F241,Productos!$A:$A,Productos!J:J,"Revisar"),"")</f>
        <v/>
      </c>
      <c r="R241" s="179" t="str">
        <f t="array" ref="R241">IF($F241&lt;&gt;"", XLOOKUP($F241,Productos!$A$2:$A1001,Productos!K$2:K1001,"")*$G241,"")</f>
        <v/>
      </c>
      <c r="S241" s="179" t="str">
        <f t="array" ref="S241">IF($F241&lt;&gt;"",XLOOKUP($F241,Productos!$A:$A,Productos!L:L,"Revisar"),"")</f>
        <v/>
      </c>
      <c r="T241" s="179" t="str">
        <f t="array" ref="T241">IF($F241&lt;&gt;"", XLOOKUP($F241,Productos!$A$2:$A1001,Productos!M$2:M1001,"")*$G241,"")</f>
        <v/>
      </c>
      <c r="U241" s="179" t="str">
        <f t="array" ref="U241">IF($F241&lt;&gt;"",XLOOKUP($F241,Productos!$A:$A,Productos!N:N,"Revisar"),"")</f>
        <v/>
      </c>
      <c r="V241" s="179" t="str">
        <f t="array" ref="V241">IF($F241&lt;&gt;"", XLOOKUP($F241,Productos!$A$2:$A1001,Productos!O$2:O1001,"")*$G241,"")</f>
        <v/>
      </c>
      <c r="W241" s="179" t="str">
        <f t="array" ref="W241">IF($F241&lt;&gt;"",XLOOKUP($F241,Productos!$A:$A,Productos!P:P,"Revisar"),"")</f>
        <v/>
      </c>
      <c r="X241" s="179" t="str">
        <f t="array" ref="X241">IF($F241&lt;&gt;"", XLOOKUP($F241,Productos!$A$2:$A1001,Productos!Q$2:Q1001,"")*$G241,"")</f>
        <v/>
      </c>
      <c r="Y241" s="179" t="str">
        <f t="array" ref="Y241">IF($F241&lt;&gt;"",XLOOKUP($F241,Productos!$A:$A,Productos!R:R,"Revisar"),"")</f>
        <v/>
      </c>
      <c r="Z241" s="179" t="str">
        <f t="array" ref="Z241">IF($F241&lt;&gt;"", XLOOKUP($F241,Productos!$A$2:$A1001,Productos!S$2:S1001,"")*$G241,"")</f>
        <v/>
      </c>
      <c r="AA241" s="179" t="str">
        <f t="array" ref="AA241">IF($F241&lt;&gt;"",XLOOKUP($F241,Productos!$A:$A,Productos!T:T,"Revisar"),"")</f>
        <v/>
      </c>
      <c r="AB241" s="179" t="str">
        <f t="array" ref="AB241">IF($F241&lt;&gt;"", XLOOKUP($F241,Productos!$A$2:$A1001,Productos!U$2:U1001,"")*$G241,"")</f>
        <v/>
      </c>
      <c r="AC241" s="179" t="str">
        <f t="array" ref="AC241">IF($F241&lt;&gt;"",XLOOKUP($F241,Productos!$A:$A,Productos!V:V,"Revisar"),"")</f>
        <v/>
      </c>
      <c r="AD241" s="179" t="str">
        <f t="array" ref="AD241">IF($F241&lt;&gt;"", XLOOKUP($F241,Productos!$A$2:$A1001,Productos!W$2:W1001,"")*$G241,"")</f>
        <v/>
      </c>
      <c r="AE241" s="179" t="str">
        <f t="array" ref="AE241">IF($F241&lt;&gt;"",XLOOKUP($F241,Productos!$A:$A,Productos!X:X,"Revisar"),"")</f>
        <v/>
      </c>
      <c r="AF241" s="179" t="str">
        <f t="array" ref="AF241">IF($F241&lt;&gt;"", XLOOKUP($F241,Productos!$A$2:$A1001,Productos!Y$2:Y1001,"")*$G241,"")</f>
        <v/>
      </c>
      <c r="AG241" s="179" t="str">
        <f t="array" ref="AG241">IF($F241&lt;&gt;"",XLOOKUP($F241,Productos!$A:$A,Productos!Z:Z,"Revisar"),"")</f>
        <v/>
      </c>
      <c r="AH241" s="179" t="str">
        <f t="array" ref="AH241">IF($F241&lt;&gt;"", XLOOKUP($F241,Productos!$A$2:$A1001,Productos!AA$2:AA1001,"")*$G241,"")</f>
        <v/>
      </c>
      <c r="AI241" s="179" t="str">
        <f t="array" ref="AI241">IF($F241&lt;&gt;"",XLOOKUP($F241,Productos!$A:$A,Productos!AB:AB,"Revisar"),"")</f>
        <v/>
      </c>
      <c r="AJ241" s="179" t="str">
        <f t="array" ref="AJ241">IF($F241&lt;&gt;"", XLOOKUP($F241,Productos!$A$2:$A1001,Productos!AC$2:AC1001,"")*$G241,"")</f>
        <v/>
      </c>
      <c r="AK241" s="179" t="str">
        <f t="array" ref="AK241">IF($F241&lt;&gt;"",XLOOKUP($F241,Productos!$A:$A,Productos!AD:AD,"Revisar"),"")</f>
        <v/>
      </c>
      <c r="AL241" s="179" t="str">
        <f t="array" ref="AL241">IF($F241&lt;&gt;"", XLOOKUP($F241,Productos!$A$2:$A1001,Productos!AE$2:AE1001,"")*$G241,"")</f>
        <v/>
      </c>
      <c r="AM241" s="179" t="str">
        <f t="array" ref="AM241">IF($F241&lt;&gt;"",XLOOKUP($F241,Productos!$A:$A,Productos!AF:AF,"Revisar"),"")</f>
        <v/>
      </c>
      <c r="AN241" s="179" t="str">
        <f t="array" ref="AN241">IF($F241&lt;&gt;"", XLOOKUP($F241,Productos!$A$2:$A1001,Productos!AG$2:AG1001,"")*$G241,"")</f>
        <v/>
      </c>
      <c r="AO241" s="179" t="str">
        <f t="array" ref="AO241">IF($F241&lt;&gt;"",XLOOKUP($F241,Productos!$A:$A,Productos!AH:AH,"Revisar"),"")</f>
        <v/>
      </c>
      <c r="AP241" s="179" t="str">
        <f t="array" ref="AP241">IF($F241&lt;&gt;"", XLOOKUP($F241,Productos!$A$2:$A1001,Productos!AI$2:AI1001,"")*$G241,"")</f>
        <v/>
      </c>
      <c r="AQ241" s="179" t="str">
        <f t="array" ref="AQ241">IF($F241&lt;&gt;"",XLOOKUP($F241,Productos!$A:$A,Productos!AJ:AJ,"Revisar"),"")</f>
        <v/>
      </c>
      <c r="AR241" s="179" t="str">
        <f t="array" ref="AR241">IF($F241&lt;&gt;"", XLOOKUP($F241,Productos!$A$2:$A1001,Productos!AK$2:AK1001,"")*$G241,"")</f>
        <v/>
      </c>
      <c r="AS241" s="179" t="str">
        <f t="array" ref="AS241">IF($F241&lt;&gt;"",XLOOKUP($F241,Productos!$A:$A,Productos!AL:AL,"Revisar"),"")</f>
        <v/>
      </c>
      <c r="AT241" s="179" t="str">
        <f t="array" ref="AT241">IF($F241&lt;&gt;"", XLOOKUP($F241,Productos!$A$2:$A1001,Productos!AM$2:AM1001,"")*$G241,"")</f>
        <v/>
      </c>
      <c r="AU241" s="179" t="str">
        <f t="array" ref="AU241">IF($F241&lt;&gt;"",XLOOKUP($F241,Productos!$A:$A,Productos!AN:AN,"Revisar"),"")</f>
        <v/>
      </c>
      <c r="AV241" s="179" t="str">
        <f t="array" ref="AV241">IF($F241&lt;&gt;"", XLOOKUP($F241,Productos!$A$2:$A1001,Productos!AO$2:AO1001,"")*$G241,"")</f>
        <v/>
      </c>
      <c r="AW241" s="179" t="str">
        <f t="array" ref="AW241">IF($F241&lt;&gt;"",XLOOKUP($F241,Productos!$A:$A,Productos!AP:AP,"Revisar"),"")</f>
        <v/>
      </c>
      <c r="AX241" s="179" t="str">
        <f t="array" ref="AX241">IF($F241&lt;&gt;"", XLOOKUP($F241,Productos!$A$2:$A1001,Productos!AQ$2:AQ1001,"")*$G241,"")</f>
        <v/>
      </c>
      <c r="AY241" s="179" t="str">
        <f t="array" ref="AY241">IF($F241&lt;&gt;"",XLOOKUP($F241,Productos!$A:$A,Productos!AR:AR,"Revisar"),"")</f>
        <v/>
      </c>
      <c r="AZ241" s="179" t="str">
        <f t="array" ref="AZ241">IF($F241&lt;&gt;"", XLOOKUP($F241,Productos!$A$2:$A1001,Productos!AS$2:AS1001,"")*$G241,"")</f>
        <v/>
      </c>
      <c r="BA241" s="179" t="str">
        <f t="array" ref="BA241">IF($F241&lt;&gt;"",XLOOKUP($F241,Productos!$A:$A,Productos!AT:AT,"Revisar"),"")</f>
        <v/>
      </c>
      <c r="BB241" s="179" t="str">
        <f t="array" ref="BB241">IF($F241&lt;&gt;"", XLOOKUP($F241,Productos!$A$2:$A1001,Productos!AU$2:AU1001,"")*$G241,"")</f>
        <v/>
      </c>
      <c r="BC241" s="179" t="str">
        <f t="array" ref="BC241">IF($F241&lt;&gt;"",XLOOKUP($F241,Productos!$A:$A,Productos!AV:AV,"Revisar"),"")</f>
        <v/>
      </c>
      <c r="BD241" s="179" t="str">
        <f t="array" ref="BD241">IF($F241&lt;&gt;"", XLOOKUP($F241,Productos!$A$2:$A1001,Productos!AW$2:AW1001,"")*$G241,"")</f>
        <v/>
      </c>
      <c r="BE241" s="179" t="str">
        <f t="array" ref="BE241">IF($F241&lt;&gt;"",XLOOKUP($F241,Productos!$A:$A,Productos!AX:AX,"Revisar"),"")</f>
        <v/>
      </c>
      <c r="BF241" s="179" t="str">
        <f t="array" ref="BF241">IF($F241&lt;&gt;"", XLOOKUP($F241,Productos!$A$2:$A1001,Productos!AY$2:AY1001,"")*$G241,"")</f>
        <v/>
      </c>
      <c r="BG241" s="179" t="str">
        <f t="array" ref="BG241">IF($F241&lt;&gt;"",XLOOKUP($F241,Productos!$A:$A,Productos!AZ:AZ,"Revisar"),"")</f>
        <v/>
      </c>
      <c r="BH241" s="179" t="str">
        <f t="array" ref="BH241">IF($F241&lt;&gt;"", XLOOKUP($F241,Productos!$A$2:$A1001,Productos!BA$2:BA1001,"")*$G241,"")</f>
        <v/>
      </c>
      <c r="BI241" s="179" t="str">
        <f t="array" ref="BI241">IF($F241&lt;&gt;"",XLOOKUP($F241,Productos!$A:$A,Productos!BB:BB,"Revisar"),"")</f>
        <v/>
      </c>
      <c r="BJ241" s="179" t="str">
        <f t="array" ref="BJ241">IF($F241&lt;&gt;"", XLOOKUP($F241,Productos!$A$2:$A1001,Productos!BC$2:BC1001,"")*$G241,"")</f>
        <v/>
      </c>
      <c r="BK241" s="179" t="str">
        <f t="array" ref="BK241">IF($F241&lt;&gt;"",XLOOKUP($F241,Productos!$A:$A,Productos!BD:BD,"Revisar"),"")</f>
        <v/>
      </c>
      <c r="BL241" s="179" t="str">
        <f t="array" ref="BL241">IF($F241&lt;&gt;"", XLOOKUP($F241,Productos!$A$2:$A1001,Productos!BE$2:BE1001,"")*$G241,"")</f>
        <v/>
      </c>
      <c r="BM241" s="179" t="str">
        <f t="array" ref="BM241">IF($F241&lt;&gt;"",XLOOKUP($F241,Productos!$A:$A,Productos!BF:BF,"Revisar"),"")</f>
        <v/>
      </c>
      <c r="BN241" s="179" t="str">
        <f t="array" ref="BN241">IF($F241&lt;&gt;"", XLOOKUP($F241,Productos!$A$2:$A1001,Productos!BG$2:BG1001,"")*$G241,"")</f>
        <v/>
      </c>
      <c r="BO241" s="179" t="str">
        <f t="array" ref="BO241">IF($F241&lt;&gt;"",XLOOKUP($F241,Productos!$A:$A,Productos!BH:BH,"Revisar"),"")</f>
        <v/>
      </c>
      <c r="BP241" s="179" t="str">
        <f t="array" ref="BP241">IF($F241&lt;&gt;"", XLOOKUP($F241,Productos!$A$2:$A1001,Productos!BI$2:BI1001,"")*$G241,"")</f>
        <v/>
      </c>
      <c r="BQ241" s="179" t="str">
        <f t="array" ref="BQ241">IF($F241&lt;&gt;"",XLOOKUP($F241,Productos!$A:$A,Productos!BJ:BJ,"Revisar"),"")</f>
        <v/>
      </c>
      <c r="BR241" s="179" t="str">
        <f t="array" ref="BR241">IF($F241&lt;&gt;"", XLOOKUP($F241,Productos!$A$2:$A1001,Productos!BK$2:BK1001,"")*$G241,"")</f>
        <v/>
      </c>
      <c r="BS241" s="179" t="str">
        <f t="array" ref="BS241">IF($F241&lt;&gt;"",XLOOKUP($F241,Productos!$A:$A,Productos!BL:BL,"Revisar"),"")</f>
        <v/>
      </c>
      <c r="BT241" s="179" t="str">
        <f t="array" ref="BT241">IF($F241&lt;&gt;"", XLOOKUP($F241,Productos!$A$2:$A1001,Productos!BM$2:BM1001,"")*$G241,"")</f>
        <v/>
      </c>
      <c r="BU241" s="179" t="str">
        <f t="array" ref="BU241">IF($F241&lt;&gt;"",XLOOKUP($F241,Productos!$A:$A,Productos!BN:BN,"Revisar"),"")</f>
        <v/>
      </c>
      <c r="BV241" s="179" t="str">
        <f t="array" ref="BV241">IF($F241&lt;&gt;"", XLOOKUP($F241,Productos!$A$2:$A1001,Productos!BO$2:BO1001,"")*$G241,"")</f>
        <v/>
      </c>
      <c r="BW241" s="179" t="str">
        <f t="array" ref="BW241">IF($F241&lt;&gt;"",XLOOKUP($F241,Productos!$A:$A,Productos!BP:BP,"Revisar"),"")</f>
        <v/>
      </c>
      <c r="BX241" s="179" t="str">
        <f t="array" ref="BX241">IF($F241&lt;&gt;"", XLOOKUP($F241,Productos!$A$2:$A1001,Productos!BQ$2:BQ1001,"")*$G241,"")</f>
        <v/>
      </c>
      <c r="BY241" s="179" t="str">
        <f t="array" ref="BY241">IF($F241&lt;&gt;"",XLOOKUP($F241,Productos!$A:$A,Productos!BR:BR,"Revisar"),"")</f>
        <v/>
      </c>
      <c r="BZ241" s="179" t="str">
        <f t="array" ref="BZ241">IF($F241&lt;&gt;"", XLOOKUP($F241,Productos!$A$2:$A1001,Productos!BS$2:BS1001,"")*$G241,"")</f>
        <v/>
      </c>
    </row>
    <row r="242">
      <c r="A242" s="180"/>
      <c r="B242" s="181"/>
      <c r="C242" s="182"/>
      <c r="D242" s="182"/>
      <c r="E242" s="185"/>
      <c r="F242" s="186"/>
      <c r="G242" s="187"/>
      <c r="H242" s="186"/>
      <c r="I242" s="179" t="str">
        <f t="array" ref="I242">IF($F242&lt;&gt;"",XLOOKUP($F242,Productos!$A:$A,Productos!B:B,"Revisar"),"")</f>
        <v/>
      </c>
      <c r="J242" s="179" t="str">
        <f t="array" ref="J242">IF($F242&lt;&gt;"", XLOOKUP($F242,Productos!$A$2:$A1001,Productos!C$2:C1001,"")*$G242,"")</f>
        <v/>
      </c>
      <c r="K242" s="179" t="str">
        <f t="array" ref="K242">IF($F242&lt;&gt;"",XLOOKUP($F242,Productos!$A:$A,Productos!D:D,"Revisar"),"")</f>
        <v/>
      </c>
      <c r="L242" s="179" t="str">
        <f t="array" ref="L242">IF($F242&lt;&gt;"", XLOOKUP($F242,Productos!$A$2:$A1001,Productos!E$2:E1001,"")*$G242,"")</f>
        <v/>
      </c>
      <c r="M242" s="179" t="str">
        <f t="array" ref="M242">IF($F242&lt;&gt;"",XLOOKUP($F242,Productos!$A:$A,Productos!F:F,"Revisar"),"")</f>
        <v/>
      </c>
      <c r="N242" s="179" t="str">
        <f t="array" ref="N242">IF($F242&lt;&gt;"", XLOOKUP($F242,Productos!$A$2:$A1001,Productos!G$2:G1001,"")*$G242,"")</f>
        <v/>
      </c>
      <c r="O242" s="179" t="str">
        <f t="array" ref="O242">IF($F242&lt;&gt;"",XLOOKUP($F242,Productos!$A:$A,Productos!H:H,"Revisar"),"")</f>
        <v/>
      </c>
      <c r="P242" s="179" t="str">
        <f t="array" ref="P242">IF($F242&lt;&gt;"", XLOOKUP($F242,Productos!$A$2:$A1001,Productos!I$2:I1001,"")*$G242,"")</f>
        <v/>
      </c>
      <c r="Q242" s="179" t="str">
        <f t="array" ref="Q242">IF($F242&lt;&gt;"",XLOOKUP($F242,Productos!$A:$A,Productos!J:J,"Revisar"),"")</f>
        <v/>
      </c>
      <c r="R242" s="179" t="str">
        <f t="array" ref="R242">IF($F242&lt;&gt;"", XLOOKUP($F242,Productos!$A$2:$A1001,Productos!K$2:K1001,"")*$G242,"")</f>
        <v/>
      </c>
      <c r="S242" s="179" t="str">
        <f t="array" ref="S242">IF($F242&lt;&gt;"",XLOOKUP($F242,Productos!$A:$A,Productos!L:L,"Revisar"),"")</f>
        <v/>
      </c>
      <c r="T242" s="179" t="str">
        <f t="array" ref="T242">IF($F242&lt;&gt;"", XLOOKUP($F242,Productos!$A$2:$A1001,Productos!M$2:M1001,"")*$G242,"")</f>
        <v/>
      </c>
      <c r="U242" s="179" t="str">
        <f t="array" ref="U242">IF($F242&lt;&gt;"",XLOOKUP($F242,Productos!$A:$A,Productos!N:N,"Revisar"),"")</f>
        <v/>
      </c>
      <c r="V242" s="179" t="str">
        <f t="array" ref="V242">IF($F242&lt;&gt;"", XLOOKUP($F242,Productos!$A$2:$A1001,Productos!O$2:O1001,"")*$G242,"")</f>
        <v/>
      </c>
      <c r="W242" s="179" t="str">
        <f t="array" ref="W242">IF($F242&lt;&gt;"",XLOOKUP($F242,Productos!$A:$A,Productos!P:P,"Revisar"),"")</f>
        <v/>
      </c>
      <c r="X242" s="179" t="str">
        <f t="array" ref="X242">IF($F242&lt;&gt;"", XLOOKUP($F242,Productos!$A$2:$A1001,Productos!Q$2:Q1001,"")*$G242,"")</f>
        <v/>
      </c>
      <c r="Y242" s="179" t="str">
        <f t="array" ref="Y242">IF($F242&lt;&gt;"",XLOOKUP($F242,Productos!$A:$A,Productos!R:R,"Revisar"),"")</f>
        <v/>
      </c>
      <c r="Z242" s="179" t="str">
        <f t="array" ref="Z242">IF($F242&lt;&gt;"", XLOOKUP($F242,Productos!$A$2:$A1001,Productos!S$2:S1001,"")*$G242,"")</f>
        <v/>
      </c>
      <c r="AA242" s="179" t="str">
        <f t="array" ref="AA242">IF($F242&lt;&gt;"",XLOOKUP($F242,Productos!$A:$A,Productos!T:T,"Revisar"),"")</f>
        <v/>
      </c>
      <c r="AB242" s="179" t="str">
        <f t="array" ref="AB242">IF($F242&lt;&gt;"", XLOOKUP($F242,Productos!$A$2:$A1001,Productos!U$2:U1001,"")*$G242,"")</f>
        <v/>
      </c>
      <c r="AC242" s="179" t="str">
        <f t="array" ref="AC242">IF($F242&lt;&gt;"",XLOOKUP($F242,Productos!$A:$A,Productos!V:V,"Revisar"),"")</f>
        <v/>
      </c>
      <c r="AD242" s="179" t="str">
        <f t="array" ref="AD242">IF($F242&lt;&gt;"", XLOOKUP($F242,Productos!$A$2:$A1001,Productos!W$2:W1001,"")*$G242,"")</f>
        <v/>
      </c>
      <c r="AE242" s="179" t="str">
        <f t="array" ref="AE242">IF($F242&lt;&gt;"",XLOOKUP($F242,Productos!$A:$A,Productos!X:X,"Revisar"),"")</f>
        <v/>
      </c>
      <c r="AF242" s="179" t="str">
        <f t="array" ref="AF242">IF($F242&lt;&gt;"", XLOOKUP($F242,Productos!$A$2:$A1001,Productos!Y$2:Y1001,"")*$G242,"")</f>
        <v/>
      </c>
      <c r="AG242" s="179" t="str">
        <f t="array" ref="AG242">IF($F242&lt;&gt;"",XLOOKUP($F242,Productos!$A:$A,Productos!Z:Z,"Revisar"),"")</f>
        <v/>
      </c>
      <c r="AH242" s="179" t="str">
        <f t="array" ref="AH242">IF($F242&lt;&gt;"", XLOOKUP($F242,Productos!$A$2:$A1001,Productos!AA$2:AA1001,"")*$G242,"")</f>
        <v/>
      </c>
      <c r="AI242" s="179" t="str">
        <f t="array" ref="AI242">IF($F242&lt;&gt;"",XLOOKUP($F242,Productos!$A:$A,Productos!AB:AB,"Revisar"),"")</f>
        <v/>
      </c>
      <c r="AJ242" s="179" t="str">
        <f t="array" ref="AJ242">IF($F242&lt;&gt;"", XLOOKUP($F242,Productos!$A$2:$A1001,Productos!AC$2:AC1001,"")*$G242,"")</f>
        <v/>
      </c>
      <c r="AK242" s="179" t="str">
        <f t="array" ref="AK242">IF($F242&lt;&gt;"",XLOOKUP($F242,Productos!$A:$A,Productos!AD:AD,"Revisar"),"")</f>
        <v/>
      </c>
      <c r="AL242" s="179" t="str">
        <f t="array" ref="AL242">IF($F242&lt;&gt;"", XLOOKUP($F242,Productos!$A$2:$A1001,Productos!AE$2:AE1001,"")*$G242,"")</f>
        <v/>
      </c>
      <c r="AM242" s="179" t="str">
        <f t="array" ref="AM242">IF($F242&lt;&gt;"",XLOOKUP($F242,Productos!$A:$A,Productos!AF:AF,"Revisar"),"")</f>
        <v/>
      </c>
      <c r="AN242" s="179" t="str">
        <f t="array" ref="AN242">IF($F242&lt;&gt;"", XLOOKUP($F242,Productos!$A$2:$A1001,Productos!AG$2:AG1001,"")*$G242,"")</f>
        <v/>
      </c>
      <c r="AO242" s="179" t="str">
        <f t="array" ref="AO242">IF($F242&lt;&gt;"",XLOOKUP($F242,Productos!$A:$A,Productos!AH:AH,"Revisar"),"")</f>
        <v/>
      </c>
      <c r="AP242" s="179" t="str">
        <f t="array" ref="AP242">IF($F242&lt;&gt;"", XLOOKUP($F242,Productos!$A$2:$A1001,Productos!AI$2:AI1001,"")*$G242,"")</f>
        <v/>
      </c>
      <c r="AQ242" s="179" t="str">
        <f t="array" ref="AQ242">IF($F242&lt;&gt;"",XLOOKUP($F242,Productos!$A:$A,Productos!AJ:AJ,"Revisar"),"")</f>
        <v/>
      </c>
      <c r="AR242" s="179" t="str">
        <f t="array" ref="AR242">IF($F242&lt;&gt;"", XLOOKUP($F242,Productos!$A$2:$A1001,Productos!AK$2:AK1001,"")*$G242,"")</f>
        <v/>
      </c>
      <c r="AS242" s="179" t="str">
        <f t="array" ref="AS242">IF($F242&lt;&gt;"",XLOOKUP($F242,Productos!$A:$A,Productos!AL:AL,"Revisar"),"")</f>
        <v/>
      </c>
      <c r="AT242" s="179" t="str">
        <f t="array" ref="AT242">IF($F242&lt;&gt;"", XLOOKUP($F242,Productos!$A$2:$A1001,Productos!AM$2:AM1001,"")*$G242,"")</f>
        <v/>
      </c>
      <c r="AU242" s="179" t="str">
        <f t="array" ref="AU242">IF($F242&lt;&gt;"",XLOOKUP($F242,Productos!$A:$A,Productos!AN:AN,"Revisar"),"")</f>
        <v/>
      </c>
      <c r="AV242" s="179" t="str">
        <f t="array" ref="AV242">IF($F242&lt;&gt;"", XLOOKUP($F242,Productos!$A$2:$A1001,Productos!AO$2:AO1001,"")*$G242,"")</f>
        <v/>
      </c>
      <c r="AW242" s="179" t="str">
        <f t="array" ref="AW242">IF($F242&lt;&gt;"",XLOOKUP($F242,Productos!$A:$A,Productos!AP:AP,"Revisar"),"")</f>
        <v/>
      </c>
      <c r="AX242" s="179" t="str">
        <f t="array" ref="AX242">IF($F242&lt;&gt;"", XLOOKUP($F242,Productos!$A$2:$A1001,Productos!AQ$2:AQ1001,"")*$G242,"")</f>
        <v/>
      </c>
      <c r="AY242" s="179" t="str">
        <f t="array" ref="AY242">IF($F242&lt;&gt;"",XLOOKUP($F242,Productos!$A:$A,Productos!AR:AR,"Revisar"),"")</f>
        <v/>
      </c>
      <c r="AZ242" s="179" t="str">
        <f t="array" ref="AZ242">IF($F242&lt;&gt;"", XLOOKUP($F242,Productos!$A$2:$A1001,Productos!AS$2:AS1001,"")*$G242,"")</f>
        <v/>
      </c>
      <c r="BA242" s="179" t="str">
        <f t="array" ref="BA242">IF($F242&lt;&gt;"",XLOOKUP($F242,Productos!$A:$A,Productos!AT:AT,"Revisar"),"")</f>
        <v/>
      </c>
      <c r="BB242" s="179" t="str">
        <f t="array" ref="BB242">IF($F242&lt;&gt;"", XLOOKUP($F242,Productos!$A$2:$A1001,Productos!AU$2:AU1001,"")*$G242,"")</f>
        <v/>
      </c>
      <c r="BC242" s="179" t="str">
        <f t="array" ref="BC242">IF($F242&lt;&gt;"",XLOOKUP($F242,Productos!$A:$A,Productos!AV:AV,"Revisar"),"")</f>
        <v/>
      </c>
      <c r="BD242" s="179" t="str">
        <f t="array" ref="BD242">IF($F242&lt;&gt;"", XLOOKUP($F242,Productos!$A$2:$A1001,Productos!AW$2:AW1001,"")*$G242,"")</f>
        <v/>
      </c>
      <c r="BE242" s="179" t="str">
        <f t="array" ref="BE242">IF($F242&lt;&gt;"",XLOOKUP($F242,Productos!$A:$A,Productos!AX:AX,"Revisar"),"")</f>
        <v/>
      </c>
      <c r="BF242" s="179" t="str">
        <f t="array" ref="BF242">IF($F242&lt;&gt;"", XLOOKUP($F242,Productos!$A$2:$A1001,Productos!AY$2:AY1001,"")*$G242,"")</f>
        <v/>
      </c>
      <c r="BG242" s="179" t="str">
        <f t="array" ref="BG242">IF($F242&lt;&gt;"",XLOOKUP($F242,Productos!$A:$A,Productos!AZ:AZ,"Revisar"),"")</f>
        <v/>
      </c>
      <c r="BH242" s="179" t="str">
        <f t="array" ref="BH242">IF($F242&lt;&gt;"", XLOOKUP($F242,Productos!$A$2:$A1001,Productos!BA$2:BA1001,"")*$G242,"")</f>
        <v/>
      </c>
      <c r="BI242" s="179" t="str">
        <f t="array" ref="BI242">IF($F242&lt;&gt;"",XLOOKUP($F242,Productos!$A:$A,Productos!BB:BB,"Revisar"),"")</f>
        <v/>
      </c>
      <c r="BJ242" s="179" t="str">
        <f t="array" ref="BJ242">IF($F242&lt;&gt;"", XLOOKUP($F242,Productos!$A$2:$A1001,Productos!BC$2:BC1001,"")*$G242,"")</f>
        <v/>
      </c>
      <c r="BK242" s="179" t="str">
        <f t="array" ref="BK242">IF($F242&lt;&gt;"",XLOOKUP($F242,Productos!$A:$A,Productos!BD:BD,"Revisar"),"")</f>
        <v/>
      </c>
      <c r="BL242" s="179" t="str">
        <f t="array" ref="BL242">IF($F242&lt;&gt;"", XLOOKUP($F242,Productos!$A$2:$A1001,Productos!BE$2:BE1001,"")*$G242,"")</f>
        <v/>
      </c>
      <c r="BM242" s="179" t="str">
        <f t="array" ref="BM242">IF($F242&lt;&gt;"",XLOOKUP($F242,Productos!$A:$A,Productos!BF:BF,"Revisar"),"")</f>
        <v/>
      </c>
      <c r="BN242" s="179" t="str">
        <f t="array" ref="BN242">IF($F242&lt;&gt;"", XLOOKUP($F242,Productos!$A$2:$A1001,Productos!BG$2:BG1001,"")*$G242,"")</f>
        <v/>
      </c>
      <c r="BO242" s="179" t="str">
        <f t="array" ref="BO242">IF($F242&lt;&gt;"",XLOOKUP($F242,Productos!$A:$A,Productos!BH:BH,"Revisar"),"")</f>
        <v/>
      </c>
      <c r="BP242" s="179" t="str">
        <f t="array" ref="BP242">IF($F242&lt;&gt;"", XLOOKUP($F242,Productos!$A$2:$A1001,Productos!BI$2:BI1001,"")*$G242,"")</f>
        <v/>
      </c>
      <c r="BQ242" s="179" t="str">
        <f t="array" ref="BQ242">IF($F242&lt;&gt;"",XLOOKUP($F242,Productos!$A:$A,Productos!BJ:BJ,"Revisar"),"")</f>
        <v/>
      </c>
      <c r="BR242" s="179" t="str">
        <f t="array" ref="BR242">IF($F242&lt;&gt;"", XLOOKUP($F242,Productos!$A$2:$A1001,Productos!BK$2:BK1001,"")*$G242,"")</f>
        <v/>
      </c>
      <c r="BS242" s="179" t="str">
        <f t="array" ref="BS242">IF($F242&lt;&gt;"",XLOOKUP($F242,Productos!$A:$A,Productos!BL:BL,"Revisar"),"")</f>
        <v/>
      </c>
      <c r="BT242" s="179" t="str">
        <f t="array" ref="BT242">IF($F242&lt;&gt;"", XLOOKUP($F242,Productos!$A$2:$A1001,Productos!BM$2:BM1001,"")*$G242,"")</f>
        <v/>
      </c>
      <c r="BU242" s="179" t="str">
        <f t="array" ref="BU242">IF($F242&lt;&gt;"",XLOOKUP($F242,Productos!$A:$A,Productos!BN:BN,"Revisar"),"")</f>
        <v/>
      </c>
      <c r="BV242" s="179" t="str">
        <f t="array" ref="BV242">IF($F242&lt;&gt;"", XLOOKUP($F242,Productos!$A$2:$A1001,Productos!BO$2:BO1001,"")*$G242,"")</f>
        <v/>
      </c>
      <c r="BW242" s="179" t="str">
        <f t="array" ref="BW242">IF($F242&lt;&gt;"",XLOOKUP($F242,Productos!$A:$A,Productos!BP:BP,"Revisar"),"")</f>
        <v/>
      </c>
      <c r="BX242" s="179" t="str">
        <f t="array" ref="BX242">IF($F242&lt;&gt;"", XLOOKUP($F242,Productos!$A$2:$A1001,Productos!BQ$2:BQ1001,"")*$G242,"")</f>
        <v/>
      </c>
      <c r="BY242" s="179" t="str">
        <f t="array" ref="BY242">IF($F242&lt;&gt;"",XLOOKUP($F242,Productos!$A:$A,Productos!BR:BR,"Revisar"),"")</f>
        <v/>
      </c>
      <c r="BZ242" s="179" t="str">
        <f t="array" ref="BZ242">IF($F242&lt;&gt;"", XLOOKUP($F242,Productos!$A$2:$A1001,Productos!BS$2:BS1001,"")*$G242,"")</f>
        <v/>
      </c>
    </row>
    <row r="243">
      <c r="A243" s="180"/>
      <c r="B243" s="181"/>
      <c r="C243" s="182"/>
      <c r="D243" s="182"/>
      <c r="E243" s="185"/>
      <c r="F243" s="186"/>
      <c r="G243" s="187"/>
      <c r="H243" s="186"/>
      <c r="I243" s="179" t="str">
        <f t="array" ref="I243">IF($F243&lt;&gt;"",XLOOKUP($F243,Productos!$A:$A,Productos!B:B,"Revisar"),"")</f>
        <v/>
      </c>
      <c r="J243" s="179" t="str">
        <f t="array" ref="J243">IF($F243&lt;&gt;"", XLOOKUP($F243,Productos!$A$2:$A1001,Productos!C$2:C1001,"")*$G243,"")</f>
        <v/>
      </c>
      <c r="K243" s="179" t="str">
        <f t="array" ref="K243">IF($F243&lt;&gt;"",XLOOKUP($F243,Productos!$A:$A,Productos!D:D,"Revisar"),"")</f>
        <v/>
      </c>
      <c r="L243" s="179" t="str">
        <f t="array" ref="L243">IF($F243&lt;&gt;"", XLOOKUP($F243,Productos!$A$2:$A1001,Productos!E$2:E1001,"")*$G243,"")</f>
        <v/>
      </c>
      <c r="M243" s="179" t="str">
        <f t="array" ref="M243">IF($F243&lt;&gt;"",XLOOKUP($F243,Productos!$A:$A,Productos!F:F,"Revisar"),"")</f>
        <v/>
      </c>
      <c r="N243" s="179" t="str">
        <f t="array" ref="N243">IF($F243&lt;&gt;"", XLOOKUP($F243,Productos!$A$2:$A1001,Productos!G$2:G1001,"")*$G243,"")</f>
        <v/>
      </c>
      <c r="O243" s="179" t="str">
        <f t="array" ref="O243">IF($F243&lt;&gt;"",XLOOKUP($F243,Productos!$A:$A,Productos!H:H,"Revisar"),"")</f>
        <v/>
      </c>
      <c r="P243" s="179" t="str">
        <f t="array" ref="P243">IF($F243&lt;&gt;"", XLOOKUP($F243,Productos!$A$2:$A1001,Productos!I$2:I1001,"")*$G243,"")</f>
        <v/>
      </c>
      <c r="Q243" s="179" t="str">
        <f t="array" ref="Q243">IF($F243&lt;&gt;"",XLOOKUP($F243,Productos!$A:$A,Productos!J:J,"Revisar"),"")</f>
        <v/>
      </c>
      <c r="R243" s="179" t="str">
        <f t="array" ref="R243">IF($F243&lt;&gt;"", XLOOKUP($F243,Productos!$A$2:$A1001,Productos!K$2:K1001,"")*$G243,"")</f>
        <v/>
      </c>
      <c r="S243" s="179" t="str">
        <f t="array" ref="S243">IF($F243&lt;&gt;"",XLOOKUP($F243,Productos!$A:$A,Productos!L:L,"Revisar"),"")</f>
        <v/>
      </c>
      <c r="T243" s="179" t="str">
        <f t="array" ref="T243">IF($F243&lt;&gt;"", XLOOKUP($F243,Productos!$A$2:$A1001,Productos!M$2:M1001,"")*$G243,"")</f>
        <v/>
      </c>
      <c r="U243" s="179" t="str">
        <f t="array" ref="U243">IF($F243&lt;&gt;"",XLOOKUP($F243,Productos!$A:$A,Productos!N:N,"Revisar"),"")</f>
        <v/>
      </c>
      <c r="V243" s="179" t="str">
        <f t="array" ref="V243">IF($F243&lt;&gt;"", XLOOKUP($F243,Productos!$A$2:$A1001,Productos!O$2:O1001,"")*$G243,"")</f>
        <v/>
      </c>
      <c r="W243" s="179" t="str">
        <f t="array" ref="W243">IF($F243&lt;&gt;"",XLOOKUP($F243,Productos!$A:$A,Productos!P:P,"Revisar"),"")</f>
        <v/>
      </c>
      <c r="X243" s="179" t="str">
        <f t="array" ref="X243">IF($F243&lt;&gt;"", XLOOKUP($F243,Productos!$A$2:$A1001,Productos!Q$2:Q1001,"")*$G243,"")</f>
        <v/>
      </c>
      <c r="Y243" s="179" t="str">
        <f t="array" ref="Y243">IF($F243&lt;&gt;"",XLOOKUP($F243,Productos!$A:$A,Productos!R:R,"Revisar"),"")</f>
        <v/>
      </c>
      <c r="Z243" s="179" t="str">
        <f t="array" ref="Z243">IF($F243&lt;&gt;"", XLOOKUP($F243,Productos!$A$2:$A1001,Productos!S$2:S1001,"")*$G243,"")</f>
        <v/>
      </c>
      <c r="AA243" s="179" t="str">
        <f t="array" ref="AA243">IF($F243&lt;&gt;"",XLOOKUP($F243,Productos!$A:$A,Productos!T:T,"Revisar"),"")</f>
        <v/>
      </c>
      <c r="AB243" s="179" t="str">
        <f t="array" ref="AB243">IF($F243&lt;&gt;"", XLOOKUP($F243,Productos!$A$2:$A1001,Productos!U$2:U1001,"")*$G243,"")</f>
        <v/>
      </c>
      <c r="AC243" s="179" t="str">
        <f t="array" ref="AC243">IF($F243&lt;&gt;"",XLOOKUP($F243,Productos!$A:$A,Productos!V:V,"Revisar"),"")</f>
        <v/>
      </c>
      <c r="AD243" s="179" t="str">
        <f t="array" ref="AD243">IF($F243&lt;&gt;"", XLOOKUP($F243,Productos!$A$2:$A1001,Productos!W$2:W1001,"")*$G243,"")</f>
        <v/>
      </c>
      <c r="AE243" s="179" t="str">
        <f t="array" ref="AE243">IF($F243&lt;&gt;"",XLOOKUP($F243,Productos!$A:$A,Productos!X:X,"Revisar"),"")</f>
        <v/>
      </c>
      <c r="AF243" s="179" t="str">
        <f t="array" ref="AF243">IF($F243&lt;&gt;"", XLOOKUP($F243,Productos!$A$2:$A1001,Productos!Y$2:Y1001,"")*$G243,"")</f>
        <v/>
      </c>
      <c r="AG243" s="179" t="str">
        <f t="array" ref="AG243">IF($F243&lt;&gt;"",XLOOKUP($F243,Productos!$A:$A,Productos!Z:Z,"Revisar"),"")</f>
        <v/>
      </c>
      <c r="AH243" s="179" t="str">
        <f t="array" ref="AH243">IF($F243&lt;&gt;"", XLOOKUP($F243,Productos!$A$2:$A1001,Productos!AA$2:AA1001,"")*$G243,"")</f>
        <v/>
      </c>
      <c r="AI243" s="179" t="str">
        <f t="array" ref="AI243">IF($F243&lt;&gt;"",XLOOKUP($F243,Productos!$A:$A,Productos!AB:AB,"Revisar"),"")</f>
        <v/>
      </c>
      <c r="AJ243" s="179" t="str">
        <f t="array" ref="AJ243">IF($F243&lt;&gt;"", XLOOKUP($F243,Productos!$A$2:$A1001,Productos!AC$2:AC1001,"")*$G243,"")</f>
        <v/>
      </c>
      <c r="AK243" s="179" t="str">
        <f t="array" ref="AK243">IF($F243&lt;&gt;"",XLOOKUP($F243,Productos!$A:$A,Productos!AD:AD,"Revisar"),"")</f>
        <v/>
      </c>
      <c r="AL243" s="179" t="str">
        <f t="array" ref="AL243">IF($F243&lt;&gt;"", XLOOKUP($F243,Productos!$A$2:$A1001,Productos!AE$2:AE1001,"")*$G243,"")</f>
        <v/>
      </c>
      <c r="AM243" s="179" t="str">
        <f t="array" ref="AM243">IF($F243&lt;&gt;"",XLOOKUP($F243,Productos!$A:$A,Productos!AF:AF,"Revisar"),"")</f>
        <v/>
      </c>
      <c r="AN243" s="179" t="str">
        <f t="array" ref="AN243">IF($F243&lt;&gt;"", XLOOKUP($F243,Productos!$A$2:$A1001,Productos!AG$2:AG1001,"")*$G243,"")</f>
        <v/>
      </c>
      <c r="AO243" s="179" t="str">
        <f t="array" ref="AO243">IF($F243&lt;&gt;"",XLOOKUP($F243,Productos!$A:$A,Productos!AH:AH,"Revisar"),"")</f>
        <v/>
      </c>
      <c r="AP243" s="179" t="str">
        <f t="array" ref="AP243">IF($F243&lt;&gt;"", XLOOKUP($F243,Productos!$A$2:$A1001,Productos!AI$2:AI1001,"")*$G243,"")</f>
        <v/>
      </c>
      <c r="AQ243" s="179" t="str">
        <f t="array" ref="AQ243">IF($F243&lt;&gt;"",XLOOKUP($F243,Productos!$A:$A,Productos!AJ:AJ,"Revisar"),"")</f>
        <v/>
      </c>
      <c r="AR243" s="179" t="str">
        <f t="array" ref="AR243">IF($F243&lt;&gt;"", XLOOKUP($F243,Productos!$A$2:$A1001,Productos!AK$2:AK1001,"")*$G243,"")</f>
        <v/>
      </c>
      <c r="AS243" s="179" t="str">
        <f t="array" ref="AS243">IF($F243&lt;&gt;"",XLOOKUP($F243,Productos!$A:$A,Productos!AL:AL,"Revisar"),"")</f>
        <v/>
      </c>
      <c r="AT243" s="179" t="str">
        <f t="array" ref="AT243">IF($F243&lt;&gt;"", XLOOKUP($F243,Productos!$A$2:$A1001,Productos!AM$2:AM1001,"")*$G243,"")</f>
        <v/>
      </c>
      <c r="AU243" s="179" t="str">
        <f t="array" ref="AU243">IF($F243&lt;&gt;"",XLOOKUP($F243,Productos!$A:$A,Productos!AN:AN,"Revisar"),"")</f>
        <v/>
      </c>
      <c r="AV243" s="179" t="str">
        <f t="array" ref="AV243">IF($F243&lt;&gt;"", XLOOKUP($F243,Productos!$A$2:$A1001,Productos!AO$2:AO1001,"")*$G243,"")</f>
        <v/>
      </c>
      <c r="AW243" s="179" t="str">
        <f t="array" ref="AW243">IF($F243&lt;&gt;"",XLOOKUP($F243,Productos!$A:$A,Productos!AP:AP,"Revisar"),"")</f>
        <v/>
      </c>
      <c r="AX243" s="179" t="str">
        <f t="array" ref="AX243">IF($F243&lt;&gt;"", XLOOKUP($F243,Productos!$A$2:$A1001,Productos!AQ$2:AQ1001,"")*$G243,"")</f>
        <v/>
      </c>
      <c r="AY243" s="179" t="str">
        <f t="array" ref="AY243">IF($F243&lt;&gt;"",XLOOKUP($F243,Productos!$A:$A,Productos!AR:AR,"Revisar"),"")</f>
        <v/>
      </c>
      <c r="AZ243" s="179" t="str">
        <f t="array" ref="AZ243">IF($F243&lt;&gt;"", XLOOKUP($F243,Productos!$A$2:$A1001,Productos!AS$2:AS1001,"")*$G243,"")</f>
        <v/>
      </c>
      <c r="BA243" s="179" t="str">
        <f t="array" ref="BA243">IF($F243&lt;&gt;"",XLOOKUP($F243,Productos!$A:$A,Productos!AT:AT,"Revisar"),"")</f>
        <v/>
      </c>
      <c r="BB243" s="179" t="str">
        <f t="array" ref="BB243">IF($F243&lt;&gt;"", XLOOKUP($F243,Productos!$A$2:$A1001,Productos!AU$2:AU1001,"")*$G243,"")</f>
        <v/>
      </c>
      <c r="BC243" s="179" t="str">
        <f t="array" ref="BC243">IF($F243&lt;&gt;"",XLOOKUP($F243,Productos!$A:$A,Productos!AV:AV,"Revisar"),"")</f>
        <v/>
      </c>
      <c r="BD243" s="179" t="str">
        <f t="array" ref="BD243">IF($F243&lt;&gt;"", XLOOKUP($F243,Productos!$A$2:$A1001,Productos!AW$2:AW1001,"")*$G243,"")</f>
        <v/>
      </c>
      <c r="BE243" s="179" t="str">
        <f t="array" ref="BE243">IF($F243&lt;&gt;"",XLOOKUP($F243,Productos!$A:$A,Productos!AX:AX,"Revisar"),"")</f>
        <v/>
      </c>
      <c r="BF243" s="179" t="str">
        <f t="array" ref="BF243">IF($F243&lt;&gt;"", XLOOKUP($F243,Productos!$A$2:$A1001,Productos!AY$2:AY1001,"")*$G243,"")</f>
        <v/>
      </c>
      <c r="BG243" s="179" t="str">
        <f t="array" ref="BG243">IF($F243&lt;&gt;"",XLOOKUP($F243,Productos!$A:$A,Productos!AZ:AZ,"Revisar"),"")</f>
        <v/>
      </c>
      <c r="BH243" s="179" t="str">
        <f t="array" ref="BH243">IF($F243&lt;&gt;"", XLOOKUP($F243,Productos!$A$2:$A1001,Productos!BA$2:BA1001,"")*$G243,"")</f>
        <v/>
      </c>
      <c r="BI243" s="179" t="str">
        <f t="array" ref="BI243">IF($F243&lt;&gt;"",XLOOKUP($F243,Productos!$A:$A,Productos!BB:BB,"Revisar"),"")</f>
        <v/>
      </c>
      <c r="BJ243" s="179" t="str">
        <f t="array" ref="BJ243">IF($F243&lt;&gt;"", XLOOKUP($F243,Productos!$A$2:$A1001,Productos!BC$2:BC1001,"")*$G243,"")</f>
        <v/>
      </c>
      <c r="BK243" s="179" t="str">
        <f t="array" ref="BK243">IF($F243&lt;&gt;"",XLOOKUP($F243,Productos!$A:$A,Productos!BD:BD,"Revisar"),"")</f>
        <v/>
      </c>
      <c r="BL243" s="179" t="str">
        <f t="array" ref="BL243">IF($F243&lt;&gt;"", XLOOKUP($F243,Productos!$A$2:$A1001,Productos!BE$2:BE1001,"")*$G243,"")</f>
        <v/>
      </c>
      <c r="BM243" s="179" t="str">
        <f t="array" ref="BM243">IF($F243&lt;&gt;"",XLOOKUP($F243,Productos!$A:$A,Productos!BF:BF,"Revisar"),"")</f>
        <v/>
      </c>
      <c r="BN243" s="179" t="str">
        <f t="array" ref="BN243">IF($F243&lt;&gt;"", XLOOKUP($F243,Productos!$A$2:$A1001,Productos!BG$2:BG1001,"")*$G243,"")</f>
        <v/>
      </c>
      <c r="BO243" s="179" t="str">
        <f t="array" ref="BO243">IF($F243&lt;&gt;"",XLOOKUP($F243,Productos!$A:$A,Productos!BH:BH,"Revisar"),"")</f>
        <v/>
      </c>
      <c r="BP243" s="179" t="str">
        <f t="array" ref="BP243">IF($F243&lt;&gt;"", XLOOKUP($F243,Productos!$A$2:$A1001,Productos!BI$2:BI1001,"")*$G243,"")</f>
        <v/>
      </c>
      <c r="BQ243" s="179" t="str">
        <f t="array" ref="BQ243">IF($F243&lt;&gt;"",XLOOKUP($F243,Productos!$A:$A,Productos!BJ:BJ,"Revisar"),"")</f>
        <v/>
      </c>
      <c r="BR243" s="179" t="str">
        <f t="array" ref="BR243">IF($F243&lt;&gt;"", XLOOKUP($F243,Productos!$A$2:$A1001,Productos!BK$2:BK1001,"")*$G243,"")</f>
        <v/>
      </c>
      <c r="BS243" s="179" t="str">
        <f t="array" ref="BS243">IF($F243&lt;&gt;"",XLOOKUP($F243,Productos!$A:$A,Productos!BL:BL,"Revisar"),"")</f>
        <v/>
      </c>
      <c r="BT243" s="179" t="str">
        <f t="array" ref="BT243">IF($F243&lt;&gt;"", XLOOKUP($F243,Productos!$A$2:$A1001,Productos!BM$2:BM1001,"")*$G243,"")</f>
        <v/>
      </c>
      <c r="BU243" s="179" t="str">
        <f t="array" ref="BU243">IF($F243&lt;&gt;"",XLOOKUP($F243,Productos!$A:$A,Productos!BN:BN,"Revisar"),"")</f>
        <v/>
      </c>
      <c r="BV243" s="179" t="str">
        <f t="array" ref="BV243">IF($F243&lt;&gt;"", XLOOKUP($F243,Productos!$A$2:$A1001,Productos!BO$2:BO1001,"")*$G243,"")</f>
        <v/>
      </c>
      <c r="BW243" s="179" t="str">
        <f t="array" ref="BW243">IF($F243&lt;&gt;"",XLOOKUP($F243,Productos!$A:$A,Productos!BP:BP,"Revisar"),"")</f>
        <v/>
      </c>
      <c r="BX243" s="179" t="str">
        <f t="array" ref="BX243">IF($F243&lt;&gt;"", XLOOKUP($F243,Productos!$A$2:$A1001,Productos!BQ$2:BQ1001,"")*$G243,"")</f>
        <v/>
      </c>
      <c r="BY243" s="179" t="str">
        <f t="array" ref="BY243">IF($F243&lt;&gt;"",XLOOKUP($F243,Productos!$A:$A,Productos!BR:BR,"Revisar"),"")</f>
        <v/>
      </c>
      <c r="BZ243" s="179" t="str">
        <f t="array" ref="BZ243">IF($F243&lt;&gt;"", XLOOKUP($F243,Productos!$A$2:$A1001,Productos!BS$2:BS1001,"")*$G243,"")</f>
        <v/>
      </c>
    </row>
    <row r="244">
      <c r="A244" s="180"/>
      <c r="B244" s="181"/>
      <c r="C244" s="182"/>
      <c r="D244" s="182"/>
      <c r="E244" s="185"/>
      <c r="F244" s="186"/>
      <c r="G244" s="187"/>
      <c r="H244" s="186"/>
      <c r="I244" s="179" t="str">
        <f t="array" ref="I244">IF($F244&lt;&gt;"",XLOOKUP($F244,Productos!$A:$A,Productos!B:B,"Revisar"),"")</f>
        <v/>
      </c>
      <c r="J244" s="179" t="str">
        <f t="array" ref="J244">IF($F244&lt;&gt;"", XLOOKUP($F244,Productos!$A$2:$A1001,Productos!C$2:C1001,"")*$G244,"")</f>
        <v/>
      </c>
      <c r="K244" s="179" t="str">
        <f t="array" ref="K244">IF($F244&lt;&gt;"",XLOOKUP($F244,Productos!$A:$A,Productos!D:D,"Revisar"),"")</f>
        <v/>
      </c>
      <c r="L244" s="179" t="str">
        <f t="array" ref="L244">IF($F244&lt;&gt;"", XLOOKUP($F244,Productos!$A$2:$A1001,Productos!E$2:E1001,"")*$G244,"")</f>
        <v/>
      </c>
      <c r="M244" s="179" t="str">
        <f t="array" ref="M244">IF($F244&lt;&gt;"",XLOOKUP($F244,Productos!$A:$A,Productos!F:F,"Revisar"),"")</f>
        <v/>
      </c>
      <c r="N244" s="179" t="str">
        <f t="array" ref="N244">IF($F244&lt;&gt;"", XLOOKUP($F244,Productos!$A$2:$A1001,Productos!G$2:G1001,"")*$G244,"")</f>
        <v/>
      </c>
      <c r="O244" s="179" t="str">
        <f t="array" ref="O244">IF($F244&lt;&gt;"",XLOOKUP($F244,Productos!$A:$A,Productos!H:H,"Revisar"),"")</f>
        <v/>
      </c>
      <c r="P244" s="179" t="str">
        <f t="array" ref="P244">IF($F244&lt;&gt;"", XLOOKUP($F244,Productos!$A$2:$A1001,Productos!I$2:I1001,"")*$G244,"")</f>
        <v/>
      </c>
      <c r="Q244" s="179" t="str">
        <f t="array" ref="Q244">IF($F244&lt;&gt;"",XLOOKUP($F244,Productos!$A:$A,Productos!J:J,"Revisar"),"")</f>
        <v/>
      </c>
      <c r="R244" s="179" t="str">
        <f t="array" ref="R244">IF($F244&lt;&gt;"", XLOOKUP($F244,Productos!$A$2:$A1001,Productos!K$2:K1001,"")*$G244,"")</f>
        <v/>
      </c>
      <c r="S244" s="179" t="str">
        <f t="array" ref="S244">IF($F244&lt;&gt;"",XLOOKUP($F244,Productos!$A:$A,Productos!L:L,"Revisar"),"")</f>
        <v/>
      </c>
      <c r="T244" s="179" t="str">
        <f t="array" ref="T244">IF($F244&lt;&gt;"", XLOOKUP($F244,Productos!$A$2:$A1001,Productos!M$2:M1001,"")*$G244,"")</f>
        <v/>
      </c>
      <c r="U244" s="179" t="str">
        <f t="array" ref="U244">IF($F244&lt;&gt;"",XLOOKUP($F244,Productos!$A:$A,Productos!N:N,"Revisar"),"")</f>
        <v/>
      </c>
      <c r="V244" s="179" t="str">
        <f t="array" ref="V244">IF($F244&lt;&gt;"", XLOOKUP($F244,Productos!$A$2:$A1001,Productos!O$2:O1001,"")*$G244,"")</f>
        <v/>
      </c>
      <c r="W244" s="179" t="str">
        <f t="array" ref="W244">IF($F244&lt;&gt;"",XLOOKUP($F244,Productos!$A:$A,Productos!P:P,"Revisar"),"")</f>
        <v/>
      </c>
      <c r="X244" s="179" t="str">
        <f t="array" ref="X244">IF($F244&lt;&gt;"", XLOOKUP($F244,Productos!$A$2:$A1001,Productos!Q$2:Q1001,"")*$G244,"")</f>
        <v/>
      </c>
      <c r="Y244" s="179" t="str">
        <f t="array" ref="Y244">IF($F244&lt;&gt;"",XLOOKUP($F244,Productos!$A:$A,Productos!R:R,"Revisar"),"")</f>
        <v/>
      </c>
      <c r="Z244" s="179" t="str">
        <f t="array" ref="Z244">IF($F244&lt;&gt;"", XLOOKUP($F244,Productos!$A$2:$A1001,Productos!S$2:S1001,"")*$G244,"")</f>
        <v/>
      </c>
      <c r="AA244" s="179" t="str">
        <f t="array" ref="AA244">IF($F244&lt;&gt;"",XLOOKUP($F244,Productos!$A:$A,Productos!T:T,"Revisar"),"")</f>
        <v/>
      </c>
      <c r="AB244" s="179" t="str">
        <f t="array" ref="AB244">IF($F244&lt;&gt;"", XLOOKUP($F244,Productos!$A$2:$A1001,Productos!U$2:U1001,"")*$G244,"")</f>
        <v/>
      </c>
      <c r="AC244" s="179" t="str">
        <f t="array" ref="AC244">IF($F244&lt;&gt;"",XLOOKUP($F244,Productos!$A:$A,Productos!V:V,"Revisar"),"")</f>
        <v/>
      </c>
      <c r="AD244" s="179" t="str">
        <f t="array" ref="AD244">IF($F244&lt;&gt;"", XLOOKUP($F244,Productos!$A$2:$A1001,Productos!W$2:W1001,"")*$G244,"")</f>
        <v/>
      </c>
      <c r="AE244" s="179" t="str">
        <f t="array" ref="AE244">IF($F244&lt;&gt;"",XLOOKUP($F244,Productos!$A:$A,Productos!X:X,"Revisar"),"")</f>
        <v/>
      </c>
      <c r="AF244" s="179" t="str">
        <f t="array" ref="AF244">IF($F244&lt;&gt;"", XLOOKUP($F244,Productos!$A$2:$A1001,Productos!Y$2:Y1001,"")*$G244,"")</f>
        <v/>
      </c>
      <c r="AG244" s="179" t="str">
        <f t="array" ref="AG244">IF($F244&lt;&gt;"",XLOOKUP($F244,Productos!$A:$A,Productos!Z:Z,"Revisar"),"")</f>
        <v/>
      </c>
      <c r="AH244" s="179" t="str">
        <f t="array" ref="AH244">IF($F244&lt;&gt;"", XLOOKUP($F244,Productos!$A$2:$A1001,Productos!AA$2:AA1001,"")*$G244,"")</f>
        <v/>
      </c>
      <c r="AI244" s="179" t="str">
        <f t="array" ref="AI244">IF($F244&lt;&gt;"",XLOOKUP($F244,Productos!$A:$A,Productos!AB:AB,"Revisar"),"")</f>
        <v/>
      </c>
      <c r="AJ244" s="179" t="str">
        <f t="array" ref="AJ244">IF($F244&lt;&gt;"", XLOOKUP($F244,Productos!$A$2:$A1001,Productos!AC$2:AC1001,"")*$G244,"")</f>
        <v/>
      </c>
      <c r="AK244" s="179" t="str">
        <f t="array" ref="AK244">IF($F244&lt;&gt;"",XLOOKUP($F244,Productos!$A:$A,Productos!AD:AD,"Revisar"),"")</f>
        <v/>
      </c>
      <c r="AL244" s="179" t="str">
        <f t="array" ref="AL244">IF($F244&lt;&gt;"", XLOOKUP($F244,Productos!$A$2:$A1001,Productos!AE$2:AE1001,"")*$G244,"")</f>
        <v/>
      </c>
      <c r="AM244" s="179" t="str">
        <f t="array" ref="AM244">IF($F244&lt;&gt;"",XLOOKUP($F244,Productos!$A:$A,Productos!AF:AF,"Revisar"),"")</f>
        <v/>
      </c>
      <c r="AN244" s="179" t="str">
        <f t="array" ref="AN244">IF($F244&lt;&gt;"", XLOOKUP($F244,Productos!$A$2:$A1001,Productos!AG$2:AG1001,"")*$G244,"")</f>
        <v/>
      </c>
      <c r="AO244" s="179" t="str">
        <f t="array" ref="AO244">IF($F244&lt;&gt;"",XLOOKUP($F244,Productos!$A:$A,Productos!AH:AH,"Revisar"),"")</f>
        <v/>
      </c>
      <c r="AP244" s="179" t="str">
        <f t="array" ref="AP244">IF($F244&lt;&gt;"", XLOOKUP($F244,Productos!$A$2:$A1001,Productos!AI$2:AI1001,"")*$G244,"")</f>
        <v/>
      </c>
      <c r="AQ244" s="179" t="str">
        <f t="array" ref="AQ244">IF($F244&lt;&gt;"",XLOOKUP($F244,Productos!$A:$A,Productos!AJ:AJ,"Revisar"),"")</f>
        <v/>
      </c>
      <c r="AR244" s="179" t="str">
        <f t="array" ref="AR244">IF($F244&lt;&gt;"", XLOOKUP($F244,Productos!$A$2:$A1001,Productos!AK$2:AK1001,"")*$G244,"")</f>
        <v/>
      </c>
      <c r="AS244" s="179" t="str">
        <f t="array" ref="AS244">IF($F244&lt;&gt;"",XLOOKUP($F244,Productos!$A:$A,Productos!AL:AL,"Revisar"),"")</f>
        <v/>
      </c>
      <c r="AT244" s="179" t="str">
        <f t="array" ref="AT244">IF($F244&lt;&gt;"", XLOOKUP($F244,Productos!$A$2:$A1001,Productos!AM$2:AM1001,"")*$G244,"")</f>
        <v/>
      </c>
      <c r="AU244" s="179" t="str">
        <f t="array" ref="AU244">IF($F244&lt;&gt;"",XLOOKUP($F244,Productos!$A:$A,Productos!AN:AN,"Revisar"),"")</f>
        <v/>
      </c>
      <c r="AV244" s="179" t="str">
        <f t="array" ref="AV244">IF($F244&lt;&gt;"", XLOOKUP($F244,Productos!$A$2:$A1001,Productos!AO$2:AO1001,"")*$G244,"")</f>
        <v/>
      </c>
      <c r="AW244" s="179" t="str">
        <f t="array" ref="AW244">IF($F244&lt;&gt;"",XLOOKUP($F244,Productos!$A:$A,Productos!AP:AP,"Revisar"),"")</f>
        <v/>
      </c>
      <c r="AX244" s="179" t="str">
        <f t="array" ref="AX244">IF($F244&lt;&gt;"", XLOOKUP($F244,Productos!$A$2:$A1001,Productos!AQ$2:AQ1001,"")*$G244,"")</f>
        <v/>
      </c>
      <c r="AY244" s="179" t="str">
        <f t="array" ref="AY244">IF($F244&lt;&gt;"",XLOOKUP($F244,Productos!$A:$A,Productos!AR:AR,"Revisar"),"")</f>
        <v/>
      </c>
      <c r="AZ244" s="179" t="str">
        <f t="array" ref="AZ244">IF($F244&lt;&gt;"", XLOOKUP($F244,Productos!$A$2:$A1001,Productos!AS$2:AS1001,"")*$G244,"")</f>
        <v/>
      </c>
      <c r="BA244" s="179" t="str">
        <f t="array" ref="BA244">IF($F244&lt;&gt;"",XLOOKUP($F244,Productos!$A:$A,Productos!AT:AT,"Revisar"),"")</f>
        <v/>
      </c>
      <c r="BB244" s="179" t="str">
        <f t="array" ref="BB244">IF($F244&lt;&gt;"", XLOOKUP($F244,Productos!$A$2:$A1001,Productos!AU$2:AU1001,"")*$G244,"")</f>
        <v/>
      </c>
      <c r="BC244" s="179" t="str">
        <f t="array" ref="BC244">IF($F244&lt;&gt;"",XLOOKUP($F244,Productos!$A:$A,Productos!AV:AV,"Revisar"),"")</f>
        <v/>
      </c>
      <c r="BD244" s="179" t="str">
        <f t="array" ref="BD244">IF($F244&lt;&gt;"", XLOOKUP($F244,Productos!$A$2:$A1001,Productos!AW$2:AW1001,"")*$G244,"")</f>
        <v/>
      </c>
      <c r="BE244" s="179" t="str">
        <f t="array" ref="BE244">IF($F244&lt;&gt;"",XLOOKUP($F244,Productos!$A:$A,Productos!AX:AX,"Revisar"),"")</f>
        <v/>
      </c>
      <c r="BF244" s="179" t="str">
        <f t="array" ref="BF244">IF($F244&lt;&gt;"", XLOOKUP($F244,Productos!$A$2:$A1001,Productos!AY$2:AY1001,"")*$G244,"")</f>
        <v/>
      </c>
      <c r="BG244" s="179" t="str">
        <f t="array" ref="BG244">IF($F244&lt;&gt;"",XLOOKUP($F244,Productos!$A:$A,Productos!AZ:AZ,"Revisar"),"")</f>
        <v/>
      </c>
      <c r="BH244" s="179" t="str">
        <f t="array" ref="BH244">IF($F244&lt;&gt;"", XLOOKUP($F244,Productos!$A$2:$A1001,Productos!BA$2:BA1001,"")*$G244,"")</f>
        <v/>
      </c>
      <c r="BI244" s="179" t="str">
        <f t="array" ref="BI244">IF($F244&lt;&gt;"",XLOOKUP($F244,Productos!$A:$A,Productos!BB:BB,"Revisar"),"")</f>
        <v/>
      </c>
      <c r="BJ244" s="179" t="str">
        <f t="array" ref="BJ244">IF($F244&lt;&gt;"", XLOOKUP($F244,Productos!$A$2:$A1001,Productos!BC$2:BC1001,"")*$G244,"")</f>
        <v/>
      </c>
      <c r="BK244" s="179" t="str">
        <f t="array" ref="BK244">IF($F244&lt;&gt;"",XLOOKUP($F244,Productos!$A:$A,Productos!BD:BD,"Revisar"),"")</f>
        <v/>
      </c>
      <c r="BL244" s="179" t="str">
        <f t="array" ref="BL244">IF($F244&lt;&gt;"", XLOOKUP($F244,Productos!$A$2:$A1001,Productos!BE$2:BE1001,"")*$G244,"")</f>
        <v/>
      </c>
      <c r="BM244" s="179" t="str">
        <f t="array" ref="BM244">IF($F244&lt;&gt;"",XLOOKUP($F244,Productos!$A:$A,Productos!BF:BF,"Revisar"),"")</f>
        <v/>
      </c>
      <c r="BN244" s="179" t="str">
        <f t="array" ref="BN244">IF($F244&lt;&gt;"", XLOOKUP($F244,Productos!$A$2:$A1001,Productos!BG$2:BG1001,"")*$G244,"")</f>
        <v/>
      </c>
      <c r="BO244" s="179" t="str">
        <f t="array" ref="BO244">IF($F244&lt;&gt;"",XLOOKUP($F244,Productos!$A:$A,Productos!BH:BH,"Revisar"),"")</f>
        <v/>
      </c>
      <c r="BP244" s="179" t="str">
        <f t="array" ref="BP244">IF($F244&lt;&gt;"", XLOOKUP($F244,Productos!$A$2:$A1001,Productos!BI$2:BI1001,"")*$G244,"")</f>
        <v/>
      </c>
      <c r="BQ244" s="179" t="str">
        <f t="array" ref="BQ244">IF($F244&lt;&gt;"",XLOOKUP($F244,Productos!$A:$A,Productos!BJ:BJ,"Revisar"),"")</f>
        <v/>
      </c>
      <c r="BR244" s="179" t="str">
        <f t="array" ref="BR244">IF($F244&lt;&gt;"", XLOOKUP($F244,Productos!$A$2:$A1001,Productos!BK$2:BK1001,"")*$G244,"")</f>
        <v/>
      </c>
      <c r="BS244" s="179" t="str">
        <f t="array" ref="BS244">IF($F244&lt;&gt;"",XLOOKUP($F244,Productos!$A:$A,Productos!BL:BL,"Revisar"),"")</f>
        <v/>
      </c>
      <c r="BT244" s="179" t="str">
        <f t="array" ref="BT244">IF($F244&lt;&gt;"", XLOOKUP($F244,Productos!$A$2:$A1001,Productos!BM$2:BM1001,"")*$G244,"")</f>
        <v/>
      </c>
      <c r="BU244" s="179" t="str">
        <f t="array" ref="BU244">IF($F244&lt;&gt;"",XLOOKUP($F244,Productos!$A:$A,Productos!BN:BN,"Revisar"),"")</f>
        <v/>
      </c>
      <c r="BV244" s="179" t="str">
        <f t="array" ref="BV244">IF($F244&lt;&gt;"", XLOOKUP($F244,Productos!$A$2:$A1001,Productos!BO$2:BO1001,"")*$G244,"")</f>
        <v/>
      </c>
      <c r="BW244" s="179" t="str">
        <f t="array" ref="BW244">IF($F244&lt;&gt;"",XLOOKUP($F244,Productos!$A:$A,Productos!BP:BP,"Revisar"),"")</f>
        <v/>
      </c>
      <c r="BX244" s="179" t="str">
        <f t="array" ref="BX244">IF($F244&lt;&gt;"", XLOOKUP($F244,Productos!$A$2:$A1001,Productos!BQ$2:BQ1001,"")*$G244,"")</f>
        <v/>
      </c>
      <c r="BY244" s="179" t="str">
        <f t="array" ref="BY244">IF($F244&lt;&gt;"",XLOOKUP($F244,Productos!$A:$A,Productos!BR:BR,"Revisar"),"")</f>
        <v/>
      </c>
      <c r="BZ244" s="179" t="str">
        <f t="array" ref="BZ244">IF($F244&lt;&gt;"", XLOOKUP($F244,Productos!$A$2:$A1001,Productos!BS$2:BS1001,"")*$G244,"")</f>
        <v/>
      </c>
    </row>
    <row r="245">
      <c r="A245" s="180"/>
      <c r="B245" s="181"/>
      <c r="C245" s="182"/>
      <c r="D245" s="182"/>
      <c r="E245" s="185"/>
      <c r="F245" s="186"/>
      <c r="G245" s="187"/>
      <c r="H245" s="186"/>
      <c r="I245" s="179" t="str">
        <f t="array" ref="I245">IF($F245&lt;&gt;"",XLOOKUP($F245,Productos!$A:$A,Productos!B:B,"Revisar"),"")</f>
        <v/>
      </c>
      <c r="J245" s="179" t="str">
        <f t="array" ref="J245">IF($F245&lt;&gt;"", XLOOKUP($F245,Productos!$A$2:$A1001,Productos!C$2:C1001,"")*$G245,"")</f>
        <v/>
      </c>
      <c r="K245" s="179" t="str">
        <f t="array" ref="K245">IF($F245&lt;&gt;"",XLOOKUP($F245,Productos!$A:$A,Productos!D:D,"Revisar"),"")</f>
        <v/>
      </c>
      <c r="L245" s="179" t="str">
        <f t="array" ref="L245">IF($F245&lt;&gt;"", XLOOKUP($F245,Productos!$A$2:$A1001,Productos!E$2:E1001,"")*$G245,"")</f>
        <v/>
      </c>
      <c r="M245" s="179" t="str">
        <f t="array" ref="M245">IF($F245&lt;&gt;"",XLOOKUP($F245,Productos!$A:$A,Productos!F:F,"Revisar"),"")</f>
        <v/>
      </c>
      <c r="N245" s="179" t="str">
        <f t="array" ref="N245">IF($F245&lt;&gt;"", XLOOKUP($F245,Productos!$A$2:$A1001,Productos!G$2:G1001,"")*$G245,"")</f>
        <v/>
      </c>
      <c r="O245" s="179" t="str">
        <f t="array" ref="O245">IF($F245&lt;&gt;"",XLOOKUP($F245,Productos!$A:$A,Productos!H:H,"Revisar"),"")</f>
        <v/>
      </c>
      <c r="P245" s="179" t="str">
        <f t="array" ref="P245">IF($F245&lt;&gt;"", XLOOKUP($F245,Productos!$A$2:$A1001,Productos!I$2:I1001,"")*$G245,"")</f>
        <v/>
      </c>
      <c r="Q245" s="179" t="str">
        <f t="array" ref="Q245">IF($F245&lt;&gt;"",XLOOKUP($F245,Productos!$A:$A,Productos!J:J,"Revisar"),"")</f>
        <v/>
      </c>
      <c r="R245" s="179" t="str">
        <f t="array" ref="R245">IF($F245&lt;&gt;"", XLOOKUP($F245,Productos!$A$2:$A1001,Productos!K$2:K1001,"")*$G245,"")</f>
        <v/>
      </c>
      <c r="S245" s="179" t="str">
        <f t="array" ref="S245">IF($F245&lt;&gt;"",XLOOKUP($F245,Productos!$A:$A,Productos!L:L,"Revisar"),"")</f>
        <v/>
      </c>
      <c r="T245" s="179" t="str">
        <f t="array" ref="T245">IF($F245&lt;&gt;"", XLOOKUP($F245,Productos!$A$2:$A1001,Productos!M$2:M1001,"")*$G245,"")</f>
        <v/>
      </c>
      <c r="U245" s="179" t="str">
        <f t="array" ref="U245">IF($F245&lt;&gt;"",XLOOKUP($F245,Productos!$A:$A,Productos!N:N,"Revisar"),"")</f>
        <v/>
      </c>
      <c r="V245" s="179" t="str">
        <f t="array" ref="V245">IF($F245&lt;&gt;"", XLOOKUP($F245,Productos!$A$2:$A1001,Productos!O$2:O1001,"")*$G245,"")</f>
        <v/>
      </c>
      <c r="W245" s="179" t="str">
        <f t="array" ref="W245">IF($F245&lt;&gt;"",XLOOKUP($F245,Productos!$A:$A,Productos!P:P,"Revisar"),"")</f>
        <v/>
      </c>
      <c r="X245" s="179" t="str">
        <f t="array" ref="X245">IF($F245&lt;&gt;"", XLOOKUP($F245,Productos!$A$2:$A1001,Productos!Q$2:Q1001,"")*$G245,"")</f>
        <v/>
      </c>
      <c r="Y245" s="179" t="str">
        <f t="array" ref="Y245">IF($F245&lt;&gt;"",XLOOKUP($F245,Productos!$A:$A,Productos!R:R,"Revisar"),"")</f>
        <v/>
      </c>
      <c r="Z245" s="179" t="str">
        <f t="array" ref="Z245">IF($F245&lt;&gt;"", XLOOKUP($F245,Productos!$A$2:$A1001,Productos!S$2:S1001,"")*$G245,"")</f>
        <v/>
      </c>
      <c r="AA245" s="179" t="str">
        <f t="array" ref="AA245">IF($F245&lt;&gt;"",XLOOKUP($F245,Productos!$A:$A,Productos!T:T,"Revisar"),"")</f>
        <v/>
      </c>
      <c r="AB245" s="179" t="str">
        <f t="array" ref="AB245">IF($F245&lt;&gt;"", XLOOKUP($F245,Productos!$A$2:$A1001,Productos!U$2:U1001,"")*$G245,"")</f>
        <v/>
      </c>
      <c r="AC245" s="179" t="str">
        <f t="array" ref="AC245">IF($F245&lt;&gt;"",XLOOKUP($F245,Productos!$A:$A,Productos!V:V,"Revisar"),"")</f>
        <v/>
      </c>
      <c r="AD245" s="179" t="str">
        <f t="array" ref="AD245">IF($F245&lt;&gt;"", XLOOKUP($F245,Productos!$A$2:$A1001,Productos!W$2:W1001,"")*$G245,"")</f>
        <v/>
      </c>
      <c r="AE245" s="179" t="str">
        <f t="array" ref="AE245">IF($F245&lt;&gt;"",XLOOKUP($F245,Productos!$A:$A,Productos!X:X,"Revisar"),"")</f>
        <v/>
      </c>
      <c r="AF245" s="179" t="str">
        <f t="array" ref="AF245">IF($F245&lt;&gt;"", XLOOKUP($F245,Productos!$A$2:$A1001,Productos!Y$2:Y1001,"")*$G245,"")</f>
        <v/>
      </c>
      <c r="AG245" s="179" t="str">
        <f t="array" ref="AG245">IF($F245&lt;&gt;"",XLOOKUP($F245,Productos!$A:$A,Productos!Z:Z,"Revisar"),"")</f>
        <v/>
      </c>
      <c r="AH245" s="179" t="str">
        <f t="array" ref="AH245">IF($F245&lt;&gt;"", XLOOKUP($F245,Productos!$A$2:$A1001,Productos!AA$2:AA1001,"")*$G245,"")</f>
        <v/>
      </c>
      <c r="AI245" s="179" t="str">
        <f t="array" ref="AI245">IF($F245&lt;&gt;"",XLOOKUP($F245,Productos!$A:$A,Productos!AB:AB,"Revisar"),"")</f>
        <v/>
      </c>
      <c r="AJ245" s="179" t="str">
        <f t="array" ref="AJ245">IF($F245&lt;&gt;"", XLOOKUP($F245,Productos!$A$2:$A1001,Productos!AC$2:AC1001,"")*$G245,"")</f>
        <v/>
      </c>
      <c r="AK245" s="179" t="str">
        <f t="array" ref="AK245">IF($F245&lt;&gt;"",XLOOKUP($F245,Productos!$A:$A,Productos!AD:AD,"Revisar"),"")</f>
        <v/>
      </c>
      <c r="AL245" s="179" t="str">
        <f t="array" ref="AL245">IF($F245&lt;&gt;"", XLOOKUP($F245,Productos!$A$2:$A1001,Productos!AE$2:AE1001,"")*$G245,"")</f>
        <v/>
      </c>
      <c r="AM245" s="179" t="str">
        <f t="array" ref="AM245">IF($F245&lt;&gt;"",XLOOKUP($F245,Productos!$A:$A,Productos!AF:AF,"Revisar"),"")</f>
        <v/>
      </c>
      <c r="AN245" s="179" t="str">
        <f t="array" ref="AN245">IF($F245&lt;&gt;"", XLOOKUP($F245,Productos!$A$2:$A1001,Productos!AG$2:AG1001,"")*$G245,"")</f>
        <v/>
      </c>
      <c r="AO245" s="179" t="str">
        <f t="array" ref="AO245">IF($F245&lt;&gt;"",XLOOKUP($F245,Productos!$A:$A,Productos!AH:AH,"Revisar"),"")</f>
        <v/>
      </c>
      <c r="AP245" s="179" t="str">
        <f t="array" ref="AP245">IF($F245&lt;&gt;"", XLOOKUP($F245,Productos!$A$2:$A1001,Productos!AI$2:AI1001,"")*$G245,"")</f>
        <v/>
      </c>
      <c r="AQ245" s="179" t="str">
        <f t="array" ref="AQ245">IF($F245&lt;&gt;"",XLOOKUP($F245,Productos!$A:$A,Productos!AJ:AJ,"Revisar"),"")</f>
        <v/>
      </c>
      <c r="AR245" s="179" t="str">
        <f t="array" ref="AR245">IF($F245&lt;&gt;"", XLOOKUP($F245,Productos!$A$2:$A1001,Productos!AK$2:AK1001,"")*$G245,"")</f>
        <v/>
      </c>
      <c r="AS245" s="179" t="str">
        <f t="array" ref="AS245">IF($F245&lt;&gt;"",XLOOKUP($F245,Productos!$A:$A,Productos!AL:AL,"Revisar"),"")</f>
        <v/>
      </c>
      <c r="AT245" s="179" t="str">
        <f t="array" ref="AT245">IF($F245&lt;&gt;"", XLOOKUP($F245,Productos!$A$2:$A1001,Productos!AM$2:AM1001,"")*$G245,"")</f>
        <v/>
      </c>
      <c r="AU245" s="179" t="str">
        <f t="array" ref="AU245">IF($F245&lt;&gt;"",XLOOKUP($F245,Productos!$A:$A,Productos!AN:AN,"Revisar"),"")</f>
        <v/>
      </c>
      <c r="AV245" s="179" t="str">
        <f t="array" ref="AV245">IF($F245&lt;&gt;"", XLOOKUP($F245,Productos!$A$2:$A1001,Productos!AO$2:AO1001,"")*$G245,"")</f>
        <v/>
      </c>
      <c r="AW245" s="179" t="str">
        <f t="array" ref="AW245">IF($F245&lt;&gt;"",XLOOKUP($F245,Productos!$A:$A,Productos!AP:AP,"Revisar"),"")</f>
        <v/>
      </c>
      <c r="AX245" s="179" t="str">
        <f t="array" ref="AX245">IF($F245&lt;&gt;"", XLOOKUP($F245,Productos!$A$2:$A1001,Productos!AQ$2:AQ1001,"")*$G245,"")</f>
        <v/>
      </c>
      <c r="AY245" s="179" t="str">
        <f t="array" ref="AY245">IF($F245&lt;&gt;"",XLOOKUP($F245,Productos!$A:$A,Productos!AR:AR,"Revisar"),"")</f>
        <v/>
      </c>
      <c r="AZ245" s="179" t="str">
        <f t="array" ref="AZ245">IF($F245&lt;&gt;"", XLOOKUP($F245,Productos!$A$2:$A1001,Productos!AS$2:AS1001,"")*$G245,"")</f>
        <v/>
      </c>
      <c r="BA245" s="179" t="str">
        <f t="array" ref="BA245">IF($F245&lt;&gt;"",XLOOKUP($F245,Productos!$A:$A,Productos!AT:AT,"Revisar"),"")</f>
        <v/>
      </c>
      <c r="BB245" s="179" t="str">
        <f t="array" ref="BB245">IF($F245&lt;&gt;"", XLOOKUP($F245,Productos!$A$2:$A1001,Productos!AU$2:AU1001,"")*$G245,"")</f>
        <v/>
      </c>
      <c r="BC245" s="179" t="str">
        <f t="array" ref="BC245">IF($F245&lt;&gt;"",XLOOKUP($F245,Productos!$A:$A,Productos!AV:AV,"Revisar"),"")</f>
        <v/>
      </c>
      <c r="BD245" s="179" t="str">
        <f t="array" ref="BD245">IF($F245&lt;&gt;"", XLOOKUP($F245,Productos!$A$2:$A1001,Productos!AW$2:AW1001,"")*$G245,"")</f>
        <v/>
      </c>
      <c r="BE245" s="179" t="str">
        <f t="array" ref="BE245">IF($F245&lt;&gt;"",XLOOKUP($F245,Productos!$A:$A,Productos!AX:AX,"Revisar"),"")</f>
        <v/>
      </c>
      <c r="BF245" s="179" t="str">
        <f t="array" ref="BF245">IF($F245&lt;&gt;"", XLOOKUP($F245,Productos!$A$2:$A1001,Productos!AY$2:AY1001,"")*$G245,"")</f>
        <v/>
      </c>
      <c r="BG245" s="179" t="str">
        <f t="array" ref="BG245">IF($F245&lt;&gt;"",XLOOKUP($F245,Productos!$A:$A,Productos!AZ:AZ,"Revisar"),"")</f>
        <v/>
      </c>
      <c r="BH245" s="179" t="str">
        <f t="array" ref="BH245">IF($F245&lt;&gt;"", XLOOKUP($F245,Productos!$A$2:$A1001,Productos!BA$2:BA1001,"")*$G245,"")</f>
        <v/>
      </c>
      <c r="BI245" s="179" t="str">
        <f t="array" ref="BI245">IF($F245&lt;&gt;"",XLOOKUP($F245,Productos!$A:$A,Productos!BB:BB,"Revisar"),"")</f>
        <v/>
      </c>
      <c r="BJ245" s="179" t="str">
        <f t="array" ref="BJ245">IF($F245&lt;&gt;"", XLOOKUP($F245,Productos!$A$2:$A1001,Productos!BC$2:BC1001,"")*$G245,"")</f>
        <v/>
      </c>
      <c r="BK245" s="179" t="str">
        <f t="array" ref="BK245">IF($F245&lt;&gt;"",XLOOKUP($F245,Productos!$A:$A,Productos!BD:BD,"Revisar"),"")</f>
        <v/>
      </c>
      <c r="BL245" s="179" t="str">
        <f t="array" ref="BL245">IF($F245&lt;&gt;"", XLOOKUP($F245,Productos!$A$2:$A1001,Productos!BE$2:BE1001,"")*$G245,"")</f>
        <v/>
      </c>
      <c r="BM245" s="179" t="str">
        <f t="array" ref="BM245">IF($F245&lt;&gt;"",XLOOKUP($F245,Productos!$A:$A,Productos!BF:BF,"Revisar"),"")</f>
        <v/>
      </c>
      <c r="BN245" s="179" t="str">
        <f t="array" ref="BN245">IF($F245&lt;&gt;"", XLOOKUP($F245,Productos!$A$2:$A1001,Productos!BG$2:BG1001,"")*$G245,"")</f>
        <v/>
      </c>
      <c r="BO245" s="179" t="str">
        <f t="array" ref="BO245">IF($F245&lt;&gt;"",XLOOKUP($F245,Productos!$A:$A,Productos!BH:BH,"Revisar"),"")</f>
        <v/>
      </c>
      <c r="BP245" s="179" t="str">
        <f t="array" ref="BP245">IF($F245&lt;&gt;"", XLOOKUP($F245,Productos!$A$2:$A1001,Productos!BI$2:BI1001,"")*$G245,"")</f>
        <v/>
      </c>
      <c r="BQ245" s="179" t="str">
        <f t="array" ref="BQ245">IF($F245&lt;&gt;"",XLOOKUP($F245,Productos!$A:$A,Productos!BJ:BJ,"Revisar"),"")</f>
        <v/>
      </c>
      <c r="BR245" s="179" t="str">
        <f t="array" ref="BR245">IF($F245&lt;&gt;"", XLOOKUP($F245,Productos!$A$2:$A1001,Productos!BK$2:BK1001,"")*$G245,"")</f>
        <v/>
      </c>
      <c r="BS245" s="179" t="str">
        <f t="array" ref="BS245">IF($F245&lt;&gt;"",XLOOKUP($F245,Productos!$A:$A,Productos!BL:BL,"Revisar"),"")</f>
        <v/>
      </c>
      <c r="BT245" s="179" t="str">
        <f t="array" ref="BT245">IF($F245&lt;&gt;"", XLOOKUP($F245,Productos!$A$2:$A1001,Productos!BM$2:BM1001,"")*$G245,"")</f>
        <v/>
      </c>
      <c r="BU245" s="179" t="str">
        <f t="array" ref="BU245">IF($F245&lt;&gt;"",XLOOKUP($F245,Productos!$A:$A,Productos!BN:BN,"Revisar"),"")</f>
        <v/>
      </c>
      <c r="BV245" s="179" t="str">
        <f t="array" ref="BV245">IF($F245&lt;&gt;"", XLOOKUP($F245,Productos!$A$2:$A1001,Productos!BO$2:BO1001,"")*$G245,"")</f>
        <v/>
      </c>
      <c r="BW245" s="179" t="str">
        <f t="array" ref="BW245">IF($F245&lt;&gt;"",XLOOKUP($F245,Productos!$A:$A,Productos!BP:BP,"Revisar"),"")</f>
        <v/>
      </c>
      <c r="BX245" s="179" t="str">
        <f t="array" ref="BX245">IF($F245&lt;&gt;"", XLOOKUP($F245,Productos!$A$2:$A1001,Productos!BQ$2:BQ1001,"")*$G245,"")</f>
        <v/>
      </c>
      <c r="BY245" s="179" t="str">
        <f t="array" ref="BY245">IF($F245&lt;&gt;"",XLOOKUP($F245,Productos!$A:$A,Productos!BR:BR,"Revisar"),"")</f>
        <v/>
      </c>
      <c r="BZ245" s="179" t="str">
        <f t="array" ref="BZ245">IF($F245&lt;&gt;"", XLOOKUP($F245,Productos!$A$2:$A1001,Productos!BS$2:BS1001,"")*$G245,"")</f>
        <v/>
      </c>
    </row>
    <row r="246">
      <c r="A246" s="180"/>
      <c r="B246" s="181"/>
      <c r="C246" s="182"/>
      <c r="D246" s="182"/>
      <c r="E246" s="185"/>
      <c r="F246" s="186"/>
      <c r="G246" s="187"/>
      <c r="H246" s="186"/>
      <c r="I246" s="179" t="str">
        <f t="array" ref="I246">IF($F246&lt;&gt;"",XLOOKUP($F246,Productos!$A:$A,Productos!B:B,"Revisar"),"")</f>
        <v/>
      </c>
      <c r="J246" s="179" t="str">
        <f t="array" ref="J246">IF($F246&lt;&gt;"", XLOOKUP($F246,Productos!$A$2:$A1001,Productos!C$2:C1001,"")*$G246,"")</f>
        <v/>
      </c>
      <c r="K246" s="179" t="str">
        <f t="array" ref="K246">IF($F246&lt;&gt;"",XLOOKUP($F246,Productos!$A:$A,Productos!D:D,"Revisar"),"")</f>
        <v/>
      </c>
      <c r="L246" s="179" t="str">
        <f t="array" ref="L246">IF($F246&lt;&gt;"", XLOOKUP($F246,Productos!$A$2:$A1001,Productos!E$2:E1001,"")*$G246,"")</f>
        <v/>
      </c>
      <c r="M246" s="179" t="str">
        <f t="array" ref="M246">IF($F246&lt;&gt;"",XLOOKUP($F246,Productos!$A:$A,Productos!F:F,"Revisar"),"")</f>
        <v/>
      </c>
      <c r="N246" s="179" t="str">
        <f t="array" ref="N246">IF($F246&lt;&gt;"", XLOOKUP($F246,Productos!$A$2:$A1001,Productos!G$2:G1001,"")*$G246,"")</f>
        <v/>
      </c>
      <c r="O246" s="179" t="str">
        <f t="array" ref="O246">IF($F246&lt;&gt;"",XLOOKUP($F246,Productos!$A:$A,Productos!H:H,"Revisar"),"")</f>
        <v/>
      </c>
      <c r="P246" s="179" t="str">
        <f t="array" ref="P246">IF($F246&lt;&gt;"", XLOOKUP($F246,Productos!$A$2:$A1001,Productos!I$2:I1001,"")*$G246,"")</f>
        <v/>
      </c>
      <c r="Q246" s="179" t="str">
        <f t="array" ref="Q246">IF($F246&lt;&gt;"",XLOOKUP($F246,Productos!$A:$A,Productos!J:J,"Revisar"),"")</f>
        <v/>
      </c>
      <c r="R246" s="179" t="str">
        <f t="array" ref="R246">IF($F246&lt;&gt;"", XLOOKUP($F246,Productos!$A$2:$A1001,Productos!K$2:K1001,"")*$G246,"")</f>
        <v/>
      </c>
      <c r="S246" s="179" t="str">
        <f t="array" ref="S246">IF($F246&lt;&gt;"",XLOOKUP($F246,Productos!$A:$A,Productos!L:L,"Revisar"),"")</f>
        <v/>
      </c>
      <c r="T246" s="179" t="str">
        <f t="array" ref="T246">IF($F246&lt;&gt;"", XLOOKUP($F246,Productos!$A$2:$A1001,Productos!M$2:M1001,"")*$G246,"")</f>
        <v/>
      </c>
      <c r="U246" s="179" t="str">
        <f t="array" ref="U246">IF($F246&lt;&gt;"",XLOOKUP($F246,Productos!$A:$A,Productos!N:N,"Revisar"),"")</f>
        <v/>
      </c>
      <c r="V246" s="179" t="str">
        <f t="array" ref="V246">IF($F246&lt;&gt;"", XLOOKUP($F246,Productos!$A$2:$A1001,Productos!O$2:O1001,"")*$G246,"")</f>
        <v/>
      </c>
      <c r="W246" s="179" t="str">
        <f t="array" ref="W246">IF($F246&lt;&gt;"",XLOOKUP($F246,Productos!$A:$A,Productos!P:P,"Revisar"),"")</f>
        <v/>
      </c>
      <c r="X246" s="179" t="str">
        <f t="array" ref="X246">IF($F246&lt;&gt;"", XLOOKUP($F246,Productos!$A$2:$A1001,Productos!Q$2:Q1001,"")*$G246,"")</f>
        <v/>
      </c>
      <c r="Y246" s="179" t="str">
        <f t="array" ref="Y246">IF($F246&lt;&gt;"",XLOOKUP($F246,Productos!$A:$A,Productos!R:R,"Revisar"),"")</f>
        <v/>
      </c>
      <c r="Z246" s="179" t="str">
        <f t="array" ref="Z246">IF($F246&lt;&gt;"", XLOOKUP($F246,Productos!$A$2:$A1001,Productos!S$2:S1001,"")*$G246,"")</f>
        <v/>
      </c>
      <c r="AA246" s="179" t="str">
        <f t="array" ref="AA246">IF($F246&lt;&gt;"",XLOOKUP($F246,Productos!$A:$A,Productos!T:T,"Revisar"),"")</f>
        <v/>
      </c>
      <c r="AB246" s="179" t="str">
        <f t="array" ref="AB246">IF($F246&lt;&gt;"", XLOOKUP($F246,Productos!$A$2:$A1001,Productos!U$2:U1001,"")*$G246,"")</f>
        <v/>
      </c>
      <c r="AC246" s="179" t="str">
        <f t="array" ref="AC246">IF($F246&lt;&gt;"",XLOOKUP($F246,Productos!$A:$A,Productos!V:V,"Revisar"),"")</f>
        <v/>
      </c>
      <c r="AD246" s="179" t="str">
        <f t="array" ref="AD246">IF($F246&lt;&gt;"", XLOOKUP($F246,Productos!$A$2:$A1001,Productos!W$2:W1001,"")*$G246,"")</f>
        <v/>
      </c>
      <c r="AE246" s="179" t="str">
        <f t="array" ref="AE246">IF($F246&lt;&gt;"",XLOOKUP($F246,Productos!$A:$A,Productos!X:X,"Revisar"),"")</f>
        <v/>
      </c>
      <c r="AF246" s="179" t="str">
        <f t="array" ref="AF246">IF($F246&lt;&gt;"", XLOOKUP($F246,Productos!$A$2:$A1001,Productos!Y$2:Y1001,"")*$G246,"")</f>
        <v/>
      </c>
      <c r="AG246" s="179" t="str">
        <f t="array" ref="AG246">IF($F246&lt;&gt;"",XLOOKUP($F246,Productos!$A:$A,Productos!Z:Z,"Revisar"),"")</f>
        <v/>
      </c>
      <c r="AH246" s="179" t="str">
        <f t="array" ref="AH246">IF($F246&lt;&gt;"", XLOOKUP($F246,Productos!$A$2:$A1001,Productos!AA$2:AA1001,"")*$G246,"")</f>
        <v/>
      </c>
      <c r="AI246" s="179" t="str">
        <f t="array" ref="AI246">IF($F246&lt;&gt;"",XLOOKUP($F246,Productos!$A:$A,Productos!AB:AB,"Revisar"),"")</f>
        <v/>
      </c>
      <c r="AJ246" s="179" t="str">
        <f t="array" ref="AJ246">IF($F246&lt;&gt;"", XLOOKUP($F246,Productos!$A$2:$A1001,Productos!AC$2:AC1001,"")*$G246,"")</f>
        <v/>
      </c>
      <c r="AK246" s="179" t="str">
        <f t="array" ref="AK246">IF($F246&lt;&gt;"",XLOOKUP($F246,Productos!$A:$A,Productos!AD:AD,"Revisar"),"")</f>
        <v/>
      </c>
      <c r="AL246" s="179" t="str">
        <f t="array" ref="AL246">IF($F246&lt;&gt;"", XLOOKUP($F246,Productos!$A$2:$A1001,Productos!AE$2:AE1001,"")*$G246,"")</f>
        <v/>
      </c>
      <c r="AM246" s="179" t="str">
        <f t="array" ref="AM246">IF($F246&lt;&gt;"",XLOOKUP($F246,Productos!$A:$A,Productos!AF:AF,"Revisar"),"")</f>
        <v/>
      </c>
      <c r="AN246" s="179" t="str">
        <f t="array" ref="AN246">IF($F246&lt;&gt;"", XLOOKUP($F246,Productos!$A$2:$A1001,Productos!AG$2:AG1001,"")*$G246,"")</f>
        <v/>
      </c>
      <c r="AO246" s="179" t="str">
        <f t="array" ref="AO246">IF($F246&lt;&gt;"",XLOOKUP($F246,Productos!$A:$A,Productos!AH:AH,"Revisar"),"")</f>
        <v/>
      </c>
      <c r="AP246" s="179" t="str">
        <f t="array" ref="AP246">IF($F246&lt;&gt;"", XLOOKUP($F246,Productos!$A$2:$A1001,Productos!AI$2:AI1001,"")*$G246,"")</f>
        <v/>
      </c>
      <c r="AQ246" s="179" t="str">
        <f t="array" ref="AQ246">IF($F246&lt;&gt;"",XLOOKUP($F246,Productos!$A:$A,Productos!AJ:AJ,"Revisar"),"")</f>
        <v/>
      </c>
      <c r="AR246" s="179" t="str">
        <f t="array" ref="AR246">IF($F246&lt;&gt;"", XLOOKUP($F246,Productos!$A$2:$A1001,Productos!AK$2:AK1001,"")*$G246,"")</f>
        <v/>
      </c>
      <c r="AS246" s="179" t="str">
        <f t="array" ref="AS246">IF($F246&lt;&gt;"",XLOOKUP($F246,Productos!$A:$A,Productos!AL:AL,"Revisar"),"")</f>
        <v/>
      </c>
      <c r="AT246" s="179" t="str">
        <f t="array" ref="AT246">IF($F246&lt;&gt;"", XLOOKUP($F246,Productos!$A$2:$A1001,Productos!AM$2:AM1001,"")*$G246,"")</f>
        <v/>
      </c>
      <c r="AU246" s="179" t="str">
        <f t="array" ref="AU246">IF($F246&lt;&gt;"",XLOOKUP($F246,Productos!$A:$A,Productos!AN:AN,"Revisar"),"")</f>
        <v/>
      </c>
      <c r="AV246" s="179" t="str">
        <f t="array" ref="AV246">IF($F246&lt;&gt;"", XLOOKUP($F246,Productos!$A$2:$A1001,Productos!AO$2:AO1001,"")*$G246,"")</f>
        <v/>
      </c>
      <c r="AW246" s="179" t="str">
        <f t="array" ref="AW246">IF($F246&lt;&gt;"",XLOOKUP($F246,Productos!$A:$A,Productos!AP:AP,"Revisar"),"")</f>
        <v/>
      </c>
      <c r="AX246" s="179" t="str">
        <f t="array" ref="AX246">IF($F246&lt;&gt;"", XLOOKUP($F246,Productos!$A$2:$A1001,Productos!AQ$2:AQ1001,"")*$G246,"")</f>
        <v/>
      </c>
      <c r="AY246" s="179" t="str">
        <f t="array" ref="AY246">IF($F246&lt;&gt;"",XLOOKUP($F246,Productos!$A:$A,Productos!AR:AR,"Revisar"),"")</f>
        <v/>
      </c>
      <c r="AZ246" s="179" t="str">
        <f t="array" ref="AZ246">IF($F246&lt;&gt;"", XLOOKUP($F246,Productos!$A$2:$A1001,Productos!AS$2:AS1001,"")*$G246,"")</f>
        <v/>
      </c>
      <c r="BA246" s="179" t="str">
        <f t="array" ref="BA246">IF($F246&lt;&gt;"",XLOOKUP($F246,Productos!$A:$A,Productos!AT:AT,"Revisar"),"")</f>
        <v/>
      </c>
      <c r="BB246" s="179" t="str">
        <f t="array" ref="BB246">IF($F246&lt;&gt;"", XLOOKUP($F246,Productos!$A$2:$A1001,Productos!AU$2:AU1001,"")*$G246,"")</f>
        <v/>
      </c>
      <c r="BC246" s="179" t="str">
        <f t="array" ref="BC246">IF($F246&lt;&gt;"",XLOOKUP($F246,Productos!$A:$A,Productos!AV:AV,"Revisar"),"")</f>
        <v/>
      </c>
      <c r="BD246" s="179" t="str">
        <f t="array" ref="BD246">IF($F246&lt;&gt;"", XLOOKUP($F246,Productos!$A$2:$A1001,Productos!AW$2:AW1001,"")*$G246,"")</f>
        <v/>
      </c>
      <c r="BE246" s="179" t="str">
        <f t="array" ref="BE246">IF($F246&lt;&gt;"",XLOOKUP($F246,Productos!$A:$A,Productos!AX:AX,"Revisar"),"")</f>
        <v/>
      </c>
      <c r="BF246" s="179" t="str">
        <f t="array" ref="BF246">IF($F246&lt;&gt;"", XLOOKUP($F246,Productos!$A$2:$A1001,Productos!AY$2:AY1001,"")*$G246,"")</f>
        <v/>
      </c>
      <c r="BG246" s="179" t="str">
        <f t="array" ref="BG246">IF($F246&lt;&gt;"",XLOOKUP($F246,Productos!$A:$A,Productos!AZ:AZ,"Revisar"),"")</f>
        <v/>
      </c>
      <c r="BH246" s="179" t="str">
        <f t="array" ref="BH246">IF($F246&lt;&gt;"", XLOOKUP($F246,Productos!$A$2:$A1001,Productos!BA$2:BA1001,"")*$G246,"")</f>
        <v/>
      </c>
      <c r="BI246" s="179" t="str">
        <f t="array" ref="BI246">IF($F246&lt;&gt;"",XLOOKUP($F246,Productos!$A:$A,Productos!BB:BB,"Revisar"),"")</f>
        <v/>
      </c>
      <c r="BJ246" s="179" t="str">
        <f t="array" ref="BJ246">IF($F246&lt;&gt;"", XLOOKUP($F246,Productos!$A$2:$A1001,Productos!BC$2:BC1001,"")*$G246,"")</f>
        <v/>
      </c>
      <c r="BK246" s="179" t="str">
        <f t="array" ref="BK246">IF($F246&lt;&gt;"",XLOOKUP($F246,Productos!$A:$A,Productos!BD:BD,"Revisar"),"")</f>
        <v/>
      </c>
      <c r="BL246" s="179" t="str">
        <f t="array" ref="BL246">IF($F246&lt;&gt;"", XLOOKUP($F246,Productos!$A$2:$A1001,Productos!BE$2:BE1001,"")*$G246,"")</f>
        <v/>
      </c>
      <c r="BM246" s="179" t="str">
        <f t="array" ref="BM246">IF($F246&lt;&gt;"",XLOOKUP($F246,Productos!$A:$A,Productos!BF:BF,"Revisar"),"")</f>
        <v/>
      </c>
      <c r="BN246" s="179" t="str">
        <f t="array" ref="BN246">IF($F246&lt;&gt;"", XLOOKUP($F246,Productos!$A$2:$A1001,Productos!BG$2:BG1001,"")*$G246,"")</f>
        <v/>
      </c>
      <c r="BO246" s="179" t="str">
        <f t="array" ref="BO246">IF($F246&lt;&gt;"",XLOOKUP($F246,Productos!$A:$A,Productos!BH:BH,"Revisar"),"")</f>
        <v/>
      </c>
      <c r="BP246" s="179" t="str">
        <f t="array" ref="BP246">IF($F246&lt;&gt;"", XLOOKUP($F246,Productos!$A$2:$A1001,Productos!BI$2:BI1001,"")*$G246,"")</f>
        <v/>
      </c>
      <c r="BQ246" s="179" t="str">
        <f t="array" ref="BQ246">IF($F246&lt;&gt;"",XLOOKUP($F246,Productos!$A:$A,Productos!BJ:BJ,"Revisar"),"")</f>
        <v/>
      </c>
      <c r="BR246" s="179" t="str">
        <f t="array" ref="BR246">IF($F246&lt;&gt;"", XLOOKUP($F246,Productos!$A$2:$A1001,Productos!BK$2:BK1001,"")*$G246,"")</f>
        <v/>
      </c>
      <c r="BS246" s="179" t="str">
        <f t="array" ref="BS246">IF($F246&lt;&gt;"",XLOOKUP($F246,Productos!$A:$A,Productos!BL:BL,"Revisar"),"")</f>
        <v/>
      </c>
      <c r="BT246" s="179" t="str">
        <f t="array" ref="BT246">IF($F246&lt;&gt;"", XLOOKUP($F246,Productos!$A$2:$A1001,Productos!BM$2:BM1001,"")*$G246,"")</f>
        <v/>
      </c>
      <c r="BU246" s="179" t="str">
        <f t="array" ref="BU246">IF($F246&lt;&gt;"",XLOOKUP($F246,Productos!$A:$A,Productos!BN:BN,"Revisar"),"")</f>
        <v/>
      </c>
      <c r="BV246" s="179" t="str">
        <f t="array" ref="BV246">IF($F246&lt;&gt;"", XLOOKUP($F246,Productos!$A$2:$A1001,Productos!BO$2:BO1001,"")*$G246,"")</f>
        <v/>
      </c>
      <c r="BW246" s="179" t="str">
        <f t="array" ref="BW246">IF($F246&lt;&gt;"",XLOOKUP($F246,Productos!$A:$A,Productos!BP:BP,"Revisar"),"")</f>
        <v/>
      </c>
      <c r="BX246" s="179" t="str">
        <f t="array" ref="BX246">IF($F246&lt;&gt;"", XLOOKUP($F246,Productos!$A$2:$A1001,Productos!BQ$2:BQ1001,"")*$G246,"")</f>
        <v/>
      </c>
      <c r="BY246" s="179" t="str">
        <f t="array" ref="BY246">IF($F246&lt;&gt;"",XLOOKUP($F246,Productos!$A:$A,Productos!BR:BR,"Revisar"),"")</f>
        <v/>
      </c>
      <c r="BZ246" s="179" t="str">
        <f t="array" ref="BZ246">IF($F246&lt;&gt;"", XLOOKUP($F246,Productos!$A$2:$A1001,Productos!BS$2:BS1001,"")*$G246,"")</f>
        <v/>
      </c>
    </row>
    <row r="247">
      <c r="A247" s="180"/>
      <c r="B247" s="181"/>
      <c r="C247" s="182"/>
      <c r="D247" s="182"/>
      <c r="E247" s="185"/>
      <c r="F247" s="186"/>
      <c r="G247" s="187"/>
      <c r="H247" s="186"/>
      <c r="I247" s="179" t="str">
        <f t="array" ref="I247">IF($F247&lt;&gt;"",XLOOKUP($F247,Productos!$A:$A,Productos!B:B,"Revisar"),"")</f>
        <v/>
      </c>
      <c r="J247" s="179" t="str">
        <f t="array" ref="J247">IF($F247&lt;&gt;"", XLOOKUP($F247,Productos!$A$2:$A1001,Productos!C$2:C1001,"")*$G247,"")</f>
        <v/>
      </c>
      <c r="K247" s="179" t="str">
        <f t="array" ref="K247">IF($F247&lt;&gt;"",XLOOKUP($F247,Productos!$A:$A,Productos!D:D,"Revisar"),"")</f>
        <v/>
      </c>
      <c r="L247" s="179" t="str">
        <f t="array" ref="L247">IF($F247&lt;&gt;"", XLOOKUP($F247,Productos!$A$2:$A1001,Productos!E$2:E1001,"")*$G247,"")</f>
        <v/>
      </c>
      <c r="M247" s="179" t="str">
        <f t="array" ref="M247">IF($F247&lt;&gt;"",XLOOKUP($F247,Productos!$A:$A,Productos!F:F,"Revisar"),"")</f>
        <v/>
      </c>
      <c r="N247" s="179" t="str">
        <f t="array" ref="N247">IF($F247&lt;&gt;"", XLOOKUP($F247,Productos!$A$2:$A1001,Productos!G$2:G1001,"")*$G247,"")</f>
        <v/>
      </c>
      <c r="O247" s="179" t="str">
        <f t="array" ref="O247">IF($F247&lt;&gt;"",XLOOKUP($F247,Productos!$A:$A,Productos!H:H,"Revisar"),"")</f>
        <v/>
      </c>
      <c r="P247" s="179" t="str">
        <f t="array" ref="P247">IF($F247&lt;&gt;"", XLOOKUP($F247,Productos!$A$2:$A1001,Productos!I$2:I1001,"")*$G247,"")</f>
        <v/>
      </c>
      <c r="Q247" s="179" t="str">
        <f t="array" ref="Q247">IF($F247&lt;&gt;"",XLOOKUP($F247,Productos!$A:$A,Productos!J:J,"Revisar"),"")</f>
        <v/>
      </c>
      <c r="R247" s="179" t="str">
        <f t="array" ref="R247">IF($F247&lt;&gt;"", XLOOKUP($F247,Productos!$A$2:$A1001,Productos!K$2:K1001,"")*$G247,"")</f>
        <v/>
      </c>
      <c r="S247" s="179" t="str">
        <f t="array" ref="S247">IF($F247&lt;&gt;"",XLOOKUP($F247,Productos!$A:$A,Productos!L:L,"Revisar"),"")</f>
        <v/>
      </c>
      <c r="T247" s="179" t="str">
        <f t="array" ref="T247">IF($F247&lt;&gt;"", XLOOKUP($F247,Productos!$A$2:$A1001,Productos!M$2:M1001,"")*$G247,"")</f>
        <v/>
      </c>
      <c r="U247" s="179" t="str">
        <f t="array" ref="U247">IF($F247&lt;&gt;"",XLOOKUP($F247,Productos!$A:$A,Productos!N:N,"Revisar"),"")</f>
        <v/>
      </c>
      <c r="V247" s="179" t="str">
        <f t="array" ref="V247">IF($F247&lt;&gt;"", XLOOKUP($F247,Productos!$A$2:$A1001,Productos!O$2:O1001,"")*$G247,"")</f>
        <v/>
      </c>
      <c r="W247" s="179" t="str">
        <f t="array" ref="W247">IF($F247&lt;&gt;"",XLOOKUP($F247,Productos!$A:$A,Productos!P:P,"Revisar"),"")</f>
        <v/>
      </c>
      <c r="X247" s="179" t="str">
        <f t="array" ref="X247">IF($F247&lt;&gt;"", XLOOKUP($F247,Productos!$A$2:$A1001,Productos!Q$2:Q1001,"")*$G247,"")</f>
        <v/>
      </c>
      <c r="Y247" s="179" t="str">
        <f t="array" ref="Y247">IF($F247&lt;&gt;"",XLOOKUP($F247,Productos!$A:$A,Productos!R:R,"Revisar"),"")</f>
        <v/>
      </c>
      <c r="Z247" s="179" t="str">
        <f t="array" ref="Z247">IF($F247&lt;&gt;"", XLOOKUP($F247,Productos!$A$2:$A1001,Productos!S$2:S1001,"")*$G247,"")</f>
        <v/>
      </c>
      <c r="AA247" s="179" t="str">
        <f t="array" ref="AA247">IF($F247&lt;&gt;"",XLOOKUP($F247,Productos!$A:$A,Productos!T:T,"Revisar"),"")</f>
        <v/>
      </c>
      <c r="AB247" s="179" t="str">
        <f t="array" ref="AB247">IF($F247&lt;&gt;"", XLOOKUP($F247,Productos!$A$2:$A1001,Productos!U$2:U1001,"")*$G247,"")</f>
        <v/>
      </c>
      <c r="AC247" s="179" t="str">
        <f t="array" ref="AC247">IF($F247&lt;&gt;"",XLOOKUP($F247,Productos!$A:$A,Productos!V:V,"Revisar"),"")</f>
        <v/>
      </c>
      <c r="AD247" s="179" t="str">
        <f t="array" ref="AD247">IF($F247&lt;&gt;"", XLOOKUP($F247,Productos!$A$2:$A1001,Productos!W$2:W1001,"")*$G247,"")</f>
        <v/>
      </c>
      <c r="AE247" s="179" t="str">
        <f t="array" ref="AE247">IF($F247&lt;&gt;"",XLOOKUP($F247,Productos!$A:$A,Productos!X:X,"Revisar"),"")</f>
        <v/>
      </c>
      <c r="AF247" s="179" t="str">
        <f t="array" ref="AF247">IF($F247&lt;&gt;"", XLOOKUP($F247,Productos!$A$2:$A1001,Productos!Y$2:Y1001,"")*$G247,"")</f>
        <v/>
      </c>
      <c r="AG247" s="179" t="str">
        <f t="array" ref="AG247">IF($F247&lt;&gt;"",XLOOKUP($F247,Productos!$A:$A,Productos!Z:Z,"Revisar"),"")</f>
        <v/>
      </c>
      <c r="AH247" s="179" t="str">
        <f t="array" ref="AH247">IF($F247&lt;&gt;"", XLOOKUP($F247,Productos!$A$2:$A1001,Productos!AA$2:AA1001,"")*$G247,"")</f>
        <v/>
      </c>
      <c r="AI247" s="179" t="str">
        <f t="array" ref="AI247">IF($F247&lt;&gt;"",XLOOKUP($F247,Productos!$A:$A,Productos!AB:AB,"Revisar"),"")</f>
        <v/>
      </c>
      <c r="AJ247" s="179" t="str">
        <f t="array" ref="AJ247">IF($F247&lt;&gt;"", XLOOKUP($F247,Productos!$A$2:$A1001,Productos!AC$2:AC1001,"")*$G247,"")</f>
        <v/>
      </c>
      <c r="AK247" s="179" t="str">
        <f t="array" ref="AK247">IF($F247&lt;&gt;"",XLOOKUP($F247,Productos!$A:$A,Productos!AD:AD,"Revisar"),"")</f>
        <v/>
      </c>
      <c r="AL247" s="179" t="str">
        <f t="array" ref="AL247">IF($F247&lt;&gt;"", XLOOKUP($F247,Productos!$A$2:$A1001,Productos!AE$2:AE1001,"")*$G247,"")</f>
        <v/>
      </c>
      <c r="AM247" s="179" t="str">
        <f t="array" ref="AM247">IF($F247&lt;&gt;"",XLOOKUP($F247,Productos!$A:$A,Productos!AF:AF,"Revisar"),"")</f>
        <v/>
      </c>
      <c r="AN247" s="179" t="str">
        <f t="array" ref="AN247">IF($F247&lt;&gt;"", XLOOKUP($F247,Productos!$A$2:$A1001,Productos!AG$2:AG1001,"")*$G247,"")</f>
        <v/>
      </c>
      <c r="AO247" s="179" t="str">
        <f t="array" ref="AO247">IF($F247&lt;&gt;"",XLOOKUP($F247,Productos!$A:$A,Productos!AH:AH,"Revisar"),"")</f>
        <v/>
      </c>
      <c r="AP247" s="179" t="str">
        <f t="array" ref="AP247">IF($F247&lt;&gt;"", XLOOKUP($F247,Productos!$A$2:$A1001,Productos!AI$2:AI1001,"")*$G247,"")</f>
        <v/>
      </c>
      <c r="AQ247" s="179" t="str">
        <f t="array" ref="AQ247">IF($F247&lt;&gt;"",XLOOKUP($F247,Productos!$A:$A,Productos!AJ:AJ,"Revisar"),"")</f>
        <v/>
      </c>
      <c r="AR247" s="179" t="str">
        <f t="array" ref="AR247">IF($F247&lt;&gt;"", XLOOKUP($F247,Productos!$A$2:$A1001,Productos!AK$2:AK1001,"")*$G247,"")</f>
        <v/>
      </c>
      <c r="AS247" s="179" t="str">
        <f t="array" ref="AS247">IF($F247&lt;&gt;"",XLOOKUP($F247,Productos!$A:$A,Productos!AL:AL,"Revisar"),"")</f>
        <v/>
      </c>
      <c r="AT247" s="179" t="str">
        <f t="array" ref="AT247">IF($F247&lt;&gt;"", XLOOKUP($F247,Productos!$A$2:$A1001,Productos!AM$2:AM1001,"")*$G247,"")</f>
        <v/>
      </c>
      <c r="AU247" s="179" t="str">
        <f t="array" ref="AU247">IF($F247&lt;&gt;"",XLOOKUP($F247,Productos!$A:$A,Productos!AN:AN,"Revisar"),"")</f>
        <v/>
      </c>
      <c r="AV247" s="179" t="str">
        <f t="array" ref="AV247">IF($F247&lt;&gt;"", XLOOKUP($F247,Productos!$A$2:$A1001,Productos!AO$2:AO1001,"")*$G247,"")</f>
        <v/>
      </c>
      <c r="AW247" s="179" t="str">
        <f t="array" ref="AW247">IF($F247&lt;&gt;"",XLOOKUP($F247,Productos!$A:$A,Productos!AP:AP,"Revisar"),"")</f>
        <v/>
      </c>
      <c r="AX247" s="179" t="str">
        <f t="array" ref="AX247">IF($F247&lt;&gt;"", XLOOKUP($F247,Productos!$A$2:$A1001,Productos!AQ$2:AQ1001,"")*$G247,"")</f>
        <v/>
      </c>
      <c r="AY247" s="179" t="str">
        <f t="array" ref="AY247">IF($F247&lt;&gt;"",XLOOKUP($F247,Productos!$A:$A,Productos!AR:AR,"Revisar"),"")</f>
        <v/>
      </c>
      <c r="AZ247" s="179" t="str">
        <f t="array" ref="AZ247">IF($F247&lt;&gt;"", XLOOKUP($F247,Productos!$A$2:$A1001,Productos!AS$2:AS1001,"")*$G247,"")</f>
        <v/>
      </c>
      <c r="BA247" s="179" t="str">
        <f t="array" ref="BA247">IF($F247&lt;&gt;"",XLOOKUP($F247,Productos!$A:$A,Productos!AT:AT,"Revisar"),"")</f>
        <v/>
      </c>
      <c r="BB247" s="179" t="str">
        <f t="array" ref="BB247">IF($F247&lt;&gt;"", XLOOKUP($F247,Productos!$A$2:$A1001,Productos!AU$2:AU1001,"")*$G247,"")</f>
        <v/>
      </c>
      <c r="BC247" s="179" t="str">
        <f t="array" ref="BC247">IF($F247&lt;&gt;"",XLOOKUP($F247,Productos!$A:$A,Productos!AV:AV,"Revisar"),"")</f>
        <v/>
      </c>
      <c r="BD247" s="179" t="str">
        <f t="array" ref="BD247">IF($F247&lt;&gt;"", XLOOKUP($F247,Productos!$A$2:$A1001,Productos!AW$2:AW1001,"")*$G247,"")</f>
        <v/>
      </c>
      <c r="BE247" s="179" t="str">
        <f t="array" ref="BE247">IF($F247&lt;&gt;"",XLOOKUP($F247,Productos!$A:$A,Productos!AX:AX,"Revisar"),"")</f>
        <v/>
      </c>
      <c r="BF247" s="179" t="str">
        <f t="array" ref="BF247">IF($F247&lt;&gt;"", XLOOKUP($F247,Productos!$A$2:$A1001,Productos!AY$2:AY1001,"")*$G247,"")</f>
        <v/>
      </c>
      <c r="BG247" s="179" t="str">
        <f t="array" ref="BG247">IF($F247&lt;&gt;"",XLOOKUP($F247,Productos!$A:$A,Productos!AZ:AZ,"Revisar"),"")</f>
        <v/>
      </c>
      <c r="BH247" s="179" t="str">
        <f t="array" ref="BH247">IF($F247&lt;&gt;"", XLOOKUP($F247,Productos!$A$2:$A1001,Productos!BA$2:BA1001,"")*$G247,"")</f>
        <v/>
      </c>
      <c r="BI247" s="179" t="str">
        <f t="array" ref="BI247">IF($F247&lt;&gt;"",XLOOKUP($F247,Productos!$A:$A,Productos!BB:BB,"Revisar"),"")</f>
        <v/>
      </c>
      <c r="BJ247" s="179" t="str">
        <f t="array" ref="BJ247">IF($F247&lt;&gt;"", XLOOKUP($F247,Productos!$A$2:$A1001,Productos!BC$2:BC1001,"")*$G247,"")</f>
        <v/>
      </c>
      <c r="BK247" s="179" t="str">
        <f t="array" ref="BK247">IF($F247&lt;&gt;"",XLOOKUP($F247,Productos!$A:$A,Productos!BD:BD,"Revisar"),"")</f>
        <v/>
      </c>
      <c r="BL247" s="179" t="str">
        <f t="array" ref="BL247">IF($F247&lt;&gt;"", XLOOKUP($F247,Productos!$A$2:$A1001,Productos!BE$2:BE1001,"")*$G247,"")</f>
        <v/>
      </c>
      <c r="BM247" s="179" t="str">
        <f t="array" ref="BM247">IF($F247&lt;&gt;"",XLOOKUP($F247,Productos!$A:$A,Productos!BF:BF,"Revisar"),"")</f>
        <v/>
      </c>
      <c r="BN247" s="179" t="str">
        <f t="array" ref="BN247">IF($F247&lt;&gt;"", XLOOKUP($F247,Productos!$A$2:$A1001,Productos!BG$2:BG1001,"")*$G247,"")</f>
        <v/>
      </c>
      <c r="BO247" s="179" t="str">
        <f t="array" ref="BO247">IF($F247&lt;&gt;"",XLOOKUP($F247,Productos!$A:$A,Productos!BH:BH,"Revisar"),"")</f>
        <v/>
      </c>
      <c r="BP247" s="179" t="str">
        <f t="array" ref="BP247">IF($F247&lt;&gt;"", XLOOKUP($F247,Productos!$A$2:$A1001,Productos!BI$2:BI1001,"")*$G247,"")</f>
        <v/>
      </c>
      <c r="BQ247" s="179" t="str">
        <f t="array" ref="BQ247">IF($F247&lt;&gt;"",XLOOKUP($F247,Productos!$A:$A,Productos!BJ:BJ,"Revisar"),"")</f>
        <v/>
      </c>
      <c r="BR247" s="179" t="str">
        <f t="array" ref="BR247">IF($F247&lt;&gt;"", XLOOKUP($F247,Productos!$A$2:$A1001,Productos!BK$2:BK1001,"")*$G247,"")</f>
        <v/>
      </c>
      <c r="BS247" s="179" t="str">
        <f t="array" ref="BS247">IF($F247&lt;&gt;"",XLOOKUP($F247,Productos!$A:$A,Productos!BL:BL,"Revisar"),"")</f>
        <v/>
      </c>
      <c r="BT247" s="179" t="str">
        <f t="array" ref="BT247">IF($F247&lt;&gt;"", XLOOKUP($F247,Productos!$A$2:$A1001,Productos!BM$2:BM1001,"")*$G247,"")</f>
        <v/>
      </c>
      <c r="BU247" s="179" t="str">
        <f t="array" ref="BU247">IF($F247&lt;&gt;"",XLOOKUP($F247,Productos!$A:$A,Productos!BN:BN,"Revisar"),"")</f>
        <v/>
      </c>
      <c r="BV247" s="179" t="str">
        <f t="array" ref="BV247">IF($F247&lt;&gt;"", XLOOKUP($F247,Productos!$A$2:$A1001,Productos!BO$2:BO1001,"")*$G247,"")</f>
        <v/>
      </c>
      <c r="BW247" s="179" t="str">
        <f t="array" ref="BW247">IF($F247&lt;&gt;"",XLOOKUP($F247,Productos!$A:$A,Productos!BP:BP,"Revisar"),"")</f>
        <v/>
      </c>
      <c r="BX247" s="179" t="str">
        <f t="array" ref="BX247">IF($F247&lt;&gt;"", XLOOKUP($F247,Productos!$A$2:$A1001,Productos!BQ$2:BQ1001,"")*$G247,"")</f>
        <v/>
      </c>
      <c r="BY247" s="179" t="str">
        <f t="array" ref="BY247">IF($F247&lt;&gt;"",XLOOKUP($F247,Productos!$A:$A,Productos!BR:BR,"Revisar"),"")</f>
        <v/>
      </c>
      <c r="BZ247" s="179" t="str">
        <f t="array" ref="BZ247">IF($F247&lt;&gt;"", XLOOKUP($F247,Productos!$A$2:$A1001,Productos!BS$2:BS1001,"")*$G247,"")</f>
        <v/>
      </c>
    </row>
    <row r="248">
      <c r="A248" s="180"/>
      <c r="B248" s="181"/>
      <c r="C248" s="182"/>
      <c r="D248" s="182"/>
      <c r="E248" s="185"/>
      <c r="F248" s="186"/>
      <c r="G248" s="187"/>
      <c r="H248" s="186"/>
      <c r="I248" s="179" t="str">
        <f t="array" ref="I248">IF($F248&lt;&gt;"",XLOOKUP($F248,Productos!$A:$A,Productos!B:B,"Revisar"),"")</f>
        <v/>
      </c>
      <c r="J248" s="179" t="str">
        <f t="array" ref="J248">IF($F248&lt;&gt;"", XLOOKUP($F248,Productos!$A$2:$A1001,Productos!C$2:C1001,"")*$G248,"")</f>
        <v/>
      </c>
      <c r="K248" s="179" t="str">
        <f t="array" ref="K248">IF($F248&lt;&gt;"",XLOOKUP($F248,Productos!$A:$A,Productos!D:D,"Revisar"),"")</f>
        <v/>
      </c>
      <c r="L248" s="179" t="str">
        <f t="array" ref="L248">IF($F248&lt;&gt;"", XLOOKUP($F248,Productos!$A$2:$A1001,Productos!E$2:E1001,"")*$G248,"")</f>
        <v/>
      </c>
      <c r="M248" s="179" t="str">
        <f t="array" ref="M248">IF($F248&lt;&gt;"",XLOOKUP($F248,Productos!$A:$A,Productos!F:F,"Revisar"),"")</f>
        <v/>
      </c>
      <c r="N248" s="179" t="str">
        <f t="array" ref="N248">IF($F248&lt;&gt;"", XLOOKUP($F248,Productos!$A$2:$A1001,Productos!G$2:G1001,"")*$G248,"")</f>
        <v/>
      </c>
      <c r="O248" s="179" t="str">
        <f t="array" ref="O248">IF($F248&lt;&gt;"",XLOOKUP($F248,Productos!$A:$A,Productos!H:H,"Revisar"),"")</f>
        <v/>
      </c>
      <c r="P248" s="179" t="str">
        <f t="array" ref="P248">IF($F248&lt;&gt;"", XLOOKUP($F248,Productos!$A$2:$A1001,Productos!I$2:I1001,"")*$G248,"")</f>
        <v/>
      </c>
      <c r="Q248" s="179" t="str">
        <f t="array" ref="Q248">IF($F248&lt;&gt;"",XLOOKUP($F248,Productos!$A:$A,Productos!J:J,"Revisar"),"")</f>
        <v/>
      </c>
      <c r="R248" s="179" t="str">
        <f t="array" ref="R248">IF($F248&lt;&gt;"", XLOOKUP($F248,Productos!$A$2:$A1001,Productos!K$2:K1001,"")*$G248,"")</f>
        <v/>
      </c>
      <c r="S248" s="179" t="str">
        <f t="array" ref="S248">IF($F248&lt;&gt;"",XLOOKUP($F248,Productos!$A:$A,Productos!L:L,"Revisar"),"")</f>
        <v/>
      </c>
      <c r="T248" s="179" t="str">
        <f t="array" ref="T248">IF($F248&lt;&gt;"", XLOOKUP($F248,Productos!$A$2:$A1001,Productos!M$2:M1001,"")*$G248,"")</f>
        <v/>
      </c>
      <c r="U248" s="179" t="str">
        <f t="array" ref="U248">IF($F248&lt;&gt;"",XLOOKUP($F248,Productos!$A:$A,Productos!N:N,"Revisar"),"")</f>
        <v/>
      </c>
      <c r="V248" s="179" t="str">
        <f t="array" ref="V248">IF($F248&lt;&gt;"", XLOOKUP($F248,Productos!$A$2:$A1001,Productos!O$2:O1001,"")*$G248,"")</f>
        <v/>
      </c>
      <c r="W248" s="179" t="str">
        <f t="array" ref="W248">IF($F248&lt;&gt;"",XLOOKUP($F248,Productos!$A:$A,Productos!P:P,"Revisar"),"")</f>
        <v/>
      </c>
      <c r="X248" s="179" t="str">
        <f t="array" ref="X248">IF($F248&lt;&gt;"", XLOOKUP($F248,Productos!$A$2:$A1001,Productos!Q$2:Q1001,"")*$G248,"")</f>
        <v/>
      </c>
      <c r="Y248" s="179" t="str">
        <f t="array" ref="Y248">IF($F248&lt;&gt;"",XLOOKUP($F248,Productos!$A:$A,Productos!R:R,"Revisar"),"")</f>
        <v/>
      </c>
      <c r="Z248" s="179" t="str">
        <f t="array" ref="Z248">IF($F248&lt;&gt;"", XLOOKUP($F248,Productos!$A$2:$A1001,Productos!S$2:S1001,"")*$G248,"")</f>
        <v/>
      </c>
      <c r="AA248" s="179" t="str">
        <f t="array" ref="AA248">IF($F248&lt;&gt;"",XLOOKUP($F248,Productos!$A:$A,Productos!T:T,"Revisar"),"")</f>
        <v/>
      </c>
      <c r="AB248" s="179" t="str">
        <f t="array" ref="AB248">IF($F248&lt;&gt;"", XLOOKUP($F248,Productos!$A$2:$A1001,Productos!U$2:U1001,"")*$G248,"")</f>
        <v/>
      </c>
      <c r="AC248" s="179" t="str">
        <f t="array" ref="AC248">IF($F248&lt;&gt;"",XLOOKUP($F248,Productos!$A:$A,Productos!V:V,"Revisar"),"")</f>
        <v/>
      </c>
      <c r="AD248" s="179" t="str">
        <f t="array" ref="AD248">IF($F248&lt;&gt;"", XLOOKUP($F248,Productos!$A$2:$A1001,Productos!W$2:W1001,"")*$G248,"")</f>
        <v/>
      </c>
      <c r="AE248" s="179" t="str">
        <f t="array" ref="AE248">IF($F248&lt;&gt;"",XLOOKUP($F248,Productos!$A:$A,Productos!X:X,"Revisar"),"")</f>
        <v/>
      </c>
      <c r="AF248" s="179" t="str">
        <f t="array" ref="AF248">IF($F248&lt;&gt;"", XLOOKUP($F248,Productos!$A$2:$A1001,Productos!Y$2:Y1001,"")*$G248,"")</f>
        <v/>
      </c>
      <c r="AG248" s="179" t="str">
        <f t="array" ref="AG248">IF($F248&lt;&gt;"",XLOOKUP($F248,Productos!$A:$A,Productos!Z:Z,"Revisar"),"")</f>
        <v/>
      </c>
      <c r="AH248" s="179" t="str">
        <f t="array" ref="AH248">IF($F248&lt;&gt;"", XLOOKUP($F248,Productos!$A$2:$A1001,Productos!AA$2:AA1001,"")*$G248,"")</f>
        <v/>
      </c>
      <c r="AI248" s="179" t="str">
        <f t="array" ref="AI248">IF($F248&lt;&gt;"",XLOOKUP($F248,Productos!$A:$A,Productos!AB:AB,"Revisar"),"")</f>
        <v/>
      </c>
      <c r="AJ248" s="179" t="str">
        <f t="array" ref="AJ248">IF($F248&lt;&gt;"", XLOOKUP($F248,Productos!$A$2:$A1001,Productos!AC$2:AC1001,"")*$G248,"")</f>
        <v/>
      </c>
      <c r="AK248" s="179" t="str">
        <f t="array" ref="AK248">IF($F248&lt;&gt;"",XLOOKUP($F248,Productos!$A:$A,Productos!AD:AD,"Revisar"),"")</f>
        <v/>
      </c>
      <c r="AL248" s="179" t="str">
        <f t="array" ref="AL248">IF($F248&lt;&gt;"", XLOOKUP($F248,Productos!$A$2:$A1001,Productos!AE$2:AE1001,"")*$G248,"")</f>
        <v/>
      </c>
      <c r="AM248" s="179" t="str">
        <f t="array" ref="AM248">IF($F248&lt;&gt;"",XLOOKUP($F248,Productos!$A:$A,Productos!AF:AF,"Revisar"),"")</f>
        <v/>
      </c>
      <c r="AN248" s="179" t="str">
        <f t="array" ref="AN248">IF($F248&lt;&gt;"", XLOOKUP($F248,Productos!$A$2:$A1001,Productos!AG$2:AG1001,"")*$G248,"")</f>
        <v/>
      </c>
      <c r="AO248" s="179" t="str">
        <f t="array" ref="AO248">IF($F248&lt;&gt;"",XLOOKUP($F248,Productos!$A:$A,Productos!AH:AH,"Revisar"),"")</f>
        <v/>
      </c>
      <c r="AP248" s="179" t="str">
        <f t="array" ref="AP248">IF($F248&lt;&gt;"", XLOOKUP($F248,Productos!$A$2:$A1001,Productos!AI$2:AI1001,"")*$G248,"")</f>
        <v/>
      </c>
      <c r="AQ248" s="179" t="str">
        <f t="array" ref="AQ248">IF($F248&lt;&gt;"",XLOOKUP($F248,Productos!$A:$A,Productos!AJ:AJ,"Revisar"),"")</f>
        <v/>
      </c>
      <c r="AR248" s="179" t="str">
        <f t="array" ref="AR248">IF($F248&lt;&gt;"", XLOOKUP($F248,Productos!$A$2:$A1001,Productos!AK$2:AK1001,"")*$G248,"")</f>
        <v/>
      </c>
      <c r="AS248" s="179" t="str">
        <f t="array" ref="AS248">IF($F248&lt;&gt;"",XLOOKUP($F248,Productos!$A:$A,Productos!AL:AL,"Revisar"),"")</f>
        <v/>
      </c>
      <c r="AT248" s="179" t="str">
        <f t="array" ref="AT248">IF($F248&lt;&gt;"", XLOOKUP($F248,Productos!$A$2:$A1001,Productos!AM$2:AM1001,"")*$G248,"")</f>
        <v/>
      </c>
      <c r="AU248" s="179" t="str">
        <f t="array" ref="AU248">IF($F248&lt;&gt;"",XLOOKUP($F248,Productos!$A:$A,Productos!AN:AN,"Revisar"),"")</f>
        <v/>
      </c>
      <c r="AV248" s="179" t="str">
        <f t="array" ref="AV248">IF($F248&lt;&gt;"", XLOOKUP($F248,Productos!$A$2:$A1001,Productos!AO$2:AO1001,"")*$G248,"")</f>
        <v/>
      </c>
      <c r="AW248" s="179" t="str">
        <f t="array" ref="AW248">IF($F248&lt;&gt;"",XLOOKUP($F248,Productos!$A:$A,Productos!AP:AP,"Revisar"),"")</f>
        <v/>
      </c>
      <c r="AX248" s="179" t="str">
        <f t="array" ref="AX248">IF($F248&lt;&gt;"", XLOOKUP($F248,Productos!$A$2:$A1001,Productos!AQ$2:AQ1001,"")*$G248,"")</f>
        <v/>
      </c>
      <c r="AY248" s="179" t="str">
        <f t="array" ref="AY248">IF($F248&lt;&gt;"",XLOOKUP($F248,Productos!$A:$A,Productos!AR:AR,"Revisar"),"")</f>
        <v/>
      </c>
      <c r="AZ248" s="179" t="str">
        <f t="array" ref="AZ248">IF($F248&lt;&gt;"", XLOOKUP($F248,Productos!$A$2:$A1001,Productos!AS$2:AS1001,"")*$G248,"")</f>
        <v/>
      </c>
      <c r="BA248" s="179" t="str">
        <f t="array" ref="BA248">IF($F248&lt;&gt;"",XLOOKUP($F248,Productos!$A:$A,Productos!AT:AT,"Revisar"),"")</f>
        <v/>
      </c>
      <c r="BB248" s="179" t="str">
        <f t="array" ref="BB248">IF($F248&lt;&gt;"", XLOOKUP($F248,Productos!$A$2:$A1001,Productos!AU$2:AU1001,"")*$G248,"")</f>
        <v/>
      </c>
      <c r="BC248" s="179" t="str">
        <f t="array" ref="BC248">IF($F248&lt;&gt;"",XLOOKUP($F248,Productos!$A:$A,Productos!AV:AV,"Revisar"),"")</f>
        <v/>
      </c>
      <c r="BD248" s="179" t="str">
        <f t="array" ref="BD248">IF($F248&lt;&gt;"", XLOOKUP($F248,Productos!$A$2:$A1001,Productos!AW$2:AW1001,"")*$G248,"")</f>
        <v/>
      </c>
      <c r="BE248" s="179" t="str">
        <f t="array" ref="BE248">IF($F248&lt;&gt;"",XLOOKUP($F248,Productos!$A:$A,Productos!AX:AX,"Revisar"),"")</f>
        <v/>
      </c>
      <c r="BF248" s="179" t="str">
        <f t="array" ref="BF248">IF($F248&lt;&gt;"", XLOOKUP($F248,Productos!$A$2:$A1001,Productos!AY$2:AY1001,"")*$G248,"")</f>
        <v/>
      </c>
      <c r="BG248" s="179" t="str">
        <f t="array" ref="BG248">IF($F248&lt;&gt;"",XLOOKUP($F248,Productos!$A:$A,Productos!AZ:AZ,"Revisar"),"")</f>
        <v/>
      </c>
      <c r="BH248" s="179" t="str">
        <f t="array" ref="BH248">IF($F248&lt;&gt;"", XLOOKUP($F248,Productos!$A$2:$A1001,Productos!BA$2:BA1001,"")*$G248,"")</f>
        <v/>
      </c>
      <c r="BI248" s="179" t="str">
        <f t="array" ref="BI248">IF($F248&lt;&gt;"",XLOOKUP($F248,Productos!$A:$A,Productos!BB:BB,"Revisar"),"")</f>
        <v/>
      </c>
      <c r="BJ248" s="179" t="str">
        <f t="array" ref="BJ248">IF($F248&lt;&gt;"", XLOOKUP($F248,Productos!$A$2:$A1001,Productos!BC$2:BC1001,"")*$G248,"")</f>
        <v/>
      </c>
      <c r="BK248" s="179" t="str">
        <f t="array" ref="BK248">IF($F248&lt;&gt;"",XLOOKUP($F248,Productos!$A:$A,Productos!BD:BD,"Revisar"),"")</f>
        <v/>
      </c>
      <c r="BL248" s="179" t="str">
        <f t="array" ref="BL248">IF($F248&lt;&gt;"", XLOOKUP($F248,Productos!$A$2:$A1001,Productos!BE$2:BE1001,"")*$G248,"")</f>
        <v/>
      </c>
      <c r="BM248" s="179" t="str">
        <f t="array" ref="BM248">IF($F248&lt;&gt;"",XLOOKUP($F248,Productos!$A:$A,Productos!BF:BF,"Revisar"),"")</f>
        <v/>
      </c>
      <c r="BN248" s="179" t="str">
        <f t="array" ref="BN248">IF($F248&lt;&gt;"", XLOOKUP($F248,Productos!$A$2:$A1001,Productos!BG$2:BG1001,"")*$G248,"")</f>
        <v/>
      </c>
      <c r="BO248" s="179" t="str">
        <f t="array" ref="BO248">IF($F248&lt;&gt;"",XLOOKUP($F248,Productos!$A:$A,Productos!BH:BH,"Revisar"),"")</f>
        <v/>
      </c>
      <c r="BP248" s="179" t="str">
        <f t="array" ref="BP248">IF($F248&lt;&gt;"", XLOOKUP($F248,Productos!$A$2:$A1001,Productos!BI$2:BI1001,"")*$G248,"")</f>
        <v/>
      </c>
      <c r="BQ248" s="179" t="str">
        <f t="array" ref="BQ248">IF($F248&lt;&gt;"",XLOOKUP($F248,Productos!$A:$A,Productos!BJ:BJ,"Revisar"),"")</f>
        <v/>
      </c>
      <c r="BR248" s="179" t="str">
        <f t="array" ref="BR248">IF($F248&lt;&gt;"", XLOOKUP($F248,Productos!$A$2:$A1001,Productos!BK$2:BK1001,"")*$G248,"")</f>
        <v/>
      </c>
      <c r="BS248" s="179" t="str">
        <f t="array" ref="BS248">IF($F248&lt;&gt;"",XLOOKUP($F248,Productos!$A:$A,Productos!BL:BL,"Revisar"),"")</f>
        <v/>
      </c>
      <c r="BT248" s="179" t="str">
        <f t="array" ref="BT248">IF($F248&lt;&gt;"", XLOOKUP($F248,Productos!$A$2:$A1001,Productos!BM$2:BM1001,"")*$G248,"")</f>
        <v/>
      </c>
      <c r="BU248" s="179" t="str">
        <f t="array" ref="BU248">IF($F248&lt;&gt;"",XLOOKUP($F248,Productos!$A:$A,Productos!BN:BN,"Revisar"),"")</f>
        <v/>
      </c>
      <c r="BV248" s="179" t="str">
        <f t="array" ref="BV248">IF($F248&lt;&gt;"", XLOOKUP($F248,Productos!$A$2:$A1001,Productos!BO$2:BO1001,"")*$G248,"")</f>
        <v/>
      </c>
      <c r="BW248" s="179" t="str">
        <f t="array" ref="BW248">IF($F248&lt;&gt;"",XLOOKUP($F248,Productos!$A:$A,Productos!BP:BP,"Revisar"),"")</f>
        <v/>
      </c>
      <c r="BX248" s="179" t="str">
        <f t="array" ref="BX248">IF($F248&lt;&gt;"", XLOOKUP($F248,Productos!$A$2:$A1001,Productos!BQ$2:BQ1001,"")*$G248,"")</f>
        <v/>
      </c>
      <c r="BY248" s="179" t="str">
        <f t="array" ref="BY248">IF($F248&lt;&gt;"",XLOOKUP($F248,Productos!$A:$A,Productos!BR:BR,"Revisar"),"")</f>
        <v/>
      </c>
      <c r="BZ248" s="179" t="str">
        <f t="array" ref="BZ248">IF($F248&lt;&gt;"", XLOOKUP($F248,Productos!$A$2:$A1001,Productos!BS$2:BS1001,"")*$G248,"")</f>
        <v/>
      </c>
    </row>
    <row r="249">
      <c r="A249" s="180"/>
      <c r="B249" s="181"/>
      <c r="C249" s="182"/>
      <c r="D249" s="182"/>
      <c r="E249" s="185"/>
      <c r="F249" s="186"/>
      <c r="G249" s="187"/>
      <c r="H249" s="186"/>
      <c r="I249" s="179" t="str">
        <f t="array" ref="I249">IF($F249&lt;&gt;"",XLOOKUP($F249,Productos!$A:$A,Productos!B:B,"Revisar"),"")</f>
        <v/>
      </c>
      <c r="J249" s="179" t="str">
        <f t="array" ref="J249">IF($F249&lt;&gt;"", XLOOKUP($F249,Productos!$A$2:$A1001,Productos!C$2:C1001,"")*$G249,"")</f>
        <v/>
      </c>
      <c r="K249" s="179" t="str">
        <f t="array" ref="K249">IF($F249&lt;&gt;"",XLOOKUP($F249,Productos!$A:$A,Productos!D:D,"Revisar"),"")</f>
        <v/>
      </c>
      <c r="L249" s="179" t="str">
        <f t="array" ref="L249">IF($F249&lt;&gt;"", XLOOKUP($F249,Productos!$A$2:$A1001,Productos!E$2:E1001,"")*$G249,"")</f>
        <v/>
      </c>
      <c r="M249" s="179" t="str">
        <f t="array" ref="M249">IF($F249&lt;&gt;"",XLOOKUP($F249,Productos!$A:$A,Productos!F:F,"Revisar"),"")</f>
        <v/>
      </c>
      <c r="N249" s="179" t="str">
        <f t="array" ref="N249">IF($F249&lt;&gt;"", XLOOKUP($F249,Productos!$A$2:$A1001,Productos!G$2:G1001,"")*$G249,"")</f>
        <v/>
      </c>
      <c r="O249" s="179" t="str">
        <f t="array" ref="O249">IF($F249&lt;&gt;"",XLOOKUP($F249,Productos!$A:$A,Productos!H:H,"Revisar"),"")</f>
        <v/>
      </c>
      <c r="P249" s="179" t="str">
        <f t="array" ref="P249">IF($F249&lt;&gt;"", XLOOKUP($F249,Productos!$A$2:$A1001,Productos!I$2:I1001,"")*$G249,"")</f>
        <v/>
      </c>
      <c r="Q249" s="179" t="str">
        <f t="array" ref="Q249">IF($F249&lt;&gt;"",XLOOKUP($F249,Productos!$A:$A,Productos!J:J,"Revisar"),"")</f>
        <v/>
      </c>
      <c r="R249" s="179" t="str">
        <f t="array" ref="R249">IF($F249&lt;&gt;"", XLOOKUP($F249,Productos!$A$2:$A1001,Productos!K$2:K1001,"")*$G249,"")</f>
        <v/>
      </c>
      <c r="S249" s="179" t="str">
        <f t="array" ref="S249">IF($F249&lt;&gt;"",XLOOKUP($F249,Productos!$A:$A,Productos!L:L,"Revisar"),"")</f>
        <v/>
      </c>
      <c r="T249" s="179" t="str">
        <f t="array" ref="T249">IF($F249&lt;&gt;"", XLOOKUP($F249,Productos!$A$2:$A1001,Productos!M$2:M1001,"")*$G249,"")</f>
        <v/>
      </c>
      <c r="U249" s="179" t="str">
        <f t="array" ref="U249">IF($F249&lt;&gt;"",XLOOKUP($F249,Productos!$A:$A,Productos!N:N,"Revisar"),"")</f>
        <v/>
      </c>
      <c r="V249" s="179" t="str">
        <f t="array" ref="V249">IF($F249&lt;&gt;"", XLOOKUP($F249,Productos!$A$2:$A1001,Productos!O$2:O1001,"")*$G249,"")</f>
        <v/>
      </c>
      <c r="W249" s="179" t="str">
        <f t="array" ref="W249">IF($F249&lt;&gt;"",XLOOKUP($F249,Productos!$A:$A,Productos!P:P,"Revisar"),"")</f>
        <v/>
      </c>
      <c r="X249" s="179" t="str">
        <f t="array" ref="X249">IF($F249&lt;&gt;"", XLOOKUP($F249,Productos!$A$2:$A1001,Productos!Q$2:Q1001,"")*$G249,"")</f>
        <v/>
      </c>
      <c r="Y249" s="179" t="str">
        <f t="array" ref="Y249">IF($F249&lt;&gt;"",XLOOKUP($F249,Productos!$A:$A,Productos!R:R,"Revisar"),"")</f>
        <v/>
      </c>
      <c r="Z249" s="179" t="str">
        <f t="array" ref="Z249">IF($F249&lt;&gt;"", XLOOKUP($F249,Productos!$A$2:$A1001,Productos!S$2:S1001,"")*$G249,"")</f>
        <v/>
      </c>
      <c r="AA249" s="179" t="str">
        <f t="array" ref="AA249">IF($F249&lt;&gt;"",XLOOKUP($F249,Productos!$A:$A,Productos!T:T,"Revisar"),"")</f>
        <v/>
      </c>
      <c r="AB249" s="179" t="str">
        <f t="array" ref="AB249">IF($F249&lt;&gt;"", XLOOKUP($F249,Productos!$A$2:$A1001,Productos!U$2:U1001,"")*$G249,"")</f>
        <v/>
      </c>
      <c r="AC249" s="179" t="str">
        <f t="array" ref="AC249">IF($F249&lt;&gt;"",XLOOKUP($F249,Productos!$A:$A,Productos!V:V,"Revisar"),"")</f>
        <v/>
      </c>
      <c r="AD249" s="179" t="str">
        <f t="array" ref="AD249">IF($F249&lt;&gt;"", XLOOKUP($F249,Productos!$A$2:$A1001,Productos!W$2:W1001,"")*$G249,"")</f>
        <v/>
      </c>
      <c r="AE249" s="179" t="str">
        <f t="array" ref="AE249">IF($F249&lt;&gt;"",XLOOKUP($F249,Productos!$A:$A,Productos!X:X,"Revisar"),"")</f>
        <v/>
      </c>
      <c r="AF249" s="179" t="str">
        <f t="array" ref="AF249">IF($F249&lt;&gt;"", XLOOKUP($F249,Productos!$A$2:$A1001,Productos!Y$2:Y1001,"")*$G249,"")</f>
        <v/>
      </c>
      <c r="AG249" s="179" t="str">
        <f t="array" ref="AG249">IF($F249&lt;&gt;"",XLOOKUP($F249,Productos!$A:$A,Productos!Z:Z,"Revisar"),"")</f>
        <v/>
      </c>
      <c r="AH249" s="179" t="str">
        <f t="array" ref="AH249">IF($F249&lt;&gt;"", XLOOKUP($F249,Productos!$A$2:$A1001,Productos!AA$2:AA1001,"")*$G249,"")</f>
        <v/>
      </c>
      <c r="AI249" s="179" t="str">
        <f t="array" ref="AI249">IF($F249&lt;&gt;"",XLOOKUP($F249,Productos!$A:$A,Productos!AB:AB,"Revisar"),"")</f>
        <v/>
      </c>
      <c r="AJ249" s="179" t="str">
        <f t="array" ref="AJ249">IF($F249&lt;&gt;"", XLOOKUP($F249,Productos!$A$2:$A1001,Productos!AC$2:AC1001,"")*$G249,"")</f>
        <v/>
      </c>
      <c r="AK249" s="179" t="str">
        <f t="array" ref="AK249">IF($F249&lt;&gt;"",XLOOKUP($F249,Productos!$A:$A,Productos!AD:AD,"Revisar"),"")</f>
        <v/>
      </c>
      <c r="AL249" s="179" t="str">
        <f t="array" ref="AL249">IF($F249&lt;&gt;"", XLOOKUP($F249,Productos!$A$2:$A1001,Productos!AE$2:AE1001,"")*$G249,"")</f>
        <v/>
      </c>
      <c r="AM249" s="179" t="str">
        <f t="array" ref="AM249">IF($F249&lt;&gt;"",XLOOKUP($F249,Productos!$A:$A,Productos!AF:AF,"Revisar"),"")</f>
        <v/>
      </c>
      <c r="AN249" s="179" t="str">
        <f t="array" ref="AN249">IF($F249&lt;&gt;"", XLOOKUP($F249,Productos!$A$2:$A1001,Productos!AG$2:AG1001,"")*$G249,"")</f>
        <v/>
      </c>
      <c r="AO249" s="179" t="str">
        <f t="array" ref="AO249">IF($F249&lt;&gt;"",XLOOKUP($F249,Productos!$A:$A,Productos!AH:AH,"Revisar"),"")</f>
        <v/>
      </c>
      <c r="AP249" s="179" t="str">
        <f t="array" ref="AP249">IF($F249&lt;&gt;"", XLOOKUP($F249,Productos!$A$2:$A1001,Productos!AI$2:AI1001,"")*$G249,"")</f>
        <v/>
      </c>
      <c r="AQ249" s="179" t="str">
        <f t="array" ref="AQ249">IF($F249&lt;&gt;"",XLOOKUP($F249,Productos!$A:$A,Productos!AJ:AJ,"Revisar"),"")</f>
        <v/>
      </c>
      <c r="AR249" s="179" t="str">
        <f t="array" ref="AR249">IF($F249&lt;&gt;"", XLOOKUP($F249,Productos!$A$2:$A1001,Productos!AK$2:AK1001,"")*$G249,"")</f>
        <v/>
      </c>
      <c r="AS249" s="179" t="str">
        <f t="array" ref="AS249">IF($F249&lt;&gt;"",XLOOKUP($F249,Productos!$A:$A,Productos!AL:AL,"Revisar"),"")</f>
        <v/>
      </c>
      <c r="AT249" s="179" t="str">
        <f t="array" ref="AT249">IF($F249&lt;&gt;"", XLOOKUP($F249,Productos!$A$2:$A1001,Productos!AM$2:AM1001,"")*$G249,"")</f>
        <v/>
      </c>
      <c r="AU249" s="179" t="str">
        <f t="array" ref="AU249">IF($F249&lt;&gt;"",XLOOKUP($F249,Productos!$A:$A,Productos!AN:AN,"Revisar"),"")</f>
        <v/>
      </c>
      <c r="AV249" s="179" t="str">
        <f t="array" ref="AV249">IF($F249&lt;&gt;"", XLOOKUP($F249,Productos!$A$2:$A1001,Productos!AO$2:AO1001,"")*$G249,"")</f>
        <v/>
      </c>
      <c r="AW249" s="179" t="str">
        <f t="array" ref="AW249">IF($F249&lt;&gt;"",XLOOKUP($F249,Productos!$A:$A,Productos!AP:AP,"Revisar"),"")</f>
        <v/>
      </c>
      <c r="AX249" s="179" t="str">
        <f t="array" ref="AX249">IF($F249&lt;&gt;"", XLOOKUP($F249,Productos!$A$2:$A1001,Productos!AQ$2:AQ1001,"")*$G249,"")</f>
        <v/>
      </c>
      <c r="AY249" s="179" t="str">
        <f t="array" ref="AY249">IF($F249&lt;&gt;"",XLOOKUP($F249,Productos!$A:$A,Productos!AR:AR,"Revisar"),"")</f>
        <v/>
      </c>
      <c r="AZ249" s="179" t="str">
        <f t="array" ref="AZ249">IF($F249&lt;&gt;"", XLOOKUP($F249,Productos!$A$2:$A1001,Productos!AS$2:AS1001,"")*$G249,"")</f>
        <v/>
      </c>
      <c r="BA249" s="179" t="str">
        <f t="array" ref="BA249">IF($F249&lt;&gt;"",XLOOKUP($F249,Productos!$A:$A,Productos!AT:AT,"Revisar"),"")</f>
        <v/>
      </c>
      <c r="BB249" s="179" t="str">
        <f t="array" ref="BB249">IF($F249&lt;&gt;"", XLOOKUP($F249,Productos!$A$2:$A1001,Productos!AU$2:AU1001,"")*$G249,"")</f>
        <v/>
      </c>
      <c r="BC249" s="179" t="str">
        <f t="array" ref="BC249">IF($F249&lt;&gt;"",XLOOKUP($F249,Productos!$A:$A,Productos!AV:AV,"Revisar"),"")</f>
        <v/>
      </c>
      <c r="BD249" s="179" t="str">
        <f t="array" ref="BD249">IF($F249&lt;&gt;"", XLOOKUP($F249,Productos!$A$2:$A1001,Productos!AW$2:AW1001,"")*$G249,"")</f>
        <v/>
      </c>
      <c r="BE249" s="179" t="str">
        <f t="array" ref="BE249">IF($F249&lt;&gt;"",XLOOKUP($F249,Productos!$A:$A,Productos!AX:AX,"Revisar"),"")</f>
        <v/>
      </c>
      <c r="BF249" s="179" t="str">
        <f t="array" ref="BF249">IF($F249&lt;&gt;"", XLOOKUP($F249,Productos!$A$2:$A1001,Productos!AY$2:AY1001,"")*$G249,"")</f>
        <v/>
      </c>
      <c r="BG249" s="179" t="str">
        <f t="array" ref="BG249">IF($F249&lt;&gt;"",XLOOKUP($F249,Productos!$A:$A,Productos!AZ:AZ,"Revisar"),"")</f>
        <v/>
      </c>
      <c r="BH249" s="179" t="str">
        <f t="array" ref="BH249">IF($F249&lt;&gt;"", XLOOKUP($F249,Productos!$A$2:$A1001,Productos!BA$2:BA1001,"")*$G249,"")</f>
        <v/>
      </c>
      <c r="BI249" s="179" t="str">
        <f t="array" ref="BI249">IF($F249&lt;&gt;"",XLOOKUP($F249,Productos!$A:$A,Productos!BB:BB,"Revisar"),"")</f>
        <v/>
      </c>
      <c r="BJ249" s="179" t="str">
        <f t="array" ref="BJ249">IF($F249&lt;&gt;"", XLOOKUP($F249,Productos!$A$2:$A1001,Productos!BC$2:BC1001,"")*$G249,"")</f>
        <v/>
      </c>
      <c r="BK249" s="179" t="str">
        <f t="array" ref="BK249">IF($F249&lt;&gt;"",XLOOKUP($F249,Productos!$A:$A,Productos!BD:BD,"Revisar"),"")</f>
        <v/>
      </c>
      <c r="BL249" s="179" t="str">
        <f t="array" ref="BL249">IF($F249&lt;&gt;"", XLOOKUP($F249,Productos!$A$2:$A1001,Productos!BE$2:BE1001,"")*$G249,"")</f>
        <v/>
      </c>
      <c r="BM249" s="179" t="str">
        <f t="array" ref="BM249">IF($F249&lt;&gt;"",XLOOKUP($F249,Productos!$A:$A,Productos!BF:BF,"Revisar"),"")</f>
        <v/>
      </c>
      <c r="BN249" s="179" t="str">
        <f t="array" ref="BN249">IF($F249&lt;&gt;"", XLOOKUP($F249,Productos!$A$2:$A1001,Productos!BG$2:BG1001,"")*$G249,"")</f>
        <v/>
      </c>
      <c r="BO249" s="179" t="str">
        <f t="array" ref="BO249">IF($F249&lt;&gt;"",XLOOKUP($F249,Productos!$A:$A,Productos!BH:BH,"Revisar"),"")</f>
        <v/>
      </c>
      <c r="BP249" s="179" t="str">
        <f t="array" ref="BP249">IF($F249&lt;&gt;"", XLOOKUP($F249,Productos!$A$2:$A1001,Productos!BI$2:BI1001,"")*$G249,"")</f>
        <v/>
      </c>
      <c r="BQ249" s="179" t="str">
        <f t="array" ref="BQ249">IF($F249&lt;&gt;"",XLOOKUP($F249,Productos!$A:$A,Productos!BJ:BJ,"Revisar"),"")</f>
        <v/>
      </c>
      <c r="BR249" s="179" t="str">
        <f t="array" ref="BR249">IF($F249&lt;&gt;"", XLOOKUP($F249,Productos!$A$2:$A1001,Productos!BK$2:BK1001,"")*$G249,"")</f>
        <v/>
      </c>
      <c r="BS249" s="179" t="str">
        <f t="array" ref="BS249">IF($F249&lt;&gt;"",XLOOKUP($F249,Productos!$A:$A,Productos!BL:BL,"Revisar"),"")</f>
        <v/>
      </c>
      <c r="BT249" s="179" t="str">
        <f t="array" ref="BT249">IF($F249&lt;&gt;"", XLOOKUP($F249,Productos!$A$2:$A1001,Productos!BM$2:BM1001,"")*$G249,"")</f>
        <v/>
      </c>
      <c r="BU249" s="179" t="str">
        <f t="array" ref="BU249">IF($F249&lt;&gt;"",XLOOKUP($F249,Productos!$A:$A,Productos!BN:BN,"Revisar"),"")</f>
        <v/>
      </c>
      <c r="BV249" s="179" t="str">
        <f t="array" ref="BV249">IF($F249&lt;&gt;"", XLOOKUP($F249,Productos!$A$2:$A1001,Productos!BO$2:BO1001,"")*$G249,"")</f>
        <v/>
      </c>
      <c r="BW249" s="179" t="str">
        <f t="array" ref="BW249">IF($F249&lt;&gt;"",XLOOKUP($F249,Productos!$A:$A,Productos!BP:BP,"Revisar"),"")</f>
        <v/>
      </c>
      <c r="BX249" s="179" t="str">
        <f t="array" ref="BX249">IF($F249&lt;&gt;"", XLOOKUP($F249,Productos!$A$2:$A1001,Productos!BQ$2:BQ1001,"")*$G249,"")</f>
        <v/>
      </c>
      <c r="BY249" s="179" t="str">
        <f t="array" ref="BY249">IF($F249&lt;&gt;"",XLOOKUP($F249,Productos!$A:$A,Productos!BR:BR,"Revisar"),"")</f>
        <v/>
      </c>
      <c r="BZ249" s="179" t="str">
        <f t="array" ref="BZ249">IF($F249&lt;&gt;"", XLOOKUP($F249,Productos!$A$2:$A1001,Productos!BS$2:BS1001,"")*$G249,"")</f>
        <v/>
      </c>
    </row>
    <row r="250">
      <c r="A250" s="180"/>
      <c r="B250" s="181"/>
      <c r="C250" s="182"/>
      <c r="D250" s="182"/>
      <c r="E250" s="185"/>
      <c r="F250" s="186"/>
      <c r="G250" s="187"/>
      <c r="H250" s="186"/>
      <c r="I250" s="179" t="str">
        <f t="array" ref="I250">IF($F250&lt;&gt;"",XLOOKUP($F250,Productos!$A:$A,Productos!B:B,"Revisar"),"")</f>
        <v/>
      </c>
      <c r="J250" s="179" t="str">
        <f t="array" ref="J250">IF($F250&lt;&gt;"", XLOOKUP($F250,Productos!$A$2:$A1001,Productos!C$2:C1001,"")*$G250,"")</f>
        <v/>
      </c>
      <c r="K250" s="179" t="str">
        <f t="array" ref="K250">IF($F250&lt;&gt;"",XLOOKUP($F250,Productos!$A:$A,Productos!D:D,"Revisar"),"")</f>
        <v/>
      </c>
      <c r="L250" s="179" t="str">
        <f t="array" ref="L250">IF($F250&lt;&gt;"", XLOOKUP($F250,Productos!$A$2:$A1001,Productos!E$2:E1001,"")*$G250,"")</f>
        <v/>
      </c>
      <c r="M250" s="179" t="str">
        <f t="array" ref="M250">IF($F250&lt;&gt;"",XLOOKUP($F250,Productos!$A:$A,Productos!F:F,"Revisar"),"")</f>
        <v/>
      </c>
      <c r="N250" s="179" t="str">
        <f t="array" ref="N250">IF($F250&lt;&gt;"", XLOOKUP($F250,Productos!$A$2:$A1001,Productos!G$2:G1001,"")*$G250,"")</f>
        <v/>
      </c>
      <c r="O250" s="179" t="str">
        <f t="array" ref="O250">IF($F250&lt;&gt;"",XLOOKUP($F250,Productos!$A:$A,Productos!H:H,"Revisar"),"")</f>
        <v/>
      </c>
      <c r="P250" s="179" t="str">
        <f t="array" ref="P250">IF($F250&lt;&gt;"", XLOOKUP($F250,Productos!$A$2:$A1001,Productos!I$2:I1001,"")*$G250,"")</f>
        <v/>
      </c>
      <c r="Q250" s="179" t="str">
        <f t="array" ref="Q250">IF($F250&lt;&gt;"",XLOOKUP($F250,Productos!$A:$A,Productos!J:J,"Revisar"),"")</f>
        <v/>
      </c>
      <c r="R250" s="179" t="str">
        <f t="array" ref="R250">IF($F250&lt;&gt;"", XLOOKUP($F250,Productos!$A$2:$A1001,Productos!K$2:K1001,"")*$G250,"")</f>
        <v/>
      </c>
      <c r="S250" s="179" t="str">
        <f t="array" ref="S250">IF($F250&lt;&gt;"",XLOOKUP($F250,Productos!$A:$A,Productos!L:L,"Revisar"),"")</f>
        <v/>
      </c>
      <c r="T250" s="179" t="str">
        <f t="array" ref="T250">IF($F250&lt;&gt;"", XLOOKUP($F250,Productos!$A$2:$A1001,Productos!M$2:M1001,"")*$G250,"")</f>
        <v/>
      </c>
      <c r="U250" s="179" t="str">
        <f t="array" ref="U250">IF($F250&lt;&gt;"",XLOOKUP($F250,Productos!$A:$A,Productos!N:N,"Revisar"),"")</f>
        <v/>
      </c>
      <c r="V250" s="179" t="str">
        <f t="array" ref="V250">IF($F250&lt;&gt;"", XLOOKUP($F250,Productos!$A$2:$A1001,Productos!O$2:O1001,"")*$G250,"")</f>
        <v/>
      </c>
      <c r="W250" s="179" t="str">
        <f t="array" ref="W250">IF($F250&lt;&gt;"",XLOOKUP($F250,Productos!$A:$A,Productos!P:P,"Revisar"),"")</f>
        <v/>
      </c>
      <c r="X250" s="179" t="str">
        <f t="array" ref="X250">IF($F250&lt;&gt;"", XLOOKUP($F250,Productos!$A$2:$A1001,Productos!Q$2:Q1001,"")*$G250,"")</f>
        <v/>
      </c>
      <c r="Y250" s="179" t="str">
        <f t="array" ref="Y250">IF($F250&lt;&gt;"",XLOOKUP($F250,Productos!$A:$A,Productos!R:R,"Revisar"),"")</f>
        <v/>
      </c>
      <c r="Z250" s="179" t="str">
        <f t="array" ref="Z250">IF($F250&lt;&gt;"", XLOOKUP($F250,Productos!$A$2:$A1001,Productos!S$2:S1001,"")*$G250,"")</f>
        <v/>
      </c>
      <c r="AA250" s="179" t="str">
        <f t="array" ref="AA250">IF($F250&lt;&gt;"",XLOOKUP($F250,Productos!$A:$A,Productos!T:T,"Revisar"),"")</f>
        <v/>
      </c>
      <c r="AB250" s="179" t="str">
        <f t="array" ref="AB250">IF($F250&lt;&gt;"", XLOOKUP($F250,Productos!$A$2:$A1001,Productos!U$2:U1001,"")*$G250,"")</f>
        <v/>
      </c>
      <c r="AC250" s="179" t="str">
        <f t="array" ref="AC250">IF($F250&lt;&gt;"",XLOOKUP($F250,Productos!$A:$A,Productos!V:V,"Revisar"),"")</f>
        <v/>
      </c>
      <c r="AD250" s="179" t="str">
        <f t="array" ref="AD250">IF($F250&lt;&gt;"", XLOOKUP($F250,Productos!$A$2:$A1001,Productos!W$2:W1001,"")*$G250,"")</f>
        <v/>
      </c>
      <c r="AE250" s="179" t="str">
        <f t="array" ref="AE250">IF($F250&lt;&gt;"",XLOOKUP($F250,Productos!$A:$A,Productos!X:X,"Revisar"),"")</f>
        <v/>
      </c>
      <c r="AF250" s="179" t="str">
        <f t="array" ref="AF250">IF($F250&lt;&gt;"", XLOOKUP($F250,Productos!$A$2:$A1001,Productos!Y$2:Y1001,"")*$G250,"")</f>
        <v/>
      </c>
      <c r="AG250" s="179" t="str">
        <f t="array" ref="AG250">IF($F250&lt;&gt;"",XLOOKUP($F250,Productos!$A:$A,Productos!Z:Z,"Revisar"),"")</f>
        <v/>
      </c>
      <c r="AH250" s="179" t="str">
        <f t="array" ref="AH250">IF($F250&lt;&gt;"", XLOOKUP($F250,Productos!$A$2:$A1001,Productos!AA$2:AA1001,"")*$G250,"")</f>
        <v/>
      </c>
      <c r="AI250" s="179" t="str">
        <f t="array" ref="AI250">IF($F250&lt;&gt;"",XLOOKUP($F250,Productos!$A:$A,Productos!AB:AB,"Revisar"),"")</f>
        <v/>
      </c>
      <c r="AJ250" s="179" t="str">
        <f t="array" ref="AJ250">IF($F250&lt;&gt;"", XLOOKUP($F250,Productos!$A$2:$A1001,Productos!AC$2:AC1001,"")*$G250,"")</f>
        <v/>
      </c>
      <c r="AK250" s="179" t="str">
        <f t="array" ref="AK250">IF($F250&lt;&gt;"",XLOOKUP($F250,Productos!$A:$A,Productos!AD:AD,"Revisar"),"")</f>
        <v/>
      </c>
      <c r="AL250" s="179" t="str">
        <f t="array" ref="AL250">IF($F250&lt;&gt;"", XLOOKUP($F250,Productos!$A$2:$A1001,Productos!AE$2:AE1001,"")*$G250,"")</f>
        <v/>
      </c>
      <c r="AM250" s="179" t="str">
        <f t="array" ref="AM250">IF($F250&lt;&gt;"",XLOOKUP($F250,Productos!$A:$A,Productos!AF:AF,"Revisar"),"")</f>
        <v/>
      </c>
      <c r="AN250" s="179" t="str">
        <f t="array" ref="AN250">IF($F250&lt;&gt;"", XLOOKUP($F250,Productos!$A$2:$A1001,Productos!AG$2:AG1001,"")*$G250,"")</f>
        <v/>
      </c>
      <c r="AO250" s="179" t="str">
        <f t="array" ref="AO250">IF($F250&lt;&gt;"",XLOOKUP($F250,Productos!$A:$A,Productos!AH:AH,"Revisar"),"")</f>
        <v/>
      </c>
      <c r="AP250" s="179" t="str">
        <f t="array" ref="AP250">IF($F250&lt;&gt;"", XLOOKUP($F250,Productos!$A$2:$A1001,Productos!AI$2:AI1001,"")*$G250,"")</f>
        <v/>
      </c>
      <c r="AQ250" s="179" t="str">
        <f t="array" ref="AQ250">IF($F250&lt;&gt;"",XLOOKUP($F250,Productos!$A:$A,Productos!AJ:AJ,"Revisar"),"")</f>
        <v/>
      </c>
      <c r="AR250" s="179" t="str">
        <f t="array" ref="AR250">IF($F250&lt;&gt;"", XLOOKUP($F250,Productos!$A$2:$A1001,Productos!AK$2:AK1001,"")*$G250,"")</f>
        <v/>
      </c>
      <c r="AS250" s="179" t="str">
        <f t="array" ref="AS250">IF($F250&lt;&gt;"",XLOOKUP($F250,Productos!$A:$A,Productos!AL:AL,"Revisar"),"")</f>
        <v/>
      </c>
      <c r="AT250" s="179" t="str">
        <f t="array" ref="AT250">IF($F250&lt;&gt;"", XLOOKUP($F250,Productos!$A$2:$A1001,Productos!AM$2:AM1001,"")*$G250,"")</f>
        <v/>
      </c>
      <c r="AU250" s="179" t="str">
        <f t="array" ref="AU250">IF($F250&lt;&gt;"",XLOOKUP($F250,Productos!$A:$A,Productos!AN:AN,"Revisar"),"")</f>
        <v/>
      </c>
      <c r="AV250" s="179" t="str">
        <f t="array" ref="AV250">IF($F250&lt;&gt;"", XLOOKUP($F250,Productos!$A$2:$A1001,Productos!AO$2:AO1001,"")*$G250,"")</f>
        <v/>
      </c>
      <c r="AW250" s="179" t="str">
        <f t="array" ref="AW250">IF($F250&lt;&gt;"",XLOOKUP($F250,Productos!$A:$A,Productos!AP:AP,"Revisar"),"")</f>
        <v/>
      </c>
      <c r="AX250" s="179" t="str">
        <f t="array" ref="AX250">IF($F250&lt;&gt;"", XLOOKUP($F250,Productos!$A$2:$A1001,Productos!AQ$2:AQ1001,"")*$G250,"")</f>
        <v/>
      </c>
      <c r="AY250" s="179" t="str">
        <f t="array" ref="AY250">IF($F250&lt;&gt;"",XLOOKUP($F250,Productos!$A:$A,Productos!AR:AR,"Revisar"),"")</f>
        <v/>
      </c>
      <c r="AZ250" s="179" t="str">
        <f t="array" ref="AZ250">IF($F250&lt;&gt;"", XLOOKUP($F250,Productos!$A$2:$A1001,Productos!AS$2:AS1001,"")*$G250,"")</f>
        <v/>
      </c>
      <c r="BA250" s="179" t="str">
        <f t="array" ref="BA250">IF($F250&lt;&gt;"",XLOOKUP($F250,Productos!$A:$A,Productos!AT:AT,"Revisar"),"")</f>
        <v/>
      </c>
      <c r="BB250" s="179" t="str">
        <f t="array" ref="BB250">IF($F250&lt;&gt;"", XLOOKUP($F250,Productos!$A$2:$A1001,Productos!AU$2:AU1001,"")*$G250,"")</f>
        <v/>
      </c>
      <c r="BC250" s="179" t="str">
        <f t="array" ref="BC250">IF($F250&lt;&gt;"",XLOOKUP($F250,Productos!$A:$A,Productos!AV:AV,"Revisar"),"")</f>
        <v/>
      </c>
      <c r="BD250" s="179" t="str">
        <f t="array" ref="BD250">IF($F250&lt;&gt;"", XLOOKUP($F250,Productos!$A$2:$A1001,Productos!AW$2:AW1001,"")*$G250,"")</f>
        <v/>
      </c>
      <c r="BE250" s="179" t="str">
        <f t="array" ref="BE250">IF($F250&lt;&gt;"",XLOOKUP($F250,Productos!$A:$A,Productos!AX:AX,"Revisar"),"")</f>
        <v/>
      </c>
      <c r="BF250" s="179" t="str">
        <f t="array" ref="BF250">IF($F250&lt;&gt;"", XLOOKUP($F250,Productos!$A$2:$A1001,Productos!AY$2:AY1001,"")*$G250,"")</f>
        <v/>
      </c>
      <c r="BG250" s="179" t="str">
        <f t="array" ref="BG250">IF($F250&lt;&gt;"",XLOOKUP($F250,Productos!$A:$A,Productos!AZ:AZ,"Revisar"),"")</f>
        <v/>
      </c>
      <c r="BH250" s="179" t="str">
        <f t="array" ref="BH250">IF($F250&lt;&gt;"", XLOOKUP($F250,Productos!$A$2:$A1001,Productos!BA$2:BA1001,"")*$G250,"")</f>
        <v/>
      </c>
      <c r="BI250" s="179" t="str">
        <f t="array" ref="BI250">IF($F250&lt;&gt;"",XLOOKUP($F250,Productos!$A:$A,Productos!BB:BB,"Revisar"),"")</f>
        <v/>
      </c>
      <c r="BJ250" s="179" t="str">
        <f t="array" ref="BJ250">IF($F250&lt;&gt;"", XLOOKUP($F250,Productos!$A$2:$A1001,Productos!BC$2:BC1001,"")*$G250,"")</f>
        <v/>
      </c>
      <c r="BK250" s="179" t="str">
        <f t="array" ref="BK250">IF($F250&lt;&gt;"",XLOOKUP($F250,Productos!$A:$A,Productos!BD:BD,"Revisar"),"")</f>
        <v/>
      </c>
      <c r="BL250" s="179" t="str">
        <f t="array" ref="BL250">IF($F250&lt;&gt;"", XLOOKUP($F250,Productos!$A$2:$A1001,Productos!BE$2:BE1001,"")*$G250,"")</f>
        <v/>
      </c>
      <c r="BM250" s="179" t="str">
        <f t="array" ref="BM250">IF($F250&lt;&gt;"",XLOOKUP($F250,Productos!$A:$A,Productos!BF:BF,"Revisar"),"")</f>
        <v/>
      </c>
      <c r="BN250" s="179" t="str">
        <f t="array" ref="BN250">IF($F250&lt;&gt;"", XLOOKUP($F250,Productos!$A$2:$A1001,Productos!BG$2:BG1001,"")*$G250,"")</f>
        <v/>
      </c>
      <c r="BO250" s="179" t="str">
        <f t="array" ref="BO250">IF($F250&lt;&gt;"",XLOOKUP($F250,Productos!$A:$A,Productos!BH:BH,"Revisar"),"")</f>
        <v/>
      </c>
      <c r="BP250" s="179" t="str">
        <f t="array" ref="BP250">IF($F250&lt;&gt;"", XLOOKUP($F250,Productos!$A$2:$A1001,Productos!BI$2:BI1001,"")*$G250,"")</f>
        <v/>
      </c>
      <c r="BQ250" s="179" t="str">
        <f t="array" ref="BQ250">IF($F250&lt;&gt;"",XLOOKUP($F250,Productos!$A:$A,Productos!BJ:BJ,"Revisar"),"")</f>
        <v/>
      </c>
      <c r="BR250" s="179" t="str">
        <f t="array" ref="BR250">IF($F250&lt;&gt;"", XLOOKUP($F250,Productos!$A$2:$A1001,Productos!BK$2:BK1001,"")*$G250,"")</f>
        <v/>
      </c>
      <c r="BS250" s="179" t="str">
        <f t="array" ref="BS250">IF($F250&lt;&gt;"",XLOOKUP($F250,Productos!$A:$A,Productos!BL:BL,"Revisar"),"")</f>
        <v/>
      </c>
      <c r="BT250" s="179" t="str">
        <f t="array" ref="BT250">IF($F250&lt;&gt;"", XLOOKUP($F250,Productos!$A$2:$A1001,Productos!BM$2:BM1001,"")*$G250,"")</f>
        <v/>
      </c>
      <c r="BU250" s="179" t="str">
        <f t="array" ref="BU250">IF($F250&lt;&gt;"",XLOOKUP($F250,Productos!$A:$A,Productos!BN:BN,"Revisar"),"")</f>
        <v/>
      </c>
      <c r="BV250" s="179" t="str">
        <f t="array" ref="BV250">IF($F250&lt;&gt;"", XLOOKUP($F250,Productos!$A$2:$A1001,Productos!BO$2:BO1001,"")*$G250,"")</f>
        <v/>
      </c>
      <c r="BW250" s="179" t="str">
        <f t="array" ref="BW250">IF($F250&lt;&gt;"",XLOOKUP($F250,Productos!$A:$A,Productos!BP:BP,"Revisar"),"")</f>
        <v/>
      </c>
      <c r="BX250" s="179" t="str">
        <f t="array" ref="BX250">IF($F250&lt;&gt;"", XLOOKUP($F250,Productos!$A$2:$A1001,Productos!BQ$2:BQ1001,"")*$G250,"")</f>
        <v/>
      </c>
      <c r="BY250" s="179" t="str">
        <f t="array" ref="BY250">IF($F250&lt;&gt;"",XLOOKUP($F250,Productos!$A:$A,Productos!BR:BR,"Revisar"),"")</f>
        <v/>
      </c>
      <c r="BZ250" s="179" t="str">
        <f t="array" ref="BZ250">IF($F250&lt;&gt;"", XLOOKUP($F250,Productos!$A$2:$A1001,Productos!BS$2:BS1001,"")*$G250,"")</f>
        <v/>
      </c>
    </row>
    <row r="251">
      <c r="A251" s="180"/>
      <c r="B251" s="181"/>
      <c r="C251" s="182"/>
      <c r="D251" s="182"/>
      <c r="E251" s="185"/>
      <c r="F251" s="186"/>
      <c r="G251" s="187"/>
      <c r="H251" s="186"/>
      <c r="I251" s="179" t="str">
        <f t="array" ref="I251">IF($F251&lt;&gt;"",XLOOKUP($F251,Productos!$A:$A,Productos!B:B,"Revisar"),"")</f>
        <v/>
      </c>
      <c r="J251" s="179" t="str">
        <f t="array" ref="J251">IF($F251&lt;&gt;"", XLOOKUP($F251,Productos!$A$2:$A1001,Productos!C$2:C1001,"")*$G251,"")</f>
        <v/>
      </c>
      <c r="K251" s="179" t="str">
        <f t="array" ref="K251">IF($F251&lt;&gt;"",XLOOKUP($F251,Productos!$A:$A,Productos!D:D,"Revisar"),"")</f>
        <v/>
      </c>
      <c r="L251" s="179" t="str">
        <f t="array" ref="L251">IF($F251&lt;&gt;"", XLOOKUP($F251,Productos!$A$2:$A1001,Productos!E$2:E1001,"")*$G251,"")</f>
        <v/>
      </c>
      <c r="M251" s="179" t="str">
        <f t="array" ref="M251">IF($F251&lt;&gt;"",XLOOKUP($F251,Productos!$A:$A,Productos!F:F,"Revisar"),"")</f>
        <v/>
      </c>
      <c r="N251" s="179" t="str">
        <f t="array" ref="N251">IF($F251&lt;&gt;"", XLOOKUP($F251,Productos!$A$2:$A1001,Productos!G$2:G1001,"")*$G251,"")</f>
        <v/>
      </c>
      <c r="O251" s="179" t="str">
        <f t="array" ref="O251">IF($F251&lt;&gt;"",XLOOKUP($F251,Productos!$A:$A,Productos!H:H,"Revisar"),"")</f>
        <v/>
      </c>
      <c r="P251" s="179" t="str">
        <f t="array" ref="P251">IF($F251&lt;&gt;"", XLOOKUP($F251,Productos!$A$2:$A1001,Productos!I$2:I1001,"")*$G251,"")</f>
        <v/>
      </c>
      <c r="Q251" s="179" t="str">
        <f t="array" ref="Q251">IF($F251&lt;&gt;"",XLOOKUP($F251,Productos!$A:$A,Productos!J:J,"Revisar"),"")</f>
        <v/>
      </c>
      <c r="R251" s="179" t="str">
        <f t="array" ref="R251">IF($F251&lt;&gt;"", XLOOKUP($F251,Productos!$A$2:$A1001,Productos!K$2:K1001,"")*$G251,"")</f>
        <v/>
      </c>
      <c r="S251" s="179" t="str">
        <f t="array" ref="S251">IF($F251&lt;&gt;"",XLOOKUP($F251,Productos!$A:$A,Productos!L:L,"Revisar"),"")</f>
        <v/>
      </c>
      <c r="T251" s="179" t="str">
        <f t="array" ref="T251">IF($F251&lt;&gt;"", XLOOKUP($F251,Productos!$A$2:$A1001,Productos!M$2:M1001,"")*$G251,"")</f>
        <v/>
      </c>
      <c r="U251" s="179" t="str">
        <f t="array" ref="U251">IF($F251&lt;&gt;"",XLOOKUP($F251,Productos!$A:$A,Productos!N:N,"Revisar"),"")</f>
        <v/>
      </c>
      <c r="V251" s="179" t="str">
        <f t="array" ref="V251">IF($F251&lt;&gt;"", XLOOKUP($F251,Productos!$A$2:$A1001,Productos!O$2:O1001,"")*$G251,"")</f>
        <v/>
      </c>
      <c r="W251" s="179" t="str">
        <f t="array" ref="W251">IF($F251&lt;&gt;"",XLOOKUP($F251,Productos!$A:$A,Productos!P:P,"Revisar"),"")</f>
        <v/>
      </c>
      <c r="X251" s="179" t="str">
        <f t="array" ref="X251">IF($F251&lt;&gt;"", XLOOKUP($F251,Productos!$A$2:$A1001,Productos!Q$2:Q1001,"")*$G251,"")</f>
        <v/>
      </c>
      <c r="Y251" s="179" t="str">
        <f t="array" ref="Y251">IF($F251&lt;&gt;"",XLOOKUP($F251,Productos!$A:$A,Productos!R:R,"Revisar"),"")</f>
        <v/>
      </c>
      <c r="Z251" s="179" t="str">
        <f t="array" ref="Z251">IF($F251&lt;&gt;"", XLOOKUP($F251,Productos!$A$2:$A1001,Productos!S$2:S1001,"")*$G251,"")</f>
        <v/>
      </c>
      <c r="AA251" s="179" t="str">
        <f t="array" ref="AA251">IF($F251&lt;&gt;"",XLOOKUP($F251,Productos!$A:$A,Productos!T:T,"Revisar"),"")</f>
        <v/>
      </c>
      <c r="AB251" s="179" t="str">
        <f t="array" ref="AB251">IF($F251&lt;&gt;"", XLOOKUP($F251,Productos!$A$2:$A1001,Productos!U$2:U1001,"")*$G251,"")</f>
        <v/>
      </c>
      <c r="AC251" s="179" t="str">
        <f t="array" ref="AC251">IF($F251&lt;&gt;"",XLOOKUP($F251,Productos!$A:$A,Productos!V:V,"Revisar"),"")</f>
        <v/>
      </c>
      <c r="AD251" s="179" t="str">
        <f t="array" ref="AD251">IF($F251&lt;&gt;"", XLOOKUP($F251,Productos!$A$2:$A1001,Productos!W$2:W1001,"")*$G251,"")</f>
        <v/>
      </c>
      <c r="AE251" s="179" t="str">
        <f t="array" ref="AE251">IF($F251&lt;&gt;"",XLOOKUP($F251,Productos!$A:$A,Productos!X:X,"Revisar"),"")</f>
        <v/>
      </c>
      <c r="AF251" s="179" t="str">
        <f t="array" ref="AF251">IF($F251&lt;&gt;"", XLOOKUP($F251,Productos!$A$2:$A1001,Productos!Y$2:Y1001,"")*$G251,"")</f>
        <v/>
      </c>
      <c r="AG251" s="179" t="str">
        <f t="array" ref="AG251">IF($F251&lt;&gt;"",XLOOKUP($F251,Productos!$A:$A,Productos!Z:Z,"Revisar"),"")</f>
        <v/>
      </c>
      <c r="AH251" s="179" t="str">
        <f t="array" ref="AH251">IF($F251&lt;&gt;"", XLOOKUP($F251,Productos!$A$2:$A1001,Productos!AA$2:AA1001,"")*$G251,"")</f>
        <v/>
      </c>
      <c r="AI251" s="179" t="str">
        <f t="array" ref="AI251">IF($F251&lt;&gt;"",XLOOKUP($F251,Productos!$A:$A,Productos!AB:AB,"Revisar"),"")</f>
        <v/>
      </c>
      <c r="AJ251" s="179" t="str">
        <f t="array" ref="AJ251">IF($F251&lt;&gt;"", XLOOKUP($F251,Productos!$A$2:$A1001,Productos!AC$2:AC1001,"")*$G251,"")</f>
        <v/>
      </c>
      <c r="AK251" s="179" t="str">
        <f t="array" ref="AK251">IF($F251&lt;&gt;"",XLOOKUP($F251,Productos!$A:$A,Productos!AD:AD,"Revisar"),"")</f>
        <v/>
      </c>
      <c r="AL251" s="179" t="str">
        <f t="array" ref="AL251">IF($F251&lt;&gt;"", XLOOKUP($F251,Productos!$A$2:$A1001,Productos!AE$2:AE1001,"")*$G251,"")</f>
        <v/>
      </c>
      <c r="AM251" s="179" t="str">
        <f t="array" ref="AM251">IF($F251&lt;&gt;"",XLOOKUP($F251,Productos!$A:$A,Productos!AF:AF,"Revisar"),"")</f>
        <v/>
      </c>
      <c r="AN251" s="179" t="str">
        <f t="array" ref="AN251">IF($F251&lt;&gt;"", XLOOKUP($F251,Productos!$A$2:$A1001,Productos!AG$2:AG1001,"")*$G251,"")</f>
        <v/>
      </c>
      <c r="AO251" s="179" t="str">
        <f t="array" ref="AO251">IF($F251&lt;&gt;"",XLOOKUP($F251,Productos!$A:$A,Productos!AH:AH,"Revisar"),"")</f>
        <v/>
      </c>
      <c r="AP251" s="179" t="str">
        <f t="array" ref="AP251">IF($F251&lt;&gt;"", XLOOKUP($F251,Productos!$A$2:$A1001,Productos!AI$2:AI1001,"")*$G251,"")</f>
        <v/>
      </c>
      <c r="AQ251" s="179" t="str">
        <f t="array" ref="AQ251">IF($F251&lt;&gt;"",XLOOKUP($F251,Productos!$A:$A,Productos!AJ:AJ,"Revisar"),"")</f>
        <v/>
      </c>
      <c r="AR251" s="179" t="str">
        <f t="array" ref="AR251">IF($F251&lt;&gt;"", XLOOKUP($F251,Productos!$A$2:$A1001,Productos!AK$2:AK1001,"")*$G251,"")</f>
        <v/>
      </c>
      <c r="AS251" s="179" t="str">
        <f t="array" ref="AS251">IF($F251&lt;&gt;"",XLOOKUP($F251,Productos!$A:$A,Productos!AL:AL,"Revisar"),"")</f>
        <v/>
      </c>
      <c r="AT251" s="179" t="str">
        <f t="array" ref="AT251">IF($F251&lt;&gt;"", XLOOKUP($F251,Productos!$A$2:$A1001,Productos!AM$2:AM1001,"")*$G251,"")</f>
        <v/>
      </c>
      <c r="AU251" s="179" t="str">
        <f t="array" ref="AU251">IF($F251&lt;&gt;"",XLOOKUP($F251,Productos!$A:$A,Productos!AN:AN,"Revisar"),"")</f>
        <v/>
      </c>
      <c r="AV251" s="179" t="str">
        <f t="array" ref="AV251">IF($F251&lt;&gt;"", XLOOKUP($F251,Productos!$A$2:$A1001,Productos!AO$2:AO1001,"")*$G251,"")</f>
        <v/>
      </c>
      <c r="AW251" s="179" t="str">
        <f t="array" ref="AW251">IF($F251&lt;&gt;"",XLOOKUP($F251,Productos!$A:$A,Productos!AP:AP,"Revisar"),"")</f>
        <v/>
      </c>
      <c r="AX251" s="179" t="str">
        <f t="array" ref="AX251">IF($F251&lt;&gt;"", XLOOKUP($F251,Productos!$A$2:$A1001,Productos!AQ$2:AQ1001,"")*$G251,"")</f>
        <v/>
      </c>
      <c r="AY251" s="179" t="str">
        <f t="array" ref="AY251">IF($F251&lt;&gt;"",XLOOKUP($F251,Productos!$A:$A,Productos!AR:AR,"Revisar"),"")</f>
        <v/>
      </c>
      <c r="AZ251" s="179" t="str">
        <f t="array" ref="AZ251">IF($F251&lt;&gt;"", XLOOKUP($F251,Productos!$A$2:$A1001,Productos!AS$2:AS1001,"")*$G251,"")</f>
        <v/>
      </c>
      <c r="BA251" s="179" t="str">
        <f t="array" ref="BA251">IF($F251&lt;&gt;"",XLOOKUP($F251,Productos!$A:$A,Productos!AT:AT,"Revisar"),"")</f>
        <v/>
      </c>
      <c r="BB251" s="179" t="str">
        <f t="array" ref="BB251">IF($F251&lt;&gt;"", XLOOKUP($F251,Productos!$A$2:$A1001,Productos!AU$2:AU1001,"")*$G251,"")</f>
        <v/>
      </c>
      <c r="BC251" s="179" t="str">
        <f t="array" ref="BC251">IF($F251&lt;&gt;"",XLOOKUP($F251,Productos!$A:$A,Productos!AV:AV,"Revisar"),"")</f>
        <v/>
      </c>
      <c r="BD251" s="179" t="str">
        <f t="array" ref="BD251">IF($F251&lt;&gt;"", XLOOKUP($F251,Productos!$A$2:$A1001,Productos!AW$2:AW1001,"")*$G251,"")</f>
        <v/>
      </c>
      <c r="BE251" s="179" t="str">
        <f t="array" ref="BE251">IF($F251&lt;&gt;"",XLOOKUP($F251,Productos!$A:$A,Productos!AX:AX,"Revisar"),"")</f>
        <v/>
      </c>
      <c r="BF251" s="179" t="str">
        <f t="array" ref="BF251">IF($F251&lt;&gt;"", XLOOKUP($F251,Productos!$A$2:$A1001,Productos!AY$2:AY1001,"")*$G251,"")</f>
        <v/>
      </c>
      <c r="BG251" s="179" t="str">
        <f t="array" ref="BG251">IF($F251&lt;&gt;"",XLOOKUP($F251,Productos!$A:$A,Productos!AZ:AZ,"Revisar"),"")</f>
        <v/>
      </c>
      <c r="BH251" s="179" t="str">
        <f t="array" ref="BH251">IF($F251&lt;&gt;"", XLOOKUP($F251,Productos!$A$2:$A1001,Productos!BA$2:BA1001,"")*$G251,"")</f>
        <v/>
      </c>
      <c r="BI251" s="179" t="str">
        <f t="array" ref="BI251">IF($F251&lt;&gt;"",XLOOKUP($F251,Productos!$A:$A,Productos!BB:BB,"Revisar"),"")</f>
        <v/>
      </c>
      <c r="BJ251" s="179" t="str">
        <f t="array" ref="BJ251">IF($F251&lt;&gt;"", XLOOKUP($F251,Productos!$A$2:$A1001,Productos!BC$2:BC1001,"")*$G251,"")</f>
        <v/>
      </c>
      <c r="BK251" s="179" t="str">
        <f t="array" ref="BK251">IF($F251&lt;&gt;"",XLOOKUP($F251,Productos!$A:$A,Productos!BD:BD,"Revisar"),"")</f>
        <v/>
      </c>
      <c r="BL251" s="179" t="str">
        <f t="array" ref="BL251">IF($F251&lt;&gt;"", XLOOKUP($F251,Productos!$A$2:$A1001,Productos!BE$2:BE1001,"")*$G251,"")</f>
        <v/>
      </c>
      <c r="BM251" s="179" t="str">
        <f t="array" ref="BM251">IF($F251&lt;&gt;"",XLOOKUP($F251,Productos!$A:$A,Productos!BF:BF,"Revisar"),"")</f>
        <v/>
      </c>
      <c r="BN251" s="179" t="str">
        <f t="array" ref="BN251">IF($F251&lt;&gt;"", XLOOKUP($F251,Productos!$A$2:$A1001,Productos!BG$2:BG1001,"")*$G251,"")</f>
        <v/>
      </c>
      <c r="BO251" s="179" t="str">
        <f t="array" ref="BO251">IF($F251&lt;&gt;"",XLOOKUP($F251,Productos!$A:$A,Productos!BH:BH,"Revisar"),"")</f>
        <v/>
      </c>
      <c r="BP251" s="179" t="str">
        <f t="array" ref="BP251">IF($F251&lt;&gt;"", XLOOKUP($F251,Productos!$A$2:$A1001,Productos!BI$2:BI1001,"")*$G251,"")</f>
        <v/>
      </c>
      <c r="BQ251" s="179" t="str">
        <f t="array" ref="BQ251">IF($F251&lt;&gt;"",XLOOKUP($F251,Productos!$A:$A,Productos!BJ:BJ,"Revisar"),"")</f>
        <v/>
      </c>
      <c r="BR251" s="179" t="str">
        <f t="array" ref="BR251">IF($F251&lt;&gt;"", XLOOKUP($F251,Productos!$A$2:$A1001,Productos!BK$2:BK1001,"")*$G251,"")</f>
        <v/>
      </c>
      <c r="BS251" s="179" t="str">
        <f t="array" ref="BS251">IF($F251&lt;&gt;"",XLOOKUP($F251,Productos!$A:$A,Productos!BL:BL,"Revisar"),"")</f>
        <v/>
      </c>
      <c r="BT251" s="179" t="str">
        <f t="array" ref="BT251">IF($F251&lt;&gt;"", XLOOKUP($F251,Productos!$A$2:$A1001,Productos!BM$2:BM1001,"")*$G251,"")</f>
        <v/>
      </c>
      <c r="BU251" s="179" t="str">
        <f t="array" ref="BU251">IF($F251&lt;&gt;"",XLOOKUP($F251,Productos!$A:$A,Productos!BN:BN,"Revisar"),"")</f>
        <v/>
      </c>
      <c r="BV251" s="179" t="str">
        <f t="array" ref="BV251">IF($F251&lt;&gt;"", XLOOKUP($F251,Productos!$A$2:$A1001,Productos!BO$2:BO1001,"")*$G251,"")</f>
        <v/>
      </c>
      <c r="BW251" s="179" t="str">
        <f t="array" ref="BW251">IF($F251&lt;&gt;"",XLOOKUP($F251,Productos!$A:$A,Productos!BP:BP,"Revisar"),"")</f>
        <v/>
      </c>
      <c r="BX251" s="179" t="str">
        <f t="array" ref="BX251">IF($F251&lt;&gt;"", XLOOKUP($F251,Productos!$A$2:$A1001,Productos!BQ$2:BQ1001,"")*$G251,"")</f>
        <v/>
      </c>
      <c r="BY251" s="179" t="str">
        <f t="array" ref="BY251">IF($F251&lt;&gt;"",XLOOKUP($F251,Productos!$A:$A,Productos!BR:BR,"Revisar"),"")</f>
        <v/>
      </c>
      <c r="BZ251" s="179" t="str">
        <f t="array" ref="BZ251">IF($F251&lt;&gt;"", XLOOKUP($F251,Productos!$A$2:$A1001,Productos!BS$2:BS1001,"")*$G251,"")</f>
        <v/>
      </c>
    </row>
    <row r="252">
      <c r="A252" s="180"/>
      <c r="B252" s="181"/>
      <c r="C252" s="182"/>
      <c r="D252" s="182"/>
      <c r="E252" s="185"/>
      <c r="F252" s="186"/>
      <c r="G252" s="187"/>
      <c r="H252" s="186"/>
      <c r="I252" s="179" t="str">
        <f t="array" ref="I252">IF($F252&lt;&gt;"",XLOOKUP($F252,Productos!$A:$A,Productos!B:B,"Revisar"),"")</f>
        <v/>
      </c>
      <c r="J252" s="179" t="str">
        <f t="array" ref="J252">IF($F252&lt;&gt;"", XLOOKUP($F252,Productos!$A$2:$A1001,Productos!C$2:C1001,"")*$G252,"")</f>
        <v/>
      </c>
      <c r="K252" s="179" t="str">
        <f t="array" ref="K252">IF($F252&lt;&gt;"",XLOOKUP($F252,Productos!$A:$A,Productos!D:D,"Revisar"),"")</f>
        <v/>
      </c>
      <c r="L252" s="179" t="str">
        <f t="array" ref="L252">IF($F252&lt;&gt;"", XLOOKUP($F252,Productos!$A$2:$A1001,Productos!E$2:E1001,"")*$G252,"")</f>
        <v/>
      </c>
      <c r="M252" s="179" t="str">
        <f t="array" ref="M252">IF($F252&lt;&gt;"",XLOOKUP($F252,Productos!$A:$A,Productos!F:F,"Revisar"),"")</f>
        <v/>
      </c>
      <c r="N252" s="179" t="str">
        <f t="array" ref="N252">IF($F252&lt;&gt;"", XLOOKUP($F252,Productos!$A$2:$A1001,Productos!G$2:G1001,"")*$G252,"")</f>
        <v/>
      </c>
      <c r="O252" s="179" t="str">
        <f t="array" ref="O252">IF($F252&lt;&gt;"",XLOOKUP($F252,Productos!$A:$A,Productos!H:H,"Revisar"),"")</f>
        <v/>
      </c>
      <c r="P252" s="179" t="str">
        <f t="array" ref="P252">IF($F252&lt;&gt;"", XLOOKUP($F252,Productos!$A$2:$A1001,Productos!I$2:I1001,"")*$G252,"")</f>
        <v/>
      </c>
      <c r="Q252" s="179" t="str">
        <f t="array" ref="Q252">IF($F252&lt;&gt;"",XLOOKUP($F252,Productos!$A:$A,Productos!J:J,"Revisar"),"")</f>
        <v/>
      </c>
      <c r="R252" s="179" t="str">
        <f t="array" ref="R252">IF($F252&lt;&gt;"", XLOOKUP($F252,Productos!$A$2:$A1001,Productos!K$2:K1001,"")*$G252,"")</f>
        <v/>
      </c>
      <c r="S252" s="179" t="str">
        <f t="array" ref="S252">IF($F252&lt;&gt;"",XLOOKUP($F252,Productos!$A:$A,Productos!L:L,"Revisar"),"")</f>
        <v/>
      </c>
      <c r="T252" s="179" t="str">
        <f t="array" ref="T252">IF($F252&lt;&gt;"", XLOOKUP($F252,Productos!$A$2:$A1001,Productos!M$2:M1001,"")*$G252,"")</f>
        <v/>
      </c>
      <c r="U252" s="179" t="str">
        <f t="array" ref="U252">IF($F252&lt;&gt;"",XLOOKUP($F252,Productos!$A:$A,Productos!N:N,"Revisar"),"")</f>
        <v/>
      </c>
      <c r="V252" s="179" t="str">
        <f t="array" ref="V252">IF($F252&lt;&gt;"", XLOOKUP($F252,Productos!$A$2:$A1001,Productos!O$2:O1001,"")*$G252,"")</f>
        <v/>
      </c>
      <c r="W252" s="179" t="str">
        <f t="array" ref="W252">IF($F252&lt;&gt;"",XLOOKUP($F252,Productos!$A:$A,Productos!P:P,"Revisar"),"")</f>
        <v/>
      </c>
      <c r="X252" s="179" t="str">
        <f t="array" ref="X252">IF($F252&lt;&gt;"", XLOOKUP($F252,Productos!$A$2:$A1001,Productos!Q$2:Q1001,"")*$G252,"")</f>
        <v/>
      </c>
      <c r="Y252" s="179" t="str">
        <f t="array" ref="Y252">IF($F252&lt;&gt;"",XLOOKUP($F252,Productos!$A:$A,Productos!R:R,"Revisar"),"")</f>
        <v/>
      </c>
      <c r="Z252" s="179" t="str">
        <f t="array" ref="Z252">IF($F252&lt;&gt;"", XLOOKUP($F252,Productos!$A$2:$A1001,Productos!S$2:S1001,"")*$G252,"")</f>
        <v/>
      </c>
      <c r="AA252" s="179" t="str">
        <f t="array" ref="AA252">IF($F252&lt;&gt;"",XLOOKUP($F252,Productos!$A:$A,Productos!T:T,"Revisar"),"")</f>
        <v/>
      </c>
      <c r="AB252" s="179" t="str">
        <f t="array" ref="AB252">IF($F252&lt;&gt;"", XLOOKUP($F252,Productos!$A$2:$A1001,Productos!U$2:U1001,"")*$G252,"")</f>
        <v/>
      </c>
      <c r="AC252" s="179" t="str">
        <f t="array" ref="AC252">IF($F252&lt;&gt;"",XLOOKUP($F252,Productos!$A:$A,Productos!V:V,"Revisar"),"")</f>
        <v/>
      </c>
      <c r="AD252" s="179" t="str">
        <f t="array" ref="AD252">IF($F252&lt;&gt;"", XLOOKUP($F252,Productos!$A$2:$A1001,Productos!W$2:W1001,"")*$G252,"")</f>
        <v/>
      </c>
      <c r="AE252" s="179" t="str">
        <f t="array" ref="AE252">IF($F252&lt;&gt;"",XLOOKUP($F252,Productos!$A:$A,Productos!X:X,"Revisar"),"")</f>
        <v/>
      </c>
      <c r="AF252" s="179" t="str">
        <f t="array" ref="AF252">IF($F252&lt;&gt;"", XLOOKUP($F252,Productos!$A$2:$A1001,Productos!Y$2:Y1001,"")*$G252,"")</f>
        <v/>
      </c>
      <c r="AG252" s="179" t="str">
        <f t="array" ref="AG252">IF($F252&lt;&gt;"",XLOOKUP($F252,Productos!$A:$A,Productos!Z:Z,"Revisar"),"")</f>
        <v/>
      </c>
      <c r="AH252" s="179" t="str">
        <f t="array" ref="AH252">IF($F252&lt;&gt;"", XLOOKUP($F252,Productos!$A$2:$A1001,Productos!AA$2:AA1001,"")*$G252,"")</f>
        <v/>
      </c>
      <c r="AI252" s="179" t="str">
        <f t="array" ref="AI252">IF($F252&lt;&gt;"",XLOOKUP($F252,Productos!$A:$A,Productos!AB:AB,"Revisar"),"")</f>
        <v/>
      </c>
      <c r="AJ252" s="179" t="str">
        <f t="array" ref="AJ252">IF($F252&lt;&gt;"", XLOOKUP($F252,Productos!$A$2:$A1001,Productos!AC$2:AC1001,"")*$G252,"")</f>
        <v/>
      </c>
      <c r="AK252" s="179" t="str">
        <f t="array" ref="AK252">IF($F252&lt;&gt;"",XLOOKUP($F252,Productos!$A:$A,Productos!AD:AD,"Revisar"),"")</f>
        <v/>
      </c>
      <c r="AL252" s="179" t="str">
        <f t="array" ref="AL252">IF($F252&lt;&gt;"", XLOOKUP($F252,Productos!$A$2:$A1001,Productos!AE$2:AE1001,"")*$G252,"")</f>
        <v/>
      </c>
      <c r="AM252" s="179" t="str">
        <f t="array" ref="AM252">IF($F252&lt;&gt;"",XLOOKUP($F252,Productos!$A:$A,Productos!AF:AF,"Revisar"),"")</f>
        <v/>
      </c>
      <c r="AN252" s="179" t="str">
        <f t="array" ref="AN252">IF($F252&lt;&gt;"", XLOOKUP($F252,Productos!$A$2:$A1001,Productos!AG$2:AG1001,"")*$G252,"")</f>
        <v/>
      </c>
      <c r="AO252" s="179" t="str">
        <f t="array" ref="AO252">IF($F252&lt;&gt;"",XLOOKUP($F252,Productos!$A:$A,Productos!AH:AH,"Revisar"),"")</f>
        <v/>
      </c>
      <c r="AP252" s="179" t="str">
        <f t="array" ref="AP252">IF($F252&lt;&gt;"", XLOOKUP($F252,Productos!$A$2:$A1001,Productos!AI$2:AI1001,"")*$G252,"")</f>
        <v/>
      </c>
      <c r="AQ252" s="179" t="str">
        <f t="array" ref="AQ252">IF($F252&lt;&gt;"",XLOOKUP($F252,Productos!$A:$A,Productos!AJ:AJ,"Revisar"),"")</f>
        <v/>
      </c>
      <c r="AR252" s="179" t="str">
        <f t="array" ref="AR252">IF($F252&lt;&gt;"", XLOOKUP($F252,Productos!$A$2:$A1001,Productos!AK$2:AK1001,"")*$G252,"")</f>
        <v/>
      </c>
      <c r="AS252" s="179" t="str">
        <f t="array" ref="AS252">IF($F252&lt;&gt;"",XLOOKUP($F252,Productos!$A:$A,Productos!AL:AL,"Revisar"),"")</f>
        <v/>
      </c>
      <c r="AT252" s="179" t="str">
        <f t="array" ref="AT252">IF($F252&lt;&gt;"", XLOOKUP($F252,Productos!$A$2:$A1001,Productos!AM$2:AM1001,"")*$G252,"")</f>
        <v/>
      </c>
      <c r="AU252" s="179" t="str">
        <f t="array" ref="AU252">IF($F252&lt;&gt;"",XLOOKUP($F252,Productos!$A:$A,Productos!AN:AN,"Revisar"),"")</f>
        <v/>
      </c>
      <c r="AV252" s="179" t="str">
        <f t="array" ref="AV252">IF($F252&lt;&gt;"", XLOOKUP($F252,Productos!$A$2:$A1001,Productos!AO$2:AO1001,"")*$G252,"")</f>
        <v/>
      </c>
      <c r="AW252" s="179" t="str">
        <f t="array" ref="AW252">IF($F252&lt;&gt;"",XLOOKUP($F252,Productos!$A:$A,Productos!AP:AP,"Revisar"),"")</f>
        <v/>
      </c>
      <c r="AX252" s="179" t="str">
        <f t="array" ref="AX252">IF($F252&lt;&gt;"", XLOOKUP($F252,Productos!$A$2:$A1001,Productos!AQ$2:AQ1001,"")*$G252,"")</f>
        <v/>
      </c>
      <c r="AY252" s="179" t="str">
        <f t="array" ref="AY252">IF($F252&lt;&gt;"",XLOOKUP($F252,Productos!$A:$A,Productos!AR:AR,"Revisar"),"")</f>
        <v/>
      </c>
      <c r="AZ252" s="179" t="str">
        <f t="array" ref="AZ252">IF($F252&lt;&gt;"", XLOOKUP($F252,Productos!$A$2:$A1001,Productos!AS$2:AS1001,"")*$G252,"")</f>
        <v/>
      </c>
      <c r="BA252" s="179" t="str">
        <f t="array" ref="BA252">IF($F252&lt;&gt;"",XLOOKUP($F252,Productos!$A:$A,Productos!AT:AT,"Revisar"),"")</f>
        <v/>
      </c>
      <c r="BB252" s="179" t="str">
        <f t="array" ref="BB252">IF($F252&lt;&gt;"", XLOOKUP($F252,Productos!$A$2:$A1001,Productos!AU$2:AU1001,"")*$G252,"")</f>
        <v/>
      </c>
      <c r="BC252" s="179" t="str">
        <f t="array" ref="BC252">IF($F252&lt;&gt;"",XLOOKUP($F252,Productos!$A:$A,Productos!AV:AV,"Revisar"),"")</f>
        <v/>
      </c>
      <c r="BD252" s="179" t="str">
        <f t="array" ref="BD252">IF($F252&lt;&gt;"", XLOOKUP($F252,Productos!$A$2:$A1001,Productos!AW$2:AW1001,"")*$G252,"")</f>
        <v/>
      </c>
      <c r="BE252" s="179" t="str">
        <f t="array" ref="BE252">IF($F252&lt;&gt;"",XLOOKUP($F252,Productos!$A:$A,Productos!AX:AX,"Revisar"),"")</f>
        <v/>
      </c>
      <c r="BF252" s="179" t="str">
        <f t="array" ref="BF252">IF($F252&lt;&gt;"", XLOOKUP($F252,Productos!$A$2:$A1001,Productos!AY$2:AY1001,"")*$G252,"")</f>
        <v/>
      </c>
      <c r="BG252" s="179" t="str">
        <f t="array" ref="BG252">IF($F252&lt;&gt;"",XLOOKUP($F252,Productos!$A:$A,Productos!AZ:AZ,"Revisar"),"")</f>
        <v/>
      </c>
      <c r="BH252" s="179" t="str">
        <f t="array" ref="BH252">IF($F252&lt;&gt;"", XLOOKUP($F252,Productos!$A$2:$A1001,Productos!BA$2:BA1001,"")*$G252,"")</f>
        <v/>
      </c>
      <c r="BI252" s="179" t="str">
        <f t="array" ref="BI252">IF($F252&lt;&gt;"",XLOOKUP($F252,Productos!$A:$A,Productos!BB:BB,"Revisar"),"")</f>
        <v/>
      </c>
      <c r="BJ252" s="179" t="str">
        <f t="array" ref="BJ252">IF($F252&lt;&gt;"", XLOOKUP($F252,Productos!$A$2:$A1001,Productos!BC$2:BC1001,"")*$G252,"")</f>
        <v/>
      </c>
      <c r="BK252" s="179" t="str">
        <f t="array" ref="BK252">IF($F252&lt;&gt;"",XLOOKUP($F252,Productos!$A:$A,Productos!BD:BD,"Revisar"),"")</f>
        <v/>
      </c>
      <c r="BL252" s="179" t="str">
        <f t="array" ref="BL252">IF($F252&lt;&gt;"", XLOOKUP($F252,Productos!$A$2:$A1001,Productos!BE$2:BE1001,"")*$G252,"")</f>
        <v/>
      </c>
      <c r="BM252" s="179" t="str">
        <f t="array" ref="BM252">IF($F252&lt;&gt;"",XLOOKUP($F252,Productos!$A:$A,Productos!BF:BF,"Revisar"),"")</f>
        <v/>
      </c>
      <c r="BN252" s="179" t="str">
        <f t="array" ref="BN252">IF($F252&lt;&gt;"", XLOOKUP($F252,Productos!$A$2:$A1001,Productos!BG$2:BG1001,"")*$G252,"")</f>
        <v/>
      </c>
      <c r="BO252" s="179" t="str">
        <f t="array" ref="BO252">IF($F252&lt;&gt;"",XLOOKUP($F252,Productos!$A:$A,Productos!BH:BH,"Revisar"),"")</f>
        <v/>
      </c>
      <c r="BP252" s="179" t="str">
        <f t="array" ref="BP252">IF($F252&lt;&gt;"", XLOOKUP($F252,Productos!$A$2:$A1001,Productos!BI$2:BI1001,"")*$G252,"")</f>
        <v/>
      </c>
      <c r="BQ252" s="179" t="str">
        <f t="array" ref="BQ252">IF($F252&lt;&gt;"",XLOOKUP($F252,Productos!$A:$A,Productos!BJ:BJ,"Revisar"),"")</f>
        <v/>
      </c>
      <c r="BR252" s="179" t="str">
        <f t="array" ref="BR252">IF($F252&lt;&gt;"", XLOOKUP($F252,Productos!$A$2:$A1001,Productos!BK$2:BK1001,"")*$G252,"")</f>
        <v/>
      </c>
      <c r="BS252" s="179" t="str">
        <f t="array" ref="BS252">IF($F252&lt;&gt;"",XLOOKUP($F252,Productos!$A:$A,Productos!BL:BL,"Revisar"),"")</f>
        <v/>
      </c>
      <c r="BT252" s="179" t="str">
        <f t="array" ref="BT252">IF($F252&lt;&gt;"", XLOOKUP($F252,Productos!$A$2:$A1001,Productos!BM$2:BM1001,"")*$G252,"")</f>
        <v/>
      </c>
      <c r="BU252" s="179" t="str">
        <f t="array" ref="BU252">IF($F252&lt;&gt;"",XLOOKUP($F252,Productos!$A:$A,Productos!BN:BN,"Revisar"),"")</f>
        <v/>
      </c>
      <c r="BV252" s="179" t="str">
        <f t="array" ref="BV252">IF($F252&lt;&gt;"", XLOOKUP($F252,Productos!$A$2:$A1001,Productos!BO$2:BO1001,"")*$G252,"")</f>
        <v/>
      </c>
      <c r="BW252" s="179" t="str">
        <f t="array" ref="BW252">IF($F252&lt;&gt;"",XLOOKUP($F252,Productos!$A:$A,Productos!BP:BP,"Revisar"),"")</f>
        <v/>
      </c>
      <c r="BX252" s="179" t="str">
        <f t="array" ref="BX252">IF($F252&lt;&gt;"", XLOOKUP($F252,Productos!$A$2:$A1001,Productos!BQ$2:BQ1001,"")*$G252,"")</f>
        <v/>
      </c>
      <c r="BY252" s="179" t="str">
        <f t="array" ref="BY252">IF($F252&lt;&gt;"",XLOOKUP($F252,Productos!$A:$A,Productos!BR:BR,"Revisar"),"")</f>
        <v/>
      </c>
      <c r="BZ252" s="179" t="str">
        <f t="array" ref="BZ252">IF($F252&lt;&gt;"", XLOOKUP($F252,Productos!$A$2:$A1001,Productos!BS$2:BS1001,"")*$G252,"")</f>
        <v/>
      </c>
    </row>
    <row r="253">
      <c r="A253" s="180"/>
      <c r="B253" s="181"/>
      <c r="C253" s="182"/>
      <c r="D253" s="182"/>
      <c r="E253" s="185"/>
      <c r="F253" s="186"/>
      <c r="G253" s="187"/>
      <c r="H253" s="186"/>
      <c r="I253" s="179" t="str">
        <f t="array" ref="I253">IF($F253&lt;&gt;"",XLOOKUP($F253,Productos!$A:$A,Productos!B:B,"Revisar"),"")</f>
        <v/>
      </c>
      <c r="J253" s="179" t="str">
        <f t="array" ref="J253">IF($F253&lt;&gt;"", XLOOKUP($F253,Productos!$A$2:$A1001,Productos!C$2:C1001,"")*$G253,"")</f>
        <v/>
      </c>
      <c r="K253" s="179" t="str">
        <f t="array" ref="K253">IF($F253&lt;&gt;"",XLOOKUP($F253,Productos!$A:$A,Productos!D:D,"Revisar"),"")</f>
        <v/>
      </c>
      <c r="L253" s="179" t="str">
        <f t="array" ref="L253">IF($F253&lt;&gt;"", XLOOKUP($F253,Productos!$A$2:$A1001,Productos!E$2:E1001,"")*$G253,"")</f>
        <v/>
      </c>
      <c r="M253" s="179" t="str">
        <f t="array" ref="M253">IF($F253&lt;&gt;"",XLOOKUP($F253,Productos!$A:$A,Productos!F:F,"Revisar"),"")</f>
        <v/>
      </c>
      <c r="N253" s="179" t="str">
        <f t="array" ref="N253">IF($F253&lt;&gt;"", XLOOKUP($F253,Productos!$A$2:$A1001,Productos!G$2:G1001,"")*$G253,"")</f>
        <v/>
      </c>
      <c r="O253" s="179" t="str">
        <f t="array" ref="O253">IF($F253&lt;&gt;"",XLOOKUP($F253,Productos!$A:$A,Productos!H:H,"Revisar"),"")</f>
        <v/>
      </c>
      <c r="P253" s="179" t="str">
        <f t="array" ref="P253">IF($F253&lt;&gt;"", XLOOKUP($F253,Productos!$A$2:$A1001,Productos!I$2:I1001,"")*$G253,"")</f>
        <v/>
      </c>
      <c r="Q253" s="179" t="str">
        <f t="array" ref="Q253">IF($F253&lt;&gt;"",XLOOKUP($F253,Productos!$A:$A,Productos!J:J,"Revisar"),"")</f>
        <v/>
      </c>
      <c r="R253" s="179" t="str">
        <f t="array" ref="R253">IF($F253&lt;&gt;"", XLOOKUP($F253,Productos!$A$2:$A1001,Productos!K$2:K1001,"")*$G253,"")</f>
        <v/>
      </c>
      <c r="S253" s="179" t="str">
        <f t="array" ref="S253">IF($F253&lt;&gt;"",XLOOKUP($F253,Productos!$A:$A,Productos!L:L,"Revisar"),"")</f>
        <v/>
      </c>
      <c r="T253" s="179" t="str">
        <f t="array" ref="T253">IF($F253&lt;&gt;"", XLOOKUP($F253,Productos!$A$2:$A1001,Productos!M$2:M1001,"")*$G253,"")</f>
        <v/>
      </c>
      <c r="U253" s="179" t="str">
        <f t="array" ref="U253">IF($F253&lt;&gt;"",XLOOKUP($F253,Productos!$A:$A,Productos!N:N,"Revisar"),"")</f>
        <v/>
      </c>
      <c r="V253" s="179" t="str">
        <f t="array" ref="V253">IF($F253&lt;&gt;"", XLOOKUP($F253,Productos!$A$2:$A1001,Productos!O$2:O1001,"")*$G253,"")</f>
        <v/>
      </c>
      <c r="W253" s="179" t="str">
        <f t="array" ref="W253">IF($F253&lt;&gt;"",XLOOKUP($F253,Productos!$A:$A,Productos!P:P,"Revisar"),"")</f>
        <v/>
      </c>
      <c r="X253" s="179" t="str">
        <f t="array" ref="X253">IF($F253&lt;&gt;"", XLOOKUP($F253,Productos!$A$2:$A1001,Productos!Q$2:Q1001,"")*$G253,"")</f>
        <v/>
      </c>
      <c r="Y253" s="179" t="str">
        <f t="array" ref="Y253">IF($F253&lt;&gt;"",XLOOKUP($F253,Productos!$A:$A,Productos!R:R,"Revisar"),"")</f>
        <v/>
      </c>
      <c r="Z253" s="179" t="str">
        <f t="array" ref="Z253">IF($F253&lt;&gt;"", XLOOKUP($F253,Productos!$A$2:$A1001,Productos!S$2:S1001,"")*$G253,"")</f>
        <v/>
      </c>
      <c r="AA253" s="179" t="str">
        <f t="array" ref="AA253">IF($F253&lt;&gt;"",XLOOKUP($F253,Productos!$A:$A,Productos!T:T,"Revisar"),"")</f>
        <v/>
      </c>
      <c r="AB253" s="179" t="str">
        <f t="array" ref="AB253">IF($F253&lt;&gt;"", XLOOKUP($F253,Productos!$A$2:$A1001,Productos!U$2:U1001,"")*$G253,"")</f>
        <v/>
      </c>
      <c r="AC253" s="179" t="str">
        <f t="array" ref="AC253">IF($F253&lt;&gt;"",XLOOKUP($F253,Productos!$A:$A,Productos!V:V,"Revisar"),"")</f>
        <v/>
      </c>
      <c r="AD253" s="179" t="str">
        <f t="array" ref="AD253">IF($F253&lt;&gt;"", XLOOKUP($F253,Productos!$A$2:$A1001,Productos!W$2:W1001,"")*$G253,"")</f>
        <v/>
      </c>
      <c r="AE253" s="179" t="str">
        <f t="array" ref="AE253">IF($F253&lt;&gt;"",XLOOKUP($F253,Productos!$A:$A,Productos!X:X,"Revisar"),"")</f>
        <v/>
      </c>
      <c r="AF253" s="179" t="str">
        <f t="array" ref="AF253">IF($F253&lt;&gt;"", XLOOKUP($F253,Productos!$A$2:$A1001,Productos!Y$2:Y1001,"")*$G253,"")</f>
        <v/>
      </c>
      <c r="AG253" s="179" t="str">
        <f t="array" ref="AG253">IF($F253&lt;&gt;"",XLOOKUP($F253,Productos!$A:$A,Productos!Z:Z,"Revisar"),"")</f>
        <v/>
      </c>
      <c r="AH253" s="179" t="str">
        <f t="array" ref="AH253">IF($F253&lt;&gt;"", XLOOKUP($F253,Productos!$A$2:$A1001,Productos!AA$2:AA1001,"")*$G253,"")</f>
        <v/>
      </c>
      <c r="AI253" s="179" t="str">
        <f t="array" ref="AI253">IF($F253&lt;&gt;"",XLOOKUP($F253,Productos!$A:$A,Productos!AB:AB,"Revisar"),"")</f>
        <v/>
      </c>
      <c r="AJ253" s="179" t="str">
        <f t="array" ref="AJ253">IF($F253&lt;&gt;"", XLOOKUP($F253,Productos!$A$2:$A1001,Productos!AC$2:AC1001,"")*$G253,"")</f>
        <v/>
      </c>
      <c r="AK253" s="179" t="str">
        <f t="array" ref="AK253">IF($F253&lt;&gt;"",XLOOKUP($F253,Productos!$A:$A,Productos!AD:AD,"Revisar"),"")</f>
        <v/>
      </c>
      <c r="AL253" s="179" t="str">
        <f t="array" ref="AL253">IF($F253&lt;&gt;"", XLOOKUP($F253,Productos!$A$2:$A1001,Productos!AE$2:AE1001,"")*$G253,"")</f>
        <v/>
      </c>
      <c r="AM253" s="179" t="str">
        <f t="array" ref="AM253">IF($F253&lt;&gt;"",XLOOKUP($F253,Productos!$A:$A,Productos!AF:AF,"Revisar"),"")</f>
        <v/>
      </c>
      <c r="AN253" s="179" t="str">
        <f t="array" ref="AN253">IF($F253&lt;&gt;"", XLOOKUP($F253,Productos!$A$2:$A1001,Productos!AG$2:AG1001,"")*$G253,"")</f>
        <v/>
      </c>
      <c r="AO253" s="179" t="str">
        <f t="array" ref="AO253">IF($F253&lt;&gt;"",XLOOKUP($F253,Productos!$A:$A,Productos!AH:AH,"Revisar"),"")</f>
        <v/>
      </c>
      <c r="AP253" s="179" t="str">
        <f t="array" ref="AP253">IF($F253&lt;&gt;"", XLOOKUP($F253,Productos!$A$2:$A1001,Productos!AI$2:AI1001,"")*$G253,"")</f>
        <v/>
      </c>
      <c r="AQ253" s="179" t="str">
        <f t="array" ref="AQ253">IF($F253&lt;&gt;"",XLOOKUP($F253,Productos!$A:$A,Productos!AJ:AJ,"Revisar"),"")</f>
        <v/>
      </c>
      <c r="AR253" s="179" t="str">
        <f t="array" ref="AR253">IF($F253&lt;&gt;"", XLOOKUP($F253,Productos!$A$2:$A1001,Productos!AK$2:AK1001,"")*$G253,"")</f>
        <v/>
      </c>
      <c r="AS253" s="179" t="str">
        <f t="array" ref="AS253">IF($F253&lt;&gt;"",XLOOKUP($F253,Productos!$A:$A,Productos!AL:AL,"Revisar"),"")</f>
        <v/>
      </c>
      <c r="AT253" s="179" t="str">
        <f t="array" ref="AT253">IF($F253&lt;&gt;"", XLOOKUP($F253,Productos!$A$2:$A1001,Productos!AM$2:AM1001,"")*$G253,"")</f>
        <v/>
      </c>
      <c r="AU253" s="179" t="str">
        <f t="array" ref="AU253">IF($F253&lt;&gt;"",XLOOKUP($F253,Productos!$A:$A,Productos!AN:AN,"Revisar"),"")</f>
        <v/>
      </c>
      <c r="AV253" s="179" t="str">
        <f t="array" ref="AV253">IF($F253&lt;&gt;"", XLOOKUP($F253,Productos!$A$2:$A1001,Productos!AO$2:AO1001,"")*$G253,"")</f>
        <v/>
      </c>
      <c r="AW253" s="179" t="str">
        <f t="array" ref="AW253">IF($F253&lt;&gt;"",XLOOKUP($F253,Productos!$A:$A,Productos!AP:AP,"Revisar"),"")</f>
        <v/>
      </c>
      <c r="AX253" s="179" t="str">
        <f t="array" ref="AX253">IF($F253&lt;&gt;"", XLOOKUP($F253,Productos!$A$2:$A1001,Productos!AQ$2:AQ1001,"")*$G253,"")</f>
        <v/>
      </c>
      <c r="AY253" s="179" t="str">
        <f t="array" ref="AY253">IF($F253&lt;&gt;"",XLOOKUP($F253,Productos!$A:$A,Productos!AR:AR,"Revisar"),"")</f>
        <v/>
      </c>
      <c r="AZ253" s="179" t="str">
        <f t="array" ref="AZ253">IF($F253&lt;&gt;"", XLOOKUP($F253,Productos!$A$2:$A1001,Productos!AS$2:AS1001,"")*$G253,"")</f>
        <v/>
      </c>
      <c r="BA253" s="179" t="str">
        <f t="array" ref="BA253">IF($F253&lt;&gt;"",XLOOKUP($F253,Productos!$A:$A,Productos!AT:AT,"Revisar"),"")</f>
        <v/>
      </c>
      <c r="BB253" s="179" t="str">
        <f t="array" ref="BB253">IF($F253&lt;&gt;"", XLOOKUP($F253,Productos!$A$2:$A1001,Productos!AU$2:AU1001,"")*$G253,"")</f>
        <v/>
      </c>
      <c r="BC253" s="179" t="str">
        <f t="array" ref="BC253">IF($F253&lt;&gt;"",XLOOKUP($F253,Productos!$A:$A,Productos!AV:AV,"Revisar"),"")</f>
        <v/>
      </c>
      <c r="BD253" s="179" t="str">
        <f t="array" ref="BD253">IF($F253&lt;&gt;"", XLOOKUP($F253,Productos!$A$2:$A1001,Productos!AW$2:AW1001,"")*$G253,"")</f>
        <v/>
      </c>
      <c r="BE253" s="179" t="str">
        <f t="array" ref="BE253">IF($F253&lt;&gt;"",XLOOKUP($F253,Productos!$A:$A,Productos!AX:AX,"Revisar"),"")</f>
        <v/>
      </c>
      <c r="BF253" s="179" t="str">
        <f t="array" ref="BF253">IF($F253&lt;&gt;"", XLOOKUP($F253,Productos!$A$2:$A1001,Productos!AY$2:AY1001,"")*$G253,"")</f>
        <v/>
      </c>
      <c r="BG253" s="179" t="str">
        <f t="array" ref="BG253">IF($F253&lt;&gt;"",XLOOKUP($F253,Productos!$A:$A,Productos!AZ:AZ,"Revisar"),"")</f>
        <v/>
      </c>
      <c r="BH253" s="179" t="str">
        <f t="array" ref="BH253">IF($F253&lt;&gt;"", XLOOKUP($F253,Productos!$A$2:$A1001,Productos!BA$2:BA1001,"")*$G253,"")</f>
        <v/>
      </c>
      <c r="BI253" s="179" t="str">
        <f t="array" ref="BI253">IF($F253&lt;&gt;"",XLOOKUP($F253,Productos!$A:$A,Productos!BB:BB,"Revisar"),"")</f>
        <v/>
      </c>
      <c r="BJ253" s="179" t="str">
        <f t="array" ref="BJ253">IF($F253&lt;&gt;"", XLOOKUP($F253,Productos!$A$2:$A1001,Productos!BC$2:BC1001,"")*$G253,"")</f>
        <v/>
      </c>
      <c r="BK253" s="179" t="str">
        <f t="array" ref="BK253">IF($F253&lt;&gt;"",XLOOKUP($F253,Productos!$A:$A,Productos!BD:BD,"Revisar"),"")</f>
        <v/>
      </c>
      <c r="BL253" s="179" t="str">
        <f t="array" ref="BL253">IF($F253&lt;&gt;"", XLOOKUP($F253,Productos!$A$2:$A1001,Productos!BE$2:BE1001,"")*$G253,"")</f>
        <v/>
      </c>
      <c r="BM253" s="179" t="str">
        <f t="array" ref="BM253">IF($F253&lt;&gt;"",XLOOKUP($F253,Productos!$A:$A,Productos!BF:BF,"Revisar"),"")</f>
        <v/>
      </c>
      <c r="BN253" s="179" t="str">
        <f t="array" ref="BN253">IF($F253&lt;&gt;"", XLOOKUP($F253,Productos!$A$2:$A1001,Productos!BG$2:BG1001,"")*$G253,"")</f>
        <v/>
      </c>
      <c r="BO253" s="179" t="str">
        <f t="array" ref="BO253">IF($F253&lt;&gt;"",XLOOKUP($F253,Productos!$A:$A,Productos!BH:BH,"Revisar"),"")</f>
        <v/>
      </c>
      <c r="BP253" s="179" t="str">
        <f t="array" ref="BP253">IF($F253&lt;&gt;"", XLOOKUP($F253,Productos!$A$2:$A1001,Productos!BI$2:BI1001,"")*$G253,"")</f>
        <v/>
      </c>
      <c r="BQ253" s="179" t="str">
        <f t="array" ref="BQ253">IF($F253&lt;&gt;"",XLOOKUP($F253,Productos!$A:$A,Productos!BJ:BJ,"Revisar"),"")</f>
        <v/>
      </c>
      <c r="BR253" s="179" t="str">
        <f t="array" ref="BR253">IF($F253&lt;&gt;"", XLOOKUP($F253,Productos!$A$2:$A1001,Productos!BK$2:BK1001,"")*$G253,"")</f>
        <v/>
      </c>
      <c r="BS253" s="179" t="str">
        <f t="array" ref="BS253">IF($F253&lt;&gt;"",XLOOKUP($F253,Productos!$A:$A,Productos!BL:BL,"Revisar"),"")</f>
        <v/>
      </c>
      <c r="BT253" s="179" t="str">
        <f t="array" ref="BT253">IF($F253&lt;&gt;"", XLOOKUP($F253,Productos!$A$2:$A1001,Productos!BM$2:BM1001,"")*$G253,"")</f>
        <v/>
      </c>
      <c r="BU253" s="179" t="str">
        <f t="array" ref="BU253">IF($F253&lt;&gt;"",XLOOKUP($F253,Productos!$A:$A,Productos!BN:BN,"Revisar"),"")</f>
        <v/>
      </c>
      <c r="BV253" s="179" t="str">
        <f t="array" ref="BV253">IF($F253&lt;&gt;"", XLOOKUP($F253,Productos!$A$2:$A1001,Productos!BO$2:BO1001,"")*$G253,"")</f>
        <v/>
      </c>
      <c r="BW253" s="179" t="str">
        <f t="array" ref="BW253">IF($F253&lt;&gt;"",XLOOKUP($F253,Productos!$A:$A,Productos!BP:BP,"Revisar"),"")</f>
        <v/>
      </c>
      <c r="BX253" s="179" t="str">
        <f t="array" ref="BX253">IF($F253&lt;&gt;"", XLOOKUP($F253,Productos!$A$2:$A1001,Productos!BQ$2:BQ1001,"")*$G253,"")</f>
        <v/>
      </c>
      <c r="BY253" s="179" t="str">
        <f t="array" ref="BY253">IF($F253&lt;&gt;"",XLOOKUP($F253,Productos!$A:$A,Productos!BR:BR,"Revisar"),"")</f>
        <v/>
      </c>
      <c r="BZ253" s="179" t="str">
        <f t="array" ref="BZ253">IF($F253&lt;&gt;"", XLOOKUP($F253,Productos!$A$2:$A1001,Productos!BS$2:BS1001,"")*$G253,"")</f>
        <v/>
      </c>
    </row>
    <row r="254">
      <c r="A254" s="180"/>
      <c r="B254" s="181"/>
      <c r="C254" s="182"/>
      <c r="D254" s="182"/>
      <c r="E254" s="185"/>
      <c r="F254" s="186"/>
      <c r="G254" s="187"/>
      <c r="H254" s="186"/>
      <c r="I254" s="179" t="str">
        <f t="array" ref="I254">IF($F254&lt;&gt;"",XLOOKUP($F254,Productos!$A:$A,Productos!B:B,"Revisar"),"")</f>
        <v/>
      </c>
      <c r="J254" s="179" t="str">
        <f t="array" ref="J254">IF($F254&lt;&gt;"", XLOOKUP($F254,Productos!$A$2:$A1001,Productos!C$2:C1001,"")*$G254,"")</f>
        <v/>
      </c>
      <c r="K254" s="179" t="str">
        <f t="array" ref="K254">IF($F254&lt;&gt;"",XLOOKUP($F254,Productos!$A:$A,Productos!D:D,"Revisar"),"")</f>
        <v/>
      </c>
      <c r="L254" s="179" t="str">
        <f t="array" ref="L254">IF($F254&lt;&gt;"", XLOOKUP($F254,Productos!$A$2:$A1001,Productos!E$2:E1001,"")*$G254,"")</f>
        <v/>
      </c>
      <c r="M254" s="179" t="str">
        <f t="array" ref="M254">IF($F254&lt;&gt;"",XLOOKUP($F254,Productos!$A:$A,Productos!F:F,"Revisar"),"")</f>
        <v/>
      </c>
      <c r="N254" s="179" t="str">
        <f t="array" ref="N254">IF($F254&lt;&gt;"", XLOOKUP($F254,Productos!$A$2:$A1001,Productos!G$2:G1001,"")*$G254,"")</f>
        <v/>
      </c>
      <c r="O254" s="179" t="str">
        <f t="array" ref="O254">IF($F254&lt;&gt;"",XLOOKUP($F254,Productos!$A:$A,Productos!H:H,"Revisar"),"")</f>
        <v/>
      </c>
      <c r="P254" s="179" t="str">
        <f t="array" ref="P254">IF($F254&lt;&gt;"", XLOOKUP($F254,Productos!$A$2:$A1001,Productos!I$2:I1001,"")*$G254,"")</f>
        <v/>
      </c>
      <c r="Q254" s="179" t="str">
        <f t="array" ref="Q254">IF($F254&lt;&gt;"",XLOOKUP($F254,Productos!$A:$A,Productos!J:J,"Revisar"),"")</f>
        <v/>
      </c>
      <c r="R254" s="179" t="str">
        <f t="array" ref="R254">IF($F254&lt;&gt;"", XLOOKUP($F254,Productos!$A$2:$A1001,Productos!K$2:K1001,"")*$G254,"")</f>
        <v/>
      </c>
      <c r="S254" s="179" t="str">
        <f t="array" ref="S254">IF($F254&lt;&gt;"",XLOOKUP($F254,Productos!$A:$A,Productos!L:L,"Revisar"),"")</f>
        <v/>
      </c>
      <c r="T254" s="179" t="str">
        <f t="array" ref="T254">IF($F254&lt;&gt;"", XLOOKUP($F254,Productos!$A$2:$A1001,Productos!M$2:M1001,"")*$G254,"")</f>
        <v/>
      </c>
      <c r="U254" s="179" t="str">
        <f t="array" ref="U254">IF($F254&lt;&gt;"",XLOOKUP($F254,Productos!$A:$A,Productos!N:N,"Revisar"),"")</f>
        <v/>
      </c>
      <c r="V254" s="179" t="str">
        <f t="array" ref="V254">IF($F254&lt;&gt;"", XLOOKUP($F254,Productos!$A$2:$A1001,Productos!O$2:O1001,"")*$G254,"")</f>
        <v/>
      </c>
      <c r="W254" s="179" t="str">
        <f t="array" ref="W254">IF($F254&lt;&gt;"",XLOOKUP($F254,Productos!$A:$A,Productos!P:P,"Revisar"),"")</f>
        <v/>
      </c>
      <c r="X254" s="179" t="str">
        <f t="array" ref="X254">IF($F254&lt;&gt;"", XLOOKUP($F254,Productos!$A$2:$A1001,Productos!Q$2:Q1001,"")*$G254,"")</f>
        <v/>
      </c>
      <c r="Y254" s="179" t="str">
        <f t="array" ref="Y254">IF($F254&lt;&gt;"",XLOOKUP($F254,Productos!$A:$A,Productos!R:R,"Revisar"),"")</f>
        <v/>
      </c>
      <c r="Z254" s="179" t="str">
        <f t="array" ref="Z254">IF($F254&lt;&gt;"", XLOOKUP($F254,Productos!$A$2:$A1001,Productos!S$2:S1001,"")*$G254,"")</f>
        <v/>
      </c>
      <c r="AA254" s="179" t="str">
        <f t="array" ref="AA254">IF($F254&lt;&gt;"",XLOOKUP($F254,Productos!$A:$A,Productos!T:T,"Revisar"),"")</f>
        <v/>
      </c>
      <c r="AB254" s="179" t="str">
        <f t="array" ref="AB254">IF($F254&lt;&gt;"", XLOOKUP($F254,Productos!$A$2:$A1001,Productos!U$2:U1001,"")*$G254,"")</f>
        <v/>
      </c>
      <c r="AC254" s="179" t="str">
        <f t="array" ref="AC254">IF($F254&lt;&gt;"",XLOOKUP($F254,Productos!$A:$A,Productos!V:V,"Revisar"),"")</f>
        <v/>
      </c>
      <c r="AD254" s="179" t="str">
        <f t="array" ref="AD254">IF($F254&lt;&gt;"", XLOOKUP($F254,Productos!$A$2:$A1001,Productos!W$2:W1001,"")*$G254,"")</f>
        <v/>
      </c>
      <c r="AE254" s="179" t="str">
        <f t="array" ref="AE254">IF($F254&lt;&gt;"",XLOOKUP($F254,Productos!$A:$A,Productos!X:X,"Revisar"),"")</f>
        <v/>
      </c>
      <c r="AF254" s="179" t="str">
        <f t="array" ref="AF254">IF($F254&lt;&gt;"", XLOOKUP($F254,Productos!$A$2:$A1001,Productos!Y$2:Y1001,"")*$G254,"")</f>
        <v/>
      </c>
      <c r="AG254" s="179" t="str">
        <f t="array" ref="AG254">IF($F254&lt;&gt;"",XLOOKUP($F254,Productos!$A:$A,Productos!Z:Z,"Revisar"),"")</f>
        <v/>
      </c>
      <c r="AH254" s="179" t="str">
        <f t="array" ref="AH254">IF($F254&lt;&gt;"", XLOOKUP($F254,Productos!$A$2:$A1001,Productos!AA$2:AA1001,"")*$G254,"")</f>
        <v/>
      </c>
      <c r="AI254" s="179" t="str">
        <f t="array" ref="AI254">IF($F254&lt;&gt;"",XLOOKUP($F254,Productos!$A:$A,Productos!AB:AB,"Revisar"),"")</f>
        <v/>
      </c>
      <c r="AJ254" s="179" t="str">
        <f t="array" ref="AJ254">IF($F254&lt;&gt;"", XLOOKUP($F254,Productos!$A$2:$A1001,Productos!AC$2:AC1001,"")*$G254,"")</f>
        <v/>
      </c>
      <c r="AK254" s="179" t="str">
        <f t="array" ref="AK254">IF($F254&lt;&gt;"",XLOOKUP($F254,Productos!$A:$A,Productos!AD:AD,"Revisar"),"")</f>
        <v/>
      </c>
      <c r="AL254" s="179" t="str">
        <f t="array" ref="AL254">IF($F254&lt;&gt;"", XLOOKUP($F254,Productos!$A$2:$A1001,Productos!AE$2:AE1001,"")*$G254,"")</f>
        <v/>
      </c>
      <c r="AM254" s="179" t="str">
        <f t="array" ref="AM254">IF($F254&lt;&gt;"",XLOOKUP($F254,Productos!$A:$A,Productos!AF:AF,"Revisar"),"")</f>
        <v/>
      </c>
      <c r="AN254" s="179" t="str">
        <f t="array" ref="AN254">IF($F254&lt;&gt;"", XLOOKUP($F254,Productos!$A$2:$A1001,Productos!AG$2:AG1001,"")*$G254,"")</f>
        <v/>
      </c>
      <c r="AO254" s="179" t="str">
        <f t="array" ref="AO254">IF($F254&lt;&gt;"",XLOOKUP($F254,Productos!$A:$A,Productos!AH:AH,"Revisar"),"")</f>
        <v/>
      </c>
      <c r="AP254" s="179" t="str">
        <f t="array" ref="AP254">IF($F254&lt;&gt;"", XLOOKUP($F254,Productos!$A$2:$A1001,Productos!AI$2:AI1001,"")*$G254,"")</f>
        <v/>
      </c>
      <c r="AQ254" s="179" t="str">
        <f t="array" ref="AQ254">IF($F254&lt;&gt;"",XLOOKUP($F254,Productos!$A:$A,Productos!AJ:AJ,"Revisar"),"")</f>
        <v/>
      </c>
      <c r="AR254" s="179" t="str">
        <f t="array" ref="AR254">IF($F254&lt;&gt;"", XLOOKUP($F254,Productos!$A$2:$A1001,Productos!AK$2:AK1001,"")*$G254,"")</f>
        <v/>
      </c>
      <c r="AS254" s="179" t="str">
        <f t="array" ref="AS254">IF($F254&lt;&gt;"",XLOOKUP($F254,Productos!$A:$A,Productos!AL:AL,"Revisar"),"")</f>
        <v/>
      </c>
      <c r="AT254" s="179" t="str">
        <f t="array" ref="AT254">IF($F254&lt;&gt;"", XLOOKUP($F254,Productos!$A$2:$A1001,Productos!AM$2:AM1001,"")*$G254,"")</f>
        <v/>
      </c>
      <c r="AU254" s="179" t="str">
        <f t="array" ref="AU254">IF($F254&lt;&gt;"",XLOOKUP($F254,Productos!$A:$A,Productos!AN:AN,"Revisar"),"")</f>
        <v/>
      </c>
      <c r="AV254" s="179" t="str">
        <f t="array" ref="AV254">IF($F254&lt;&gt;"", XLOOKUP($F254,Productos!$A$2:$A1001,Productos!AO$2:AO1001,"")*$G254,"")</f>
        <v/>
      </c>
      <c r="AW254" s="179" t="str">
        <f t="array" ref="AW254">IF($F254&lt;&gt;"",XLOOKUP($F254,Productos!$A:$A,Productos!AP:AP,"Revisar"),"")</f>
        <v/>
      </c>
      <c r="AX254" s="179" t="str">
        <f t="array" ref="AX254">IF($F254&lt;&gt;"", XLOOKUP($F254,Productos!$A$2:$A1001,Productos!AQ$2:AQ1001,"")*$G254,"")</f>
        <v/>
      </c>
      <c r="AY254" s="179" t="str">
        <f t="array" ref="AY254">IF($F254&lt;&gt;"",XLOOKUP($F254,Productos!$A:$A,Productos!AR:AR,"Revisar"),"")</f>
        <v/>
      </c>
      <c r="AZ254" s="179" t="str">
        <f t="array" ref="AZ254">IF($F254&lt;&gt;"", XLOOKUP($F254,Productos!$A$2:$A1001,Productos!AS$2:AS1001,"")*$G254,"")</f>
        <v/>
      </c>
      <c r="BA254" s="179" t="str">
        <f t="array" ref="BA254">IF($F254&lt;&gt;"",XLOOKUP($F254,Productos!$A:$A,Productos!AT:AT,"Revisar"),"")</f>
        <v/>
      </c>
      <c r="BB254" s="179" t="str">
        <f t="array" ref="BB254">IF($F254&lt;&gt;"", XLOOKUP($F254,Productos!$A$2:$A1001,Productos!AU$2:AU1001,"")*$G254,"")</f>
        <v/>
      </c>
      <c r="BC254" s="179" t="str">
        <f t="array" ref="BC254">IF($F254&lt;&gt;"",XLOOKUP($F254,Productos!$A:$A,Productos!AV:AV,"Revisar"),"")</f>
        <v/>
      </c>
      <c r="BD254" s="179" t="str">
        <f t="array" ref="BD254">IF($F254&lt;&gt;"", XLOOKUP($F254,Productos!$A$2:$A1001,Productos!AW$2:AW1001,"")*$G254,"")</f>
        <v/>
      </c>
      <c r="BE254" s="179" t="str">
        <f t="array" ref="BE254">IF($F254&lt;&gt;"",XLOOKUP($F254,Productos!$A:$A,Productos!AX:AX,"Revisar"),"")</f>
        <v/>
      </c>
      <c r="BF254" s="179" t="str">
        <f t="array" ref="BF254">IF($F254&lt;&gt;"", XLOOKUP($F254,Productos!$A$2:$A1001,Productos!AY$2:AY1001,"")*$G254,"")</f>
        <v/>
      </c>
      <c r="BG254" s="179" t="str">
        <f t="array" ref="BG254">IF($F254&lt;&gt;"",XLOOKUP($F254,Productos!$A:$A,Productos!AZ:AZ,"Revisar"),"")</f>
        <v/>
      </c>
      <c r="BH254" s="179" t="str">
        <f t="array" ref="BH254">IF($F254&lt;&gt;"", XLOOKUP($F254,Productos!$A$2:$A1001,Productos!BA$2:BA1001,"")*$G254,"")</f>
        <v/>
      </c>
      <c r="BI254" s="179" t="str">
        <f t="array" ref="BI254">IF($F254&lt;&gt;"",XLOOKUP($F254,Productos!$A:$A,Productos!BB:BB,"Revisar"),"")</f>
        <v/>
      </c>
      <c r="BJ254" s="179" t="str">
        <f t="array" ref="BJ254">IF($F254&lt;&gt;"", XLOOKUP($F254,Productos!$A$2:$A1001,Productos!BC$2:BC1001,"")*$G254,"")</f>
        <v/>
      </c>
      <c r="BK254" s="179" t="str">
        <f t="array" ref="BK254">IF($F254&lt;&gt;"",XLOOKUP($F254,Productos!$A:$A,Productos!BD:BD,"Revisar"),"")</f>
        <v/>
      </c>
      <c r="BL254" s="179" t="str">
        <f t="array" ref="BL254">IF($F254&lt;&gt;"", XLOOKUP($F254,Productos!$A$2:$A1001,Productos!BE$2:BE1001,"")*$G254,"")</f>
        <v/>
      </c>
      <c r="BM254" s="179" t="str">
        <f t="array" ref="BM254">IF($F254&lt;&gt;"",XLOOKUP($F254,Productos!$A:$A,Productos!BF:BF,"Revisar"),"")</f>
        <v/>
      </c>
      <c r="BN254" s="179" t="str">
        <f t="array" ref="BN254">IF($F254&lt;&gt;"", XLOOKUP($F254,Productos!$A$2:$A1001,Productos!BG$2:BG1001,"")*$G254,"")</f>
        <v/>
      </c>
      <c r="BO254" s="179" t="str">
        <f t="array" ref="BO254">IF($F254&lt;&gt;"",XLOOKUP($F254,Productos!$A:$A,Productos!BH:BH,"Revisar"),"")</f>
        <v/>
      </c>
      <c r="BP254" s="179" t="str">
        <f t="array" ref="BP254">IF($F254&lt;&gt;"", XLOOKUP($F254,Productos!$A$2:$A1001,Productos!BI$2:BI1001,"")*$G254,"")</f>
        <v/>
      </c>
      <c r="BQ254" s="179" t="str">
        <f t="array" ref="BQ254">IF($F254&lt;&gt;"",XLOOKUP($F254,Productos!$A:$A,Productos!BJ:BJ,"Revisar"),"")</f>
        <v/>
      </c>
      <c r="BR254" s="179" t="str">
        <f t="array" ref="BR254">IF($F254&lt;&gt;"", XLOOKUP($F254,Productos!$A$2:$A1001,Productos!BK$2:BK1001,"")*$G254,"")</f>
        <v/>
      </c>
      <c r="BS254" s="179" t="str">
        <f t="array" ref="BS254">IF($F254&lt;&gt;"",XLOOKUP($F254,Productos!$A:$A,Productos!BL:BL,"Revisar"),"")</f>
        <v/>
      </c>
      <c r="BT254" s="179" t="str">
        <f t="array" ref="BT254">IF($F254&lt;&gt;"", XLOOKUP($F254,Productos!$A$2:$A1001,Productos!BM$2:BM1001,"")*$G254,"")</f>
        <v/>
      </c>
      <c r="BU254" s="179" t="str">
        <f t="array" ref="BU254">IF($F254&lt;&gt;"",XLOOKUP($F254,Productos!$A:$A,Productos!BN:BN,"Revisar"),"")</f>
        <v/>
      </c>
      <c r="BV254" s="179" t="str">
        <f t="array" ref="BV254">IF($F254&lt;&gt;"", XLOOKUP($F254,Productos!$A$2:$A1001,Productos!BO$2:BO1001,"")*$G254,"")</f>
        <v/>
      </c>
      <c r="BW254" s="179" t="str">
        <f t="array" ref="BW254">IF($F254&lt;&gt;"",XLOOKUP($F254,Productos!$A:$A,Productos!BP:BP,"Revisar"),"")</f>
        <v/>
      </c>
      <c r="BX254" s="179" t="str">
        <f t="array" ref="BX254">IF($F254&lt;&gt;"", XLOOKUP($F254,Productos!$A$2:$A1001,Productos!BQ$2:BQ1001,"")*$G254,"")</f>
        <v/>
      </c>
      <c r="BY254" s="179" t="str">
        <f t="array" ref="BY254">IF($F254&lt;&gt;"",XLOOKUP($F254,Productos!$A:$A,Productos!BR:BR,"Revisar"),"")</f>
        <v/>
      </c>
      <c r="BZ254" s="179" t="str">
        <f t="array" ref="BZ254">IF($F254&lt;&gt;"", XLOOKUP($F254,Productos!$A$2:$A1001,Productos!BS$2:BS1001,"")*$G254,"")</f>
        <v/>
      </c>
    </row>
    <row r="255">
      <c r="A255" s="180"/>
      <c r="B255" s="181"/>
      <c r="C255" s="182"/>
      <c r="D255" s="182"/>
      <c r="E255" s="185"/>
      <c r="F255" s="186"/>
      <c r="G255" s="187"/>
      <c r="H255" s="186"/>
      <c r="I255" s="179" t="str">
        <f t="array" ref="I255">IF($F255&lt;&gt;"",XLOOKUP($F255,Productos!$A:$A,Productos!B:B,"Revisar"),"")</f>
        <v/>
      </c>
      <c r="J255" s="179" t="str">
        <f t="array" ref="J255">IF($F255&lt;&gt;"", XLOOKUP($F255,Productos!$A$2:$A1001,Productos!C$2:C1001,"")*$G255,"")</f>
        <v/>
      </c>
      <c r="K255" s="179" t="str">
        <f t="array" ref="K255">IF($F255&lt;&gt;"",XLOOKUP($F255,Productos!$A:$A,Productos!D:D,"Revisar"),"")</f>
        <v/>
      </c>
      <c r="L255" s="179" t="str">
        <f t="array" ref="L255">IF($F255&lt;&gt;"", XLOOKUP($F255,Productos!$A$2:$A1001,Productos!E$2:E1001,"")*$G255,"")</f>
        <v/>
      </c>
      <c r="M255" s="179" t="str">
        <f t="array" ref="M255">IF($F255&lt;&gt;"",XLOOKUP($F255,Productos!$A:$A,Productos!F:F,"Revisar"),"")</f>
        <v/>
      </c>
      <c r="N255" s="179" t="str">
        <f t="array" ref="N255">IF($F255&lt;&gt;"", XLOOKUP($F255,Productos!$A$2:$A1001,Productos!G$2:G1001,"")*$G255,"")</f>
        <v/>
      </c>
      <c r="O255" s="179" t="str">
        <f t="array" ref="O255">IF($F255&lt;&gt;"",XLOOKUP($F255,Productos!$A:$A,Productos!H:H,"Revisar"),"")</f>
        <v/>
      </c>
      <c r="P255" s="179" t="str">
        <f t="array" ref="P255">IF($F255&lt;&gt;"", XLOOKUP($F255,Productos!$A$2:$A1001,Productos!I$2:I1001,"")*$G255,"")</f>
        <v/>
      </c>
      <c r="Q255" s="179" t="str">
        <f t="array" ref="Q255">IF($F255&lt;&gt;"",XLOOKUP($F255,Productos!$A:$A,Productos!J:J,"Revisar"),"")</f>
        <v/>
      </c>
      <c r="R255" s="179" t="str">
        <f t="array" ref="R255">IF($F255&lt;&gt;"", XLOOKUP($F255,Productos!$A$2:$A1001,Productos!K$2:K1001,"")*$G255,"")</f>
        <v/>
      </c>
      <c r="S255" s="179" t="str">
        <f t="array" ref="S255">IF($F255&lt;&gt;"",XLOOKUP($F255,Productos!$A:$A,Productos!L:L,"Revisar"),"")</f>
        <v/>
      </c>
      <c r="T255" s="179" t="str">
        <f t="array" ref="T255">IF($F255&lt;&gt;"", XLOOKUP($F255,Productos!$A$2:$A1001,Productos!M$2:M1001,"")*$G255,"")</f>
        <v/>
      </c>
      <c r="U255" s="179" t="str">
        <f t="array" ref="U255">IF($F255&lt;&gt;"",XLOOKUP($F255,Productos!$A:$A,Productos!N:N,"Revisar"),"")</f>
        <v/>
      </c>
      <c r="V255" s="179" t="str">
        <f t="array" ref="V255">IF($F255&lt;&gt;"", XLOOKUP($F255,Productos!$A$2:$A1001,Productos!O$2:O1001,"")*$G255,"")</f>
        <v/>
      </c>
      <c r="W255" s="179" t="str">
        <f t="array" ref="W255">IF($F255&lt;&gt;"",XLOOKUP($F255,Productos!$A:$A,Productos!P:P,"Revisar"),"")</f>
        <v/>
      </c>
      <c r="X255" s="179" t="str">
        <f t="array" ref="X255">IF($F255&lt;&gt;"", XLOOKUP($F255,Productos!$A$2:$A1001,Productos!Q$2:Q1001,"")*$G255,"")</f>
        <v/>
      </c>
      <c r="Y255" s="179" t="str">
        <f t="array" ref="Y255">IF($F255&lt;&gt;"",XLOOKUP($F255,Productos!$A:$A,Productos!R:R,"Revisar"),"")</f>
        <v/>
      </c>
      <c r="Z255" s="179" t="str">
        <f t="array" ref="Z255">IF($F255&lt;&gt;"", XLOOKUP($F255,Productos!$A$2:$A1001,Productos!S$2:S1001,"")*$G255,"")</f>
        <v/>
      </c>
      <c r="AA255" s="179" t="str">
        <f t="array" ref="AA255">IF($F255&lt;&gt;"",XLOOKUP($F255,Productos!$A:$A,Productos!T:T,"Revisar"),"")</f>
        <v/>
      </c>
      <c r="AB255" s="179" t="str">
        <f t="array" ref="AB255">IF($F255&lt;&gt;"", XLOOKUP($F255,Productos!$A$2:$A1001,Productos!U$2:U1001,"")*$G255,"")</f>
        <v/>
      </c>
      <c r="AC255" s="179" t="str">
        <f t="array" ref="AC255">IF($F255&lt;&gt;"",XLOOKUP($F255,Productos!$A:$A,Productos!V:V,"Revisar"),"")</f>
        <v/>
      </c>
      <c r="AD255" s="179" t="str">
        <f t="array" ref="AD255">IF($F255&lt;&gt;"", XLOOKUP($F255,Productos!$A$2:$A1001,Productos!W$2:W1001,"")*$G255,"")</f>
        <v/>
      </c>
      <c r="AE255" s="179" t="str">
        <f t="array" ref="AE255">IF($F255&lt;&gt;"",XLOOKUP($F255,Productos!$A:$A,Productos!X:X,"Revisar"),"")</f>
        <v/>
      </c>
      <c r="AF255" s="179" t="str">
        <f t="array" ref="AF255">IF($F255&lt;&gt;"", XLOOKUP($F255,Productos!$A$2:$A1001,Productos!Y$2:Y1001,"")*$G255,"")</f>
        <v/>
      </c>
      <c r="AG255" s="179" t="str">
        <f t="array" ref="AG255">IF($F255&lt;&gt;"",XLOOKUP($F255,Productos!$A:$A,Productos!Z:Z,"Revisar"),"")</f>
        <v/>
      </c>
      <c r="AH255" s="179" t="str">
        <f t="array" ref="AH255">IF($F255&lt;&gt;"", XLOOKUP($F255,Productos!$A$2:$A1001,Productos!AA$2:AA1001,"")*$G255,"")</f>
        <v/>
      </c>
      <c r="AI255" s="179" t="str">
        <f t="array" ref="AI255">IF($F255&lt;&gt;"",XLOOKUP($F255,Productos!$A:$A,Productos!AB:AB,"Revisar"),"")</f>
        <v/>
      </c>
      <c r="AJ255" s="179" t="str">
        <f t="array" ref="AJ255">IF($F255&lt;&gt;"", XLOOKUP($F255,Productos!$A$2:$A1001,Productos!AC$2:AC1001,"")*$G255,"")</f>
        <v/>
      </c>
      <c r="AK255" s="179" t="str">
        <f t="array" ref="AK255">IF($F255&lt;&gt;"",XLOOKUP($F255,Productos!$A:$A,Productos!AD:AD,"Revisar"),"")</f>
        <v/>
      </c>
      <c r="AL255" s="179" t="str">
        <f t="array" ref="AL255">IF($F255&lt;&gt;"", XLOOKUP($F255,Productos!$A$2:$A1001,Productos!AE$2:AE1001,"")*$G255,"")</f>
        <v/>
      </c>
      <c r="AM255" s="179" t="str">
        <f t="array" ref="AM255">IF($F255&lt;&gt;"",XLOOKUP($F255,Productos!$A:$A,Productos!AF:AF,"Revisar"),"")</f>
        <v/>
      </c>
      <c r="AN255" s="179" t="str">
        <f t="array" ref="AN255">IF($F255&lt;&gt;"", XLOOKUP($F255,Productos!$A$2:$A1001,Productos!AG$2:AG1001,"")*$G255,"")</f>
        <v/>
      </c>
      <c r="AO255" s="179" t="str">
        <f t="array" ref="AO255">IF($F255&lt;&gt;"",XLOOKUP($F255,Productos!$A:$A,Productos!AH:AH,"Revisar"),"")</f>
        <v/>
      </c>
      <c r="AP255" s="179" t="str">
        <f t="array" ref="AP255">IF($F255&lt;&gt;"", XLOOKUP($F255,Productos!$A$2:$A1001,Productos!AI$2:AI1001,"")*$G255,"")</f>
        <v/>
      </c>
      <c r="AQ255" s="179" t="str">
        <f t="array" ref="AQ255">IF($F255&lt;&gt;"",XLOOKUP($F255,Productos!$A:$A,Productos!AJ:AJ,"Revisar"),"")</f>
        <v/>
      </c>
      <c r="AR255" s="179" t="str">
        <f t="array" ref="AR255">IF($F255&lt;&gt;"", XLOOKUP($F255,Productos!$A$2:$A1001,Productos!AK$2:AK1001,"")*$G255,"")</f>
        <v/>
      </c>
      <c r="AS255" s="179" t="str">
        <f t="array" ref="AS255">IF($F255&lt;&gt;"",XLOOKUP($F255,Productos!$A:$A,Productos!AL:AL,"Revisar"),"")</f>
        <v/>
      </c>
      <c r="AT255" s="179" t="str">
        <f t="array" ref="AT255">IF($F255&lt;&gt;"", XLOOKUP($F255,Productos!$A$2:$A1001,Productos!AM$2:AM1001,"")*$G255,"")</f>
        <v/>
      </c>
      <c r="AU255" s="179" t="str">
        <f t="array" ref="AU255">IF($F255&lt;&gt;"",XLOOKUP($F255,Productos!$A:$A,Productos!AN:AN,"Revisar"),"")</f>
        <v/>
      </c>
      <c r="AV255" s="179" t="str">
        <f t="array" ref="AV255">IF($F255&lt;&gt;"", XLOOKUP($F255,Productos!$A$2:$A1001,Productos!AO$2:AO1001,"")*$G255,"")</f>
        <v/>
      </c>
      <c r="AW255" s="179" t="str">
        <f t="array" ref="AW255">IF($F255&lt;&gt;"",XLOOKUP($F255,Productos!$A:$A,Productos!AP:AP,"Revisar"),"")</f>
        <v/>
      </c>
      <c r="AX255" s="179" t="str">
        <f t="array" ref="AX255">IF($F255&lt;&gt;"", XLOOKUP($F255,Productos!$A$2:$A1001,Productos!AQ$2:AQ1001,"")*$G255,"")</f>
        <v/>
      </c>
      <c r="AY255" s="179" t="str">
        <f t="array" ref="AY255">IF($F255&lt;&gt;"",XLOOKUP($F255,Productos!$A:$A,Productos!AR:AR,"Revisar"),"")</f>
        <v/>
      </c>
      <c r="AZ255" s="179" t="str">
        <f t="array" ref="AZ255">IF($F255&lt;&gt;"", XLOOKUP($F255,Productos!$A$2:$A1001,Productos!AS$2:AS1001,"")*$G255,"")</f>
        <v/>
      </c>
      <c r="BA255" s="179" t="str">
        <f t="array" ref="BA255">IF($F255&lt;&gt;"",XLOOKUP($F255,Productos!$A:$A,Productos!AT:AT,"Revisar"),"")</f>
        <v/>
      </c>
      <c r="BB255" s="179" t="str">
        <f t="array" ref="BB255">IF($F255&lt;&gt;"", XLOOKUP($F255,Productos!$A$2:$A1001,Productos!AU$2:AU1001,"")*$G255,"")</f>
        <v/>
      </c>
      <c r="BC255" s="179" t="str">
        <f t="array" ref="BC255">IF($F255&lt;&gt;"",XLOOKUP($F255,Productos!$A:$A,Productos!AV:AV,"Revisar"),"")</f>
        <v/>
      </c>
      <c r="BD255" s="179" t="str">
        <f t="array" ref="BD255">IF($F255&lt;&gt;"", XLOOKUP($F255,Productos!$A$2:$A1001,Productos!AW$2:AW1001,"")*$G255,"")</f>
        <v/>
      </c>
      <c r="BE255" s="179" t="str">
        <f t="array" ref="BE255">IF($F255&lt;&gt;"",XLOOKUP($F255,Productos!$A:$A,Productos!AX:AX,"Revisar"),"")</f>
        <v/>
      </c>
      <c r="BF255" s="179" t="str">
        <f t="array" ref="BF255">IF($F255&lt;&gt;"", XLOOKUP($F255,Productos!$A$2:$A1001,Productos!AY$2:AY1001,"")*$G255,"")</f>
        <v/>
      </c>
      <c r="BG255" s="179" t="str">
        <f t="array" ref="BG255">IF($F255&lt;&gt;"",XLOOKUP($F255,Productos!$A:$A,Productos!AZ:AZ,"Revisar"),"")</f>
        <v/>
      </c>
      <c r="BH255" s="179" t="str">
        <f t="array" ref="BH255">IF($F255&lt;&gt;"", XLOOKUP($F255,Productos!$A$2:$A1001,Productos!BA$2:BA1001,"")*$G255,"")</f>
        <v/>
      </c>
      <c r="BI255" s="179" t="str">
        <f t="array" ref="BI255">IF($F255&lt;&gt;"",XLOOKUP($F255,Productos!$A:$A,Productos!BB:BB,"Revisar"),"")</f>
        <v/>
      </c>
      <c r="BJ255" s="179" t="str">
        <f t="array" ref="BJ255">IF($F255&lt;&gt;"", XLOOKUP($F255,Productos!$A$2:$A1001,Productos!BC$2:BC1001,"")*$G255,"")</f>
        <v/>
      </c>
      <c r="BK255" s="179" t="str">
        <f t="array" ref="BK255">IF($F255&lt;&gt;"",XLOOKUP($F255,Productos!$A:$A,Productos!BD:BD,"Revisar"),"")</f>
        <v/>
      </c>
      <c r="BL255" s="179" t="str">
        <f t="array" ref="BL255">IF($F255&lt;&gt;"", XLOOKUP($F255,Productos!$A$2:$A1001,Productos!BE$2:BE1001,"")*$G255,"")</f>
        <v/>
      </c>
      <c r="BM255" s="179" t="str">
        <f t="array" ref="BM255">IF($F255&lt;&gt;"",XLOOKUP($F255,Productos!$A:$A,Productos!BF:BF,"Revisar"),"")</f>
        <v/>
      </c>
      <c r="BN255" s="179" t="str">
        <f t="array" ref="BN255">IF($F255&lt;&gt;"", XLOOKUP($F255,Productos!$A$2:$A1001,Productos!BG$2:BG1001,"")*$G255,"")</f>
        <v/>
      </c>
      <c r="BO255" s="179" t="str">
        <f t="array" ref="BO255">IF($F255&lt;&gt;"",XLOOKUP($F255,Productos!$A:$A,Productos!BH:BH,"Revisar"),"")</f>
        <v/>
      </c>
      <c r="BP255" s="179" t="str">
        <f t="array" ref="BP255">IF($F255&lt;&gt;"", XLOOKUP($F255,Productos!$A$2:$A1001,Productos!BI$2:BI1001,"")*$G255,"")</f>
        <v/>
      </c>
      <c r="BQ255" s="179" t="str">
        <f t="array" ref="BQ255">IF($F255&lt;&gt;"",XLOOKUP($F255,Productos!$A:$A,Productos!BJ:BJ,"Revisar"),"")</f>
        <v/>
      </c>
      <c r="BR255" s="179" t="str">
        <f t="array" ref="BR255">IF($F255&lt;&gt;"", XLOOKUP($F255,Productos!$A$2:$A1001,Productos!BK$2:BK1001,"")*$G255,"")</f>
        <v/>
      </c>
      <c r="BS255" s="179" t="str">
        <f t="array" ref="BS255">IF($F255&lt;&gt;"",XLOOKUP($F255,Productos!$A:$A,Productos!BL:BL,"Revisar"),"")</f>
        <v/>
      </c>
      <c r="BT255" s="179" t="str">
        <f t="array" ref="BT255">IF($F255&lt;&gt;"", XLOOKUP($F255,Productos!$A$2:$A1001,Productos!BM$2:BM1001,"")*$G255,"")</f>
        <v/>
      </c>
      <c r="BU255" s="179" t="str">
        <f t="array" ref="BU255">IF($F255&lt;&gt;"",XLOOKUP($F255,Productos!$A:$A,Productos!BN:BN,"Revisar"),"")</f>
        <v/>
      </c>
      <c r="BV255" s="179" t="str">
        <f t="array" ref="BV255">IF($F255&lt;&gt;"", XLOOKUP($F255,Productos!$A$2:$A1001,Productos!BO$2:BO1001,"")*$G255,"")</f>
        <v/>
      </c>
      <c r="BW255" s="179" t="str">
        <f t="array" ref="BW255">IF($F255&lt;&gt;"",XLOOKUP($F255,Productos!$A:$A,Productos!BP:BP,"Revisar"),"")</f>
        <v/>
      </c>
      <c r="BX255" s="179" t="str">
        <f t="array" ref="BX255">IF($F255&lt;&gt;"", XLOOKUP($F255,Productos!$A$2:$A1001,Productos!BQ$2:BQ1001,"")*$G255,"")</f>
        <v/>
      </c>
      <c r="BY255" s="179" t="str">
        <f t="array" ref="BY255">IF($F255&lt;&gt;"",XLOOKUP($F255,Productos!$A:$A,Productos!BR:BR,"Revisar"),"")</f>
        <v/>
      </c>
      <c r="BZ255" s="179" t="str">
        <f t="array" ref="BZ255">IF($F255&lt;&gt;"", XLOOKUP($F255,Productos!$A$2:$A1001,Productos!BS$2:BS1001,"")*$G255,"")</f>
        <v/>
      </c>
    </row>
    <row r="256">
      <c r="A256" s="180"/>
      <c r="B256" s="181"/>
      <c r="C256" s="182"/>
      <c r="D256" s="182"/>
      <c r="E256" s="185"/>
      <c r="F256" s="186"/>
      <c r="G256" s="187"/>
      <c r="H256" s="186"/>
      <c r="I256" s="179" t="str">
        <f t="array" ref="I256">IF($F256&lt;&gt;"",XLOOKUP($F256,Productos!$A:$A,Productos!B:B,"Revisar"),"")</f>
        <v/>
      </c>
      <c r="J256" s="179" t="str">
        <f t="array" ref="J256">IF($F256&lt;&gt;"", XLOOKUP($F256,Productos!$A$2:$A1001,Productos!C$2:C1001,"")*$G256,"")</f>
        <v/>
      </c>
      <c r="K256" s="179" t="str">
        <f t="array" ref="K256">IF($F256&lt;&gt;"",XLOOKUP($F256,Productos!$A:$A,Productos!D:D,"Revisar"),"")</f>
        <v/>
      </c>
      <c r="L256" s="179" t="str">
        <f t="array" ref="L256">IF($F256&lt;&gt;"", XLOOKUP($F256,Productos!$A$2:$A1001,Productos!E$2:E1001,"")*$G256,"")</f>
        <v/>
      </c>
      <c r="M256" s="179" t="str">
        <f t="array" ref="M256">IF($F256&lt;&gt;"",XLOOKUP($F256,Productos!$A:$A,Productos!F:F,"Revisar"),"")</f>
        <v/>
      </c>
      <c r="N256" s="179" t="str">
        <f t="array" ref="N256">IF($F256&lt;&gt;"", XLOOKUP($F256,Productos!$A$2:$A1001,Productos!G$2:G1001,"")*$G256,"")</f>
        <v/>
      </c>
      <c r="O256" s="179" t="str">
        <f t="array" ref="O256">IF($F256&lt;&gt;"",XLOOKUP($F256,Productos!$A:$A,Productos!H:H,"Revisar"),"")</f>
        <v/>
      </c>
      <c r="P256" s="179" t="str">
        <f t="array" ref="P256">IF($F256&lt;&gt;"", XLOOKUP($F256,Productos!$A$2:$A1001,Productos!I$2:I1001,"")*$G256,"")</f>
        <v/>
      </c>
      <c r="Q256" s="179" t="str">
        <f t="array" ref="Q256">IF($F256&lt;&gt;"",XLOOKUP($F256,Productos!$A:$A,Productos!J:J,"Revisar"),"")</f>
        <v/>
      </c>
      <c r="R256" s="179" t="str">
        <f t="array" ref="R256">IF($F256&lt;&gt;"", XLOOKUP($F256,Productos!$A$2:$A1001,Productos!K$2:K1001,"")*$G256,"")</f>
        <v/>
      </c>
      <c r="S256" s="179" t="str">
        <f t="array" ref="S256">IF($F256&lt;&gt;"",XLOOKUP($F256,Productos!$A:$A,Productos!L:L,"Revisar"),"")</f>
        <v/>
      </c>
      <c r="T256" s="179" t="str">
        <f t="array" ref="T256">IF($F256&lt;&gt;"", XLOOKUP($F256,Productos!$A$2:$A1001,Productos!M$2:M1001,"")*$G256,"")</f>
        <v/>
      </c>
      <c r="U256" s="179" t="str">
        <f t="array" ref="U256">IF($F256&lt;&gt;"",XLOOKUP($F256,Productos!$A:$A,Productos!N:N,"Revisar"),"")</f>
        <v/>
      </c>
      <c r="V256" s="179" t="str">
        <f t="array" ref="V256">IF($F256&lt;&gt;"", XLOOKUP($F256,Productos!$A$2:$A1001,Productos!O$2:O1001,"")*$G256,"")</f>
        <v/>
      </c>
      <c r="W256" s="179" t="str">
        <f t="array" ref="W256">IF($F256&lt;&gt;"",XLOOKUP($F256,Productos!$A:$A,Productos!P:P,"Revisar"),"")</f>
        <v/>
      </c>
      <c r="X256" s="179" t="str">
        <f t="array" ref="X256">IF($F256&lt;&gt;"", XLOOKUP($F256,Productos!$A$2:$A1001,Productos!Q$2:Q1001,"")*$G256,"")</f>
        <v/>
      </c>
      <c r="Y256" s="179" t="str">
        <f t="array" ref="Y256">IF($F256&lt;&gt;"",XLOOKUP($F256,Productos!$A:$A,Productos!R:R,"Revisar"),"")</f>
        <v/>
      </c>
      <c r="Z256" s="179" t="str">
        <f t="array" ref="Z256">IF($F256&lt;&gt;"", XLOOKUP($F256,Productos!$A$2:$A1001,Productos!S$2:S1001,"")*$G256,"")</f>
        <v/>
      </c>
      <c r="AA256" s="179" t="str">
        <f t="array" ref="AA256">IF($F256&lt;&gt;"",XLOOKUP($F256,Productos!$A:$A,Productos!T:T,"Revisar"),"")</f>
        <v/>
      </c>
      <c r="AB256" s="179" t="str">
        <f t="array" ref="AB256">IF($F256&lt;&gt;"", XLOOKUP($F256,Productos!$A$2:$A1001,Productos!U$2:U1001,"")*$G256,"")</f>
        <v/>
      </c>
      <c r="AC256" s="179" t="str">
        <f t="array" ref="AC256">IF($F256&lt;&gt;"",XLOOKUP($F256,Productos!$A:$A,Productos!V:V,"Revisar"),"")</f>
        <v/>
      </c>
      <c r="AD256" s="179" t="str">
        <f t="array" ref="AD256">IF($F256&lt;&gt;"", XLOOKUP($F256,Productos!$A$2:$A1001,Productos!W$2:W1001,"")*$G256,"")</f>
        <v/>
      </c>
      <c r="AE256" s="179" t="str">
        <f t="array" ref="AE256">IF($F256&lt;&gt;"",XLOOKUP($F256,Productos!$A:$A,Productos!X:X,"Revisar"),"")</f>
        <v/>
      </c>
      <c r="AF256" s="179" t="str">
        <f t="array" ref="AF256">IF($F256&lt;&gt;"", XLOOKUP($F256,Productos!$A$2:$A1001,Productos!Y$2:Y1001,"")*$G256,"")</f>
        <v/>
      </c>
      <c r="AG256" s="179" t="str">
        <f t="array" ref="AG256">IF($F256&lt;&gt;"",XLOOKUP($F256,Productos!$A:$A,Productos!Z:Z,"Revisar"),"")</f>
        <v/>
      </c>
      <c r="AH256" s="179" t="str">
        <f t="array" ref="AH256">IF($F256&lt;&gt;"", XLOOKUP($F256,Productos!$A$2:$A1001,Productos!AA$2:AA1001,"")*$G256,"")</f>
        <v/>
      </c>
      <c r="AI256" s="179" t="str">
        <f t="array" ref="AI256">IF($F256&lt;&gt;"",XLOOKUP($F256,Productos!$A:$A,Productos!AB:AB,"Revisar"),"")</f>
        <v/>
      </c>
      <c r="AJ256" s="179" t="str">
        <f t="array" ref="AJ256">IF($F256&lt;&gt;"", XLOOKUP($F256,Productos!$A$2:$A1001,Productos!AC$2:AC1001,"")*$G256,"")</f>
        <v/>
      </c>
      <c r="AK256" s="179" t="str">
        <f t="array" ref="AK256">IF($F256&lt;&gt;"",XLOOKUP($F256,Productos!$A:$A,Productos!AD:AD,"Revisar"),"")</f>
        <v/>
      </c>
      <c r="AL256" s="179" t="str">
        <f t="array" ref="AL256">IF($F256&lt;&gt;"", XLOOKUP($F256,Productos!$A$2:$A1001,Productos!AE$2:AE1001,"")*$G256,"")</f>
        <v/>
      </c>
      <c r="AM256" s="179" t="str">
        <f t="array" ref="AM256">IF($F256&lt;&gt;"",XLOOKUP($F256,Productos!$A:$A,Productos!AF:AF,"Revisar"),"")</f>
        <v/>
      </c>
      <c r="AN256" s="179" t="str">
        <f t="array" ref="AN256">IF($F256&lt;&gt;"", XLOOKUP($F256,Productos!$A$2:$A1001,Productos!AG$2:AG1001,"")*$G256,"")</f>
        <v/>
      </c>
      <c r="AO256" s="179" t="str">
        <f t="array" ref="AO256">IF($F256&lt;&gt;"",XLOOKUP($F256,Productos!$A:$A,Productos!AH:AH,"Revisar"),"")</f>
        <v/>
      </c>
      <c r="AP256" s="179" t="str">
        <f t="array" ref="AP256">IF($F256&lt;&gt;"", XLOOKUP($F256,Productos!$A$2:$A1001,Productos!AI$2:AI1001,"")*$G256,"")</f>
        <v/>
      </c>
      <c r="AQ256" s="179" t="str">
        <f t="array" ref="AQ256">IF($F256&lt;&gt;"",XLOOKUP($F256,Productos!$A:$A,Productos!AJ:AJ,"Revisar"),"")</f>
        <v/>
      </c>
      <c r="AR256" s="179" t="str">
        <f t="array" ref="AR256">IF($F256&lt;&gt;"", XLOOKUP($F256,Productos!$A$2:$A1001,Productos!AK$2:AK1001,"")*$G256,"")</f>
        <v/>
      </c>
      <c r="AS256" s="179" t="str">
        <f t="array" ref="AS256">IF($F256&lt;&gt;"",XLOOKUP($F256,Productos!$A:$A,Productos!AL:AL,"Revisar"),"")</f>
        <v/>
      </c>
      <c r="AT256" s="179" t="str">
        <f t="array" ref="AT256">IF($F256&lt;&gt;"", XLOOKUP($F256,Productos!$A$2:$A1001,Productos!AM$2:AM1001,"")*$G256,"")</f>
        <v/>
      </c>
      <c r="AU256" s="179" t="str">
        <f t="array" ref="AU256">IF($F256&lt;&gt;"",XLOOKUP($F256,Productos!$A:$A,Productos!AN:AN,"Revisar"),"")</f>
        <v/>
      </c>
      <c r="AV256" s="179" t="str">
        <f t="array" ref="AV256">IF($F256&lt;&gt;"", XLOOKUP($F256,Productos!$A$2:$A1001,Productos!AO$2:AO1001,"")*$G256,"")</f>
        <v/>
      </c>
      <c r="AW256" s="179" t="str">
        <f t="array" ref="AW256">IF($F256&lt;&gt;"",XLOOKUP($F256,Productos!$A:$A,Productos!AP:AP,"Revisar"),"")</f>
        <v/>
      </c>
      <c r="AX256" s="179" t="str">
        <f t="array" ref="AX256">IF($F256&lt;&gt;"", XLOOKUP($F256,Productos!$A$2:$A1001,Productos!AQ$2:AQ1001,"")*$G256,"")</f>
        <v/>
      </c>
      <c r="AY256" s="179" t="str">
        <f t="array" ref="AY256">IF($F256&lt;&gt;"",XLOOKUP($F256,Productos!$A:$A,Productos!AR:AR,"Revisar"),"")</f>
        <v/>
      </c>
      <c r="AZ256" s="179" t="str">
        <f t="array" ref="AZ256">IF($F256&lt;&gt;"", XLOOKUP($F256,Productos!$A$2:$A1001,Productos!AS$2:AS1001,"")*$G256,"")</f>
        <v/>
      </c>
      <c r="BA256" s="179" t="str">
        <f t="array" ref="BA256">IF($F256&lt;&gt;"",XLOOKUP($F256,Productos!$A:$A,Productos!AT:AT,"Revisar"),"")</f>
        <v/>
      </c>
      <c r="BB256" s="179" t="str">
        <f t="array" ref="BB256">IF($F256&lt;&gt;"", XLOOKUP($F256,Productos!$A$2:$A1001,Productos!AU$2:AU1001,"")*$G256,"")</f>
        <v/>
      </c>
      <c r="BC256" s="179" t="str">
        <f t="array" ref="BC256">IF($F256&lt;&gt;"",XLOOKUP($F256,Productos!$A:$A,Productos!AV:AV,"Revisar"),"")</f>
        <v/>
      </c>
      <c r="BD256" s="179" t="str">
        <f t="array" ref="BD256">IF($F256&lt;&gt;"", XLOOKUP($F256,Productos!$A$2:$A1001,Productos!AW$2:AW1001,"")*$G256,"")</f>
        <v/>
      </c>
      <c r="BE256" s="179" t="str">
        <f t="array" ref="BE256">IF($F256&lt;&gt;"",XLOOKUP($F256,Productos!$A:$A,Productos!AX:AX,"Revisar"),"")</f>
        <v/>
      </c>
      <c r="BF256" s="179" t="str">
        <f t="array" ref="BF256">IF($F256&lt;&gt;"", XLOOKUP($F256,Productos!$A$2:$A1001,Productos!AY$2:AY1001,"")*$G256,"")</f>
        <v/>
      </c>
      <c r="BG256" s="179" t="str">
        <f t="array" ref="BG256">IF($F256&lt;&gt;"",XLOOKUP($F256,Productos!$A:$A,Productos!AZ:AZ,"Revisar"),"")</f>
        <v/>
      </c>
      <c r="BH256" s="179" t="str">
        <f t="array" ref="BH256">IF($F256&lt;&gt;"", XLOOKUP($F256,Productos!$A$2:$A1001,Productos!BA$2:BA1001,"")*$G256,"")</f>
        <v/>
      </c>
      <c r="BI256" s="179" t="str">
        <f t="array" ref="BI256">IF($F256&lt;&gt;"",XLOOKUP($F256,Productos!$A:$A,Productos!BB:BB,"Revisar"),"")</f>
        <v/>
      </c>
      <c r="BJ256" s="179" t="str">
        <f t="array" ref="BJ256">IF($F256&lt;&gt;"", XLOOKUP($F256,Productos!$A$2:$A1001,Productos!BC$2:BC1001,"")*$G256,"")</f>
        <v/>
      </c>
      <c r="BK256" s="179" t="str">
        <f t="array" ref="BK256">IF($F256&lt;&gt;"",XLOOKUP($F256,Productos!$A:$A,Productos!BD:BD,"Revisar"),"")</f>
        <v/>
      </c>
      <c r="BL256" s="179" t="str">
        <f t="array" ref="BL256">IF($F256&lt;&gt;"", XLOOKUP($F256,Productos!$A$2:$A1001,Productos!BE$2:BE1001,"")*$G256,"")</f>
        <v/>
      </c>
      <c r="BM256" s="179" t="str">
        <f t="array" ref="BM256">IF($F256&lt;&gt;"",XLOOKUP($F256,Productos!$A:$A,Productos!BF:BF,"Revisar"),"")</f>
        <v/>
      </c>
      <c r="BN256" s="179" t="str">
        <f t="array" ref="BN256">IF($F256&lt;&gt;"", XLOOKUP($F256,Productos!$A$2:$A1001,Productos!BG$2:BG1001,"")*$G256,"")</f>
        <v/>
      </c>
      <c r="BO256" s="179" t="str">
        <f t="array" ref="BO256">IF($F256&lt;&gt;"",XLOOKUP($F256,Productos!$A:$A,Productos!BH:BH,"Revisar"),"")</f>
        <v/>
      </c>
      <c r="BP256" s="179" t="str">
        <f t="array" ref="BP256">IF($F256&lt;&gt;"", XLOOKUP($F256,Productos!$A$2:$A1001,Productos!BI$2:BI1001,"")*$G256,"")</f>
        <v/>
      </c>
      <c r="BQ256" s="179" t="str">
        <f t="array" ref="BQ256">IF($F256&lt;&gt;"",XLOOKUP($F256,Productos!$A:$A,Productos!BJ:BJ,"Revisar"),"")</f>
        <v/>
      </c>
      <c r="BR256" s="179" t="str">
        <f t="array" ref="BR256">IF($F256&lt;&gt;"", XLOOKUP($F256,Productos!$A$2:$A1001,Productos!BK$2:BK1001,"")*$G256,"")</f>
        <v/>
      </c>
      <c r="BS256" s="179" t="str">
        <f t="array" ref="BS256">IF($F256&lt;&gt;"",XLOOKUP($F256,Productos!$A:$A,Productos!BL:BL,"Revisar"),"")</f>
        <v/>
      </c>
      <c r="BT256" s="179" t="str">
        <f t="array" ref="BT256">IF($F256&lt;&gt;"", XLOOKUP($F256,Productos!$A$2:$A1001,Productos!BM$2:BM1001,"")*$G256,"")</f>
        <v/>
      </c>
      <c r="BU256" s="179" t="str">
        <f t="array" ref="BU256">IF($F256&lt;&gt;"",XLOOKUP($F256,Productos!$A:$A,Productos!BN:BN,"Revisar"),"")</f>
        <v/>
      </c>
      <c r="BV256" s="179" t="str">
        <f t="array" ref="BV256">IF($F256&lt;&gt;"", XLOOKUP($F256,Productos!$A$2:$A1001,Productos!BO$2:BO1001,"")*$G256,"")</f>
        <v/>
      </c>
      <c r="BW256" s="179" t="str">
        <f t="array" ref="BW256">IF($F256&lt;&gt;"",XLOOKUP($F256,Productos!$A:$A,Productos!BP:BP,"Revisar"),"")</f>
        <v/>
      </c>
      <c r="BX256" s="179" t="str">
        <f t="array" ref="BX256">IF($F256&lt;&gt;"", XLOOKUP($F256,Productos!$A$2:$A1001,Productos!BQ$2:BQ1001,"")*$G256,"")</f>
        <v/>
      </c>
      <c r="BY256" s="179" t="str">
        <f t="array" ref="BY256">IF($F256&lt;&gt;"",XLOOKUP($F256,Productos!$A:$A,Productos!BR:BR,"Revisar"),"")</f>
        <v/>
      </c>
      <c r="BZ256" s="179" t="str">
        <f t="array" ref="BZ256">IF($F256&lt;&gt;"", XLOOKUP($F256,Productos!$A$2:$A1001,Productos!BS$2:BS1001,"")*$G256,"")</f>
        <v/>
      </c>
    </row>
    <row r="257">
      <c r="A257" s="180"/>
      <c r="B257" s="181"/>
      <c r="C257" s="182"/>
      <c r="D257" s="182"/>
      <c r="E257" s="185"/>
      <c r="F257" s="186"/>
      <c r="G257" s="187"/>
      <c r="H257" s="186"/>
      <c r="I257" s="179" t="str">
        <f t="array" ref="I257">IF($F257&lt;&gt;"",XLOOKUP($F257,Productos!$A:$A,Productos!B:B,"Revisar"),"")</f>
        <v/>
      </c>
      <c r="J257" s="179" t="str">
        <f t="array" ref="J257">IF($F257&lt;&gt;"", XLOOKUP($F257,Productos!$A$2:$A1001,Productos!C$2:C1001,"")*$G257,"")</f>
        <v/>
      </c>
      <c r="K257" s="179" t="str">
        <f t="array" ref="K257">IF($F257&lt;&gt;"",XLOOKUP($F257,Productos!$A:$A,Productos!D:D,"Revisar"),"")</f>
        <v/>
      </c>
      <c r="L257" s="179" t="str">
        <f t="array" ref="L257">IF($F257&lt;&gt;"", XLOOKUP($F257,Productos!$A$2:$A1001,Productos!E$2:E1001,"")*$G257,"")</f>
        <v/>
      </c>
      <c r="M257" s="179" t="str">
        <f t="array" ref="M257">IF($F257&lt;&gt;"",XLOOKUP($F257,Productos!$A:$A,Productos!F:F,"Revisar"),"")</f>
        <v/>
      </c>
      <c r="N257" s="179" t="str">
        <f t="array" ref="N257">IF($F257&lt;&gt;"", XLOOKUP($F257,Productos!$A$2:$A1001,Productos!G$2:G1001,"")*$G257,"")</f>
        <v/>
      </c>
      <c r="O257" s="179" t="str">
        <f t="array" ref="O257">IF($F257&lt;&gt;"",XLOOKUP($F257,Productos!$A:$A,Productos!H:H,"Revisar"),"")</f>
        <v/>
      </c>
      <c r="P257" s="179" t="str">
        <f t="array" ref="P257">IF($F257&lt;&gt;"", XLOOKUP($F257,Productos!$A$2:$A1001,Productos!I$2:I1001,"")*$G257,"")</f>
        <v/>
      </c>
      <c r="Q257" s="179" t="str">
        <f t="array" ref="Q257">IF($F257&lt;&gt;"",XLOOKUP($F257,Productos!$A:$A,Productos!J:J,"Revisar"),"")</f>
        <v/>
      </c>
      <c r="R257" s="179" t="str">
        <f t="array" ref="R257">IF($F257&lt;&gt;"", XLOOKUP($F257,Productos!$A$2:$A1001,Productos!K$2:K1001,"")*$G257,"")</f>
        <v/>
      </c>
      <c r="S257" s="179" t="str">
        <f t="array" ref="S257">IF($F257&lt;&gt;"",XLOOKUP($F257,Productos!$A:$A,Productos!L:L,"Revisar"),"")</f>
        <v/>
      </c>
      <c r="T257" s="179" t="str">
        <f t="array" ref="T257">IF($F257&lt;&gt;"", XLOOKUP($F257,Productos!$A$2:$A1001,Productos!M$2:M1001,"")*$G257,"")</f>
        <v/>
      </c>
      <c r="U257" s="179" t="str">
        <f t="array" ref="U257">IF($F257&lt;&gt;"",XLOOKUP($F257,Productos!$A:$A,Productos!N:N,"Revisar"),"")</f>
        <v/>
      </c>
      <c r="V257" s="179" t="str">
        <f t="array" ref="V257">IF($F257&lt;&gt;"", XLOOKUP($F257,Productos!$A$2:$A1001,Productos!O$2:O1001,"")*$G257,"")</f>
        <v/>
      </c>
      <c r="W257" s="179" t="str">
        <f t="array" ref="W257">IF($F257&lt;&gt;"",XLOOKUP($F257,Productos!$A:$A,Productos!P:P,"Revisar"),"")</f>
        <v/>
      </c>
      <c r="X257" s="179" t="str">
        <f t="array" ref="X257">IF($F257&lt;&gt;"", XLOOKUP($F257,Productos!$A$2:$A1001,Productos!Q$2:Q1001,"")*$G257,"")</f>
        <v/>
      </c>
      <c r="Y257" s="179" t="str">
        <f t="array" ref="Y257">IF($F257&lt;&gt;"",XLOOKUP($F257,Productos!$A:$A,Productos!R:R,"Revisar"),"")</f>
        <v/>
      </c>
      <c r="Z257" s="179" t="str">
        <f t="array" ref="Z257">IF($F257&lt;&gt;"", XLOOKUP($F257,Productos!$A$2:$A1001,Productos!S$2:S1001,"")*$G257,"")</f>
        <v/>
      </c>
      <c r="AA257" s="179" t="str">
        <f t="array" ref="AA257">IF($F257&lt;&gt;"",XLOOKUP($F257,Productos!$A:$A,Productos!T:T,"Revisar"),"")</f>
        <v/>
      </c>
      <c r="AB257" s="179" t="str">
        <f t="array" ref="AB257">IF($F257&lt;&gt;"", XLOOKUP($F257,Productos!$A$2:$A1001,Productos!U$2:U1001,"")*$G257,"")</f>
        <v/>
      </c>
      <c r="AC257" s="179" t="str">
        <f t="array" ref="AC257">IF($F257&lt;&gt;"",XLOOKUP($F257,Productos!$A:$A,Productos!V:V,"Revisar"),"")</f>
        <v/>
      </c>
      <c r="AD257" s="179" t="str">
        <f t="array" ref="AD257">IF($F257&lt;&gt;"", XLOOKUP($F257,Productos!$A$2:$A1001,Productos!W$2:W1001,"")*$G257,"")</f>
        <v/>
      </c>
      <c r="AE257" s="179" t="str">
        <f t="array" ref="AE257">IF($F257&lt;&gt;"",XLOOKUP($F257,Productos!$A:$A,Productos!X:X,"Revisar"),"")</f>
        <v/>
      </c>
      <c r="AF257" s="179" t="str">
        <f t="array" ref="AF257">IF($F257&lt;&gt;"", XLOOKUP($F257,Productos!$A$2:$A1001,Productos!Y$2:Y1001,"")*$G257,"")</f>
        <v/>
      </c>
      <c r="AG257" s="179" t="str">
        <f t="array" ref="AG257">IF($F257&lt;&gt;"",XLOOKUP($F257,Productos!$A:$A,Productos!Z:Z,"Revisar"),"")</f>
        <v/>
      </c>
      <c r="AH257" s="179" t="str">
        <f t="array" ref="AH257">IF($F257&lt;&gt;"", XLOOKUP($F257,Productos!$A$2:$A1001,Productos!AA$2:AA1001,"")*$G257,"")</f>
        <v/>
      </c>
      <c r="AI257" s="179" t="str">
        <f t="array" ref="AI257">IF($F257&lt;&gt;"",XLOOKUP($F257,Productos!$A:$A,Productos!AB:AB,"Revisar"),"")</f>
        <v/>
      </c>
      <c r="AJ257" s="179" t="str">
        <f t="array" ref="AJ257">IF($F257&lt;&gt;"", XLOOKUP($F257,Productos!$A$2:$A1001,Productos!AC$2:AC1001,"")*$G257,"")</f>
        <v/>
      </c>
      <c r="AK257" s="179" t="str">
        <f t="array" ref="AK257">IF($F257&lt;&gt;"",XLOOKUP($F257,Productos!$A:$A,Productos!AD:AD,"Revisar"),"")</f>
        <v/>
      </c>
      <c r="AL257" s="179" t="str">
        <f t="array" ref="AL257">IF($F257&lt;&gt;"", XLOOKUP($F257,Productos!$A$2:$A1001,Productos!AE$2:AE1001,"")*$G257,"")</f>
        <v/>
      </c>
      <c r="AM257" s="179" t="str">
        <f t="array" ref="AM257">IF($F257&lt;&gt;"",XLOOKUP($F257,Productos!$A:$A,Productos!AF:AF,"Revisar"),"")</f>
        <v/>
      </c>
      <c r="AN257" s="179" t="str">
        <f t="array" ref="AN257">IF($F257&lt;&gt;"", XLOOKUP($F257,Productos!$A$2:$A1001,Productos!AG$2:AG1001,"")*$G257,"")</f>
        <v/>
      </c>
      <c r="AO257" s="179" t="str">
        <f t="array" ref="AO257">IF($F257&lt;&gt;"",XLOOKUP($F257,Productos!$A:$A,Productos!AH:AH,"Revisar"),"")</f>
        <v/>
      </c>
      <c r="AP257" s="179" t="str">
        <f t="array" ref="AP257">IF($F257&lt;&gt;"", XLOOKUP($F257,Productos!$A$2:$A1001,Productos!AI$2:AI1001,"")*$G257,"")</f>
        <v/>
      </c>
      <c r="AQ257" s="179" t="str">
        <f t="array" ref="AQ257">IF($F257&lt;&gt;"",XLOOKUP($F257,Productos!$A:$A,Productos!AJ:AJ,"Revisar"),"")</f>
        <v/>
      </c>
      <c r="AR257" s="179" t="str">
        <f t="array" ref="AR257">IF($F257&lt;&gt;"", XLOOKUP($F257,Productos!$A$2:$A1001,Productos!AK$2:AK1001,"")*$G257,"")</f>
        <v/>
      </c>
      <c r="AS257" s="179" t="str">
        <f t="array" ref="AS257">IF($F257&lt;&gt;"",XLOOKUP($F257,Productos!$A:$A,Productos!AL:AL,"Revisar"),"")</f>
        <v/>
      </c>
      <c r="AT257" s="179" t="str">
        <f t="array" ref="AT257">IF($F257&lt;&gt;"", XLOOKUP($F257,Productos!$A$2:$A1001,Productos!AM$2:AM1001,"")*$G257,"")</f>
        <v/>
      </c>
      <c r="AU257" s="179" t="str">
        <f t="array" ref="AU257">IF($F257&lt;&gt;"",XLOOKUP($F257,Productos!$A:$A,Productos!AN:AN,"Revisar"),"")</f>
        <v/>
      </c>
      <c r="AV257" s="179" t="str">
        <f t="array" ref="AV257">IF($F257&lt;&gt;"", XLOOKUP($F257,Productos!$A$2:$A1001,Productos!AO$2:AO1001,"")*$G257,"")</f>
        <v/>
      </c>
      <c r="AW257" s="179" t="str">
        <f t="array" ref="AW257">IF($F257&lt;&gt;"",XLOOKUP($F257,Productos!$A:$A,Productos!AP:AP,"Revisar"),"")</f>
        <v/>
      </c>
      <c r="AX257" s="179" t="str">
        <f t="array" ref="AX257">IF($F257&lt;&gt;"", XLOOKUP($F257,Productos!$A$2:$A1001,Productos!AQ$2:AQ1001,"")*$G257,"")</f>
        <v/>
      </c>
      <c r="AY257" s="179" t="str">
        <f t="array" ref="AY257">IF($F257&lt;&gt;"",XLOOKUP($F257,Productos!$A:$A,Productos!AR:AR,"Revisar"),"")</f>
        <v/>
      </c>
      <c r="AZ257" s="179" t="str">
        <f t="array" ref="AZ257">IF($F257&lt;&gt;"", XLOOKUP($F257,Productos!$A$2:$A1001,Productos!AS$2:AS1001,"")*$G257,"")</f>
        <v/>
      </c>
      <c r="BA257" s="179" t="str">
        <f t="array" ref="BA257">IF($F257&lt;&gt;"",XLOOKUP($F257,Productos!$A:$A,Productos!AT:AT,"Revisar"),"")</f>
        <v/>
      </c>
      <c r="BB257" s="179" t="str">
        <f t="array" ref="BB257">IF($F257&lt;&gt;"", XLOOKUP($F257,Productos!$A$2:$A1001,Productos!AU$2:AU1001,"")*$G257,"")</f>
        <v/>
      </c>
      <c r="BC257" s="179" t="str">
        <f t="array" ref="BC257">IF($F257&lt;&gt;"",XLOOKUP($F257,Productos!$A:$A,Productos!AV:AV,"Revisar"),"")</f>
        <v/>
      </c>
      <c r="BD257" s="179" t="str">
        <f t="array" ref="BD257">IF($F257&lt;&gt;"", XLOOKUP($F257,Productos!$A$2:$A1001,Productos!AW$2:AW1001,"")*$G257,"")</f>
        <v/>
      </c>
      <c r="BE257" s="179" t="str">
        <f t="array" ref="BE257">IF($F257&lt;&gt;"",XLOOKUP($F257,Productos!$A:$A,Productos!AX:AX,"Revisar"),"")</f>
        <v/>
      </c>
      <c r="BF257" s="179" t="str">
        <f t="array" ref="BF257">IF($F257&lt;&gt;"", XLOOKUP($F257,Productos!$A$2:$A1001,Productos!AY$2:AY1001,"")*$G257,"")</f>
        <v/>
      </c>
      <c r="BG257" s="179" t="str">
        <f t="array" ref="BG257">IF($F257&lt;&gt;"",XLOOKUP($F257,Productos!$A:$A,Productos!AZ:AZ,"Revisar"),"")</f>
        <v/>
      </c>
      <c r="BH257" s="179" t="str">
        <f t="array" ref="BH257">IF($F257&lt;&gt;"", XLOOKUP($F257,Productos!$A$2:$A1001,Productos!BA$2:BA1001,"")*$G257,"")</f>
        <v/>
      </c>
      <c r="BI257" s="179" t="str">
        <f t="array" ref="BI257">IF($F257&lt;&gt;"",XLOOKUP($F257,Productos!$A:$A,Productos!BB:BB,"Revisar"),"")</f>
        <v/>
      </c>
      <c r="BJ257" s="179" t="str">
        <f t="array" ref="BJ257">IF($F257&lt;&gt;"", XLOOKUP($F257,Productos!$A$2:$A1001,Productos!BC$2:BC1001,"")*$G257,"")</f>
        <v/>
      </c>
      <c r="BK257" s="179" t="str">
        <f t="array" ref="BK257">IF($F257&lt;&gt;"",XLOOKUP($F257,Productos!$A:$A,Productos!BD:BD,"Revisar"),"")</f>
        <v/>
      </c>
      <c r="BL257" s="179" t="str">
        <f t="array" ref="BL257">IF($F257&lt;&gt;"", XLOOKUP($F257,Productos!$A$2:$A1001,Productos!BE$2:BE1001,"")*$G257,"")</f>
        <v/>
      </c>
      <c r="BM257" s="179" t="str">
        <f t="array" ref="BM257">IF($F257&lt;&gt;"",XLOOKUP($F257,Productos!$A:$A,Productos!BF:BF,"Revisar"),"")</f>
        <v/>
      </c>
      <c r="BN257" s="179" t="str">
        <f t="array" ref="BN257">IF($F257&lt;&gt;"", XLOOKUP($F257,Productos!$A$2:$A1001,Productos!BG$2:BG1001,"")*$G257,"")</f>
        <v/>
      </c>
      <c r="BO257" s="179" t="str">
        <f t="array" ref="BO257">IF($F257&lt;&gt;"",XLOOKUP($F257,Productos!$A:$A,Productos!BH:BH,"Revisar"),"")</f>
        <v/>
      </c>
      <c r="BP257" s="179" t="str">
        <f t="array" ref="BP257">IF($F257&lt;&gt;"", XLOOKUP($F257,Productos!$A$2:$A1001,Productos!BI$2:BI1001,"")*$G257,"")</f>
        <v/>
      </c>
      <c r="BQ257" s="179" t="str">
        <f t="array" ref="BQ257">IF($F257&lt;&gt;"",XLOOKUP($F257,Productos!$A:$A,Productos!BJ:BJ,"Revisar"),"")</f>
        <v/>
      </c>
      <c r="BR257" s="179" t="str">
        <f t="array" ref="BR257">IF($F257&lt;&gt;"", XLOOKUP($F257,Productos!$A$2:$A1001,Productos!BK$2:BK1001,"")*$G257,"")</f>
        <v/>
      </c>
      <c r="BS257" s="179" t="str">
        <f t="array" ref="BS257">IF($F257&lt;&gt;"",XLOOKUP($F257,Productos!$A:$A,Productos!BL:BL,"Revisar"),"")</f>
        <v/>
      </c>
      <c r="BT257" s="179" t="str">
        <f t="array" ref="BT257">IF($F257&lt;&gt;"", XLOOKUP($F257,Productos!$A$2:$A1001,Productos!BM$2:BM1001,"")*$G257,"")</f>
        <v/>
      </c>
      <c r="BU257" s="179" t="str">
        <f t="array" ref="BU257">IF($F257&lt;&gt;"",XLOOKUP($F257,Productos!$A:$A,Productos!BN:BN,"Revisar"),"")</f>
        <v/>
      </c>
      <c r="BV257" s="179" t="str">
        <f t="array" ref="BV257">IF($F257&lt;&gt;"", XLOOKUP($F257,Productos!$A$2:$A1001,Productos!BO$2:BO1001,"")*$G257,"")</f>
        <v/>
      </c>
      <c r="BW257" s="179" t="str">
        <f t="array" ref="BW257">IF($F257&lt;&gt;"",XLOOKUP($F257,Productos!$A:$A,Productos!BP:BP,"Revisar"),"")</f>
        <v/>
      </c>
      <c r="BX257" s="179" t="str">
        <f t="array" ref="BX257">IF($F257&lt;&gt;"", XLOOKUP($F257,Productos!$A$2:$A1001,Productos!BQ$2:BQ1001,"")*$G257,"")</f>
        <v/>
      </c>
      <c r="BY257" s="179" t="str">
        <f t="array" ref="BY257">IF($F257&lt;&gt;"",XLOOKUP($F257,Productos!$A:$A,Productos!BR:BR,"Revisar"),"")</f>
        <v/>
      </c>
      <c r="BZ257" s="179" t="str">
        <f t="array" ref="BZ257">IF($F257&lt;&gt;"", XLOOKUP($F257,Productos!$A$2:$A1001,Productos!BS$2:BS1001,"")*$G257,"")</f>
        <v/>
      </c>
    </row>
    <row r="258">
      <c r="A258" s="180"/>
      <c r="B258" s="181"/>
      <c r="C258" s="182"/>
      <c r="D258" s="182"/>
      <c r="E258" s="185"/>
      <c r="F258" s="186"/>
      <c r="G258" s="187"/>
      <c r="H258" s="186"/>
      <c r="I258" s="179" t="str">
        <f t="array" ref="I258">IF($F258&lt;&gt;"",XLOOKUP($F258,Productos!$A:$A,Productos!B:B,"Revisar"),"")</f>
        <v/>
      </c>
      <c r="J258" s="179" t="str">
        <f t="array" ref="J258">IF($F258&lt;&gt;"", XLOOKUP($F258,Productos!$A$2:$A1001,Productos!C$2:C1001,"")*$G258,"")</f>
        <v/>
      </c>
      <c r="K258" s="179" t="str">
        <f t="array" ref="K258">IF($F258&lt;&gt;"",XLOOKUP($F258,Productos!$A:$A,Productos!D:D,"Revisar"),"")</f>
        <v/>
      </c>
      <c r="L258" s="179" t="str">
        <f t="array" ref="L258">IF($F258&lt;&gt;"", XLOOKUP($F258,Productos!$A$2:$A1001,Productos!E$2:E1001,"")*$G258,"")</f>
        <v/>
      </c>
      <c r="M258" s="179" t="str">
        <f t="array" ref="M258">IF($F258&lt;&gt;"",XLOOKUP($F258,Productos!$A:$A,Productos!F:F,"Revisar"),"")</f>
        <v/>
      </c>
      <c r="N258" s="179" t="str">
        <f t="array" ref="N258">IF($F258&lt;&gt;"", XLOOKUP($F258,Productos!$A$2:$A1001,Productos!G$2:G1001,"")*$G258,"")</f>
        <v/>
      </c>
      <c r="O258" s="179" t="str">
        <f t="array" ref="O258">IF($F258&lt;&gt;"",XLOOKUP($F258,Productos!$A:$A,Productos!H:H,"Revisar"),"")</f>
        <v/>
      </c>
      <c r="P258" s="179" t="str">
        <f t="array" ref="P258">IF($F258&lt;&gt;"", XLOOKUP($F258,Productos!$A$2:$A1001,Productos!I$2:I1001,"")*$G258,"")</f>
        <v/>
      </c>
      <c r="Q258" s="179" t="str">
        <f t="array" ref="Q258">IF($F258&lt;&gt;"",XLOOKUP($F258,Productos!$A:$A,Productos!J:J,"Revisar"),"")</f>
        <v/>
      </c>
      <c r="R258" s="179" t="str">
        <f t="array" ref="R258">IF($F258&lt;&gt;"", XLOOKUP($F258,Productos!$A$2:$A1001,Productos!K$2:K1001,"")*$G258,"")</f>
        <v/>
      </c>
      <c r="S258" s="179" t="str">
        <f t="array" ref="S258">IF($F258&lt;&gt;"",XLOOKUP($F258,Productos!$A:$A,Productos!L:L,"Revisar"),"")</f>
        <v/>
      </c>
      <c r="T258" s="179" t="str">
        <f t="array" ref="T258">IF($F258&lt;&gt;"", XLOOKUP($F258,Productos!$A$2:$A1001,Productos!M$2:M1001,"")*$G258,"")</f>
        <v/>
      </c>
      <c r="U258" s="179" t="str">
        <f t="array" ref="U258">IF($F258&lt;&gt;"",XLOOKUP($F258,Productos!$A:$A,Productos!N:N,"Revisar"),"")</f>
        <v/>
      </c>
      <c r="V258" s="179" t="str">
        <f t="array" ref="V258">IF($F258&lt;&gt;"", XLOOKUP($F258,Productos!$A$2:$A1001,Productos!O$2:O1001,"")*$G258,"")</f>
        <v/>
      </c>
      <c r="W258" s="179" t="str">
        <f t="array" ref="W258">IF($F258&lt;&gt;"",XLOOKUP($F258,Productos!$A:$A,Productos!P:P,"Revisar"),"")</f>
        <v/>
      </c>
      <c r="X258" s="179" t="str">
        <f t="array" ref="X258">IF($F258&lt;&gt;"", XLOOKUP($F258,Productos!$A$2:$A1001,Productos!Q$2:Q1001,"")*$G258,"")</f>
        <v/>
      </c>
      <c r="Y258" s="179" t="str">
        <f t="array" ref="Y258">IF($F258&lt;&gt;"",XLOOKUP($F258,Productos!$A:$A,Productos!R:R,"Revisar"),"")</f>
        <v/>
      </c>
      <c r="Z258" s="179" t="str">
        <f t="array" ref="Z258">IF($F258&lt;&gt;"", XLOOKUP($F258,Productos!$A$2:$A1001,Productos!S$2:S1001,"")*$G258,"")</f>
        <v/>
      </c>
      <c r="AA258" s="179" t="str">
        <f t="array" ref="AA258">IF($F258&lt;&gt;"",XLOOKUP($F258,Productos!$A:$A,Productos!T:T,"Revisar"),"")</f>
        <v/>
      </c>
      <c r="AB258" s="179" t="str">
        <f t="array" ref="AB258">IF($F258&lt;&gt;"", XLOOKUP($F258,Productos!$A$2:$A1001,Productos!U$2:U1001,"")*$G258,"")</f>
        <v/>
      </c>
      <c r="AC258" s="179" t="str">
        <f t="array" ref="AC258">IF($F258&lt;&gt;"",XLOOKUP($F258,Productos!$A:$A,Productos!V:V,"Revisar"),"")</f>
        <v/>
      </c>
      <c r="AD258" s="179" t="str">
        <f t="array" ref="AD258">IF($F258&lt;&gt;"", XLOOKUP($F258,Productos!$A$2:$A1001,Productos!W$2:W1001,"")*$G258,"")</f>
        <v/>
      </c>
      <c r="AE258" s="179" t="str">
        <f t="array" ref="AE258">IF($F258&lt;&gt;"",XLOOKUP($F258,Productos!$A:$A,Productos!X:X,"Revisar"),"")</f>
        <v/>
      </c>
      <c r="AF258" s="179" t="str">
        <f t="array" ref="AF258">IF($F258&lt;&gt;"", XLOOKUP($F258,Productos!$A$2:$A1001,Productos!Y$2:Y1001,"")*$G258,"")</f>
        <v/>
      </c>
      <c r="AG258" s="179" t="str">
        <f t="array" ref="AG258">IF($F258&lt;&gt;"",XLOOKUP($F258,Productos!$A:$A,Productos!Z:Z,"Revisar"),"")</f>
        <v/>
      </c>
      <c r="AH258" s="179" t="str">
        <f t="array" ref="AH258">IF($F258&lt;&gt;"", XLOOKUP($F258,Productos!$A$2:$A1001,Productos!AA$2:AA1001,"")*$G258,"")</f>
        <v/>
      </c>
      <c r="AI258" s="179" t="str">
        <f t="array" ref="AI258">IF($F258&lt;&gt;"",XLOOKUP($F258,Productos!$A:$A,Productos!AB:AB,"Revisar"),"")</f>
        <v/>
      </c>
      <c r="AJ258" s="179" t="str">
        <f t="array" ref="AJ258">IF($F258&lt;&gt;"", XLOOKUP($F258,Productos!$A$2:$A1001,Productos!AC$2:AC1001,"")*$G258,"")</f>
        <v/>
      </c>
      <c r="AK258" s="179" t="str">
        <f t="array" ref="AK258">IF($F258&lt;&gt;"",XLOOKUP($F258,Productos!$A:$A,Productos!AD:AD,"Revisar"),"")</f>
        <v/>
      </c>
      <c r="AL258" s="179" t="str">
        <f t="array" ref="AL258">IF($F258&lt;&gt;"", XLOOKUP($F258,Productos!$A$2:$A1001,Productos!AE$2:AE1001,"")*$G258,"")</f>
        <v/>
      </c>
      <c r="AM258" s="179" t="str">
        <f t="array" ref="AM258">IF($F258&lt;&gt;"",XLOOKUP($F258,Productos!$A:$A,Productos!AF:AF,"Revisar"),"")</f>
        <v/>
      </c>
      <c r="AN258" s="179" t="str">
        <f t="array" ref="AN258">IF($F258&lt;&gt;"", XLOOKUP($F258,Productos!$A$2:$A1001,Productos!AG$2:AG1001,"")*$G258,"")</f>
        <v/>
      </c>
      <c r="AO258" s="179" t="str">
        <f t="array" ref="AO258">IF($F258&lt;&gt;"",XLOOKUP($F258,Productos!$A:$A,Productos!AH:AH,"Revisar"),"")</f>
        <v/>
      </c>
      <c r="AP258" s="179" t="str">
        <f t="array" ref="AP258">IF($F258&lt;&gt;"", XLOOKUP($F258,Productos!$A$2:$A1001,Productos!AI$2:AI1001,"")*$G258,"")</f>
        <v/>
      </c>
      <c r="AQ258" s="179" t="str">
        <f t="array" ref="AQ258">IF($F258&lt;&gt;"",XLOOKUP($F258,Productos!$A:$A,Productos!AJ:AJ,"Revisar"),"")</f>
        <v/>
      </c>
      <c r="AR258" s="179" t="str">
        <f t="array" ref="AR258">IF($F258&lt;&gt;"", XLOOKUP($F258,Productos!$A$2:$A1001,Productos!AK$2:AK1001,"")*$G258,"")</f>
        <v/>
      </c>
      <c r="AS258" s="179" t="str">
        <f t="array" ref="AS258">IF($F258&lt;&gt;"",XLOOKUP($F258,Productos!$A:$A,Productos!AL:AL,"Revisar"),"")</f>
        <v/>
      </c>
      <c r="AT258" s="179" t="str">
        <f t="array" ref="AT258">IF($F258&lt;&gt;"", XLOOKUP($F258,Productos!$A$2:$A1001,Productos!AM$2:AM1001,"")*$G258,"")</f>
        <v/>
      </c>
      <c r="AU258" s="179" t="str">
        <f t="array" ref="AU258">IF($F258&lt;&gt;"",XLOOKUP($F258,Productos!$A:$A,Productos!AN:AN,"Revisar"),"")</f>
        <v/>
      </c>
      <c r="AV258" s="179" t="str">
        <f t="array" ref="AV258">IF($F258&lt;&gt;"", XLOOKUP($F258,Productos!$A$2:$A1001,Productos!AO$2:AO1001,"")*$G258,"")</f>
        <v/>
      </c>
      <c r="AW258" s="179" t="str">
        <f t="array" ref="AW258">IF($F258&lt;&gt;"",XLOOKUP($F258,Productos!$A:$A,Productos!AP:AP,"Revisar"),"")</f>
        <v/>
      </c>
      <c r="AX258" s="179" t="str">
        <f t="array" ref="AX258">IF($F258&lt;&gt;"", XLOOKUP($F258,Productos!$A$2:$A1001,Productos!AQ$2:AQ1001,"")*$G258,"")</f>
        <v/>
      </c>
      <c r="AY258" s="179" t="str">
        <f t="array" ref="AY258">IF($F258&lt;&gt;"",XLOOKUP($F258,Productos!$A:$A,Productos!AR:AR,"Revisar"),"")</f>
        <v/>
      </c>
      <c r="AZ258" s="179" t="str">
        <f t="array" ref="AZ258">IF($F258&lt;&gt;"", XLOOKUP($F258,Productos!$A$2:$A1001,Productos!AS$2:AS1001,"")*$G258,"")</f>
        <v/>
      </c>
      <c r="BA258" s="179" t="str">
        <f t="array" ref="BA258">IF($F258&lt;&gt;"",XLOOKUP($F258,Productos!$A:$A,Productos!AT:AT,"Revisar"),"")</f>
        <v/>
      </c>
      <c r="BB258" s="179" t="str">
        <f t="array" ref="BB258">IF($F258&lt;&gt;"", XLOOKUP($F258,Productos!$A$2:$A1001,Productos!AU$2:AU1001,"")*$G258,"")</f>
        <v/>
      </c>
      <c r="BC258" s="179" t="str">
        <f t="array" ref="BC258">IF($F258&lt;&gt;"",XLOOKUP($F258,Productos!$A:$A,Productos!AV:AV,"Revisar"),"")</f>
        <v/>
      </c>
      <c r="BD258" s="179" t="str">
        <f t="array" ref="BD258">IF($F258&lt;&gt;"", XLOOKUP($F258,Productos!$A$2:$A1001,Productos!AW$2:AW1001,"")*$G258,"")</f>
        <v/>
      </c>
      <c r="BE258" s="179" t="str">
        <f t="array" ref="BE258">IF($F258&lt;&gt;"",XLOOKUP($F258,Productos!$A:$A,Productos!AX:AX,"Revisar"),"")</f>
        <v/>
      </c>
      <c r="BF258" s="179" t="str">
        <f t="array" ref="BF258">IF($F258&lt;&gt;"", XLOOKUP($F258,Productos!$A$2:$A1001,Productos!AY$2:AY1001,"")*$G258,"")</f>
        <v/>
      </c>
      <c r="BG258" s="179" t="str">
        <f t="array" ref="BG258">IF($F258&lt;&gt;"",XLOOKUP($F258,Productos!$A:$A,Productos!AZ:AZ,"Revisar"),"")</f>
        <v/>
      </c>
      <c r="BH258" s="179" t="str">
        <f t="array" ref="BH258">IF($F258&lt;&gt;"", XLOOKUP($F258,Productos!$A$2:$A1001,Productos!BA$2:BA1001,"")*$G258,"")</f>
        <v/>
      </c>
      <c r="BI258" s="179" t="str">
        <f t="array" ref="BI258">IF($F258&lt;&gt;"",XLOOKUP($F258,Productos!$A:$A,Productos!BB:BB,"Revisar"),"")</f>
        <v/>
      </c>
      <c r="BJ258" s="179" t="str">
        <f t="array" ref="BJ258">IF($F258&lt;&gt;"", XLOOKUP($F258,Productos!$A$2:$A1001,Productos!BC$2:BC1001,"")*$G258,"")</f>
        <v/>
      </c>
      <c r="BK258" s="179" t="str">
        <f t="array" ref="BK258">IF($F258&lt;&gt;"",XLOOKUP($F258,Productos!$A:$A,Productos!BD:BD,"Revisar"),"")</f>
        <v/>
      </c>
      <c r="BL258" s="179" t="str">
        <f t="array" ref="BL258">IF($F258&lt;&gt;"", XLOOKUP($F258,Productos!$A$2:$A1001,Productos!BE$2:BE1001,"")*$G258,"")</f>
        <v/>
      </c>
      <c r="BM258" s="179" t="str">
        <f t="array" ref="BM258">IF($F258&lt;&gt;"",XLOOKUP($F258,Productos!$A:$A,Productos!BF:BF,"Revisar"),"")</f>
        <v/>
      </c>
      <c r="BN258" s="179" t="str">
        <f t="array" ref="BN258">IF($F258&lt;&gt;"", XLOOKUP($F258,Productos!$A$2:$A1001,Productos!BG$2:BG1001,"")*$G258,"")</f>
        <v/>
      </c>
      <c r="BO258" s="179" t="str">
        <f t="array" ref="BO258">IF($F258&lt;&gt;"",XLOOKUP($F258,Productos!$A:$A,Productos!BH:BH,"Revisar"),"")</f>
        <v/>
      </c>
      <c r="BP258" s="179" t="str">
        <f t="array" ref="BP258">IF($F258&lt;&gt;"", XLOOKUP($F258,Productos!$A$2:$A1001,Productos!BI$2:BI1001,"")*$G258,"")</f>
        <v/>
      </c>
      <c r="BQ258" s="179" t="str">
        <f t="array" ref="BQ258">IF($F258&lt;&gt;"",XLOOKUP($F258,Productos!$A:$A,Productos!BJ:BJ,"Revisar"),"")</f>
        <v/>
      </c>
      <c r="BR258" s="179" t="str">
        <f t="array" ref="BR258">IF($F258&lt;&gt;"", XLOOKUP($F258,Productos!$A$2:$A1001,Productos!BK$2:BK1001,"")*$G258,"")</f>
        <v/>
      </c>
      <c r="BS258" s="179" t="str">
        <f t="array" ref="BS258">IF($F258&lt;&gt;"",XLOOKUP($F258,Productos!$A:$A,Productos!BL:BL,"Revisar"),"")</f>
        <v/>
      </c>
      <c r="BT258" s="179" t="str">
        <f t="array" ref="BT258">IF($F258&lt;&gt;"", XLOOKUP($F258,Productos!$A$2:$A1001,Productos!BM$2:BM1001,"")*$G258,"")</f>
        <v/>
      </c>
      <c r="BU258" s="179" t="str">
        <f t="array" ref="BU258">IF($F258&lt;&gt;"",XLOOKUP($F258,Productos!$A:$A,Productos!BN:BN,"Revisar"),"")</f>
        <v/>
      </c>
      <c r="BV258" s="179" t="str">
        <f t="array" ref="BV258">IF($F258&lt;&gt;"", XLOOKUP($F258,Productos!$A$2:$A1001,Productos!BO$2:BO1001,"")*$G258,"")</f>
        <v/>
      </c>
      <c r="BW258" s="179" t="str">
        <f t="array" ref="BW258">IF($F258&lt;&gt;"",XLOOKUP($F258,Productos!$A:$A,Productos!BP:BP,"Revisar"),"")</f>
        <v/>
      </c>
      <c r="BX258" s="179" t="str">
        <f t="array" ref="BX258">IF($F258&lt;&gt;"", XLOOKUP($F258,Productos!$A$2:$A1001,Productos!BQ$2:BQ1001,"")*$G258,"")</f>
        <v/>
      </c>
      <c r="BY258" s="179" t="str">
        <f t="array" ref="BY258">IF($F258&lt;&gt;"",XLOOKUP($F258,Productos!$A:$A,Productos!BR:BR,"Revisar"),"")</f>
        <v/>
      </c>
      <c r="BZ258" s="179" t="str">
        <f t="array" ref="BZ258">IF($F258&lt;&gt;"", XLOOKUP($F258,Productos!$A$2:$A1001,Productos!BS$2:BS1001,"")*$G258,"")</f>
        <v/>
      </c>
    </row>
    <row r="259">
      <c r="A259" s="180"/>
      <c r="B259" s="181"/>
      <c r="C259" s="182"/>
      <c r="D259" s="182"/>
      <c r="E259" s="185"/>
      <c r="F259" s="186"/>
      <c r="G259" s="187"/>
      <c r="H259" s="186"/>
      <c r="I259" s="179" t="str">
        <f t="array" ref="I259">IF($F259&lt;&gt;"",XLOOKUP($F259,Productos!$A:$A,Productos!B:B,"Revisar"),"")</f>
        <v/>
      </c>
      <c r="J259" s="179" t="str">
        <f t="array" ref="J259">IF($F259&lt;&gt;"", XLOOKUP($F259,Productos!$A$2:$A1001,Productos!C$2:C1001,"")*$G259,"")</f>
        <v/>
      </c>
      <c r="K259" s="179" t="str">
        <f t="array" ref="K259">IF($F259&lt;&gt;"",XLOOKUP($F259,Productos!$A:$A,Productos!D:D,"Revisar"),"")</f>
        <v/>
      </c>
      <c r="L259" s="179" t="str">
        <f t="array" ref="L259">IF($F259&lt;&gt;"", XLOOKUP($F259,Productos!$A$2:$A1001,Productos!E$2:E1001,"")*$G259,"")</f>
        <v/>
      </c>
      <c r="M259" s="179" t="str">
        <f t="array" ref="M259">IF($F259&lt;&gt;"",XLOOKUP($F259,Productos!$A:$A,Productos!F:F,"Revisar"),"")</f>
        <v/>
      </c>
      <c r="N259" s="179" t="str">
        <f t="array" ref="N259">IF($F259&lt;&gt;"", XLOOKUP($F259,Productos!$A$2:$A1001,Productos!G$2:G1001,"")*$G259,"")</f>
        <v/>
      </c>
      <c r="O259" s="179" t="str">
        <f t="array" ref="O259">IF($F259&lt;&gt;"",XLOOKUP($F259,Productos!$A:$A,Productos!H:H,"Revisar"),"")</f>
        <v/>
      </c>
      <c r="P259" s="179" t="str">
        <f t="array" ref="P259">IF($F259&lt;&gt;"", XLOOKUP($F259,Productos!$A$2:$A1001,Productos!I$2:I1001,"")*$G259,"")</f>
        <v/>
      </c>
      <c r="Q259" s="179" t="str">
        <f t="array" ref="Q259">IF($F259&lt;&gt;"",XLOOKUP($F259,Productos!$A:$A,Productos!J:J,"Revisar"),"")</f>
        <v/>
      </c>
      <c r="R259" s="179" t="str">
        <f t="array" ref="R259">IF($F259&lt;&gt;"", XLOOKUP($F259,Productos!$A$2:$A1001,Productos!K$2:K1001,"")*$G259,"")</f>
        <v/>
      </c>
      <c r="S259" s="179" t="str">
        <f t="array" ref="S259">IF($F259&lt;&gt;"",XLOOKUP($F259,Productos!$A:$A,Productos!L:L,"Revisar"),"")</f>
        <v/>
      </c>
      <c r="T259" s="179" t="str">
        <f t="array" ref="T259">IF($F259&lt;&gt;"", XLOOKUP($F259,Productos!$A$2:$A1001,Productos!M$2:M1001,"")*$G259,"")</f>
        <v/>
      </c>
      <c r="U259" s="179" t="str">
        <f t="array" ref="U259">IF($F259&lt;&gt;"",XLOOKUP($F259,Productos!$A:$A,Productos!N:N,"Revisar"),"")</f>
        <v/>
      </c>
      <c r="V259" s="179" t="str">
        <f t="array" ref="V259">IF($F259&lt;&gt;"", XLOOKUP($F259,Productos!$A$2:$A1001,Productos!O$2:O1001,"")*$G259,"")</f>
        <v/>
      </c>
      <c r="W259" s="179" t="str">
        <f t="array" ref="W259">IF($F259&lt;&gt;"",XLOOKUP($F259,Productos!$A:$A,Productos!P:P,"Revisar"),"")</f>
        <v/>
      </c>
      <c r="X259" s="179" t="str">
        <f t="array" ref="X259">IF($F259&lt;&gt;"", XLOOKUP($F259,Productos!$A$2:$A1001,Productos!Q$2:Q1001,"")*$G259,"")</f>
        <v/>
      </c>
      <c r="Y259" s="179" t="str">
        <f t="array" ref="Y259">IF($F259&lt;&gt;"",XLOOKUP($F259,Productos!$A:$A,Productos!R:R,"Revisar"),"")</f>
        <v/>
      </c>
      <c r="Z259" s="179" t="str">
        <f t="array" ref="Z259">IF($F259&lt;&gt;"", XLOOKUP($F259,Productos!$A$2:$A1001,Productos!S$2:S1001,"")*$G259,"")</f>
        <v/>
      </c>
      <c r="AA259" s="179" t="str">
        <f t="array" ref="AA259">IF($F259&lt;&gt;"",XLOOKUP($F259,Productos!$A:$A,Productos!T:T,"Revisar"),"")</f>
        <v/>
      </c>
      <c r="AB259" s="179" t="str">
        <f t="array" ref="AB259">IF($F259&lt;&gt;"", XLOOKUP($F259,Productos!$A$2:$A1001,Productos!U$2:U1001,"")*$G259,"")</f>
        <v/>
      </c>
      <c r="AC259" s="179" t="str">
        <f t="array" ref="AC259">IF($F259&lt;&gt;"",XLOOKUP($F259,Productos!$A:$A,Productos!V:V,"Revisar"),"")</f>
        <v/>
      </c>
      <c r="AD259" s="179" t="str">
        <f t="array" ref="AD259">IF($F259&lt;&gt;"", XLOOKUP($F259,Productos!$A$2:$A1001,Productos!W$2:W1001,"")*$G259,"")</f>
        <v/>
      </c>
      <c r="AE259" s="179" t="str">
        <f t="array" ref="AE259">IF($F259&lt;&gt;"",XLOOKUP($F259,Productos!$A:$A,Productos!X:X,"Revisar"),"")</f>
        <v/>
      </c>
      <c r="AF259" s="179" t="str">
        <f t="array" ref="AF259">IF($F259&lt;&gt;"", XLOOKUP($F259,Productos!$A$2:$A1001,Productos!Y$2:Y1001,"")*$G259,"")</f>
        <v/>
      </c>
      <c r="AG259" s="179" t="str">
        <f t="array" ref="AG259">IF($F259&lt;&gt;"",XLOOKUP($F259,Productos!$A:$A,Productos!Z:Z,"Revisar"),"")</f>
        <v/>
      </c>
      <c r="AH259" s="179" t="str">
        <f t="array" ref="AH259">IF($F259&lt;&gt;"", XLOOKUP($F259,Productos!$A$2:$A1001,Productos!AA$2:AA1001,"")*$G259,"")</f>
        <v/>
      </c>
      <c r="AI259" s="179" t="str">
        <f t="array" ref="AI259">IF($F259&lt;&gt;"",XLOOKUP($F259,Productos!$A:$A,Productos!AB:AB,"Revisar"),"")</f>
        <v/>
      </c>
      <c r="AJ259" s="179" t="str">
        <f t="array" ref="AJ259">IF($F259&lt;&gt;"", XLOOKUP($F259,Productos!$A$2:$A1001,Productos!AC$2:AC1001,"")*$G259,"")</f>
        <v/>
      </c>
      <c r="AK259" s="179" t="str">
        <f t="array" ref="AK259">IF($F259&lt;&gt;"",XLOOKUP($F259,Productos!$A:$A,Productos!AD:AD,"Revisar"),"")</f>
        <v/>
      </c>
      <c r="AL259" s="179" t="str">
        <f t="array" ref="AL259">IF($F259&lt;&gt;"", XLOOKUP($F259,Productos!$A$2:$A1001,Productos!AE$2:AE1001,"")*$G259,"")</f>
        <v/>
      </c>
      <c r="AM259" s="179" t="str">
        <f t="array" ref="AM259">IF($F259&lt;&gt;"",XLOOKUP($F259,Productos!$A:$A,Productos!AF:AF,"Revisar"),"")</f>
        <v/>
      </c>
      <c r="AN259" s="179" t="str">
        <f t="array" ref="AN259">IF($F259&lt;&gt;"", XLOOKUP($F259,Productos!$A$2:$A1001,Productos!AG$2:AG1001,"")*$G259,"")</f>
        <v/>
      </c>
      <c r="AO259" s="179" t="str">
        <f t="array" ref="AO259">IF($F259&lt;&gt;"",XLOOKUP($F259,Productos!$A:$A,Productos!AH:AH,"Revisar"),"")</f>
        <v/>
      </c>
      <c r="AP259" s="179" t="str">
        <f t="array" ref="AP259">IF($F259&lt;&gt;"", XLOOKUP($F259,Productos!$A$2:$A1001,Productos!AI$2:AI1001,"")*$G259,"")</f>
        <v/>
      </c>
      <c r="AQ259" s="179" t="str">
        <f t="array" ref="AQ259">IF($F259&lt;&gt;"",XLOOKUP($F259,Productos!$A:$A,Productos!AJ:AJ,"Revisar"),"")</f>
        <v/>
      </c>
      <c r="AR259" s="179" t="str">
        <f t="array" ref="AR259">IF($F259&lt;&gt;"", XLOOKUP($F259,Productos!$A$2:$A1001,Productos!AK$2:AK1001,"")*$G259,"")</f>
        <v/>
      </c>
      <c r="AS259" s="179" t="str">
        <f t="array" ref="AS259">IF($F259&lt;&gt;"",XLOOKUP($F259,Productos!$A:$A,Productos!AL:AL,"Revisar"),"")</f>
        <v/>
      </c>
      <c r="AT259" s="179" t="str">
        <f t="array" ref="AT259">IF($F259&lt;&gt;"", XLOOKUP($F259,Productos!$A$2:$A1001,Productos!AM$2:AM1001,"")*$G259,"")</f>
        <v/>
      </c>
      <c r="AU259" s="179" t="str">
        <f t="array" ref="AU259">IF($F259&lt;&gt;"",XLOOKUP($F259,Productos!$A:$A,Productos!AN:AN,"Revisar"),"")</f>
        <v/>
      </c>
      <c r="AV259" s="179" t="str">
        <f t="array" ref="AV259">IF($F259&lt;&gt;"", XLOOKUP($F259,Productos!$A$2:$A1001,Productos!AO$2:AO1001,"")*$G259,"")</f>
        <v/>
      </c>
      <c r="AW259" s="179" t="str">
        <f t="array" ref="AW259">IF($F259&lt;&gt;"",XLOOKUP($F259,Productos!$A:$A,Productos!AP:AP,"Revisar"),"")</f>
        <v/>
      </c>
      <c r="AX259" s="179" t="str">
        <f t="array" ref="AX259">IF($F259&lt;&gt;"", XLOOKUP($F259,Productos!$A$2:$A1001,Productos!AQ$2:AQ1001,"")*$G259,"")</f>
        <v/>
      </c>
      <c r="AY259" s="179" t="str">
        <f t="array" ref="AY259">IF($F259&lt;&gt;"",XLOOKUP($F259,Productos!$A:$A,Productos!AR:AR,"Revisar"),"")</f>
        <v/>
      </c>
      <c r="AZ259" s="179" t="str">
        <f t="array" ref="AZ259">IF($F259&lt;&gt;"", XLOOKUP($F259,Productos!$A$2:$A1001,Productos!AS$2:AS1001,"")*$G259,"")</f>
        <v/>
      </c>
      <c r="BA259" s="179" t="str">
        <f t="array" ref="BA259">IF($F259&lt;&gt;"",XLOOKUP($F259,Productos!$A:$A,Productos!AT:AT,"Revisar"),"")</f>
        <v/>
      </c>
      <c r="BB259" s="179" t="str">
        <f t="array" ref="BB259">IF($F259&lt;&gt;"", XLOOKUP($F259,Productos!$A$2:$A1001,Productos!AU$2:AU1001,"")*$G259,"")</f>
        <v/>
      </c>
      <c r="BC259" s="179" t="str">
        <f t="array" ref="BC259">IF($F259&lt;&gt;"",XLOOKUP($F259,Productos!$A:$A,Productos!AV:AV,"Revisar"),"")</f>
        <v/>
      </c>
      <c r="BD259" s="179" t="str">
        <f t="array" ref="BD259">IF($F259&lt;&gt;"", XLOOKUP($F259,Productos!$A$2:$A1001,Productos!AW$2:AW1001,"")*$G259,"")</f>
        <v/>
      </c>
      <c r="BE259" s="179" t="str">
        <f t="array" ref="BE259">IF($F259&lt;&gt;"",XLOOKUP($F259,Productos!$A:$A,Productos!AX:AX,"Revisar"),"")</f>
        <v/>
      </c>
      <c r="BF259" s="179" t="str">
        <f t="array" ref="BF259">IF($F259&lt;&gt;"", XLOOKUP($F259,Productos!$A$2:$A1001,Productos!AY$2:AY1001,"")*$G259,"")</f>
        <v/>
      </c>
      <c r="BG259" s="179" t="str">
        <f t="array" ref="BG259">IF($F259&lt;&gt;"",XLOOKUP($F259,Productos!$A:$A,Productos!AZ:AZ,"Revisar"),"")</f>
        <v/>
      </c>
      <c r="BH259" s="179" t="str">
        <f t="array" ref="BH259">IF($F259&lt;&gt;"", XLOOKUP($F259,Productos!$A$2:$A1001,Productos!BA$2:BA1001,"")*$G259,"")</f>
        <v/>
      </c>
      <c r="BI259" s="179" t="str">
        <f t="array" ref="BI259">IF($F259&lt;&gt;"",XLOOKUP($F259,Productos!$A:$A,Productos!BB:BB,"Revisar"),"")</f>
        <v/>
      </c>
      <c r="BJ259" s="179" t="str">
        <f t="array" ref="BJ259">IF($F259&lt;&gt;"", XLOOKUP($F259,Productos!$A$2:$A1001,Productos!BC$2:BC1001,"")*$G259,"")</f>
        <v/>
      </c>
      <c r="BK259" s="179" t="str">
        <f t="array" ref="BK259">IF($F259&lt;&gt;"",XLOOKUP($F259,Productos!$A:$A,Productos!BD:BD,"Revisar"),"")</f>
        <v/>
      </c>
      <c r="BL259" s="179" t="str">
        <f t="array" ref="BL259">IF($F259&lt;&gt;"", XLOOKUP($F259,Productos!$A$2:$A1001,Productos!BE$2:BE1001,"")*$G259,"")</f>
        <v/>
      </c>
      <c r="BM259" s="179" t="str">
        <f t="array" ref="BM259">IF($F259&lt;&gt;"",XLOOKUP($F259,Productos!$A:$A,Productos!BF:BF,"Revisar"),"")</f>
        <v/>
      </c>
      <c r="BN259" s="179" t="str">
        <f t="array" ref="BN259">IF($F259&lt;&gt;"", XLOOKUP($F259,Productos!$A$2:$A1001,Productos!BG$2:BG1001,"")*$G259,"")</f>
        <v/>
      </c>
      <c r="BO259" s="179" t="str">
        <f t="array" ref="BO259">IF($F259&lt;&gt;"",XLOOKUP($F259,Productos!$A:$A,Productos!BH:BH,"Revisar"),"")</f>
        <v/>
      </c>
      <c r="BP259" s="179" t="str">
        <f t="array" ref="BP259">IF($F259&lt;&gt;"", XLOOKUP($F259,Productos!$A$2:$A1001,Productos!BI$2:BI1001,"")*$G259,"")</f>
        <v/>
      </c>
      <c r="BQ259" s="179" t="str">
        <f t="array" ref="BQ259">IF($F259&lt;&gt;"",XLOOKUP($F259,Productos!$A:$A,Productos!BJ:BJ,"Revisar"),"")</f>
        <v/>
      </c>
      <c r="BR259" s="179" t="str">
        <f t="array" ref="BR259">IF($F259&lt;&gt;"", XLOOKUP($F259,Productos!$A$2:$A1001,Productos!BK$2:BK1001,"")*$G259,"")</f>
        <v/>
      </c>
      <c r="BS259" s="179" t="str">
        <f t="array" ref="BS259">IF($F259&lt;&gt;"",XLOOKUP($F259,Productos!$A:$A,Productos!BL:BL,"Revisar"),"")</f>
        <v/>
      </c>
      <c r="BT259" s="179" t="str">
        <f t="array" ref="BT259">IF($F259&lt;&gt;"", XLOOKUP($F259,Productos!$A$2:$A1001,Productos!BM$2:BM1001,"")*$G259,"")</f>
        <v/>
      </c>
      <c r="BU259" s="179" t="str">
        <f t="array" ref="BU259">IF($F259&lt;&gt;"",XLOOKUP($F259,Productos!$A:$A,Productos!BN:BN,"Revisar"),"")</f>
        <v/>
      </c>
      <c r="BV259" s="179" t="str">
        <f t="array" ref="BV259">IF($F259&lt;&gt;"", XLOOKUP($F259,Productos!$A$2:$A1001,Productos!BO$2:BO1001,"")*$G259,"")</f>
        <v/>
      </c>
      <c r="BW259" s="179" t="str">
        <f t="array" ref="BW259">IF($F259&lt;&gt;"",XLOOKUP($F259,Productos!$A:$A,Productos!BP:BP,"Revisar"),"")</f>
        <v/>
      </c>
      <c r="BX259" s="179" t="str">
        <f t="array" ref="BX259">IF($F259&lt;&gt;"", XLOOKUP($F259,Productos!$A$2:$A1001,Productos!BQ$2:BQ1001,"")*$G259,"")</f>
        <v/>
      </c>
      <c r="BY259" s="179" t="str">
        <f t="array" ref="BY259">IF($F259&lt;&gt;"",XLOOKUP($F259,Productos!$A:$A,Productos!BR:BR,"Revisar"),"")</f>
        <v/>
      </c>
      <c r="BZ259" s="179" t="str">
        <f t="array" ref="BZ259">IF($F259&lt;&gt;"", XLOOKUP($F259,Productos!$A$2:$A1001,Productos!BS$2:BS1001,"")*$G259,"")</f>
        <v/>
      </c>
    </row>
    <row r="260">
      <c r="A260" s="180"/>
      <c r="B260" s="181"/>
      <c r="C260" s="182"/>
      <c r="D260" s="182"/>
      <c r="E260" s="185"/>
      <c r="F260" s="186"/>
      <c r="G260" s="187"/>
      <c r="H260" s="186"/>
      <c r="I260" s="179" t="str">
        <f t="array" ref="I260">IF($F260&lt;&gt;"",XLOOKUP($F260,Productos!$A:$A,Productos!B:B,"Revisar"),"")</f>
        <v/>
      </c>
      <c r="J260" s="179" t="str">
        <f t="array" ref="J260">IF($F260&lt;&gt;"", XLOOKUP($F260,Productos!$A$2:$A1001,Productos!C$2:C1001,"")*$G260,"")</f>
        <v/>
      </c>
      <c r="K260" s="179" t="str">
        <f t="array" ref="K260">IF($F260&lt;&gt;"",XLOOKUP($F260,Productos!$A:$A,Productos!D:D,"Revisar"),"")</f>
        <v/>
      </c>
      <c r="L260" s="179" t="str">
        <f t="array" ref="L260">IF($F260&lt;&gt;"", XLOOKUP($F260,Productos!$A$2:$A1001,Productos!E$2:E1001,"")*$G260,"")</f>
        <v/>
      </c>
      <c r="M260" s="179" t="str">
        <f t="array" ref="M260">IF($F260&lt;&gt;"",XLOOKUP($F260,Productos!$A:$A,Productos!F:F,"Revisar"),"")</f>
        <v/>
      </c>
      <c r="N260" s="179" t="str">
        <f t="array" ref="N260">IF($F260&lt;&gt;"", XLOOKUP($F260,Productos!$A$2:$A1001,Productos!G$2:G1001,"")*$G260,"")</f>
        <v/>
      </c>
      <c r="O260" s="179" t="str">
        <f t="array" ref="O260">IF($F260&lt;&gt;"",XLOOKUP($F260,Productos!$A:$A,Productos!H:H,"Revisar"),"")</f>
        <v/>
      </c>
      <c r="P260" s="179" t="str">
        <f t="array" ref="P260">IF($F260&lt;&gt;"", XLOOKUP($F260,Productos!$A$2:$A1001,Productos!I$2:I1001,"")*$G260,"")</f>
        <v/>
      </c>
      <c r="Q260" s="179" t="str">
        <f t="array" ref="Q260">IF($F260&lt;&gt;"",XLOOKUP($F260,Productos!$A:$A,Productos!J:J,"Revisar"),"")</f>
        <v/>
      </c>
      <c r="R260" s="179" t="str">
        <f t="array" ref="R260">IF($F260&lt;&gt;"", XLOOKUP($F260,Productos!$A$2:$A1001,Productos!K$2:K1001,"")*$G260,"")</f>
        <v/>
      </c>
      <c r="S260" s="179" t="str">
        <f t="array" ref="S260">IF($F260&lt;&gt;"",XLOOKUP($F260,Productos!$A:$A,Productos!L:L,"Revisar"),"")</f>
        <v/>
      </c>
      <c r="T260" s="179" t="str">
        <f t="array" ref="T260">IF($F260&lt;&gt;"", XLOOKUP($F260,Productos!$A$2:$A1001,Productos!M$2:M1001,"")*$G260,"")</f>
        <v/>
      </c>
      <c r="U260" s="179" t="str">
        <f t="array" ref="U260">IF($F260&lt;&gt;"",XLOOKUP($F260,Productos!$A:$A,Productos!N:N,"Revisar"),"")</f>
        <v/>
      </c>
      <c r="V260" s="179" t="str">
        <f t="array" ref="V260">IF($F260&lt;&gt;"", XLOOKUP($F260,Productos!$A$2:$A1001,Productos!O$2:O1001,"")*$G260,"")</f>
        <v/>
      </c>
      <c r="W260" s="179" t="str">
        <f t="array" ref="W260">IF($F260&lt;&gt;"",XLOOKUP($F260,Productos!$A:$A,Productos!P:P,"Revisar"),"")</f>
        <v/>
      </c>
      <c r="X260" s="179" t="str">
        <f t="array" ref="X260">IF($F260&lt;&gt;"", XLOOKUP($F260,Productos!$A$2:$A1001,Productos!Q$2:Q1001,"")*$G260,"")</f>
        <v/>
      </c>
      <c r="Y260" s="179" t="str">
        <f t="array" ref="Y260">IF($F260&lt;&gt;"",XLOOKUP($F260,Productos!$A:$A,Productos!R:R,"Revisar"),"")</f>
        <v/>
      </c>
      <c r="Z260" s="179" t="str">
        <f t="array" ref="Z260">IF($F260&lt;&gt;"", XLOOKUP($F260,Productos!$A$2:$A1001,Productos!S$2:S1001,"")*$G260,"")</f>
        <v/>
      </c>
      <c r="AA260" s="179" t="str">
        <f t="array" ref="AA260">IF($F260&lt;&gt;"",XLOOKUP($F260,Productos!$A:$A,Productos!T:T,"Revisar"),"")</f>
        <v/>
      </c>
      <c r="AB260" s="179" t="str">
        <f t="array" ref="AB260">IF($F260&lt;&gt;"", XLOOKUP($F260,Productos!$A$2:$A1001,Productos!U$2:U1001,"")*$G260,"")</f>
        <v/>
      </c>
      <c r="AC260" s="179" t="str">
        <f t="array" ref="AC260">IF($F260&lt;&gt;"",XLOOKUP($F260,Productos!$A:$A,Productos!V:V,"Revisar"),"")</f>
        <v/>
      </c>
      <c r="AD260" s="179" t="str">
        <f t="array" ref="AD260">IF($F260&lt;&gt;"", XLOOKUP($F260,Productos!$A$2:$A1001,Productos!W$2:W1001,"")*$G260,"")</f>
        <v/>
      </c>
      <c r="AE260" s="179" t="str">
        <f t="array" ref="AE260">IF($F260&lt;&gt;"",XLOOKUP($F260,Productos!$A:$A,Productos!X:X,"Revisar"),"")</f>
        <v/>
      </c>
      <c r="AF260" s="179" t="str">
        <f t="array" ref="AF260">IF($F260&lt;&gt;"", XLOOKUP($F260,Productos!$A$2:$A1001,Productos!Y$2:Y1001,"")*$G260,"")</f>
        <v/>
      </c>
      <c r="AG260" s="179" t="str">
        <f t="array" ref="AG260">IF($F260&lt;&gt;"",XLOOKUP($F260,Productos!$A:$A,Productos!Z:Z,"Revisar"),"")</f>
        <v/>
      </c>
      <c r="AH260" s="179" t="str">
        <f t="array" ref="AH260">IF($F260&lt;&gt;"", XLOOKUP($F260,Productos!$A$2:$A1001,Productos!AA$2:AA1001,"")*$G260,"")</f>
        <v/>
      </c>
      <c r="AI260" s="179" t="str">
        <f t="array" ref="AI260">IF($F260&lt;&gt;"",XLOOKUP($F260,Productos!$A:$A,Productos!AB:AB,"Revisar"),"")</f>
        <v/>
      </c>
      <c r="AJ260" s="179" t="str">
        <f t="array" ref="AJ260">IF($F260&lt;&gt;"", XLOOKUP($F260,Productos!$A$2:$A1001,Productos!AC$2:AC1001,"")*$G260,"")</f>
        <v/>
      </c>
      <c r="AK260" s="179" t="str">
        <f t="array" ref="AK260">IF($F260&lt;&gt;"",XLOOKUP($F260,Productos!$A:$A,Productos!AD:AD,"Revisar"),"")</f>
        <v/>
      </c>
      <c r="AL260" s="179" t="str">
        <f t="array" ref="AL260">IF($F260&lt;&gt;"", XLOOKUP($F260,Productos!$A$2:$A1001,Productos!AE$2:AE1001,"")*$G260,"")</f>
        <v/>
      </c>
      <c r="AM260" s="179" t="str">
        <f t="array" ref="AM260">IF($F260&lt;&gt;"",XLOOKUP($F260,Productos!$A:$A,Productos!AF:AF,"Revisar"),"")</f>
        <v/>
      </c>
      <c r="AN260" s="179" t="str">
        <f t="array" ref="AN260">IF($F260&lt;&gt;"", XLOOKUP($F260,Productos!$A$2:$A1001,Productos!AG$2:AG1001,"")*$G260,"")</f>
        <v/>
      </c>
      <c r="AO260" s="179" t="str">
        <f t="array" ref="AO260">IF($F260&lt;&gt;"",XLOOKUP($F260,Productos!$A:$A,Productos!AH:AH,"Revisar"),"")</f>
        <v/>
      </c>
      <c r="AP260" s="179" t="str">
        <f t="array" ref="AP260">IF($F260&lt;&gt;"", XLOOKUP($F260,Productos!$A$2:$A1001,Productos!AI$2:AI1001,"")*$G260,"")</f>
        <v/>
      </c>
      <c r="AQ260" s="179" t="str">
        <f t="array" ref="AQ260">IF($F260&lt;&gt;"",XLOOKUP($F260,Productos!$A:$A,Productos!AJ:AJ,"Revisar"),"")</f>
        <v/>
      </c>
      <c r="AR260" s="179" t="str">
        <f t="array" ref="AR260">IF($F260&lt;&gt;"", XLOOKUP($F260,Productos!$A$2:$A1001,Productos!AK$2:AK1001,"")*$G260,"")</f>
        <v/>
      </c>
      <c r="AS260" s="179" t="str">
        <f t="array" ref="AS260">IF($F260&lt;&gt;"",XLOOKUP($F260,Productos!$A:$A,Productos!AL:AL,"Revisar"),"")</f>
        <v/>
      </c>
      <c r="AT260" s="179" t="str">
        <f t="array" ref="AT260">IF($F260&lt;&gt;"", XLOOKUP($F260,Productos!$A$2:$A1001,Productos!AM$2:AM1001,"")*$G260,"")</f>
        <v/>
      </c>
      <c r="AU260" s="179" t="str">
        <f t="array" ref="AU260">IF($F260&lt;&gt;"",XLOOKUP($F260,Productos!$A:$A,Productos!AN:AN,"Revisar"),"")</f>
        <v/>
      </c>
      <c r="AV260" s="179" t="str">
        <f t="array" ref="AV260">IF($F260&lt;&gt;"", XLOOKUP($F260,Productos!$A$2:$A1001,Productos!AO$2:AO1001,"")*$G260,"")</f>
        <v/>
      </c>
      <c r="AW260" s="179" t="str">
        <f t="array" ref="AW260">IF($F260&lt;&gt;"",XLOOKUP($F260,Productos!$A:$A,Productos!AP:AP,"Revisar"),"")</f>
        <v/>
      </c>
      <c r="AX260" s="179" t="str">
        <f t="array" ref="AX260">IF($F260&lt;&gt;"", XLOOKUP($F260,Productos!$A$2:$A1001,Productos!AQ$2:AQ1001,"")*$G260,"")</f>
        <v/>
      </c>
      <c r="AY260" s="179" t="str">
        <f t="array" ref="AY260">IF($F260&lt;&gt;"",XLOOKUP($F260,Productos!$A:$A,Productos!AR:AR,"Revisar"),"")</f>
        <v/>
      </c>
      <c r="AZ260" s="179" t="str">
        <f t="array" ref="AZ260">IF($F260&lt;&gt;"", XLOOKUP($F260,Productos!$A$2:$A1001,Productos!AS$2:AS1001,"")*$G260,"")</f>
        <v/>
      </c>
      <c r="BA260" s="179" t="str">
        <f t="array" ref="BA260">IF($F260&lt;&gt;"",XLOOKUP($F260,Productos!$A:$A,Productos!AT:AT,"Revisar"),"")</f>
        <v/>
      </c>
      <c r="BB260" s="179" t="str">
        <f t="array" ref="BB260">IF($F260&lt;&gt;"", XLOOKUP($F260,Productos!$A$2:$A1001,Productos!AU$2:AU1001,"")*$G260,"")</f>
        <v/>
      </c>
      <c r="BC260" s="179" t="str">
        <f t="array" ref="BC260">IF($F260&lt;&gt;"",XLOOKUP($F260,Productos!$A:$A,Productos!AV:AV,"Revisar"),"")</f>
        <v/>
      </c>
      <c r="BD260" s="179" t="str">
        <f t="array" ref="BD260">IF($F260&lt;&gt;"", XLOOKUP($F260,Productos!$A$2:$A1001,Productos!AW$2:AW1001,"")*$G260,"")</f>
        <v/>
      </c>
      <c r="BE260" s="179" t="str">
        <f t="array" ref="BE260">IF($F260&lt;&gt;"",XLOOKUP($F260,Productos!$A:$A,Productos!AX:AX,"Revisar"),"")</f>
        <v/>
      </c>
      <c r="BF260" s="179" t="str">
        <f t="array" ref="BF260">IF($F260&lt;&gt;"", XLOOKUP($F260,Productos!$A$2:$A1001,Productos!AY$2:AY1001,"")*$G260,"")</f>
        <v/>
      </c>
      <c r="BG260" s="179" t="str">
        <f t="array" ref="BG260">IF($F260&lt;&gt;"",XLOOKUP($F260,Productos!$A:$A,Productos!AZ:AZ,"Revisar"),"")</f>
        <v/>
      </c>
      <c r="BH260" s="179" t="str">
        <f t="array" ref="BH260">IF($F260&lt;&gt;"", XLOOKUP($F260,Productos!$A$2:$A1001,Productos!BA$2:BA1001,"")*$G260,"")</f>
        <v/>
      </c>
      <c r="BI260" s="179" t="str">
        <f t="array" ref="BI260">IF($F260&lt;&gt;"",XLOOKUP($F260,Productos!$A:$A,Productos!BB:BB,"Revisar"),"")</f>
        <v/>
      </c>
      <c r="BJ260" s="179" t="str">
        <f t="array" ref="BJ260">IF($F260&lt;&gt;"", XLOOKUP($F260,Productos!$A$2:$A1001,Productos!BC$2:BC1001,"")*$G260,"")</f>
        <v/>
      </c>
      <c r="BK260" s="179" t="str">
        <f t="array" ref="BK260">IF($F260&lt;&gt;"",XLOOKUP($F260,Productos!$A:$A,Productos!BD:BD,"Revisar"),"")</f>
        <v/>
      </c>
      <c r="BL260" s="179" t="str">
        <f t="array" ref="BL260">IF($F260&lt;&gt;"", XLOOKUP($F260,Productos!$A$2:$A1001,Productos!BE$2:BE1001,"")*$G260,"")</f>
        <v/>
      </c>
      <c r="BM260" s="179" t="str">
        <f t="array" ref="BM260">IF($F260&lt;&gt;"",XLOOKUP($F260,Productos!$A:$A,Productos!BF:BF,"Revisar"),"")</f>
        <v/>
      </c>
      <c r="BN260" s="179" t="str">
        <f t="array" ref="BN260">IF($F260&lt;&gt;"", XLOOKUP($F260,Productos!$A$2:$A1001,Productos!BG$2:BG1001,"")*$G260,"")</f>
        <v/>
      </c>
      <c r="BO260" s="179" t="str">
        <f t="array" ref="BO260">IF($F260&lt;&gt;"",XLOOKUP($F260,Productos!$A:$A,Productos!BH:BH,"Revisar"),"")</f>
        <v/>
      </c>
      <c r="BP260" s="179" t="str">
        <f t="array" ref="BP260">IF($F260&lt;&gt;"", XLOOKUP($F260,Productos!$A$2:$A1001,Productos!BI$2:BI1001,"")*$G260,"")</f>
        <v/>
      </c>
      <c r="BQ260" s="179" t="str">
        <f t="array" ref="BQ260">IF($F260&lt;&gt;"",XLOOKUP($F260,Productos!$A:$A,Productos!BJ:BJ,"Revisar"),"")</f>
        <v/>
      </c>
      <c r="BR260" s="179" t="str">
        <f t="array" ref="BR260">IF($F260&lt;&gt;"", XLOOKUP($F260,Productos!$A$2:$A1001,Productos!BK$2:BK1001,"")*$G260,"")</f>
        <v/>
      </c>
      <c r="BS260" s="179" t="str">
        <f t="array" ref="BS260">IF($F260&lt;&gt;"",XLOOKUP($F260,Productos!$A:$A,Productos!BL:BL,"Revisar"),"")</f>
        <v/>
      </c>
      <c r="BT260" s="179" t="str">
        <f t="array" ref="BT260">IF($F260&lt;&gt;"", XLOOKUP($F260,Productos!$A$2:$A1001,Productos!BM$2:BM1001,"")*$G260,"")</f>
        <v/>
      </c>
      <c r="BU260" s="179" t="str">
        <f t="array" ref="BU260">IF($F260&lt;&gt;"",XLOOKUP($F260,Productos!$A:$A,Productos!BN:BN,"Revisar"),"")</f>
        <v/>
      </c>
      <c r="BV260" s="179" t="str">
        <f t="array" ref="BV260">IF($F260&lt;&gt;"", XLOOKUP($F260,Productos!$A$2:$A1001,Productos!BO$2:BO1001,"")*$G260,"")</f>
        <v/>
      </c>
      <c r="BW260" s="179" t="str">
        <f t="array" ref="BW260">IF($F260&lt;&gt;"",XLOOKUP($F260,Productos!$A:$A,Productos!BP:BP,"Revisar"),"")</f>
        <v/>
      </c>
      <c r="BX260" s="179" t="str">
        <f t="array" ref="BX260">IF($F260&lt;&gt;"", XLOOKUP($F260,Productos!$A$2:$A1001,Productos!BQ$2:BQ1001,"")*$G260,"")</f>
        <v/>
      </c>
      <c r="BY260" s="179" t="str">
        <f t="array" ref="BY260">IF($F260&lt;&gt;"",XLOOKUP($F260,Productos!$A:$A,Productos!BR:BR,"Revisar"),"")</f>
        <v/>
      </c>
      <c r="BZ260" s="179" t="str">
        <f t="array" ref="BZ260">IF($F260&lt;&gt;"", XLOOKUP($F260,Productos!$A$2:$A1001,Productos!BS$2:BS1001,"")*$G260,"")</f>
        <v/>
      </c>
    </row>
    <row r="261">
      <c r="A261" s="180"/>
      <c r="B261" s="181"/>
      <c r="C261" s="182"/>
      <c r="D261" s="182"/>
      <c r="E261" s="185"/>
      <c r="F261" s="186"/>
      <c r="G261" s="187"/>
      <c r="H261" s="186"/>
      <c r="I261" s="179" t="str">
        <f t="array" ref="I261">IF($F261&lt;&gt;"",XLOOKUP($F261,Productos!$A:$A,Productos!B:B,"Revisar"),"")</f>
        <v/>
      </c>
      <c r="J261" s="179" t="str">
        <f t="array" ref="J261">IF($F261&lt;&gt;"", XLOOKUP($F261,Productos!$A$2:$A1001,Productos!C$2:C1001,"")*$G261,"")</f>
        <v/>
      </c>
      <c r="K261" s="179" t="str">
        <f t="array" ref="K261">IF($F261&lt;&gt;"",XLOOKUP($F261,Productos!$A:$A,Productos!D:D,"Revisar"),"")</f>
        <v/>
      </c>
      <c r="L261" s="179" t="str">
        <f t="array" ref="L261">IF($F261&lt;&gt;"", XLOOKUP($F261,Productos!$A$2:$A1001,Productos!E$2:E1001,"")*$G261,"")</f>
        <v/>
      </c>
      <c r="M261" s="179" t="str">
        <f t="array" ref="M261">IF($F261&lt;&gt;"",XLOOKUP($F261,Productos!$A:$A,Productos!F:F,"Revisar"),"")</f>
        <v/>
      </c>
      <c r="N261" s="179" t="str">
        <f t="array" ref="N261">IF($F261&lt;&gt;"", XLOOKUP($F261,Productos!$A$2:$A1001,Productos!G$2:G1001,"")*$G261,"")</f>
        <v/>
      </c>
      <c r="O261" s="179" t="str">
        <f t="array" ref="O261">IF($F261&lt;&gt;"",XLOOKUP($F261,Productos!$A:$A,Productos!H:H,"Revisar"),"")</f>
        <v/>
      </c>
      <c r="P261" s="179" t="str">
        <f t="array" ref="P261">IF($F261&lt;&gt;"", XLOOKUP($F261,Productos!$A$2:$A1001,Productos!I$2:I1001,"")*$G261,"")</f>
        <v/>
      </c>
      <c r="Q261" s="179" t="str">
        <f t="array" ref="Q261">IF($F261&lt;&gt;"",XLOOKUP($F261,Productos!$A:$A,Productos!J:J,"Revisar"),"")</f>
        <v/>
      </c>
      <c r="R261" s="179" t="str">
        <f t="array" ref="R261">IF($F261&lt;&gt;"", XLOOKUP($F261,Productos!$A$2:$A1001,Productos!K$2:K1001,"")*$G261,"")</f>
        <v/>
      </c>
      <c r="S261" s="179" t="str">
        <f t="array" ref="S261">IF($F261&lt;&gt;"",XLOOKUP($F261,Productos!$A:$A,Productos!L:L,"Revisar"),"")</f>
        <v/>
      </c>
      <c r="T261" s="179" t="str">
        <f t="array" ref="T261">IF($F261&lt;&gt;"", XLOOKUP($F261,Productos!$A$2:$A1001,Productos!M$2:M1001,"")*$G261,"")</f>
        <v/>
      </c>
      <c r="U261" s="179" t="str">
        <f t="array" ref="U261">IF($F261&lt;&gt;"",XLOOKUP($F261,Productos!$A:$A,Productos!N:N,"Revisar"),"")</f>
        <v/>
      </c>
      <c r="V261" s="179" t="str">
        <f t="array" ref="V261">IF($F261&lt;&gt;"", XLOOKUP($F261,Productos!$A$2:$A1001,Productos!O$2:O1001,"")*$G261,"")</f>
        <v/>
      </c>
      <c r="W261" s="179" t="str">
        <f t="array" ref="W261">IF($F261&lt;&gt;"",XLOOKUP($F261,Productos!$A:$A,Productos!P:P,"Revisar"),"")</f>
        <v/>
      </c>
      <c r="X261" s="179" t="str">
        <f t="array" ref="X261">IF($F261&lt;&gt;"", XLOOKUP($F261,Productos!$A$2:$A1001,Productos!Q$2:Q1001,"")*$G261,"")</f>
        <v/>
      </c>
      <c r="Y261" s="179" t="str">
        <f t="array" ref="Y261">IF($F261&lt;&gt;"",XLOOKUP($F261,Productos!$A:$A,Productos!R:R,"Revisar"),"")</f>
        <v/>
      </c>
      <c r="Z261" s="179" t="str">
        <f t="array" ref="Z261">IF($F261&lt;&gt;"", XLOOKUP($F261,Productos!$A$2:$A1001,Productos!S$2:S1001,"")*$G261,"")</f>
        <v/>
      </c>
      <c r="AA261" s="179" t="str">
        <f t="array" ref="AA261">IF($F261&lt;&gt;"",XLOOKUP($F261,Productos!$A:$A,Productos!T:T,"Revisar"),"")</f>
        <v/>
      </c>
      <c r="AB261" s="179" t="str">
        <f t="array" ref="AB261">IF($F261&lt;&gt;"", XLOOKUP($F261,Productos!$A$2:$A1001,Productos!U$2:U1001,"")*$G261,"")</f>
        <v/>
      </c>
      <c r="AC261" s="179" t="str">
        <f t="array" ref="AC261">IF($F261&lt;&gt;"",XLOOKUP($F261,Productos!$A:$A,Productos!V:V,"Revisar"),"")</f>
        <v/>
      </c>
      <c r="AD261" s="179" t="str">
        <f t="array" ref="AD261">IF($F261&lt;&gt;"", XLOOKUP($F261,Productos!$A$2:$A1001,Productos!W$2:W1001,"")*$G261,"")</f>
        <v/>
      </c>
      <c r="AE261" s="179" t="str">
        <f t="array" ref="AE261">IF($F261&lt;&gt;"",XLOOKUP($F261,Productos!$A:$A,Productos!X:X,"Revisar"),"")</f>
        <v/>
      </c>
      <c r="AF261" s="179" t="str">
        <f t="array" ref="AF261">IF($F261&lt;&gt;"", XLOOKUP($F261,Productos!$A$2:$A1001,Productos!Y$2:Y1001,"")*$G261,"")</f>
        <v/>
      </c>
      <c r="AG261" s="179" t="str">
        <f t="array" ref="AG261">IF($F261&lt;&gt;"",XLOOKUP($F261,Productos!$A:$A,Productos!Z:Z,"Revisar"),"")</f>
        <v/>
      </c>
      <c r="AH261" s="179" t="str">
        <f t="array" ref="AH261">IF($F261&lt;&gt;"", XLOOKUP($F261,Productos!$A$2:$A1001,Productos!AA$2:AA1001,"")*$G261,"")</f>
        <v/>
      </c>
      <c r="AI261" s="179" t="str">
        <f t="array" ref="AI261">IF($F261&lt;&gt;"",XLOOKUP($F261,Productos!$A:$A,Productos!AB:AB,"Revisar"),"")</f>
        <v/>
      </c>
      <c r="AJ261" s="179" t="str">
        <f t="array" ref="AJ261">IF($F261&lt;&gt;"", XLOOKUP($F261,Productos!$A$2:$A1001,Productos!AC$2:AC1001,"")*$G261,"")</f>
        <v/>
      </c>
      <c r="AK261" s="179" t="str">
        <f t="array" ref="AK261">IF($F261&lt;&gt;"",XLOOKUP($F261,Productos!$A:$A,Productos!AD:AD,"Revisar"),"")</f>
        <v/>
      </c>
      <c r="AL261" s="179" t="str">
        <f t="array" ref="AL261">IF($F261&lt;&gt;"", XLOOKUP($F261,Productos!$A$2:$A1001,Productos!AE$2:AE1001,"")*$G261,"")</f>
        <v/>
      </c>
      <c r="AM261" s="179" t="str">
        <f t="array" ref="AM261">IF($F261&lt;&gt;"",XLOOKUP($F261,Productos!$A:$A,Productos!AF:AF,"Revisar"),"")</f>
        <v/>
      </c>
      <c r="AN261" s="179" t="str">
        <f t="array" ref="AN261">IF($F261&lt;&gt;"", XLOOKUP($F261,Productos!$A$2:$A1001,Productos!AG$2:AG1001,"")*$G261,"")</f>
        <v/>
      </c>
      <c r="AO261" s="179" t="str">
        <f t="array" ref="AO261">IF($F261&lt;&gt;"",XLOOKUP($F261,Productos!$A:$A,Productos!AH:AH,"Revisar"),"")</f>
        <v/>
      </c>
      <c r="AP261" s="179" t="str">
        <f t="array" ref="AP261">IF($F261&lt;&gt;"", XLOOKUP($F261,Productos!$A$2:$A1001,Productos!AI$2:AI1001,"")*$G261,"")</f>
        <v/>
      </c>
      <c r="AQ261" s="179" t="str">
        <f t="array" ref="AQ261">IF($F261&lt;&gt;"",XLOOKUP($F261,Productos!$A:$A,Productos!AJ:AJ,"Revisar"),"")</f>
        <v/>
      </c>
      <c r="AR261" s="179" t="str">
        <f t="array" ref="AR261">IF($F261&lt;&gt;"", XLOOKUP($F261,Productos!$A$2:$A1001,Productos!AK$2:AK1001,"")*$G261,"")</f>
        <v/>
      </c>
      <c r="AS261" s="179" t="str">
        <f t="array" ref="AS261">IF($F261&lt;&gt;"",XLOOKUP($F261,Productos!$A:$A,Productos!AL:AL,"Revisar"),"")</f>
        <v/>
      </c>
      <c r="AT261" s="179" t="str">
        <f t="array" ref="AT261">IF($F261&lt;&gt;"", XLOOKUP($F261,Productos!$A$2:$A1001,Productos!AM$2:AM1001,"")*$G261,"")</f>
        <v/>
      </c>
      <c r="AU261" s="179" t="str">
        <f t="array" ref="AU261">IF($F261&lt;&gt;"",XLOOKUP($F261,Productos!$A:$A,Productos!AN:AN,"Revisar"),"")</f>
        <v/>
      </c>
      <c r="AV261" s="179" t="str">
        <f t="array" ref="AV261">IF($F261&lt;&gt;"", XLOOKUP($F261,Productos!$A$2:$A1001,Productos!AO$2:AO1001,"")*$G261,"")</f>
        <v/>
      </c>
      <c r="AW261" s="179" t="str">
        <f t="array" ref="AW261">IF($F261&lt;&gt;"",XLOOKUP($F261,Productos!$A:$A,Productos!AP:AP,"Revisar"),"")</f>
        <v/>
      </c>
      <c r="AX261" s="179" t="str">
        <f t="array" ref="AX261">IF($F261&lt;&gt;"", XLOOKUP($F261,Productos!$A$2:$A1001,Productos!AQ$2:AQ1001,"")*$G261,"")</f>
        <v/>
      </c>
      <c r="AY261" s="179" t="str">
        <f t="array" ref="AY261">IF($F261&lt;&gt;"",XLOOKUP($F261,Productos!$A:$A,Productos!AR:AR,"Revisar"),"")</f>
        <v/>
      </c>
      <c r="AZ261" s="179" t="str">
        <f t="array" ref="AZ261">IF($F261&lt;&gt;"", XLOOKUP($F261,Productos!$A$2:$A1001,Productos!AS$2:AS1001,"")*$G261,"")</f>
        <v/>
      </c>
      <c r="BA261" s="179" t="str">
        <f t="array" ref="BA261">IF($F261&lt;&gt;"",XLOOKUP($F261,Productos!$A:$A,Productos!AT:AT,"Revisar"),"")</f>
        <v/>
      </c>
      <c r="BB261" s="179" t="str">
        <f t="array" ref="BB261">IF($F261&lt;&gt;"", XLOOKUP($F261,Productos!$A$2:$A1001,Productos!AU$2:AU1001,"")*$G261,"")</f>
        <v/>
      </c>
      <c r="BC261" s="179" t="str">
        <f t="array" ref="BC261">IF($F261&lt;&gt;"",XLOOKUP($F261,Productos!$A:$A,Productos!AV:AV,"Revisar"),"")</f>
        <v/>
      </c>
      <c r="BD261" s="179" t="str">
        <f t="array" ref="BD261">IF($F261&lt;&gt;"", XLOOKUP($F261,Productos!$A$2:$A1001,Productos!AW$2:AW1001,"")*$G261,"")</f>
        <v/>
      </c>
      <c r="BE261" s="179" t="str">
        <f t="array" ref="BE261">IF($F261&lt;&gt;"",XLOOKUP($F261,Productos!$A:$A,Productos!AX:AX,"Revisar"),"")</f>
        <v/>
      </c>
      <c r="BF261" s="179" t="str">
        <f t="array" ref="BF261">IF($F261&lt;&gt;"", XLOOKUP($F261,Productos!$A$2:$A1001,Productos!AY$2:AY1001,"")*$G261,"")</f>
        <v/>
      </c>
      <c r="BG261" s="179" t="str">
        <f t="array" ref="BG261">IF($F261&lt;&gt;"",XLOOKUP($F261,Productos!$A:$A,Productos!AZ:AZ,"Revisar"),"")</f>
        <v/>
      </c>
      <c r="BH261" s="179" t="str">
        <f t="array" ref="BH261">IF($F261&lt;&gt;"", XLOOKUP($F261,Productos!$A$2:$A1001,Productos!BA$2:BA1001,"")*$G261,"")</f>
        <v/>
      </c>
      <c r="BI261" s="179" t="str">
        <f t="array" ref="BI261">IF($F261&lt;&gt;"",XLOOKUP($F261,Productos!$A:$A,Productos!BB:BB,"Revisar"),"")</f>
        <v/>
      </c>
      <c r="BJ261" s="179" t="str">
        <f t="array" ref="BJ261">IF($F261&lt;&gt;"", XLOOKUP($F261,Productos!$A$2:$A1001,Productos!BC$2:BC1001,"")*$G261,"")</f>
        <v/>
      </c>
      <c r="BK261" s="179" t="str">
        <f t="array" ref="BK261">IF($F261&lt;&gt;"",XLOOKUP($F261,Productos!$A:$A,Productos!BD:BD,"Revisar"),"")</f>
        <v/>
      </c>
      <c r="BL261" s="179" t="str">
        <f t="array" ref="BL261">IF($F261&lt;&gt;"", XLOOKUP($F261,Productos!$A$2:$A1001,Productos!BE$2:BE1001,"")*$G261,"")</f>
        <v/>
      </c>
      <c r="BM261" s="179" t="str">
        <f t="array" ref="BM261">IF($F261&lt;&gt;"",XLOOKUP($F261,Productos!$A:$A,Productos!BF:BF,"Revisar"),"")</f>
        <v/>
      </c>
      <c r="BN261" s="179" t="str">
        <f t="array" ref="BN261">IF($F261&lt;&gt;"", XLOOKUP($F261,Productos!$A$2:$A1001,Productos!BG$2:BG1001,"")*$G261,"")</f>
        <v/>
      </c>
      <c r="BO261" s="179" t="str">
        <f t="array" ref="BO261">IF($F261&lt;&gt;"",XLOOKUP($F261,Productos!$A:$A,Productos!BH:BH,"Revisar"),"")</f>
        <v/>
      </c>
      <c r="BP261" s="179" t="str">
        <f t="array" ref="BP261">IF($F261&lt;&gt;"", XLOOKUP($F261,Productos!$A$2:$A1001,Productos!BI$2:BI1001,"")*$G261,"")</f>
        <v/>
      </c>
      <c r="BQ261" s="179" t="str">
        <f t="array" ref="BQ261">IF($F261&lt;&gt;"",XLOOKUP($F261,Productos!$A:$A,Productos!BJ:BJ,"Revisar"),"")</f>
        <v/>
      </c>
      <c r="BR261" s="179" t="str">
        <f t="array" ref="BR261">IF($F261&lt;&gt;"", XLOOKUP($F261,Productos!$A$2:$A1001,Productos!BK$2:BK1001,"")*$G261,"")</f>
        <v/>
      </c>
      <c r="BS261" s="179" t="str">
        <f t="array" ref="BS261">IF($F261&lt;&gt;"",XLOOKUP($F261,Productos!$A:$A,Productos!BL:BL,"Revisar"),"")</f>
        <v/>
      </c>
      <c r="BT261" s="179" t="str">
        <f t="array" ref="BT261">IF($F261&lt;&gt;"", XLOOKUP($F261,Productos!$A$2:$A1001,Productos!BM$2:BM1001,"")*$G261,"")</f>
        <v/>
      </c>
      <c r="BU261" s="179" t="str">
        <f t="array" ref="BU261">IF($F261&lt;&gt;"",XLOOKUP($F261,Productos!$A:$A,Productos!BN:BN,"Revisar"),"")</f>
        <v/>
      </c>
      <c r="BV261" s="179" t="str">
        <f t="array" ref="BV261">IF($F261&lt;&gt;"", XLOOKUP($F261,Productos!$A$2:$A1001,Productos!BO$2:BO1001,"")*$G261,"")</f>
        <v/>
      </c>
      <c r="BW261" s="179" t="str">
        <f t="array" ref="BW261">IF($F261&lt;&gt;"",XLOOKUP($F261,Productos!$A:$A,Productos!BP:BP,"Revisar"),"")</f>
        <v/>
      </c>
      <c r="BX261" s="179" t="str">
        <f t="array" ref="BX261">IF($F261&lt;&gt;"", XLOOKUP($F261,Productos!$A$2:$A1001,Productos!BQ$2:BQ1001,"")*$G261,"")</f>
        <v/>
      </c>
      <c r="BY261" s="179" t="str">
        <f t="array" ref="BY261">IF($F261&lt;&gt;"",XLOOKUP($F261,Productos!$A:$A,Productos!BR:BR,"Revisar"),"")</f>
        <v/>
      </c>
      <c r="BZ261" s="179" t="str">
        <f t="array" ref="BZ261">IF($F261&lt;&gt;"", XLOOKUP($F261,Productos!$A$2:$A1001,Productos!BS$2:BS1001,"")*$G261,"")</f>
        <v/>
      </c>
    </row>
    <row r="262">
      <c r="A262" s="180"/>
      <c r="B262" s="181"/>
      <c r="C262" s="182"/>
      <c r="D262" s="182"/>
      <c r="E262" s="185"/>
      <c r="F262" s="186"/>
      <c r="G262" s="187"/>
      <c r="H262" s="186"/>
      <c r="I262" s="179" t="str">
        <f t="array" ref="I262">IF($F262&lt;&gt;"",XLOOKUP($F262,Productos!$A:$A,Productos!B:B,"Revisar"),"")</f>
        <v/>
      </c>
      <c r="J262" s="179" t="str">
        <f t="array" ref="J262">IF($F262&lt;&gt;"", XLOOKUP($F262,Productos!$A$2:$A1001,Productos!C$2:C1001,"")*$G262,"")</f>
        <v/>
      </c>
      <c r="K262" s="179" t="str">
        <f t="array" ref="K262">IF($F262&lt;&gt;"",XLOOKUP($F262,Productos!$A:$A,Productos!D:D,"Revisar"),"")</f>
        <v/>
      </c>
      <c r="L262" s="179" t="str">
        <f t="array" ref="L262">IF($F262&lt;&gt;"", XLOOKUP($F262,Productos!$A$2:$A1001,Productos!E$2:E1001,"")*$G262,"")</f>
        <v/>
      </c>
      <c r="M262" s="179" t="str">
        <f t="array" ref="M262">IF($F262&lt;&gt;"",XLOOKUP($F262,Productos!$A:$A,Productos!F:F,"Revisar"),"")</f>
        <v/>
      </c>
      <c r="N262" s="179" t="str">
        <f t="array" ref="N262">IF($F262&lt;&gt;"", XLOOKUP($F262,Productos!$A$2:$A1001,Productos!G$2:G1001,"")*$G262,"")</f>
        <v/>
      </c>
      <c r="O262" s="179" t="str">
        <f t="array" ref="O262">IF($F262&lt;&gt;"",XLOOKUP($F262,Productos!$A:$A,Productos!H:H,"Revisar"),"")</f>
        <v/>
      </c>
      <c r="P262" s="179" t="str">
        <f t="array" ref="P262">IF($F262&lt;&gt;"", XLOOKUP($F262,Productos!$A$2:$A1001,Productos!I$2:I1001,"")*$G262,"")</f>
        <v/>
      </c>
      <c r="Q262" s="179" t="str">
        <f t="array" ref="Q262">IF($F262&lt;&gt;"",XLOOKUP($F262,Productos!$A:$A,Productos!J:J,"Revisar"),"")</f>
        <v/>
      </c>
      <c r="R262" s="179" t="str">
        <f t="array" ref="R262">IF($F262&lt;&gt;"", XLOOKUP($F262,Productos!$A$2:$A1001,Productos!K$2:K1001,"")*$G262,"")</f>
        <v/>
      </c>
      <c r="S262" s="179" t="str">
        <f t="array" ref="S262">IF($F262&lt;&gt;"",XLOOKUP($F262,Productos!$A:$A,Productos!L:L,"Revisar"),"")</f>
        <v/>
      </c>
      <c r="T262" s="179" t="str">
        <f t="array" ref="T262">IF($F262&lt;&gt;"", XLOOKUP($F262,Productos!$A$2:$A1001,Productos!M$2:M1001,"")*$G262,"")</f>
        <v/>
      </c>
      <c r="U262" s="179" t="str">
        <f t="array" ref="U262">IF($F262&lt;&gt;"",XLOOKUP($F262,Productos!$A:$A,Productos!N:N,"Revisar"),"")</f>
        <v/>
      </c>
      <c r="V262" s="179" t="str">
        <f t="array" ref="V262">IF($F262&lt;&gt;"", XLOOKUP($F262,Productos!$A$2:$A1001,Productos!O$2:O1001,"")*$G262,"")</f>
        <v/>
      </c>
      <c r="W262" s="179" t="str">
        <f t="array" ref="W262">IF($F262&lt;&gt;"",XLOOKUP($F262,Productos!$A:$A,Productos!P:P,"Revisar"),"")</f>
        <v/>
      </c>
      <c r="X262" s="179" t="str">
        <f t="array" ref="X262">IF($F262&lt;&gt;"", XLOOKUP($F262,Productos!$A$2:$A1001,Productos!Q$2:Q1001,"")*$G262,"")</f>
        <v/>
      </c>
      <c r="Y262" s="179" t="str">
        <f t="array" ref="Y262">IF($F262&lt;&gt;"",XLOOKUP($F262,Productos!$A:$A,Productos!R:R,"Revisar"),"")</f>
        <v/>
      </c>
      <c r="Z262" s="179" t="str">
        <f t="array" ref="Z262">IF($F262&lt;&gt;"", XLOOKUP($F262,Productos!$A$2:$A1001,Productos!S$2:S1001,"")*$G262,"")</f>
        <v/>
      </c>
      <c r="AA262" s="179" t="str">
        <f t="array" ref="AA262">IF($F262&lt;&gt;"",XLOOKUP($F262,Productos!$A:$A,Productos!T:T,"Revisar"),"")</f>
        <v/>
      </c>
      <c r="AB262" s="179" t="str">
        <f t="array" ref="AB262">IF($F262&lt;&gt;"", XLOOKUP($F262,Productos!$A$2:$A1001,Productos!U$2:U1001,"")*$G262,"")</f>
        <v/>
      </c>
      <c r="AC262" s="179" t="str">
        <f t="array" ref="AC262">IF($F262&lt;&gt;"",XLOOKUP($F262,Productos!$A:$A,Productos!V:V,"Revisar"),"")</f>
        <v/>
      </c>
      <c r="AD262" s="179" t="str">
        <f t="array" ref="AD262">IF($F262&lt;&gt;"", XLOOKUP($F262,Productos!$A$2:$A1001,Productos!W$2:W1001,"")*$G262,"")</f>
        <v/>
      </c>
      <c r="AE262" s="179" t="str">
        <f t="array" ref="AE262">IF($F262&lt;&gt;"",XLOOKUP($F262,Productos!$A:$A,Productos!X:X,"Revisar"),"")</f>
        <v/>
      </c>
      <c r="AF262" s="179" t="str">
        <f t="array" ref="AF262">IF($F262&lt;&gt;"", XLOOKUP($F262,Productos!$A$2:$A1001,Productos!Y$2:Y1001,"")*$G262,"")</f>
        <v/>
      </c>
      <c r="AG262" s="179" t="str">
        <f t="array" ref="AG262">IF($F262&lt;&gt;"",XLOOKUP($F262,Productos!$A:$A,Productos!Z:Z,"Revisar"),"")</f>
        <v/>
      </c>
      <c r="AH262" s="179" t="str">
        <f t="array" ref="AH262">IF($F262&lt;&gt;"", XLOOKUP($F262,Productos!$A$2:$A1001,Productos!AA$2:AA1001,"")*$G262,"")</f>
        <v/>
      </c>
      <c r="AI262" s="179" t="str">
        <f t="array" ref="AI262">IF($F262&lt;&gt;"",XLOOKUP($F262,Productos!$A:$A,Productos!AB:AB,"Revisar"),"")</f>
        <v/>
      </c>
      <c r="AJ262" s="179" t="str">
        <f t="array" ref="AJ262">IF($F262&lt;&gt;"", XLOOKUP($F262,Productos!$A$2:$A1001,Productos!AC$2:AC1001,"")*$G262,"")</f>
        <v/>
      </c>
      <c r="AK262" s="179" t="str">
        <f t="array" ref="AK262">IF($F262&lt;&gt;"",XLOOKUP($F262,Productos!$A:$A,Productos!AD:AD,"Revisar"),"")</f>
        <v/>
      </c>
      <c r="AL262" s="179" t="str">
        <f t="array" ref="AL262">IF($F262&lt;&gt;"", XLOOKUP($F262,Productos!$A$2:$A1001,Productos!AE$2:AE1001,"")*$G262,"")</f>
        <v/>
      </c>
      <c r="AM262" s="179" t="str">
        <f t="array" ref="AM262">IF($F262&lt;&gt;"",XLOOKUP($F262,Productos!$A:$A,Productos!AF:AF,"Revisar"),"")</f>
        <v/>
      </c>
      <c r="AN262" s="179" t="str">
        <f t="array" ref="AN262">IF($F262&lt;&gt;"", XLOOKUP($F262,Productos!$A$2:$A1001,Productos!AG$2:AG1001,"")*$G262,"")</f>
        <v/>
      </c>
      <c r="AO262" s="179" t="str">
        <f t="array" ref="AO262">IF($F262&lt;&gt;"",XLOOKUP($F262,Productos!$A:$A,Productos!AH:AH,"Revisar"),"")</f>
        <v/>
      </c>
      <c r="AP262" s="179" t="str">
        <f t="array" ref="AP262">IF($F262&lt;&gt;"", XLOOKUP($F262,Productos!$A$2:$A1001,Productos!AI$2:AI1001,"")*$G262,"")</f>
        <v/>
      </c>
      <c r="AQ262" s="179" t="str">
        <f t="array" ref="AQ262">IF($F262&lt;&gt;"",XLOOKUP($F262,Productos!$A:$A,Productos!AJ:AJ,"Revisar"),"")</f>
        <v/>
      </c>
      <c r="AR262" s="179" t="str">
        <f t="array" ref="AR262">IF($F262&lt;&gt;"", XLOOKUP($F262,Productos!$A$2:$A1001,Productos!AK$2:AK1001,"")*$G262,"")</f>
        <v/>
      </c>
      <c r="AS262" s="179" t="str">
        <f t="array" ref="AS262">IF($F262&lt;&gt;"",XLOOKUP($F262,Productos!$A:$A,Productos!AL:AL,"Revisar"),"")</f>
        <v/>
      </c>
      <c r="AT262" s="179" t="str">
        <f t="array" ref="AT262">IF($F262&lt;&gt;"", XLOOKUP($F262,Productos!$A$2:$A1001,Productos!AM$2:AM1001,"")*$G262,"")</f>
        <v/>
      </c>
      <c r="AU262" s="179" t="str">
        <f t="array" ref="AU262">IF($F262&lt;&gt;"",XLOOKUP($F262,Productos!$A:$A,Productos!AN:AN,"Revisar"),"")</f>
        <v/>
      </c>
      <c r="AV262" s="179" t="str">
        <f t="array" ref="AV262">IF($F262&lt;&gt;"", XLOOKUP($F262,Productos!$A$2:$A1001,Productos!AO$2:AO1001,"")*$G262,"")</f>
        <v/>
      </c>
      <c r="AW262" s="179" t="str">
        <f t="array" ref="AW262">IF($F262&lt;&gt;"",XLOOKUP($F262,Productos!$A:$A,Productos!AP:AP,"Revisar"),"")</f>
        <v/>
      </c>
      <c r="AX262" s="179" t="str">
        <f t="array" ref="AX262">IF($F262&lt;&gt;"", XLOOKUP($F262,Productos!$A$2:$A1001,Productos!AQ$2:AQ1001,"")*$G262,"")</f>
        <v/>
      </c>
      <c r="AY262" s="179" t="str">
        <f t="array" ref="AY262">IF($F262&lt;&gt;"",XLOOKUP($F262,Productos!$A:$A,Productos!AR:AR,"Revisar"),"")</f>
        <v/>
      </c>
      <c r="AZ262" s="179" t="str">
        <f t="array" ref="AZ262">IF($F262&lt;&gt;"", XLOOKUP($F262,Productos!$A$2:$A1001,Productos!AS$2:AS1001,"")*$G262,"")</f>
        <v/>
      </c>
      <c r="BA262" s="179" t="str">
        <f t="array" ref="BA262">IF($F262&lt;&gt;"",XLOOKUP($F262,Productos!$A:$A,Productos!AT:AT,"Revisar"),"")</f>
        <v/>
      </c>
      <c r="BB262" s="179" t="str">
        <f t="array" ref="BB262">IF($F262&lt;&gt;"", XLOOKUP($F262,Productos!$A$2:$A1001,Productos!AU$2:AU1001,"")*$G262,"")</f>
        <v/>
      </c>
      <c r="BC262" s="179" t="str">
        <f t="array" ref="BC262">IF($F262&lt;&gt;"",XLOOKUP($F262,Productos!$A:$A,Productos!AV:AV,"Revisar"),"")</f>
        <v/>
      </c>
      <c r="BD262" s="179" t="str">
        <f t="array" ref="BD262">IF($F262&lt;&gt;"", XLOOKUP($F262,Productos!$A$2:$A1001,Productos!AW$2:AW1001,"")*$G262,"")</f>
        <v/>
      </c>
      <c r="BE262" s="179" t="str">
        <f t="array" ref="BE262">IF($F262&lt;&gt;"",XLOOKUP($F262,Productos!$A:$A,Productos!AX:AX,"Revisar"),"")</f>
        <v/>
      </c>
      <c r="BF262" s="179" t="str">
        <f t="array" ref="BF262">IF($F262&lt;&gt;"", XLOOKUP($F262,Productos!$A$2:$A1001,Productos!AY$2:AY1001,"")*$G262,"")</f>
        <v/>
      </c>
      <c r="BG262" s="179" t="str">
        <f t="array" ref="BG262">IF($F262&lt;&gt;"",XLOOKUP($F262,Productos!$A:$A,Productos!AZ:AZ,"Revisar"),"")</f>
        <v/>
      </c>
      <c r="BH262" s="179" t="str">
        <f t="array" ref="BH262">IF($F262&lt;&gt;"", XLOOKUP($F262,Productos!$A$2:$A1001,Productos!BA$2:BA1001,"")*$G262,"")</f>
        <v/>
      </c>
      <c r="BI262" s="179" t="str">
        <f t="array" ref="BI262">IF($F262&lt;&gt;"",XLOOKUP($F262,Productos!$A:$A,Productos!BB:BB,"Revisar"),"")</f>
        <v/>
      </c>
      <c r="BJ262" s="179" t="str">
        <f t="array" ref="BJ262">IF($F262&lt;&gt;"", XLOOKUP($F262,Productos!$A$2:$A1001,Productos!BC$2:BC1001,"")*$G262,"")</f>
        <v/>
      </c>
      <c r="BK262" s="179" t="str">
        <f t="array" ref="BK262">IF($F262&lt;&gt;"",XLOOKUP($F262,Productos!$A:$A,Productos!BD:BD,"Revisar"),"")</f>
        <v/>
      </c>
      <c r="BL262" s="179" t="str">
        <f t="array" ref="BL262">IF($F262&lt;&gt;"", XLOOKUP($F262,Productos!$A$2:$A1001,Productos!BE$2:BE1001,"")*$G262,"")</f>
        <v/>
      </c>
      <c r="BM262" s="179" t="str">
        <f t="array" ref="BM262">IF($F262&lt;&gt;"",XLOOKUP($F262,Productos!$A:$A,Productos!BF:BF,"Revisar"),"")</f>
        <v/>
      </c>
      <c r="BN262" s="179" t="str">
        <f t="array" ref="BN262">IF($F262&lt;&gt;"", XLOOKUP($F262,Productos!$A$2:$A1001,Productos!BG$2:BG1001,"")*$G262,"")</f>
        <v/>
      </c>
      <c r="BO262" s="179" t="str">
        <f t="array" ref="BO262">IF($F262&lt;&gt;"",XLOOKUP($F262,Productos!$A:$A,Productos!BH:BH,"Revisar"),"")</f>
        <v/>
      </c>
      <c r="BP262" s="179" t="str">
        <f t="array" ref="BP262">IF($F262&lt;&gt;"", XLOOKUP($F262,Productos!$A$2:$A1001,Productos!BI$2:BI1001,"")*$G262,"")</f>
        <v/>
      </c>
      <c r="BQ262" s="179" t="str">
        <f t="array" ref="BQ262">IF($F262&lt;&gt;"",XLOOKUP($F262,Productos!$A:$A,Productos!BJ:BJ,"Revisar"),"")</f>
        <v/>
      </c>
      <c r="BR262" s="179" t="str">
        <f t="array" ref="BR262">IF($F262&lt;&gt;"", XLOOKUP($F262,Productos!$A$2:$A1001,Productos!BK$2:BK1001,"")*$G262,"")</f>
        <v/>
      </c>
      <c r="BS262" s="179" t="str">
        <f t="array" ref="BS262">IF($F262&lt;&gt;"",XLOOKUP($F262,Productos!$A:$A,Productos!BL:BL,"Revisar"),"")</f>
        <v/>
      </c>
      <c r="BT262" s="179" t="str">
        <f t="array" ref="BT262">IF($F262&lt;&gt;"", XLOOKUP($F262,Productos!$A$2:$A1001,Productos!BM$2:BM1001,"")*$G262,"")</f>
        <v/>
      </c>
      <c r="BU262" s="179" t="str">
        <f t="array" ref="BU262">IF($F262&lt;&gt;"",XLOOKUP($F262,Productos!$A:$A,Productos!BN:BN,"Revisar"),"")</f>
        <v/>
      </c>
      <c r="BV262" s="179" t="str">
        <f t="array" ref="BV262">IF($F262&lt;&gt;"", XLOOKUP($F262,Productos!$A$2:$A1001,Productos!BO$2:BO1001,"")*$G262,"")</f>
        <v/>
      </c>
      <c r="BW262" s="179" t="str">
        <f t="array" ref="BW262">IF($F262&lt;&gt;"",XLOOKUP($F262,Productos!$A:$A,Productos!BP:BP,"Revisar"),"")</f>
        <v/>
      </c>
      <c r="BX262" s="179" t="str">
        <f t="array" ref="BX262">IF($F262&lt;&gt;"", XLOOKUP($F262,Productos!$A$2:$A1001,Productos!BQ$2:BQ1001,"")*$G262,"")</f>
        <v/>
      </c>
      <c r="BY262" s="179" t="str">
        <f t="array" ref="BY262">IF($F262&lt;&gt;"",XLOOKUP($F262,Productos!$A:$A,Productos!BR:BR,"Revisar"),"")</f>
        <v/>
      </c>
      <c r="BZ262" s="179" t="str">
        <f t="array" ref="BZ262">IF($F262&lt;&gt;"", XLOOKUP($F262,Productos!$A$2:$A1001,Productos!BS$2:BS1001,"")*$G262,"")</f>
        <v/>
      </c>
    </row>
    <row r="263">
      <c r="A263" s="180"/>
      <c r="B263" s="181"/>
      <c r="C263" s="182"/>
      <c r="D263" s="182"/>
      <c r="E263" s="185"/>
      <c r="F263" s="186"/>
      <c r="G263" s="187"/>
      <c r="H263" s="186"/>
      <c r="I263" s="179" t="str">
        <f t="array" ref="I263">IF($F263&lt;&gt;"",XLOOKUP($F263,Productos!$A:$A,Productos!B:B,"Revisar"),"")</f>
        <v/>
      </c>
      <c r="J263" s="179" t="str">
        <f t="array" ref="J263">IF($F263&lt;&gt;"", XLOOKUP($F263,Productos!$A$2:$A1001,Productos!C$2:C1001,"")*$G263,"")</f>
        <v/>
      </c>
      <c r="K263" s="179" t="str">
        <f t="array" ref="K263">IF($F263&lt;&gt;"",XLOOKUP($F263,Productos!$A:$A,Productos!D:D,"Revisar"),"")</f>
        <v/>
      </c>
      <c r="L263" s="179" t="str">
        <f t="array" ref="L263">IF($F263&lt;&gt;"", XLOOKUP($F263,Productos!$A$2:$A1001,Productos!E$2:E1001,"")*$G263,"")</f>
        <v/>
      </c>
      <c r="M263" s="179" t="str">
        <f t="array" ref="M263">IF($F263&lt;&gt;"",XLOOKUP($F263,Productos!$A:$A,Productos!F:F,"Revisar"),"")</f>
        <v/>
      </c>
      <c r="N263" s="179" t="str">
        <f t="array" ref="N263">IF($F263&lt;&gt;"", XLOOKUP($F263,Productos!$A$2:$A1001,Productos!G$2:G1001,"")*$G263,"")</f>
        <v/>
      </c>
      <c r="O263" s="179" t="str">
        <f t="array" ref="O263">IF($F263&lt;&gt;"",XLOOKUP($F263,Productos!$A:$A,Productos!H:H,"Revisar"),"")</f>
        <v/>
      </c>
      <c r="P263" s="179" t="str">
        <f t="array" ref="P263">IF($F263&lt;&gt;"", XLOOKUP($F263,Productos!$A$2:$A1001,Productos!I$2:I1001,"")*$G263,"")</f>
        <v/>
      </c>
      <c r="Q263" s="179" t="str">
        <f t="array" ref="Q263">IF($F263&lt;&gt;"",XLOOKUP($F263,Productos!$A:$A,Productos!J:J,"Revisar"),"")</f>
        <v/>
      </c>
      <c r="R263" s="179" t="str">
        <f t="array" ref="R263">IF($F263&lt;&gt;"", XLOOKUP($F263,Productos!$A$2:$A1001,Productos!K$2:K1001,"")*$G263,"")</f>
        <v/>
      </c>
      <c r="S263" s="179" t="str">
        <f t="array" ref="S263">IF($F263&lt;&gt;"",XLOOKUP($F263,Productos!$A:$A,Productos!L:L,"Revisar"),"")</f>
        <v/>
      </c>
      <c r="T263" s="179" t="str">
        <f t="array" ref="T263">IF($F263&lt;&gt;"", XLOOKUP($F263,Productos!$A$2:$A1001,Productos!M$2:M1001,"")*$G263,"")</f>
        <v/>
      </c>
      <c r="U263" s="179" t="str">
        <f t="array" ref="U263">IF($F263&lt;&gt;"",XLOOKUP($F263,Productos!$A:$A,Productos!N:N,"Revisar"),"")</f>
        <v/>
      </c>
      <c r="V263" s="179" t="str">
        <f t="array" ref="V263">IF($F263&lt;&gt;"", XLOOKUP($F263,Productos!$A$2:$A1001,Productos!O$2:O1001,"")*$G263,"")</f>
        <v/>
      </c>
      <c r="W263" s="179" t="str">
        <f t="array" ref="W263">IF($F263&lt;&gt;"",XLOOKUP($F263,Productos!$A:$A,Productos!P:P,"Revisar"),"")</f>
        <v/>
      </c>
      <c r="X263" s="179" t="str">
        <f t="array" ref="X263">IF($F263&lt;&gt;"", XLOOKUP($F263,Productos!$A$2:$A1001,Productos!Q$2:Q1001,"")*$G263,"")</f>
        <v/>
      </c>
      <c r="Y263" s="179" t="str">
        <f t="array" ref="Y263">IF($F263&lt;&gt;"",XLOOKUP($F263,Productos!$A:$A,Productos!R:R,"Revisar"),"")</f>
        <v/>
      </c>
      <c r="Z263" s="179" t="str">
        <f t="array" ref="Z263">IF($F263&lt;&gt;"", XLOOKUP($F263,Productos!$A$2:$A1001,Productos!S$2:S1001,"")*$G263,"")</f>
        <v/>
      </c>
      <c r="AA263" s="179" t="str">
        <f t="array" ref="AA263">IF($F263&lt;&gt;"",XLOOKUP($F263,Productos!$A:$A,Productos!T:T,"Revisar"),"")</f>
        <v/>
      </c>
      <c r="AB263" s="179" t="str">
        <f t="array" ref="AB263">IF($F263&lt;&gt;"", XLOOKUP($F263,Productos!$A$2:$A1001,Productos!U$2:U1001,"")*$G263,"")</f>
        <v/>
      </c>
      <c r="AC263" s="179" t="str">
        <f t="array" ref="AC263">IF($F263&lt;&gt;"",XLOOKUP($F263,Productos!$A:$A,Productos!V:V,"Revisar"),"")</f>
        <v/>
      </c>
      <c r="AD263" s="179" t="str">
        <f t="array" ref="AD263">IF($F263&lt;&gt;"", XLOOKUP($F263,Productos!$A$2:$A1001,Productos!W$2:W1001,"")*$G263,"")</f>
        <v/>
      </c>
      <c r="AE263" s="179" t="str">
        <f t="array" ref="AE263">IF($F263&lt;&gt;"",XLOOKUP($F263,Productos!$A:$A,Productos!X:X,"Revisar"),"")</f>
        <v/>
      </c>
      <c r="AF263" s="179" t="str">
        <f t="array" ref="AF263">IF($F263&lt;&gt;"", XLOOKUP($F263,Productos!$A$2:$A1001,Productos!Y$2:Y1001,"")*$G263,"")</f>
        <v/>
      </c>
      <c r="AG263" s="179" t="str">
        <f t="array" ref="AG263">IF($F263&lt;&gt;"",XLOOKUP($F263,Productos!$A:$A,Productos!Z:Z,"Revisar"),"")</f>
        <v/>
      </c>
      <c r="AH263" s="179" t="str">
        <f t="array" ref="AH263">IF($F263&lt;&gt;"", XLOOKUP($F263,Productos!$A$2:$A1001,Productos!AA$2:AA1001,"")*$G263,"")</f>
        <v/>
      </c>
      <c r="AI263" s="179" t="str">
        <f t="array" ref="AI263">IF($F263&lt;&gt;"",XLOOKUP($F263,Productos!$A:$A,Productos!AB:AB,"Revisar"),"")</f>
        <v/>
      </c>
      <c r="AJ263" s="179" t="str">
        <f t="array" ref="AJ263">IF($F263&lt;&gt;"", XLOOKUP($F263,Productos!$A$2:$A1001,Productos!AC$2:AC1001,"")*$G263,"")</f>
        <v/>
      </c>
      <c r="AK263" s="179" t="str">
        <f t="array" ref="AK263">IF($F263&lt;&gt;"",XLOOKUP($F263,Productos!$A:$A,Productos!AD:AD,"Revisar"),"")</f>
        <v/>
      </c>
      <c r="AL263" s="179" t="str">
        <f t="array" ref="AL263">IF($F263&lt;&gt;"", XLOOKUP($F263,Productos!$A$2:$A1001,Productos!AE$2:AE1001,"")*$G263,"")</f>
        <v/>
      </c>
      <c r="AM263" s="179" t="str">
        <f t="array" ref="AM263">IF($F263&lt;&gt;"",XLOOKUP($F263,Productos!$A:$A,Productos!AF:AF,"Revisar"),"")</f>
        <v/>
      </c>
      <c r="AN263" s="179" t="str">
        <f t="array" ref="AN263">IF($F263&lt;&gt;"", XLOOKUP($F263,Productos!$A$2:$A1001,Productos!AG$2:AG1001,"")*$G263,"")</f>
        <v/>
      </c>
      <c r="AO263" s="179" t="str">
        <f t="array" ref="AO263">IF($F263&lt;&gt;"",XLOOKUP($F263,Productos!$A:$A,Productos!AH:AH,"Revisar"),"")</f>
        <v/>
      </c>
      <c r="AP263" s="179" t="str">
        <f t="array" ref="AP263">IF($F263&lt;&gt;"", XLOOKUP($F263,Productos!$A$2:$A1001,Productos!AI$2:AI1001,"")*$G263,"")</f>
        <v/>
      </c>
      <c r="AQ263" s="179" t="str">
        <f t="array" ref="AQ263">IF($F263&lt;&gt;"",XLOOKUP($F263,Productos!$A:$A,Productos!AJ:AJ,"Revisar"),"")</f>
        <v/>
      </c>
      <c r="AR263" s="179" t="str">
        <f t="array" ref="AR263">IF($F263&lt;&gt;"", XLOOKUP($F263,Productos!$A$2:$A1001,Productos!AK$2:AK1001,"")*$G263,"")</f>
        <v/>
      </c>
      <c r="AS263" s="179" t="str">
        <f t="array" ref="AS263">IF($F263&lt;&gt;"",XLOOKUP($F263,Productos!$A:$A,Productos!AL:AL,"Revisar"),"")</f>
        <v/>
      </c>
      <c r="AT263" s="179" t="str">
        <f t="array" ref="AT263">IF($F263&lt;&gt;"", XLOOKUP($F263,Productos!$A$2:$A1001,Productos!AM$2:AM1001,"")*$G263,"")</f>
        <v/>
      </c>
      <c r="AU263" s="179" t="str">
        <f t="array" ref="AU263">IF($F263&lt;&gt;"",XLOOKUP($F263,Productos!$A:$A,Productos!AN:AN,"Revisar"),"")</f>
        <v/>
      </c>
      <c r="AV263" s="179" t="str">
        <f t="array" ref="AV263">IF($F263&lt;&gt;"", XLOOKUP($F263,Productos!$A$2:$A1001,Productos!AO$2:AO1001,"")*$G263,"")</f>
        <v/>
      </c>
      <c r="AW263" s="179" t="str">
        <f t="array" ref="AW263">IF($F263&lt;&gt;"",XLOOKUP($F263,Productos!$A:$A,Productos!AP:AP,"Revisar"),"")</f>
        <v/>
      </c>
      <c r="AX263" s="179" t="str">
        <f t="array" ref="AX263">IF($F263&lt;&gt;"", XLOOKUP($F263,Productos!$A$2:$A1001,Productos!AQ$2:AQ1001,"")*$G263,"")</f>
        <v/>
      </c>
      <c r="AY263" s="179" t="str">
        <f t="array" ref="AY263">IF($F263&lt;&gt;"",XLOOKUP($F263,Productos!$A:$A,Productos!AR:AR,"Revisar"),"")</f>
        <v/>
      </c>
      <c r="AZ263" s="179" t="str">
        <f t="array" ref="AZ263">IF($F263&lt;&gt;"", XLOOKUP($F263,Productos!$A$2:$A1001,Productos!AS$2:AS1001,"")*$G263,"")</f>
        <v/>
      </c>
      <c r="BA263" s="179" t="str">
        <f t="array" ref="BA263">IF($F263&lt;&gt;"",XLOOKUP($F263,Productos!$A:$A,Productos!AT:AT,"Revisar"),"")</f>
        <v/>
      </c>
      <c r="BB263" s="179" t="str">
        <f t="array" ref="BB263">IF($F263&lt;&gt;"", XLOOKUP($F263,Productos!$A$2:$A1001,Productos!AU$2:AU1001,"")*$G263,"")</f>
        <v/>
      </c>
      <c r="BC263" s="179" t="str">
        <f t="array" ref="BC263">IF($F263&lt;&gt;"",XLOOKUP($F263,Productos!$A:$A,Productos!AV:AV,"Revisar"),"")</f>
        <v/>
      </c>
      <c r="BD263" s="179" t="str">
        <f t="array" ref="BD263">IF($F263&lt;&gt;"", XLOOKUP($F263,Productos!$A$2:$A1001,Productos!AW$2:AW1001,"")*$G263,"")</f>
        <v/>
      </c>
      <c r="BE263" s="179" t="str">
        <f t="array" ref="BE263">IF($F263&lt;&gt;"",XLOOKUP($F263,Productos!$A:$A,Productos!AX:AX,"Revisar"),"")</f>
        <v/>
      </c>
      <c r="BF263" s="179" t="str">
        <f t="array" ref="BF263">IF($F263&lt;&gt;"", XLOOKUP($F263,Productos!$A$2:$A1001,Productos!AY$2:AY1001,"")*$G263,"")</f>
        <v/>
      </c>
      <c r="BG263" s="179" t="str">
        <f t="array" ref="BG263">IF($F263&lt;&gt;"",XLOOKUP($F263,Productos!$A:$A,Productos!AZ:AZ,"Revisar"),"")</f>
        <v/>
      </c>
      <c r="BH263" s="179" t="str">
        <f t="array" ref="BH263">IF($F263&lt;&gt;"", XLOOKUP($F263,Productos!$A$2:$A1001,Productos!BA$2:BA1001,"")*$G263,"")</f>
        <v/>
      </c>
      <c r="BI263" s="179" t="str">
        <f t="array" ref="BI263">IF($F263&lt;&gt;"",XLOOKUP($F263,Productos!$A:$A,Productos!BB:BB,"Revisar"),"")</f>
        <v/>
      </c>
      <c r="BJ263" s="179" t="str">
        <f t="array" ref="BJ263">IF($F263&lt;&gt;"", XLOOKUP($F263,Productos!$A$2:$A1001,Productos!BC$2:BC1001,"")*$G263,"")</f>
        <v/>
      </c>
      <c r="BK263" s="179" t="str">
        <f t="array" ref="BK263">IF($F263&lt;&gt;"",XLOOKUP($F263,Productos!$A:$A,Productos!BD:BD,"Revisar"),"")</f>
        <v/>
      </c>
      <c r="BL263" s="179" t="str">
        <f t="array" ref="BL263">IF($F263&lt;&gt;"", XLOOKUP($F263,Productos!$A$2:$A1001,Productos!BE$2:BE1001,"")*$G263,"")</f>
        <v/>
      </c>
      <c r="BM263" s="179" t="str">
        <f t="array" ref="BM263">IF($F263&lt;&gt;"",XLOOKUP($F263,Productos!$A:$A,Productos!BF:BF,"Revisar"),"")</f>
        <v/>
      </c>
      <c r="BN263" s="179" t="str">
        <f t="array" ref="BN263">IF($F263&lt;&gt;"", XLOOKUP($F263,Productos!$A$2:$A1001,Productos!BG$2:BG1001,"")*$G263,"")</f>
        <v/>
      </c>
      <c r="BO263" s="179" t="str">
        <f t="array" ref="BO263">IF($F263&lt;&gt;"",XLOOKUP($F263,Productos!$A:$A,Productos!BH:BH,"Revisar"),"")</f>
        <v/>
      </c>
      <c r="BP263" s="179" t="str">
        <f t="array" ref="BP263">IF($F263&lt;&gt;"", XLOOKUP($F263,Productos!$A$2:$A1001,Productos!BI$2:BI1001,"")*$G263,"")</f>
        <v/>
      </c>
      <c r="BQ263" s="179" t="str">
        <f t="array" ref="BQ263">IF($F263&lt;&gt;"",XLOOKUP($F263,Productos!$A:$A,Productos!BJ:BJ,"Revisar"),"")</f>
        <v/>
      </c>
      <c r="BR263" s="179" t="str">
        <f t="array" ref="BR263">IF($F263&lt;&gt;"", XLOOKUP($F263,Productos!$A$2:$A1001,Productos!BK$2:BK1001,"")*$G263,"")</f>
        <v/>
      </c>
      <c r="BS263" s="179" t="str">
        <f t="array" ref="BS263">IF($F263&lt;&gt;"",XLOOKUP($F263,Productos!$A:$A,Productos!BL:BL,"Revisar"),"")</f>
        <v/>
      </c>
      <c r="BT263" s="179" t="str">
        <f t="array" ref="BT263">IF($F263&lt;&gt;"", XLOOKUP($F263,Productos!$A$2:$A1001,Productos!BM$2:BM1001,"")*$G263,"")</f>
        <v/>
      </c>
      <c r="BU263" s="179" t="str">
        <f t="array" ref="BU263">IF($F263&lt;&gt;"",XLOOKUP($F263,Productos!$A:$A,Productos!BN:BN,"Revisar"),"")</f>
        <v/>
      </c>
      <c r="BV263" s="179" t="str">
        <f t="array" ref="BV263">IF($F263&lt;&gt;"", XLOOKUP($F263,Productos!$A$2:$A1001,Productos!BO$2:BO1001,"")*$G263,"")</f>
        <v/>
      </c>
      <c r="BW263" s="179" t="str">
        <f t="array" ref="BW263">IF($F263&lt;&gt;"",XLOOKUP($F263,Productos!$A:$A,Productos!BP:BP,"Revisar"),"")</f>
        <v/>
      </c>
      <c r="BX263" s="179" t="str">
        <f t="array" ref="BX263">IF($F263&lt;&gt;"", XLOOKUP($F263,Productos!$A$2:$A1001,Productos!BQ$2:BQ1001,"")*$G263,"")</f>
        <v/>
      </c>
      <c r="BY263" s="179" t="str">
        <f t="array" ref="BY263">IF($F263&lt;&gt;"",XLOOKUP($F263,Productos!$A:$A,Productos!BR:BR,"Revisar"),"")</f>
        <v/>
      </c>
      <c r="BZ263" s="179" t="str">
        <f t="array" ref="BZ263">IF($F263&lt;&gt;"", XLOOKUP($F263,Productos!$A$2:$A1001,Productos!BS$2:BS1001,"")*$G263,"")</f>
        <v/>
      </c>
    </row>
    <row r="264">
      <c r="A264" s="180"/>
      <c r="B264" s="181"/>
      <c r="C264" s="182"/>
      <c r="D264" s="182"/>
      <c r="E264" s="185"/>
      <c r="F264" s="186"/>
      <c r="G264" s="187"/>
      <c r="H264" s="186"/>
      <c r="I264" s="179" t="str">
        <f t="array" ref="I264">IF($F264&lt;&gt;"",XLOOKUP($F264,Productos!$A:$A,Productos!B:B,"Revisar"),"")</f>
        <v/>
      </c>
      <c r="J264" s="179" t="str">
        <f t="array" ref="J264">IF($F264&lt;&gt;"", XLOOKUP($F264,Productos!$A$2:$A1001,Productos!C$2:C1001,"")*$G264,"")</f>
        <v/>
      </c>
      <c r="K264" s="179" t="str">
        <f t="array" ref="K264">IF($F264&lt;&gt;"",XLOOKUP($F264,Productos!$A:$A,Productos!D:D,"Revisar"),"")</f>
        <v/>
      </c>
      <c r="L264" s="179" t="str">
        <f t="array" ref="L264">IF($F264&lt;&gt;"", XLOOKUP($F264,Productos!$A$2:$A1001,Productos!E$2:E1001,"")*$G264,"")</f>
        <v/>
      </c>
      <c r="M264" s="179" t="str">
        <f t="array" ref="M264">IF($F264&lt;&gt;"",XLOOKUP($F264,Productos!$A:$A,Productos!F:F,"Revisar"),"")</f>
        <v/>
      </c>
      <c r="N264" s="179" t="str">
        <f t="array" ref="N264">IF($F264&lt;&gt;"", XLOOKUP($F264,Productos!$A$2:$A1001,Productos!G$2:G1001,"")*$G264,"")</f>
        <v/>
      </c>
      <c r="O264" s="179" t="str">
        <f t="array" ref="O264">IF($F264&lt;&gt;"",XLOOKUP($F264,Productos!$A:$A,Productos!H:H,"Revisar"),"")</f>
        <v/>
      </c>
      <c r="P264" s="179" t="str">
        <f t="array" ref="P264">IF($F264&lt;&gt;"", XLOOKUP($F264,Productos!$A$2:$A1001,Productos!I$2:I1001,"")*$G264,"")</f>
        <v/>
      </c>
      <c r="Q264" s="179" t="str">
        <f t="array" ref="Q264">IF($F264&lt;&gt;"",XLOOKUP($F264,Productos!$A:$A,Productos!J:J,"Revisar"),"")</f>
        <v/>
      </c>
      <c r="R264" s="179" t="str">
        <f t="array" ref="R264">IF($F264&lt;&gt;"", XLOOKUP($F264,Productos!$A$2:$A1001,Productos!K$2:K1001,"")*$G264,"")</f>
        <v/>
      </c>
      <c r="S264" s="179" t="str">
        <f t="array" ref="S264">IF($F264&lt;&gt;"",XLOOKUP($F264,Productos!$A:$A,Productos!L:L,"Revisar"),"")</f>
        <v/>
      </c>
      <c r="T264" s="179" t="str">
        <f t="array" ref="T264">IF($F264&lt;&gt;"", XLOOKUP($F264,Productos!$A$2:$A1001,Productos!M$2:M1001,"")*$G264,"")</f>
        <v/>
      </c>
      <c r="U264" s="179" t="str">
        <f t="array" ref="U264">IF($F264&lt;&gt;"",XLOOKUP($F264,Productos!$A:$A,Productos!N:N,"Revisar"),"")</f>
        <v/>
      </c>
      <c r="V264" s="179" t="str">
        <f t="array" ref="V264">IF($F264&lt;&gt;"", XLOOKUP($F264,Productos!$A$2:$A1001,Productos!O$2:O1001,"")*$G264,"")</f>
        <v/>
      </c>
      <c r="W264" s="179" t="str">
        <f t="array" ref="W264">IF($F264&lt;&gt;"",XLOOKUP($F264,Productos!$A:$A,Productos!P:P,"Revisar"),"")</f>
        <v/>
      </c>
      <c r="X264" s="179" t="str">
        <f t="array" ref="X264">IF($F264&lt;&gt;"", XLOOKUP($F264,Productos!$A$2:$A1001,Productos!Q$2:Q1001,"")*$G264,"")</f>
        <v/>
      </c>
      <c r="Y264" s="179" t="str">
        <f t="array" ref="Y264">IF($F264&lt;&gt;"",XLOOKUP($F264,Productos!$A:$A,Productos!R:R,"Revisar"),"")</f>
        <v/>
      </c>
      <c r="Z264" s="179" t="str">
        <f t="array" ref="Z264">IF($F264&lt;&gt;"", XLOOKUP($F264,Productos!$A$2:$A1001,Productos!S$2:S1001,"")*$G264,"")</f>
        <v/>
      </c>
      <c r="AA264" s="179" t="str">
        <f t="array" ref="AA264">IF($F264&lt;&gt;"",XLOOKUP($F264,Productos!$A:$A,Productos!T:T,"Revisar"),"")</f>
        <v/>
      </c>
      <c r="AB264" s="179" t="str">
        <f t="array" ref="AB264">IF($F264&lt;&gt;"", XLOOKUP($F264,Productos!$A$2:$A1001,Productos!U$2:U1001,"")*$G264,"")</f>
        <v/>
      </c>
      <c r="AC264" s="179" t="str">
        <f t="array" ref="AC264">IF($F264&lt;&gt;"",XLOOKUP($F264,Productos!$A:$A,Productos!V:V,"Revisar"),"")</f>
        <v/>
      </c>
      <c r="AD264" s="179" t="str">
        <f t="array" ref="AD264">IF($F264&lt;&gt;"", XLOOKUP($F264,Productos!$A$2:$A1001,Productos!W$2:W1001,"")*$G264,"")</f>
        <v/>
      </c>
      <c r="AE264" s="179" t="str">
        <f t="array" ref="AE264">IF($F264&lt;&gt;"",XLOOKUP($F264,Productos!$A:$A,Productos!X:X,"Revisar"),"")</f>
        <v/>
      </c>
      <c r="AF264" s="179" t="str">
        <f t="array" ref="AF264">IF($F264&lt;&gt;"", XLOOKUP($F264,Productos!$A$2:$A1001,Productos!Y$2:Y1001,"")*$G264,"")</f>
        <v/>
      </c>
      <c r="AG264" s="179" t="str">
        <f t="array" ref="AG264">IF($F264&lt;&gt;"",XLOOKUP($F264,Productos!$A:$A,Productos!Z:Z,"Revisar"),"")</f>
        <v/>
      </c>
      <c r="AH264" s="179" t="str">
        <f t="array" ref="AH264">IF($F264&lt;&gt;"", XLOOKUP($F264,Productos!$A$2:$A1001,Productos!AA$2:AA1001,"")*$G264,"")</f>
        <v/>
      </c>
      <c r="AI264" s="179" t="str">
        <f t="array" ref="AI264">IF($F264&lt;&gt;"",XLOOKUP($F264,Productos!$A:$A,Productos!AB:AB,"Revisar"),"")</f>
        <v/>
      </c>
      <c r="AJ264" s="179" t="str">
        <f t="array" ref="AJ264">IF($F264&lt;&gt;"", XLOOKUP($F264,Productos!$A$2:$A1001,Productos!AC$2:AC1001,"")*$G264,"")</f>
        <v/>
      </c>
      <c r="AK264" s="179" t="str">
        <f t="array" ref="AK264">IF($F264&lt;&gt;"",XLOOKUP($F264,Productos!$A:$A,Productos!AD:AD,"Revisar"),"")</f>
        <v/>
      </c>
      <c r="AL264" s="179" t="str">
        <f t="array" ref="AL264">IF($F264&lt;&gt;"", XLOOKUP($F264,Productos!$A$2:$A1001,Productos!AE$2:AE1001,"")*$G264,"")</f>
        <v/>
      </c>
      <c r="AM264" s="179" t="str">
        <f t="array" ref="AM264">IF($F264&lt;&gt;"",XLOOKUP($F264,Productos!$A:$A,Productos!AF:AF,"Revisar"),"")</f>
        <v/>
      </c>
      <c r="AN264" s="179" t="str">
        <f t="array" ref="AN264">IF($F264&lt;&gt;"", XLOOKUP($F264,Productos!$A$2:$A1001,Productos!AG$2:AG1001,"")*$G264,"")</f>
        <v/>
      </c>
      <c r="AO264" s="179" t="str">
        <f t="array" ref="AO264">IF($F264&lt;&gt;"",XLOOKUP($F264,Productos!$A:$A,Productos!AH:AH,"Revisar"),"")</f>
        <v/>
      </c>
      <c r="AP264" s="179" t="str">
        <f t="array" ref="AP264">IF($F264&lt;&gt;"", XLOOKUP($F264,Productos!$A$2:$A1001,Productos!AI$2:AI1001,"")*$G264,"")</f>
        <v/>
      </c>
      <c r="AQ264" s="179" t="str">
        <f t="array" ref="AQ264">IF($F264&lt;&gt;"",XLOOKUP($F264,Productos!$A:$A,Productos!AJ:AJ,"Revisar"),"")</f>
        <v/>
      </c>
      <c r="AR264" s="179" t="str">
        <f t="array" ref="AR264">IF($F264&lt;&gt;"", XLOOKUP($F264,Productos!$A$2:$A1001,Productos!AK$2:AK1001,"")*$G264,"")</f>
        <v/>
      </c>
      <c r="AS264" s="179" t="str">
        <f t="array" ref="AS264">IF($F264&lt;&gt;"",XLOOKUP($F264,Productos!$A:$A,Productos!AL:AL,"Revisar"),"")</f>
        <v/>
      </c>
      <c r="AT264" s="179" t="str">
        <f t="array" ref="AT264">IF($F264&lt;&gt;"", XLOOKUP($F264,Productos!$A$2:$A1001,Productos!AM$2:AM1001,"")*$G264,"")</f>
        <v/>
      </c>
      <c r="AU264" s="179" t="str">
        <f t="array" ref="AU264">IF($F264&lt;&gt;"",XLOOKUP($F264,Productos!$A:$A,Productos!AN:AN,"Revisar"),"")</f>
        <v/>
      </c>
      <c r="AV264" s="179" t="str">
        <f t="array" ref="AV264">IF($F264&lt;&gt;"", XLOOKUP($F264,Productos!$A$2:$A1001,Productos!AO$2:AO1001,"")*$G264,"")</f>
        <v/>
      </c>
      <c r="AW264" s="179" t="str">
        <f t="array" ref="AW264">IF($F264&lt;&gt;"",XLOOKUP($F264,Productos!$A:$A,Productos!AP:AP,"Revisar"),"")</f>
        <v/>
      </c>
      <c r="AX264" s="179" t="str">
        <f t="array" ref="AX264">IF($F264&lt;&gt;"", XLOOKUP($F264,Productos!$A$2:$A1001,Productos!AQ$2:AQ1001,"")*$G264,"")</f>
        <v/>
      </c>
      <c r="AY264" s="179" t="str">
        <f t="array" ref="AY264">IF($F264&lt;&gt;"",XLOOKUP($F264,Productos!$A:$A,Productos!AR:AR,"Revisar"),"")</f>
        <v/>
      </c>
      <c r="AZ264" s="179" t="str">
        <f t="array" ref="AZ264">IF($F264&lt;&gt;"", XLOOKUP($F264,Productos!$A$2:$A1001,Productos!AS$2:AS1001,"")*$G264,"")</f>
        <v/>
      </c>
      <c r="BA264" s="179" t="str">
        <f t="array" ref="BA264">IF($F264&lt;&gt;"",XLOOKUP($F264,Productos!$A:$A,Productos!AT:AT,"Revisar"),"")</f>
        <v/>
      </c>
      <c r="BB264" s="179" t="str">
        <f t="array" ref="BB264">IF($F264&lt;&gt;"", XLOOKUP($F264,Productos!$A$2:$A1001,Productos!AU$2:AU1001,"")*$G264,"")</f>
        <v/>
      </c>
      <c r="BC264" s="179" t="str">
        <f t="array" ref="BC264">IF($F264&lt;&gt;"",XLOOKUP($F264,Productos!$A:$A,Productos!AV:AV,"Revisar"),"")</f>
        <v/>
      </c>
      <c r="BD264" s="179" t="str">
        <f t="array" ref="BD264">IF($F264&lt;&gt;"", XLOOKUP($F264,Productos!$A$2:$A1001,Productos!AW$2:AW1001,"")*$G264,"")</f>
        <v/>
      </c>
      <c r="BE264" s="179" t="str">
        <f t="array" ref="BE264">IF($F264&lt;&gt;"",XLOOKUP($F264,Productos!$A:$A,Productos!AX:AX,"Revisar"),"")</f>
        <v/>
      </c>
      <c r="BF264" s="179" t="str">
        <f t="array" ref="BF264">IF($F264&lt;&gt;"", XLOOKUP($F264,Productos!$A$2:$A1001,Productos!AY$2:AY1001,"")*$G264,"")</f>
        <v/>
      </c>
      <c r="BG264" s="179" t="str">
        <f t="array" ref="BG264">IF($F264&lt;&gt;"",XLOOKUP($F264,Productos!$A:$A,Productos!AZ:AZ,"Revisar"),"")</f>
        <v/>
      </c>
      <c r="BH264" s="179" t="str">
        <f t="array" ref="BH264">IF($F264&lt;&gt;"", XLOOKUP($F264,Productos!$A$2:$A1001,Productos!BA$2:BA1001,"")*$G264,"")</f>
        <v/>
      </c>
      <c r="BI264" s="179" t="str">
        <f t="array" ref="BI264">IF($F264&lt;&gt;"",XLOOKUP($F264,Productos!$A:$A,Productos!BB:BB,"Revisar"),"")</f>
        <v/>
      </c>
      <c r="BJ264" s="179" t="str">
        <f t="array" ref="BJ264">IF($F264&lt;&gt;"", XLOOKUP($F264,Productos!$A$2:$A1001,Productos!BC$2:BC1001,"")*$G264,"")</f>
        <v/>
      </c>
      <c r="BK264" s="179" t="str">
        <f t="array" ref="BK264">IF($F264&lt;&gt;"",XLOOKUP($F264,Productos!$A:$A,Productos!BD:BD,"Revisar"),"")</f>
        <v/>
      </c>
      <c r="BL264" s="179" t="str">
        <f t="array" ref="BL264">IF($F264&lt;&gt;"", XLOOKUP($F264,Productos!$A$2:$A1001,Productos!BE$2:BE1001,"")*$G264,"")</f>
        <v/>
      </c>
      <c r="BM264" s="179" t="str">
        <f t="array" ref="BM264">IF($F264&lt;&gt;"",XLOOKUP($F264,Productos!$A:$A,Productos!BF:BF,"Revisar"),"")</f>
        <v/>
      </c>
      <c r="BN264" s="179" t="str">
        <f t="array" ref="BN264">IF($F264&lt;&gt;"", XLOOKUP($F264,Productos!$A$2:$A1001,Productos!BG$2:BG1001,"")*$G264,"")</f>
        <v/>
      </c>
      <c r="BO264" s="179" t="str">
        <f t="array" ref="BO264">IF($F264&lt;&gt;"",XLOOKUP($F264,Productos!$A:$A,Productos!BH:BH,"Revisar"),"")</f>
        <v/>
      </c>
      <c r="BP264" s="179" t="str">
        <f t="array" ref="BP264">IF($F264&lt;&gt;"", XLOOKUP($F264,Productos!$A$2:$A1001,Productos!BI$2:BI1001,"")*$G264,"")</f>
        <v/>
      </c>
      <c r="BQ264" s="179" t="str">
        <f t="array" ref="BQ264">IF($F264&lt;&gt;"",XLOOKUP($F264,Productos!$A:$A,Productos!BJ:BJ,"Revisar"),"")</f>
        <v/>
      </c>
      <c r="BR264" s="179" t="str">
        <f t="array" ref="BR264">IF($F264&lt;&gt;"", XLOOKUP($F264,Productos!$A$2:$A1001,Productos!BK$2:BK1001,"")*$G264,"")</f>
        <v/>
      </c>
      <c r="BS264" s="179" t="str">
        <f t="array" ref="BS264">IF($F264&lt;&gt;"",XLOOKUP($F264,Productos!$A:$A,Productos!BL:BL,"Revisar"),"")</f>
        <v/>
      </c>
      <c r="BT264" s="179" t="str">
        <f t="array" ref="BT264">IF($F264&lt;&gt;"", XLOOKUP($F264,Productos!$A$2:$A1001,Productos!BM$2:BM1001,"")*$G264,"")</f>
        <v/>
      </c>
      <c r="BU264" s="179" t="str">
        <f t="array" ref="BU264">IF($F264&lt;&gt;"",XLOOKUP($F264,Productos!$A:$A,Productos!BN:BN,"Revisar"),"")</f>
        <v/>
      </c>
      <c r="BV264" s="179" t="str">
        <f t="array" ref="BV264">IF($F264&lt;&gt;"", XLOOKUP($F264,Productos!$A$2:$A1001,Productos!BO$2:BO1001,"")*$G264,"")</f>
        <v/>
      </c>
      <c r="BW264" s="179" t="str">
        <f t="array" ref="BW264">IF($F264&lt;&gt;"",XLOOKUP($F264,Productos!$A:$A,Productos!BP:BP,"Revisar"),"")</f>
        <v/>
      </c>
      <c r="BX264" s="179" t="str">
        <f t="array" ref="BX264">IF($F264&lt;&gt;"", XLOOKUP($F264,Productos!$A$2:$A1001,Productos!BQ$2:BQ1001,"")*$G264,"")</f>
        <v/>
      </c>
      <c r="BY264" s="179" t="str">
        <f t="array" ref="BY264">IF($F264&lt;&gt;"",XLOOKUP($F264,Productos!$A:$A,Productos!BR:BR,"Revisar"),"")</f>
        <v/>
      </c>
      <c r="BZ264" s="179" t="str">
        <f t="array" ref="BZ264">IF($F264&lt;&gt;"", XLOOKUP($F264,Productos!$A$2:$A1001,Productos!BS$2:BS1001,"")*$G264,"")</f>
        <v/>
      </c>
    </row>
    <row r="265">
      <c r="A265" s="180"/>
      <c r="B265" s="181"/>
      <c r="C265" s="182"/>
      <c r="D265" s="182"/>
      <c r="E265" s="185"/>
      <c r="F265" s="186"/>
      <c r="G265" s="187"/>
      <c r="H265" s="186"/>
      <c r="I265" s="179" t="str">
        <f t="array" ref="I265">IF($F265&lt;&gt;"",XLOOKUP($F265,Productos!$A:$A,Productos!B:B,"Revisar"),"")</f>
        <v/>
      </c>
      <c r="J265" s="179" t="str">
        <f t="array" ref="J265">IF($F265&lt;&gt;"", XLOOKUP($F265,Productos!$A$2:$A1001,Productos!C$2:C1001,"")*$G265,"")</f>
        <v/>
      </c>
      <c r="K265" s="179" t="str">
        <f t="array" ref="K265">IF($F265&lt;&gt;"",XLOOKUP($F265,Productos!$A:$A,Productos!D:D,"Revisar"),"")</f>
        <v/>
      </c>
      <c r="L265" s="179" t="str">
        <f t="array" ref="L265">IF($F265&lt;&gt;"", XLOOKUP($F265,Productos!$A$2:$A1001,Productos!E$2:E1001,"")*$G265,"")</f>
        <v/>
      </c>
      <c r="M265" s="179" t="str">
        <f t="array" ref="M265">IF($F265&lt;&gt;"",XLOOKUP($F265,Productos!$A:$A,Productos!F:F,"Revisar"),"")</f>
        <v/>
      </c>
      <c r="N265" s="179" t="str">
        <f t="array" ref="N265">IF($F265&lt;&gt;"", XLOOKUP($F265,Productos!$A$2:$A1001,Productos!G$2:G1001,"")*$G265,"")</f>
        <v/>
      </c>
      <c r="O265" s="179" t="str">
        <f t="array" ref="O265">IF($F265&lt;&gt;"",XLOOKUP($F265,Productos!$A:$A,Productos!H:H,"Revisar"),"")</f>
        <v/>
      </c>
      <c r="P265" s="179" t="str">
        <f t="array" ref="P265">IF($F265&lt;&gt;"", XLOOKUP($F265,Productos!$A$2:$A1001,Productos!I$2:I1001,"")*$G265,"")</f>
        <v/>
      </c>
      <c r="Q265" s="179" t="str">
        <f t="array" ref="Q265">IF($F265&lt;&gt;"",XLOOKUP($F265,Productos!$A:$A,Productos!J:J,"Revisar"),"")</f>
        <v/>
      </c>
      <c r="R265" s="179" t="str">
        <f t="array" ref="R265">IF($F265&lt;&gt;"", XLOOKUP($F265,Productos!$A$2:$A1001,Productos!K$2:K1001,"")*$G265,"")</f>
        <v/>
      </c>
      <c r="S265" s="179" t="str">
        <f t="array" ref="S265">IF($F265&lt;&gt;"",XLOOKUP($F265,Productos!$A:$A,Productos!L:L,"Revisar"),"")</f>
        <v/>
      </c>
      <c r="T265" s="179" t="str">
        <f t="array" ref="T265">IF($F265&lt;&gt;"", XLOOKUP($F265,Productos!$A$2:$A1001,Productos!M$2:M1001,"")*$G265,"")</f>
        <v/>
      </c>
      <c r="U265" s="179" t="str">
        <f t="array" ref="U265">IF($F265&lt;&gt;"",XLOOKUP($F265,Productos!$A:$A,Productos!N:N,"Revisar"),"")</f>
        <v/>
      </c>
      <c r="V265" s="179" t="str">
        <f t="array" ref="V265">IF($F265&lt;&gt;"", XLOOKUP($F265,Productos!$A$2:$A1001,Productos!O$2:O1001,"")*$G265,"")</f>
        <v/>
      </c>
      <c r="W265" s="179" t="str">
        <f t="array" ref="W265">IF($F265&lt;&gt;"",XLOOKUP($F265,Productos!$A:$A,Productos!P:P,"Revisar"),"")</f>
        <v/>
      </c>
      <c r="X265" s="179" t="str">
        <f t="array" ref="X265">IF($F265&lt;&gt;"", XLOOKUP($F265,Productos!$A$2:$A1001,Productos!Q$2:Q1001,"")*$G265,"")</f>
        <v/>
      </c>
      <c r="Y265" s="179" t="str">
        <f t="array" ref="Y265">IF($F265&lt;&gt;"",XLOOKUP($F265,Productos!$A:$A,Productos!R:R,"Revisar"),"")</f>
        <v/>
      </c>
      <c r="Z265" s="179" t="str">
        <f t="array" ref="Z265">IF($F265&lt;&gt;"", XLOOKUP($F265,Productos!$A$2:$A1001,Productos!S$2:S1001,"")*$G265,"")</f>
        <v/>
      </c>
      <c r="AA265" s="179" t="str">
        <f t="array" ref="AA265">IF($F265&lt;&gt;"",XLOOKUP($F265,Productos!$A:$A,Productos!T:T,"Revisar"),"")</f>
        <v/>
      </c>
      <c r="AB265" s="179" t="str">
        <f t="array" ref="AB265">IF($F265&lt;&gt;"", XLOOKUP($F265,Productos!$A$2:$A1001,Productos!U$2:U1001,"")*$G265,"")</f>
        <v/>
      </c>
      <c r="AC265" s="179" t="str">
        <f t="array" ref="AC265">IF($F265&lt;&gt;"",XLOOKUP($F265,Productos!$A:$A,Productos!V:V,"Revisar"),"")</f>
        <v/>
      </c>
      <c r="AD265" s="179" t="str">
        <f t="array" ref="AD265">IF($F265&lt;&gt;"", XLOOKUP($F265,Productos!$A$2:$A1001,Productos!W$2:W1001,"")*$G265,"")</f>
        <v/>
      </c>
      <c r="AE265" s="179" t="str">
        <f t="array" ref="AE265">IF($F265&lt;&gt;"",XLOOKUP($F265,Productos!$A:$A,Productos!X:X,"Revisar"),"")</f>
        <v/>
      </c>
      <c r="AF265" s="179" t="str">
        <f t="array" ref="AF265">IF($F265&lt;&gt;"", XLOOKUP($F265,Productos!$A$2:$A1001,Productos!Y$2:Y1001,"")*$G265,"")</f>
        <v/>
      </c>
      <c r="AG265" s="179" t="str">
        <f t="array" ref="AG265">IF($F265&lt;&gt;"",XLOOKUP($F265,Productos!$A:$A,Productos!Z:Z,"Revisar"),"")</f>
        <v/>
      </c>
      <c r="AH265" s="179" t="str">
        <f t="array" ref="AH265">IF($F265&lt;&gt;"", XLOOKUP($F265,Productos!$A$2:$A1001,Productos!AA$2:AA1001,"")*$G265,"")</f>
        <v/>
      </c>
      <c r="AI265" s="179" t="str">
        <f t="array" ref="AI265">IF($F265&lt;&gt;"",XLOOKUP($F265,Productos!$A:$A,Productos!AB:AB,"Revisar"),"")</f>
        <v/>
      </c>
      <c r="AJ265" s="179" t="str">
        <f t="array" ref="AJ265">IF($F265&lt;&gt;"", XLOOKUP($F265,Productos!$A$2:$A1001,Productos!AC$2:AC1001,"")*$G265,"")</f>
        <v/>
      </c>
      <c r="AK265" s="179" t="str">
        <f t="array" ref="AK265">IF($F265&lt;&gt;"",XLOOKUP($F265,Productos!$A:$A,Productos!AD:AD,"Revisar"),"")</f>
        <v/>
      </c>
      <c r="AL265" s="179" t="str">
        <f t="array" ref="AL265">IF($F265&lt;&gt;"", XLOOKUP($F265,Productos!$A$2:$A1001,Productos!AE$2:AE1001,"")*$G265,"")</f>
        <v/>
      </c>
      <c r="AM265" s="179" t="str">
        <f t="array" ref="AM265">IF($F265&lt;&gt;"",XLOOKUP($F265,Productos!$A:$A,Productos!AF:AF,"Revisar"),"")</f>
        <v/>
      </c>
      <c r="AN265" s="179" t="str">
        <f t="array" ref="AN265">IF($F265&lt;&gt;"", XLOOKUP($F265,Productos!$A$2:$A1001,Productos!AG$2:AG1001,"")*$G265,"")</f>
        <v/>
      </c>
      <c r="AO265" s="179" t="str">
        <f t="array" ref="AO265">IF($F265&lt;&gt;"",XLOOKUP($F265,Productos!$A:$A,Productos!AH:AH,"Revisar"),"")</f>
        <v/>
      </c>
      <c r="AP265" s="179" t="str">
        <f t="array" ref="AP265">IF($F265&lt;&gt;"", XLOOKUP($F265,Productos!$A$2:$A1001,Productos!AI$2:AI1001,"")*$G265,"")</f>
        <v/>
      </c>
      <c r="AQ265" s="179" t="str">
        <f t="array" ref="AQ265">IF($F265&lt;&gt;"",XLOOKUP($F265,Productos!$A:$A,Productos!AJ:AJ,"Revisar"),"")</f>
        <v/>
      </c>
      <c r="AR265" s="179" t="str">
        <f t="array" ref="AR265">IF($F265&lt;&gt;"", XLOOKUP($F265,Productos!$A$2:$A1001,Productos!AK$2:AK1001,"")*$G265,"")</f>
        <v/>
      </c>
      <c r="AS265" s="179" t="str">
        <f t="array" ref="AS265">IF($F265&lt;&gt;"",XLOOKUP($F265,Productos!$A:$A,Productos!AL:AL,"Revisar"),"")</f>
        <v/>
      </c>
      <c r="AT265" s="179" t="str">
        <f t="array" ref="AT265">IF($F265&lt;&gt;"", XLOOKUP($F265,Productos!$A$2:$A1001,Productos!AM$2:AM1001,"")*$G265,"")</f>
        <v/>
      </c>
      <c r="AU265" s="179" t="str">
        <f t="array" ref="AU265">IF($F265&lt;&gt;"",XLOOKUP($F265,Productos!$A:$A,Productos!AN:AN,"Revisar"),"")</f>
        <v/>
      </c>
      <c r="AV265" s="179" t="str">
        <f t="array" ref="AV265">IF($F265&lt;&gt;"", XLOOKUP($F265,Productos!$A$2:$A1001,Productos!AO$2:AO1001,"")*$G265,"")</f>
        <v/>
      </c>
      <c r="AW265" s="179" t="str">
        <f t="array" ref="AW265">IF($F265&lt;&gt;"",XLOOKUP($F265,Productos!$A:$A,Productos!AP:AP,"Revisar"),"")</f>
        <v/>
      </c>
      <c r="AX265" s="179" t="str">
        <f t="array" ref="AX265">IF($F265&lt;&gt;"", XLOOKUP($F265,Productos!$A$2:$A1001,Productos!AQ$2:AQ1001,"")*$G265,"")</f>
        <v/>
      </c>
      <c r="AY265" s="179" t="str">
        <f t="array" ref="AY265">IF($F265&lt;&gt;"",XLOOKUP($F265,Productos!$A:$A,Productos!AR:AR,"Revisar"),"")</f>
        <v/>
      </c>
      <c r="AZ265" s="179" t="str">
        <f t="array" ref="AZ265">IF($F265&lt;&gt;"", XLOOKUP($F265,Productos!$A$2:$A1001,Productos!AS$2:AS1001,"")*$G265,"")</f>
        <v/>
      </c>
      <c r="BA265" s="179" t="str">
        <f t="array" ref="BA265">IF($F265&lt;&gt;"",XLOOKUP($F265,Productos!$A:$A,Productos!AT:AT,"Revisar"),"")</f>
        <v/>
      </c>
      <c r="BB265" s="179" t="str">
        <f t="array" ref="BB265">IF($F265&lt;&gt;"", XLOOKUP($F265,Productos!$A$2:$A1001,Productos!AU$2:AU1001,"")*$G265,"")</f>
        <v/>
      </c>
      <c r="BC265" s="179" t="str">
        <f t="array" ref="BC265">IF($F265&lt;&gt;"",XLOOKUP($F265,Productos!$A:$A,Productos!AV:AV,"Revisar"),"")</f>
        <v/>
      </c>
      <c r="BD265" s="179" t="str">
        <f t="array" ref="BD265">IF($F265&lt;&gt;"", XLOOKUP($F265,Productos!$A$2:$A1001,Productos!AW$2:AW1001,"")*$G265,"")</f>
        <v/>
      </c>
      <c r="BE265" s="179" t="str">
        <f t="array" ref="BE265">IF($F265&lt;&gt;"",XLOOKUP($F265,Productos!$A:$A,Productos!AX:AX,"Revisar"),"")</f>
        <v/>
      </c>
      <c r="BF265" s="179" t="str">
        <f t="array" ref="BF265">IF($F265&lt;&gt;"", XLOOKUP($F265,Productos!$A$2:$A1001,Productos!AY$2:AY1001,"")*$G265,"")</f>
        <v/>
      </c>
      <c r="BG265" s="179" t="str">
        <f t="array" ref="BG265">IF($F265&lt;&gt;"",XLOOKUP($F265,Productos!$A:$A,Productos!AZ:AZ,"Revisar"),"")</f>
        <v/>
      </c>
      <c r="BH265" s="179" t="str">
        <f t="array" ref="BH265">IF($F265&lt;&gt;"", XLOOKUP($F265,Productos!$A$2:$A1001,Productos!BA$2:BA1001,"")*$G265,"")</f>
        <v/>
      </c>
      <c r="BI265" s="179" t="str">
        <f t="array" ref="BI265">IF($F265&lt;&gt;"",XLOOKUP($F265,Productos!$A:$A,Productos!BB:BB,"Revisar"),"")</f>
        <v/>
      </c>
      <c r="BJ265" s="179" t="str">
        <f t="array" ref="BJ265">IF($F265&lt;&gt;"", XLOOKUP($F265,Productos!$A$2:$A1001,Productos!BC$2:BC1001,"")*$G265,"")</f>
        <v/>
      </c>
      <c r="BK265" s="179" t="str">
        <f t="array" ref="BK265">IF($F265&lt;&gt;"",XLOOKUP($F265,Productos!$A:$A,Productos!BD:BD,"Revisar"),"")</f>
        <v/>
      </c>
      <c r="BL265" s="179" t="str">
        <f t="array" ref="BL265">IF($F265&lt;&gt;"", XLOOKUP($F265,Productos!$A$2:$A1001,Productos!BE$2:BE1001,"")*$G265,"")</f>
        <v/>
      </c>
      <c r="BM265" s="179" t="str">
        <f t="array" ref="BM265">IF($F265&lt;&gt;"",XLOOKUP($F265,Productos!$A:$A,Productos!BF:BF,"Revisar"),"")</f>
        <v/>
      </c>
      <c r="BN265" s="179" t="str">
        <f t="array" ref="BN265">IF($F265&lt;&gt;"", XLOOKUP($F265,Productos!$A$2:$A1001,Productos!BG$2:BG1001,"")*$G265,"")</f>
        <v/>
      </c>
      <c r="BO265" s="179" t="str">
        <f t="array" ref="BO265">IF($F265&lt;&gt;"",XLOOKUP($F265,Productos!$A:$A,Productos!BH:BH,"Revisar"),"")</f>
        <v/>
      </c>
      <c r="BP265" s="179" t="str">
        <f t="array" ref="BP265">IF($F265&lt;&gt;"", XLOOKUP($F265,Productos!$A$2:$A1001,Productos!BI$2:BI1001,"")*$G265,"")</f>
        <v/>
      </c>
      <c r="BQ265" s="179" t="str">
        <f t="array" ref="BQ265">IF($F265&lt;&gt;"",XLOOKUP($F265,Productos!$A:$A,Productos!BJ:BJ,"Revisar"),"")</f>
        <v/>
      </c>
      <c r="BR265" s="179" t="str">
        <f t="array" ref="BR265">IF($F265&lt;&gt;"", XLOOKUP($F265,Productos!$A$2:$A1001,Productos!BK$2:BK1001,"")*$G265,"")</f>
        <v/>
      </c>
      <c r="BS265" s="179" t="str">
        <f t="array" ref="BS265">IF($F265&lt;&gt;"",XLOOKUP($F265,Productos!$A:$A,Productos!BL:BL,"Revisar"),"")</f>
        <v/>
      </c>
      <c r="BT265" s="179" t="str">
        <f t="array" ref="BT265">IF($F265&lt;&gt;"", XLOOKUP($F265,Productos!$A$2:$A1001,Productos!BM$2:BM1001,"")*$G265,"")</f>
        <v/>
      </c>
      <c r="BU265" s="179" t="str">
        <f t="array" ref="BU265">IF($F265&lt;&gt;"",XLOOKUP($F265,Productos!$A:$A,Productos!BN:BN,"Revisar"),"")</f>
        <v/>
      </c>
      <c r="BV265" s="179" t="str">
        <f t="array" ref="BV265">IF($F265&lt;&gt;"", XLOOKUP($F265,Productos!$A$2:$A1001,Productos!BO$2:BO1001,"")*$G265,"")</f>
        <v/>
      </c>
      <c r="BW265" s="179" t="str">
        <f t="array" ref="BW265">IF($F265&lt;&gt;"",XLOOKUP($F265,Productos!$A:$A,Productos!BP:BP,"Revisar"),"")</f>
        <v/>
      </c>
      <c r="BX265" s="179" t="str">
        <f t="array" ref="BX265">IF($F265&lt;&gt;"", XLOOKUP($F265,Productos!$A$2:$A1001,Productos!BQ$2:BQ1001,"")*$G265,"")</f>
        <v/>
      </c>
      <c r="BY265" s="179" t="str">
        <f t="array" ref="BY265">IF($F265&lt;&gt;"",XLOOKUP($F265,Productos!$A:$A,Productos!BR:BR,"Revisar"),"")</f>
        <v/>
      </c>
      <c r="BZ265" s="179" t="str">
        <f t="array" ref="BZ265">IF($F265&lt;&gt;"", XLOOKUP($F265,Productos!$A$2:$A1001,Productos!BS$2:BS1001,"")*$G265,"")</f>
        <v/>
      </c>
    </row>
    <row r="266">
      <c r="A266" s="180"/>
      <c r="B266" s="181"/>
      <c r="C266" s="182"/>
      <c r="D266" s="182"/>
      <c r="E266" s="185"/>
      <c r="F266" s="186"/>
      <c r="G266" s="187"/>
      <c r="H266" s="186"/>
      <c r="I266" s="179" t="str">
        <f t="array" ref="I266">IF($F266&lt;&gt;"",XLOOKUP($F266,Productos!$A:$A,Productos!B:B,"Revisar"),"")</f>
        <v/>
      </c>
      <c r="J266" s="179" t="str">
        <f t="array" ref="J266">IF($F266&lt;&gt;"", XLOOKUP($F266,Productos!$A$2:$A1001,Productos!C$2:C1001,"")*$G266,"")</f>
        <v/>
      </c>
      <c r="K266" s="179" t="str">
        <f t="array" ref="K266">IF($F266&lt;&gt;"",XLOOKUP($F266,Productos!$A:$A,Productos!D:D,"Revisar"),"")</f>
        <v/>
      </c>
      <c r="L266" s="179" t="str">
        <f t="array" ref="L266">IF($F266&lt;&gt;"", XLOOKUP($F266,Productos!$A$2:$A1001,Productos!E$2:E1001,"")*$G266,"")</f>
        <v/>
      </c>
      <c r="M266" s="179" t="str">
        <f t="array" ref="M266">IF($F266&lt;&gt;"",XLOOKUP($F266,Productos!$A:$A,Productos!F:F,"Revisar"),"")</f>
        <v/>
      </c>
      <c r="N266" s="179" t="str">
        <f t="array" ref="N266">IF($F266&lt;&gt;"", XLOOKUP($F266,Productos!$A$2:$A1001,Productos!G$2:G1001,"")*$G266,"")</f>
        <v/>
      </c>
      <c r="O266" s="179" t="str">
        <f t="array" ref="O266">IF($F266&lt;&gt;"",XLOOKUP($F266,Productos!$A:$A,Productos!H:H,"Revisar"),"")</f>
        <v/>
      </c>
      <c r="P266" s="179" t="str">
        <f t="array" ref="P266">IF($F266&lt;&gt;"", XLOOKUP($F266,Productos!$A$2:$A1001,Productos!I$2:I1001,"")*$G266,"")</f>
        <v/>
      </c>
      <c r="Q266" s="179" t="str">
        <f t="array" ref="Q266">IF($F266&lt;&gt;"",XLOOKUP($F266,Productos!$A:$A,Productos!J:J,"Revisar"),"")</f>
        <v/>
      </c>
      <c r="R266" s="179" t="str">
        <f t="array" ref="R266">IF($F266&lt;&gt;"", XLOOKUP($F266,Productos!$A$2:$A1001,Productos!K$2:K1001,"")*$G266,"")</f>
        <v/>
      </c>
      <c r="S266" s="179" t="str">
        <f t="array" ref="S266">IF($F266&lt;&gt;"",XLOOKUP($F266,Productos!$A:$A,Productos!L:L,"Revisar"),"")</f>
        <v/>
      </c>
      <c r="T266" s="179" t="str">
        <f t="array" ref="T266">IF($F266&lt;&gt;"", XLOOKUP($F266,Productos!$A$2:$A1001,Productos!M$2:M1001,"")*$G266,"")</f>
        <v/>
      </c>
      <c r="U266" s="179" t="str">
        <f t="array" ref="U266">IF($F266&lt;&gt;"",XLOOKUP($F266,Productos!$A:$A,Productos!N:N,"Revisar"),"")</f>
        <v/>
      </c>
      <c r="V266" s="179" t="str">
        <f t="array" ref="V266">IF($F266&lt;&gt;"", XLOOKUP($F266,Productos!$A$2:$A1001,Productos!O$2:O1001,"")*$G266,"")</f>
        <v/>
      </c>
      <c r="W266" s="179" t="str">
        <f t="array" ref="W266">IF($F266&lt;&gt;"",XLOOKUP($F266,Productos!$A:$A,Productos!P:P,"Revisar"),"")</f>
        <v/>
      </c>
      <c r="X266" s="179" t="str">
        <f t="array" ref="X266">IF($F266&lt;&gt;"", XLOOKUP($F266,Productos!$A$2:$A1001,Productos!Q$2:Q1001,"")*$G266,"")</f>
        <v/>
      </c>
      <c r="Y266" s="179" t="str">
        <f t="array" ref="Y266">IF($F266&lt;&gt;"",XLOOKUP($F266,Productos!$A:$A,Productos!R:R,"Revisar"),"")</f>
        <v/>
      </c>
      <c r="Z266" s="179" t="str">
        <f t="array" ref="Z266">IF($F266&lt;&gt;"", XLOOKUP($F266,Productos!$A$2:$A1001,Productos!S$2:S1001,"")*$G266,"")</f>
        <v/>
      </c>
      <c r="AA266" s="179" t="str">
        <f t="array" ref="AA266">IF($F266&lt;&gt;"",XLOOKUP($F266,Productos!$A:$A,Productos!T:T,"Revisar"),"")</f>
        <v/>
      </c>
      <c r="AB266" s="179" t="str">
        <f t="array" ref="AB266">IF($F266&lt;&gt;"", XLOOKUP($F266,Productos!$A$2:$A1001,Productos!U$2:U1001,"")*$G266,"")</f>
        <v/>
      </c>
      <c r="AC266" s="179" t="str">
        <f t="array" ref="AC266">IF($F266&lt;&gt;"",XLOOKUP($F266,Productos!$A:$A,Productos!V:V,"Revisar"),"")</f>
        <v/>
      </c>
      <c r="AD266" s="179" t="str">
        <f t="array" ref="AD266">IF($F266&lt;&gt;"", XLOOKUP($F266,Productos!$A$2:$A1001,Productos!W$2:W1001,"")*$G266,"")</f>
        <v/>
      </c>
      <c r="AE266" s="179" t="str">
        <f t="array" ref="AE266">IF($F266&lt;&gt;"",XLOOKUP($F266,Productos!$A:$A,Productos!X:X,"Revisar"),"")</f>
        <v/>
      </c>
      <c r="AF266" s="179" t="str">
        <f t="array" ref="AF266">IF($F266&lt;&gt;"", XLOOKUP($F266,Productos!$A$2:$A1001,Productos!Y$2:Y1001,"")*$G266,"")</f>
        <v/>
      </c>
      <c r="AG266" s="179" t="str">
        <f t="array" ref="AG266">IF($F266&lt;&gt;"",XLOOKUP($F266,Productos!$A:$A,Productos!Z:Z,"Revisar"),"")</f>
        <v/>
      </c>
      <c r="AH266" s="179" t="str">
        <f t="array" ref="AH266">IF($F266&lt;&gt;"", XLOOKUP($F266,Productos!$A$2:$A1001,Productos!AA$2:AA1001,"")*$G266,"")</f>
        <v/>
      </c>
      <c r="AI266" s="179" t="str">
        <f t="array" ref="AI266">IF($F266&lt;&gt;"",XLOOKUP($F266,Productos!$A:$A,Productos!AB:AB,"Revisar"),"")</f>
        <v/>
      </c>
      <c r="AJ266" s="179" t="str">
        <f t="array" ref="AJ266">IF($F266&lt;&gt;"", XLOOKUP($F266,Productos!$A$2:$A1001,Productos!AC$2:AC1001,"")*$G266,"")</f>
        <v/>
      </c>
      <c r="AK266" s="179" t="str">
        <f t="array" ref="AK266">IF($F266&lt;&gt;"",XLOOKUP($F266,Productos!$A:$A,Productos!AD:AD,"Revisar"),"")</f>
        <v/>
      </c>
      <c r="AL266" s="179" t="str">
        <f t="array" ref="AL266">IF($F266&lt;&gt;"", XLOOKUP($F266,Productos!$A$2:$A1001,Productos!AE$2:AE1001,"")*$G266,"")</f>
        <v/>
      </c>
      <c r="AM266" s="179" t="str">
        <f t="array" ref="AM266">IF($F266&lt;&gt;"",XLOOKUP($F266,Productos!$A:$A,Productos!AF:AF,"Revisar"),"")</f>
        <v/>
      </c>
      <c r="AN266" s="179" t="str">
        <f t="array" ref="AN266">IF($F266&lt;&gt;"", XLOOKUP($F266,Productos!$A$2:$A1001,Productos!AG$2:AG1001,"")*$G266,"")</f>
        <v/>
      </c>
      <c r="AO266" s="179" t="str">
        <f t="array" ref="AO266">IF($F266&lt;&gt;"",XLOOKUP($F266,Productos!$A:$A,Productos!AH:AH,"Revisar"),"")</f>
        <v/>
      </c>
      <c r="AP266" s="179" t="str">
        <f t="array" ref="AP266">IF($F266&lt;&gt;"", XLOOKUP($F266,Productos!$A$2:$A1001,Productos!AI$2:AI1001,"")*$G266,"")</f>
        <v/>
      </c>
      <c r="AQ266" s="179" t="str">
        <f t="array" ref="AQ266">IF($F266&lt;&gt;"",XLOOKUP($F266,Productos!$A:$A,Productos!AJ:AJ,"Revisar"),"")</f>
        <v/>
      </c>
      <c r="AR266" s="179" t="str">
        <f t="array" ref="AR266">IF($F266&lt;&gt;"", XLOOKUP($F266,Productos!$A$2:$A1001,Productos!AK$2:AK1001,"")*$G266,"")</f>
        <v/>
      </c>
      <c r="AS266" s="179" t="str">
        <f t="array" ref="AS266">IF($F266&lt;&gt;"",XLOOKUP($F266,Productos!$A:$A,Productos!AL:AL,"Revisar"),"")</f>
        <v/>
      </c>
      <c r="AT266" s="179" t="str">
        <f t="array" ref="AT266">IF($F266&lt;&gt;"", XLOOKUP($F266,Productos!$A$2:$A1001,Productos!AM$2:AM1001,"")*$G266,"")</f>
        <v/>
      </c>
      <c r="AU266" s="179" t="str">
        <f t="array" ref="AU266">IF($F266&lt;&gt;"",XLOOKUP($F266,Productos!$A:$A,Productos!AN:AN,"Revisar"),"")</f>
        <v/>
      </c>
      <c r="AV266" s="179" t="str">
        <f t="array" ref="AV266">IF($F266&lt;&gt;"", XLOOKUP($F266,Productos!$A$2:$A1001,Productos!AO$2:AO1001,"")*$G266,"")</f>
        <v/>
      </c>
      <c r="AW266" s="179" t="str">
        <f t="array" ref="AW266">IF($F266&lt;&gt;"",XLOOKUP($F266,Productos!$A:$A,Productos!AP:AP,"Revisar"),"")</f>
        <v/>
      </c>
      <c r="AX266" s="179" t="str">
        <f t="array" ref="AX266">IF($F266&lt;&gt;"", XLOOKUP($F266,Productos!$A$2:$A1001,Productos!AQ$2:AQ1001,"")*$G266,"")</f>
        <v/>
      </c>
      <c r="AY266" s="179" t="str">
        <f t="array" ref="AY266">IF($F266&lt;&gt;"",XLOOKUP($F266,Productos!$A:$A,Productos!AR:AR,"Revisar"),"")</f>
        <v/>
      </c>
      <c r="AZ266" s="179" t="str">
        <f t="array" ref="AZ266">IF($F266&lt;&gt;"", XLOOKUP($F266,Productos!$A$2:$A1001,Productos!AS$2:AS1001,"")*$G266,"")</f>
        <v/>
      </c>
      <c r="BA266" s="179" t="str">
        <f t="array" ref="BA266">IF($F266&lt;&gt;"",XLOOKUP($F266,Productos!$A:$A,Productos!AT:AT,"Revisar"),"")</f>
        <v/>
      </c>
      <c r="BB266" s="179" t="str">
        <f t="array" ref="BB266">IF($F266&lt;&gt;"", XLOOKUP($F266,Productos!$A$2:$A1001,Productos!AU$2:AU1001,"")*$G266,"")</f>
        <v/>
      </c>
      <c r="BC266" s="179" t="str">
        <f t="array" ref="BC266">IF($F266&lt;&gt;"",XLOOKUP($F266,Productos!$A:$A,Productos!AV:AV,"Revisar"),"")</f>
        <v/>
      </c>
      <c r="BD266" s="179" t="str">
        <f t="array" ref="BD266">IF($F266&lt;&gt;"", XLOOKUP($F266,Productos!$A$2:$A1001,Productos!AW$2:AW1001,"")*$G266,"")</f>
        <v/>
      </c>
      <c r="BE266" s="179" t="str">
        <f t="array" ref="BE266">IF($F266&lt;&gt;"",XLOOKUP($F266,Productos!$A:$A,Productos!AX:AX,"Revisar"),"")</f>
        <v/>
      </c>
      <c r="BF266" s="179" t="str">
        <f t="array" ref="BF266">IF($F266&lt;&gt;"", XLOOKUP($F266,Productos!$A$2:$A1001,Productos!AY$2:AY1001,"")*$G266,"")</f>
        <v/>
      </c>
      <c r="BG266" s="179" t="str">
        <f t="array" ref="BG266">IF($F266&lt;&gt;"",XLOOKUP($F266,Productos!$A:$A,Productos!AZ:AZ,"Revisar"),"")</f>
        <v/>
      </c>
      <c r="BH266" s="179" t="str">
        <f t="array" ref="BH266">IF($F266&lt;&gt;"", XLOOKUP($F266,Productos!$A$2:$A1001,Productos!BA$2:BA1001,"")*$G266,"")</f>
        <v/>
      </c>
      <c r="BI266" s="179" t="str">
        <f t="array" ref="BI266">IF($F266&lt;&gt;"",XLOOKUP($F266,Productos!$A:$A,Productos!BB:BB,"Revisar"),"")</f>
        <v/>
      </c>
      <c r="BJ266" s="179" t="str">
        <f t="array" ref="BJ266">IF($F266&lt;&gt;"", XLOOKUP($F266,Productos!$A$2:$A1001,Productos!BC$2:BC1001,"")*$G266,"")</f>
        <v/>
      </c>
      <c r="BK266" s="179" t="str">
        <f t="array" ref="BK266">IF($F266&lt;&gt;"",XLOOKUP($F266,Productos!$A:$A,Productos!BD:BD,"Revisar"),"")</f>
        <v/>
      </c>
      <c r="BL266" s="179" t="str">
        <f t="array" ref="BL266">IF($F266&lt;&gt;"", XLOOKUP($F266,Productos!$A$2:$A1001,Productos!BE$2:BE1001,"")*$G266,"")</f>
        <v/>
      </c>
      <c r="BM266" s="179" t="str">
        <f t="array" ref="BM266">IF($F266&lt;&gt;"",XLOOKUP($F266,Productos!$A:$A,Productos!BF:BF,"Revisar"),"")</f>
        <v/>
      </c>
      <c r="BN266" s="179" t="str">
        <f t="array" ref="BN266">IF($F266&lt;&gt;"", XLOOKUP($F266,Productos!$A$2:$A1001,Productos!BG$2:BG1001,"")*$G266,"")</f>
        <v/>
      </c>
      <c r="BO266" s="179" t="str">
        <f t="array" ref="BO266">IF($F266&lt;&gt;"",XLOOKUP($F266,Productos!$A:$A,Productos!BH:BH,"Revisar"),"")</f>
        <v/>
      </c>
      <c r="BP266" s="179" t="str">
        <f t="array" ref="BP266">IF($F266&lt;&gt;"", XLOOKUP($F266,Productos!$A$2:$A1001,Productos!BI$2:BI1001,"")*$G266,"")</f>
        <v/>
      </c>
      <c r="BQ266" s="179" t="str">
        <f t="array" ref="BQ266">IF($F266&lt;&gt;"",XLOOKUP($F266,Productos!$A:$A,Productos!BJ:BJ,"Revisar"),"")</f>
        <v/>
      </c>
      <c r="BR266" s="179" t="str">
        <f t="array" ref="BR266">IF($F266&lt;&gt;"", XLOOKUP($F266,Productos!$A$2:$A1001,Productos!BK$2:BK1001,"")*$G266,"")</f>
        <v/>
      </c>
      <c r="BS266" s="179" t="str">
        <f t="array" ref="BS266">IF($F266&lt;&gt;"",XLOOKUP($F266,Productos!$A:$A,Productos!BL:BL,"Revisar"),"")</f>
        <v/>
      </c>
      <c r="BT266" s="179" t="str">
        <f t="array" ref="BT266">IF($F266&lt;&gt;"", XLOOKUP($F266,Productos!$A$2:$A1001,Productos!BM$2:BM1001,"")*$G266,"")</f>
        <v/>
      </c>
      <c r="BU266" s="179" t="str">
        <f t="array" ref="BU266">IF($F266&lt;&gt;"",XLOOKUP($F266,Productos!$A:$A,Productos!BN:BN,"Revisar"),"")</f>
        <v/>
      </c>
      <c r="BV266" s="179" t="str">
        <f t="array" ref="BV266">IF($F266&lt;&gt;"", XLOOKUP($F266,Productos!$A$2:$A1001,Productos!BO$2:BO1001,"")*$G266,"")</f>
        <v/>
      </c>
      <c r="BW266" s="179" t="str">
        <f t="array" ref="BW266">IF($F266&lt;&gt;"",XLOOKUP($F266,Productos!$A:$A,Productos!BP:BP,"Revisar"),"")</f>
        <v/>
      </c>
      <c r="BX266" s="179" t="str">
        <f t="array" ref="BX266">IF($F266&lt;&gt;"", XLOOKUP($F266,Productos!$A$2:$A1001,Productos!BQ$2:BQ1001,"")*$G266,"")</f>
        <v/>
      </c>
      <c r="BY266" s="179" t="str">
        <f t="array" ref="BY266">IF($F266&lt;&gt;"",XLOOKUP($F266,Productos!$A:$A,Productos!BR:BR,"Revisar"),"")</f>
        <v/>
      </c>
      <c r="BZ266" s="179" t="str">
        <f t="array" ref="BZ266">IF($F266&lt;&gt;"", XLOOKUP($F266,Productos!$A$2:$A1001,Productos!BS$2:BS1001,"")*$G266,"")</f>
        <v/>
      </c>
    </row>
    <row r="267">
      <c r="A267" s="180"/>
      <c r="B267" s="181"/>
      <c r="C267" s="182"/>
      <c r="D267" s="182"/>
      <c r="E267" s="185"/>
      <c r="F267" s="186"/>
      <c r="G267" s="187"/>
      <c r="H267" s="186"/>
      <c r="I267" s="179" t="str">
        <f t="array" ref="I267">IF($F267&lt;&gt;"",XLOOKUP($F267,Productos!$A:$A,Productos!B:B,"Revisar"),"")</f>
        <v/>
      </c>
      <c r="J267" s="179" t="str">
        <f t="array" ref="J267">IF($F267&lt;&gt;"", XLOOKUP($F267,Productos!$A$2:$A1001,Productos!C$2:C1001,"")*$G267,"")</f>
        <v/>
      </c>
      <c r="K267" s="179" t="str">
        <f t="array" ref="K267">IF($F267&lt;&gt;"",XLOOKUP($F267,Productos!$A:$A,Productos!D:D,"Revisar"),"")</f>
        <v/>
      </c>
      <c r="L267" s="179" t="str">
        <f t="array" ref="L267">IF($F267&lt;&gt;"", XLOOKUP($F267,Productos!$A$2:$A1001,Productos!E$2:E1001,"")*$G267,"")</f>
        <v/>
      </c>
      <c r="M267" s="179" t="str">
        <f t="array" ref="M267">IF($F267&lt;&gt;"",XLOOKUP($F267,Productos!$A:$A,Productos!F:F,"Revisar"),"")</f>
        <v/>
      </c>
      <c r="N267" s="179" t="str">
        <f t="array" ref="N267">IF($F267&lt;&gt;"", XLOOKUP($F267,Productos!$A$2:$A1001,Productos!G$2:G1001,"")*$G267,"")</f>
        <v/>
      </c>
      <c r="O267" s="179" t="str">
        <f t="array" ref="O267">IF($F267&lt;&gt;"",XLOOKUP($F267,Productos!$A:$A,Productos!H:H,"Revisar"),"")</f>
        <v/>
      </c>
      <c r="P267" s="179" t="str">
        <f t="array" ref="P267">IF($F267&lt;&gt;"", XLOOKUP($F267,Productos!$A$2:$A1001,Productos!I$2:I1001,"")*$G267,"")</f>
        <v/>
      </c>
      <c r="Q267" s="179" t="str">
        <f t="array" ref="Q267">IF($F267&lt;&gt;"",XLOOKUP($F267,Productos!$A:$A,Productos!J:J,"Revisar"),"")</f>
        <v/>
      </c>
      <c r="R267" s="179" t="str">
        <f t="array" ref="R267">IF($F267&lt;&gt;"", XLOOKUP($F267,Productos!$A$2:$A1001,Productos!K$2:K1001,"")*$G267,"")</f>
        <v/>
      </c>
      <c r="S267" s="179" t="str">
        <f t="array" ref="S267">IF($F267&lt;&gt;"",XLOOKUP($F267,Productos!$A:$A,Productos!L:L,"Revisar"),"")</f>
        <v/>
      </c>
      <c r="T267" s="179" t="str">
        <f t="array" ref="T267">IF($F267&lt;&gt;"", XLOOKUP($F267,Productos!$A$2:$A1001,Productos!M$2:M1001,"")*$G267,"")</f>
        <v/>
      </c>
      <c r="U267" s="179" t="str">
        <f t="array" ref="U267">IF($F267&lt;&gt;"",XLOOKUP($F267,Productos!$A:$A,Productos!N:N,"Revisar"),"")</f>
        <v/>
      </c>
      <c r="V267" s="179" t="str">
        <f t="array" ref="V267">IF($F267&lt;&gt;"", XLOOKUP($F267,Productos!$A$2:$A1001,Productos!O$2:O1001,"")*$G267,"")</f>
        <v/>
      </c>
      <c r="W267" s="179" t="str">
        <f t="array" ref="W267">IF($F267&lt;&gt;"",XLOOKUP($F267,Productos!$A:$A,Productos!P:P,"Revisar"),"")</f>
        <v/>
      </c>
      <c r="X267" s="179" t="str">
        <f t="array" ref="X267">IF($F267&lt;&gt;"", XLOOKUP($F267,Productos!$A$2:$A1001,Productos!Q$2:Q1001,"")*$G267,"")</f>
        <v/>
      </c>
      <c r="Y267" s="179" t="str">
        <f t="array" ref="Y267">IF($F267&lt;&gt;"",XLOOKUP($F267,Productos!$A:$A,Productos!R:R,"Revisar"),"")</f>
        <v/>
      </c>
      <c r="Z267" s="179" t="str">
        <f t="array" ref="Z267">IF($F267&lt;&gt;"", XLOOKUP($F267,Productos!$A$2:$A1001,Productos!S$2:S1001,"")*$G267,"")</f>
        <v/>
      </c>
      <c r="AA267" s="179" t="str">
        <f t="array" ref="AA267">IF($F267&lt;&gt;"",XLOOKUP($F267,Productos!$A:$A,Productos!T:T,"Revisar"),"")</f>
        <v/>
      </c>
      <c r="AB267" s="179" t="str">
        <f t="array" ref="AB267">IF($F267&lt;&gt;"", XLOOKUP($F267,Productos!$A$2:$A1001,Productos!U$2:U1001,"")*$G267,"")</f>
        <v/>
      </c>
      <c r="AC267" s="179" t="str">
        <f t="array" ref="AC267">IF($F267&lt;&gt;"",XLOOKUP($F267,Productos!$A:$A,Productos!V:V,"Revisar"),"")</f>
        <v/>
      </c>
      <c r="AD267" s="179" t="str">
        <f t="array" ref="AD267">IF($F267&lt;&gt;"", XLOOKUP($F267,Productos!$A$2:$A1001,Productos!W$2:W1001,"")*$G267,"")</f>
        <v/>
      </c>
      <c r="AE267" s="179" t="str">
        <f t="array" ref="AE267">IF($F267&lt;&gt;"",XLOOKUP($F267,Productos!$A:$A,Productos!X:X,"Revisar"),"")</f>
        <v/>
      </c>
      <c r="AF267" s="179" t="str">
        <f t="array" ref="AF267">IF($F267&lt;&gt;"", XLOOKUP($F267,Productos!$A$2:$A1001,Productos!Y$2:Y1001,"")*$G267,"")</f>
        <v/>
      </c>
      <c r="AG267" s="179" t="str">
        <f t="array" ref="AG267">IF($F267&lt;&gt;"",XLOOKUP($F267,Productos!$A:$A,Productos!Z:Z,"Revisar"),"")</f>
        <v/>
      </c>
      <c r="AH267" s="179" t="str">
        <f t="array" ref="AH267">IF($F267&lt;&gt;"", XLOOKUP($F267,Productos!$A$2:$A1001,Productos!AA$2:AA1001,"")*$G267,"")</f>
        <v/>
      </c>
      <c r="AI267" s="179" t="str">
        <f t="array" ref="AI267">IF($F267&lt;&gt;"",XLOOKUP($F267,Productos!$A:$A,Productos!AB:AB,"Revisar"),"")</f>
        <v/>
      </c>
      <c r="AJ267" s="179" t="str">
        <f t="array" ref="AJ267">IF($F267&lt;&gt;"", XLOOKUP($F267,Productos!$A$2:$A1001,Productos!AC$2:AC1001,"")*$G267,"")</f>
        <v/>
      </c>
      <c r="AK267" s="179" t="str">
        <f t="array" ref="AK267">IF($F267&lt;&gt;"",XLOOKUP($F267,Productos!$A:$A,Productos!AD:AD,"Revisar"),"")</f>
        <v/>
      </c>
      <c r="AL267" s="179" t="str">
        <f t="array" ref="AL267">IF($F267&lt;&gt;"", XLOOKUP($F267,Productos!$A$2:$A1001,Productos!AE$2:AE1001,"")*$G267,"")</f>
        <v/>
      </c>
      <c r="AM267" s="179" t="str">
        <f t="array" ref="AM267">IF($F267&lt;&gt;"",XLOOKUP($F267,Productos!$A:$A,Productos!AF:AF,"Revisar"),"")</f>
        <v/>
      </c>
      <c r="AN267" s="179" t="str">
        <f t="array" ref="AN267">IF($F267&lt;&gt;"", XLOOKUP($F267,Productos!$A$2:$A1001,Productos!AG$2:AG1001,"")*$G267,"")</f>
        <v/>
      </c>
      <c r="AO267" s="179" t="str">
        <f t="array" ref="AO267">IF($F267&lt;&gt;"",XLOOKUP($F267,Productos!$A:$A,Productos!AH:AH,"Revisar"),"")</f>
        <v/>
      </c>
      <c r="AP267" s="179" t="str">
        <f t="array" ref="AP267">IF($F267&lt;&gt;"", XLOOKUP($F267,Productos!$A$2:$A1001,Productos!AI$2:AI1001,"")*$G267,"")</f>
        <v/>
      </c>
      <c r="AQ267" s="179" t="str">
        <f t="array" ref="AQ267">IF($F267&lt;&gt;"",XLOOKUP($F267,Productos!$A:$A,Productos!AJ:AJ,"Revisar"),"")</f>
        <v/>
      </c>
      <c r="AR267" s="179" t="str">
        <f t="array" ref="AR267">IF($F267&lt;&gt;"", XLOOKUP($F267,Productos!$A$2:$A1001,Productos!AK$2:AK1001,"")*$G267,"")</f>
        <v/>
      </c>
      <c r="AS267" s="179" t="str">
        <f t="array" ref="AS267">IF($F267&lt;&gt;"",XLOOKUP($F267,Productos!$A:$A,Productos!AL:AL,"Revisar"),"")</f>
        <v/>
      </c>
      <c r="AT267" s="179" t="str">
        <f t="array" ref="AT267">IF($F267&lt;&gt;"", XLOOKUP($F267,Productos!$A$2:$A1001,Productos!AM$2:AM1001,"")*$G267,"")</f>
        <v/>
      </c>
      <c r="AU267" s="179" t="str">
        <f t="array" ref="AU267">IF($F267&lt;&gt;"",XLOOKUP($F267,Productos!$A:$A,Productos!AN:AN,"Revisar"),"")</f>
        <v/>
      </c>
      <c r="AV267" s="179" t="str">
        <f t="array" ref="AV267">IF($F267&lt;&gt;"", XLOOKUP($F267,Productos!$A$2:$A1001,Productos!AO$2:AO1001,"")*$G267,"")</f>
        <v/>
      </c>
      <c r="AW267" s="179" t="str">
        <f t="array" ref="AW267">IF($F267&lt;&gt;"",XLOOKUP($F267,Productos!$A:$A,Productos!AP:AP,"Revisar"),"")</f>
        <v/>
      </c>
      <c r="AX267" s="179" t="str">
        <f t="array" ref="AX267">IF($F267&lt;&gt;"", XLOOKUP($F267,Productos!$A$2:$A1001,Productos!AQ$2:AQ1001,"")*$G267,"")</f>
        <v/>
      </c>
      <c r="AY267" s="179" t="str">
        <f t="array" ref="AY267">IF($F267&lt;&gt;"",XLOOKUP($F267,Productos!$A:$A,Productos!AR:AR,"Revisar"),"")</f>
        <v/>
      </c>
      <c r="AZ267" s="179" t="str">
        <f t="array" ref="AZ267">IF($F267&lt;&gt;"", XLOOKUP($F267,Productos!$A$2:$A1001,Productos!AS$2:AS1001,"")*$G267,"")</f>
        <v/>
      </c>
      <c r="BA267" s="179" t="str">
        <f t="array" ref="BA267">IF($F267&lt;&gt;"",XLOOKUP($F267,Productos!$A:$A,Productos!AT:AT,"Revisar"),"")</f>
        <v/>
      </c>
      <c r="BB267" s="179" t="str">
        <f t="array" ref="BB267">IF($F267&lt;&gt;"", XLOOKUP($F267,Productos!$A$2:$A1001,Productos!AU$2:AU1001,"")*$G267,"")</f>
        <v/>
      </c>
      <c r="BC267" s="179" t="str">
        <f t="array" ref="BC267">IF($F267&lt;&gt;"",XLOOKUP($F267,Productos!$A:$A,Productos!AV:AV,"Revisar"),"")</f>
        <v/>
      </c>
      <c r="BD267" s="179" t="str">
        <f t="array" ref="BD267">IF($F267&lt;&gt;"", XLOOKUP($F267,Productos!$A$2:$A1001,Productos!AW$2:AW1001,"")*$G267,"")</f>
        <v/>
      </c>
      <c r="BE267" s="179" t="str">
        <f t="array" ref="BE267">IF($F267&lt;&gt;"",XLOOKUP($F267,Productos!$A:$A,Productos!AX:AX,"Revisar"),"")</f>
        <v/>
      </c>
      <c r="BF267" s="179" t="str">
        <f t="array" ref="BF267">IF($F267&lt;&gt;"", XLOOKUP($F267,Productos!$A$2:$A1001,Productos!AY$2:AY1001,"")*$G267,"")</f>
        <v/>
      </c>
      <c r="BG267" s="179" t="str">
        <f t="array" ref="BG267">IF($F267&lt;&gt;"",XLOOKUP($F267,Productos!$A:$A,Productos!AZ:AZ,"Revisar"),"")</f>
        <v/>
      </c>
      <c r="BH267" s="179" t="str">
        <f t="array" ref="BH267">IF($F267&lt;&gt;"", XLOOKUP($F267,Productos!$A$2:$A1001,Productos!BA$2:BA1001,"")*$G267,"")</f>
        <v/>
      </c>
      <c r="BI267" s="179" t="str">
        <f t="array" ref="BI267">IF($F267&lt;&gt;"",XLOOKUP($F267,Productos!$A:$A,Productos!BB:BB,"Revisar"),"")</f>
        <v/>
      </c>
      <c r="BJ267" s="179" t="str">
        <f t="array" ref="BJ267">IF($F267&lt;&gt;"", XLOOKUP($F267,Productos!$A$2:$A1001,Productos!BC$2:BC1001,"")*$G267,"")</f>
        <v/>
      </c>
      <c r="BK267" s="179" t="str">
        <f t="array" ref="BK267">IF($F267&lt;&gt;"",XLOOKUP($F267,Productos!$A:$A,Productos!BD:BD,"Revisar"),"")</f>
        <v/>
      </c>
      <c r="BL267" s="179" t="str">
        <f t="array" ref="BL267">IF($F267&lt;&gt;"", XLOOKUP($F267,Productos!$A$2:$A1001,Productos!BE$2:BE1001,"")*$G267,"")</f>
        <v/>
      </c>
      <c r="BM267" s="179" t="str">
        <f t="array" ref="BM267">IF($F267&lt;&gt;"",XLOOKUP($F267,Productos!$A:$A,Productos!BF:BF,"Revisar"),"")</f>
        <v/>
      </c>
      <c r="BN267" s="179" t="str">
        <f t="array" ref="BN267">IF($F267&lt;&gt;"", XLOOKUP($F267,Productos!$A$2:$A1001,Productos!BG$2:BG1001,"")*$G267,"")</f>
        <v/>
      </c>
      <c r="BO267" s="179" t="str">
        <f t="array" ref="BO267">IF($F267&lt;&gt;"",XLOOKUP($F267,Productos!$A:$A,Productos!BH:BH,"Revisar"),"")</f>
        <v/>
      </c>
      <c r="BP267" s="179" t="str">
        <f t="array" ref="BP267">IF($F267&lt;&gt;"", XLOOKUP($F267,Productos!$A$2:$A1001,Productos!BI$2:BI1001,"")*$G267,"")</f>
        <v/>
      </c>
      <c r="BQ267" s="179" t="str">
        <f t="array" ref="BQ267">IF($F267&lt;&gt;"",XLOOKUP($F267,Productos!$A:$A,Productos!BJ:BJ,"Revisar"),"")</f>
        <v/>
      </c>
      <c r="BR267" s="179" t="str">
        <f t="array" ref="BR267">IF($F267&lt;&gt;"", XLOOKUP($F267,Productos!$A$2:$A1001,Productos!BK$2:BK1001,"")*$G267,"")</f>
        <v/>
      </c>
      <c r="BS267" s="179" t="str">
        <f t="array" ref="BS267">IF($F267&lt;&gt;"",XLOOKUP($F267,Productos!$A:$A,Productos!BL:BL,"Revisar"),"")</f>
        <v/>
      </c>
      <c r="BT267" s="179" t="str">
        <f t="array" ref="BT267">IF($F267&lt;&gt;"", XLOOKUP($F267,Productos!$A$2:$A1001,Productos!BM$2:BM1001,"")*$G267,"")</f>
        <v/>
      </c>
      <c r="BU267" s="179" t="str">
        <f t="array" ref="BU267">IF($F267&lt;&gt;"",XLOOKUP($F267,Productos!$A:$A,Productos!BN:BN,"Revisar"),"")</f>
        <v/>
      </c>
      <c r="BV267" s="179" t="str">
        <f t="array" ref="BV267">IF($F267&lt;&gt;"", XLOOKUP($F267,Productos!$A$2:$A1001,Productos!BO$2:BO1001,"")*$G267,"")</f>
        <v/>
      </c>
      <c r="BW267" s="179" t="str">
        <f t="array" ref="BW267">IF($F267&lt;&gt;"",XLOOKUP($F267,Productos!$A:$A,Productos!BP:BP,"Revisar"),"")</f>
        <v/>
      </c>
      <c r="BX267" s="179" t="str">
        <f t="array" ref="BX267">IF($F267&lt;&gt;"", XLOOKUP($F267,Productos!$A$2:$A1001,Productos!BQ$2:BQ1001,"")*$G267,"")</f>
        <v/>
      </c>
      <c r="BY267" s="179" t="str">
        <f t="array" ref="BY267">IF($F267&lt;&gt;"",XLOOKUP($F267,Productos!$A:$A,Productos!BR:BR,"Revisar"),"")</f>
        <v/>
      </c>
      <c r="BZ267" s="179" t="str">
        <f t="array" ref="BZ267">IF($F267&lt;&gt;"", XLOOKUP($F267,Productos!$A$2:$A1001,Productos!BS$2:BS1001,"")*$G267,"")</f>
        <v/>
      </c>
    </row>
    <row r="268">
      <c r="A268" s="180"/>
      <c r="B268" s="181"/>
      <c r="C268" s="182"/>
      <c r="D268" s="182"/>
      <c r="E268" s="185"/>
      <c r="F268" s="186"/>
      <c r="G268" s="187"/>
      <c r="H268" s="186"/>
      <c r="I268" s="179" t="str">
        <f t="array" ref="I268">IF($F268&lt;&gt;"",XLOOKUP($F268,Productos!$A:$A,Productos!B:B,"Revisar"),"")</f>
        <v/>
      </c>
      <c r="J268" s="179" t="str">
        <f t="array" ref="J268">IF($F268&lt;&gt;"", XLOOKUP($F268,Productos!$A$2:$A1001,Productos!C$2:C1001,"")*$G268,"")</f>
        <v/>
      </c>
      <c r="K268" s="179" t="str">
        <f t="array" ref="K268">IF($F268&lt;&gt;"",XLOOKUP($F268,Productos!$A:$A,Productos!D:D,"Revisar"),"")</f>
        <v/>
      </c>
      <c r="L268" s="179" t="str">
        <f t="array" ref="L268">IF($F268&lt;&gt;"", XLOOKUP($F268,Productos!$A$2:$A1001,Productos!E$2:E1001,"")*$G268,"")</f>
        <v/>
      </c>
      <c r="M268" s="179" t="str">
        <f t="array" ref="M268">IF($F268&lt;&gt;"",XLOOKUP($F268,Productos!$A:$A,Productos!F:F,"Revisar"),"")</f>
        <v/>
      </c>
      <c r="N268" s="179" t="str">
        <f t="array" ref="N268">IF($F268&lt;&gt;"", XLOOKUP($F268,Productos!$A$2:$A1001,Productos!G$2:G1001,"")*$G268,"")</f>
        <v/>
      </c>
      <c r="O268" s="179" t="str">
        <f t="array" ref="O268">IF($F268&lt;&gt;"",XLOOKUP($F268,Productos!$A:$A,Productos!H:H,"Revisar"),"")</f>
        <v/>
      </c>
      <c r="P268" s="179" t="str">
        <f t="array" ref="P268">IF($F268&lt;&gt;"", XLOOKUP($F268,Productos!$A$2:$A1001,Productos!I$2:I1001,"")*$G268,"")</f>
        <v/>
      </c>
      <c r="Q268" s="179" t="str">
        <f t="array" ref="Q268">IF($F268&lt;&gt;"",XLOOKUP($F268,Productos!$A:$A,Productos!J:J,"Revisar"),"")</f>
        <v/>
      </c>
      <c r="R268" s="179" t="str">
        <f t="array" ref="R268">IF($F268&lt;&gt;"", XLOOKUP($F268,Productos!$A$2:$A1001,Productos!K$2:K1001,"")*$G268,"")</f>
        <v/>
      </c>
      <c r="S268" s="179" t="str">
        <f t="array" ref="S268">IF($F268&lt;&gt;"",XLOOKUP($F268,Productos!$A:$A,Productos!L:L,"Revisar"),"")</f>
        <v/>
      </c>
      <c r="T268" s="179" t="str">
        <f t="array" ref="T268">IF($F268&lt;&gt;"", XLOOKUP($F268,Productos!$A$2:$A1001,Productos!M$2:M1001,"")*$G268,"")</f>
        <v/>
      </c>
      <c r="U268" s="179" t="str">
        <f t="array" ref="U268">IF($F268&lt;&gt;"",XLOOKUP($F268,Productos!$A:$A,Productos!N:N,"Revisar"),"")</f>
        <v/>
      </c>
      <c r="V268" s="179" t="str">
        <f t="array" ref="V268">IF($F268&lt;&gt;"", XLOOKUP($F268,Productos!$A$2:$A1001,Productos!O$2:O1001,"")*$G268,"")</f>
        <v/>
      </c>
      <c r="W268" s="179" t="str">
        <f t="array" ref="W268">IF($F268&lt;&gt;"",XLOOKUP($F268,Productos!$A:$A,Productos!P:P,"Revisar"),"")</f>
        <v/>
      </c>
      <c r="X268" s="179" t="str">
        <f t="array" ref="X268">IF($F268&lt;&gt;"", XLOOKUP($F268,Productos!$A$2:$A1001,Productos!Q$2:Q1001,"")*$G268,"")</f>
        <v/>
      </c>
      <c r="Y268" s="179" t="str">
        <f t="array" ref="Y268">IF($F268&lt;&gt;"",XLOOKUP($F268,Productos!$A:$A,Productos!R:R,"Revisar"),"")</f>
        <v/>
      </c>
      <c r="Z268" s="179" t="str">
        <f t="array" ref="Z268">IF($F268&lt;&gt;"", XLOOKUP($F268,Productos!$A$2:$A1001,Productos!S$2:S1001,"")*$G268,"")</f>
        <v/>
      </c>
      <c r="AA268" s="179" t="str">
        <f t="array" ref="AA268">IF($F268&lt;&gt;"",XLOOKUP($F268,Productos!$A:$A,Productos!T:T,"Revisar"),"")</f>
        <v/>
      </c>
      <c r="AB268" s="179" t="str">
        <f t="array" ref="AB268">IF($F268&lt;&gt;"", XLOOKUP($F268,Productos!$A$2:$A1001,Productos!U$2:U1001,"")*$G268,"")</f>
        <v/>
      </c>
      <c r="AC268" s="179" t="str">
        <f t="array" ref="AC268">IF($F268&lt;&gt;"",XLOOKUP($F268,Productos!$A:$A,Productos!V:V,"Revisar"),"")</f>
        <v/>
      </c>
      <c r="AD268" s="179" t="str">
        <f t="array" ref="AD268">IF($F268&lt;&gt;"", XLOOKUP($F268,Productos!$A$2:$A1001,Productos!W$2:W1001,"")*$G268,"")</f>
        <v/>
      </c>
      <c r="AE268" s="179" t="str">
        <f t="array" ref="AE268">IF($F268&lt;&gt;"",XLOOKUP($F268,Productos!$A:$A,Productos!X:X,"Revisar"),"")</f>
        <v/>
      </c>
      <c r="AF268" s="179" t="str">
        <f t="array" ref="AF268">IF($F268&lt;&gt;"", XLOOKUP($F268,Productos!$A$2:$A1001,Productos!Y$2:Y1001,"")*$G268,"")</f>
        <v/>
      </c>
      <c r="AG268" s="179" t="str">
        <f t="array" ref="AG268">IF($F268&lt;&gt;"",XLOOKUP($F268,Productos!$A:$A,Productos!Z:Z,"Revisar"),"")</f>
        <v/>
      </c>
      <c r="AH268" s="179" t="str">
        <f t="array" ref="AH268">IF($F268&lt;&gt;"", XLOOKUP($F268,Productos!$A$2:$A1001,Productos!AA$2:AA1001,"")*$G268,"")</f>
        <v/>
      </c>
      <c r="AI268" s="179" t="str">
        <f t="array" ref="AI268">IF($F268&lt;&gt;"",XLOOKUP($F268,Productos!$A:$A,Productos!AB:AB,"Revisar"),"")</f>
        <v/>
      </c>
      <c r="AJ268" s="179" t="str">
        <f t="array" ref="AJ268">IF($F268&lt;&gt;"", XLOOKUP($F268,Productos!$A$2:$A1001,Productos!AC$2:AC1001,"")*$G268,"")</f>
        <v/>
      </c>
      <c r="AK268" s="179" t="str">
        <f t="array" ref="AK268">IF($F268&lt;&gt;"",XLOOKUP($F268,Productos!$A:$A,Productos!AD:AD,"Revisar"),"")</f>
        <v/>
      </c>
      <c r="AL268" s="179" t="str">
        <f t="array" ref="AL268">IF($F268&lt;&gt;"", XLOOKUP($F268,Productos!$A$2:$A1001,Productos!AE$2:AE1001,"")*$G268,"")</f>
        <v/>
      </c>
      <c r="AM268" s="179" t="str">
        <f t="array" ref="AM268">IF($F268&lt;&gt;"",XLOOKUP($F268,Productos!$A:$A,Productos!AF:AF,"Revisar"),"")</f>
        <v/>
      </c>
      <c r="AN268" s="179" t="str">
        <f t="array" ref="AN268">IF($F268&lt;&gt;"", XLOOKUP($F268,Productos!$A$2:$A1001,Productos!AG$2:AG1001,"")*$G268,"")</f>
        <v/>
      </c>
      <c r="AO268" s="179" t="str">
        <f t="array" ref="AO268">IF($F268&lt;&gt;"",XLOOKUP($F268,Productos!$A:$A,Productos!AH:AH,"Revisar"),"")</f>
        <v/>
      </c>
      <c r="AP268" s="179" t="str">
        <f t="array" ref="AP268">IF($F268&lt;&gt;"", XLOOKUP($F268,Productos!$A$2:$A1001,Productos!AI$2:AI1001,"")*$G268,"")</f>
        <v/>
      </c>
      <c r="AQ268" s="179" t="str">
        <f t="array" ref="AQ268">IF($F268&lt;&gt;"",XLOOKUP($F268,Productos!$A:$A,Productos!AJ:AJ,"Revisar"),"")</f>
        <v/>
      </c>
      <c r="AR268" s="179" t="str">
        <f t="array" ref="AR268">IF($F268&lt;&gt;"", XLOOKUP($F268,Productos!$A$2:$A1001,Productos!AK$2:AK1001,"")*$G268,"")</f>
        <v/>
      </c>
      <c r="AS268" s="179" t="str">
        <f t="array" ref="AS268">IF($F268&lt;&gt;"",XLOOKUP($F268,Productos!$A:$A,Productos!AL:AL,"Revisar"),"")</f>
        <v/>
      </c>
      <c r="AT268" s="179" t="str">
        <f t="array" ref="AT268">IF($F268&lt;&gt;"", XLOOKUP($F268,Productos!$A$2:$A1001,Productos!AM$2:AM1001,"")*$G268,"")</f>
        <v/>
      </c>
      <c r="AU268" s="179" t="str">
        <f t="array" ref="AU268">IF($F268&lt;&gt;"",XLOOKUP($F268,Productos!$A:$A,Productos!AN:AN,"Revisar"),"")</f>
        <v/>
      </c>
      <c r="AV268" s="179" t="str">
        <f t="array" ref="AV268">IF($F268&lt;&gt;"", XLOOKUP($F268,Productos!$A$2:$A1001,Productos!AO$2:AO1001,"")*$G268,"")</f>
        <v/>
      </c>
      <c r="AW268" s="179" t="str">
        <f t="array" ref="AW268">IF($F268&lt;&gt;"",XLOOKUP($F268,Productos!$A:$A,Productos!AP:AP,"Revisar"),"")</f>
        <v/>
      </c>
      <c r="AX268" s="179" t="str">
        <f t="array" ref="AX268">IF($F268&lt;&gt;"", XLOOKUP($F268,Productos!$A$2:$A1001,Productos!AQ$2:AQ1001,"")*$G268,"")</f>
        <v/>
      </c>
      <c r="AY268" s="179" t="str">
        <f t="array" ref="AY268">IF($F268&lt;&gt;"",XLOOKUP($F268,Productos!$A:$A,Productos!AR:AR,"Revisar"),"")</f>
        <v/>
      </c>
      <c r="AZ268" s="179" t="str">
        <f t="array" ref="AZ268">IF($F268&lt;&gt;"", XLOOKUP($F268,Productos!$A$2:$A1001,Productos!AS$2:AS1001,"")*$G268,"")</f>
        <v/>
      </c>
      <c r="BA268" s="179" t="str">
        <f t="array" ref="BA268">IF($F268&lt;&gt;"",XLOOKUP($F268,Productos!$A:$A,Productos!AT:AT,"Revisar"),"")</f>
        <v/>
      </c>
      <c r="BB268" s="179" t="str">
        <f t="array" ref="BB268">IF($F268&lt;&gt;"", XLOOKUP($F268,Productos!$A$2:$A1001,Productos!AU$2:AU1001,"")*$G268,"")</f>
        <v/>
      </c>
      <c r="BC268" s="179" t="str">
        <f t="array" ref="BC268">IF($F268&lt;&gt;"",XLOOKUP($F268,Productos!$A:$A,Productos!AV:AV,"Revisar"),"")</f>
        <v/>
      </c>
      <c r="BD268" s="179" t="str">
        <f t="array" ref="BD268">IF($F268&lt;&gt;"", XLOOKUP($F268,Productos!$A$2:$A1001,Productos!AW$2:AW1001,"")*$G268,"")</f>
        <v/>
      </c>
      <c r="BE268" s="179" t="str">
        <f t="array" ref="BE268">IF($F268&lt;&gt;"",XLOOKUP($F268,Productos!$A:$A,Productos!AX:AX,"Revisar"),"")</f>
        <v/>
      </c>
      <c r="BF268" s="179" t="str">
        <f t="array" ref="BF268">IF($F268&lt;&gt;"", XLOOKUP($F268,Productos!$A$2:$A1001,Productos!AY$2:AY1001,"")*$G268,"")</f>
        <v/>
      </c>
      <c r="BG268" s="179" t="str">
        <f t="array" ref="BG268">IF($F268&lt;&gt;"",XLOOKUP($F268,Productos!$A:$A,Productos!AZ:AZ,"Revisar"),"")</f>
        <v/>
      </c>
      <c r="BH268" s="179" t="str">
        <f t="array" ref="BH268">IF($F268&lt;&gt;"", XLOOKUP($F268,Productos!$A$2:$A1001,Productos!BA$2:BA1001,"")*$G268,"")</f>
        <v/>
      </c>
      <c r="BI268" s="179" t="str">
        <f t="array" ref="BI268">IF($F268&lt;&gt;"",XLOOKUP($F268,Productos!$A:$A,Productos!BB:BB,"Revisar"),"")</f>
        <v/>
      </c>
      <c r="BJ268" s="179" t="str">
        <f t="array" ref="BJ268">IF($F268&lt;&gt;"", XLOOKUP($F268,Productos!$A$2:$A1001,Productos!BC$2:BC1001,"")*$G268,"")</f>
        <v/>
      </c>
      <c r="BK268" s="179" t="str">
        <f t="array" ref="BK268">IF($F268&lt;&gt;"",XLOOKUP($F268,Productos!$A:$A,Productos!BD:BD,"Revisar"),"")</f>
        <v/>
      </c>
      <c r="BL268" s="179" t="str">
        <f t="array" ref="BL268">IF($F268&lt;&gt;"", XLOOKUP($F268,Productos!$A$2:$A1001,Productos!BE$2:BE1001,"")*$G268,"")</f>
        <v/>
      </c>
      <c r="BM268" s="179" t="str">
        <f t="array" ref="BM268">IF($F268&lt;&gt;"",XLOOKUP($F268,Productos!$A:$A,Productos!BF:BF,"Revisar"),"")</f>
        <v/>
      </c>
      <c r="BN268" s="179" t="str">
        <f t="array" ref="BN268">IF($F268&lt;&gt;"", XLOOKUP($F268,Productos!$A$2:$A1001,Productos!BG$2:BG1001,"")*$G268,"")</f>
        <v/>
      </c>
      <c r="BO268" s="179" t="str">
        <f t="array" ref="BO268">IF($F268&lt;&gt;"",XLOOKUP($F268,Productos!$A:$A,Productos!BH:BH,"Revisar"),"")</f>
        <v/>
      </c>
      <c r="BP268" s="179" t="str">
        <f t="array" ref="BP268">IF($F268&lt;&gt;"", XLOOKUP($F268,Productos!$A$2:$A1001,Productos!BI$2:BI1001,"")*$G268,"")</f>
        <v/>
      </c>
      <c r="BQ268" s="179" t="str">
        <f t="array" ref="BQ268">IF($F268&lt;&gt;"",XLOOKUP($F268,Productos!$A:$A,Productos!BJ:BJ,"Revisar"),"")</f>
        <v/>
      </c>
      <c r="BR268" s="179" t="str">
        <f t="array" ref="BR268">IF($F268&lt;&gt;"", XLOOKUP($F268,Productos!$A$2:$A1001,Productos!BK$2:BK1001,"")*$G268,"")</f>
        <v/>
      </c>
      <c r="BS268" s="179" t="str">
        <f t="array" ref="BS268">IF($F268&lt;&gt;"",XLOOKUP($F268,Productos!$A:$A,Productos!BL:BL,"Revisar"),"")</f>
        <v/>
      </c>
      <c r="BT268" s="179" t="str">
        <f t="array" ref="BT268">IF($F268&lt;&gt;"", XLOOKUP($F268,Productos!$A$2:$A1001,Productos!BM$2:BM1001,"")*$G268,"")</f>
        <v/>
      </c>
      <c r="BU268" s="179" t="str">
        <f t="array" ref="BU268">IF($F268&lt;&gt;"",XLOOKUP($F268,Productos!$A:$A,Productos!BN:BN,"Revisar"),"")</f>
        <v/>
      </c>
      <c r="BV268" s="179" t="str">
        <f t="array" ref="BV268">IF($F268&lt;&gt;"", XLOOKUP($F268,Productos!$A$2:$A1001,Productos!BO$2:BO1001,"")*$G268,"")</f>
        <v/>
      </c>
      <c r="BW268" s="179" t="str">
        <f t="array" ref="BW268">IF($F268&lt;&gt;"",XLOOKUP($F268,Productos!$A:$A,Productos!BP:BP,"Revisar"),"")</f>
        <v/>
      </c>
      <c r="BX268" s="179" t="str">
        <f t="array" ref="BX268">IF($F268&lt;&gt;"", XLOOKUP($F268,Productos!$A$2:$A1001,Productos!BQ$2:BQ1001,"")*$G268,"")</f>
        <v/>
      </c>
      <c r="BY268" s="179" t="str">
        <f t="array" ref="BY268">IF($F268&lt;&gt;"",XLOOKUP($F268,Productos!$A:$A,Productos!BR:BR,"Revisar"),"")</f>
        <v/>
      </c>
      <c r="BZ268" s="179" t="str">
        <f t="array" ref="BZ268">IF($F268&lt;&gt;"", XLOOKUP($F268,Productos!$A$2:$A1001,Productos!BS$2:BS1001,"")*$G268,"")</f>
        <v/>
      </c>
    </row>
    <row r="269">
      <c r="A269" s="180"/>
      <c r="B269" s="181"/>
      <c r="C269" s="182"/>
      <c r="D269" s="182"/>
      <c r="E269" s="185"/>
      <c r="F269" s="186"/>
      <c r="G269" s="187"/>
      <c r="H269" s="186"/>
      <c r="I269" s="179" t="str">
        <f t="array" ref="I269">IF($F269&lt;&gt;"",XLOOKUP($F269,Productos!$A:$A,Productos!B:B,"Revisar"),"")</f>
        <v/>
      </c>
      <c r="J269" s="179" t="str">
        <f t="array" ref="J269">IF($F269&lt;&gt;"", XLOOKUP($F269,Productos!$A$2:$A1001,Productos!C$2:C1001,"")*$G269,"")</f>
        <v/>
      </c>
      <c r="K269" s="179" t="str">
        <f t="array" ref="K269">IF($F269&lt;&gt;"",XLOOKUP($F269,Productos!$A:$A,Productos!D:D,"Revisar"),"")</f>
        <v/>
      </c>
      <c r="L269" s="179" t="str">
        <f t="array" ref="L269">IF($F269&lt;&gt;"", XLOOKUP($F269,Productos!$A$2:$A1001,Productos!E$2:E1001,"")*$G269,"")</f>
        <v/>
      </c>
      <c r="M269" s="179" t="str">
        <f t="array" ref="M269">IF($F269&lt;&gt;"",XLOOKUP($F269,Productos!$A:$A,Productos!F:F,"Revisar"),"")</f>
        <v/>
      </c>
      <c r="N269" s="179" t="str">
        <f t="array" ref="N269">IF($F269&lt;&gt;"", XLOOKUP($F269,Productos!$A$2:$A1001,Productos!G$2:G1001,"")*$G269,"")</f>
        <v/>
      </c>
      <c r="O269" s="179" t="str">
        <f t="array" ref="O269">IF($F269&lt;&gt;"",XLOOKUP($F269,Productos!$A:$A,Productos!H:H,"Revisar"),"")</f>
        <v/>
      </c>
      <c r="P269" s="179" t="str">
        <f t="array" ref="P269">IF($F269&lt;&gt;"", XLOOKUP($F269,Productos!$A$2:$A1001,Productos!I$2:I1001,"")*$G269,"")</f>
        <v/>
      </c>
      <c r="Q269" s="179" t="str">
        <f t="array" ref="Q269">IF($F269&lt;&gt;"",XLOOKUP($F269,Productos!$A:$A,Productos!J:J,"Revisar"),"")</f>
        <v/>
      </c>
      <c r="R269" s="179" t="str">
        <f t="array" ref="R269">IF($F269&lt;&gt;"", XLOOKUP($F269,Productos!$A$2:$A1001,Productos!K$2:K1001,"")*$G269,"")</f>
        <v/>
      </c>
      <c r="S269" s="179" t="str">
        <f t="array" ref="S269">IF($F269&lt;&gt;"",XLOOKUP($F269,Productos!$A:$A,Productos!L:L,"Revisar"),"")</f>
        <v/>
      </c>
      <c r="T269" s="179" t="str">
        <f t="array" ref="T269">IF($F269&lt;&gt;"", XLOOKUP($F269,Productos!$A$2:$A1001,Productos!M$2:M1001,"")*$G269,"")</f>
        <v/>
      </c>
      <c r="U269" s="179" t="str">
        <f t="array" ref="U269">IF($F269&lt;&gt;"",XLOOKUP($F269,Productos!$A:$A,Productos!N:N,"Revisar"),"")</f>
        <v/>
      </c>
      <c r="V269" s="179" t="str">
        <f t="array" ref="V269">IF($F269&lt;&gt;"", XLOOKUP($F269,Productos!$A$2:$A1001,Productos!O$2:O1001,"")*$G269,"")</f>
        <v/>
      </c>
      <c r="W269" s="179" t="str">
        <f t="array" ref="W269">IF($F269&lt;&gt;"",XLOOKUP($F269,Productos!$A:$A,Productos!P:P,"Revisar"),"")</f>
        <v/>
      </c>
      <c r="X269" s="179" t="str">
        <f t="array" ref="X269">IF($F269&lt;&gt;"", XLOOKUP($F269,Productos!$A$2:$A1001,Productos!Q$2:Q1001,"")*$G269,"")</f>
        <v/>
      </c>
      <c r="Y269" s="179" t="str">
        <f t="array" ref="Y269">IF($F269&lt;&gt;"",XLOOKUP($F269,Productos!$A:$A,Productos!R:R,"Revisar"),"")</f>
        <v/>
      </c>
      <c r="Z269" s="179" t="str">
        <f t="array" ref="Z269">IF($F269&lt;&gt;"", XLOOKUP($F269,Productos!$A$2:$A1001,Productos!S$2:S1001,"")*$G269,"")</f>
        <v/>
      </c>
      <c r="AA269" s="179" t="str">
        <f t="array" ref="AA269">IF($F269&lt;&gt;"",XLOOKUP($F269,Productos!$A:$A,Productos!T:T,"Revisar"),"")</f>
        <v/>
      </c>
      <c r="AB269" s="179" t="str">
        <f t="array" ref="AB269">IF($F269&lt;&gt;"", XLOOKUP($F269,Productos!$A$2:$A1001,Productos!U$2:U1001,"")*$G269,"")</f>
        <v/>
      </c>
      <c r="AC269" s="179" t="str">
        <f t="array" ref="AC269">IF($F269&lt;&gt;"",XLOOKUP($F269,Productos!$A:$A,Productos!V:V,"Revisar"),"")</f>
        <v/>
      </c>
      <c r="AD269" s="179" t="str">
        <f t="array" ref="AD269">IF($F269&lt;&gt;"", XLOOKUP($F269,Productos!$A$2:$A1001,Productos!W$2:W1001,"")*$G269,"")</f>
        <v/>
      </c>
      <c r="AE269" s="179" t="str">
        <f t="array" ref="AE269">IF($F269&lt;&gt;"",XLOOKUP($F269,Productos!$A:$A,Productos!X:X,"Revisar"),"")</f>
        <v/>
      </c>
      <c r="AF269" s="179" t="str">
        <f t="array" ref="AF269">IF($F269&lt;&gt;"", XLOOKUP($F269,Productos!$A$2:$A1001,Productos!Y$2:Y1001,"")*$G269,"")</f>
        <v/>
      </c>
      <c r="AG269" s="179" t="str">
        <f t="array" ref="AG269">IF($F269&lt;&gt;"",XLOOKUP($F269,Productos!$A:$A,Productos!Z:Z,"Revisar"),"")</f>
        <v/>
      </c>
      <c r="AH269" s="179" t="str">
        <f t="array" ref="AH269">IF($F269&lt;&gt;"", XLOOKUP($F269,Productos!$A$2:$A1001,Productos!AA$2:AA1001,"")*$G269,"")</f>
        <v/>
      </c>
      <c r="AI269" s="179" t="str">
        <f t="array" ref="AI269">IF($F269&lt;&gt;"",XLOOKUP($F269,Productos!$A:$A,Productos!AB:AB,"Revisar"),"")</f>
        <v/>
      </c>
      <c r="AJ269" s="179" t="str">
        <f t="array" ref="AJ269">IF($F269&lt;&gt;"", XLOOKUP($F269,Productos!$A$2:$A1001,Productos!AC$2:AC1001,"")*$G269,"")</f>
        <v/>
      </c>
      <c r="AK269" s="179" t="str">
        <f t="array" ref="AK269">IF($F269&lt;&gt;"",XLOOKUP($F269,Productos!$A:$A,Productos!AD:AD,"Revisar"),"")</f>
        <v/>
      </c>
      <c r="AL269" s="179" t="str">
        <f t="array" ref="AL269">IF($F269&lt;&gt;"", XLOOKUP($F269,Productos!$A$2:$A1001,Productos!AE$2:AE1001,"")*$G269,"")</f>
        <v/>
      </c>
      <c r="AM269" s="179" t="str">
        <f t="array" ref="AM269">IF($F269&lt;&gt;"",XLOOKUP($F269,Productos!$A:$A,Productos!AF:AF,"Revisar"),"")</f>
        <v/>
      </c>
      <c r="AN269" s="179" t="str">
        <f t="array" ref="AN269">IF($F269&lt;&gt;"", XLOOKUP($F269,Productos!$A$2:$A1001,Productos!AG$2:AG1001,"")*$G269,"")</f>
        <v/>
      </c>
      <c r="AO269" s="179" t="str">
        <f t="array" ref="AO269">IF($F269&lt;&gt;"",XLOOKUP($F269,Productos!$A:$A,Productos!AH:AH,"Revisar"),"")</f>
        <v/>
      </c>
      <c r="AP269" s="179" t="str">
        <f t="array" ref="AP269">IF($F269&lt;&gt;"", XLOOKUP($F269,Productos!$A$2:$A1001,Productos!AI$2:AI1001,"")*$G269,"")</f>
        <v/>
      </c>
      <c r="AQ269" s="179" t="str">
        <f t="array" ref="AQ269">IF($F269&lt;&gt;"",XLOOKUP($F269,Productos!$A:$A,Productos!AJ:AJ,"Revisar"),"")</f>
        <v/>
      </c>
      <c r="AR269" s="179" t="str">
        <f t="array" ref="AR269">IF($F269&lt;&gt;"", XLOOKUP($F269,Productos!$A$2:$A1001,Productos!AK$2:AK1001,"")*$G269,"")</f>
        <v/>
      </c>
      <c r="AS269" s="179" t="str">
        <f t="array" ref="AS269">IF($F269&lt;&gt;"",XLOOKUP($F269,Productos!$A:$A,Productos!AL:AL,"Revisar"),"")</f>
        <v/>
      </c>
      <c r="AT269" s="179" t="str">
        <f t="array" ref="AT269">IF($F269&lt;&gt;"", XLOOKUP($F269,Productos!$A$2:$A1001,Productos!AM$2:AM1001,"")*$G269,"")</f>
        <v/>
      </c>
      <c r="AU269" s="179" t="str">
        <f t="array" ref="AU269">IF($F269&lt;&gt;"",XLOOKUP($F269,Productos!$A:$A,Productos!AN:AN,"Revisar"),"")</f>
        <v/>
      </c>
      <c r="AV269" s="179" t="str">
        <f t="array" ref="AV269">IF($F269&lt;&gt;"", XLOOKUP($F269,Productos!$A$2:$A1001,Productos!AO$2:AO1001,"")*$G269,"")</f>
        <v/>
      </c>
      <c r="AW269" s="179" t="str">
        <f t="array" ref="AW269">IF($F269&lt;&gt;"",XLOOKUP($F269,Productos!$A:$A,Productos!AP:AP,"Revisar"),"")</f>
        <v/>
      </c>
      <c r="AX269" s="179" t="str">
        <f t="array" ref="AX269">IF($F269&lt;&gt;"", XLOOKUP($F269,Productos!$A$2:$A1001,Productos!AQ$2:AQ1001,"")*$G269,"")</f>
        <v/>
      </c>
      <c r="AY269" s="179" t="str">
        <f t="array" ref="AY269">IF($F269&lt;&gt;"",XLOOKUP($F269,Productos!$A:$A,Productos!AR:AR,"Revisar"),"")</f>
        <v/>
      </c>
      <c r="AZ269" s="179" t="str">
        <f t="array" ref="AZ269">IF($F269&lt;&gt;"", XLOOKUP($F269,Productos!$A$2:$A1001,Productos!AS$2:AS1001,"")*$G269,"")</f>
        <v/>
      </c>
      <c r="BA269" s="179" t="str">
        <f t="array" ref="BA269">IF($F269&lt;&gt;"",XLOOKUP($F269,Productos!$A:$A,Productos!AT:AT,"Revisar"),"")</f>
        <v/>
      </c>
      <c r="BB269" s="179" t="str">
        <f t="array" ref="BB269">IF($F269&lt;&gt;"", XLOOKUP($F269,Productos!$A$2:$A1001,Productos!AU$2:AU1001,"")*$G269,"")</f>
        <v/>
      </c>
      <c r="BC269" s="179" t="str">
        <f t="array" ref="BC269">IF($F269&lt;&gt;"",XLOOKUP($F269,Productos!$A:$A,Productos!AV:AV,"Revisar"),"")</f>
        <v/>
      </c>
      <c r="BD269" s="179" t="str">
        <f t="array" ref="BD269">IF($F269&lt;&gt;"", XLOOKUP($F269,Productos!$A$2:$A1001,Productos!AW$2:AW1001,"")*$G269,"")</f>
        <v/>
      </c>
      <c r="BE269" s="179" t="str">
        <f t="array" ref="BE269">IF($F269&lt;&gt;"",XLOOKUP($F269,Productos!$A:$A,Productos!AX:AX,"Revisar"),"")</f>
        <v/>
      </c>
      <c r="BF269" s="179" t="str">
        <f t="array" ref="BF269">IF($F269&lt;&gt;"", XLOOKUP($F269,Productos!$A$2:$A1001,Productos!AY$2:AY1001,"")*$G269,"")</f>
        <v/>
      </c>
      <c r="BG269" s="179" t="str">
        <f t="array" ref="BG269">IF($F269&lt;&gt;"",XLOOKUP($F269,Productos!$A:$A,Productos!AZ:AZ,"Revisar"),"")</f>
        <v/>
      </c>
      <c r="BH269" s="179" t="str">
        <f t="array" ref="BH269">IF($F269&lt;&gt;"", XLOOKUP($F269,Productos!$A$2:$A1001,Productos!BA$2:BA1001,"")*$G269,"")</f>
        <v/>
      </c>
      <c r="BI269" s="179" t="str">
        <f t="array" ref="BI269">IF($F269&lt;&gt;"",XLOOKUP($F269,Productos!$A:$A,Productos!BB:BB,"Revisar"),"")</f>
        <v/>
      </c>
      <c r="BJ269" s="179" t="str">
        <f t="array" ref="BJ269">IF($F269&lt;&gt;"", XLOOKUP($F269,Productos!$A$2:$A1001,Productos!BC$2:BC1001,"")*$G269,"")</f>
        <v/>
      </c>
      <c r="BK269" s="179" t="str">
        <f t="array" ref="BK269">IF($F269&lt;&gt;"",XLOOKUP($F269,Productos!$A:$A,Productos!BD:BD,"Revisar"),"")</f>
        <v/>
      </c>
      <c r="BL269" s="179" t="str">
        <f t="array" ref="BL269">IF($F269&lt;&gt;"", XLOOKUP($F269,Productos!$A$2:$A1001,Productos!BE$2:BE1001,"")*$G269,"")</f>
        <v/>
      </c>
      <c r="BM269" s="179" t="str">
        <f t="array" ref="BM269">IF($F269&lt;&gt;"",XLOOKUP($F269,Productos!$A:$A,Productos!BF:BF,"Revisar"),"")</f>
        <v/>
      </c>
      <c r="BN269" s="179" t="str">
        <f t="array" ref="BN269">IF($F269&lt;&gt;"", XLOOKUP($F269,Productos!$A$2:$A1001,Productos!BG$2:BG1001,"")*$G269,"")</f>
        <v/>
      </c>
      <c r="BO269" s="179" t="str">
        <f t="array" ref="BO269">IF($F269&lt;&gt;"",XLOOKUP($F269,Productos!$A:$A,Productos!BH:BH,"Revisar"),"")</f>
        <v/>
      </c>
      <c r="BP269" s="179" t="str">
        <f t="array" ref="BP269">IF($F269&lt;&gt;"", XLOOKUP($F269,Productos!$A$2:$A1001,Productos!BI$2:BI1001,"")*$G269,"")</f>
        <v/>
      </c>
      <c r="BQ269" s="179" t="str">
        <f t="array" ref="BQ269">IF($F269&lt;&gt;"",XLOOKUP($F269,Productos!$A:$A,Productos!BJ:BJ,"Revisar"),"")</f>
        <v/>
      </c>
      <c r="BR269" s="179" t="str">
        <f t="array" ref="BR269">IF($F269&lt;&gt;"", XLOOKUP($F269,Productos!$A$2:$A1001,Productos!BK$2:BK1001,"")*$G269,"")</f>
        <v/>
      </c>
      <c r="BS269" s="179" t="str">
        <f t="array" ref="BS269">IF($F269&lt;&gt;"",XLOOKUP($F269,Productos!$A:$A,Productos!BL:BL,"Revisar"),"")</f>
        <v/>
      </c>
      <c r="BT269" s="179" t="str">
        <f t="array" ref="BT269">IF($F269&lt;&gt;"", XLOOKUP($F269,Productos!$A$2:$A1001,Productos!BM$2:BM1001,"")*$G269,"")</f>
        <v/>
      </c>
      <c r="BU269" s="179" t="str">
        <f t="array" ref="BU269">IF($F269&lt;&gt;"",XLOOKUP($F269,Productos!$A:$A,Productos!BN:BN,"Revisar"),"")</f>
        <v/>
      </c>
      <c r="BV269" s="179" t="str">
        <f t="array" ref="BV269">IF($F269&lt;&gt;"", XLOOKUP($F269,Productos!$A$2:$A1001,Productos!BO$2:BO1001,"")*$G269,"")</f>
        <v/>
      </c>
      <c r="BW269" s="179" t="str">
        <f t="array" ref="BW269">IF($F269&lt;&gt;"",XLOOKUP($F269,Productos!$A:$A,Productos!BP:BP,"Revisar"),"")</f>
        <v/>
      </c>
      <c r="BX269" s="179" t="str">
        <f t="array" ref="BX269">IF($F269&lt;&gt;"", XLOOKUP($F269,Productos!$A$2:$A1001,Productos!BQ$2:BQ1001,"")*$G269,"")</f>
        <v/>
      </c>
      <c r="BY269" s="179" t="str">
        <f t="array" ref="BY269">IF($F269&lt;&gt;"",XLOOKUP($F269,Productos!$A:$A,Productos!BR:BR,"Revisar"),"")</f>
        <v/>
      </c>
      <c r="BZ269" s="179" t="str">
        <f t="array" ref="BZ269">IF($F269&lt;&gt;"", XLOOKUP($F269,Productos!$A$2:$A1001,Productos!BS$2:BS1001,"")*$G269,"")</f>
        <v/>
      </c>
    </row>
    <row r="270">
      <c r="A270" s="180"/>
      <c r="B270" s="181"/>
      <c r="C270" s="182"/>
      <c r="D270" s="182"/>
      <c r="E270" s="185"/>
      <c r="F270" s="186"/>
      <c r="G270" s="187"/>
      <c r="H270" s="186"/>
      <c r="I270" s="179" t="str">
        <f t="array" ref="I270">IF($F270&lt;&gt;"",XLOOKUP($F270,Productos!$A:$A,Productos!B:B,"Revisar"),"")</f>
        <v/>
      </c>
      <c r="J270" s="179" t="str">
        <f t="array" ref="J270">IF($F270&lt;&gt;"", XLOOKUP($F270,Productos!$A$2:$A1001,Productos!C$2:C1001,"")*$G270,"")</f>
        <v/>
      </c>
      <c r="K270" s="179" t="str">
        <f t="array" ref="K270">IF($F270&lt;&gt;"",XLOOKUP($F270,Productos!$A:$A,Productos!D:D,"Revisar"),"")</f>
        <v/>
      </c>
      <c r="L270" s="179" t="str">
        <f t="array" ref="L270">IF($F270&lt;&gt;"", XLOOKUP($F270,Productos!$A$2:$A1001,Productos!E$2:E1001,"")*$G270,"")</f>
        <v/>
      </c>
      <c r="M270" s="179" t="str">
        <f t="array" ref="M270">IF($F270&lt;&gt;"",XLOOKUP($F270,Productos!$A:$A,Productos!F:F,"Revisar"),"")</f>
        <v/>
      </c>
      <c r="N270" s="179" t="str">
        <f t="array" ref="N270">IF($F270&lt;&gt;"", XLOOKUP($F270,Productos!$A$2:$A1001,Productos!G$2:G1001,"")*$G270,"")</f>
        <v/>
      </c>
      <c r="O270" s="179" t="str">
        <f t="array" ref="O270">IF($F270&lt;&gt;"",XLOOKUP($F270,Productos!$A:$A,Productos!H:H,"Revisar"),"")</f>
        <v/>
      </c>
      <c r="P270" s="179" t="str">
        <f t="array" ref="P270">IF($F270&lt;&gt;"", XLOOKUP($F270,Productos!$A$2:$A1001,Productos!I$2:I1001,"")*$G270,"")</f>
        <v/>
      </c>
      <c r="Q270" s="179" t="str">
        <f t="array" ref="Q270">IF($F270&lt;&gt;"",XLOOKUP($F270,Productos!$A:$A,Productos!J:J,"Revisar"),"")</f>
        <v/>
      </c>
      <c r="R270" s="179" t="str">
        <f t="array" ref="R270">IF($F270&lt;&gt;"", XLOOKUP($F270,Productos!$A$2:$A1001,Productos!K$2:K1001,"")*$G270,"")</f>
        <v/>
      </c>
      <c r="S270" s="179" t="str">
        <f t="array" ref="S270">IF($F270&lt;&gt;"",XLOOKUP($F270,Productos!$A:$A,Productos!L:L,"Revisar"),"")</f>
        <v/>
      </c>
      <c r="T270" s="179" t="str">
        <f t="array" ref="T270">IF($F270&lt;&gt;"", XLOOKUP($F270,Productos!$A$2:$A1001,Productos!M$2:M1001,"")*$G270,"")</f>
        <v/>
      </c>
      <c r="U270" s="179" t="str">
        <f t="array" ref="U270">IF($F270&lt;&gt;"",XLOOKUP($F270,Productos!$A:$A,Productos!N:N,"Revisar"),"")</f>
        <v/>
      </c>
      <c r="V270" s="179" t="str">
        <f t="array" ref="V270">IF($F270&lt;&gt;"", XLOOKUP($F270,Productos!$A$2:$A1001,Productos!O$2:O1001,"")*$G270,"")</f>
        <v/>
      </c>
      <c r="W270" s="179" t="str">
        <f t="array" ref="W270">IF($F270&lt;&gt;"",XLOOKUP($F270,Productos!$A:$A,Productos!P:P,"Revisar"),"")</f>
        <v/>
      </c>
      <c r="X270" s="179" t="str">
        <f t="array" ref="X270">IF($F270&lt;&gt;"", XLOOKUP($F270,Productos!$A$2:$A1001,Productos!Q$2:Q1001,"")*$G270,"")</f>
        <v/>
      </c>
      <c r="Y270" s="179" t="str">
        <f t="array" ref="Y270">IF($F270&lt;&gt;"",XLOOKUP($F270,Productos!$A:$A,Productos!R:R,"Revisar"),"")</f>
        <v/>
      </c>
      <c r="Z270" s="179" t="str">
        <f t="array" ref="Z270">IF($F270&lt;&gt;"", XLOOKUP($F270,Productos!$A$2:$A1001,Productos!S$2:S1001,"")*$G270,"")</f>
        <v/>
      </c>
      <c r="AA270" s="179" t="str">
        <f t="array" ref="AA270">IF($F270&lt;&gt;"",XLOOKUP($F270,Productos!$A:$A,Productos!T:T,"Revisar"),"")</f>
        <v/>
      </c>
      <c r="AB270" s="179" t="str">
        <f t="array" ref="AB270">IF($F270&lt;&gt;"", XLOOKUP($F270,Productos!$A$2:$A1001,Productos!U$2:U1001,"")*$G270,"")</f>
        <v/>
      </c>
      <c r="AC270" s="179" t="str">
        <f t="array" ref="AC270">IF($F270&lt;&gt;"",XLOOKUP($F270,Productos!$A:$A,Productos!V:V,"Revisar"),"")</f>
        <v/>
      </c>
      <c r="AD270" s="179" t="str">
        <f t="array" ref="AD270">IF($F270&lt;&gt;"", XLOOKUP($F270,Productos!$A$2:$A1001,Productos!W$2:W1001,"")*$G270,"")</f>
        <v/>
      </c>
      <c r="AE270" s="179" t="str">
        <f t="array" ref="AE270">IF($F270&lt;&gt;"",XLOOKUP($F270,Productos!$A:$A,Productos!X:X,"Revisar"),"")</f>
        <v/>
      </c>
      <c r="AF270" s="179" t="str">
        <f t="array" ref="AF270">IF($F270&lt;&gt;"", XLOOKUP($F270,Productos!$A$2:$A1001,Productos!Y$2:Y1001,"")*$G270,"")</f>
        <v/>
      </c>
      <c r="AG270" s="179" t="str">
        <f t="array" ref="AG270">IF($F270&lt;&gt;"",XLOOKUP($F270,Productos!$A:$A,Productos!Z:Z,"Revisar"),"")</f>
        <v/>
      </c>
      <c r="AH270" s="179" t="str">
        <f t="array" ref="AH270">IF($F270&lt;&gt;"", XLOOKUP($F270,Productos!$A$2:$A1001,Productos!AA$2:AA1001,"")*$G270,"")</f>
        <v/>
      </c>
      <c r="AI270" s="179" t="str">
        <f t="array" ref="AI270">IF($F270&lt;&gt;"",XLOOKUP($F270,Productos!$A:$A,Productos!AB:AB,"Revisar"),"")</f>
        <v/>
      </c>
      <c r="AJ270" s="179" t="str">
        <f t="array" ref="AJ270">IF($F270&lt;&gt;"", XLOOKUP($F270,Productos!$A$2:$A1001,Productos!AC$2:AC1001,"")*$G270,"")</f>
        <v/>
      </c>
      <c r="AK270" s="179" t="str">
        <f t="array" ref="AK270">IF($F270&lt;&gt;"",XLOOKUP($F270,Productos!$A:$A,Productos!AD:AD,"Revisar"),"")</f>
        <v/>
      </c>
      <c r="AL270" s="179" t="str">
        <f t="array" ref="AL270">IF($F270&lt;&gt;"", XLOOKUP($F270,Productos!$A$2:$A1001,Productos!AE$2:AE1001,"")*$G270,"")</f>
        <v/>
      </c>
      <c r="AM270" s="179" t="str">
        <f t="array" ref="AM270">IF($F270&lt;&gt;"",XLOOKUP($F270,Productos!$A:$A,Productos!AF:AF,"Revisar"),"")</f>
        <v/>
      </c>
      <c r="AN270" s="179" t="str">
        <f t="array" ref="AN270">IF($F270&lt;&gt;"", XLOOKUP($F270,Productos!$A$2:$A1001,Productos!AG$2:AG1001,"")*$G270,"")</f>
        <v/>
      </c>
      <c r="AO270" s="179" t="str">
        <f t="array" ref="AO270">IF($F270&lt;&gt;"",XLOOKUP($F270,Productos!$A:$A,Productos!AH:AH,"Revisar"),"")</f>
        <v/>
      </c>
      <c r="AP270" s="179" t="str">
        <f t="array" ref="AP270">IF($F270&lt;&gt;"", XLOOKUP($F270,Productos!$A$2:$A1001,Productos!AI$2:AI1001,"")*$G270,"")</f>
        <v/>
      </c>
      <c r="AQ270" s="179" t="str">
        <f t="array" ref="AQ270">IF($F270&lt;&gt;"",XLOOKUP($F270,Productos!$A:$A,Productos!AJ:AJ,"Revisar"),"")</f>
        <v/>
      </c>
      <c r="AR270" s="179" t="str">
        <f t="array" ref="AR270">IF($F270&lt;&gt;"", XLOOKUP($F270,Productos!$A$2:$A1001,Productos!AK$2:AK1001,"")*$G270,"")</f>
        <v/>
      </c>
      <c r="AS270" s="179" t="str">
        <f t="array" ref="AS270">IF($F270&lt;&gt;"",XLOOKUP($F270,Productos!$A:$A,Productos!AL:AL,"Revisar"),"")</f>
        <v/>
      </c>
      <c r="AT270" s="179" t="str">
        <f t="array" ref="AT270">IF($F270&lt;&gt;"", XLOOKUP($F270,Productos!$A$2:$A1001,Productos!AM$2:AM1001,"")*$G270,"")</f>
        <v/>
      </c>
      <c r="AU270" s="179" t="str">
        <f t="array" ref="AU270">IF($F270&lt;&gt;"",XLOOKUP($F270,Productos!$A:$A,Productos!AN:AN,"Revisar"),"")</f>
        <v/>
      </c>
      <c r="AV270" s="179" t="str">
        <f t="array" ref="AV270">IF($F270&lt;&gt;"", XLOOKUP($F270,Productos!$A$2:$A1001,Productos!AO$2:AO1001,"")*$G270,"")</f>
        <v/>
      </c>
      <c r="AW270" s="179" t="str">
        <f t="array" ref="AW270">IF($F270&lt;&gt;"",XLOOKUP($F270,Productos!$A:$A,Productos!AP:AP,"Revisar"),"")</f>
        <v/>
      </c>
      <c r="AX270" s="179" t="str">
        <f t="array" ref="AX270">IF($F270&lt;&gt;"", XLOOKUP($F270,Productos!$A$2:$A1001,Productos!AQ$2:AQ1001,"")*$G270,"")</f>
        <v/>
      </c>
      <c r="AY270" s="179" t="str">
        <f t="array" ref="AY270">IF($F270&lt;&gt;"",XLOOKUP($F270,Productos!$A:$A,Productos!AR:AR,"Revisar"),"")</f>
        <v/>
      </c>
      <c r="AZ270" s="179" t="str">
        <f t="array" ref="AZ270">IF($F270&lt;&gt;"", XLOOKUP($F270,Productos!$A$2:$A1001,Productos!AS$2:AS1001,"")*$G270,"")</f>
        <v/>
      </c>
      <c r="BA270" s="179" t="str">
        <f t="array" ref="BA270">IF($F270&lt;&gt;"",XLOOKUP($F270,Productos!$A:$A,Productos!AT:AT,"Revisar"),"")</f>
        <v/>
      </c>
      <c r="BB270" s="179" t="str">
        <f t="array" ref="BB270">IF($F270&lt;&gt;"", XLOOKUP($F270,Productos!$A$2:$A1001,Productos!AU$2:AU1001,"")*$G270,"")</f>
        <v/>
      </c>
      <c r="BC270" s="179" t="str">
        <f t="array" ref="BC270">IF($F270&lt;&gt;"",XLOOKUP($F270,Productos!$A:$A,Productos!AV:AV,"Revisar"),"")</f>
        <v/>
      </c>
      <c r="BD270" s="179" t="str">
        <f t="array" ref="BD270">IF($F270&lt;&gt;"", XLOOKUP($F270,Productos!$A$2:$A1001,Productos!AW$2:AW1001,"")*$G270,"")</f>
        <v/>
      </c>
      <c r="BE270" s="179" t="str">
        <f t="array" ref="BE270">IF($F270&lt;&gt;"",XLOOKUP($F270,Productos!$A:$A,Productos!AX:AX,"Revisar"),"")</f>
        <v/>
      </c>
      <c r="BF270" s="179" t="str">
        <f t="array" ref="BF270">IF($F270&lt;&gt;"", XLOOKUP($F270,Productos!$A$2:$A1001,Productos!AY$2:AY1001,"")*$G270,"")</f>
        <v/>
      </c>
      <c r="BG270" s="179" t="str">
        <f t="array" ref="BG270">IF($F270&lt;&gt;"",XLOOKUP($F270,Productos!$A:$A,Productos!AZ:AZ,"Revisar"),"")</f>
        <v/>
      </c>
      <c r="BH270" s="179" t="str">
        <f t="array" ref="BH270">IF($F270&lt;&gt;"", XLOOKUP($F270,Productos!$A$2:$A1001,Productos!BA$2:BA1001,"")*$G270,"")</f>
        <v/>
      </c>
      <c r="BI270" s="179" t="str">
        <f t="array" ref="BI270">IF($F270&lt;&gt;"",XLOOKUP($F270,Productos!$A:$A,Productos!BB:BB,"Revisar"),"")</f>
        <v/>
      </c>
      <c r="BJ270" s="179" t="str">
        <f t="array" ref="BJ270">IF($F270&lt;&gt;"", XLOOKUP($F270,Productos!$A$2:$A1001,Productos!BC$2:BC1001,"")*$G270,"")</f>
        <v/>
      </c>
      <c r="BK270" s="179" t="str">
        <f t="array" ref="BK270">IF($F270&lt;&gt;"",XLOOKUP($F270,Productos!$A:$A,Productos!BD:BD,"Revisar"),"")</f>
        <v/>
      </c>
      <c r="BL270" s="179" t="str">
        <f t="array" ref="BL270">IF($F270&lt;&gt;"", XLOOKUP($F270,Productos!$A$2:$A1001,Productos!BE$2:BE1001,"")*$G270,"")</f>
        <v/>
      </c>
      <c r="BM270" s="179" t="str">
        <f t="array" ref="BM270">IF($F270&lt;&gt;"",XLOOKUP($F270,Productos!$A:$A,Productos!BF:BF,"Revisar"),"")</f>
        <v/>
      </c>
      <c r="BN270" s="179" t="str">
        <f t="array" ref="BN270">IF($F270&lt;&gt;"", XLOOKUP($F270,Productos!$A$2:$A1001,Productos!BG$2:BG1001,"")*$G270,"")</f>
        <v/>
      </c>
      <c r="BO270" s="179" t="str">
        <f t="array" ref="BO270">IF($F270&lt;&gt;"",XLOOKUP($F270,Productos!$A:$A,Productos!BH:BH,"Revisar"),"")</f>
        <v/>
      </c>
      <c r="BP270" s="179" t="str">
        <f t="array" ref="BP270">IF($F270&lt;&gt;"", XLOOKUP($F270,Productos!$A$2:$A1001,Productos!BI$2:BI1001,"")*$G270,"")</f>
        <v/>
      </c>
      <c r="BQ270" s="179" t="str">
        <f t="array" ref="BQ270">IF($F270&lt;&gt;"",XLOOKUP($F270,Productos!$A:$A,Productos!BJ:BJ,"Revisar"),"")</f>
        <v/>
      </c>
      <c r="BR270" s="179" t="str">
        <f t="array" ref="BR270">IF($F270&lt;&gt;"", XLOOKUP($F270,Productos!$A$2:$A1001,Productos!BK$2:BK1001,"")*$G270,"")</f>
        <v/>
      </c>
      <c r="BS270" s="179" t="str">
        <f t="array" ref="BS270">IF($F270&lt;&gt;"",XLOOKUP($F270,Productos!$A:$A,Productos!BL:BL,"Revisar"),"")</f>
        <v/>
      </c>
      <c r="BT270" s="179" t="str">
        <f t="array" ref="BT270">IF($F270&lt;&gt;"", XLOOKUP($F270,Productos!$A$2:$A1001,Productos!BM$2:BM1001,"")*$G270,"")</f>
        <v/>
      </c>
      <c r="BU270" s="179" t="str">
        <f t="array" ref="BU270">IF($F270&lt;&gt;"",XLOOKUP($F270,Productos!$A:$A,Productos!BN:BN,"Revisar"),"")</f>
        <v/>
      </c>
      <c r="BV270" s="179" t="str">
        <f t="array" ref="BV270">IF($F270&lt;&gt;"", XLOOKUP($F270,Productos!$A$2:$A1001,Productos!BO$2:BO1001,"")*$G270,"")</f>
        <v/>
      </c>
      <c r="BW270" s="179" t="str">
        <f t="array" ref="BW270">IF($F270&lt;&gt;"",XLOOKUP($F270,Productos!$A:$A,Productos!BP:BP,"Revisar"),"")</f>
        <v/>
      </c>
      <c r="BX270" s="179" t="str">
        <f t="array" ref="BX270">IF($F270&lt;&gt;"", XLOOKUP($F270,Productos!$A$2:$A1001,Productos!BQ$2:BQ1001,"")*$G270,"")</f>
        <v/>
      </c>
      <c r="BY270" s="179" t="str">
        <f t="array" ref="BY270">IF($F270&lt;&gt;"",XLOOKUP($F270,Productos!$A:$A,Productos!BR:BR,"Revisar"),"")</f>
        <v/>
      </c>
      <c r="BZ270" s="179" t="str">
        <f t="array" ref="BZ270">IF($F270&lt;&gt;"", XLOOKUP($F270,Productos!$A$2:$A1001,Productos!BS$2:BS1001,"")*$G270,"")</f>
        <v/>
      </c>
    </row>
    <row r="271">
      <c r="A271" s="180"/>
      <c r="B271" s="181"/>
      <c r="C271" s="182"/>
      <c r="D271" s="182"/>
      <c r="E271" s="185"/>
      <c r="F271" s="186"/>
      <c r="G271" s="187"/>
      <c r="H271" s="186"/>
      <c r="I271" s="179" t="str">
        <f t="array" ref="I271">IF($F271&lt;&gt;"",XLOOKUP($F271,Productos!$A:$A,Productos!B:B,"Revisar"),"")</f>
        <v/>
      </c>
      <c r="J271" s="179" t="str">
        <f t="array" ref="J271">IF($F271&lt;&gt;"", XLOOKUP($F271,Productos!$A$2:$A1001,Productos!C$2:C1001,"")*$G271,"")</f>
        <v/>
      </c>
      <c r="K271" s="179" t="str">
        <f t="array" ref="K271">IF($F271&lt;&gt;"",XLOOKUP($F271,Productos!$A:$A,Productos!D:D,"Revisar"),"")</f>
        <v/>
      </c>
      <c r="L271" s="179" t="str">
        <f t="array" ref="L271">IF($F271&lt;&gt;"", XLOOKUP($F271,Productos!$A$2:$A1001,Productos!E$2:E1001,"")*$G271,"")</f>
        <v/>
      </c>
      <c r="M271" s="179" t="str">
        <f t="array" ref="M271">IF($F271&lt;&gt;"",XLOOKUP($F271,Productos!$A:$A,Productos!F:F,"Revisar"),"")</f>
        <v/>
      </c>
      <c r="N271" s="179" t="str">
        <f t="array" ref="N271">IF($F271&lt;&gt;"", XLOOKUP($F271,Productos!$A$2:$A1001,Productos!G$2:G1001,"")*$G271,"")</f>
        <v/>
      </c>
      <c r="O271" s="179" t="str">
        <f t="array" ref="O271">IF($F271&lt;&gt;"",XLOOKUP($F271,Productos!$A:$A,Productos!H:H,"Revisar"),"")</f>
        <v/>
      </c>
      <c r="P271" s="179" t="str">
        <f t="array" ref="P271">IF($F271&lt;&gt;"", XLOOKUP($F271,Productos!$A$2:$A1001,Productos!I$2:I1001,"")*$G271,"")</f>
        <v/>
      </c>
      <c r="Q271" s="179" t="str">
        <f t="array" ref="Q271">IF($F271&lt;&gt;"",XLOOKUP($F271,Productos!$A:$A,Productos!J:J,"Revisar"),"")</f>
        <v/>
      </c>
      <c r="R271" s="179" t="str">
        <f t="array" ref="R271">IF($F271&lt;&gt;"", XLOOKUP($F271,Productos!$A$2:$A1001,Productos!K$2:K1001,"")*$G271,"")</f>
        <v/>
      </c>
      <c r="S271" s="179" t="str">
        <f t="array" ref="S271">IF($F271&lt;&gt;"",XLOOKUP($F271,Productos!$A:$A,Productos!L:L,"Revisar"),"")</f>
        <v/>
      </c>
      <c r="T271" s="179" t="str">
        <f t="array" ref="T271">IF($F271&lt;&gt;"", XLOOKUP($F271,Productos!$A$2:$A1001,Productos!M$2:M1001,"")*$G271,"")</f>
        <v/>
      </c>
      <c r="U271" s="179" t="str">
        <f t="array" ref="U271">IF($F271&lt;&gt;"",XLOOKUP($F271,Productos!$A:$A,Productos!N:N,"Revisar"),"")</f>
        <v/>
      </c>
      <c r="V271" s="179" t="str">
        <f t="array" ref="V271">IF($F271&lt;&gt;"", XLOOKUP($F271,Productos!$A$2:$A1001,Productos!O$2:O1001,"")*$G271,"")</f>
        <v/>
      </c>
      <c r="W271" s="179" t="str">
        <f t="array" ref="W271">IF($F271&lt;&gt;"",XLOOKUP($F271,Productos!$A:$A,Productos!P:P,"Revisar"),"")</f>
        <v/>
      </c>
      <c r="X271" s="179" t="str">
        <f t="array" ref="X271">IF($F271&lt;&gt;"", XLOOKUP($F271,Productos!$A$2:$A1001,Productos!Q$2:Q1001,"")*$G271,"")</f>
        <v/>
      </c>
      <c r="Y271" s="179" t="str">
        <f t="array" ref="Y271">IF($F271&lt;&gt;"",XLOOKUP($F271,Productos!$A:$A,Productos!R:R,"Revisar"),"")</f>
        <v/>
      </c>
      <c r="Z271" s="179" t="str">
        <f t="array" ref="Z271">IF($F271&lt;&gt;"", XLOOKUP($F271,Productos!$A$2:$A1001,Productos!S$2:S1001,"")*$G271,"")</f>
        <v/>
      </c>
      <c r="AA271" s="179" t="str">
        <f t="array" ref="AA271">IF($F271&lt;&gt;"",XLOOKUP($F271,Productos!$A:$A,Productos!T:T,"Revisar"),"")</f>
        <v/>
      </c>
      <c r="AB271" s="179" t="str">
        <f t="array" ref="AB271">IF($F271&lt;&gt;"", XLOOKUP($F271,Productos!$A$2:$A1001,Productos!U$2:U1001,"")*$G271,"")</f>
        <v/>
      </c>
      <c r="AC271" s="179" t="str">
        <f t="array" ref="AC271">IF($F271&lt;&gt;"",XLOOKUP($F271,Productos!$A:$A,Productos!V:V,"Revisar"),"")</f>
        <v/>
      </c>
      <c r="AD271" s="179" t="str">
        <f t="array" ref="AD271">IF($F271&lt;&gt;"", XLOOKUP($F271,Productos!$A$2:$A1001,Productos!W$2:W1001,"")*$G271,"")</f>
        <v/>
      </c>
      <c r="AE271" s="179" t="str">
        <f t="array" ref="AE271">IF($F271&lt;&gt;"",XLOOKUP($F271,Productos!$A:$A,Productos!X:X,"Revisar"),"")</f>
        <v/>
      </c>
      <c r="AF271" s="179" t="str">
        <f t="array" ref="AF271">IF($F271&lt;&gt;"", XLOOKUP($F271,Productos!$A$2:$A1001,Productos!Y$2:Y1001,"")*$G271,"")</f>
        <v/>
      </c>
      <c r="AG271" s="179" t="str">
        <f t="array" ref="AG271">IF($F271&lt;&gt;"",XLOOKUP($F271,Productos!$A:$A,Productos!Z:Z,"Revisar"),"")</f>
        <v/>
      </c>
      <c r="AH271" s="179" t="str">
        <f t="array" ref="AH271">IF($F271&lt;&gt;"", XLOOKUP($F271,Productos!$A$2:$A1001,Productos!AA$2:AA1001,"")*$G271,"")</f>
        <v/>
      </c>
      <c r="AI271" s="179" t="str">
        <f t="array" ref="AI271">IF($F271&lt;&gt;"",XLOOKUP($F271,Productos!$A:$A,Productos!AB:AB,"Revisar"),"")</f>
        <v/>
      </c>
      <c r="AJ271" s="179" t="str">
        <f t="array" ref="AJ271">IF($F271&lt;&gt;"", XLOOKUP($F271,Productos!$A$2:$A1001,Productos!AC$2:AC1001,"")*$G271,"")</f>
        <v/>
      </c>
      <c r="AK271" s="179" t="str">
        <f t="array" ref="AK271">IF($F271&lt;&gt;"",XLOOKUP($F271,Productos!$A:$A,Productos!AD:AD,"Revisar"),"")</f>
        <v/>
      </c>
      <c r="AL271" s="179" t="str">
        <f t="array" ref="AL271">IF($F271&lt;&gt;"", XLOOKUP($F271,Productos!$A$2:$A1001,Productos!AE$2:AE1001,"")*$G271,"")</f>
        <v/>
      </c>
      <c r="AM271" s="179" t="str">
        <f t="array" ref="AM271">IF($F271&lt;&gt;"",XLOOKUP($F271,Productos!$A:$A,Productos!AF:AF,"Revisar"),"")</f>
        <v/>
      </c>
      <c r="AN271" s="179" t="str">
        <f t="array" ref="AN271">IF($F271&lt;&gt;"", XLOOKUP($F271,Productos!$A$2:$A1001,Productos!AG$2:AG1001,"")*$G271,"")</f>
        <v/>
      </c>
      <c r="AO271" s="179" t="str">
        <f t="array" ref="AO271">IF($F271&lt;&gt;"",XLOOKUP($F271,Productos!$A:$A,Productos!AH:AH,"Revisar"),"")</f>
        <v/>
      </c>
      <c r="AP271" s="179" t="str">
        <f t="array" ref="AP271">IF($F271&lt;&gt;"", XLOOKUP($F271,Productos!$A$2:$A1001,Productos!AI$2:AI1001,"")*$G271,"")</f>
        <v/>
      </c>
      <c r="AQ271" s="179" t="str">
        <f t="array" ref="AQ271">IF($F271&lt;&gt;"",XLOOKUP($F271,Productos!$A:$A,Productos!AJ:AJ,"Revisar"),"")</f>
        <v/>
      </c>
      <c r="AR271" s="179" t="str">
        <f t="array" ref="AR271">IF($F271&lt;&gt;"", XLOOKUP($F271,Productos!$A$2:$A1001,Productos!AK$2:AK1001,"")*$G271,"")</f>
        <v/>
      </c>
      <c r="AS271" s="179" t="str">
        <f t="array" ref="AS271">IF($F271&lt;&gt;"",XLOOKUP($F271,Productos!$A:$A,Productos!AL:AL,"Revisar"),"")</f>
        <v/>
      </c>
      <c r="AT271" s="179" t="str">
        <f t="array" ref="AT271">IF($F271&lt;&gt;"", XLOOKUP($F271,Productos!$A$2:$A1001,Productos!AM$2:AM1001,"")*$G271,"")</f>
        <v/>
      </c>
      <c r="AU271" s="179" t="str">
        <f t="array" ref="AU271">IF($F271&lt;&gt;"",XLOOKUP($F271,Productos!$A:$A,Productos!AN:AN,"Revisar"),"")</f>
        <v/>
      </c>
      <c r="AV271" s="179" t="str">
        <f t="array" ref="AV271">IF($F271&lt;&gt;"", XLOOKUP($F271,Productos!$A$2:$A1001,Productos!AO$2:AO1001,"")*$G271,"")</f>
        <v/>
      </c>
      <c r="AW271" s="179" t="str">
        <f t="array" ref="AW271">IF($F271&lt;&gt;"",XLOOKUP($F271,Productos!$A:$A,Productos!AP:AP,"Revisar"),"")</f>
        <v/>
      </c>
      <c r="AX271" s="179" t="str">
        <f t="array" ref="AX271">IF($F271&lt;&gt;"", XLOOKUP($F271,Productos!$A$2:$A1001,Productos!AQ$2:AQ1001,"")*$G271,"")</f>
        <v/>
      </c>
      <c r="AY271" s="179" t="str">
        <f t="array" ref="AY271">IF($F271&lt;&gt;"",XLOOKUP($F271,Productos!$A:$A,Productos!AR:AR,"Revisar"),"")</f>
        <v/>
      </c>
      <c r="AZ271" s="179" t="str">
        <f t="array" ref="AZ271">IF($F271&lt;&gt;"", XLOOKUP($F271,Productos!$A$2:$A1001,Productos!AS$2:AS1001,"")*$G271,"")</f>
        <v/>
      </c>
      <c r="BA271" s="179" t="str">
        <f t="array" ref="BA271">IF($F271&lt;&gt;"",XLOOKUP($F271,Productos!$A:$A,Productos!AT:AT,"Revisar"),"")</f>
        <v/>
      </c>
      <c r="BB271" s="179" t="str">
        <f t="array" ref="BB271">IF($F271&lt;&gt;"", XLOOKUP($F271,Productos!$A$2:$A1001,Productos!AU$2:AU1001,"")*$G271,"")</f>
        <v/>
      </c>
      <c r="BC271" s="179" t="str">
        <f t="array" ref="BC271">IF($F271&lt;&gt;"",XLOOKUP($F271,Productos!$A:$A,Productos!AV:AV,"Revisar"),"")</f>
        <v/>
      </c>
      <c r="BD271" s="179" t="str">
        <f t="array" ref="BD271">IF($F271&lt;&gt;"", XLOOKUP($F271,Productos!$A$2:$A1001,Productos!AW$2:AW1001,"")*$G271,"")</f>
        <v/>
      </c>
      <c r="BE271" s="179" t="str">
        <f t="array" ref="BE271">IF($F271&lt;&gt;"",XLOOKUP($F271,Productos!$A:$A,Productos!AX:AX,"Revisar"),"")</f>
        <v/>
      </c>
      <c r="BF271" s="179" t="str">
        <f t="array" ref="BF271">IF($F271&lt;&gt;"", XLOOKUP($F271,Productos!$A$2:$A1001,Productos!AY$2:AY1001,"")*$G271,"")</f>
        <v/>
      </c>
      <c r="BG271" s="179" t="str">
        <f t="array" ref="BG271">IF($F271&lt;&gt;"",XLOOKUP($F271,Productos!$A:$A,Productos!AZ:AZ,"Revisar"),"")</f>
        <v/>
      </c>
      <c r="BH271" s="179" t="str">
        <f t="array" ref="BH271">IF($F271&lt;&gt;"", XLOOKUP($F271,Productos!$A$2:$A1001,Productos!BA$2:BA1001,"")*$G271,"")</f>
        <v/>
      </c>
      <c r="BI271" s="179" t="str">
        <f t="array" ref="BI271">IF($F271&lt;&gt;"",XLOOKUP($F271,Productos!$A:$A,Productos!BB:BB,"Revisar"),"")</f>
        <v/>
      </c>
      <c r="BJ271" s="179" t="str">
        <f t="array" ref="BJ271">IF($F271&lt;&gt;"", XLOOKUP($F271,Productos!$A$2:$A1001,Productos!BC$2:BC1001,"")*$G271,"")</f>
        <v/>
      </c>
      <c r="BK271" s="179" t="str">
        <f t="array" ref="BK271">IF($F271&lt;&gt;"",XLOOKUP($F271,Productos!$A:$A,Productos!BD:BD,"Revisar"),"")</f>
        <v/>
      </c>
      <c r="BL271" s="179" t="str">
        <f t="array" ref="BL271">IF($F271&lt;&gt;"", XLOOKUP($F271,Productos!$A$2:$A1001,Productos!BE$2:BE1001,"")*$G271,"")</f>
        <v/>
      </c>
      <c r="BM271" s="179" t="str">
        <f t="array" ref="BM271">IF($F271&lt;&gt;"",XLOOKUP($F271,Productos!$A:$A,Productos!BF:BF,"Revisar"),"")</f>
        <v/>
      </c>
      <c r="BN271" s="179" t="str">
        <f t="array" ref="BN271">IF($F271&lt;&gt;"", XLOOKUP($F271,Productos!$A$2:$A1001,Productos!BG$2:BG1001,"")*$G271,"")</f>
        <v/>
      </c>
      <c r="BO271" s="179" t="str">
        <f t="array" ref="BO271">IF($F271&lt;&gt;"",XLOOKUP($F271,Productos!$A:$A,Productos!BH:BH,"Revisar"),"")</f>
        <v/>
      </c>
      <c r="BP271" s="179" t="str">
        <f t="array" ref="BP271">IF($F271&lt;&gt;"", XLOOKUP($F271,Productos!$A$2:$A1001,Productos!BI$2:BI1001,"")*$G271,"")</f>
        <v/>
      </c>
      <c r="BQ271" s="179" t="str">
        <f t="array" ref="BQ271">IF($F271&lt;&gt;"",XLOOKUP($F271,Productos!$A:$A,Productos!BJ:BJ,"Revisar"),"")</f>
        <v/>
      </c>
      <c r="BR271" s="179" t="str">
        <f t="array" ref="BR271">IF($F271&lt;&gt;"", XLOOKUP($F271,Productos!$A$2:$A1001,Productos!BK$2:BK1001,"")*$G271,"")</f>
        <v/>
      </c>
      <c r="BS271" s="179" t="str">
        <f t="array" ref="BS271">IF($F271&lt;&gt;"",XLOOKUP($F271,Productos!$A:$A,Productos!BL:BL,"Revisar"),"")</f>
        <v/>
      </c>
      <c r="BT271" s="179" t="str">
        <f t="array" ref="BT271">IF($F271&lt;&gt;"", XLOOKUP($F271,Productos!$A$2:$A1001,Productos!BM$2:BM1001,"")*$G271,"")</f>
        <v/>
      </c>
      <c r="BU271" s="179" t="str">
        <f t="array" ref="BU271">IF($F271&lt;&gt;"",XLOOKUP($F271,Productos!$A:$A,Productos!BN:BN,"Revisar"),"")</f>
        <v/>
      </c>
      <c r="BV271" s="179" t="str">
        <f t="array" ref="BV271">IF($F271&lt;&gt;"", XLOOKUP($F271,Productos!$A$2:$A1001,Productos!BO$2:BO1001,"")*$G271,"")</f>
        <v/>
      </c>
      <c r="BW271" s="179" t="str">
        <f t="array" ref="BW271">IF($F271&lt;&gt;"",XLOOKUP($F271,Productos!$A:$A,Productos!BP:BP,"Revisar"),"")</f>
        <v/>
      </c>
      <c r="BX271" s="179" t="str">
        <f t="array" ref="BX271">IF($F271&lt;&gt;"", XLOOKUP($F271,Productos!$A$2:$A1001,Productos!BQ$2:BQ1001,"")*$G271,"")</f>
        <v/>
      </c>
      <c r="BY271" s="179" t="str">
        <f t="array" ref="BY271">IF($F271&lt;&gt;"",XLOOKUP($F271,Productos!$A:$A,Productos!BR:BR,"Revisar"),"")</f>
        <v/>
      </c>
      <c r="BZ271" s="179" t="str">
        <f t="array" ref="BZ271">IF($F271&lt;&gt;"", XLOOKUP($F271,Productos!$A$2:$A1001,Productos!BS$2:BS1001,"")*$G271,"")</f>
        <v/>
      </c>
    </row>
    <row r="272">
      <c r="A272" s="180"/>
      <c r="B272" s="181"/>
      <c r="C272" s="182"/>
      <c r="D272" s="182"/>
      <c r="E272" s="185"/>
      <c r="F272" s="186"/>
      <c r="G272" s="187"/>
      <c r="H272" s="186"/>
      <c r="I272" s="179" t="str">
        <f t="array" ref="I272">IF($F272&lt;&gt;"",XLOOKUP($F272,Productos!$A:$A,Productos!B:B,"Revisar"),"")</f>
        <v/>
      </c>
      <c r="J272" s="179" t="str">
        <f t="array" ref="J272">IF($F272&lt;&gt;"", XLOOKUP($F272,Productos!$A$2:$A1001,Productos!C$2:C1001,"")*$G272,"")</f>
        <v/>
      </c>
      <c r="K272" s="179" t="str">
        <f t="array" ref="K272">IF($F272&lt;&gt;"",XLOOKUP($F272,Productos!$A:$A,Productos!D:D,"Revisar"),"")</f>
        <v/>
      </c>
      <c r="L272" s="179" t="str">
        <f t="array" ref="L272">IF($F272&lt;&gt;"", XLOOKUP($F272,Productos!$A$2:$A1001,Productos!E$2:E1001,"")*$G272,"")</f>
        <v/>
      </c>
      <c r="M272" s="179" t="str">
        <f t="array" ref="M272">IF($F272&lt;&gt;"",XLOOKUP($F272,Productos!$A:$A,Productos!F:F,"Revisar"),"")</f>
        <v/>
      </c>
      <c r="N272" s="179" t="str">
        <f t="array" ref="N272">IF($F272&lt;&gt;"", XLOOKUP($F272,Productos!$A$2:$A1001,Productos!G$2:G1001,"")*$G272,"")</f>
        <v/>
      </c>
      <c r="O272" s="179" t="str">
        <f t="array" ref="O272">IF($F272&lt;&gt;"",XLOOKUP($F272,Productos!$A:$A,Productos!H:H,"Revisar"),"")</f>
        <v/>
      </c>
      <c r="P272" s="179" t="str">
        <f t="array" ref="P272">IF($F272&lt;&gt;"", XLOOKUP($F272,Productos!$A$2:$A1001,Productos!I$2:I1001,"")*$G272,"")</f>
        <v/>
      </c>
      <c r="Q272" s="179" t="str">
        <f t="array" ref="Q272">IF($F272&lt;&gt;"",XLOOKUP($F272,Productos!$A:$A,Productos!J:J,"Revisar"),"")</f>
        <v/>
      </c>
      <c r="R272" s="179" t="str">
        <f t="array" ref="R272">IF($F272&lt;&gt;"", XLOOKUP($F272,Productos!$A$2:$A1001,Productos!K$2:K1001,"")*$G272,"")</f>
        <v/>
      </c>
      <c r="S272" s="179" t="str">
        <f t="array" ref="S272">IF($F272&lt;&gt;"",XLOOKUP($F272,Productos!$A:$A,Productos!L:L,"Revisar"),"")</f>
        <v/>
      </c>
      <c r="T272" s="179" t="str">
        <f t="array" ref="T272">IF($F272&lt;&gt;"", XLOOKUP($F272,Productos!$A$2:$A1001,Productos!M$2:M1001,"")*$G272,"")</f>
        <v/>
      </c>
      <c r="U272" s="179" t="str">
        <f t="array" ref="U272">IF($F272&lt;&gt;"",XLOOKUP($F272,Productos!$A:$A,Productos!N:N,"Revisar"),"")</f>
        <v/>
      </c>
      <c r="V272" s="179" t="str">
        <f t="array" ref="V272">IF($F272&lt;&gt;"", XLOOKUP($F272,Productos!$A$2:$A1001,Productos!O$2:O1001,"")*$G272,"")</f>
        <v/>
      </c>
      <c r="W272" s="179" t="str">
        <f t="array" ref="W272">IF($F272&lt;&gt;"",XLOOKUP($F272,Productos!$A:$A,Productos!P:P,"Revisar"),"")</f>
        <v/>
      </c>
      <c r="X272" s="179" t="str">
        <f t="array" ref="X272">IF($F272&lt;&gt;"", XLOOKUP($F272,Productos!$A$2:$A1001,Productos!Q$2:Q1001,"")*$G272,"")</f>
        <v/>
      </c>
      <c r="Y272" s="179" t="str">
        <f t="array" ref="Y272">IF($F272&lt;&gt;"",XLOOKUP($F272,Productos!$A:$A,Productos!R:R,"Revisar"),"")</f>
        <v/>
      </c>
      <c r="Z272" s="179" t="str">
        <f t="array" ref="Z272">IF($F272&lt;&gt;"", XLOOKUP($F272,Productos!$A$2:$A1001,Productos!S$2:S1001,"")*$G272,"")</f>
        <v/>
      </c>
      <c r="AA272" s="179" t="str">
        <f t="array" ref="AA272">IF($F272&lt;&gt;"",XLOOKUP($F272,Productos!$A:$A,Productos!T:T,"Revisar"),"")</f>
        <v/>
      </c>
      <c r="AB272" s="179" t="str">
        <f t="array" ref="AB272">IF($F272&lt;&gt;"", XLOOKUP($F272,Productos!$A$2:$A1001,Productos!U$2:U1001,"")*$G272,"")</f>
        <v/>
      </c>
      <c r="AC272" s="179" t="str">
        <f t="array" ref="AC272">IF($F272&lt;&gt;"",XLOOKUP($F272,Productos!$A:$A,Productos!V:V,"Revisar"),"")</f>
        <v/>
      </c>
      <c r="AD272" s="179" t="str">
        <f t="array" ref="AD272">IF($F272&lt;&gt;"", XLOOKUP($F272,Productos!$A$2:$A1001,Productos!W$2:W1001,"")*$G272,"")</f>
        <v/>
      </c>
      <c r="AE272" s="179" t="str">
        <f t="array" ref="AE272">IF($F272&lt;&gt;"",XLOOKUP($F272,Productos!$A:$A,Productos!X:X,"Revisar"),"")</f>
        <v/>
      </c>
      <c r="AF272" s="179" t="str">
        <f t="array" ref="AF272">IF($F272&lt;&gt;"", XLOOKUP($F272,Productos!$A$2:$A1001,Productos!Y$2:Y1001,"")*$G272,"")</f>
        <v/>
      </c>
      <c r="AG272" s="179" t="str">
        <f t="array" ref="AG272">IF($F272&lt;&gt;"",XLOOKUP($F272,Productos!$A:$A,Productos!Z:Z,"Revisar"),"")</f>
        <v/>
      </c>
      <c r="AH272" s="179" t="str">
        <f t="array" ref="AH272">IF($F272&lt;&gt;"", XLOOKUP($F272,Productos!$A$2:$A1001,Productos!AA$2:AA1001,"")*$G272,"")</f>
        <v/>
      </c>
      <c r="AI272" s="179" t="str">
        <f t="array" ref="AI272">IF($F272&lt;&gt;"",XLOOKUP($F272,Productos!$A:$A,Productos!AB:AB,"Revisar"),"")</f>
        <v/>
      </c>
      <c r="AJ272" s="179" t="str">
        <f t="array" ref="AJ272">IF($F272&lt;&gt;"", XLOOKUP($F272,Productos!$A$2:$A1001,Productos!AC$2:AC1001,"")*$G272,"")</f>
        <v/>
      </c>
      <c r="AK272" s="179" t="str">
        <f t="array" ref="AK272">IF($F272&lt;&gt;"",XLOOKUP($F272,Productos!$A:$A,Productos!AD:AD,"Revisar"),"")</f>
        <v/>
      </c>
      <c r="AL272" s="179" t="str">
        <f t="array" ref="AL272">IF($F272&lt;&gt;"", XLOOKUP($F272,Productos!$A$2:$A1001,Productos!AE$2:AE1001,"")*$G272,"")</f>
        <v/>
      </c>
      <c r="AM272" s="179" t="str">
        <f t="array" ref="AM272">IF($F272&lt;&gt;"",XLOOKUP($F272,Productos!$A:$A,Productos!AF:AF,"Revisar"),"")</f>
        <v/>
      </c>
      <c r="AN272" s="179" t="str">
        <f t="array" ref="AN272">IF($F272&lt;&gt;"", XLOOKUP($F272,Productos!$A$2:$A1001,Productos!AG$2:AG1001,"")*$G272,"")</f>
        <v/>
      </c>
      <c r="AO272" s="179" t="str">
        <f t="array" ref="AO272">IF($F272&lt;&gt;"",XLOOKUP($F272,Productos!$A:$A,Productos!AH:AH,"Revisar"),"")</f>
        <v/>
      </c>
      <c r="AP272" s="179" t="str">
        <f t="array" ref="AP272">IF($F272&lt;&gt;"", XLOOKUP($F272,Productos!$A$2:$A1001,Productos!AI$2:AI1001,"")*$G272,"")</f>
        <v/>
      </c>
      <c r="AQ272" s="179" t="str">
        <f t="array" ref="AQ272">IF($F272&lt;&gt;"",XLOOKUP($F272,Productos!$A:$A,Productos!AJ:AJ,"Revisar"),"")</f>
        <v/>
      </c>
      <c r="AR272" s="179" t="str">
        <f t="array" ref="AR272">IF($F272&lt;&gt;"", XLOOKUP($F272,Productos!$A$2:$A1001,Productos!AK$2:AK1001,"")*$G272,"")</f>
        <v/>
      </c>
      <c r="AS272" s="179" t="str">
        <f t="array" ref="AS272">IF($F272&lt;&gt;"",XLOOKUP($F272,Productos!$A:$A,Productos!AL:AL,"Revisar"),"")</f>
        <v/>
      </c>
      <c r="AT272" s="179" t="str">
        <f t="array" ref="AT272">IF($F272&lt;&gt;"", XLOOKUP($F272,Productos!$A$2:$A1001,Productos!AM$2:AM1001,"")*$G272,"")</f>
        <v/>
      </c>
      <c r="AU272" s="179" t="str">
        <f t="array" ref="AU272">IF($F272&lt;&gt;"",XLOOKUP($F272,Productos!$A:$A,Productos!AN:AN,"Revisar"),"")</f>
        <v/>
      </c>
      <c r="AV272" s="179" t="str">
        <f t="array" ref="AV272">IF($F272&lt;&gt;"", XLOOKUP($F272,Productos!$A$2:$A1001,Productos!AO$2:AO1001,"")*$G272,"")</f>
        <v/>
      </c>
      <c r="AW272" s="179" t="str">
        <f t="array" ref="AW272">IF($F272&lt;&gt;"",XLOOKUP($F272,Productos!$A:$A,Productos!AP:AP,"Revisar"),"")</f>
        <v/>
      </c>
      <c r="AX272" s="179" t="str">
        <f t="array" ref="AX272">IF($F272&lt;&gt;"", XLOOKUP($F272,Productos!$A$2:$A1001,Productos!AQ$2:AQ1001,"")*$G272,"")</f>
        <v/>
      </c>
      <c r="AY272" s="179" t="str">
        <f t="array" ref="AY272">IF($F272&lt;&gt;"",XLOOKUP($F272,Productos!$A:$A,Productos!AR:AR,"Revisar"),"")</f>
        <v/>
      </c>
      <c r="AZ272" s="179" t="str">
        <f t="array" ref="AZ272">IF($F272&lt;&gt;"", XLOOKUP($F272,Productos!$A$2:$A1001,Productos!AS$2:AS1001,"")*$G272,"")</f>
        <v/>
      </c>
      <c r="BA272" s="179" t="str">
        <f t="array" ref="BA272">IF($F272&lt;&gt;"",XLOOKUP($F272,Productos!$A:$A,Productos!AT:AT,"Revisar"),"")</f>
        <v/>
      </c>
      <c r="BB272" s="179" t="str">
        <f t="array" ref="BB272">IF($F272&lt;&gt;"", XLOOKUP($F272,Productos!$A$2:$A1001,Productos!AU$2:AU1001,"")*$G272,"")</f>
        <v/>
      </c>
      <c r="BC272" s="179" t="str">
        <f t="array" ref="BC272">IF($F272&lt;&gt;"",XLOOKUP($F272,Productos!$A:$A,Productos!AV:AV,"Revisar"),"")</f>
        <v/>
      </c>
      <c r="BD272" s="179" t="str">
        <f t="array" ref="BD272">IF($F272&lt;&gt;"", XLOOKUP($F272,Productos!$A$2:$A1001,Productos!AW$2:AW1001,"")*$G272,"")</f>
        <v/>
      </c>
      <c r="BE272" s="179" t="str">
        <f t="array" ref="BE272">IF($F272&lt;&gt;"",XLOOKUP($F272,Productos!$A:$A,Productos!AX:AX,"Revisar"),"")</f>
        <v/>
      </c>
      <c r="BF272" s="179" t="str">
        <f t="array" ref="BF272">IF($F272&lt;&gt;"", XLOOKUP($F272,Productos!$A$2:$A1001,Productos!AY$2:AY1001,"")*$G272,"")</f>
        <v/>
      </c>
      <c r="BG272" s="179" t="str">
        <f t="array" ref="BG272">IF($F272&lt;&gt;"",XLOOKUP($F272,Productos!$A:$A,Productos!AZ:AZ,"Revisar"),"")</f>
        <v/>
      </c>
      <c r="BH272" s="179" t="str">
        <f t="array" ref="BH272">IF($F272&lt;&gt;"", XLOOKUP($F272,Productos!$A$2:$A1001,Productos!BA$2:BA1001,"")*$G272,"")</f>
        <v/>
      </c>
      <c r="BI272" s="179" t="str">
        <f t="array" ref="BI272">IF($F272&lt;&gt;"",XLOOKUP($F272,Productos!$A:$A,Productos!BB:BB,"Revisar"),"")</f>
        <v/>
      </c>
      <c r="BJ272" s="179" t="str">
        <f t="array" ref="BJ272">IF($F272&lt;&gt;"", XLOOKUP($F272,Productos!$A$2:$A1001,Productos!BC$2:BC1001,"")*$G272,"")</f>
        <v/>
      </c>
      <c r="BK272" s="179" t="str">
        <f t="array" ref="BK272">IF($F272&lt;&gt;"",XLOOKUP($F272,Productos!$A:$A,Productos!BD:BD,"Revisar"),"")</f>
        <v/>
      </c>
      <c r="BL272" s="179" t="str">
        <f t="array" ref="BL272">IF($F272&lt;&gt;"", XLOOKUP($F272,Productos!$A$2:$A1001,Productos!BE$2:BE1001,"")*$G272,"")</f>
        <v/>
      </c>
      <c r="BM272" s="179" t="str">
        <f t="array" ref="BM272">IF($F272&lt;&gt;"",XLOOKUP($F272,Productos!$A:$A,Productos!BF:BF,"Revisar"),"")</f>
        <v/>
      </c>
      <c r="BN272" s="179" t="str">
        <f t="array" ref="BN272">IF($F272&lt;&gt;"", XLOOKUP($F272,Productos!$A$2:$A1001,Productos!BG$2:BG1001,"")*$G272,"")</f>
        <v/>
      </c>
      <c r="BO272" s="179" t="str">
        <f t="array" ref="BO272">IF($F272&lt;&gt;"",XLOOKUP($F272,Productos!$A:$A,Productos!BH:BH,"Revisar"),"")</f>
        <v/>
      </c>
      <c r="BP272" s="179" t="str">
        <f t="array" ref="BP272">IF($F272&lt;&gt;"", XLOOKUP($F272,Productos!$A$2:$A1001,Productos!BI$2:BI1001,"")*$G272,"")</f>
        <v/>
      </c>
      <c r="BQ272" s="179" t="str">
        <f t="array" ref="BQ272">IF($F272&lt;&gt;"",XLOOKUP($F272,Productos!$A:$A,Productos!BJ:BJ,"Revisar"),"")</f>
        <v/>
      </c>
      <c r="BR272" s="179" t="str">
        <f t="array" ref="BR272">IF($F272&lt;&gt;"", XLOOKUP($F272,Productos!$A$2:$A1001,Productos!BK$2:BK1001,"")*$G272,"")</f>
        <v/>
      </c>
      <c r="BS272" s="179" t="str">
        <f t="array" ref="BS272">IF($F272&lt;&gt;"",XLOOKUP($F272,Productos!$A:$A,Productos!BL:BL,"Revisar"),"")</f>
        <v/>
      </c>
      <c r="BT272" s="179" t="str">
        <f t="array" ref="BT272">IF($F272&lt;&gt;"", XLOOKUP($F272,Productos!$A$2:$A1001,Productos!BM$2:BM1001,"")*$G272,"")</f>
        <v/>
      </c>
      <c r="BU272" s="179" t="str">
        <f t="array" ref="BU272">IF($F272&lt;&gt;"",XLOOKUP($F272,Productos!$A:$A,Productos!BN:BN,"Revisar"),"")</f>
        <v/>
      </c>
      <c r="BV272" s="179" t="str">
        <f t="array" ref="BV272">IF($F272&lt;&gt;"", XLOOKUP($F272,Productos!$A$2:$A1001,Productos!BO$2:BO1001,"")*$G272,"")</f>
        <v/>
      </c>
      <c r="BW272" s="179" t="str">
        <f t="array" ref="BW272">IF($F272&lt;&gt;"",XLOOKUP($F272,Productos!$A:$A,Productos!BP:BP,"Revisar"),"")</f>
        <v/>
      </c>
      <c r="BX272" s="179" t="str">
        <f t="array" ref="BX272">IF($F272&lt;&gt;"", XLOOKUP($F272,Productos!$A$2:$A1001,Productos!BQ$2:BQ1001,"")*$G272,"")</f>
        <v/>
      </c>
      <c r="BY272" s="179" t="str">
        <f t="array" ref="BY272">IF($F272&lt;&gt;"",XLOOKUP($F272,Productos!$A:$A,Productos!BR:BR,"Revisar"),"")</f>
        <v/>
      </c>
      <c r="BZ272" s="179" t="str">
        <f t="array" ref="BZ272">IF($F272&lt;&gt;"", XLOOKUP($F272,Productos!$A$2:$A1001,Productos!BS$2:BS1001,"")*$G272,"")</f>
        <v/>
      </c>
    </row>
    <row r="273">
      <c r="A273" s="180"/>
      <c r="B273" s="181"/>
      <c r="C273" s="182"/>
      <c r="D273" s="182"/>
      <c r="E273" s="185"/>
      <c r="F273" s="186"/>
      <c r="G273" s="187"/>
      <c r="H273" s="186"/>
      <c r="I273" s="179" t="str">
        <f t="array" ref="I273">IF($F273&lt;&gt;"",XLOOKUP($F273,Productos!$A:$A,Productos!B:B,"Revisar"),"")</f>
        <v/>
      </c>
      <c r="J273" s="179" t="str">
        <f t="array" ref="J273">IF($F273&lt;&gt;"", XLOOKUP($F273,Productos!$A$2:$A1001,Productos!C$2:C1001,"")*$G273,"")</f>
        <v/>
      </c>
      <c r="K273" s="179" t="str">
        <f t="array" ref="K273">IF($F273&lt;&gt;"",XLOOKUP($F273,Productos!$A:$A,Productos!D:D,"Revisar"),"")</f>
        <v/>
      </c>
      <c r="L273" s="179" t="str">
        <f t="array" ref="L273">IF($F273&lt;&gt;"", XLOOKUP($F273,Productos!$A$2:$A1001,Productos!E$2:E1001,"")*$G273,"")</f>
        <v/>
      </c>
      <c r="M273" s="179" t="str">
        <f t="array" ref="M273">IF($F273&lt;&gt;"",XLOOKUP($F273,Productos!$A:$A,Productos!F:F,"Revisar"),"")</f>
        <v/>
      </c>
      <c r="N273" s="179" t="str">
        <f t="array" ref="N273">IF($F273&lt;&gt;"", XLOOKUP($F273,Productos!$A$2:$A1001,Productos!G$2:G1001,"")*$G273,"")</f>
        <v/>
      </c>
      <c r="O273" s="179" t="str">
        <f t="array" ref="O273">IF($F273&lt;&gt;"",XLOOKUP($F273,Productos!$A:$A,Productos!H:H,"Revisar"),"")</f>
        <v/>
      </c>
      <c r="P273" s="179" t="str">
        <f t="array" ref="P273">IF($F273&lt;&gt;"", XLOOKUP($F273,Productos!$A$2:$A1001,Productos!I$2:I1001,"")*$G273,"")</f>
        <v/>
      </c>
      <c r="Q273" s="179" t="str">
        <f t="array" ref="Q273">IF($F273&lt;&gt;"",XLOOKUP($F273,Productos!$A:$A,Productos!J:J,"Revisar"),"")</f>
        <v/>
      </c>
      <c r="R273" s="179" t="str">
        <f t="array" ref="R273">IF($F273&lt;&gt;"", XLOOKUP($F273,Productos!$A$2:$A1001,Productos!K$2:K1001,"")*$G273,"")</f>
        <v/>
      </c>
      <c r="S273" s="179" t="str">
        <f t="array" ref="S273">IF($F273&lt;&gt;"",XLOOKUP($F273,Productos!$A:$A,Productos!L:L,"Revisar"),"")</f>
        <v/>
      </c>
      <c r="T273" s="179" t="str">
        <f t="array" ref="T273">IF($F273&lt;&gt;"", XLOOKUP($F273,Productos!$A$2:$A1001,Productos!M$2:M1001,"")*$G273,"")</f>
        <v/>
      </c>
      <c r="U273" s="179" t="str">
        <f t="array" ref="U273">IF($F273&lt;&gt;"",XLOOKUP($F273,Productos!$A:$A,Productos!N:N,"Revisar"),"")</f>
        <v/>
      </c>
      <c r="V273" s="179" t="str">
        <f t="array" ref="V273">IF($F273&lt;&gt;"", XLOOKUP($F273,Productos!$A$2:$A1001,Productos!O$2:O1001,"")*$G273,"")</f>
        <v/>
      </c>
      <c r="W273" s="179" t="str">
        <f t="array" ref="W273">IF($F273&lt;&gt;"",XLOOKUP($F273,Productos!$A:$A,Productos!P:P,"Revisar"),"")</f>
        <v/>
      </c>
      <c r="X273" s="179" t="str">
        <f t="array" ref="X273">IF($F273&lt;&gt;"", XLOOKUP($F273,Productos!$A$2:$A1001,Productos!Q$2:Q1001,"")*$G273,"")</f>
        <v/>
      </c>
      <c r="Y273" s="179" t="str">
        <f t="array" ref="Y273">IF($F273&lt;&gt;"",XLOOKUP($F273,Productos!$A:$A,Productos!R:R,"Revisar"),"")</f>
        <v/>
      </c>
      <c r="Z273" s="179" t="str">
        <f t="array" ref="Z273">IF($F273&lt;&gt;"", XLOOKUP($F273,Productos!$A$2:$A1001,Productos!S$2:S1001,"")*$G273,"")</f>
        <v/>
      </c>
      <c r="AA273" s="179" t="str">
        <f t="array" ref="AA273">IF($F273&lt;&gt;"",XLOOKUP($F273,Productos!$A:$A,Productos!T:T,"Revisar"),"")</f>
        <v/>
      </c>
      <c r="AB273" s="179" t="str">
        <f t="array" ref="AB273">IF($F273&lt;&gt;"", XLOOKUP($F273,Productos!$A$2:$A1001,Productos!U$2:U1001,"")*$G273,"")</f>
        <v/>
      </c>
      <c r="AC273" s="179" t="str">
        <f t="array" ref="AC273">IF($F273&lt;&gt;"",XLOOKUP($F273,Productos!$A:$A,Productos!V:V,"Revisar"),"")</f>
        <v/>
      </c>
      <c r="AD273" s="179" t="str">
        <f t="array" ref="AD273">IF($F273&lt;&gt;"", XLOOKUP($F273,Productos!$A$2:$A1001,Productos!W$2:W1001,"")*$G273,"")</f>
        <v/>
      </c>
      <c r="AE273" s="179" t="str">
        <f t="array" ref="AE273">IF($F273&lt;&gt;"",XLOOKUP($F273,Productos!$A:$A,Productos!X:X,"Revisar"),"")</f>
        <v/>
      </c>
      <c r="AF273" s="179" t="str">
        <f t="array" ref="AF273">IF($F273&lt;&gt;"", XLOOKUP($F273,Productos!$A$2:$A1001,Productos!Y$2:Y1001,"")*$G273,"")</f>
        <v/>
      </c>
      <c r="AG273" s="179" t="str">
        <f t="array" ref="AG273">IF($F273&lt;&gt;"",XLOOKUP($F273,Productos!$A:$A,Productos!Z:Z,"Revisar"),"")</f>
        <v/>
      </c>
      <c r="AH273" s="179" t="str">
        <f t="array" ref="AH273">IF($F273&lt;&gt;"", XLOOKUP($F273,Productos!$A$2:$A1001,Productos!AA$2:AA1001,"")*$G273,"")</f>
        <v/>
      </c>
      <c r="AI273" s="179" t="str">
        <f t="array" ref="AI273">IF($F273&lt;&gt;"",XLOOKUP($F273,Productos!$A:$A,Productos!AB:AB,"Revisar"),"")</f>
        <v/>
      </c>
      <c r="AJ273" s="179" t="str">
        <f t="array" ref="AJ273">IF($F273&lt;&gt;"", XLOOKUP($F273,Productos!$A$2:$A1001,Productos!AC$2:AC1001,"")*$G273,"")</f>
        <v/>
      </c>
      <c r="AK273" s="179" t="str">
        <f t="array" ref="AK273">IF($F273&lt;&gt;"",XLOOKUP($F273,Productos!$A:$A,Productos!AD:AD,"Revisar"),"")</f>
        <v/>
      </c>
      <c r="AL273" s="179" t="str">
        <f t="array" ref="AL273">IF($F273&lt;&gt;"", XLOOKUP($F273,Productos!$A$2:$A1001,Productos!AE$2:AE1001,"")*$G273,"")</f>
        <v/>
      </c>
      <c r="AM273" s="179" t="str">
        <f t="array" ref="AM273">IF($F273&lt;&gt;"",XLOOKUP($F273,Productos!$A:$A,Productos!AF:AF,"Revisar"),"")</f>
        <v/>
      </c>
      <c r="AN273" s="179" t="str">
        <f t="array" ref="AN273">IF($F273&lt;&gt;"", XLOOKUP($F273,Productos!$A$2:$A1001,Productos!AG$2:AG1001,"")*$G273,"")</f>
        <v/>
      </c>
      <c r="AO273" s="179" t="str">
        <f t="array" ref="AO273">IF($F273&lt;&gt;"",XLOOKUP($F273,Productos!$A:$A,Productos!AH:AH,"Revisar"),"")</f>
        <v/>
      </c>
      <c r="AP273" s="179" t="str">
        <f t="array" ref="AP273">IF($F273&lt;&gt;"", XLOOKUP($F273,Productos!$A$2:$A1001,Productos!AI$2:AI1001,"")*$G273,"")</f>
        <v/>
      </c>
      <c r="AQ273" s="179" t="str">
        <f t="array" ref="AQ273">IF($F273&lt;&gt;"",XLOOKUP($F273,Productos!$A:$A,Productos!AJ:AJ,"Revisar"),"")</f>
        <v/>
      </c>
      <c r="AR273" s="179" t="str">
        <f t="array" ref="AR273">IF($F273&lt;&gt;"", XLOOKUP($F273,Productos!$A$2:$A1001,Productos!AK$2:AK1001,"")*$G273,"")</f>
        <v/>
      </c>
      <c r="AS273" s="179" t="str">
        <f t="array" ref="AS273">IF($F273&lt;&gt;"",XLOOKUP($F273,Productos!$A:$A,Productos!AL:AL,"Revisar"),"")</f>
        <v/>
      </c>
      <c r="AT273" s="179" t="str">
        <f t="array" ref="AT273">IF($F273&lt;&gt;"", XLOOKUP($F273,Productos!$A$2:$A1001,Productos!AM$2:AM1001,"")*$G273,"")</f>
        <v/>
      </c>
      <c r="AU273" s="179" t="str">
        <f t="array" ref="AU273">IF($F273&lt;&gt;"",XLOOKUP($F273,Productos!$A:$A,Productos!AN:AN,"Revisar"),"")</f>
        <v/>
      </c>
      <c r="AV273" s="179" t="str">
        <f t="array" ref="AV273">IF($F273&lt;&gt;"", XLOOKUP($F273,Productos!$A$2:$A1001,Productos!AO$2:AO1001,"")*$G273,"")</f>
        <v/>
      </c>
      <c r="AW273" s="179" t="str">
        <f t="array" ref="AW273">IF($F273&lt;&gt;"",XLOOKUP($F273,Productos!$A:$A,Productos!AP:AP,"Revisar"),"")</f>
        <v/>
      </c>
      <c r="AX273" s="179" t="str">
        <f t="array" ref="AX273">IF($F273&lt;&gt;"", XLOOKUP($F273,Productos!$A$2:$A1001,Productos!AQ$2:AQ1001,"")*$G273,"")</f>
        <v/>
      </c>
      <c r="AY273" s="179" t="str">
        <f t="array" ref="AY273">IF($F273&lt;&gt;"",XLOOKUP($F273,Productos!$A:$A,Productos!AR:AR,"Revisar"),"")</f>
        <v/>
      </c>
      <c r="AZ273" s="179" t="str">
        <f t="array" ref="AZ273">IF($F273&lt;&gt;"", XLOOKUP($F273,Productos!$A$2:$A1001,Productos!AS$2:AS1001,"")*$G273,"")</f>
        <v/>
      </c>
      <c r="BA273" s="179" t="str">
        <f t="array" ref="BA273">IF($F273&lt;&gt;"",XLOOKUP($F273,Productos!$A:$A,Productos!AT:AT,"Revisar"),"")</f>
        <v/>
      </c>
      <c r="BB273" s="179" t="str">
        <f t="array" ref="BB273">IF($F273&lt;&gt;"", XLOOKUP($F273,Productos!$A$2:$A1001,Productos!AU$2:AU1001,"")*$G273,"")</f>
        <v/>
      </c>
      <c r="BC273" s="179" t="str">
        <f t="array" ref="BC273">IF($F273&lt;&gt;"",XLOOKUP($F273,Productos!$A:$A,Productos!AV:AV,"Revisar"),"")</f>
        <v/>
      </c>
      <c r="BD273" s="179" t="str">
        <f t="array" ref="BD273">IF($F273&lt;&gt;"", XLOOKUP($F273,Productos!$A$2:$A1001,Productos!AW$2:AW1001,"")*$G273,"")</f>
        <v/>
      </c>
      <c r="BE273" s="179" t="str">
        <f t="array" ref="BE273">IF($F273&lt;&gt;"",XLOOKUP($F273,Productos!$A:$A,Productos!AX:AX,"Revisar"),"")</f>
        <v/>
      </c>
      <c r="BF273" s="179" t="str">
        <f t="array" ref="BF273">IF($F273&lt;&gt;"", XLOOKUP($F273,Productos!$A$2:$A1001,Productos!AY$2:AY1001,"")*$G273,"")</f>
        <v/>
      </c>
      <c r="BG273" s="179" t="str">
        <f t="array" ref="BG273">IF($F273&lt;&gt;"",XLOOKUP($F273,Productos!$A:$A,Productos!AZ:AZ,"Revisar"),"")</f>
        <v/>
      </c>
      <c r="BH273" s="179" t="str">
        <f t="array" ref="BH273">IF($F273&lt;&gt;"", XLOOKUP($F273,Productos!$A$2:$A1001,Productos!BA$2:BA1001,"")*$G273,"")</f>
        <v/>
      </c>
      <c r="BI273" s="179" t="str">
        <f t="array" ref="BI273">IF($F273&lt;&gt;"",XLOOKUP($F273,Productos!$A:$A,Productos!BB:BB,"Revisar"),"")</f>
        <v/>
      </c>
      <c r="BJ273" s="179" t="str">
        <f t="array" ref="BJ273">IF($F273&lt;&gt;"", XLOOKUP($F273,Productos!$A$2:$A1001,Productos!BC$2:BC1001,"")*$G273,"")</f>
        <v/>
      </c>
      <c r="BK273" s="179" t="str">
        <f t="array" ref="BK273">IF($F273&lt;&gt;"",XLOOKUP($F273,Productos!$A:$A,Productos!BD:BD,"Revisar"),"")</f>
        <v/>
      </c>
      <c r="BL273" s="179" t="str">
        <f t="array" ref="BL273">IF($F273&lt;&gt;"", XLOOKUP($F273,Productos!$A$2:$A1001,Productos!BE$2:BE1001,"")*$G273,"")</f>
        <v/>
      </c>
      <c r="BM273" s="179" t="str">
        <f t="array" ref="BM273">IF($F273&lt;&gt;"",XLOOKUP($F273,Productos!$A:$A,Productos!BF:BF,"Revisar"),"")</f>
        <v/>
      </c>
      <c r="BN273" s="179" t="str">
        <f t="array" ref="BN273">IF($F273&lt;&gt;"", XLOOKUP($F273,Productos!$A$2:$A1001,Productos!BG$2:BG1001,"")*$G273,"")</f>
        <v/>
      </c>
      <c r="BO273" s="179" t="str">
        <f t="array" ref="BO273">IF($F273&lt;&gt;"",XLOOKUP($F273,Productos!$A:$A,Productos!BH:BH,"Revisar"),"")</f>
        <v/>
      </c>
      <c r="BP273" s="179" t="str">
        <f t="array" ref="BP273">IF($F273&lt;&gt;"", XLOOKUP($F273,Productos!$A$2:$A1001,Productos!BI$2:BI1001,"")*$G273,"")</f>
        <v/>
      </c>
      <c r="BQ273" s="179" t="str">
        <f t="array" ref="BQ273">IF($F273&lt;&gt;"",XLOOKUP($F273,Productos!$A:$A,Productos!BJ:BJ,"Revisar"),"")</f>
        <v/>
      </c>
      <c r="BR273" s="179" t="str">
        <f t="array" ref="BR273">IF($F273&lt;&gt;"", XLOOKUP($F273,Productos!$A$2:$A1001,Productos!BK$2:BK1001,"")*$G273,"")</f>
        <v/>
      </c>
      <c r="BS273" s="179" t="str">
        <f t="array" ref="BS273">IF($F273&lt;&gt;"",XLOOKUP($F273,Productos!$A:$A,Productos!BL:BL,"Revisar"),"")</f>
        <v/>
      </c>
      <c r="BT273" s="179" t="str">
        <f t="array" ref="BT273">IF($F273&lt;&gt;"", XLOOKUP($F273,Productos!$A$2:$A1001,Productos!BM$2:BM1001,"")*$G273,"")</f>
        <v/>
      </c>
      <c r="BU273" s="179" t="str">
        <f t="array" ref="BU273">IF($F273&lt;&gt;"",XLOOKUP($F273,Productos!$A:$A,Productos!BN:BN,"Revisar"),"")</f>
        <v/>
      </c>
      <c r="BV273" s="179" t="str">
        <f t="array" ref="BV273">IF($F273&lt;&gt;"", XLOOKUP($F273,Productos!$A$2:$A1001,Productos!BO$2:BO1001,"")*$G273,"")</f>
        <v/>
      </c>
      <c r="BW273" s="179" t="str">
        <f t="array" ref="BW273">IF($F273&lt;&gt;"",XLOOKUP($F273,Productos!$A:$A,Productos!BP:BP,"Revisar"),"")</f>
        <v/>
      </c>
      <c r="BX273" s="179" t="str">
        <f t="array" ref="BX273">IF($F273&lt;&gt;"", XLOOKUP($F273,Productos!$A$2:$A1001,Productos!BQ$2:BQ1001,"")*$G273,"")</f>
        <v/>
      </c>
      <c r="BY273" s="179" t="str">
        <f t="array" ref="BY273">IF($F273&lt;&gt;"",XLOOKUP($F273,Productos!$A:$A,Productos!BR:BR,"Revisar"),"")</f>
        <v/>
      </c>
      <c r="BZ273" s="179" t="str">
        <f t="array" ref="BZ273">IF($F273&lt;&gt;"", XLOOKUP($F273,Productos!$A$2:$A1001,Productos!BS$2:BS1001,"")*$G273,"")</f>
        <v/>
      </c>
    </row>
    <row r="274">
      <c r="A274" s="180"/>
      <c r="B274" s="181"/>
      <c r="C274" s="182"/>
      <c r="D274" s="182"/>
      <c r="E274" s="185"/>
      <c r="F274" s="186"/>
      <c r="G274" s="187"/>
      <c r="H274" s="186"/>
      <c r="I274" s="179" t="str">
        <f t="array" ref="I274">IF($F274&lt;&gt;"",XLOOKUP($F274,Productos!$A:$A,Productos!B:B,"Revisar"),"")</f>
        <v/>
      </c>
      <c r="J274" s="179" t="str">
        <f t="array" ref="J274">IF($F274&lt;&gt;"", XLOOKUP($F274,Productos!$A$2:$A1001,Productos!C$2:C1001,"")*$G274,"")</f>
        <v/>
      </c>
      <c r="K274" s="179" t="str">
        <f t="array" ref="K274">IF($F274&lt;&gt;"",XLOOKUP($F274,Productos!$A:$A,Productos!D:D,"Revisar"),"")</f>
        <v/>
      </c>
      <c r="L274" s="179" t="str">
        <f t="array" ref="L274">IF($F274&lt;&gt;"", XLOOKUP($F274,Productos!$A$2:$A1001,Productos!E$2:E1001,"")*$G274,"")</f>
        <v/>
      </c>
      <c r="M274" s="179" t="str">
        <f t="array" ref="M274">IF($F274&lt;&gt;"",XLOOKUP($F274,Productos!$A:$A,Productos!F:F,"Revisar"),"")</f>
        <v/>
      </c>
      <c r="N274" s="179" t="str">
        <f t="array" ref="N274">IF($F274&lt;&gt;"", XLOOKUP($F274,Productos!$A$2:$A1001,Productos!G$2:G1001,"")*$G274,"")</f>
        <v/>
      </c>
      <c r="O274" s="179" t="str">
        <f t="array" ref="O274">IF($F274&lt;&gt;"",XLOOKUP($F274,Productos!$A:$A,Productos!H:H,"Revisar"),"")</f>
        <v/>
      </c>
      <c r="P274" s="179" t="str">
        <f t="array" ref="P274">IF($F274&lt;&gt;"", XLOOKUP($F274,Productos!$A$2:$A1001,Productos!I$2:I1001,"")*$G274,"")</f>
        <v/>
      </c>
      <c r="Q274" s="179" t="str">
        <f t="array" ref="Q274">IF($F274&lt;&gt;"",XLOOKUP($F274,Productos!$A:$A,Productos!J:J,"Revisar"),"")</f>
        <v/>
      </c>
      <c r="R274" s="179" t="str">
        <f t="array" ref="R274">IF($F274&lt;&gt;"", XLOOKUP($F274,Productos!$A$2:$A1001,Productos!K$2:K1001,"")*$G274,"")</f>
        <v/>
      </c>
      <c r="S274" s="179" t="str">
        <f t="array" ref="S274">IF($F274&lt;&gt;"",XLOOKUP($F274,Productos!$A:$A,Productos!L:L,"Revisar"),"")</f>
        <v/>
      </c>
      <c r="T274" s="179" t="str">
        <f t="array" ref="T274">IF($F274&lt;&gt;"", XLOOKUP($F274,Productos!$A$2:$A1001,Productos!M$2:M1001,"")*$G274,"")</f>
        <v/>
      </c>
      <c r="U274" s="179" t="str">
        <f t="array" ref="U274">IF($F274&lt;&gt;"",XLOOKUP($F274,Productos!$A:$A,Productos!N:N,"Revisar"),"")</f>
        <v/>
      </c>
      <c r="V274" s="179" t="str">
        <f t="array" ref="V274">IF($F274&lt;&gt;"", XLOOKUP($F274,Productos!$A$2:$A1001,Productos!O$2:O1001,"")*$G274,"")</f>
        <v/>
      </c>
      <c r="W274" s="179" t="str">
        <f t="array" ref="W274">IF($F274&lt;&gt;"",XLOOKUP($F274,Productos!$A:$A,Productos!P:P,"Revisar"),"")</f>
        <v/>
      </c>
      <c r="X274" s="179" t="str">
        <f t="array" ref="X274">IF($F274&lt;&gt;"", XLOOKUP($F274,Productos!$A$2:$A1001,Productos!Q$2:Q1001,"")*$G274,"")</f>
        <v/>
      </c>
      <c r="Y274" s="179" t="str">
        <f t="array" ref="Y274">IF($F274&lt;&gt;"",XLOOKUP($F274,Productos!$A:$A,Productos!R:R,"Revisar"),"")</f>
        <v/>
      </c>
      <c r="Z274" s="179" t="str">
        <f t="array" ref="Z274">IF($F274&lt;&gt;"", XLOOKUP($F274,Productos!$A$2:$A1001,Productos!S$2:S1001,"")*$G274,"")</f>
        <v/>
      </c>
      <c r="AA274" s="179" t="str">
        <f t="array" ref="AA274">IF($F274&lt;&gt;"",XLOOKUP($F274,Productos!$A:$A,Productos!T:T,"Revisar"),"")</f>
        <v/>
      </c>
      <c r="AB274" s="179" t="str">
        <f t="array" ref="AB274">IF($F274&lt;&gt;"", XLOOKUP($F274,Productos!$A$2:$A1001,Productos!U$2:U1001,"")*$G274,"")</f>
        <v/>
      </c>
      <c r="AC274" s="179" t="str">
        <f t="array" ref="AC274">IF($F274&lt;&gt;"",XLOOKUP($F274,Productos!$A:$A,Productos!V:V,"Revisar"),"")</f>
        <v/>
      </c>
      <c r="AD274" s="179" t="str">
        <f t="array" ref="AD274">IF($F274&lt;&gt;"", XLOOKUP($F274,Productos!$A$2:$A1001,Productos!W$2:W1001,"")*$G274,"")</f>
        <v/>
      </c>
      <c r="AE274" s="179" t="str">
        <f t="array" ref="AE274">IF($F274&lt;&gt;"",XLOOKUP($F274,Productos!$A:$A,Productos!X:X,"Revisar"),"")</f>
        <v/>
      </c>
      <c r="AF274" s="179" t="str">
        <f t="array" ref="AF274">IF($F274&lt;&gt;"", XLOOKUP($F274,Productos!$A$2:$A1001,Productos!Y$2:Y1001,"")*$G274,"")</f>
        <v/>
      </c>
      <c r="AG274" s="179" t="str">
        <f t="array" ref="AG274">IF($F274&lt;&gt;"",XLOOKUP($F274,Productos!$A:$A,Productos!Z:Z,"Revisar"),"")</f>
        <v/>
      </c>
      <c r="AH274" s="179" t="str">
        <f t="array" ref="AH274">IF($F274&lt;&gt;"", XLOOKUP($F274,Productos!$A$2:$A1001,Productos!AA$2:AA1001,"")*$G274,"")</f>
        <v/>
      </c>
      <c r="AI274" s="179" t="str">
        <f t="array" ref="AI274">IF($F274&lt;&gt;"",XLOOKUP($F274,Productos!$A:$A,Productos!AB:AB,"Revisar"),"")</f>
        <v/>
      </c>
      <c r="AJ274" s="179" t="str">
        <f t="array" ref="AJ274">IF($F274&lt;&gt;"", XLOOKUP($F274,Productos!$A$2:$A1001,Productos!AC$2:AC1001,"")*$G274,"")</f>
        <v/>
      </c>
      <c r="AK274" s="179" t="str">
        <f t="array" ref="AK274">IF($F274&lt;&gt;"",XLOOKUP($F274,Productos!$A:$A,Productos!AD:AD,"Revisar"),"")</f>
        <v/>
      </c>
      <c r="AL274" s="179" t="str">
        <f t="array" ref="AL274">IF($F274&lt;&gt;"", XLOOKUP($F274,Productos!$A$2:$A1001,Productos!AE$2:AE1001,"")*$G274,"")</f>
        <v/>
      </c>
      <c r="AM274" s="179" t="str">
        <f t="array" ref="AM274">IF($F274&lt;&gt;"",XLOOKUP($F274,Productos!$A:$A,Productos!AF:AF,"Revisar"),"")</f>
        <v/>
      </c>
      <c r="AN274" s="179" t="str">
        <f t="array" ref="AN274">IF($F274&lt;&gt;"", XLOOKUP($F274,Productos!$A$2:$A1001,Productos!AG$2:AG1001,"")*$G274,"")</f>
        <v/>
      </c>
      <c r="AO274" s="179" t="str">
        <f t="array" ref="AO274">IF($F274&lt;&gt;"",XLOOKUP($F274,Productos!$A:$A,Productos!AH:AH,"Revisar"),"")</f>
        <v/>
      </c>
      <c r="AP274" s="179" t="str">
        <f t="array" ref="AP274">IF($F274&lt;&gt;"", XLOOKUP($F274,Productos!$A$2:$A1001,Productos!AI$2:AI1001,"")*$G274,"")</f>
        <v/>
      </c>
      <c r="AQ274" s="179" t="str">
        <f t="array" ref="AQ274">IF($F274&lt;&gt;"",XLOOKUP($F274,Productos!$A:$A,Productos!AJ:AJ,"Revisar"),"")</f>
        <v/>
      </c>
      <c r="AR274" s="179" t="str">
        <f t="array" ref="AR274">IF($F274&lt;&gt;"", XLOOKUP($F274,Productos!$A$2:$A1001,Productos!AK$2:AK1001,"")*$G274,"")</f>
        <v/>
      </c>
      <c r="AS274" s="179" t="str">
        <f t="array" ref="AS274">IF($F274&lt;&gt;"",XLOOKUP($F274,Productos!$A:$A,Productos!AL:AL,"Revisar"),"")</f>
        <v/>
      </c>
      <c r="AT274" s="179" t="str">
        <f t="array" ref="AT274">IF($F274&lt;&gt;"", XLOOKUP($F274,Productos!$A$2:$A1001,Productos!AM$2:AM1001,"")*$G274,"")</f>
        <v/>
      </c>
      <c r="AU274" s="179" t="str">
        <f t="array" ref="AU274">IF($F274&lt;&gt;"",XLOOKUP($F274,Productos!$A:$A,Productos!AN:AN,"Revisar"),"")</f>
        <v/>
      </c>
      <c r="AV274" s="179" t="str">
        <f t="array" ref="AV274">IF($F274&lt;&gt;"", XLOOKUP($F274,Productos!$A$2:$A1001,Productos!AO$2:AO1001,"")*$G274,"")</f>
        <v/>
      </c>
      <c r="AW274" s="179" t="str">
        <f t="array" ref="AW274">IF($F274&lt;&gt;"",XLOOKUP($F274,Productos!$A:$A,Productos!AP:AP,"Revisar"),"")</f>
        <v/>
      </c>
      <c r="AX274" s="179" t="str">
        <f t="array" ref="AX274">IF($F274&lt;&gt;"", XLOOKUP($F274,Productos!$A$2:$A1001,Productos!AQ$2:AQ1001,"")*$G274,"")</f>
        <v/>
      </c>
      <c r="AY274" s="179" t="str">
        <f t="array" ref="AY274">IF($F274&lt;&gt;"",XLOOKUP($F274,Productos!$A:$A,Productos!AR:AR,"Revisar"),"")</f>
        <v/>
      </c>
      <c r="AZ274" s="179" t="str">
        <f t="array" ref="AZ274">IF($F274&lt;&gt;"", XLOOKUP($F274,Productos!$A$2:$A1001,Productos!AS$2:AS1001,"")*$G274,"")</f>
        <v/>
      </c>
      <c r="BA274" s="179" t="str">
        <f t="array" ref="BA274">IF($F274&lt;&gt;"",XLOOKUP($F274,Productos!$A:$A,Productos!AT:AT,"Revisar"),"")</f>
        <v/>
      </c>
      <c r="BB274" s="179" t="str">
        <f t="array" ref="BB274">IF($F274&lt;&gt;"", XLOOKUP($F274,Productos!$A$2:$A1001,Productos!AU$2:AU1001,"")*$G274,"")</f>
        <v/>
      </c>
      <c r="BC274" s="179" t="str">
        <f t="array" ref="BC274">IF($F274&lt;&gt;"",XLOOKUP($F274,Productos!$A:$A,Productos!AV:AV,"Revisar"),"")</f>
        <v/>
      </c>
      <c r="BD274" s="179" t="str">
        <f t="array" ref="BD274">IF($F274&lt;&gt;"", XLOOKUP($F274,Productos!$A$2:$A1001,Productos!AW$2:AW1001,"")*$G274,"")</f>
        <v/>
      </c>
      <c r="BE274" s="179" t="str">
        <f t="array" ref="BE274">IF($F274&lt;&gt;"",XLOOKUP($F274,Productos!$A:$A,Productos!AX:AX,"Revisar"),"")</f>
        <v/>
      </c>
      <c r="BF274" s="179" t="str">
        <f t="array" ref="BF274">IF($F274&lt;&gt;"", XLOOKUP($F274,Productos!$A$2:$A1001,Productos!AY$2:AY1001,"")*$G274,"")</f>
        <v/>
      </c>
      <c r="BG274" s="179" t="str">
        <f t="array" ref="BG274">IF($F274&lt;&gt;"",XLOOKUP($F274,Productos!$A:$A,Productos!AZ:AZ,"Revisar"),"")</f>
        <v/>
      </c>
      <c r="BH274" s="179" t="str">
        <f t="array" ref="BH274">IF($F274&lt;&gt;"", XLOOKUP($F274,Productos!$A$2:$A1001,Productos!BA$2:BA1001,"")*$G274,"")</f>
        <v/>
      </c>
      <c r="BI274" s="179" t="str">
        <f t="array" ref="BI274">IF($F274&lt;&gt;"",XLOOKUP($F274,Productos!$A:$A,Productos!BB:BB,"Revisar"),"")</f>
        <v/>
      </c>
      <c r="BJ274" s="179" t="str">
        <f t="array" ref="BJ274">IF($F274&lt;&gt;"", XLOOKUP($F274,Productos!$A$2:$A1001,Productos!BC$2:BC1001,"")*$G274,"")</f>
        <v/>
      </c>
      <c r="BK274" s="179" t="str">
        <f t="array" ref="BK274">IF($F274&lt;&gt;"",XLOOKUP($F274,Productos!$A:$A,Productos!BD:BD,"Revisar"),"")</f>
        <v/>
      </c>
      <c r="BL274" s="179" t="str">
        <f t="array" ref="BL274">IF($F274&lt;&gt;"", XLOOKUP($F274,Productos!$A$2:$A1001,Productos!BE$2:BE1001,"")*$G274,"")</f>
        <v/>
      </c>
      <c r="BM274" s="179" t="str">
        <f t="array" ref="BM274">IF($F274&lt;&gt;"",XLOOKUP($F274,Productos!$A:$A,Productos!BF:BF,"Revisar"),"")</f>
        <v/>
      </c>
      <c r="BN274" s="179" t="str">
        <f t="array" ref="BN274">IF($F274&lt;&gt;"", XLOOKUP($F274,Productos!$A$2:$A1001,Productos!BG$2:BG1001,"")*$G274,"")</f>
        <v/>
      </c>
      <c r="BO274" s="179" t="str">
        <f t="array" ref="BO274">IF($F274&lt;&gt;"",XLOOKUP($F274,Productos!$A:$A,Productos!BH:BH,"Revisar"),"")</f>
        <v/>
      </c>
      <c r="BP274" s="179" t="str">
        <f t="array" ref="BP274">IF($F274&lt;&gt;"", XLOOKUP($F274,Productos!$A$2:$A1001,Productos!BI$2:BI1001,"")*$G274,"")</f>
        <v/>
      </c>
      <c r="BQ274" s="179" t="str">
        <f t="array" ref="BQ274">IF($F274&lt;&gt;"",XLOOKUP($F274,Productos!$A:$A,Productos!BJ:BJ,"Revisar"),"")</f>
        <v/>
      </c>
      <c r="BR274" s="179" t="str">
        <f t="array" ref="BR274">IF($F274&lt;&gt;"", XLOOKUP($F274,Productos!$A$2:$A1001,Productos!BK$2:BK1001,"")*$G274,"")</f>
        <v/>
      </c>
      <c r="BS274" s="179" t="str">
        <f t="array" ref="BS274">IF($F274&lt;&gt;"",XLOOKUP($F274,Productos!$A:$A,Productos!BL:BL,"Revisar"),"")</f>
        <v/>
      </c>
      <c r="BT274" s="179" t="str">
        <f t="array" ref="BT274">IF($F274&lt;&gt;"", XLOOKUP($F274,Productos!$A$2:$A1001,Productos!BM$2:BM1001,"")*$G274,"")</f>
        <v/>
      </c>
      <c r="BU274" s="179" t="str">
        <f t="array" ref="BU274">IF($F274&lt;&gt;"",XLOOKUP($F274,Productos!$A:$A,Productos!BN:BN,"Revisar"),"")</f>
        <v/>
      </c>
      <c r="BV274" s="179" t="str">
        <f t="array" ref="BV274">IF($F274&lt;&gt;"", XLOOKUP($F274,Productos!$A$2:$A1001,Productos!BO$2:BO1001,"")*$G274,"")</f>
        <v/>
      </c>
      <c r="BW274" s="179" t="str">
        <f t="array" ref="BW274">IF($F274&lt;&gt;"",XLOOKUP($F274,Productos!$A:$A,Productos!BP:BP,"Revisar"),"")</f>
        <v/>
      </c>
      <c r="BX274" s="179" t="str">
        <f t="array" ref="BX274">IF($F274&lt;&gt;"", XLOOKUP($F274,Productos!$A$2:$A1001,Productos!BQ$2:BQ1001,"")*$G274,"")</f>
        <v/>
      </c>
      <c r="BY274" s="179" t="str">
        <f t="array" ref="BY274">IF($F274&lt;&gt;"",XLOOKUP($F274,Productos!$A:$A,Productos!BR:BR,"Revisar"),"")</f>
        <v/>
      </c>
      <c r="BZ274" s="179" t="str">
        <f t="array" ref="BZ274">IF($F274&lt;&gt;"", XLOOKUP($F274,Productos!$A$2:$A1001,Productos!BS$2:BS1001,"")*$G274,"")</f>
        <v/>
      </c>
    </row>
    <row r="275">
      <c r="A275" s="180"/>
      <c r="B275" s="181"/>
      <c r="C275" s="182"/>
      <c r="D275" s="182"/>
      <c r="E275" s="185"/>
      <c r="F275" s="186"/>
      <c r="G275" s="187"/>
      <c r="H275" s="186"/>
      <c r="I275" s="179" t="str">
        <f t="array" ref="I275">IF($F275&lt;&gt;"",XLOOKUP($F275,Productos!$A:$A,Productos!B:B,"Revisar"),"")</f>
        <v/>
      </c>
      <c r="J275" s="179" t="str">
        <f t="array" ref="J275">IF($F275&lt;&gt;"", XLOOKUP($F275,Productos!$A$2:$A1001,Productos!C$2:C1001,"")*$G275,"")</f>
        <v/>
      </c>
      <c r="K275" s="179" t="str">
        <f t="array" ref="K275">IF($F275&lt;&gt;"",XLOOKUP($F275,Productos!$A:$A,Productos!D:D,"Revisar"),"")</f>
        <v/>
      </c>
      <c r="L275" s="179" t="str">
        <f t="array" ref="L275">IF($F275&lt;&gt;"", XLOOKUP($F275,Productos!$A$2:$A1001,Productos!E$2:E1001,"")*$G275,"")</f>
        <v/>
      </c>
      <c r="M275" s="179" t="str">
        <f t="array" ref="M275">IF($F275&lt;&gt;"",XLOOKUP($F275,Productos!$A:$A,Productos!F:F,"Revisar"),"")</f>
        <v/>
      </c>
      <c r="N275" s="179" t="str">
        <f t="array" ref="N275">IF($F275&lt;&gt;"", XLOOKUP($F275,Productos!$A$2:$A1001,Productos!G$2:G1001,"")*$G275,"")</f>
        <v/>
      </c>
      <c r="O275" s="179" t="str">
        <f t="array" ref="O275">IF($F275&lt;&gt;"",XLOOKUP($F275,Productos!$A:$A,Productos!H:H,"Revisar"),"")</f>
        <v/>
      </c>
      <c r="P275" s="179" t="str">
        <f t="array" ref="P275">IF($F275&lt;&gt;"", XLOOKUP($F275,Productos!$A$2:$A1001,Productos!I$2:I1001,"")*$G275,"")</f>
        <v/>
      </c>
      <c r="Q275" s="179" t="str">
        <f t="array" ref="Q275">IF($F275&lt;&gt;"",XLOOKUP($F275,Productos!$A:$A,Productos!J:J,"Revisar"),"")</f>
        <v/>
      </c>
      <c r="R275" s="179" t="str">
        <f t="array" ref="R275">IF($F275&lt;&gt;"", XLOOKUP($F275,Productos!$A$2:$A1001,Productos!K$2:K1001,"")*$G275,"")</f>
        <v/>
      </c>
      <c r="S275" s="179" t="str">
        <f t="array" ref="S275">IF($F275&lt;&gt;"",XLOOKUP($F275,Productos!$A:$A,Productos!L:L,"Revisar"),"")</f>
        <v/>
      </c>
      <c r="T275" s="179" t="str">
        <f t="array" ref="T275">IF($F275&lt;&gt;"", XLOOKUP($F275,Productos!$A$2:$A1001,Productos!M$2:M1001,"")*$G275,"")</f>
        <v/>
      </c>
      <c r="U275" s="179" t="str">
        <f t="array" ref="U275">IF($F275&lt;&gt;"",XLOOKUP($F275,Productos!$A:$A,Productos!N:N,"Revisar"),"")</f>
        <v/>
      </c>
      <c r="V275" s="179" t="str">
        <f t="array" ref="V275">IF($F275&lt;&gt;"", XLOOKUP($F275,Productos!$A$2:$A1001,Productos!O$2:O1001,"")*$G275,"")</f>
        <v/>
      </c>
      <c r="W275" s="179" t="str">
        <f t="array" ref="W275">IF($F275&lt;&gt;"",XLOOKUP($F275,Productos!$A:$A,Productos!P:P,"Revisar"),"")</f>
        <v/>
      </c>
      <c r="X275" s="179" t="str">
        <f t="array" ref="X275">IF($F275&lt;&gt;"", XLOOKUP($F275,Productos!$A$2:$A1001,Productos!Q$2:Q1001,"")*$G275,"")</f>
        <v/>
      </c>
      <c r="Y275" s="179" t="str">
        <f t="array" ref="Y275">IF($F275&lt;&gt;"",XLOOKUP($F275,Productos!$A:$A,Productos!R:R,"Revisar"),"")</f>
        <v/>
      </c>
      <c r="Z275" s="179" t="str">
        <f t="array" ref="Z275">IF($F275&lt;&gt;"", XLOOKUP($F275,Productos!$A$2:$A1001,Productos!S$2:S1001,"")*$G275,"")</f>
        <v/>
      </c>
      <c r="AA275" s="179" t="str">
        <f t="array" ref="AA275">IF($F275&lt;&gt;"",XLOOKUP($F275,Productos!$A:$A,Productos!T:T,"Revisar"),"")</f>
        <v/>
      </c>
      <c r="AB275" s="179" t="str">
        <f t="array" ref="AB275">IF($F275&lt;&gt;"", XLOOKUP($F275,Productos!$A$2:$A1001,Productos!U$2:U1001,"")*$G275,"")</f>
        <v/>
      </c>
      <c r="AC275" s="179" t="str">
        <f t="array" ref="AC275">IF($F275&lt;&gt;"",XLOOKUP($F275,Productos!$A:$A,Productos!V:V,"Revisar"),"")</f>
        <v/>
      </c>
      <c r="AD275" s="179" t="str">
        <f t="array" ref="AD275">IF($F275&lt;&gt;"", XLOOKUP($F275,Productos!$A$2:$A1001,Productos!W$2:W1001,"")*$G275,"")</f>
        <v/>
      </c>
      <c r="AE275" s="179" t="str">
        <f t="array" ref="AE275">IF($F275&lt;&gt;"",XLOOKUP($F275,Productos!$A:$A,Productos!X:X,"Revisar"),"")</f>
        <v/>
      </c>
      <c r="AF275" s="179" t="str">
        <f t="array" ref="AF275">IF($F275&lt;&gt;"", XLOOKUP($F275,Productos!$A$2:$A1001,Productos!Y$2:Y1001,"")*$G275,"")</f>
        <v/>
      </c>
      <c r="AG275" s="179" t="str">
        <f t="array" ref="AG275">IF($F275&lt;&gt;"",XLOOKUP($F275,Productos!$A:$A,Productos!Z:Z,"Revisar"),"")</f>
        <v/>
      </c>
      <c r="AH275" s="179" t="str">
        <f t="array" ref="AH275">IF($F275&lt;&gt;"", XLOOKUP($F275,Productos!$A$2:$A1001,Productos!AA$2:AA1001,"")*$G275,"")</f>
        <v/>
      </c>
      <c r="AI275" s="179" t="str">
        <f t="array" ref="AI275">IF($F275&lt;&gt;"",XLOOKUP($F275,Productos!$A:$A,Productos!AB:AB,"Revisar"),"")</f>
        <v/>
      </c>
      <c r="AJ275" s="179" t="str">
        <f t="array" ref="AJ275">IF($F275&lt;&gt;"", XLOOKUP($F275,Productos!$A$2:$A1001,Productos!AC$2:AC1001,"")*$G275,"")</f>
        <v/>
      </c>
      <c r="AK275" s="179" t="str">
        <f t="array" ref="AK275">IF($F275&lt;&gt;"",XLOOKUP($F275,Productos!$A:$A,Productos!AD:AD,"Revisar"),"")</f>
        <v/>
      </c>
      <c r="AL275" s="179" t="str">
        <f t="array" ref="AL275">IF($F275&lt;&gt;"", XLOOKUP($F275,Productos!$A$2:$A1001,Productos!AE$2:AE1001,"")*$G275,"")</f>
        <v/>
      </c>
      <c r="AM275" s="179" t="str">
        <f t="array" ref="AM275">IF($F275&lt;&gt;"",XLOOKUP($F275,Productos!$A:$A,Productos!AF:AF,"Revisar"),"")</f>
        <v/>
      </c>
      <c r="AN275" s="179" t="str">
        <f t="array" ref="AN275">IF($F275&lt;&gt;"", XLOOKUP($F275,Productos!$A$2:$A1001,Productos!AG$2:AG1001,"")*$G275,"")</f>
        <v/>
      </c>
      <c r="AO275" s="179" t="str">
        <f t="array" ref="AO275">IF($F275&lt;&gt;"",XLOOKUP($F275,Productos!$A:$A,Productos!AH:AH,"Revisar"),"")</f>
        <v/>
      </c>
      <c r="AP275" s="179" t="str">
        <f t="array" ref="AP275">IF($F275&lt;&gt;"", XLOOKUP($F275,Productos!$A$2:$A1001,Productos!AI$2:AI1001,"")*$G275,"")</f>
        <v/>
      </c>
      <c r="AQ275" s="179" t="str">
        <f t="array" ref="AQ275">IF($F275&lt;&gt;"",XLOOKUP($F275,Productos!$A:$A,Productos!AJ:AJ,"Revisar"),"")</f>
        <v/>
      </c>
      <c r="AR275" s="179" t="str">
        <f t="array" ref="AR275">IF($F275&lt;&gt;"", XLOOKUP($F275,Productos!$A$2:$A1001,Productos!AK$2:AK1001,"")*$G275,"")</f>
        <v/>
      </c>
      <c r="AS275" s="179" t="str">
        <f t="array" ref="AS275">IF($F275&lt;&gt;"",XLOOKUP($F275,Productos!$A:$A,Productos!AL:AL,"Revisar"),"")</f>
        <v/>
      </c>
      <c r="AT275" s="179" t="str">
        <f t="array" ref="AT275">IF($F275&lt;&gt;"", XLOOKUP($F275,Productos!$A$2:$A1001,Productos!AM$2:AM1001,"")*$G275,"")</f>
        <v/>
      </c>
      <c r="AU275" s="179" t="str">
        <f t="array" ref="AU275">IF($F275&lt;&gt;"",XLOOKUP($F275,Productos!$A:$A,Productos!AN:AN,"Revisar"),"")</f>
        <v/>
      </c>
      <c r="AV275" s="179" t="str">
        <f t="array" ref="AV275">IF($F275&lt;&gt;"", XLOOKUP($F275,Productos!$A$2:$A1001,Productos!AO$2:AO1001,"")*$G275,"")</f>
        <v/>
      </c>
      <c r="AW275" s="179" t="str">
        <f t="array" ref="AW275">IF($F275&lt;&gt;"",XLOOKUP($F275,Productos!$A:$A,Productos!AP:AP,"Revisar"),"")</f>
        <v/>
      </c>
      <c r="AX275" s="179" t="str">
        <f t="array" ref="AX275">IF($F275&lt;&gt;"", XLOOKUP($F275,Productos!$A$2:$A1001,Productos!AQ$2:AQ1001,"")*$G275,"")</f>
        <v/>
      </c>
      <c r="AY275" s="179" t="str">
        <f t="array" ref="AY275">IF($F275&lt;&gt;"",XLOOKUP($F275,Productos!$A:$A,Productos!AR:AR,"Revisar"),"")</f>
        <v/>
      </c>
      <c r="AZ275" s="179" t="str">
        <f t="array" ref="AZ275">IF($F275&lt;&gt;"", XLOOKUP($F275,Productos!$A$2:$A1001,Productos!AS$2:AS1001,"")*$G275,"")</f>
        <v/>
      </c>
      <c r="BA275" s="179" t="str">
        <f t="array" ref="BA275">IF($F275&lt;&gt;"",XLOOKUP($F275,Productos!$A:$A,Productos!AT:AT,"Revisar"),"")</f>
        <v/>
      </c>
      <c r="BB275" s="179" t="str">
        <f t="array" ref="BB275">IF($F275&lt;&gt;"", XLOOKUP($F275,Productos!$A$2:$A1001,Productos!AU$2:AU1001,"")*$G275,"")</f>
        <v/>
      </c>
      <c r="BC275" s="179" t="str">
        <f t="array" ref="BC275">IF($F275&lt;&gt;"",XLOOKUP($F275,Productos!$A:$A,Productos!AV:AV,"Revisar"),"")</f>
        <v/>
      </c>
      <c r="BD275" s="179" t="str">
        <f t="array" ref="BD275">IF($F275&lt;&gt;"", XLOOKUP($F275,Productos!$A$2:$A1001,Productos!AW$2:AW1001,"")*$G275,"")</f>
        <v/>
      </c>
      <c r="BE275" s="179" t="str">
        <f t="array" ref="BE275">IF($F275&lt;&gt;"",XLOOKUP($F275,Productos!$A:$A,Productos!AX:AX,"Revisar"),"")</f>
        <v/>
      </c>
      <c r="BF275" s="179" t="str">
        <f t="array" ref="BF275">IF($F275&lt;&gt;"", XLOOKUP($F275,Productos!$A$2:$A1001,Productos!AY$2:AY1001,"")*$G275,"")</f>
        <v/>
      </c>
      <c r="BG275" s="179" t="str">
        <f t="array" ref="BG275">IF($F275&lt;&gt;"",XLOOKUP($F275,Productos!$A:$A,Productos!AZ:AZ,"Revisar"),"")</f>
        <v/>
      </c>
      <c r="BH275" s="179" t="str">
        <f t="array" ref="BH275">IF($F275&lt;&gt;"", XLOOKUP($F275,Productos!$A$2:$A1001,Productos!BA$2:BA1001,"")*$G275,"")</f>
        <v/>
      </c>
      <c r="BI275" s="179" t="str">
        <f t="array" ref="BI275">IF($F275&lt;&gt;"",XLOOKUP($F275,Productos!$A:$A,Productos!BB:BB,"Revisar"),"")</f>
        <v/>
      </c>
      <c r="BJ275" s="179" t="str">
        <f t="array" ref="BJ275">IF($F275&lt;&gt;"", XLOOKUP($F275,Productos!$A$2:$A1001,Productos!BC$2:BC1001,"")*$G275,"")</f>
        <v/>
      </c>
      <c r="BK275" s="179" t="str">
        <f t="array" ref="BK275">IF($F275&lt;&gt;"",XLOOKUP($F275,Productos!$A:$A,Productos!BD:BD,"Revisar"),"")</f>
        <v/>
      </c>
      <c r="BL275" s="179" t="str">
        <f t="array" ref="BL275">IF($F275&lt;&gt;"", XLOOKUP($F275,Productos!$A$2:$A1001,Productos!BE$2:BE1001,"")*$G275,"")</f>
        <v/>
      </c>
      <c r="BM275" s="179" t="str">
        <f t="array" ref="BM275">IF($F275&lt;&gt;"",XLOOKUP($F275,Productos!$A:$A,Productos!BF:BF,"Revisar"),"")</f>
        <v/>
      </c>
      <c r="BN275" s="179" t="str">
        <f t="array" ref="BN275">IF($F275&lt;&gt;"", XLOOKUP($F275,Productos!$A$2:$A1001,Productos!BG$2:BG1001,"")*$G275,"")</f>
        <v/>
      </c>
      <c r="BO275" s="179" t="str">
        <f t="array" ref="BO275">IF($F275&lt;&gt;"",XLOOKUP($F275,Productos!$A:$A,Productos!BH:BH,"Revisar"),"")</f>
        <v/>
      </c>
      <c r="BP275" s="179" t="str">
        <f t="array" ref="BP275">IF($F275&lt;&gt;"", XLOOKUP($F275,Productos!$A$2:$A1001,Productos!BI$2:BI1001,"")*$G275,"")</f>
        <v/>
      </c>
      <c r="BQ275" s="179" t="str">
        <f t="array" ref="BQ275">IF($F275&lt;&gt;"",XLOOKUP($F275,Productos!$A:$A,Productos!BJ:BJ,"Revisar"),"")</f>
        <v/>
      </c>
      <c r="BR275" s="179" t="str">
        <f t="array" ref="BR275">IF($F275&lt;&gt;"", XLOOKUP($F275,Productos!$A$2:$A1001,Productos!BK$2:BK1001,"")*$G275,"")</f>
        <v/>
      </c>
      <c r="BS275" s="179" t="str">
        <f t="array" ref="BS275">IF($F275&lt;&gt;"",XLOOKUP($F275,Productos!$A:$A,Productos!BL:BL,"Revisar"),"")</f>
        <v/>
      </c>
      <c r="BT275" s="179" t="str">
        <f t="array" ref="BT275">IF($F275&lt;&gt;"", XLOOKUP($F275,Productos!$A$2:$A1001,Productos!BM$2:BM1001,"")*$G275,"")</f>
        <v/>
      </c>
      <c r="BU275" s="179" t="str">
        <f t="array" ref="BU275">IF($F275&lt;&gt;"",XLOOKUP($F275,Productos!$A:$A,Productos!BN:BN,"Revisar"),"")</f>
        <v/>
      </c>
      <c r="BV275" s="179" t="str">
        <f t="array" ref="BV275">IF($F275&lt;&gt;"", XLOOKUP($F275,Productos!$A$2:$A1001,Productos!BO$2:BO1001,"")*$G275,"")</f>
        <v/>
      </c>
      <c r="BW275" s="179" t="str">
        <f t="array" ref="BW275">IF($F275&lt;&gt;"",XLOOKUP($F275,Productos!$A:$A,Productos!BP:BP,"Revisar"),"")</f>
        <v/>
      </c>
      <c r="BX275" s="179" t="str">
        <f t="array" ref="BX275">IF($F275&lt;&gt;"", XLOOKUP($F275,Productos!$A$2:$A1001,Productos!BQ$2:BQ1001,"")*$G275,"")</f>
        <v/>
      </c>
      <c r="BY275" s="179" t="str">
        <f t="array" ref="BY275">IF($F275&lt;&gt;"",XLOOKUP($F275,Productos!$A:$A,Productos!BR:BR,"Revisar"),"")</f>
        <v/>
      </c>
      <c r="BZ275" s="179" t="str">
        <f t="array" ref="BZ275">IF($F275&lt;&gt;"", XLOOKUP($F275,Productos!$A$2:$A1001,Productos!BS$2:BS1001,"")*$G275,"")</f>
        <v/>
      </c>
    </row>
    <row r="276">
      <c r="A276" s="180"/>
      <c r="B276" s="181"/>
      <c r="C276" s="182"/>
      <c r="D276" s="182"/>
      <c r="E276" s="185"/>
      <c r="F276" s="186"/>
      <c r="G276" s="187"/>
      <c r="H276" s="186"/>
      <c r="I276" s="179" t="str">
        <f t="array" ref="I276">IF($F276&lt;&gt;"",XLOOKUP($F276,Productos!$A:$A,Productos!B:B,"Revisar"),"")</f>
        <v/>
      </c>
      <c r="J276" s="179" t="str">
        <f t="array" ref="J276">IF($F276&lt;&gt;"", XLOOKUP($F276,Productos!$A$2:$A1001,Productos!C$2:C1001,"")*$G276,"")</f>
        <v/>
      </c>
      <c r="K276" s="179" t="str">
        <f t="array" ref="K276">IF($F276&lt;&gt;"",XLOOKUP($F276,Productos!$A:$A,Productos!D:D,"Revisar"),"")</f>
        <v/>
      </c>
      <c r="L276" s="179" t="str">
        <f t="array" ref="L276">IF($F276&lt;&gt;"", XLOOKUP($F276,Productos!$A$2:$A1001,Productos!E$2:E1001,"")*$G276,"")</f>
        <v/>
      </c>
      <c r="M276" s="179" t="str">
        <f t="array" ref="M276">IF($F276&lt;&gt;"",XLOOKUP($F276,Productos!$A:$A,Productos!F:F,"Revisar"),"")</f>
        <v/>
      </c>
      <c r="N276" s="179" t="str">
        <f t="array" ref="N276">IF($F276&lt;&gt;"", XLOOKUP($F276,Productos!$A$2:$A1001,Productos!G$2:G1001,"")*$G276,"")</f>
        <v/>
      </c>
      <c r="O276" s="179" t="str">
        <f t="array" ref="O276">IF($F276&lt;&gt;"",XLOOKUP($F276,Productos!$A:$A,Productos!H:H,"Revisar"),"")</f>
        <v/>
      </c>
      <c r="P276" s="179" t="str">
        <f t="array" ref="P276">IF($F276&lt;&gt;"", XLOOKUP($F276,Productos!$A$2:$A1001,Productos!I$2:I1001,"")*$G276,"")</f>
        <v/>
      </c>
      <c r="Q276" s="179" t="str">
        <f t="array" ref="Q276">IF($F276&lt;&gt;"",XLOOKUP($F276,Productos!$A:$A,Productos!J:J,"Revisar"),"")</f>
        <v/>
      </c>
      <c r="R276" s="179" t="str">
        <f t="array" ref="R276">IF($F276&lt;&gt;"", XLOOKUP($F276,Productos!$A$2:$A1001,Productos!K$2:K1001,"")*$G276,"")</f>
        <v/>
      </c>
      <c r="S276" s="179" t="str">
        <f t="array" ref="S276">IF($F276&lt;&gt;"",XLOOKUP($F276,Productos!$A:$A,Productos!L:L,"Revisar"),"")</f>
        <v/>
      </c>
      <c r="T276" s="179" t="str">
        <f t="array" ref="T276">IF($F276&lt;&gt;"", XLOOKUP($F276,Productos!$A$2:$A1001,Productos!M$2:M1001,"")*$G276,"")</f>
        <v/>
      </c>
      <c r="U276" s="179" t="str">
        <f t="array" ref="U276">IF($F276&lt;&gt;"",XLOOKUP($F276,Productos!$A:$A,Productos!N:N,"Revisar"),"")</f>
        <v/>
      </c>
      <c r="V276" s="179" t="str">
        <f t="array" ref="V276">IF($F276&lt;&gt;"", XLOOKUP($F276,Productos!$A$2:$A1001,Productos!O$2:O1001,"")*$G276,"")</f>
        <v/>
      </c>
      <c r="W276" s="179" t="str">
        <f t="array" ref="W276">IF($F276&lt;&gt;"",XLOOKUP($F276,Productos!$A:$A,Productos!P:P,"Revisar"),"")</f>
        <v/>
      </c>
      <c r="X276" s="179" t="str">
        <f t="array" ref="X276">IF($F276&lt;&gt;"", XLOOKUP($F276,Productos!$A$2:$A1001,Productos!Q$2:Q1001,"")*$G276,"")</f>
        <v/>
      </c>
      <c r="Y276" s="179" t="str">
        <f t="array" ref="Y276">IF($F276&lt;&gt;"",XLOOKUP($F276,Productos!$A:$A,Productos!R:R,"Revisar"),"")</f>
        <v/>
      </c>
      <c r="Z276" s="179" t="str">
        <f t="array" ref="Z276">IF($F276&lt;&gt;"", XLOOKUP($F276,Productos!$A$2:$A1001,Productos!S$2:S1001,"")*$G276,"")</f>
        <v/>
      </c>
      <c r="AA276" s="179" t="str">
        <f t="array" ref="AA276">IF($F276&lt;&gt;"",XLOOKUP($F276,Productos!$A:$A,Productos!T:T,"Revisar"),"")</f>
        <v/>
      </c>
      <c r="AB276" s="179" t="str">
        <f t="array" ref="AB276">IF($F276&lt;&gt;"", XLOOKUP($F276,Productos!$A$2:$A1001,Productos!U$2:U1001,"")*$G276,"")</f>
        <v/>
      </c>
      <c r="AC276" s="179" t="str">
        <f t="array" ref="AC276">IF($F276&lt;&gt;"",XLOOKUP($F276,Productos!$A:$A,Productos!V:V,"Revisar"),"")</f>
        <v/>
      </c>
      <c r="AD276" s="179" t="str">
        <f t="array" ref="AD276">IF($F276&lt;&gt;"", XLOOKUP($F276,Productos!$A$2:$A1001,Productos!W$2:W1001,"")*$G276,"")</f>
        <v/>
      </c>
      <c r="AE276" s="179" t="str">
        <f t="array" ref="AE276">IF($F276&lt;&gt;"",XLOOKUP($F276,Productos!$A:$A,Productos!X:X,"Revisar"),"")</f>
        <v/>
      </c>
      <c r="AF276" s="179" t="str">
        <f t="array" ref="AF276">IF($F276&lt;&gt;"", XLOOKUP($F276,Productos!$A$2:$A1001,Productos!Y$2:Y1001,"")*$G276,"")</f>
        <v/>
      </c>
      <c r="AG276" s="179" t="str">
        <f t="array" ref="AG276">IF($F276&lt;&gt;"",XLOOKUP($F276,Productos!$A:$A,Productos!Z:Z,"Revisar"),"")</f>
        <v/>
      </c>
      <c r="AH276" s="179" t="str">
        <f t="array" ref="AH276">IF($F276&lt;&gt;"", XLOOKUP($F276,Productos!$A$2:$A1001,Productos!AA$2:AA1001,"")*$G276,"")</f>
        <v/>
      </c>
      <c r="AI276" s="179" t="str">
        <f t="array" ref="AI276">IF($F276&lt;&gt;"",XLOOKUP($F276,Productos!$A:$A,Productos!AB:AB,"Revisar"),"")</f>
        <v/>
      </c>
      <c r="AJ276" s="179" t="str">
        <f t="array" ref="AJ276">IF($F276&lt;&gt;"", XLOOKUP($F276,Productos!$A$2:$A1001,Productos!AC$2:AC1001,"")*$G276,"")</f>
        <v/>
      </c>
      <c r="AK276" s="179" t="str">
        <f t="array" ref="AK276">IF($F276&lt;&gt;"",XLOOKUP($F276,Productos!$A:$A,Productos!AD:AD,"Revisar"),"")</f>
        <v/>
      </c>
      <c r="AL276" s="179" t="str">
        <f t="array" ref="AL276">IF($F276&lt;&gt;"", XLOOKUP($F276,Productos!$A$2:$A1001,Productos!AE$2:AE1001,"")*$G276,"")</f>
        <v/>
      </c>
      <c r="AM276" s="179" t="str">
        <f t="array" ref="AM276">IF($F276&lt;&gt;"",XLOOKUP($F276,Productos!$A:$A,Productos!AF:AF,"Revisar"),"")</f>
        <v/>
      </c>
      <c r="AN276" s="179" t="str">
        <f t="array" ref="AN276">IF($F276&lt;&gt;"", XLOOKUP($F276,Productos!$A$2:$A1001,Productos!AG$2:AG1001,"")*$G276,"")</f>
        <v/>
      </c>
      <c r="AO276" s="179" t="str">
        <f t="array" ref="AO276">IF($F276&lt;&gt;"",XLOOKUP($F276,Productos!$A:$A,Productos!AH:AH,"Revisar"),"")</f>
        <v/>
      </c>
      <c r="AP276" s="179" t="str">
        <f t="array" ref="AP276">IF($F276&lt;&gt;"", XLOOKUP($F276,Productos!$A$2:$A1001,Productos!AI$2:AI1001,"")*$G276,"")</f>
        <v/>
      </c>
      <c r="AQ276" s="179" t="str">
        <f t="array" ref="AQ276">IF($F276&lt;&gt;"",XLOOKUP($F276,Productos!$A:$A,Productos!AJ:AJ,"Revisar"),"")</f>
        <v/>
      </c>
      <c r="AR276" s="179" t="str">
        <f t="array" ref="AR276">IF($F276&lt;&gt;"", XLOOKUP($F276,Productos!$A$2:$A1001,Productos!AK$2:AK1001,"")*$G276,"")</f>
        <v/>
      </c>
      <c r="AS276" s="179" t="str">
        <f t="array" ref="AS276">IF($F276&lt;&gt;"",XLOOKUP($F276,Productos!$A:$A,Productos!AL:AL,"Revisar"),"")</f>
        <v/>
      </c>
      <c r="AT276" s="179" t="str">
        <f t="array" ref="AT276">IF($F276&lt;&gt;"", XLOOKUP($F276,Productos!$A$2:$A1001,Productos!AM$2:AM1001,"")*$G276,"")</f>
        <v/>
      </c>
      <c r="AU276" s="179" t="str">
        <f t="array" ref="AU276">IF($F276&lt;&gt;"",XLOOKUP($F276,Productos!$A:$A,Productos!AN:AN,"Revisar"),"")</f>
        <v/>
      </c>
      <c r="AV276" s="179" t="str">
        <f t="array" ref="AV276">IF($F276&lt;&gt;"", XLOOKUP($F276,Productos!$A$2:$A1001,Productos!AO$2:AO1001,"")*$G276,"")</f>
        <v/>
      </c>
      <c r="AW276" s="179" t="str">
        <f t="array" ref="AW276">IF($F276&lt;&gt;"",XLOOKUP($F276,Productos!$A:$A,Productos!AP:AP,"Revisar"),"")</f>
        <v/>
      </c>
      <c r="AX276" s="179" t="str">
        <f t="array" ref="AX276">IF($F276&lt;&gt;"", XLOOKUP($F276,Productos!$A$2:$A1001,Productos!AQ$2:AQ1001,"")*$G276,"")</f>
        <v/>
      </c>
      <c r="AY276" s="179" t="str">
        <f t="array" ref="AY276">IF($F276&lt;&gt;"",XLOOKUP($F276,Productos!$A:$A,Productos!AR:AR,"Revisar"),"")</f>
        <v/>
      </c>
      <c r="AZ276" s="179" t="str">
        <f t="array" ref="AZ276">IF($F276&lt;&gt;"", XLOOKUP($F276,Productos!$A$2:$A1001,Productos!AS$2:AS1001,"")*$G276,"")</f>
        <v/>
      </c>
      <c r="BA276" s="179" t="str">
        <f t="array" ref="BA276">IF($F276&lt;&gt;"",XLOOKUP($F276,Productos!$A:$A,Productos!AT:AT,"Revisar"),"")</f>
        <v/>
      </c>
      <c r="BB276" s="179" t="str">
        <f t="array" ref="BB276">IF($F276&lt;&gt;"", XLOOKUP($F276,Productos!$A$2:$A1001,Productos!AU$2:AU1001,"")*$G276,"")</f>
        <v/>
      </c>
      <c r="BC276" s="179" t="str">
        <f t="array" ref="BC276">IF($F276&lt;&gt;"",XLOOKUP($F276,Productos!$A:$A,Productos!AV:AV,"Revisar"),"")</f>
        <v/>
      </c>
      <c r="BD276" s="179" t="str">
        <f t="array" ref="BD276">IF($F276&lt;&gt;"", XLOOKUP($F276,Productos!$A$2:$A1001,Productos!AW$2:AW1001,"")*$G276,"")</f>
        <v/>
      </c>
      <c r="BE276" s="179" t="str">
        <f t="array" ref="BE276">IF($F276&lt;&gt;"",XLOOKUP($F276,Productos!$A:$A,Productos!AX:AX,"Revisar"),"")</f>
        <v/>
      </c>
      <c r="BF276" s="179" t="str">
        <f t="array" ref="BF276">IF($F276&lt;&gt;"", XLOOKUP($F276,Productos!$A$2:$A1001,Productos!AY$2:AY1001,"")*$G276,"")</f>
        <v/>
      </c>
      <c r="BG276" s="179" t="str">
        <f t="array" ref="BG276">IF($F276&lt;&gt;"",XLOOKUP($F276,Productos!$A:$A,Productos!AZ:AZ,"Revisar"),"")</f>
        <v/>
      </c>
      <c r="BH276" s="179" t="str">
        <f t="array" ref="BH276">IF($F276&lt;&gt;"", XLOOKUP($F276,Productos!$A$2:$A1001,Productos!BA$2:BA1001,"")*$G276,"")</f>
        <v/>
      </c>
      <c r="BI276" s="179" t="str">
        <f t="array" ref="BI276">IF($F276&lt;&gt;"",XLOOKUP($F276,Productos!$A:$A,Productos!BB:BB,"Revisar"),"")</f>
        <v/>
      </c>
      <c r="BJ276" s="179" t="str">
        <f t="array" ref="BJ276">IF($F276&lt;&gt;"", XLOOKUP($F276,Productos!$A$2:$A1001,Productos!BC$2:BC1001,"")*$G276,"")</f>
        <v/>
      </c>
      <c r="BK276" s="179" t="str">
        <f t="array" ref="BK276">IF($F276&lt;&gt;"",XLOOKUP($F276,Productos!$A:$A,Productos!BD:BD,"Revisar"),"")</f>
        <v/>
      </c>
      <c r="BL276" s="179" t="str">
        <f t="array" ref="BL276">IF($F276&lt;&gt;"", XLOOKUP($F276,Productos!$A$2:$A1001,Productos!BE$2:BE1001,"")*$G276,"")</f>
        <v/>
      </c>
      <c r="BM276" s="179" t="str">
        <f t="array" ref="BM276">IF($F276&lt;&gt;"",XLOOKUP($F276,Productos!$A:$A,Productos!BF:BF,"Revisar"),"")</f>
        <v/>
      </c>
      <c r="BN276" s="179" t="str">
        <f t="array" ref="BN276">IF($F276&lt;&gt;"", XLOOKUP($F276,Productos!$A$2:$A1001,Productos!BG$2:BG1001,"")*$G276,"")</f>
        <v/>
      </c>
      <c r="BO276" s="179" t="str">
        <f t="array" ref="BO276">IF($F276&lt;&gt;"",XLOOKUP($F276,Productos!$A:$A,Productos!BH:BH,"Revisar"),"")</f>
        <v/>
      </c>
      <c r="BP276" s="179" t="str">
        <f t="array" ref="BP276">IF($F276&lt;&gt;"", XLOOKUP($F276,Productos!$A$2:$A1001,Productos!BI$2:BI1001,"")*$G276,"")</f>
        <v/>
      </c>
      <c r="BQ276" s="179" t="str">
        <f t="array" ref="BQ276">IF($F276&lt;&gt;"",XLOOKUP($F276,Productos!$A:$A,Productos!BJ:BJ,"Revisar"),"")</f>
        <v/>
      </c>
      <c r="BR276" s="179" t="str">
        <f t="array" ref="BR276">IF($F276&lt;&gt;"", XLOOKUP($F276,Productos!$A$2:$A1001,Productos!BK$2:BK1001,"")*$G276,"")</f>
        <v/>
      </c>
      <c r="BS276" s="179" t="str">
        <f t="array" ref="BS276">IF($F276&lt;&gt;"",XLOOKUP($F276,Productos!$A:$A,Productos!BL:BL,"Revisar"),"")</f>
        <v/>
      </c>
      <c r="BT276" s="179" t="str">
        <f t="array" ref="BT276">IF($F276&lt;&gt;"", XLOOKUP($F276,Productos!$A$2:$A1001,Productos!BM$2:BM1001,"")*$G276,"")</f>
        <v/>
      </c>
      <c r="BU276" s="179" t="str">
        <f t="array" ref="BU276">IF($F276&lt;&gt;"",XLOOKUP($F276,Productos!$A:$A,Productos!BN:BN,"Revisar"),"")</f>
        <v/>
      </c>
      <c r="BV276" s="179" t="str">
        <f t="array" ref="BV276">IF($F276&lt;&gt;"", XLOOKUP($F276,Productos!$A$2:$A1001,Productos!BO$2:BO1001,"")*$G276,"")</f>
        <v/>
      </c>
      <c r="BW276" s="179" t="str">
        <f t="array" ref="BW276">IF($F276&lt;&gt;"",XLOOKUP($F276,Productos!$A:$A,Productos!BP:BP,"Revisar"),"")</f>
        <v/>
      </c>
      <c r="BX276" s="179" t="str">
        <f t="array" ref="BX276">IF($F276&lt;&gt;"", XLOOKUP($F276,Productos!$A$2:$A1001,Productos!BQ$2:BQ1001,"")*$G276,"")</f>
        <v/>
      </c>
      <c r="BY276" s="179" t="str">
        <f t="array" ref="BY276">IF($F276&lt;&gt;"",XLOOKUP($F276,Productos!$A:$A,Productos!BR:BR,"Revisar"),"")</f>
        <v/>
      </c>
      <c r="BZ276" s="179" t="str">
        <f t="array" ref="BZ276">IF($F276&lt;&gt;"", XLOOKUP($F276,Productos!$A$2:$A1001,Productos!BS$2:BS1001,"")*$G276,"")</f>
        <v/>
      </c>
    </row>
    <row r="277">
      <c r="A277" s="180"/>
      <c r="B277" s="181"/>
      <c r="C277" s="182"/>
      <c r="D277" s="182"/>
      <c r="E277" s="185"/>
      <c r="F277" s="186"/>
      <c r="G277" s="187"/>
      <c r="H277" s="186"/>
      <c r="I277" s="179" t="str">
        <f t="array" ref="I277">IF($F277&lt;&gt;"",XLOOKUP($F277,Productos!$A:$A,Productos!B:B,"Revisar"),"")</f>
        <v/>
      </c>
      <c r="J277" s="179" t="str">
        <f t="array" ref="J277">IF($F277&lt;&gt;"", XLOOKUP($F277,Productos!$A$2:$A1001,Productos!C$2:C1001,"")*$G277,"")</f>
        <v/>
      </c>
      <c r="K277" s="179" t="str">
        <f t="array" ref="K277">IF($F277&lt;&gt;"",XLOOKUP($F277,Productos!$A:$A,Productos!D:D,"Revisar"),"")</f>
        <v/>
      </c>
      <c r="L277" s="179" t="str">
        <f t="array" ref="L277">IF($F277&lt;&gt;"", XLOOKUP($F277,Productos!$A$2:$A1001,Productos!E$2:E1001,"")*$G277,"")</f>
        <v/>
      </c>
      <c r="M277" s="179" t="str">
        <f t="array" ref="M277">IF($F277&lt;&gt;"",XLOOKUP($F277,Productos!$A:$A,Productos!F:F,"Revisar"),"")</f>
        <v/>
      </c>
      <c r="N277" s="179" t="str">
        <f t="array" ref="N277">IF($F277&lt;&gt;"", XLOOKUP($F277,Productos!$A$2:$A1001,Productos!G$2:G1001,"")*$G277,"")</f>
        <v/>
      </c>
      <c r="O277" s="179" t="str">
        <f t="array" ref="O277">IF($F277&lt;&gt;"",XLOOKUP($F277,Productos!$A:$A,Productos!H:H,"Revisar"),"")</f>
        <v/>
      </c>
      <c r="P277" s="179" t="str">
        <f t="array" ref="P277">IF($F277&lt;&gt;"", XLOOKUP($F277,Productos!$A$2:$A1001,Productos!I$2:I1001,"")*$G277,"")</f>
        <v/>
      </c>
      <c r="Q277" s="179" t="str">
        <f t="array" ref="Q277">IF($F277&lt;&gt;"",XLOOKUP($F277,Productos!$A:$A,Productos!J:J,"Revisar"),"")</f>
        <v/>
      </c>
      <c r="R277" s="179" t="str">
        <f t="array" ref="R277">IF($F277&lt;&gt;"", XLOOKUP($F277,Productos!$A$2:$A1001,Productos!K$2:K1001,"")*$G277,"")</f>
        <v/>
      </c>
      <c r="S277" s="179" t="str">
        <f t="array" ref="S277">IF($F277&lt;&gt;"",XLOOKUP($F277,Productos!$A:$A,Productos!L:L,"Revisar"),"")</f>
        <v/>
      </c>
      <c r="T277" s="179" t="str">
        <f t="array" ref="T277">IF($F277&lt;&gt;"", XLOOKUP($F277,Productos!$A$2:$A1001,Productos!M$2:M1001,"")*$G277,"")</f>
        <v/>
      </c>
      <c r="U277" s="179" t="str">
        <f t="array" ref="U277">IF($F277&lt;&gt;"",XLOOKUP($F277,Productos!$A:$A,Productos!N:N,"Revisar"),"")</f>
        <v/>
      </c>
      <c r="V277" s="179" t="str">
        <f t="array" ref="V277">IF($F277&lt;&gt;"", XLOOKUP($F277,Productos!$A$2:$A1001,Productos!O$2:O1001,"")*$G277,"")</f>
        <v/>
      </c>
      <c r="W277" s="179" t="str">
        <f t="array" ref="W277">IF($F277&lt;&gt;"",XLOOKUP($F277,Productos!$A:$A,Productos!P:P,"Revisar"),"")</f>
        <v/>
      </c>
      <c r="X277" s="179" t="str">
        <f t="array" ref="X277">IF($F277&lt;&gt;"", XLOOKUP($F277,Productos!$A$2:$A1001,Productos!Q$2:Q1001,"")*$G277,"")</f>
        <v/>
      </c>
      <c r="Y277" s="179" t="str">
        <f t="array" ref="Y277">IF($F277&lt;&gt;"",XLOOKUP($F277,Productos!$A:$A,Productos!R:R,"Revisar"),"")</f>
        <v/>
      </c>
      <c r="Z277" s="179" t="str">
        <f t="array" ref="Z277">IF($F277&lt;&gt;"", XLOOKUP($F277,Productos!$A$2:$A1001,Productos!S$2:S1001,"")*$G277,"")</f>
        <v/>
      </c>
      <c r="AA277" s="179" t="str">
        <f t="array" ref="AA277">IF($F277&lt;&gt;"",XLOOKUP($F277,Productos!$A:$A,Productos!T:T,"Revisar"),"")</f>
        <v/>
      </c>
      <c r="AB277" s="179" t="str">
        <f t="array" ref="AB277">IF($F277&lt;&gt;"", XLOOKUP($F277,Productos!$A$2:$A1001,Productos!U$2:U1001,"")*$G277,"")</f>
        <v/>
      </c>
      <c r="AC277" s="179" t="str">
        <f t="array" ref="AC277">IF($F277&lt;&gt;"",XLOOKUP($F277,Productos!$A:$A,Productos!V:V,"Revisar"),"")</f>
        <v/>
      </c>
      <c r="AD277" s="179" t="str">
        <f t="array" ref="AD277">IF($F277&lt;&gt;"", XLOOKUP($F277,Productos!$A$2:$A1001,Productos!W$2:W1001,"")*$G277,"")</f>
        <v/>
      </c>
      <c r="AE277" s="179" t="str">
        <f t="array" ref="AE277">IF($F277&lt;&gt;"",XLOOKUP($F277,Productos!$A:$A,Productos!X:X,"Revisar"),"")</f>
        <v/>
      </c>
      <c r="AF277" s="179" t="str">
        <f t="array" ref="AF277">IF($F277&lt;&gt;"", XLOOKUP($F277,Productos!$A$2:$A1001,Productos!Y$2:Y1001,"")*$G277,"")</f>
        <v/>
      </c>
      <c r="AG277" s="179" t="str">
        <f t="array" ref="AG277">IF($F277&lt;&gt;"",XLOOKUP($F277,Productos!$A:$A,Productos!Z:Z,"Revisar"),"")</f>
        <v/>
      </c>
      <c r="AH277" s="179" t="str">
        <f t="array" ref="AH277">IF($F277&lt;&gt;"", XLOOKUP($F277,Productos!$A$2:$A1001,Productos!AA$2:AA1001,"")*$G277,"")</f>
        <v/>
      </c>
      <c r="AI277" s="179" t="str">
        <f t="array" ref="AI277">IF($F277&lt;&gt;"",XLOOKUP($F277,Productos!$A:$A,Productos!AB:AB,"Revisar"),"")</f>
        <v/>
      </c>
      <c r="AJ277" s="179" t="str">
        <f t="array" ref="AJ277">IF($F277&lt;&gt;"", XLOOKUP($F277,Productos!$A$2:$A1001,Productos!AC$2:AC1001,"")*$G277,"")</f>
        <v/>
      </c>
      <c r="AK277" s="179" t="str">
        <f t="array" ref="AK277">IF($F277&lt;&gt;"",XLOOKUP($F277,Productos!$A:$A,Productos!AD:AD,"Revisar"),"")</f>
        <v/>
      </c>
      <c r="AL277" s="179" t="str">
        <f t="array" ref="AL277">IF($F277&lt;&gt;"", XLOOKUP($F277,Productos!$A$2:$A1001,Productos!AE$2:AE1001,"")*$G277,"")</f>
        <v/>
      </c>
      <c r="AM277" s="179" t="str">
        <f t="array" ref="AM277">IF($F277&lt;&gt;"",XLOOKUP($F277,Productos!$A:$A,Productos!AF:AF,"Revisar"),"")</f>
        <v/>
      </c>
      <c r="AN277" s="179" t="str">
        <f t="array" ref="AN277">IF($F277&lt;&gt;"", XLOOKUP($F277,Productos!$A$2:$A1001,Productos!AG$2:AG1001,"")*$G277,"")</f>
        <v/>
      </c>
      <c r="AO277" s="179" t="str">
        <f t="array" ref="AO277">IF($F277&lt;&gt;"",XLOOKUP($F277,Productos!$A:$A,Productos!AH:AH,"Revisar"),"")</f>
        <v/>
      </c>
      <c r="AP277" s="179" t="str">
        <f t="array" ref="AP277">IF($F277&lt;&gt;"", XLOOKUP($F277,Productos!$A$2:$A1001,Productos!AI$2:AI1001,"")*$G277,"")</f>
        <v/>
      </c>
      <c r="AQ277" s="179" t="str">
        <f t="array" ref="AQ277">IF($F277&lt;&gt;"",XLOOKUP($F277,Productos!$A:$A,Productos!AJ:AJ,"Revisar"),"")</f>
        <v/>
      </c>
      <c r="AR277" s="179" t="str">
        <f t="array" ref="AR277">IF($F277&lt;&gt;"", XLOOKUP($F277,Productos!$A$2:$A1001,Productos!AK$2:AK1001,"")*$G277,"")</f>
        <v/>
      </c>
      <c r="AS277" s="179" t="str">
        <f t="array" ref="AS277">IF($F277&lt;&gt;"",XLOOKUP($F277,Productos!$A:$A,Productos!AL:AL,"Revisar"),"")</f>
        <v/>
      </c>
      <c r="AT277" s="179" t="str">
        <f t="array" ref="AT277">IF($F277&lt;&gt;"", XLOOKUP($F277,Productos!$A$2:$A1001,Productos!AM$2:AM1001,"")*$G277,"")</f>
        <v/>
      </c>
      <c r="AU277" s="179" t="str">
        <f t="array" ref="AU277">IF($F277&lt;&gt;"",XLOOKUP($F277,Productos!$A:$A,Productos!AN:AN,"Revisar"),"")</f>
        <v/>
      </c>
      <c r="AV277" s="179" t="str">
        <f t="array" ref="AV277">IF($F277&lt;&gt;"", XLOOKUP($F277,Productos!$A$2:$A1001,Productos!AO$2:AO1001,"")*$G277,"")</f>
        <v/>
      </c>
      <c r="AW277" s="179" t="str">
        <f t="array" ref="AW277">IF($F277&lt;&gt;"",XLOOKUP($F277,Productos!$A:$A,Productos!AP:AP,"Revisar"),"")</f>
        <v/>
      </c>
      <c r="AX277" s="179" t="str">
        <f t="array" ref="AX277">IF($F277&lt;&gt;"", XLOOKUP($F277,Productos!$A$2:$A1001,Productos!AQ$2:AQ1001,"")*$G277,"")</f>
        <v/>
      </c>
      <c r="AY277" s="179" t="str">
        <f t="array" ref="AY277">IF($F277&lt;&gt;"",XLOOKUP($F277,Productos!$A:$A,Productos!AR:AR,"Revisar"),"")</f>
        <v/>
      </c>
      <c r="AZ277" s="179" t="str">
        <f t="array" ref="AZ277">IF($F277&lt;&gt;"", XLOOKUP($F277,Productos!$A$2:$A1001,Productos!AS$2:AS1001,"")*$G277,"")</f>
        <v/>
      </c>
      <c r="BA277" s="179" t="str">
        <f t="array" ref="BA277">IF($F277&lt;&gt;"",XLOOKUP($F277,Productos!$A:$A,Productos!AT:AT,"Revisar"),"")</f>
        <v/>
      </c>
      <c r="BB277" s="179" t="str">
        <f t="array" ref="BB277">IF($F277&lt;&gt;"", XLOOKUP($F277,Productos!$A$2:$A1001,Productos!AU$2:AU1001,"")*$G277,"")</f>
        <v/>
      </c>
      <c r="BC277" s="179" t="str">
        <f t="array" ref="BC277">IF($F277&lt;&gt;"",XLOOKUP($F277,Productos!$A:$A,Productos!AV:AV,"Revisar"),"")</f>
        <v/>
      </c>
      <c r="BD277" s="179" t="str">
        <f t="array" ref="BD277">IF($F277&lt;&gt;"", XLOOKUP($F277,Productos!$A$2:$A1001,Productos!AW$2:AW1001,"")*$G277,"")</f>
        <v/>
      </c>
      <c r="BE277" s="179" t="str">
        <f t="array" ref="BE277">IF($F277&lt;&gt;"",XLOOKUP($F277,Productos!$A:$A,Productos!AX:AX,"Revisar"),"")</f>
        <v/>
      </c>
      <c r="BF277" s="179" t="str">
        <f t="array" ref="BF277">IF($F277&lt;&gt;"", XLOOKUP($F277,Productos!$A$2:$A1001,Productos!AY$2:AY1001,"")*$G277,"")</f>
        <v/>
      </c>
      <c r="BG277" s="179" t="str">
        <f t="array" ref="BG277">IF($F277&lt;&gt;"",XLOOKUP($F277,Productos!$A:$A,Productos!AZ:AZ,"Revisar"),"")</f>
        <v/>
      </c>
      <c r="BH277" s="179" t="str">
        <f t="array" ref="BH277">IF($F277&lt;&gt;"", XLOOKUP($F277,Productos!$A$2:$A1001,Productos!BA$2:BA1001,"")*$G277,"")</f>
        <v/>
      </c>
      <c r="BI277" s="179" t="str">
        <f t="array" ref="BI277">IF($F277&lt;&gt;"",XLOOKUP($F277,Productos!$A:$A,Productos!BB:BB,"Revisar"),"")</f>
        <v/>
      </c>
      <c r="BJ277" s="179" t="str">
        <f t="array" ref="BJ277">IF($F277&lt;&gt;"", XLOOKUP($F277,Productos!$A$2:$A1001,Productos!BC$2:BC1001,"")*$G277,"")</f>
        <v/>
      </c>
      <c r="BK277" s="179" t="str">
        <f t="array" ref="BK277">IF($F277&lt;&gt;"",XLOOKUP($F277,Productos!$A:$A,Productos!BD:BD,"Revisar"),"")</f>
        <v/>
      </c>
      <c r="BL277" s="179" t="str">
        <f t="array" ref="BL277">IF($F277&lt;&gt;"", XLOOKUP($F277,Productos!$A$2:$A1001,Productos!BE$2:BE1001,"")*$G277,"")</f>
        <v/>
      </c>
      <c r="BM277" s="179" t="str">
        <f t="array" ref="BM277">IF($F277&lt;&gt;"",XLOOKUP($F277,Productos!$A:$A,Productos!BF:BF,"Revisar"),"")</f>
        <v/>
      </c>
      <c r="BN277" s="179" t="str">
        <f t="array" ref="BN277">IF($F277&lt;&gt;"", XLOOKUP($F277,Productos!$A$2:$A1001,Productos!BG$2:BG1001,"")*$G277,"")</f>
        <v/>
      </c>
      <c r="BO277" s="179" t="str">
        <f t="array" ref="BO277">IF($F277&lt;&gt;"",XLOOKUP($F277,Productos!$A:$A,Productos!BH:BH,"Revisar"),"")</f>
        <v/>
      </c>
      <c r="BP277" s="179" t="str">
        <f t="array" ref="BP277">IF($F277&lt;&gt;"", XLOOKUP($F277,Productos!$A$2:$A1001,Productos!BI$2:BI1001,"")*$G277,"")</f>
        <v/>
      </c>
      <c r="BQ277" s="179" t="str">
        <f t="array" ref="BQ277">IF($F277&lt;&gt;"",XLOOKUP($F277,Productos!$A:$A,Productos!BJ:BJ,"Revisar"),"")</f>
        <v/>
      </c>
      <c r="BR277" s="179" t="str">
        <f t="array" ref="BR277">IF($F277&lt;&gt;"", XLOOKUP($F277,Productos!$A$2:$A1001,Productos!BK$2:BK1001,"")*$G277,"")</f>
        <v/>
      </c>
      <c r="BS277" s="179" t="str">
        <f t="array" ref="BS277">IF($F277&lt;&gt;"",XLOOKUP($F277,Productos!$A:$A,Productos!BL:BL,"Revisar"),"")</f>
        <v/>
      </c>
      <c r="BT277" s="179" t="str">
        <f t="array" ref="BT277">IF($F277&lt;&gt;"", XLOOKUP($F277,Productos!$A$2:$A1001,Productos!BM$2:BM1001,"")*$G277,"")</f>
        <v/>
      </c>
      <c r="BU277" s="179" t="str">
        <f t="array" ref="BU277">IF($F277&lt;&gt;"",XLOOKUP($F277,Productos!$A:$A,Productos!BN:BN,"Revisar"),"")</f>
        <v/>
      </c>
      <c r="BV277" s="179" t="str">
        <f t="array" ref="BV277">IF($F277&lt;&gt;"", XLOOKUP($F277,Productos!$A$2:$A1001,Productos!BO$2:BO1001,"")*$G277,"")</f>
        <v/>
      </c>
      <c r="BW277" s="179" t="str">
        <f t="array" ref="BW277">IF($F277&lt;&gt;"",XLOOKUP($F277,Productos!$A:$A,Productos!BP:BP,"Revisar"),"")</f>
        <v/>
      </c>
      <c r="BX277" s="179" t="str">
        <f t="array" ref="BX277">IF($F277&lt;&gt;"", XLOOKUP($F277,Productos!$A$2:$A1001,Productos!BQ$2:BQ1001,"")*$G277,"")</f>
        <v/>
      </c>
      <c r="BY277" s="179" t="str">
        <f t="array" ref="BY277">IF($F277&lt;&gt;"",XLOOKUP($F277,Productos!$A:$A,Productos!BR:BR,"Revisar"),"")</f>
        <v/>
      </c>
      <c r="BZ277" s="179" t="str">
        <f t="array" ref="BZ277">IF($F277&lt;&gt;"", XLOOKUP($F277,Productos!$A$2:$A1001,Productos!BS$2:BS1001,"")*$G277,"")</f>
        <v/>
      </c>
    </row>
    <row r="278">
      <c r="A278" s="180"/>
      <c r="B278" s="181"/>
      <c r="C278" s="182"/>
      <c r="D278" s="182"/>
      <c r="E278" s="185"/>
      <c r="F278" s="186"/>
      <c r="G278" s="187"/>
      <c r="H278" s="186"/>
      <c r="I278" s="179" t="str">
        <f t="array" ref="I278">IF($F278&lt;&gt;"",XLOOKUP($F278,Productos!$A:$A,Productos!B:B,"Revisar"),"")</f>
        <v/>
      </c>
      <c r="J278" s="179" t="str">
        <f t="array" ref="J278">IF($F278&lt;&gt;"", XLOOKUP($F278,Productos!$A$2:$A1001,Productos!C$2:C1001,"")*$G278,"")</f>
        <v/>
      </c>
      <c r="K278" s="179" t="str">
        <f t="array" ref="K278">IF($F278&lt;&gt;"",XLOOKUP($F278,Productos!$A:$A,Productos!D:D,"Revisar"),"")</f>
        <v/>
      </c>
      <c r="L278" s="179" t="str">
        <f t="array" ref="L278">IF($F278&lt;&gt;"", XLOOKUP($F278,Productos!$A$2:$A1001,Productos!E$2:E1001,"")*$G278,"")</f>
        <v/>
      </c>
      <c r="M278" s="179" t="str">
        <f t="array" ref="M278">IF($F278&lt;&gt;"",XLOOKUP($F278,Productos!$A:$A,Productos!F:F,"Revisar"),"")</f>
        <v/>
      </c>
      <c r="N278" s="179" t="str">
        <f t="array" ref="N278">IF($F278&lt;&gt;"", XLOOKUP($F278,Productos!$A$2:$A1001,Productos!G$2:G1001,"")*$G278,"")</f>
        <v/>
      </c>
      <c r="O278" s="179" t="str">
        <f t="array" ref="O278">IF($F278&lt;&gt;"",XLOOKUP($F278,Productos!$A:$A,Productos!H:H,"Revisar"),"")</f>
        <v/>
      </c>
      <c r="P278" s="179" t="str">
        <f t="array" ref="P278">IF($F278&lt;&gt;"", XLOOKUP($F278,Productos!$A$2:$A1001,Productos!I$2:I1001,"")*$G278,"")</f>
        <v/>
      </c>
      <c r="Q278" s="179" t="str">
        <f t="array" ref="Q278">IF($F278&lt;&gt;"",XLOOKUP($F278,Productos!$A:$A,Productos!J:J,"Revisar"),"")</f>
        <v/>
      </c>
      <c r="R278" s="179" t="str">
        <f t="array" ref="R278">IF($F278&lt;&gt;"", XLOOKUP($F278,Productos!$A$2:$A1001,Productos!K$2:K1001,"")*$G278,"")</f>
        <v/>
      </c>
      <c r="S278" s="179" t="str">
        <f t="array" ref="S278">IF($F278&lt;&gt;"",XLOOKUP($F278,Productos!$A:$A,Productos!L:L,"Revisar"),"")</f>
        <v/>
      </c>
      <c r="T278" s="179" t="str">
        <f t="array" ref="T278">IF($F278&lt;&gt;"", XLOOKUP($F278,Productos!$A$2:$A1001,Productos!M$2:M1001,"")*$G278,"")</f>
        <v/>
      </c>
      <c r="U278" s="179" t="str">
        <f t="array" ref="U278">IF($F278&lt;&gt;"",XLOOKUP($F278,Productos!$A:$A,Productos!N:N,"Revisar"),"")</f>
        <v/>
      </c>
      <c r="V278" s="179" t="str">
        <f t="array" ref="V278">IF($F278&lt;&gt;"", XLOOKUP($F278,Productos!$A$2:$A1001,Productos!O$2:O1001,"")*$G278,"")</f>
        <v/>
      </c>
      <c r="W278" s="179" t="str">
        <f t="array" ref="W278">IF($F278&lt;&gt;"",XLOOKUP($F278,Productos!$A:$A,Productos!P:P,"Revisar"),"")</f>
        <v/>
      </c>
      <c r="X278" s="179" t="str">
        <f t="array" ref="X278">IF($F278&lt;&gt;"", XLOOKUP($F278,Productos!$A$2:$A1001,Productos!Q$2:Q1001,"")*$G278,"")</f>
        <v/>
      </c>
      <c r="Y278" s="179" t="str">
        <f t="array" ref="Y278">IF($F278&lt;&gt;"",XLOOKUP($F278,Productos!$A:$A,Productos!R:R,"Revisar"),"")</f>
        <v/>
      </c>
      <c r="Z278" s="179" t="str">
        <f t="array" ref="Z278">IF($F278&lt;&gt;"", XLOOKUP($F278,Productos!$A$2:$A1001,Productos!S$2:S1001,"")*$G278,"")</f>
        <v/>
      </c>
      <c r="AA278" s="179" t="str">
        <f t="array" ref="AA278">IF($F278&lt;&gt;"",XLOOKUP($F278,Productos!$A:$A,Productos!T:T,"Revisar"),"")</f>
        <v/>
      </c>
      <c r="AB278" s="179" t="str">
        <f t="array" ref="AB278">IF($F278&lt;&gt;"", XLOOKUP($F278,Productos!$A$2:$A1001,Productos!U$2:U1001,"")*$G278,"")</f>
        <v/>
      </c>
      <c r="AC278" s="179" t="str">
        <f t="array" ref="AC278">IF($F278&lt;&gt;"",XLOOKUP($F278,Productos!$A:$A,Productos!V:V,"Revisar"),"")</f>
        <v/>
      </c>
      <c r="AD278" s="179" t="str">
        <f t="array" ref="AD278">IF($F278&lt;&gt;"", XLOOKUP($F278,Productos!$A$2:$A1001,Productos!W$2:W1001,"")*$G278,"")</f>
        <v/>
      </c>
      <c r="AE278" s="179" t="str">
        <f t="array" ref="AE278">IF($F278&lt;&gt;"",XLOOKUP($F278,Productos!$A:$A,Productos!X:X,"Revisar"),"")</f>
        <v/>
      </c>
      <c r="AF278" s="179" t="str">
        <f t="array" ref="AF278">IF($F278&lt;&gt;"", XLOOKUP($F278,Productos!$A$2:$A1001,Productos!Y$2:Y1001,"")*$G278,"")</f>
        <v/>
      </c>
      <c r="AG278" s="179" t="str">
        <f t="array" ref="AG278">IF($F278&lt;&gt;"",XLOOKUP($F278,Productos!$A:$A,Productos!Z:Z,"Revisar"),"")</f>
        <v/>
      </c>
      <c r="AH278" s="179" t="str">
        <f t="array" ref="AH278">IF($F278&lt;&gt;"", XLOOKUP($F278,Productos!$A$2:$A1001,Productos!AA$2:AA1001,"")*$G278,"")</f>
        <v/>
      </c>
      <c r="AI278" s="179" t="str">
        <f t="array" ref="AI278">IF($F278&lt;&gt;"",XLOOKUP($F278,Productos!$A:$A,Productos!AB:AB,"Revisar"),"")</f>
        <v/>
      </c>
      <c r="AJ278" s="179" t="str">
        <f t="array" ref="AJ278">IF($F278&lt;&gt;"", XLOOKUP($F278,Productos!$A$2:$A1001,Productos!AC$2:AC1001,"")*$G278,"")</f>
        <v/>
      </c>
      <c r="AK278" s="179" t="str">
        <f t="array" ref="AK278">IF($F278&lt;&gt;"",XLOOKUP($F278,Productos!$A:$A,Productos!AD:AD,"Revisar"),"")</f>
        <v/>
      </c>
      <c r="AL278" s="179" t="str">
        <f t="array" ref="AL278">IF($F278&lt;&gt;"", XLOOKUP($F278,Productos!$A$2:$A1001,Productos!AE$2:AE1001,"")*$G278,"")</f>
        <v/>
      </c>
      <c r="AM278" s="179" t="str">
        <f t="array" ref="AM278">IF($F278&lt;&gt;"",XLOOKUP($F278,Productos!$A:$A,Productos!AF:AF,"Revisar"),"")</f>
        <v/>
      </c>
      <c r="AN278" s="179" t="str">
        <f t="array" ref="AN278">IF($F278&lt;&gt;"", XLOOKUP($F278,Productos!$A$2:$A1001,Productos!AG$2:AG1001,"")*$G278,"")</f>
        <v/>
      </c>
      <c r="AO278" s="179" t="str">
        <f t="array" ref="AO278">IF($F278&lt;&gt;"",XLOOKUP($F278,Productos!$A:$A,Productos!AH:AH,"Revisar"),"")</f>
        <v/>
      </c>
      <c r="AP278" s="179" t="str">
        <f t="array" ref="AP278">IF($F278&lt;&gt;"", XLOOKUP($F278,Productos!$A$2:$A1001,Productos!AI$2:AI1001,"")*$G278,"")</f>
        <v/>
      </c>
      <c r="AQ278" s="179" t="str">
        <f t="array" ref="AQ278">IF($F278&lt;&gt;"",XLOOKUP($F278,Productos!$A:$A,Productos!AJ:AJ,"Revisar"),"")</f>
        <v/>
      </c>
      <c r="AR278" s="179" t="str">
        <f t="array" ref="AR278">IF($F278&lt;&gt;"", XLOOKUP($F278,Productos!$A$2:$A1001,Productos!AK$2:AK1001,"")*$G278,"")</f>
        <v/>
      </c>
      <c r="AS278" s="179" t="str">
        <f t="array" ref="AS278">IF($F278&lt;&gt;"",XLOOKUP($F278,Productos!$A:$A,Productos!AL:AL,"Revisar"),"")</f>
        <v/>
      </c>
      <c r="AT278" s="179" t="str">
        <f t="array" ref="AT278">IF($F278&lt;&gt;"", XLOOKUP($F278,Productos!$A$2:$A1001,Productos!AM$2:AM1001,"")*$G278,"")</f>
        <v/>
      </c>
      <c r="AU278" s="179" t="str">
        <f t="array" ref="AU278">IF($F278&lt;&gt;"",XLOOKUP($F278,Productos!$A:$A,Productos!AN:AN,"Revisar"),"")</f>
        <v/>
      </c>
      <c r="AV278" s="179" t="str">
        <f t="array" ref="AV278">IF($F278&lt;&gt;"", XLOOKUP($F278,Productos!$A$2:$A1001,Productos!AO$2:AO1001,"")*$G278,"")</f>
        <v/>
      </c>
      <c r="AW278" s="179" t="str">
        <f t="array" ref="AW278">IF($F278&lt;&gt;"",XLOOKUP($F278,Productos!$A:$A,Productos!AP:AP,"Revisar"),"")</f>
        <v/>
      </c>
      <c r="AX278" s="179" t="str">
        <f t="array" ref="AX278">IF($F278&lt;&gt;"", XLOOKUP($F278,Productos!$A$2:$A1001,Productos!AQ$2:AQ1001,"")*$G278,"")</f>
        <v/>
      </c>
      <c r="AY278" s="179" t="str">
        <f t="array" ref="AY278">IF($F278&lt;&gt;"",XLOOKUP($F278,Productos!$A:$A,Productos!AR:AR,"Revisar"),"")</f>
        <v/>
      </c>
      <c r="AZ278" s="179" t="str">
        <f t="array" ref="AZ278">IF($F278&lt;&gt;"", XLOOKUP($F278,Productos!$A$2:$A1001,Productos!AS$2:AS1001,"")*$G278,"")</f>
        <v/>
      </c>
      <c r="BA278" s="179" t="str">
        <f t="array" ref="BA278">IF($F278&lt;&gt;"",XLOOKUP($F278,Productos!$A:$A,Productos!AT:AT,"Revisar"),"")</f>
        <v/>
      </c>
      <c r="BB278" s="179" t="str">
        <f t="array" ref="BB278">IF($F278&lt;&gt;"", XLOOKUP($F278,Productos!$A$2:$A1001,Productos!AU$2:AU1001,"")*$G278,"")</f>
        <v/>
      </c>
      <c r="BC278" s="179" t="str">
        <f t="array" ref="BC278">IF($F278&lt;&gt;"",XLOOKUP($F278,Productos!$A:$A,Productos!AV:AV,"Revisar"),"")</f>
        <v/>
      </c>
      <c r="BD278" s="179" t="str">
        <f t="array" ref="BD278">IF($F278&lt;&gt;"", XLOOKUP($F278,Productos!$A$2:$A1001,Productos!AW$2:AW1001,"")*$G278,"")</f>
        <v/>
      </c>
      <c r="BE278" s="179" t="str">
        <f t="array" ref="BE278">IF($F278&lt;&gt;"",XLOOKUP($F278,Productos!$A:$A,Productos!AX:AX,"Revisar"),"")</f>
        <v/>
      </c>
      <c r="BF278" s="179" t="str">
        <f t="array" ref="BF278">IF($F278&lt;&gt;"", XLOOKUP($F278,Productos!$A$2:$A1001,Productos!AY$2:AY1001,"")*$G278,"")</f>
        <v/>
      </c>
      <c r="BG278" s="179" t="str">
        <f t="array" ref="BG278">IF($F278&lt;&gt;"",XLOOKUP($F278,Productos!$A:$A,Productos!AZ:AZ,"Revisar"),"")</f>
        <v/>
      </c>
      <c r="BH278" s="179" t="str">
        <f t="array" ref="BH278">IF($F278&lt;&gt;"", XLOOKUP($F278,Productos!$A$2:$A1001,Productos!BA$2:BA1001,"")*$G278,"")</f>
        <v/>
      </c>
      <c r="BI278" s="179" t="str">
        <f t="array" ref="BI278">IF($F278&lt;&gt;"",XLOOKUP($F278,Productos!$A:$A,Productos!BB:BB,"Revisar"),"")</f>
        <v/>
      </c>
      <c r="BJ278" s="179" t="str">
        <f t="array" ref="BJ278">IF($F278&lt;&gt;"", XLOOKUP($F278,Productos!$A$2:$A1001,Productos!BC$2:BC1001,"")*$G278,"")</f>
        <v/>
      </c>
      <c r="BK278" s="179" t="str">
        <f t="array" ref="BK278">IF($F278&lt;&gt;"",XLOOKUP($F278,Productos!$A:$A,Productos!BD:BD,"Revisar"),"")</f>
        <v/>
      </c>
      <c r="BL278" s="179" t="str">
        <f t="array" ref="BL278">IF($F278&lt;&gt;"", XLOOKUP($F278,Productos!$A$2:$A1001,Productos!BE$2:BE1001,"")*$G278,"")</f>
        <v/>
      </c>
      <c r="BM278" s="179" t="str">
        <f t="array" ref="BM278">IF($F278&lt;&gt;"",XLOOKUP($F278,Productos!$A:$A,Productos!BF:BF,"Revisar"),"")</f>
        <v/>
      </c>
      <c r="BN278" s="179" t="str">
        <f t="array" ref="BN278">IF($F278&lt;&gt;"", XLOOKUP($F278,Productos!$A$2:$A1001,Productos!BG$2:BG1001,"")*$G278,"")</f>
        <v/>
      </c>
      <c r="BO278" s="179" t="str">
        <f t="array" ref="BO278">IF($F278&lt;&gt;"",XLOOKUP($F278,Productos!$A:$A,Productos!BH:BH,"Revisar"),"")</f>
        <v/>
      </c>
      <c r="BP278" s="179" t="str">
        <f t="array" ref="BP278">IF($F278&lt;&gt;"", XLOOKUP($F278,Productos!$A$2:$A1001,Productos!BI$2:BI1001,"")*$G278,"")</f>
        <v/>
      </c>
      <c r="BQ278" s="179" t="str">
        <f t="array" ref="BQ278">IF($F278&lt;&gt;"",XLOOKUP($F278,Productos!$A:$A,Productos!BJ:BJ,"Revisar"),"")</f>
        <v/>
      </c>
      <c r="BR278" s="179" t="str">
        <f t="array" ref="BR278">IF($F278&lt;&gt;"", XLOOKUP($F278,Productos!$A$2:$A1001,Productos!BK$2:BK1001,"")*$G278,"")</f>
        <v/>
      </c>
      <c r="BS278" s="179" t="str">
        <f t="array" ref="BS278">IF($F278&lt;&gt;"",XLOOKUP($F278,Productos!$A:$A,Productos!BL:BL,"Revisar"),"")</f>
        <v/>
      </c>
      <c r="BT278" s="179" t="str">
        <f t="array" ref="BT278">IF($F278&lt;&gt;"", XLOOKUP($F278,Productos!$A$2:$A1001,Productos!BM$2:BM1001,"")*$G278,"")</f>
        <v/>
      </c>
      <c r="BU278" s="179" t="str">
        <f t="array" ref="BU278">IF($F278&lt;&gt;"",XLOOKUP($F278,Productos!$A:$A,Productos!BN:BN,"Revisar"),"")</f>
        <v/>
      </c>
      <c r="BV278" s="179" t="str">
        <f t="array" ref="BV278">IF($F278&lt;&gt;"", XLOOKUP($F278,Productos!$A$2:$A1001,Productos!BO$2:BO1001,"")*$G278,"")</f>
        <v/>
      </c>
      <c r="BW278" s="179" t="str">
        <f t="array" ref="BW278">IF($F278&lt;&gt;"",XLOOKUP($F278,Productos!$A:$A,Productos!BP:BP,"Revisar"),"")</f>
        <v/>
      </c>
      <c r="BX278" s="179" t="str">
        <f t="array" ref="BX278">IF($F278&lt;&gt;"", XLOOKUP($F278,Productos!$A$2:$A1001,Productos!BQ$2:BQ1001,"")*$G278,"")</f>
        <v/>
      </c>
      <c r="BY278" s="179" t="str">
        <f t="array" ref="BY278">IF($F278&lt;&gt;"",XLOOKUP($F278,Productos!$A:$A,Productos!BR:BR,"Revisar"),"")</f>
        <v/>
      </c>
      <c r="BZ278" s="179" t="str">
        <f t="array" ref="BZ278">IF($F278&lt;&gt;"", XLOOKUP($F278,Productos!$A$2:$A1001,Productos!BS$2:BS1001,"")*$G278,"")</f>
        <v/>
      </c>
    </row>
    <row r="279">
      <c r="A279" s="180"/>
      <c r="B279" s="181"/>
      <c r="C279" s="182"/>
      <c r="D279" s="182"/>
      <c r="E279" s="185"/>
      <c r="F279" s="186"/>
      <c r="G279" s="187"/>
      <c r="H279" s="186"/>
      <c r="I279" s="179" t="str">
        <f t="array" ref="I279">IF($F279&lt;&gt;"",XLOOKUP($F279,Productos!$A:$A,Productos!B:B,"Revisar"),"")</f>
        <v/>
      </c>
      <c r="J279" s="179" t="str">
        <f t="array" ref="J279">IF($F279&lt;&gt;"", XLOOKUP($F279,Productos!$A$2:$A1001,Productos!C$2:C1001,"")*$G279,"")</f>
        <v/>
      </c>
      <c r="K279" s="179" t="str">
        <f t="array" ref="K279">IF($F279&lt;&gt;"",XLOOKUP($F279,Productos!$A:$A,Productos!D:D,"Revisar"),"")</f>
        <v/>
      </c>
      <c r="L279" s="179" t="str">
        <f t="array" ref="L279">IF($F279&lt;&gt;"", XLOOKUP($F279,Productos!$A$2:$A1001,Productos!E$2:E1001,"")*$G279,"")</f>
        <v/>
      </c>
      <c r="M279" s="179" t="str">
        <f t="array" ref="M279">IF($F279&lt;&gt;"",XLOOKUP($F279,Productos!$A:$A,Productos!F:F,"Revisar"),"")</f>
        <v/>
      </c>
      <c r="N279" s="179" t="str">
        <f t="array" ref="N279">IF($F279&lt;&gt;"", XLOOKUP($F279,Productos!$A$2:$A1001,Productos!G$2:G1001,"")*$G279,"")</f>
        <v/>
      </c>
      <c r="O279" s="179" t="str">
        <f t="array" ref="O279">IF($F279&lt;&gt;"",XLOOKUP($F279,Productos!$A:$A,Productos!H:H,"Revisar"),"")</f>
        <v/>
      </c>
      <c r="P279" s="179" t="str">
        <f t="array" ref="P279">IF($F279&lt;&gt;"", XLOOKUP($F279,Productos!$A$2:$A1001,Productos!I$2:I1001,"")*$G279,"")</f>
        <v/>
      </c>
      <c r="Q279" s="179" t="str">
        <f t="array" ref="Q279">IF($F279&lt;&gt;"",XLOOKUP($F279,Productos!$A:$A,Productos!J:J,"Revisar"),"")</f>
        <v/>
      </c>
      <c r="R279" s="179" t="str">
        <f t="array" ref="R279">IF($F279&lt;&gt;"", XLOOKUP($F279,Productos!$A$2:$A1001,Productos!K$2:K1001,"")*$G279,"")</f>
        <v/>
      </c>
      <c r="S279" s="179" t="str">
        <f t="array" ref="S279">IF($F279&lt;&gt;"",XLOOKUP($F279,Productos!$A:$A,Productos!L:L,"Revisar"),"")</f>
        <v/>
      </c>
      <c r="T279" s="179" t="str">
        <f t="array" ref="T279">IF($F279&lt;&gt;"", XLOOKUP($F279,Productos!$A$2:$A1001,Productos!M$2:M1001,"")*$G279,"")</f>
        <v/>
      </c>
      <c r="U279" s="179" t="str">
        <f t="array" ref="U279">IF($F279&lt;&gt;"",XLOOKUP($F279,Productos!$A:$A,Productos!N:N,"Revisar"),"")</f>
        <v/>
      </c>
      <c r="V279" s="179" t="str">
        <f t="array" ref="V279">IF($F279&lt;&gt;"", XLOOKUP($F279,Productos!$A$2:$A1001,Productos!O$2:O1001,"")*$G279,"")</f>
        <v/>
      </c>
      <c r="W279" s="179" t="str">
        <f t="array" ref="W279">IF($F279&lt;&gt;"",XLOOKUP($F279,Productos!$A:$A,Productos!P:P,"Revisar"),"")</f>
        <v/>
      </c>
      <c r="X279" s="179" t="str">
        <f t="array" ref="X279">IF($F279&lt;&gt;"", XLOOKUP($F279,Productos!$A$2:$A1001,Productos!Q$2:Q1001,"")*$G279,"")</f>
        <v/>
      </c>
      <c r="Y279" s="179" t="str">
        <f t="array" ref="Y279">IF($F279&lt;&gt;"",XLOOKUP($F279,Productos!$A:$A,Productos!R:R,"Revisar"),"")</f>
        <v/>
      </c>
      <c r="Z279" s="179" t="str">
        <f t="array" ref="Z279">IF($F279&lt;&gt;"", XLOOKUP($F279,Productos!$A$2:$A1001,Productos!S$2:S1001,"")*$G279,"")</f>
        <v/>
      </c>
      <c r="AA279" s="179" t="str">
        <f t="array" ref="AA279">IF($F279&lt;&gt;"",XLOOKUP($F279,Productos!$A:$A,Productos!T:T,"Revisar"),"")</f>
        <v/>
      </c>
      <c r="AB279" s="179" t="str">
        <f t="array" ref="AB279">IF($F279&lt;&gt;"", XLOOKUP($F279,Productos!$A$2:$A1001,Productos!U$2:U1001,"")*$G279,"")</f>
        <v/>
      </c>
      <c r="AC279" s="179" t="str">
        <f t="array" ref="AC279">IF($F279&lt;&gt;"",XLOOKUP($F279,Productos!$A:$A,Productos!V:V,"Revisar"),"")</f>
        <v/>
      </c>
      <c r="AD279" s="179" t="str">
        <f t="array" ref="AD279">IF($F279&lt;&gt;"", XLOOKUP($F279,Productos!$A$2:$A1001,Productos!W$2:W1001,"")*$G279,"")</f>
        <v/>
      </c>
      <c r="AE279" s="179" t="str">
        <f t="array" ref="AE279">IF($F279&lt;&gt;"",XLOOKUP($F279,Productos!$A:$A,Productos!X:X,"Revisar"),"")</f>
        <v/>
      </c>
      <c r="AF279" s="179" t="str">
        <f t="array" ref="AF279">IF($F279&lt;&gt;"", XLOOKUP($F279,Productos!$A$2:$A1001,Productos!Y$2:Y1001,"")*$G279,"")</f>
        <v/>
      </c>
      <c r="AG279" s="179" t="str">
        <f t="array" ref="AG279">IF($F279&lt;&gt;"",XLOOKUP($F279,Productos!$A:$A,Productos!Z:Z,"Revisar"),"")</f>
        <v/>
      </c>
      <c r="AH279" s="179" t="str">
        <f t="array" ref="AH279">IF($F279&lt;&gt;"", XLOOKUP($F279,Productos!$A$2:$A1001,Productos!AA$2:AA1001,"")*$G279,"")</f>
        <v/>
      </c>
      <c r="AI279" s="179" t="str">
        <f t="array" ref="AI279">IF($F279&lt;&gt;"",XLOOKUP($F279,Productos!$A:$A,Productos!AB:AB,"Revisar"),"")</f>
        <v/>
      </c>
      <c r="AJ279" s="179" t="str">
        <f t="array" ref="AJ279">IF($F279&lt;&gt;"", XLOOKUP($F279,Productos!$A$2:$A1001,Productos!AC$2:AC1001,"")*$G279,"")</f>
        <v/>
      </c>
      <c r="AK279" s="179" t="str">
        <f t="array" ref="AK279">IF($F279&lt;&gt;"",XLOOKUP($F279,Productos!$A:$A,Productos!AD:AD,"Revisar"),"")</f>
        <v/>
      </c>
      <c r="AL279" s="179" t="str">
        <f t="array" ref="AL279">IF($F279&lt;&gt;"", XLOOKUP($F279,Productos!$A$2:$A1001,Productos!AE$2:AE1001,"")*$G279,"")</f>
        <v/>
      </c>
      <c r="AM279" s="179" t="str">
        <f t="array" ref="AM279">IF($F279&lt;&gt;"",XLOOKUP($F279,Productos!$A:$A,Productos!AF:AF,"Revisar"),"")</f>
        <v/>
      </c>
      <c r="AN279" s="179" t="str">
        <f t="array" ref="AN279">IF($F279&lt;&gt;"", XLOOKUP($F279,Productos!$A$2:$A1001,Productos!AG$2:AG1001,"")*$G279,"")</f>
        <v/>
      </c>
      <c r="AO279" s="179" t="str">
        <f t="array" ref="AO279">IF($F279&lt;&gt;"",XLOOKUP($F279,Productos!$A:$A,Productos!AH:AH,"Revisar"),"")</f>
        <v/>
      </c>
      <c r="AP279" s="179" t="str">
        <f t="array" ref="AP279">IF($F279&lt;&gt;"", XLOOKUP($F279,Productos!$A$2:$A1001,Productos!AI$2:AI1001,"")*$G279,"")</f>
        <v/>
      </c>
      <c r="AQ279" s="179" t="str">
        <f t="array" ref="AQ279">IF($F279&lt;&gt;"",XLOOKUP($F279,Productos!$A:$A,Productos!AJ:AJ,"Revisar"),"")</f>
        <v/>
      </c>
      <c r="AR279" s="179" t="str">
        <f t="array" ref="AR279">IF($F279&lt;&gt;"", XLOOKUP($F279,Productos!$A$2:$A1001,Productos!AK$2:AK1001,"")*$G279,"")</f>
        <v/>
      </c>
      <c r="AS279" s="179" t="str">
        <f t="array" ref="AS279">IF($F279&lt;&gt;"",XLOOKUP($F279,Productos!$A:$A,Productos!AL:AL,"Revisar"),"")</f>
        <v/>
      </c>
      <c r="AT279" s="179" t="str">
        <f t="array" ref="AT279">IF($F279&lt;&gt;"", XLOOKUP($F279,Productos!$A$2:$A1001,Productos!AM$2:AM1001,"")*$G279,"")</f>
        <v/>
      </c>
      <c r="AU279" s="179" t="str">
        <f t="array" ref="AU279">IF($F279&lt;&gt;"",XLOOKUP($F279,Productos!$A:$A,Productos!AN:AN,"Revisar"),"")</f>
        <v/>
      </c>
      <c r="AV279" s="179" t="str">
        <f t="array" ref="AV279">IF($F279&lt;&gt;"", XLOOKUP($F279,Productos!$A$2:$A1001,Productos!AO$2:AO1001,"")*$G279,"")</f>
        <v/>
      </c>
      <c r="AW279" s="179" t="str">
        <f t="array" ref="AW279">IF($F279&lt;&gt;"",XLOOKUP($F279,Productos!$A:$A,Productos!AP:AP,"Revisar"),"")</f>
        <v/>
      </c>
      <c r="AX279" s="179" t="str">
        <f t="array" ref="AX279">IF($F279&lt;&gt;"", XLOOKUP($F279,Productos!$A$2:$A1001,Productos!AQ$2:AQ1001,"")*$G279,"")</f>
        <v/>
      </c>
      <c r="AY279" s="179" t="str">
        <f t="array" ref="AY279">IF($F279&lt;&gt;"",XLOOKUP($F279,Productos!$A:$A,Productos!AR:AR,"Revisar"),"")</f>
        <v/>
      </c>
      <c r="AZ279" s="179" t="str">
        <f t="array" ref="AZ279">IF($F279&lt;&gt;"", XLOOKUP($F279,Productos!$A$2:$A1001,Productos!AS$2:AS1001,"")*$G279,"")</f>
        <v/>
      </c>
      <c r="BA279" s="179" t="str">
        <f t="array" ref="BA279">IF($F279&lt;&gt;"",XLOOKUP($F279,Productos!$A:$A,Productos!AT:AT,"Revisar"),"")</f>
        <v/>
      </c>
      <c r="BB279" s="179" t="str">
        <f t="array" ref="BB279">IF($F279&lt;&gt;"", XLOOKUP($F279,Productos!$A$2:$A1001,Productos!AU$2:AU1001,"")*$G279,"")</f>
        <v/>
      </c>
      <c r="BC279" s="179" t="str">
        <f t="array" ref="BC279">IF($F279&lt;&gt;"",XLOOKUP($F279,Productos!$A:$A,Productos!AV:AV,"Revisar"),"")</f>
        <v/>
      </c>
      <c r="BD279" s="179" t="str">
        <f t="array" ref="BD279">IF($F279&lt;&gt;"", XLOOKUP($F279,Productos!$A$2:$A1001,Productos!AW$2:AW1001,"")*$G279,"")</f>
        <v/>
      </c>
      <c r="BE279" s="179" t="str">
        <f t="array" ref="BE279">IF($F279&lt;&gt;"",XLOOKUP($F279,Productos!$A:$A,Productos!AX:AX,"Revisar"),"")</f>
        <v/>
      </c>
      <c r="BF279" s="179" t="str">
        <f t="array" ref="BF279">IF($F279&lt;&gt;"", XLOOKUP($F279,Productos!$A$2:$A1001,Productos!AY$2:AY1001,"")*$G279,"")</f>
        <v/>
      </c>
      <c r="BG279" s="179" t="str">
        <f t="array" ref="BG279">IF($F279&lt;&gt;"",XLOOKUP($F279,Productos!$A:$A,Productos!AZ:AZ,"Revisar"),"")</f>
        <v/>
      </c>
      <c r="BH279" s="179" t="str">
        <f t="array" ref="BH279">IF($F279&lt;&gt;"", XLOOKUP($F279,Productos!$A$2:$A1001,Productos!BA$2:BA1001,"")*$G279,"")</f>
        <v/>
      </c>
      <c r="BI279" s="179" t="str">
        <f t="array" ref="BI279">IF($F279&lt;&gt;"",XLOOKUP($F279,Productos!$A:$A,Productos!BB:BB,"Revisar"),"")</f>
        <v/>
      </c>
      <c r="BJ279" s="179" t="str">
        <f t="array" ref="BJ279">IF($F279&lt;&gt;"", XLOOKUP($F279,Productos!$A$2:$A1001,Productos!BC$2:BC1001,"")*$G279,"")</f>
        <v/>
      </c>
      <c r="BK279" s="179" t="str">
        <f t="array" ref="BK279">IF($F279&lt;&gt;"",XLOOKUP($F279,Productos!$A:$A,Productos!BD:BD,"Revisar"),"")</f>
        <v/>
      </c>
      <c r="BL279" s="179" t="str">
        <f t="array" ref="BL279">IF($F279&lt;&gt;"", XLOOKUP($F279,Productos!$A$2:$A1001,Productos!BE$2:BE1001,"")*$G279,"")</f>
        <v/>
      </c>
      <c r="BM279" s="179" t="str">
        <f t="array" ref="BM279">IF($F279&lt;&gt;"",XLOOKUP($F279,Productos!$A:$A,Productos!BF:BF,"Revisar"),"")</f>
        <v/>
      </c>
      <c r="BN279" s="179" t="str">
        <f t="array" ref="BN279">IF($F279&lt;&gt;"", XLOOKUP($F279,Productos!$A$2:$A1001,Productos!BG$2:BG1001,"")*$G279,"")</f>
        <v/>
      </c>
      <c r="BO279" s="179" t="str">
        <f t="array" ref="BO279">IF($F279&lt;&gt;"",XLOOKUP($F279,Productos!$A:$A,Productos!BH:BH,"Revisar"),"")</f>
        <v/>
      </c>
      <c r="BP279" s="179" t="str">
        <f t="array" ref="BP279">IF($F279&lt;&gt;"", XLOOKUP($F279,Productos!$A$2:$A1001,Productos!BI$2:BI1001,"")*$G279,"")</f>
        <v/>
      </c>
      <c r="BQ279" s="179" t="str">
        <f t="array" ref="BQ279">IF($F279&lt;&gt;"",XLOOKUP($F279,Productos!$A:$A,Productos!BJ:BJ,"Revisar"),"")</f>
        <v/>
      </c>
      <c r="BR279" s="179" t="str">
        <f t="array" ref="BR279">IF($F279&lt;&gt;"", XLOOKUP($F279,Productos!$A$2:$A1001,Productos!BK$2:BK1001,"")*$G279,"")</f>
        <v/>
      </c>
      <c r="BS279" s="179" t="str">
        <f t="array" ref="BS279">IF($F279&lt;&gt;"",XLOOKUP($F279,Productos!$A:$A,Productos!BL:BL,"Revisar"),"")</f>
        <v/>
      </c>
      <c r="BT279" s="179" t="str">
        <f t="array" ref="BT279">IF($F279&lt;&gt;"", XLOOKUP($F279,Productos!$A$2:$A1001,Productos!BM$2:BM1001,"")*$G279,"")</f>
        <v/>
      </c>
      <c r="BU279" s="179" t="str">
        <f t="array" ref="BU279">IF($F279&lt;&gt;"",XLOOKUP($F279,Productos!$A:$A,Productos!BN:BN,"Revisar"),"")</f>
        <v/>
      </c>
      <c r="BV279" s="179" t="str">
        <f t="array" ref="BV279">IF($F279&lt;&gt;"", XLOOKUP($F279,Productos!$A$2:$A1001,Productos!BO$2:BO1001,"")*$G279,"")</f>
        <v/>
      </c>
      <c r="BW279" s="179" t="str">
        <f t="array" ref="BW279">IF($F279&lt;&gt;"",XLOOKUP($F279,Productos!$A:$A,Productos!BP:BP,"Revisar"),"")</f>
        <v/>
      </c>
      <c r="BX279" s="179" t="str">
        <f t="array" ref="BX279">IF($F279&lt;&gt;"", XLOOKUP($F279,Productos!$A$2:$A1001,Productos!BQ$2:BQ1001,"")*$G279,"")</f>
        <v/>
      </c>
      <c r="BY279" s="179" t="str">
        <f t="array" ref="BY279">IF($F279&lt;&gt;"",XLOOKUP($F279,Productos!$A:$A,Productos!BR:BR,"Revisar"),"")</f>
        <v/>
      </c>
      <c r="BZ279" s="179" t="str">
        <f t="array" ref="BZ279">IF($F279&lt;&gt;"", XLOOKUP($F279,Productos!$A$2:$A1001,Productos!BS$2:BS1001,"")*$G279,"")</f>
        <v/>
      </c>
    </row>
    <row r="280">
      <c r="A280" s="180"/>
      <c r="B280" s="181"/>
      <c r="C280" s="182"/>
      <c r="D280" s="182"/>
      <c r="E280" s="185"/>
      <c r="F280" s="186"/>
      <c r="G280" s="187"/>
      <c r="H280" s="186"/>
      <c r="I280" s="179" t="str">
        <f t="array" ref="I280">IF($F280&lt;&gt;"",XLOOKUP($F280,Productos!$A:$A,Productos!B:B,"Revisar"),"")</f>
        <v/>
      </c>
      <c r="J280" s="179" t="str">
        <f t="array" ref="J280">IF($F280&lt;&gt;"", XLOOKUP($F280,Productos!$A$2:$A1001,Productos!C$2:C1001,"")*$G280,"")</f>
        <v/>
      </c>
      <c r="K280" s="179" t="str">
        <f t="array" ref="K280">IF($F280&lt;&gt;"",XLOOKUP($F280,Productos!$A:$A,Productos!D:D,"Revisar"),"")</f>
        <v/>
      </c>
      <c r="L280" s="179" t="str">
        <f t="array" ref="L280">IF($F280&lt;&gt;"", XLOOKUP($F280,Productos!$A$2:$A1001,Productos!E$2:E1001,"")*$G280,"")</f>
        <v/>
      </c>
      <c r="M280" s="179" t="str">
        <f t="array" ref="M280">IF($F280&lt;&gt;"",XLOOKUP($F280,Productos!$A:$A,Productos!F:F,"Revisar"),"")</f>
        <v/>
      </c>
      <c r="N280" s="179" t="str">
        <f t="array" ref="N280">IF($F280&lt;&gt;"", XLOOKUP($F280,Productos!$A$2:$A1001,Productos!G$2:G1001,"")*$G280,"")</f>
        <v/>
      </c>
      <c r="O280" s="179" t="str">
        <f t="array" ref="O280">IF($F280&lt;&gt;"",XLOOKUP($F280,Productos!$A:$A,Productos!H:H,"Revisar"),"")</f>
        <v/>
      </c>
      <c r="P280" s="179" t="str">
        <f t="array" ref="P280">IF($F280&lt;&gt;"", XLOOKUP($F280,Productos!$A$2:$A1001,Productos!I$2:I1001,"")*$G280,"")</f>
        <v/>
      </c>
      <c r="Q280" s="179" t="str">
        <f t="array" ref="Q280">IF($F280&lt;&gt;"",XLOOKUP($F280,Productos!$A:$A,Productos!J:J,"Revisar"),"")</f>
        <v/>
      </c>
      <c r="R280" s="179" t="str">
        <f t="array" ref="R280">IF($F280&lt;&gt;"", XLOOKUP($F280,Productos!$A$2:$A1001,Productos!K$2:K1001,"")*$G280,"")</f>
        <v/>
      </c>
      <c r="S280" s="179" t="str">
        <f t="array" ref="S280">IF($F280&lt;&gt;"",XLOOKUP($F280,Productos!$A:$A,Productos!L:L,"Revisar"),"")</f>
        <v/>
      </c>
      <c r="T280" s="179" t="str">
        <f t="array" ref="T280">IF($F280&lt;&gt;"", XLOOKUP($F280,Productos!$A$2:$A1001,Productos!M$2:M1001,"")*$G280,"")</f>
        <v/>
      </c>
      <c r="U280" s="179" t="str">
        <f t="array" ref="U280">IF($F280&lt;&gt;"",XLOOKUP($F280,Productos!$A:$A,Productos!N:N,"Revisar"),"")</f>
        <v/>
      </c>
      <c r="V280" s="179" t="str">
        <f t="array" ref="V280">IF($F280&lt;&gt;"", XLOOKUP($F280,Productos!$A$2:$A1001,Productos!O$2:O1001,"")*$G280,"")</f>
        <v/>
      </c>
      <c r="W280" s="179" t="str">
        <f t="array" ref="W280">IF($F280&lt;&gt;"",XLOOKUP($F280,Productos!$A:$A,Productos!P:P,"Revisar"),"")</f>
        <v/>
      </c>
      <c r="X280" s="179" t="str">
        <f t="array" ref="X280">IF($F280&lt;&gt;"", XLOOKUP($F280,Productos!$A$2:$A1001,Productos!Q$2:Q1001,"")*$G280,"")</f>
        <v/>
      </c>
      <c r="Y280" s="179" t="str">
        <f t="array" ref="Y280">IF($F280&lt;&gt;"",XLOOKUP($F280,Productos!$A:$A,Productos!R:R,"Revisar"),"")</f>
        <v/>
      </c>
      <c r="Z280" s="179" t="str">
        <f t="array" ref="Z280">IF($F280&lt;&gt;"", XLOOKUP($F280,Productos!$A$2:$A1001,Productos!S$2:S1001,"")*$G280,"")</f>
        <v/>
      </c>
      <c r="AA280" s="179" t="str">
        <f t="array" ref="AA280">IF($F280&lt;&gt;"",XLOOKUP($F280,Productos!$A:$A,Productos!T:T,"Revisar"),"")</f>
        <v/>
      </c>
      <c r="AB280" s="179" t="str">
        <f t="array" ref="AB280">IF($F280&lt;&gt;"", XLOOKUP($F280,Productos!$A$2:$A1001,Productos!U$2:U1001,"")*$G280,"")</f>
        <v/>
      </c>
      <c r="AC280" s="179" t="str">
        <f t="array" ref="AC280">IF($F280&lt;&gt;"",XLOOKUP($F280,Productos!$A:$A,Productos!V:V,"Revisar"),"")</f>
        <v/>
      </c>
      <c r="AD280" s="179" t="str">
        <f t="array" ref="AD280">IF($F280&lt;&gt;"", XLOOKUP($F280,Productos!$A$2:$A1001,Productos!W$2:W1001,"")*$G280,"")</f>
        <v/>
      </c>
      <c r="AE280" s="179" t="str">
        <f t="array" ref="AE280">IF($F280&lt;&gt;"",XLOOKUP($F280,Productos!$A:$A,Productos!X:X,"Revisar"),"")</f>
        <v/>
      </c>
      <c r="AF280" s="179" t="str">
        <f t="array" ref="AF280">IF($F280&lt;&gt;"", XLOOKUP($F280,Productos!$A$2:$A1001,Productos!Y$2:Y1001,"")*$G280,"")</f>
        <v/>
      </c>
      <c r="AG280" s="179" t="str">
        <f t="array" ref="AG280">IF($F280&lt;&gt;"",XLOOKUP($F280,Productos!$A:$A,Productos!Z:Z,"Revisar"),"")</f>
        <v/>
      </c>
      <c r="AH280" s="179" t="str">
        <f t="array" ref="AH280">IF($F280&lt;&gt;"", XLOOKUP($F280,Productos!$A$2:$A1001,Productos!AA$2:AA1001,"")*$G280,"")</f>
        <v/>
      </c>
      <c r="AI280" s="179" t="str">
        <f t="array" ref="AI280">IF($F280&lt;&gt;"",XLOOKUP($F280,Productos!$A:$A,Productos!AB:AB,"Revisar"),"")</f>
        <v/>
      </c>
      <c r="AJ280" s="179" t="str">
        <f t="array" ref="AJ280">IF($F280&lt;&gt;"", XLOOKUP($F280,Productos!$A$2:$A1001,Productos!AC$2:AC1001,"")*$G280,"")</f>
        <v/>
      </c>
      <c r="AK280" s="179" t="str">
        <f t="array" ref="AK280">IF($F280&lt;&gt;"",XLOOKUP($F280,Productos!$A:$A,Productos!AD:AD,"Revisar"),"")</f>
        <v/>
      </c>
      <c r="AL280" s="179" t="str">
        <f t="array" ref="AL280">IF($F280&lt;&gt;"", XLOOKUP($F280,Productos!$A$2:$A1001,Productos!AE$2:AE1001,"")*$G280,"")</f>
        <v/>
      </c>
      <c r="AM280" s="179" t="str">
        <f t="array" ref="AM280">IF($F280&lt;&gt;"",XLOOKUP($F280,Productos!$A:$A,Productos!AF:AF,"Revisar"),"")</f>
        <v/>
      </c>
      <c r="AN280" s="179" t="str">
        <f t="array" ref="AN280">IF($F280&lt;&gt;"", XLOOKUP($F280,Productos!$A$2:$A1001,Productos!AG$2:AG1001,"")*$G280,"")</f>
        <v/>
      </c>
      <c r="AO280" s="179" t="str">
        <f t="array" ref="AO280">IF($F280&lt;&gt;"",XLOOKUP($F280,Productos!$A:$A,Productos!AH:AH,"Revisar"),"")</f>
        <v/>
      </c>
      <c r="AP280" s="179" t="str">
        <f t="array" ref="AP280">IF($F280&lt;&gt;"", XLOOKUP($F280,Productos!$A$2:$A1001,Productos!AI$2:AI1001,"")*$G280,"")</f>
        <v/>
      </c>
      <c r="AQ280" s="179" t="str">
        <f t="array" ref="AQ280">IF($F280&lt;&gt;"",XLOOKUP($F280,Productos!$A:$A,Productos!AJ:AJ,"Revisar"),"")</f>
        <v/>
      </c>
      <c r="AR280" s="179" t="str">
        <f t="array" ref="AR280">IF($F280&lt;&gt;"", XLOOKUP($F280,Productos!$A$2:$A1001,Productos!AK$2:AK1001,"")*$G280,"")</f>
        <v/>
      </c>
      <c r="AS280" s="179" t="str">
        <f t="array" ref="AS280">IF($F280&lt;&gt;"",XLOOKUP($F280,Productos!$A:$A,Productos!AL:AL,"Revisar"),"")</f>
        <v/>
      </c>
      <c r="AT280" s="179" t="str">
        <f t="array" ref="AT280">IF($F280&lt;&gt;"", XLOOKUP($F280,Productos!$A$2:$A1001,Productos!AM$2:AM1001,"")*$G280,"")</f>
        <v/>
      </c>
      <c r="AU280" s="179" t="str">
        <f t="array" ref="AU280">IF($F280&lt;&gt;"",XLOOKUP($F280,Productos!$A:$A,Productos!AN:AN,"Revisar"),"")</f>
        <v/>
      </c>
      <c r="AV280" s="179" t="str">
        <f t="array" ref="AV280">IF($F280&lt;&gt;"", XLOOKUP($F280,Productos!$A$2:$A1001,Productos!AO$2:AO1001,"")*$G280,"")</f>
        <v/>
      </c>
      <c r="AW280" s="179" t="str">
        <f t="array" ref="AW280">IF($F280&lt;&gt;"",XLOOKUP($F280,Productos!$A:$A,Productos!AP:AP,"Revisar"),"")</f>
        <v/>
      </c>
      <c r="AX280" s="179" t="str">
        <f t="array" ref="AX280">IF($F280&lt;&gt;"", XLOOKUP($F280,Productos!$A$2:$A1001,Productos!AQ$2:AQ1001,"")*$G280,"")</f>
        <v/>
      </c>
      <c r="AY280" s="179" t="str">
        <f t="array" ref="AY280">IF($F280&lt;&gt;"",XLOOKUP($F280,Productos!$A:$A,Productos!AR:AR,"Revisar"),"")</f>
        <v/>
      </c>
      <c r="AZ280" s="179" t="str">
        <f t="array" ref="AZ280">IF($F280&lt;&gt;"", XLOOKUP($F280,Productos!$A$2:$A1001,Productos!AS$2:AS1001,"")*$G280,"")</f>
        <v/>
      </c>
      <c r="BA280" s="179" t="str">
        <f t="array" ref="BA280">IF($F280&lt;&gt;"",XLOOKUP($F280,Productos!$A:$A,Productos!AT:AT,"Revisar"),"")</f>
        <v/>
      </c>
      <c r="BB280" s="179" t="str">
        <f t="array" ref="BB280">IF($F280&lt;&gt;"", XLOOKUP($F280,Productos!$A$2:$A1001,Productos!AU$2:AU1001,"")*$G280,"")</f>
        <v/>
      </c>
      <c r="BC280" s="179" t="str">
        <f t="array" ref="BC280">IF($F280&lt;&gt;"",XLOOKUP($F280,Productos!$A:$A,Productos!AV:AV,"Revisar"),"")</f>
        <v/>
      </c>
      <c r="BD280" s="179" t="str">
        <f t="array" ref="BD280">IF($F280&lt;&gt;"", XLOOKUP($F280,Productos!$A$2:$A1001,Productos!AW$2:AW1001,"")*$G280,"")</f>
        <v/>
      </c>
      <c r="BE280" s="179" t="str">
        <f t="array" ref="BE280">IF($F280&lt;&gt;"",XLOOKUP($F280,Productos!$A:$A,Productos!AX:AX,"Revisar"),"")</f>
        <v/>
      </c>
      <c r="BF280" s="179" t="str">
        <f t="array" ref="BF280">IF($F280&lt;&gt;"", XLOOKUP($F280,Productos!$A$2:$A1001,Productos!AY$2:AY1001,"")*$G280,"")</f>
        <v/>
      </c>
      <c r="BG280" s="179" t="str">
        <f t="array" ref="BG280">IF($F280&lt;&gt;"",XLOOKUP($F280,Productos!$A:$A,Productos!AZ:AZ,"Revisar"),"")</f>
        <v/>
      </c>
      <c r="BH280" s="179" t="str">
        <f t="array" ref="BH280">IF($F280&lt;&gt;"", XLOOKUP($F280,Productos!$A$2:$A1001,Productos!BA$2:BA1001,"")*$G280,"")</f>
        <v/>
      </c>
      <c r="BI280" s="179" t="str">
        <f t="array" ref="BI280">IF($F280&lt;&gt;"",XLOOKUP($F280,Productos!$A:$A,Productos!BB:BB,"Revisar"),"")</f>
        <v/>
      </c>
      <c r="BJ280" s="179" t="str">
        <f t="array" ref="BJ280">IF($F280&lt;&gt;"", XLOOKUP($F280,Productos!$A$2:$A1001,Productos!BC$2:BC1001,"")*$G280,"")</f>
        <v/>
      </c>
      <c r="BK280" s="179" t="str">
        <f t="array" ref="BK280">IF($F280&lt;&gt;"",XLOOKUP($F280,Productos!$A:$A,Productos!BD:BD,"Revisar"),"")</f>
        <v/>
      </c>
      <c r="BL280" s="179" t="str">
        <f t="array" ref="BL280">IF($F280&lt;&gt;"", XLOOKUP($F280,Productos!$A$2:$A1001,Productos!BE$2:BE1001,"")*$G280,"")</f>
        <v/>
      </c>
      <c r="BM280" s="179" t="str">
        <f t="array" ref="BM280">IF($F280&lt;&gt;"",XLOOKUP($F280,Productos!$A:$A,Productos!BF:BF,"Revisar"),"")</f>
        <v/>
      </c>
      <c r="BN280" s="179" t="str">
        <f t="array" ref="BN280">IF($F280&lt;&gt;"", XLOOKUP($F280,Productos!$A$2:$A1001,Productos!BG$2:BG1001,"")*$G280,"")</f>
        <v/>
      </c>
      <c r="BO280" s="179" t="str">
        <f t="array" ref="BO280">IF($F280&lt;&gt;"",XLOOKUP($F280,Productos!$A:$A,Productos!BH:BH,"Revisar"),"")</f>
        <v/>
      </c>
      <c r="BP280" s="179" t="str">
        <f t="array" ref="BP280">IF($F280&lt;&gt;"", XLOOKUP($F280,Productos!$A$2:$A1001,Productos!BI$2:BI1001,"")*$G280,"")</f>
        <v/>
      </c>
      <c r="BQ280" s="179" t="str">
        <f t="array" ref="BQ280">IF($F280&lt;&gt;"",XLOOKUP($F280,Productos!$A:$A,Productos!BJ:BJ,"Revisar"),"")</f>
        <v/>
      </c>
      <c r="BR280" s="179" t="str">
        <f t="array" ref="BR280">IF($F280&lt;&gt;"", XLOOKUP($F280,Productos!$A$2:$A1001,Productos!BK$2:BK1001,"")*$G280,"")</f>
        <v/>
      </c>
      <c r="BS280" s="179" t="str">
        <f t="array" ref="BS280">IF($F280&lt;&gt;"",XLOOKUP($F280,Productos!$A:$A,Productos!BL:BL,"Revisar"),"")</f>
        <v/>
      </c>
      <c r="BT280" s="179" t="str">
        <f t="array" ref="BT280">IF($F280&lt;&gt;"", XLOOKUP($F280,Productos!$A$2:$A1001,Productos!BM$2:BM1001,"")*$G280,"")</f>
        <v/>
      </c>
      <c r="BU280" s="179" t="str">
        <f t="array" ref="BU280">IF($F280&lt;&gt;"",XLOOKUP($F280,Productos!$A:$A,Productos!BN:BN,"Revisar"),"")</f>
        <v/>
      </c>
      <c r="BV280" s="179" t="str">
        <f t="array" ref="BV280">IF($F280&lt;&gt;"", XLOOKUP($F280,Productos!$A$2:$A1001,Productos!BO$2:BO1001,"")*$G280,"")</f>
        <v/>
      </c>
      <c r="BW280" s="179" t="str">
        <f t="array" ref="BW280">IF($F280&lt;&gt;"",XLOOKUP($F280,Productos!$A:$A,Productos!BP:BP,"Revisar"),"")</f>
        <v/>
      </c>
      <c r="BX280" s="179" t="str">
        <f t="array" ref="BX280">IF($F280&lt;&gt;"", XLOOKUP($F280,Productos!$A$2:$A1001,Productos!BQ$2:BQ1001,"")*$G280,"")</f>
        <v/>
      </c>
      <c r="BY280" s="179" t="str">
        <f t="array" ref="BY280">IF($F280&lt;&gt;"",XLOOKUP($F280,Productos!$A:$A,Productos!BR:BR,"Revisar"),"")</f>
        <v/>
      </c>
      <c r="BZ280" s="179" t="str">
        <f t="array" ref="BZ280">IF($F280&lt;&gt;"", XLOOKUP($F280,Productos!$A$2:$A1001,Productos!BS$2:BS1001,"")*$G280,"")</f>
        <v/>
      </c>
    </row>
    <row r="281">
      <c r="A281" s="180"/>
      <c r="B281" s="181"/>
      <c r="C281" s="182"/>
      <c r="D281" s="182"/>
      <c r="E281" s="185"/>
      <c r="F281" s="186"/>
      <c r="G281" s="187"/>
      <c r="H281" s="186"/>
      <c r="I281" s="179" t="str">
        <f t="array" ref="I281">IF($F281&lt;&gt;"",XLOOKUP($F281,Productos!$A:$A,Productos!B:B,"Revisar"),"")</f>
        <v/>
      </c>
      <c r="J281" s="179" t="str">
        <f t="array" ref="J281">IF($F281&lt;&gt;"", XLOOKUP($F281,Productos!$A$2:$A1001,Productos!C$2:C1001,"")*$G281,"")</f>
        <v/>
      </c>
      <c r="K281" s="179" t="str">
        <f t="array" ref="K281">IF($F281&lt;&gt;"",XLOOKUP($F281,Productos!$A:$A,Productos!D:D,"Revisar"),"")</f>
        <v/>
      </c>
      <c r="L281" s="179" t="str">
        <f t="array" ref="L281">IF($F281&lt;&gt;"", XLOOKUP($F281,Productos!$A$2:$A1001,Productos!E$2:E1001,"")*$G281,"")</f>
        <v/>
      </c>
      <c r="M281" s="179" t="str">
        <f t="array" ref="M281">IF($F281&lt;&gt;"",XLOOKUP($F281,Productos!$A:$A,Productos!F:F,"Revisar"),"")</f>
        <v/>
      </c>
      <c r="N281" s="179" t="str">
        <f t="array" ref="N281">IF($F281&lt;&gt;"", XLOOKUP($F281,Productos!$A$2:$A1001,Productos!G$2:G1001,"")*$G281,"")</f>
        <v/>
      </c>
      <c r="O281" s="179" t="str">
        <f t="array" ref="O281">IF($F281&lt;&gt;"",XLOOKUP($F281,Productos!$A:$A,Productos!H:H,"Revisar"),"")</f>
        <v/>
      </c>
      <c r="P281" s="179" t="str">
        <f t="array" ref="P281">IF($F281&lt;&gt;"", XLOOKUP($F281,Productos!$A$2:$A1001,Productos!I$2:I1001,"")*$G281,"")</f>
        <v/>
      </c>
      <c r="Q281" s="179" t="str">
        <f t="array" ref="Q281">IF($F281&lt;&gt;"",XLOOKUP($F281,Productos!$A:$A,Productos!J:J,"Revisar"),"")</f>
        <v/>
      </c>
      <c r="R281" s="179" t="str">
        <f t="array" ref="R281">IF($F281&lt;&gt;"", XLOOKUP($F281,Productos!$A$2:$A1001,Productos!K$2:K1001,"")*$G281,"")</f>
        <v/>
      </c>
      <c r="S281" s="179" t="str">
        <f t="array" ref="S281">IF($F281&lt;&gt;"",XLOOKUP($F281,Productos!$A:$A,Productos!L:L,"Revisar"),"")</f>
        <v/>
      </c>
      <c r="T281" s="179" t="str">
        <f t="array" ref="T281">IF($F281&lt;&gt;"", XLOOKUP($F281,Productos!$A$2:$A1001,Productos!M$2:M1001,"")*$G281,"")</f>
        <v/>
      </c>
      <c r="U281" s="179" t="str">
        <f t="array" ref="U281">IF($F281&lt;&gt;"",XLOOKUP($F281,Productos!$A:$A,Productos!N:N,"Revisar"),"")</f>
        <v/>
      </c>
      <c r="V281" s="179" t="str">
        <f t="array" ref="V281">IF($F281&lt;&gt;"", XLOOKUP($F281,Productos!$A$2:$A1001,Productos!O$2:O1001,"")*$G281,"")</f>
        <v/>
      </c>
      <c r="W281" s="179" t="str">
        <f t="array" ref="W281">IF($F281&lt;&gt;"",XLOOKUP($F281,Productos!$A:$A,Productos!P:P,"Revisar"),"")</f>
        <v/>
      </c>
      <c r="X281" s="179" t="str">
        <f t="array" ref="X281">IF($F281&lt;&gt;"", XLOOKUP($F281,Productos!$A$2:$A1001,Productos!Q$2:Q1001,"")*$G281,"")</f>
        <v/>
      </c>
      <c r="Y281" s="179" t="str">
        <f t="array" ref="Y281">IF($F281&lt;&gt;"",XLOOKUP($F281,Productos!$A:$A,Productos!R:R,"Revisar"),"")</f>
        <v/>
      </c>
      <c r="Z281" s="179" t="str">
        <f t="array" ref="Z281">IF($F281&lt;&gt;"", XLOOKUP($F281,Productos!$A$2:$A1001,Productos!S$2:S1001,"")*$G281,"")</f>
        <v/>
      </c>
      <c r="AA281" s="179" t="str">
        <f t="array" ref="AA281">IF($F281&lt;&gt;"",XLOOKUP($F281,Productos!$A:$A,Productos!T:T,"Revisar"),"")</f>
        <v/>
      </c>
      <c r="AB281" s="179" t="str">
        <f t="array" ref="AB281">IF($F281&lt;&gt;"", XLOOKUP($F281,Productos!$A$2:$A1001,Productos!U$2:U1001,"")*$G281,"")</f>
        <v/>
      </c>
      <c r="AC281" s="179" t="str">
        <f t="array" ref="AC281">IF($F281&lt;&gt;"",XLOOKUP($F281,Productos!$A:$A,Productos!V:V,"Revisar"),"")</f>
        <v/>
      </c>
      <c r="AD281" s="179" t="str">
        <f t="array" ref="AD281">IF($F281&lt;&gt;"", XLOOKUP($F281,Productos!$A$2:$A1001,Productos!W$2:W1001,"")*$G281,"")</f>
        <v/>
      </c>
      <c r="AE281" s="179" t="str">
        <f t="array" ref="AE281">IF($F281&lt;&gt;"",XLOOKUP($F281,Productos!$A:$A,Productos!X:X,"Revisar"),"")</f>
        <v/>
      </c>
      <c r="AF281" s="179" t="str">
        <f t="array" ref="AF281">IF($F281&lt;&gt;"", XLOOKUP($F281,Productos!$A$2:$A1001,Productos!Y$2:Y1001,"")*$G281,"")</f>
        <v/>
      </c>
      <c r="AG281" s="179" t="str">
        <f t="array" ref="AG281">IF($F281&lt;&gt;"",XLOOKUP($F281,Productos!$A:$A,Productos!Z:Z,"Revisar"),"")</f>
        <v/>
      </c>
      <c r="AH281" s="179" t="str">
        <f t="array" ref="AH281">IF($F281&lt;&gt;"", XLOOKUP($F281,Productos!$A$2:$A1001,Productos!AA$2:AA1001,"")*$G281,"")</f>
        <v/>
      </c>
      <c r="AI281" s="179" t="str">
        <f t="array" ref="AI281">IF($F281&lt;&gt;"",XLOOKUP($F281,Productos!$A:$A,Productos!AB:AB,"Revisar"),"")</f>
        <v/>
      </c>
      <c r="AJ281" s="179" t="str">
        <f t="array" ref="AJ281">IF($F281&lt;&gt;"", XLOOKUP($F281,Productos!$A$2:$A1001,Productos!AC$2:AC1001,"")*$G281,"")</f>
        <v/>
      </c>
      <c r="AK281" s="179" t="str">
        <f t="array" ref="AK281">IF($F281&lt;&gt;"",XLOOKUP($F281,Productos!$A:$A,Productos!AD:AD,"Revisar"),"")</f>
        <v/>
      </c>
      <c r="AL281" s="179" t="str">
        <f t="array" ref="AL281">IF($F281&lt;&gt;"", XLOOKUP($F281,Productos!$A$2:$A1001,Productos!AE$2:AE1001,"")*$G281,"")</f>
        <v/>
      </c>
      <c r="AM281" s="179" t="str">
        <f t="array" ref="AM281">IF($F281&lt;&gt;"",XLOOKUP($F281,Productos!$A:$A,Productos!AF:AF,"Revisar"),"")</f>
        <v/>
      </c>
      <c r="AN281" s="179" t="str">
        <f t="array" ref="AN281">IF($F281&lt;&gt;"", XLOOKUP($F281,Productos!$A$2:$A1001,Productos!AG$2:AG1001,"")*$G281,"")</f>
        <v/>
      </c>
      <c r="AO281" s="179" t="str">
        <f t="array" ref="AO281">IF($F281&lt;&gt;"",XLOOKUP($F281,Productos!$A:$A,Productos!AH:AH,"Revisar"),"")</f>
        <v/>
      </c>
      <c r="AP281" s="179" t="str">
        <f t="array" ref="AP281">IF($F281&lt;&gt;"", XLOOKUP($F281,Productos!$A$2:$A1001,Productos!AI$2:AI1001,"")*$G281,"")</f>
        <v/>
      </c>
      <c r="AQ281" s="179" t="str">
        <f t="array" ref="AQ281">IF($F281&lt;&gt;"",XLOOKUP($F281,Productos!$A:$A,Productos!AJ:AJ,"Revisar"),"")</f>
        <v/>
      </c>
      <c r="AR281" s="179" t="str">
        <f t="array" ref="AR281">IF($F281&lt;&gt;"", XLOOKUP($F281,Productos!$A$2:$A1001,Productos!AK$2:AK1001,"")*$G281,"")</f>
        <v/>
      </c>
      <c r="AS281" s="179" t="str">
        <f t="array" ref="AS281">IF($F281&lt;&gt;"",XLOOKUP($F281,Productos!$A:$A,Productos!AL:AL,"Revisar"),"")</f>
        <v/>
      </c>
      <c r="AT281" s="179" t="str">
        <f t="array" ref="AT281">IF($F281&lt;&gt;"", XLOOKUP($F281,Productos!$A$2:$A1001,Productos!AM$2:AM1001,"")*$G281,"")</f>
        <v/>
      </c>
      <c r="AU281" s="179" t="str">
        <f t="array" ref="AU281">IF($F281&lt;&gt;"",XLOOKUP($F281,Productos!$A:$A,Productos!AN:AN,"Revisar"),"")</f>
        <v/>
      </c>
      <c r="AV281" s="179" t="str">
        <f t="array" ref="AV281">IF($F281&lt;&gt;"", XLOOKUP($F281,Productos!$A$2:$A1001,Productos!AO$2:AO1001,"")*$G281,"")</f>
        <v/>
      </c>
      <c r="AW281" s="179" t="str">
        <f t="array" ref="AW281">IF($F281&lt;&gt;"",XLOOKUP($F281,Productos!$A:$A,Productos!AP:AP,"Revisar"),"")</f>
        <v/>
      </c>
      <c r="AX281" s="179" t="str">
        <f t="array" ref="AX281">IF($F281&lt;&gt;"", XLOOKUP($F281,Productos!$A$2:$A1001,Productos!AQ$2:AQ1001,"")*$G281,"")</f>
        <v/>
      </c>
      <c r="AY281" s="179" t="str">
        <f t="array" ref="AY281">IF($F281&lt;&gt;"",XLOOKUP($F281,Productos!$A:$A,Productos!AR:AR,"Revisar"),"")</f>
        <v/>
      </c>
      <c r="AZ281" s="179" t="str">
        <f t="array" ref="AZ281">IF($F281&lt;&gt;"", XLOOKUP($F281,Productos!$A$2:$A1001,Productos!AS$2:AS1001,"")*$G281,"")</f>
        <v/>
      </c>
      <c r="BA281" s="179" t="str">
        <f t="array" ref="BA281">IF($F281&lt;&gt;"",XLOOKUP($F281,Productos!$A:$A,Productos!AT:AT,"Revisar"),"")</f>
        <v/>
      </c>
      <c r="BB281" s="179" t="str">
        <f t="array" ref="BB281">IF($F281&lt;&gt;"", XLOOKUP($F281,Productos!$A$2:$A1001,Productos!AU$2:AU1001,"")*$G281,"")</f>
        <v/>
      </c>
      <c r="BC281" s="179" t="str">
        <f t="array" ref="BC281">IF($F281&lt;&gt;"",XLOOKUP($F281,Productos!$A:$A,Productos!AV:AV,"Revisar"),"")</f>
        <v/>
      </c>
      <c r="BD281" s="179" t="str">
        <f t="array" ref="BD281">IF($F281&lt;&gt;"", XLOOKUP($F281,Productos!$A$2:$A1001,Productos!AW$2:AW1001,"")*$G281,"")</f>
        <v/>
      </c>
      <c r="BE281" s="179" t="str">
        <f t="array" ref="BE281">IF($F281&lt;&gt;"",XLOOKUP($F281,Productos!$A:$A,Productos!AX:AX,"Revisar"),"")</f>
        <v/>
      </c>
      <c r="BF281" s="179" t="str">
        <f t="array" ref="BF281">IF($F281&lt;&gt;"", XLOOKUP($F281,Productos!$A$2:$A1001,Productos!AY$2:AY1001,"")*$G281,"")</f>
        <v/>
      </c>
      <c r="BG281" s="179" t="str">
        <f t="array" ref="BG281">IF($F281&lt;&gt;"",XLOOKUP($F281,Productos!$A:$A,Productos!AZ:AZ,"Revisar"),"")</f>
        <v/>
      </c>
      <c r="BH281" s="179" t="str">
        <f t="array" ref="BH281">IF($F281&lt;&gt;"", XLOOKUP($F281,Productos!$A$2:$A1001,Productos!BA$2:BA1001,"")*$G281,"")</f>
        <v/>
      </c>
      <c r="BI281" s="179" t="str">
        <f t="array" ref="BI281">IF($F281&lt;&gt;"",XLOOKUP($F281,Productos!$A:$A,Productos!BB:BB,"Revisar"),"")</f>
        <v/>
      </c>
      <c r="BJ281" s="179" t="str">
        <f t="array" ref="BJ281">IF($F281&lt;&gt;"", XLOOKUP($F281,Productos!$A$2:$A1001,Productos!BC$2:BC1001,"")*$G281,"")</f>
        <v/>
      </c>
      <c r="BK281" s="179" t="str">
        <f t="array" ref="BK281">IF($F281&lt;&gt;"",XLOOKUP($F281,Productos!$A:$A,Productos!BD:BD,"Revisar"),"")</f>
        <v/>
      </c>
      <c r="BL281" s="179" t="str">
        <f t="array" ref="BL281">IF($F281&lt;&gt;"", XLOOKUP($F281,Productos!$A$2:$A1001,Productos!BE$2:BE1001,"")*$G281,"")</f>
        <v/>
      </c>
      <c r="BM281" s="179" t="str">
        <f t="array" ref="BM281">IF($F281&lt;&gt;"",XLOOKUP($F281,Productos!$A:$A,Productos!BF:BF,"Revisar"),"")</f>
        <v/>
      </c>
      <c r="BN281" s="179" t="str">
        <f t="array" ref="BN281">IF($F281&lt;&gt;"", XLOOKUP($F281,Productos!$A$2:$A1001,Productos!BG$2:BG1001,"")*$G281,"")</f>
        <v/>
      </c>
      <c r="BO281" s="179" t="str">
        <f t="array" ref="BO281">IF($F281&lt;&gt;"",XLOOKUP($F281,Productos!$A:$A,Productos!BH:BH,"Revisar"),"")</f>
        <v/>
      </c>
      <c r="BP281" s="179" t="str">
        <f t="array" ref="BP281">IF($F281&lt;&gt;"", XLOOKUP($F281,Productos!$A$2:$A1001,Productos!BI$2:BI1001,"")*$G281,"")</f>
        <v/>
      </c>
      <c r="BQ281" s="179" t="str">
        <f t="array" ref="BQ281">IF($F281&lt;&gt;"",XLOOKUP($F281,Productos!$A:$A,Productos!BJ:BJ,"Revisar"),"")</f>
        <v/>
      </c>
      <c r="BR281" s="179" t="str">
        <f t="array" ref="BR281">IF($F281&lt;&gt;"", XLOOKUP($F281,Productos!$A$2:$A1001,Productos!BK$2:BK1001,"")*$G281,"")</f>
        <v/>
      </c>
      <c r="BS281" s="179" t="str">
        <f t="array" ref="BS281">IF($F281&lt;&gt;"",XLOOKUP($F281,Productos!$A:$A,Productos!BL:BL,"Revisar"),"")</f>
        <v/>
      </c>
      <c r="BT281" s="179" t="str">
        <f t="array" ref="BT281">IF($F281&lt;&gt;"", XLOOKUP($F281,Productos!$A$2:$A1001,Productos!BM$2:BM1001,"")*$G281,"")</f>
        <v/>
      </c>
      <c r="BU281" s="179" t="str">
        <f t="array" ref="BU281">IF($F281&lt;&gt;"",XLOOKUP($F281,Productos!$A:$A,Productos!BN:BN,"Revisar"),"")</f>
        <v/>
      </c>
      <c r="BV281" s="179" t="str">
        <f t="array" ref="BV281">IF($F281&lt;&gt;"", XLOOKUP($F281,Productos!$A$2:$A1001,Productos!BO$2:BO1001,"")*$G281,"")</f>
        <v/>
      </c>
      <c r="BW281" s="179" t="str">
        <f t="array" ref="BW281">IF($F281&lt;&gt;"",XLOOKUP($F281,Productos!$A:$A,Productos!BP:BP,"Revisar"),"")</f>
        <v/>
      </c>
      <c r="BX281" s="179" t="str">
        <f t="array" ref="BX281">IF($F281&lt;&gt;"", XLOOKUP($F281,Productos!$A$2:$A1001,Productos!BQ$2:BQ1001,"")*$G281,"")</f>
        <v/>
      </c>
      <c r="BY281" s="179" t="str">
        <f t="array" ref="BY281">IF($F281&lt;&gt;"",XLOOKUP($F281,Productos!$A:$A,Productos!BR:BR,"Revisar"),"")</f>
        <v/>
      </c>
      <c r="BZ281" s="179" t="str">
        <f t="array" ref="BZ281">IF($F281&lt;&gt;"", XLOOKUP($F281,Productos!$A$2:$A1001,Productos!BS$2:BS1001,"")*$G281,"")</f>
        <v/>
      </c>
    </row>
    <row r="282">
      <c r="A282" s="180"/>
      <c r="B282" s="181"/>
      <c r="C282" s="182"/>
      <c r="D282" s="182"/>
      <c r="E282" s="185"/>
      <c r="F282" s="186"/>
      <c r="G282" s="187"/>
      <c r="H282" s="186"/>
      <c r="I282" s="179" t="str">
        <f t="array" ref="I282">IF($F282&lt;&gt;"",XLOOKUP($F282,Productos!$A:$A,Productos!B:B,"Revisar"),"")</f>
        <v/>
      </c>
      <c r="J282" s="179" t="str">
        <f t="array" ref="J282">IF($F282&lt;&gt;"", XLOOKUP($F282,Productos!$A$2:$A1001,Productos!C$2:C1001,"")*$G282,"")</f>
        <v/>
      </c>
      <c r="K282" s="179" t="str">
        <f t="array" ref="K282">IF($F282&lt;&gt;"",XLOOKUP($F282,Productos!$A:$A,Productos!D:D,"Revisar"),"")</f>
        <v/>
      </c>
      <c r="L282" s="179" t="str">
        <f t="array" ref="L282">IF($F282&lt;&gt;"", XLOOKUP($F282,Productos!$A$2:$A1001,Productos!E$2:E1001,"")*$G282,"")</f>
        <v/>
      </c>
      <c r="M282" s="179" t="str">
        <f t="array" ref="M282">IF($F282&lt;&gt;"",XLOOKUP($F282,Productos!$A:$A,Productos!F:F,"Revisar"),"")</f>
        <v/>
      </c>
      <c r="N282" s="179" t="str">
        <f t="array" ref="N282">IF($F282&lt;&gt;"", XLOOKUP($F282,Productos!$A$2:$A1001,Productos!G$2:G1001,"")*$G282,"")</f>
        <v/>
      </c>
      <c r="O282" s="179" t="str">
        <f t="array" ref="O282">IF($F282&lt;&gt;"",XLOOKUP($F282,Productos!$A:$A,Productos!H:H,"Revisar"),"")</f>
        <v/>
      </c>
      <c r="P282" s="179" t="str">
        <f t="array" ref="P282">IF($F282&lt;&gt;"", XLOOKUP($F282,Productos!$A$2:$A1001,Productos!I$2:I1001,"")*$G282,"")</f>
        <v/>
      </c>
      <c r="Q282" s="179" t="str">
        <f t="array" ref="Q282">IF($F282&lt;&gt;"",XLOOKUP($F282,Productos!$A:$A,Productos!J:J,"Revisar"),"")</f>
        <v/>
      </c>
      <c r="R282" s="179" t="str">
        <f t="array" ref="R282">IF($F282&lt;&gt;"", XLOOKUP($F282,Productos!$A$2:$A1001,Productos!K$2:K1001,"")*$G282,"")</f>
        <v/>
      </c>
      <c r="S282" s="179" t="str">
        <f t="array" ref="S282">IF($F282&lt;&gt;"",XLOOKUP($F282,Productos!$A:$A,Productos!L:L,"Revisar"),"")</f>
        <v/>
      </c>
      <c r="T282" s="179" t="str">
        <f t="array" ref="T282">IF($F282&lt;&gt;"", XLOOKUP($F282,Productos!$A$2:$A1001,Productos!M$2:M1001,"")*$G282,"")</f>
        <v/>
      </c>
      <c r="U282" s="179" t="str">
        <f t="array" ref="U282">IF($F282&lt;&gt;"",XLOOKUP($F282,Productos!$A:$A,Productos!N:N,"Revisar"),"")</f>
        <v/>
      </c>
      <c r="V282" s="179" t="str">
        <f t="array" ref="V282">IF($F282&lt;&gt;"", XLOOKUP($F282,Productos!$A$2:$A1001,Productos!O$2:O1001,"")*$G282,"")</f>
        <v/>
      </c>
      <c r="W282" s="179" t="str">
        <f t="array" ref="W282">IF($F282&lt;&gt;"",XLOOKUP($F282,Productos!$A:$A,Productos!P:P,"Revisar"),"")</f>
        <v/>
      </c>
      <c r="X282" s="179" t="str">
        <f t="array" ref="X282">IF($F282&lt;&gt;"", XLOOKUP($F282,Productos!$A$2:$A1001,Productos!Q$2:Q1001,"")*$G282,"")</f>
        <v/>
      </c>
      <c r="Y282" s="179" t="str">
        <f t="array" ref="Y282">IF($F282&lt;&gt;"",XLOOKUP($F282,Productos!$A:$A,Productos!R:R,"Revisar"),"")</f>
        <v/>
      </c>
      <c r="Z282" s="179" t="str">
        <f t="array" ref="Z282">IF($F282&lt;&gt;"", XLOOKUP($F282,Productos!$A$2:$A1001,Productos!S$2:S1001,"")*$G282,"")</f>
        <v/>
      </c>
      <c r="AA282" s="179" t="str">
        <f t="array" ref="AA282">IF($F282&lt;&gt;"",XLOOKUP($F282,Productos!$A:$A,Productos!T:T,"Revisar"),"")</f>
        <v/>
      </c>
      <c r="AB282" s="179" t="str">
        <f t="array" ref="AB282">IF($F282&lt;&gt;"", XLOOKUP($F282,Productos!$A$2:$A1001,Productos!U$2:U1001,"")*$G282,"")</f>
        <v/>
      </c>
      <c r="AC282" s="179" t="str">
        <f t="array" ref="AC282">IF($F282&lt;&gt;"",XLOOKUP($F282,Productos!$A:$A,Productos!V:V,"Revisar"),"")</f>
        <v/>
      </c>
      <c r="AD282" s="179" t="str">
        <f t="array" ref="AD282">IF($F282&lt;&gt;"", XLOOKUP($F282,Productos!$A$2:$A1001,Productos!W$2:W1001,"")*$G282,"")</f>
        <v/>
      </c>
      <c r="AE282" s="179" t="str">
        <f t="array" ref="AE282">IF($F282&lt;&gt;"",XLOOKUP($F282,Productos!$A:$A,Productos!X:X,"Revisar"),"")</f>
        <v/>
      </c>
      <c r="AF282" s="179" t="str">
        <f t="array" ref="AF282">IF($F282&lt;&gt;"", XLOOKUP($F282,Productos!$A$2:$A1001,Productos!Y$2:Y1001,"")*$G282,"")</f>
        <v/>
      </c>
      <c r="AG282" s="179" t="str">
        <f t="array" ref="AG282">IF($F282&lt;&gt;"",XLOOKUP($F282,Productos!$A:$A,Productos!Z:Z,"Revisar"),"")</f>
        <v/>
      </c>
      <c r="AH282" s="179" t="str">
        <f t="array" ref="AH282">IF($F282&lt;&gt;"", XLOOKUP($F282,Productos!$A$2:$A1001,Productos!AA$2:AA1001,"")*$G282,"")</f>
        <v/>
      </c>
      <c r="AI282" s="179" t="str">
        <f t="array" ref="AI282">IF($F282&lt;&gt;"",XLOOKUP($F282,Productos!$A:$A,Productos!AB:AB,"Revisar"),"")</f>
        <v/>
      </c>
      <c r="AJ282" s="179" t="str">
        <f t="array" ref="AJ282">IF($F282&lt;&gt;"", XLOOKUP($F282,Productos!$A$2:$A1001,Productos!AC$2:AC1001,"")*$G282,"")</f>
        <v/>
      </c>
      <c r="AK282" s="179" t="str">
        <f t="array" ref="AK282">IF($F282&lt;&gt;"",XLOOKUP($F282,Productos!$A:$A,Productos!AD:AD,"Revisar"),"")</f>
        <v/>
      </c>
      <c r="AL282" s="179" t="str">
        <f t="array" ref="AL282">IF($F282&lt;&gt;"", XLOOKUP($F282,Productos!$A$2:$A1001,Productos!AE$2:AE1001,"")*$G282,"")</f>
        <v/>
      </c>
      <c r="AM282" s="179" t="str">
        <f t="array" ref="AM282">IF($F282&lt;&gt;"",XLOOKUP($F282,Productos!$A:$A,Productos!AF:AF,"Revisar"),"")</f>
        <v/>
      </c>
      <c r="AN282" s="179" t="str">
        <f t="array" ref="AN282">IF($F282&lt;&gt;"", XLOOKUP($F282,Productos!$A$2:$A1001,Productos!AG$2:AG1001,"")*$G282,"")</f>
        <v/>
      </c>
      <c r="AO282" s="179" t="str">
        <f t="array" ref="AO282">IF($F282&lt;&gt;"",XLOOKUP($F282,Productos!$A:$A,Productos!AH:AH,"Revisar"),"")</f>
        <v/>
      </c>
      <c r="AP282" s="179" t="str">
        <f t="array" ref="AP282">IF($F282&lt;&gt;"", XLOOKUP($F282,Productos!$A$2:$A1001,Productos!AI$2:AI1001,"")*$G282,"")</f>
        <v/>
      </c>
      <c r="AQ282" s="179" t="str">
        <f t="array" ref="AQ282">IF($F282&lt;&gt;"",XLOOKUP($F282,Productos!$A:$A,Productos!AJ:AJ,"Revisar"),"")</f>
        <v/>
      </c>
      <c r="AR282" s="179" t="str">
        <f t="array" ref="AR282">IF($F282&lt;&gt;"", XLOOKUP($F282,Productos!$A$2:$A1001,Productos!AK$2:AK1001,"")*$G282,"")</f>
        <v/>
      </c>
      <c r="AS282" s="179" t="str">
        <f t="array" ref="AS282">IF($F282&lt;&gt;"",XLOOKUP($F282,Productos!$A:$A,Productos!AL:AL,"Revisar"),"")</f>
        <v/>
      </c>
      <c r="AT282" s="179" t="str">
        <f t="array" ref="AT282">IF($F282&lt;&gt;"", XLOOKUP($F282,Productos!$A$2:$A1001,Productos!AM$2:AM1001,"")*$G282,"")</f>
        <v/>
      </c>
      <c r="AU282" s="179" t="str">
        <f t="array" ref="AU282">IF($F282&lt;&gt;"",XLOOKUP($F282,Productos!$A:$A,Productos!AN:AN,"Revisar"),"")</f>
        <v/>
      </c>
      <c r="AV282" s="179" t="str">
        <f t="array" ref="AV282">IF($F282&lt;&gt;"", XLOOKUP($F282,Productos!$A$2:$A1001,Productos!AO$2:AO1001,"")*$G282,"")</f>
        <v/>
      </c>
      <c r="AW282" s="179" t="str">
        <f t="array" ref="AW282">IF($F282&lt;&gt;"",XLOOKUP($F282,Productos!$A:$A,Productos!AP:AP,"Revisar"),"")</f>
        <v/>
      </c>
      <c r="AX282" s="179" t="str">
        <f t="array" ref="AX282">IF($F282&lt;&gt;"", XLOOKUP($F282,Productos!$A$2:$A1001,Productos!AQ$2:AQ1001,"")*$G282,"")</f>
        <v/>
      </c>
      <c r="AY282" s="179" t="str">
        <f t="array" ref="AY282">IF($F282&lt;&gt;"",XLOOKUP($F282,Productos!$A:$A,Productos!AR:AR,"Revisar"),"")</f>
        <v/>
      </c>
      <c r="AZ282" s="179" t="str">
        <f t="array" ref="AZ282">IF($F282&lt;&gt;"", XLOOKUP($F282,Productos!$A$2:$A1001,Productos!AS$2:AS1001,"")*$G282,"")</f>
        <v/>
      </c>
      <c r="BA282" s="179" t="str">
        <f t="array" ref="BA282">IF($F282&lt;&gt;"",XLOOKUP($F282,Productos!$A:$A,Productos!AT:AT,"Revisar"),"")</f>
        <v/>
      </c>
      <c r="BB282" s="179" t="str">
        <f t="array" ref="BB282">IF($F282&lt;&gt;"", XLOOKUP($F282,Productos!$A$2:$A1001,Productos!AU$2:AU1001,"")*$G282,"")</f>
        <v/>
      </c>
      <c r="BC282" s="179" t="str">
        <f t="array" ref="BC282">IF($F282&lt;&gt;"",XLOOKUP($F282,Productos!$A:$A,Productos!AV:AV,"Revisar"),"")</f>
        <v/>
      </c>
      <c r="BD282" s="179" t="str">
        <f t="array" ref="BD282">IF($F282&lt;&gt;"", XLOOKUP($F282,Productos!$A$2:$A1001,Productos!AW$2:AW1001,"")*$G282,"")</f>
        <v/>
      </c>
      <c r="BE282" s="179" t="str">
        <f t="array" ref="BE282">IF($F282&lt;&gt;"",XLOOKUP($F282,Productos!$A:$A,Productos!AX:AX,"Revisar"),"")</f>
        <v/>
      </c>
      <c r="BF282" s="179" t="str">
        <f t="array" ref="BF282">IF($F282&lt;&gt;"", XLOOKUP($F282,Productos!$A$2:$A1001,Productos!AY$2:AY1001,"")*$G282,"")</f>
        <v/>
      </c>
      <c r="BG282" s="179" t="str">
        <f t="array" ref="BG282">IF($F282&lt;&gt;"",XLOOKUP($F282,Productos!$A:$A,Productos!AZ:AZ,"Revisar"),"")</f>
        <v/>
      </c>
      <c r="BH282" s="179" t="str">
        <f t="array" ref="BH282">IF($F282&lt;&gt;"", XLOOKUP($F282,Productos!$A$2:$A1001,Productos!BA$2:BA1001,"")*$G282,"")</f>
        <v/>
      </c>
      <c r="BI282" s="179" t="str">
        <f t="array" ref="BI282">IF($F282&lt;&gt;"",XLOOKUP($F282,Productos!$A:$A,Productos!BB:BB,"Revisar"),"")</f>
        <v/>
      </c>
      <c r="BJ282" s="179" t="str">
        <f t="array" ref="BJ282">IF($F282&lt;&gt;"", XLOOKUP($F282,Productos!$A$2:$A1001,Productos!BC$2:BC1001,"")*$G282,"")</f>
        <v/>
      </c>
      <c r="BK282" s="179" t="str">
        <f t="array" ref="BK282">IF($F282&lt;&gt;"",XLOOKUP($F282,Productos!$A:$A,Productos!BD:BD,"Revisar"),"")</f>
        <v/>
      </c>
      <c r="BL282" s="179" t="str">
        <f t="array" ref="BL282">IF($F282&lt;&gt;"", XLOOKUP($F282,Productos!$A$2:$A1001,Productos!BE$2:BE1001,"")*$G282,"")</f>
        <v/>
      </c>
      <c r="BM282" s="179" t="str">
        <f t="array" ref="BM282">IF($F282&lt;&gt;"",XLOOKUP($F282,Productos!$A:$A,Productos!BF:BF,"Revisar"),"")</f>
        <v/>
      </c>
      <c r="BN282" s="179" t="str">
        <f t="array" ref="BN282">IF($F282&lt;&gt;"", XLOOKUP($F282,Productos!$A$2:$A1001,Productos!BG$2:BG1001,"")*$G282,"")</f>
        <v/>
      </c>
      <c r="BO282" s="179" t="str">
        <f t="array" ref="BO282">IF($F282&lt;&gt;"",XLOOKUP($F282,Productos!$A:$A,Productos!BH:BH,"Revisar"),"")</f>
        <v/>
      </c>
      <c r="BP282" s="179" t="str">
        <f t="array" ref="BP282">IF($F282&lt;&gt;"", XLOOKUP($F282,Productos!$A$2:$A1001,Productos!BI$2:BI1001,"")*$G282,"")</f>
        <v/>
      </c>
      <c r="BQ282" s="179" t="str">
        <f t="array" ref="BQ282">IF($F282&lt;&gt;"",XLOOKUP($F282,Productos!$A:$A,Productos!BJ:BJ,"Revisar"),"")</f>
        <v/>
      </c>
      <c r="BR282" s="179" t="str">
        <f t="array" ref="BR282">IF($F282&lt;&gt;"", XLOOKUP($F282,Productos!$A$2:$A1001,Productos!BK$2:BK1001,"")*$G282,"")</f>
        <v/>
      </c>
      <c r="BS282" s="179" t="str">
        <f t="array" ref="BS282">IF($F282&lt;&gt;"",XLOOKUP($F282,Productos!$A:$A,Productos!BL:BL,"Revisar"),"")</f>
        <v/>
      </c>
      <c r="BT282" s="179" t="str">
        <f t="array" ref="BT282">IF($F282&lt;&gt;"", XLOOKUP($F282,Productos!$A$2:$A1001,Productos!BM$2:BM1001,"")*$G282,"")</f>
        <v/>
      </c>
      <c r="BU282" s="179" t="str">
        <f t="array" ref="BU282">IF($F282&lt;&gt;"",XLOOKUP($F282,Productos!$A:$A,Productos!BN:BN,"Revisar"),"")</f>
        <v/>
      </c>
      <c r="BV282" s="179" t="str">
        <f t="array" ref="BV282">IF($F282&lt;&gt;"", XLOOKUP($F282,Productos!$A$2:$A1001,Productos!BO$2:BO1001,"")*$G282,"")</f>
        <v/>
      </c>
      <c r="BW282" s="179" t="str">
        <f t="array" ref="BW282">IF($F282&lt;&gt;"",XLOOKUP($F282,Productos!$A:$A,Productos!BP:BP,"Revisar"),"")</f>
        <v/>
      </c>
      <c r="BX282" s="179" t="str">
        <f t="array" ref="BX282">IF($F282&lt;&gt;"", XLOOKUP($F282,Productos!$A$2:$A1001,Productos!BQ$2:BQ1001,"")*$G282,"")</f>
        <v/>
      </c>
      <c r="BY282" s="179" t="str">
        <f t="array" ref="BY282">IF($F282&lt;&gt;"",XLOOKUP($F282,Productos!$A:$A,Productos!BR:BR,"Revisar"),"")</f>
        <v/>
      </c>
      <c r="BZ282" s="179" t="str">
        <f t="array" ref="BZ282">IF($F282&lt;&gt;"", XLOOKUP($F282,Productos!$A$2:$A1001,Productos!BS$2:BS1001,"")*$G282,"")</f>
        <v/>
      </c>
    </row>
    <row r="283">
      <c r="A283" s="180"/>
      <c r="B283" s="181"/>
      <c r="C283" s="182"/>
      <c r="D283" s="182"/>
      <c r="E283" s="185"/>
      <c r="F283" s="186"/>
      <c r="G283" s="187"/>
      <c r="H283" s="186"/>
      <c r="I283" s="179" t="str">
        <f t="array" ref="I283">IF($F283&lt;&gt;"",XLOOKUP($F283,Productos!$A:$A,Productos!B:B,"Revisar"),"")</f>
        <v/>
      </c>
      <c r="J283" s="179" t="str">
        <f t="array" ref="J283">IF($F283&lt;&gt;"", XLOOKUP($F283,Productos!$A$2:$A1001,Productos!C$2:C1001,"")*$G283,"")</f>
        <v/>
      </c>
      <c r="K283" s="179" t="str">
        <f t="array" ref="K283">IF($F283&lt;&gt;"",XLOOKUP($F283,Productos!$A:$A,Productos!D:D,"Revisar"),"")</f>
        <v/>
      </c>
      <c r="L283" s="179" t="str">
        <f t="array" ref="L283">IF($F283&lt;&gt;"", XLOOKUP($F283,Productos!$A$2:$A1001,Productos!E$2:E1001,"")*$G283,"")</f>
        <v/>
      </c>
      <c r="M283" s="179" t="str">
        <f t="array" ref="M283">IF($F283&lt;&gt;"",XLOOKUP($F283,Productos!$A:$A,Productos!F:F,"Revisar"),"")</f>
        <v/>
      </c>
      <c r="N283" s="179" t="str">
        <f t="array" ref="N283">IF($F283&lt;&gt;"", XLOOKUP($F283,Productos!$A$2:$A1001,Productos!G$2:G1001,"")*$G283,"")</f>
        <v/>
      </c>
      <c r="O283" s="179" t="str">
        <f t="array" ref="O283">IF($F283&lt;&gt;"",XLOOKUP($F283,Productos!$A:$A,Productos!H:H,"Revisar"),"")</f>
        <v/>
      </c>
      <c r="P283" s="179" t="str">
        <f t="array" ref="P283">IF($F283&lt;&gt;"", XLOOKUP($F283,Productos!$A$2:$A1001,Productos!I$2:I1001,"")*$G283,"")</f>
        <v/>
      </c>
      <c r="Q283" s="179" t="str">
        <f t="array" ref="Q283">IF($F283&lt;&gt;"",XLOOKUP($F283,Productos!$A:$A,Productos!J:J,"Revisar"),"")</f>
        <v/>
      </c>
      <c r="R283" s="179" t="str">
        <f t="array" ref="R283">IF($F283&lt;&gt;"", XLOOKUP($F283,Productos!$A$2:$A1001,Productos!K$2:K1001,"")*$G283,"")</f>
        <v/>
      </c>
      <c r="S283" s="179" t="str">
        <f t="array" ref="S283">IF($F283&lt;&gt;"",XLOOKUP($F283,Productos!$A:$A,Productos!L:L,"Revisar"),"")</f>
        <v/>
      </c>
      <c r="T283" s="179" t="str">
        <f t="array" ref="T283">IF($F283&lt;&gt;"", XLOOKUP($F283,Productos!$A$2:$A1001,Productos!M$2:M1001,"")*$G283,"")</f>
        <v/>
      </c>
      <c r="U283" s="179" t="str">
        <f t="array" ref="U283">IF($F283&lt;&gt;"",XLOOKUP($F283,Productos!$A:$A,Productos!N:N,"Revisar"),"")</f>
        <v/>
      </c>
      <c r="V283" s="179" t="str">
        <f t="array" ref="V283">IF($F283&lt;&gt;"", XLOOKUP($F283,Productos!$A$2:$A1001,Productos!O$2:O1001,"")*$G283,"")</f>
        <v/>
      </c>
      <c r="W283" s="179" t="str">
        <f t="array" ref="W283">IF($F283&lt;&gt;"",XLOOKUP($F283,Productos!$A:$A,Productos!P:P,"Revisar"),"")</f>
        <v/>
      </c>
      <c r="X283" s="179" t="str">
        <f t="array" ref="X283">IF($F283&lt;&gt;"", XLOOKUP($F283,Productos!$A$2:$A1001,Productos!Q$2:Q1001,"")*$G283,"")</f>
        <v/>
      </c>
      <c r="Y283" s="179" t="str">
        <f t="array" ref="Y283">IF($F283&lt;&gt;"",XLOOKUP($F283,Productos!$A:$A,Productos!R:R,"Revisar"),"")</f>
        <v/>
      </c>
      <c r="Z283" s="179" t="str">
        <f t="array" ref="Z283">IF($F283&lt;&gt;"", XLOOKUP($F283,Productos!$A$2:$A1001,Productos!S$2:S1001,"")*$G283,"")</f>
        <v/>
      </c>
      <c r="AA283" s="179" t="str">
        <f t="array" ref="AA283">IF($F283&lt;&gt;"",XLOOKUP($F283,Productos!$A:$A,Productos!T:T,"Revisar"),"")</f>
        <v/>
      </c>
      <c r="AB283" s="179" t="str">
        <f t="array" ref="AB283">IF($F283&lt;&gt;"", XLOOKUP($F283,Productos!$A$2:$A1001,Productos!U$2:U1001,"")*$G283,"")</f>
        <v/>
      </c>
      <c r="AC283" s="179" t="str">
        <f t="array" ref="AC283">IF($F283&lt;&gt;"",XLOOKUP($F283,Productos!$A:$A,Productos!V:V,"Revisar"),"")</f>
        <v/>
      </c>
      <c r="AD283" s="179" t="str">
        <f t="array" ref="AD283">IF($F283&lt;&gt;"", XLOOKUP($F283,Productos!$A$2:$A1001,Productos!W$2:W1001,"")*$G283,"")</f>
        <v/>
      </c>
      <c r="AE283" s="179" t="str">
        <f t="array" ref="AE283">IF($F283&lt;&gt;"",XLOOKUP($F283,Productos!$A:$A,Productos!X:X,"Revisar"),"")</f>
        <v/>
      </c>
      <c r="AF283" s="179" t="str">
        <f t="array" ref="AF283">IF($F283&lt;&gt;"", XLOOKUP($F283,Productos!$A$2:$A1001,Productos!Y$2:Y1001,"")*$G283,"")</f>
        <v/>
      </c>
      <c r="AG283" s="179" t="str">
        <f t="array" ref="AG283">IF($F283&lt;&gt;"",XLOOKUP($F283,Productos!$A:$A,Productos!Z:Z,"Revisar"),"")</f>
        <v/>
      </c>
      <c r="AH283" s="179" t="str">
        <f t="array" ref="AH283">IF($F283&lt;&gt;"", XLOOKUP($F283,Productos!$A$2:$A1001,Productos!AA$2:AA1001,"")*$G283,"")</f>
        <v/>
      </c>
      <c r="AI283" s="179" t="str">
        <f t="array" ref="AI283">IF($F283&lt;&gt;"",XLOOKUP($F283,Productos!$A:$A,Productos!AB:AB,"Revisar"),"")</f>
        <v/>
      </c>
      <c r="AJ283" s="179" t="str">
        <f t="array" ref="AJ283">IF($F283&lt;&gt;"", XLOOKUP($F283,Productos!$A$2:$A1001,Productos!AC$2:AC1001,"")*$G283,"")</f>
        <v/>
      </c>
      <c r="AK283" s="179" t="str">
        <f t="array" ref="AK283">IF($F283&lt;&gt;"",XLOOKUP($F283,Productos!$A:$A,Productos!AD:AD,"Revisar"),"")</f>
        <v/>
      </c>
      <c r="AL283" s="179" t="str">
        <f t="array" ref="AL283">IF($F283&lt;&gt;"", XLOOKUP($F283,Productos!$A$2:$A1001,Productos!AE$2:AE1001,"")*$G283,"")</f>
        <v/>
      </c>
      <c r="AM283" s="179" t="str">
        <f t="array" ref="AM283">IF($F283&lt;&gt;"",XLOOKUP($F283,Productos!$A:$A,Productos!AF:AF,"Revisar"),"")</f>
        <v/>
      </c>
      <c r="AN283" s="179" t="str">
        <f t="array" ref="AN283">IF($F283&lt;&gt;"", XLOOKUP($F283,Productos!$A$2:$A1001,Productos!AG$2:AG1001,"")*$G283,"")</f>
        <v/>
      </c>
      <c r="AO283" s="179" t="str">
        <f t="array" ref="AO283">IF($F283&lt;&gt;"",XLOOKUP($F283,Productos!$A:$A,Productos!AH:AH,"Revisar"),"")</f>
        <v/>
      </c>
      <c r="AP283" s="179" t="str">
        <f t="array" ref="AP283">IF($F283&lt;&gt;"", XLOOKUP($F283,Productos!$A$2:$A1001,Productos!AI$2:AI1001,"")*$G283,"")</f>
        <v/>
      </c>
      <c r="AQ283" s="179" t="str">
        <f t="array" ref="AQ283">IF($F283&lt;&gt;"",XLOOKUP($F283,Productos!$A:$A,Productos!AJ:AJ,"Revisar"),"")</f>
        <v/>
      </c>
      <c r="AR283" s="179" t="str">
        <f t="array" ref="AR283">IF($F283&lt;&gt;"", XLOOKUP($F283,Productos!$A$2:$A1001,Productos!AK$2:AK1001,"")*$G283,"")</f>
        <v/>
      </c>
      <c r="AS283" s="179" t="str">
        <f t="array" ref="AS283">IF($F283&lt;&gt;"",XLOOKUP($F283,Productos!$A:$A,Productos!AL:AL,"Revisar"),"")</f>
        <v/>
      </c>
      <c r="AT283" s="179" t="str">
        <f t="array" ref="AT283">IF($F283&lt;&gt;"", XLOOKUP($F283,Productos!$A$2:$A1001,Productos!AM$2:AM1001,"")*$G283,"")</f>
        <v/>
      </c>
      <c r="AU283" s="179" t="str">
        <f t="array" ref="AU283">IF($F283&lt;&gt;"",XLOOKUP($F283,Productos!$A:$A,Productos!AN:AN,"Revisar"),"")</f>
        <v/>
      </c>
      <c r="AV283" s="179" t="str">
        <f t="array" ref="AV283">IF($F283&lt;&gt;"", XLOOKUP($F283,Productos!$A$2:$A1001,Productos!AO$2:AO1001,"")*$G283,"")</f>
        <v/>
      </c>
      <c r="AW283" s="179" t="str">
        <f t="array" ref="AW283">IF($F283&lt;&gt;"",XLOOKUP($F283,Productos!$A:$A,Productos!AP:AP,"Revisar"),"")</f>
        <v/>
      </c>
      <c r="AX283" s="179" t="str">
        <f t="array" ref="AX283">IF($F283&lt;&gt;"", XLOOKUP($F283,Productos!$A$2:$A1001,Productos!AQ$2:AQ1001,"")*$G283,"")</f>
        <v/>
      </c>
      <c r="AY283" s="179" t="str">
        <f t="array" ref="AY283">IF($F283&lt;&gt;"",XLOOKUP($F283,Productos!$A:$A,Productos!AR:AR,"Revisar"),"")</f>
        <v/>
      </c>
      <c r="AZ283" s="179" t="str">
        <f t="array" ref="AZ283">IF($F283&lt;&gt;"", XLOOKUP($F283,Productos!$A$2:$A1001,Productos!AS$2:AS1001,"")*$G283,"")</f>
        <v/>
      </c>
      <c r="BA283" s="179" t="str">
        <f t="array" ref="BA283">IF($F283&lt;&gt;"",XLOOKUP($F283,Productos!$A:$A,Productos!AT:AT,"Revisar"),"")</f>
        <v/>
      </c>
      <c r="BB283" s="179" t="str">
        <f t="array" ref="BB283">IF($F283&lt;&gt;"", XLOOKUP($F283,Productos!$A$2:$A1001,Productos!AU$2:AU1001,"")*$G283,"")</f>
        <v/>
      </c>
      <c r="BC283" s="179" t="str">
        <f t="array" ref="BC283">IF($F283&lt;&gt;"",XLOOKUP($F283,Productos!$A:$A,Productos!AV:AV,"Revisar"),"")</f>
        <v/>
      </c>
      <c r="BD283" s="179" t="str">
        <f t="array" ref="BD283">IF($F283&lt;&gt;"", XLOOKUP($F283,Productos!$A$2:$A1001,Productos!AW$2:AW1001,"")*$G283,"")</f>
        <v/>
      </c>
      <c r="BE283" s="179" t="str">
        <f t="array" ref="BE283">IF($F283&lt;&gt;"",XLOOKUP($F283,Productos!$A:$A,Productos!AX:AX,"Revisar"),"")</f>
        <v/>
      </c>
      <c r="BF283" s="179" t="str">
        <f t="array" ref="BF283">IF($F283&lt;&gt;"", XLOOKUP($F283,Productos!$A$2:$A1001,Productos!AY$2:AY1001,"")*$G283,"")</f>
        <v/>
      </c>
      <c r="BG283" s="179" t="str">
        <f t="array" ref="BG283">IF($F283&lt;&gt;"",XLOOKUP($F283,Productos!$A:$A,Productos!AZ:AZ,"Revisar"),"")</f>
        <v/>
      </c>
      <c r="BH283" s="179" t="str">
        <f t="array" ref="BH283">IF($F283&lt;&gt;"", XLOOKUP($F283,Productos!$A$2:$A1001,Productos!BA$2:BA1001,"")*$G283,"")</f>
        <v/>
      </c>
      <c r="BI283" s="179" t="str">
        <f t="array" ref="BI283">IF($F283&lt;&gt;"",XLOOKUP($F283,Productos!$A:$A,Productos!BB:BB,"Revisar"),"")</f>
        <v/>
      </c>
      <c r="BJ283" s="179" t="str">
        <f t="array" ref="BJ283">IF($F283&lt;&gt;"", XLOOKUP($F283,Productos!$A$2:$A1001,Productos!BC$2:BC1001,"")*$G283,"")</f>
        <v/>
      </c>
      <c r="BK283" s="179" t="str">
        <f t="array" ref="BK283">IF($F283&lt;&gt;"",XLOOKUP($F283,Productos!$A:$A,Productos!BD:BD,"Revisar"),"")</f>
        <v/>
      </c>
      <c r="BL283" s="179" t="str">
        <f t="array" ref="BL283">IF($F283&lt;&gt;"", XLOOKUP($F283,Productos!$A$2:$A1001,Productos!BE$2:BE1001,"")*$G283,"")</f>
        <v/>
      </c>
      <c r="BM283" s="179" t="str">
        <f t="array" ref="BM283">IF($F283&lt;&gt;"",XLOOKUP($F283,Productos!$A:$A,Productos!BF:BF,"Revisar"),"")</f>
        <v/>
      </c>
      <c r="BN283" s="179" t="str">
        <f t="array" ref="BN283">IF($F283&lt;&gt;"", XLOOKUP($F283,Productos!$A$2:$A1001,Productos!BG$2:BG1001,"")*$G283,"")</f>
        <v/>
      </c>
      <c r="BO283" s="179" t="str">
        <f t="array" ref="BO283">IF($F283&lt;&gt;"",XLOOKUP($F283,Productos!$A:$A,Productos!BH:BH,"Revisar"),"")</f>
        <v/>
      </c>
      <c r="BP283" s="179" t="str">
        <f t="array" ref="BP283">IF($F283&lt;&gt;"", XLOOKUP($F283,Productos!$A$2:$A1001,Productos!BI$2:BI1001,"")*$G283,"")</f>
        <v/>
      </c>
      <c r="BQ283" s="179" t="str">
        <f t="array" ref="BQ283">IF($F283&lt;&gt;"",XLOOKUP($F283,Productos!$A:$A,Productos!BJ:BJ,"Revisar"),"")</f>
        <v/>
      </c>
      <c r="BR283" s="179" t="str">
        <f t="array" ref="BR283">IF($F283&lt;&gt;"", XLOOKUP($F283,Productos!$A$2:$A1001,Productos!BK$2:BK1001,"")*$G283,"")</f>
        <v/>
      </c>
      <c r="BS283" s="179" t="str">
        <f t="array" ref="BS283">IF($F283&lt;&gt;"",XLOOKUP($F283,Productos!$A:$A,Productos!BL:BL,"Revisar"),"")</f>
        <v/>
      </c>
      <c r="BT283" s="179" t="str">
        <f t="array" ref="BT283">IF($F283&lt;&gt;"", XLOOKUP($F283,Productos!$A$2:$A1001,Productos!BM$2:BM1001,"")*$G283,"")</f>
        <v/>
      </c>
      <c r="BU283" s="179" t="str">
        <f t="array" ref="BU283">IF($F283&lt;&gt;"",XLOOKUP($F283,Productos!$A:$A,Productos!BN:BN,"Revisar"),"")</f>
        <v/>
      </c>
      <c r="BV283" s="179" t="str">
        <f t="array" ref="BV283">IF($F283&lt;&gt;"", XLOOKUP($F283,Productos!$A$2:$A1001,Productos!BO$2:BO1001,"")*$G283,"")</f>
        <v/>
      </c>
      <c r="BW283" s="179" t="str">
        <f t="array" ref="BW283">IF($F283&lt;&gt;"",XLOOKUP($F283,Productos!$A:$A,Productos!BP:BP,"Revisar"),"")</f>
        <v/>
      </c>
      <c r="BX283" s="179" t="str">
        <f t="array" ref="BX283">IF($F283&lt;&gt;"", XLOOKUP($F283,Productos!$A$2:$A1001,Productos!BQ$2:BQ1001,"")*$G283,"")</f>
        <v/>
      </c>
      <c r="BY283" s="179" t="str">
        <f t="array" ref="BY283">IF($F283&lt;&gt;"",XLOOKUP($F283,Productos!$A:$A,Productos!BR:BR,"Revisar"),"")</f>
        <v/>
      </c>
      <c r="BZ283" s="179" t="str">
        <f t="array" ref="BZ283">IF($F283&lt;&gt;"", XLOOKUP($F283,Productos!$A$2:$A1001,Productos!BS$2:BS1001,"")*$G283,"")</f>
        <v/>
      </c>
    </row>
    <row r="284">
      <c r="A284" s="180"/>
      <c r="B284" s="181"/>
      <c r="C284" s="182"/>
      <c r="D284" s="182"/>
      <c r="E284" s="185"/>
      <c r="F284" s="186"/>
      <c r="G284" s="187"/>
      <c r="H284" s="186"/>
      <c r="I284" s="179" t="str">
        <f t="array" ref="I284">IF($F284&lt;&gt;"",XLOOKUP($F284,Productos!$A:$A,Productos!B:B,"Revisar"),"")</f>
        <v/>
      </c>
      <c r="J284" s="179" t="str">
        <f t="array" ref="J284">IF($F284&lt;&gt;"", XLOOKUP($F284,Productos!$A$2:$A1001,Productos!C$2:C1001,"")*$G284,"")</f>
        <v/>
      </c>
      <c r="K284" s="179" t="str">
        <f t="array" ref="K284">IF($F284&lt;&gt;"",XLOOKUP($F284,Productos!$A:$A,Productos!D:D,"Revisar"),"")</f>
        <v/>
      </c>
      <c r="L284" s="179" t="str">
        <f t="array" ref="L284">IF($F284&lt;&gt;"", XLOOKUP($F284,Productos!$A$2:$A1001,Productos!E$2:E1001,"")*$G284,"")</f>
        <v/>
      </c>
      <c r="M284" s="179" t="str">
        <f t="array" ref="M284">IF($F284&lt;&gt;"",XLOOKUP($F284,Productos!$A:$A,Productos!F:F,"Revisar"),"")</f>
        <v/>
      </c>
      <c r="N284" s="179" t="str">
        <f t="array" ref="N284">IF($F284&lt;&gt;"", XLOOKUP($F284,Productos!$A$2:$A1001,Productos!G$2:G1001,"")*$G284,"")</f>
        <v/>
      </c>
      <c r="O284" s="179" t="str">
        <f t="array" ref="O284">IF($F284&lt;&gt;"",XLOOKUP($F284,Productos!$A:$A,Productos!H:H,"Revisar"),"")</f>
        <v/>
      </c>
      <c r="P284" s="179" t="str">
        <f t="array" ref="P284">IF($F284&lt;&gt;"", XLOOKUP($F284,Productos!$A$2:$A1001,Productos!I$2:I1001,"")*$G284,"")</f>
        <v/>
      </c>
      <c r="Q284" s="179" t="str">
        <f t="array" ref="Q284">IF($F284&lt;&gt;"",XLOOKUP($F284,Productos!$A:$A,Productos!J:J,"Revisar"),"")</f>
        <v/>
      </c>
      <c r="R284" s="179" t="str">
        <f t="array" ref="R284">IF($F284&lt;&gt;"", XLOOKUP($F284,Productos!$A$2:$A1001,Productos!K$2:K1001,"")*$G284,"")</f>
        <v/>
      </c>
      <c r="S284" s="179" t="str">
        <f t="array" ref="S284">IF($F284&lt;&gt;"",XLOOKUP($F284,Productos!$A:$A,Productos!L:L,"Revisar"),"")</f>
        <v/>
      </c>
      <c r="T284" s="179" t="str">
        <f t="array" ref="T284">IF($F284&lt;&gt;"", XLOOKUP($F284,Productos!$A$2:$A1001,Productos!M$2:M1001,"")*$G284,"")</f>
        <v/>
      </c>
      <c r="U284" s="179" t="str">
        <f t="array" ref="U284">IF($F284&lt;&gt;"",XLOOKUP($F284,Productos!$A:$A,Productos!N:N,"Revisar"),"")</f>
        <v/>
      </c>
      <c r="V284" s="179" t="str">
        <f t="array" ref="V284">IF($F284&lt;&gt;"", XLOOKUP($F284,Productos!$A$2:$A1001,Productos!O$2:O1001,"")*$G284,"")</f>
        <v/>
      </c>
      <c r="W284" s="179" t="str">
        <f t="array" ref="W284">IF($F284&lt;&gt;"",XLOOKUP($F284,Productos!$A:$A,Productos!P:P,"Revisar"),"")</f>
        <v/>
      </c>
      <c r="X284" s="179" t="str">
        <f t="array" ref="X284">IF($F284&lt;&gt;"", XLOOKUP($F284,Productos!$A$2:$A1001,Productos!Q$2:Q1001,"")*$G284,"")</f>
        <v/>
      </c>
      <c r="Y284" s="179" t="str">
        <f t="array" ref="Y284">IF($F284&lt;&gt;"",XLOOKUP($F284,Productos!$A:$A,Productos!R:R,"Revisar"),"")</f>
        <v/>
      </c>
      <c r="Z284" s="179" t="str">
        <f t="array" ref="Z284">IF($F284&lt;&gt;"", XLOOKUP($F284,Productos!$A$2:$A1001,Productos!S$2:S1001,"")*$G284,"")</f>
        <v/>
      </c>
      <c r="AA284" s="179" t="str">
        <f t="array" ref="AA284">IF($F284&lt;&gt;"",XLOOKUP($F284,Productos!$A:$A,Productos!T:T,"Revisar"),"")</f>
        <v/>
      </c>
      <c r="AB284" s="179" t="str">
        <f t="array" ref="AB284">IF($F284&lt;&gt;"", XLOOKUP($F284,Productos!$A$2:$A1001,Productos!U$2:U1001,"")*$G284,"")</f>
        <v/>
      </c>
      <c r="AC284" s="179" t="str">
        <f t="array" ref="AC284">IF($F284&lt;&gt;"",XLOOKUP($F284,Productos!$A:$A,Productos!V:V,"Revisar"),"")</f>
        <v/>
      </c>
      <c r="AD284" s="179" t="str">
        <f t="array" ref="AD284">IF($F284&lt;&gt;"", XLOOKUP($F284,Productos!$A$2:$A1001,Productos!W$2:W1001,"")*$G284,"")</f>
        <v/>
      </c>
      <c r="AE284" s="179" t="str">
        <f t="array" ref="AE284">IF($F284&lt;&gt;"",XLOOKUP($F284,Productos!$A:$A,Productos!X:X,"Revisar"),"")</f>
        <v/>
      </c>
      <c r="AF284" s="179" t="str">
        <f t="array" ref="AF284">IF($F284&lt;&gt;"", XLOOKUP($F284,Productos!$A$2:$A1001,Productos!Y$2:Y1001,"")*$G284,"")</f>
        <v/>
      </c>
      <c r="AG284" s="179" t="str">
        <f t="array" ref="AG284">IF($F284&lt;&gt;"",XLOOKUP($F284,Productos!$A:$A,Productos!Z:Z,"Revisar"),"")</f>
        <v/>
      </c>
      <c r="AH284" s="179" t="str">
        <f t="array" ref="AH284">IF($F284&lt;&gt;"", XLOOKUP($F284,Productos!$A$2:$A1001,Productos!AA$2:AA1001,"")*$G284,"")</f>
        <v/>
      </c>
      <c r="AI284" s="179" t="str">
        <f t="array" ref="AI284">IF($F284&lt;&gt;"",XLOOKUP($F284,Productos!$A:$A,Productos!AB:AB,"Revisar"),"")</f>
        <v/>
      </c>
      <c r="AJ284" s="179" t="str">
        <f t="array" ref="AJ284">IF($F284&lt;&gt;"", XLOOKUP($F284,Productos!$A$2:$A1001,Productos!AC$2:AC1001,"")*$G284,"")</f>
        <v/>
      </c>
      <c r="AK284" s="179" t="str">
        <f t="array" ref="AK284">IF($F284&lt;&gt;"",XLOOKUP($F284,Productos!$A:$A,Productos!AD:AD,"Revisar"),"")</f>
        <v/>
      </c>
      <c r="AL284" s="179" t="str">
        <f t="array" ref="AL284">IF($F284&lt;&gt;"", XLOOKUP($F284,Productos!$A$2:$A1001,Productos!AE$2:AE1001,"")*$G284,"")</f>
        <v/>
      </c>
      <c r="AM284" s="179" t="str">
        <f t="array" ref="AM284">IF($F284&lt;&gt;"",XLOOKUP($F284,Productos!$A:$A,Productos!AF:AF,"Revisar"),"")</f>
        <v/>
      </c>
      <c r="AN284" s="179" t="str">
        <f t="array" ref="AN284">IF($F284&lt;&gt;"", XLOOKUP($F284,Productos!$A$2:$A1001,Productos!AG$2:AG1001,"")*$G284,"")</f>
        <v/>
      </c>
      <c r="AO284" s="179" t="str">
        <f t="array" ref="AO284">IF($F284&lt;&gt;"",XLOOKUP($F284,Productos!$A:$A,Productos!AH:AH,"Revisar"),"")</f>
        <v/>
      </c>
      <c r="AP284" s="179" t="str">
        <f t="array" ref="AP284">IF($F284&lt;&gt;"", XLOOKUP($F284,Productos!$A$2:$A1001,Productos!AI$2:AI1001,"")*$G284,"")</f>
        <v/>
      </c>
      <c r="AQ284" s="179" t="str">
        <f t="array" ref="AQ284">IF($F284&lt;&gt;"",XLOOKUP($F284,Productos!$A:$A,Productos!AJ:AJ,"Revisar"),"")</f>
        <v/>
      </c>
      <c r="AR284" s="179" t="str">
        <f t="array" ref="AR284">IF($F284&lt;&gt;"", XLOOKUP($F284,Productos!$A$2:$A1001,Productos!AK$2:AK1001,"")*$G284,"")</f>
        <v/>
      </c>
      <c r="AS284" s="179" t="str">
        <f t="array" ref="AS284">IF($F284&lt;&gt;"",XLOOKUP($F284,Productos!$A:$A,Productos!AL:AL,"Revisar"),"")</f>
        <v/>
      </c>
      <c r="AT284" s="179" t="str">
        <f t="array" ref="AT284">IF($F284&lt;&gt;"", XLOOKUP($F284,Productos!$A$2:$A1001,Productos!AM$2:AM1001,"")*$G284,"")</f>
        <v/>
      </c>
      <c r="AU284" s="179" t="str">
        <f t="array" ref="AU284">IF($F284&lt;&gt;"",XLOOKUP($F284,Productos!$A:$A,Productos!AN:AN,"Revisar"),"")</f>
        <v/>
      </c>
      <c r="AV284" s="179" t="str">
        <f t="array" ref="AV284">IF($F284&lt;&gt;"", XLOOKUP($F284,Productos!$A$2:$A1001,Productos!AO$2:AO1001,"")*$G284,"")</f>
        <v/>
      </c>
      <c r="AW284" s="179" t="str">
        <f t="array" ref="AW284">IF($F284&lt;&gt;"",XLOOKUP($F284,Productos!$A:$A,Productos!AP:AP,"Revisar"),"")</f>
        <v/>
      </c>
      <c r="AX284" s="179" t="str">
        <f t="array" ref="AX284">IF($F284&lt;&gt;"", XLOOKUP($F284,Productos!$A$2:$A1001,Productos!AQ$2:AQ1001,"")*$G284,"")</f>
        <v/>
      </c>
      <c r="AY284" s="179" t="str">
        <f t="array" ref="AY284">IF($F284&lt;&gt;"",XLOOKUP($F284,Productos!$A:$A,Productos!AR:AR,"Revisar"),"")</f>
        <v/>
      </c>
      <c r="AZ284" s="179" t="str">
        <f t="array" ref="AZ284">IF($F284&lt;&gt;"", XLOOKUP($F284,Productos!$A$2:$A1001,Productos!AS$2:AS1001,"")*$G284,"")</f>
        <v/>
      </c>
      <c r="BA284" s="179" t="str">
        <f t="array" ref="BA284">IF($F284&lt;&gt;"",XLOOKUP($F284,Productos!$A:$A,Productos!AT:AT,"Revisar"),"")</f>
        <v/>
      </c>
      <c r="BB284" s="179" t="str">
        <f t="array" ref="BB284">IF($F284&lt;&gt;"", XLOOKUP($F284,Productos!$A$2:$A1001,Productos!AU$2:AU1001,"")*$G284,"")</f>
        <v/>
      </c>
      <c r="BC284" s="179" t="str">
        <f t="array" ref="BC284">IF($F284&lt;&gt;"",XLOOKUP($F284,Productos!$A:$A,Productos!AV:AV,"Revisar"),"")</f>
        <v/>
      </c>
      <c r="BD284" s="179" t="str">
        <f t="array" ref="BD284">IF($F284&lt;&gt;"", XLOOKUP($F284,Productos!$A$2:$A1001,Productos!AW$2:AW1001,"")*$G284,"")</f>
        <v/>
      </c>
      <c r="BE284" s="179" t="str">
        <f t="array" ref="BE284">IF($F284&lt;&gt;"",XLOOKUP($F284,Productos!$A:$A,Productos!AX:AX,"Revisar"),"")</f>
        <v/>
      </c>
      <c r="BF284" s="179" t="str">
        <f t="array" ref="BF284">IF($F284&lt;&gt;"", XLOOKUP($F284,Productos!$A$2:$A1001,Productos!AY$2:AY1001,"")*$G284,"")</f>
        <v/>
      </c>
      <c r="BG284" s="179" t="str">
        <f t="array" ref="BG284">IF($F284&lt;&gt;"",XLOOKUP($F284,Productos!$A:$A,Productos!AZ:AZ,"Revisar"),"")</f>
        <v/>
      </c>
      <c r="BH284" s="179" t="str">
        <f t="array" ref="BH284">IF($F284&lt;&gt;"", XLOOKUP($F284,Productos!$A$2:$A1001,Productos!BA$2:BA1001,"")*$G284,"")</f>
        <v/>
      </c>
      <c r="BI284" s="179" t="str">
        <f t="array" ref="BI284">IF($F284&lt;&gt;"",XLOOKUP($F284,Productos!$A:$A,Productos!BB:BB,"Revisar"),"")</f>
        <v/>
      </c>
      <c r="BJ284" s="179" t="str">
        <f t="array" ref="BJ284">IF($F284&lt;&gt;"", XLOOKUP($F284,Productos!$A$2:$A1001,Productos!BC$2:BC1001,"")*$G284,"")</f>
        <v/>
      </c>
      <c r="BK284" s="179" t="str">
        <f t="array" ref="BK284">IF($F284&lt;&gt;"",XLOOKUP($F284,Productos!$A:$A,Productos!BD:BD,"Revisar"),"")</f>
        <v/>
      </c>
      <c r="BL284" s="179" t="str">
        <f t="array" ref="BL284">IF($F284&lt;&gt;"", XLOOKUP($F284,Productos!$A$2:$A1001,Productos!BE$2:BE1001,"")*$G284,"")</f>
        <v/>
      </c>
      <c r="BM284" s="179" t="str">
        <f t="array" ref="BM284">IF($F284&lt;&gt;"",XLOOKUP($F284,Productos!$A:$A,Productos!BF:BF,"Revisar"),"")</f>
        <v/>
      </c>
      <c r="BN284" s="179" t="str">
        <f t="array" ref="BN284">IF($F284&lt;&gt;"", XLOOKUP($F284,Productos!$A$2:$A1001,Productos!BG$2:BG1001,"")*$G284,"")</f>
        <v/>
      </c>
      <c r="BO284" s="179" t="str">
        <f t="array" ref="BO284">IF($F284&lt;&gt;"",XLOOKUP($F284,Productos!$A:$A,Productos!BH:BH,"Revisar"),"")</f>
        <v/>
      </c>
      <c r="BP284" s="179" t="str">
        <f t="array" ref="BP284">IF($F284&lt;&gt;"", XLOOKUP($F284,Productos!$A$2:$A1001,Productos!BI$2:BI1001,"")*$G284,"")</f>
        <v/>
      </c>
      <c r="BQ284" s="179" t="str">
        <f t="array" ref="BQ284">IF($F284&lt;&gt;"",XLOOKUP($F284,Productos!$A:$A,Productos!BJ:BJ,"Revisar"),"")</f>
        <v/>
      </c>
      <c r="BR284" s="179" t="str">
        <f t="array" ref="BR284">IF($F284&lt;&gt;"", XLOOKUP($F284,Productos!$A$2:$A1001,Productos!BK$2:BK1001,"")*$G284,"")</f>
        <v/>
      </c>
      <c r="BS284" s="179" t="str">
        <f t="array" ref="BS284">IF($F284&lt;&gt;"",XLOOKUP($F284,Productos!$A:$A,Productos!BL:BL,"Revisar"),"")</f>
        <v/>
      </c>
      <c r="BT284" s="179" t="str">
        <f t="array" ref="BT284">IF($F284&lt;&gt;"", XLOOKUP($F284,Productos!$A$2:$A1001,Productos!BM$2:BM1001,"")*$G284,"")</f>
        <v/>
      </c>
      <c r="BU284" s="179" t="str">
        <f t="array" ref="BU284">IF($F284&lt;&gt;"",XLOOKUP($F284,Productos!$A:$A,Productos!BN:BN,"Revisar"),"")</f>
        <v/>
      </c>
      <c r="BV284" s="179" t="str">
        <f t="array" ref="BV284">IF($F284&lt;&gt;"", XLOOKUP($F284,Productos!$A$2:$A1001,Productos!BO$2:BO1001,"")*$G284,"")</f>
        <v/>
      </c>
      <c r="BW284" s="179" t="str">
        <f t="array" ref="BW284">IF($F284&lt;&gt;"",XLOOKUP($F284,Productos!$A:$A,Productos!BP:BP,"Revisar"),"")</f>
        <v/>
      </c>
      <c r="BX284" s="179" t="str">
        <f t="array" ref="BX284">IF($F284&lt;&gt;"", XLOOKUP($F284,Productos!$A$2:$A1001,Productos!BQ$2:BQ1001,"")*$G284,"")</f>
        <v/>
      </c>
      <c r="BY284" s="179" t="str">
        <f t="array" ref="BY284">IF($F284&lt;&gt;"",XLOOKUP($F284,Productos!$A:$A,Productos!BR:BR,"Revisar"),"")</f>
        <v/>
      </c>
      <c r="BZ284" s="179" t="str">
        <f t="array" ref="BZ284">IF($F284&lt;&gt;"", XLOOKUP($F284,Productos!$A$2:$A1001,Productos!BS$2:BS1001,"")*$G284,"")</f>
        <v/>
      </c>
    </row>
    <row r="285">
      <c r="A285" s="180"/>
      <c r="B285" s="181"/>
      <c r="C285" s="182"/>
      <c r="D285" s="182"/>
      <c r="E285" s="185"/>
      <c r="F285" s="186"/>
      <c r="G285" s="187"/>
      <c r="H285" s="186"/>
      <c r="I285" s="179" t="str">
        <f t="array" ref="I285">IF($F285&lt;&gt;"",XLOOKUP($F285,Productos!$A:$A,Productos!B:B,"Revisar"),"")</f>
        <v/>
      </c>
      <c r="J285" s="179" t="str">
        <f t="array" ref="J285">IF($F285&lt;&gt;"", XLOOKUP($F285,Productos!$A$2:$A1001,Productos!C$2:C1001,"")*$G285,"")</f>
        <v/>
      </c>
      <c r="K285" s="179" t="str">
        <f t="array" ref="K285">IF($F285&lt;&gt;"",XLOOKUP($F285,Productos!$A:$A,Productos!D:D,"Revisar"),"")</f>
        <v/>
      </c>
      <c r="L285" s="179" t="str">
        <f t="array" ref="L285">IF($F285&lt;&gt;"", XLOOKUP($F285,Productos!$A$2:$A1001,Productos!E$2:E1001,"")*$G285,"")</f>
        <v/>
      </c>
      <c r="M285" s="179" t="str">
        <f t="array" ref="M285">IF($F285&lt;&gt;"",XLOOKUP($F285,Productos!$A:$A,Productos!F:F,"Revisar"),"")</f>
        <v/>
      </c>
      <c r="N285" s="179" t="str">
        <f t="array" ref="N285">IF($F285&lt;&gt;"", XLOOKUP($F285,Productos!$A$2:$A1001,Productos!G$2:G1001,"")*$G285,"")</f>
        <v/>
      </c>
      <c r="O285" s="179" t="str">
        <f t="array" ref="O285">IF($F285&lt;&gt;"",XLOOKUP($F285,Productos!$A:$A,Productos!H:H,"Revisar"),"")</f>
        <v/>
      </c>
      <c r="P285" s="179" t="str">
        <f t="array" ref="P285">IF($F285&lt;&gt;"", XLOOKUP($F285,Productos!$A$2:$A1001,Productos!I$2:I1001,"")*$G285,"")</f>
        <v/>
      </c>
      <c r="Q285" s="179" t="str">
        <f t="array" ref="Q285">IF($F285&lt;&gt;"",XLOOKUP($F285,Productos!$A:$A,Productos!J:J,"Revisar"),"")</f>
        <v/>
      </c>
      <c r="R285" s="179" t="str">
        <f t="array" ref="R285">IF($F285&lt;&gt;"", XLOOKUP($F285,Productos!$A$2:$A1001,Productos!K$2:K1001,"")*$G285,"")</f>
        <v/>
      </c>
      <c r="S285" s="179" t="str">
        <f t="array" ref="S285">IF($F285&lt;&gt;"",XLOOKUP($F285,Productos!$A:$A,Productos!L:L,"Revisar"),"")</f>
        <v/>
      </c>
      <c r="T285" s="179" t="str">
        <f t="array" ref="T285">IF($F285&lt;&gt;"", XLOOKUP($F285,Productos!$A$2:$A1001,Productos!M$2:M1001,"")*$G285,"")</f>
        <v/>
      </c>
      <c r="U285" s="179" t="str">
        <f t="array" ref="U285">IF($F285&lt;&gt;"",XLOOKUP($F285,Productos!$A:$A,Productos!N:N,"Revisar"),"")</f>
        <v/>
      </c>
      <c r="V285" s="179" t="str">
        <f t="array" ref="V285">IF($F285&lt;&gt;"", XLOOKUP($F285,Productos!$A$2:$A1001,Productos!O$2:O1001,"")*$G285,"")</f>
        <v/>
      </c>
      <c r="W285" s="179" t="str">
        <f t="array" ref="W285">IF($F285&lt;&gt;"",XLOOKUP($F285,Productos!$A:$A,Productos!P:P,"Revisar"),"")</f>
        <v/>
      </c>
      <c r="X285" s="179" t="str">
        <f t="array" ref="X285">IF($F285&lt;&gt;"", XLOOKUP($F285,Productos!$A$2:$A1001,Productos!Q$2:Q1001,"")*$G285,"")</f>
        <v/>
      </c>
      <c r="Y285" s="179" t="str">
        <f t="array" ref="Y285">IF($F285&lt;&gt;"",XLOOKUP($F285,Productos!$A:$A,Productos!R:R,"Revisar"),"")</f>
        <v/>
      </c>
      <c r="Z285" s="179" t="str">
        <f t="array" ref="Z285">IF($F285&lt;&gt;"", XLOOKUP($F285,Productos!$A$2:$A1001,Productos!S$2:S1001,"")*$G285,"")</f>
        <v/>
      </c>
      <c r="AA285" s="179" t="str">
        <f t="array" ref="AA285">IF($F285&lt;&gt;"",XLOOKUP($F285,Productos!$A:$A,Productos!T:T,"Revisar"),"")</f>
        <v/>
      </c>
      <c r="AB285" s="179" t="str">
        <f t="array" ref="AB285">IF($F285&lt;&gt;"", XLOOKUP($F285,Productos!$A$2:$A1001,Productos!U$2:U1001,"")*$G285,"")</f>
        <v/>
      </c>
      <c r="AC285" s="179" t="str">
        <f t="array" ref="AC285">IF($F285&lt;&gt;"",XLOOKUP($F285,Productos!$A:$A,Productos!V:V,"Revisar"),"")</f>
        <v/>
      </c>
      <c r="AD285" s="179" t="str">
        <f t="array" ref="AD285">IF($F285&lt;&gt;"", XLOOKUP($F285,Productos!$A$2:$A1001,Productos!W$2:W1001,"")*$G285,"")</f>
        <v/>
      </c>
      <c r="AE285" s="179" t="str">
        <f t="array" ref="AE285">IF($F285&lt;&gt;"",XLOOKUP($F285,Productos!$A:$A,Productos!X:X,"Revisar"),"")</f>
        <v/>
      </c>
      <c r="AF285" s="179" t="str">
        <f t="array" ref="AF285">IF($F285&lt;&gt;"", XLOOKUP($F285,Productos!$A$2:$A1001,Productos!Y$2:Y1001,"")*$G285,"")</f>
        <v/>
      </c>
      <c r="AG285" s="179" t="str">
        <f t="array" ref="AG285">IF($F285&lt;&gt;"",XLOOKUP($F285,Productos!$A:$A,Productos!Z:Z,"Revisar"),"")</f>
        <v/>
      </c>
      <c r="AH285" s="179" t="str">
        <f t="array" ref="AH285">IF($F285&lt;&gt;"", XLOOKUP($F285,Productos!$A$2:$A1001,Productos!AA$2:AA1001,"")*$G285,"")</f>
        <v/>
      </c>
      <c r="AI285" s="179" t="str">
        <f t="array" ref="AI285">IF($F285&lt;&gt;"",XLOOKUP($F285,Productos!$A:$A,Productos!AB:AB,"Revisar"),"")</f>
        <v/>
      </c>
      <c r="AJ285" s="179" t="str">
        <f t="array" ref="AJ285">IF($F285&lt;&gt;"", XLOOKUP($F285,Productos!$A$2:$A1001,Productos!AC$2:AC1001,"")*$G285,"")</f>
        <v/>
      </c>
      <c r="AK285" s="179" t="str">
        <f t="array" ref="AK285">IF($F285&lt;&gt;"",XLOOKUP($F285,Productos!$A:$A,Productos!AD:AD,"Revisar"),"")</f>
        <v/>
      </c>
      <c r="AL285" s="179" t="str">
        <f t="array" ref="AL285">IF($F285&lt;&gt;"", XLOOKUP($F285,Productos!$A$2:$A1001,Productos!AE$2:AE1001,"")*$G285,"")</f>
        <v/>
      </c>
      <c r="AM285" s="179" t="str">
        <f t="array" ref="AM285">IF($F285&lt;&gt;"",XLOOKUP($F285,Productos!$A:$A,Productos!AF:AF,"Revisar"),"")</f>
        <v/>
      </c>
      <c r="AN285" s="179" t="str">
        <f t="array" ref="AN285">IF($F285&lt;&gt;"", XLOOKUP($F285,Productos!$A$2:$A1001,Productos!AG$2:AG1001,"")*$G285,"")</f>
        <v/>
      </c>
      <c r="AO285" s="179" t="str">
        <f t="array" ref="AO285">IF($F285&lt;&gt;"",XLOOKUP($F285,Productos!$A:$A,Productos!AH:AH,"Revisar"),"")</f>
        <v/>
      </c>
      <c r="AP285" s="179" t="str">
        <f t="array" ref="AP285">IF($F285&lt;&gt;"", XLOOKUP($F285,Productos!$A$2:$A1001,Productos!AI$2:AI1001,"")*$G285,"")</f>
        <v/>
      </c>
      <c r="AQ285" s="179" t="str">
        <f t="array" ref="AQ285">IF($F285&lt;&gt;"",XLOOKUP($F285,Productos!$A:$A,Productos!AJ:AJ,"Revisar"),"")</f>
        <v/>
      </c>
      <c r="AR285" s="179" t="str">
        <f t="array" ref="AR285">IF($F285&lt;&gt;"", XLOOKUP($F285,Productos!$A$2:$A1001,Productos!AK$2:AK1001,"")*$G285,"")</f>
        <v/>
      </c>
      <c r="AS285" s="179" t="str">
        <f t="array" ref="AS285">IF($F285&lt;&gt;"",XLOOKUP($F285,Productos!$A:$A,Productos!AL:AL,"Revisar"),"")</f>
        <v/>
      </c>
      <c r="AT285" s="179" t="str">
        <f t="array" ref="AT285">IF($F285&lt;&gt;"", XLOOKUP($F285,Productos!$A$2:$A1001,Productos!AM$2:AM1001,"")*$G285,"")</f>
        <v/>
      </c>
      <c r="AU285" s="179" t="str">
        <f t="array" ref="AU285">IF($F285&lt;&gt;"",XLOOKUP($F285,Productos!$A:$A,Productos!AN:AN,"Revisar"),"")</f>
        <v/>
      </c>
      <c r="AV285" s="179" t="str">
        <f t="array" ref="AV285">IF($F285&lt;&gt;"", XLOOKUP($F285,Productos!$A$2:$A1001,Productos!AO$2:AO1001,"")*$G285,"")</f>
        <v/>
      </c>
      <c r="AW285" s="179" t="str">
        <f t="array" ref="AW285">IF($F285&lt;&gt;"",XLOOKUP($F285,Productos!$A:$A,Productos!AP:AP,"Revisar"),"")</f>
        <v/>
      </c>
      <c r="AX285" s="179" t="str">
        <f t="array" ref="AX285">IF($F285&lt;&gt;"", XLOOKUP($F285,Productos!$A$2:$A1001,Productos!AQ$2:AQ1001,"")*$G285,"")</f>
        <v/>
      </c>
      <c r="AY285" s="179" t="str">
        <f t="array" ref="AY285">IF($F285&lt;&gt;"",XLOOKUP($F285,Productos!$A:$A,Productos!AR:AR,"Revisar"),"")</f>
        <v/>
      </c>
      <c r="AZ285" s="179" t="str">
        <f t="array" ref="AZ285">IF($F285&lt;&gt;"", XLOOKUP($F285,Productos!$A$2:$A1001,Productos!AS$2:AS1001,"")*$G285,"")</f>
        <v/>
      </c>
      <c r="BA285" s="179" t="str">
        <f t="array" ref="BA285">IF($F285&lt;&gt;"",XLOOKUP($F285,Productos!$A:$A,Productos!AT:AT,"Revisar"),"")</f>
        <v/>
      </c>
      <c r="BB285" s="179" t="str">
        <f t="array" ref="BB285">IF($F285&lt;&gt;"", XLOOKUP($F285,Productos!$A$2:$A1001,Productos!AU$2:AU1001,"")*$G285,"")</f>
        <v/>
      </c>
      <c r="BC285" s="179" t="str">
        <f t="array" ref="BC285">IF($F285&lt;&gt;"",XLOOKUP($F285,Productos!$A:$A,Productos!AV:AV,"Revisar"),"")</f>
        <v/>
      </c>
      <c r="BD285" s="179" t="str">
        <f t="array" ref="BD285">IF($F285&lt;&gt;"", XLOOKUP($F285,Productos!$A$2:$A1001,Productos!AW$2:AW1001,"")*$G285,"")</f>
        <v/>
      </c>
      <c r="BE285" s="179" t="str">
        <f t="array" ref="BE285">IF($F285&lt;&gt;"",XLOOKUP($F285,Productos!$A:$A,Productos!AX:AX,"Revisar"),"")</f>
        <v/>
      </c>
      <c r="BF285" s="179" t="str">
        <f t="array" ref="BF285">IF($F285&lt;&gt;"", XLOOKUP($F285,Productos!$A$2:$A1001,Productos!AY$2:AY1001,"")*$G285,"")</f>
        <v/>
      </c>
      <c r="BG285" s="179" t="str">
        <f t="array" ref="BG285">IF($F285&lt;&gt;"",XLOOKUP($F285,Productos!$A:$A,Productos!AZ:AZ,"Revisar"),"")</f>
        <v/>
      </c>
      <c r="BH285" s="179" t="str">
        <f t="array" ref="BH285">IF($F285&lt;&gt;"", XLOOKUP($F285,Productos!$A$2:$A1001,Productos!BA$2:BA1001,"")*$G285,"")</f>
        <v/>
      </c>
      <c r="BI285" s="179" t="str">
        <f t="array" ref="BI285">IF($F285&lt;&gt;"",XLOOKUP($F285,Productos!$A:$A,Productos!BB:BB,"Revisar"),"")</f>
        <v/>
      </c>
      <c r="BJ285" s="179" t="str">
        <f t="array" ref="BJ285">IF($F285&lt;&gt;"", XLOOKUP($F285,Productos!$A$2:$A1001,Productos!BC$2:BC1001,"")*$G285,"")</f>
        <v/>
      </c>
      <c r="BK285" s="179" t="str">
        <f t="array" ref="BK285">IF($F285&lt;&gt;"",XLOOKUP($F285,Productos!$A:$A,Productos!BD:BD,"Revisar"),"")</f>
        <v/>
      </c>
      <c r="BL285" s="179" t="str">
        <f t="array" ref="BL285">IF($F285&lt;&gt;"", XLOOKUP($F285,Productos!$A$2:$A1001,Productos!BE$2:BE1001,"")*$G285,"")</f>
        <v/>
      </c>
      <c r="BM285" s="179" t="str">
        <f t="array" ref="BM285">IF($F285&lt;&gt;"",XLOOKUP($F285,Productos!$A:$A,Productos!BF:BF,"Revisar"),"")</f>
        <v/>
      </c>
      <c r="BN285" s="179" t="str">
        <f t="array" ref="BN285">IF($F285&lt;&gt;"", XLOOKUP($F285,Productos!$A$2:$A1001,Productos!BG$2:BG1001,"")*$G285,"")</f>
        <v/>
      </c>
      <c r="BO285" s="179" t="str">
        <f t="array" ref="BO285">IF($F285&lt;&gt;"",XLOOKUP($F285,Productos!$A:$A,Productos!BH:BH,"Revisar"),"")</f>
        <v/>
      </c>
      <c r="BP285" s="179" t="str">
        <f t="array" ref="BP285">IF($F285&lt;&gt;"", XLOOKUP($F285,Productos!$A$2:$A1001,Productos!BI$2:BI1001,"")*$G285,"")</f>
        <v/>
      </c>
      <c r="BQ285" s="179" t="str">
        <f t="array" ref="BQ285">IF($F285&lt;&gt;"",XLOOKUP($F285,Productos!$A:$A,Productos!BJ:BJ,"Revisar"),"")</f>
        <v/>
      </c>
      <c r="BR285" s="179" t="str">
        <f t="array" ref="BR285">IF($F285&lt;&gt;"", XLOOKUP($F285,Productos!$A$2:$A1001,Productos!BK$2:BK1001,"")*$G285,"")</f>
        <v/>
      </c>
      <c r="BS285" s="179" t="str">
        <f t="array" ref="BS285">IF($F285&lt;&gt;"",XLOOKUP($F285,Productos!$A:$A,Productos!BL:BL,"Revisar"),"")</f>
        <v/>
      </c>
      <c r="BT285" s="179" t="str">
        <f t="array" ref="BT285">IF($F285&lt;&gt;"", XLOOKUP($F285,Productos!$A$2:$A1001,Productos!BM$2:BM1001,"")*$G285,"")</f>
        <v/>
      </c>
      <c r="BU285" s="179" t="str">
        <f t="array" ref="BU285">IF($F285&lt;&gt;"",XLOOKUP($F285,Productos!$A:$A,Productos!BN:BN,"Revisar"),"")</f>
        <v/>
      </c>
      <c r="BV285" s="179" t="str">
        <f t="array" ref="BV285">IF($F285&lt;&gt;"", XLOOKUP($F285,Productos!$A$2:$A1001,Productos!BO$2:BO1001,"")*$G285,"")</f>
        <v/>
      </c>
      <c r="BW285" s="179" t="str">
        <f t="array" ref="BW285">IF($F285&lt;&gt;"",XLOOKUP($F285,Productos!$A:$A,Productos!BP:BP,"Revisar"),"")</f>
        <v/>
      </c>
      <c r="BX285" s="179" t="str">
        <f t="array" ref="BX285">IF($F285&lt;&gt;"", XLOOKUP($F285,Productos!$A$2:$A1001,Productos!BQ$2:BQ1001,"")*$G285,"")</f>
        <v/>
      </c>
      <c r="BY285" s="179" t="str">
        <f t="array" ref="BY285">IF($F285&lt;&gt;"",XLOOKUP($F285,Productos!$A:$A,Productos!BR:BR,"Revisar"),"")</f>
        <v/>
      </c>
      <c r="BZ285" s="179" t="str">
        <f t="array" ref="BZ285">IF($F285&lt;&gt;"", XLOOKUP($F285,Productos!$A$2:$A1001,Productos!BS$2:BS1001,"")*$G285,"")</f>
        <v/>
      </c>
    </row>
    <row r="286">
      <c r="A286" s="180"/>
      <c r="B286" s="181"/>
      <c r="C286" s="182"/>
      <c r="D286" s="182"/>
      <c r="E286" s="185"/>
      <c r="F286" s="186"/>
      <c r="G286" s="187"/>
      <c r="H286" s="186"/>
      <c r="I286" s="179" t="str">
        <f t="array" ref="I286">IF($F286&lt;&gt;"",XLOOKUP($F286,Productos!$A:$A,Productos!B:B,"Revisar"),"")</f>
        <v/>
      </c>
      <c r="J286" s="179" t="str">
        <f t="array" ref="J286">IF($F286&lt;&gt;"", XLOOKUP($F286,Productos!$A$2:$A1001,Productos!C$2:C1001,"")*$G286,"")</f>
        <v/>
      </c>
      <c r="K286" s="179" t="str">
        <f t="array" ref="K286">IF($F286&lt;&gt;"",XLOOKUP($F286,Productos!$A:$A,Productos!D:D,"Revisar"),"")</f>
        <v/>
      </c>
      <c r="L286" s="179" t="str">
        <f t="array" ref="L286">IF($F286&lt;&gt;"", XLOOKUP($F286,Productos!$A$2:$A1001,Productos!E$2:E1001,"")*$G286,"")</f>
        <v/>
      </c>
      <c r="M286" s="179" t="str">
        <f t="array" ref="M286">IF($F286&lt;&gt;"",XLOOKUP($F286,Productos!$A:$A,Productos!F:F,"Revisar"),"")</f>
        <v/>
      </c>
      <c r="N286" s="179" t="str">
        <f t="array" ref="N286">IF($F286&lt;&gt;"", XLOOKUP($F286,Productos!$A$2:$A1001,Productos!G$2:G1001,"")*$G286,"")</f>
        <v/>
      </c>
      <c r="O286" s="179" t="str">
        <f t="array" ref="O286">IF($F286&lt;&gt;"",XLOOKUP($F286,Productos!$A:$A,Productos!H:H,"Revisar"),"")</f>
        <v/>
      </c>
      <c r="P286" s="179" t="str">
        <f t="array" ref="P286">IF($F286&lt;&gt;"", XLOOKUP($F286,Productos!$A$2:$A1001,Productos!I$2:I1001,"")*$G286,"")</f>
        <v/>
      </c>
      <c r="Q286" s="179" t="str">
        <f t="array" ref="Q286">IF($F286&lt;&gt;"",XLOOKUP($F286,Productos!$A:$A,Productos!J:J,"Revisar"),"")</f>
        <v/>
      </c>
      <c r="R286" s="179" t="str">
        <f t="array" ref="R286">IF($F286&lt;&gt;"", XLOOKUP($F286,Productos!$A$2:$A1001,Productos!K$2:K1001,"")*$G286,"")</f>
        <v/>
      </c>
      <c r="S286" s="179" t="str">
        <f t="array" ref="S286">IF($F286&lt;&gt;"",XLOOKUP($F286,Productos!$A:$A,Productos!L:L,"Revisar"),"")</f>
        <v/>
      </c>
      <c r="T286" s="179" t="str">
        <f t="array" ref="T286">IF($F286&lt;&gt;"", XLOOKUP($F286,Productos!$A$2:$A1001,Productos!M$2:M1001,"")*$G286,"")</f>
        <v/>
      </c>
      <c r="U286" s="179" t="str">
        <f t="array" ref="U286">IF($F286&lt;&gt;"",XLOOKUP($F286,Productos!$A:$A,Productos!N:N,"Revisar"),"")</f>
        <v/>
      </c>
      <c r="V286" s="179" t="str">
        <f t="array" ref="V286">IF($F286&lt;&gt;"", XLOOKUP($F286,Productos!$A$2:$A1001,Productos!O$2:O1001,"")*$G286,"")</f>
        <v/>
      </c>
      <c r="W286" s="179" t="str">
        <f t="array" ref="W286">IF($F286&lt;&gt;"",XLOOKUP($F286,Productos!$A:$A,Productos!P:P,"Revisar"),"")</f>
        <v/>
      </c>
      <c r="X286" s="179" t="str">
        <f t="array" ref="X286">IF($F286&lt;&gt;"", XLOOKUP($F286,Productos!$A$2:$A1001,Productos!Q$2:Q1001,"")*$G286,"")</f>
        <v/>
      </c>
      <c r="Y286" s="179" t="str">
        <f t="array" ref="Y286">IF($F286&lt;&gt;"",XLOOKUP($F286,Productos!$A:$A,Productos!R:R,"Revisar"),"")</f>
        <v/>
      </c>
      <c r="Z286" s="179" t="str">
        <f t="array" ref="Z286">IF($F286&lt;&gt;"", XLOOKUP($F286,Productos!$A$2:$A1001,Productos!S$2:S1001,"")*$G286,"")</f>
        <v/>
      </c>
      <c r="AA286" s="179" t="str">
        <f t="array" ref="AA286">IF($F286&lt;&gt;"",XLOOKUP($F286,Productos!$A:$A,Productos!T:T,"Revisar"),"")</f>
        <v/>
      </c>
      <c r="AB286" s="179" t="str">
        <f t="array" ref="AB286">IF($F286&lt;&gt;"", XLOOKUP($F286,Productos!$A$2:$A1001,Productos!U$2:U1001,"")*$G286,"")</f>
        <v/>
      </c>
      <c r="AC286" s="179" t="str">
        <f t="array" ref="AC286">IF($F286&lt;&gt;"",XLOOKUP($F286,Productos!$A:$A,Productos!V:V,"Revisar"),"")</f>
        <v/>
      </c>
      <c r="AD286" s="179" t="str">
        <f t="array" ref="AD286">IF($F286&lt;&gt;"", XLOOKUP($F286,Productos!$A$2:$A1001,Productos!W$2:W1001,"")*$G286,"")</f>
        <v/>
      </c>
      <c r="AE286" s="179" t="str">
        <f t="array" ref="AE286">IF($F286&lt;&gt;"",XLOOKUP($F286,Productos!$A:$A,Productos!X:X,"Revisar"),"")</f>
        <v/>
      </c>
      <c r="AF286" s="179" t="str">
        <f t="array" ref="AF286">IF($F286&lt;&gt;"", XLOOKUP($F286,Productos!$A$2:$A1001,Productos!Y$2:Y1001,"")*$G286,"")</f>
        <v/>
      </c>
      <c r="AG286" s="179" t="str">
        <f t="array" ref="AG286">IF($F286&lt;&gt;"",XLOOKUP($F286,Productos!$A:$A,Productos!Z:Z,"Revisar"),"")</f>
        <v/>
      </c>
      <c r="AH286" s="179" t="str">
        <f t="array" ref="AH286">IF($F286&lt;&gt;"", XLOOKUP($F286,Productos!$A$2:$A1001,Productos!AA$2:AA1001,"")*$G286,"")</f>
        <v/>
      </c>
      <c r="AI286" s="179" t="str">
        <f t="array" ref="AI286">IF($F286&lt;&gt;"",XLOOKUP($F286,Productos!$A:$A,Productos!AB:AB,"Revisar"),"")</f>
        <v/>
      </c>
      <c r="AJ286" s="179" t="str">
        <f t="array" ref="AJ286">IF($F286&lt;&gt;"", XLOOKUP($F286,Productos!$A$2:$A1001,Productos!AC$2:AC1001,"")*$G286,"")</f>
        <v/>
      </c>
      <c r="AK286" s="179" t="str">
        <f t="array" ref="AK286">IF($F286&lt;&gt;"",XLOOKUP($F286,Productos!$A:$A,Productos!AD:AD,"Revisar"),"")</f>
        <v/>
      </c>
      <c r="AL286" s="179" t="str">
        <f t="array" ref="AL286">IF($F286&lt;&gt;"", XLOOKUP($F286,Productos!$A$2:$A1001,Productos!AE$2:AE1001,"")*$G286,"")</f>
        <v/>
      </c>
      <c r="AM286" s="179" t="str">
        <f t="array" ref="AM286">IF($F286&lt;&gt;"",XLOOKUP($F286,Productos!$A:$A,Productos!AF:AF,"Revisar"),"")</f>
        <v/>
      </c>
      <c r="AN286" s="179" t="str">
        <f t="array" ref="AN286">IF($F286&lt;&gt;"", XLOOKUP($F286,Productos!$A$2:$A1001,Productos!AG$2:AG1001,"")*$G286,"")</f>
        <v/>
      </c>
      <c r="AO286" s="179" t="str">
        <f t="array" ref="AO286">IF($F286&lt;&gt;"",XLOOKUP($F286,Productos!$A:$A,Productos!AH:AH,"Revisar"),"")</f>
        <v/>
      </c>
      <c r="AP286" s="179" t="str">
        <f t="array" ref="AP286">IF($F286&lt;&gt;"", XLOOKUP($F286,Productos!$A$2:$A1001,Productos!AI$2:AI1001,"")*$G286,"")</f>
        <v/>
      </c>
      <c r="AQ286" s="179" t="str">
        <f t="array" ref="AQ286">IF($F286&lt;&gt;"",XLOOKUP($F286,Productos!$A:$A,Productos!AJ:AJ,"Revisar"),"")</f>
        <v/>
      </c>
      <c r="AR286" s="179" t="str">
        <f t="array" ref="AR286">IF($F286&lt;&gt;"", XLOOKUP($F286,Productos!$A$2:$A1001,Productos!AK$2:AK1001,"")*$G286,"")</f>
        <v/>
      </c>
      <c r="AS286" s="179" t="str">
        <f t="array" ref="AS286">IF($F286&lt;&gt;"",XLOOKUP($F286,Productos!$A:$A,Productos!AL:AL,"Revisar"),"")</f>
        <v/>
      </c>
      <c r="AT286" s="179" t="str">
        <f t="array" ref="AT286">IF($F286&lt;&gt;"", XLOOKUP($F286,Productos!$A$2:$A1001,Productos!AM$2:AM1001,"")*$G286,"")</f>
        <v/>
      </c>
      <c r="AU286" s="179" t="str">
        <f t="array" ref="AU286">IF($F286&lt;&gt;"",XLOOKUP($F286,Productos!$A:$A,Productos!AN:AN,"Revisar"),"")</f>
        <v/>
      </c>
      <c r="AV286" s="179" t="str">
        <f t="array" ref="AV286">IF($F286&lt;&gt;"", XLOOKUP($F286,Productos!$A$2:$A1001,Productos!AO$2:AO1001,"")*$G286,"")</f>
        <v/>
      </c>
      <c r="AW286" s="179" t="str">
        <f t="array" ref="AW286">IF($F286&lt;&gt;"",XLOOKUP($F286,Productos!$A:$A,Productos!AP:AP,"Revisar"),"")</f>
        <v/>
      </c>
      <c r="AX286" s="179" t="str">
        <f t="array" ref="AX286">IF($F286&lt;&gt;"", XLOOKUP($F286,Productos!$A$2:$A1001,Productos!AQ$2:AQ1001,"")*$G286,"")</f>
        <v/>
      </c>
      <c r="AY286" s="179" t="str">
        <f t="array" ref="AY286">IF($F286&lt;&gt;"",XLOOKUP($F286,Productos!$A:$A,Productos!AR:AR,"Revisar"),"")</f>
        <v/>
      </c>
      <c r="AZ286" s="179" t="str">
        <f t="array" ref="AZ286">IF($F286&lt;&gt;"", XLOOKUP($F286,Productos!$A$2:$A1001,Productos!AS$2:AS1001,"")*$G286,"")</f>
        <v/>
      </c>
      <c r="BA286" s="179" t="str">
        <f t="array" ref="BA286">IF($F286&lt;&gt;"",XLOOKUP($F286,Productos!$A:$A,Productos!AT:AT,"Revisar"),"")</f>
        <v/>
      </c>
      <c r="BB286" s="179" t="str">
        <f t="array" ref="BB286">IF($F286&lt;&gt;"", XLOOKUP($F286,Productos!$A$2:$A1001,Productos!AU$2:AU1001,"")*$G286,"")</f>
        <v/>
      </c>
      <c r="BC286" s="179" t="str">
        <f t="array" ref="BC286">IF($F286&lt;&gt;"",XLOOKUP($F286,Productos!$A:$A,Productos!AV:AV,"Revisar"),"")</f>
        <v/>
      </c>
      <c r="BD286" s="179" t="str">
        <f t="array" ref="BD286">IF($F286&lt;&gt;"", XLOOKUP($F286,Productos!$A$2:$A1001,Productos!AW$2:AW1001,"")*$G286,"")</f>
        <v/>
      </c>
      <c r="BE286" s="179" t="str">
        <f t="array" ref="BE286">IF($F286&lt;&gt;"",XLOOKUP($F286,Productos!$A:$A,Productos!AX:AX,"Revisar"),"")</f>
        <v/>
      </c>
      <c r="BF286" s="179" t="str">
        <f t="array" ref="BF286">IF($F286&lt;&gt;"", XLOOKUP($F286,Productos!$A$2:$A1001,Productos!AY$2:AY1001,"")*$G286,"")</f>
        <v/>
      </c>
      <c r="BG286" s="179" t="str">
        <f t="array" ref="BG286">IF($F286&lt;&gt;"",XLOOKUP($F286,Productos!$A:$A,Productos!AZ:AZ,"Revisar"),"")</f>
        <v/>
      </c>
      <c r="BH286" s="179" t="str">
        <f t="array" ref="BH286">IF($F286&lt;&gt;"", XLOOKUP($F286,Productos!$A$2:$A1001,Productos!BA$2:BA1001,"")*$G286,"")</f>
        <v/>
      </c>
      <c r="BI286" s="179" t="str">
        <f t="array" ref="BI286">IF($F286&lt;&gt;"",XLOOKUP($F286,Productos!$A:$A,Productos!BB:BB,"Revisar"),"")</f>
        <v/>
      </c>
      <c r="BJ286" s="179" t="str">
        <f t="array" ref="BJ286">IF($F286&lt;&gt;"", XLOOKUP($F286,Productos!$A$2:$A1001,Productos!BC$2:BC1001,"")*$G286,"")</f>
        <v/>
      </c>
      <c r="BK286" s="179" t="str">
        <f t="array" ref="BK286">IF($F286&lt;&gt;"",XLOOKUP($F286,Productos!$A:$A,Productos!BD:BD,"Revisar"),"")</f>
        <v/>
      </c>
      <c r="BL286" s="179" t="str">
        <f t="array" ref="BL286">IF($F286&lt;&gt;"", XLOOKUP($F286,Productos!$A$2:$A1001,Productos!BE$2:BE1001,"")*$G286,"")</f>
        <v/>
      </c>
      <c r="BM286" s="179" t="str">
        <f t="array" ref="BM286">IF($F286&lt;&gt;"",XLOOKUP($F286,Productos!$A:$A,Productos!BF:BF,"Revisar"),"")</f>
        <v/>
      </c>
      <c r="BN286" s="179" t="str">
        <f t="array" ref="BN286">IF($F286&lt;&gt;"", XLOOKUP($F286,Productos!$A$2:$A1001,Productos!BG$2:BG1001,"")*$G286,"")</f>
        <v/>
      </c>
      <c r="BO286" s="179" t="str">
        <f t="array" ref="BO286">IF($F286&lt;&gt;"",XLOOKUP($F286,Productos!$A:$A,Productos!BH:BH,"Revisar"),"")</f>
        <v/>
      </c>
      <c r="BP286" s="179" t="str">
        <f t="array" ref="BP286">IF($F286&lt;&gt;"", XLOOKUP($F286,Productos!$A$2:$A1001,Productos!BI$2:BI1001,"")*$G286,"")</f>
        <v/>
      </c>
      <c r="BQ286" s="179" t="str">
        <f t="array" ref="BQ286">IF($F286&lt;&gt;"",XLOOKUP($F286,Productos!$A:$A,Productos!BJ:BJ,"Revisar"),"")</f>
        <v/>
      </c>
      <c r="BR286" s="179" t="str">
        <f t="array" ref="BR286">IF($F286&lt;&gt;"", XLOOKUP($F286,Productos!$A$2:$A1001,Productos!BK$2:BK1001,"")*$G286,"")</f>
        <v/>
      </c>
      <c r="BS286" s="179" t="str">
        <f t="array" ref="BS286">IF($F286&lt;&gt;"",XLOOKUP($F286,Productos!$A:$A,Productos!BL:BL,"Revisar"),"")</f>
        <v/>
      </c>
      <c r="BT286" s="179" t="str">
        <f t="array" ref="BT286">IF($F286&lt;&gt;"", XLOOKUP($F286,Productos!$A$2:$A1001,Productos!BM$2:BM1001,"")*$G286,"")</f>
        <v/>
      </c>
      <c r="BU286" s="179" t="str">
        <f t="array" ref="BU286">IF($F286&lt;&gt;"",XLOOKUP($F286,Productos!$A:$A,Productos!BN:BN,"Revisar"),"")</f>
        <v/>
      </c>
      <c r="BV286" s="179" t="str">
        <f t="array" ref="BV286">IF($F286&lt;&gt;"", XLOOKUP($F286,Productos!$A$2:$A1001,Productos!BO$2:BO1001,"")*$G286,"")</f>
        <v/>
      </c>
      <c r="BW286" s="179" t="str">
        <f t="array" ref="BW286">IF($F286&lt;&gt;"",XLOOKUP($F286,Productos!$A:$A,Productos!BP:BP,"Revisar"),"")</f>
        <v/>
      </c>
      <c r="BX286" s="179" t="str">
        <f t="array" ref="BX286">IF($F286&lt;&gt;"", XLOOKUP($F286,Productos!$A$2:$A1001,Productos!BQ$2:BQ1001,"")*$G286,"")</f>
        <v/>
      </c>
      <c r="BY286" s="179" t="str">
        <f t="array" ref="BY286">IF($F286&lt;&gt;"",XLOOKUP($F286,Productos!$A:$A,Productos!BR:BR,"Revisar"),"")</f>
        <v/>
      </c>
      <c r="BZ286" s="179" t="str">
        <f t="array" ref="BZ286">IF($F286&lt;&gt;"", XLOOKUP($F286,Productos!$A$2:$A1001,Productos!BS$2:BS1001,"")*$G286,"")</f>
        <v/>
      </c>
    </row>
    <row r="287">
      <c r="A287" s="180"/>
      <c r="B287" s="181"/>
      <c r="C287" s="182"/>
      <c r="D287" s="182"/>
      <c r="E287" s="185"/>
      <c r="F287" s="186"/>
      <c r="G287" s="187"/>
      <c r="H287" s="186"/>
      <c r="I287" s="179" t="str">
        <f t="array" ref="I287">IF($F287&lt;&gt;"",XLOOKUP($F287,Productos!$A:$A,Productos!B:B,"Revisar"),"")</f>
        <v/>
      </c>
      <c r="J287" s="179" t="str">
        <f t="array" ref="J287">IF($F287&lt;&gt;"", XLOOKUP($F287,Productos!$A$2:$A1001,Productos!C$2:C1001,"")*$G287,"")</f>
        <v/>
      </c>
      <c r="K287" s="179" t="str">
        <f t="array" ref="K287">IF($F287&lt;&gt;"",XLOOKUP($F287,Productos!$A:$A,Productos!D:D,"Revisar"),"")</f>
        <v/>
      </c>
      <c r="L287" s="179" t="str">
        <f t="array" ref="L287">IF($F287&lt;&gt;"", XLOOKUP($F287,Productos!$A$2:$A1001,Productos!E$2:E1001,"")*$G287,"")</f>
        <v/>
      </c>
      <c r="M287" s="179" t="str">
        <f t="array" ref="M287">IF($F287&lt;&gt;"",XLOOKUP($F287,Productos!$A:$A,Productos!F:F,"Revisar"),"")</f>
        <v/>
      </c>
      <c r="N287" s="179" t="str">
        <f t="array" ref="N287">IF($F287&lt;&gt;"", XLOOKUP($F287,Productos!$A$2:$A1001,Productos!G$2:G1001,"")*$G287,"")</f>
        <v/>
      </c>
      <c r="O287" s="179" t="str">
        <f t="array" ref="O287">IF($F287&lt;&gt;"",XLOOKUP($F287,Productos!$A:$A,Productos!H:H,"Revisar"),"")</f>
        <v/>
      </c>
      <c r="P287" s="179" t="str">
        <f t="array" ref="P287">IF($F287&lt;&gt;"", XLOOKUP($F287,Productos!$A$2:$A1001,Productos!I$2:I1001,"")*$G287,"")</f>
        <v/>
      </c>
      <c r="Q287" s="179" t="str">
        <f t="array" ref="Q287">IF($F287&lt;&gt;"",XLOOKUP($F287,Productos!$A:$A,Productos!J:J,"Revisar"),"")</f>
        <v/>
      </c>
      <c r="R287" s="179" t="str">
        <f t="array" ref="R287">IF($F287&lt;&gt;"", XLOOKUP($F287,Productos!$A$2:$A1001,Productos!K$2:K1001,"")*$G287,"")</f>
        <v/>
      </c>
      <c r="S287" s="179" t="str">
        <f t="array" ref="S287">IF($F287&lt;&gt;"",XLOOKUP($F287,Productos!$A:$A,Productos!L:L,"Revisar"),"")</f>
        <v/>
      </c>
      <c r="T287" s="179" t="str">
        <f t="array" ref="T287">IF($F287&lt;&gt;"", XLOOKUP($F287,Productos!$A$2:$A1001,Productos!M$2:M1001,"")*$G287,"")</f>
        <v/>
      </c>
      <c r="U287" s="179" t="str">
        <f t="array" ref="U287">IF($F287&lt;&gt;"",XLOOKUP($F287,Productos!$A:$A,Productos!N:N,"Revisar"),"")</f>
        <v/>
      </c>
      <c r="V287" s="179" t="str">
        <f t="array" ref="V287">IF($F287&lt;&gt;"", XLOOKUP($F287,Productos!$A$2:$A1001,Productos!O$2:O1001,"")*$G287,"")</f>
        <v/>
      </c>
      <c r="W287" s="179" t="str">
        <f t="array" ref="W287">IF($F287&lt;&gt;"",XLOOKUP($F287,Productos!$A:$A,Productos!P:P,"Revisar"),"")</f>
        <v/>
      </c>
      <c r="X287" s="179" t="str">
        <f t="array" ref="X287">IF($F287&lt;&gt;"", XLOOKUP($F287,Productos!$A$2:$A1001,Productos!Q$2:Q1001,"")*$G287,"")</f>
        <v/>
      </c>
      <c r="Y287" s="179" t="str">
        <f t="array" ref="Y287">IF($F287&lt;&gt;"",XLOOKUP($F287,Productos!$A:$A,Productos!R:R,"Revisar"),"")</f>
        <v/>
      </c>
      <c r="Z287" s="179" t="str">
        <f t="array" ref="Z287">IF($F287&lt;&gt;"", XLOOKUP($F287,Productos!$A$2:$A1001,Productos!S$2:S1001,"")*$G287,"")</f>
        <v/>
      </c>
      <c r="AA287" s="179" t="str">
        <f t="array" ref="AA287">IF($F287&lt;&gt;"",XLOOKUP($F287,Productos!$A:$A,Productos!T:T,"Revisar"),"")</f>
        <v/>
      </c>
      <c r="AB287" s="179" t="str">
        <f t="array" ref="AB287">IF($F287&lt;&gt;"", XLOOKUP($F287,Productos!$A$2:$A1001,Productos!U$2:U1001,"")*$G287,"")</f>
        <v/>
      </c>
      <c r="AC287" s="179" t="str">
        <f t="array" ref="AC287">IF($F287&lt;&gt;"",XLOOKUP($F287,Productos!$A:$A,Productos!V:V,"Revisar"),"")</f>
        <v/>
      </c>
      <c r="AD287" s="179" t="str">
        <f t="array" ref="AD287">IF($F287&lt;&gt;"", XLOOKUP($F287,Productos!$A$2:$A1001,Productos!W$2:W1001,"")*$G287,"")</f>
        <v/>
      </c>
      <c r="AE287" s="179" t="str">
        <f t="array" ref="AE287">IF($F287&lt;&gt;"",XLOOKUP($F287,Productos!$A:$A,Productos!X:X,"Revisar"),"")</f>
        <v/>
      </c>
      <c r="AF287" s="179" t="str">
        <f t="array" ref="AF287">IF($F287&lt;&gt;"", XLOOKUP($F287,Productos!$A$2:$A1001,Productos!Y$2:Y1001,"")*$G287,"")</f>
        <v/>
      </c>
      <c r="AG287" s="179" t="str">
        <f t="array" ref="AG287">IF($F287&lt;&gt;"",XLOOKUP($F287,Productos!$A:$A,Productos!Z:Z,"Revisar"),"")</f>
        <v/>
      </c>
      <c r="AH287" s="179" t="str">
        <f t="array" ref="AH287">IF($F287&lt;&gt;"", XLOOKUP($F287,Productos!$A$2:$A1001,Productos!AA$2:AA1001,"")*$G287,"")</f>
        <v/>
      </c>
      <c r="AI287" s="179" t="str">
        <f t="array" ref="AI287">IF($F287&lt;&gt;"",XLOOKUP($F287,Productos!$A:$A,Productos!AB:AB,"Revisar"),"")</f>
        <v/>
      </c>
      <c r="AJ287" s="179" t="str">
        <f t="array" ref="AJ287">IF($F287&lt;&gt;"", XLOOKUP($F287,Productos!$A$2:$A1001,Productos!AC$2:AC1001,"")*$G287,"")</f>
        <v/>
      </c>
      <c r="AK287" s="179" t="str">
        <f t="array" ref="AK287">IF($F287&lt;&gt;"",XLOOKUP($F287,Productos!$A:$A,Productos!AD:AD,"Revisar"),"")</f>
        <v/>
      </c>
      <c r="AL287" s="179" t="str">
        <f t="array" ref="AL287">IF($F287&lt;&gt;"", XLOOKUP($F287,Productos!$A$2:$A1001,Productos!AE$2:AE1001,"")*$G287,"")</f>
        <v/>
      </c>
      <c r="AM287" s="179" t="str">
        <f t="array" ref="AM287">IF($F287&lt;&gt;"",XLOOKUP($F287,Productos!$A:$A,Productos!AF:AF,"Revisar"),"")</f>
        <v/>
      </c>
      <c r="AN287" s="179" t="str">
        <f t="array" ref="AN287">IF($F287&lt;&gt;"", XLOOKUP($F287,Productos!$A$2:$A1001,Productos!AG$2:AG1001,"")*$G287,"")</f>
        <v/>
      </c>
      <c r="AO287" s="179" t="str">
        <f t="array" ref="AO287">IF($F287&lt;&gt;"",XLOOKUP($F287,Productos!$A:$A,Productos!AH:AH,"Revisar"),"")</f>
        <v/>
      </c>
      <c r="AP287" s="179" t="str">
        <f t="array" ref="AP287">IF($F287&lt;&gt;"", XLOOKUP($F287,Productos!$A$2:$A1001,Productos!AI$2:AI1001,"")*$G287,"")</f>
        <v/>
      </c>
      <c r="AQ287" s="179" t="str">
        <f t="array" ref="AQ287">IF($F287&lt;&gt;"",XLOOKUP($F287,Productos!$A:$A,Productos!AJ:AJ,"Revisar"),"")</f>
        <v/>
      </c>
      <c r="AR287" s="179" t="str">
        <f t="array" ref="AR287">IF($F287&lt;&gt;"", XLOOKUP($F287,Productos!$A$2:$A1001,Productos!AK$2:AK1001,"")*$G287,"")</f>
        <v/>
      </c>
      <c r="AS287" s="179" t="str">
        <f t="array" ref="AS287">IF($F287&lt;&gt;"",XLOOKUP($F287,Productos!$A:$A,Productos!AL:AL,"Revisar"),"")</f>
        <v/>
      </c>
      <c r="AT287" s="179" t="str">
        <f t="array" ref="AT287">IF($F287&lt;&gt;"", XLOOKUP($F287,Productos!$A$2:$A1001,Productos!AM$2:AM1001,"")*$G287,"")</f>
        <v/>
      </c>
      <c r="AU287" s="179" t="str">
        <f t="array" ref="AU287">IF($F287&lt;&gt;"",XLOOKUP($F287,Productos!$A:$A,Productos!AN:AN,"Revisar"),"")</f>
        <v/>
      </c>
      <c r="AV287" s="179" t="str">
        <f t="array" ref="AV287">IF($F287&lt;&gt;"", XLOOKUP($F287,Productos!$A$2:$A1001,Productos!AO$2:AO1001,"")*$G287,"")</f>
        <v/>
      </c>
      <c r="AW287" s="179" t="str">
        <f t="array" ref="AW287">IF($F287&lt;&gt;"",XLOOKUP($F287,Productos!$A:$A,Productos!AP:AP,"Revisar"),"")</f>
        <v/>
      </c>
      <c r="AX287" s="179" t="str">
        <f t="array" ref="AX287">IF($F287&lt;&gt;"", XLOOKUP($F287,Productos!$A$2:$A1001,Productos!AQ$2:AQ1001,"")*$G287,"")</f>
        <v/>
      </c>
      <c r="AY287" s="179" t="str">
        <f t="array" ref="AY287">IF($F287&lt;&gt;"",XLOOKUP($F287,Productos!$A:$A,Productos!AR:AR,"Revisar"),"")</f>
        <v/>
      </c>
      <c r="AZ287" s="179" t="str">
        <f t="array" ref="AZ287">IF($F287&lt;&gt;"", XLOOKUP($F287,Productos!$A$2:$A1001,Productos!AS$2:AS1001,"")*$G287,"")</f>
        <v/>
      </c>
      <c r="BA287" s="179" t="str">
        <f t="array" ref="BA287">IF($F287&lt;&gt;"",XLOOKUP($F287,Productos!$A:$A,Productos!AT:AT,"Revisar"),"")</f>
        <v/>
      </c>
      <c r="BB287" s="179" t="str">
        <f t="array" ref="BB287">IF($F287&lt;&gt;"", XLOOKUP($F287,Productos!$A$2:$A1001,Productos!AU$2:AU1001,"")*$G287,"")</f>
        <v/>
      </c>
      <c r="BC287" s="179" t="str">
        <f t="array" ref="BC287">IF($F287&lt;&gt;"",XLOOKUP($F287,Productos!$A:$A,Productos!AV:AV,"Revisar"),"")</f>
        <v/>
      </c>
      <c r="BD287" s="179" t="str">
        <f t="array" ref="BD287">IF($F287&lt;&gt;"", XLOOKUP($F287,Productos!$A$2:$A1001,Productos!AW$2:AW1001,"")*$G287,"")</f>
        <v/>
      </c>
      <c r="BE287" s="179" t="str">
        <f t="array" ref="BE287">IF($F287&lt;&gt;"",XLOOKUP($F287,Productos!$A:$A,Productos!AX:AX,"Revisar"),"")</f>
        <v/>
      </c>
      <c r="BF287" s="179" t="str">
        <f t="array" ref="BF287">IF($F287&lt;&gt;"", XLOOKUP($F287,Productos!$A$2:$A1001,Productos!AY$2:AY1001,"")*$G287,"")</f>
        <v/>
      </c>
      <c r="BG287" s="179" t="str">
        <f t="array" ref="BG287">IF($F287&lt;&gt;"",XLOOKUP($F287,Productos!$A:$A,Productos!AZ:AZ,"Revisar"),"")</f>
        <v/>
      </c>
      <c r="BH287" s="179" t="str">
        <f t="array" ref="BH287">IF($F287&lt;&gt;"", XLOOKUP($F287,Productos!$A$2:$A1001,Productos!BA$2:BA1001,"")*$G287,"")</f>
        <v/>
      </c>
      <c r="BI287" s="179" t="str">
        <f t="array" ref="BI287">IF($F287&lt;&gt;"",XLOOKUP($F287,Productos!$A:$A,Productos!BB:BB,"Revisar"),"")</f>
        <v/>
      </c>
      <c r="BJ287" s="179" t="str">
        <f t="array" ref="BJ287">IF($F287&lt;&gt;"", XLOOKUP($F287,Productos!$A$2:$A1001,Productos!BC$2:BC1001,"")*$G287,"")</f>
        <v/>
      </c>
      <c r="BK287" s="179" t="str">
        <f t="array" ref="BK287">IF($F287&lt;&gt;"",XLOOKUP($F287,Productos!$A:$A,Productos!BD:BD,"Revisar"),"")</f>
        <v/>
      </c>
      <c r="BL287" s="179" t="str">
        <f t="array" ref="BL287">IF($F287&lt;&gt;"", XLOOKUP($F287,Productos!$A$2:$A1001,Productos!BE$2:BE1001,"")*$G287,"")</f>
        <v/>
      </c>
      <c r="BM287" s="179" t="str">
        <f t="array" ref="BM287">IF($F287&lt;&gt;"",XLOOKUP($F287,Productos!$A:$A,Productos!BF:BF,"Revisar"),"")</f>
        <v/>
      </c>
      <c r="BN287" s="179" t="str">
        <f t="array" ref="BN287">IF($F287&lt;&gt;"", XLOOKUP($F287,Productos!$A$2:$A1001,Productos!BG$2:BG1001,"")*$G287,"")</f>
        <v/>
      </c>
      <c r="BO287" s="179" t="str">
        <f t="array" ref="BO287">IF($F287&lt;&gt;"",XLOOKUP($F287,Productos!$A:$A,Productos!BH:BH,"Revisar"),"")</f>
        <v/>
      </c>
      <c r="BP287" s="179" t="str">
        <f t="array" ref="BP287">IF($F287&lt;&gt;"", XLOOKUP($F287,Productos!$A$2:$A1001,Productos!BI$2:BI1001,"")*$G287,"")</f>
        <v/>
      </c>
      <c r="BQ287" s="179" t="str">
        <f t="array" ref="BQ287">IF($F287&lt;&gt;"",XLOOKUP($F287,Productos!$A:$A,Productos!BJ:BJ,"Revisar"),"")</f>
        <v/>
      </c>
      <c r="BR287" s="179" t="str">
        <f t="array" ref="BR287">IF($F287&lt;&gt;"", XLOOKUP($F287,Productos!$A$2:$A1001,Productos!BK$2:BK1001,"")*$G287,"")</f>
        <v/>
      </c>
      <c r="BS287" s="179" t="str">
        <f t="array" ref="BS287">IF($F287&lt;&gt;"",XLOOKUP($F287,Productos!$A:$A,Productos!BL:BL,"Revisar"),"")</f>
        <v/>
      </c>
      <c r="BT287" s="179" t="str">
        <f t="array" ref="BT287">IF($F287&lt;&gt;"", XLOOKUP($F287,Productos!$A$2:$A1001,Productos!BM$2:BM1001,"")*$G287,"")</f>
        <v/>
      </c>
      <c r="BU287" s="179" t="str">
        <f t="array" ref="BU287">IF($F287&lt;&gt;"",XLOOKUP($F287,Productos!$A:$A,Productos!BN:BN,"Revisar"),"")</f>
        <v/>
      </c>
      <c r="BV287" s="179" t="str">
        <f t="array" ref="BV287">IF($F287&lt;&gt;"", XLOOKUP($F287,Productos!$A$2:$A1001,Productos!BO$2:BO1001,"")*$G287,"")</f>
        <v/>
      </c>
      <c r="BW287" s="179" t="str">
        <f t="array" ref="BW287">IF($F287&lt;&gt;"",XLOOKUP($F287,Productos!$A:$A,Productos!BP:BP,"Revisar"),"")</f>
        <v/>
      </c>
      <c r="BX287" s="179" t="str">
        <f t="array" ref="BX287">IF($F287&lt;&gt;"", XLOOKUP($F287,Productos!$A$2:$A1001,Productos!BQ$2:BQ1001,"")*$G287,"")</f>
        <v/>
      </c>
      <c r="BY287" s="179" t="str">
        <f t="array" ref="BY287">IF($F287&lt;&gt;"",XLOOKUP($F287,Productos!$A:$A,Productos!BR:BR,"Revisar"),"")</f>
        <v/>
      </c>
      <c r="BZ287" s="179" t="str">
        <f t="array" ref="BZ287">IF($F287&lt;&gt;"", XLOOKUP($F287,Productos!$A$2:$A1001,Productos!BS$2:BS1001,"")*$G287,"")</f>
        <v/>
      </c>
    </row>
    <row r="288">
      <c r="A288" s="180"/>
      <c r="B288" s="181"/>
      <c r="C288" s="182"/>
      <c r="D288" s="182"/>
      <c r="E288" s="185"/>
      <c r="F288" s="186"/>
      <c r="G288" s="187"/>
      <c r="H288" s="186"/>
      <c r="I288" s="179" t="str">
        <f t="array" ref="I288">IF($F288&lt;&gt;"",XLOOKUP($F288,Productos!$A:$A,Productos!B:B,"Revisar"),"")</f>
        <v/>
      </c>
      <c r="J288" s="179" t="str">
        <f t="array" ref="J288">IF($F288&lt;&gt;"", XLOOKUP($F288,Productos!$A$2:$A1001,Productos!C$2:C1001,"")*$G288,"")</f>
        <v/>
      </c>
      <c r="K288" s="179" t="str">
        <f t="array" ref="K288">IF($F288&lt;&gt;"",XLOOKUP($F288,Productos!$A:$A,Productos!D:D,"Revisar"),"")</f>
        <v/>
      </c>
      <c r="L288" s="179" t="str">
        <f t="array" ref="L288">IF($F288&lt;&gt;"", XLOOKUP($F288,Productos!$A$2:$A1001,Productos!E$2:E1001,"")*$G288,"")</f>
        <v/>
      </c>
      <c r="M288" s="179" t="str">
        <f t="array" ref="M288">IF($F288&lt;&gt;"",XLOOKUP($F288,Productos!$A:$A,Productos!F:F,"Revisar"),"")</f>
        <v/>
      </c>
      <c r="N288" s="179" t="str">
        <f t="array" ref="N288">IF($F288&lt;&gt;"", XLOOKUP($F288,Productos!$A$2:$A1001,Productos!G$2:G1001,"")*$G288,"")</f>
        <v/>
      </c>
      <c r="O288" s="179" t="str">
        <f t="array" ref="O288">IF($F288&lt;&gt;"",XLOOKUP($F288,Productos!$A:$A,Productos!H:H,"Revisar"),"")</f>
        <v/>
      </c>
      <c r="P288" s="179" t="str">
        <f t="array" ref="P288">IF($F288&lt;&gt;"", XLOOKUP($F288,Productos!$A$2:$A1001,Productos!I$2:I1001,"")*$G288,"")</f>
        <v/>
      </c>
      <c r="Q288" s="179" t="str">
        <f t="array" ref="Q288">IF($F288&lt;&gt;"",XLOOKUP($F288,Productos!$A:$A,Productos!J:J,"Revisar"),"")</f>
        <v/>
      </c>
      <c r="R288" s="179" t="str">
        <f t="array" ref="R288">IF($F288&lt;&gt;"", XLOOKUP($F288,Productos!$A$2:$A1001,Productos!K$2:K1001,"")*$G288,"")</f>
        <v/>
      </c>
      <c r="S288" s="179" t="str">
        <f t="array" ref="S288">IF($F288&lt;&gt;"",XLOOKUP($F288,Productos!$A:$A,Productos!L:L,"Revisar"),"")</f>
        <v/>
      </c>
      <c r="T288" s="179" t="str">
        <f t="array" ref="T288">IF($F288&lt;&gt;"", XLOOKUP($F288,Productos!$A$2:$A1001,Productos!M$2:M1001,"")*$G288,"")</f>
        <v/>
      </c>
      <c r="U288" s="179" t="str">
        <f t="array" ref="U288">IF($F288&lt;&gt;"",XLOOKUP($F288,Productos!$A:$A,Productos!N:N,"Revisar"),"")</f>
        <v/>
      </c>
      <c r="V288" s="179" t="str">
        <f t="array" ref="V288">IF($F288&lt;&gt;"", XLOOKUP($F288,Productos!$A$2:$A1001,Productos!O$2:O1001,"")*$G288,"")</f>
        <v/>
      </c>
      <c r="W288" s="179" t="str">
        <f t="array" ref="W288">IF($F288&lt;&gt;"",XLOOKUP($F288,Productos!$A:$A,Productos!P:P,"Revisar"),"")</f>
        <v/>
      </c>
      <c r="X288" s="179" t="str">
        <f t="array" ref="X288">IF($F288&lt;&gt;"", XLOOKUP($F288,Productos!$A$2:$A1001,Productos!Q$2:Q1001,"")*$G288,"")</f>
        <v/>
      </c>
      <c r="Y288" s="179" t="str">
        <f t="array" ref="Y288">IF($F288&lt;&gt;"",XLOOKUP($F288,Productos!$A:$A,Productos!R:R,"Revisar"),"")</f>
        <v/>
      </c>
      <c r="Z288" s="179" t="str">
        <f t="array" ref="Z288">IF($F288&lt;&gt;"", XLOOKUP($F288,Productos!$A$2:$A1001,Productos!S$2:S1001,"")*$G288,"")</f>
        <v/>
      </c>
      <c r="AA288" s="179" t="str">
        <f t="array" ref="AA288">IF($F288&lt;&gt;"",XLOOKUP($F288,Productos!$A:$A,Productos!T:T,"Revisar"),"")</f>
        <v/>
      </c>
      <c r="AB288" s="179" t="str">
        <f t="array" ref="AB288">IF($F288&lt;&gt;"", XLOOKUP($F288,Productos!$A$2:$A1001,Productos!U$2:U1001,"")*$G288,"")</f>
        <v/>
      </c>
      <c r="AC288" s="179" t="str">
        <f t="array" ref="AC288">IF($F288&lt;&gt;"",XLOOKUP($F288,Productos!$A:$A,Productos!V:V,"Revisar"),"")</f>
        <v/>
      </c>
      <c r="AD288" s="179" t="str">
        <f t="array" ref="AD288">IF($F288&lt;&gt;"", XLOOKUP($F288,Productos!$A$2:$A1001,Productos!W$2:W1001,"")*$G288,"")</f>
        <v/>
      </c>
      <c r="AE288" s="179" t="str">
        <f t="array" ref="AE288">IF($F288&lt;&gt;"",XLOOKUP($F288,Productos!$A:$A,Productos!X:X,"Revisar"),"")</f>
        <v/>
      </c>
      <c r="AF288" s="179" t="str">
        <f t="array" ref="AF288">IF($F288&lt;&gt;"", XLOOKUP($F288,Productos!$A$2:$A1001,Productos!Y$2:Y1001,"")*$G288,"")</f>
        <v/>
      </c>
      <c r="AG288" s="179" t="str">
        <f t="array" ref="AG288">IF($F288&lt;&gt;"",XLOOKUP($F288,Productos!$A:$A,Productos!Z:Z,"Revisar"),"")</f>
        <v/>
      </c>
      <c r="AH288" s="179" t="str">
        <f t="array" ref="AH288">IF($F288&lt;&gt;"", XLOOKUP($F288,Productos!$A$2:$A1001,Productos!AA$2:AA1001,"")*$G288,"")</f>
        <v/>
      </c>
      <c r="AI288" s="179" t="str">
        <f t="array" ref="AI288">IF($F288&lt;&gt;"",XLOOKUP($F288,Productos!$A:$A,Productos!AB:AB,"Revisar"),"")</f>
        <v/>
      </c>
      <c r="AJ288" s="179" t="str">
        <f t="array" ref="AJ288">IF($F288&lt;&gt;"", XLOOKUP($F288,Productos!$A$2:$A1001,Productos!AC$2:AC1001,"")*$G288,"")</f>
        <v/>
      </c>
      <c r="AK288" s="179" t="str">
        <f t="array" ref="AK288">IF($F288&lt;&gt;"",XLOOKUP($F288,Productos!$A:$A,Productos!AD:AD,"Revisar"),"")</f>
        <v/>
      </c>
      <c r="AL288" s="179" t="str">
        <f t="array" ref="AL288">IF($F288&lt;&gt;"", XLOOKUP($F288,Productos!$A$2:$A1001,Productos!AE$2:AE1001,"")*$G288,"")</f>
        <v/>
      </c>
      <c r="AM288" s="179" t="str">
        <f t="array" ref="AM288">IF($F288&lt;&gt;"",XLOOKUP($F288,Productos!$A:$A,Productos!AF:AF,"Revisar"),"")</f>
        <v/>
      </c>
      <c r="AN288" s="179" t="str">
        <f t="array" ref="AN288">IF($F288&lt;&gt;"", XLOOKUP($F288,Productos!$A$2:$A1001,Productos!AG$2:AG1001,"")*$G288,"")</f>
        <v/>
      </c>
      <c r="AO288" s="179" t="str">
        <f t="array" ref="AO288">IF($F288&lt;&gt;"",XLOOKUP($F288,Productos!$A:$A,Productos!AH:AH,"Revisar"),"")</f>
        <v/>
      </c>
      <c r="AP288" s="179" t="str">
        <f t="array" ref="AP288">IF($F288&lt;&gt;"", XLOOKUP($F288,Productos!$A$2:$A1001,Productos!AI$2:AI1001,"")*$G288,"")</f>
        <v/>
      </c>
      <c r="AQ288" s="179" t="str">
        <f t="array" ref="AQ288">IF($F288&lt;&gt;"",XLOOKUP($F288,Productos!$A:$A,Productos!AJ:AJ,"Revisar"),"")</f>
        <v/>
      </c>
      <c r="AR288" s="179" t="str">
        <f t="array" ref="AR288">IF($F288&lt;&gt;"", XLOOKUP($F288,Productos!$A$2:$A1001,Productos!AK$2:AK1001,"")*$G288,"")</f>
        <v/>
      </c>
      <c r="AS288" s="179" t="str">
        <f t="array" ref="AS288">IF($F288&lt;&gt;"",XLOOKUP($F288,Productos!$A:$A,Productos!AL:AL,"Revisar"),"")</f>
        <v/>
      </c>
      <c r="AT288" s="179" t="str">
        <f t="array" ref="AT288">IF($F288&lt;&gt;"", XLOOKUP($F288,Productos!$A$2:$A1001,Productos!AM$2:AM1001,"")*$G288,"")</f>
        <v/>
      </c>
      <c r="AU288" s="179" t="str">
        <f t="array" ref="AU288">IF($F288&lt;&gt;"",XLOOKUP($F288,Productos!$A:$A,Productos!AN:AN,"Revisar"),"")</f>
        <v/>
      </c>
      <c r="AV288" s="179" t="str">
        <f t="array" ref="AV288">IF($F288&lt;&gt;"", XLOOKUP($F288,Productos!$A$2:$A1001,Productos!AO$2:AO1001,"")*$G288,"")</f>
        <v/>
      </c>
      <c r="AW288" s="179" t="str">
        <f t="array" ref="AW288">IF($F288&lt;&gt;"",XLOOKUP($F288,Productos!$A:$A,Productos!AP:AP,"Revisar"),"")</f>
        <v/>
      </c>
      <c r="AX288" s="179" t="str">
        <f t="array" ref="AX288">IF($F288&lt;&gt;"", XLOOKUP($F288,Productos!$A$2:$A1001,Productos!AQ$2:AQ1001,"")*$G288,"")</f>
        <v/>
      </c>
      <c r="AY288" s="179" t="str">
        <f t="array" ref="AY288">IF($F288&lt;&gt;"",XLOOKUP($F288,Productos!$A:$A,Productos!AR:AR,"Revisar"),"")</f>
        <v/>
      </c>
      <c r="AZ288" s="179" t="str">
        <f t="array" ref="AZ288">IF($F288&lt;&gt;"", XLOOKUP($F288,Productos!$A$2:$A1001,Productos!AS$2:AS1001,"")*$G288,"")</f>
        <v/>
      </c>
      <c r="BA288" s="179" t="str">
        <f t="array" ref="BA288">IF($F288&lt;&gt;"",XLOOKUP($F288,Productos!$A:$A,Productos!AT:AT,"Revisar"),"")</f>
        <v/>
      </c>
      <c r="BB288" s="179" t="str">
        <f t="array" ref="BB288">IF($F288&lt;&gt;"", XLOOKUP($F288,Productos!$A$2:$A1001,Productos!AU$2:AU1001,"")*$G288,"")</f>
        <v/>
      </c>
      <c r="BC288" s="179" t="str">
        <f t="array" ref="BC288">IF($F288&lt;&gt;"",XLOOKUP($F288,Productos!$A:$A,Productos!AV:AV,"Revisar"),"")</f>
        <v/>
      </c>
      <c r="BD288" s="179" t="str">
        <f t="array" ref="BD288">IF($F288&lt;&gt;"", XLOOKUP($F288,Productos!$A$2:$A1001,Productos!AW$2:AW1001,"")*$G288,"")</f>
        <v/>
      </c>
      <c r="BE288" s="179" t="str">
        <f t="array" ref="BE288">IF($F288&lt;&gt;"",XLOOKUP($F288,Productos!$A:$A,Productos!AX:AX,"Revisar"),"")</f>
        <v/>
      </c>
      <c r="BF288" s="179" t="str">
        <f t="array" ref="BF288">IF($F288&lt;&gt;"", XLOOKUP($F288,Productos!$A$2:$A1001,Productos!AY$2:AY1001,"")*$G288,"")</f>
        <v/>
      </c>
      <c r="BG288" s="179" t="str">
        <f t="array" ref="BG288">IF($F288&lt;&gt;"",XLOOKUP($F288,Productos!$A:$A,Productos!AZ:AZ,"Revisar"),"")</f>
        <v/>
      </c>
      <c r="BH288" s="179" t="str">
        <f t="array" ref="BH288">IF($F288&lt;&gt;"", XLOOKUP($F288,Productos!$A$2:$A1001,Productos!BA$2:BA1001,"")*$G288,"")</f>
        <v/>
      </c>
      <c r="BI288" s="179" t="str">
        <f t="array" ref="BI288">IF($F288&lt;&gt;"",XLOOKUP($F288,Productos!$A:$A,Productos!BB:BB,"Revisar"),"")</f>
        <v/>
      </c>
      <c r="BJ288" s="179" t="str">
        <f t="array" ref="BJ288">IF($F288&lt;&gt;"", XLOOKUP($F288,Productos!$A$2:$A1001,Productos!BC$2:BC1001,"")*$G288,"")</f>
        <v/>
      </c>
      <c r="BK288" s="179" t="str">
        <f t="array" ref="BK288">IF($F288&lt;&gt;"",XLOOKUP($F288,Productos!$A:$A,Productos!BD:BD,"Revisar"),"")</f>
        <v/>
      </c>
      <c r="BL288" s="179" t="str">
        <f t="array" ref="BL288">IF($F288&lt;&gt;"", XLOOKUP($F288,Productos!$A$2:$A1001,Productos!BE$2:BE1001,"")*$G288,"")</f>
        <v/>
      </c>
      <c r="BM288" s="179" t="str">
        <f t="array" ref="BM288">IF($F288&lt;&gt;"",XLOOKUP($F288,Productos!$A:$A,Productos!BF:BF,"Revisar"),"")</f>
        <v/>
      </c>
      <c r="BN288" s="179" t="str">
        <f t="array" ref="BN288">IF($F288&lt;&gt;"", XLOOKUP($F288,Productos!$A$2:$A1001,Productos!BG$2:BG1001,"")*$G288,"")</f>
        <v/>
      </c>
      <c r="BO288" s="179" t="str">
        <f t="array" ref="BO288">IF($F288&lt;&gt;"",XLOOKUP($F288,Productos!$A:$A,Productos!BH:BH,"Revisar"),"")</f>
        <v/>
      </c>
      <c r="BP288" s="179" t="str">
        <f t="array" ref="BP288">IF($F288&lt;&gt;"", XLOOKUP($F288,Productos!$A$2:$A1001,Productos!BI$2:BI1001,"")*$G288,"")</f>
        <v/>
      </c>
      <c r="BQ288" s="179" t="str">
        <f t="array" ref="BQ288">IF($F288&lt;&gt;"",XLOOKUP($F288,Productos!$A:$A,Productos!BJ:BJ,"Revisar"),"")</f>
        <v/>
      </c>
      <c r="BR288" s="179" t="str">
        <f t="array" ref="BR288">IF($F288&lt;&gt;"", XLOOKUP($F288,Productos!$A$2:$A1001,Productos!BK$2:BK1001,"")*$G288,"")</f>
        <v/>
      </c>
      <c r="BS288" s="179" t="str">
        <f t="array" ref="BS288">IF($F288&lt;&gt;"",XLOOKUP($F288,Productos!$A:$A,Productos!BL:BL,"Revisar"),"")</f>
        <v/>
      </c>
      <c r="BT288" s="179" t="str">
        <f t="array" ref="BT288">IF($F288&lt;&gt;"", XLOOKUP($F288,Productos!$A$2:$A1001,Productos!BM$2:BM1001,"")*$G288,"")</f>
        <v/>
      </c>
      <c r="BU288" s="179" t="str">
        <f t="array" ref="BU288">IF($F288&lt;&gt;"",XLOOKUP($F288,Productos!$A:$A,Productos!BN:BN,"Revisar"),"")</f>
        <v/>
      </c>
      <c r="BV288" s="179" t="str">
        <f t="array" ref="BV288">IF($F288&lt;&gt;"", XLOOKUP($F288,Productos!$A$2:$A1001,Productos!BO$2:BO1001,"")*$G288,"")</f>
        <v/>
      </c>
      <c r="BW288" s="179" t="str">
        <f t="array" ref="BW288">IF($F288&lt;&gt;"",XLOOKUP($F288,Productos!$A:$A,Productos!BP:BP,"Revisar"),"")</f>
        <v/>
      </c>
      <c r="BX288" s="179" t="str">
        <f t="array" ref="BX288">IF($F288&lt;&gt;"", XLOOKUP($F288,Productos!$A$2:$A1001,Productos!BQ$2:BQ1001,"")*$G288,"")</f>
        <v/>
      </c>
      <c r="BY288" s="179" t="str">
        <f t="array" ref="BY288">IF($F288&lt;&gt;"",XLOOKUP($F288,Productos!$A:$A,Productos!BR:BR,"Revisar"),"")</f>
        <v/>
      </c>
      <c r="BZ288" s="179" t="str">
        <f t="array" ref="BZ288">IF($F288&lt;&gt;"", XLOOKUP($F288,Productos!$A$2:$A1001,Productos!BS$2:BS1001,"")*$G288,"")</f>
        <v/>
      </c>
    </row>
    <row r="289">
      <c r="A289" s="180"/>
      <c r="B289" s="181"/>
      <c r="C289" s="182"/>
      <c r="D289" s="182"/>
      <c r="E289" s="185"/>
      <c r="F289" s="186"/>
      <c r="G289" s="187"/>
      <c r="H289" s="186"/>
      <c r="I289" s="179" t="str">
        <f t="array" ref="I289">IF($F289&lt;&gt;"",XLOOKUP($F289,Productos!$A:$A,Productos!B:B,"Revisar"),"")</f>
        <v/>
      </c>
      <c r="J289" s="179" t="str">
        <f t="array" ref="J289">IF($F289&lt;&gt;"", XLOOKUP($F289,Productos!$A$2:$A1001,Productos!C$2:C1001,"")*$G289,"")</f>
        <v/>
      </c>
      <c r="K289" s="179" t="str">
        <f t="array" ref="K289">IF($F289&lt;&gt;"",XLOOKUP($F289,Productos!$A:$A,Productos!D:D,"Revisar"),"")</f>
        <v/>
      </c>
      <c r="L289" s="179" t="str">
        <f t="array" ref="L289">IF($F289&lt;&gt;"", XLOOKUP($F289,Productos!$A$2:$A1001,Productos!E$2:E1001,"")*$G289,"")</f>
        <v/>
      </c>
      <c r="M289" s="179" t="str">
        <f t="array" ref="M289">IF($F289&lt;&gt;"",XLOOKUP($F289,Productos!$A:$A,Productos!F:F,"Revisar"),"")</f>
        <v/>
      </c>
      <c r="N289" s="179" t="str">
        <f t="array" ref="N289">IF($F289&lt;&gt;"", XLOOKUP($F289,Productos!$A$2:$A1001,Productos!G$2:G1001,"")*$G289,"")</f>
        <v/>
      </c>
      <c r="O289" s="179" t="str">
        <f t="array" ref="O289">IF($F289&lt;&gt;"",XLOOKUP($F289,Productos!$A:$A,Productos!H:H,"Revisar"),"")</f>
        <v/>
      </c>
      <c r="P289" s="179" t="str">
        <f t="array" ref="P289">IF($F289&lt;&gt;"", XLOOKUP($F289,Productos!$A$2:$A1001,Productos!I$2:I1001,"")*$G289,"")</f>
        <v/>
      </c>
      <c r="Q289" s="179" t="str">
        <f t="array" ref="Q289">IF($F289&lt;&gt;"",XLOOKUP($F289,Productos!$A:$A,Productos!J:J,"Revisar"),"")</f>
        <v/>
      </c>
      <c r="R289" s="179" t="str">
        <f t="array" ref="R289">IF($F289&lt;&gt;"", XLOOKUP($F289,Productos!$A$2:$A1001,Productos!K$2:K1001,"")*$G289,"")</f>
        <v/>
      </c>
      <c r="S289" s="179" t="str">
        <f t="array" ref="S289">IF($F289&lt;&gt;"",XLOOKUP($F289,Productos!$A:$A,Productos!L:L,"Revisar"),"")</f>
        <v/>
      </c>
      <c r="T289" s="179" t="str">
        <f t="array" ref="T289">IF($F289&lt;&gt;"", XLOOKUP($F289,Productos!$A$2:$A1001,Productos!M$2:M1001,"")*$G289,"")</f>
        <v/>
      </c>
      <c r="U289" s="179" t="str">
        <f t="array" ref="U289">IF($F289&lt;&gt;"",XLOOKUP($F289,Productos!$A:$A,Productos!N:N,"Revisar"),"")</f>
        <v/>
      </c>
      <c r="V289" s="179" t="str">
        <f t="array" ref="V289">IF($F289&lt;&gt;"", XLOOKUP($F289,Productos!$A$2:$A1001,Productos!O$2:O1001,"")*$G289,"")</f>
        <v/>
      </c>
      <c r="W289" s="179" t="str">
        <f t="array" ref="W289">IF($F289&lt;&gt;"",XLOOKUP($F289,Productos!$A:$A,Productos!P:P,"Revisar"),"")</f>
        <v/>
      </c>
      <c r="X289" s="179" t="str">
        <f t="array" ref="X289">IF($F289&lt;&gt;"", XLOOKUP($F289,Productos!$A$2:$A1001,Productos!Q$2:Q1001,"")*$G289,"")</f>
        <v/>
      </c>
      <c r="Y289" s="179" t="str">
        <f t="array" ref="Y289">IF($F289&lt;&gt;"",XLOOKUP($F289,Productos!$A:$A,Productos!R:R,"Revisar"),"")</f>
        <v/>
      </c>
      <c r="Z289" s="179" t="str">
        <f t="array" ref="Z289">IF($F289&lt;&gt;"", XLOOKUP($F289,Productos!$A$2:$A1001,Productos!S$2:S1001,"")*$G289,"")</f>
        <v/>
      </c>
      <c r="AA289" s="179" t="str">
        <f t="array" ref="AA289">IF($F289&lt;&gt;"",XLOOKUP($F289,Productos!$A:$A,Productos!T:T,"Revisar"),"")</f>
        <v/>
      </c>
      <c r="AB289" s="179" t="str">
        <f t="array" ref="AB289">IF($F289&lt;&gt;"", XLOOKUP($F289,Productos!$A$2:$A1001,Productos!U$2:U1001,"")*$G289,"")</f>
        <v/>
      </c>
      <c r="AC289" s="179" t="str">
        <f t="array" ref="AC289">IF($F289&lt;&gt;"",XLOOKUP($F289,Productos!$A:$A,Productos!V:V,"Revisar"),"")</f>
        <v/>
      </c>
      <c r="AD289" s="179" t="str">
        <f t="array" ref="AD289">IF($F289&lt;&gt;"", XLOOKUP($F289,Productos!$A$2:$A1001,Productos!W$2:W1001,"")*$G289,"")</f>
        <v/>
      </c>
      <c r="AE289" s="179" t="str">
        <f t="array" ref="AE289">IF($F289&lt;&gt;"",XLOOKUP($F289,Productos!$A:$A,Productos!X:X,"Revisar"),"")</f>
        <v/>
      </c>
      <c r="AF289" s="179" t="str">
        <f t="array" ref="AF289">IF($F289&lt;&gt;"", XLOOKUP($F289,Productos!$A$2:$A1001,Productos!Y$2:Y1001,"")*$G289,"")</f>
        <v/>
      </c>
      <c r="AG289" s="179" t="str">
        <f t="array" ref="AG289">IF($F289&lt;&gt;"",XLOOKUP($F289,Productos!$A:$A,Productos!Z:Z,"Revisar"),"")</f>
        <v/>
      </c>
      <c r="AH289" s="179" t="str">
        <f t="array" ref="AH289">IF($F289&lt;&gt;"", XLOOKUP($F289,Productos!$A$2:$A1001,Productos!AA$2:AA1001,"")*$G289,"")</f>
        <v/>
      </c>
      <c r="AI289" s="179" t="str">
        <f t="array" ref="AI289">IF($F289&lt;&gt;"",XLOOKUP($F289,Productos!$A:$A,Productos!AB:AB,"Revisar"),"")</f>
        <v/>
      </c>
      <c r="AJ289" s="179" t="str">
        <f t="array" ref="AJ289">IF($F289&lt;&gt;"", XLOOKUP($F289,Productos!$A$2:$A1001,Productos!AC$2:AC1001,"")*$G289,"")</f>
        <v/>
      </c>
      <c r="AK289" s="179" t="str">
        <f t="array" ref="AK289">IF($F289&lt;&gt;"",XLOOKUP($F289,Productos!$A:$A,Productos!AD:AD,"Revisar"),"")</f>
        <v/>
      </c>
      <c r="AL289" s="179" t="str">
        <f t="array" ref="AL289">IF($F289&lt;&gt;"", XLOOKUP($F289,Productos!$A$2:$A1001,Productos!AE$2:AE1001,"")*$G289,"")</f>
        <v/>
      </c>
      <c r="AM289" s="179" t="str">
        <f t="array" ref="AM289">IF($F289&lt;&gt;"",XLOOKUP($F289,Productos!$A:$A,Productos!AF:AF,"Revisar"),"")</f>
        <v/>
      </c>
      <c r="AN289" s="179" t="str">
        <f t="array" ref="AN289">IF($F289&lt;&gt;"", XLOOKUP($F289,Productos!$A$2:$A1001,Productos!AG$2:AG1001,"")*$G289,"")</f>
        <v/>
      </c>
      <c r="AO289" s="179" t="str">
        <f t="array" ref="AO289">IF($F289&lt;&gt;"",XLOOKUP($F289,Productos!$A:$A,Productos!AH:AH,"Revisar"),"")</f>
        <v/>
      </c>
      <c r="AP289" s="179" t="str">
        <f t="array" ref="AP289">IF($F289&lt;&gt;"", XLOOKUP($F289,Productos!$A$2:$A1001,Productos!AI$2:AI1001,"")*$G289,"")</f>
        <v/>
      </c>
      <c r="AQ289" s="179" t="str">
        <f t="array" ref="AQ289">IF($F289&lt;&gt;"",XLOOKUP($F289,Productos!$A:$A,Productos!AJ:AJ,"Revisar"),"")</f>
        <v/>
      </c>
      <c r="AR289" s="179" t="str">
        <f t="array" ref="AR289">IF($F289&lt;&gt;"", XLOOKUP($F289,Productos!$A$2:$A1001,Productos!AK$2:AK1001,"")*$G289,"")</f>
        <v/>
      </c>
      <c r="AS289" s="179" t="str">
        <f t="array" ref="AS289">IF($F289&lt;&gt;"",XLOOKUP($F289,Productos!$A:$A,Productos!AL:AL,"Revisar"),"")</f>
        <v/>
      </c>
      <c r="AT289" s="179" t="str">
        <f t="array" ref="AT289">IF($F289&lt;&gt;"", XLOOKUP($F289,Productos!$A$2:$A1001,Productos!AM$2:AM1001,"")*$G289,"")</f>
        <v/>
      </c>
      <c r="AU289" s="179" t="str">
        <f t="array" ref="AU289">IF($F289&lt;&gt;"",XLOOKUP($F289,Productos!$A:$A,Productos!AN:AN,"Revisar"),"")</f>
        <v/>
      </c>
      <c r="AV289" s="179" t="str">
        <f t="array" ref="AV289">IF($F289&lt;&gt;"", XLOOKUP($F289,Productos!$A$2:$A1001,Productos!AO$2:AO1001,"")*$G289,"")</f>
        <v/>
      </c>
      <c r="AW289" s="179" t="str">
        <f t="array" ref="AW289">IF($F289&lt;&gt;"",XLOOKUP($F289,Productos!$A:$A,Productos!AP:AP,"Revisar"),"")</f>
        <v/>
      </c>
      <c r="AX289" s="179" t="str">
        <f t="array" ref="AX289">IF($F289&lt;&gt;"", XLOOKUP($F289,Productos!$A$2:$A1001,Productos!AQ$2:AQ1001,"")*$G289,"")</f>
        <v/>
      </c>
      <c r="AY289" s="179" t="str">
        <f t="array" ref="AY289">IF($F289&lt;&gt;"",XLOOKUP($F289,Productos!$A:$A,Productos!AR:AR,"Revisar"),"")</f>
        <v/>
      </c>
      <c r="AZ289" s="179" t="str">
        <f t="array" ref="AZ289">IF($F289&lt;&gt;"", XLOOKUP($F289,Productos!$A$2:$A1001,Productos!AS$2:AS1001,"")*$G289,"")</f>
        <v/>
      </c>
      <c r="BA289" s="179" t="str">
        <f t="array" ref="BA289">IF($F289&lt;&gt;"",XLOOKUP($F289,Productos!$A:$A,Productos!AT:AT,"Revisar"),"")</f>
        <v/>
      </c>
      <c r="BB289" s="179" t="str">
        <f t="array" ref="BB289">IF($F289&lt;&gt;"", XLOOKUP($F289,Productos!$A$2:$A1001,Productos!AU$2:AU1001,"")*$G289,"")</f>
        <v/>
      </c>
      <c r="BC289" s="179" t="str">
        <f t="array" ref="BC289">IF($F289&lt;&gt;"",XLOOKUP($F289,Productos!$A:$A,Productos!AV:AV,"Revisar"),"")</f>
        <v/>
      </c>
      <c r="BD289" s="179" t="str">
        <f t="array" ref="BD289">IF($F289&lt;&gt;"", XLOOKUP($F289,Productos!$A$2:$A1001,Productos!AW$2:AW1001,"")*$G289,"")</f>
        <v/>
      </c>
      <c r="BE289" s="179" t="str">
        <f t="array" ref="BE289">IF($F289&lt;&gt;"",XLOOKUP($F289,Productos!$A:$A,Productos!AX:AX,"Revisar"),"")</f>
        <v/>
      </c>
      <c r="BF289" s="179" t="str">
        <f t="array" ref="BF289">IF($F289&lt;&gt;"", XLOOKUP($F289,Productos!$A$2:$A1001,Productos!AY$2:AY1001,"")*$G289,"")</f>
        <v/>
      </c>
      <c r="BG289" s="179" t="str">
        <f t="array" ref="BG289">IF($F289&lt;&gt;"",XLOOKUP($F289,Productos!$A:$A,Productos!AZ:AZ,"Revisar"),"")</f>
        <v/>
      </c>
      <c r="BH289" s="179" t="str">
        <f t="array" ref="BH289">IF($F289&lt;&gt;"", XLOOKUP($F289,Productos!$A$2:$A1001,Productos!BA$2:BA1001,"")*$G289,"")</f>
        <v/>
      </c>
      <c r="BI289" s="179" t="str">
        <f t="array" ref="BI289">IF($F289&lt;&gt;"",XLOOKUP($F289,Productos!$A:$A,Productos!BB:BB,"Revisar"),"")</f>
        <v/>
      </c>
      <c r="BJ289" s="179" t="str">
        <f t="array" ref="BJ289">IF($F289&lt;&gt;"", XLOOKUP($F289,Productos!$A$2:$A1001,Productos!BC$2:BC1001,"")*$G289,"")</f>
        <v/>
      </c>
      <c r="BK289" s="179" t="str">
        <f t="array" ref="BK289">IF($F289&lt;&gt;"",XLOOKUP($F289,Productos!$A:$A,Productos!BD:BD,"Revisar"),"")</f>
        <v/>
      </c>
      <c r="BL289" s="179" t="str">
        <f t="array" ref="BL289">IF($F289&lt;&gt;"", XLOOKUP($F289,Productos!$A$2:$A1001,Productos!BE$2:BE1001,"")*$G289,"")</f>
        <v/>
      </c>
      <c r="BM289" s="179" t="str">
        <f t="array" ref="BM289">IF($F289&lt;&gt;"",XLOOKUP($F289,Productos!$A:$A,Productos!BF:BF,"Revisar"),"")</f>
        <v/>
      </c>
      <c r="BN289" s="179" t="str">
        <f t="array" ref="BN289">IF($F289&lt;&gt;"", XLOOKUP($F289,Productos!$A$2:$A1001,Productos!BG$2:BG1001,"")*$G289,"")</f>
        <v/>
      </c>
      <c r="BO289" s="179" t="str">
        <f t="array" ref="BO289">IF($F289&lt;&gt;"",XLOOKUP($F289,Productos!$A:$A,Productos!BH:BH,"Revisar"),"")</f>
        <v/>
      </c>
      <c r="BP289" s="179" t="str">
        <f t="array" ref="BP289">IF($F289&lt;&gt;"", XLOOKUP($F289,Productos!$A$2:$A1001,Productos!BI$2:BI1001,"")*$G289,"")</f>
        <v/>
      </c>
      <c r="BQ289" s="179" t="str">
        <f t="array" ref="BQ289">IF($F289&lt;&gt;"",XLOOKUP($F289,Productos!$A:$A,Productos!BJ:BJ,"Revisar"),"")</f>
        <v/>
      </c>
      <c r="BR289" s="179" t="str">
        <f t="array" ref="BR289">IF($F289&lt;&gt;"", XLOOKUP($F289,Productos!$A$2:$A1001,Productos!BK$2:BK1001,"")*$G289,"")</f>
        <v/>
      </c>
      <c r="BS289" s="179" t="str">
        <f t="array" ref="BS289">IF($F289&lt;&gt;"",XLOOKUP($F289,Productos!$A:$A,Productos!BL:BL,"Revisar"),"")</f>
        <v/>
      </c>
      <c r="BT289" s="179" t="str">
        <f t="array" ref="BT289">IF($F289&lt;&gt;"", XLOOKUP($F289,Productos!$A$2:$A1001,Productos!BM$2:BM1001,"")*$G289,"")</f>
        <v/>
      </c>
      <c r="BU289" s="179" t="str">
        <f t="array" ref="BU289">IF($F289&lt;&gt;"",XLOOKUP($F289,Productos!$A:$A,Productos!BN:BN,"Revisar"),"")</f>
        <v/>
      </c>
      <c r="BV289" s="179" t="str">
        <f t="array" ref="BV289">IF($F289&lt;&gt;"", XLOOKUP($F289,Productos!$A$2:$A1001,Productos!BO$2:BO1001,"")*$G289,"")</f>
        <v/>
      </c>
      <c r="BW289" s="179" t="str">
        <f t="array" ref="BW289">IF($F289&lt;&gt;"",XLOOKUP($F289,Productos!$A:$A,Productos!BP:BP,"Revisar"),"")</f>
        <v/>
      </c>
      <c r="BX289" s="179" t="str">
        <f t="array" ref="BX289">IF($F289&lt;&gt;"", XLOOKUP($F289,Productos!$A$2:$A1001,Productos!BQ$2:BQ1001,"")*$G289,"")</f>
        <v/>
      </c>
      <c r="BY289" s="179" t="str">
        <f t="array" ref="BY289">IF($F289&lt;&gt;"",XLOOKUP($F289,Productos!$A:$A,Productos!BR:BR,"Revisar"),"")</f>
        <v/>
      </c>
      <c r="BZ289" s="179" t="str">
        <f t="array" ref="BZ289">IF($F289&lt;&gt;"", XLOOKUP($F289,Productos!$A$2:$A1001,Productos!BS$2:BS1001,"")*$G289,"")</f>
        <v/>
      </c>
    </row>
    <row r="290">
      <c r="A290" s="180"/>
      <c r="B290" s="181"/>
      <c r="C290" s="182"/>
      <c r="D290" s="182"/>
      <c r="E290" s="185"/>
      <c r="F290" s="186"/>
      <c r="G290" s="187"/>
      <c r="H290" s="186"/>
      <c r="I290" s="179" t="str">
        <f t="array" ref="I290">IF($F290&lt;&gt;"",XLOOKUP($F290,Productos!$A:$A,Productos!B:B,"Revisar"),"")</f>
        <v/>
      </c>
      <c r="J290" s="179" t="str">
        <f t="array" ref="J290">IF($F290&lt;&gt;"", XLOOKUP($F290,Productos!$A$2:$A1001,Productos!C$2:C1001,"")*$G290,"")</f>
        <v/>
      </c>
      <c r="K290" s="179" t="str">
        <f t="array" ref="K290">IF($F290&lt;&gt;"",XLOOKUP($F290,Productos!$A:$A,Productos!D:D,"Revisar"),"")</f>
        <v/>
      </c>
      <c r="L290" s="179" t="str">
        <f t="array" ref="L290">IF($F290&lt;&gt;"", XLOOKUP($F290,Productos!$A$2:$A1001,Productos!E$2:E1001,"")*$G290,"")</f>
        <v/>
      </c>
      <c r="M290" s="179" t="str">
        <f t="array" ref="M290">IF($F290&lt;&gt;"",XLOOKUP($F290,Productos!$A:$A,Productos!F:F,"Revisar"),"")</f>
        <v/>
      </c>
      <c r="N290" s="179" t="str">
        <f t="array" ref="N290">IF($F290&lt;&gt;"", XLOOKUP($F290,Productos!$A$2:$A1001,Productos!G$2:G1001,"")*$G290,"")</f>
        <v/>
      </c>
      <c r="O290" s="179" t="str">
        <f t="array" ref="O290">IF($F290&lt;&gt;"",XLOOKUP($F290,Productos!$A:$A,Productos!H:H,"Revisar"),"")</f>
        <v/>
      </c>
      <c r="P290" s="179" t="str">
        <f t="array" ref="P290">IF($F290&lt;&gt;"", XLOOKUP($F290,Productos!$A$2:$A1001,Productos!I$2:I1001,"")*$G290,"")</f>
        <v/>
      </c>
      <c r="Q290" s="179" t="str">
        <f t="array" ref="Q290">IF($F290&lt;&gt;"",XLOOKUP($F290,Productos!$A:$A,Productos!J:J,"Revisar"),"")</f>
        <v/>
      </c>
      <c r="R290" s="179" t="str">
        <f t="array" ref="R290">IF($F290&lt;&gt;"", XLOOKUP($F290,Productos!$A$2:$A1001,Productos!K$2:K1001,"")*$G290,"")</f>
        <v/>
      </c>
      <c r="S290" s="179" t="str">
        <f t="array" ref="S290">IF($F290&lt;&gt;"",XLOOKUP($F290,Productos!$A:$A,Productos!L:L,"Revisar"),"")</f>
        <v/>
      </c>
      <c r="T290" s="179" t="str">
        <f t="array" ref="T290">IF($F290&lt;&gt;"", XLOOKUP($F290,Productos!$A$2:$A1001,Productos!M$2:M1001,"")*$G290,"")</f>
        <v/>
      </c>
      <c r="U290" s="179" t="str">
        <f t="array" ref="U290">IF($F290&lt;&gt;"",XLOOKUP($F290,Productos!$A:$A,Productos!N:N,"Revisar"),"")</f>
        <v/>
      </c>
      <c r="V290" s="179" t="str">
        <f t="array" ref="V290">IF($F290&lt;&gt;"", XLOOKUP($F290,Productos!$A$2:$A1001,Productos!O$2:O1001,"")*$G290,"")</f>
        <v/>
      </c>
      <c r="W290" s="179" t="str">
        <f t="array" ref="W290">IF($F290&lt;&gt;"",XLOOKUP($F290,Productos!$A:$A,Productos!P:P,"Revisar"),"")</f>
        <v/>
      </c>
      <c r="X290" s="179" t="str">
        <f t="array" ref="X290">IF($F290&lt;&gt;"", XLOOKUP($F290,Productos!$A$2:$A1001,Productos!Q$2:Q1001,"")*$G290,"")</f>
        <v/>
      </c>
      <c r="Y290" s="179" t="str">
        <f t="array" ref="Y290">IF($F290&lt;&gt;"",XLOOKUP($F290,Productos!$A:$A,Productos!R:R,"Revisar"),"")</f>
        <v/>
      </c>
      <c r="Z290" s="179" t="str">
        <f t="array" ref="Z290">IF($F290&lt;&gt;"", XLOOKUP($F290,Productos!$A$2:$A1001,Productos!S$2:S1001,"")*$G290,"")</f>
        <v/>
      </c>
      <c r="AA290" s="179" t="str">
        <f t="array" ref="AA290">IF($F290&lt;&gt;"",XLOOKUP($F290,Productos!$A:$A,Productos!T:T,"Revisar"),"")</f>
        <v/>
      </c>
      <c r="AB290" s="179" t="str">
        <f t="array" ref="AB290">IF($F290&lt;&gt;"", XLOOKUP($F290,Productos!$A$2:$A1001,Productos!U$2:U1001,"")*$G290,"")</f>
        <v/>
      </c>
      <c r="AC290" s="179" t="str">
        <f t="array" ref="AC290">IF($F290&lt;&gt;"",XLOOKUP($F290,Productos!$A:$A,Productos!V:V,"Revisar"),"")</f>
        <v/>
      </c>
      <c r="AD290" s="179" t="str">
        <f t="array" ref="AD290">IF($F290&lt;&gt;"", XLOOKUP($F290,Productos!$A$2:$A1001,Productos!W$2:W1001,"")*$G290,"")</f>
        <v/>
      </c>
      <c r="AE290" s="179" t="str">
        <f t="array" ref="AE290">IF($F290&lt;&gt;"",XLOOKUP($F290,Productos!$A:$A,Productos!X:X,"Revisar"),"")</f>
        <v/>
      </c>
      <c r="AF290" s="179" t="str">
        <f t="array" ref="AF290">IF($F290&lt;&gt;"", XLOOKUP($F290,Productos!$A$2:$A1001,Productos!Y$2:Y1001,"")*$G290,"")</f>
        <v/>
      </c>
      <c r="AG290" s="179" t="str">
        <f t="array" ref="AG290">IF($F290&lt;&gt;"",XLOOKUP($F290,Productos!$A:$A,Productos!Z:Z,"Revisar"),"")</f>
        <v/>
      </c>
      <c r="AH290" s="179" t="str">
        <f t="array" ref="AH290">IF($F290&lt;&gt;"", XLOOKUP($F290,Productos!$A$2:$A1001,Productos!AA$2:AA1001,"")*$G290,"")</f>
        <v/>
      </c>
      <c r="AI290" s="179" t="str">
        <f t="array" ref="AI290">IF($F290&lt;&gt;"",XLOOKUP($F290,Productos!$A:$A,Productos!AB:AB,"Revisar"),"")</f>
        <v/>
      </c>
      <c r="AJ290" s="179" t="str">
        <f t="array" ref="AJ290">IF($F290&lt;&gt;"", XLOOKUP($F290,Productos!$A$2:$A1001,Productos!AC$2:AC1001,"")*$G290,"")</f>
        <v/>
      </c>
      <c r="AK290" s="179" t="str">
        <f t="array" ref="AK290">IF($F290&lt;&gt;"",XLOOKUP($F290,Productos!$A:$A,Productos!AD:AD,"Revisar"),"")</f>
        <v/>
      </c>
      <c r="AL290" s="179" t="str">
        <f t="array" ref="AL290">IF($F290&lt;&gt;"", XLOOKUP($F290,Productos!$A$2:$A1001,Productos!AE$2:AE1001,"")*$G290,"")</f>
        <v/>
      </c>
      <c r="AM290" s="179" t="str">
        <f t="array" ref="AM290">IF($F290&lt;&gt;"",XLOOKUP($F290,Productos!$A:$A,Productos!AF:AF,"Revisar"),"")</f>
        <v/>
      </c>
      <c r="AN290" s="179" t="str">
        <f t="array" ref="AN290">IF($F290&lt;&gt;"", XLOOKUP($F290,Productos!$A$2:$A1001,Productos!AG$2:AG1001,"")*$G290,"")</f>
        <v/>
      </c>
      <c r="AO290" s="179" t="str">
        <f t="array" ref="AO290">IF($F290&lt;&gt;"",XLOOKUP($F290,Productos!$A:$A,Productos!AH:AH,"Revisar"),"")</f>
        <v/>
      </c>
      <c r="AP290" s="179" t="str">
        <f t="array" ref="AP290">IF($F290&lt;&gt;"", XLOOKUP($F290,Productos!$A$2:$A1001,Productos!AI$2:AI1001,"")*$G290,"")</f>
        <v/>
      </c>
      <c r="AQ290" s="179" t="str">
        <f t="array" ref="AQ290">IF($F290&lt;&gt;"",XLOOKUP($F290,Productos!$A:$A,Productos!AJ:AJ,"Revisar"),"")</f>
        <v/>
      </c>
      <c r="AR290" s="179" t="str">
        <f t="array" ref="AR290">IF($F290&lt;&gt;"", XLOOKUP($F290,Productos!$A$2:$A1001,Productos!AK$2:AK1001,"")*$G290,"")</f>
        <v/>
      </c>
      <c r="AS290" s="179" t="str">
        <f t="array" ref="AS290">IF($F290&lt;&gt;"",XLOOKUP($F290,Productos!$A:$A,Productos!AL:AL,"Revisar"),"")</f>
        <v/>
      </c>
      <c r="AT290" s="179" t="str">
        <f t="array" ref="AT290">IF($F290&lt;&gt;"", XLOOKUP($F290,Productos!$A$2:$A1001,Productos!AM$2:AM1001,"")*$G290,"")</f>
        <v/>
      </c>
      <c r="AU290" s="179" t="str">
        <f t="array" ref="AU290">IF($F290&lt;&gt;"",XLOOKUP($F290,Productos!$A:$A,Productos!AN:AN,"Revisar"),"")</f>
        <v/>
      </c>
      <c r="AV290" s="179" t="str">
        <f t="array" ref="AV290">IF($F290&lt;&gt;"", XLOOKUP($F290,Productos!$A$2:$A1001,Productos!AO$2:AO1001,"")*$G290,"")</f>
        <v/>
      </c>
      <c r="AW290" s="179" t="str">
        <f t="array" ref="AW290">IF($F290&lt;&gt;"",XLOOKUP($F290,Productos!$A:$A,Productos!AP:AP,"Revisar"),"")</f>
        <v/>
      </c>
      <c r="AX290" s="179" t="str">
        <f t="array" ref="AX290">IF($F290&lt;&gt;"", XLOOKUP($F290,Productos!$A$2:$A1001,Productos!AQ$2:AQ1001,"")*$G290,"")</f>
        <v/>
      </c>
      <c r="AY290" s="179" t="str">
        <f t="array" ref="AY290">IF($F290&lt;&gt;"",XLOOKUP($F290,Productos!$A:$A,Productos!AR:AR,"Revisar"),"")</f>
        <v/>
      </c>
      <c r="AZ290" s="179" t="str">
        <f t="array" ref="AZ290">IF($F290&lt;&gt;"", XLOOKUP($F290,Productos!$A$2:$A1001,Productos!AS$2:AS1001,"")*$G290,"")</f>
        <v/>
      </c>
      <c r="BA290" s="179" t="str">
        <f t="array" ref="BA290">IF($F290&lt;&gt;"",XLOOKUP($F290,Productos!$A:$A,Productos!AT:AT,"Revisar"),"")</f>
        <v/>
      </c>
      <c r="BB290" s="179" t="str">
        <f t="array" ref="BB290">IF($F290&lt;&gt;"", XLOOKUP($F290,Productos!$A$2:$A1001,Productos!AU$2:AU1001,"")*$G290,"")</f>
        <v/>
      </c>
      <c r="BC290" s="179" t="str">
        <f t="array" ref="BC290">IF($F290&lt;&gt;"",XLOOKUP($F290,Productos!$A:$A,Productos!AV:AV,"Revisar"),"")</f>
        <v/>
      </c>
      <c r="BD290" s="179" t="str">
        <f t="array" ref="BD290">IF($F290&lt;&gt;"", XLOOKUP($F290,Productos!$A$2:$A1001,Productos!AW$2:AW1001,"")*$G290,"")</f>
        <v/>
      </c>
      <c r="BE290" s="179" t="str">
        <f t="array" ref="BE290">IF($F290&lt;&gt;"",XLOOKUP($F290,Productos!$A:$A,Productos!AX:AX,"Revisar"),"")</f>
        <v/>
      </c>
      <c r="BF290" s="179" t="str">
        <f t="array" ref="BF290">IF($F290&lt;&gt;"", XLOOKUP($F290,Productos!$A$2:$A1001,Productos!AY$2:AY1001,"")*$G290,"")</f>
        <v/>
      </c>
      <c r="BG290" s="179" t="str">
        <f t="array" ref="BG290">IF($F290&lt;&gt;"",XLOOKUP($F290,Productos!$A:$A,Productos!AZ:AZ,"Revisar"),"")</f>
        <v/>
      </c>
      <c r="BH290" s="179" t="str">
        <f t="array" ref="BH290">IF($F290&lt;&gt;"", XLOOKUP($F290,Productos!$A$2:$A1001,Productos!BA$2:BA1001,"")*$G290,"")</f>
        <v/>
      </c>
      <c r="BI290" s="179" t="str">
        <f t="array" ref="BI290">IF($F290&lt;&gt;"",XLOOKUP($F290,Productos!$A:$A,Productos!BB:BB,"Revisar"),"")</f>
        <v/>
      </c>
      <c r="BJ290" s="179" t="str">
        <f t="array" ref="BJ290">IF($F290&lt;&gt;"", XLOOKUP($F290,Productos!$A$2:$A1001,Productos!BC$2:BC1001,"")*$G290,"")</f>
        <v/>
      </c>
      <c r="BK290" s="179" t="str">
        <f t="array" ref="BK290">IF($F290&lt;&gt;"",XLOOKUP($F290,Productos!$A:$A,Productos!BD:BD,"Revisar"),"")</f>
        <v/>
      </c>
      <c r="BL290" s="179" t="str">
        <f t="array" ref="BL290">IF($F290&lt;&gt;"", XLOOKUP($F290,Productos!$A$2:$A1001,Productos!BE$2:BE1001,"")*$G290,"")</f>
        <v/>
      </c>
      <c r="BM290" s="179" t="str">
        <f t="array" ref="BM290">IF($F290&lt;&gt;"",XLOOKUP($F290,Productos!$A:$A,Productos!BF:BF,"Revisar"),"")</f>
        <v/>
      </c>
      <c r="BN290" s="179" t="str">
        <f t="array" ref="BN290">IF($F290&lt;&gt;"", XLOOKUP($F290,Productos!$A$2:$A1001,Productos!BG$2:BG1001,"")*$G290,"")</f>
        <v/>
      </c>
      <c r="BO290" s="179" t="str">
        <f t="array" ref="BO290">IF($F290&lt;&gt;"",XLOOKUP($F290,Productos!$A:$A,Productos!BH:BH,"Revisar"),"")</f>
        <v/>
      </c>
      <c r="BP290" s="179" t="str">
        <f t="array" ref="BP290">IF($F290&lt;&gt;"", XLOOKUP($F290,Productos!$A$2:$A1001,Productos!BI$2:BI1001,"")*$G290,"")</f>
        <v/>
      </c>
      <c r="BQ290" s="179" t="str">
        <f t="array" ref="BQ290">IF($F290&lt;&gt;"",XLOOKUP($F290,Productos!$A:$A,Productos!BJ:BJ,"Revisar"),"")</f>
        <v/>
      </c>
      <c r="BR290" s="179" t="str">
        <f t="array" ref="BR290">IF($F290&lt;&gt;"", XLOOKUP($F290,Productos!$A$2:$A1001,Productos!BK$2:BK1001,"")*$G290,"")</f>
        <v/>
      </c>
      <c r="BS290" s="179" t="str">
        <f t="array" ref="BS290">IF($F290&lt;&gt;"",XLOOKUP($F290,Productos!$A:$A,Productos!BL:BL,"Revisar"),"")</f>
        <v/>
      </c>
      <c r="BT290" s="179" t="str">
        <f t="array" ref="BT290">IF($F290&lt;&gt;"", XLOOKUP($F290,Productos!$A$2:$A1001,Productos!BM$2:BM1001,"")*$G290,"")</f>
        <v/>
      </c>
      <c r="BU290" s="179" t="str">
        <f t="array" ref="BU290">IF($F290&lt;&gt;"",XLOOKUP($F290,Productos!$A:$A,Productos!BN:BN,"Revisar"),"")</f>
        <v/>
      </c>
      <c r="BV290" s="179" t="str">
        <f t="array" ref="BV290">IF($F290&lt;&gt;"", XLOOKUP($F290,Productos!$A$2:$A1001,Productos!BO$2:BO1001,"")*$G290,"")</f>
        <v/>
      </c>
      <c r="BW290" s="179" t="str">
        <f t="array" ref="BW290">IF($F290&lt;&gt;"",XLOOKUP($F290,Productos!$A:$A,Productos!BP:BP,"Revisar"),"")</f>
        <v/>
      </c>
      <c r="BX290" s="179" t="str">
        <f t="array" ref="BX290">IF($F290&lt;&gt;"", XLOOKUP($F290,Productos!$A$2:$A1001,Productos!BQ$2:BQ1001,"")*$G290,"")</f>
        <v/>
      </c>
      <c r="BY290" s="179" t="str">
        <f t="array" ref="BY290">IF($F290&lt;&gt;"",XLOOKUP($F290,Productos!$A:$A,Productos!BR:BR,"Revisar"),"")</f>
        <v/>
      </c>
      <c r="BZ290" s="179" t="str">
        <f t="array" ref="BZ290">IF($F290&lt;&gt;"", XLOOKUP($F290,Productos!$A$2:$A1001,Productos!BS$2:BS1001,"")*$G290,"")</f>
        <v/>
      </c>
    </row>
    <row r="291">
      <c r="A291" s="180"/>
      <c r="B291" s="181"/>
      <c r="C291" s="182"/>
      <c r="D291" s="182"/>
      <c r="E291" s="185"/>
      <c r="F291" s="186"/>
      <c r="G291" s="187"/>
      <c r="H291" s="186"/>
      <c r="I291" s="179" t="str">
        <f t="array" ref="I291">IF($F291&lt;&gt;"",XLOOKUP($F291,Productos!$A:$A,Productos!B:B,"Revisar"),"")</f>
        <v/>
      </c>
      <c r="J291" s="179" t="str">
        <f t="array" ref="J291">IF($F291&lt;&gt;"", XLOOKUP($F291,Productos!$A$2:$A1001,Productos!C$2:C1001,"")*$G291,"")</f>
        <v/>
      </c>
      <c r="K291" s="179" t="str">
        <f t="array" ref="K291">IF($F291&lt;&gt;"",XLOOKUP($F291,Productos!$A:$A,Productos!D:D,"Revisar"),"")</f>
        <v/>
      </c>
      <c r="L291" s="179" t="str">
        <f t="array" ref="L291">IF($F291&lt;&gt;"", XLOOKUP($F291,Productos!$A$2:$A1001,Productos!E$2:E1001,"")*$G291,"")</f>
        <v/>
      </c>
      <c r="M291" s="179" t="str">
        <f t="array" ref="M291">IF($F291&lt;&gt;"",XLOOKUP($F291,Productos!$A:$A,Productos!F:F,"Revisar"),"")</f>
        <v/>
      </c>
      <c r="N291" s="179" t="str">
        <f t="array" ref="N291">IF($F291&lt;&gt;"", XLOOKUP($F291,Productos!$A$2:$A1001,Productos!G$2:G1001,"")*$G291,"")</f>
        <v/>
      </c>
      <c r="O291" s="179" t="str">
        <f t="array" ref="O291">IF($F291&lt;&gt;"",XLOOKUP($F291,Productos!$A:$A,Productos!H:H,"Revisar"),"")</f>
        <v/>
      </c>
      <c r="P291" s="179" t="str">
        <f t="array" ref="P291">IF($F291&lt;&gt;"", XLOOKUP($F291,Productos!$A$2:$A1001,Productos!I$2:I1001,"")*$G291,"")</f>
        <v/>
      </c>
      <c r="Q291" s="179" t="str">
        <f t="array" ref="Q291">IF($F291&lt;&gt;"",XLOOKUP($F291,Productos!$A:$A,Productos!J:J,"Revisar"),"")</f>
        <v/>
      </c>
      <c r="R291" s="179" t="str">
        <f t="array" ref="R291">IF($F291&lt;&gt;"", XLOOKUP($F291,Productos!$A$2:$A1001,Productos!K$2:K1001,"")*$G291,"")</f>
        <v/>
      </c>
      <c r="S291" s="179" t="str">
        <f t="array" ref="S291">IF($F291&lt;&gt;"",XLOOKUP($F291,Productos!$A:$A,Productos!L:L,"Revisar"),"")</f>
        <v/>
      </c>
      <c r="T291" s="179" t="str">
        <f t="array" ref="T291">IF($F291&lt;&gt;"", XLOOKUP($F291,Productos!$A$2:$A1001,Productos!M$2:M1001,"")*$G291,"")</f>
        <v/>
      </c>
      <c r="U291" s="179" t="str">
        <f t="array" ref="U291">IF($F291&lt;&gt;"",XLOOKUP($F291,Productos!$A:$A,Productos!N:N,"Revisar"),"")</f>
        <v/>
      </c>
      <c r="V291" s="179" t="str">
        <f t="array" ref="V291">IF($F291&lt;&gt;"", XLOOKUP($F291,Productos!$A$2:$A1001,Productos!O$2:O1001,"")*$G291,"")</f>
        <v/>
      </c>
      <c r="W291" s="179" t="str">
        <f t="array" ref="W291">IF($F291&lt;&gt;"",XLOOKUP($F291,Productos!$A:$A,Productos!P:P,"Revisar"),"")</f>
        <v/>
      </c>
      <c r="X291" s="179" t="str">
        <f t="array" ref="X291">IF($F291&lt;&gt;"", XLOOKUP($F291,Productos!$A$2:$A1001,Productos!Q$2:Q1001,"")*$G291,"")</f>
        <v/>
      </c>
      <c r="Y291" s="179" t="str">
        <f t="array" ref="Y291">IF($F291&lt;&gt;"",XLOOKUP($F291,Productos!$A:$A,Productos!R:R,"Revisar"),"")</f>
        <v/>
      </c>
      <c r="Z291" s="179" t="str">
        <f t="array" ref="Z291">IF($F291&lt;&gt;"", XLOOKUP($F291,Productos!$A$2:$A1001,Productos!S$2:S1001,"")*$G291,"")</f>
        <v/>
      </c>
      <c r="AA291" s="179" t="str">
        <f t="array" ref="AA291">IF($F291&lt;&gt;"",XLOOKUP($F291,Productos!$A:$A,Productos!T:T,"Revisar"),"")</f>
        <v/>
      </c>
      <c r="AB291" s="179" t="str">
        <f t="array" ref="AB291">IF($F291&lt;&gt;"", XLOOKUP($F291,Productos!$A$2:$A1001,Productos!U$2:U1001,"")*$G291,"")</f>
        <v/>
      </c>
      <c r="AC291" s="179" t="str">
        <f t="array" ref="AC291">IF($F291&lt;&gt;"",XLOOKUP($F291,Productos!$A:$A,Productos!V:V,"Revisar"),"")</f>
        <v/>
      </c>
      <c r="AD291" s="179" t="str">
        <f t="array" ref="AD291">IF($F291&lt;&gt;"", XLOOKUP($F291,Productos!$A$2:$A1001,Productos!W$2:W1001,"")*$G291,"")</f>
        <v/>
      </c>
      <c r="AE291" s="179" t="str">
        <f t="array" ref="AE291">IF($F291&lt;&gt;"",XLOOKUP($F291,Productos!$A:$A,Productos!X:X,"Revisar"),"")</f>
        <v/>
      </c>
      <c r="AF291" s="179" t="str">
        <f t="array" ref="AF291">IF($F291&lt;&gt;"", XLOOKUP($F291,Productos!$A$2:$A1001,Productos!Y$2:Y1001,"")*$G291,"")</f>
        <v/>
      </c>
      <c r="AG291" s="179" t="str">
        <f t="array" ref="AG291">IF($F291&lt;&gt;"",XLOOKUP($F291,Productos!$A:$A,Productos!Z:Z,"Revisar"),"")</f>
        <v/>
      </c>
      <c r="AH291" s="179" t="str">
        <f t="array" ref="AH291">IF($F291&lt;&gt;"", XLOOKUP($F291,Productos!$A$2:$A1001,Productos!AA$2:AA1001,"")*$G291,"")</f>
        <v/>
      </c>
      <c r="AI291" s="179" t="str">
        <f t="array" ref="AI291">IF($F291&lt;&gt;"",XLOOKUP($F291,Productos!$A:$A,Productos!AB:AB,"Revisar"),"")</f>
        <v/>
      </c>
      <c r="AJ291" s="179" t="str">
        <f t="array" ref="AJ291">IF($F291&lt;&gt;"", XLOOKUP($F291,Productos!$A$2:$A1001,Productos!AC$2:AC1001,"")*$G291,"")</f>
        <v/>
      </c>
      <c r="AK291" s="179" t="str">
        <f t="array" ref="AK291">IF($F291&lt;&gt;"",XLOOKUP($F291,Productos!$A:$A,Productos!AD:AD,"Revisar"),"")</f>
        <v/>
      </c>
      <c r="AL291" s="179" t="str">
        <f t="array" ref="AL291">IF($F291&lt;&gt;"", XLOOKUP($F291,Productos!$A$2:$A1001,Productos!AE$2:AE1001,"")*$G291,"")</f>
        <v/>
      </c>
      <c r="AM291" s="179" t="str">
        <f t="array" ref="AM291">IF($F291&lt;&gt;"",XLOOKUP($F291,Productos!$A:$A,Productos!AF:AF,"Revisar"),"")</f>
        <v/>
      </c>
      <c r="AN291" s="179" t="str">
        <f t="array" ref="AN291">IF($F291&lt;&gt;"", XLOOKUP($F291,Productos!$A$2:$A1001,Productos!AG$2:AG1001,"")*$G291,"")</f>
        <v/>
      </c>
      <c r="AO291" s="179" t="str">
        <f t="array" ref="AO291">IF($F291&lt;&gt;"",XLOOKUP($F291,Productos!$A:$A,Productos!AH:AH,"Revisar"),"")</f>
        <v/>
      </c>
      <c r="AP291" s="179" t="str">
        <f t="array" ref="AP291">IF($F291&lt;&gt;"", XLOOKUP($F291,Productos!$A$2:$A1001,Productos!AI$2:AI1001,"")*$G291,"")</f>
        <v/>
      </c>
      <c r="AQ291" s="179" t="str">
        <f t="array" ref="AQ291">IF($F291&lt;&gt;"",XLOOKUP($F291,Productos!$A:$A,Productos!AJ:AJ,"Revisar"),"")</f>
        <v/>
      </c>
      <c r="AR291" s="179" t="str">
        <f t="array" ref="AR291">IF($F291&lt;&gt;"", XLOOKUP($F291,Productos!$A$2:$A1001,Productos!AK$2:AK1001,"")*$G291,"")</f>
        <v/>
      </c>
      <c r="AS291" s="179" t="str">
        <f t="array" ref="AS291">IF($F291&lt;&gt;"",XLOOKUP($F291,Productos!$A:$A,Productos!AL:AL,"Revisar"),"")</f>
        <v/>
      </c>
      <c r="AT291" s="179" t="str">
        <f t="array" ref="AT291">IF($F291&lt;&gt;"", XLOOKUP($F291,Productos!$A$2:$A1001,Productos!AM$2:AM1001,"")*$G291,"")</f>
        <v/>
      </c>
      <c r="AU291" s="179" t="str">
        <f t="array" ref="AU291">IF($F291&lt;&gt;"",XLOOKUP($F291,Productos!$A:$A,Productos!AN:AN,"Revisar"),"")</f>
        <v/>
      </c>
      <c r="AV291" s="179" t="str">
        <f t="array" ref="AV291">IF($F291&lt;&gt;"", XLOOKUP($F291,Productos!$A$2:$A1001,Productos!AO$2:AO1001,"")*$G291,"")</f>
        <v/>
      </c>
      <c r="AW291" s="179" t="str">
        <f t="array" ref="AW291">IF($F291&lt;&gt;"",XLOOKUP($F291,Productos!$A:$A,Productos!AP:AP,"Revisar"),"")</f>
        <v/>
      </c>
      <c r="AX291" s="179" t="str">
        <f t="array" ref="AX291">IF($F291&lt;&gt;"", XLOOKUP($F291,Productos!$A$2:$A1001,Productos!AQ$2:AQ1001,"")*$G291,"")</f>
        <v/>
      </c>
      <c r="AY291" s="179" t="str">
        <f t="array" ref="AY291">IF($F291&lt;&gt;"",XLOOKUP($F291,Productos!$A:$A,Productos!AR:AR,"Revisar"),"")</f>
        <v/>
      </c>
      <c r="AZ291" s="179" t="str">
        <f t="array" ref="AZ291">IF($F291&lt;&gt;"", XLOOKUP($F291,Productos!$A$2:$A1001,Productos!AS$2:AS1001,"")*$G291,"")</f>
        <v/>
      </c>
      <c r="BA291" s="179" t="str">
        <f t="array" ref="BA291">IF($F291&lt;&gt;"",XLOOKUP($F291,Productos!$A:$A,Productos!AT:AT,"Revisar"),"")</f>
        <v/>
      </c>
      <c r="BB291" s="179" t="str">
        <f t="array" ref="BB291">IF($F291&lt;&gt;"", XLOOKUP($F291,Productos!$A$2:$A1001,Productos!AU$2:AU1001,"")*$G291,"")</f>
        <v/>
      </c>
      <c r="BC291" s="179" t="str">
        <f t="array" ref="BC291">IF($F291&lt;&gt;"",XLOOKUP($F291,Productos!$A:$A,Productos!AV:AV,"Revisar"),"")</f>
        <v/>
      </c>
      <c r="BD291" s="179" t="str">
        <f t="array" ref="BD291">IF($F291&lt;&gt;"", XLOOKUP($F291,Productos!$A$2:$A1001,Productos!AW$2:AW1001,"")*$G291,"")</f>
        <v/>
      </c>
      <c r="BE291" s="179" t="str">
        <f t="array" ref="BE291">IF($F291&lt;&gt;"",XLOOKUP($F291,Productos!$A:$A,Productos!AX:AX,"Revisar"),"")</f>
        <v/>
      </c>
      <c r="BF291" s="179" t="str">
        <f t="array" ref="BF291">IF($F291&lt;&gt;"", XLOOKUP($F291,Productos!$A$2:$A1001,Productos!AY$2:AY1001,"")*$G291,"")</f>
        <v/>
      </c>
      <c r="BG291" s="179" t="str">
        <f t="array" ref="BG291">IF($F291&lt;&gt;"",XLOOKUP($F291,Productos!$A:$A,Productos!AZ:AZ,"Revisar"),"")</f>
        <v/>
      </c>
      <c r="BH291" s="179" t="str">
        <f t="array" ref="BH291">IF($F291&lt;&gt;"", XLOOKUP($F291,Productos!$A$2:$A1001,Productos!BA$2:BA1001,"")*$G291,"")</f>
        <v/>
      </c>
      <c r="BI291" s="179" t="str">
        <f t="array" ref="BI291">IF($F291&lt;&gt;"",XLOOKUP($F291,Productos!$A:$A,Productos!BB:BB,"Revisar"),"")</f>
        <v/>
      </c>
      <c r="BJ291" s="179" t="str">
        <f t="array" ref="BJ291">IF($F291&lt;&gt;"", XLOOKUP($F291,Productos!$A$2:$A1001,Productos!BC$2:BC1001,"")*$G291,"")</f>
        <v/>
      </c>
      <c r="BK291" s="179" t="str">
        <f t="array" ref="BK291">IF($F291&lt;&gt;"",XLOOKUP($F291,Productos!$A:$A,Productos!BD:BD,"Revisar"),"")</f>
        <v/>
      </c>
      <c r="BL291" s="179" t="str">
        <f t="array" ref="BL291">IF($F291&lt;&gt;"", XLOOKUP($F291,Productos!$A$2:$A1001,Productos!BE$2:BE1001,"")*$G291,"")</f>
        <v/>
      </c>
      <c r="BM291" s="179" t="str">
        <f t="array" ref="BM291">IF($F291&lt;&gt;"",XLOOKUP($F291,Productos!$A:$A,Productos!BF:BF,"Revisar"),"")</f>
        <v/>
      </c>
      <c r="BN291" s="179" t="str">
        <f t="array" ref="BN291">IF($F291&lt;&gt;"", XLOOKUP($F291,Productos!$A$2:$A1001,Productos!BG$2:BG1001,"")*$G291,"")</f>
        <v/>
      </c>
      <c r="BO291" s="179" t="str">
        <f t="array" ref="BO291">IF($F291&lt;&gt;"",XLOOKUP($F291,Productos!$A:$A,Productos!BH:BH,"Revisar"),"")</f>
        <v/>
      </c>
      <c r="BP291" s="179" t="str">
        <f t="array" ref="BP291">IF($F291&lt;&gt;"", XLOOKUP($F291,Productos!$A$2:$A1001,Productos!BI$2:BI1001,"")*$G291,"")</f>
        <v/>
      </c>
      <c r="BQ291" s="179" t="str">
        <f t="array" ref="BQ291">IF($F291&lt;&gt;"",XLOOKUP($F291,Productos!$A:$A,Productos!BJ:BJ,"Revisar"),"")</f>
        <v/>
      </c>
      <c r="BR291" s="179" t="str">
        <f t="array" ref="BR291">IF($F291&lt;&gt;"", XLOOKUP($F291,Productos!$A$2:$A1001,Productos!BK$2:BK1001,"")*$G291,"")</f>
        <v/>
      </c>
      <c r="BS291" s="179" t="str">
        <f t="array" ref="BS291">IF($F291&lt;&gt;"",XLOOKUP($F291,Productos!$A:$A,Productos!BL:BL,"Revisar"),"")</f>
        <v/>
      </c>
      <c r="BT291" s="179" t="str">
        <f t="array" ref="BT291">IF($F291&lt;&gt;"", XLOOKUP($F291,Productos!$A$2:$A1001,Productos!BM$2:BM1001,"")*$G291,"")</f>
        <v/>
      </c>
      <c r="BU291" s="179" t="str">
        <f t="array" ref="BU291">IF($F291&lt;&gt;"",XLOOKUP($F291,Productos!$A:$A,Productos!BN:BN,"Revisar"),"")</f>
        <v/>
      </c>
      <c r="BV291" s="179" t="str">
        <f t="array" ref="BV291">IF($F291&lt;&gt;"", XLOOKUP($F291,Productos!$A$2:$A1001,Productos!BO$2:BO1001,"")*$G291,"")</f>
        <v/>
      </c>
      <c r="BW291" s="179" t="str">
        <f t="array" ref="BW291">IF($F291&lt;&gt;"",XLOOKUP($F291,Productos!$A:$A,Productos!BP:BP,"Revisar"),"")</f>
        <v/>
      </c>
      <c r="BX291" s="179" t="str">
        <f t="array" ref="BX291">IF($F291&lt;&gt;"", XLOOKUP($F291,Productos!$A$2:$A1001,Productos!BQ$2:BQ1001,"")*$G291,"")</f>
        <v/>
      </c>
      <c r="BY291" s="179" t="str">
        <f t="array" ref="BY291">IF($F291&lt;&gt;"",XLOOKUP($F291,Productos!$A:$A,Productos!BR:BR,"Revisar"),"")</f>
        <v/>
      </c>
      <c r="BZ291" s="179" t="str">
        <f t="array" ref="BZ291">IF($F291&lt;&gt;"", XLOOKUP($F291,Productos!$A$2:$A1001,Productos!BS$2:BS1001,"")*$G291,"")</f>
        <v/>
      </c>
    </row>
    <row r="292">
      <c r="A292" s="180"/>
      <c r="B292" s="181"/>
      <c r="C292" s="182"/>
      <c r="D292" s="182"/>
      <c r="E292" s="185"/>
      <c r="F292" s="186"/>
      <c r="G292" s="187"/>
      <c r="H292" s="186"/>
      <c r="I292" s="179" t="str">
        <f t="array" ref="I292">IF($F292&lt;&gt;"",XLOOKUP($F292,Productos!$A:$A,Productos!B:B,"Revisar"),"")</f>
        <v/>
      </c>
      <c r="J292" s="179" t="str">
        <f t="array" ref="J292">IF($F292&lt;&gt;"", XLOOKUP($F292,Productos!$A$2:$A1001,Productos!C$2:C1001,"")*$G292,"")</f>
        <v/>
      </c>
      <c r="K292" s="179" t="str">
        <f t="array" ref="K292">IF($F292&lt;&gt;"",XLOOKUP($F292,Productos!$A:$A,Productos!D:D,"Revisar"),"")</f>
        <v/>
      </c>
      <c r="L292" s="179" t="str">
        <f t="array" ref="L292">IF($F292&lt;&gt;"", XLOOKUP($F292,Productos!$A$2:$A1001,Productos!E$2:E1001,"")*$G292,"")</f>
        <v/>
      </c>
      <c r="M292" s="179" t="str">
        <f t="array" ref="M292">IF($F292&lt;&gt;"",XLOOKUP($F292,Productos!$A:$A,Productos!F:F,"Revisar"),"")</f>
        <v/>
      </c>
      <c r="N292" s="179" t="str">
        <f t="array" ref="N292">IF($F292&lt;&gt;"", XLOOKUP($F292,Productos!$A$2:$A1001,Productos!G$2:G1001,"")*$G292,"")</f>
        <v/>
      </c>
      <c r="O292" s="179" t="str">
        <f t="array" ref="O292">IF($F292&lt;&gt;"",XLOOKUP($F292,Productos!$A:$A,Productos!H:H,"Revisar"),"")</f>
        <v/>
      </c>
      <c r="P292" s="179" t="str">
        <f t="array" ref="P292">IF($F292&lt;&gt;"", XLOOKUP($F292,Productos!$A$2:$A1001,Productos!I$2:I1001,"")*$G292,"")</f>
        <v/>
      </c>
      <c r="Q292" s="179" t="str">
        <f t="array" ref="Q292">IF($F292&lt;&gt;"",XLOOKUP($F292,Productos!$A:$A,Productos!J:J,"Revisar"),"")</f>
        <v/>
      </c>
      <c r="R292" s="179" t="str">
        <f t="array" ref="R292">IF($F292&lt;&gt;"", XLOOKUP($F292,Productos!$A$2:$A1001,Productos!K$2:K1001,"")*$G292,"")</f>
        <v/>
      </c>
      <c r="S292" s="179" t="str">
        <f t="array" ref="S292">IF($F292&lt;&gt;"",XLOOKUP($F292,Productos!$A:$A,Productos!L:L,"Revisar"),"")</f>
        <v/>
      </c>
      <c r="T292" s="179" t="str">
        <f t="array" ref="T292">IF($F292&lt;&gt;"", XLOOKUP($F292,Productos!$A$2:$A1001,Productos!M$2:M1001,"")*$G292,"")</f>
        <v/>
      </c>
      <c r="U292" s="179" t="str">
        <f t="array" ref="U292">IF($F292&lt;&gt;"",XLOOKUP($F292,Productos!$A:$A,Productos!N:N,"Revisar"),"")</f>
        <v/>
      </c>
      <c r="V292" s="179" t="str">
        <f t="array" ref="V292">IF($F292&lt;&gt;"", XLOOKUP($F292,Productos!$A$2:$A1001,Productos!O$2:O1001,"")*$G292,"")</f>
        <v/>
      </c>
      <c r="W292" s="179" t="str">
        <f t="array" ref="W292">IF($F292&lt;&gt;"",XLOOKUP($F292,Productos!$A:$A,Productos!P:P,"Revisar"),"")</f>
        <v/>
      </c>
      <c r="X292" s="179" t="str">
        <f t="array" ref="X292">IF($F292&lt;&gt;"", XLOOKUP($F292,Productos!$A$2:$A1001,Productos!Q$2:Q1001,"")*$G292,"")</f>
        <v/>
      </c>
      <c r="Y292" s="179" t="str">
        <f t="array" ref="Y292">IF($F292&lt;&gt;"",XLOOKUP($F292,Productos!$A:$A,Productos!R:R,"Revisar"),"")</f>
        <v/>
      </c>
      <c r="Z292" s="179" t="str">
        <f t="array" ref="Z292">IF($F292&lt;&gt;"", XLOOKUP($F292,Productos!$A$2:$A1001,Productos!S$2:S1001,"")*$G292,"")</f>
        <v/>
      </c>
      <c r="AA292" s="179" t="str">
        <f t="array" ref="AA292">IF($F292&lt;&gt;"",XLOOKUP($F292,Productos!$A:$A,Productos!T:T,"Revisar"),"")</f>
        <v/>
      </c>
      <c r="AB292" s="179" t="str">
        <f t="array" ref="AB292">IF($F292&lt;&gt;"", XLOOKUP($F292,Productos!$A$2:$A1001,Productos!U$2:U1001,"")*$G292,"")</f>
        <v/>
      </c>
      <c r="AC292" s="179" t="str">
        <f t="array" ref="AC292">IF($F292&lt;&gt;"",XLOOKUP($F292,Productos!$A:$A,Productos!V:V,"Revisar"),"")</f>
        <v/>
      </c>
      <c r="AD292" s="179" t="str">
        <f t="array" ref="AD292">IF($F292&lt;&gt;"", XLOOKUP($F292,Productos!$A$2:$A1001,Productos!W$2:W1001,"")*$G292,"")</f>
        <v/>
      </c>
      <c r="AE292" s="179" t="str">
        <f t="array" ref="AE292">IF($F292&lt;&gt;"",XLOOKUP($F292,Productos!$A:$A,Productos!X:X,"Revisar"),"")</f>
        <v/>
      </c>
      <c r="AF292" s="179" t="str">
        <f t="array" ref="AF292">IF($F292&lt;&gt;"", XLOOKUP($F292,Productos!$A$2:$A1001,Productos!Y$2:Y1001,"")*$G292,"")</f>
        <v/>
      </c>
      <c r="AG292" s="179" t="str">
        <f t="array" ref="AG292">IF($F292&lt;&gt;"",XLOOKUP($F292,Productos!$A:$A,Productos!Z:Z,"Revisar"),"")</f>
        <v/>
      </c>
      <c r="AH292" s="179" t="str">
        <f t="array" ref="AH292">IF($F292&lt;&gt;"", XLOOKUP($F292,Productos!$A$2:$A1001,Productos!AA$2:AA1001,"")*$G292,"")</f>
        <v/>
      </c>
      <c r="AI292" s="179" t="str">
        <f t="array" ref="AI292">IF($F292&lt;&gt;"",XLOOKUP($F292,Productos!$A:$A,Productos!AB:AB,"Revisar"),"")</f>
        <v/>
      </c>
      <c r="AJ292" s="179" t="str">
        <f t="array" ref="AJ292">IF($F292&lt;&gt;"", XLOOKUP($F292,Productos!$A$2:$A1001,Productos!AC$2:AC1001,"")*$G292,"")</f>
        <v/>
      </c>
      <c r="AK292" s="179" t="str">
        <f t="array" ref="AK292">IF($F292&lt;&gt;"",XLOOKUP($F292,Productos!$A:$A,Productos!AD:AD,"Revisar"),"")</f>
        <v/>
      </c>
      <c r="AL292" s="179" t="str">
        <f t="array" ref="AL292">IF($F292&lt;&gt;"", XLOOKUP($F292,Productos!$A$2:$A1001,Productos!AE$2:AE1001,"")*$G292,"")</f>
        <v/>
      </c>
      <c r="AM292" s="179" t="str">
        <f t="array" ref="AM292">IF($F292&lt;&gt;"",XLOOKUP($F292,Productos!$A:$A,Productos!AF:AF,"Revisar"),"")</f>
        <v/>
      </c>
      <c r="AN292" s="179" t="str">
        <f t="array" ref="AN292">IF($F292&lt;&gt;"", XLOOKUP($F292,Productos!$A$2:$A1001,Productos!AG$2:AG1001,"")*$G292,"")</f>
        <v/>
      </c>
      <c r="AO292" s="179" t="str">
        <f t="array" ref="AO292">IF($F292&lt;&gt;"",XLOOKUP($F292,Productos!$A:$A,Productos!AH:AH,"Revisar"),"")</f>
        <v/>
      </c>
      <c r="AP292" s="179" t="str">
        <f t="array" ref="AP292">IF($F292&lt;&gt;"", XLOOKUP($F292,Productos!$A$2:$A1001,Productos!AI$2:AI1001,"")*$G292,"")</f>
        <v/>
      </c>
      <c r="AQ292" s="179" t="str">
        <f t="array" ref="AQ292">IF($F292&lt;&gt;"",XLOOKUP($F292,Productos!$A:$A,Productos!AJ:AJ,"Revisar"),"")</f>
        <v/>
      </c>
      <c r="AR292" s="179" t="str">
        <f t="array" ref="AR292">IF($F292&lt;&gt;"", XLOOKUP($F292,Productos!$A$2:$A1001,Productos!AK$2:AK1001,"")*$G292,"")</f>
        <v/>
      </c>
      <c r="AS292" s="179" t="str">
        <f t="array" ref="AS292">IF($F292&lt;&gt;"",XLOOKUP($F292,Productos!$A:$A,Productos!AL:AL,"Revisar"),"")</f>
        <v/>
      </c>
      <c r="AT292" s="179" t="str">
        <f t="array" ref="AT292">IF($F292&lt;&gt;"", XLOOKUP($F292,Productos!$A$2:$A1001,Productos!AM$2:AM1001,"")*$G292,"")</f>
        <v/>
      </c>
      <c r="AU292" s="179" t="str">
        <f t="array" ref="AU292">IF($F292&lt;&gt;"",XLOOKUP($F292,Productos!$A:$A,Productos!AN:AN,"Revisar"),"")</f>
        <v/>
      </c>
      <c r="AV292" s="179" t="str">
        <f t="array" ref="AV292">IF($F292&lt;&gt;"", XLOOKUP($F292,Productos!$A$2:$A1001,Productos!AO$2:AO1001,"")*$G292,"")</f>
        <v/>
      </c>
      <c r="AW292" s="179" t="str">
        <f t="array" ref="AW292">IF($F292&lt;&gt;"",XLOOKUP($F292,Productos!$A:$A,Productos!AP:AP,"Revisar"),"")</f>
        <v/>
      </c>
      <c r="AX292" s="179" t="str">
        <f t="array" ref="AX292">IF($F292&lt;&gt;"", XLOOKUP($F292,Productos!$A$2:$A1001,Productos!AQ$2:AQ1001,"")*$G292,"")</f>
        <v/>
      </c>
      <c r="AY292" s="179" t="str">
        <f t="array" ref="AY292">IF($F292&lt;&gt;"",XLOOKUP($F292,Productos!$A:$A,Productos!AR:AR,"Revisar"),"")</f>
        <v/>
      </c>
      <c r="AZ292" s="179" t="str">
        <f t="array" ref="AZ292">IF($F292&lt;&gt;"", XLOOKUP($F292,Productos!$A$2:$A1001,Productos!AS$2:AS1001,"")*$G292,"")</f>
        <v/>
      </c>
      <c r="BA292" s="179" t="str">
        <f t="array" ref="BA292">IF($F292&lt;&gt;"",XLOOKUP($F292,Productos!$A:$A,Productos!AT:AT,"Revisar"),"")</f>
        <v/>
      </c>
      <c r="BB292" s="179" t="str">
        <f t="array" ref="BB292">IF($F292&lt;&gt;"", XLOOKUP($F292,Productos!$A$2:$A1001,Productos!AU$2:AU1001,"")*$G292,"")</f>
        <v/>
      </c>
      <c r="BC292" s="179" t="str">
        <f t="array" ref="BC292">IF($F292&lt;&gt;"",XLOOKUP($F292,Productos!$A:$A,Productos!AV:AV,"Revisar"),"")</f>
        <v/>
      </c>
      <c r="BD292" s="179" t="str">
        <f t="array" ref="BD292">IF($F292&lt;&gt;"", XLOOKUP($F292,Productos!$A$2:$A1001,Productos!AW$2:AW1001,"")*$G292,"")</f>
        <v/>
      </c>
      <c r="BE292" s="179" t="str">
        <f t="array" ref="BE292">IF($F292&lt;&gt;"",XLOOKUP($F292,Productos!$A:$A,Productos!AX:AX,"Revisar"),"")</f>
        <v/>
      </c>
      <c r="BF292" s="179" t="str">
        <f t="array" ref="BF292">IF($F292&lt;&gt;"", XLOOKUP($F292,Productos!$A$2:$A1001,Productos!AY$2:AY1001,"")*$G292,"")</f>
        <v/>
      </c>
      <c r="BG292" s="179" t="str">
        <f t="array" ref="BG292">IF($F292&lt;&gt;"",XLOOKUP($F292,Productos!$A:$A,Productos!AZ:AZ,"Revisar"),"")</f>
        <v/>
      </c>
      <c r="BH292" s="179" t="str">
        <f t="array" ref="BH292">IF($F292&lt;&gt;"", XLOOKUP($F292,Productos!$A$2:$A1001,Productos!BA$2:BA1001,"")*$G292,"")</f>
        <v/>
      </c>
      <c r="BI292" s="179" t="str">
        <f t="array" ref="BI292">IF($F292&lt;&gt;"",XLOOKUP($F292,Productos!$A:$A,Productos!BB:BB,"Revisar"),"")</f>
        <v/>
      </c>
      <c r="BJ292" s="179" t="str">
        <f t="array" ref="BJ292">IF($F292&lt;&gt;"", XLOOKUP($F292,Productos!$A$2:$A1001,Productos!BC$2:BC1001,"")*$G292,"")</f>
        <v/>
      </c>
      <c r="BK292" s="179" t="str">
        <f t="array" ref="BK292">IF($F292&lt;&gt;"",XLOOKUP($F292,Productos!$A:$A,Productos!BD:BD,"Revisar"),"")</f>
        <v/>
      </c>
      <c r="BL292" s="179" t="str">
        <f t="array" ref="BL292">IF($F292&lt;&gt;"", XLOOKUP($F292,Productos!$A$2:$A1001,Productos!BE$2:BE1001,"")*$G292,"")</f>
        <v/>
      </c>
      <c r="BM292" s="179" t="str">
        <f t="array" ref="BM292">IF($F292&lt;&gt;"",XLOOKUP($F292,Productos!$A:$A,Productos!BF:BF,"Revisar"),"")</f>
        <v/>
      </c>
      <c r="BN292" s="179" t="str">
        <f t="array" ref="BN292">IF($F292&lt;&gt;"", XLOOKUP($F292,Productos!$A$2:$A1001,Productos!BG$2:BG1001,"")*$G292,"")</f>
        <v/>
      </c>
      <c r="BO292" s="179" t="str">
        <f t="array" ref="BO292">IF($F292&lt;&gt;"",XLOOKUP($F292,Productos!$A:$A,Productos!BH:BH,"Revisar"),"")</f>
        <v/>
      </c>
      <c r="BP292" s="179" t="str">
        <f t="array" ref="BP292">IF($F292&lt;&gt;"", XLOOKUP($F292,Productos!$A$2:$A1001,Productos!BI$2:BI1001,"")*$G292,"")</f>
        <v/>
      </c>
      <c r="BQ292" s="179" t="str">
        <f t="array" ref="BQ292">IF($F292&lt;&gt;"",XLOOKUP($F292,Productos!$A:$A,Productos!BJ:BJ,"Revisar"),"")</f>
        <v/>
      </c>
      <c r="BR292" s="179" t="str">
        <f t="array" ref="BR292">IF($F292&lt;&gt;"", XLOOKUP($F292,Productos!$A$2:$A1001,Productos!BK$2:BK1001,"")*$G292,"")</f>
        <v/>
      </c>
      <c r="BS292" s="179" t="str">
        <f t="array" ref="BS292">IF($F292&lt;&gt;"",XLOOKUP($F292,Productos!$A:$A,Productos!BL:BL,"Revisar"),"")</f>
        <v/>
      </c>
      <c r="BT292" s="179" t="str">
        <f t="array" ref="BT292">IF($F292&lt;&gt;"", XLOOKUP($F292,Productos!$A$2:$A1001,Productos!BM$2:BM1001,"")*$G292,"")</f>
        <v/>
      </c>
      <c r="BU292" s="179" t="str">
        <f t="array" ref="BU292">IF($F292&lt;&gt;"",XLOOKUP($F292,Productos!$A:$A,Productos!BN:BN,"Revisar"),"")</f>
        <v/>
      </c>
      <c r="BV292" s="179" t="str">
        <f t="array" ref="BV292">IF($F292&lt;&gt;"", XLOOKUP($F292,Productos!$A$2:$A1001,Productos!BO$2:BO1001,"")*$G292,"")</f>
        <v/>
      </c>
      <c r="BW292" s="179" t="str">
        <f t="array" ref="BW292">IF($F292&lt;&gt;"",XLOOKUP($F292,Productos!$A:$A,Productos!BP:BP,"Revisar"),"")</f>
        <v/>
      </c>
      <c r="BX292" s="179" t="str">
        <f t="array" ref="BX292">IF($F292&lt;&gt;"", XLOOKUP($F292,Productos!$A$2:$A1001,Productos!BQ$2:BQ1001,"")*$G292,"")</f>
        <v/>
      </c>
      <c r="BY292" s="179" t="str">
        <f t="array" ref="BY292">IF($F292&lt;&gt;"",XLOOKUP($F292,Productos!$A:$A,Productos!BR:BR,"Revisar"),"")</f>
        <v/>
      </c>
      <c r="BZ292" s="179" t="str">
        <f t="array" ref="BZ292">IF($F292&lt;&gt;"", XLOOKUP($F292,Productos!$A$2:$A1001,Productos!BS$2:BS1001,"")*$G292,"")</f>
        <v/>
      </c>
    </row>
    <row r="293">
      <c r="A293" s="180"/>
      <c r="B293" s="181"/>
      <c r="C293" s="182"/>
      <c r="D293" s="182"/>
      <c r="E293" s="185"/>
      <c r="F293" s="186"/>
      <c r="G293" s="187"/>
      <c r="H293" s="186"/>
      <c r="I293" s="179" t="str">
        <f t="array" ref="I293">IF($F293&lt;&gt;"",XLOOKUP($F293,Productos!$A:$A,Productos!B:B,"Revisar"),"")</f>
        <v/>
      </c>
      <c r="J293" s="179" t="str">
        <f t="array" ref="J293">IF($F293&lt;&gt;"", XLOOKUP($F293,Productos!$A$2:$A1001,Productos!C$2:C1001,"")*$G293,"")</f>
        <v/>
      </c>
      <c r="K293" s="179" t="str">
        <f t="array" ref="K293">IF($F293&lt;&gt;"",XLOOKUP($F293,Productos!$A:$A,Productos!D:D,"Revisar"),"")</f>
        <v/>
      </c>
      <c r="L293" s="179" t="str">
        <f t="array" ref="L293">IF($F293&lt;&gt;"", XLOOKUP($F293,Productos!$A$2:$A1001,Productos!E$2:E1001,"")*$G293,"")</f>
        <v/>
      </c>
      <c r="M293" s="179" t="str">
        <f t="array" ref="M293">IF($F293&lt;&gt;"",XLOOKUP($F293,Productos!$A:$A,Productos!F:F,"Revisar"),"")</f>
        <v/>
      </c>
      <c r="N293" s="179" t="str">
        <f t="array" ref="N293">IF($F293&lt;&gt;"", XLOOKUP($F293,Productos!$A$2:$A1001,Productos!G$2:G1001,"")*$G293,"")</f>
        <v/>
      </c>
      <c r="O293" s="179" t="str">
        <f t="array" ref="O293">IF($F293&lt;&gt;"",XLOOKUP($F293,Productos!$A:$A,Productos!H:H,"Revisar"),"")</f>
        <v/>
      </c>
      <c r="P293" s="179" t="str">
        <f t="array" ref="P293">IF($F293&lt;&gt;"", XLOOKUP($F293,Productos!$A$2:$A1001,Productos!I$2:I1001,"")*$G293,"")</f>
        <v/>
      </c>
      <c r="Q293" s="179" t="str">
        <f t="array" ref="Q293">IF($F293&lt;&gt;"",XLOOKUP($F293,Productos!$A:$A,Productos!J:J,"Revisar"),"")</f>
        <v/>
      </c>
      <c r="R293" s="179" t="str">
        <f t="array" ref="R293">IF($F293&lt;&gt;"", XLOOKUP($F293,Productos!$A$2:$A1001,Productos!K$2:K1001,"")*$G293,"")</f>
        <v/>
      </c>
      <c r="S293" s="179" t="str">
        <f t="array" ref="S293">IF($F293&lt;&gt;"",XLOOKUP($F293,Productos!$A:$A,Productos!L:L,"Revisar"),"")</f>
        <v/>
      </c>
      <c r="T293" s="179" t="str">
        <f t="array" ref="T293">IF($F293&lt;&gt;"", XLOOKUP($F293,Productos!$A$2:$A1001,Productos!M$2:M1001,"")*$G293,"")</f>
        <v/>
      </c>
      <c r="U293" s="179" t="str">
        <f t="array" ref="U293">IF($F293&lt;&gt;"",XLOOKUP($F293,Productos!$A:$A,Productos!N:N,"Revisar"),"")</f>
        <v/>
      </c>
      <c r="V293" s="179" t="str">
        <f t="array" ref="V293">IF($F293&lt;&gt;"", XLOOKUP($F293,Productos!$A$2:$A1001,Productos!O$2:O1001,"")*$G293,"")</f>
        <v/>
      </c>
      <c r="W293" s="179" t="str">
        <f t="array" ref="W293">IF($F293&lt;&gt;"",XLOOKUP($F293,Productos!$A:$A,Productos!P:P,"Revisar"),"")</f>
        <v/>
      </c>
      <c r="X293" s="179" t="str">
        <f t="array" ref="X293">IF($F293&lt;&gt;"", XLOOKUP($F293,Productos!$A$2:$A1001,Productos!Q$2:Q1001,"")*$G293,"")</f>
        <v/>
      </c>
      <c r="Y293" s="179" t="str">
        <f t="array" ref="Y293">IF($F293&lt;&gt;"",XLOOKUP($F293,Productos!$A:$A,Productos!R:R,"Revisar"),"")</f>
        <v/>
      </c>
      <c r="Z293" s="179" t="str">
        <f t="array" ref="Z293">IF($F293&lt;&gt;"", XLOOKUP($F293,Productos!$A$2:$A1001,Productos!S$2:S1001,"")*$G293,"")</f>
        <v/>
      </c>
      <c r="AA293" s="179" t="str">
        <f t="array" ref="AA293">IF($F293&lt;&gt;"",XLOOKUP($F293,Productos!$A:$A,Productos!T:T,"Revisar"),"")</f>
        <v/>
      </c>
      <c r="AB293" s="179" t="str">
        <f t="array" ref="AB293">IF($F293&lt;&gt;"", XLOOKUP($F293,Productos!$A$2:$A1001,Productos!U$2:U1001,"")*$G293,"")</f>
        <v/>
      </c>
      <c r="AC293" s="179" t="str">
        <f t="array" ref="AC293">IF($F293&lt;&gt;"",XLOOKUP($F293,Productos!$A:$A,Productos!V:V,"Revisar"),"")</f>
        <v/>
      </c>
      <c r="AD293" s="179" t="str">
        <f t="array" ref="AD293">IF($F293&lt;&gt;"", XLOOKUP($F293,Productos!$A$2:$A1001,Productos!W$2:W1001,"")*$G293,"")</f>
        <v/>
      </c>
      <c r="AE293" s="179" t="str">
        <f t="array" ref="AE293">IF($F293&lt;&gt;"",XLOOKUP($F293,Productos!$A:$A,Productos!X:X,"Revisar"),"")</f>
        <v/>
      </c>
      <c r="AF293" s="179" t="str">
        <f t="array" ref="AF293">IF($F293&lt;&gt;"", XLOOKUP($F293,Productos!$A$2:$A1001,Productos!Y$2:Y1001,"")*$G293,"")</f>
        <v/>
      </c>
      <c r="AG293" s="179" t="str">
        <f t="array" ref="AG293">IF($F293&lt;&gt;"",XLOOKUP($F293,Productos!$A:$A,Productos!Z:Z,"Revisar"),"")</f>
        <v/>
      </c>
      <c r="AH293" s="179" t="str">
        <f t="array" ref="AH293">IF($F293&lt;&gt;"", XLOOKUP($F293,Productos!$A$2:$A1001,Productos!AA$2:AA1001,"")*$G293,"")</f>
        <v/>
      </c>
      <c r="AI293" s="179" t="str">
        <f t="array" ref="AI293">IF($F293&lt;&gt;"",XLOOKUP($F293,Productos!$A:$A,Productos!AB:AB,"Revisar"),"")</f>
        <v/>
      </c>
      <c r="AJ293" s="179" t="str">
        <f t="array" ref="AJ293">IF($F293&lt;&gt;"", XLOOKUP($F293,Productos!$A$2:$A1001,Productos!AC$2:AC1001,"")*$G293,"")</f>
        <v/>
      </c>
      <c r="AK293" s="179" t="str">
        <f t="array" ref="AK293">IF($F293&lt;&gt;"",XLOOKUP($F293,Productos!$A:$A,Productos!AD:AD,"Revisar"),"")</f>
        <v/>
      </c>
      <c r="AL293" s="179" t="str">
        <f t="array" ref="AL293">IF($F293&lt;&gt;"", XLOOKUP($F293,Productos!$A$2:$A1001,Productos!AE$2:AE1001,"")*$G293,"")</f>
        <v/>
      </c>
      <c r="AM293" s="179" t="str">
        <f t="array" ref="AM293">IF($F293&lt;&gt;"",XLOOKUP($F293,Productos!$A:$A,Productos!AF:AF,"Revisar"),"")</f>
        <v/>
      </c>
      <c r="AN293" s="179" t="str">
        <f t="array" ref="AN293">IF($F293&lt;&gt;"", XLOOKUP($F293,Productos!$A$2:$A1001,Productos!AG$2:AG1001,"")*$G293,"")</f>
        <v/>
      </c>
      <c r="AO293" s="179" t="str">
        <f t="array" ref="AO293">IF($F293&lt;&gt;"",XLOOKUP($F293,Productos!$A:$A,Productos!AH:AH,"Revisar"),"")</f>
        <v/>
      </c>
      <c r="AP293" s="179" t="str">
        <f t="array" ref="AP293">IF($F293&lt;&gt;"", XLOOKUP($F293,Productos!$A$2:$A1001,Productos!AI$2:AI1001,"")*$G293,"")</f>
        <v/>
      </c>
      <c r="AQ293" s="179" t="str">
        <f t="array" ref="AQ293">IF($F293&lt;&gt;"",XLOOKUP($F293,Productos!$A:$A,Productos!AJ:AJ,"Revisar"),"")</f>
        <v/>
      </c>
      <c r="AR293" s="179" t="str">
        <f t="array" ref="AR293">IF($F293&lt;&gt;"", XLOOKUP($F293,Productos!$A$2:$A1001,Productos!AK$2:AK1001,"")*$G293,"")</f>
        <v/>
      </c>
      <c r="AS293" s="179" t="str">
        <f t="array" ref="AS293">IF($F293&lt;&gt;"",XLOOKUP($F293,Productos!$A:$A,Productos!AL:AL,"Revisar"),"")</f>
        <v/>
      </c>
      <c r="AT293" s="179" t="str">
        <f t="array" ref="AT293">IF($F293&lt;&gt;"", XLOOKUP($F293,Productos!$A$2:$A1001,Productos!AM$2:AM1001,"")*$G293,"")</f>
        <v/>
      </c>
      <c r="AU293" s="179" t="str">
        <f t="array" ref="AU293">IF($F293&lt;&gt;"",XLOOKUP($F293,Productos!$A:$A,Productos!AN:AN,"Revisar"),"")</f>
        <v/>
      </c>
      <c r="AV293" s="179" t="str">
        <f t="array" ref="AV293">IF($F293&lt;&gt;"", XLOOKUP($F293,Productos!$A$2:$A1001,Productos!AO$2:AO1001,"")*$G293,"")</f>
        <v/>
      </c>
      <c r="AW293" s="179" t="str">
        <f t="array" ref="AW293">IF($F293&lt;&gt;"",XLOOKUP($F293,Productos!$A:$A,Productos!AP:AP,"Revisar"),"")</f>
        <v/>
      </c>
      <c r="AX293" s="179" t="str">
        <f t="array" ref="AX293">IF($F293&lt;&gt;"", XLOOKUP($F293,Productos!$A$2:$A1001,Productos!AQ$2:AQ1001,"")*$G293,"")</f>
        <v/>
      </c>
      <c r="AY293" s="179" t="str">
        <f t="array" ref="AY293">IF($F293&lt;&gt;"",XLOOKUP($F293,Productos!$A:$A,Productos!AR:AR,"Revisar"),"")</f>
        <v/>
      </c>
      <c r="AZ293" s="179" t="str">
        <f t="array" ref="AZ293">IF($F293&lt;&gt;"", XLOOKUP($F293,Productos!$A$2:$A1001,Productos!AS$2:AS1001,"")*$G293,"")</f>
        <v/>
      </c>
      <c r="BA293" s="179" t="str">
        <f t="array" ref="BA293">IF($F293&lt;&gt;"",XLOOKUP($F293,Productos!$A:$A,Productos!AT:AT,"Revisar"),"")</f>
        <v/>
      </c>
      <c r="BB293" s="179" t="str">
        <f t="array" ref="BB293">IF($F293&lt;&gt;"", XLOOKUP($F293,Productos!$A$2:$A1001,Productos!AU$2:AU1001,"")*$G293,"")</f>
        <v/>
      </c>
      <c r="BC293" s="179" t="str">
        <f t="array" ref="BC293">IF($F293&lt;&gt;"",XLOOKUP($F293,Productos!$A:$A,Productos!AV:AV,"Revisar"),"")</f>
        <v/>
      </c>
      <c r="BD293" s="179" t="str">
        <f t="array" ref="BD293">IF($F293&lt;&gt;"", XLOOKUP($F293,Productos!$A$2:$A1001,Productos!AW$2:AW1001,"")*$G293,"")</f>
        <v/>
      </c>
      <c r="BE293" s="179" t="str">
        <f t="array" ref="BE293">IF($F293&lt;&gt;"",XLOOKUP($F293,Productos!$A:$A,Productos!AX:AX,"Revisar"),"")</f>
        <v/>
      </c>
      <c r="BF293" s="179" t="str">
        <f t="array" ref="BF293">IF($F293&lt;&gt;"", XLOOKUP($F293,Productos!$A$2:$A1001,Productos!AY$2:AY1001,"")*$G293,"")</f>
        <v/>
      </c>
      <c r="BG293" s="179" t="str">
        <f t="array" ref="BG293">IF($F293&lt;&gt;"",XLOOKUP($F293,Productos!$A:$A,Productos!AZ:AZ,"Revisar"),"")</f>
        <v/>
      </c>
      <c r="BH293" s="179" t="str">
        <f t="array" ref="BH293">IF($F293&lt;&gt;"", XLOOKUP($F293,Productos!$A$2:$A1001,Productos!BA$2:BA1001,"")*$G293,"")</f>
        <v/>
      </c>
      <c r="BI293" s="179" t="str">
        <f t="array" ref="BI293">IF($F293&lt;&gt;"",XLOOKUP($F293,Productos!$A:$A,Productos!BB:BB,"Revisar"),"")</f>
        <v/>
      </c>
      <c r="BJ293" s="179" t="str">
        <f t="array" ref="BJ293">IF($F293&lt;&gt;"", XLOOKUP($F293,Productos!$A$2:$A1001,Productos!BC$2:BC1001,"")*$G293,"")</f>
        <v/>
      </c>
      <c r="BK293" s="179" t="str">
        <f t="array" ref="BK293">IF($F293&lt;&gt;"",XLOOKUP($F293,Productos!$A:$A,Productos!BD:BD,"Revisar"),"")</f>
        <v/>
      </c>
      <c r="BL293" s="179" t="str">
        <f t="array" ref="BL293">IF($F293&lt;&gt;"", XLOOKUP($F293,Productos!$A$2:$A1001,Productos!BE$2:BE1001,"")*$G293,"")</f>
        <v/>
      </c>
      <c r="BM293" s="179" t="str">
        <f t="array" ref="BM293">IF($F293&lt;&gt;"",XLOOKUP($F293,Productos!$A:$A,Productos!BF:BF,"Revisar"),"")</f>
        <v/>
      </c>
      <c r="BN293" s="179" t="str">
        <f t="array" ref="BN293">IF($F293&lt;&gt;"", XLOOKUP($F293,Productos!$A$2:$A1001,Productos!BG$2:BG1001,"")*$G293,"")</f>
        <v/>
      </c>
      <c r="BO293" s="179" t="str">
        <f t="array" ref="BO293">IF($F293&lt;&gt;"",XLOOKUP($F293,Productos!$A:$A,Productos!BH:BH,"Revisar"),"")</f>
        <v/>
      </c>
      <c r="BP293" s="179" t="str">
        <f t="array" ref="BP293">IF($F293&lt;&gt;"", XLOOKUP($F293,Productos!$A$2:$A1001,Productos!BI$2:BI1001,"")*$G293,"")</f>
        <v/>
      </c>
      <c r="BQ293" s="179" t="str">
        <f t="array" ref="BQ293">IF($F293&lt;&gt;"",XLOOKUP($F293,Productos!$A:$A,Productos!BJ:BJ,"Revisar"),"")</f>
        <v/>
      </c>
      <c r="BR293" s="179" t="str">
        <f t="array" ref="BR293">IF($F293&lt;&gt;"", XLOOKUP($F293,Productos!$A$2:$A1001,Productos!BK$2:BK1001,"")*$G293,"")</f>
        <v/>
      </c>
      <c r="BS293" s="179" t="str">
        <f t="array" ref="BS293">IF($F293&lt;&gt;"",XLOOKUP($F293,Productos!$A:$A,Productos!BL:BL,"Revisar"),"")</f>
        <v/>
      </c>
      <c r="BT293" s="179" t="str">
        <f t="array" ref="BT293">IF($F293&lt;&gt;"", XLOOKUP($F293,Productos!$A$2:$A1001,Productos!BM$2:BM1001,"")*$G293,"")</f>
        <v/>
      </c>
      <c r="BU293" s="179" t="str">
        <f t="array" ref="BU293">IF($F293&lt;&gt;"",XLOOKUP($F293,Productos!$A:$A,Productos!BN:BN,"Revisar"),"")</f>
        <v/>
      </c>
      <c r="BV293" s="179" t="str">
        <f t="array" ref="BV293">IF($F293&lt;&gt;"", XLOOKUP($F293,Productos!$A$2:$A1001,Productos!BO$2:BO1001,"")*$G293,"")</f>
        <v/>
      </c>
      <c r="BW293" s="179" t="str">
        <f t="array" ref="BW293">IF($F293&lt;&gt;"",XLOOKUP($F293,Productos!$A:$A,Productos!BP:BP,"Revisar"),"")</f>
        <v/>
      </c>
      <c r="BX293" s="179" t="str">
        <f t="array" ref="BX293">IF($F293&lt;&gt;"", XLOOKUP($F293,Productos!$A$2:$A1001,Productos!BQ$2:BQ1001,"")*$G293,"")</f>
        <v/>
      </c>
      <c r="BY293" s="179" t="str">
        <f t="array" ref="BY293">IF($F293&lt;&gt;"",XLOOKUP($F293,Productos!$A:$A,Productos!BR:BR,"Revisar"),"")</f>
        <v/>
      </c>
      <c r="BZ293" s="179" t="str">
        <f t="array" ref="BZ293">IF($F293&lt;&gt;"", XLOOKUP($F293,Productos!$A$2:$A1001,Productos!BS$2:BS1001,"")*$G293,"")</f>
        <v/>
      </c>
    </row>
    <row r="294">
      <c r="A294" s="180"/>
      <c r="B294" s="181"/>
      <c r="C294" s="182"/>
      <c r="D294" s="182"/>
      <c r="E294" s="185"/>
      <c r="F294" s="186"/>
      <c r="G294" s="187"/>
      <c r="H294" s="186"/>
      <c r="I294" s="179" t="str">
        <f t="array" ref="I294">IF($F294&lt;&gt;"",XLOOKUP($F294,Productos!$A:$A,Productos!B:B,"Revisar"),"")</f>
        <v/>
      </c>
      <c r="J294" s="179" t="str">
        <f t="array" ref="J294">IF($F294&lt;&gt;"", XLOOKUP($F294,Productos!$A$2:$A1001,Productos!C$2:C1001,"")*$G294,"")</f>
        <v/>
      </c>
      <c r="K294" s="179" t="str">
        <f t="array" ref="K294">IF($F294&lt;&gt;"",XLOOKUP($F294,Productos!$A:$A,Productos!D:D,"Revisar"),"")</f>
        <v/>
      </c>
      <c r="L294" s="179" t="str">
        <f t="array" ref="L294">IF($F294&lt;&gt;"", XLOOKUP($F294,Productos!$A$2:$A1001,Productos!E$2:E1001,"")*$G294,"")</f>
        <v/>
      </c>
      <c r="M294" s="179" t="str">
        <f t="array" ref="M294">IF($F294&lt;&gt;"",XLOOKUP($F294,Productos!$A:$A,Productos!F:F,"Revisar"),"")</f>
        <v/>
      </c>
      <c r="N294" s="179" t="str">
        <f t="array" ref="N294">IF($F294&lt;&gt;"", XLOOKUP($F294,Productos!$A$2:$A1001,Productos!G$2:G1001,"")*$G294,"")</f>
        <v/>
      </c>
      <c r="O294" s="179" t="str">
        <f t="array" ref="O294">IF($F294&lt;&gt;"",XLOOKUP($F294,Productos!$A:$A,Productos!H:H,"Revisar"),"")</f>
        <v/>
      </c>
      <c r="P294" s="179" t="str">
        <f t="array" ref="P294">IF($F294&lt;&gt;"", XLOOKUP($F294,Productos!$A$2:$A1001,Productos!I$2:I1001,"")*$G294,"")</f>
        <v/>
      </c>
      <c r="Q294" s="179" t="str">
        <f t="array" ref="Q294">IF($F294&lt;&gt;"",XLOOKUP($F294,Productos!$A:$A,Productos!J:J,"Revisar"),"")</f>
        <v/>
      </c>
      <c r="R294" s="179" t="str">
        <f t="array" ref="R294">IF($F294&lt;&gt;"", XLOOKUP($F294,Productos!$A$2:$A1001,Productos!K$2:K1001,"")*$G294,"")</f>
        <v/>
      </c>
      <c r="S294" s="179" t="str">
        <f t="array" ref="S294">IF($F294&lt;&gt;"",XLOOKUP($F294,Productos!$A:$A,Productos!L:L,"Revisar"),"")</f>
        <v/>
      </c>
      <c r="T294" s="179" t="str">
        <f t="array" ref="T294">IF($F294&lt;&gt;"", XLOOKUP($F294,Productos!$A$2:$A1001,Productos!M$2:M1001,"")*$G294,"")</f>
        <v/>
      </c>
      <c r="U294" s="179" t="str">
        <f t="array" ref="U294">IF($F294&lt;&gt;"",XLOOKUP($F294,Productos!$A:$A,Productos!N:N,"Revisar"),"")</f>
        <v/>
      </c>
      <c r="V294" s="179" t="str">
        <f t="array" ref="V294">IF($F294&lt;&gt;"", XLOOKUP($F294,Productos!$A$2:$A1001,Productos!O$2:O1001,"")*$G294,"")</f>
        <v/>
      </c>
      <c r="W294" s="179" t="str">
        <f t="array" ref="W294">IF($F294&lt;&gt;"",XLOOKUP($F294,Productos!$A:$A,Productos!P:P,"Revisar"),"")</f>
        <v/>
      </c>
      <c r="X294" s="179" t="str">
        <f t="array" ref="X294">IF($F294&lt;&gt;"", XLOOKUP($F294,Productos!$A$2:$A1001,Productos!Q$2:Q1001,"")*$G294,"")</f>
        <v/>
      </c>
      <c r="Y294" s="179" t="str">
        <f t="array" ref="Y294">IF($F294&lt;&gt;"",XLOOKUP($F294,Productos!$A:$A,Productos!R:R,"Revisar"),"")</f>
        <v/>
      </c>
      <c r="Z294" s="179" t="str">
        <f t="array" ref="Z294">IF($F294&lt;&gt;"", XLOOKUP($F294,Productos!$A$2:$A1001,Productos!S$2:S1001,"")*$G294,"")</f>
        <v/>
      </c>
      <c r="AA294" s="179" t="str">
        <f t="array" ref="AA294">IF($F294&lt;&gt;"",XLOOKUP($F294,Productos!$A:$A,Productos!T:T,"Revisar"),"")</f>
        <v/>
      </c>
      <c r="AB294" s="179" t="str">
        <f t="array" ref="AB294">IF($F294&lt;&gt;"", XLOOKUP($F294,Productos!$A$2:$A1001,Productos!U$2:U1001,"")*$G294,"")</f>
        <v/>
      </c>
      <c r="AC294" s="179" t="str">
        <f t="array" ref="AC294">IF($F294&lt;&gt;"",XLOOKUP($F294,Productos!$A:$A,Productos!V:V,"Revisar"),"")</f>
        <v/>
      </c>
      <c r="AD294" s="179" t="str">
        <f t="array" ref="AD294">IF($F294&lt;&gt;"", XLOOKUP($F294,Productos!$A$2:$A1001,Productos!W$2:W1001,"")*$G294,"")</f>
        <v/>
      </c>
      <c r="AE294" s="179" t="str">
        <f t="array" ref="AE294">IF($F294&lt;&gt;"",XLOOKUP($F294,Productos!$A:$A,Productos!X:X,"Revisar"),"")</f>
        <v/>
      </c>
      <c r="AF294" s="179" t="str">
        <f t="array" ref="AF294">IF($F294&lt;&gt;"", XLOOKUP($F294,Productos!$A$2:$A1001,Productos!Y$2:Y1001,"")*$G294,"")</f>
        <v/>
      </c>
      <c r="AG294" s="179" t="str">
        <f t="array" ref="AG294">IF($F294&lt;&gt;"",XLOOKUP($F294,Productos!$A:$A,Productos!Z:Z,"Revisar"),"")</f>
        <v/>
      </c>
      <c r="AH294" s="179" t="str">
        <f t="array" ref="AH294">IF($F294&lt;&gt;"", XLOOKUP($F294,Productos!$A$2:$A1001,Productos!AA$2:AA1001,"")*$G294,"")</f>
        <v/>
      </c>
      <c r="AI294" s="179" t="str">
        <f t="array" ref="AI294">IF($F294&lt;&gt;"",XLOOKUP($F294,Productos!$A:$A,Productos!AB:AB,"Revisar"),"")</f>
        <v/>
      </c>
      <c r="AJ294" s="179" t="str">
        <f t="array" ref="AJ294">IF($F294&lt;&gt;"", XLOOKUP($F294,Productos!$A$2:$A1001,Productos!AC$2:AC1001,"")*$G294,"")</f>
        <v/>
      </c>
      <c r="AK294" s="179" t="str">
        <f t="array" ref="AK294">IF($F294&lt;&gt;"",XLOOKUP($F294,Productos!$A:$A,Productos!AD:AD,"Revisar"),"")</f>
        <v/>
      </c>
      <c r="AL294" s="179" t="str">
        <f t="array" ref="AL294">IF($F294&lt;&gt;"", XLOOKUP($F294,Productos!$A$2:$A1001,Productos!AE$2:AE1001,"")*$G294,"")</f>
        <v/>
      </c>
      <c r="AM294" s="179" t="str">
        <f t="array" ref="AM294">IF($F294&lt;&gt;"",XLOOKUP($F294,Productos!$A:$A,Productos!AF:AF,"Revisar"),"")</f>
        <v/>
      </c>
      <c r="AN294" s="179" t="str">
        <f t="array" ref="AN294">IF($F294&lt;&gt;"", XLOOKUP($F294,Productos!$A$2:$A1001,Productos!AG$2:AG1001,"")*$G294,"")</f>
        <v/>
      </c>
      <c r="AO294" s="179" t="str">
        <f t="array" ref="AO294">IF($F294&lt;&gt;"",XLOOKUP($F294,Productos!$A:$A,Productos!AH:AH,"Revisar"),"")</f>
        <v/>
      </c>
      <c r="AP294" s="179" t="str">
        <f t="array" ref="AP294">IF($F294&lt;&gt;"", XLOOKUP($F294,Productos!$A$2:$A1001,Productos!AI$2:AI1001,"")*$G294,"")</f>
        <v/>
      </c>
      <c r="AQ294" s="179" t="str">
        <f t="array" ref="AQ294">IF($F294&lt;&gt;"",XLOOKUP($F294,Productos!$A:$A,Productos!AJ:AJ,"Revisar"),"")</f>
        <v/>
      </c>
      <c r="AR294" s="179" t="str">
        <f t="array" ref="AR294">IF($F294&lt;&gt;"", XLOOKUP($F294,Productos!$A$2:$A1001,Productos!AK$2:AK1001,"")*$G294,"")</f>
        <v/>
      </c>
      <c r="AS294" s="179" t="str">
        <f t="array" ref="AS294">IF($F294&lt;&gt;"",XLOOKUP($F294,Productos!$A:$A,Productos!AL:AL,"Revisar"),"")</f>
        <v/>
      </c>
      <c r="AT294" s="179" t="str">
        <f t="array" ref="AT294">IF($F294&lt;&gt;"", XLOOKUP($F294,Productos!$A$2:$A1001,Productos!AM$2:AM1001,"")*$G294,"")</f>
        <v/>
      </c>
      <c r="AU294" s="179" t="str">
        <f t="array" ref="AU294">IF($F294&lt;&gt;"",XLOOKUP($F294,Productos!$A:$A,Productos!AN:AN,"Revisar"),"")</f>
        <v/>
      </c>
      <c r="AV294" s="179" t="str">
        <f t="array" ref="AV294">IF($F294&lt;&gt;"", XLOOKUP($F294,Productos!$A$2:$A1001,Productos!AO$2:AO1001,"")*$G294,"")</f>
        <v/>
      </c>
      <c r="AW294" s="179" t="str">
        <f t="array" ref="AW294">IF($F294&lt;&gt;"",XLOOKUP($F294,Productos!$A:$A,Productos!AP:AP,"Revisar"),"")</f>
        <v/>
      </c>
      <c r="AX294" s="179" t="str">
        <f t="array" ref="AX294">IF($F294&lt;&gt;"", XLOOKUP($F294,Productos!$A$2:$A1001,Productos!AQ$2:AQ1001,"")*$G294,"")</f>
        <v/>
      </c>
      <c r="AY294" s="179" t="str">
        <f t="array" ref="AY294">IF($F294&lt;&gt;"",XLOOKUP($F294,Productos!$A:$A,Productos!AR:AR,"Revisar"),"")</f>
        <v/>
      </c>
      <c r="AZ294" s="179" t="str">
        <f t="array" ref="AZ294">IF($F294&lt;&gt;"", XLOOKUP($F294,Productos!$A$2:$A1001,Productos!AS$2:AS1001,"")*$G294,"")</f>
        <v/>
      </c>
      <c r="BA294" s="179" t="str">
        <f t="array" ref="BA294">IF($F294&lt;&gt;"",XLOOKUP($F294,Productos!$A:$A,Productos!AT:AT,"Revisar"),"")</f>
        <v/>
      </c>
      <c r="BB294" s="179" t="str">
        <f t="array" ref="BB294">IF($F294&lt;&gt;"", XLOOKUP($F294,Productos!$A$2:$A1001,Productos!AU$2:AU1001,"")*$G294,"")</f>
        <v/>
      </c>
      <c r="BC294" s="179" t="str">
        <f t="array" ref="BC294">IF($F294&lt;&gt;"",XLOOKUP($F294,Productos!$A:$A,Productos!AV:AV,"Revisar"),"")</f>
        <v/>
      </c>
      <c r="BD294" s="179" t="str">
        <f t="array" ref="BD294">IF($F294&lt;&gt;"", XLOOKUP($F294,Productos!$A$2:$A1001,Productos!AW$2:AW1001,"")*$G294,"")</f>
        <v/>
      </c>
      <c r="BE294" s="179" t="str">
        <f t="array" ref="BE294">IF($F294&lt;&gt;"",XLOOKUP($F294,Productos!$A:$A,Productos!AX:AX,"Revisar"),"")</f>
        <v/>
      </c>
      <c r="BF294" s="179" t="str">
        <f t="array" ref="BF294">IF($F294&lt;&gt;"", XLOOKUP($F294,Productos!$A$2:$A1001,Productos!AY$2:AY1001,"")*$G294,"")</f>
        <v/>
      </c>
      <c r="BG294" s="179" t="str">
        <f t="array" ref="BG294">IF($F294&lt;&gt;"",XLOOKUP($F294,Productos!$A:$A,Productos!AZ:AZ,"Revisar"),"")</f>
        <v/>
      </c>
      <c r="BH294" s="179" t="str">
        <f t="array" ref="BH294">IF($F294&lt;&gt;"", XLOOKUP($F294,Productos!$A$2:$A1001,Productos!BA$2:BA1001,"")*$G294,"")</f>
        <v/>
      </c>
      <c r="BI294" s="179" t="str">
        <f t="array" ref="BI294">IF($F294&lt;&gt;"",XLOOKUP($F294,Productos!$A:$A,Productos!BB:BB,"Revisar"),"")</f>
        <v/>
      </c>
      <c r="BJ294" s="179" t="str">
        <f t="array" ref="BJ294">IF($F294&lt;&gt;"", XLOOKUP($F294,Productos!$A$2:$A1001,Productos!BC$2:BC1001,"")*$G294,"")</f>
        <v/>
      </c>
      <c r="BK294" s="179" t="str">
        <f t="array" ref="BK294">IF($F294&lt;&gt;"",XLOOKUP($F294,Productos!$A:$A,Productos!BD:BD,"Revisar"),"")</f>
        <v/>
      </c>
      <c r="BL294" s="179" t="str">
        <f t="array" ref="BL294">IF($F294&lt;&gt;"", XLOOKUP($F294,Productos!$A$2:$A1001,Productos!BE$2:BE1001,"")*$G294,"")</f>
        <v/>
      </c>
      <c r="BM294" s="179" t="str">
        <f t="array" ref="BM294">IF($F294&lt;&gt;"",XLOOKUP($F294,Productos!$A:$A,Productos!BF:BF,"Revisar"),"")</f>
        <v/>
      </c>
      <c r="BN294" s="179" t="str">
        <f t="array" ref="BN294">IF($F294&lt;&gt;"", XLOOKUP($F294,Productos!$A$2:$A1001,Productos!BG$2:BG1001,"")*$G294,"")</f>
        <v/>
      </c>
      <c r="BO294" s="179" t="str">
        <f t="array" ref="BO294">IF($F294&lt;&gt;"",XLOOKUP($F294,Productos!$A:$A,Productos!BH:BH,"Revisar"),"")</f>
        <v/>
      </c>
      <c r="BP294" s="179" t="str">
        <f t="array" ref="BP294">IF($F294&lt;&gt;"", XLOOKUP($F294,Productos!$A$2:$A1001,Productos!BI$2:BI1001,"")*$G294,"")</f>
        <v/>
      </c>
      <c r="BQ294" s="179" t="str">
        <f t="array" ref="BQ294">IF($F294&lt;&gt;"",XLOOKUP($F294,Productos!$A:$A,Productos!BJ:BJ,"Revisar"),"")</f>
        <v/>
      </c>
      <c r="BR294" s="179" t="str">
        <f t="array" ref="BR294">IF($F294&lt;&gt;"", XLOOKUP($F294,Productos!$A$2:$A1001,Productos!BK$2:BK1001,"")*$G294,"")</f>
        <v/>
      </c>
      <c r="BS294" s="179" t="str">
        <f t="array" ref="BS294">IF($F294&lt;&gt;"",XLOOKUP($F294,Productos!$A:$A,Productos!BL:BL,"Revisar"),"")</f>
        <v/>
      </c>
      <c r="BT294" s="179" t="str">
        <f t="array" ref="BT294">IF($F294&lt;&gt;"", XLOOKUP($F294,Productos!$A$2:$A1001,Productos!BM$2:BM1001,"")*$G294,"")</f>
        <v/>
      </c>
      <c r="BU294" s="179" t="str">
        <f t="array" ref="BU294">IF($F294&lt;&gt;"",XLOOKUP($F294,Productos!$A:$A,Productos!BN:BN,"Revisar"),"")</f>
        <v/>
      </c>
      <c r="BV294" s="179" t="str">
        <f t="array" ref="BV294">IF($F294&lt;&gt;"", XLOOKUP($F294,Productos!$A$2:$A1001,Productos!BO$2:BO1001,"")*$G294,"")</f>
        <v/>
      </c>
      <c r="BW294" s="179" t="str">
        <f t="array" ref="BW294">IF($F294&lt;&gt;"",XLOOKUP($F294,Productos!$A:$A,Productos!BP:BP,"Revisar"),"")</f>
        <v/>
      </c>
      <c r="BX294" s="179" t="str">
        <f t="array" ref="BX294">IF($F294&lt;&gt;"", XLOOKUP($F294,Productos!$A$2:$A1001,Productos!BQ$2:BQ1001,"")*$G294,"")</f>
        <v/>
      </c>
      <c r="BY294" s="179" t="str">
        <f t="array" ref="BY294">IF($F294&lt;&gt;"",XLOOKUP($F294,Productos!$A:$A,Productos!BR:BR,"Revisar"),"")</f>
        <v/>
      </c>
      <c r="BZ294" s="179" t="str">
        <f t="array" ref="BZ294">IF($F294&lt;&gt;"", XLOOKUP($F294,Productos!$A$2:$A1001,Productos!BS$2:BS1001,"")*$G294,"")</f>
        <v/>
      </c>
    </row>
    <row r="295">
      <c r="A295" s="180"/>
      <c r="B295" s="181"/>
      <c r="C295" s="182"/>
      <c r="D295" s="182"/>
      <c r="E295" s="185"/>
      <c r="F295" s="186"/>
      <c r="G295" s="187"/>
      <c r="H295" s="186"/>
      <c r="I295" s="179" t="str">
        <f t="array" ref="I295">IF($F295&lt;&gt;"",XLOOKUP($F295,Productos!$A:$A,Productos!B:B,"Revisar"),"")</f>
        <v/>
      </c>
      <c r="J295" s="179" t="str">
        <f t="array" ref="J295">IF($F295&lt;&gt;"", XLOOKUP($F295,Productos!$A$2:$A1001,Productos!C$2:C1001,"")*$G295,"")</f>
        <v/>
      </c>
      <c r="K295" s="179" t="str">
        <f t="array" ref="K295">IF($F295&lt;&gt;"",XLOOKUP($F295,Productos!$A:$A,Productos!D:D,"Revisar"),"")</f>
        <v/>
      </c>
      <c r="L295" s="179" t="str">
        <f t="array" ref="L295">IF($F295&lt;&gt;"", XLOOKUP($F295,Productos!$A$2:$A1001,Productos!E$2:E1001,"")*$G295,"")</f>
        <v/>
      </c>
      <c r="M295" s="179" t="str">
        <f t="array" ref="M295">IF($F295&lt;&gt;"",XLOOKUP($F295,Productos!$A:$A,Productos!F:F,"Revisar"),"")</f>
        <v/>
      </c>
      <c r="N295" s="179" t="str">
        <f t="array" ref="N295">IF($F295&lt;&gt;"", XLOOKUP($F295,Productos!$A$2:$A1001,Productos!G$2:G1001,"")*$G295,"")</f>
        <v/>
      </c>
      <c r="O295" s="179" t="str">
        <f t="array" ref="O295">IF($F295&lt;&gt;"",XLOOKUP($F295,Productos!$A:$A,Productos!H:H,"Revisar"),"")</f>
        <v/>
      </c>
      <c r="P295" s="179" t="str">
        <f t="array" ref="P295">IF($F295&lt;&gt;"", XLOOKUP($F295,Productos!$A$2:$A1001,Productos!I$2:I1001,"")*$G295,"")</f>
        <v/>
      </c>
      <c r="Q295" s="179" t="str">
        <f t="array" ref="Q295">IF($F295&lt;&gt;"",XLOOKUP($F295,Productos!$A:$A,Productos!J:J,"Revisar"),"")</f>
        <v/>
      </c>
      <c r="R295" s="179" t="str">
        <f t="array" ref="R295">IF($F295&lt;&gt;"", XLOOKUP($F295,Productos!$A$2:$A1001,Productos!K$2:K1001,"")*$G295,"")</f>
        <v/>
      </c>
      <c r="S295" s="179" t="str">
        <f t="array" ref="S295">IF($F295&lt;&gt;"",XLOOKUP($F295,Productos!$A:$A,Productos!L:L,"Revisar"),"")</f>
        <v/>
      </c>
      <c r="T295" s="179" t="str">
        <f t="array" ref="T295">IF($F295&lt;&gt;"", XLOOKUP($F295,Productos!$A$2:$A1001,Productos!M$2:M1001,"")*$G295,"")</f>
        <v/>
      </c>
      <c r="U295" s="179" t="str">
        <f t="array" ref="U295">IF($F295&lt;&gt;"",XLOOKUP($F295,Productos!$A:$A,Productos!N:N,"Revisar"),"")</f>
        <v/>
      </c>
      <c r="V295" s="179" t="str">
        <f t="array" ref="V295">IF($F295&lt;&gt;"", XLOOKUP($F295,Productos!$A$2:$A1001,Productos!O$2:O1001,"")*$G295,"")</f>
        <v/>
      </c>
      <c r="W295" s="179" t="str">
        <f t="array" ref="W295">IF($F295&lt;&gt;"",XLOOKUP($F295,Productos!$A:$A,Productos!P:P,"Revisar"),"")</f>
        <v/>
      </c>
      <c r="X295" s="179" t="str">
        <f t="array" ref="X295">IF($F295&lt;&gt;"", XLOOKUP($F295,Productos!$A$2:$A1001,Productos!Q$2:Q1001,"")*$G295,"")</f>
        <v/>
      </c>
      <c r="Y295" s="179" t="str">
        <f t="array" ref="Y295">IF($F295&lt;&gt;"",XLOOKUP($F295,Productos!$A:$A,Productos!R:R,"Revisar"),"")</f>
        <v/>
      </c>
      <c r="Z295" s="179" t="str">
        <f t="array" ref="Z295">IF($F295&lt;&gt;"", XLOOKUP($F295,Productos!$A$2:$A1001,Productos!S$2:S1001,"")*$G295,"")</f>
        <v/>
      </c>
      <c r="AA295" s="179" t="str">
        <f t="array" ref="AA295">IF($F295&lt;&gt;"",XLOOKUP($F295,Productos!$A:$A,Productos!T:T,"Revisar"),"")</f>
        <v/>
      </c>
      <c r="AB295" s="179" t="str">
        <f t="array" ref="AB295">IF($F295&lt;&gt;"", XLOOKUP($F295,Productos!$A$2:$A1001,Productos!U$2:U1001,"")*$G295,"")</f>
        <v/>
      </c>
      <c r="AC295" s="179" t="str">
        <f t="array" ref="AC295">IF($F295&lt;&gt;"",XLOOKUP($F295,Productos!$A:$A,Productos!V:V,"Revisar"),"")</f>
        <v/>
      </c>
      <c r="AD295" s="179" t="str">
        <f t="array" ref="AD295">IF($F295&lt;&gt;"", XLOOKUP($F295,Productos!$A$2:$A1001,Productos!W$2:W1001,"")*$G295,"")</f>
        <v/>
      </c>
      <c r="AE295" s="179" t="str">
        <f t="array" ref="AE295">IF($F295&lt;&gt;"",XLOOKUP($F295,Productos!$A:$A,Productos!X:X,"Revisar"),"")</f>
        <v/>
      </c>
      <c r="AF295" s="179" t="str">
        <f t="array" ref="AF295">IF($F295&lt;&gt;"", XLOOKUP($F295,Productos!$A$2:$A1001,Productos!Y$2:Y1001,"")*$G295,"")</f>
        <v/>
      </c>
      <c r="AG295" s="179" t="str">
        <f t="array" ref="AG295">IF($F295&lt;&gt;"",XLOOKUP($F295,Productos!$A:$A,Productos!Z:Z,"Revisar"),"")</f>
        <v/>
      </c>
      <c r="AH295" s="179" t="str">
        <f t="array" ref="AH295">IF($F295&lt;&gt;"", XLOOKUP($F295,Productos!$A$2:$A1001,Productos!AA$2:AA1001,"")*$G295,"")</f>
        <v/>
      </c>
      <c r="AI295" s="179" t="str">
        <f t="array" ref="AI295">IF($F295&lt;&gt;"",XLOOKUP($F295,Productos!$A:$A,Productos!AB:AB,"Revisar"),"")</f>
        <v/>
      </c>
      <c r="AJ295" s="179" t="str">
        <f t="array" ref="AJ295">IF($F295&lt;&gt;"", XLOOKUP($F295,Productos!$A$2:$A1001,Productos!AC$2:AC1001,"")*$G295,"")</f>
        <v/>
      </c>
      <c r="AK295" s="179" t="str">
        <f t="array" ref="AK295">IF($F295&lt;&gt;"",XLOOKUP($F295,Productos!$A:$A,Productos!AD:AD,"Revisar"),"")</f>
        <v/>
      </c>
      <c r="AL295" s="179" t="str">
        <f t="array" ref="AL295">IF($F295&lt;&gt;"", XLOOKUP($F295,Productos!$A$2:$A1001,Productos!AE$2:AE1001,"")*$G295,"")</f>
        <v/>
      </c>
      <c r="AM295" s="179" t="str">
        <f t="array" ref="AM295">IF($F295&lt;&gt;"",XLOOKUP($F295,Productos!$A:$A,Productos!AF:AF,"Revisar"),"")</f>
        <v/>
      </c>
      <c r="AN295" s="179" t="str">
        <f t="array" ref="AN295">IF($F295&lt;&gt;"", XLOOKUP($F295,Productos!$A$2:$A1001,Productos!AG$2:AG1001,"")*$G295,"")</f>
        <v/>
      </c>
      <c r="AO295" s="179" t="str">
        <f t="array" ref="AO295">IF($F295&lt;&gt;"",XLOOKUP($F295,Productos!$A:$A,Productos!AH:AH,"Revisar"),"")</f>
        <v/>
      </c>
      <c r="AP295" s="179" t="str">
        <f t="array" ref="AP295">IF($F295&lt;&gt;"", XLOOKUP($F295,Productos!$A$2:$A1001,Productos!AI$2:AI1001,"")*$G295,"")</f>
        <v/>
      </c>
      <c r="AQ295" s="179" t="str">
        <f t="array" ref="AQ295">IF($F295&lt;&gt;"",XLOOKUP($F295,Productos!$A:$A,Productos!AJ:AJ,"Revisar"),"")</f>
        <v/>
      </c>
      <c r="AR295" s="179" t="str">
        <f t="array" ref="AR295">IF($F295&lt;&gt;"", XLOOKUP($F295,Productos!$A$2:$A1001,Productos!AK$2:AK1001,"")*$G295,"")</f>
        <v/>
      </c>
      <c r="AS295" s="179" t="str">
        <f t="array" ref="AS295">IF($F295&lt;&gt;"",XLOOKUP($F295,Productos!$A:$A,Productos!AL:AL,"Revisar"),"")</f>
        <v/>
      </c>
      <c r="AT295" s="179" t="str">
        <f t="array" ref="AT295">IF($F295&lt;&gt;"", XLOOKUP($F295,Productos!$A$2:$A1001,Productos!AM$2:AM1001,"")*$G295,"")</f>
        <v/>
      </c>
      <c r="AU295" s="179" t="str">
        <f t="array" ref="AU295">IF($F295&lt;&gt;"",XLOOKUP($F295,Productos!$A:$A,Productos!AN:AN,"Revisar"),"")</f>
        <v/>
      </c>
      <c r="AV295" s="179" t="str">
        <f t="array" ref="AV295">IF($F295&lt;&gt;"", XLOOKUP($F295,Productos!$A$2:$A1001,Productos!AO$2:AO1001,"")*$G295,"")</f>
        <v/>
      </c>
      <c r="AW295" s="179" t="str">
        <f t="array" ref="AW295">IF($F295&lt;&gt;"",XLOOKUP($F295,Productos!$A:$A,Productos!AP:AP,"Revisar"),"")</f>
        <v/>
      </c>
      <c r="AX295" s="179" t="str">
        <f t="array" ref="AX295">IF($F295&lt;&gt;"", XLOOKUP($F295,Productos!$A$2:$A1001,Productos!AQ$2:AQ1001,"")*$G295,"")</f>
        <v/>
      </c>
      <c r="AY295" s="179" t="str">
        <f t="array" ref="AY295">IF($F295&lt;&gt;"",XLOOKUP($F295,Productos!$A:$A,Productos!AR:AR,"Revisar"),"")</f>
        <v/>
      </c>
      <c r="AZ295" s="179" t="str">
        <f t="array" ref="AZ295">IF($F295&lt;&gt;"", XLOOKUP($F295,Productos!$A$2:$A1001,Productos!AS$2:AS1001,"")*$G295,"")</f>
        <v/>
      </c>
      <c r="BA295" s="179" t="str">
        <f t="array" ref="BA295">IF($F295&lt;&gt;"",XLOOKUP($F295,Productos!$A:$A,Productos!AT:AT,"Revisar"),"")</f>
        <v/>
      </c>
      <c r="BB295" s="179" t="str">
        <f t="array" ref="BB295">IF($F295&lt;&gt;"", XLOOKUP($F295,Productos!$A$2:$A1001,Productos!AU$2:AU1001,"")*$G295,"")</f>
        <v/>
      </c>
      <c r="BC295" s="179" t="str">
        <f t="array" ref="BC295">IF($F295&lt;&gt;"",XLOOKUP($F295,Productos!$A:$A,Productos!AV:AV,"Revisar"),"")</f>
        <v/>
      </c>
      <c r="BD295" s="179" t="str">
        <f t="array" ref="BD295">IF($F295&lt;&gt;"", XLOOKUP($F295,Productos!$A$2:$A1001,Productos!AW$2:AW1001,"")*$G295,"")</f>
        <v/>
      </c>
      <c r="BE295" s="179" t="str">
        <f t="array" ref="BE295">IF($F295&lt;&gt;"",XLOOKUP($F295,Productos!$A:$A,Productos!AX:AX,"Revisar"),"")</f>
        <v/>
      </c>
      <c r="BF295" s="179" t="str">
        <f t="array" ref="BF295">IF($F295&lt;&gt;"", XLOOKUP($F295,Productos!$A$2:$A1001,Productos!AY$2:AY1001,"")*$G295,"")</f>
        <v/>
      </c>
      <c r="BG295" s="179" t="str">
        <f t="array" ref="BG295">IF($F295&lt;&gt;"",XLOOKUP($F295,Productos!$A:$A,Productos!AZ:AZ,"Revisar"),"")</f>
        <v/>
      </c>
      <c r="BH295" s="179" t="str">
        <f t="array" ref="BH295">IF($F295&lt;&gt;"", XLOOKUP($F295,Productos!$A$2:$A1001,Productos!BA$2:BA1001,"")*$G295,"")</f>
        <v/>
      </c>
      <c r="BI295" s="179" t="str">
        <f t="array" ref="BI295">IF($F295&lt;&gt;"",XLOOKUP($F295,Productos!$A:$A,Productos!BB:BB,"Revisar"),"")</f>
        <v/>
      </c>
      <c r="BJ295" s="179" t="str">
        <f t="array" ref="BJ295">IF($F295&lt;&gt;"", XLOOKUP($F295,Productos!$A$2:$A1001,Productos!BC$2:BC1001,"")*$G295,"")</f>
        <v/>
      </c>
      <c r="BK295" s="179" t="str">
        <f t="array" ref="BK295">IF($F295&lt;&gt;"",XLOOKUP($F295,Productos!$A:$A,Productos!BD:BD,"Revisar"),"")</f>
        <v/>
      </c>
      <c r="BL295" s="179" t="str">
        <f t="array" ref="BL295">IF($F295&lt;&gt;"", XLOOKUP($F295,Productos!$A$2:$A1001,Productos!BE$2:BE1001,"")*$G295,"")</f>
        <v/>
      </c>
      <c r="BM295" s="179" t="str">
        <f t="array" ref="BM295">IF($F295&lt;&gt;"",XLOOKUP($F295,Productos!$A:$A,Productos!BF:BF,"Revisar"),"")</f>
        <v/>
      </c>
      <c r="BN295" s="179" t="str">
        <f t="array" ref="BN295">IF($F295&lt;&gt;"", XLOOKUP($F295,Productos!$A$2:$A1001,Productos!BG$2:BG1001,"")*$G295,"")</f>
        <v/>
      </c>
      <c r="BO295" s="179" t="str">
        <f t="array" ref="BO295">IF($F295&lt;&gt;"",XLOOKUP($F295,Productos!$A:$A,Productos!BH:BH,"Revisar"),"")</f>
        <v/>
      </c>
      <c r="BP295" s="179" t="str">
        <f t="array" ref="BP295">IF($F295&lt;&gt;"", XLOOKUP($F295,Productos!$A$2:$A1001,Productos!BI$2:BI1001,"")*$G295,"")</f>
        <v/>
      </c>
      <c r="BQ295" s="179" t="str">
        <f t="array" ref="BQ295">IF($F295&lt;&gt;"",XLOOKUP($F295,Productos!$A:$A,Productos!BJ:BJ,"Revisar"),"")</f>
        <v/>
      </c>
      <c r="BR295" s="179" t="str">
        <f t="array" ref="BR295">IF($F295&lt;&gt;"", XLOOKUP($F295,Productos!$A$2:$A1001,Productos!BK$2:BK1001,"")*$G295,"")</f>
        <v/>
      </c>
      <c r="BS295" s="179" t="str">
        <f t="array" ref="BS295">IF($F295&lt;&gt;"",XLOOKUP($F295,Productos!$A:$A,Productos!BL:BL,"Revisar"),"")</f>
        <v/>
      </c>
      <c r="BT295" s="179" t="str">
        <f t="array" ref="BT295">IF($F295&lt;&gt;"", XLOOKUP($F295,Productos!$A$2:$A1001,Productos!BM$2:BM1001,"")*$G295,"")</f>
        <v/>
      </c>
      <c r="BU295" s="179" t="str">
        <f t="array" ref="BU295">IF($F295&lt;&gt;"",XLOOKUP($F295,Productos!$A:$A,Productos!BN:BN,"Revisar"),"")</f>
        <v/>
      </c>
      <c r="BV295" s="179" t="str">
        <f t="array" ref="BV295">IF($F295&lt;&gt;"", XLOOKUP($F295,Productos!$A$2:$A1001,Productos!BO$2:BO1001,"")*$G295,"")</f>
        <v/>
      </c>
      <c r="BW295" s="179" t="str">
        <f t="array" ref="BW295">IF($F295&lt;&gt;"",XLOOKUP($F295,Productos!$A:$A,Productos!BP:BP,"Revisar"),"")</f>
        <v/>
      </c>
      <c r="BX295" s="179" t="str">
        <f t="array" ref="BX295">IF($F295&lt;&gt;"", XLOOKUP($F295,Productos!$A$2:$A1001,Productos!BQ$2:BQ1001,"")*$G295,"")</f>
        <v/>
      </c>
      <c r="BY295" s="179" t="str">
        <f t="array" ref="BY295">IF($F295&lt;&gt;"",XLOOKUP($F295,Productos!$A:$A,Productos!BR:BR,"Revisar"),"")</f>
        <v/>
      </c>
      <c r="BZ295" s="179" t="str">
        <f t="array" ref="BZ295">IF($F295&lt;&gt;"", XLOOKUP($F295,Productos!$A$2:$A1001,Productos!BS$2:BS1001,"")*$G295,"")</f>
        <v/>
      </c>
    </row>
    <row r="296">
      <c r="A296" s="180"/>
      <c r="B296" s="181"/>
      <c r="C296" s="182"/>
      <c r="D296" s="182"/>
      <c r="E296" s="185"/>
      <c r="F296" s="186"/>
      <c r="G296" s="187"/>
      <c r="H296" s="186"/>
      <c r="I296" s="179" t="str">
        <f t="array" ref="I296">IF($F296&lt;&gt;"",XLOOKUP($F296,Productos!$A:$A,Productos!B:B,"Revisar"),"")</f>
        <v/>
      </c>
      <c r="J296" s="179" t="str">
        <f t="array" ref="J296">IF($F296&lt;&gt;"", XLOOKUP($F296,Productos!$A$2:$A1001,Productos!C$2:C1001,"")*$G296,"")</f>
        <v/>
      </c>
      <c r="K296" s="179" t="str">
        <f t="array" ref="K296">IF($F296&lt;&gt;"",XLOOKUP($F296,Productos!$A:$A,Productos!D:D,"Revisar"),"")</f>
        <v/>
      </c>
      <c r="L296" s="179" t="str">
        <f t="array" ref="L296">IF($F296&lt;&gt;"", XLOOKUP($F296,Productos!$A$2:$A1001,Productos!E$2:E1001,"")*$G296,"")</f>
        <v/>
      </c>
      <c r="M296" s="179" t="str">
        <f t="array" ref="M296">IF($F296&lt;&gt;"",XLOOKUP($F296,Productos!$A:$A,Productos!F:F,"Revisar"),"")</f>
        <v/>
      </c>
      <c r="N296" s="179" t="str">
        <f t="array" ref="N296">IF($F296&lt;&gt;"", XLOOKUP($F296,Productos!$A$2:$A1001,Productos!G$2:G1001,"")*$G296,"")</f>
        <v/>
      </c>
      <c r="O296" s="179" t="str">
        <f t="array" ref="O296">IF($F296&lt;&gt;"",XLOOKUP($F296,Productos!$A:$A,Productos!H:H,"Revisar"),"")</f>
        <v/>
      </c>
      <c r="P296" s="179" t="str">
        <f t="array" ref="P296">IF($F296&lt;&gt;"", XLOOKUP($F296,Productos!$A$2:$A1001,Productos!I$2:I1001,"")*$G296,"")</f>
        <v/>
      </c>
      <c r="Q296" s="179" t="str">
        <f t="array" ref="Q296">IF($F296&lt;&gt;"",XLOOKUP($F296,Productos!$A:$A,Productos!J:J,"Revisar"),"")</f>
        <v/>
      </c>
      <c r="R296" s="179" t="str">
        <f t="array" ref="R296">IF($F296&lt;&gt;"", XLOOKUP($F296,Productos!$A$2:$A1001,Productos!K$2:K1001,"")*$G296,"")</f>
        <v/>
      </c>
      <c r="S296" s="179" t="str">
        <f t="array" ref="S296">IF($F296&lt;&gt;"",XLOOKUP($F296,Productos!$A:$A,Productos!L:L,"Revisar"),"")</f>
        <v/>
      </c>
      <c r="T296" s="179" t="str">
        <f t="array" ref="T296">IF($F296&lt;&gt;"", XLOOKUP($F296,Productos!$A$2:$A1001,Productos!M$2:M1001,"")*$G296,"")</f>
        <v/>
      </c>
      <c r="U296" s="179" t="str">
        <f t="array" ref="U296">IF($F296&lt;&gt;"",XLOOKUP($F296,Productos!$A:$A,Productos!N:N,"Revisar"),"")</f>
        <v/>
      </c>
      <c r="V296" s="179" t="str">
        <f t="array" ref="V296">IF($F296&lt;&gt;"", XLOOKUP($F296,Productos!$A$2:$A1001,Productos!O$2:O1001,"")*$G296,"")</f>
        <v/>
      </c>
      <c r="W296" s="179" t="str">
        <f t="array" ref="W296">IF($F296&lt;&gt;"",XLOOKUP($F296,Productos!$A:$A,Productos!P:P,"Revisar"),"")</f>
        <v/>
      </c>
      <c r="X296" s="179" t="str">
        <f t="array" ref="X296">IF($F296&lt;&gt;"", XLOOKUP($F296,Productos!$A$2:$A1001,Productos!Q$2:Q1001,"")*$G296,"")</f>
        <v/>
      </c>
      <c r="Y296" s="179" t="str">
        <f t="array" ref="Y296">IF($F296&lt;&gt;"",XLOOKUP($F296,Productos!$A:$A,Productos!R:R,"Revisar"),"")</f>
        <v/>
      </c>
      <c r="Z296" s="179" t="str">
        <f t="array" ref="Z296">IF($F296&lt;&gt;"", XLOOKUP($F296,Productos!$A$2:$A1001,Productos!S$2:S1001,"")*$G296,"")</f>
        <v/>
      </c>
      <c r="AA296" s="179" t="str">
        <f t="array" ref="AA296">IF($F296&lt;&gt;"",XLOOKUP($F296,Productos!$A:$A,Productos!T:T,"Revisar"),"")</f>
        <v/>
      </c>
      <c r="AB296" s="179" t="str">
        <f t="array" ref="AB296">IF($F296&lt;&gt;"", XLOOKUP($F296,Productos!$A$2:$A1001,Productos!U$2:U1001,"")*$G296,"")</f>
        <v/>
      </c>
      <c r="AC296" s="179" t="str">
        <f t="array" ref="AC296">IF($F296&lt;&gt;"",XLOOKUP($F296,Productos!$A:$A,Productos!V:V,"Revisar"),"")</f>
        <v/>
      </c>
      <c r="AD296" s="179" t="str">
        <f t="array" ref="AD296">IF($F296&lt;&gt;"", XLOOKUP($F296,Productos!$A$2:$A1001,Productos!W$2:W1001,"")*$G296,"")</f>
        <v/>
      </c>
      <c r="AE296" s="179" t="str">
        <f t="array" ref="AE296">IF($F296&lt;&gt;"",XLOOKUP($F296,Productos!$A:$A,Productos!X:X,"Revisar"),"")</f>
        <v/>
      </c>
      <c r="AF296" s="179" t="str">
        <f t="array" ref="AF296">IF($F296&lt;&gt;"", XLOOKUP($F296,Productos!$A$2:$A1001,Productos!Y$2:Y1001,"")*$G296,"")</f>
        <v/>
      </c>
      <c r="AG296" s="179" t="str">
        <f t="array" ref="AG296">IF($F296&lt;&gt;"",XLOOKUP($F296,Productos!$A:$A,Productos!Z:Z,"Revisar"),"")</f>
        <v/>
      </c>
      <c r="AH296" s="179" t="str">
        <f t="array" ref="AH296">IF($F296&lt;&gt;"", XLOOKUP($F296,Productos!$A$2:$A1001,Productos!AA$2:AA1001,"")*$G296,"")</f>
        <v/>
      </c>
      <c r="AI296" s="179" t="str">
        <f t="array" ref="AI296">IF($F296&lt;&gt;"",XLOOKUP($F296,Productos!$A:$A,Productos!AB:AB,"Revisar"),"")</f>
        <v/>
      </c>
      <c r="AJ296" s="179" t="str">
        <f t="array" ref="AJ296">IF($F296&lt;&gt;"", XLOOKUP($F296,Productos!$A$2:$A1001,Productos!AC$2:AC1001,"")*$G296,"")</f>
        <v/>
      </c>
      <c r="AK296" s="179" t="str">
        <f t="array" ref="AK296">IF($F296&lt;&gt;"",XLOOKUP($F296,Productos!$A:$A,Productos!AD:AD,"Revisar"),"")</f>
        <v/>
      </c>
      <c r="AL296" s="179" t="str">
        <f t="array" ref="AL296">IF($F296&lt;&gt;"", XLOOKUP($F296,Productos!$A$2:$A1001,Productos!AE$2:AE1001,"")*$G296,"")</f>
        <v/>
      </c>
      <c r="AM296" s="179" t="str">
        <f t="array" ref="AM296">IF($F296&lt;&gt;"",XLOOKUP($F296,Productos!$A:$A,Productos!AF:AF,"Revisar"),"")</f>
        <v/>
      </c>
      <c r="AN296" s="179" t="str">
        <f t="array" ref="AN296">IF($F296&lt;&gt;"", XLOOKUP($F296,Productos!$A$2:$A1001,Productos!AG$2:AG1001,"")*$G296,"")</f>
        <v/>
      </c>
      <c r="AO296" s="179" t="str">
        <f t="array" ref="AO296">IF($F296&lt;&gt;"",XLOOKUP($F296,Productos!$A:$A,Productos!AH:AH,"Revisar"),"")</f>
        <v/>
      </c>
      <c r="AP296" s="179" t="str">
        <f t="array" ref="AP296">IF($F296&lt;&gt;"", XLOOKUP($F296,Productos!$A$2:$A1001,Productos!AI$2:AI1001,"")*$G296,"")</f>
        <v/>
      </c>
      <c r="AQ296" s="179" t="str">
        <f t="array" ref="AQ296">IF($F296&lt;&gt;"",XLOOKUP($F296,Productos!$A:$A,Productos!AJ:AJ,"Revisar"),"")</f>
        <v/>
      </c>
      <c r="AR296" s="179" t="str">
        <f t="array" ref="AR296">IF($F296&lt;&gt;"", XLOOKUP($F296,Productos!$A$2:$A1001,Productos!AK$2:AK1001,"")*$G296,"")</f>
        <v/>
      </c>
      <c r="AS296" s="179" t="str">
        <f t="array" ref="AS296">IF($F296&lt;&gt;"",XLOOKUP($F296,Productos!$A:$A,Productos!AL:AL,"Revisar"),"")</f>
        <v/>
      </c>
      <c r="AT296" s="179" t="str">
        <f t="array" ref="AT296">IF($F296&lt;&gt;"", XLOOKUP($F296,Productos!$A$2:$A1001,Productos!AM$2:AM1001,"")*$G296,"")</f>
        <v/>
      </c>
      <c r="AU296" s="179" t="str">
        <f t="array" ref="AU296">IF($F296&lt;&gt;"",XLOOKUP($F296,Productos!$A:$A,Productos!AN:AN,"Revisar"),"")</f>
        <v/>
      </c>
      <c r="AV296" s="179" t="str">
        <f t="array" ref="AV296">IF($F296&lt;&gt;"", XLOOKUP($F296,Productos!$A$2:$A1001,Productos!AO$2:AO1001,"")*$G296,"")</f>
        <v/>
      </c>
      <c r="AW296" s="179" t="str">
        <f t="array" ref="AW296">IF($F296&lt;&gt;"",XLOOKUP($F296,Productos!$A:$A,Productos!AP:AP,"Revisar"),"")</f>
        <v/>
      </c>
      <c r="AX296" s="179" t="str">
        <f t="array" ref="AX296">IF($F296&lt;&gt;"", XLOOKUP($F296,Productos!$A$2:$A1001,Productos!AQ$2:AQ1001,"")*$G296,"")</f>
        <v/>
      </c>
      <c r="AY296" s="179" t="str">
        <f t="array" ref="AY296">IF($F296&lt;&gt;"",XLOOKUP($F296,Productos!$A:$A,Productos!AR:AR,"Revisar"),"")</f>
        <v/>
      </c>
      <c r="AZ296" s="179" t="str">
        <f t="array" ref="AZ296">IF($F296&lt;&gt;"", XLOOKUP($F296,Productos!$A$2:$A1001,Productos!AS$2:AS1001,"")*$G296,"")</f>
        <v/>
      </c>
      <c r="BA296" s="179" t="str">
        <f t="array" ref="BA296">IF($F296&lt;&gt;"",XLOOKUP($F296,Productos!$A:$A,Productos!AT:AT,"Revisar"),"")</f>
        <v/>
      </c>
      <c r="BB296" s="179" t="str">
        <f t="array" ref="BB296">IF($F296&lt;&gt;"", XLOOKUP($F296,Productos!$A$2:$A1001,Productos!AU$2:AU1001,"")*$G296,"")</f>
        <v/>
      </c>
      <c r="BC296" s="179" t="str">
        <f t="array" ref="BC296">IF($F296&lt;&gt;"",XLOOKUP($F296,Productos!$A:$A,Productos!AV:AV,"Revisar"),"")</f>
        <v/>
      </c>
      <c r="BD296" s="179" t="str">
        <f t="array" ref="BD296">IF($F296&lt;&gt;"", XLOOKUP($F296,Productos!$A$2:$A1001,Productos!AW$2:AW1001,"")*$G296,"")</f>
        <v/>
      </c>
      <c r="BE296" s="179" t="str">
        <f t="array" ref="BE296">IF($F296&lt;&gt;"",XLOOKUP($F296,Productos!$A:$A,Productos!AX:AX,"Revisar"),"")</f>
        <v/>
      </c>
      <c r="BF296" s="179" t="str">
        <f t="array" ref="BF296">IF($F296&lt;&gt;"", XLOOKUP($F296,Productos!$A$2:$A1001,Productos!AY$2:AY1001,"")*$G296,"")</f>
        <v/>
      </c>
      <c r="BG296" s="179" t="str">
        <f t="array" ref="BG296">IF($F296&lt;&gt;"",XLOOKUP($F296,Productos!$A:$A,Productos!AZ:AZ,"Revisar"),"")</f>
        <v/>
      </c>
      <c r="BH296" s="179" t="str">
        <f t="array" ref="BH296">IF($F296&lt;&gt;"", XLOOKUP($F296,Productos!$A$2:$A1001,Productos!BA$2:BA1001,"")*$G296,"")</f>
        <v/>
      </c>
      <c r="BI296" s="179" t="str">
        <f t="array" ref="BI296">IF($F296&lt;&gt;"",XLOOKUP($F296,Productos!$A:$A,Productos!BB:BB,"Revisar"),"")</f>
        <v/>
      </c>
      <c r="BJ296" s="179" t="str">
        <f t="array" ref="BJ296">IF($F296&lt;&gt;"", XLOOKUP($F296,Productos!$A$2:$A1001,Productos!BC$2:BC1001,"")*$G296,"")</f>
        <v/>
      </c>
      <c r="BK296" s="179" t="str">
        <f t="array" ref="BK296">IF($F296&lt;&gt;"",XLOOKUP($F296,Productos!$A:$A,Productos!BD:BD,"Revisar"),"")</f>
        <v/>
      </c>
      <c r="BL296" s="179" t="str">
        <f t="array" ref="BL296">IF($F296&lt;&gt;"", XLOOKUP($F296,Productos!$A$2:$A1001,Productos!BE$2:BE1001,"")*$G296,"")</f>
        <v/>
      </c>
      <c r="BM296" s="179" t="str">
        <f t="array" ref="BM296">IF($F296&lt;&gt;"",XLOOKUP($F296,Productos!$A:$A,Productos!BF:BF,"Revisar"),"")</f>
        <v/>
      </c>
      <c r="BN296" s="179" t="str">
        <f t="array" ref="BN296">IF($F296&lt;&gt;"", XLOOKUP($F296,Productos!$A$2:$A1001,Productos!BG$2:BG1001,"")*$G296,"")</f>
        <v/>
      </c>
      <c r="BO296" s="179" t="str">
        <f t="array" ref="BO296">IF($F296&lt;&gt;"",XLOOKUP($F296,Productos!$A:$A,Productos!BH:BH,"Revisar"),"")</f>
        <v/>
      </c>
      <c r="BP296" s="179" t="str">
        <f t="array" ref="BP296">IF($F296&lt;&gt;"", XLOOKUP($F296,Productos!$A$2:$A1001,Productos!BI$2:BI1001,"")*$G296,"")</f>
        <v/>
      </c>
      <c r="BQ296" s="179" t="str">
        <f t="array" ref="BQ296">IF($F296&lt;&gt;"",XLOOKUP($F296,Productos!$A:$A,Productos!BJ:BJ,"Revisar"),"")</f>
        <v/>
      </c>
      <c r="BR296" s="179" t="str">
        <f t="array" ref="BR296">IF($F296&lt;&gt;"", XLOOKUP($F296,Productos!$A$2:$A1001,Productos!BK$2:BK1001,"")*$G296,"")</f>
        <v/>
      </c>
      <c r="BS296" s="179" t="str">
        <f t="array" ref="BS296">IF($F296&lt;&gt;"",XLOOKUP($F296,Productos!$A:$A,Productos!BL:BL,"Revisar"),"")</f>
        <v/>
      </c>
      <c r="BT296" s="179" t="str">
        <f t="array" ref="BT296">IF($F296&lt;&gt;"", XLOOKUP($F296,Productos!$A$2:$A1001,Productos!BM$2:BM1001,"")*$G296,"")</f>
        <v/>
      </c>
      <c r="BU296" s="179" t="str">
        <f t="array" ref="BU296">IF($F296&lt;&gt;"",XLOOKUP($F296,Productos!$A:$A,Productos!BN:BN,"Revisar"),"")</f>
        <v/>
      </c>
      <c r="BV296" s="179" t="str">
        <f t="array" ref="BV296">IF($F296&lt;&gt;"", XLOOKUP($F296,Productos!$A$2:$A1001,Productos!BO$2:BO1001,"")*$G296,"")</f>
        <v/>
      </c>
      <c r="BW296" s="179" t="str">
        <f t="array" ref="BW296">IF($F296&lt;&gt;"",XLOOKUP($F296,Productos!$A:$A,Productos!BP:BP,"Revisar"),"")</f>
        <v/>
      </c>
      <c r="BX296" s="179" t="str">
        <f t="array" ref="BX296">IF($F296&lt;&gt;"", XLOOKUP($F296,Productos!$A$2:$A1001,Productos!BQ$2:BQ1001,"")*$G296,"")</f>
        <v/>
      </c>
      <c r="BY296" s="179" t="str">
        <f t="array" ref="BY296">IF($F296&lt;&gt;"",XLOOKUP($F296,Productos!$A:$A,Productos!BR:BR,"Revisar"),"")</f>
        <v/>
      </c>
      <c r="BZ296" s="179" t="str">
        <f t="array" ref="BZ296">IF($F296&lt;&gt;"", XLOOKUP($F296,Productos!$A$2:$A1001,Productos!BS$2:BS1001,"")*$G296,"")</f>
        <v/>
      </c>
    </row>
    <row r="297">
      <c r="A297" s="180"/>
      <c r="B297" s="181"/>
      <c r="C297" s="182"/>
      <c r="D297" s="182"/>
      <c r="E297" s="185"/>
      <c r="F297" s="186"/>
      <c r="G297" s="187"/>
      <c r="H297" s="186"/>
      <c r="I297" s="179" t="str">
        <f t="array" ref="I297">IF($F297&lt;&gt;"",XLOOKUP($F297,Productos!$A:$A,Productos!B:B,"Revisar"),"")</f>
        <v/>
      </c>
      <c r="J297" s="179" t="str">
        <f t="array" ref="J297">IF($F297&lt;&gt;"", XLOOKUP($F297,Productos!$A$2:$A1001,Productos!C$2:C1001,"")*$G297,"")</f>
        <v/>
      </c>
      <c r="K297" s="179" t="str">
        <f t="array" ref="K297">IF($F297&lt;&gt;"",XLOOKUP($F297,Productos!$A:$A,Productos!D:D,"Revisar"),"")</f>
        <v/>
      </c>
      <c r="L297" s="179" t="str">
        <f t="array" ref="L297">IF($F297&lt;&gt;"", XLOOKUP($F297,Productos!$A$2:$A1001,Productos!E$2:E1001,"")*$G297,"")</f>
        <v/>
      </c>
      <c r="M297" s="179" t="str">
        <f t="array" ref="M297">IF($F297&lt;&gt;"",XLOOKUP($F297,Productos!$A:$A,Productos!F:F,"Revisar"),"")</f>
        <v/>
      </c>
      <c r="N297" s="179" t="str">
        <f t="array" ref="N297">IF($F297&lt;&gt;"", XLOOKUP($F297,Productos!$A$2:$A1001,Productos!G$2:G1001,"")*$G297,"")</f>
        <v/>
      </c>
      <c r="O297" s="179" t="str">
        <f t="array" ref="O297">IF($F297&lt;&gt;"",XLOOKUP($F297,Productos!$A:$A,Productos!H:H,"Revisar"),"")</f>
        <v/>
      </c>
      <c r="P297" s="179" t="str">
        <f t="array" ref="P297">IF($F297&lt;&gt;"", XLOOKUP($F297,Productos!$A$2:$A1001,Productos!I$2:I1001,"")*$G297,"")</f>
        <v/>
      </c>
      <c r="Q297" s="179" t="str">
        <f t="array" ref="Q297">IF($F297&lt;&gt;"",XLOOKUP($F297,Productos!$A:$A,Productos!J:J,"Revisar"),"")</f>
        <v/>
      </c>
      <c r="R297" s="179" t="str">
        <f t="array" ref="R297">IF($F297&lt;&gt;"", XLOOKUP($F297,Productos!$A$2:$A1001,Productos!K$2:K1001,"")*$G297,"")</f>
        <v/>
      </c>
      <c r="S297" s="179" t="str">
        <f t="array" ref="S297">IF($F297&lt;&gt;"",XLOOKUP($F297,Productos!$A:$A,Productos!L:L,"Revisar"),"")</f>
        <v/>
      </c>
      <c r="T297" s="179" t="str">
        <f t="array" ref="T297">IF($F297&lt;&gt;"", XLOOKUP($F297,Productos!$A$2:$A1001,Productos!M$2:M1001,"")*$G297,"")</f>
        <v/>
      </c>
      <c r="U297" s="179" t="str">
        <f t="array" ref="U297">IF($F297&lt;&gt;"",XLOOKUP($F297,Productos!$A:$A,Productos!N:N,"Revisar"),"")</f>
        <v/>
      </c>
      <c r="V297" s="179" t="str">
        <f t="array" ref="V297">IF($F297&lt;&gt;"", XLOOKUP($F297,Productos!$A$2:$A1001,Productos!O$2:O1001,"")*$G297,"")</f>
        <v/>
      </c>
      <c r="W297" s="179" t="str">
        <f t="array" ref="W297">IF($F297&lt;&gt;"",XLOOKUP($F297,Productos!$A:$A,Productos!P:P,"Revisar"),"")</f>
        <v/>
      </c>
      <c r="X297" s="179" t="str">
        <f t="array" ref="X297">IF($F297&lt;&gt;"", XLOOKUP($F297,Productos!$A$2:$A1001,Productos!Q$2:Q1001,"")*$G297,"")</f>
        <v/>
      </c>
      <c r="Y297" s="179" t="str">
        <f t="array" ref="Y297">IF($F297&lt;&gt;"",XLOOKUP($F297,Productos!$A:$A,Productos!R:R,"Revisar"),"")</f>
        <v/>
      </c>
      <c r="Z297" s="179" t="str">
        <f t="array" ref="Z297">IF($F297&lt;&gt;"", XLOOKUP($F297,Productos!$A$2:$A1001,Productos!S$2:S1001,"")*$G297,"")</f>
        <v/>
      </c>
      <c r="AA297" s="179" t="str">
        <f t="array" ref="AA297">IF($F297&lt;&gt;"",XLOOKUP($F297,Productos!$A:$A,Productos!T:T,"Revisar"),"")</f>
        <v/>
      </c>
      <c r="AB297" s="179" t="str">
        <f t="array" ref="AB297">IF($F297&lt;&gt;"", XLOOKUP($F297,Productos!$A$2:$A1001,Productos!U$2:U1001,"")*$G297,"")</f>
        <v/>
      </c>
      <c r="AC297" s="179" t="str">
        <f t="array" ref="AC297">IF($F297&lt;&gt;"",XLOOKUP($F297,Productos!$A:$A,Productos!V:V,"Revisar"),"")</f>
        <v/>
      </c>
      <c r="AD297" s="179" t="str">
        <f t="array" ref="AD297">IF($F297&lt;&gt;"", XLOOKUP($F297,Productos!$A$2:$A1001,Productos!W$2:W1001,"")*$G297,"")</f>
        <v/>
      </c>
      <c r="AE297" s="179" t="str">
        <f t="array" ref="AE297">IF($F297&lt;&gt;"",XLOOKUP($F297,Productos!$A:$A,Productos!X:X,"Revisar"),"")</f>
        <v/>
      </c>
      <c r="AF297" s="179" t="str">
        <f t="array" ref="AF297">IF($F297&lt;&gt;"", XLOOKUP($F297,Productos!$A$2:$A1001,Productos!Y$2:Y1001,"")*$G297,"")</f>
        <v/>
      </c>
      <c r="AG297" s="179" t="str">
        <f t="array" ref="AG297">IF($F297&lt;&gt;"",XLOOKUP($F297,Productos!$A:$A,Productos!Z:Z,"Revisar"),"")</f>
        <v/>
      </c>
      <c r="AH297" s="179" t="str">
        <f t="array" ref="AH297">IF($F297&lt;&gt;"", XLOOKUP($F297,Productos!$A$2:$A1001,Productos!AA$2:AA1001,"")*$G297,"")</f>
        <v/>
      </c>
      <c r="AI297" s="179" t="str">
        <f t="array" ref="AI297">IF($F297&lt;&gt;"",XLOOKUP($F297,Productos!$A:$A,Productos!AB:AB,"Revisar"),"")</f>
        <v/>
      </c>
      <c r="AJ297" s="179" t="str">
        <f t="array" ref="AJ297">IF($F297&lt;&gt;"", XLOOKUP($F297,Productos!$A$2:$A1001,Productos!AC$2:AC1001,"")*$G297,"")</f>
        <v/>
      </c>
      <c r="AK297" s="179" t="str">
        <f t="array" ref="AK297">IF($F297&lt;&gt;"",XLOOKUP($F297,Productos!$A:$A,Productos!AD:AD,"Revisar"),"")</f>
        <v/>
      </c>
      <c r="AL297" s="179" t="str">
        <f t="array" ref="AL297">IF($F297&lt;&gt;"", XLOOKUP($F297,Productos!$A$2:$A1001,Productos!AE$2:AE1001,"")*$G297,"")</f>
        <v/>
      </c>
      <c r="AM297" s="179" t="str">
        <f t="array" ref="AM297">IF($F297&lt;&gt;"",XLOOKUP($F297,Productos!$A:$A,Productos!AF:AF,"Revisar"),"")</f>
        <v/>
      </c>
      <c r="AN297" s="179" t="str">
        <f t="array" ref="AN297">IF($F297&lt;&gt;"", XLOOKUP($F297,Productos!$A$2:$A1001,Productos!AG$2:AG1001,"")*$G297,"")</f>
        <v/>
      </c>
      <c r="AO297" s="179" t="str">
        <f t="array" ref="AO297">IF($F297&lt;&gt;"",XLOOKUP($F297,Productos!$A:$A,Productos!AH:AH,"Revisar"),"")</f>
        <v/>
      </c>
      <c r="AP297" s="179" t="str">
        <f t="array" ref="AP297">IF($F297&lt;&gt;"", XLOOKUP($F297,Productos!$A$2:$A1001,Productos!AI$2:AI1001,"")*$G297,"")</f>
        <v/>
      </c>
      <c r="AQ297" s="179" t="str">
        <f t="array" ref="AQ297">IF($F297&lt;&gt;"",XLOOKUP($F297,Productos!$A:$A,Productos!AJ:AJ,"Revisar"),"")</f>
        <v/>
      </c>
      <c r="AR297" s="179" t="str">
        <f t="array" ref="AR297">IF($F297&lt;&gt;"", XLOOKUP($F297,Productos!$A$2:$A1001,Productos!AK$2:AK1001,"")*$G297,"")</f>
        <v/>
      </c>
      <c r="AS297" s="179" t="str">
        <f t="array" ref="AS297">IF($F297&lt;&gt;"",XLOOKUP($F297,Productos!$A:$A,Productos!AL:AL,"Revisar"),"")</f>
        <v/>
      </c>
      <c r="AT297" s="179" t="str">
        <f t="array" ref="AT297">IF($F297&lt;&gt;"", XLOOKUP($F297,Productos!$A$2:$A1001,Productos!AM$2:AM1001,"")*$G297,"")</f>
        <v/>
      </c>
      <c r="AU297" s="179" t="str">
        <f t="array" ref="AU297">IF($F297&lt;&gt;"",XLOOKUP($F297,Productos!$A:$A,Productos!AN:AN,"Revisar"),"")</f>
        <v/>
      </c>
      <c r="AV297" s="179" t="str">
        <f t="array" ref="AV297">IF($F297&lt;&gt;"", XLOOKUP($F297,Productos!$A$2:$A1001,Productos!AO$2:AO1001,"")*$G297,"")</f>
        <v/>
      </c>
      <c r="AW297" s="179" t="str">
        <f t="array" ref="AW297">IF($F297&lt;&gt;"",XLOOKUP($F297,Productos!$A:$A,Productos!AP:AP,"Revisar"),"")</f>
        <v/>
      </c>
      <c r="AX297" s="179" t="str">
        <f t="array" ref="AX297">IF($F297&lt;&gt;"", XLOOKUP($F297,Productos!$A$2:$A1001,Productos!AQ$2:AQ1001,"")*$G297,"")</f>
        <v/>
      </c>
      <c r="AY297" s="179" t="str">
        <f t="array" ref="AY297">IF($F297&lt;&gt;"",XLOOKUP($F297,Productos!$A:$A,Productos!AR:AR,"Revisar"),"")</f>
        <v/>
      </c>
      <c r="AZ297" s="179" t="str">
        <f t="array" ref="AZ297">IF($F297&lt;&gt;"", XLOOKUP($F297,Productos!$A$2:$A1001,Productos!AS$2:AS1001,"")*$G297,"")</f>
        <v/>
      </c>
      <c r="BA297" s="179" t="str">
        <f t="array" ref="BA297">IF($F297&lt;&gt;"",XLOOKUP($F297,Productos!$A:$A,Productos!AT:AT,"Revisar"),"")</f>
        <v/>
      </c>
      <c r="BB297" s="179" t="str">
        <f t="array" ref="BB297">IF($F297&lt;&gt;"", XLOOKUP($F297,Productos!$A$2:$A1001,Productos!AU$2:AU1001,"")*$G297,"")</f>
        <v/>
      </c>
      <c r="BC297" s="179" t="str">
        <f t="array" ref="BC297">IF($F297&lt;&gt;"",XLOOKUP($F297,Productos!$A:$A,Productos!AV:AV,"Revisar"),"")</f>
        <v/>
      </c>
      <c r="BD297" s="179" t="str">
        <f t="array" ref="BD297">IF($F297&lt;&gt;"", XLOOKUP($F297,Productos!$A$2:$A1001,Productos!AW$2:AW1001,"")*$G297,"")</f>
        <v/>
      </c>
      <c r="BE297" s="179" t="str">
        <f t="array" ref="BE297">IF($F297&lt;&gt;"",XLOOKUP($F297,Productos!$A:$A,Productos!AX:AX,"Revisar"),"")</f>
        <v/>
      </c>
      <c r="BF297" s="179" t="str">
        <f t="array" ref="BF297">IF($F297&lt;&gt;"", XLOOKUP($F297,Productos!$A$2:$A1001,Productos!AY$2:AY1001,"")*$G297,"")</f>
        <v/>
      </c>
      <c r="BG297" s="179" t="str">
        <f t="array" ref="BG297">IF($F297&lt;&gt;"",XLOOKUP($F297,Productos!$A:$A,Productos!AZ:AZ,"Revisar"),"")</f>
        <v/>
      </c>
      <c r="BH297" s="179" t="str">
        <f t="array" ref="BH297">IF($F297&lt;&gt;"", XLOOKUP($F297,Productos!$A$2:$A1001,Productos!BA$2:BA1001,"")*$G297,"")</f>
        <v/>
      </c>
      <c r="BI297" s="179" t="str">
        <f t="array" ref="BI297">IF($F297&lt;&gt;"",XLOOKUP($F297,Productos!$A:$A,Productos!BB:BB,"Revisar"),"")</f>
        <v/>
      </c>
      <c r="BJ297" s="179" t="str">
        <f t="array" ref="BJ297">IF($F297&lt;&gt;"", XLOOKUP($F297,Productos!$A$2:$A1001,Productos!BC$2:BC1001,"")*$G297,"")</f>
        <v/>
      </c>
      <c r="BK297" s="179" t="str">
        <f t="array" ref="BK297">IF($F297&lt;&gt;"",XLOOKUP($F297,Productos!$A:$A,Productos!BD:BD,"Revisar"),"")</f>
        <v/>
      </c>
      <c r="BL297" s="179" t="str">
        <f t="array" ref="BL297">IF($F297&lt;&gt;"", XLOOKUP($F297,Productos!$A$2:$A1001,Productos!BE$2:BE1001,"")*$G297,"")</f>
        <v/>
      </c>
      <c r="BM297" s="179" t="str">
        <f t="array" ref="BM297">IF($F297&lt;&gt;"",XLOOKUP($F297,Productos!$A:$A,Productos!BF:BF,"Revisar"),"")</f>
        <v/>
      </c>
      <c r="BN297" s="179" t="str">
        <f t="array" ref="BN297">IF($F297&lt;&gt;"", XLOOKUP($F297,Productos!$A$2:$A1001,Productos!BG$2:BG1001,"")*$G297,"")</f>
        <v/>
      </c>
      <c r="BO297" s="179" t="str">
        <f t="array" ref="BO297">IF($F297&lt;&gt;"",XLOOKUP($F297,Productos!$A:$A,Productos!BH:BH,"Revisar"),"")</f>
        <v/>
      </c>
      <c r="BP297" s="179" t="str">
        <f t="array" ref="BP297">IF($F297&lt;&gt;"", XLOOKUP($F297,Productos!$A$2:$A1001,Productos!BI$2:BI1001,"")*$G297,"")</f>
        <v/>
      </c>
      <c r="BQ297" s="179" t="str">
        <f t="array" ref="BQ297">IF($F297&lt;&gt;"",XLOOKUP($F297,Productos!$A:$A,Productos!BJ:BJ,"Revisar"),"")</f>
        <v/>
      </c>
      <c r="BR297" s="179" t="str">
        <f t="array" ref="BR297">IF($F297&lt;&gt;"", XLOOKUP($F297,Productos!$A$2:$A1001,Productos!BK$2:BK1001,"")*$G297,"")</f>
        <v/>
      </c>
      <c r="BS297" s="179" t="str">
        <f t="array" ref="BS297">IF($F297&lt;&gt;"",XLOOKUP($F297,Productos!$A:$A,Productos!BL:BL,"Revisar"),"")</f>
        <v/>
      </c>
      <c r="BT297" s="179" t="str">
        <f t="array" ref="BT297">IF($F297&lt;&gt;"", XLOOKUP($F297,Productos!$A$2:$A1001,Productos!BM$2:BM1001,"")*$G297,"")</f>
        <v/>
      </c>
      <c r="BU297" s="179" t="str">
        <f t="array" ref="BU297">IF($F297&lt;&gt;"",XLOOKUP($F297,Productos!$A:$A,Productos!BN:BN,"Revisar"),"")</f>
        <v/>
      </c>
      <c r="BV297" s="179" t="str">
        <f t="array" ref="BV297">IF($F297&lt;&gt;"", XLOOKUP($F297,Productos!$A$2:$A1001,Productos!BO$2:BO1001,"")*$G297,"")</f>
        <v/>
      </c>
      <c r="BW297" s="179" t="str">
        <f t="array" ref="BW297">IF($F297&lt;&gt;"",XLOOKUP($F297,Productos!$A:$A,Productos!BP:BP,"Revisar"),"")</f>
        <v/>
      </c>
      <c r="BX297" s="179" t="str">
        <f t="array" ref="BX297">IF($F297&lt;&gt;"", XLOOKUP($F297,Productos!$A$2:$A1001,Productos!BQ$2:BQ1001,"")*$G297,"")</f>
        <v/>
      </c>
      <c r="BY297" s="179" t="str">
        <f t="array" ref="BY297">IF($F297&lt;&gt;"",XLOOKUP($F297,Productos!$A:$A,Productos!BR:BR,"Revisar"),"")</f>
        <v/>
      </c>
      <c r="BZ297" s="179" t="str">
        <f t="array" ref="BZ297">IF($F297&lt;&gt;"", XLOOKUP($F297,Productos!$A$2:$A1001,Productos!BS$2:BS1001,"")*$G297,"")</f>
        <v/>
      </c>
    </row>
    <row r="298">
      <c r="A298" s="180"/>
      <c r="B298" s="181"/>
      <c r="C298" s="182"/>
      <c r="D298" s="182"/>
      <c r="E298" s="185"/>
      <c r="F298" s="186"/>
      <c r="G298" s="187"/>
      <c r="H298" s="186"/>
      <c r="I298" s="179" t="str">
        <f t="array" ref="I298">IF($F298&lt;&gt;"",XLOOKUP($F298,Productos!$A:$A,Productos!B:B,"Revisar"),"")</f>
        <v/>
      </c>
      <c r="J298" s="179" t="str">
        <f t="array" ref="J298">IF($F298&lt;&gt;"", XLOOKUP($F298,Productos!$A$2:$A1001,Productos!C$2:C1001,"")*$G298,"")</f>
        <v/>
      </c>
      <c r="K298" s="179" t="str">
        <f t="array" ref="K298">IF($F298&lt;&gt;"",XLOOKUP($F298,Productos!$A:$A,Productos!D:D,"Revisar"),"")</f>
        <v/>
      </c>
      <c r="L298" s="179" t="str">
        <f t="array" ref="L298">IF($F298&lt;&gt;"", XLOOKUP($F298,Productos!$A$2:$A1001,Productos!E$2:E1001,"")*$G298,"")</f>
        <v/>
      </c>
      <c r="M298" s="179" t="str">
        <f t="array" ref="M298">IF($F298&lt;&gt;"",XLOOKUP($F298,Productos!$A:$A,Productos!F:F,"Revisar"),"")</f>
        <v/>
      </c>
      <c r="N298" s="179" t="str">
        <f t="array" ref="N298">IF($F298&lt;&gt;"", XLOOKUP($F298,Productos!$A$2:$A1001,Productos!G$2:G1001,"")*$G298,"")</f>
        <v/>
      </c>
      <c r="O298" s="179" t="str">
        <f t="array" ref="O298">IF($F298&lt;&gt;"",XLOOKUP($F298,Productos!$A:$A,Productos!H:H,"Revisar"),"")</f>
        <v/>
      </c>
      <c r="P298" s="179" t="str">
        <f t="array" ref="P298">IF($F298&lt;&gt;"", XLOOKUP($F298,Productos!$A$2:$A1001,Productos!I$2:I1001,"")*$G298,"")</f>
        <v/>
      </c>
      <c r="Q298" s="179" t="str">
        <f t="array" ref="Q298">IF($F298&lt;&gt;"",XLOOKUP($F298,Productos!$A:$A,Productos!J:J,"Revisar"),"")</f>
        <v/>
      </c>
      <c r="R298" s="179" t="str">
        <f t="array" ref="R298">IF($F298&lt;&gt;"", XLOOKUP($F298,Productos!$A$2:$A1001,Productos!K$2:K1001,"")*$G298,"")</f>
        <v/>
      </c>
      <c r="S298" s="179" t="str">
        <f t="array" ref="S298">IF($F298&lt;&gt;"",XLOOKUP($F298,Productos!$A:$A,Productos!L:L,"Revisar"),"")</f>
        <v/>
      </c>
      <c r="T298" s="179" t="str">
        <f t="array" ref="T298">IF($F298&lt;&gt;"", XLOOKUP($F298,Productos!$A$2:$A1001,Productos!M$2:M1001,"")*$G298,"")</f>
        <v/>
      </c>
      <c r="U298" s="179" t="str">
        <f t="array" ref="U298">IF($F298&lt;&gt;"",XLOOKUP($F298,Productos!$A:$A,Productos!N:N,"Revisar"),"")</f>
        <v/>
      </c>
      <c r="V298" s="179" t="str">
        <f t="array" ref="V298">IF($F298&lt;&gt;"", XLOOKUP($F298,Productos!$A$2:$A1001,Productos!O$2:O1001,"")*$G298,"")</f>
        <v/>
      </c>
      <c r="W298" s="179" t="str">
        <f t="array" ref="W298">IF($F298&lt;&gt;"",XLOOKUP($F298,Productos!$A:$A,Productos!P:P,"Revisar"),"")</f>
        <v/>
      </c>
      <c r="X298" s="179" t="str">
        <f t="array" ref="X298">IF($F298&lt;&gt;"", XLOOKUP($F298,Productos!$A$2:$A1001,Productos!Q$2:Q1001,"")*$G298,"")</f>
        <v/>
      </c>
      <c r="Y298" s="179" t="str">
        <f t="array" ref="Y298">IF($F298&lt;&gt;"",XLOOKUP($F298,Productos!$A:$A,Productos!R:R,"Revisar"),"")</f>
        <v/>
      </c>
      <c r="Z298" s="179" t="str">
        <f t="array" ref="Z298">IF($F298&lt;&gt;"", XLOOKUP($F298,Productos!$A$2:$A1001,Productos!S$2:S1001,"")*$G298,"")</f>
        <v/>
      </c>
      <c r="AA298" s="179" t="str">
        <f t="array" ref="AA298">IF($F298&lt;&gt;"",XLOOKUP($F298,Productos!$A:$A,Productos!T:T,"Revisar"),"")</f>
        <v/>
      </c>
      <c r="AB298" s="179" t="str">
        <f t="array" ref="AB298">IF($F298&lt;&gt;"", XLOOKUP($F298,Productos!$A$2:$A1001,Productos!U$2:U1001,"")*$G298,"")</f>
        <v/>
      </c>
      <c r="AC298" s="179" t="str">
        <f t="array" ref="AC298">IF($F298&lt;&gt;"",XLOOKUP($F298,Productos!$A:$A,Productos!V:V,"Revisar"),"")</f>
        <v/>
      </c>
      <c r="AD298" s="179" t="str">
        <f t="array" ref="AD298">IF($F298&lt;&gt;"", XLOOKUP($F298,Productos!$A$2:$A1001,Productos!W$2:W1001,"")*$G298,"")</f>
        <v/>
      </c>
      <c r="AE298" s="179" t="str">
        <f t="array" ref="AE298">IF($F298&lt;&gt;"",XLOOKUP($F298,Productos!$A:$A,Productos!X:X,"Revisar"),"")</f>
        <v/>
      </c>
      <c r="AF298" s="179" t="str">
        <f t="array" ref="AF298">IF($F298&lt;&gt;"", XLOOKUP($F298,Productos!$A$2:$A1001,Productos!Y$2:Y1001,"")*$G298,"")</f>
        <v/>
      </c>
      <c r="AG298" s="179" t="str">
        <f t="array" ref="AG298">IF($F298&lt;&gt;"",XLOOKUP($F298,Productos!$A:$A,Productos!Z:Z,"Revisar"),"")</f>
        <v/>
      </c>
      <c r="AH298" s="179" t="str">
        <f t="array" ref="AH298">IF($F298&lt;&gt;"", XLOOKUP($F298,Productos!$A$2:$A1001,Productos!AA$2:AA1001,"")*$G298,"")</f>
        <v/>
      </c>
      <c r="AI298" s="179" t="str">
        <f t="array" ref="AI298">IF($F298&lt;&gt;"",XLOOKUP($F298,Productos!$A:$A,Productos!AB:AB,"Revisar"),"")</f>
        <v/>
      </c>
      <c r="AJ298" s="179" t="str">
        <f t="array" ref="AJ298">IF($F298&lt;&gt;"", XLOOKUP($F298,Productos!$A$2:$A1001,Productos!AC$2:AC1001,"")*$G298,"")</f>
        <v/>
      </c>
      <c r="AK298" s="179" t="str">
        <f t="array" ref="AK298">IF($F298&lt;&gt;"",XLOOKUP($F298,Productos!$A:$A,Productos!AD:AD,"Revisar"),"")</f>
        <v/>
      </c>
      <c r="AL298" s="179" t="str">
        <f t="array" ref="AL298">IF($F298&lt;&gt;"", XLOOKUP($F298,Productos!$A$2:$A1001,Productos!AE$2:AE1001,"")*$G298,"")</f>
        <v/>
      </c>
      <c r="AM298" s="179" t="str">
        <f t="array" ref="AM298">IF($F298&lt;&gt;"",XLOOKUP($F298,Productos!$A:$A,Productos!AF:AF,"Revisar"),"")</f>
        <v/>
      </c>
      <c r="AN298" s="179" t="str">
        <f t="array" ref="AN298">IF($F298&lt;&gt;"", XLOOKUP($F298,Productos!$A$2:$A1001,Productos!AG$2:AG1001,"")*$G298,"")</f>
        <v/>
      </c>
      <c r="AO298" s="179" t="str">
        <f t="array" ref="AO298">IF($F298&lt;&gt;"",XLOOKUP($F298,Productos!$A:$A,Productos!AH:AH,"Revisar"),"")</f>
        <v/>
      </c>
      <c r="AP298" s="179" t="str">
        <f t="array" ref="AP298">IF($F298&lt;&gt;"", XLOOKUP($F298,Productos!$A$2:$A1001,Productos!AI$2:AI1001,"")*$G298,"")</f>
        <v/>
      </c>
      <c r="AQ298" s="179" t="str">
        <f t="array" ref="AQ298">IF($F298&lt;&gt;"",XLOOKUP($F298,Productos!$A:$A,Productos!AJ:AJ,"Revisar"),"")</f>
        <v/>
      </c>
      <c r="AR298" s="179" t="str">
        <f t="array" ref="AR298">IF($F298&lt;&gt;"", XLOOKUP($F298,Productos!$A$2:$A1001,Productos!AK$2:AK1001,"")*$G298,"")</f>
        <v/>
      </c>
      <c r="AS298" s="179" t="str">
        <f t="array" ref="AS298">IF($F298&lt;&gt;"",XLOOKUP($F298,Productos!$A:$A,Productos!AL:AL,"Revisar"),"")</f>
        <v/>
      </c>
      <c r="AT298" s="179" t="str">
        <f t="array" ref="AT298">IF($F298&lt;&gt;"", XLOOKUP($F298,Productos!$A$2:$A1001,Productos!AM$2:AM1001,"")*$G298,"")</f>
        <v/>
      </c>
      <c r="AU298" s="179" t="str">
        <f t="array" ref="AU298">IF($F298&lt;&gt;"",XLOOKUP($F298,Productos!$A:$A,Productos!AN:AN,"Revisar"),"")</f>
        <v/>
      </c>
      <c r="AV298" s="179" t="str">
        <f t="array" ref="AV298">IF($F298&lt;&gt;"", XLOOKUP($F298,Productos!$A$2:$A1001,Productos!AO$2:AO1001,"")*$G298,"")</f>
        <v/>
      </c>
      <c r="AW298" s="179" t="str">
        <f t="array" ref="AW298">IF($F298&lt;&gt;"",XLOOKUP($F298,Productos!$A:$A,Productos!AP:AP,"Revisar"),"")</f>
        <v/>
      </c>
      <c r="AX298" s="179" t="str">
        <f t="array" ref="AX298">IF($F298&lt;&gt;"", XLOOKUP($F298,Productos!$A$2:$A1001,Productos!AQ$2:AQ1001,"")*$G298,"")</f>
        <v/>
      </c>
      <c r="AY298" s="179" t="str">
        <f t="array" ref="AY298">IF($F298&lt;&gt;"",XLOOKUP($F298,Productos!$A:$A,Productos!AR:AR,"Revisar"),"")</f>
        <v/>
      </c>
      <c r="AZ298" s="179" t="str">
        <f t="array" ref="AZ298">IF($F298&lt;&gt;"", XLOOKUP($F298,Productos!$A$2:$A1001,Productos!AS$2:AS1001,"")*$G298,"")</f>
        <v/>
      </c>
      <c r="BA298" s="179" t="str">
        <f t="array" ref="BA298">IF($F298&lt;&gt;"",XLOOKUP($F298,Productos!$A:$A,Productos!AT:AT,"Revisar"),"")</f>
        <v/>
      </c>
      <c r="BB298" s="179" t="str">
        <f t="array" ref="BB298">IF($F298&lt;&gt;"", XLOOKUP($F298,Productos!$A$2:$A1001,Productos!AU$2:AU1001,"")*$G298,"")</f>
        <v/>
      </c>
      <c r="BC298" s="179" t="str">
        <f t="array" ref="BC298">IF($F298&lt;&gt;"",XLOOKUP($F298,Productos!$A:$A,Productos!AV:AV,"Revisar"),"")</f>
        <v/>
      </c>
      <c r="BD298" s="179" t="str">
        <f t="array" ref="BD298">IF($F298&lt;&gt;"", XLOOKUP($F298,Productos!$A$2:$A1001,Productos!AW$2:AW1001,"")*$G298,"")</f>
        <v/>
      </c>
      <c r="BE298" s="179" t="str">
        <f t="array" ref="BE298">IF($F298&lt;&gt;"",XLOOKUP($F298,Productos!$A:$A,Productos!AX:AX,"Revisar"),"")</f>
        <v/>
      </c>
      <c r="BF298" s="179" t="str">
        <f t="array" ref="BF298">IF($F298&lt;&gt;"", XLOOKUP($F298,Productos!$A$2:$A1001,Productos!AY$2:AY1001,"")*$G298,"")</f>
        <v/>
      </c>
      <c r="BG298" s="179" t="str">
        <f t="array" ref="BG298">IF($F298&lt;&gt;"",XLOOKUP($F298,Productos!$A:$A,Productos!AZ:AZ,"Revisar"),"")</f>
        <v/>
      </c>
      <c r="BH298" s="179" t="str">
        <f t="array" ref="BH298">IF($F298&lt;&gt;"", XLOOKUP($F298,Productos!$A$2:$A1001,Productos!BA$2:BA1001,"")*$G298,"")</f>
        <v/>
      </c>
      <c r="BI298" s="179" t="str">
        <f t="array" ref="BI298">IF($F298&lt;&gt;"",XLOOKUP($F298,Productos!$A:$A,Productos!BB:BB,"Revisar"),"")</f>
        <v/>
      </c>
      <c r="BJ298" s="179" t="str">
        <f t="array" ref="BJ298">IF($F298&lt;&gt;"", XLOOKUP($F298,Productos!$A$2:$A1001,Productos!BC$2:BC1001,"")*$G298,"")</f>
        <v/>
      </c>
      <c r="BK298" s="179" t="str">
        <f t="array" ref="BK298">IF($F298&lt;&gt;"",XLOOKUP($F298,Productos!$A:$A,Productos!BD:BD,"Revisar"),"")</f>
        <v/>
      </c>
      <c r="BL298" s="179" t="str">
        <f t="array" ref="BL298">IF($F298&lt;&gt;"", XLOOKUP($F298,Productos!$A$2:$A1001,Productos!BE$2:BE1001,"")*$G298,"")</f>
        <v/>
      </c>
      <c r="BM298" s="179" t="str">
        <f t="array" ref="BM298">IF($F298&lt;&gt;"",XLOOKUP($F298,Productos!$A:$A,Productos!BF:BF,"Revisar"),"")</f>
        <v/>
      </c>
      <c r="BN298" s="179" t="str">
        <f t="array" ref="BN298">IF($F298&lt;&gt;"", XLOOKUP($F298,Productos!$A$2:$A1001,Productos!BG$2:BG1001,"")*$G298,"")</f>
        <v/>
      </c>
      <c r="BO298" s="179" t="str">
        <f t="array" ref="BO298">IF($F298&lt;&gt;"",XLOOKUP($F298,Productos!$A:$A,Productos!BH:BH,"Revisar"),"")</f>
        <v/>
      </c>
      <c r="BP298" s="179" t="str">
        <f t="array" ref="BP298">IF($F298&lt;&gt;"", XLOOKUP($F298,Productos!$A$2:$A1001,Productos!BI$2:BI1001,"")*$G298,"")</f>
        <v/>
      </c>
      <c r="BQ298" s="179" t="str">
        <f t="array" ref="BQ298">IF($F298&lt;&gt;"",XLOOKUP($F298,Productos!$A:$A,Productos!BJ:BJ,"Revisar"),"")</f>
        <v/>
      </c>
      <c r="BR298" s="179" t="str">
        <f t="array" ref="BR298">IF($F298&lt;&gt;"", XLOOKUP($F298,Productos!$A$2:$A1001,Productos!BK$2:BK1001,"")*$G298,"")</f>
        <v/>
      </c>
      <c r="BS298" s="179" t="str">
        <f t="array" ref="BS298">IF($F298&lt;&gt;"",XLOOKUP($F298,Productos!$A:$A,Productos!BL:BL,"Revisar"),"")</f>
        <v/>
      </c>
      <c r="BT298" s="179" t="str">
        <f t="array" ref="BT298">IF($F298&lt;&gt;"", XLOOKUP($F298,Productos!$A$2:$A1001,Productos!BM$2:BM1001,"")*$G298,"")</f>
        <v/>
      </c>
      <c r="BU298" s="179" t="str">
        <f t="array" ref="BU298">IF($F298&lt;&gt;"",XLOOKUP($F298,Productos!$A:$A,Productos!BN:BN,"Revisar"),"")</f>
        <v/>
      </c>
      <c r="BV298" s="179" t="str">
        <f t="array" ref="BV298">IF($F298&lt;&gt;"", XLOOKUP($F298,Productos!$A$2:$A1001,Productos!BO$2:BO1001,"")*$G298,"")</f>
        <v/>
      </c>
      <c r="BW298" s="179" t="str">
        <f t="array" ref="BW298">IF($F298&lt;&gt;"",XLOOKUP($F298,Productos!$A:$A,Productos!BP:BP,"Revisar"),"")</f>
        <v/>
      </c>
      <c r="BX298" s="179" t="str">
        <f t="array" ref="BX298">IF($F298&lt;&gt;"", XLOOKUP($F298,Productos!$A$2:$A1001,Productos!BQ$2:BQ1001,"")*$G298,"")</f>
        <v/>
      </c>
      <c r="BY298" s="179" t="str">
        <f t="array" ref="BY298">IF($F298&lt;&gt;"",XLOOKUP($F298,Productos!$A:$A,Productos!BR:BR,"Revisar"),"")</f>
        <v/>
      </c>
      <c r="BZ298" s="179" t="str">
        <f t="array" ref="BZ298">IF($F298&lt;&gt;"", XLOOKUP($F298,Productos!$A$2:$A1001,Productos!BS$2:BS1001,"")*$G298,"")</f>
        <v/>
      </c>
    </row>
    <row r="299">
      <c r="A299" s="180"/>
      <c r="B299" s="181"/>
      <c r="C299" s="182"/>
      <c r="D299" s="182"/>
      <c r="E299" s="185"/>
      <c r="F299" s="186"/>
      <c r="G299" s="187"/>
      <c r="H299" s="186"/>
      <c r="I299" s="179" t="str">
        <f t="array" ref="I299">IF($F299&lt;&gt;"",XLOOKUP($F299,Productos!$A:$A,Productos!B:B,"Revisar"),"")</f>
        <v/>
      </c>
      <c r="J299" s="179" t="str">
        <f t="array" ref="J299">IF($F299&lt;&gt;"", XLOOKUP($F299,Productos!$A$2:$A1001,Productos!C$2:C1001,"")*$G299,"")</f>
        <v/>
      </c>
      <c r="K299" s="179" t="str">
        <f t="array" ref="K299">IF($F299&lt;&gt;"",XLOOKUP($F299,Productos!$A:$A,Productos!D:D,"Revisar"),"")</f>
        <v/>
      </c>
      <c r="L299" s="179" t="str">
        <f t="array" ref="L299">IF($F299&lt;&gt;"", XLOOKUP($F299,Productos!$A$2:$A1001,Productos!E$2:E1001,"")*$G299,"")</f>
        <v/>
      </c>
      <c r="M299" s="179" t="str">
        <f t="array" ref="M299">IF($F299&lt;&gt;"",XLOOKUP($F299,Productos!$A:$A,Productos!F:F,"Revisar"),"")</f>
        <v/>
      </c>
      <c r="N299" s="179" t="str">
        <f t="array" ref="N299">IF($F299&lt;&gt;"", XLOOKUP($F299,Productos!$A$2:$A1001,Productos!G$2:G1001,"")*$G299,"")</f>
        <v/>
      </c>
      <c r="O299" s="179" t="str">
        <f t="array" ref="O299">IF($F299&lt;&gt;"",XLOOKUP($F299,Productos!$A:$A,Productos!H:H,"Revisar"),"")</f>
        <v/>
      </c>
      <c r="P299" s="179" t="str">
        <f t="array" ref="P299">IF($F299&lt;&gt;"", XLOOKUP($F299,Productos!$A$2:$A1001,Productos!I$2:I1001,"")*$G299,"")</f>
        <v/>
      </c>
      <c r="Q299" s="179" t="str">
        <f t="array" ref="Q299">IF($F299&lt;&gt;"",XLOOKUP($F299,Productos!$A:$A,Productos!J:J,"Revisar"),"")</f>
        <v/>
      </c>
      <c r="R299" s="179" t="str">
        <f t="array" ref="R299">IF($F299&lt;&gt;"", XLOOKUP($F299,Productos!$A$2:$A1001,Productos!K$2:K1001,"")*$G299,"")</f>
        <v/>
      </c>
      <c r="S299" s="179" t="str">
        <f t="array" ref="S299">IF($F299&lt;&gt;"",XLOOKUP($F299,Productos!$A:$A,Productos!L:L,"Revisar"),"")</f>
        <v/>
      </c>
      <c r="T299" s="179" t="str">
        <f t="array" ref="T299">IF($F299&lt;&gt;"", XLOOKUP($F299,Productos!$A$2:$A1001,Productos!M$2:M1001,"")*$G299,"")</f>
        <v/>
      </c>
      <c r="U299" s="179" t="str">
        <f t="array" ref="U299">IF($F299&lt;&gt;"",XLOOKUP($F299,Productos!$A:$A,Productos!N:N,"Revisar"),"")</f>
        <v/>
      </c>
      <c r="V299" s="179" t="str">
        <f t="array" ref="V299">IF($F299&lt;&gt;"", XLOOKUP($F299,Productos!$A$2:$A1001,Productos!O$2:O1001,"")*$G299,"")</f>
        <v/>
      </c>
      <c r="W299" s="179" t="str">
        <f t="array" ref="W299">IF($F299&lt;&gt;"",XLOOKUP($F299,Productos!$A:$A,Productos!P:P,"Revisar"),"")</f>
        <v/>
      </c>
      <c r="X299" s="179" t="str">
        <f t="array" ref="X299">IF($F299&lt;&gt;"", XLOOKUP($F299,Productos!$A$2:$A1001,Productos!Q$2:Q1001,"")*$G299,"")</f>
        <v/>
      </c>
      <c r="Y299" s="179" t="str">
        <f t="array" ref="Y299">IF($F299&lt;&gt;"",XLOOKUP($F299,Productos!$A:$A,Productos!R:R,"Revisar"),"")</f>
        <v/>
      </c>
      <c r="Z299" s="179" t="str">
        <f t="array" ref="Z299">IF($F299&lt;&gt;"", XLOOKUP($F299,Productos!$A$2:$A1001,Productos!S$2:S1001,"")*$G299,"")</f>
        <v/>
      </c>
      <c r="AA299" s="179" t="str">
        <f t="array" ref="AA299">IF($F299&lt;&gt;"",XLOOKUP($F299,Productos!$A:$A,Productos!T:T,"Revisar"),"")</f>
        <v/>
      </c>
      <c r="AB299" s="179" t="str">
        <f t="array" ref="AB299">IF($F299&lt;&gt;"", XLOOKUP($F299,Productos!$A$2:$A1001,Productos!U$2:U1001,"")*$G299,"")</f>
        <v/>
      </c>
      <c r="AC299" s="179" t="str">
        <f t="array" ref="AC299">IF($F299&lt;&gt;"",XLOOKUP($F299,Productos!$A:$A,Productos!V:V,"Revisar"),"")</f>
        <v/>
      </c>
      <c r="AD299" s="179" t="str">
        <f t="array" ref="AD299">IF($F299&lt;&gt;"", XLOOKUP($F299,Productos!$A$2:$A1001,Productos!W$2:W1001,"")*$G299,"")</f>
        <v/>
      </c>
      <c r="AE299" s="179" t="str">
        <f t="array" ref="AE299">IF($F299&lt;&gt;"",XLOOKUP($F299,Productos!$A:$A,Productos!X:X,"Revisar"),"")</f>
        <v/>
      </c>
      <c r="AF299" s="179" t="str">
        <f t="array" ref="AF299">IF($F299&lt;&gt;"", XLOOKUP($F299,Productos!$A$2:$A1001,Productos!Y$2:Y1001,"")*$G299,"")</f>
        <v/>
      </c>
      <c r="AG299" s="179" t="str">
        <f t="array" ref="AG299">IF($F299&lt;&gt;"",XLOOKUP($F299,Productos!$A:$A,Productos!Z:Z,"Revisar"),"")</f>
        <v/>
      </c>
      <c r="AH299" s="179" t="str">
        <f t="array" ref="AH299">IF($F299&lt;&gt;"", XLOOKUP($F299,Productos!$A$2:$A1001,Productos!AA$2:AA1001,"")*$G299,"")</f>
        <v/>
      </c>
      <c r="AI299" s="179" t="str">
        <f t="array" ref="AI299">IF($F299&lt;&gt;"",XLOOKUP($F299,Productos!$A:$A,Productos!AB:AB,"Revisar"),"")</f>
        <v/>
      </c>
      <c r="AJ299" s="179" t="str">
        <f t="array" ref="AJ299">IF($F299&lt;&gt;"", XLOOKUP($F299,Productos!$A$2:$A1001,Productos!AC$2:AC1001,"")*$G299,"")</f>
        <v/>
      </c>
      <c r="AK299" s="179" t="str">
        <f t="array" ref="AK299">IF($F299&lt;&gt;"",XLOOKUP($F299,Productos!$A:$A,Productos!AD:AD,"Revisar"),"")</f>
        <v/>
      </c>
      <c r="AL299" s="179" t="str">
        <f t="array" ref="AL299">IF($F299&lt;&gt;"", XLOOKUP($F299,Productos!$A$2:$A1001,Productos!AE$2:AE1001,"")*$G299,"")</f>
        <v/>
      </c>
      <c r="AM299" s="179" t="str">
        <f t="array" ref="AM299">IF($F299&lt;&gt;"",XLOOKUP($F299,Productos!$A:$A,Productos!AF:AF,"Revisar"),"")</f>
        <v/>
      </c>
      <c r="AN299" s="179" t="str">
        <f t="array" ref="AN299">IF($F299&lt;&gt;"", XLOOKUP($F299,Productos!$A$2:$A1001,Productos!AG$2:AG1001,"")*$G299,"")</f>
        <v/>
      </c>
      <c r="AO299" s="179" t="str">
        <f t="array" ref="AO299">IF($F299&lt;&gt;"",XLOOKUP($F299,Productos!$A:$A,Productos!AH:AH,"Revisar"),"")</f>
        <v/>
      </c>
      <c r="AP299" s="179" t="str">
        <f t="array" ref="AP299">IF($F299&lt;&gt;"", XLOOKUP($F299,Productos!$A$2:$A1001,Productos!AI$2:AI1001,"")*$G299,"")</f>
        <v/>
      </c>
      <c r="AQ299" s="179" t="str">
        <f t="array" ref="AQ299">IF($F299&lt;&gt;"",XLOOKUP($F299,Productos!$A:$A,Productos!AJ:AJ,"Revisar"),"")</f>
        <v/>
      </c>
      <c r="AR299" s="179" t="str">
        <f t="array" ref="AR299">IF($F299&lt;&gt;"", XLOOKUP($F299,Productos!$A$2:$A1001,Productos!AK$2:AK1001,"")*$G299,"")</f>
        <v/>
      </c>
      <c r="AS299" s="179" t="str">
        <f t="array" ref="AS299">IF($F299&lt;&gt;"",XLOOKUP($F299,Productos!$A:$A,Productos!AL:AL,"Revisar"),"")</f>
        <v/>
      </c>
      <c r="AT299" s="179" t="str">
        <f t="array" ref="AT299">IF($F299&lt;&gt;"", XLOOKUP($F299,Productos!$A$2:$A1001,Productos!AM$2:AM1001,"")*$G299,"")</f>
        <v/>
      </c>
      <c r="AU299" s="179" t="str">
        <f t="array" ref="AU299">IF($F299&lt;&gt;"",XLOOKUP($F299,Productos!$A:$A,Productos!AN:AN,"Revisar"),"")</f>
        <v/>
      </c>
      <c r="AV299" s="179" t="str">
        <f t="array" ref="AV299">IF($F299&lt;&gt;"", XLOOKUP($F299,Productos!$A$2:$A1001,Productos!AO$2:AO1001,"")*$G299,"")</f>
        <v/>
      </c>
      <c r="AW299" s="179" t="str">
        <f t="array" ref="AW299">IF($F299&lt;&gt;"",XLOOKUP($F299,Productos!$A:$A,Productos!AP:AP,"Revisar"),"")</f>
        <v/>
      </c>
      <c r="AX299" s="179" t="str">
        <f t="array" ref="AX299">IF($F299&lt;&gt;"", XLOOKUP($F299,Productos!$A$2:$A1001,Productos!AQ$2:AQ1001,"")*$G299,"")</f>
        <v/>
      </c>
      <c r="AY299" s="179" t="str">
        <f t="array" ref="AY299">IF($F299&lt;&gt;"",XLOOKUP($F299,Productos!$A:$A,Productos!AR:AR,"Revisar"),"")</f>
        <v/>
      </c>
      <c r="AZ299" s="179" t="str">
        <f t="array" ref="AZ299">IF($F299&lt;&gt;"", XLOOKUP($F299,Productos!$A$2:$A1001,Productos!AS$2:AS1001,"")*$G299,"")</f>
        <v/>
      </c>
      <c r="BA299" s="179" t="str">
        <f t="array" ref="BA299">IF($F299&lt;&gt;"",XLOOKUP($F299,Productos!$A:$A,Productos!AT:AT,"Revisar"),"")</f>
        <v/>
      </c>
      <c r="BB299" s="179" t="str">
        <f t="array" ref="BB299">IF($F299&lt;&gt;"", XLOOKUP($F299,Productos!$A$2:$A1001,Productos!AU$2:AU1001,"")*$G299,"")</f>
        <v/>
      </c>
      <c r="BC299" s="179" t="str">
        <f t="array" ref="BC299">IF($F299&lt;&gt;"",XLOOKUP($F299,Productos!$A:$A,Productos!AV:AV,"Revisar"),"")</f>
        <v/>
      </c>
      <c r="BD299" s="179" t="str">
        <f t="array" ref="BD299">IF($F299&lt;&gt;"", XLOOKUP($F299,Productos!$A$2:$A1001,Productos!AW$2:AW1001,"")*$G299,"")</f>
        <v/>
      </c>
      <c r="BE299" s="179" t="str">
        <f t="array" ref="BE299">IF($F299&lt;&gt;"",XLOOKUP($F299,Productos!$A:$A,Productos!AX:AX,"Revisar"),"")</f>
        <v/>
      </c>
      <c r="BF299" s="179" t="str">
        <f t="array" ref="BF299">IF($F299&lt;&gt;"", XLOOKUP($F299,Productos!$A$2:$A1001,Productos!AY$2:AY1001,"")*$G299,"")</f>
        <v/>
      </c>
      <c r="BG299" s="179" t="str">
        <f t="array" ref="BG299">IF($F299&lt;&gt;"",XLOOKUP($F299,Productos!$A:$A,Productos!AZ:AZ,"Revisar"),"")</f>
        <v/>
      </c>
      <c r="BH299" s="179" t="str">
        <f t="array" ref="BH299">IF($F299&lt;&gt;"", XLOOKUP($F299,Productos!$A$2:$A1001,Productos!BA$2:BA1001,"")*$G299,"")</f>
        <v/>
      </c>
      <c r="BI299" s="179" t="str">
        <f t="array" ref="BI299">IF($F299&lt;&gt;"",XLOOKUP($F299,Productos!$A:$A,Productos!BB:BB,"Revisar"),"")</f>
        <v/>
      </c>
      <c r="BJ299" s="179" t="str">
        <f t="array" ref="BJ299">IF($F299&lt;&gt;"", XLOOKUP($F299,Productos!$A$2:$A1001,Productos!BC$2:BC1001,"")*$G299,"")</f>
        <v/>
      </c>
      <c r="BK299" s="179" t="str">
        <f t="array" ref="BK299">IF($F299&lt;&gt;"",XLOOKUP($F299,Productos!$A:$A,Productos!BD:BD,"Revisar"),"")</f>
        <v/>
      </c>
      <c r="BL299" s="179" t="str">
        <f t="array" ref="BL299">IF($F299&lt;&gt;"", XLOOKUP($F299,Productos!$A$2:$A1001,Productos!BE$2:BE1001,"")*$G299,"")</f>
        <v/>
      </c>
      <c r="BM299" s="179" t="str">
        <f t="array" ref="BM299">IF($F299&lt;&gt;"",XLOOKUP($F299,Productos!$A:$A,Productos!BF:BF,"Revisar"),"")</f>
        <v/>
      </c>
      <c r="BN299" s="179" t="str">
        <f t="array" ref="BN299">IF($F299&lt;&gt;"", XLOOKUP($F299,Productos!$A$2:$A1001,Productos!BG$2:BG1001,"")*$G299,"")</f>
        <v/>
      </c>
      <c r="BO299" s="179" t="str">
        <f t="array" ref="BO299">IF($F299&lt;&gt;"",XLOOKUP($F299,Productos!$A:$A,Productos!BH:BH,"Revisar"),"")</f>
        <v/>
      </c>
      <c r="BP299" s="179" t="str">
        <f t="array" ref="BP299">IF($F299&lt;&gt;"", XLOOKUP($F299,Productos!$A$2:$A1001,Productos!BI$2:BI1001,"")*$G299,"")</f>
        <v/>
      </c>
      <c r="BQ299" s="179" t="str">
        <f t="array" ref="BQ299">IF($F299&lt;&gt;"",XLOOKUP($F299,Productos!$A:$A,Productos!BJ:BJ,"Revisar"),"")</f>
        <v/>
      </c>
      <c r="BR299" s="179" t="str">
        <f t="array" ref="BR299">IF($F299&lt;&gt;"", XLOOKUP($F299,Productos!$A$2:$A1001,Productos!BK$2:BK1001,"")*$G299,"")</f>
        <v/>
      </c>
      <c r="BS299" s="179" t="str">
        <f t="array" ref="BS299">IF($F299&lt;&gt;"",XLOOKUP($F299,Productos!$A:$A,Productos!BL:BL,"Revisar"),"")</f>
        <v/>
      </c>
      <c r="BT299" s="179" t="str">
        <f t="array" ref="BT299">IF($F299&lt;&gt;"", XLOOKUP($F299,Productos!$A$2:$A1001,Productos!BM$2:BM1001,"")*$G299,"")</f>
        <v/>
      </c>
      <c r="BU299" s="179" t="str">
        <f t="array" ref="BU299">IF($F299&lt;&gt;"",XLOOKUP($F299,Productos!$A:$A,Productos!BN:BN,"Revisar"),"")</f>
        <v/>
      </c>
      <c r="BV299" s="179" t="str">
        <f t="array" ref="BV299">IF($F299&lt;&gt;"", XLOOKUP($F299,Productos!$A$2:$A1001,Productos!BO$2:BO1001,"")*$G299,"")</f>
        <v/>
      </c>
      <c r="BW299" s="179" t="str">
        <f t="array" ref="BW299">IF($F299&lt;&gt;"",XLOOKUP($F299,Productos!$A:$A,Productos!BP:BP,"Revisar"),"")</f>
        <v/>
      </c>
      <c r="BX299" s="179" t="str">
        <f t="array" ref="BX299">IF($F299&lt;&gt;"", XLOOKUP($F299,Productos!$A$2:$A1001,Productos!BQ$2:BQ1001,"")*$G299,"")</f>
        <v/>
      </c>
      <c r="BY299" s="179" t="str">
        <f t="array" ref="BY299">IF($F299&lt;&gt;"",XLOOKUP($F299,Productos!$A:$A,Productos!BR:BR,"Revisar"),"")</f>
        <v/>
      </c>
      <c r="BZ299" s="179" t="str">
        <f t="array" ref="BZ299">IF($F299&lt;&gt;"", XLOOKUP($F299,Productos!$A$2:$A1001,Productos!BS$2:BS1001,"")*$G299,"")</f>
        <v/>
      </c>
    </row>
    <row r="300">
      <c r="A300" s="180"/>
      <c r="B300" s="181"/>
      <c r="C300" s="182"/>
      <c r="D300" s="182"/>
      <c r="E300" s="185"/>
      <c r="F300" s="186"/>
      <c r="G300" s="187"/>
      <c r="H300" s="186"/>
      <c r="I300" s="179" t="str">
        <f t="array" ref="I300">IF($F300&lt;&gt;"",XLOOKUP($F300,Productos!$A:$A,Productos!B:B,"Revisar"),"")</f>
        <v/>
      </c>
      <c r="J300" s="179" t="str">
        <f t="array" ref="J300">IF($F300&lt;&gt;"", XLOOKUP($F300,Productos!$A$2:$A1001,Productos!C$2:C1001,"")*$G300,"")</f>
        <v/>
      </c>
      <c r="K300" s="179" t="str">
        <f t="array" ref="K300">IF($F300&lt;&gt;"",XLOOKUP($F300,Productos!$A:$A,Productos!D:D,"Revisar"),"")</f>
        <v/>
      </c>
      <c r="L300" s="179" t="str">
        <f t="array" ref="L300">IF($F300&lt;&gt;"", XLOOKUP($F300,Productos!$A$2:$A1001,Productos!E$2:E1001,"")*$G300,"")</f>
        <v/>
      </c>
      <c r="M300" s="179" t="str">
        <f t="array" ref="M300">IF($F300&lt;&gt;"",XLOOKUP($F300,Productos!$A:$A,Productos!F:F,"Revisar"),"")</f>
        <v/>
      </c>
      <c r="N300" s="179" t="str">
        <f t="array" ref="N300">IF($F300&lt;&gt;"", XLOOKUP($F300,Productos!$A$2:$A1001,Productos!G$2:G1001,"")*$G300,"")</f>
        <v/>
      </c>
      <c r="O300" s="179" t="str">
        <f t="array" ref="O300">IF($F300&lt;&gt;"",XLOOKUP($F300,Productos!$A:$A,Productos!H:H,"Revisar"),"")</f>
        <v/>
      </c>
      <c r="P300" s="179" t="str">
        <f t="array" ref="P300">IF($F300&lt;&gt;"", XLOOKUP($F300,Productos!$A$2:$A1001,Productos!I$2:I1001,"")*$G300,"")</f>
        <v/>
      </c>
      <c r="Q300" s="179" t="str">
        <f t="array" ref="Q300">IF($F300&lt;&gt;"",XLOOKUP($F300,Productos!$A:$A,Productos!J:J,"Revisar"),"")</f>
        <v/>
      </c>
      <c r="R300" s="179" t="str">
        <f t="array" ref="R300">IF($F300&lt;&gt;"", XLOOKUP($F300,Productos!$A$2:$A1001,Productos!K$2:K1001,"")*$G300,"")</f>
        <v/>
      </c>
      <c r="S300" s="179" t="str">
        <f t="array" ref="S300">IF($F300&lt;&gt;"",XLOOKUP($F300,Productos!$A:$A,Productos!L:L,"Revisar"),"")</f>
        <v/>
      </c>
      <c r="T300" s="179" t="str">
        <f t="array" ref="T300">IF($F300&lt;&gt;"", XLOOKUP($F300,Productos!$A$2:$A1001,Productos!M$2:M1001,"")*$G300,"")</f>
        <v/>
      </c>
      <c r="U300" s="179" t="str">
        <f t="array" ref="U300">IF($F300&lt;&gt;"",XLOOKUP($F300,Productos!$A:$A,Productos!N:N,"Revisar"),"")</f>
        <v/>
      </c>
      <c r="V300" s="179" t="str">
        <f t="array" ref="V300">IF($F300&lt;&gt;"", XLOOKUP($F300,Productos!$A$2:$A1001,Productos!O$2:O1001,"")*$G300,"")</f>
        <v/>
      </c>
      <c r="W300" s="179" t="str">
        <f t="array" ref="W300">IF($F300&lt;&gt;"",XLOOKUP($F300,Productos!$A:$A,Productos!P:P,"Revisar"),"")</f>
        <v/>
      </c>
      <c r="X300" s="179" t="str">
        <f t="array" ref="X300">IF($F300&lt;&gt;"", XLOOKUP($F300,Productos!$A$2:$A1001,Productos!Q$2:Q1001,"")*$G300,"")</f>
        <v/>
      </c>
      <c r="Y300" s="179" t="str">
        <f t="array" ref="Y300">IF($F300&lt;&gt;"",XLOOKUP($F300,Productos!$A:$A,Productos!R:R,"Revisar"),"")</f>
        <v/>
      </c>
      <c r="Z300" s="179" t="str">
        <f t="array" ref="Z300">IF($F300&lt;&gt;"", XLOOKUP($F300,Productos!$A$2:$A1001,Productos!S$2:S1001,"")*$G300,"")</f>
        <v/>
      </c>
      <c r="AA300" s="179" t="str">
        <f t="array" ref="AA300">IF($F300&lt;&gt;"",XLOOKUP($F300,Productos!$A:$A,Productos!T:T,"Revisar"),"")</f>
        <v/>
      </c>
      <c r="AB300" s="179" t="str">
        <f t="array" ref="AB300">IF($F300&lt;&gt;"", XLOOKUP($F300,Productos!$A$2:$A1001,Productos!U$2:U1001,"")*$G300,"")</f>
        <v/>
      </c>
      <c r="AC300" s="179" t="str">
        <f t="array" ref="AC300">IF($F300&lt;&gt;"",XLOOKUP($F300,Productos!$A:$A,Productos!V:V,"Revisar"),"")</f>
        <v/>
      </c>
      <c r="AD300" s="179" t="str">
        <f t="array" ref="AD300">IF($F300&lt;&gt;"", XLOOKUP($F300,Productos!$A$2:$A1001,Productos!W$2:W1001,"")*$G300,"")</f>
        <v/>
      </c>
      <c r="AE300" s="179" t="str">
        <f t="array" ref="AE300">IF($F300&lt;&gt;"",XLOOKUP($F300,Productos!$A:$A,Productos!X:X,"Revisar"),"")</f>
        <v/>
      </c>
      <c r="AF300" s="179" t="str">
        <f t="array" ref="AF300">IF($F300&lt;&gt;"", XLOOKUP($F300,Productos!$A$2:$A1001,Productos!Y$2:Y1001,"")*$G300,"")</f>
        <v/>
      </c>
      <c r="AG300" s="179" t="str">
        <f t="array" ref="AG300">IF($F300&lt;&gt;"",XLOOKUP($F300,Productos!$A:$A,Productos!Z:Z,"Revisar"),"")</f>
        <v/>
      </c>
      <c r="AH300" s="179" t="str">
        <f t="array" ref="AH300">IF($F300&lt;&gt;"", XLOOKUP($F300,Productos!$A$2:$A1001,Productos!AA$2:AA1001,"")*$G300,"")</f>
        <v/>
      </c>
      <c r="AI300" s="179" t="str">
        <f t="array" ref="AI300">IF($F300&lt;&gt;"",XLOOKUP($F300,Productos!$A:$A,Productos!AB:AB,"Revisar"),"")</f>
        <v/>
      </c>
      <c r="AJ300" s="179" t="str">
        <f t="array" ref="AJ300">IF($F300&lt;&gt;"", XLOOKUP($F300,Productos!$A$2:$A1001,Productos!AC$2:AC1001,"")*$G300,"")</f>
        <v/>
      </c>
      <c r="AK300" s="179" t="str">
        <f t="array" ref="AK300">IF($F300&lt;&gt;"",XLOOKUP($F300,Productos!$A:$A,Productos!AD:AD,"Revisar"),"")</f>
        <v/>
      </c>
      <c r="AL300" s="179" t="str">
        <f t="array" ref="AL300">IF($F300&lt;&gt;"", XLOOKUP($F300,Productos!$A$2:$A1001,Productos!AE$2:AE1001,"")*$G300,"")</f>
        <v/>
      </c>
      <c r="AM300" s="179" t="str">
        <f t="array" ref="AM300">IF($F300&lt;&gt;"",XLOOKUP($F300,Productos!$A:$A,Productos!AF:AF,"Revisar"),"")</f>
        <v/>
      </c>
      <c r="AN300" s="179" t="str">
        <f t="array" ref="AN300">IF($F300&lt;&gt;"", XLOOKUP($F300,Productos!$A$2:$A1001,Productos!AG$2:AG1001,"")*$G300,"")</f>
        <v/>
      </c>
      <c r="AO300" s="179" t="str">
        <f t="array" ref="AO300">IF($F300&lt;&gt;"",XLOOKUP($F300,Productos!$A:$A,Productos!AH:AH,"Revisar"),"")</f>
        <v/>
      </c>
      <c r="AP300" s="179" t="str">
        <f t="array" ref="AP300">IF($F300&lt;&gt;"", XLOOKUP($F300,Productos!$A$2:$A1001,Productos!AI$2:AI1001,"")*$G300,"")</f>
        <v/>
      </c>
      <c r="AQ300" s="179" t="str">
        <f t="array" ref="AQ300">IF($F300&lt;&gt;"",XLOOKUP($F300,Productos!$A:$A,Productos!AJ:AJ,"Revisar"),"")</f>
        <v/>
      </c>
      <c r="AR300" s="179" t="str">
        <f t="array" ref="AR300">IF($F300&lt;&gt;"", XLOOKUP($F300,Productos!$A$2:$A1001,Productos!AK$2:AK1001,"")*$G300,"")</f>
        <v/>
      </c>
      <c r="AS300" s="179" t="str">
        <f t="array" ref="AS300">IF($F300&lt;&gt;"",XLOOKUP($F300,Productos!$A:$A,Productos!AL:AL,"Revisar"),"")</f>
        <v/>
      </c>
      <c r="AT300" s="179" t="str">
        <f t="array" ref="AT300">IF($F300&lt;&gt;"", XLOOKUP($F300,Productos!$A$2:$A1001,Productos!AM$2:AM1001,"")*$G300,"")</f>
        <v/>
      </c>
      <c r="AU300" s="179" t="str">
        <f t="array" ref="AU300">IF($F300&lt;&gt;"",XLOOKUP($F300,Productos!$A:$A,Productos!AN:AN,"Revisar"),"")</f>
        <v/>
      </c>
      <c r="AV300" s="179" t="str">
        <f t="array" ref="AV300">IF($F300&lt;&gt;"", XLOOKUP($F300,Productos!$A$2:$A1001,Productos!AO$2:AO1001,"")*$G300,"")</f>
        <v/>
      </c>
      <c r="AW300" s="179" t="str">
        <f t="array" ref="AW300">IF($F300&lt;&gt;"",XLOOKUP($F300,Productos!$A:$A,Productos!AP:AP,"Revisar"),"")</f>
        <v/>
      </c>
      <c r="AX300" s="179" t="str">
        <f t="array" ref="AX300">IF($F300&lt;&gt;"", XLOOKUP($F300,Productos!$A$2:$A1001,Productos!AQ$2:AQ1001,"")*$G300,"")</f>
        <v/>
      </c>
      <c r="AY300" s="179" t="str">
        <f t="array" ref="AY300">IF($F300&lt;&gt;"",XLOOKUP($F300,Productos!$A:$A,Productos!AR:AR,"Revisar"),"")</f>
        <v/>
      </c>
      <c r="AZ300" s="179" t="str">
        <f t="array" ref="AZ300">IF($F300&lt;&gt;"", XLOOKUP($F300,Productos!$A$2:$A1001,Productos!AS$2:AS1001,"")*$G300,"")</f>
        <v/>
      </c>
      <c r="BA300" s="179" t="str">
        <f t="array" ref="BA300">IF($F300&lt;&gt;"",XLOOKUP($F300,Productos!$A:$A,Productos!AT:AT,"Revisar"),"")</f>
        <v/>
      </c>
      <c r="BB300" s="179" t="str">
        <f t="array" ref="BB300">IF($F300&lt;&gt;"", XLOOKUP($F300,Productos!$A$2:$A1001,Productos!AU$2:AU1001,"")*$G300,"")</f>
        <v/>
      </c>
      <c r="BC300" s="179" t="str">
        <f t="array" ref="BC300">IF($F300&lt;&gt;"",XLOOKUP($F300,Productos!$A:$A,Productos!AV:AV,"Revisar"),"")</f>
        <v/>
      </c>
      <c r="BD300" s="179" t="str">
        <f t="array" ref="BD300">IF($F300&lt;&gt;"", XLOOKUP($F300,Productos!$A$2:$A1001,Productos!AW$2:AW1001,"")*$G300,"")</f>
        <v/>
      </c>
      <c r="BE300" s="179" t="str">
        <f t="array" ref="BE300">IF($F300&lt;&gt;"",XLOOKUP($F300,Productos!$A:$A,Productos!AX:AX,"Revisar"),"")</f>
        <v/>
      </c>
      <c r="BF300" s="179" t="str">
        <f t="array" ref="BF300">IF($F300&lt;&gt;"", XLOOKUP($F300,Productos!$A$2:$A1001,Productos!AY$2:AY1001,"")*$G300,"")</f>
        <v/>
      </c>
      <c r="BG300" s="179" t="str">
        <f t="array" ref="BG300">IF($F300&lt;&gt;"",XLOOKUP($F300,Productos!$A:$A,Productos!AZ:AZ,"Revisar"),"")</f>
        <v/>
      </c>
      <c r="BH300" s="179" t="str">
        <f t="array" ref="BH300">IF($F300&lt;&gt;"", XLOOKUP($F300,Productos!$A$2:$A1001,Productos!BA$2:BA1001,"")*$G300,"")</f>
        <v/>
      </c>
      <c r="BI300" s="179" t="str">
        <f t="array" ref="BI300">IF($F300&lt;&gt;"",XLOOKUP($F300,Productos!$A:$A,Productos!BB:BB,"Revisar"),"")</f>
        <v/>
      </c>
      <c r="BJ300" s="179" t="str">
        <f t="array" ref="BJ300">IF($F300&lt;&gt;"", XLOOKUP($F300,Productos!$A$2:$A1001,Productos!BC$2:BC1001,"")*$G300,"")</f>
        <v/>
      </c>
      <c r="BK300" s="179" t="str">
        <f t="array" ref="BK300">IF($F300&lt;&gt;"",XLOOKUP($F300,Productos!$A:$A,Productos!BD:BD,"Revisar"),"")</f>
        <v/>
      </c>
      <c r="BL300" s="179" t="str">
        <f t="array" ref="BL300">IF($F300&lt;&gt;"", XLOOKUP($F300,Productos!$A$2:$A1001,Productos!BE$2:BE1001,"")*$G300,"")</f>
        <v/>
      </c>
      <c r="BM300" s="179" t="str">
        <f t="array" ref="BM300">IF($F300&lt;&gt;"",XLOOKUP($F300,Productos!$A:$A,Productos!BF:BF,"Revisar"),"")</f>
        <v/>
      </c>
      <c r="BN300" s="179" t="str">
        <f t="array" ref="BN300">IF($F300&lt;&gt;"", XLOOKUP($F300,Productos!$A$2:$A1001,Productos!BG$2:BG1001,"")*$G300,"")</f>
        <v/>
      </c>
      <c r="BO300" s="179" t="str">
        <f t="array" ref="BO300">IF($F300&lt;&gt;"",XLOOKUP($F300,Productos!$A:$A,Productos!BH:BH,"Revisar"),"")</f>
        <v/>
      </c>
      <c r="BP300" s="179" t="str">
        <f t="array" ref="BP300">IF($F300&lt;&gt;"", XLOOKUP($F300,Productos!$A$2:$A1001,Productos!BI$2:BI1001,"")*$G300,"")</f>
        <v/>
      </c>
      <c r="BQ300" s="179" t="str">
        <f t="array" ref="BQ300">IF($F300&lt;&gt;"",XLOOKUP($F300,Productos!$A:$A,Productos!BJ:BJ,"Revisar"),"")</f>
        <v/>
      </c>
      <c r="BR300" s="179" t="str">
        <f t="array" ref="BR300">IF($F300&lt;&gt;"", XLOOKUP($F300,Productos!$A$2:$A1001,Productos!BK$2:BK1001,"")*$G300,"")</f>
        <v/>
      </c>
      <c r="BS300" s="179" t="str">
        <f t="array" ref="BS300">IF($F300&lt;&gt;"",XLOOKUP($F300,Productos!$A:$A,Productos!BL:BL,"Revisar"),"")</f>
        <v/>
      </c>
      <c r="BT300" s="179" t="str">
        <f t="array" ref="BT300">IF($F300&lt;&gt;"", XLOOKUP($F300,Productos!$A$2:$A1001,Productos!BM$2:BM1001,"")*$G300,"")</f>
        <v/>
      </c>
      <c r="BU300" s="179" t="str">
        <f t="array" ref="BU300">IF($F300&lt;&gt;"",XLOOKUP($F300,Productos!$A:$A,Productos!BN:BN,"Revisar"),"")</f>
        <v/>
      </c>
      <c r="BV300" s="179" t="str">
        <f t="array" ref="BV300">IF($F300&lt;&gt;"", XLOOKUP($F300,Productos!$A$2:$A1001,Productos!BO$2:BO1001,"")*$G300,"")</f>
        <v/>
      </c>
      <c r="BW300" s="179" t="str">
        <f t="array" ref="BW300">IF($F300&lt;&gt;"",XLOOKUP($F300,Productos!$A:$A,Productos!BP:BP,"Revisar"),"")</f>
        <v/>
      </c>
      <c r="BX300" s="179" t="str">
        <f t="array" ref="BX300">IF($F300&lt;&gt;"", XLOOKUP($F300,Productos!$A$2:$A1001,Productos!BQ$2:BQ1001,"")*$G300,"")</f>
        <v/>
      </c>
      <c r="BY300" s="179" t="str">
        <f t="array" ref="BY300">IF($F300&lt;&gt;"",XLOOKUP($F300,Productos!$A:$A,Productos!BR:BR,"Revisar"),"")</f>
        <v/>
      </c>
      <c r="BZ300" s="179" t="str">
        <f t="array" ref="BZ300">IF($F300&lt;&gt;"", XLOOKUP($F300,Productos!$A$2:$A1001,Productos!BS$2:BS1001,"")*$G300,"")</f>
        <v/>
      </c>
    </row>
    <row r="301">
      <c r="A301" s="180"/>
      <c r="B301" s="181"/>
      <c r="C301" s="182"/>
      <c r="D301" s="182"/>
      <c r="E301" s="185"/>
      <c r="F301" s="186"/>
      <c r="G301" s="187"/>
      <c r="H301" s="186"/>
      <c r="I301" s="179" t="str">
        <f t="array" ref="I301">IF($F301&lt;&gt;"",XLOOKUP($F301,Productos!$A:$A,Productos!B:B,"Revisar"),"")</f>
        <v/>
      </c>
      <c r="J301" s="179" t="str">
        <f t="array" ref="J301">IF($F301&lt;&gt;"", XLOOKUP($F301,Productos!$A$2:$A1001,Productos!C$2:C1001,"")*$G301,"")</f>
        <v/>
      </c>
      <c r="K301" s="179" t="str">
        <f t="array" ref="K301">IF($F301&lt;&gt;"",XLOOKUP($F301,Productos!$A:$A,Productos!D:D,"Revisar"),"")</f>
        <v/>
      </c>
      <c r="L301" s="179" t="str">
        <f t="array" ref="L301">IF($F301&lt;&gt;"", XLOOKUP($F301,Productos!$A$2:$A1001,Productos!E$2:E1001,"")*$G301,"")</f>
        <v/>
      </c>
      <c r="M301" s="179" t="str">
        <f t="array" ref="M301">IF($F301&lt;&gt;"",XLOOKUP($F301,Productos!$A:$A,Productos!F:F,"Revisar"),"")</f>
        <v/>
      </c>
      <c r="N301" s="179" t="str">
        <f t="array" ref="N301">IF($F301&lt;&gt;"", XLOOKUP($F301,Productos!$A$2:$A1001,Productos!G$2:G1001,"")*$G301,"")</f>
        <v/>
      </c>
      <c r="O301" s="179" t="str">
        <f t="array" ref="O301">IF($F301&lt;&gt;"",XLOOKUP($F301,Productos!$A:$A,Productos!H:H,"Revisar"),"")</f>
        <v/>
      </c>
      <c r="P301" s="179" t="str">
        <f t="array" ref="P301">IF($F301&lt;&gt;"", XLOOKUP($F301,Productos!$A$2:$A1001,Productos!I$2:I1001,"")*$G301,"")</f>
        <v/>
      </c>
      <c r="Q301" s="179" t="str">
        <f t="array" ref="Q301">IF($F301&lt;&gt;"",XLOOKUP($F301,Productos!$A:$A,Productos!J:J,"Revisar"),"")</f>
        <v/>
      </c>
      <c r="R301" s="179" t="str">
        <f t="array" ref="R301">IF($F301&lt;&gt;"", XLOOKUP($F301,Productos!$A$2:$A1001,Productos!K$2:K1001,"")*$G301,"")</f>
        <v/>
      </c>
      <c r="S301" s="179" t="str">
        <f t="array" ref="S301">IF($F301&lt;&gt;"",XLOOKUP($F301,Productos!$A:$A,Productos!L:L,"Revisar"),"")</f>
        <v/>
      </c>
      <c r="T301" s="179" t="str">
        <f t="array" ref="T301">IF($F301&lt;&gt;"", XLOOKUP($F301,Productos!$A$2:$A1001,Productos!M$2:M1001,"")*$G301,"")</f>
        <v/>
      </c>
      <c r="U301" s="179" t="str">
        <f t="array" ref="U301">IF($F301&lt;&gt;"",XLOOKUP($F301,Productos!$A:$A,Productos!N:N,"Revisar"),"")</f>
        <v/>
      </c>
      <c r="V301" s="179" t="str">
        <f t="array" ref="V301">IF($F301&lt;&gt;"", XLOOKUP($F301,Productos!$A$2:$A1001,Productos!O$2:O1001,"")*$G301,"")</f>
        <v/>
      </c>
      <c r="W301" s="179" t="str">
        <f t="array" ref="W301">IF($F301&lt;&gt;"",XLOOKUP($F301,Productos!$A:$A,Productos!P:P,"Revisar"),"")</f>
        <v/>
      </c>
      <c r="X301" s="179" t="str">
        <f t="array" ref="X301">IF($F301&lt;&gt;"", XLOOKUP($F301,Productos!$A$2:$A1001,Productos!Q$2:Q1001,"")*$G301,"")</f>
        <v/>
      </c>
      <c r="Y301" s="179" t="str">
        <f t="array" ref="Y301">IF($F301&lt;&gt;"",XLOOKUP($F301,Productos!$A:$A,Productos!R:R,"Revisar"),"")</f>
        <v/>
      </c>
      <c r="Z301" s="179" t="str">
        <f t="array" ref="Z301">IF($F301&lt;&gt;"", XLOOKUP($F301,Productos!$A$2:$A1001,Productos!S$2:S1001,"")*$G301,"")</f>
        <v/>
      </c>
      <c r="AA301" s="179" t="str">
        <f t="array" ref="AA301">IF($F301&lt;&gt;"",XLOOKUP($F301,Productos!$A:$A,Productos!T:T,"Revisar"),"")</f>
        <v/>
      </c>
      <c r="AB301" s="179" t="str">
        <f t="array" ref="AB301">IF($F301&lt;&gt;"", XLOOKUP($F301,Productos!$A$2:$A1001,Productos!U$2:U1001,"")*$G301,"")</f>
        <v/>
      </c>
      <c r="AC301" s="179" t="str">
        <f t="array" ref="AC301">IF($F301&lt;&gt;"",XLOOKUP($F301,Productos!$A:$A,Productos!V:V,"Revisar"),"")</f>
        <v/>
      </c>
      <c r="AD301" s="179" t="str">
        <f t="array" ref="AD301">IF($F301&lt;&gt;"", XLOOKUP($F301,Productos!$A$2:$A1001,Productos!W$2:W1001,"")*$G301,"")</f>
        <v/>
      </c>
      <c r="AE301" s="179" t="str">
        <f t="array" ref="AE301">IF($F301&lt;&gt;"",XLOOKUP($F301,Productos!$A:$A,Productos!X:X,"Revisar"),"")</f>
        <v/>
      </c>
      <c r="AF301" s="179" t="str">
        <f t="array" ref="AF301">IF($F301&lt;&gt;"", XLOOKUP($F301,Productos!$A$2:$A1001,Productos!Y$2:Y1001,"")*$G301,"")</f>
        <v/>
      </c>
      <c r="AG301" s="179" t="str">
        <f t="array" ref="AG301">IF($F301&lt;&gt;"",XLOOKUP($F301,Productos!$A:$A,Productos!Z:Z,"Revisar"),"")</f>
        <v/>
      </c>
      <c r="AH301" s="179" t="str">
        <f t="array" ref="AH301">IF($F301&lt;&gt;"", XLOOKUP($F301,Productos!$A$2:$A1001,Productos!AA$2:AA1001,"")*$G301,"")</f>
        <v/>
      </c>
      <c r="AI301" s="179" t="str">
        <f t="array" ref="AI301">IF($F301&lt;&gt;"",XLOOKUP($F301,Productos!$A:$A,Productos!AB:AB,"Revisar"),"")</f>
        <v/>
      </c>
      <c r="AJ301" s="179" t="str">
        <f t="array" ref="AJ301">IF($F301&lt;&gt;"", XLOOKUP($F301,Productos!$A$2:$A1001,Productos!AC$2:AC1001,"")*$G301,"")</f>
        <v/>
      </c>
      <c r="AK301" s="179" t="str">
        <f t="array" ref="AK301">IF($F301&lt;&gt;"",XLOOKUP($F301,Productos!$A:$A,Productos!AD:AD,"Revisar"),"")</f>
        <v/>
      </c>
      <c r="AL301" s="179" t="str">
        <f t="array" ref="AL301">IF($F301&lt;&gt;"", XLOOKUP($F301,Productos!$A$2:$A1001,Productos!AE$2:AE1001,"")*$G301,"")</f>
        <v/>
      </c>
      <c r="AM301" s="179" t="str">
        <f t="array" ref="AM301">IF($F301&lt;&gt;"",XLOOKUP($F301,Productos!$A:$A,Productos!AF:AF,"Revisar"),"")</f>
        <v/>
      </c>
      <c r="AN301" s="179" t="str">
        <f t="array" ref="AN301">IF($F301&lt;&gt;"", XLOOKUP($F301,Productos!$A$2:$A1001,Productos!AG$2:AG1001,"")*$G301,"")</f>
        <v/>
      </c>
      <c r="AO301" s="179" t="str">
        <f t="array" ref="AO301">IF($F301&lt;&gt;"",XLOOKUP($F301,Productos!$A:$A,Productos!AH:AH,"Revisar"),"")</f>
        <v/>
      </c>
      <c r="AP301" s="179" t="str">
        <f t="array" ref="AP301">IF($F301&lt;&gt;"", XLOOKUP($F301,Productos!$A$2:$A1001,Productos!AI$2:AI1001,"")*$G301,"")</f>
        <v/>
      </c>
      <c r="AQ301" s="179" t="str">
        <f t="array" ref="AQ301">IF($F301&lt;&gt;"",XLOOKUP($F301,Productos!$A:$A,Productos!AJ:AJ,"Revisar"),"")</f>
        <v/>
      </c>
      <c r="AR301" s="179" t="str">
        <f t="array" ref="AR301">IF($F301&lt;&gt;"", XLOOKUP($F301,Productos!$A$2:$A1001,Productos!AK$2:AK1001,"")*$G301,"")</f>
        <v/>
      </c>
      <c r="AS301" s="179" t="str">
        <f t="array" ref="AS301">IF($F301&lt;&gt;"",XLOOKUP($F301,Productos!$A:$A,Productos!AL:AL,"Revisar"),"")</f>
        <v/>
      </c>
      <c r="AT301" s="179" t="str">
        <f t="array" ref="AT301">IF($F301&lt;&gt;"", XLOOKUP($F301,Productos!$A$2:$A1001,Productos!AM$2:AM1001,"")*$G301,"")</f>
        <v/>
      </c>
      <c r="AU301" s="179" t="str">
        <f t="array" ref="AU301">IF($F301&lt;&gt;"",XLOOKUP($F301,Productos!$A:$A,Productos!AN:AN,"Revisar"),"")</f>
        <v/>
      </c>
      <c r="AV301" s="179" t="str">
        <f t="array" ref="AV301">IF($F301&lt;&gt;"", XLOOKUP($F301,Productos!$A$2:$A1001,Productos!AO$2:AO1001,"")*$G301,"")</f>
        <v/>
      </c>
      <c r="AW301" s="179" t="str">
        <f t="array" ref="AW301">IF($F301&lt;&gt;"",XLOOKUP($F301,Productos!$A:$A,Productos!AP:AP,"Revisar"),"")</f>
        <v/>
      </c>
      <c r="AX301" s="179" t="str">
        <f t="array" ref="AX301">IF($F301&lt;&gt;"", XLOOKUP($F301,Productos!$A$2:$A1001,Productos!AQ$2:AQ1001,"")*$G301,"")</f>
        <v/>
      </c>
      <c r="AY301" s="179" t="str">
        <f t="array" ref="AY301">IF($F301&lt;&gt;"",XLOOKUP($F301,Productos!$A:$A,Productos!AR:AR,"Revisar"),"")</f>
        <v/>
      </c>
      <c r="AZ301" s="179" t="str">
        <f t="array" ref="AZ301">IF($F301&lt;&gt;"", XLOOKUP($F301,Productos!$A$2:$A1001,Productos!AS$2:AS1001,"")*$G301,"")</f>
        <v/>
      </c>
      <c r="BA301" s="179" t="str">
        <f t="array" ref="BA301">IF($F301&lt;&gt;"",XLOOKUP($F301,Productos!$A:$A,Productos!AT:AT,"Revisar"),"")</f>
        <v/>
      </c>
      <c r="BB301" s="179" t="str">
        <f t="array" ref="BB301">IF($F301&lt;&gt;"", XLOOKUP($F301,Productos!$A$2:$A1001,Productos!AU$2:AU1001,"")*$G301,"")</f>
        <v/>
      </c>
      <c r="BC301" s="179" t="str">
        <f t="array" ref="BC301">IF($F301&lt;&gt;"",XLOOKUP($F301,Productos!$A:$A,Productos!AV:AV,"Revisar"),"")</f>
        <v/>
      </c>
      <c r="BD301" s="179" t="str">
        <f t="array" ref="BD301">IF($F301&lt;&gt;"", XLOOKUP($F301,Productos!$A$2:$A1001,Productos!AW$2:AW1001,"")*$G301,"")</f>
        <v/>
      </c>
      <c r="BE301" s="179" t="str">
        <f t="array" ref="BE301">IF($F301&lt;&gt;"",XLOOKUP($F301,Productos!$A:$A,Productos!AX:AX,"Revisar"),"")</f>
        <v/>
      </c>
      <c r="BF301" s="179" t="str">
        <f t="array" ref="BF301">IF($F301&lt;&gt;"", XLOOKUP($F301,Productos!$A$2:$A1001,Productos!AY$2:AY1001,"")*$G301,"")</f>
        <v/>
      </c>
      <c r="BG301" s="179" t="str">
        <f t="array" ref="BG301">IF($F301&lt;&gt;"",XLOOKUP($F301,Productos!$A:$A,Productos!AZ:AZ,"Revisar"),"")</f>
        <v/>
      </c>
      <c r="BH301" s="179" t="str">
        <f t="array" ref="BH301">IF($F301&lt;&gt;"", XLOOKUP($F301,Productos!$A$2:$A1001,Productos!BA$2:BA1001,"")*$G301,"")</f>
        <v/>
      </c>
      <c r="BI301" s="179" t="str">
        <f t="array" ref="BI301">IF($F301&lt;&gt;"",XLOOKUP($F301,Productos!$A:$A,Productos!BB:BB,"Revisar"),"")</f>
        <v/>
      </c>
      <c r="BJ301" s="179" t="str">
        <f t="array" ref="BJ301">IF($F301&lt;&gt;"", XLOOKUP($F301,Productos!$A$2:$A1001,Productos!BC$2:BC1001,"")*$G301,"")</f>
        <v/>
      </c>
      <c r="BK301" s="179" t="str">
        <f t="array" ref="BK301">IF($F301&lt;&gt;"",XLOOKUP($F301,Productos!$A:$A,Productos!BD:BD,"Revisar"),"")</f>
        <v/>
      </c>
      <c r="BL301" s="179" t="str">
        <f t="array" ref="BL301">IF($F301&lt;&gt;"", XLOOKUP($F301,Productos!$A$2:$A1001,Productos!BE$2:BE1001,"")*$G301,"")</f>
        <v/>
      </c>
      <c r="BM301" s="179" t="str">
        <f t="array" ref="BM301">IF($F301&lt;&gt;"",XLOOKUP($F301,Productos!$A:$A,Productos!BF:BF,"Revisar"),"")</f>
        <v/>
      </c>
      <c r="BN301" s="179" t="str">
        <f t="array" ref="BN301">IF($F301&lt;&gt;"", XLOOKUP($F301,Productos!$A$2:$A1001,Productos!BG$2:BG1001,"")*$G301,"")</f>
        <v/>
      </c>
      <c r="BO301" s="179" t="str">
        <f t="array" ref="BO301">IF($F301&lt;&gt;"",XLOOKUP($F301,Productos!$A:$A,Productos!BH:BH,"Revisar"),"")</f>
        <v/>
      </c>
      <c r="BP301" s="179" t="str">
        <f t="array" ref="BP301">IF($F301&lt;&gt;"", XLOOKUP($F301,Productos!$A$2:$A1001,Productos!BI$2:BI1001,"")*$G301,"")</f>
        <v/>
      </c>
      <c r="BQ301" s="179" t="str">
        <f t="array" ref="BQ301">IF($F301&lt;&gt;"",XLOOKUP($F301,Productos!$A:$A,Productos!BJ:BJ,"Revisar"),"")</f>
        <v/>
      </c>
      <c r="BR301" s="179" t="str">
        <f t="array" ref="BR301">IF($F301&lt;&gt;"", XLOOKUP($F301,Productos!$A$2:$A1001,Productos!BK$2:BK1001,"")*$G301,"")</f>
        <v/>
      </c>
      <c r="BS301" s="179" t="str">
        <f t="array" ref="BS301">IF($F301&lt;&gt;"",XLOOKUP($F301,Productos!$A:$A,Productos!BL:BL,"Revisar"),"")</f>
        <v/>
      </c>
      <c r="BT301" s="179" t="str">
        <f t="array" ref="BT301">IF($F301&lt;&gt;"", XLOOKUP($F301,Productos!$A$2:$A1001,Productos!BM$2:BM1001,"")*$G301,"")</f>
        <v/>
      </c>
      <c r="BU301" s="179" t="str">
        <f t="array" ref="BU301">IF($F301&lt;&gt;"",XLOOKUP($F301,Productos!$A:$A,Productos!BN:BN,"Revisar"),"")</f>
        <v/>
      </c>
      <c r="BV301" s="179" t="str">
        <f t="array" ref="BV301">IF($F301&lt;&gt;"", XLOOKUP($F301,Productos!$A$2:$A1001,Productos!BO$2:BO1001,"")*$G301,"")</f>
        <v/>
      </c>
      <c r="BW301" s="179" t="str">
        <f t="array" ref="BW301">IF($F301&lt;&gt;"",XLOOKUP($F301,Productos!$A:$A,Productos!BP:BP,"Revisar"),"")</f>
        <v/>
      </c>
      <c r="BX301" s="179" t="str">
        <f t="array" ref="BX301">IF($F301&lt;&gt;"", XLOOKUP($F301,Productos!$A$2:$A1001,Productos!BQ$2:BQ1001,"")*$G301,"")</f>
        <v/>
      </c>
      <c r="BY301" s="179" t="str">
        <f t="array" ref="BY301">IF($F301&lt;&gt;"",XLOOKUP($F301,Productos!$A:$A,Productos!BR:BR,"Revisar"),"")</f>
        <v/>
      </c>
      <c r="BZ301" s="179" t="str">
        <f t="array" ref="BZ301">IF($F301&lt;&gt;"", XLOOKUP($F301,Productos!$A$2:$A1001,Productos!BS$2:BS1001,"")*$G301,"")</f>
        <v/>
      </c>
    </row>
    <row r="302">
      <c r="A302" s="180"/>
      <c r="B302" s="181"/>
      <c r="C302" s="182"/>
      <c r="D302" s="182"/>
      <c r="E302" s="185"/>
      <c r="F302" s="186"/>
      <c r="G302" s="187"/>
      <c r="H302" s="186"/>
      <c r="I302" s="179" t="str">
        <f t="array" ref="I302">IF($F302&lt;&gt;"",XLOOKUP($F302,Productos!$A:$A,Productos!B:B,"Revisar"),"")</f>
        <v/>
      </c>
      <c r="J302" s="179" t="str">
        <f t="array" ref="J302">IF($F302&lt;&gt;"", XLOOKUP($F302,Productos!$A$2:$A1001,Productos!C$2:C1001,"")*$G302,"")</f>
        <v/>
      </c>
      <c r="K302" s="179" t="str">
        <f t="array" ref="K302">IF($F302&lt;&gt;"",XLOOKUP($F302,Productos!$A:$A,Productos!D:D,"Revisar"),"")</f>
        <v/>
      </c>
      <c r="L302" s="179" t="str">
        <f t="array" ref="L302">IF($F302&lt;&gt;"", XLOOKUP($F302,Productos!$A$2:$A1001,Productos!E$2:E1001,"")*$G302,"")</f>
        <v/>
      </c>
      <c r="M302" s="179" t="str">
        <f t="array" ref="M302">IF($F302&lt;&gt;"",XLOOKUP($F302,Productos!$A:$A,Productos!F:F,"Revisar"),"")</f>
        <v/>
      </c>
      <c r="N302" s="179" t="str">
        <f t="array" ref="N302">IF($F302&lt;&gt;"", XLOOKUP($F302,Productos!$A$2:$A1001,Productos!G$2:G1001,"")*$G302,"")</f>
        <v/>
      </c>
      <c r="O302" s="179" t="str">
        <f t="array" ref="O302">IF($F302&lt;&gt;"",XLOOKUP($F302,Productos!$A:$A,Productos!H:H,"Revisar"),"")</f>
        <v/>
      </c>
      <c r="P302" s="179" t="str">
        <f t="array" ref="P302">IF($F302&lt;&gt;"", XLOOKUP($F302,Productos!$A$2:$A1001,Productos!I$2:I1001,"")*$G302,"")</f>
        <v/>
      </c>
      <c r="Q302" s="179" t="str">
        <f t="array" ref="Q302">IF($F302&lt;&gt;"",XLOOKUP($F302,Productos!$A:$A,Productos!J:J,"Revisar"),"")</f>
        <v/>
      </c>
      <c r="R302" s="179" t="str">
        <f t="array" ref="R302">IF($F302&lt;&gt;"", XLOOKUP($F302,Productos!$A$2:$A1001,Productos!K$2:K1001,"")*$G302,"")</f>
        <v/>
      </c>
      <c r="S302" s="179" t="str">
        <f t="array" ref="S302">IF($F302&lt;&gt;"",XLOOKUP($F302,Productos!$A:$A,Productos!L:L,"Revisar"),"")</f>
        <v/>
      </c>
      <c r="T302" s="179" t="str">
        <f t="array" ref="T302">IF($F302&lt;&gt;"", XLOOKUP($F302,Productos!$A$2:$A1001,Productos!M$2:M1001,"")*$G302,"")</f>
        <v/>
      </c>
      <c r="U302" s="179" t="str">
        <f t="array" ref="U302">IF($F302&lt;&gt;"",XLOOKUP($F302,Productos!$A:$A,Productos!N:N,"Revisar"),"")</f>
        <v/>
      </c>
      <c r="V302" s="179" t="str">
        <f t="array" ref="V302">IF($F302&lt;&gt;"", XLOOKUP($F302,Productos!$A$2:$A1001,Productos!O$2:O1001,"")*$G302,"")</f>
        <v/>
      </c>
      <c r="W302" s="179" t="str">
        <f t="array" ref="W302">IF($F302&lt;&gt;"",XLOOKUP($F302,Productos!$A:$A,Productos!P:P,"Revisar"),"")</f>
        <v/>
      </c>
      <c r="X302" s="179" t="str">
        <f t="array" ref="X302">IF($F302&lt;&gt;"", XLOOKUP($F302,Productos!$A$2:$A1001,Productos!Q$2:Q1001,"")*$G302,"")</f>
        <v/>
      </c>
      <c r="Y302" s="179" t="str">
        <f t="array" ref="Y302">IF($F302&lt;&gt;"",XLOOKUP($F302,Productos!$A:$A,Productos!R:R,"Revisar"),"")</f>
        <v/>
      </c>
      <c r="Z302" s="179" t="str">
        <f t="array" ref="Z302">IF($F302&lt;&gt;"", XLOOKUP($F302,Productos!$A$2:$A1001,Productos!S$2:S1001,"")*$G302,"")</f>
        <v/>
      </c>
      <c r="AA302" s="179" t="str">
        <f t="array" ref="AA302">IF($F302&lt;&gt;"",XLOOKUP($F302,Productos!$A:$A,Productos!T:T,"Revisar"),"")</f>
        <v/>
      </c>
      <c r="AB302" s="179" t="str">
        <f t="array" ref="AB302">IF($F302&lt;&gt;"", XLOOKUP($F302,Productos!$A$2:$A1001,Productos!U$2:U1001,"")*$G302,"")</f>
        <v/>
      </c>
      <c r="AC302" s="179" t="str">
        <f t="array" ref="AC302">IF($F302&lt;&gt;"",XLOOKUP($F302,Productos!$A:$A,Productos!V:V,"Revisar"),"")</f>
        <v/>
      </c>
      <c r="AD302" s="179" t="str">
        <f t="array" ref="AD302">IF($F302&lt;&gt;"", XLOOKUP($F302,Productos!$A$2:$A1001,Productos!W$2:W1001,"")*$G302,"")</f>
        <v/>
      </c>
      <c r="AE302" s="179" t="str">
        <f t="array" ref="AE302">IF($F302&lt;&gt;"",XLOOKUP($F302,Productos!$A:$A,Productos!X:X,"Revisar"),"")</f>
        <v/>
      </c>
      <c r="AF302" s="179" t="str">
        <f t="array" ref="AF302">IF($F302&lt;&gt;"", XLOOKUP($F302,Productos!$A$2:$A1001,Productos!Y$2:Y1001,"")*$G302,"")</f>
        <v/>
      </c>
      <c r="AG302" s="179" t="str">
        <f t="array" ref="AG302">IF($F302&lt;&gt;"",XLOOKUP($F302,Productos!$A:$A,Productos!Z:Z,"Revisar"),"")</f>
        <v/>
      </c>
      <c r="AH302" s="179" t="str">
        <f t="array" ref="AH302">IF($F302&lt;&gt;"", XLOOKUP($F302,Productos!$A$2:$A1001,Productos!AA$2:AA1001,"")*$G302,"")</f>
        <v/>
      </c>
      <c r="AI302" s="179" t="str">
        <f t="array" ref="AI302">IF($F302&lt;&gt;"",XLOOKUP($F302,Productos!$A:$A,Productos!AB:AB,"Revisar"),"")</f>
        <v/>
      </c>
      <c r="AJ302" s="179" t="str">
        <f t="array" ref="AJ302">IF($F302&lt;&gt;"", XLOOKUP($F302,Productos!$A$2:$A1001,Productos!AC$2:AC1001,"")*$G302,"")</f>
        <v/>
      </c>
      <c r="AK302" s="179" t="str">
        <f t="array" ref="AK302">IF($F302&lt;&gt;"",XLOOKUP($F302,Productos!$A:$A,Productos!AD:AD,"Revisar"),"")</f>
        <v/>
      </c>
      <c r="AL302" s="179" t="str">
        <f t="array" ref="AL302">IF($F302&lt;&gt;"", XLOOKUP($F302,Productos!$A$2:$A1001,Productos!AE$2:AE1001,"")*$G302,"")</f>
        <v/>
      </c>
      <c r="AM302" s="179" t="str">
        <f t="array" ref="AM302">IF($F302&lt;&gt;"",XLOOKUP($F302,Productos!$A:$A,Productos!AF:AF,"Revisar"),"")</f>
        <v/>
      </c>
      <c r="AN302" s="179" t="str">
        <f t="array" ref="AN302">IF($F302&lt;&gt;"", XLOOKUP($F302,Productos!$A$2:$A1001,Productos!AG$2:AG1001,"")*$G302,"")</f>
        <v/>
      </c>
      <c r="AO302" s="179" t="str">
        <f t="array" ref="AO302">IF($F302&lt;&gt;"",XLOOKUP($F302,Productos!$A:$A,Productos!AH:AH,"Revisar"),"")</f>
        <v/>
      </c>
      <c r="AP302" s="179" t="str">
        <f t="array" ref="AP302">IF($F302&lt;&gt;"", XLOOKUP($F302,Productos!$A$2:$A1001,Productos!AI$2:AI1001,"")*$G302,"")</f>
        <v/>
      </c>
      <c r="AQ302" s="179" t="str">
        <f t="array" ref="AQ302">IF($F302&lt;&gt;"",XLOOKUP($F302,Productos!$A:$A,Productos!AJ:AJ,"Revisar"),"")</f>
        <v/>
      </c>
      <c r="AR302" s="179" t="str">
        <f t="array" ref="AR302">IF($F302&lt;&gt;"", XLOOKUP($F302,Productos!$A$2:$A1001,Productos!AK$2:AK1001,"")*$G302,"")</f>
        <v/>
      </c>
      <c r="AS302" s="179" t="str">
        <f t="array" ref="AS302">IF($F302&lt;&gt;"",XLOOKUP($F302,Productos!$A:$A,Productos!AL:AL,"Revisar"),"")</f>
        <v/>
      </c>
      <c r="AT302" s="179" t="str">
        <f t="array" ref="AT302">IF($F302&lt;&gt;"", XLOOKUP($F302,Productos!$A$2:$A1001,Productos!AM$2:AM1001,"")*$G302,"")</f>
        <v/>
      </c>
      <c r="AU302" s="179" t="str">
        <f t="array" ref="AU302">IF($F302&lt;&gt;"",XLOOKUP($F302,Productos!$A:$A,Productos!AN:AN,"Revisar"),"")</f>
        <v/>
      </c>
      <c r="AV302" s="179" t="str">
        <f t="array" ref="AV302">IF($F302&lt;&gt;"", XLOOKUP($F302,Productos!$A$2:$A1001,Productos!AO$2:AO1001,"")*$G302,"")</f>
        <v/>
      </c>
      <c r="AW302" s="179" t="str">
        <f t="array" ref="AW302">IF($F302&lt;&gt;"",XLOOKUP($F302,Productos!$A:$A,Productos!AP:AP,"Revisar"),"")</f>
        <v/>
      </c>
      <c r="AX302" s="179" t="str">
        <f t="array" ref="AX302">IF($F302&lt;&gt;"", XLOOKUP($F302,Productos!$A$2:$A1001,Productos!AQ$2:AQ1001,"")*$G302,"")</f>
        <v/>
      </c>
      <c r="AY302" s="179" t="str">
        <f t="array" ref="AY302">IF($F302&lt;&gt;"",XLOOKUP($F302,Productos!$A:$A,Productos!AR:AR,"Revisar"),"")</f>
        <v/>
      </c>
      <c r="AZ302" s="179" t="str">
        <f t="array" ref="AZ302">IF($F302&lt;&gt;"", XLOOKUP($F302,Productos!$A$2:$A1001,Productos!AS$2:AS1001,"")*$G302,"")</f>
        <v/>
      </c>
      <c r="BA302" s="179" t="str">
        <f t="array" ref="BA302">IF($F302&lt;&gt;"",XLOOKUP($F302,Productos!$A:$A,Productos!AT:AT,"Revisar"),"")</f>
        <v/>
      </c>
      <c r="BB302" s="179" t="str">
        <f t="array" ref="BB302">IF($F302&lt;&gt;"", XLOOKUP($F302,Productos!$A$2:$A1001,Productos!AU$2:AU1001,"")*$G302,"")</f>
        <v/>
      </c>
      <c r="BC302" s="179" t="str">
        <f t="array" ref="BC302">IF($F302&lt;&gt;"",XLOOKUP($F302,Productos!$A:$A,Productos!AV:AV,"Revisar"),"")</f>
        <v/>
      </c>
      <c r="BD302" s="179" t="str">
        <f t="array" ref="BD302">IF($F302&lt;&gt;"", XLOOKUP($F302,Productos!$A$2:$A1001,Productos!AW$2:AW1001,"")*$G302,"")</f>
        <v/>
      </c>
      <c r="BE302" s="179" t="str">
        <f t="array" ref="BE302">IF($F302&lt;&gt;"",XLOOKUP($F302,Productos!$A:$A,Productos!AX:AX,"Revisar"),"")</f>
        <v/>
      </c>
      <c r="BF302" s="179" t="str">
        <f t="array" ref="BF302">IF($F302&lt;&gt;"", XLOOKUP($F302,Productos!$A$2:$A1001,Productos!AY$2:AY1001,"")*$G302,"")</f>
        <v/>
      </c>
      <c r="BG302" s="179" t="str">
        <f t="array" ref="BG302">IF($F302&lt;&gt;"",XLOOKUP($F302,Productos!$A:$A,Productos!AZ:AZ,"Revisar"),"")</f>
        <v/>
      </c>
      <c r="BH302" s="179" t="str">
        <f t="array" ref="BH302">IF($F302&lt;&gt;"", XLOOKUP($F302,Productos!$A$2:$A1001,Productos!BA$2:BA1001,"")*$G302,"")</f>
        <v/>
      </c>
      <c r="BI302" s="179" t="str">
        <f t="array" ref="BI302">IF($F302&lt;&gt;"",XLOOKUP($F302,Productos!$A:$A,Productos!BB:BB,"Revisar"),"")</f>
        <v/>
      </c>
      <c r="BJ302" s="179" t="str">
        <f t="array" ref="BJ302">IF($F302&lt;&gt;"", XLOOKUP($F302,Productos!$A$2:$A1001,Productos!BC$2:BC1001,"")*$G302,"")</f>
        <v/>
      </c>
      <c r="BK302" s="179" t="str">
        <f t="array" ref="BK302">IF($F302&lt;&gt;"",XLOOKUP($F302,Productos!$A:$A,Productos!BD:BD,"Revisar"),"")</f>
        <v/>
      </c>
      <c r="BL302" s="179" t="str">
        <f t="array" ref="BL302">IF($F302&lt;&gt;"", XLOOKUP($F302,Productos!$A$2:$A1001,Productos!BE$2:BE1001,"")*$G302,"")</f>
        <v/>
      </c>
      <c r="BM302" s="179" t="str">
        <f t="array" ref="BM302">IF($F302&lt;&gt;"",XLOOKUP($F302,Productos!$A:$A,Productos!BF:BF,"Revisar"),"")</f>
        <v/>
      </c>
      <c r="BN302" s="179" t="str">
        <f t="array" ref="BN302">IF($F302&lt;&gt;"", XLOOKUP($F302,Productos!$A$2:$A1001,Productos!BG$2:BG1001,"")*$G302,"")</f>
        <v/>
      </c>
      <c r="BO302" s="179" t="str">
        <f t="array" ref="BO302">IF($F302&lt;&gt;"",XLOOKUP($F302,Productos!$A:$A,Productos!BH:BH,"Revisar"),"")</f>
        <v/>
      </c>
      <c r="BP302" s="179" t="str">
        <f t="array" ref="BP302">IF($F302&lt;&gt;"", XLOOKUP($F302,Productos!$A$2:$A1001,Productos!BI$2:BI1001,"")*$G302,"")</f>
        <v/>
      </c>
      <c r="BQ302" s="179" t="str">
        <f t="array" ref="BQ302">IF($F302&lt;&gt;"",XLOOKUP($F302,Productos!$A:$A,Productos!BJ:BJ,"Revisar"),"")</f>
        <v/>
      </c>
      <c r="BR302" s="179" t="str">
        <f t="array" ref="BR302">IF($F302&lt;&gt;"", XLOOKUP($F302,Productos!$A$2:$A1001,Productos!BK$2:BK1001,"")*$G302,"")</f>
        <v/>
      </c>
      <c r="BS302" s="179" t="str">
        <f t="array" ref="BS302">IF($F302&lt;&gt;"",XLOOKUP($F302,Productos!$A:$A,Productos!BL:BL,"Revisar"),"")</f>
        <v/>
      </c>
      <c r="BT302" s="179" t="str">
        <f t="array" ref="BT302">IF($F302&lt;&gt;"", XLOOKUP($F302,Productos!$A$2:$A1001,Productos!BM$2:BM1001,"")*$G302,"")</f>
        <v/>
      </c>
      <c r="BU302" s="179" t="str">
        <f t="array" ref="BU302">IF($F302&lt;&gt;"",XLOOKUP($F302,Productos!$A:$A,Productos!BN:BN,"Revisar"),"")</f>
        <v/>
      </c>
      <c r="BV302" s="179" t="str">
        <f t="array" ref="BV302">IF($F302&lt;&gt;"", XLOOKUP($F302,Productos!$A$2:$A1001,Productos!BO$2:BO1001,"")*$G302,"")</f>
        <v/>
      </c>
      <c r="BW302" s="179" t="str">
        <f t="array" ref="BW302">IF($F302&lt;&gt;"",XLOOKUP($F302,Productos!$A:$A,Productos!BP:BP,"Revisar"),"")</f>
        <v/>
      </c>
      <c r="BX302" s="179" t="str">
        <f t="array" ref="BX302">IF($F302&lt;&gt;"", XLOOKUP($F302,Productos!$A$2:$A1001,Productos!BQ$2:BQ1001,"")*$G302,"")</f>
        <v/>
      </c>
      <c r="BY302" s="179" t="str">
        <f t="array" ref="BY302">IF($F302&lt;&gt;"",XLOOKUP($F302,Productos!$A:$A,Productos!BR:BR,"Revisar"),"")</f>
        <v/>
      </c>
      <c r="BZ302" s="179" t="str">
        <f t="array" ref="BZ302">IF($F302&lt;&gt;"", XLOOKUP($F302,Productos!$A$2:$A1001,Productos!BS$2:BS1001,"")*$G302,"")</f>
        <v/>
      </c>
    </row>
    <row r="303">
      <c r="A303" s="180"/>
      <c r="B303" s="181"/>
      <c r="C303" s="182"/>
      <c r="D303" s="182"/>
      <c r="E303" s="185"/>
      <c r="F303" s="186"/>
      <c r="G303" s="187"/>
      <c r="H303" s="186"/>
      <c r="I303" s="179" t="str">
        <f t="array" ref="I303">IF($F303&lt;&gt;"",XLOOKUP($F303,Productos!$A:$A,Productos!B:B,"Revisar"),"")</f>
        <v/>
      </c>
      <c r="J303" s="179" t="str">
        <f t="array" ref="J303">IF($F303&lt;&gt;"", XLOOKUP($F303,Productos!$A$2:$A1001,Productos!C$2:C1001,"")*$G303,"")</f>
        <v/>
      </c>
      <c r="K303" s="179" t="str">
        <f t="array" ref="K303">IF($F303&lt;&gt;"",XLOOKUP($F303,Productos!$A:$A,Productos!D:D,"Revisar"),"")</f>
        <v/>
      </c>
      <c r="L303" s="179" t="str">
        <f t="array" ref="L303">IF($F303&lt;&gt;"", XLOOKUP($F303,Productos!$A$2:$A1001,Productos!E$2:E1001,"")*$G303,"")</f>
        <v/>
      </c>
      <c r="M303" s="179" t="str">
        <f t="array" ref="M303">IF($F303&lt;&gt;"",XLOOKUP($F303,Productos!$A:$A,Productos!F:F,"Revisar"),"")</f>
        <v/>
      </c>
      <c r="N303" s="179" t="str">
        <f t="array" ref="N303">IF($F303&lt;&gt;"", XLOOKUP($F303,Productos!$A$2:$A1001,Productos!G$2:G1001,"")*$G303,"")</f>
        <v/>
      </c>
      <c r="O303" s="179" t="str">
        <f t="array" ref="O303">IF($F303&lt;&gt;"",XLOOKUP($F303,Productos!$A:$A,Productos!H:H,"Revisar"),"")</f>
        <v/>
      </c>
      <c r="P303" s="179" t="str">
        <f t="array" ref="P303">IF($F303&lt;&gt;"", XLOOKUP($F303,Productos!$A$2:$A1001,Productos!I$2:I1001,"")*$G303,"")</f>
        <v/>
      </c>
      <c r="Q303" s="179" t="str">
        <f t="array" ref="Q303">IF($F303&lt;&gt;"",XLOOKUP($F303,Productos!$A:$A,Productos!J:J,"Revisar"),"")</f>
        <v/>
      </c>
      <c r="R303" s="179" t="str">
        <f t="array" ref="R303">IF($F303&lt;&gt;"", XLOOKUP($F303,Productos!$A$2:$A1001,Productos!K$2:K1001,"")*$G303,"")</f>
        <v/>
      </c>
      <c r="S303" s="179" t="str">
        <f t="array" ref="S303">IF($F303&lt;&gt;"",XLOOKUP($F303,Productos!$A:$A,Productos!L:L,"Revisar"),"")</f>
        <v/>
      </c>
      <c r="T303" s="179" t="str">
        <f t="array" ref="T303">IF($F303&lt;&gt;"", XLOOKUP($F303,Productos!$A$2:$A1001,Productos!M$2:M1001,"")*$G303,"")</f>
        <v/>
      </c>
      <c r="U303" s="179" t="str">
        <f t="array" ref="U303">IF($F303&lt;&gt;"",XLOOKUP($F303,Productos!$A:$A,Productos!N:N,"Revisar"),"")</f>
        <v/>
      </c>
      <c r="V303" s="179" t="str">
        <f t="array" ref="V303">IF($F303&lt;&gt;"", XLOOKUP($F303,Productos!$A$2:$A1001,Productos!O$2:O1001,"")*$G303,"")</f>
        <v/>
      </c>
      <c r="W303" s="179" t="str">
        <f t="array" ref="W303">IF($F303&lt;&gt;"",XLOOKUP($F303,Productos!$A:$A,Productos!P:P,"Revisar"),"")</f>
        <v/>
      </c>
      <c r="X303" s="179" t="str">
        <f t="array" ref="X303">IF($F303&lt;&gt;"", XLOOKUP($F303,Productos!$A$2:$A1001,Productos!Q$2:Q1001,"")*$G303,"")</f>
        <v/>
      </c>
      <c r="Y303" s="179" t="str">
        <f t="array" ref="Y303">IF($F303&lt;&gt;"",XLOOKUP($F303,Productos!$A:$A,Productos!R:R,"Revisar"),"")</f>
        <v/>
      </c>
      <c r="Z303" s="179" t="str">
        <f t="array" ref="Z303">IF($F303&lt;&gt;"", XLOOKUP($F303,Productos!$A$2:$A1001,Productos!S$2:S1001,"")*$G303,"")</f>
        <v/>
      </c>
      <c r="AA303" s="179" t="str">
        <f t="array" ref="AA303">IF($F303&lt;&gt;"",XLOOKUP($F303,Productos!$A:$A,Productos!T:T,"Revisar"),"")</f>
        <v/>
      </c>
      <c r="AB303" s="179" t="str">
        <f t="array" ref="AB303">IF($F303&lt;&gt;"", XLOOKUP($F303,Productos!$A$2:$A1001,Productos!U$2:U1001,"")*$G303,"")</f>
        <v/>
      </c>
      <c r="AC303" s="179" t="str">
        <f t="array" ref="AC303">IF($F303&lt;&gt;"",XLOOKUP($F303,Productos!$A:$A,Productos!V:V,"Revisar"),"")</f>
        <v/>
      </c>
      <c r="AD303" s="179" t="str">
        <f t="array" ref="AD303">IF($F303&lt;&gt;"", XLOOKUP($F303,Productos!$A$2:$A1001,Productos!W$2:W1001,"")*$G303,"")</f>
        <v/>
      </c>
      <c r="AE303" s="179" t="str">
        <f t="array" ref="AE303">IF($F303&lt;&gt;"",XLOOKUP($F303,Productos!$A:$A,Productos!X:X,"Revisar"),"")</f>
        <v/>
      </c>
      <c r="AF303" s="179" t="str">
        <f t="array" ref="AF303">IF($F303&lt;&gt;"", XLOOKUP($F303,Productos!$A$2:$A1001,Productos!Y$2:Y1001,"")*$G303,"")</f>
        <v/>
      </c>
      <c r="AG303" s="179" t="str">
        <f t="array" ref="AG303">IF($F303&lt;&gt;"",XLOOKUP($F303,Productos!$A:$A,Productos!Z:Z,"Revisar"),"")</f>
        <v/>
      </c>
      <c r="AH303" s="179" t="str">
        <f t="array" ref="AH303">IF($F303&lt;&gt;"", XLOOKUP($F303,Productos!$A$2:$A1001,Productos!AA$2:AA1001,"")*$G303,"")</f>
        <v/>
      </c>
      <c r="AI303" s="179" t="str">
        <f t="array" ref="AI303">IF($F303&lt;&gt;"",XLOOKUP($F303,Productos!$A:$A,Productos!AB:AB,"Revisar"),"")</f>
        <v/>
      </c>
      <c r="AJ303" s="179" t="str">
        <f t="array" ref="AJ303">IF($F303&lt;&gt;"", XLOOKUP($F303,Productos!$A$2:$A1001,Productos!AC$2:AC1001,"")*$G303,"")</f>
        <v/>
      </c>
      <c r="AK303" s="179" t="str">
        <f t="array" ref="AK303">IF($F303&lt;&gt;"",XLOOKUP($F303,Productos!$A:$A,Productos!AD:AD,"Revisar"),"")</f>
        <v/>
      </c>
      <c r="AL303" s="179" t="str">
        <f t="array" ref="AL303">IF($F303&lt;&gt;"", XLOOKUP($F303,Productos!$A$2:$A1001,Productos!AE$2:AE1001,"")*$G303,"")</f>
        <v/>
      </c>
      <c r="AM303" s="179" t="str">
        <f t="array" ref="AM303">IF($F303&lt;&gt;"",XLOOKUP($F303,Productos!$A:$A,Productos!AF:AF,"Revisar"),"")</f>
        <v/>
      </c>
      <c r="AN303" s="179" t="str">
        <f t="array" ref="AN303">IF($F303&lt;&gt;"", XLOOKUP($F303,Productos!$A$2:$A1001,Productos!AG$2:AG1001,"")*$G303,"")</f>
        <v/>
      </c>
      <c r="AO303" s="179" t="str">
        <f t="array" ref="AO303">IF($F303&lt;&gt;"",XLOOKUP($F303,Productos!$A:$A,Productos!AH:AH,"Revisar"),"")</f>
        <v/>
      </c>
      <c r="AP303" s="179" t="str">
        <f t="array" ref="AP303">IF($F303&lt;&gt;"", XLOOKUP($F303,Productos!$A$2:$A1001,Productos!AI$2:AI1001,"")*$G303,"")</f>
        <v/>
      </c>
      <c r="AQ303" s="179" t="str">
        <f t="array" ref="AQ303">IF($F303&lt;&gt;"",XLOOKUP($F303,Productos!$A:$A,Productos!AJ:AJ,"Revisar"),"")</f>
        <v/>
      </c>
      <c r="AR303" s="179" t="str">
        <f t="array" ref="AR303">IF($F303&lt;&gt;"", XLOOKUP($F303,Productos!$A$2:$A1001,Productos!AK$2:AK1001,"")*$G303,"")</f>
        <v/>
      </c>
      <c r="AS303" s="179" t="str">
        <f t="array" ref="AS303">IF($F303&lt;&gt;"",XLOOKUP($F303,Productos!$A:$A,Productos!AL:AL,"Revisar"),"")</f>
        <v/>
      </c>
      <c r="AT303" s="179" t="str">
        <f t="array" ref="AT303">IF($F303&lt;&gt;"", XLOOKUP($F303,Productos!$A$2:$A1001,Productos!AM$2:AM1001,"")*$G303,"")</f>
        <v/>
      </c>
      <c r="AU303" s="179" t="str">
        <f t="array" ref="AU303">IF($F303&lt;&gt;"",XLOOKUP($F303,Productos!$A:$A,Productos!AN:AN,"Revisar"),"")</f>
        <v/>
      </c>
      <c r="AV303" s="179" t="str">
        <f t="array" ref="AV303">IF($F303&lt;&gt;"", XLOOKUP($F303,Productos!$A$2:$A1001,Productos!AO$2:AO1001,"")*$G303,"")</f>
        <v/>
      </c>
      <c r="AW303" s="179" t="str">
        <f t="array" ref="AW303">IF($F303&lt;&gt;"",XLOOKUP($F303,Productos!$A:$A,Productos!AP:AP,"Revisar"),"")</f>
        <v/>
      </c>
      <c r="AX303" s="179" t="str">
        <f t="array" ref="AX303">IF($F303&lt;&gt;"", XLOOKUP($F303,Productos!$A$2:$A1001,Productos!AQ$2:AQ1001,"")*$G303,"")</f>
        <v/>
      </c>
      <c r="AY303" s="179" t="str">
        <f t="array" ref="AY303">IF($F303&lt;&gt;"",XLOOKUP($F303,Productos!$A:$A,Productos!AR:AR,"Revisar"),"")</f>
        <v/>
      </c>
      <c r="AZ303" s="179" t="str">
        <f t="array" ref="AZ303">IF($F303&lt;&gt;"", XLOOKUP($F303,Productos!$A$2:$A1001,Productos!AS$2:AS1001,"")*$G303,"")</f>
        <v/>
      </c>
      <c r="BA303" s="179" t="str">
        <f t="array" ref="BA303">IF($F303&lt;&gt;"",XLOOKUP($F303,Productos!$A:$A,Productos!AT:AT,"Revisar"),"")</f>
        <v/>
      </c>
      <c r="BB303" s="179" t="str">
        <f t="array" ref="BB303">IF($F303&lt;&gt;"", XLOOKUP($F303,Productos!$A$2:$A1001,Productos!AU$2:AU1001,"")*$G303,"")</f>
        <v/>
      </c>
      <c r="BC303" s="179" t="str">
        <f t="array" ref="BC303">IF($F303&lt;&gt;"",XLOOKUP($F303,Productos!$A:$A,Productos!AV:AV,"Revisar"),"")</f>
        <v/>
      </c>
      <c r="BD303" s="179" t="str">
        <f t="array" ref="BD303">IF($F303&lt;&gt;"", XLOOKUP($F303,Productos!$A$2:$A1001,Productos!AW$2:AW1001,"")*$G303,"")</f>
        <v/>
      </c>
      <c r="BE303" s="179" t="str">
        <f t="array" ref="BE303">IF($F303&lt;&gt;"",XLOOKUP($F303,Productos!$A:$A,Productos!AX:AX,"Revisar"),"")</f>
        <v/>
      </c>
      <c r="BF303" s="179" t="str">
        <f t="array" ref="BF303">IF($F303&lt;&gt;"", XLOOKUP($F303,Productos!$A$2:$A1001,Productos!AY$2:AY1001,"")*$G303,"")</f>
        <v/>
      </c>
      <c r="BG303" s="179" t="str">
        <f t="array" ref="BG303">IF($F303&lt;&gt;"",XLOOKUP($F303,Productos!$A:$A,Productos!AZ:AZ,"Revisar"),"")</f>
        <v/>
      </c>
      <c r="BH303" s="179" t="str">
        <f t="array" ref="BH303">IF($F303&lt;&gt;"", XLOOKUP($F303,Productos!$A$2:$A1001,Productos!BA$2:BA1001,"")*$G303,"")</f>
        <v/>
      </c>
      <c r="BI303" s="179" t="str">
        <f t="array" ref="BI303">IF($F303&lt;&gt;"",XLOOKUP($F303,Productos!$A:$A,Productos!BB:BB,"Revisar"),"")</f>
        <v/>
      </c>
      <c r="BJ303" s="179" t="str">
        <f t="array" ref="BJ303">IF($F303&lt;&gt;"", XLOOKUP($F303,Productos!$A$2:$A1001,Productos!BC$2:BC1001,"")*$G303,"")</f>
        <v/>
      </c>
      <c r="BK303" s="179" t="str">
        <f t="array" ref="BK303">IF($F303&lt;&gt;"",XLOOKUP($F303,Productos!$A:$A,Productos!BD:BD,"Revisar"),"")</f>
        <v/>
      </c>
      <c r="BL303" s="179" t="str">
        <f t="array" ref="BL303">IF($F303&lt;&gt;"", XLOOKUP($F303,Productos!$A$2:$A1001,Productos!BE$2:BE1001,"")*$G303,"")</f>
        <v/>
      </c>
      <c r="BM303" s="179" t="str">
        <f t="array" ref="BM303">IF($F303&lt;&gt;"",XLOOKUP($F303,Productos!$A:$A,Productos!BF:BF,"Revisar"),"")</f>
        <v/>
      </c>
      <c r="BN303" s="179" t="str">
        <f t="array" ref="BN303">IF($F303&lt;&gt;"", XLOOKUP($F303,Productos!$A$2:$A1001,Productos!BG$2:BG1001,"")*$G303,"")</f>
        <v/>
      </c>
      <c r="BO303" s="179" t="str">
        <f t="array" ref="BO303">IF($F303&lt;&gt;"",XLOOKUP($F303,Productos!$A:$A,Productos!BH:BH,"Revisar"),"")</f>
        <v/>
      </c>
      <c r="BP303" s="179" t="str">
        <f t="array" ref="BP303">IF($F303&lt;&gt;"", XLOOKUP($F303,Productos!$A$2:$A1001,Productos!BI$2:BI1001,"")*$G303,"")</f>
        <v/>
      </c>
      <c r="BQ303" s="179" t="str">
        <f t="array" ref="BQ303">IF($F303&lt;&gt;"",XLOOKUP($F303,Productos!$A:$A,Productos!BJ:BJ,"Revisar"),"")</f>
        <v/>
      </c>
      <c r="BR303" s="179" t="str">
        <f t="array" ref="BR303">IF($F303&lt;&gt;"", XLOOKUP($F303,Productos!$A$2:$A1001,Productos!BK$2:BK1001,"")*$G303,"")</f>
        <v/>
      </c>
      <c r="BS303" s="179" t="str">
        <f t="array" ref="BS303">IF($F303&lt;&gt;"",XLOOKUP($F303,Productos!$A:$A,Productos!BL:BL,"Revisar"),"")</f>
        <v/>
      </c>
      <c r="BT303" s="179" t="str">
        <f t="array" ref="BT303">IF($F303&lt;&gt;"", XLOOKUP($F303,Productos!$A$2:$A1001,Productos!BM$2:BM1001,"")*$G303,"")</f>
        <v/>
      </c>
      <c r="BU303" s="179" t="str">
        <f t="array" ref="BU303">IF($F303&lt;&gt;"",XLOOKUP($F303,Productos!$A:$A,Productos!BN:BN,"Revisar"),"")</f>
        <v/>
      </c>
      <c r="BV303" s="179" t="str">
        <f t="array" ref="BV303">IF($F303&lt;&gt;"", XLOOKUP($F303,Productos!$A$2:$A1001,Productos!BO$2:BO1001,"")*$G303,"")</f>
        <v/>
      </c>
      <c r="BW303" s="179" t="str">
        <f t="array" ref="BW303">IF($F303&lt;&gt;"",XLOOKUP($F303,Productos!$A:$A,Productos!BP:BP,"Revisar"),"")</f>
        <v/>
      </c>
      <c r="BX303" s="179" t="str">
        <f t="array" ref="BX303">IF($F303&lt;&gt;"", XLOOKUP($F303,Productos!$A$2:$A1001,Productos!BQ$2:BQ1001,"")*$G303,"")</f>
        <v/>
      </c>
      <c r="BY303" s="179" t="str">
        <f t="array" ref="BY303">IF($F303&lt;&gt;"",XLOOKUP($F303,Productos!$A:$A,Productos!BR:BR,"Revisar"),"")</f>
        <v/>
      </c>
      <c r="BZ303" s="179" t="str">
        <f t="array" ref="BZ303">IF($F303&lt;&gt;"", XLOOKUP($F303,Productos!$A$2:$A1001,Productos!BS$2:BS1001,"")*$G303,"")</f>
        <v/>
      </c>
    </row>
    <row r="304">
      <c r="A304" s="180"/>
      <c r="B304" s="181"/>
      <c r="C304" s="182"/>
      <c r="D304" s="182"/>
      <c r="E304" s="185"/>
      <c r="F304" s="186"/>
      <c r="G304" s="187"/>
      <c r="H304" s="186"/>
      <c r="I304" s="179" t="str">
        <f t="array" ref="I304">IF($F304&lt;&gt;"",XLOOKUP($F304,Productos!$A:$A,Productos!B:B,"Revisar"),"")</f>
        <v/>
      </c>
      <c r="J304" s="179" t="str">
        <f t="array" ref="J304">IF($F304&lt;&gt;"", XLOOKUP($F304,Productos!$A$2:$A1001,Productos!C$2:C1001,"")*$G304,"")</f>
        <v/>
      </c>
      <c r="K304" s="179" t="str">
        <f t="array" ref="K304">IF($F304&lt;&gt;"",XLOOKUP($F304,Productos!$A:$A,Productos!D:D,"Revisar"),"")</f>
        <v/>
      </c>
      <c r="L304" s="179" t="str">
        <f t="array" ref="L304">IF($F304&lt;&gt;"", XLOOKUP($F304,Productos!$A$2:$A1001,Productos!E$2:E1001,"")*$G304,"")</f>
        <v/>
      </c>
      <c r="M304" s="179" t="str">
        <f t="array" ref="M304">IF($F304&lt;&gt;"",XLOOKUP($F304,Productos!$A:$A,Productos!F:F,"Revisar"),"")</f>
        <v/>
      </c>
      <c r="N304" s="179" t="str">
        <f t="array" ref="N304">IF($F304&lt;&gt;"", XLOOKUP($F304,Productos!$A$2:$A1001,Productos!G$2:G1001,"")*$G304,"")</f>
        <v/>
      </c>
      <c r="O304" s="179" t="str">
        <f t="array" ref="O304">IF($F304&lt;&gt;"",XLOOKUP($F304,Productos!$A:$A,Productos!H:H,"Revisar"),"")</f>
        <v/>
      </c>
      <c r="P304" s="179" t="str">
        <f t="array" ref="P304">IF($F304&lt;&gt;"", XLOOKUP($F304,Productos!$A$2:$A1001,Productos!I$2:I1001,"")*$G304,"")</f>
        <v/>
      </c>
      <c r="Q304" s="179" t="str">
        <f t="array" ref="Q304">IF($F304&lt;&gt;"",XLOOKUP($F304,Productos!$A:$A,Productos!J:J,"Revisar"),"")</f>
        <v/>
      </c>
      <c r="R304" s="179" t="str">
        <f t="array" ref="R304">IF($F304&lt;&gt;"", XLOOKUP($F304,Productos!$A$2:$A1001,Productos!K$2:K1001,"")*$G304,"")</f>
        <v/>
      </c>
      <c r="S304" s="179" t="str">
        <f t="array" ref="S304">IF($F304&lt;&gt;"",XLOOKUP($F304,Productos!$A:$A,Productos!L:L,"Revisar"),"")</f>
        <v/>
      </c>
      <c r="T304" s="179" t="str">
        <f t="array" ref="T304">IF($F304&lt;&gt;"", XLOOKUP($F304,Productos!$A$2:$A1001,Productos!M$2:M1001,"")*$G304,"")</f>
        <v/>
      </c>
      <c r="U304" s="179" t="str">
        <f t="array" ref="U304">IF($F304&lt;&gt;"",XLOOKUP($F304,Productos!$A:$A,Productos!N:N,"Revisar"),"")</f>
        <v/>
      </c>
      <c r="V304" s="179" t="str">
        <f t="array" ref="V304">IF($F304&lt;&gt;"", XLOOKUP($F304,Productos!$A$2:$A1001,Productos!O$2:O1001,"")*$G304,"")</f>
        <v/>
      </c>
      <c r="W304" s="179" t="str">
        <f t="array" ref="W304">IF($F304&lt;&gt;"",XLOOKUP($F304,Productos!$A:$A,Productos!P:P,"Revisar"),"")</f>
        <v/>
      </c>
      <c r="X304" s="179" t="str">
        <f t="array" ref="X304">IF($F304&lt;&gt;"", XLOOKUP($F304,Productos!$A$2:$A1001,Productos!Q$2:Q1001,"")*$G304,"")</f>
        <v/>
      </c>
      <c r="Y304" s="179" t="str">
        <f t="array" ref="Y304">IF($F304&lt;&gt;"",XLOOKUP($F304,Productos!$A:$A,Productos!R:R,"Revisar"),"")</f>
        <v/>
      </c>
      <c r="Z304" s="179" t="str">
        <f t="array" ref="Z304">IF($F304&lt;&gt;"", XLOOKUP($F304,Productos!$A$2:$A1001,Productos!S$2:S1001,"")*$G304,"")</f>
        <v/>
      </c>
      <c r="AA304" s="179" t="str">
        <f t="array" ref="AA304">IF($F304&lt;&gt;"",XLOOKUP($F304,Productos!$A:$A,Productos!T:T,"Revisar"),"")</f>
        <v/>
      </c>
      <c r="AB304" s="179" t="str">
        <f t="array" ref="AB304">IF($F304&lt;&gt;"", XLOOKUP($F304,Productos!$A$2:$A1001,Productos!U$2:U1001,"")*$G304,"")</f>
        <v/>
      </c>
      <c r="AC304" s="179" t="str">
        <f t="array" ref="AC304">IF($F304&lt;&gt;"",XLOOKUP($F304,Productos!$A:$A,Productos!V:V,"Revisar"),"")</f>
        <v/>
      </c>
      <c r="AD304" s="179" t="str">
        <f t="array" ref="AD304">IF($F304&lt;&gt;"", XLOOKUP($F304,Productos!$A$2:$A1001,Productos!W$2:W1001,"")*$G304,"")</f>
        <v/>
      </c>
      <c r="AE304" s="179" t="str">
        <f t="array" ref="AE304">IF($F304&lt;&gt;"",XLOOKUP($F304,Productos!$A:$A,Productos!X:X,"Revisar"),"")</f>
        <v/>
      </c>
      <c r="AF304" s="179" t="str">
        <f t="array" ref="AF304">IF($F304&lt;&gt;"", XLOOKUP($F304,Productos!$A$2:$A1001,Productos!Y$2:Y1001,"")*$G304,"")</f>
        <v/>
      </c>
      <c r="AG304" s="179" t="str">
        <f t="array" ref="AG304">IF($F304&lt;&gt;"",XLOOKUP($F304,Productos!$A:$A,Productos!Z:Z,"Revisar"),"")</f>
        <v/>
      </c>
      <c r="AH304" s="179" t="str">
        <f t="array" ref="AH304">IF($F304&lt;&gt;"", XLOOKUP($F304,Productos!$A$2:$A1001,Productos!AA$2:AA1001,"")*$G304,"")</f>
        <v/>
      </c>
      <c r="AI304" s="179" t="str">
        <f t="array" ref="AI304">IF($F304&lt;&gt;"",XLOOKUP($F304,Productos!$A:$A,Productos!AB:AB,"Revisar"),"")</f>
        <v/>
      </c>
      <c r="AJ304" s="179" t="str">
        <f t="array" ref="AJ304">IF($F304&lt;&gt;"", XLOOKUP($F304,Productos!$A$2:$A1001,Productos!AC$2:AC1001,"")*$G304,"")</f>
        <v/>
      </c>
      <c r="AK304" s="179" t="str">
        <f t="array" ref="AK304">IF($F304&lt;&gt;"",XLOOKUP($F304,Productos!$A:$A,Productos!AD:AD,"Revisar"),"")</f>
        <v/>
      </c>
      <c r="AL304" s="179" t="str">
        <f t="array" ref="AL304">IF($F304&lt;&gt;"", XLOOKUP($F304,Productos!$A$2:$A1001,Productos!AE$2:AE1001,"")*$G304,"")</f>
        <v/>
      </c>
      <c r="AM304" s="179" t="str">
        <f t="array" ref="AM304">IF($F304&lt;&gt;"",XLOOKUP($F304,Productos!$A:$A,Productos!AF:AF,"Revisar"),"")</f>
        <v/>
      </c>
      <c r="AN304" s="179" t="str">
        <f t="array" ref="AN304">IF($F304&lt;&gt;"", XLOOKUP($F304,Productos!$A$2:$A1001,Productos!AG$2:AG1001,"")*$G304,"")</f>
        <v/>
      </c>
      <c r="AO304" s="179" t="str">
        <f t="array" ref="AO304">IF($F304&lt;&gt;"",XLOOKUP($F304,Productos!$A:$A,Productos!AH:AH,"Revisar"),"")</f>
        <v/>
      </c>
      <c r="AP304" s="179" t="str">
        <f t="array" ref="AP304">IF($F304&lt;&gt;"", XLOOKUP($F304,Productos!$A$2:$A1001,Productos!AI$2:AI1001,"")*$G304,"")</f>
        <v/>
      </c>
      <c r="AQ304" s="179" t="str">
        <f t="array" ref="AQ304">IF($F304&lt;&gt;"",XLOOKUP($F304,Productos!$A:$A,Productos!AJ:AJ,"Revisar"),"")</f>
        <v/>
      </c>
      <c r="AR304" s="179" t="str">
        <f t="array" ref="AR304">IF($F304&lt;&gt;"", XLOOKUP($F304,Productos!$A$2:$A1001,Productos!AK$2:AK1001,"")*$G304,"")</f>
        <v/>
      </c>
      <c r="AS304" s="179" t="str">
        <f t="array" ref="AS304">IF($F304&lt;&gt;"",XLOOKUP($F304,Productos!$A:$A,Productos!AL:AL,"Revisar"),"")</f>
        <v/>
      </c>
      <c r="AT304" s="179" t="str">
        <f t="array" ref="AT304">IF($F304&lt;&gt;"", XLOOKUP($F304,Productos!$A$2:$A1001,Productos!AM$2:AM1001,"")*$G304,"")</f>
        <v/>
      </c>
      <c r="AU304" s="179" t="str">
        <f t="array" ref="AU304">IF($F304&lt;&gt;"",XLOOKUP($F304,Productos!$A:$A,Productos!AN:AN,"Revisar"),"")</f>
        <v/>
      </c>
      <c r="AV304" s="179" t="str">
        <f t="array" ref="AV304">IF($F304&lt;&gt;"", XLOOKUP($F304,Productos!$A$2:$A1001,Productos!AO$2:AO1001,"")*$G304,"")</f>
        <v/>
      </c>
      <c r="AW304" s="179" t="str">
        <f t="array" ref="AW304">IF($F304&lt;&gt;"",XLOOKUP($F304,Productos!$A:$A,Productos!AP:AP,"Revisar"),"")</f>
        <v/>
      </c>
      <c r="AX304" s="179" t="str">
        <f t="array" ref="AX304">IF($F304&lt;&gt;"", XLOOKUP($F304,Productos!$A$2:$A1001,Productos!AQ$2:AQ1001,"")*$G304,"")</f>
        <v/>
      </c>
      <c r="AY304" s="179" t="str">
        <f t="array" ref="AY304">IF($F304&lt;&gt;"",XLOOKUP($F304,Productos!$A:$A,Productos!AR:AR,"Revisar"),"")</f>
        <v/>
      </c>
      <c r="AZ304" s="179" t="str">
        <f t="array" ref="AZ304">IF($F304&lt;&gt;"", XLOOKUP($F304,Productos!$A$2:$A1001,Productos!AS$2:AS1001,"")*$G304,"")</f>
        <v/>
      </c>
      <c r="BA304" s="179" t="str">
        <f t="array" ref="BA304">IF($F304&lt;&gt;"",XLOOKUP($F304,Productos!$A:$A,Productos!AT:AT,"Revisar"),"")</f>
        <v/>
      </c>
      <c r="BB304" s="179" t="str">
        <f t="array" ref="BB304">IF($F304&lt;&gt;"", XLOOKUP($F304,Productos!$A$2:$A1001,Productos!AU$2:AU1001,"")*$G304,"")</f>
        <v/>
      </c>
      <c r="BC304" s="179" t="str">
        <f t="array" ref="BC304">IF($F304&lt;&gt;"",XLOOKUP($F304,Productos!$A:$A,Productos!AV:AV,"Revisar"),"")</f>
        <v/>
      </c>
      <c r="BD304" s="179" t="str">
        <f t="array" ref="BD304">IF($F304&lt;&gt;"", XLOOKUP($F304,Productos!$A$2:$A1001,Productos!AW$2:AW1001,"")*$G304,"")</f>
        <v/>
      </c>
      <c r="BE304" s="179" t="str">
        <f t="array" ref="BE304">IF($F304&lt;&gt;"",XLOOKUP($F304,Productos!$A:$A,Productos!AX:AX,"Revisar"),"")</f>
        <v/>
      </c>
      <c r="BF304" s="179" t="str">
        <f t="array" ref="BF304">IF($F304&lt;&gt;"", XLOOKUP($F304,Productos!$A$2:$A1001,Productos!AY$2:AY1001,"")*$G304,"")</f>
        <v/>
      </c>
      <c r="BG304" s="179" t="str">
        <f t="array" ref="BG304">IF($F304&lt;&gt;"",XLOOKUP($F304,Productos!$A:$A,Productos!AZ:AZ,"Revisar"),"")</f>
        <v/>
      </c>
      <c r="BH304" s="179" t="str">
        <f t="array" ref="BH304">IF($F304&lt;&gt;"", XLOOKUP($F304,Productos!$A$2:$A1001,Productos!BA$2:BA1001,"")*$G304,"")</f>
        <v/>
      </c>
      <c r="BI304" s="179" t="str">
        <f t="array" ref="BI304">IF($F304&lt;&gt;"",XLOOKUP($F304,Productos!$A:$A,Productos!BB:BB,"Revisar"),"")</f>
        <v/>
      </c>
      <c r="BJ304" s="179" t="str">
        <f t="array" ref="BJ304">IF($F304&lt;&gt;"", XLOOKUP($F304,Productos!$A$2:$A1001,Productos!BC$2:BC1001,"")*$G304,"")</f>
        <v/>
      </c>
      <c r="BK304" s="179" t="str">
        <f t="array" ref="BK304">IF($F304&lt;&gt;"",XLOOKUP($F304,Productos!$A:$A,Productos!BD:BD,"Revisar"),"")</f>
        <v/>
      </c>
      <c r="BL304" s="179" t="str">
        <f t="array" ref="BL304">IF($F304&lt;&gt;"", XLOOKUP($F304,Productos!$A$2:$A1001,Productos!BE$2:BE1001,"")*$G304,"")</f>
        <v/>
      </c>
      <c r="BM304" s="179" t="str">
        <f t="array" ref="BM304">IF($F304&lt;&gt;"",XLOOKUP($F304,Productos!$A:$A,Productos!BF:BF,"Revisar"),"")</f>
        <v/>
      </c>
      <c r="BN304" s="179" t="str">
        <f t="array" ref="BN304">IF($F304&lt;&gt;"", XLOOKUP($F304,Productos!$A$2:$A1001,Productos!BG$2:BG1001,"")*$G304,"")</f>
        <v/>
      </c>
      <c r="BO304" s="179" t="str">
        <f t="array" ref="BO304">IF($F304&lt;&gt;"",XLOOKUP($F304,Productos!$A:$A,Productos!BH:BH,"Revisar"),"")</f>
        <v/>
      </c>
      <c r="BP304" s="179" t="str">
        <f t="array" ref="BP304">IF($F304&lt;&gt;"", XLOOKUP($F304,Productos!$A$2:$A1001,Productos!BI$2:BI1001,"")*$G304,"")</f>
        <v/>
      </c>
      <c r="BQ304" s="179" t="str">
        <f t="array" ref="BQ304">IF($F304&lt;&gt;"",XLOOKUP($F304,Productos!$A:$A,Productos!BJ:BJ,"Revisar"),"")</f>
        <v/>
      </c>
      <c r="BR304" s="179" t="str">
        <f t="array" ref="BR304">IF($F304&lt;&gt;"", XLOOKUP($F304,Productos!$A$2:$A1001,Productos!BK$2:BK1001,"")*$G304,"")</f>
        <v/>
      </c>
      <c r="BS304" s="179" t="str">
        <f t="array" ref="BS304">IF($F304&lt;&gt;"",XLOOKUP($F304,Productos!$A:$A,Productos!BL:BL,"Revisar"),"")</f>
        <v/>
      </c>
      <c r="BT304" s="179" t="str">
        <f t="array" ref="BT304">IF($F304&lt;&gt;"", XLOOKUP($F304,Productos!$A$2:$A1001,Productos!BM$2:BM1001,"")*$G304,"")</f>
        <v/>
      </c>
      <c r="BU304" s="179" t="str">
        <f t="array" ref="BU304">IF($F304&lt;&gt;"",XLOOKUP($F304,Productos!$A:$A,Productos!BN:BN,"Revisar"),"")</f>
        <v/>
      </c>
      <c r="BV304" s="179" t="str">
        <f t="array" ref="BV304">IF($F304&lt;&gt;"", XLOOKUP($F304,Productos!$A$2:$A1001,Productos!BO$2:BO1001,"")*$G304,"")</f>
        <v/>
      </c>
      <c r="BW304" s="179" t="str">
        <f t="array" ref="BW304">IF($F304&lt;&gt;"",XLOOKUP($F304,Productos!$A:$A,Productos!BP:BP,"Revisar"),"")</f>
        <v/>
      </c>
      <c r="BX304" s="179" t="str">
        <f t="array" ref="BX304">IF($F304&lt;&gt;"", XLOOKUP($F304,Productos!$A$2:$A1001,Productos!BQ$2:BQ1001,"")*$G304,"")</f>
        <v/>
      </c>
      <c r="BY304" s="179" t="str">
        <f t="array" ref="BY304">IF($F304&lt;&gt;"",XLOOKUP($F304,Productos!$A:$A,Productos!BR:BR,"Revisar"),"")</f>
        <v/>
      </c>
      <c r="BZ304" s="179" t="str">
        <f t="array" ref="BZ304">IF($F304&lt;&gt;"", XLOOKUP($F304,Productos!$A$2:$A1001,Productos!BS$2:BS1001,"")*$G304,"")</f>
        <v/>
      </c>
    </row>
    <row r="305">
      <c r="A305" s="180"/>
      <c r="B305" s="181"/>
      <c r="C305" s="182"/>
      <c r="D305" s="182"/>
      <c r="E305" s="185"/>
      <c r="F305" s="186"/>
      <c r="G305" s="187"/>
      <c r="H305" s="186"/>
      <c r="I305" s="179" t="str">
        <f t="array" ref="I305">IF($F305&lt;&gt;"",XLOOKUP($F305,Productos!$A:$A,Productos!B:B,"Revisar"),"")</f>
        <v/>
      </c>
      <c r="J305" s="179" t="str">
        <f t="array" ref="J305">IF($F305&lt;&gt;"", XLOOKUP($F305,Productos!$A$2:$A1001,Productos!C$2:C1001,"")*$G305,"")</f>
        <v/>
      </c>
      <c r="K305" s="179" t="str">
        <f t="array" ref="K305">IF($F305&lt;&gt;"",XLOOKUP($F305,Productos!$A:$A,Productos!D:D,"Revisar"),"")</f>
        <v/>
      </c>
      <c r="L305" s="179" t="str">
        <f t="array" ref="L305">IF($F305&lt;&gt;"", XLOOKUP($F305,Productos!$A$2:$A1001,Productos!E$2:E1001,"")*$G305,"")</f>
        <v/>
      </c>
      <c r="M305" s="179" t="str">
        <f t="array" ref="M305">IF($F305&lt;&gt;"",XLOOKUP($F305,Productos!$A:$A,Productos!F:F,"Revisar"),"")</f>
        <v/>
      </c>
      <c r="N305" s="179" t="str">
        <f t="array" ref="N305">IF($F305&lt;&gt;"", XLOOKUP($F305,Productos!$A$2:$A1001,Productos!G$2:G1001,"")*$G305,"")</f>
        <v/>
      </c>
      <c r="O305" s="179" t="str">
        <f t="array" ref="O305">IF($F305&lt;&gt;"",XLOOKUP($F305,Productos!$A:$A,Productos!H:H,"Revisar"),"")</f>
        <v/>
      </c>
      <c r="P305" s="179" t="str">
        <f t="array" ref="P305">IF($F305&lt;&gt;"", XLOOKUP($F305,Productos!$A$2:$A1001,Productos!I$2:I1001,"")*$G305,"")</f>
        <v/>
      </c>
      <c r="Q305" s="179" t="str">
        <f t="array" ref="Q305">IF($F305&lt;&gt;"",XLOOKUP($F305,Productos!$A:$A,Productos!J:J,"Revisar"),"")</f>
        <v/>
      </c>
      <c r="R305" s="179" t="str">
        <f t="array" ref="R305">IF($F305&lt;&gt;"", XLOOKUP($F305,Productos!$A$2:$A1001,Productos!K$2:K1001,"")*$G305,"")</f>
        <v/>
      </c>
      <c r="S305" s="179" t="str">
        <f t="array" ref="S305">IF($F305&lt;&gt;"",XLOOKUP($F305,Productos!$A:$A,Productos!L:L,"Revisar"),"")</f>
        <v/>
      </c>
      <c r="T305" s="179" t="str">
        <f t="array" ref="T305">IF($F305&lt;&gt;"", XLOOKUP($F305,Productos!$A$2:$A1001,Productos!M$2:M1001,"")*$G305,"")</f>
        <v/>
      </c>
      <c r="U305" s="179" t="str">
        <f t="array" ref="U305">IF($F305&lt;&gt;"",XLOOKUP($F305,Productos!$A:$A,Productos!N:N,"Revisar"),"")</f>
        <v/>
      </c>
      <c r="V305" s="179" t="str">
        <f t="array" ref="V305">IF($F305&lt;&gt;"", XLOOKUP($F305,Productos!$A$2:$A1001,Productos!O$2:O1001,"")*$G305,"")</f>
        <v/>
      </c>
      <c r="W305" s="179" t="str">
        <f t="array" ref="W305">IF($F305&lt;&gt;"",XLOOKUP($F305,Productos!$A:$A,Productos!P:P,"Revisar"),"")</f>
        <v/>
      </c>
      <c r="X305" s="179" t="str">
        <f t="array" ref="X305">IF($F305&lt;&gt;"", XLOOKUP($F305,Productos!$A$2:$A1001,Productos!Q$2:Q1001,"")*$G305,"")</f>
        <v/>
      </c>
      <c r="Y305" s="179" t="str">
        <f t="array" ref="Y305">IF($F305&lt;&gt;"",XLOOKUP($F305,Productos!$A:$A,Productos!R:R,"Revisar"),"")</f>
        <v/>
      </c>
      <c r="Z305" s="179" t="str">
        <f t="array" ref="Z305">IF($F305&lt;&gt;"", XLOOKUP($F305,Productos!$A$2:$A1001,Productos!S$2:S1001,"")*$G305,"")</f>
        <v/>
      </c>
      <c r="AA305" s="179" t="str">
        <f t="array" ref="AA305">IF($F305&lt;&gt;"",XLOOKUP($F305,Productos!$A:$A,Productos!T:T,"Revisar"),"")</f>
        <v/>
      </c>
      <c r="AB305" s="179" t="str">
        <f t="array" ref="AB305">IF($F305&lt;&gt;"", XLOOKUP($F305,Productos!$A$2:$A1001,Productos!U$2:U1001,"")*$G305,"")</f>
        <v/>
      </c>
      <c r="AC305" s="179" t="str">
        <f t="array" ref="AC305">IF($F305&lt;&gt;"",XLOOKUP($F305,Productos!$A:$A,Productos!V:V,"Revisar"),"")</f>
        <v/>
      </c>
      <c r="AD305" s="179" t="str">
        <f t="array" ref="AD305">IF($F305&lt;&gt;"", XLOOKUP($F305,Productos!$A$2:$A1001,Productos!W$2:W1001,"")*$G305,"")</f>
        <v/>
      </c>
      <c r="AE305" s="179" t="str">
        <f t="array" ref="AE305">IF($F305&lt;&gt;"",XLOOKUP($F305,Productos!$A:$A,Productos!X:X,"Revisar"),"")</f>
        <v/>
      </c>
      <c r="AF305" s="179" t="str">
        <f t="array" ref="AF305">IF($F305&lt;&gt;"", XLOOKUP($F305,Productos!$A$2:$A1001,Productos!Y$2:Y1001,"")*$G305,"")</f>
        <v/>
      </c>
      <c r="AG305" s="179" t="str">
        <f t="array" ref="AG305">IF($F305&lt;&gt;"",XLOOKUP($F305,Productos!$A:$A,Productos!Z:Z,"Revisar"),"")</f>
        <v/>
      </c>
      <c r="AH305" s="179" t="str">
        <f t="array" ref="AH305">IF($F305&lt;&gt;"", XLOOKUP($F305,Productos!$A$2:$A1001,Productos!AA$2:AA1001,"")*$G305,"")</f>
        <v/>
      </c>
      <c r="AI305" s="179" t="str">
        <f t="array" ref="AI305">IF($F305&lt;&gt;"",XLOOKUP($F305,Productos!$A:$A,Productos!AB:AB,"Revisar"),"")</f>
        <v/>
      </c>
      <c r="AJ305" s="179" t="str">
        <f t="array" ref="AJ305">IF($F305&lt;&gt;"", XLOOKUP($F305,Productos!$A$2:$A1001,Productos!AC$2:AC1001,"")*$G305,"")</f>
        <v/>
      </c>
      <c r="AK305" s="179" t="str">
        <f t="array" ref="AK305">IF($F305&lt;&gt;"",XLOOKUP($F305,Productos!$A:$A,Productos!AD:AD,"Revisar"),"")</f>
        <v/>
      </c>
      <c r="AL305" s="179" t="str">
        <f t="array" ref="AL305">IF($F305&lt;&gt;"", XLOOKUP($F305,Productos!$A$2:$A1001,Productos!AE$2:AE1001,"")*$G305,"")</f>
        <v/>
      </c>
      <c r="AM305" s="179" t="str">
        <f t="array" ref="AM305">IF($F305&lt;&gt;"",XLOOKUP($F305,Productos!$A:$A,Productos!AF:AF,"Revisar"),"")</f>
        <v/>
      </c>
      <c r="AN305" s="179" t="str">
        <f t="array" ref="AN305">IF($F305&lt;&gt;"", XLOOKUP($F305,Productos!$A$2:$A1001,Productos!AG$2:AG1001,"")*$G305,"")</f>
        <v/>
      </c>
      <c r="AO305" s="179" t="str">
        <f t="array" ref="AO305">IF($F305&lt;&gt;"",XLOOKUP($F305,Productos!$A:$A,Productos!AH:AH,"Revisar"),"")</f>
        <v/>
      </c>
      <c r="AP305" s="179" t="str">
        <f t="array" ref="AP305">IF($F305&lt;&gt;"", XLOOKUP($F305,Productos!$A$2:$A1001,Productos!AI$2:AI1001,"")*$G305,"")</f>
        <v/>
      </c>
      <c r="AQ305" s="179" t="str">
        <f t="array" ref="AQ305">IF($F305&lt;&gt;"",XLOOKUP($F305,Productos!$A:$A,Productos!AJ:AJ,"Revisar"),"")</f>
        <v/>
      </c>
      <c r="AR305" s="179" t="str">
        <f t="array" ref="AR305">IF($F305&lt;&gt;"", XLOOKUP($F305,Productos!$A$2:$A1001,Productos!AK$2:AK1001,"")*$G305,"")</f>
        <v/>
      </c>
      <c r="AS305" s="179" t="str">
        <f t="array" ref="AS305">IF($F305&lt;&gt;"",XLOOKUP($F305,Productos!$A:$A,Productos!AL:AL,"Revisar"),"")</f>
        <v/>
      </c>
      <c r="AT305" s="179" t="str">
        <f t="array" ref="AT305">IF($F305&lt;&gt;"", XLOOKUP($F305,Productos!$A$2:$A1001,Productos!AM$2:AM1001,"")*$G305,"")</f>
        <v/>
      </c>
      <c r="AU305" s="179" t="str">
        <f t="array" ref="AU305">IF($F305&lt;&gt;"",XLOOKUP($F305,Productos!$A:$A,Productos!AN:AN,"Revisar"),"")</f>
        <v/>
      </c>
      <c r="AV305" s="179" t="str">
        <f t="array" ref="AV305">IF($F305&lt;&gt;"", XLOOKUP($F305,Productos!$A$2:$A1001,Productos!AO$2:AO1001,"")*$G305,"")</f>
        <v/>
      </c>
      <c r="AW305" s="179" t="str">
        <f t="array" ref="AW305">IF($F305&lt;&gt;"",XLOOKUP($F305,Productos!$A:$A,Productos!AP:AP,"Revisar"),"")</f>
        <v/>
      </c>
      <c r="AX305" s="179" t="str">
        <f t="array" ref="AX305">IF($F305&lt;&gt;"", XLOOKUP($F305,Productos!$A$2:$A1001,Productos!AQ$2:AQ1001,"")*$G305,"")</f>
        <v/>
      </c>
      <c r="AY305" s="179" t="str">
        <f t="array" ref="AY305">IF($F305&lt;&gt;"",XLOOKUP($F305,Productos!$A:$A,Productos!AR:AR,"Revisar"),"")</f>
        <v/>
      </c>
      <c r="AZ305" s="179" t="str">
        <f t="array" ref="AZ305">IF($F305&lt;&gt;"", XLOOKUP($F305,Productos!$A$2:$A1001,Productos!AS$2:AS1001,"")*$G305,"")</f>
        <v/>
      </c>
      <c r="BA305" s="179" t="str">
        <f t="array" ref="BA305">IF($F305&lt;&gt;"",XLOOKUP($F305,Productos!$A:$A,Productos!AT:AT,"Revisar"),"")</f>
        <v/>
      </c>
      <c r="BB305" s="179" t="str">
        <f t="array" ref="BB305">IF($F305&lt;&gt;"", XLOOKUP($F305,Productos!$A$2:$A1001,Productos!AU$2:AU1001,"")*$G305,"")</f>
        <v/>
      </c>
      <c r="BC305" s="179" t="str">
        <f t="array" ref="BC305">IF($F305&lt;&gt;"",XLOOKUP($F305,Productos!$A:$A,Productos!AV:AV,"Revisar"),"")</f>
        <v/>
      </c>
      <c r="BD305" s="179" t="str">
        <f t="array" ref="BD305">IF($F305&lt;&gt;"", XLOOKUP($F305,Productos!$A$2:$A1001,Productos!AW$2:AW1001,"")*$G305,"")</f>
        <v/>
      </c>
      <c r="BE305" s="179" t="str">
        <f t="array" ref="BE305">IF($F305&lt;&gt;"",XLOOKUP($F305,Productos!$A:$A,Productos!AX:AX,"Revisar"),"")</f>
        <v/>
      </c>
      <c r="BF305" s="179" t="str">
        <f t="array" ref="BF305">IF($F305&lt;&gt;"", XLOOKUP($F305,Productos!$A$2:$A1001,Productos!AY$2:AY1001,"")*$G305,"")</f>
        <v/>
      </c>
      <c r="BG305" s="179" t="str">
        <f t="array" ref="BG305">IF($F305&lt;&gt;"",XLOOKUP($F305,Productos!$A:$A,Productos!AZ:AZ,"Revisar"),"")</f>
        <v/>
      </c>
      <c r="BH305" s="179" t="str">
        <f t="array" ref="BH305">IF($F305&lt;&gt;"", XLOOKUP($F305,Productos!$A$2:$A1001,Productos!BA$2:BA1001,"")*$G305,"")</f>
        <v/>
      </c>
      <c r="BI305" s="179" t="str">
        <f t="array" ref="BI305">IF($F305&lt;&gt;"",XLOOKUP($F305,Productos!$A:$A,Productos!BB:BB,"Revisar"),"")</f>
        <v/>
      </c>
      <c r="BJ305" s="179" t="str">
        <f t="array" ref="BJ305">IF($F305&lt;&gt;"", XLOOKUP($F305,Productos!$A$2:$A1001,Productos!BC$2:BC1001,"")*$G305,"")</f>
        <v/>
      </c>
      <c r="BK305" s="179" t="str">
        <f t="array" ref="BK305">IF($F305&lt;&gt;"",XLOOKUP($F305,Productos!$A:$A,Productos!BD:BD,"Revisar"),"")</f>
        <v/>
      </c>
      <c r="BL305" s="179" t="str">
        <f t="array" ref="BL305">IF($F305&lt;&gt;"", XLOOKUP($F305,Productos!$A$2:$A1001,Productos!BE$2:BE1001,"")*$G305,"")</f>
        <v/>
      </c>
      <c r="BM305" s="179" t="str">
        <f t="array" ref="BM305">IF($F305&lt;&gt;"",XLOOKUP($F305,Productos!$A:$A,Productos!BF:BF,"Revisar"),"")</f>
        <v/>
      </c>
      <c r="BN305" s="179" t="str">
        <f t="array" ref="BN305">IF($F305&lt;&gt;"", XLOOKUP($F305,Productos!$A$2:$A1001,Productos!BG$2:BG1001,"")*$G305,"")</f>
        <v/>
      </c>
      <c r="BO305" s="179" t="str">
        <f t="array" ref="BO305">IF($F305&lt;&gt;"",XLOOKUP($F305,Productos!$A:$A,Productos!BH:BH,"Revisar"),"")</f>
        <v/>
      </c>
      <c r="BP305" s="179" t="str">
        <f t="array" ref="BP305">IF($F305&lt;&gt;"", XLOOKUP($F305,Productos!$A$2:$A1001,Productos!BI$2:BI1001,"")*$G305,"")</f>
        <v/>
      </c>
      <c r="BQ305" s="179" t="str">
        <f t="array" ref="BQ305">IF($F305&lt;&gt;"",XLOOKUP($F305,Productos!$A:$A,Productos!BJ:BJ,"Revisar"),"")</f>
        <v/>
      </c>
      <c r="BR305" s="179" t="str">
        <f t="array" ref="BR305">IF($F305&lt;&gt;"", XLOOKUP($F305,Productos!$A$2:$A1001,Productos!BK$2:BK1001,"")*$G305,"")</f>
        <v/>
      </c>
      <c r="BS305" s="179" t="str">
        <f t="array" ref="BS305">IF($F305&lt;&gt;"",XLOOKUP($F305,Productos!$A:$A,Productos!BL:BL,"Revisar"),"")</f>
        <v/>
      </c>
      <c r="BT305" s="179" t="str">
        <f t="array" ref="BT305">IF($F305&lt;&gt;"", XLOOKUP($F305,Productos!$A$2:$A1001,Productos!BM$2:BM1001,"")*$G305,"")</f>
        <v/>
      </c>
      <c r="BU305" s="179" t="str">
        <f t="array" ref="BU305">IF($F305&lt;&gt;"",XLOOKUP($F305,Productos!$A:$A,Productos!BN:BN,"Revisar"),"")</f>
        <v/>
      </c>
      <c r="BV305" s="179" t="str">
        <f t="array" ref="BV305">IF($F305&lt;&gt;"", XLOOKUP($F305,Productos!$A$2:$A1001,Productos!BO$2:BO1001,"")*$G305,"")</f>
        <v/>
      </c>
      <c r="BW305" s="179" t="str">
        <f t="array" ref="BW305">IF($F305&lt;&gt;"",XLOOKUP($F305,Productos!$A:$A,Productos!BP:BP,"Revisar"),"")</f>
        <v/>
      </c>
      <c r="BX305" s="179" t="str">
        <f t="array" ref="BX305">IF($F305&lt;&gt;"", XLOOKUP($F305,Productos!$A$2:$A1001,Productos!BQ$2:BQ1001,"")*$G305,"")</f>
        <v/>
      </c>
      <c r="BY305" s="179" t="str">
        <f t="array" ref="BY305">IF($F305&lt;&gt;"",XLOOKUP($F305,Productos!$A:$A,Productos!BR:BR,"Revisar"),"")</f>
        <v/>
      </c>
      <c r="BZ305" s="179" t="str">
        <f t="array" ref="BZ305">IF($F305&lt;&gt;"", XLOOKUP($F305,Productos!$A$2:$A1001,Productos!BS$2:BS1001,"")*$G305,"")</f>
        <v/>
      </c>
    </row>
    <row r="306">
      <c r="A306" s="180"/>
      <c r="B306" s="181"/>
      <c r="C306" s="182"/>
      <c r="D306" s="182"/>
      <c r="E306" s="185"/>
      <c r="F306" s="186"/>
      <c r="G306" s="187"/>
      <c r="H306" s="186"/>
      <c r="I306" s="179" t="str">
        <f t="array" ref="I306">IF($F306&lt;&gt;"",XLOOKUP($F306,Productos!$A:$A,Productos!B:B,"Revisar"),"")</f>
        <v/>
      </c>
      <c r="J306" s="179" t="str">
        <f t="array" ref="J306">IF($F306&lt;&gt;"", XLOOKUP($F306,Productos!$A$2:$A1001,Productos!C$2:C1001,"")*$G306,"")</f>
        <v/>
      </c>
      <c r="K306" s="179" t="str">
        <f t="array" ref="K306">IF($F306&lt;&gt;"",XLOOKUP($F306,Productos!$A:$A,Productos!D:D,"Revisar"),"")</f>
        <v/>
      </c>
      <c r="L306" s="179" t="str">
        <f t="array" ref="L306">IF($F306&lt;&gt;"", XLOOKUP($F306,Productos!$A$2:$A1001,Productos!E$2:E1001,"")*$G306,"")</f>
        <v/>
      </c>
      <c r="M306" s="179" t="str">
        <f t="array" ref="M306">IF($F306&lt;&gt;"",XLOOKUP($F306,Productos!$A:$A,Productos!F:F,"Revisar"),"")</f>
        <v/>
      </c>
      <c r="N306" s="179" t="str">
        <f t="array" ref="N306">IF($F306&lt;&gt;"", XLOOKUP($F306,Productos!$A$2:$A1001,Productos!G$2:G1001,"")*$G306,"")</f>
        <v/>
      </c>
      <c r="O306" s="179" t="str">
        <f t="array" ref="O306">IF($F306&lt;&gt;"",XLOOKUP($F306,Productos!$A:$A,Productos!H:H,"Revisar"),"")</f>
        <v/>
      </c>
      <c r="P306" s="179" t="str">
        <f t="array" ref="P306">IF($F306&lt;&gt;"", XLOOKUP($F306,Productos!$A$2:$A1001,Productos!I$2:I1001,"")*$G306,"")</f>
        <v/>
      </c>
      <c r="Q306" s="179" t="str">
        <f t="array" ref="Q306">IF($F306&lt;&gt;"",XLOOKUP($F306,Productos!$A:$A,Productos!J:J,"Revisar"),"")</f>
        <v/>
      </c>
      <c r="R306" s="179" t="str">
        <f t="array" ref="R306">IF($F306&lt;&gt;"", XLOOKUP($F306,Productos!$A$2:$A1001,Productos!K$2:K1001,"")*$G306,"")</f>
        <v/>
      </c>
      <c r="S306" s="179" t="str">
        <f t="array" ref="S306">IF($F306&lt;&gt;"",XLOOKUP($F306,Productos!$A:$A,Productos!L:L,"Revisar"),"")</f>
        <v/>
      </c>
      <c r="T306" s="179" t="str">
        <f t="array" ref="T306">IF($F306&lt;&gt;"", XLOOKUP($F306,Productos!$A$2:$A1001,Productos!M$2:M1001,"")*$G306,"")</f>
        <v/>
      </c>
      <c r="U306" s="179" t="str">
        <f t="array" ref="U306">IF($F306&lt;&gt;"",XLOOKUP($F306,Productos!$A:$A,Productos!N:N,"Revisar"),"")</f>
        <v/>
      </c>
      <c r="V306" s="179" t="str">
        <f t="array" ref="V306">IF($F306&lt;&gt;"", XLOOKUP($F306,Productos!$A$2:$A1001,Productos!O$2:O1001,"")*$G306,"")</f>
        <v/>
      </c>
      <c r="W306" s="179" t="str">
        <f t="array" ref="W306">IF($F306&lt;&gt;"",XLOOKUP($F306,Productos!$A:$A,Productos!P:P,"Revisar"),"")</f>
        <v/>
      </c>
      <c r="X306" s="179" t="str">
        <f t="array" ref="X306">IF($F306&lt;&gt;"", XLOOKUP($F306,Productos!$A$2:$A1001,Productos!Q$2:Q1001,"")*$G306,"")</f>
        <v/>
      </c>
      <c r="Y306" s="179" t="str">
        <f t="array" ref="Y306">IF($F306&lt;&gt;"",XLOOKUP($F306,Productos!$A:$A,Productos!R:R,"Revisar"),"")</f>
        <v/>
      </c>
      <c r="Z306" s="179" t="str">
        <f t="array" ref="Z306">IF($F306&lt;&gt;"", XLOOKUP($F306,Productos!$A$2:$A1001,Productos!S$2:S1001,"")*$G306,"")</f>
        <v/>
      </c>
      <c r="AA306" s="179" t="str">
        <f t="array" ref="AA306">IF($F306&lt;&gt;"",XLOOKUP($F306,Productos!$A:$A,Productos!T:T,"Revisar"),"")</f>
        <v/>
      </c>
      <c r="AB306" s="179" t="str">
        <f t="array" ref="AB306">IF($F306&lt;&gt;"", XLOOKUP($F306,Productos!$A$2:$A1001,Productos!U$2:U1001,"")*$G306,"")</f>
        <v/>
      </c>
      <c r="AC306" s="179" t="str">
        <f t="array" ref="AC306">IF($F306&lt;&gt;"",XLOOKUP($F306,Productos!$A:$A,Productos!V:V,"Revisar"),"")</f>
        <v/>
      </c>
      <c r="AD306" s="179" t="str">
        <f t="array" ref="AD306">IF($F306&lt;&gt;"", XLOOKUP($F306,Productos!$A$2:$A1001,Productos!W$2:W1001,"")*$G306,"")</f>
        <v/>
      </c>
      <c r="AE306" s="179" t="str">
        <f t="array" ref="AE306">IF($F306&lt;&gt;"",XLOOKUP($F306,Productos!$A:$A,Productos!X:X,"Revisar"),"")</f>
        <v/>
      </c>
      <c r="AF306" s="179" t="str">
        <f t="array" ref="AF306">IF($F306&lt;&gt;"", XLOOKUP($F306,Productos!$A$2:$A1001,Productos!Y$2:Y1001,"")*$G306,"")</f>
        <v/>
      </c>
      <c r="AG306" s="179" t="str">
        <f t="array" ref="AG306">IF($F306&lt;&gt;"",XLOOKUP($F306,Productos!$A:$A,Productos!Z:Z,"Revisar"),"")</f>
        <v/>
      </c>
      <c r="AH306" s="179" t="str">
        <f t="array" ref="AH306">IF($F306&lt;&gt;"", XLOOKUP($F306,Productos!$A$2:$A1001,Productos!AA$2:AA1001,"")*$G306,"")</f>
        <v/>
      </c>
      <c r="AI306" s="179" t="str">
        <f t="array" ref="AI306">IF($F306&lt;&gt;"",XLOOKUP($F306,Productos!$A:$A,Productos!AB:AB,"Revisar"),"")</f>
        <v/>
      </c>
      <c r="AJ306" s="179" t="str">
        <f t="array" ref="AJ306">IF($F306&lt;&gt;"", XLOOKUP($F306,Productos!$A$2:$A1001,Productos!AC$2:AC1001,"")*$G306,"")</f>
        <v/>
      </c>
      <c r="AK306" s="179" t="str">
        <f t="array" ref="AK306">IF($F306&lt;&gt;"",XLOOKUP($F306,Productos!$A:$A,Productos!AD:AD,"Revisar"),"")</f>
        <v/>
      </c>
      <c r="AL306" s="179" t="str">
        <f t="array" ref="AL306">IF($F306&lt;&gt;"", XLOOKUP($F306,Productos!$A$2:$A1001,Productos!AE$2:AE1001,"")*$G306,"")</f>
        <v/>
      </c>
      <c r="AM306" s="179" t="str">
        <f t="array" ref="AM306">IF($F306&lt;&gt;"",XLOOKUP($F306,Productos!$A:$A,Productos!AF:AF,"Revisar"),"")</f>
        <v/>
      </c>
      <c r="AN306" s="179" t="str">
        <f t="array" ref="AN306">IF($F306&lt;&gt;"", XLOOKUP($F306,Productos!$A$2:$A1001,Productos!AG$2:AG1001,"")*$G306,"")</f>
        <v/>
      </c>
      <c r="AO306" s="179" t="str">
        <f t="array" ref="AO306">IF($F306&lt;&gt;"",XLOOKUP($F306,Productos!$A:$A,Productos!AH:AH,"Revisar"),"")</f>
        <v/>
      </c>
      <c r="AP306" s="179" t="str">
        <f t="array" ref="AP306">IF($F306&lt;&gt;"", XLOOKUP($F306,Productos!$A$2:$A1001,Productos!AI$2:AI1001,"")*$G306,"")</f>
        <v/>
      </c>
      <c r="AQ306" s="179" t="str">
        <f t="array" ref="AQ306">IF($F306&lt;&gt;"",XLOOKUP($F306,Productos!$A:$A,Productos!AJ:AJ,"Revisar"),"")</f>
        <v/>
      </c>
      <c r="AR306" s="179" t="str">
        <f t="array" ref="AR306">IF($F306&lt;&gt;"", XLOOKUP($F306,Productos!$A$2:$A1001,Productos!AK$2:AK1001,"")*$G306,"")</f>
        <v/>
      </c>
      <c r="AS306" s="179" t="str">
        <f t="array" ref="AS306">IF($F306&lt;&gt;"",XLOOKUP($F306,Productos!$A:$A,Productos!AL:AL,"Revisar"),"")</f>
        <v/>
      </c>
      <c r="AT306" s="179" t="str">
        <f t="array" ref="AT306">IF($F306&lt;&gt;"", XLOOKUP($F306,Productos!$A$2:$A1001,Productos!AM$2:AM1001,"")*$G306,"")</f>
        <v/>
      </c>
      <c r="AU306" s="179" t="str">
        <f t="array" ref="AU306">IF($F306&lt;&gt;"",XLOOKUP($F306,Productos!$A:$A,Productos!AN:AN,"Revisar"),"")</f>
        <v/>
      </c>
      <c r="AV306" s="179" t="str">
        <f t="array" ref="AV306">IF($F306&lt;&gt;"", XLOOKUP($F306,Productos!$A$2:$A1001,Productos!AO$2:AO1001,"")*$G306,"")</f>
        <v/>
      </c>
      <c r="AW306" s="179" t="str">
        <f t="array" ref="AW306">IF($F306&lt;&gt;"",XLOOKUP($F306,Productos!$A:$A,Productos!AP:AP,"Revisar"),"")</f>
        <v/>
      </c>
      <c r="AX306" s="179" t="str">
        <f t="array" ref="AX306">IF($F306&lt;&gt;"", XLOOKUP($F306,Productos!$A$2:$A1001,Productos!AQ$2:AQ1001,"")*$G306,"")</f>
        <v/>
      </c>
      <c r="AY306" s="179" t="str">
        <f t="array" ref="AY306">IF($F306&lt;&gt;"",XLOOKUP($F306,Productos!$A:$A,Productos!AR:AR,"Revisar"),"")</f>
        <v/>
      </c>
      <c r="AZ306" s="179" t="str">
        <f t="array" ref="AZ306">IF($F306&lt;&gt;"", XLOOKUP($F306,Productos!$A$2:$A1001,Productos!AS$2:AS1001,"")*$G306,"")</f>
        <v/>
      </c>
      <c r="BA306" s="179" t="str">
        <f t="array" ref="BA306">IF($F306&lt;&gt;"",XLOOKUP($F306,Productos!$A:$A,Productos!AT:AT,"Revisar"),"")</f>
        <v/>
      </c>
      <c r="BB306" s="179" t="str">
        <f t="array" ref="BB306">IF($F306&lt;&gt;"", XLOOKUP($F306,Productos!$A$2:$A1001,Productos!AU$2:AU1001,"")*$G306,"")</f>
        <v/>
      </c>
      <c r="BC306" s="179" t="str">
        <f t="array" ref="BC306">IF($F306&lt;&gt;"",XLOOKUP($F306,Productos!$A:$A,Productos!AV:AV,"Revisar"),"")</f>
        <v/>
      </c>
      <c r="BD306" s="179" t="str">
        <f t="array" ref="BD306">IF($F306&lt;&gt;"", XLOOKUP($F306,Productos!$A$2:$A1001,Productos!AW$2:AW1001,"")*$G306,"")</f>
        <v/>
      </c>
      <c r="BE306" s="179" t="str">
        <f t="array" ref="BE306">IF($F306&lt;&gt;"",XLOOKUP($F306,Productos!$A:$A,Productos!AX:AX,"Revisar"),"")</f>
        <v/>
      </c>
      <c r="BF306" s="179" t="str">
        <f t="array" ref="BF306">IF($F306&lt;&gt;"", XLOOKUP($F306,Productos!$A$2:$A1001,Productos!AY$2:AY1001,"")*$G306,"")</f>
        <v/>
      </c>
      <c r="BG306" s="179" t="str">
        <f t="array" ref="BG306">IF($F306&lt;&gt;"",XLOOKUP($F306,Productos!$A:$A,Productos!AZ:AZ,"Revisar"),"")</f>
        <v/>
      </c>
      <c r="BH306" s="179" t="str">
        <f t="array" ref="BH306">IF($F306&lt;&gt;"", XLOOKUP($F306,Productos!$A$2:$A1001,Productos!BA$2:BA1001,"")*$G306,"")</f>
        <v/>
      </c>
      <c r="BI306" s="179" t="str">
        <f t="array" ref="BI306">IF($F306&lt;&gt;"",XLOOKUP($F306,Productos!$A:$A,Productos!BB:BB,"Revisar"),"")</f>
        <v/>
      </c>
      <c r="BJ306" s="179" t="str">
        <f t="array" ref="BJ306">IF($F306&lt;&gt;"", XLOOKUP($F306,Productos!$A$2:$A1001,Productos!BC$2:BC1001,"")*$G306,"")</f>
        <v/>
      </c>
      <c r="BK306" s="179" t="str">
        <f t="array" ref="BK306">IF($F306&lt;&gt;"",XLOOKUP($F306,Productos!$A:$A,Productos!BD:BD,"Revisar"),"")</f>
        <v/>
      </c>
      <c r="BL306" s="179" t="str">
        <f t="array" ref="BL306">IF($F306&lt;&gt;"", XLOOKUP($F306,Productos!$A$2:$A1001,Productos!BE$2:BE1001,"")*$G306,"")</f>
        <v/>
      </c>
      <c r="BM306" s="179" t="str">
        <f t="array" ref="BM306">IF($F306&lt;&gt;"",XLOOKUP($F306,Productos!$A:$A,Productos!BF:BF,"Revisar"),"")</f>
        <v/>
      </c>
      <c r="BN306" s="179" t="str">
        <f t="array" ref="BN306">IF($F306&lt;&gt;"", XLOOKUP($F306,Productos!$A$2:$A1001,Productos!BG$2:BG1001,"")*$G306,"")</f>
        <v/>
      </c>
      <c r="BO306" s="179" t="str">
        <f t="array" ref="BO306">IF($F306&lt;&gt;"",XLOOKUP($F306,Productos!$A:$A,Productos!BH:BH,"Revisar"),"")</f>
        <v/>
      </c>
      <c r="BP306" s="179" t="str">
        <f t="array" ref="BP306">IF($F306&lt;&gt;"", XLOOKUP($F306,Productos!$A$2:$A1001,Productos!BI$2:BI1001,"")*$G306,"")</f>
        <v/>
      </c>
      <c r="BQ306" s="179" t="str">
        <f t="array" ref="BQ306">IF($F306&lt;&gt;"",XLOOKUP($F306,Productos!$A:$A,Productos!BJ:BJ,"Revisar"),"")</f>
        <v/>
      </c>
      <c r="BR306" s="179" t="str">
        <f t="array" ref="BR306">IF($F306&lt;&gt;"", XLOOKUP($F306,Productos!$A$2:$A1001,Productos!BK$2:BK1001,"")*$G306,"")</f>
        <v/>
      </c>
      <c r="BS306" s="179" t="str">
        <f t="array" ref="BS306">IF($F306&lt;&gt;"",XLOOKUP($F306,Productos!$A:$A,Productos!BL:BL,"Revisar"),"")</f>
        <v/>
      </c>
      <c r="BT306" s="179" t="str">
        <f t="array" ref="BT306">IF($F306&lt;&gt;"", XLOOKUP($F306,Productos!$A$2:$A1001,Productos!BM$2:BM1001,"")*$G306,"")</f>
        <v/>
      </c>
      <c r="BU306" s="179" t="str">
        <f t="array" ref="BU306">IF($F306&lt;&gt;"",XLOOKUP($F306,Productos!$A:$A,Productos!BN:BN,"Revisar"),"")</f>
        <v/>
      </c>
      <c r="BV306" s="179" t="str">
        <f t="array" ref="BV306">IF($F306&lt;&gt;"", XLOOKUP($F306,Productos!$A$2:$A1001,Productos!BO$2:BO1001,"")*$G306,"")</f>
        <v/>
      </c>
      <c r="BW306" s="179" t="str">
        <f t="array" ref="BW306">IF($F306&lt;&gt;"",XLOOKUP($F306,Productos!$A:$A,Productos!BP:BP,"Revisar"),"")</f>
        <v/>
      </c>
      <c r="BX306" s="179" t="str">
        <f t="array" ref="BX306">IF($F306&lt;&gt;"", XLOOKUP($F306,Productos!$A$2:$A1001,Productos!BQ$2:BQ1001,"")*$G306,"")</f>
        <v/>
      </c>
      <c r="BY306" s="179" t="str">
        <f t="array" ref="BY306">IF($F306&lt;&gt;"",XLOOKUP($F306,Productos!$A:$A,Productos!BR:BR,"Revisar"),"")</f>
        <v/>
      </c>
      <c r="BZ306" s="179" t="str">
        <f t="array" ref="BZ306">IF($F306&lt;&gt;"", XLOOKUP($F306,Productos!$A$2:$A1001,Productos!BS$2:BS1001,"")*$G306,"")</f>
        <v/>
      </c>
    </row>
    <row r="307">
      <c r="A307" s="180"/>
      <c r="B307" s="181"/>
      <c r="C307" s="182"/>
      <c r="D307" s="182"/>
      <c r="E307" s="185"/>
      <c r="F307" s="186"/>
      <c r="G307" s="187"/>
      <c r="H307" s="186"/>
      <c r="I307" s="179" t="str">
        <f t="array" ref="I307">IF($F307&lt;&gt;"",XLOOKUP($F307,Productos!$A:$A,Productos!B:B,"Revisar"),"")</f>
        <v/>
      </c>
      <c r="J307" s="179" t="str">
        <f t="array" ref="J307">IF($F307&lt;&gt;"", XLOOKUP($F307,Productos!$A$2:$A1001,Productos!C$2:C1001,"")*$G307,"")</f>
        <v/>
      </c>
      <c r="K307" s="179" t="str">
        <f t="array" ref="K307">IF($F307&lt;&gt;"",XLOOKUP($F307,Productos!$A:$A,Productos!D:D,"Revisar"),"")</f>
        <v/>
      </c>
      <c r="L307" s="179" t="str">
        <f t="array" ref="L307">IF($F307&lt;&gt;"", XLOOKUP($F307,Productos!$A$2:$A1001,Productos!E$2:E1001,"")*$G307,"")</f>
        <v/>
      </c>
      <c r="M307" s="179" t="str">
        <f t="array" ref="M307">IF($F307&lt;&gt;"",XLOOKUP($F307,Productos!$A:$A,Productos!F:F,"Revisar"),"")</f>
        <v/>
      </c>
      <c r="N307" s="179" t="str">
        <f t="array" ref="N307">IF($F307&lt;&gt;"", XLOOKUP($F307,Productos!$A$2:$A1001,Productos!G$2:G1001,"")*$G307,"")</f>
        <v/>
      </c>
      <c r="O307" s="179" t="str">
        <f t="array" ref="O307">IF($F307&lt;&gt;"",XLOOKUP($F307,Productos!$A:$A,Productos!H:H,"Revisar"),"")</f>
        <v/>
      </c>
      <c r="P307" s="179" t="str">
        <f t="array" ref="P307">IF($F307&lt;&gt;"", XLOOKUP($F307,Productos!$A$2:$A1001,Productos!I$2:I1001,"")*$G307,"")</f>
        <v/>
      </c>
      <c r="Q307" s="179" t="str">
        <f t="array" ref="Q307">IF($F307&lt;&gt;"",XLOOKUP($F307,Productos!$A:$A,Productos!J:J,"Revisar"),"")</f>
        <v/>
      </c>
      <c r="R307" s="179" t="str">
        <f t="array" ref="R307">IF($F307&lt;&gt;"", XLOOKUP($F307,Productos!$A$2:$A1001,Productos!K$2:K1001,"")*$G307,"")</f>
        <v/>
      </c>
      <c r="S307" s="179" t="str">
        <f t="array" ref="S307">IF($F307&lt;&gt;"",XLOOKUP($F307,Productos!$A:$A,Productos!L:L,"Revisar"),"")</f>
        <v/>
      </c>
      <c r="T307" s="179" t="str">
        <f t="array" ref="T307">IF($F307&lt;&gt;"", XLOOKUP($F307,Productos!$A$2:$A1001,Productos!M$2:M1001,"")*$G307,"")</f>
        <v/>
      </c>
      <c r="U307" s="179" t="str">
        <f t="array" ref="U307">IF($F307&lt;&gt;"",XLOOKUP($F307,Productos!$A:$A,Productos!N:N,"Revisar"),"")</f>
        <v/>
      </c>
      <c r="V307" s="179" t="str">
        <f t="array" ref="V307">IF($F307&lt;&gt;"", XLOOKUP($F307,Productos!$A$2:$A1001,Productos!O$2:O1001,"")*$G307,"")</f>
        <v/>
      </c>
      <c r="W307" s="179" t="str">
        <f t="array" ref="W307">IF($F307&lt;&gt;"",XLOOKUP($F307,Productos!$A:$A,Productos!P:P,"Revisar"),"")</f>
        <v/>
      </c>
      <c r="X307" s="179" t="str">
        <f t="array" ref="X307">IF($F307&lt;&gt;"", XLOOKUP($F307,Productos!$A$2:$A1001,Productos!Q$2:Q1001,"")*$G307,"")</f>
        <v/>
      </c>
      <c r="Y307" s="179" t="str">
        <f t="array" ref="Y307">IF($F307&lt;&gt;"",XLOOKUP($F307,Productos!$A:$A,Productos!R:R,"Revisar"),"")</f>
        <v/>
      </c>
      <c r="Z307" s="179" t="str">
        <f t="array" ref="Z307">IF($F307&lt;&gt;"", XLOOKUP($F307,Productos!$A$2:$A1001,Productos!S$2:S1001,"")*$G307,"")</f>
        <v/>
      </c>
      <c r="AA307" s="179" t="str">
        <f t="array" ref="AA307">IF($F307&lt;&gt;"",XLOOKUP($F307,Productos!$A:$A,Productos!T:T,"Revisar"),"")</f>
        <v/>
      </c>
      <c r="AB307" s="179" t="str">
        <f t="array" ref="AB307">IF($F307&lt;&gt;"", XLOOKUP($F307,Productos!$A$2:$A1001,Productos!U$2:U1001,"")*$G307,"")</f>
        <v/>
      </c>
      <c r="AC307" s="179" t="str">
        <f t="array" ref="AC307">IF($F307&lt;&gt;"",XLOOKUP($F307,Productos!$A:$A,Productos!V:V,"Revisar"),"")</f>
        <v/>
      </c>
      <c r="AD307" s="179" t="str">
        <f t="array" ref="AD307">IF($F307&lt;&gt;"", XLOOKUP($F307,Productos!$A$2:$A1001,Productos!W$2:W1001,"")*$G307,"")</f>
        <v/>
      </c>
      <c r="AE307" s="179" t="str">
        <f t="array" ref="AE307">IF($F307&lt;&gt;"",XLOOKUP($F307,Productos!$A:$A,Productos!X:X,"Revisar"),"")</f>
        <v/>
      </c>
      <c r="AF307" s="179" t="str">
        <f t="array" ref="AF307">IF($F307&lt;&gt;"", XLOOKUP($F307,Productos!$A$2:$A1001,Productos!Y$2:Y1001,"")*$G307,"")</f>
        <v/>
      </c>
      <c r="AG307" s="179" t="str">
        <f t="array" ref="AG307">IF($F307&lt;&gt;"",XLOOKUP($F307,Productos!$A:$A,Productos!Z:Z,"Revisar"),"")</f>
        <v/>
      </c>
      <c r="AH307" s="179" t="str">
        <f t="array" ref="AH307">IF($F307&lt;&gt;"", XLOOKUP($F307,Productos!$A$2:$A1001,Productos!AA$2:AA1001,"")*$G307,"")</f>
        <v/>
      </c>
      <c r="AI307" s="179" t="str">
        <f t="array" ref="AI307">IF($F307&lt;&gt;"",XLOOKUP($F307,Productos!$A:$A,Productos!AB:AB,"Revisar"),"")</f>
        <v/>
      </c>
      <c r="AJ307" s="179" t="str">
        <f t="array" ref="AJ307">IF($F307&lt;&gt;"", XLOOKUP($F307,Productos!$A$2:$A1001,Productos!AC$2:AC1001,"")*$G307,"")</f>
        <v/>
      </c>
      <c r="AK307" s="179" t="str">
        <f t="array" ref="AK307">IF($F307&lt;&gt;"",XLOOKUP($F307,Productos!$A:$A,Productos!AD:AD,"Revisar"),"")</f>
        <v/>
      </c>
      <c r="AL307" s="179" t="str">
        <f t="array" ref="AL307">IF($F307&lt;&gt;"", XLOOKUP($F307,Productos!$A$2:$A1001,Productos!AE$2:AE1001,"")*$G307,"")</f>
        <v/>
      </c>
      <c r="AM307" s="179" t="str">
        <f t="array" ref="AM307">IF($F307&lt;&gt;"",XLOOKUP($F307,Productos!$A:$A,Productos!AF:AF,"Revisar"),"")</f>
        <v/>
      </c>
      <c r="AN307" s="179" t="str">
        <f t="array" ref="AN307">IF($F307&lt;&gt;"", XLOOKUP($F307,Productos!$A$2:$A1001,Productos!AG$2:AG1001,"")*$G307,"")</f>
        <v/>
      </c>
      <c r="AO307" s="179" t="str">
        <f t="array" ref="AO307">IF($F307&lt;&gt;"",XLOOKUP($F307,Productos!$A:$A,Productos!AH:AH,"Revisar"),"")</f>
        <v/>
      </c>
      <c r="AP307" s="179" t="str">
        <f t="array" ref="AP307">IF($F307&lt;&gt;"", XLOOKUP($F307,Productos!$A$2:$A1001,Productos!AI$2:AI1001,"")*$G307,"")</f>
        <v/>
      </c>
      <c r="AQ307" s="179" t="str">
        <f t="array" ref="AQ307">IF($F307&lt;&gt;"",XLOOKUP($F307,Productos!$A:$A,Productos!AJ:AJ,"Revisar"),"")</f>
        <v/>
      </c>
      <c r="AR307" s="179" t="str">
        <f t="array" ref="AR307">IF($F307&lt;&gt;"", XLOOKUP($F307,Productos!$A$2:$A1001,Productos!AK$2:AK1001,"")*$G307,"")</f>
        <v/>
      </c>
      <c r="AS307" s="179" t="str">
        <f t="array" ref="AS307">IF($F307&lt;&gt;"",XLOOKUP($F307,Productos!$A:$A,Productos!AL:AL,"Revisar"),"")</f>
        <v/>
      </c>
      <c r="AT307" s="179" t="str">
        <f t="array" ref="AT307">IF($F307&lt;&gt;"", XLOOKUP($F307,Productos!$A$2:$A1001,Productos!AM$2:AM1001,"")*$G307,"")</f>
        <v/>
      </c>
      <c r="AU307" s="179" t="str">
        <f t="array" ref="AU307">IF($F307&lt;&gt;"",XLOOKUP($F307,Productos!$A:$A,Productos!AN:AN,"Revisar"),"")</f>
        <v/>
      </c>
      <c r="AV307" s="179" t="str">
        <f t="array" ref="AV307">IF($F307&lt;&gt;"", XLOOKUP($F307,Productos!$A$2:$A1001,Productos!AO$2:AO1001,"")*$G307,"")</f>
        <v/>
      </c>
      <c r="AW307" s="179" t="str">
        <f t="array" ref="AW307">IF($F307&lt;&gt;"",XLOOKUP($F307,Productos!$A:$A,Productos!AP:AP,"Revisar"),"")</f>
        <v/>
      </c>
      <c r="AX307" s="179" t="str">
        <f t="array" ref="AX307">IF($F307&lt;&gt;"", XLOOKUP($F307,Productos!$A$2:$A1001,Productos!AQ$2:AQ1001,"")*$G307,"")</f>
        <v/>
      </c>
      <c r="AY307" s="179" t="str">
        <f t="array" ref="AY307">IF($F307&lt;&gt;"",XLOOKUP($F307,Productos!$A:$A,Productos!AR:AR,"Revisar"),"")</f>
        <v/>
      </c>
      <c r="AZ307" s="179" t="str">
        <f t="array" ref="AZ307">IF($F307&lt;&gt;"", XLOOKUP($F307,Productos!$A$2:$A1001,Productos!AS$2:AS1001,"")*$G307,"")</f>
        <v/>
      </c>
      <c r="BA307" s="179" t="str">
        <f t="array" ref="BA307">IF($F307&lt;&gt;"",XLOOKUP($F307,Productos!$A:$A,Productos!AT:AT,"Revisar"),"")</f>
        <v/>
      </c>
      <c r="BB307" s="179" t="str">
        <f t="array" ref="BB307">IF($F307&lt;&gt;"", XLOOKUP($F307,Productos!$A$2:$A1001,Productos!AU$2:AU1001,"")*$G307,"")</f>
        <v/>
      </c>
      <c r="BC307" s="179" t="str">
        <f t="array" ref="BC307">IF($F307&lt;&gt;"",XLOOKUP($F307,Productos!$A:$A,Productos!AV:AV,"Revisar"),"")</f>
        <v/>
      </c>
      <c r="BD307" s="179" t="str">
        <f t="array" ref="BD307">IF($F307&lt;&gt;"", XLOOKUP($F307,Productos!$A$2:$A1001,Productos!AW$2:AW1001,"")*$G307,"")</f>
        <v/>
      </c>
      <c r="BE307" s="179" t="str">
        <f t="array" ref="BE307">IF($F307&lt;&gt;"",XLOOKUP($F307,Productos!$A:$A,Productos!AX:AX,"Revisar"),"")</f>
        <v/>
      </c>
      <c r="BF307" s="179" t="str">
        <f t="array" ref="BF307">IF($F307&lt;&gt;"", XLOOKUP($F307,Productos!$A$2:$A1001,Productos!AY$2:AY1001,"")*$G307,"")</f>
        <v/>
      </c>
      <c r="BG307" s="179" t="str">
        <f t="array" ref="BG307">IF($F307&lt;&gt;"",XLOOKUP($F307,Productos!$A:$A,Productos!AZ:AZ,"Revisar"),"")</f>
        <v/>
      </c>
      <c r="BH307" s="179" t="str">
        <f t="array" ref="BH307">IF($F307&lt;&gt;"", XLOOKUP($F307,Productos!$A$2:$A1001,Productos!BA$2:BA1001,"")*$G307,"")</f>
        <v/>
      </c>
      <c r="BI307" s="179" t="str">
        <f t="array" ref="BI307">IF($F307&lt;&gt;"",XLOOKUP($F307,Productos!$A:$A,Productos!BB:BB,"Revisar"),"")</f>
        <v/>
      </c>
      <c r="BJ307" s="179" t="str">
        <f t="array" ref="BJ307">IF($F307&lt;&gt;"", XLOOKUP($F307,Productos!$A$2:$A1001,Productos!BC$2:BC1001,"")*$G307,"")</f>
        <v/>
      </c>
      <c r="BK307" s="179" t="str">
        <f t="array" ref="BK307">IF($F307&lt;&gt;"",XLOOKUP($F307,Productos!$A:$A,Productos!BD:BD,"Revisar"),"")</f>
        <v/>
      </c>
      <c r="BL307" s="179" t="str">
        <f t="array" ref="BL307">IF($F307&lt;&gt;"", XLOOKUP($F307,Productos!$A$2:$A1001,Productos!BE$2:BE1001,"")*$G307,"")</f>
        <v/>
      </c>
      <c r="BM307" s="179" t="str">
        <f t="array" ref="BM307">IF($F307&lt;&gt;"",XLOOKUP($F307,Productos!$A:$A,Productos!BF:BF,"Revisar"),"")</f>
        <v/>
      </c>
      <c r="BN307" s="179" t="str">
        <f t="array" ref="BN307">IF($F307&lt;&gt;"", XLOOKUP($F307,Productos!$A$2:$A1001,Productos!BG$2:BG1001,"")*$G307,"")</f>
        <v/>
      </c>
      <c r="BO307" s="179" t="str">
        <f t="array" ref="BO307">IF($F307&lt;&gt;"",XLOOKUP($F307,Productos!$A:$A,Productos!BH:BH,"Revisar"),"")</f>
        <v/>
      </c>
      <c r="BP307" s="179" t="str">
        <f t="array" ref="BP307">IF($F307&lt;&gt;"", XLOOKUP($F307,Productos!$A$2:$A1001,Productos!BI$2:BI1001,"")*$G307,"")</f>
        <v/>
      </c>
      <c r="BQ307" s="179" t="str">
        <f t="array" ref="BQ307">IF($F307&lt;&gt;"",XLOOKUP($F307,Productos!$A:$A,Productos!BJ:BJ,"Revisar"),"")</f>
        <v/>
      </c>
      <c r="BR307" s="179" t="str">
        <f t="array" ref="BR307">IF($F307&lt;&gt;"", XLOOKUP($F307,Productos!$A$2:$A1001,Productos!BK$2:BK1001,"")*$G307,"")</f>
        <v/>
      </c>
      <c r="BS307" s="179" t="str">
        <f t="array" ref="BS307">IF($F307&lt;&gt;"",XLOOKUP($F307,Productos!$A:$A,Productos!BL:BL,"Revisar"),"")</f>
        <v/>
      </c>
      <c r="BT307" s="179" t="str">
        <f t="array" ref="BT307">IF($F307&lt;&gt;"", XLOOKUP($F307,Productos!$A$2:$A1001,Productos!BM$2:BM1001,"")*$G307,"")</f>
        <v/>
      </c>
      <c r="BU307" s="179" t="str">
        <f t="array" ref="BU307">IF($F307&lt;&gt;"",XLOOKUP($F307,Productos!$A:$A,Productos!BN:BN,"Revisar"),"")</f>
        <v/>
      </c>
      <c r="BV307" s="179" t="str">
        <f t="array" ref="BV307">IF($F307&lt;&gt;"", XLOOKUP($F307,Productos!$A$2:$A1001,Productos!BO$2:BO1001,"")*$G307,"")</f>
        <v/>
      </c>
      <c r="BW307" s="179" t="str">
        <f t="array" ref="BW307">IF($F307&lt;&gt;"",XLOOKUP($F307,Productos!$A:$A,Productos!BP:BP,"Revisar"),"")</f>
        <v/>
      </c>
      <c r="BX307" s="179" t="str">
        <f t="array" ref="BX307">IF($F307&lt;&gt;"", XLOOKUP($F307,Productos!$A$2:$A1001,Productos!BQ$2:BQ1001,"")*$G307,"")</f>
        <v/>
      </c>
      <c r="BY307" s="179" t="str">
        <f t="array" ref="BY307">IF($F307&lt;&gt;"",XLOOKUP($F307,Productos!$A:$A,Productos!BR:BR,"Revisar"),"")</f>
        <v/>
      </c>
      <c r="BZ307" s="179" t="str">
        <f t="array" ref="BZ307">IF($F307&lt;&gt;"", XLOOKUP($F307,Productos!$A$2:$A1001,Productos!BS$2:BS1001,"")*$G307,"")</f>
        <v/>
      </c>
    </row>
    <row r="308">
      <c r="A308" s="180"/>
      <c r="B308" s="181"/>
      <c r="C308" s="182"/>
      <c r="D308" s="182"/>
      <c r="E308" s="185"/>
      <c r="F308" s="186"/>
      <c r="G308" s="187"/>
      <c r="H308" s="186"/>
      <c r="I308" s="179" t="str">
        <f t="array" ref="I308">IF($F308&lt;&gt;"",XLOOKUP($F308,Productos!$A:$A,Productos!B:B,"Revisar"),"")</f>
        <v/>
      </c>
      <c r="J308" s="179" t="str">
        <f t="array" ref="J308">IF($F308&lt;&gt;"", XLOOKUP($F308,Productos!$A$2:$A1001,Productos!C$2:C1001,"")*$G308,"")</f>
        <v/>
      </c>
      <c r="K308" s="179" t="str">
        <f t="array" ref="K308">IF($F308&lt;&gt;"",XLOOKUP($F308,Productos!$A:$A,Productos!D:D,"Revisar"),"")</f>
        <v/>
      </c>
      <c r="L308" s="179" t="str">
        <f t="array" ref="L308">IF($F308&lt;&gt;"", XLOOKUP($F308,Productos!$A$2:$A1001,Productos!E$2:E1001,"")*$G308,"")</f>
        <v/>
      </c>
      <c r="M308" s="179" t="str">
        <f t="array" ref="M308">IF($F308&lt;&gt;"",XLOOKUP($F308,Productos!$A:$A,Productos!F:F,"Revisar"),"")</f>
        <v/>
      </c>
      <c r="N308" s="179" t="str">
        <f t="array" ref="N308">IF($F308&lt;&gt;"", XLOOKUP($F308,Productos!$A$2:$A1001,Productos!G$2:G1001,"")*$G308,"")</f>
        <v/>
      </c>
      <c r="O308" s="179" t="str">
        <f t="array" ref="O308">IF($F308&lt;&gt;"",XLOOKUP($F308,Productos!$A:$A,Productos!H:H,"Revisar"),"")</f>
        <v/>
      </c>
      <c r="P308" s="179" t="str">
        <f t="array" ref="P308">IF($F308&lt;&gt;"", XLOOKUP($F308,Productos!$A$2:$A1001,Productos!I$2:I1001,"")*$G308,"")</f>
        <v/>
      </c>
      <c r="Q308" s="179" t="str">
        <f t="array" ref="Q308">IF($F308&lt;&gt;"",XLOOKUP($F308,Productos!$A:$A,Productos!J:J,"Revisar"),"")</f>
        <v/>
      </c>
      <c r="R308" s="179" t="str">
        <f t="array" ref="R308">IF($F308&lt;&gt;"", XLOOKUP($F308,Productos!$A$2:$A1001,Productos!K$2:K1001,"")*$G308,"")</f>
        <v/>
      </c>
      <c r="S308" s="179" t="str">
        <f t="array" ref="S308">IF($F308&lt;&gt;"",XLOOKUP($F308,Productos!$A:$A,Productos!L:L,"Revisar"),"")</f>
        <v/>
      </c>
      <c r="T308" s="179" t="str">
        <f t="array" ref="T308">IF($F308&lt;&gt;"", XLOOKUP($F308,Productos!$A$2:$A1001,Productos!M$2:M1001,"")*$G308,"")</f>
        <v/>
      </c>
      <c r="U308" s="179" t="str">
        <f t="array" ref="U308">IF($F308&lt;&gt;"",XLOOKUP($F308,Productos!$A:$A,Productos!N:N,"Revisar"),"")</f>
        <v/>
      </c>
      <c r="V308" s="179" t="str">
        <f t="array" ref="V308">IF($F308&lt;&gt;"", XLOOKUP($F308,Productos!$A$2:$A1001,Productos!O$2:O1001,"")*$G308,"")</f>
        <v/>
      </c>
      <c r="W308" s="179" t="str">
        <f t="array" ref="W308">IF($F308&lt;&gt;"",XLOOKUP($F308,Productos!$A:$A,Productos!P:P,"Revisar"),"")</f>
        <v/>
      </c>
      <c r="X308" s="179" t="str">
        <f t="array" ref="X308">IF($F308&lt;&gt;"", XLOOKUP($F308,Productos!$A$2:$A1001,Productos!Q$2:Q1001,"")*$G308,"")</f>
        <v/>
      </c>
      <c r="Y308" s="179" t="str">
        <f t="array" ref="Y308">IF($F308&lt;&gt;"",XLOOKUP($F308,Productos!$A:$A,Productos!R:R,"Revisar"),"")</f>
        <v/>
      </c>
      <c r="Z308" s="179" t="str">
        <f t="array" ref="Z308">IF($F308&lt;&gt;"", XLOOKUP($F308,Productos!$A$2:$A1001,Productos!S$2:S1001,"")*$G308,"")</f>
        <v/>
      </c>
      <c r="AA308" s="179" t="str">
        <f t="array" ref="AA308">IF($F308&lt;&gt;"",XLOOKUP($F308,Productos!$A:$A,Productos!T:T,"Revisar"),"")</f>
        <v/>
      </c>
      <c r="AB308" s="179" t="str">
        <f t="array" ref="AB308">IF($F308&lt;&gt;"", XLOOKUP($F308,Productos!$A$2:$A1001,Productos!U$2:U1001,"")*$G308,"")</f>
        <v/>
      </c>
      <c r="AC308" s="179" t="str">
        <f t="array" ref="AC308">IF($F308&lt;&gt;"",XLOOKUP($F308,Productos!$A:$A,Productos!V:V,"Revisar"),"")</f>
        <v/>
      </c>
      <c r="AD308" s="179" t="str">
        <f t="array" ref="AD308">IF($F308&lt;&gt;"", XLOOKUP($F308,Productos!$A$2:$A1001,Productos!W$2:W1001,"")*$G308,"")</f>
        <v/>
      </c>
      <c r="AE308" s="179" t="str">
        <f t="array" ref="AE308">IF($F308&lt;&gt;"",XLOOKUP($F308,Productos!$A:$A,Productos!X:X,"Revisar"),"")</f>
        <v/>
      </c>
      <c r="AF308" s="179" t="str">
        <f t="array" ref="AF308">IF($F308&lt;&gt;"", XLOOKUP($F308,Productos!$A$2:$A1001,Productos!Y$2:Y1001,"")*$G308,"")</f>
        <v/>
      </c>
      <c r="AG308" s="179" t="str">
        <f t="array" ref="AG308">IF($F308&lt;&gt;"",XLOOKUP($F308,Productos!$A:$A,Productos!Z:Z,"Revisar"),"")</f>
        <v/>
      </c>
      <c r="AH308" s="179" t="str">
        <f t="array" ref="AH308">IF($F308&lt;&gt;"", XLOOKUP($F308,Productos!$A$2:$A1001,Productos!AA$2:AA1001,"")*$G308,"")</f>
        <v/>
      </c>
      <c r="AI308" s="179" t="str">
        <f t="array" ref="AI308">IF($F308&lt;&gt;"",XLOOKUP($F308,Productos!$A:$A,Productos!AB:AB,"Revisar"),"")</f>
        <v/>
      </c>
      <c r="AJ308" s="179" t="str">
        <f t="array" ref="AJ308">IF($F308&lt;&gt;"", XLOOKUP($F308,Productos!$A$2:$A1001,Productos!AC$2:AC1001,"")*$G308,"")</f>
        <v/>
      </c>
      <c r="AK308" s="179" t="str">
        <f t="array" ref="AK308">IF($F308&lt;&gt;"",XLOOKUP($F308,Productos!$A:$A,Productos!AD:AD,"Revisar"),"")</f>
        <v/>
      </c>
      <c r="AL308" s="179" t="str">
        <f t="array" ref="AL308">IF($F308&lt;&gt;"", XLOOKUP($F308,Productos!$A$2:$A1001,Productos!AE$2:AE1001,"")*$G308,"")</f>
        <v/>
      </c>
      <c r="AM308" s="179" t="str">
        <f t="array" ref="AM308">IF($F308&lt;&gt;"",XLOOKUP($F308,Productos!$A:$A,Productos!AF:AF,"Revisar"),"")</f>
        <v/>
      </c>
      <c r="AN308" s="179" t="str">
        <f t="array" ref="AN308">IF($F308&lt;&gt;"", XLOOKUP($F308,Productos!$A$2:$A1001,Productos!AG$2:AG1001,"")*$G308,"")</f>
        <v/>
      </c>
      <c r="AO308" s="179" t="str">
        <f t="array" ref="AO308">IF($F308&lt;&gt;"",XLOOKUP($F308,Productos!$A:$A,Productos!AH:AH,"Revisar"),"")</f>
        <v/>
      </c>
      <c r="AP308" s="179" t="str">
        <f t="array" ref="AP308">IF($F308&lt;&gt;"", XLOOKUP($F308,Productos!$A$2:$A1001,Productos!AI$2:AI1001,"")*$G308,"")</f>
        <v/>
      </c>
      <c r="AQ308" s="179" t="str">
        <f t="array" ref="AQ308">IF($F308&lt;&gt;"",XLOOKUP($F308,Productos!$A:$A,Productos!AJ:AJ,"Revisar"),"")</f>
        <v/>
      </c>
      <c r="AR308" s="179" t="str">
        <f t="array" ref="AR308">IF($F308&lt;&gt;"", XLOOKUP($F308,Productos!$A$2:$A1001,Productos!AK$2:AK1001,"")*$G308,"")</f>
        <v/>
      </c>
      <c r="AS308" s="179" t="str">
        <f t="array" ref="AS308">IF($F308&lt;&gt;"",XLOOKUP($F308,Productos!$A:$A,Productos!AL:AL,"Revisar"),"")</f>
        <v/>
      </c>
      <c r="AT308" s="179" t="str">
        <f t="array" ref="AT308">IF($F308&lt;&gt;"", XLOOKUP($F308,Productos!$A$2:$A1001,Productos!AM$2:AM1001,"")*$G308,"")</f>
        <v/>
      </c>
      <c r="AU308" s="179" t="str">
        <f t="array" ref="AU308">IF($F308&lt;&gt;"",XLOOKUP($F308,Productos!$A:$A,Productos!AN:AN,"Revisar"),"")</f>
        <v/>
      </c>
      <c r="AV308" s="179" t="str">
        <f t="array" ref="AV308">IF($F308&lt;&gt;"", XLOOKUP($F308,Productos!$A$2:$A1001,Productos!AO$2:AO1001,"")*$G308,"")</f>
        <v/>
      </c>
      <c r="AW308" s="179" t="str">
        <f t="array" ref="AW308">IF($F308&lt;&gt;"",XLOOKUP($F308,Productos!$A:$A,Productos!AP:AP,"Revisar"),"")</f>
        <v/>
      </c>
      <c r="AX308" s="179" t="str">
        <f t="array" ref="AX308">IF($F308&lt;&gt;"", XLOOKUP($F308,Productos!$A$2:$A1001,Productos!AQ$2:AQ1001,"")*$G308,"")</f>
        <v/>
      </c>
      <c r="AY308" s="179" t="str">
        <f t="array" ref="AY308">IF($F308&lt;&gt;"",XLOOKUP($F308,Productos!$A:$A,Productos!AR:AR,"Revisar"),"")</f>
        <v/>
      </c>
      <c r="AZ308" s="179" t="str">
        <f t="array" ref="AZ308">IF($F308&lt;&gt;"", XLOOKUP($F308,Productos!$A$2:$A1001,Productos!AS$2:AS1001,"")*$G308,"")</f>
        <v/>
      </c>
      <c r="BA308" s="179" t="str">
        <f t="array" ref="BA308">IF($F308&lt;&gt;"",XLOOKUP($F308,Productos!$A:$A,Productos!AT:AT,"Revisar"),"")</f>
        <v/>
      </c>
      <c r="BB308" s="179" t="str">
        <f t="array" ref="BB308">IF($F308&lt;&gt;"", XLOOKUP($F308,Productos!$A$2:$A1001,Productos!AU$2:AU1001,"")*$G308,"")</f>
        <v/>
      </c>
      <c r="BC308" s="179" t="str">
        <f t="array" ref="BC308">IF($F308&lt;&gt;"",XLOOKUP($F308,Productos!$A:$A,Productos!AV:AV,"Revisar"),"")</f>
        <v/>
      </c>
      <c r="BD308" s="179" t="str">
        <f t="array" ref="BD308">IF($F308&lt;&gt;"", XLOOKUP($F308,Productos!$A$2:$A1001,Productos!AW$2:AW1001,"")*$G308,"")</f>
        <v/>
      </c>
      <c r="BE308" s="179" t="str">
        <f t="array" ref="BE308">IF($F308&lt;&gt;"",XLOOKUP($F308,Productos!$A:$A,Productos!AX:AX,"Revisar"),"")</f>
        <v/>
      </c>
      <c r="BF308" s="179" t="str">
        <f t="array" ref="BF308">IF($F308&lt;&gt;"", XLOOKUP($F308,Productos!$A$2:$A1001,Productos!AY$2:AY1001,"")*$G308,"")</f>
        <v/>
      </c>
      <c r="BG308" s="179" t="str">
        <f t="array" ref="BG308">IF($F308&lt;&gt;"",XLOOKUP($F308,Productos!$A:$A,Productos!AZ:AZ,"Revisar"),"")</f>
        <v/>
      </c>
      <c r="BH308" s="179" t="str">
        <f t="array" ref="BH308">IF($F308&lt;&gt;"", XLOOKUP($F308,Productos!$A$2:$A1001,Productos!BA$2:BA1001,"")*$G308,"")</f>
        <v/>
      </c>
      <c r="BI308" s="179" t="str">
        <f t="array" ref="BI308">IF($F308&lt;&gt;"",XLOOKUP($F308,Productos!$A:$A,Productos!BB:BB,"Revisar"),"")</f>
        <v/>
      </c>
      <c r="BJ308" s="179" t="str">
        <f t="array" ref="BJ308">IF($F308&lt;&gt;"", XLOOKUP($F308,Productos!$A$2:$A1001,Productos!BC$2:BC1001,"")*$G308,"")</f>
        <v/>
      </c>
      <c r="BK308" s="179" t="str">
        <f t="array" ref="BK308">IF($F308&lt;&gt;"",XLOOKUP($F308,Productos!$A:$A,Productos!BD:BD,"Revisar"),"")</f>
        <v/>
      </c>
      <c r="BL308" s="179" t="str">
        <f t="array" ref="BL308">IF($F308&lt;&gt;"", XLOOKUP($F308,Productos!$A$2:$A1001,Productos!BE$2:BE1001,"")*$G308,"")</f>
        <v/>
      </c>
      <c r="BM308" s="179" t="str">
        <f t="array" ref="BM308">IF($F308&lt;&gt;"",XLOOKUP($F308,Productos!$A:$A,Productos!BF:BF,"Revisar"),"")</f>
        <v/>
      </c>
      <c r="BN308" s="179" t="str">
        <f t="array" ref="BN308">IF($F308&lt;&gt;"", XLOOKUP($F308,Productos!$A$2:$A1001,Productos!BG$2:BG1001,"")*$G308,"")</f>
        <v/>
      </c>
      <c r="BO308" s="179" t="str">
        <f t="array" ref="BO308">IF($F308&lt;&gt;"",XLOOKUP($F308,Productos!$A:$A,Productos!BH:BH,"Revisar"),"")</f>
        <v/>
      </c>
      <c r="BP308" s="179" t="str">
        <f t="array" ref="BP308">IF($F308&lt;&gt;"", XLOOKUP($F308,Productos!$A$2:$A1001,Productos!BI$2:BI1001,"")*$G308,"")</f>
        <v/>
      </c>
      <c r="BQ308" s="179" t="str">
        <f t="array" ref="BQ308">IF($F308&lt;&gt;"",XLOOKUP($F308,Productos!$A:$A,Productos!BJ:BJ,"Revisar"),"")</f>
        <v/>
      </c>
      <c r="BR308" s="179" t="str">
        <f t="array" ref="BR308">IF($F308&lt;&gt;"", XLOOKUP($F308,Productos!$A$2:$A1001,Productos!BK$2:BK1001,"")*$G308,"")</f>
        <v/>
      </c>
      <c r="BS308" s="179" t="str">
        <f t="array" ref="BS308">IF($F308&lt;&gt;"",XLOOKUP($F308,Productos!$A:$A,Productos!BL:BL,"Revisar"),"")</f>
        <v/>
      </c>
      <c r="BT308" s="179" t="str">
        <f t="array" ref="BT308">IF($F308&lt;&gt;"", XLOOKUP($F308,Productos!$A$2:$A1001,Productos!BM$2:BM1001,"")*$G308,"")</f>
        <v/>
      </c>
      <c r="BU308" s="179" t="str">
        <f t="array" ref="BU308">IF($F308&lt;&gt;"",XLOOKUP($F308,Productos!$A:$A,Productos!BN:BN,"Revisar"),"")</f>
        <v/>
      </c>
      <c r="BV308" s="179" t="str">
        <f t="array" ref="BV308">IF($F308&lt;&gt;"", XLOOKUP($F308,Productos!$A$2:$A1001,Productos!BO$2:BO1001,"")*$G308,"")</f>
        <v/>
      </c>
      <c r="BW308" s="179" t="str">
        <f t="array" ref="BW308">IF($F308&lt;&gt;"",XLOOKUP($F308,Productos!$A:$A,Productos!BP:BP,"Revisar"),"")</f>
        <v/>
      </c>
      <c r="BX308" s="179" t="str">
        <f t="array" ref="BX308">IF($F308&lt;&gt;"", XLOOKUP($F308,Productos!$A$2:$A1001,Productos!BQ$2:BQ1001,"")*$G308,"")</f>
        <v/>
      </c>
      <c r="BY308" s="179" t="str">
        <f t="array" ref="BY308">IF($F308&lt;&gt;"",XLOOKUP($F308,Productos!$A:$A,Productos!BR:BR,"Revisar"),"")</f>
        <v/>
      </c>
      <c r="BZ308" s="179" t="str">
        <f t="array" ref="BZ308">IF($F308&lt;&gt;"", XLOOKUP($F308,Productos!$A$2:$A1001,Productos!BS$2:BS1001,"")*$G308,"")</f>
        <v/>
      </c>
    </row>
    <row r="309">
      <c r="A309" s="180"/>
      <c r="B309" s="181"/>
      <c r="C309" s="182"/>
      <c r="D309" s="182"/>
      <c r="E309" s="185"/>
      <c r="F309" s="186"/>
      <c r="G309" s="187"/>
      <c r="H309" s="186"/>
      <c r="I309" s="179" t="str">
        <f t="array" ref="I309">IF($F309&lt;&gt;"",XLOOKUP($F309,Productos!$A:$A,Productos!B:B,"Revisar"),"")</f>
        <v/>
      </c>
      <c r="J309" s="179" t="str">
        <f t="array" ref="J309">IF($F309&lt;&gt;"", XLOOKUP($F309,Productos!$A$2:$A1001,Productos!C$2:C1001,"")*$G309,"")</f>
        <v/>
      </c>
      <c r="K309" s="179" t="str">
        <f t="array" ref="K309">IF($F309&lt;&gt;"",XLOOKUP($F309,Productos!$A:$A,Productos!D:D,"Revisar"),"")</f>
        <v/>
      </c>
      <c r="L309" s="179" t="str">
        <f t="array" ref="L309">IF($F309&lt;&gt;"", XLOOKUP($F309,Productos!$A$2:$A1001,Productos!E$2:E1001,"")*$G309,"")</f>
        <v/>
      </c>
      <c r="M309" s="179" t="str">
        <f t="array" ref="M309">IF($F309&lt;&gt;"",XLOOKUP($F309,Productos!$A:$A,Productos!F:F,"Revisar"),"")</f>
        <v/>
      </c>
      <c r="N309" s="179" t="str">
        <f t="array" ref="N309">IF($F309&lt;&gt;"", XLOOKUP($F309,Productos!$A$2:$A1001,Productos!G$2:G1001,"")*$G309,"")</f>
        <v/>
      </c>
      <c r="O309" s="179" t="str">
        <f t="array" ref="O309">IF($F309&lt;&gt;"",XLOOKUP($F309,Productos!$A:$A,Productos!H:H,"Revisar"),"")</f>
        <v/>
      </c>
      <c r="P309" s="179" t="str">
        <f t="array" ref="P309">IF($F309&lt;&gt;"", XLOOKUP($F309,Productos!$A$2:$A1001,Productos!I$2:I1001,"")*$G309,"")</f>
        <v/>
      </c>
      <c r="Q309" s="179" t="str">
        <f t="array" ref="Q309">IF($F309&lt;&gt;"",XLOOKUP($F309,Productos!$A:$A,Productos!J:J,"Revisar"),"")</f>
        <v/>
      </c>
      <c r="R309" s="179" t="str">
        <f t="array" ref="R309">IF($F309&lt;&gt;"", XLOOKUP($F309,Productos!$A$2:$A1001,Productos!K$2:K1001,"")*$G309,"")</f>
        <v/>
      </c>
      <c r="S309" s="179" t="str">
        <f t="array" ref="S309">IF($F309&lt;&gt;"",XLOOKUP($F309,Productos!$A:$A,Productos!L:L,"Revisar"),"")</f>
        <v/>
      </c>
      <c r="T309" s="179" t="str">
        <f t="array" ref="T309">IF($F309&lt;&gt;"", XLOOKUP($F309,Productos!$A$2:$A1001,Productos!M$2:M1001,"")*$G309,"")</f>
        <v/>
      </c>
      <c r="U309" s="179" t="str">
        <f t="array" ref="U309">IF($F309&lt;&gt;"",XLOOKUP($F309,Productos!$A:$A,Productos!N:N,"Revisar"),"")</f>
        <v/>
      </c>
      <c r="V309" s="179" t="str">
        <f t="array" ref="V309">IF($F309&lt;&gt;"", XLOOKUP($F309,Productos!$A$2:$A1001,Productos!O$2:O1001,"")*$G309,"")</f>
        <v/>
      </c>
      <c r="W309" s="179" t="str">
        <f t="array" ref="W309">IF($F309&lt;&gt;"",XLOOKUP($F309,Productos!$A:$A,Productos!P:P,"Revisar"),"")</f>
        <v/>
      </c>
      <c r="X309" s="179" t="str">
        <f t="array" ref="X309">IF($F309&lt;&gt;"", XLOOKUP($F309,Productos!$A$2:$A1001,Productos!Q$2:Q1001,"")*$G309,"")</f>
        <v/>
      </c>
      <c r="Y309" s="179" t="str">
        <f t="array" ref="Y309">IF($F309&lt;&gt;"",XLOOKUP($F309,Productos!$A:$A,Productos!R:R,"Revisar"),"")</f>
        <v/>
      </c>
      <c r="Z309" s="179" t="str">
        <f t="array" ref="Z309">IF($F309&lt;&gt;"", XLOOKUP($F309,Productos!$A$2:$A1001,Productos!S$2:S1001,"")*$G309,"")</f>
        <v/>
      </c>
      <c r="AA309" s="179" t="str">
        <f t="array" ref="AA309">IF($F309&lt;&gt;"",XLOOKUP($F309,Productos!$A:$A,Productos!T:T,"Revisar"),"")</f>
        <v/>
      </c>
      <c r="AB309" s="179" t="str">
        <f t="array" ref="AB309">IF($F309&lt;&gt;"", XLOOKUP($F309,Productos!$A$2:$A1001,Productos!U$2:U1001,"")*$G309,"")</f>
        <v/>
      </c>
      <c r="AC309" s="179" t="str">
        <f t="array" ref="AC309">IF($F309&lt;&gt;"",XLOOKUP($F309,Productos!$A:$A,Productos!V:V,"Revisar"),"")</f>
        <v/>
      </c>
      <c r="AD309" s="179" t="str">
        <f t="array" ref="AD309">IF($F309&lt;&gt;"", XLOOKUP($F309,Productos!$A$2:$A1001,Productos!W$2:W1001,"")*$G309,"")</f>
        <v/>
      </c>
      <c r="AE309" s="179" t="str">
        <f t="array" ref="AE309">IF($F309&lt;&gt;"",XLOOKUP($F309,Productos!$A:$A,Productos!X:X,"Revisar"),"")</f>
        <v/>
      </c>
      <c r="AF309" s="179" t="str">
        <f t="array" ref="AF309">IF($F309&lt;&gt;"", XLOOKUP($F309,Productos!$A$2:$A1001,Productos!Y$2:Y1001,"")*$G309,"")</f>
        <v/>
      </c>
      <c r="AG309" s="179" t="str">
        <f t="array" ref="AG309">IF($F309&lt;&gt;"",XLOOKUP($F309,Productos!$A:$A,Productos!Z:Z,"Revisar"),"")</f>
        <v/>
      </c>
      <c r="AH309" s="179" t="str">
        <f t="array" ref="AH309">IF($F309&lt;&gt;"", XLOOKUP($F309,Productos!$A$2:$A1001,Productos!AA$2:AA1001,"")*$G309,"")</f>
        <v/>
      </c>
      <c r="AI309" s="179" t="str">
        <f t="array" ref="AI309">IF($F309&lt;&gt;"",XLOOKUP($F309,Productos!$A:$A,Productos!AB:AB,"Revisar"),"")</f>
        <v/>
      </c>
      <c r="AJ309" s="179" t="str">
        <f t="array" ref="AJ309">IF($F309&lt;&gt;"", XLOOKUP($F309,Productos!$A$2:$A1001,Productos!AC$2:AC1001,"")*$G309,"")</f>
        <v/>
      </c>
      <c r="AK309" s="179" t="str">
        <f t="array" ref="AK309">IF($F309&lt;&gt;"",XLOOKUP($F309,Productos!$A:$A,Productos!AD:AD,"Revisar"),"")</f>
        <v/>
      </c>
      <c r="AL309" s="179" t="str">
        <f t="array" ref="AL309">IF($F309&lt;&gt;"", XLOOKUP($F309,Productos!$A$2:$A1001,Productos!AE$2:AE1001,"")*$G309,"")</f>
        <v/>
      </c>
      <c r="AM309" s="179" t="str">
        <f t="array" ref="AM309">IF($F309&lt;&gt;"",XLOOKUP($F309,Productos!$A:$A,Productos!AF:AF,"Revisar"),"")</f>
        <v/>
      </c>
      <c r="AN309" s="179" t="str">
        <f t="array" ref="AN309">IF($F309&lt;&gt;"", XLOOKUP($F309,Productos!$A$2:$A1001,Productos!AG$2:AG1001,"")*$G309,"")</f>
        <v/>
      </c>
      <c r="AO309" s="179" t="str">
        <f t="array" ref="AO309">IF($F309&lt;&gt;"",XLOOKUP($F309,Productos!$A:$A,Productos!AH:AH,"Revisar"),"")</f>
        <v/>
      </c>
      <c r="AP309" s="179" t="str">
        <f t="array" ref="AP309">IF($F309&lt;&gt;"", XLOOKUP($F309,Productos!$A$2:$A1001,Productos!AI$2:AI1001,"")*$G309,"")</f>
        <v/>
      </c>
      <c r="AQ309" s="179" t="str">
        <f t="array" ref="AQ309">IF($F309&lt;&gt;"",XLOOKUP($F309,Productos!$A:$A,Productos!AJ:AJ,"Revisar"),"")</f>
        <v/>
      </c>
      <c r="AR309" s="179" t="str">
        <f t="array" ref="AR309">IF($F309&lt;&gt;"", XLOOKUP($F309,Productos!$A$2:$A1001,Productos!AK$2:AK1001,"")*$G309,"")</f>
        <v/>
      </c>
      <c r="AS309" s="179" t="str">
        <f t="array" ref="AS309">IF($F309&lt;&gt;"",XLOOKUP($F309,Productos!$A:$A,Productos!AL:AL,"Revisar"),"")</f>
        <v/>
      </c>
      <c r="AT309" s="179" t="str">
        <f t="array" ref="AT309">IF($F309&lt;&gt;"", XLOOKUP($F309,Productos!$A$2:$A1001,Productos!AM$2:AM1001,"")*$G309,"")</f>
        <v/>
      </c>
      <c r="AU309" s="179" t="str">
        <f t="array" ref="AU309">IF($F309&lt;&gt;"",XLOOKUP($F309,Productos!$A:$A,Productos!AN:AN,"Revisar"),"")</f>
        <v/>
      </c>
      <c r="AV309" s="179" t="str">
        <f t="array" ref="AV309">IF($F309&lt;&gt;"", XLOOKUP($F309,Productos!$A$2:$A1001,Productos!AO$2:AO1001,"")*$G309,"")</f>
        <v/>
      </c>
      <c r="AW309" s="179" t="str">
        <f t="array" ref="AW309">IF($F309&lt;&gt;"",XLOOKUP($F309,Productos!$A:$A,Productos!AP:AP,"Revisar"),"")</f>
        <v/>
      </c>
      <c r="AX309" s="179" t="str">
        <f t="array" ref="AX309">IF($F309&lt;&gt;"", XLOOKUP($F309,Productos!$A$2:$A1001,Productos!AQ$2:AQ1001,"")*$G309,"")</f>
        <v/>
      </c>
      <c r="AY309" s="179" t="str">
        <f t="array" ref="AY309">IF($F309&lt;&gt;"",XLOOKUP($F309,Productos!$A:$A,Productos!AR:AR,"Revisar"),"")</f>
        <v/>
      </c>
      <c r="AZ309" s="179" t="str">
        <f t="array" ref="AZ309">IF($F309&lt;&gt;"", XLOOKUP($F309,Productos!$A$2:$A1001,Productos!AS$2:AS1001,"")*$G309,"")</f>
        <v/>
      </c>
      <c r="BA309" s="179" t="str">
        <f t="array" ref="BA309">IF($F309&lt;&gt;"",XLOOKUP($F309,Productos!$A:$A,Productos!AT:AT,"Revisar"),"")</f>
        <v/>
      </c>
      <c r="BB309" s="179" t="str">
        <f t="array" ref="BB309">IF($F309&lt;&gt;"", XLOOKUP($F309,Productos!$A$2:$A1001,Productos!AU$2:AU1001,"")*$G309,"")</f>
        <v/>
      </c>
      <c r="BC309" s="179" t="str">
        <f t="array" ref="BC309">IF($F309&lt;&gt;"",XLOOKUP($F309,Productos!$A:$A,Productos!AV:AV,"Revisar"),"")</f>
        <v/>
      </c>
      <c r="BD309" s="179" t="str">
        <f t="array" ref="BD309">IF($F309&lt;&gt;"", XLOOKUP($F309,Productos!$A$2:$A1001,Productos!AW$2:AW1001,"")*$G309,"")</f>
        <v/>
      </c>
      <c r="BE309" s="179" t="str">
        <f t="array" ref="BE309">IF($F309&lt;&gt;"",XLOOKUP($F309,Productos!$A:$A,Productos!AX:AX,"Revisar"),"")</f>
        <v/>
      </c>
      <c r="BF309" s="179" t="str">
        <f t="array" ref="BF309">IF($F309&lt;&gt;"", XLOOKUP($F309,Productos!$A$2:$A1001,Productos!AY$2:AY1001,"")*$G309,"")</f>
        <v/>
      </c>
      <c r="BG309" s="179" t="str">
        <f t="array" ref="BG309">IF($F309&lt;&gt;"",XLOOKUP($F309,Productos!$A:$A,Productos!AZ:AZ,"Revisar"),"")</f>
        <v/>
      </c>
      <c r="BH309" s="179" t="str">
        <f t="array" ref="BH309">IF($F309&lt;&gt;"", XLOOKUP($F309,Productos!$A$2:$A1001,Productos!BA$2:BA1001,"")*$G309,"")</f>
        <v/>
      </c>
      <c r="BI309" s="179" t="str">
        <f t="array" ref="BI309">IF($F309&lt;&gt;"",XLOOKUP($F309,Productos!$A:$A,Productos!BB:BB,"Revisar"),"")</f>
        <v/>
      </c>
      <c r="BJ309" s="179" t="str">
        <f t="array" ref="BJ309">IF($F309&lt;&gt;"", XLOOKUP($F309,Productos!$A$2:$A1001,Productos!BC$2:BC1001,"")*$G309,"")</f>
        <v/>
      </c>
      <c r="BK309" s="179" t="str">
        <f t="array" ref="BK309">IF($F309&lt;&gt;"",XLOOKUP($F309,Productos!$A:$A,Productos!BD:BD,"Revisar"),"")</f>
        <v/>
      </c>
      <c r="BL309" s="179" t="str">
        <f t="array" ref="BL309">IF($F309&lt;&gt;"", XLOOKUP($F309,Productos!$A$2:$A1001,Productos!BE$2:BE1001,"")*$G309,"")</f>
        <v/>
      </c>
      <c r="BM309" s="179" t="str">
        <f t="array" ref="BM309">IF($F309&lt;&gt;"",XLOOKUP($F309,Productos!$A:$A,Productos!BF:BF,"Revisar"),"")</f>
        <v/>
      </c>
      <c r="BN309" s="179" t="str">
        <f t="array" ref="BN309">IF($F309&lt;&gt;"", XLOOKUP($F309,Productos!$A$2:$A1001,Productos!BG$2:BG1001,"")*$G309,"")</f>
        <v/>
      </c>
      <c r="BO309" s="179" t="str">
        <f t="array" ref="BO309">IF($F309&lt;&gt;"",XLOOKUP($F309,Productos!$A:$A,Productos!BH:BH,"Revisar"),"")</f>
        <v/>
      </c>
      <c r="BP309" s="179" t="str">
        <f t="array" ref="BP309">IF($F309&lt;&gt;"", XLOOKUP($F309,Productos!$A$2:$A1001,Productos!BI$2:BI1001,"")*$G309,"")</f>
        <v/>
      </c>
      <c r="BQ309" s="179" t="str">
        <f t="array" ref="BQ309">IF($F309&lt;&gt;"",XLOOKUP($F309,Productos!$A:$A,Productos!BJ:BJ,"Revisar"),"")</f>
        <v/>
      </c>
      <c r="BR309" s="179" t="str">
        <f t="array" ref="BR309">IF($F309&lt;&gt;"", XLOOKUP($F309,Productos!$A$2:$A1001,Productos!BK$2:BK1001,"")*$G309,"")</f>
        <v/>
      </c>
      <c r="BS309" s="179" t="str">
        <f t="array" ref="BS309">IF($F309&lt;&gt;"",XLOOKUP($F309,Productos!$A:$A,Productos!BL:BL,"Revisar"),"")</f>
        <v/>
      </c>
      <c r="BT309" s="179" t="str">
        <f t="array" ref="BT309">IF($F309&lt;&gt;"", XLOOKUP($F309,Productos!$A$2:$A1001,Productos!BM$2:BM1001,"")*$G309,"")</f>
        <v/>
      </c>
      <c r="BU309" s="179" t="str">
        <f t="array" ref="BU309">IF($F309&lt;&gt;"",XLOOKUP($F309,Productos!$A:$A,Productos!BN:BN,"Revisar"),"")</f>
        <v/>
      </c>
      <c r="BV309" s="179" t="str">
        <f t="array" ref="BV309">IF($F309&lt;&gt;"", XLOOKUP($F309,Productos!$A$2:$A1001,Productos!BO$2:BO1001,"")*$G309,"")</f>
        <v/>
      </c>
      <c r="BW309" s="179" t="str">
        <f t="array" ref="BW309">IF($F309&lt;&gt;"",XLOOKUP($F309,Productos!$A:$A,Productos!BP:BP,"Revisar"),"")</f>
        <v/>
      </c>
      <c r="BX309" s="179" t="str">
        <f t="array" ref="BX309">IF($F309&lt;&gt;"", XLOOKUP($F309,Productos!$A$2:$A1001,Productos!BQ$2:BQ1001,"")*$G309,"")</f>
        <v/>
      </c>
      <c r="BY309" s="179" t="str">
        <f t="array" ref="BY309">IF($F309&lt;&gt;"",XLOOKUP($F309,Productos!$A:$A,Productos!BR:BR,"Revisar"),"")</f>
        <v/>
      </c>
      <c r="BZ309" s="179" t="str">
        <f t="array" ref="BZ309">IF($F309&lt;&gt;"", XLOOKUP($F309,Productos!$A$2:$A1001,Productos!BS$2:BS1001,"")*$G309,"")</f>
        <v/>
      </c>
    </row>
    <row r="310">
      <c r="A310" s="180"/>
      <c r="B310" s="181"/>
      <c r="C310" s="182"/>
      <c r="D310" s="182"/>
      <c r="E310" s="185"/>
      <c r="F310" s="186"/>
      <c r="G310" s="187"/>
      <c r="H310" s="186"/>
      <c r="I310" s="179" t="str">
        <f t="array" ref="I310">IF($F310&lt;&gt;"",XLOOKUP($F310,Productos!$A:$A,Productos!B:B,"Revisar"),"")</f>
        <v/>
      </c>
      <c r="J310" s="179" t="str">
        <f t="array" ref="J310">IF($F310&lt;&gt;"", XLOOKUP($F310,Productos!$A$2:$A1001,Productos!C$2:C1001,"")*$G310,"")</f>
        <v/>
      </c>
      <c r="K310" s="179" t="str">
        <f t="array" ref="K310">IF($F310&lt;&gt;"",XLOOKUP($F310,Productos!$A:$A,Productos!D:D,"Revisar"),"")</f>
        <v/>
      </c>
      <c r="L310" s="179" t="str">
        <f t="array" ref="L310">IF($F310&lt;&gt;"", XLOOKUP($F310,Productos!$A$2:$A1001,Productos!E$2:E1001,"")*$G310,"")</f>
        <v/>
      </c>
      <c r="M310" s="179" t="str">
        <f t="array" ref="M310">IF($F310&lt;&gt;"",XLOOKUP($F310,Productos!$A:$A,Productos!F:F,"Revisar"),"")</f>
        <v/>
      </c>
      <c r="N310" s="179" t="str">
        <f t="array" ref="N310">IF($F310&lt;&gt;"", XLOOKUP($F310,Productos!$A$2:$A1001,Productos!G$2:G1001,"")*$G310,"")</f>
        <v/>
      </c>
      <c r="O310" s="179" t="str">
        <f t="array" ref="O310">IF($F310&lt;&gt;"",XLOOKUP($F310,Productos!$A:$A,Productos!H:H,"Revisar"),"")</f>
        <v/>
      </c>
      <c r="P310" s="179" t="str">
        <f t="array" ref="P310">IF($F310&lt;&gt;"", XLOOKUP($F310,Productos!$A$2:$A1001,Productos!I$2:I1001,"")*$G310,"")</f>
        <v/>
      </c>
      <c r="Q310" s="179" t="str">
        <f t="array" ref="Q310">IF($F310&lt;&gt;"",XLOOKUP($F310,Productos!$A:$A,Productos!J:J,"Revisar"),"")</f>
        <v/>
      </c>
      <c r="R310" s="179" t="str">
        <f t="array" ref="R310">IF($F310&lt;&gt;"", XLOOKUP($F310,Productos!$A$2:$A1001,Productos!K$2:K1001,"")*$G310,"")</f>
        <v/>
      </c>
      <c r="S310" s="179" t="str">
        <f t="array" ref="S310">IF($F310&lt;&gt;"",XLOOKUP($F310,Productos!$A:$A,Productos!L:L,"Revisar"),"")</f>
        <v/>
      </c>
      <c r="T310" s="179" t="str">
        <f t="array" ref="T310">IF($F310&lt;&gt;"", XLOOKUP($F310,Productos!$A$2:$A1001,Productos!M$2:M1001,"")*$G310,"")</f>
        <v/>
      </c>
      <c r="U310" s="179" t="str">
        <f t="array" ref="U310">IF($F310&lt;&gt;"",XLOOKUP($F310,Productos!$A:$A,Productos!N:N,"Revisar"),"")</f>
        <v/>
      </c>
      <c r="V310" s="179" t="str">
        <f t="array" ref="V310">IF($F310&lt;&gt;"", XLOOKUP($F310,Productos!$A$2:$A1001,Productos!O$2:O1001,"")*$G310,"")</f>
        <v/>
      </c>
      <c r="W310" s="179" t="str">
        <f t="array" ref="W310">IF($F310&lt;&gt;"",XLOOKUP($F310,Productos!$A:$A,Productos!P:P,"Revisar"),"")</f>
        <v/>
      </c>
      <c r="X310" s="179" t="str">
        <f t="array" ref="X310">IF($F310&lt;&gt;"", XLOOKUP($F310,Productos!$A$2:$A1001,Productos!Q$2:Q1001,"")*$G310,"")</f>
        <v/>
      </c>
      <c r="Y310" s="179" t="str">
        <f t="array" ref="Y310">IF($F310&lt;&gt;"",XLOOKUP($F310,Productos!$A:$A,Productos!R:R,"Revisar"),"")</f>
        <v/>
      </c>
      <c r="Z310" s="179" t="str">
        <f t="array" ref="Z310">IF($F310&lt;&gt;"", XLOOKUP($F310,Productos!$A$2:$A1001,Productos!S$2:S1001,"")*$G310,"")</f>
        <v/>
      </c>
      <c r="AA310" s="179" t="str">
        <f t="array" ref="AA310">IF($F310&lt;&gt;"",XLOOKUP($F310,Productos!$A:$A,Productos!T:T,"Revisar"),"")</f>
        <v/>
      </c>
      <c r="AB310" s="179" t="str">
        <f t="array" ref="AB310">IF($F310&lt;&gt;"", XLOOKUP($F310,Productos!$A$2:$A1001,Productos!U$2:U1001,"")*$G310,"")</f>
        <v/>
      </c>
      <c r="AC310" s="179" t="str">
        <f t="array" ref="AC310">IF($F310&lt;&gt;"",XLOOKUP($F310,Productos!$A:$A,Productos!V:V,"Revisar"),"")</f>
        <v/>
      </c>
      <c r="AD310" s="179" t="str">
        <f t="array" ref="AD310">IF($F310&lt;&gt;"", XLOOKUP($F310,Productos!$A$2:$A1001,Productos!W$2:W1001,"")*$G310,"")</f>
        <v/>
      </c>
      <c r="AE310" s="179" t="str">
        <f t="array" ref="AE310">IF($F310&lt;&gt;"",XLOOKUP($F310,Productos!$A:$A,Productos!X:X,"Revisar"),"")</f>
        <v/>
      </c>
      <c r="AF310" s="179" t="str">
        <f t="array" ref="AF310">IF($F310&lt;&gt;"", XLOOKUP($F310,Productos!$A$2:$A1001,Productos!Y$2:Y1001,"")*$G310,"")</f>
        <v/>
      </c>
      <c r="AG310" s="179" t="str">
        <f t="array" ref="AG310">IF($F310&lt;&gt;"",XLOOKUP($F310,Productos!$A:$A,Productos!Z:Z,"Revisar"),"")</f>
        <v/>
      </c>
      <c r="AH310" s="179" t="str">
        <f t="array" ref="AH310">IF($F310&lt;&gt;"", XLOOKUP($F310,Productos!$A$2:$A1001,Productos!AA$2:AA1001,"")*$G310,"")</f>
        <v/>
      </c>
      <c r="AI310" s="179" t="str">
        <f t="array" ref="AI310">IF($F310&lt;&gt;"",XLOOKUP($F310,Productos!$A:$A,Productos!AB:AB,"Revisar"),"")</f>
        <v/>
      </c>
      <c r="AJ310" s="179" t="str">
        <f t="array" ref="AJ310">IF($F310&lt;&gt;"", XLOOKUP($F310,Productos!$A$2:$A1001,Productos!AC$2:AC1001,"")*$G310,"")</f>
        <v/>
      </c>
      <c r="AK310" s="179" t="str">
        <f t="array" ref="AK310">IF($F310&lt;&gt;"",XLOOKUP($F310,Productos!$A:$A,Productos!AD:AD,"Revisar"),"")</f>
        <v/>
      </c>
      <c r="AL310" s="179" t="str">
        <f t="array" ref="AL310">IF($F310&lt;&gt;"", XLOOKUP($F310,Productos!$A$2:$A1001,Productos!AE$2:AE1001,"")*$G310,"")</f>
        <v/>
      </c>
      <c r="AM310" s="179" t="str">
        <f t="array" ref="AM310">IF($F310&lt;&gt;"",XLOOKUP($F310,Productos!$A:$A,Productos!AF:AF,"Revisar"),"")</f>
        <v/>
      </c>
      <c r="AN310" s="179" t="str">
        <f t="array" ref="AN310">IF($F310&lt;&gt;"", XLOOKUP($F310,Productos!$A$2:$A1001,Productos!AG$2:AG1001,"")*$G310,"")</f>
        <v/>
      </c>
      <c r="AO310" s="179" t="str">
        <f t="array" ref="AO310">IF($F310&lt;&gt;"",XLOOKUP($F310,Productos!$A:$A,Productos!AH:AH,"Revisar"),"")</f>
        <v/>
      </c>
      <c r="AP310" s="179" t="str">
        <f t="array" ref="AP310">IF($F310&lt;&gt;"", XLOOKUP($F310,Productos!$A$2:$A1001,Productos!AI$2:AI1001,"")*$G310,"")</f>
        <v/>
      </c>
      <c r="AQ310" s="179" t="str">
        <f t="array" ref="AQ310">IF($F310&lt;&gt;"",XLOOKUP($F310,Productos!$A:$A,Productos!AJ:AJ,"Revisar"),"")</f>
        <v/>
      </c>
      <c r="AR310" s="179" t="str">
        <f t="array" ref="AR310">IF($F310&lt;&gt;"", XLOOKUP($F310,Productos!$A$2:$A1001,Productos!AK$2:AK1001,"")*$G310,"")</f>
        <v/>
      </c>
      <c r="AS310" s="179" t="str">
        <f t="array" ref="AS310">IF($F310&lt;&gt;"",XLOOKUP($F310,Productos!$A:$A,Productos!AL:AL,"Revisar"),"")</f>
        <v/>
      </c>
      <c r="AT310" s="179" t="str">
        <f t="array" ref="AT310">IF($F310&lt;&gt;"", XLOOKUP($F310,Productos!$A$2:$A1001,Productos!AM$2:AM1001,"")*$G310,"")</f>
        <v/>
      </c>
      <c r="AU310" s="179" t="str">
        <f t="array" ref="AU310">IF($F310&lt;&gt;"",XLOOKUP($F310,Productos!$A:$A,Productos!AN:AN,"Revisar"),"")</f>
        <v/>
      </c>
      <c r="AV310" s="179" t="str">
        <f t="array" ref="AV310">IF($F310&lt;&gt;"", XLOOKUP($F310,Productos!$A$2:$A1001,Productos!AO$2:AO1001,"")*$G310,"")</f>
        <v/>
      </c>
      <c r="AW310" s="179" t="str">
        <f t="array" ref="AW310">IF($F310&lt;&gt;"",XLOOKUP($F310,Productos!$A:$A,Productos!AP:AP,"Revisar"),"")</f>
        <v/>
      </c>
      <c r="AX310" s="179" t="str">
        <f t="array" ref="AX310">IF($F310&lt;&gt;"", XLOOKUP($F310,Productos!$A$2:$A1001,Productos!AQ$2:AQ1001,"")*$G310,"")</f>
        <v/>
      </c>
      <c r="AY310" s="179" t="str">
        <f t="array" ref="AY310">IF($F310&lt;&gt;"",XLOOKUP($F310,Productos!$A:$A,Productos!AR:AR,"Revisar"),"")</f>
        <v/>
      </c>
      <c r="AZ310" s="179" t="str">
        <f t="array" ref="AZ310">IF($F310&lt;&gt;"", XLOOKUP($F310,Productos!$A$2:$A1001,Productos!AS$2:AS1001,"")*$G310,"")</f>
        <v/>
      </c>
      <c r="BA310" s="179" t="str">
        <f t="array" ref="BA310">IF($F310&lt;&gt;"",XLOOKUP($F310,Productos!$A:$A,Productos!AT:AT,"Revisar"),"")</f>
        <v/>
      </c>
      <c r="BB310" s="179" t="str">
        <f t="array" ref="BB310">IF($F310&lt;&gt;"", XLOOKUP($F310,Productos!$A$2:$A1001,Productos!AU$2:AU1001,"")*$G310,"")</f>
        <v/>
      </c>
      <c r="BC310" s="179" t="str">
        <f t="array" ref="BC310">IF($F310&lt;&gt;"",XLOOKUP($F310,Productos!$A:$A,Productos!AV:AV,"Revisar"),"")</f>
        <v/>
      </c>
      <c r="BD310" s="179" t="str">
        <f t="array" ref="BD310">IF($F310&lt;&gt;"", XLOOKUP($F310,Productos!$A$2:$A1001,Productos!AW$2:AW1001,"")*$G310,"")</f>
        <v/>
      </c>
      <c r="BE310" s="179" t="str">
        <f t="array" ref="BE310">IF($F310&lt;&gt;"",XLOOKUP($F310,Productos!$A:$A,Productos!AX:AX,"Revisar"),"")</f>
        <v/>
      </c>
      <c r="BF310" s="179" t="str">
        <f t="array" ref="BF310">IF($F310&lt;&gt;"", XLOOKUP($F310,Productos!$A$2:$A1001,Productos!AY$2:AY1001,"")*$G310,"")</f>
        <v/>
      </c>
      <c r="BG310" s="179" t="str">
        <f t="array" ref="BG310">IF($F310&lt;&gt;"",XLOOKUP($F310,Productos!$A:$A,Productos!AZ:AZ,"Revisar"),"")</f>
        <v/>
      </c>
      <c r="BH310" s="179" t="str">
        <f t="array" ref="BH310">IF($F310&lt;&gt;"", XLOOKUP($F310,Productos!$A$2:$A1001,Productos!BA$2:BA1001,"")*$G310,"")</f>
        <v/>
      </c>
      <c r="BI310" s="179" t="str">
        <f t="array" ref="BI310">IF($F310&lt;&gt;"",XLOOKUP($F310,Productos!$A:$A,Productos!BB:BB,"Revisar"),"")</f>
        <v/>
      </c>
      <c r="BJ310" s="179" t="str">
        <f t="array" ref="BJ310">IF($F310&lt;&gt;"", XLOOKUP($F310,Productos!$A$2:$A1001,Productos!BC$2:BC1001,"")*$G310,"")</f>
        <v/>
      </c>
      <c r="BK310" s="179" t="str">
        <f t="array" ref="BK310">IF($F310&lt;&gt;"",XLOOKUP($F310,Productos!$A:$A,Productos!BD:BD,"Revisar"),"")</f>
        <v/>
      </c>
      <c r="BL310" s="179" t="str">
        <f t="array" ref="BL310">IF($F310&lt;&gt;"", XLOOKUP($F310,Productos!$A$2:$A1001,Productos!BE$2:BE1001,"")*$G310,"")</f>
        <v/>
      </c>
      <c r="BM310" s="179" t="str">
        <f t="array" ref="BM310">IF($F310&lt;&gt;"",XLOOKUP($F310,Productos!$A:$A,Productos!BF:BF,"Revisar"),"")</f>
        <v/>
      </c>
      <c r="BN310" s="179" t="str">
        <f t="array" ref="BN310">IF($F310&lt;&gt;"", XLOOKUP($F310,Productos!$A$2:$A1001,Productos!BG$2:BG1001,"")*$G310,"")</f>
        <v/>
      </c>
      <c r="BO310" s="179" t="str">
        <f t="array" ref="BO310">IF($F310&lt;&gt;"",XLOOKUP($F310,Productos!$A:$A,Productos!BH:BH,"Revisar"),"")</f>
        <v/>
      </c>
      <c r="BP310" s="179" t="str">
        <f t="array" ref="BP310">IF($F310&lt;&gt;"", XLOOKUP($F310,Productos!$A$2:$A1001,Productos!BI$2:BI1001,"")*$G310,"")</f>
        <v/>
      </c>
      <c r="BQ310" s="179" t="str">
        <f t="array" ref="BQ310">IF($F310&lt;&gt;"",XLOOKUP($F310,Productos!$A:$A,Productos!BJ:BJ,"Revisar"),"")</f>
        <v/>
      </c>
      <c r="BR310" s="179" t="str">
        <f t="array" ref="BR310">IF($F310&lt;&gt;"", XLOOKUP($F310,Productos!$A$2:$A1001,Productos!BK$2:BK1001,"")*$G310,"")</f>
        <v/>
      </c>
      <c r="BS310" s="179" t="str">
        <f t="array" ref="BS310">IF($F310&lt;&gt;"",XLOOKUP($F310,Productos!$A:$A,Productos!BL:BL,"Revisar"),"")</f>
        <v/>
      </c>
      <c r="BT310" s="179" t="str">
        <f t="array" ref="BT310">IF($F310&lt;&gt;"", XLOOKUP($F310,Productos!$A$2:$A1001,Productos!BM$2:BM1001,"")*$G310,"")</f>
        <v/>
      </c>
      <c r="BU310" s="179" t="str">
        <f t="array" ref="BU310">IF($F310&lt;&gt;"",XLOOKUP($F310,Productos!$A:$A,Productos!BN:BN,"Revisar"),"")</f>
        <v/>
      </c>
      <c r="BV310" s="179" t="str">
        <f t="array" ref="BV310">IF($F310&lt;&gt;"", XLOOKUP($F310,Productos!$A$2:$A1001,Productos!BO$2:BO1001,"")*$G310,"")</f>
        <v/>
      </c>
      <c r="BW310" s="179" t="str">
        <f t="array" ref="BW310">IF($F310&lt;&gt;"",XLOOKUP($F310,Productos!$A:$A,Productos!BP:BP,"Revisar"),"")</f>
        <v/>
      </c>
      <c r="BX310" s="179" t="str">
        <f t="array" ref="BX310">IF($F310&lt;&gt;"", XLOOKUP($F310,Productos!$A$2:$A1001,Productos!BQ$2:BQ1001,"")*$G310,"")</f>
        <v/>
      </c>
      <c r="BY310" s="179" t="str">
        <f t="array" ref="BY310">IF($F310&lt;&gt;"",XLOOKUP($F310,Productos!$A:$A,Productos!BR:BR,"Revisar"),"")</f>
        <v/>
      </c>
      <c r="BZ310" s="179" t="str">
        <f t="array" ref="BZ310">IF($F310&lt;&gt;"", XLOOKUP($F310,Productos!$A$2:$A1001,Productos!BS$2:BS1001,"")*$G310,"")</f>
        <v/>
      </c>
    </row>
    <row r="311">
      <c r="A311" s="180"/>
      <c r="B311" s="181"/>
      <c r="C311" s="182"/>
      <c r="D311" s="182"/>
      <c r="E311" s="185"/>
      <c r="F311" s="186"/>
      <c r="G311" s="187"/>
      <c r="H311" s="186"/>
      <c r="I311" s="179" t="str">
        <f t="array" ref="I311">IF($F311&lt;&gt;"",XLOOKUP($F311,Productos!$A:$A,Productos!B:B,"Revisar"),"")</f>
        <v/>
      </c>
      <c r="J311" s="179" t="str">
        <f t="array" ref="J311">IF($F311&lt;&gt;"", XLOOKUP($F311,Productos!$A$2:$A1001,Productos!C$2:C1001,"")*$G311,"")</f>
        <v/>
      </c>
      <c r="K311" s="179" t="str">
        <f t="array" ref="K311">IF($F311&lt;&gt;"",XLOOKUP($F311,Productos!$A:$A,Productos!D:D,"Revisar"),"")</f>
        <v/>
      </c>
      <c r="L311" s="179" t="str">
        <f t="array" ref="L311">IF($F311&lt;&gt;"", XLOOKUP($F311,Productos!$A$2:$A1001,Productos!E$2:E1001,"")*$G311,"")</f>
        <v/>
      </c>
      <c r="M311" s="179" t="str">
        <f t="array" ref="M311">IF($F311&lt;&gt;"",XLOOKUP($F311,Productos!$A:$A,Productos!F:F,"Revisar"),"")</f>
        <v/>
      </c>
      <c r="N311" s="179" t="str">
        <f t="array" ref="N311">IF($F311&lt;&gt;"", XLOOKUP($F311,Productos!$A$2:$A1001,Productos!G$2:G1001,"")*$G311,"")</f>
        <v/>
      </c>
      <c r="O311" s="179" t="str">
        <f t="array" ref="O311">IF($F311&lt;&gt;"",XLOOKUP($F311,Productos!$A:$A,Productos!H:H,"Revisar"),"")</f>
        <v/>
      </c>
      <c r="P311" s="179" t="str">
        <f t="array" ref="P311">IF($F311&lt;&gt;"", XLOOKUP($F311,Productos!$A$2:$A1001,Productos!I$2:I1001,"")*$G311,"")</f>
        <v/>
      </c>
      <c r="Q311" s="179" t="str">
        <f t="array" ref="Q311">IF($F311&lt;&gt;"",XLOOKUP($F311,Productos!$A:$A,Productos!J:J,"Revisar"),"")</f>
        <v/>
      </c>
      <c r="R311" s="179" t="str">
        <f t="array" ref="R311">IF($F311&lt;&gt;"", XLOOKUP($F311,Productos!$A$2:$A1001,Productos!K$2:K1001,"")*$G311,"")</f>
        <v/>
      </c>
      <c r="S311" s="179" t="str">
        <f t="array" ref="S311">IF($F311&lt;&gt;"",XLOOKUP($F311,Productos!$A:$A,Productos!L:L,"Revisar"),"")</f>
        <v/>
      </c>
      <c r="T311" s="179" t="str">
        <f t="array" ref="T311">IF($F311&lt;&gt;"", XLOOKUP($F311,Productos!$A$2:$A1001,Productos!M$2:M1001,"")*$G311,"")</f>
        <v/>
      </c>
      <c r="U311" s="179" t="str">
        <f t="array" ref="U311">IF($F311&lt;&gt;"",XLOOKUP($F311,Productos!$A:$A,Productos!N:N,"Revisar"),"")</f>
        <v/>
      </c>
      <c r="V311" s="179" t="str">
        <f t="array" ref="V311">IF($F311&lt;&gt;"", XLOOKUP($F311,Productos!$A$2:$A1001,Productos!O$2:O1001,"")*$G311,"")</f>
        <v/>
      </c>
      <c r="W311" s="179" t="str">
        <f t="array" ref="W311">IF($F311&lt;&gt;"",XLOOKUP($F311,Productos!$A:$A,Productos!P:P,"Revisar"),"")</f>
        <v/>
      </c>
      <c r="X311" s="179" t="str">
        <f t="array" ref="X311">IF($F311&lt;&gt;"", XLOOKUP($F311,Productos!$A$2:$A1001,Productos!Q$2:Q1001,"")*$G311,"")</f>
        <v/>
      </c>
      <c r="Y311" s="179" t="str">
        <f t="array" ref="Y311">IF($F311&lt;&gt;"",XLOOKUP($F311,Productos!$A:$A,Productos!R:R,"Revisar"),"")</f>
        <v/>
      </c>
      <c r="Z311" s="179" t="str">
        <f t="array" ref="Z311">IF($F311&lt;&gt;"", XLOOKUP($F311,Productos!$A$2:$A1001,Productos!S$2:S1001,"")*$G311,"")</f>
        <v/>
      </c>
      <c r="AA311" s="179" t="str">
        <f t="array" ref="AA311">IF($F311&lt;&gt;"",XLOOKUP($F311,Productos!$A:$A,Productos!T:T,"Revisar"),"")</f>
        <v/>
      </c>
      <c r="AB311" s="179" t="str">
        <f t="array" ref="AB311">IF($F311&lt;&gt;"", XLOOKUP($F311,Productos!$A$2:$A1001,Productos!U$2:U1001,"")*$G311,"")</f>
        <v/>
      </c>
      <c r="AC311" s="179" t="str">
        <f t="array" ref="AC311">IF($F311&lt;&gt;"",XLOOKUP($F311,Productos!$A:$A,Productos!V:V,"Revisar"),"")</f>
        <v/>
      </c>
      <c r="AD311" s="179" t="str">
        <f t="array" ref="AD311">IF($F311&lt;&gt;"", XLOOKUP($F311,Productos!$A$2:$A1001,Productos!W$2:W1001,"")*$G311,"")</f>
        <v/>
      </c>
      <c r="AE311" s="179" t="str">
        <f t="array" ref="AE311">IF($F311&lt;&gt;"",XLOOKUP($F311,Productos!$A:$A,Productos!X:X,"Revisar"),"")</f>
        <v/>
      </c>
      <c r="AF311" s="179" t="str">
        <f t="array" ref="AF311">IF($F311&lt;&gt;"", XLOOKUP($F311,Productos!$A$2:$A1001,Productos!Y$2:Y1001,"")*$G311,"")</f>
        <v/>
      </c>
      <c r="AG311" s="179" t="str">
        <f t="array" ref="AG311">IF($F311&lt;&gt;"",XLOOKUP($F311,Productos!$A:$A,Productos!Z:Z,"Revisar"),"")</f>
        <v/>
      </c>
      <c r="AH311" s="179" t="str">
        <f t="array" ref="AH311">IF($F311&lt;&gt;"", XLOOKUP($F311,Productos!$A$2:$A1001,Productos!AA$2:AA1001,"")*$G311,"")</f>
        <v/>
      </c>
      <c r="AI311" s="179" t="str">
        <f t="array" ref="AI311">IF($F311&lt;&gt;"",XLOOKUP($F311,Productos!$A:$A,Productos!AB:AB,"Revisar"),"")</f>
        <v/>
      </c>
      <c r="AJ311" s="179" t="str">
        <f t="array" ref="AJ311">IF($F311&lt;&gt;"", XLOOKUP($F311,Productos!$A$2:$A1001,Productos!AC$2:AC1001,"")*$G311,"")</f>
        <v/>
      </c>
      <c r="AK311" s="179" t="str">
        <f t="array" ref="AK311">IF($F311&lt;&gt;"",XLOOKUP($F311,Productos!$A:$A,Productos!AD:AD,"Revisar"),"")</f>
        <v/>
      </c>
      <c r="AL311" s="179" t="str">
        <f t="array" ref="AL311">IF($F311&lt;&gt;"", XLOOKUP($F311,Productos!$A$2:$A1001,Productos!AE$2:AE1001,"")*$G311,"")</f>
        <v/>
      </c>
      <c r="AM311" s="179" t="str">
        <f t="array" ref="AM311">IF($F311&lt;&gt;"",XLOOKUP($F311,Productos!$A:$A,Productos!AF:AF,"Revisar"),"")</f>
        <v/>
      </c>
      <c r="AN311" s="179" t="str">
        <f t="array" ref="AN311">IF($F311&lt;&gt;"", XLOOKUP($F311,Productos!$A$2:$A1001,Productos!AG$2:AG1001,"")*$G311,"")</f>
        <v/>
      </c>
      <c r="AO311" s="179" t="str">
        <f t="array" ref="AO311">IF($F311&lt;&gt;"",XLOOKUP($F311,Productos!$A:$A,Productos!AH:AH,"Revisar"),"")</f>
        <v/>
      </c>
      <c r="AP311" s="179" t="str">
        <f t="array" ref="AP311">IF($F311&lt;&gt;"", XLOOKUP($F311,Productos!$A$2:$A1001,Productos!AI$2:AI1001,"")*$G311,"")</f>
        <v/>
      </c>
      <c r="AQ311" s="179" t="str">
        <f t="array" ref="AQ311">IF($F311&lt;&gt;"",XLOOKUP($F311,Productos!$A:$A,Productos!AJ:AJ,"Revisar"),"")</f>
        <v/>
      </c>
      <c r="AR311" s="179" t="str">
        <f t="array" ref="AR311">IF($F311&lt;&gt;"", XLOOKUP($F311,Productos!$A$2:$A1001,Productos!AK$2:AK1001,"")*$G311,"")</f>
        <v/>
      </c>
      <c r="AS311" s="179" t="str">
        <f t="array" ref="AS311">IF($F311&lt;&gt;"",XLOOKUP($F311,Productos!$A:$A,Productos!AL:AL,"Revisar"),"")</f>
        <v/>
      </c>
      <c r="AT311" s="179" t="str">
        <f t="array" ref="AT311">IF($F311&lt;&gt;"", XLOOKUP($F311,Productos!$A$2:$A1001,Productos!AM$2:AM1001,"")*$G311,"")</f>
        <v/>
      </c>
      <c r="AU311" s="179" t="str">
        <f t="array" ref="AU311">IF($F311&lt;&gt;"",XLOOKUP($F311,Productos!$A:$A,Productos!AN:AN,"Revisar"),"")</f>
        <v/>
      </c>
      <c r="AV311" s="179" t="str">
        <f t="array" ref="AV311">IF($F311&lt;&gt;"", XLOOKUP($F311,Productos!$A$2:$A1001,Productos!AO$2:AO1001,"")*$G311,"")</f>
        <v/>
      </c>
      <c r="AW311" s="179" t="str">
        <f t="array" ref="AW311">IF($F311&lt;&gt;"",XLOOKUP($F311,Productos!$A:$A,Productos!AP:AP,"Revisar"),"")</f>
        <v/>
      </c>
      <c r="AX311" s="179" t="str">
        <f t="array" ref="AX311">IF($F311&lt;&gt;"", XLOOKUP($F311,Productos!$A$2:$A1001,Productos!AQ$2:AQ1001,"")*$G311,"")</f>
        <v/>
      </c>
      <c r="AY311" s="179" t="str">
        <f t="array" ref="AY311">IF($F311&lt;&gt;"",XLOOKUP($F311,Productos!$A:$A,Productos!AR:AR,"Revisar"),"")</f>
        <v/>
      </c>
      <c r="AZ311" s="179" t="str">
        <f t="array" ref="AZ311">IF($F311&lt;&gt;"", XLOOKUP($F311,Productos!$A$2:$A1001,Productos!AS$2:AS1001,"")*$G311,"")</f>
        <v/>
      </c>
      <c r="BA311" s="179" t="str">
        <f t="array" ref="BA311">IF($F311&lt;&gt;"",XLOOKUP($F311,Productos!$A:$A,Productos!AT:AT,"Revisar"),"")</f>
        <v/>
      </c>
      <c r="BB311" s="179" t="str">
        <f t="array" ref="BB311">IF($F311&lt;&gt;"", XLOOKUP($F311,Productos!$A$2:$A1001,Productos!AU$2:AU1001,"")*$G311,"")</f>
        <v/>
      </c>
      <c r="BC311" s="179" t="str">
        <f t="array" ref="BC311">IF($F311&lt;&gt;"",XLOOKUP($F311,Productos!$A:$A,Productos!AV:AV,"Revisar"),"")</f>
        <v/>
      </c>
      <c r="BD311" s="179" t="str">
        <f t="array" ref="BD311">IF($F311&lt;&gt;"", XLOOKUP($F311,Productos!$A$2:$A1001,Productos!AW$2:AW1001,"")*$G311,"")</f>
        <v/>
      </c>
      <c r="BE311" s="179" t="str">
        <f t="array" ref="BE311">IF($F311&lt;&gt;"",XLOOKUP($F311,Productos!$A:$A,Productos!AX:AX,"Revisar"),"")</f>
        <v/>
      </c>
      <c r="BF311" s="179" t="str">
        <f t="array" ref="BF311">IF($F311&lt;&gt;"", XLOOKUP($F311,Productos!$A$2:$A1001,Productos!AY$2:AY1001,"")*$G311,"")</f>
        <v/>
      </c>
      <c r="BG311" s="179" t="str">
        <f t="array" ref="BG311">IF($F311&lt;&gt;"",XLOOKUP($F311,Productos!$A:$A,Productos!AZ:AZ,"Revisar"),"")</f>
        <v/>
      </c>
      <c r="BH311" s="179" t="str">
        <f t="array" ref="BH311">IF($F311&lt;&gt;"", XLOOKUP($F311,Productos!$A$2:$A1001,Productos!BA$2:BA1001,"")*$G311,"")</f>
        <v/>
      </c>
      <c r="BI311" s="179" t="str">
        <f t="array" ref="BI311">IF($F311&lt;&gt;"",XLOOKUP($F311,Productos!$A:$A,Productos!BB:BB,"Revisar"),"")</f>
        <v/>
      </c>
      <c r="BJ311" s="179" t="str">
        <f t="array" ref="BJ311">IF($F311&lt;&gt;"", XLOOKUP($F311,Productos!$A$2:$A1001,Productos!BC$2:BC1001,"")*$G311,"")</f>
        <v/>
      </c>
      <c r="BK311" s="179" t="str">
        <f t="array" ref="BK311">IF($F311&lt;&gt;"",XLOOKUP($F311,Productos!$A:$A,Productos!BD:BD,"Revisar"),"")</f>
        <v/>
      </c>
      <c r="BL311" s="179" t="str">
        <f t="array" ref="BL311">IF($F311&lt;&gt;"", XLOOKUP($F311,Productos!$A$2:$A1001,Productos!BE$2:BE1001,"")*$G311,"")</f>
        <v/>
      </c>
      <c r="BM311" s="179" t="str">
        <f t="array" ref="BM311">IF($F311&lt;&gt;"",XLOOKUP($F311,Productos!$A:$A,Productos!BF:BF,"Revisar"),"")</f>
        <v/>
      </c>
      <c r="BN311" s="179" t="str">
        <f t="array" ref="BN311">IF($F311&lt;&gt;"", XLOOKUP($F311,Productos!$A$2:$A1001,Productos!BG$2:BG1001,"")*$G311,"")</f>
        <v/>
      </c>
      <c r="BO311" s="179" t="str">
        <f t="array" ref="BO311">IF($F311&lt;&gt;"",XLOOKUP($F311,Productos!$A:$A,Productos!BH:BH,"Revisar"),"")</f>
        <v/>
      </c>
      <c r="BP311" s="179" t="str">
        <f t="array" ref="BP311">IF($F311&lt;&gt;"", XLOOKUP($F311,Productos!$A$2:$A1001,Productos!BI$2:BI1001,"")*$G311,"")</f>
        <v/>
      </c>
      <c r="BQ311" s="179" t="str">
        <f t="array" ref="BQ311">IF($F311&lt;&gt;"",XLOOKUP($F311,Productos!$A:$A,Productos!BJ:BJ,"Revisar"),"")</f>
        <v/>
      </c>
      <c r="BR311" s="179" t="str">
        <f t="array" ref="BR311">IF($F311&lt;&gt;"", XLOOKUP($F311,Productos!$A$2:$A1001,Productos!BK$2:BK1001,"")*$G311,"")</f>
        <v/>
      </c>
      <c r="BS311" s="179" t="str">
        <f t="array" ref="BS311">IF($F311&lt;&gt;"",XLOOKUP($F311,Productos!$A:$A,Productos!BL:BL,"Revisar"),"")</f>
        <v/>
      </c>
      <c r="BT311" s="179" t="str">
        <f t="array" ref="BT311">IF($F311&lt;&gt;"", XLOOKUP($F311,Productos!$A$2:$A1001,Productos!BM$2:BM1001,"")*$G311,"")</f>
        <v/>
      </c>
      <c r="BU311" s="179" t="str">
        <f t="array" ref="BU311">IF($F311&lt;&gt;"",XLOOKUP($F311,Productos!$A:$A,Productos!BN:BN,"Revisar"),"")</f>
        <v/>
      </c>
      <c r="BV311" s="179" t="str">
        <f t="array" ref="BV311">IF($F311&lt;&gt;"", XLOOKUP($F311,Productos!$A$2:$A1001,Productos!BO$2:BO1001,"")*$G311,"")</f>
        <v/>
      </c>
      <c r="BW311" s="179" t="str">
        <f t="array" ref="BW311">IF($F311&lt;&gt;"",XLOOKUP($F311,Productos!$A:$A,Productos!BP:BP,"Revisar"),"")</f>
        <v/>
      </c>
      <c r="BX311" s="179" t="str">
        <f t="array" ref="BX311">IF($F311&lt;&gt;"", XLOOKUP($F311,Productos!$A$2:$A1001,Productos!BQ$2:BQ1001,"")*$G311,"")</f>
        <v/>
      </c>
      <c r="BY311" s="179" t="str">
        <f t="array" ref="BY311">IF($F311&lt;&gt;"",XLOOKUP($F311,Productos!$A:$A,Productos!BR:BR,"Revisar"),"")</f>
        <v/>
      </c>
      <c r="BZ311" s="179" t="str">
        <f t="array" ref="BZ311">IF($F311&lt;&gt;"", XLOOKUP($F311,Productos!$A$2:$A1001,Productos!BS$2:BS1001,"")*$G311,"")</f>
        <v/>
      </c>
    </row>
    <row r="312">
      <c r="A312" s="180"/>
      <c r="B312" s="181"/>
      <c r="C312" s="182"/>
      <c r="D312" s="182"/>
      <c r="E312" s="185"/>
      <c r="F312" s="186"/>
      <c r="G312" s="187"/>
      <c r="H312" s="186"/>
      <c r="I312" s="179" t="str">
        <f t="array" ref="I312">IF($F312&lt;&gt;"",XLOOKUP($F312,Productos!$A:$A,Productos!B:B,"Revisar"),"")</f>
        <v/>
      </c>
      <c r="J312" s="179" t="str">
        <f t="array" ref="J312">IF($F312&lt;&gt;"", XLOOKUP($F312,Productos!$A$2:$A1001,Productos!C$2:C1001,"")*$G312,"")</f>
        <v/>
      </c>
      <c r="K312" s="179" t="str">
        <f t="array" ref="K312">IF($F312&lt;&gt;"",XLOOKUP($F312,Productos!$A:$A,Productos!D:D,"Revisar"),"")</f>
        <v/>
      </c>
      <c r="L312" s="179" t="str">
        <f t="array" ref="L312">IF($F312&lt;&gt;"", XLOOKUP($F312,Productos!$A$2:$A1001,Productos!E$2:E1001,"")*$G312,"")</f>
        <v/>
      </c>
      <c r="M312" s="179" t="str">
        <f t="array" ref="M312">IF($F312&lt;&gt;"",XLOOKUP($F312,Productos!$A:$A,Productos!F:F,"Revisar"),"")</f>
        <v/>
      </c>
      <c r="N312" s="179" t="str">
        <f t="array" ref="N312">IF($F312&lt;&gt;"", XLOOKUP($F312,Productos!$A$2:$A1001,Productos!G$2:G1001,"")*$G312,"")</f>
        <v/>
      </c>
      <c r="O312" s="179" t="str">
        <f t="array" ref="O312">IF($F312&lt;&gt;"",XLOOKUP($F312,Productos!$A:$A,Productos!H:H,"Revisar"),"")</f>
        <v/>
      </c>
      <c r="P312" s="179" t="str">
        <f t="array" ref="P312">IF($F312&lt;&gt;"", XLOOKUP($F312,Productos!$A$2:$A1001,Productos!I$2:I1001,"")*$G312,"")</f>
        <v/>
      </c>
      <c r="Q312" s="179" t="str">
        <f t="array" ref="Q312">IF($F312&lt;&gt;"",XLOOKUP($F312,Productos!$A:$A,Productos!J:J,"Revisar"),"")</f>
        <v/>
      </c>
      <c r="R312" s="179" t="str">
        <f t="array" ref="R312">IF($F312&lt;&gt;"", XLOOKUP($F312,Productos!$A$2:$A1001,Productos!K$2:K1001,"")*$G312,"")</f>
        <v/>
      </c>
      <c r="S312" s="179" t="str">
        <f t="array" ref="S312">IF($F312&lt;&gt;"",XLOOKUP($F312,Productos!$A:$A,Productos!L:L,"Revisar"),"")</f>
        <v/>
      </c>
      <c r="T312" s="179" t="str">
        <f t="array" ref="T312">IF($F312&lt;&gt;"", XLOOKUP($F312,Productos!$A$2:$A1001,Productos!M$2:M1001,"")*$G312,"")</f>
        <v/>
      </c>
      <c r="U312" s="179" t="str">
        <f t="array" ref="U312">IF($F312&lt;&gt;"",XLOOKUP($F312,Productos!$A:$A,Productos!N:N,"Revisar"),"")</f>
        <v/>
      </c>
      <c r="V312" s="179" t="str">
        <f t="array" ref="V312">IF($F312&lt;&gt;"", XLOOKUP($F312,Productos!$A$2:$A1001,Productos!O$2:O1001,"")*$G312,"")</f>
        <v/>
      </c>
      <c r="W312" s="179" t="str">
        <f t="array" ref="W312">IF($F312&lt;&gt;"",XLOOKUP($F312,Productos!$A:$A,Productos!P:P,"Revisar"),"")</f>
        <v/>
      </c>
      <c r="X312" s="179" t="str">
        <f t="array" ref="X312">IF($F312&lt;&gt;"", XLOOKUP($F312,Productos!$A$2:$A1001,Productos!Q$2:Q1001,"")*$G312,"")</f>
        <v/>
      </c>
      <c r="Y312" s="179" t="str">
        <f t="array" ref="Y312">IF($F312&lt;&gt;"",XLOOKUP($F312,Productos!$A:$A,Productos!R:R,"Revisar"),"")</f>
        <v/>
      </c>
      <c r="Z312" s="179" t="str">
        <f t="array" ref="Z312">IF($F312&lt;&gt;"", XLOOKUP($F312,Productos!$A$2:$A1001,Productos!S$2:S1001,"")*$G312,"")</f>
        <v/>
      </c>
      <c r="AA312" s="179" t="str">
        <f t="array" ref="AA312">IF($F312&lt;&gt;"",XLOOKUP($F312,Productos!$A:$A,Productos!T:T,"Revisar"),"")</f>
        <v/>
      </c>
      <c r="AB312" s="179" t="str">
        <f t="array" ref="AB312">IF($F312&lt;&gt;"", XLOOKUP($F312,Productos!$A$2:$A1001,Productos!U$2:U1001,"")*$G312,"")</f>
        <v/>
      </c>
      <c r="AC312" s="179" t="str">
        <f t="array" ref="AC312">IF($F312&lt;&gt;"",XLOOKUP($F312,Productos!$A:$A,Productos!V:V,"Revisar"),"")</f>
        <v/>
      </c>
      <c r="AD312" s="179" t="str">
        <f t="array" ref="AD312">IF($F312&lt;&gt;"", XLOOKUP($F312,Productos!$A$2:$A1001,Productos!W$2:W1001,"")*$G312,"")</f>
        <v/>
      </c>
      <c r="AE312" s="179" t="str">
        <f t="array" ref="AE312">IF($F312&lt;&gt;"",XLOOKUP($F312,Productos!$A:$A,Productos!X:X,"Revisar"),"")</f>
        <v/>
      </c>
      <c r="AF312" s="179" t="str">
        <f t="array" ref="AF312">IF($F312&lt;&gt;"", XLOOKUP($F312,Productos!$A$2:$A1001,Productos!Y$2:Y1001,"")*$G312,"")</f>
        <v/>
      </c>
      <c r="AG312" s="179" t="str">
        <f t="array" ref="AG312">IF($F312&lt;&gt;"",XLOOKUP($F312,Productos!$A:$A,Productos!Z:Z,"Revisar"),"")</f>
        <v/>
      </c>
      <c r="AH312" s="179" t="str">
        <f t="array" ref="AH312">IF($F312&lt;&gt;"", XLOOKUP($F312,Productos!$A$2:$A1001,Productos!AA$2:AA1001,"")*$G312,"")</f>
        <v/>
      </c>
      <c r="AI312" s="179" t="str">
        <f t="array" ref="AI312">IF($F312&lt;&gt;"",XLOOKUP($F312,Productos!$A:$A,Productos!AB:AB,"Revisar"),"")</f>
        <v/>
      </c>
      <c r="AJ312" s="179" t="str">
        <f t="array" ref="AJ312">IF($F312&lt;&gt;"", XLOOKUP($F312,Productos!$A$2:$A1001,Productos!AC$2:AC1001,"")*$G312,"")</f>
        <v/>
      </c>
      <c r="AK312" s="179" t="str">
        <f t="array" ref="AK312">IF($F312&lt;&gt;"",XLOOKUP($F312,Productos!$A:$A,Productos!AD:AD,"Revisar"),"")</f>
        <v/>
      </c>
      <c r="AL312" s="179" t="str">
        <f t="array" ref="AL312">IF($F312&lt;&gt;"", XLOOKUP($F312,Productos!$A$2:$A1001,Productos!AE$2:AE1001,"")*$G312,"")</f>
        <v/>
      </c>
      <c r="AM312" s="179" t="str">
        <f t="array" ref="AM312">IF($F312&lt;&gt;"",XLOOKUP($F312,Productos!$A:$A,Productos!AF:AF,"Revisar"),"")</f>
        <v/>
      </c>
      <c r="AN312" s="179" t="str">
        <f t="array" ref="AN312">IF($F312&lt;&gt;"", XLOOKUP($F312,Productos!$A$2:$A1001,Productos!AG$2:AG1001,"")*$G312,"")</f>
        <v/>
      </c>
      <c r="AO312" s="179" t="str">
        <f t="array" ref="AO312">IF($F312&lt;&gt;"",XLOOKUP($F312,Productos!$A:$A,Productos!AH:AH,"Revisar"),"")</f>
        <v/>
      </c>
      <c r="AP312" s="179" t="str">
        <f t="array" ref="AP312">IF($F312&lt;&gt;"", XLOOKUP($F312,Productos!$A$2:$A1001,Productos!AI$2:AI1001,"")*$G312,"")</f>
        <v/>
      </c>
      <c r="AQ312" s="179" t="str">
        <f t="array" ref="AQ312">IF($F312&lt;&gt;"",XLOOKUP($F312,Productos!$A:$A,Productos!AJ:AJ,"Revisar"),"")</f>
        <v/>
      </c>
      <c r="AR312" s="179" t="str">
        <f t="array" ref="AR312">IF($F312&lt;&gt;"", XLOOKUP($F312,Productos!$A$2:$A1001,Productos!AK$2:AK1001,"")*$G312,"")</f>
        <v/>
      </c>
      <c r="AS312" s="179" t="str">
        <f t="array" ref="AS312">IF($F312&lt;&gt;"",XLOOKUP($F312,Productos!$A:$A,Productos!AL:AL,"Revisar"),"")</f>
        <v/>
      </c>
      <c r="AT312" s="179" t="str">
        <f t="array" ref="AT312">IF($F312&lt;&gt;"", XLOOKUP($F312,Productos!$A$2:$A1001,Productos!AM$2:AM1001,"")*$G312,"")</f>
        <v/>
      </c>
      <c r="AU312" s="179" t="str">
        <f t="array" ref="AU312">IF($F312&lt;&gt;"",XLOOKUP($F312,Productos!$A:$A,Productos!AN:AN,"Revisar"),"")</f>
        <v/>
      </c>
      <c r="AV312" s="179" t="str">
        <f t="array" ref="AV312">IF($F312&lt;&gt;"", XLOOKUP($F312,Productos!$A$2:$A1001,Productos!AO$2:AO1001,"")*$G312,"")</f>
        <v/>
      </c>
      <c r="AW312" s="179" t="str">
        <f t="array" ref="AW312">IF($F312&lt;&gt;"",XLOOKUP($F312,Productos!$A:$A,Productos!AP:AP,"Revisar"),"")</f>
        <v/>
      </c>
      <c r="AX312" s="179" t="str">
        <f t="array" ref="AX312">IF($F312&lt;&gt;"", XLOOKUP($F312,Productos!$A$2:$A1001,Productos!AQ$2:AQ1001,"")*$G312,"")</f>
        <v/>
      </c>
      <c r="AY312" s="179" t="str">
        <f t="array" ref="AY312">IF($F312&lt;&gt;"",XLOOKUP($F312,Productos!$A:$A,Productos!AR:AR,"Revisar"),"")</f>
        <v/>
      </c>
      <c r="AZ312" s="179" t="str">
        <f t="array" ref="AZ312">IF($F312&lt;&gt;"", XLOOKUP($F312,Productos!$A$2:$A1001,Productos!AS$2:AS1001,"")*$G312,"")</f>
        <v/>
      </c>
      <c r="BA312" s="179" t="str">
        <f t="array" ref="BA312">IF($F312&lt;&gt;"",XLOOKUP($F312,Productos!$A:$A,Productos!AT:AT,"Revisar"),"")</f>
        <v/>
      </c>
      <c r="BB312" s="179" t="str">
        <f t="array" ref="BB312">IF($F312&lt;&gt;"", XLOOKUP($F312,Productos!$A$2:$A1001,Productos!AU$2:AU1001,"")*$G312,"")</f>
        <v/>
      </c>
      <c r="BC312" s="179" t="str">
        <f t="array" ref="BC312">IF($F312&lt;&gt;"",XLOOKUP($F312,Productos!$A:$A,Productos!AV:AV,"Revisar"),"")</f>
        <v/>
      </c>
      <c r="BD312" s="179" t="str">
        <f t="array" ref="BD312">IF($F312&lt;&gt;"", XLOOKUP($F312,Productos!$A$2:$A1001,Productos!AW$2:AW1001,"")*$G312,"")</f>
        <v/>
      </c>
      <c r="BE312" s="179" t="str">
        <f t="array" ref="BE312">IF($F312&lt;&gt;"",XLOOKUP($F312,Productos!$A:$A,Productos!AX:AX,"Revisar"),"")</f>
        <v/>
      </c>
      <c r="BF312" s="179" t="str">
        <f t="array" ref="BF312">IF($F312&lt;&gt;"", XLOOKUP($F312,Productos!$A$2:$A1001,Productos!AY$2:AY1001,"")*$G312,"")</f>
        <v/>
      </c>
      <c r="BG312" s="179" t="str">
        <f t="array" ref="BG312">IF($F312&lt;&gt;"",XLOOKUP($F312,Productos!$A:$A,Productos!AZ:AZ,"Revisar"),"")</f>
        <v/>
      </c>
      <c r="BH312" s="179" t="str">
        <f t="array" ref="BH312">IF($F312&lt;&gt;"", XLOOKUP($F312,Productos!$A$2:$A1001,Productos!BA$2:BA1001,"")*$G312,"")</f>
        <v/>
      </c>
      <c r="BI312" s="179" t="str">
        <f t="array" ref="BI312">IF($F312&lt;&gt;"",XLOOKUP($F312,Productos!$A:$A,Productos!BB:BB,"Revisar"),"")</f>
        <v/>
      </c>
      <c r="BJ312" s="179" t="str">
        <f t="array" ref="BJ312">IF($F312&lt;&gt;"", XLOOKUP($F312,Productos!$A$2:$A1001,Productos!BC$2:BC1001,"")*$G312,"")</f>
        <v/>
      </c>
      <c r="BK312" s="179" t="str">
        <f t="array" ref="BK312">IF($F312&lt;&gt;"",XLOOKUP($F312,Productos!$A:$A,Productos!BD:BD,"Revisar"),"")</f>
        <v/>
      </c>
      <c r="BL312" s="179" t="str">
        <f t="array" ref="BL312">IF($F312&lt;&gt;"", XLOOKUP($F312,Productos!$A$2:$A1001,Productos!BE$2:BE1001,"")*$G312,"")</f>
        <v/>
      </c>
      <c r="BM312" s="179" t="str">
        <f t="array" ref="BM312">IF($F312&lt;&gt;"",XLOOKUP($F312,Productos!$A:$A,Productos!BF:BF,"Revisar"),"")</f>
        <v/>
      </c>
      <c r="BN312" s="179" t="str">
        <f t="array" ref="BN312">IF($F312&lt;&gt;"", XLOOKUP($F312,Productos!$A$2:$A1001,Productos!BG$2:BG1001,"")*$G312,"")</f>
        <v/>
      </c>
      <c r="BO312" s="179" t="str">
        <f t="array" ref="BO312">IF($F312&lt;&gt;"",XLOOKUP($F312,Productos!$A:$A,Productos!BH:BH,"Revisar"),"")</f>
        <v/>
      </c>
      <c r="BP312" s="179" t="str">
        <f t="array" ref="BP312">IF($F312&lt;&gt;"", XLOOKUP($F312,Productos!$A$2:$A1001,Productos!BI$2:BI1001,"")*$G312,"")</f>
        <v/>
      </c>
      <c r="BQ312" s="179" t="str">
        <f t="array" ref="BQ312">IF($F312&lt;&gt;"",XLOOKUP($F312,Productos!$A:$A,Productos!BJ:BJ,"Revisar"),"")</f>
        <v/>
      </c>
      <c r="BR312" s="179" t="str">
        <f t="array" ref="BR312">IF($F312&lt;&gt;"", XLOOKUP($F312,Productos!$A$2:$A1001,Productos!BK$2:BK1001,"")*$G312,"")</f>
        <v/>
      </c>
      <c r="BS312" s="179" t="str">
        <f t="array" ref="BS312">IF($F312&lt;&gt;"",XLOOKUP($F312,Productos!$A:$A,Productos!BL:BL,"Revisar"),"")</f>
        <v/>
      </c>
      <c r="BT312" s="179" t="str">
        <f t="array" ref="BT312">IF($F312&lt;&gt;"", XLOOKUP($F312,Productos!$A$2:$A1001,Productos!BM$2:BM1001,"")*$G312,"")</f>
        <v/>
      </c>
      <c r="BU312" s="179" t="str">
        <f t="array" ref="BU312">IF($F312&lt;&gt;"",XLOOKUP($F312,Productos!$A:$A,Productos!BN:BN,"Revisar"),"")</f>
        <v/>
      </c>
      <c r="BV312" s="179" t="str">
        <f t="array" ref="BV312">IF($F312&lt;&gt;"", XLOOKUP($F312,Productos!$A$2:$A1001,Productos!BO$2:BO1001,"")*$G312,"")</f>
        <v/>
      </c>
      <c r="BW312" s="179" t="str">
        <f t="array" ref="BW312">IF($F312&lt;&gt;"",XLOOKUP($F312,Productos!$A:$A,Productos!BP:BP,"Revisar"),"")</f>
        <v/>
      </c>
      <c r="BX312" s="179" t="str">
        <f t="array" ref="BX312">IF($F312&lt;&gt;"", XLOOKUP($F312,Productos!$A$2:$A1001,Productos!BQ$2:BQ1001,"")*$G312,"")</f>
        <v/>
      </c>
      <c r="BY312" s="179" t="str">
        <f t="array" ref="BY312">IF($F312&lt;&gt;"",XLOOKUP($F312,Productos!$A:$A,Productos!BR:BR,"Revisar"),"")</f>
        <v/>
      </c>
      <c r="BZ312" s="179" t="str">
        <f t="array" ref="BZ312">IF($F312&lt;&gt;"", XLOOKUP($F312,Productos!$A$2:$A1001,Productos!BS$2:BS1001,"")*$G312,"")</f>
        <v/>
      </c>
    </row>
    <row r="313">
      <c r="A313" s="180"/>
      <c r="B313" s="181"/>
      <c r="C313" s="182"/>
      <c r="D313" s="182"/>
      <c r="E313" s="185"/>
      <c r="F313" s="186"/>
      <c r="G313" s="187"/>
      <c r="H313" s="186"/>
      <c r="I313" s="179" t="str">
        <f t="array" ref="I313">IF($F313&lt;&gt;"",XLOOKUP($F313,Productos!$A:$A,Productos!B:B,"Revisar"),"")</f>
        <v/>
      </c>
      <c r="J313" s="179" t="str">
        <f t="array" ref="J313">IF($F313&lt;&gt;"", XLOOKUP($F313,Productos!$A$2:$A1001,Productos!C$2:C1001,"")*$G313,"")</f>
        <v/>
      </c>
      <c r="K313" s="179" t="str">
        <f t="array" ref="K313">IF($F313&lt;&gt;"",XLOOKUP($F313,Productos!$A:$A,Productos!D:D,"Revisar"),"")</f>
        <v/>
      </c>
      <c r="L313" s="179" t="str">
        <f t="array" ref="L313">IF($F313&lt;&gt;"", XLOOKUP($F313,Productos!$A$2:$A1001,Productos!E$2:E1001,"")*$G313,"")</f>
        <v/>
      </c>
      <c r="M313" s="179" t="str">
        <f t="array" ref="M313">IF($F313&lt;&gt;"",XLOOKUP($F313,Productos!$A:$A,Productos!F:F,"Revisar"),"")</f>
        <v/>
      </c>
      <c r="N313" s="179" t="str">
        <f t="array" ref="N313">IF($F313&lt;&gt;"", XLOOKUP($F313,Productos!$A$2:$A1001,Productos!G$2:G1001,"")*$G313,"")</f>
        <v/>
      </c>
      <c r="O313" s="179" t="str">
        <f t="array" ref="O313">IF($F313&lt;&gt;"",XLOOKUP($F313,Productos!$A:$A,Productos!H:H,"Revisar"),"")</f>
        <v/>
      </c>
      <c r="P313" s="179" t="str">
        <f t="array" ref="P313">IF($F313&lt;&gt;"", XLOOKUP($F313,Productos!$A$2:$A1001,Productos!I$2:I1001,"")*$G313,"")</f>
        <v/>
      </c>
      <c r="Q313" s="179" t="str">
        <f t="array" ref="Q313">IF($F313&lt;&gt;"",XLOOKUP($F313,Productos!$A:$A,Productos!J:J,"Revisar"),"")</f>
        <v/>
      </c>
      <c r="R313" s="179" t="str">
        <f t="array" ref="R313">IF($F313&lt;&gt;"", XLOOKUP($F313,Productos!$A$2:$A1001,Productos!K$2:K1001,"")*$G313,"")</f>
        <v/>
      </c>
      <c r="S313" s="179" t="str">
        <f t="array" ref="S313">IF($F313&lt;&gt;"",XLOOKUP($F313,Productos!$A:$A,Productos!L:L,"Revisar"),"")</f>
        <v/>
      </c>
      <c r="T313" s="179" t="str">
        <f t="array" ref="T313">IF($F313&lt;&gt;"", XLOOKUP($F313,Productos!$A$2:$A1001,Productos!M$2:M1001,"")*$G313,"")</f>
        <v/>
      </c>
      <c r="U313" s="179" t="str">
        <f t="array" ref="U313">IF($F313&lt;&gt;"",XLOOKUP($F313,Productos!$A:$A,Productos!N:N,"Revisar"),"")</f>
        <v/>
      </c>
      <c r="V313" s="179" t="str">
        <f t="array" ref="V313">IF($F313&lt;&gt;"", XLOOKUP($F313,Productos!$A$2:$A1001,Productos!O$2:O1001,"")*$G313,"")</f>
        <v/>
      </c>
      <c r="W313" s="179" t="str">
        <f t="array" ref="W313">IF($F313&lt;&gt;"",XLOOKUP($F313,Productos!$A:$A,Productos!P:P,"Revisar"),"")</f>
        <v/>
      </c>
      <c r="X313" s="179" t="str">
        <f t="array" ref="X313">IF($F313&lt;&gt;"", XLOOKUP($F313,Productos!$A$2:$A1001,Productos!Q$2:Q1001,"")*$G313,"")</f>
        <v/>
      </c>
      <c r="Y313" s="179" t="str">
        <f t="array" ref="Y313">IF($F313&lt;&gt;"",XLOOKUP($F313,Productos!$A:$A,Productos!R:R,"Revisar"),"")</f>
        <v/>
      </c>
      <c r="Z313" s="179" t="str">
        <f t="array" ref="Z313">IF($F313&lt;&gt;"", XLOOKUP($F313,Productos!$A$2:$A1001,Productos!S$2:S1001,"")*$G313,"")</f>
        <v/>
      </c>
      <c r="AA313" s="179" t="str">
        <f t="array" ref="AA313">IF($F313&lt;&gt;"",XLOOKUP($F313,Productos!$A:$A,Productos!T:T,"Revisar"),"")</f>
        <v/>
      </c>
      <c r="AB313" s="179" t="str">
        <f t="array" ref="AB313">IF($F313&lt;&gt;"", XLOOKUP($F313,Productos!$A$2:$A1001,Productos!U$2:U1001,"")*$G313,"")</f>
        <v/>
      </c>
      <c r="AC313" s="179" t="str">
        <f t="array" ref="AC313">IF($F313&lt;&gt;"",XLOOKUP($F313,Productos!$A:$A,Productos!V:V,"Revisar"),"")</f>
        <v/>
      </c>
      <c r="AD313" s="179" t="str">
        <f t="array" ref="AD313">IF($F313&lt;&gt;"", XLOOKUP($F313,Productos!$A$2:$A1001,Productos!W$2:W1001,"")*$G313,"")</f>
        <v/>
      </c>
      <c r="AE313" s="179" t="str">
        <f t="array" ref="AE313">IF($F313&lt;&gt;"",XLOOKUP($F313,Productos!$A:$A,Productos!X:X,"Revisar"),"")</f>
        <v/>
      </c>
      <c r="AF313" s="179" t="str">
        <f t="array" ref="AF313">IF($F313&lt;&gt;"", XLOOKUP($F313,Productos!$A$2:$A1001,Productos!Y$2:Y1001,"")*$G313,"")</f>
        <v/>
      </c>
      <c r="AG313" s="179" t="str">
        <f t="array" ref="AG313">IF($F313&lt;&gt;"",XLOOKUP($F313,Productos!$A:$A,Productos!Z:Z,"Revisar"),"")</f>
        <v/>
      </c>
      <c r="AH313" s="179" t="str">
        <f t="array" ref="AH313">IF($F313&lt;&gt;"", XLOOKUP($F313,Productos!$A$2:$A1001,Productos!AA$2:AA1001,"")*$G313,"")</f>
        <v/>
      </c>
      <c r="AI313" s="179" t="str">
        <f t="array" ref="AI313">IF($F313&lt;&gt;"",XLOOKUP($F313,Productos!$A:$A,Productos!AB:AB,"Revisar"),"")</f>
        <v/>
      </c>
      <c r="AJ313" s="179" t="str">
        <f t="array" ref="AJ313">IF($F313&lt;&gt;"", XLOOKUP($F313,Productos!$A$2:$A1001,Productos!AC$2:AC1001,"")*$G313,"")</f>
        <v/>
      </c>
      <c r="AK313" s="179" t="str">
        <f t="array" ref="AK313">IF($F313&lt;&gt;"",XLOOKUP($F313,Productos!$A:$A,Productos!AD:AD,"Revisar"),"")</f>
        <v/>
      </c>
      <c r="AL313" s="179" t="str">
        <f t="array" ref="AL313">IF($F313&lt;&gt;"", XLOOKUP($F313,Productos!$A$2:$A1001,Productos!AE$2:AE1001,"")*$G313,"")</f>
        <v/>
      </c>
      <c r="AM313" s="179" t="str">
        <f t="array" ref="AM313">IF($F313&lt;&gt;"",XLOOKUP($F313,Productos!$A:$A,Productos!AF:AF,"Revisar"),"")</f>
        <v/>
      </c>
      <c r="AN313" s="179" t="str">
        <f t="array" ref="AN313">IF($F313&lt;&gt;"", XLOOKUP($F313,Productos!$A$2:$A1001,Productos!AG$2:AG1001,"")*$G313,"")</f>
        <v/>
      </c>
      <c r="AO313" s="179" t="str">
        <f t="array" ref="AO313">IF($F313&lt;&gt;"",XLOOKUP($F313,Productos!$A:$A,Productos!AH:AH,"Revisar"),"")</f>
        <v/>
      </c>
      <c r="AP313" s="179" t="str">
        <f t="array" ref="AP313">IF($F313&lt;&gt;"", XLOOKUP($F313,Productos!$A$2:$A1001,Productos!AI$2:AI1001,"")*$G313,"")</f>
        <v/>
      </c>
      <c r="AQ313" s="179" t="str">
        <f t="array" ref="AQ313">IF($F313&lt;&gt;"",XLOOKUP($F313,Productos!$A:$A,Productos!AJ:AJ,"Revisar"),"")</f>
        <v/>
      </c>
      <c r="AR313" s="179" t="str">
        <f t="array" ref="AR313">IF($F313&lt;&gt;"", XLOOKUP($F313,Productos!$A$2:$A1001,Productos!AK$2:AK1001,"")*$G313,"")</f>
        <v/>
      </c>
      <c r="AS313" s="179" t="str">
        <f t="array" ref="AS313">IF($F313&lt;&gt;"",XLOOKUP($F313,Productos!$A:$A,Productos!AL:AL,"Revisar"),"")</f>
        <v/>
      </c>
      <c r="AT313" s="179" t="str">
        <f t="array" ref="AT313">IF($F313&lt;&gt;"", XLOOKUP($F313,Productos!$A$2:$A1001,Productos!AM$2:AM1001,"")*$G313,"")</f>
        <v/>
      </c>
      <c r="AU313" s="179" t="str">
        <f t="array" ref="AU313">IF($F313&lt;&gt;"",XLOOKUP($F313,Productos!$A:$A,Productos!AN:AN,"Revisar"),"")</f>
        <v/>
      </c>
      <c r="AV313" s="179" t="str">
        <f t="array" ref="AV313">IF($F313&lt;&gt;"", XLOOKUP($F313,Productos!$A$2:$A1001,Productos!AO$2:AO1001,"")*$G313,"")</f>
        <v/>
      </c>
      <c r="AW313" s="179" t="str">
        <f t="array" ref="AW313">IF($F313&lt;&gt;"",XLOOKUP($F313,Productos!$A:$A,Productos!AP:AP,"Revisar"),"")</f>
        <v/>
      </c>
      <c r="AX313" s="179" t="str">
        <f t="array" ref="AX313">IF($F313&lt;&gt;"", XLOOKUP($F313,Productos!$A$2:$A1001,Productos!AQ$2:AQ1001,"")*$G313,"")</f>
        <v/>
      </c>
      <c r="AY313" s="179" t="str">
        <f t="array" ref="AY313">IF($F313&lt;&gt;"",XLOOKUP($F313,Productos!$A:$A,Productos!AR:AR,"Revisar"),"")</f>
        <v/>
      </c>
      <c r="AZ313" s="179" t="str">
        <f t="array" ref="AZ313">IF($F313&lt;&gt;"", XLOOKUP($F313,Productos!$A$2:$A1001,Productos!AS$2:AS1001,"")*$G313,"")</f>
        <v/>
      </c>
      <c r="BA313" s="179" t="str">
        <f t="array" ref="BA313">IF($F313&lt;&gt;"",XLOOKUP($F313,Productos!$A:$A,Productos!AT:AT,"Revisar"),"")</f>
        <v/>
      </c>
      <c r="BB313" s="179" t="str">
        <f t="array" ref="BB313">IF($F313&lt;&gt;"", XLOOKUP($F313,Productos!$A$2:$A1001,Productos!AU$2:AU1001,"")*$G313,"")</f>
        <v/>
      </c>
      <c r="BC313" s="179" t="str">
        <f t="array" ref="BC313">IF($F313&lt;&gt;"",XLOOKUP($F313,Productos!$A:$A,Productos!AV:AV,"Revisar"),"")</f>
        <v/>
      </c>
      <c r="BD313" s="179" t="str">
        <f t="array" ref="BD313">IF($F313&lt;&gt;"", XLOOKUP($F313,Productos!$A$2:$A1001,Productos!AW$2:AW1001,"")*$G313,"")</f>
        <v/>
      </c>
      <c r="BE313" s="179" t="str">
        <f t="array" ref="BE313">IF($F313&lt;&gt;"",XLOOKUP($F313,Productos!$A:$A,Productos!AX:AX,"Revisar"),"")</f>
        <v/>
      </c>
      <c r="BF313" s="179" t="str">
        <f t="array" ref="BF313">IF($F313&lt;&gt;"", XLOOKUP($F313,Productos!$A$2:$A1001,Productos!AY$2:AY1001,"")*$G313,"")</f>
        <v/>
      </c>
      <c r="BG313" s="179" t="str">
        <f t="array" ref="BG313">IF($F313&lt;&gt;"",XLOOKUP($F313,Productos!$A:$A,Productos!AZ:AZ,"Revisar"),"")</f>
        <v/>
      </c>
      <c r="BH313" s="179" t="str">
        <f t="array" ref="BH313">IF($F313&lt;&gt;"", XLOOKUP($F313,Productos!$A$2:$A1001,Productos!BA$2:BA1001,"")*$G313,"")</f>
        <v/>
      </c>
      <c r="BI313" s="179" t="str">
        <f t="array" ref="BI313">IF($F313&lt;&gt;"",XLOOKUP($F313,Productos!$A:$A,Productos!BB:BB,"Revisar"),"")</f>
        <v/>
      </c>
      <c r="BJ313" s="179" t="str">
        <f t="array" ref="BJ313">IF($F313&lt;&gt;"", XLOOKUP($F313,Productos!$A$2:$A1001,Productos!BC$2:BC1001,"")*$G313,"")</f>
        <v/>
      </c>
      <c r="BK313" s="179" t="str">
        <f t="array" ref="BK313">IF($F313&lt;&gt;"",XLOOKUP($F313,Productos!$A:$A,Productos!BD:BD,"Revisar"),"")</f>
        <v/>
      </c>
      <c r="BL313" s="179" t="str">
        <f t="array" ref="BL313">IF($F313&lt;&gt;"", XLOOKUP($F313,Productos!$A$2:$A1001,Productos!BE$2:BE1001,"")*$G313,"")</f>
        <v/>
      </c>
      <c r="BM313" s="179" t="str">
        <f t="array" ref="BM313">IF($F313&lt;&gt;"",XLOOKUP($F313,Productos!$A:$A,Productos!BF:BF,"Revisar"),"")</f>
        <v/>
      </c>
      <c r="BN313" s="179" t="str">
        <f t="array" ref="BN313">IF($F313&lt;&gt;"", XLOOKUP($F313,Productos!$A$2:$A1001,Productos!BG$2:BG1001,"")*$G313,"")</f>
        <v/>
      </c>
      <c r="BO313" s="179" t="str">
        <f t="array" ref="BO313">IF($F313&lt;&gt;"",XLOOKUP($F313,Productos!$A:$A,Productos!BH:BH,"Revisar"),"")</f>
        <v/>
      </c>
      <c r="BP313" s="179" t="str">
        <f t="array" ref="BP313">IF($F313&lt;&gt;"", XLOOKUP($F313,Productos!$A$2:$A1001,Productos!BI$2:BI1001,"")*$G313,"")</f>
        <v/>
      </c>
      <c r="BQ313" s="179" t="str">
        <f t="array" ref="BQ313">IF($F313&lt;&gt;"",XLOOKUP($F313,Productos!$A:$A,Productos!BJ:BJ,"Revisar"),"")</f>
        <v/>
      </c>
      <c r="BR313" s="179" t="str">
        <f t="array" ref="BR313">IF($F313&lt;&gt;"", XLOOKUP($F313,Productos!$A$2:$A1001,Productos!BK$2:BK1001,"")*$G313,"")</f>
        <v/>
      </c>
      <c r="BS313" s="179" t="str">
        <f t="array" ref="BS313">IF($F313&lt;&gt;"",XLOOKUP($F313,Productos!$A:$A,Productos!BL:BL,"Revisar"),"")</f>
        <v/>
      </c>
      <c r="BT313" s="179" t="str">
        <f t="array" ref="BT313">IF($F313&lt;&gt;"", XLOOKUP($F313,Productos!$A$2:$A1001,Productos!BM$2:BM1001,"")*$G313,"")</f>
        <v/>
      </c>
      <c r="BU313" s="179" t="str">
        <f t="array" ref="BU313">IF($F313&lt;&gt;"",XLOOKUP($F313,Productos!$A:$A,Productos!BN:BN,"Revisar"),"")</f>
        <v/>
      </c>
      <c r="BV313" s="179" t="str">
        <f t="array" ref="BV313">IF($F313&lt;&gt;"", XLOOKUP($F313,Productos!$A$2:$A1001,Productos!BO$2:BO1001,"")*$G313,"")</f>
        <v/>
      </c>
      <c r="BW313" s="179" t="str">
        <f t="array" ref="BW313">IF($F313&lt;&gt;"",XLOOKUP($F313,Productos!$A:$A,Productos!BP:BP,"Revisar"),"")</f>
        <v/>
      </c>
      <c r="BX313" s="179" t="str">
        <f t="array" ref="BX313">IF($F313&lt;&gt;"", XLOOKUP($F313,Productos!$A$2:$A1001,Productos!BQ$2:BQ1001,"")*$G313,"")</f>
        <v/>
      </c>
      <c r="BY313" s="179" t="str">
        <f t="array" ref="BY313">IF($F313&lt;&gt;"",XLOOKUP($F313,Productos!$A:$A,Productos!BR:BR,"Revisar"),"")</f>
        <v/>
      </c>
      <c r="BZ313" s="179" t="str">
        <f t="array" ref="BZ313">IF($F313&lt;&gt;"", XLOOKUP($F313,Productos!$A$2:$A1001,Productos!BS$2:BS1001,"")*$G313,"")</f>
        <v/>
      </c>
    </row>
    <row r="314">
      <c r="A314" s="188"/>
      <c r="B314" s="189"/>
      <c r="C314" s="190"/>
      <c r="D314" s="190"/>
      <c r="E314" s="191"/>
      <c r="F314" s="186"/>
      <c r="G314" s="192"/>
      <c r="H314" s="9"/>
      <c r="I314" s="179" t="str">
        <f t="array" ref="I314">IF($F314&lt;&gt;"",XLOOKUP($F314,Productos!$A:$A,Productos!B:B,"Revisar"),"")</f>
        <v/>
      </c>
      <c r="J314" s="179" t="str">
        <f t="array" ref="J314">IF($F314&lt;&gt;"", XLOOKUP($F314,Productos!$A$2:$A1001,Productos!C$2:C1001,"")*$G314,"")</f>
        <v/>
      </c>
      <c r="K314" s="179" t="str">
        <f t="array" ref="K314">IF($F314&lt;&gt;"",XLOOKUP($F314,Productos!$A:$A,Productos!D:D,"Revisar"),"")</f>
        <v/>
      </c>
      <c r="L314" s="179" t="str">
        <f t="array" ref="L314">IF($F314&lt;&gt;"", XLOOKUP($F314,Productos!$A$2:$A1001,Productos!E$2:E1001,"")*$G314,"")</f>
        <v/>
      </c>
      <c r="M314" s="179" t="str">
        <f t="array" ref="M314">IF($F314&lt;&gt;"",XLOOKUP($F314,Productos!$A:$A,Productos!F:F,"Revisar"),"")</f>
        <v/>
      </c>
      <c r="N314" s="179" t="str">
        <f t="array" ref="N314">IF($F314&lt;&gt;"", XLOOKUP($F314,Productos!$A$2:$A1001,Productos!G$2:G1001,"")*$G314,"")</f>
        <v/>
      </c>
      <c r="O314" s="179" t="str">
        <f t="array" ref="O314">IF($F314&lt;&gt;"",XLOOKUP($F314,Productos!$A:$A,Productos!H:H,"Revisar"),"")</f>
        <v/>
      </c>
      <c r="P314" s="179" t="str">
        <f t="array" ref="P314">IF($F314&lt;&gt;"", XLOOKUP($F314,Productos!$A$2:$A1001,Productos!I$2:I1001,"")*$G314,"")</f>
        <v/>
      </c>
      <c r="Q314" s="179" t="str">
        <f t="array" ref="Q314">IF($F314&lt;&gt;"",XLOOKUP($F314,Productos!$A:$A,Productos!J:J,"Revisar"),"")</f>
        <v/>
      </c>
      <c r="R314" s="179" t="str">
        <f t="array" ref="R314">IF($F314&lt;&gt;"", XLOOKUP($F314,Productos!$A$2:$A1001,Productos!K$2:K1001,"")*$G314,"")</f>
        <v/>
      </c>
      <c r="S314" s="179" t="str">
        <f t="array" ref="S314">IF($F314&lt;&gt;"",XLOOKUP($F314,Productos!$A:$A,Productos!L:L,"Revisar"),"")</f>
        <v/>
      </c>
      <c r="T314" s="179" t="str">
        <f t="array" ref="T314">IF($F314&lt;&gt;"", XLOOKUP($F314,Productos!$A$2:$A1001,Productos!M$2:M1001,"")*$G314,"")</f>
        <v/>
      </c>
      <c r="U314" s="179" t="str">
        <f t="array" ref="U314">IF($F314&lt;&gt;"",XLOOKUP($F314,Productos!$A:$A,Productos!N:N,"Revisar"),"")</f>
        <v/>
      </c>
      <c r="V314" s="179" t="str">
        <f t="array" ref="V314">IF($F314&lt;&gt;"", XLOOKUP($F314,Productos!$A$2:$A1001,Productos!O$2:O1001,"")*$G314,"")</f>
        <v/>
      </c>
      <c r="W314" s="179" t="str">
        <f t="array" ref="W314">IF($F314&lt;&gt;"",XLOOKUP($F314,Productos!$A:$A,Productos!P:P,"Revisar"),"")</f>
        <v/>
      </c>
      <c r="X314" s="179" t="str">
        <f t="array" ref="X314">IF($F314&lt;&gt;"", XLOOKUP($F314,Productos!$A$2:$A1001,Productos!Q$2:Q1001,"")*$G314,"")</f>
        <v/>
      </c>
      <c r="Y314" s="179" t="str">
        <f t="array" ref="Y314">IF($F314&lt;&gt;"",XLOOKUP($F314,Productos!$A:$A,Productos!R:R,"Revisar"),"")</f>
        <v/>
      </c>
      <c r="Z314" s="179" t="str">
        <f t="array" ref="Z314">IF($F314&lt;&gt;"", XLOOKUP($F314,Productos!$A$2:$A1001,Productos!S$2:S1001,"")*$G314,"")</f>
        <v/>
      </c>
      <c r="AA314" s="179" t="str">
        <f t="array" ref="AA314">IF($F314&lt;&gt;"",XLOOKUP($F314,Productos!$A:$A,Productos!T:T,"Revisar"),"")</f>
        <v/>
      </c>
      <c r="AB314" s="179" t="str">
        <f t="array" ref="AB314">IF($F314&lt;&gt;"", XLOOKUP($F314,Productos!$A$2:$A1001,Productos!U$2:U1001,"")*$G314,"")</f>
        <v/>
      </c>
      <c r="AC314" s="179" t="str">
        <f t="array" ref="AC314">IF($F314&lt;&gt;"",XLOOKUP($F314,Productos!$A:$A,Productos!V:V,"Revisar"),"")</f>
        <v/>
      </c>
      <c r="AD314" s="179" t="str">
        <f t="array" ref="AD314">IF($F314&lt;&gt;"", XLOOKUP($F314,Productos!$A$2:$A1001,Productos!W$2:W1001,"")*$G314,"")</f>
        <v/>
      </c>
      <c r="AE314" s="179" t="str">
        <f t="array" ref="AE314">IF($F314&lt;&gt;"",XLOOKUP($F314,Productos!$A:$A,Productos!X:X,"Revisar"),"")</f>
        <v/>
      </c>
      <c r="AF314" s="179" t="str">
        <f t="array" ref="AF314">IF($F314&lt;&gt;"", XLOOKUP($F314,Productos!$A$2:$A1001,Productos!Y$2:Y1001,"")*$G314,"")</f>
        <v/>
      </c>
      <c r="AG314" s="179" t="str">
        <f t="array" ref="AG314">IF($F314&lt;&gt;"",XLOOKUP($F314,Productos!$A:$A,Productos!Z:Z,"Revisar"),"")</f>
        <v/>
      </c>
      <c r="AH314" s="179" t="str">
        <f t="array" ref="AH314">IF($F314&lt;&gt;"", XLOOKUP($F314,Productos!$A$2:$A1001,Productos!AA$2:AA1001,"")*$G314,"")</f>
        <v/>
      </c>
      <c r="AI314" s="179" t="str">
        <f t="array" ref="AI314">IF($F314&lt;&gt;"",XLOOKUP($F314,Productos!$A:$A,Productos!AB:AB,"Revisar"),"")</f>
        <v/>
      </c>
      <c r="AJ314" s="179" t="str">
        <f t="array" ref="AJ314">IF($F314&lt;&gt;"", XLOOKUP($F314,Productos!$A$2:$A1001,Productos!AC$2:AC1001,"")*$G314,"")</f>
        <v/>
      </c>
      <c r="AK314" s="179" t="str">
        <f t="array" ref="AK314">IF($F314&lt;&gt;"",XLOOKUP($F314,Productos!$A:$A,Productos!AD:AD,"Revisar"),"")</f>
        <v/>
      </c>
      <c r="AL314" s="179" t="str">
        <f t="array" ref="AL314">IF($F314&lt;&gt;"", XLOOKUP($F314,Productos!$A$2:$A1001,Productos!AE$2:AE1001,"")*$G314,"")</f>
        <v/>
      </c>
      <c r="AM314" s="179" t="str">
        <f t="array" ref="AM314">IF($F314&lt;&gt;"",XLOOKUP($F314,Productos!$A:$A,Productos!AF:AF,"Revisar"),"")</f>
        <v/>
      </c>
      <c r="AN314" s="179" t="str">
        <f t="array" ref="AN314">IF($F314&lt;&gt;"", XLOOKUP($F314,Productos!$A$2:$A1001,Productos!AG$2:AG1001,"")*$G314,"")</f>
        <v/>
      </c>
      <c r="AO314" s="179" t="str">
        <f t="array" ref="AO314">IF($F314&lt;&gt;"",XLOOKUP($F314,Productos!$A:$A,Productos!AH:AH,"Revisar"),"")</f>
        <v/>
      </c>
      <c r="AP314" s="179" t="str">
        <f t="array" ref="AP314">IF($F314&lt;&gt;"", XLOOKUP($F314,Productos!$A$2:$A1001,Productos!AI$2:AI1001,"")*$G314,"")</f>
        <v/>
      </c>
      <c r="AQ314" s="179" t="str">
        <f t="array" ref="AQ314">IF($F314&lt;&gt;"",XLOOKUP($F314,Productos!$A:$A,Productos!AJ:AJ,"Revisar"),"")</f>
        <v/>
      </c>
      <c r="AR314" s="179" t="str">
        <f t="array" ref="AR314">IF($F314&lt;&gt;"", XLOOKUP($F314,Productos!$A$2:$A1001,Productos!AK$2:AK1001,"")*$G314,"")</f>
        <v/>
      </c>
      <c r="AS314" s="179" t="str">
        <f t="array" ref="AS314">IF($F314&lt;&gt;"",XLOOKUP($F314,Productos!$A:$A,Productos!AL:AL,"Revisar"),"")</f>
        <v/>
      </c>
      <c r="AT314" s="179" t="str">
        <f t="array" ref="AT314">IF($F314&lt;&gt;"", XLOOKUP($F314,Productos!$A$2:$A1001,Productos!AM$2:AM1001,"")*$G314,"")</f>
        <v/>
      </c>
      <c r="AU314" s="179" t="str">
        <f t="array" ref="AU314">IF($F314&lt;&gt;"",XLOOKUP($F314,Productos!$A:$A,Productos!AN:AN,"Revisar"),"")</f>
        <v/>
      </c>
      <c r="AV314" s="179" t="str">
        <f t="array" ref="AV314">IF($F314&lt;&gt;"", XLOOKUP($F314,Productos!$A$2:$A1001,Productos!AO$2:AO1001,"")*$G314,"")</f>
        <v/>
      </c>
      <c r="AW314" s="179" t="str">
        <f t="array" ref="AW314">IF($F314&lt;&gt;"",XLOOKUP($F314,Productos!$A:$A,Productos!AP:AP,"Revisar"),"")</f>
        <v/>
      </c>
      <c r="AX314" s="179" t="str">
        <f t="array" ref="AX314">IF($F314&lt;&gt;"", XLOOKUP($F314,Productos!$A$2:$A1001,Productos!AQ$2:AQ1001,"")*$G314,"")</f>
        <v/>
      </c>
      <c r="AY314" s="179" t="str">
        <f t="array" ref="AY314">IF($F314&lt;&gt;"",XLOOKUP($F314,Productos!$A:$A,Productos!AR:AR,"Revisar"),"")</f>
        <v/>
      </c>
      <c r="AZ314" s="179" t="str">
        <f t="array" ref="AZ314">IF($F314&lt;&gt;"", XLOOKUP($F314,Productos!$A$2:$A1001,Productos!AS$2:AS1001,"")*$G314,"")</f>
        <v/>
      </c>
      <c r="BA314" s="179" t="str">
        <f t="array" ref="BA314">IF($F314&lt;&gt;"",XLOOKUP($F314,Productos!$A:$A,Productos!AT:AT,"Revisar"),"")</f>
        <v/>
      </c>
      <c r="BB314" s="179" t="str">
        <f t="array" ref="BB314">IF($F314&lt;&gt;"", XLOOKUP($F314,Productos!$A$2:$A1001,Productos!AU$2:AU1001,"")*$G314,"")</f>
        <v/>
      </c>
      <c r="BC314" s="179" t="str">
        <f t="array" ref="BC314">IF($F314&lt;&gt;"",XLOOKUP($F314,Productos!$A:$A,Productos!AV:AV,"Revisar"),"")</f>
        <v/>
      </c>
      <c r="BD314" s="179" t="str">
        <f t="array" ref="BD314">IF($F314&lt;&gt;"", XLOOKUP($F314,Productos!$A$2:$A1001,Productos!AW$2:AW1001,"")*$G314,"")</f>
        <v/>
      </c>
      <c r="BE314" s="179" t="str">
        <f t="array" ref="BE314">IF($F314&lt;&gt;"",XLOOKUP($F314,Productos!$A:$A,Productos!AX:AX,"Revisar"),"")</f>
        <v/>
      </c>
      <c r="BF314" s="179" t="str">
        <f t="array" ref="BF314">IF($F314&lt;&gt;"", XLOOKUP($F314,Productos!$A$2:$A1001,Productos!AY$2:AY1001,"")*$G314,"")</f>
        <v/>
      </c>
      <c r="BG314" s="179" t="str">
        <f t="array" ref="BG314">IF($F314&lt;&gt;"",XLOOKUP($F314,Productos!$A:$A,Productos!AZ:AZ,"Revisar"),"")</f>
        <v/>
      </c>
      <c r="BH314" s="179" t="str">
        <f t="array" ref="BH314">IF($F314&lt;&gt;"", XLOOKUP($F314,Productos!$A$2:$A1001,Productos!BA$2:BA1001,"")*$G314,"")</f>
        <v/>
      </c>
      <c r="BI314" s="179" t="str">
        <f t="array" ref="BI314">IF($F314&lt;&gt;"",XLOOKUP($F314,Productos!$A:$A,Productos!BB:BB,"Revisar"),"")</f>
        <v/>
      </c>
      <c r="BJ314" s="179" t="str">
        <f t="array" ref="BJ314">IF($F314&lt;&gt;"", XLOOKUP($F314,Productos!$A$2:$A1001,Productos!BC$2:BC1001,"")*$G314,"")</f>
        <v/>
      </c>
      <c r="BK314" s="179" t="str">
        <f t="array" ref="BK314">IF($F314&lt;&gt;"",XLOOKUP($F314,Productos!$A:$A,Productos!BD:BD,"Revisar"),"")</f>
        <v/>
      </c>
      <c r="BL314" s="179" t="str">
        <f t="array" ref="BL314">IF($F314&lt;&gt;"", XLOOKUP($F314,Productos!$A$2:$A1001,Productos!BE$2:BE1001,"")*$G314,"")</f>
        <v/>
      </c>
      <c r="BM314" s="179" t="str">
        <f t="array" ref="BM314">IF($F314&lt;&gt;"",XLOOKUP($F314,Productos!$A:$A,Productos!BF:BF,"Revisar"),"")</f>
        <v/>
      </c>
      <c r="BN314" s="179" t="str">
        <f t="array" ref="BN314">IF($F314&lt;&gt;"", XLOOKUP($F314,Productos!$A$2:$A1001,Productos!BG$2:BG1001,"")*$G314,"")</f>
        <v/>
      </c>
      <c r="BO314" s="179" t="str">
        <f t="array" ref="BO314">IF($F314&lt;&gt;"",XLOOKUP($F314,Productos!$A:$A,Productos!BH:BH,"Revisar"),"")</f>
        <v/>
      </c>
      <c r="BP314" s="179" t="str">
        <f t="array" ref="BP314">IF($F314&lt;&gt;"", XLOOKUP($F314,Productos!$A$2:$A1001,Productos!BI$2:BI1001,"")*$G314,"")</f>
        <v/>
      </c>
      <c r="BQ314" s="179" t="str">
        <f t="array" ref="BQ314">IF($F314&lt;&gt;"",XLOOKUP($F314,Productos!$A:$A,Productos!BJ:BJ,"Revisar"),"")</f>
        <v/>
      </c>
      <c r="BR314" s="179" t="str">
        <f t="array" ref="BR314">IF($F314&lt;&gt;"", XLOOKUP($F314,Productos!$A$2:$A1001,Productos!BK$2:BK1001,"")*$G314,"")</f>
        <v/>
      </c>
      <c r="BS314" s="179" t="str">
        <f t="array" ref="BS314">IF($F314&lt;&gt;"",XLOOKUP($F314,Productos!$A:$A,Productos!BL:BL,"Revisar"),"")</f>
        <v/>
      </c>
      <c r="BT314" s="179" t="str">
        <f t="array" ref="BT314">IF($F314&lt;&gt;"", XLOOKUP($F314,Productos!$A$2:$A1001,Productos!BM$2:BM1001,"")*$G314,"")</f>
        <v/>
      </c>
      <c r="BU314" s="179" t="str">
        <f t="array" ref="BU314">IF($F314&lt;&gt;"",XLOOKUP($F314,Productos!$A:$A,Productos!BN:BN,"Revisar"),"")</f>
        <v/>
      </c>
      <c r="BV314" s="179" t="str">
        <f t="array" ref="BV314">IF($F314&lt;&gt;"", XLOOKUP($F314,Productos!$A$2:$A1001,Productos!BO$2:BO1001,"")*$G314,"")</f>
        <v/>
      </c>
      <c r="BW314" s="179" t="str">
        <f t="array" ref="BW314">IF($F314&lt;&gt;"",XLOOKUP($F314,Productos!$A:$A,Productos!BP:BP,"Revisar"),"")</f>
        <v/>
      </c>
      <c r="BX314" s="179" t="str">
        <f t="array" ref="BX314">IF($F314&lt;&gt;"", XLOOKUP($F314,Productos!$A$2:$A1001,Productos!BQ$2:BQ1001,"")*$G314,"")</f>
        <v/>
      </c>
      <c r="BY314" s="179" t="str">
        <f t="array" ref="BY314">IF($F314&lt;&gt;"",XLOOKUP($F314,Productos!$A:$A,Productos!BR:BR,"Revisar"),"")</f>
        <v/>
      </c>
      <c r="BZ314" s="179" t="str">
        <f t="array" ref="BZ314">IF($F314&lt;&gt;"", XLOOKUP($F314,Productos!$A$2:$A1001,Productos!BS$2:BS1001,"")*$G314,"")</f>
        <v/>
      </c>
    </row>
    <row r="315">
      <c r="A315" s="188"/>
      <c r="B315" s="189"/>
      <c r="C315" s="190"/>
      <c r="D315" s="190"/>
      <c r="E315" s="191"/>
      <c r="F315" s="186"/>
      <c r="G315" s="192"/>
      <c r="H315" s="9"/>
      <c r="I315" s="179" t="str">
        <f t="array" ref="I315">IF($F315&lt;&gt;"",XLOOKUP($F315,Productos!$A:$A,Productos!B:B,"Revisar"),"")</f>
        <v/>
      </c>
      <c r="J315" s="179" t="str">
        <f t="array" ref="J315">IF($F315&lt;&gt;"", XLOOKUP($F315,Productos!$A$2:$A1001,Productos!C$2:C1001,"")*$G315,"")</f>
        <v/>
      </c>
      <c r="K315" s="179" t="str">
        <f t="array" ref="K315">IF($F315&lt;&gt;"",XLOOKUP($F315,Productos!$A:$A,Productos!D:D,"Revisar"),"")</f>
        <v/>
      </c>
      <c r="L315" s="179" t="str">
        <f t="array" ref="L315">IF($F315&lt;&gt;"", XLOOKUP($F315,Productos!$A$2:$A1001,Productos!E$2:E1001,"")*$G315,"")</f>
        <v/>
      </c>
      <c r="M315" s="179" t="str">
        <f t="array" ref="M315">IF($F315&lt;&gt;"",XLOOKUP($F315,Productos!$A:$A,Productos!F:F,"Revisar"),"")</f>
        <v/>
      </c>
      <c r="N315" s="179" t="str">
        <f t="array" ref="N315">IF($F315&lt;&gt;"", XLOOKUP($F315,Productos!$A$2:$A1001,Productos!G$2:G1001,"")*$G315,"")</f>
        <v/>
      </c>
      <c r="O315" s="179" t="str">
        <f t="array" ref="O315">IF($F315&lt;&gt;"",XLOOKUP($F315,Productos!$A:$A,Productos!H:H,"Revisar"),"")</f>
        <v/>
      </c>
      <c r="P315" s="179" t="str">
        <f t="array" ref="P315">IF($F315&lt;&gt;"", XLOOKUP($F315,Productos!$A$2:$A1001,Productos!I$2:I1001,"")*$G315,"")</f>
        <v/>
      </c>
      <c r="Q315" s="179" t="str">
        <f t="array" ref="Q315">IF($F315&lt;&gt;"",XLOOKUP($F315,Productos!$A:$A,Productos!J:J,"Revisar"),"")</f>
        <v/>
      </c>
      <c r="R315" s="179" t="str">
        <f t="array" ref="R315">IF($F315&lt;&gt;"", XLOOKUP($F315,Productos!$A$2:$A1001,Productos!K$2:K1001,"")*$G315,"")</f>
        <v/>
      </c>
      <c r="S315" s="179" t="str">
        <f t="array" ref="S315">IF($F315&lt;&gt;"",XLOOKUP($F315,Productos!$A:$A,Productos!L:L,"Revisar"),"")</f>
        <v/>
      </c>
      <c r="T315" s="179" t="str">
        <f t="array" ref="T315">IF($F315&lt;&gt;"", XLOOKUP($F315,Productos!$A$2:$A1001,Productos!M$2:M1001,"")*$G315,"")</f>
        <v/>
      </c>
      <c r="U315" s="179" t="str">
        <f t="array" ref="U315">IF($F315&lt;&gt;"",XLOOKUP($F315,Productos!$A:$A,Productos!N:N,"Revisar"),"")</f>
        <v/>
      </c>
      <c r="V315" s="179" t="str">
        <f t="array" ref="V315">IF($F315&lt;&gt;"", XLOOKUP($F315,Productos!$A$2:$A1001,Productos!O$2:O1001,"")*$G315,"")</f>
        <v/>
      </c>
      <c r="W315" s="179" t="str">
        <f t="array" ref="W315">IF($F315&lt;&gt;"",XLOOKUP($F315,Productos!$A:$A,Productos!P:P,"Revisar"),"")</f>
        <v/>
      </c>
      <c r="X315" s="179" t="str">
        <f t="array" ref="X315">IF($F315&lt;&gt;"", XLOOKUP($F315,Productos!$A$2:$A1001,Productos!Q$2:Q1001,"")*$G315,"")</f>
        <v/>
      </c>
      <c r="Y315" s="179" t="str">
        <f t="array" ref="Y315">IF($F315&lt;&gt;"",XLOOKUP($F315,Productos!$A:$A,Productos!R:R,"Revisar"),"")</f>
        <v/>
      </c>
      <c r="Z315" s="179" t="str">
        <f t="array" ref="Z315">IF($F315&lt;&gt;"", XLOOKUP($F315,Productos!$A$2:$A1001,Productos!S$2:S1001,"")*$G315,"")</f>
        <v/>
      </c>
      <c r="AA315" s="179" t="str">
        <f t="array" ref="AA315">IF($F315&lt;&gt;"",XLOOKUP($F315,Productos!$A:$A,Productos!T:T,"Revisar"),"")</f>
        <v/>
      </c>
      <c r="AB315" s="179" t="str">
        <f t="array" ref="AB315">IF($F315&lt;&gt;"", XLOOKUP($F315,Productos!$A$2:$A1001,Productos!U$2:U1001,"")*$G315,"")</f>
        <v/>
      </c>
      <c r="AC315" s="179" t="str">
        <f t="array" ref="AC315">IF($F315&lt;&gt;"",XLOOKUP($F315,Productos!$A:$A,Productos!V:V,"Revisar"),"")</f>
        <v/>
      </c>
      <c r="AD315" s="179" t="str">
        <f t="array" ref="AD315">IF($F315&lt;&gt;"", XLOOKUP($F315,Productos!$A$2:$A1001,Productos!W$2:W1001,"")*$G315,"")</f>
        <v/>
      </c>
      <c r="AE315" s="179" t="str">
        <f t="array" ref="AE315">IF($F315&lt;&gt;"",XLOOKUP($F315,Productos!$A:$A,Productos!X:X,"Revisar"),"")</f>
        <v/>
      </c>
      <c r="AF315" s="179" t="str">
        <f t="array" ref="AF315">IF($F315&lt;&gt;"", XLOOKUP($F315,Productos!$A$2:$A1001,Productos!Y$2:Y1001,"")*$G315,"")</f>
        <v/>
      </c>
      <c r="AG315" s="179" t="str">
        <f t="array" ref="AG315">IF($F315&lt;&gt;"",XLOOKUP($F315,Productos!$A:$A,Productos!Z:Z,"Revisar"),"")</f>
        <v/>
      </c>
      <c r="AH315" s="179" t="str">
        <f t="array" ref="AH315">IF($F315&lt;&gt;"", XLOOKUP($F315,Productos!$A$2:$A1001,Productos!AA$2:AA1001,"")*$G315,"")</f>
        <v/>
      </c>
      <c r="AI315" s="179" t="str">
        <f t="array" ref="AI315">IF($F315&lt;&gt;"",XLOOKUP($F315,Productos!$A:$A,Productos!AB:AB,"Revisar"),"")</f>
        <v/>
      </c>
      <c r="AJ315" s="179" t="str">
        <f t="array" ref="AJ315">IF($F315&lt;&gt;"", XLOOKUP($F315,Productos!$A$2:$A1001,Productos!AC$2:AC1001,"")*$G315,"")</f>
        <v/>
      </c>
      <c r="AK315" s="179" t="str">
        <f t="array" ref="AK315">IF($F315&lt;&gt;"",XLOOKUP($F315,Productos!$A:$A,Productos!AD:AD,"Revisar"),"")</f>
        <v/>
      </c>
      <c r="AL315" s="179" t="str">
        <f t="array" ref="AL315">IF($F315&lt;&gt;"", XLOOKUP($F315,Productos!$A$2:$A1001,Productos!AE$2:AE1001,"")*$G315,"")</f>
        <v/>
      </c>
      <c r="AM315" s="179" t="str">
        <f t="array" ref="AM315">IF($F315&lt;&gt;"",XLOOKUP($F315,Productos!$A:$A,Productos!AF:AF,"Revisar"),"")</f>
        <v/>
      </c>
      <c r="AN315" s="179" t="str">
        <f t="array" ref="AN315">IF($F315&lt;&gt;"", XLOOKUP($F315,Productos!$A$2:$A1001,Productos!AG$2:AG1001,"")*$G315,"")</f>
        <v/>
      </c>
      <c r="AO315" s="179" t="str">
        <f t="array" ref="AO315">IF($F315&lt;&gt;"",XLOOKUP($F315,Productos!$A:$A,Productos!AH:AH,"Revisar"),"")</f>
        <v/>
      </c>
      <c r="AP315" s="179" t="str">
        <f t="array" ref="AP315">IF($F315&lt;&gt;"", XLOOKUP($F315,Productos!$A$2:$A1001,Productos!AI$2:AI1001,"")*$G315,"")</f>
        <v/>
      </c>
      <c r="AQ315" s="179" t="str">
        <f t="array" ref="AQ315">IF($F315&lt;&gt;"",XLOOKUP($F315,Productos!$A:$A,Productos!AJ:AJ,"Revisar"),"")</f>
        <v/>
      </c>
      <c r="AR315" s="179" t="str">
        <f t="array" ref="AR315">IF($F315&lt;&gt;"", XLOOKUP($F315,Productos!$A$2:$A1001,Productos!AK$2:AK1001,"")*$G315,"")</f>
        <v/>
      </c>
      <c r="AS315" s="179" t="str">
        <f t="array" ref="AS315">IF($F315&lt;&gt;"",XLOOKUP($F315,Productos!$A:$A,Productos!AL:AL,"Revisar"),"")</f>
        <v/>
      </c>
      <c r="AT315" s="179" t="str">
        <f t="array" ref="AT315">IF($F315&lt;&gt;"", XLOOKUP($F315,Productos!$A$2:$A1001,Productos!AM$2:AM1001,"")*$G315,"")</f>
        <v/>
      </c>
      <c r="AU315" s="179" t="str">
        <f t="array" ref="AU315">IF($F315&lt;&gt;"",XLOOKUP($F315,Productos!$A:$A,Productos!AN:AN,"Revisar"),"")</f>
        <v/>
      </c>
      <c r="AV315" s="179" t="str">
        <f t="array" ref="AV315">IF($F315&lt;&gt;"", XLOOKUP($F315,Productos!$A$2:$A1001,Productos!AO$2:AO1001,"")*$G315,"")</f>
        <v/>
      </c>
      <c r="AW315" s="179" t="str">
        <f t="array" ref="AW315">IF($F315&lt;&gt;"",XLOOKUP($F315,Productos!$A:$A,Productos!AP:AP,"Revisar"),"")</f>
        <v/>
      </c>
      <c r="AX315" s="179" t="str">
        <f t="array" ref="AX315">IF($F315&lt;&gt;"", XLOOKUP($F315,Productos!$A$2:$A1001,Productos!AQ$2:AQ1001,"")*$G315,"")</f>
        <v/>
      </c>
      <c r="AY315" s="179" t="str">
        <f t="array" ref="AY315">IF($F315&lt;&gt;"",XLOOKUP($F315,Productos!$A:$A,Productos!AR:AR,"Revisar"),"")</f>
        <v/>
      </c>
      <c r="AZ315" s="179" t="str">
        <f t="array" ref="AZ315">IF($F315&lt;&gt;"", XLOOKUP($F315,Productos!$A$2:$A1001,Productos!AS$2:AS1001,"")*$G315,"")</f>
        <v/>
      </c>
      <c r="BA315" s="179" t="str">
        <f t="array" ref="BA315">IF($F315&lt;&gt;"",XLOOKUP($F315,Productos!$A:$A,Productos!AT:AT,"Revisar"),"")</f>
        <v/>
      </c>
      <c r="BB315" s="179" t="str">
        <f t="array" ref="BB315">IF($F315&lt;&gt;"", XLOOKUP($F315,Productos!$A$2:$A1001,Productos!AU$2:AU1001,"")*$G315,"")</f>
        <v/>
      </c>
      <c r="BC315" s="179" t="str">
        <f t="array" ref="BC315">IF($F315&lt;&gt;"",XLOOKUP($F315,Productos!$A:$A,Productos!AV:AV,"Revisar"),"")</f>
        <v/>
      </c>
      <c r="BD315" s="179" t="str">
        <f t="array" ref="BD315">IF($F315&lt;&gt;"", XLOOKUP($F315,Productos!$A$2:$A1001,Productos!AW$2:AW1001,"")*$G315,"")</f>
        <v/>
      </c>
      <c r="BE315" s="179" t="str">
        <f t="array" ref="BE315">IF($F315&lt;&gt;"",XLOOKUP($F315,Productos!$A:$A,Productos!AX:AX,"Revisar"),"")</f>
        <v/>
      </c>
      <c r="BF315" s="179" t="str">
        <f t="array" ref="BF315">IF($F315&lt;&gt;"", XLOOKUP($F315,Productos!$A$2:$A1001,Productos!AY$2:AY1001,"")*$G315,"")</f>
        <v/>
      </c>
      <c r="BG315" s="179" t="str">
        <f t="array" ref="BG315">IF($F315&lt;&gt;"",XLOOKUP($F315,Productos!$A:$A,Productos!AZ:AZ,"Revisar"),"")</f>
        <v/>
      </c>
      <c r="BH315" s="179" t="str">
        <f t="array" ref="BH315">IF($F315&lt;&gt;"", XLOOKUP($F315,Productos!$A$2:$A1001,Productos!BA$2:BA1001,"")*$G315,"")</f>
        <v/>
      </c>
      <c r="BI315" s="179" t="str">
        <f t="array" ref="BI315">IF($F315&lt;&gt;"",XLOOKUP($F315,Productos!$A:$A,Productos!BB:BB,"Revisar"),"")</f>
        <v/>
      </c>
      <c r="BJ315" s="179" t="str">
        <f t="array" ref="BJ315">IF($F315&lt;&gt;"", XLOOKUP($F315,Productos!$A$2:$A1001,Productos!BC$2:BC1001,"")*$G315,"")</f>
        <v/>
      </c>
      <c r="BK315" s="179" t="str">
        <f t="array" ref="BK315">IF($F315&lt;&gt;"",XLOOKUP($F315,Productos!$A:$A,Productos!BD:BD,"Revisar"),"")</f>
        <v/>
      </c>
      <c r="BL315" s="179" t="str">
        <f t="array" ref="BL315">IF($F315&lt;&gt;"", XLOOKUP($F315,Productos!$A$2:$A1001,Productos!BE$2:BE1001,"")*$G315,"")</f>
        <v/>
      </c>
      <c r="BM315" s="179" t="str">
        <f t="array" ref="BM315">IF($F315&lt;&gt;"",XLOOKUP($F315,Productos!$A:$A,Productos!BF:BF,"Revisar"),"")</f>
        <v/>
      </c>
      <c r="BN315" s="179" t="str">
        <f t="array" ref="BN315">IF($F315&lt;&gt;"", XLOOKUP($F315,Productos!$A$2:$A1001,Productos!BG$2:BG1001,"")*$G315,"")</f>
        <v/>
      </c>
      <c r="BO315" s="179" t="str">
        <f t="array" ref="BO315">IF($F315&lt;&gt;"",XLOOKUP($F315,Productos!$A:$A,Productos!BH:BH,"Revisar"),"")</f>
        <v/>
      </c>
      <c r="BP315" s="179" t="str">
        <f t="array" ref="BP315">IF($F315&lt;&gt;"", XLOOKUP($F315,Productos!$A$2:$A1001,Productos!BI$2:BI1001,"")*$G315,"")</f>
        <v/>
      </c>
      <c r="BQ315" s="179" t="str">
        <f t="array" ref="BQ315">IF($F315&lt;&gt;"",XLOOKUP($F315,Productos!$A:$A,Productos!BJ:BJ,"Revisar"),"")</f>
        <v/>
      </c>
      <c r="BR315" s="179" t="str">
        <f t="array" ref="BR315">IF($F315&lt;&gt;"", XLOOKUP($F315,Productos!$A$2:$A1001,Productos!BK$2:BK1001,"")*$G315,"")</f>
        <v/>
      </c>
      <c r="BS315" s="179" t="str">
        <f t="array" ref="BS315">IF($F315&lt;&gt;"",XLOOKUP($F315,Productos!$A:$A,Productos!BL:BL,"Revisar"),"")</f>
        <v/>
      </c>
      <c r="BT315" s="179" t="str">
        <f t="array" ref="BT315">IF($F315&lt;&gt;"", XLOOKUP($F315,Productos!$A$2:$A1001,Productos!BM$2:BM1001,"")*$G315,"")</f>
        <v/>
      </c>
      <c r="BU315" s="179" t="str">
        <f t="array" ref="BU315">IF($F315&lt;&gt;"",XLOOKUP($F315,Productos!$A:$A,Productos!BN:BN,"Revisar"),"")</f>
        <v/>
      </c>
      <c r="BV315" s="179" t="str">
        <f t="array" ref="BV315">IF($F315&lt;&gt;"", XLOOKUP($F315,Productos!$A$2:$A1001,Productos!BO$2:BO1001,"")*$G315,"")</f>
        <v/>
      </c>
      <c r="BW315" s="179" t="str">
        <f t="array" ref="BW315">IF($F315&lt;&gt;"",XLOOKUP($F315,Productos!$A:$A,Productos!BP:BP,"Revisar"),"")</f>
        <v/>
      </c>
      <c r="BX315" s="179" t="str">
        <f t="array" ref="BX315">IF($F315&lt;&gt;"", XLOOKUP($F315,Productos!$A$2:$A1001,Productos!BQ$2:BQ1001,"")*$G315,"")</f>
        <v/>
      </c>
      <c r="BY315" s="179" t="str">
        <f t="array" ref="BY315">IF($F315&lt;&gt;"",XLOOKUP($F315,Productos!$A:$A,Productos!BR:BR,"Revisar"),"")</f>
        <v/>
      </c>
      <c r="BZ315" s="179" t="str">
        <f t="array" ref="BZ315">IF($F315&lt;&gt;"", XLOOKUP($F315,Productos!$A$2:$A1001,Productos!BS$2:BS1001,"")*$G315,"")</f>
        <v/>
      </c>
    </row>
    <row r="316">
      <c r="A316" s="188"/>
      <c r="B316" s="189"/>
      <c r="C316" s="190"/>
      <c r="D316" s="190"/>
      <c r="E316" s="191"/>
      <c r="F316" s="186"/>
      <c r="G316" s="192"/>
      <c r="H316" s="9"/>
      <c r="I316" s="179" t="str">
        <f t="array" ref="I316">IF($F316&lt;&gt;"",XLOOKUP($F316,Productos!$A:$A,Productos!B:B,"Revisar"),"")</f>
        <v/>
      </c>
      <c r="J316" s="179" t="str">
        <f t="array" ref="J316">IF($F316&lt;&gt;"", XLOOKUP($F316,Productos!$A$2:$A1001,Productos!C$2:C1001,"")*$G316,"")</f>
        <v/>
      </c>
      <c r="K316" s="179" t="str">
        <f t="array" ref="K316">IF($F316&lt;&gt;"",XLOOKUP($F316,Productos!$A:$A,Productos!D:D,"Revisar"),"")</f>
        <v/>
      </c>
      <c r="L316" s="179" t="str">
        <f t="array" ref="L316">IF($F316&lt;&gt;"", XLOOKUP($F316,Productos!$A$2:$A1001,Productos!E$2:E1001,"")*$G316,"")</f>
        <v/>
      </c>
      <c r="M316" s="179" t="str">
        <f t="array" ref="M316">IF($F316&lt;&gt;"",XLOOKUP($F316,Productos!$A:$A,Productos!F:F,"Revisar"),"")</f>
        <v/>
      </c>
      <c r="N316" s="179" t="str">
        <f t="array" ref="N316">IF($F316&lt;&gt;"", XLOOKUP($F316,Productos!$A$2:$A1001,Productos!G$2:G1001,"")*$G316,"")</f>
        <v/>
      </c>
      <c r="O316" s="179" t="str">
        <f t="array" ref="O316">IF($F316&lt;&gt;"",XLOOKUP($F316,Productos!$A:$A,Productos!H:H,"Revisar"),"")</f>
        <v/>
      </c>
      <c r="P316" s="179" t="str">
        <f t="array" ref="P316">IF($F316&lt;&gt;"", XLOOKUP($F316,Productos!$A$2:$A1001,Productos!I$2:I1001,"")*$G316,"")</f>
        <v/>
      </c>
      <c r="Q316" s="179" t="str">
        <f t="array" ref="Q316">IF($F316&lt;&gt;"",XLOOKUP($F316,Productos!$A:$A,Productos!J:J,"Revisar"),"")</f>
        <v/>
      </c>
      <c r="R316" s="179" t="str">
        <f t="array" ref="R316">IF($F316&lt;&gt;"", XLOOKUP($F316,Productos!$A$2:$A1001,Productos!K$2:K1001,"")*$G316,"")</f>
        <v/>
      </c>
      <c r="S316" s="179" t="str">
        <f t="array" ref="S316">IF($F316&lt;&gt;"",XLOOKUP($F316,Productos!$A:$A,Productos!L:L,"Revisar"),"")</f>
        <v/>
      </c>
      <c r="T316" s="179" t="str">
        <f t="array" ref="T316">IF($F316&lt;&gt;"", XLOOKUP($F316,Productos!$A$2:$A1001,Productos!M$2:M1001,"")*$G316,"")</f>
        <v/>
      </c>
      <c r="U316" s="179" t="str">
        <f t="array" ref="U316">IF($F316&lt;&gt;"",XLOOKUP($F316,Productos!$A:$A,Productos!N:N,"Revisar"),"")</f>
        <v/>
      </c>
      <c r="V316" s="179" t="str">
        <f t="array" ref="V316">IF($F316&lt;&gt;"", XLOOKUP($F316,Productos!$A$2:$A1001,Productos!O$2:O1001,"")*$G316,"")</f>
        <v/>
      </c>
      <c r="W316" s="179" t="str">
        <f t="array" ref="W316">IF($F316&lt;&gt;"",XLOOKUP($F316,Productos!$A:$A,Productos!P:P,"Revisar"),"")</f>
        <v/>
      </c>
      <c r="X316" s="179" t="str">
        <f t="array" ref="X316">IF($F316&lt;&gt;"", XLOOKUP($F316,Productos!$A$2:$A1001,Productos!Q$2:Q1001,"")*$G316,"")</f>
        <v/>
      </c>
      <c r="Y316" s="179" t="str">
        <f t="array" ref="Y316">IF($F316&lt;&gt;"",XLOOKUP($F316,Productos!$A:$A,Productos!R:R,"Revisar"),"")</f>
        <v/>
      </c>
      <c r="Z316" s="179" t="str">
        <f t="array" ref="Z316">IF($F316&lt;&gt;"", XLOOKUP($F316,Productos!$A$2:$A1001,Productos!S$2:S1001,"")*$G316,"")</f>
        <v/>
      </c>
      <c r="AA316" s="179" t="str">
        <f t="array" ref="AA316">IF($F316&lt;&gt;"",XLOOKUP($F316,Productos!$A:$A,Productos!T:T,"Revisar"),"")</f>
        <v/>
      </c>
      <c r="AB316" s="179" t="str">
        <f t="array" ref="AB316">IF($F316&lt;&gt;"", XLOOKUP($F316,Productos!$A$2:$A1001,Productos!U$2:U1001,"")*$G316,"")</f>
        <v/>
      </c>
      <c r="AC316" s="179" t="str">
        <f t="array" ref="AC316">IF($F316&lt;&gt;"",XLOOKUP($F316,Productos!$A:$A,Productos!V:V,"Revisar"),"")</f>
        <v/>
      </c>
      <c r="AD316" s="179" t="str">
        <f t="array" ref="AD316">IF($F316&lt;&gt;"", XLOOKUP($F316,Productos!$A$2:$A1001,Productos!W$2:W1001,"")*$G316,"")</f>
        <v/>
      </c>
      <c r="AE316" s="179" t="str">
        <f t="array" ref="AE316">IF($F316&lt;&gt;"",XLOOKUP($F316,Productos!$A:$A,Productos!X:X,"Revisar"),"")</f>
        <v/>
      </c>
      <c r="AF316" s="179" t="str">
        <f t="array" ref="AF316">IF($F316&lt;&gt;"", XLOOKUP($F316,Productos!$A$2:$A1001,Productos!Y$2:Y1001,"")*$G316,"")</f>
        <v/>
      </c>
      <c r="AG316" s="179" t="str">
        <f t="array" ref="AG316">IF($F316&lt;&gt;"",XLOOKUP($F316,Productos!$A:$A,Productos!Z:Z,"Revisar"),"")</f>
        <v/>
      </c>
      <c r="AH316" s="179" t="str">
        <f t="array" ref="AH316">IF($F316&lt;&gt;"", XLOOKUP($F316,Productos!$A$2:$A1001,Productos!AA$2:AA1001,"")*$G316,"")</f>
        <v/>
      </c>
      <c r="AI316" s="179" t="str">
        <f t="array" ref="AI316">IF($F316&lt;&gt;"",XLOOKUP($F316,Productos!$A:$A,Productos!AB:AB,"Revisar"),"")</f>
        <v/>
      </c>
      <c r="AJ316" s="179" t="str">
        <f t="array" ref="AJ316">IF($F316&lt;&gt;"", XLOOKUP($F316,Productos!$A$2:$A1001,Productos!AC$2:AC1001,"")*$G316,"")</f>
        <v/>
      </c>
      <c r="AK316" s="179" t="str">
        <f t="array" ref="AK316">IF($F316&lt;&gt;"",XLOOKUP($F316,Productos!$A:$A,Productos!AD:AD,"Revisar"),"")</f>
        <v/>
      </c>
      <c r="AL316" s="179" t="str">
        <f t="array" ref="AL316">IF($F316&lt;&gt;"", XLOOKUP($F316,Productos!$A$2:$A1001,Productos!AE$2:AE1001,"")*$G316,"")</f>
        <v/>
      </c>
      <c r="AM316" s="179" t="str">
        <f t="array" ref="AM316">IF($F316&lt;&gt;"",XLOOKUP($F316,Productos!$A:$A,Productos!AF:AF,"Revisar"),"")</f>
        <v/>
      </c>
      <c r="AN316" s="179" t="str">
        <f t="array" ref="AN316">IF($F316&lt;&gt;"", XLOOKUP($F316,Productos!$A$2:$A1001,Productos!AG$2:AG1001,"")*$G316,"")</f>
        <v/>
      </c>
      <c r="AO316" s="179" t="str">
        <f t="array" ref="AO316">IF($F316&lt;&gt;"",XLOOKUP($F316,Productos!$A:$A,Productos!AH:AH,"Revisar"),"")</f>
        <v/>
      </c>
      <c r="AP316" s="179" t="str">
        <f t="array" ref="AP316">IF($F316&lt;&gt;"", XLOOKUP($F316,Productos!$A$2:$A1001,Productos!AI$2:AI1001,"")*$G316,"")</f>
        <v/>
      </c>
      <c r="AQ316" s="179" t="str">
        <f t="array" ref="AQ316">IF($F316&lt;&gt;"",XLOOKUP($F316,Productos!$A:$A,Productos!AJ:AJ,"Revisar"),"")</f>
        <v/>
      </c>
      <c r="AR316" s="179" t="str">
        <f t="array" ref="AR316">IF($F316&lt;&gt;"", XLOOKUP($F316,Productos!$A$2:$A1001,Productos!AK$2:AK1001,"")*$G316,"")</f>
        <v/>
      </c>
      <c r="AS316" s="179" t="str">
        <f t="array" ref="AS316">IF($F316&lt;&gt;"",XLOOKUP($F316,Productos!$A:$A,Productos!AL:AL,"Revisar"),"")</f>
        <v/>
      </c>
      <c r="AT316" s="179" t="str">
        <f t="array" ref="AT316">IF($F316&lt;&gt;"", XLOOKUP($F316,Productos!$A$2:$A1001,Productos!AM$2:AM1001,"")*$G316,"")</f>
        <v/>
      </c>
      <c r="AU316" s="179" t="str">
        <f t="array" ref="AU316">IF($F316&lt;&gt;"",XLOOKUP($F316,Productos!$A:$A,Productos!AN:AN,"Revisar"),"")</f>
        <v/>
      </c>
      <c r="AV316" s="179" t="str">
        <f t="array" ref="AV316">IF($F316&lt;&gt;"", XLOOKUP($F316,Productos!$A$2:$A1001,Productos!AO$2:AO1001,"")*$G316,"")</f>
        <v/>
      </c>
      <c r="AW316" s="179" t="str">
        <f t="array" ref="AW316">IF($F316&lt;&gt;"",XLOOKUP($F316,Productos!$A:$A,Productos!AP:AP,"Revisar"),"")</f>
        <v/>
      </c>
      <c r="AX316" s="179" t="str">
        <f t="array" ref="AX316">IF($F316&lt;&gt;"", XLOOKUP($F316,Productos!$A$2:$A1001,Productos!AQ$2:AQ1001,"")*$G316,"")</f>
        <v/>
      </c>
      <c r="AY316" s="179" t="str">
        <f t="array" ref="AY316">IF($F316&lt;&gt;"",XLOOKUP($F316,Productos!$A:$A,Productos!AR:AR,"Revisar"),"")</f>
        <v/>
      </c>
      <c r="AZ316" s="179" t="str">
        <f t="array" ref="AZ316">IF($F316&lt;&gt;"", XLOOKUP($F316,Productos!$A$2:$A1001,Productos!AS$2:AS1001,"")*$G316,"")</f>
        <v/>
      </c>
      <c r="BA316" s="179" t="str">
        <f t="array" ref="BA316">IF($F316&lt;&gt;"",XLOOKUP($F316,Productos!$A:$A,Productos!AT:AT,"Revisar"),"")</f>
        <v/>
      </c>
      <c r="BB316" s="179" t="str">
        <f t="array" ref="BB316">IF($F316&lt;&gt;"", XLOOKUP($F316,Productos!$A$2:$A1001,Productos!AU$2:AU1001,"")*$G316,"")</f>
        <v/>
      </c>
      <c r="BC316" s="179" t="str">
        <f t="array" ref="BC316">IF($F316&lt;&gt;"",XLOOKUP($F316,Productos!$A:$A,Productos!AV:AV,"Revisar"),"")</f>
        <v/>
      </c>
      <c r="BD316" s="179" t="str">
        <f t="array" ref="BD316">IF($F316&lt;&gt;"", XLOOKUP($F316,Productos!$A$2:$A1001,Productos!AW$2:AW1001,"")*$G316,"")</f>
        <v/>
      </c>
      <c r="BE316" s="179" t="str">
        <f t="array" ref="BE316">IF($F316&lt;&gt;"",XLOOKUP($F316,Productos!$A:$A,Productos!AX:AX,"Revisar"),"")</f>
        <v/>
      </c>
      <c r="BF316" s="179" t="str">
        <f t="array" ref="BF316">IF($F316&lt;&gt;"", XLOOKUP($F316,Productos!$A$2:$A1001,Productos!AY$2:AY1001,"")*$G316,"")</f>
        <v/>
      </c>
      <c r="BG316" s="179" t="str">
        <f t="array" ref="BG316">IF($F316&lt;&gt;"",XLOOKUP($F316,Productos!$A:$A,Productos!AZ:AZ,"Revisar"),"")</f>
        <v/>
      </c>
      <c r="BH316" s="179" t="str">
        <f t="array" ref="BH316">IF($F316&lt;&gt;"", XLOOKUP($F316,Productos!$A$2:$A1001,Productos!BA$2:BA1001,"")*$G316,"")</f>
        <v/>
      </c>
      <c r="BI316" s="179" t="str">
        <f t="array" ref="BI316">IF($F316&lt;&gt;"",XLOOKUP($F316,Productos!$A:$A,Productos!BB:BB,"Revisar"),"")</f>
        <v/>
      </c>
      <c r="BJ316" s="179" t="str">
        <f t="array" ref="BJ316">IF($F316&lt;&gt;"", XLOOKUP($F316,Productos!$A$2:$A1001,Productos!BC$2:BC1001,"")*$G316,"")</f>
        <v/>
      </c>
      <c r="BK316" s="179" t="str">
        <f t="array" ref="BK316">IF($F316&lt;&gt;"",XLOOKUP($F316,Productos!$A:$A,Productos!BD:BD,"Revisar"),"")</f>
        <v/>
      </c>
      <c r="BL316" s="179" t="str">
        <f t="array" ref="BL316">IF($F316&lt;&gt;"", XLOOKUP($F316,Productos!$A$2:$A1001,Productos!BE$2:BE1001,"")*$G316,"")</f>
        <v/>
      </c>
      <c r="BM316" s="179" t="str">
        <f t="array" ref="BM316">IF($F316&lt;&gt;"",XLOOKUP($F316,Productos!$A:$A,Productos!BF:BF,"Revisar"),"")</f>
        <v/>
      </c>
      <c r="BN316" s="179" t="str">
        <f t="array" ref="BN316">IF($F316&lt;&gt;"", XLOOKUP($F316,Productos!$A$2:$A1001,Productos!BG$2:BG1001,"")*$G316,"")</f>
        <v/>
      </c>
      <c r="BO316" s="179" t="str">
        <f t="array" ref="BO316">IF($F316&lt;&gt;"",XLOOKUP($F316,Productos!$A:$A,Productos!BH:BH,"Revisar"),"")</f>
        <v/>
      </c>
      <c r="BP316" s="179" t="str">
        <f t="array" ref="BP316">IF($F316&lt;&gt;"", XLOOKUP($F316,Productos!$A$2:$A1001,Productos!BI$2:BI1001,"")*$G316,"")</f>
        <v/>
      </c>
      <c r="BQ316" s="179" t="str">
        <f t="array" ref="BQ316">IF($F316&lt;&gt;"",XLOOKUP($F316,Productos!$A:$A,Productos!BJ:BJ,"Revisar"),"")</f>
        <v/>
      </c>
      <c r="BR316" s="179" t="str">
        <f t="array" ref="BR316">IF($F316&lt;&gt;"", XLOOKUP($F316,Productos!$A$2:$A1001,Productos!BK$2:BK1001,"")*$G316,"")</f>
        <v/>
      </c>
      <c r="BS316" s="179" t="str">
        <f t="array" ref="BS316">IF($F316&lt;&gt;"",XLOOKUP($F316,Productos!$A:$A,Productos!BL:BL,"Revisar"),"")</f>
        <v/>
      </c>
      <c r="BT316" s="179" t="str">
        <f t="array" ref="BT316">IF($F316&lt;&gt;"", XLOOKUP($F316,Productos!$A$2:$A1001,Productos!BM$2:BM1001,"")*$G316,"")</f>
        <v/>
      </c>
      <c r="BU316" s="179" t="str">
        <f t="array" ref="BU316">IF($F316&lt;&gt;"",XLOOKUP($F316,Productos!$A:$A,Productos!BN:BN,"Revisar"),"")</f>
        <v/>
      </c>
      <c r="BV316" s="179" t="str">
        <f t="array" ref="BV316">IF($F316&lt;&gt;"", XLOOKUP($F316,Productos!$A$2:$A1001,Productos!BO$2:BO1001,"")*$G316,"")</f>
        <v/>
      </c>
      <c r="BW316" s="179" t="str">
        <f t="array" ref="BW316">IF($F316&lt;&gt;"",XLOOKUP($F316,Productos!$A:$A,Productos!BP:BP,"Revisar"),"")</f>
        <v/>
      </c>
      <c r="BX316" s="179" t="str">
        <f t="array" ref="BX316">IF($F316&lt;&gt;"", XLOOKUP($F316,Productos!$A$2:$A1001,Productos!BQ$2:BQ1001,"")*$G316,"")</f>
        <v/>
      </c>
      <c r="BY316" s="179" t="str">
        <f t="array" ref="BY316">IF($F316&lt;&gt;"",XLOOKUP($F316,Productos!$A:$A,Productos!BR:BR,"Revisar"),"")</f>
        <v/>
      </c>
      <c r="BZ316" s="179" t="str">
        <f t="array" ref="BZ316">IF($F316&lt;&gt;"", XLOOKUP($F316,Productos!$A$2:$A1001,Productos!BS$2:BS1001,"")*$G316,"")</f>
        <v/>
      </c>
    </row>
    <row r="317">
      <c r="A317" s="188"/>
      <c r="B317" s="189"/>
      <c r="C317" s="190"/>
      <c r="D317" s="190"/>
      <c r="E317" s="191"/>
      <c r="F317" s="186"/>
      <c r="G317" s="192"/>
      <c r="H317" s="9"/>
      <c r="I317" s="179" t="str">
        <f t="array" ref="I317">IF($F317&lt;&gt;"",XLOOKUP($F317,Productos!$A:$A,Productos!B:B,"Revisar"),"")</f>
        <v/>
      </c>
      <c r="J317" s="179" t="str">
        <f t="array" ref="J317">IF($F317&lt;&gt;"", XLOOKUP($F317,Productos!$A$2:$A1001,Productos!C$2:C1001,"")*$G317,"")</f>
        <v/>
      </c>
      <c r="K317" s="179" t="str">
        <f t="array" ref="K317">IF($F317&lt;&gt;"",XLOOKUP($F317,Productos!$A:$A,Productos!D:D,"Revisar"),"")</f>
        <v/>
      </c>
      <c r="L317" s="179" t="str">
        <f t="array" ref="L317">IF($F317&lt;&gt;"", XLOOKUP($F317,Productos!$A$2:$A1001,Productos!E$2:E1001,"")*$G317,"")</f>
        <v/>
      </c>
      <c r="M317" s="179" t="str">
        <f t="array" ref="M317">IF($F317&lt;&gt;"",XLOOKUP($F317,Productos!$A:$A,Productos!F:F,"Revisar"),"")</f>
        <v/>
      </c>
      <c r="N317" s="179" t="str">
        <f t="array" ref="N317">IF($F317&lt;&gt;"", XLOOKUP($F317,Productos!$A$2:$A1001,Productos!G$2:G1001,"")*$G317,"")</f>
        <v/>
      </c>
      <c r="O317" s="179" t="str">
        <f t="array" ref="O317">IF($F317&lt;&gt;"",XLOOKUP($F317,Productos!$A:$A,Productos!H:H,"Revisar"),"")</f>
        <v/>
      </c>
      <c r="P317" s="179" t="str">
        <f t="array" ref="P317">IF($F317&lt;&gt;"", XLOOKUP($F317,Productos!$A$2:$A1001,Productos!I$2:I1001,"")*$G317,"")</f>
        <v/>
      </c>
      <c r="Q317" s="179" t="str">
        <f t="array" ref="Q317">IF($F317&lt;&gt;"",XLOOKUP($F317,Productos!$A:$A,Productos!J:J,"Revisar"),"")</f>
        <v/>
      </c>
      <c r="R317" s="179" t="str">
        <f t="array" ref="R317">IF($F317&lt;&gt;"", XLOOKUP($F317,Productos!$A$2:$A1001,Productos!K$2:K1001,"")*$G317,"")</f>
        <v/>
      </c>
      <c r="S317" s="179" t="str">
        <f t="array" ref="S317">IF($F317&lt;&gt;"",XLOOKUP($F317,Productos!$A:$A,Productos!L:L,"Revisar"),"")</f>
        <v/>
      </c>
      <c r="T317" s="179" t="str">
        <f t="array" ref="T317">IF($F317&lt;&gt;"", XLOOKUP($F317,Productos!$A$2:$A1001,Productos!M$2:M1001,"")*$G317,"")</f>
        <v/>
      </c>
      <c r="U317" s="179" t="str">
        <f t="array" ref="U317">IF($F317&lt;&gt;"",XLOOKUP($F317,Productos!$A:$A,Productos!N:N,"Revisar"),"")</f>
        <v/>
      </c>
      <c r="V317" s="179" t="str">
        <f t="array" ref="V317">IF($F317&lt;&gt;"", XLOOKUP($F317,Productos!$A$2:$A1001,Productos!O$2:O1001,"")*$G317,"")</f>
        <v/>
      </c>
      <c r="W317" s="179" t="str">
        <f t="array" ref="W317">IF($F317&lt;&gt;"",XLOOKUP($F317,Productos!$A:$A,Productos!P:P,"Revisar"),"")</f>
        <v/>
      </c>
      <c r="X317" s="179" t="str">
        <f t="array" ref="X317">IF($F317&lt;&gt;"", XLOOKUP($F317,Productos!$A$2:$A1001,Productos!Q$2:Q1001,"")*$G317,"")</f>
        <v/>
      </c>
      <c r="Y317" s="179" t="str">
        <f t="array" ref="Y317">IF($F317&lt;&gt;"",XLOOKUP($F317,Productos!$A:$A,Productos!R:R,"Revisar"),"")</f>
        <v/>
      </c>
      <c r="Z317" s="179" t="str">
        <f t="array" ref="Z317">IF($F317&lt;&gt;"", XLOOKUP($F317,Productos!$A$2:$A1001,Productos!S$2:S1001,"")*$G317,"")</f>
        <v/>
      </c>
      <c r="AA317" s="179" t="str">
        <f t="array" ref="AA317">IF($F317&lt;&gt;"",XLOOKUP($F317,Productos!$A:$A,Productos!T:T,"Revisar"),"")</f>
        <v/>
      </c>
      <c r="AB317" s="179" t="str">
        <f t="array" ref="AB317">IF($F317&lt;&gt;"", XLOOKUP($F317,Productos!$A$2:$A1001,Productos!U$2:U1001,"")*$G317,"")</f>
        <v/>
      </c>
      <c r="AC317" s="179" t="str">
        <f t="array" ref="AC317">IF($F317&lt;&gt;"",XLOOKUP($F317,Productos!$A:$A,Productos!V:V,"Revisar"),"")</f>
        <v/>
      </c>
      <c r="AD317" s="179" t="str">
        <f t="array" ref="AD317">IF($F317&lt;&gt;"", XLOOKUP($F317,Productos!$A$2:$A1001,Productos!W$2:W1001,"")*$G317,"")</f>
        <v/>
      </c>
      <c r="AE317" s="179" t="str">
        <f t="array" ref="AE317">IF($F317&lt;&gt;"",XLOOKUP($F317,Productos!$A:$A,Productos!X:X,"Revisar"),"")</f>
        <v/>
      </c>
      <c r="AF317" s="179" t="str">
        <f t="array" ref="AF317">IF($F317&lt;&gt;"", XLOOKUP($F317,Productos!$A$2:$A1001,Productos!Y$2:Y1001,"")*$G317,"")</f>
        <v/>
      </c>
      <c r="AG317" s="179" t="str">
        <f t="array" ref="AG317">IF($F317&lt;&gt;"",XLOOKUP($F317,Productos!$A:$A,Productos!Z:Z,"Revisar"),"")</f>
        <v/>
      </c>
      <c r="AH317" s="179" t="str">
        <f t="array" ref="AH317">IF($F317&lt;&gt;"", XLOOKUP($F317,Productos!$A$2:$A1001,Productos!AA$2:AA1001,"")*$G317,"")</f>
        <v/>
      </c>
      <c r="AI317" s="179" t="str">
        <f t="array" ref="AI317">IF($F317&lt;&gt;"",XLOOKUP($F317,Productos!$A:$A,Productos!AB:AB,"Revisar"),"")</f>
        <v/>
      </c>
      <c r="AJ317" s="179" t="str">
        <f t="array" ref="AJ317">IF($F317&lt;&gt;"", XLOOKUP($F317,Productos!$A$2:$A1001,Productos!AC$2:AC1001,"")*$G317,"")</f>
        <v/>
      </c>
      <c r="AK317" s="179" t="str">
        <f t="array" ref="AK317">IF($F317&lt;&gt;"",XLOOKUP($F317,Productos!$A:$A,Productos!AD:AD,"Revisar"),"")</f>
        <v/>
      </c>
      <c r="AL317" s="179" t="str">
        <f t="array" ref="AL317">IF($F317&lt;&gt;"", XLOOKUP($F317,Productos!$A$2:$A1001,Productos!AE$2:AE1001,"")*$G317,"")</f>
        <v/>
      </c>
      <c r="AM317" s="179" t="str">
        <f t="array" ref="AM317">IF($F317&lt;&gt;"",XLOOKUP($F317,Productos!$A:$A,Productos!AF:AF,"Revisar"),"")</f>
        <v/>
      </c>
      <c r="AN317" s="179" t="str">
        <f t="array" ref="AN317">IF($F317&lt;&gt;"", XLOOKUP($F317,Productos!$A$2:$A1001,Productos!AG$2:AG1001,"")*$G317,"")</f>
        <v/>
      </c>
      <c r="AO317" s="179" t="str">
        <f t="array" ref="AO317">IF($F317&lt;&gt;"",XLOOKUP($F317,Productos!$A:$A,Productos!AH:AH,"Revisar"),"")</f>
        <v/>
      </c>
      <c r="AP317" s="179" t="str">
        <f t="array" ref="AP317">IF($F317&lt;&gt;"", XLOOKUP($F317,Productos!$A$2:$A1001,Productos!AI$2:AI1001,"")*$G317,"")</f>
        <v/>
      </c>
      <c r="AQ317" s="179" t="str">
        <f t="array" ref="AQ317">IF($F317&lt;&gt;"",XLOOKUP($F317,Productos!$A:$A,Productos!AJ:AJ,"Revisar"),"")</f>
        <v/>
      </c>
      <c r="AR317" s="179" t="str">
        <f t="array" ref="AR317">IF($F317&lt;&gt;"", XLOOKUP($F317,Productos!$A$2:$A1001,Productos!AK$2:AK1001,"")*$G317,"")</f>
        <v/>
      </c>
      <c r="AS317" s="179" t="str">
        <f t="array" ref="AS317">IF($F317&lt;&gt;"",XLOOKUP($F317,Productos!$A:$A,Productos!AL:AL,"Revisar"),"")</f>
        <v/>
      </c>
      <c r="AT317" s="179" t="str">
        <f t="array" ref="AT317">IF($F317&lt;&gt;"", XLOOKUP($F317,Productos!$A$2:$A1001,Productos!AM$2:AM1001,"")*$G317,"")</f>
        <v/>
      </c>
      <c r="AU317" s="179" t="str">
        <f t="array" ref="AU317">IF($F317&lt;&gt;"",XLOOKUP($F317,Productos!$A:$A,Productos!AN:AN,"Revisar"),"")</f>
        <v/>
      </c>
      <c r="AV317" s="179" t="str">
        <f t="array" ref="AV317">IF($F317&lt;&gt;"", XLOOKUP($F317,Productos!$A$2:$A1001,Productos!AO$2:AO1001,"")*$G317,"")</f>
        <v/>
      </c>
      <c r="AW317" s="179" t="str">
        <f t="array" ref="AW317">IF($F317&lt;&gt;"",XLOOKUP($F317,Productos!$A:$A,Productos!AP:AP,"Revisar"),"")</f>
        <v/>
      </c>
      <c r="AX317" s="179" t="str">
        <f t="array" ref="AX317">IF($F317&lt;&gt;"", XLOOKUP($F317,Productos!$A$2:$A1001,Productos!AQ$2:AQ1001,"")*$G317,"")</f>
        <v/>
      </c>
      <c r="AY317" s="179" t="str">
        <f t="array" ref="AY317">IF($F317&lt;&gt;"",XLOOKUP($F317,Productos!$A:$A,Productos!AR:AR,"Revisar"),"")</f>
        <v/>
      </c>
      <c r="AZ317" s="179" t="str">
        <f t="array" ref="AZ317">IF($F317&lt;&gt;"", XLOOKUP($F317,Productos!$A$2:$A1001,Productos!AS$2:AS1001,"")*$G317,"")</f>
        <v/>
      </c>
      <c r="BA317" s="179" t="str">
        <f t="array" ref="BA317">IF($F317&lt;&gt;"",XLOOKUP($F317,Productos!$A:$A,Productos!AT:AT,"Revisar"),"")</f>
        <v/>
      </c>
      <c r="BB317" s="179" t="str">
        <f t="array" ref="BB317">IF($F317&lt;&gt;"", XLOOKUP($F317,Productos!$A$2:$A1001,Productos!AU$2:AU1001,"")*$G317,"")</f>
        <v/>
      </c>
      <c r="BC317" s="179" t="str">
        <f t="array" ref="BC317">IF($F317&lt;&gt;"",XLOOKUP($F317,Productos!$A:$A,Productos!AV:AV,"Revisar"),"")</f>
        <v/>
      </c>
      <c r="BD317" s="179" t="str">
        <f t="array" ref="BD317">IF($F317&lt;&gt;"", XLOOKUP($F317,Productos!$A$2:$A1001,Productos!AW$2:AW1001,"")*$G317,"")</f>
        <v/>
      </c>
      <c r="BE317" s="179" t="str">
        <f t="array" ref="BE317">IF($F317&lt;&gt;"",XLOOKUP($F317,Productos!$A:$A,Productos!AX:AX,"Revisar"),"")</f>
        <v/>
      </c>
      <c r="BF317" s="179" t="str">
        <f t="array" ref="BF317">IF($F317&lt;&gt;"", XLOOKUP($F317,Productos!$A$2:$A1001,Productos!AY$2:AY1001,"")*$G317,"")</f>
        <v/>
      </c>
      <c r="BG317" s="179" t="str">
        <f t="array" ref="BG317">IF($F317&lt;&gt;"",XLOOKUP($F317,Productos!$A:$A,Productos!AZ:AZ,"Revisar"),"")</f>
        <v/>
      </c>
      <c r="BH317" s="179" t="str">
        <f t="array" ref="BH317">IF($F317&lt;&gt;"", XLOOKUP($F317,Productos!$A$2:$A1001,Productos!BA$2:BA1001,"")*$G317,"")</f>
        <v/>
      </c>
      <c r="BI317" s="179" t="str">
        <f t="array" ref="BI317">IF($F317&lt;&gt;"",XLOOKUP($F317,Productos!$A:$A,Productos!BB:BB,"Revisar"),"")</f>
        <v/>
      </c>
      <c r="BJ317" s="179" t="str">
        <f t="array" ref="BJ317">IF($F317&lt;&gt;"", XLOOKUP($F317,Productos!$A$2:$A1001,Productos!BC$2:BC1001,"")*$G317,"")</f>
        <v/>
      </c>
      <c r="BK317" s="179" t="str">
        <f t="array" ref="BK317">IF($F317&lt;&gt;"",XLOOKUP($F317,Productos!$A:$A,Productos!BD:BD,"Revisar"),"")</f>
        <v/>
      </c>
      <c r="BL317" s="179" t="str">
        <f t="array" ref="BL317">IF($F317&lt;&gt;"", XLOOKUP($F317,Productos!$A$2:$A1001,Productos!BE$2:BE1001,"")*$G317,"")</f>
        <v/>
      </c>
      <c r="BM317" s="179" t="str">
        <f t="array" ref="BM317">IF($F317&lt;&gt;"",XLOOKUP($F317,Productos!$A:$A,Productos!BF:BF,"Revisar"),"")</f>
        <v/>
      </c>
      <c r="BN317" s="179" t="str">
        <f t="array" ref="BN317">IF($F317&lt;&gt;"", XLOOKUP($F317,Productos!$A$2:$A1001,Productos!BG$2:BG1001,"")*$G317,"")</f>
        <v/>
      </c>
      <c r="BO317" s="179" t="str">
        <f t="array" ref="BO317">IF($F317&lt;&gt;"",XLOOKUP($F317,Productos!$A:$A,Productos!BH:BH,"Revisar"),"")</f>
        <v/>
      </c>
      <c r="BP317" s="179" t="str">
        <f t="array" ref="BP317">IF($F317&lt;&gt;"", XLOOKUP($F317,Productos!$A$2:$A1001,Productos!BI$2:BI1001,"")*$G317,"")</f>
        <v/>
      </c>
      <c r="BQ317" s="179" t="str">
        <f t="array" ref="BQ317">IF($F317&lt;&gt;"",XLOOKUP($F317,Productos!$A:$A,Productos!BJ:BJ,"Revisar"),"")</f>
        <v/>
      </c>
      <c r="BR317" s="179" t="str">
        <f t="array" ref="BR317">IF($F317&lt;&gt;"", XLOOKUP($F317,Productos!$A$2:$A1001,Productos!BK$2:BK1001,"")*$G317,"")</f>
        <v/>
      </c>
      <c r="BS317" s="179" t="str">
        <f t="array" ref="BS317">IF($F317&lt;&gt;"",XLOOKUP($F317,Productos!$A:$A,Productos!BL:BL,"Revisar"),"")</f>
        <v/>
      </c>
      <c r="BT317" s="179" t="str">
        <f t="array" ref="BT317">IF($F317&lt;&gt;"", XLOOKUP($F317,Productos!$A$2:$A1001,Productos!BM$2:BM1001,"")*$G317,"")</f>
        <v/>
      </c>
      <c r="BU317" s="179" t="str">
        <f t="array" ref="BU317">IF($F317&lt;&gt;"",XLOOKUP($F317,Productos!$A:$A,Productos!BN:BN,"Revisar"),"")</f>
        <v/>
      </c>
      <c r="BV317" s="179" t="str">
        <f t="array" ref="BV317">IF($F317&lt;&gt;"", XLOOKUP($F317,Productos!$A$2:$A1001,Productos!BO$2:BO1001,"")*$G317,"")</f>
        <v/>
      </c>
      <c r="BW317" s="179" t="str">
        <f t="array" ref="BW317">IF($F317&lt;&gt;"",XLOOKUP($F317,Productos!$A:$A,Productos!BP:BP,"Revisar"),"")</f>
        <v/>
      </c>
      <c r="BX317" s="179" t="str">
        <f t="array" ref="BX317">IF($F317&lt;&gt;"", XLOOKUP($F317,Productos!$A$2:$A1001,Productos!BQ$2:BQ1001,"")*$G317,"")</f>
        <v/>
      </c>
      <c r="BY317" s="179" t="str">
        <f t="array" ref="BY317">IF($F317&lt;&gt;"",XLOOKUP($F317,Productos!$A:$A,Productos!BR:BR,"Revisar"),"")</f>
        <v/>
      </c>
      <c r="BZ317" s="179" t="str">
        <f t="array" ref="BZ317">IF($F317&lt;&gt;"", XLOOKUP($F317,Productos!$A$2:$A1001,Productos!BS$2:BS1001,"")*$G317,"")</f>
        <v/>
      </c>
    </row>
    <row r="318">
      <c r="A318" s="188"/>
      <c r="B318" s="189"/>
      <c r="C318" s="190"/>
      <c r="D318" s="190"/>
      <c r="E318" s="191"/>
      <c r="F318" s="186"/>
      <c r="G318" s="192"/>
      <c r="H318" s="9"/>
      <c r="I318" s="179" t="str">
        <f t="array" ref="I318">IF($F318&lt;&gt;"",XLOOKUP($F318,Productos!$A:$A,Productos!B:B,"Revisar"),"")</f>
        <v/>
      </c>
      <c r="J318" s="179" t="str">
        <f t="array" ref="J318">IF($F318&lt;&gt;"", XLOOKUP($F318,Productos!$A$2:$A1001,Productos!C$2:C1001,"")*$G318,"")</f>
        <v/>
      </c>
      <c r="K318" s="179" t="str">
        <f t="array" ref="K318">IF($F318&lt;&gt;"",XLOOKUP($F318,Productos!$A:$A,Productos!D:D,"Revisar"),"")</f>
        <v/>
      </c>
      <c r="L318" s="179" t="str">
        <f t="array" ref="L318">IF($F318&lt;&gt;"", XLOOKUP($F318,Productos!$A$2:$A1001,Productos!E$2:E1001,"")*$G318,"")</f>
        <v/>
      </c>
      <c r="M318" s="179" t="str">
        <f t="array" ref="M318">IF($F318&lt;&gt;"",XLOOKUP($F318,Productos!$A:$A,Productos!F:F,"Revisar"),"")</f>
        <v/>
      </c>
      <c r="N318" s="179" t="str">
        <f t="array" ref="N318">IF($F318&lt;&gt;"", XLOOKUP($F318,Productos!$A$2:$A1001,Productos!G$2:G1001,"")*$G318,"")</f>
        <v/>
      </c>
      <c r="O318" s="179" t="str">
        <f t="array" ref="O318">IF($F318&lt;&gt;"",XLOOKUP($F318,Productos!$A:$A,Productos!H:H,"Revisar"),"")</f>
        <v/>
      </c>
      <c r="P318" s="179" t="str">
        <f t="array" ref="P318">IF($F318&lt;&gt;"", XLOOKUP($F318,Productos!$A$2:$A1001,Productos!I$2:I1001,"")*$G318,"")</f>
        <v/>
      </c>
      <c r="Q318" s="179" t="str">
        <f t="array" ref="Q318">IF($F318&lt;&gt;"",XLOOKUP($F318,Productos!$A:$A,Productos!J:J,"Revisar"),"")</f>
        <v/>
      </c>
      <c r="R318" s="179" t="str">
        <f t="array" ref="R318">IF($F318&lt;&gt;"", XLOOKUP($F318,Productos!$A$2:$A1001,Productos!K$2:K1001,"")*$G318,"")</f>
        <v/>
      </c>
      <c r="S318" s="179" t="str">
        <f t="array" ref="S318">IF($F318&lt;&gt;"",XLOOKUP($F318,Productos!$A:$A,Productos!L:L,"Revisar"),"")</f>
        <v/>
      </c>
      <c r="T318" s="179" t="str">
        <f t="array" ref="T318">IF($F318&lt;&gt;"", XLOOKUP($F318,Productos!$A$2:$A1001,Productos!M$2:M1001,"")*$G318,"")</f>
        <v/>
      </c>
      <c r="U318" s="179" t="str">
        <f t="array" ref="U318">IF($F318&lt;&gt;"",XLOOKUP($F318,Productos!$A:$A,Productos!N:N,"Revisar"),"")</f>
        <v/>
      </c>
      <c r="V318" s="179" t="str">
        <f t="array" ref="V318">IF($F318&lt;&gt;"", XLOOKUP($F318,Productos!$A$2:$A1001,Productos!O$2:O1001,"")*$G318,"")</f>
        <v/>
      </c>
      <c r="W318" s="179" t="str">
        <f t="array" ref="W318">IF($F318&lt;&gt;"",XLOOKUP($F318,Productos!$A:$A,Productos!P:P,"Revisar"),"")</f>
        <v/>
      </c>
      <c r="X318" s="179" t="str">
        <f t="array" ref="X318">IF($F318&lt;&gt;"", XLOOKUP($F318,Productos!$A$2:$A1001,Productos!Q$2:Q1001,"")*$G318,"")</f>
        <v/>
      </c>
      <c r="Y318" s="179" t="str">
        <f t="array" ref="Y318">IF($F318&lt;&gt;"",XLOOKUP($F318,Productos!$A:$A,Productos!R:R,"Revisar"),"")</f>
        <v/>
      </c>
      <c r="Z318" s="179" t="str">
        <f t="array" ref="Z318">IF($F318&lt;&gt;"", XLOOKUP($F318,Productos!$A$2:$A1001,Productos!S$2:S1001,"")*$G318,"")</f>
        <v/>
      </c>
      <c r="AA318" s="179" t="str">
        <f t="array" ref="AA318">IF($F318&lt;&gt;"",XLOOKUP($F318,Productos!$A:$A,Productos!T:T,"Revisar"),"")</f>
        <v/>
      </c>
      <c r="AB318" s="179" t="str">
        <f t="array" ref="AB318">IF($F318&lt;&gt;"", XLOOKUP($F318,Productos!$A$2:$A1001,Productos!U$2:U1001,"")*$G318,"")</f>
        <v/>
      </c>
      <c r="AC318" s="179" t="str">
        <f t="array" ref="AC318">IF($F318&lt;&gt;"",XLOOKUP($F318,Productos!$A:$A,Productos!V:V,"Revisar"),"")</f>
        <v/>
      </c>
      <c r="AD318" s="179" t="str">
        <f t="array" ref="AD318">IF($F318&lt;&gt;"", XLOOKUP($F318,Productos!$A$2:$A1001,Productos!W$2:W1001,"")*$G318,"")</f>
        <v/>
      </c>
      <c r="AE318" s="179" t="str">
        <f t="array" ref="AE318">IF($F318&lt;&gt;"",XLOOKUP($F318,Productos!$A:$A,Productos!X:X,"Revisar"),"")</f>
        <v/>
      </c>
      <c r="AF318" s="179" t="str">
        <f t="array" ref="AF318">IF($F318&lt;&gt;"", XLOOKUP($F318,Productos!$A$2:$A1001,Productos!Y$2:Y1001,"")*$G318,"")</f>
        <v/>
      </c>
      <c r="AG318" s="179" t="str">
        <f t="array" ref="AG318">IF($F318&lt;&gt;"",XLOOKUP($F318,Productos!$A:$A,Productos!Z:Z,"Revisar"),"")</f>
        <v/>
      </c>
      <c r="AH318" s="179" t="str">
        <f t="array" ref="AH318">IF($F318&lt;&gt;"", XLOOKUP($F318,Productos!$A$2:$A1001,Productos!AA$2:AA1001,"")*$G318,"")</f>
        <v/>
      </c>
      <c r="AI318" s="179" t="str">
        <f t="array" ref="AI318">IF($F318&lt;&gt;"",XLOOKUP($F318,Productos!$A:$A,Productos!AB:AB,"Revisar"),"")</f>
        <v/>
      </c>
      <c r="AJ318" s="179" t="str">
        <f t="array" ref="AJ318">IF($F318&lt;&gt;"", XLOOKUP($F318,Productos!$A$2:$A1001,Productos!AC$2:AC1001,"")*$G318,"")</f>
        <v/>
      </c>
      <c r="AK318" s="179" t="str">
        <f t="array" ref="AK318">IF($F318&lt;&gt;"",XLOOKUP($F318,Productos!$A:$A,Productos!AD:AD,"Revisar"),"")</f>
        <v/>
      </c>
      <c r="AL318" s="179" t="str">
        <f t="array" ref="AL318">IF($F318&lt;&gt;"", XLOOKUP($F318,Productos!$A$2:$A1001,Productos!AE$2:AE1001,"")*$G318,"")</f>
        <v/>
      </c>
      <c r="AM318" s="179" t="str">
        <f t="array" ref="AM318">IF($F318&lt;&gt;"",XLOOKUP($F318,Productos!$A:$A,Productos!AF:AF,"Revisar"),"")</f>
        <v/>
      </c>
      <c r="AN318" s="179" t="str">
        <f t="array" ref="AN318">IF($F318&lt;&gt;"", XLOOKUP($F318,Productos!$A$2:$A1001,Productos!AG$2:AG1001,"")*$G318,"")</f>
        <v/>
      </c>
      <c r="AO318" s="179" t="str">
        <f t="array" ref="AO318">IF($F318&lt;&gt;"",XLOOKUP($F318,Productos!$A:$A,Productos!AH:AH,"Revisar"),"")</f>
        <v/>
      </c>
      <c r="AP318" s="179" t="str">
        <f t="array" ref="AP318">IF($F318&lt;&gt;"", XLOOKUP($F318,Productos!$A$2:$A1001,Productos!AI$2:AI1001,"")*$G318,"")</f>
        <v/>
      </c>
      <c r="AQ318" s="179" t="str">
        <f t="array" ref="AQ318">IF($F318&lt;&gt;"",XLOOKUP($F318,Productos!$A:$A,Productos!AJ:AJ,"Revisar"),"")</f>
        <v/>
      </c>
      <c r="AR318" s="179" t="str">
        <f t="array" ref="AR318">IF($F318&lt;&gt;"", XLOOKUP($F318,Productos!$A$2:$A1001,Productos!AK$2:AK1001,"")*$G318,"")</f>
        <v/>
      </c>
      <c r="AS318" s="179" t="str">
        <f t="array" ref="AS318">IF($F318&lt;&gt;"",XLOOKUP($F318,Productos!$A:$A,Productos!AL:AL,"Revisar"),"")</f>
        <v/>
      </c>
      <c r="AT318" s="179" t="str">
        <f t="array" ref="AT318">IF($F318&lt;&gt;"", XLOOKUP($F318,Productos!$A$2:$A1001,Productos!AM$2:AM1001,"")*$G318,"")</f>
        <v/>
      </c>
      <c r="AU318" s="179" t="str">
        <f t="array" ref="AU318">IF($F318&lt;&gt;"",XLOOKUP($F318,Productos!$A:$A,Productos!AN:AN,"Revisar"),"")</f>
        <v/>
      </c>
      <c r="AV318" s="179" t="str">
        <f t="array" ref="AV318">IF($F318&lt;&gt;"", XLOOKUP($F318,Productos!$A$2:$A1001,Productos!AO$2:AO1001,"")*$G318,"")</f>
        <v/>
      </c>
      <c r="AW318" s="179" t="str">
        <f t="array" ref="AW318">IF($F318&lt;&gt;"",XLOOKUP($F318,Productos!$A:$A,Productos!AP:AP,"Revisar"),"")</f>
        <v/>
      </c>
      <c r="AX318" s="179" t="str">
        <f t="array" ref="AX318">IF($F318&lt;&gt;"", XLOOKUP($F318,Productos!$A$2:$A1001,Productos!AQ$2:AQ1001,"")*$G318,"")</f>
        <v/>
      </c>
      <c r="AY318" s="179" t="str">
        <f t="array" ref="AY318">IF($F318&lt;&gt;"",XLOOKUP($F318,Productos!$A:$A,Productos!AR:AR,"Revisar"),"")</f>
        <v/>
      </c>
      <c r="AZ318" s="179" t="str">
        <f t="array" ref="AZ318">IF($F318&lt;&gt;"", XLOOKUP($F318,Productos!$A$2:$A1001,Productos!AS$2:AS1001,"")*$G318,"")</f>
        <v/>
      </c>
      <c r="BA318" s="179" t="str">
        <f t="array" ref="BA318">IF($F318&lt;&gt;"",XLOOKUP($F318,Productos!$A:$A,Productos!AT:AT,"Revisar"),"")</f>
        <v/>
      </c>
      <c r="BB318" s="179" t="str">
        <f t="array" ref="BB318">IF($F318&lt;&gt;"", XLOOKUP($F318,Productos!$A$2:$A1001,Productos!AU$2:AU1001,"")*$G318,"")</f>
        <v/>
      </c>
      <c r="BC318" s="179" t="str">
        <f t="array" ref="BC318">IF($F318&lt;&gt;"",XLOOKUP($F318,Productos!$A:$A,Productos!AV:AV,"Revisar"),"")</f>
        <v/>
      </c>
      <c r="BD318" s="179" t="str">
        <f t="array" ref="BD318">IF($F318&lt;&gt;"", XLOOKUP($F318,Productos!$A$2:$A1001,Productos!AW$2:AW1001,"")*$G318,"")</f>
        <v/>
      </c>
      <c r="BE318" s="179" t="str">
        <f t="array" ref="BE318">IF($F318&lt;&gt;"",XLOOKUP($F318,Productos!$A:$A,Productos!AX:AX,"Revisar"),"")</f>
        <v/>
      </c>
      <c r="BF318" s="179" t="str">
        <f t="array" ref="BF318">IF($F318&lt;&gt;"", XLOOKUP($F318,Productos!$A$2:$A1001,Productos!AY$2:AY1001,"")*$G318,"")</f>
        <v/>
      </c>
      <c r="BG318" s="179" t="str">
        <f t="array" ref="BG318">IF($F318&lt;&gt;"",XLOOKUP($F318,Productos!$A:$A,Productos!AZ:AZ,"Revisar"),"")</f>
        <v/>
      </c>
      <c r="BH318" s="179" t="str">
        <f t="array" ref="BH318">IF($F318&lt;&gt;"", XLOOKUP($F318,Productos!$A$2:$A1001,Productos!BA$2:BA1001,"")*$G318,"")</f>
        <v/>
      </c>
      <c r="BI318" s="179" t="str">
        <f t="array" ref="BI318">IF($F318&lt;&gt;"",XLOOKUP($F318,Productos!$A:$A,Productos!BB:BB,"Revisar"),"")</f>
        <v/>
      </c>
      <c r="BJ318" s="179" t="str">
        <f t="array" ref="BJ318">IF($F318&lt;&gt;"", XLOOKUP($F318,Productos!$A$2:$A1001,Productos!BC$2:BC1001,"")*$G318,"")</f>
        <v/>
      </c>
      <c r="BK318" s="179" t="str">
        <f t="array" ref="BK318">IF($F318&lt;&gt;"",XLOOKUP($F318,Productos!$A:$A,Productos!BD:BD,"Revisar"),"")</f>
        <v/>
      </c>
      <c r="BL318" s="179" t="str">
        <f t="array" ref="BL318">IF($F318&lt;&gt;"", XLOOKUP($F318,Productos!$A$2:$A1001,Productos!BE$2:BE1001,"")*$G318,"")</f>
        <v/>
      </c>
      <c r="BM318" s="179" t="str">
        <f t="array" ref="BM318">IF($F318&lt;&gt;"",XLOOKUP($F318,Productos!$A:$A,Productos!BF:BF,"Revisar"),"")</f>
        <v/>
      </c>
      <c r="BN318" s="179" t="str">
        <f t="array" ref="BN318">IF($F318&lt;&gt;"", XLOOKUP($F318,Productos!$A$2:$A1001,Productos!BG$2:BG1001,"")*$G318,"")</f>
        <v/>
      </c>
      <c r="BO318" s="179" t="str">
        <f t="array" ref="BO318">IF($F318&lt;&gt;"",XLOOKUP($F318,Productos!$A:$A,Productos!BH:BH,"Revisar"),"")</f>
        <v/>
      </c>
      <c r="BP318" s="179" t="str">
        <f t="array" ref="BP318">IF($F318&lt;&gt;"", XLOOKUP($F318,Productos!$A$2:$A1001,Productos!BI$2:BI1001,"")*$G318,"")</f>
        <v/>
      </c>
      <c r="BQ318" s="179" t="str">
        <f t="array" ref="BQ318">IF($F318&lt;&gt;"",XLOOKUP($F318,Productos!$A:$A,Productos!BJ:BJ,"Revisar"),"")</f>
        <v/>
      </c>
      <c r="BR318" s="179" t="str">
        <f t="array" ref="BR318">IF($F318&lt;&gt;"", XLOOKUP($F318,Productos!$A$2:$A1001,Productos!BK$2:BK1001,"")*$G318,"")</f>
        <v/>
      </c>
      <c r="BS318" s="179" t="str">
        <f t="array" ref="BS318">IF($F318&lt;&gt;"",XLOOKUP($F318,Productos!$A:$A,Productos!BL:BL,"Revisar"),"")</f>
        <v/>
      </c>
      <c r="BT318" s="179" t="str">
        <f t="array" ref="BT318">IF($F318&lt;&gt;"", XLOOKUP($F318,Productos!$A$2:$A1001,Productos!BM$2:BM1001,"")*$G318,"")</f>
        <v/>
      </c>
      <c r="BU318" s="179" t="str">
        <f t="array" ref="BU318">IF($F318&lt;&gt;"",XLOOKUP($F318,Productos!$A:$A,Productos!BN:BN,"Revisar"),"")</f>
        <v/>
      </c>
      <c r="BV318" s="179" t="str">
        <f t="array" ref="BV318">IF($F318&lt;&gt;"", XLOOKUP($F318,Productos!$A$2:$A1001,Productos!BO$2:BO1001,"")*$G318,"")</f>
        <v/>
      </c>
      <c r="BW318" s="179" t="str">
        <f t="array" ref="BW318">IF($F318&lt;&gt;"",XLOOKUP($F318,Productos!$A:$A,Productos!BP:BP,"Revisar"),"")</f>
        <v/>
      </c>
      <c r="BX318" s="179" t="str">
        <f t="array" ref="BX318">IF($F318&lt;&gt;"", XLOOKUP($F318,Productos!$A$2:$A1001,Productos!BQ$2:BQ1001,"")*$G318,"")</f>
        <v/>
      </c>
      <c r="BY318" s="179" t="str">
        <f t="array" ref="BY318">IF($F318&lt;&gt;"",XLOOKUP($F318,Productos!$A:$A,Productos!BR:BR,"Revisar"),"")</f>
        <v/>
      </c>
      <c r="BZ318" s="179" t="str">
        <f t="array" ref="BZ318">IF($F318&lt;&gt;"", XLOOKUP($F318,Productos!$A$2:$A1001,Productos!BS$2:BS1001,"")*$G318,"")</f>
        <v/>
      </c>
    </row>
    <row r="319">
      <c r="A319" s="188"/>
      <c r="B319" s="189"/>
      <c r="C319" s="190"/>
      <c r="D319" s="190"/>
      <c r="E319" s="191"/>
      <c r="F319" s="186"/>
      <c r="G319" s="192"/>
      <c r="H319" s="9"/>
      <c r="I319" s="179" t="str">
        <f t="array" ref="I319">IF($F319&lt;&gt;"",XLOOKUP($F319,Productos!$A:$A,Productos!B:B,"Revisar"),"")</f>
        <v/>
      </c>
      <c r="J319" s="179" t="str">
        <f t="array" ref="J319">IF($F319&lt;&gt;"", XLOOKUP($F319,Productos!$A$2:$A1001,Productos!C$2:C1001,"")*$G319,"")</f>
        <v/>
      </c>
      <c r="K319" s="179" t="str">
        <f t="array" ref="K319">IF($F319&lt;&gt;"",XLOOKUP($F319,Productos!$A:$A,Productos!D:D,"Revisar"),"")</f>
        <v/>
      </c>
      <c r="L319" s="179" t="str">
        <f t="array" ref="L319">IF($F319&lt;&gt;"", XLOOKUP($F319,Productos!$A$2:$A1001,Productos!E$2:E1001,"")*$G319,"")</f>
        <v/>
      </c>
      <c r="M319" s="179" t="str">
        <f t="array" ref="M319">IF($F319&lt;&gt;"",XLOOKUP($F319,Productos!$A:$A,Productos!F:F,"Revisar"),"")</f>
        <v/>
      </c>
      <c r="N319" s="179" t="str">
        <f t="array" ref="N319">IF($F319&lt;&gt;"", XLOOKUP($F319,Productos!$A$2:$A1001,Productos!G$2:G1001,"")*$G319,"")</f>
        <v/>
      </c>
      <c r="O319" s="179" t="str">
        <f t="array" ref="O319">IF($F319&lt;&gt;"",XLOOKUP($F319,Productos!$A:$A,Productos!H:H,"Revisar"),"")</f>
        <v/>
      </c>
      <c r="P319" s="179" t="str">
        <f t="array" ref="P319">IF($F319&lt;&gt;"", XLOOKUP($F319,Productos!$A$2:$A1001,Productos!I$2:I1001,"")*$G319,"")</f>
        <v/>
      </c>
      <c r="Q319" s="179" t="str">
        <f t="array" ref="Q319">IF($F319&lt;&gt;"",XLOOKUP($F319,Productos!$A:$A,Productos!J:J,"Revisar"),"")</f>
        <v/>
      </c>
      <c r="R319" s="179" t="str">
        <f t="array" ref="R319">IF($F319&lt;&gt;"", XLOOKUP($F319,Productos!$A$2:$A1001,Productos!K$2:K1001,"")*$G319,"")</f>
        <v/>
      </c>
      <c r="S319" s="179" t="str">
        <f t="array" ref="S319">IF($F319&lt;&gt;"",XLOOKUP($F319,Productos!$A:$A,Productos!L:L,"Revisar"),"")</f>
        <v/>
      </c>
      <c r="T319" s="179" t="str">
        <f t="array" ref="T319">IF($F319&lt;&gt;"", XLOOKUP($F319,Productos!$A$2:$A1001,Productos!M$2:M1001,"")*$G319,"")</f>
        <v/>
      </c>
      <c r="U319" s="179" t="str">
        <f t="array" ref="U319">IF($F319&lt;&gt;"",XLOOKUP($F319,Productos!$A:$A,Productos!N:N,"Revisar"),"")</f>
        <v/>
      </c>
      <c r="V319" s="179" t="str">
        <f t="array" ref="V319">IF($F319&lt;&gt;"", XLOOKUP($F319,Productos!$A$2:$A1001,Productos!O$2:O1001,"")*$G319,"")</f>
        <v/>
      </c>
      <c r="W319" s="179" t="str">
        <f t="array" ref="W319">IF($F319&lt;&gt;"",XLOOKUP($F319,Productos!$A:$A,Productos!P:P,"Revisar"),"")</f>
        <v/>
      </c>
      <c r="X319" s="179" t="str">
        <f t="array" ref="X319">IF($F319&lt;&gt;"", XLOOKUP($F319,Productos!$A$2:$A1001,Productos!Q$2:Q1001,"")*$G319,"")</f>
        <v/>
      </c>
      <c r="Y319" s="179" t="str">
        <f t="array" ref="Y319">IF($F319&lt;&gt;"",XLOOKUP($F319,Productos!$A:$A,Productos!R:R,"Revisar"),"")</f>
        <v/>
      </c>
      <c r="Z319" s="179" t="str">
        <f t="array" ref="Z319">IF($F319&lt;&gt;"", XLOOKUP($F319,Productos!$A$2:$A1001,Productos!S$2:S1001,"")*$G319,"")</f>
        <v/>
      </c>
      <c r="AA319" s="179" t="str">
        <f t="array" ref="AA319">IF($F319&lt;&gt;"",XLOOKUP($F319,Productos!$A:$A,Productos!T:T,"Revisar"),"")</f>
        <v/>
      </c>
      <c r="AB319" s="179" t="str">
        <f t="array" ref="AB319">IF($F319&lt;&gt;"", XLOOKUP($F319,Productos!$A$2:$A1001,Productos!U$2:U1001,"")*$G319,"")</f>
        <v/>
      </c>
      <c r="AC319" s="179" t="str">
        <f t="array" ref="AC319">IF($F319&lt;&gt;"",XLOOKUP($F319,Productos!$A:$A,Productos!V:V,"Revisar"),"")</f>
        <v/>
      </c>
      <c r="AD319" s="179" t="str">
        <f t="array" ref="AD319">IF($F319&lt;&gt;"", XLOOKUP($F319,Productos!$A$2:$A1001,Productos!W$2:W1001,"")*$G319,"")</f>
        <v/>
      </c>
      <c r="AE319" s="179" t="str">
        <f t="array" ref="AE319">IF($F319&lt;&gt;"",XLOOKUP($F319,Productos!$A:$A,Productos!X:X,"Revisar"),"")</f>
        <v/>
      </c>
      <c r="AF319" s="179" t="str">
        <f t="array" ref="AF319">IF($F319&lt;&gt;"", XLOOKUP($F319,Productos!$A$2:$A1001,Productos!Y$2:Y1001,"")*$G319,"")</f>
        <v/>
      </c>
      <c r="AG319" s="179" t="str">
        <f t="array" ref="AG319">IF($F319&lt;&gt;"",XLOOKUP($F319,Productos!$A:$A,Productos!Z:Z,"Revisar"),"")</f>
        <v/>
      </c>
      <c r="AH319" s="179" t="str">
        <f t="array" ref="AH319">IF($F319&lt;&gt;"", XLOOKUP($F319,Productos!$A$2:$A1001,Productos!AA$2:AA1001,"")*$G319,"")</f>
        <v/>
      </c>
      <c r="AI319" s="179" t="str">
        <f t="array" ref="AI319">IF($F319&lt;&gt;"",XLOOKUP($F319,Productos!$A:$A,Productos!AB:AB,"Revisar"),"")</f>
        <v/>
      </c>
      <c r="AJ319" s="179" t="str">
        <f t="array" ref="AJ319">IF($F319&lt;&gt;"", XLOOKUP($F319,Productos!$A$2:$A1001,Productos!AC$2:AC1001,"")*$G319,"")</f>
        <v/>
      </c>
      <c r="AK319" s="179" t="str">
        <f t="array" ref="AK319">IF($F319&lt;&gt;"",XLOOKUP($F319,Productos!$A:$A,Productos!AD:AD,"Revisar"),"")</f>
        <v/>
      </c>
      <c r="AL319" s="179" t="str">
        <f t="array" ref="AL319">IF($F319&lt;&gt;"", XLOOKUP($F319,Productos!$A$2:$A1001,Productos!AE$2:AE1001,"")*$G319,"")</f>
        <v/>
      </c>
      <c r="AM319" s="179" t="str">
        <f t="array" ref="AM319">IF($F319&lt;&gt;"",XLOOKUP($F319,Productos!$A:$A,Productos!AF:AF,"Revisar"),"")</f>
        <v/>
      </c>
      <c r="AN319" s="179" t="str">
        <f t="array" ref="AN319">IF($F319&lt;&gt;"", XLOOKUP($F319,Productos!$A$2:$A1001,Productos!AG$2:AG1001,"")*$G319,"")</f>
        <v/>
      </c>
      <c r="AO319" s="179" t="str">
        <f t="array" ref="AO319">IF($F319&lt;&gt;"",XLOOKUP($F319,Productos!$A:$A,Productos!AH:AH,"Revisar"),"")</f>
        <v/>
      </c>
      <c r="AP319" s="179" t="str">
        <f t="array" ref="AP319">IF($F319&lt;&gt;"", XLOOKUP($F319,Productos!$A$2:$A1001,Productos!AI$2:AI1001,"")*$G319,"")</f>
        <v/>
      </c>
      <c r="AQ319" s="179" t="str">
        <f t="array" ref="AQ319">IF($F319&lt;&gt;"",XLOOKUP($F319,Productos!$A:$A,Productos!AJ:AJ,"Revisar"),"")</f>
        <v/>
      </c>
      <c r="AR319" s="179" t="str">
        <f t="array" ref="AR319">IF($F319&lt;&gt;"", XLOOKUP($F319,Productos!$A$2:$A1001,Productos!AK$2:AK1001,"")*$G319,"")</f>
        <v/>
      </c>
      <c r="AS319" s="179" t="str">
        <f t="array" ref="AS319">IF($F319&lt;&gt;"",XLOOKUP($F319,Productos!$A:$A,Productos!AL:AL,"Revisar"),"")</f>
        <v/>
      </c>
      <c r="AT319" s="179" t="str">
        <f t="array" ref="AT319">IF($F319&lt;&gt;"", XLOOKUP($F319,Productos!$A$2:$A1001,Productos!AM$2:AM1001,"")*$G319,"")</f>
        <v/>
      </c>
      <c r="AU319" s="179" t="str">
        <f t="array" ref="AU319">IF($F319&lt;&gt;"",XLOOKUP($F319,Productos!$A:$A,Productos!AN:AN,"Revisar"),"")</f>
        <v/>
      </c>
      <c r="AV319" s="179" t="str">
        <f t="array" ref="AV319">IF($F319&lt;&gt;"", XLOOKUP($F319,Productos!$A$2:$A1001,Productos!AO$2:AO1001,"")*$G319,"")</f>
        <v/>
      </c>
      <c r="AW319" s="179" t="str">
        <f t="array" ref="AW319">IF($F319&lt;&gt;"",XLOOKUP($F319,Productos!$A:$A,Productos!AP:AP,"Revisar"),"")</f>
        <v/>
      </c>
      <c r="AX319" s="179" t="str">
        <f t="array" ref="AX319">IF($F319&lt;&gt;"", XLOOKUP($F319,Productos!$A$2:$A1001,Productos!AQ$2:AQ1001,"")*$G319,"")</f>
        <v/>
      </c>
      <c r="AY319" s="179" t="str">
        <f t="array" ref="AY319">IF($F319&lt;&gt;"",XLOOKUP($F319,Productos!$A:$A,Productos!AR:AR,"Revisar"),"")</f>
        <v/>
      </c>
      <c r="AZ319" s="179" t="str">
        <f t="array" ref="AZ319">IF($F319&lt;&gt;"", XLOOKUP($F319,Productos!$A$2:$A1001,Productos!AS$2:AS1001,"")*$G319,"")</f>
        <v/>
      </c>
      <c r="BA319" s="179" t="str">
        <f t="array" ref="BA319">IF($F319&lt;&gt;"",XLOOKUP($F319,Productos!$A:$A,Productos!AT:AT,"Revisar"),"")</f>
        <v/>
      </c>
      <c r="BB319" s="179" t="str">
        <f t="array" ref="BB319">IF($F319&lt;&gt;"", XLOOKUP($F319,Productos!$A$2:$A1001,Productos!AU$2:AU1001,"")*$G319,"")</f>
        <v/>
      </c>
      <c r="BC319" s="179" t="str">
        <f t="array" ref="BC319">IF($F319&lt;&gt;"",XLOOKUP($F319,Productos!$A:$A,Productos!AV:AV,"Revisar"),"")</f>
        <v/>
      </c>
      <c r="BD319" s="179" t="str">
        <f t="array" ref="BD319">IF($F319&lt;&gt;"", XLOOKUP($F319,Productos!$A$2:$A1001,Productos!AW$2:AW1001,"")*$G319,"")</f>
        <v/>
      </c>
      <c r="BE319" s="179" t="str">
        <f t="array" ref="BE319">IF($F319&lt;&gt;"",XLOOKUP($F319,Productos!$A:$A,Productos!AX:AX,"Revisar"),"")</f>
        <v/>
      </c>
      <c r="BF319" s="179" t="str">
        <f t="array" ref="BF319">IF($F319&lt;&gt;"", XLOOKUP($F319,Productos!$A$2:$A1001,Productos!AY$2:AY1001,"")*$G319,"")</f>
        <v/>
      </c>
      <c r="BG319" s="179" t="str">
        <f t="array" ref="BG319">IF($F319&lt;&gt;"",XLOOKUP($F319,Productos!$A:$A,Productos!AZ:AZ,"Revisar"),"")</f>
        <v/>
      </c>
      <c r="BH319" s="179" t="str">
        <f t="array" ref="BH319">IF($F319&lt;&gt;"", XLOOKUP($F319,Productos!$A$2:$A1001,Productos!BA$2:BA1001,"")*$G319,"")</f>
        <v/>
      </c>
      <c r="BI319" s="179" t="str">
        <f t="array" ref="BI319">IF($F319&lt;&gt;"",XLOOKUP($F319,Productos!$A:$A,Productos!BB:BB,"Revisar"),"")</f>
        <v/>
      </c>
      <c r="BJ319" s="179" t="str">
        <f t="array" ref="BJ319">IF($F319&lt;&gt;"", XLOOKUP($F319,Productos!$A$2:$A1001,Productos!BC$2:BC1001,"")*$G319,"")</f>
        <v/>
      </c>
      <c r="BK319" s="179" t="str">
        <f t="array" ref="BK319">IF($F319&lt;&gt;"",XLOOKUP($F319,Productos!$A:$A,Productos!BD:BD,"Revisar"),"")</f>
        <v/>
      </c>
      <c r="BL319" s="179" t="str">
        <f t="array" ref="BL319">IF($F319&lt;&gt;"", XLOOKUP($F319,Productos!$A$2:$A1001,Productos!BE$2:BE1001,"")*$G319,"")</f>
        <v/>
      </c>
      <c r="BM319" s="179" t="str">
        <f t="array" ref="BM319">IF($F319&lt;&gt;"",XLOOKUP($F319,Productos!$A:$A,Productos!BF:BF,"Revisar"),"")</f>
        <v/>
      </c>
      <c r="BN319" s="179" t="str">
        <f t="array" ref="BN319">IF($F319&lt;&gt;"", XLOOKUP($F319,Productos!$A$2:$A1001,Productos!BG$2:BG1001,"")*$G319,"")</f>
        <v/>
      </c>
      <c r="BO319" s="179" t="str">
        <f t="array" ref="BO319">IF($F319&lt;&gt;"",XLOOKUP($F319,Productos!$A:$A,Productos!BH:BH,"Revisar"),"")</f>
        <v/>
      </c>
      <c r="BP319" s="179" t="str">
        <f t="array" ref="BP319">IF($F319&lt;&gt;"", XLOOKUP($F319,Productos!$A$2:$A1001,Productos!BI$2:BI1001,"")*$G319,"")</f>
        <v/>
      </c>
      <c r="BQ319" s="179" t="str">
        <f t="array" ref="BQ319">IF($F319&lt;&gt;"",XLOOKUP($F319,Productos!$A:$A,Productos!BJ:BJ,"Revisar"),"")</f>
        <v/>
      </c>
      <c r="BR319" s="179" t="str">
        <f t="array" ref="BR319">IF($F319&lt;&gt;"", XLOOKUP($F319,Productos!$A$2:$A1001,Productos!BK$2:BK1001,"")*$G319,"")</f>
        <v/>
      </c>
      <c r="BS319" s="179" t="str">
        <f t="array" ref="BS319">IF($F319&lt;&gt;"",XLOOKUP($F319,Productos!$A:$A,Productos!BL:BL,"Revisar"),"")</f>
        <v/>
      </c>
      <c r="BT319" s="179" t="str">
        <f t="array" ref="BT319">IF($F319&lt;&gt;"", XLOOKUP($F319,Productos!$A$2:$A1001,Productos!BM$2:BM1001,"")*$G319,"")</f>
        <v/>
      </c>
      <c r="BU319" s="179" t="str">
        <f t="array" ref="BU319">IF($F319&lt;&gt;"",XLOOKUP($F319,Productos!$A:$A,Productos!BN:BN,"Revisar"),"")</f>
        <v/>
      </c>
      <c r="BV319" s="179" t="str">
        <f t="array" ref="BV319">IF($F319&lt;&gt;"", XLOOKUP($F319,Productos!$A$2:$A1001,Productos!BO$2:BO1001,"")*$G319,"")</f>
        <v/>
      </c>
      <c r="BW319" s="179" t="str">
        <f t="array" ref="BW319">IF($F319&lt;&gt;"",XLOOKUP($F319,Productos!$A:$A,Productos!BP:BP,"Revisar"),"")</f>
        <v/>
      </c>
      <c r="BX319" s="179" t="str">
        <f t="array" ref="BX319">IF($F319&lt;&gt;"", XLOOKUP($F319,Productos!$A$2:$A1001,Productos!BQ$2:BQ1001,"")*$G319,"")</f>
        <v/>
      </c>
      <c r="BY319" s="179" t="str">
        <f t="array" ref="BY319">IF($F319&lt;&gt;"",XLOOKUP($F319,Productos!$A:$A,Productos!BR:BR,"Revisar"),"")</f>
        <v/>
      </c>
      <c r="BZ319" s="179" t="str">
        <f t="array" ref="BZ319">IF($F319&lt;&gt;"", XLOOKUP($F319,Productos!$A$2:$A1001,Productos!BS$2:BS1001,"")*$G319,"")</f>
        <v/>
      </c>
    </row>
    <row r="320">
      <c r="A320" s="188"/>
      <c r="B320" s="189"/>
      <c r="C320" s="190"/>
      <c r="D320" s="190"/>
      <c r="E320" s="191"/>
      <c r="F320" s="186"/>
      <c r="G320" s="192"/>
      <c r="H320" s="9"/>
      <c r="I320" s="179" t="str">
        <f t="array" ref="I320">IF($F320&lt;&gt;"",XLOOKUP($F320,Productos!$A:$A,Productos!B:B,"Revisar"),"")</f>
        <v/>
      </c>
      <c r="J320" s="179" t="str">
        <f t="array" ref="J320">IF($F320&lt;&gt;"", XLOOKUP($F320,Productos!$A$2:$A1001,Productos!C$2:C1001,"")*$G320,"")</f>
        <v/>
      </c>
      <c r="K320" s="179" t="str">
        <f t="array" ref="K320">IF($F320&lt;&gt;"",XLOOKUP($F320,Productos!$A:$A,Productos!D:D,"Revisar"),"")</f>
        <v/>
      </c>
      <c r="L320" s="179" t="str">
        <f t="array" ref="L320">IF($F320&lt;&gt;"", XLOOKUP($F320,Productos!$A$2:$A1001,Productos!E$2:E1001,"")*$G320,"")</f>
        <v/>
      </c>
      <c r="M320" s="179" t="str">
        <f t="array" ref="M320">IF($F320&lt;&gt;"",XLOOKUP($F320,Productos!$A:$A,Productos!F:F,"Revisar"),"")</f>
        <v/>
      </c>
      <c r="N320" s="179" t="str">
        <f t="array" ref="N320">IF($F320&lt;&gt;"", XLOOKUP($F320,Productos!$A$2:$A1001,Productos!G$2:G1001,"")*$G320,"")</f>
        <v/>
      </c>
      <c r="O320" s="179" t="str">
        <f t="array" ref="O320">IF($F320&lt;&gt;"",XLOOKUP($F320,Productos!$A:$A,Productos!H:H,"Revisar"),"")</f>
        <v/>
      </c>
      <c r="P320" s="179" t="str">
        <f t="array" ref="P320">IF($F320&lt;&gt;"", XLOOKUP($F320,Productos!$A$2:$A1001,Productos!I$2:I1001,"")*$G320,"")</f>
        <v/>
      </c>
      <c r="Q320" s="179" t="str">
        <f t="array" ref="Q320">IF($F320&lt;&gt;"",XLOOKUP($F320,Productos!$A:$A,Productos!J:J,"Revisar"),"")</f>
        <v/>
      </c>
      <c r="R320" s="179" t="str">
        <f t="array" ref="R320">IF($F320&lt;&gt;"", XLOOKUP($F320,Productos!$A$2:$A1001,Productos!K$2:K1001,"")*$G320,"")</f>
        <v/>
      </c>
      <c r="S320" s="179" t="str">
        <f t="array" ref="S320">IF($F320&lt;&gt;"",XLOOKUP($F320,Productos!$A:$A,Productos!L:L,"Revisar"),"")</f>
        <v/>
      </c>
      <c r="T320" s="179" t="str">
        <f t="array" ref="T320">IF($F320&lt;&gt;"", XLOOKUP($F320,Productos!$A$2:$A1001,Productos!M$2:M1001,"")*$G320,"")</f>
        <v/>
      </c>
      <c r="U320" s="179" t="str">
        <f t="array" ref="U320">IF($F320&lt;&gt;"",XLOOKUP($F320,Productos!$A:$A,Productos!N:N,"Revisar"),"")</f>
        <v/>
      </c>
      <c r="V320" s="179" t="str">
        <f t="array" ref="V320">IF($F320&lt;&gt;"", XLOOKUP($F320,Productos!$A$2:$A1001,Productos!O$2:O1001,"")*$G320,"")</f>
        <v/>
      </c>
      <c r="W320" s="179" t="str">
        <f t="array" ref="W320">IF($F320&lt;&gt;"",XLOOKUP($F320,Productos!$A:$A,Productos!P:P,"Revisar"),"")</f>
        <v/>
      </c>
      <c r="X320" s="179" t="str">
        <f t="array" ref="X320">IF($F320&lt;&gt;"", XLOOKUP($F320,Productos!$A$2:$A1001,Productos!Q$2:Q1001,"")*$G320,"")</f>
        <v/>
      </c>
      <c r="Y320" s="179" t="str">
        <f t="array" ref="Y320">IF($F320&lt;&gt;"",XLOOKUP($F320,Productos!$A:$A,Productos!R:R,"Revisar"),"")</f>
        <v/>
      </c>
      <c r="Z320" s="179" t="str">
        <f t="array" ref="Z320">IF($F320&lt;&gt;"", XLOOKUP($F320,Productos!$A$2:$A1001,Productos!S$2:S1001,"")*$G320,"")</f>
        <v/>
      </c>
      <c r="AA320" s="179" t="str">
        <f t="array" ref="AA320">IF($F320&lt;&gt;"",XLOOKUP($F320,Productos!$A:$A,Productos!T:T,"Revisar"),"")</f>
        <v/>
      </c>
      <c r="AB320" s="179" t="str">
        <f t="array" ref="AB320">IF($F320&lt;&gt;"", XLOOKUP($F320,Productos!$A$2:$A1001,Productos!U$2:U1001,"")*$G320,"")</f>
        <v/>
      </c>
      <c r="AC320" s="179" t="str">
        <f t="array" ref="AC320">IF($F320&lt;&gt;"",XLOOKUP($F320,Productos!$A:$A,Productos!V:V,"Revisar"),"")</f>
        <v/>
      </c>
      <c r="AD320" s="179" t="str">
        <f t="array" ref="AD320">IF($F320&lt;&gt;"", XLOOKUP($F320,Productos!$A$2:$A1001,Productos!W$2:W1001,"")*$G320,"")</f>
        <v/>
      </c>
      <c r="AE320" s="179" t="str">
        <f t="array" ref="AE320">IF($F320&lt;&gt;"",XLOOKUP($F320,Productos!$A:$A,Productos!X:X,"Revisar"),"")</f>
        <v/>
      </c>
      <c r="AF320" s="179" t="str">
        <f t="array" ref="AF320">IF($F320&lt;&gt;"", XLOOKUP($F320,Productos!$A$2:$A1001,Productos!Y$2:Y1001,"")*$G320,"")</f>
        <v/>
      </c>
      <c r="AG320" s="179" t="str">
        <f t="array" ref="AG320">IF($F320&lt;&gt;"",XLOOKUP($F320,Productos!$A:$A,Productos!Z:Z,"Revisar"),"")</f>
        <v/>
      </c>
      <c r="AH320" s="179" t="str">
        <f t="array" ref="AH320">IF($F320&lt;&gt;"", XLOOKUP($F320,Productos!$A$2:$A1001,Productos!AA$2:AA1001,"")*$G320,"")</f>
        <v/>
      </c>
      <c r="AI320" s="179" t="str">
        <f t="array" ref="AI320">IF($F320&lt;&gt;"",XLOOKUP($F320,Productos!$A:$A,Productos!AB:AB,"Revisar"),"")</f>
        <v/>
      </c>
      <c r="AJ320" s="179" t="str">
        <f t="array" ref="AJ320">IF($F320&lt;&gt;"", XLOOKUP($F320,Productos!$A$2:$A1001,Productos!AC$2:AC1001,"")*$G320,"")</f>
        <v/>
      </c>
      <c r="AK320" s="179" t="str">
        <f t="array" ref="AK320">IF($F320&lt;&gt;"",XLOOKUP($F320,Productos!$A:$A,Productos!AD:AD,"Revisar"),"")</f>
        <v/>
      </c>
      <c r="AL320" s="179" t="str">
        <f t="array" ref="AL320">IF($F320&lt;&gt;"", XLOOKUP($F320,Productos!$A$2:$A1001,Productos!AE$2:AE1001,"")*$G320,"")</f>
        <v/>
      </c>
      <c r="AM320" s="179" t="str">
        <f t="array" ref="AM320">IF($F320&lt;&gt;"",XLOOKUP($F320,Productos!$A:$A,Productos!AF:AF,"Revisar"),"")</f>
        <v/>
      </c>
      <c r="AN320" s="179" t="str">
        <f t="array" ref="AN320">IF($F320&lt;&gt;"", XLOOKUP($F320,Productos!$A$2:$A1001,Productos!AG$2:AG1001,"")*$G320,"")</f>
        <v/>
      </c>
      <c r="AO320" s="179" t="str">
        <f t="array" ref="AO320">IF($F320&lt;&gt;"",XLOOKUP($F320,Productos!$A:$A,Productos!AH:AH,"Revisar"),"")</f>
        <v/>
      </c>
      <c r="AP320" s="179" t="str">
        <f t="array" ref="AP320">IF($F320&lt;&gt;"", XLOOKUP($F320,Productos!$A$2:$A1001,Productos!AI$2:AI1001,"")*$G320,"")</f>
        <v/>
      </c>
      <c r="AQ320" s="179" t="str">
        <f t="array" ref="AQ320">IF($F320&lt;&gt;"",XLOOKUP($F320,Productos!$A:$A,Productos!AJ:AJ,"Revisar"),"")</f>
        <v/>
      </c>
      <c r="AR320" s="179" t="str">
        <f t="array" ref="AR320">IF($F320&lt;&gt;"", XLOOKUP($F320,Productos!$A$2:$A1001,Productos!AK$2:AK1001,"")*$G320,"")</f>
        <v/>
      </c>
      <c r="AS320" s="179" t="str">
        <f t="array" ref="AS320">IF($F320&lt;&gt;"",XLOOKUP($F320,Productos!$A:$A,Productos!AL:AL,"Revisar"),"")</f>
        <v/>
      </c>
      <c r="AT320" s="179" t="str">
        <f t="array" ref="AT320">IF($F320&lt;&gt;"", XLOOKUP($F320,Productos!$A$2:$A1001,Productos!AM$2:AM1001,"")*$G320,"")</f>
        <v/>
      </c>
      <c r="AU320" s="179" t="str">
        <f t="array" ref="AU320">IF($F320&lt;&gt;"",XLOOKUP($F320,Productos!$A:$A,Productos!AN:AN,"Revisar"),"")</f>
        <v/>
      </c>
      <c r="AV320" s="179" t="str">
        <f t="array" ref="AV320">IF($F320&lt;&gt;"", XLOOKUP($F320,Productos!$A$2:$A1001,Productos!AO$2:AO1001,"")*$G320,"")</f>
        <v/>
      </c>
      <c r="AW320" s="179" t="str">
        <f t="array" ref="AW320">IF($F320&lt;&gt;"",XLOOKUP($F320,Productos!$A:$A,Productos!AP:AP,"Revisar"),"")</f>
        <v/>
      </c>
      <c r="AX320" s="179" t="str">
        <f t="array" ref="AX320">IF($F320&lt;&gt;"", XLOOKUP($F320,Productos!$A$2:$A1001,Productos!AQ$2:AQ1001,"")*$G320,"")</f>
        <v/>
      </c>
      <c r="AY320" s="179" t="str">
        <f t="array" ref="AY320">IF($F320&lt;&gt;"",XLOOKUP($F320,Productos!$A:$A,Productos!AR:AR,"Revisar"),"")</f>
        <v/>
      </c>
      <c r="AZ320" s="179" t="str">
        <f t="array" ref="AZ320">IF($F320&lt;&gt;"", XLOOKUP($F320,Productos!$A$2:$A1001,Productos!AS$2:AS1001,"")*$G320,"")</f>
        <v/>
      </c>
      <c r="BA320" s="179" t="str">
        <f t="array" ref="BA320">IF($F320&lt;&gt;"",XLOOKUP($F320,Productos!$A:$A,Productos!AT:AT,"Revisar"),"")</f>
        <v/>
      </c>
      <c r="BB320" s="179" t="str">
        <f t="array" ref="BB320">IF($F320&lt;&gt;"", XLOOKUP($F320,Productos!$A$2:$A1001,Productos!AU$2:AU1001,"")*$G320,"")</f>
        <v/>
      </c>
      <c r="BC320" s="179" t="str">
        <f t="array" ref="BC320">IF($F320&lt;&gt;"",XLOOKUP($F320,Productos!$A:$A,Productos!AV:AV,"Revisar"),"")</f>
        <v/>
      </c>
      <c r="BD320" s="179" t="str">
        <f t="array" ref="BD320">IF($F320&lt;&gt;"", XLOOKUP($F320,Productos!$A$2:$A1001,Productos!AW$2:AW1001,"")*$G320,"")</f>
        <v/>
      </c>
      <c r="BE320" s="179" t="str">
        <f t="array" ref="BE320">IF($F320&lt;&gt;"",XLOOKUP($F320,Productos!$A:$A,Productos!AX:AX,"Revisar"),"")</f>
        <v/>
      </c>
      <c r="BF320" s="179" t="str">
        <f t="array" ref="BF320">IF($F320&lt;&gt;"", XLOOKUP($F320,Productos!$A$2:$A1001,Productos!AY$2:AY1001,"")*$G320,"")</f>
        <v/>
      </c>
      <c r="BG320" s="179" t="str">
        <f t="array" ref="BG320">IF($F320&lt;&gt;"",XLOOKUP($F320,Productos!$A:$A,Productos!AZ:AZ,"Revisar"),"")</f>
        <v/>
      </c>
      <c r="BH320" s="179" t="str">
        <f t="array" ref="BH320">IF($F320&lt;&gt;"", XLOOKUP($F320,Productos!$A$2:$A1001,Productos!BA$2:BA1001,"")*$G320,"")</f>
        <v/>
      </c>
      <c r="BI320" s="179" t="str">
        <f t="array" ref="BI320">IF($F320&lt;&gt;"",XLOOKUP($F320,Productos!$A:$A,Productos!BB:BB,"Revisar"),"")</f>
        <v/>
      </c>
      <c r="BJ320" s="179" t="str">
        <f t="array" ref="BJ320">IF($F320&lt;&gt;"", XLOOKUP($F320,Productos!$A$2:$A1001,Productos!BC$2:BC1001,"")*$G320,"")</f>
        <v/>
      </c>
      <c r="BK320" s="179" t="str">
        <f t="array" ref="BK320">IF($F320&lt;&gt;"",XLOOKUP($F320,Productos!$A:$A,Productos!BD:BD,"Revisar"),"")</f>
        <v/>
      </c>
      <c r="BL320" s="179" t="str">
        <f t="array" ref="BL320">IF($F320&lt;&gt;"", XLOOKUP($F320,Productos!$A$2:$A1001,Productos!BE$2:BE1001,"")*$G320,"")</f>
        <v/>
      </c>
      <c r="BM320" s="179" t="str">
        <f t="array" ref="BM320">IF($F320&lt;&gt;"",XLOOKUP($F320,Productos!$A:$A,Productos!BF:BF,"Revisar"),"")</f>
        <v/>
      </c>
      <c r="BN320" s="179" t="str">
        <f t="array" ref="BN320">IF($F320&lt;&gt;"", XLOOKUP($F320,Productos!$A$2:$A1001,Productos!BG$2:BG1001,"")*$G320,"")</f>
        <v/>
      </c>
      <c r="BO320" s="179" t="str">
        <f t="array" ref="BO320">IF($F320&lt;&gt;"",XLOOKUP($F320,Productos!$A:$A,Productos!BH:BH,"Revisar"),"")</f>
        <v/>
      </c>
      <c r="BP320" s="179" t="str">
        <f t="array" ref="BP320">IF($F320&lt;&gt;"", XLOOKUP($F320,Productos!$A$2:$A1001,Productos!BI$2:BI1001,"")*$G320,"")</f>
        <v/>
      </c>
      <c r="BQ320" s="179" t="str">
        <f t="array" ref="BQ320">IF($F320&lt;&gt;"",XLOOKUP($F320,Productos!$A:$A,Productos!BJ:BJ,"Revisar"),"")</f>
        <v/>
      </c>
      <c r="BR320" s="179" t="str">
        <f t="array" ref="BR320">IF($F320&lt;&gt;"", XLOOKUP($F320,Productos!$A$2:$A1001,Productos!BK$2:BK1001,"")*$G320,"")</f>
        <v/>
      </c>
      <c r="BS320" s="179" t="str">
        <f t="array" ref="BS320">IF($F320&lt;&gt;"",XLOOKUP($F320,Productos!$A:$A,Productos!BL:BL,"Revisar"),"")</f>
        <v/>
      </c>
      <c r="BT320" s="179" t="str">
        <f t="array" ref="BT320">IF($F320&lt;&gt;"", XLOOKUP($F320,Productos!$A$2:$A1001,Productos!BM$2:BM1001,"")*$G320,"")</f>
        <v/>
      </c>
      <c r="BU320" s="179" t="str">
        <f t="array" ref="BU320">IF($F320&lt;&gt;"",XLOOKUP($F320,Productos!$A:$A,Productos!BN:BN,"Revisar"),"")</f>
        <v/>
      </c>
      <c r="BV320" s="179" t="str">
        <f t="array" ref="BV320">IF($F320&lt;&gt;"", XLOOKUP($F320,Productos!$A$2:$A1001,Productos!BO$2:BO1001,"")*$G320,"")</f>
        <v/>
      </c>
      <c r="BW320" s="179" t="str">
        <f t="array" ref="BW320">IF($F320&lt;&gt;"",XLOOKUP($F320,Productos!$A:$A,Productos!BP:BP,"Revisar"),"")</f>
        <v/>
      </c>
      <c r="BX320" s="179" t="str">
        <f t="array" ref="BX320">IF($F320&lt;&gt;"", XLOOKUP($F320,Productos!$A$2:$A1001,Productos!BQ$2:BQ1001,"")*$G320,"")</f>
        <v/>
      </c>
      <c r="BY320" s="179" t="str">
        <f t="array" ref="BY320">IF($F320&lt;&gt;"",XLOOKUP($F320,Productos!$A:$A,Productos!BR:BR,"Revisar"),"")</f>
        <v/>
      </c>
      <c r="BZ320" s="179" t="str">
        <f t="array" ref="BZ320">IF($F320&lt;&gt;"", XLOOKUP($F320,Productos!$A$2:$A1001,Productos!BS$2:BS1001,"")*$G320,"")</f>
        <v/>
      </c>
    </row>
    <row r="321">
      <c r="A321" s="188"/>
      <c r="B321" s="189"/>
      <c r="C321" s="190"/>
      <c r="D321" s="190"/>
      <c r="E321" s="191"/>
      <c r="F321" s="186"/>
      <c r="G321" s="192"/>
      <c r="H321" s="9"/>
      <c r="I321" s="179" t="str">
        <f t="array" ref="I321">IF($F321&lt;&gt;"",XLOOKUP($F321,Productos!$A:$A,Productos!B:B,"Revisar"),"")</f>
        <v/>
      </c>
      <c r="J321" s="179" t="str">
        <f t="array" ref="J321">IF($F321&lt;&gt;"", XLOOKUP($F321,Productos!$A$2:$A1001,Productos!C$2:C1001,"")*$G321,"")</f>
        <v/>
      </c>
      <c r="K321" s="179" t="str">
        <f t="array" ref="K321">IF($F321&lt;&gt;"",XLOOKUP($F321,Productos!$A:$A,Productos!D:D,"Revisar"),"")</f>
        <v/>
      </c>
      <c r="L321" s="179" t="str">
        <f t="array" ref="L321">IF($F321&lt;&gt;"", XLOOKUP($F321,Productos!$A$2:$A1001,Productos!E$2:E1001,"")*$G321,"")</f>
        <v/>
      </c>
      <c r="M321" s="179" t="str">
        <f t="array" ref="M321">IF($F321&lt;&gt;"",XLOOKUP($F321,Productos!$A:$A,Productos!F:F,"Revisar"),"")</f>
        <v/>
      </c>
      <c r="N321" s="179" t="str">
        <f t="array" ref="N321">IF($F321&lt;&gt;"", XLOOKUP($F321,Productos!$A$2:$A1001,Productos!G$2:G1001,"")*$G321,"")</f>
        <v/>
      </c>
      <c r="O321" s="179" t="str">
        <f t="array" ref="O321">IF($F321&lt;&gt;"",XLOOKUP($F321,Productos!$A:$A,Productos!H:H,"Revisar"),"")</f>
        <v/>
      </c>
      <c r="P321" s="179" t="str">
        <f t="array" ref="P321">IF($F321&lt;&gt;"", XLOOKUP($F321,Productos!$A$2:$A1001,Productos!I$2:I1001,"")*$G321,"")</f>
        <v/>
      </c>
      <c r="Q321" s="179" t="str">
        <f t="array" ref="Q321">IF($F321&lt;&gt;"",XLOOKUP($F321,Productos!$A:$A,Productos!J:J,"Revisar"),"")</f>
        <v/>
      </c>
      <c r="R321" s="179" t="str">
        <f t="array" ref="R321">IF($F321&lt;&gt;"", XLOOKUP($F321,Productos!$A$2:$A1001,Productos!K$2:K1001,"")*$G321,"")</f>
        <v/>
      </c>
      <c r="S321" s="179" t="str">
        <f t="array" ref="S321">IF($F321&lt;&gt;"",XLOOKUP($F321,Productos!$A:$A,Productos!L:L,"Revisar"),"")</f>
        <v/>
      </c>
      <c r="T321" s="179" t="str">
        <f t="array" ref="T321">IF($F321&lt;&gt;"", XLOOKUP($F321,Productos!$A$2:$A1001,Productos!M$2:M1001,"")*$G321,"")</f>
        <v/>
      </c>
      <c r="U321" s="179" t="str">
        <f t="array" ref="U321">IF($F321&lt;&gt;"",XLOOKUP($F321,Productos!$A:$A,Productos!N:N,"Revisar"),"")</f>
        <v/>
      </c>
      <c r="V321" s="179" t="str">
        <f t="array" ref="V321">IF($F321&lt;&gt;"", XLOOKUP($F321,Productos!$A$2:$A1001,Productos!O$2:O1001,"")*$G321,"")</f>
        <v/>
      </c>
      <c r="W321" s="179" t="str">
        <f t="array" ref="W321">IF($F321&lt;&gt;"",XLOOKUP($F321,Productos!$A:$A,Productos!P:P,"Revisar"),"")</f>
        <v/>
      </c>
      <c r="X321" s="179" t="str">
        <f t="array" ref="X321">IF($F321&lt;&gt;"", XLOOKUP($F321,Productos!$A$2:$A1001,Productos!Q$2:Q1001,"")*$G321,"")</f>
        <v/>
      </c>
      <c r="Y321" s="179" t="str">
        <f t="array" ref="Y321">IF($F321&lt;&gt;"",XLOOKUP($F321,Productos!$A:$A,Productos!R:R,"Revisar"),"")</f>
        <v/>
      </c>
      <c r="Z321" s="179" t="str">
        <f t="array" ref="Z321">IF($F321&lt;&gt;"", XLOOKUP($F321,Productos!$A$2:$A1001,Productos!S$2:S1001,"")*$G321,"")</f>
        <v/>
      </c>
      <c r="AA321" s="179" t="str">
        <f t="array" ref="AA321">IF($F321&lt;&gt;"",XLOOKUP($F321,Productos!$A:$A,Productos!T:T,"Revisar"),"")</f>
        <v/>
      </c>
      <c r="AB321" s="179" t="str">
        <f t="array" ref="AB321">IF($F321&lt;&gt;"", XLOOKUP($F321,Productos!$A$2:$A1001,Productos!U$2:U1001,"")*$G321,"")</f>
        <v/>
      </c>
      <c r="AC321" s="179" t="str">
        <f t="array" ref="AC321">IF($F321&lt;&gt;"",XLOOKUP($F321,Productos!$A:$A,Productos!V:V,"Revisar"),"")</f>
        <v/>
      </c>
      <c r="AD321" s="179" t="str">
        <f t="array" ref="AD321">IF($F321&lt;&gt;"", XLOOKUP($F321,Productos!$A$2:$A1001,Productos!W$2:W1001,"")*$G321,"")</f>
        <v/>
      </c>
      <c r="AE321" s="179" t="str">
        <f t="array" ref="AE321">IF($F321&lt;&gt;"",XLOOKUP($F321,Productos!$A:$A,Productos!X:X,"Revisar"),"")</f>
        <v/>
      </c>
      <c r="AF321" s="179" t="str">
        <f t="array" ref="AF321">IF($F321&lt;&gt;"", XLOOKUP($F321,Productos!$A$2:$A1001,Productos!Y$2:Y1001,"")*$G321,"")</f>
        <v/>
      </c>
      <c r="AG321" s="179" t="str">
        <f t="array" ref="AG321">IF($F321&lt;&gt;"",XLOOKUP($F321,Productos!$A:$A,Productos!Z:Z,"Revisar"),"")</f>
        <v/>
      </c>
      <c r="AH321" s="179" t="str">
        <f t="array" ref="AH321">IF($F321&lt;&gt;"", XLOOKUP($F321,Productos!$A$2:$A1001,Productos!AA$2:AA1001,"")*$G321,"")</f>
        <v/>
      </c>
      <c r="AI321" s="179" t="str">
        <f t="array" ref="AI321">IF($F321&lt;&gt;"",XLOOKUP($F321,Productos!$A:$A,Productos!AB:AB,"Revisar"),"")</f>
        <v/>
      </c>
      <c r="AJ321" s="179" t="str">
        <f t="array" ref="AJ321">IF($F321&lt;&gt;"", XLOOKUP($F321,Productos!$A$2:$A1001,Productos!AC$2:AC1001,"")*$G321,"")</f>
        <v/>
      </c>
      <c r="AK321" s="179" t="str">
        <f t="array" ref="AK321">IF($F321&lt;&gt;"",XLOOKUP($F321,Productos!$A:$A,Productos!AD:AD,"Revisar"),"")</f>
        <v/>
      </c>
      <c r="AL321" s="179" t="str">
        <f t="array" ref="AL321">IF($F321&lt;&gt;"", XLOOKUP($F321,Productos!$A$2:$A1001,Productos!AE$2:AE1001,"")*$G321,"")</f>
        <v/>
      </c>
      <c r="AM321" s="179" t="str">
        <f t="array" ref="AM321">IF($F321&lt;&gt;"",XLOOKUP($F321,Productos!$A:$A,Productos!AF:AF,"Revisar"),"")</f>
        <v/>
      </c>
      <c r="AN321" s="179" t="str">
        <f t="array" ref="AN321">IF($F321&lt;&gt;"", XLOOKUP($F321,Productos!$A$2:$A1001,Productos!AG$2:AG1001,"")*$G321,"")</f>
        <v/>
      </c>
      <c r="AO321" s="179" t="str">
        <f t="array" ref="AO321">IF($F321&lt;&gt;"",XLOOKUP($F321,Productos!$A:$A,Productos!AH:AH,"Revisar"),"")</f>
        <v/>
      </c>
      <c r="AP321" s="179" t="str">
        <f t="array" ref="AP321">IF($F321&lt;&gt;"", XLOOKUP($F321,Productos!$A$2:$A1001,Productos!AI$2:AI1001,"")*$G321,"")</f>
        <v/>
      </c>
      <c r="AQ321" s="179" t="str">
        <f t="array" ref="AQ321">IF($F321&lt;&gt;"",XLOOKUP($F321,Productos!$A:$A,Productos!AJ:AJ,"Revisar"),"")</f>
        <v/>
      </c>
      <c r="AR321" s="179" t="str">
        <f t="array" ref="AR321">IF($F321&lt;&gt;"", XLOOKUP($F321,Productos!$A$2:$A1001,Productos!AK$2:AK1001,"")*$G321,"")</f>
        <v/>
      </c>
      <c r="AS321" s="179" t="str">
        <f t="array" ref="AS321">IF($F321&lt;&gt;"",XLOOKUP($F321,Productos!$A:$A,Productos!AL:AL,"Revisar"),"")</f>
        <v/>
      </c>
      <c r="AT321" s="179" t="str">
        <f t="array" ref="AT321">IF($F321&lt;&gt;"", XLOOKUP($F321,Productos!$A$2:$A1001,Productos!AM$2:AM1001,"")*$G321,"")</f>
        <v/>
      </c>
      <c r="AU321" s="179" t="str">
        <f t="array" ref="AU321">IF($F321&lt;&gt;"",XLOOKUP($F321,Productos!$A:$A,Productos!AN:AN,"Revisar"),"")</f>
        <v/>
      </c>
      <c r="AV321" s="179" t="str">
        <f t="array" ref="AV321">IF($F321&lt;&gt;"", XLOOKUP($F321,Productos!$A$2:$A1001,Productos!AO$2:AO1001,"")*$G321,"")</f>
        <v/>
      </c>
      <c r="AW321" s="179" t="str">
        <f t="array" ref="AW321">IF($F321&lt;&gt;"",XLOOKUP($F321,Productos!$A:$A,Productos!AP:AP,"Revisar"),"")</f>
        <v/>
      </c>
      <c r="AX321" s="179" t="str">
        <f t="array" ref="AX321">IF($F321&lt;&gt;"", XLOOKUP($F321,Productos!$A$2:$A1001,Productos!AQ$2:AQ1001,"")*$G321,"")</f>
        <v/>
      </c>
      <c r="AY321" s="179" t="str">
        <f t="array" ref="AY321">IF($F321&lt;&gt;"",XLOOKUP($F321,Productos!$A:$A,Productos!AR:AR,"Revisar"),"")</f>
        <v/>
      </c>
      <c r="AZ321" s="179" t="str">
        <f t="array" ref="AZ321">IF($F321&lt;&gt;"", XLOOKUP($F321,Productos!$A$2:$A1001,Productos!AS$2:AS1001,"")*$G321,"")</f>
        <v/>
      </c>
      <c r="BA321" s="179" t="str">
        <f t="array" ref="BA321">IF($F321&lt;&gt;"",XLOOKUP($F321,Productos!$A:$A,Productos!AT:AT,"Revisar"),"")</f>
        <v/>
      </c>
      <c r="BB321" s="179" t="str">
        <f t="array" ref="BB321">IF($F321&lt;&gt;"", XLOOKUP($F321,Productos!$A$2:$A1001,Productos!AU$2:AU1001,"")*$G321,"")</f>
        <v/>
      </c>
      <c r="BC321" s="179" t="str">
        <f t="array" ref="BC321">IF($F321&lt;&gt;"",XLOOKUP($F321,Productos!$A:$A,Productos!AV:AV,"Revisar"),"")</f>
        <v/>
      </c>
      <c r="BD321" s="179" t="str">
        <f t="array" ref="BD321">IF($F321&lt;&gt;"", XLOOKUP($F321,Productos!$A$2:$A1001,Productos!AW$2:AW1001,"")*$G321,"")</f>
        <v/>
      </c>
      <c r="BE321" s="179" t="str">
        <f t="array" ref="BE321">IF($F321&lt;&gt;"",XLOOKUP($F321,Productos!$A:$A,Productos!AX:AX,"Revisar"),"")</f>
        <v/>
      </c>
      <c r="BF321" s="179" t="str">
        <f t="array" ref="BF321">IF($F321&lt;&gt;"", XLOOKUP($F321,Productos!$A$2:$A1001,Productos!AY$2:AY1001,"")*$G321,"")</f>
        <v/>
      </c>
      <c r="BG321" s="179" t="str">
        <f t="array" ref="BG321">IF($F321&lt;&gt;"",XLOOKUP($F321,Productos!$A:$A,Productos!AZ:AZ,"Revisar"),"")</f>
        <v/>
      </c>
      <c r="BH321" s="179" t="str">
        <f t="array" ref="BH321">IF($F321&lt;&gt;"", XLOOKUP($F321,Productos!$A$2:$A1001,Productos!BA$2:BA1001,"")*$G321,"")</f>
        <v/>
      </c>
      <c r="BI321" s="179" t="str">
        <f t="array" ref="BI321">IF($F321&lt;&gt;"",XLOOKUP($F321,Productos!$A:$A,Productos!BB:BB,"Revisar"),"")</f>
        <v/>
      </c>
      <c r="BJ321" s="179" t="str">
        <f t="array" ref="BJ321">IF($F321&lt;&gt;"", XLOOKUP($F321,Productos!$A$2:$A1001,Productos!BC$2:BC1001,"")*$G321,"")</f>
        <v/>
      </c>
      <c r="BK321" s="179" t="str">
        <f t="array" ref="BK321">IF($F321&lt;&gt;"",XLOOKUP($F321,Productos!$A:$A,Productos!BD:BD,"Revisar"),"")</f>
        <v/>
      </c>
      <c r="BL321" s="179" t="str">
        <f t="array" ref="BL321">IF($F321&lt;&gt;"", XLOOKUP($F321,Productos!$A$2:$A1001,Productos!BE$2:BE1001,"")*$G321,"")</f>
        <v/>
      </c>
      <c r="BM321" s="179" t="str">
        <f t="array" ref="BM321">IF($F321&lt;&gt;"",XLOOKUP($F321,Productos!$A:$A,Productos!BF:BF,"Revisar"),"")</f>
        <v/>
      </c>
      <c r="BN321" s="179" t="str">
        <f t="array" ref="BN321">IF($F321&lt;&gt;"", XLOOKUP($F321,Productos!$A$2:$A1001,Productos!BG$2:BG1001,"")*$G321,"")</f>
        <v/>
      </c>
      <c r="BO321" s="179" t="str">
        <f t="array" ref="BO321">IF($F321&lt;&gt;"",XLOOKUP($F321,Productos!$A:$A,Productos!BH:BH,"Revisar"),"")</f>
        <v/>
      </c>
      <c r="BP321" s="179" t="str">
        <f t="array" ref="BP321">IF($F321&lt;&gt;"", XLOOKUP($F321,Productos!$A$2:$A1001,Productos!BI$2:BI1001,"")*$G321,"")</f>
        <v/>
      </c>
      <c r="BQ321" s="179" t="str">
        <f t="array" ref="BQ321">IF($F321&lt;&gt;"",XLOOKUP($F321,Productos!$A:$A,Productos!BJ:BJ,"Revisar"),"")</f>
        <v/>
      </c>
      <c r="BR321" s="179" t="str">
        <f t="array" ref="BR321">IF($F321&lt;&gt;"", XLOOKUP($F321,Productos!$A$2:$A1001,Productos!BK$2:BK1001,"")*$G321,"")</f>
        <v/>
      </c>
      <c r="BS321" s="179" t="str">
        <f t="array" ref="BS321">IF($F321&lt;&gt;"",XLOOKUP($F321,Productos!$A:$A,Productos!BL:BL,"Revisar"),"")</f>
        <v/>
      </c>
      <c r="BT321" s="179" t="str">
        <f t="array" ref="BT321">IF($F321&lt;&gt;"", XLOOKUP($F321,Productos!$A$2:$A1001,Productos!BM$2:BM1001,"")*$G321,"")</f>
        <v/>
      </c>
      <c r="BU321" s="179" t="str">
        <f t="array" ref="BU321">IF($F321&lt;&gt;"",XLOOKUP($F321,Productos!$A:$A,Productos!BN:BN,"Revisar"),"")</f>
        <v/>
      </c>
      <c r="BV321" s="179" t="str">
        <f t="array" ref="BV321">IF($F321&lt;&gt;"", XLOOKUP($F321,Productos!$A$2:$A1001,Productos!BO$2:BO1001,"")*$G321,"")</f>
        <v/>
      </c>
      <c r="BW321" s="179" t="str">
        <f t="array" ref="BW321">IF($F321&lt;&gt;"",XLOOKUP($F321,Productos!$A:$A,Productos!BP:BP,"Revisar"),"")</f>
        <v/>
      </c>
      <c r="BX321" s="179" t="str">
        <f t="array" ref="BX321">IF($F321&lt;&gt;"", XLOOKUP($F321,Productos!$A$2:$A1001,Productos!BQ$2:BQ1001,"")*$G321,"")</f>
        <v/>
      </c>
      <c r="BY321" s="179" t="str">
        <f t="array" ref="BY321">IF($F321&lt;&gt;"",XLOOKUP($F321,Productos!$A:$A,Productos!BR:BR,"Revisar"),"")</f>
        <v/>
      </c>
      <c r="BZ321" s="179" t="str">
        <f t="array" ref="BZ321">IF($F321&lt;&gt;"", XLOOKUP($F321,Productos!$A$2:$A1001,Productos!BS$2:BS1001,"")*$G321,"")</f>
        <v/>
      </c>
    </row>
    <row r="322">
      <c r="A322" s="188"/>
      <c r="B322" s="189"/>
      <c r="C322" s="190"/>
      <c r="D322" s="190"/>
      <c r="E322" s="191"/>
      <c r="F322" s="186"/>
      <c r="G322" s="192"/>
      <c r="H322" s="9"/>
      <c r="I322" s="179" t="str">
        <f t="array" ref="I322">IF($F322&lt;&gt;"",XLOOKUP($F322,Productos!$A:$A,Productos!B:B,"Revisar"),"")</f>
        <v/>
      </c>
      <c r="J322" s="179" t="str">
        <f t="array" ref="J322">IF($F322&lt;&gt;"", XLOOKUP($F322,Productos!$A$2:$A1001,Productos!C$2:C1001,"")*$G322,"")</f>
        <v/>
      </c>
      <c r="K322" s="179" t="str">
        <f t="array" ref="K322">IF($F322&lt;&gt;"",XLOOKUP($F322,Productos!$A:$A,Productos!D:D,"Revisar"),"")</f>
        <v/>
      </c>
      <c r="L322" s="179" t="str">
        <f t="array" ref="L322">IF($F322&lt;&gt;"", XLOOKUP($F322,Productos!$A$2:$A1001,Productos!E$2:E1001,"")*$G322,"")</f>
        <v/>
      </c>
      <c r="M322" s="179" t="str">
        <f t="array" ref="M322">IF($F322&lt;&gt;"",XLOOKUP($F322,Productos!$A:$A,Productos!F:F,"Revisar"),"")</f>
        <v/>
      </c>
      <c r="N322" s="179" t="str">
        <f t="array" ref="N322">IF($F322&lt;&gt;"", XLOOKUP($F322,Productos!$A$2:$A1001,Productos!G$2:G1001,"")*$G322,"")</f>
        <v/>
      </c>
      <c r="O322" s="179" t="str">
        <f t="array" ref="O322">IF($F322&lt;&gt;"",XLOOKUP($F322,Productos!$A:$A,Productos!H:H,"Revisar"),"")</f>
        <v/>
      </c>
      <c r="P322" s="179" t="str">
        <f t="array" ref="P322">IF($F322&lt;&gt;"", XLOOKUP($F322,Productos!$A$2:$A1001,Productos!I$2:I1001,"")*$G322,"")</f>
        <v/>
      </c>
      <c r="Q322" s="179" t="str">
        <f t="array" ref="Q322">IF($F322&lt;&gt;"",XLOOKUP($F322,Productos!$A:$A,Productos!J:J,"Revisar"),"")</f>
        <v/>
      </c>
      <c r="R322" s="179" t="str">
        <f t="array" ref="R322">IF($F322&lt;&gt;"", XLOOKUP($F322,Productos!$A$2:$A1001,Productos!K$2:K1001,"")*$G322,"")</f>
        <v/>
      </c>
      <c r="S322" s="179" t="str">
        <f t="array" ref="S322">IF($F322&lt;&gt;"",XLOOKUP($F322,Productos!$A:$A,Productos!L:L,"Revisar"),"")</f>
        <v/>
      </c>
      <c r="T322" s="179" t="str">
        <f t="array" ref="T322">IF($F322&lt;&gt;"", XLOOKUP($F322,Productos!$A$2:$A1001,Productos!M$2:M1001,"")*$G322,"")</f>
        <v/>
      </c>
      <c r="U322" s="179" t="str">
        <f t="array" ref="U322">IF($F322&lt;&gt;"",XLOOKUP($F322,Productos!$A:$A,Productos!N:N,"Revisar"),"")</f>
        <v/>
      </c>
      <c r="V322" s="179" t="str">
        <f t="array" ref="V322">IF($F322&lt;&gt;"", XLOOKUP($F322,Productos!$A$2:$A1001,Productos!O$2:O1001,"")*$G322,"")</f>
        <v/>
      </c>
      <c r="W322" s="179" t="str">
        <f t="array" ref="W322">IF($F322&lt;&gt;"",XLOOKUP($F322,Productos!$A:$A,Productos!P:P,"Revisar"),"")</f>
        <v/>
      </c>
      <c r="X322" s="179" t="str">
        <f t="array" ref="X322">IF($F322&lt;&gt;"", XLOOKUP($F322,Productos!$A$2:$A1001,Productos!Q$2:Q1001,"")*$G322,"")</f>
        <v/>
      </c>
      <c r="Y322" s="179" t="str">
        <f t="array" ref="Y322">IF($F322&lt;&gt;"",XLOOKUP($F322,Productos!$A:$A,Productos!R:R,"Revisar"),"")</f>
        <v/>
      </c>
      <c r="Z322" s="179" t="str">
        <f t="array" ref="Z322">IF($F322&lt;&gt;"", XLOOKUP($F322,Productos!$A$2:$A1001,Productos!S$2:S1001,"")*$G322,"")</f>
        <v/>
      </c>
      <c r="AA322" s="179" t="str">
        <f t="array" ref="AA322">IF($F322&lt;&gt;"",XLOOKUP($F322,Productos!$A:$A,Productos!T:T,"Revisar"),"")</f>
        <v/>
      </c>
      <c r="AB322" s="179" t="str">
        <f t="array" ref="AB322">IF($F322&lt;&gt;"", XLOOKUP($F322,Productos!$A$2:$A1001,Productos!U$2:U1001,"")*$G322,"")</f>
        <v/>
      </c>
      <c r="AC322" s="179" t="str">
        <f t="array" ref="AC322">IF($F322&lt;&gt;"",XLOOKUP($F322,Productos!$A:$A,Productos!V:V,"Revisar"),"")</f>
        <v/>
      </c>
      <c r="AD322" s="179" t="str">
        <f t="array" ref="AD322">IF($F322&lt;&gt;"", XLOOKUP($F322,Productos!$A$2:$A1001,Productos!W$2:W1001,"")*$G322,"")</f>
        <v/>
      </c>
      <c r="AE322" s="179" t="str">
        <f t="array" ref="AE322">IF($F322&lt;&gt;"",XLOOKUP($F322,Productos!$A:$A,Productos!X:X,"Revisar"),"")</f>
        <v/>
      </c>
      <c r="AF322" s="179" t="str">
        <f t="array" ref="AF322">IF($F322&lt;&gt;"", XLOOKUP($F322,Productos!$A$2:$A1001,Productos!Y$2:Y1001,"")*$G322,"")</f>
        <v/>
      </c>
      <c r="AG322" s="179" t="str">
        <f t="array" ref="AG322">IF($F322&lt;&gt;"",XLOOKUP($F322,Productos!$A:$A,Productos!Z:Z,"Revisar"),"")</f>
        <v/>
      </c>
      <c r="AH322" s="179" t="str">
        <f t="array" ref="AH322">IF($F322&lt;&gt;"", XLOOKUP($F322,Productos!$A$2:$A1001,Productos!AA$2:AA1001,"")*$G322,"")</f>
        <v/>
      </c>
      <c r="AI322" s="179" t="str">
        <f t="array" ref="AI322">IF($F322&lt;&gt;"",XLOOKUP($F322,Productos!$A:$A,Productos!AB:AB,"Revisar"),"")</f>
        <v/>
      </c>
      <c r="AJ322" s="179" t="str">
        <f t="array" ref="AJ322">IF($F322&lt;&gt;"", XLOOKUP($F322,Productos!$A$2:$A1001,Productos!AC$2:AC1001,"")*$G322,"")</f>
        <v/>
      </c>
      <c r="AK322" s="179" t="str">
        <f t="array" ref="AK322">IF($F322&lt;&gt;"",XLOOKUP($F322,Productos!$A:$A,Productos!AD:AD,"Revisar"),"")</f>
        <v/>
      </c>
      <c r="AL322" s="179" t="str">
        <f t="array" ref="AL322">IF($F322&lt;&gt;"", XLOOKUP($F322,Productos!$A$2:$A1001,Productos!AE$2:AE1001,"")*$G322,"")</f>
        <v/>
      </c>
      <c r="AM322" s="179" t="str">
        <f t="array" ref="AM322">IF($F322&lt;&gt;"",XLOOKUP($F322,Productos!$A:$A,Productos!AF:AF,"Revisar"),"")</f>
        <v/>
      </c>
      <c r="AN322" s="179" t="str">
        <f t="array" ref="AN322">IF($F322&lt;&gt;"", XLOOKUP($F322,Productos!$A$2:$A1001,Productos!AG$2:AG1001,"")*$G322,"")</f>
        <v/>
      </c>
      <c r="AO322" s="179" t="str">
        <f t="array" ref="AO322">IF($F322&lt;&gt;"",XLOOKUP($F322,Productos!$A:$A,Productos!AH:AH,"Revisar"),"")</f>
        <v/>
      </c>
      <c r="AP322" s="179" t="str">
        <f t="array" ref="AP322">IF($F322&lt;&gt;"", XLOOKUP($F322,Productos!$A$2:$A1001,Productos!AI$2:AI1001,"")*$G322,"")</f>
        <v/>
      </c>
      <c r="AQ322" s="179" t="str">
        <f t="array" ref="AQ322">IF($F322&lt;&gt;"",XLOOKUP($F322,Productos!$A:$A,Productos!AJ:AJ,"Revisar"),"")</f>
        <v/>
      </c>
      <c r="AR322" s="179" t="str">
        <f t="array" ref="AR322">IF($F322&lt;&gt;"", XLOOKUP($F322,Productos!$A$2:$A1001,Productos!AK$2:AK1001,"")*$G322,"")</f>
        <v/>
      </c>
      <c r="AS322" s="179" t="str">
        <f t="array" ref="AS322">IF($F322&lt;&gt;"",XLOOKUP($F322,Productos!$A:$A,Productos!AL:AL,"Revisar"),"")</f>
        <v/>
      </c>
      <c r="AT322" s="179" t="str">
        <f t="array" ref="AT322">IF($F322&lt;&gt;"", XLOOKUP($F322,Productos!$A$2:$A1001,Productos!AM$2:AM1001,"")*$G322,"")</f>
        <v/>
      </c>
      <c r="AU322" s="179" t="str">
        <f t="array" ref="AU322">IF($F322&lt;&gt;"",XLOOKUP($F322,Productos!$A:$A,Productos!AN:AN,"Revisar"),"")</f>
        <v/>
      </c>
      <c r="AV322" s="179" t="str">
        <f t="array" ref="AV322">IF($F322&lt;&gt;"", XLOOKUP($F322,Productos!$A$2:$A1001,Productos!AO$2:AO1001,"")*$G322,"")</f>
        <v/>
      </c>
      <c r="AW322" s="179" t="str">
        <f t="array" ref="AW322">IF($F322&lt;&gt;"",XLOOKUP($F322,Productos!$A:$A,Productos!AP:AP,"Revisar"),"")</f>
        <v/>
      </c>
      <c r="AX322" s="179" t="str">
        <f t="array" ref="AX322">IF($F322&lt;&gt;"", XLOOKUP($F322,Productos!$A$2:$A1001,Productos!AQ$2:AQ1001,"")*$G322,"")</f>
        <v/>
      </c>
      <c r="AY322" s="179" t="str">
        <f t="array" ref="AY322">IF($F322&lt;&gt;"",XLOOKUP($F322,Productos!$A:$A,Productos!AR:AR,"Revisar"),"")</f>
        <v/>
      </c>
      <c r="AZ322" s="179" t="str">
        <f t="array" ref="AZ322">IF($F322&lt;&gt;"", XLOOKUP($F322,Productos!$A$2:$A1001,Productos!AS$2:AS1001,"")*$G322,"")</f>
        <v/>
      </c>
      <c r="BA322" s="179" t="str">
        <f t="array" ref="BA322">IF($F322&lt;&gt;"",XLOOKUP($F322,Productos!$A:$A,Productos!AT:AT,"Revisar"),"")</f>
        <v/>
      </c>
      <c r="BB322" s="179" t="str">
        <f t="array" ref="BB322">IF($F322&lt;&gt;"", XLOOKUP($F322,Productos!$A$2:$A1001,Productos!AU$2:AU1001,"")*$G322,"")</f>
        <v/>
      </c>
      <c r="BC322" s="179" t="str">
        <f t="array" ref="BC322">IF($F322&lt;&gt;"",XLOOKUP($F322,Productos!$A:$A,Productos!AV:AV,"Revisar"),"")</f>
        <v/>
      </c>
      <c r="BD322" s="179" t="str">
        <f t="array" ref="BD322">IF($F322&lt;&gt;"", XLOOKUP($F322,Productos!$A$2:$A1001,Productos!AW$2:AW1001,"")*$G322,"")</f>
        <v/>
      </c>
      <c r="BE322" s="179" t="str">
        <f t="array" ref="BE322">IF($F322&lt;&gt;"",XLOOKUP($F322,Productos!$A:$A,Productos!AX:AX,"Revisar"),"")</f>
        <v/>
      </c>
      <c r="BF322" s="179" t="str">
        <f t="array" ref="BF322">IF($F322&lt;&gt;"", XLOOKUP($F322,Productos!$A$2:$A1001,Productos!AY$2:AY1001,"")*$G322,"")</f>
        <v/>
      </c>
      <c r="BG322" s="179" t="str">
        <f t="array" ref="BG322">IF($F322&lt;&gt;"",XLOOKUP($F322,Productos!$A:$A,Productos!AZ:AZ,"Revisar"),"")</f>
        <v/>
      </c>
      <c r="BH322" s="179" t="str">
        <f t="array" ref="BH322">IF($F322&lt;&gt;"", XLOOKUP($F322,Productos!$A$2:$A1001,Productos!BA$2:BA1001,"")*$G322,"")</f>
        <v/>
      </c>
      <c r="BI322" s="179" t="str">
        <f t="array" ref="BI322">IF($F322&lt;&gt;"",XLOOKUP($F322,Productos!$A:$A,Productos!BB:BB,"Revisar"),"")</f>
        <v/>
      </c>
      <c r="BJ322" s="179" t="str">
        <f t="array" ref="BJ322">IF($F322&lt;&gt;"", XLOOKUP($F322,Productos!$A$2:$A1001,Productos!BC$2:BC1001,"")*$G322,"")</f>
        <v/>
      </c>
      <c r="BK322" s="179" t="str">
        <f t="array" ref="BK322">IF($F322&lt;&gt;"",XLOOKUP($F322,Productos!$A:$A,Productos!BD:BD,"Revisar"),"")</f>
        <v/>
      </c>
      <c r="BL322" s="179" t="str">
        <f t="array" ref="BL322">IF($F322&lt;&gt;"", XLOOKUP($F322,Productos!$A$2:$A1001,Productos!BE$2:BE1001,"")*$G322,"")</f>
        <v/>
      </c>
      <c r="BM322" s="179" t="str">
        <f t="array" ref="BM322">IF($F322&lt;&gt;"",XLOOKUP($F322,Productos!$A:$A,Productos!BF:BF,"Revisar"),"")</f>
        <v/>
      </c>
      <c r="BN322" s="179" t="str">
        <f t="array" ref="BN322">IF($F322&lt;&gt;"", XLOOKUP($F322,Productos!$A$2:$A1001,Productos!BG$2:BG1001,"")*$G322,"")</f>
        <v/>
      </c>
      <c r="BO322" s="179" t="str">
        <f t="array" ref="BO322">IF($F322&lt;&gt;"",XLOOKUP($F322,Productos!$A:$A,Productos!BH:BH,"Revisar"),"")</f>
        <v/>
      </c>
      <c r="BP322" s="179" t="str">
        <f t="array" ref="BP322">IF($F322&lt;&gt;"", XLOOKUP($F322,Productos!$A$2:$A1001,Productos!BI$2:BI1001,"")*$G322,"")</f>
        <v/>
      </c>
      <c r="BQ322" s="179" t="str">
        <f t="array" ref="BQ322">IF($F322&lt;&gt;"",XLOOKUP($F322,Productos!$A:$A,Productos!BJ:BJ,"Revisar"),"")</f>
        <v/>
      </c>
      <c r="BR322" s="179" t="str">
        <f t="array" ref="BR322">IF($F322&lt;&gt;"", XLOOKUP($F322,Productos!$A$2:$A1001,Productos!BK$2:BK1001,"")*$G322,"")</f>
        <v/>
      </c>
      <c r="BS322" s="179" t="str">
        <f t="array" ref="BS322">IF($F322&lt;&gt;"",XLOOKUP($F322,Productos!$A:$A,Productos!BL:BL,"Revisar"),"")</f>
        <v/>
      </c>
      <c r="BT322" s="179" t="str">
        <f t="array" ref="BT322">IF($F322&lt;&gt;"", XLOOKUP($F322,Productos!$A$2:$A1001,Productos!BM$2:BM1001,"")*$G322,"")</f>
        <v/>
      </c>
      <c r="BU322" s="179" t="str">
        <f t="array" ref="BU322">IF($F322&lt;&gt;"",XLOOKUP($F322,Productos!$A:$A,Productos!BN:BN,"Revisar"),"")</f>
        <v/>
      </c>
      <c r="BV322" s="179" t="str">
        <f t="array" ref="BV322">IF($F322&lt;&gt;"", XLOOKUP($F322,Productos!$A$2:$A1001,Productos!BO$2:BO1001,"")*$G322,"")</f>
        <v/>
      </c>
      <c r="BW322" s="179" t="str">
        <f t="array" ref="BW322">IF($F322&lt;&gt;"",XLOOKUP($F322,Productos!$A:$A,Productos!BP:BP,"Revisar"),"")</f>
        <v/>
      </c>
      <c r="BX322" s="179" t="str">
        <f t="array" ref="BX322">IF($F322&lt;&gt;"", XLOOKUP($F322,Productos!$A$2:$A1001,Productos!BQ$2:BQ1001,"")*$G322,"")</f>
        <v/>
      </c>
      <c r="BY322" s="179" t="str">
        <f t="array" ref="BY322">IF($F322&lt;&gt;"",XLOOKUP($F322,Productos!$A:$A,Productos!BR:BR,"Revisar"),"")</f>
        <v/>
      </c>
      <c r="BZ322" s="179" t="str">
        <f t="array" ref="BZ322">IF($F322&lt;&gt;"", XLOOKUP($F322,Productos!$A$2:$A1001,Productos!BS$2:BS1001,"")*$G322,"")</f>
        <v/>
      </c>
    </row>
    <row r="323">
      <c r="A323" s="188"/>
      <c r="B323" s="189"/>
      <c r="C323" s="190"/>
      <c r="D323" s="190"/>
      <c r="E323" s="191"/>
      <c r="F323" s="186"/>
      <c r="G323" s="192"/>
      <c r="H323" s="9"/>
      <c r="I323" s="179" t="str">
        <f t="array" ref="I323">IF($F323&lt;&gt;"",XLOOKUP($F323,Productos!$A:$A,Productos!B:B,"Revisar"),"")</f>
        <v/>
      </c>
      <c r="J323" s="179" t="str">
        <f t="array" ref="J323">IF($F323&lt;&gt;"", XLOOKUP($F323,Productos!$A$2:$A1001,Productos!C$2:C1001,"")*$G323,"")</f>
        <v/>
      </c>
      <c r="K323" s="179" t="str">
        <f t="array" ref="K323">IF($F323&lt;&gt;"",XLOOKUP($F323,Productos!$A:$A,Productos!D:D,"Revisar"),"")</f>
        <v/>
      </c>
      <c r="L323" s="179" t="str">
        <f t="array" ref="L323">IF($F323&lt;&gt;"", XLOOKUP($F323,Productos!$A$2:$A1001,Productos!E$2:E1001,"")*$G323,"")</f>
        <v/>
      </c>
      <c r="M323" s="179" t="str">
        <f t="array" ref="M323">IF($F323&lt;&gt;"",XLOOKUP($F323,Productos!$A:$A,Productos!F:F,"Revisar"),"")</f>
        <v/>
      </c>
      <c r="N323" s="179" t="str">
        <f t="array" ref="N323">IF($F323&lt;&gt;"", XLOOKUP($F323,Productos!$A$2:$A1001,Productos!G$2:G1001,"")*$G323,"")</f>
        <v/>
      </c>
      <c r="O323" s="179" t="str">
        <f t="array" ref="O323">IF($F323&lt;&gt;"",XLOOKUP($F323,Productos!$A:$A,Productos!H:H,"Revisar"),"")</f>
        <v/>
      </c>
      <c r="P323" s="179" t="str">
        <f t="array" ref="P323">IF($F323&lt;&gt;"", XLOOKUP($F323,Productos!$A$2:$A1001,Productos!I$2:I1001,"")*$G323,"")</f>
        <v/>
      </c>
      <c r="Q323" s="179" t="str">
        <f t="array" ref="Q323">IF($F323&lt;&gt;"",XLOOKUP($F323,Productos!$A:$A,Productos!J:J,"Revisar"),"")</f>
        <v/>
      </c>
      <c r="R323" s="179" t="str">
        <f t="array" ref="R323">IF($F323&lt;&gt;"", XLOOKUP($F323,Productos!$A$2:$A1001,Productos!K$2:K1001,"")*$G323,"")</f>
        <v/>
      </c>
      <c r="S323" s="179" t="str">
        <f t="array" ref="S323">IF($F323&lt;&gt;"",XLOOKUP($F323,Productos!$A:$A,Productos!L:L,"Revisar"),"")</f>
        <v/>
      </c>
      <c r="T323" s="179" t="str">
        <f t="array" ref="T323">IF($F323&lt;&gt;"", XLOOKUP($F323,Productos!$A$2:$A1001,Productos!M$2:M1001,"")*$G323,"")</f>
        <v/>
      </c>
      <c r="U323" s="179" t="str">
        <f t="array" ref="U323">IF($F323&lt;&gt;"",XLOOKUP($F323,Productos!$A:$A,Productos!N:N,"Revisar"),"")</f>
        <v/>
      </c>
      <c r="V323" s="179" t="str">
        <f t="array" ref="V323">IF($F323&lt;&gt;"", XLOOKUP($F323,Productos!$A$2:$A1001,Productos!O$2:O1001,"")*$G323,"")</f>
        <v/>
      </c>
      <c r="W323" s="179" t="str">
        <f t="array" ref="W323">IF($F323&lt;&gt;"",XLOOKUP($F323,Productos!$A:$A,Productos!P:P,"Revisar"),"")</f>
        <v/>
      </c>
      <c r="X323" s="179" t="str">
        <f t="array" ref="X323">IF($F323&lt;&gt;"", XLOOKUP($F323,Productos!$A$2:$A1001,Productos!Q$2:Q1001,"")*$G323,"")</f>
        <v/>
      </c>
      <c r="Y323" s="179" t="str">
        <f t="array" ref="Y323">IF($F323&lt;&gt;"",XLOOKUP($F323,Productos!$A:$A,Productos!R:R,"Revisar"),"")</f>
        <v/>
      </c>
      <c r="Z323" s="179" t="str">
        <f t="array" ref="Z323">IF($F323&lt;&gt;"", XLOOKUP($F323,Productos!$A$2:$A1001,Productos!S$2:S1001,"")*$G323,"")</f>
        <v/>
      </c>
      <c r="AA323" s="179" t="str">
        <f t="array" ref="AA323">IF($F323&lt;&gt;"",XLOOKUP($F323,Productos!$A:$A,Productos!T:T,"Revisar"),"")</f>
        <v/>
      </c>
      <c r="AB323" s="179" t="str">
        <f t="array" ref="AB323">IF($F323&lt;&gt;"", XLOOKUP($F323,Productos!$A$2:$A1001,Productos!U$2:U1001,"")*$G323,"")</f>
        <v/>
      </c>
      <c r="AC323" s="179" t="str">
        <f t="array" ref="AC323">IF($F323&lt;&gt;"",XLOOKUP($F323,Productos!$A:$A,Productos!V:V,"Revisar"),"")</f>
        <v/>
      </c>
      <c r="AD323" s="179" t="str">
        <f t="array" ref="AD323">IF($F323&lt;&gt;"", XLOOKUP($F323,Productos!$A$2:$A1001,Productos!W$2:W1001,"")*$G323,"")</f>
        <v/>
      </c>
      <c r="AE323" s="179" t="str">
        <f t="array" ref="AE323">IF($F323&lt;&gt;"",XLOOKUP($F323,Productos!$A:$A,Productos!X:X,"Revisar"),"")</f>
        <v/>
      </c>
      <c r="AF323" s="179" t="str">
        <f t="array" ref="AF323">IF($F323&lt;&gt;"", XLOOKUP($F323,Productos!$A$2:$A1001,Productos!Y$2:Y1001,"")*$G323,"")</f>
        <v/>
      </c>
      <c r="AG323" s="179" t="str">
        <f t="array" ref="AG323">IF($F323&lt;&gt;"",XLOOKUP($F323,Productos!$A:$A,Productos!Z:Z,"Revisar"),"")</f>
        <v/>
      </c>
      <c r="AH323" s="179" t="str">
        <f t="array" ref="AH323">IF($F323&lt;&gt;"", XLOOKUP($F323,Productos!$A$2:$A1001,Productos!AA$2:AA1001,"")*$G323,"")</f>
        <v/>
      </c>
      <c r="AI323" s="179" t="str">
        <f t="array" ref="AI323">IF($F323&lt;&gt;"",XLOOKUP($F323,Productos!$A:$A,Productos!AB:AB,"Revisar"),"")</f>
        <v/>
      </c>
      <c r="AJ323" s="179" t="str">
        <f t="array" ref="AJ323">IF($F323&lt;&gt;"", XLOOKUP($F323,Productos!$A$2:$A1001,Productos!AC$2:AC1001,"")*$G323,"")</f>
        <v/>
      </c>
      <c r="AK323" s="179" t="str">
        <f t="array" ref="AK323">IF($F323&lt;&gt;"",XLOOKUP($F323,Productos!$A:$A,Productos!AD:AD,"Revisar"),"")</f>
        <v/>
      </c>
      <c r="AL323" s="179" t="str">
        <f t="array" ref="AL323">IF($F323&lt;&gt;"", XLOOKUP($F323,Productos!$A$2:$A1001,Productos!AE$2:AE1001,"")*$G323,"")</f>
        <v/>
      </c>
      <c r="AM323" s="179" t="str">
        <f t="array" ref="AM323">IF($F323&lt;&gt;"",XLOOKUP($F323,Productos!$A:$A,Productos!AF:AF,"Revisar"),"")</f>
        <v/>
      </c>
      <c r="AN323" s="179" t="str">
        <f t="array" ref="AN323">IF($F323&lt;&gt;"", XLOOKUP($F323,Productos!$A$2:$A1001,Productos!AG$2:AG1001,"")*$G323,"")</f>
        <v/>
      </c>
      <c r="AO323" s="179" t="str">
        <f t="array" ref="AO323">IF($F323&lt;&gt;"",XLOOKUP($F323,Productos!$A:$A,Productos!AH:AH,"Revisar"),"")</f>
        <v/>
      </c>
      <c r="AP323" s="179" t="str">
        <f t="array" ref="AP323">IF($F323&lt;&gt;"", XLOOKUP($F323,Productos!$A$2:$A1001,Productos!AI$2:AI1001,"")*$G323,"")</f>
        <v/>
      </c>
      <c r="AQ323" s="179" t="str">
        <f t="array" ref="AQ323">IF($F323&lt;&gt;"",XLOOKUP($F323,Productos!$A:$A,Productos!AJ:AJ,"Revisar"),"")</f>
        <v/>
      </c>
      <c r="AR323" s="179" t="str">
        <f t="array" ref="AR323">IF($F323&lt;&gt;"", XLOOKUP($F323,Productos!$A$2:$A1001,Productos!AK$2:AK1001,"")*$G323,"")</f>
        <v/>
      </c>
      <c r="AS323" s="179" t="str">
        <f t="array" ref="AS323">IF($F323&lt;&gt;"",XLOOKUP($F323,Productos!$A:$A,Productos!AL:AL,"Revisar"),"")</f>
        <v/>
      </c>
      <c r="AT323" s="179" t="str">
        <f t="array" ref="AT323">IF($F323&lt;&gt;"", XLOOKUP($F323,Productos!$A$2:$A1001,Productos!AM$2:AM1001,"")*$G323,"")</f>
        <v/>
      </c>
      <c r="AU323" s="179" t="str">
        <f t="array" ref="AU323">IF($F323&lt;&gt;"",XLOOKUP($F323,Productos!$A:$A,Productos!AN:AN,"Revisar"),"")</f>
        <v/>
      </c>
      <c r="AV323" s="179" t="str">
        <f t="array" ref="AV323">IF($F323&lt;&gt;"", XLOOKUP($F323,Productos!$A$2:$A1001,Productos!AO$2:AO1001,"")*$G323,"")</f>
        <v/>
      </c>
      <c r="AW323" s="179" t="str">
        <f t="array" ref="AW323">IF($F323&lt;&gt;"",XLOOKUP($F323,Productos!$A:$A,Productos!AP:AP,"Revisar"),"")</f>
        <v/>
      </c>
      <c r="AX323" s="179" t="str">
        <f t="array" ref="AX323">IF($F323&lt;&gt;"", XLOOKUP($F323,Productos!$A$2:$A1001,Productos!AQ$2:AQ1001,"")*$G323,"")</f>
        <v/>
      </c>
      <c r="AY323" s="179" t="str">
        <f t="array" ref="AY323">IF($F323&lt;&gt;"",XLOOKUP($F323,Productos!$A:$A,Productos!AR:AR,"Revisar"),"")</f>
        <v/>
      </c>
      <c r="AZ323" s="179" t="str">
        <f t="array" ref="AZ323">IF($F323&lt;&gt;"", XLOOKUP($F323,Productos!$A$2:$A1001,Productos!AS$2:AS1001,"")*$G323,"")</f>
        <v/>
      </c>
      <c r="BA323" s="179" t="str">
        <f t="array" ref="BA323">IF($F323&lt;&gt;"",XLOOKUP($F323,Productos!$A:$A,Productos!AT:AT,"Revisar"),"")</f>
        <v/>
      </c>
      <c r="BB323" s="179" t="str">
        <f t="array" ref="BB323">IF($F323&lt;&gt;"", XLOOKUP($F323,Productos!$A$2:$A1001,Productos!AU$2:AU1001,"")*$G323,"")</f>
        <v/>
      </c>
      <c r="BC323" s="179" t="str">
        <f t="array" ref="BC323">IF($F323&lt;&gt;"",XLOOKUP($F323,Productos!$A:$A,Productos!AV:AV,"Revisar"),"")</f>
        <v/>
      </c>
      <c r="BD323" s="179" t="str">
        <f t="array" ref="BD323">IF($F323&lt;&gt;"", XLOOKUP($F323,Productos!$A$2:$A1001,Productos!AW$2:AW1001,"")*$G323,"")</f>
        <v/>
      </c>
      <c r="BE323" s="179" t="str">
        <f t="array" ref="BE323">IF($F323&lt;&gt;"",XLOOKUP($F323,Productos!$A:$A,Productos!AX:AX,"Revisar"),"")</f>
        <v/>
      </c>
      <c r="BF323" s="179" t="str">
        <f t="array" ref="BF323">IF($F323&lt;&gt;"", XLOOKUP($F323,Productos!$A$2:$A1001,Productos!AY$2:AY1001,"")*$G323,"")</f>
        <v/>
      </c>
      <c r="BG323" s="179" t="str">
        <f t="array" ref="BG323">IF($F323&lt;&gt;"",XLOOKUP($F323,Productos!$A:$A,Productos!AZ:AZ,"Revisar"),"")</f>
        <v/>
      </c>
      <c r="BH323" s="179" t="str">
        <f t="array" ref="BH323">IF($F323&lt;&gt;"", XLOOKUP($F323,Productos!$A$2:$A1001,Productos!BA$2:BA1001,"")*$G323,"")</f>
        <v/>
      </c>
      <c r="BI323" s="179" t="str">
        <f t="array" ref="BI323">IF($F323&lt;&gt;"",XLOOKUP($F323,Productos!$A:$A,Productos!BB:BB,"Revisar"),"")</f>
        <v/>
      </c>
      <c r="BJ323" s="179" t="str">
        <f t="array" ref="BJ323">IF($F323&lt;&gt;"", XLOOKUP($F323,Productos!$A$2:$A1001,Productos!BC$2:BC1001,"")*$G323,"")</f>
        <v/>
      </c>
      <c r="BK323" s="179" t="str">
        <f t="array" ref="BK323">IF($F323&lt;&gt;"",XLOOKUP($F323,Productos!$A:$A,Productos!BD:BD,"Revisar"),"")</f>
        <v/>
      </c>
      <c r="BL323" s="179" t="str">
        <f t="array" ref="BL323">IF($F323&lt;&gt;"", XLOOKUP($F323,Productos!$A$2:$A1001,Productos!BE$2:BE1001,"")*$G323,"")</f>
        <v/>
      </c>
      <c r="BM323" s="179" t="str">
        <f t="array" ref="BM323">IF($F323&lt;&gt;"",XLOOKUP($F323,Productos!$A:$A,Productos!BF:BF,"Revisar"),"")</f>
        <v/>
      </c>
      <c r="BN323" s="179" t="str">
        <f t="array" ref="BN323">IF($F323&lt;&gt;"", XLOOKUP($F323,Productos!$A$2:$A1001,Productos!BG$2:BG1001,"")*$G323,"")</f>
        <v/>
      </c>
      <c r="BO323" s="179" t="str">
        <f t="array" ref="BO323">IF($F323&lt;&gt;"",XLOOKUP($F323,Productos!$A:$A,Productos!BH:BH,"Revisar"),"")</f>
        <v/>
      </c>
      <c r="BP323" s="179" t="str">
        <f t="array" ref="BP323">IF($F323&lt;&gt;"", XLOOKUP($F323,Productos!$A$2:$A1001,Productos!BI$2:BI1001,"")*$G323,"")</f>
        <v/>
      </c>
      <c r="BQ323" s="179" t="str">
        <f t="array" ref="BQ323">IF($F323&lt;&gt;"",XLOOKUP($F323,Productos!$A:$A,Productos!BJ:BJ,"Revisar"),"")</f>
        <v/>
      </c>
      <c r="BR323" s="179" t="str">
        <f t="array" ref="BR323">IF($F323&lt;&gt;"", XLOOKUP($F323,Productos!$A$2:$A1001,Productos!BK$2:BK1001,"")*$G323,"")</f>
        <v/>
      </c>
      <c r="BS323" s="179" t="str">
        <f t="array" ref="BS323">IF($F323&lt;&gt;"",XLOOKUP($F323,Productos!$A:$A,Productos!BL:BL,"Revisar"),"")</f>
        <v/>
      </c>
      <c r="BT323" s="179" t="str">
        <f t="array" ref="BT323">IF($F323&lt;&gt;"", XLOOKUP($F323,Productos!$A$2:$A1001,Productos!BM$2:BM1001,"")*$G323,"")</f>
        <v/>
      </c>
      <c r="BU323" s="179" t="str">
        <f t="array" ref="BU323">IF($F323&lt;&gt;"",XLOOKUP($F323,Productos!$A:$A,Productos!BN:BN,"Revisar"),"")</f>
        <v/>
      </c>
      <c r="BV323" s="179" t="str">
        <f t="array" ref="BV323">IF($F323&lt;&gt;"", XLOOKUP($F323,Productos!$A$2:$A1001,Productos!BO$2:BO1001,"")*$G323,"")</f>
        <v/>
      </c>
      <c r="BW323" s="179" t="str">
        <f t="array" ref="BW323">IF($F323&lt;&gt;"",XLOOKUP($F323,Productos!$A:$A,Productos!BP:BP,"Revisar"),"")</f>
        <v/>
      </c>
      <c r="BX323" s="179" t="str">
        <f t="array" ref="BX323">IF($F323&lt;&gt;"", XLOOKUP($F323,Productos!$A$2:$A1001,Productos!BQ$2:BQ1001,"")*$G323,"")</f>
        <v/>
      </c>
      <c r="BY323" s="179" t="str">
        <f t="array" ref="BY323">IF($F323&lt;&gt;"",XLOOKUP($F323,Productos!$A:$A,Productos!BR:BR,"Revisar"),"")</f>
        <v/>
      </c>
      <c r="BZ323" s="179" t="str">
        <f t="array" ref="BZ323">IF($F323&lt;&gt;"", XLOOKUP($F323,Productos!$A$2:$A1001,Productos!BS$2:BS1001,"")*$G323,"")</f>
        <v/>
      </c>
    </row>
    <row r="324">
      <c r="A324" s="188"/>
      <c r="B324" s="189"/>
      <c r="C324" s="190"/>
      <c r="D324" s="190"/>
      <c r="E324" s="191"/>
      <c r="F324" s="186"/>
      <c r="G324" s="192"/>
      <c r="H324" s="9"/>
      <c r="I324" s="179" t="str">
        <f t="array" ref="I324">IF($F324&lt;&gt;"",XLOOKUP($F324,Productos!$A:$A,Productos!B:B,"Revisar"),"")</f>
        <v/>
      </c>
      <c r="J324" s="179" t="str">
        <f t="array" ref="J324">IF($F324&lt;&gt;"", XLOOKUP($F324,Productos!$A$2:$A1001,Productos!C$2:C1001,"")*$G324,"")</f>
        <v/>
      </c>
      <c r="K324" s="179" t="str">
        <f t="array" ref="K324">IF($F324&lt;&gt;"",XLOOKUP($F324,Productos!$A:$A,Productos!D:D,"Revisar"),"")</f>
        <v/>
      </c>
      <c r="L324" s="179" t="str">
        <f t="array" ref="L324">IF($F324&lt;&gt;"", XLOOKUP($F324,Productos!$A$2:$A1001,Productos!E$2:E1001,"")*$G324,"")</f>
        <v/>
      </c>
      <c r="M324" s="179" t="str">
        <f t="array" ref="M324">IF($F324&lt;&gt;"",XLOOKUP($F324,Productos!$A:$A,Productos!F:F,"Revisar"),"")</f>
        <v/>
      </c>
      <c r="N324" s="179" t="str">
        <f t="array" ref="N324">IF($F324&lt;&gt;"", XLOOKUP($F324,Productos!$A$2:$A1001,Productos!G$2:G1001,"")*$G324,"")</f>
        <v/>
      </c>
      <c r="O324" s="179" t="str">
        <f t="array" ref="O324">IF($F324&lt;&gt;"",XLOOKUP($F324,Productos!$A:$A,Productos!H:H,"Revisar"),"")</f>
        <v/>
      </c>
      <c r="P324" s="179" t="str">
        <f t="array" ref="P324">IF($F324&lt;&gt;"", XLOOKUP($F324,Productos!$A$2:$A1001,Productos!I$2:I1001,"")*$G324,"")</f>
        <v/>
      </c>
      <c r="Q324" s="179" t="str">
        <f t="array" ref="Q324">IF($F324&lt;&gt;"",XLOOKUP($F324,Productos!$A:$A,Productos!J:J,"Revisar"),"")</f>
        <v/>
      </c>
      <c r="R324" s="179" t="str">
        <f t="array" ref="R324">IF($F324&lt;&gt;"", XLOOKUP($F324,Productos!$A$2:$A1001,Productos!K$2:K1001,"")*$G324,"")</f>
        <v/>
      </c>
      <c r="S324" s="179" t="str">
        <f t="array" ref="S324">IF($F324&lt;&gt;"",XLOOKUP($F324,Productos!$A:$A,Productos!L:L,"Revisar"),"")</f>
        <v/>
      </c>
      <c r="T324" s="179" t="str">
        <f t="array" ref="T324">IF($F324&lt;&gt;"", XLOOKUP($F324,Productos!$A$2:$A1001,Productos!M$2:M1001,"")*$G324,"")</f>
        <v/>
      </c>
      <c r="U324" s="179" t="str">
        <f t="array" ref="U324">IF($F324&lt;&gt;"",XLOOKUP($F324,Productos!$A:$A,Productos!N:N,"Revisar"),"")</f>
        <v/>
      </c>
      <c r="V324" s="179" t="str">
        <f t="array" ref="V324">IF($F324&lt;&gt;"", XLOOKUP($F324,Productos!$A$2:$A1001,Productos!O$2:O1001,"")*$G324,"")</f>
        <v/>
      </c>
      <c r="W324" s="179" t="str">
        <f t="array" ref="W324">IF($F324&lt;&gt;"",XLOOKUP($F324,Productos!$A:$A,Productos!P:P,"Revisar"),"")</f>
        <v/>
      </c>
      <c r="X324" s="179" t="str">
        <f t="array" ref="X324">IF($F324&lt;&gt;"", XLOOKUP($F324,Productos!$A$2:$A1001,Productos!Q$2:Q1001,"")*$G324,"")</f>
        <v/>
      </c>
      <c r="Y324" s="179" t="str">
        <f t="array" ref="Y324">IF($F324&lt;&gt;"",XLOOKUP($F324,Productos!$A:$A,Productos!R:R,"Revisar"),"")</f>
        <v/>
      </c>
      <c r="Z324" s="179" t="str">
        <f t="array" ref="Z324">IF($F324&lt;&gt;"", XLOOKUP($F324,Productos!$A$2:$A1001,Productos!S$2:S1001,"")*$G324,"")</f>
        <v/>
      </c>
      <c r="AA324" s="179" t="str">
        <f t="array" ref="AA324">IF($F324&lt;&gt;"",XLOOKUP($F324,Productos!$A:$A,Productos!T:T,"Revisar"),"")</f>
        <v/>
      </c>
      <c r="AB324" s="179" t="str">
        <f t="array" ref="AB324">IF($F324&lt;&gt;"", XLOOKUP($F324,Productos!$A$2:$A1001,Productos!U$2:U1001,"")*$G324,"")</f>
        <v/>
      </c>
      <c r="AC324" s="179" t="str">
        <f t="array" ref="AC324">IF($F324&lt;&gt;"",XLOOKUP($F324,Productos!$A:$A,Productos!V:V,"Revisar"),"")</f>
        <v/>
      </c>
      <c r="AD324" s="179" t="str">
        <f t="array" ref="AD324">IF($F324&lt;&gt;"", XLOOKUP($F324,Productos!$A$2:$A1001,Productos!W$2:W1001,"")*$G324,"")</f>
        <v/>
      </c>
      <c r="AE324" s="179" t="str">
        <f t="array" ref="AE324">IF($F324&lt;&gt;"",XLOOKUP($F324,Productos!$A:$A,Productos!X:X,"Revisar"),"")</f>
        <v/>
      </c>
      <c r="AF324" s="179" t="str">
        <f t="array" ref="AF324">IF($F324&lt;&gt;"", XLOOKUP($F324,Productos!$A$2:$A1001,Productos!Y$2:Y1001,"")*$G324,"")</f>
        <v/>
      </c>
      <c r="AG324" s="179" t="str">
        <f t="array" ref="AG324">IF($F324&lt;&gt;"",XLOOKUP($F324,Productos!$A:$A,Productos!Z:Z,"Revisar"),"")</f>
        <v/>
      </c>
      <c r="AH324" s="179" t="str">
        <f t="array" ref="AH324">IF($F324&lt;&gt;"", XLOOKUP($F324,Productos!$A$2:$A1001,Productos!AA$2:AA1001,"")*$G324,"")</f>
        <v/>
      </c>
      <c r="AI324" s="179" t="str">
        <f t="array" ref="AI324">IF($F324&lt;&gt;"",XLOOKUP($F324,Productos!$A:$A,Productos!AB:AB,"Revisar"),"")</f>
        <v/>
      </c>
      <c r="AJ324" s="179" t="str">
        <f t="array" ref="AJ324">IF($F324&lt;&gt;"", XLOOKUP($F324,Productos!$A$2:$A1001,Productos!AC$2:AC1001,"")*$G324,"")</f>
        <v/>
      </c>
      <c r="AK324" s="179" t="str">
        <f t="array" ref="AK324">IF($F324&lt;&gt;"",XLOOKUP($F324,Productos!$A:$A,Productos!AD:AD,"Revisar"),"")</f>
        <v/>
      </c>
      <c r="AL324" s="179" t="str">
        <f t="array" ref="AL324">IF($F324&lt;&gt;"", XLOOKUP($F324,Productos!$A$2:$A1001,Productos!AE$2:AE1001,"")*$G324,"")</f>
        <v/>
      </c>
      <c r="AM324" s="179" t="str">
        <f t="array" ref="AM324">IF($F324&lt;&gt;"",XLOOKUP($F324,Productos!$A:$A,Productos!AF:AF,"Revisar"),"")</f>
        <v/>
      </c>
      <c r="AN324" s="179" t="str">
        <f t="array" ref="AN324">IF($F324&lt;&gt;"", XLOOKUP($F324,Productos!$A$2:$A1001,Productos!AG$2:AG1001,"")*$G324,"")</f>
        <v/>
      </c>
      <c r="AO324" s="179" t="str">
        <f t="array" ref="AO324">IF($F324&lt;&gt;"",XLOOKUP($F324,Productos!$A:$A,Productos!AH:AH,"Revisar"),"")</f>
        <v/>
      </c>
      <c r="AP324" s="179" t="str">
        <f t="array" ref="AP324">IF($F324&lt;&gt;"", XLOOKUP($F324,Productos!$A$2:$A1001,Productos!AI$2:AI1001,"")*$G324,"")</f>
        <v/>
      </c>
      <c r="AQ324" s="179" t="str">
        <f t="array" ref="AQ324">IF($F324&lt;&gt;"",XLOOKUP($F324,Productos!$A:$A,Productos!AJ:AJ,"Revisar"),"")</f>
        <v/>
      </c>
      <c r="AR324" s="179" t="str">
        <f t="array" ref="AR324">IF($F324&lt;&gt;"", XLOOKUP($F324,Productos!$A$2:$A1001,Productos!AK$2:AK1001,"")*$G324,"")</f>
        <v/>
      </c>
      <c r="AS324" s="179" t="str">
        <f t="array" ref="AS324">IF($F324&lt;&gt;"",XLOOKUP($F324,Productos!$A:$A,Productos!AL:AL,"Revisar"),"")</f>
        <v/>
      </c>
      <c r="AT324" s="179" t="str">
        <f t="array" ref="AT324">IF($F324&lt;&gt;"", XLOOKUP($F324,Productos!$A$2:$A1001,Productos!AM$2:AM1001,"")*$G324,"")</f>
        <v/>
      </c>
      <c r="AU324" s="179" t="str">
        <f t="array" ref="AU324">IF($F324&lt;&gt;"",XLOOKUP($F324,Productos!$A:$A,Productos!AN:AN,"Revisar"),"")</f>
        <v/>
      </c>
      <c r="AV324" s="179" t="str">
        <f t="array" ref="AV324">IF($F324&lt;&gt;"", XLOOKUP($F324,Productos!$A$2:$A1001,Productos!AO$2:AO1001,"")*$G324,"")</f>
        <v/>
      </c>
      <c r="AW324" s="179" t="str">
        <f t="array" ref="AW324">IF($F324&lt;&gt;"",XLOOKUP($F324,Productos!$A:$A,Productos!AP:AP,"Revisar"),"")</f>
        <v/>
      </c>
      <c r="AX324" s="179" t="str">
        <f t="array" ref="AX324">IF($F324&lt;&gt;"", XLOOKUP($F324,Productos!$A$2:$A1001,Productos!AQ$2:AQ1001,"")*$G324,"")</f>
        <v/>
      </c>
      <c r="AY324" s="179" t="str">
        <f t="array" ref="AY324">IF($F324&lt;&gt;"",XLOOKUP($F324,Productos!$A:$A,Productos!AR:AR,"Revisar"),"")</f>
        <v/>
      </c>
      <c r="AZ324" s="179" t="str">
        <f t="array" ref="AZ324">IF($F324&lt;&gt;"", XLOOKUP($F324,Productos!$A$2:$A1001,Productos!AS$2:AS1001,"")*$G324,"")</f>
        <v/>
      </c>
      <c r="BA324" s="179" t="str">
        <f t="array" ref="BA324">IF($F324&lt;&gt;"",XLOOKUP($F324,Productos!$A:$A,Productos!AT:AT,"Revisar"),"")</f>
        <v/>
      </c>
      <c r="BB324" s="179" t="str">
        <f t="array" ref="BB324">IF($F324&lt;&gt;"", XLOOKUP($F324,Productos!$A$2:$A1001,Productos!AU$2:AU1001,"")*$G324,"")</f>
        <v/>
      </c>
      <c r="BC324" s="179" t="str">
        <f t="array" ref="BC324">IF($F324&lt;&gt;"",XLOOKUP($F324,Productos!$A:$A,Productos!AV:AV,"Revisar"),"")</f>
        <v/>
      </c>
      <c r="BD324" s="179" t="str">
        <f t="array" ref="BD324">IF($F324&lt;&gt;"", XLOOKUP($F324,Productos!$A$2:$A1001,Productos!AW$2:AW1001,"")*$G324,"")</f>
        <v/>
      </c>
      <c r="BE324" s="179" t="str">
        <f t="array" ref="BE324">IF($F324&lt;&gt;"",XLOOKUP($F324,Productos!$A:$A,Productos!AX:AX,"Revisar"),"")</f>
        <v/>
      </c>
      <c r="BF324" s="179" t="str">
        <f t="array" ref="BF324">IF($F324&lt;&gt;"", XLOOKUP($F324,Productos!$A$2:$A1001,Productos!AY$2:AY1001,"")*$G324,"")</f>
        <v/>
      </c>
      <c r="BG324" s="179" t="str">
        <f t="array" ref="BG324">IF($F324&lt;&gt;"",XLOOKUP($F324,Productos!$A:$A,Productos!AZ:AZ,"Revisar"),"")</f>
        <v/>
      </c>
      <c r="BH324" s="179" t="str">
        <f t="array" ref="BH324">IF($F324&lt;&gt;"", XLOOKUP($F324,Productos!$A$2:$A1001,Productos!BA$2:BA1001,"")*$G324,"")</f>
        <v/>
      </c>
      <c r="BI324" s="179" t="str">
        <f t="array" ref="BI324">IF($F324&lt;&gt;"",XLOOKUP($F324,Productos!$A:$A,Productos!BB:BB,"Revisar"),"")</f>
        <v/>
      </c>
      <c r="BJ324" s="179" t="str">
        <f t="array" ref="BJ324">IF($F324&lt;&gt;"", XLOOKUP($F324,Productos!$A$2:$A1001,Productos!BC$2:BC1001,"")*$G324,"")</f>
        <v/>
      </c>
      <c r="BK324" s="179" t="str">
        <f t="array" ref="BK324">IF($F324&lt;&gt;"",XLOOKUP($F324,Productos!$A:$A,Productos!BD:BD,"Revisar"),"")</f>
        <v/>
      </c>
      <c r="BL324" s="179" t="str">
        <f t="array" ref="BL324">IF($F324&lt;&gt;"", XLOOKUP($F324,Productos!$A$2:$A1001,Productos!BE$2:BE1001,"")*$G324,"")</f>
        <v/>
      </c>
      <c r="BM324" s="179" t="str">
        <f t="array" ref="BM324">IF($F324&lt;&gt;"",XLOOKUP($F324,Productos!$A:$A,Productos!BF:BF,"Revisar"),"")</f>
        <v/>
      </c>
      <c r="BN324" s="179" t="str">
        <f t="array" ref="BN324">IF($F324&lt;&gt;"", XLOOKUP($F324,Productos!$A$2:$A1001,Productos!BG$2:BG1001,"")*$G324,"")</f>
        <v/>
      </c>
      <c r="BO324" s="179" t="str">
        <f t="array" ref="BO324">IF($F324&lt;&gt;"",XLOOKUP($F324,Productos!$A:$A,Productos!BH:BH,"Revisar"),"")</f>
        <v/>
      </c>
      <c r="BP324" s="179" t="str">
        <f t="array" ref="BP324">IF($F324&lt;&gt;"", XLOOKUP($F324,Productos!$A$2:$A1001,Productos!BI$2:BI1001,"")*$G324,"")</f>
        <v/>
      </c>
      <c r="BQ324" s="179" t="str">
        <f t="array" ref="BQ324">IF($F324&lt;&gt;"",XLOOKUP($F324,Productos!$A:$A,Productos!BJ:BJ,"Revisar"),"")</f>
        <v/>
      </c>
      <c r="BR324" s="179" t="str">
        <f t="array" ref="BR324">IF($F324&lt;&gt;"", XLOOKUP($F324,Productos!$A$2:$A1001,Productos!BK$2:BK1001,"")*$G324,"")</f>
        <v/>
      </c>
      <c r="BS324" s="179" t="str">
        <f t="array" ref="BS324">IF($F324&lt;&gt;"",XLOOKUP($F324,Productos!$A:$A,Productos!BL:BL,"Revisar"),"")</f>
        <v/>
      </c>
      <c r="BT324" s="179" t="str">
        <f t="array" ref="BT324">IF($F324&lt;&gt;"", XLOOKUP($F324,Productos!$A$2:$A1001,Productos!BM$2:BM1001,"")*$G324,"")</f>
        <v/>
      </c>
      <c r="BU324" s="179" t="str">
        <f t="array" ref="BU324">IF($F324&lt;&gt;"",XLOOKUP($F324,Productos!$A:$A,Productos!BN:BN,"Revisar"),"")</f>
        <v/>
      </c>
      <c r="BV324" s="179" t="str">
        <f t="array" ref="BV324">IF($F324&lt;&gt;"", XLOOKUP($F324,Productos!$A$2:$A1001,Productos!BO$2:BO1001,"")*$G324,"")</f>
        <v/>
      </c>
      <c r="BW324" s="179" t="str">
        <f t="array" ref="BW324">IF($F324&lt;&gt;"",XLOOKUP($F324,Productos!$A:$A,Productos!BP:BP,"Revisar"),"")</f>
        <v/>
      </c>
      <c r="BX324" s="179" t="str">
        <f t="array" ref="BX324">IF($F324&lt;&gt;"", XLOOKUP($F324,Productos!$A$2:$A1001,Productos!BQ$2:BQ1001,"")*$G324,"")</f>
        <v/>
      </c>
      <c r="BY324" s="179" t="str">
        <f t="array" ref="BY324">IF($F324&lt;&gt;"",XLOOKUP($F324,Productos!$A:$A,Productos!BR:BR,"Revisar"),"")</f>
        <v/>
      </c>
      <c r="BZ324" s="179" t="str">
        <f t="array" ref="BZ324">IF($F324&lt;&gt;"", XLOOKUP($F324,Productos!$A$2:$A1001,Productos!BS$2:BS1001,"")*$G324,"")</f>
        <v/>
      </c>
    </row>
    <row r="325">
      <c r="A325" s="188"/>
      <c r="B325" s="189"/>
      <c r="C325" s="190"/>
      <c r="D325" s="190"/>
      <c r="E325" s="191"/>
      <c r="F325" s="186"/>
      <c r="G325" s="192"/>
      <c r="H325" s="9"/>
      <c r="I325" s="179" t="str">
        <f t="array" ref="I325">IF($F325&lt;&gt;"",XLOOKUP($F325,Productos!$A:$A,Productos!B:B,"Revisar"),"")</f>
        <v/>
      </c>
      <c r="J325" s="179" t="str">
        <f t="array" ref="J325">IF($F325&lt;&gt;"", XLOOKUP($F325,Productos!$A$2:$A1001,Productos!C$2:C1001,"")*$G325,"")</f>
        <v/>
      </c>
      <c r="K325" s="179" t="str">
        <f t="array" ref="K325">IF($F325&lt;&gt;"",XLOOKUP($F325,Productos!$A:$A,Productos!D:D,"Revisar"),"")</f>
        <v/>
      </c>
      <c r="L325" s="179" t="str">
        <f t="array" ref="L325">IF($F325&lt;&gt;"", XLOOKUP($F325,Productos!$A$2:$A1001,Productos!E$2:E1001,"")*$G325,"")</f>
        <v/>
      </c>
      <c r="M325" s="179" t="str">
        <f t="array" ref="M325">IF($F325&lt;&gt;"",XLOOKUP($F325,Productos!$A:$A,Productos!F:F,"Revisar"),"")</f>
        <v/>
      </c>
      <c r="N325" s="179" t="str">
        <f t="array" ref="N325">IF($F325&lt;&gt;"", XLOOKUP($F325,Productos!$A$2:$A1001,Productos!G$2:G1001,"")*$G325,"")</f>
        <v/>
      </c>
      <c r="O325" s="179" t="str">
        <f t="array" ref="O325">IF($F325&lt;&gt;"",XLOOKUP($F325,Productos!$A:$A,Productos!H:H,"Revisar"),"")</f>
        <v/>
      </c>
      <c r="P325" s="179" t="str">
        <f t="array" ref="P325">IF($F325&lt;&gt;"", XLOOKUP($F325,Productos!$A$2:$A1001,Productos!I$2:I1001,"")*$G325,"")</f>
        <v/>
      </c>
      <c r="Q325" s="179" t="str">
        <f t="array" ref="Q325">IF($F325&lt;&gt;"",XLOOKUP($F325,Productos!$A:$A,Productos!J:J,"Revisar"),"")</f>
        <v/>
      </c>
      <c r="R325" s="179" t="str">
        <f t="array" ref="R325">IF($F325&lt;&gt;"", XLOOKUP($F325,Productos!$A$2:$A1001,Productos!K$2:K1001,"")*$G325,"")</f>
        <v/>
      </c>
      <c r="S325" s="179" t="str">
        <f t="array" ref="S325">IF($F325&lt;&gt;"",XLOOKUP($F325,Productos!$A:$A,Productos!L:L,"Revisar"),"")</f>
        <v/>
      </c>
      <c r="T325" s="179" t="str">
        <f t="array" ref="T325">IF($F325&lt;&gt;"", XLOOKUP($F325,Productos!$A$2:$A1001,Productos!M$2:M1001,"")*$G325,"")</f>
        <v/>
      </c>
      <c r="U325" s="179" t="str">
        <f t="array" ref="U325">IF($F325&lt;&gt;"",XLOOKUP($F325,Productos!$A:$A,Productos!N:N,"Revisar"),"")</f>
        <v/>
      </c>
      <c r="V325" s="179" t="str">
        <f t="array" ref="V325">IF($F325&lt;&gt;"", XLOOKUP($F325,Productos!$A$2:$A1001,Productos!O$2:O1001,"")*$G325,"")</f>
        <v/>
      </c>
      <c r="W325" s="179" t="str">
        <f t="array" ref="W325">IF($F325&lt;&gt;"",XLOOKUP($F325,Productos!$A:$A,Productos!P:P,"Revisar"),"")</f>
        <v/>
      </c>
      <c r="X325" s="179" t="str">
        <f t="array" ref="X325">IF($F325&lt;&gt;"", XLOOKUP($F325,Productos!$A$2:$A1001,Productos!Q$2:Q1001,"")*$G325,"")</f>
        <v/>
      </c>
      <c r="Y325" s="179" t="str">
        <f t="array" ref="Y325">IF($F325&lt;&gt;"",XLOOKUP($F325,Productos!$A:$A,Productos!R:R,"Revisar"),"")</f>
        <v/>
      </c>
      <c r="Z325" s="179" t="str">
        <f t="array" ref="Z325">IF($F325&lt;&gt;"", XLOOKUP($F325,Productos!$A$2:$A1001,Productos!S$2:S1001,"")*$G325,"")</f>
        <v/>
      </c>
      <c r="AA325" s="179" t="str">
        <f t="array" ref="AA325">IF($F325&lt;&gt;"",XLOOKUP($F325,Productos!$A:$A,Productos!T:T,"Revisar"),"")</f>
        <v/>
      </c>
      <c r="AB325" s="179" t="str">
        <f t="array" ref="AB325">IF($F325&lt;&gt;"", XLOOKUP($F325,Productos!$A$2:$A1001,Productos!U$2:U1001,"")*$G325,"")</f>
        <v/>
      </c>
      <c r="AC325" s="179" t="str">
        <f t="array" ref="AC325">IF($F325&lt;&gt;"",XLOOKUP($F325,Productos!$A:$A,Productos!V:V,"Revisar"),"")</f>
        <v/>
      </c>
      <c r="AD325" s="179" t="str">
        <f t="array" ref="AD325">IF($F325&lt;&gt;"", XLOOKUP($F325,Productos!$A$2:$A1001,Productos!W$2:W1001,"")*$G325,"")</f>
        <v/>
      </c>
      <c r="AE325" s="179" t="str">
        <f t="array" ref="AE325">IF($F325&lt;&gt;"",XLOOKUP($F325,Productos!$A:$A,Productos!X:X,"Revisar"),"")</f>
        <v/>
      </c>
      <c r="AF325" s="179" t="str">
        <f t="array" ref="AF325">IF($F325&lt;&gt;"", XLOOKUP($F325,Productos!$A$2:$A1001,Productos!Y$2:Y1001,"")*$G325,"")</f>
        <v/>
      </c>
      <c r="AG325" s="179" t="str">
        <f t="array" ref="AG325">IF($F325&lt;&gt;"",XLOOKUP($F325,Productos!$A:$A,Productos!Z:Z,"Revisar"),"")</f>
        <v/>
      </c>
      <c r="AH325" s="179" t="str">
        <f t="array" ref="AH325">IF($F325&lt;&gt;"", XLOOKUP($F325,Productos!$A$2:$A1001,Productos!AA$2:AA1001,"")*$G325,"")</f>
        <v/>
      </c>
      <c r="AI325" s="179" t="str">
        <f t="array" ref="AI325">IF($F325&lt;&gt;"",XLOOKUP($F325,Productos!$A:$A,Productos!AB:AB,"Revisar"),"")</f>
        <v/>
      </c>
      <c r="AJ325" s="179" t="str">
        <f t="array" ref="AJ325">IF($F325&lt;&gt;"", XLOOKUP($F325,Productos!$A$2:$A1001,Productos!AC$2:AC1001,"")*$G325,"")</f>
        <v/>
      </c>
      <c r="AK325" s="179" t="str">
        <f t="array" ref="AK325">IF($F325&lt;&gt;"",XLOOKUP($F325,Productos!$A:$A,Productos!AD:AD,"Revisar"),"")</f>
        <v/>
      </c>
      <c r="AL325" s="179" t="str">
        <f t="array" ref="AL325">IF($F325&lt;&gt;"", XLOOKUP($F325,Productos!$A$2:$A1001,Productos!AE$2:AE1001,"")*$G325,"")</f>
        <v/>
      </c>
      <c r="AM325" s="179" t="str">
        <f t="array" ref="AM325">IF($F325&lt;&gt;"",XLOOKUP($F325,Productos!$A:$A,Productos!AF:AF,"Revisar"),"")</f>
        <v/>
      </c>
      <c r="AN325" s="179" t="str">
        <f t="array" ref="AN325">IF($F325&lt;&gt;"", XLOOKUP($F325,Productos!$A$2:$A1001,Productos!AG$2:AG1001,"")*$G325,"")</f>
        <v/>
      </c>
      <c r="AO325" s="179" t="str">
        <f t="array" ref="AO325">IF($F325&lt;&gt;"",XLOOKUP($F325,Productos!$A:$A,Productos!AH:AH,"Revisar"),"")</f>
        <v/>
      </c>
      <c r="AP325" s="179" t="str">
        <f t="array" ref="AP325">IF($F325&lt;&gt;"", XLOOKUP($F325,Productos!$A$2:$A1001,Productos!AI$2:AI1001,"")*$G325,"")</f>
        <v/>
      </c>
      <c r="AQ325" s="179" t="str">
        <f t="array" ref="AQ325">IF($F325&lt;&gt;"",XLOOKUP($F325,Productos!$A:$A,Productos!AJ:AJ,"Revisar"),"")</f>
        <v/>
      </c>
      <c r="AR325" s="179" t="str">
        <f t="array" ref="AR325">IF($F325&lt;&gt;"", XLOOKUP($F325,Productos!$A$2:$A1001,Productos!AK$2:AK1001,"")*$G325,"")</f>
        <v/>
      </c>
      <c r="AS325" s="179" t="str">
        <f t="array" ref="AS325">IF($F325&lt;&gt;"",XLOOKUP($F325,Productos!$A:$A,Productos!AL:AL,"Revisar"),"")</f>
        <v/>
      </c>
      <c r="AT325" s="179" t="str">
        <f t="array" ref="AT325">IF($F325&lt;&gt;"", XLOOKUP($F325,Productos!$A$2:$A1001,Productos!AM$2:AM1001,"")*$G325,"")</f>
        <v/>
      </c>
      <c r="AU325" s="179" t="str">
        <f t="array" ref="AU325">IF($F325&lt;&gt;"",XLOOKUP($F325,Productos!$A:$A,Productos!AN:AN,"Revisar"),"")</f>
        <v/>
      </c>
      <c r="AV325" s="179" t="str">
        <f t="array" ref="AV325">IF($F325&lt;&gt;"", XLOOKUP($F325,Productos!$A$2:$A1001,Productos!AO$2:AO1001,"")*$G325,"")</f>
        <v/>
      </c>
      <c r="AW325" s="179" t="str">
        <f t="array" ref="AW325">IF($F325&lt;&gt;"",XLOOKUP($F325,Productos!$A:$A,Productos!AP:AP,"Revisar"),"")</f>
        <v/>
      </c>
      <c r="AX325" s="179" t="str">
        <f t="array" ref="AX325">IF($F325&lt;&gt;"", XLOOKUP($F325,Productos!$A$2:$A1001,Productos!AQ$2:AQ1001,"")*$G325,"")</f>
        <v/>
      </c>
      <c r="AY325" s="179" t="str">
        <f t="array" ref="AY325">IF($F325&lt;&gt;"",XLOOKUP($F325,Productos!$A:$A,Productos!AR:AR,"Revisar"),"")</f>
        <v/>
      </c>
      <c r="AZ325" s="179" t="str">
        <f t="array" ref="AZ325">IF($F325&lt;&gt;"", XLOOKUP($F325,Productos!$A$2:$A1001,Productos!AS$2:AS1001,"")*$G325,"")</f>
        <v/>
      </c>
      <c r="BA325" s="179" t="str">
        <f t="array" ref="BA325">IF($F325&lt;&gt;"",XLOOKUP($F325,Productos!$A:$A,Productos!AT:AT,"Revisar"),"")</f>
        <v/>
      </c>
      <c r="BB325" s="179" t="str">
        <f t="array" ref="BB325">IF($F325&lt;&gt;"", XLOOKUP($F325,Productos!$A$2:$A1001,Productos!AU$2:AU1001,"")*$G325,"")</f>
        <v/>
      </c>
      <c r="BC325" s="179" t="str">
        <f t="array" ref="BC325">IF($F325&lt;&gt;"",XLOOKUP($F325,Productos!$A:$A,Productos!AV:AV,"Revisar"),"")</f>
        <v/>
      </c>
      <c r="BD325" s="179" t="str">
        <f t="array" ref="BD325">IF($F325&lt;&gt;"", XLOOKUP($F325,Productos!$A$2:$A1001,Productos!AW$2:AW1001,"")*$G325,"")</f>
        <v/>
      </c>
      <c r="BE325" s="179" t="str">
        <f t="array" ref="BE325">IF($F325&lt;&gt;"",XLOOKUP($F325,Productos!$A:$A,Productos!AX:AX,"Revisar"),"")</f>
        <v/>
      </c>
      <c r="BF325" s="179" t="str">
        <f t="array" ref="BF325">IF($F325&lt;&gt;"", XLOOKUP($F325,Productos!$A$2:$A1001,Productos!AY$2:AY1001,"")*$G325,"")</f>
        <v/>
      </c>
      <c r="BG325" s="179" t="str">
        <f t="array" ref="BG325">IF($F325&lt;&gt;"",XLOOKUP($F325,Productos!$A:$A,Productos!AZ:AZ,"Revisar"),"")</f>
        <v/>
      </c>
      <c r="BH325" s="179" t="str">
        <f t="array" ref="BH325">IF($F325&lt;&gt;"", XLOOKUP($F325,Productos!$A$2:$A1001,Productos!BA$2:BA1001,"")*$G325,"")</f>
        <v/>
      </c>
      <c r="BI325" s="179" t="str">
        <f t="array" ref="BI325">IF($F325&lt;&gt;"",XLOOKUP($F325,Productos!$A:$A,Productos!BB:BB,"Revisar"),"")</f>
        <v/>
      </c>
      <c r="BJ325" s="179" t="str">
        <f t="array" ref="BJ325">IF($F325&lt;&gt;"", XLOOKUP($F325,Productos!$A$2:$A1001,Productos!BC$2:BC1001,"")*$G325,"")</f>
        <v/>
      </c>
      <c r="BK325" s="179" t="str">
        <f t="array" ref="BK325">IF($F325&lt;&gt;"",XLOOKUP($F325,Productos!$A:$A,Productos!BD:BD,"Revisar"),"")</f>
        <v/>
      </c>
      <c r="BL325" s="179" t="str">
        <f t="array" ref="BL325">IF($F325&lt;&gt;"", XLOOKUP($F325,Productos!$A$2:$A1001,Productos!BE$2:BE1001,"")*$G325,"")</f>
        <v/>
      </c>
      <c r="BM325" s="179" t="str">
        <f t="array" ref="BM325">IF($F325&lt;&gt;"",XLOOKUP($F325,Productos!$A:$A,Productos!BF:BF,"Revisar"),"")</f>
        <v/>
      </c>
      <c r="BN325" s="179" t="str">
        <f t="array" ref="BN325">IF($F325&lt;&gt;"", XLOOKUP($F325,Productos!$A$2:$A1001,Productos!BG$2:BG1001,"")*$G325,"")</f>
        <v/>
      </c>
      <c r="BO325" s="179" t="str">
        <f t="array" ref="BO325">IF($F325&lt;&gt;"",XLOOKUP($F325,Productos!$A:$A,Productos!BH:BH,"Revisar"),"")</f>
        <v/>
      </c>
      <c r="BP325" s="179" t="str">
        <f t="array" ref="BP325">IF($F325&lt;&gt;"", XLOOKUP($F325,Productos!$A$2:$A1001,Productos!BI$2:BI1001,"")*$G325,"")</f>
        <v/>
      </c>
      <c r="BQ325" s="179" t="str">
        <f t="array" ref="BQ325">IF($F325&lt;&gt;"",XLOOKUP($F325,Productos!$A:$A,Productos!BJ:BJ,"Revisar"),"")</f>
        <v/>
      </c>
      <c r="BR325" s="179" t="str">
        <f t="array" ref="BR325">IF($F325&lt;&gt;"", XLOOKUP($F325,Productos!$A$2:$A1001,Productos!BK$2:BK1001,"")*$G325,"")</f>
        <v/>
      </c>
      <c r="BS325" s="179" t="str">
        <f t="array" ref="BS325">IF($F325&lt;&gt;"",XLOOKUP($F325,Productos!$A:$A,Productos!BL:BL,"Revisar"),"")</f>
        <v/>
      </c>
      <c r="BT325" s="179" t="str">
        <f t="array" ref="BT325">IF($F325&lt;&gt;"", XLOOKUP($F325,Productos!$A$2:$A1001,Productos!BM$2:BM1001,"")*$G325,"")</f>
        <v/>
      </c>
      <c r="BU325" s="179" t="str">
        <f t="array" ref="BU325">IF($F325&lt;&gt;"",XLOOKUP($F325,Productos!$A:$A,Productos!BN:BN,"Revisar"),"")</f>
        <v/>
      </c>
      <c r="BV325" s="179" t="str">
        <f t="array" ref="BV325">IF($F325&lt;&gt;"", XLOOKUP($F325,Productos!$A$2:$A1001,Productos!BO$2:BO1001,"")*$G325,"")</f>
        <v/>
      </c>
      <c r="BW325" s="179" t="str">
        <f t="array" ref="BW325">IF($F325&lt;&gt;"",XLOOKUP($F325,Productos!$A:$A,Productos!BP:BP,"Revisar"),"")</f>
        <v/>
      </c>
      <c r="BX325" s="179" t="str">
        <f t="array" ref="BX325">IF($F325&lt;&gt;"", XLOOKUP($F325,Productos!$A$2:$A1001,Productos!BQ$2:BQ1001,"")*$G325,"")</f>
        <v/>
      </c>
      <c r="BY325" s="179" t="str">
        <f t="array" ref="BY325">IF($F325&lt;&gt;"",XLOOKUP($F325,Productos!$A:$A,Productos!BR:BR,"Revisar"),"")</f>
        <v/>
      </c>
      <c r="BZ325" s="179" t="str">
        <f t="array" ref="BZ325">IF($F325&lt;&gt;"", XLOOKUP($F325,Productos!$A$2:$A1001,Productos!BS$2:BS1001,"")*$G325,"")</f>
        <v/>
      </c>
    </row>
    <row r="326">
      <c r="A326" s="188"/>
      <c r="B326" s="189"/>
      <c r="C326" s="190"/>
      <c r="D326" s="190"/>
      <c r="E326" s="191"/>
      <c r="F326" s="186"/>
      <c r="G326" s="192"/>
      <c r="H326" s="9"/>
      <c r="I326" s="179" t="str">
        <f t="array" ref="I326">IF($F326&lt;&gt;"",XLOOKUP($F326,Productos!$A:$A,Productos!B:B,"Revisar"),"")</f>
        <v/>
      </c>
      <c r="J326" s="179" t="str">
        <f t="array" ref="J326">IF($F326&lt;&gt;"", XLOOKUP($F326,Productos!$A$2:$A1001,Productos!C$2:C1001,"")*$G326,"")</f>
        <v/>
      </c>
      <c r="K326" s="179" t="str">
        <f t="array" ref="K326">IF($F326&lt;&gt;"",XLOOKUP($F326,Productos!$A:$A,Productos!D:D,"Revisar"),"")</f>
        <v/>
      </c>
      <c r="L326" s="179" t="str">
        <f t="array" ref="L326">IF($F326&lt;&gt;"", XLOOKUP($F326,Productos!$A$2:$A1001,Productos!E$2:E1001,"")*$G326,"")</f>
        <v/>
      </c>
      <c r="M326" s="179" t="str">
        <f t="array" ref="M326">IF($F326&lt;&gt;"",XLOOKUP($F326,Productos!$A:$A,Productos!F:F,"Revisar"),"")</f>
        <v/>
      </c>
      <c r="N326" s="179" t="str">
        <f t="array" ref="N326">IF($F326&lt;&gt;"", XLOOKUP($F326,Productos!$A$2:$A1001,Productos!G$2:G1001,"")*$G326,"")</f>
        <v/>
      </c>
      <c r="O326" s="179" t="str">
        <f t="array" ref="O326">IF($F326&lt;&gt;"",XLOOKUP($F326,Productos!$A:$A,Productos!H:H,"Revisar"),"")</f>
        <v/>
      </c>
      <c r="P326" s="179" t="str">
        <f t="array" ref="P326">IF($F326&lt;&gt;"", XLOOKUP($F326,Productos!$A$2:$A1001,Productos!I$2:I1001,"")*$G326,"")</f>
        <v/>
      </c>
      <c r="Q326" s="179" t="str">
        <f t="array" ref="Q326">IF($F326&lt;&gt;"",XLOOKUP($F326,Productos!$A:$A,Productos!J:J,"Revisar"),"")</f>
        <v/>
      </c>
      <c r="R326" s="179" t="str">
        <f t="array" ref="R326">IF($F326&lt;&gt;"", XLOOKUP($F326,Productos!$A$2:$A1001,Productos!K$2:K1001,"")*$G326,"")</f>
        <v/>
      </c>
      <c r="S326" s="179" t="str">
        <f t="array" ref="S326">IF($F326&lt;&gt;"",XLOOKUP($F326,Productos!$A:$A,Productos!L:L,"Revisar"),"")</f>
        <v/>
      </c>
      <c r="T326" s="179" t="str">
        <f t="array" ref="T326">IF($F326&lt;&gt;"", XLOOKUP($F326,Productos!$A$2:$A1001,Productos!M$2:M1001,"")*$G326,"")</f>
        <v/>
      </c>
      <c r="U326" s="179" t="str">
        <f t="array" ref="U326">IF($F326&lt;&gt;"",XLOOKUP($F326,Productos!$A:$A,Productos!N:N,"Revisar"),"")</f>
        <v/>
      </c>
      <c r="V326" s="179" t="str">
        <f t="array" ref="V326">IF($F326&lt;&gt;"", XLOOKUP($F326,Productos!$A$2:$A1001,Productos!O$2:O1001,"")*$G326,"")</f>
        <v/>
      </c>
      <c r="W326" s="179" t="str">
        <f t="array" ref="W326">IF($F326&lt;&gt;"",XLOOKUP($F326,Productos!$A:$A,Productos!P:P,"Revisar"),"")</f>
        <v/>
      </c>
      <c r="X326" s="179" t="str">
        <f t="array" ref="X326">IF($F326&lt;&gt;"", XLOOKUP($F326,Productos!$A$2:$A1001,Productos!Q$2:Q1001,"")*$G326,"")</f>
        <v/>
      </c>
      <c r="Y326" s="179" t="str">
        <f t="array" ref="Y326">IF($F326&lt;&gt;"",XLOOKUP($F326,Productos!$A:$A,Productos!R:R,"Revisar"),"")</f>
        <v/>
      </c>
      <c r="Z326" s="179" t="str">
        <f t="array" ref="Z326">IF($F326&lt;&gt;"", XLOOKUP($F326,Productos!$A$2:$A1001,Productos!S$2:S1001,"")*$G326,"")</f>
        <v/>
      </c>
      <c r="AA326" s="179" t="str">
        <f t="array" ref="AA326">IF($F326&lt;&gt;"",XLOOKUP($F326,Productos!$A:$A,Productos!T:T,"Revisar"),"")</f>
        <v/>
      </c>
      <c r="AB326" s="179" t="str">
        <f t="array" ref="AB326">IF($F326&lt;&gt;"", XLOOKUP($F326,Productos!$A$2:$A1001,Productos!U$2:U1001,"")*$G326,"")</f>
        <v/>
      </c>
      <c r="AC326" s="179" t="str">
        <f t="array" ref="AC326">IF($F326&lt;&gt;"",XLOOKUP($F326,Productos!$A:$A,Productos!V:V,"Revisar"),"")</f>
        <v/>
      </c>
      <c r="AD326" s="179" t="str">
        <f t="array" ref="AD326">IF($F326&lt;&gt;"", XLOOKUP($F326,Productos!$A$2:$A1001,Productos!W$2:W1001,"")*$G326,"")</f>
        <v/>
      </c>
      <c r="AE326" s="179" t="str">
        <f t="array" ref="AE326">IF($F326&lt;&gt;"",XLOOKUP($F326,Productos!$A:$A,Productos!X:X,"Revisar"),"")</f>
        <v/>
      </c>
      <c r="AF326" s="179" t="str">
        <f t="array" ref="AF326">IF($F326&lt;&gt;"", XLOOKUP($F326,Productos!$A$2:$A1001,Productos!Y$2:Y1001,"")*$G326,"")</f>
        <v/>
      </c>
      <c r="AG326" s="179" t="str">
        <f t="array" ref="AG326">IF($F326&lt;&gt;"",XLOOKUP($F326,Productos!$A:$A,Productos!Z:Z,"Revisar"),"")</f>
        <v/>
      </c>
      <c r="AH326" s="179" t="str">
        <f t="array" ref="AH326">IF($F326&lt;&gt;"", XLOOKUP($F326,Productos!$A$2:$A1001,Productos!AA$2:AA1001,"")*$G326,"")</f>
        <v/>
      </c>
      <c r="AI326" s="179" t="str">
        <f t="array" ref="AI326">IF($F326&lt;&gt;"",XLOOKUP($F326,Productos!$A:$A,Productos!AB:AB,"Revisar"),"")</f>
        <v/>
      </c>
      <c r="AJ326" s="179" t="str">
        <f t="array" ref="AJ326">IF($F326&lt;&gt;"", XLOOKUP($F326,Productos!$A$2:$A1001,Productos!AC$2:AC1001,"")*$G326,"")</f>
        <v/>
      </c>
      <c r="AK326" s="179" t="str">
        <f t="array" ref="AK326">IF($F326&lt;&gt;"",XLOOKUP($F326,Productos!$A:$A,Productos!AD:AD,"Revisar"),"")</f>
        <v/>
      </c>
      <c r="AL326" s="179" t="str">
        <f t="array" ref="AL326">IF($F326&lt;&gt;"", XLOOKUP($F326,Productos!$A$2:$A1001,Productos!AE$2:AE1001,"")*$G326,"")</f>
        <v/>
      </c>
      <c r="AM326" s="179" t="str">
        <f t="array" ref="AM326">IF($F326&lt;&gt;"",XLOOKUP($F326,Productos!$A:$A,Productos!AF:AF,"Revisar"),"")</f>
        <v/>
      </c>
      <c r="AN326" s="179" t="str">
        <f t="array" ref="AN326">IF($F326&lt;&gt;"", XLOOKUP($F326,Productos!$A$2:$A1001,Productos!AG$2:AG1001,"")*$G326,"")</f>
        <v/>
      </c>
      <c r="AO326" s="179" t="str">
        <f t="array" ref="AO326">IF($F326&lt;&gt;"",XLOOKUP($F326,Productos!$A:$A,Productos!AH:AH,"Revisar"),"")</f>
        <v/>
      </c>
      <c r="AP326" s="179" t="str">
        <f t="array" ref="AP326">IF($F326&lt;&gt;"", XLOOKUP($F326,Productos!$A$2:$A1001,Productos!AI$2:AI1001,"")*$G326,"")</f>
        <v/>
      </c>
      <c r="AQ326" s="179" t="str">
        <f t="array" ref="AQ326">IF($F326&lt;&gt;"",XLOOKUP($F326,Productos!$A:$A,Productos!AJ:AJ,"Revisar"),"")</f>
        <v/>
      </c>
      <c r="AR326" s="179" t="str">
        <f t="array" ref="AR326">IF($F326&lt;&gt;"", XLOOKUP($F326,Productos!$A$2:$A1001,Productos!AK$2:AK1001,"")*$G326,"")</f>
        <v/>
      </c>
      <c r="AS326" s="179" t="str">
        <f t="array" ref="AS326">IF($F326&lt;&gt;"",XLOOKUP($F326,Productos!$A:$A,Productos!AL:AL,"Revisar"),"")</f>
        <v/>
      </c>
      <c r="AT326" s="179" t="str">
        <f t="array" ref="AT326">IF($F326&lt;&gt;"", XLOOKUP($F326,Productos!$A$2:$A1001,Productos!AM$2:AM1001,"")*$G326,"")</f>
        <v/>
      </c>
      <c r="AU326" s="179" t="str">
        <f t="array" ref="AU326">IF($F326&lt;&gt;"",XLOOKUP($F326,Productos!$A:$A,Productos!AN:AN,"Revisar"),"")</f>
        <v/>
      </c>
      <c r="AV326" s="179" t="str">
        <f t="array" ref="AV326">IF($F326&lt;&gt;"", XLOOKUP($F326,Productos!$A$2:$A1001,Productos!AO$2:AO1001,"")*$G326,"")</f>
        <v/>
      </c>
      <c r="AW326" s="179" t="str">
        <f t="array" ref="AW326">IF($F326&lt;&gt;"",XLOOKUP($F326,Productos!$A:$A,Productos!AP:AP,"Revisar"),"")</f>
        <v/>
      </c>
      <c r="AX326" s="179" t="str">
        <f t="array" ref="AX326">IF($F326&lt;&gt;"", XLOOKUP($F326,Productos!$A$2:$A1001,Productos!AQ$2:AQ1001,"")*$G326,"")</f>
        <v/>
      </c>
      <c r="AY326" s="179" t="str">
        <f t="array" ref="AY326">IF($F326&lt;&gt;"",XLOOKUP($F326,Productos!$A:$A,Productos!AR:AR,"Revisar"),"")</f>
        <v/>
      </c>
      <c r="AZ326" s="179" t="str">
        <f t="array" ref="AZ326">IF($F326&lt;&gt;"", XLOOKUP($F326,Productos!$A$2:$A1001,Productos!AS$2:AS1001,"")*$G326,"")</f>
        <v/>
      </c>
      <c r="BA326" s="179" t="str">
        <f t="array" ref="BA326">IF($F326&lt;&gt;"",XLOOKUP($F326,Productos!$A:$A,Productos!AT:AT,"Revisar"),"")</f>
        <v/>
      </c>
      <c r="BB326" s="179" t="str">
        <f t="array" ref="BB326">IF($F326&lt;&gt;"", XLOOKUP($F326,Productos!$A$2:$A1001,Productos!AU$2:AU1001,"")*$G326,"")</f>
        <v/>
      </c>
      <c r="BC326" s="179" t="str">
        <f t="array" ref="BC326">IF($F326&lt;&gt;"",XLOOKUP($F326,Productos!$A:$A,Productos!AV:AV,"Revisar"),"")</f>
        <v/>
      </c>
      <c r="BD326" s="179" t="str">
        <f t="array" ref="BD326">IF($F326&lt;&gt;"", XLOOKUP($F326,Productos!$A$2:$A1001,Productos!AW$2:AW1001,"")*$G326,"")</f>
        <v/>
      </c>
      <c r="BE326" s="179" t="str">
        <f t="array" ref="BE326">IF($F326&lt;&gt;"",XLOOKUP($F326,Productos!$A:$A,Productos!AX:AX,"Revisar"),"")</f>
        <v/>
      </c>
      <c r="BF326" s="179" t="str">
        <f t="array" ref="BF326">IF($F326&lt;&gt;"", XLOOKUP($F326,Productos!$A$2:$A1001,Productos!AY$2:AY1001,"")*$G326,"")</f>
        <v/>
      </c>
      <c r="BG326" s="179" t="str">
        <f t="array" ref="BG326">IF($F326&lt;&gt;"",XLOOKUP($F326,Productos!$A:$A,Productos!AZ:AZ,"Revisar"),"")</f>
        <v/>
      </c>
      <c r="BH326" s="179" t="str">
        <f t="array" ref="BH326">IF($F326&lt;&gt;"", XLOOKUP($F326,Productos!$A$2:$A1001,Productos!BA$2:BA1001,"")*$G326,"")</f>
        <v/>
      </c>
      <c r="BI326" s="179" t="str">
        <f t="array" ref="BI326">IF($F326&lt;&gt;"",XLOOKUP($F326,Productos!$A:$A,Productos!BB:BB,"Revisar"),"")</f>
        <v/>
      </c>
      <c r="BJ326" s="179" t="str">
        <f t="array" ref="BJ326">IF($F326&lt;&gt;"", XLOOKUP($F326,Productos!$A$2:$A1001,Productos!BC$2:BC1001,"")*$G326,"")</f>
        <v/>
      </c>
      <c r="BK326" s="179" t="str">
        <f t="array" ref="BK326">IF($F326&lt;&gt;"",XLOOKUP($F326,Productos!$A:$A,Productos!BD:BD,"Revisar"),"")</f>
        <v/>
      </c>
      <c r="BL326" s="179" t="str">
        <f t="array" ref="BL326">IF($F326&lt;&gt;"", XLOOKUP($F326,Productos!$A$2:$A1001,Productos!BE$2:BE1001,"")*$G326,"")</f>
        <v/>
      </c>
      <c r="BM326" s="179" t="str">
        <f t="array" ref="BM326">IF($F326&lt;&gt;"",XLOOKUP($F326,Productos!$A:$A,Productos!BF:BF,"Revisar"),"")</f>
        <v/>
      </c>
      <c r="BN326" s="179" t="str">
        <f t="array" ref="BN326">IF($F326&lt;&gt;"", XLOOKUP($F326,Productos!$A$2:$A1001,Productos!BG$2:BG1001,"")*$G326,"")</f>
        <v/>
      </c>
      <c r="BO326" s="179" t="str">
        <f t="array" ref="BO326">IF($F326&lt;&gt;"",XLOOKUP($F326,Productos!$A:$A,Productos!BH:BH,"Revisar"),"")</f>
        <v/>
      </c>
      <c r="BP326" s="179" t="str">
        <f t="array" ref="BP326">IF($F326&lt;&gt;"", XLOOKUP($F326,Productos!$A$2:$A1001,Productos!BI$2:BI1001,"")*$G326,"")</f>
        <v/>
      </c>
      <c r="BQ326" s="179" t="str">
        <f t="array" ref="BQ326">IF($F326&lt;&gt;"",XLOOKUP($F326,Productos!$A:$A,Productos!BJ:BJ,"Revisar"),"")</f>
        <v/>
      </c>
      <c r="BR326" s="179" t="str">
        <f t="array" ref="BR326">IF($F326&lt;&gt;"", XLOOKUP($F326,Productos!$A$2:$A1001,Productos!BK$2:BK1001,"")*$G326,"")</f>
        <v/>
      </c>
      <c r="BS326" s="179" t="str">
        <f t="array" ref="BS326">IF($F326&lt;&gt;"",XLOOKUP($F326,Productos!$A:$A,Productos!BL:BL,"Revisar"),"")</f>
        <v/>
      </c>
      <c r="BT326" s="179" t="str">
        <f t="array" ref="BT326">IF($F326&lt;&gt;"", XLOOKUP($F326,Productos!$A$2:$A1001,Productos!BM$2:BM1001,"")*$G326,"")</f>
        <v/>
      </c>
      <c r="BU326" s="179" t="str">
        <f t="array" ref="BU326">IF($F326&lt;&gt;"",XLOOKUP($F326,Productos!$A:$A,Productos!BN:BN,"Revisar"),"")</f>
        <v/>
      </c>
      <c r="BV326" s="179" t="str">
        <f t="array" ref="BV326">IF($F326&lt;&gt;"", XLOOKUP($F326,Productos!$A$2:$A1001,Productos!BO$2:BO1001,"")*$G326,"")</f>
        <v/>
      </c>
      <c r="BW326" s="179" t="str">
        <f t="array" ref="BW326">IF($F326&lt;&gt;"",XLOOKUP($F326,Productos!$A:$A,Productos!BP:BP,"Revisar"),"")</f>
        <v/>
      </c>
      <c r="BX326" s="179" t="str">
        <f t="array" ref="BX326">IF($F326&lt;&gt;"", XLOOKUP($F326,Productos!$A$2:$A1001,Productos!BQ$2:BQ1001,"")*$G326,"")</f>
        <v/>
      </c>
      <c r="BY326" s="179" t="str">
        <f t="array" ref="BY326">IF($F326&lt;&gt;"",XLOOKUP($F326,Productos!$A:$A,Productos!BR:BR,"Revisar"),"")</f>
        <v/>
      </c>
      <c r="BZ326" s="179" t="str">
        <f t="array" ref="BZ326">IF($F326&lt;&gt;"", XLOOKUP($F326,Productos!$A$2:$A1001,Productos!BS$2:BS1001,"")*$G326,"")</f>
        <v/>
      </c>
    </row>
    <row r="327">
      <c r="A327" s="188"/>
      <c r="B327" s="189"/>
      <c r="C327" s="190"/>
      <c r="D327" s="190"/>
      <c r="E327" s="191"/>
      <c r="F327" s="186"/>
      <c r="G327" s="192"/>
      <c r="H327" s="9"/>
      <c r="I327" s="179" t="str">
        <f t="array" ref="I327">IF($F327&lt;&gt;"",XLOOKUP($F327,Productos!$A:$A,Productos!B:B,"Revisar"),"")</f>
        <v/>
      </c>
      <c r="J327" s="179" t="str">
        <f t="array" ref="J327">IF($F327&lt;&gt;"", XLOOKUP($F327,Productos!$A$2:$A1001,Productos!C$2:C1001,"")*$G327,"")</f>
        <v/>
      </c>
      <c r="K327" s="179" t="str">
        <f t="array" ref="K327">IF($F327&lt;&gt;"",XLOOKUP($F327,Productos!$A:$A,Productos!D:D,"Revisar"),"")</f>
        <v/>
      </c>
      <c r="L327" s="179" t="str">
        <f t="array" ref="L327">IF($F327&lt;&gt;"", XLOOKUP($F327,Productos!$A$2:$A1001,Productos!E$2:E1001,"")*$G327,"")</f>
        <v/>
      </c>
      <c r="M327" s="179" t="str">
        <f t="array" ref="M327">IF($F327&lt;&gt;"",XLOOKUP($F327,Productos!$A:$A,Productos!F:F,"Revisar"),"")</f>
        <v/>
      </c>
      <c r="N327" s="179" t="str">
        <f t="array" ref="N327">IF($F327&lt;&gt;"", XLOOKUP($F327,Productos!$A$2:$A1001,Productos!G$2:G1001,"")*$G327,"")</f>
        <v/>
      </c>
      <c r="O327" s="179" t="str">
        <f t="array" ref="O327">IF($F327&lt;&gt;"",XLOOKUP($F327,Productos!$A:$A,Productos!H:H,"Revisar"),"")</f>
        <v/>
      </c>
      <c r="P327" s="179" t="str">
        <f t="array" ref="P327">IF($F327&lt;&gt;"", XLOOKUP($F327,Productos!$A$2:$A1001,Productos!I$2:I1001,"")*$G327,"")</f>
        <v/>
      </c>
      <c r="Q327" s="179" t="str">
        <f t="array" ref="Q327">IF($F327&lt;&gt;"",XLOOKUP($F327,Productos!$A:$A,Productos!J:J,"Revisar"),"")</f>
        <v/>
      </c>
      <c r="R327" s="179" t="str">
        <f t="array" ref="R327">IF($F327&lt;&gt;"", XLOOKUP($F327,Productos!$A$2:$A1001,Productos!K$2:K1001,"")*$G327,"")</f>
        <v/>
      </c>
      <c r="S327" s="179" t="str">
        <f t="array" ref="S327">IF($F327&lt;&gt;"",XLOOKUP($F327,Productos!$A:$A,Productos!L:L,"Revisar"),"")</f>
        <v/>
      </c>
      <c r="T327" s="179" t="str">
        <f t="array" ref="T327">IF($F327&lt;&gt;"", XLOOKUP($F327,Productos!$A$2:$A1001,Productos!M$2:M1001,"")*$G327,"")</f>
        <v/>
      </c>
      <c r="U327" s="179" t="str">
        <f t="array" ref="U327">IF($F327&lt;&gt;"",XLOOKUP($F327,Productos!$A:$A,Productos!N:N,"Revisar"),"")</f>
        <v/>
      </c>
      <c r="V327" s="179" t="str">
        <f t="array" ref="V327">IF($F327&lt;&gt;"", XLOOKUP($F327,Productos!$A$2:$A1001,Productos!O$2:O1001,"")*$G327,"")</f>
        <v/>
      </c>
      <c r="W327" s="179" t="str">
        <f t="array" ref="W327">IF($F327&lt;&gt;"",XLOOKUP($F327,Productos!$A:$A,Productos!P:P,"Revisar"),"")</f>
        <v/>
      </c>
      <c r="X327" s="179" t="str">
        <f t="array" ref="X327">IF($F327&lt;&gt;"", XLOOKUP($F327,Productos!$A$2:$A1001,Productos!Q$2:Q1001,"")*$G327,"")</f>
        <v/>
      </c>
      <c r="Y327" s="179" t="str">
        <f t="array" ref="Y327">IF($F327&lt;&gt;"",XLOOKUP($F327,Productos!$A:$A,Productos!R:R,"Revisar"),"")</f>
        <v/>
      </c>
      <c r="Z327" s="179" t="str">
        <f t="array" ref="Z327">IF($F327&lt;&gt;"", XLOOKUP($F327,Productos!$A$2:$A1001,Productos!S$2:S1001,"")*$G327,"")</f>
        <v/>
      </c>
      <c r="AA327" s="179" t="str">
        <f t="array" ref="AA327">IF($F327&lt;&gt;"",XLOOKUP($F327,Productos!$A:$A,Productos!T:T,"Revisar"),"")</f>
        <v/>
      </c>
      <c r="AB327" s="179" t="str">
        <f t="array" ref="AB327">IF($F327&lt;&gt;"", XLOOKUP($F327,Productos!$A$2:$A1001,Productos!U$2:U1001,"")*$G327,"")</f>
        <v/>
      </c>
      <c r="AC327" s="179" t="str">
        <f t="array" ref="AC327">IF($F327&lt;&gt;"",XLOOKUP($F327,Productos!$A:$A,Productos!V:V,"Revisar"),"")</f>
        <v/>
      </c>
      <c r="AD327" s="179" t="str">
        <f t="array" ref="AD327">IF($F327&lt;&gt;"", XLOOKUP($F327,Productos!$A$2:$A1001,Productos!W$2:W1001,"")*$G327,"")</f>
        <v/>
      </c>
      <c r="AE327" s="179" t="str">
        <f t="array" ref="AE327">IF($F327&lt;&gt;"",XLOOKUP($F327,Productos!$A:$A,Productos!X:X,"Revisar"),"")</f>
        <v/>
      </c>
      <c r="AF327" s="179" t="str">
        <f t="array" ref="AF327">IF($F327&lt;&gt;"", XLOOKUP($F327,Productos!$A$2:$A1001,Productos!Y$2:Y1001,"")*$G327,"")</f>
        <v/>
      </c>
      <c r="AG327" s="179" t="str">
        <f t="array" ref="AG327">IF($F327&lt;&gt;"",XLOOKUP($F327,Productos!$A:$A,Productos!Z:Z,"Revisar"),"")</f>
        <v/>
      </c>
      <c r="AH327" s="179" t="str">
        <f t="array" ref="AH327">IF($F327&lt;&gt;"", XLOOKUP($F327,Productos!$A$2:$A1001,Productos!AA$2:AA1001,"")*$G327,"")</f>
        <v/>
      </c>
      <c r="AI327" s="179" t="str">
        <f t="array" ref="AI327">IF($F327&lt;&gt;"",XLOOKUP($F327,Productos!$A:$A,Productos!AB:AB,"Revisar"),"")</f>
        <v/>
      </c>
      <c r="AJ327" s="179" t="str">
        <f t="array" ref="AJ327">IF($F327&lt;&gt;"", XLOOKUP($F327,Productos!$A$2:$A1001,Productos!AC$2:AC1001,"")*$G327,"")</f>
        <v/>
      </c>
      <c r="AK327" s="179" t="str">
        <f t="array" ref="AK327">IF($F327&lt;&gt;"",XLOOKUP($F327,Productos!$A:$A,Productos!AD:AD,"Revisar"),"")</f>
        <v/>
      </c>
      <c r="AL327" s="179" t="str">
        <f t="array" ref="AL327">IF($F327&lt;&gt;"", XLOOKUP($F327,Productos!$A$2:$A1001,Productos!AE$2:AE1001,"")*$G327,"")</f>
        <v/>
      </c>
      <c r="AM327" s="179" t="str">
        <f t="array" ref="AM327">IF($F327&lt;&gt;"",XLOOKUP($F327,Productos!$A:$A,Productos!AF:AF,"Revisar"),"")</f>
        <v/>
      </c>
      <c r="AN327" s="179" t="str">
        <f t="array" ref="AN327">IF($F327&lt;&gt;"", XLOOKUP($F327,Productos!$A$2:$A1001,Productos!AG$2:AG1001,"")*$G327,"")</f>
        <v/>
      </c>
      <c r="AO327" s="179" t="str">
        <f t="array" ref="AO327">IF($F327&lt;&gt;"",XLOOKUP($F327,Productos!$A:$A,Productos!AH:AH,"Revisar"),"")</f>
        <v/>
      </c>
      <c r="AP327" s="179" t="str">
        <f t="array" ref="AP327">IF($F327&lt;&gt;"", XLOOKUP($F327,Productos!$A$2:$A1001,Productos!AI$2:AI1001,"")*$G327,"")</f>
        <v/>
      </c>
      <c r="AQ327" s="179" t="str">
        <f t="array" ref="AQ327">IF($F327&lt;&gt;"",XLOOKUP($F327,Productos!$A:$A,Productos!AJ:AJ,"Revisar"),"")</f>
        <v/>
      </c>
      <c r="AR327" s="179" t="str">
        <f t="array" ref="AR327">IF($F327&lt;&gt;"", XLOOKUP($F327,Productos!$A$2:$A1001,Productos!AK$2:AK1001,"")*$G327,"")</f>
        <v/>
      </c>
      <c r="AS327" s="179" t="str">
        <f t="array" ref="AS327">IF($F327&lt;&gt;"",XLOOKUP($F327,Productos!$A:$A,Productos!AL:AL,"Revisar"),"")</f>
        <v/>
      </c>
      <c r="AT327" s="179" t="str">
        <f t="array" ref="AT327">IF($F327&lt;&gt;"", XLOOKUP($F327,Productos!$A$2:$A1001,Productos!AM$2:AM1001,"")*$G327,"")</f>
        <v/>
      </c>
      <c r="AU327" s="179" t="str">
        <f t="array" ref="AU327">IF($F327&lt;&gt;"",XLOOKUP($F327,Productos!$A:$A,Productos!AN:AN,"Revisar"),"")</f>
        <v/>
      </c>
      <c r="AV327" s="179" t="str">
        <f t="array" ref="AV327">IF($F327&lt;&gt;"", XLOOKUP($F327,Productos!$A$2:$A1001,Productos!AO$2:AO1001,"")*$G327,"")</f>
        <v/>
      </c>
      <c r="AW327" s="179" t="str">
        <f t="array" ref="AW327">IF($F327&lt;&gt;"",XLOOKUP($F327,Productos!$A:$A,Productos!AP:AP,"Revisar"),"")</f>
        <v/>
      </c>
      <c r="AX327" s="179" t="str">
        <f t="array" ref="AX327">IF($F327&lt;&gt;"", XLOOKUP($F327,Productos!$A$2:$A1001,Productos!AQ$2:AQ1001,"")*$G327,"")</f>
        <v/>
      </c>
      <c r="AY327" s="179" t="str">
        <f t="array" ref="AY327">IF($F327&lt;&gt;"",XLOOKUP($F327,Productos!$A:$A,Productos!AR:AR,"Revisar"),"")</f>
        <v/>
      </c>
      <c r="AZ327" s="179" t="str">
        <f t="array" ref="AZ327">IF($F327&lt;&gt;"", XLOOKUP($F327,Productos!$A$2:$A1001,Productos!AS$2:AS1001,"")*$G327,"")</f>
        <v/>
      </c>
      <c r="BA327" s="179" t="str">
        <f t="array" ref="BA327">IF($F327&lt;&gt;"",XLOOKUP($F327,Productos!$A:$A,Productos!AT:AT,"Revisar"),"")</f>
        <v/>
      </c>
      <c r="BB327" s="179" t="str">
        <f t="array" ref="BB327">IF($F327&lt;&gt;"", XLOOKUP($F327,Productos!$A$2:$A1001,Productos!AU$2:AU1001,"")*$G327,"")</f>
        <v/>
      </c>
      <c r="BC327" s="179" t="str">
        <f t="array" ref="BC327">IF($F327&lt;&gt;"",XLOOKUP($F327,Productos!$A:$A,Productos!AV:AV,"Revisar"),"")</f>
        <v/>
      </c>
      <c r="BD327" s="179" t="str">
        <f t="array" ref="BD327">IF($F327&lt;&gt;"", XLOOKUP($F327,Productos!$A$2:$A1001,Productos!AW$2:AW1001,"")*$G327,"")</f>
        <v/>
      </c>
      <c r="BE327" s="179" t="str">
        <f t="array" ref="BE327">IF($F327&lt;&gt;"",XLOOKUP($F327,Productos!$A:$A,Productos!AX:AX,"Revisar"),"")</f>
        <v/>
      </c>
      <c r="BF327" s="179" t="str">
        <f t="array" ref="BF327">IF($F327&lt;&gt;"", XLOOKUP($F327,Productos!$A$2:$A1001,Productos!AY$2:AY1001,"")*$G327,"")</f>
        <v/>
      </c>
      <c r="BG327" s="179" t="str">
        <f t="array" ref="BG327">IF($F327&lt;&gt;"",XLOOKUP($F327,Productos!$A:$A,Productos!AZ:AZ,"Revisar"),"")</f>
        <v/>
      </c>
      <c r="BH327" s="179" t="str">
        <f t="array" ref="BH327">IF($F327&lt;&gt;"", XLOOKUP($F327,Productos!$A$2:$A1001,Productos!BA$2:BA1001,"")*$G327,"")</f>
        <v/>
      </c>
      <c r="BI327" s="179" t="str">
        <f t="array" ref="BI327">IF($F327&lt;&gt;"",XLOOKUP($F327,Productos!$A:$A,Productos!BB:BB,"Revisar"),"")</f>
        <v/>
      </c>
      <c r="BJ327" s="179" t="str">
        <f t="array" ref="BJ327">IF($F327&lt;&gt;"", XLOOKUP($F327,Productos!$A$2:$A1001,Productos!BC$2:BC1001,"")*$G327,"")</f>
        <v/>
      </c>
      <c r="BK327" s="179" t="str">
        <f t="array" ref="BK327">IF($F327&lt;&gt;"",XLOOKUP($F327,Productos!$A:$A,Productos!BD:BD,"Revisar"),"")</f>
        <v/>
      </c>
      <c r="BL327" s="179" t="str">
        <f t="array" ref="BL327">IF($F327&lt;&gt;"", XLOOKUP($F327,Productos!$A$2:$A1001,Productos!BE$2:BE1001,"")*$G327,"")</f>
        <v/>
      </c>
      <c r="BM327" s="179" t="str">
        <f t="array" ref="BM327">IF($F327&lt;&gt;"",XLOOKUP($F327,Productos!$A:$A,Productos!BF:BF,"Revisar"),"")</f>
        <v/>
      </c>
      <c r="BN327" s="179" t="str">
        <f t="array" ref="BN327">IF($F327&lt;&gt;"", XLOOKUP($F327,Productos!$A$2:$A1001,Productos!BG$2:BG1001,"")*$G327,"")</f>
        <v/>
      </c>
      <c r="BO327" s="179" t="str">
        <f t="array" ref="BO327">IF($F327&lt;&gt;"",XLOOKUP($F327,Productos!$A:$A,Productos!BH:BH,"Revisar"),"")</f>
        <v/>
      </c>
      <c r="BP327" s="179" t="str">
        <f t="array" ref="BP327">IF($F327&lt;&gt;"", XLOOKUP($F327,Productos!$A$2:$A1001,Productos!BI$2:BI1001,"")*$G327,"")</f>
        <v/>
      </c>
      <c r="BQ327" s="179" t="str">
        <f t="array" ref="BQ327">IF($F327&lt;&gt;"",XLOOKUP($F327,Productos!$A:$A,Productos!BJ:BJ,"Revisar"),"")</f>
        <v/>
      </c>
      <c r="BR327" s="179" t="str">
        <f t="array" ref="BR327">IF($F327&lt;&gt;"", XLOOKUP($F327,Productos!$A$2:$A1001,Productos!BK$2:BK1001,"")*$G327,"")</f>
        <v/>
      </c>
      <c r="BS327" s="179" t="str">
        <f t="array" ref="BS327">IF($F327&lt;&gt;"",XLOOKUP($F327,Productos!$A:$A,Productos!BL:BL,"Revisar"),"")</f>
        <v/>
      </c>
      <c r="BT327" s="179" t="str">
        <f t="array" ref="BT327">IF($F327&lt;&gt;"", XLOOKUP($F327,Productos!$A$2:$A1001,Productos!BM$2:BM1001,"")*$G327,"")</f>
        <v/>
      </c>
      <c r="BU327" s="179" t="str">
        <f t="array" ref="BU327">IF($F327&lt;&gt;"",XLOOKUP($F327,Productos!$A:$A,Productos!BN:BN,"Revisar"),"")</f>
        <v/>
      </c>
      <c r="BV327" s="179" t="str">
        <f t="array" ref="BV327">IF($F327&lt;&gt;"", XLOOKUP($F327,Productos!$A$2:$A1001,Productos!BO$2:BO1001,"")*$G327,"")</f>
        <v/>
      </c>
      <c r="BW327" s="179" t="str">
        <f t="array" ref="BW327">IF($F327&lt;&gt;"",XLOOKUP($F327,Productos!$A:$A,Productos!BP:BP,"Revisar"),"")</f>
        <v/>
      </c>
      <c r="BX327" s="179" t="str">
        <f t="array" ref="BX327">IF($F327&lt;&gt;"", XLOOKUP($F327,Productos!$A$2:$A1001,Productos!BQ$2:BQ1001,"")*$G327,"")</f>
        <v/>
      </c>
      <c r="BY327" s="179" t="str">
        <f t="array" ref="BY327">IF($F327&lt;&gt;"",XLOOKUP($F327,Productos!$A:$A,Productos!BR:BR,"Revisar"),"")</f>
        <v/>
      </c>
      <c r="BZ327" s="179" t="str">
        <f t="array" ref="BZ327">IF($F327&lt;&gt;"", XLOOKUP($F327,Productos!$A$2:$A1001,Productos!BS$2:BS1001,"")*$G327,"")</f>
        <v/>
      </c>
    </row>
    <row r="328">
      <c r="A328" s="188"/>
      <c r="B328" s="189"/>
      <c r="C328" s="190"/>
      <c r="D328" s="190"/>
      <c r="E328" s="191"/>
      <c r="F328" s="186"/>
      <c r="G328" s="192"/>
      <c r="H328" s="9"/>
      <c r="I328" s="179" t="str">
        <f t="array" ref="I328">IF($F328&lt;&gt;"",XLOOKUP($F328,Productos!$A:$A,Productos!B:B,"Revisar"),"")</f>
        <v/>
      </c>
      <c r="J328" s="179" t="str">
        <f t="array" ref="J328">IF($F328&lt;&gt;"", XLOOKUP($F328,Productos!$A$2:$A1001,Productos!C$2:C1001,"")*$G328,"")</f>
        <v/>
      </c>
      <c r="K328" s="179" t="str">
        <f t="array" ref="K328">IF($F328&lt;&gt;"",XLOOKUP($F328,Productos!$A:$A,Productos!D:D,"Revisar"),"")</f>
        <v/>
      </c>
      <c r="L328" s="179" t="str">
        <f t="array" ref="L328">IF($F328&lt;&gt;"", XLOOKUP($F328,Productos!$A$2:$A1001,Productos!E$2:E1001,"")*$G328,"")</f>
        <v/>
      </c>
      <c r="M328" s="179" t="str">
        <f t="array" ref="M328">IF($F328&lt;&gt;"",XLOOKUP($F328,Productos!$A:$A,Productos!F:F,"Revisar"),"")</f>
        <v/>
      </c>
      <c r="N328" s="179" t="str">
        <f t="array" ref="N328">IF($F328&lt;&gt;"", XLOOKUP($F328,Productos!$A$2:$A1001,Productos!G$2:G1001,"")*$G328,"")</f>
        <v/>
      </c>
      <c r="O328" s="179" t="str">
        <f t="array" ref="O328">IF($F328&lt;&gt;"",XLOOKUP($F328,Productos!$A:$A,Productos!H:H,"Revisar"),"")</f>
        <v/>
      </c>
      <c r="P328" s="179" t="str">
        <f t="array" ref="P328">IF($F328&lt;&gt;"", XLOOKUP($F328,Productos!$A$2:$A1001,Productos!I$2:I1001,"")*$G328,"")</f>
        <v/>
      </c>
      <c r="Q328" s="179" t="str">
        <f t="array" ref="Q328">IF($F328&lt;&gt;"",XLOOKUP($F328,Productos!$A:$A,Productos!J:J,"Revisar"),"")</f>
        <v/>
      </c>
      <c r="R328" s="179" t="str">
        <f t="array" ref="R328">IF($F328&lt;&gt;"", XLOOKUP($F328,Productos!$A$2:$A1001,Productos!K$2:K1001,"")*$G328,"")</f>
        <v/>
      </c>
      <c r="S328" s="179" t="str">
        <f t="array" ref="S328">IF($F328&lt;&gt;"",XLOOKUP($F328,Productos!$A:$A,Productos!L:L,"Revisar"),"")</f>
        <v/>
      </c>
      <c r="T328" s="179" t="str">
        <f t="array" ref="T328">IF($F328&lt;&gt;"", XLOOKUP($F328,Productos!$A$2:$A1001,Productos!M$2:M1001,"")*$G328,"")</f>
        <v/>
      </c>
      <c r="U328" s="179" t="str">
        <f t="array" ref="U328">IF($F328&lt;&gt;"",XLOOKUP($F328,Productos!$A:$A,Productos!N:N,"Revisar"),"")</f>
        <v/>
      </c>
      <c r="V328" s="179" t="str">
        <f t="array" ref="V328">IF($F328&lt;&gt;"", XLOOKUP($F328,Productos!$A$2:$A1001,Productos!O$2:O1001,"")*$G328,"")</f>
        <v/>
      </c>
      <c r="W328" s="179" t="str">
        <f t="array" ref="W328">IF($F328&lt;&gt;"",XLOOKUP($F328,Productos!$A:$A,Productos!P:P,"Revisar"),"")</f>
        <v/>
      </c>
      <c r="X328" s="179" t="str">
        <f t="array" ref="X328">IF($F328&lt;&gt;"", XLOOKUP($F328,Productos!$A$2:$A1001,Productos!Q$2:Q1001,"")*$G328,"")</f>
        <v/>
      </c>
      <c r="Y328" s="179" t="str">
        <f t="array" ref="Y328">IF($F328&lt;&gt;"",XLOOKUP($F328,Productos!$A:$A,Productos!R:R,"Revisar"),"")</f>
        <v/>
      </c>
      <c r="Z328" s="179" t="str">
        <f t="array" ref="Z328">IF($F328&lt;&gt;"", XLOOKUP($F328,Productos!$A$2:$A1001,Productos!S$2:S1001,"")*$G328,"")</f>
        <v/>
      </c>
      <c r="AA328" s="179" t="str">
        <f t="array" ref="AA328">IF($F328&lt;&gt;"",XLOOKUP($F328,Productos!$A:$A,Productos!T:T,"Revisar"),"")</f>
        <v/>
      </c>
      <c r="AB328" s="179" t="str">
        <f t="array" ref="AB328">IF($F328&lt;&gt;"", XLOOKUP($F328,Productos!$A$2:$A1001,Productos!U$2:U1001,"")*$G328,"")</f>
        <v/>
      </c>
      <c r="AC328" s="179" t="str">
        <f t="array" ref="AC328">IF($F328&lt;&gt;"",XLOOKUP($F328,Productos!$A:$A,Productos!V:V,"Revisar"),"")</f>
        <v/>
      </c>
      <c r="AD328" s="179" t="str">
        <f t="array" ref="AD328">IF($F328&lt;&gt;"", XLOOKUP($F328,Productos!$A$2:$A1001,Productos!W$2:W1001,"")*$G328,"")</f>
        <v/>
      </c>
      <c r="AE328" s="179" t="str">
        <f t="array" ref="AE328">IF($F328&lt;&gt;"",XLOOKUP($F328,Productos!$A:$A,Productos!X:X,"Revisar"),"")</f>
        <v/>
      </c>
      <c r="AF328" s="179" t="str">
        <f t="array" ref="AF328">IF($F328&lt;&gt;"", XLOOKUP($F328,Productos!$A$2:$A1001,Productos!Y$2:Y1001,"")*$G328,"")</f>
        <v/>
      </c>
      <c r="AG328" s="179" t="str">
        <f t="array" ref="AG328">IF($F328&lt;&gt;"",XLOOKUP($F328,Productos!$A:$A,Productos!Z:Z,"Revisar"),"")</f>
        <v/>
      </c>
      <c r="AH328" s="179" t="str">
        <f t="array" ref="AH328">IF($F328&lt;&gt;"", XLOOKUP($F328,Productos!$A$2:$A1001,Productos!AA$2:AA1001,"")*$G328,"")</f>
        <v/>
      </c>
      <c r="AI328" s="179" t="str">
        <f t="array" ref="AI328">IF($F328&lt;&gt;"",XLOOKUP($F328,Productos!$A:$A,Productos!AB:AB,"Revisar"),"")</f>
        <v/>
      </c>
      <c r="AJ328" s="179" t="str">
        <f t="array" ref="AJ328">IF($F328&lt;&gt;"", XLOOKUP($F328,Productos!$A$2:$A1001,Productos!AC$2:AC1001,"")*$G328,"")</f>
        <v/>
      </c>
      <c r="AK328" s="179" t="str">
        <f t="array" ref="AK328">IF($F328&lt;&gt;"",XLOOKUP($F328,Productos!$A:$A,Productos!AD:AD,"Revisar"),"")</f>
        <v/>
      </c>
      <c r="AL328" s="179" t="str">
        <f t="array" ref="AL328">IF($F328&lt;&gt;"", XLOOKUP($F328,Productos!$A$2:$A1001,Productos!AE$2:AE1001,"")*$G328,"")</f>
        <v/>
      </c>
      <c r="AM328" s="179" t="str">
        <f t="array" ref="AM328">IF($F328&lt;&gt;"",XLOOKUP($F328,Productos!$A:$A,Productos!AF:AF,"Revisar"),"")</f>
        <v/>
      </c>
      <c r="AN328" s="179" t="str">
        <f t="array" ref="AN328">IF($F328&lt;&gt;"", XLOOKUP($F328,Productos!$A$2:$A1001,Productos!AG$2:AG1001,"")*$G328,"")</f>
        <v/>
      </c>
      <c r="AO328" s="179" t="str">
        <f t="array" ref="AO328">IF($F328&lt;&gt;"",XLOOKUP($F328,Productos!$A:$A,Productos!AH:AH,"Revisar"),"")</f>
        <v/>
      </c>
      <c r="AP328" s="179" t="str">
        <f t="array" ref="AP328">IF($F328&lt;&gt;"", XLOOKUP($F328,Productos!$A$2:$A1001,Productos!AI$2:AI1001,"")*$G328,"")</f>
        <v/>
      </c>
      <c r="AQ328" s="179" t="str">
        <f t="array" ref="AQ328">IF($F328&lt;&gt;"",XLOOKUP($F328,Productos!$A:$A,Productos!AJ:AJ,"Revisar"),"")</f>
        <v/>
      </c>
      <c r="AR328" s="179" t="str">
        <f t="array" ref="AR328">IF($F328&lt;&gt;"", XLOOKUP($F328,Productos!$A$2:$A1001,Productos!AK$2:AK1001,"")*$G328,"")</f>
        <v/>
      </c>
      <c r="AS328" s="179" t="str">
        <f t="array" ref="AS328">IF($F328&lt;&gt;"",XLOOKUP($F328,Productos!$A:$A,Productos!AL:AL,"Revisar"),"")</f>
        <v/>
      </c>
      <c r="AT328" s="179" t="str">
        <f t="array" ref="AT328">IF($F328&lt;&gt;"", XLOOKUP($F328,Productos!$A$2:$A1001,Productos!AM$2:AM1001,"")*$G328,"")</f>
        <v/>
      </c>
      <c r="AU328" s="179" t="str">
        <f t="array" ref="AU328">IF($F328&lt;&gt;"",XLOOKUP($F328,Productos!$A:$A,Productos!AN:AN,"Revisar"),"")</f>
        <v/>
      </c>
      <c r="AV328" s="179" t="str">
        <f t="array" ref="AV328">IF($F328&lt;&gt;"", XLOOKUP($F328,Productos!$A$2:$A1001,Productos!AO$2:AO1001,"")*$G328,"")</f>
        <v/>
      </c>
      <c r="AW328" s="179" t="str">
        <f t="array" ref="AW328">IF($F328&lt;&gt;"",XLOOKUP($F328,Productos!$A:$A,Productos!AP:AP,"Revisar"),"")</f>
        <v/>
      </c>
      <c r="AX328" s="179" t="str">
        <f t="array" ref="AX328">IF($F328&lt;&gt;"", XLOOKUP($F328,Productos!$A$2:$A1001,Productos!AQ$2:AQ1001,"")*$G328,"")</f>
        <v/>
      </c>
      <c r="AY328" s="179" t="str">
        <f t="array" ref="AY328">IF($F328&lt;&gt;"",XLOOKUP($F328,Productos!$A:$A,Productos!AR:AR,"Revisar"),"")</f>
        <v/>
      </c>
      <c r="AZ328" s="179" t="str">
        <f t="array" ref="AZ328">IF($F328&lt;&gt;"", XLOOKUP($F328,Productos!$A$2:$A1001,Productos!AS$2:AS1001,"")*$G328,"")</f>
        <v/>
      </c>
      <c r="BA328" s="179" t="str">
        <f t="array" ref="BA328">IF($F328&lt;&gt;"",XLOOKUP($F328,Productos!$A:$A,Productos!AT:AT,"Revisar"),"")</f>
        <v/>
      </c>
      <c r="BB328" s="179" t="str">
        <f t="array" ref="BB328">IF($F328&lt;&gt;"", XLOOKUP($F328,Productos!$A$2:$A1001,Productos!AU$2:AU1001,"")*$G328,"")</f>
        <v/>
      </c>
      <c r="BC328" s="179" t="str">
        <f t="array" ref="BC328">IF($F328&lt;&gt;"",XLOOKUP($F328,Productos!$A:$A,Productos!AV:AV,"Revisar"),"")</f>
        <v/>
      </c>
      <c r="BD328" s="179" t="str">
        <f t="array" ref="BD328">IF($F328&lt;&gt;"", XLOOKUP($F328,Productos!$A$2:$A1001,Productos!AW$2:AW1001,"")*$G328,"")</f>
        <v/>
      </c>
      <c r="BE328" s="179" t="str">
        <f t="array" ref="BE328">IF($F328&lt;&gt;"",XLOOKUP($F328,Productos!$A:$A,Productos!AX:AX,"Revisar"),"")</f>
        <v/>
      </c>
      <c r="BF328" s="179" t="str">
        <f t="array" ref="BF328">IF($F328&lt;&gt;"", XLOOKUP($F328,Productos!$A$2:$A1001,Productos!AY$2:AY1001,"")*$G328,"")</f>
        <v/>
      </c>
      <c r="BG328" s="179" t="str">
        <f t="array" ref="BG328">IF($F328&lt;&gt;"",XLOOKUP($F328,Productos!$A:$A,Productos!AZ:AZ,"Revisar"),"")</f>
        <v/>
      </c>
      <c r="BH328" s="179" t="str">
        <f t="array" ref="BH328">IF($F328&lt;&gt;"", XLOOKUP($F328,Productos!$A$2:$A1001,Productos!BA$2:BA1001,"")*$G328,"")</f>
        <v/>
      </c>
      <c r="BI328" s="179" t="str">
        <f t="array" ref="BI328">IF($F328&lt;&gt;"",XLOOKUP($F328,Productos!$A:$A,Productos!BB:BB,"Revisar"),"")</f>
        <v/>
      </c>
      <c r="BJ328" s="179" t="str">
        <f t="array" ref="BJ328">IF($F328&lt;&gt;"", XLOOKUP($F328,Productos!$A$2:$A1001,Productos!BC$2:BC1001,"")*$G328,"")</f>
        <v/>
      </c>
      <c r="BK328" s="179" t="str">
        <f t="array" ref="BK328">IF($F328&lt;&gt;"",XLOOKUP($F328,Productos!$A:$A,Productos!BD:BD,"Revisar"),"")</f>
        <v/>
      </c>
      <c r="BL328" s="179" t="str">
        <f t="array" ref="BL328">IF($F328&lt;&gt;"", XLOOKUP($F328,Productos!$A$2:$A1001,Productos!BE$2:BE1001,"")*$G328,"")</f>
        <v/>
      </c>
      <c r="BM328" s="179" t="str">
        <f t="array" ref="BM328">IF($F328&lt;&gt;"",XLOOKUP($F328,Productos!$A:$A,Productos!BF:BF,"Revisar"),"")</f>
        <v/>
      </c>
      <c r="BN328" s="179" t="str">
        <f t="array" ref="BN328">IF($F328&lt;&gt;"", XLOOKUP($F328,Productos!$A$2:$A1001,Productos!BG$2:BG1001,"")*$G328,"")</f>
        <v/>
      </c>
      <c r="BO328" s="179" t="str">
        <f t="array" ref="BO328">IF($F328&lt;&gt;"",XLOOKUP($F328,Productos!$A:$A,Productos!BH:BH,"Revisar"),"")</f>
        <v/>
      </c>
      <c r="BP328" s="179" t="str">
        <f t="array" ref="BP328">IF($F328&lt;&gt;"", XLOOKUP($F328,Productos!$A$2:$A1001,Productos!BI$2:BI1001,"")*$G328,"")</f>
        <v/>
      </c>
      <c r="BQ328" s="179" t="str">
        <f t="array" ref="BQ328">IF($F328&lt;&gt;"",XLOOKUP($F328,Productos!$A:$A,Productos!BJ:BJ,"Revisar"),"")</f>
        <v/>
      </c>
      <c r="BR328" s="179" t="str">
        <f t="array" ref="BR328">IF($F328&lt;&gt;"", XLOOKUP($F328,Productos!$A$2:$A1001,Productos!BK$2:BK1001,"")*$G328,"")</f>
        <v/>
      </c>
      <c r="BS328" s="179" t="str">
        <f t="array" ref="BS328">IF($F328&lt;&gt;"",XLOOKUP($F328,Productos!$A:$A,Productos!BL:BL,"Revisar"),"")</f>
        <v/>
      </c>
      <c r="BT328" s="179" t="str">
        <f t="array" ref="BT328">IF($F328&lt;&gt;"", XLOOKUP($F328,Productos!$A$2:$A1001,Productos!BM$2:BM1001,"")*$G328,"")</f>
        <v/>
      </c>
      <c r="BU328" s="179" t="str">
        <f t="array" ref="BU328">IF($F328&lt;&gt;"",XLOOKUP($F328,Productos!$A:$A,Productos!BN:BN,"Revisar"),"")</f>
        <v/>
      </c>
      <c r="BV328" s="179" t="str">
        <f t="array" ref="BV328">IF($F328&lt;&gt;"", XLOOKUP($F328,Productos!$A$2:$A1001,Productos!BO$2:BO1001,"")*$G328,"")</f>
        <v/>
      </c>
      <c r="BW328" s="179" t="str">
        <f t="array" ref="BW328">IF($F328&lt;&gt;"",XLOOKUP($F328,Productos!$A:$A,Productos!BP:BP,"Revisar"),"")</f>
        <v/>
      </c>
      <c r="BX328" s="179" t="str">
        <f t="array" ref="BX328">IF($F328&lt;&gt;"", XLOOKUP($F328,Productos!$A$2:$A1001,Productos!BQ$2:BQ1001,"")*$G328,"")</f>
        <v/>
      </c>
      <c r="BY328" s="179" t="str">
        <f t="array" ref="BY328">IF($F328&lt;&gt;"",XLOOKUP($F328,Productos!$A:$A,Productos!BR:BR,"Revisar"),"")</f>
        <v/>
      </c>
      <c r="BZ328" s="179" t="str">
        <f t="array" ref="BZ328">IF($F328&lt;&gt;"", XLOOKUP($F328,Productos!$A$2:$A1001,Productos!BS$2:BS1001,"")*$G328,"")</f>
        <v/>
      </c>
    </row>
    <row r="329">
      <c r="A329" s="188"/>
      <c r="B329" s="189"/>
      <c r="C329" s="190"/>
      <c r="D329" s="190"/>
      <c r="E329" s="191"/>
      <c r="F329" s="186"/>
      <c r="G329" s="192"/>
      <c r="H329" s="9"/>
      <c r="I329" s="179" t="str">
        <f t="array" ref="I329">IF($F329&lt;&gt;"",XLOOKUP($F329,Productos!$A:$A,Productos!B:B,"Revisar"),"")</f>
        <v/>
      </c>
      <c r="J329" s="179" t="str">
        <f t="array" ref="J329">IF($F329&lt;&gt;"", XLOOKUP($F329,Productos!$A$2:$A1001,Productos!C$2:C1001,"")*$G329,"")</f>
        <v/>
      </c>
      <c r="K329" s="179" t="str">
        <f t="array" ref="K329">IF($F329&lt;&gt;"",XLOOKUP($F329,Productos!$A:$A,Productos!D:D,"Revisar"),"")</f>
        <v/>
      </c>
      <c r="L329" s="179" t="str">
        <f t="array" ref="L329">IF($F329&lt;&gt;"", XLOOKUP($F329,Productos!$A$2:$A1001,Productos!E$2:E1001,"")*$G329,"")</f>
        <v/>
      </c>
      <c r="M329" s="179" t="str">
        <f t="array" ref="M329">IF($F329&lt;&gt;"",XLOOKUP($F329,Productos!$A:$A,Productos!F:F,"Revisar"),"")</f>
        <v/>
      </c>
      <c r="N329" s="179" t="str">
        <f t="array" ref="N329">IF($F329&lt;&gt;"", XLOOKUP($F329,Productos!$A$2:$A1001,Productos!G$2:G1001,"")*$G329,"")</f>
        <v/>
      </c>
      <c r="O329" s="179" t="str">
        <f t="array" ref="O329">IF($F329&lt;&gt;"",XLOOKUP($F329,Productos!$A:$A,Productos!H:H,"Revisar"),"")</f>
        <v/>
      </c>
      <c r="P329" s="179" t="str">
        <f t="array" ref="P329">IF($F329&lt;&gt;"", XLOOKUP($F329,Productos!$A$2:$A1001,Productos!I$2:I1001,"")*$G329,"")</f>
        <v/>
      </c>
      <c r="Q329" s="179" t="str">
        <f t="array" ref="Q329">IF($F329&lt;&gt;"",XLOOKUP($F329,Productos!$A:$A,Productos!J:J,"Revisar"),"")</f>
        <v/>
      </c>
      <c r="R329" s="179" t="str">
        <f t="array" ref="R329">IF($F329&lt;&gt;"", XLOOKUP($F329,Productos!$A$2:$A1001,Productos!K$2:K1001,"")*$G329,"")</f>
        <v/>
      </c>
      <c r="S329" s="179" t="str">
        <f t="array" ref="S329">IF($F329&lt;&gt;"",XLOOKUP($F329,Productos!$A:$A,Productos!L:L,"Revisar"),"")</f>
        <v/>
      </c>
      <c r="T329" s="179" t="str">
        <f t="array" ref="T329">IF($F329&lt;&gt;"", XLOOKUP($F329,Productos!$A$2:$A1001,Productos!M$2:M1001,"")*$G329,"")</f>
        <v/>
      </c>
      <c r="U329" s="179" t="str">
        <f t="array" ref="U329">IF($F329&lt;&gt;"",XLOOKUP($F329,Productos!$A:$A,Productos!N:N,"Revisar"),"")</f>
        <v/>
      </c>
      <c r="V329" s="179" t="str">
        <f t="array" ref="V329">IF($F329&lt;&gt;"", XLOOKUP($F329,Productos!$A$2:$A1001,Productos!O$2:O1001,"")*$G329,"")</f>
        <v/>
      </c>
      <c r="W329" s="179" t="str">
        <f t="array" ref="W329">IF($F329&lt;&gt;"",XLOOKUP($F329,Productos!$A:$A,Productos!P:P,"Revisar"),"")</f>
        <v/>
      </c>
      <c r="X329" s="179" t="str">
        <f t="array" ref="X329">IF($F329&lt;&gt;"", XLOOKUP($F329,Productos!$A$2:$A1001,Productos!Q$2:Q1001,"")*$G329,"")</f>
        <v/>
      </c>
      <c r="Y329" s="179" t="str">
        <f t="array" ref="Y329">IF($F329&lt;&gt;"",XLOOKUP($F329,Productos!$A:$A,Productos!R:R,"Revisar"),"")</f>
        <v/>
      </c>
      <c r="Z329" s="179" t="str">
        <f t="array" ref="Z329">IF($F329&lt;&gt;"", XLOOKUP($F329,Productos!$A$2:$A1001,Productos!S$2:S1001,"")*$G329,"")</f>
        <v/>
      </c>
      <c r="AA329" s="179" t="str">
        <f t="array" ref="AA329">IF($F329&lt;&gt;"",XLOOKUP($F329,Productos!$A:$A,Productos!T:T,"Revisar"),"")</f>
        <v/>
      </c>
      <c r="AB329" s="179" t="str">
        <f t="array" ref="AB329">IF($F329&lt;&gt;"", XLOOKUP($F329,Productos!$A$2:$A1001,Productos!U$2:U1001,"")*$G329,"")</f>
        <v/>
      </c>
      <c r="AC329" s="179" t="str">
        <f t="array" ref="AC329">IF($F329&lt;&gt;"",XLOOKUP($F329,Productos!$A:$A,Productos!V:V,"Revisar"),"")</f>
        <v/>
      </c>
      <c r="AD329" s="179" t="str">
        <f t="array" ref="AD329">IF($F329&lt;&gt;"", XLOOKUP($F329,Productos!$A$2:$A1001,Productos!W$2:W1001,"")*$G329,"")</f>
        <v/>
      </c>
      <c r="AE329" s="179" t="str">
        <f t="array" ref="AE329">IF($F329&lt;&gt;"",XLOOKUP($F329,Productos!$A:$A,Productos!X:X,"Revisar"),"")</f>
        <v/>
      </c>
      <c r="AF329" s="179" t="str">
        <f t="array" ref="AF329">IF($F329&lt;&gt;"", XLOOKUP($F329,Productos!$A$2:$A1001,Productos!Y$2:Y1001,"")*$G329,"")</f>
        <v/>
      </c>
      <c r="AG329" s="179" t="str">
        <f t="array" ref="AG329">IF($F329&lt;&gt;"",XLOOKUP($F329,Productos!$A:$A,Productos!Z:Z,"Revisar"),"")</f>
        <v/>
      </c>
      <c r="AH329" s="179" t="str">
        <f t="array" ref="AH329">IF($F329&lt;&gt;"", XLOOKUP($F329,Productos!$A$2:$A1001,Productos!AA$2:AA1001,"")*$G329,"")</f>
        <v/>
      </c>
      <c r="AI329" s="179" t="str">
        <f t="array" ref="AI329">IF($F329&lt;&gt;"",XLOOKUP($F329,Productos!$A:$A,Productos!AB:AB,"Revisar"),"")</f>
        <v/>
      </c>
      <c r="AJ329" s="179" t="str">
        <f t="array" ref="AJ329">IF($F329&lt;&gt;"", XLOOKUP($F329,Productos!$A$2:$A1001,Productos!AC$2:AC1001,"")*$G329,"")</f>
        <v/>
      </c>
      <c r="AK329" s="179" t="str">
        <f t="array" ref="AK329">IF($F329&lt;&gt;"",XLOOKUP($F329,Productos!$A:$A,Productos!AD:AD,"Revisar"),"")</f>
        <v/>
      </c>
      <c r="AL329" s="179" t="str">
        <f t="array" ref="AL329">IF($F329&lt;&gt;"", XLOOKUP($F329,Productos!$A$2:$A1001,Productos!AE$2:AE1001,"")*$G329,"")</f>
        <v/>
      </c>
      <c r="AM329" s="179" t="str">
        <f t="array" ref="AM329">IF($F329&lt;&gt;"",XLOOKUP($F329,Productos!$A:$A,Productos!AF:AF,"Revisar"),"")</f>
        <v/>
      </c>
      <c r="AN329" s="179" t="str">
        <f t="array" ref="AN329">IF($F329&lt;&gt;"", XLOOKUP($F329,Productos!$A$2:$A1001,Productos!AG$2:AG1001,"")*$G329,"")</f>
        <v/>
      </c>
      <c r="AO329" s="179" t="str">
        <f t="array" ref="AO329">IF($F329&lt;&gt;"",XLOOKUP($F329,Productos!$A:$A,Productos!AH:AH,"Revisar"),"")</f>
        <v/>
      </c>
      <c r="AP329" s="179" t="str">
        <f t="array" ref="AP329">IF($F329&lt;&gt;"", XLOOKUP($F329,Productos!$A$2:$A1001,Productos!AI$2:AI1001,"")*$G329,"")</f>
        <v/>
      </c>
      <c r="AQ329" s="179" t="str">
        <f t="array" ref="AQ329">IF($F329&lt;&gt;"",XLOOKUP($F329,Productos!$A:$A,Productos!AJ:AJ,"Revisar"),"")</f>
        <v/>
      </c>
      <c r="AR329" s="179" t="str">
        <f t="array" ref="AR329">IF($F329&lt;&gt;"", XLOOKUP($F329,Productos!$A$2:$A1001,Productos!AK$2:AK1001,"")*$G329,"")</f>
        <v/>
      </c>
      <c r="AS329" s="179" t="str">
        <f t="array" ref="AS329">IF($F329&lt;&gt;"",XLOOKUP($F329,Productos!$A:$A,Productos!AL:AL,"Revisar"),"")</f>
        <v/>
      </c>
      <c r="AT329" s="179" t="str">
        <f t="array" ref="AT329">IF($F329&lt;&gt;"", XLOOKUP($F329,Productos!$A$2:$A1001,Productos!AM$2:AM1001,"")*$G329,"")</f>
        <v/>
      </c>
      <c r="AU329" s="179" t="str">
        <f t="array" ref="AU329">IF($F329&lt;&gt;"",XLOOKUP($F329,Productos!$A:$A,Productos!AN:AN,"Revisar"),"")</f>
        <v/>
      </c>
      <c r="AV329" s="179" t="str">
        <f t="array" ref="AV329">IF($F329&lt;&gt;"", XLOOKUP($F329,Productos!$A$2:$A1001,Productos!AO$2:AO1001,"")*$G329,"")</f>
        <v/>
      </c>
      <c r="AW329" s="179" t="str">
        <f t="array" ref="AW329">IF($F329&lt;&gt;"",XLOOKUP($F329,Productos!$A:$A,Productos!AP:AP,"Revisar"),"")</f>
        <v/>
      </c>
      <c r="AX329" s="179" t="str">
        <f t="array" ref="AX329">IF($F329&lt;&gt;"", XLOOKUP($F329,Productos!$A$2:$A1001,Productos!AQ$2:AQ1001,"")*$G329,"")</f>
        <v/>
      </c>
      <c r="AY329" s="179" t="str">
        <f t="array" ref="AY329">IF($F329&lt;&gt;"",XLOOKUP($F329,Productos!$A:$A,Productos!AR:AR,"Revisar"),"")</f>
        <v/>
      </c>
      <c r="AZ329" s="179" t="str">
        <f t="array" ref="AZ329">IF($F329&lt;&gt;"", XLOOKUP($F329,Productos!$A$2:$A1001,Productos!AS$2:AS1001,"")*$G329,"")</f>
        <v/>
      </c>
      <c r="BA329" s="179" t="str">
        <f t="array" ref="BA329">IF($F329&lt;&gt;"",XLOOKUP($F329,Productos!$A:$A,Productos!AT:AT,"Revisar"),"")</f>
        <v/>
      </c>
      <c r="BB329" s="179" t="str">
        <f t="array" ref="BB329">IF($F329&lt;&gt;"", XLOOKUP($F329,Productos!$A$2:$A1001,Productos!AU$2:AU1001,"")*$G329,"")</f>
        <v/>
      </c>
      <c r="BC329" s="179" t="str">
        <f t="array" ref="BC329">IF($F329&lt;&gt;"",XLOOKUP($F329,Productos!$A:$A,Productos!AV:AV,"Revisar"),"")</f>
        <v/>
      </c>
      <c r="BD329" s="179" t="str">
        <f t="array" ref="BD329">IF($F329&lt;&gt;"", XLOOKUP($F329,Productos!$A$2:$A1001,Productos!AW$2:AW1001,"")*$G329,"")</f>
        <v/>
      </c>
      <c r="BE329" s="179" t="str">
        <f t="array" ref="BE329">IF($F329&lt;&gt;"",XLOOKUP($F329,Productos!$A:$A,Productos!AX:AX,"Revisar"),"")</f>
        <v/>
      </c>
      <c r="BF329" s="179" t="str">
        <f t="array" ref="BF329">IF($F329&lt;&gt;"", XLOOKUP($F329,Productos!$A$2:$A1001,Productos!AY$2:AY1001,"")*$G329,"")</f>
        <v/>
      </c>
      <c r="BG329" s="179" t="str">
        <f t="array" ref="BG329">IF($F329&lt;&gt;"",XLOOKUP($F329,Productos!$A:$A,Productos!AZ:AZ,"Revisar"),"")</f>
        <v/>
      </c>
      <c r="BH329" s="179" t="str">
        <f t="array" ref="BH329">IF($F329&lt;&gt;"", XLOOKUP($F329,Productos!$A$2:$A1001,Productos!BA$2:BA1001,"")*$G329,"")</f>
        <v/>
      </c>
      <c r="BI329" s="179" t="str">
        <f t="array" ref="BI329">IF($F329&lt;&gt;"",XLOOKUP($F329,Productos!$A:$A,Productos!BB:BB,"Revisar"),"")</f>
        <v/>
      </c>
      <c r="BJ329" s="179" t="str">
        <f t="array" ref="BJ329">IF($F329&lt;&gt;"", XLOOKUP($F329,Productos!$A$2:$A1001,Productos!BC$2:BC1001,"")*$G329,"")</f>
        <v/>
      </c>
      <c r="BK329" s="179" t="str">
        <f t="array" ref="BK329">IF($F329&lt;&gt;"",XLOOKUP($F329,Productos!$A:$A,Productos!BD:BD,"Revisar"),"")</f>
        <v/>
      </c>
      <c r="BL329" s="179" t="str">
        <f t="array" ref="BL329">IF($F329&lt;&gt;"", XLOOKUP($F329,Productos!$A$2:$A1001,Productos!BE$2:BE1001,"")*$G329,"")</f>
        <v/>
      </c>
      <c r="BM329" s="179" t="str">
        <f t="array" ref="BM329">IF($F329&lt;&gt;"",XLOOKUP($F329,Productos!$A:$A,Productos!BF:BF,"Revisar"),"")</f>
        <v/>
      </c>
      <c r="BN329" s="179" t="str">
        <f t="array" ref="BN329">IF($F329&lt;&gt;"", XLOOKUP($F329,Productos!$A$2:$A1001,Productos!BG$2:BG1001,"")*$G329,"")</f>
        <v/>
      </c>
      <c r="BO329" s="179" t="str">
        <f t="array" ref="BO329">IF($F329&lt;&gt;"",XLOOKUP($F329,Productos!$A:$A,Productos!BH:BH,"Revisar"),"")</f>
        <v/>
      </c>
      <c r="BP329" s="179" t="str">
        <f t="array" ref="BP329">IF($F329&lt;&gt;"", XLOOKUP($F329,Productos!$A$2:$A1001,Productos!BI$2:BI1001,"")*$G329,"")</f>
        <v/>
      </c>
      <c r="BQ329" s="179" t="str">
        <f t="array" ref="BQ329">IF($F329&lt;&gt;"",XLOOKUP($F329,Productos!$A:$A,Productos!BJ:BJ,"Revisar"),"")</f>
        <v/>
      </c>
      <c r="BR329" s="179" t="str">
        <f t="array" ref="BR329">IF($F329&lt;&gt;"", XLOOKUP($F329,Productos!$A$2:$A1001,Productos!BK$2:BK1001,"")*$G329,"")</f>
        <v/>
      </c>
      <c r="BS329" s="179" t="str">
        <f t="array" ref="BS329">IF($F329&lt;&gt;"",XLOOKUP($F329,Productos!$A:$A,Productos!BL:BL,"Revisar"),"")</f>
        <v/>
      </c>
      <c r="BT329" s="179" t="str">
        <f t="array" ref="BT329">IF($F329&lt;&gt;"", XLOOKUP($F329,Productos!$A$2:$A1001,Productos!BM$2:BM1001,"")*$G329,"")</f>
        <v/>
      </c>
      <c r="BU329" s="179" t="str">
        <f t="array" ref="BU329">IF($F329&lt;&gt;"",XLOOKUP($F329,Productos!$A:$A,Productos!BN:BN,"Revisar"),"")</f>
        <v/>
      </c>
      <c r="BV329" s="179" t="str">
        <f t="array" ref="BV329">IF($F329&lt;&gt;"", XLOOKUP($F329,Productos!$A$2:$A1001,Productos!BO$2:BO1001,"")*$G329,"")</f>
        <v/>
      </c>
      <c r="BW329" s="179" t="str">
        <f t="array" ref="BW329">IF($F329&lt;&gt;"",XLOOKUP($F329,Productos!$A:$A,Productos!BP:BP,"Revisar"),"")</f>
        <v/>
      </c>
      <c r="BX329" s="179" t="str">
        <f t="array" ref="BX329">IF($F329&lt;&gt;"", XLOOKUP($F329,Productos!$A$2:$A1001,Productos!BQ$2:BQ1001,"")*$G329,"")</f>
        <v/>
      </c>
      <c r="BY329" s="179" t="str">
        <f t="array" ref="BY329">IF($F329&lt;&gt;"",XLOOKUP($F329,Productos!$A:$A,Productos!BR:BR,"Revisar"),"")</f>
        <v/>
      </c>
      <c r="BZ329" s="179" t="str">
        <f t="array" ref="BZ329">IF($F329&lt;&gt;"", XLOOKUP($F329,Productos!$A$2:$A1001,Productos!BS$2:BS1001,"")*$G329,"")</f>
        <v/>
      </c>
    </row>
    <row r="330">
      <c r="A330" s="188"/>
      <c r="B330" s="189"/>
      <c r="C330" s="190"/>
      <c r="D330" s="190"/>
      <c r="E330" s="191"/>
      <c r="F330" s="186"/>
      <c r="G330" s="192"/>
      <c r="H330" s="9"/>
      <c r="I330" s="179" t="str">
        <f t="array" ref="I330">IF($F330&lt;&gt;"",XLOOKUP($F330,Productos!$A:$A,Productos!B:B,"Revisar"),"")</f>
        <v/>
      </c>
      <c r="J330" s="179" t="str">
        <f t="array" ref="J330">IF($F330&lt;&gt;"", XLOOKUP($F330,Productos!$A$2:$A1001,Productos!C$2:C1001,"")*$G330,"")</f>
        <v/>
      </c>
      <c r="K330" s="179" t="str">
        <f t="array" ref="K330">IF($F330&lt;&gt;"",XLOOKUP($F330,Productos!$A:$A,Productos!D:D,"Revisar"),"")</f>
        <v/>
      </c>
      <c r="L330" s="179" t="str">
        <f t="array" ref="L330">IF($F330&lt;&gt;"", XLOOKUP($F330,Productos!$A$2:$A1001,Productos!E$2:E1001,"")*$G330,"")</f>
        <v/>
      </c>
      <c r="M330" s="179" t="str">
        <f t="array" ref="M330">IF($F330&lt;&gt;"",XLOOKUP($F330,Productos!$A:$A,Productos!F:F,"Revisar"),"")</f>
        <v/>
      </c>
      <c r="N330" s="179" t="str">
        <f t="array" ref="N330">IF($F330&lt;&gt;"", XLOOKUP($F330,Productos!$A$2:$A1001,Productos!G$2:G1001,"")*$G330,"")</f>
        <v/>
      </c>
      <c r="O330" s="179" t="str">
        <f t="array" ref="O330">IF($F330&lt;&gt;"",XLOOKUP($F330,Productos!$A:$A,Productos!H:H,"Revisar"),"")</f>
        <v/>
      </c>
      <c r="P330" s="179" t="str">
        <f t="array" ref="P330">IF($F330&lt;&gt;"", XLOOKUP($F330,Productos!$A$2:$A1001,Productos!I$2:I1001,"")*$G330,"")</f>
        <v/>
      </c>
      <c r="Q330" s="179" t="str">
        <f t="array" ref="Q330">IF($F330&lt;&gt;"",XLOOKUP($F330,Productos!$A:$A,Productos!J:J,"Revisar"),"")</f>
        <v/>
      </c>
      <c r="R330" s="179" t="str">
        <f t="array" ref="R330">IF($F330&lt;&gt;"", XLOOKUP($F330,Productos!$A$2:$A1001,Productos!K$2:K1001,"")*$G330,"")</f>
        <v/>
      </c>
      <c r="S330" s="179" t="str">
        <f t="array" ref="S330">IF($F330&lt;&gt;"",XLOOKUP($F330,Productos!$A:$A,Productos!L:L,"Revisar"),"")</f>
        <v/>
      </c>
      <c r="T330" s="179" t="str">
        <f t="array" ref="T330">IF($F330&lt;&gt;"", XLOOKUP($F330,Productos!$A$2:$A1001,Productos!M$2:M1001,"")*$G330,"")</f>
        <v/>
      </c>
      <c r="U330" s="179" t="str">
        <f t="array" ref="U330">IF($F330&lt;&gt;"",XLOOKUP($F330,Productos!$A:$A,Productos!N:N,"Revisar"),"")</f>
        <v/>
      </c>
      <c r="V330" s="179" t="str">
        <f t="array" ref="V330">IF($F330&lt;&gt;"", XLOOKUP($F330,Productos!$A$2:$A1001,Productos!O$2:O1001,"")*$G330,"")</f>
        <v/>
      </c>
      <c r="W330" s="179" t="str">
        <f t="array" ref="W330">IF($F330&lt;&gt;"",XLOOKUP($F330,Productos!$A:$A,Productos!P:P,"Revisar"),"")</f>
        <v/>
      </c>
      <c r="X330" s="179" t="str">
        <f t="array" ref="X330">IF($F330&lt;&gt;"", XLOOKUP($F330,Productos!$A$2:$A1001,Productos!Q$2:Q1001,"")*$G330,"")</f>
        <v/>
      </c>
      <c r="Y330" s="179" t="str">
        <f t="array" ref="Y330">IF($F330&lt;&gt;"",XLOOKUP($F330,Productos!$A:$A,Productos!R:R,"Revisar"),"")</f>
        <v/>
      </c>
      <c r="Z330" s="179" t="str">
        <f t="array" ref="Z330">IF($F330&lt;&gt;"", XLOOKUP($F330,Productos!$A$2:$A1001,Productos!S$2:S1001,"")*$G330,"")</f>
        <v/>
      </c>
      <c r="AA330" s="179" t="str">
        <f t="array" ref="AA330">IF($F330&lt;&gt;"",XLOOKUP($F330,Productos!$A:$A,Productos!T:T,"Revisar"),"")</f>
        <v/>
      </c>
      <c r="AB330" s="179" t="str">
        <f t="array" ref="AB330">IF($F330&lt;&gt;"", XLOOKUP($F330,Productos!$A$2:$A1001,Productos!U$2:U1001,"")*$G330,"")</f>
        <v/>
      </c>
      <c r="AC330" s="179" t="str">
        <f t="array" ref="AC330">IF($F330&lt;&gt;"",XLOOKUP($F330,Productos!$A:$A,Productos!V:V,"Revisar"),"")</f>
        <v/>
      </c>
      <c r="AD330" s="179" t="str">
        <f t="array" ref="AD330">IF($F330&lt;&gt;"", XLOOKUP($F330,Productos!$A$2:$A1001,Productos!W$2:W1001,"")*$G330,"")</f>
        <v/>
      </c>
      <c r="AE330" s="179" t="str">
        <f t="array" ref="AE330">IF($F330&lt;&gt;"",XLOOKUP($F330,Productos!$A:$A,Productos!X:X,"Revisar"),"")</f>
        <v/>
      </c>
      <c r="AF330" s="179" t="str">
        <f t="array" ref="AF330">IF($F330&lt;&gt;"", XLOOKUP($F330,Productos!$A$2:$A1001,Productos!Y$2:Y1001,"")*$G330,"")</f>
        <v/>
      </c>
      <c r="AG330" s="179" t="str">
        <f t="array" ref="AG330">IF($F330&lt;&gt;"",XLOOKUP($F330,Productos!$A:$A,Productos!Z:Z,"Revisar"),"")</f>
        <v/>
      </c>
      <c r="AH330" s="179" t="str">
        <f t="array" ref="AH330">IF($F330&lt;&gt;"", XLOOKUP($F330,Productos!$A$2:$A1001,Productos!AA$2:AA1001,"")*$G330,"")</f>
        <v/>
      </c>
      <c r="AI330" s="179" t="str">
        <f t="array" ref="AI330">IF($F330&lt;&gt;"",XLOOKUP($F330,Productos!$A:$A,Productos!AB:AB,"Revisar"),"")</f>
        <v/>
      </c>
      <c r="AJ330" s="179" t="str">
        <f t="array" ref="AJ330">IF($F330&lt;&gt;"", XLOOKUP($F330,Productos!$A$2:$A1001,Productos!AC$2:AC1001,"")*$G330,"")</f>
        <v/>
      </c>
      <c r="AK330" s="179" t="str">
        <f t="array" ref="AK330">IF($F330&lt;&gt;"",XLOOKUP($F330,Productos!$A:$A,Productos!AD:AD,"Revisar"),"")</f>
        <v/>
      </c>
      <c r="AL330" s="179" t="str">
        <f t="array" ref="AL330">IF($F330&lt;&gt;"", XLOOKUP($F330,Productos!$A$2:$A1001,Productos!AE$2:AE1001,"")*$G330,"")</f>
        <v/>
      </c>
      <c r="AM330" s="179" t="str">
        <f t="array" ref="AM330">IF($F330&lt;&gt;"",XLOOKUP($F330,Productos!$A:$A,Productos!AF:AF,"Revisar"),"")</f>
        <v/>
      </c>
      <c r="AN330" s="179" t="str">
        <f t="array" ref="AN330">IF($F330&lt;&gt;"", XLOOKUP($F330,Productos!$A$2:$A1001,Productos!AG$2:AG1001,"")*$G330,"")</f>
        <v/>
      </c>
      <c r="AO330" s="179" t="str">
        <f t="array" ref="AO330">IF($F330&lt;&gt;"",XLOOKUP($F330,Productos!$A:$A,Productos!AH:AH,"Revisar"),"")</f>
        <v/>
      </c>
      <c r="AP330" s="179" t="str">
        <f t="array" ref="AP330">IF($F330&lt;&gt;"", XLOOKUP($F330,Productos!$A$2:$A1001,Productos!AI$2:AI1001,"")*$G330,"")</f>
        <v/>
      </c>
      <c r="AQ330" s="179" t="str">
        <f t="array" ref="AQ330">IF($F330&lt;&gt;"",XLOOKUP($F330,Productos!$A:$A,Productos!AJ:AJ,"Revisar"),"")</f>
        <v/>
      </c>
      <c r="AR330" s="179" t="str">
        <f t="array" ref="AR330">IF($F330&lt;&gt;"", XLOOKUP($F330,Productos!$A$2:$A1001,Productos!AK$2:AK1001,"")*$G330,"")</f>
        <v/>
      </c>
      <c r="AS330" s="179" t="str">
        <f t="array" ref="AS330">IF($F330&lt;&gt;"",XLOOKUP($F330,Productos!$A:$A,Productos!AL:AL,"Revisar"),"")</f>
        <v/>
      </c>
      <c r="AT330" s="179" t="str">
        <f t="array" ref="AT330">IF($F330&lt;&gt;"", XLOOKUP($F330,Productos!$A$2:$A1001,Productos!AM$2:AM1001,"")*$G330,"")</f>
        <v/>
      </c>
      <c r="AU330" s="179" t="str">
        <f t="array" ref="AU330">IF($F330&lt;&gt;"",XLOOKUP($F330,Productos!$A:$A,Productos!AN:AN,"Revisar"),"")</f>
        <v/>
      </c>
      <c r="AV330" s="179" t="str">
        <f t="array" ref="AV330">IF($F330&lt;&gt;"", XLOOKUP($F330,Productos!$A$2:$A1001,Productos!AO$2:AO1001,"")*$G330,"")</f>
        <v/>
      </c>
      <c r="AW330" s="179" t="str">
        <f t="array" ref="AW330">IF($F330&lt;&gt;"",XLOOKUP($F330,Productos!$A:$A,Productos!AP:AP,"Revisar"),"")</f>
        <v/>
      </c>
      <c r="AX330" s="179" t="str">
        <f t="array" ref="AX330">IF($F330&lt;&gt;"", XLOOKUP($F330,Productos!$A$2:$A1001,Productos!AQ$2:AQ1001,"")*$G330,"")</f>
        <v/>
      </c>
      <c r="AY330" s="179" t="str">
        <f t="array" ref="AY330">IF($F330&lt;&gt;"",XLOOKUP($F330,Productos!$A:$A,Productos!AR:AR,"Revisar"),"")</f>
        <v/>
      </c>
      <c r="AZ330" s="179" t="str">
        <f t="array" ref="AZ330">IF($F330&lt;&gt;"", XLOOKUP($F330,Productos!$A$2:$A1001,Productos!AS$2:AS1001,"")*$G330,"")</f>
        <v/>
      </c>
      <c r="BA330" s="179" t="str">
        <f t="array" ref="BA330">IF($F330&lt;&gt;"",XLOOKUP($F330,Productos!$A:$A,Productos!AT:AT,"Revisar"),"")</f>
        <v/>
      </c>
      <c r="BB330" s="179" t="str">
        <f t="array" ref="BB330">IF($F330&lt;&gt;"", XLOOKUP($F330,Productos!$A$2:$A1001,Productos!AU$2:AU1001,"")*$G330,"")</f>
        <v/>
      </c>
      <c r="BC330" s="179" t="str">
        <f t="array" ref="BC330">IF($F330&lt;&gt;"",XLOOKUP($F330,Productos!$A:$A,Productos!AV:AV,"Revisar"),"")</f>
        <v/>
      </c>
      <c r="BD330" s="179" t="str">
        <f t="array" ref="BD330">IF($F330&lt;&gt;"", XLOOKUP($F330,Productos!$A$2:$A1001,Productos!AW$2:AW1001,"")*$G330,"")</f>
        <v/>
      </c>
      <c r="BE330" s="179" t="str">
        <f t="array" ref="BE330">IF($F330&lt;&gt;"",XLOOKUP($F330,Productos!$A:$A,Productos!AX:AX,"Revisar"),"")</f>
        <v/>
      </c>
      <c r="BF330" s="179" t="str">
        <f t="array" ref="BF330">IF($F330&lt;&gt;"", XLOOKUP($F330,Productos!$A$2:$A1001,Productos!AY$2:AY1001,"")*$G330,"")</f>
        <v/>
      </c>
      <c r="BG330" s="179" t="str">
        <f t="array" ref="BG330">IF($F330&lt;&gt;"",XLOOKUP($F330,Productos!$A:$A,Productos!AZ:AZ,"Revisar"),"")</f>
        <v/>
      </c>
      <c r="BH330" s="179" t="str">
        <f t="array" ref="BH330">IF($F330&lt;&gt;"", XLOOKUP($F330,Productos!$A$2:$A1001,Productos!BA$2:BA1001,"")*$G330,"")</f>
        <v/>
      </c>
      <c r="BI330" s="179" t="str">
        <f t="array" ref="BI330">IF($F330&lt;&gt;"",XLOOKUP($F330,Productos!$A:$A,Productos!BB:BB,"Revisar"),"")</f>
        <v/>
      </c>
      <c r="BJ330" s="179" t="str">
        <f t="array" ref="BJ330">IF($F330&lt;&gt;"", XLOOKUP($F330,Productos!$A$2:$A1001,Productos!BC$2:BC1001,"")*$G330,"")</f>
        <v/>
      </c>
      <c r="BK330" s="179" t="str">
        <f t="array" ref="BK330">IF($F330&lt;&gt;"",XLOOKUP($F330,Productos!$A:$A,Productos!BD:BD,"Revisar"),"")</f>
        <v/>
      </c>
      <c r="BL330" s="179" t="str">
        <f t="array" ref="BL330">IF($F330&lt;&gt;"", XLOOKUP($F330,Productos!$A$2:$A1001,Productos!BE$2:BE1001,"")*$G330,"")</f>
        <v/>
      </c>
      <c r="BM330" s="179" t="str">
        <f t="array" ref="BM330">IF($F330&lt;&gt;"",XLOOKUP($F330,Productos!$A:$A,Productos!BF:BF,"Revisar"),"")</f>
        <v/>
      </c>
      <c r="BN330" s="179" t="str">
        <f t="array" ref="BN330">IF($F330&lt;&gt;"", XLOOKUP($F330,Productos!$A$2:$A1001,Productos!BG$2:BG1001,"")*$G330,"")</f>
        <v/>
      </c>
      <c r="BO330" s="179" t="str">
        <f t="array" ref="BO330">IF($F330&lt;&gt;"",XLOOKUP($F330,Productos!$A:$A,Productos!BH:BH,"Revisar"),"")</f>
        <v/>
      </c>
      <c r="BP330" s="179" t="str">
        <f t="array" ref="BP330">IF($F330&lt;&gt;"", XLOOKUP($F330,Productos!$A$2:$A1001,Productos!BI$2:BI1001,"")*$G330,"")</f>
        <v/>
      </c>
      <c r="BQ330" s="179" t="str">
        <f t="array" ref="BQ330">IF($F330&lt;&gt;"",XLOOKUP($F330,Productos!$A:$A,Productos!BJ:BJ,"Revisar"),"")</f>
        <v/>
      </c>
      <c r="BR330" s="179" t="str">
        <f t="array" ref="BR330">IF($F330&lt;&gt;"", XLOOKUP($F330,Productos!$A$2:$A1001,Productos!BK$2:BK1001,"")*$G330,"")</f>
        <v/>
      </c>
      <c r="BS330" s="179" t="str">
        <f t="array" ref="BS330">IF($F330&lt;&gt;"",XLOOKUP($F330,Productos!$A:$A,Productos!BL:BL,"Revisar"),"")</f>
        <v/>
      </c>
      <c r="BT330" s="179" t="str">
        <f t="array" ref="BT330">IF($F330&lt;&gt;"", XLOOKUP($F330,Productos!$A$2:$A1001,Productos!BM$2:BM1001,"")*$G330,"")</f>
        <v/>
      </c>
      <c r="BU330" s="179" t="str">
        <f t="array" ref="BU330">IF($F330&lt;&gt;"",XLOOKUP($F330,Productos!$A:$A,Productos!BN:BN,"Revisar"),"")</f>
        <v/>
      </c>
      <c r="BV330" s="179" t="str">
        <f t="array" ref="BV330">IF($F330&lt;&gt;"", XLOOKUP($F330,Productos!$A$2:$A1001,Productos!BO$2:BO1001,"")*$G330,"")</f>
        <v/>
      </c>
      <c r="BW330" s="179" t="str">
        <f t="array" ref="BW330">IF($F330&lt;&gt;"",XLOOKUP($F330,Productos!$A:$A,Productos!BP:BP,"Revisar"),"")</f>
        <v/>
      </c>
      <c r="BX330" s="179" t="str">
        <f t="array" ref="BX330">IF($F330&lt;&gt;"", XLOOKUP($F330,Productos!$A$2:$A1001,Productos!BQ$2:BQ1001,"")*$G330,"")</f>
        <v/>
      </c>
      <c r="BY330" s="179" t="str">
        <f t="array" ref="BY330">IF($F330&lt;&gt;"",XLOOKUP($F330,Productos!$A:$A,Productos!BR:BR,"Revisar"),"")</f>
        <v/>
      </c>
      <c r="BZ330" s="179" t="str">
        <f t="array" ref="BZ330">IF($F330&lt;&gt;"", XLOOKUP($F330,Productos!$A$2:$A1001,Productos!BS$2:BS1001,"")*$G330,"")</f>
        <v/>
      </c>
    </row>
    <row r="331">
      <c r="A331" s="188"/>
      <c r="B331" s="189"/>
      <c r="C331" s="190"/>
      <c r="D331" s="190"/>
      <c r="E331" s="191"/>
      <c r="F331" s="186"/>
      <c r="G331" s="192"/>
      <c r="H331" s="9"/>
      <c r="I331" s="179" t="str">
        <f t="array" ref="I331">IF($F331&lt;&gt;"",XLOOKUP($F331,Productos!$A:$A,Productos!B:B,"Revisar"),"")</f>
        <v/>
      </c>
      <c r="J331" s="179" t="str">
        <f t="array" ref="J331">IF($F331&lt;&gt;"", XLOOKUP($F331,Productos!$A$2:$A1001,Productos!C$2:C1001,"")*$G331,"")</f>
        <v/>
      </c>
      <c r="K331" s="179" t="str">
        <f t="array" ref="K331">IF($F331&lt;&gt;"",XLOOKUP($F331,Productos!$A:$A,Productos!D:D,"Revisar"),"")</f>
        <v/>
      </c>
      <c r="L331" s="179" t="str">
        <f t="array" ref="L331">IF($F331&lt;&gt;"", XLOOKUP($F331,Productos!$A$2:$A1001,Productos!E$2:E1001,"")*$G331,"")</f>
        <v/>
      </c>
      <c r="M331" s="179" t="str">
        <f t="array" ref="M331">IF($F331&lt;&gt;"",XLOOKUP($F331,Productos!$A:$A,Productos!F:F,"Revisar"),"")</f>
        <v/>
      </c>
      <c r="N331" s="179" t="str">
        <f t="array" ref="N331">IF($F331&lt;&gt;"", XLOOKUP($F331,Productos!$A$2:$A1001,Productos!G$2:G1001,"")*$G331,"")</f>
        <v/>
      </c>
      <c r="O331" s="179" t="str">
        <f t="array" ref="O331">IF($F331&lt;&gt;"",XLOOKUP($F331,Productos!$A:$A,Productos!H:H,"Revisar"),"")</f>
        <v/>
      </c>
      <c r="P331" s="179" t="str">
        <f t="array" ref="P331">IF($F331&lt;&gt;"", XLOOKUP($F331,Productos!$A$2:$A1001,Productos!I$2:I1001,"")*$G331,"")</f>
        <v/>
      </c>
      <c r="Q331" s="179" t="str">
        <f t="array" ref="Q331">IF($F331&lt;&gt;"",XLOOKUP($F331,Productos!$A:$A,Productos!J:J,"Revisar"),"")</f>
        <v/>
      </c>
      <c r="R331" s="179" t="str">
        <f t="array" ref="R331">IF($F331&lt;&gt;"", XLOOKUP($F331,Productos!$A$2:$A1001,Productos!K$2:K1001,"")*$G331,"")</f>
        <v/>
      </c>
      <c r="S331" s="179" t="str">
        <f t="array" ref="S331">IF($F331&lt;&gt;"",XLOOKUP($F331,Productos!$A:$A,Productos!L:L,"Revisar"),"")</f>
        <v/>
      </c>
      <c r="T331" s="179" t="str">
        <f t="array" ref="T331">IF($F331&lt;&gt;"", XLOOKUP($F331,Productos!$A$2:$A1001,Productos!M$2:M1001,"")*$G331,"")</f>
        <v/>
      </c>
      <c r="U331" s="179" t="str">
        <f t="array" ref="U331">IF($F331&lt;&gt;"",XLOOKUP($F331,Productos!$A:$A,Productos!N:N,"Revisar"),"")</f>
        <v/>
      </c>
      <c r="V331" s="179" t="str">
        <f t="array" ref="V331">IF($F331&lt;&gt;"", XLOOKUP($F331,Productos!$A$2:$A1001,Productos!O$2:O1001,"")*$G331,"")</f>
        <v/>
      </c>
      <c r="W331" s="179" t="str">
        <f t="array" ref="W331">IF($F331&lt;&gt;"",XLOOKUP($F331,Productos!$A:$A,Productos!P:P,"Revisar"),"")</f>
        <v/>
      </c>
      <c r="X331" s="179" t="str">
        <f t="array" ref="X331">IF($F331&lt;&gt;"", XLOOKUP($F331,Productos!$A$2:$A1001,Productos!Q$2:Q1001,"")*$G331,"")</f>
        <v/>
      </c>
      <c r="Y331" s="179" t="str">
        <f t="array" ref="Y331">IF($F331&lt;&gt;"",XLOOKUP($F331,Productos!$A:$A,Productos!R:R,"Revisar"),"")</f>
        <v/>
      </c>
      <c r="Z331" s="179" t="str">
        <f t="array" ref="Z331">IF($F331&lt;&gt;"", XLOOKUP($F331,Productos!$A$2:$A1001,Productos!S$2:S1001,"")*$G331,"")</f>
        <v/>
      </c>
      <c r="AA331" s="179" t="str">
        <f t="array" ref="AA331">IF($F331&lt;&gt;"",XLOOKUP($F331,Productos!$A:$A,Productos!T:T,"Revisar"),"")</f>
        <v/>
      </c>
      <c r="AB331" s="179" t="str">
        <f t="array" ref="AB331">IF($F331&lt;&gt;"", XLOOKUP($F331,Productos!$A$2:$A1001,Productos!U$2:U1001,"")*$G331,"")</f>
        <v/>
      </c>
      <c r="AC331" s="179" t="str">
        <f t="array" ref="AC331">IF($F331&lt;&gt;"",XLOOKUP($F331,Productos!$A:$A,Productos!V:V,"Revisar"),"")</f>
        <v/>
      </c>
      <c r="AD331" s="179" t="str">
        <f t="array" ref="AD331">IF($F331&lt;&gt;"", XLOOKUP($F331,Productos!$A$2:$A1001,Productos!W$2:W1001,"")*$G331,"")</f>
        <v/>
      </c>
      <c r="AE331" s="179" t="str">
        <f t="array" ref="AE331">IF($F331&lt;&gt;"",XLOOKUP($F331,Productos!$A:$A,Productos!X:X,"Revisar"),"")</f>
        <v/>
      </c>
      <c r="AF331" s="179" t="str">
        <f t="array" ref="AF331">IF($F331&lt;&gt;"", XLOOKUP($F331,Productos!$A$2:$A1001,Productos!Y$2:Y1001,"")*$G331,"")</f>
        <v/>
      </c>
      <c r="AG331" s="179" t="str">
        <f t="array" ref="AG331">IF($F331&lt;&gt;"",XLOOKUP($F331,Productos!$A:$A,Productos!Z:Z,"Revisar"),"")</f>
        <v/>
      </c>
      <c r="AH331" s="179" t="str">
        <f t="array" ref="AH331">IF($F331&lt;&gt;"", XLOOKUP($F331,Productos!$A$2:$A1001,Productos!AA$2:AA1001,"")*$G331,"")</f>
        <v/>
      </c>
      <c r="AI331" s="179" t="str">
        <f t="array" ref="AI331">IF($F331&lt;&gt;"",XLOOKUP($F331,Productos!$A:$A,Productos!AB:AB,"Revisar"),"")</f>
        <v/>
      </c>
      <c r="AJ331" s="179" t="str">
        <f t="array" ref="AJ331">IF($F331&lt;&gt;"", XLOOKUP($F331,Productos!$A$2:$A1001,Productos!AC$2:AC1001,"")*$G331,"")</f>
        <v/>
      </c>
      <c r="AK331" s="179" t="str">
        <f t="array" ref="AK331">IF($F331&lt;&gt;"",XLOOKUP($F331,Productos!$A:$A,Productos!AD:AD,"Revisar"),"")</f>
        <v/>
      </c>
      <c r="AL331" s="179" t="str">
        <f t="array" ref="AL331">IF($F331&lt;&gt;"", XLOOKUP($F331,Productos!$A$2:$A1001,Productos!AE$2:AE1001,"")*$G331,"")</f>
        <v/>
      </c>
      <c r="AM331" s="179" t="str">
        <f t="array" ref="AM331">IF($F331&lt;&gt;"",XLOOKUP($F331,Productos!$A:$A,Productos!AF:AF,"Revisar"),"")</f>
        <v/>
      </c>
      <c r="AN331" s="179" t="str">
        <f t="array" ref="AN331">IF($F331&lt;&gt;"", XLOOKUP($F331,Productos!$A$2:$A1001,Productos!AG$2:AG1001,"")*$G331,"")</f>
        <v/>
      </c>
      <c r="AO331" s="179" t="str">
        <f t="array" ref="AO331">IF($F331&lt;&gt;"",XLOOKUP($F331,Productos!$A:$A,Productos!AH:AH,"Revisar"),"")</f>
        <v/>
      </c>
      <c r="AP331" s="179" t="str">
        <f t="array" ref="AP331">IF($F331&lt;&gt;"", XLOOKUP($F331,Productos!$A$2:$A1001,Productos!AI$2:AI1001,"")*$G331,"")</f>
        <v/>
      </c>
      <c r="AQ331" s="179" t="str">
        <f t="array" ref="AQ331">IF($F331&lt;&gt;"",XLOOKUP($F331,Productos!$A:$A,Productos!AJ:AJ,"Revisar"),"")</f>
        <v/>
      </c>
      <c r="AR331" s="179" t="str">
        <f t="array" ref="AR331">IF($F331&lt;&gt;"", XLOOKUP($F331,Productos!$A$2:$A1001,Productos!AK$2:AK1001,"")*$G331,"")</f>
        <v/>
      </c>
      <c r="AS331" s="179" t="str">
        <f t="array" ref="AS331">IF($F331&lt;&gt;"",XLOOKUP($F331,Productos!$A:$A,Productos!AL:AL,"Revisar"),"")</f>
        <v/>
      </c>
      <c r="AT331" s="179" t="str">
        <f t="array" ref="AT331">IF($F331&lt;&gt;"", XLOOKUP($F331,Productos!$A$2:$A1001,Productos!AM$2:AM1001,"")*$G331,"")</f>
        <v/>
      </c>
      <c r="AU331" s="179" t="str">
        <f t="array" ref="AU331">IF($F331&lt;&gt;"",XLOOKUP($F331,Productos!$A:$A,Productos!AN:AN,"Revisar"),"")</f>
        <v/>
      </c>
      <c r="AV331" s="179" t="str">
        <f t="array" ref="AV331">IF($F331&lt;&gt;"", XLOOKUP($F331,Productos!$A$2:$A1001,Productos!AO$2:AO1001,"")*$G331,"")</f>
        <v/>
      </c>
      <c r="AW331" s="179" t="str">
        <f t="array" ref="AW331">IF($F331&lt;&gt;"",XLOOKUP($F331,Productos!$A:$A,Productos!AP:AP,"Revisar"),"")</f>
        <v/>
      </c>
      <c r="AX331" s="179" t="str">
        <f t="array" ref="AX331">IF($F331&lt;&gt;"", XLOOKUP($F331,Productos!$A$2:$A1001,Productos!AQ$2:AQ1001,"")*$G331,"")</f>
        <v/>
      </c>
      <c r="AY331" s="179" t="str">
        <f t="array" ref="AY331">IF($F331&lt;&gt;"",XLOOKUP($F331,Productos!$A:$A,Productos!AR:AR,"Revisar"),"")</f>
        <v/>
      </c>
      <c r="AZ331" s="179" t="str">
        <f t="array" ref="AZ331">IF($F331&lt;&gt;"", XLOOKUP($F331,Productos!$A$2:$A1001,Productos!AS$2:AS1001,"")*$G331,"")</f>
        <v/>
      </c>
      <c r="BA331" s="179" t="str">
        <f t="array" ref="BA331">IF($F331&lt;&gt;"",XLOOKUP($F331,Productos!$A:$A,Productos!AT:AT,"Revisar"),"")</f>
        <v/>
      </c>
      <c r="BB331" s="179" t="str">
        <f t="array" ref="BB331">IF($F331&lt;&gt;"", XLOOKUP($F331,Productos!$A$2:$A1001,Productos!AU$2:AU1001,"")*$G331,"")</f>
        <v/>
      </c>
      <c r="BC331" s="179" t="str">
        <f t="array" ref="BC331">IF($F331&lt;&gt;"",XLOOKUP($F331,Productos!$A:$A,Productos!AV:AV,"Revisar"),"")</f>
        <v/>
      </c>
      <c r="BD331" s="179" t="str">
        <f t="array" ref="BD331">IF($F331&lt;&gt;"", XLOOKUP($F331,Productos!$A$2:$A1001,Productos!AW$2:AW1001,"")*$G331,"")</f>
        <v/>
      </c>
      <c r="BE331" s="179" t="str">
        <f t="array" ref="BE331">IF($F331&lt;&gt;"",XLOOKUP($F331,Productos!$A:$A,Productos!AX:AX,"Revisar"),"")</f>
        <v/>
      </c>
      <c r="BF331" s="179" t="str">
        <f t="array" ref="BF331">IF($F331&lt;&gt;"", XLOOKUP($F331,Productos!$A$2:$A1001,Productos!AY$2:AY1001,"")*$G331,"")</f>
        <v/>
      </c>
      <c r="BG331" s="179" t="str">
        <f t="array" ref="BG331">IF($F331&lt;&gt;"",XLOOKUP($F331,Productos!$A:$A,Productos!AZ:AZ,"Revisar"),"")</f>
        <v/>
      </c>
      <c r="BH331" s="179" t="str">
        <f t="array" ref="BH331">IF($F331&lt;&gt;"", XLOOKUP($F331,Productos!$A$2:$A1001,Productos!BA$2:BA1001,"")*$G331,"")</f>
        <v/>
      </c>
      <c r="BI331" s="179" t="str">
        <f t="array" ref="BI331">IF($F331&lt;&gt;"",XLOOKUP($F331,Productos!$A:$A,Productos!BB:BB,"Revisar"),"")</f>
        <v/>
      </c>
      <c r="BJ331" s="179" t="str">
        <f t="array" ref="BJ331">IF($F331&lt;&gt;"", XLOOKUP($F331,Productos!$A$2:$A1001,Productos!BC$2:BC1001,"")*$G331,"")</f>
        <v/>
      </c>
      <c r="BK331" s="179" t="str">
        <f t="array" ref="BK331">IF($F331&lt;&gt;"",XLOOKUP($F331,Productos!$A:$A,Productos!BD:BD,"Revisar"),"")</f>
        <v/>
      </c>
      <c r="BL331" s="179" t="str">
        <f t="array" ref="BL331">IF($F331&lt;&gt;"", XLOOKUP($F331,Productos!$A$2:$A1001,Productos!BE$2:BE1001,"")*$G331,"")</f>
        <v/>
      </c>
      <c r="BM331" s="179" t="str">
        <f t="array" ref="BM331">IF($F331&lt;&gt;"",XLOOKUP($F331,Productos!$A:$A,Productos!BF:BF,"Revisar"),"")</f>
        <v/>
      </c>
      <c r="BN331" s="179" t="str">
        <f t="array" ref="BN331">IF($F331&lt;&gt;"", XLOOKUP($F331,Productos!$A$2:$A1001,Productos!BG$2:BG1001,"")*$G331,"")</f>
        <v/>
      </c>
      <c r="BO331" s="179" t="str">
        <f t="array" ref="BO331">IF($F331&lt;&gt;"",XLOOKUP($F331,Productos!$A:$A,Productos!BH:BH,"Revisar"),"")</f>
        <v/>
      </c>
      <c r="BP331" s="179" t="str">
        <f t="array" ref="BP331">IF($F331&lt;&gt;"", XLOOKUP($F331,Productos!$A$2:$A1001,Productos!BI$2:BI1001,"")*$G331,"")</f>
        <v/>
      </c>
      <c r="BQ331" s="179" t="str">
        <f t="array" ref="BQ331">IF($F331&lt;&gt;"",XLOOKUP($F331,Productos!$A:$A,Productos!BJ:BJ,"Revisar"),"")</f>
        <v/>
      </c>
      <c r="BR331" s="179" t="str">
        <f t="array" ref="BR331">IF($F331&lt;&gt;"", XLOOKUP($F331,Productos!$A$2:$A1001,Productos!BK$2:BK1001,"")*$G331,"")</f>
        <v/>
      </c>
      <c r="BS331" s="179" t="str">
        <f t="array" ref="BS331">IF($F331&lt;&gt;"",XLOOKUP($F331,Productos!$A:$A,Productos!BL:BL,"Revisar"),"")</f>
        <v/>
      </c>
      <c r="BT331" s="179" t="str">
        <f t="array" ref="BT331">IF($F331&lt;&gt;"", XLOOKUP($F331,Productos!$A$2:$A1001,Productos!BM$2:BM1001,"")*$G331,"")</f>
        <v/>
      </c>
      <c r="BU331" s="179" t="str">
        <f t="array" ref="BU331">IF($F331&lt;&gt;"",XLOOKUP($F331,Productos!$A:$A,Productos!BN:BN,"Revisar"),"")</f>
        <v/>
      </c>
      <c r="BV331" s="179" t="str">
        <f t="array" ref="BV331">IF($F331&lt;&gt;"", XLOOKUP($F331,Productos!$A$2:$A1001,Productos!BO$2:BO1001,"")*$G331,"")</f>
        <v/>
      </c>
      <c r="BW331" s="179" t="str">
        <f t="array" ref="BW331">IF($F331&lt;&gt;"",XLOOKUP($F331,Productos!$A:$A,Productos!BP:BP,"Revisar"),"")</f>
        <v/>
      </c>
      <c r="BX331" s="179" t="str">
        <f t="array" ref="BX331">IF($F331&lt;&gt;"", XLOOKUP($F331,Productos!$A$2:$A1001,Productos!BQ$2:BQ1001,"")*$G331,"")</f>
        <v/>
      </c>
      <c r="BY331" s="179" t="str">
        <f t="array" ref="BY331">IF($F331&lt;&gt;"",XLOOKUP($F331,Productos!$A:$A,Productos!BR:BR,"Revisar"),"")</f>
        <v/>
      </c>
      <c r="BZ331" s="179" t="str">
        <f t="array" ref="BZ331">IF($F331&lt;&gt;"", XLOOKUP($F331,Productos!$A$2:$A1001,Productos!BS$2:BS1001,"")*$G331,"")</f>
        <v/>
      </c>
    </row>
    <row r="332">
      <c r="A332" s="188"/>
      <c r="B332" s="189"/>
      <c r="C332" s="190"/>
      <c r="D332" s="190"/>
      <c r="E332" s="191"/>
      <c r="F332" s="186"/>
      <c r="G332" s="192"/>
      <c r="H332" s="9"/>
      <c r="I332" s="179" t="str">
        <f t="array" ref="I332">IF($F332&lt;&gt;"",XLOOKUP($F332,Productos!$A:$A,Productos!B:B,"Revisar"),"")</f>
        <v/>
      </c>
      <c r="J332" s="179" t="str">
        <f t="array" ref="J332">IF($F332&lt;&gt;"", XLOOKUP($F332,Productos!$A$2:$A1001,Productos!C$2:C1001,"")*$G332,"")</f>
        <v/>
      </c>
      <c r="K332" s="179" t="str">
        <f t="array" ref="K332">IF($F332&lt;&gt;"",XLOOKUP($F332,Productos!$A:$A,Productos!D:D,"Revisar"),"")</f>
        <v/>
      </c>
      <c r="L332" s="179" t="str">
        <f t="array" ref="L332">IF($F332&lt;&gt;"", XLOOKUP($F332,Productos!$A$2:$A1001,Productos!E$2:E1001,"")*$G332,"")</f>
        <v/>
      </c>
      <c r="M332" s="179" t="str">
        <f t="array" ref="M332">IF($F332&lt;&gt;"",XLOOKUP($F332,Productos!$A:$A,Productos!F:F,"Revisar"),"")</f>
        <v/>
      </c>
      <c r="N332" s="179" t="str">
        <f t="array" ref="N332">IF($F332&lt;&gt;"", XLOOKUP($F332,Productos!$A$2:$A1001,Productos!G$2:G1001,"")*$G332,"")</f>
        <v/>
      </c>
      <c r="O332" s="179" t="str">
        <f t="array" ref="O332">IF($F332&lt;&gt;"",XLOOKUP($F332,Productos!$A:$A,Productos!H:H,"Revisar"),"")</f>
        <v/>
      </c>
      <c r="P332" s="179" t="str">
        <f t="array" ref="P332">IF($F332&lt;&gt;"", XLOOKUP($F332,Productos!$A$2:$A1001,Productos!I$2:I1001,"")*$G332,"")</f>
        <v/>
      </c>
      <c r="Q332" s="179" t="str">
        <f t="array" ref="Q332">IF($F332&lt;&gt;"",XLOOKUP($F332,Productos!$A:$A,Productos!J:J,"Revisar"),"")</f>
        <v/>
      </c>
      <c r="R332" s="179" t="str">
        <f t="array" ref="R332">IF($F332&lt;&gt;"", XLOOKUP($F332,Productos!$A$2:$A1001,Productos!K$2:K1001,"")*$G332,"")</f>
        <v/>
      </c>
      <c r="S332" s="179" t="str">
        <f t="array" ref="S332">IF($F332&lt;&gt;"",XLOOKUP($F332,Productos!$A:$A,Productos!L:L,"Revisar"),"")</f>
        <v/>
      </c>
      <c r="T332" s="179" t="str">
        <f t="array" ref="T332">IF($F332&lt;&gt;"", XLOOKUP($F332,Productos!$A$2:$A1001,Productos!M$2:M1001,"")*$G332,"")</f>
        <v/>
      </c>
      <c r="U332" s="179" t="str">
        <f t="array" ref="U332">IF($F332&lt;&gt;"",XLOOKUP($F332,Productos!$A:$A,Productos!N:N,"Revisar"),"")</f>
        <v/>
      </c>
      <c r="V332" s="179" t="str">
        <f t="array" ref="V332">IF($F332&lt;&gt;"", XLOOKUP($F332,Productos!$A$2:$A1001,Productos!O$2:O1001,"")*$G332,"")</f>
        <v/>
      </c>
      <c r="W332" s="179" t="str">
        <f t="array" ref="W332">IF($F332&lt;&gt;"",XLOOKUP($F332,Productos!$A:$A,Productos!P:P,"Revisar"),"")</f>
        <v/>
      </c>
      <c r="X332" s="179" t="str">
        <f t="array" ref="X332">IF($F332&lt;&gt;"", XLOOKUP($F332,Productos!$A$2:$A1001,Productos!Q$2:Q1001,"")*$G332,"")</f>
        <v/>
      </c>
      <c r="Y332" s="179" t="str">
        <f t="array" ref="Y332">IF($F332&lt;&gt;"",XLOOKUP($F332,Productos!$A:$A,Productos!R:R,"Revisar"),"")</f>
        <v/>
      </c>
      <c r="Z332" s="179" t="str">
        <f t="array" ref="Z332">IF($F332&lt;&gt;"", XLOOKUP($F332,Productos!$A$2:$A1001,Productos!S$2:S1001,"")*$G332,"")</f>
        <v/>
      </c>
      <c r="AA332" s="179" t="str">
        <f t="array" ref="AA332">IF($F332&lt;&gt;"",XLOOKUP($F332,Productos!$A:$A,Productos!T:T,"Revisar"),"")</f>
        <v/>
      </c>
      <c r="AB332" s="179" t="str">
        <f t="array" ref="AB332">IF($F332&lt;&gt;"", XLOOKUP($F332,Productos!$A$2:$A1001,Productos!U$2:U1001,"")*$G332,"")</f>
        <v/>
      </c>
      <c r="AC332" s="179" t="str">
        <f t="array" ref="AC332">IF($F332&lt;&gt;"",XLOOKUP($F332,Productos!$A:$A,Productos!V:V,"Revisar"),"")</f>
        <v/>
      </c>
      <c r="AD332" s="179" t="str">
        <f t="array" ref="AD332">IF($F332&lt;&gt;"", XLOOKUP($F332,Productos!$A$2:$A1001,Productos!W$2:W1001,"")*$G332,"")</f>
        <v/>
      </c>
      <c r="AE332" s="179" t="str">
        <f t="array" ref="AE332">IF($F332&lt;&gt;"",XLOOKUP($F332,Productos!$A:$A,Productos!X:X,"Revisar"),"")</f>
        <v/>
      </c>
      <c r="AF332" s="179" t="str">
        <f t="array" ref="AF332">IF($F332&lt;&gt;"", XLOOKUP($F332,Productos!$A$2:$A1001,Productos!Y$2:Y1001,"")*$G332,"")</f>
        <v/>
      </c>
      <c r="AG332" s="179" t="str">
        <f t="array" ref="AG332">IF($F332&lt;&gt;"",XLOOKUP($F332,Productos!$A:$A,Productos!Z:Z,"Revisar"),"")</f>
        <v/>
      </c>
      <c r="AH332" s="179" t="str">
        <f t="array" ref="AH332">IF($F332&lt;&gt;"", XLOOKUP($F332,Productos!$A$2:$A1001,Productos!AA$2:AA1001,"")*$G332,"")</f>
        <v/>
      </c>
      <c r="AI332" s="179" t="str">
        <f t="array" ref="AI332">IF($F332&lt;&gt;"",XLOOKUP($F332,Productos!$A:$A,Productos!AB:AB,"Revisar"),"")</f>
        <v/>
      </c>
      <c r="AJ332" s="179" t="str">
        <f t="array" ref="AJ332">IF($F332&lt;&gt;"", XLOOKUP($F332,Productos!$A$2:$A1001,Productos!AC$2:AC1001,"")*$G332,"")</f>
        <v/>
      </c>
      <c r="AK332" s="179" t="str">
        <f t="array" ref="AK332">IF($F332&lt;&gt;"",XLOOKUP($F332,Productos!$A:$A,Productos!AD:AD,"Revisar"),"")</f>
        <v/>
      </c>
      <c r="AL332" s="179" t="str">
        <f t="array" ref="AL332">IF($F332&lt;&gt;"", XLOOKUP($F332,Productos!$A$2:$A1001,Productos!AE$2:AE1001,"")*$G332,"")</f>
        <v/>
      </c>
      <c r="AM332" s="179" t="str">
        <f t="array" ref="AM332">IF($F332&lt;&gt;"",XLOOKUP($F332,Productos!$A:$A,Productos!AF:AF,"Revisar"),"")</f>
        <v/>
      </c>
      <c r="AN332" s="179" t="str">
        <f t="array" ref="AN332">IF($F332&lt;&gt;"", XLOOKUP($F332,Productos!$A$2:$A1001,Productos!AG$2:AG1001,"")*$G332,"")</f>
        <v/>
      </c>
      <c r="AO332" s="179" t="str">
        <f t="array" ref="AO332">IF($F332&lt;&gt;"",XLOOKUP($F332,Productos!$A:$A,Productos!AH:AH,"Revisar"),"")</f>
        <v/>
      </c>
      <c r="AP332" s="179" t="str">
        <f t="array" ref="AP332">IF($F332&lt;&gt;"", XLOOKUP($F332,Productos!$A$2:$A1001,Productos!AI$2:AI1001,"")*$G332,"")</f>
        <v/>
      </c>
      <c r="AQ332" s="179" t="str">
        <f t="array" ref="AQ332">IF($F332&lt;&gt;"",XLOOKUP($F332,Productos!$A:$A,Productos!AJ:AJ,"Revisar"),"")</f>
        <v/>
      </c>
      <c r="AR332" s="179" t="str">
        <f t="array" ref="AR332">IF($F332&lt;&gt;"", XLOOKUP($F332,Productos!$A$2:$A1001,Productos!AK$2:AK1001,"")*$G332,"")</f>
        <v/>
      </c>
      <c r="AS332" s="179" t="str">
        <f t="array" ref="AS332">IF($F332&lt;&gt;"",XLOOKUP($F332,Productos!$A:$A,Productos!AL:AL,"Revisar"),"")</f>
        <v/>
      </c>
      <c r="AT332" s="179" t="str">
        <f t="array" ref="AT332">IF($F332&lt;&gt;"", XLOOKUP($F332,Productos!$A$2:$A1001,Productos!AM$2:AM1001,"")*$G332,"")</f>
        <v/>
      </c>
      <c r="AU332" s="179" t="str">
        <f t="array" ref="AU332">IF($F332&lt;&gt;"",XLOOKUP($F332,Productos!$A:$A,Productos!AN:AN,"Revisar"),"")</f>
        <v/>
      </c>
      <c r="AV332" s="179" t="str">
        <f t="array" ref="AV332">IF($F332&lt;&gt;"", XLOOKUP($F332,Productos!$A$2:$A1001,Productos!AO$2:AO1001,"")*$G332,"")</f>
        <v/>
      </c>
      <c r="AW332" s="179" t="str">
        <f t="array" ref="AW332">IF($F332&lt;&gt;"",XLOOKUP($F332,Productos!$A:$A,Productos!AP:AP,"Revisar"),"")</f>
        <v/>
      </c>
      <c r="AX332" s="179" t="str">
        <f t="array" ref="AX332">IF($F332&lt;&gt;"", XLOOKUP($F332,Productos!$A$2:$A1001,Productos!AQ$2:AQ1001,"")*$G332,"")</f>
        <v/>
      </c>
      <c r="AY332" s="179" t="str">
        <f t="array" ref="AY332">IF($F332&lt;&gt;"",XLOOKUP($F332,Productos!$A:$A,Productos!AR:AR,"Revisar"),"")</f>
        <v/>
      </c>
      <c r="AZ332" s="179" t="str">
        <f t="array" ref="AZ332">IF($F332&lt;&gt;"", XLOOKUP($F332,Productos!$A$2:$A1001,Productos!AS$2:AS1001,"")*$G332,"")</f>
        <v/>
      </c>
      <c r="BA332" s="179" t="str">
        <f t="array" ref="BA332">IF($F332&lt;&gt;"",XLOOKUP($F332,Productos!$A:$A,Productos!AT:AT,"Revisar"),"")</f>
        <v/>
      </c>
      <c r="BB332" s="179" t="str">
        <f t="array" ref="BB332">IF($F332&lt;&gt;"", XLOOKUP($F332,Productos!$A$2:$A1001,Productos!AU$2:AU1001,"")*$G332,"")</f>
        <v/>
      </c>
      <c r="BC332" s="179" t="str">
        <f t="array" ref="BC332">IF($F332&lt;&gt;"",XLOOKUP($F332,Productos!$A:$A,Productos!AV:AV,"Revisar"),"")</f>
        <v/>
      </c>
      <c r="BD332" s="179" t="str">
        <f t="array" ref="BD332">IF($F332&lt;&gt;"", XLOOKUP($F332,Productos!$A$2:$A1001,Productos!AW$2:AW1001,"")*$G332,"")</f>
        <v/>
      </c>
      <c r="BE332" s="179" t="str">
        <f t="array" ref="BE332">IF($F332&lt;&gt;"",XLOOKUP($F332,Productos!$A:$A,Productos!AX:AX,"Revisar"),"")</f>
        <v/>
      </c>
      <c r="BF332" s="179" t="str">
        <f t="array" ref="BF332">IF($F332&lt;&gt;"", XLOOKUP($F332,Productos!$A$2:$A1001,Productos!AY$2:AY1001,"")*$G332,"")</f>
        <v/>
      </c>
      <c r="BG332" s="179" t="str">
        <f t="array" ref="BG332">IF($F332&lt;&gt;"",XLOOKUP($F332,Productos!$A:$A,Productos!AZ:AZ,"Revisar"),"")</f>
        <v/>
      </c>
      <c r="BH332" s="179" t="str">
        <f t="array" ref="BH332">IF($F332&lt;&gt;"", XLOOKUP($F332,Productos!$A$2:$A1001,Productos!BA$2:BA1001,"")*$G332,"")</f>
        <v/>
      </c>
      <c r="BI332" s="179" t="str">
        <f t="array" ref="BI332">IF($F332&lt;&gt;"",XLOOKUP($F332,Productos!$A:$A,Productos!BB:BB,"Revisar"),"")</f>
        <v/>
      </c>
      <c r="BJ332" s="179" t="str">
        <f t="array" ref="BJ332">IF($F332&lt;&gt;"", XLOOKUP($F332,Productos!$A$2:$A1001,Productos!BC$2:BC1001,"")*$G332,"")</f>
        <v/>
      </c>
      <c r="BK332" s="179" t="str">
        <f t="array" ref="BK332">IF($F332&lt;&gt;"",XLOOKUP($F332,Productos!$A:$A,Productos!BD:BD,"Revisar"),"")</f>
        <v/>
      </c>
      <c r="BL332" s="179" t="str">
        <f t="array" ref="BL332">IF($F332&lt;&gt;"", XLOOKUP($F332,Productos!$A$2:$A1001,Productos!BE$2:BE1001,"")*$G332,"")</f>
        <v/>
      </c>
      <c r="BM332" s="179" t="str">
        <f t="array" ref="BM332">IF($F332&lt;&gt;"",XLOOKUP($F332,Productos!$A:$A,Productos!BF:BF,"Revisar"),"")</f>
        <v/>
      </c>
      <c r="BN332" s="179" t="str">
        <f t="array" ref="BN332">IF($F332&lt;&gt;"", XLOOKUP($F332,Productos!$A$2:$A1001,Productos!BG$2:BG1001,"")*$G332,"")</f>
        <v/>
      </c>
      <c r="BO332" s="179" t="str">
        <f t="array" ref="BO332">IF($F332&lt;&gt;"",XLOOKUP($F332,Productos!$A:$A,Productos!BH:BH,"Revisar"),"")</f>
        <v/>
      </c>
      <c r="BP332" s="179" t="str">
        <f t="array" ref="BP332">IF($F332&lt;&gt;"", XLOOKUP($F332,Productos!$A$2:$A1001,Productos!BI$2:BI1001,"")*$G332,"")</f>
        <v/>
      </c>
      <c r="BQ332" s="179" t="str">
        <f t="array" ref="BQ332">IF($F332&lt;&gt;"",XLOOKUP($F332,Productos!$A:$A,Productos!BJ:BJ,"Revisar"),"")</f>
        <v/>
      </c>
      <c r="BR332" s="179" t="str">
        <f t="array" ref="BR332">IF($F332&lt;&gt;"", XLOOKUP($F332,Productos!$A$2:$A1001,Productos!BK$2:BK1001,"")*$G332,"")</f>
        <v/>
      </c>
      <c r="BS332" s="179" t="str">
        <f t="array" ref="BS332">IF($F332&lt;&gt;"",XLOOKUP($F332,Productos!$A:$A,Productos!BL:BL,"Revisar"),"")</f>
        <v/>
      </c>
      <c r="BT332" s="179" t="str">
        <f t="array" ref="BT332">IF($F332&lt;&gt;"", XLOOKUP($F332,Productos!$A$2:$A1001,Productos!BM$2:BM1001,"")*$G332,"")</f>
        <v/>
      </c>
      <c r="BU332" s="179" t="str">
        <f t="array" ref="BU332">IF($F332&lt;&gt;"",XLOOKUP($F332,Productos!$A:$A,Productos!BN:BN,"Revisar"),"")</f>
        <v/>
      </c>
      <c r="BV332" s="179" t="str">
        <f t="array" ref="BV332">IF($F332&lt;&gt;"", XLOOKUP($F332,Productos!$A$2:$A1001,Productos!BO$2:BO1001,"")*$G332,"")</f>
        <v/>
      </c>
      <c r="BW332" s="179" t="str">
        <f t="array" ref="BW332">IF($F332&lt;&gt;"",XLOOKUP($F332,Productos!$A:$A,Productos!BP:BP,"Revisar"),"")</f>
        <v/>
      </c>
      <c r="BX332" s="179" t="str">
        <f t="array" ref="BX332">IF($F332&lt;&gt;"", XLOOKUP($F332,Productos!$A$2:$A1001,Productos!BQ$2:BQ1001,"")*$G332,"")</f>
        <v/>
      </c>
      <c r="BY332" s="179" t="str">
        <f t="array" ref="BY332">IF($F332&lt;&gt;"",XLOOKUP($F332,Productos!$A:$A,Productos!BR:BR,"Revisar"),"")</f>
        <v/>
      </c>
      <c r="BZ332" s="179" t="str">
        <f t="array" ref="BZ332">IF($F332&lt;&gt;"", XLOOKUP($F332,Productos!$A$2:$A1001,Productos!BS$2:BS1001,"")*$G332,"")</f>
        <v/>
      </c>
    </row>
    <row r="333">
      <c r="A333" s="188"/>
      <c r="B333" s="189"/>
      <c r="C333" s="190"/>
      <c r="D333" s="190"/>
      <c r="E333" s="191"/>
      <c r="F333" s="186"/>
      <c r="G333" s="192"/>
      <c r="H333" s="9"/>
      <c r="I333" s="179" t="str">
        <f t="array" ref="I333">IF($F333&lt;&gt;"",XLOOKUP($F333,Productos!$A:$A,Productos!B:B,"Revisar"),"")</f>
        <v/>
      </c>
      <c r="J333" s="179" t="str">
        <f t="array" ref="J333">IF($F333&lt;&gt;"", XLOOKUP($F333,Productos!$A$2:$A1001,Productos!C$2:C1001,"")*$G333,"")</f>
        <v/>
      </c>
      <c r="K333" s="179" t="str">
        <f t="array" ref="K333">IF($F333&lt;&gt;"",XLOOKUP($F333,Productos!$A:$A,Productos!D:D,"Revisar"),"")</f>
        <v/>
      </c>
      <c r="L333" s="179" t="str">
        <f t="array" ref="L333">IF($F333&lt;&gt;"", XLOOKUP($F333,Productos!$A$2:$A1001,Productos!E$2:E1001,"")*$G333,"")</f>
        <v/>
      </c>
      <c r="M333" s="179" t="str">
        <f t="array" ref="M333">IF($F333&lt;&gt;"",XLOOKUP($F333,Productos!$A:$A,Productos!F:F,"Revisar"),"")</f>
        <v/>
      </c>
      <c r="N333" s="179" t="str">
        <f t="array" ref="N333">IF($F333&lt;&gt;"", XLOOKUP($F333,Productos!$A$2:$A1001,Productos!G$2:G1001,"")*$G333,"")</f>
        <v/>
      </c>
      <c r="O333" s="179" t="str">
        <f t="array" ref="O333">IF($F333&lt;&gt;"",XLOOKUP($F333,Productos!$A:$A,Productos!H:H,"Revisar"),"")</f>
        <v/>
      </c>
      <c r="P333" s="179" t="str">
        <f t="array" ref="P333">IF($F333&lt;&gt;"", XLOOKUP($F333,Productos!$A$2:$A1001,Productos!I$2:I1001,"")*$G333,"")</f>
        <v/>
      </c>
      <c r="Q333" s="179" t="str">
        <f t="array" ref="Q333">IF($F333&lt;&gt;"",XLOOKUP($F333,Productos!$A:$A,Productos!J:J,"Revisar"),"")</f>
        <v/>
      </c>
      <c r="R333" s="179" t="str">
        <f t="array" ref="R333">IF($F333&lt;&gt;"", XLOOKUP($F333,Productos!$A$2:$A1001,Productos!K$2:K1001,"")*$G333,"")</f>
        <v/>
      </c>
      <c r="S333" s="179" t="str">
        <f t="array" ref="S333">IF($F333&lt;&gt;"",XLOOKUP($F333,Productos!$A:$A,Productos!L:L,"Revisar"),"")</f>
        <v/>
      </c>
      <c r="T333" s="179" t="str">
        <f t="array" ref="T333">IF($F333&lt;&gt;"", XLOOKUP($F333,Productos!$A$2:$A1001,Productos!M$2:M1001,"")*$G333,"")</f>
        <v/>
      </c>
      <c r="U333" s="179" t="str">
        <f t="array" ref="U333">IF($F333&lt;&gt;"",XLOOKUP($F333,Productos!$A:$A,Productos!N:N,"Revisar"),"")</f>
        <v/>
      </c>
      <c r="V333" s="179" t="str">
        <f t="array" ref="V333">IF($F333&lt;&gt;"", XLOOKUP($F333,Productos!$A$2:$A1001,Productos!O$2:O1001,"")*$G333,"")</f>
        <v/>
      </c>
      <c r="W333" s="179" t="str">
        <f t="array" ref="W333">IF($F333&lt;&gt;"",XLOOKUP($F333,Productos!$A:$A,Productos!P:P,"Revisar"),"")</f>
        <v/>
      </c>
      <c r="X333" s="179" t="str">
        <f t="array" ref="X333">IF($F333&lt;&gt;"", XLOOKUP($F333,Productos!$A$2:$A1001,Productos!Q$2:Q1001,"")*$G333,"")</f>
        <v/>
      </c>
      <c r="Y333" s="179" t="str">
        <f t="array" ref="Y333">IF($F333&lt;&gt;"",XLOOKUP($F333,Productos!$A:$A,Productos!R:R,"Revisar"),"")</f>
        <v/>
      </c>
      <c r="Z333" s="179" t="str">
        <f t="array" ref="Z333">IF($F333&lt;&gt;"", XLOOKUP($F333,Productos!$A$2:$A1001,Productos!S$2:S1001,"")*$G333,"")</f>
        <v/>
      </c>
      <c r="AA333" s="179" t="str">
        <f t="array" ref="AA333">IF($F333&lt;&gt;"",XLOOKUP($F333,Productos!$A:$A,Productos!T:T,"Revisar"),"")</f>
        <v/>
      </c>
      <c r="AB333" s="179" t="str">
        <f t="array" ref="AB333">IF($F333&lt;&gt;"", XLOOKUP($F333,Productos!$A$2:$A1001,Productos!U$2:U1001,"")*$G333,"")</f>
        <v/>
      </c>
      <c r="AC333" s="179" t="str">
        <f t="array" ref="AC333">IF($F333&lt;&gt;"",XLOOKUP($F333,Productos!$A:$A,Productos!V:V,"Revisar"),"")</f>
        <v/>
      </c>
      <c r="AD333" s="179" t="str">
        <f t="array" ref="AD333">IF($F333&lt;&gt;"", XLOOKUP($F333,Productos!$A$2:$A1001,Productos!W$2:W1001,"")*$G333,"")</f>
        <v/>
      </c>
      <c r="AE333" s="179" t="str">
        <f t="array" ref="AE333">IF($F333&lt;&gt;"",XLOOKUP($F333,Productos!$A:$A,Productos!X:X,"Revisar"),"")</f>
        <v/>
      </c>
      <c r="AF333" s="179" t="str">
        <f t="array" ref="AF333">IF($F333&lt;&gt;"", XLOOKUP($F333,Productos!$A$2:$A1001,Productos!Y$2:Y1001,"")*$G333,"")</f>
        <v/>
      </c>
      <c r="AG333" s="179" t="str">
        <f t="array" ref="AG333">IF($F333&lt;&gt;"",XLOOKUP($F333,Productos!$A:$A,Productos!Z:Z,"Revisar"),"")</f>
        <v/>
      </c>
      <c r="AH333" s="179" t="str">
        <f t="array" ref="AH333">IF($F333&lt;&gt;"", XLOOKUP($F333,Productos!$A$2:$A1001,Productos!AA$2:AA1001,"")*$G333,"")</f>
        <v/>
      </c>
      <c r="AI333" s="179" t="str">
        <f t="array" ref="AI333">IF($F333&lt;&gt;"",XLOOKUP($F333,Productos!$A:$A,Productos!AB:AB,"Revisar"),"")</f>
        <v/>
      </c>
      <c r="AJ333" s="179" t="str">
        <f t="array" ref="AJ333">IF($F333&lt;&gt;"", XLOOKUP($F333,Productos!$A$2:$A1001,Productos!AC$2:AC1001,"")*$G333,"")</f>
        <v/>
      </c>
      <c r="AK333" s="179" t="str">
        <f t="array" ref="AK333">IF($F333&lt;&gt;"",XLOOKUP($F333,Productos!$A:$A,Productos!AD:AD,"Revisar"),"")</f>
        <v/>
      </c>
      <c r="AL333" s="179" t="str">
        <f t="array" ref="AL333">IF($F333&lt;&gt;"", XLOOKUP($F333,Productos!$A$2:$A1001,Productos!AE$2:AE1001,"")*$G333,"")</f>
        <v/>
      </c>
      <c r="AM333" s="179" t="str">
        <f t="array" ref="AM333">IF($F333&lt;&gt;"",XLOOKUP($F333,Productos!$A:$A,Productos!AF:AF,"Revisar"),"")</f>
        <v/>
      </c>
      <c r="AN333" s="179" t="str">
        <f t="array" ref="AN333">IF($F333&lt;&gt;"", XLOOKUP($F333,Productos!$A$2:$A1001,Productos!AG$2:AG1001,"")*$G333,"")</f>
        <v/>
      </c>
      <c r="AO333" s="179" t="str">
        <f t="array" ref="AO333">IF($F333&lt;&gt;"",XLOOKUP($F333,Productos!$A:$A,Productos!AH:AH,"Revisar"),"")</f>
        <v/>
      </c>
      <c r="AP333" s="179" t="str">
        <f t="array" ref="AP333">IF($F333&lt;&gt;"", XLOOKUP($F333,Productos!$A$2:$A1001,Productos!AI$2:AI1001,"")*$G333,"")</f>
        <v/>
      </c>
      <c r="AQ333" s="179" t="str">
        <f t="array" ref="AQ333">IF($F333&lt;&gt;"",XLOOKUP($F333,Productos!$A:$A,Productos!AJ:AJ,"Revisar"),"")</f>
        <v/>
      </c>
      <c r="AR333" s="179" t="str">
        <f t="array" ref="AR333">IF($F333&lt;&gt;"", XLOOKUP($F333,Productos!$A$2:$A1001,Productos!AK$2:AK1001,"")*$G333,"")</f>
        <v/>
      </c>
      <c r="AS333" s="179" t="str">
        <f t="array" ref="AS333">IF($F333&lt;&gt;"",XLOOKUP($F333,Productos!$A:$A,Productos!AL:AL,"Revisar"),"")</f>
        <v/>
      </c>
      <c r="AT333" s="179" t="str">
        <f t="array" ref="AT333">IF($F333&lt;&gt;"", XLOOKUP($F333,Productos!$A$2:$A1001,Productos!AM$2:AM1001,"")*$G333,"")</f>
        <v/>
      </c>
      <c r="AU333" s="179" t="str">
        <f t="array" ref="AU333">IF($F333&lt;&gt;"",XLOOKUP($F333,Productos!$A:$A,Productos!AN:AN,"Revisar"),"")</f>
        <v/>
      </c>
      <c r="AV333" s="179" t="str">
        <f t="array" ref="AV333">IF($F333&lt;&gt;"", XLOOKUP($F333,Productos!$A$2:$A1001,Productos!AO$2:AO1001,"")*$G333,"")</f>
        <v/>
      </c>
      <c r="AW333" s="179" t="str">
        <f t="array" ref="AW333">IF($F333&lt;&gt;"",XLOOKUP($F333,Productos!$A:$A,Productos!AP:AP,"Revisar"),"")</f>
        <v/>
      </c>
      <c r="AX333" s="179" t="str">
        <f t="array" ref="AX333">IF($F333&lt;&gt;"", XLOOKUP($F333,Productos!$A$2:$A1001,Productos!AQ$2:AQ1001,"")*$G333,"")</f>
        <v/>
      </c>
      <c r="AY333" s="179" t="str">
        <f t="array" ref="AY333">IF($F333&lt;&gt;"",XLOOKUP($F333,Productos!$A:$A,Productos!AR:AR,"Revisar"),"")</f>
        <v/>
      </c>
      <c r="AZ333" s="179" t="str">
        <f t="array" ref="AZ333">IF($F333&lt;&gt;"", XLOOKUP($F333,Productos!$A$2:$A1001,Productos!AS$2:AS1001,"")*$G333,"")</f>
        <v/>
      </c>
      <c r="BA333" s="179" t="str">
        <f t="array" ref="BA333">IF($F333&lt;&gt;"",XLOOKUP($F333,Productos!$A:$A,Productos!AT:AT,"Revisar"),"")</f>
        <v/>
      </c>
      <c r="BB333" s="179" t="str">
        <f t="array" ref="BB333">IF($F333&lt;&gt;"", XLOOKUP($F333,Productos!$A$2:$A1001,Productos!AU$2:AU1001,"")*$G333,"")</f>
        <v/>
      </c>
      <c r="BC333" s="179" t="str">
        <f t="array" ref="BC333">IF($F333&lt;&gt;"",XLOOKUP($F333,Productos!$A:$A,Productos!AV:AV,"Revisar"),"")</f>
        <v/>
      </c>
      <c r="BD333" s="179" t="str">
        <f t="array" ref="BD333">IF($F333&lt;&gt;"", XLOOKUP($F333,Productos!$A$2:$A1001,Productos!AW$2:AW1001,"")*$G333,"")</f>
        <v/>
      </c>
      <c r="BE333" s="179" t="str">
        <f t="array" ref="BE333">IF($F333&lt;&gt;"",XLOOKUP($F333,Productos!$A:$A,Productos!AX:AX,"Revisar"),"")</f>
        <v/>
      </c>
      <c r="BF333" s="179" t="str">
        <f t="array" ref="BF333">IF($F333&lt;&gt;"", XLOOKUP($F333,Productos!$A$2:$A1001,Productos!AY$2:AY1001,"")*$G333,"")</f>
        <v/>
      </c>
      <c r="BG333" s="179" t="str">
        <f t="array" ref="BG333">IF($F333&lt;&gt;"",XLOOKUP($F333,Productos!$A:$A,Productos!AZ:AZ,"Revisar"),"")</f>
        <v/>
      </c>
      <c r="BH333" s="179" t="str">
        <f t="array" ref="BH333">IF($F333&lt;&gt;"", XLOOKUP($F333,Productos!$A$2:$A1001,Productos!BA$2:BA1001,"")*$G333,"")</f>
        <v/>
      </c>
      <c r="BI333" s="179" t="str">
        <f t="array" ref="BI333">IF($F333&lt;&gt;"",XLOOKUP($F333,Productos!$A:$A,Productos!BB:BB,"Revisar"),"")</f>
        <v/>
      </c>
      <c r="BJ333" s="179" t="str">
        <f t="array" ref="BJ333">IF($F333&lt;&gt;"", XLOOKUP($F333,Productos!$A$2:$A1001,Productos!BC$2:BC1001,"")*$G333,"")</f>
        <v/>
      </c>
      <c r="BK333" s="179" t="str">
        <f t="array" ref="BK333">IF($F333&lt;&gt;"",XLOOKUP($F333,Productos!$A:$A,Productos!BD:BD,"Revisar"),"")</f>
        <v/>
      </c>
      <c r="BL333" s="179" t="str">
        <f t="array" ref="BL333">IF($F333&lt;&gt;"", XLOOKUP($F333,Productos!$A$2:$A1001,Productos!BE$2:BE1001,"")*$G333,"")</f>
        <v/>
      </c>
      <c r="BM333" s="179" t="str">
        <f t="array" ref="BM333">IF($F333&lt;&gt;"",XLOOKUP($F333,Productos!$A:$A,Productos!BF:BF,"Revisar"),"")</f>
        <v/>
      </c>
      <c r="BN333" s="179" t="str">
        <f t="array" ref="BN333">IF($F333&lt;&gt;"", XLOOKUP($F333,Productos!$A$2:$A1001,Productos!BG$2:BG1001,"")*$G333,"")</f>
        <v/>
      </c>
      <c r="BO333" s="179" t="str">
        <f t="array" ref="BO333">IF($F333&lt;&gt;"",XLOOKUP($F333,Productos!$A:$A,Productos!BH:BH,"Revisar"),"")</f>
        <v/>
      </c>
      <c r="BP333" s="179" t="str">
        <f t="array" ref="BP333">IF($F333&lt;&gt;"", XLOOKUP($F333,Productos!$A$2:$A1001,Productos!BI$2:BI1001,"")*$G333,"")</f>
        <v/>
      </c>
      <c r="BQ333" s="179" t="str">
        <f t="array" ref="BQ333">IF($F333&lt;&gt;"",XLOOKUP($F333,Productos!$A:$A,Productos!BJ:BJ,"Revisar"),"")</f>
        <v/>
      </c>
      <c r="BR333" s="179" t="str">
        <f t="array" ref="BR333">IF($F333&lt;&gt;"", XLOOKUP($F333,Productos!$A$2:$A1001,Productos!BK$2:BK1001,"")*$G333,"")</f>
        <v/>
      </c>
      <c r="BS333" s="179" t="str">
        <f t="array" ref="BS333">IF($F333&lt;&gt;"",XLOOKUP($F333,Productos!$A:$A,Productos!BL:BL,"Revisar"),"")</f>
        <v/>
      </c>
      <c r="BT333" s="179" t="str">
        <f t="array" ref="BT333">IF($F333&lt;&gt;"", XLOOKUP($F333,Productos!$A$2:$A1001,Productos!BM$2:BM1001,"")*$G333,"")</f>
        <v/>
      </c>
      <c r="BU333" s="179" t="str">
        <f t="array" ref="BU333">IF($F333&lt;&gt;"",XLOOKUP($F333,Productos!$A:$A,Productos!BN:BN,"Revisar"),"")</f>
        <v/>
      </c>
      <c r="BV333" s="179" t="str">
        <f t="array" ref="BV333">IF($F333&lt;&gt;"", XLOOKUP($F333,Productos!$A$2:$A1001,Productos!BO$2:BO1001,"")*$G333,"")</f>
        <v/>
      </c>
      <c r="BW333" s="179" t="str">
        <f t="array" ref="BW333">IF($F333&lt;&gt;"",XLOOKUP($F333,Productos!$A:$A,Productos!BP:BP,"Revisar"),"")</f>
        <v/>
      </c>
      <c r="BX333" s="179" t="str">
        <f t="array" ref="BX333">IF($F333&lt;&gt;"", XLOOKUP($F333,Productos!$A$2:$A1001,Productos!BQ$2:BQ1001,"")*$G333,"")</f>
        <v/>
      </c>
      <c r="BY333" s="179" t="str">
        <f t="array" ref="BY333">IF($F333&lt;&gt;"",XLOOKUP($F333,Productos!$A:$A,Productos!BR:BR,"Revisar"),"")</f>
        <v/>
      </c>
      <c r="BZ333" s="179" t="str">
        <f t="array" ref="BZ333">IF($F333&lt;&gt;"", XLOOKUP($F333,Productos!$A$2:$A1001,Productos!BS$2:BS1001,"")*$G333,"")</f>
        <v/>
      </c>
    </row>
    <row r="334">
      <c r="A334" s="188"/>
      <c r="B334" s="189"/>
      <c r="C334" s="190"/>
      <c r="D334" s="190"/>
      <c r="E334" s="191"/>
      <c r="F334" s="186"/>
      <c r="G334" s="192"/>
      <c r="H334" s="9"/>
      <c r="I334" s="179" t="str">
        <f t="array" ref="I334">IF($F334&lt;&gt;"",XLOOKUP($F334,Productos!$A:$A,Productos!B:B,"Revisar"),"")</f>
        <v/>
      </c>
      <c r="J334" s="179" t="str">
        <f t="array" ref="J334">IF($F334&lt;&gt;"", XLOOKUP($F334,Productos!$A$2:$A1001,Productos!C$2:C1001,"")*$G334,"")</f>
        <v/>
      </c>
      <c r="K334" s="179" t="str">
        <f t="array" ref="K334">IF($F334&lt;&gt;"",XLOOKUP($F334,Productos!$A:$A,Productos!D:D,"Revisar"),"")</f>
        <v/>
      </c>
      <c r="L334" s="179" t="str">
        <f t="array" ref="L334">IF($F334&lt;&gt;"", XLOOKUP($F334,Productos!$A$2:$A1001,Productos!E$2:E1001,"")*$G334,"")</f>
        <v/>
      </c>
      <c r="M334" s="179" t="str">
        <f t="array" ref="M334">IF($F334&lt;&gt;"",XLOOKUP($F334,Productos!$A:$A,Productos!F:F,"Revisar"),"")</f>
        <v/>
      </c>
      <c r="N334" s="179" t="str">
        <f t="array" ref="N334">IF($F334&lt;&gt;"", XLOOKUP($F334,Productos!$A$2:$A1001,Productos!G$2:G1001,"")*$G334,"")</f>
        <v/>
      </c>
      <c r="O334" s="179" t="str">
        <f t="array" ref="O334">IF($F334&lt;&gt;"",XLOOKUP($F334,Productos!$A:$A,Productos!H:H,"Revisar"),"")</f>
        <v/>
      </c>
      <c r="P334" s="179" t="str">
        <f t="array" ref="P334">IF($F334&lt;&gt;"", XLOOKUP($F334,Productos!$A$2:$A1001,Productos!I$2:I1001,"")*$G334,"")</f>
        <v/>
      </c>
      <c r="Q334" s="179" t="str">
        <f t="array" ref="Q334">IF($F334&lt;&gt;"",XLOOKUP($F334,Productos!$A:$A,Productos!J:J,"Revisar"),"")</f>
        <v/>
      </c>
      <c r="R334" s="179" t="str">
        <f t="array" ref="R334">IF($F334&lt;&gt;"", XLOOKUP($F334,Productos!$A$2:$A1001,Productos!K$2:K1001,"")*$G334,"")</f>
        <v/>
      </c>
      <c r="S334" s="179" t="str">
        <f t="array" ref="S334">IF($F334&lt;&gt;"",XLOOKUP($F334,Productos!$A:$A,Productos!L:L,"Revisar"),"")</f>
        <v/>
      </c>
      <c r="T334" s="179" t="str">
        <f t="array" ref="T334">IF($F334&lt;&gt;"", XLOOKUP($F334,Productos!$A$2:$A1001,Productos!M$2:M1001,"")*$G334,"")</f>
        <v/>
      </c>
      <c r="U334" s="179" t="str">
        <f t="array" ref="U334">IF($F334&lt;&gt;"",XLOOKUP($F334,Productos!$A:$A,Productos!N:N,"Revisar"),"")</f>
        <v/>
      </c>
      <c r="V334" s="179" t="str">
        <f t="array" ref="V334">IF($F334&lt;&gt;"", XLOOKUP($F334,Productos!$A$2:$A1001,Productos!O$2:O1001,"")*$G334,"")</f>
        <v/>
      </c>
      <c r="W334" s="179" t="str">
        <f t="array" ref="W334">IF($F334&lt;&gt;"",XLOOKUP($F334,Productos!$A:$A,Productos!P:P,"Revisar"),"")</f>
        <v/>
      </c>
      <c r="X334" s="179" t="str">
        <f t="array" ref="X334">IF($F334&lt;&gt;"", XLOOKUP($F334,Productos!$A$2:$A1001,Productos!Q$2:Q1001,"")*$G334,"")</f>
        <v/>
      </c>
      <c r="Y334" s="179" t="str">
        <f t="array" ref="Y334">IF($F334&lt;&gt;"",XLOOKUP($F334,Productos!$A:$A,Productos!R:R,"Revisar"),"")</f>
        <v/>
      </c>
      <c r="Z334" s="179" t="str">
        <f t="array" ref="Z334">IF($F334&lt;&gt;"", XLOOKUP($F334,Productos!$A$2:$A1001,Productos!S$2:S1001,"")*$G334,"")</f>
        <v/>
      </c>
      <c r="AA334" s="179" t="str">
        <f t="array" ref="AA334">IF($F334&lt;&gt;"",XLOOKUP($F334,Productos!$A:$A,Productos!T:T,"Revisar"),"")</f>
        <v/>
      </c>
      <c r="AB334" s="179" t="str">
        <f t="array" ref="AB334">IF($F334&lt;&gt;"", XLOOKUP($F334,Productos!$A$2:$A1001,Productos!U$2:U1001,"")*$G334,"")</f>
        <v/>
      </c>
      <c r="AC334" s="179" t="str">
        <f t="array" ref="AC334">IF($F334&lt;&gt;"",XLOOKUP($F334,Productos!$A:$A,Productos!V:V,"Revisar"),"")</f>
        <v/>
      </c>
      <c r="AD334" s="179" t="str">
        <f t="array" ref="AD334">IF($F334&lt;&gt;"", XLOOKUP($F334,Productos!$A$2:$A1001,Productos!W$2:W1001,"")*$G334,"")</f>
        <v/>
      </c>
      <c r="AE334" s="179" t="str">
        <f t="array" ref="AE334">IF($F334&lt;&gt;"",XLOOKUP($F334,Productos!$A:$A,Productos!X:X,"Revisar"),"")</f>
        <v/>
      </c>
      <c r="AF334" s="179" t="str">
        <f t="array" ref="AF334">IF($F334&lt;&gt;"", XLOOKUP($F334,Productos!$A$2:$A1001,Productos!Y$2:Y1001,"")*$G334,"")</f>
        <v/>
      </c>
      <c r="AG334" s="179" t="str">
        <f t="array" ref="AG334">IF($F334&lt;&gt;"",XLOOKUP($F334,Productos!$A:$A,Productos!Z:Z,"Revisar"),"")</f>
        <v/>
      </c>
      <c r="AH334" s="179" t="str">
        <f t="array" ref="AH334">IF($F334&lt;&gt;"", XLOOKUP($F334,Productos!$A$2:$A1001,Productos!AA$2:AA1001,"")*$G334,"")</f>
        <v/>
      </c>
      <c r="AI334" s="179" t="str">
        <f t="array" ref="AI334">IF($F334&lt;&gt;"",XLOOKUP($F334,Productos!$A:$A,Productos!AB:AB,"Revisar"),"")</f>
        <v/>
      </c>
      <c r="AJ334" s="179" t="str">
        <f t="array" ref="AJ334">IF($F334&lt;&gt;"", XLOOKUP($F334,Productos!$A$2:$A1001,Productos!AC$2:AC1001,"")*$G334,"")</f>
        <v/>
      </c>
      <c r="AK334" s="179" t="str">
        <f t="array" ref="AK334">IF($F334&lt;&gt;"",XLOOKUP($F334,Productos!$A:$A,Productos!AD:AD,"Revisar"),"")</f>
        <v/>
      </c>
      <c r="AL334" s="179" t="str">
        <f t="array" ref="AL334">IF($F334&lt;&gt;"", XLOOKUP($F334,Productos!$A$2:$A1001,Productos!AE$2:AE1001,"")*$G334,"")</f>
        <v/>
      </c>
      <c r="AM334" s="179" t="str">
        <f t="array" ref="AM334">IF($F334&lt;&gt;"",XLOOKUP($F334,Productos!$A:$A,Productos!AF:AF,"Revisar"),"")</f>
        <v/>
      </c>
      <c r="AN334" s="179" t="str">
        <f t="array" ref="AN334">IF($F334&lt;&gt;"", XLOOKUP($F334,Productos!$A$2:$A1001,Productos!AG$2:AG1001,"")*$G334,"")</f>
        <v/>
      </c>
      <c r="AO334" s="179" t="str">
        <f t="array" ref="AO334">IF($F334&lt;&gt;"",XLOOKUP($F334,Productos!$A:$A,Productos!AH:AH,"Revisar"),"")</f>
        <v/>
      </c>
      <c r="AP334" s="179" t="str">
        <f t="array" ref="AP334">IF($F334&lt;&gt;"", XLOOKUP($F334,Productos!$A$2:$A1001,Productos!AI$2:AI1001,"")*$G334,"")</f>
        <v/>
      </c>
      <c r="AQ334" s="179" t="str">
        <f t="array" ref="AQ334">IF($F334&lt;&gt;"",XLOOKUP($F334,Productos!$A:$A,Productos!AJ:AJ,"Revisar"),"")</f>
        <v/>
      </c>
      <c r="AR334" s="179" t="str">
        <f t="array" ref="AR334">IF($F334&lt;&gt;"", XLOOKUP($F334,Productos!$A$2:$A1001,Productos!AK$2:AK1001,"")*$G334,"")</f>
        <v/>
      </c>
      <c r="AS334" s="179" t="str">
        <f t="array" ref="AS334">IF($F334&lt;&gt;"",XLOOKUP($F334,Productos!$A:$A,Productos!AL:AL,"Revisar"),"")</f>
        <v/>
      </c>
      <c r="AT334" s="179" t="str">
        <f t="array" ref="AT334">IF($F334&lt;&gt;"", XLOOKUP($F334,Productos!$A$2:$A1001,Productos!AM$2:AM1001,"")*$G334,"")</f>
        <v/>
      </c>
      <c r="AU334" s="179" t="str">
        <f t="array" ref="AU334">IF($F334&lt;&gt;"",XLOOKUP($F334,Productos!$A:$A,Productos!AN:AN,"Revisar"),"")</f>
        <v/>
      </c>
      <c r="AV334" s="179" t="str">
        <f t="array" ref="AV334">IF($F334&lt;&gt;"", XLOOKUP($F334,Productos!$A$2:$A1001,Productos!AO$2:AO1001,"")*$G334,"")</f>
        <v/>
      </c>
      <c r="AW334" s="179" t="str">
        <f t="array" ref="AW334">IF($F334&lt;&gt;"",XLOOKUP($F334,Productos!$A:$A,Productos!AP:AP,"Revisar"),"")</f>
        <v/>
      </c>
      <c r="AX334" s="179" t="str">
        <f t="array" ref="AX334">IF($F334&lt;&gt;"", XLOOKUP($F334,Productos!$A$2:$A1001,Productos!AQ$2:AQ1001,"")*$G334,"")</f>
        <v/>
      </c>
      <c r="AY334" s="179" t="str">
        <f t="array" ref="AY334">IF($F334&lt;&gt;"",XLOOKUP($F334,Productos!$A:$A,Productos!AR:AR,"Revisar"),"")</f>
        <v/>
      </c>
      <c r="AZ334" s="179" t="str">
        <f t="array" ref="AZ334">IF($F334&lt;&gt;"", XLOOKUP($F334,Productos!$A$2:$A1001,Productos!AS$2:AS1001,"")*$G334,"")</f>
        <v/>
      </c>
      <c r="BA334" s="179" t="str">
        <f t="array" ref="BA334">IF($F334&lt;&gt;"",XLOOKUP($F334,Productos!$A:$A,Productos!AT:AT,"Revisar"),"")</f>
        <v/>
      </c>
      <c r="BB334" s="179" t="str">
        <f t="array" ref="BB334">IF($F334&lt;&gt;"", XLOOKUP($F334,Productos!$A$2:$A1001,Productos!AU$2:AU1001,"")*$G334,"")</f>
        <v/>
      </c>
      <c r="BC334" s="179" t="str">
        <f t="array" ref="BC334">IF($F334&lt;&gt;"",XLOOKUP($F334,Productos!$A:$A,Productos!AV:AV,"Revisar"),"")</f>
        <v/>
      </c>
      <c r="BD334" s="179" t="str">
        <f t="array" ref="BD334">IF($F334&lt;&gt;"", XLOOKUP($F334,Productos!$A$2:$A1001,Productos!AW$2:AW1001,"")*$G334,"")</f>
        <v/>
      </c>
      <c r="BE334" s="179" t="str">
        <f t="array" ref="BE334">IF($F334&lt;&gt;"",XLOOKUP($F334,Productos!$A:$A,Productos!AX:AX,"Revisar"),"")</f>
        <v/>
      </c>
      <c r="BF334" s="179" t="str">
        <f t="array" ref="BF334">IF($F334&lt;&gt;"", XLOOKUP($F334,Productos!$A$2:$A1001,Productos!AY$2:AY1001,"")*$G334,"")</f>
        <v/>
      </c>
      <c r="BG334" s="179" t="str">
        <f t="array" ref="BG334">IF($F334&lt;&gt;"",XLOOKUP($F334,Productos!$A:$A,Productos!AZ:AZ,"Revisar"),"")</f>
        <v/>
      </c>
      <c r="BH334" s="179" t="str">
        <f t="array" ref="BH334">IF($F334&lt;&gt;"", XLOOKUP($F334,Productos!$A$2:$A1001,Productos!BA$2:BA1001,"")*$G334,"")</f>
        <v/>
      </c>
      <c r="BI334" s="179" t="str">
        <f t="array" ref="BI334">IF($F334&lt;&gt;"",XLOOKUP($F334,Productos!$A:$A,Productos!BB:BB,"Revisar"),"")</f>
        <v/>
      </c>
      <c r="BJ334" s="179" t="str">
        <f t="array" ref="BJ334">IF($F334&lt;&gt;"", XLOOKUP($F334,Productos!$A$2:$A1001,Productos!BC$2:BC1001,"")*$G334,"")</f>
        <v/>
      </c>
      <c r="BK334" s="179" t="str">
        <f t="array" ref="BK334">IF($F334&lt;&gt;"",XLOOKUP($F334,Productos!$A:$A,Productos!BD:BD,"Revisar"),"")</f>
        <v/>
      </c>
      <c r="BL334" s="179" t="str">
        <f t="array" ref="BL334">IF($F334&lt;&gt;"", XLOOKUP($F334,Productos!$A$2:$A1001,Productos!BE$2:BE1001,"")*$G334,"")</f>
        <v/>
      </c>
      <c r="BM334" s="179" t="str">
        <f t="array" ref="BM334">IF($F334&lt;&gt;"",XLOOKUP($F334,Productos!$A:$A,Productos!BF:BF,"Revisar"),"")</f>
        <v/>
      </c>
      <c r="BN334" s="179" t="str">
        <f t="array" ref="BN334">IF($F334&lt;&gt;"", XLOOKUP($F334,Productos!$A$2:$A1001,Productos!BG$2:BG1001,"")*$G334,"")</f>
        <v/>
      </c>
      <c r="BO334" s="179" t="str">
        <f t="array" ref="BO334">IF($F334&lt;&gt;"",XLOOKUP($F334,Productos!$A:$A,Productos!BH:BH,"Revisar"),"")</f>
        <v/>
      </c>
      <c r="BP334" s="179" t="str">
        <f t="array" ref="BP334">IF($F334&lt;&gt;"", XLOOKUP($F334,Productos!$A$2:$A1001,Productos!BI$2:BI1001,"")*$G334,"")</f>
        <v/>
      </c>
      <c r="BQ334" s="179" t="str">
        <f t="array" ref="BQ334">IF($F334&lt;&gt;"",XLOOKUP($F334,Productos!$A:$A,Productos!BJ:BJ,"Revisar"),"")</f>
        <v/>
      </c>
      <c r="BR334" s="179" t="str">
        <f t="array" ref="BR334">IF($F334&lt;&gt;"", XLOOKUP($F334,Productos!$A$2:$A1001,Productos!BK$2:BK1001,"")*$G334,"")</f>
        <v/>
      </c>
      <c r="BS334" s="179" t="str">
        <f t="array" ref="BS334">IF($F334&lt;&gt;"",XLOOKUP($F334,Productos!$A:$A,Productos!BL:BL,"Revisar"),"")</f>
        <v/>
      </c>
      <c r="BT334" s="179" t="str">
        <f t="array" ref="BT334">IF($F334&lt;&gt;"", XLOOKUP($F334,Productos!$A$2:$A1001,Productos!BM$2:BM1001,"")*$G334,"")</f>
        <v/>
      </c>
      <c r="BU334" s="179" t="str">
        <f t="array" ref="BU334">IF($F334&lt;&gt;"",XLOOKUP($F334,Productos!$A:$A,Productos!BN:BN,"Revisar"),"")</f>
        <v/>
      </c>
      <c r="BV334" s="179" t="str">
        <f t="array" ref="BV334">IF($F334&lt;&gt;"", XLOOKUP($F334,Productos!$A$2:$A1001,Productos!BO$2:BO1001,"")*$G334,"")</f>
        <v/>
      </c>
      <c r="BW334" s="179" t="str">
        <f t="array" ref="BW334">IF($F334&lt;&gt;"",XLOOKUP($F334,Productos!$A:$A,Productos!BP:BP,"Revisar"),"")</f>
        <v/>
      </c>
      <c r="BX334" s="179" t="str">
        <f t="array" ref="BX334">IF($F334&lt;&gt;"", XLOOKUP($F334,Productos!$A$2:$A1001,Productos!BQ$2:BQ1001,"")*$G334,"")</f>
        <v/>
      </c>
      <c r="BY334" s="179" t="str">
        <f t="array" ref="BY334">IF($F334&lt;&gt;"",XLOOKUP($F334,Productos!$A:$A,Productos!BR:BR,"Revisar"),"")</f>
        <v/>
      </c>
      <c r="BZ334" s="179" t="str">
        <f t="array" ref="BZ334">IF($F334&lt;&gt;"", XLOOKUP($F334,Productos!$A$2:$A1001,Productos!BS$2:BS1001,"")*$G334,"")</f>
        <v/>
      </c>
    </row>
    <row r="335">
      <c r="A335" s="188"/>
      <c r="B335" s="189"/>
      <c r="C335" s="190"/>
      <c r="D335" s="190"/>
      <c r="E335" s="191"/>
      <c r="F335" s="186"/>
      <c r="G335" s="192"/>
      <c r="H335" s="9"/>
      <c r="I335" s="179" t="str">
        <f t="array" ref="I335">IF($F335&lt;&gt;"",XLOOKUP($F335,Productos!$A:$A,Productos!B:B,"Revisar"),"")</f>
        <v/>
      </c>
      <c r="J335" s="179" t="str">
        <f t="array" ref="J335">IF($F335&lt;&gt;"", XLOOKUP($F335,Productos!$A$2:$A1001,Productos!C$2:C1001,"")*$G335,"")</f>
        <v/>
      </c>
      <c r="K335" s="179" t="str">
        <f t="array" ref="K335">IF($F335&lt;&gt;"",XLOOKUP($F335,Productos!$A:$A,Productos!D:D,"Revisar"),"")</f>
        <v/>
      </c>
      <c r="L335" s="179" t="str">
        <f t="array" ref="L335">IF($F335&lt;&gt;"", XLOOKUP($F335,Productos!$A$2:$A1001,Productos!E$2:E1001,"")*$G335,"")</f>
        <v/>
      </c>
      <c r="M335" s="179" t="str">
        <f t="array" ref="M335">IF($F335&lt;&gt;"",XLOOKUP($F335,Productos!$A:$A,Productos!F:F,"Revisar"),"")</f>
        <v/>
      </c>
      <c r="N335" s="179" t="str">
        <f t="array" ref="N335">IF($F335&lt;&gt;"", XLOOKUP($F335,Productos!$A$2:$A1001,Productos!G$2:G1001,"")*$G335,"")</f>
        <v/>
      </c>
      <c r="O335" s="179" t="str">
        <f t="array" ref="O335">IF($F335&lt;&gt;"",XLOOKUP($F335,Productos!$A:$A,Productos!H:H,"Revisar"),"")</f>
        <v/>
      </c>
      <c r="P335" s="179" t="str">
        <f t="array" ref="P335">IF($F335&lt;&gt;"", XLOOKUP($F335,Productos!$A$2:$A1001,Productos!I$2:I1001,"")*$G335,"")</f>
        <v/>
      </c>
      <c r="Q335" s="179" t="str">
        <f t="array" ref="Q335">IF($F335&lt;&gt;"",XLOOKUP($F335,Productos!$A:$A,Productos!J:J,"Revisar"),"")</f>
        <v/>
      </c>
      <c r="R335" s="179" t="str">
        <f t="array" ref="R335">IF($F335&lt;&gt;"", XLOOKUP($F335,Productos!$A$2:$A1001,Productos!K$2:K1001,"")*$G335,"")</f>
        <v/>
      </c>
      <c r="S335" s="179" t="str">
        <f t="array" ref="S335">IF($F335&lt;&gt;"",XLOOKUP($F335,Productos!$A:$A,Productos!L:L,"Revisar"),"")</f>
        <v/>
      </c>
      <c r="T335" s="179" t="str">
        <f t="array" ref="T335">IF($F335&lt;&gt;"", XLOOKUP($F335,Productos!$A$2:$A1001,Productos!M$2:M1001,"")*$G335,"")</f>
        <v/>
      </c>
      <c r="U335" s="179" t="str">
        <f t="array" ref="U335">IF($F335&lt;&gt;"",XLOOKUP($F335,Productos!$A:$A,Productos!N:N,"Revisar"),"")</f>
        <v/>
      </c>
      <c r="V335" s="179" t="str">
        <f t="array" ref="V335">IF($F335&lt;&gt;"", XLOOKUP($F335,Productos!$A$2:$A1001,Productos!O$2:O1001,"")*$G335,"")</f>
        <v/>
      </c>
      <c r="W335" s="179" t="str">
        <f t="array" ref="W335">IF($F335&lt;&gt;"",XLOOKUP($F335,Productos!$A:$A,Productos!P:P,"Revisar"),"")</f>
        <v/>
      </c>
      <c r="X335" s="179" t="str">
        <f t="array" ref="X335">IF($F335&lt;&gt;"", XLOOKUP($F335,Productos!$A$2:$A1001,Productos!Q$2:Q1001,"")*$G335,"")</f>
        <v/>
      </c>
      <c r="Y335" s="179" t="str">
        <f t="array" ref="Y335">IF($F335&lt;&gt;"",XLOOKUP($F335,Productos!$A:$A,Productos!R:R,"Revisar"),"")</f>
        <v/>
      </c>
      <c r="Z335" s="179" t="str">
        <f t="array" ref="Z335">IF($F335&lt;&gt;"", XLOOKUP($F335,Productos!$A$2:$A1001,Productos!S$2:S1001,"")*$G335,"")</f>
        <v/>
      </c>
      <c r="AA335" s="179" t="str">
        <f t="array" ref="AA335">IF($F335&lt;&gt;"",XLOOKUP($F335,Productos!$A:$A,Productos!T:T,"Revisar"),"")</f>
        <v/>
      </c>
      <c r="AB335" s="179" t="str">
        <f t="array" ref="AB335">IF($F335&lt;&gt;"", XLOOKUP($F335,Productos!$A$2:$A1001,Productos!U$2:U1001,"")*$G335,"")</f>
        <v/>
      </c>
      <c r="AC335" s="179" t="str">
        <f t="array" ref="AC335">IF($F335&lt;&gt;"",XLOOKUP($F335,Productos!$A:$A,Productos!V:V,"Revisar"),"")</f>
        <v/>
      </c>
      <c r="AD335" s="179" t="str">
        <f t="array" ref="AD335">IF($F335&lt;&gt;"", XLOOKUP($F335,Productos!$A$2:$A1001,Productos!W$2:W1001,"")*$G335,"")</f>
        <v/>
      </c>
      <c r="AE335" s="179" t="str">
        <f t="array" ref="AE335">IF($F335&lt;&gt;"",XLOOKUP($F335,Productos!$A:$A,Productos!X:X,"Revisar"),"")</f>
        <v/>
      </c>
      <c r="AF335" s="179" t="str">
        <f t="array" ref="AF335">IF($F335&lt;&gt;"", XLOOKUP($F335,Productos!$A$2:$A1001,Productos!Y$2:Y1001,"")*$G335,"")</f>
        <v/>
      </c>
      <c r="AG335" s="179" t="str">
        <f t="array" ref="AG335">IF($F335&lt;&gt;"",XLOOKUP($F335,Productos!$A:$A,Productos!Z:Z,"Revisar"),"")</f>
        <v/>
      </c>
      <c r="AH335" s="179" t="str">
        <f t="array" ref="AH335">IF($F335&lt;&gt;"", XLOOKUP($F335,Productos!$A$2:$A1001,Productos!AA$2:AA1001,"")*$G335,"")</f>
        <v/>
      </c>
      <c r="AI335" s="179" t="str">
        <f t="array" ref="AI335">IF($F335&lt;&gt;"",XLOOKUP($F335,Productos!$A:$A,Productos!AB:AB,"Revisar"),"")</f>
        <v/>
      </c>
      <c r="AJ335" s="179" t="str">
        <f t="array" ref="AJ335">IF($F335&lt;&gt;"", XLOOKUP($F335,Productos!$A$2:$A1001,Productos!AC$2:AC1001,"")*$G335,"")</f>
        <v/>
      </c>
      <c r="AK335" s="179" t="str">
        <f t="array" ref="AK335">IF($F335&lt;&gt;"",XLOOKUP($F335,Productos!$A:$A,Productos!AD:AD,"Revisar"),"")</f>
        <v/>
      </c>
      <c r="AL335" s="179" t="str">
        <f t="array" ref="AL335">IF($F335&lt;&gt;"", XLOOKUP($F335,Productos!$A$2:$A1001,Productos!AE$2:AE1001,"")*$G335,"")</f>
        <v/>
      </c>
      <c r="AM335" s="179" t="str">
        <f t="array" ref="AM335">IF($F335&lt;&gt;"",XLOOKUP($F335,Productos!$A:$A,Productos!AF:AF,"Revisar"),"")</f>
        <v/>
      </c>
      <c r="AN335" s="179" t="str">
        <f t="array" ref="AN335">IF($F335&lt;&gt;"", XLOOKUP($F335,Productos!$A$2:$A1001,Productos!AG$2:AG1001,"")*$G335,"")</f>
        <v/>
      </c>
      <c r="AO335" s="179" t="str">
        <f t="array" ref="AO335">IF($F335&lt;&gt;"",XLOOKUP($F335,Productos!$A:$A,Productos!AH:AH,"Revisar"),"")</f>
        <v/>
      </c>
      <c r="AP335" s="179" t="str">
        <f t="array" ref="AP335">IF($F335&lt;&gt;"", XLOOKUP($F335,Productos!$A$2:$A1001,Productos!AI$2:AI1001,"")*$G335,"")</f>
        <v/>
      </c>
      <c r="AQ335" s="179" t="str">
        <f t="array" ref="AQ335">IF($F335&lt;&gt;"",XLOOKUP($F335,Productos!$A:$A,Productos!AJ:AJ,"Revisar"),"")</f>
        <v/>
      </c>
      <c r="AR335" s="179" t="str">
        <f t="array" ref="AR335">IF($F335&lt;&gt;"", XLOOKUP($F335,Productos!$A$2:$A1001,Productos!AK$2:AK1001,"")*$G335,"")</f>
        <v/>
      </c>
      <c r="AS335" s="179" t="str">
        <f t="array" ref="AS335">IF($F335&lt;&gt;"",XLOOKUP($F335,Productos!$A:$A,Productos!AL:AL,"Revisar"),"")</f>
        <v/>
      </c>
      <c r="AT335" s="179" t="str">
        <f t="array" ref="AT335">IF($F335&lt;&gt;"", XLOOKUP($F335,Productos!$A$2:$A1001,Productos!AM$2:AM1001,"")*$G335,"")</f>
        <v/>
      </c>
      <c r="AU335" s="179" t="str">
        <f t="array" ref="AU335">IF($F335&lt;&gt;"",XLOOKUP($F335,Productos!$A:$A,Productos!AN:AN,"Revisar"),"")</f>
        <v/>
      </c>
      <c r="AV335" s="179" t="str">
        <f t="array" ref="AV335">IF($F335&lt;&gt;"", XLOOKUP($F335,Productos!$A$2:$A1001,Productos!AO$2:AO1001,"")*$G335,"")</f>
        <v/>
      </c>
      <c r="AW335" s="179" t="str">
        <f t="array" ref="AW335">IF($F335&lt;&gt;"",XLOOKUP($F335,Productos!$A:$A,Productos!AP:AP,"Revisar"),"")</f>
        <v/>
      </c>
      <c r="AX335" s="179" t="str">
        <f t="array" ref="AX335">IF($F335&lt;&gt;"", XLOOKUP($F335,Productos!$A$2:$A1001,Productos!AQ$2:AQ1001,"")*$G335,"")</f>
        <v/>
      </c>
      <c r="AY335" s="179" t="str">
        <f t="array" ref="AY335">IF($F335&lt;&gt;"",XLOOKUP($F335,Productos!$A:$A,Productos!AR:AR,"Revisar"),"")</f>
        <v/>
      </c>
      <c r="AZ335" s="179" t="str">
        <f t="array" ref="AZ335">IF($F335&lt;&gt;"", XLOOKUP($F335,Productos!$A$2:$A1001,Productos!AS$2:AS1001,"")*$G335,"")</f>
        <v/>
      </c>
      <c r="BA335" s="179" t="str">
        <f t="array" ref="BA335">IF($F335&lt;&gt;"",XLOOKUP($F335,Productos!$A:$A,Productos!AT:AT,"Revisar"),"")</f>
        <v/>
      </c>
      <c r="BB335" s="179" t="str">
        <f t="array" ref="BB335">IF($F335&lt;&gt;"", XLOOKUP($F335,Productos!$A$2:$A1001,Productos!AU$2:AU1001,"")*$G335,"")</f>
        <v/>
      </c>
      <c r="BC335" s="179" t="str">
        <f t="array" ref="BC335">IF($F335&lt;&gt;"",XLOOKUP($F335,Productos!$A:$A,Productos!AV:AV,"Revisar"),"")</f>
        <v/>
      </c>
      <c r="BD335" s="179" t="str">
        <f t="array" ref="BD335">IF($F335&lt;&gt;"", XLOOKUP($F335,Productos!$A$2:$A1001,Productos!AW$2:AW1001,"")*$G335,"")</f>
        <v/>
      </c>
      <c r="BE335" s="179" t="str">
        <f t="array" ref="BE335">IF($F335&lt;&gt;"",XLOOKUP($F335,Productos!$A:$A,Productos!AX:AX,"Revisar"),"")</f>
        <v/>
      </c>
      <c r="BF335" s="179" t="str">
        <f t="array" ref="BF335">IF($F335&lt;&gt;"", XLOOKUP($F335,Productos!$A$2:$A1001,Productos!AY$2:AY1001,"")*$G335,"")</f>
        <v/>
      </c>
      <c r="BG335" s="179" t="str">
        <f t="array" ref="BG335">IF($F335&lt;&gt;"",XLOOKUP($F335,Productos!$A:$A,Productos!AZ:AZ,"Revisar"),"")</f>
        <v/>
      </c>
      <c r="BH335" s="179" t="str">
        <f t="array" ref="BH335">IF($F335&lt;&gt;"", XLOOKUP($F335,Productos!$A$2:$A1001,Productos!BA$2:BA1001,"")*$G335,"")</f>
        <v/>
      </c>
      <c r="BI335" s="179" t="str">
        <f t="array" ref="BI335">IF($F335&lt;&gt;"",XLOOKUP($F335,Productos!$A:$A,Productos!BB:BB,"Revisar"),"")</f>
        <v/>
      </c>
      <c r="BJ335" s="179" t="str">
        <f t="array" ref="BJ335">IF($F335&lt;&gt;"", XLOOKUP($F335,Productos!$A$2:$A1001,Productos!BC$2:BC1001,"")*$G335,"")</f>
        <v/>
      </c>
      <c r="BK335" s="179" t="str">
        <f t="array" ref="BK335">IF($F335&lt;&gt;"",XLOOKUP($F335,Productos!$A:$A,Productos!BD:BD,"Revisar"),"")</f>
        <v/>
      </c>
      <c r="BL335" s="179" t="str">
        <f t="array" ref="BL335">IF($F335&lt;&gt;"", XLOOKUP($F335,Productos!$A$2:$A1001,Productos!BE$2:BE1001,"")*$G335,"")</f>
        <v/>
      </c>
      <c r="BM335" s="179" t="str">
        <f t="array" ref="BM335">IF($F335&lt;&gt;"",XLOOKUP($F335,Productos!$A:$A,Productos!BF:BF,"Revisar"),"")</f>
        <v/>
      </c>
      <c r="BN335" s="179" t="str">
        <f t="array" ref="BN335">IF($F335&lt;&gt;"", XLOOKUP($F335,Productos!$A$2:$A1001,Productos!BG$2:BG1001,"")*$G335,"")</f>
        <v/>
      </c>
      <c r="BO335" s="179" t="str">
        <f t="array" ref="BO335">IF($F335&lt;&gt;"",XLOOKUP($F335,Productos!$A:$A,Productos!BH:BH,"Revisar"),"")</f>
        <v/>
      </c>
      <c r="BP335" s="179" t="str">
        <f t="array" ref="BP335">IF($F335&lt;&gt;"", XLOOKUP($F335,Productos!$A$2:$A1001,Productos!BI$2:BI1001,"")*$G335,"")</f>
        <v/>
      </c>
      <c r="BQ335" s="179" t="str">
        <f t="array" ref="BQ335">IF($F335&lt;&gt;"",XLOOKUP($F335,Productos!$A:$A,Productos!BJ:BJ,"Revisar"),"")</f>
        <v/>
      </c>
      <c r="BR335" s="179" t="str">
        <f t="array" ref="BR335">IF($F335&lt;&gt;"", XLOOKUP($F335,Productos!$A$2:$A1001,Productos!BK$2:BK1001,"")*$G335,"")</f>
        <v/>
      </c>
      <c r="BS335" s="179" t="str">
        <f t="array" ref="BS335">IF($F335&lt;&gt;"",XLOOKUP($F335,Productos!$A:$A,Productos!BL:BL,"Revisar"),"")</f>
        <v/>
      </c>
      <c r="BT335" s="179" t="str">
        <f t="array" ref="BT335">IF($F335&lt;&gt;"", XLOOKUP($F335,Productos!$A$2:$A1001,Productos!BM$2:BM1001,"")*$G335,"")</f>
        <v/>
      </c>
      <c r="BU335" s="179" t="str">
        <f t="array" ref="BU335">IF($F335&lt;&gt;"",XLOOKUP($F335,Productos!$A:$A,Productos!BN:BN,"Revisar"),"")</f>
        <v/>
      </c>
      <c r="BV335" s="179" t="str">
        <f t="array" ref="BV335">IF($F335&lt;&gt;"", XLOOKUP($F335,Productos!$A$2:$A1001,Productos!BO$2:BO1001,"")*$G335,"")</f>
        <v/>
      </c>
      <c r="BW335" s="179" t="str">
        <f t="array" ref="BW335">IF($F335&lt;&gt;"",XLOOKUP($F335,Productos!$A:$A,Productos!BP:BP,"Revisar"),"")</f>
        <v/>
      </c>
      <c r="BX335" s="179" t="str">
        <f t="array" ref="BX335">IF($F335&lt;&gt;"", XLOOKUP($F335,Productos!$A$2:$A1001,Productos!BQ$2:BQ1001,"")*$G335,"")</f>
        <v/>
      </c>
      <c r="BY335" s="179" t="str">
        <f t="array" ref="BY335">IF($F335&lt;&gt;"",XLOOKUP($F335,Productos!$A:$A,Productos!BR:BR,"Revisar"),"")</f>
        <v/>
      </c>
      <c r="BZ335" s="179" t="str">
        <f t="array" ref="BZ335">IF($F335&lt;&gt;"", XLOOKUP($F335,Productos!$A$2:$A1001,Productos!BS$2:BS1001,"")*$G335,"")</f>
        <v/>
      </c>
    </row>
    <row r="336">
      <c r="A336" s="188"/>
      <c r="B336" s="189"/>
      <c r="C336" s="190"/>
      <c r="D336" s="190"/>
      <c r="E336" s="191"/>
      <c r="F336" s="186"/>
      <c r="G336" s="192"/>
      <c r="H336" s="9"/>
      <c r="I336" s="179" t="str">
        <f t="array" ref="I336">IF($F336&lt;&gt;"",XLOOKUP($F336,Productos!$A:$A,Productos!B:B,"Revisar"),"")</f>
        <v/>
      </c>
      <c r="J336" s="179" t="str">
        <f t="array" ref="J336">IF($F336&lt;&gt;"", XLOOKUP($F336,Productos!$A$2:$A1001,Productos!C$2:C1001,"")*$G336,"")</f>
        <v/>
      </c>
      <c r="K336" s="179" t="str">
        <f t="array" ref="K336">IF($F336&lt;&gt;"",XLOOKUP($F336,Productos!$A:$A,Productos!D:D,"Revisar"),"")</f>
        <v/>
      </c>
      <c r="L336" s="179" t="str">
        <f t="array" ref="L336">IF($F336&lt;&gt;"", XLOOKUP($F336,Productos!$A$2:$A1001,Productos!E$2:E1001,"")*$G336,"")</f>
        <v/>
      </c>
      <c r="M336" s="179" t="str">
        <f t="array" ref="M336">IF($F336&lt;&gt;"",XLOOKUP($F336,Productos!$A:$A,Productos!F:F,"Revisar"),"")</f>
        <v/>
      </c>
      <c r="N336" s="179" t="str">
        <f t="array" ref="N336">IF($F336&lt;&gt;"", XLOOKUP($F336,Productos!$A$2:$A1001,Productos!G$2:G1001,"")*$G336,"")</f>
        <v/>
      </c>
      <c r="O336" s="179" t="str">
        <f t="array" ref="O336">IF($F336&lt;&gt;"",XLOOKUP($F336,Productos!$A:$A,Productos!H:H,"Revisar"),"")</f>
        <v/>
      </c>
      <c r="P336" s="179" t="str">
        <f t="array" ref="P336">IF($F336&lt;&gt;"", XLOOKUP($F336,Productos!$A$2:$A1001,Productos!I$2:I1001,"")*$G336,"")</f>
        <v/>
      </c>
      <c r="Q336" s="179" t="str">
        <f t="array" ref="Q336">IF($F336&lt;&gt;"",XLOOKUP($F336,Productos!$A:$A,Productos!J:J,"Revisar"),"")</f>
        <v/>
      </c>
      <c r="R336" s="179" t="str">
        <f t="array" ref="R336">IF($F336&lt;&gt;"", XLOOKUP($F336,Productos!$A$2:$A1001,Productos!K$2:K1001,"")*$G336,"")</f>
        <v/>
      </c>
      <c r="S336" s="179" t="str">
        <f t="array" ref="S336">IF($F336&lt;&gt;"",XLOOKUP($F336,Productos!$A:$A,Productos!L:L,"Revisar"),"")</f>
        <v/>
      </c>
      <c r="T336" s="179" t="str">
        <f t="array" ref="T336">IF($F336&lt;&gt;"", XLOOKUP($F336,Productos!$A$2:$A1001,Productos!M$2:M1001,"")*$G336,"")</f>
        <v/>
      </c>
      <c r="U336" s="179" t="str">
        <f t="array" ref="U336">IF($F336&lt;&gt;"",XLOOKUP($F336,Productos!$A:$A,Productos!N:N,"Revisar"),"")</f>
        <v/>
      </c>
      <c r="V336" s="179" t="str">
        <f t="array" ref="V336">IF($F336&lt;&gt;"", XLOOKUP($F336,Productos!$A$2:$A1001,Productos!O$2:O1001,"")*$G336,"")</f>
        <v/>
      </c>
      <c r="W336" s="179" t="str">
        <f t="array" ref="W336">IF($F336&lt;&gt;"",XLOOKUP($F336,Productos!$A:$A,Productos!P:P,"Revisar"),"")</f>
        <v/>
      </c>
      <c r="X336" s="179" t="str">
        <f t="array" ref="X336">IF($F336&lt;&gt;"", XLOOKUP($F336,Productos!$A$2:$A1001,Productos!Q$2:Q1001,"")*$G336,"")</f>
        <v/>
      </c>
      <c r="Y336" s="179" t="str">
        <f t="array" ref="Y336">IF($F336&lt;&gt;"",XLOOKUP($F336,Productos!$A:$A,Productos!R:R,"Revisar"),"")</f>
        <v/>
      </c>
      <c r="Z336" s="179" t="str">
        <f t="array" ref="Z336">IF($F336&lt;&gt;"", XLOOKUP($F336,Productos!$A$2:$A1001,Productos!S$2:S1001,"")*$G336,"")</f>
        <v/>
      </c>
      <c r="AA336" s="179" t="str">
        <f t="array" ref="AA336">IF($F336&lt;&gt;"",XLOOKUP($F336,Productos!$A:$A,Productos!T:T,"Revisar"),"")</f>
        <v/>
      </c>
      <c r="AB336" s="179" t="str">
        <f t="array" ref="AB336">IF($F336&lt;&gt;"", XLOOKUP($F336,Productos!$A$2:$A1001,Productos!U$2:U1001,"")*$G336,"")</f>
        <v/>
      </c>
      <c r="AC336" s="179" t="str">
        <f t="array" ref="AC336">IF($F336&lt;&gt;"",XLOOKUP($F336,Productos!$A:$A,Productos!V:V,"Revisar"),"")</f>
        <v/>
      </c>
      <c r="AD336" s="179" t="str">
        <f t="array" ref="AD336">IF($F336&lt;&gt;"", XLOOKUP($F336,Productos!$A$2:$A1001,Productos!W$2:W1001,"")*$G336,"")</f>
        <v/>
      </c>
      <c r="AE336" s="179" t="str">
        <f t="array" ref="AE336">IF($F336&lt;&gt;"",XLOOKUP($F336,Productos!$A:$A,Productos!X:X,"Revisar"),"")</f>
        <v/>
      </c>
      <c r="AF336" s="179" t="str">
        <f t="array" ref="AF336">IF($F336&lt;&gt;"", XLOOKUP($F336,Productos!$A$2:$A1001,Productos!Y$2:Y1001,"")*$G336,"")</f>
        <v/>
      </c>
      <c r="AG336" s="179" t="str">
        <f t="array" ref="AG336">IF($F336&lt;&gt;"",XLOOKUP($F336,Productos!$A:$A,Productos!Z:Z,"Revisar"),"")</f>
        <v/>
      </c>
      <c r="AH336" s="179" t="str">
        <f t="array" ref="AH336">IF($F336&lt;&gt;"", XLOOKUP($F336,Productos!$A$2:$A1001,Productos!AA$2:AA1001,"")*$G336,"")</f>
        <v/>
      </c>
      <c r="AI336" s="179" t="str">
        <f t="array" ref="AI336">IF($F336&lt;&gt;"",XLOOKUP($F336,Productos!$A:$A,Productos!AB:AB,"Revisar"),"")</f>
        <v/>
      </c>
      <c r="AJ336" s="179" t="str">
        <f t="array" ref="AJ336">IF($F336&lt;&gt;"", XLOOKUP($F336,Productos!$A$2:$A1001,Productos!AC$2:AC1001,"")*$G336,"")</f>
        <v/>
      </c>
      <c r="AK336" s="179" t="str">
        <f t="array" ref="AK336">IF($F336&lt;&gt;"",XLOOKUP($F336,Productos!$A:$A,Productos!AD:AD,"Revisar"),"")</f>
        <v/>
      </c>
      <c r="AL336" s="179" t="str">
        <f t="array" ref="AL336">IF($F336&lt;&gt;"", XLOOKUP($F336,Productos!$A$2:$A1001,Productos!AE$2:AE1001,"")*$G336,"")</f>
        <v/>
      </c>
      <c r="AM336" s="179" t="str">
        <f t="array" ref="AM336">IF($F336&lt;&gt;"",XLOOKUP($F336,Productos!$A:$A,Productos!AF:AF,"Revisar"),"")</f>
        <v/>
      </c>
      <c r="AN336" s="179" t="str">
        <f t="array" ref="AN336">IF($F336&lt;&gt;"", XLOOKUP($F336,Productos!$A$2:$A1001,Productos!AG$2:AG1001,"")*$G336,"")</f>
        <v/>
      </c>
      <c r="AO336" s="179" t="str">
        <f t="array" ref="AO336">IF($F336&lt;&gt;"",XLOOKUP($F336,Productos!$A:$A,Productos!AH:AH,"Revisar"),"")</f>
        <v/>
      </c>
      <c r="AP336" s="179" t="str">
        <f t="array" ref="AP336">IF($F336&lt;&gt;"", XLOOKUP($F336,Productos!$A$2:$A1001,Productos!AI$2:AI1001,"")*$G336,"")</f>
        <v/>
      </c>
      <c r="AQ336" s="179" t="str">
        <f t="array" ref="AQ336">IF($F336&lt;&gt;"",XLOOKUP($F336,Productos!$A:$A,Productos!AJ:AJ,"Revisar"),"")</f>
        <v/>
      </c>
      <c r="AR336" s="179" t="str">
        <f t="array" ref="AR336">IF($F336&lt;&gt;"", XLOOKUP($F336,Productos!$A$2:$A1001,Productos!AK$2:AK1001,"")*$G336,"")</f>
        <v/>
      </c>
      <c r="AS336" s="179" t="str">
        <f t="array" ref="AS336">IF($F336&lt;&gt;"",XLOOKUP($F336,Productos!$A:$A,Productos!AL:AL,"Revisar"),"")</f>
        <v/>
      </c>
      <c r="AT336" s="179" t="str">
        <f t="array" ref="AT336">IF($F336&lt;&gt;"", XLOOKUP($F336,Productos!$A$2:$A1001,Productos!AM$2:AM1001,"")*$G336,"")</f>
        <v/>
      </c>
      <c r="AU336" s="179" t="str">
        <f t="array" ref="AU336">IF($F336&lt;&gt;"",XLOOKUP($F336,Productos!$A:$A,Productos!AN:AN,"Revisar"),"")</f>
        <v/>
      </c>
      <c r="AV336" s="179" t="str">
        <f t="array" ref="AV336">IF($F336&lt;&gt;"", XLOOKUP($F336,Productos!$A$2:$A1001,Productos!AO$2:AO1001,"")*$G336,"")</f>
        <v/>
      </c>
      <c r="AW336" s="179" t="str">
        <f t="array" ref="AW336">IF($F336&lt;&gt;"",XLOOKUP($F336,Productos!$A:$A,Productos!AP:AP,"Revisar"),"")</f>
        <v/>
      </c>
      <c r="AX336" s="179" t="str">
        <f t="array" ref="AX336">IF($F336&lt;&gt;"", XLOOKUP($F336,Productos!$A$2:$A1001,Productos!AQ$2:AQ1001,"")*$G336,"")</f>
        <v/>
      </c>
      <c r="AY336" s="179" t="str">
        <f t="array" ref="AY336">IF($F336&lt;&gt;"",XLOOKUP($F336,Productos!$A:$A,Productos!AR:AR,"Revisar"),"")</f>
        <v/>
      </c>
      <c r="AZ336" s="179" t="str">
        <f t="array" ref="AZ336">IF($F336&lt;&gt;"", XLOOKUP($F336,Productos!$A$2:$A1001,Productos!AS$2:AS1001,"")*$G336,"")</f>
        <v/>
      </c>
      <c r="BA336" s="179" t="str">
        <f t="array" ref="BA336">IF($F336&lt;&gt;"",XLOOKUP($F336,Productos!$A:$A,Productos!AT:AT,"Revisar"),"")</f>
        <v/>
      </c>
      <c r="BB336" s="179" t="str">
        <f t="array" ref="BB336">IF($F336&lt;&gt;"", XLOOKUP($F336,Productos!$A$2:$A1001,Productos!AU$2:AU1001,"")*$G336,"")</f>
        <v/>
      </c>
      <c r="BC336" s="179" t="str">
        <f t="array" ref="BC336">IF($F336&lt;&gt;"",XLOOKUP($F336,Productos!$A:$A,Productos!AV:AV,"Revisar"),"")</f>
        <v/>
      </c>
      <c r="BD336" s="179" t="str">
        <f t="array" ref="BD336">IF($F336&lt;&gt;"", XLOOKUP($F336,Productos!$A$2:$A1001,Productos!AW$2:AW1001,"")*$G336,"")</f>
        <v/>
      </c>
      <c r="BE336" s="179" t="str">
        <f t="array" ref="BE336">IF($F336&lt;&gt;"",XLOOKUP($F336,Productos!$A:$A,Productos!AX:AX,"Revisar"),"")</f>
        <v/>
      </c>
      <c r="BF336" s="179" t="str">
        <f t="array" ref="BF336">IF($F336&lt;&gt;"", XLOOKUP($F336,Productos!$A$2:$A1001,Productos!AY$2:AY1001,"")*$G336,"")</f>
        <v/>
      </c>
      <c r="BG336" s="179" t="str">
        <f t="array" ref="BG336">IF($F336&lt;&gt;"",XLOOKUP($F336,Productos!$A:$A,Productos!AZ:AZ,"Revisar"),"")</f>
        <v/>
      </c>
      <c r="BH336" s="179" t="str">
        <f t="array" ref="BH336">IF($F336&lt;&gt;"", XLOOKUP($F336,Productos!$A$2:$A1001,Productos!BA$2:BA1001,"")*$G336,"")</f>
        <v/>
      </c>
      <c r="BI336" s="179" t="str">
        <f t="array" ref="BI336">IF($F336&lt;&gt;"",XLOOKUP($F336,Productos!$A:$A,Productos!BB:BB,"Revisar"),"")</f>
        <v/>
      </c>
      <c r="BJ336" s="179" t="str">
        <f t="array" ref="BJ336">IF($F336&lt;&gt;"", XLOOKUP($F336,Productos!$A$2:$A1001,Productos!BC$2:BC1001,"")*$G336,"")</f>
        <v/>
      </c>
      <c r="BK336" s="179" t="str">
        <f t="array" ref="BK336">IF($F336&lt;&gt;"",XLOOKUP($F336,Productos!$A:$A,Productos!BD:BD,"Revisar"),"")</f>
        <v/>
      </c>
      <c r="BL336" s="179" t="str">
        <f t="array" ref="BL336">IF($F336&lt;&gt;"", XLOOKUP($F336,Productos!$A$2:$A1001,Productos!BE$2:BE1001,"")*$G336,"")</f>
        <v/>
      </c>
      <c r="BM336" s="179" t="str">
        <f t="array" ref="BM336">IF($F336&lt;&gt;"",XLOOKUP($F336,Productos!$A:$A,Productos!BF:BF,"Revisar"),"")</f>
        <v/>
      </c>
      <c r="BN336" s="179" t="str">
        <f t="array" ref="BN336">IF($F336&lt;&gt;"", XLOOKUP($F336,Productos!$A$2:$A1001,Productos!BG$2:BG1001,"")*$G336,"")</f>
        <v/>
      </c>
      <c r="BO336" s="179" t="str">
        <f t="array" ref="BO336">IF($F336&lt;&gt;"",XLOOKUP($F336,Productos!$A:$A,Productos!BH:BH,"Revisar"),"")</f>
        <v/>
      </c>
      <c r="BP336" s="179" t="str">
        <f t="array" ref="BP336">IF($F336&lt;&gt;"", XLOOKUP($F336,Productos!$A$2:$A1001,Productos!BI$2:BI1001,"")*$G336,"")</f>
        <v/>
      </c>
      <c r="BQ336" s="179" t="str">
        <f t="array" ref="BQ336">IF($F336&lt;&gt;"",XLOOKUP($F336,Productos!$A:$A,Productos!BJ:BJ,"Revisar"),"")</f>
        <v/>
      </c>
      <c r="BR336" s="179" t="str">
        <f t="array" ref="BR336">IF($F336&lt;&gt;"", XLOOKUP($F336,Productos!$A$2:$A1001,Productos!BK$2:BK1001,"")*$G336,"")</f>
        <v/>
      </c>
      <c r="BS336" s="179" t="str">
        <f t="array" ref="BS336">IF($F336&lt;&gt;"",XLOOKUP($F336,Productos!$A:$A,Productos!BL:BL,"Revisar"),"")</f>
        <v/>
      </c>
      <c r="BT336" s="179" t="str">
        <f t="array" ref="BT336">IF($F336&lt;&gt;"", XLOOKUP($F336,Productos!$A$2:$A1001,Productos!BM$2:BM1001,"")*$G336,"")</f>
        <v/>
      </c>
      <c r="BU336" s="179" t="str">
        <f t="array" ref="BU336">IF($F336&lt;&gt;"",XLOOKUP($F336,Productos!$A:$A,Productos!BN:BN,"Revisar"),"")</f>
        <v/>
      </c>
      <c r="BV336" s="179" t="str">
        <f t="array" ref="BV336">IF($F336&lt;&gt;"", XLOOKUP($F336,Productos!$A$2:$A1001,Productos!BO$2:BO1001,"")*$G336,"")</f>
        <v/>
      </c>
      <c r="BW336" s="179" t="str">
        <f t="array" ref="BW336">IF($F336&lt;&gt;"",XLOOKUP($F336,Productos!$A:$A,Productos!BP:BP,"Revisar"),"")</f>
        <v/>
      </c>
      <c r="BX336" s="179" t="str">
        <f t="array" ref="BX336">IF($F336&lt;&gt;"", XLOOKUP($F336,Productos!$A$2:$A1001,Productos!BQ$2:BQ1001,"")*$G336,"")</f>
        <v/>
      </c>
      <c r="BY336" s="179" t="str">
        <f t="array" ref="BY336">IF($F336&lt;&gt;"",XLOOKUP($F336,Productos!$A:$A,Productos!BR:BR,"Revisar"),"")</f>
        <v/>
      </c>
      <c r="BZ336" s="179" t="str">
        <f t="array" ref="BZ336">IF($F336&lt;&gt;"", XLOOKUP($F336,Productos!$A$2:$A1001,Productos!BS$2:BS1001,"")*$G336,"")</f>
        <v/>
      </c>
    </row>
    <row r="337">
      <c r="A337" s="188"/>
      <c r="B337" s="189"/>
      <c r="C337" s="190"/>
      <c r="D337" s="190"/>
      <c r="E337" s="191"/>
      <c r="F337" s="186"/>
      <c r="G337" s="192"/>
      <c r="H337" s="9"/>
      <c r="I337" s="179" t="str">
        <f t="array" ref="I337">IF($F337&lt;&gt;"",XLOOKUP($F337,Productos!$A:$A,Productos!B:B,"Revisar"),"")</f>
        <v/>
      </c>
      <c r="J337" s="179" t="str">
        <f t="array" ref="J337">IF($F337&lt;&gt;"", XLOOKUP($F337,Productos!$A$2:$A1001,Productos!C$2:C1001,"")*$G337,"")</f>
        <v/>
      </c>
      <c r="K337" s="179" t="str">
        <f t="array" ref="K337">IF($F337&lt;&gt;"",XLOOKUP($F337,Productos!$A:$A,Productos!D:D,"Revisar"),"")</f>
        <v/>
      </c>
      <c r="L337" s="179" t="str">
        <f t="array" ref="L337">IF($F337&lt;&gt;"", XLOOKUP($F337,Productos!$A$2:$A1001,Productos!E$2:E1001,"")*$G337,"")</f>
        <v/>
      </c>
      <c r="M337" s="179" t="str">
        <f t="array" ref="M337">IF($F337&lt;&gt;"",XLOOKUP($F337,Productos!$A:$A,Productos!F:F,"Revisar"),"")</f>
        <v/>
      </c>
      <c r="N337" s="179" t="str">
        <f t="array" ref="N337">IF($F337&lt;&gt;"", XLOOKUP($F337,Productos!$A$2:$A1001,Productos!G$2:G1001,"")*$G337,"")</f>
        <v/>
      </c>
      <c r="O337" s="179" t="str">
        <f t="array" ref="O337">IF($F337&lt;&gt;"",XLOOKUP($F337,Productos!$A:$A,Productos!H:H,"Revisar"),"")</f>
        <v/>
      </c>
      <c r="P337" s="179" t="str">
        <f t="array" ref="P337">IF($F337&lt;&gt;"", XLOOKUP($F337,Productos!$A$2:$A1001,Productos!I$2:I1001,"")*$G337,"")</f>
        <v/>
      </c>
      <c r="Q337" s="179" t="str">
        <f t="array" ref="Q337">IF($F337&lt;&gt;"",XLOOKUP($F337,Productos!$A:$A,Productos!J:J,"Revisar"),"")</f>
        <v/>
      </c>
      <c r="R337" s="179" t="str">
        <f t="array" ref="R337">IF($F337&lt;&gt;"", XLOOKUP($F337,Productos!$A$2:$A1001,Productos!K$2:K1001,"")*$G337,"")</f>
        <v/>
      </c>
      <c r="S337" s="179" t="str">
        <f t="array" ref="S337">IF($F337&lt;&gt;"",XLOOKUP($F337,Productos!$A:$A,Productos!L:L,"Revisar"),"")</f>
        <v/>
      </c>
      <c r="T337" s="179" t="str">
        <f t="array" ref="T337">IF($F337&lt;&gt;"", XLOOKUP($F337,Productos!$A$2:$A1001,Productos!M$2:M1001,"")*$G337,"")</f>
        <v/>
      </c>
      <c r="U337" s="179" t="str">
        <f t="array" ref="U337">IF($F337&lt;&gt;"",XLOOKUP($F337,Productos!$A:$A,Productos!N:N,"Revisar"),"")</f>
        <v/>
      </c>
      <c r="V337" s="179" t="str">
        <f t="array" ref="V337">IF($F337&lt;&gt;"", XLOOKUP($F337,Productos!$A$2:$A1001,Productos!O$2:O1001,"")*$G337,"")</f>
        <v/>
      </c>
      <c r="W337" s="179" t="str">
        <f t="array" ref="W337">IF($F337&lt;&gt;"",XLOOKUP($F337,Productos!$A:$A,Productos!P:P,"Revisar"),"")</f>
        <v/>
      </c>
      <c r="X337" s="179" t="str">
        <f t="array" ref="X337">IF($F337&lt;&gt;"", XLOOKUP($F337,Productos!$A$2:$A1001,Productos!Q$2:Q1001,"")*$G337,"")</f>
        <v/>
      </c>
      <c r="Y337" s="179" t="str">
        <f t="array" ref="Y337">IF($F337&lt;&gt;"",XLOOKUP($F337,Productos!$A:$A,Productos!R:R,"Revisar"),"")</f>
        <v/>
      </c>
      <c r="Z337" s="179" t="str">
        <f t="array" ref="Z337">IF($F337&lt;&gt;"", XLOOKUP($F337,Productos!$A$2:$A1001,Productos!S$2:S1001,"")*$G337,"")</f>
        <v/>
      </c>
      <c r="AA337" s="179" t="str">
        <f t="array" ref="AA337">IF($F337&lt;&gt;"",XLOOKUP($F337,Productos!$A:$A,Productos!T:T,"Revisar"),"")</f>
        <v/>
      </c>
      <c r="AB337" s="179" t="str">
        <f t="array" ref="AB337">IF($F337&lt;&gt;"", XLOOKUP($F337,Productos!$A$2:$A1001,Productos!U$2:U1001,"")*$G337,"")</f>
        <v/>
      </c>
      <c r="AC337" s="179" t="str">
        <f t="array" ref="AC337">IF($F337&lt;&gt;"",XLOOKUP($F337,Productos!$A:$A,Productos!V:V,"Revisar"),"")</f>
        <v/>
      </c>
      <c r="AD337" s="179" t="str">
        <f t="array" ref="AD337">IF($F337&lt;&gt;"", XLOOKUP($F337,Productos!$A$2:$A1001,Productos!W$2:W1001,"")*$G337,"")</f>
        <v/>
      </c>
      <c r="AE337" s="179" t="str">
        <f t="array" ref="AE337">IF($F337&lt;&gt;"",XLOOKUP($F337,Productos!$A:$A,Productos!X:X,"Revisar"),"")</f>
        <v/>
      </c>
      <c r="AF337" s="179" t="str">
        <f t="array" ref="AF337">IF($F337&lt;&gt;"", XLOOKUP($F337,Productos!$A$2:$A1001,Productos!Y$2:Y1001,"")*$G337,"")</f>
        <v/>
      </c>
      <c r="AG337" s="179" t="str">
        <f t="array" ref="AG337">IF($F337&lt;&gt;"",XLOOKUP($F337,Productos!$A:$A,Productos!Z:Z,"Revisar"),"")</f>
        <v/>
      </c>
      <c r="AH337" s="179" t="str">
        <f t="array" ref="AH337">IF($F337&lt;&gt;"", XLOOKUP($F337,Productos!$A$2:$A1001,Productos!AA$2:AA1001,"")*$G337,"")</f>
        <v/>
      </c>
      <c r="AI337" s="179" t="str">
        <f t="array" ref="AI337">IF($F337&lt;&gt;"",XLOOKUP($F337,Productos!$A:$A,Productos!AB:AB,"Revisar"),"")</f>
        <v/>
      </c>
      <c r="AJ337" s="179" t="str">
        <f t="array" ref="AJ337">IF($F337&lt;&gt;"", XLOOKUP($F337,Productos!$A$2:$A1001,Productos!AC$2:AC1001,"")*$G337,"")</f>
        <v/>
      </c>
      <c r="AK337" s="179" t="str">
        <f t="array" ref="AK337">IF($F337&lt;&gt;"",XLOOKUP($F337,Productos!$A:$A,Productos!AD:AD,"Revisar"),"")</f>
        <v/>
      </c>
      <c r="AL337" s="179" t="str">
        <f t="array" ref="AL337">IF($F337&lt;&gt;"", XLOOKUP($F337,Productos!$A$2:$A1001,Productos!AE$2:AE1001,"")*$G337,"")</f>
        <v/>
      </c>
      <c r="AM337" s="179" t="str">
        <f t="array" ref="AM337">IF($F337&lt;&gt;"",XLOOKUP($F337,Productos!$A:$A,Productos!AF:AF,"Revisar"),"")</f>
        <v/>
      </c>
      <c r="AN337" s="179" t="str">
        <f t="array" ref="AN337">IF($F337&lt;&gt;"", XLOOKUP($F337,Productos!$A$2:$A1001,Productos!AG$2:AG1001,"")*$G337,"")</f>
        <v/>
      </c>
      <c r="AO337" s="179" t="str">
        <f t="array" ref="AO337">IF($F337&lt;&gt;"",XLOOKUP($F337,Productos!$A:$A,Productos!AH:AH,"Revisar"),"")</f>
        <v/>
      </c>
      <c r="AP337" s="179" t="str">
        <f t="array" ref="AP337">IF($F337&lt;&gt;"", XLOOKUP($F337,Productos!$A$2:$A1001,Productos!AI$2:AI1001,"")*$G337,"")</f>
        <v/>
      </c>
      <c r="AQ337" s="179" t="str">
        <f t="array" ref="AQ337">IF($F337&lt;&gt;"",XLOOKUP($F337,Productos!$A:$A,Productos!AJ:AJ,"Revisar"),"")</f>
        <v/>
      </c>
      <c r="AR337" s="179" t="str">
        <f t="array" ref="AR337">IF($F337&lt;&gt;"", XLOOKUP($F337,Productos!$A$2:$A1001,Productos!AK$2:AK1001,"")*$G337,"")</f>
        <v/>
      </c>
      <c r="AS337" s="179" t="str">
        <f t="array" ref="AS337">IF($F337&lt;&gt;"",XLOOKUP($F337,Productos!$A:$A,Productos!AL:AL,"Revisar"),"")</f>
        <v/>
      </c>
      <c r="AT337" s="179" t="str">
        <f t="array" ref="AT337">IF($F337&lt;&gt;"", XLOOKUP($F337,Productos!$A$2:$A1001,Productos!AM$2:AM1001,"")*$G337,"")</f>
        <v/>
      </c>
      <c r="AU337" s="179" t="str">
        <f t="array" ref="AU337">IF($F337&lt;&gt;"",XLOOKUP($F337,Productos!$A:$A,Productos!AN:AN,"Revisar"),"")</f>
        <v/>
      </c>
      <c r="AV337" s="179" t="str">
        <f t="array" ref="AV337">IF($F337&lt;&gt;"", XLOOKUP($F337,Productos!$A$2:$A1001,Productos!AO$2:AO1001,"")*$G337,"")</f>
        <v/>
      </c>
      <c r="AW337" s="179" t="str">
        <f t="array" ref="AW337">IF($F337&lt;&gt;"",XLOOKUP($F337,Productos!$A:$A,Productos!AP:AP,"Revisar"),"")</f>
        <v/>
      </c>
      <c r="AX337" s="179" t="str">
        <f t="array" ref="AX337">IF($F337&lt;&gt;"", XLOOKUP($F337,Productos!$A$2:$A1001,Productos!AQ$2:AQ1001,"")*$G337,"")</f>
        <v/>
      </c>
      <c r="AY337" s="179" t="str">
        <f t="array" ref="AY337">IF($F337&lt;&gt;"",XLOOKUP($F337,Productos!$A:$A,Productos!AR:AR,"Revisar"),"")</f>
        <v/>
      </c>
      <c r="AZ337" s="179" t="str">
        <f t="array" ref="AZ337">IF($F337&lt;&gt;"", XLOOKUP($F337,Productos!$A$2:$A1001,Productos!AS$2:AS1001,"")*$G337,"")</f>
        <v/>
      </c>
      <c r="BA337" s="179" t="str">
        <f t="array" ref="BA337">IF($F337&lt;&gt;"",XLOOKUP($F337,Productos!$A:$A,Productos!AT:AT,"Revisar"),"")</f>
        <v/>
      </c>
      <c r="BB337" s="179" t="str">
        <f t="array" ref="BB337">IF($F337&lt;&gt;"", XLOOKUP($F337,Productos!$A$2:$A1001,Productos!AU$2:AU1001,"")*$G337,"")</f>
        <v/>
      </c>
      <c r="BC337" s="179" t="str">
        <f t="array" ref="BC337">IF($F337&lt;&gt;"",XLOOKUP($F337,Productos!$A:$A,Productos!AV:AV,"Revisar"),"")</f>
        <v/>
      </c>
      <c r="BD337" s="179" t="str">
        <f t="array" ref="BD337">IF($F337&lt;&gt;"", XLOOKUP($F337,Productos!$A$2:$A1001,Productos!AW$2:AW1001,"")*$G337,"")</f>
        <v/>
      </c>
      <c r="BE337" s="179" t="str">
        <f t="array" ref="BE337">IF($F337&lt;&gt;"",XLOOKUP($F337,Productos!$A:$A,Productos!AX:AX,"Revisar"),"")</f>
        <v/>
      </c>
      <c r="BF337" s="179" t="str">
        <f t="array" ref="BF337">IF($F337&lt;&gt;"", XLOOKUP($F337,Productos!$A$2:$A1001,Productos!AY$2:AY1001,"")*$G337,"")</f>
        <v/>
      </c>
      <c r="BG337" s="179" t="str">
        <f t="array" ref="BG337">IF($F337&lt;&gt;"",XLOOKUP($F337,Productos!$A:$A,Productos!AZ:AZ,"Revisar"),"")</f>
        <v/>
      </c>
      <c r="BH337" s="179" t="str">
        <f t="array" ref="BH337">IF($F337&lt;&gt;"", XLOOKUP($F337,Productos!$A$2:$A1001,Productos!BA$2:BA1001,"")*$G337,"")</f>
        <v/>
      </c>
      <c r="BI337" s="179" t="str">
        <f t="array" ref="BI337">IF($F337&lt;&gt;"",XLOOKUP($F337,Productos!$A:$A,Productos!BB:BB,"Revisar"),"")</f>
        <v/>
      </c>
      <c r="BJ337" s="179" t="str">
        <f t="array" ref="BJ337">IF($F337&lt;&gt;"", XLOOKUP($F337,Productos!$A$2:$A1001,Productos!BC$2:BC1001,"")*$G337,"")</f>
        <v/>
      </c>
      <c r="BK337" s="179" t="str">
        <f t="array" ref="BK337">IF($F337&lt;&gt;"",XLOOKUP($F337,Productos!$A:$A,Productos!BD:BD,"Revisar"),"")</f>
        <v/>
      </c>
      <c r="BL337" s="179" t="str">
        <f t="array" ref="BL337">IF($F337&lt;&gt;"", XLOOKUP($F337,Productos!$A$2:$A1001,Productos!BE$2:BE1001,"")*$G337,"")</f>
        <v/>
      </c>
      <c r="BM337" s="179" t="str">
        <f t="array" ref="BM337">IF($F337&lt;&gt;"",XLOOKUP($F337,Productos!$A:$A,Productos!BF:BF,"Revisar"),"")</f>
        <v/>
      </c>
      <c r="BN337" s="179" t="str">
        <f t="array" ref="BN337">IF($F337&lt;&gt;"", XLOOKUP($F337,Productos!$A$2:$A1001,Productos!BG$2:BG1001,"")*$G337,"")</f>
        <v/>
      </c>
      <c r="BO337" s="179" t="str">
        <f t="array" ref="BO337">IF($F337&lt;&gt;"",XLOOKUP($F337,Productos!$A:$A,Productos!BH:BH,"Revisar"),"")</f>
        <v/>
      </c>
      <c r="BP337" s="179" t="str">
        <f t="array" ref="BP337">IF($F337&lt;&gt;"", XLOOKUP($F337,Productos!$A$2:$A1001,Productos!BI$2:BI1001,"")*$G337,"")</f>
        <v/>
      </c>
      <c r="BQ337" s="179" t="str">
        <f t="array" ref="BQ337">IF($F337&lt;&gt;"",XLOOKUP($F337,Productos!$A:$A,Productos!BJ:BJ,"Revisar"),"")</f>
        <v/>
      </c>
      <c r="BR337" s="179" t="str">
        <f t="array" ref="BR337">IF($F337&lt;&gt;"", XLOOKUP($F337,Productos!$A$2:$A1001,Productos!BK$2:BK1001,"")*$G337,"")</f>
        <v/>
      </c>
      <c r="BS337" s="179" t="str">
        <f t="array" ref="BS337">IF($F337&lt;&gt;"",XLOOKUP($F337,Productos!$A:$A,Productos!BL:BL,"Revisar"),"")</f>
        <v/>
      </c>
      <c r="BT337" s="179" t="str">
        <f t="array" ref="BT337">IF($F337&lt;&gt;"", XLOOKUP($F337,Productos!$A$2:$A1001,Productos!BM$2:BM1001,"")*$G337,"")</f>
        <v/>
      </c>
      <c r="BU337" s="179" t="str">
        <f t="array" ref="BU337">IF($F337&lt;&gt;"",XLOOKUP($F337,Productos!$A:$A,Productos!BN:BN,"Revisar"),"")</f>
        <v/>
      </c>
      <c r="BV337" s="179" t="str">
        <f t="array" ref="BV337">IF($F337&lt;&gt;"", XLOOKUP($F337,Productos!$A$2:$A1001,Productos!BO$2:BO1001,"")*$G337,"")</f>
        <v/>
      </c>
      <c r="BW337" s="179" t="str">
        <f t="array" ref="BW337">IF($F337&lt;&gt;"",XLOOKUP($F337,Productos!$A:$A,Productos!BP:BP,"Revisar"),"")</f>
        <v/>
      </c>
      <c r="BX337" s="179" t="str">
        <f t="array" ref="BX337">IF($F337&lt;&gt;"", XLOOKUP($F337,Productos!$A$2:$A1001,Productos!BQ$2:BQ1001,"")*$G337,"")</f>
        <v/>
      </c>
      <c r="BY337" s="179" t="str">
        <f t="array" ref="BY337">IF($F337&lt;&gt;"",XLOOKUP($F337,Productos!$A:$A,Productos!BR:BR,"Revisar"),"")</f>
        <v/>
      </c>
      <c r="BZ337" s="179" t="str">
        <f t="array" ref="BZ337">IF($F337&lt;&gt;"", XLOOKUP($F337,Productos!$A$2:$A1001,Productos!BS$2:BS1001,"")*$G337,"")</f>
        <v/>
      </c>
    </row>
    <row r="338">
      <c r="A338" s="188"/>
      <c r="B338" s="189"/>
      <c r="C338" s="190"/>
      <c r="D338" s="190"/>
      <c r="E338" s="191"/>
      <c r="F338" s="186"/>
      <c r="G338" s="192"/>
      <c r="H338" s="9"/>
      <c r="I338" s="179" t="str">
        <f t="array" ref="I338">IF($F338&lt;&gt;"",XLOOKUP($F338,Productos!$A:$A,Productos!B:B,"Revisar"),"")</f>
        <v/>
      </c>
      <c r="J338" s="179" t="str">
        <f t="array" ref="J338">IF($F338&lt;&gt;"", XLOOKUP($F338,Productos!$A$2:$A1001,Productos!C$2:C1001,"")*$G338,"")</f>
        <v/>
      </c>
      <c r="K338" s="179" t="str">
        <f t="array" ref="K338">IF($F338&lt;&gt;"",XLOOKUP($F338,Productos!$A:$A,Productos!D:D,"Revisar"),"")</f>
        <v/>
      </c>
      <c r="L338" s="179" t="str">
        <f t="array" ref="L338">IF($F338&lt;&gt;"", XLOOKUP($F338,Productos!$A$2:$A1001,Productos!E$2:E1001,"")*$G338,"")</f>
        <v/>
      </c>
      <c r="M338" s="179" t="str">
        <f t="array" ref="M338">IF($F338&lt;&gt;"",XLOOKUP($F338,Productos!$A:$A,Productos!F:F,"Revisar"),"")</f>
        <v/>
      </c>
      <c r="N338" s="179" t="str">
        <f t="array" ref="N338">IF($F338&lt;&gt;"", XLOOKUP($F338,Productos!$A$2:$A1001,Productos!G$2:G1001,"")*$G338,"")</f>
        <v/>
      </c>
      <c r="O338" s="179" t="str">
        <f t="array" ref="O338">IF($F338&lt;&gt;"",XLOOKUP($F338,Productos!$A:$A,Productos!H:H,"Revisar"),"")</f>
        <v/>
      </c>
      <c r="P338" s="179" t="str">
        <f t="array" ref="P338">IF($F338&lt;&gt;"", XLOOKUP($F338,Productos!$A$2:$A1001,Productos!I$2:I1001,"")*$G338,"")</f>
        <v/>
      </c>
      <c r="Q338" s="179" t="str">
        <f t="array" ref="Q338">IF($F338&lt;&gt;"",XLOOKUP($F338,Productos!$A:$A,Productos!J:J,"Revisar"),"")</f>
        <v/>
      </c>
      <c r="R338" s="179" t="str">
        <f t="array" ref="R338">IF($F338&lt;&gt;"", XLOOKUP($F338,Productos!$A$2:$A1001,Productos!K$2:K1001,"")*$G338,"")</f>
        <v/>
      </c>
      <c r="S338" s="179" t="str">
        <f t="array" ref="S338">IF($F338&lt;&gt;"",XLOOKUP($F338,Productos!$A:$A,Productos!L:L,"Revisar"),"")</f>
        <v/>
      </c>
      <c r="T338" s="179" t="str">
        <f t="array" ref="T338">IF($F338&lt;&gt;"", XLOOKUP($F338,Productos!$A$2:$A1001,Productos!M$2:M1001,"")*$G338,"")</f>
        <v/>
      </c>
      <c r="U338" s="179" t="str">
        <f t="array" ref="U338">IF($F338&lt;&gt;"",XLOOKUP($F338,Productos!$A:$A,Productos!N:N,"Revisar"),"")</f>
        <v/>
      </c>
      <c r="V338" s="179" t="str">
        <f t="array" ref="V338">IF($F338&lt;&gt;"", XLOOKUP($F338,Productos!$A$2:$A1001,Productos!O$2:O1001,"")*$G338,"")</f>
        <v/>
      </c>
      <c r="W338" s="179" t="str">
        <f t="array" ref="W338">IF($F338&lt;&gt;"",XLOOKUP($F338,Productos!$A:$A,Productos!P:P,"Revisar"),"")</f>
        <v/>
      </c>
      <c r="X338" s="179" t="str">
        <f t="array" ref="X338">IF($F338&lt;&gt;"", XLOOKUP($F338,Productos!$A$2:$A1001,Productos!Q$2:Q1001,"")*$G338,"")</f>
        <v/>
      </c>
      <c r="Y338" s="179" t="str">
        <f t="array" ref="Y338">IF($F338&lt;&gt;"",XLOOKUP($F338,Productos!$A:$A,Productos!R:R,"Revisar"),"")</f>
        <v/>
      </c>
      <c r="Z338" s="179" t="str">
        <f t="array" ref="Z338">IF($F338&lt;&gt;"", XLOOKUP($F338,Productos!$A$2:$A1001,Productos!S$2:S1001,"")*$G338,"")</f>
        <v/>
      </c>
      <c r="AA338" s="179" t="str">
        <f t="array" ref="AA338">IF($F338&lt;&gt;"",XLOOKUP($F338,Productos!$A:$A,Productos!T:T,"Revisar"),"")</f>
        <v/>
      </c>
      <c r="AB338" s="179" t="str">
        <f t="array" ref="AB338">IF($F338&lt;&gt;"", XLOOKUP($F338,Productos!$A$2:$A1001,Productos!U$2:U1001,"")*$G338,"")</f>
        <v/>
      </c>
      <c r="AC338" s="179" t="str">
        <f t="array" ref="AC338">IF($F338&lt;&gt;"",XLOOKUP($F338,Productos!$A:$A,Productos!V:V,"Revisar"),"")</f>
        <v/>
      </c>
      <c r="AD338" s="179" t="str">
        <f t="array" ref="AD338">IF($F338&lt;&gt;"", XLOOKUP($F338,Productos!$A$2:$A1001,Productos!W$2:W1001,"")*$G338,"")</f>
        <v/>
      </c>
      <c r="AE338" s="179" t="str">
        <f t="array" ref="AE338">IF($F338&lt;&gt;"",XLOOKUP($F338,Productos!$A:$A,Productos!X:X,"Revisar"),"")</f>
        <v/>
      </c>
      <c r="AF338" s="179" t="str">
        <f t="array" ref="AF338">IF($F338&lt;&gt;"", XLOOKUP($F338,Productos!$A$2:$A1001,Productos!Y$2:Y1001,"")*$G338,"")</f>
        <v/>
      </c>
      <c r="AG338" s="179" t="str">
        <f t="array" ref="AG338">IF($F338&lt;&gt;"",XLOOKUP($F338,Productos!$A:$A,Productos!Z:Z,"Revisar"),"")</f>
        <v/>
      </c>
      <c r="AH338" s="179" t="str">
        <f t="array" ref="AH338">IF($F338&lt;&gt;"", XLOOKUP($F338,Productos!$A$2:$A1001,Productos!AA$2:AA1001,"")*$G338,"")</f>
        <v/>
      </c>
      <c r="AI338" s="179" t="str">
        <f t="array" ref="AI338">IF($F338&lt;&gt;"",XLOOKUP($F338,Productos!$A:$A,Productos!AB:AB,"Revisar"),"")</f>
        <v/>
      </c>
      <c r="AJ338" s="179" t="str">
        <f t="array" ref="AJ338">IF($F338&lt;&gt;"", XLOOKUP($F338,Productos!$A$2:$A1001,Productos!AC$2:AC1001,"")*$G338,"")</f>
        <v/>
      </c>
      <c r="AK338" s="179" t="str">
        <f t="array" ref="AK338">IF($F338&lt;&gt;"",XLOOKUP($F338,Productos!$A:$A,Productos!AD:AD,"Revisar"),"")</f>
        <v/>
      </c>
      <c r="AL338" s="179" t="str">
        <f t="array" ref="AL338">IF($F338&lt;&gt;"", XLOOKUP($F338,Productos!$A$2:$A1001,Productos!AE$2:AE1001,"")*$G338,"")</f>
        <v/>
      </c>
      <c r="AM338" s="179" t="str">
        <f t="array" ref="AM338">IF($F338&lt;&gt;"",XLOOKUP($F338,Productos!$A:$A,Productos!AF:AF,"Revisar"),"")</f>
        <v/>
      </c>
      <c r="AN338" s="179" t="str">
        <f t="array" ref="AN338">IF($F338&lt;&gt;"", XLOOKUP($F338,Productos!$A$2:$A1001,Productos!AG$2:AG1001,"")*$G338,"")</f>
        <v/>
      </c>
      <c r="AO338" s="179" t="str">
        <f t="array" ref="AO338">IF($F338&lt;&gt;"",XLOOKUP($F338,Productos!$A:$A,Productos!AH:AH,"Revisar"),"")</f>
        <v/>
      </c>
      <c r="AP338" s="179" t="str">
        <f t="array" ref="AP338">IF($F338&lt;&gt;"", XLOOKUP($F338,Productos!$A$2:$A1001,Productos!AI$2:AI1001,"")*$G338,"")</f>
        <v/>
      </c>
      <c r="AQ338" s="179" t="str">
        <f t="array" ref="AQ338">IF($F338&lt;&gt;"",XLOOKUP($F338,Productos!$A:$A,Productos!AJ:AJ,"Revisar"),"")</f>
        <v/>
      </c>
      <c r="AR338" s="179" t="str">
        <f t="array" ref="AR338">IF($F338&lt;&gt;"", XLOOKUP($F338,Productos!$A$2:$A1001,Productos!AK$2:AK1001,"")*$G338,"")</f>
        <v/>
      </c>
      <c r="AS338" s="179" t="str">
        <f t="array" ref="AS338">IF($F338&lt;&gt;"",XLOOKUP($F338,Productos!$A:$A,Productos!AL:AL,"Revisar"),"")</f>
        <v/>
      </c>
      <c r="AT338" s="179" t="str">
        <f t="array" ref="AT338">IF($F338&lt;&gt;"", XLOOKUP($F338,Productos!$A$2:$A1001,Productos!AM$2:AM1001,"")*$G338,"")</f>
        <v/>
      </c>
      <c r="AU338" s="179" t="str">
        <f t="array" ref="AU338">IF($F338&lt;&gt;"",XLOOKUP($F338,Productos!$A:$A,Productos!AN:AN,"Revisar"),"")</f>
        <v/>
      </c>
      <c r="AV338" s="179" t="str">
        <f t="array" ref="AV338">IF($F338&lt;&gt;"", XLOOKUP($F338,Productos!$A$2:$A1001,Productos!AO$2:AO1001,"")*$G338,"")</f>
        <v/>
      </c>
      <c r="AW338" s="179" t="str">
        <f t="array" ref="AW338">IF($F338&lt;&gt;"",XLOOKUP($F338,Productos!$A:$A,Productos!AP:AP,"Revisar"),"")</f>
        <v/>
      </c>
      <c r="AX338" s="179" t="str">
        <f t="array" ref="AX338">IF($F338&lt;&gt;"", XLOOKUP($F338,Productos!$A$2:$A1001,Productos!AQ$2:AQ1001,"")*$G338,"")</f>
        <v/>
      </c>
      <c r="AY338" s="179" t="str">
        <f t="array" ref="AY338">IF($F338&lt;&gt;"",XLOOKUP($F338,Productos!$A:$A,Productos!AR:AR,"Revisar"),"")</f>
        <v/>
      </c>
      <c r="AZ338" s="179" t="str">
        <f t="array" ref="AZ338">IF($F338&lt;&gt;"", XLOOKUP($F338,Productos!$A$2:$A1001,Productos!AS$2:AS1001,"")*$G338,"")</f>
        <v/>
      </c>
      <c r="BA338" s="179" t="str">
        <f t="array" ref="BA338">IF($F338&lt;&gt;"",XLOOKUP($F338,Productos!$A:$A,Productos!AT:AT,"Revisar"),"")</f>
        <v/>
      </c>
      <c r="BB338" s="179" t="str">
        <f t="array" ref="BB338">IF($F338&lt;&gt;"", XLOOKUP($F338,Productos!$A$2:$A1001,Productos!AU$2:AU1001,"")*$G338,"")</f>
        <v/>
      </c>
      <c r="BC338" s="179" t="str">
        <f t="array" ref="BC338">IF($F338&lt;&gt;"",XLOOKUP($F338,Productos!$A:$A,Productos!AV:AV,"Revisar"),"")</f>
        <v/>
      </c>
      <c r="BD338" s="179" t="str">
        <f t="array" ref="BD338">IF($F338&lt;&gt;"", XLOOKUP($F338,Productos!$A$2:$A1001,Productos!AW$2:AW1001,"")*$G338,"")</f>
        <v/>
      </c>
      <c r="BE338" s="179" t="str">
        <f t="array" ref="BE338">IF($F338&lt;&gt;"",XLOOKUP($F338,Productos!$A:$A,Productos!AX:AX,"Revisar"),"")</f>
        <v/>
      </c>
      <c r="BF338" s="179" t="str">
        <f t="array" ref="BF338">IF($F338&lt;&gt;"", XLOOKUP($F338,Productos!$A$2:$A1001,Productos!AY$2:AY1001,"")*$G338,"")</f>
        <v/>
      </c>
      <c r="BG338" s="179" t="str">
        <f t="array" ref="BG338">IF($F338&lt;&gt;"",XLOOKUP($F338,Productos!$A:$A,Productos!AZ:AZ,"Revisar"),"")</f>
        <v/>
      </c>
      <c r="BH338" s="179" t="str">
        <f t="array" ref="BH338">IF($F338&lt;&gt;"", XLOOKUP($F338,Productos!$A$2:$A1001,Productos!BA$2:BA1001,"")*$G338,"")</f>
        <v/>
      </c>
      <c r="BI338" s="179" t="str">
        <f t="array" ref="BI338">IF($F338&lt;&gt;"",XLOOKUP($F338,Productos!$A:$A,Productos!BB:BB,"Revisar"),"")</f>
        <v/>
      </c>
      <c r="BJ338" s="179" t="str">
        <f t="array" ref="BJ338">IF($F338&lt;&gt;"", XLOOKUP($F338,Productos!$A$2:$A1001,Productos!BC$2:BC1001,"")*$G338,"")</f>
        <v/>
      </c>
      <c r="BK338" s="179" t="str">
        <f t="array" ref="BK338">IF($F338&lt;&gt;"",XLOOKUP($F338,Productos!$A:$A,Productos!BD:BD,"Revisar"),"")</f>
        <v/>
      </c>
      <c r="BL338" s="179" t="str">
        <f t="array" ref="BL338">IF($F338&lt;&gt;"", XLOOKUP($F338,Productos!$A$2:$A1001,Productos!BE$2:BE1001,"")*$G338,"")</f>
        <v/>
      </c>
      <c r="BM338" s="179" t="str">
        <f t="array" ref="BM338">IF($F338&lt;&gt;"",XLOOKUP($F338,Productos!$A:$A,Productos!BF:BF,"Revisar"),"")</f>
        <v/>
      </c>
      <c r="BN338" s="179" t="str">
        <f t="array" ref="BN338">IF($F338&lt;&gt;"", XLOOKUP($F338,Productos!$A$2:$A1001,Productos!BG$2:BG1001,"")*$G338,"")</f>
        <v/>
      </c>
      <c r="BO338" s="179" t="str">
        <f t="array" ref="BO338">IF($F338&lt;&gt;"",XLOOKUP($F338,Productos!$A:$A,Productos!BH:BH,"Revisar"),"")</f>
        <v/>
      </c>
      <c r="BP338" s="179" t="str">
        <f t="array" ref="BP338">IF($F338&lt;&gt;"", XLOOKUP($F338,Productos!$A$2:$A1001,Productos!BI$2:BI1001,"")*$G338,"")</f>
        <v/>
      </c>
      <c r="BQ338" s="179" t="str">
        <f t="array" ref="BQ338">IF($F338&lt;&gt;"",XLOOKUP($F338,Productos!$A:$A,Productos!BJ:BJ,"Revisar"),"")</f>
        <v/>
      </c>
      <c r="BR338" s="179" t="str">
        <f t="array" ref="BR338">IF($F338&lt;&gt;"", XLOOKUP($F338,Productos!$A$2:$A1001,Productos!BK$2:BK1001,"")*$G338,"")</f>
        <v/>
      </c>
      <c r="BS338" s="179" t="str">
        <f t="array" ref="BS338">IF($F338&lt;&gt;"",XLOOKUP($F338,Productos!$A:$A,Productos!BL:BL,"Revisar"),"")</f>
        <v/>
      </c>
      <c r="BT338" s="179" t="str">
        <f t="array" ref="BT338">IF($F338&lt;&gt;"", XLOOKUP($F338,Productos!$A$2:$A1001,Productos!BM$2:BM1001,"")*$G338,"")</f>
        <v/>
      </c>
      <c r="BU338" s="179" t="str">
        <f t="array" ref="BU338">IF($F338&lt;&gt;"",XLOOKUP($F338,Productos!$A:$A,Productos!BN:BN,"Revisar"),"")</f>
        <v/>
      </c>
      <c r="BV338" s="179" t="str">
        <f t="array" ref="BV338">IF($F338&lt;&gt;"", XLOOKUP($F338,Productos!$A$2:$A1001,Productos!BO$2:BO1001,"")*$G338,"")</f>
        <v/>
      </c>
      <c r="BW338" s="179" t="str">
        <f t="array" ref="BW338">IF($F338&lt;&gt;"",XLOOKUP($F338,Productos!$A:$A,Productos!BP:BP,"Revisar"),"")</f>
        <v/>
      </c>
      <c r="BX338" s="179" t="str">
        <f t="array" ref="BX338">IF($F338&lt;&gt;"", XLOOKUP($F338,Productos!$A$2:$A1001,Productos!BQ$2:BQ1001,"")*$G338,"")</f>
        <v/>
      </c>
      <c r="BY338" s="179" t="str">
        <f t="array" ref="BY338">IF($F338&lt;&gt;"",XLOOKUP($F338,Productos!$A:$A,Productos!BR:BR,"Revisar"),"")</f>
        <v/>
      </c>
      <c r="BZ338" s="179" t="str">
        <f t="array" ref="BZ338">IF($F338&lt;&gt;"", XLOOKUP($F338,Productos!$A$2:$A1001,Productos!BS$2:BS1001,"")*$G338,"")</f>
        <v/>
      </c>
    </row>
    <row r="339">
      <c r="A339" s="188"/>
      <c r="B339" s="189"/>
      <c r="C339" s="190"/>
      <c r="D339" s="190"/>
      <c r="E339" s="191"/>
      <c r="F339" s="186"/>
      <c r="G339" s="192"/>
      <c r="H339" s="9"/>
      <c r="I339" s="179" t="str">
        <f t="array" ref="I339">IF($F339&lt;&gt;"",XLOOKUP($F339,Productos!$A:$A,Productos!B:B,"Revisar"),"")</f>
        <v/>
      </c>
      <c r="J339" s="179" t="str">
        <f t="array" ref="J339">IF($F339&lt;&gt;"", XLOOKUP($F339,Productos!$A$2:$A1001,Productos!C$2:C1001,"")*$G339,"")</f>
        <v/>
      </c>
      <c r="K339" s="179" t="str">
        <f t="array" ref="K339">IF($F339&lt;&gt;"",XLOOKUP($F339,Productos!$A:$A,Productos!D:D,"Revisar"),"")</f>
        <v/>
      </c>
      <c r="L339" s="179" t="str">
        <f t="array" ref="L339">IF($F339&lt;&gt;"", XLOOKUP($F339,Productos!$A$2:$A1001,Productos!E$2:E1001,"")*$G339,"")</f>
        <v/>
      </c>
      <c r="M339" s="179" t="str">
        <f t="array" ref="M339">IF($F339&lt;&gt;"",XLOOKUP($F339,Productos!$A:$A,Productos!F:F,"Revisar"),"")</f>
        <v/>
      </c>
      <c r="N339" s="179" t="str">
        <f t="array" ref="N339">IF($F339&lt;&gt;"", XLOOKUP($F339,Productos!$A$2:$A1001,Productos!G$2:G1001,"")*$G339,"")</f>
        <v/>
      </c>
      <c r="O339" s="179" t="str">
        <f t="array" ref="O339">IF($F339&lt;&gt;"",XLOOKUP($F339,Productos!$A:$A,Productos!H:H,"Revisar"),"")</f>
        <v/>
      </c>
      <c r="P339" s="179" t="str">
        <f t="array" ref="P339">IF($F339&lt;&gt;"", XLOOKUP($F339,Productos!$A$2:$A1001,Productos!I$2:I1001,"")*$G339,"")</f>
        <v/>
      </c>
      <c r="Q339" s="179" t="str">
        <f t="array" ref="Q339">IF($F339&lt;&gt;"",XLOOKUP($F339,Productos!$A:$A,Productos!J:J,"Revisar"),"")</f>
        <v/>
      </c>
      <c r="R339" s="179" t="str">
        <f t="array" ref="R339">IF($F339&lt;&gt;"", XLOOKUP($F339,Productos!$A$2:$A1001,Productos!K$2:K1001,"")*$G339,"")</f>
        <v/>
      </c>
      <c r="S339" s="179" t="str">
        <f t="array" ref="S339">IF($F339&lt;&gt;"",XLOOKUP($F339,Productos!$A:$A,Productos!L:L,"Revisar"),"")</f>
        <v/>
      </c>
      <c r="T339" s="179" t="str">
        <f t="array" ref="T339">IF($F339&lt;&gt;"", XLOOKUP($F339,Productos!$A$2:$A1001,Productos!M$2:M1001,"")*$G339,"")</f>
        <v/>
      </c>
      <c r="U339" s="179" t="str">
        <f t="array" ref="U339">IF($F339&lt;&gt;"",XLOOKUP($F339,Productos!$A:$A,Productos!N:N,"Revisar"),"")</f>
        <v/>
      </c>
      <c r="V339" s="179" t="str">
        <f t="array" ref="V339">IF($F339&lt;&gt;"", XLOOKUP($F339,Productos!$A$2:$A1001,Productos!O$2:O1001,"")*$G339,"")</f>
        <v/>
      </c>
      <c r="W339" s="179" t="str">
        <f t="array" ref="W339">IF($F339&lt;&gt;"",XLOOKUP($F339,Productos!$A:$A,Productos!P:P,"Revisar"),"")</f>
        <v/>
      </c>
      <c r="X339" s="179" t="str">
        <f t="array" ref="X339">IF($F339&lt;&gt;"", XLOOKUP($F339,Productos!$A$2:$A1001,Productos!Q$2:Q1001,"")*$G339,"")</f>
        <v/>
      </c>
      <c r="Y339" s="179" t="str">
        <f t="array" ref="Y339">IF($F339&lt;&gt;"",XLOOKUP($F339,Productos!$A:$A,Productos!R:R,"Revisar"),"")</f>
        <v/>
      </c>
      <c r="Z339" s="179" t="str">
        <f t="array" ref="Z339">IF($F339&lt;&gt;"", XLOOKUP($F339,Productos!$A$2:$A1001,Productos!S$2:S1001,"")*$G339,"")</f>
        <v/>
      </c>
      <c r="AA339" s="179" t="str">
        <f t="array" ref="AA339">IF($F339&lt;&gt;"",XLOOKUP($F339,Productos!$A:$A,Productos!T:T,"Revisar"),"")</f>
        <v/>
      </c>
      <c r="AB339" s="179" t="str">
        <f t="array" ref="AB339">IF($F339&lt;&gt;"", XLOOKUP($F339,Productos!$A$2:$A1001,Productos!U$2:U1001,"")*$G339,"")</f>
        <v/>
      </c>
      <c r="AC339" s="179" t="str">
        <f t="array" ref="AC339">IF($F339&lt;&gt;"",XLOOKUP($F339,Productos!$A:$A,Productos!V:V,"Revisar"),"")</f>
        <v/>
      </c>
      <c r="AD339" s="179" t="str">
        <f t="array" ref="AD339">IF($F339&lt;&gt;"", XLOOKUP($F339,Productos!$A$2:$A1001,Productos!W$2:W1001,"")*$G339,"")</f>
        <v/>
      </c>
      <c r="AE339" s="179" t="str">
        <f t="array" ref="AE339">IF($F339&lt;&gt;"",XLOOKUP($F339,Productos!$A:$A,Productos!X:X,"Revisar"),"")</f>
        <v/>
      </c>
      <c r="AF339" s="179" t="str">
        <f t="array" ref="AF339">IF($F339&lt;&gt;"", XLOOKUP($F339,Productos!$A$2:$A1001,Productos!Y$2:Y1001,"")*$G339,"")</f>
        <v/>
      </c>
      <c r="AG339" s="179" t="str">
        <f t="array" ref="AG339">IF($F339&lt;&gt;"",XLOOKUP($F339,Productos!$A:$A,Productos!Z:Z,"Revisar"),"")</f>
        <v/>
      </c>
      <c r="AH339" s="179" t="str">
        <f t="array" ref="AH339">IF($F339&lt;&gt;"", XLOOKUP($F339,Productos!$A$2:$A1001,Productos!AA$2:AA1001,"")*$G339,"")</f>
        <v/>
      </c>
      <c r="AI339" s="179" t="str">
        <f t="array" ref="AI339">IF($F339&lt;&gt;"",XLOOKUP($F339,Productos!$A:$A,Productos!AB:AB,"Revisar"),"")</f>
        <v/>
      </c>
      <c r="AJ339" s="179" t="str">
        <f t="array" ref="AJ339">IF($F339&lt;&gt;"", XLOOKUP($F339,Productos!$A$2:$A1001,Productos!AC$2:AC1001,"")*$G339,"")</f>
        <v/>
      </c>
      <c r="AK339" s="179" t="str">
        <f t="array" ref="AK339">IF($F339&lt;&gt;"",XLOOKUP($F339,Productos!$A:$A,Productos!AD:AD,"Revisar"),"")</f>
        <v/>
      </c>
      <c r="AL339" s="179" t="str">
        <f t="array" ref="AL339">IF($F339&lt;&gt;"", XLOOKUP($F339,Productos!$A$2:$A1001,Productos!AE$2:AE1001,"")*$G339,"")</f>
        <v/>
      </c>
      <c r="AM339" s="179" t="str">
        <f t="array" ref="AM339">IF($F339&lt;&gt;"",XLOOKUP($F339,Productos!$A:$A,Productos!AF:AF,"Revisar"),"")</f>
        <v/>
      </c>
      <c r="AN339" s="179" t="str">
        <f t="array" ref="AN339">IF($F339&lt;&gt;"", XLOOKUP($F339,Productos!$A$2:$A1001,Productos!AG$2:AG1001,"")*$G339,"")</f>
        <v/>
      </c>
      <c r="AO339" s="179" t="str">
        <f t="array" ref="AO339">IF($F339&lt;&gt;"",XLOOKUP($F339,Productos!$A:$A,Productos!AH:AH,"Revisar"),"")</f>
        <v/>
      </c>
      <c r="AP339" s="179" t="str">
        <f t="array" ref="AP339">IF($F339&lt;&gt;"", XLOOKUP($F339,Productos!$A$2:$A1001,Productos!AI$2:AI1001,"")*$G339,"")</f>
        <v/>
      </c>
      <c r="AQ339" s="179" t="str">
        <f t="array" ref="AQ339">IF($F339&lt;&gt;"",XLOOKUP($F339,Productos!$A:$A,Productos!AJ:AJ,"Revisar"),"")</f>
        <v/>
      </c>
      <c r="AR339" s="179" t="str">
        <f t="array" ref="AR339">IF($F339&lt;&gt;"", XLOOKUP($F339,Productos!$A$2:$A1001,Productos!AK$2:AK1001,"")*$G339,"")</f>
        <v/>
      </c>
      <c r="AS339" s="179" t="str">
        <f t="array" ref="AS339">IF($F339&lt;&gt;"",XLOOKUP($F339,Productos!$A:$A,Productos!AL:AL,"Revisar"),"")</f>
        <v/>
      </c>
      <c r="AT339" s="179" t="str">
        <f t="array" ref="AT339">IF($F339&lt;&gt;"", XLOOKUP($F339,Productos!$A$2:$A1001,Productos!AM$2:AM1001,"")*$G339,"")</f>
        <v/>
      </c>
      <c r="AU339" s="179" t="str">
        <f t="array" ref="AU339">IF($F339&lt;&gt;"",XLOOKUP($F339,Productos!$A:$A,Productos!AN:AN,"Revisar"),"")</f>
        <v/>
      </c>
      <c r="AV339" s="179" t="str">
        <f t="array" ref="AV339">IF($F339&lt;&gt;"", XLOOKUP($F339,Productos!$A$2:$A1001,Productos!AO$2:AO1001,"")*$G339,"")</f>
        <v/>
      </c>
      <c r="AW339" s="179" t="str">
        <f t="array" ref="AW339">IF($F339&lt;&gt;"",XLOOKUP($F339,Productos!$A:$A,Productos!AP:AP,"Revisar"),"")</f>
        <v/>
      </c>
      <c r="AX339" s="179" t="str">
        <f t="array" ref="AX339">IF($F339&lt;&gt;"", XLOOKUP($F339,Productos!$A$2:$A1001,Productos!AQ$2:AQ1001,"")*$G339,"")</f>
        <v/>
      </c>
      <c r="AY339" s="179" t="str">
        <f t="array" ref="AY339">IF($F339&lt;&gt;"",XLOOKUP($F339,Productos!$A:$A,Productos!AR:AR,"Revisar"),"")</f>
        <v/>
      </c>
      <c r="AZ339" s="179" t="str">
        <f t="array" ref="AZ339">IF($F339&lt;&gt;"", XLOOKUP($F339,Productos!$A$2:$A1001,Productos!AS$2:AS1001,"")*$G339,"")</f>
        <v/>
      </c>
      <c r="BA339" s="179" t="str">
        <f t="array" ref="BA339">IF($F339&lt;&gt;"",XLOOKUP($F339,Productos!$A:$A,Productos!AT:AT,"Revisar"),"")</f>
        <v/>
      </c>
      <c r="BB339" s="179" t="str">
        <f t="array" ref="BB339">IF($F339&lt;&gt;"", XLOOKUP($F339,Productos!$A$2:$A1001,Productos!AU$2:AU1001,"")*$G339,"")</f>
        <v/>
      </c>
      <c r="BC339" s="179" t="str">
        <f t="array" ref="BC339">IF($F339&lt;&gt;"",XLOOKUP($F339,Productos!$A:$A,Productos!AV:AV,"Revisar"),"")</f>
        <v/>
      </c>
      <c r="BD339" s="179" t="str">
        <f t="array" ref="BD339">IF($F339&lt;&gt;"", XLOOKUP($F339,Productos!$A$2:$A1001,Productos!AW$2:AW1001,"")*$G339,"")</f>
        <v/>
      </c>
      <c r="BE339" s="179" t="str">
        <f t="array" ref="BE339">IF($F339&lt;&gt;"",XLOOKUP($F339,Productos!$A:$A,Productos!AX:AX,"Revisar"),"")</f>
        <v/>
      </c>
      <c r="BF339" s="179" t="str">
        <f t="array" ref="BF339">IF($F339&lt;&gt;"", XLOOKUP($F339,Productos!$A$2:$A1001,Productos!AY$2:AY1001,"")*$G339,"")</f>
        <v/>
      </c>
      <c r="BG339" s="179" t="str">
        <f t="array" ref="BG339">IF($F339&lt;&gt;"",XLOOKUP($F339,Productos!$A:$A,Productos!AZ:AZ,"Revisar"),"")</f>
        <v/>
      </c>
      <c r="BH339" s="179" t="str">
        <f t="array" ref="BH339">IF($F339&lt;&gt;"", XLOOKUP($F339,Productos!$A$2:$A1001,Productos!BA$2:BA1001,"")*$G339,"")</f>
        <v/>
      </c>
      <c r="BI339" s="179" t="str">
        <f t="array" ref="BI339">IF($F339&lt;&gt;"",XLOOKUP($F339,Productos!$A:$A,Productos!BB:BB,"Revisar"),"")</f>
        <v/>
      </c>
      <c r="BJ339" s="179" t="str">
        <f t="array" ref="BJ339">IF($F339&lt;&gt;"", XLOOKUP($F339,Productos!$A$2:$A1001,Productos!BC$2:BC1001,"")*$G339,"")</f>
        <v/>
      </c>
      <c r="BK339" s="179" t="str">
        <f t="array" ref="BK339">IF($F339&lt;&gt;"",XLOOKUP($F339,Productos!$A:$A,Productos!BD:BD,"Revisar"),"")</f>
        <v/>
      </c>
      <c r="BL339" s="179" t="str">
        <f t="array" ref="BL339">IF($F339&lt;&gt;"", XLOOKUP($F339,Productos!$A$2:$A1001,Productos!BE$2:BE1001,"")*$G339,"")</f>
        <v/>
      </c>
      <c r="BM339" s="179" t="str">
        <f t="array" ref="BM339">IF($F339&lt;&gt;"",XLOOKUP($F339,Productos!$A:$A,Productos!BF:BF,"Revisar"),"")</f>
        <v/>
      </c>
      <c r="BN339" s="179" t="str">
        <f t="array" ref="BN339">IF($F339&lt;&gt;"", XLOOKUP($F339,Productos!$A$2:$A1001,Productos!BG$2:BG1001,"")*$G339,"")</f>
        <v/>
      </c>
      <c r="BO339" s="179" t="str">
        <f t="array" ref="BO339">IF($F339&lt;&gt;"",XLOOKUP($F339,Productos!$A:$A,Productos!BH:BH,"Revisar"),"")</f>
        <v/>
      </c>
      <c r="BP339" s="179" t="str">
        <f t="array" ref="BP339">IF($F339&lt;&gt;"", XLOOKUP($F339,Productos!$A$2:$A1001,Productos!BI$2:BI1001,"")*$G339,"")</f>
        <v/>
      </c>
      <c r="BQ339" s="179" t="str">
        <f t="array" ref="BQ339">IF($F339&lt;&gt;"",XLOOKUP($F339,Productos!$A:$A,Productos!BJ:BJ,"Revisar"),"")</f>
        <v/>
      </c>
      <c r="BR339" s="179" t="str">
        <f t="array" ref="BR339">IF($F339&lt;&gt;"", XLOOKUP($F339,Productos!$A$2:$A1001,Productos!BK$2:BK1001,"")*$G339,"")</f>
        <v/>
      </c>
      <c r="BS339" s="179" t="str">
        <f t="array" ref="BS339">IF($F339&lt;&gt;"",XLOOKUP($F339,Productos!$A:$A,Productos!BL:BL,"Revisar"),"")</f>
        <v/>
      </c>
      <c r="BT339" s="179" t="str">
        <f t="array" ref="BT339">IF($F339&lt;&gt;"", XLOOKUP($F339,Productos!$A$2:$A1001,Productos!BM$2:BM1001,"")*$G339,"")</f>
        <v/>
      </c>
      <c r="BU339" s="179" t="str">
        <f t="array" ref="BU339">IF($F339&lt;&gt;"",XLOOKUP($F339,Productos!$A:$A,Productos!BN:BN,"Revisar"),"")</f>
        <v/>
      </c>
      <c r="BV339" s="179" t="str">
        <f t="array" ref="BV339">IF($F339&lt;&gt;"", XLOOKUP($F339,Productos!$A$2:$A1001,Productos!BO$2:BO1001,"")*$G339,"")</f>
        <v/>
      </c>
      <c r="BW339" s="179" t="str">
        <f t="array" ref="BW339">IF($F339&lt;&gt;"",XLOOKUP($F339,Productos!$A:$A,Productos!BP:BP,"Revisar"),"")</f>
        <v/>
      </c>
      <c r="BX339" s="179" t="str">
        <f t="array" ref="BX339">IF($F339&lt;&gt;"", XLOOKUP($F339,Productos!$A$2:$A1001,Productos!BQ$2:BQ1001,"")*$G339,"")</f>
        <v/>
      </c>
      <c r="BY339" s="179" t="str">
        <f t="array" ref="BY339">IF($F339&lt;&gt;"",XLOOKUP($F339,Productos!$A:$A,Productos!BR:BR,"Revisar"),"")</f>
        <v/>
      </c>
      <c r="BZ339" s="179" t="str">
        <f t="array" ref="BZ339">IF($F339&lt;&gt;"", XLOOKUP($F339,Productos!$A$2:$A1001,Productos!BS$2:BS1001,"")*$G339,"")</f>
        <v/>
      </c>
    </row>
    <row r="340">
      <c r="A340" s="188"/>
      <c r="B340" s="189"/>
      <c r="C340" s="190"/>
      <c r="D340" s="190"/>
      <c r="E340" s="191"/>
      <c r="F340" s="186"/>
      <c r="G340" s="192"/>
      <c r="H340" s="9"/>
      <c r="I340" s="179" t="str">
        <f t="array" ref="I340">IF($F340&lt;&gt;"",XLOOKUP($F340,Productos!$A:$A,Productos!B:B,"Revisar"),"")</f>
        <v/>
      </c>
      <c r="J340" s="179" t="str">
        <f t="array" ref="J340">IF($F340&lt;&gt;"", XLOOKUP($F340,Productos!$A$2:$A1001,Productos!C$2:C1001,"")*$G340,"")</f>
        <v/>
      </c>
      <c r="K340" s="179" t="str">
        <f t="array" ref="K340">IF($F340&lt;&gt;"",XLOOKUP($F340,Productos!$A:$A,Productos!D:D,"Revisar"),"")</f>
        <v/>
      </c>
      <c r="L340" s="179" t="str">
        <f t="array" ref="L340">IF($F340&lt;&gt;"", XLOOKUP($F340,Productos!$A$2:$A1001,Productos!E$2:E1001,"")*$G340,"")</f>
        <v/>
      </c>
      <c r="M340" s="179" t="str">
        <f t="array" ref="M340">IF($F340&lt;&gt;"",XLOOKUP($F340,Productos!$A:$A,Productos!F:F,"Revisar"),"")</f>
        <v/>
      </c>
      <c r="N340" s="179" t="str">
        <f t="array" ref="N340">IF($F340&lt;&gt;"", XLOOKUP($F340,Productos!$A$2:$A1001,Productos!G$2:G1001,"")*$G340,"")</f>
        <v/>
      </c>
      <c r="O340" s="179" t="str">
        <f t="array" ref="O340">IF($F340&lt;&gt;"",XLOOKUP($F340,Productos!$A:$A,Productos!H:H,"Revisar"),"")</f>
        <v/>
      </c>
      <c r="P340" s="179" t="str">
        <f t="array" ref="P340">IF($F340&lt;&gt;"", XLOOKUP($F340,Productos!$A$2:$A1001,Productos!I$2:I1001,"")*$G340,"")</f>
        <v/>
      </c>
      <c r="Q340" s="179" t="str">
        <f t="array" ref="Q340">IF($F340&lt;&gt;"",XLOOKUP($F340,Productos!$A:$A,Productos!J:J,"Revisar"),"")</f>
        <v/>
      </c>
      <c r="R340" s="179" t="str">
        <f t="array" ref="R340">IF($F340&lt;&gt;"", XLOOKUP($F340,Productos!$A$2:$A1001,Productos!K$2:K1001,"")*$G340,"")</f>
        <v/>
      </c>
      <c r="S340" s="179" t="str">
        <f t="array" ref="S340">IF($F340&lt;&gt;"",XLOOKUP($F340,Productos!$A:$A,Productos!L:L,"Revisar"),"")</f>
        <v/>
      </c>
      <c r="T340" s="179" t="str">
        <f t="array" ref="T340">IF($F340&lt;&gt;"", XLOOKUP($F340,Productos!$A$2:$A1001,Productos!M$2:M1001,"")*$G340,"")</f>
        <v/>
      </c>
      <c r="U340" s="179" t="str">
        <f t="array" ref="U340">IF($F340&lt;&gt;"",XLOOKUP($F340,Productos!$A:$A,Productos!N:N,"Revisar"),"")</f>
        <v/>
      </c>
      <c r="V340" s="179" t="str">
        <f t="array" ref="V340">IF($F340&lt;&gt;"", XLOOKUP($F340,Productos!$A$2:$A1001,Productos!O$2:O1001,"")*$G340,"")</f>
        <v/>
      </c>
      <c r="W340" s="179" t="str">
        <f t="array" ref="W340">IF($F340&lt;&gt;"",XLOOKUP($F340,Productos!$A:$A,Productos!P:P,"Revisar"),"")</f>
        <v/>
      </c>
      <c r="X340" s="179" t="str">
        <f t="array" ref="X340">IF($F340&lt;&gt;"", XLOOKUP($F340,Productos!$A$2:$A1001,Productos!Q$2:Q1001,"")*$G340,"")</f>
        <v/>
      </c>
      <c r="Y340" s="179" t="str">
        <f t="array" ref="Y340">IF($F340&lt;&gt;"",XLOOKUP($F340,Productos!$A:$A,Productos!R:R,"Revisar"),"")</f>
        <v/>
      </c>
      <c r="Z340" s="179" t="str">
        <f t="array" ref="Z340">IF($F340&lt;&gt;"", XLOOKUP($F340,Productos!$A$2:$A1001,Productos!S$2:S1001,"")*$G340,"")</f>
        <v/>
      </c>
      <c r="AA340" s="179" t="str">
        <f t="array" ref="AA340">IF($F340&lt;&gt;"",XLOOKUP($F340,Productos!$A:$A,Productos!T:T,"Revisar"),"")</f>
        <v/>
      </c>
      <c r="AB340" s="179" t="str">
        <f t="array" ref="AB340">IF($F340&lt;&gt;"", XLOOKUP($F340,Productos!$A$2:$A1001,Productos!U$2:U1001,"")*$G340,"")</f>
        <v/>
      </c>
      <c r="AC340" s="179" t="str">
        <f t="array" ref="AC340">IF($F340&lt;&gt;"",XLOOKUP($F340,Productos!$A:$A,Productos!V:V,"Revisar"),"")</f>
        <v/>
      </c>
      <c r="AD340" s="179" t="str">
        <f t="array" ref="AD340">IF($F340&lt;&gt;"", XLOOKUP($F340,Productos!$A$2:$A1001,Productos!W$2:W1001,"")*$G340,"")</f>
        <v/>
      </c>
      <c r="AE340" s="179" t="str">
        <f t="array" ref="AE340">IF($F340&lt;&gt;"",XLOOKUP($F340,Productos!$A:$A,Productos!X:X,"Revisar"),"")</f>
        <v/>
      </c>
      <c r="AF340" s="179" t="str">
        <f t="array" ref="AF340">IF($F340&lt;&gt;"", XLOOKUP($F340,Productos!$A$2:$A1001,Productos!Y$2:Y1001,"")*$G340,"")</f>
        <v/>
      </c>
      <c r="AG340" s="179" t="str">
        <f t="array" ref="AG340">IF($F340&lt;&gt;"",XLOOKUP($F340,Productos!$A:$A,Productos!Z:Z,"Revisar"),"")</f>
        <v/>
      </c>
      <c r="AH340" s="179" t="str">
        <f t="array" ref="AH340">IF($F340&lt;&gt;"", XLOOKUP($F340,Productos!$A$2:$A1001,Productos!AA$2:AA1001,"")*$G340,"")</f>
        <v/>
      </c>
      <c r="AI340" s="179" t="str">
        <f t="array" ref="AI340">IF($F340&lt;&gt;"",XLOOKUP($F340,Productos!$A:$A,Productos!AB:AB,"Revisar"),"")</f>
        <v/>
      </c>
      <c r="AJ340" s="179" t="str">
        <f t="array" ref="AJ340">IF($F340&lt;&gt;"", XLOOKUP($F340,Productos!$A$2:$A1001,Productos!AC$2:AC1001,"")*$G340,"")</f>
        <v/>
      </c>
      <c r="AK340" s="179" t="str">
        <f t="array" ref="AK340">IF($F340&lt;&gt;"",XLOOKUP($F340,Productos!$A:$A,Productos!AD:AD,"Revisar"),"")</f>
        <v/>
      </c>
      <c r="AL340" s="179" t="str">
        <f t="array" ref="AL340">IF($F340&lt;&gt;"", XLOOKUP($F340,Productos!$A$2:$A1001,Productos!AE$2:AE1001,"")*$G340,"")</f>
        <v/>
      </c>
      <c r="AM340" s="179" t="str">
        <f t="array" ref="AM340">IF($F340&lt;&gt;"",XLOOKUP($F340,Productos!$A:$A,Productos!AF:AF,"Revisar"),"")</f>
        <v/>
      </c>
      <c r="AN340" s="179" t="str">
        <f t="array" ref="AN340">IF($F340&lt;&gt;"", XLOOKUP($F340,Productos!$A$2:$A1001,Productos!AG$2:AG1001,"")*$G340,"")</f>
        <v/>
      </c>
      <c r="AO340" s="179" t="str">
        <f t="array" ref="AO340">IF($F340&lt;&gt;"",XLOOKUP($F340,Productos!$A:$A,Productos!AH:AH,"Revisar"),"")</f>
        <v/>
      </c>
      <c r="AP340" s="179" t="str">
        <f t="array" ref="AP340">IF($F340&lt;&gt;"", XLOOKUP($F340,Productos!$A$2:$A1001,Productos!AI$2:AI1001,"")*$G340,"")</f>
        <v/>
      </c>
      <c r="AQ340" s="179" t="str">
        <f t="array" ref="AQ340">IF($F340&lt;&gt;"",XLOOKUP($F340,Productos!$A:$A,Productos!AJ:AJ,"Revisar"),"")</f>
        <v/>
      </c>
      <c r="AR340" s="179" t="str">
        <f t="array" ref="AR340">IF($F340&lt;&gt;"", XLOOKUP($F340,Productos!$A$2:$A1001,Productos!AK$2:AK1001,"")*$G340,"")</f>
        <v/>
      </c>
      <c r="AS340" s="179" t="str">
        <f t="array" ref="AS340">IF($F340&lt;&gt;"",XLOOKUP($F340,Productos!$A:$A,Productos!AL:AL,"Revisar"),"")</f>
        <v/>
      </c>
      <c r="AT340" s="179" t="str">
        <f t="array" ref="AT340">IF($F340&lt;&gt;"", XLOOKUP($F340,Productos!$A$2:$A1001,Productos!AM$2:AM1001,"")*$G340,"")</f>
        <v/>
      </c>
      <c r="AU340" s="179" t="str">
        <f t="array" ref="AU340">IF($F340&lt;&gt;"",XLOOKUP($F340,Productos!$A:$A,Productos!AN:AN,"Revisar"),"")</f>
        <v/>
      </c>
      <c r="AV340" s="179" t="str">
        <f t="array" ref="AV340">IF($F340&lt;&gt;"", XLOOKUP($F340,Productos!$A$2:$A1001,Productos!AO$2:AO1001,"")*$G340,"")</f>
        <v/>
      </c>
      <c r="AW340" s="179" t="str">
        <f t="array" ref="AW340">IF($F340&lt;&gt;"",XLOOKUP($F340,Productos!$A:$A,Productos!AP:AP,"Revisar"),"")</f>
        <v/>
      </c>
      <c r="AX340" s="179" t="str">
        <f t="array" ref="AX340">IF($F340&lt;&gt;"", XLOOKUP($F340,Productos!$A$2:$A1001,Productos!AQ$2:AQ1001,"")*$G340,"")</f>
        <v/>
      </c>
      <c r="AY340" s="179" t="str">
        <f t="array" ref="AY340">IF($F340&lt;&gt;"",XLOOKUP($F340,Productos!$A:$A,Productos!AR:AR,"Revisar"),"")</f>
        <v/>
      </c>
      <c r="AZ340" s="179" t="str">
        <f t="array" ref="AZ340">IF($F340&lt;&gt;"", XLOOKUP($F340,Productos!$A$2:$A1001,Productos!AS$2:AS1001,"")*$G340,"")</f>
        <v/>
      </c>
      <c r="BA340" s="179" t="str">
        <f t="array" ref="BA340">IF($F340&lt;&gt;"",XLOOKUP($F340,Productos!$A:$A,Productos!AT:AT,"Revisar"),"")</f>
        <v/>
      </c>
      <c r="BB340" s="179" t="str">
        <f t="array" ref="BB340">IF($F340&lt;&gt;"", XLOOKUP($F340,Productos!$A$2:$A1001,Productos!AU$2:AU1001,"")*$G340,"")</f>
        <v/>
      </c>
      <c r="BC340" s="179" t="str">
        <f t="array" ref="BC340">IF($F340&lt;&gt;"",XLOOKUP($F340,Productos!$A:$A,Productos!AV:AV,"Revisar"),"")</f>
        <v/>
      </c>
      <c r="BD340" s="179" t="str">
        <f t="array" ref="BD340">IF($F340&lt;&gt;"", XLOOKUP($F340,Productos!$A$2:$A1001,Productos!AW$2:AW1001,"")*$G340,"")</f>
        <v/>
      </c>
      <c r="BE340" s="179" t="str">
        <f t="array" ref="BE340">IF($F340&lt;&gt;"",XLOOKUP($F340,Productos!$A:$A,Productos!AX:AX,"Revisar"),"")</f>
        <v/>
      </c>
      <c r="BF340" s="179" t="str">
        <f t="array" ref="BF340">IF($F340&lt;&gt;"", XLOOKUP($F340,Productos!$A$2:$A1001,Productos!AY$2:AY1001,"")*$G340,"")</f>
        <v/>
      </c>
      <c r="BG340" s="179" t="str">
        <f t="array" ref="BG340">IF($F340&lt;&gt;"",XLOOKUP($F340,Productos!$A:$A,Productos!AZ:AZ,"Revisar"),"")</f>
        <v/>
      </c>
      <c r="BH340" s="179" t="str">
        <f t="array" ref="BH340">IF($F340&lt;&gt;"", XLOOKUP($F340,Productos!$A$2:$A1001,Productos!BA$2:BA1001,"")*$G340,"")</f>
        <v/>
      </c>
      <c r="BI340" s="179" t="str">
        <f t="array" ref="BI340">IF($F340&lt;&gt;"",XLOOKUP($F340,Productos!$A:$A,Productos!BB:BB,"Revisar"),"")</f>
        <v/>
      </c>
      <c r="BJ340" s="179" t="str">
        <f t="array" ref="BJ340">IF($F340&lt;&gt;"", XLOOKUP($F340,Productos!$A$2:$A1001,Productos!BC$2:BC1001,"")*$G340,"")</f>
        <v/>
      </c>
      <c r="BK340" s="179" t="str">
        <f t="array" ref="BK340">IF($F340&lt;&gt;"",XLOOKUP($F340,Productos!$A:$A,Productos!BD:BD,"Revisar"),"")</f>
        <v/>
      </c>
      <c r="BL340" s="179" t="str">
        <f t="array" ref="BL340">IF($F340&lt;&gt;"", XLOOKUP($F340,Productos!$A$2:$A1001,Productos!BE$2:BE1001,"")*$G340,"")</f>
        <v/>
      </c>
      <c r="BM340" s="179" t="str">
        <f t="array" ref="BM340">IF($F340&lt;&gt;"",XLOOKUP($F340,Productos!$A:$A,Productos!BF:BF,"Revisar"),"")</f>
        <v/>
      </c>
      <c r="BN340" s="179" t="str">
        <f t="array" ref="BN340">IF($F340&lt;&gt;"", XLOOKUP($F340,Productos!$A$2:$A1001,Productos!BG$2:BG1001,"")*$G340,"")</f>
        <v/>
      </c>
      <c r="BO340" s="179" t="str">
        <f t="array" ref="BO340">IF($F340&lt;&gt;"",XLOOKUP($F340,Productos!$A:$A,Productos!BH:BH,"Revisar"),"")</f>
        <v/>
      </c>
      <c r="BP340" s="179" t="str">
        <f t="array" ref="BP340">IF($F340&lt;&gt;"", XLOOKUP($F340,Productos!$A$2:$A1001,Productos!BI$2:BI1001,"")*$G340,"")</f>
        <v/>
      </c>
      <c r="BQ340" s="179" t="str">
        <f t="array" ref="BQ340">IF($F340&lt;&gt;"",XLOOKUP($F340,Productos!$A:$A,Productos!BJ:BJ,"Revisar"),"")</f>
        <v/>
      </c>
      <c r="BR340" s="179" t="str">
        <f t="array" ref="BR340">IF($F340&lt;&gt;"", XLOOKUP($F340,Productos!$A$2:$A1001,Productos!BK$2:BK1001,"")*$G340,"")</f>
        <v/>
      </c>
      <c r="BS340" s="179" t="str">
        <f t="array" ref="BS340">IF($F340&lt;&gt;"",XLOOKUP($F340,Productos!$A:$A,Productos!BL:BL,"Revisar"),"")</f>
        <v/>
      </c>
      <c r="BT340" s="179" t="str">
        <f t="array" ref="BT340">IF($F340&lt;&gt;"", XLOOKUP($F340,Productos!$A$2:$A1001,Productos!BM$2:BM1001,"")*$G340,"")</f>
        <v/>
      </c>
      <c r="BU340" s="179" t="str">
        <f t="array" ref="BU340">IF($F340&lt;&gt;"",XLOOKUP($F340,Productos!$A:$A,Productos!BN:BN,"Revisar"),"")</f>
        <v/>
      </c>
      <c r="BV340" s="179" t="str">
        <f t="array" ref="BV340">IF($F340&lt;&gt;"", XLOOKUP($F340,Productos!$A$2:$A1001,Productos!BO$2:BO1001,"")*$G340,"")</f>
        <v/>
      </c>
      <c r="BW340" s="179" t="str">
        <f t="array" ref="BW340">IF($F340&lt;&gt;"",XLOOKUP($F340,Productos!$A:$A,Productos!BP:BP,"Revisar"),"")</f>
        <v/>
      </c>
      <c r="BX340" s="179" t="str">
        <f t="array" ref="BX340">IF($F340&lt;&gt;"", XLOOKUP($F340,Productos!$A$2:$A1001,Productos!BQ$2:BQ1001,"")*$G340,"")</f>
        <v/>
      </c>
      <c r="BY340" s="179" t="str">
        <f t="array" ref="BY340">IF($F340&lt;&gt;"",XLOOKUP($F340,Productos!$A:$A,Productos!BR:BR,"Revisar"),"")</f>
        <v/>
      </c>
      <c r="BZ340" s="179" t="str">
        <f t="array" ref="BZ340">IF($F340&lt;&gt;"", XLOOKUP($F340,Productos!$A$2:$A1001,Productos!BS$2:BS1001,"")*$G340,"")</f>
        <v/>
      </c>
    </row>
    <row r="341">
      <c r="A341" s="188"/>
      <c r="B341" s="189"/>
      <c r="C341" s="190"/>
      <c r="D341" s="190"/>
      <c r="E341" s="191"/>
      <c r="F341" s="186"/>
      <c r="G341" s="192"/>
      <c r="H341" s="9"/>
      <c r="I341" s="179" t="str">
        <f t="array" ref="I341">IF($F341&lt;&gt;"",XLOOKUP($F341,Productos!$A:$A,Productos!B:B,"Revisar"),"")</f>
        <v/>
      </c>
      <c r="J341" s="179" t="str">
        <f t="array" ref="J341">IF($F341&lt;&gt;"", XLOOKUP($F341,Productos!$A$2:$A1001,Productos!C$2:C1001,"")*$G341,"")</f>
        <v/>
      </c>
      <c r="K341" s="179" t="str">
        <f t="array" ref="K341">IF($F341&lt;&gt;"",XLOOKUP($F341,Productos!$A:$A,Productos!D:D,"Revisar"),"")</f>
        <v/>
      </c>
      <c r="L341" s="179" t="str">
        <f t="array" ref="L341">IF($F341&lt;&gt;"", XLOOKUP($F341,Productos!$A$2:$A1001,Productos!E$2:E1001,"")*$G341,"")</f>
        <v/>
      </c>
      <c r="M341" s="179" t="str">
        <f t="array" ref="M341">IF($F341&lt;&gt;"",XLOOKUP($F341,Productos!$A:$A,Productos!F:F,"Revisar"),"")</f>
        <v/>
      </c>
      <c r="N341" s="179" t="str">
        <f t="array" ref="N341">IF($F341&lt;&gt;"", XLOOKUP($F341,Productos!$A$2:$A1001,Productos!G$2:G1001,"")*$G341,"")</f>
        <v/>
      </c>
      <c r="O341" s="179" t="str">
        <f t="array" ref="O341">IF($F341&lt;&gt;"",XLOOKUP($F341,Productos!$A:$A,Productos!H:H,"Revisar"),"")</f>
        <v/>
      </c>
      <c r="P341" s="179" t="str">
        <f t="array" ref="P341">IF($F341&lt;&gt;"", XLOOKUP($F341,Productos!$A$2:$A1001,Productos!I$2:I1001,"")*$G341,"")</f>
        <v/>
      </c>
      <c r="Q341" s="179" t="str">
        <f t="array" ref="Q341">IF($F341&lt;&gt;"",XLOOKUP($F341,Productos!$A:$A,Productos!J:J,"Revisar"),"")</f>
        <v/>
      </c>
      <c r="R341" s="179" t="str">
        <f t="array" ref="R341">IF($F341&lt;&gt;"", XLOOKUP($F341,Productos!$A$2:$A1001,Productos!K$2:K1001,"")*$G341,"")</f>
        <v/>
      </c>
      <c r="S341" s="179" t="str">
        <f t="array" ref="S341">IF($F341&lt;&gt;"",XLOOKUP($F341,Productos!$A:$A,Productos!L:L,"Revisar"),"")</f>
        <v/>
      </c>
      <c r="T341" s="179" t="str">
        <f t="array" ref="T341">IF($F341&lt;&gt;"", XLOOKUP($F341,Productos!$A$2:$A1001,Productos!M$2:M1001,"")*$G341,"")</f>
        <v/>
      </c>
      <c r="U341" s="179" t="str">
        <f t="array" ref="U341">IF($F341&lt;&gt;"",XLOOKUP($F341,Productos!$A:$A,Productos!N:N,"Revisar"),"")</f>
        <v/>
      </c>
      <c r="V341" s="179" t="str">
        <f t="array" ref="V341">IF($F341&lt;&gt;"", XLOOKUP($F341,Productos!$A$2:$A1001,Productos!O$2:O1001,"")*$G341,"")</f>
        <v/>
      </c>
      <c r="W341" s="179" t="str">
        <f t="array" ref="W341">IF($F341&lt;&gt;"",XLOOKUP($F341,Productos!$A:$A,Productos!P:P,"Revisar"),"")</f>
        <v/>
      </c>
      <c r="X341" s="179" t="str">
        <f t="array" ref="X341">IF($F341&lt;&gt;"", XLOOKUP($F341,Productos!$A$2:$A1001,Productos!Q$2:Q1001,"")*$G341,"")</f>
        <v/>
      </c>
      <c r="Y341" s="179" t="str">
        <f t="array" ref="Y341">IF($F341&lt;&gt;"",XLOOKUP($F341,Productos!$A:$A,Productos!R:R,"Revisar"),"")</f>
        <v/>
      </c>
      <c r="Z341" s="179" t="str">
        <f t="array" ref="Z341">IF($F341&lt;&gt;"", XLOOKUP($F341,Productos!$A$2:$A1001,Productos!S$2:S1001,"")*$G341,"")</f>
        <v/>
      </c>
      <c r="AA341" s="179" t="str">
        <f t="array" ref="AA341">IF($F341&lt;&gt;"",XLOOKUP($F341,Productos!$A:$A,Productos!T:T,"Revisar"),"")</f>
        <v/>
      </c>
      <c r="AB341" s="179" t="str">
        <f t="array" ref="AB341">IF($F341&lt;&gt;"", XLOOKUP($F341,Productos!$A$2:$A1001,Productos!U$2:U1001,"")*$G341,"")</f>
        <v/>
      </c>
      <c r="AC341" s="179" t="str">
        <f t="array" ref="AC341">IF($F341&lt;&gt;"",XLOOKUP($F341,Productos!$A:$A,Productos!V:V,"Revisar"),"")</f>
        <v/>
      </c>
      <c r="AD341" s="179" t="str">
        <f t="array" ref="AD341">IF($F341&lt;&gt;"", XLOOKUP($F341,Productos!$A$2:$A1001,Productos!W$2:W1001,"")*$G341,"")</f>
        <v/>
      </c>
      <c r="AE341" s="179" t="str">
        <f t="array" ref="AE341">IF($F341&lt;&gt;"",XLOOKUP($F341,Productos!$A:$A,Productos!X:X,"Revisar"),"")</f>
        <v/>
      </c>
      <c r="AF341" s="179" t="str">
        <f t="array" ref="AF341">IF($F341&lt;&gt;"", XLOOKUP($F341,Productos!$A$2:$A1001,Productos!Y$2:Y1001,"")*$G341,"")</f>
        <v/>
      </c>
      <c r="AG341" s="179" t="str">
        <f t="array" ref="AG341">IF($F341&lt;&gt;"",XLOOKUP($F341,Productos!$A:$A,Productos!Z:Z,"Revisar"),"")</f>
        <v/>
      </c>
      <c r="AH341" s="179" t="str">
        <f t="array" ref="AH341">IF($F341&lt;&gt;"", XLOOKUP($F341,Productos!$A$2:$A1001,Productos!AA$2:AA1001,"")*$G341,"")</f>
        <v/>
      </c>
      <c r="AI341" s="179" t="str">
        <f t="array" ref="AI341">IF($F341&lt;&gt;"",XLOOKUP($F341,Productos!$A:$A,Productos!AB:AB,"Revisar"),"")</f>
        <v/>
      </c>
      <c r="AJ341" s="179" t="str">
        <f t="array" ref="AJ341">IF($F341&lt;&gt;"", XLOOKUP($F341,Productos!$A$2:$A1001,Productos!AC$2:AC1001,"")*$G341,"")</f>
        <v/>
      </c>
      <c r="AK341" s="179" t="str">
        <f t="array" ref="AK341">IF($F341&lt;&gt;"",XLOOKUP($F341,Productos!$A:$A,Productos!AD:AD,"Revisar"),"")</f>
        <v/>
      </c>
      <c r="AL341" s="179" t="str">
        <f t="array" ref="AL341">IF($F341&lt;&gt;"", XLOOKUP($F341,Productos!$A$2:$A1001,Productos!AE$2:AE1001,"")*$G341,"")</f>
        <v/>
      </c>
      <c r="AM341" s="179" t="str">
        <f t="array" ref="AM341">IF($F341&lt;&gt;"",XLOOKUP($F341,Productos!$A:$A,Productos!AF:AF,"Revisar"),"")</f>
        <v/>
      </c>
      <c r="AN341" s="179" t="str">
        <f t="array" ref="AN341">IF($F341&lt;&gt;"", XLOOKUP($F341,Productos!$A$2:$A1001,Productos!AG$2:AG1001,"")*$G341,"")</f>
        <v/>
      </c>
      <c r="AO341" s="179" t="str">
        <f t="array" ref="AO341">IF($F341&lt;&gt;"",XLOOKUP($F341,Productos!$A:$A,Productos!AH:AH,"Revisar"),"")</f>
        <v/>
      </c>
      <c r="AP341" s="179" t="str">
        <f t="array" ref="AP341">IF($F341&lt;&gt;"", XLOOKUP($F341,Productos!$A$2:$A1001,Productos!AI$2:AI1001,"")*$G341,"")</f>
        <v/>
      </c>
      <c r="AQ341" s="179" t="str">
        <f t="array" ref="AQ341">IF($F341&lt;&gt;"",XLOOKUP($F341,Productos!$A:$A,Productos!AJ:AJ,"Revisar"),"")</f>
        <v/>
      </c>
      <c r="AR341" s="179" t="str">
        <f t="array" ref="AR341">IF($F341&lt;&gt;"", XLOOKUP($F341,Productos!$A$2:$A1001,Productos!AK$2:AK1001,"")*$G341,"")</f>
        <v/>
      </c>
      <c r="AS341" s="179" t="str">
        <f t="array" ref="AS341">IF($F341&lt;&gt;"",XLOOKUP($F341,Productos!$A:$A,Productos!AL:AL,"Revisar"),"")</f>
        <v/>
      </c>
      <c r="AT341" s="179" t="str">
        <f t="array" ref="AT341">IF($F341&lt;&gt;"", XLOOKUP($F341,Productos!$A$2:$A1001,Productos!AM$2:AM1001,"")*$G341,"")</f>
        <v/>
      </c>
      <c r="AU341" s="179" t="str">
        <f t="array" ref="AU341">IF($F341&lt;&gt;"",XLOOKUP($F341,Productos!$A:$A,Productos!AN:AN,"Revisar"),"")</f>
        <v/>
      </c>
      <c r="AV341" s="179" t="str">
        <f t="array" ref="AV341">IF($F341&lt;&gt;"", XLOOKUP($F341,Productos!$A$2:$A1001,Productos!AO$2:AO1001,"")*$G341,"")</f>
        <v/>
      </c>
      <c r="AW341" s="179" t="str">
        <f t="array" ref="AW341">IF($F341&lt;&gt;"",XLOOKUP($F341,Productos!$A:$A,Productos!AP:AP,"Revisar"),"")</f>
        <v/>
      </c>
      <c r="AX341" s="179" t="str">
        <f t="array" ref="AX341">IF($F341&lt;&gt;"", XLOOKUP($F341,Productos!$A$2:$A1001,Productos!AQ$2:AQ1001,"")*$G341,"")</f>
        <v/>
      </c>
      <c r="AY341" s="179" t="str">
        <f t="array" ref="AY341">IF($F341&lt;&gt;"",XLOOKUP($F341,Productos!$A:$A,Productos!AR:AR,"Revisar"),"")</f>
        <v/>
      </c>
      <c r="AZ341" s="179" t="str">
        <f t="array" ref="AZ341">IF($F341&lt;&gt;"", XLOOKUP($F341,Productos!$A$2:$A1001,Productos!AS$2:AS1001,"")*$G341,"")</f>
        <v/>
      </c>
      <c r="BA341" s="179" t="str">
        <f t="array" ref="BA341">IF($F341&lt;&gt;"",XLOOKUP($F341,Productos!$A:$A,Productos!AT:AT,"Revisar"),"")</f>
        <v/>
      </c>
      <c r="BB341" s="179" t="str">
        <f t="array" ref="BB341">IF($F341&lt;&gt;"", XLOOKUP($F341,Productos!$A$2:$A1001,Productos!AU$2:AU1001,"")*$G341,"")</f>
        <v/>
      </c>
      <c r="BC341" s="179" t="str">
        <f t="array" ref="BC341">IF($F341&lt;&gt;"",XLOOKUP($F341,Productos!$A:$A,Productos!AV:AV,"Revisar"),"")</f>
        <v/>
      </c>
      <c r="BD341" s="179" t="str">
        <f t="array" ref="BD341">IF($F341&lt;&gt;"", XLOOKUP($F341,Productos!$A$2:$A1001,Productos!AW$2:AW1001,"")*$G341,"")</f>
        <v/>
      </c>
      <c r="BE341" s="179" t="str">
        <f t="array" ref="BE341">IF($F341&lt;&gt;"",XLOOKUP($F341,Productos!$A:$A,Productos!AX:AX,"Revisar"),"")</f>
        <v/>
      </c>
      <c r="BF341" s="179" t="str">
        <f t="array" ref="BF341">IF($F341&lt;&gt;"", XLOOKUP($F341,Productos!$A$2:$A1001,Productos!AY$2:AY1001,"")*$G341,"")</f>
        <v/>
      </c>
      <c r="BG341" s="179" t="str">
        <f t="array" ref="BG341">IF($F341&lt;&gt;"",XLOOKUP($F341,Productos!$A:$A,Productos!AZ:AZ,"Revisar"),"")</f>
        <v/>
      </c>
      <c r="BH341" s="179" t="str">
        <f t="array" ref="BH341">IF($F341&lt;&gt;"", XLOOKUP($F341,Productos!$A$2:$A1001,Productos!BA$2:BA1001,"")*$G341,"")</f>
        <v/>
      </c>
      <c r="BI341" s="179" t="str">
        <f t="array" ref="BI341">IF($F341&lt;&gt;"",XLOOKUP($F341,Productos!$A:$A,Productos!BB:BB,"Revisar"),"")</f>
        <v/>
      </c>
      <c r="BJ341" s="179" t="str">
        <f t="array" ref="BJ341">IF($F341&lt;&gt;"", XLOOKUP($F341,Productos!$A$2:$A1001,Productos!BC$2:BC1001,"")*$G341,"")</f>
        <v/>
      </c>
      <c r="BK341" s="179" t="str">
        <f t="array" ref="BK341">IF($F341&lt;&gt;"",XLOOKUP($F341,Productos!$A:$A,Productos!BD:BD,"Revisar"),"")</f>
        <v/>
      </c>
      <c r="BL341" s="179" t="str">
        <f t="array" ref="BL341">IF($F341&lt;&gt;"", XLOOKUP($F341,Productos!$A$2:$A1001,Productos!BE$2:BE1001,"")*$G341,"")</f>
        <v/>
      </c>
      <c r="BM341" s="179" t="str">
        <f t="array" ref="BM341">IF($F341&lt;&gt;"",XLOOKUP($F341,Productos!$A:$A,Productos!BF:BF,"Revisar"),"")</f>
        <v/>
      </c>
      <c r="BN341" s="179" t="str">
        <f t="array" ref="BN341">IF($F341&lt;&gt;"", XLOOKUP($F341,Productos!$A$2:$A1001,Productos!BG$2:BG1001,"")*$G341,"")</f>
        <v/>
      </c>
      <c r="BO341" s="179" t="str">
        <f t="array" ref="BO341">IF($F341&lt;&gt;"",XLOOKUP($F341,Productos!$A:$A,Productos!BH:BH,"Revisar"),"")</f>
        <v/>
      </c>
      <c r="BP341" s="179" t="str">
        <f t="array" ref="BP341">IF($F341&lt;&gt;"", XLOOKUP($F341,Productos!$A$2:$A1001,Productos!BI$2:BI1001,"")*$G341,"")</f>
        <v/>
      </c>
      <c r="BQ341" s="179" t="str">
        <f t="array" ref="BQ341">IF($F341&lt;&gt;"",XLOOKUP($F341,Productos!$A:$A,Productos!BJ:BJ,"Revisar"),"")</f>
        <v/>
      </c>
      <c r="BR341" s="179" t="str">
        <f t="array" ref="BR341">IF($F341&lt;&gt;"", XLOOKUP($F341,Productos!$A$2:$A1001,Productos!BK$2:BK1001,"")*$G341,"")</f>
        <v/>
      </c>
      <c r="BS341" s="179" t="str">
        <f t="array" ref="BS341">IF($F341&lt;&gt;"",XLOOKUP($F341,Productos!$A:$A,Productos!BL:BL,"Revisar"),"")</f>
        <v/>
      </c>
      <c r="BT341" s="179" t="str">
        <f t="array" ref="BT341">IF($F341&lt;&gt;"", XLOOKUP($F341,Productos!$A$2:$A1001,Productos!BM$2:BM1001,"")*$G341,"")</f>
        <v/>
      </c>
      <c r="BU341" s="179" t="str">
        <f t="array" ref="BU341">IF($F341&lt;&gt;"",XLOOKUP($F341,Productos!$A:$A,Productos!BN:BN,"Revisar"),"")</f>
        <v/>
      </c>
      <c r="BV341" s="179" t="str">
        <f t="array" ref="BV341">IF($F341&lt;&gt;"", XLOOKUP($F341,Productos!$A$2:$A1001,Productos!BO$2:BO1001,"")*$G341,"")</f>
        <v/>
      </c>
      <c r="BW341" s="179" t="str">
        <f t="array" ref="BW341">IF($F341&lt;&gt;"",XLOOKUP($F341,Productos!$A:$A,Productos!BP:BP,"Revisar"),"")</f>
        <v/>
      </c>
      <c r="BX341" s="179" t="str">
        <f t="array" ref="BX341">IF($F341&lt;&gt;"", XLOOKUP($F341,Productos!$A$2:$A1001,Productos!BQ$2:BQ1001,"")*$G341,"")</f>
        <v/>
      </c>
      <c r="BY341" s="179" t="str">
        <f t="array" ref="BY341">IF($F341&lt;&gt;"",XLOOKUP($F341,Productos!$A:$A,Productos!BR:BR,"Revisar"),"")</f>
        <v/>
      </c>
      <c r="BZ341" s="179" t="str">
        <f t="array" ref="BZ341">IF($F341&lt;&gt;"", XLOOKUP($F341,Productos!$A$2:$A1001,Productos!BS$2:BS1001,"")*$G341,"")</f>
        <v/>
      </c>
    </row>
    <row r="342">
      <c r="A342" s="188"/>
      <c r="B342" s="189"/>
      <c r="C342" s="190"/>
      <c r="D342" s="190"/>
      <c r="E342" s="191"/>
      <c r="F342" s="186"/>
      <c r="G342" s="192"/>
      <c r="H342" s="9"/>
      <c r="I342" s="179" t="str">
        <f t="array" ref="I342">IF($F342&lt;&gt;"",XLOOKUP($F342,Productos!$A:$A,Productos!B:B,"Revisar"),"")</f>
        <v/>
      </c>
      <c r="J342" s="179" t="str">
        <f t="array" ref="J342">IF($F342&lt;&gt;"", XLOOKUP($F342,Productos!$A$2:$A1001,Productos!C$2:C1001,"")*$G342,"")</f>
        <v/>
      </c>
      <c r="K342" s="179" t="str">
        <f t="array" ref="K342">IF($F342&lt;&gt;"",XLOOKUP($F342,Productos!$A:$A,Productos!D:D,"Revisar"),"")</f>
        <v/>
      </c>
      <c r="L342" s="179" t="str">
        <f t="array" ref="L342">IF($F342&lt;&gt;"", XLOOKUP($F342,Productos!$A$2:$A1001,Productos!E$2:E1001,"")*$G342,"")</f>
        <v/>
      </c>
      <c r="M342" s="179" t="str">
        <f t="array" ref="M342">IF($F342&lt;&gt;"",XLOOKUP($F342,Productos!$A:$A,Productos!F:F,"Revisar"),"")</f>
        <v/>
      </c>
      <c r="N342" s="179" t="str">
        <f t="array" ref="N342">IF($F342&lt;&gt;"", XLOOKUP($F342,Productos!$A$2:$A1001,Productos!G$2:G1001,"")*$G342,"")</f>
        <v/>
      </c>
      <c r="O342" s="179" t="str">
        <f t="array" ref="O342">IF($F342&lt;&gt;"",XLOOKUP($F342,Productos!$A:$A,Productos!H:H,"Revisar"),"")</f>
        <v/>
      </c>
      <c r="P342" s="179" t="str">
        <f t="array" ref="P342">IF($F342&lt;&gt;"", XLOOKUP($F342,Productos!$A$2:$A1001,Productos!I$2:I1001,"")*$G342,"")</f>
        <v/>
      </c>
      <c r="Q342" s="179" t="str">
        <f t="array" ref="Q342">IF($F342&lt;&gt;"",XLOOKUP($F342,Productos!$A:$A,Productos!J:J,"Revisar"),"")</f>
        <v/>
      </c>
      <c r="R342" s="179" t="str">
        <f t="array" ref="R342">IF($F342&lt;&gt;"", XLOOKUP($F342,Productos!$A$2:$A1001,Productos!K$2:K1001,"")*$G342,"")</f>
        <v/>
      </c>
      <c r="S342" s="179" t="str">
        <f t="array" ref="S342">IF($F342&lt;&gt;"",XLOOKUP($F342,Productos!$A:$A,Productos!L:L,"Revisar"),"")</f>
        <v/>
      </c>
      <c r="T342" s="179" t="str">
        <f t="array" ref="T342">IF($F342&lt;&gt;"", XLOOKUP($F342,Productos!$A$2:$A1001,Productos!M$2:M1001,"")*$G342,"")</f>
        <v/>
      </c>
      <c r="U342" s="179" t="str">
        <f t="array" ref="U342">IF($F342&lt;&gt;"",XLOOKUP($F342,Productos!$A:$A,Productos!N:N,"Revisar"),"")</f>
        <v/>
      </c>
      <c r="V342" s="179" t="str">
        <f t="array" ref="V342">IF($F342&lt;&gt;"", XLOOKUP($F342,Productos!$A$2:$A1001,Productos!O$2:O1001,"")*$G342,"")</f>
        <v/>
      </c>
      <c r="W342" s="179" t="str">
        <f t="array" ref="W342">IF($F342&lt;&gt;"",XLOOKUP($F342,Productos!$A:$A,Productos!P:P,"Revisar"),"")</f>
        <v/>
      </c>
      <c r="X342" s="179" t="str">
        <f t="array" ref="X342">IF($F342&lt;&gt;"", XLOOKUP($F342,Productos!$A$2:$A1001,Productos!Q$2:Q1001,"")*$G342,"")</f>
        <v/>
      </c>
      <c r="Y342" s="179" t="str">
        <f t="array" ref="Y342">IF($F342&lt;&gt;"",XLOOKUP($F342,Productos!$A:$A,Productos!R:R,"Revisar"),"")</f>
        <v/>
      </c>
      <c r="Z342" s="179" t="str">
        <f t="array" ref="Z342">IF($F342&lt;&gt;"", XLOOKUP($F342,Productos!$A$2:$A1001,Productos!S$2:S1001,"")*$G342,"")</f>
        <v/>
      </c>
      <c r="AA342" s="179" t="str">
        <f t="array" ref="AA342">IF($F342&lt;&gt;"",XLOOKUP($F342,Productos!$A:$A,Productos!T:T,"Revisar"),"")</f>
        <v/>
      </c>
      <c r="AB342" s="179" t="str">
        <f t="array" ref="AB342">IF($F342&lt;&gt;"", XLOOKUP($F342,Productos!$A$2:$A1001,Productos!U$2:U1001,"")*$G342,"")</f>
        <v/>
      </c>
      <c r="AC342" s="179" t="str">
        <f t="array" ref="AC342">IF($F342&lt;&gt;"",XLOOKUP($F342,Productos!$A:$A,Productos!V:V,"Revisar"),"")</f>
        <v/>
      </c>
      <c r="AD342" s="179" t="str">
        <f t="array" ref="AD342">IF($F342&lt;&gt;"", XLOOKUP($F342,Productos!$A$2:$A1001,Productos!W$2:W1001,"")*$G342,"")</f>
        <v/>
      </c>
      <c r="AE342" s="179" t="str">
        <f t="array" ref="AE342">IF($F342&lt;&gt;"",XLOOKUP($F342,Productos!$A:$A,Productos!X:X,"Revisar"),"")</f>
        <v/>
      </c>
      <c r="AF342" s="179" t="str">
        <f t="array" ref="AF342">IF($F342&lt;&gt;"", XLOOKUP($F342,Productos!$A$2:$A1001,Productos!Y$2:Y1001,"")*$G342,"")</f>
        <v/>
      </c>
      <c r="AG342" s="179" t="str">
        <f t="array" ref="AG342">IF($F342&lt;&gt;"",XLOOKUP($F342,Productos!$A:$A,Productos!Z:Z,"Revisar"),"")</f>
        <v/>
      </c>
      <c r="AH342" s="179" t="str">
        <f t="array" ref="AH342">IF($F342&lt;&gt;"", XLOOKUP($F342,Productos!$A$2:$A1001,Productos!AA$2:AA1001,"")*$G342,"")</f>
        <v/>
      </c>
      <c r="AI342" s="179" t="str">
        <f t="array" ref="AI342">IF($F342&lt;&gt;"",XLOOKUP($F342,Productos!$A:$A,Productos!AB:AB,"Revisar"),"")</f>
        <v/>
      </c>
      <c r="AJ342" s="179" t="str">
        <f t="array" ref="AJ342">IF($F342&lt;&gt;"", XLOOKUP($F342,Productos!$A$2:$A1001,Productos!AC$2:AC1001,"")*$G342,"")</f>
        <v/>
      </c>
      <c r="AK342" s="179" t="str">
        <f t="array" ref="AK342">IF($F342&lt;&gt;"",XLOOKUP($F342,Productos!$A:$A,Productos!AD:AD,"Revisar"),"")</f>
        <v/>
      </c>
      <c r="AL342" s="179" t="str">
        <f t="array" ref="AL342">IF($F342&lt;&gt;"", XLOOKUP($F342,Productos!$A$2:$A1001,Productos!AE$2:AE1001,"")*$G342,"")</f>
        <v/>
      </c>
      <c r="AM342" s="179" t="str">
        <f t="array" ref="AM342">IF($F342&lt;&gt;"",XLOOKUP($F342,Productos!$A:$A,Productos!AF:AF,"Revisar"),"")</f>
        <v/>
      </c>
      <c r="AN342" s="179" t="str">
        <f t="array" ref="AN342">IF($F342&lt;&gt;"", XLOOKUP($F342,Productos!$A$2:$A1001,Productos!AG$2:AG1001,"")*$G342,"")</f>
        <v/>
      </c>
      <c r="AO342" s="179" t="str">
        <f t="array" ref="AO342">IF($F342&lt;&gt;"",XLOOKUP($F342,Productos!$A:$A,Productos!AH:AH,"Revisar"),"")</f>
        <v/>
      </c>
      <c r="AP342" s="179" t="str">
        <f t="array" ref="AP342">IF($F342&lt;&gt;"", XLOOKUP($F342,Productos!$A$2:$A1001,Productos!AI$2:AI1001,"")*$G342,"")</f>
        <v/>
      </c>
      <c r="AQ342" s="179" t="str">
        <f t="array" ref="AQ342">IF($F342&lt;&gt;"",XLOOKUP($F342,Productos!$A:$A,Productos!AJ:AJ,"Revisar"),"")</f>
        <v/>
      </c>
      <c r="AR342" s="179" t="str">
        <f t="array" ref="AR342">IF($F342&lt;&gt;"", XLOOKUP($F342,Productos!$A$2:$A1001,Productos!AK$2:AK1001,"")*$G342,"")</f>
        <v/>
      </c>
      <c r="AS342" s="179" t="str">
        <f t="array" ref="AS342">IF($F342&lt;&gt;"",XLOOKUP($F342,Productos!$A:$A,Productos!AL:AL,"Revisar"),"")</f>
        <v/>
      </c>
      <c r="AT342" s="179" t="str">
        <f t="array" ref="AT342">IF($F342&lt;&gt;"", XLOOKUP($F342,Productos!$A$2:$A1001,Productos!AM$2:AM1001,"")*$G342,"")</f>
        <v/>
      </c>
      <c r="AU342" s="179" t="str">
        <f t="array" ref="AU342">IF($F342&lt;&gt;"",XLOOKUP($F342,Productos!$A:$A,Productos!AN:AN,"Revisar"),"")</f>
        <v/>
      </c>
      <c r="AV342" s="179" t="str">
        <f t="array" ref="AV342">IF($F342&lt;&gt;"", XLOOKUP($F342,Productos!$A$2:$A1001,Productos!AO$2:AO1001,"")*$G342,"")</f>
        <v/>
      </c>
      <c r="AW342" s="179" t="str">
        <f t="array" ref="AW342">IF($F342&lt;&gt;"",XLOOKUP($F342,Productos!$A:$A,Productos!AP:AP,"Revisar"),"")</f>
        <v/>
      </c>
      <c r="AX342" s="179" t="str">
        <f t="array" ref="AX342">IF($F342&lt;&gt;"", XLOOKUP($F342,Productos!$A$2:$A1001,Productos!AQ$2:AQ1001,"")*$G342,"")</f>
        <v/>
      </c>
      <c r="AY342" s="179" t="str">
        <f t="array" ref="AY342">IF($F342&lt;&gt;"",XLOOKUP($F342,Productos!$A:$A,Productos!AR:AR,"Revisar"),"")</f>
        <v/>
      </c>
      <c r="AZ342" s="179" t="str">
        <f t="array" ref="AZ342">IF($F342&lt;&gt;"", XLOOKUP($F342,Productos!$A$2:$A1001,Productos!AS$2:AS1001,"")*$G342,"")</f>
        <v/>
      </c>
      <c r="BA342" s="179" t="str">
        <f t="array" ref="BA342">IF($F342&lt;&gt;"",XLOOKUP($F342,Productos!$A:$A,Productos!AT:AT,"Revisar"),"")</f>
        <v/>
      </c>
      <c r="BB342" s="179" t="str">
        <f t="array" ref="BB342">IF($F342&lt;&gt;"", XLOOKUP($F342,Productos!$A$2:$A1001,Productos!AU$2:AU1001,"")*$G342,"")</f>
        <v/>
      </c>
      <c r="BC342" s="179" t="str">
        <f t="array" ref="BC342">IF($F342&lt;&gt;"",XLOOKUP($F342,Productos!$A:$A,Productos!AV:AV,"Revisar"),"")</f>
        <v/>
      </c>
      <c r="BD342" s="179" t="str">
        <f t="array" ref="BD342">IF($F342&lt;&gt;"", XLOOKUP($F342,Productos!$A$2:$A1001,Productos!AW$2:AW1001,"")*$G342,"")</f>
        <v/>
      </c>
      <c r="BE342" s="179" t="str">
        <f t="array" ref="BE342">IF($F342&lt;&gt;"",XLOOKUP($F342,Productos!$A:$A,Productos!AX:AX,"Revisar"),"")</f>
        <v/>
      </c>
      <c r="BF342" s="179" t="str">
        <f t="array" ref="BF342">IF($F342&lt;&gt;"", XLOOKUP($F342,Productos!$A$2:$A1001,Productos!AY$2:AY1001,"")*$G342,"")</f>
        <v/>
      </c>
      <c r="BG342" s="179" t="str">
        <f t="array" ref="BG342">IF($F342&lt;&gt;"",XLOOKUP($F342,Productos!$A:$A,Productos!AZ:AZ,"Revisar"),"")</f>
        <v/>
      </c>
      <c r="BH342" s="179" t="str">
        <f t="array" ref="BH342">IF($F342&lt;&gt;"", XLOOKUP($F342,Productos!$A$2:$A1001,Productos!BA$2:BA1001,"")*$G342,"")</f>
        <v/>
      </c>
      <c r="BI342" s="179" t="str">
        <f t="array" ref="BI342">IF($F342&lt;&gt;"",XLOOKUP($F342,Productos!$A:$A,Productos!BB:BB,"Revisar"),"")</f>
        <v/>
      </c>
      <c r="BJ342" s="179" t="str">
        <f t="array" ref="BJ342">IF($F342&lt;&gt;"", XLOOKUP($F342,Productos!$A$2:$A1001,Productos!BC$2:BC1001,"")*$G342,"")</f>
        <v/>
      </c>
      <c r="BK342" s="179" t="str">
        <f t="array" ref="BK342">IF($F342&lt;&gt;"",XLOOKUP($F342,Productos!$A:$A,Productos!BD:BD,"Revisar"),"")</f>
        <v/>
      </c>
      <c r="BL342" s="179" t="str">
        <f t="array" ref="BL342">IF($F342&lt;&gt;"", XLOOKUP($F342,Productos!$A$2:$A1001,Productos!BE$2:BE1001,"")*$G342,"")</f>
        <v/>
      </c>
      <c r="BM342" s="179" t="str">
        <f t="array" ref="BM342">IF($F342&lt;&gt;"",XLOOKUP($F342,Productos!$A:$A,Productos!BF:BF,"Revisar"),"")</f>
        <v/>
      </c>
      <c r="BN342" s="179" t="str">
        <f t="array" ref="BN342">IF($F342&lt;&gt;"", XLOOKUP($F342,Productos!$A$2:$A1001,Productos!BG$2:BG1001,"")*$G342,"")</f>
        <v/>
      </c>
      <c r="BO342" s="179" t="str">
        <f t="array" ref="BO342">IF($F342&lt;&gt;"",XLOOKUP($F342,Productos!$A:$A,Productos!BH:BH,"Revisar"),"")</f>
        <v/>
      </c>
      <c r="BP342" s="179" t="str">
        <f t="array" ref="BP342">IF($F342&lt;&gt;"", XLOOKUP($F342,Productos!$A$2:$A1001,Productos!BI$2:BI1001,"")*$G342,"")</f>
        <v/>
      </c>
      <c r="BQ342" s="179" t="str">
        <f t="array" ref="BQ342">IF($F342&lt;&gt;"",XLOOKUP($F342,Productos!$A:$A,Productos!BJ:BJ,"Revisar"),"")</f>
        <v/>
      </c>
      <c r="BR342" s="179" t="str">
        <f t="array" ref="BR342">IF($F342&lt;&gt;"", XLOOKUP($F342,Productos!$A$2:$A1001,Productos!BK$2:BK1001,"")*$G342,"")</f>
        <v/>
      </c>
      <c r="BS342" s="179" t="str">
        <f t="array" ref="BS342">IF($F342&lt;&gt;"",XLOOKUP($F342,Productos!$A:$A,Productos!BL:BL,"Revisar"),"")</f>
        <v/>
      </c>
      <c r="BT342" s="179" t="str">
        <f t="array" ref="BT342">IF($F342&lt;&gt;"", XLOOKUP($F342,Productos!$A$2:$A1001,Productos!BM$2:BM1001,"")*$G342,"")</f>
        <v/>
      </c>
      <c r="BU342" s="179" t="str">
        <f t="array" ref="BU342">IF($F342&lt;&gt;"",XLOOKUP($F342,Productos!$A:$A,Productos!BN:BN,"Revisar"),"")</f>
        <v/>
      </c>
      <c r="BV342" s="179" t="str">
        <f t="array" ref="BV342">IF($F342&lt;&gt;"", XLOOKUP($F342,Productos!$A$2:$A1001,Productos!BO$2:BO1001,"")*$G342,"")</f>
        <v/>
      </c>
      <c r="BW342" s="179" t="str">
        <f t="array" ref="BW342">IF($F342&lt;&gt;"",XLOOKUP($F342,Productos!$A:$A,Productos!BP:BP,"Revisar"),"")</f>
        <v/>
      </c>
      <c r="BX342" s="179" t="str">
        <f t="array" ref="BX342">IF($F342&lt;&gt;"", XLOOKUP($F342,Productos!$A$2:$A1001,Productos!BQ$2:BQ1001,"")*$G342,"")</f>
        <v/>
      </c>
      <c r="BY342" s="179" t="str">
        <f t="array" ref="BY342">IF($F342&lt;&gt;"",XLOOKUP($F342,Productos!$A:$A,Productos!BR:BR,"Revisar"),"")</f>
        <v/>
      </c>
      <c r="BZ342" s="179" t="str">
        <f t="array" ref="BZ342">IF($F342&lt;&gt;"", XLOOKUP($F342,Productos!$A$2:$A1001,Productos!BS$2:BS1001,"")*$G342,"")</f>
        <v/>
      </c>
    </row>
    <row r="343">
      <c r="A343" s="188"/>
      <c r="B343" s="189"/>
      <c r="C343" s="190"/>
      <c r="D343" s="190"/>
      <c r="E343" s="191"/>
      <c r="F343" s="186"/>
      <c r="G343" s="192"/>
      <c r="H343" s="9"/>
      <c r="I343" s="179" t="str">
        <f t="array" ref="I343">IF($F343&lt;&gt;"",XLOOKUP($F343,Productos!$A:$A,Productos!B:B,"Revisar"),"")</f>
        <v/>
      </c>
      <c r="J343" s="179" t="str">
        <f t="array" ref="J343">IF($F343&lt;&gt;"", XLOOKUP($F343,Productos!$A$2:$A1001,Productos!C$2:C1001,"")*$G343,"")</f>
        <v/>
      </c>
      <c r="K343" s="179" t="str">
        <f t="array" ref="K343">IF($F343&lt;&gt;"",XLOOKUP($F343,Productos!$A:$A,Productos!D:D,"Revisar"),"")</f>
        <v/>
      </c>
      <c r="L343" s="179" t="str">
        <f t="array" ref="L343">IF($F343&lt;&gt;"", XLOOKUP($F343,Productos!$A$2:$A1001,Productos!E$2:E1001,"")*$G343,"")</f>
        <v/>
      </c>
      <c r="M343" s="179" t="str">
        <f t="array" ref="M343">IF($F343&lt;&gt;"",XLOOKUP($F343,Productos!$A:$A,Productos!F:F,"Revisar"),"")</f>
        <v/>
      </c>
      <c r="N343" s="179" t="str">
        <f t="array" ref="N343">IF($F343&lt;&gt;"", XLOOKUP($F343,Productos!$A$2:$A1001,Productos!G$2:G1001,"")*$G343,"")</f>
        <v/>
      </c>
      <c r="O343" s="179" t="str">
        <f t="array" ref="O343">IF($F343&lt;&gt;"",XLOOKUP($F343,Productos!$A:$A,Productos!H:H,"Revisar"),"")</f>
        <v/>
      </c>
      <c r="P343" s="179" t="str">
        <f t="array" ref="P343">IF($F343&lt;&gt;"", XLOOKUP($F343,Productos!$A$2:$A1001,Productos!I$2:I1001,"")*$G343,"")</f>
        <v/>
      </c>
      <c r="Q343" s="179" t="str">
        <f t="array" ref="Q343">IF($F343&lt;&gt;"",XLOOKUP($F343,Productos!$A:$A,Productos!J:J,"Revisar"),"")</f>
        <v/>
      </c>
      <c r="R343" s="179" t="str">
        <f t="array" ref="R343">IF($F343&lt;&gt;"", XLOOKUP($F343,Productos!$A$2:$A1001,Productos!K$2:K1001,"")*$G343,"")</f>
        <v/>
      </c>
      <c r="S343" s="179" t="str">
        <f t="array" ref="S343">IF($F343&lt;&gt;"",XLOOKUP($F343,Productos!$A:$A,Productos!L:L,"Revisar"),"")</f>
        <v/>
      </c>
      <c r="T343" s="179" t="str">
        <f t="array" ref="T343">IF($F343&lt;&gt;"", XLOOKUP($F343,Productos!$A$2:$A1001,Productos!M$2:M1001,"")*$G343,"")</f>
        <v/>
      </c>
      <c r="U343" s="179" t="str">
        <f t="array" ref="U343">IF($F343&lt;&gt;"",XLOOKUP($F343,Productos!$A:$A,Productos!N:N,"Revisar"),"")</f>
        <v/>
      </c>
      <c r="V343" s="179" t="str">
        <f t="array" ref="V343">IF($F343&lt;&gt;"", XLOOKUP($F343,Productos!$A$2:$A1001,Productos!O$2:O1001,"")*$G343,"")</f>
        <v/>
      </c>
      <c r="W343" s="179" t="str">
        <f t="array" ref="W343">IF($F343&lt;&gt;"",XLOOKUP($F343,Productos!$A:$A,Productos!P:P,"Revisar"),"")</f>
        <v/>
      </c>
      <c r="X343" s="179" t="str">
        <f t="array" ref="X343">IF($F343&lt;&gt;"", XLOOKUP($F343,Productos!$A$2:$A1001,Productos!Q$2:Q1001,"")*$G343,"")</f>
        <v/>
      </c>
      <c r="Y343" s="179" t="str">
        <f t="array" ref="Y343">IF($F343&lt;&gt;"",XLOOKUP($F343,Productos!$A:$A,Productos!R:R,"Revisar"),"")</f>
        <v/>
      </c>
      <c r="Z343" s="179" t="str">
        <f t="array" ref="Z343">IF($F343&lt;&gt;"", XLOOKUP($F343,Productos!$A$2:$A1001,Productos!S$2:S1001,"")*$G343,"")</f>
        <v/>
      </c>
      <c r="AA343" s="179" t="str">
        <f t="array" ref="AA343">IF($F343&lt;&gt;"",XLOOKUP($F343,Productos!$A:$A,Productos!T:T,"Revisar"),"")</f>
        <v/>
      </c>
      <c r="AB343" s="179" t="str">
        <f t="array" ref="AB343">IF($F343&lt;&gt;"", XLOOKUP($F343,Productos!$A$2:$A1001,Productos!U$2:U1001,"")*$G343,"")</f>
        <v/>
      </c>
      <c r="AC343" s="179" t="str">
        <f t="array" ref="AC343">IF($F343&lt;&gt;"",XLOOKUP($F343,Productos!$A:$A,Productos!V:V,"Revisar"),"")</f>
        <v/>
      </c>
      <c r="AD343" s="179" t="str">
        <f t="array" ref="AD343">IF($F343&lt;&gt;"", XLOOKUP($F343,Productos!$A$2:$A1001,Productos!W$2:W1001,"")*$G343,"")</f>
        <v/>
      </c>
      <c r="AE343" s="179" t="str">
        <f t="array" ref="AE343">IF($F343&lt;&gt;"",XLOOKUP($F343,Productos!$A:$A,Productos!X:X,"Revisar"),"")</f>
        <v/>
      </c>
      <c r="AF343" s="179" t="str">
        <f t="array" ref="AF343">IF($F343&lt;&gt;"", XLOOKUP($F343,Productos!$A$2:$A1001,Productos!Y$2:Y1001,"")*$G343,"")</f>
        <v/>
      </c>
      <c r="AG343" s="179" t="str">
        <f t="array" ref="AG343">IF($F343&lt;&gt;"",XLOOKUP($F343,Productos!$A:$A,Productos!Z:Z,"Revisar"),"")</f>
        <v/>
      </c>
      <c r="AH343" s="179" t="str">
        <f t="array" ref="AH343">IF($F343&lt;&gt;"", XLOOKUP($F343,Productos!$A$2:$A1001,Productos!AA$2:AA1001,"")*$G343,"")</f>
        <v/>
      </c>
      <c r="AI343" s="179" t="str">
        <f t="array" ref="AI343">IF($F343&lt;&gt;"",XLOOKUP($F343,Productos!$A:$A,Productos!AB:AB,"Revisar"),"")</f>
        <v/>
      </c>
      <c r="AJ343" s="179" t="str">
        <f t="array" ref="AJ343">IF($F343&lt;&gt;"", XLOOKUP($F343,Productos!$A$2:$A1001,Productos!AC$2:AC1001,"")*$G343,"")</f>
        <v/>
      </c>
      <c r="AK343" s="179" t="str">
        <f t="array" ref="AK343">IF($F343&lt;&gt;"",XLOOKUP($F343,Productos!$A:$A,Productos!AD:AD,"Revisar"),"")</f>
        <v/>
      </c>
      <c r="AL343" s="179" t="str">
        <f t="array" ref="AL343">IF($F343&lt;&gt;"", XLOOKUP($F343,Productos!$A$2:$A1001,Productos!AE$2:AE1001,"")*$G343,"")</f>
        <v/>
      </c>
      <c r="AM343" s="179" t="str">
        <f t="array" ref="AM343">IF($F343&lt;&gt;"",XLOOKUP($F343,Productos!$A:$A,Productos!AF:AF,"Revisar"),"")</f>
        <v/>
      </c>
      <c r="AN343" s="179" t="str">
        <f t="array" ref="AN343">IF($F343&lt;&gt;"", XLOOKUP($F343,Productos!$A$2:$A1001,Productos!AG$2:AG1001,"")*$G343,"")</f>
        <v/>
      </c>
      <c r="AO343" s="179" t="str">
        <f t="array" ref="AO343">IF($F343&lt;&gt;"",XLOOKUP($F343,Productos!$A:$A,Productos!AH:AH,"Revisar"),"")</f>
        <v/>
      </c>
      <c r="AP343" s="179" t="str">
        <f t="array" ref="AP343">IF($F343&lt;&gt;"", XLOOKUP($F343,Productos!$A$2:$A1001,Productos!AI$2:AI1001,"")*$G343,"")</f>
        <v/>
      </c>
      <c r="AQ343" s="179" t="str">
        <f t="array" ref="AQ343">IF($F343&lt;&gt;"",XLOOKUP($F343,Productos!$A:$A,Productos!AJ:AJ,"Revisar"),"")</f>
        <v/>
      </c>
      <c r="AR343" s="179" t="str">
        <f t="array" ref="AR343">IF($F343&lt;&gt;"", XLOOKUP($F343,Productos!$A$2:$A1001,Productos!AK$2:AK1001,"")*$G343,"")</f>
        <v/>
      </c>
      <c r="AS343" s="179" t="str">
        <f t="array" ref="AS343">IF($F343&lt;&gt;"",XLOOKUP($F343,Productos!$A:$A,Productos!AL:AL,"Revisar"),"")</f>
        <v/>
      </c>
      <c r="AT343" s="179" t="str">
        <f t="array" ref="AT343">IF($F343&lt;&gt;"", XLOOKUP($F343,Productos!$A$2:$A1001,Productos!AM$2:AM1001,"")*$G343,"")</f>
        <v/>
      </c>
      <c r="AU343" s="179" t="str">
        <f t="array" ref="AU343">IF($F343&lt;&gt;"",XLOOKUP($F343,Productos!$A:$A,Productos!AN:AN,"Revisar"),"")</f>
        <v/>
      </c>
      <c r="AV343" s="179" t="str">
        <f t="array" ref="AV343">IF($F343&lt;&gt;"", XLOOKUP($F343,Productos!$A$2:$A1001,Productos!AO$2:AO1001,"")*$G343,"")</f>
        <v/>
      </c>
      <c r="AW343" s="179" t="str">
        <f t="array" ref="AW343">IF($F343&lt;&gt;"",XLOOKUP($F343,Productos!$A:$A,Productos!AP:AP,"Revisar"),"")</f>
        <v/>
      </c>
      <c r="AX343" s="179" t="str">
        <f t="array" ref="AX343">IF($F343&lt;&gt;"", XLOOKUP($F343,Productos!$A$2:$A1001,Productos!AQ$2:AQ1001,"")*$G343,"")</f>
        <v/>
      </c>
      <c r="AY343" s="179" t="str">
        <f t="array" ref="AY343">IF($F343&lt;&gt;"",XLOOKUP($F343,Productos!$A:$A,Productos!AR:AR,"Revisar"),"")</f>
        <v/>
      </c>
      <c r="AZ343" s="179" t="str">
        <f t="array" ref="AZ343">IF($F343&lt;&gt;"", XLOOKUP($F343,Productos!$A$2:$A1001,Productos!AS$2:AS1001,"")*$G343,"")</f>
        <v/>
      </c>
      <c r="BA343" s="179" t="str">
        <f t="array" ref="BA343">IF($F343&lt;&gt;"",XLOOKUP($F343,Productos!$A:$A,Productos!AT:AT,"Revisar"),"")</f>
        <v/>
      </c>
      <c r="BB343" s="179" t="str">
        <f t="array" ref="BB343">IF($F343&lt;&gt;"", XLOOKUP($F343,Productos!$A$2:$A1001,Productos!AU$2:AU1001,"")*$G343,"")</f>
        <v/>
      </c>
      <c r="BC343" s="179" t="str">
        <f t="array" ref="BC343">IF($F343&lt;&gt;"",XLOOKUP($F343,Productos!$A:$A,Productos!AV:AV,"Revisar"),"")</f>
        <v/>
      </c>
      <c r="BD343" s="179" t="str">
        <f t="array" ref="BD343">IF($F343&lt;&gt;"", XLOOKUP($F343,Productos!$A$2:$A1001,Productos!AW$2:AW1001,"")*$G343,"")</f>
        <v/>
      </c>
      <c r="BE343" s="179" t="str">
        <f t="array" ref="BE343">IF($F343&lt;&gt;"",XLOOKUP($F343,Productos!$A:$A,Productos!AX:AX,"Revisar"),"")</f>
        <v/>
      </c>
      <c r="BF343" s="179" t="str">
        <f t="array" ref="BF343">IF($F343&lt;&gt;"", XLOOKUP($F343,Productos!$A$2:$A1001,Productos!AY$2:AY1001,"")*$G343,"")</f>
        <v/>
      </c>
      <c r="BG343" s="179" t="str">
        <f t="array" ref="BG343">IF($F343&lt;&gt;"",XLOOKUP($F343,Productos!$A:$A,Productos!AZ:AZ,"Revisar"),"")</f>
        <v/>
      </c>
      <c r="BH343" s="179" t="str">
        <f t="array" ref="BH343">IF($F343&lt;&gt;"", XLOOKUP($F343,Productos!$A$2:$A1001,Productos!BA$2:BA1001,"")*$G343,"")</f>
        <v/>
      </c>
      <c r="BI343" s="179" t="str">
        <f t="array" ref="BI343">IF($F343&lt;&gt;"",XLOOKUP($F343,Productos!$A:$A,Productos!BB:BB,"Revisar"),"")</f>
        <v/>
      </c>
      <c r="BJ343" s="179" t="str">
        <f t="array" ref="BJ343">IF($F343&lt;&gt;"", XLOOKUP($F343,Productos!$A$2:$A1001,Productos!BC$2:BC1001,"")*$G343,"")</f>
        <v/>
      </c>
      <c r="BK343" s="179" t="str">
        <f t="array" ref="BK343">IF($F343&lt;&gt;"",XLOOKUP($F343,Productos!$A:$A,Productos!BD:BD,"Revisar"),"")</f>
        <v/>
      </c>
      <c r="BL343" s="179" t="str">
        <f t="array" ref="BL343">IF($F343&lt;&gt;"", XLOOKUP($F343,Productos!$A$2:$A1001,Productos!BE$2:BE1001,"")*$G343,"")</f>
        <v/>
      </c>
      <c r="BM343" s="179" t="str">
        <f t="array" ref="BM343">IF($F343&lt;&gt;"",XLOOKUP($F343,Productos!$A:$A,Productos!BF:BF,"Revisar"),"")</f>
        <v/>
      </c>
      <c r="BN343" s="179" t="str">
        <f t="array" ref="BN343">IF($F343&lt;&gt;"", XLOOKUP($F343,Productos!$A$2:$A1001,Productos!BG$2:BG1001,"")*$G343,"")</f>
        <v/>
      </c>
      <c r="BO343" s="179" t="str">
        <f t="array" ref="BO343">IF($F343&lt;&gt;"",XLOOKUP($F343,Productos!$A:$A,Productos!BH:BH,"Revisar"),"")</f>
        <v/>
      </c>
      <c r="BP343" s="179" t="str">
        <f t="array" ref="BP343">IF($F343&lt;&gt;"", XLOOKUP($F343,Productos!$A$2:$A1001,Productos!BI$2:BI1001,"")*$G343,"")</f>
        <v/>
      </c>
      <c r="BQ343" s="179" t="str">
        <f t="array" ref="BQ343">IF($F343&lt;&gt;"",XLOOKUP($F343,Productos!$A:$A,Productos!BJ:BJ,"Revisar"),"")</f>
        <v/>
      </c>
      <c r="BR343" s="179" t="str">
        <f t="array" ref="BR343">IF($F343&lt;&gt;"", XLOOKUP($F343,Productos!$A$2:$A1001,Productos!BK$2:BK1001,"")*$G343,"")</f>
        <v/>
      </c>
      <c r="BS343" s="179" t="str">
        <f t="array" ref="BS343">IF($F343&lt;&gt;"",XLOOKUP($F343,Productos!$A:$A,Productos!BL:BL,"Revisar"),"")</f>
        <v/>
      </c>
      <c r="BT343" s="179" t="str">
        <f t="array" ref="BT343">IF($F343&lt;&gt;"", XLOOKUP($F343,Productos!$A$2:$A1001,Productos!BM$2:BM1001,"")*$G343,"")</f>
        <v/>
      </c>
      <c r="BU343" s="179" t="str">
        <f t="array" ref="BU343">IF($F343&lt;&gt;"",XLOOKUP($F343,Productos!$A:$A,Productos!BN:BN,"Revisar"),"")</f>
        <v/>
      </c>
      <c r="BV343" s="179" t="str">
        <f t="array" ref="BV343">IF($F343&lt;&gt;"", XLOOKUP($F343,Productos!$A$2:$A1001,Productos!BO$2:BO1001,"")*$G343,"")</f>
        <v/>
      </c>
      <c r="BW343" s="179" t="str">
        <f t="array" ref="BW343">IF($F343&lt;&gt;"",XLOOKUP($F343,Productos!$A:$A,Productos!BP:BP,"Revisar"),"")</f>
        <v/>
      </c>
      <c r="BX343" s="179" t="str">
        <f t="array" ref="BX343">IF($F343&lt;&gt;"", XLOOKUP($F343,Productos!$A$2:$A1001,Productos!BQ$2:BQ1001,"")*$G343,"")</f>
        <v/>
      </c>
      <c r="BY343" s="179" t="str">
        <f t="array" ref="BY343">IF($F343&lt;&gt;"",XLOOKUP($F343,Productos!$A:$A,Productos!BR:BR,"Revisar"),"")</f>
        <v/>
      </c>
      <c r="BZ343" s="179" t="str">
        <f t="array" ref="BZ343">IF($F343&lt;&gt;"", XLOOKUP($F343,Productos!$A$2:$A1001,Productos!BS$2:BS1001,"")*$G343,"")</f>
        <v/>
      </c>
    </row>
    <row r="344">
      <c r="A344" s="188"/>
      <c r="B344" s="189"/>
      <c r="C344" s="190"/>
      <c r="D344" s="190"/>
      <c r="E344" s="191"/>
      <c r="F344" s="186"/>
      <c r="G344" s="192"/>
      <c r="H344" s="9"/>
      <c r="I344" s="179" t="str">
        <f t="array" ref="I344">IF($F344&lt;&gt;"",XLOOKUP($F344,Productos!$A:$A,Productos!B:B,"Revisar"),"")</f>
        <v/>
      </c>
      <c r="J344" s="179" t="str">
        <f t="array" ref="J344">IF($F344&lt;&gt;"", XLOOKUP($F344,Productos!$A$2:$A1001,Productos!C$2:C1001,"")*$G344,"")</f>
        <v/>
      </c>
      <c r="K344" s="179" t="str">
        <f t="array" ref="K344">IF($F344&lt;&gt;"",XLOOKUP($F344,Productos!$A:$A,Productos!D:D,"Revisar"),"")</f>
        <v/>
      </c>
      <c r="L344" s="179" t="str">
        <f t="array" ref="L344">IF($F344&lt;&gt;"", XLOOKUP($F344,Productos!$A$2:$A1001,Productos!E$2:E1001,"")*$G344,"")</f>
        <v/>
      </c>
      <c r="M344" s="179" t="str">
        <f t="array" ref="M344">IF($F344&lt;&gt;"",XLOOKUP($F344,Productos!$A:$A,Productos!F:F,"Revisar"),"")</f>
        <v/>
      </c>
      <c r="N344" s="179" t="str">
        <f t="array" ref="N344">IF($F344&lt;&gt;"", XLOOKUP($F344,Productos!$A$2:$A1001,Productos!G$2:G1001,"")*$G344,"")</f>
        <v/>
      </c>
      <c r="O344" s="179" t="str">
        <f t="array" ref="O344">IF($F344&lt;&gt;"",XLOOKUP($F344,Productos!$A:$A,Productos!H:H,"Revisar"),"")</f>
        <v/>
      </c>
      <c r="P344" s="179" t="str">
        <f t="array" ref="P344">IF($F344&lt;&gt;"", XLOOKUP($F344,Productos!$A$2:$A1001,Productos!I$2:I1001,"")*$G344,"")</f>
        <v/>
      </c>
      <c r="Q344" s="179" t="str">
        <f t="array" ref="Q344">IF($F344&lt;&gt;"",XLOOKUP($F344,Productos!$A:$A,Productos!J:J,"Revisar"),"")</f>
        <v/>
      </c>
      <c r="R344" s="179" t="str">
        <f t="array" ref="R344">IF($F344&lt;&gt;"", XLOOKUP($F344,Productos!$A$2:$A1001,Productos!K$2:K1001,"")*$G344,"")</f>
        <v/>
      </c>
      <c r="S344" s="179" t="str">
        <f t="array" ref="S344">IF($F344&lt;&gt;"",XLOOKUP($F344,Productos!$A:$A,Productos!L:L,"Revisar"),"")</f>
        <v/>
      </c>
      <c r="T344" s="179" t="str">
        <f t="array" ref="T344">IF($F344&lt;&gt;"", XLOOKUP($F344,Productos!$A$2:$A1001,Productos!M$2:M1001,"")*$G344,"")</f>
        <v/>
      </c>
      <c r="U344" s="179" t="str">
        <f t="array" ref="U344">IF($F344&lt;&gt;"",XLOOKUP($F344,Productos!$A:$A,Productos!N:N,"Revisar"),"")</f>
        <v/>
      </c>
      <c r="V344" s="179" t="str">
        <f t="array" ref="V344">IF($F344&lt;&gt;"", XLOOKUP($F344,Productos!$A$2:$A1001,Productos!O$2:O1001,"")*$G344,"")</f>
        <v/>
      </c>
      <c r="W344" s="179" t="str">
        <f t="array" ref="W344">IF($F344&lt;&gt;"",XLOOKUP($F344,Productos!$A:$A,Productos!P:P,"Revisar"),"")</f>
        <v/>
      </c>
      <c r="X344" s="179" t="str">
        <f t="array" ref="X344">IF($F344&lt;&gt;"", XLOOKUP($F344,Productos!$A$2:$A1001,Productos!Q$2:Q1001,"")*$G344,"")</f>
        <v/>
      </c>
      <c r="Y344" s="179" t="str">
        <f t="array" ref="Y344">IF($F344&lt;&gt;"",XLOOKUP($F344,Productos!$A:$A,Productos!R:R,"Revisar"),"")</f>
        <v/>
      </c>
      <c r="Z344" s="179" t="str">
        <f t="array" ref="Z344">IF($F344&lt;&gt;"", XLOOKUP($F344,Productos!$A$2:$A1001,Productos!S$2:S1001,"")*$G344,"")</f>
        <v/>
      </c>
      <c r="AA344" s="179" t="str">
        <f t="array" ref="AA344">IF($F344&lt;&gt;"",XLOOKUP($F344,Productos!$A:$A,Productos!T:T,"Revisar"),"")</f>
        <v/>
      </c>
      <c r="AB344" s="179" t="str">
        <f t="array" ref="AB344">IF($F344&lt;&gt;"", XLOOKUP($F344,Productos!$A$2:$A1001,Productos!U$2:U1001,"")*$G344,"")</f>
        <v/>
      </c>
      <c r="AC344" s="179" t="str">
        <f t="array" ref="AC344">IF($F344&lt;&gt;"",XLOOKUP($F344,Productos!$A:$A,Productos!V:V,"Revisar"),"")</f>
        <v/>
      </c>
      <c r="AD344" s="179" t="str">
        <f t="array" ref="AD344">IF($F344&lt;&gt;"", XLOOKUP($F344,Productos!$A$2:$A1001,Productos!W$2:W1001,"")*$G344,"")</f>
        <v/>
      </c>
      <c r="AE344" s="179" t="str">
        <f t="array" ref="AE344">IF($F344&lt;&gt;"",XLOOKUP($F344,Productos!$A:$A,Productos!X:X,"Revisar"),"")</f>
        <v/>
      </c>
      <c r="AF344" s="179" t="str">
        <f t="array" ref="AF344">IF($F344&lt;&gt;"", XLOOKUP($F344,Productos!$A$2:$A1001,Productos!Y$2:Y1001,"")*$G344,"")</f>
        <v/>
      </c>
      <c r="AG344" s="179" t="str">
        <f t="array" ref="AG344">IF($F344&lt;&gt;"",XLOOKUP($F344,Productos!$A:$A,Productos!Z:Z,"Revisar"),"")</f>
        <v/>
      </c>
      <c r="AH344" s="179" t="str">
        <f t="array" ref="AH344">IF($F344&lt;&gt;"", XLOOKUP($F344,Productos!$A$2:$A1001,Productos!AA$2:AA1001,"")*$G344,"")</f>
        <v/>
      </c>
      <c r="AI344" s="179" t="str">
        <f t="array" ref="AI344">IF($F344&lt;&gt;"",XLOOKUP($F344,Productos!$A:$A,Productos!AB:AB,"Revisar"),"")</f>
        <v/>
      </c>
      <c r="AJ344" s="179" t="str">
        <f t="array" ref="AJ344">IF($F344&lt;&gt;"", XLOOKUP($F344,Productos!$A$2:$A1001,Productos!AC$2:AC1001,"")*$G344,"")</f>
        <v/>
      </c>
      <c r="AK344" s="179" t="str">
        <f t="array" ref="AK344">IF($F344&lt;&gt;"",XLOOKUP($F344,Productos!$A:$A,Productos!AD:AD,"Revisar"),"")</f>
        <v/>
      </c>
      <c r="AL344" s="179" t="str">
        <f t="array" ref="AL344">IF($F344&lt;&gt;"", XLOOKUP($F344,Productos!$A$2:$A1001,Productos!AE$2:AE1001,"")*$G344,"")</f>
        <v/>
      </c>
      <c r="AM344" s="179" t="str">
        <f t="array" ref="AM344">IF($F344&lt;&gt;"",XLOOKUP($F344,Productos!$A:$A,Productos!AF:AF,"Revisar"),"")</f>
        <v/>
      </c>
      <c r="AN344" s="179" t="str">
        <f t="array" ref="AN344">IF($F344&lt;&gt;"", XLOOKUP($F344,Productos!$A$2:$A1001,Productos!AG$2:AG1001,"")*$G344,"")</f>
        <v/>
      </c>
      <c r="AO344" s="179" t="str">
        <f t="array" ref="AO344">IF($F344&lt;&gt;"",XLOOKUP($F344,Productos!$A:$A,Productos!AH:AH,"Revisar"),"")</f>
        <v/>
      </c>
      <c r="AP344" s="179" t="str">
        <f t="array" ref="AP344">IF($F344&lt;&gt;"", XLOOKUP($F344,Productos!$A$2:$A1001,Productos!AI$2:AI1001,"")*$G344,"")</f>
        <v/>
      </c>
      <c r="AQ344" s="179" t="str">
        <f t="array" ref="AQ344">IF($F344&lt;&gt;"",XLOOKUP($F344,Productos!$A:$A,Productos!AJ:AJ,"Revisar"),"")</f>
        <v/>
      </c>
      <c r="AR344" s="179" t="str">
        <f t="array" ref="AR344">IF($F344&lt;&gt;"", XLOOKUP($F344,Productos!$A$2:$A1001,Productos!AK$2:AK1001,"")*$G344,"")</f>
        <v/>
      </c>
      <c r="AS344" s="179" t="str">
        <f t="array" ref="AS344">IF($F344&lt;&gt;"",XLOOKUP($F344,Productos!$A:$A,Productos!AL:AL,"Revisar"),"")</f>
        <v/>
      </c>
      <c r="AT344" s="179" t="str">
        <f t="array" ref="AT344">IF($F344&lt;&gt;"", XLOOKUP($F344,Productos!$A$2:$A1001,Productos!AM$2:AM1001,"")*$G344,"")</f>
        <v/>
      </c>
      <c r="AU344" s="179" t="str">
        <f t="array" ref="AU344">IF($F344&lt;&gt;"",XLOOKUP($F344,Productos!$A:$A,Productos!AN:AN,"Revisar"),"")</f>
        <v/>
      </c>
      <c r="AV344" s="179" t="str">
        <f t="array" ref="AV344">IF($F344&lt;&gt;"", XLOOKUP($F344,Productos!$A$2:$A1001,Productos!AO$2:AO1001,"")*$G344,"")</f>
        <v/>
      </c>
      <c r="AW344" s="179" t="str">
        <f t="array" ref="AW344">IF($F344&lt;&gt;"",XLOOKUP($F344,Productos!$A:$A,Productos!AP:AP,"Revisar"),"")</f>
        <v/>
      </c>
      <c r="AX344" s="179" t="str">
        <f t="array" ref="AX344">IF($F344&lt;&gt;"", XLOOKUP($F344,Productos!$A$2:$A1001,Productos!AQ$2:AQ1001,"")*$G344,"")</f>
        <v/>
      </c>
      <c r="AY344" s="179" t="str">
        <f t="array" ref="AY344">IF($F344&lt;&gt;"",XLOOKUP($F344,Productos!$A:$A,Productos!AR:AR,"Revisar"),"")</f>
        <v/>
      </c>
      <c r="AZ344" s="179" t="str">
        <f t="array" ref="AZ344">IF($F344&lt;&gt;"", XLOOKUP($F344,Productos!$A$2:$A1001,Productos!AS$2:AS1001,"")*$G344,"")</f>
        <v/>
      </c>
      <c r="BA344" s="179" t="str">
        <f t="array" ref="BA344">IF($F344&lt;&gt;"",XLOOKUP($F344,Productos!$A:$A,Productos!AT:AT,"Revisar"),"")</f>
        <v/>
      </c>
      <c r="BB344" s="179" t="str">
        <f t="array" ref="BB344">IF($F344&lt;&gt;"", XLOOKUP($F344,Productos!$A$2:$A1001,Productos!AU$2:AU1001,"")*$G344,"")</f>
        <v/>
      </c>
      <c r="BC344" s="179" t="str">
        <f t="array" ref="BC344">IF($F344&lt;&gt;"",XLOOKUP($F344,Productos!$A:$A,Productos!AV:AV,"Revisar"),"")</f>
        <v/>
      </c>
      <c r="BD344" s="179" t="str">
        <f t="array" ref="BD344">IF($F344&lt;&gt;"", XLOOKUP($F344,Productos!$A$2:$A1001,Productos!AW$2:AW1001,"")*$G344,"")</f>
        <v/>
      </c>
      <c r="BE344" s="179" t="str">
        <f t="array" ref="BE344">IF($F344&lt;&gt;"",XLOOKUP($F344,Productos!$A:$A,Productos!AX:AX,"Revisar"),"")</f>
        <v/>
      </c>
      <c r="BF344" s="179" t="str">
        <f t="array" ref="BF344">IF($F344&lt;&gt;"", XLOOKUP($F344,Productos!$A$2:$A1001,Productos!AY$2:AY1001,"")*$G344,"")</f>
        <v/>
      </c>
      <c r="BG344" s="179" t="str">
        <f t="array" ref="BG344">IF($F344&lt;&gt;"",XLOOKUP($F344,Productos!$A:$A,Productos!AZ:AZ,"Revisar"),"")</f>
        <v/>
      </c>
      <c r="BH344" s="179" t="str">
        <f t="array" ref="BH344">IF($F344&lt;&gt;"", XLOOKUP($F344,Productos!$A$2:$A1001,Productos!BA$2:BA1001,"")*$G344,"")</f>
        <v/>
      </c>
      <c r="BI344" s="179" t="str">
        <f t="array" ref="BI344">IF($F344&lt;&gt;"",XLOOKUP($F344,Productos!$A:$A,Productos!BB:BB,"Revisar"),"")</f>
        <v/>
      </c>
      <c r="BJ344" s="179" t="str">
        <f t="array" ref="BJ344">IF($F344&lt;&gt;"", XLOOKUP($F344,Productos!$A$2:$A1001,Productos!BC$2:BC1001,"")*$G344,"")</f>
        <v/>
      </c>
      <c r="BK344" s="179" t="str">
        <f t="array" ref="BK344">IF($F344&lt;&gt;"",XLOOKUP($F344,Productos!$A:$A,Productos!BD:BD,"Revisar"),"")</f>
        <v/>
      </c>
      <c r="BL344" s="179" t="str">
        <f t="array" ref="BL344">IF($F344&lt;&gt;"", XLOOKUP($F344,Productos!$A$2:$A1001,Productos!BE$2:BE1001,"")*$G344,"")</f>
        <v/>
      </c>
      <c r="BM344" s="179" t="str">
        <f t="array" ref="BM344">IF($F344&lt;&gt;"",XLOOKUP($F344,Productos!$A:$A,Productos!BF:BF,"Revisar"),"")</f>
        <v/>
      </c>
      <c r="BN344" s="179" t="str">
        <f t="array" ref="BN344">IF($F344&lt;&gt;"", XLOOKUP($F344,Productos!$A$2:$A1001,Productos!BG$2:BG1001,"")*$G344,"")</f>
        <v/>
      </c>
      <c r="BO344" s="179" t="str">
        <f t="array" ref="BO344">IF($F344&lt;&gt;"",XLOOKUP($F344,Productos!$A:$A,Productos!BH:BH,"Revisar"),"")</f>
        <v/>
      </c>
      <c r="BP344" s="179" t="str">
        <f t="array" ref="BP344">IF($F344&lt;&gt;"", XLOOKUP($F344,Productos!$A$2:$A1001,Productos!BI$2:BI1001,"")*$G344,"")</f>
        <v/>
      </c>
      <c r="BQ344" s="179" t="str">
        <f t="array" ref="BQ344">IF($F344&lt;&gt;"",XLOOKUP($F344,Productos!$A:$A,Productos!BJ:BJ,"Revisar"),"")</f>
        <v/>
      </c>
      <c r="BR344" s="179" t="str">
        <f t="array" ref="BR344">IF($F344&lt;&gt;"", XLOOKUP($F344,Productos!$A$2:$A1001,Productos!BK$2:BK1001,"")*$G344,"")</f>
        <v/>
      </c>
      <c r="BS344" s="179" t="str">
        <f t="array" ref="BS344">IF($F344&lt;&gt;"",XLOOKUP($F344,Productos!$A:$A,Productos!BL:BL,"Revisar"),"")</f>
        <v/>
      </c>
      <c r="BT344" s="179" t="str">
        <f t="array" ref="BT344">IF($F344&lt;&gt;"", XLOOKUP($F344,Productos!$A$2:$A1001,Productos!BM$2:BM1001,"")*$G344,"")</f>
        <v/>
      </c>
      <c r="BU344" s="179" t="str">
        <f t="array" ref="BU344">IF($F344&lt;&gt;"",XLOOKUP($F344,Productos!$A:$A,Productos!BN:BN,"Revisar"),"")</f>
        <v/>
      </c>
      <c r="BV344" s="179" t="str">
        <f t="array" ref="BV344">IF($F344&lt;&gt;"", XLOOKUP($F344,Productos!$A$2:$A1001,Productos!BO$2:BO1001,"")*$G344,"")</f>
        <v/>
      </c>
      <c r="BW344" s="179" t="str">
        <f t="array" ref="BW344">IF($F344&lt;&gt;"",XLOOKUP($F344,Productos!$A:$A,Productos!BP:BP,"Revisar"),"")</f>
        <v/>
      </c>
      <c r="BX344" s="179" t="str">
        <f t="array" ref="BX344">IF($F344&lt;&gt;"", XLOOKUP($F344,Productos!$A$2:$A1001,Productos!BQ$2:BQ1001,"")*$G344,"")</f>
        <v/>
      </c>
      <c r="BY344" s="179" t="str">
        <f t="array" ref="BY344">IF($F344&lt;&gt;"",XLOOKUP($F344,Productos!$A:$A,Productos!BR:BR,"Revisar"),"")</f>
        <v/>
      </c>
      <c r="BZ344" s="179" t="str">
        <f t="array" ref="BZ344">IF($F344&lt;&gt;"", XLOOKUP($F344,Productos!$A$2:$A1001,Productos!BS$2:BS1001,"")*$G344,"")</f>
        <v/>
      </c>
    </row>
    <row r="345">
      <c r="A345" s="188"/>
      <c r="B345" s="189"/>
      <c r="C345" s="190"/>
      <c r="D345" s="190"/>
      <c r="E345" s="191"/>
      <c r="F345" s="186"/>
      <c r="G345" s="192"/>
      <c r="H345" s="9"/>
      <c r="I345" s="179" t="str">
        <f t="array" ref="I345">IF($F345&lt;&gt;"",XLOOKUP($F345,Productos!$A:$A,Productos!B:B,"Revisar"),"")</f>
        <v/>
      </c>
      <c r="J345" s="179" t="str">
        <f t="array" ref="J345">IF($F345&lt;&gt;"", XLOOKUP($F345,Productos!$A$2:$A1001,Productos!C$2:C1001,"")*$G345,"")</f>
        <v/>
      </c>
      <c r="K345" s="179" t="str">
        <f t="array" ref="K345">IF($F345&lt;&gt;"",XLOOKUP($F345,Productos!$A:$A,Productos!D:D,"Revisar"),"")</f>
        <v/>
      </c>
      <c r="L345" s="179" t="str">
        <f t="array" ref="L345">IF($F345&lt;&gt;"", XLOOKUP($F345,Productos!$A$2:$A1001,Productos!E$2:E1001,"")*$G345,"")</f>
        <v/>
      </c>
      <c r="M345" s="179" t="str">
        <f t="array" ref="M345">IF($F345&lt;&gt;"",XLOOKUP($F345,Productos!$A:$A,Productos!F:F,"Revisar"),"")</f>
        <v/>
      </c>
      <c r="N345" s="179" t="str">
        <f t="array" ref="N345">IF($F345&lt;&gt;"", XLOOKUP($F345,Productos!$A$2:$A1001,Productos!G$2:G1001,"")*$G345,"")</f>
        <v/>
      </c>
      <c r="O345" s="179" t="str">
        <f t="array" ref="O345">IF($F345&lt;&gt;"",XLOOKUP($F345,Productos!$A:$A,Productos!H:H,"Revisar"),"")</f>
        <v/>
      </c>
      <c r="P345" s="179" t="str">
        <f t="array" ref="P345">IF($F345&lt;&gt;"", XLOOKUP($F345,Productos!$A$2:$A1001,Productos!I$2:I1001,"")*$G345,"")</f>
        <v/>
      </c>
      <c r="Q345" s="179" t="str">
        <f t="array" ref="Q345">IF($F345&lt;&gt;"",XLOOKUP($F345,Productos!$A:$A,Productos!J:J,"Revisar"),"")</f>
        <v/>
      </c>
      <c r="R345" s="179" t="str">
        <f t="array" ref="R345">IF($F345&lt;&gt;"", XLOOKUP($F345,Productos!$A$2:$A1001,Productos!K$2:K1001,"")*$G345,"")</f>
        <v/>
      </c>
      <c r="S345" s="179" t="str">
        <f t="array" ref="S345">IF($F345&lt;&gt;"",XLOOKUP($F345,Productos!$A:$A,Productos!L:L,"Revisar"),"")</f>
        <v/>
      </c>
      <c r="T345" s="179" t="str">
        <f t="array" ref="T345">IF($F345&lt;&gt;"", XLOOKUP($F345,Productos!$A$2:$A1001,Productos!M$2:M1001,"")*$G345,"")</f>
        <v/>
      </c>
      <c r="U345" s="179" t="str">
        <f t="array" ref="U345">IF($F345&lt;&gt;"",XLOOKUP($F345,Productos!$A:$A,Productos!N:N,"Revisar"),"")</f>
        <v/>
      </c>
      <c r="V345" s="179" t="str">
        <f t="array" ref="V345">IF($F345&lt;&gt;"", XLOOKUP($F345,Productos!$A$2:$A1001,Productos!O$2:O1001,"")*$G345,"")</f>
        <v/>
      </c>
      <c r="W345" s="179" t="str">
        <f t="array" ref="W345">IF($F345&lt;&gt;"",XLOOKUP($F345,Productos!$A:$A,Productos!P:P,"Revisar"),"")</f>
        <v/>
      </c>
      <c r="X345" s="179" t="str">
        <f t="array" ref="X345">IF($F345&lt;&gt;"", XLOOKUP($F345,Productos!$A$2:$A1001,Productos!Q$2:Q1001,"")*$G345,"")</f>
        <v/>
      </c>
      <c r="Y345" s="179" t="str">
        <f t="array" ref="Y345">IF($F345&lt;&gt;"",XLOOKUP($F345,Productos!$A:$A,Productos!R:R,"Revisar"),"")</f>
        <v/>
      </c>
      <c r="Z345" s="179" t="str">
        <f t="array" ref="Z345">IF($F345&lt;&gt;"", XLOOKUP($F345,Productos!$A$2:$A1001,Productos!S$2:S1001,"")*$G345,"")</f>
        <v/>
      </c>
      <c r="AA345" s="179" t="str">
        <f t="array" ref="AA345">IF($F345&lt;&gt;"",XLOOKUP($F345,Productos!$A:$A,Productos!T:T,"Revisar"),"")</f>
        <v/>
      </c>
      <c r="AB345" s="179" t="str">
        <f t="array" ref="AB345">IF($F345&lt;&gt;"", XLOOKUP($F345,Productos!$A$2:$A1001,Productos!U$2:U1001,"")*$G345,"")</f>
        <v/>
      </c>
      <c r="AC345" s="179" t="str">
        <f t="array" ref="AC345">IF($F345&lt;&gt;"",XLOOKUP($F345,Productos!$A:$A,Productos!V:V,"Revisar"),"")</f>
        <v/>
      </c>
      <c r="AD345" s="179" t="str">
        <f t="array" ref="AD345">IF($F345&lt;&gt;"", XLOOKUP($F345,Productos!$A$2:$A1001,Productos!W$2:W1001,"")*$G345,"")</f>
        <v/>
      </c>
      <c r="AE345" s="179" t="str">
        <f t="array" ref="AE345">IF($F345&lt;&gt;"",XLOOKUP($F345,Productos!$A:$A,Productos!X:X,"Revisar"),"")</f>
        <v/>
      </c>
      <c r="AF345" s="179" t="str">
        <f t="array" ref="AF345">IF($F345&lt;&gt;"", XLOOKUP($F345,Productos!$A$2:$A1001,Productos!Y$2:Y1001,"")*$G345,"")</f>
        <v/>
      </c>
      <c r="AG345" s="179" t="str">
        <f t="array" ref="AG345">IF($F345&lt;&gt;"",XLOOKUP($F345,Productos!$A:$A,Productos!Z:Z,"Revisar"),"")</f>
        <v/>
      </c>
      <c r="AH345" s="179" t="str">
        <f t="array" ref="AH345">IF($F345&lt;&gt;"", XLOOKUP($F345,Productos!$A$2:$A1001,Productos!AA$2:AA1001,"")*$G345,"")</f>
        <v/>
      </c>
      <c r="AI345" s="179" t="str">
        <f t="array" ref="AI345">IF($F345&lt;&gt;"",XLOOKUP($F345,Productos!$A:$A,Productos!AB:AB,"Revisar"),"")</f>
        <v/>
      </c>
      <c r="AJ345" s="179" t="str">
        <f t="array" ref="AJ345">IF($F345&lt;&gt;"", XLOOKUP($F345,Productos!$A$2:$A1001,Productos!AC$2:AC1001,"")*$G345,"")</f>
        <v/>
      </c>
      <c r="AK345" s="179" t="str">
        <f t="array" ref="AK345">IF($F345&lt;&gt;"",XLOOKUP($F345,Productos!$A:$A,Productos!AD:AD,"Revisar"),"")</f>
        <v/>
      </c>
      <c r="AL345" s="179" t="str">
        <f t="array" ref="AL345">IF($F345&lt;&gt;"", XLOOKUP($F345,Productos!$A$2:$A1001,Productos!AE$2:AE1001,"")*$G345,"")</f>
        <v/>
      </c>
      <c r="AM345" s="179" t="str">
        <f t="array" ref="AM345">IF($F345&lt;&gt;"",XLOOKUP($F345,Productos!$A:$A,Productos!AF:AF,"Revisar"),"")</f>
        <v/>
      </c>
      <c r="AN345" s="179" t="str">
        <f t="array" ref="AN345">IF($F345&lt;&gt;"", XLOOKUP($F345,Productos!$A$2:$A1001,Productos!AG$2:AG1001,"")*$G345,"")</f>
        <v/>
      </c>
      <c r="AO345" s="179" t="str">
        <f t="array" ref="AO345">IF($F345&lt;&gt;"",XLOOKUP($F345,Productos!$A:$A,Productos!AH:AH,"Revisar"),"")</f>
        <v/>
      </c>
      <c r="AP345" s="179" t="str">
        <f t="array" ref="AP345">IF($F345&lt;&gt;"", XLOOKUP($F345,Productos!$A$2:$A1001,Productos!AI$2:AI1001,"")*$G345,"")</f>
        <v/>
      </c>
      <c r="AQ345" s="179" t="str">
        <f t="array" ref="AQ345">IF($F345&lt;&gt;"",XLOOKUP($F345,Productos!$A:$A,Productos!AJ:AJ,"Revisar"),"")</f>
        <v/>
      </c>
      <c r="AR345" s="179" t="str">
        <f t="array" ref="AR345">IF($F345&lt;&gt;"", XLOOKUP($F345,Productos!$A$2:$A1001,Productos!AK$2:AK1001,"")*$G345,"")</f>
        <v/>
      </c>
      <c r="AS345" s="179" t="str">
        <f t="array" ref="AS345">IF($F345&lt;&gt;"",XLOOKUP($F345,Productos!$A:$A,Productos!AL:AL,"Revisar"),"")</f>
        <v/>
      </c>
      <c r="AT345" s="179" t="str">
        <f t="array" ref="AT345">IF($F345&lt;&gt;"", XLOOKUP($F345,Productos!$A$2:$A1001,Productos!AM$2:AM1001,"")*$G345,"")</f>
        <v/>
      </c>
      <c r="AU345" s="179" t="str">
        <f t="array" ref="AU345">IF($F345&lt;&gt;"",XLOOKUP($F345,Productos!$A:$A,Productos!AN:AN,"Revisar"),"")</f>
        <v/>
      </c>
      <c r="AV345" s="179" t="str">
        <f t="array" ref="AV345">IF($F345&lt;&gt;"", XLOOKUP($F345,Productos!$A$2:$A1001,Productos!AO$2:AO1001,"")*$G345,"")</f>
        <v/>
      </c>
      <c r="AW345" s="179" t="str">
        <f t="array" ref="AW345">IF($F345&lt;&gt;"",XLOOKUP($F345,Productos!$A:$A,Productos!AP:AP,"Revisar"),"")</f>
        <v/>
      </c>
      <c r="AX345" s="179" t="str">
        <f t="array" ref="AX345">IF($F345&lt;&gt;"", XLOOKUP($F345,Productos!$A$2:$A1001,Productos!AQ$2:AQ1001,"")*$G345,"")</f>
        <v/>
      </c>
      <c r="AY345" s="179" t="str">
        <f t="array" ref="AY345">IF($F345&lt;&gt;"",XLOOKUP($F345,Productos!$A:$A,Productos!AR:AR,"Revisar"),"")</f>
        <v/>
      </c>
      <c r="AZ345" s="179" t="str">
        <f t="array" ref="AZ345">IF($F345&lt;&gt;"", XLOOKUP($F345,Productos!$A$2:$A1001,Productos!AS$2:AS1001,"")*$G345,"")</f>
        <v/>
      </c>
      <c r="BA345" s="179" t="str">
        <f t="array" ref="BA345">IF($F345&lt;&gt;"",XLOOKUP($F345,Productos!$A:$A,Productos!AT:AT,"Revisar"),"")</f>
        <v/>
      </c>
      <c r="BB345" s="179" t="str">
        <f t="array" ref="BB345">IF($F345&lt;&gt;"", XLOOKUP($F345,Productos!$A$2:$A1001,Productos!AU$2:AU1001,"")*$G345,"")</f>
        <v/>
      </c>
      <c r="BC345" s="179" t="str">
        <f t="array" ref="BC345">IF($F345&lt;&gt;"",XLOOKUP($F345,Productos!$A:$A,Productos!AV:AV,"Revisar"),"")</f>
        <v/>
      </c>
      <c r="BD345" s="179" t="str">
        <f t="array" ref="BD345">IF($F345&lt;&gt;"", XLOOKUP($F345,Productos!$A$2:$A1001,Productos!AW$2:AW1001,"")*$G345,"")</f>
        <v/>
      </c>
      <c r="BE345" s="179" t="str">
        <f t="array" ref="BE345">IF($F345&lt;&gt;"",XLOOKUP($F345,Productos!$A:$A,Productos!AX:AX,"Revisar"),"")</f>
        <v/>
      </c>
      <c r="BF345" s="179" t="str">
        <f t="array" ref="BF345">IF($F345&lt;&gt;"", XLOOKUP($F345,Productos!$A$2:$A1001,Productos!AY$2:AY1001,"")*$G345,"")</f>
        <v/>
      </c>
      <c r="BG345" s="179" t="str">
        <f t="array" ref="BG345">IF($F345&lt;&gt;"",XLOOKUP($F345,Productos!$A:$A,Productos!AZ:AZ,"Revisar"),"")</f>
        <v/>
      </c>
      <c r="BH345" s="179" t="str">
        <f t="array" ref="BH345">IF($F345&lt;&gt;"", XLOOKUP($F345,Productos!$A$2:$A1001,Productos!BA$2:BA1001,"")*$G345,"")</f>
        <v/>
      </c>
      <c r="BI345" s="179" t="str">
        <f t="array" ref="BI345">IF($F345&lt;&gt;"",XLOOKUP($F345,Productos!$A:$A,Productos!BB:BB,"Revisar"),"")</f>
        <v/>
      </c>
      <c r="BJ345" s="179" t="str">
        <f t="array" ref="BJ345">IF($F345&lt;&gt;"", XLOOKUP($F345,Productos!$A$2:$A1001,Productos!BC$2:BC1001,"")*$G345,"")</f>
        <v/>
      </c>
      <c r="BK345" s="179" t="str">
        <f t="array" ref="BK345">IF($F345&lt;&gt;"",XLOOKUP($F345,Productos!$A:$A,Productos!BD:BD,"Revisar"),"")</f>
        <v/>
      </c>
      <c r="BL345" s="179" t="str">
        <f t="array" ref="BL345">IF($F345&lt;&gt;"", XLOOKUP($F345,Productos!$A$2:$A1001,Productos!BE$2:BE1001,"")*$G345,"")</f>
        <v/>
      </c>
      <c r="BM345" s="179" t="str">
        <f t="array" ref="BM345">IF($F345&lt;&gt;"",XLOOKUP($F345,Productos!$A:$A,Productos!BF:BF,"Revisar"),"")</f>
        <v/>
      </c>
      <c r="BN345" s="179" t="str">
        <f t="array" ref="BN345">IF($F345&lt;&gt;"", XLOOKUP($F345,Productos!$A$2:$A1001,Productos!BG$2:BG1001,"")*$G345,"")</f>
        <v/>
      </c>
      <c r="BO345" s="179" t="str">
        <f t="array" ref="BO345">IF($F345&lt;&gt;"",XLOOKUP($F345,Productos!$A:$A,Productos!BH:BH,"Revisar"),"")</f>
        <v/>
      </c>
      <c r="BP345" s="179" t="str">
        <f t="array" ref="BP345">IF($F345&lt;&gt;"", XLOOKUP($F345,Productos!$A$2:$A1001,Productos!BI$2:BI1001,"")*$G345,"")</f>
        <v/>
      </c>
      <c r="BQ345" s="179" t="str">
        <f t="array" ref="BQ345">IF($F345&lt;&gt;"",XLOOKUP($F345,Productos!$A:$A,Productos!BJ:BJ,"Revisar"),"")</f>
        <v/>
      </c>
      <c r="BR345" s="179" t="str">
        <f t="array" ref="BR345">IF($F345&lt;&gt;"", XLOOKUP($F345,Productos!$A$2:$A1001,Productos!BK$2:BK1001,"")*$G345,"")</f>
        <v/>
      </c>
      <c r="BS345" s="179" t="str">
        <f t="array" ref="BS345">IF($F345&lt;&gt;"",XLOOKUP($F345,Productos!$A:$A,Productos!BL:BL,"Revisar"),"")</f>
        <v/>
      </c>
      <c r="BT345" s="179" t="str">
        <f t="array" ref="BT345">IF($F345&lt;&gt;"", XLOOKUP($F345,Productos!$A$2:$A1001,Productos!BM$2:BM1001,"")*$G345,"")</f>
        <v/>
      </c>
      <c r="BU345" s="179" t="str">
        <f t="array" ref="BU345">IF($F345&lt;&gt;"",XLOOKUP($F345,Productos!$A:$A,Productos!BN:BN,"Revisar"),"")</f>
        <v/>
      </c>
      <c r="BV345" s="179" t="str">
        <f t="array" ref="BV345">IF($F345&lt;&gt;"", XLOOKUP($F345,Productos!$A$2:$A1001,Productos!BO$2:BO1001,"")*$G345,"")</f>
        <v/>
      </c>
      <c r="BW345" s="179" t="str">
        <f t="array" ref="BW345">IF($F345&lt;&gt;"",XLOOKUP($F345,Productos!$A:$A,Productos!BP:BP,"Revisar"),"")</f>
        <v/>
      </c>
      <c r="BX345" s="179" t="str">
        <f t="array" ref="BX345">IF($F345&lt;&gt;"", XLOOKUP($F345,Productos!$A$2:$A1001,Productos!BQ$2:BQ1001,"")*$G345,"")</f>
        <v/>
      </c>
      <c r="BY345" s="179" t="str">
        <f t="array" ref="BY345">IF($F345&lt;&gt;"",XLOOKUP($F345,Productos!$A:$A,Productos!BR:BR,"Revisar"),"")</f>
        <v/>
      </c>
      <c r="BZ345" s="179" t="str">
        <f t="array" ref="BZ345">IF($F345&lt;&gt;"", XLOOKUP($F345,Productos!$A$2:$A1001,Productos!BS$2:BS1001,"")*$G345,"")</f>
        <v/>
      </c>
    </row>
    <row r="346">
      <c r="A346" s="188"/>
      <c r="B346" s="189"/>
      <c r="C346" s="190"/>
      <c r="D346" s="190"/>
      <c r="E346" s="191"/>
      <c r="F346" s="186"/>
      <c r="G346" s="192"/>
      <c r="H346" s="9"/>
      <c r="I346" s="179" t="str">
        <f t="array" ref="I346">IF($F346&lt;&gt;"",XLOOKUP($F346,Productos!$A:$A,Productos!B:B,"Revisar"),"")</f>
        <v/>
      </c>
      <c r="J346" s="179" t="str">
        <f t="array" ref="J346">IF($F346&lt;&gt;"", XLOOKUP($F346,Productos!$A$2:$A1001,Productos!C$2:C1001,"")*$G346,"")</f>
        <v/>
      </c>
      <c r="K346" s="179" t="str">
        <f t="array" ref="K346">IF($F346&lt;&gt;"",XLOOKUP($F346,Productos!$A:$A,Productos!D:D,"Revisar"),"")</f>
        <v/>
      </c>
      <c r="L346" s="179" t="str">
        <f t="array" ref="L346">IF($F346&lt;&gt;"", XLOOKUP($F346,Productos!$A$2:$A1001,Productos!E$2:E1001,"")*$G346,"")</f>
        <v/>
      </c>
      <c r="M346" s="179" t="str">
        <f t="array" ref="M346">IF($F346&lt;&gt;"",XLOOKUP($F346,Productos!$A:$A,Productos!F:F,"Revisar"),"")</f>
        <v/>
      </c>
      <c r="N346" s="179" t="str">
        <f t="array" ref="N346">IF($F346&lt;&gt;"", XLOOKUP($F346,Productos!$A$2:$A1001,Productos!G$2:G1001,"")*$G346,"")</f>
        <v/>
      </c>
      <c r="O346" s="179" t="str">
        <f t="array" ref="O346">IF($F346&lt;&gt;"",XLOOKUP($F346,Productos!$A:$A,Productos!H:H,"Revisar"),"")</f>
        <v/>
      </c>
      <c r="P346" s="179" t="str">
        <f t="array" ref="P346">IF($F346&lt;&gt;"", XLOOKUP($F346,Productos!$A$2:$A1001,Productos!I$2:I1001,"")*$G346,"")</f>
        <v/>
      </c>
      <c r="Q346" s="179" t="str">
        <f t="array" ref="Q346">IF($F346&lt;&gt;"",XLOOKUP($F346,Productos!$A:$A,Productos!J:J,"Revisar"),"")</f>
        <v/>
      </c>
      <c r="R346" s="179" t="str">
        <f t="array" ref="R346">IF($F346&lt;&gt;"", XLOOKUP($F346,Productos!$A$2:$A1001,Productos!K$2:K1001,"")*$G346,"")</f>
        <v/>
      </c>
      <c r="S346" s="179" t="str">
        <f t="array" ref="S346">IF($F346&lt;&gt;"",XLOOKUP($F346,Productos!$A:$A,Productos!L:L,"Revisar"),"")</f>
        <v/>
      </c>
      <c r="T346" s="179" t="str">
        <f t="array" ref="T346">IF($F346&lt;&gt;"", XLOOKUP($F346,Productos!$A$2:$A1001,Productos!M$2:M1001,"")*$G346,"")</f>
        <v/>
      </c>
      <c r="U346" s="179" t="str">
        <f t="array" ref="U346">IF($F346&lt;&gt;"",XLOOKUP($F346,Productos!$A:$A,Productos!N:N,"Revisar"),"")</f>
        <v/>
      </c>
      <c r="V346" s="179" t="str">
        <f t="array" ref="V346">IF($F346&lt;&gt;"", XLOOKUP($F346,Productos!$A$2:$A1001,Productos!O$2:O1001,"")*$G346,"")</f>
        <v/>
      </c>
      <c r="W346" s="179" t="str">
        <f t="array" ref="W346">IF($F346&lt;&gt;"",XLOOKUP($F346,Productos!$A:$A,Productos!P:P,"Revisar"),"")</f>
        <v/>
      </c>
      <c r="X346" s="179" t="str">
        <f t="array" ref="X346">IF($F346&lt;&gt;"", XLOOKUP($F346,Productos!$A$2:$A1001,Productos!Q$2:Q1001,"")*$G346,"")</f>
        <v/>
      </c>
      <c r="Y346" s="179" t="str">
        <f t="array" ref="Y346">IF($F346&lt;&gt;"",XLOOKUP($F346,Productos!$A:$A,Productos!R:R,"Revisar"),"")</f>
        <v/>
      </c>
      <c r="Z346" s="179" t="str">
        <f t="array" ref="Z346">IF($F346&lt;&gt;"", XLOOKUP($F346,Productos!$A$2:$A1001,Productos!S$2:S1001,"")*$G346,"")</f>
        <v/>
      </c>
      <c r="AA346" s="179" t="str">
        <f t="array" ref="AA346">IF($F346&lt;&gt;"",XLOOKUP($F346,Productos!$A:$A,Productos!T:T,"Revisar"),"")</f>
        <v/>
      </c>
      <c r="AB346" s="179" t="str">
        <f t="array" ref="AB346">IF($F346&lt;&gt;"", XLOOKUP($F346,Productos!$A$2:$A1001,Productos!U$2:U1001,"")*$G346,"")</f>
        <v/>
      </c>
      <c r="AC346" s="179" t="str">
        <f t="array" ref="AC346">IF($F346&lt;&gt;"",XLOOKUP($F346,Productos!$A:$A,Productos!V:V,"Revisar"),"")</f>
        <v/>
      </c>
      <c r="AD346" s="179" t="str">
        <f t="array" ref="AD346">IF($F346&lt;&gt;"", XLOOKUP($F346,Productos!$A$2:$A1001,Productos!W$2:W1001,"")*$G346,"")</f>
        <v/>
      </c>
      <c r="AE346" s="179" t="str">
        <f t="array" ref="AE346">IF($F346&lt;&gt;"",XLOOKUP($F346,Productos!$A:$A,Productos!X:X,"Revisar"),"")</f>
        <v/>
      </c>
      <c r="AF346" s="179" t="str">
        <f t="array" ref="AF346">IF($F346&lt;&gt;"", XLOOKUP($F346,Productos!$A$2:$A1001,Productos!Y$2:Y1001,"")*$G346,"")</f>
        <v/>
      </c>
      <c r="AG346" s="179" t="str">
        <f t="array" ref="AG346">IF($F346&lt;&gt;"",XLOOKUP($F346,Productos!$A:$A,Productos!Z:Z,"Revisar"),"")</f>
        <v/>
      </c>
      <c r="AH346" s="179" t="str">
        <f t="array" ref="AH346">IF($F346&lt;&gt;"", XLOOKUP($F346,Productos!$A$2:$A1001,Productos!AA$2:AA1001,"")*$G346,"")</f>
        <v/>
      </c>
      <c r="AI346" s="179" t="str">
        <f t="array" ref="AI346">IF($F346&lt;&gt;"",XLOOKUP($F346,Productos!$A:$A,Productos!AB:AB,"Revisar"),"")</f>
        <v/>
      </c>
      <c r="AJ346" s="179" t="str">
        <f t="array" ref="AJ346">IF($F346&lt;&gt;"", XLOOKUP($F346,Productos!$A$2:$A1001,Productos!AC$2:AC1001,"")*$G346,"")</f>
        <v/>
      </c>
      <c r="AK346" s="179" t="str">
        <f t="array" ref="AK346">IF($F346&lt;&gt;"",XLOOKUP($F346,Productos!$A:$A,Productos!AD:AD,"Revisar"),"")</f>
        <v/>
      </c>
      <c r="AL346" s="179" t="str">
        <f t="array" ref="AL346">IF($F346&lt;&gt;"", XLOOKUP($F346,Productos!$A$2:$A1001,Productos!AE$2:AE1001,"")*$G346,"")</f>
        <v/>
      </c>
      <c r="AM346" s="179" t="str">
        <f t="array" ref="AM346">IF($F346&lt;&gt;"",XLOOKUP($F346,Productos!$A:$A,Productos!AF:AF,"Revisar"),"")</f>
        <v/>
      </c>
      <c r="AN346" s="179" t="str">
        <f t="array" ref="AN346">IF($F346&lt;&gt;"", XLOOKUP($F346,Productos!$A$2:$A1001,Productos!AG$2:AG1001,"")*$G346,"")</f>
        <v/>
      </c>
      <c r="AO346" s="179" t="str">
        <f t="array" ref="AO346">IF($F346&lt;&gt;"",XLOOKUP($F346,Productos!$A:$A,Productos!AH:AH,"Revisar"),"")</f>
        <v/>
      </c>
      <c r="AP346" s="179" t="str">
        <f t="array" ref="AP346">IF($F346&lt;&gt;"", XLOOKUP($F346,Productos!$A$2:$A1001,Productos!AI$2:AI1001,"")*$G346,"")</f>
        <v/>
      </c>
      <c r="AQ346" s="179" t="str">
        <f t="array" ref="AQ346">IF($F346&lt;&gt;"",XLOOKUP($F346,Productos!$A:$A,Productos!AJ:AJ,"Revisar"),"")</f>
        <v/>
      </c>
      <c r="AR346" s="179" t="str">
        <f t="array" ref="AR346">IF($F346&lt;&gt;"", XLOOKUP($F346,Productos!$A$2:$A1001,Productos!AK$2:AK1001,"")*$G346,"")</f>
        <v/>
      </c>
      <c r="AS346" s="179" t="str">
        <f t="array" ref="AS346">IF($F346&lt;&gt;"",XLOOKUP($F346,Productos!$A:$A,Productos!AL:AL,"Revisar"),"")</f>
        <v/>
      </c>
      <c r="AT346" s="179" t="str">
        <f t="array" ref="AT346">IF($F346&lt;&gt;"", XLOOKUP($F346,Productos!$A$2:$A1001,Productos!AM$2:AM1001,"")*$G346,"")</f>
        <v/>
      </c>
      <c r="AU346" s="179" t="str">
        <f t="array" ref="AU346">IF($F346&lt;&gt;"",XLOOKUP($F346,Productos!$A:$A,Productos!AN:AN,"Revisar"),"")</f>
        <v/>
      </c>
      <c r="AV346" s="179" t="str">
        <f t="array" ref="AV346">IF($F346&lt;&gt;"", XLOOKUP($F346,Productos!$A$2:$A1001,Productos!AO$2:AO1001,"")*$G346,"")</f>
        <v/>
      </c>
      <c r="AW346" s="179" t="str">
        <f t="array" ref="AW346">IF($F346&lt;&gt;"",XLOOKUP($F346,Productos!$A:$A,Productos!AP:AP,"Revisar"),"")</f>
        <v/>
      </c>
      <c r="AX346" s="179" t="str">
        <f t="array" ref="AX346">IF($F346&lt;&gt;"", XLOOKUP($F346,Productos!$A$2:$A1001,Productos!AQ$2:AQ1001,"")*$G346,"")</f>
        <v/>
      </c>
      <c r="AY346" s="179" t="str">
        <f t="array" ref="AY346">IF($F346&lt;&gt;"",XLOOKUP($F346,Productos!$A:$A,Productos!AR:AR,"Revisar"),"")</f>
        <v/>
      </c>
      <c r="AZ346" s="179" t="str">
        <f t="array" ref="AZ346">IF($F346&lt;&gt;"", XLOOKUP($F346,Productos!$A$2:$A1001,Productos!AS$2:AS1001,"")*$G346,"")</f>
        <v/>
      </c>
      <c r="BA346" s="179" t="str">
        <f t="array" ref="BA346">IF($F346&lt;&gt;"",XLOOKUP($F346,Productos!$A:$A,Productos!AT:AT,"Revisar"),"")</f>
        <v/>
      </c>
      <c r="BB346" s="179" t="str">
        <f t="array" ref="BB346">IF($F346&lt;&gt;"", XLOOKUP($F346,Productos!$A$2:$A1001,Productos!AU$2:AU1001,"")*$G346,"")</f>
        <v/>
      </c>
      <c r="BC346" s="179" t="str">
        <f t="array" ref="BC346">IF($F346&lt;&gt;"",XLOOKUP($F346,Productos!$A:$A,Productos!AV:AV,"Revisar"),"")</f>
        <v/>
      </c>
      <c r="BD346" s="179" t="str">
        <f t="array" ref="BD346">IF($F346&lt;&gt;"", XLOOKUP($F346,Productos!$A$2:$A1001,Productos!AW$2:AW1001,"")*$G346,"")</f>
        <v/>
      </c>
      <c r="BE346" s="179" t="str">
        <f t="array" ref="BE346">IF($F346&lt;&gt;"",XLOOKUP($F346,Productos!$A:$A,Productos!AX:AX,"Revisar"),"")</f>
        <v/>
      </c>
      <c r="BF346" s="179" t="str">
        <f t="array" ref="BF346">IF($F346&lt;&gt;"", XLOOKUP($F346,Productos!$A$2:$A1001,Productos!AY$2:AY1001,"")*$G346,"")</f>
        <v/>
      </c>
      <c r="BG346" s="179" t="str">
        <f t="array" ref="BG346">IF($F346&lt;&gt;"",XLOOKUP($F346,Productos!$A:$A,Productos!AZ:AZ,"Revisar"),"")</f>
        <v/>
      </c>
      <c r="BH346" s="179" t="str">
        <f t="array" ref="BH346">IF($F346&lt;&gt;"", XLOOKUP($F346,Productos!$A$2:$A1001,Productos!BA$2:BA1001,"")*$G346,"")</f>
        <v/>
      </c>
      <c r="BI346" s="179" t="str">
        <f t="array" ref="BI346">IF($F346&lt;&gt;"",XLOOKUP($F346,Productos!$A:$A,Productos!BB:BB,"Revisar"),"")</f>
        <v/>
      </c>
      <c r="BJ346" s="179" t="str">
        <f t="array" ref="BJ346">IF($F346&lt;&gt;"", XLOOKUP($F346,Productos!$A$2:$A1001,Productos!BC$2:BC1001,"")*$G346,"")</f>
        <v/>
      </c>
      <c r="BK346" s="179" t="str">
        <f t="array" ref="BK346">IF($F346&lt;&gt;"",XLOOKUP($F346,Productos!$A:$A,Productos!BD:BD,"Revisar"),"")</f>
        <v/>
      </c>
      <c r="BL346" s="179" t="str">
        <f t="array" ref="BL346">IF($F346&lt;&gt;"", XLOOKUP($F346,Productos!$A$2:$A1001,Productos!BE$2:BE1001,"")*$G346,"")</f>
        <v/>
      </c>
      <c r="BM346" s="179" t="str">
        <f t="array" ref="BM346">IF($F346&lt;&gt;"",XLOOKUP($F346,Productos!$A:$A,Productos!BF:BF,"Revisar"),"")</f>
        <v/>
      </c>
      <c r="BN346" s="179" t="str">
        <f t="array" ref="BN346">IF($F346&lt;&gt;"", XLOOKUP($F346,Productos!$A$2:$A1001,Productos!BG$2:BG1001,"")*$G346,"")</f>
        <v/>
      </c>
      <c r="BO346" s="179" t="str">
        <f t="array" ref="BO346">IF($F346&lt;&gt;"",XLOOKUP($F346,Productos!$A:$A,Productos!BH:BH,"Revisar"),"")</f>
        <v/>
      </c>
      <c r="BP346" s="179" t="str">
        <f t="array" ref="BP346">IF($F346&lt;&gt;"", XLOOKUP($F346,Productos!$A$2:$A1001,Productos!BI$2:BI1001,"")*$G346,"")</f>
        <v/>
      </c>
      <c r="BQ346" s="179" t="str">
        <f t="array" ref="BQ346">IF($F346&lt;&gt;"",XLOOKUP($F346,Productos!$A:$A,Productos!BJ:BJ,"Revisar"),"")</f>
        <v/>
      </c>
      <c r="BR346" s="179" t="str">
        <f t="array" ref="BR346">IF($F346&lt;&gt;"", XLOOKUP($F346,Productos!$A$2:$A1001,Productos!BK$2:BK1001,"")*$G346,"")</f>
        <v/>
      </c>
      <c r="BS346" s="179" t="str">
        <f t="array" ref="BS346">IF($F346&lt;&gt;"",XLOOKUP($F346,Productos!$A:$A,Productos!BL:BL,"Revisar"),"")</f>
        <v/>
      </c>
      <c r="BT346" s="179" t="str">
        <f t="array" ref="BT346">IF($F346&lt;&gt;"", XLOOKUP($F346,Productos!$A$2:$A1001,Productos!BM$2:BM1001,"")*$G346,"")</f>
        <v/>
      </c>
      <c r="BU346" s="179" t="str">
        <f t="array" ref="BU346">IF($F346&lt;&gt;"",XLOOKUP($F346,Productos!$A:$A,Productos!BN:BN,"Revisar"),"")</f>
        <v/>
      </c>
      <c r="BV346" s="179" t="str">
        <f t="array" ref="BV346">IF($F346&lt;&gt;"", XLOOKUP($F346,Productos!$A$2:$A1001,Productos!BO$2:BO1001,"")*$G346,"")</f>
        <v/>
      </c>
      <c r="BW346" s="179" t="str">
        <f t="array" ref="BW346">IF($F346&lt;&gt;"",XLOOKUP($F346,Productos!$A:$A,Productos!BP:BP,"Revisar"),"")</f>
        <v/>
      </c>
      <c r="BX346" s="179" t="str">
        <f t="array" ref="BX346">IF($F346&lt;&gt;"", XLOOKUP($F346,Productos!$A$2:$A1001,Productos!BQ$2:BQ1001,"")*$G346,"")</f>
        <v/>
      </c>
      <c r="BY346" s="179" t="str">
        <f t="array" ref="BY346">IF($F346&lt;&gt;"",XLOOKUP($F346,Productos!$A:$A,Productos!BR:BR,"Revisar"),"")</f>
        <v/>
      </c>
      <c r="BZ346" s="179" t="str">
        <f t="array" ref="BZ346">IF($F346&lt;&gt;"", XLOOKUP($F346,Productos!$A$2:$A1001,Productos!BS$2:BS1001,"")*$G346,"")</f>
        <v/>
      </c>
    </row>
    <row r="347">
      <c r="A347" s="188"/>
      <c r="B347" s="189"/>
      <c r="C347" s="190"/>
      <c r="D347" s="190"/>
      <c r="E347" s="191"/>
      <c r="F347" s="186"/>
      <c r="G347" s="192"/>
      <c r="H347" s="9"/>
      <c r="I347" s="179" t="str">
        <f t="array" ref="I347">IF($F347&lt;&gt;"",XLOOKUP($F347,Productos!$A:$A,Productos!B:B,"Revisar"),"")</f>
        <v/>
      </c>
      <c r="J347" s="179" t="str">
        <f t="array" ref="J347">IF($F347&lt;&gt;"", XLOOKUP($F347,Productos!$A$2:$A1001,Productos!C$2:C1001,"")*$G347,"")</f>
        <v/>
      </c>
      <c r="K347" s="179" t="str">
        <f t="array" ref="K347">IF($F347&lt;&gt;"",XLOOKUP($F347,Productos!$A:$A,Productos!D:D,"Revisar"),"")</f>
        <v/>
      </c>
      <c r="L347" s="179" t="str">
        <f t="array" ref="L347">IF($F347&lt;&gt;"", XLOOKUP($F347,Productos!$A$2:$A1001,Productos!E$2:E1001,"")*$G347,"")</f>
        <v/>
      </c>
      <c r="M347" s="179" t="str">
        <f t="array" ref="M347">IF($F347&lt;&gt;"",XLOOKUP($F347,Productos!$A:$A,Productos!F:F,"Revisar"),"")</f>
        <v/>
      </c>
      <c r="N347" s="179" t="str">
        <f t="array" ref="N347">IF($F347&lt;&gt;"", XLOOKUP($F347,Productos!$A$2:$A1001,Productos!G$2:G1001,"")*$G347,"")</f>
        <v/>
      </c>
      <c r="O347" s="179" t="str">
        <f t="array" ref="O347">IF($F347&lt;&gt;"",XLOOKUP($F347,Productos!$A:$A,Productos!H:H,"Revisar"),"")</f>
        <v/>
      </c>
      <c r="P347" s="179" t="str">
        <f t="array" ref="P347">IF($F347&lt;&gt;"", XLOOKUP($F347,Productos!$A$2:$A1001,Productos!I$2:I1001,"")*$G347,"")</f>
        <v/>
      </c>
      <c r="Q347" s="179" t="str">
        <f t="array" ref="Q347">IF($F347&lt;&gt;"",XLOOKUP($F347,Productos!$A:$A,Productos!J:J,"Revisar"),"")</f>
        <v/>
      </c>
      <c r="R347" s="179" t="str">
        <f t="array" ref="R347">IF($F347&lt;&gt;"", XLOOKUP($F347,Productos!$A$2:$A1001,Productos!K$2:K1001,"")*$G347,"")</f>
        <v/>
      </c>
      <c r="S347" s="179" t="str">
        <f t="array" ref="S347">IF($F347&lt;&gt;"",XLOOKUP($F347,Productos!$A:$A,Productos!L:L,"Revisar"),"")</f>
        <v/>
      </c>
      <c r="T347" s="179" t="str">
        <f t="array" ref="T347">IF($F347&lt;&gt;"", XLOOKUP($F347,Productos!$A$2:$A1001,Productos!M$2:M1001,"")*$G347,"")</f>
        <v/>
      </c>
      <c r="U347" s="179" t="str">
        <f t="array" ref="U347">IF($F347&lt;&gt;"",XLOOKUP($F347,Productos!$A:$A,Productos!N:N,"Revisar"),"")</f>
        <v/>
      </c>
      <c r="V347" s="179" t="str">
        <f t="array" ref="V347">IF($F347&lt;&gt;"", XLOOKUP($F347,Productos!$A$2:$A1001,Productos!O$2:O1001,"")*$G347,"")</f>
        <v/>
      </c>
      <c r="W347" s="179" t="str">
        <f t="array" ref="W347">IF($F347&lt;&gt;"",XLOOKUP($F347,Productos!$A:$A,Productos!P:P,"Revisar"),"")</f>
        <v/>
      </c>
      <c r="X347" s="179" t="str">
        <f t="array" ref="X347">IF($F347&lt;&gt;"", XLOOKUP($F347,Productos!$A$2:$A1001,Productos!Q$2:Q1001,"")*$G347,"")</f>
        <v/>
      </c>
      <c r="Y347" s="179" t="str">
        <f t="array" ref="Y347">IF($F347&lt;&gt;"",XLOOKUP($F347,Productos!$A:$A,Productos!R:R,"Revisar"),"")</f>
        <v/>
      </c>
      <c r="Z347" s="179" t="str">
        <f t="array" ref="Z347">IF($F347&lt;&gt;"", XLOOKUP($F347,Productos!$A$2:$A1001,Productos!S$2:S1001,"")*$G347,"")</f>
        <v/>
      </c>
      <c r="AA347" s="179" t="str">
        <f t="array" ref="AA347">IF($F347&lt;&gt;"",XLOOKUP($F347,Productos!$A:$A,Productos!T:T,"Revisar"),"")</f>
        <v/>
      </c>
      <c r="AB347" s="179" t="str">
        <f t="array" ref="AB347">IF($F347&lt;&gt;"", XLOOKUP($F347,Productos!$A$2:$A1001,Productos!U$2:U1001,"")*$G347,"")</f>
        <v/>
      </c>
      <c r="AC347" s="179" t="str">
        <f t="array" ref="AC347">IF($F347&lt;&gt;"",XLOOKUP($F347,Productos!$A:$A,Productos!V:V,"Revisar"),"")</f>
        <v/>
      </c>
      <c r="AD347" s="179" t="str">
        <f t="array" ref="AD347">IF($F347&lt;&gt;"", XLOOKUP($F347,Productos!$A$2:$A1001,Productos!W$2:W1001,"")*$G347,"")</f>
        <v/>
      </c>
      <c r="AE347" s="179" t="str">
        <f t="array" ref="AE347">IF($F347&lt;&gt;"",XLOOKUP($F347,Productos!$A:$A,Productos!X:X,"Revisar"),"")</f>
        <v/>
      </c>
      <c r="AF347" s="179" t="str">
        <f t="array" ref="AF347">IF($F347&lt;&gt;"", XLOOKUP($F347,Productos!$A$2:$A1001,Productos!Y$2:Y1001,"")*$G347,"")</f>
        <v/>
      </c>
      <c r="AG347" s="179" t="str">
        <f t="array" ref="AG347">IF($F347&lt;&gt;"",XLOOKUP($F347,Productos!$A:$A,Productos!Z:Z,"Revisar"),"")</f>
        <v/>
      </c>
      <c r="AH347" s="179" t="str">
        <f t="array" ref="AH347">IF($F347&lt;&gt;"", XLOOKUP($F347,Productos!$A$2:$A1001,Productos!AA$2:AA1001,"")*$G347,"")</f>
        <v/>
      </c>
      <c r="AI347" s="179" t="str">
        <f t="array" ref="AI347">IF($F347&lt;&gt;"",XLOOKUP($F347,Productos!$A:$A,Productos!AB:AB,"Revisar"),"")</f>
        <v/>
      </c>
      <c r="AJ347" s="179" t="str">
        <f t="array" ref="AJ347">IF($F347&lt;&gt;"", XLOOKUP($F347,Productos!$A$2:$A1001,Productos!AC$2:AC1001,"")*$G347,"")</f>
        <v/>
      </c>
      <c r="AK347" s="179" t="str">
        <f t="array" ref="AK347">IF($F347&lt;&gt;"",XLOOKUP($F347,Productos!$A:$A,Productos!AD:AD,"Revisar"),"")</f>
        <v/>
      </c>
      <c r="AL347" s="179" t="str">
        <f t="array" ref="AL347">IF($F347&lt;&gt;"", XLOOKUP($F347,Productos!$A$2:$A1001,Productos!AE$2:AE1001,"")*$G347,"")</f>
        <v/>
      </c>
      <c r="AM347" s="179" t="str">
        <f t="array" ref="AM347">IF($F347&lt;&gt;"",XLOOKUP($F347,Productos!$A:$A,Productos!AF:AF,"Revisar"),"")</f>
        <v/>
      </c>
      <c r="AN347" s="179" t="str">
        <f t="array" ref="AN347">IF($F347&lt;&gt;"", XLOOKUP($F347,Productos!$A$2:$A1001,Productos!AG$2:AG1001,"")*$G347,"")</f>
        <v/>
      </c>
      <c r="AO347" s="179" t="str">
        <f t="array" ref="AO347">IF($F347&lt;&gt;"",XLOOKUP($F347,Productos!$A:$A,Productos!AH:AH,"Revisar"),"")</f>
        <v/>
      </c>
      <c r="AP347" s="179" t="str">
        <f t="array" ref="AP347">IF($F347&lt;&gt;"", XLOOKUP($F347,Productos!$A$2:$A1001,Productos!AI$2:AI1001,"")*$G347,"")</f>
        <v/>
      </c>
      <c r="AQ347" s="179" t="str">
        <f t="array" ref="AQ347">IF($F347&lt;&gt;"",XLOOKUP($F347,Productos!$A:$A,Productos!AJ:AJ,"Revisar"),"")</f>
        <v/>
      </c>
      <c r="AR347" s="179" t="str">
        <f t="array" ref="AR347">IF($F347&lt;&gt;"", XLOOKUP($F347,Productos!$A$2:$A1001,Productos!AK$2:AK1001,"")*$G347,"")</f>
        <v/>
      </c>
      <c r="AS347" s="179" t="str">
        <f t="array" ref="AS347">IF($F347&lt;&gt;"",XLOOKUP($F347,Productos!$A:$A,Productos!AL:AL,"Revisar"),"")</f>
        <v/>
      </c>
      <c r="AT347" s="179" t="str">
        <f t="array" ref="AT347">IF($F347&lt;&gt;"", XLOOKUP($F347,Productos!$A$2:$A1001,Productos!AM$2:AM1001,"")*$G347,"")</f>
        <v/>
      </c>
      <c r="AU347" s="179" t="str">
        <f t="array" ref="AU347">IF($F347&lt;&gt;"",XLOOKUP($F347,Productos!$A:$A,Productos!AN:AN,"Revisar"),"")</f>
        <v/>
      </c>
      <c r="AV347" s="179" t="str">
        <f t="array" ref="AV347">IF($F347&lt;&gt;"", XLOOKUP($F347,Productos!$A$2:$A1001,Productos!AO$2:AO1001,"")*$G347,"")</f>
        <v/>
      </c>
      <c r="AW347" s="179" t="str">
        <f t="array" ref="AW347">IF($F347&lt;&gt;"",XLOOKUP($F347,Productos!$A:$A,Productos!AP:AP,"Revisar"),"")</f>
        <v/>
      </c>
      <c r="AX347" s="179" t="str">
        <f t="array" ref="AX347">IF($F347&lt;&gt;"", XLOOKUP($F347,Productos!$A$2:$A1001,Productos!AQ$2:AQ1001,"")*$G347,"")</f>
        <v/>
      </c>
      <c r="AY347" s="179" t="str">
        <f t="array" ref="AY347">IF($F347&lt;&gt;"",XLOOKUP($F347,Productos!$A:$A,Productos!AR:AR,"Revisar"),"")</f>
        <v/>
      </c>
      <c r="AZ347" s="179" t="str">
        <f t="array" ref="AZ347">IF($F347&lt;&gt;"", XLOOKUP($F347,Productos!$A$2:$A1001,Productos!AS$2:AS1001,"")*$G347,"")</f>
        <v/>
      </c>
      <c r="BA347" s="179" t="str">
        <f t="array" ref="BA347">IF($F347&lt;&gt;"",XLOOKUP($F347,Productos!$A:$A,Productos!AT:AT,"Revisar"),"")</f>
        <v/>
      </c>
      <c r="BB347" s="179" t="str">
        <f t="array" ref="BB347">IF($F347&lt;&gt;"", XLOOKUP($F347,Productos!$A$2:$A1001,Productos!AU$2:AU1001,"")*$G347,"")</f>
        <v/>
      </c>
      <c r="BC347" s="179" t="str">
        <f t="array" ref="BC347">IF($F347&lt;&gt;"",XLOOKUP($F347,Productos!$A:$A,Productos!AV:AV,"Revisar"),"")</f>
        <v/>
      </c>
      <c r="BD347" s="179" t="str">
        <f t="array" ref="BD347">IF($F347&lt;&gt;"", XLOOKUP($F347,Productos!$A$2:$A1001,Productos!AW$2:AW1001,"")*$G347,"")</f>
        <v/>
      </c>
      <c r="BE347" s="179" t="str">
        <f t="array" ref="BE347">IF($F347&lt;&gt;"",XLOOKUP($F347,Productos!$A:$A,Productos!AX:AX,"Revisar"),"")</f>
        <v/>
      </c>
      <c r="BF347" s="179" t="str">
        <f t="array" ref="BF347">IF($F347&lt;&gt;"", XLOOKUP($F347,Productos!$A$2:$A1001,Productos!AY$2:AY1001,"")*$G347,"")</f>
        <v/>
      </c>
      <c r="BG347" s="179" t="str">
        <f t="array" ref="BG347">IF($F347&lt;&gt;"",XLOOKUP($F347,Productos!$A:$A,Productos!AZ:AZ,"Revisar"),"")</f>
        <v/>
      </c>
      <c r="BH347" s="179" t="str">
        <f t="array" ref="BH347">IF($F347&lt;&gt;"", XLOOKUP($F347,Productos!$A$2:$A1001,Productos!BA$2:BA1001,"")*$G347,"")</f>
        <v/>
      </c>
      <c r="BI347" s="179" t="str">
        <f t="array" ref="BI347">IF($F347&lt;&gt;"",XLOOKUP($F347,Productos!$A:$A,Productos!BB:BB,"Revisar"),"")</f>
        <v/>
      </c>
      <c r="BJ347" s="179" t="str">
        <f t="array" ref="BJ347">IF($F347&lt;&gt;"", XLOOKUP($F347,Productos!$A$2:$A1001,Productos!BC$2:BC1001,"")*$G347,"")</f>
        <v/>
      </c>
      <c r="BK347" s="179" t="str">
        <f t="array" ref="BK347">IF($F347&lt;&gt;"",XLOOKUP($F347,Productos!$A:$A,Productos!BD:BD,"Revisar"),"")</f>
        <v/>
      </c>
      <c r="BL347" s="179" t="str">
        <f t="array" ref="BL347">IF($F347&lt;&gt;"", XLOOKUP($F347,Productos!$A$2:$A1001,Productos!BE$2:BE1001,"")*$G347,"")</f>
        <v/>
      </c>
      <c r="BM347" s="179" t="str">
        <f t="array" ref="BM347">IF($F347&lt;&gt;"",XLOOKUP($F347,Productos!$A:$A,Productos!BF:BF,"Revisar"),"")</f>
        <v/>
      </c>
      <c r="BN347" s="179" t="str">
        <f t="array" ref="BN347">IF($F347&lt;&gt;"", XLOOKUP($F347,Productos!$A$2:$A1001,Productos!BG$2:BG1001,"")*$G347,"")</f>
        <v/>
      </c>
      <c r="BO347" s="179" t="str">
        <f t="array" ref="BO347">IF($F347&lt;&gt;"",XLOOKUP($F347,Productos!$A:$A,Productos!BH:BH,"Revisar"),"")</f>
        <v/>
      </c>
      <c r="BP347" s="179" t="str">
        <f t="array" ref="BP347">IF($F347&lt;&gt;"", XLOOKUP($F347,Productos!$A$2:$A1001,Productos!BI$2:BI1001,"")*$G347,"")</f>
        <v/>
      </c>
      <c r="BQ347" s="179" t="str">
        <f t="array" ref="BQ347">IF($F347&lt;&gt;"",XLOOKUP($F347,Productos!$A:$A,Productos!BJ:BJ,"Revisar"),"")</f>
        <v/>
      </c>
      <c r="BR347" s="179" t="str">
        <f t="array" ref="BR347">IF($F347&lt;&gt;"", XLOOKUP($F347,Productos!$A$2:$A1001,Productos!BK$2:BK1001,"")*$G347,"")</f>
        <v/>
      </c>
      <c r="BS347" s="179" t="str">
        <f t="array" ref="BS347">IF($F347&lt;&gt;"",XLOOKUP($F347,Productos!$A:$A,Productos!BL:BL,"Revisar"),"")</f>
        <v/>
      </c>
      <c r="BT347" s="179" t="str">
        <f t="array" ref="BT347">IF($F347&lt;&gt;"", XLOOKUP($F347,Productos!$A$2:$A1001,Productos!BM$2:BM1001,"")*$G347,"")</f>
        <v/>
      </c>
      <c r="BU347" s="179" t="str">
        <f t="array" ref="BU347">IF($F347&lt;&gt;"",XLOOKUP($F347,Productos!$A:$A,Productos!BN:BN,"Revisar"),"")</f>
        <v/>
      </c>
      <c r="BV347" s="179" t="str">
        <f t="array" ref="BV347">IF($F347&lt;&gt;"", XLOOKUP($F347,Productos!$A$2:$A1001,Productos!BO$2:BO1001,"")*$G347,"")</f>
        <v/>
      </c>
      <c r="BW347" s="179" t="str">
        <f t="array" ref="BW347">IF($F347&lt;&gt;"",XLOOKUP($F347,Productos!$A:$A,Productos!BP:BP,"Revisar"),"")</f>
        <v/>
      </c>
      <c r="BX347" s="179" t="str">
        <f t="array" ref="BX347">IF($F347&lt;&gt;"", XLOOKUP($F347,Productos!$A$2:$A1001,Productos!BQ$2:BQ1001,"")*$G347,"")</f>
        <v/>
      </c>
      <c r="BY347" s="179" t="str">
        <f t="array" ref="BY347">IF($F347&lt;&gt;"",XLOOKUP($F347,Productos!$A:$A,Productos!BR:BR,"Revisar"),"")</f>
        <v/>
      </c>
      <c r="BZ347" s="179" t="str">
        <f t="array" ref="BZ347">IF($F347&lt;&gt;"", XLOOKUP($F347,Productos!$A$2:$A1001,Productos!BS$2:BS1001,"")*$G347,"")</f>
        <v/>
      </c>
    </row>
    <row r="348">
      <c r="A348" s="188"/>
      <c r="B348" s="189"/>
      <c r="C348" s="190"/>
      <c r="D348" s="190"/>
      <c r="E348" s="191"/>
      <c r="F348" s="186"/>
      <c r="G348" s="192"/>
      <c r="H348" s="9"/>
      <c r="I348" s="179" t="str">
        <f t="array" ref="I348">IF($F348&lt;&gt;"",XLOOKUP($F348,Productos!$A:$A,Productos!B:B,"Revisar"),"")</f>
        <v/>
      </c>
      <c r="J348" s="179" t="str">
        <f t="array" ref="J348">IF($F348&lt;&gt;"", XLOOKUP($F348,Productos!$A$2:$A1001,Productos!C$2:C1001,"")*$G348,"")</f>
        <v/>
      </c>
      <c r="K348" s="179" t="str">
        <f t="array" ref="K348">IF($F348&lt;&gt;"",XLOOKUP($F348,Productos!$A:$A,Productos!D:D,"Revisar"),"")</f>
        <v/>
      </c>
      <c r="L348" s="179" t="str">
        <f t="array" ref="L348">IF($F348&lt;&gt;"", XLOOKUP($F348,Productos!$A$2:$A1001,Productos!E$2:E1001,"")*$G348,"")</f>
        <v/>
      </c>
      <c r="M348" s="179" t="str">
        <f t="array" ref="M348">IF($F348&lt;&gt;"",XLOOKUP($F348,Productos!$A:$A,Productos!F:F,"Revisar"),"")</f>
        <v/>
      </c>
      <c r="N348" s="179" t="str">
        <f t="array" ref="N348">IF($F348&lt;&gt;"", XLOOKUP($F348,Productos!$A$2:$A1001,Productos!G$2:G1001,"")*$G348,"")</f>
        <v/>
      </c>
      <c r="O348" s="179" t="str">
        <f t="array" ref="O348">IF($F348&lt;&gt;"",XLOOKUP($F348,Productos!$A:$A,Productos!H:H,"Revisar"),"")</f>
        <v/>
      </c>
      <c r="P348" s="179" t="str">
        <f t="array" ref="P348">IF($F348&lt;&gt;"", XLOOKUP($F348,Productos!$A$2:$A1001,Productos!I$2:I1001,"")*$G348,"")</f>
        <v/>
      </c>
      <c r="Q348" s="179" t="str">
        <f t="array" ref="Q348">IF($F348&lt;&gt;"",XLOOKUP($F348,Productos!$A:$A,Productos!J:J,"Revisar"),"")</f>
        <v/>
      </c>
      <c r="R348" s="179" t="str">
        <f t="array" ref="R348">IF($F348&lt;&gt;"", XLOOKUP($F348,Productos!$A$2:$A1001,Productos!K$2:K1001,"")*$G348,"")</f>
        <v/>
      </c>
      <c r="S348" s="179" t="str">
        <f t="array" ref="S348">IF($F348&lt;&gt;"",XLOOKUP($F348,Productos!$A:$A,Productos!L:L,"Revisar"),"")</f>
        <v/>
      </c>
      <c r="T348" s="179" t="str">
        <f t="array" ref="T348">IF($F348&lt;&gt;"", XLOOKUP($F348,Productos!$A$2:$A1001,Productos!M$2:M1001,"")*$G348,"")</f>
        <v/>
      </c>
      <c r="U348" s="179" t="str">
        <f t="array" ref="U348">IF($F348&lt;&gt;"",XLOOKUP($F348,Productos!$A:$A,Productos!N:N,"Revisar"),"")</f>
        <v/>
      </c>
      <c r="V348" s="179" t="str">
        <f t="array" ref="V348">IF($F348&lt;&gt;"", XLOOKUP($F348,Productos!$A$2:$A1001,Productos!O$2:O1001,"")*$G348,"")</f>
        <v/>
      </c>
      <c r="W348" s="179" t="str">
        <f t="array" ref="W348">IF($F348&lt;&gt;"",XLOOKUP($F348,Productos!$A:$A,Productos!P:P,"Revisar"),"")</f>
        <v/>
      </c>
      <c r="X348" s="179" t="str">
        <f t="array" ref="X348">IF($F348&lt;&gt;"", XLOOKUP($F348,Productos!$A$2:$A1001,Productos!Q$2:Q1001,"")*$G348,"")</f>
        <v/>
      </c>
      <c r="Y348" s="179" t="str">
        <f t="array" ref="Y348">IF($F348&lt;&gt;"",XLOOKUP($F348,Productos!$A:$A,Productos!R:R,"Revisar"),"")</f>
        <v/>
      </c>
      <c r="Z348" s="179" t="str">
        <f t="array" ref="Z348">IF($F348&lt;&gt;"", XLOOKUP($F348,Productos!$A$2:$A1001,Productos!S$2:S1001,"")*$G348,"")</f>
        <v/>
      </c>
      <c r="AA348" s="179" t="str">
        <f t="array" ref="AA348">IF($F348&lt;&gt;"",XLOOKUP($F348,Productos!$A:$A,Productos!T:T,"Revisar"),"")</f>
        <v/>
      </c>
      <c r="AB348" s="179" t="str">
        <f t="array" ref="AB348">IF($F348&lt;&gt;"", XLOOKUP($F348,Productos!$A$2:$A1001,Productos!U$2:U1001,"")*$G348,"")</f>
        <v/>
      </c>
      <c r="AC348" s="179" t="str">
        <f t="array" ref="AC348">IF($F348&lt;&gt;"",XLOOKUP($F348,Productos!$A:$A,Productos!V:V,"Revisar"),"")</f>
        <v/>
      </c>
      <c r="AD348" s="179" t="str">
        <f t="array" ref="AD348">IF($F348&lt;&gt;"", XLOOKUP($F348,Productos!$A$2:$A1001,Productos!W$2:W1001,"")*$G348,"")</f>
        <v/>
      </c>
      <c r="AE348" s="179" t="str">
        <f t="array" ref="AE348">IF($F348&lt;&gt;"",XLOOKUP($F348,Productos!$A:$A,Productos!X:X,"Revisar"),"")</f>
        <v/>
      </c>
      <c r="AF348" s="179" t="str">
        <f t="array" ref="AF348">IF($F348&lt;&gt;"", XLOOKUP($F348,Productos!$A$2:$A1001,Productos!Y$2:Y1001,"")*$G348,"")</f>
        <v/>
      </c>
      <c r="AG348" s="179" t="str">
        <f t="array" ref="AG348">IF($F348&lt;&gt;"",XLOOKUP($F348,Productos!$A:$A,Productos!Z:Z,"Revisar"),"")</f>
        <v/>
      </c>
      <c r="AH348" s="179" t="str">
        <f t="array" ref="AH348">IF($F348&lt;&gt;"", XLOOKUP($F348,Productos!$A$2:$A1001,Productos!AA$2:AA1001,"")*$G348,"")</f>
        <v/>
      </c>
      <c r="AI348" s="179" t="str">
        <f t="array" ref="AI348">IF($F348&lt;&gt;"",XLOOKUP($F348,Productos!$A:$A,Productos!AB:AB,"Revisar"),"")</f>
        <v/>
      </c>
      <c r="AJ348" s="179" t="str">
        <f t="array" ref="AJ348">IF($F348&lt;&gt;"", XLOOKUP($F348,Productos!$A$2:$A1001,Productos!AC$2:AC1001,"")*$G348,"")</f>
        <v/>
      </c>
      <c r="AK348" s="179" t="str">
        <f t="array" ref="AK348">IF($F348&lt;&gt;"",XLOOKUP($F348,Productos!$A:$A,Productos!AD:AD,"Revisar"),"")</f>
        <v/>
      </c>
      <c r="AL348" s="179" t="str">
        <f t="array" ref="AL348">IF($F348&lt;&gt;"", XLOOKUP($F348,Productos!$A$2:$A1001,Productos!AE$2:AE1001,"")*$G348,"")</f>
        <v/>
      </c>
      <c r="AM348" s="179" t="str">
        <f t="array" ref="AM348">IF($F348&lt;&gt;"",XLOOKUP($F348,Productos!$A:$A,Productos!AF:AF,"Revisar"),"")</f>
        <v/>
      </c>
      <c r="AN348" s="179" t="str">
        <f t="array" ref="AN348">IF($F348&lt;&gt;"", XLOOKUP($F348,Productos!$A$2:$A1001,Productos!AG$2:AG1001,"")*$G348,"")</f>
        <v/>
      </c>
      <c r="AO348" s="179" t="str">
        <f t="array" ref="AO348">IF($F348&lt;&gt;"",XLOOKUP($F348,Productos!$A:$A,Productos!AH:AH,"Revisar"),"")</f>
        <v/>
      </c>
      <c r="AP348" s="179" t="str">
        <f t="array" ref="AP348">IF($F348&lt;&gt;"", XLOOKUP($F348,Productos!$A$2:$A1001,Productos!AI$2:AI1001,"")*$G348,"")</f>
        <v/>
      </c>
      <c r="AQ348" s="179" t="str">
        <f t="array" ref="AQ348">IF($F348&lt;&gt;"",XLOOKUP($F348,Productos!$A:$A,Productos!AJ:AJ,"Revisar"),"")</f>
        <v/>
      </c>
      <c r="AR348" s="179" t="str">
        <f t="array" ref="AR348">IF($F348&lt;&gt;"", XLOOKUP($F348,Productos!$A$2:$A1001,Productos!AK$2:AK1001,"")*$G348,"")</f>
        <v/>
      </c>
      <c r="AS348" s="179" t="str">
        <f t="array" ref="AS348">IF($F348&lt;&gt;"",XLOOKUP($F348,Productos!$A:$A,Productos!AL:AL,"Revisar"),"")</f>
        <v/>
      </c>
      <c r="AT348" s="179" t="str">
        <f t="array" ref="AT348">IF($F348&lt;&gt;"", XLOOKUP($F348,Productos!$A$2:$A1001,Productos!AM$2:AM1001,"")*$G348,"")</f>
        <v/>
      </c>
      <c r="AU348" s="179" t="str">
        <f t="array" ref="AU348">IF($F348&lt;&gt;"",XLOOKUP($F348,Productos!$A:$A,Productos!AN:AN,"Revisar"),"")</f>
        <v/>
      </c>
      <c r="AV348" s="179" t="str">
        <f t="array" ref="AV348">IF($F348&lt;&gt;"", XLOOKUP($F348,Productos!$A$2:$A1001,Productos!AO$2:AO1001,"")*$G348,"")</f>
        <v/>
      </c>
      <c r="AW348" s="179" t="str">
        <f t="array" ref="AW348">IF($F348&lt;&gt;"",XLOOKUP($F348,Productos!$A:$A,Productos!AP:AP,"Revisar"),"")</f>
        <v/>
      </c>
      <c r="AX348" s="179" t="str">
        <f t="array" ref="AX348">IF($F348&lt;&gt;"", XLOOKUP($F348,Productos!$A$2:$A1001,Productos!AQ$2:AQ1001,"")*$G348,"")</f>
        <v/>
      </c>
      <c r="AY348" s="179" t="str">
        <f t="array" ref="AY348">IF($F348&lt;&gt;"",XLOOKUP($F348,Productos!$A:$A,Productos!AR:AR,"Revisar"),"")</f>
        <v/>
      </c>
      <c r="AZ348" s="179" t="str">
        <f t="array" ref="AZ348">IF($F348&lt;&gt;"", XLOOKUP($F348,Productos!$A$2:$A1001,Productos!AS$2:AS1001,"")*$G348,"")</f>
        <v/>
      </c>
      <c r="BA348" s="179" t="str">
        <f t="array" ref="BA348">IF($F348&lt;&gt;"",XLOOKUP($F348,Productos!$A:$A,Productos!AT:AT,"Revisar"),"")</f>
        <v/>
      </c>
      <c r="BB348" s="179" t="str">
        <f t="array" ref="BB348">IF($F348&lt;&gt;"", XLOOKUP($F348,Productos!$A$2:$A1001,Productos!AU$2:AU1001,"")*$G348,"")</f>
        <v/>
      </c>
      <c r="BC348" s="179" t="str">
        <f t="array" ref="BC348">IF($F348&lt;&gt;"",XLOOKUP($F348,Productos!$A:$A,Productos!AV:AV,"Revisar"),"")</f>
        <v/>
      </c>
      <c r="BD348" s="179" t="str">
        <f t="array" ref="BD348">IF($F348&lt;&gt;"", XLOOKUP($F348,Productos!$A$2:$A1001,Productos!AW$2:AW1001,"")*$G348,"")</f>
        <v/>
      </c>
      <c r="BE348" s="179" t="str">
        <f t="array" ref="BE348">IF($F348&lt;&gt;"",XLOOKUP($F348,Productos!$A:$A,Productos!AX:AX,"Revisar"),"")</f>
        <v/>
      </c>
      <c r="BF348" s="179" t="str">
        <f t="array" ref="BF348">IF($F348&lt;&gt;"", XLOOKUP($F348,Productos!$A$2:$A1001,Productos!AY$2:AY1001,"")*$G348,"")</f>
        <v/>
      </c>
      <c r="BG348" s="179" t="str">
        <f t="array" ref="BG348">IF($F348&lt;&gt;"",XLOOKUP($F348,Productos!$A:$A,Productos!AZ:AZ,"Revisar"),"")</f>
        <v/>
      </c>
      <c r="BH348" s="179" t="str">
        <f t="array" ref="BH348">IF($F348&lt;&gt;"", XLOOKUP($F348,Productos!$A$2:$A1001,Productos!BA$2:BA1001,"")*$G348,"")</f>
        <v/>
      </c>
      <c r="BI348" s="179" t="str">
        <f t="array" ref="BI348">IF($F348&lt;&gt;"",XLOOKUP($F348,Productos!$A:$A,Productos!BB:BB,"Revisar"),"")</f>
        <v/>
      </c>
      <c r="BJ348" s="179" t="str">
        <f t="array" ref="BJ348">IF($F348&lt;&gt;"", XLOOKUP($F348,Productos!$A$2:$A1001,Productos!BC$2:BC1001,"")*$G348,"")</f>
        <v/>
      </c>
      <c r="BK348" s="179" t="str">
        <f t="array" ref="BK348">IF($F348&lt;&gt;"",XLOOKUP($F348,Productos!$A:$A,Productos!BD:BD,"Revisar"),"")</f>
        <v/>
      </c>
      <c r="BL348" s="179" t="str">
        <f t="array" ref="BL348">IF($F348&lt;&gt;"", XLOOKUP($F348,Productos!$A$2:$A1001,Productos!BE$2:BE1001,"")*$G348,"")</f>
        <v/>
      </c>
      <c r="BM348" s="179" t="str">
        <f t="array" ref="BM348">IF($F348&lt;&gt;"",XLOOKUP($F348,Productos!$A:$A,Productos!BF:BF,"Revisar"),"")</f>
        <v/>
      </c>
      <c r="BN348" s="179" t="str">
        <f t="array" ref="BN348">IF($F348&lt;&gt;"", XLOOKUP($F348,Productos!$A$2:$A1001,Productos!BG$2:BG1001,"")*$G348,"")</f>
        <v/>
      </c>
      <c r="BO348" s="179" t="str">
        <f t="array" ref="BO348">IF($F348&lt;&gt;"",XLOOKUP($F348,Productos!$A:$A,Productos!BH:BH,"Revisar"),"")</f>
        <v/>
      </c>
      <c r="BP348" s="179" t="str">
        <f t="array" ref="BP348">IF($F348&lt;&gt;"", XLOOKUP($F348,Productos!$A$2:$A1001,Productos!BI$2:BI1001,"")*$G348,"")</f>
        <v/>
      </c>
      <c r="BQ348" s="179" t="str">
        <f t="array" ref="BQ348">IF($F348&lt;&gt;"",XLOOKUP($F348,Productos!$A:$A,Productos!BJ:BJ,"Revisar"),"")</f>
        <v/>
      </c>
      <c r="BR348" s="179" t="str">
        <f t="array" ref="BR348">IF($F348&lt;&gt;"", XLOOKUP($F348,Productos!$A$2:$A1001,Productos!BK$2:BK1001,"")*$G348,"")</f>
        <v/>
      </c>
      <c r="BS348" s="179" t="str">
        <f t="array" ref="BS348">IF($F348&lt;&gt;"",XLOOKUP($F348,Productos!$A:$A,Productos!BL:BL,"Revisar"),"")</f>
        <v/>
      </c>
      <c r="BT348" s="179" t="str">
        <f t="array" ref="BT348">IF($F348&lt;&gt;"", XLOOKUP($F348,Productos!$A$2:$A1001,Productos!BM$2:BM1001,"")*$G348,"")</f>
        <v/>
      </c>
      <c r="BU348" s="179" t="str">
        <f t="array" ref="BU348">IF($F348&lt;&gt;"",XLOOKUP($F348,Productos!$A:$A,Productos!BN:BN,"Revisar"),"")</f>
        <v/>
      </c>
      <c r="BV348" s="179" t="str">
        <f t="array" ref="BV348">IF($F348&lt;&gt;"", XLOOKUP($F348,Productos!$A$2:$A1001,Productos!BO$2:BO1001,"")*$G348,"")</f>
        <v/>
      </c>
      <c r="BW348" s="179" t="str">
        <f t="array" ref="BW348">IF($F348&lt;&gt;"",XLOOKUP($F348,Productos!$A:$A,Productos!BP:BP,"Revisar"),"")</f>
        <v/>
      </c>
      <c r="BX348" s="179" t="str">
        <f t="array" ref="BX348">IF($F348&lt;&gt;"", XLOOKUP($F348,Productos!$A$2:$A1001,Productos!BQ$2:BQ1001,"")*$G348,"")</f>
        <v/>
      </c>
      <c r="BY348" s="179" t="str">
        <f t="array" ref="BY348">IF($F348&lt;&gt;"",XLOOKUP($F348,Productos!$A:$A,Productos!BR:BR,"Revisar"),"")</f>
        <v/>
      </c>
      <c r="BZ348" s="179" t="str">
        <f t="array" ref="BZ348">IF($F348&lt;&gt;"", XLOOKUP($F348,Productos!$A$2:$A1001,Productos!BS$2:BS1001,"")*$G348,"")</f>
        <v/>
      </c>
    </row>
    <row r="349">
      <c r="A349" s="188"/>
      <c r="B349" s="189"/>
      <c r="C349" s="190"/>
      <c r="D349" s="190"/>
      <c r="E349" s="191"/>
      <c r="F349" s="186"/>
      <c r="G349" s="192"/>
      <c r="H349" s="9"/>
      <c r="I349" s="179" t="str">
        <f t="array" ref="I349">IF($F349&lt;&gt;"",XLOOKUP($F349,Productos!$A:$A,Productos!B:B,"Revisar"),"")</f>
        <v/>
      </c>
      <c r="J349" s="179" t="str">
        <f t="array" ref="J349">IF($F349&lt;&gt;"", XLOOKUP($F349,Productos!$A$2:$A1001,Productos!C$2:C1001,"")*$G349,"")</f>
        <v/>
      </c>
      <c r="K349" s="179" t="str">
        <f t="array" ref="K349">IF($F349&lt;&gt;"",XLOOKUP($F349,Productos!$A:$A,Productos!D:D,"Revisar"),"")</f>
        <v/>
      </c>
      <c r="L349" s="179" t="str">
        <f t="array" ref="L349">IF($F349&lt;&gt;"", XLOOKUP($F349,Productos!$A$2:$A1001,Productos!E$2:E1001,"")*$G349,"")</f>
        <v/>
      </c>
      <c r="M349" s="179" t="str">
        <f t="array" ref="M349">IF($F349&lt;&gt;"",XLOOKUP($F349,Productos!$A:$A,Productos!F:F,"Revisar"),"")</f>
        <v/>
      </c>
      <c r="N349" s="179" t="str">
        <f t="array" ref="N349">IF($F349&lt;&gt;"", XLOOKUP($F349,Productos!$A$2:$A1001,Productos!G$2:G1001,"")*$G349,"")</f>
        <v/>
      </c>
      <c r="O349" s="179" t="str">
        <f t="array" ref="O349">IF($F349&lt;&gt;"",XLOOKUP($F349,Productos!$A:$A,Productos!H:H,"Revisar"),"")</f>
        <v/>
      </c>
      <c r="P349" s="179" t="str">
        <f t="array" ref="P349">IF($F349&lt;&gt;"", XLOOKUP($F349,Productos!$A$2:$A1001,Productos!I$2:I1001,"")*$G349,"")</f>
        <v/>
      </c>
      <c r="Q349" s="179" t="str">
        <f t="array" ref="Q349">IF($F349&lt;&gt;"",XLOOKUP($F349,Productos!$A:$A,Productos!J:J,"Revisar"),"")</f>
        <v/>
      </c>
      <c r="R349" s="179" t="str">
        <f t="array" ref="R349">IF($F349&lt;&gt;"", XLOOKUP($F349,Productos!$A$2:$A1001,Productos!K$2:K1001,"")*$G349,"")</f>
        <v/>
      </c>
      <c r="S349" s="179" t="str">
        <f t="array" ref="S349">IF($F349&lt;&gt;"",XLOOKUP($F349,Productos!$A:$A,Productos!L:L,"Revisar"),"")</f>
        <v/>
      </c>
      <c r="T349" s="179" t="str">
        <f t="array" ref="T349">IF($F349&lt;&gt;"", XLOOKUP($F349,Productos!$A$2:$A1001,Productos!M$2:M1001,"")*$G349,"")</f>
        <v/>
      </c>
      <c r="U349" s="179" t="str">
        <f t="array" ref="U349">IF($F349&lt;&gt;"",XLOOKUP($F349,Productos!$A:$A,Productos!N:N,"Revisar"),"")</f>
        <v/>
      </c>
      <c r="V349" s="179" t="str">
        <f t="array" ref="V349">IF($F349&lt;&gt;"", XLOOKUP($F349,Productos!$A$2:$A1001,Productos!O$2:O1001,"")*$G349,"")</f>
        <v/>
      </c>
      <c r="W349" s="179" t="str">
        <f t="array" ref="W349">IF($F349&lt;&gt;"",XLOOKUP($F349,Productos!$A:$A,Productos!P:P,"Revisar"),"")</f>
        <v/>
      </c>
      <c r="X349" s="179" t="str">
        <f t="array" ref="X349">IF($F349&lt;&gt;"", XLOOKUP($F349,Productos!$A$2:$A1001,Productos!Q$2:Q1001,"")*$G349,"")</f>
        <v/>
      </c>
      <c r="Y349" s="179" t="str">
        <f t="array" ref="Y349">IF($F349&lt;&gt;"",XLOOKUP($F349,Productos!$A:$A,Productos!R:R,"Revisar"),"")</f>
        <v/>
      </c>
      <c r="Z349" s="179" t="str">
        <f t="array" ref="Z349">IF($F349&lt;&gt;"", XLOOKUP($F349,Productos!$A$2:$A1001,Productos!S$2:S1001,"")*$G349,"")</f>
        <v/>
      </c>
      <c r="AA349" s="179" t="str">
        <f t="array" ref="AA349">IF($F349&lt;&gt;"",XLOOKUP($F349,Productos!$A:$A,Productos!T:T,"Revisar"),"")</f>
        <v/>
      </c>
      <c r="AB349" s="179" t="str">
        <f t="array" ref="AB349">IF($F349&lt;&gt;"", XLOOKUP($F349,Productos!$A$2:$A1001,Productos!U$2:U1001,"")*$G349,"")</f>
        <v/>
      </c>
      <c r="AC349" s="179" t="str">
        <f t="array" ref="AC349">IF($F349&lt;&gt;"",XLOOKUP($F349,Productos!$A:$A,Productos!V:V,"Revisar"),"")</f>
        <v/>
      </c>
      <c r="AD349" s="179" t="str">
        <f t="array" ref="AD349">IF($F349&lt;&gt;"", XLOOKUP($F349,Productos!$A$2:$A1001,Productos!W$2:W1001,"")*$G349,"")</f>
        <v/>
      </c>
      <c r="AE349" s="179" t="str">
        <f t="array" ref="AE349">IF($F349&lt;&gt;"",XLOOKUP($F349,Productos!$A:$A,Productos!X:X,"Revisar"),"")</f>
        <v/>
      </c>
      <c r="AF349" s="179" t="str">
        <f t="array" ref="AF349">IF($F349&lt;&gt;"", XLOOKUP($F349,Productos!$A$2:$A1001,Productos!Y$2:Y1001,"")*$G349,"")</f>
        <v/>
      </c>
      <c r="AG349" s="179" t="str">
        <f t="array" ref="AG349">IF($F349&lt;&gt;"",XLOOKUP($F349,Productos!$A:$A,Productos!Z:Z,"Revisar"),"")</f>
        <v/>
      </c>
      <c r="AH349" s="179" t="str">
        <f t="array" ref="AH349">IF($F349&lt;&gt;"", XLOOKUP($F349,Productos!$A$2:$A1001,Productos!AA$2:AA1001,"")*$G349,"")</f>
        <v/>
      </c>
      <c r="AI349" s="179" t="str">
        <f t="array" ref="AI349">IF($F349&lt;&gt;"",XLOOKUP($F349,Productos!$A:$A,Productos!AB:AB,"Revisar"),"")</f>
        <v/>
      </c>
      <c r="AJ349" s="179" t="str">
        <f t="array" ref="AJ349">IF($F349&lt;&gt;"", XLOOKUP($F349,Productos!$A$2:$A1001,Productos!AC$2:AC1001,"")*$G349,"")</f>
        <v/>
      </c>
      <c r="AK349" s="179" t="str">
        <f t="array" ref="AK349">IF($F349&lt;&gt;"",XLOOKUP($F349,Productos!$A:$A,Productos!AD:AD,"Revisar"),"")</f>
        <v/>
      </c>
      <c r="AL349" s="179" t="str">
        <f t="array" ref="AL349">IF($F349&lt;&gt;"", XLOOKUP($F349,Productos!$A$2:$A1001,Productos!AE$2:AE1001,"")*$G349,"")</f>
        <v/>
      </c>
      <c r="AM349" s="179" t="str">
        <f t="array" ref="AM349">IF($F349&lt;&gt;"",XLOOKUP($F349,Productos!$A:$A,Productos!AF:AF,"Revisar"),"")</f>
        <v/>
      </c>
      <c r="AN349" s="179" t="str">
        <f t="array" ref="AN349">IF($F349&lt;&gt;"", XLOOKUP($F349,Productos!$A$2:$A1001,Productos!AG$2:AG1001,"")*$G349,"")</f>
        <v/>
      </c>
      <c r="AO349" s="179" t="str">
        <f t="array" ref="AO349">IF($F349&lt;&gt;"",XLOOKUP($F349,Productos!$A:$A,Productos!AH:AH,"Revisar"),"")</f>
        <v/>
      </c>
      <c r="AP349" s="179" t="str">
        <f t="array" ref="AP349">IF($F349&lt;&gt;"", XLOOKUP($F349,Productos!$A$2:$A1001,Productos!AI$2:AI1001,"")*$G349,"")</f>
        <v/>
      </c>
      <c r="AQ349" s="179" t="str">
        <f t="array" ref="AQ349">IF($F349&lt;&gt;"",XLOOKUP($F349,Productos!$A:$A,Productos!AJ:AJ,"Revisar"),"")</f>
        <v/>
      </c>
      <c r="AR349" s="179" t="str">
        <f t="array" ref="AR349">IF($F349&lt;&gt;"", XLOOKUP($F349,Productos!$A$2:$A1001,Productos!AK$2:AK1001,"")*$G349,"")</f>
        <v/>
      </c>
      <c r="AS349" s="179" t="str">
        <f t="array" ref="AS349">IF($F349&lt;&gt;"",XLOOKUP($F349,Productos!$A:$A,Productos!AL:AL,"Revisar"),"")</f>
        <v/>
      </c>
      <c r="AT349" s="179" t="str">
        <f t="array" ref="AT349">IF($F349&lt;&gt;"", XLOOKUP($F349,Productos!$A$2:$A1001,Productos!AM$2:AM1001,"")*$G349,"")</f>
        <v/>
      </c>
      <c r="AU349" s="179" t="str">
        <f t="array" ref="AU349">IF($F349&lt;&gt;"",XLOOKUP($F349,Productos!$A:$A,Productos!AN:AN,"Revisar"),"")</f>
        <v/>
      </c>
      <c r="AV349" s="179" t="str">
        <f t="array" ref="AV349">IF($F349&lt;&gt;"", XLOOKUP($F349,Productos!$A$2:$A1001,Productos!AO$2:AO1001,"")*$G349,"")</f>
        <v/>
      </c>
      <c r="AW349" s="179" t="str">
        <f t="array" ref="AW349">IF($F349&lt;&gt;"",XLOOKUP($F349,Productos!$A:$A,Productos!AP:AP,"Revisar"),"")</f>
        <v/>
      </c>
      <c r="AX349" s="179" t="str">
        <f t="array" ref="AX349">IF($F349&lt;&gt;"", XLOOKUP($F349,Productos!$A$2:$A1001,Productos!AQ$2:AQ1001,"")*$G349,"")</f>
        <v/>
      </c>
      <c r="AY349" s="179" t="str">
        <f t="array" ref="AY349">IF($F349&lt;&gt;"",XLOOKUP($F349,Productos!$A:$A,Productos!AR:AR,"Revisar"),"")</f>
        <v/>
      </c>
      <c r="AZ349" s="179" t="str">
        <f t="array" ref="AZ349">IF($F349&lt;&gt;"", XLOOKUP($F349,Productos!$A$2:$A1001,Productos!AS$2:AS1001,"")*$G349,"")</f>
        <v/>
      </c>
      <c r="BA349" s="179" t="str">
        <f t="array" ref="BA349">IF($F349&lt;&gt;"",XLOOKUP($F349,Productos!$A:$A,Productos!AT:AT,"Revisar"),"")</f>
        <v/>
      </c>
      <c r="BB349" s="179" t="str">
        <f t="array" ref="BB349">IF($F349&lt;&gt;"", XLOOKUP($F349,Productos!$A$2:$A1001,Productos!AU$2:AU1001,"")*$G349,"")</f>
        <v/>
      </c>
      <c r="BC349" s="179" t="str">
        <f t="array" ref="BC349">IF($F349&lt;&gt;"",XLOOKUP($F349,Productos!$A:$A,Productos!AV:AV,"Revisar"),"")</f>
        <v/>
      </c>
      <c r="BD349" s="179" t="str">
        <f t="array" ref="BD349">IF($F349&lt;&gt;"", XLOOKUP($F349,Productos!$A$2:$A1001,Productos!AW$2:AW1001,"")*$G349,"")</f>
        <v/>
      </c>
      <c r="BE349" s="179" t="str">
        <f t="array" ref="BE349">IF($F349&lt;&gt;"",XLOOKUP($F349,Productos!$A:$A,Productos!AX:AX,"Revisar"),"")</f>
        <v/>
      </c>
      <c r="BF349" s="179" t="str">
        <f t="array" ref="BF349">IF($F349&lt;&gt;"", XLOOKUP($F349,Productos!$A$2:$A1001,Productos!AY$2:AY1001,"")*$G349,"")</f>
        <v/>
      </c>
      <c r="BG349" s="179" t="str">
        <f t="array" ref="BG349">IF($F349&lt;&gt;"",XLOOKUP($F349,Productos!$A:$A,Productos!AZ:AZ,"Revisar"),"")</f>
        <v/>
      </c>
      <c r="BH349" s="179" t="str">
        <f t="array" ref="BH349">IF($F349&lt;&gt;"", XLOOKUP($F349,Productos!$A$2:$A1001,Productos!BA$2:BA1001,"")*$G349,"")</f>
        <v/>
      </c>
      <c r="BI349" s="179" t="str">
        <f t="array" ref="BI349">IF($F349&lt;&gt;"",XLOOKUP($F349,Productos!$A:$A,Productos!BB:BB,"Revisar"),"")</f>
        <v/>
      </c>
      <c r="BJ349" s="179" t="str">
        <f t="array" ref="BJ349">IF($F349&lt;&gt;"", XLOOKUP($F349,Productos!$A$2:$A1001,Productos!BC$2:BC1001,"")*$G349,"")</f>
        <v/>
      </c>
      <c r="BK349" s="179" t="str">
        <f t="array" ref="BK349">IF($F349&lt;&gt;"",XLOOKUP($F349,Productos!$A:$A,Productos!BD:BD,"Revisar"),"")</f>
        <v/>
      </c>
      <c r="BL349" s="179" t="str">
        <f t="array" ref="BL349">IF($F349&lt;&gt;"", XLOOKUP($F349,Productos!$A$2:$A1001,Productos!BE$2:BE1001,"")*$G349,"")</f>
        <v/>
      </c>
      <c r="BM349" s="179" t="str">
        <f t="array" ref="BM349">IF($F349&lt;&gt;"",XLOOKUP($F349,Productos!$A:$A,Productos!BF:BF,"Revisar"),"")</f>
        <v/>
      </c>
      <c r="BN349" s="179" t="str">
        <f t="array" ref="BN349">IF($F349&lt;&gt;"", XLOOKUP($F349,Productos!$A$2:$A1001,Productos!BG$2:BG1001,"")*$G349,"")</f>
        <v/>
      </c>
      <c r="BO349" s="179" t="str">
        <f t="array" ref="BO349">IF($F349&lt;&gt;"",XLOOKUP($F349,Productos!$A:$A,Productos!BH:BH,"Revisar"),"")</f>
        <v/>
      </c>
      <c r="BP349" s="179" t="str">
        <f t="array" ref="BP349">IF($F349&lt;&gt;"", XLOOKUP($F349,Productos!$A$2:$A1001,Productos!BI$2:BI1001,"")*$G349,"")</f>
        <v/>
      </c>
      <c r="BQ349" s="179" t="str">
        <f t="array" ref="BQ349">IF($F349&lt;&gt;"",XLOOKUP($F349,Productos!$A:$A,Productos!BJ:BJ,"Revisar"),"")</f>
        <v/>
      </c>
      <c r="BR349" s="179" t="str">
        <f t="array" ref="BR349">IF($F349&lt;&gt;"", XLOOKUP($F349,Productos!$A$2:$A1001,Productos!BK$2:BK1001,"")*$G349,"")</f>
        <v/>
      </c>
      <c r="BS349" s="179" t="str">
        <f t="array" ref="BS349">IF($F349&lt;&gt;"",XLOOKUP($F349,Productos!$A:$A,Productos!BL:BL,"Revisar"),"")</f>
        <v/>
      </c>
      <c r="BT349" s="179" t="str">
        <f t="array" ref="BT349">IF($F349&lt;&gt;"", XLOOKUP($F349,Productos!$A$2:$A1001,Productos!BM$2:BM1001,"")*$G349,"")</f>
        <v/>
      </c>
      <c r="BU349" s="179" t="str">
        <f t="array" ref="BU349">IF($F349&lt;&gt;"",XLOOKUP($F349,Productos!$A:$A,Productos!BN:BN,"Revisar"),"")</f>
        <v/>
      </c>
      <c r="BV349" s="179" t="str">
        <f t="array" ref="BV349">IF($F349&lt;&gt;"", XLOOKUP($F349,Productos!$A$2:$A1001,Productos!BO$2:BO1001,"")*$G349,"")</f>
        <v/>
      </c>
      <c r="BW349" s="179" t="str">
        <f t="array" ref="BW349">IF($F349&lt;&gt;"",XLOOKUP($F349,Productos!$A:$A,Productos!BP:BP,"Revisar"),"")</f>
        <v/>
      </c>
      <c r="BX349" s="179" t="str">
        <f t="array" ref="BX349">IF($F349&lt;&gt;"", XLOOKUP($F349,Productos!$A$2:$A1001,Productos!BQ$2:BQ1001,"")*$G349,"")</f>
        <v/>
      </c>
      <c r="BY349" s="179" t="str">
        <f t="array" ref="BY349">IF($F349&lt;&gt;"",XLOOKUP($F349,Productos!$A:$A,Productos!BR:BR,"Revisar"),"")</f>
        <v/>
      </c>
      <c r="BZ349" s="179" t="str">
        <f t="array" ref="BZ349">IF($F349&lt;&gt;"", XLOOKUP($F349,Productos!$A$2:$A1001,Productos!BS$2:BS1001,"")*$G349,"")</f>
        <v/>
      </c>
    </row>
    <row r="350">
      <c r="A350" s="188"/>
      <c r="B350" s="189"/>
      <c r="C350" s="190"/>
      <c r="D350" s="190"/>
      <c r="E350" s="191"/>
      <c r="F350" s="186"/>
      <c r="G350" s="192"/>
      <c r="H350" s="9"/>
      <c r="I350" s="179" t="str">
        <f t="array" ref="I350">IF($F350&lt;&gt;"",XLOOKUP($F350,Productos!$A:$A,Productos!B:B,"Revisar"),"")</f>
        <v/>
      </c>
      <c r="J350" s="179" t="str">
        <f t="array" ref="J350">IF($F350&lt;&gt;"", XLOOKUP($F350,Productos!$A$2:$A1001,Productos!C$2:C1001,"")*$G350,"")</f>
        <v/>
      </c>
      <c r="K350" s="179" t="str">
        <f t="array" ref="K350">IF($F350&lt;&gt;"",XLOOKUP($F350,Productos!$A:$A,Productos!D:D,"Revisar"),"")</f>
        <v/>
      </c>
      <c r="L350" s="179" t="str">
        <f t="array" ref="L350">IF($F350&lt;&gt;"", XLOOKUP($F350,Productos!$A$2:$A1001,Productos!E$2:E1001,"")*$G350,"")</f>
        <v/>
      </c>
      <c r="M350" s="179" t="str">
        <f t="array" ref="M350">IF($F350&lt;&gt;"",XLOOKUP($F350,Productos!$A:$A,Productos!F:F,"Revisar"),"")</f>
        <v/>
      </c>
      <c r="N350" s="179" t="str">
        <f t="array" ref="N350">IF($F350&lt;&gt;"", XLOOKUP($F350,Productos!$A$2:$A1001,Productos!G$2:G1001,"")*$G350,"")</f>
        <v/>
      </c>
      <c r="O350" s="179" t="str">
        <f t="array" ref="O350">IF($F350&lt;&gt;"",XLOOKUP($F350,Productos!$A:$A,Productos!H:H,"Revisar"),"")</f>
        <v/>
      </c>
      <c r="P350" s="179" t="str">
        <f t="array" ref="P350">IF($F350&lt;&gt;"", XLOOKUP($F350,Productos!$A$2:$A1001,Productos!I$2:I1001,"")*$G350,"")</f>
        <v/>
      </c>
      <c r="Q350" s="179" t="str">
        <f t="array" ref="Q350">IF($F350&lt;&gt;"",XLOOKUP($F350,Productos!$A:$A,Productos!J:J,"Revisar"),"")</f>
        <v/>
      </c>
      <c r="R350" s="179" t="str">
        <f t="array" ref="R350">IF($F350&lt;&gt;"", XLOOKUP($F350,Productos!$A$2:$A1001,Productos!K$2:K1001,"")*$G350,"")</f>
        <v/>
      </c>
      <c r="S350" s="179" t="str">
        <f t="array" ref="S350">IF($F350&lt;&gt;"",XLOOKUP($F350,Productos!$A:$A,Productos!L:L,"Revisar"),"")</f>
        <v/>
      </c>
      <c r="T350" s="179" t="str">
        <f t="array" ref="T350">IF($F350&lt;&gt;"", XLOOKUP($F350,Productos!$A$2:$A1001,Productos!M$2:M1001,"")*$G350,"")</f>
        <v/>
      </c>
      <c r="U350" s="179" t="str">
        <f t="array" ref="U350">IF($F350&lt;&gt;"",XLOOKUP($F350,Productos!$A:$A,Productos!N:N,"Revisar"),"")</f>
        <v/>
      </c>
      <c r="V350" s="179" t="str">
        <f t="array" ref="V350">IF($F350&lt;&gt;"", XLOOKUP($F350,Productos!$A$2:$A1001,Productos!O$2:O1001,"")*$G350,"")</f>
        <v/>
      </c>
      <c r="W350" s="179" t="str">
        <f t="array" ref="W350">IF($F350&lt;&gt;"",XLOOKUP($F350,Productos!$A:$A,Productos!P:P,"Revisar"),"")</f>
        <v/>
      </c>
      <c r="X350" s="179" t="str">
        <f t="array" ref="X350">IF($F350&lt;&gt;"", XLOOKUP($F350,Productos!$A$2:$A1001,Productos!Q$2:Q1001,"")*$G350,"")</f>
        <v/>
      </c>
      <c r="Y350" s="179" t="str">
        <f t="array" ref="Y350">IF($F350&lt;&gt;"",XLOOKUP($F350,Productos!$A:$A,Productos!R:R,"Revisar"),"")</f>
        <v/>
      </c>
      <c r="Z350" s="179" t="str">
        <f t="array" ref="Z350">IF($F350&lt;&gt;"", XLOOKUP($F350,Productos!$A$2:$A1001,Productos!S$2:S1001,"")*$G350,"")</f>
        <v/>
      </c>
      <c r="AA350" s="179" t="str">
        <f t="array" ref="AA350">IF($F350&lt;&gt;"",XLOOKUP($F350,Productos!$A:$A,Productos!T:T,"Revisar"),"")</f>
        <v/>
      </c>
      <c r="AB350" s="179" t="str">
        <f t="array" ref="AB350">IF($F350&lt;&gt;"", XLOOKUP($F350,Productos!$A$2:$A1001,Productos!U$2:U1001,"")*$G350,"")</f>
        <v/>
      </c>
      <c r="AC350" s="179" t="str">
        <f t="array" ref="AC350">IF($F350&lt;&gt;"",XLOOKUP($F350,Productos!$A:$A,Productos!V:V,"Revisar"),"")</f>
        <v/>
      </c>
      <c r="AD350" s="179" t="str">
        <f t="array" ref="AD350">IF($F350&lt;&gt;"", XLOOKUP($F350,Productos!$A$2:$A1001,Productos!W$2:W1001,"")*$G350,"")</f>
        <v/>
      </c>
      <c r="AE350" s="179" t="str">
        <f t="array" ref="AE350">IF($F350&lt;&gt;"",XLOOKUP($F350,Productos!$A:$A,Productos!X:X,"Revisar"),"")</f>
        <v/>
      </c>
      <c r="AF350" s="179" t="str">
        <f t="array" ref="AF350">IF($F350&lt;&gt;"", XLOOKUP($F350,Productos!$A$2:$A1001,Productos!Y$2:Y1001,"")*$G350,"")</f>
        <v/>
      </c>
      <c r="AG350" s="179" t="str">
        <f t="array" ref="AG350">IF($F350&lt;&gt;"",XLOOKUP($F350,Productos!$A:$A,Productos!Z:Z,"Revisar"),"")</f>
        <v/>
      </c>
      <c r="AH350" s="179" t="str">
        <f t="array" ref="AH350">IF($F350&lt;&gt;"", XLOOKUP($F350,Productos!$A$2:$A1001,Productos!AA$2:AA1001,"")*$G350,"")</f>
        <v/>
      </c>
      <c r="AI350" s="179" t="str">
        <f t="array" ref="AI350">IF($F350&lt;&gt;"",XLOOKUP($F350,Productos!$A:$A,Productos!AB:AB,"Revisar"),"")</f>
        <v/>
      </c>
      <c r="AJ350" s="179" t="str">
        <f t="array" ref="AJ350">IF($F350&lt;&gt;"", XLOOKUP($F350,Productos!$A$2:$A1001,Productos!AC$2:AC1001,"")*$G350,"")</f>
        <v/>
      </c>
      <c r="AK350" s="179" t="str">
        <f t="array" ref="AK350">IF($F350&lt;&gt;"",XLOOKUP($F350,Productos!$A:$A,Productos!AD:AD,"Revisar"),"")</f>
        <v/>
      </c>
      <c r="AL350" s="179" t="str">
        <f t="array" ref="AL350">IF($F350&lt;&gt;"", XLOOKUP($F350,Productos!$A$2:$A1001,Productos!AE$2:AE1001,"")*$G350,"")</f>
        <v/>
      </c>
      <c r="AM350" s="179" t="str">
        <f t="array" ref="AM350">IF($F350&lt;&gt;"",XLOOKUP($F350,Productos!$A:$A,Productos!AF:AF,"Revisar"),"")</f>
        <v/>
      </c>
      <c r="AN350" s="179" t="str">
        <f t="array" ref="AN350">IF($F350&lt;&gt;"", XLOOKUP($F350,Productos!$A$2:$A1001,Productos!AG$2:AG1001,"")*$G350,"")</f>
        <v/>
      </c>
      <c r="AO350" s="179" t="str">
        <f t="array" ref="AO350">IF($F350&lt;&gt;"",XLOOKUP($F350,Productos!$A:$A,Productos!AH:AH,"Revisar"),"")</f>
        <v/>
      </c>
      <c r="AP350" s="179" t="str">
        <f t="array" ref="AP350">IF($F350&lt;&gt;"", XLOOKUP($F350,Productos!$A$2:$A1001,Productos!AI$2:AI1001,"")*$G350,"")</f>
        <v/>
      </c>
      <c r="AQ350" s="179" t="str">
        <f t="array" ref="AQ350">IF($F350&lt;&gt;"",XLOOKUP($F350,Productos!$A:$A,Productos!AJ:AJ,"Revisar"),"")</f>
        <v/>
      </c>
      <c r="AR350" s="179" t="str">
        <f t="array" ref="AR350">IF($F350&lt;&gt;"", XLOOKUP($F350,Productos!$A$2:$A1001,Productos!AK$2:AK1001,"")*$G350,"")</f>
        <v/>
      </c>
      <c r="AS350" s="179" t="str">
        <f t="array" ref="AS350">IF($F350&lt;&gt;"",XLOOKUP($F350,Productos!$A:$A,Productos!AL:AL,"Revisar"),"")</f>
        <v/>
      </c>
      <c r="AT350" s="179" t="str">
        <f t="array" ref="AT350">IF($F350&lt;&gt;"", XLOOKUP($F350,Productos!$A$2:$A1001,Productos!AM$2:AM1001,"")*$G350,"")</f>
        <v/>
      </c>
      <c r="AU350" s="179" t="str">
        <f t="array" ref="AU350">IF($F350&lt;&gt;"",XLOOKUP($F350,Productos!$A:$A,Productos!AN:AN,"Revisar"),"")</f>
        <v/>
      </c>
      <c r="AV350" s="179" t="str">
        <f t="array" ref="AV350">IF($F350&lt;&gt;"", XLOOKUP($F350,Productos!$A$2:$A1001,Productos!AO$2:AO1001,"")*$G350,"")</f>
        <v/>
      </c>
      <c r="AW350" s="179" t="str">
        <f t="array" ref="AW350">IF($F350&lt;&gt;"",XLOOKUP($F350,Productos!$A:$A,Productos!AP:AP,"Revisar"),"")</f>
        <v/>
      </c>
      <c r="AX350" s="179" t="str">
        <f t="array" ref="AX350">IF($F350&lt;&gt;"", XLOOKUP($F350,Productos!$A$2:$A1001,Productos!AQ$2:AQ1001,"")*$G350,"")</f>
        <v/>
      </c>
      <c r="AY350" s="179" t="str">
        <f t="array" ref="AY350">IF($F350&lt;&gt;"",XLOOKUP($F350,Productos!$A:$A,Productos!AR:AR,"Revisar"),"")</f>
        <v/>
      </c>
      <c r="AZ350" s="179" t="str">
        <f t="array" ref="AZ350">IF($F350&lt;&gt;"", XLOOKUP($F350,Productos!$A$2:$A1001,Productos!AS$2:AS1001,"")*$G350,"")</f>
        <v/>
      </c>
      <c r="BA350" s="179" t="str">
        <f t="array" ref="BA350">IF($F350&lt;&gt;"",XLOOKUP($F350,Productos!$A:$A,Productos!AT:AT,"Revisar"),"")</f>
        <v/>
      </c>
      <c r="BB350" s="179" t="str">
        <f t="array" ref="BB350">IF($F350&lt;&gt;"", XLOOKUP($F350,Productos!$A$2:$A1001,Productos!AU$2:AU1001,"")*$G350,"")</f>
        <v/>
      </c>
      <c r="BC350" s="179" t="str">
        <f t="array" ref="BC350">IF($F350&lt;&gt;"",XLOOKUP($F350,Productos!$A:$A,Productos!AV:AV,"Revisar"),"")</f>
        <v/>
      </c>
      <c r="BD350" s="179" t="str">
        <f t="array" ref="BD350">IF($F350&lt;&gt;"", XLOOKUP($F350,Productos!$A$2:$A1001,Productos!AW$2:AW1001,"")*$G350,"")</f>
        <v/>
      </c>
      <c r="BE350" s="179" t="str">
        <f t="array" ref="BE350">IF($F350&lt;&gt;"",XLOOKUP($F350,Productos!$A:$A,Productos!AX:AX,"Revisar"),"")</f>
        <v/>
      </c>
      <c r="BF350" s="179" t="str">
        <f t="array" ref="BF350">IF($F350&lt;&gt;"", XLOOKUP($F350,Productos!$A$2:$A1001,Productos!AY$2:AY1001,"")*$G350,"")</f>
        <v/>
      </c>
      <c r="BG350" s="179" t="str">
        <f t="array" ref="BG350">IF($F350&lt;&gt;"",XLOOKUP($F350,Productos!$A:$A,Productos!AZ:AZ,"Revisar"),"")</f>
        <v/>
      </c>
      <c r="BH350" s="179" t="str">
        <f t="array" ref="BH350">IF($F350&lt;&gt;"", XLOOKUP($F350,Productos!$A$2:$A1001,Productos!BA$2:BA1001,"")*$G350,"")</f>
        <v/>
      </c>
      <c r="BI350" s="179" t="str">
        <f t="array" ref="BI350">IF($F350&lt;&gt;"",XLOOKUP($F350,Productos!$A:$A,Productos!BB:BB,"Revisar"),"")</f>
        <v/>
      </c>
      <c r="BJ350" s="179" t="str">
        <f t="array" ref="BJ350">IF($F350&lt;&gt;"", XLOOKUP($F350,Productos!$A$2:$A1001,Productos!BC$2:BC1001,"")*$G350,"")</f>
        <v/>
      </c>
      <c r="BK350" s="179" t="str">
        <f t="array" ref="BK350">IF($F350&lt;&gt;"",XLOOKUP($F350,Productos!$A:$A,Productos!BD:BD,"Revisar"),"")</f>
        <v/>
      </c>
      <c r="BL350" s="179" t="str">
        <f t="array" ref="BL350">IF($F350&lt;&gt;"", XLOOKUP($F350,Productos!$A$2:$A1001,Productos!BE$2:BE1001,"")*$G350,"")</f>
        <v/>
      </c>
      <c r="BM350" s="179" t="str">
        <f t="array" ref="BM350">IF($F350&lt;&gt;"",XLOOKUP($F350,Productos!$A:$A,Productos!BF:BF,"Revisar"),"")</f>
        <v/>
      </c>
      <c r="BN350" s="179" t="str">
        <f t="array" ref="BN350">IF($F350&lt;&gt;"", XLOOKUP($F350,Productos!$A$2:$A1001,Productos!BG$2:BG1001,"")*$G350,"")</f>
        <v/>
      </c>
      <c r="BO350" s="179" t="str">
        <f t="array" ref="BO350">IF($F350&lt;&gt;"",XLOOKUP($F350,Productos!$A:$A,Productos!BH:BH,"Revisar"),"")</f>
        <v/>
      </c>
      <c r="BP350" s="179" t="str">
        <f t="array" ref="BP350">IF($F350&lt;&gt;"", XLOOKUP($F350,Productos!$A$2:$A1001,Productos!BI$2:BI1001,"")*$G350,"")</f>
        <v/>
      </c>
      <c r="BQ350" s="179" t="str">
        <f t="array" ref="BQ350">IF($F350&lt;&gt;"",XLOOKUP($F350,Productos!$A:$A,Productos!BJ:BJ,"Revisar"),"")</f>
        <v/>
      </c>
      <c r="BR350" s="179" t="str">
        <f t="array" ref="BR350">IF($F350&lt;&gt;"", XLOOKUP($F350,Productos!$A$2:$A1001,Productos!BK$2:BK1001,"")*$G350,"")</f>
        <v/>
      </c>
      <c r="BS350" s="179" t="str">
        <f t="array" ref="BS350">IF($F350&lt;&gt;"",XLOOKUP($F350,Productos!$A:$A,Productos!BL:BL,"Revisar"),"")</f>
        <v/>
      </c>
      <c r="BT350" s="179" t="str">
        <f t="array" ref="BT350">IF($F350&lt;&gt;"", XLOOKUP($F350,Productos!$A$2:$A1001,Productos!BM$2:BM1001,"")*$G350,"")</f>
        <v/>
      </c>
      <c r="BU350" s="179" t="str">
        <f t="array" ref="BU350">IF($F350&lt;&gt;"",XLOOKUP($F350,Productos!$A:$A,Productos!BN:BN,"Revisar"),"")</f>
        <v/>
      </c>
      <c r="BV350" s="179" t="str">
        <f t="array" ref="BV350">IF($F350&lt;&gt;"", XLOOKUP($F350,Productos!$A$2:$A1001,Productos!BO$2:BO1001,"")*$G350,"")</f>
        <v/>
      </c>
      <c r="BW350" s="179" t="str">
        <f t="array" ref="BW350">IF($F350&lt;&gt;"",XLOOKUP($F350,Productos!$A:$A,Productos!BP:BP,"Revisar"),"")</f>
        <v/>
      </c>
      <c r="BX350" s="179" t="str">
        <f t="array" ref="BX350">IF($F350&lt;&gt;"", XLOOKUP($F350,Productos!$A$2:$A1001,Productos!BQ$2:BQ1001,"")*$G350,"")</f>
        <v/>
      </c>
      <c r="BY350" s="179" t="str">
        <f t="array" ref="BY350">IF($F350&lt;&gt;"",XLOOKUP($F350,Productos!$A:$A,Productos!BR:BR,"Revisar"),"")</f>
        <v/>
      </c>
      <c r="BZ350" s="179" t="str">
        <f t="array" ref="BZ350">IF($F350&lt;&gt;"", XLOOKUP($F350,Productos!$A$2:$A1001,Productos!BS$2:BS1001,"")*$G350,"")</f>
        <v/>
      </c>
    </row>
    <row r="351">
      <c r="A351" s="188"/>
      <c r="B351" s="189"/>
      <c r="C351" s="190"/>
      <c r="D351" s="190"/>
      <c r="E351" s="191"/>
      <c r="F351" s="186"/>
      <c r="G351" s="192"/>
      <c r="H351" s="9"/>
      <c r="I351" s="179" t="str">
        <f t="array" ref="I351">IF($F351&lt;&gt;"",XLOOKUP($F351,Productos!$A:$A,Productos!B:B,"Revisar"),"")</f>
        <v/>
      </c>
      <c r="J351" s="179" t="str">
        <f t="array" ref="J351">IF($F351&lt;&gt;"", XLOOKUP($F351,Productos!$A$2:$A1001,Productos!C$2:C1001,"")*$G351,"")</f>
        <v/>
      </c>
      <c r="K351" s="179" t="str">
        <f t="array" ref="K351">IF($F351&lt;&gt;"",XLOOKUP($F351,Productos!$A:$A,Productos!D:D,"Revisar"),"")</f>
        <v/>
      </c>
      <c r="L351" s="179" t="str">
        <f t="array" ref="L351">IF($F351&lt;&gt;"", XLOOKUP($F351,Productos!$A$2:$A1001,Productos!E$2:E1001,"")*$G351,"")</f>
        <v/>
      </c>
      <c r="M351" s="179" t="str">
        <f t="array" ref="M351">IF($F351&lt;&gt;"",XLOOKUP($F351,Productos!$A:$A,Productos!F:F,"Revisar"),"")</f>
        <v/>
      </c>
      <c r="N351" s="179" t="str">
        <f t="array" ref="N351">IF($F351&lt;&gt;"", XLOOKUP($F351,Productos!$A$2:$A1001,Productos!G$2:G1001,"")*$G351,"")</f>
        <v/>
      </c>
      <c r="O351" s="179" t="str">
        <f t="array" ref="O351">IF($F351&lt;&gt;"",XLOOKUP($F351,Productos!$A:$A,Productos!H:H,"Revisar"),"")</f>
        <v/>
      </c>
      <c r="P351" s="179" t="str">
        <f t="array" ref="P351">IF($F351&lt;&gt;"", XLOOKUP($F351,Productos!$A$2:$A1001,Productos!I$2:I1001,"")*$G351,"")</f>
        <v/>
      </c>
      <c r="Q351" s="179" t="str">
        <f t="array" ref="Q351">IF($F351&lt;&gt;"",XLOOKUP($F351,Productos!$A:$A,Productos!J:J,"Revisar"),"")</f>
        <v/>
      </c>
      <c r="R351" s="179" t="str">
        <f t="array" ref="R351">IF($F351&lt;&gt;"", XLOOKUP($F351,Productos!$A$2:$A1001,Productos!K$2:K1001,"")*$G351,"")</f>
        <v/>
      </c>
      <c r="S351" s="179" t="str">
        <f t="array" ref="S351">IF($F351&lt;&gt;"",XLOOKUP($F351,Productos!$A:$A,Productos!L:L,"Revisar"),"")</f>
        <v/>
      </c>
      <c r="T351" s="179" t="str">
        <f t="array" ref="T351">IF($F351&lt;&gt;"", XLOOKUP($F351,Productos!$A$2:$A1001,Productos!M$2:M1001,"")*$G351,"")</f>
        <v/>
      </c>
      <c r="U351" s="179" t="str">
        <f t="array" ref="U351">IF($F351&lt;&gt;"",XLOOKUP($F351,Productos!$A:$A,Productos!N:N,"Revisar"),"")</f>
        <v/>
      </c>
      <c r="V351" s="179" t="str">
        <f t="array" ref="V351">IF($F351&lt;&gt;"", XLOOKUP($F351,Productos!$A$2:$A1001,Productos!O$2:O1001,"")*$G351,"")</f>
        <v/>
      </c>
      <c r="W351" s="179" t="str">
        <f t="array" ref="W351">IF($F351&lt;&gt;"",XLOOKUP($F351,Productos!$A:$A,Productos!P:P,"Revisar"),"")</f>
        <v/>
      </c>
      <c r="X351" s="179" t="str">
        <f t="array" ref="X351">IF($F351&lt;&gt;"", XLOOKUP($F351,Productos!$A$2:$A1001,Productos!Q$2:Q1001,"")*$G351,"")</f>
        <v/>
      </c>
      <c r="Y351" s="179" t="str">
        <f t="array" ref="Y351">IF($F351&lt;&gt;"",XLOOKUP($F351,Productos!$A:$A,Productos!R:R,"Revisar"),"")</f>
        <v/>
      </c>
      <c r="Z351" s="179" t="str">
        <f t="array" ref="Z351">IF($F351&lt;&gt;"", XLOOKUP($F351,Productos!$A$2:$A1001,Productos!S$2:S1001,"")*$G351,"")</f>
        <v/>
      </c>
      <c r="AA351" s="179" t="str">
        <f t="array" ref="AA351">IF($F351&lt;&gt;"",XLOOKUP($F351,Productos!$A:$A,Productos!T:T,"Revisar"),"")</f>
        <v/>
      </c>
      <c r="AB351" s="179" t="str">
        <f t="array" ref="AB351">IF($F351&lt;&gt;"", XLOOKUP($F351,Productos!$A$2:$A1001,Productos!U$2:U1001,"")*$G351,"")</f>
        <v/>
      </c>
      <c r="AC351" s="179" t="str">
        <f t="array" ref="AC351">IF($F351&lt;&gt;"",XLOOKUP($F351,Productos!$A:$A,Productos!V:V,"Revisar"),"")</f>
        <v/>
      </c>
      <c r="AD351" s="179" t="str">
        <f t="array" ref="AD351">IF($F351&lt;&gt;"", XLOOKUP($F351,Productos!$A$2:$A1001,Productos!W$2:W1001,"")*$G351,"")</f>
        <v/>
      </c>
      <c r="AE351" s="179" t="str">
        <f t="array" ref="AE351">IF($F351&lt;&gt;"",XLOOKUP($F351,Productos!$A:$A,Productos!X:X,"Revisar"),"")</f>
        <v/>
      </c>
      <c r="AF351" s="179" t="str">
        <f t="array" ref="AF351">IF($F351&lt;&gt;"", XLOOKUP($F351,Productos!$A$2:$A1001,Productos!Y$2:Y1001,"")*$G351,"")</f>
        <v/>
      </c>
      <c r="AG351" s="179" t="str">
        <f t="array" ref="AG351">IF($F351&lt;&gt;"",XLOOKUP($F351,Productos!$A:$A,Productos!Z:Z,"Revisar"),"")</f>
        <v/>
      </c>
      <c r="AH351" s="179" t="str">
        <f t="array" ref="AH351">IF($F351&lt;&gt;"", XLOOKUP($F351,Productos!$A$2:$A1001,Productos!AA$2:AA1001,"")*$G351,"")</f>
        <v/>
      </c>
      <c r="AI351" s="179" t="str">
        <f t="array" ref="AI351">IF($F351&lt;&gt;"",XLOOKUP($F351,Productos!$A:$A,Productos!AB:AB,"Revisar"),"")</f>
        <v/>
      </c>
      <c r="AJ351" s="179" t="str">
        <f t="array" ref="AJ351">IF($F351&lt;&gt;"", XLOOKUP($F351,Productos!$A$2:$A1001,Productos!AC$2:AC1001,"")*$G351,"")</f>
        <v/>
      </c>
      <c r="AK351" s="179" t="str">
        <f t="array" ref="AK351">IF($F351&lt;&gt;"",XLOOKUP($F351,Productos!$A:$A,Productos!AD:AD,"Revisar"),"")</f>
        <v/>
      </c>
      <c r="AL351" s="179" t="str">
        <f t="array" ref="AL351">IF($F351&lt;&gt;"", XLOOKUP($F351,Productos!$A$2:$A1001,Productos!AE$2:AE1001,"")*$G351,"")</f>
        <v/>
      </c>
      <c r="AM351" s="179" t="str">
        <f t="array" ref="AM351">IF($F351&lt;&gt;"",XLOOKUP($F351,Productos!$A:$A,Productos!AF:AF,"Revisar"),"")</f>
        <v/>
      </c>
      <c r="AN351" s="179" t="str">
        <f t="array" ref="AN351">IF($F351&lt;&gt;"", XLOOKUP($F351,Productos!$A$2:$A1001,Productos!AG$2:AG1001,"")*$G351,"")</f>
        <v/>
      </c>
      <c r="AO351" s="179" t="str">
        <f t="array" ref="AO351">IF($F351&lt;&gt;"",XLOOKUP($F351,Productos!$A:$A,Productos!AH:AH,"Revisar"),"")</f>
        <v/>
      </c>
      <c r="AP351" s="179" t="str">
        <f t="array" ref="AP351">IF($F351&lt;&gt;"", XLOOKUP($F351,Productos!$A$2:$A1001,Productos!AI$2:AI1001,"")*$G351,"")</f>
        <v/>
      </c>
      <c r="AQ351" s="179" t="str">
        <f t="array" ref="AQ351">IF($F351&lt;&gt;"",XLOOKUP($F351,Productos!$A:$A,Productos!AJ:AJ,"Revisar"),"")</f>
        <v/>
      </c>
      <c r="AR351" s="179" t="str">
        <f t="array" ref="AR351">IF($F351&lt;&gt;"", XLOOKUP($F351,Productos!$A$2:$A1001,Productos!AK$2:AK1001,"")*$G351,"")</f>
        <v/>
      </c>
      <c r="AS351" s="179" t="str">
        <f t="array" ref="AS351">IF($F351&lt;&gt;"",XLOOKUP($F351,Productos!$A:$A,Productos!AL:AL,"Revisar"),"")</f>
        <v/>
      </c>
      <c r="AT351" s="179" t="str">
        <f t="array" ref="AT351">IF($F351&lt;&gt;"", XLOOKUP($F351,Productos!$A$2:$A1001,Productos!AM$2:AM1001,"")*$G351,"")</f>
        <v/>
      </c>
      <c r="AU351" s="179" t="str">
        <f t="array" ref="AU351">IF($F351&lt;&gt;"",XLOOKUP($F351,Productos!$A:$A,Productos!AN:AN,"Revisar"),"")</f>
        <v/>
      </c>
      <c r="AV351" s="179" t="str">
        <f t="array" ref="AV351">IF($F351&lt;&gt;"", XLOOKUP($F351,Productos!$A$2:$A1001,Productos!AO$2:AO1001,"")*$G351,"")</f>
        <v/>
      </c>
      <c r="AW351" s="179" t="str">
        <f t="array" ref="AW351">IF($F351&lt;&gt;"",XLOOKUP($F351,Productos!$A:$A,Productos!AP:AP,"Revisar"),"")</f>
        <v/>
      </c>
      <c r="AX351" s="179" t="str">
        <f t="array" ref="AX351">IF($F351&lt;&gt;"", XLOOKUP($F351,Productos!$A$2:$A1001,Productos!AQ$2:AQ1001,"")*$G351,"")</f>
        <v/>
      </c>
      <c r="AY351" s="179" t="str">
        <f t="array" ref="AY351">IF($F351&lt;&gt;"",XLOOKUP($F351,Productos!$A:$A,Productos!AR:AR,"Revisar"),"")</f>
        <v/>
      </c>
      <c r="AZ351" s="179" t="str">
        <f t="array" ref="AZ351">IF($F351&lt;&gt;"", XLOOKUP($F351,Productos!$A$2:$A1001,Productos!AS$2:AS1001,"")*$G351,"")</f>
        <v/>
      </c>
      <c r="BA351" s="179" t="str">
        <f t="array" ref="BA351">IF($F351&lt;&gt;"",XLOOKUP($F351,Productos!$A:$A,Productos!AT:AT,"Revisar"),"")</f>
        <v/>
      </c>
      <c r="BB351" s="179" t="str">
        <f t="array" ref="BB351">IF($F351&lt;&gt;"", XLOOKUP($F351,Productos!$A$2:$A1001,Productos!AU$2:AU1001,"")*$G351,"")</f>
        <v/>
      </c>
      <c r="BC351" s="179" t="str">
        <f t="array" ref="BC351">IF($F351&lt;&gt;"",XLOOKUP($F351,Productos!$A:$A,Productos!AV:AV,"Revisar"),"")</f>
        <v/>
      </c>
      <c r="BD351" s="179" t="str">
        <f t="array" ref="BD351">IF($F351&lt;&gt;"", XLOOKUP($F351,Productos!$A$2:$A1001,Productos!AW$2:AW1001,"")*$G351,"")</f>
        <v/>
      </c>
      <c r="BE351" s="179" t="str">
        <f t="array" ref="BE351">IF($F351&lt;&gt;"",XLOOKUP($F351,Productos!$A:$A,Productos!AX:AX,"Revisar"),"")</f>
        <v/>
      </c>
      <c r="BF351" s="179" t="str">
        <f t="array" ref="BF351">IF($F351&lt;&gt;"", XLOOKUP($F351,Productos!$A$2:$A1001,Productos!AY$2:AY1001,"")*$G351,"")</f>
        <v/>
      </c>
      <c r="BG351" s="179" t="str">
        <f t="array" ref="BG351">IF($F351&lt;&gt;"",XLOOKUP($F351,Productos!$A:$A,Productos!AZ:AZ,"Revisar"),"")</f>
        <v/>
      </c>
      <c r="BH351" s="179" t="str">
        <f t="array" ref="BH351">IF($F351&lt;&gt;"", XLOOKUP($F351,Productos!$A$2:$A1001,Productos!BA$2:BA1001,"")*$G351,"")</f>
        <v/>
      </c>
      <c r="BI351" s="179" t="str">
        <f t="array" ref="BI351">IF($F351&lt;&gt;"",XLOOKUP($F351,Productos!$A:$A,Productos!BB:BB,"Revisar"),"")</f>
        <v/>
      </c>
      <c r="BJ351" s="179" t="str">
        <f t="array" ref="BJ351">IF($F351&lt;&gt;"", XLOOKUP($F351,Productos!$A$2:$A1001,Productos!BC$2:BC1001,"")*$G351,"")</f>
        <v/>
      </c>
      <c r="BK351" s="179" t="str">
        <f t="array" ref="BK351">IF($F351&lt;&gt;"",XLOOKUP($F351,Productos!$A:$A,Productos!BD:BD,"Revisar"),"")</f>
        <v/>
      </c>
      <c r="BL351" s="179" t="str">
        <f t="array" ref="BL351">IF($F351&lt;&gt;"", XLOOKUP($F351,Productos!$A$2:$A1001,Productos!BE$2:BE1001,"")*$G351,"")</f>
        <v/>
      </c>
      <c r="BM351" s="179" t="str">
        <f t="array" ref="BM351">IF($F351&lt;&gt;"",XLOOKUP($F351,Productos!$A:$A,Productos!BF:BF,"Revisar"),"")</f>
        <v/>
      </c>
      <c r="BN351" s="179" t="str">
        <f t="array" ref="BN351">IF($F351&lt;&gt;"", XLOOKUP($F351,Productos!$A$2:$A1001,Productos!BG$2:BG1001,"")*$G351,"")</f>
        <v/>
      </c>
      <c r="BO351" s="179" t="str">
        <f t="array" ref="BO351">IF($F351&lt;&gt;"",XLOOKUP($F351,Productos!$A:$A,Productos!BH:BH,"Revisar"),"")</f>
        <v/>
      </c>
      <c r="BP351" s="179" t="str">
        <f t="array" ref="BP351">IF($F351&lt;&gt;"", XLOOKUP($F351,Productos!$A$2:$A1001,Productos!BI$2:BI1001,"")*$G351,"")</f>
        <v/>
      </c>
      <c r="BQ351" s="179" t="str">
        <f t="array" ref="BQ351">IF($F351&lt;&gt;"",XLOOKUP($F351,Productos!$A:$A,Productos!BJ:BJ,"Revisar"),"")</f>
        <v/>
      </c>
      <c r="BR351" s="179" t="str">
        <f t="array" ref="BR351">IF($F351&lt;&gt;"", XLOOKUP($F351,Productos!$A$2:$A1001,Productos!BK$2:BK1001,"")*$G351,"")</f>
        <v/>
      </c>
      <c r="BS351" s="179" t="str">
        <f t="array" ref="BS351">IF($F351&lt;&gt;"",XLOOKUP($F351,Productos!$A:$A,Productos!BL:BL,"Revisar"),"")</f>
        <v/>
      </c>
      <c r="BT351" s="179" t="str">
        <f t="array" ref="BT351">IF($F351&lt;&gt;"", XLOOKUP($F351,Productos!$A$2:$A1001,Productos!BM$2:BM1001,"")*$G351,"")</f>
        <v/>
      </c>
      <c r="BU351" s="179" t="str">
        <f t="array" ref="BU351">IF($F351&lt;&gt;"",XLOOKUP($F351,Productos!$A:$A,Productos!BN:BN,"Revisar"),"")</f>
        <v/>
      </c>
      <c r="BV351" s="179" t="str">
        <f t="array" ref="BV351">IF($F351&lt;&gt;"", XLOOKUP($F351,Productos!$A$2:$A1001,Productos!BO$2:BO1001,"")*$G351,"")</f>
        <v/>
      </c>
      <c r="BW351" s="179" t="str">
        <f t="array" ref="BW351">IF($F351&lt;&gt;"",XLOOKUP($F351,Productos!$A:$A,Productos!BP:BP,"Revisar"),"")</f>
        <v/>
      </c>
      <c r="BX351" s="179" t="str">
        <f t="array" ref="BX351">IF($F351&lt;&gt;"", XLOOKUP($F351,Productos!$A$2:$A1001,Productos!BQ$2:BQ1001,"")*$G351,"")</f>
        <v/>
      </c>
      <c r="BY351" s="179" t="str">
        <f t="array" ref="BY351">IF($F351&lt;&gt;"",XLOOKUP($F351,Productos!$A:$A,Productos!BR:BR,"Revisar"),"")</f>
        <v/>
      </c>
      <c r="BZ351" s="179" t="str">
        <f t="array" ref="BZ351">IF($F351&lt;&gt;"", XLOOKUP($F351,Productos!$A$2:$A1001,Productos!BS$2:BS1001,"")*$G351,"")</f>
        <v/>
      </c>
    </row>
    <row r="352">
      <c r="A352" s="188"/>
      <c r="B352" s="189"/>
      <c r="C352" s="190"/>
      <c r="D352" s="190"/>
      <c r="E352" s="191"/>
      <c r="F352" s="186"/>
      <c r="G352" s="192"/>
      <c r="H352" s="9"/>
      <c r="I352" s="179" t="str">
        <f t="array" ref="I352">IF($F352&lt;&gt;"",XLOOKUP($F352,Productos!$A:$A,Productos!B:B,"Revisar"),"")</f>
        <v/>
      </c>
      <c r="J352" s="179" t="str">
        <f t="array" ref="J352">IF($F352&lt;&gt;"", XLOOKUP($F352,Productos!$A$2:$A1001,Productos!C$2:C1001,"")*$G352,"")</f>
        <v/>
      </c>
      <c r="K352" s="179" t="str">
        <f t="array" ref="K352">IF($F352&lt;&gt;"",XLOOKUP($F352,Productos!$A:$A,Productos!D:D,"Revisar"),"")</f>
        <v/>
      </c>
      <c r="L352" s="179" t="str">
        <f t="array" ref="L352">IF($F352&lt;&gt;"", XLOOKUP($F352,Productos!$A$2:$A1001,Productos!E$2:E1001,"")*$G352,"")</f>
        <v/>
      </c>
      <c r="M352" s="179" t="str">
        <f t="array" ref="M352">IF($F352&lt;&gt;"",XLOOKUP($F352,Productos!$A:$A,Productos!F:F,"Revisar"),"")</f>
        <v/>
      </c>
      <c r="N352" s="179" t="str">
        <f t="array" ref="N352">IF($F352&lt;&gt;"", XLOOKUP($F352,Productos!$A$2:$A1001,Productos!G$2:G1001,"")*$G352,"")</f>
        <v/>
      </c>
      <c r="O352" s="179" t="str">
        <f t="array" ref="O352">IF($F352&lt;&gt;"",XLOOKUP($F352,Productos!$A:$A,Productos!H:H,"Revisar"),"")</f>
        <v/>
      </c>
      <c r="P352" s="179" t="str">
        <f t="array" ref="P352">IF($F352&lt;&gt;"", XLOOKUP($F352,Productos!$A$2:$A1001,Productos!I$2:I1001,"")*$G352,"")</f>
        <v/>
      </c>
      <c r="Q352" s="179" t="str">
        <f t="array" ref="Q352">IF($F352&lt;&gt;"",XLOOKUP($F352,Productos!$A:$A,Productos!J:J,"Revisar"),"")</f>
        <v/>
      </c>
      <c r="R352" s="179" t="str">
        <f t="array" ref="R352">IF($F352&lt;&gt;"", XLOOKUP($F352,Productos!$A$2:$A1001,Productos!K$2:K1001,"")*$G352,"")</f>
        <v/>
      </c>
      <c r="S352" s="179" t="str">
        <f t="array" ref="S352">IF($F352&lt;&gt;"",XLOOKUP($F352,Productos!$A:$A,Productos!L:L,"Revisar"),"")</f>
        <v/>
      </c>
      <c r="T352" s="179" t="str">
        <f t="array" ref="T352">IF($F352&lt;&gt;"", XLOOKUP($F352,Productos!$A$2:$A1001,Productos!M$2:M1001,"")*$G352,"")</f>
        <v/>
      </c>
      <c r="U352" s="179" t="str">
        <f t="array" ref="U352">IF($F352&lt;&gt;"",XLOOKUP($F352,Productos!$A:$A,Productos!N:N,"Revisar"),"")</f>
        <v/>
      </c>
      <c r="V352" s="179" t="str">
        <f t="array" ref="V352">IF($F352&lt;&gt;"", XLOOKUP($F352,Productos!$A$2:$A1001,Productos!O$2:O1001,"")*$G352,"")</f>
        <v/>
      </c>
      <c r="W352" s="179" t="str">
        <f t="array" ref="W352">IF($F352&lt;&gt;"",XLOOKUP($F352,Productos!$A:$A,Productos!P:P,"Revisar"),"")</f>
        <v/>
      </c>
      <c r="X352" s="179" t="str">
        <f t="array" ref="X352">IF($F352&lt;&gt;"", XLOOKUP($F352,Productos!$A$2:$A1001,Productos!Q$2:Q1001,"")*$G352,"")</f>
        <v/>
      </c>
      <c r="Y352" s="179" t="str">
        <f t="array" ref="Y352">IF($F352&lt;&gt;"",XLOOKUP($F352,Productos!$A:$A,Productos!R:R,"Revisar"),"")</f>
        <v/>
      </c>
      <c r="Z352" s="179" t="str">
        <f t="array" ref="Z352">IF($F352&lt;&gt;"", XLOOKUP($F352,Productos!$A$2:$A1001,Productos!S$2:S1001,"")*$G352,"")</f>
        <v/>
      </c>
      <c r="AA352" s="179" t="str">
        <f t="array" ref="AA352">IF($F352&lt;&gt;"",XLOOKUP($F352,Productos!$A:$A,Productos!T:T,"Revisar"),"")</f>
        <v/>
      </c>
      <c r="AB352" s="179" t="str">
        <f t="array" ref="AB352">IF($F352&lt;&gt;"", XLOOKUP($F352,Productos!$A$2:$A1001,Productos!U$2:U1001,"")*$G352,"")</f>
        <v/>
      </c>
      <c r="AC352" s="179" t="str">
        <f t="array" ref="AC352">IF($F352&lt;&gt;"",XLOOKUP($F352,Productos!$A:$A,Productos!V:V,"Revisar"),"")</f>
        <v/>
      </c>
      <c r="AD352" s="179" t="str">
        <f t="array" ref="AD352">IF($F352&lt;&gt;"", XLOOKUP($F352,Productos!$A$2:$A1001,Productos!W$2:W1001,"")*$G352,"")</f>
        <v/>
      </c>
      <c r="AE352" s="179" t="str">
        <f t="array" ref="AE352">IF($F352&lt;&gt;"",XLOOKUP($F352,Productos!$A:$A,Productos!X:X,"Revisar"),"")</f>
        <v/>
      </c>
      <c r="AF352" s="179" t="str">
        <f t="array" ref="AF352">IF($F352&lt;&gt;"", XLOOKUP($F352,Productos!$A$2:$A1001,Productos!Y$2:Y1001,"")*$G352,"")</f>
        <v/>
      </c>
      <c r="AG352" s="179" t="str">
        <f t="array" ref="AG352">IF($F352&lt;&gt;"",XLOOKUP($F352,Productos!$A:$A,Productos!Z:Z,"Revisar"),"")</f>
        <v/>
      </c>
      <c r="AH352" s="179" t="str">
        <f t="array" ref="AH352">IF($F352&lt;&gt;"", XLOOKUP($F352,Productos!$A$2:$A1001,Productos!AA$2:AA1001,"")*$G352,"")</f>
        <v/>
      </c>
      <c r="AI352" s="179" t="str">
        <f t="array" ref="AI352">IF($F352&lt;&gt;"",XLOOKUP($F352,Productos!$A:$A,Productos!AB:AB,"Revisar"),"")</f>
        <v/>
      </c>
      <c r="AJ352" s="179" t="str">
        <f t="array" ref="AJ352">IF($F352&lt;&gt;"", XLOOKUP($F352,Productos!$A$2:$A1001,Productos!AC$2:AC1001,"")*$G352,"")</f>
        <v/>
      </c>
      <c r="AK352" s="179" t="str">
        <f t="array" ref="AK352">IF($F352&lt;&gt;"",XLOOKUP($F352,Productos!$A:$A,Productos!AD:AD,"Revisar"),"")</f>
        <v/>
      </c>
      <c r="AL352" s="179" t="str">
        <f t="array" ref="AL352">IF($F352&lt;&gt;"", XLOOKUP($F352,Productos!$A$2:$A1001,Productos!AE$2:AE1001,"")*$G352,"")</f>
        <v/>
      </c>
      <c r="AM352" s="179" t="str">
        <f t="array" ref="AM352">IF($F352&lt;&gt;"",XLOOKUP($F352,Productos!$A:$A,Productos!AF:AF,"Revisar"),"")</f>
        <v/>
      </c>
      <c r="AN352" s="179" t="str">
        <f t="array" ref="AN352">IF($F352&lt;&gt;"", XLOOKUP($F352,Productos!$A$2:$A1001,Productos!AG$2:AG1001,"")*$G352,"")</f>
        <v/>
      </c>
      <c r="AO352" s="179" t="str">
        <f t="array" ref="AO352">IF($F352&lt;&gt;"",XLOOKUP($F352,Productos!$A:$A,Productos!AH:AH,"Revisar"),"")</f>
        <v/>
      </c>
      <c r="AP352" s="179" t="str">
        <f t="array" ref="AP352">IF($F352&lt;&gt;"", XLOOKUP($F352,Productos!$A$2:$A1001,Productos!AI$2:AI1001,"")*$G352,"")</f>
        <v/>
      </c>
      <c r="AQ352" s="179" t="str">
        <f t="array" ref="AQ352">IF($F352&lt;&gt;"",XLOOKUP($F352,Productos!$A:$A,Productos!AJ:AJ,"Revisar"),"")</f>
        <v/>
      </c>
      <c r="AR352" s="179" t="str">
        <f t="array" ref="AR352">IF($F352&lt;&gt;"", XLOOKUP($F352,Productos!$A$2:$A1001,Productos!AK$2:AK1001,"")*$G352,"")</f>
        <v/>
      </c>
      <c r="AS352" s="179" t="str">
        <f t="array" ref="AS352">IF($F352&lt;&gt;"",XLOOKUP($F352,Productos!$A:$A,Productos!AL:AL,"Revisar"),"")</f>
        <v/>
      </c>
      <c r="AT352" s="179" t="str">
        <f t="array" ref="AT352">IF($F352&lt;&gt;"", XLOOKUP($F352,Productos!$A$2:$A1001,Productos!AM$2:AM1001,"")*$G352,"")</f>
        <v/>
      </c>
      <c r="AU352" s="179" t="str">
        <f t="array" ref="AU352">IF($F352&lt;&gt;"",XLOOKUP($F352,Productos!$A:$A,Productos!AN:AN,"Revisar"),"")</f>
        <v/>
      </c>
      <c r="AV352" s="179" t="str">
        <f t="array" ref="AV352">IF($F352&lt;&gt;"", XLOOKUP($F352,Productos!$A$2:$A1001,Productos!AO$2:AO1001,"")*$G352,"")</f>
        <v/>
      </c>
      <c r="AW352" s="179" t="str">
        <f t="array" ref="AW352">IF($F352&lt;&gt;"",XLOOKUP($F352,Productos!$A:$A,Productos!AP:AP,"Revisar"),"")</f>
        <v/>
      </c>
      <c r="AX352" s="179" t="str">
        <f t="array" ref="AX352">IF($F352&lt;&gt;"", XLOOKUP($F352,Productos!$A$2:$A1001,Productos!AQ$2:AQ1001,"")*$G352,"")</f>
        <v/>
      </c>
      <c r="AY352" s="179" t="str">
        <f t="array" ref="AY352">IF($F352&lt;&gt;"",XLOOKUP($F352,Productos!$A:$A,Productos!AR:AR,"Revisar"),"")</f>
        <v/>
      </c>
      <c r="AZ352" s="179" t="str">
        <f t="array" ref="AZ352">IF($F352&lt;&gt;"", XLOOKUP($F352,Productos!$A$2:$A1001,Productos!AS$2:AS1001,"")*$G352,"")</f>
        <v/>
      </c>
      <c r="BA352" s="179" t="str">
        <f t="array" ref="BA352">IF($F352&lt;&gt;"",XLOOKUP($F352,Productos!$A:$A,Productos!AT:AT,"Revisar"),"")</f>
        <v/>
      </c>
      <c r="BB352" s="179" t="str">
        <f t="array" ref="BB352">IF($F352&lt;&gt;"", XLOOKUP($F352,Productos!$A$2:$A1001,Productos!AU$2:AU1001,"")*$G352,"")</f>
        <v/>
      </c>
      <c r="BC352" s="179" t="str">
        <f t="array" ref="BC352">IF($F352&lt;&gt;"",XLOOKUP($F352,Productos!$A:$A,Productos!AV:AV,"Revisar"),"")</f>
        <v/>
      </c>
      <c r="BD352" s="179" t="str">
        <f t="array" ref="BD352">IF($F352&lt;&gt;"", XLOOKUP($F352,Productos!$A$2:$A1001,Productos!AW$2:AW1001,"")*$G352,"")</f>
        <v/>
      </c>
      <c r="BE352" s="179" t="str">
        <f t="array" ref="BE352">IF($F352&lt;&gt;"",XLOOKUP($F352,Productos!$A:$A,Productos!AX:AX,"Revisar"),"")</f>
        <v/>
      </c>
      <c r="BF352" s="179" t="str">
        <f t="array" ref="BF352">IF($F352&lt;&gt;"", XLOOKUP($F352,Productos!$A$2:$A1001,Productos!AY$2:AY1001,"")*$G352,"")</f>
        <v/>
      </c>
      <c r="BG352" s="179" t="str">
        <f t="array" ref="BG352">IF($F352&lt;&gt;"",XLOOKUP($F352,Productos!$A:$A,Productos!AZ:AZ,"Revisar"),"")</f>
        <v/>
      </c>
      <c r="BH352" s="179" t="str">
        <f t="array" ref="BH352">IF($F352&lt;&gt;"", XLOOKUP($F352,Productos!$A$2:$A1001,Productos!BA$2:BA1001,"")*$G352,"")</f>
        <v/>
      </c>
      <c r="BI352" s="179" t="str">
        <f t="array" ref="BI352">IF($F352&lt;&gt;"",XLOOKUP($F352,Productos!$A:$A,Productos!BB:BB,"Revisar"),"")</f>
        <v/>
      </c>
      <c r="BJ352" s="179" t="str">
        <f t="array" ref="BJ352">IF($F352&lt;&gt;"", XLOOKUP($F352,Productos!$A$2:$A1001,Productos!BC$2:BC1001,"")*$G352,"")</f>
        <v/>
      </c>
      <c r="BK352" s="179" t="str">
        <f t="array" ref="BK352">IF($F352&lt;&gt;"",XLOOKUP($F352,Productos!$A:$A,Productos!BD:BD,"Revisar"),"")</f>
        <v/>
      </c>
      <c r="BL352" s="179" t="str">
        <f t="array" ref="BL352">IF($F352&lt;&gt;"", XLOOKUP($F352,Productos!$A$2:$A1001,Productos!BE$2:BE1001,"")*$G352,"")</f>
        <v/>
      </c>
      <c r="BM352" s="179" t="str">
        <f t="array" ref="BM352">IF($F352&lt;&gt;"",XLOOKUP($F352,Productos!$A:$A,Productos!BF:BF,"Revisar"),"")</f>
        <v/>
      </c>
      <c r="BN352" s="179" t="str">
        <f t="array" ref="BN352">IF($F352&lt;&gt;"", XLOOKUP($F352,Productos!$A$2:$A1001,Productos!BG$2:BG1001,"")*$G352,"")</f>
        <v/>
      </c>
      <c r="BO352" s="179" t="str">
        <f t="array" ref="BO352">IF($F352&lt;&gt;"",XLOOKUP($F352,Productos!$A:$A,Productos!BH:BH,"Revisar"),"")</f>
        <v/>
      </c>
      <c r="BP352" s="179" t="str">
        <f t="array" ref="BP352">IF($F352&lt;&gt;"", XLOOKUP($F352,Productos!$A$2:$A1001,Productos!BI$2:BI1001,"")*$G352,"")</f>
        <v/>
      </c>
      <c r="BQ352" s="179" t="str">
        <f t="array" ref="BQ352">IF($F352&lt;&gt;"",XLOOKUP($F352,Productos!$A:$A,Productos!BJ:BJ,"Revisar"),"")</f>
        <v/>
      </c>
      <c r="BR352" s="179" t="str">
        <f t="array" ref="BR352">IF($F352&lt;&gt;"", XLOOKUP($F352,Productos!$A$2:$A1001,Productos!BK$2:BK1001,"")*$G352,"")</f>
        <v/>
      </c>
      <c r="BS352" s="179" t="str">
        <f t="array" ref="BS352">IF($F352&lt;&gt;"",XLOOKUP($F352,Productos!$A:$A,Productos!BL:BL,"Revisar"),"")</f>
        <v/>
      </c>
      <c r="BT352" s="179" t="str">
        <f t="array" ref="BT352">IF($F352&lt;&gt;"", XLOOKUP($F352,Productos!$A$2:$A1001,Productos!BM$2:BM1001,"")*$G352,"")</f>
        <v/>
      </c>
      <c r="BU352" s="179" t="str">
        <f t="array" ref="BU352">IF($F352&lt;&gt;"",XLOOKUP($F352,Productos!$A:$A,Productos!BN:BN,"Revisar"),"")</f>
        <v/>
      </c>
      <c r="BV352" s="179" t="str">
        <f t="array" ref="BV352">IF($F352&lt;&gt;"", XLOOKUP($F352,Productos!$A$2:$A1001,Productos!BO$2:BO1001,"")*$G352,"")</f>
        <v/>
      </c>
      <c r="BW352" s="179" t="str">
        <f t="array" ref="BW352">IF($F352&lt;&gt;"",XLOOKUP($F352,Productos!$A:$A,Productos!BP:BP,"Revisar"),"")</f>
        <v/>
      </c>
      <c r="BX352" s="179" t="str">
        <f t="array" ref="BX352">IF($F352&lt;&gt;"", XLOOKUP($F352,Productos!$A$2:$A1001,Productos!BQ$2:BQ1001,"")*$G352,"")</f>
        <v/>
      </c>
      <c r="BY352" s="179" t="str">
        <f t="array" ref="BY352">IF($F352&lt;&gt;"",XLOOKUP($F352,Productos!$A:$A,Productos!BR:BR,"Revisar"),"")</f>
        <v/>
      </c>
      <c r="BZ352" s="179" t="str">
        <f t="array" ref="BZ352">IF($F352&lt;&gt;"", XLOOKUP($F352,Productos!$A$2:$A1001,Productos!BS$2:BS1001,"")*$G352,"")</f>
        <v/>
      </c>
    </row>
    <row r="353">
      <c r="A353" s="188"/>
      <c r="B353" s="189"/>
      <c r="C353" s="190"/>
      <c r="D353" s="190"/>
      <c r="E353" s="191"/>
      <c r="F353" s="186"/>
      <c r="G353" s="192"/>
      <c r="H353" s="9"/>
      <c r="I353" s="179" t="str">
        <f t="array" ref="I353">IF($F353&lt;&gt;"",XLOOKUP($F353,Productos!$A:$A,Productos!B:B,"Revisar"),"")</f>
        <v/>
      </c>
      <c r="J353" s="179" t="str">
        <f t="array" ref="J353">IF($F353&lt;&gt;"", XLOOKUP($F353,Productos!$A$2:$A1001,Productos!C$2:C1001,"")*$G353,"")</f>
        <v/>
      </c>
      <c r="K353" s="179" t="str">
        <f t="array" ref="K353">IF($F353&lt;&gt;"",XLOOKUP($F353,Productos!$A:$A,Productos!D:D,"Revisar"),"")</f>
        <v/>
      </c>
      <c r="L353" s="179" t="str">
        <f t="array" ref="L353">IF($F353&lt;&gt;"", XLOOKUP($F353,Productos!$A$2:$A1001,Productos!E$2:E1001,"")*$G353,"")</f>
        <v/>
      </c>
      <c r="M353" s="179" t="str">
        <f t="array" ref="M353">IF($F353&lt;&gt;"",XLOOKUP($F353,Productos!$A:$A,Productos!F:F,"Revisar"),"")</f>
        <v/>
      </c>
      <c r="N353" s="179" t="str">
        <f t="array" ref="N353">IF($F353&lt;&gt;"", XLOOKUP($F353,Productos!$A$2:$A1001,Productos!G$2:G1001,"")*$G353,"")</f>
        <v/>
      </c>
      <c r="O353" s="179" t="str">
        <f t="array" ref="O353">IF($F353&lt;&gt;"",XLOOKUP($F353,Productos!$A:$A,Productos!H:H,"Revisar"),"")</f>
        <v/>
      </c>
      <c r="P353" s="179" t="str">
        <f t="array" ref="P353">IF($F353&lt;&gt;"", XLOOKUP($F353,Productos!$A$2:$A1001,Productos!I$2:I1001,"")*$G353,"")</f>
        <v/>
      </c>
      <c r="Q353" s="179" t="str">
        <f t="array" ref="Q353">IF($F353&lt;&gt;"",XLOOKUP($F353,Productos!$A:$A,Productos!J:J,"Revisar"),"")</f>
        <v/>
      </c>
      <c r="R353" s="179" t="str">
        <f t="array" ref="R353">IF($F353&lt;&gt;"", XLOOKUP($F353,Productos!$A$2:$A1001,Productos!K$2:K1001,"")*$G353,"")</f>
        <v/>
      </c>
      <c r="S353" s="179" t="str">
        <f t="array" ref="S353">IF($F353&lt;&gt;"",XLOOKUP($F353,Productos!$A:$A,Productos!L:L,"Revisar"),"")</f>
        <v/>
      </c>
      <c r="T353" s="179" t="str">
        <f t="array" ref="T353">IF($F353&lt;&gt;"", XLOOKUP($F353,Productos!$A$2:$A1001,Productos!M$2:M1001,"")*$G353,"")</f>
        <v/>
      </c>
      <c r="U353" s="179" t="str">
        <f t="array" ref="U353">IF($F353&lt;&gt;"",XLOOKUP($F353,Productos!$A:$A,Productos!N:N,"Revisar"),"")</f>
        <v/>
      </c>
      <c r="V353" s="179" t="str">
        <f t="array" ref="V353">IF($F353&lt;&gt;"", XLOOKUP($F353,Productos!$A$2:$A1001,Productos!O$2:O1001,"")*$G353,"")</f>
        <v/>
      </c>
      <c r="W353" s="179" t="str">
        <f t="array" ref="W353">IF($F353&lt;&gt;"",XLOOKUP($F353,Productos!$A:$A,Productos!P:P,"Revisar"),"")</f>
        <v/>
      </c>
      <c r="X353" s="179" t="str">
        <f t="array" ref="X353">IF($F353&lt;&gt;"", XLOOKUP($F353,Productos!$A$2:$A1001,Productos!Q$2:Q1001,"")*$G353,"")</f>
        <v/>
      </c>
      <c r="Y353" s="179" t="str">
        <f t="array" ref="Y353">IF($F353&lt;&gt;"",XLOOKUP($F353,Productos!$A:$A,Productos!R:R,"Revisar"),"")</f>
        <v/>
      </c>
      <c r="Z353" s="179" t="str">
        <f t="array" ref="Z353">IF($F353&lt;&gt;"", XLOOKUP($F353,Productos!$A$2:$A1001,Productos!S$2:S1001,"")*$G353,"")</f>
        <v/>
      </c>
      <c r="AA353" s="179" t="str">
        <f t="array" ref="AA353">IF($F353&lt;&gt;"",XLOOKUP($F353,Productos!$A:$A,Productos!T:T,"Revisar"),"")</f>
        <v/>
      </c>
      <c r="AB353" s="179" t="str">
        <f t="array" ref="AB353">IF($F353&lt;&gt;"", XLOOKUP($F353,Productos!$A$2:$A1001,Productos!U$2:U1001,"")*$G353,"")</f>
        <v/>
      </c>
      <c r="AC353" s="179" t="str">
        <f t="array" ref="AC353">IF($F353&lt;&gt;"",XLOOKUP($F353,Productos!$A:$A,Productos!V:V,"Revisar"),"")</f>
        <v/>
      </c>
      <c r="AD353" s="179" t="str">
        <f t="array" ref="AD353">IF($F353&lt;&gt;"", XLOOKUP($F353,Productos!$A$2:$A1001,Productos!W$2:W1001,"")*$G353,"")</f>
        <v/>
      </c>
      <c r="AE353" s="179" t="str">
        <f t="array" ref="AE353">IF($F353&lt;&gt;"",XLOOKUP($F353,Productos!$A:$A,Productos!X:X,"Revisar"),"")</f>
        <v/>
      </c>
      <c r="AF353" s="179" t="str">
        <f t="array" ref="AF353">IF($F353&lt;&gt;"", XLOOKUP($F353,Productos!$A$2:$A1001,Productos!Y$2:Y1001,"")*$G353,"")</f>
        <v/>
      </c>
      <c r="AG353" s="179" t="str">
        <f t="array" ref="AG353">IF($F353&lt;&gt;"",XLOOKUP($F353,Productos!$A:$A,Productos!Z:Z,"Revisar"),"")</f>
        <v/>
      </c>
      <c r="AH353" s="179" t="str">
        <f t="array" ref="AH353">IF($F353&lt;&gt;"", XLOOKUP($F353,Productos!$A$2:$A1001,Productos!AA$2:AA1001,"")*$G353,"")</f>
        <v/>
      </c>
      <c r="AI353" s="179" t="str">
        <f t="array" ref="AI353">IF($F353&lt;&gt;"",XLOOKUP($F353,Productos!$A:$A,Productos!AB:AB,"Revisar"),"")</f>
        <v/>
      </c>
      <c r="AJ353" s="179" t="str">
        <f t="array" ref="AJ353">IF($F353&lt;&gt;"", XLOOKUP($F353,Productos!$A$2:$A1001,Productos!AC$2:AC1001,"")*$G353,"")</f>
        <v/>
      </c>
      <c r="AK353" s="179" t="str">
        <f t="array" ref="AK353">IF($F353&lt;&gt;"",XLOOKUP($F353,Productos!$A:$A,Productos!AD:AD,"Revisar"),"")</f>
        <v/>
      </c>
      <c r="AL353" s="179" t="str">
        <f t="array" ref="AL353">IF($F353&lt;&gt;"", XLOOKUP($F353,Productos!$A$2:$A1001,Productos!AE$2:AE1001,"")*$G353,"")</f>
        <v/>
      </c>
      <c r="AM353" s="179" t="str">
        <f t="array" ref="AM353">IF($F353&lt;&gt;"",XLOOKUP($F353,Productos!$A:$A,Productos!AF:AF,"Revisar"),"")</f>
        <v/>
      </c>
      <c r="AN353" s="179" t="str">
        <f t="array" ref="AN353">IF($F353&lt;&gt;"", XLOOKUP($F353,Productos!$A$2:$A1001,Productos!AG$2:AG1001,"")*$G353,"")</f>
        <v/>
      </c>
      <c r="AO353" s="179" t="str">
        <f t="array" ref="AO353">IF($F353&lt;&gt;"",XLOOKUP($F353,Productos!$A:$A,Productos!AH:AH,"Revisar"),"")</f>
        <v/>
      </c>
      <c r="AP353" s="179" t="str">
        <f t="array" ref="AP353">IF($F353&lt;&gt;"", XLOOKUP($F353,Productos!$A$2:$A1001,Productos!AI$2:AI1001,"")*$G353,"")</f>
        <v/>
      </c>
      <c r="AQ353" s="179" t="str">
        <f t="array" ref="AQ353">IF($F353&lt;&gt;"",XLOOKUP($F353,Productos!$A:$A,Productos!AJ:AJ,"Revisar"),"")</f>
        <v/>
      </c>
      <c r="AR353" s="179" t="str">
        <f t="array" ref="AR353">IF($F353&lt;&gt;"", XLOOKUP($F353,Productos!$A$2:$A1001,Productos!AK$2:AK1001,"")*$G353,"")</f>
        <v/>
      </c>
      <c r="AS353" s="179" t="str">
        <f t="array" ref="AS353">IF($F353&lt;&gt;"",XLOOKUP($F353,Productos!$A:$A,Productos!AL:AL,"Revisar"),"")</f>
        <v/>
      </c>
      <c r="AT353" s="179" t="str">
        <f t="array" ref="AT353">IF($F353&lt;&gt;"", XLOOKUP($F353,Productos!$A$2:$A1001,Productos!AM$2:AM1001,"")*$G353,"")</f>
        <v/>
      </c>
      <c r="AU353" s="179" t="str">
        <f t="array" ref="AU353">IF($F353&lt;&gt;"",XLOOKUP($F353,Productos!$A:$A,Productos!AN:AN,"Revisar"),"")</f>
        <v/>
      </c>
      <c r="AV353" s="179" t="str">
        <f t="array" ref="AV353">IF($F353&lt;&gt;"", XLOOKUP($F353,Productos!$A$2:$A1001,Productos!AO$2:AO1001,"")*$G353,"")</f>
        <v/>
      </c>
      <c r="AW353" s="179" t="str">
        <f t="array" ref="AW353">IF($F353&lt;&gt;"",XLOOKUP($F353,Productos!$A:$A,Productos!AP:AP,"Revisar"),"")</f>
        <v/>
      </c>
      <c r="AX353" s="179" t="str">
        <f t="array" ref="AX353">IF($F353&lt;&gt;"", XLOOKUP($F353,Productos!$A$2:$A1001,Productos!AQ$2:AQ1001,"")*$G353,"")</f>
        <v/>
      </c>
      <c r="AY353" s="179" t="str">
        <f t="array" ref="AY353">IF($F353&lt;&gt;"",XLOOKUP($F353,Productos!$A:$A,Productos!AR:AR,"Revisar"),"")</f>
        <v/>
      </c>
      <c r="AZ353" s="179" t="str">
        <f t="array" ref="AZ353">IF($F353&lt;&gt;"", XLOOKUP($F353,Productos!$A$2:$A1001,Productos!AS$2:AS1001,"")*$G353,"")</f>
        <v/>
      </c>
      <c r="BA353" s="179" t="str">
        <f t="array" ref="BA353">IF($F353&lt;&gt;"",XLOOKUP($F353,Productos!$A:$A,Productos!AT:AT,"Revisar"),"")</f>
        <v/>
      </c>
      <c r="BB353" s="179" t="str">
        <f t="array" ref="BB353">IF($F353&lt;&gt;"", XLOOKUP($F353,Productos!$A$2:$A1001,Productos!AU$2:AU1001,"")*$G353,"")</f>
        <v/>
      </c>
      <c r="BC353" s="179" t="str">
        <f t="array" ref="BC353">IF($F353&lt;&gt;"",XLOOKUP($F353,Productos!$A:$A,Productos!AV:AV,"Revisar"),"")</f>
        <v/>
      </c>
      <c r="BD353" s="179" t="str">
        <f t="array" ref="BD353">IF($F353&lt;&gt;"", XLOOKUP($F353,Productos!$A$2:$A1001,Productos!AW$2:AW1001,"")*$G353,"")</f>
        <v/>
      </c>
      <c r="BE353" s="179" t="str">
        <f t="array" ref="BE353">IF($F353&lt;&gt;"",XLOOKUP($F353,Productos!$A:$A,Productos!AX:AX,"Revisar"),"")</f>
        <v/>
      </c>
      <c r="BF353" s="179" t="str">
        <f t="array" ref="BF353">IF($F353&lt;&gt;"", XLOOKUP($F353,Productos!$A$2:$A1001,Productos!AY$2:AY1001,"")*$G353,"")</f>
        <v/>
      </c>
      <c r="BG353" s="179" t="str">
        <f t="array" ref="BG353">IF($F353&lt;&gt;"",XLOOKUP($F353,Productos!$A:$A,Productos!AZ:AZ,"Revisar"),"")</f>
        <v/>
      </c>
      <c r="BH353" s="179" t="str">
        <f t="array" ref="BH353">IF($F353&lt;&gt;"", XLOOKUP($F353,Productos!$A$2:$A1001,Productos!BA$2:BA1001,"")*$G353,"")</f>
        <v/>
      </c>
      <c r="BI353" s="179" t="str">
        <f t="array" ref="BI353">IF($F353&lt;&gt;"",XLOOKUP($F353,Productos!$A:$A,Productos!BB:BB,"Revisar"),"")</f>
        <v/>
      </c>
      <c r="BJ353" s="179" t="str">
        <f t="array" ref="BJ353">IF($F353&lt;&gt;"", XLOOKUP($F353,Productos!$A$2:$A1001,Productos!BC$2:BC1001,"")*$G353,"")</f>
        <v/>
      </c>
      <c r="BK353" s="179" t="str">
        <f t="array" ref="BK353">IF($F353&lt;&gt;"",XLOOKUP($F353,Productos!$A:$A,Productos!BD:BD,"Revisar"),"")</f>
        <v/>
      </c>
      <c r="BL353" s="179" t="str">
        <f t="array" ref="BL353">IF($F353&lt;&gt;"", XLOOKUP($F353,Productos!$A$2:$A1001,Productos!BE$2:BE1001,"")*$G353,"")</f>
        <v/>
      </c>
      <c r="BM353" s="179" t="str">
        <f t="array" ref="BM353">IF($F353&lt;&gt;"",XLOOKUP($F353,Productos!$A:$A,Productos!BF:BF,"Revisar"),"")</f>
        <v/>
      </c>
      <c r="BN353" s="179" t="str">
        <f t="array" ref="BN353">IF($F353&lt;&gt;"", XLOOKUP($F353,Productos!$A$2:$A1001,Productos!BG$2:BG1001,"")*$G353,"")</f>
        <v/>
      </c>
      <c r="BO353" s="179" t="str">
        <f t="array" ref="BO353">IF($F353&lt;&gt;"",XLOOKUP($F353,Productos!$A:$A,Productos!BH:BH,"Revisar"),"")</f>
        <v/>
      </c>
      <c r="BP353" s="179" t="str">
        <f t="array" ref="BP353">IF($F353&lt;&gt;"", XLOOKUP($F353,Productos!$A$2:$A1001,Productos!BI$2:BI1001,"")*$G353,"")</f>
        <v/>
      </c>
      <c r="BQ353" s="179" t="str">
        <f t="array" ref="BQ353">IF($F353&lt;&gt;"",XLOOKUP($F353,Productos!$A:$A,Productos!BJ:BJ,"Revisar"),"")</f>
        <v/>
      </c>
      <c r="BR353" s="179" t="str">
        <f t="array" ref="BR353">IF($F353&lt;&gt;"", XLOOKUP($F353,Productos!$A$2:$A1001,Productos!BK$2:BK1001,"")*$G353,"")</f>
        <v/>
      </c>
      <c r="BS353" s="179" t="str">
        <f t="array" ref="BS353">IF($F353&lt;&gt;"",XLOOKUP($F353,Productos!$A:$A,Productos!BL:BL,"Revisar"),"")</f>
        <v/>
      </c>
      <c r="BT353" s="179" t="str">
        <f t="array" ref="BT353">IF($F353&lt;&gt;"", XLOOKUP($F353,Productos!$A$2:$A1001,Productos!BM$2:BM1001,"")*$G353,"")</f>
        <v/>
      </c>
      <c r="BU353" s="179" t="str">
        <f t="array" ref="BU353">IF($F353&lt;&gt;"",XLOOKUP($F353,Productos!$A:$A,Productos!BN:BN,"Revisar"),"")</f>
        <v/>
      </c>
      <c r="BV353" s="179" t="str">
        <f t="array" ref="BV353">IF($F353&lt;&gt;"", XLOOKUP($F353,Productos!$A$2:$A1001,Productos!BO$2:BO1001,"")*$G353,"")</f>
        <v/>
      </c>
      <c r="BW353" s="179" t="str">
        <f t="array" ref="BW353">IF($F353&lt;&gt;"",XLOOKUP($F353,Productos!$A:$A,Productos!BP:BP,"Revisar"),"")</f>
        <v/>
      </c>
      <c r="BX353" s="179" t="str">
        <f t="array" ref="BX353">IF($F353&lt;&gt;"", XLOOKUP($F353,Productos!$A$2:$A1001,Productos!BQ$2:BQ1001,"")*$G353,"")</f>
        <v/>
      </c>
      <c r="BY353" s="179" t="str">
        <f t="array" ref="BY353">IF($F353&lt;&gt;"",XLOOKUP($F353,Productos!$A:$A,Productos!BR:BR,"Revisar"),"")</f>
        <v/>
      </c>
      <c r="BZ353" s="179" t="str">
        <f t="array" ref="BZ353">IF($F353&lt;&gt;"", XLOOKUP($F353,Productos!$A$2:$A1001,Productos!BS$2:BS1001,"")*$G353,"")</f>
        <v/>
      </c>
    </row>
    <row r="354">
      <c r="A354" s="188"/>
      <c r="B354" s="189"/>
      <c r="C354" s="190"/>
      <c r="D354" s="190"/>
      <c r="E354" s="191"/>
      <c r="F354" s="186"/>
      <c r="G354" s="192"/>
      <c r="H354" s="9"/>
      <c r="I354" s="179" t="str">
        <f t="array" ref="I354">IF($F354&lt;&gt;"",XLOOKUP($F354,Productos!$A:$A,Productos!B:B,"Revisar"),"")</f>
        <v/>
      </c>
      <c r="J354" s="179" t="str">
        <f t="array" ref="J354">IF($F354&lt;&gt;"", XLOOKUP($F354,Productos!$A$2:$A1001,Productos!C$2:C1001,"")*$G354,"")</f>
        <v/>
      </c>
      <c r="K354" s="179" t="str">
        <f t="array" ref="K354">IF($F354&lt;&gt;"",XLOOKUP($F354,Productos!$A:$A,Productos!D:D,"Revisar"),"")</f>
        <v/>
      </c>
      <c r="L354" s="179" t="str">
        <f t="array" ref="L354">IF($F354&lt;&gt;"", XLOOKUP($F354,Productos!$A$2:$A1001,Productos!E$2:E1001,"")*$G354,"")</f>
        <v/>
      </c>
      <c r="M354" s="179" t="str">
        <f t="array" ref="M354">IF($F354&lt;&gt;"",XLOOKUP($F354,Productos!$A:$A,Productos!F:F,"Revisar"),"")</f>
        <v/>
      </c>
      <c r="N354" s="179" t="str">
        <f t="array" ref="N354">IF($F354&lt;&gt;"", XLOOKUP($F354,Productos!$A$2:$A1001,Productos!G$2:G1001,"")*$G354,"")</f>
        <v/>
      </c>
      <c r="O354" s="179" t="str">
        <f t="array" ref="O354">IF($F354&lt;&gt;"",XLOOKUP($F354,Productos!$A:$A,Productos!H:H,"Revisar"),"")</f>
        <v/>
      </c>
      <c r="P354" s="179" t="str">
        <f t="array" ref="P354">IF($F354&lt;&gt;"", XLOOKUP($F354,Productos!$A$2:$A1001,Productos!I$2:I1001,"")*$G354,"")</f>
        <v/>
      </c>
      <c r="Q354" s="179" t="str">
        <f t="array" ref="Q354">IF($F354&lt;&gt;"",XLOOKUP($F354,Productos!$A:$A,Productos!J:J,"Revisar"),"")</f>
        <v/>
      </c>
      <c r="R354" s="179" t="str">
        <f t="array" ref="R354">IF($F354&lt;&gt;"", XLOOKUP($F354,Productos!$A$2:$A1001,Productos!K$2:K1001,"")*$G354,"")</f>
        <v/>
      </c>
      <c r="S354" s="179" t="str">
        <f t="array" ref="S354">IF($F354&lt;&gt;"",XLOOKUP($F354,Productos!$A:$A,Productos!L:L,"Revisar"),"")</f>
        <v/>
      </c>
      <c r="T354" s="179" t="str">
        <f t="array" ref="T354">IF($F354&lt;&gt;"", XLOOKUP($F354,Productos!$A$2:$A1001,Productos!M$2:M1001,"")*$G354,"")</f>
        <v/>
      </c>
      <c r="U354" s="179" t="str">
        <f t="array" ref="U354">IF($F354&lt;&gt;"",XLOOKUP($F354,Productos!$A:$A,Productos!N:N,"Revisar"),"")</f>
        <v/>
      </c>
      <c r="V354" s="179" t="str">
        <f t="array" ref="V354">IF($F354&lt;&gt;"", XLOOKUP($F354,Productos!$A$2:$A1001,Productos!O$2:O1001,"")*$G354,"")</f>
        <v/>
      </c>
      <c r="W354" s="179" t="str">
        <f t="array" ref="W354">IF($F354&lt;&gt;"",XLOOKUP($F354,Productos!$A:$A,Productos!P:P,"Revisar"),"")</f>
        <v/>
      </c>
      <c r="X354" s="179" t="str">
        <f t="array" ref="X354">IF($F354&lt;&gt;"", XLOOKUP($F354,Productos!$A$2:$A1001,Productos!Q$2:Q1001,"")*$G354,"")</f>
        <v/>
      </c>
      <c r="Y354" s="179" t="str">
        <f t="array" ref="Y354">IF($F354&lt;&gt;"",XLOOKUP($F354,Productos!$A:$A,Productos!R:R,"Revisar"),"")</f>
        <v/>
      </c>
      <c r="Z354" s="179" t="str">
        <f t="array" ref="Z354">IF($F354&lt;&gt;"", XLOOKUP($F354,Productos!$A$2:$A1001,Productos!S$2:S1001,"")*$G354,"")</f>
        <v/>
      </c>
      <c r="AA354" s="179" t="str">
        <f t="array" ref="AA354">IF($F354&lt;&gt;"",XLOOKUP($F354,Productos!$A:$A,Productos!T:T,"Revisar"),"")</f>
        <v/>
      </c>
      <c r="AB354" s="179" t="str">
        <f t="array" ref="AB354">IF($F354&lt;&gt;"", XLOOKUP($F354,Productos!$A$2:$A1001,Productos!U$2:U1001,"")*$G354,"")</f>
        <v/>
      </c>
      <c r="AC354" s="179" t="str">
        <f t="array" ref="AC354">IF($F354&lt;&gt;"",XLOOKUP($F354,Productos!$A:$A,Productos!V:V,"Revisar"),"")</f>
        <v/>
      </c>
      <c r="AD354" s="179" t="str">
        <f t="array" ref="AD354">IF($F354&lt;&gt;"", XLOOKUP($F354,Productos!$A$2:$A1001,Productos!W$2:W1001,"")*$G354,"")</f>
        <v/>
      </c>
      <c r="AE354" s="179" t="str">
        <f t="array" ref="AE354">IF($F354&lt;&gt;"",XLOOKUP($F354,Productos!$A:$A,Productos!X:X,"Revisar"),"")</f>
        <v/>
      </c>
      <c r="AF354" s="179" t="str">
        <f t="array" ref="AF354">IF($F354&lt;&gt;"", XLOOKUP($F354,Productos!$A$2:$A1001,Productos!Y$2:Y1001,"")*$G354,"")</f>
        <v/>
      </c>
      <c r="AG354" s="179" t="str">
        <f t="array" ref="AG354">IF($F354&lt;&gt;"",XLOOKUP($F354,Productos!$A:$A,Productos!Z:Z,"Revisar"),"")</f>
        <v/>
      </c>
      <c r="AH354" s="179" t="str">
        <f t="array" ref="AH354">IF($F354&lt;&gt;"", XLOOKUP($F354,Productos!$A$2:$A1001,Productos!AA$2:AA1001,"")*$G354,"")</f>
        <v/>
      </c>
      <c r="AI354" s="179" t="str">
        <f t="array" ref="AI354">IF($F354&lt;&gt;"",XLOOKUP($F354,Productos!$A:$A,Productos!AB:AB,"Revisar"),"")</f>
        <v/>
      </c>
      <c r="AJ354" s="179" t="str">
        <f t="array" ref="AJ354">IF($F354&lt;&gt;"", XLOOKUP($F354,Productos!$A$2:$A1001,Productos!AC$2:AC1001,"")*$G354,"")</f>
        <v/>
      </c>
      <c r="AK354" s="179" t="str">
        <f t="array" ref="AK354">IF($F354&lt;&gt;"",XLOOKUP($F354,Productos!$A:$A,Productos!AD:AD,"Revisar"),"")</f>
        <v/>
      </c>
      <c r="AL354" s="179" t="str">
        <f t="array" ref="AL354">IF($F354&lt;&gt;"", XLOOKUP($F354,Productos!$A$2:$A1001,Productos!AE$2:AE1001,"")*$G354,"")</f>
        <v/>
      </c>
      <c r="AM354" s="179" t="str">
        <f t="array" ref="AM354">IF($F354&lt;&gt;"",XLOOKUP($F354,Productos!$A:$A,Productos!AF:AF,"Revisar"),"")</f>
        <v/>
      </c>
      <c r="AN354" s="179" t="str">
        <f t="array" ref="AN354">IF($F354&lt;&gt;"", XLOOKUP($F354,Productos!$A$2:$A1001,Productos!AG$2:AG1001,"")*$G354,"")</f>
        <v/>
      </c>
      <c r="AO354" s="179" t="str">
        <f t="array" ref="AO354">IF($F354&lt;&gt;"",XLOOKUP($F354,Productos!$A:$A,Productos!AH:AH,"Revisar"),"")</f>
        <v/>
      </c>
      <c r="AP354" s="179" t="str">
        <f t="array" ref="AP354">IF($F354&lt;&gt;"", XLOOKUP($F354,Productos!$A$2:$A1001,Productos!AI$2:AI1001,"")*$G354,"")</f>
        <v/>
      </c>
      <c r="AQ354" s="179" t="str">
        <f t="array" ref="AQ354">IF($F354&lt;&gt;"",XLOOKUP($F354,Productos!$A:$A,Productos!AJ:AJ,"Revisar"),"")</f>
        <v/>
      </c>
      <c r="AR354" s="179" t="str">
        <f t="array" ref="AR354">IF($F354&lt;&gt;"", XLOOKUP($F354,Productos!$A$2:$A1001,Productos!AK$2:AK1001,"")*$G354,"")</f>
        <v/>
      </c>
      <c r="AS354" s="179" t="str">
        <f t="array" ref="AS354">IF($F354&lt;&gt;"",XLOOKUP($F354,Productos!$A:$A,Productos!AL:AL,"Revisar"),"")</f>
        <v/>
      </c>
      <c r="AT354" s="179" t="str">
        <f t="array" ref="AT354">IF($F354&lt;&gt;"", XLOOKUP($F354,Productos!$A$2:$A1001,Productos!AM$2:AM1001,"")*$G354,"")</f>
        <v/>
      </c>
      <c r="AU354" s="179" t="str">
        <f t="array" ref="AU354">IF($F354&lt;&gt;"",XLOOKUP($F354,Productos!$A:$A,Productos!AN:AN,"Revisar"),"")</f>
        <v/>
      </c>
      <c r="AV354" s="179" t="str">
        <f t="array" ref="AV354">IF($F354&lt;&gt;"", XLOOKUP($F354,Productos!$A$2:$A1001,Productos!AO$2:AO1001,"")*$G354,"")</f>
        <v/>
      </c>
      <c r="AW354" s="179" t="str">
        <f t="array" ref="AW354">IF($F354&lt;&gt;"",XLOOKUP($F354,Productos!$A:$A,Productos!AP:AP,"Revisar"),"")</f>
        <v/>
      </c>
      <c r="AX354" s="179" t="str">
        <f t="array" ref="AX354">IF($F354&lt;&gt;"", XLOOKUP($F354,Productos!$A$2:$A1001,Productos!AQ$2:AQ1001,"")*$G354,"")</f>
        <v/>
      </c>
      <c r="AY354" s="179" t="str">
        <f t="array" ref="AY354">IF($F354&lt;&gt;"",XLOOKUP($F354,Productos!$A:$A,Productos!AR:AR,"Revisar"),"")</f>
        <v/>
      </c>
      <c r="AZ354" s="179" t="str">
        <f t="array" ref="AZ354">IF($F354&lt;&gt;"", XLOOKUP($F354,Productos!$A$2:$A1001,Productos!AS$2:AS1001,"")*$G354,"")</f>
        <v/>
      </c>
      <c r="BA354" s="179" t="str">
        <f t="array" ref="BA354">IF($F354&lt;&gt;"",XLOOKUP($F354,Productos!$A:$A,Productos!AT:AT,"Revisar"),"")</f>
        <v/>
      </c>
      <c r="BB354" s="179" t="str">
        <f t="array" ref="BB354">IF($F354&lt;&gt;"", XLOOKUP($F354,Productos!$A$2:$A1001,Productos!AU$2:AU1001,"")*$G354,"")</f>
        <v/>
      </c>
      <c r="BC354" s="179" t="str">
        <f t="array" ref="BC354">IF($F354&lt;&gt;"",XLOOKUP($F354,Productos!$A:$A,Productos!AV:AV,"Revisar"),"")</f>
        <v/>
      </c>
      <c r="BD354" s="179" t="str">
        <f t="array" ref="BD354">IF($F354&lt;&gt;"", XLOOKUP($F354,Productos!$A$2:$A1001,Productos!AW$2:AW1001,"")*$G354,"")</f>
        <v/>
      </c>
      <c r="BE354" s="179" t="str">
        <f t="array" ref="BE354">IF($F354&lt;&gt;"",XLOOKUP($F354,Productos!$A:$A,Productos!AX:AX,"Revisar"),"")</f>
        <v/>
      </c>
      <c r="BF354" s="179" t="str">
        <f t="array" ref="BF354">IF($F354&lt;&gt;"", XLOOKUP($F354,Productos!$A$2:$A1001,Productos!AY$2:AY1001,"")*$G354,"")</f>
        <v/>
      </c>
      <c r="BG354" s="179" t="str">
        <f t="array" ref="BG354">IF($F354&lt;&gt;"",XLOOKUP($F354,Productos!$A:$A,Productos!AZ:AZ,"Revisar"),"")</f>
        <v/>
      </c>
      <c r="BH354" s="179" t="str">
        <f t="array" ref="BH354">IF($F354&lt;&gt;"", XLOOKUP($F354,Productos!$A$2:$A1001,Productos!BA$2:BA1001,"")*$G354,"")</f>
        <v/>
      </c>
      <c r="BI354" s="179" t="str">
        <f t="array" ref="BI354">IF($F354&lt;&gt;"",XLOOKUP($F354,Productos!$A:$A,Productos!BB:BB,"Revisar"),"")</f>
        <v/>
      </c>
      <c r="BJ354" s="179" t="str">
        <f t="array" ref="BJ354">IF($F354&lt;&gt;"", XLOOKUP($F354,Productos!$A$2:$A1001,Productos!BC$2:BC1001,"")*$G354,"")</f>
        <v/>
      </c>
      <c r="BK354" s="179" t="str">
        <f t="array" ref="BK354">IF($F354&lt;&gt;"",XLOOKUP($F354,Productos!$A:$A,Productos!BD:BD,"Revisar"),"")</f>
        <v/>
      </c>
      <c r="BL354" s="179" t="str">
        <f t="array" ref="BL354">IF($F354&lt;&gt;"", XLOOKUP($F354,Productos!$A$2:$A1001,Productos!BE$2:BE1001,"")*$G354,"")</f>
        <v/>
      </c>
      <c r="BM354" s="179" t="str">
        <f t="array" ref="BM354">IF($F354&lt;&gt;"",XLOOKUP($F354,Productos!$A:$A,Productos!BF:BF,"Revisar"),"")</f>
        <v/>
      </c>
      <c r="BN354" s="179" t="str">
        <f t="array" ref="BN354">IF($F354&lt;&gt;"", XLOOKUP($F354,Productos!$A$2:$A1001,Productos!BG$2:BG1001,"")*$G354,"")</f>
        <v/>
      </c>
      <c r="BO354" s="179" t="str">
        <f t="array" ref="BO354">IF($F354&lt;&gt;"",XLOOKUP($F354,Productos!$A:$A,Productos!BH:BH,"Revisar"),"")</f>
        <v/>
      </c>
      <c r="BP354" s="179" t="str">
        <f t="array" ref="BP354">IF($F354&lt;&gt;"", XLOOKUP($F354,Productos!$A$2:$A1001,Productos!BI$2:BI1001,"")*$G354,"")</f>
        <v/>
      </c>
      <c r="BQ354" s="179" t="str">
        <f t="array" ref="BQ354">IF($F354&lt;&gt;"",XLOOKUP($F354,Productos!$A:$A,Productos!BJ:BJ,"Revisar"),"")</f>
        <v/>
      </c>
      <c r="BR354" s="179" t="str">
        <f t="array" ref="BR354">IF($F354&lt;&gt;"", XLOOKUP($F354,Productos!$A$2:$A1001,Productos!BK$2:BK1001,"")*$G354,"")</f>
        <v/>
      </c>
      <c r="BS354" s="179" t="str">
        <f t="array" ref="BS354">IF($F354&lt;&gt;"",XLOOKUP($F354,Productos!$A:$A,Productos!BL:BL,"Revisar"),"")</f>
        <v/>
      </c>
      <c r="BT354" s="179" t="str">
        <f t="array" ref="BT354">IF($F354&lt;&gt;"", XLOOKUP($F354,Productos!$A$2:$A1001,Productos!BM$2:BM1001,"")*$G354,"")</f>
        <v/>
      </c>
      <c r="BU354" s="179" t="str">
        <f t="array" ref="BU354">IF($F354&lt;&gt;"",XLOOKUP($F354,Productos!$A:$A,Productos!BN:BN,"Revisar"),"")</f>
        <v/>
      </c>
      <c r="BV354" s="179" t="str">
        <f t="array" ref="BV354">IF($F354&lt;&gt;"", XLOOKUP($F354,Productos!$A$2:$A1001,Productos!BO$2:BO1001,"")*$G354,"")</f>
        <v/>
      </c>
      <c r="BW354" s="179" t="str">
        <f t="array" ref="BW354">IF($F354&lt;&gt;"",XLOOKUP($F354,Productos!$A:$A,Productos!BP:BP,"Revisar"),"")</f>
        <v/>
      </c>
      <c r="BX354" s="179" t="str">
        <f t="array" ref="BX354">IF($F354&lt;&gt;"", XLOOKUP($F354,Productos!$A$2:$A1001,Productos!BQ$2:BQ1001,"")*$G354,"")</f>
        <v/>
      </c>
      <c r="BY354" s="179" t="str">
        <f t="array" ref="BY354">IF($F354&lt;&gt;"",XLOOKUP($F354,Productos!$A:$A,Productos!BR:BR,"Revisar"),"")</f>
        <v/>
      </c>
      <c r="BZ354" s="179" t="str">
        <f t="array" ref="BZ354">IF($F354&lt;&gt;"", XLOOKUP($F354,Productos!$A$2:$A1001,Productos!BS$2:BS1001,"")*$G354,"")</f>
        <v/>
      </c>
    </row>
    <row r="355">
      <c r="A355" s="188"/>
      <c r="B355" s="189"/>
      <c r="C355" s="190"/>
      <c r="D355" s="190"/>
      <c r="E355" s="191"/>
      <c r="F355" s="186"/>
      <c r="G355" s="192"/>
      <c r="H355" s="9"/>
      <c r="I355" s="179" t="str">
        <f t="array" ref="I355">IF($F355&lt;&gt;"",XLOOKUP($F355,Productos!$A:$A,Productos!B:B,"Revisar"),"")</f>
        <v/>
      </c>
      <c r="J355" s="179" t="str">
        <f t="array" ref="J355">IF($F355&lt;&gt;"", XLOOKUP($F355,Productos!$A$2:$A1001,Productos!C$2:C1001,"")*$G355,"")</f>
        <v/>
      </c>
      <c r="K355" s="179" t="str">
        <f t="array" ref="K355">IF($F355&lt;&gt;"",XLOOKUP($F355,Productos!$A:$A,Productos!D:D,"Revisar"),"")</f>
        <v/>
      </c>
      <c r="L355" s="179" t="str">
        <f t="array" ref="L355">IF($F355&lt;&gt;"", XLOOKUP($F355,Productos!$A$2:$A1001,Productos!E$2:E1001,"")*$G355,"")</f>
        <v/>
      </c>
      <c r="M355" s="179" t="str">
        <f t="array" ref="M355">IF($F355&lt;&gt;"",XLOOKUP($F355,Productos!$A:$A,Productos!F:F,"Revisar"),"")</f>
        <v/>
      </c>
      <c r="N355" s="179" t="str">
        <f t="array" ref="N355">IF($F355&lt;&gt;"", XLOOKUP($F355,Productos!$A$2:$A1001,Productos!G$2:G1001,"")*$G355,"")</f>
        <v/>
      </c>
      <c r="O355" s="179" t="str">
        <f t="array" ref="O355">IF($F355&lt;&gt;"",XLOOKUP($F355,Productos!$A:$A,Productos!H:H,"Revisar"),"")</f>
        <v/>
      </c>
      <c r="P355" s="179" t="str">
        <f t="array" ref="P355">IF($F355&lt;&gt;"", XLOOKUP($F355,Productos!$A$2:$A1001,Productos!I$2:I1001,"")*$G355,"")</f>
        <v/>
      </c>
      <c r="Q355" s="179" t="str">
        <f t="array" ref="Q355">IF($F355&lt;&gt;"",XLOOKUP($F355,Productos!$A:$A,Productos!J:J,"Revisar"),"")</f>
        <v/>
      </c>
      <c r="R355" s="179" t="str">
        <f t="array" ref="R355">IF($F355&lt;&gt;"", XLOOKUP($F355,Productos!$A$2:$A1001,Productos!K$2:K1001,"")*$G355,"")</f>
        <v/>
      </c>
      <c r="S355" s="179" t="str">
        <f t="array" ref="S355">IF($F355&lt;&gt;"",XLOOKUP($F355,Productos!$A:$A,Productos!L:L,"Revisar"),"")</f>
        <v/>
      </c>
      <c r="T355" s="179" t="str">
        <f t="array" ref="T355">IF($F355&lt;&gt;"", XLOOKUP($F355,Productos!$A$2:$A1001,Productos!M$2:M1001,"")*$G355,"")</f>
        <v/>
      </c>
      <c r="U355" s="179" t="str">
        <f t="array" ref="U355">IF($F355&lt;&gt;"",XLOOKUP($F355,Productos!$A:$A,Productos!N:N,"Revisar"),"")</f>
        <v/>
      </c>
      <c r="V355" s="179" t="str">
        <f t="array" ref="V355">IF($F355&lt;&gt;"", XLOOKUP($F355,Productos!$A$2:$A1001,Productos!O$2:O1001,"")*$G355,"")</f>
        <v/>
      </c>
      <c r="W355" s="179" t="str">
        <f t="array" ref="W355">IF($F355&lt;&gt;"",XLOOKUP($F355,Productos!$A:$A,Productos!P:P,"Revisar"),"")</f>
        <v/>
      </c>
      <c r="X355" s="179" t="str">
        <f t="array" ref="X355">IF($F355&lt;&gt;"", XLOOKUP($F355,Productos!$A$2:$A1001,Productos!Q$2:Q1001,"")*$G355,"")</f>
        <v/>
      </c>
      <c r="Y355" s="179" t="str">
        <f t="array" ref="Y355">IF($F355&lt;&gt;"",XLOOKUP($F355,Productos!$A:$A,Productos!R:R,"Revisar"),"")</f>
        <v/>
      </c>
      <c r="Z355" s="179" t="str">
        <f t="array" ref="Z355">IF($F355&lt;&gt;"", XLOOKUP($F355,Productos!$A$2:$A1001,Productos!S$2:S1001,"")*$G355,"")</f>
        <v/>
      </c>
      <c r="AA355" s="179" t="str">
        <f t="array" ref="AA355">IF($F355&lt;&gt;"",XLOOKUP($F355,Productos!$A:$A,Productos!T:T,"Revisar"),"")</f>
        <v/>
      </c>
      <c r="AB355" s="179" t="str">
        <f t="array" ref="AB355">IF($F355&lt;&gt;"", XLOOKUP($F355,Productos!$A$2:$A1001,Productos!U$2:U1001,"")*$G355,"")</f>
        <v/>
      </c>
      <c r="AC355" s="179" t="str">
        <f t="array" ref="AC355">IF($F355&lt;&gt;"",XLOOKUP($F355,Productos!$A:$A,Productos!V:V,"Revisar"),"")</f>
        <v/>
      </c>
      <c r="AD355" s="179" t="str">
        <f t="array" ref="AD355">IF($F355&lt;&gt;"", XLOOKUP($F355,Productos!$A$2:$A1001,Productos!W$2:W1001,"")*$G355,"")</f>
        <v/>
      </c>
      <c r="AE355" s="179" t="str">
        <f t="array" ref="AE355">IF($F355&lt;&gt;"",XLOOKUP($F355,Productos!$A:$A,Productos!X:X,"Revisar"),"")</f>
        <v/>
      </c>
      <c r="AF355" s="179" t="str">
        <f t="array" ref="AF355">IF($F355&lt;&gt;"", XLOOKUP($F355,Productos!$A$2:$A1001,Productos!Y$2:Y1001,"")*$G355,"")</f>
        <v/>
      </c>
      <c r="AG355" s="179" t="str">
        <f t="array" ref="AG355">IF($F355&lt;&gt;"",XLOOKUP($F355,Productos!$A:$A,Productos!Z:Z,"Revisar"),"")</f>
        <v/>
      </c>
      <c r="AH355" s="179" t="str">
        <f t="array" ref="AH355">IF($F355&lt;&gt;"", XLOOKUP($F355,Productos!$A$2:$A1001,Productos!AA$2:AA1001,"")*$G355,"")</f>
        <v/>
      </c>
      <c r="AI355" s="179" t="str">
        <f t="array" ref="AI355">IF($F355&lt;&gt;"",XLOOKUP($F355,Productos!$A:$A,Productos!AB:AB,"Revisar"),"")</f>
        <v/>
      </c>
      <c r="AJ355" s="179" t="str">
        <f t="array" ref="AJ355">IF($F355&lt;&gt;"", XLOOKUP($F355,Productos!$A$2:$A1001,Productos!AC$2:AC1001,"")*$G355,"")</f>
        <v/>
      </c>
      <c r="AK355" s="179" t="str">
        <f t="array" ref="AK355">IF($F355&lt;&gt;"",XLOOKUP($F355,Productos!$A:$A,Productos!AD:AD,"Revisar"),"")</f>
        <v/>
      </c>
      <c r="AL355" s="179" t="str">
        <f t="array" ref="AL355">IF($F355&lt;&gt;"", XLOOKUP($F355,Productos!$A$2:$A1001,Productos!AE$2:AE1001,"")*$G355,"")</f>
        <v/>
      </c>
      <c r="AM355" s="179" t="str">
        <f t="array" ref="AM355">IF($F355&lt;&gt;"",XLOOKUP($F355,Productos!$A:$A,Productos!AF:AF,"Revisar"),"")</f>
        <v/>
      </c>
      <c r="AN355" s="179" t="str">
        <f t="array" ref="AN355">IF($F355&lt;&gt;"", XLOOKUP($F355,Productos!$A$2:$A1001,Productos!AG$2:AG1001,"")*$G355,"")</f>
        <v/>
      </c>
      <c r="AO355" s="179" t="str">
        <f t="array" ref="AO355">IF($F355&lt;&gt;"",XLOOKUP($F355,Productos!$A:$A,Productos!AH:AH,"Revisar"),"")</f>
        <v/>
      </c>
      <c r="AP355" s="179" t="str">
        <f t="array" ref="AP355">IF($F355&lt;&gt;"", XLOOKUP($F355,Productos!$A$2:$A1001,Productos!AI$2:AI1001,"")*$G355,"")</f>
        <v/>
      </c>
      <c r="AQ355" s="179" t="str">
        <f t="array" ref="AQ355">IF($F355&lt;&gt;"",XLOOKUP($F355,Productos!$A:$A,Productos!AJ:AJ,"Revisar"),"")</f>
        <v/>
      </c>
      <c r="AR355" s="179" t="str">
        <f t="array" ref="AR355">IF($F355&lt;&gt;"", XLOOKUP($F355,Productos!$A$2:$A1001,Productos!AK$2:AK1001,"")*$G355,"")</f>
        <v/>
      </c>
      <c r="AS355" s="179" t="str">
        <f t="array" ref="AS355">IF($F355&lt;&gt;"",XLOOKUP($F355,Productos!$A:$A,Productos!AL:AL,"Revisar"),"")</f>
        <v/>
      </c>
      <c r="AT355" s="179" t="str">
        <f t="array" ref="AT355">IF($F355&lt;&gt;"", XLOOKUP($F355,Productos!$A$2:$A1001,Productos!AM$2:AM1001,"")*$G355,"")</f>
        <v/>
      </c>
      <c r="AU355" s="179" t="str">
        <f t="array" ref="AU355">IF($F355&lt;&gt;"",XLOOKUP($F355,Productos!$A:$A,Productos!AN:AN,"Revisar"),"")</f>
        <v/>
      </c>
      <c r="AV355" s="179" t="str">
        <f t="array" ref="AV355">IF($F355&lt;&gt;"", XLOOKUP($F355,Productos!$A$2:$A1001,Productos!AO$2:AO1001,"")*$G355,"")</f>
        <v/>
      </c>
      <c r="AW355" s="179" t="str">
        <f t="array" ref="AW355">IF($F355&lt;&gt;"",XLOOKUP($F355,Productos!$A:$A,Productos!AP:AP,"Revisar"),"")</f>
        <v/>
      </c>
      <c r="AX355" s="179" t="str">
        <f t="array" ref="AX355">IF($F355&lt;&gt;"", XLOOKUP($F355,Productos!$A$2:$A1001,Productos!AQ$2:AQ1001,"")*$G355,"")</f>
        <v/>
      </c>
      <c r="AY355" s="179" t="str">
        <f t="array" ref="AY355">IF($F355&lt;&gt;"",XLOOKUP($F355,Productos!$A:$A,Productos!AR:AR,"Revisar"),"")</f>
        <v/>
      </c>
      <c r="AZ355" s="179" t="str">
        <f t="array" ref="AZ355">IF($F355&lt;&gt;"", XLOOKUP($F355,Productos!$A$2:$A1001,Productos!AS$2:AS1001,"")*$G355,"")</f>
        <v/>
      </c>
      <c r="BA355" s="179" t="str">
        <f t="array" ref="BA355">IF($F355&lt;&gt;"",XLOOKUP($F355,Productos!$A:$A,Productos!AT:AT,"Revisar"),"")</f>
        <v/>
      </c>
      <c r="BB355" s="179" t="str">
        <f t="array" ref="BB355">IF($F355&lt;&gt;"", XLOOKUP($F355,Productos!$A$2:$A1001,Productos!AU$2:AU1001,"")*$G355,"")</f>
        <v/>
      </c>
      <c r="BC355" s="179" t="str">
        <f t="array" ref="BC355">IF($F355&lt;&gt;"",XLOOKUP($F355,Productos!$A:$A,Productos!AV:AV,"Revisar"),"")</f>
        <v/>
      </c>
      <c r="BD355" s="179" t="str">
        <f t="array" ref="BD355">IF($F355&lt;&gt;"", XLOOKUP($F355,Productos!$A$2:$A1001,Productos!AW$2:AW1001,"")*$G355,"")</f>
        <v/>
      </c>
      <c r="BE355" s="179" t="str">
        <f t="array" ref="BE355">IF($F355&lt;&gt;"",XLOOKUP($F355,Productos!$A:$A,Productos!AX:AX,"Revisar"),"")</f>
        <v/>
      </c>
      <c r="BF355" s="179" t="str">
        <f t="array" ref="BF355">IF($F355&lt;&gt;"", XLOOKUP($F355,Productos!$A$2:$A1001,Productos!AY$2:AY1001,"")*$G355,"")</f>
        <v/>
      </c>
      <c r="BG355" s="179" t="str">
        <f t="array" ref="BG355">IF($F355&lt;&gt;"",XLOOKUP($F355,Productos!$A:$A,Productos!AZ:AZ,"Revisar"),"")</f>
        <v/>
      </c>
      <c r="BH355" s="179" t="str">
        <f t="array" ref="BH355">IF($F355&lt;&gt;"", XLOOKUP($F355,Productos!$A$2:$A1001,Productos!BA$2:BA1001,"")*$G355,"")</f>
        <v/>
      </c>
      <c r="BI355" s="179" t="str">
        <f t="array" ref="BI355">IF($F355&lt;&gt;"",XLOOKUP($F355,Productos!$A:$A,Productos!BB:BB,"Revisar"),"")</f>
        <v/>
      </c>
      <c r="BJ355" s="179" t="str">
        <f t="array" ref="BJ355">IF($F355&lt;&gt;"", XLOOKUP($F355,Productos!$A$2:$A1001,Productos!BC$2:BC1001,"")*$G355,"")</f>
        <v/>
      </c>
      <c r="BK355" s="179" t="str">
        <f t="array" ref="BK355">IF($F355&lt;&gt;"",XLOOKUP($F355,Productos!$A:$A,Productos!BD:BD,"Revisar"),"")</f>
        <v/>
      </c>
      <c r="BL355" s="179" t="str">
        <f t="array" ref="BL355">IF($F355&lt;&gt;"", XLOOKUP($F355,Productos!$A$2:$A1001,Productos!BE$2:BE1001,"")*$G355,"")</f>
        <v/>
      </c>
      <c r="BM355" s="179" t="str">
        <f t="array" ref="BM355">IF($F355&lt;&gt;"",XLOOKUP($F355,Productos!$A:$A,Productos!BF:BF,"Revisar"),"")</f>
        <v/>
      </c>
      <c r="BN355" s="179" t="str">
        <f t="array" ref="BN355">IF($F355&lt;&gt;"", XLOOKUP($F355,Productos!$A$2:$A1001,Productos!BG$2:BG1001,"")*$G355,"")</f>
        <v/>
      </c>
      <c r="BO355" s="179" t="str">
        <f t="array" ref="BO355">IF($F355&lt;&gt;"",XLOOKUP($F355,Productos!$A:$A,Productos!BH:BH,"Revisar"),"")</f>
        <v/>
      </c>
      <c r="BP355" s="179" t="str">
        <f t="array" ref="BP355">IF($F355&lt;&gt;"", XLOOKUP($F355,Productos!$A$2:$A1001,Productos!BI$2:BI1001,"")*$G355,"")</f>
        <v/>
      </c>
      <c r="BQ355" s="179" t="str">
        <f t="array" ref="BQ355">IF($F355&lt;&gt;"",XLOOKUP($F355,Productos!$A:$A,Productos!BJ:BJ,"Revisar"),"")</f>
        <v/>
      </c>
      <c r="BR355" s="179" t="str">
        <f t="array" ref="BR355">IF($F355&lt;&gt;"", XLOOKUP($F355,Productos!$A$2:$A1001,Productos!BK$2:BK1001,"")*$G355,"")</f>
        <v/>
      </c>
      <c r="BS355" s="179" t="str">
        <f t="array" ref="BS355">IF($F355&lt;&gt;"",XLOOKUP($F355,Productos!$A:$A,Productos!BL:BL,"Revisar"),"")</f>
        <v/>
      </c>
      <c r="BT355" s="179" t="str">
        <f t="array" ref="BT355">IF($F355&lt;&gt;"", XLOOKUP($F355,Productos!$A$2:$A1001,Productos!BM$2:BM1001,"")*$G355,"")</f>
        <v/>
      </c>
      <c r="BU355" s="179" t="str">
        <f t="array" ref="BU355">IF($F355&lt;&gt;"",XLOOKUP($F355,Productos!$A:$A,Productos!BN:BN,"Revisar"),"")</f>
        <v/>
      </c>
      <c r="BV355" s="179" t="str">
        <f t="array" ref="BV355">IF($F355&lt;&gt;"", XLOOKUP($F355,Productos!$A$2:$A1001,Productos!BO$2:BO1001,"")*$G355,"")</f>
        <v/>
      </c>
      <c r="BW355" s="179" t="str">
        <f t="array" ref="BW355">IF($F355&lt;&gt;"",XLOOKUP($F355,Productos!$A:$A,Productos!BP:BP,"Revisar"),"")</f>
        <v/>
      </c>
      <c r="BX355" s="179" t="str">
        <f t="array" ref="BX355">IF($F355&lt;&gt;"", XLOOKUP($F355,Productos!$A$2:$A1001,Productos!BQ$2:BQ1001,"")*$G355,"")</f>
        <v/>
      </c>
      <c r="BY355" s="179" t="str">
        <f t="array" ref="BY355">IF($F355&lt;&gt;"",XLOOKUP($F355,Productos!$A:$A,Productos!BR:BR,"Revisar"),"")</f>
        <v/>
      </c>
      <c r="BZ355" s="179" t="str">
        <f t="array" ref="BZ355">IF($F355&lt;&gt;"", XLOOKUP($F355,Productos!$A$2:$A1001,Productos!BS$2:BS1001,"")*$G355,"")</f>
        <v/>
      </c>
    </row>
    <row r="356">
      <c r="A356" s="188"/>
      <c r="B356" s="189"/>
      <c r="C356" s="190"/>
      <c r="D356" s="190"/>
      <c r="E356" s="191"/>
      <c r="F356" s="186"/>
      <c r="G356" s="192"/>
      <c r="H356" s="9"/>
      <c r="I356" s="179" t="str">
        <f t="array" ref="I356">IF($F356&lt;&gt;"",XLOOKUP($F356,Productos!$A:$A,Productos!B:B,"Revisar"),"")</f>
        <v/>
      </c>
      <c r="J356" s="179" t="str">
        <f t="array" ref="J356">IF($F356&lt;&gt;"", XLOOKUP($F356,Productos!$A$2:$A1001,Productos!C$2:C1001,"")*$G356,"")</f>
        <v/>
      </c>
      <c r="K356" s="179" t="str">
        <f t="array" ref="K356">IF($F356&lt;&gt;"",XLOOKUP($F356,Productos!$A:$A,Productos!D:D,"Revisar"),"")</f>
        <v/>
      </c>
      <c r="L356" s="179" t="str">
        <f t="array" ref="L356">IF($F356&lt;&gt;"", XLOOKUP($F356,Productos!$A$2:$A1001,Productos!E$2:E1001,"")*$G356,"")</f>
        <v/>
      </c>
      <c r="M356" s="179" t="str">
        <f t="array" ref="M356">IF($F356&lt;&gt;"",XLOOKUP($F356,Productos!$A:$A,Productos!F:F,"Revisar"),"")</f>
        <v/>
      </c>
      <c r="N356" s="179" t="str">
        <f t="array" ref="N356">IF($F356&lt;&gt;"", XLOOKUP($F356,Productos!$A$2:$A1001,Productos!G$2:G1001,"")*$G356,"")</f>
        <v/>
      </c>
      <c r="O356" s="179" t="str">
        <f t="array" ref="O356">IF($F356&lt;&gt;"",XLOOKUP($F356,Productos!$A:$A,Productos!H:H,"Revisar"),"")</f>
        <v/>
      </c>
      <c r="P356" s="179" t="str">
        <f t="array" ref="P356">IF($F356&lt;&gt;"", XLOOKUP($F356,Productos!$A$2:$A1001,Productos!I$2:I1001,"")*$G356,"")</f>
        <v/>
      </c>
      <c r="Q356" s="179" t="str">
        <f t="array" ref="Q356">IF($F356&lt;&gt;"",XLOOKUP($F356,Productos!$A:$A,Productos!J:J,"Revisar"),"")</f>
        <v/>
      </c>
      <c r="R356" s="179" t="str">
        <f t="array" ref="R356">IF($F356&lt;&gt;"", XLOOKUP($F356,Productos!$A$2:$A1001,Productos!K$2:K1001,"")*$G356,"")</f>
        <v/>
      </c>
      <c r="S356" s="179" t="str">
        <f t="array" ref="S356">IF($F356&lt;&gt;"",XLOOKUP($F356,Productos!$A:$A,Productos!L:L,"Revisar"),"")</f>
        <v/>
      </c>
      <c r="T356" s="179" t="str">
        <f t="array" ref="T356">IF($F356&lt;&gt;"", XLOOKUP($F356,Productos!$A$2:$A1001,Productos!M$2:M1001,"")*$G356,"")</f>
        <v/>
      </c>
      <c r="U356" s="179" t="str">
        <f t="array" ref="U356">IF($F356&lt;&gt;"",XLOOKUP($F356,Productos!$A:$A,Productos!N:N,"Revisar"),"")</f>
        <v/>
      </c>
      <c r="V356" s="179" t="str">
        <f t="array" ref="V356">IF($F356&lt;&gt;"", XLOOKUP($F356,Productos!$A$2:$A1001,Productos!O$2:O1001,"")*$G356,"")</f>
        <v/>
      </c>
      <c r="W356" s="179" t="str">
        <f t="array" ref="W356">IF($F356&lt;&gt;"",XLOOKUP($F356,Productos!$A:$A,Productos!P:P,"Revisar"),"")</f>
        <v/>
      </c>
      <c r="X356" s="179" t="str">
        <f t="array" ref="X356">IF($F356&lt;&gt;"", XLOOKUP($F356,Productos!$A$2:$A1001,Productos!Q$2:Q1001,"")*$G356,"")</f>
        <v/>
      </c>
      <c r="Y356" s="179" t="str">
        <f t="array" ref="Y356">IF($F356&lt;&gt;"",XLOOKUP($F356,Productos!$A:$A,Productos!R:R,"Revisar"),"")</f>
        <v/>
      </c>
      <c r="Z356" s="179" t="str">
        <f t="array" ref="Z356">IF($F356&lt;&gt;"", XLOOKUP($F356,Productos!$A$2:$A1001,Productos!S$2:S1001,"")*$G356,"")</f>
        <v/>
      </c>
      <c r="AA356" s="179" t="str">
        <f t="array" ref="AA356">IF($F356&lt;&gt;"",XLOOKUP($F356,Productos!$A:$A,Productos!T:T,"Revisar"),"")</f>
        <v/>
      </c>
      <c r="AB356" s="179" t="str">
        <f t="array" ref="AB356">IF($F356&lt;&gt;"", XLOOKUP($F356,Productos!$A$2:$A1001,Productos!U$2:U1001,"")*$G356,"")</f>
        <v/>
      </c>
      <c r="AC356" s="179" t="str">
        <f t="array" ref="AC356">IF($F356&lt;&gt;"",XLOOKUP($F356,Productos!$A:$A,Productos!V:V,"Revisar"),"")</f>
        <v/>
      </c>
      <c r="AD356" s="179" t="str">
        <f t="array" ref="AD356">IF($F356&lt;&gt;"", XLOOKUP($F356,Productos!$A$2:$A1001,Productos!W$2:W1001,"")*$G356,"")</f>
        <v/>
      </c>
      <c r="AE356" s="179" t="str">
        <f t="array" ref="AE356">IF($F356&lt;&gt;"",XLOOKUP($F356,Productos!$A:$A,Productos!X:X,"Revisar"),"")</f>
        <v/>
      </c>
      <c r="AF356" s="179" t="str">
        <f t="array" ref="AF356">IF($F356&lt;&gt;"", XLOOKUP($F356,Productos!$A$2:$A1001,Productos!Y$2:Y1001,"")*$G356,"")</f>
        <v/>
      </c>
      <c r="AG356" s="179" t="str">
        <f t="array" ref="AG356">IF($F356&lt;&gt;"",XLOOKUP($F356,Productos!$A:$A,Productos!Z:Z,"Revisar"),"")</f>
        <v/>
      </c>
      <c r="AH356" s="179" t="str">
        <f t="array" ref="AH356">IF($F356&lt;&gt;"", XLOOKUP($F356,Productos!$A$2:$A1001,Productos!AA$2:AA1001,"")*$G356,"")</f>
        <v/>
      </c>
      <c r="AI356" s="179" t="str">
        <f t="array" ref="AI356">IF($F356&lt;&gt;"",XLOOKUP($F356,Productos!$A:$A,Productos!AB:AB,"Revisar"),"")</f>
        <v/>
      </c>
      <c r="AJ356" s="179" t="str">
        <f t="array" ref="AJ356">IF($F356&lt;&gt;"", XLOOKUP($F356,Productos!$A$2:$A1001,Productos!AC$2:AC1001,"")*$G356,"")</f>
        <v/>
      </c>
      <c r="AK356" s="179" t="str">
        <f t="array" ref="AK356">IF($F356&lt;&gt;"",XLOOKUP($F356,Productos!$A:$A,Productos!AD:AD,"Revisar"),"")</f>
        <v/>
      </c>
      <c r="AL356" s="179" t="str">
        <f t="array" ref="AL356">IF($F356&lt;&gt;"", XLOOKUP($F356,Productos!$A$2:$A1001,Productos!AE$2:AE1001,"")*$G356,"")</f>
        <v/>
      </c>
      <c r="AM356" s="179" t="str">
        <f t="array" ref="AM356">IF($F356&lt;&gt;"",XLOOKUP($F356,Productos!$A:$A,Productos!AF:AF,"Revisar"),"")</f>
        <v/>
      </c>
      <c r="AN356" s="179" t="str">
        <f t="array" ref="AN356">IF($F356&lt;&gt;"", XLOOKUP($F356,Productos!$A$2:$A1001,Productos!AG$2:AG1001,"")*$G356,"")</f>
        <v/>
      </c>
      <c r="AO356" s="179" t="str">
        <f t="array" ref="AO356">IF($F356&lt;&gt;"",XLOOKUP($F356,Productos!$A:$A,Productos!AH:AH,"Revisar"),"")</f>
        <v/>
      </c>
      <c r="AP356" s="179" t="str">
        <f t="array" ref="AP356">IF($F356&lt;&gt;"", XLOOKUP($F356,Productos!$A$2:$A1001,Productos!AI$2:AI1001,"")*$G356,"")</f>
        <v/>
      </c>
      <c r="AQ356" s="179" t="str">
        <f t="array" ref="AQ356">IF($F356&lt;&gt;"",XLOOKUP($F356,Productos!$A:$A,Productos!AJ:AJ,"Revisar"),"")</f>
        <v/>
      </c>
      <c r="AR356" s="179" t="str">
        <f t="array" ref="AR356">IF($F356&lt;&gt;"", XLOOKUP($F356,Productos!$A$2:$A1001,Productos!AK$2:AK1001,"")*$G356,"")</f>
        <v/>
      </c>
      <c r="AS356" s="179" t="str">
        <f t="array" ref="AS356">IF($F356&lt;&gt;"",XLOOKUP($F356,Productos!$A:$A,Productos!AL:AL,"Revisar"),"")</f>
        <v/>
      </c>
      <c r="AT356" s="179" t="str">
        <f t="array" ref="AT356">IF($F356&lt;&gt;"", XLOOKUP($F356,Productos!$A$2:$A1001,Productos!AM$2:AM1001,"")*$G356,"")</f>
        <v/>
      </c>
      <c r="AU356" s="179" t="str">
        <f t="array" ref="AU356">IF($F356&lt;&gt;"",XLOOKUP($F356,Productos!$A:$A,Productos!AN:AN,"Revisar"),"")</f>
        <v/>
      </c>
      <c r="AV356" s="179" t="str">
        <f t="array" ref="AV356">IF($F356&lt;&gt;"", XLOOKUP($F356,Productos!$A$2:$A1001,Productos!AO$2:AO1001,"")*$G356,"")</f>
        <v/>
      </c>
      <c r="AW356" s="179" t="str">
        <f t="array" ref="AW356">IF($F356&lt;&gt;"",XLOOKUP($F356,Productos!$A:$A,Productos!AP:AP,"Revisar"),"")</f>
        <v/>
      </c>
      <c r="AX356" s="179" t="str">
        <f t="array" ref="AX356">IF($F356&lt;&gt;"", XLOOKUP($F356,Productos!$A$2:$A1001,Productos!AQ$2:AQ1001,"")*$G356,"")</f>
        <v/>
      </c>
      <c r="AY356" s="179" t="str">
        <f t="array" ref="AY356">IF($F356&lt;&gt;"",XLOOKUP($F356,Productos!$A:$A,Productos!AR:AR,"Revisar"),"")</f>
        <v/>
      </c>
      <c r="AZ356" s="179" t="str">
        <f t="array" ref="AZ356">IF($F356&lt;&gt;"", XLOOKUP($F356,Productos!$A$2:$A1001,Productos!AS$2:AS1001,"")*$G356,"")</f>
        <v/>
      </c>
      <c r="BA356" s="179" t="str">
        <f t="array" ref="BA356">IF($F356&lt;&gt;"",XLOOKUP($F356,Productos!$A:$A,Productos!AT:AT,"Revisar"),"")</f>
        <v/>
      </c>
      <c r="BB356" s="179" t="str">
        <f t="array" ref="BB356">IF($F356&lt;&gt;"", XLOOKUP($F356,Productos!$A$2:$A1001,Productos!AU$2:AU1001,"")*$G356,"")</f>
        <v/>
      </c>
      <c r="BC356" s="179" t="str">
        <f t="array" ref="BC356">IF($F356&lt;&gt;"",XLOOKUP($F356,Productos!$A:$A,Productos!AV:AV,"Revisar"),"")</f>
        <v/>
      </c>
      <c r="BD356" s="179" t="str">
        <f t="array" ref="BD356">IF($F356&lt;&gt;"", XLOOKUP($F356,Productos!$A$2:$A1001,Productos!AW$2:AW1001,"")*$G356,"")</f>
        <v/>
      </c>
      <c r="BE356" s="179" t="str">
        <f t="array" ref="BE356">IF($F356&lt;&gt;"",XLOOKUP($F356,Productos!$A:$A,Productos!AX:AX,"Revisar"),"")</f>
        <v/>
      </c>
      <c r="BF356" s="179" t="str">
        <f t="array" ref="BF356">IF($F356&lt;&gt;"", XLOOKUP($F356,Productos!$A$2:$A1001,Productos!AY$2:AY1001,"")*$G356,"")</f>
        <v/>
      </c>
      <c r="BG356" s="179" t="str">
        <f t="array" ref="BG356">IF($F356&lt;&gt;"",XLOOKUP($F356,Productos!$A:$A,Productos!AZ:AZ,"Revisar"),"")</f>
        <v/>
      </c>
      <c r="BH356" s="179" t="str">
        <f t="array" ref="BH356">IF($F356&lt;&gt;"", XLOOKUP($F356,Productos!$A$2:$A1001,Productos!BA$2:BA1001,"")*$G356,"")</f>
        <v/>
      </c>
      <c r="BI356" s="179" t="str">
        <f t="array" ref="BI356">IF($F356&lt;&gt;"",XLOOKUP($F356,Productos!$A:$A,Productos!BB:BB,"Revisar"),"")</f>
        <v/>
      </c>
      <c r="BJ356" s="179" t="str">
        <f t="array" ref="BJ356">IF($F356&lt;&gt;"", XLOOKUP($F356,Productos!$A$2:$A1001,Productos!BC$2:BC1001,"")*$G356,"")</f>
        <v/>
      </c>
      <c r="BK356" s="179" t="str">
        <f t="array" ref="BK356">IF($F356&lt;&gt;"",XLOOKUP($F356,Productos!$A:$A,Productos!BD:BD,"Revisar"),"")</f>
        <v/>
      </c>
      <c r="BL356" s="179" t="str">
        <f t="array" ref="BL356">IF($F356&lt;&gt;"", XLOOKUP($F356,Productos!$A$2:$A1001,Productos!BE$2:BE1001,"")*$G356,"")</f>
        <v/>
      </c>
      <c r="BM356" s="179" t="str">
        <f t="array" ref="BM356">IF($F356&lt;&gt;"",XLOOKUP($F356,Productos!$A:$A,Productos!BF:BF,"Revisar"),"")</f>
        <v/>
      </c>
      <c r="BN356" s="179" t="str">
        <f t="array" ref="BN356">IF($F356&lt;&gt;"", XLOOKUP($F356,Productos!$A$2:$A1001,Productos!BG$2:BG1001,"")*$G356,"")</f>
        <v/>
      </c>
      <c r="BO356" s="179" t="str">
        <f t="array" ref="BO356">IF($F356&lt;&gt;"",XLOOKUP($F356,Productos!$A:$A,Productos!BH:BH,"Revisar"),"")</f>
        <v/>
      </c>
      <c r="BP356" s="179" t="str">
        <f t="array" ref="BP356">IF($F356&lt;&gt;"", XLOOKUP($F356,Productos!$A$2:$A1001,Productos!BI$2:BI1001,"")*$G356,"")</f>
        <v/>
      </c>
      <c r="BQ356" s="179" t="str">
        <f t="array" ref="BQ356">IF($F356&lt;&gt;"",XLOOKUP($F356,Productos!$A:$A,Productos!BJ:BJ,"Revisar"),"")</f>
        <v/>
      </c>
      <c r="BR356" s="179" t="str">
        <f t="array" ref="BR356">IF($F356&lt;&gt;"", XLOOKUP($F356,Productos!$A$2:$A1001,Productos!BK$2:BK1001,"")*$G356,"")</f>
        <v/>
      </c>
      <c r="BS356" s="179" t="str">
        <f t="array" ref="BS356">IF($F356&lt;&gt;"",XLOOKUP($F356,Productos!$A:$A,Productos!BL:BL,"Revisar"),"")</f>
        <v/>
      </c>
      <c r="BT356" s="179" t="str">
        <f t="array" ref="BT356">IF($F356&lt;&gt;"", XLOOKUP($F356,Productos!$A$2:$A1001,Productos!BM$2:BM1001,"")*$G356,"")</f>
        <v/>
      </c>
      <c r="BU356" s="179" t="str">
        <f t="array" ref="BU356">IF($F356&lt;&gt;"",XLOOKUP($F356,Productos!$A:$A,Productos!BN:BN,"Revisar"),"")</f>
        <v/>
      </c>
      <c r="BV356" s="179" t="str">
        <f t="array" ref="BV356">IF($F356&lt;&gt;"", XLOOKUP($F356,Productos!$A$2:$A1001,Productos!BO$2:BO1001,"")*$G356,"")</f>
        <v/>
      </c>
      <c r="BW356" s="179" t="str">
        <f t="array" ref="BW356">IF($F356&lt;&gt;"",XLOOKUP($F356,Productos!$A:$A,Productos!BP:BP,"Revisar"),"")</f>
        <v/>
      </c>
      <c r="BX356" s="179" t="str">
        <f t="array" ref="BX356">IF($F356&lt;&gt;"", XLOOKUP($F356,Productos!$A$2:$A1001,Productos!BQ$2:BQ1001,"")*$G356,"")</f>
        <v/>
      </c>
      <c r="BY356" s="179" t="str">
        <f t="array" ref="BY356">IF($F356&lt;&gt;"",XLOOKUP($F356,Productos!$A:$A,Productos!BR:BR,"Revisar"),"")</f>
        <v/>
      </c>
      <c r="BZ356" s="179" t="str">
        <f t="array" ref="BZ356">IF($F356&lt;&gt;"", XLOOKUP($F356,Productos!$A$2:$A1001,Productos!BS$2:BS1001,"")*$G356,"")</f>
        <v/>
      </c>
    </row>
    <row r="357">
      <c r="A357" s="188"/>
      <c r="B357" s="189"/>
      <c r="C357" s="190"/>
      <c r="D357" s="190"/>
      <c r="E357" s="191"/>
      <c r="F357" s="186"/>
      <c r="G357" s="192"/>
      <c r="H357" s="9"/>
      <c r="I357" s="179" t="str">
        <f t="array" ref="I357">IF($F357&lt;&gt;"",XLOOKUP($F357,Productos!$A:$A,Productos!B:B,"Revisar"),"")</f>
        <v/>
      </c>
      <c r="J357" s="179" t="str">
        <f t="array" ref="J357">IF($F357&lt;&gt;"", XLOOKUP($F357,Productos!$A$2:$A1001,Productos!C$2:C1001,"")*$G357,"")</f>
        <v/>
      </c>
      <c r="K357" s="179" t="str">
        <f t="array" ref="K357">IF($F357&lt;&gt;"",XLOOKUP($F357,Productos!$A:$A,Productos!D:D,"Revisar"),"")</f>
        <v/>
      </c>
      <c r="L357" s="179" t="str">
        <f t="array" ref="L357">IF($F357&lt;&gt;"", XLOOKUP($F357,Productos!$A$2:$A1001,Productos!E$2:E1001,"")*$G357,"")</f>
        <v/>
      </c>
      <c r="M357" s="179" t="str">
        <f t="array" ref="M357">IF($F357&lt;&gt;"",XLOOKUP($F357,Productos!$A:$A,Productos!F:F,"Revisar"),"")</f>
        <v/>
      </c>
      <c r="N357" s="179" t="str">
        <f t="array" ref="N357">IF($F357&lt;&gt;"", XLOOKUP($F357,Productos!$A$2:$A1001,Productos!G$2:G1001,"")*$G357,"")</f>
        <v/>
      </c>
      <c r="O357" s="179" t="str">
        <f t="array" ref="O357">IF($F357&lt;&gt;"",XLOOKUP($F357,Productos!$A:$A,Productos!H:H,"Revisar"),"")</f>
        <v/>
      </c>
      <c r="P357" s="179" t="str">
        <f t="array" ref="P357">IF($F357&lt;&gt;"", XLOOKUP($F357,Productos!$A$2:$A1001,Productos!I$2:I1001,"")*$G357,"")</f>
        <v/>
      </c>
      <c r="Q357" s="179" t="str">
        <f t="array" ref="Q357">IF($F357&lt;&gt;"",XLOOKUP($F357,Productos!$A:$A,Productos!J:J,"Revisar"),"")</f>
        <v/>
      </c>
      <c r="R357" s="179" t="str">
        <f t="array" ref="R357">IF($F357&lt;&gt;"", XLOOKUP($F357,Productos!$A$2:$A1001,Productos!K$2:K1001,"")*$G357,"")</f>
        <v/>
      </c>
      <c r="S357" s="179" t="str">
        <f t="array" ref="S357">IF($F357&lt;&gt;"",XLOOKUP($F357,Productos!$A:$A,Productos!L:L,"Revisar"),"")</f>
        <v/>
      </c>
      <c r="T357" s="179" t="str">
        <f t="array" ref="T357">IF($F357&lt;&gt;"", XLOOKUP($F357,Productos!$A$2:$A1001,Productos!M$2:M1001,"")*$G357,"")</f>
        <v/>
      </c>
      <c r="U357" s="179" t="str">
        <f t="array" ref="U357">IF($F357&lt;&gt;"",XLOOKUP($F357,Productos!$A:$A,Productos!N:N,"Revisar"),"")</f>
        <v/>
      </c>
      <c r="V357" s="179" t="str">
        <f t="array" ref="V357">IF($F357&lt;&gt;"", XLOOKUP($F357,Productos!$A$2:$A1001,Productos!O$2:O1001,"")*$G357,"")</f>
        <v/>
      </c>
      <c r="W357" s="179" t="str">
        <f t="array" ref="W357">IF($F357&lt;&gt;"",XLOOKUP($F357,Productos!$A:$A,Productos!P:P,"Revisar"),"")</f>
        <v/>
      </c>
      <c r="X357" s="179" t="str">
        <f t="array" ref="X357">IF($F357&lt;&gt;"", XLOOKUP($F357,Productos!$A$2:$A1001,Productos!Q$2:Q1001,"")*$G357,"")</f>
        <v/>
      </c>
      <c r="Y357" s="179" t="str">
        <f t="array" ref="Y357">IF($F357&lt;&gt;"",XLOOKUP($F357,Productos!$A:$A,Productos!R:R,"Revisar"),"")</f>
        <v/>
      </c>
      <c r="Z357" s="179" t="str">
        <f t="array" ref="Z357">IF($F357&lt;&gt;"", XLOOKUP($F357,Productos!$A$2:$A1001,Productos!S$2:S1001,"")*$G357,"")</f>
        <v/>
      </c>
      <c r="AA357" s="179" t="str">
        <f t="array" ref="AA357">IF($F357&lt;&gt;"",XLOOKUP($F357,Productos!$A:$A,Productos!T:T,"Revisar"),"")</f>
        <v/>
      </c>
      <c r="AB357" s="179" t="str">
        <f t="array" ref="AB357">IF($F357&lt;&gt;"", XLOOKUP($F357,Productos!$A$2:$A1001,Productos!U$2:U1001,"")*$G357,"")</f>
        <v/>
      </c>
      <c r="AC357" s="179" t="str">
        <f t="array" ref="AC357">IF($F357&lt;&gt;"",XLOOKUP($F357,Productos!$A:$A,Productos!V:V,"Revisar"),"")</f>
        <v/>
      </c>
      <c r="AD357" s="179" t="str">
        <f t="array" ref="AD357">IF($F357&lt;&gt;"", XLOOKUP($F357,Productos!$A$2:$A1001,Productos!W$2:W1001,"")*$G357,"")</f>
        <v/>
      </c>
      <c r="AE357" s="179" t="str">
        <f t="array" ref="AE357">IF($F357&lt;&gt;"",XLOOKUP($F357,Productos!$A:$A,Productos!X:X,"Revisar"),"")</f>
        <v/>
      </c>
      <c r="AF357" s="179" t="str">
        <f t="array" ref="AF357">IF($F357&lt;&gt;"", XLOOKUP($F357,Productos!$A$2:$A1001,Productos!Y$2:Y1001,"")*$G357,"")</f>
        <v/>
      </c>
      <c r="AG357" s="179" t="str">
        <f t="array" ref="AG357">IF($F357&lt;&gt;"",XLOOKUP($F357,Productos!$A:$A,Productos!Z:Z,"Revisar"),"")</f>
        <v/>
      </c>
      <c r="AH357" s="179" t="str">
        <f t="array" ref="AH357">IF($F357&lt;&gt;"", XLOOKUP($F357,Productos!$A$2:$A1001,Productos!AA$2:AA1001,"")*$G357,"")</f>
        <v/>
      </c>
      <c r="AI357" s="179" t="str">
        <f t="array" ref="AI357">IF($F357&lt;&gt;"",XLOOKUP($F357,Productos!$A:$A,Productos!AB:AB,"Revisar"),"")</f>
        <v/>
      </c>
      <c r="AJ357" s="179" t="str">
        <f t="array" ref="AJ357">IF($F357&lt;&gt;"", XLOOKUP($F357,Productos!$A$2:$A1001,Productos!AC$2:AC1001,"")*$G357,"")</f>
        <v/>
      </c>
      <c r="AK357" s="179" t="str">
        <f t="array" ref="AK357">IF($F357&lt;&gt;"",XLOOKUP($F357,Productos!$A:$A,Productos!AD:AD,"Revisar"),"")</f>
        <v/>
      </c>
      <c r="AL357" s="179" t="str">
        <f t="array" ref="AL357">IF($F357&lt;&gt;"", XLOOKUP($F357,Productos!$A$2:$A1001,Productos!AE$2:AE1001,"")*$G357,"")</f>
        <v/>
      </c>
      <c r="AM357" s="179" t="str">
        <f t="array" ref="AM357">IF($F357&lt;&gt;"",XLOOKUP($F357,Productos!$A:$A,Productos!AF:AF,"Revisar"),"")</f>
        <v/>
      </c>
      <c r="AN357" s="179" t="str">
        <f t="array" ref="AN357">IF($F357&lt;&gt;"", XLOOKUP($F357,Productos!$A$2:$A1001,Productos!AG$2:AG1001,"")*$G357,"")</f>
        <v/>
      </c>
      <c r="AO357" s="179" t="str">
        <f t="array" ref="AO357">IF($F357&lt;&gt;"",XLOOKUP($F357,Productos!$A:$A,Productos!AH:AH,"Revisar"),"")</f>
        <v/>
      </c>
      <c r="AP357" s="179" t="str">
        <f t="array" ref="AP357">IF($F357&lt;&gt;"", XLOOKUP($F357,Productos!$A$2:$A1001,Productos!AI$2:AI1001,"")*$G357,"")</f>
        <v/>
      </c>
      <c r="AQ357" s="179" t="str">
        <f t="array" ref="AQ357">IF($F357&lt;&gt;"",XLOOKUP($F357,Productos!$A:$A,Productos!AJ:AJ,"Revisar"),"")</f>
        <v/>
      </c>
      <c r="AR357" s="179" t="str">
        <f t="array" ref="AR357">IF($F357&lt;&gt;"", XLOOKUP($F357,Productos!$A$2:$A1001,Productos!AK$2:AK1001,"")*$G357,"")</f>
        <v/>
      </c>
      <c r="AS357" s="179" t="str">
        <f t="array" ref="AS357">IF($F357&lt;&gt;"",XLOOKUP($F357,Productos!$A:$A,Productos!AL:AL,"Revisar"),"")</f>
        <v/>
      </c>
      <c r="AT357" s="179" t="str">
        <f t="array" ref="AT357">IF($F357&lt;&gt;"", XLOOKUP($F357,Productos!$A$2:$A1001,Productos!AM$2:AM1001,"")*$G357,"")</f>
        <v/>
      </c>
      <c r="AU357" s="179" t="str">
        <f t="array" ref="AU357">IF($F357&lt;&gt;"",XLOOKUP($F357,Productos!$A:$A,Productos!AN:AN,"Revisar"),"")</f>
        <v/>
      </c>
      <c r="AV357" s="179" t="str">
        <f t="array" ref="AV357">IF($F357&lt;&gt;"", XLOOKUP($F357,Productos!$A$2:$A1001,Productos!AO$2:AO1001,"")*$G357,"")</f>
        <v/>
      </c>
      <c r="AW357" s="179" t="str">
        <f t="array" ref="AW357">IF($F357&lt;&gt;"",XLOOKUP($F357,Productos!$A:$A,Productos!AP:AP,"Revisar"),"")</f>
        <v/>
      </c>
      <c r="AX357" s="179" t="str">
        <f t="array" ref="AX357">IF($F357&lt;&gt;"", XLOOKUP($F357,Productos!$A$2:$A1001,Productos!AQ$2:AQ1001,"")*$G357,"")</f>
        <v/>
      </c>
      <c r="AY357" s="179" t="str">
        <f t="array" ref="AY357">IF($F357&lt;&gt;"",XLOOKUP($F357,Productos!$A:$A,Productos!AR:AR,"Revisar"),"")</f>
        <v/>
      </c>
      <c r="AZ357" s="179" t="str">
        <f t="array" ref="AZ357">IF($F357&lt;&gt;"", XLOOKUP($F357,Productos!$A$2:$A1001,Productos!AS$2:AS1001,"")*$G357,"")</f>
        <v/>
      </c>
      <c r="BA357" s="179" t="str">
        <f t="array" ref="BA357">IF($F357&lt;&gt;"",XLOOKUP($F357,Productos!$A:$A,Productos!AT:AT,"Revisar"),"")</f>
        <v/>
      </c>
      <c r="BB357" s="179" t="str">
        <f t="array" ref="BB357">IF($F357&lt;&gt;"", XLOOKUP($F357,Productos!$A$2:$A1001,Productos!AU$2:AU1001,"")*$G357,"")</f>
        <v/>
      </c>
      <c r="BC357" s="179" t="str">
        <f t="array" ref="BC357">IF($F357&lt;&gt;"",XLOOKUP($F357,Productos!$A:$A,Productos!AV:AV,"Revisar"),"")</f>
        <v/>
      </c>
      <c r="BD357" s="179" t="str">
        <f t="array" ref="BD357">IF($F357&lt;&gt;"", XLOOKUP($F357,Productos!$A$2:$A1001,Productos!AW$2:AW1001,"")*$G357,"")</f>
        <v/>
      </c>
      <c r="BE357" s="179" t="str">
        <f t="array" ref="BE357">IF($F357&lt;&gt;"",XLOOKUP($F357,Productos!$A:$A,Productos!AX:AX,"Revisar"),"")</f>
        <v/>
      </c>
      <c r="BF357" s="179" t="str">
        <f t="array" ref="BF357">IF($F357&lt;&gt;"", XLOOKUP($F357,Productos!$A$2:$A1001,Productos!AY$2:AY1001,"")*$G357,"")</f>
        <v/>
      </c>
      <c r="BG357" s="179" t="str">
        <f t="array" ref="BG357">IF($F357&lt;&gt;"",XLOOKUP($F357,Productos!$A:$A,Productos!AZ:AZ,"Revisar"),"")</f>
        <v/>
      </c>
      <c r="BH357" s="179" t="str">
        <f t="array" ref="BH357">IF($F357&lt;&gt;"", XLOOKUP($F357,Productos!$A$2:$A1001,Productos!BA$2:BA1001,"")*$G357,"")</f>
        <v/>
      </c>
      <c r="BI357" s="179" t="str">
        <f t="array" ref="BI357">IF($F357&lt;&gt;"",XLOOKUP($F357,Productos!$A:$A,Productos!BB:BB,"Revisar"),"")</f>
        <v/>
      </c>
      <c r="BJ357" s="179" t="str">
        <f t="array" ref="BJ357">IF($F357&lt;&gt;"", XLOOKUP($F357,Productos!$A$2:$A1001,Productos!BC$2:BC1001,"")*$G357,"")</f>
        <v/>
      </c>
      <c r="BK357" s="179" t="str">
        <f t="array" ref="BK357">IF($F357&lt;&gt;"",XLOOKUP($F357,Productos!$A:$A,Productos!BD:BD,"Revisar"),"")</f>
        <v/>
      </c>
      <c r="BL357" s="179" t="str">
        <f t="array" ref="BL357">IF($F357&lt;&gt;"", XLOOKUP($F357,Productos!$A$2:$A1001,Productos!BE$2:BE1001,"")*$G357,"")</f>
        <v/>
      </c>
      <c r="BM357" s="179" t="str">
        <f t="array" ref="BM357">IF($F357&lt;&gt;"",XLOOKUP($F357,Productos!$A:$A,Productos!BF:BF,"Revisar"),"")</f>
        <v/>
      </c>
      <c r="BN357" s="179" t="str">
        <f t="array" ref="BN357">IF($F357&lt;&gt;"", XLOOKUP($F357,Productos!$A$2:$A1001,Productos!BG$2:BG1001,"")*$G357,"")</f>
        <v/>
      </c>
      <c r="BO357" s="179" t="str">
        <f t="array" ref="BO357">IF($F357&lt;&gt;"",XLOOKUP($F357,Productos!$A:$A,Productos!BH:BH,"Revisar"),"")</f>
        <v/>
      </c>
      <c r="BP357" s="179" t="str">
        <f t="array" ref="BP357">IF($F357&lt;&gt;"", XLOOKUP($F357,Productos!$A$2:$A1001,Productos!BI$2:BI1001,"")*$G357,"")</f>
        <v/>
      </c>
      <c r="BQ357" s="179" t="str">
        <f t="array" ref="BQ357">IF($F357&lt;&gt;"",XLOOKUP($F357,Productos!$A:$A,Productos!BJ:BJ,"Revisar"),"")</f>
        <v/>
      </c>
      <c r="BR357" s="179" t="str">
        <f t="array" ref="BR357">IF($F357&lt;&gt;"", XLOOKUP($F357,Productos!$A$2:$A1001,Productos!BK$2:BK1001,"")*$G357,"")</f>
        <v/>
      </c>
      <c r="BS357" s="179" t="str">
        <f t="array" ref="BS357">IF($F357&lt;&gt;"",XLOOKUP($F357,Productos!$A:$A,Productos!BL:BL,"Revisar"),"")</f>
        <v/>
      </c>
      <c r="BT357" s="179" t="str">
        <f t="array" ref="BT357">IF($F357&lt;&gt;"", XLOOKUP($F357,Productos!$A$2:$A1001,Productos!BM$2:BM1001,"")*$G357,"")</f>
        <v/>
      </c>
      <c r="BU357" s="179" t="str">
        <f t="array" ref="BU357">IF($F357&lt;&gt;"",XLOOKUP($F357,Productos!$A:$A,Productos!BN:BN,"Revisar"),"")</f>
        <v/>
      </c>
      <c r="BV357" s="179" t="str">
        <f t="array" ref="BV357">IF($F357&lt;&gt;"", XLOOKUP($F357,Productos!$A$2:$A1001,Productos!BO$2:BO1001,"")*$G357,"")</f>
        <v/>
      </c>
      <c r="BW357" s="179" t="str">
        <f t="array" ref="BW357">IF($F357&lt;&gt;"",XLOOKUP($F357,Productos!$A:$A,Productos!BP:BP,"Revisar"),"")</f>
        <v/>
      </c>
      <c r="BX357" s="179" t="str">
        <f t="array" ref="BX357">IF($F357&lt;&gt;"", XLOOKUP($F357,Productos!$A$2:$A1001,Productos!BQ$2:BQ1001,"")*$G357,"")</f>
        <v/>
      </c>
      <c r="BY357" s="179" t="str">
        <f t="array" ref="BY357">IF($F357&lt;&gt;"",XLOOKUP($F357,Productos!$A:$A,Productos!BR:BR,"Revisar"),"")</f>
        <v/>
      </c>
      <c r="BZ357" s="179" t="str">
        <f t="array" ref="BZ357">IF($F357&lt;&gt;"", XLOOKUP($F357,Productos!$A$2:$A1001,Productos!BS$2:BS1001,"")*$G357,"")</f>
        <v/>
      </c>
    </row>
    <row r="358">
      <c r="A358" s="188"/>
      <c r="B358" s="189"/>
      <c r="C358" s="190"/>
      <c r="D358" s="190"/>
      <c r="E358" s="191"/>
      <c r="F358" s="186"/>
      <c r="G358" s="192"/>
      <c r="H358" s="9"/>
      <c r="I358" s="179" t="str">
        <f t="array" ref="I358">IF($F358&lt;&gt;"",XLOOKUP($F358,Productos!$A:$A,Productos!B:B,"Revisar"),"")</f>
        <v/>
      </c>
      <c r="J358" s="179" t="str">
        <f t="array" ref="J358">IF($F358&lt;&gt;"", XLOOKUP($F358,Productos!$A$2:$A1001,Productos!C$2:C1001,"")*$G358,"")</f>
        <v/>
      </c>
      <c r="K358" s="179" t="str">
        <f t="array" ref="K358">IF($F358&lt;&gt;"",XLOOKUP($F358,Productos!$A:$A,Productos!D:D,"Revisar"),"")</f>
        <v/>
      </c>
      <c r="L358" s="179" t="str">
        <f t="array" ref="L358">IF($F358&lt;&gt;"", XLOOKUP($F358,Productos!$A$2:$A1001,Productos!E$2:E1001,"")*$G358,"")</f>
        <v/>
      </c>
      <c r="M358" s="179" t="str">
        <f t="array" ref="M358">IF($F358&lt;&gt;"",XLOOKUP($F358,Productos!$A:$A,Productos!F:F,"Revisar"),"")</f>
        <v/>
      </c>
      <c r="N358" s="179" t="str">
        <f t="array" ref="N358">IF($F358&lt;&gt;"", XLOOKUP($F358,Productos!$A$2:$A1001,Productos!G$2:G1001,"")*$G358,"")</f>
        <v/>
      </c>
      <c r="O358" s="179" t="str">
        <f t="array" ref="O358">IF($F358&lt;&gt;"",XLOOKUP($F358,Productos!$A:$A,Productos!H:H,"Revisar"),"")</f>
        <v/>
      </c>
      <c r="P358" s="179" t="str">
        <f t="array" ref="P358">IF($F358&lt;&gt;"", XLOOKUP($F358,Productos!$A$2:$A1001,Productos!I$2:I1001,"")*$G358,"")</f>
        <v/>
      </c>
      <c r="Q358" s="179" t="str">
        <f t="array" ref="Q358">IF($F358&lt;&gt;"",XLOOKUP($F358,Productos!$A:$A,Productos!J:J,"Revisar"),"")</f>
        <v/>
      </c>
      <c r="R358" s="179" t="str">
        <f t="array" ref="R358">IF($F358&lt;&gt;"", XLOOKUP($F358,Productos!$A$2:$A1001,Productos!K$2:K1001,"")*$G358,"")</f>
        <v/>
      </c>
      <c r="S358" s="179" t="str">
        <f t="array" ref="S358">IF($F358&lt;&gt;"",XLOOKUP($F358,Productos!$A:$A,Productos!L:L,"Revisar"),"")</f>
        <v/>
      </c>
      <c r="T358" s="179" t="str">
        <f t="array" ref="T358">IF($F358&lt;&gt;"", XLOOKUP($F358,Productos!$A$2:$A1001,Productos!M$2:M1001,"")*$G358,"")</f>
        <v/>
      </c>
      <c r="U358" s="179" t="str">
        <f t="array" ref="U358">IF($F358&lt;&gt;"",XLOOKUP($F358,Productos!$A:$A,Productos!N:N,"Revisar"),"")</f>
        <v/>
      </c>
      <c r="V358" s="179" t="str">
        <f t="array" ref="V358">IF($F358&lt;&gt;"", XLOOKUP($F358,Productos!$A$2:$A1001,Productos!O$2:O1001,"")*$G358,"")</f>
        <v/>
      </c>
      <c r="W358" s="179" t="str">
        <f t="array" ref="W358">IF($F358&lt;&gt;"",XLOOKUP($F358,Productos!$A:$A,Productos!P:P,"Revisar"),"")</f>
        <v/>
      </c>
      <c r="X358" s="179" t="str">
        <f t="array" ref="X358">IF($F358&lt;&gt;"", XLOOKUP($F358,Productos!$A$2:$A1001,Productos!Q$2:Q1001,"")*$G358,"")</f>
        <v/>
      </c>
      <c r="Y358" s="179" t="str">
        <f t="array" ref="Y358">IF($F358&lt;&gt;"",XLOOKUP($F358,Productos!$A:$A,Productos!R:R,"Revisar"),"")</f>
        <v/>
      </c>
      <c r="Z358" s="179" t="str">
        <f t="array" ref="Z358">IF($F358&lt;&gt;"", XLOOKUP($F358,Productos!$A$2:$A1001,Productos!S$2:S1001,"")*$G358,"")</f>
        <v/>
      </c>
      <c r="AA358" s="179" t="str">
        <f t="array" ref="AA358">IF($F358&lt;&gt;"",XLOOKUP($F358,Productos!$A:$A,Productos!T:T,"Revisar"),"")</f>
        <v/>
      </c>
      <c r="AB358" s="179" t="str">
        <f t="array" ref="AB358">IF($F358&lt;&gt;"", XLOOKUP($F358,Productos!$A$2:$A1001,Productos!U$2:U1001,"")*$G358,"")</f>
        <v/>
      </c>
      <c r="AC358" s="179" t="str">
        <f t="array" ref="AC358">IF($F358&lt;&gt;"",XLOOKUP($F358,Productos!$A:$A,Productos!V:V,"Revisar"),"")</f>
        <v/>
      </c>
      <c r="AD358" s="179" t="str">
        <f t="array" ref="AD358">IF($F358&lt;&gt;"", XLOOKUP($F358,Productos!$A$2:$A1001,Productos!W$2:W1001,"")*$G358,"")</f>
        <v/>
      </c>
      <c r="AE358" s="179" t="str">
        <f t="array" ref="AE358">IF($F358&lt;&gt;"",XLOOKUP($F358,Productos!$A:$A,Productos!X:X,"Revisar"),"")</f>
        <v/>
      </c>
      <c r="AF358" s="179" t="str">
        <f t="array" ref="AF358">IF($F358&lt;&gt;"", XLOOKUP($F358,Productos!$A$2:$A1001,Productos!Y$2:Y1001,"")*$G358,"")</f>
        <v/>
      </c>
      <c r="AG358" s="179" t="str">
        <f t="array" ref="AG358">IF($F358&lt;&gt;"",XLOOKUP($F358,Productos!$A:$A,Productos!Z:Z,"Revisar"),"")</f>
        <v/>
      </c>
      <c r="AH358" s="179" t="str">
        <f t="array" ref="AH358">IF($F358&lt;&gt;"", XLOOKUP($F358,Productos!$A$2:$A1001,Productos!AA$2:AA1001,"")*$G358,"")</f>
        <v/>
      </c>
      <c r="AI358" s="179" t="str">
        <f t="array" ref="AI358">IF($F358&lt;&gt;"",XLOOKUP($F358,Productos!$A:$A,Productos!AB:AB,"Revisar"),"")</f>
        <v/>
      </c>
      <c r="AJ358" s="179" t="str">
        <f t="array" ref="AJ358">IF($F358&lt;&gt;"", XLOOKUP($F358,Productos!$A$2:$A1001,Productos!AC$2:AC1001,"")*$G358,"")</f>
        <v/>
      </c>
      <c r="AK358" s="179" t="str">
        <f t="array" ref="AK358">IF($F358&lt;&gt;"",XLOOKUP($F358,Productos!$A:$A,Productos!AD:AD,"Revisar"),"")</f>
        <v/>
      </c>
      <c r="AL358" s="179" t="str">
        <f t="array" ref="AL358">IF($F358&lt;&gt;"", XLOOKUP($F358,Productos!$A$2:$A1001,Productos!AE$2:AE1001,"")*$G358,"")</f>
        <v/>
      </c>
      <c r="AM358" s="179" t="str">
        <f t="array" ref="AM358">IF($F358&lt;&gt;"",XLOOKUP($F358,Productos!$A:$A,Productos!AF:AF,"Revisar"),"")</f>
        <v/>
      </c>
      <c r="AN358" s="179" t="str">
        <f t="array" ref="AN358">IF($F358&lt;&gt;"", XLOOKUP($F358,Productos!$A$2:$A1001,Productos!AG$2:AG1001,"")*$G358,"")</f>
        <v/>
      </c>
      <c r="AO358" s="179" t="str">
        <f t="array" ref="AO358">IF($F358&lt;&gt;"",XLOOKUP($F358,Productos!$A:$A,Productos!AH:AH,"Revisar"),"")</f>
        <v/>
      </c>
      <c r="AP358" s="179" t="str">
        <f t="array" ref="AP358">IF($F358&lt;&gt;"", XLOOKUP($F358,Productos!$A$2:$A1001,Productos!AI$2:AI1001,"")*$G358,"")</f>
        <v/>
      </c>
      <c r="AQ358" s="179" t="str">
        <f t="array" ref="AQ358">IF($F358&lt;&gt;"",XLOOKUP($F358,Productos!$A:$A,Productos!AJ:AJ,"Revisar"),"")</f>
        <v/>
      </c>
      <c r="AR358" s="179" t="str">
        <f t="array" ref="AR358">IF($F358&lt;&gt;"", XLOOKUP($F358,Productos!$A$2:$A1001,Productos!AK$2:AK1001,"")*$G358,"")</f>
        <v/>
      </c>
      <c r="AS358" s="179" t="str">
        <f t="array" ref="AS358">IF($F358&lt;&gt;"",XLOOKUP($F358,Productos!$A:$A,Productos!AL:AL,"Revisar"),"")</f>
        <v/>
      </c>
      <c r="AT358" s="179" t="str">
        <f t="array" ref="AT358">IF($F358&lt;&gt;"", XLOOKUP($F358,Productos!$A$2:$A1001,Productos!AM$2:AM1001,"")*$G358,"")</f>
        <v/>
      </c>
      <c r="AU358" s="179" t="str">
        <f t="array" ref="AU358">IF($F358&lt;&gt;"",XLOOKUP($F358,Productos!$A:$A,Productos!AN:AN,"Revisar"),"")</f>
        <v/>
      </c>
      <c r="AV358" s="179" t="str">
        <f t="array" ref="AV358">IF($F358&lt;&gt;"", XLOOKUP($F358,Productos!$A$2:$A1001,Productos!AO$2:AO1001,"")*$G358,"")</f>
        <v/>
      </c>
      <c r="AW358" s="179" t="str">
        <f t="array" ref="AW358">IF($F358&lt;&gt;"",XLOOKUP($F358,Productos!$A:$A,Productos!AP:AP,"Revisar"),"")</f>
        <v/>
      </c>
      <c r="AX358" s="179" t="str">
        <f t="array" ref="AX358">IF($F358&lt;&gt;"", XLOOKUP($F358,Productos!$A$2:$A1001,Productos!AQ$2:AQ1001,"")*$G358,"")</f>
        <v/>
      </c>
      <c r="AY358" s="179" t="str">
        <f t="array" ref="AY358">IF($F358&lt;&gt;"",XLOOKUP($F358,Productos!$A:$A,Productos!AR:AR,"Revisar"),"")</f>
        <v/>
      </c>
      <c r="AZ358" s="179" t="str">
        <f t="array" ref="AZ358">IF($F358&lt;&gt;"", XLOOKUP($F358,Productos!$A$2:$A1001,Productos!AS$2:AS1001,"")*$G358,"")</f>
        <v/>
      </c>
      <c r="BA358" s="179" t="str">
        <f t="array" ref="BA358">IF($F358&lt;&gt;"",XLOOKUP($F358,Productos!$A:$A,Productos!AT:AT,"Revisar"),"")</f>
        <v/>
      </c>
      <c r="BB358" s="179" t="str">
        <f t="array" ref="BB358">IF($F358&lt;&gt;"", XLOOKUP($F358,Productos!$A$2:$A1001,Productos!AU$2:AU1001,"")*$G358,"")</f>
        <v/>
      </c>
      <c r="BC358" s="179" t="str">
        <f t="array" ref="BC358">IF($F358&lt;&gt;"",XLOOKUP($F358,Productos!$A:$A,Productos!AV:AV,"Revisar"),"")</f>
        <v/>
      </c>
      <c r="BD358" s="179" t="str">
        <f t="array" ref="BD358">IF($F358&lt;&gt;"", XLOOKUP($F358,Productos!$A$2:$A1001,Productos!AW$2:AW1001,"")*$G358,"")</f>
        <v/>
      </c>
      <c r="BE358" s="179" t="str">
        <f t="array" ref="BE358">IF($F358&lt;&gt;"",XLOOKUP($F358,Productos!$A:$A,Productos!AX:AX,"Revisar"),"")</f>
        <v/>
      </c>
      <c r="BF358" s="179" t="str">
        <f t="array" ref="BF358">IF($F358&lt;&gt;"", XLOOKUP($F358,Productos!$A$2:$A1001,Productos!AY$2:AY1001,"")*$G358,"")</f>
        <v/>
      </c>
      <c r="BG358" s="179" t="str">
        <f t="array" ref="BG358">IF($F358&lt;&gt;"",XLOOKUP($F358,Productos!$A:$A,Productos!AZ:AZ,"Revisar"),"")</f>
        <v/>
      </c>
      <c r="BH358" s="179" t="str">
        <f t="array" ref="BH358">IF($F358&lt;&gt;"", XLOOKUP($F358,Productos!$A$2:$A1001,Productos!BA$2:BA1001,"")*$G358,"")</f>
        <v/>
      </c>
      <c r="BI358" s="179" t="str">
        <f t="array" ref="BI358">IF($F358&lt;&gt;"",XLOOKUP($F358,Productos!$A:$A,Productos!BB:BB,"Revisar"),"")</f>
        <v/>
      </c>
      <c r="BJ358" s="179" t="str">
        <f t="array" ref="BJ358">IF($F358&lt;&gt;"", XLOOKUP($F358,Productos!$A$2:$A1001,Productos!BC$2:BC1001,"")*$G358,"")</f>
        <v/>
      </c>
      <c r="BK358" s="179" t="str">
        <f t="array" ref="BK358">IF($F358&lt;&gt;"",XLOOKUP($F358,Productos!$A:$A,Productos!BD:BD,"Revisar"),"")</f>
        <v/>
      </c>
      <c r="BL358" s="179" t="str">
        <f t="array" ref="BL358">IF($F358&lt;&gt;"", XLOOKUP($F358,Productos!$A$2:$A1001,Productos!BE$2:BE1001,"")*$G358,"")</f>
        <v/>
      </c>
      <c r="BM358" s="179" t="str">
        <f t="array" ref="BM358">IF($F358&lt;&gt;"",XLOOKUP($F358,Productos!$A:$A,Productos!BF:BF,"Revisar"),"")</f>
        <v/>
      </c>
      <c r="BN358" s="179" t="str">
        <f t="array" ref="BN358">IF($F358&lt;&gt;"", XLOOKUP($F358,Productos!$A$2:$A1001,Productos!BG$2:BG1001,"")*$G358,"")</f>
        <v/>
      </c>
      <c r="BO358" s="179" t="str">
        <f t="array" ref="BO358">IF($F358&lt;&gt;"",XLOOKUP($F358,Productos!$A:$A,Productos!BH:BH,"Revisar"),"")</f>
        <v/>
      </c>
      <c r="BP358" s="179" t="str">
        <f t="array" ref="BP358">IF($F358&lt;&gt;"", XLOOKUP($F358,Productos!$A$2:$A1001,Productos!BI$2:BI1001,"")*$G358,"")</f>
        <v/>
      </c>
      <c r="BQ358" s="179" t="str">
        <f t="array" ref="BQ358">IF($F358&lt;&gt;"",XLOOKUP($F358,Productos!$A:$A,Productos!BJ:BJ,"Revisar"),"")</f>
        <v/>
      </c>
      <c r="BR358" s="179" t="str">
        <f t="array" ref="BR358">IF($F358&lt;&gt;"", XLOOKUP($F358,Productos!$A$2:$A1001,Productos!BK$2:BK1001,"")*$G358,"")</f>
        <v/>
      </c>
      <c r="BS358" s="179" t="str">
        <f t="array" ref="BS358">IF($F358&lt;&gt;"",XLOOKUP($F358,Productos!$A:$A,Productos!BL:BL,"Revisar"),"")</f>
        <v/>
      </c>
      <c r="BT358" s="179" t="str">
        <f t="array" ref="BT358">IF($F358&lt;&gt;"", XLOOKUP($F358,Productos!$A$2:$A1001,Productos!BM$2:BM1001,"")*$G358,"")</f>
        <v/>
      </c>
      <c r="BU358" s="179" t="str">
        <f t="array" ref="BU358">IF($F358&lt;&gt;"",XLOOKUP($F358,Productos!$A:$A,Productos!BN:BN,"Revisar"),"")</f>
        <v/>
      </c>
      <c r="BV358" s="179" t="str">
        <f t="array" ref="BV358">IF($F358&lt;&gt;"", XLOOKUP($F358,Productos!$A$2:$A1001,Productos!BO$2:BO1001,"")*$G358,"")</f>
        <v/>
      </c>
      <c r="BW358" s="179" t="str">
        <f t="array" ref="BW358">IF($F358&lt;&gt;"",XLOOKUP($F358,Productos!$A:$A,Productos!BP:BP,"Revisar"),"")</f>
        <v/>
      </c>
      <c r="BX358" s="179" t="str">
        <f t="array" ref="BX358">IF($F358&lt;&gt;"", XLOOKUP($F358,Productos!$A$2:$A1001,Productos!BQ$2:BQ1001,"")*$G358,"")</f>
        <v/>
      </c>
      <c r="BY358" s="179" t="str">
        <f t="array" ref="BY358">IF($F358&lt;&gt;"",XLOOKUP($F358,Productos!$A:$A,Productos!BR:BR,"Revisar"),"")</f>
        <v/>
      </c>
      <c r="BZ358" s="179" t="str">
        <f t="array" ref="BZ358">IF($F358&lt;&gt;"", XLOOKUP($F358,Productos!$A$2:$A1001,Productos!BS$2:BS1001,"")*$G358,"")</f>
        <v/>
      </c>
    </row>
    <row r="359">
      <c r="A359" s="188"/>
      <c r="B359" s="189"/>
      <c r="C359" s="190"/>
      <c r="D359" s="190"/>
      <c r="E359" s="191"/>
      <c r="F359" s="186"/>
      <c r="G359" s="192"/>
      <c r="H359" s="9"/>
      <c r="I359" s="179" t="str">
        <f t="array" ref="I359">IF($F359&lt;&gt;"",XLOOKUP($F359,Productos!$A:$A,Productos!B:B,"Revisar"),"")</f>
        <v/>
      </c>
      <c r="J359" s="179" t="str">
        <f t="array" ref="J359">IF($F359&lt;&gt;"", XLOOKUP($F359,Productos!$A$2:$A1001,Productos!C$2:C1001,"")*$G359,"")</f>
        <v/>
      </c>
      <c r="K359" s="179" t="str">
        <f t="array" ref="K359">IF($F359&lt;&gt;"",XLOOKUP($F359,Productos!$A:$A,Productos!D:D,"Revisar"),"")</f>
        <v/>
      </c>
      <c r="L359" s="179" t="str">
        <f t="array" ref="L359">IF($F359&lt;&gt;"", XLOOKUP($F359,Productos!$A$2:$A1001,Productos!E$2:E1001,"")*$G359,"")</f>
        <v/>
      </c>
      <c r="M359" s="179" t="str">
        <f t="array" ref="M359">IF($F359&lt;&gt;"",XLOOKUP($F359,Productos!$A:$A,Productos!F:F,"Revisar"),"")</f>
        <v/>
      </c>
      <c r="N359" s="179" t="str">
        <f t="array" ref="N359">IF($F359&lt;&gt;"", XLOOKUP($F359,Productos!$A$2:$A1001,Productos!G$2:G1001,"")*$G359,"")</f>
        <v/>
      </c>
      <c r="O359" s="179" t="str">
        <f t="array" ref="O359">IF($F359&lt;&gt;"",XLOOKUP($F359,Productos!$A:$A,Productos!H:H,"Revisar"),"")</f>
        <v/>
      </c>
      <c r="P359" s="179" t="str">
        <f t="array" ref="P359">IF($F359&lt;&gt;"", XLOOKUP($F359,Productos!$A$2:$A1001,Productos!I$2:I1001,"")*$G359,"")</f>
        <v/>
      </c>
      <c r="Q359" s="179" t="str">
        <f t="array" ref="Q359">IF($F359&lt;&gt;"",XLOOKUP($F359,Productos!$A:$A,Productos!J:J,"Revisar"),"")</f>
        <v/>
      </c>
      <c r="R359" s="179" t="str">
        <f t="array" ref="R359">IF($F359&lt;&gt;"", XLOOKUP($F359,Productos!$A$2:$A1001,Productos!K$2:K1001,"")*$G359,"")</f>
        <v/>
      </c>
      <c r="S359" s="179" t="str">
        <f t="array" ref="S359">IF($F359&lt;&gt;"",XLOOKUP($F359,Productos!$A:$A,Productos!L:L,"Revisar"),"")</f>
        <v/>
      </c>
      <c r="T359" s="179" t="str">
        <f t="array" ref="T359">IF($F359&lt;&gt;"", XLOOKUP($F359,Productos!$A$2:$A1001,Productos!M$2:M1001,"")*$G359,"")</f>
        <v/>
      </c>
      <c r="U359" s="179" t="str">
        <f t="array" ref="U359">IF($F359&lt;&gt;"",XLOOKUP($F359,Productos!$A:$A,Productos!N:N,"Revisar"),"")</f>
        <v/>
      </c>
      <c r="V359" s="179" t="str">
        <f t="array" ref="V359">IF($F359&lt;&gt;"", XLOOKUP($F359,Productos!$A$2:$A1001,Productos!O$2:O1001,"")*$G359,"")</f>
        <v/>
      </c>
      <c r="W359" s="179" t="str">
        <f t="array" ref="W359">IF($F359&lt;&gt;"",XLOOKUP($F359,Productos!$A:$A,Productos!P:P,"Revisar"),"")</f>
        <v/>
      </c>
      <c r="X359" s="179" t="str">
        <f t="array" ref="X359">IF($F359&lt;&gt;"", XLOOKUP($F359,Productos!$A$2:$A1001,Productos!Q$2:Q1001,"")*$G359,"")</f>
        <v/>
      </c>
      <c r="Y359" s="179" t="str">
        <f t="array" ref="Y359">IF($F359&lt;&gt;"",XLOOKUP($F359,Productos!$A:$A,Productos!R:R,"Revisar"),"")</f>
        <v/>
      </c>
      <c r="Z359" s="179" t="str">
        <f t="array" ref="Z359">IF($F359&lt;&gt;"", XLOOKUP($F359,Productos!$A$2:$A1001,Productos!S$2:S1001,"")*$G359,"")</f>
        <v/>
      </c>
      <c r="AA359" s="179" t="str">
        <f t="array" ref="AA359">IF($F359&lt;&gt;"",XLOOKUP($F359,Productos!$A:$A,Productos!T:T,"Revisar"),"")</f>
        <v/>
      </c>
      <c r="AB359" s="179" t="str">
        <f t="array" ref="AB359">IF($F359&lt;&gt;"", XLOOKUP($F359,Productos!$A$2:$A1001,Productos!U$2:U1001,"")*$G359,"")</f>
        <v/>
      </c>
      <c r="AC359" s="179" t="str">
        <f t="array" ref="AC359">IF($F359&lt;&gt;"",XLOOKUP($F359,Productos!$A:$A,Productos!V:V,"Revisar"),"")</f>
        <v/>
      </c>
      <c r="AD359" s="179" t="str">
        <f t="array" ref="AD359">IF($F359&lt;&gt;"", XLOOKUP($F359,Productos!$A$2:$A1001,Productos!W$2:W1001,"")*$G359,"")</f>
        <v/>
      </c>
      <c r="AE359" s="179" t="str">
        <f t="array" ref="AE359">IF($F359&lt;&gt;"",XLOOKUP($F359,Productos!$A:$A,Productos!X:X,"Revisar"),"")</f>
        <v/>
      </c>
      <c r="AF359" s="179" t="str">
        <f t="array" ref="AF359">IF($F359&lt;&gt;"", XLOOKUP($F359,Productos!$A$2:$A1001,Productos!Y$2:Y1001,"")*$G359,"")</f>
        <v/>
      </c>
      <c r="AG359" s="179" t="str">
        <f t="array" ref="AG359">IF($F359&lt;&gt;"",XLOOKUP($F359,Productos!$A:$A,Productos!Z:Z,"Revisar"),"")</f>
        <v/>
      </c>
      <c r="AH359" s="179" t="str">
        <f t="array" ref="AH359">IF($F359&lt;&gt;"", XLOOKUP($F359,Productos!$A$2:$A1001,Productos!AA$2:AA1001,"")*$G359,"")</f>
        <v/>
      </c>
      <c r="AI359" s="179" t="str">
        <f t="array" ref="AI359">IF($F359&lt;&gt;"",XLOOKUP($F359,Productos!$A:$A,Productos!AB:AB,"Revisar"),"")</f>
        <v/>
      </c>
      <c r="AJ359" s="179" t="str">
        <f t="array" ref="AJ359">IF($F359&lt;&gt;"", XLOOKUP($F359,Productos!$A$2:$A1001,Productos!AC$2:AC1001,"")*$G359,"")</f>
        <v/>
      </c>
      <c r="AK359" s="179" t="str">
        <f t="array" ref="AK359">IF($F359&lt;&gt;"",XLOOKUP($F359,Productos!$A:$A,Productos!AD:AD,"Revisar"),"")</f>
        <v/>
      </c>
      <c r="AL359" s="179" t="str">
        <f t="array" ref="AL359">IF($F359&lt;&gt;"", XLOOKUP($F359,Productos!$A$2:$A1001,Productos!AE$2:AE1001,"")*$G359,"")</f>
        <v/>
      </c>
      <c r="AM359" s="179" t="str">
        <f t="array" ref="AM359">IF($F359&lt;&gt;"",XLOOKUP($F359,Productos!$A:$A,Productos!AF:AF,"Revisar"),"")</f>
        <v/>
      </c>
      <c r="AN359" s="179" t="str">
        <f t="array" ref="AN359">IF($F359&lt;&gt;"", XLOOKUP($F359,Productos!$A$2:$A1001,Productos!AG$2:AG1001,"")*$G359,"")</f>
        <v/>
      </c>
      <c r="AO359" s="179" t="str">
        <f t="array" ref="AO359">IF($F359&lt;&gt;"",XLOOKUP($F359,Productos!$A:$A,Productos!AH:AH,"Revisar"),"")</f>
        <v/>
      </c>
      <c r="AP359" s="179" t="str">
        <f t="array" ref="AP359">IF($F359&lt;&gt;"", XLOOKUP($F359,Productos!$A$2:$A1001,Productos!AI$2:AI1001,"")*$G359,"")</f>
        <v/>
      </c>
      <c r="AQ359" s="179" t="str">
        <f t="array" ref="AQ359">IF($F359&lt;&gt;"",XLOOKUP($F359,Productos!$A:$A,Productos!AJ:AJ,"Revisar"),"")</f>
        <v/>
      </c>
      <c r="AR359" s="179" t="str">
        <f t="array" ref="AR359">IF($F359&lt;&gt;"", XLOOKUP($F359,Productos!$A$2:$A1001,Productos!AK$2:AK1001,"")*$G359,"")</f>
        <v/>
      </c>
      <c r="AS359" s="179" t="str">
        <f t="array" ref="AS359">IF($F359&lt;&gt;"",XLOOKUP($F359,Productos!$A:$A,Productos!AL:AL,"Revisar"),"")</f>
        <v/>
      </c>
      <c r="AT359" s="179" t="str">
        <f t="array" ref="AT359">IF($F359&lt;&gt;"", XLOOKUP($F359,Productos!$A$2:$A1001,Productos!AM$2:AM1001,"")*$G359,"")</f>
        <v/>
      </c>
      <c r="AU359" s="179" t="str">
        <f t="array" ref="AU359">IF($F359&lt;&gt;"",XLOOKUP($F359,Productos!$A:$A,Productos!AN:AN,"Revisar"),"")</f>
        <v/>
      </c>
      <c r="AV359" s="179" t="str">
        <f t="array" ref="AV359">IF($F359&lt;&gt;"", XLOOKUP($F359,Productos!$A$2:$A1001,Productos!AO$2:AO1001,"")*$G359,"")</f>
        <v/>
      </c>
      <c r="AW359" s="179" t="str">
        <f t="array" ref="AW359">IF($F359&lt;&gt;"",XLOOKUP($F359,Productos!$A:$A,Productos!AP:AP,"Revisar"),"")</f>
        <v/>
      </c>
      <c r="AX359" s="179" t="str">
        <f t="array" ref="AX359">IF($F359&lt;&gt;"", XLOOKUP($F359,Productos!$A$2:$A1001,Productos!AQ$2:AQ1001,"")*$G359,"")</f>
        <v/>
      </c>
      <c r="AY359" s="179" t="str">
        <f t="array" ref="AY359">IF($F359&lt;&gt;"",XLOOKUP($F359,Productos!$A:$A,Productos!AR:AR,"Revisar"),"")</f>
        <v/>
      </c>
      <c r="AZ359" s="179" t="str">
        <f t="array" ref="AZ359">IF($F359&lt;&gt;"", XLOOKUP($F359,Productos!$A$2:$A1001,Productos!AS$2:AS1001,"")*$G359,"")</f>
        <v/>
      </c>
      <c r="BA359" s="179" t="str">
        <f t="array" ref="BA359">IF($F359&lt;&gt;"",XLOOKUP($F359,Productos!$A:$A,Productos!AT:AT,"Revisar"),"")</f>
        <v/>
      </c>
      <c r="BB359" s="179" t="str">
        <f t="array" ref="BB359">IF($F359&lt;&gt;"", XLOOKUP($F359,Productos!$A$2:$A1001,Productos!AU$2:AU1001,"")*$G359,"")</f>
        <v/>
      </c>
      <c r="BC359" s="179" t="str">
        <f t="array" ref="BC359">IF($F359&lt;&gt;"",XLOOKUP($F359,Productos!$A:$A,Productos!AV:AV,"Revisar"),"")</f>
        <v/>
      </c>
      <c r="BD359" s="179" t="str">
        <f t="array" ref="BD359">IF($F359&lt;&gt;"", XLOOKUP($F359,Productos!$A$2:$A1001,Productos!AW$2:AW1001,"")*$G359,"")</f>
        <v/>
      </c>
      <c r="BE359" s="179" t="str">
        <f t="array" ref="BE359">IF($F359&lt;&gt;"",XLOOKUP($F359,Productos!$A:$A,Productos!AX:AX,"Revisar"),"")</f>
        <v/>
      </c>
      <c r="BF359" s="179" t="str">
        <f t="array" ref="BF359">IF($F359&lt;&gt;"", XLOOKUP($F359,Productos!$A$2:$A1001,Productos!AY$2:AY1001,"")*$G359,"")</f>
        <v/>
      </c>
      <c r="BG359" s="179" t="str">
        <f t="array" ref="BG359">IF($F359&lt;&gt;"",XLOOKUP($F359,Productos!$A:$A,Productos!AZ:AZ,"Revisar"),"")</f>
        <v/>
      </c>
      <c r="BH359" s="179" t="str">
        <f t="array" ref="BH359">IF($F359&lt;&gt;"", XLOOKUP($F359,Productos!$A$2:$A1001,Productos!BA$2:BA1001,"")*$G359,"")</f>
        <v/>
      </c>
      <c r="BI359" s="179" t="str">
        <f t="array" ref="BI359">IF($F359&lt;&gt;"",XLOOKUP($F359,Productos!$A:$A,Productos!BB:BB,"Revisar"),"")</f>
        <v/>
      </c>
      <c r="BJ359" s="179" t="str">
        <f t="array" ref="BJ359">IF($F359&lt;&gt;"", XLOOKUP($F359,Productos!$A$2:$A1001,Productos!BC$2:BC1001,"")*$G359,"")</f>
        <v/>
      </c>
      <c r="BK359" s="179" t="str">
        <f t="array" ref="BK359">IF($F359&lt;&gt;"",XLOOKUP($F359,Productos!$A:$A,Productos!BD:BD,"Revisar"),"")</f>
        <v/>
      </c>
      <c r="BL359" s="179" t="str">
        <f t="array" ref="BL359">IF($F359&lt;&gt;"", XLOOKUP($F359,Productos!$A$2:$A1001,Productos!BE$2:BE1001,"")*$G359,"")</f>
        <v/>
      </c>
      <c r="BM359" s="179" t="str">
        <f t="array" ref="BM359">IF($F359&lt;&gt;"",XLOOKUP($F359,Productos!$A:$A,Productos!BF:BF,"Revisar"),"")</f>
        <v/>
      </c>
      <c r="BN359" s="179" t="str">
        <f t="array" ref="BN359">IF($F359&lt;&gt;"", XLOOKUP($F359,Productos!$A$2:$A1001,Productos!BG$2:BG1001,"")*$G359,"")</f>
        <v/>
      </c>
      <c r="BO359" s="179" t="str">
        <f t="array" ref="BO359">IF($F359&lt;&gt;"",XLOOKUP($F359,Productos!$A:$A,Productos!BH:BH,"Revisar"),"")</f>
        <v/>
      </c>
      <c r="BP359" s="179" t="str">
        <f t="array" ref="BP359">IF($F359&lt;&gt;"", XLOOKUP($F359,Productos!$A$2:$A1001,Productos!BI$2:BI1001,"")*$G359,"")</f>
        <v/>
      </c>
      <c r="BQ359" s="179" t="str">
        <f t="array" ref="BQ359">IF($F359&lt;&gt;"",XLOOKUP($F359,Productos!$A:$A,Productos!BJ:BJ,"Revisar"),"")</f>
        <v/>
      </c>
      <c r="BR359" s="179" t="str">
        <f t="array" ref="BR359">IF($F359&lt;&gt;"", XLOOKUP($F359,Productos!$A$2:$A1001,Productos!BK$2:BK1001,"")*$G359,"")</f>
        <v/>
      </c>
      <c r="BS359" s="179" t="str">
        <f t="array" ref="BS359">IF($F359&lt;&gt;"",XLOOKUP($F359,Productos!$A:$A,Productos!BL:BL,"Revisar"),"")</f>
        <v/>
      </c>
      <c r="BT359" s="179" t="str">
        <f t="array" ref="BT359">IF($F359&lt;&gt;"", XLOOKUP($F359,Productos!$A$2:$A1001,Productos!BM$2:BM1001,"")*$G359,"")</f>
        <v/>
      </c>
      <c r="BU359" s="179" t="str">
        <f t="array" ref="BU359">IF($F359&lt;&gt;"",XLOOKUP($F359,Productos!$A:$A,Productos!BN:BN,"Revisar"),"")</f>
        <v/>
      </c>
      <c r="BV359" s="179" t="str">
        <f t="array" ref="BV359">IF($F359&lt;&gt;"", XLOOKUP($F359,Productos!$A$2:$A1001,Productos!BO$2:BO1001,"")*$G359,"")</f>
        <v/>
      </c>
      <c r="BW359" s="179" t="str">
        <f t="array" ref="BW359">IF($F359&lt;&gt;"",XLOOKUP($F359,Productos!$A:$A,Productos!BP:BP,"Revisar"),"")</f>
        <v/>
      </c>
      <c r="BX359" s="179" t="str">
        <f t="array" ref="BX359">IF($F359&lt;&gt;"", XLOOKUP($F359,Productos!$A$2:$A1001,Productos!BQ$2:BQ1001,"")*$G359,"")</f>
        <v/>
      </c>
      <c r="BY359" s="179" t="str">
        <f t="array" ref="BY359">IF($F359&lt;&gt;"",XLOOKUP($F359,Productos!$A:$A,Productos!BR:BR,"Revisar"),"")</f>
        <v/>
      </c>
      <c r="BZ359" s="179" t="str">
        <f t="array" ref="BZ359">IF($F359&lt;&gt;"", XLOOKUP($F359,Productos!$A$2:$A1001,Productos!BS$2:BS1001,"")*$G359,"")</f>
        <v/>
      </c>
    </row>
    <row r="360">
      <c r="A360" s="188"/>
      <c r="B360" s="189"/>
      <c r="C360" s="190"/>
      <c r="D360" s="190"/>
      <c r="E360" s="191"/>
      <c r="F360" s="186"/>
      <c r="G360" s="192"/>
      <c r="H360" s="9"/>
      <c r="I360" s="179" t="str">
        <f t="array" ref="I360">IF($F360&lt;&gt;"",XLOOKUP($F360,Productos!$A:$A,Productos!B:B,"Revisar"),"")</f>
        <v/>
      </c>
      <c r="J360" s="179" t="str">
        <f t="array" ref="J360">IF($F360&lt;&gt;"", XLOOKUP($F360,Productos!$A$2:$A1001,Productos!C$2:C1001,"")*$G360,"")</f>
        <v/>
      </c>
      <c r="K360" s="179" t="str">
        <f t="array" ref="K360">IF($F360&lt;&gt;"",XLOOKUP($F360,Productos!$A:$A,Productos!D:D,"Revisar"),"")</f>
        <v/>
      </c>
      <c r="L360" s="179" t="str">
        <f t="array" ref="L360">IF($F360&lt;&gt;"", XLOOKUP($F360,Productos!$A$2:$A1001,Productos!E$2:E1001,"")*$G360,"")</f>
        <v/>
      </c>
      <c r="M360" s="179" t="str">
        <f t="array" ref="M360">IF($F360&lt;&gt;"",XLOOKUP($F360,Productos!$A:$A,Productos!F:F,"Revisar"),"")</f>
        <v/>
      </c>
      <c r="N360" s="179" t="str">
        <f t="array" ref="N360">IF($F360&lt;&gt;"", XLOOKUP($F360,Productos!$A$2:$A1001,Productos!G$2:G1001,"")*$G360,"")</f>
        <v/>
      </c>
      <c r="O360" s="179" t="str">
        <f t="array" ref="O360">IF($F360&lt;&gt;"",XLOOKUP($F360,Productos!$A:$A,Productos!H:H,"Revisar"),"")</f>
        <v/>
      </c>
      <c r="P360" s="179" t="str">
        <f t="array" ref="P360">IF($F360&lt;&gt;"", XLOOKUP($F360,Productos!$A$2:$A1001,Productos!I$2:I1001,"")*$G360,"")</f>
        <v/>
      </c>
      <c r="Q360" s="179" t="str">
        <f t="array" ref="Q360">IF($F360&lt;&gt;"",XLOOKUP($F360,Productos!$A:$A,Productos!J:J,"Revisar"),"")</f>
        <v/>
      </c>
      <c r="R360" s="179" t="str">
        <f t="array" ref="R360">IF($F360&lt;&gt;"", XLOOKUP($F360,Productos!$A$2:$A1001,Productos!K$2:K1001,"")*$G360,"")</f>
        <v/>
      </c>
      <c r="S360" s="179" t="str">
        <f t="array" ref="S360">IF($F360&lt;&gt;"",XLOOKUP($F360,Productos!$A:$A,Productos!L:L,"Revisar"),"")</f>
        <v/>
      </c>
      <c r="T360" s="179" t="str">
        <f t="array" ref="T360">IF($F360&lt;&gt;"", XLOOKUP($F360,Productos!$A$2:$A1001,Productos!M$2:M1001,"")*$G360,"")</f>
        <v/>
      </c>
      <c r="U360" s="179" t="str">
        <f t="array" ref="U360">IF($F360&lt;&gt;"",XLOOKUP($F360,Productos!$A:$A,Productos!N:N,"Revisar"),"")</f>
        <v/>
      </c>
      <c r="V360" s="179" t="str">
        <f t="array" ref="V360">IF($F360&lt;&gt;"", XLOOKUP($F360,Productos!$A$2:$A1001,Productos!O$2:O1001,"")*$G360,"")</f>
        <v/>
      </c>
      <c r="W360" s="179" t="str">
        <f t="array" ref="W360">IF($F360&lt;&gt;"",XLOOKUP($F360,Productos!$A:$A,Productos!P:P,"Revisar"),"")</f>
        <v/>
      </c>
      <c r="X360" s="179" t="str">
        <f t="array" ref="X360">IF($F360&lt;&gt;"", XLOOKUP($F360,Productos!$A$2:$A1001,Productos!Q$2:Q1001,"")*$G360,"")</f>
        <v/>
      </c>
      <c r="Y360" s="179" t="str">
        <f t="array" ref="Y360">IF($F360&lt;&gt;"",XLOOKUP($F360,Productos!$A:$A,Productos!R:R,"Revisar"),"")</f>
        <v/>
      </c>
      <c r="Z360" s="179" t="str">
        <f t="array" ref="Z360">IF($F360&lt;&gt;"", XLOOKUP($F360,Productos!$A$2:$A1001,Productos!S$2:S1001,"")*$G360,"")</f>
        <v/>
      </c>
      <c r="AA360" s="179" t="str">
        <f t="array" ref="AA360">IF($F360&lt;&gt;"",XLOOKUP($F360,Productos!$A:$A,Productos!T:T,"Revisar"),"")</f>
        <v/>
      </c>
      <c r="AB360" s="179" t="str">
        <f t="array" ref="AB360">IF($F360&lt;&gt;"", XLOOKUP($F360,Productos!$A$2:$A1001,Productos!U$2:U1001,"")*$G360,"")</f>
        <v/>
      </c>
      <c r="AC360" s="179" t="str">
        <f t="array" ref="AC360">IF($F360&lt;&gt;"",XLOOKUP($F360,Productos!$A:$A,Productos!V:V,"Revisar"),"")</f>
        <v/>
      </c>
      <c r="AD360" s="179" t="str">
        <f t="array" ref="AD360">IF($F360&lt;&gt;"", XLOOKUP($F360,Productos!$A$2:$A1001,Productos!W$2:W1001,"")*$G360,"")</f>
        <v/>
      </c>
      <c r="AE360" s="179" t="str">
        <f t="array" ref="AE360">IF($F360&lt;&gt;"",XLOOKUP($F360,Productos!$A:$A,Productos!X:X,"Revisar"),"")</f>
        <v/>
      </c>
      <c r="AF360" s="179" t="str">
        <f t="array" ref="AF360">IF($F360&lt;&gt;"", XLOOKUP($F360,Productos!$A$2:$A1001,Productos!Y$2:Y1001,"")*$G360,"")</f>
        <v/>
      </c>
      <c r="AG360" s="179" t="str">
        <f t="array" ref="AG360">IF($F360&lt;&gt;"",XLOOKUP($F360,Productos!$A:$A,Productos!Z:Z,"Revisar"),"")</f>
        <v/>
      </c>
      <c r="AH360" s="179" t="str">
        <f t="array" ref="AH360">IF($F360&lt;&gt;"", XLOOKUP($F360,Productos!$A$2:$A1001,Productos!AA$2:AA1001,"")*$G360,"")</f>
        <v/>
      </c>
      <c r="AI360" s="179" t="str">
        <f t="array" ref="AI360">IF($F360&lt;&gt;"",XLOOKUP($F360,Productos!$A:$A,Productos!AB:AB,"Revisar"),"")</f>
        <v/>
      </c>
      <c r="AJ360" s="179" t="str">
        <f t="array" ref="AJ360">IF($F360&lt;&gt;"", XLOOKUP($F360,Productos!$A$2:$A1001,Productos!AC$2:AC1001,"")*$G360,"")</f>
        <v/>
      </c>
      <c r="AK360" s="179" t="str">
        <f t="array" ref="AK360">IF($F360&lt;&gt;"",XLOOKUP($F360,Productos!$A:$A,Productos!AD:AD,"Revisar"),"")</f>
        <v/>
      </c>
      <c r="AL360" s="179" t="str">
        <f t="array" ref="AL360">IF($F360&lt;&gt;"", XLOOKUP($F360,Productos!$A$2:$A1001,Productos!AE$2:AE1001,"")*$G360,"")</f>
        <v/>
      </c>
      <c r="AM360" s="179" t="str">
        <f t="array" ref="AM360">IF($F360&lt;&gt;"",XLOOKUP($F360,Productos!$A:$A,Productos!AF:AF,"Revisar"),"")</f>
        <v/>
      </c>
      <c r="AN360" s="179" t="str">
        <f t="array" ref="AN360">IF($F360&lt;&gt;"", XLOOKUP($F360,Productos!$A$2:$A1001,Productos!AG$2:AG1001,"")*$G360,"")</f>
        <v/>
      </c>
      <c r="AO360" s="179" t="str">
        <f t="array" ref="AO360">IF($F360&lt;&gt;"",XLOOKUP($F360,Productos!$A:$A,Productos!AH:AH,"Revisar"),"")</f>
        <v/>
      </c>
      <c r="AP360" s="179" t="str">
        <f t="array" ref="AP360">IF($F360&lt;&gt;"", XLOOKUP($F360,Productos!$A$2:$A1001,Productos!AI$2:AI1001,"")*$G360,"")</f>
        <v/>
      </c>
      <c r="AQ360" s="179" t="str">
        <f t="array" ref="AQ360">IF($F360&lt;&gt;"",XLOOKUP($F360,Productos!$A:$A,Productos!AJ:AJ,"Revisar"),"")</f>
        <v/>
      </c>
      <c r="AR360" s="179" t="str">
        <f t="array" ref="AR360">IF($F360&lt;&gt;"", XLOOKUP($F360,Productos!$A$2:$A1001,Productos!AK$2:AK1001,"")*$G360,"")</f>
        <v/>
      </c>
      <c r="AS360" s="179" t="str">
        <f t="array" ref="AS360">IF($F360&lt;&gt;"",XLOOKUP($F360,Productos!$A:$A,Productos!AL:AL,"Revisar"),"")</f>
        <v/>
      </c>
      <c r="AT360" s="179" t="str">
        <f t="array" ref="AT360">IF($F360&lt;&gt;"", XLOOKUP($F360,Productos!$A$2:$A1001,Productos!AM$2:AM1001,"")*$G360,"")</f>
        <v/>
      </c>
      <c r="AU360" s="179" t="str">
        <f t="array" ref="AU360">IF($F360&lt;&gt;"",XLOOKUP($F360,Productos!$A:$A,Productos!AN:AN,"Revisar"),"")</f>
        <v/>
      </c>
      <c r="AV360" s="179" t="str">
        <f t="array" ref="AV360">IF($F360&lt;&gt;"", XLOOKUP($F360,Productos!$A$2:$A1001,Productos!AO$2:AO1001,"")*$G360,"")</f>
        <v/>
      </c>
      <c r="AW360" s="179" t="str">
        <f t="array" ref="AW360">IF($F360&lt;&gt;"",XLOOKUP($F360,Productos!$A:$A,Productos!AP:AP,"Revisar"),"")</f>
        <v/>
      </c>
      <c r="AX360" s="179" t="str">
        <f t="array" ref="AX360">IF($F360&lt;&gt;"", XLOOKUP($F360,Productos!$A$2:$A1001,Productos!AQ$2:AQ1001,"")*$G360,"")</f>
        <v/>
      </c>
      <c r="AY360" s="179" t="str">
        <f t="array" ref="AY360">IF($F360&lt;&gt;"",XLOOKUP($F360,Productos!$A:$A,Productos!AR:AR,"Revisar"),"")</f>
        <v/>
      </c>
      <c r="AZ360" s="179" t="str">
        <f t="array" ref="AZ360">IF($F360&lt;&gt;"", XLOOKUP($F360,Productos!$A$2:$A1001,Productos!AS$2:AS1001,"")*$G360,"")</f>
        <v/>
      </c>
      <c r="BA360" s="179" t="str">
        <f t="array" ref="BA360">IF($F360&lt;&gt;"",XLOOKUP($F360,Productos!$A:$A,Productos!AT:AT,"Revisar"),"")</f>
        <v/>
      </c>
      <c r="BB360" s="179" t="str">
        <f t="array" ref="BB360">IF($F360&lt;&gt;"", XLOOKUP($F360,Productos!$A$2:$A1001,Productos!AU$2:AU1001,"")*$G360,"")</f>
        <v/>
      </c>
      <c r="BC360" s="179" t="str">
        <f t="array" ref="BC360">IF($F360&lt;&gt;"",XLOOKUP($F360,Productos!$A:$A,Productos!AV:AV,"Revisar"),"")</f>
        <v/>
      </c>
      <c r="BD360" s="179" t="str">
        <f t="array" ref="BD360">IF($F360&lt;&gt;"", XLOOKUP($F360,Productos!$A$2:$A1001,Productos!AW$2:AW1001,"")*$G360,"")</f>
        <v/>
      </c>
      <c r="BE360" s="179" t="str">
        <f t="array" ref="BE360">IF($F360&lt;&gt;"",XLOOKUP($F360,Productos!$A:$A,Productos!AX:AX,"Revisar"),"")</f>
        <v/>
      </c>
      <c r="BF360" s="179" t="str">
        <f t="array" ref="BF360">IF($F360&lt;&gt;"", XLOOKUP($F360,Productos!$A$2:$A1001,Productos!AY$2:AY1001,"")*$G360,"")</f>
        <v/>
      </c>
      <c r="BG360" s="179" t="str">
        <f t="array" ref="BG360">IF($F360&lt;&gt;"",XLOOKUP($F360,Productos!$A:$A,Productos!AZ:AZ,"Revisar"),"")</f>
        <v/>
      </c>
      <c r="BH360" s="179" t="str">
        <f t="array" ref="BH360">IF($F360&lt;&gt;"", XLOOKUP($F360,Productos!$A$2:$A1001,Productos!BA$2:BA1001,"")*$G360,"")</f>
        <v/>
      </c>
      <c r="BI360" s="179" t="str">
        <f t="array" ref="BI360">IF($F360&lt;&gt;"",XLOOKUP($F360,Productos!$A:$A,Productos!BB:BB,"Revisar"),"")</f>
        <v/>
      </c>
      <c r="BJ360" s="179" t="str">
        <f t="array" ref="BJ360">IF($F360&lt;&gt;"", XLOOKUP($F360,Productos!$A$2:$A1001,Productos!BC$2:BC1001,"")*$G360,"")</f>
        <v/>
      </c>
      <c r="BK360" s="179" t="str">
        <f t="array" ref="BK360">IF($F360&lt;&gt;"",XLOOKUP($F360,Productos!$A:$A,Productos!BD:BD,"Revisar"),"")</f>
        <v/>
      </c>
      <c r="BL360" s="179" t="str">
        <f t="array" ref="BL360">IF($F360&lt;&gt;"", XLOOKUP($F360,Productos!$A$2:$A1001,Productos!BE$2:BE1001,"")*$G360,"")</f>
        <v/>
      </c>
      <c r="BM360" s="179" t="str">
        <f t="array" ref="BM360">IF($F360&lt;&gt;"",XLOOKUP($F360,Productos!$A:$A,Productos!BF:BF,"Revisar"),"")</f>
        <v/>
      </c>
      <c r="BN360" s="179" t="str">
        <f t="array" ref="BN360">IF($F360&lt;&gt;"", XLOOKUP($F360,Productos!$A$2:$A1001,Productos!BG$2:BG1001,"")*$G360,"")</f>
        <v/>
      </c>
      <c r="BO360" s="179" t="str">
        <f t="array" ref="BO360">IF($F360&lt;&gt;"",XLOOKUP($F360,Productos!$A:$A,Productos!BH:BH,"Revisar"),"")</f>
        <v/>
      </c>
      <c r="BP360" s="179" t="str">
        <f t="array" ref="BP360">IF($F360&lt;&gt;"", XLOOKUP($F360,Productos!$A$2:$A1001,Productos!BI$2:BI1001,"")*$G360,"")</f>
        <v/>
      </c>
      <c r="BQ360" s="179" t="str">
        <f t="array" ref="BQ360">IF($F360&lt;&gt;"",XLOOKUP($F360,Productos!$A:$A,Productos!BJ:BJ,"Revisar"),"")</f>
        <v/>
      </c>
      <c r="BR360" s="179" t="str">
        <f t="array" ref="BR360">IF($F360&lt;&gt;"", XLOOKUP($F360,Productos!$A$2:$A1001,Productos!BK$2:BK1001,"")*$G360,"")</f>
        <v/>
      </c>
      <c r="BS360" s="179" t="str">
        <f t="array" ref="BS360">IF($F360&lt;&gt;"",XLOOKUP($F360,Productos!$A:$A,Productos!BL:BL,"Revisar"),"")</f>
        <v/>
      </c>
      <c r="BT360" s="179" t="str">
        <f t="array" ref="BT360">IF($F360&lt;&gt;"", XLOOKUP($F360,Productos!$A$2:$A1001,Productos!BM$2:BM1001,"")*$G360,"")</f>
        <v/>
      </c>
      <c r="BU360" s="179" t="str">
        <f t="array" ref="BU360">IF($F360&lt;&gt;"",XLOOKUP($F360,Productos!$A:$A,Productos!BN:BN,"Revisar"),"")</f>
        <v/>
      </c>
      <c r="BV360" s="179" t="str">
        <f t="array" ref="BV360">IF($F360&lt;&gt;"", XLOOKUP($F360,Productos!$A$2:$A1001,Productos!BO$2:BO1001,"")*$G360,"")</f>
        <v/>
      </c>
      <c r="BW360" s="179" t="str">
        <f t="array" ref="BW360">IF($F360&lt;&gt;"",XLOOKUP($F360,Productos!$A:$A,Productos!BP:BP,"Revisar"),"")</f>
        <v/>
      </c>
      <c r="BX360" s="179" t="str">
        <f t="array" ref="BX360">IF($F360&lt;&gt;"", XLOOKUP($F360,Productos!$A$2:$A1001,Productos!BQ$2:BQ1001,"")*$G360,"")</f>
        <v/>
      </c>
      <c r="BY360" s="179" t="str">
        <f t="array" ref="BY360">IF($F360&lt;&gt;"",XLOOKUP($F360,Productos!$A:$A,Productos!BR:BR,"Revisar"),"")</f>
        <v/>
      </c>
      <c r="BZ360" s="179" t="str">
        <f t="array" ref="BZ360">IF($F360&lt;&gt;"", XLOOKUP($F360,Productos!$A$2:$A1001,Productos!BS$2:BS1001,"")*$G360,"")</f>
        <v/>
      </c>
    </row>
    <row r="361">
      <c r="A361" s="188"/>
      <c r="B361" s="189"/>
      <c r="C361" s="190"/>
      <c r="D361" s="190"/>
      <c r="E361" s="191"/>
      <c r="F361" s="186"/>
      <c r="G361" s="192"/>
      <c r="H361" s="9"/>
      <c r="I361" s="179" t="str">
        <f t="array" ref="I361">IF($F361&lt;&gt;"",XLOOKUP($F361,Productos!$A:$A,Productos!B:B,"Revisar"),"")</f>
        <v/>
      </c>
      <c r="J361" s="179" t="str">
        <f t="array" ref="J361">IF($F361&lt;&gt;"", XLOOKUP($F361,Productos!$A$2:$A1001,Productos!C$2:C1001,"")*$G361,"")</f>
        <v/>
      </c>
      <c r="K361" s="179" t="str">
        <f t="array" ref="K361">IF($F361&lt;&gt;"",XLOOKUP($F361,Productos!$A:$A,Productos!D:D,"Revisar"),"")</f>
        <v/>
      </c>
      <c r="L361" s="179" t="str">
        <f t="array" ref="L361">IF($F361&lt;&gt;"", XLOOKUP($F361,Productos!$A$2:$A1001,Productos!E$2:E1001,"")*$G361,"")</f>
        <v/>
      </c>
      <c r="M361" s="179" t="str">
        <f t="array" ref="M361">IF($F361&lt;&gt;"",XLOOKUP($F361,Productos!$A:$A,Productos!F:F,"Revisar"),"")</f>
        <v/>
      </c>
      <c r="N361" s="179" t="str">
        <f t="array" ref="N361">IF($F361&lt;&gt;"", XLOOKUP($F361,Productos!$A$2:$A1001,Productos!G$2:G1001,"")*$G361,"")</f>
        <v/>
      </c>
      <c r="O361" s="179" t="str">
        <f t="array" ref="O361">IF($F361&lt;&gt;"",XLOOKUP($F361,Productos!$A:$A,Productos!H:H,"Revisar"),"")</f>
        <v/>
      </c>
      <c r="P361" s="179" t="str">
        <f t="array" ref="P361">IF($F361&lt;&gt;"", XLOOKUP($F361,Productos!$A$2:$A1001,Productos!I$2:I1001,"")*$G361,"")</f>
        <v/>
      </c>
      <c r="Q361" s="179" t="str">
        <f t="array" ref="Q361">IF($F361&lt;&gt;"",XLOOKUP($F361,Productos!$A:$A,Productos!J:J,"Revisar"),"")</f>
        <v/>
      </c>
      <c r="R361" s="179" t="str">
        <f t="array" ref="R361">IF($F361&lt;&gt;"", XLOOKUP($F361,Productos!$A$2:$A1001,Productos!K$2:K1001,"")*$G361,"")</f>
        <v/>
      </c>
      <c r="S361" s="179" t="str">
        <f t="array" ref="S361">IF($F361&lt;&gt;"",XLOOKUP($F361,Productos!$A:$A,Productos!L:L,"Revisar"),"")</f>
        <v/>
      </c>
      <c r="T361" s="179" t="str">
        <f t="array" ref="T361">IF($F361&lt;&gt;"", XLOOKUP($F361,Productos!$A$2:$A1001,Productos!M$2:M1001,"")*$G361,"")</f>
        <v/>
      </c>
      <c r="U361" s="179" t="str">
        <f t="array" ref="U361">IF($F361&lt;&gt;"",XLOOKUP($F361,Productos!$A:$A,Productos!N:N,"Revisar"),"")</f>
        <v/>
      </c>
      <c r="V361" s="179" t="str">
        <f t="array" ref="V361">IF($F361&lt;&gt;"", XLOOKUP($F361,Productos!$A$2:$A1001,Productos!O$2:O1001,"")*$G361,"")</f>
        <v/>
      </c>
      <c r="W361" s="179" t="str">
        <f t="array" ref="W361">IF($F361&lt;&gt;"",XLOOKUP($F361,Productos!$A:$A,Productos!P:P,"Revisar"),"")</f>
        <v/>
      </c>
      <c r="X361" s="179" t="str">
        <f t="array" ref="X361">IF($F361&lt;&gt;"", XLOOKUP($F361,Productos!$A$2:$A1001,Productos!Q$2:Q1001,"")*$G361,"")</f>
        <v/>
      </c>
      <c r="Y361" s="179" t="str">
        <f t="array" ref="Y361">IF($F361&lt;&gt;"",XLOOKUP($F361,Productos!$A:$A,Productos!R:R,"Revisar"),"")</f>
        <v/>
      </c>
      <c r="Z361" s="179" t="str">
        <f t="array" ref="Z361">IF($F361&lt;&gt;"", XLOOKUP($F361,Productos!$A$2:$A1001,Productos!S$2:S1001,"")*$G361,"")</f>
        <v/>
      </c>
      <c r="AA361" s="179" t="str">
        <f t="array" ref="AA361">IF($F361&lt;&gt;"",XLOOKUP($F361,Productos!$A:$A,Productos!T:T,"Revisar"),"")</f>
        <v/>
      </c>
      <c r="AB361" s="179" t="str">
        <f t="array" ref="AB361">IF($F361&lt;&gt;"", XLOOKUP($F361,Productos!$A$2:$A1001,Productos!U$2:U1001,"")*$G361,"")</f>
        <v/>
      </c>
      <c r="AC361" s="179" t="str">
        <f t="array" ref="AC361">IF($F361&lt;&gt;"",XLOOKUP($F361,Productos!$A:$A,Productos!V:V,"Revisar"),"")</f>
        <v/>
      </c>
      <c r="AD361" s="179" t="str">
        <f t="array" ref="AD361">IF($F361&lt;&gt;"", XLOOKUP($F361,Productos!$A$2:$A1001,Productos!W$2:W1001,"")*$G361,"")</f>
        <v/>
      </c>
      <c r="AE361" s="179" t="str">
        <f t="array" ref="AE361">IF($F361&lt;&gt;"",XLOOKUP($F361,Productos!$A:$A,Productos!X:X,"Revisar"),"")</f>
        <v/>
      </c>
      <c r="AF361" s="179" t="str">
        <f t="array" ref="AF361">IF($F361&lt;&gt;"", XLOOKUP($F361,Productos!$A$2:$A1001,Productos!Y$2:Y1001,"")*$G361,"")</f>
        <v/>
      </c>
      <c r="AG361" s="179" t="str">
        <f t="array" ref="AG361">IF($F361&lt;&gt;"",XLOOKUP($F361,Productos!$A:$A,Productos!Z:Z,"Revisar"),"")</f>
        <v/>
      </c>
      <c r="AH361" s="179" t="str">
        <f t="array" ref="AH361">IF($F361&lt;&gt;"", XLOOKUP($F361,Productos!$A$2:$A1001,Productos!AA$2:AA1001,"")*$G361,"")</f>
        <v/>
      </c>
      <c r="AI361" s="179" t="str">
        <f t="array" ref="AI361">IF($F361&lt;&gt;"",XLOOKUP($F361,Productos!$A:$A,Productos!AB:AB,"Revisar"),"")</f>
        <v/>
      </c>
      <c r="AJ361" s="179" t="str">
        <f t="array" ref="AJ361">IF($F361&lt;&gt;"", XLOOKUP($F361,Productos!$A$2:$A1001,Productos!AC$2:AC1001,"")*$G361,"")</f>
        <v/>
      </c>
      <c r="AK361" s="179" t="str">
        <f t="array" ref="AK361">IF($F361&lt;&gt;"",XLOOKUP($F361,Productos!$A:$A,Productos!AD:AD,"Revisar"),"")</f>
        <v/>
      </c>
      <c r="AL361" s="179" t="str">
        <f t="array" ref="AL361">IF($F361&lt;&gt;"", XLOOKUP($F361,Productos!$A$2:$A1001,Productos!AE$2:AE1001,"")*$G361,"")</f>
        <v/>
      </c>
      <c r="AM361" s="179" t="str">
        <f t="array" ref="AM361">IF($F361&lt;&gt;"",XLOOKUP($F361,Productos!$A:$A,Productos!AF:AF,"Revisar"),"")</f>
        <v/>
      </c>
      <c r="AN361" s="179" t="str">
        <f t="array" ref="AN361">IF($F361&lt;&gt;"", XLOOKUP($F361,Productos!$A$2:$A1001,Productos!AG$2:AG1001,"")*$G361,"")</f>
        <v/>
      </c>
      <c r="AO361" s="179" t="str">
        <f t="array" ref="AO361">IF($F361&lt;&gt;"",XLOOKUP($F361,Productos!$A:$A,Productos!AH:AH,"Revisar"),"")</f>
        <v/>
      </c>
      <c r="AP361" s="179" t="str">
        <f t="array" ref="AP361">IF($F361&lt;&gt;"", XLOOKUP($F361,Productos!$A$2:$A1001,Productos!AI$2:AI1001,"")*$G361,"")</f>
        <v/>
      </c>
      <c r="AQ361" s="179" t="str">
        <f t="array" ref="AQ361">IF($F361&lt;&gt;"",XLOOKUP($F361,Productos!$A:$A,Productos!AJ:AJ,"Revisar"),"")</f>
        <v/>
      </c>
      <c r="AR361" s="179" t="str">
        <f t="array" ref="AR361">IF($F361&lt;&gt;"", XLOOKUP($F361,Productos!$A$2:$A1001,Productos!AK$2:AK1001,"")*$G361,"")</f>
        <v/>
      </c>
      <c r="AS361" s="179" t="str">
        <f t="array" ref="AS361">IF($F361&lt;&gt;"",XLOOKUP($F361,Productos!$A:$A,Productos!AL:AL,"Revisar"),"")</f>
        <v/>
      </c>
      <c r="AT361" s="179" t="str">
        <f t="array" ref="AT361">IF($F361&lt;&gt;"", XLOOKUP($F361,Productos!$A$2:$A1001,Productos!AM$2:AM1001,"")*$G361,"")</f>
        <v/>
      </c>
      <c r="AU361" s="179" t="str">
        <f t="array" ref="AU361">IF($F361&lt;&gt;"",XLOOKUP($F361,Productos!$A:$A,Productos!AN:AN,"Revisar"),"")</f>
        <v/>
      </c>
      <c r="AV361" s="179" t="str">
        <f t="array" ref="AV361">IF($F361&lt;&gt;"", XLOOKUP($F361,Productos!$A$2:$A1001,Productos!AO$2:AO1001,"")*$G361,"")</f>
        <v/>
      </c>
      <c r="AW361" s="179" t="str">
        <f t="array" ref="AW361">IF($F361&lt;&gt;"",XLOOKUP($F361,Productos!$A:$A,Productos!AP:AP,"Revisar"),"")</f>
        <v/>
      </c>
      <c r="AX361" s="179" t="str">
        <f t="array" ref="AX361">IF($F361&lt;&gt;"", XLOOKUP($F361,Productos!$A$2:$A1001,Productos!AQ$2:AQ1001,"")*$G361,"")</f>
        <v/>
      </c>
      <c r="AY361" s="179" t="str">
        <f t="array" ref="AY361">IF($F361&lt;&gt;"",XLOOKUP($F361,Productos!$A:$A,Productos!AR:AR,"Revisar"),"")</f>
        <v/>
      </c>
      <c r="AZ361" s="179" t="str">
        <f t="array" ref="AZ361">IF($F361&lt;&gt;"", XLOOKUP($F361,Productos!$A$2:$A1001,Productos!AS$2:AS1001,"")*$G361,"")</f>
        <v/>
      </c>
      <c r="BA361" s="179" t="str">
        <f t="array" ref="BA361">IF($F361&lt;&gt;"",XLOOKUP($F361,Productos!$A:$A,Productos!AT:AT,"Revisar"),"")</f>
        <v/>
      </c>
      <c r="BB361" s="179" t="str">
        <f t="array" ref="BB361">IF($F361&lt;&gt;"", XLOOKUP($F361,Productos!$A$2:$A1001,Productos!AU$2:AU1001,"")*$G361,"")</f>
        <v/>
      </c>
      <c r="BC361" s="179" t="str">
        <f t="array" ref="BC361">IF($F361&lt;&gt;"",XLOOKUP($F361,Productos!$A:$A,Productos!AV:AV,"Revisar"),"")</f>
        <v/>
      </c>
      <c r="BD361" s="179" t="str">
        <f t="array" ref="BD361">IF($F361&lt;&gt;"", XLOOKUP($F361,Productos!$A$2:$A1001,Productos!AW$2:AW1001,"")*$G361,"")</f>
        <v/>
      </c>
      <c r="BE361" s="179" t="str">
        <f t="array" ref="BE361">IF($F361&lt;&gt;"",XLOOKUP($F361,Productos!$A:$A,Productos!AX:AX,"Revisar"),"")</f>
        <v/>
      </c>
      <c r="BF361" s="179" t="str">
        <f t="array" ref="BF361">IF($F361&lt;&gt;"", XLOOKUP($F361,Productos!$A$2:$A1001,Productos!AY$2:AY1001,"")*$G361,"")</f>
        <v/>
      </c>
      <c r="BG361" s="179" t="str">
        <f t="array" ref="BG361">IF($F361&lt;&gt;"",XLOOKUP($F361,Productos!$A:$A,Productos!AZ:AZ,"Revisar"),"")</f>
        <v/>
      </c>
      <c r="BH361" s="179" t="str">
        <f t="array" ref="BH361">IF($F361&lt;&gt;"", XLOOKUP($F361,Productos!$A$2:$A1001,Productos!BA$2:BA1001,"")*$G361,"")</f>
        <v/>
      </c>
      <c r="BI361" s="179" t="str">
        <f t="array" ref="BI361">IF($F361&lt;&gt;"",XLOOKUP($F361,Productos!$A:$A,Productos!BB:BB,"Revisar"),"")</f>
        <v/>
      </c>
      <c r="BJ361" s="179" t="str">
        <f t="array" ref="BJ361">IF($F361&lt;&gt;"", XLOOKUP($F361,Productos!$A$2:$A1001,Productos!BC$2:BC1001,"")*$G361,"")</f>
        <v/>
      </c>
      <c r="BK361" s="179" t="str">
        <f t="array" ref="BK361">IF($F361&lt;&gt;"",XLOOKUP($F361,Productos!$A:$A,Productos!BD:BD,"Revisar"),"")</f>
        <v/>
      </c>
      <c r="BL361" s="179" t="str">
        <f t="array" ref="BL361">IF($F361&lt;&gt;"", XLOOKUP($F361,Productos!$A$2:$A1001,Productos!BE$2:BE1001,"")*$G361,"")</f>
        <v/>
      </c>
      <c r="BM361" s="179" t="str">
        <f t="array" ref="BM361">IF($F361&lt;&gt;"",XLOOKUP($F361,Productos!$A:$A,Productos!BF:BF,"Revisar"),"")</f>
        <v/>
      </c>
      <c r="BN361" s="179" t="str">
        <f t="array" ref="BN361">IF($F361&lt;&gt;"", XLOOKUP($F361,Productos!$A$2:$A1001,Productos!BG$2:BG1001,"")*$G361,"")</f>
        <v/>
      </c>
      <c r="BO361" s="179" t="str">
        <f t="array" ref="BO361">IF($F361&lt;&gt;"",XLOOKUP($F361,Productos!$A:$A,Productos!BH:BH,"Revisar"),"")</f>
        <v/>
      </c>
      <c r="BP361" s="179" t="str">
        <f t="array" ref="BP361">IF($F361&lt;&gt;"", XLOOKUP($F361,Productos!$A$2:$A1001,Productos!BI$2:BI1001,"")*$G361,"")</f>
        <v/>
      </c>
      <c r="BQ361" s="179" t="str">
        <f t="array" ref="BQ361">IF($F361&lt;&gt;"",XLOOKUP($F361,Productos!$A:$A,Productos!BJ:BJ,"Revisar"),"")</f>
        <v/>
      </c>
      <c r="BR361" s="179" t="str">
        <f t="array" ref="BR361">IF($F361&lt;&gt;"", XLOOKUP($F361,Productos!$A$2:$A1001,Productos!BK$2:BK1001,"")*$G361,"")</f>
        <v/>
      </c>
      <c r="BS361" s="179" t="str">
        <f t="array" ref="BS361">IF($F361&lt;&gt;"",XLOOKUP($F361,Productos!$A:$A,Productos!BL:BL,"Revisar"),"")</f>
        <v/>
      </c>
      <c r="BT361" s="179" t="str">
        <f t="array" ref="BT361">IF($F361&lt;&gt;"", XLOOKUP($F361,Productos!$A$2:$A1001,Productos!BM$2:BM1001,"")*$G361,"")</f>
        <v/>
      </c>
      <c r="BU361" s="179" t="str">
        <f t="array" ref="BU361">IF($F361&lt;&gt;"",XLOOKUP($F361,Productos!$A:$A,Productos!BN:BN,"Revisar"),"")</f>
        <v/>
      </c>
      <c r="BV361" s="179" t="str">
        <f t="array" ref="BV361">IF($F361&lt;&gt;"", XLOOKUP($F361,Productos!$A$2:$A1001,Productos!BO$2:BO1001,"")*$G361,"")</f>
        <v/>
      </c>
      <c r="BW361" s="179" t="str">
        <f t="array" ref="BW361">IF($F361&lt;&gt;"",XLOOKUP($F361,Productos!$A:$A,Productos!BP:BP,"Revisar"),"")</f>
        <v/>
      </c>
      <c r="BX361" s="179" t="str">
        <f t="array" ref="BX361">IF($F361&lt;&gt;"", XLOOKUP($F361,Productos!$A$2:$A1001,Productos!BQ$2:BQ1001,"")*$G361,"")</f>
        <v/>
      </c>
      <c r="BY361" s="179" t="str">
        <f t="array" ref="BY361">IF($F361&lt;&gt;"",XLOOKUP($F361,Productos!$A:$A,Productos!BR:BR,"Revisar"),"")</f>
        <v/>
      </c>
      <c r="BZ361" s="179" t="str">
        <f t="array" ref="BZ361">IF($F361&lt;&gt;"", XLOOKUP($F361,Productos!$A$2:$A1001,Productos!BS$2:BS1001,"")*$G361,"")</f>
        <v/>
      </c>
    </row>
    <row r="362">
      <c r="A362" s="188"/>
      <c r="B362" s="189"/>
      <c r="C362" s="190"/>
      <c r="D362" s="190"/>
      <c r="E362" s="191"/>
      <c r="F362" s="186"/>
      <c r="G362" s="192"/>
      <c r="H362" s="9"/>
      <c r="I362" s="179" t="str">
        <f t="array" ref="I362">IF($F362&lt;&gt;"",XLOOKUP($F362,Productos!$A:$A,Productos!B:B,"Revisar"),"")</f>
        <v/>
      </c>
      <c r="J362" s="179" t="str">
        <f t="array" ref="J362">IF($F362&lt;&gt;"", XLOOKUP($F362,Productos!$A$2:$A1001,Productos!C$2:C1001,"")*$G362,"")</f>
        <v/>
      </c>
      <c r="K362" s="179" t="str">
        <f t="array" ref="K362">IF($F362&lt;&gt;"",XLOOKUP($F362,Productos!$A:$A,Productos!D:D,"Revisar"),"")</f>
        <v/>
      </c>
      <c r="L362" s="179" t="str">
        <f t="array" ref="L362">IF($F362&lt;&gt;"", XLOOKUP($F362,Productos!$A$2:$A1001,Productos!E$2:E1001,"")*$G362,"")</f>
        <v/>
      </c>
      <c r="M362" s="179" t="str">
        <f t="array" ref="M362">IF($F362&lt;&gt;"",XLOOKUP($F362,Productos!$A:$A,Productos!F:F,"Revisar"),"")</f>
        <v/>
      </c>
      <c r="N362" s="179" t="str">
        <f t="array" ref="N362">IF($F362&lt;&gt;"", XLOOKUP($F362,Productos!$A$2:$A1001,Productos!G$2:G1001,"")*$G362,"")</f>
        <v/>
      </c>
      <c r="O362" s="179" t="str">
        <f t="array" ref="O362">IF($F362&lt;&gt;"",XLOOKUP($F362,Productos!$A:$A,Productos!H:H,"Revisar"),"")</f>
        <v/>
      </c>
      <c r="P362" s="179" t="str">
        <f t="array" ref="P362">IF($F362&lt;&gt;"", XLOOKUP($F362,Productos!$A$2:$A1001,Productos!I$2:I1001,"")*$G362,"")</f>
        <v/>
      </c>
      <c r="Q362" s="179" t="str">
        <f t="array" ref="Q362">IF($F362&lt;&gt;"",XLOOKUP($F362,Productos!$A:$A,Productos!J:J,"Revisar"),"")</f>
        <v/>
      </c>
      <c r="R362" s="179" t="str">
        <f t="array" ref="R362">IF($F362&lt;&gt;"", XLOOKUP($F362,Productos!$A$2:$A1001,Productos!K$2:K1001,"")*$G362,"")</f>
        <v/>
      </c>
      <c r="S362" s="179" t="str">
        <f t="array" ref="S362">IF($F362&lt;&gt;"",XLOOKUP($F362,Productos!$A:$A,Productos!L:L,"Revisar"),"")</f>
        <v/>
      </c>
      <c r="T362" s="179" t="str">
        <f t="array" ref="T362">IF($F362&lt;&gt;"", XLOOKUP($F362,Productos!$A$2:$A1001,Productos!M$2:M1001,"")*$G362,"")</f>
        <v/>
      </c>
      <c r="U362" s="179" t="str">
        <f t="array" ref="U362">IF($F362&lt;&gt;"",XLOOKUP($F362,Productos!$A:$A,Productos!N:N,"Revisar"),"")</f>
        <v/>
      </c>
      <c r="V362" s="179" t="str">
        <f t="array" ref="V362">IF($F362&lt;&gt;"", XLOOKUP($F362,Productos!$A$2:$A1001,Productos!O$2:O1001,"")*$G362,"")</f>
        <v/>
      </c>
      <c r="W362" s="179" t="str">
        <f t="array" ref="W362">IF($F362&lt;&gt;"",XLOOKUP($F362,Productos!$A:$A,Productos!P:P,"Revisar"),"")</f>
        <v/>
      </c>
      <c r="X362" s="179" t="str">
        <f t="array" ref="X362">IF($F362&lt;&gt;"", XLOOKUP($F362,Productos!$A$2:$A1001,Productos!Q$2:Q1001,"")*$G362,"")</f>
        <v/>
      </c>
      <c r="Y362" s="179" t="str">
        <f t="array" ref="Y362">IF($F362&lt;&gt;"",XLOOKUP($F362,Productos!$A:$A,Productos!R:R,"Revisar"),"")</f>
        <v/>
      </c>
      <c r="Z362" s="179" t="str">
        <f t="array" ref="Z362">IF($F362&lt;&gt;"", XLOOKUP($F362,Productos!$A$2:$A1001,Productos!S$2:S1001,"")*$G362,"")</f>
        <v/>
      </c>
      <c r="AA362" s="179" t="str">
        <f t="array" ref="AA362">IF($F362&lt;&gt;"",XLOOKUP($F362,Productos!$A:$A,Productos!T:T,"Revisar"),"")</f>
        <v/>
      </c>
      <c r="AB362" s="179" t="str">
        <f t="array" ref="AB362">IF($F362&lt;&gt;"", XLOOKUP($F362,Productos!$A$2:$A1001,Productos!U$2:U1001,"")*$G362,"")</f>
        <v/>
      </c>
      <c r="AC362" s="179" t="str">
        <f t="array" ref="AC362">IF($F362&lt;&gt;"",XLOOKUP($F362,Productos!$A:$A,Productos!V:V,"Revisar"),"")</f>
        <v/>
      </c>
      <c r="AD362" s="179" t="str">
        <f t="array" ref="AD362">IF($F362&lt;&gt;"", XLOOKUP($F362,Productos!$A$2:$A1001,Productos!W$2:W1001,"")*$G362,"")</f>
        <v/>
      </c>
      <c r="AE362" s="179" t="str">
        <f t="array" ref="AE362">IF($F362&lt;&gt;"",XLOOKUP($F362,Productos!$A:$A,Productos!X:X,"Revisar"),"")</f>
        <v/>
      </c>
      <c r="AF362" s="179" t="str">
        <f t="array" ref="AF362">IF($F362&lt;&gt;"", XLOOKUP($F362,Productos!$A$2:$A1001,Productos!Y$2:Y1001,"")*$G362,"")</f>
        <v/>
      </c>
      <c r="AG362" s="179" t="str">
        <f t="array" ref="AG362">IF($F362&lt;&gt;"",XLOOKUP($F362,Productos!$A:$A,Productos!Z:Z,"Revisar"),"")</f>
        <v/>
      </c>
      <c r="AH362" s="179" t="str">
        <f t="array" ref="AH362">IF($F362&lt;&gt;"", XLOOKUP($F362,Productos!$A$2:$A1001,Productos!AA$2:AA1001,"")*$G362,"")</f>
        <v/>
      </c>
      <c r="AI362" s="179" t="str">
        <f t="array" ref="AI362">IF($F362&lt;&gt;"",XLOOKUP($F362,Productos!$A:$A,Productos!AB:AB,"Revisar"),"")</f>
        <v/>
      </c>
      <c r="AJ362" s="179" t="str">
        <f t="array" ref="AJ362">IF($F362&lt;&gt;"", XLOOKUP($F362,Productos!$A$2:$A1001,Productos!AC$2:AC1001,"")*$G362,"")</f>
        <v/>
      </c>
      <c r="AK362" s="179" t="str">
        <f t="array" ref="AK362">IF($F362&lt;&gt;"",XLOOKUP($F362,Productos!$A:$A,Productos!AD:AD,"Revisar"),"")</f>
        <v/>
      </c>
      <c r="AL362" s="179" t="str">
        <f t="array" ref="AL362">IF($F362&lt;&gt;"", XLOOKUP($F362,Productos!$A$2:$A1001,Productos!AE$2:AE1001,"")*$G362,"")</f>
        <v/>
      </c>
      <c r="AM362" s="179" t="str">
        <f t="array" ref="AM362">IF($F362&lt;&gt;"",XLOOKUP($F362,Productos!$A:$A,Productos!AF:AF,"Revisar"),"")</f>
        <v/>
      </c>
      <c r="AN362" s="179" t="str">
        <f t="array" ref="AN362">IF($F362&lt;&gt;"", XLOOKUP($F362,Productos!$A$2:$A1001,Productos!AG$2:AG1001,"")*$G362,"")</f>
        <v/>
      </c>
      <c r="AO362" s="179" t="str">
        <f t="array" ref="AO362">IF($F362&lt;&gt;"",XLOOKUP($F362,Productos!$A:$A,Productos!AH:AH,"Revisar"),"")</f>
        <v/>
      </c>
      <c r="AP362" s="179" t="str">
        <f t="array" ref="AP362">IF($F362&lt;&gt;"", XLOOKUP($F362,Productos!$A$2:$A1001,Productos!AI$2:AI1001,"")*$G362,"")</f>
        <v/>
      </c>
      <c r="AQ362" s="179" t="str">
        <f t="array" ref="AQ362">IF($F362&lt;&gt;"",XLOOKUP($F362,Productos!$A:$A,Productos!AJ:AJ,"Revisar"),"")</f>
        <v/>
      </c>
      <c r="AR362" s="179" t="str">
        <f t="array" ref="AR362">IF($F362&lt;&gt;"", XLOOKUP($F362,Productos!$A$2:$A1001,Productos!AK$2:AK1001,"")*$G362,"")</f>
        <v/>
      </c>
      <c r="AS362" s="179" t="str">
        <f t="array" ref="AS362">IF($F362&lt;&gt;"",XLOOKUP($F362,Productos!$A:$A,Productos!AL:AL,"Revisar"),"")</f>
        <v/>
      </c>
      <c r="AT362" s="179" t="str">
        <f t="array" ref="AT362">IF($F362&lt;&gt;"", XLOOKUP($F362,Productos!$A$2:$A1001,Productos!AM$2:AM1001,"")*$G362,"")</f>
        <v/>
      </c>
      <c r="AU362" s="179" t="str">
        <f t="array" ref="AU362">IF($F362&lt;&gt;"",XLOOKUP($F362,Productos!$A:$A,Productos!AN:AN,"Revisar"),"")</f>
        <v/>
      </c>
      <c r="AV362" s="179" t="str">
        <f t="array" ref="AV362">IF($F362&lt;&gt;"", XLOOKUP($F362,Productos!$A$2:$A1001,Productos!AO$2:AO1001,"")*$G362,"")</f>
        <v/>
      </c>
      <c r="AW362" s="179" t="str">
        <f t="array" ref="AW362">IF($F362&lt;&gt;"",XLOOKUP($F362,Productos!$A:$A,Productos!AP:AP,"Revisar"),"")</f>
        <v/>
      </c>
      <c r="AX362" s="179" t="str">
        <f t="array" ref="AX362">IF($F362&lt;&gt;"", XLOOKUP($F362,Productos!$A$2:$A1001,Productos!AQ$2:AQ1001,"")*$G362,"")</f>
        <v/>
      </c>
      <c r="AY362" s="179" t="str">
        <f t="array" ref="AY362">IF($F362&lt;&gt;"",XLOOKUP($F362,Productos!$A:$A,Productos!AR:AR,"Revisar"),"")</f>
        <v/>
      </c>
      <c r="AZ362" s="179" t="str">
        <f t="array" ref="AZ362">IF($F362&lt;&gt;"", XLOOKUP($F362,Productos!$A$2:$A1001,Productos!AS$2:AS1001,"")*$G362,"")</f>
        <v/>
      </c>
      <c r="BA362" s="179" t="str">
        <f t="array" ref="BA362">IF($F362&lt;&gt;"",XLOOKUP($F362,Productos!$A:$A,Productos!AT:AT,"Revisar"),"")</f>
        <v/>
      </c>
      <c r="BB362" s="179" t="str">
        <f t="array" ref="BB362">IF($F362&lt;&gt;"", XLOOKUP($F362,Productos!$A$2:$A1001,Productos!AU$2:AU1001,"")*$G362,"")</f>
        <v/>
      </c>
      <c r="BC362" s="179" t="str">
        <f t="array" ref="BC362">IF($F362&lt;&gt;"",XLOOKUP($F362,Productos!$A:$A,Productos!AV:AV,"Revisar"),"")</f>
        <v/>
      </c>
      <c r="BD362" s="179" t="str">
        <f t="array" ref="BD362">IF($F362&lt;&gt;"", XLOOKUP($F362,Productos!$A$2:$A1001,Productos!AW$2:AW1001,"")*$G362,"")</f>
        <v/>
      </c>
      <c r="BE362" s="179" t="str">
        <f t="array" ref="BE362">IF($F362&lt;&gt;"",XLOOKUP($F362,Productos!$A:$A,Productos!AX:AX,"Revisar"),"")</f>
        <v/>
      </c>
      <c r="BF362" s="179" t="str">
        <f t="array" ref="BF362">IF($F362&lt;&gt;"", XLOOKUP($F362,Productos!$A$2:$A1001,Productos!AY$2:AY1001,"")*$G362,"")</f>
        <v/>
      </c>
      <c r="BG362" s="179" t="str">
        <f t="array" ref="BG362">IF($F362&lt;&gt;"",XLOOKUP($F362,Productos!$A:$A,Productos!AZ:AZ,"Revisar"),"")</f>
        <v/>
      </c>
      <c r="BH362" s="179" t="str">
        <f t="array" ref="BH362">IF($F362&lt;&gt;"", XLOOKUP($F362,Productos!$A$2:$A1001,Productos!BA$2:BA1001,"")*$G362,"")</f>
        <v/>
      </c>
      <c r="BI362" s="179" t="str">
        <f t="array" ref="BI362">IF($F362&lt;&gt;"",XLOOKUP($F362,Productos!$A:$A,Productos!BB:BB,"Revisar"),"")</f>
        <v/>
      </c>
      <c r="BJ362" s="179" t="str">
        <f t="array" ref="BJ362">IF($F362&lt;&gt;"", XLOOKUP($F362,Productos!$A$2:$A1001,Productos!BC$2:BC1001,"")*$G362,"")</f>
        <v/>
      </c>
      <c r="BK362" s="179" t="str">
        <f t="array" ref="BK362">IF($F362&lt;&gt;"",XLOOKUP($F362,Productos!$A:$A,Productos!BD:BD,"Revisar"),"")</f>
        <v/>
      </c>
      <c r="BL362" s="179" t="str">
        <f t="array" ref="BL362">IF($F362&lt;&gt;"", XLOOKUP($F362,Productos!$A$2:$A1001,Productos!BE$2:BE1001,"")*$G362,"")</f>
        <v/>
      </c>
      <c r="BM362" s="179" t="str">
        <f t="array" ref="BM362">IF($F362&lt;&gt;"",XLOOKUP($F362,Productos!$A:$A,Productos!BF:BF,"Revisar"),"")</f>
        <v/>
      </c>
      <c r="BN362" s="179" t="str">
        <f t="array" ref="BN362">IF($F362&lt;&gt;"", XLOOKUP($F362,Productos!$A$2:$A1001,Productos!BG$2:BG1001,"")*$G362,"")</f>
        <v/>
      </c>
      <c r="BO362" s="179" t="str">
        <f t="array" ref="BO362">IF($F362&lt;&gt;"",XLOOKUP($F362,Productos!$A:$A,Productos!BH:BH,"Revisar"),"")</f>
        <v/>
      </c>
      <c r="BP362" s="179" t="str">
        <f t="array" ref="BP362">IF($F362&lt;&gt;"", XLOOKUP($F362,Productos!$A$2:$A1001,Productos!BI$2:BI1001,"")*$G362,"")</f>
        <v/>
      </c>
      <c r="BQ362" s="179" t="str">
        <f t="array" ref="BQ362">IF($F362&lt;&gt;"",XLOOKUP($F362,Productos!$A:$A,Productos!BJ:BJ,"Revisar"),"")</f>
        <v/>
      </c>
      <c r="BR362" s="179" t="str">
        <f t="array" ref="BR362">IF($F362&lt;&gt;"", XLOOKUP($F362,Productos!$A$2:$A1001,Productos!BK$2:BK1001,"")*$G362,"")</f>
        <v/>
      </c>
      <c r="BS362" s="179" t="str">
        <f t="array" ref="BS362">IF($F362&lt;&gt;"",XLOOKUP($F362,Productos!$A:$A,Productos!BL:BL,"Revisar"),"")</f>
        <v/>
      </c>
      <c r="BT362" s="179" t="str">
        <f t="array" ref="BT362">IF($F362&lt;&gt;"", XLOOKUP($F362,Productos!$A$2:$A1001,Productos!BM$2:BM1001,"")*$G362,"")</f>
        <v/>
      </c>
      <c r="BU362" s="179" t="str">
        <f t="array" ref="BU362">IF($F362&lt;&gt;"",XLOOKUP($F362,Productos!$A:$A,Productos!BN:BN,"Revisar"),"")</f>
        <v/>
      </c>
      <c r="BV362" s="179" t="str">
        <f t="array" ref="BV362">IF($F362&lt;&gt;"", XLOOKUP($F362,Productos!$A$2:$A1001,Productos!BO$2:BO1001,"")*$G362,"")</f>
        <v/>
      </c>
      <c r="BW362" s="179" t="str">
        <f t="array" ref="BW362">IF($F362&lt;&gt;"",XLOOKUP($F362,Productos!$A:$A,Productos!BP:BP,"Revisar"),"")</f>
        <v/>
      </c>
      <c r="BX362" s="179" t="str">
        <f t="array" ref="BX362">IF($F362&lt;&gt;"", XLOOKUP($F362,Productos!$A$2:$A1001,Productos!BQ$2:BQ1001,"")*$G362,"")</f>
        <v/>
      </c>
      <c r="BY362" s="179" t="str">
        <f t="array" ref="BY362">IF($F362&lt;&gt;"",XLOOKUP($F362,Productos!$A:$A,Productos!BR:BR,"Revisar"),"")</f>
        <v/>
      </c>
      <c r="BZ362" s="179" t="str">
        <f t="array" ref="BZ362">IF($F362&lt;&gt;"", XLOOKUP($F362,Productos!$A$2:$A1001,Productos!BS$2:BS1001,"")*$G362,"")</f>
        <v/>
      </c>
    </row>
    <row r="363">
      <c r="A363" s="188"/>
      <c r="B363" s="189"/>
      <c r="C363" s="190"/>
      <c r="D363" s="190"/>
      <c r="E363" s="191"/>
      <c r="F363" s="186"/>
      <c r="G363" s="192"/>
      <c r="H363" s="9"/>
      <c r="I363" s="179" t="str">
        <f t="array" ref="I363">IF($F363&lt;&gt;"",XLOOKUP($F363,Productos!$A:$A,Productos!B:B,"Revisar"),"")</f>
        <v/>
      </c>
      <c r="J363" s="179" t="str">
        <f t="array" ref="J363">IF($F363&lt;&gt;"", XLOOKUP($F363,Productos!$A$2:$A1001,Productos!C$2:C1001,"")*$G363,"")</f>
        <v/>
      </c>
      <c r="K363" s="179" t="str">
        <f t="array" ref="K363">IF($F363&lt;&gt;"",XLOOKUP($F363,Productos!$A:$A,Productos!D:D,"Revisar"),"")</f>
        <v/>
      </c>
      <c r="L363" s="179" t="str">
        <f t="array" ref="L363">IF($F363&lt;&gt;"", XLOOKUP($F363,Productos!$A$2:$A1001,Productos!E$2:E1001,"")*$G363,"")</f>
        <v/>
      </c>
      <c r="M363" s="179" t="str">
        <f t="array" ref="M363">IF($F363&lt;&gt;"",XLOOKUP($F363,Productos!$A:$A,Productos!F:F,"Revisar"),"")</f>
        <v/>
      </c>
      <c r="N363" s="179" t="str">
        <f t="array" ref="N363">IF($F363&lt;&gt;"", XLOOKUP($F363,Productos!$A$2:$A1001,Productos!G$2:G1001,"")*$G363,"")</f>
        <v/>
      </c>
      <c r="O363" s="179" t="str">
        <f t="array" ref="O363">IF($F363&lt;&gt;"",XLOOKUP($F363,Productos!$A:$A,Productos!H:H,"Revisar"),"")</f>
        <v/>
      </c>
      <c r="P363" s="179" t="str">
        <f t="array" ref="P363">IF($F363&lt;&gt;"", XLOOKUP($F363,Productos!$A$2:$A1001,Productos!I$2:I1001,"")*$G363,"")</f>
        <v/>
      </c>
      <c r="Q363" s="179" t="str">
        <f t="array" ref="Q363">IF($F363&lt;&gt;"",XLOOKUP($F363,Productos!$A:$A,Productos!J:J,"Revisar"),"")</f>
        <v/>
      </c>
      <c r="R363" s="179" t="str">
        <f t="array" ref="R363">IF($F363&lt;&gt;"", XLOOKUP($F363,Productos!$A$2:$A1001,Productos!K$2:K1001,"")*$G363,"")</f>
        <v/>
      </c>
      <c r="S363" s="179" t="str">
        <f t="array" ref="S363">IF($F363&lt;&gt;"",XLOOKUP($F363,Productos!$A:$A,Productos!L:L,"Revisar"),"")</f>
        <v/>
      </c>
      <c r="T363" s="179" t="str">
        <f t="array" ref="T363">IF($F363&lt;&gt;"", XLOOKUP($F363,Productos!$A$2:$A1001,Productos!M$2:M1001,"")*$G363,"")</f>
        <v/>
      </c>
      <c r="U363" s="179" t="str">
        <f t="array" ref="U363">IF($F363&lt;&gt;"",XLOOKUP($F363,Productos!$A:$A,Productos!N:N,"Revisar"),"")</f>
        <v/>
      </c>
      <c r="V363" s="179" t="str">
        <f t="array" ref="V363">IF($F363&lt;&gt;"", XLOOKUP($F363,Productos!$A$2:$A1001,Productos!O$2:O1001,"")*$G363,"")</f>
        <v/>
      </c>
      <c r="W363" s="179" t="str">
        <f t="array" ref="W363">IF($F363&lt;&gt;"",XLOOKUP($F363,Productos!$A:$A,Productos!P:P,"Revisar"),"")</f>
        <v/>
      </c>
      <c r="X363" s="179" t="str">
        <f t="array" ref="X363">IF($F363&lt;&gt;"", XLOOKUP($F363,Productos!$A$2:$A1001,Productos!Q$2:Q1001,"")*$G363,"")</f>
        <v/>
      </c>
      <c r="Y363" s="179" t="str">
        <f t="array" ref="Y363">IF($F363&lt;&gt;"",XLOOKUP($F363,Productos!$A:$A,Productos!R:R,"Revisar"),"")</f>
        <v/>
      </c>
      <c r="Z363" s="179" t="str">
        <f t="array" ref="Z363">IF($F363&lt;&gt;"", XLOOKUP($F363,Productos!$A$2:$A1001,Productos!S$2:S1001,"")*$G363,"")</f>
        <v/>
      </c>
      <c r="AA363" s="179" t="str">
        <f t="array" ref="AA363">IF($F363&lt;&gt;"",XLOOKUP($F363,Productos!$A:$A,Productos!T:T,"Revisar"),"")</f>
        <v/>
      </c>
      <c r="AB363" s="179" t="str">
        <f t="array" ref="AB363">IF($F363&lt;&gt;"", XLOOKUP($F363,Productos!$A$2:$A1001,Productos!U$2:U1001,"")*$G363,"")</f>
        <v/>
      </c>
      <c r="AC363" s="179" t="str">
        <f t="array" ref="AC363">IF($F363&lt;&gt;"",XLOOKUP($F363,Productos!$A:$A,Productos!V:V,"Revisar"),"")</f>
        <v/>
      </c>
      <c r="AD363" s="179" t="str">
        <f t="array" ref="AD363">IF($F363&lt;&gt;"", XLOOKUP($F363,Productos!$A$2:$A1001,Productos!W$2:W1001,"")*$G363,"")</f>
        <v/>
      </c>
      <c r="AE363" s="179" t="str">
        <f t="array" ref="AE363">IF($F363&lt;&gt;"",XLOOKUP($F363,Productos!$A:$A,Productos!X:X,"Revisar"),"")</f>
        <v/>
      </c>
      <c r="AF363" s="179" t="str">
        <f t="array" ref="AF363">IF($F363&lt;&gt;"", XLOOKUP($F363,Productos!$A$2:$A1001,Productos!Y$2:Y1001,"")*$G363,"")</f>
        <v/>
      </c>
      <c r="AG363" s="179" t="str">
        <f t="array" ref="AG363">IF($F363&lt;&gt;"",XLOOKUP($F363,Productos!$A:$A,Productos!Z:Z,"Revisar"),"")</f>
        <v/>
      </c>
      <c r="AH363" s="179" t="str">
        <f t="array" ref="AH363">IF($F363&lt;&gt;"", XLOOKUP($F363,Productos!$A$2:$A1001,Productos!AA$2:AA1001,"")*$G363,"")</f>
        <v/>
      </c>
      <c r="AI363" s="179" t="str">
        <f t="array" ref="AI363">IF($F363&lt;&gt;"",XLOOKUP($F363,Productos!$A:$A,Productos!AB:AB,"Revisar"),"")</f>
        <v/>
      </c>
      <c r="AJ363" s="179" t="str">
        <f t="array" ref="AJ363">IF($F363&lt;&gt;"", XLOOKUP($F363,Productos!$A$2:$A1001,Productos!AC$2:AC1001,"")*$G363,"")</f>
        <v/>
      </c>
      <c r="AK363" s="179" t="str">
        <f t="array" ref="AK363">IF($F363&lt;&gt;"",XLOOKUP($F363,Productos!$A:$A,Productos!AD:AD,"Revisar"),"")</f>
        <v/>
      </c>
      <c r="AL363" s="179" t="str">
        <f t="array" ref="AL363">IF($F363&lt;&gt;"", XLOOKUP($F363,Productos!$A$2:$A1001,Productos!AE$2:AE1001,"")*$G363,"")</f>
        <v/>
      </c>
      <c r="AM363" s="179" t="str">
        <f t="array" ref="AM363">IF($F363&lt;&gt;"",XLOOKUP($F363,Productos!$A:$A,Productos!AF:AF,"Revisar"),"")</f>
        <v/>
      </c>
      <c r="AN363" s="179" t="str">
        <f t="array" ref="AN363">IF($F363&lt;&gt;"", XLOOKUP($F363,Productos!$A$2:$A1001,Productos!AG$2:AG1001,"")*$G363,"")</f>
        <v/>
      </c>
      <c r="AO363" s="179" t="str">
        <f t="array" ref="AO363">IF($F363&lt;&gt;"",XLOOKUP($F363,Productos!$A:$A,Productos!AH:AH,"Revisar"),"")</f>
        <v/>
      </c>
      <c r="AP363" s="179" t="str">
        <f t="array" ref="AP363">IF($F363&lt;&gt;"", XLOOKUP($F363,Productos!$A$2:$A1001,Productos!AI$2:AI1001,"")*$G363,"")</f>
        <v/>
      </c>
      <c r="AQ363" s="179" t="str">
        <f t="array" ref="AQ363">IF($F363&lt;&gt;"",XLOOKUP($F363,Productos!$A:$A,Productos!AJ:AJ,"Revisar"),"")</f>
        <v/>
      </c>
      <c r="AR363" s="179" t="str">
        <f t="array" ref="AR363">IF($F363&lt;&gt;"", XLOOKUP($F363,Productos!$A$2:$A1001,Productos!AK$2:AK1001,"")*$G363,"")</f>
        <v/>
      </c>
      <c r="AS363" s="179" t="str">
        <f t="array" ref="AS363">IF($F363&lt;&gt;"",XLOOKUP($F363,Productos!$A:$A,Productos!AL:AL,"Revisar"),"")</f>
        <v/>
      </c>
      <c r="AT363" s="179" t="str">
        <f t="array" ref="AT363">IF($F363&lt;&gt;"", XLOOKUP($F363,Productos!$A$2:$A1001,Productos!AM$2:AM1001,"")*$G363,"")</f>
        <v/>
      </c>
      <c r="AU363" s="179" t="str">
        <f t="array" ref="AU363">IF($F363&lt;&gt;"",XLOOKUP($F363,Productos!$A:$A,Productos!AN:AN,"Revisar"),"")</f>
        <v/>
      </c>
      <c r="AV363" s="179" t="str">
        <f t="array" ref="AV363">IF($F363&lt;&gt;"", XLOOKUP($F363,Productos!$A$2:$A1001,Productos!AO$2:AO1001,"")*$G363,"")</f>
        <v/>
      </c>
      <c r="AW363" s="179" t="str">
        <f t="array" ref="AW363">IF($F363&lt;&gt;"",XLOOKUP($F363,Productos!$A:$A,Productos!AP:AP,"Revisar"),"")</f>
        <v/>
      </c>
      <c r="AX363" s="179" t="str">
        <f t="array" ref="AX363">IF($F363&lt;&gt;"", XLOOKUP($F363,Productos!$A$2:$A1001,Productos!AQ$2:AQ1001,"")*$G363,"")</f>
        <v/>
      </c>
      <c r="AY363" s="179" t="str">
        <f t="array" ref="AY363">IF($F363&lt;&gt;"",XLOOKUP($F363,Productos!$A:$A,Productos!AR:AR,"Revisar"),"")</f>
        <v/>
      </c>
      <c r="AZ363" s="179" t="str">
        <f t="array" ref="AZ363">IF($F363&lt;&gt;"", XLOOKUP($F363,Productos!$A$2:$A1001,Productos!AS$2:AS1001,"")*$G363,"")</f>
        <v/>
      </c>
      <c r="BA363" s="179" t="str">
        <f t="array" ref="BA363">IF($F363&lt;&gt;"",XLOOKUP($F363,Productos!$A:$A,Productos!AT:AT,"Revisar"),"")</f>
        <v/>
      </c>
      <c r="BB363" s="179" t="str">
        <f t="array" ref="BB363">IF($F363&lt;&gt;"", XLOOKUP($F363,Productos!$A$2:$A1001,Productos!AU$2:AU1001,"")*$G363,"")</f>
        <v/>
      </c>
      <c r="BC363" s="179" t="str">
        <f t="array" ref="BC363">IF($F363&lt;&gt;"",XLOOKUP($F363,Productos!$A:$A,Productos!AV:AV,"Revisar"),"")</f>
        <v/>
      </c>
      <c r="BD363" s="179" t="str">
        <f t="array" ref="BD363">IF($F363&lt;&gt;"", XLOOKUP($F363,Productos!$A$2:$A1001,Productos!AW$2:AW1001,"")*$G363,"")</f>
        <v/>
      </c>
      <c r="BE363" s="179" t="str">
        <f t="array" ref="BE363">IF($F363&lt;&gt;"",XLOOKUP($F363,Productos!$A:$A,Productos!AX:AX,"Revisar"),"")</f>
        <v/>
      </c>
      <c r="BF363" s="179" t="str">
        <f t="array" ref="BF363">IF($F363&lt;&gt;"", XLOOKUP($F363,Productos!$A$2:$A1001,Productos!AY$2:AY1001,"")*$G363,"")</f>
        <v/>
      </c>
      <c r="BG363" s="179" t="str">
        <f t="array" ref="BG363">IF($F363&lt;&gt;"",XLOOKUP($F363,Productos!$A:$A,Productos!AZ:AZ,"Revisar"),"")</f>
        <v/>
      </c>
      <c r="BH363" s="179" t="str">
        <f t="array" ref="BH363">IF($F363&lt;&gt;"", XLOOKUP($F363,Productos!$A$2:$A1001,Productos!BA$2:BA1001,"")*$G363,"")</f>
        <v/>
      </c>
      <c r="BI363" s="179" t="str">
        <f t="array" ref="BI363">IF($F363&lt;&gt;"",XLOOKUP($F363,Productos!$A:$A,Productos!BB:BB,"Revisar"),"")</f>
        <v/>
      </c>
      <c r="BJ363" s="179" t="str">
        <f t="array" ref="BJ363">IF($F363&lt;&gt;"", XLOOKUP($F363,Productos!$A$2:$A1001,Productos!BC$2:BC1001,"")*$G363,"")</f>
        <v/>
      </c>
      <c r="BK363" s="179" t="str">
        <f t="array" ref="BK363">IF($F363&lt;&gt;"",XLOOKUP($F363,Productos!$A:$A,Productos!BD:BD,"Revisar"),"")</f>
        <v/>
      </c>
      <c r="BL363" s="179" t="str">
        <f t="array" ref="BL363">IF($F363&lt;&gt;"", XLOOKUP($F363,Productos!$A$2:$A1001,Productos!BE$2:BE1001,"")*$G363,"")</f>
        <v/>
      </c>
      <c r="BM363" s="179" t="str">
        <f t="array" ref="BM363">IF($F363&lt;&gt;"",XLOOKUP($F363,Productos!$A:$A,Productos!BF:BF,"Revisar"),"")</f>
        <v/>
      </c>
      <c r="BN363" s="179" t="str">
        <f t="array" ref="BN363">IF($F363&lt;&gt;"", XLOOKUP($F363,Productos!$A$2:$A1001,Productos!BG$2:BG1001,"")*$G363,"")</f>
        <v/>
      </c>
      <c r="BO363" s="179" t="str">
        <f t="array" ref="BO363">IF($F363&lt;&gt;"",XLOOKUP($F363,Productos!$A:$A,Productos!BH:BH,"Revisar"),"")</f>
        <v/>
      </c>
      <c r="BP363" s="179" t="str">
        <f t="array" ref="BP363">IF($F363&lt;&gt;"", XLOOKUP($F363,Productos!$A$2:$A1001,Productos!BI$2:BI1001,"")*$G363,"")</f>
        <v/>
      </c>
      <c r="BQ363" s="179" t="str">
        <f t="array" ref="BQ363">IF($F363&lt;&gt;"",XLOOKUP($F363,Productos!$A:$A,Productos!BJ:BJ,"Revisar"),"")</f>
        <v/>
      </c>
      <c r="BR363" s="179" t="str">
        <f t="array" ref="BR363">IF($F363&lt;&gt;"", XLOOKUP($F363,Productos!$A$2:$A1001,Productos!BK$2:BK1001,"")*$G363,"")</f>
        <v/>
      </c>
      <c r="BS363" s="179" t="str">
        <f t="array" ref="BS363">IF($F363&lt;&gt;"",XLOOKUP($F363,Productos!$A:$A,Productos!BL:BL,"Revisar"),"")</f>
        <v/>
      </c>
      <c r="BT363" s="179" t="str">
        <f t="array" ref="BT363">IF($F363&lt;&gt;"", XLOOKUP($F363,Productos!$A$2:$A1001,Productos!BM$2:BM1001,"")*$G363,"")</f>
        <v/>
      </c>
      <c r="BU363" s="179" t="str">
        <f t="array" ref="BU363">IF($F363&lt;&gt;"",XLOOKUP($F363,Productos!$A:$A,Productos!BN:BN,"Revisar"),"")</f>
        <v/>
      </c>
      <c r="BV363" s="179" t="str">
        <f t="array" ref="BV363">IF($F363&lt;&gt;"", XLOOKUP($F363,Productos!$A$2:$A1001,Productos!BO$2:BO1001,"")*$G363,"")</f>
        <v/>
      </c>
      <c r="BW363" s="179" t="str">
        <f t="array" ref="BW363">IF($F363&lt;&gt;"",XLOOKUP($F363,Productos!$A:$A,Productos!BP:BP,"Revisar"),"")</f>
        <v/>
      </c>
      <c r="BX363" s="179" t="str">
        <f t="array" ref="BX363">IF($F363&lt;&gt;"", XLOOKUP($F363,Productos!$A$2:$A1001,Productos!BQ$2:BQ1001,"")*$G363,"")</f>
        <v/>
      </c>
      <c r="BY363" s="179" t="str">
        <f t="array" ref="BY363">IF($F363&lt;&gt;"",XLOOKUP($F363,Productos!$A:$A,Productos!BR:BR,"Revisar"),"")</f>
        <v/>
      </c>
      <c r="BZ363" s="179" t="str">
        <f t="array" ref="BZ363">IF($F363&lt;&gt;"", XLOOKUP($F363,Productos!$A$2:$A1001,Productos!BS$2:BS1001,"")*$G363,"")</f>
        <v/>
      </c>
    </row>
    <row r="364">
      <c r="A364" s="188"/>
      <c r="B364" s="189"/>
      <c r="C364" s="190"/>
      <c r="D364" s="190"/>
      <c r="E364" s="191"/>
      <c r="F364" s="186"/>
      <c r="G364" s="192"/>
      <c r="H364" s="9"/>
      <c r="I364" s="179" t="str">
        <f t="array" ref="I364">IF($F364&lt;&gt;"",XLOOKUP($F364,Productos!$A:$A,Productos!B:B,"Revisar"),"")</f>
        <v/>
      </c>
      <c r="J364" s="179" t="str">
        <f t="array" ref="J364">IF($F364&lt;&gt;"", XLOOKUP($F364,Productos!$A$2:$A1001,Productos!C$2:C1001,"")*$G364,"")</f>
        <v/>
      </c>
      <c r="K364" s="179" t="str">
        <f t="array" ref="K364">IF($F364&lt;&gt;"",XLOOKUP($F364,Productos!$A:$A,Productos!D:D,"Revisar"),"")</f>
        <v/>
      </c>
      <c r="L364" s="179" t="str">
        <f t="array" ref="L364">IF($F364&lt;&gt;"", XLOOKUP($F364,Productos!$A$2:$A1001,Productos!E$2:E1001,"")*$G364,"")</f>
        <v/>
      </c>
      <c r="M364" s="179" t="str">
        <f t="array" ref="M364">IF($F364&lt;&gt;"",XLOOKUP($F364,Productos!$A:$A,Productos!F:F,"Revisar"),"")</f>
        <v/>
      </c>
      <c r="N364" s="179" t="str">
        <f t="array" ref="N364">IF($F364&lt;&gt;"", XLOOKUP($F364,Productos!$A$2:$A1001,Productos!G$2:G1001,"")*$G364,"")</f>
        <v/>
      </c>
      <c r="O364" s="179" t="str">
        <f t="array" ref="O364">IF($F364&lt;&gt;"",XLOOKUP($F364,Productos!$A:$A,Productos!H:H,"Revisar"),"")</f>
        <v/>
      </c>
      <c r="P364" s="179" t="str">
        <f t="array" ref="P364">IF($F364&lt;&gt;"", XLOOKUP($F364,Productos!$A$2:$A1001,Productos!I$2:I1001,"")*$G364,"")</f>
        <v/>
      </c>
      <c r="Q364" s="179" t="str">
        <f t="array" ref="Q364">IF($F364&lt;&gt;"",XLOOKUP($F364,Productos!$A:$A,Productos!J:J,"Revisar"),"")</f>
        <v/>
      </c>
      <c r="R364" s="179" t="str">
        <f t="array" ref="R364">IF($F364&lt;&gt;"", XLOOKUP($F364,Productos!$A$2:$A1001,Productos!K$2:K1001,"")*$G364,"")</f>
        <v/>
      </c>
      <c r="S364" s="179" t="str">
        <f t="array" ref="S364">IF($F364&lt;&gt;"",XLOOKUP($F364,Productos!$A:$A,Productos!L:L,"Revisar"),"")</f>
        <v/>
      </c>
      <c r="T364" s="179" t="str">
        <f t="array" ref="T364">IF($F364&lt;&gt;"", XLOOKUP($F364,Productos!$A$2:$A1001,Productos!M$2:M1001,"")*$G364,"")</f>
        <v/>
      </c>
      <c r="U364" s="179" t="str">
        <f t="array" ref="U364">IF($F364&lt;&gt;"",XLOOKUP($F364,Productos!$A:$A,Productos!N:N,"Revisar"),"")</f>
        <v/>
      </c>
      <c r="V364" s="179" t="str">
        <f t="array" ref="V364">IF($F364&lt;&gt;"", XLOOKUP($F364,Productos!$A$2:$A1001,Productos!O$2:O1001,"")*$G364,"")</f>
        <v/>
      </c>
      <c r="W364" s="179" t="str">
        <f t="array" ref="W364">IF($F364&lt;&gt;"",XLOOKUP($F364,Productos!$A:$A,Productos!P:P,"Revisar"),"")</f>
        <v/>
      </c>
      <c r="X364" s="179" t="str">
        <f t="array" ref="X364">IF($F364&lt;&gt;"", XLOOKUP($F364,Productos!$A$2:$A1001,Productos!Q$2:Q1001,"")*$G364,"")</f>
        <v/>
      </c>
      <c r="Y364" s="179" t="str">
        <f t="array" ref="Y364">IF($F364&lt;&gt;"",XLOOKUP($F364,Productos!$A:$A,Productos!R:R,"Revisar"),"")</f>
        <v/>
      </c>
      <c r="Z364" s="179" t="str">
        <f t="array" ref="Z364">IF($F364&lt;&gt;"", XLOOKUP($F364,Productos!$A$2:$A1001,Productos!S$2:S1001,"")*$G364,"")</f>
        <v/>
      </c>
      <c r="AA364" s="179" t="str">
        <f t="array" ref="AA364">IF($F364&lt;&gt;"",XLOOKUP($F364,Productos!$A:$A,Productos!T:T,"Revisar"),"")</f>
        <v/>
      </c>
      <c r="AB364" s="179" t="str">
        <f t="array" ref="AB364">IF($F364&lt;&gt;"", XLOOKUP($F364,Productos!$A$2:$A1001,Productos!U$2:U1001,"")*$G364,"")</f>
        <v/>
      </c>
      <c r="AC364" s="179" t="str">
        <f t="array" ref="AC364">IF($F364&lt;&gt;"",XLOOKUP($F364,Productos!$A:$A,Productos!V:V,"Revisar"),"")</f>
        <v/>
      </c>
      <c r="AD364" s="179" t="str">
        <f t="array" ref="AD364">IF($F364&lt;&gt;"", XLOOKUP($F364,Productos!$A$2:$A1001,Productos!W$2:W1001,"")*$G364,"")</f>
        <v/>
      </c>
      <c r="AE364" s="179" t="str">
        <f t="array" ref="AE364">IF($F364&lt;&gt;"",XLOOKUP($F364,Productos!$A:$A,Productos!X:X,"Revisar"),"")</f>
        <v/>
      </c>
      <c r="AF364" s="179" t="str">
        <f t="array" ref="AF364">IF($F364&lt;&gt;"", XLOOKUP($F364,Productos!$A$2:$A1001,Productos!Y$2:Y1001,"")*$G364,"")</f>
        <v/>
      </c>
      <c r="AG364" s="179" t="str">
        <f t="array" ref="AG364">IF($F364&lt;&gt;"",XLOOKUP($F364,Productos!$A:$A,Productos!Z:Z,"Revisar"),"")</f>
        <v/>
      </c>
      <c r="AH364" s="179" t="str">
        <f t="array" ref="AH364">IF($F364&lt;&gt;"", XLOOKUP($F364,Productos!$A$2:$A1001,Productos!AA$2:AA1001,"")*$G364,"")</f>
        <v/>
      </c>
      <c r="AI364" s="179" t="str">
        <f t="array" ref="AI364">IF($F364&lt;&gt;"",XLOOKUP($F364,Productos!$A:$A,Productos!AB:AB,"Revisar"),"")</f>
        <v/>
      </c>
      <c r="AJ364" s="179" t="str">
        <f t="array" ref="AJ364">IF($F364&lt;&gt;"", XLOOKUP($F364,Productos!$A$2:$A1001,Productos!AC$2:AC1001,"")*$G364,"")</f>
        <v/>
      </c>
      <c r="AK364" s="179" t="str">
        <f t="array" ref="AK364">IF($F364&lt;&gt;"",XLOOKUP($F364,Productos!$A:$A,Productos!AD:AD,"Revisar"),"")</f>
        <v/>
      </c>
      <c r="AL364" s="179" t="str">
        <f t="array" ref="AL364">IF($F364&lt;&gt;"", XLOOKUP($F364,Productos!$A$2:$A1001,Productos!AE$2:AE1001,"")*$G364,"")</f>
        <v/>
      </c>
      <c r="AM364" s="179" t="str">
        <f t="array" ref="AM364">IF($F364&lt;&gt;"",XLOOKUP($F364,Productos!$A:$A,Productos!AF:AF,"Revisar"),"")</f>
        <v/>
      </c>
      <c r="AN364" s="179" t="str">
        <f t="array" ref="AN364">IF($F364&lt;&gt;"", XLOOKUP($F364,Productos!$A$2:$A1001,Productos!AG$2:AG1001,"")*$G364,"")</f>
        <v/>
      </c>
      <c r="AO364" s="179" t="str">
        <f t="array" ref="AO364">IF($F364&lt;&gt;"",XLOOKUP($F364,Productos!$A:$A,Productos!AH:AH,"Revisar"),"")</f>
        <v/>
      </c>
      <c r="AP364" s="179" t="str">
        <f t="array" ref="AP364">IF($F364&lt;&gt;"", XLOOKUP($F364,Productos!$A$2:$A1001,Productos!AI$2:AI1001,"")*$G364,"")</f>
        <v/>
      </c>
      <c r="AQ364" s="179" t="str">
        <f t="array" ref="AQ364">IF($F364&lt;&gt;"",XLOOKUP($F364,Productos!$A:$A,Productos!AJ:AJ,"Revisar"),"")</f>
        <v/>
      </c>
      <c r="AR364" s="179" t="str">
        <f t="array" ref="AR364">IF($F364&lt;&gt;"", XLOOKUP($F364,Productos!$A$2:$A1001,Productos!AK$2:AK1001,"")*$G364,"")</f>
        <v/>
      </c>
      <c r="AS364" s="179" t="str">
        <f t="array" ref="AS364">IF($F364&lt;&gt;"",XLOOKUP($F364,Productos!$A:$A,Productos!AL:AL,"Revisar"),"")</f>
        <v/>
      </c>
      <c r="AT364" s="179" t="str">
        <f t="array" ref="AT364">IF($F364&lt;&gt;"", XLOOKUP($F364,Productos!$A$2:$A1001,Productos!AM$2:AM1001,"")*$G364,"")</f>
        <v/>
      </c>
      <c r="AU364" s="179" t="str">
        <f t="array" ref="AU364">IF($F364&lt;&gt;"",XLOOKUP($F364,Productos!$A:$A,Productos!AN:AN,"Revisar"),"")</f>
        <v/>
      </c>
      <c r="AV364" s="179" t="str">
        <f t="array" ref="AV364">IF($F364&lt;&gt;"", XLOOKUP($F364,Productos!$A$2:$A1001,Productos!AO$2:AO1001,"")*$G364,"")</f>
        <v/>
      </c>
      <c r="AW364" s="179" t="str">
        <f t="array" ref="AW364">IF($F364&lt;&gt;"",XLOOKUP($F364,Productos!$A:$A,Productos!AP:AP,"Revisar"),"")</f>
        <v/>
      </c>
      <c r="AX364" s="179" t="str">
        <f t="array" ref="AX364">IF($F364&lt;&gt;"", XLOOKUP($F364,Productos!$A$2:$A1001,Productos!AQ$2:AQ1001,"")*$G364,"")</f>
        <v/>
      </c>
      <c r="AY364" s="179" t="str">
        <f t="array" ref="AY364">IF($F364&lt;&gt;"",XLOOKUP($F364,Productos!$A:$A,Productos!AR:AR,"Revisar"),"")</f>
        <v/>
      </c>
      <c r="AZ364" s="179" t="str">
        <f t="array" ref="AZ364">IF($F364&lt;&gt;"", XLOOKUP($F364,Productos!$A$2:$A1001,Productos!AS$2:AS1001,"")*$G364,"")</f>
        <v/>
      </c>
      <c r="BA364" s="179" t="str">
        <f t="array" ref="BA364">IF($F364&lt;&gt;"",XLOOKUP($F364,Productos!$A:$A,Productos!AT:AT,"Revisar"),"")</f>
        <v/>
      </c>
      <c r="BB364" s="179" t="str">
        <f t="array" ref="BB364">IF($F364&lt;&gt;"", XLOOKUP($F364,Productos!$A$2:$A1001,Productos!AU$2:AU1001,"")*$G364,"")</f>
        <v/>
      </c>
      <c r="BC364" s="179" t="str">
        <f t="array" ref="BC364">IF($F364&lt;&gt;"",XLOOKUP($F364,Productos!$A:$A,Productos!AV:AV,"Revisar"),"")</f>
        <v/>
      </c>
      <c r="BD364" s="179" t="str">
        <f t="array" ref="BD364">IF($F364&lt;&gt;"", XLOOKUP($F364,Productos!$A$2:$A1001,Productos!AW$2:AW1001,"")*$G364,"")</f>
        <v/>
      </c>
      <c r="BE364" s="179" t="str">
        <f t="array" ref="BE364">IF($F364&lt;&gt;"",XLOOKUP($F364,Productos!$A:$A,Productos!AX:AX,"Revisar"),"")</f>
        <v/>
      </c>
      <c r="BF364" s="179" t="str">
        <f t="array" ref="BF364">IF($F364&lt;&gt;"", XLOOKUP($F364,Productos!$A$2:$A1001,Productos!AY$2:AY1001,"")*$G364,"")</f>
        <v/>
      </c>
      <c r="BG364" s="179" t="str">
        <f t="array" ref="BG364">IF($F364&lt;&gt;"",XLOOKUP($F364,Productos!$A:$A,Productos!AZ:AZ,"Revisar"),"")</f>
        <v/>
      </c>
      <c r="BH364" s="179" t="str">
        <f t="array" ref="BH364">IF($F364&lt;&gt;"", XLOOKUP($F364,Productos!$A$2:$A1001,Productos!BA$2:BA1001,"")*$G364,"")</f>
        <v/>
      </c>
      <c r="BI364" s="179" t="str">
        <f t="array" ref="BI364">IF($F364&lt;&gt;"",XLOOKUP($F364,Productos!$A:$A,Productos!BB:BB,"Revisar"),"")</f>
        <v/>
      </c>
      <c r="BJ364" s="179" t="str">
        <f t="array" ref="BJ364">IF($F364&lt;&gt;"", XLOOKUP($F364,Productos!$A$2:$A1001,Productos!BC$2:BC1001,"")*$G364,"")</f>
        <v/>
      </c>
      <c r="BK364" s="179" t="str">
        <f t="array" ref="BK364">IF($F364&lt;&gt;"",XLOOKUP($F364,Productos!$A:$A,Productos!BD:BD,"Revisar"),"")</f>
        <v/>
      </c>
      <c r="BL364" s="179" t="str">
        <f t="array" ref="BL364">IF($F364&lt;&gt;"", XLOOKUP($F364,Productos!$A$2:$A1001,Productos!BE$2:BE1001,"")*$G364,"")</f>
        <v/>
      </c>
      <c r="BM364" s="179" t="str">
        <f t="array" ref="BM364">IF($F364&lt;&gt;"",XLOOKUP($F364,Productos!$A:$A,Productos!BF:BF,"Revisar"),"")</f>
        <v/>
      </c>
      <c r="BN364" s="179" t="str">
        <f t="array" ref="BN364">IF($F364&lt;&gt;"", XLOOKUP($F364,Productos!$A$2:$A1001,Productos!BG$2:BG1001,"")*$G364,"")</f>
        <v/>
      </c>
      <c r="BO364" s="179" t="str">
        <f t="array" ref="BO364">IF($F364&lt;&gt;"",XLOOKUP($F364,Productos!$A:$A,Productos!BH:BH,"Revisar"),"")</f>
        <v/>
      </c>
      <c r="BP364" s="179" t="str">
        <f t="array" ref="BP364">IF($F364&lt;&gt;"", XLOOKUP($F364,Productos!$A$2:$A1001,Productos!BI$2:BI1001,"")*$G364,"")</f>
        <v/>
      </c>
      <c r="BQ364" s="179" t="str">
        <f t="array" ref="BQ364">IF($F364&lt;&gt;"",XLOOKUP($F364,Productos!$A:$A,Productos!BJ:BJ,"Revisar"),"")</f>
        <v/>
      </c>
      <c r="BR364" s="179" t="str">
        <f t="array" ref="BR364">IF($F364&lt;&gt;"", XLOOKUP($F364,Productos!$A$2:$A1001,Productos!BK$2:BK1001,"")*$G364,"")</f>
        <v/>
      </c>
      <c r="BS364" s="179" t="str">
        <f t="array" ref="BS364">IF($F364&lt;&gt;"",XLOOKUP($F364,Productos!$A:$A,Productos!BL:BL,"Revisar"),"")</f>
        <v/>
      </c>
      <c r="BT364" s="179" t="str">
        <f t="array" ref="BT364">IF($F364&lt;&gt;"", XLOOKUP($F364,Productos!$A$2:$A1001,Productos!BM$2:BM1001,"")*$G364,"")</f>
        <v/>
      </c>
      <c r="BU364" s="179" t="str">
        <f t="array" ref="BU364">IF($F364&lt;&gt;"",XLOOKUP($F364,Productos!$A:$A,Productos!BN:BN,"Revisar"),"")</f>
        <v/>
      </c>
      <c r="BV364" s="179" t="str">
        <f t="array" ref="BV364">IF($F364&lt;&gt;"", XLOOKUP($F364,Productos!$A$2:$A1001,Productos!BO$2:BO1001,"")*$G364,"")</f>
        <v/>
      </c>
      <c r="BW364" s="179" t="str">
        <f t="array" ref="BW364">IF($F364&lt;&gt;"",XLOOKUP($F364,Productos!$A:$A,Productos!BP:BP,"Revisar"),"")</f>
        <v/>
      </c>
      <c r="BX364" s="179" t="str">
        <f t="array" ref="BX364">IF($F364&lt;&gt;"", XLOOKUP($F364,Productos!$A$2:$A1001,Productos!BQ$2:BQ1001,"")*$G364,"")</f>
        <v/>
      </c>
      <c r="BY364" s="179" t="str">
        <f t="array" ref="BY364">IF($F364&lt;&gt;"",XLOOKUP($F364,Productos!$A:$A,Productos!BR:BR,"Revisar"),"")</f>
        <v/>
      </c>
      <c r="BZ364" s="179" t="str">
        <f t="array" ref="BZ364">IF($F364&lt;&gt;"", XLOOKUP($F364,Productos!$A$2:$A1001,Productos!BS$2:BS1001,"")*$G364,"")</f>
        <v/>
      </c>
    </row>
    <row r="365">
      <c r="A365" s="188"/>
      <c r="B365" s="189"/>
      <c r="C365" s="190"/>
      <c r="D365" s="190"/>
      <c r="E365" s="191"/>
      <c r="F365" s="186"/>
      <c r="G365" s="192"/>
      <c r="H365" s="9"/>
      <c r="I365" s="179" t="str">
        <f t="array" ref="I365">IF($F365&lt;&gt;"",XLOOKUP($F365,Productos!$A:$A,Productos!B:B,"Revisar"),"")</f>
        <v/>
      </c>
      <c r="J365" s="179" t="str">
        <f t="array" ref="J365">IF($F365&lt;&gt;"", XLOOKUP($F365,Productos!$A$2:$A1001,Productos!C$2:C1001,"")*$G365,"")</f>
        <v/>
      </c>
      <c r="K365" s="179" t="str">
        <f t="array" ref="K365">IF($F365&lt;&gt;"",XLOOKUP($F365,Productos!$A:$A,Productos!D:D,"Revisar"),"")</f>
        <v/>
      </c>
      <c r="L365" s="179" t="str">
        <f t="array" ref="L365">IF($F365&lt;&gt;"", XLOOKUP($F365,Productos!$A$2:$A1001,Productos!E$2:E1001,"")*$G365,"")</f>
        <v/>
      </c>
      <c r="M365" s="179" t="str">
        <f t="array" ref="M365">IF($F365&lt;&gt;"",XLOOKUP($F365,Productos!$A:$A,Productos!F:F,"Revisar"),"")</f>
        <v/>
      </c>
      <c r="N365" s="179" t="str">
        <f t="array" ref="N365">IF($F365&lt;&gt;"", XLOOKUP($F365,Productos!$A$2:$A1001,Productos!G$2:G1001,"")*$G365,"")</f>
        <v/>
      </c>
      <c r="O365" s="179" t="str">
        <f t="array" ref="O365">IF($F365&lt;&gt;"",XLOOKUP($F365,Productos!$A:$A,Productos!H:H,"Revisar"),"")</f>
        <v/>
      </c>
      <c r="P365" s="179" t="str">
        <f t="array" ref="P365">IF($F365&lt;&gt;"", XLOOKUP($F365,Productos!$A$2:$A1001,Productos!I$2:I1001,"")*$G365,"")</f>
        <v/>
      </c>
      <c r="Q365" s="179" t="str">
        <f t="array" ref="Q365">IF($F365&lt;&gt;"",XLOOKUP($F365,Productos!$A:$A,Productos!J:J,"Revisar"),"")</f>
        <v/>
      </c>
      <c r="R365" s="179" t="str">
        <f t="array" ref="R365">IF($F365&lt;&gt;"", XLOOKUP($F365,Productos!$A$2:$A1001,Productos!K$2:K1001,"")*$G365,"")</f>
        <v/>
      </c>
      <c r="S365" s="179" t="str">
        <f t="array" ref="S365">IF($F365&lt;&gt;"",XLOOKUP($F365,Productos!$A:$A,Productos!L:L,"Revisar"),"")</f>
        <v/>
      </c>
      <c r="T365" s="179" t="str">
        <f t="array" ref="T365">IF($F365&lt;&gt;"", XLOOKUP($F365,Productos!$A$2:$A1001,Productos!M$2:M1001,"")*$G365,"")</f>
        <v/>
      </c>
      <c r="U365" s="179" t="str">
        <f t="array" ref="U365">IF($F365&lt;&gt;"",XLOOKUP($F365,Productos!$A:$A,Productos!N:N,"Revisar"),"")</f>
        <v/>
      </c>
      <c r="V365" s="179" t="str">
        <f t="array" ref="V365">IF($F365&lt;&gt;"", XLOOKUP($F365,Productos!$A$2:$A1001,Productos!O$2:O1001,"")*$G365,"")</f>
        <v/>
      </c>
      <c r="W365" s="179" t="str">
        <f t="array" ref="W365">IF($F365&lt;&gt;"",XLOOKUP($F365,Productos!$A:$A,Productos!P:P,"Revisar"),"")</f>
        <v/>
      </c>
      <c r="X365" s="179" t="str">
        <f t="array" ref="X365">IF($F365&lt;&gt;"", XLOOKUP($F365,Productos!$A$2:$A1001,Productos!Q$2:Q1001,"")*$G365,"")</f>
        <v/>
      </c>
      <c r="Y365" s="179" t="str">
        <f t="array" ref="Y365">IF($F365&lt;&gt;"",XLOOKUP($F365,Productos!$A:$A,Productos!R:R,"Revisar"),"")</f>
        <v/>
      </c>
      <c r="Z365" s="179" t="str">
        <f t="array" ref="Z365">IF($F365&lt;&gt;"", XLOOKUP($F365,Productos!$A$2:$A1001,Productos!S$2:S1001,"")*$G365,"")</f>
        <v/>
      </c>
      <c r="AA365" s="179" t="str">
        <f t="array" ref="AA365">IF($F365&lt;&gt;"",XLOOKUP($F365,Productos!$A:$A,Productos!T:T,"Revisar"),"")</f>
        <v/>
      </c>
      <c r="AB365" s="179" t="str">
        <f t="array" ref="AB365">IF($F365&lt;&gt;"", XLOOKUP($F365,Productos!$A$2:$A1001,Productos!U$2:U1001,"")*$G365,"")</f>
        <v/>
      </c>
      <c r="AC365" s="179" t="str">
        <f t="array" ref="AC365">IF($F365&lt;&gt;"",XLOOKUP($F365,Productos!$A:$A,Productos!V:V,"Revisar"),"")</f>
        <v/>
      </c>
      <c r="AD365" s="179" t="str">
        <f t="array" ref="AD365">IF($F365&lt;&gt;"", XLOOKUP($F365,Productos!$A$2:$A1001,Productos!W$2:W1001,"")*$G365,"")</f>
        <v/>
      </c>
      <c r="AE365" s="179" t="str">
        <f t="array" ref="AE365">IF($F365&lt;&gt;"",XLOOKUP($F365,Productos!$A:$A,Productos!X:X,"Revisar"),"")</f>
        <v/>
      </c>
      <c r="AF365" s="179" t="str">
        <f t="array" ref="AF365">IF($F365&lt;&gt;"", XLOOKUP($F365,Productos!$A$2:$A1001,Productos!Y$2:Y1001,"")*$G365,"")</f>
        <v/>
      </c>
      <c r="AG365" s="179" t="str">
        <f t="array" ref="AG365">IF($F365&lt;&gt;"",XLOOKUP($F365,Productos!$A:$A,Productos!Z:Z,"Revisar"),"")</f>
        <v/>
      </c>
      <c r="AH365" s="179" t="str">
        <f t="array" ref="AH365">IF($F365&lt;&gt;"", XLOOKUP($F365,Productos!$A$2:$A1001,Productos!AA$2:AA1001,"")*$G365,"")</f>
        <v/>
      </c>
      <c r="AI365" s="179" t="str">
        <f t="array" ref="AI365">IF($F365&lt;&gt;"",XLOOKUP($F365,Productos!$A:$A,Productos!AB:AB,"Revisar"),"")</f>
        <v/>
      </c>
      <c r="AJ365" s="179" t="str">
        <f t="array" ref="AJ365">IF($F365&lt;&gt;"", XLOOKUP($F365,Productos!$A$2:$A1001,Productos!AC$2:AC1001,"")*$G365,"")</f>
        <v/>
      </c>
      <c r="AK365" s="179" t="str">
        <f t="array" ref="AK365">IF($F365&lt;&gt;"",XLOOKUP($F365,Productos!$A:$A,Productos!AD:AD,"Revisar"),"")</f>
        <v/>
      </c>
      <c r="AL365" s="179" t="str">
        <f t="array" ref="AL365">IF($F365&lt;&gt;"", XLOOKUP($F365,Productos!$A$2:$A1001,Productos!AE$2:AE1001,"")*$G365,"")</f>
        <v/>
      </c>
      <c r="AM365" s="179" t="str">
        <f t="array" ref="AM365">IF($F365&lt;&gt;"",XLOOKUP($F365,Productos!$A:$A,Productos!AF:AF,"Revisar"),"")</f>
        <v/>
      </c>
      <c r="AN365" s="179" t="str">
        <f t="array" ref="AN365">IF($F365&lt;&gt;"", XLOOKUP($F365,Productos!$A$2:$A1001,Productos!AG$2:AG1001,"")*$G365,"")</f>
        <v/>
      </c>
      <c r="AO365" s="179" t="str">
        <f t="array" ref="AO365">IF($F365&lt;&gt;"",XLOOKUP($F365,Productos!$A:$A,Productos!AH:AH,"Revisar"),"")</f>
        <v/>
      </c>
      <c r="AP365" s="179" t="str">
        <f t="array" ref="AP365">IF($F365&lt;&gt;"", XLOOKUP($F365,Productos!$A$2:$A1001,Productos!AI$2:AI1001,"")*$G365,"")</f>
        <v/>
      </c>
      <c r="AQ365" s="179" t="str">
        <f t="array" ref="AQ365">IF($F365&lt;&gt;"",XLOOKUP($F365,Productos!$A:$A,Productos!AJ:AJ,"Revisar"),"")</f>
        <v/>
      </c>
      <c r="AR365" s="179" t="str">
        <f t="array" ref="AR365">IF($F365&lt;&gt;"", XLOOKUP($F365,Productos!$A$2:$A1001,Productos!AK$2:AK1001,"")*$G365,"")</f>
        <v/>
      </c>
      <c r="AS365" s="179" t="str">
        <f t="array" ref="AS365">IF($F365&lt;&gt;"",XLOOKUP($F365,Productos!$A:$A,Productos!AL:AL,"Revisar"),"")</f>
        <v/>
      </c>
      <c r="AT365" s="179" t="str">
        <f t="array" ref="AT365">IF($F365&lt;&gt;"", XLOOKUP($F365,Productos!$A$2:$A1001,Productos!AM$2:AM1001,"")*$G365,"")</f>
        <v/>
      </c>
      <c r="AU365" s="179" t="str">
        <f t="array" ref="AU365">IF($F365&lt;&gt;"",XLOOKUP($F365,Productos!$A:$A,Productos!AN:AN,"Revisar"),"")</f>
        <v/>
      </c>
      <c r="AV365" s="179" t="str">
        <f t="array" ref="AV365">IF($F365&lt;&gt;"", XLOOKUP($F365,Productos!$A$2:$A1001,Productos!AO$2:AO1001,"")*$G365,"")</f>
        <v/>
      </c>
      <c r="AW365" s="179" t="str">
        <f t="array" ref="AW365">IF($F365&lt;&gt;"",XLOOKUP($F365,Productos!$A:$A,Productos!AP:AP,"Revisar"),"")</f>
        <v/>
      </c>
      <c r="AX365" s="179" t="str">
        <f t="array" ref="AX365">IF($F365&lt;&gt;"", XLOOKUP($F365,Productos!$A$2:$A1001,Productos!AQ$2:AQ1001,"")*$G365,"")</f>
        <v/>
      </c>
      <c r="AY365" s="179" t="str">
        <f t="array" ref="AY365">IF($F365&lt;&gt;"",XLOOKUP($F365,Productos!$A:$A,Productos!AR:AR,"Revisar"),"")</f>
        <v/>
      </c>
      <c r="AZ365" s="179" t="str">
        <f t="array" ref="AZ365">IF($F365&lt;&gt;"", XLOOKUP($F365,Productos!$A$2:$A1001,Productos!AS$2:AS1001,"")*$G365,"")</f>
        <v/>
      </c>
      <c r="BA365" s="179" t="str">
        <f t="array" ref="BA365">IF($F365&lt;&gt;"",XLOOKUP($F365,Productos!$A:$A,Productos!AT:AT,"Revisar"),"")</f>
        <v/>
      </c>
      <c r="BB365" s="179" t="str">
        <f t="array" ref="BB365">IF($F365&lt;&gt;"", XLOOKUP($F365,Productos!$A$2:$A1001,Productos!AU$2:AU1001,"")*$G365,"")</f>
        <v/>
      </c>
      <c r="BC365" s="179" t="str">
        <f t="array" ref="BC365">IF($F365&lt;&gt;"",XLOOKUP($F365,Productos!$A:$A,Productos!AV:AV,"Revisar"),"")</f>
        <v/>
      </c>
      <c r="BD365" s="179" t="str">
        <f t="array" ref="BD365">IF($F365&lt;&gt;"", XLOOKUP($F365,Productos!$A$2:$A1001,Productos!AW$2:AW1001,"")*$G365,"")</f>
        <v/>
      </c>
      <c r="BE365" s="179" t="str">
        <f t="array" ref="BE365">IF($F365&lt;&gt;"",XLOOKUP($F365,Productos!$A:$A,Productos!AX:AX,"Revisar"),"")</f>
        <v/>
      </c>
      <c r="BF365" s="179" t="str">
        <f t="array" ref="BF365">IF($F365&lt;&gt;"", XLOOKUP($F365,Productos!$A$2:$A1001,Productos!AY$2:AY1001,"")*$G365,"")</f>
        <v/>
      </c>
      <c r="BG365" s="179" t="str">
        <f t="array" ref="BG365">IF($F365&lt;&gt;"",XLOOKUP($F365,Productos!$A:$A,Productos!AZ:AZ,"Revisar"),"")</f>
        <v/>
      </c>
      <c r="BH365" s="179" t="str">
        <f t="array" ref="BH365">IF($F365&lt;&gt;"", XLOOKUP($F365,Productos!$A$2:$A1001,Productos!BA$2:BA1001,"")*$G365,"")</f>
        <v/>
      </c>
      <c r="BI365" s="179" t="str">
        <f t="array" ref="BI365">IF($F365&lt;&gt;"",XLOOKUP($F365,Productos!$A:$A,Productos!BB:BB,"Revisar"),"")</f>
        <v/>
      </c>
      <c r="BJ365" s="179" t="str">
        <f t="array" ref="BJ365">IF($F365&lt;&gt;"", XLOOKUP($F365,Productos!$A$2:$A1001,Productos!BC$2:BC1001,"")*$G365,"")</f>
        <v/>
      </c>
      <c r="BK365" s="179" t="str">
        <f t="array" ref="BK365">IF($F365&lt;&gt;"",XLOOKUP($F365,Productos!$A:$A,Productos!BD:BD,"Revisar"),"")</f>
        <v/>
      </c>
      <c r="BL365" s="179" t="str">
        <f t="array" ref="BL365">IF($F365&lt;&gt;"", XLOOKUP($F365,Productos!$A$2:$A1001,Productos!BE$2:BE1001,"")*$G365,"")</f>
        <v/>
      </c>
      <c r="BM365" s="179" t="str">
        <f t="array" ref="BM365">IF($F365&lt;&gt;"",XLOOKUP($F365,Productos!$A:$A,Productos!BF:BF,"Revisar"),"")</f>
        <v/>
      </c>
      <c r="BN365" s="179" t="str">
        <f t="array" ref="BN365">IF($F365&lt;&gt;"", XLOOKUP($F365,Productos!$A$2:$A1001,Productos!BG$2:BG1001,"")*$G365,"")</f>
        <v/>
      </c>
      <c r="BO365" s="179" t="str">
        <f t="array" ref="BO365">IF($F365&lt;&gt;"",XLOOKUP($F365,Productos!$A:$A,Productos!BH:BH,"Revisar"),"")</f>
        <v/>
      </c>
      <c r="BP365" s="179" t="str">
        <f t="array" ref="BP365">IF($F365&lt;&gt;"", XLOOKUP($F365,Productos!$A$2:$A1001,Productos!BI$2:BI1001,"")*$G365,"")</f>
        <v/>
      </c>
      <c r="BQ365" s="179" t="str">
        <f t="array" ref="BQ365">IF($F365&lt;&gt;"",XLOOKUP($F365,Productos!$A:$A,Productos!BJ:BJ,"Revisar"),"")</f>
        <v/>
      </c>
      <c r="BR365" s="179" t="str">
        <f t="array" ref="BR365">IF($F365&lt;&gt;"", XLOOKUP($F365,Productos!$A$2:$A1001,Productos!BK$2:BK1001,"")*$G365,"")</f>
        <v/>
      </c>
      <c r="BS365" s="179" t="str">
        <f t="array" ref="BS365">IF($F365&lt;&gt;"",XLOOKUP($F365,Productos!$A:$A,Productos!BL:BL,"Revisar"),"")</f>
        <v/>
      </c>
      <c r="BT365" s="179" t="str">
        <f t="array" ref="BT365">IF($F365&lt;&gt;"", XLOOKUP($F365,Productos!$A$2:$A1001,Productos!BM$2:BM1001,"")*$G365,"")</f>
        <v/>
      </c>
      <c r="BU365" s="179" t="str">
        <f t="array" ref="BU365">IF($F365&lt;&gt;"",XLOOKUP($F365,Productos!$A:$A,Productos!BN:BN,"Revisar"),"")</f>
        <v/>
      </c>
      <c r="BV365" s="179" t="str">
        <f t="array" ref="BV365">IF($F365&lt;&gt;"", XLOOKUP($F365,Productos!$A$2:$A1001,Productos!BO$2:BO1001,"")*$G365,"")</f>
        <v/>
      </c>
      <c r="BW365" s="179" t="str">
        <f t="array" ref="BW365">IF($F365&lt;&gt;"",XLOOKUP($F365,Productos!$A:$A,Productos!BP:BP,"Revisar"),"")</f>
        <v/>
      </c>
      <c r="BX365" s="179" t="str">
        <f t="array" ref="BX365">IF($F365&lt;&gt;"", XLOOKUP($F365,Productos!$A$2:$A1001,Productos!BQ$2:BQ1001,"")*$G365,"")</f>
        <v/>
      </c>
      <c r="BY365" s="179" t="str">
        <f t="array" ref="BY365">IF($F365&lt;&gt;"",XLOOKUP($F365,Productos!$A:$A,Productos!BR:BR,"Revisar"),"")</f>
        <v/>
      </c>
      <c r="BZ365" s="179" t="str">
        <f t="array" ref="BZ365">IF($F365&lt;&gt;"", XLOOKUP($F365,Productos!$A$2:$A1001,Productos!BS$2:BS1001,"")*$G365,"")</f>
        <v/>
      </c>
    </row>
    <row r="366">
      <c r="A366" s="188"/>
      <c r="B366" s="189"/>
      <c r="C366" s="190"/>
      <c r="D366" s="190"/>
      <c r="E366" s="191"/>
      <c r="F366" s="186"/>
      <c r="G366" s="192"/>
      <c r="H366" s="9"/>
      <c r="I366" s="179" t="str">
        <f t="array" ref="I366">IF($F366&lt;&gt;"",XLOOKUP($F366,Productos!$A:$A,Productos!B:B,"Revisar"),"")</f>
        <v/>
      </c>
      <c r="J366" s="179" t="str">
        <f t="array" ref="J366">IF($F366&lt;&gt;"", XLOOKUP($F366,Productos!$A$2:$A1001,Productos!C$2:C1001,"")*$G366,"")</f>
        <v/>
      </c>
      <c r="K366" s="179" t="str">
        <f t="array" ref="K366">IF($F366&lt;&gt;"",XLOOKUP($F366,Productos!$A:$A,Productos!D:D,"Revisar"),"")</f>
        <v/>
      </c>
      <c r="L366" s="179" t="str">
        <f t="array" ref="L366">IF($F366&lt;&gt;"", XLOOKUP($F366,Productos!$A$2:$A1001,Productos!E$2:E1001,"")*$G366,"")</f>
        <v/>
      </c>
      <c r="M366" s="179" t="str">
        <f t="array" ref="M366">IF($F366&lt;&gt;"",XLOOKUP($F366,Productos!$A:$A,Productos!F:F,"Revisar"),"")</f>
        <v/>
      </c>
      <c r="N366" s="179" t="str">
        <f t="array" ref="N366">IF($F366&lt;&gt;"", XLOOKUP($F366,Productos!$A$2:$A1001,Productos!G$2:G1001,"")*$G366,"")</f>
        <v/>
      </c>
      <c r="O366" s="179" t="str">
        <f t="array" ref="O366">IF($F366&lt;&gt;"",XLOOKUP($F366,Productos!$A:$A,Productos!H:H,"Revisar"),"")</f>
        <v/>
      </c>
      <c r="P366" s="179" t="str">
        <f t="array" ref="P366">IF($F366&lt;&gt;"", XLOOKUP($F366,Productos!$A$2:$A1001,Productos!I$2:I1001,"")*$G366,"")</f>
        <v/>
      </c>
      <c r="Q366" s="179" t="str">
        <f t="array" ref="Q366">IF($F366&lt;&gt;"",XLOOKUP($F366,Productos!$A:$A,Productos!J:J,"Revisar"),"")</f>
        <v/>
      </c>
      <c r="R366" s="179" t="str">
        <f t="array" ref="R366">IF($F366&lt;&gt;"", XLOOKUP($F366,Productos!$A$2:$A1001,Productos!K$2:K1001,"")*$G366,"")</f>
        <v/>
      </c>
      <c r="S366" s="179" t="str">
        <f t="array" ref="S366">IF($F366&lt;&gt;"",XLOOKUP($F366,Productos!$A:$A,Productos!L:L,"Revisar"),"")</f>
        <v/>
      </c>
      <c r="T366" s="179" t="str">
        <f t="array" ref="T366">IF($F366&lt;&gt;"", XLOOKUP($F366,Productos!$A$2:$A1001,Productos!M$2:M1001,"")*$G366,"")</f>
        <v/>
      </c>
      <c r="U366" s="179" t="str">
        <f t="array" ref="U366">IF($F366&lt;&gt;"",XLOOKUP($F366,Productos!$A:$A,Productos!N:N,"Revisar"),"")</f>
        <v/>
      </c>
      <c r="V366" s="179" t="str">
        <f t="array" ref="V366">IF($F366&lt;&gt;"", XLOOKUP($F366,Productos!$A$2:$A1001,Productos!O$2:O1001,"")*$G366,"")</f>
        <v/>
      </c>
      <c r="W366" s="179" t="str">
        <f t="array" ref="W366">IF($F366&lt;&gt;"",XLOOKUP($F366,Productos!$A:$A,Productos!P:P,"Revisar"),"")</f>
        <v/>
      </c>
      <c r="X366" s="179" t="str">
        <f t="array" ref="X366">IF($F366&lt;&gt;"", XLOOKUP($F366,Productos!$A$2:$A1001,Productos!Q$2:Q1001,"")*$G366,"")</f>
        <v/>
      </c>
      <c r="Y366" s="179" t="str">
        <f t="array" ref="Y366">IF($F366&lt;&gt;"",XLOOKUP($F366,Productos!$A:$A,Productos!R:R,"Revisar"),"")</f>
        <v/>
      </c>
      <c r="Z366" s="179" t="str">
        <f t="array" ref="Z366">IF($F366&lt;&gt;"", XLOOKUP($F366,Productos!$A$2:$A1001,Productos!S$2:S1001,"")*$G366,"")</f>
        <v/>
      </c>
      <c r="AA366" s="179" t="str">
        <f t="array" ref="AA366">IF($F366&lt;&gt;"",XLOOKUP($F366,Productos!$A:$A,Productos!T:T,"Revisar"),"")</f>
        <v/>
      </c>
      <c r="AB366" s="179" t="str">
        <f t="array" ref="AB366">IF($F366&lt;&gt;"", XLOOKUP($F366,Productos!$A$2:$A1001,Productos!U$2:U1001,"")*$G366,"")</f>
        <v/>
      </c>
      <c r="AC366" s="179" t="str">
        <f t="array" ref="AC366">IF($F366&lt;&gt;"",XLOOKUP($F366,Productos!$A:$A,Productos!V:V,"Revisar"),"")</f>
        <v/>
      </c>
      <c r="AD366" s="179" t="str">
        <f t="array" ref="AD366">IF($F366&lt;&gt;"", XLOOKUP($F366,Productos!$A$2:$A1001,Productos!W$2:W1001,"")*$G366,"")</f>
        <v/>
      </c>
      <c r="AE366" s="179" t="str">
        <f t="array" ref="AE366">IF($F366&lt;&gt;"",XLOOKUP($F366,Productos!$A:$A,Productos!X:X,"Revisar"),"")</f>
        <v/>
      </c>
      <c r="AF366" s="179" t="str">
        <f t="array" ref="AF366">IF($F366&lt;&gt;"", XLOOKUP($F366,Productos!$A$2:$A1001,Productos!Y$2:Y1001,"")*$G366,"")</f>
        <v/>
      </c>
      <c r="AG366" s="179" t="str">
        <f t="array" ref="AG366">IF($F366&lt;&gt;"",XLOOKUP($F366,Productos!$A:$A,Productos!Z:Z,"Revisar"),"")</f>
        <v/>
      </c>
      <c r="AH366" s="179" t="str">
        <f t="array" ref="AH366">IF($F366&lt;&gt;"", XLOOKUP($F366,Productos!$A$2:$A1001,Productos!AA$2:AA1001,"")*$G366,"")</f>
        <v/>
      </c>
      <c r="AI366" s="179" t="str">
        <f t="array" ref="AI366">IF($F366&lt;&gt;"",XLOOKUP($F366,Productos!$A:$A,Productos!AB:AB,"Revisar"),"")</f>
        <v/>
      </c>
      <c r="AJ366" s="179" t="str">
        <f t="array" ref="AJ366">IF($F366&lt;&gt;"", XLOOKUP($F366,Productos!$A$2:$A1001,Productos!AC$2:AC1001,"")*$G366,"")</f>
        <v/>
      </c>
      <c r="AK366" s="179" t="str">
        <f t="array" ref="AK366">IF($F366&lt;&gt;"",XLOOKUP($F366,Productos!$A:$A,Productos!AD:AD,"Revisar"),"")</f>
        <v/>
      </c>
      <c r="AL366" s="179" t="str">
        <f t="array" ref="AL366">IF($F366&lt;&gt;"", XLOOKUP($F366,Productos!$A$2:$A1001,Productos!AE$2:AE1001,"")*$G366,"")</f>
        <v/>
      </c>
      <c r="AM366" s="179" t="str">
        <f t="array" ref="AM366">IF($F366&lt;&gt;"",XLOOKUP($F366,Productos!$A:$A,Productos!AF:AF,"Revisar"),"")</f>
        <v/>
      </c>
      <c r="AN366" s="179" t="str">
        <f t="array" ref="AN366">IF($F366&lt;&gt;"", XLOOKUP($F366,Productos!$A$2:$A1001,Productos!AG$2:AG1001,"")*$G366,"")</f>
        <v/>
      </c>
      <c r="AO366" s="179" t="str">
        <f t="array" ref="AO366">IF($F366&lt;&gt;"",XLOOKUP($F366,Productos!$A:$A,Productos!AH:AH,"Revisar"),"")</f>
        <v/>
      </c>
      <c r="AP366" s="179" t="str">
        <f t="array" ref="AP366">IF($F366&lt;&gt;"", XLOOKUP($F366,Productos!$A$2:$A1001,Productos!AI$2:AI1001,"")*$G366,"")</f>
        <v/>
      </c>
      <c r="AQ366" s="179" t="str">
        <f t="array" ref="AQ366">IF($F366&lt;&gt;"",XLOOKUP($F366,Productos!$A:$A,Productos!AJ:AJ,"Revisar"),"")</f>
        <v/>
      </c>
      <c r="AR366" s="179" t="str">
        <f t="array" ref="AR366">IF($F366&lt;&gt;"", XLOOKUP($F366,Productos!$A$2:$A1001,Productos!AK$2:AK1001,"")*$G366,"")</f>
        <v/>
      </c>
      <c r="AS366" s="179" t="str">
        <f t="array" ref="AS366">IF($F366&lt;&gt;"",XLOOKUP($F366,Productos!$A:$A,Productos!AL:AL,"Revisar"),"")</f>
        <v/>
      </c>
      <c r="AT366" s="179" t="str">
        <f t="array" ref="AT366">IF($F366&lt;&gt;"", XLOOKUP($F366,Productos!$A$2:$A1001,Productos!AM$2:AM1001,"")*$G366,"")</f>
        <v/>
      </c>
      <c r="AU366" s="179" t="str">
        <f t="array" ref="AU366">IF($F366&lt;&gt;"",XLOOKUP($F366,Productos!$A:$A,Productos!AN:AN,"Revisar"),"")</f>
        <v/>
      </c>
      <c r="AV366" s="179" t="str">
        <f t="array" ref="AV366">IF($F366&lt;&gt;"", XLOOKUP($F366,Productos!$A$2:$A1001,Productos!AO$2:AO1001,"")*$G366,"")</f>
        <v/>
      </c>
      <c r="AW366" s="179" t="str">
        <f t="array" ref="AW366">IF($F366&lt;&gt;"",XLOOKUP($F366,Productos!$A:$A,Productos!AP:AP,"Revisar"),"")</f>
        <v/>
      </c>
      <c r="AX366" s="179" t="str">
        <f t="array" ref="AX366">IF($F366&lt;&gt;"", XLOOKUP($F366,Productos!$A$2:$A1001,Productos!AQ$2:AQ1001,"")*$G366,"")</f>
        <v/>
      </c>
      <c r="AY366" s="179" t="str">
        <f t="array" ref="AY366">IF($F366&lt;&gt;"",XLOOKUP($F366,Productos!$A:$A,Productos!AR:AR,"Revisar"),"")</f>
        <v/>
      </c>
      <c r="AZ366" s="179" t="str">
        <f t="array" ref="AZ366">IF($F366&lt;&gt;"", XLOOKUP($F366,Productos!$A$2:$A1001,Productos!AS$2:AS1001,"")*$G366,"")</f>
        <v/>
      </c>
      <c r="BA366" s="179" t="str">
        <f t="array" ref="BA366">IF($F366&lt;&gt;"",XLOOKUP($F366,Productos!$A:$A,Productos!AT:AT,"Revisar"),"")</f>
        <v/>
      </c>
      <c r="BB366" s="179" t="str">
        <f t="array" ref="BB366">IF($F366&lt;&gt;"", XLOOKUP($F366,Productos!$A$2:$A1001,Productos!AU$2:AU1001,"")*$G366,"")</f>
        <v/>
      </c>
      <c r="BC366" s="179" t="str">
        <f t="array" ref="BC366">IF($F366&lt;&gt;"",XLOOKUP($F366,Productos!$A:$A,Productos!AV:AV,"Revisar"),"")</f>
        <v/>
      </c>
      <c r="BD366" s="179" t="str">
        <f t="array" ref="BD366">IF($F366&lt;&gt;"", XLOOKUP($F366,Productos!$A$2:$A1001,Productos!AW$2:AW1001,"")*$G366,"")</f>
        <v/>
      </c>
      <c r="BE366" s="179" t="str">
        <f t="array" ref="BE366">IF($F366&lt;&gt;"",XLOOKUP($F366,Productos!$A:$A,Productos!AX:AX,"Revisar"),"")</f>
        <v/>
      </c>
      <c r="BF366" s="179" t="str">
        <f t="array" ref="BF366">IF($F366&lt;&gt;"", XLOOKUP($F366,Productos!$A$2:$A1001,Productos!AY$2:AY1001,"")*$G366,"")</f>
        <v/>
      </c>
      <c r="BG366" s="179" t="str">
        <f t="array" ref="BG366">IF($F366&lt;&gt;"",XLOOKUP($F366,Productos!$A:$A,Productos!AZ:AZ,"Revisar"),"")</f>
        <v/>
      </c>
      <c r="BH366" s="179" t="str">
        <f t="array" ref="BH366">IF($F366&lt;&gt;"", XLOOKUP($F366,Productos!$A$2:$A1001,Productos!BA$2:BA1001,"")*$G366,"")</f>
        <v/>
      </c>
      <c r="BI366" s="179" t="str">
        <f t="array" ref="BI366">IF($F366&lt;&gt;"",XLOOKUP($F366,Productos!$A:$A,Productos!BB:BB,"Revisar"),"")</f>
        <v/>
      </c>
      <c r="BJ366" s="179" t="str">
        <f t="array" ref="BJ366">IF($F366&lt;&gt;"", XLOOKUP($F366,Productos!$A$2:$A1001,Productos!BC$2:BC1001,"")*$G366,"")</f>
        <v/>
      </c>
      <c r="BK366" s="179" t="str">
        <f t="array" ref="BK366">IF($F366&lt;&gt;"",XLOOKUP($F366,Productos!$A:$A,Productos!BD:BD,"Revisar"),"")</f>
        <v/>
      </c>
      <c r="BL366" s="179" t="str">
        <f t="array" ref="BL366">IF($F366&lt;&gt;"", XLOOKUP($F366,Productos!$A$2:$A1001,Productos!BE$2:BE1001,"")*$G366,"")</f>
        <v/>
      </c>
      <c r="BM366" s="179" t="str">
        <f t="array" ref="BM366">IF($F366&lt;&gt;"",XLOOKUP($F366,Productos!$A:$A,Productos!BF:BF,"Revisar"),"")</f>
        <v/>
      </c>
      <c r="BN366" s="179" t="str">
        <f t="array" ref="BN366">IF($F366&lt;&gt;"", XLOOKUP($F366,Productos!$A$2:$A1001,Productos!BG$2:BG1001,"")*$G366,"")</f>
        <v/>
      </c>
      <c r="BO366" s="179" t="str">
        <f t="array" ref="BO366">IF($F366&lt;&gt;"",XLOOKUP($F366,Productos!$A:$A,Productos!BH:BH,"Revisar"),"")</f>
        <v/>
      </c>
      <c r="BP366" s="179" t="str">
        <f t="array" ref="BP366">IF($F366&lt;&gt;"", XLOOKUP($F366,Productos!$A$2:$A1001,Productos!BI$2:BI1001,"")*$G366,"")</f>
        <v/>
      </c>
      <c r="BQ366" s="179" t="str">
        <f t="array" ref="BQ366">IF($F366&lt;&gt;"",XLOOKUP($F366,Productos!$A:$A,Productos!BJ:BJ,"Revisar"),"")</f>
        <v/>
      </c>
      <c r="BR366" s="179" t="str">
        <f t="array" ref="BR366">IF($F366&lt;&gt;"", XLOOKUP($F366,Productos!$A$2:$A1001,Productos!BK$2:BK1001,"")*$G366,"")</f>
        <v/>
      </c>
      <c r="BS366" s="179" t="str">
        <f t="array" ref="BS366">IF($F366&lt;&gt;"",XLOOKUP($F366,Productos!$A:$A,Productos!BL:BL,"Revisar"),"")</f>
        <v/>
      </c>
      <c r="BT366" s="179" t="str">
        <f t="array" ref="BT366">IF($F366&lt;&gt;"", XLOOKUP($F366,Productos!$A$2:$A1001,Productos!BM$2:BM1001,"")*$G366,"")</f>
        <v/>
      </c>
      <c r="BU366" s="179" t="str">
        <f t="array" ref="BU366">IF($F366&lt;&gt;"",XLOOKUP($F366,Productos!$A:$A,Productos!BN:BN,"Revisar"),"")</f>
        <v/>
      </c>
      <c r="BV366" s="179" t="str">
        <f t="array" ref="BV366">IF($F366&lt;&gt;"", XLOOKUP($F366,Productos!$A$2:$A1001,Productos!BO$2:BO1001,"")*$G366,"")</f>
        <v/>
      </c>
      <c r="BW366" s="179" t="str">
        <f t="array" ref="BW366">IF($F366&lt;&gt;"",XLOOKUP($F366,Productos!$A:$A,Productos!BP:BP,"Revisar"),"")</f>
        <v/>
      </c>
      <c r="BX366" s="179" t="str">
        <f t="array" ref="BX366">IF($F366&lt;&gt;"", XLOOKUP($F366,Productos!$A$2:$A1001,Productos!BQ$2:BQ1001,"")*$G366,"")</f>
        <v/>
      </c>
      <c r="BY366" s="179" t="str">
        <f t="array" ref="BY366">IF($F366&lt;&gt;"",XLOOKUP($F366,Productos!$A:$A,Productos!BR:BR,"Revisar"),"")</f>
        <v/>
      </c>
      <c r="BZ366" s="179" t="str">
        <f t="array" ref="BZ366">IF($F366&lt;&gt;"", XLOOKUP($F366,Productos!$A$2:$A1001,Productos!BS$2:BS1001,"")*$G366,"")</f>
        <v/>
      </c>
    </row>
    <row r="367">
      <c r="A367" s="188"/>
      <c r="B367" s="189"/>
      <c r="C367" s="190"/>
      <c r="D367" s="190"/>
      <c r="E367" s="191"/>
      <c r="F367" s="186"/>
      <c r="G367" s="192"/>
      <c r="H367" s="9"/>
      <c r="I367" s="179" t="str">
        <f t="array" ref="I367">IF($F367&lt;&gt;"",XLOOKUP($F367,Productos!$A:$A,Productos!B:B,"Revisar"),"")</f>
        <v/>
      </c>
      <c r="J367" s="179" t="str">
        <f t="array" ref="J367">IF($F367&lt;&gt;"", XLOOKUP($F367,Productos!$A$2:$A1001,Productos!C$2:C1001,"")*$G367,"")</f>
        <v/>
      </c>
      <c r="K367" s="179" t="str">
        <f t="array" ref="K367">IF($F367&lt;&gt;"",XLOOKUP($F367,Productos!$A:$A,Productos!D:D,"Revisar"),"")</f>
        <v/>
      </c>
      <c r="L367" s="179" t="str">
        <f t="array" ref="L367">IF($F367&lt;&gt;"", XLOOKUP($F367,Productos!$A$2:$A1001,Productos!E$2:E1001,"")*$G367,"")</f>
        <v/>
      </c>
      <c r="M367" s="179" t="str">
        <f t="array" ref="M367">IF($F367&lt;&gt;"",XLOOKUP($F367,Productos!$A:$A,Productos!F:F,"Revisar"),"")</f>
        <v/>
      </c>
      <c r="N367" s="179" t="str">
        <f t="array" ref="N367">IF($F367&lt;&gt;"", XLOOKUP($F367,Productos!$A$2:$A1001,Productos!G$2:G1001,"")*$G367,"")</f>
        <v/>
      </c>
      <c r="O367" s="179" t="str">
        <f t="array" ref="O367">IF($F367&lt;&gt;"",XLOOKUP($F367,Productos!$A:$A,Productos!H:H,"Revisar"),"")</f>
        <v/>
      </c>
      <c r="P367" s="179" t="str">
        <f t="array" ref="P367">IF($F367&lt;&gt;"", XLOOKUP($F367,Productos!$A$2:$A1001,Productos!I$2:I1001,"")*$G367,"")</f>
        <v/>
      </c>
      <c r="Q367" s="179" t="str">
        <f t="array" ref="Q367">IF($F367&lt;&gt;"",XLOOKUP($F367,Productos!$A:$A,Productos!J:J,"Revisar"),"")</f>
        <v/>
      </c>
      <c r="R367" s="179" t="str">
        <f t="array" ref="R367">IF($F367&lt;&gt;"", XLOOKUP($F367,Productos!$A$2:$A1001,Productos!K$2:K1001,"")*$G367,"")</f>
        <v/>
      </c>
      <c r="S367" s="179" t="str">
        <f t="array" ref="S367">IF($F367&lt;&gt;"",XLOOKUP($F367,Productos!$A:$A,Productos!L:L,"Revisar"),"")</f>
        <v/>
      </c>
      <c r="T367" s="179" t="str">
        <f t="array" ref="T367">IF($F367&lt;&gt;"", XLOOKUP($F367,Productos!$A$2:$A1001,Productos!M$2:M1001,"")*$G367,"")</f>
        <v/>
      </c>
      <c r="U367" s="179" t="str">
        <f t="array" ref="U367">IF($F367&lt;&gt;"",XLOOKUP($F367,Productos!$A:$A,Productos!N:N,"Revisar"),"")</f>
        <v/>
      </c>
      <c r="V367" s="179" t="str">
        <f t="array" ref="V367">IF($F367&lt;&gt;"", XLOOKUP($F367,Productos!$A$2:$A1001,Productos!O$2:O1001,"")*$G367,"")</f>
        <v/>
      </c>
      <c r="W367" s="179" t="str">
        <f t="array" ref="W367">IF($F367&lt;&gt;"",XLOOKUP($F367,Productos!$A:$A,Productos!P:P,"Revisar"),"")</f>
        <v/>
      </c>
      <c r="X367" s="179" t="str">
        <f t="array" ref="X367">IF($F367&lt;&gt;"", XLOOKUP($F367,Productos!$A$2:$A1001,Productos!Q$2:Q1001,"")*$G367,"")</f>
        <v/>
      </c>
      <c r="Y367" s="179" t="str">
        <f t="array" ref="Y367">IF($F367&lt;&gt;"",XLOOKUP($F367,Productos!$A:$A,Productos!R:R,"Revisar"),"")</f>
        <v/>
      </c>
      <c r="Z367" s="179" t="str">
        <f t="array" ref="Z367">IF($F367&lt;&gt;"", XLOOKUP($F367,Productos!$A$2:$A1001,Productos!S$2:S1001,"")*$G367,"")</f>
        <v/>
      </c>
      <c r="AA367" s="179" t="str">
        <f t="array" ref="AA367">IF($F367&lt;&gt;"",XLOOKUP($F367,Productos!$A:$A,Productos!T:T,"Revisar"),"")</f>
        <v/>
      </c>
      <c r="AB367" s="179" t="str">
        <f t="array" ref="AB367">IF($F367&lt;&gt;"", XLOOKUP($F367,Productos!$A$2:$A1001,Productos!U$2:U1001,"")*$G367,"")</f>
        <v/>
      </c>
      <c r="AC367" s="179" t="str">
        <f t="array" ref="AC367">IF($F367&lt;&gt;"",XLOOKUP($F367,Productos!$A:$A,Productos!V:V,"Revisar"),"")</f>
        <v/>
      </c>
      <c r="AD367" s="179" t="str">
        <f t="array" ref="AD367">IF($F367&lt;&gt;"", XLOOKUP($F367,Productos!$A$2:$A1001,Productos!W$2:W1001,"")*$G367,"")</f>
        <v/>
      </c>
      <c r="AE367" s="179" t="str">
        <f t="array" ref="AE367">IF($F367&lt;&gt;"",XLOOKUP($F367,Productos!$A:$A,Productos!X:X,"Revisar"),"")</f>
        <v/>
      </c>
      <c r="AF367" s="179" t="str">
        <f t="array" ref="AF367">IF($F367&lt;&gt;"", XLOOKUP($F367,Productos!$A$2:$A1001,Productos!Y$2:Y1001,"")*$G367,"")</f>
        <v/>
      </c>
      <c r="AG367" s="179" t="str">
        <f t="array" ref="AG367">IF($F367&lt;&gt;"",XLOOKUP($F367,Productos!$A:$A,Productos!Z:Z,"Revisar"),"")</f>
        <v/>
      </c>
      <c r="AH367" s="179" t="str">
        <f t="array" ref="AH367">IF($F367&lt;&gt;"", XLOOKUP($F367,Productos!$A$2:$A1001,Productos!AA$2:AA1001,"")*$G367,"")</f>
        <v/>
      </c>
      <c r="AI367" s="179" t="str">
        <f t="array" ref="AI367">IF($F367&lt;&gt;"",XLOOKUP($F367,Productos!$A:$A,Productos!AB:AB,"Revisar"),"")</f>
        <v/>
      </c>
      <c r="AJ367" s="179" t="str">
        <f t="array" ref="AJ367">IF($F367&lt;&gt;"", XLOOKUP($F367,Productos!$A$2:$A1001,Productos!AC$2:AC1001,"")*$G367,"")</f>
        <v/>
      </c>
      <c r="AK367" s="179" t="str">
        <f t="array" ref="AK367">IF($F367&lt;&gt;"",XLOOKUP($F367,Productos!$A:$A,Productos!AD:AD,"Revisar"),"")</f>
        <v/>
      </c>
      <c r="AL367" s="179" t="str">
        <f t="array" ref="AL367">IF($F367&lt;&gt;"", XLOOKUP($F367,Productos!$A$2:$A1001,Productos!AE$2:AE1001,"")*$G367,"")</f>
        <v/>
      </c>
      <c r="AM367" s="179" t="str">
        <f t="array" ref="AM367">IF($F367&lt;&gt;"",XLOOKUP($F367,Productos!$A:$A,Productos!AF:AF,"Revisar"),"")</f>
        <v/>
      </c>
      <c r="AN367" s="179" t="str">
        <f t="array" ref="AN367">IF($F367&lt;&gt;"", XLOOKUP($F367,Productos!$A$2:$A1001,Productos!AG$2:AG1001,"")*$G367,"")</f>
        <v/>
      </c>
      <c r="AO367" s="179" t="str">
        <f t="array" ref="AO367">IF($F367&lt;&gt;"",XLOOKUP($F367,Productos!$A:$A,Productos!AH:AH,"Revisar"),"")</f>
        <v/>
      </c>
      <c r="AP367" s="179" t="str">
        <f t="array" ref="AP367">IF($F367&lt;&gt;"", XLOOKUP($F367,Productos!$A$2:$A1001,Productos!AI$2:AI1001,"")*$G367,"")</f>
        <v/>
      </c>
      <c r="AQ367" s="179" t="str">
        <f t="array" ref="AQ367">IF($F367&lt;&gt;"",XLOOKUP($F367,Productos!$A:$A,Productos!AJ:AJ,"Revisar"),"")</f>
        <v/>
      </c>
      <c r="AR367" s="179" t="str">
        <f t="array" ref="AR367">IF($F367&lt;&gt;"", XLOOKUP($F367,Productos!$A$2:$A1001,Productos!AK$2:AK1001,"")*$G367,"")</f>
        <v/>
      </c>
      <c r="AS367" s="179" t="str">
        <f t="array" ref="AS367">IF($F367&lt;&gt;"",XLOOKUP($F367,Productos!$A:$A,Productos!AL:AL,"Revisar"),"")</f>
        <v/>
      </c>
      <c r="AT367" s="179" t="str">
        <f t="array" ref="AT367">IF($F367&lt;&gt;"", XLOOKUP($F367,Productos!$A$2:$A1001,Productos!AM$2:AM1001,"")*$G367,"")</f>
        <v/>
      </c>
      <c r="AU367" s="179" t="str">
        <f t="array" ref="AU367">IF($F367&lt;&gt;"",XLOOKUP($F367,Productos!$A:$A,Productos!AN:AN,"Revisar"),"")</f>
        <v/>
      </c>
      <c r="AV367" s="179" t="str">
        <f t="array" ref="AV367">IF($F367&lt;&gt;"", XLOOKUP($F367,Productos!$A$2:$A1001,Productos!AO$2:AO1001,"")*$G367,"")</f>
        <v/>
      </c>
      <c r="AW367" s="179" t="str">
        <f t="array" ref="AW367">IF($F367&lt;&gt;"",XLOOKUP($F367,Productos!$A:$A,Productos!AP:AP,"Revisar"),"")</f>
        <v/>
      </c>
      <c r="AX367" s="179" t="str">
        <f t="array" ref="AX367">IF($F367&lt;&gt;"", XLOOKUP($F367,Productos!$A$2:$A1001,Productos!AQ$2:AQ1001,"")*$G367,"")</f>
        <v/>
      </c>
      <c r="AY367" s="179" t="str">
        <f t="array" ref="AY367">IF($F367&lt;&gt;"",XLOOKUP($F367,Productos!$A:$A,Productos!AR:AR,"Revisar"),"")</f>
        <v/>
      </c>
      <c r="AZ367" s="179" t="str">
        <f t="array" ref="AZ367">IF($F367&lt;&gt;"", XLOOKUP($F367,Productos!$A$2:$A1001,Productos!AS$2:AS1001,"")*$G367,"")</f>
        <v/>
      </c>
      <c r="BA367" s="179" t="str">
        <f t="array" ref="BA367">IF($F367&lt;&gt;"",XLOOKUP($F367,Productos!$A:$A,Productos!AT:AT,"Revisar"),"")</f>
        <v/>
      </c>
      <c r="BB367" s="179" t="str">
        <f t="array" ref="BB367">IF($F367&lt;&gt;"", XLOOKUP($F367,Productos!$A$2:$A1001,Productos!AU$2:AU1001,"")*$G367,"")</f>
        <v/>
      </c>
      <c r="BC367" s="179" t="str">
        <f t="array" ref="BC367">IF($F367&lt;&gt;"",XLOOKUP($F367,Productos!$A:$A,Productos!AV:AV,"Revisar"),"")</f>
        <v/>
      </c>
      <c r="BD367" s="179" t="str">
        <f t="array" ref="BD367">IF($F367&lt;&gt;"", XLOOKUP($F367,Productos!$A$2:$A1001,Productos!AW$2:AW1001,"")*$G367,"")</f>
        <v/>
      </c>
      <c r="BE367" s="179" t="str">
        <f t="array" ref="BE367">IF($F367&lt;&gt;"",XLOOKUP($F367,Productos!$A:$A,Productos!AX:AX,"Revisar"),"")</f>
        <v/>
      </c>
      <c r="BF367" s="179" t="str">
        <f t="array" ref="BF367">IF($F367&lt;&gt;"", XLOOKUP($F367,Productos!$A$2:$A1001,Productos!AY$2:AY1001,"")*$G367,"")</f>
        <v/>
      </c>
      <c r="BG367" s="179" t="str">
        <f t="array" ref="BG367">IF($F367&lt;&gt;"",XLOOKUP($F367,Productos!$A:$A,Productos!AZ:AZ,"Revisar"),"")</f>
        <v/>
      </c>
      <c r="BH367" s="179" t="str">
        <f t="array" ref="BH367">IF($F367&lt;&gt;"", XLOOKUP($F367,Productos!$A$2:$A1001,Productos!BA$2:BA1001,"")*$G367,"")</f>
        <v/>
      </c>
      <c r="BI367" s="179" t="str">
        <f t="array" ref="BI367">IF($F367&lt;&gt;"",XLOOKUP($F367,Productos!$A:$A,Productos!BB:BB,"Revisar"),"")</f>
        <v/>
      </c>
      <c r="BJ367" s="179" t="str">
        <f t="array" ref="BJ367">IF($F367&lt;&gt;"", XLOOKUP($F367,Productos!$A$2:$A1001,Productos!BC$2:BC1001,"")*$G367,"")</f>
        <v/>
      </c>
      <c r="BK367" s="179" t="str">
        <f t="array" ref="BK367">IF($F367&lt;&gt;"",XLOOKUP($F367,Productos!$A:$A,Productos!BD:BD,"Revisar"),"")</f>
        <v/>
      </c>
      <c r="BL367" s="179" t="str">
        <f t="array" ref="BL367">IF($F367&lt;&gt;"", XLOOKUP($F367,Productos!$A$2:$A1001,Productos!BE$2:BE1001,"")*$G367,"")</f>
        <v/>
      </c>
      <c r="BM367" s="179" t="str">
        <f t="array" ref="BM367">IF($F367&lt;&gt;"",XLOOKUP($F367,Productos!$A:$A,Productos!BF:BF,"Revisar"),"")</f>
        <v/>
      </c>
      <c r="BN367" s="179" t="str">
        <f t="array" ref="BN367">IF($F367&lt;&gt;"", XLOOKUP($F367,Productos!$A$2:$A1001,Productos!BG$2:BG1001,"")*$G367,"")</f>
        <v/>
      </c>
      <c r="BO367" s="179" t="str">
        <f t="array" ref="BO367">IF($F367&lt;&gt;"",XLOOKUP($F367,Productos!$A:$A,Productos!BH:BH,"Revisar"),"")</f>
        <v/>
      </c>
      <c r="BP367" s="179" t="str">
        <f t="array" ref="BP367">IF($F367&lt;&gt;"", XLOOKUP($F367,Productos!$A$2:$A1001,Productos!BI$2:BI1001,"")*$G367,"")</f>
        <v/>
      </c>
      <c r="BQ367" s="179" t="str">
        <f t="array" ref="BQ367">IF($F367&lt;&gt;"",XLOOKUP($F367,Productos!$A:$A,Productos!BJ:BJ,"Revisar"),"")</f>
        <v/>
      </c>
      <c r="BR367" s="179" t="str">
        <f t="array" ref="BR367">IF($F367&lt;&gt;"", XLOOKUP($F367,Productos!$A$2:$A1001,Productos!BK$2:BK1001,"")*$G367,"")</f>
        <v/>
      </c>
      <c r="BS367" s="179" t="str">
        <f t="array" ref="BS367">IF($F367&lt;&gt;"",XLOOKUP($F367,Productos!$A:$A,Productos!BL:BL,"Revisar"),"")</f>
        <v/>
      </c>
      <c r="BT367" s="179" t="str">
        <f t="array" ref="BT367">IF($F367&lt;&gt;"", XLOOKUP($F367,Productos!$A$2:$A1001,Productos!BM$2:BM1001,"")*$G367,"")</f>
        <v/>
      </c>
      <c r="BU367" s="179" t="str">
        <f t="array" ref="BU367">IF($F367&lt;&gt;"",XLOOKUP($F367,Productos!$A:$A,Productos!BN:BN,"Revisar"),"")</f>
        <v/>
      </c>
      <c r="BV367" s="179" t="str">
        <f t="array" ref="BV367">IF($F367&lt;&gt;"", XLOOKUP($F367,Productos!$A$2:$A1001,Productos!BO$2:BO1001,"")*$G367,"")</f>
        <v/>
      </c>
      <c r="BW367" s="179" t="str">
        <f t="array" ref="BW367">IF($F367&lt;&gt;"",XLOOKUP($F367,Productos!$A:$A,Productos!BP:BP,"Revisar"),"")</f>
        <v/>
      </c>
      <c r="BX367" s="179" t="str">
        <f t="array" ref="BX367">IF($F367&lt;&gt;"", XLOOKUP($F367,Productos!$A$2:$A1001,Productos!BQ$2:BQ1001,"")*$G367,"")</f>
        <v/>
      </c>
      <c r="BY367" s="179" t="str">
        <f t="array" ref="BY367">IF($F367&lt;&gt;"",XLOOKUP($F367,Productos!$A:$A,Productos!BR:BR,"Revisar"),"")</f>
        <v/>
      </c>
      <c r="BZ367" s="179" t="str">
        <f t="array" ref="BZ367">IF($F367&lt;&gt;"", XLOOKUP($F367,Productos!$A$2:$A1001,Productos!BS$2:BS1001,"")*$G367,"")</f>
        <v/>
      </c>
    </row>
    <row r="368">
      <c r="A368" s="188"/>
      <c r="B368" s="189"/>
      <c r="C368" s="190"/>
      <c r="D368" s="190"/>
      <c r="E368" s="191"/>
      <c r="F368" s="186"/>
      <c r="G368" s="192"/>
      <c r="H368" s="9"/>
      <c r="I368" s="179" t="str">
        <f t="array" ref="I368">IF($F368&lt;&gt;"",XLOOKUP($F368,Productos!$A:$A,Productos!B:B,"Revisar"),"")</f>
        <v/>
      </c>
      <c r="J368" s="179" t="str">
        <f t="array" ref="J368">IF($F368&lt;&gt;"", XLOOKUP($F368,Productos!$A$2:$A1001,Productos!C$2:C1001,"")*$G368,"")</f>
        <v/>
      </c>
      <c r="K368" s="179" t="str">
        <f t="array" ref="K368">IF($F368&lt;&gt;"",XLOOKUP($F368,Productos!$A:$A,Productos!D:D,"Revisar"),"")</f>
        <v/>
      </c>
      <c r="L368" s="179" t="str">
        <f t="array" ref="L368">IF($F368&lt;&gt;"", XLOOKUP($F368,Productos!$A$2:$A1001,Productos!E$2:E1001,"")*$G368,"")</f>
        <v/>
      </c>
      <c r="M368" s="179" t="str">
        <f t="array" ref="M368">IF($F368&lt;&gt;"",XLOOKUP($F368,Productos!$A:$A,Productos!F:F,"Revisar"),"")</f>
        <v/>
      </c>
      <c r="N368" s="179" t="str">
        <f t="array" ref="N368">IF($F368&lt;&gt;"", XLOOKUP($F368,Productos!$A$2:$A1001,Productos!G$2:G1001,"")*$G368,"")</f>
        <v/>
      </c>
      <c r="O368" s="179" t="str">
        <f t="array" ref="O368">IF($F368&lt;&gt;"",XLOOKUP($F368,Productos!$A:$A,Productos!H:H,"Revisar"),"")</f>
        <v/>
      </c>
      <c r="P368" s="179" t="str">
        <f t="array" ref="P368">IF($F368&lt;&gt;"", XLOOKUP($F368,Productos!$A$2:$A1001,Productos!I$2:I1001,"")*$G368,"")</f>
        <v/>
      </c>
      <c r="Q368" s="179" t="str">
        <f t="array" ref="Q368">IF($F368&lt;&gt;"",XLOOKUP($F368,Productos!$A:$A,Productos!J:J,"Revisar"),"")</f>
        <v/>
      </c>
      <c r="R368" s="179" t="str">
        <f t="array" ref="R368">IF($F368&lt;&gt;"", XLOOKUP($F368,Productos!$A$2:$A1001,Productos!K$2:K1001,"")*$G368,"")</f>
        <v/>
      </c>
      <c r="S368" s="179" t="str">
        <f t="array" ref="S368">IF($F368&lt;&gt;"",XLOOKUP($F368,Productos!$A:$A,Productos!L:L,"Revisar"),"")</f>
        <v/>
      </c>
      <c r="T368" s="179" t="str">
        <f t="array" ref="T368">IF($F368&lt;&gt;"", XLOOKUP($F368,Productos!$A$2:$A1001,Productos!M$2:M1001,"")*$G368,"")</f>
        <v/>
      </c>
      <c r="U368" s="179" t="str">
        <f t="array" ref="U368">IF($F368&lt;&gt;"",XLOOKUP($F368,Productos!$A:$A,Productos!N:N,"Revisar"),"")</f>
        <v/>
      </c>
      <c r="V368" s="179" t="str">
        <f t="array" ref="V368">IF($F368&lt;&gt;"", XLOOKUP($F368,Productos!$A$2:$A1001,Productos!O$2:O1001,"")*$G368,"")</f>
        <v/>
      </c>
      <c r="W368" s="179" t="str">
        <f t="array" ref="W368">IF($F368&lt;&gt;"",XLOOKUP($F368,Productos!$A:$A,Productos!P:P,"Revisar"),"")</f>
        <v/>
      </c>
      <c r="X368" s="179" t="str">
        <f t="array" ref="X368">IF($F368&lt;&gt;"", XLOOKUP($F368,Productos!$A$2:$A1001,Productos!Q$2:Q1001,"")*$G368,"")</f>
        <v/>
      </c>
      <c r="Y368" s="179" t="str">
        <f t="array" ref="Y368">IF($F368&lt;&gt;"",XLOOKUP($F368,Productos!$A:$A,Productos!R:R,"Revisar"),"")</f>
        <v/>
      </c>
      <c r="Z368" s="179" t="str">
        <f t="array" ref="Z368">IF($F368&lt;&gt;"", XLOOKUP($F368,Productos!$A$2:$A1001,Productos!S$2:S1001,"")*$G368,"")</f>
        <v/>
      </c>
      <c r="AA368" s="179" t="str">
        <f t="array" ref="AA368">IF($F368&lt;&gt;"",XLOOKUP($F368,Productos!$A:$A,Productos!T:T,"Revisar"),"")</f>
        <v/>
      </c>
      <c r="AB368" s="179" t="str">
        <f t="array" ref="AB368">IF($F368&lt;&gt;"", XLOOKUP($F368,Productos!$A$2:$A1001,Productos!U$2:U1001,"")*$G368,"")</f>
        <v/>
      </c>
      <c r="AC368" s="179" t="str">
        <f t="array" ref="AC368">IF($F368&lt;&gt;"",XLOOKUP($F368,Productos!$A:$A,Productos!V:V,"Revisar"),"")</f>
        <v/>
      </c>
      <c r="AD368" s="179" t="str">
        <f t="array" ref="AD368">IF($F368&lt;&gt;"", XLOOKUP($F368,Productos!$A$2:$A1001,Productos!W$2:W1001,"")*$G368,"")</f>
        <v/>
      </c>
      <c r="AE368" s="179" t="str">
        <f t="array" ref="AE368">IF($F368&lt;&gt;"",XLOOKUP($F368,Productos!$A:$A,Productos!X:X,"Revisar"),"")</f>
        <v/>
      </c>
      <c r="AF368" s="179" t="str">
        <f t="array" ref="AF368">IF($F368&lt;&gt;"", XLOOKUP($F368,Productos!$A$2:$A1001,Productos!Y$2:Y1001,"")*$G368,"")</f>
        <v/>
      </c>
      <c r="AG368" s="179" t="str">
        <f t="array" ref="AG368">IF($F368&lt;&gt;"",XLOOKUP($F368,Productos!$A:$A,Productos!Z:Z,"Revisar"),"")</f>
        <v/>
      </c>
      <c r="AH368" s="179" t="str">
        <f t="array" ref="AH368">IF($F368&lt;&gt;"", XLOOKUP($F368,Productos!$A$2:$A1001,Productos!AA$2:AA1001,"")*$G368,"")</f>
        <v/>
      </c>
      <c r="AI368" s="179" t="str">
        <f t="array" ref="AI368">IF($F368&lt;&gt;"",XLOOKUP($F368,Productos!$A:$A,Productos!AB:AB,"Revisar"),"")</f>
        <v/>
      </c>
      <c r="AJ368" s="179" t="str">
        <f t="array" ref="AJ368">IF($F368&lt;&gt;"", XLOOKUP($F368,Productos!$A$2:$A1001,Productos!AC$2:AC1001,"")*$G368,"")</f>
        <v/>
      </c>
      <c r="AK368" s="179" t="str">
        <f t="array" ref="AK368">IF($F368&lt;&gt;"",XLOOKUP($F368,Productos!$A:$A,Productos!AD:AD,"Revisar"),"")</f>
        <v/>
      </c>
      <c r="AL368" s="179" t="str">
        <f t="array" ref="AL368">IF($F368&lt;&gt;"", XLOOKUP($F368,Productos!$A$2:$A1001,Productos!AE$2:AE1001,"")*$G368,"")</f>
        <v/>
      </c>
      <c r="AM368" s="179" t="str">
        <f t="array" ref="AM368">IF($F368&lt;&gt;"",XLOOKUP($F368,Productos!$A:$A,Productos!AF:AF,"Revisar"),"")</f>
        <v/>
      </c>
      <c r="AN368" s="179" t="str">
        <f t="array" ref="AN368">IF($F368&lt;&gt;"", XLOOKUP($F368,Productos!$A$2:$A1001,Productos!AG$2:AG1001,"")*$G368,"")</f>
        <v/>
      </c>
      <c r="AO368" s="179" t="str">
        <f t="array" ref="AO368">IF($F368&lt;&gt;"",XLOOKUP($F368,Productos!$A:$A,Productos!AH:AH,"Revisar"),"")</f>
        <v/>
      </c>
      <c r="AP368" s="179" t="str">
        <f t="array" ref="AP368">IF($F368&lt;&gt;"", XLOOKUP($F368,Productos!$A$2:$A1001,Productos!AI$2:AI1001,"")*$G368,"")</f>
        <v/>
      </c>
      <c r="AQ368" s="179" t="str">
        <f t="array" ref="AQ368">IF($F368&lt;&gt;"",XLOOKUP($F368,Productos!$A:$A,Productos!AJ:AJ,"Revisar"),"")</f>
        <v/>
      </c>
      <c r="AR368" s="179" t="str">
        <f t="array" ref="AR368">IF($F368&lt;&gt;"", XLOOKUP($F368,Productos!$A$2:$A1001,Productos!AK$2:AK1001,"")*$G368,"")</f>
        <v/>
      </c>
      <c r="AS368" s="179" t="str">
        <f t="array" ref="AS368">IF($F368&lt;&gt;"",XLOOKUP($F368,Productos!$A:$A,Productos!AL:AL,"Revisar"),"")</f>
        <v/>
      </c>
      <c r="AT368" s="179" t="str">
        <f t="array" ref="AT368">IF($F368&lt;&gt;"", XLOOKUP($F368,Productos!$A$2:$A1001,Productos!AM$2:AM1001,"")*$G368,"")</f>
        <v/>
      </c>
      <c r="AU368" s="179" t="str">
        <f t="array" ref="AU368">IF($F368&lt;&gt;"",XLOOKUP($F368,Productos!$A:$A,Productos!AN:AN,"Revisar"),"")</f>
        <v/>
      </c>
      <c r="AV368" s="179" t="str">
        <f t="array" ref="AV368">IF($F368&lt;&gt;"", XLOOKUP($F368,Productos!$A$2:$A1001,Productos!AO$2:AO1001,"")*$G368,"")</f>
        <v/>
      </c>
      <c r="AW368" s="179" t="str">
        <f t="array" ref="AW368">IF($F368&lt;&gt;"",XLOOKUP($F368,Productos!$A:$A,Productos!AP:AP,"Revisar"),"")</f>
        <v/>
      </c>
      <c r="AX368" s="179" t="str">
        <f t="array" ref="AX368">IF($F368&lt;&gt;"", XLOOKUP($F368,Productos!$A$2:$A1001,Productos!AQ$2:AQ1001,"")*$G368,"")</f>
        <v/>
      </c>
      <c r="AY368" s="179" t="str">
        <f t="array" ref="AY368">IF($F368&lt;&gt;"",XLOOKUP($F368,Productos!$A:$A,Productos!AR:AR,"Revisar"),"")</f>
        <v/>
      </c>
      <c r="AZ368" s="179" t="str">
        <f t="array" ref="AZ368">IF($F368&lt;&gt;"", XLOOKUP($F368,Productos!$A$2:$A1001,Productos!AS$2:AS1001,"")*$G368,"")</f>
        <v/>
      </c>
      <c r="BA368" s="179" t="str">
        <f t="array" ref="BA368">IF($F368&lt;&gt;"",XLOOKUP($F368,Productos!$A:$A,Productos!AT:AT,"Revisar"),"")</f>
        <v/>
      </c>
      <c r="BB368" s="179" t="str">
        <f t="array" ref="BB368">IF($F368&lt;&gt;"", XLOOKUP($F368,Productos!$A$2:$A1001,Productos!AU$2:AU1001,"")*$G368,"")</f>
        <v/>
      </c>
      <c r="BC368" s="179" t="str">
        <f t="array" ref="BC368">IF($F368&lt;&gt;"",XLOOKUP($F368,Productos!$A:$A,Productos!AV:AV,"Revisar"),"")</f>
        <v/>
      </c>
      <c r="BD368" s="179" t="str">
        <f t="array" ref="BD368">IF($F368&lt;&gt;"", XLOOKUP($F368,Productos!$A$2:$A1001,Productos!AW$2:AW1001,"")*$G368,"")</f>
        <v/>
      </c>
      <c r="BE368" s="179" t="str">
        <f t="array" ref="BE368">IF($F368&lt;&gt;"",XLOOKUP($F368,Productos!$A:$A,Productos!AX:AX,"Revisar"),"")</f>
        <v/>
      </c>
      <c r="BF368" s="179" t="str">
        <f t="array" ref="BF368">IF($F368&lt;&gt;"", XLOOKUP($F368,Productos!$A$2:$A1001,Productos!AY$2:AY1001,"")*$G368,"")</f>
        <v/>
      </c>
      <c r="BG368" s="179" t="str">
        <f t="array" ref="BG368">IF($F368&lt;&gt;"",XLOOKUP($F368,Productos!$A:$A,Productos!AZ:AZ,"Revisar"),"")</f>
        <v/>
      </c>
      <c r="BH368" s="179" t="str">
        <f t="array" ref="BH368">IF($F368&lt;&gt;"", XLOOKUP($F368,Productos!$A$2:$A1001,Productos!BA$2:BA1001,"")*$G368,"")</f>
        <v/>
      </c>
      <c r="BI368" s="179" t="str">
        <f t="array" ref="BI368">IF($F368&lt;&gt;"",XLOOKUP($F368,Productos!$A:$A,Productos!BB:BB,"Revisar"),"")</f>
        <v/>
      </c>
      <c r="BJ368" s="179" t="str">
        <f t="array" ref="BJ368">IF($F368&lt;&gt;"", XLOOKUP($F368,Productos!$A$2:$A1001,Productos!BC$2:BC1001,"")*$G368,"")</f>
        <v/>
      </c>
      <c r="BK368" s="179" t="str">
        <f t="array" ref="BK368">IF($F368&lt;&gt;"",XLOOKUP($F368,Productos!$A:$A,Productos!BD:BD,"Revisar"),"")</f>
        <v/>
      </c>
      <c r="BL368" s="179" t="str">
        <f t="array" ref="BL368">IF($F368&lt;&gt;"", XLOOKUP($F368,Productos!$A$2:$A1001,Productos!BE$2:BE1001,"")*$G368,"")</f>
        <v/>
      </c>
      <c r="BM368" s="179" t="str">
        <f t="array" ref="BM368">IF($F368&lt;&gt;"",XLOOKUP($F368,Productos!$A:$A,Productos!BF:BF,"Revisar"),"")</f>
        <v/>
      </c>
      <c r="BN368" s="179" t="str">
        <f t="array" ref="BN368">IF($F368&lt;&gt;"", XLOOKUP($F368,Productos!$A$2:$A1001,Productos!BG$2:BG1001,"")*$G368,"")</f>
        <v/>
      </c>
      <c r="BO368" s="179" t="str">
        <f t="array" ref="BO368">IF($F368&lt;&gt;"",XLOOKUP($F368,Productos!$A:$A,Productos!BH:BH,"Revisar"),"")</f>
        <v/>
      </c>
      <c r="BP368" s="179" t="str">
        <f t="array" ref="BP368">IF($F368&lt;&gt;"", XLOOKUP($F368,Productos!$A$2:$A1001,Productos!BI$2:BI1001,"")*$G368,"")</f>
        <v/>
      </c>
      <c r="BQ368" s="179" t="str">
        <f t="array" ref="BQ368">IF($F368&lt;&gt;"",XLOOKUP($F368,Productos!$A:$A,Productos!BJ:BJ,"Revisar"),"")</f>
        <v/>
      </c>
      <c r="BR368" s="179" t="str">
        <f t="array" ref="BR368">IF($F368&lt;&gt;"", XLOOKUP($F368,Productos!$A$2:$A1001,Productos!BK$2:BK1001,"")*$G368,"")</f>
        <v/>
      </c>
      <c r="BS368" s="179" t="str">
        <f t="array" ref="BS368">IF($F368&lt;&gt;"",XLOOKUP($F368,Productos!$A:$A,Productos!BL:BL,"Revisar"),"")</f>
        <v/>
      </c>
      <c r="BT368" s="179" t="str">
        <f t="array" ref="BT368">IF($F368&lt;&gt;"", XLOOKUP($F368,Productos!$A$2:$A1001,Productos!BM$2:BM1001,"")*$G368,"")</f>
        <v/>
      </c>
      <c r="BU368" s="179" t="str">
        <f t="array" ref="BU368">IF($F368&lt;&gt;"",XLOOKUP($F368,Productos!$A:$A,Productos!BN:BN,"Revisar"),"")</f>
        <v/>
      </c>
      <c r="BV368" s="179" t="str">
        <f t="array" ref="BV368">IF($F368&lt;&gt;"", XLOOKUP($F368,Productos!$A$2:$A1001,Productos!BO$2:BO1001,"")*$G368,"")</f>
        <v/>
      </c>
      <c r="BW368" s="179" t="str">
        <f t="array" ref="BW368">IF($F368&lt;&gt;"",XLOOKUP($F368,Productos!$A:$A,Productos!BP:BP,"Revisar"),"")</f>
        <v/>
      </c>
      <c r="BX368" s="179" t="str">
        <f t="array" ref="BX368">IF($F368&lt;&gt;"", XLOOKUP($F368,Productos!$A$2:$A1001,Productos!BQ$2:BQ1001,"")*$G368,"")</f>
        <v/>
      </c>
      <c r="BY368" s="179" t="str">
        <f t="array" ref="BY368">IF($F368&lt;&gt;"",XLOOKUP($F368,Productos!$A:$A,Productos!BR:BR,"Revisar"),"")</f>
        <v/>
      </c>
      <c r="BZ368" s="179" t="str">
        <f t="array" ref="BZ368">IF($F368&lt;&gt;"", XLOOKUP($F368,Productos!$A$2:$A1001,Productos!BS$2:BS1001,"")*$G368,"")</f>
        <v/>
      </c>
    </row>
    <row r="369">
      <c r="A369" s="188"/>
      <c r="B369" s="189"/>
      <c r="C369" s="190"/>
      <c r="D369" s="190"/>
      <c r="E369" s="191"/>
      <c r="F369" s="186"/>
      <c r="G369" s="192"/>
      <c r="H369" s="9"/>
      <c r="I369" s="179" t="str">
        <f t="array" ref="I369">IF($F369&lt;&gt;"",XLOOKUP($F369,Productos!$A:$A,Productos!B:B,"Revisar"),"")</f>
        <v/>
      </c>
      <c r="J369" s="179" t="str">
        <f t="array" ref="J369">IF($F369&lt;&gt;"", XLOOKUP($F369,Productos!$A$2:$A1001,Productos!C$2:C1001,"")*$G369,"")</f>
        <v/>
      </c>
      <c r="K369" s="179" t="str">
        <f t="array" ref="K369">IF($F369&lt;&gt;"",XLOOKUP($F369,Productos!$A:$A,Productos!D:D,"Revisar"),"")</f>
        <v/>
      </c>
      <c r="L369" s="179" t="str">
        <f t="array" ref="L369">IF($F369&lt;&gt;"", XLOOKUP($F369,Productos!$A$2:$A1001,Productos!E$2:E1001,"")*$G369,"")</f>
        <v/>
      </c>
      <c r="M369" s="179" t="str">
        <f t="array" ref="M369">IF($F369&lt;&gt;"",XLOOKUP($F369,Productos!$A:$A,Productos!F:F,"Revisar"),"")</f>
        <v/>
      </c>
      <c r="N369" s="179" t="str">
        <f t="array" ref="N369">IF($F369&lt;&gt;"", XLOOKUP($F369,Productos!$A$2:$A1001,Productos!G$2:G1001,"")*$G369,"")</f>
        <v/>
      </c>
      <c r="O369" s="179" t="str">
        <f t="array" ref="O369">IF($F369&lt;&gt;"",XLOOKUP($F369,Productos!$A:$A,Productos!H:H,"Revisar"),"")</f>
        <v/>
      </c>
      <c r="P369" s="179" t="str">
        <f t="array" ref="P369">IF($F369&lt;&gt;"", XLOOKUP($F369,Productos!$A$2:$A1001,Productos!I$2:I1001,"")*$G369,"")</f>
        <v/>
      </c>
      <c r="Q369" s="179" t="str">
        <f t="array" ref="Q369">IF($F369&lt;&gt;"",XLOOKUP($F369,Productos!$A:$A,Productos!J:J,"Revisar"),"")</f>
        <v/>
      </c>
      <c r="R369" s="179" t="str">
        <f t="array" ref="R369">IF($F369&lt;&gt;"", XLOOKUP($F369,Productos!$A$2:$A1001,Productos!K$2:K1001,"")*$G369,"")</f>
        <v/>
      </c>
      <c r="S369" s="179" t="str">
        <f t="array" ref="S369">IF($F369&lt;&gt;"",XLOOKUP($F369,Productos!$A:$A,Productos!L:L,"Revisar"),"")</f>
        <v/>
      </c>
      <c r="T369" s="179" t="str">
        <f t="array" ref="T369">IF($F369&lt;&gt;"", XLOOKUP($F369,Productos!$A$2:$A1001,Productos!M$2:M1001,"")*$G369,"")</f>
        <v/>
      </c>
      <c r="U369" s="179" t="str">
        <f t="array" ref="U369">IF($F369&lt;&gt;"",XLOOKUP($F369,Productos!$A:$A,Productos!N:N,"Revisar"),"")</f>
        <v/>
      </c>
      <c r="V369" s="179" t="str">
        <f t="array" ref="V369">IF($F369&lt;&gt;"", XLOOKUP($F369,Productos!$A$2:$A1001,Productos!O$2:O1001,"")*$G369,"")</f>
        <v/>
      </c>
      <c r="W369" s="179" t="str">
        <f t="array" ref="W369">IF($F369&lt;&gt;"",XLOOKUP($F369,Productos!$A:$A,Productos!P:P,"Revisar"),"")</f>
        <v/>
      </c>
      <c r="X369" s="179" t="str">
        <f t="array" ref="X369">IF($F369&lt;&gt;"", XLOOKUP($F369,Productos!$A$2:$A1001,Productos!Q$2:Q1001,"")*$G369,"")</f>
        <v/>
      </c>
      <c r="Y369" s="179" t="str">
        <f t="array" ref="Y369">IF($F369&lt;&gt;"",XLOOKUP($F369,Productos!$A:$A,Productos!R:R,"Revisar"),"")</f>
        <v/>
      </c>
      <c r="Z369" s="179" t="str">
        <f t="array" ref="Z369">IF($F369&lt;&gt;"", XLOOKUP($F369,Productos!$A$2:$A1001,Productos!S$2:S1001,"")*$G369,"")</f>
        <v/>
      </c>
      <c r="AA369" s="179" t="str">
        <f t="array" ref="AA369">IF($F369&lt;&gt;"",XLOOKUP($F369,Productos!$A:$A,Productos!T:T,"Revisar"),"")</f>
        <v/>
      </c>
      <c r="AB369" s="179" t="str">
        <f t="array" ref="AB369">IF($F369&lt;&gt;"", XLOOKUP($F369,Productos!$A$2:$A1001,Productos!U$2:U1001,"")*$G369,"")</f>
        <v/>
      </c>
      <c r="AC369" s="179" t="str">
        <f t="array" ref="AC369">IF($F369&lt;&gt;"",XLOOKUP($F369,Productos!$A:$A,Productos!V:V,"Revisar"),"")</f>
        <v/>
      </c>
      <c r="AD369" s="179" t="str">
        <f t="array" ref="AD369">IF($F369&lt;&gt;"", XLOOKUP($F369,Productos!$A$2:$A1001,Productos!W$2:W1001,"")*$G369,"")</f>
        <v/>
      </c>
      <c r="AE369" s="179" t="str">
        <f t="array" ref="AE369">IF($F369&lt;&gt;"",XLOOKUP($F369,Productos!$A:$A,Productos!X:X,"Revisar"),"")</f>
        <v/>
      </c>
      <c r="AF369" s="179" t="str">
        <f t="array" ref="AF369">IF($F369&lt;&gt;"", XLOOKUP($F369,Productos!$A$2:$A1001,Productos!Y$2:Y1001,"")*$G369,"")</f>
        <v/>
      </c>
      <c r="AG369" s="179" t="str">
        <f t="array" ref="AG369">IF($F369&lt;&gt;"",XLOOKUP($F369,Productos!$A:$A,Productos!Z:Z,"Revisar"),"")</f>
        <v/>
      </c>
      <c r="AH369" s="179" t="str">
        <f t="array" ref="AH369">IF($F369&lt;&gt;"", XLOOKUP($F369,Productos!$A$2:$A1001,Productos!AA$2:AA1001,"")*$G369,"")</f>
        <v/>
      </c>
      <c r="AI369" s="179" t="str">
        <f t="array" ref="AI369">IF($F369&lt;&gt;"",XLOOKUP($F369,Productos!$A:$A,Productos!AB:AB,"Revisar"),"")</f>
        <v/>
      </c>
      <c r="AJ369" s="179" t="str">
        <f t="array" ref="AJ369">IF($F369&lt;&gt;"", XLOOKUP($F369,Productos!$A$2:$A1001,Productos!AC$2:AC1001,"")*$G369,"")</f>
        <v/>
      </c>
      <c r="AK369" s="179" t="str">
        <f t="array" ref="AK369">IF($F369&lt;&gt;"",XLOOKUP($F369,Productos!$A:$A,Productos!AD:AD,"Revisar"),"")</f>
        <v/>
      </c>
      <c r="AL369" s="179" t="str">
        <f t="array" ref="AL369">IF($F369&lt;&gt;"", XLOOKUP($F369,Productos!$A$2:$A1001,Productos!AE$2:AE1001,"")*$G369,"")</f>
        <v/>
      </c>
      <c r="AM369" s="179" t="str">
        <f t="array" ref="AM369">IF($F369&lt;&gt;"",XLOOKUP($F369,Productos!$A:$A,Productos!AF:AF,"Revisar"),"")</f>
        <v/>
      </c>
      <c r="AN369" s="179" t="str">
        <f t="array" ref="AN369">IF($F369&lt;&gt;"", XLOOKUP($F369,Productos!$A$2:$A1001,Productos!AG$2:AG1001,"")*$G369,"")</f>
        <v/>
      </c>
      <c r="AO369" s="179" t="str">
        <f t="array" ref="AO369">IF($F369&lt;&gt;"",XLOOKUP($F369,Productos!$A:$A,Productos!AH:AH,"Revisar"),"")</f>
        <v/>
      </c>
      <c r="AP369" s="179" t="str">
        <f t="array" ref="AP369">IF($F369&lt;&gt;"", XLOOKUP($F369,Productos!$A$2:$A1001,Productos!AI$2:AI1001,"")*$G369,"")</f>
        <v/>
      </c>
      <c r="AQ369" s="179" t="str">
        <f t="array" ref="AQ369">IF($F369&lt;&gt;"",XLOOKUP($F369,Productos!$A:$A,Productos!AJ:AJ,"Revisar"),"")</f>
        <v/>
      </c>
      <c r="AR369" s="179" t="str">
        <f t="array" ref="AR369">IF($F369&lt;&gt;"", XLOOKUP($F369,Productos!$A$2:$A1001,Productos!AK$2:AK1001,"")*$G369,"")</f>
        <v/>
      </c>
      <c r="AS369" s="179" t="str">
        <f t="array" ref="AS369">IF($F369&lt;&gt;"",XLOOKUP($F369,Productos!$A:$A,Productos!AL:AL,"Revisar"),"")</f>
        <v/>
      </c>
      <c r="AT369" s="179" t="str">
        <f t="array" ref="AT369">IF($F369&lt;&gt;"", XLOOKUP($F369,Productos!$A$2:$A1001,Productos!AM$2:AM1001,"")*$G369,"")</f>
        <v/>
      </c>
      <c r="AU369" s="179" t="str">
        <f t="array" ref="AU369">IF($F369&lt;&gt;"",XLOOKUP($F369,Productos!$A:$A,Productos!AN:AN,"Revisar"),"")</f>
        <v/>
      </c>
      <c r="AV369" s="179" t="str">
        <f t="array" ref="AV369">IF($F369&lt;&gt;"", XLOOKUP($F369,Productos!$A$2:$A1001,Productos!AO$2:AO1001,"")*$G369,"")</f>
        <v/>
      </c>
      <c r="AW369" s="179" t="str">
        <f t="array" ref="AW369">IF($F369&lt;&gt;"",XLOOKUP($F369,Productos!$A:$A,Productos!AP:AP,"Revisar"),"")</f>
        <v/>
      </c>
      <c r="AX369" s="179" t="str">
        <f t="array" ref="AX369">IF($F369&lt;&gt;"", XLOOKUP($F369,Productos!$A$2:$A1001,Productos!AQ$2:AQ1001,"")*$G369,"")</f>
        <v/>
      </c>
      <c r="AY369" s="179" t="str">
        <f t="array" ref="AY369">IF($F369&lt;&gt;"",XLOOKUP($F369,Productos!$A:$A,Productos!AR:AR,"Revisar"),"")</f>
        <v/>
      </c>
      <c r="AZ369" s="179" t="str">
        <f t="array" ref="AZ369">IF($F369&lt;&gt;"", XLOOKUP($F369,Productos!$A$2:$A1001,Productos!AS$2:AS1001,"")*$G369,"")</f>
        <v/>
      </c>
      <c r="BA369" s="179" t="str">
        <f t="array" ref="BA369">IF($F369&lt;&gt;"",XLOOKUP($F369,Productos!$A:$A,Productos!AT:AT,"Revisar"),"")</f>
        <v/>
      </c>
      <c r="BB369" s="179" t="str">
        <f t="array" ref="BB369">IF($F369&lt;&gt;"", XLOOKUP($F369,Productos!$A$2:$A1001,Productos!AU$2:AU1001,"")*$G369,"")</f>
        <v/>
      </c>
      <c r="BC369" s="179" t="str">
        <f t="array" ref="BC369">IF($F369&lt;&gt;"",XLOOKUP($F369,Productos!$A:$A,Productos!AV:AV,"Revisar"),"")</f>
        <v/>
      </c>
      <c r="BD369" s="179" t="str">
        <f t="array" ref="BD369">IF($F369&lt;&gt;"", XLOOKUP($F369,Productos!$A$2:$A1001,Productos!AW$2:AW1001,"")*$G369,"")</f>
        <v/>
      </c>
      <c r="BE369" s="179" t="str">
        <f t="array" ref="BE369">IF($F369&lt;&gt;"",XLOOKUP($F369,Productos!$A:$A,Productos!AX:AX,"Revisar"),"")</f>
        <v/>
      </c>
      <c r="BF369" s="179" t="str">
        <f t="array" ref="BF369">IF($F369&lt;&gt;"", XLOOKUP($F369,Productos!$A$2:$A1001,Productos!AY$2:AY1001,"")*$G369,"")</f>
        <v/>
      </c>
      <c r="BG369" s="179" t="str">
        <f t="array" ref="BG369">IF($F369&lt;&gt;"",XLOOKUP($F369,Productos!$A:$A,Productos!AZ:AZ,"Revisar"),"")</f>
        <v/>
      </c>
      <c r="BH369" s="179" t="str">
        <f t="array" ref="BH369">IF($F369&lt;&gt;"", XLOOKUP($F369,Productos!$A$2:$A1001,Productos!BA$2:BA1001,"")*$G369,"")</f>
        <v/>
      </c>
      <c r="BI369" s="179" t="str">
        <f t="array" ref="BI369">IF($F369&lt;&gt;"",XLOOKUP($F369,Productos!$A:$A,Productos!BB:BB,"Revisar"),"")</f>
        <v/>
      </c>
      <c r="BJ369" s="179" t="str">
        <f t="array" ref="BJ369">IF($F369&lt;&gt;"", XLOOKUP($F369,Productos!$A$2:$A1001,Productos!BC$2:BC1001,"")*$G369,"")</f>
        <v/>
      </c>
      <c r="BK369" s="179" t="str">
        <f t="array" ref="BK369">IF($F369&lt;&gt;"",XLOOKUP($F369,Productos!$A:$A,Productos!BD:BD,"Revisar"),"")</f>
        <v/>
      </c>
      <c r="BL369" s="179" t="str">
        <f t="array" ref="BL369">IF($F369&lt;&gt;"", XLOOKUP($F369,Productos!$A$2:$A1001,Productos!BE$2:BE1001,"")*$G369,"")</f>
        <v/>
      </c>
      <c r="BM369" s="179" t="str">
        <f t="array" ref="BM369">IF($F369&lt;&gt;"",XLOOKUP($F369,Productos!$A:$A,Productos!BF:BF,"Revisar"),"")</f>
        <v/>
      </c>
      <c r="BN369" s="179" t="str">
        <f t="array" ref="BN369">IF($F369&lt;&gt;"", XLOOKUP($F369,Productos!$A$2:$A1001,Productos!BG$2:BG1001,"")*$G369,"")</f>
        <v/>
      </c>
      <c r="BO369" s="179" t="str">
        <f t="array" ref="BO369">IF($F369&lt;&gt;"",XLOOKUP($F369,Productos!$A:$A,Productos!BH:BH,"Revisar"),"")</f>
        <v/>
      </c>
      <c r="BP369" s="179" t="str">
        <f t="array" ref="BP369">IF($F369&lt;&gt;"", XLOOKUP($F369,Productos!$A$2:$A1001,Productos!BI$2:BI1001,"")*$G369,"")</f>
        <v/>
      </c>
      <c r="BQ369" s="179" t="str">
        <f t="array" ref="BQ369">IF($F369&lt;&gt;"",XLOOKUP($F369,Productos!$A:$A,Productos!BJ:BJ,"Revisar"),"")</f>
        <v/>
      </c>
      <c r="BR369" s="179" t="str">
        <f t="array" ref="BR369">IF($F369&lt;&gt;"", XLOOKUP($F369,Productos!$A$2:$A1001,Productos!BK$2:BK1001,"")*$G369,"")</f>
        <v/>
      </c>
      <c r="BS369" s="179" t="str">
        <f t="array" ref="BS369">IF($F369&lt;&gt;"",XLOOKUP($F369,Productos!$A:$A,Productos!BL:BL,"Revisar"),"")</f>
        <v/>
      </c>
      <c r="BT369" s="179" t="str">
        <f t="array" ref="BT369">IF($F369&lt;&gt;"", XLOOKUP($F369,Productos!$A$2:$A1001,Productos!BM$2:BM1001,"")*$G369,"")</f>
        <v/>
      </c>
      <c r="BU369" s="179" t="str">
        <f t="array" ref="BU369">IF($F369&lt;&gt;"",XLOOKUP($F369,Productos!$A:$A,Productos!BN:BN,"Revisar"),"")</f>
        <v/>
      </c>
      <c r="BV369" s="179" t="str">
        <f t="array" ref="BV369">IF($F369&lt;&gt;"", XLOOKUP($F369,Productos!$A$2:$A1001,Productos!BO$2:BO1001,"")*$G369,"")</f>
        <v/>
      </c>
      <c r="BW369" s="179" t="str">
        <f t="array" ref="BW369">IF($F369&lt;&gt;"",XLOOKUP($F369,Productos!$A:$A,Productos!BP:BP,"Revisar"),"")</f>
        <v/>
      </c>
      <c r="BX369" s="179" t="str">
        <f t="array" ref="BX369">IF($F369&lt;&gt;"", XLOOKUP($F369,Productos!$A$2:$A1001,Productos!BQ$2:BQ1001,"")*$G369,"")</f>
        <v/>
      </c>
      <c r="BY369" s="179" t="str">
        <f t="array" ref="BY369">IF($F369&lt;&gt;"",XLOOKUP($F369,Productos!$A:$A,Productos!BR:BR,"Revisar"),"")</f>
        <v/>
      </c>
      <c r="BZ369" s="179" t="str">
        <f t="array" ref="BZ369">IF($F369&lt;&gt;"", XLOOKUP($F369,Productos!$A$2:$A1001,Productos!BS$2:BS1001,"")*$G369,"")</f>
        <v/>
      </c>
    </row>
    <row r="370">
      <c r="A370" s="188"/>
      <c r="B370" s="189"/>
      <c r="C370" s="190"/>
      <c r="D370" s="190"/>
      <c r="E370" s="191"/>
      <c r="F370" s="186"/>
      <c r="G370" s="192"/>
      <c r="H370" s="9"/>
      <c r="I370" s="179" t="str">
        <f t="array" ref="I370">IF($F370&lt;&gt;"",XLOOKUP($F370,Productos!$A:$A,Productos!B:B,"Revisar"),"")</f>
        <v/>
      </c>
      <c r="J370" s="179" t="str">
        <f t="array" ref="J370">IF($F370&lt;&gt;"", XLOOKUP($F370,Productos!$A$2:$A1001,Productos!C$2:C1001,"")*$G370,"")</f>
        <v/>
      </c>
      <c r="K370" s="179" t="str">
        <f t="array" ref="K370">IF($F370&lt;&gt;"",XLOOKUP($F370,Productos!$A:$A,Productos!D:D,"Revisar"),"")</f>
        <v/>
      </c>
      <c r="L370" s="179" t="str">
        <f t="array" ref="L370">IF($F370&lt;&gt;"", XLOOKUP($F370,Productos!$A$2:$A1001,Productos!E$2:E1001,"")*$G370,"")</f>
        <v/>
      </c>
      <c r="M370" s="179" t="str">
        <f t="array" ref="M370">IF($F370&lt;&gt;"",XLOOKUP($F370,Productos!$A:$A,Productos!F:F,"Revisar"),"")</f>
        <v/>
      </c>
      <c r="N370" s="179" t="str">
        <f t="array" ref="N370">IF($F370&lt;&gt;"", XLOOKUP($F370,Productos!$A$2:$A1001,Productos!G$2:G1001,"")*$G370,"")</f>
        <v/>
      </c>
      <c r="O370" s="179" t="str">
        <f t="array" ref="O370">IF($F370&lt;&gt;"",XLOOKUP($F370,Productos!$A:$A,Productos!H:H,"Revisar"),"")</f>
        <v/>
      </c>
      <c r="P370" s="179" t="str">
        <f t="array" ref="P370">IF($F370&lt;&gt;"", XLOOKUP($F370,Productos!$A$2:$A1001,Productos!I$2:I1001,"")*$G370,"")</f>
        <v/>
      </c>
      <c r="Q370" s="179" t="str">
        <f t="array" ref="Q370">IF($F370&lt;&gt;"",XLOOKUP($F370,Productos!$A:$A,Productos!J:J,"Revisar"),"")</f>
        <v/>
      </c>
      <c r="R370" s="179" t="str">
        <f t="array" ref="R370">IF($F370&lt;&gt;"", XLOOKUP($F370,Productos!$A$2:$A1001,Productos!K$2:K1001,"")*$G370,"")</f>
        <v/>
      </c>
      <c r="S370" s="179" t="str">
        <f t="array" ref="S370">IF($F370&lt;&gt;"",XLOOKUP($F370,Productos!$A:$A,Productos!L:L,"Revisar"),"")</f>
        <v/>
      </c>
      <c r="T370" s="179" t="str">
        <f t="array" ref="T370">IF($F370&lt;&gt;"", XLOOKUP($F370,Productos!$A$2:$A1001,Productos!M$2:M1001,"")*$G370,"")</f>
        <v/>
      </c>
      <c r="U370" s="179" t="str">
        <f t="array" ref="U370">IF($F370&lt;&gt;"",XLOOKUP($F370,Productos!$A:$A,Productos!N:N,"Revisar"),"")</f>
        <v/>
      </c>
      <c r="V370" s="179" t="str">
        <f t="array" ref="V370">IF($F370&lt;&gt;"", XLOOKUP($F370,Productos!$A$2:$A1001,Productos!O$2:O1001,"")*$G370,"")</f>
        <v/>
      </c>
      <c r="W370" s="179" t="str">
        <f t="array" ref="W370">IF($F370&lt;&gt;"",XLOOKUP($F370,Productos!$A:$A,Productos!P:P,"Revisar"),"")</f>
        <v/>
      </c>
      <c r="X370" s="179" t="str">
        <f t="array" ref="X370">IF($F370&lt;&gt;"", XLOOKUP($F370,Productos!$A$2:$A1001,Productos!Q$2:Q1001,"")*$G370,"")</f>
        <v/>
      </c>
      <c r="Y370" s="179" t="str">
        <f t="array" ref="Y370">IF($F370&lt;&gt;"",XLOOKUP($F370,Productos!$A:$A,Productos!R:R,"Revisar"),"")</f>
        <v/>
      </c>
      <c r="Z370" s="179" t="str">
        <f t="array" ref="Z370">IF($F370&lt;&gt;"", XLOOKUP($F370,Productos!$A$2:$A1001,Productos!S$2:S1001,"")*$G370,"")</f>
        <v/>
      </c>
      <c r="AA370" s="179" t="str">
        <f t="array" ref="AA370">IF($F370&lt;&gt;"",XLOOKUP($F370,Productos!$A:$A,Productos!T:T,"Revisar"),"")</f>
        <v/>
      </c>
      <c r="AB370" s="179" t="str">
        <f t="array" ref="AB370">IF($F370&lt;&gt;"", XLOOKUP($F370,Productos!$A$2:$A1001,Productos!U$2:U1001,"")*$G370,"")</f>
        <v/>
      </c>
      <c r="AC370" s="179" t="str">
        <f t="array" ref="AC370">IF($F370&lt;&gt;"",XLOOKUP($F370,Productos!$A:$A,Productos!V:V,"Revisar"),"")</f>
        <v/>
      </c>
      <c r="AD370" s="179" t="str">
        <f t="array" ref="AD370">IF($F370&lt;&gt;"", XLOOKUP($F370,Productos!$A$2:$A1001,Productos!W$2:W1001,"")*$G370,"")</f>
        <v/>
      </c>
      <c r="AE370" s="179" t="str">
        <f t="array" ref="AE370">IF($F370&lt;&gt;"",XLOOKUP($F370,Productos!$A:$A,Productos!X:X,"Revisar"),"")</f>
        <v/>
      </c>
      <c r="AF370" s="179" t="str">
        <f t="array" ref="AF370">IF($F370&lt;&gt;"", XLOOKUP($F370,Productos!$A$2:$A1001,Productos!Y$2:Y1001,"")*$G370,"")</f>
        <v/>
      </c>
      <c r="AG370" s="179" t="str">
        <f t="array" ref="AG370">IF($F370&lt;&gt;"",XLOOKUP($F370,Productos!$A:$A,Productos!Z:Z,"Revisar"),"")</f>
        <v/>
      </c>
      <c r="AH370" s="179" t="str">
        <f t="array" ref="AH370">IF($F370&lt;&gt;"", XLOOKUP($F370,Productos!$A$2:$A1001,Productos!AA$2:AA1001,"")*$G370,"")</f>
        <v/>
      </c>
      <c r="AI370" s="179" t="str">
        <f t="array" ref="AI370">IF($F370&lt;&gt;"",XLOOKUP($F370,Productos!$A:$A,Productos!AB:AB,"Revisar"),"")</f>
        <v/>
      </c>
      <c r="AJ370" s="179" t="str">
        <f t="array" ref="AJ370">IF($F370&lt;&gt;"", XLOOKUP($F370,Productos!$A$2:$A1001,Productos!AC$2:AC1001,"")*$G370,"")</f>
        <v/>
      </c>
      <c r="AK370" s="179" t="str">
        <f t="array" ref="AK370">IF($F370&lt;&gt;"",XLOOKUP($F370,Productos!$A:$A,Productos!AD:AD,"Revisar"),"")</f>
        <v/>
      </c>
      <c r="AL370" s="179" t="str">
        <f t="array" ref="AL370">IF($F370&lt;&gt;"", XLOOKUP($F370,Productos!$A$2:$A1001,Productos!AE$2:AE1001,"")*$G370,"")</f>
        <v/>
      </c>
      <c r="AM370" s="179" t="str">
        <f t="array" ref="AM370">IF($F370&lt;&gt;"",XLOOKUP($F370,Productos!$A:$A,Productos!AF:AF,"Revisar"),"")</f>
        <v/>
      </c>
      <c r="AN370" s="179" t="str">
        <f t="array" ref="AN370">IF($F370&lt;&gt;"", XLOOKUP($F370,Productos!$A$2:$A1001,Productos!AG$2:AG1001,"")*$G370,"")</f>
        <v/>
      </c>
      <c r="AO370" s="179" t="str">
        <f t="array" ref="AO370">IF($F370&lt;&gt;"",XLOOKUP($F370,Productos!$A:$A,Productos!AH:AH,"Revisar"),"")</f>
        <v/>
      </c>
      <c r="AP370" s="179" t="str">
        <f t="array" ref="AP370">IF($F370&lt;&gt;"", XLOOKUP($F370,Productos!$A$2:$A1001,Productos!AI$2:AI1001,"")*$G370,"")</f>
        <v/>
      </c>
      <c r="AQ370" s="179" t="str">
        <f t="array" ref="AQ370">IF($F370&lt;&gt;"",XLOOKUP($F370,Productos!$A:$A,Productos!AJ:AJ,"Revisar"),"")</f>
        <v/>
      </c>
      <c r="AR370" s="179" t="str">
        <f t="array" ref="AR370">IF($F370&lt;&gt;"", XLOOKUP($F370,Productos!$A$2:$A1001,Productos!AK$2:AK1001,"")*$G370,"")</f>
        <v/>
      </c>
      <c r="AS370" s="179" t="str">
        <f t="array" ref="AS370">IF($F370&lt;&gt;"",XLOOKUP($F370,Productos!$A:$A,Productos!AL:AL,"Revisar"),"")</f>
        <v/>
      </c>
      <c r="AT370" s="179" t="str">
        <f t="array" ref="AT370">IF($F370&lt;&gt;"", XLOOKUP($F370,Productos!$A$2:$A1001,Productos!AM$2:AM1001,"")*$G370,"")</f>
        <v/>
      </c>
      <c r="AU370" s="179" t="str">
        <f t="array" ref="AU370">IF($F370&lt;&gt;"",XLOOKUP($F370,Productos!$A:$A,Productos!AN:AN,"Revisar"),"")</f>
        <v/>
      </c>
      <c r="AV370" s="179" t="str">
        <f t="array" ref="AV370">IF($F370&lt;&gt;"", XLOOKUP($F370,Productos!$A$2:$A1001,Productos!AO$2:AO1001,"")*$G370,"")</f>
        <v/>
      </c>
      <c r="AW370" s="179" t="str">
        <f t="array" ref="AW370">IF($F370&lt;&gt;"",XLOOKUP($F370,Productos!$A:$A,Productos!AP:AP,"Revisar"),"")</f>
        <v/>
      </c>
      <c r="AX370" s="179" t="str">
        <f t="array" ref="AX370">IF($F370&lt;&gt;"", XLOOKUP($F370,Productos!$A$2:$A1001,Productos!AQ$2:AQ1001,"")*$G370,"")</f>
        <v/>
      </c>
      <c r="AY370" s="179" t="str">
        <f t="array" ref="AY370">IF($F370&lt;&gt;"",XLOOKUP($F370,Productos!$A:$A,Productos!AR:AR,"Revisar"),"")</f>
        <v/>
      </c>
      <c r="AZ370" s="179" t="str">
        <f t="array" ref="AZ370">IF($F370&lt;&gt;"", XLOOKUP($F370,Productos!$A$2:$A1001,Productos!AS$2:AS1001,"")*$G370,"")</f>
        <v/>
      </c>
      <c r="BA370" s="179" t="str">
        <f t="array" ref="BA370">IF($F370&lt;&gt;"",XLOOKUP($F370,Productos!$A:$A,Productos!AT:AT,"Revisar"),"")</f>
        <v/>
      </c>
      <c r="BB370" s="179" t="str">
        <f t="array" ref="BB370">IF($F370&lt;&gt;"", XLOOKUP($F370,Productos!$A$2:$A1001,Productos!AU$2:AU1001,"")*$G370,"")</f>
        <v/>
      </c>
      <c r="BC370" s="179" t="str">
        <f t="array" ref="BC370">IF($F370&lt;&gt;"",XLOOKUP($F370,Productos!$A:$A,Productos!AV:AV,"Revisar"),"")</f>
        <v/>
      </c>
      <c r="BD370" s="179" t="str">
        <f t="array" ref="BD370">IF($F370&lt;&gt;"", XLOOKUP($F370,Productos!$A$2:$A1001,Productos!AW$2:AW1001,"")*$G370,"")</f>
        <v/>
      </c>
      <c r="BE370" s="179" t="str">
        <f t="array" ref="BE370">IF($F370&lt;&gt;"",XLOOKUP($F370,Productos!$A:$A,Productos!AX:AX,"Revisar"),"")</f>
        <v/>
      </c>
      <c r="BF370" s="179" t="str">
        <f t="array" ref="BF370">IF($F370&lt;&gt;"", XLOOKUP($F370,Productos!$A$2:$A1001,Productos!AY$2:AY1001,"")*$G370,"")</f>
        <v/>
      </c>
      <c r="BG370" s="179" t="str">
        <f t="array" ref="BG370">IF($F370&lt;&gt;"",XLOOKUP($F370,Productos!$A:$A,Productos!AZ:AZ,"Revisar"),"")</f>
        <v/>
      </c>
      <c r="BH370" s="179" t="str">
        <f t="array" ref="BH370">IF($F370&lt;&gt;"", XLOOKUP($F370,Productos!$A$2:$A1001,Productos!BA$2:BA1001,"")*$G370,"")</f>
        <v/>
      </c>
      <c r="BI370" s="179" t="str">
        <f t="array" ref="BI370">IF($F370&lt;&gt;"",XLOOKUP($F370,Productos!$A:$A,Productos!BB:BB,"Revisar"),"")</f>
        <v/>
      </c>
      <c r="BJ370" s="179" t="str">
        <f t="array" ref="BJ370">IF($F370&lt;&gt;"", XLOOKUP($F370,Productos!$A$2:$A1001,Productos!BC$2:BC1001,"")*$G370,"")</f>
        <v/>
      </c>
      <c r="BK370" s="179" t="str">
        <f t="array" ref="BK370">IF($F370&lt;&gt;"",XLOOKUP($F370,Productos!$A:$A,Productos!BD:BD,"Revisar"),"")</f>
        <v/>
      </c>
      <c r="BL370" s="179" t="str">
        <f t="array" ref="BL370">IF($F370&lt;&gt;"", XLOOKUP($F370,Productos!$A$2:$A1001,Productos!BE$2:BE1001,"")*$G370,"")</f>
        <v/>
      </c>
      <c r="BM370" s="179" t="str">
        <f t="array" ref="BM370">IF($F370&lt;&gt;"",XLOOKUP($F370,Productos!$A:$A,Productos!BF:BF,"Revisar"),"")</f>
        <v/>
      </c>
      <c r="BN370" s="179" t="str">
        <f t="array" ref="BN370">IF($F370&lt;&gt;"", XLOOKUP($F370,Productos!$A$2:$A1001,Productos!BG$2:BG1001,"")*$G370,"")</f>
        <v/>
      </c>
      <c r="BO370" s="179" t="str">
        <f t="array" ref="BO370">IF($F370&lt;&gt;"",XLOOKUP($F370,Productos!$A:$A,Productos!BH:BH,"Revisar"),"")</f>
        <v/>
      </c>
      <c r="BP370" s="179" t="str">
        <f t="array" ref="BP370">IF($F370&lt;&gt;"", XLOOKUP($F370,Productos!$A$2:$A1001,Productos!BI$2:BI1001,"")*$G370,"")</f>
        <v/>
      </c>
      <c r="BQ370" s="179" t="str">
        <f t="array" ref="BQ370">IF($F370&lt;&gt;"",XLOOKUP($F370,Productos!$A:$A,Productos!BJ:BJ,"Revisar"),"")</f>
        <v/>
      </c>
      <c r="BR370" s="179" t="str">
        <f t="array" ref="BR370">IF($F370&lt;&gt;"", XLOOKUP($F370,Productos!$A$2:$A1001,Productos!BK$2:BK1001,"")*$G370,"")</f>
        <v/>
      </c>
      <c r="BS370" s="179" t="str">
        <f t="array" ref="BS370">IF($F370&lt;&gt;"",XLOOKUP($F370,Productos!$A:$A,Productos!BL:BL,"Revisar"),"")</f>
        <v/>
      </c>
      <c r="BT370" s="179" t="str">
        <f t="array" ref="BT370">IF($F370&lt;&gt;"", XLOOKUP($F370,Productos!$A$2:$A1001,Productos!BM$2:BM1001,"")*$G370,"")</f>
        <v/>
      </c>
      <c r="BU370" s="179" t="str">
        <f t="array" ref="BU370">IF($F370&lt;&gt;"",XLOOKUP($F370,Productos!$A:$A,Productos!BN:BN,"Revisar"),"")</f>
        <v/>
      </c>
      <c r="BV370" s="179" t="str">
        <f t="array" ref="BV370">IF($F370&lt;&gt;"", XLOOKUP($F370,Productos!$A$2:$A1001,Productos!BO$2:BO1001,"")*$G370,"")</f>
        <v/>
      </c>
      <c r="BW370" s="179" t="str">
        <f t="array" ref="BW370">IF($F370&lt;&gt;"",XLOOKUP($F370,Productos!$A:$A,Productos!BP:BP,"Revisar"),"")</f>
        <v/>
      </c>
      <c r="BX370" s="179" t="str">
        <f t="array" ref="BX370">IF($F370&lt;&gt;"", XLOOKUP($F370,Productos!$A$2:$A1001,Productos!BQ$2:BQ1001,"")*$G370,"")</f>
        <v/>
      </c>
      <c r="BY370" s="179" t="str">
        <f t="array" ref="BY370">IF($F370&lt;&gt;"",XLOOKUP($F370,Productos!$A:$A,Productos!BR:BR,"Revisar"),"")</f>
        <v/>
      </c>
      <c r="BZ370" s="179" t="str">
        <f t="array" ref="BZ370">IF($F370&lt;&gt;"", XLOOKUP($F370,Productos!$A$2:$A1001,Productos!BS$2:BS1001,"")*$G370,"")</f>
        <v/>
      </c>
    </row>
    <row r="371">
      <c r="A371" s="188"/>
      <c r="B371" s="189"/>
      <c r="C371" s="190"/>
      <c r="D371" s="190"/>
      <c r="E371" s="191"/>
      <c r="F371" s="186"/>
      <c r="G371" s="192"/>
      <c r="H371" s="9"/>
      <c r="I371" s="179" t="str">
        <f t="array" ref="I371">IF($F371&lt;&gt;"",XLOOKUP($F371,Productos!$A:$A,Productos!B:B,"Revisar"),"")</f>
        <v/>
      </c>
      <c r="J371" s="179" t="str">
        <f t="array" ref="J371">IF($F371&lt;&gt;"", XLOOKUP($F371,Productos!$A$2:$A1001,Productos!C$2:C1001,"")*$G371,"")</f>
        <v/>
      </c>
      <c r="K371" s="179" t="str">
        <f t="array" ref="K371">IF($F371&lt;&gt;"",XLOOKUP($F371,Productos!$A:$A,Productos!D:D,"Revisar"),"")</f>
        <v/>
      </c>
      <c r="L371" s="179" t="str">
        <f t="array" ref="L371">IF($F371&lt;&gt;"", XLOOKUP($F371,Productos!$A$2:$A1001,Productos!E$2:E1001,"")*$G371,"")</f>
        <v/>
      </c>
      <c r="M371" s="179" t="str">
        <f t="array" ref="M371">IF($F371&lt;&gt;"",XLOOKUP($F371,Productos!$A:$A,Productos!F:F,"Revisar"),"")</f>
        <v/>
      </c>
      <c r="N371" s="179" t="str">
        <f t="array" ref="N371">IF($F371&lt;&gt;"", XLOOKUP($F371,Productos!$A$2:$A1001,Productos!G$2:G1001,"")*$G371,"")</f>
        <v/>
      </c>
      <c r="O371" s="179" t="str">
        <f t="array" ref="O371">IF($F371&lt;&gt;"",XLOOKUP($F371,Productos!$A:$A,Productos!H:H,"Revisar"),"")</f>
        <v/>
      </c>
      <c r="P371" s="179" t="str">
        <f t="array" ref="P371">IF($F371&lt;&gt;"", XLOOKUP($F371,Productos!$A$2:$A1001,Productos!I$2:I1001,"")*$G371,"")</f>
        <v/>
      </c>
      <c r="Q371" s="179" t="str">
        <f t="array" ref="Q371">IF($F371&lt;&gt;"",XLOOKUP($F371,Productos!$A:$A,Productos!J:J,"Revisar"),"")</f>
        <v/>
      </c>
      <c r="R371" s="179" t="str">
        <f t="array" ref="R371">IF($F371&lt;&gt;"", XLOOKUP($F371,Productos!$A$2:$A1001,Productos!K$2:K1001,"")*$G371,"")</f>
        <v/>
      </c>
      <c r="S371" s="179" t="str">
        <f t="array" ref="S371">IF($F371&lt;&gt;"",XLOOKUP($F371,Productos!$A:$A,Productos!L:L,"Revisar"),"")</f>
        <v/>
      </c>
      <c r="T371" s="179" t="str">
        <f t="array" ref="T371">IF($F371&lt;&gt;"", XLOOKUP($F371,Productos!$A$2:$A1001,Productos!M$2:M1001,"")*$G371,"")</f>
        <v/>
      </c>
      <c r="U371" s="179" t="str">
        <f t="array" ref="U371">IF($F371&lt;&gt;"",XLOOKUP($F371,Productos!$A:$A,Productos!N:N,"Revisar"),"")</f>
        <v/>
      </c>
      <c r="V371" s="179" t="str">
        <f t="array" ref="V371">IF($F371&lt;&gt;"", XLOOKUP($F371,Productos!$A$2:$A1001,Productos!O$2:O1001,"")*$G371,"")</f>
        <v/>
      </c>
      <c r="W371" s="179" t="str">
        <f t="array" ref="W371">IF($F371&lt;&gt;"",XLOOKUP($F371,Productos!$A:$A,Productos!P:P,"Revisar"),"")</f>
        <v/>
      </c>
      <c r="X371" s="179" t="str">
        <f t="array" ref="X371">IF($F371&lt;&gt;"", XLOOKUP($F371,Productos!$A$2:$A1001,Productos!Q$2:Q1001,"")*$G371,"")</f>
        <v/>
      </c>
      <c r="Y371" s="179" t="str">
        <f t="array" ref="Y371">IF($F371&lt;&gt;"",XLOOKUP($F371,Productos!$A:$A,Productos!R:R,"Revisar"),"")</f>
        <v/>
      </c>
      <c r="Z371" s="179" t="str">
        <f t="array" ref="Z371">IF($F371&lt;&gt;"", XLOOKUP($F371,Productos!$A$2:$A1001,Productos!S$2:S1001,"")*$G371,"")</f>
        <v/>
      </c>
      <c r="AA371" s="179" t="str">
        <f t="array" ref="AA371">IF($F371&lt;&gt;"",XLOOKUP($F371,Productos!$A:$A,Productos!T:T,"Revisar"),"")</f>
        <v/>
      </c>
      <c r="AB371" s="179" t="str">
        <f t="array" ref="AB371">IF($F371&lt;&gt;"", XLOOKUP($F371,Productos!$A$2:$A1001,Productos!U$2:U1001,"")*$G371,"")</f>
        <v/>
      </c>
      <c r="AC371" s="179" t="str">
        <f t="array" ref="AC371">IF($F371&lt;&gt;"",XLOOKUP($F371,Productos!$A:$A,Productos!V:V,"Revisar"),"")</f>
        <v/>
      </c>
      <c r="AD371" s="179" t="str">
        <f t="array" ref="AD371">IF($F371&lt;&gt;"", XLOOKUP($F371,Productos!$A$2:$A1001,Productos!W$2:W1001,"")*$G371,"")</f>
        <v/>
      </c>
      <c r="AE371" s="179" t="str">
        <f t="array" ref="AE371">IF($F371&lt;&gt;"",XLOOKUP($F371,Productos!$A:$A,Productos!X:X,"Revisar"),"")</f>
        <v/>
      </c>
      <c r="AF371" s="179" t="str">
        <f t="array" ref="AF371">IF($F371&lt;&gt;"", XLOOKUP($F371,Productos!$A$2:$A1001,Productos!Y$2:Y1001,"")*$G371,"")</f>
        <v/>
      </c>
      <c r="AG371" s="179" t="str">
        <f t="array" ref="AG371">IF($F371&lt;&gt;"",XLOOKUP($F371,Productos!$A:$A,Productos!Z:Z,"Revisar"),"")</f>
        <v/>
      </c>
      <c r="AH371" s="179" t="str">
        <f t="array" ref="AH371">IF($F371&lt;&gt;"", XLOOKUP($F371,Productos!$A$2:$A1001,Productos!AA$2:AA1001,"")*$G371,"")</f>
        <v/>
      </c>
      <c r="AI371" s="179" t="str">
        <f t="array" ref="AI371">IF($F371&lt;&gt;"",XLOOKUP($F371,Productos!$A:$A,Productos!AB:AB,"Revisar"),"")</f>
        <v/>
      </c>
      <c r="AJ371" s="179" t="str">
        <f t="array" ref="AJ371">IF($F371&lt;&gt;"", XLOOKUP($F371,Productos!$A$2:$A1001,Productos!AC$2:AC1001,"")*$G371,"")</f>
        <v/>
      </c>
      <c r="AK371" s="179" t="str">
        <f t="array" ref="AK371">IF($F371&lt;&gt;"",XLOOKUP($F371,Productos!$A:$A,Productos!AD:AD,"Revisar"),"")</f>
        <v/>
      </c>
      <c r="AL371" s="179" t="str">
        <f t="array" ref="AL371">IF($F371&lt;&gt;"", XLOOKUP($F371,Productos!$A$2:$A1001,Productos!AE$2:AE1001,"")*$G371,"")</f>
        <v/>
      </c>
      <c r="AM371" s="179" t="str">
        <f t="array" ref="AM371">IF($F371&lt;&gt;"",XLOOKUP($F371,Productos!$A:$A,Productos!AF:AF,"Revisar"),"")</f>
        <v/>
      </c>
      <c r="AN371" s="179" t="str">
        <f t="array" ref="AN371">IF($F371&lt;&gt;"", XLOOKUP($F371,Productos!$A$2:$A1001,Productos!AG$2:AG1001,"")*$G371,"")</f>
        <v/>
      </c>
      <c r="AO371" s="179" t="str">
        <f t="array" ref="AO371">IF($F371&lt;&gt;"",XLOOKUP($F371,Productos!$A:$A,Productos!AH:AH,"Revisar"),"")</f>
        <v/>
      </c>
      <c r="AP371" s="179" t="str">
        <f t="array" ref="AP371">IF($F371&lt;&gt;"", XLOOKUP($F371,Productos!$A$2:$A1001,Productos!AI$2:AI1001,"")*$G371,"")</f>
        <v/>
      </c>
      <c r="AQ371" s="179" t="str">
        <f t="array" ref="AQ371">IF($F371&lt;&gt;"",XLOOKUP($F371,Productos!$A:$A,Productos!AJ:AJ,"Revisar"),"")</f>
        <v/>
      </c>
      <c r="AR371" s="179" t="str">
        <f t="array" ref="AR371">IF($F371&lt;&gt;"", XLOOKUP($F371,Productos!$A$2:$A1001,Productos!AK$2:AK1001,"")*$G371,"")</f>
        <v/>
      </c>
      <c r="AS371" s="179" t="str">
        <f t="array" ref="AS371">IF($F371&lt;&gt;"",XLOOKUP($F371,Productos!$A:$A,Productos!AL:AL,"Revisar"),"")</f>
        <v/>
      </c>
      <c r="AT371" s="179" t="str">
        <f t="array" ref="AT371">IF($F371&lt;&gt;"", XLOOKUP($F371,Productos!$A$2:$A1001,Productos!AM$2:AM1001,"")*$G371,"")</f>
        <v/>
      </c>
      <c r="AU371" s="179" t="str">
        <f t="array" ref="AU371">IF($F371&lt;&gt;"",XLOOKUP($F371,Productos!$A:$A,Productos!AN:AN,"Revisar"),"")</f>
        <v/>
      </c>
      <c r="AV371" s="179" t="str">
        <f t="array" ref="AV371">IF($F371&lt;&gt;"", XLOOKUP($F371,Productos!$A$2:$A1001,Productos!AO$2:AO1001,"")*$G371,"")</f>
        <v/>
      </c>
      <c r="AW371" s="179" t="str">
        <f t="array" ref="AW371">IF($F371&lt;&gt;"",XLOOKUP($F371,Productos!$A:$A,Productos!AP:AP,"Revisar"),"")</f>
        <v/>
      </c>
      <c r="AX371" s="179" t="str">
        <f t="array" ref="AX371">IF($F371&lt;&gt;"", XLOOKUP($F371,Productos!$A$2:$A1001,Productos!AQ$2:AQ1001,"")*$G371,"")</f>
        <v/>
      </c>
      <c r="AY371" s="179" t="str">
        <f t="array" ref="AY371">IF($F371&lt;&gt;"",XLOOKUP($F371,Productos!$A:$A,Productos!AR:AR,"Revisar"),"")</f>
        <v/>
      </c>
      <c r="AZ371" s="179" t="str">
        <f t="array" ref="AZ371">IF($F371&lt;&gt;"", XLOOKUP($F371,Productos!$A$2:$A1001,Productos!AS$2:AS1001,"")*$G371,"")</f>
        <v/>
      </c>
      <c r="BA371" s="179" t="str">
        <f t="array" ref="BA371">IF($F371&lt;&gt;"",XLOOKUP($F371,Productos!$A:$A,Productos!AT:AT,"Revisar"),"")</f>
        <v/>
      </c>
      <c r="BB371" s="179" t="str">
        <f t="array" ref="BB371">IF($F371&lt;&gt;"", XLOOKUP($F371,Productos!$A$2:$A1001,Productos!AU$2:AU1001,"")*$G371,"")</f>
        <v/>
      </c>
      <c r="BC371" s="179" t="str">
        <f t="array" ref="BC371">IF($F371&lt;&gt;"",XLOOKUP($F371,Productos!$A:$A,Productos!AV:AV,"Revisar"),"")</f>
        <v/>
      </c>
      <c r="BD371" s="179" t="str">
        <f t="array" ref="BD371">IF($F371&lt;&gt;"", XLOOKUP($F371,Productos!$A$2:$A1001,Productos!AW$2:AW1001,"")*$G371,"")</f>
        <v/>
      </c>
      <c r="BE371" s="179" t="str">
        <f t="array" ref="BE371">IF($F371&lt;&gt;"",XLOOKUP($F371,Productos!$A:$A,Productos!AX:AX,"Revisar"),"")</f>
        <v/>
      </c>
      <c r="BF371" s="179" t="str">
        <f t="array" ref="BF371">IF($F371&lt;&gt;"", XLOOKUP($F371,Productos!$A$2:$A1001,Productos!AY$2:AY1001,"")*$G371,"")</f>
        <v/>
      </c>
      <c r="BG371" s="179" t="str">
        <f t="array" ref="BG371">IF($F371&lt;&gt;"",XLOOKUP($F371,Productos!$A:$A,Productos!AZ:AZ,"Revisar"),"")</f>
        <v/>
      </c>
      <c r="BH371" s="179" t="str">
        <f t="array" ref="BH371">IF($F371&lt;&gt;"", XLOOKUP($F371,Productos!$A$2:$A1001,Productos!BA$2:BA1001,"")*$G371,"")</f>
        <v/>
      </c>
      <c r="BI371" s="179" t="str">
        <f t="array" ref="BI371">IF($F371&lt;&gt;"",XLOOKUP($F371,Productos!$A:$A,Productos!BB:BB,"Revisar"),"")</f>
        <v/>
      </c>
      <c r="BJ371" s="179" t="str">
        <f t="array" ref="BJ371">IF($F371&lt;&gt;"", XLOOKUP($F371,Productos!$A$2:$A1001,Productos!BC$2:BC1001,"")*$G371,"")</f>
        <v/>
      </c>
      <c r="BK371" s="179" t="str">
        <f t="array" ref="BK371">IF($F371&lt;&gt;"",XLOOKUP($F371,Productos!$A:$A,Productos!BD:BD,"Revisar"),"")</f>
        <v/>
      </c>
      <c r="BL371" s="179" t="str">
        <f t="array" ref="BL371">IF($F371&lt;&gt;"", XLOOKUP($F371,Productos!$A$2:$A1001,Productos!BE$2:BE1001,"")*$G371,"")</f>
        <v/>
      </c>
      <c r="BM371" s="179" t="str">
        <f t="array" ref="BM371">IF($F371&lt;&gt;"",XLOOKUP($F371,Productos!$A:$A,Productos!BF:BF,"Revisar"),"")</f>
        <v/>
      </c>
      <c r="BN371" s="179" t="str">
        <f t="array" ref="BN371">IF($F371&lt;&gt;"", XLOOKUP($F371,Productos!$A$2:$A1001,Productos!BG$2:BG1001,"")*$G371,"")</f>
        <v/>
      </c>
      <c r="BO371" s="179" t="str">
        <f t="array" ref="BO371">IF($F371&lt;&gt;"",XLOOKUP($F371,Productos!$A:$A,Productos!BH:BH,"Revisar"),"")</f>
        <v/>
      </c>
      <c r="BP371" s="179" t="str">
        <f t="array" ref="BP371">IF($F371&lt;&gt;"", XLOOKUP($F371,Productos!$A$2:$A1001,Productos!BI$2:BI1001,"")*$G371,"")</f>
        <v/>
      </c>
      <c r="BQ371" s="179" t="str">
        <f t="array" ref="BQ371">IF($F371&lt;&gt;"",XLOOKUP($F371,Productos!$A:$A,Productos!BJ:BJ,"Revisar"),"")</f>
        <v/>
      </c>
      <c r="BR371" s="179" t="str">
        <f t="array" ref="BR371">IF($F371&lt;&gt;"", XLOOKUP($F371,Productos!$A$2:$A1001,Productos!BK$2:BK1001,"")*$G371,"")</f>
        <v/>
      </c>
      <c r="BS371" s="179" t="str">
        <f t="array" ref="BS371">IF($F371&lt;&gt;"",XLOOKUP($F371,Productos!$A:$A,Productos!BL:BL,"Revisar"),"")</f>
        <v/>
      </c>
      <c r="BT371" s="179" t="str">
        <f t="array" ref="BT371">IF($F371&lt;&gt;"", XLOOKUP($F371,Productos!$A$2:$A1001,Productos!BM$2:BM1001,"")*$G371,"")</f>
        <v/>
      </c>
      <c r="BU371" s="179" t="str">
        <f t="array" ref="BU371">IF($F371&lt;&gt;"",XLOOKUP($F371,Productos!$A:$A,Productos!BN:BN,"Revisar"),"")</f>
        <v/>
      </c>
      <c r="BV371" s="179" t="str">
        <f t="array" ref="BV371">IF($F371&lt;&gt;"", XLOOKUP($F371,Productos!$A$2:$A1001,Productos!BO$2:BO1001,"")*$G371,"")</f>
        <v/>
      </c>
      <c r="BW371" s="179" t="str">
        <f t="array" ref="BW371">IF($F371&lt;&gt;"",XLOOKUP($F371,Productos!$A:$A,Productos!BP:BP,"Revisar"),"")</f>
        <v/>
      </c>
      <c r="BX371" s="179" t="str">
        <f t="array" ref="BX371">IF($F371&lt;&gt;"", XLOOKUP($F371,Productos!$A$2:$A1001,Productos!BQ$2:BQ1001,"")*$G371,"")</f>
        <v/>
      </c>
      <c r="BY371" s="179" t="str">
        <f t="array" ref="BY371">IF($F371&lt;&gt;"",XLOOKUP($F371,Productos!$A:$A,Productos!BR:BR,"Revisar"),"")</f>
        <v/>
      </c>
      <c r="BZ371" s="179" t="str">
        <f t="array" ref="BZ371">IF($F371&lt;&gt;"", XLOOKUP($F371,Productos!$A$2:$A1001,Productos!BS$2:BS1001,"")*$G371,"")</f>
        <v/>
      </c>
    </row>
    <row r="372">
      <c r="A372" s="188"/>
      <c r="B372" s="189"/>
      <c r="C372" s="190"/>
      <c r="D372" s="190"/>
      <c r="E372" s="191"/>
      <c r="F372" s="186"/>
      <c r="G372" s="192"/>
      <c r="H372" s="9"/>
      <c r="I372" s="179" t="str">
        <f t="array" ref="I372">IF($F372&lt;&gt;"",XLOOKUP($F372,Productos!$A:$A,Productos!B:B,"Revisar"),"")</f>
        <v/>
      </c>
      <c r="J372" s="179" t="str">
        <f t="array" ref="J372">IF($F372&lt;&gt;"", XLOOKUP($F372,Productos!$A$2:$A1001,Productos!C$2:C1001,"")*$G372,"")</f>
        <v/>
      </c>
      <c r="K372" s="179" t="str">
        <f t="array" ref="K372">IF($F372&lt;&gt;"",XLOOKUP($F372,Productos!$A:$A,Productos!D:D,"Revisar"),"")</f>
        <v/>
      </c>
      <c r="L372" s="179" t="str">
        <f t="array" ref="L372">IF($F372&lt;&gt;"", XLOOKUP($F372,Productos!$A$2:$A1001,Productos!E$2:E1001,"")*$G372,"")</f>
        <v/>
      </c>
      <c r="M372" s="179" t="str">
        <f t="array" ref="M372">IF($F372&lt;&gt;"",XLOOKUP($F372,Productos!$A:$A,Productos!F:F,"Revisar"),"")</f>
        <v/>
      </c>
      <c r="N372" s="179" t="str">
        <f t="array" ref="N372">IF($F372&lt;&gt;"", XLOOKUP($F372,Productos!$A$2:$A1001,Productos!G$2:G1001,"")*$G372,"")</f>
        <v/>
      </c>
      <c r="O372" s="179" t="str">
        <f t="array" ref="O372">IF($F372&lt;&gt;"",XLOOKUP($F372,Productos!$A:$A,Productos!H:H,"Revisar"),"")</f>
        <v/>
      </c>
      <c r="P372" s="179" t="str">
        <f t="array" ref="P372">IF($F372&lt;&gt;"", XLOOKUP($F372,Productos!$A$2:$A1001,Productos!I$2:I1001,"")*$G372,"")</f>
        <v/>
      </c>
      <c r="Q372" s="179" t="str">
        <f t="array" ref="Q372">IF($F372&lt;&gt;"",XLOOKUP($F372,Productos!$A:$A,Productos!J:J,"Revisar"),"")</f>
        <v/>
      </c>
      <c r="R372" s="179" t="str">
        <f t="array" ref="R372">IF($F372&lt;&gt;"", XLOOKUP($F372,Productos!$A$2:$A1001,Productos!K$2:K1001,"")*$G372,"")</f>
        <v/>
      </c>
      <c r="S372" s="179" t="str">
        <f t="array" ref="S372">IF($F372&lt;&gt;"",XLOOKUP($F372,Productos!$A:$A,Productos!L:L,"Revisar"),"")</f>
        <v/>
      </c>
      <c r="T372" s="179" t="str">
        <f t="array" ref="T372">IF($F372&lt;&gt;"", XLOOKUP($F372,Productos!$A$2:$A1001,Productos!M$2:M1001,"")*$G372,"")</f>
        <v/>
      </c>
      <c r="U372" s="179" t="str">
        <f t="array" ref="U372">IF($F372&lt;&gt;"",XLOOKUP($F372,Productos!$A:$A,Productos!N:N,"Revisar"),"")</f>
        <v/>
      </c>
      <c r="V372" s="179" t="str">
        <f t="array" ref="V372">IF($F372&lt;&gt;"", XLOOKUP($F372,Productos!$A$2:$A1001,Productos!O$2:O1001,"")*$G372,"")</f>
        <v/>
      </c>
      <c r="W372" s="179" t="str">
        <f t="array" ref="W372">IF($F372&lt;&gt;"",XLOOKUP($F372,Productos!$A:$A,Productos!P:P,"Revisar"),"")</f>
        <v/>
      </c>
      <c r="X372" s="179" t="str">
        <f t="array" ref="X372">IF($F372&lt;&gt;"", XLOOKUP($F372,Productos!$A$2:$A1001,Productos!Q$2:Q1001,"")*$G372,"")</f>
        <v/>
      </c>
      <c r="Y372" s="179" t="str">
        <f t="array" ref="Y372">IF($F372&lt;&gt;"",XLOOKUP($F372,Productos!$A:$A,Productos!R:R,"Revisar"),"")</f>
        <v/>
      </c>
      <c r="Z372" s="179" t="str">
        <f t="array" ref="Z372">IF($F372&lt;&gt;"", XLOOKUP($F372,Productos!$A$2:$A1001,Productos!S$2:S1001,"")*$G372,"")</f>
        <v/>
      </c>
      <c r="AA372" s="179" t="str">
        <f t="array" ref="AA372">IF($F372&lt;&gt;"",XLOOKUP($F372,Productos!$A:$A,Productos!T:T,"Revisar"),"")</f>
        <v/>
      </c>
      <c r="AB372" s="179" t="str">
        <f t="array" ref="AB372">IF($F372&lt;&gt;"", XLOOKUP($F372,Productos!$A$2:$A1001,Productos!U$2:U1001,"")*$G372,"")</f>
        <v/>
      </c>
      <c r="AC372" s="179" t="str">
        <f t="array" ref="AC372">IF($F372&lt;&gt;"",XLOOKUP($F372,Productos!$A:$A,Productos!V:V,"Revisar"),"")</f>
        <v/>
      </c>
      <c r="AD372" s="179" t="str">
        <f t="array" ref="AD372">IF($F372&lt;&gt;"", XLOOKUP($F372,Productos!$A$2:$A1001,Productos!W$2:W1001,"")*$G372,"")</f>
        <v/>
      </c>
      <c r="AE372" s="179" t="str">
        <f t="array" ref="AE372">IF($F372&lt;&gt;"",XLOOKUP($F372,Productos!$A:$A,Productos!X:X,"Revisar"),"")</f>
        <v/>
      </c>
      <c r="AF372" s="179" t="str">
        <f t="array" ref="AF372">IF($F372&lt;&gt;"", XLOOKUP($F372,Productos!$A$2:$A1001,Productos!Y$2:Y1001,"")*$G372,"")</f>
        <v/>
      </c>
      <c r="AG372" s="179" t="str">
        <f t="array" ref="AG372">IF($F372&lt;&gt;"",XLOOKUP($F372,Productos!$A:$A,Productos!Z:Z,"Revisar"),"")</f>
        <v/>
      </c>
      <c r="AH372" s="179" t="str">
        <f t="array" ref="AH372">IF($F372&lt;&gt;"", XLOOKUP($F372,Productos!$A$2:$A1001,Productos!AA$2:AA1001,"")*$G372,"")</f>
        <v/>
      </c>
      <c r="AI372" s="179" t="str">
        <f t="array" ref="AI372">IF($F372&lt;&gt;"",XLOOKUP($F372,Productos!$A:$A,Productos!AB:AB,"Revisar"),"")</f>
        <v/>
      </c>
      <c r="AJ372" s="179" t="str">
        <f t="array" ref="AJ372">IF($F372&lt;&gt;"", XLOOKUP($F372,Productos!$A$2:$A1001,Productos!AC$2:AC1001,"")*$G372,"")</f>
        <v/>
      </c>
      <c r="AK372" s="179" t="str">
        <f t="array" ref="AK372">IF($F372&lt;&gt;"",XLOOKUP($F372,Productos!$A:$A,Productos!AD:AD,"Revisar"),"")</f>
        <v/>
      </c>
      <c r="AL372" s="179" t="str">
        <f t="array" ref="AL372">IF($F372&lt;&gt;"", XLOOKUP($F372,Productos!$A$2:$A1001,Productos!AE$2:AE1001,"")*$G372,"")</f>
        <v/>
      </c>
      <c r="AM372" s="179" t="str">
        <f t="array" ref="AM372">IF($F372&lt;&gt;"",XLOOKUP($F372,Productos!$A:$A,Productos!AF:AF,"Revisar"),"")</f>
        <v/>
      </c>
      <c r="AN372" s="179" t="str">
        <f t="array" ref="AN372">IF($F372&lt;&gt;"", XLOOKUP($F372,Productos!$A$2:$A1001,Productos!AG$2:AG1001,"")*$G372,"")</f>
        <v/>
      </c>
      <c r="AO372" s="179" t="str">
        <f t="array" ref="AO372">IF($F372&lt;&gt;"",XLOOKUP($F372,Productos!$A:$A,Productos!AH:AH,"Revisar"),"")</f>
        <v/>
      </c>
      <c r="AP372" s="179" t="str">
        <f t="array" ref="AP372">IF($F372&lt;&gt;"", XLOOKUP($F372,Productos!$A$2:$A1001,Productos!AI$2:AI1001,"")*$G372,"")</f>
        <v/>
      </c>
      <c r="AQ372" s="179" t="str">
        <f t="array" ref="AQ372">IF($F372&lt;&gt;"",XLOOKUP($F372,Productos!$A:$A,Productos!AJ:AJ,"Revisar"),"")</f>
        <v/>
      </c>
      <c r="AR372" s="179" t="str">
        <f t="array" ref="AR372">IF($F372&lt;&gt;"", XLOOKUP($F372,Productos!$A$2:$A1001,Productos!AK$2:AK1001,"")*$G372,"")</f>
        <v/>
      </c>
      <c r="AS372" s="179" t="str">
        <f t="array" ref="AS372">IF($F372&lt;&gt;"",XLOOKUP($F372,Productos!$A:$A,Productos!AL:AL,"Revisar"),"")</f>
        <v/>
      </c>
      <c r="AT372" s="179" t="str">
        <f t="array" ref="AT372">IF($F372&lt;&gt;"", XLOOKUP($F372,Productos!$A$2:$A1001,Productos!AM$2:AM1001,"")*$G372,"")</f>
        <v/>
      </c>
      <c r="AU372" s="179" t="str">
        <f t="array" ref="AU372">IF($F372&lt;&gt;"",XLOOKUP($F372,Productos!$A:$A,Productos!AN:AN,"Revisar"),"")</f>
        <v/>
      </c>
      <c r="AV372" s="179" t="str">
        <f t="array" ref="AV372">IF($F372&lt;&gt;"", XLOOKUP($F372,Productos!$A$2:$A1001,Productos!AO$2:AO1001,"")*$G372,"")</f>
        <v/>
      </c>
      <c r="AW372" s="179" t="str">
        <f t="array" ref="AW372">IF($F372&lt;&gt;"",XLOOKUP($F372,Productos!$A:$A,Productos!AP:AP,"Revisar"),"")</f>
        <v/>
      </c>
      <c r="AX372" s="179" t="str">
        <f t="array" ref="AX372">IF($F372&lt;&gt;"", XLOOKUP($F372,Productos!$A$2:$A1001,Productos!AQ$2:AQ1001,"")*$G372,"")</f>
        <v/>
      </c>
      <c r="AY372" s="179" t="str">
        <f t="array" ref="AY372">IF($F372&lt;&gt;"",XLOOKUP($F372,Productos!$A:$A,Productos!AR:AR,"Revisar"),"")</f>
        <v/>
      </c>
      <c r="AZ372" s="179" t="str">
        <f t="array" ref="AZ372">IF($F372&lt;&gt;"", XLOOKUP($F372,Productos!$A$2:$A1001,Productos!AS$2:AS1001,"")*$G372,"")</f>
        <v/>
      </c>
      <c r="BA372" s="179" t="str">
        <f t="array" ref="BA372">IF($F372&lt;&gt;"",XLOOKUP($F372,Productos!$A:$A,Productos!AT:AT,"Revisar"),"")</f>
        <v/>
      </c>
      <c r="BB372" s="179" t="str">
        <f t="array" ref="BB372">IF($F372&lt;&gt;"", XLOOKUP($F372,Productos!$A$2:$A1001,Productos!AU$2:AU1001,"")*$G372,"")</f>
        <v/>
      </c>
      <c r="BC372" s="179" t="str">
        <f t="array" ref="BC372">IF($F372&lt;&gt;"",XLOOKUP($F372,Productos!$A:$A,Productos!AV:AV,"Revisar"),"")</f>
        <v/>
      </c>
      <c r="BD372" s="179" t="str">
        <f t="array" ref="BD372">IF($F372&lt;&gt;"", XLOOKUP($F372,Productos!$A$2:$A1001,Productos!AW$2:AW1001,"")*$G372,"")</f>
        <v/>
      </c>
      <c r="BE372" s="179" t="str">
        <f t="array" ref="BE372">IF($F372&lt;&gt;"",XLOOKUP($F372,Productos!$A:$A,Productos!AX:AX,"Revisar"),"")</f>
        <v/>
      </c>
      <c r="BF372" s="179" t="str">
        <f t="array" ref="BF372">IF($F372&lt;&gt;"", XLOOKUP($F372,Productos!$A$2:$A1001,Productos!AY$2:AY1001,"")*$G372,"")</f>
        <v/>
      </c>
      <c r="BG372" s="179" t="str">
        <f t="array" ref="BG372">IF($F372&lt;&gt;"",XLOOKUP($F372,Productos!$A:$A,Productos!AZ:AZ,"Revisar"),"")</f>
        <v/>
      </c>
      <c r="BH372" s="179" t="str">
        <f t="array" ref="BH372">IF($F372&lt;&gt;"", XLOOKUP($F372,Productos!$A$2:$A1001,Productos!BA$2:BA1001,"")*$G372,"")</f>
        <v/>
      </c>
      <c r="BI372" s="179" t="str">
        <f t="array" ref="BI372">IF($F372&lt;&gt;"",XLOOKUP($F372,Productos!$A:$A,Productos!BB:BB,"Revisar"),"")</f>
        <v/>
      </c>
      <c r="BJ372" s="179" t="str">
        <f t="array" ref="BJ372">IF($F372&lt;&gt;"", XLOOKUP($F372,Productos!$A$2:$A1001,Productos!BC$2:BC1001,"")*$G372,"")</f>
        <v/>
      </c>
      <c r="BK372" s="179" t="str">
        <f t="array" ref="BK372">IF($F372&lt;&gt;"",XLOOKUP($F372,Productos!$A:$A,Productos!BD:BD,"Revisar"),"")</f>
        <v/>
      </c>
      <c r="BL372" s="179" t="str">
        <f t="array" ref="BL372">IF($F372&lt;&gt;"", XLOOKUP($F372,Productos!$A$2:$A1001,Productos!BE$2:BE1001,"")*$G372,"")</f>
        <v/>
      </c>
      <c r="BM372" s="179" t="str">
        <f t="array" ref="BM372">IF($F372&lt;&gt;"",XLOOKUP($F372,Productos!$A:$A,Productos!BF:BF,"Revisar"),"")</f>
        <v/>
      </c>
      <c r="BN372" s="179" t="str">
        <f t="array" ref="BN372">IF($F372&lt;&gt;"", XLOOKUP($F372,Productos!$A$2:$A1001,Productos!BG$2:BG1001,"")*$G372,"")</f>
        <v/>
      </c>
      <c r="BO372" s="179" t="str">
        <f t="array" ref="BO372">IF($F372&lt;&gt;"",XLOOKUP($F372,Productos!$A:$A,Productos!BH:BH,"Revisar"),"")</f>
        <v/>
      </c>
      <c r="BP372" s="179" t="str">
        <f t="array" ref="BP372">IF($F372&lt;&gt;"", XLOOKUP($F372,Productos!$A$2:$A1001,Productos!BI$2:BI1001,"")*$G372,"")</f>
        <v/>
      </c>
      <c r="BQ372" s="179" t="str">
        <f t="array" ref="BQ372">IF($F372&lt;&gt;"",XLOOKUP($F372,Productos!$A:$A,Productos!BJ:BJ,"Revisar"),"")</f>
        <v/>
      </c>
      <c r="BR372" s="179" t="str">
        <f t="array" ref="BR372">IF($F372&lt;&gt;"", XLOOKUP($F372,Productos!$A$2:$A1001,Productos!BK$2:BK1001,"")*$G372,"")</f>
        <v/>
      </c>
      <c r="BS372" s="179" t="str">
        <f t="array" ref="BS372">IF($F372&lt;&gt;"",XLOOKUP($F372,Productos!$A:$A,Productos!BL:BL,"Revisar"),"")</f>
        <v/>
      </c>
      <c r="BT372" s="179" t="str">
        <f t="array" ref="BT372">IF($F372&lt;&gt;"", XLOOKUP($F372,Productos!$A$2:$A1001,Productos!BM$2:BM1001,"")*$G372,"")</f>
        <v/>
      </c>
      <c r="BU372" s="179" t="str">
        <f t="array" ref="BU372">IF($F372&lt;&gt;"",XLOOKUP($F372,Productos!$A:$A,Productos!BN:BN,"Revisar"),"")</f>
        <v/>
      </c>
      <c r="BV372" s="179" t="str">
        <f t="array" ref="BV372">IF($F372&lt;&gt;"", XLOOKUP($F372,Productos!$A$2:$A1001,Productos!BO$2:BO1001,"")*$G372,"")</f>
        <v/>
      </c>
      <c r="BW372" s="179" t="str">
        <f t="array" ref="BW372">IF($F372&lt;&gt;"",XLOOKUP($F372,Productos!$A:$A,Productos!BP:BP,"Revisar"),"")</f>
        <v/>
      </c>
      <c r="BX372" s="179" t="str">
        <f t="array" ref="BX372">IF($F372&lt;&gt;"", XLOOKUP($F372,Productos!$A$2:$A1001,Productos!BQ$2:BQ1001,"")*$G372,"")</f>
        <v/>
      </c>
      <c r="BY372" s="179" t="str">
        <f t="array" ref="BY372">IF($F372&lt;&gt;"",XLOOKUP($F372,Productos!$A:$A,Productos!BR:BR,"Revisar"),"")</f>
        <v/>
      </c>
      <c r="BZ372" s="179" t="str">
        <f t="array" ref="BZ372">IF($F372&lt;&gt;"", XLOOKUP($F372,Productos!$A$2:$A1001,Productos!BS$2:BS1001,"")*$G372,"")</f>
        <v/>
      </c>
    </row>
    <row r="373">
      <c r="A373" s="188"/>
      <c r="B373" s="189"/>
      <c r="C373" s="190"/>
      <c r="D373" s="190"/>
      <c r="E373" s="191"/>
      <c r="F373" s="186"/>
      <c r="G373" s="192"/>
      <c r="H373" s="9"/>
      <c r="I373" s="179" t="str">
        <f t="array" ref="I373">IF($F373&lt;&gt;"",XLOOKUP($F373,Productos!$A:$A,Productos!B:B,"Revisar"),"")</f>
        <v/>
      </c>
      <c r="J373" s="179" t="str">
        <f t="array" ref="J373">IF($F373&lt;&gt;"", XLOOKUP($F373,Productos!$A$2:$A1001,Productos!C$2:C1001,"")*$G373,"")</f>
        <v/>
      </c>
      <c r="K373" s="179" t="str">
        <f t="array" ref="K373">IF($F373&lt;&gt;"",XLOOKUP($F373,Productos!$A:$A,Productos!D:D,"Revisar"),"")</f>
        <v/>
      </c>
      <c r="L373" s="179" t="str">
        <f t="array" ref="L373">IF($F373&lt;&gt;"", XLOOKUP($F373,Productos!$A$2:$A1001,Productos!E$2:E1001,"")*$G373,"")</f>
        <v/>
      </c>
      <c r="M373" s="179" t="str">
        <f t="array" ref="M373">IF($F373&lt;&gt;"",XLOOKUP($F373,Productos!$A:$A,Productos!F:F,"Revisar"),"")</f>
        <v/>
      </c>
      <c r="N373" s="179" t="str">
        <f t="array" ref="N373">IF($F373&lt;&gt;"", XLOOKUP($F373,Productos!$A$2:$A1001,Productos!G$2:G1001,"")*$G373,"")</f>
        <v/>
      </c>
      <c r="O373" s="179" t="str">
        <f t="array" ref="O373">IF($F373&lt;&gt;"",XLOOKUP($F373,Productos!$A:$A,Productos!H:H,"Revisar"),"")</f>
        <v/>
      </c>
      <c r="P373" s="179" t="str">
        <f t="array" ref="P373">IF($F373&lt;&gt;"", XLOOKUP($F373,Productos!$A$2:$A1001,Productos!I$2:I1001,"")*$G373,"")</f>
        <v/>
      </c>
      <c r="Q373" s="179" t="str">
        <f t="array" ref="Q373">IF($F373&lt;&gt;"",XLOOKUP($F373,Productos!$A:$A,Productos!J:J,"Revisar"),"")</f>
        <v/>
      </c>
      <c r="R373" s="179" t="str">
        <f t="array" ref="R373">IF($F373&lt;&gt;"", XLOOKUP($F373,Productos!$A$2:$A1001,Productos!K$2:K1001,"")*$G373,"")</f>
        <v/>
      </c>
      <c r="S373" s="179" t="str">
        <f t="array" ref="S373">IF($F373&lt;&gt;"",XLOOKUP($F373,Productos!$A:$A,Productos!L:L,"Revisar"),"")</f>
        <v/>
      </c>
      <c r="T373" s="179" t="str">
        <f t="array" ref="T373">IF($F373&lt;&gt;"", XLOOKUP($F373,Productos!$A$2:$A1001,Productos!M$2:M1001,"")*$G373,"")</f>
        <v/>
      </c>
      <c r="U373" s="179" t="str">
        <f t="array" ref="U373">IF($F373&lt;&gt;"",XLOOKUP($F373,Productos!$A:$A,Productos!N:N,"Revisar"),"")</f>
        <v/>
      </c>
      <c r="V373" s="179" t="str">
        <f t="array" ref="V373">IF($F373&lt;&gt;"", XLOOKUP($F373,Productos!$A$2:$A1001,Productos!O$2:O1001,"")*$G373,"")</f>
        <v/>
      </c>
      <c r="W373" s="179" t="str">
        <f t="array" ref="W373">IF($F373&lt;&gt;"",XLOOKUP($F373,Productos!$A:$A,Productos!P:P,"Revisar"),"")</f>
        <v/>
      </c>
      <c r="X373" s="179" t="str">
        <f t="array" ref="X373">IF($F373&lt;&gt;"", XLOOKUP($F373,Productos!$A$2:$A1001,Productos!Q$2:Q1001,"")*$G373,"")</f>
        <v/>
      </c>
      <c r="Y373" s="179" t="str">
        <f t="array" ref="Y373">IF($F373&lt;&gt;"",XLOOKUP($F373,Productos!$A:$A,Productos!R:R,"Revisar"),"")</f>
        <v/>
      </c>
      <c r="Z373" s="179" t="str">
        <f t="array" ref="Z373">IF($F373&lt;&gt;"", XLOOKUP($F373,Productos!$A$2:$A1001,Productos!S$2:S1001,"")*$G373,"")</f>
        <v/>
      </c>
      <c r="AA373" s="179" t="str">
        <f t="array" ref="AA373">IF($F373&lt;&gt;"",XLOOKUP($F373,Productos!$A:$A,Productos!T:T,"Revisar"),"")</f>
        <v/>
      </c>
      <c r="AB373" s="179" t="str">
        <f t="array" ref="AB373">IF($F373&lt;&gt;"", XLOOKUP($F373,Productos!$A$2:$A1001,Productos!U$2:U1001,"")*$G373,"")</f>
        <v/>
      </c>
      <c r="AC373" s="179" t="str">
        <f t="array" ref="AC373">IF($F373&lt;&gt;"",XLOOKUP($F373,Productos!$A:$A,Productos!V:V,"Revisar"),"")</f>
        <v/>
      </c>
      <c r="AD373" s="179" t="str">
        <f t="array" ref="AD373">IF($F373&lt;&gt;"", XLOOKUP($F373,Productos!$A$2:$A1001,Productos!W$2:W1001,"")*$G373,"")</f>
        <v/>
      </c>
      <c r="AE373" s="179" t="str">
        <f t="array" ref="AE373">IF($F373&lt;&gt;"",XLOOKUP($F373,Productos!$A:$A,Productos!X:X,"Revisar"),"")</f>
        <v/>
      </c>
      <c r="AF373" s="179" t="str">
        <f t="array" ref="AF373">IF($F373&lt;&gt;"", XLOOKUP($F373,Productos!$A$2:$A1001,Productos!Y$2:Y1001,"")*$G373,"")</f>
        <v/>
      </c>
      <c r="AG373" s="179" t="str">
        <f t="array" ref="AG373">IF($F373&lt;&gt;"",XLOOKUP($F373,Productos!$A:$A,Productos!Z:Z,"Revisar"),"")</f>
        <v/>
      </c>
      <c r="AH373" s="179" t="str">
        <f t="array" ref="AH373">IF($F373&lt;&gt;"", XLOOKUP($F373,Productos!$A$2:$A1001,Productos!AA$2:AA1001,"")*$G373,"")</f>
        <v/>
      </c>
      <c r="AI373" s="179" t="str">
        <f t="array" ref="AI373">IF($F373&lt;&gt;"",XLOOKUP($F373,Productos!$A:$A,Productos!AB:AB,"Revisar"),"")</f>
        <v/>
      </c>
      <c r="AJ373" s="179" t="str">
        <f t="array" ref="AJ373">IF($F373&lt;&gt;"", XLOOKUP($F373,Productos!$A$2:$A1001,Productos!AC$2:AC1001,"")*$G373,"")</f>
        <v/>
      </c>
      <c r="AK373" s="179" t="str">
        <f t="array" ref="AK373">IF($F373&lt;&gt;"",XLOOKUP($F373,Productos!$A:$A,Productos!AD:AD,"Revisar"),"")</f>
        <v/>
      </c>
      <c r="AL373" s="179" t="str">
        <f t="array" ref="AL373">IF($F373&lt;&gt;"", XLOOKUP($F373,Productos!$A$2:$A1001,Productos!AE$2:AE1001,"")*$G373,"")</f>
        <v/>
      </c>
      <c r="AM373" s="179" t="str">
        <f t="array" ref="AM373">IF($F373&lt;&gt;"",XLOOKUP($F373,Productos!$A:$A,Productos!AF:AF,"Revisar"),"")</f>
        <v/>
      </c>
      <c r="AN373" s="179" t="str">
        <f t="array" ref="AN373">IF($F373&lt;&gt;"", XLOOKUP($F373,Productos!$A$2:$A1001,Productos!AG$2:AG1001,"")*$G373,"")</f>
        <v/>
      </c>
      <c r="AO373" s="179" t="str">
        <f t="array" ref="AO373">IF($F373&lt;&gt;"",XLOOKUP($F373,Productos!$A:$A,Productos!AH:AH,"Revisar"),"")</f>
        <v/>
      </c>
      <c r="AP373" s="179" t="str">
        <f t="array" ref="AP373">IF($F373&lt;&gt;"", XLOOKUP($F373,Productos!$A$2:$A1001,Productos!AI$2:AI1001,"")*$G373,"")</f>
        <v/>
      </c>
      <c r="AQ373" s="179" t="str">
        <f t="array" ref="AQ373">IF($F373&lt;&gt;"",XLOOKUP($F373,Productos!$A:$A,Productos!AJ:AJ,"Revisar"),"")</f>
        <v/>
      </c>
      <c r="AR373" s="179" t="str">
        <f t="array" ref="AR373">IF($F373&lt;&gt;"", XLOOKUP($F373,Productos!$A$2:$A1001,Productos!AK$2:AK1001,"")*$G373,"")</f>
        <v/>
      </c>
      <c r="AS373" s="179" t="str">
        <f t="array" ref="AS373">IF($F373&lt;&gt;"",XLOOKUP($F373,Productos!$A:$A,Productos!AL:AL,"Revisar"),"")</f>
        <v/>
      </c>
      <c r="AT373" s="179" t="str">
        <f t="array" ref="AT373">IF($F373&lt;&gt;"", XLOOKUP($F373,Productos!$A$2:$A1001,Productos!AM$2:AM1001,"")*$G373,"")</f>
        <v/>
      </c>
      <c r="AU373" s="179" t="str">
        <f t="array" ref="AU373">IF($F373&lt;&gt;"",XLOOKUP($F373,Productos!$A:$A,Productos!AN:AN,"Revisar"),"")</f>
        <v/>
      </c>
      <c r="AV373" s="179" t="str">
        <f t="array" ref="AV373">IF($F373&lt;&gt;"", XLOOKUP($F373,Productos!$A$2:$A1001,Productos!AO$2:AO1001,"")*$G373,"")</f>
        <v/>
      </c>
      <c r="AW373" s="179" t="str">
        <f t="array" ref="AW373">IF($F373&lt;&gt;"",XLOOKUP($F373,Productos!$A:$A,Productos!AP:AP,"Revisar"),"")</f>
        <v/>
      </c>
      <c r="AX373" s="179" t="str">
        <f t="array" ref="AX373">IF($F373&lt;&gt;"", XLOOKUP($F373,Productos!$A$2:$A1001,Productos!AQ$2:AQ1001,"")*$G373,"")</f>
        <v/>
      </c>
      <c r="AY373" s="179" t="str">
        <f t="array" ref="AY373">IF($F373&lt;&gt;"",XLOOKUP($F373,Productos!$A:$A,Productos!AR:AR,"Revisar"),"")</f>
        <v/>
      </c>
      <c r="AZ373" s="179" t="str">
        <f t="array" ref="AZ373">IF($F373&lt;&gt;"", XLOOKUP($F373,Productos!$A$2:$A1001,Productos!AS$2:AS1001,"")*$G373,"")</f>
        <v/>
      </c>
      <c r="BA373" s="179" t="str">
        <f t="array" ref="BA373">IF($F373&lt;&gt;"",XLOOKUP($F373,Productos!$A:$A,Productos!AT:AT,"Revisar"),"")</f>
        <v/>
      </c>
      <c r="BB373" s="179" t="str">
        <f t="array" ref="BB373">IF($F373&lt;&gt;"", XLOOKUP($F373,Productos!$A$2:$A1001,Productos!AU$2:AU1001,"")*$G373,"")</f>
        <v/>
      </c>
      <c r="BC373" s="179" t="str">
        <f t="array" ref="BC373">IF($F373&lt;&gt;"",XLOOKUP($F373,Productos!$A:$A,Productos!AV:AV,"Revisar"),"")</f>
        <v/>
      </c>
      <c r="BD373" s="179" t="str">
        <f t="array" ref="BD373">IF($F373&lt;&gt;"", XLOOKUP($F373,Productos!$A$2:$A1001,Productos!AW$2:AW1001,"")*$G373,"")</f>
        <v/>
      </c>
      <c r="BE373" s="179" t="str">
        <f t="array" ref="BE373">IF($F373&lt;&gt;"",XLOOKUP($F373,Productos!$A:$A,Productos!AX:AX,"Revisar"),"")</f>
        <v/>
      </c>
      <c r="BF373" s="179" t="str">
        <f t="array" ref="BF373">IF($F373&lt;&gt;"", XLOOKUP($F373,Productos!$A$2:$A1001,Productos!AY$2:AY1001,"")*$G373,"")</f>
        <v/>
      </c>
      <c r="BG373" s="179" t="str">
        <f t="array" ref="BG373">IF($F373&lt;&gt;"",XLOOKUP($F373,Productos!$A:$A,Productos!AZ:AZ,"Revisar"),"")</f>
        <v/>
      </c>
      <c r="BH373" s="179" t="str">
        <f t="array" ref="BH373">IF($F373&lt;&gt;"", XLOOKUP($F373,Productos!$A$2:$A1001,Productos!BA$2:BA1001,"")*$G373,"")</f>
        <v/>
      </c>
      <c r="BI373" s="179" t="str">
        <f t="array" ref="BI373">IF($F373&lt;&gt;"",XLOOKUP($F373,Productos!$A:$A,Productos!BB:BB,"Revisar"),"")</f>
        <v/>
      </c>
      <c r="BJ373" s="179" t="str">
        <f t="array" ref="BJ373">IF($F373&lt;&gt;"", XLOOKUP($F373,Productos!$A$2:$A1001,Productos!BC$2:BC1001,"")*$G373,"")</f>
        <v/>
      </c>
      <c r="BK373" s="179" t="str">
        <f t="array" ref="BK373">IF($F373&lt;&gt;"",XLOOKUP($F373,Productos!$A:$A,Productos!BD:BD,"Revisar"),"")</f>
        <v/>
      </c>
      <c r="BL373" s="179" t="str">
        <f t="array" ref="BL373">IF($F373&lt;&gt;"", XLOOKUP($F373,Productos!$A$2:$A1001,Productos!BE$2:BE1001,"")*$G373,"")</f>
        <v/>
      </c>
      <c r="BM373" s="179" t="str">
        <f t="array" ref="BM373">IF($F373&lt;&gt;"",XLOOKUP($F373,Productos!$A:$A,Productos!BF:BF,"Revisar"),"")</f>
        <v/>
      </c>
      <c r="BN373" s="179" t="str">
        <f t="array" ref="BN373">IF($F373&lt;&gt;"", XLOOKUP($F373,Productos!$A$2:$A1001,Productos!BG$2:BG1001,"")*$G373,"")</f>
        <v/>
      </c>
      <c r="BO373" s="179" t="str">
        <f t="array" ref="BO373">IF($F373&lt;&gt;"",XLOOKUP($F373,Productos!$A:$A,Productos!BH:BH,"Revisar"),"")</f>
        <v/>
      </c>
      <c r="BP373" s="179" t="str">
        <f t="array" ref="BP373">IF($F373&lt;&gt;"", XLOOKUP($F373,Productos!$A$2:$A1001,Productos!BI$2:BI1001,"")*$G373,"")</f>
        <v/>
      </c>
      <c r="BQ373" s="179" t="str">
        <f t="array" ref="BQ373">IF($F373&lt;&gt;"",XLOOKUP($F373,Productos!$A:$A,Productos!BJ:BJ,"Revisar"),"")</f>
        <v/>
      </c>
      <c r="BR373" s="179" t="str">
        <f t="array" ref="BR373">IF($F373&lt;&gt;"", XLOOKUP($F373,Productos!$A$2:$A1001,Productos!BK$2:BK1001,"")*$G373,"")</f>
        <v/>
      </c>
      <c r="BS373" s="179" t="str">
        <f t="array" ref="BS373">IF($F373&lt;&gt;"",XLOOKUP($F373,Productos!$A:$A,Productos!BL:BL,"Revisar"),"")</f>
        <v/>
      </c>
      <c r="BT373" s="179" t="str">
        <f t="array" ref="BT373">IF($F373&lt;&gt;"", XLOOKUP($F373,Productos!$A$2:$A1001,Productos!BM$2:BM1001,"")*$G373,"")</f>
        <v/>
      </c>
      <c r="BU373" s="179" t="str">
        <f t="array" ref="BU373">IF($F373&lt;&gt;"",XLOOKUP($F373,Productos!$A:$A,Productos!BN:BN,"Revisar"),"")</f>
        <v/>
      </c>
      <c r="BV373" s="179" t="str">
        <f t="array" ref="BV373">IF($F373&lt;&gt;"", XLOOKUP($F373,Productos!$A$2:$A1001,Productos!BO$2:BO1001,"")*$G373,"")</f>
        <v/>
      </c>
      <c r="BW373" s="179" t="str">
        <f t="array" ref="BW373">IF($F373&lt;&gt;"",XLOOKUP($F373,Productos!$A:$A,Productos!BP:BP,"Revisar"),"")</f>
        <v/>
      </c>
      <c r="BX373" s="179" t="str">
        <f t="array" ref="BX373">IF($F373&lt;&gt;"", XLOOKUP($F373,Productos!$A$2:$A1001,Productos!BQ$2:BQ1001,"")*$G373,"")</f>
        <v/>
      </c>
      <c r="BY373" s="179" t="str">
        <f t="array" ref="BY373">IF($F373&lt;&gt;"",XLOOKUP($F373,Productos!$A:$A,Productos!BR:BR,"Revisar"),"")</f>
        <v/>
      </c>
      <c r="BZ373" s="179" t="str">
        <f t="array" ref="BZ373">IF($F373&lt;&gt;"", XLOOKUP($F373,Productos!$A$2:$A1001,Productos!BS$2:BS1001,"")*$G373,"")</f>
        <v/>
      </c>
    </row>
    <row r="374">
      <c r="A374" s="188"/>
      <c r="B374" s="189"/>
      <c r="C374" s="190"/>
      <c r="D374" s="190"/>
      <c r="E374" s="191"/>
      <c r="F374" s="186"/>
      <c r="G374" s="192"/>
      <c r="H374" s="9"/>
      <c r="I374" s="179" t="str">
        <f t="array" ref="I374">IF($F374&lt;&gt;"",XLOOKUP($F374,Productos!$A:$A,Productos!B:B,"Revisar"),"")</f>
        <v/>
      </c>
      <c r="J374" s="179" t="str">
        <f t="array" ref="J374">IF($F374&lt;&gt;"", XLOOKUP($F374,Productos!$A$2:$A1001,Productos!C$2:C1001,"")*$G374,"")</f>
        <v/>
      </c>
      <c r="K374" s="179" t="str">
        <f t="array" ref="K374">IF($F374&lt;&gt;"",XLOOKUP($F374,Productos!$A:$A,Productos!D:D,"Revisar"),"")</f>
        <v/>
      </c>
      <c r="L374" s="179" t="str">
        <f t="array" ref="L374">IF($F374&lt;&gt;"", XLOOKUP($F374,Productos!$A$2:$A1001,Productos!E$2:E1001,"")*$G374,"")</f>
        <v/>
      </c>
      <c r="M374" s="179" t="str">
        <f t="array" ref="M374">IF($F374&lt;&gt;"",XLOOKUP($F374,Productos!$A:$A,Productos!F:F,"Revisar"),"")</f>
        <v/>
      </c>
      <c r="N374" s="179" t="str">
        <f t="array" ref="N374">IF($F374&lt;&gt;"", XLOOKUP($F374,Productos!$A$2:$A1001,Productos!G$2:G1001,"")*$G374,"")</f>
        <v/>
      </c>
      <c r="O374" s="179" t="str">
        <f t="array" ref="O374">IF($F374&lt;&gt;"",XLOOKUP($F374,Productos!$A:$A,Productos!H:H,"Revisar"),"")</f>
        <v/>
      </c>
      <c r="P374" s="179" t="str">
        <f t="array" ref="P374">IF($F374&lt;&gt;"", XLOOKUP($F374,Productos!$A$2:$A1001,Productos!I$2:I1001,"")*$G374,"")</f>
        <v/>
      </c>
      <c r="Q374" s="179" t="str">
        <f t="array" ref="Q374">IF($F374&lt;&gt;"",XLOOKUP($F374,Productos!$A:$A,Productos!J:J,"Revisar"),"")</f>
        <v/>
      </c>
      <c r="R374" s="179" t="str">
        <f t="array" ref="R374">IF($F374&lt;&gt;"", XLOOKUP($F374,Productos!$A$2:$A1001,Productos!K$2:K1001,"")*$G374,"")</f>
        <v/>
      </c>
      <c r="S374" s="179" t="str">
        <f t="array" ref="S374">IF($F374&lt;&gt;"",XLOOKUP($F374,Productos!$A:$A,Productos!L:L,"Revisar"),"")</f>
        <v/>
      </c>
      <c r="T374" s="179" t="str">
        <f t="array" ref="T374">IF($F374&lt;&gt;"", XLOOKUP($F374,Productos!$A$2:$A1001,Productos!M$2:M1001,"")*$G374,"")</f>
        <v/>
      </c>
      <c r="U374" s="179" t="str">
        <f t="array" ref="U374">IF($F374&lt;&gt;"",XLOOKUP($F374,Productos!$A:$A,Productos!N:N,"Revisar"),"")</f>
        <v/>
      </c>
      <c r="V374" s="179" t="str">
        <f t="array" ref="V374">IF($F374&lt;&gt;"", XLOOKUP($F374,Productos!$A$2:$A1001,Productos!O$2:O1001,"")*$G374,"")</f>
        <v/>
      </c>
      <c r="W374" s="179" t="str">
        <f t="array" ref="W374">IF($F374&lt;&gt;"",XLOOKUP($F374,Productos!$A:$A,Productos!P:P,"Revisar"),"")</f>
        <v/>
      </c>
      <c r="X374" s="179" t="str">
        <f t="array" ref="X374">IF($F374&lt;&gt;"", XLOOKUP($F374,Productos!$A$2:$A1001,Productos!Q$2:Q1001,"")*$G374,"")</f>
        <v/>
      </c>
      <c r="Y374" s="179" t="str">
        <f t="array" ref="Y374">IF($F374&lt;&gt;"",XLOOKUP($F374,Productos!$A:$A,Productos!R:R,"Revisar"),"")</f>
        <v/>
      </c>
      <c r="Z374" s="179" t="str">
        <f t="array" ref="Z374">IF($F374&lt;&gt;"", XLOOKUP($F374,Productos!$A$2:$A1001,Productos!S$2:S1001,"")*$G374,"")</f>
        <v/>
      </c>
      <c r="AA374" s="179" t="str">
        <f t="array" ref="AA374">IF($F374&lt;&gt;"",XLOOKUP($F374,Productos!$A:$A,Productos!T:T,"Revisar"),"")</f>
        <v/>
      </c>
      <c r="AB374" s="179" t="str">
        <f t="array" ref="AB374">IF($F374&lt;&gt;"", XLOOKUP($F374,Productos!$A$2:$A1001,Productos!U$2:U1001,"")*$G374,"")</f>
        <v/>
      </c>
      <c r="AC374" s="179" t="str">
        <f t="array" ref="AC374">IF($F374&lt;&gt;"",XLOOKUP($F374,Productos!$A:$A,Productos!V:V,"Revisar"),"")</f>
        <v/>
      </c>
      <c r="AD374" s="179" t="str">
        <f t="array" ref="AD374">IF($F374&lt;&gt;"", XLOOKUP($F374,Productos!$A$2:$A1001,Productos!W$2:W1001,"")*$G374,"")</f>
        <v/>
      </c>
      <c r="AE374" s="179" t="str">
        <f t="array" ref="AE374">IF($F374&lt;&gt;"",XLOOKUP($F374,Productos!$A:$A,Productos!X:X,"Revisar"),"")</f>
        <v/>
      </c>
      <c r="AF374" s="179" t="str">
        <f t="array" ref="AF374">IF($F374&lt;&gt;"", XLOOKUP($F374,Productos!$A$2:$A1001,Productos!Y$2:Y1001,"")*$G374,"")</f>
        <v/>
      </c>
      <c r="AG374" s="179" t="str">
        <f t="array" ref="AG374">IF($F374&lt;&gt;"",XLOOKUP($F374,Productos!$A:$A,Productos!Z:Z,"Revisar"),"")</f>
        <v/>
      </c>
      <c r="AH374" s="179" t="str">
        <f t="array" ref="AH374">IF($F374&lt;&gt;"", XLOOKUP($F374,Productos!$A$2:$A1001,Productos!AA$2:AA1001,"")*$G374,"")</f>
        <v/>
      </c>
      <c r="AI374" s="179" t="str">
        <f t="array" ref="AI374">IF($F374&lt;&gt;"",XLOOKUP($F374,Productos!$A:$A,Productos!AB:AB,"Revisar"),"")</f>
        <v/>
      </c>
      <c r="AJ374" s="179" t="str">
        <f t="array" ref="AJ374">IF($F374&lt;&gt;"", XLOOKUP($F374,Productos!$A$2:$A1001,Productos!AC$2:AC1001,"")*$G374,"")</f>
        <v/>
      </c>
      <c r="AK374" s="179" t="str">
        <f t="array" ref="AK374">IF($F374&lt;&gt;"",XLOOKUP($F374,Productos!$A:$A,Productos!AD:AD,"Revisar"),"")</f>
        <v/>
      </c>
      <c r="AL374" s="179" t="str">
        <f t="array" ref="AL374">IF($F374&lt;&gt;"", XLOOKUP($F374,Productos!$A$2:$A1001,Productos!AE$2:AE1001,"")*$G374,"")</f>
        <v/>
      </c>
      <c r="AM374" s="179" t="str">
        <f t="array" ref="AM374">IF($F374&lt;&gt;"",XLOOKUP($F374,Productos!$A:$A,Productos!AF:AF,"Revisar"),"")</f>
        <v/>
      </c>
      <c r="AN374" s="179" t="str">
        <f t="array" ref="AN374">IF($F374&lt;&gt;"", XLOOKUP($F374,Productos!$A$2:$A1001,Productos!AG$2:AG1001,"")*$G374,"")</f>
        <v/>
      </c>
      <c r="AO374" s="179" t="str">
        <f t="array" ref="AO374">IF($F374&lt;&gt;"",XLOOKUP($F374,Productos!$A:$A,Productos!AH:AH,"Revisar"),"")</f>
        <v/>
      </c>
      <c r="AP374" s="179" t="str">
        <f t="array" ref="AP374">IF($F374&lt;&gt;"", XLOOKUP($F374,Productos!$A$2:$A1001,Productos!AI$2:AI1001,"")*$G374,"")</f>
        <v/>
      </c>
      <c r="AQ374" s="179" t="str">
        <f t="array" ref="AQ374">IF($F374&lt;&gt;"",XLOOKUP($F374,Productos!$A:$A,Productos!AJ:AJ,"Revisar"),"")</f>
        <v/>
      </c>
      <c r="AR374" s="179" t="str">
        <f t="array" ref="AR374">IF($F374&lt;&gt;"", XLOOKUP($F374,Productos!$A$2:$A1001,Productos!AK$2:AK1001,"")*$G374,"")</f>
        <v/>
      </c>
      <c r="AS374" s="179" t="str">
        <f t="array" ref="AS374">IF($F374&lt;&gt;"",XLOOKUP($F374,Productos!$A:$A,Productos!AL:AL,"Revisar"),"")</f>
        <v/>
      </c>
      <c r="AT374" s="179" t="str">
        <f t="array" ref="AT374">IF($F374&lt;&gt;"", XLOOKUP($F374,Productos!$A$2:$A1001,Productos!AM$2:AM1001,"")*$G374,"")</f>
        <v/>
      </c>
      <c r="AU374" s="179" t="str">
        <f t="array" ref="AU374">IF($F374&lt;&gt;"",XLOOKUP($F374,Productos!$A:$A,Productos!AN:AN,"Revisar"),"")</f>
        <v/>
      </c>
      <c r="AV374" s="179" t="str">
        <f t="array" ref="AV374">IF($F374&lt;&gt;"", XLOOKUP($F374,Productos!$A$2:$A1001,Productos!AO$2:AO1001,"")*$G374,"")</f>
        <v/>
      </c>
      <c r="AW374" s="179" t="str">
        <f t="array" ref="AW374">IF($F374&lt;&gt;"",XLOOKUP($F374,Productos!$A:$A,Productos!AP:AP,"Revisar"),"")</f>
        <v/>
      </c>
      <c r="AX374" s="179" t="str">
        <f t="array" ref="AX374">IF($F374&lt;&gt;"", XLOOKUP($F374,Productos!$A$2:$A1001,Productos!AQ$2:AQ1001,"")*$G374,"")</f>
        <v/>
      </c>
      <c r="AY374" s="179" t="str">
        <f t="array" ref="AY374">IF($F374&lt;&gt;"",XLOOKUP($F374,Productos!$A:$A,Productos!AR:AR,"Revisar"),"")</f>
        <v/>
      </c>
      <c r="AZ374" s="179" t="str">
        <f t="array" ref="AZ374">IF($F374&lt;&gt;"", XLOOKUP($F374,Productos!$A$2:$A1001,Productos!AS$2:AS1001,"")*$G374,"")</f>
        <v/>
      </c>
      <c r="BA374" s="179" t="str">
        <f t="array" ref="BA374">IF($F374&lt;&gt;"",XLOOKUP($F374,Productos!$A:$A,Productos!AT:AT,"Revisar"),"")</f>
        <v/>
      </c>
      <c r="BB374" s="179" t="str">
        <f t="array" ref="BB374">IF($F374&lt;&gt;"", XLOOKUP($F374,Productos!$A$2:$A1001,Productos!AU$2:AU1001,"")*$G374,"")</f>
        <v/>
      </c>
      <c r="BC374" s="179" t="str">
        <f t="array" ref="BC374">IF($F374&lt;&gt;"",XLOOKUP($F374,Productos!$A:$A,Productos!AV:AV,"Revisar"),"")</f>
        <v/>
      </c>
      <c r="BD374" s="179" t="str">
        <f t="array" ref="BD374">IF($F374&lt;&gt;"", XLOOKUP($F374,Productos!$A$2:$A1001,Productos!AW$2:AW1001,"")*$G374,"")</f>
        <v/>
      </c>
      <c r="BE374" s="179" t="str">
        <f t="array" ref="BE374">IF($F374&lt;&gt;"",XLOOKUP($F374,Productos!$A:$A,Productos!AX:AX,"Revisar"),"")</f>
        <v/>
      </c>
      <c r="BF374" s="179" t="str">
        <f t="array" ref="BF374">IF($F374&lt;&gt;"", XLOOKUP($F374,Productos!$A$2:$A1001,Productos!AY$2:AY1001,"")*$G374,"")</f>
        <v/>
      </c>
      <c r="BG374" s="179" t="str">
        <f t="array" ref="BG374">IF($F374&lt;&gt;"",XLOOKUP($F374,Productos!$A:$A,Productos!AZ:AZ,"Revisar"),"")</f>
        <v/>
      </c>
      <c r="BH374" s="179" t="str">
        <f t="array" ref="BH374">IF($F374&lt;&gt;"", XLOOKUP($F374,Productos!$A$2:$A1001,Productos!BA$2:BA1001,"")*$G374,"")</f>
        <v/>
      </c>
      <c r="BI374" s="179" t="str">
        <f t="array" ref="BI374">IF($F374&lt;&gt;"",XLOOKUP($F374,Productos!$A:$A,Productos!BB:BB,"Revisar"),"")</f>
        <v/>
      </c>
      <c r="BJ374" s="179" t="str">
        <f t="array" ref="BJ374">IF($F374&lt;&gt;"", XLOOKUP($F374,Productos!$A$2:$A1001,Productos!BC$2:BC1001,"")*$G374,"")</f>
        <v/>
      </c>
      <c r="BK374" s="179" t="str">
        <f t="array" ref="BK374">IF($F374&lt;&gt;"",XLOOKUP($F374,Productos!$A:$A,Productos!BD:BD,"Revisar"),"")</f>
        <v/>
      </c>
      <c r="BL374" s="179" t="str">
        <f t="array" ref="BL374">IF($F374&lt;&gt;"", XLOOKUP($F374,Productos!$A$2:$A1001,Productos!BE$2:BE1001,"")*$G374,"")</f>
        <v/>
      </c>
      <c r="BM374" s="179" t="str">
        <f t="array" ref="BM374">IF($F374&lt;&gt;"",XLOOKUP($F374,Productos!$A:$A,Productos!BF:BF,"Revisar"),"")</f>
        <v/>
      </c>
      <c r="BN374" s="179" t="str">
        <f t="array" ref="BN374">IF($F374&lt;&gt;"", XLOOKUP($F374,Productos!$A$2:$A1001,Productos!BG$2:BG1001,"")*$G374,"")</f>
        <v/>
      </c>
      <c r="BO374" s="179" t="str">
        <f t="array" ref="BO374">IF($F374&lt;&gt;"",XLOOKUP($F374,Productos!$A:$A,Productos!BH:BH,"Revisar"),"")</f>
        <v/>
      </c>
      <c r="BP374" s="179" t="str">
        <f t="array" ref="BP374">IF($F374&lt;&gt;"", XLOOKUP($F374,Productos!$A$2:$A1001,Productos!BI$2:BI1001,"")*$G374,"")</f>
        <v/>
      </c>
      <c r="BQ374" s="179" t="str">
        <f t="array" ref="BQ374">IF($F374&lt;&gt;"",XLOOKUP($F374,Productos!$A:$A,Productos!BJ:BJ,"Revisar"),"")</f>
        <v/>
      </c>
      <c r="BR374" s="179" t="str">
        <f t="array" ref="BR374">IF($F374&lt;&gt;"", XLOOKUP($F374,Productos!$A$2:$A1001,Productos!BK$2:BK1001,"")*$G374,"")</f>
        <v/>
      </c>
      <c r="BS374" s="179" t="str">
        <f t="array" ref="BS374">IF($F374&lt;&gt;"",XLOOKUP($F374,Productos!$A:$A,Productos!BL:BL,"Revisar"),"")</f>
        <v/>
      </c>
      <c r="BT374" s="179" t="str">
        <f t="array" ref="BT374">IF($F374&lt;&gt;"", XLOOKUP($F374,Productos!$A$2:$A1001,Productos!BM$2:BM1001,"")*$G374,"")</f>
        <v/>
      </c>
      <c r="BU374" s="179" t="str">
        <f t="array" ref="BU374">IF($F374&lt;&gt;"",XLOOKUP($F374,Productos!$A:$A,Productos!BN:BN,"Revisar"),"")</f>
        <v/>
      </c>
      <c r="BV374" s="179" t="str">
        <f t="array" ref="BV374">IF($F374&lt;&gt;"", XLOOKUP($F374,Productos!$A$2:$A1001,Productos!BO$2:BO1001,"")*$G374,"")</f>
        <v/>
      </c>
      <c r="BW374" s="179" t="str">
        <f t="array" ref="BW374">IF($F374&lt;&gt;"",XLOOKUP($F374,Productos!$A:$A,Productos!BP:BP,"Revisar"),"")</f>
        <v/>
      </c>
      <c r="BX374" s="179" t="str">
        <f t="array" ref="BX374">IF($F374&lt;&gt;"", XLOOKUP($F374,Productos!$A$2:$A1001,Productos!BQ$2:BQ1001,"")*$G374,"")</f>
        <v/>
      </c>
      <c r="BY374" s="179" t="str">
        <f t="array" ref="BY374">IF($F374&lt;&gt;"",XLOOKUP($F374,Productos!$A:$A,Productos!BR:BR,"Revisar"),"")</f>
        <v/>
      </c>
      <c r="BZ374" s="179" t="str">
        <f t="array" ref="BZ374">IF($F374&lt;&gt;"", XLOOKUP($F374,Productos!$A$2:$A1001,Productos!BS$2:BS1001,"")*$G374,"")</f>
        <v/>
      </c>
    </row>
    <row r="375">
      <c r="A375" s="188"/>
      <c r="B375" s="189"/>
      <c r="C375" s="190"/>
      <c r="D375" s="190"/>
      <c r="E375" s="191"/>
      <c r="F375" s="186"/>
      <c r="G375" s="192"/>
      <c r="H375" s="9"/>
      <c r="I375" s="179" t="str">
        <f t="array" ref="I375">IF($F375&lt;&gt;"",XLOOKUP($F375,Productos!$A:$A,Productos!B:B,"Revisar"),"")</f>
        <v/>
      </c>
      <c r="J375" s="179" t="str">
        <f t="array" ref="J375">IF($F375&lt;&gt;"", XLOOKUP($F375,Productos!$A$2:$A1001,Productos!C$2:C1001,"")*$G375,"")</f>
        <v/>
      </c>
      <c r="K375" s="179" t="str">
        <f t="array" ref="K375">IF($F375&lt;&gt;"",XLOOKUP($F375,Productos!$A:$A,Productos!D:D,"Revisar"),"")</f>
        <v/>
      </c>
      <c r="L375" s="179" t="str">
        <f t="array" ref="L375">IF($F375&lt;&gt;"", XLOOKUP($F375,Productos!$A$2:$A1001,Productos!E$2:E1001,"")*$G375,"")</f>
        <v/>
      </c>
      <c r="M375" s="179" t="str">
        <f t="array" ref="M375">IF($F375&lt;&gt;"",XLOOKUP($F375,Productos!$A:$A,Productos!F:F,"Revisar"),"")</f>
        <v/>
      </c>
      <c r="N375" s="179" t="str">
        <f t="array" ref="N375">IF($F375&lt;&gt;"", XLOOKUP($F375,Productos!$A$2:$A1001,Productos!G$2:G1001,"")*$G375,"")</f>
        <v/>
      </c>
      <c r="O375" s="179" t="str">
        <f t="array" ref="O375">IF($F375&lt;&gt;"",XLOOKUP($F375,Productos!$A:$A,Productos!H:H,"Revisar"),"")</f>
        <v/>
      </c>
      <c r="P375" s="179" t="str">
        <f t="array" ref="P375">IF($F375&lt;&gt;"", XLOOKUP($F375,Productos!$A$2:$A1001,Productos!I$2:I1001,"")*$G375,"")</f>
        <v/>
      </c>
      <c r="Q375" s="179" t="str">
        <f t="array" ref="Q375">IF($F375&lt;&gt;"",XLOOKUP($F375,Productos!$A:$A,Productos!J:J,"Revisar"),"")</f>
        <v/>
      </c>
      <c r="R375" s="179" t="str">
        <f t="array" ref="R375">IF($F375&lt;&gt;"", XLOOKUP($F375,Productos!$A$2:$A1001,Productos!K$2:K1001,"")*$G375,"")</f>
        <v/>
      </c>
      <c r="S375" s="179" t="str">
        <f t="array" ref="S375">IF($F375&lt;&gt;"",XLOOKUP($F375,Productos!$A:$A,Productos!L:L,"Revisar"),"")</f>
        <v/>
      </c>
      <c r="T375" s="179" t="str">
        <f t="array" ref="T375">IF($F375&lt;&gt;"", XLOOKUP($F375,Productos!$A$2:$A1001,Productos!M$2:M1001,"")*$G375,"")</f>
        <v/>
      </c>
      <c r="U375" s="179" t="str">
        <f t="array" ref="U375">IF($F375&lt;&gt;"",XLOOKUP($F375,Productos!$A:$A,Productos!N:N,"Revisar"),"")</f>
        <v/>
      </c>
      <c r="V375" s="179" t="str">
        <f t="array" ref="V375">IF($F375&lt;&gt;"", XLOOKUP($F375,Productos!$A$2:$A1001,Productos!O$2:O1001,"")*$G375,"")</f>
        <v/>
      </c>
      <c r="W375" s="179" t="str">
        <f t="array" ref="W375">IF($F375&lt;&gt;"",XLOOKUP($F375,Productos!$A:$A,Productos!P:P,"Revisar"),"")</f>
        <v/>
      </c>
      <c r="X375" s="179" t="str">
        <f t="array" ref="X375">IF($F375&lt;&gt;"", XLOOKUP($F375,Productos!$A$2:$A1001,Productos!Q$2:Q1001,"")*$G375,"")</f>
        <v/>
      </c>
      <c r="Y375" s="179" t="str">
        <f t="array" ref="Y375">IF($F375&lt;&gt;"",XLOOKUP($F375,Productos!$A:$A,Productos!R:R,"Revisar"),"")</f>
        <v/>
      </c>
      <c r="Z375" s="179" t="str">
        <f t="array" ref="Z375">IF($F375&lt;&gt;"", XLOOKUP($F375,Productos!$A$2:$A1001,Productos!S$2:S1001,"")*$G375,"")</f>
        <v/>
      </c>
      <c r="AA375" s="179" t="str">
        <f t="array" ref="AA375">IF($F375&lt;&gt;"",XLOOKUP($F375,Productos!$A:$A,Productos!T:T,"Revisar"),"")</f>
        <v/>
      </c>
      <c r="AB375" s="179" t="str">
        <f t="array" ref="AB375">IF($F375&lt;&gt;"", XLOOKUP($F375,Productos!$A$2:$A1001,Productos!U$2:U1001,"")*$G375,"")</f>
        <v/>
      </c>
      <c r="AC375" s="179" t="str">
        <f t="array" ref="AC375">IF($F375&lt;&gt;"",XLOOKUP($F375,Productos!$A:$A,Productos!V:V,"Revisar"),"")</f>
        <v/>
      </c>
      <c r="AD375" s="179" t="str">
        <f t="array" ref="AD375">IF($F375&lt;&gt;"", XLOOKUP($F375,Productos!$A$2:$A1001,Productos!W$2:W1001,"")*$G375,"")</f>
        <v/>
      </c>
      <c r="AE375" s="179" t="str">
        <f t="array" ref="AE375">IF($F375&lt;&gt;"",XLOOKUP($F375,Productos!$A:$A,Productos!X:X,"Revisar"),"")</f>
        <v/>
      </c>
      <c r="AF375" s="179" t="str">
        <f t="array" ref="AF375">IF($F375&lt;&gt;"", XLOOKUP($F375,Productos!$A$2:$A1001,Productos!Y$2:Y1001,"")*$G375,"")</f>
        <v/>
      </c>
      <c r="AG375" s="179" t="str">
        <f t="array" ref="AG375">IF($F375&lt;&gt;"",XLOOKUP($F375,Productos!$A:$A,Productos!Z:Z,"Revisar"),"")</f>
        <v/>
      </c>
      <c r="AH375" s="179" t="str">
        <f t="array" ref="AH375">IF($F375&lt;&gt;"", XLOOKUP($F375,Productos!$A$2:$A1001,Productos!AA$2:AA1001,"")*$G375,"")</f>
        <v/>
      </c>
      <c r="AI375" s="179" t="str">
        <f t="array" ref="AI375">IF($F375&lt;&gt;"",XLOOKUP($F375,Productos!$A:$A,Productos!AB:AB,"Revisar"),"")</f>
        <v/>
      </c>
      <c r="AJ375" s="179" t="str">
        <f t="array" ref="AJ375">IF($F375&lt;&gt;"", XLOOKUP($F375,Productos!$A$2:$A1001,Productos!AC$2:AC1001,"")*$G375,"")</f>
        <v/>
      </c>
      <c r="AK375" s="179" t="str">
        <f t="array" ref="AK375">IF($F375&lt;&gt;"",XLOOKUP($F375,Productos!$A:$A,Productos!AD:AD,"Revisar"),"")</f>
        <v/>
      </c>
      <c r="AL375" s="179" t="str">
        <f t="array" ref="AL375">IF($F375&lt;&gt;"", XLOOKUP($F375,Productos!$A$2:$A1001,Productos!AE$2:AE1001,"")*$G375,"")</f>
        <v/>
      </c>
      <c r="AM375" s="179" t="str">
        <f t="array" ref="AM375">IF($F375&lt;&gt;"",XLOOKUP($F375,Productos!$A:$A,Productos!AF:AF,"Revisar"),"")</f>
        <v/>
      </c>
      <c r="AN375" s="179" t="str">
        <f t="array" ref="AN375">IF($F375&lt;&gt;"", XLOOKUP($F375,Productos!$A$2:$A1001,Productos!AG$2:AG1001,"")*$G375,"")</f>
        <v/>
      </c>
      <c r="AO375" s="179" t="str">
        <f t="array" ref="AO375">IF($F375&lt;&gt;"",XLOOKUP($F375,Productos!$A:$A,Productos!AH:AH,"Revisar"),"")</f>
        <v/>
      </c>
      <c r="AP375" s="179" t="str">
        <f t="array" ref="AP375">IF($F375&lt;&gt;"", XLOOKUP($F375,Productos!$A$2:$A1001,Productos!AI$2:AI1001,"")*$G375,"")</f>
        <v/>
      </c>
      <c r="AQ375" s="179" t="str">
        <f t="array" ref="AQ375">IF($F375&lt;&gt;"",XLOOKUP($F375,Productos!$A:$A,Productos!AJ:AJ,"Revisar"),"")</f>
        <v/>
      </c>
      <c r="AR375" s="179" t="str">
        <f t="array" ref="AR375">IF($F375&lt;&gt;"", XLOOKUP($F375,Productos!$A$2:$A1001,Productos!AK$2:AK1001,"")*$G375,"")</f>
        <v/>
      </c>
      <c r="AS375" s="179" t="str">
        <f t="array" ref="AS375">IF($F375&lt;&gt;"",XLOOKUP($F375,Productos!$A:$A,Productos!AL:AL,"Revisar"),"")</f>
        <v/>
      </c>
      <c r="AT375" s="179" t="str">
        <f t="array" ref="AT375">IF($F375&lt;&gt;"", XLOOKUP($F375,Productos!$A$2:$A1001,Productos!AM$2:AM1001,"")*$G375,"")</f>
        <v/>
      </c>
      <c r="AU375" s="179" t="str">
        <f t="array" ref="AU375">IF($F375&lt;&gt;"",XLOOKUP($F375,Productos!$A:$A,Productos!AN:AN,"Revisar"),"")</f>
        <v/>
      </c>
      <c r="AV375" s="179" t="str">
        <f t="array" ref="AV375">IF($F375&lt;&gt;"", XLOOKUP($F375,Productos!$A$2:$A1001,Productos!AO$2:AO1001,"")*$G375,"")</f>
        <v/>
      </c>
      <c r="AW375" s="179" t="str">
        <f t="array" ref="AW375">IF($F375&lt;&gt;"",XLOOKUP($F375,Productos!$A:$A,Productos!AP:AP,"Revisar"),"")</f>
        <v/>
      </c>
      <c r="AX375" s="179" t="str">
        <f t="array" ref="AX375">IF($F375&lt;&gt;"", XLOOKUP($F375,Productos!$A$2:$A1001,Productos!AQ$2:AQ1001,"")*$G375,"")</f>
        <v/>
      </c>
      <c r="AY375" s="179" t="str">
        <f t="array" ref="AY375">IF($F375&lt;&gt;"",XLOOKUP($F375,Productos!$A:$A,Productos!AR:AR,"Revisar"),"")</f>
        <v/>
      </c>
      <c r="AZ375" s="179" t="str">
        <f t="array" ref="AZ375">IF($F375&lt;&gt;"", XLOOKUP($F375,Productos!$A$2:$A1001,Productos!AS$2:AS1001,"")*$G375,"")</f>
        <v/>
      </c>
      <c r="BA375" s="179" t="str">
        <f t="array" ref="BA375">IF($F375&lt;&gt;"",XLOOKUP($F375,Productos!$A:$A,Productos!AT:AT,"Revisar"),"")</f>
        <v/>
      </c>
      <c r="BB375" s="179" t="str">
        <f t="array" ref="BB375">IF($F375&lt;&gt;"", XLOOKUP($F375,Productos!$A$2:$A1001,Productos!AU$2:AU1001,"")*$G375,"")</f>
        <v/>
      </c>
      <c r="BC375" s="179" t="str">
        <f t="array" ref="BC375">IF($F375&lt;&gt;"",XLOOKUP($F375,Productos!$A:$A,Productos!AV:AV,"Revisar"),"")</f>
        <v/>
      </c>
      <c r="BD375" s="179" t="str">
        <f t="array" ref="BD375">IF($F375&lt;&gt;"", XLOOKUP($F375,Productos!$A$2:$A1001,Productos!AW$2:AW1001,"")*$G375,"")</f>
        <v/>
      </c>
      <c r="BE375" s="179" t="str">
        <f t="array" ref="BE375">IF($F375&lt;&gt;"",XLOOKUP($F375,Productos!$A:$A,Productos!AX:AX,"Revisar"),"")</f>
        <v/>
      </c>
      <c r="BF375" s="179" t="str">
        <f t="array" ref="BF375">IF($F375&lt;&gt;"", XLOOKUP($F375,Productos!$A$2:$A1001,Productos!AY$2:AY1001,"")*$G375,"")</f>
        <v/>
      </c>
      <c r="BG375" s="179" t="str">
        <f t="array" ref="BG375">IF($F375&lt;&gt;"",XLOOKUP($F375,Productos!$A:$A,Productos!AZ:AZ,"Revisar"),"")</f>
        <v/>
      </c>
      <c r="BH375" s="179" t="str">
        <f t="array" ref="BH375">IF($F375&lt;&gt;"", XLOOKUP($F375,Productos!$A$2:$A1001,Productos!BA$2:BA1001,"")*$G375,"")</f>
        <v/>
      </c>
      <c r="BI375" s="179" t="str">
        <f t="array" ref="BI375">IF($F375&lt;&gt;"",XLOOKUP($F375,Productos!$A:$A,Productos!BB:BB,"Revisar"),"")</f>
        <v/>
      </c>
      <c r="BJ375" s="179" t="str">
        <f t="array" ref="BJ375">IF($F375&lt;&gt;"", XLOOKUP($F375,Productos!$A$2:$A1001,Productos!BC$2:BC1001,"")*$G375,"")</f>
        <v/>
      </c>
      <c r="BK375" s="179" t="str">
        <f t="array" ref="BK375">IF($F375&lt;&gt;"",XLOOKUP($F375,Productos!$A:$A,Productos!BD:BD,"Revisar"),"")</f>
        <v/>
      </c>
      <c r="BL375" s="179" t="str">
        <f t="array" ref="BL375">IF($F375&lt;&gt;"", XLOOKUP($F375,Productos!$A$2:$A1001,Productos!BE$2:BE1001,"")*$G375,"")</f>
        <v/>
      </c>
      <c r="BM375" s="179" t="str">
        <f t="array" ref="BM375">IF($F375&lt;&gt;"",XLOOKUP($F375,Productos!$A:$A,Productos!BF:BF,"Revisar"),"")</f>
        <v/>
      </c>
      <c r="BN375" s="179" t="str">
        <f t="array" ref="BN375">IF($F375&lt;&gt;"", XLOOKUP($F375,Productos!$A$2:$A1001,Productos!BG$2:BG1001,"")*$G375,"")</f>
        <v/>
      </c>
      <c r="BO375" s="179" t="str">
        <f t="array" ref="BO375">IF($F375&lt;&gt;"",XLOOKUP($F375,Productos!$A:$A,Productos!BH:BH,"Revisar"),"")</f>
        <v/>
      </c>
      <c r="BP375" s="179" t="str">
        <f t="array" ref="BP375">IF($F375&lt;&gt;"", XLOOKUP($F375,Productos!$A$2:$A1001,Productos!BI$2:BI1001,"")*$G375,"")</f>
        <v/>
      </c>
      <c r="BQ375" s="179" t="str">
        <f t="array" ref="BQ375">IF($F375&lt;&gt;"",XLOOKUP($F375,Productos!$A:$A,Productos!BJ:BJ,"Revisar"),"")</f>
        <v/>
      </c>
      <c r="BR375" s="179" t="str">
        <f t="array" ref="BR375">IF($F375&lt;&gt;"", XLOOKUP($F375,Productos!$A$2:$A1001,Productos!BK$2:BK1001,"")*$G375,"")</f>
        <v/>
      </c>
      <c r="BS375" s="179" t="str">
        <f t="array" ref="BS375">IF($F375&lt;&gt;"",XLOOKUP($F375,Productos!$A:$A,Productos!BL:BL,"Revisar"),"")</f>
        <v/>
      </c>
      <c r="BT375" s="179" t="str">
        <f t="array" ref="BT375">IF($F375&lt;&gt;"", XLOOKUP($F375,Productos!$A$2:$A1001,Productos!BM$2:BM1001,"")*$G375,"")</f>
        <v/>
      </c>
      <c r="BU375" s="179" t="str">
        <f t="array" ref="BU375">IF($F375&lt;&gt;"",XLOOKUP($F375,Productos!$A:$A,Productos!BN:BN,"Revisar"),"")</f>
        <v/>
      </c>
      <c r="BV375" s="179" t="str">
        <f t="array" ref="BV375">IF($F375&lt;&gt;"", XLOOKUP($F375,Productos!$A$2:$A1001,Productos!BO$2:BO1001,"")*$G375,"")</f>
        <v/>
      </c>
      <c r="BW375" s="179" t="str">
        <f t="array" ref="BW375">IF($F375&lt;&gt;"",XLOOKUP($F375,Productos!$A:$A,Productos!BP:BP,"Revisar"),"")</f>
        <v/>
      </c>
      <c r="BX375" s="179" t="str">
        <f t="array" ref="BX375">IF($F375&lt;&gt;"", XLOOKUP($F375,Productos!$A$2:$A1001,Productos!BQ$2:BQ1001,"")*$G375,"")</f>
        <v/>
      </c>
      <c r="BY375" s="179" t="str">
        <f t="array" ref="BY375">IF($F375&lt;&gt;"",XLOOKUP($F375,Productos!$A:$A,Productos!BR:BR,"Revisar"),"")</f>
        <v/>
      </c>
      <c r="BZ375" s="179" t="str">
        <f t="array" ref="BZ375">IF($F375&lt;&gt;"", XLOOKUP($F375,Productos!$A$2:$A1001,Productos!BS$2:BS1001,"")*$G375,"")</f>
        <v/>
      </c>
    </row>
    <row r="376">
      <c r="A376" s="188"/>
      <c r="B376" s="189"/>
      <c r="C376" s="190"/>
      <c r="D376" s="190"/>
      <c r="E376" s="191"/>
      <c r="F376" s="186"/>
      <c r="G376" s="192"/>
      <c r="H376" s="9"/>
      <c r="I376" s="179" t="str">
        <f t="array" ref="I376">IF($F376&lt;&gt;"",XLOOKUP($F376,Productos!$A:$A,Productos!B:B,"Revisar"),"")</f>
        <v/>
      </c>
      <c r="J376" s="179" t="str">
        <f t="array" ref="J376">IF($F376&lt;&gt;"", XLOOKUP($F376,Productos!$A$2:$A1001,Productos!C$2:C1001,"")*$G376,"")</f>
        <v/>
      </c>
      <c r="K376" s="179" t="str">
        <f t="array" ref="K376">IF($F376&lt;&gt;"",XLOOKUP($F376,Productos!$A:$A,Productos!D:D,"Revisar"),"")</f>
        <v/>
      </c>
      <c r="L376" s="179" t="str">
        <f t="array" ref="L376">IF($F376&lt;&gt;"", XLOOKUP($F376,Productos!$A$2:$A1001,Productos!E$2:E1001,"")*$G376,"")</f>
        <v/>
      </c>
      <c r="M376" s="179" t="str">
        <f t="array" ref="M376">IF($F376&lt;&gt;"",XLOOKUP($F376,Productos!$A:$A,Productos!F:F,"Revisar"),"")</f>
        <v/>
      </c>
      <c r="N376" s="179" t="str">
        <f t="array" ref="N376">IF($F376&lt;&gt;"", XLOOKUP($F376,Productos!$A$2:$A1001,Productos!G$2:G1001,"")*$G376,"")</f>
        <v/>
      </c>
      <c r="O376" s="179" t="str">
        <f t="array" ref="O376">IF($F376&lt;&gt;"",XLOOKUP($F376,Productos!$A:$A,Productos!H:H,"Revisar"),"")</f>
        <v/>
      </c>
      <c r="P376" s="179" t="str">
        <f t="array" ref="P376">IF($F376&lt;&gt;"", XLOOKUP($F376,Productos!$A$2:$A1001,Productos!I$2:I1001,"")*$G376,"")</f>
        <v/>
      </c>
      <c r="Q376" s="179" t="str">
        <f t="array" ref="Q376">IF($F376&lt;&gt;"",XLOOKUP($F376,Productos!$A:$A,Productos!J:J,"Revisar"),"")</f>
        <v/>
      </c>
      <c r="R376" s="179" t="str">
        <f t="array" ref="R376">IF($F376&lt;&gt;"", XLOOKUP($F376,Productos!$A$2:$A1001,Productos!K$2:K1001,"")*$G376,"")</f>
        <v/>
      </c>
      <c r="S376" s="179" t="str">
        <f t="array" ref="S376">IF($F376&lt;&gt;"",XLOOKUP($F376,Productos!$A:$A,Productos!L:L,"Revisar"),"")</f>
        <v/>
      </c>
      <c r="T376" s="179" t="str">
        <f t="array" ref="T376">IF($F376&lt;&gt;"", XLOOKUP($F376,Productos!$A$2:$A1001,Productos!M$2:M1001,"")*$G376,"")</f>
        <v/>
      </c>
      <c r="U376" s="179" t="str">
        <f t="array" ref="U376">IF($F376&lt;&gt;"",XLOOKUP($F376,Productos!$A:$A,Productos!N:N,"Revisar"),"")</f>
        <v/>
      </c>
      <c r="V376" s="179" t="str">
        <f t="array" ref="V376">IF($F376&lt;&gt;"", XLOOKUP($F376,Productos!$A$2:$A1001,Productos!O$2:O1001,"")*$G376,"")</f>
        <v/>
      </c>
      <c r="W376" s="179" t="str">
        <f t="array" ref="W376">IF($F376&lt;&gt;"",XLOOKUP($F376,Productos!$A:$A,Productos!P:P,"Revisar"),"")</f>
        <v/>
      </c>
      <c r="X376" s="179" t="str">
        <f t="array" ref="X376">IF($F376&lt;&gt;"", XLOOKUP($F376,Productos!$A$2:$A1001,Productos!Q$2:Q1001,"")*$G376,"")</f>
        <v/>
      </c>
      <c r="Y376" s="179" t="str">
        <f t="array" ref="Y376">IF($F376&lt;&gt;"",XLOOKUP($F376,Productos!$A:$A,Productos!R:R,"Revisar"),"")</f>
        <v/>
      </c>
      <c r="Z376" s="179" t="str">
        <f t="array" ref="Z376">IF($F376&lt;&gt;"", XLOOKUP($F376,Productos!$A$2:$A1001,Productos!S$2:S1001,"")*$G376,"")</f>
        <v/>
      </c>
      <c r="AA376" s="179" t="str">
        <f t="array" ref="AA376">IF($F376&lt;&gt;"",XLOOKUP($F376,Productos!$A:$A,Productos!T:T,"Revisar"),"")</f>
        <v/>
      </c>
      <c r="AB376" s="179" t="str">
        <f t="array" ref="AB376">IF($F376&lt;&gt;"", XLOOKUP($F376,Productos!$A$2:$A1001,Productos!U$2:U1001,"")*$G376,"")</f>
        <v/>
      </c>
      <c r="AC376" s="179" t="str">
        <f t="array" ref="AC376">IF($F376&lt;&gt;"",XLOOKUP($F376,Productos!$A:$A,Productos!V:V,"Revisar"),"")</f>
        <v/>
      </c>
      <c r="AD376" s="179" t="str">
        <f t="array" ref="AD376">IF($F376&lt;&gt;"", XLOOKUP($F376,Productos!$A$2:$A1001,Productos!W$2:W1001,"")*$G376,"")</f>
        <v/>
      </c>
      <c r="AE376" s="179" t="str">
        <f t="array" ref="AE376">IF($F376&lt;&gt;"",XLOOKUP($F376,Productos!$A:$A,Productos!X:X,"Revisar"),"")</f>
        <v/>
      </c>
      <c r="AF376" s="179" t="str">
        <f t="array" ref="AF376">IF($F376&lt;&gt;"", XLOOKUP($F376,Productos!$A$2:$A1001,Productos!Y$2:Y1001,"")*$G376,"")</f>
        <v/>
      </c>
      <c r="AG376" s="179" t="str">
        <f t="array" ref="AG376">IF($F376&lt;&gt;"",XLOOKUP($F376,Productos!$A:$A,Productos!Z:Z,"Revisar"),"")</f>
        <v/>
      </c>
      <c r="AH376" s="179" t="str">
        <f t="array" ref="AH376">IF($F376&lt;&gt;"", XLOOKUP($F376,Productos!$A$2:$A1001,Productos!AA$2:AA1001,"")*$G376,"")</f>
        <v/>
      </c>
      <c r="AI376" s="179" t="str">
        <f t="array" ref="AI376">IF($F376&lt;&gt;"",XLOOKUP($F376,Productos!$A:$A,Productos!AB:AB,"Revisar"),"")</f>
        <v/>
      </c>
      <c r="AJ376" s="179" t="str">
        <f t="array" ref="AJ376">IF($F376&lt;&gt;"", XLOOKUP($F376,Productos!$A$2:$A1001,Productos!AC$2:AC1001,"")*$G376,"")</f>
        <v/>
      </c>
      <c r="AK376" s="179" t="str">
        <f t="array" ref="AK376">IF($F376&lt;&gt;"",XLOOKUP($F376,Productos!$A:$A,Productos!AD:AD,"Revisar"),"")</f>
        <v/>
      </c>
      <c r="AL376" s="179" t="str">
        <f t="array" ref="AL376">IF($F376&lt;&gt;"", XLOOKUP($F376,Productos!$A$2:$A1001,Productos!AE$2:AE1001,"")*$G376,"")</f>
        <v/>
      </c>
      <c r="AM376" s="179" t="str">
        <f t="array" ref="AM376">IF($F376&lt;&gt;"",XLOOKUP($F376,Productos!$A:$A,Productos!AF:AF,"Revisar"),"")</f>
        <v/>
      </c>
      <c r="AN376" s="179" t="str">
        <f t="array" ref="AN376">IF($F376&lt;&gt;"", XLOOKUP($F376,Productos!$A$2:$A1001,Productos!AG$2:AG1001,"")*$G376,"")</f>
        <v/>
      </c>
      <c r="AO376" s="179" t="str">
        <f t="array" ref="AO376">IF($F376&lt;&gt;"",XLOOKUP($F376,Productos!$A:$A,Productos!AH:AH,"Revisar"),"")</f>
        <v/>
      </c>
      <c r="AP376" s="179" t="str">
        <f t="array" ref="AP376">IF($F376&lt;&gt;"", XLOOKUP($F376,Productos!$A$2:$A1001,Productos!AI$2:AI1001,"")*$G376,"")</f>
        <v/>
      </c>
      <c r="AQ376" s="179" t="str">
        <f t="array" ref="AQ376">IF($F376&lt;&gt;"",XLOOKUP($F376,Productos!$A:$A,Productos!AJ:AJ,"Revisar"),"")</f>
        <v/>
      </c>
      <c r="AR376" s="179" t="str">
        <f t="array" ref="AR376">IF($F376&lt;&gt;"", XLOOKUP($F376,Productos!$A$2:$A1001,Productos!AK$2:AK1001,"")*$G376,"")</f>
        <v/>
      </c>
      <c r="AS376" s="179" t="str">
        <f t="array" ref="AS376">IF($F376&lt;&gt;"",XLOOKUP($F376,Productos!$A:$A,Productos!AL:AL,"Revisar"),"")</f>
        <v/>
      </c>
      <c r="AT376" s="179" t="str">
        <f t="array" ref="AT376">IF($F376&lt;&gt;"", XLOOKUP($F376,Productos!$A$2:$A1001,Productos!AM$2:AM1001,"")*$G376,"")</f>
        <v/>
      </c>
      <c r="AU376" s="179" t="str">
        <f t="array" ref="AU376">IF($F376&lt;&gt;"",XLOOKUP($F376,Productos!$A:$A,Productos!AN:AN,"Revisar"),"")</f>
        <v/>
      </c>
      <c r="AV376" s="179" t="str">
        <f t="array" ref="AV376">IF($F376&lt;&gt;"", XLOOKUP($F376,Productos!$A$2:$A1001,Productos!AO$2:AO1001,"")*$G376,"")</f>
        <v/>
      </c>
      <c r="AW376" s="179" t="str">
        <f t="array" ref="AW376">IF($F376&lt;&gt;"",XLOOKUP($F376,Productos!$A:$A,Productos!AP:AP,"Revisar"),"")</f>
        <v/>
      </c>
      <c r="AX376" s="179" t="str">
        <f t="array" ref="AX376">IF($F376&lt;&gt;"", XLOOKUP($F376,Productos!$A$2:$A1001,Productos!AQ$2:AQ1001,"")*$G376,"")</f>
        <v/>
      </c>
      <c r="AY376" s="179" t="str">
        <f t="array" ref="AY376">IF($F376&lt;&gt;"",XLOOKUP($F376,Productos!$A:$A,Productos!AR:AR,"Revisar"),"")</f>
        <v/>
      </c>
      <c r="AZ376" s="179" t="str">
        <f t="array" ref="AZ376">IF($F376&lt;&gt;"", XLOOKUP($F376,Productos!$A$2:$A1001,Productos!AS$2:AS1001,"")*$G376,"")</f>
        <v/>
      </c>
      <c r="BA376" s="179" t="str">
        <f t="array" ref="BA376">IF($F376&lt;&gt;"",XLOOKUP($F376,Productos!$A:$A,Productos!AT:AT,"Revisar"),"")</f>
        <v/>
      </c>
      <c r="BB376" s="179" t="str">
        <f t="array" ref="BB376">IF($F376&lt;&gt;"", XLOOKUP($F376,Productos!$A$2:$A1001,Productos!AU$2:AU1001,"")*$G376,"")</f>
        <v/>
      </c>
      <c r="BC376" s="179" t="str">
        <f t="array" ref="BC376">IF($F376&lt;&gt;"",XLOOKUP($F376,Productos!$A:$A,Productos!AV:AV,"Revisar"),"")</f>
        <v/>
      </c>
      <c r="BD376" s="179" t="str">
        <f t="array" ref="BD376">IF($F376&lt;&gt;"", XLOOKUP($F376,Productos!$A$2:$A1001,Productos!AW$2:AW1001,"")*$G376,"")</f>
        <v/>
      </c>
      <c r="BE376" s="179" t="str">
        <f t="array" ref="BE376">IF($F376&lt;&gt;"",XLOOKUP($F376,Productos!$A:$A,Productos!AX:AX,"Revisar"),"")</f>
        <v/>
      </c>
      <c r="BF376" s="179" t="str">
        <f t="array" ref="BF376">IF($F376&lt;&gt;"", XLOOKUP($F376,Productos!$A$2:$A1001,Productos!AY$2:AY1001,"")*$G376,"")</f>
        <v/>
      </c>
      <c r="BG376" s="179" t="str">
        <f t="array" ref="BG376">IF($F376&lt;&gt;"",XLOOKUP($F376,Productos!$A:$A,Productos!AZ:AZ,"Revisar"),"")</f>
        <v/>
      </c>
      <c r="BH376" s="179" t="str">
        <f t="array" ref="BH376">IF($F376&lt;&gt;"", XLOOKUP($F376,Productos!$A$2:$A1001,Productos!BA$2:BA1001,"")*$G376,"")</f>
        <v/>
      </c>
      <c r="BI376" s="179" t="str">
        <f t="array" ref="BI376">IF($F376&lt;&gt;"",XLOOKUP($F376,Productos!$A:$A,Productos!BB:BB,"Revisar"),"")</f>
        <v/>
      </c>
      <c r="BJ376" s="179" t="str">
        <f t="array" ref="BJ376">IF($F376&lt;&gt;"", XLOOKUP($F376,Productos!$A$2:$A1001,Productos!BC$2:BC1001,"")*$G376,"")</f>
        <v/>
      </c>
      <c r="BK376" s="179" t="str">
        <f t="array" ref="BK376">IF($F376&lt;&gt;"",XLOOKUP($F376,Productos!$A:$A,Productos!BD:BD,"Revisar"),"")</f>
        <v/>
      </c>
      <c r="BL376" s="179" t="str">
        <f t="array" ref="BL376">IF($F376&lt;&gt;"", XLOOKUP($F376,Productos!$A$2:$A1001,Productos!BE$2:BE1001,"")*$G376,"")</f>
        <v/>
      </c>
      <c r="BM376" s="179" t="str">
        <f t="array" ref="BM376">IF($F376&lt;&gt;"",XLOOKUP($F376,Productos!$A:$A,Productos!BF:BF,"Revisar"),"")</f>
        <v/>
      </c>
      <c r="BN376" s="179" t="str">
        <f t="array" ref="BN376">IF($F376&lt;&gt;"", XLOOKUP($F376,Productos!$A$2:$A1001,Productos!BG$2:BG1001,"")*$G376,"")</f>
        <v/>
      </c>
      <c r="BO376" s="179" t="str">
        <f t="array" ref="BO376">IF($F376&lt;&gt;"",XLOOKUP($F376,Productos!$A:$A,Productos!BH:BH,"Revisar"),"")</f>
        <v/>
      </c>
      <c r="BP376" s="179" t="str">
        <f t="array" ref="BP376">IF($F376&lt;&gt;"", XLOOKUP($F376,Productos!$A$2:$A1001,Productos!BI$2:BI1001,"")*$G376,"")</f>
        <v/>
      </c>
      <c r="BQ376" s="179" t="str">
        <f t="array" ref="BQ376">IF($F376&lt;&gt;"",XLOOKUP($F376,Productos!$A:$A,Productos!BJ:BJ,"Revisar"),"")</f>
        <v/>
      </c>
      <c r="BR376" s="179" t="str">
        <f t="array" ref="BR376">IF($F376&lt;&gt;"", XLOOKUP($F376,Productos!$A$2:$A1001,Productos!BK$2:BK1001,"")*$G376,"")</f>
        <v/>
      </c>
      <c r="BS376" s="179" t="str">
        <f t="array" ref="BS376">IF($F376&lt;&gt;"",XLOOKUP($F376,Productos!$A:$A,Productos!BL:BL,"Revisar"),"")</f>
        <v/>
      </c>
      <c r="BT376" s="179" t="str">
        <f t="array" ref="BT376">IF($F376&lt;&gt;"", XLOOKUP($F376,Productos!$A$2:$A1001,Productos!BM$2:BM1001,"")*$G376,"")</f>
        <v/>
      </c>
      <c r="BU376" s="179" t="str">
        <f t="array" ref="BU376">IF($F376&lt;&gt;"",XLOOKUP($F376,Productos!$A:$A,Productos!BN:BN,"Revisar"),"")</f>
        <v/>
      </c>
      <c r="BV376" s="179" t="str">
        <f t="array" ref="BV376">IF($F376&lt;&gt;"", XLOOKUP($F376,Productos!$A$2:$A1001,Productos!BO$2:BO1001,"")*$G376,"")</f>
        <v/>
      </c>
      <c r="BW376" s="179" t="str">
        <f t="array" ref="BW376">IF($F376&lt;&gt;"",XLOOKUP($F376,Productos!$A:$A,Productos!BP:BP,"Revisar"),"")</f>
        <v/>
      </c>
      <c r="BX376" s="179" t="str">
        <f t="array" ref="BX376">IF($F376&lt;&gt;"", XLOOKUP($F376,Productos!$A$2:$A1001,Productos!BQ$2:BQ1001,"")*$G376,"")</f>
        <v/>
      </c>
      <c r="BY376" s="179" t="str">
        <f t="array" ref="BY376">IF($F376&lt;&gt;"",XLOOKUP($F376,Productos!$A:$A,Productos!BR:BR,"Revisar"),"")</f>
        <v/>
      </c>
      <c r="BZ376" s="179" t="str">
        <f t="array" ref="BZ376">IF($F376&lt;&gt;"", XLOOKUP($F376,Productos!$A$2:$A1001,Productos!BS$2:BS1001,"")*$G376,"")</f>
        <v/>
      </c>
    </row>
    <row r="377">
      <c r="A377" s="188"/>
      <c r="B377" s="189"/>
      <c r="C377" s="190"/>
      <c r="D377" s="190"/>
      <c r="E377" s="191"/>
      <c r="F377" s="186"/>
      <c r="G377" s="192"/>
      <c r="H377" s="9"/>
      <c r="I377" s="179" t="str">
        <f t="array" ref="I377">IF($F377&lt;&gt;"",XLOOKUP($F377,Productos!$A:$A,Productos!B:B,"Revisar"),"")</f>
        <v/>
      </c>
      <c r="J377" s="179" t="str">
        <f t="array" ref="J377">IF($F377&lt;&gt;"", XLOOKUP($F377,Productos!$A$2:$A1001,Productos!C$2:C1001,"")*$G377,"")</f>
        <v/>
      </c>
      <c r="K377" s="179" t="str">
        <f t="array" ref="K377">IF($F377&lt;&gt;"",XLOOKUP($F377,Productos!$A:$A,Productos!D:D,"Revisar"),"")</f>
        <v/>
      </c>
      <c r="L377" s="179" t="str">
        <f t="array" ref="L377">IF($F377&lt;&gt;"", XLOOKUP($F377,Productos!$A$2:$A1001,Productos!E$2:E1001,"")*$G377,"")</f>
        <v/>
      </c>
      <c r="M377" s="179" t="str">
        <f t="array" ref="M377">IF($F377&lt;&gt;"",XLOOKUP($F377,Productos!$A:$A,Productos!F:F,"Revisar"),"")</f>
        <v/>
      </c>
      <c r="N377" s="179" t="str">
        <f t="array" ref="N377">IF($F377&lt;&gt;"", XLOOKUP($F377,Productos!$A$2:$A1001,Productos!G$2:G1001,"")*$G377,"")</f>
        <v/>
      </c>
      <c r="O377" s="179" t="str">
        <f t="array" ref="O377">IF($F377&lt;&gt;"",XLOOKUP($F377,Productos!$A:$A,Productos!H:H,"Revisar"),"")</f>
        <v/>
      </c>
      <c r="P377" s="179" t="str">
        <f t="array" ref="P377">IF($F377&lt;&gt;"", XLOOKUP($F377,Productos!$A$2:$A1001,Productos!I$2:I1001,"")*$G377,"")</f>
        <v/>
      </c>
      <c r="Q377" s="179" t="str">
        <f t="array" ref="Q377">IF($F377&lt;&gt;"",XLOOKUP($F377,Productos!$A:$A,Productos!J:J,"Revisar"),"")</f>
        <v/>
      </c>
      <c r="R377" s="179" t="str">
        <f t="array" ref="R377">IF($F377&lt;&gt;"", XLOOKUP($F377,Productos!$A$2:$A1001,Productos!K$2:K1001,"")*$G377,"")</f>
        <v/>
      </c>
      <c r="S377" s="179" t="str">
        <f t="array" ref="S377">IF($F377&lt;&gt;"",XLOOKUP($F377,Productos!$A:$A,Productos!L:L,"Revisar"),"")</f>
        <v/>
      </c>
      <c r="T377" s="179" t="str">
        <f t="array" ref="T377">IF($F377&lt;&gt;"", XLOOKUP($F377,Productos!$A$2:$A1001,Productos!M$2:M1001,"")*$G377,"")</f>
        <v/>
      </c>
      <c r="U377" s="179" t="str">
        <f t="array" ref="U377">IF($F377&lt;&gt;"",XLOOKUP($F377,Productos!$A:$A,Productos!N:N,"Revisar"),"")</f>
        <v/>
      </c>
      <c r="V377" s="179" t="str">
        <f t="array" ref="V377">IF($F377&lt;&gt;"", XLOOKUP($F377,Productos!$A$2:$A1001,Productos!O$2:O1001,"")*$G377,"")</f>
        <v/>
      </c>
      <c r="W377" s="179" t="str">
        <f t="array" ref="W377">IF($F377&lt;&gt;"",XLOOKUP($F377,Productos!$A:$A,Productos!P:P,"Revisar"),"")</f>
        <v/>
      </c>
      <c r="X377" s="179" t="str">
        <f t="array" ref="X377">IF($F377&lt;&gt;"", XLOOKUP($F377,Productos!$A$2:$A1001,Productos!Q$2:Q1001,"")*$G377,"")</f>
        <v/>
      </c>
      <c r="Y377" s="179" t="str">
        <f t="array" ref="Y377">IF($F377&lt;&gt;"",XLOOKUP($F377,Productos!$A:$A,Productos!R:R,"Revisar"),"")</f>
        <v/>
      </c>
      <c r="Z377" s="179" t="str">
        <f t="array" ref="Z377">IF($F377&lt;&gt;"", XLOOKUP($F377,Productos!$A$2:$A1001,Productos!S$2:S1001,"")*$G377,"")</f>
        <v/>
      </c>
      <c r="AA377" s="179" t="str">
        <f t="array" ref="AA377">IF($F377&lt;&gt;"",XLOOKUP($F377,Productos!$A:$A,Productos!T:T,"Revisar"),"")</f>
        <v/>
      </c>
      <c r="AB377" s="179" t="str">
        <f t="array" ref="AB377">IF($F377&lt;&gt;"", XLOOKUP($F377,Productos!$A$2:$A1001,Productos!U$2:U1001,"")*$G377,"")</f>
        <v/>
      </c>
      <c r="AC377" s="179" t="str">
        <f t="array" ref="AC377">IF($F377&lt;&gt;"",XLOOKUP($F377,Productos!$A:$A,Productos!V:V,"Revisar"),"")</f>
        <v/>
      </c>
      <c r="AD377" s="179" t="str">
        <f t="array" ref="AD377">IF($F377&lt;&gt;"", XLOOKUP($F377,Productos!$A$2:$A1001,Productos!W$2:W1001,"")*$G377,"")</f>
        <v/>
      </c>
      <c r="AE377" s="179" t="str">
        <f t="array" ref="AE377">IF($F377&lt;&gt;"",XLOOKUP($F377,Productos!$A:$A,Productos!X:X,"Revisar"),"")</f>
        <v/>
      </c>
      <c r="AF377" s="179" t="str">
        <f t="array" ref="AF377">IF($F377&lt;&gt;"", XLOOKUP($F377,Productos!$A$2:$A1001,Productos!Y$2:Y1001,"")*$G377,"")</f>
        <v/>
      </c>
      <c r="AG377" s="179" t="str">
        <f t="array" ref="AG377">IF($F377&lt;&gt;"",XLOOKUP($F377,Productos!$A:$A,Productos!Z:Z,"Revisar"),"")</f>
        <v/>
      </c>
      <c r="AH377" s="179" t="str">
        <f t="array" ref="AH377">IF($F377&lt;&gt;"", XLOOKUP($F377,Productos!$A$2:$A1001,Productos!AA$2:AA1001,"")*$G377,"")</f>
        <v/>
      </c>
      <c r="AI377" s="179" t="str">
        <f t="array" ref="AI377">IF($F377&lt;&gt;"",XLOOKUP($F377,Productos!$A:$A,Productos!AB:AB,"Revisar"),"")</f>
        <v/>
      </c>
      <c r="AJ377" s="179" t="str">
        <f t="array" ref="AJ377">IF($F377&lt;&gt;"", XLOOKUP($F377,Productos!$A$2:$A1001,Productos!AC$2:AC1001,"")*$G377,"")</f>
        <v/>
      </c>
      <c r="AK377" s="179" t="str">
        <f t="array" ref="AK377">IF($F377&lt;&gt;"",XLOOKUP($F377,Productos!$A:$A,Productos!AD:AD,"Revisar"),"")</f>
        <v/>
      </c>
      <c r="AL377" s="179" t="str">
        <f t="array" ref="AL377">IF($F377&lt;&gt;"", XLOOKUP($F377,Productos!$A$2:$A1001,Productos!AE$2:AE1001,"")*$G377,"")</f>
        <v/>
      </c>
      <c r="AM377" s="179" t="str">
        <f t="array" ref="AM377">IF($F377&lt;&gt;"",XLOOKUP($F377,Productos!$A:$A,Productos!AF:AF,"Revisar"),"")</f>
        <v/>
      </c>
      <c r="AN377" s="179" t="str">
        <f t="array" ref="AN377">IF($F377&lt;&gt;"", XLOOKUP($F377,Productos!$A$2:$A1001,Productos!AG$2:AG1001,"")*$G377,"")</f>
        <v/>
      </c>
      <c r="AO377" s="179" t="str">
        <f t="array" ref="AO377">IF($F377&lt;&gt;"",XLOOKUP($F377,Productos!$A:$A,Productos!AH:AH,"Revisar"),"")</f>
        <v/>
      </c>
      <c r="AP377" s="179" t="str">
        <f t="array" ref="AP377">IF($F377&lt;&gt;"", XLOOKUP($F377,Productos!$A$2:$A1001,Productos!AI$2:AI1001,"")*$G377,"")</f>
        <v/>
      </c>
      <c r="AQ377" s="179" t="str">
        <f t="array" ref="AQ377">IF($F377&lt;&gt;"",XLOOKUP($F377,Productos!$A:$A,Productos!AJ:AJ,"Revisar"),"")</f>
        <v/>
      </c>
      <c r="AR377" s="179" t="str">
        <f t="array" ref="AR377">IF($F377&lt;&gt;"", XLOOKUP($F377,Productos!$A$2:$A1001,Productos!AK$2:AK1001,"")*$G377,"")</f>
        <v/>
      </c>
      <c r="AS377" s="179" t="str">
        <f t="array" ref="AS377">IF($F377&lt;&gt;"",XLOOKUP($F377,Productos!$A:$A,Productos!AL:AL,"Revisar"),"")</f>
        <v/>
      </c>
      <c r="AT377" s="179" t="str">
        <f t="array" ref="AT377">IF($F377&lt;&gt;"", XLOOKUP($F377,Productos!$A$2:$A1001,Productos!AM$2:AM1001,"")*$G377,"")</f>
        <v/>
      </c>
      <c r="AU377" s="179" t="str">
        <f t="array" ref="AU377">IF($F377&lt;&gt;"",XLOOKUP($F377,Productos!$A:$A,Productos!AN:AN,"Revisar"),"")</f>
        <v/>
      </c>
      <c r="AV377" s="179" t="str">
        <f t="array" ref="AV377">IF($F377&lt;&gt;"", XLOOKUP($F377,Productos!$A$2:$A1001,Productos!AO$2:AO1001,"")*$G377,"")</f>
        <v/>
      </c>
      <c r="AW377" s="179" t="str">
        <f t="array" ref="AW377">IF($F377&lt;&gt;"",XLOOKUP($F377,Productos!$A:$A,Productos!AP:AP,"Revisar"),"")</f>
        <v/>
      </c>
      <c r="AX377" s="179" t="str">
        <f t="array" ref="AX377">IF($F377&lt;&gt;"", XLOOKUP($F377,Productos!$A$2:$A1001,Productos!AQ$2:AQ1001,"")*$G377,"")</f>
        <v/>
      </c>
      <c r="AY377" s="179" t="str">
        <f t="array" ref="AY377">IF($F377&lt;&gt;"",XLOOKUP($F377,Productos!$A:$A,Productos!AR:AR,"Revisar"),"")</f>
        <v/>
      </c>
      <c r="AZ377" s="179" t="str">
        <f t="array" ref="AZ377">IF($F377&lt;&gt;"", XLOOKUP($F377,Productos!$A$2:$A1001,Productos!AS$2:AS1001,"")*$G377,"")</f>
        <v/>
      </c>
      <c r="BA377" s="179" t="str">
        <f t="array" ref="BA377">IF($F377&lt;&gt;"",XLOOKUP($F377,Productos!$A:$A,Productos!AT:AT,"Revisar"),"")</f>
        <v/>
      </c>
      <c r="BB377" s="179" t="str">
        <f t="array" ref="BB377">IF($F377&lt;&gt;"", XLOOKUP($F377,Productos!$A$2:$A1001,Productos!AU$2:AU1001,"")*$G377,"")</f>
        <v/>
      </c>
      <c r="BC377" s="179" t="str">
        <f t="array" ref="BC377">IF($F377&lt;&gt;"",XLOOKUP($F377,Productos!$A:$A,Productos!AV:AV,"Revisar"),"")</f>
        <v/>
      </c>
      <c r="BD377" s="179" t="str">
        <f t="array" ref="BD377">IF($F377&lt;&gt;"", XLOOKUP($F377,Productos!$A$2:$A1001,Productos!AW$2:AW1001,"")*$G377,"")</f>
        <v/>
      </c>
      <c r="BE377" s="179" t="str">
        <f t="array" ref="BE377">IF($F377&lt;&gt;"",XLOOKUP($F377,Productos!$A:$A,Productos!AX:AX,"Revisar"),"")</f>
        <v/>
      </c>
      <c r="BF377" s="179" t="str">
        <f t="array" ref="BF377">IF($F377&lt;&gt;"", XLOOKUP($F377,Productos!$A$2:$A1001,Productos!AY$2:AY1001,"")*$G377,"")</f>
        <v/>
      </c>
      <c r="BG377" s="179" t="str">
        <f t="array" ref="BG377">IF($F377&lt;&gt;"",XLOOKUP($F377,Productos!$A:$A,Productos!AZ:AZ,"Revisar"),"")</f>
        <v/>
      </c>
      <c r="BH377" s="179" t="str">
        <f t="array" ref="BH377">IF($F377&lt;&gt;"", XLOOKUP($F377,Productos!$A$2:$A1001,Productos!BA$2:BA1001,"")*$G377,"")</f>
        <v/>
      </c>
      <c r="BI377" s="179" t="str">
        <f t="array" ref="BI377">IF($F377&lt;&gt;"",XLOOKUP($F377,Productos!$A:$A,Productos!BB:BB,"Revisar"),"")</f>
        <v/>
      </c>
      <c r="BJ377" s="179" t="str">
        <f t="array" ref="BJ377">IF($F377&lt;&gt;"", XLOOKUP($F377,Productos!$A$2:$A1001,Productos!BC$2:BC1001,"")*$G377,"")</f>
        <v/>
      </c>
      <c r="BK377" s="179" t="str">
        <f t="array" ref="BK377">IF($F377&lt;&gt;"",XLOOKUP($F377,Productos!$A:$A,Productos!BD:BD,"Revisar"),"")</f>
        <v/>
      </c>
      <c r="BL377" s="179" t="str">
        <f t="array" ref="BL377">IF($F377&lt;&gt;"", XLOOKUP($F377,Productos!$A$2:$A1001,Productos!BE$2:BE1001,"")*$G377,"")</f>
        <v/>
      </c>
      <c r="BM377" s="179" t="str">
        <f t="array" ref="BM377">IF($F377&lt;&gt;"",XLOOKUP($F377,Productos!$A:$A,Productos!BF:BF,"Revisar"),"")</f>
        <v/>
      </c>
      <c r="BN377" s="179" t="str">
        <f t="array" ref="BN377">IF($F377&lt;&gt;"", XLOOKUP($F377,Productos!$A$2:$A1001,Productos!BG$2:BG1001,"")*$G377,"")</f>
        <v/>
      </c>
      <c r="BO377" s="179" t="str">
        <f t="array" ref="BO377">IF($F377&lt;&gt;"",XLOOKUP($F377,Productos!$A:$A,Productos!BH:BH,"Revisar"),"")</f>
        <v/>
      </c>
      <c r="BP377" s="179" t="str">
        <f t="array" ref="BP377">IF($F377&lt;&gt;"", XLOOKUP($F377,Productos!$A$2:$A1001,Productos!BI$2:BI1001,"")*$G377,"")</f>
        <v/>
      </c>
      <c r="BQ377" s="179" t="str">
        <f t="array" ref="BQ377">IF($F377&lt;&gt;"",XLOOKUP($F377,Productos!$A:$A,Productos!BJ:BJ,"Revisar"),"")</f>
        <v/>
      </c>
      <c r="BR377" s="179" t="str">
        <f t="array" ref="BR377">IF($F377&lt;&gt;"", XLOOKUP($F377,Productos!$A$2:$A1001,Productos!BK$2:BK1001,"")*$G377,"")</f>
        <v/>
      </c>
      <c r="BS377" s="179" t="str">
        <f t="array" ref="BS377">IF($F377&lt;&gt;"",XLOOKUP($F377,Productos!$A:$A,Productos!BL:BL,"Revisar"),"")</f>
        <v/>
      </c>
      <c r="BT377" s="179" t="str">
        <f t="array" ref="BT377">IF($F377&lt;&gt;"", XLOOKUP($F377,Productos!$A$2:$A1001,Productos!BM$2:BM1001,"")*$G377,"")</f>
        <v/>
      </c>
      <c r="BU377" s="179" t="str">
        <f t="array" ref="BU377">IF($F377&lt;&gt;"",XLOOKUP($F377,Productos!$A:$A,Productos!BN:BN,"Revisar"),"")</f>
        <v/>
      </c>
      <c r="BV377" s="179" t="str">
        <f t="array" ref="BV377">IF($F377&lt;&gt;"", XLOOKUP($F377,Productos!$A$2:$A1001,Productos!BO$2:BO1001,"")*$G377,"")</f>
        <v/>
      </c>
      <c r="BW377" s="179" t="str">
        <f t="array" ref="BW377">IF($F377&lt;&gt;"",XLOOKUP($F377,Productos!$A:$A,Productos!BP:BP,"Revisar"),"")</f>
        <v/>
      </c>
      <c r="BX377" s="179" t="str">
        <f t="array" ref="BX377">IF($F377&lt;&gt;"", XLOOKUP($F377,Productos!$A$2:$A1001,Productos!BQ$2:BQ1001,"")*$G377,"")</f>
        <v/>
      </c>
      <c r="BY377" s="179" t="str">
        <f t="array" ref="BY377">IF($F377&lt;&gt;"",XLOOKUP($F377,Productos!$A:$A,Productos!BR:BR,"Revisar"),"")</f>
        <v/>
      </c>
      <c r="BZ377" s="179" t="str">
        <f t="array" ref="BZ377">IF($F377&lt;&gt;"", XLOOKUP($F377,Productos!$A$2:$A1001,Productos!BS$2:BS1001,"")*$G377,"")</f>
        <v/>
      </c>
    </row>
    <row r="378">
      <c r="A378" s="188"/>
      <c r="B378" s="189"/>
      <c r="C378" s="190"/>
      <c r="D378" s="190"/>
      <c r="E378" s="191"/>
      <c r="F378" s="186"/>
      <c r="G378" s="192"/>
      <c r="H378" s="9"/>
      <c r="I378" s="179" t="str">
        <f t="array" ref="I378">IF($F378&lt;&gt;"",XLOOKUP($F378,Productos!$A:$A,Productos!B:B,"Revisar"),"")</f>
        <v/>
      </c>
      <c r="J378" s="179" t="str">
        <f t="array" ref="J378">IF($F378&lt;&gt;"", XLOOKUP($F378,Productos!$A$2:$A1001,Productos!C$2:C1001,"")*$G378,"")</f>
        <v/>
      </c>
      <c r="K378" s="179" t="str">
        <f t="array" ref="K378">IF($F378&lt;&gt;"",XLOOKUP($F378,Productos!$A:$A,Productos!D:D,"Revisar"),"")</f>
        <v/>
      </c>
      <c r="L378" s="179" t="str">
        <f t="array" ref="L378">IF($F378&lt;&gt;"", XLOOKUP($F378,Productos!$A$2:$A1001,Productos!E$2:E1001,"")*$G378,"")</f>
        <v/>
      </c>
      <c r="M378" s="179" t="str">
        <f t="array" ref="M378">IF($F378&lt;&gt;"",XLOOKUP($F378,Productos!$A:$A,Productos!F:F,"Revisar"),"")</f>
        <v/>
      </c>
      <c r="N378" s="179" t="str">
        <f t="array" ref="N378">IF($F378&lt;&gt;"", XLOOKUP($F378,Productos!$A$2:$A1001,Productos!G$2:G1001,"")*$G378,"")</f>
        <v/>
      </c>
      <c r="O378" s="179" t="str">
        <f t="array" ref="O378">IF($F378&lt;&gt;"",XLOOKUP($F378,Productos!$A:$A,Productos!H:H,"Revisar"),"")</f>
        <v/>
      </c>
      <c r="P378" s="179" t="str">
        <f t="array" ref="P378">IF($F378&lt;&gt;"", XLOOKUP($F378,Productos!$A$2:$A1001,Productos!I$2:I1001,"")*$G378,"")</f>
        <v/>
      </c>
      <c r="Q378" s="179" t="str">
        <f t="array" ref="Q378">IF($F378&lt;&gt;"",XLOOKUP($F378,Productos!$A:$A,Productos!J:J,"Revisar"),"")</f>
        <v/>
      </c>
      <c r="R378" s="179" t="str">
        <f t="array" ref="R378">IF($F378&lt;&gt;"", XLOOKUP($F378,Productos!$A$2:$A1001,Productos!K$2:K1001,"")*$G378,"")</f>
        <v/>
      </c>
      <c r="S378" s="179" t="str">
        <f t="array" ref="S378">IF($F378&lt;&gt;"",XLOOKUP($F378,Productos!$A:$A,Productos!L:L,"Revisar"),"")</f>
        <v/>
      </c>
      <c r="T378" s="179" t="str">
        <f t="array" ref="T378">IF($F378&lt;&gt;"", XLOOKUP($F378,Productos!$A$2:$A1001,Productos!M$2:M1001,"")*$G378,"")</f>
        <v/>
      </c>
      <c r="U378" s="179" t="str">
        <f t="array" ref="U378">IF($F378&lt;&gt;"",XLOOKUP($F378,Productos!$A:$A,Productos!N:N,"Revisar"),"")</f>
        <v/>
      </c>
      <c r="V378" s="179" t="str">
        <f t="array" ref="V378">IF($F378&lt;&gt;"", XLOOKUP($F378,Productos!$A$2:$A1001,Productos!O$2:O1001,"")*$G378,"")</f>
        <v/>
      </c>
      <c r="W378" s="179" t="str">
        <f t="array" ref="W378">IF($F378&lt;&gt;"",XLOOKUP($F378,Productos!$A:$A,Productos!P:P,"Revisar"),"")</f>
        <v/>
      </c>
      <c r="X378" s="179" t="str">
        <f t="array" ref="X378">IF($F378&lt;&gt;"", XLOOKUP($F378,Productos!$A$2:$A1001,Productos!Q$2:Q1001,"")*$G378,"")</f>
        <v/>
      </c>
      <c r="Y378" s="179" t="str">
        <f t="array" ref="Y378">IF($F378&lt;&gt;"",XLOOKUP($F378,Productos!$A:$A,Productos!R:R,"Revisar"),"")</f>
        <v/>
      </c>
      <c r="Z378" s="179" t="str">
        <f t="array" ref="Z378">IF($F378&lt;&gt;"", XLOOKUP($F378,Productos!$A$2:$A1001,Productos!S$2:S1001,"")*$G378,"")</f>
        <v/>
      </c>
      <c r="AA378" s="179" t="str">
        <f t="array" ref="AA378">IF($F378&lt;&gt;"",XLOOKUP($F378,Productos!$A:$A,Productos!T:T,"Revisar"),"")</f>
        <v/>
      </c>
      <c r="AB378" s="179" t="str">
        <f t="array" ref="AB378">IF($F378&lt;&gt;"", XLOOKUP($F378,Productos!$A$2:$A1001,Productos!U$2:U1001,"")*$G378,"")</f>
        <v/>
      </c>
      <c r="AC378" s="179" t="str">
        <f t="array" ref="AC378">IF($F378&lt;&gt;"",XLOOKUP($F378,Productos!$A:$A,Productos!V:V,"Revisar"),"")</f>
        <v/>
      </c>
      <c r="AD378" s="179" t="str">
        <f t="array" ref="AD378">IF($F378&lt;&gt;"", XLOOKUP($F378,Productos!$A$2:$A1001,Productos!W$2:W1001,"")*$G378,"")</f>
        <v/>
      </c>
      <c r="AE378" s="179" t="str">
        <f t="array" ref="AE378">IF($F378&lt;&gt;"",XLOOKUP($F378,Productos!$A:$A,Productos!X:X,"Revisar"),"")</f>
        <v/>
      </c>
      <c r="AF378" s="179" t="str">
        <f t="array" ref="AF378">IF($F378&lt;&gt;"", XLOOKUP($F378,Productos!$A$2:$A1001,Productos!Y$2:Y1001,"")*$G378,"")</f>
        <v/>
      </c>
      <c r="AG378" s="179" t="str">
        <f t="array" ref="AG378">IF($F378&lt;&gt;"",XLOOKUP($F378,Productos!$A:$A,Productos!Z:Z,"Revisar"),"")</f>
        <v/>
      </c>
      <c r="AH378" s="179" t="str">
        <f t="array" ref="AH378">IF($F378&lt;&gt;"", XLOOKUP($F378,Productos!$A$2:$A1001,Productos!AA$2:AA1001,"")*$G378,"")</f>
        <v/>
      </c>
      <c r="AI378" s="179" t="str">
        <f t="array" ref="AI378">IF($F378&lt;&gt;"",XLOOKUP($F378,Productos!$A:$A,Productos!AB:AB,"Revisar"),"")</f>
        <v/>
      </c>
      <c r="AJ378" s="179" t="str">
        <f t="array" ref="AJ378">IF($F378&lt;&gt;"", XLOOKUP($F378,Productos!$A$2:$A1001,Productos!AC$2:AC1001,"")*$G378,"")</f>
        <v/>
      </c>
      <c r="AK378" s="179" t="str">
        <f t="array" ref="AK378">IF($F378&lt;&gt;"",XLOOKUP($F378,Productos!$A:$A,Productos!AD:AD,"Revisar"),"")</f>
        <v/>
      </c>
      <c r="AL378" s="179" t="str">
        <f t="array" ref="AL378">IF($F378&lt;&gt;"", XLOOKUP($F378,Productos!$A$2:$A1001,Productos!AE$2:AE1001,"")*$G378,"")</f>
        <v/>
      </c>
      <c r="AM378" s="179" t="str">
        <f t="array" ref="AM378">IF($F378&lt;&gt;"",XLOOKUP($F378,Productos!$A:$A,Productos!AF:AF,"Revisar"),"")</f>
        <v/>
      </c>
      <c r="AN378" s="179" t="str">
        <f t="array" ref="AN378">IF($F378&lt;&gt;"", XLOOKUP($F378,Productos!$A$2:$A1001,Productos!AG$2:AG1001,"")*$G378,"")</f>
        <v/>
      </c>
      <c r="AO378" s="179" t="str">
        <f t="array" ref="AO378">IF($F378&lt;&gt;"",XLOOKUP($F378,Productos!$A:$A,Productos!AH:AH,"Revisar"),"")</f>
        <v/>
      </c>
      <c r="AP378" s="179" t="str">
        <f t="array" ref="AP378">IF($F378&lt;&gt;"", XLOOKUP($F378,Productos!$A$2:$A1001,Productos!AI$2:AI1001,"")*$G378,"")</f>
        <v/>
      </c>
      <c r="AQ378" s="179" t="str">
        <f t="array" ref="AQ378">IF($F378&lt;&gt;"",XLOOKUP($F378,Productos!$A:$A,Productos!AJ:AJ,"Revisar"),"")</f>
        <v/>
      </c>
      <c r="AR378" s="179" t="str">
        <f t="array" ref="AR378">IF($F378&lt;&gt;"", XLOOKUP($F378,Productos!$A$2:$A1001,Productos!AK$2:AK1001,"")*$G378,"")</f>
        <v/>
      </c>
      <c r="AS378" s="179" t="str">
        <f t="array" ref="AS378">IF($F378&lt;&gt;"",XLOOKUP($F378,Productos!$A:$A,Productos!AL:AL,"Revisar"),"")</f>
        <v/>
      </c>
      <c r="AT378" s="179" t="str">
        <f t="array" ref="AT378">IF($F378&lt;&gt;"", XLOOKUP($F378,Productos!$A$2:$A1001,Productos!AM$2:AM1001,"")*$G378,"")</f>
        <v/>
      </c>
      <c r="AU378" s="179" t="str">
        <f t="array" ref="AU378">IF($F378&lt;&gt;"",XLOOKUP($F378,Productos!$A:$A,Productos!AN:AN,"Revisar"),"")</f>
        <v/>
      </c>
      <c r="AV378" s="179" t="str">
        <f t="array" ref="AV378">IF($F378&lt;&gt;"", XLOOKUP($F378,Productos!$A$2:$A1001,Productos!AO$2:AO1001,"")*$G378,"")</f>
        <v/>
      </c>
      <c r="AW378" s="179" t="str">
        <f t="array" ref="AW378">IF($F378&lt;&gt;"",XLOOKUP($F378,Productos!$A:$A,Productos!AP:AP,"Revisar"),"")</f>
        <v/>
      </c>
      <c r="AX378" s="179" t="str">
        <f t="array" ref="AX378">IF($F378&lt;&gt;"", XLOOKUP($F378,Productos!$A$2:$A1001,Productos!AQ$2:AQ1001,"")*$G378,"")</f>
        <v/>
      </c>
      <c r="AY378" s="179" t="str">
        <f t="array" ref="AY378">IF($F378&lt;&gt;"",XLOOKUP($F378,Productos!$A:$A,Productos!AR:AR,"Revisar"),"")</f>
        <v/>
      </c>
      <c r="AZ378" s="179" t="str">
        <f t="array" ref="AZ378">IF($F378&lt;&gt;"", XLOOKUP($F378,Productos!$A$2:$A1001,Productos!AS$2:AS1001,"")*$G378,"")</f>
        <v/>
      </c>
      <c r="BA378" s="179" t="str">
        <f t="array" ref="BA378">IF($F378&lt;&gt;"",XLOOKUP($F378,Productos!$A:$A,Productos!AT:AT,"Revisar"),"")</f>
        <v/>
      </c>
      <c r="BB378" s="179" t="str">
        <f t="array" ref="BB378">IF($F378&lt;&gt;"", XLOOKUP($F378,Productos!$A$2:$A1001,Productos!AU$2:AU1001,"")*$G378,"")</f>
        <v/>
      </c>
      <c r="BC378" s="179" t="str">
        <f t="array" ref="BC378">IF($F378&lt;&gt;"",XLOOKUP($F378,Productos!$A:$A,Productos!AV:AV,"Revisar"),"")</f>
        <v/>
      </c>
      <c r="BD378" s="179" t="str">
        <f t="array" ref="BD378">IF($F378&lt;&gt;"", XLOOKUP($F378,Productos!$A$2:$A1001,Productos!AW$2:AW1001,"")*$G378,"")</f>
        <v/>
      </c>
      <c r="BE378" s="179" t="str">
        <f t="array" ref="BE378">IF($F378&lt;&gt;"",XLOOKUP($F378,Productos!$A:$A,Productos!AX:AX,"Revisar"),"")</f>
        <v/>
      </c>
      <c r="BF378" s="179" t="str">
        <f t="array" ref="BF378">IF($F378&lt;&gt;"", XLOOKUP($F378,Productos!$A$2:$A1001,Productos!AY$2:AY1001,"")*$G378,"")</f>
        <v/>
      </c>
      <c r="BG378" s="179" t="str">
        <f t="array" ref="BG378">IF($F378&lt;&gt;"",XLOOKUP($F378,Productos!$A:$A,Productos!AZ:AZ,"Revisar"),"")</f>
        <v/>
      </c>
      <c r="BH378" s="179" t="str">
        <f t="array" ref="BH378">IF($F378&lt;&gt;"", XLOOKUP($F378,Productos!$A$2:$A1001,Productos!BA$2:BA1001,"")*$G378,"")</f>
        <v/>
      </c>
      <c r="BI378" s="179" t="str">
        <f t="array" ref="BI378">IF($F378&lt;&gt;"",XLOOKUP($F378,Productos!$A:$A,Productos!BB:BB,"Revisar"),"")</f>
        <v/>
      </c>
      <c r="BJ378" s="179" t="str">
        <f t="array" ref="BJ378">IF($F378&lt;&gt;"", XLOOKUP($F378,Productos!$A$2:$A1001,Productos!BC$2:BC1001,"")*$G378,"")</f>
        <v/>
      </c>
      <c r="BK378" s="179" t="str">
        <f t="array" ref="BK378">IF($F378&lt;&gt;"",XLOOKUP($F378,Productos!$A:$A,Productos!BD:BD,"Revisar"),"")</f>
        <v/>
      </c>
      <c r="BL378" s="179" t="str">
        <f t="array" ref="BL378">IF($F378&lt;&gt;"", XLOOKUP($F378,Productos!$A$2:$A1001,Productos!BE$2:BE1001,"")*$G378,"")</f>
        <v/>
      </c>
      <c r="BM378" s="179" t="str">
        <f t="array" ref="BM378">IF($F378&lt;&gt;"",XLOOKUP($F378,Productos!$A:$A,Productos!BF:BF,"Revisar"),"")</f>
        <v/>
      </c>
      <c r="BN378" s="179" t="str">
        <f t="array" ref="BN378">IF($F378&lt;&gt;"", XLOOKUP($F378,Productos!$A$2:$A1001,Productos!BG$2:BG1001,"")*$G378,"")</f>
        <v/>
      </c>
      <c r="BO378" s="179" t="str">
        <f t="array" ref="BO378">IF($F378&lt;&gt;"",XLOOKUP($F378,Productos!$A:$A,Productos!BH:BH,"Revisar"),"")</f>
        <v/>
      </c>
      <c r="BP378" s="179" t="str">
        <f t="array" ref="BP378">IF($F378&lt;&gt;"", XLOOKUP($F378,Productos!$A$2:$A1001,Productos!BI$2:BI1001,"")*$G378,"")</f>
        <v/>
      </c>
      <c r="BQ378" s="179" t="str">
        <f t="array" ref="BQ378">IF($F378&lt;&gt;"",XLOOKUP($F378,Productos!$A:$A,Productos!BJ:BJ,"Revisar"),"")</f>
        <v/>
      </c>
      <c r="BR378" s="179" t="str">
        <f t="array" ref="BR378">IF($F378&lt;&gt;"", XLOOKUP($F378,Productos!$A$2:$A1001,Productos!BK$2:BK1001,"")*$G378,"")</f>
        <v/>
      </c>
      <c r="BS378" s="179" t="str">
        <f t="array" ref="BS378">IF($F378&lt;&gt;"",XLOOKUP($F378,Productos!$A:$A,Productos!BL:BL,"Revisar"),"")</f>
        <v/>
      </c>
      <c r="BT378" s="179" t="str">
        <f t="array" ref="BT378">IF($F378&lt;&gt;"", XLOOKUP($F378,Productos!$A$2:$A1001,Productos!BM$2:BM1001,"")*$G378,"")</f>
        <v/>
      </c>
      <c r="BU378" s="179" t="str">
        <f t="array" ref="BU378">IF($F378&lt;&gt;"",XLOOKUP($F378,Productos!$A:$A,Productos!BN:BN,"Revisar"),"")</f>
        <v/>
      </c>
      <c r="BV378" s="179" t="str">
        <f t="array" ref="BV378">IF($F378&lt;&gt;"", XLOOKUP($F378,Productos!$A$2:$A1001,Productos!BO$2:BO1001,"")*$G378,"")</f>
        <v/>
      </c>
      <c r="BW378" s="179" t="str">
        <f t="array" ref="BW378">IF($F378&lt;&gt;"",XLOOKUP($F378,Productos!$A:$A,Productos!BP:BP,"Revisar"),"")</f>
        <v/>
      </c>
      <c r="BX378" s="179" t="str">
        <f t="array" ref="BX378">IF($F378&lt;&gt;"", XLOOKUP($F378,Productos!$A$2:$A1001,Productos!BQ$2:BQ1001,"")*$G378,"")</f>
        <v/>
      </c>
      <c r="BY378" s="179" t="str">
        <f t="array" ref="BY378">IF($F378&lt;&gt;"",XLOOKUP($F378,Productos!$A:$A,Productos!BR:BR,"Revisar"),"")</f>
        <v/>
      </c>
      <c r="BZ378" s="179" t="str">
        <f t="array" ref="BZ378">IF($F378&lt;&gt;"", XLOOKUP($F378,Productos!$A$2:$A1001,Productos!BS$2:BS1001,"")*$G378,"")</f>
        <v/>
      </c>
    </row>
    <row r="379">
      <c r="A379" s="188"/>
      <c r="B379" s="189"/>
      <c r="C379" s="190"/>
      <c r="D379" s="190"/>
      <c r="E379" s="191"/>
      <c r="F379" s="186"/>
      <c r="G379" s="192"/>
      <c r="H379" s="9"/>
      <c r="I379" s="179" t="str">
        <f t="array" ref="I379">IF($F379&lt;&gt;"",XLOOKUP($F379,Productos!$A:$A,Productos!B:B,"Revisar"),"")</f>
        <v/>
      </c>
      <c r="J379" s="179" t="str">
        <f t="array" ref="J379">IF($F379&lt;&gt;"", XLOOKUP($F379,Productos!$A$2:$A1001,Productos!C$2:C1001,"")*$G379,"")</f>
        <v/>
      </c>
      <c r="K379" s="179" t="str">
        <f t="array" ref="K379">IF($F379&lt;&gt;"",XLOOKUP($F379,Productos!$A:$A,Productos!D:D,"Revisar"),"")</f>
        <v/>
      </c>
      <c r="L379" s="179" t="str">
        <f t="array" ref="L379">IF($F379&lt;&gt;"", XLOOKUP($F379,Productos!$A$2:$A1001,Productos!E$2:E1001,"")*$G379,"")</f>
        <v/>
      </c>
      <c r="M379" s="179" t="str">
        <f t="array" ref="M379">IF($F379&lt;&gt;"",XLOOKUP($F379,Productos!$A:$A,Productos!F:F,"Revisar"),"")</f>
        <v/>
      </c>
      <c r="N379" s="179" t="str">
        <f t="array" ref="N379">IF($F379&lt;&gt;"", XLOOKUP($F379,Productos!$A$2:$A1001,Productos!G$2:G1001,"")*$G379,"")</f>
        <v/>
      </c>
      <c r="O379" s="179" t="str">
        <f t="array" ref="O379">IF($F379&lt;&gt;"",XLOOKUP($F379,Productos!$A:$A,Productos!H:H,"Revisar"),"")</f>
        <v/>
      </c>
      <c r="P379" s="179" t="str">
        <f t="array" ref="P379">IF($F379&lt;&gt;"", XLOOKUP($F379,Productos!$A$2:$A1001,Productos!I$2:I1001,"")*$G379,"")</f>
        <v/>
      </c>
      <c r="Q379" s="179" t="str">
        <f t="array" ref="Q379">IF($F379&lt;&gt;"",XLOOKUP($F379,Productos!$A:$A,Productos!J:J,"Revisar"),"")</f>
        <v/>
      </c>
      <c r="R379" s="179" t="str">
        <f t="array" ref="R379">IF($F379&lt;&gt;"", XLOOKUP($F379,Productos!$A$2:$A1001,Productos!K$2:K1001,"")*$G379,"")</f>
        <v/>
      </c>
      <c r="S379" s="179" t="str">
        <f t="array" ref="S379">IF($F379&lt;&gt;"",XLOOKUP($F379,Productos!$A:$A,Productos!L:L,"Revisar"),"")</f>
        <v/>
      </c>
      <c r="T379" s="179" t="str">
        <f t="array" ref="T379">IF($F379&lt;&gt;"", XLOOKUP($F379,Productos!$A$2:$A1001,Productos!M$2:M1001,"")*$G379,"")</f>
        <v/>
      </c>
      <c r="U379" s="179" t="str">
        <f t="array" ref="U379">IF($F379&lt;&gt;"",XLOOKUP($F379,Productos!$A:$A,Productos!N:N,"Revisar"),"")</f>
        <v/>
      </c>
      <c r="V379" s="179" t="str">
        <f t="array" ref="V379">IF($F379&lt;&gt;"", XLOOKUP($F379,Productos!$A$2:$A1001,Productos!O$2:O1001,"")*$G379,"")</f>
        <v/>
      </c>
      <c r="W379" s="179" t="str">
        <f t="array" ref="W379">IF($F379&lt;&gt;"",XLOOKUP($F379,Productos!$A:$A,Productos!P:P,"Revisar"),"")</f>
        <v/>
      </c>
      <c r="X379" s="179" t="str">
        <f t="array" ref="X379">IF($F379&lt;&gt;"", XLOOKUP($F379,Productos!$A$2:$A1001,Productos!Q$2:Q1001,"")*$G379,"")</f>
        <v/>
      </c>
      <c r="Y379" s="179" t="str">
        <f t="array" ref="Y379">IF($F379&lt;&gt;"",XLOOKUP($F379,Productos!$A:$A,Productos!R:R,"Revisar"),"")</f>
        <v/>
      </c>
      <c r="Z379" s="179" t="str">
        <f t="array" ref="Z379">IF($F379&lt;&gt;"", XLOOKUP($F379,Productos!$A$2:$A1001,Productos!S$2:S1001,"")*$G379,"")</f>
        <v/>
      </c>
      <c r="AA379" s="179" t="str">
        <f t="array" ref="AA379">IF($F379&lt;&gt;"",XLOOKUP($F379,Productos!$A:$A,Productos!T:T,"Revisar"),"")</f>
        <v/>
      </c>
      <c r="AB379" s="179" t="str">
        <f t="array" ref="AB379">IF($F379&lt;&gt;"", XLOOKUP($F379,Productos!$A$2:$A1001,Productos!U$2:U1001,"")*$G379,"")</f>
        <v/>
      </c>
      <c r="AC379" s="179" t="str">
        <f t="array" ref="AC379">IF($F379&lt;&gt;"",XLOOKUP($F379,Productos!$A:$A,Productos!V:V,"Revisar"),"")</f>
        <v/>
      </c>
      <c r="AD379" s="179" t="str">
        <f t="array" ref="AD379">IF($F379&lt;&gt;"", XLOOKUP($F379,Productos!$A$2:$A1001,Productos!W$2:W1001,"")*$G379,"")</f>
        <v/>
      </c>
      <c r="AE379" s="179" t="str">
        <f t="array" ref="AE379">IF($F379&lt;&gt;"",XLOOKUP($F379,Productos!$A:$A,Productos!X:X,"Revisar"),"")</f>
        <v/>
      </c>
      <c r="AF379" s="179" t="str">
        <f t="array" ref="AF379">IF($F379&lt;&gt;"", XLOOKUP($F379,Productos!$A$2:$A1001,Productos!Y$2:Y1001,"")*$G379,"")</f>
        <v/>
      </c>
      <c r="AG379" s="179" t="str">
        <f t="array" ref="AG379">IF($F379&lt;&gt;"",XLOOKUP($F379,Productos!$A:$A,Productos!Z:Z,"Revisar"),"")</f>
        <v/>
      </c>
      <c r="AH379" s="179" t="str">
        <f t="array" ref="AH379">IF($F379&lt;&gt;"", XLOOKUP($F379,Productos!$A$2:$A1001,Productos!AA$2:AA1001,"")*$G379,"")</f>
        <v/>
      </c>
      <c r="AI379" s="179" t="str">
        <f t="array" ref="AI379">IF($F379&lt;&gt;"",XLOOKUP($F379,Productos!$A:$A,Productos!AB:AB,"Revisar"),"")</f>
        <v/>
      </c>
      <c r="AJ379" s="179" t="str">
        <f t="array" ref="AJ379">IF($F379&lt;&gt;"", XLOOKUP($F379,Productos!$A$2:$A1001,Productos!AC$2:AC1001,"")*$G379,"")</f>
        <v/>
      </c>
      <c r="AK379" s="179" t="str">
        <f t="array" ref="AK379">IF($F379&lt;&gt;"",XLOOKUP($F379,Productos!$A:$A,Productos!AD:AD,"Revisar"),"")</f>
        <v/>
      </c>
      <c r="AL379" s="179" t="str">
        <f t="array" ref="AL379">IF($F379&lt;&gt;"", XLOOKUP($F379,Productos!$A$2:$A1001,Productos!AE$2:AE1001,"")*$G379,"")</f>
        <v/>
      </c>
      <c r="AM379" s="179" t="str">
        <f t="array" ref="AM379">IF($F379&lt;&gt;"",XLOOKUP($F379,Productos!$A:$A,Productos!AF:AF,"Revisar"),"")</f>
        <v/>
      </c>
      <c r="AN379" s="179" t="str">
        <f t="array" ref="AN379">IF($F379&lt;&gt;"", XLOOKUP($F379,Productos!$A$2:$A1001,Productos!AG$2:AG1001,"")*$G379,"")</f>
        <v/>
      </c>
      <c r="AO379" s="179" t="str">
        <f t="array" ref="AO379">IF($F379&lt;&gt;"",XLOOKUP($F379,Productos!$A:$A,Productos!AH:AH,"Revisar"),"")</f>
        <v/>
      </c>
      <c r="AP379" s="179" t="str">
        <f t="array" ref="AP379">IF($F379&lt;&gt;"", XLOOKUP($F379,Productos!$A$2:$A1001,Productos!AI$2:AI1001,"")*$G379,"")</f>
        <v/>
      </c>
      <c r="AQ379" s="179" t="str">
        <f t="array" ref="AQ379">IF($F379&lt;&gt;"",XLOOKUP($F379,Productos!$A:$A,Productos!AJ:AJ,"Revisar"),"")</f>
        <v/>
      </c>
      <c r="AR379" s="179" t="str">
        <f t="array" ref="AR379">IF($F379&lt;&gt;"", XLOOKUP($F379,Productos!$A$2:$A1001,Productos!AK$2:AK1001,"")*$G379,"")</f>
        <v/>
      </c>
      <c r="AS379" s="179" t="str">
        <f t="array" ref="AS379">IF($F379&lt;&gt;"",XLOOKUP($F379,Productos!$A:$A,Productos!AL:AL,"Revisar"),"")</f>
        <v/>
      </c>
      <c r="AT379" s="179" t="str">
        <f t="array" ref="AT379">IF($F379&lt;&gt;"", XLOOKUP($F379,Productos!$A$2:$A1001,Productos!AM$2:AM1001,"")*$G379,"")</f>
        <v/>
      </c>
      <c r="AU379" s="179" t="str">
        <f t="array" ref="AU379">IF($F379&lt;&gt;"",XLOOKUP($F379,Productos!$A:$A,Productos!AN:AN,"Revisar"),"")</f>
        <v/>
      </c>
      <c r="AV379" s="179" t="str">
        <f t="array" ref="AV379">IF($F379&lt;&gt;"", XLOOKUP($F379,Productos!$A$2:$A1001,Productos!AO$2:AO1001,"")*$G379,"")</f>
        <v/>
      </c>
      <c r="AW379" s="179" t="str">
        <f t="array" ref="AW379">IF($F379&lt;&gt;"",XLOOKUP($F379,Productos!$A:$A,Productos!AP:AP,"Revisar"),"")</f>
        <v/>
      </c>
      <c r="AX379" s="179" t="str">
        <f t="array" ref="AX379">IF($F379&lt;&gt;"", XLOOKUP($F379,Productos!$A$2:$A1001,Productos!AQ$2:AQ1001,"")*$G379,"")</f>
        <v/>
      </c>
      <c r="AY379" s="179" t="str">
        <f t="array" ref="AY379">IF($F379&lt;&gt;"",XLOOKUP($F379,Productos!$A:$A,Productos!AR:AR,"Revisar"),"")</f>
        <v/>
      </c>
      <c r="AZ379" s="179" t="str">
        <f t="array" ref="AZ379">IF($F379&lt;&gt;"", XLOOKUP($F379,Productos!$A$2:$A1001,Productos!AS$2:AS1001,"")*$G379,"")</f>
        <v/>
      </c>
      <c r="BA379" s="179" t="str">
        <f t="array" ref="BA379">IF($F379&lt;&gt;"",XLOOKUP($F379,Productos!$A:$A,Productos!AT:AT,"Revisar"),"")</f>
        <v/>
      </c>
      <c r="BB379" s="179" t="str">
        <f t="array" ref="BB379">IF($F379&lt;&gt;"", XLOOKUP($F379,Productos!$A$2:$A1001,Productos!AU$2:AU1001,"")*$G379,"")</f>
        <v/>
      </c>
      <c r="BC379" s="179" t="str">
        <f t="array" ref="BC379">IF($F379&lt;&gt;"",XLOOKUP($F379,Productos!$A:$A,Productos!AV:AV,"Revisar"),"")</f>
        <v/>
      </c>
      <c r="BD379" s="179" t="str">
        <f t="array" ref="BD379">IF($F379&lt;&gt;"", XLOOKUP($F379,Productos!$A$2:$A1001,Productos!AW$2:AW1001,"")*$G379,"")</f>
        <v/>
      </c>
      <c r="BE379" s="179" t="str">
        <f t="array" ref="BE379">IF($F379&lt;&gt;"",XLOOKUP($F379,Productos!$A:$A,Productos!AX:AX,"Revisar"),"")</f>
        <v/>
      </c>
      <c r="BF379" s="179" t="str">
        <f t="array" ref="BF379">IF($F379&lt;&gt;"", XLOOKUP($F379,Productos!$A$2:$A1001,Productos!AY$2:AY1001,"")*$G379,"")</f>
        <v/>
      </c>
      <c r="BG379" s="179" t="str">
        <f t="array" ref="BG379">IF($F379&lt;&gt;"",XLOOKUP($F379,Productos!$A:$A,Productos!AZ:AZ,"Revisar"),"")</f>
        <v/>
      </c>
      <c r="BH379" s="179" t="str">
        <f t="array" ref="BH379">IF($F379&lt;&gt;"", XLOOKUP($F379,Productos!$A$2:$A1001,Productos!BA$2:BA1001,"")*$G379,"")</f>
        <v/>
      </c>
      <c r="BI379" s="179" t="str">
        <f t="array" ref="BI379">IF($F379&lt;&gt;"",XLOOKUP($F379,Productos!$A:$A,Productos!BB:BB,"Revisar"),"")</f>
        <v/>
      </c>
      <c r="BJ379" s="179" t="str">
        <f t="array" ref="BJ379">IF($F379&lt;&gt;"", XLOOKUP($F379,Productos!$A$2:$A1001,Productos!BC$2:BC1001,"")*$G379,"")</f>
        <v/>
      </c>
      <c r="BK379" s="179" t="str">
        <f t="array" ref="BK379">IF($F379&lt;&gt;"",XLOOKUP($F379,Productos!$A:$A,Productos!BD:BD,"Revisar"),"")</f>
        <v/>
      </c>
      <c r="BL379" s="179" t="str">
        <f t="array" ref="BL379">IF($F379&lt;&gt;"", XLOOKUP($F379,Productos!$A$2:$A1001,Productos!BE$2:BE1001,"")*$G379,"")</f>
        <v/>
      </c>
      <c r="BM379" s="179" t="str">
        <f t="array" ref="BM379">IF($F379&lt;&gt;"",XLOOKUP($F379,Productos!$A:$A,Productos!BF:BF,"Revisar"),"")</f>
        <v/>
      </c>
      <c r="BN379" s="179" t="str">
        <f t="array" ref="BN379">IF($F379&lt;&gt;"", XLOOKUP($F379,Productos!$A$2:$A1001,Productos!BG$2:BG1001,"")*$G379,"")</f>
        <v/>
      </c>
      <c r="BO379" s="179" t="str">
        <f t="array" ref="BO379">IF($F379&lt;&gt;"",XLOOKUP($F379,Productos!$A:$A,Productos!BH:BH,"Revisar"),"")</f>
        <v/>
      </c>
      <c r="BP379" s="179" t="str">
        <f t="array" ref="BP379">IF($F379&lt;&gt;"", XLOOKUP($F379,Productos!$A$2:$A1001,Productos!BI$2:BI1001,"")*$G379,"")</f>
        <v/>
      </c>
      <c r="BQ379" s="179" t="str">
        <f t="array" ref="BQ379">IF($F379&lt;&gt;"",XLOOKUP($F379,Productos!$A:$A,Productos!BJ:BJ,"Revisar"),"")</f>
        <v/>
      </c>
      <c r="BR379" s="179" t="str">
        <f t="array" ref="BR379">IF($F379&lt;&gt;"", XLOOKUP($F379,Productos!$A$2:$A1001,Productos!BK$2:BK1001,"")*$G379,"")</f>
        <v/>
      </c>
      <c r="BS379" s="179" t="str">
        <f t="array" ref="BS379">IF($F379&lt;&gt;"",XLOOKUP($F379,Productos!$A:$A,Productos!BL:BL,"Revisar"),"")</f>
        <v/>
      </c>
      <c r="BT379" s="179" t="str">
        <f t="array" ref="BT379">IF($F379&lt;&gt;"", XLOOKUP($F379,Productos!$A$2:$A1001,Productos!BM$2:BM1001,"")*$G379,"")</f>
        <v/>
      </c>
      <c r="BU379" s="179" t="str">
        <f t="array" ref="BU379">IF($F379&lt;&gt;"",XLOOKUP($F379,Productos!$A:$A,Productos!BN:BN,"Revisar"),"")</f>
        <v/>
      </c>
      <c r="BV379" s="179" t="str">
        <f t="array" ref="BV379">IF($F379&lt;&gt;"", XLOOKUP($F379,Productos!$A$2:$A1001,Productos!BO$2:BO1001,"")*$G379,"")</f>
        <v/>
      </c>
      <c r="BW379" s="179" t="str">
        <f t="array" ref="BW379">IF($F379&lt;&gt;"",XLOOKUP($F379,Productos!$A:$A,Productos!BP:BP,"Revisar"),"")</f>
        <v/>
      </c>
      <c r="BX379" s="179" t="str">
        <f t="array" ref="BX379">IF($F379&lt;&gt;"", XLOOKUP($F379,Productos!$A$2:$A1001,Productos!BQ$2:BQ1001,"")*$G379,"")</f>
        <v/>
      </c>
      <c r="BY379" s="179" t="str">
        <f t="array" ref="BY379">IF($F379&lt;&gt;"",XLOOKUP($F379,Productos!$A:$A,Productos!BR:BR,"Revisar"),"")</f>
        <v/>
      </c>
      <c r="BZ379" s="179" t="str">
        <f t="array" ref="BZ379">IF($F379&lt;&gt;"", XLOOKUP($F379,Productos!$A$2:$A1001,Productos!BS$2:BS1001,"")*$G379,"")</f>
        <v/>
      </c>
    </row>
    <row r="380">
      <c r="A380" s="188"/>
      <c r="B380" s="189"/>
      <c r="C380" s="190"/>
      <c r="D380" s="190"/>
      <c r="E380" s="191"/>
      <c r="F380" s="186"/>
      <c r="G380" s="192"/>
      <c r="H380" s="9"/>
      <c r="I380" s="179" t="str">
        <f t="array" ref="I380">IF($F380&lt;&gt;"",XLOOKUP($F380,Productos!$A:$A,Productos!B:B,"Revisar"),"")</f>
        <v/>
      </c>
      <c r="J380" s="179" t="str">
        <f t="array" ref="J380">IF($F380&lt;&gt;"", XLOOKUP($F380,Productos!$A$2:$A1001,Productos!C$2:C1001,"")*$G380,"")</f>
        <v/>
      </c>
      <c r="K380" s="179" t="str">
        <f t="array" ref="K380">IF($F380&lt;&gt;"",XLOOKUP($F380,Productos!$A:$A,Productos!D:D,"Revisar"),"")</f>
        <v/>
      </c>
      <c r="L380" s="179" t="str">
        <f t="array" ref="L380">IF($F380&lt;&gt;"", XLOOKUP($F380,Productos!$A$2:$A1001,Productos!E$2:E1001,"")*$G380,"")</f>
        <v/>
      </c>
      <c r="M380" s="179" t="str">
        <f t="array" ref="M380">IF($F380&lt;&gt;"",XLOOKUP($F380,Productos!$A:$A,Productos!F:F,"Revisar"),"")</f>
        <v/>
      </c>
      <c r="N380" s="179" t="str">
        <f t="array" ref="N380">IF($F380&lt;&gt;"", XLOOKUP($F380,Productos!$A$2:$A1001,Productos!G$2:G1001,"")*$G380,"")</f>
        <v/>
      </c>
      <c r="O380" s="179" t="str">
        <f t="array" ref="O380">IF($F380&lt;&gt;"",XLOOKUP($F380,Productos!$A:$A,Productos!H:H,"Revisar"),"")</f>
        <v/>
      </c>
      <c r="P380" s="179" t="str">
        <f t="array" ref="P380">IF($F380&lt;&gt;"", XLOOKUP($F380,Productos!$A$2:$A1001,Productos!I$2:I1001,"")*$G380,"")</f>
        <v/>
      </c>
      <c r="Q380" s="179" t="str">
        <f t="array" ref="Q380">IF($F380&lt;&gt;"",XLOOKUP($F380,Productos!$A:$A,Productos!J:J,"Revisar"),"")</f>
        <v/>
      </c>
      <c r="R380" s="179" t="str">
        <f t="array" ref="R380">IF($F380&lt;&gt;"", XLOOKUP($F380,Productos!$A$2:$A1001,Productos!K$2:K1001,"")*$G380,"")</f>
        <v/>
      </c>
      <c r="S380" s="179" t="str">
        <f t="array" ref="S380">IF($F380&lt;&gt;"",XLOOKUP($F380,Productos!$A:$A,Productos!L:L,"Revisar"),"")</f>
        <v/>
      </c>
      <c r="T380" s="179" t="str">
        <f t="array" ref="T380">IF($F380&lt;&gt;"", XLOOKUP($F380,Productos!$A$2:$A1001,Productos!M$2:M1001,"")*$G380,"")</f>
        <v/>
      </c>
      <c r="U380" s="179" t="str">
        <f t="array" ref="U380">IF($F380&lt;&gt;"",XLOOKUP($F380,Productos!$A:$A,Productos!N:N,"Revisar"),"")</f>
        <v/>
      </c>
      <c r="V380" s="179" t="str">
        <f t="array" ref="V380">IF($F380&lt;&gt;"", XLOOKUP($F380,Productos!$A$2:$A1001,Productos!O$2:O1001,"")*$G380,"")</f>
        <v/>
      </c>
      <c r="W380" s="179" t="str">
        <f t="array" ref="W380">IF($F380&lt;&gt;"",XLOOKUP($F380,Productos!$A:$A,Productos!P:P,"Revisar"),"")</f>
        <v/>
      </c>
      <c r="X380" s="179" t="str">
        <f t="array" ref="X380">IF($F380&lt;&gt;"", XLOOKUP($F380,Productos!$A$2:$A1001,Productos!Q$2:Q1001,"")*$G380,"")</f>
        <v/>
      </c>
      <c r="Y380" s="179" t="str">
        <f t="array" ref="Y380">IF($F380&lt;&gt;"",XLOOKUP($F380,Productos!$A:$A,Productos!R:R,"Revisar"),"")</f>
        <v/>
      </c>
      <c r="Z380" s="179" t="str">
        <f t="array" ref="Z380">IF($F380&lt;&gt;"", XLOOKUP($F380,Productos!$A$2:$A1001,Productos!S$2:S1001,"")*$G380,"")</f>
        <v/>
      </c>
      <c r="AA380" s="179" t="str">
        <f t="array" ref="AA380">IF($F380&lt;&gt;"",XLOOKUP($F380,Productos!$A:$A,Productos!T:T,"Revisar"),"")</f>
        <v/>
      </c>
      <c r="AB380" s="179" t="str">
        <f t="array" ref="AB380">IF($F380&lt;&gt;"", XLOOKUP($F380,Productos!$A$2:$A1001,Productos!U$2:U1001,"")*$G380,"")</f>
        <v/>
      </c>
      <c r="AC380" s="179" t="str">
        <f t="array" ref="AC380">IF($F380&lt;&gt;"",XLOOKUP($F380,Productos!$A:$A,Productos!V:V,"Revisar"),"")</f>
        <v/>
      </c>
      <c r="AD380" s="179" t="str">
        <f t="array" ref="AD380">IF($F380&lt;&gt;"", XLOOKUP($F380,Productos!$A$2:$A1001,Productos!W$2:W1001,"")*$G380,"")</f>
        <v/>
      </c>
      <c r="AE380" s="179" t="str">
        <f t="array" ref="AE380">IF($F380&lt;&gt;"",XLOOKUP($F380,Productos!$A:$A,Productos!X:X,"Revisar"),"")</f>
        <v/>
      </c>
      <c r="AF380" s="179" t="str">
        <f t="array" ref="AF380">IF($F380&lt;&gt;"", XLOOKUP($F380,Productos!$A$2:$A1001,Productos!Y$2:Y1001,"")*$G380,"")</f>
        <v/>
      </c>
      <c r="AG380" s="179" t="str">
        <f t="array" ref="AG380">IF($F380&lt;&gt;"",XLOOKUP($F380,Productos!$A:$A,Productos!Z:Z,"Revisar"),"")</f>
        <v/>
      </c>
      <c r="AH380" s="179" t="str">
        <f t="array" ref="AH380">IF($F380&lt;&gt;"", XLOOKUP($F380,Productos!$A$2:$A1001,Productos!AA$2:AA1001,"")*$G380,"")</f>
        <v/>
      </c>
      <c r="AI380" s="179" t="str">
        <f t="array" ref="AI380">IF($F380&lt;&gt;"",XLOOKUP($F380,Productos!$A:$A,Productos!AB:AB,"Revisar"),"")</f>
        <v/>
      </c>
      <c r="AJ380" s="179" t="str">
        <f t="array" ref="AJ380">IF($F380&lt;&gt;"", XLOOKUP($F380,Productos!$A$2:$A1001,Productos!AC$2:AC1001,"")*$G380,"")</f>
        <v/>
      </c>
      <c r="AK380" s="179" t="str">
        <f t="array" ref="AK380">IF($F380&lt;&gt;"",XLOOKUP($F380,Productos!$A:$A,Productos!AD:AD,"Revisar"),"")</f>
        <v/>
      </c>
      <c r="AL380" s="179" t="str">
        <f t="array" ref="AL380">IF($F380&lt;&gt;"", XLOOKUP($F380,Productos!$A$2:$A1001,Productos!AE$2:AE1001,"")*$G380,"")</f>
        <v/>
      </c>
      <c r="AM380" s="179" t="str">
        <f t="array" ref="AM380">IF($F380&lt;&gt;"",XLOOKUP($F380,Productos!$A:$A,Productos!AF:AF,"Revisar"),"")</f>
        <v/>
      </c>
      <c r="AN380" s="179" t="str">
        <f t="array" ref="AN380">IF($F380&lt;&gt;"", XLOOKUP($F380,Productos!$A$2:$A1001,Productos!AG$2:AG1001,"")*$G380,"")</f>
        <v/>
      </c>
      <c r="AO380" s="179" t="str">
        <f t="array" ref="AO380">IF($F380&lt;&gt;"",XLOOKUP($F380,Productos!$A:$A,Productos!AH:AH,"Revisar"),"")</f>
        <v/>
      </c>
      <c r="AP380" s="179" t="str">
        <f t="array" ref="AP380">IF($F380&lt;&gt;"", XLOOKUP($F380,Productos!$A$2:$A1001,Productos!AI$2:AI1001,"")*$G380,"")</f>
        <v/>
      </c>
      <c r="AQ380" s="179" t="str">
        <f t="array" ref="AQ380">IF($F380&lt;&gt;"",XLOOKUP($F380,Productos!$A:$A,Productos!AJ:AJ,"Revisar"),"")</f>
        <v/>
      </c>
      <c r="AR380" s="179" t="str">
        <f t="array" ref="AR380">IF($F380&lt;&gt;"", XLOOKUP($F380,Productos!$A$2:$A1001,Productos!AK$2:AK1001,"")*$G380,"")</f>
        <v/>
      </c>
      <c r="AS380" s="179" t="str">
        <f t="array" ref="AS380">IF($F380&lt;&gt;"",XLOOKUP($F380,Productos!$A:$A,Productos!AL:AL,"Revisar"),"")</f>
        <v/>
      </c>
      <c r="AT380" s="179" t="str">
        <f t="array" ref="AT380">IF($F380&lt;&gt;"", XLOOKUP($F380,Productos!$A$2:$A1001,Productos!AM$2:AM1001,"")*$G380,"")</f>
        <v/>
      </c>
      <c r="AU380" s="179" t="str">
        <f t="array" ref="AU380">IF($F380&lt;&gt;"",XLOOKUP($F380,Productos!$A:$A,Productos!AN:AN,"Revisar"),"")</f>
        <v/>
      </c>
      <c r="AV380" s="179" t="str">
        <f t="array" ref="AV380">IF($F380&lt;&gt;"", XLOOKUP($F380,Productos!$A$2:$A1001,Productos!AO$2:AO1001,"")*$G380,"")</f>
        <v/>
      </c>
      <c r="AW380" s="179" t="str">
        <f t="array" ref="AW380">IF($F380&lt;&gt;"",XLOOKUP($F380,Productos!$A:$A,Productos!AP:AP,"Revisar"),"")</f>
        <v/>
      </c>
      <c r="AX380" s="179" t="str">
        <f t="array" ref="AX380">IF($F380&lt;&gt;"", XLOOKUP($F380,Productos!$A$2:$A1001,Productos!AQ$2:AQ1001,"")*$G380,"")</f>
        <v/>
      </c>
      <c r="AY380" s="179" t="str">
        <f t="array" ref="AY380">IF($F380&lt;&gt;"",XLOOKUP($F380,Productos!$A:$A,Productos!AR:AR,"Revisar"),"")</f>
        <v/>
      </c>
      <c r="AZ380" s="179" t="str">
        <f t="array" ref="AZ380">IF($F380&lt;&gt;"", XLOOKUP($F380,Productos!$A$2:$A1001,Productos!AS$2:AS1001,"")*$G380,"")</f>
        <v/>
      </c>
      <c r="BA380" s="179" t="str">
        <f t="array" ref="BA380">IF($F380&lt;&gt;"",XLOOKUP($F380,Productos!$A:$A,Productos!AT:AT,"Revisar"),"")</f>
        <v/>
      </c>
      <c r="BB380" s="179" t="str">
        <f t="array" ref="BB380">IF($F380&lt;&gt;"", XLOOKUP($F380,Productos!$A$2:$A1001,Productos!AU$2:AU1001,"")*$G380,"")</f>
        <v/>
      </c>
      <c r="BC380" s="179" t="str">
        <f t="array" ref="BC380">IF($F380&lt;&gt;"",XLOOKUP($F380,Productos!$A:$A,Productos!AV:AV,"Revisar"),"")</f>
        <v/>
      </c>
      <c r="BD380" s="179" t="str">
        <f t="array" ref="BD380">IF($F380&lt;&gt;"", XLOOKUP($F380,Productos!$A$2:$A1001,Productos!AW$2:AW1001,"")*$G380,"")</f>
        <v/>
      </c>
      <c r="BE380" s="179" t="str">
        <f t="array" ref="BE380">IF($F380&lt;&gt;"",XLOOKUP($F380,Productos!$A:$A,Productos!AX:AX,"Revisar"),"")</f>
        <v/>
      </c>
      <c r="BF380" s="179" t="str">
        <f t="array" ref="BF380">IF($F380&lt;&gt;"", XLOOKUP($F380,Productos!$A$2:$A1001,Productos!AY$2:AY1001,"")*$G380,"")</f>
        <v/>
      </c>
      <c r="BG380" s="179" t="str">
        <f t="array" ref="BG380">IF($F380&lt;&gt;"",XLOOKUP($F380,Productos!$A:$A,Productos!AZ:AZ,"Revisar"),"")</f>
        <v/>
      </c>
      <c r="BH380" s="179" t="str">
        <f t="array" ref="BH380">IF($F380&lt;&gt;"", XLOOKUP($F380,Productos!$A$2:$A1001,Productos!BA$2:BA1001,"")*$G380,"")</f>
        <v/>
      </c>
      <c r="BI380" s="179" t="str">
        <f t="array" ref="BI380">IF($F380&lt;&gt;"",XLOOKUP($F380,Productos!$A:$A,Productos!BB:BB,"Revisar"),"")</f>
        <v/>
      </c>
      <c r="BJ380" s="179" t="str">
        <f t="array" ref="BJ380">IF($F380&lt;&gt;"", XLOOKUP($F380,Productos!$A$2:$A1001,Productos!BC$2:BC1001,"")*$G380,"")</f>
        <v/>
      </c>
      <c r="BK380" s="179" t="str">
        <f t="array" ref="BK380">IF($F380&lt;&gt;"",XLOOKUP($F380,Productos!$A:$A,Productos!BD:BD,"Revisar"),"")</f>
        <v/>
      </c>
      <c r="BL380" s="179" t="str">
        <f t="array" ref="BL380">IF($F380&lt;&gt;"", XLOOKUP($F380,Productos!$A$2:$A1001,Productos!BE$2:BE1001,"")*$G380,"")</f>
        <v/>
      </c>
      <c r="BM380" s="179" t="str">
        <f t="array" ref="BM380">IF($F380&lt;&gt;"",XLOOKUP($F380,Productos!$A:$A,Productos!BF:BF,"Revisar"),"")</f>
        <v/>
      </c>
      <c r="BN380" s="179" t="str">
        <f t="array" ref="BN380">IF($F380&lt;&gt;"", XLOOKUP($F380,Productos!$A$2:$A1001,Productos!BG$2:BG1001,"")*$G380,"")</f>
        <v/>
      </c>
      <c r="BO380" s="179" t="str">
        <f t="array" ref="BO380">IF($F380&lt;&gt;"",XLOOKUP($F380,Productos!$A:$A,Productos!BH:BH,"Revisar"),"")</f>
        <v/>
      </c>
      <c r="BP380" s="179" t="str">
        <f t="array" ref="BP380">IF($F380&lt;&gt;"", XLOOKUP($F380,Productos!$A$2:$A1001,Productos!BI$2:BI1001,"")*$G380,"")</f>
        <v/>
      </c>
      <c r="BQ380" s="179" t="str">
        <f t="array" ref="BQ380">IF($F380&lt;&gt;"",XLOOKUP($F380,Productos!$A:$A,Productos!BJ:BJ,"Revisar"),"")</f>
        <v/>
      </c>
      <c r="BR380" s="179" t="str">
        <f t="array" ref="BR380">IF($F380&lt;&gt;"", XLOOKUP($F380,Productos!$A$2:$A1001,Productos!BK$2:BK1001,"")*$G380,"")</f>
        <v/>
      </c>
      <c r="BS380" s="179" t="str">
        <f t="array" ref="BS380">IF($F380&lt;&gt;"",XLOOKUP($F380,Productos!$A:$A,Productos!BL:BL,"Revisar"),"")</f>
        <v/>
      </c>
      <c r="BT380" s="179" t="str">
        <f t="array" ref="BT380">IF($F380&lt;&gt;"", XLOOKUP($F380,Productos!$A$2:$A1001,Productos!BM$2:BM1001,"")*$G380,"")</f>
        <v/>
      </c>
      <c r="BU380" s="179" t="str">
        <f t="array" ref="BU380">IF($F380&lt;&gt;"",XLOOKUP($F380,Productos!$A:$A,Productos!BN:BN,"Revisar"),"")</f>
        <v/>
      </c>
      <c r="BV380" s="179" t="str">
        <f t="array" ref="BV380">IF($F380&lt;&gt;"", XLOOKUP($F380,Productos!$A$2:$A1001,Productos!BO$2:BO1001,"")*$G380,"")</f>
        <v/>
      </c>
      <c r="BW380" s="179" t="str">
        <f t="array" ref="BW380">IF($F380&lt;&gt;"",XLOOKUP($F380,Productos!$A:$A,Productos!BP:BP,"Revisar"),"")</f>
        <v/>
      </c>
      <c r="BX380" s="179" t="str">
        <f t="array" ref="BX380">IF($F380&lt;&gt;"", XLOOKUP($F380,Productos!$A$2:$A1001,Productos!BQ$2:BQ1001,"")*$G380,"")</f>
        <v/>
      </c>
      <c r="BY380" s="179" t="str">
        <f t="array" ref="BY380">IF($F380&lt;&gt;"",XLOOKUP($F380,Productos!$A:$A,Productos!BR:BR,"Revisar"),"")</f>
        <v/>
      </c>
      <c r="BZ380" s="179" t="str">
        <f t="array" ref="BZ380">IF($F380&lt;&gt;"", XLOOKUP($F380,Productos!$A$2:$A1001,Productos!BS$2:BS1001,"")*$G380,"")</f>
        <v/>
      </c>
    </row>
    <row r="381">
      <c r="A381" s="188"/>
      <c r="B381" s="189"/>
      <c r="C381" s="190"/>
      <c r="D381" s="190"/>
      <c r="E381" s="191"/>
      <c r="F381" s="186"/>
      <c r="G381" s="192"/>
      <c r="H381" s="9"/>
      <c r="I381" s="179" t="str">
        <f t="array" ref="I381">IF($F381&lt;&gt;"",XLOOKUP($F381,Productos!$A:$A,Productos!B:B,"Revisar"),"")</f>
        <v/>
      </c>
      <c r="J381" s="179" t="str">
        <f t="array" ref="J381">IF($F381&lt;&gt;"", XLOOKUP($F381,Productos!$A$2:$A1001,Productos!C$2:C1001,"")*$G381,"")</f>
        <v/>
      </c>
      <c r="K381" s="179" t="str">
        <f t="array" ref="K381">IF($F381&lt;&gt;"",XLOOKUP($F381,Productos!$A:$A,Productos!D:D,"Revisar"),"")</f>
        <v/>
      </c>
      <c r="L381" s="179" t="str">
        <f t="array" ref="L381">IF($F381&lt;&gt;"", XLOOKUP($F381,Productos!$A$2:$A1001,Productos!E$2:E1001,"")*$G381,"")</f>
        <v/>
      </c>
      <c r="M381" s="179" t="str">
        <f t="array" ref="M381">IF($F381&lt;&gt;"",XLOOKUP($F381,Productos!$A:$A,Productos!F:F,"Revisar"),"")</f>
        <v/>
      </c>
      <c r="N381" s="179" t="str">
        <f t="array" ref="N381">IF($F381&lt;&gt;"", XLOOKUP($F381,Productos!$A$2:$A1001,Productos!G$2:G1001,"")*$G381,"")</f>
        <v/>
      </c>
      <c r="O381" s="179" t="str">
        <f t="array" ref="O381">IF($F381&lt;&gt;"",XLOOKUP($F381,Productos!$A:$A,Productos!H:H,"Revisar"),"")</f>
        <v/>
      </c>
      <c r="P381" s="179" t="str">
        <f t="array" ref="P381">IF($F381&lt;&gt;"", XLOOKUP($F381,Productos!$A$2:$A1001,Productos!I$2:I1001,"")*$G381,"")</f>
        <v/>
      </c>
      <c r="Q381" s="179" t="str">
        <f t="array" ref="Q381">IF($F381&lt;&gt;"",XLOOKUP($F381,Productos!$A:$A,Productos!J:J,"Revisar"),"")</f>
        <v/>
      </c>
      <c r="R381" s="179" t="str">
        <f t="array" ref="R381">IF($F381&lt;&gt;"", XLOOKUP($F381,Productos!$A$2:$A1001,Productos!K$2:K1001,"")*$G381,"")</f>
        <v/>
      </c>
      <c r="S381" s="179" t="str">
        <f t="array" ref="S381">IF($F381&lt;&gt;"",XLOOKUP($F381,Productos!$A:$A,Productos!L:L,"Revisar"),"")</f>
        <v/>
      </c>
      <c r="T381" s="179" t="str">
        <f t="array" ref="T381">IF($F381&lt;&gt;"", XLOOKUP($F381,Productos!$A$2:$A1001,Productos!M$2:M1001,"")*$G381,"")</f>
        <v/>
      </c>
      <c r="U381" s="179" t="str">
        <f t="array" ref="U381">IF($F381&lt;&gt;"",XLOOKUP($F381,Productos!$A:$A,Productos!N:N,"Revisar"),"")</f>
        <v/>
      </c>
      <c r="V381" s="179" t="str">
        <f t="array" ref="V381">IF($F381&lt;&gt;"", XLOOKUP($F381,Productos!$A$2:$A1001,Productos!O$2:O1001,"")*$G381,"")</f>
        <v/>
      </c>
      <c r="W381" s="179" t="str">
        <f t="array" ref="W381">IF($F381&lt;&gt;"",XLOOKUP($F381,Productos!$A:$A,Productos!P:P,"Revisar"),"")</f>
        <v/>
      </c>
      <c r="X381" s="179" t="str">
        <f t="array" ref="X381">IF($F381&lt;&gt;"", XLOOKUP($F381,Productos!$A$2:$A1001,Productos!Q$2:Q1001,"")*$G381,"")</f>
        <v/>
      </c>
      <c r="Y381" s="179" t="str">
        <f t="array" ref="Y381">IF($F381&lt;&gt;"",XLOOKUP($F381,Productos!$A:$A,Productos!R:R,"Revisar"),"")</f>
        <v/>
      </c>
      <c r="Z381" s="179" t="str">
        <f t="array" ref="Z381">IF($F381&lt;&gt;"", XLOOKUP($F381,Productos!$A$2:$A1001,Productos!S$2:S1001,"")*$G381,"")</f>
        <v/>
      </c>
      <c r="AA381" s="179" t="str">
        <f t="array" ref="AA381">IF($F381&lt;&gt;"",XLOOKUP($F381,Productos!$A:$A,Productos!T:T,"Revisar"),"")</f>
        <v/>
      </c>
      <c r="AB381" s="179" t="str">
        <f t="array" ref="AB381">IF($F381&lt;&gt;"", XLOOKUP($F381,Productos!$A$2:$A1001,Productos!U$2:U1001,"")*$G381,"")</f>
        <v/>
      </c>
      <c r="AC381" s="179" t="str">
        <f t="array" ref="AC381">IF($F381&lt;&gt;"",XLOOKUP($F381,Productos!$A:$A,Productos!V:V,"Revisar"),"")</f>
        <v/>
      </c>
      <c r="AD381" s="179" t="str">
        <f t="array" ref="AD381">IF($F381&lt;&gt;"", XLOOKUP($F381,Productos!$A$2:$A1001,Productos!W$2:W1001,"")*$G381,"")</f>
        <v/>
      </c>
      <c r="AE381" s="179" t="str">
        <f t="array" ref="AE381">IF($F381&lt;&gt;"",XLOOKUP($F381,Productos!$A:$A,Productos!X:X,"Revisar"),"")</f>
        <v/>
      </c>
      <c r="AF381" s="179" t="str">
        <f t="array" ref="AF381">IF($F381&lt;&gt;"", XLOOKUP($F381,Productos!$A$2:$A1001,Productos!Y$2:Y1001,"")*$G381,"")</f>
        <v/>
      </c>
      <c r="AG381" s="179" t="str">
        <f t="array" ref="AG381">IF($F381&lt;&gt;"",XLOOKUP($F381,Productos!$A:$A,Productos!Z:Z,"Revisar"),"")</f>
        <v/>
      </c>
      <c r="AH381" s="179" t="str">
        <f t="array" ref="AH381">IF($F381&lt;&gt;"", XLOOKUP($F381,Productos!$A$2:$A1001,Productos!AA$2:AA1001,"")*$G381,"")</f>
        <v/>
      </c>
      <c r="AI381" s="179" t="str">
        <f t="array" ref="AI381">IF($F381&lt;&gt;"",XLOOKUP($F381,Productos!$A:$A,Productos!AB:AB,"Revisar"),"")</f>
        <v/>
      </c>
      <c r="AJ381" s="179" t="str">
        <f t="array" ref="AJ381">IF($F381&lt;&gt;"", XLOOKUP($F381,Productos!$A$2:$A1001,Productos!AC$2:AC1001,"")*$G381,"")</f>
        <v/>
      </c>
      <c r="AK381" s="179" t="str">
        <f t="array" ref="AK381">IF($F381&lt;&gt;"",XLOOKUP($F381,Productos!$A:$A,Productos!AD:AD,"Revisar"),"")</f>
        <v/>
      </c>
      <c r="AL381" s="179" t="str">
        <f t="array" ref="AL381">IF($F381&lt;&gt;"", XLOOKUP($F381,Productos!$A$2:$A1001,Productos!AE$2:AE1001,"")*$G381,"")</f>
        <v/>
      </c>
      <c r="AM381" s="179" t="str">
        <f t="array" ref="AM381">IF($F381&lt;&gt;"",XLOOKUP($F381,Productos!$A:$A,Productos!AF:AF,"Revisar"),"")</f>
        <v/>
      </c>
      <c r="AN381" s="179" t="str">
        <f t="array" ref="AN381">IF($F381&lt;&gt;"", XLOOKUP($F381,Productos!$A$2:$A1001,Productos!AG$2:AG1001,"")*$G381,"")</f>
        <v/>
      </c>
      <c r="AO381" s="179" t="str">
        <f t="array" ref="AO381">IF($F381&lt;&gt;"",XLOOKUP($F381,Productos!$A:$A,Productos!AH:AH,"Revisar"),"")</f>
        <v/>
      </c>
      <c r="AP381" s="179" t="str">
        <f t="array" ref="AP381">IF($F381&lt;&gt;"", XLOOKUP($F381,Productos!$A$2:$A1001,Productos!AI$2:AI1001,"")*$G381,"")</f>
        <v/>
      </c>
      <c r="AQ381" s="179" t="str">
        <f t="array" ref="AQ381">IF($F381&lt;&gt;"",XLOOKUP($F381,Productos!$A:$A,Productos!AJ:AJ,"Revisar"),"")</f>
        <v/>
      </c>
      <c r="AR381" s="179" t="str">
        <f t="array" ref="AR381">IF($F381&lt;&gt;"", XLOOKUP($F381,Productos!$A$2:$A1001,Productos!AK$2:AK1001,"")*$G381,"")</f>
        <v/>
      </c>
      <c r="AS381" s="179" t="str">
        <f t="array" ref="AS381">IF($F381&lt;&gt;"",XLOOKUP($F381,Productos!$A:$A,Productos!AL:AL,"Revisar"),"")</f>
        <v/>
      </c>
      <c r="AT381" s="179" t="str">
        <f t="array" ref="AT381">IF($F381&lt;&gt;"", XLOOKUP($F381,Productos!$A$2:$A1001,Productos!AM$2:AM1001,"")*$G381,"")</f>
        <v/>
      </c>
      <c r="AU381" s="179" t="str">
        <f t="array" ref="AU381">IF($F381&lt;&gt;"",XLOOKUP($F381,Productos!$A:$A,Productos!AN:AN,"Revisar"),"")</f>
        <v/>
      </c>
      <c r="AV381" s="179" t="str">
        <f t="array" ref="AV381">IF($F381&lt;&gt;"", XLOOKUP($F381,Productos!$A$2:$A1001,Productos!AO$2:AO1001,"")*$G381,"")</f>
        <v/>
      </c>
      <c r="AW381" s="179" t="str">
        <f t="array" ref="AW381">IF($F381&lt;&gt;"",XLOOKUP($F381,Productos!$A:$A,Productos!AP:AP,"Revisar"),"")</f>
        <v/>
      </c>
      <c r="AX381" s="179" t="str">
        <f t="array" ref="AX381">IF($F381&lt;&gt;"", XLOOKUP($F381,Productos!$A$2:$A1001,Productos!AQ$2:AQ1001,"")*$G381,"")</f>
        <v/>
      </c>
      <c r="AY381" s="179" t="str">
        <f t="array" ref="AY381">IF($F381&lt;&gt;"",XLOOKUP($F381,Productos!$A:$A,Productos!AR:AR,"Revisar"),"")</f>
        <v/>
      </c>
      <c r="AZ381" s="179" t="str">
        <f t="array" ref="AZ381">IF($F381&lt;&gt;"", XLOOKUP($F381,Productos!$A$2:$A1001,Productos!AS$2:AS1001,"")*$G381,"")</f>
        <v/>
      </c>
      <c r="BA381" s="179" t="str">
        <f t="array" ref="BA381">IF($F381&lt;&gt;"",XLOOKUP($F381,Productos!$A:$A,Productos!AT:AT,"Revisar"),"")</f>
        <v/>
      </c>
      <c r="BB381" s="179" t="str">
        <f t="array" ref="BB381">IF($F381&lt;&gt;"", XLOOKUP($F381,Productos!$A$2:$A1001,Productos!AU$2:AU1001,"")*$G381,"")</f>
        <v/>
      </c>
      <c r="BC381" s="179" t="str">
        <f t="array" ref="BC381">IF($F381&lt;&gt;"",XLOOKUP($F381,Productos!$A:$A,Productos!AV:AV,"Revisar"),"")</f>
        <v/>
      </c>
      <c r="BD381" s="179" t="str">
        <f t="array" ref="BD381">IF($F381&lt;&gt;"", XLOOKUP($F381,Productos!$A$2:$A1001,Productos!AW$2:AW1001,"")*$G381,"")</f>
        <v/>
      </c>
      <c r="BE381" s="179" t="str">
        <f t="array" ref="BE381">IF($F381&lt;&gt;"",XLOOKUP($F381,Productos!$A:$A,Productos!AX:AX,"Revisar"),"")</f>
        <v/>
      </c>
      <c r="BF381" s="179" t="str">
        <f t="array" ref="BF381">IF($F381&lt;&gt;"", XLOOKUP($F381,Productos!$A$2:$A1001,Productos!AY$2:AY1001,"")*$G381,"")</f>
        <v/>
      </c>
      <c r="BG381" s="179" t="str">
        <f t="array" ref="BG381">IF($F381&lt;&gt;"",XLOOKUP($F381,Productos!$A:$A,Productos!AZ:AZ,"Revisar"),"")</f>
        <v/>
      </c>
      <c r="BH381" s="179" t="str">
        <f t="array" ref="BH381">IF($F381&lt;&gt;"", XLOOKUP($F381,Productos!$A$2:$A1001,Productos!BA$2:BA1001,"")*$G381,"")</f>
        <v/>
      </c>
      <c r="BI381" s="179" t="str">
        <f t="array" ref="BI381">IF($F381&lt;&gt;"",XLOOKUP($F381,Productos!$A:$A,Productos!BB:BB,"Revisar"),"")</f>
        <v/>
      </c>
      <c r="BJ381" s="179" t="str">
        <f t="array" ref="BJ381">IF($F381&lt;&gt;"", XLOOKUP($F381,Productos!$A$2:$A1001,Productos!BC$2:BC1001,"")*$G381,"")</f>
        <v/>
      </c>
      <c r="BK381" s="179" t="str">
        <f t="array" ref="BK381">IF($F381&lt;&gt;"",XLOOKUP($F381,Productos!$A:$A,Productos!BD:BD,"Revisar"),"")</f>
        <v/>
      </c>
      <c r="BL381" s="179" t="str">
        <f t="array" ref="BL381">IF($F381&lt;&gt;"", XLOOKUP($F381,Productos!$A$2:$A1001,Productos!BE$2:BE1001,"")*$G381,"")</f>
        <v/>
      </c>
      <c r="BM381" s="179" t="str">
        <f t="array" ref="BM381">IF($F381&lt;&gt;"",XLOOKUP($F381,Productos!$A:$A,Productos!BF:BF,"Revisar"),"")</f>
        <v/>
      </c>
      <c r="BN381" s="179" t="str">
        <f t="array" ref="BN381">IF($F381&lt;&gt;"", XLOOKUP($F381,Productos!$A$2:$A1001,Productos!BG$2:BG1001,"")*$G381,"")</f>
        <v/>
      </c>
      <c r="BO381" s="179" t="str">
        <f t="array" ref="BO381">IF($F381&lt;&gt;"",XLOOKUP($F381,Productos!$A:$A,Productos!BH:BH,"Revisar"),"")</f>
        <v/>
      </c>
      <c r="BP381" s="179" t="str">
        <f t="array" ref="BP381">IF($F381&lt;&gt;"", XLOOKUP($F381,Productos!$A$2:$A1001,Productos!BI$2:BI1001,"")*$G381,"")</f>
        <v/>
      </c>
      <c r="BQ381" s="179" t="str">
        <f t="array" ref="BQ381">IF($F381&lt;&gt;"",XLOOKUP($F381,Productos!$A:$A,Productos!BJ:BJ,"Revisar"),"")</f>
        <v/>
      </c>
      <c r="BR381" s="179" t="str">
        <f t="array" ref="BR381">IF($F381&lt;&gt;"", XLOOKUP($F381,Productos!$A$2:$A1001,Productos!BK$2:BK1001,"")*$G381,"")</f>
        <v/>
      </c>
      <c r="BS381" s="179" t="str">
        <f t="array" ref="BS381">IF($F381&lt;&gt;"",XLOOKUP($F381,Productos!$A:$A,Productos!BL:BL,"Revisar"),"")</f>
        <v/>
      </c>
      <c r="BT381" s="179" t="str">
        <f t="array" ref="BT381">IF($F381&lt;&gt;"", XLOOKUP($F381,Productos!$A$2:$A1001,Productos!BM$2:BM1001,"")*$G381,"")</f>
        <v/>
      </c>
      <c r="BU381" s="179" t="str">
        <f t="array" ref="BU381">IF($F381&lt;&gt;"",XLOOKUP($F381,Productos!$A:$A,Productos!BN:BN,"Revisar"),"")</f>
        <v/>
      </c>
      <c r="BV381" s="179" t="str">
        <f t="array" ref="BV381">IF($F381&lt;&gt;"", XLOOKUP($F381,Productos!$A$2:$A1001,Productos!BO$2:BO1001,"")*$G381,"")</f>
        <v/>
      </c>
      <c r="BW381" s="179" t="str">
        <f t="array" ref="BW381">IF($F381&lt;&gt;"",XLOOKUP($F381,Productos!$A:$A,Productos!BP:BP,"Revisar"),"")</f>
        <v/>
      </c>
      <c r="BX381" s="179" t="str">
        <f t="array" ref="BX381">IF($F381&lt;&gt;"", XLOOKUP($F381,Productos!$A$2:$A1001,Productos!BQ$2:BQ1001,"")*$G381,"")</f>
        <v/>
      </c>
      <c r="BY381" s="179" t="str">
        <f t="array" ref="BY381">IF($F381&lt;&gt;"",XLOOKUP($F381,Productos!$A:$A,Productos!BR:BR,"Revisar"),"")</f>
        <v/>
      </c>
      <c r="BZ381" s="179" t="str">
        <f t="array" ref="BZ381">IF($F381&lt;&gt;"", XLOOKUP($F381,Productos!$A$2:$A1001,Productos!BS$2:BS1001,"")*$G381,"")</f>
        <v/>
      </c>
    </row>
    <row r="382">
      <c r="A382" s="188"/>
      <c r="B382" s="189"/>
      <c r="C382" s="190"/>
      <c r="D382" s="190"/>
      <c r="E382" s="191"/>
      <c r="F382" s="186"/>
      <c r="G382" s="192"/>
      <c r="H382" s="9"/>
      <c r="I382" s="179" t="str">
        <f t="array" ref="I382">IF($F382&lt;&gt;"",XLOOKUP($F382,Productos!$A:$A,Productos!B:B,"Revisar"),"")</f>
        <v/>
      </c>
      <c r="J382" s="179" t="str">
        <f t="array" ref="J382">IF($F382&lt;&gt;"", XLOOKUP($F382,Productos!$A$2:$A1001,Productos!C$2:C1001,"")*$G382,"")</f>
        <v/>
      </c>
      <c r="K382" s="179" t="str">
        <f t="array" ref="K382">IF($F382&lt;&gt;"",XLOOKUP($F382,Productos!$A:$A,Productos!D:D,"Revisar"),"")</f>
        <v/>
      </c>
      <c r="L382" s="179" t="str">
        <f t="array" ref="L382">IF($F382&lt;&gt;"", XLOOKUP($F382,Productos!$A$2:$A1001,Productos!E$2:E1001,"")*$G382,"")</f>
        <v/>
      </c>
      <c r="M382" s="179" t="str">
        <f t="array" ref="M382">IF($F382&lt;&gt;"",XLOOKUP($F382,Productos!$A:$A,Productos!F:F,"Revisar"),"")</f>
        <v/>
      </c>
      <c r="N382" s="179" t="str">
        <f t="array" ref="N382">IF($F382&lt;&gt;"", XLOOKUP($F382,Productos!$A$2:$A1001,Productos!G$2:G1001,"")*$G382,"")</f>
        <v/>
      </c>
      <c r="O382" s="179" t="str">
        <f t="array" ref="O382">IF($F382&lt;&gt;"",XLOOKUP($F382,Productos!$A:$A,Productos!H:H,"Revisar"),"")</f>
        <v/>
      </c>
      <c r="P382" s="179" t="str">
        <f t="array" ref="P382">IF($F382&lt;&gt;"", XLOOKUP($F382,Productos!$A$2:$A1001,Productos!I$2:I1001,"")*$G382,"")</f>
        <v/>
      </c>
      <c r="Q382" s="179" t="str">
        <f t="array" ref="Q382">IF($F382&lt;&gt;"",XLOOKUP($F382,Productos!$A:$A,Productos!J:J,"Revisar"),"")</f>
        <v/>
      </c>
      <c r="R382" s="179" t="str">
        <f t="array" ref="R382">IF($F382&lt;&gt;"", XLOOKUP($F382,Productos!$A$2:$A1001,Productos!K$2:K1001,"")*$G382,"")</f>
        <v/>
      </c>
      <c r="S382" s="179" t="str">
        <f t="array" ref="S382">IF($F382&lt;&gt;"",XLOOKUP($F382,Productos!$A:$A,Productos!L:L,"Revisar"),"")</f>
        <v/>
      </c>
      <c r="T382" s="179" t="str">
        <f t="array" ref="T382">IF($F382&lt;&gt;"", XLOOKUP($F382,Productos!$A$2:$A1001,Productos!M$2:M1001,"")*$G382,"")</f>
        <v/>
      </c>
      <c r="U382" s="179" t="str">
        <f t="array" ref="U382">IF($F382&lt;&gt;"",XLOOKUP($F382,Productos!$A:$A,Productos!N:N,"Revisar"),"")</f>
        <v/>
      </c>
      <c r="V382" s="179" t="str">
        <f t="array" ref="V382">IF($F382&lt;&gt;"", XLOOKUP($F382,Productos!$A$2:$A1001,Productos!O$2:O1001,"")*$G382,"")</f>
        <v/>
      </c>
      <c r="W382" s="179" t="str">
        <f t="array" ref="W382">IF($F382&lt;&gt;"",XLOOKUP($F382,Productos!$A:$A,Productos!P:P,"Revisar"),"")</f>
        <v/>
      </c>
      <c r="X382" s="179" t="str">
        <f t="array" ref="X382">IF($F382&lt;&gt;"", XLOOKUP($F382,Productos!$A$2:$A1001,Productos!Q$2:Q1001,"")*$G382,"")</f>
        <v/>
      </c>
      <c r="Y382" s="179" t="str">
        <f t="array" ref="Y382">IF($F382&lt;&gt;"",XLOOKUP($F382,Productos!$A:$A,Productos!R:R,"Revisar"),"")</f>
        <v/>
      </c>
      <c r="Z382" s="179" t="str">
        <f t="array" ref="Z382">IF($F382&lt;&gt;"", XLOOKUP($F382,Productos!$A$2:$A1001,Productos!S$2:S1001,"")*$G382,"")</f>
        <v/>
      </c>
      <c r="AA382" s="179" t="str">
        <f t="array" ref="AA382">IF($F382&lt;&gt;"",XLOOKUP($F382,Productos!$A:$A,Productos!T:T,"Revisar"),"")</f>
        <v/>
      </c>
      <c r="AB382" s="179" t="str">
        <f t="array" ref="AB382">IF($F382&lt;&gt;"", XLOOKUP($F382,Productos!$A$2:$A1001,Productos!U$2:U1001,"")*$G382,"")</f>
        <v/>
      </c>
      <c r="AC382" s="179" t="str">
        <f t="array" ref="AC382">IF($F382&lt;&gt;"",XLOOKUP($F382,Productos!$A:$A,Productos!V:V,"Revisar"),"")</f>
        <v/>
      </c>
      <c r="AD382" s="179" t="str">
        <f t="array" ref="AD382">IF($F382&lt;&gt;"", XLOOKUP($F382,Productos!$A$2:$A1001,Productos!W$2:W1001,"")*$G382,"")</f>
        <v/>
      </c>
      <c r="AE382" s="179" t="str">
        <f t="array" ref="AE382">IF($F382&lt;&gt;"",XLOOKUP($F382,Productos!$A:$A,Productos!X:X,"Revisar"),"")</f>
        <v/>
      </c>
      <c r="AF382" s="179" t="str">
        <f t="array" ref="AF382">IF($F382&lt;&gt;"", XLOOKUP($F382,Productos!$A$2:$A1001,Productos!Y$2:Y1001,"")*$G382,"")</f>
        <v/>
      </c>
      <c r="AG382" s="179" t="str">
        <f t="array" ref="AG382">IF($F382&lt;&gt;"",XLOOKUP($F382,Productos!$A:$A,Productos!Z:Z,"Revisar"),"")</f>
        <v/>
      </c>
      <c r="AH382" s="179" t="str">
        <f t="array" ref="AH382">IF($F382&lt;&gt;"", XLOOKUP($F382,Productos!$A$2:$A1001,Productos!AA$2:AA1001,"")*$G382,"")</f>
        <v/>
      </c>
      <c r="AI382" s="179" t="str">
        <f t="array" ref="AI382">IF($F382&lt;&gt;"",XLOOKUP($F382,Productos!$A:$A,Productos!AB:AB,"Revisar"),"")</f>
        <v/>
      </c>
      <c r="AJ382" s="179" t="str">
        <f t="array" ref="AJ382">IF($F382&lt;&gt;"", XLOOKUP($F382,Productos!$A$2:$A1001,Productos!AC$2:AC1001,"")*$G382,"")</f>
        <v/>
      </c>
      <c r="AK382" s="179" t="str">
        <f t="array" ref="AK382">IF($F382&lt;&gt;"",XLOOKUP($F382,Productos!$A:$A,Productos!AD:AD,"Revisar"),"")</f>
        <v/>
      </c>
      <c r="AL382" s="179" t="str">
        <f t="array" ref="AL382">IF($F382&lt;&gt;"", XLOOKUP($F382,Productos!$A$2:$A1001,Productos!AE$2:AE1001,"")*$G382,"")</f>
        <v/>
      </c>
      <c r="AM382" s="179" t="str">
        <f t="array" ref="AM382">IF($F382&lt;&gt;"",XLOOKUP($F382,Productos!$A:$A,Productos!AF:AF,"Revisar"),"")</f>
        <v/>
      </c>
      <c r="AN382" s="179" t="str">
        <f t="array" ref="AN382">IF($F382&lt;&gt;"", XLOOKUP($F382,Productos!$A$2:$A1001,Productos!AG$2:AG1001,"")*$G382,"")</f>
        <v/>
      </c>
      <c r="AO382" s="179" t="str">
        <f t="array" ref="AO382">IF($F382&lt;&gt;"",XLOOKUP($F382,Productos!$A:$A,Productos!AH:AH,"Revisar"),"")</f>
        <v/>
      </c>
      <c r="AP382" s="179" t="str">
        <f t="array" ref="AP382">IF($F382&lt;&gt;"", XLOOKUP($F382,Productos!$A$2:$A1001,Productos!AI$2:AI1001,"")*$G382,"")</f>
        <v/>
      </c>
      <c r="AQ382" s="179" t="str">
        <f t="array" ref="AQ382">IF($F382&lt;&gt;"",XLOOKUP($F382,Productos!$A:$A,Productos!AJ:AJ,"Revisar"),"")</f>
        <v/>
      </c>
      <c r="AR382" s="179" t="str">
        <f t="array" ref="AR382">IF($F382&lt;&gt;"", XLOOKUP($F382,Productos!$A$2:$A1001,Productos!AK$2:AK1001,"")*$G382,"")</f>
        <v/>
      </c>
      <c r="AS382" s="179" t="str">
        <f t="array" ref="AS382">IF($F382&lt;&gt;"",XLOOKUP($F382,Productos!$A:$A,Productos!AL:AL,"Revisar"),"")</f>
        <v/>
      </c>
      <c r="AT382" s="179" t="str">
        <f t="array" ref="AT382">IF($F382&lt;&gt;"", XLOOKUP($F382,Productos!$A$2:$A1001,Productos!AM$2:AM1001,"")*$G382,"")</f>
        <v/>
      </c>
      <c r="AU382" s="179" t="str">
        <f t="array" ref="AU382">IF($F382&lt;&gt;"",XLOOKUP($F382,Productos!$A:$A,Productos!AN:AN,"Revisar"),"")</f>
        <v/>
      </c>
      <c r="AV382" s="179" t="str">
        <f t="array" ref="AV382">IF($F382&lt;&gt;"", XLOOKUP($F382,Productos!$A$2:$A1001,Productos!AO$2:AO1001,"")*$G382,"")</f>
        <v/>
      </c>
      <c r="AW382" s="179" t="str">
        <f t="array" ref="AW382">IF($F382&lt;&gt;"",XLOOKUP($F382,Productos!$A:$A,Productos!AP:AP,"Revisar"),"")</f>
        <v/>
      </c>
      <c r="AX382" s="179" t="str">
        <f t="array" ref="AX382">IF($F382&lt;&gt;"", XLOOKUP($F382,Productos!$A$2:$A1001,Productos!AQ$2:AQ1001,"")*$G382,"")</f>
        <v/>
      </c>
      <c r="AY382" s="179" t="str">
        <f t="array" ref="AY382">IF($F382&lt;&gt;"",XLOOKUP($F382,Productos!$A:$A,Productos!AR:AR,"Revisar"),"")</f>
        <v/>
      </c>
      <c r="AZ382" s="179" t="str">
        <f t="array" ref="AZ382">IF($F382&lt;&gt;"", XLOOKUP($F382,Productos!$A$2:$A1001,Productos!AS$2:AS1001,"")*$G382,"")</f>
        <v/>
      </c>
      <c r="BA382" s="179" t="str">
        <f t="array" ref="BA382">IF($F382&lt;&gt;"",XLOOKUP($F382,Productos!$A:$A,Productos!AT:AT,"Revisar"),"")</f>
        <v/>
      </c>
      <c r="BB382" s="179" t="str">
        <f t="array" ref="BB382">IF($F382&lt;&gt;"", XLOOKUP($F382,Productos!$A$2:$A1001,Productos!AU$2:AU1001,"")*$G382,"")</f>
        <v/>
      </c>
      <c r="BC382" s="179" t="str">
        <f t="array" ref="BC382">IF($F382&lt;&gt;"",XLOOKUP($F382,Productos!$A:$A,Productos!AV:AV,"Revisar"),"")</f>
        <v/>
      </c>
      <c r="BD382" s="179" t="str">
        <f t="array" ref="BD382">IF($F382&lt;&gt;"", XLOOKUP($F382,Productos!$A$2:$A1001,Productos!AW$2:AW1001,"")*$G382,"")</f>
        <v/>
      </c>
      <c r="BE382" s="179" t="str">
        <f t="array" ref="BE382">IF($F382&lt;&gt;"",XLOOKUP($F382,Productos!$A:$A,Productos!AX:AX,"Revisar"),"")</f>
        <v/>
      </c>
      <c r="BF382" s="179" t="str">
        <f t="array" ref="BF382">IF($F382&lt;&gt;"", XLOOKUP($F382,Productos!$A$2:$A1001,Productos!AY$2:AY1001,"")*$G382,"")</f>
        <v/>
      </c>
      <c r="BG382" s="179" t="str">
        <f t="array" ref="BG382">IF($F382&lt;&gt;"",XLOOKUP($F382,Productos!$A:$A,Productos!AZ:AZ,"Revisar"),"")</f>
        <v/>
      </c>
      <c r="BH382" s="179" t="str">
        <f t="array" ref="BH382">IF($F382&lt;&gt;"", XLOOKUP($F382,Productos!$A$2:$A1001,Productos!BA$2:BA1001,"")*$G382,"")</f>
        <v/>
      </c>
      <c r="BI382" s="179" t="str">
        <f t="array" ref="BI382">IF($F382&lt;&gt;"",XLOOKUP($F382,Productos!$A:$A,Productos!BB:BB,"Revisar"),"")</f>
        <v/>
      </c>
      <c r="BJ382" s="179" t="str">
        <f t="array" ref="BJ382">IF($F382&lt;&gt;"", XLOOKUP($F382,Productos!$A$2:$A1001,Productos!BC$2:BC1001,"")*$G382,"")</f>
        <v/>
      </c>
      <c r="BK382" s="179" t="str">
        <f t="array" ref="BK382">IF($F382&lt;&gt;"",XLOOKUP($F382,Productos!$A:$A,Productos!BD:BD,"Revisar"),"")</f>
        <v/>
      </c>
      <c r="BL382" s="179" t="str">
        <f t="array" ref="BL382">IF($F382&lt;&gt;"", XLOOKUP($F382,Productos!$A$2:$A1001,Productos!BE$2:BE1001,"")*$G382,"")</f>
        <v/>
      </c>
      <c r="BM382" s="179" t="str">
        <f t="array" ref="BM382">IF($F382&lt;&gt;"",XLOOKUP($F382,Productos!$A:$A,Productos!BF:BF,"Revisar"),"")</f>
        <v/>
      </c>
      <c r="BN382" s="179" t="str">
        <f t="array" ref="BN382">IF($F382&lt;&gt;"", XLOOKUP($F382,Productos!$A$2:$A1001,Productos!BG$2:BG1001,"")*$G382,"")</f>
        <v/>
      </c>
      <c r="BO382" s="179" t="str">
        <f t="array" ref="BO382">IF($F382&lt;&gt;"",XLOOKUP($F382,Productos!$A:$A,Productos!BH:BH,"Revisar"),"")</f>
        <v/>
      </c>
      <c r="BP382" s="179" t="str">
        <f t="array" ref="BP382">IF($F382&lt;&gt;"", XLOOKUP($F382,Productos!$A$2:$A1001,Productos!BI$2:BI1001,"")*$G382,"")</f>
        <v/>
      </c>
      <c r="BQ382" s="179" t="str">
        <f t="array" ref="BQ382">IF($F382&lt;&gt;"",XLOOKUP($F382,Productos!$A:$A,Productos!BJ:BJ,"Revisar"),"")</f>
        <v/>
      </c>
      <c r="BR382" s="179" t="str">
        <f t="array" ref="BR382">IF($F382&lt;&gt;"", XLOOKUP($F382,Productos!$A$2:$A1001,Productos!BK$2:BK1001,"")*$G382,"")</f>
        <v/>
      </c>
      <c r="BS382" s="179" t="str">
        <f t="array" ref="BS382">IF($F382&lt;&gt;"",XLOOKUP($F382,Productos!$A:$A,Productos!BL:BL,"Revisar"),"")</f>
        <v/>
      </c>
      <c r="BT382" s="179" t="str">
        <f t="array" ref="BT382">IF($F382&lt;&gt;"", XLOOKUP($F382,Productos!$A$2:$A1001,Productos!BM$2:BM1001,"")*$G382,"")</f>
        <v/>
      </c>
      <c r="BU382" s="179" t="str">
        <f t="array" ref="BU382">IF($F382&lt;&gt;"",XLOOKUP($F382,Productos!$A:$A,Productos!BN:BN,"Revisar"),"")</f>
        <v/>
      </c>
      <c r="BV382" s="179" t="str">
        <f t="array" ref="BV382">IF($F382&lt;&gt;"", XLOOKUP($F382,Productos!$A$2:$A1001,Productos!BO$2:BO1001,"")*$G382,"")</f>
        <v/>
      </c>
      <c r="BW382" s="179" t="str">
        <f t="array" ref="BW382">IF($F382&lt;&gt;"",XLOOKUP($F382,Productos!$A:$A,Productos!BP:BP,"Revisar"),"")</f>
        <v/>
      </c>
      <c r="BX382" s="179" t="str">
        <f t="array" ref="BX382">IF($F382&lt;&gt;"", XLOOKUP($F382,Productos!$A$2:$A1001,Productos!BQ$2:BQ1001,"")*$G382,"")</f>
        <v/>
      </c>
      <c r="BY382" s="179" t="str">
        <f t="array" ref="BY382">IF($F382&lt;&gt;"",XLOOKUP($F382,Productos!$A:$A,Productos!BR:BR,"Revisar"),"")</f>
        <v/>
      </c>
      <c r="BZ382" s="179" t="str">
        <f t="array" ref="BZ382">IF($F382&lt;&gt;"", XLOOKUP($F382,Productos!$A$2:$A1001,Productos!BS$2:BS1001,"")*$G382,"")</f>
        <v/>
      </c>
    </row>
    <row r="383">
      <c r="A383" s="188"/>
      <c r="B383" s="189"/>
      <c r="C383" s="190"/>
      <c r="D383" s="190"/>
      <c r="E383" s="191"/>
      <c r="F383" s="186"/>
      <c r="G383" s="192"/>
      <c r="H383" s="9"/>
      <c r="I383" s="179" t="str">
        <f t="array" ref="I383">IF($F383&lt;&gt;"",XLOOKUP($F383,Productos!$A:$A,Productos!B:B,"Revisar"),"")</f>
        <v/>
      </c>
      <c r="J383" s="179" t="str">
        <f t="array" ref="J383">IF($F383&lt;&gt;"", XLOOKUP($F383,Productos!$A$2:$A1001,Productos!C$2:C1001,"")*$G383,"")</f>
        <v/>
      </c>
      <c r="K383" s="179" t="str">
        <f t="array" ref="K383">IF($F383&lt;&gt;"",XLOOKUP($F383,Productos!$A:$A,Productos!D:D,"Revisar"),"")</f>
        <v/>
      </c>
      <c r="L383" s="179" t="str">
        <f t="array" ref="L383">IF($F383&lt;&gt;"", XLOOKUP($F383,Productos!$A$2:$A1001,Productos!E$2:E1001,"")*$G383,"")</f>
        <v/>
      </c>
      <c r="M383" s="179" t="str">
        <f t="array" ref="M383">IF($F383&lt;&gt;"",XLOOKUP($F383,Productos!$A:$A,Productos!F:F,"Revisar"),"")</f>
        <v/>
      </c>
      <c r="N383" s="179" t="str">
        <f t="array" ref="N383">IF($F383&lt;&gt;"", XLOOKUP($F383,Productos!$A$2:$A1001,Productos!G$2:G1001,"")*$G383,"")</f>
        <v/>
      </c>
      <c r="O383" s="179" t="str">
        <f t="array" ref="O383">IF($F383&lt;&gt;"",XLOOKUP($F383,Productos!$A:$A,Productos!H:H,"Revisar"),"")</f>
        <v/>
      </c>
      <c r="P383" s="179" t="str">
        <f t="array" ref="P383">IF($F383&lt;&gt;"", XLOOKUP($F383,Productos!$A$2:$A1001,Productos!I$2:I1001,"")*$G383,"")</f>
        <v/>
      </c>
      <c r="Q383" s="179" t="str">
        <f t="array" ref="Q383">IF($F383&lt;&gt;"",XLOOKUP($F383,Productos!$A:$A,Productos!J:J,"Revisar"),"")</f>
        <v/>
      </c>
      <c r="R383" s="179" t="str">
        <f t="array" ref="R383">IF($F383&lt;&gt;"", XLOOKUP($F383,Productos!$A$2:$A1001,Productos!K$2:K1001,"")*$G383,"")</f>
        <v/>
      </c>
      <c r="S383" s="179" t="str">
        <f t="array" ref="S383">IF($F383&lt;&gt;"",XLOOKUP($F383,Productos!$A:$A,Productos!L:L,"Revisar"),"")</f>
        <v/>
      </c>
      <c r="T383" s="179" t="str">
        <f t="array" ref="T383">IF($F383&lt;&gt;"", XLOOKUP($F383,Productos!$A$2:$A1001,Productos!M$2:M1001,"")*$G383,"")</f>
        <v/>
      </c>
      <c r="U383" s="179" t="str">
        <f t="array" ref="U383">IF($F383&lt;&gt;"",XLOOKUP($F383,Productos!$A:$A,Productos!N:N,"Revisar"),"")</f>
        <v/>
      </c>
      <c r="V383" s="179" t="str">
        <f t="array" ref="V383">IF($F383&lt;&gt;"", XLOOKUP($F383,Productos!$A$2:$A1001,Productos!O$2:O1001,"")*$G383,"")</f>
        <v/>
      </c>
      <c r="W383" s="179" t="str">
        <f t="array" ref="W383">IF($F383&lt;&gt;"",XLOOKUP($F383,Productos!$A:$A,Productos!P:P,"Revisar"),"")</f>
        <v/>
      </c>
      <c r="X383" s="179" t="str">
        <f t="array" ref="X383">IF($F383&lt;&gt;"", XLOOKUP($F383,Productos!$A$2:$A1001,Productos!Q$2:Q1001,"")*$G383,"")</f>
        <v/>
      </c>
      <c r="Y383" s="179" t="str">
        <f t="array" ref="Y383">IF($F383&lt;&gt;"",XLOOKUP($F383,Productos!$A:$A,Productos!R:R,"Revisar"),"")</f>
        <v/>
      </c>
      <c r="Z383" s="179" t="str">
        <f t="array" ref="Z383">IF($F383&lt;&gt;"", XLOOKUP($F383,Productos!$A$2:$A1001,Productos!S$2:S1001,"")*$G383,"")</f>
        <v/>
      </c>
      <c r="AA383" s="179" t="str">
        <f t="array" ref="AA383">IF($F383&lt;&gt;"",XLOOKUP($F383,Productos!$A:$A,Productos!T:T,"Revisar"),"")</f>
        <v/>
      </c>
      <c r="AB383" s="179" t="str">
        <f t="array" ref="AB383">IF($F383&lt;&gt;"", XLOOKUP($F383,Productos!$A$2:$A1001,Productos!U$2:U1001,"")*$G383,"")</f>
        <v/>
      </c>
      <c r="AC383" s="179" t="str">
        <f t="array" ref="AC383">IF($F383&lt;&gt;"",XLOOKUP($F383,Productos!$A:$A,Productos!V:V,"Revisar"),"")</f>
        <v/>
      </c>
      <c r="AD383" s="179" t="str">
        <f t="array" ref="AD383">IF($F383&lt;&gt;"", XLOOKUP($F383,Productos!$A$2:$A1001,Productos!W$2:W1001,"")*$G383,"")</f>
        <v/>
      </c>
      <c r="AE383" s="179" t="str">
        <f t="array" ref="AE383">IF($F383&lt;&gt;"",XLOOKUP($F383,Productos!$A:$A,Productos!X:X,"Revisar"),"")</f>
        <v/>
      </c>
      <c r="AF383" s="179" t="str">
        <f t="array" ref="AF383">IF($F383&lt;&gt;"", XLOOKUP($F383,Productos!$A$2:$A1001,Productos!Y$2:Y1001,"")*$G383,"")</f>
        <v/>
      </c>
      <c r="AG383" s="179" t="str">
        <f t="array" ref="AG383">IF($F383&lt;&gt;"",XLOOKUP($F383,Productos!$A:$A,Productos!Z:Z,"Revisar"),"")</f>
        <v/>
      </c>
      <c r="AH383" s="179" t="str">
        <f t="array" ref="AH383">IF($F383&lt;&gt;"", XLOOKUP($F383,Productos!$A$2:$A1001,Productos!AA$2:AA1001,"")*$G383,"")</f>
        <v/>
      </c>
      <c r="AI383" s="179" t="str">
        <f t="array" ref="AI383">IF($F383&lt;&gt;"",XLOOKUP($F383,Productos!$A:$A,Productos!AB:AB,"Revisar"),"")</f>
        <v/>
      </c>
      <c r="AJ383" s="179" t="str">
        <f t="array" ref="AJ383">IF($F383&lt;&gt;"", XLOOKUP($F383,Productos!$A$2:$A1001,Productos!AC$2:AC1001,"")*$G383,"")</f>
        <v/>
      </c>
      <c r="AK383" s="179" t="str">
        <f t="array" ref="AK383">IF($F383&lt;&gt;"",XLOOKUP($F383,Productos!$A:$A,Productos!AD:AD,"Revisar"),"")</f>
        <v/>
      </c>
      <c r="AL383" s="179" t="str">
        <f t="array" ref="AL383">IF($F383&lt;&gt;"", XLOOKUP($F383,Productos!$A$2:$A1001,Productos!AE$2:AE1001,"")*$G383,"")</f>
        <v/>
      </c>
      <c r="AM383" s="179" t="str">
        <f t="array" ref="AM383">IF($F383&lt;&gt;"",XLOOKUP($F383,Productos!$A:$A,Productos!AF:AF,"Revisar"),"")</f>
        <v/>
      </c>
      <c r="AN383" s="179" t="str">
        <f t="array" ref="AN383">IF($F383&lt;&gt;"", XLOOKUP($F383,Productos!$A$2:$A1001,Productos!AG$2:AG1001,"")*$G383,"")</f>
        <v/>
      </c>
      <c r="AO383" s="179" t="str">
        <f t="array" ref="AO383">IF($F383&lt;&gt;"",XLOOKUP($F383,Productos!$A:$A,Productos!AH:AH,"Revisar"),"")</f>
        <v/>
      </c>
      <c r="AP383" s="179" t="str">
        <f t="array" ref="AP383">IF($F383&lt;&gt;"", XLOOKUP($F383,Productos!$A$2:$A1001,Productos!AI$2:AI1001,"")*$G383,"")</f>
        <v/>
      </c>
      <c r="AQ383" s="179" t="str">
        <f t="array" ref="AQ383">IF($F383&lt;&gt;"",XLOOKUP($F383,Productos!$A:$A,Productos!AJ:AJ,"Revisar"),"")</f>
        <v/>
      </c>
      <c r="AR383" s="179" t="str">
        <f t="array" ref="AR383">IF($F383&lt;&gt;"", XLOOKUP($F383,Productos!$A$2:$A1001,Productos!AK$2:AK1001,"")*$G383,"")</f>
        <v/>
      </c>
      <c r="AS383" s="179" t="str">
        <f t="array" ref="AS383">IF($F383&lt;&gt;"",XLOOKUP($F383,Productos!$A:$A,Productos!AL:AL,"Revisar"),"")</f>
        <v/>
      </c>
      <c r="AT383" s="179" t="str">
        <f t="array" ref="AT383">IF($F383&lt;&gt;"", XLOOKUP($F383,Productos!$A$2:$A1001,Productos!AM$2:AM1001,"")*$G383,"")</f>
        <v/>
      </c>
      <c r="AU383" s="179" t="str">
        <f t="array" ref="AU383">IF($F383&lt;&gt;"",XLOOKUP($F383,Productos!$A:$A,Productos!AN:AN,"Revisar"),"")</f>
        <v/>
      </c>
      <c r="AV383" s="179" t="str">
        <f t="array" ref="AV383">IF($F383&lt;&gt;"", XLOOKUP($F383,Productos!$A$2:$A1001,Productos!AO$2:AO1001,"")*$G383,"")</f>
        <v/>
      </c>
      <c r="AW383" s="179" t="str">
        <f t="array" ref="AW383">IF($F383&lt;&gt;"",XLOOKUP($F383,Productos!$A:$A,Productos!AP:AP,"Revisar"),"")</f>
        <v/>
      </c>
      <c r="AX383" s="179" t="str">
        <f t="array" ref="AX383">IF($F383&lt;&gt;"", XLOOKUP($F383,Productos!$A$2:$A1001,Productos!AQ$2:AQ1001,"")*$G383,"")</f>
        <v/>
      </c>
      <c r="AY383" s="179" t="str">
        <f t="array" ref="AY383">IF($F383&lt;&gt;"",XLOOKUP($F383,Productos!$A:$A,Productos!AR:AR,"Revisar"),"")</f>
        <v/>
      </c>
      <c r="AZ383" s="179" t="str">
        <f t="array" ref="AZ383">IF($F383&lt;&gt;"", XLOOKUP($F383,Productos!$A$2:$A1001,Productos!AS$2:AS1001,"")*$G383,"")</f>
        <v/>
      </c>
      <c r="BA383" s="179" t="str">
        <f t="array" ref="BA383">IF($F383&lt;&gt;"",XLOOKUP($F383,Productos!$A:$A,Productos!AT:AT,"Revisar"),"")</f>
        <v/>
      </c>
      <c r="BB383" s="179" t="str">
        <f t="array" ref="BB383">IF($F383&lt;&gt;"", XLOOKUP($F383,Productos!$A$2:$A1001,Productos!AU$2:AU1001,"")*$G383,"")</f>
        <v/>
      </c>
      <c r="BC383" s="179" t="str">
        <f t="array" ref="BC383">IF($F383&lt;&gt;"",XLOOKUP($F383,Productos!$A:$A,Productos!AV:AV,"Revisar"),"")</f>
        <v/>
      </c>
      <c r="BD383" s="179" t="str">
        <f t="array" ref="BD383">IF($F383&lt;&gt;"", XLOOKUP($F383,Productos!$A$2:$A1001,Productos!AW$2:AW1001,"")*$G383,"")</f>
        <v/>
      </c>
      <c r="BE383" s="179" t="str">
        <f t="array" ref="BE383">IF($F383&lt;&gt;"",XLOOKUP($F383,Productos!$A:$A,Productos!AX:AX,"Revisar"),"")</f>
        <v/>
      </c>
      <c r="BF383" s="179" t="str">
        <f t="array" ref="BF383">IF($F383&lt;&gt;"", XLOOKUP($F383,Productos!$A$2:$A1001,Productos!AY$2:AY1001,"")*$G383,"")</f>
        <v/>
      </c>
      <c r="BG383" s="179" t="str">
        <f t="array" ref="BG383">IF($F383&lt;&gt;"",XLOOKUP($F383,Productos!$A:$A,Productos!AZ:AZ,"Revisar"),"")</f>
        <v/>
      </c>
      <c r="BH383" s="179" t="str">
        <f t="array" ref="BH383">IF($F383&lt;&gt;"", XLOOKUP($F383,Productos!$A$2:$A1001,Productos!BA$2:BA1001,"")*$G383,"")</f>
        <v/>
      </c>
      <c r="BI383" s="179" t="str">
        <f t="array" ref="BI383">IF($F383&lt;&gt;"",XLOOKUP($F383,Productos!$A:$A,Productos!BB:BB,"Revisar"),"")</f>
        <v/>
      </c>
      <c r="BJ383" s="179" t="str">
        <f t="array" ref="BJ383">IF($F383&lt;&gt;"", XLOOKUP($F383,Productos!$A$2:$A1001,Productos!BC$2:BC1001,"")*$G383,"")</f>
        <v/>
      </c>
      <c r="BK383" s="179" t="str">
        <f t="array" ref="BK383">IF($F383&lt;&gt;"",XLOOKUP($F383,Productos!$A:$A,Productos!BD:BD,"Revisar"),"")</f>
        <v/>
      </c>
      <c r="BL383" s="179" t="str">
        <f t="array" ref="BL383">IF($F383&lt;&gt;"", XLOOKUP($F383,Productos!$A$2:$A1001,Productos!BE$2:BE1001,"")*$G383,"")</f>
        <v/>
      </c>
      <c r="BM383" s="179" t="str">
        <f t="array" ref="BM383">IF($F383&lt;&gt;"",XLOOKUP($F383,Productos!$A:$A,Productos!BF:BF,"Revisar"),"")</f>
        <v/>
      </c>
      <c r="BN383" s="179" t="str">
        <f t="array" ref="BN383">IF($F383&lt;&gt;"", XLOOKUP($F383,Productos!$A$2:$A1001,Productos!BG$2:BG1001,"")*$G383,"")</f>
        <v/>
      </c>
      <c r="BO383" s="179" t="str">
        <f t="array" ref="BO383">IF($F383&lt;&gt;"",XLOOKUP($F383,Productos!$A:$A,Productos!BH:BH,"Revisar"),"")</f>
        <v/>
      </c>
      <c r="BP383" s="179" t="str">
        <f t="array" ref="BP383">IF($F383&lt;&gt;"", XLOOKUP($F383,Productos!$A$2:$A1001,Productos!BI$2:BI1001,"")*$G383,"")</f>
        <v/>
      </c>
      <c r="BQ383" s="179" t="str">
        <f t="array" ref="BQ383">IF($F383&lt;&gt;"",XLOOKUP($F383,Productos!$A:$A,Productos!BJ:BJ,"Revisar"),"")</f>
        <v/>
      </c>
      <c r="BR383" s="179" t="str">
        <f t="array" ref="BR383">IF($F383&lt;&gt;"", XLOOKUP($F383,Productos!$A$2:$A1001,Productos!BK$2:BK1001,"")*$G383,"")</f>
        <v/>
      </c>
      <c r="BS383" s="179" t="str">
        <f t="array" ref="BS383">IF($F383&lt;&gt;"",XLOOKUP($F383,Productos!$A:$A,Productos!BL:BL,"Revisar"),"")</f>
        <v/>
      </c>
      <c r="BT383" s="179" t="str">
        <f t="array" ref="BT383">IF($F383&lt;&gt;"", XLOOKUP($F383,Productos!$A$2:$A1001,Productos!BM$2:BM1001,"")*$G383,"")</f>
        <v/>
      </c>
      <c r="BU383" s="179" t="str">
        <f t="array" ref="BU383">IF($F383&lt;&gt;"",XLOOKUP($F383,Productos!$A:$A,Productos!BN:BN,"Revisar"),"")</f>
        <v/>
      </c>
      <c r="BV383" s="179" t="str">
        <f t="array" ref="BV383">IF($F383&lt;&gt;"", XLOOKUP($F383,Productos!$A$2:$A1001,Productos!BO$2:BO1001,"")*$G383,"")</f>
        <v/>
      </c>
      <c r="BW383" s="179" t="str">
        <f t="array" ref="BW383">IF($F383&lt;&gt;"",XLOOKUP($F383,Productos!$A:$A,Productos!BP:BP,"Revisar"),"")</f>
        <v/>
      </c>
      <c r="BX383" s="179" t="str">
        <f t="array" ref="BX383">IF($F383&lt;&gt;"", XLOOKUP($F383,Productos!$A$2:$A1001,Productos!BQ$2:BQ1001,"")*$G383,"")</f>
        <v/>
      </c>
      <c r="BY383" s="179" t="str">
        <f t="array" ref="BY383">IF($F383&lt;&gt;"",XLOOKUP($F383,Productos!$A:$A,Productos!BR:BR,"Revisar"),"")</f>
        <v/>
      </c>
      <c r="BZ383" s="179" t="str">
        <f t="array" ref="BZ383">IF($F383&lt;&gt;"", XLOOKUP($F383,Productos!$A$2:$A1001,Productos!BS$2:BS1001,"")*$G383,"")</f>
        <v/>
      </c>
    </row>
    <row r="384">
      <c r="A384" s="188"/>
      <c r="B384" s="189"/>
      <c r="C384" s="190"/>
      <c r="D384" s="190"/>
      <c r="E384" s="191"/>
      <c r="F384" s="186"/>
      <c r="G384" s="192"/>
      <c r="H384" s="9"/>
      <c r="I384" s="179" t="str">
        <f t="array" ref="I384">IF($F384&lt;&gt;"",XLOOKUP($F384,Productos!$A:$A,Productos!B:B,"Revisar"),"")</f>
        <v/>
      </c>
      <c r="J384" s="179" t="str">
        <f t="array" ref="J384">IF($F384&lt;&gt;"", XLOOKUP($F384,Productos!$A$2:$A1001,Productos!C$2:C1001,"")*$G384,"")</f>
        <v/>
      </c>
      <c r="K384" s="179" t="str">
        <f t="array" ref="K384">IF($F384&lt;&gt;"",XLOOKUP($F384,Productos!$A:$A,Productos!D:D,"Revisar"),"")</f>
        <v/>
      </c>
      <c r="L384" s="179" t="str">
        <f t="array" ref="L384">IF($F384&lt;&gt;"", XLOOKUP($F384,Productos!$A$2:$A1001,Productos!E$2:E1001,"")*$G384,"")</f>
        <v/>
      </c>
      <c r="M384" s="179" t="str">
        <f t="array" ref="M384">IF($F384&lt;&gt;"",XLOOKUP($F384,Productos!$A:$A,Productos!F:F,"Revisar"),"")</f>
        <v/>
      </c>
      <c r="N384" s="179" t="str">
        <f t="array" ref="N384">IF($F384&lt;&gt;"", XLOOKUP($F384,Productos!$A$2:$A1001,Productos!G$2:G1001,"")*$G384,"")</f>
        <v/>
      </c>
      <c r="O384" s="179" t="str">
        <f t="array" ref="O384">IF($F384&lt;&gt;"",XLOOKUP($F384,Productos!$A:$A,Productos!H:H,"Revisar"),"")</f>
        <v/>
      </c>
      <c r="P384" s="179" t="str">
        <f t="array" ref="P384">IF($F384&lt;&gt;"", XLOOKUP($F384,Productos!$A$2:$A1001,Productos!I$2:I1001,"")*$G384,"")</f>
        <v/>
      </c>
      <c r="Q384" s="179" t="str">
        <f t="array" ref="Q384">IF($F384&lt;&gt;"",XLOOKUP($F384,Productos!$A:$A,Productos!J:J,"Revisar"),"")</f>
        <v/>
      </c>
      <c r="R384" s="179" t="str">
        <f t="array" ref="R384">IF($F384&lt;&gt;"", XLOOKUP($F384,Productos!$A$2:$A1001,Productos!K$2:K1001,"")*$G384,"")</f>
        <v/>
      </c>
      <c r="S384" s="179" t="str">
        <f t="array" ref="S384">IF($F384&lt;&gt;"",XLOOKUP($F384,Productos!$A:$A,Productos!L:L,"Revisar"),"")</f>
        <v/>
      </c>
      <c r="T384" s="179" t="str">
        <f t="array" ref="T384">IF($F384&lt;&gt;"", XLOOKUP($F384,Productos!$A$2:$A1001,Productos!M$2:M1001,"")*$G384,"")</f>
        <v/>
      </c>
      <c r="U384" s="179" t="str">
        <f t="array" ref="U384">IF($F384&lt;&gt;"",XLOOKUP($F384,Productos!$A:$A,Productos!N:N,"Revisar"),"")</f>
        <v/>
      </c>
      <c r="V384" s="179" t="str">
        <f t="array" ref="V384">IF($F384&lt;&gt;"", XLOOKUP($F384,Productos!$A$2:$A1001,Productos!O$2:O1001,"")*$G384,"")</f>
        <v/>
      </c>
      <c r="W384" s="179" t="str">
        <f t="array" ref="W384">IF($F384&lt;&gt;"",XLOOKUP($F384,Productos!$A:$A,Productos!P:P,"Revisar"),"")</f>
        <v/>
      </c>
      <c r="X384" s="179" t="str">
        <f t="array" ref="X384">IF($F384&lt;&gt;"", XLOOKUP($F384,Productos!$A$2:$A1001,Productos!Q$2:Q1001,"")*$G384,"")</f>
        <v/>
      </c>
      <c r="Y384" s="179" t="str">
        <f t="array" ref="Y384">IF($F384&lt;&gt;"",XLOOKUP($F384,Productos!$A:$A,Productos!R:R,"Revisar"),"")</f>
        <v/>
      </c>
      <c r="Z384" s="179" t="str">
        <f t="array" ref="Z384">IF($F384&lt;&gt;"", XLOOKUP($F384,Productos!$A$2:$A1001,Productos!S$2:S1001,"")*$G384,"")</f>
        <v/>
      </c>
      <c r="AA384" s="179" t="str">
        <f t="array" ref="AA384">IF($F384&lt;&gt;"",XLOOKUP($F384,Productos!$A:$A,Productos!T:T,"Revisar"),"")</f>
        <v/>
      </c>
      <c r="AB384" s="179" t="str">
        <f t="array" ref="AB384">IF($F384&lt;&gt;"", XLOOKUP($F384,Productos!$A$2:$A1001,Productos!U$2:U1001,"")*$G384,"")</f>
        <v/>
      </c>
      <c r="AC384" s="179" t="str">
        <f t="array" ref="AC384">IF($F384&lt;&gt;"",XLOOKUP($F384,Productos!$A:$A,Productos!V:V,"Revisar"),"")</f>
        <v/>
      </c>
      <c r="AD384" s="179" t="str">
        <f t="array" ref="AD384">IF($F384&lt;&gt;"", XLOOKUP($F384,Productos!$A$2:$A1001,Productos!W$2:W1001,"")*$G384,"")</f>
        <v/>
      </c>
      <c r="AE384" s="179" t="str">
        <f t="array" ref="AE384">IF($F384&lt;&gt;"",XLOOKUP($F384,Productos!$A:$A,Productos!X:X,"Revisar"),"")</f>
        <v/>
      </c>
      <c r="AF384" s="179" t="str">
        <f t="array" ref="AF384">IF($F384&lt;&gt;"", XLOOKUP($F384,Productos!$A$2:$A1001,Productos!Y$2:Y1001,"")*$G384,"")</f>
        <v/>
      </c>
      <c r="AG384" s="179" t="str">
        <f t="array" ref="AG384">IF($F384&lt;&gt;"",XLOOKUP($F384,Productos!$A:$A,Productos!Z:Z,"Revisar"),"")</f>
        <v/>
      </c>
      <c r="AH384" s="179" t="str">
        <f t="array" ref="AH384">IF($F384&lt;&gt;"", XLOOKUP($F384,Productos!$A$2:$A1001,Productos!AA$2:AA1001,"")*$G384,"")</f>
        <v/>
      </c>
      <c r="AI384" s="179" t="str">
        <f t="array" ref="AI384">IF($F384&lt;&gt;"",XLOOKUP($F384,Productos!$A:$A,Productos!AB:AB,"Revisar"),"")</f>
        <v/>
      </c>
      <c r="AJ384" s="179" t="str">
        <f t="array" ref="AJ384">IF($F384&lt;&gt;"", XLOOKUP($F384,Productos!$A$2:$A1001,Productos!AC$2:AC1001,"")*$G384,"")</f>
        <v/>
      </c>
      <c r="AK384" s="179" t="str">
        <f t="array" ref="AK384">IF($F384&lt;&gt;"",XLOOKUP($F384,Productos!$A:$A,Productos!AD:AD,"Revisar"),"")</f>
        <v/>
      </c>
      <c r="AL384" s="179" t="str">
        <f t="array" ref="AL384">IF($F384&lt;&gt;"", XLOOKUP($F384,Productos!$A$2:$A1001,Productos!AE$2:AE1001,"")*$G384,"")</f>
        <v/>
      </c>
      <c r="AM384" s="179" t="str">
        <f t="array" ref="AM384">IF($F384&lt;&gt;"",XLOOKUP($F384,Productos!$A:$A,Productos!AF:AF,"Revisar"),"")</f>
        <v/>
      </c>
      <c r="AN384" s="179" t="str">
        <f t="array" ref="AN384">IF($F384&lt;&gt;"", XLOOKUP($F384,Productos!$A$2:$A1001,Productos!AG$2:AG1001,"")*$G384,"")</f>
        <v/>
      </c>
      <c r="AO384" s="179" t="str">
        <f t="array" ref="AO384">IF($F384&lt;&gt;"",XLOOKUP($F384,Productos!$A:$A,Productos!AH:AH,"Revisar"),"")</f>
        <v/>
      </c>
      <c r="AP384" s="179" t="str">
        <f t="array" ref="AP384">IF($F384&lt;&gt;"", XLOOKUP($F384,Productos!$A$2:$A1001,Productos!AI$2:AI1001,"")*$G384,"")</f>
        <v/>
      </c>
      <c r="AQ384" s="179" t="str">
        <f t="array" ref="AQ384">IF($F384&lt;&gt;"",XLOOKUP($F384,Productos!$A:$A,Productos!AJ:AJ,"Revisar"),"")</f>
        <v/>
      </c>
      <c r="AR384" s="179" t="str">
        <f t="array" ref="AR384">IF($F384&lt;&gt;"", XLOOKUP($F384,Productos!$A$2:$A1001,Productos!AK$2:AK1001,"")*$G384,"")</f>
        <v/>
      </c>
      <c r="AS384" s="179" t="str">
        <f t="array" ref="AS384">IF($F384&lt;&gt;"",XLOOKUP($F384,Productos!$A:$A,Productos!AL:AL,"Revisar"),"")</f>
        <v/>
      </c>
      <c r="AT384" s="179" t="str">
        <f t="array" ref="AT384">IF($F384&lt;&gt;"", XLOOKUP($F384,Productos!$A$2:$A1001,Productos!AM$2:AM1001,"")*$G384,"")</f>
        <v/>
      </c>
      <c r="AU384" s="179" t="str">
        <f t="array" ref="AU384">IF($F384&lt;&gt;"",XLOOKUP($F384,Productos!$A:$A,Productos!AN:AN,"Revisar"),"")</f>
        <v/>
      </c>
      <c r="AV384" s="179" t="str">
        <f t="array" ref="AV384">IF($F384&lt;&gt;"", XLOOKUP($F384,Productos!$A$2:$A1001,Productos!AO$2:AO1001,"")*$G384,"")</f>
        <v/>
      </c>
      <c r="AW384" s="179" t="str">
        <f t="array" ref="AW384">IF($F384&lt;&gt;"",XLOOKUP($F384,Productos!$A:$A,Productos!AP:AP,"Revisar"),"")</f>
        <v/>
      </c>
      <c r="AX384" s="179" t="str">
        <f t="array" ref="AX384">IF($F384&lt;&gt;"", XLOOKUP($F384,Productos!$A$2:$A1001,Productos!AQ$2:AQ1001,"")*$G384,"")</f>
        <v/>
      </c>
      <c r="AY384" s="179" t="str">
        <f t="array" ref="AY384">IF($F384&lt;&gt;"",XLOOKUP($F384,Productos!$A:$A,Productos!AR:AR,"Revisar"),"")</f>
        <v/>
      </c>
      <c r="AZ384" s="179" t="str">
        <f t="array" ref="AZ384">IF($F384&lt;&gt;"", XLOOKUP($F384,Productos!$A$2:$A1001,Productos!AS$2:AS1001,"")*$G384,"")</f>
        <v/>
      </c>
      <c r="BA384" s="179" t="str">
        <f t="array" ref="BA384">IF($F384&lt;&gt;"",XLOOKUP($F384,Productos!$A:$A,Productos!AT:AT,"Revisar"),"")</f>
        <v/>
      </c>
      <c r="BB384" s="179" t="str">
        <f t="array" ref="BB384">IF($F384&lt;&gt;"", XLOOKUP($F384,Productos!$A$2:$A1001,Productos!AU$2:AU1001,"")*$G384,"")</f>
        <v/>
      </c>
      <c r="BC384" s="179" t="str">
        <f t="array" ref="BC384">IF($F384&lt;&gt;"",XLOOKUP($F384,Productos!$A:$A,Productos!AV:AV,"Revisar"),"")</f>
        <v/>
      </c>
      <c r="BD384" s="179" t="str">
        <f t="array" ref="BD384">IF($F384&lt;&gt;"", XLOOKUP($F384,Productos!$A$2:$A1001,Productos!AW$2:AW1001,"")*$G384,"")</f>
        <v/>
      </c>
      <c r="BE384" s="179" t="str">
        <f t="array" ref="BE384">IF($F384&lt;&gt;"",XLOOKUP($F384,Productos!$A:$A,Productos!AX:AX,"Revisar"),"")</f>
        <v/>
      </c>
      <c r="BF384" s="179" t="str">
        <f t="array" ref="BF384">IF($F384&lt;&gt;"", XLOOKUP($F384,Productos!$A$2:$A1001,Productos!AY$2:AY1001,"")*$G384,"")</f>
        <v/>
      </c>
      <c r="BG384" s="179" t="str">
        <f t="array" ref="BG384">IF($F384&lt;&gt;"",XLOOKUP($F384,Productos!$A:$A,Productos!AZ:AZ,"Revisar"),"")</f>
        <v/>
      </c>
      <c r="BH384" s="179" t="str">
        <f t="array" ref="BH384">IF($F384&lt;&gt;"", XLOOKUP($F384,Productos!$A$2:$A1001,Productos!BA$2:BA1001,"")*$G384,"")</f>
        <v/>
      </c>
      <c r="BI384" s="179" t="str">
        <f t="array" ref="BI384">IF($F384&lt;&gt;"",XLOOKUP($F384,Productos!$A:$A,Productos!BB:BB,"Revisar"),"")</f>
        <v/>
      </c>
      <c r="BJ384" s="179" t="str">
        <f t="array" ref="BJ384">IF($F384&lt;&gt;"", XLOOKUP($F384,Productos!$A$2:$A1001,Productos!BC$2:BC1001,"")*$G384,"")</f>
        <v/>
      </c>
      <c r="BK384" s="179" t="str">
        <f t="array" ref="BK384">IF($F384&lt;&gt;"",XLOOKUP($F384,Productos!$A:$A,Productos!BD:BD,"Revisar"),"")</f>
        <v/>
      </c>
      <c r="BL384" s="179" t="str">
        <f t="array" ref="BL384">IF($F384&lt;&gt;"", XLOOKUP($F384,Productos!$A$2:$A1001,Productos!BE$2:BE1001,"")*$G384,"")</f>
        <v/>
      </c>
      <c r="BM384" s="179" t="str">
        <f t="array" ref="BM384">IF($F384&lt;&gt;"",XLOOKUP($F384,Productos!$A:$A,Productos!BF:BF,"Revisar"),"")</f>
        <v/>
      </c>
      <c r="BN384" s="179" t="str">
        <f t="array" ref="BN384">IF($F384&lt;&gt;"", XLOOKUP($F384,Productos!$A$2:$A1001,Productos!BG$2:BG1001,"")*$G384,"")</f>
        <v/>
      </c>
      <c r="BO384" s="179" t="str">
        <f t="array" ref="BO384">IF($F384&lt;&gt;"",XLOOKUP($F384,Productos!$A:$A,Productos!BH:BH,"Revisar"),"")</f>
        <v/>
      </c>
      <c r="BP384" s="179" t="str">
        <f t="array" ref="BP384">IF($F384&lt;&gt;"", XLOOKUP($F384,Productos!$A$2:$A1001,Productos!BI$2:BI1001,"")*$G384,"")</f>
        <v/>
      </c>
      <c r="BQ384" s="179" t="str">
        <f t="array" ref="BQ384">IF($F384&lt;&gt;"",XLOOKUP($F384,Productos!$A:$A,Productos!BJ:BJ,"Revisar"),"")</f>
        <v/>
      </c>
      <c r="BR384" s="179" t="str">
        <f t="array" ref="BR384">IF($F384&lt;&gt;"", XLOOKUP($F384,Productos!$A$2:$A1001,Productos!BK$2:BK1001,"")*$G384,"")</f>
        <v/>
      </c>
      <c r="BS384" s="179" t="str">
        <f t="array" ref="BS384">IF($F384&lt;&gt;"",XLOOKUP($F384,Productos!$A:$A,Productos!BL:BL,"Revisar"),"")</f>
        <v/>
      </c>
      <c r="BT384" s="179" t="str">
        <f t="array" ref="BT384">IF($F384&lt;&gt;"", XLOOKUP($F384,Productos!$A$2:$A1001,Productos!BM$2:BM1001,"")*$G384,"")</f>
        <v/>
      </c>
      <c r="BU384" s="179" t="str">
        <f t="array" ref="BU384">IF($F384&lt;&gt;"",XLOOKUP($F384,Productos!$A:$A,Productos!BN:BN,"Revisar"),"")</f>
        <v/>
      </c>
      <c r="BV384" s="179" t="str">
        <f t="array" ref="BV384">IF($F384&lt;&gt;"", XLOOKUP($F384,Productos!$A$2:$A1001,Productos!BO$2:BO1001,"")*$G384,"")</f>
        <v/>
      </c>
      <c r="BW384" s="179" t="str">
        <f t="array" ref="BW384">IF($F384&lt;&gt;"",XLOOKUP($F384,Productos!$A:$A,Productos!BP:BP,"Revisar"),"")</f>
        <v/>
      </c>
      <c r="BX384" s="179" t="str">
        <f t="array" ref="BX384">IF($F384&lt;&gt;"", XLOOKUP($F384,Productos!$A$2:$A1001,Productos!BQ$2:BQ1001,"")*$G384,"")</f>
        <v/>
      </c>
      <c r="BY384" s="179" t="str">
        <f t="array" ref="BY384">IF($F384&lt;&gt;"",XLOOKUP($F384,Productos!$A:$A,Productos!BR:BR,"Revisar"),"")</f>
        <v/>
      </c>
      <c r="BZ384" s="179" t="str">
        <f t="array" ref="BZ384">IF($F384&lt;&gt;"", XLOOKUP($F384,Productos!$A$2:$A1001,Productos!BS$2:BS1001,"")*$G384,"")</f>
        <v/>
      </c>
    </row>
    <row r="385">
      <c r="A385" s="188"/>
      <c r="B385" s="189"/>
      <c r="C385" s="190"/>
      <c r="D385" s="190"/>
      <c r="E385" s="191"/>
      <c r="F385" s="186"/>
      <c r="G385" s="192"/>
      <c r="H385" s="9"/>
      <c r="I385" s="179" t="str">
        <f t="array" ref="I385">IF($F385&lt;&gt;"",XLOOKUP($F385,Productos!$A:$A,Productos!B:B,"Revisar"),"")</f>
        <v/>
      </c>
      <c r="J385" s="179" t="str">
        <f t="array" ref="J385">IF($F385&lt;&gt;"", XLOOKUP($F385,Productos!$A$2:$A1001,Productos!C$2:C1001,"")*$G385,"")</f>
        <v/>
      </c>
      <c r="K385" s="179" t="str">
        <f t="array" ref="K385">IF($F385&lt;&gt;"",XLOOKUP($F385,Productos!$A:$A,Productos!D:D,"Revisar"),"")</f>
        <v/>
      </c>
      <c r="L385" s="179" t="str">
        <f t="array" ref="L385">IF($F385&lt;&gt;"", XLOOKUP($F385,Productos!$A$2:$A1001,Productos!E$2:E1001,"")*$G385,"")</f>
        <v/>
      </c>
      <c r="M385" s="179" t="str">
        <f t="array" ref="M385">IF($F385&lt;&gt;"",XLOOKUP($F385,Productos!$A:$A,Productos!F:F,"Revisar"),"")</f>
        <v/>
      </c>
      <c r="N385" s="179" t="str">
        <f t="array" ref="N385">IF($F385&lt;&gt;"", XLOOKUP($F385,Productos!$A$2:$A1001,Productos!G$2:G1001,"")*$G385,"")</f>
        <v/>
      </c>
      <c r="O385" s="179" t="str">
        <f t="array" ref="O385">IF($F385&lt;&gt;"",XLOOKUP($F385,Productos!$A:$A,Productos!H:H,"Revisar"),"")</f>
        <v/>
      </c>
      <c r="P385" s="179" t="str">
        <f t="array" ref="P385">IF($F385&lt;&gt;"", XLOOKUP($F385,Productos!$A$2:$A1001,Productos!I$2:I1001,"")*$G385,"")</f>
        <v/>
      </c>
      <c r="Q385" s="179" t="str">
        <f t="array" ref="Q385">IF($F385&lt;&gt;"",XLOOKUP($F385,Productos!$A:$A,Productos!J:J,"Revisar"),"")</f>
        <v/>
      </c>
      <c r="R385" s="179" t="str">
        <f t="array" ref="R385">IF($F385&lt;&gt;"", XLOOKUP($F385,Productos!$A$2:$A1001,Productos!K$2:K1001,"")*$G385,"")</f>
        <v/>
      </c>
      <c r="S385" s="179" t="str">
        <f t="array" ref="S385">IF($F385&lt;&gt;"",XLOOKUP($F385,Productos!$A:$A,Productos!L:L,"Revisar"),"")</f>
        <v/>
      </c>
      <c r="T385" s="179" t="str">
        <f t="array" ref="T385">IF($F385&lt;&gt;"", XLOOKUP($F385,Productos!$A$2:$A1001,Productos!M$2:M1001,"")*$G385,"")</f>
        <v/>
      </c>
      <c r="U385" s="179" t="str">
        <f t="array" ref="U385">IF($F385&lt;&gt;"",XLOOKUP($F385,Productos!$A:$A,Productos!N:N,"Revisar"),"")</f>
        <v/>
      </c>
      <c r="V385" s="179" t="str">
        <f t="array" ref="V385">IF($F385&lt;&gt;"", XLOOKUP($F385,Productos!$A$2:$A1001,Productos!O$2:O1001,"")*$G385,"")</f>
        <v/>
      </c>
      <c r="W385" s="179" t="str">
        <f t="array" ref="W385">IF($F385&lt;&gt;"",XLOOKUP($F385,Productos!$A:$A,Productos!P:P,"Revisar"),"")</f>
        <v/>
      </c>
      <c r="X385" s="179" t="str">
        <f t="array" ref="X385">IF($F385&lt;&gt;"", XLOOKUP($F385,Productos!$A$2:$A1001,Productos!Q$2:Q1001,"")*$G385,"")</f>
        <v/>
      </c>
      <c r="Y385" s="179" t="str">
        <f t="array" ref="Y385">IF($F385&lt;&gt;"",XLOOKUP($F385,Productos!$A:$A,Productos!R:R,"Revisar"),"")</f>
        <v/>
      </c>
      <c r="Z385" s="179" t="str">
        <f t="array" ref="Z385">IF($F385&lt;&gt;"", XLOOKUP($F385,Productos!$A$2:$A1001,Productos!S$2:S1001,"")*$G385,"")</f>
        <v/>
      </c>
      <c r="AA385" s="179" t="str">
        <f t="array" ref="AA385">IF($F385&lt;&gt;"",XLOOKUP($F385,Productos!$A:$A,Productos!T:T,"Revisar"),"")</f>
        <v/>
      </c>
      <c r="AB385" s="179" t="str">
        <f t="array" ref="AB385">IF($F385&lt;&gt;"", XLOOKUP($F385,Productos!$A$2:$A1001,Productos!U$2:U1001,"")*$G385,"")</f>
        <v/>
      </c>
      <c r="AC385" s="179" t="str">
        <f t="array" ref="AC385">IF($F385&lt;&gt;"",XLOOKUP($F385,Productos!$A:$A,Productos!V:V,"Revisar"),"")</f>
        <v/>
      </c>
      <c r="AD385" s="179" t="str">
        <f t="array" ref="AD385">IF($F385&lt;&gt;"", XLOOKUP($F385,Productos!$A$2:$A1001,Productos!W$2:W1001,"")*$G385,"")</f>
        <v/>
      </c>
      <c r="AE385" s="179" t="str">
        <f t="array" ref="AE385">IF($F385&lt;&gt;"",XLOOKUP($F385,Productos!$A:$A,Productos!X:X,"Revisar"),"")</f>
        <v/>
      </c>
      <c r="AF385" s="179" t="str">
        <f t="array" ref="AF385">IF($F385&lt;&gt;"", XLOOKUP($F385,Productos!$A$2:$A1001,Productos!Y$2:Y1001,"")*$G385,"")</f>
        <v/>
      </c>
      <c r="AG385" s="179" t="str">
        <f t="array" ref="AG385">IF($F385&lt;&gt;"",XLOOKUP($F385,Productos!$A:$A,Productos!Z:Z,"Revisar"),"")</f>
        <v/>
      </c>
      <c r="AH385" s="179" t="str">
        <f t="array" ref="AH385">IF($F385&lt;&gt;"", XLOOKUP($F385,Productos!$A$2:$A1001,Productos!AA$2:AA1001,"")*$G385,"")</f>
        <v/>
      </c>
      <c r="AI385" s="179" t="str">
        <f t="array" ref="AI385">IF($F385&lt;&gt;"",XLOOKUP($F385,Productos!$A:$A,Productos!AB:AB,"Revisar"),"")</f>
        <v/>
      </c>
      <c r="AJ385" s="179" t="str">
        <f t="array" ref="AJ385">IF($F385&lt;&gt;"", XLOOKUP($F385,Productos!$A$2:$A1001,Productos!AC$2:AC1001,"")*$G385,"")</f>
        <v/>
      </c>
      <c r="AK385" s="179" t="str">
        <f t="array" ref="AK385">IF($F385&lt;&gt;"",XLOOKUP($F385,Productos!$A:$A,Productos!AD:AD,"Revisar"),"")</f>
        <v/>
      </c>
      <c r="AL385" s="179" t="str">
        <f t="array" ref="AL385">IF($F385&lt;&gt;"", XLOOKUP($F385,Productos!$A$2:$A1001,Productos!AE$2:AE1001,"")*$G385,"")</f>
        <v/>
      </c>
      <c r="AM385" s="179" t="str">
        <f t="array" ref="AM385">IF($F385&lt;&gt;"",XLOOKUP($F385,Productos!$A:$A,Productos!AF:AF,"Revisar"),"")</f>
        <v/>
      </c>
      <c r="AN385" s="179" t="str">
        <f t="array" ref="AN385">IF($F385&lt;&gt;"", XLOOKUP($F385,Productos!$A$2:$A1001,Productos!AG$2:AG1001,"")*$G385,"")</f>
        <v/>
      </c>
      <c r="AO385" s="179" t="str">
        <f t="array" ref="AO385">IF($F385&lt;&gt;"",XLOOKUP($F385,Productos!$A:$A,Productos!AH:AH,"Revisar"),"")</f>
        <v/>
      </c>
      <c r="AP385" s="179" t="str">
        <f t="array" ref="AP385">IF($F385&lt;&gt;"", XLOOKUP($F385,Productos!$A$2:$A1001,Productos!AI$2:AI1001,"")*$G385,"")</f>
        <v/>
      </c>
      <c r="AQ385" s="179" t="str">
        <f t="array" ref="AQ385">IF($F385&lt;&gt;"",XLOOKUP($F385,Productos!$A:$A,Productos!AJ:AJ,"Revisar"),"")</f>
        <v/>
      </c>
      <c r="AR385" s="179" t="str">
        <f t="array" ref="AR385">IF($F385&lt;&gt;"", XLOOKUP($F385,Productos!$A$2:$A1001,Productos!AK$2:AK1001,"")*$G385,"")</f>
        <v/>
      </c>
      <c r="AS385" s="179" t="str">
        <f t="array" ref="AS385">IF($F385&lt;&gt;"",XLOOKUP($F385,Productos!$A:$A,Productos!AL:AL,"Revisar"),"")</f>
        <v/>
      </c>
      <c r="AT385" s="179" t="str">
        <f t="array" ref="AT385">IF($F385&lt;&gt;"", XLOOKUP($F385,Productos!$A$2:$A1001,Productos!AM$2:AM1001,"")*$G385,"")</f>
        <v/>
      </c>
      <c r="AU385" s="179" t="str">
        <f t="array" ref="AU385">IF($F385&lt;&gt;"",XLOOKUP($F385,Productos!$A:$A,Productos!AN:AN,"Revisar"),"")</f>
        <v/>
      </c>
      <c r="AV385" s="179" t="str">
        <f t="array" ref="AV385">IF($F385&lt;&gt;"", XLOOKUP($F385,Productos!$A$2:$A1001,Productos!AO$2:AO1001,"")*$G385,"")</f>
        <v/>
      </c>
      <c r="AW385" s="179" t="str">
        <f t="array" ref="AW385">IF($F385&lt;&gt;"",XLOOKUP($F385,Productos!$A:$A,Productos!AP:AP,"Revisar"),"")</f>
        <v/>
      </c>
      <c r="AX385" s="179" t="str">
        <f t="array" ref="AX385">IF($F385&lt;&gt;"", XLOOKUP($F385,Productos!$A$2:$A1001,Productos!AQ$2:AQ1001,"")*$G385,"")</f>
        <v/>
      </c>
      <c r="AY385" s="179" t="str">
        <f t="array" ref="AY385">IF($F385&lt;&gt;"",XLOOKUP($F385,Productos!$A:$A,Productos!AR:AR,"Revisar"),"")</f>
        <v/>
      </c>
      <c r="AZ385" s="179" t="str">
        <f t="array" ref="AZ385">IF($F385&lt;&gt;"", XLOOKUP($F385,Productos!$A$2:$A1001,Productos!AS$2:AS1001,"")*$G385,"")</f>
        <v/>
      </c>
      <c r="BA385" s="179" t="str">
        <f t="array" ref="BA385">IF($F385&lt;&gt;"",XLOOKUP($F385,Productos!$A:$A,Productos!AT:AT,"Revisar"),"")</f>
        <v/>
      </c>
      <c r="BB385" s="179" t="str">
        <f t="array" ref="BB385">IF($F385&lt;&gt;"", XLOOKUP($F385,Productos!$A$2:$A1001,Productos!AU$2:AU1001,"")*$G385,"")</f>
        <v/>
      </c>
      <c r="BC385" s="179" t="str">
        <f t="array" ref="BC385">IF($F385&lt;&gt;"",XLOOKUP($F385,Productos!$A:$A,Productos!AV:AV,"Revisar"),"")</f>
        <v/>
      </c>
      <c r="BD385" s="179" t="str">
        <f t="array" ref="BD385">IF($F385&lt;&gt;"", XLOOKUP($F385,Productos!$A$2:$A1001,Productos!AW$2:AW1001,"")*$G385,"")</f>
        <v/>
      </c>
      <c r="BE385" s="179" t="str">
        <f t="array" ref="BE385">IF($F385&lt;&gt;"",XLOOKUP($F385,Productos!$A:$A,Productos!AX:AX,"Revisar"),"")</f>
        <v/>
      </c>
      <c r="BF385" s="179" t="str">
        <f t="array" ref="BF385">IF($F385&lt;&gt;"", XLOOKUP($F385,Productos!$A$2:$A1001,Productos!AY$2:AY1001,"")*$G385,"")</f>
        <v/>
      </c>
      <c r="BG385" s="179" t="str">
        <f t="array" ref="BG385">IF($F385&lt;&gt;"",XLOOKUP($F385,Productos!$A:$A,Productos!AZ:AZ,"Revisar"),"")</f>
        <v/>
      </c>
      <c r="BH385" s="179" t="str">
        <f t="array" ref="BH385">IF($F385&lt;&gt;"", XLOOKUP($F385,Productos!$A$2:$A1001,Productos!BA$2:BA1001,"")*$G385,"")</f>
        <v/>
      </c>
      <c r="BI385" s="179" t="str">
        <f t="array" ref="BI385">IF($F385&lt;&gt;"",XLOOKUP($F385,Productos!$A:$A,Productos!BB:BB,"Revisar"),"")</f>
        <v/>
      </c>
      <c r="BJ385" s="179" t="str">
        <f t="array" ref="BJ385">IF($F385&lt;&gt;"", XLOOKUP($F385,Productos!$A$2:$A1001,Productos!BC$2:BC1001,"")*$G385,"")</f>
        <v/>
      </c>
      <c r="BK385" s="179" t="str">
        <f t="array" ref="BK385">IF($F385&lt;&gt;"",XLOOKUP($F385,Productos!$A:$A,Productos!BD:BD,"Revisar"),"")</f>
        <v/>
      </c>
      <c r="BL385" s="179" t="str">
        <f t="array" ref="BL385">IF($F385&lt;&gt;"", XLOOKUP($F385,Productos!$A$2:$A1001,Productos!BE$2:BE1001,"")*$G385,"")</f>
        <v/>
      </c>
      <c r="BM385" s="179" t="str">
        <f t="array" ref="BM385">IF($F385&lt;&gt;"",XLOOKUP($F385,Productos!$A:$A,Productos!BF:BF,"Revisar"),"")</f>
        <v/>
      </c>
      <c r="BN385" s="179" t="str">
        <f t="array" ref="BN385">IF($F385&lt;&gt;"", XLOOKUP($F385,Productos!$A$2:$A1001,Productos!BG$2:BG1001,"")*$G385,"")</f>
        <v/>
      </c>
      <c r="BO385" s="179" t="str">
        <f t="array" ref="BO385">IF($F385&lt;&gt;"",XLOOKUP($F385,Productos!$A:$A,Productos!BH:BH,"Revisar"),"")</f>
        <v/>
      </c>
      <c r="BP385" s="179" t="str">
        <f t="array" ref="BP385">IF($F385&lt;&gt;"", XLOOKUP($F385,Productos!$A$2:$A1001,Productos!BI$2:BI1001,"")*$G385,"")</f>
        <v/>
      </c>
      <c r="BQ385" s="179" t="str">
        <f t="array" ref="BQ385">IF($F385&lt;&gt;"",XLOOKUP($F385,Productos!$A:$A,Productos!BJ:BJ,"Revisar"),"")</f>
        <v/>
      </c>
      <c r="BR385" s="179" t="str">
        <f t="array" ref="BR385">IF($F385&lt;&gt;"", XLOOKUP($F385,Productos!$A$2:$A1001,Productos!BK$2:BK1001,"")*$G385,"")</f>
        <v/>
      </c>
      <c r="BS385" s="179" t="str">
        <f t="array" ref="BS385">IF($F385&lt;&gt;"",XLOOKUP($F385,Productos!$A:$A,Productos!BL:BL,"Revisar"),"")</f>
        <v/>
      </c>
      <c r="BT385" s="179" t="str">
        <f t="array" ref="BT385">IF($F385&lt;&gt;"", XLOOKUP($F385,Productos!$A$2:$A1001,Productos!BM$2:BM1001,"")*$G385,"")</f>
        <v/>
      </c>
      <c r="BU385" s="179" t="str">
        <f t="array" ref="BU385">IF($F385&lt;&gt;"",XLOOKUP($F385,Productos!$A:$A,Productos!BN:BN,"Revisar"),"")</f>
        <v/>
      </c>
      <c r="BV385" s="179" t="str">
        <f t="array" ref="BV385">IF($F385&lt;&gt;"", XLOOKUP($F385,Productos!$A$2:$A1001,Productos!BO$2:BO1001,"")*$G385,"")</f>
        <v/>
      </c>
      <c r="BW385" s="179" t="str">
        <f t="array" ref="BW385">IF($F385&lt;&gt;"",XLOOKUP($F385,Productos!$A:$A,Productos!BP:BP,"Revisar"),"")</f>
        <v/>
      </c>
      <c r="BX385" s="179" t="str">
        <f t="array" ref="BX385">IF($F385&lt;&gt;"", XLOOKUP($F385,Productos!$A$2:$A1001,Productos!BQ$2:BQ1001,"")*$G385,"")</f>
        <v/>
      </c>
      <c r="BY385" s="179" t="str">
        <f t="array" ref="BY385">IF($F385&lt;&gt;"",XLOOKUP($F385,Productos!$A:$A,Productos!BR:BR,"Revisar"),"")</f>
        <v/>
      </c>
      <c r="BZ385" s="179" t="str">
        <f t="array" ref="BZ385">IF($F385&lt;&gt;"", XLOOKUP($F385,Productos!$A$2:$A1001,Productos!BS$2:BS1001,"")*$G385,"")</f>
        <v/>
      </c>
    </row>
    <row r="386">
      <c r="A386" s="188"/>
      <c r="B386" s="189"/>
      <c r="C386" s="190"/>
      <c r="D386" s="190"/>
      <c r="E386" s="191"/>
      <c r="F386" s="186"/>
      <c r="G386" s="192"/>
      <c r="H386" s="9"/>
      <c r="I386" s="179" t="str">
        <f t="array" ref="I386">IF($F386&lt;&gt;"",XLOOKUP($F386,Productos!$A:$A,Productos!B:B,"Revisar"),"")</f>
        <v/>
      </c>
      <c r="J386" s="179" t="str">
        <f t="array" ref="J386">IF($F386&lt;&gt;"", XLOOKUP($F386,Productos!$A$2:$A1001,Productos!C$2:C1001,"")*$G386,"")</f>
        <v/>
      </c>
      <c r="K386" s="179" t="str">
        <f t="array" ref="K386">IF($F386&lt;&gt;"",XLOOKUP($F386,Productos!$A:$A,Productos!D:D,"Revisar"),"")</f>
        <v/>
      </c>
      <c r="L386" s="179" t="str">
        <f t="array" ref="L386">IF($F386&lt;&gt;"", XLOOKUP($F386,Productos!$A$2:$A1001,Productos!E$2:E1001,"")*$G386,"")</f>
        <v/>
      </c>
      <c r="M386" s="179" t="str">
        <f t="array" ref="M386">IF($F386&lt;&gt;"",XLOOKUP($F386,Productos!$A:$A,Productos!F:F,"Revisar"),"")</f>
        <v/>
      </c>
      <c r="N386" s="179" t="str">
        <f t="array" ref="N386">IF($F386&lt;&gt;"", XLOOKUP($F386,Productos!$A$2:$A1001,Productos!G$2:G1001,"")*$G386,"")</f>
        <v/>
      </c>
      <c r="O386" s="179" t="str">
        <f t="array" ref="O386">IF($F386&lt;&gt;"",XLOOKUP($F386,Productos!$A:$A,Productos!H:H,"Revisar"),"")</f>
        <v/>
      </c>
      <c r="P386" s="179" t="str">
        <f t="array" ref="P386">IF($F386&lt;&gt;"", XLOOKUP($F386,Productos!$A$2:$A1001,Productos!I$2:I1001,"")*$G386,"")</f>
        <v/>
      </c>
      <c r="Q386" s="179" t="str">
        <f t="array" ref="Q386">IF($F386&lt;&gt;"",XLOOKUP($F386,Productos!$A:$A,Productos!J:J,"Revisar"),"")</f>
        <v/>
      </c>
      <c r="R386" s="179" t="str">
        <f t="array" ref="R386">IF($F386&lt;&gt;"", XLOOKUP($F386,Productos!$A$2:$A1001,Productos!K$2:K1001,"")*$G386,"")</f>
        <v/>
      </c>
      <c r="S386" s="179" t="str">
        <f t="array" ref="S386">IF($F386&lt;&gt;"",XLOOKUP($F386,Productos!$A:$A,Productos!L:L,"Revisar"),"")</f>
        <v/>
      </c>
      <c r="T386" s="179" t="str">
        <f t="array" ref="T386">IF($F386&lt;&gt;"", XLOOKUP($F386,Productos!$A$2:$A1001,Productos!M$2:M1001,"")*$G386,"")</f>
        <v/>
      </c>
      <c r="U386" s="179" t="str">
        <f t="array" ref="U386">IF($F386&lt;&gt;"",XLOOKUP($F386,Productos!$A:$A,Productos!N:N,"Revisar"),"")</f>
        <v/>
      </c>
      <c r="V386" s="179" t="str">
        <f t="array" ref="V386">IF($F386&lt;&gt;"", XLOOKUP($F386,Productos!$A$2:$A1001,Productos!O$2:O1001,"")*$G386,"")</f>
        <v/>
      </c>
      <c r="W386" s="179" t="str">
        <f t="array" ref="W386">IF($F386&lt;&gt;"",XLOOKUP($F386,Productos!$A:$A,Productos!P:P,"Revisar"),"")</f>
        <v/>
      </c>
      <c r="X386" s="179" t="str">
        <f t="array" ref="X386">IF($F386&lt;&gt;"", XLOOKUP($F386,Productos!$A$2:$A1001,Productos!Q$2:Q1001,"")*$G386,"")</f>
        <v/>
      </c>
      <c r="Y386" s="179" t="str">
        <f t="array" ref="Y386">IF($F386&lt;&gt;"",XLOOKUP($F386,Productos!$A:$A,Productos!R:R,"Revisar"),"")</f>
        <v/>
      </c>
      <c r="Z386" s="179" t="str">
        <f t="array" ref="Z386">IF($F386&lt;&gt;"", XLOOKUP($F386,Productos!$A$2:$A1001,Productos!S$2:S1001,"")*$G386,"")</f>
        <v/>
      </c>
      <c r="AA386" s="179" t="str">
        <f t="array" ref="AA386">IF($F386&lt;&gt;"",XLOOKUP($F386,Productos!$A:$A,Productos!T:T,"Revisar"),"")</f>
        <v/>
      </c>
      <c r="AB386" s="179" t="str">
        <f t="array" ref="AB386">IF($F386&lt;&gt;"", XLOOKUP($F386,Productos!$A$2:$A1001,Productos!U$2:U1001,"")*$G386,"")</f>
        <v/>
      </c>
      <c r="AC386" s="179" t="str">
        <f t="array" ref="AC386">IF($F386&lt;&gt;"",XLOOKUP($F386,Productos!$A:$A,Productos!V:V,"Revisar"),"")</f>
        <v/>
      </c>
      <c r="AD386" s="179" t="str">
        <f t="array" ref="AD386">IF($F386&lt;&gt;"", XLOOKUP($F386,Productos!$A$2:$A1001,Productos!W$2:W1001,"")*$G386,"")</f>
        <v/>
      </c>
      <c r="AE386" s="179" t="str">
        <f t="array" ref="AE386">IF($F386&lt;&gt;"",XLOOKUP($F386,Productos!$A:$A,Productos!X:X,"Revisar"),"")</f>
        <v/>
      </c>
      <c r="AF386" s="179" t="str">
        <f t="array" ref="AF386">IF($F386&lt;&gt;"", XLOOKUP($F386,Productos!$A$2:$A1001,Productos!Y$2:Y1001,"")*$G386,"")</f>
        <v/>
      </c>
      <c r="AG386" s="179" t="str">
        <f t="array" ref="AG386">IF($F386&lt;&gt;"",XLOOKUP($F386,Productos!$A:$A,Productos!Z:Z,"Revisar"),"")</f>
        <v/>
      </c>
      <c r="AH386" s="179" t="str">
        <f t="array" ref="AH386">IF($F386&lt;&gt;"", XLOOKUP($F386,Productos!$A$2:$A1001,Productos!AA$2:AA1001,"")*$G386,"")</f>
        <v/>
      </c>
      <c r="AI386" s="179" t="str">
        <f t="array" ref="AI386">IF($F386&lt;&gt;"",XLOOKUP($F386,Productos!$A:$A,Productos!AB:AB,"Revisar"),"")</f>
        <v/>
      </c>
      <c r="AJ386" s="179" t="str">
        <f t="array" ref="AJ386">IF($F386&lt;&gt;"", XLOOKUP($F386,Productos!$A$2:$A1001,Productos!AC$2:AC1001,"")*$G386,"")</f>
        <v/>
      </c>
      <c r="AK386" s="179" t="str">
        <f t="array" ref="AK386">IF($F386&lt;&gt;"",XLOOKUP($F386,Productos!$A:$A,Productos!AD:AD,"Revisar"),"")</f>
        <v/>
      </c>
      <c r="AL386" s="179" t="str">
        <f t="array" ref="AL386">IF($F386&lt;&gt;"", XLOOKUP($F386,Productos!$A$2:$A1001,Productos!AE$2:AE1001,"")*$G386,"")</f>
        <v/>
      </c>
      <c r="AM386" s="179" t="str">
        <f t="array" ref="AM386">IF($F386&lt;&gt;"",XLOOKUP($F386,Productos!$A:$A,Productos!AF:AF,"Revisar"),"")</f>
        <v/>
      </c>
      <c r="AN386" s="179" t="str">
        <f t="array" ref="AN386">IF($F386&lt;&gt;"", XLOOKUP($F386,Productos!$A$2:$A1001,Productos!AG$2:AG1001,"")*$G386,"")</f>
        <v/>
      </c>
      <c r="AO386" s="179" t="str">
        <f t="array" ref="AO386">IF($F386&lt;&gt;"",XLOOKUP($F386,Productos!$A:$A,Productos!AH:AH,"Revisar"),"")</f>
        <v/>
      </c>
      <c r="AP386" s="179" t="str">
        <f t="array" ref="AP386">IF($F386&lt;&gt;"", XLOOKUP($F386,Productos!$A$2:$A1001,Productos!AI$2:AI1001,"")*$G386,"")</f>
        <v/>
      </c>
      <c r="AQ386" s="179" t="str">
        <f t="array" ref="AQ386">IF($F386&lt;&gt;"",XLOOKUP($F386,Productos!$A:$A,Productos!AJ:AJ,"Revisar"),"")</f>
        <v/>
      </c>
      <c r="AR386" s="179" t="str">
        <f t="array" ref="AR386">IF($F386&lt;&gt;"", XLOOKUP($F386,Productos!$A$2:$A1001,Productos!AK$2:AK1001,"")*$G386,"")</f>
        <v/>
      </c>
      <c r="AS386" s="179" t="str">
        <f t="array" ref="AS386">IF($F386&lt;&gt;"",XLOOKUP($F386,Productos!$A:$A,Productos!AL:AL,"Revisar"),"")</f>
        <v/>
      </c>
      <c r="AT386" s="179" t="str">
        <f t="array" ref="AT386">IF($F386&lt;&gt;"", XLOOKUP($F386,Productos!$A$2:$A1001,Productos!AM$2:AM1001,"")*$G386,"")</f>
        <v/>
      </c>
      <c r="AU386" s="179" t="str">
        <f t="array" ref="AU386">IF($F386&lt;&gt;"",XLOOKUP($F386,Productos!$A:$A,Productos!AN:AN,"Revisar"),"")</f>
        <v/>
      </c>
      <c r="AV386" s="179" t="str">
        <f t="array" ref="AV386">IF($F386&lt;&gt;"", XLOOKUP($F386,Productos!$A$2:$A1001,Productos!AO$2:AO1001,"")*$G386,"")</f>
        <v/>
      </c>
      <c r="AW386" s="179" t="str">
        <f t="array" ref="AW386">IF($F386&lt;&gt;"",XLOOKUP($F386,Productos!$A:$A,Productos!AP:AP,"Revisar"),"")</f>
        <v/>
      </c>
      <c r="AX386" s="179" t="str">
        <f t="array" ref="AX386">IF($F386&lt;&gt;"", XLOOKUP($F386,Productos!$A$2:$A1001,Productos!AQ$2:AQ1001,"")*$G386,"")</f>
        <v/>
      </c>
      <c r="AY386" s="179" t="str">
        <f t="array" ref="AY386">IF($F386&lt;&gt;"",XLOOKUP($F386,Productos!$A:$A,Productos!AR:AR,"Revisar"),"")</f>
        <v/>
      </c>
      <c r="AZ386" s="179" t="str">
        <f t="array" ref="AZ386">IF($F386&lt;&gt;"", XLOOKUP($F386,Productos!$A$2:$A1001,Productos!AS$2:AS1001,"")*$G386,"")</f>
        <v/>
      </c>
      <c r="BA386" s="179" t="str">
        <f t="array" ref="BA386">IF($F386&lt;&gt;"",XLOOKUP($F386,Productos!$A:$A,Productos!AT:AT,"Revisar"),"")</f>
        <v/>
      </c>
      <c r="BB386" s="179" t="str">
        <f t="array" ref="BB386">IF($F386&lt;&gt;"", XLOOKUP($F386,Productos!$A$2:$A1001,Productos!AU$2:AU1001,"")*$G386,"")</f>
        <v/>
      </c>
      <c r="BC386" s="179" t="str">
        <f t="array" ref="BC386">IF($F386&lt;&gt;"",XLOOKUP($F386,Productos!$A:$A,Productos!AV:AV,"Revisar"),"")</f>
        <v/>
      </c>
      <c r="BD386" s="179" t="str">
        <f t="array" ref="BD386">IF($F386&lt;&gt;"", XLOOKUP($F386,Productos!$A$2:$A1001,Productos!AW$2:AW1001,"")*$G386,"")</f>
        <v/>
      </c>
      <c r="BE386" s="179" t="str">
        <f t="array" ref="BE386">IF($F386&lt;&gt;"",XLOOKUP($F386,Productos!$A:$A,Productos!AX:AX,"Revisar"),"")</f>
        <v/>
      </c>
      <c r="BF386" s="179" t="str">
        <f t="array" ref="BF386">IF($F386&lt;&gt;"", XLOOKUP($F386,Productos!$A$2:$A1001,Productos!AY$2:AY1001,"")*$G386,"")</f>
        <v/>
      </c>
      <c r="BG386" s="179" t="str">
        <f t="array" ref="BG386">IF($F386&lt;&gt;"",XLOOKUP($F386,Productos!$A:$A,Productos!AZ:AZ,"Revisar"),"")</f>
        <v/>
      </c>
      <c r="BH386" s="179" t="str">
        <f t="array" ref="BH386">IF($F386&lt;&gt;"", XLOOKUP($F386,Productos!$A$2:$A1001,Productos!BA$2:BA1001,"")*$G386,"")</f>
        <v/>
      </c>
      <c r="BI386" s="179" t="str">
        <f t="array" ref="BI386">IF($F386&lt;&gt;"",XLOOKUP($F386,Productos!$A:$A,Productos!BB:BB,"Revisar"),"")</f>
        <v/>
      </c>
      <c r="BJ386" s="179" t="str">
        <f t="array" ref="BJ386">IF($F386&lt;&gt;"", XLOOKUP($F386,Productos!$A$2:$A1001,Productos!BC$2:BC1001,"")*$G386,"")</f>
        <v/>
      </c>
      <c r="BK386" s="179" t="str">
        <f t="array" ref="BK386">IF($F386&lt;&gt;"",XLOOKUP($F386,Productos!$A:$A,Productos!BD:BD,"Revisar"),"")</f>
        <v/>
      </c>
      <c r="BL386" s="179" t="str">
        <f t="array" ref="BL386">IF($F386&lt;&gt;"", XLOOKUP($F386,Productos!$A$2:$A1001,Productos!BE$2:BE1001,"")*$G386,"")</f>
        <v/>
      </c>
      <c r="BM386" s="179" t="str">
        <f t="array" ref="BM386">IF($F386&lt;&gt;"",XLOOKUP($F386,Productos!$A:$A,Productos!BF:BF,"Revisar"),"")</f>
        <v/>
      </c>
      <c r="BN386" s="179" t="str">
        <f t="array" ref="BN386">IF($F386&lt;&gt;"", XLOOKUP($F386,Productos!$A$2:$A1001,Productos!BG$2:BG1001,"")*$G386,"")</f>
        <v/>
      </c>
      <c r="BO386" s="179" t="str">
        <f t="array" ref="BO386">IF($F386&lt;&gt;"",XLOOKUP($F386,Productos!$A:$A,Productos!BH:BH,"Revisar"),"")</f>
        <v/>
      </c>
      <c r="BP386" s="179" t="str">
        <f t="array" ref="BP386">IF($F386&lt;&gt;"", XLOOKUP($F386,Productos!$A$2:$A1001,Productos!BI$2:BI1001,"")*$G386,"")</f>
        <v/>
      </c>
      <c r="BQ386" s="179" t="str">
        <f t="array" ref="BQ386">IF($F386&lt;&gt;"",XLOOKUP($F386,Productos!$A:$A,Productos!BJ:BJ,"Revisar"),"")</f>
        <v/>
      </c>
      <c r="BR386" s="179" t="str">
        <f t="array" ref="BR386">IF($F386&lt;&gt;"", XLOOKUP($F386,Productos!$A$2:$A1001,Productos!BK$2:BK1001,"")*$G386,"")</f>
        <v/>
      </c>
      <c r="BS386" s="179" t="str">
        <f t="array" ref="BS386">IF($F386&lt;&gt;"",XLOOKUP($F386,Productos!$A:$A,Productos!BL:BL,"Revisar"),"")</f>
        <v/>
      </c>
      <c r="BT386" s="179" t="str">
        <f t="array" ref="BT386">IF($F386&lt;&gt;"", XLOOKUP($F386,Productos!$A$2:$A1001,Productos!BM$2:BM1001,"")*$G386,"")</f>
        <v/>
      </c>
      <c r="BU386" s="179" t="str">
        <f t="array" ref="BU386">IF($F386&lt;&gt;"",XLOOKUP($F386,Productos!$A:$A,Productos!BN:BN,"Revisar"),"")</f>
        <v/>
      </c>
      <c r="BV386" s="179" t="str">
        <f t="array" ref="BV386">IF($F386&lt;&gt;"", XLOOKUP($F386,Productos!$A$2:$A1001,Productos!BO$2:BO1001,"")*$G386,"")</f>
        <v/>
      </c>
      <c r="BW386" s="179" t="str">
        <f t="array" ref="BW386">IF($F386&lt;&gt;"",XLOOKUP($F386,Productos!$A:$A,Productos!BP:BP,"Revisar"),"")</f>
        <v/>
      </c>
      <c r="BX386" s="179" t="str">
        <f t="array" ref="BX386">IF($F386&lt;&gt;"", XLOOKUP($F386,Productos!$A$2:$A1001,Productos!BQ$2:BQ1001,"")*$G386,"")</f>
        <v/>
      </c>
      <c r="BY386" s="179" t="str">
        <f t="array" ref="BY386">IF($F386&lt;&gt;"",XLOOKUP($F386,Productos!$A:$A,Productos!BR:BR,"Revisar"),"")</f>
        <v/>
      </c>
      <c r="BZ386" s="179" t="str">
        <f t="array" ref="BZ386">IF($F386&lt;&gt;"", XLOOKUP($F386,Productos!$A$2:$A1001,Productos!BS$2:BS1001,"")*$G386,"")</f>
        <v/>
      </c>
    </row>
    <row r="387">
      <c r="A387" s="188"/>
      <c r="B387" s="189"/>
      <c r="C387" s="190"/>
      <c r="D387" s="190"/>
      <c r="E387" s="191"/>
      <c r="F387" s="186"/>
      <c r="G387" s="192"/>
      <c r="H387" s="9"/>
      <c r="I387" s="179" t="str">
        <f t="array" ref="I387">IF($F387&lt;&gt;"",XLOOKUP($F387,Productos!$A:$A,Productos!B:B,"Revisar"),"")</f>
        <v/>
      </c>
      <c r="J387" s="179" t="str">
        <f t="array" ref="J387">IF($F387&lt;&gt;"", XLOOKUP($F387,Productos!$A$2:$A1001,Productos!C$2:C1001,"")*$G387,"")</f>
        <v/>
      </c>
      <c r="K387" s="179" t="str">
        <f t="array" ref="K387">IF($F387&lt;&gt;"",XLOOKUP($F387,Productos!$A:$A,Productos!D:D,"Revisar"),"")</f>
        <v/>
      </c>
      <c r="L387" s="179" t="str">
        <f t="array" ref="L387">IF($F387&lt;&gt;"", XLOOKUP($F387,Productos!$A$2:$A1001,Productos!E$2:E1001,"")*$G387,"")</f>
        <v/>
      </c>
      <c r="M387" s="179" t="str">
        <f t="array" ref="M387">IF($F387&lt;&gt;"",XLOOKUP($F387,Productos!$A:$A,Productos!F:F,"Revisar"),"")</f>
        <v/>
      </c>
      <c r="N387" s="179" t="str">
        <f t="array" ref="N387">IF($F387&lt;&gt;"", XLOOKUP($F387,Productos!$A$2:$A1001,Productos!G$2:G1001,"")*$G387,"")</f>
        <v/>
      </c>
      <c r="O387" s="179" t="str">
        <f t="array" ref="O387">IF($F387&lt;&gt;"",XLOOKUP($F387,Productos!$A:$A,Productos!H:H,"Revisar"),"")</f>
        <v/>
      </c>
      <c r="P387" s="179" t="str">
        <f t="array" ref="P387">IF($F387&lt;&gt;"", XLOOKUP($F387,Productos!$A$2:$A1001,Productos!I$2:I1001,"")*$G387,"")</f>
        <v/>
      </c>
      <c r="Q387" s="179" t="str">
        <f t="array" ref="Q387">IF($F387&lt;&gt;"",XLOOKUP($F387,Productos!$A:$A,Productos!J:J,"Revisar"),"")</f>
        <v/>
      </c>
      <c r="R387" s="179" t="str">
        <f t="array" ref="R387">IF($F387&lt;&gt;"", XLOOKUP($F387,Productos!$A$2:$A1001,Productos!K$2:K1001,"")*$G387,"")</f>
        <v/>
      </c>
      <c r="S387" s="179" t="str">
        <f t="array" ref="S387">IF($F387&lt;&gt;"",XLOOKUP($F387,Productos!$A:$A,Productos!L:L,"Revisar"),"")</f>
        <v/>
      </c>
      <c r="T387" s="179" t="str">
        <f t="array" ref="T387">IF($F387&lt;&gt;"", XLOOKUP($F387,Productos!$A$2:$A1001,Productos!M$2:M1001,"")*$G387,"")</f>
        <v/>
      </c>
      <c r="U387" s="179" t="str">
        <f t="array" ref="U387">IF($F387&lt;&gt;"",XLOOKUP($F387,Productos!$A:$A,Productos!N:N,"Revisar"),"")</f>
        <v/>
      </c>
      <c r="V387" s="179" t="str">
        <f t="array" ref="V387">IF($F387&lt;&gt;"", XLOOKUP($F387,Productos!$A$2:$A1001,Productos!O$2:O1001,"")*$G387,"")</f>
        <v/>
      </c>
      <c r="W387" s="179" t="str">
        <f t="array" ref="W387">IF($F387&lt;&gt;"",XLOOKUP($F387,Productos!$A:$A,Productos!P:P,"Revisar"),"")</f>
        <v/>
      </c>
      <c r="X387" s="179" t="str">
        <f t="array" ref="X387">IF($F387&lt;&gt;"", XLOOKUP($F387,Productos!$A$2:$A1001,Productos!Q$2:Q1001,"")*$G387,"")</f>
        <v/>
      </c>
      <c r="Y387" s="179" t="str">
        <f t="array" ref="Y387">IF($F387&lt;&gt;"",XLOOKUP($F387,Productos!$A:$A,Productos!R:R,"Revisar"),"")</f>
        <v/>
      </c>
      <c r="Z387" s="179" t="str">
        <f t="array" ref="Z387">IF($F387&lt;&gt;"", XLOOKUP($F387,Productos!$A$2:$A1001,Productos!S$2:S1001,"")*$G387,"")</f>
        <v/>
      </c>
      <c r="AA387" s="179" t="str">
        <f t="array" ref="AA387">IF($F387&lt;&gt;"",XLOOKUP($F387,Productos!$A:$A,Productos!T:T,"Revisar"),"")</f>
        <v/>
      </c>
      <c r="AB387" s="179" t="str">
        <f t="array" ref="AB387">IF($F387&lt;&gt;"", XLOOKUP($F387,Productos!$A$2:$A1001,Productos!U$2:U1001,"")*$G387,"")</f>
        <v/>
      </c>
      <c r="AC387" s="179" t="str">
        <f t="array" ref="AC387">IF($F387&lt;&gt;"",XLOOKUP($F387,Productos!$A:$A,Productos!V:V,"Revisar"),"")</f>
        <v/>
      </c>
      <c r="AD387" s="179" t="str">
        <f t="array" ref="AD387">IF($F387&lt;&gt;"", XLOOKUP($F387,Productos!$A$2:$A1001,Productos!W$2:W1001,"")*$G387,"")</f>
        <v/>
      </c>
      <c r="AE387" s="179" t="str">
        <f t="array" ref="AE387">IF($F387&lt;&gt;"",XLOOKUP($F387,Productos!$A:$A,Productos!X:X,"Revisar"),"")</f>
        <v/>
      </c>
      <c r="AF387" s="179" t="str">
        <f t="array" ref="AF387">IF($F387&lt;&gt;"", XLOOKUP($F387,Productos!$A$2:$A1001,Productos!Y$2:Y1001,"")*$G387,"")</f>
        <v/>
      </c>
      <c r="AG387" s="179" t="str">
        <f t="array" ref="AG387">IF($F387&lt;&gt;"",XLOOKUP($F387,Productos!$A:$A,Productos!Z:Z,"Revisar"),"")</f>
        <v/>
      </c>
      <c r="AH387" s="179" t="str">
        <f t="array" ref="AH387">IF($F387&lt;&gt;"", XLOOKUP($F387,Productos!$A$2:$A1001,Productos!AA$2:AA1001,"")*$G387,"")</f>
        <v/>
      </c>
      <c r="AI387" s="179" t="str">
        <f t="array" ref="AI387">IF($F387&lt;&gt;"",XLOOKUP($F387,Productos!$A:$A,Productos!AB:AB,"Revisar"),"")</f>
        <v/>
      </c>
      <c r="AJ387" s="179" t="str">
        <f t="array" ref="AJ387">IF($F387&lt;&gt;"", XLOOKUP($F387,Productos!$A$2:$A1001,Productos!AC$2:AC1001,"")*$G387,"")</f>
        <v/>
      </c>
      <c r="AK387" s="179" t="str">
        <f t="array" ref="AK387">IF($F387&lt;&gt;"",XLOOKUP($F387,Productos!$A:$A,Productos!AD:AD,"Revisar"),"")</f>
        <v/>
      </c>
      <c r="AL387" s="179" t="str">
        <f t="array" ref="AL387">IF($F387&lt;&gt;"", XLOOKUP($F387,Productos!$A$2:$A1001,Productos!AE$2:AE1001,"")*$G387,"")</f>
        <v/>
      </c>
      <c r="AM387" s="179" t="str">
        <f t="array" ref="AM387">IF($F387&lt;&gt;"",XLOOKUP($F387,Productos!$A:$A,Productos!AF:AF,"Revisar"),"")</f>
        <v/>
      </c>
      <c r="AN387" s="179" t="str">
        <f t="array" ref="AN387">IF($F387&lt;&gt;"", XLOOKUP($F387,Productos!$A$2:$A1001,Productos!AG$2:AG1001,"")*$G387,"")</f>
        <v/>
      </c>
      <c r="AO387" s="179" t="str">
        <f t="array" ref="AO387">IF($F387&lt;&gt;"",XLOOKUP($F387,Productos!$A:$A,Productos!AH:AH,"Revisar"),"")</f>
        <v/>
      </c>
      <c r="AP387" s="179" t="str">
        <f t="array" ref="AP387">IF($F387&lt;&gt;"", XLOOKUP($F387,Productos!$A$2:$A1001,Productos!AI$2:AI1001,"")*$G387,"")</f>
        <v/>
      </c>
      <c r="AQ387" s="179" t="str">
        <f t="array" ref="AQ387">IF($F387&lt;&gt;"",XLOOKUP($F387,Productos!$A:$A,Productos!AJ:AJ,"Revisar"),"")</f>
        <v/>
      </c>
      <c r="AR387" s="179" t="str">
        <f t="array" ref="AR387">IF($F387&lt;&gt;"", XLOOKUP($F387,Productos!$A$2:$A1001,Productos!AK$2:AK1001,"")*$G387,"")</f>
        <v/>
      </c>
      <c r="AS387" s="179" t="str">
        <f t="array" ref="AS387">IF($F387&lt;&gt;"",XLOOKUP($F387,Productos!$A:$A,Productos!AL:AL,"Revisar"),"")</f>
        <v/>
      </c>
      <c r="AT387" s="179" t="str">
        <f t="array" ref="AT387">IF($F387&lt;&gt;"", XLOOKUP($F387,Productos!$A$2:$A1001,Productos!AM$2:AM1001,"")*$G387,"")</f>
        <v/>
      </c>
      <c r="AU387" s="179" t="str">
        <f t="array" ref="AU387">IF($F387&lt;&gt;"",XLOOKUP($F387,Productos!$A:$A,Productos!AN:AN,"Revisar"),"")</f>
        <v/>
      </c>
      <c r="AV387" s="179" t="str">
        <f t="array" ref="AV387">IF($F387&lt;&gt;"", XLOOKUP($F387,Productos!$A$2:$A1001,Productos!AO$2:AO1001,"")*$G387,"")</f>
        <v/>
      </c>
      <c r="AW387" s="179" t="str">
        <f t="array" ref="AW387">IF($F387&lt;&gt;"",XLOOKUP($F387,Productos!$A:$A,Productos!AP:AP,"Revisar"),"")</f>
        <v/>
      </c>
      <c r="AX387" s="179" t="str">
        <f t="array" ref="AX387">IF($F387&lt;&gt;"", XLOOKUP($F387,Productos!$A$2:$A1001,Productos!AQ$2:AQ1001,"")*$G387,"")</f>
        <v/>
      </c>
      <c r="AY387" s="179" t="str">
        <f t="array" ref="AY387">IF($F387&lt;&gt;"",XLOOKUP($F387,Productos!$A:$A,Productos!AR:AR,"Revisar"),"")</f>
        <v/>
      </c>
      <c r="AZ387" s="179" t="str">
        <f t="array" ref="AZ387">IF($F387&lt;&gt;"", XLOOKUP($F387,Productos!$A$2:$A1001,Productos!AS$2:AS1001,"")*$G387,"")</f>
        <v/>
      </c>
      <c r="BA387" s="179" t="str">
        <f t="array" ref="BA387">IF($F387&lt;&gt;"",XLOOKUP($F387,Productos!$A:$A,Productos!AT:AT,"Revisar"),"")</f>
        <v/>
      </c>
      <c r="BB387" s="179" t="str">
        <f t="array" ref="BB387">IF($F387&lt;&gt;"", XLOOKUP($F387,Productos!$A$2:$A1001,Productos!AU$2:AU1001,"")*$G387,"")</f>
        <v/>
      </c>
      <c r="BC387" s="179" t="str">
        <f t="array" ref="BC387">IF($F387&lt;&gt;"",XLOOKUP($F387,Productos!$A:$A,Productos!AV:AV,"Revisar"),"")</f>
        <v/>
      </c>
      <c r="BD387" s="179" t="str">
        <f t="array" ref="BD387">IF($F387&lt;&gt;"", XLOOKUP($F387,Productos!$A$2:$A1001,Productos!AW$2:AW1001,"")*$G387,"")</f>
        <v/>
      </c>
      <c r="BE387" s="179" t="str">
        <f t="array" ref="BE387">IF($F387&lt;&gt;"",XLOOKUP($F387,Productos!$A:$A,Productos!AX:AX,"Revisar"),"")</f>
        <v/>
      </c>
      <c r="BF387" s="179" t="str">
        <f t="array" ref="BF387">IF($F387&lt;&gt;"", XLOOKUP($F387,Productos!$A$2:$A1001,Productos!AY$2:AY1001,"")*$G387,"")</f>
        <v/>
      </c>
      <c r="BG387" s="179" t="str">
        <f t="array" ref="BG387">IF($F387&lt;&gt;"",XLOOKUP($F387,Productos!$A:$A,Productos!AZ:AZ,"Revisar"),"")</f>
        <v/>
      </c>
      <c r="BH387" s="179" t="str">
        <f t="array" ref="BH387">IF($F387&lt;&gt;"", XLOOKUP($F387,Productos!$A$2:$A1001,Productos!BA$2:BA1001,"")*$G387,"")</f>
        <v/>
      </c>
      <c r="BI387" s="179" t="str">
        <f t="array" ref="BI387">IF($F387&lt;&gt;"",XLOOKUP($F387,Productos!$A:$A,Productos!BB:BB,"Revisar"),"")</f>
        <v/>
      </c>
      <c r="BJ387" s="179" t="str">
        <f t="array" ref="BJ387">IF($F387&lt;&gt;"", XLOOKUP($F387,Productos!$A$2:$A1001,Productos!BC$2:BC1001,"")*$G387,"")</f>
        <v/>
      </c>
      <c r="BK387" s="179" t="str">
        <f t="array" ref="BK387">IF($F387&lt;&gt;"",XLOOKUP($F387,Productos!$A:$A,Productos!BD:BD,"Revisar"),"")</f>
        <v/>
      </c>
      <c r="BL387" s="179" t="str">
        <f t="array" ref="BL387">IF($F387&lt;&gt;"", XLOOKUP($F387,Productos!$A$2:$A1001,Productos!BE$2:BE1001,"")*$G387,"")</f>
        <v/>
      </c>
      <c r="BM387" s="179" t="str">
        <f t="array" ref="BM387">IF($F387&lt;&gt;"",XLOOKUP($F387,Productos!$A:$A,Productos!BF:BF,"Revisar"),"")</f>
        <v/>
      </c>
      <c r="BN387" s="179" t="str">
        <f t="array" ref="BN387">IF($F387&lt;&gt;"", XLOOKUP($F387,Productos!$A$2:$A1001,Productos!BG$2:BG1001,"")*$G387,"")</f>
        <v/>
      </c>
      <c r="BO387" s="179" t="str">
        <f t="array" ref="BO387">IF($F387&lt;&gt;"",XLOOKUP($F387,Productos!$A:$A,Productos!BH:BH,"Revisar"),"")</f>
        <v/>
      </c>
      <c r="BP387" s="179" t="str">
        <f t="array" ref="BP387">IF($F387&lt;&gt;"", XLOOKUP($F387,Productos!$A$2:$A1001,Productos!BI$2:BI1001,"")*$G387,"")</f>
        <v/>
      </c>
      <c r="BQ387" s="179" t="str">
        <f t="array" ref="BQ387">IF($F387&lt;&gt;"",XLOOKUP($F387,Productos!$A:$A,Productos!BJ:BJ,"Revisar"),"")</f>
        <v/>
      </c>
      <c r="BR387" s="179" t="str">
        <f t="array" ref="BR387">IF($F387&lt;&gt;"", XLOOKUP($F387,Productos!$A$2:$A1001,Productos!BK$2:BK1001,"")*$G387,"")</f>
        <v/>
      </c>
      <c r="BS387" s="179" t="str">
        <f t="array" ref="BS387">IF($F387&lt;&gt;"",XLOOKUP($F387,Productos!$A:$A,Productos!BL:BL,"Revisar"),"")</f>
        <v/>
      </c>
      <c r="BT387" s="179" t="str">
        <f t="array" ref="BT387">IF($F387&lt;&gt;"", XLOOKUP($F387,Productos!$A$2:$A1001,Productos!BM$2:BM1001,"")*$G387,"")</f>
        <v/>
      </c>
      <c r="BU387" s="179" t="str">
        <f t="array" ref="BU387">IF($F387&lt;&gt;"",XLOOKUP($F387,Productos!$A:$A,Productos!BN:BN,"Revisar"),"")</f>
        <v/>
      </c>
      <c r="BV387" s="179" t="str">
        <f t="array" ref="BV387">IF($F387&lt;&gt;"", XLOOKUP($F387,Productos!$A$2:$A1001,Productos!BO$2:BO1001,"")*$G387,"")</f>
        <v/>
      </c>
      <c r="BW387" s="179" t="str">
        <f t="array" ref="BW387">IF($F387&lt;&gt;"",XLOOKUP($F387,Productos!$A:$A,Productos!BP:BP,"Revisar"),"")</f>
        <v/>
      </c>
      <c r="BX387" s="179" t="str">
        <f t="array" ref="BX387">IF($F387&lt;&gt;"", XLOOKUP($F387,Productos!$A$2:$A1001,Productos!BQ$2:BQ1001,"")*$G387,"")</f>
        <v/>
      </c>
      <c r="BY387" s="179" t="str">
        <f t="array" ref="BY387">IF($F387&lt;&gt;"",XLOOKUP($F387,Productos!$A:$A,Productos!BR:BR,"Revisar"),"")</f>
        <v/>
      </c>
      <c r="BZ387" s="179" t="str">
        <f t="array" ref="BZ387">IF($F387&lt;&gt;"", XLOOKUP($F387,Productos!$A$2:$A1001,Productos!BS$2:BS1001,"")*$G387,"")</f>
        <v/>
      </c>
    </row>
    <row r="388">
      <c r="A388" s="188"/>
      <c r="B388" s="189"/>
      <c r="C388" s="190"/>
      <c r="D388" s="190"/>
      <c r="E388" s="191"/>
      <c r="F388" s="186"/>
      <c r="G388" s="192"/>
      <c r="H388" s="9"/>
      <c r="I388" s="179" t="str">
        <f t="array" ref="I388">IF($F388&lt;&gt;"",XLOOKUP($F388,Productos!$A:$A,Productos!B:B,"Revisar"),"")</f>
        <v/>
      </c>
      <c r="J388" s="179" t="str">
        <f t="array" ref="J388">IF($F388&lt;&gt;"", XLOOKUP($F388,Productos!$A$2:$A1001,Productos!C$2:C1001,"")*$G388,"")</f>
        <v/>
      </c>
      <c r="K388" s="179" t="str">
        <f t="array" ref="K388">IF($F388&lt;&gt;"",XLOOKUP($F388,Productos!$A:$A,Productos!D:D,"Revisar"),"")</f>
        <v/>
      </c>
      <c r="L388" s="179" t="str">
        <f t="array" ref="L388">IF($F388&lt;&gt;"", XLOOKUP($F388,Productos!$A$2:$A1001,Productos!E$2:E1001,"")*$G388,"")</f>
        <v/>
      </c>
      <c r="M388" s="179" t="str">
        <f t="array" ref="M388">IF($F388&lt;&gt;"",XLOOKUP($F388,Productos!$A:$A,Productos!F:F,"Revisar"),"")</f>
        <v/>
      </c>
      <c r="N388" s="179" t="str">
        <f t="array" ref="N388">IF($F388&lt;&gt;"", XLOOKUP($F388,Productos!$A$2:$A1001,Productos!G$2:G1001,"")*$G388,"")</f>
        <v/>
      </c>
      <c r="O388" s="179" t="str">
        <f t="array" ref="O388">IF($F388&lt;&gt;"",XLOOKUP($F388,Productos!$A:$A,Productos!H:H,"Revisar"),"")</f>
        <v/>
      </c>
      <c r="P388" s="179" t="str">
        <f t="array" ref="P388">IF($F388&lt;&gt;"", XLOOKUP($F388,Productos!$A$2:$A1001,Productos!I$2:I1001,"")*$G388,"")</f>
        <v/>
      </c>
      <c r="Q388" s="179" t="str">
        <f t="array" ref="Q388">IF($F388&lt;&gt;"",XLOOKUP($F388,Productos!$A:$A,Productos!J:J,"Revisar"),"")</f>
        <v/>
      </c>
      <c r="R388" s="179" t="str">
        <f t="array" ref="R388">IF($F388&lt;&gt;"", XLOOKUP($F388,Productos!$A$2:$A1001,Productos!K$2:K1001,"")*$G388,"")</f>
        <v/>
      </c>
      <c r="S388" s="179" t="str">
        <f t="array" ref="S388">IF($F388&lt;&gt;"",XLOOKUP($F388,Productos!$A:$A,Productos!L:L,"Revisar"),"")</f>
        <v/>
      </c>
      <c r="T388" s="179" t="str">
        <f t="array" ref="T388">IF($F388&lt;&gt;"", XLOOKUP($F388,Productos!$A$2:$A1001,Productos!M$2:M1001,"")*$G388,"")</f>
        <v/>
      </c>
      <c r="U388" s="179" t="str">
        <f t="array" ref="U388">IF($F388&lt;&gt;"",XLOOKUP($F388,Productos!$A:$A,Productos!N:N,"Revisar"),"")</f>
        <v/>
      </c>
      <c r="V388" s="179" t="str">
        <f t="array" ref="V388">IF($F388&lt;&gt;"", XLOOKUP($F388,Productos!$A$2:$A1001,Productos!O$2:O1001,"")*$G388,"")</f>
        <v/>
      </c>
      <c r="W388" s="179" t="str">
        <f t="array" ref="W388">IF($F388&lt;&gt;"",XLOOKUP($F388,Productos!$A:$A,Productos!P:P,"Revisar"),"")</f>
        <v/>
      </c>
      <c r="X388" s="179" t="str">
        <f t="array" ref="X388">IF($F388&lt;&gt;"", XLOOKUP($F388,Productos!$A$2:$A1001,Productos!Q$2:Q1001,"")*$G388,"")</f>
        <v/>
      </c>
      <c r="Y388" s="179" t="str">
        <f t="array" ref="Y388">IF($F388&lt;&gt;"",XLOOKUP($F388,Productos!$A:$A,Productos!R:R,"Revisar"),"")</f>
        <v/>
      </c>
      <c r="Z388" s="179" t="str">
        <f t="array" ref="Z388">IF($F388&lt;&gt;"", XLOOKUP($F388,Productos!$A$2:$A1001,Productos!S$2:S1001,"")*$G388,"")</f>
        <v/>
      </c>
      <c r="AA388" s="179" t="str">
        <f t="array" ref="AA388">IF($F388&lt;&gt;"",XLOOKUP($F388,Productos!$A:$A,Productos!T:T,"Revisar"),"")</f>
        <v/>
      </c>
      <c r="AB388" s="179" t="str">
        <f t="array" ref="AB388">IF($F388&lt;&gt;"", XLOOKUP($F388,Productos!$A$2:$A1001,Productos!U$2:U1001,"")*$G388,"")</f>
        <v/>
      </c>
      <c r="AC388" s="179" t="str">
        <f t="array" ref="AC388">IF($F388&lt;&gt;"",XLOOKUP($F388,Productos!$A:$A,Productos!V:V,"Revisar"),"")</f>
        <v/>
      </c>
      <c r="AD388" s="179" t="str">
        <f t="array" ref="AD388">IF($F388&lt;&gt;"", XLOOKUP($F388,Productos!$A$2:$A1001,Productos!W$2:W1001,"")*$G388,"")</f>
        <v/>
      </c>
      <c r="AE388" s="179" t="str">
        <f t="array" ref="AE388">IF($F388&lt;&gt;"",XLOOKUP($F388,Productos!$A:$A,Productos!X:X,"Revisar"),"")</f>
        <v/>
      </c>
      <c r="AF388" s="179" t="str">
        <f t="array" ref="AF388">IF($F388&lt;&gt;"", XLOOKUP($F388,Productos!$A$2:$A1001,Productos!Y$2:Y1001,"")*$G388,"")</f>
        <v/>
      </c>
      <c r="AG388" s="179" t="str">
        <f t="array" ref="AG388">IF($F388&lt;&gt;"",XLOOKUP($F388,Productos!$A:$A,Productos!Z:Z,"Revisar"),"")</f>
        <v/>
      </c>
      <c r="AH388" s="179" t="str">
        <f t="array" ref="AH388">IF($F388&lt;&gt;"", XLOOKUP($F388,Productos!$A$2:$A1001,Productos!AA$2:AA1001,"")*$G388,"")</f>
        <v/>
      </c>
      <c r="AI388" s="179" t="str">
        <f t="array" ref="AI388">IF($F388&lt;&gt;"",XLOOKUP($F388,Productos!$A:$A,Productos!AB:AB,"Revisar"),"")</f>
        <v/>
      </c>
      <c r="AJ388" s="179" t="str">
        <f t="array" ref="AJ388">IF($F388&lt;&gt;"", XLOOKUP($F388,Productos!$A$2:$A1001,Productos!AC$2:AC1001,"")*$G388,"")</f>
        <v/>
      </c>
      <c r="AK388" s="179" t="str">
        <f t="array" ref="AK388">IF($F388&lt;&gt;"",XLOOKUP($F388,Productos!$A:$A,Productos!AD:AD,"Revisar"),"")</f>
        <v/>
      </c>
      <c r="AL388" s="179" t="str">
        <f t="array" ref="AL388">IF($F388&lt;&gt;"", XLOOKUP($F388,Productos!$A$2:$A1001,Productos!AE$2:AE1001,"")*$G388,"")</f>
        <v/>
      </c>
      <c r="AM388" s="179" t="str">
        <f t="array" ref="AM388">IF($F388&lt;&gt;"",XLOOKUP($F388,Productos!$A:$A,Productos!AF:AF,"Revisar"),"")</f>
        <v/>
      </c>
      <c r="AN388" s="179" t="str">
        <f t="array" ref="AN388">IF($F388&lt;&gt;"", XLOOKUP($F388,Productos!$A$2:$A1001,Productos!AG$2:AG1001,"")*$G388,"")</f>
        <v/>
      </c>
      <c r="AO388" s="179" t="str">
        <f t="array" ref="AO388">IF($F388&lt;&gt;"",XLOOKUP($F388,Productos!$A:$A,Productos!AH:AH,"Revisar"),"")</f>
        <v/>
      </c>
      <c r="AP388" s="179" t="str">
        <f t="array" ref="AP388">IF($F388&lt;&gt;"", XLOOKUP($F388,Productos!$A$2:$A1001,Productos!AI$2:AI1001,"")*$G388,"")</f>
        <v/>
      </c>
      <c r="AQ388" s="179" t="str">
        <f t="array" ref="AQ388">IF($F388&lt;&gt;"",XLOOKUP($F388,Productos!$A:$A,Productos!AJ:AJ,"Revisar"),"")</f>
        <v/>
      </c>
      <c r="AR388" s="179" t="str">
        <f t="array" ref="AR388">IF($F388&lt;&gt;"", XLOOKUP($F388,Productos!$A$2:$A1001,Productos!AK$2:AK1001,"")*$G388,"")</f>
        <v/>
      </c>
      <c r="AS388" s="179" t="str">
        <f t="array" ref="AS388">IF($F388&lt;&gt;"",XLOOKUP($F388,Productos!$A:$A,Productos!AL:AL,"Revisar"),"")</f>
        <v/>
      </c>
      <c r="AT388" s="179" t="str">
        <f t="array" ref="AT388">IF($F388&lt;&gt;"", XLOOKUP($F388,Productos!$A$2:$A1001,Productos!AM$2:AM1001,"")*$G388,"")</f>
        <v/>
      </c>
      <c r="AU388" s="179" t="str">
        <f t="array" ref="AU388">IF($F388&lt;&gt;"",XLOOKUP($F388,Productos!$A:$A,Productos!AN:AN,"Revisar"),"")</f>
        <v/>
      </c>
      <c r="AV388" s="179" t="str">
        <f t="array" ref="AV388">IF($F388&lt;&gt;"", XLOOKUP($F388,Productos!$A$2:$A1001,Productos!AO$2:AO1001,"")*$G388,"")</f>
        <v/>
      </c>
      <c r="AW388" s="179" t="str">
        <f t="array" ref="AW388">IF($F388&lt;&gt;"",XLOOKUP($F388,Productos!$A:$A,Productos!AP:AP,"Revisar"),"")</f>
        <v/>
      </c>
      <c r="AX388" s="179" t="str">
        <f t="array" ref="AX388">IF($F388&lt;&gt;"", XLOOKUP($F388,Productos!$A$2:$A1001,Productos!AQ$2:AQ1001,"")*$G388,"")</f>
        <v/>
      </c>
      <c r="AY388" s="179" t="str">
        <f t="array" ref="AY388">IF($F388&lt;&gt;"",XLOOKUP($F388,Productos!$A:$A,Productos!AR:AR,"Revisar"),"")</f>
        <v/>
      </c>
      <c r="AZ388" s="179" t="str">
        <f t="array" ref="AZ388">IF($F388&lt;&gt;"", XLOOKUP($F388,Productos!$A$2:$A1001,Productos!AS$2:AS1001,"")*$G388,"")</f>
        <v/>
      </c>
      <c r="BA388" s="179" t="str">
        <f t="array" ref="BA388">IF($F388&lt;&gt;"",XLOOKUP($F388,Productos!$A:$A,Productos!AT:AT,"Revisar"),"")</f>
        <v/>
      </c>
      <c r="BB388" s="179" t="str">
        <f t="array" ref="BB388">IF($F388&lt;&gt;"", XLOOKUP($F388,Productos!$A$2:$A1001,Productos!AU$2:AU1001,"")*$G388,"")</f>
        <v/>
      </c>
      <c r="BC388" s="179" t="str">
        <f t="array" ref="BC388">IF($F388&lt;&gt;"",XLOOKUP($F388,Productos!$A:$A,Productos!AV:AV,"Revisar"),"")</f>
        <v/>
      </c>
      <c r="BD388" s="179" t="str">
        <f t="array" ref="BD388">IF($F388&lt;&gt;"", XLOOKUP($F388,Productos!$A$2:$A1001,Productos!AW$2:AW1001,"")*$G388,"")</f>
        <v/>
      </c>
      <c r="BE388" s="179" t="str">
        <f t="array" ref="BE388">IF($F388&lt;&gt;"",XLOOKUP($F388,Productos!$A:$A,Productos!AX:AX,"Revisar"),"")</f>
        <v/>
      </c>
      <c r="BF388" s="179" t="str">
        <f t="array" ref="BF388">IF($F388&lt;&gt;"", XLOOKUP($F388,Productos!$A$2:$A1001,Productos!AY$2:AY1001,"")*$G388,"")</f>
        <v/>
      </c>
      <c r="BG388" s="179" t="str">
        <f t="array" ref="BG388">IF($F388&lt;&gt;"",XLOOKUP($F388,Productos!$A:$A,Productos!AZ:AZ,"Revisar"),"")</f>
        <v/>
      </c>
      <c r="BH388" s="179" t="str">
        <f t="array" ref="BH388">IF($F388&lt;&gt;"", XLOOKUP($F388,Productos!$A$2:$A1001,Productos!BA$2:BA1001,"")*$G388,"")</f>
        <v/>
      </c>
      <c r="BI388" s="179" t="str">
        <f t="array" ref="BI388">IF($F388&lt;&gt;"",XLOOKUP($F388,Productos!$A:$A,Productos!BB:BB,"Revisar"),"")</f>
        <v/>
      </c>
      <c r="BJ388" s="179" t="str">
        <f t="array" ref="BJ388">IF($F388&lt;&gt;"", XLOOKUP($F388,Productos!$A$2:$A1001,Productos!BC$2:BC1001,"")*$G388,"")</f>
        <v/>
      </c>
      <c r="BK388" s="179" t="str">
        <f t="array" ref="BK388">IF($F388&lt;&gt;"",XLOOKUP($F388,Productos!$A:$A,Productos!BD:BD,"Revisar"),"")</f>
        <v/>
      </c>
      <c r="BL388" s="179" t="str">
        <f t="array" ref="BL388">IF($F388&lt;&gt;"", XLOOKUP($F388,Productos!$A$2:$A1001,Productos!BE$2:BE1001,"")*$G388,"")</f>
        <v/>
      </c>
      <c r="BM388" s="179" t="str">
        <f t="array" ref="BM388">IF($F388&lt;&gt;"",XLOOKUP($F388,Productos!$A:$A,Productos!BF:BF,"Revisar"),"")</f>
        <v/>
      </c>
      <c r="BN388" s="179" t="str">
        <f t="array" ref="BN388">IF($F388&lt;&gt;"", XLOOKUP($F388,Productos!$A$2:$A1001,Productos!BG$2:BG1001,"")*$G388,"")</f>
        <v/>
      </c>
      <c r="BO388" s="179" t="str">
        <f t="array" ref="BO388">IF($F388&lt;&gt;"",XLOOKUP($F388,Productos!$A:$A,Productos!BH:BH,"Revisar"),"")</f>
        <v/>
      </c>
      <c r="BP388" s="179" t="str">
        <f t="array" ref="BP388">IF($F388&lt;&gt;"", XLOOKUP($F388,Productos!$A$2:$A1001,Productos!BI$2:BI1001,"")*$G388,"")</f>
        <v/>
      </c>
      <c r="BQ388" s="179" t="str">
        <f t="array" ref="BQ388">IF($F388&lt;&gt;"",XLOOKUP($F388,Productos!$A:$A,Productos!BJ:BJ,"Revisar"),"")</f>
        <v/>
      </c>
      <c r="BR388" s="179" t="str">
        <f t="array" ref="BR388">IF($F388&lt;&gt;"", XLOOKUP($F388,Productos!$A$2:$A1001,Productos!BK$2:BK1001,"")*$G388,"")</f>
        <v/>
      </c>
      <c r="BS388" s="179" t="str">
        <f t="array" ref="BS388">IF($F388&lt;&gt;"",XLOOKUP($F388,Productos!$A:$A,Productos!BL:BL,"Revisar"),"")</f>
        <v/>
      </c>
      <c r="BT388" s="179" t="str">
        <f t="array" ref="BT388">IF($F388&lt;&gt;"", XLOOKUP($F388,Productos!$A$2:$A1001,Productos!BM$2:BM1001,"")*$G388,"")</f>
        <v/>
      </c>
      <c r="BU388" s="179" t="str">
        <f t="array" ref="BU388">IF($F388&lt;&gt;"",XLOOKUP($F388,Productos!$A:$A,Productos!BN:BN,"Revisar"),"")</f>
        <v/>
      </c>
      <c r="BV388" s="179" t="str">
        <f t="array" ref="BV388">IF($F388&lt;&gt;"", XLOOKUP($F388,Productos!$A$2:$A1001,Productos!BO$2:BO1001,"")*$G388,"")</f>
        <v/>
      </c>
      <c r="BW388" s="179" t="str">
        <f t="array" ref="BW388">IF($F388&lt;&gt;"",XLOOKUP($F388,Productos!$A:$A,Productos!BP:BP,"Revisar"),"")</f>
        <v/>
      </c>
      <c r="BX388" s="179" t="str">
        <f t="array" ref="BX388">IF($F388&lt;&gt;"", XLOOKUP($F388,Productos!$A$2:$A1001,Productos!BQ$2:BQ1001,"")*$G388,"")</f>
        <v/>
      </c>
      <c r="BY388" s="179" t="str">
        <f t="array" ref="BY388">IF($F388&lt;&gt;"",XLOOKUP($F388,Productos!$A:$A,Productos!BR:BR,"Revisar"),"")</f>
        <v/>
      </c>
      <c r="BZ388" s="179" t="str">
        <f t="array" ref="BZ388">IF($F388&lt;&gt;"", XLOOKUP($F388,Productos!$A$2:$A1001,Productos!BS$2:BS1001,"")*$G388,"")</f>
        <v/>
      </c>
    </row>
    <row r="389">
      <c r="A389" s="188"/>
      <c r="B389" s="189"/>
      <c r="C389" s="190"/>
      <c r="D389" s="190"/>
      <c r="E389" s="191"/>
      <c r="F389" s="186"/>
      <c r="G389" s="192"/>
      <c r="H389" s="9"/>
      <c r="I389" s="179" t="str">
        <f t="array" ref="I389">IF($F389&lt;&gt;"",XLOOKUP($F389,Productos!$A:$A,Productos!B:B,"Revisar"),"")</f>
        <v/>
      </c>
      <c r="J389" s="179" t="str">
        <f t="array" ref="J389">IF($F389&lt;&gt;"", XLOOKUP($F389,Productos!$A$2:$A1001,Productos!C$2:C1001,"")*$G389,"")</f>
        <v/>
      </c>
      <c r="K389" s="179" t="str">
        <f t="array" ref="K389">IF($F389&lt;&gt;"",XLOOKUP($F389,Productos!$A:$A,Productos!D:D,"Revisar"),"")</f>
        <v/>
      </c>
      <c r="L389" s="179" t="str">
        <f t="array" ref="L389">IF($F389&lt;&gt;"", XLOOKUP($F389,Productos!$A$2:$A1001,Productos!E$2:E1001,"")*$G389,"")</f>
        <v/>
      </c>
      <c r="M389" s="179" t="str">
        <f t="array" ref="M389">IF($F389&lt;&gt;"",XLOOKUP($F389,Productos!$A:$A,Productos!F:F,"Revisar"),"")</f>
        <v/>
      </c>
      <c r="N389" s="179" t="str">
        <f t="array" ref="N389">IF($F389&lt;&gt;"", XLOOKUP($F389,Productos!$A$2:$A1001,Productos!G$2:G1001,"")*$G389,"")</f>
        <v/>
      </c>
      <c r="O389" s="179" t="str">
        <f t="array" ref="O389">IF($F389&lt;&gt;"",XLOOKUP($F389,Productos!$A:$A,Productos!H:H,"Revisar"),"")</f>
        <v/>
      </c>
      <c r="P389" s="179" t="str">
        <f t="array" ref="P389">IF($F389&lt;&gt;"", XLOOKUP($F389,Productos!$A$2:$A1001,Productos!I$2:I1001,"")*$G389,"")</f>
        <v/>
      </c>
      <c r="Q389" s="179" t="str">
        <f t="array" ref="Q389">IF($F389&lt;&gt;"",XLOOKUP($F389,Productos!$A:$A,Productos!J:J,"Revisar"),"")</f>
        <v/>
      </c>
      <c r="R389" s="179" t="str">
        <f t="array" ref="R389">IF($F389&lt;&gt;"", XLOOKUP($F389,Productos!$A$2:$A1001,Productos!K$2:K1001,"")*$G389,"")</f>
        <v/>
      </c>
      <c r="S389" s="179" t="str">
        <f t="array" ref="S389">IF($F389&lt;&gt;"",XLOOKUP($F389,Productos!$A:$A,Productos!L:L,"Revisar"),"")</f>
        <v/>
      </c>
      <c r="T389" s="179" t="str">
        <f t="array" ref="T389">IF($F389&lt;&gt;"", XLOOKUP($F389,Productos!$A$2:$A1001,Productos!M$2:M1001,"")*$G389,"")</f>
        <v/>
      </c>
      <c r="U389" s="179" t="str">
        <f t="array" ref="U389">IF($F389&lt;&gt;"",XLOOKUP($F389,Productos!$A:$A,Productos!N:N,"Revisar"),"")</f>
        <v/>
      </c>
      <c r="V389" s="179" t="str">
        <f t="array" ref="V389">IF($F389&lt;&gt;"", XLOOKUP($F389,Productos!$A$2:$A1001,Productos!O$2:O1001,"")*$G389,"")</f>
        <v/>
      </c>
      <c r="W389" s="179" t="str">
        <f t="array" ref="W389">IF($F389&lt;&gt;"",XLOOKUP($F389,Productos!$A:$A,Productos!P:P,"Revisar"),"")</f>
        <v/>
      </c>
      <c r="X389" s="179" t="str">
        <f t="array" ref="X389">IF($F389&lt;&gt;"", XLOOKUP($F389,Productos!$A$2:$A1001,Productos!Q$2:Q1001,"")*$G389,"")</f>
        <v/>
      </c>
      <c r="Y389" s="179" t="str">
        <f t="array" ref="Y389">IF($F389&lt;&gt;"",XLOOKUP($F389,Productos!$A:$A,Productos!R:R,"Revisar"),"")</f>
        <v/>
      </c>
      <c r="Z389" s="179" t="str">
        <f t="array" ref="Z389">IF($F389&lt;&gt;"", XLOOKUP($F389,Productos!$A$2:$A1001,Productos!S$2:S1001,"")*$G389,"")</f>
        <v/>
      </c>
      <c r="AA389" s="179" t="str">
        <f t="array" ref="AA389">IF($F389&lt;&gt;"",XLOOKUP($F389,Productos!$A:$A,Productos!T:T,"Revisar"),"")</f>
        <v/>
      </c>
      <c r="AB389" s="179" t="str">
        <f t="array" ref="AB389">IF($F389&lt;&gt;"", XLOOKUP($F389,Productos!$A$2:$A1001,Productos!U$2:U1001,"")*$G389,"")</f>
        <v/>
      </c>
      <c r="AC389" s="179" t="str">
        <f t="array" ref="AC389">IF($F389&lt;&gt;"",XLOOKUP($F389,Productos!$A:$A,Productos!V:V,"Revisar"),"")</f>
        <v/>
      </c>
      <c r="AD389" s="179" t="str">
        <f t="array" ref="AD389">IF($F389&lt;&gt;"", XLOOKUP($F389,Productos!$A$2:$A1001,Productos!W$2:W1001,"")*$G389,"")</f>
        <v/>
      </c>
      <c r="AE389" s="179" t="str">
        <f t="array" ref="AE389">IF($F389&lt;&gt;"",XLOOKUP($F389,Productos!$A:$A,Productos!X:X,"Revisar"),"")</f>
        <v/>
      </c>
      <c r="AF389" s="179" t="str">
        <f t="array" ref="AF389">IF($F389&lt;&gt;"", XLOOKUP($F389,Productos!$A$2:$A1001,Productos!Y$2:Y1001,"")*$G389,"")</f>
        <v/>
      </c>
      <c r="AG389" s="179" t="str">
        <f t="array" ref="AG389">IF($F389&lt;&gt;"",XLOOKUP($F389,Productos!$A:$A,Productos!Z:Z,"Revisar"),"")</f>
        <v/>
      </c>
      <c r="AH389" s="179" t="str">
        <f t="array" ref="AH389">IF($F389&lt;&gt;"", XLOOKUP($F389,Productos!$A$2:$A1001,Productos!AA$2:AA1001,"")*$G389,"")</f>
        <v/>
      </c>
      <c r="AI389" s="179" t="str">
        <f t="array" ref="AI389">IF($F389&lt;&gt;"",XLOOKUP($F389,Productos!$A:$A,Productos!AB:AB,"Revisar"),"")</f>
        <v/>
      </c>
      <c r="AJ389" s="179" t="str">
        <f t="array" ref="AJ389">IF($F389&lt;&gt;"", XLOOKUP($F389,Productos!$A$2:$A1001,Productos!AC$2:AC1001,"")*$G389,"")</f>
        <v/>
      </c>
      <c r="AK389" s="179" t="str">
        <f t="array" ref="AK389">IF($F389&lt;&gt;"",XLOOKUP($F389,Productos!$A:$A,Productos!AD:AD,"Revisar"),"")</f>
        <v/>
      </c>
      <c r="AL389" s="179" t="str">
        <f t="array" ref="AL389">IF($F389&lt;&gt;"", XLOOKUP($F389,Productos!$A$2:$A1001,Productos!AE$2:AE1001,"")*$G389,"")</f>
        <v/>
      </c>
      <c r="AM389" s="179" t="str">
        <f t="array" ref="AM389">IF($F389&lt;&gt;"",XLOOKUP($F389,Productos!$A:$A,Productos!AF:AF,"Revisar"),"")</f>
        <v/>
      </c>
      <c r="AN389" s="179" t="str">
        <f t="array" ref="AN389">IF($F389&lt;&gt;"", XLOOKUP($F389,Productos!$A$2:$A1001,Productos!AG$2:AG1001,"")*$G389,"")</f>
        <v/>
      </c>
      <c r="AO389" s="179" t="str">
        <f t="array" ref="AO389">IF($F389&lt;&gt;"",XLOOKUP($F389,Productos!$A:$A,Productos!AH:AH,"Revisar"),"")</f>
        <v/>
      </c>
      <c r="AP389" s="179" t="str">
        <f t="array" ref="AP389">IF($F389&lt;&gt;"", XLOOKUP($F389,Productos!$A$2:$A1001,Productos!AI$2:AI1001,"")*$G389,"")</f>
        <v/>
      </c>
      <c r="AQ389" s="179" t="str">
        <f t="array" ref="AQ389">IF($F389&lt;&gt;"",XLOOKUP($F389,Productos!$A:$A,Productos!AJ:AJ,"Revisar"),"")</f>
        <v/>
      </c>
      <c r="AR389" s="179" t="str">
        <f t="array" ref="AR389">IF($F389&lt;&gt;"", XLOOKUP($F389,Productos!$A$2:$A1001,Productos!AK$2:AK1001,"")*$G389,"")</f>
        <v/>
      </c>
      <c r="AS389" s="179" t="str">
        <f t="array" ref="AS389">IF($F389&lt;&gt;"",XLOOKUP($F389,Productos!$A:$A,Productos!AL:AL,"Revisar"),"")</f>
        <v/>
      </c>
      <c r="AT389" s="179" t="str">
        <f t="array" ref="AT389">IF($F389&lt;&gt;"", XLOOKUP($F389,Productos!$A$2:$A1001,Productos!AM$2:AM1001,"")*$G389,"")</f>
        <v/>
      </c>
      <c r="AU389" s="179" t="str">
        <f t="array" ref="AU389">IF($F389&lt;&gt;"",XLOOKUP($F389,Productos!$A:$A,Productos!AN:AN,"Revisar"),"")</f>
        <v/>
      </c>
      <c r="AV389" s="179" t="str">
        <f t="array" ref="AV389">IF($F389&lt;&gt;"", XLOOKUP($F389,Productos!$A$2:$A1001,Productos!AO$2:AO1001,"")*$G389,"")</f>
        <v/>
      </c>
      <c r="AW389" s="179" t="str">
        <f t="array" ref="AW389">IF($F389&lt;&gt;"",XLOOKUP($F389,Productos!$A:$A,Productos!AP:AP,"Revisar"),"")</f>
        <v/>
      </c>
      <c r="AX389" s="179" t="str">
        <f t="array" ref="AX389">IF($F389&lt;&gt;"", XLOOKUP($F389,Productos!$A$2:$A1001,Productos!AQ$2:AQ1001,"")*$G389,"")</f>
        <v/>
      </c>
      <c r="AY389" s="179" t="str">
        <f t="array" ref="AY389">IF($F389&lt;&gt;"",XLOOKUP($F389,Productos!$A:$A,Productos!AR:AR,"Revisar"),"")</f>
        <v/>
      </c>
      <c r="AZ389" s="179" t="str">
        <f t="array" ref="AZ389">IF($F389&lt;&gt;"", XLOOKUP($F389,Productos!$A$2:$A1001,Productos!AS$2:AS1001,"")*$G389,"")</f>
        <v/>
      </c>
      <c r="BA389" s="179" t="str">
        <f t="array" ref="BA389">IF($F389&lt;&gt;"",XLOOKUP($F389,Productos!$A:$A,Productos!AT:AT,"Revisar"),"")</f>
        <v/>
      </c>
      <c r="BB389" s="179" t="str">
        <f t="array" ref="BB389">IF($F389&lt;&gt;"", XLOOKUP($F389,Productos!$A$2:$A1001,Productos!AU$2:AU1001,"")*$G389,"")</f>
        <v/>
      </c>
      <c r="BC389" s="179" t="str">
        <f t="array" ref="BC389">IF($F389&lt;&gt;"",XLOOKUP($F389,Productos!$A:$A,Productos!AV:AV,"Revisar"),"")</f>
        <v/>
      </c>
      <c r="BD389" s="179" t="str">
        <f t="array" ref="BD389">IF($F389&lt;&gt;"", XLOOKUP($F389,Productos!$A$2:$A1001,Productos!AW$2:AW1001,"")*$G389,"")</f>
        <v/>
      </c>
      <c r="BE389" s="179" t="str">
        <f t="array" ref="BE389">IF($F389&lt;&gt;"",XLOOKUP($F389,Productos!$A:$A,Productos!AX:AX,"Revisar"),"")</f>
        <v/>
      </c>
      <c r="BF389" s="179" t="str">
        <f t="array" ref="BF389">IF($F389&lt;&gt;"", XLOOKUP($F389,Productos!$A$2:$A1001,Productos!AY$2:AY1001,"")*$G389,"")</f>
        <v/>
      </c>
      <c r="BG389" s="179" t="str">
        <f t="array" ref="BG389">IF($F389&lt;&gt;"",XLOOKUP($F389,Productos!$A:$A,Productos!AZ:AZ,"Revisar"),"")</f>
        <v/>
      </c>
      <c r="BH389" s="179" t="str">
        <f t="array" ref="BH389">IF($F389&lt;&gt;"", XLOOKUP($F389,Productos!$A$2:$A1001,Productos!BA$2:BA1001,"")*$G389,"")</f>
        <v/>
      </c>
      <c r="BI389" s="179" t="str">
        <f t="array" ref="BI389">IF($F389&lt;&gt;"",XLOOKUP($F389,Productos!$A:$A,Productos!BB:BB,"Revisar"),"")</f>
        <v/>
      </c>
      <c r="BJ389" s="179" t="str">
        <f t="array" ref="BJ389">IF($F389&lt;&gt;"", XLOOKUP($F389,Productos!$A$2:$A1001,Productos!BC$2:BC1001,"")*$G389,"")</f>
        <v/>
      </c>
      <c r="BK389" s="179" t="str">
        <f t="array" ref="BK389">IF($F389&lt;&gt;"",XLOOKUP($F389,Productos!$A:$A,Productos!BD:BD,"Revisar"),"")</f>
        <v/>
      </c>
      <c r="BL389" s="179" t="str">
        <f t="array" ref="BL389">IF($F389&lt;&gt;"", XLOOKUP($F389,Productos!$A$2:$A1001,Productos!BE$2:BE1001,"")*$G389,"")</f>
        <v/>
      </c>
      <c r="BM389" s="179" t="str">
        <f t="array" ref="BM389">IF($F389&lt;&gt;"",XLOOKUP($F389,Productos!$A:$A,Productos!BF:BF,"Revisar"),"")</f>
        <v/>
      </c>
      <c r="BN389" s="179" t="str">
        <f t="array" ref="BN389">IF($F389&lt;&gt;"", XLOOKUP($F389,Productos!$A$2:$A1001,Productos!BG$2:BG1001,"")*$G389,"")</f>
        <v/>
      </c>
      <c r="BO389" s="179" t="str">
        <f t="array" ref="BO389">IF($F389&lt;&gt;"",XLOOKUP($F389,Productos!$A:$A,Productos!BH:BH,"Revisar"),"")</f>
        <v/>
      </c>
      <c r="BP389" s="179" t="str">
        <f t="array" ref="BP389">IF($F389&lt;&gt;"", XLOOKUP($F389,Productos!$A$2:$A1001,Productos!BI$2:BI1001,"")*$G389,"")</f>
        <v/>
      </c>
      <c r="BQ389" s="179" t="str">
        <f t="array" ref="BQ389">IF($F389&lt;&gt;"",XLOOKUP($F389,Productos!$A:$A,Productos!BJ:BJ,"Revisar"),"")</f>
        <v/>
      </c>
      <c r="BR389" s="179" t="str">
        <f t="array" ref="BR389">IF($F389&lt;&gt;"", XLOOKUP($F389,Productos!$A$2:$A1001,Productos!BK$2:BK1001,"")*$G389,"")</f>
        <v/>
      </c>
      <c r="BS389" s="179" t="str">
        <f t="array" ref="BS389">IF($F389&lt;&gt;"",XLOOKUP($F389,Productos!$A:$A,Productos!BL:BL,"Revisar"),"")</f>
        <v/>
      </c>
      <c r="BT389" s="179" t="str">
        <f t="array" ref="BT389">IF($F389&lt;&gt;"", XLOOKUP($F389,Productos!$A$2:$A1001,Productos!BM$2:BM1001,"")*$G389,"")</f>
        <v/>
      </c>
      <c r="BU389" s="179" t="str">
        <f t="array" ref="BU389">IF($F389&lt;&gt;"",XLOOKUP($F389,Productos!$A:$A,Productos!BN:BN,"Revisar"),"")</f>
        <v/>
      </c>
      <c r="BV389" s="179" t="str">
        <f t="array" ref="BV389">IF($F389&lt;&gt;"", XLOOKUP($F389,Productos!$A$2:$A1001,Productos!BO$2:BO1001,"")*$G389,"")</f>
        <v/>
      </c>
      <c r="BW389" s="179" t="str">
        <f t="array" ref="BW389">IF($F389&lt;&gt;"",XLOOKUP($F389,Productos!$A:$A,Productos!BP:BP,"Revisar"),"")</f>
        <v/>
      </c>
      <c r="BX389" s="179" t="str">
        <f t="array" ref="BX389">IF($F389&lt;&gt;"", XLOOKUP($F389,Productos!$A$2:$A1001,Productos!BQ$2:BQ1001,"")*$G389,"")</f>
        <v/>
      </c>
      <c r="BY389" s="179" t="str">
        <f t="array" ref="BY389">IF($F389&lt;&gt;"",XLOOKUP($F389,Productos!$A:$A,Productos!BR:BR,"Revisar"),"")</f>
        <v/>
      </c>
      <c r="BZ389" s="179" t="str">
        <f t="array" ref="BZ389">IF($F389&lt;&gt;"", XLOOKUP($F389,Productos!$A$2:$A1001,Productos!BS$2:BS1001,"")*$G389,"")</f>
        <v/>
      </c>
    </row>
    <row r="390">
      <c r="A390" s="188"/>
      <c r="B390" s="189"/>
      <c r="C390" s="190"/>
      <c r="D390" s="190"/>
      <c r="E390" s="191"/>
      <c r="F390" s="186"/>
      <c r="G390" s="192"/>
      <c r="H390" s="9"/>
      <c r="I390" s="179" t="str">
        <f t="array" ref="I390">IF($F390&lt;&gt;"",XLOOKUP($F390,Productos!$A:$A,Productos!B:B,"Revisar"),"")</f>
        <v/>
      </c>
      <c r="J390" s="179" t="str">
        <f t="array" ref="J390">IF($F390&lt;&gt;"", XLOOKUP($F390,Productos!$A$2:$A1001,Productos!C$2:C1001,"")*$G390,"")</f>
        <v/>
      </c>
      <c r="K390" s="179" t="str">
        <f t="array" ref="K390">IF($F390&lt;&gt;"",XLOOKUP($F390,Productos!$A:$A,Productos!D:D,"Revisar"),"")</f>
        <v/>
      </c>
      <c r="L390" s="179" t="str">
        <f t="array" ref="L390">IF($F390&lt;&gt;"", XLOOKUP($F390,Productos!$A$2:$A1001,Productos!E$2:E1001,"")*$G390,"")</f>
        <v/>
      </c>
      <c r="M390" s="179" t="str">
        <f t="array" ref="M390">IF($F390&lt;&gt;"",XLOOKUP($F390,Productos!$A:$A,Productos!F:F,"Revisar"),"")</f>
        <v/>
      </c>
      <c r="N390" s="179" t="str">
        <f t="array" ref="N390">IF($F390&lt;&gt;"", XLOOKUP($F390,Productos!$A$2:$A1001,Productos!G$2:G1001,"")*$G390,"")</f>
        <v/>
      </c>
      <c r="O390" s="179" t="str">
        <f t="array" ref="O390">IF($F390&lt;&gt;"",XLOOKUP($F390,Productos!$A:$A,Productos!H:H,"Revisar"),"")</f>
        <v/>
      </c>
      <c r="P390" s="179" t="str">
        <f t="array" ref="P390">IF($F390&lt;&gt;"", XLOOKUP($F390,Productos!$A$2:$A1001,Productos!I$2:I1001,"")*$G390,"")</f>
        <v/>
      </c>
      <c r="Q390" s="179" t="str">
        <f t="array" ref="Q390">IF($F390&lt;&gt;"",XLOOKUP($F390,Productos!$A:$A,Productos!J:J,"Revisar"),"")</f>
        <v/>
      </c>
      <c r="R390" s="179" t="str">
        <f t="array" ref="R390">IF($F390&lt;&gt;"", XLOOKUP($F390,Productos!$A$2:$A1001,Productos!K$2:K1001,"")*$G390,"")</f>
        <v/>
      </c>
      <c r="S390" s="179" t="str">
        <f t="array" ref="S390">IF($F390&lt;&gt;"",XLOOKUP($F390,Productos!$A:$A,Productos!L:L,"Revisar"),"")</f>
        <v/>
      </c>
      <c r="T390" s="179" t="str">
        <f t="array" ref="T390">IF($F390&lt;&gt;"", XLOOKUP($F390,Productos!$A$2:$A1001,Productos!M$2:M1001,"")*$G390,"")</f>
        <v/>
      </c>
      <c r="U390" s="179" t="str">
        <f t="array" ref="U390">IF($F390&lt;&gt;"",XLOOKUP($F390,Productos!$A:$A,Productos!N:N,"Revisar"),"")</f>
        <v/>
      </c>
      <c r="V390" s="179" t="str">
        <f t="array" ref="V390">IF($F390&lt;&gt;"", XLOOKUP($F390,Productos!$A$2:$A1001,Productos!O$2:O1001,"")*$G390,"")</f>
        <v/>
      </c>
      <c r="W390" s="179" t="str">
        <f t="array" ref="W390">IF($F390&lt;&gt;"",XLOOKUP($F390,Productos!$A:$A,Productos!P:P,"Revisar"),"")</f>
        <v/>
      </c>
      <c r="X390" s="179" t="str">
        <f t="array" ref="X390">IF($F390&lt;&gt;"", XLOOKUP($F390,Productos!$A$2:$A1001,Productos!Q$2:Q1001,"")*$G390,"")</f>
        <v/>
      </c>
      <c r="Y390" s="179" t="str">
        <f t="array" ref="Y390">IF($F390&lt;&gt;"",XLOOKUP($F390,Productos!$A:$A,Productos!R:R,"Revisar"),"")</f>
        <v/>
      </c>
      <c r="Z390" s="179" t="str">
        <f t="array" ref="Z390">IF($F390&lt;&gt;"", XLOOKUP($F390,Productos!$A$2:$A1001,Productos!S$2:S1001,"")*$G390,"")</f>
        <v/>
      </c>
      <c r="AA390" s="179" t="str">
        <f t="array" ref="AA390">IF($F390&lt;&gt;"",XLOOKUP($F390,Productos!$A:$A,Productos!T:T,"Revisar"),"")</f>
        <v/>
      </c>
      <c r="AB390" s="179" t="str">
        <f t="array" ref="AB390">IF($F390&lt;&gt;"", XLOOKUP($F390,Productos!$A$2:$A1001,Productos!U$2:U1001,"")*$G390,"")</f>
        <v/>
      </c>
      <c r="AC390" s="179" t="str">
        <f t="array" ref="AC390">IF($F390&lt;&gt;"",XLOOKUP($F390,Productos!$A:$A,Productos!V:V,"Revisar"),"")</f>
        <v/>
      </c>
      <c r="AD390" s="179" t="str">
        <f t="array" ref="AD390">IF($F390&lt;&gt;"", XLOOKUP($F390,Productos!$A$2:$A1001,Productos!W$2:W1001,"")*$G390,"")</f>
        <v/>
      </c>
      <c r="AE390" s="179" t="str">
        <f t="array" ref="AE390">IF($F390&lt;&gt;"",XLOOKUP($F390,Productos!$A:$A,Productos!X:X,"Revisar"),"")</f>
        <v/>
      </c>
      <c r="AF390" s="179" t="str">
        <f t="array" ref="AF390">IF($F390&lt;&gt;"", XLOOKUP($F390,Productos!$A$2:$A1001,Productos!Y$2:Y1001,"")*$G390,"")</f>
        <v/>
      </c>
      <c r="AG390" s="179" t="str">
        <f t="array" ref="AG390">IF($F390&lt;&gt;"",XLOOKUP($F390,Productos!$A:$A,Productos!Z:Z,"Revisar"),"")</f>
        <v/>
      </c>
      <c r="AH390" s="179" t="str">
        <f t="array" ref="AH390">IF($F390&lt;&gt;"", XLOOKUP($F390,Productos!$A$2:$A1001,Productos!AA$2:AA1001,"")*$G390,"")</f>
        <v/>
      </c>
      <c r="AI390" s="179" t="str">
        <f t="array" ref="AI390">IF($F390&lt;&gt;"",XLOOKUP($F390,Productos!$A:$A,Productos!AB:AB,"Revisar"),"")</f>
        <v/>
      </c>
      <c r="AJ390" s="179" t="str">
        <f t="array" ref="AJ390">IF($F390&lt;&gt;"", XLOOKUP($F390,Productos!$A$2:$A1001,Productos!AC$2:AC1001,"")*$G390,"")</f>
        <v/>
      </c>
      <c r="AK390" s="179" t="str">
        <f t="array" ref="AK390">IF($F390&lt;&gt;"",XLOOKUP($F390,Productos!$A:$A,Productos!AD:AD,"Revisar"),"")</f>
        <v/>
      </c>
      <c r="AL390" s="179" t="str">
        <f t="array" ref="AL390">IF($F390&lt;&gt;"", XLOOKUP($F390,Productos!$A$2:$A1001,Productos!AE$2:AE1001,"")*$G390,"")</f>
        <v/>
      </c>
      <c r="AM390" s="179" t="str">
        <f t="array" ref="AM390">IF($F390&lt;&gt;"",XLOOKUP($F390,Productos!$A:$A,Productos!AF:AF,"Revisar"),"")</f>
        <v/>
      </c>
      <c r="AN390" s="179" t="str">
        <f t="array" ref="AN390">IF($F390&lt;&gt;"", XLOOKUP($F390,Productos!$A$2:$A1001,Productos!AG$2:AG1001,"")*$G390,"")</f>
        <v/>
      </c>
      <c r="AO390" s="179" t="str">
        <f t="array" ref="AO390">IF($F390&lt;&gt;"",XLOOKUP($F390,Productos!$A:$A,Productos!AH:AH,"Revisar"),"")</f>
        <v/>
      </c>
      <c r="AP390" s="179" t="str">
        <f t="array" ref="AP390">IF($F390&lt;&gt;"", XLOOKUP($F390,Productos!$A$2:$A1001,Productos!AI$2:AI1001,"")*$G390,"")</f>
        <v/>
      </c>
      <c r="AQ390" s="179" t="str">
        <f t="array" ref="AQ390">IF($F390&lt;&gt;"",XLOOKUP($F390,Productos!$A:$A,Productos!AJ:AJ,"Revisar"),"")</f>
        <v/>
      </c>
      <c r="AR390" s="179" t="str">
        <f t="array" ref="AR390">IF($F390&lt;&gt;"", XLOOKUP($F390,Productos!$A$2:$A1001,Productos!AK$2:AK1001,"")*$G390,"")</f>
        <v/>
      </c>
      <c r="AS390" s="179" t="str">
        <f t="array" ref="AS390">IF($F390&lt;&gt;"",XLOOKUP($F390,Productos!$A:$A,Productos!AL:AL,"Revisar"),"")</f>
        <v/>
      </c>
      <c r="AT390" s="179" t="str">
        <f t="array" ref="AT390">IF($F390&lt;&gt;"", XLOOKUP($F390,Productos!$A$2:$A1001,Productos!AM$2:AM1001,"")*$G390,"")</f>
        <v/>
      </c>
      <c r="AU390" s="179" t="str">
        <f t="array" ref="AU390">IF($F390&lt;&gt;"",XLOOKUP($F390,Productos!$A:$A,Productos!AN:AN,"Revisar"),"")</f>
        <v/>
      </c>
      <c r="AV390" s="179" t="str">
        <f t="array" ref="AV390">IF($F390&lt;&gt;"", XLOOKUP($F390,Productos!$A$2:$A1001,Productos!AO$2:AO1001,"")*$G390,"")</f>
        <v/>
      </c>
      <c r="AW390" s="179" t="str">
        <f t="array" ref="AW390">IF($F390&lt;&gt;"",XLOOKUP($F390,Productos!$A:$A,Productos!AP:AP,"Revisar"),"")</f>
        <v/>
      </c>
      <c r="AX390" s="179" t="str">
        <f t="array" ref="AX390">IF($F390&lt;&gt;"", XLOOKUP($F390,Productos!$A$2:$A1001,Productos!AQ$2:AQ1001,"")*$G390,"")</f>
        <v/>
      </c>
      <c r="AY390" s="179" t="str">
        <f t="array" ref="AY390">IF($F390&lt;&gt;"",XLOOKUP($F390,Productos!$A:$A,Productos!AR:AR,"Revisar"),"")</f>
        <v/>
      </c>
      <c r="AZ390" s="179" t="str">
        <f t="array" ref="AZ390">IF($F390&lt;&gt;"", XLOOKUP($F390,Productos!$A$2:$A1001,Productos!AS$2:AS1001,"")*$G390,"")</f>
        <v/>
      </c>
      <c r="BA390" s="179" t="str">
        <f t="array" ref="BA390">IF($F390&lt;&gt;"",XLOOKUP($F390,Productos!$A:$A,Productos!AT:AT,"Revisar"),"")</f>
        <v/>
      </c>
      <c r="BB390" s="179" t="str">
        <f t="array" ref="BB390">IF($F390&lt;&gt;"", XLOOKUP($F390,Productos!$A$2:$A1001,Productos!AU$2:AU1001,"")*$G390,"")</f>
        <v/>
      </c>
      <c r="BC390" s="179" t="str">
        <f t="array" ref="BC390">IF($F390&lt;&gt;"",XLOOKUP($F390,Productos!$A:$A,Productos!AV:AV,"Revisar"),"")</f>
        <v/>
      </c>
      <c r="BD390" s="179" t="str">
        <f t="array" ref="BD390">IF($F390&lt;&gt;"", XLOOKUP($F390,Productos!$A$2:$A1001,Productos!AW$2:AW1001,"")*$G390,"")</f>
        <v/>
      </c>
      <c r="BE390" s="179" t="str">
        <f t="array" ref="BE390">IF($F390&lt;&gt;"",XLOOKUP($F390,Productos!$A:$A,Productos!AX:AX,"Revisar"),"")</f>
        <v/>
      </c>
      <c r="BF390" s="179" t="str">
        <f t="array" ref="BF390">IF($F390&lt;&gt;"", XLOOKUP($F390,Productos!$A$2:$A1001,Productos!AY$2:AY1001,"")*$G390,"")</f>
        <v/>
      </c>
      <c r="BG390" s="179" t="str">
        <f t="array" ref="BG390">IF($F390&lt;&gt;"",XLOOKUP($F390,Productos!$A:$A,Productos!AZ:AZ,"Revisar"),"")</f>
        <v/>
      </c>
      <c r="BH390" s="179" t="str">
        <f t="array" ref="BH390">IF($F390&lt;&gt;"", XLOOKUP($F390,Productos!$A$2:$A1001,Productos!BA$2:BA1001,"")*$G390,"")</f>
        <v/>
      </c>
      <c r="BI390" s="179" t="str">
        <f t="array" ref="BI390">IF($F390&lt;&gt;"",XLOOKUP($F390,Productos!$A:$A,Productos!BB:BB,"Revisar"),"")</f>
        <v/>
      </c>
      <c r="BJ390" s="179" t="str">
        <f t="array" ref="BJ390">IF($F390&lt;&gt;"", XLOOKUP($F390,Productos!$A$2:$A1001,Productos!BC$2:BC1001,"")*$G390,"")</f>
        <v/>
      </c>
      <c r="BK390" s="179" t="str">
        <f t="array" ref="BK390">IF($F390&lt;&gt;"",XLOOKUP($F390,Productos!$A:$A,Productos!BD:BD,"Revisar"),"")</f>
        <v/>
      </c>
      <c r="BL390" s="179" t="str">
        <f t="array" ref="BL390">IF($F390&lt;&gt;"", XLOOKUP($F390,Productos!$A$2:$A1001,Productos!BE$2:BE1001,"")*$G390,"")</f>
        <v/>
      </c>
      <c r="BM390" s="179" t="str">
        <f t="array" ref="BM390">IF($F390&lt;&gt;"",XLOOKUP($F390,Productos!$A:$A,Productos!BF:BF,"Revisar"),"")</f>
        <v/>
      </c>
      <c r="BN390" s="179" t="str">
        <f t="array" ref="BN390">IF($F390&lt;&gt;"", XLOOKUP($F390,Productos!$A$2:$A1001,Productos!BG$2:BG1001,"")*$G390,"")</f>
        <v/>
      </c>
      <c r="BO390" s="179" t="str">
        <f t="array" ref="BO390">IF($F390&lt;&gt;"",XLOOKUP($F390,Productos!$A:$A,Productos!BH:BH,"Revisar"),"")</f>
        <v/>
      </c>
      <c r="BP390" s="179" t="str">
        <f t="array" ref="BP390">IF($F390&lt;&gt;"", XLOOKUP($F390,Productos!$A$2:$A1001,Productos!BI$2:BI1001,"")*$G390,"")</f>
        <v/>
      </c>
      <c r="BQ390" s="179" t="str">
        <f t="array" ref="BQ390">IF($F390&lt;&gt;"",XLOOKUP($F390,Productos!$A:$A,Productos!BJ:BJ,"Revisar"),"")</f>
        <v/>
      </c>
      <c r="BR390" s="179" t="str">
        <f t="array" ref="BR390">IF($F390&lt;&gt;"", XLOOKUP($F390,Productos!$A$2:$A1001,Productos!BK$2:BK1001,"")*$G390,"")</f>
        <v/>
      </c>
      <c r="BS390" s="179" t="str">
        <f t="array" ref="BS390">IF($F390&lt;&gt;"",XLOOKUP($F390,Productos!$A:$A,Productos!BL:BL,"Revisar"),"")</f>
        <v/>
      </c>
      <c r="BT390" s="179" t="str">
        <f t="array" ref="BT390">IF($F390&lt;&gt;"", XLOOKUP($F390,Productos!$A$2:$A1001,Productos!BM$2:BM1001,"")*$G390,"")</f>
        <v/>
      </c>
      <c r="BU390" s="179" t="str">
        <f t="array" ref="BU390">IF($F390&lt;&gt;"",XLOOKUP($F390,Productos!$A:$A,Productos!BN:BN,"Revisar"),"")</f>
        <v/>
      </c>
      <c r="BV390" s="179" t="str">
        <f t="array" ref="BV390">IF($F390&lt;&gt;"", XLOOKUP($F390,Productos!$A$2:$A1001,Productos!BO$2:BO1001,"")*$G390,"")</f>
        <v/>
      </c>
      <c r="BW390" s="179" t="str">
        <f t="array" ref="BW390">IF($F390&lt;&gt;"",XLOOKUP($F390,Productos!$A:$A,Productos!BP:BP,"Revisar"),"")</f>
        <v/>
      </c>
      <c r="BX390" s="179" t="str">
        <f t="array" ref="BX390">IF($F390&lt;&gt;"", XLOOKUP($F390,Productos!$A$2:$A1001,Productos!BQ$2:BQ1001,"")*$G390,"")</f>
        <v/>
      </c>
      <c r="BY390" s="179" t="str">
        <f t="array" ref="BY390">IF($F390&lt;&gt;"",XLOOKUP($F390,Productos!$A:$A,Productos!BR:BR,"Revisar"),"")</f>
        <v/>
      </c>
      <c r="BZ390" s="179" t="str">
        <f t="array" ref="BZ390">IF($F390&lt;&gt;"", XLOOKUP($F390,Productos!$A$2:$A1001,Productos!BS$2:BS1001,"")*$G390,"")</f>
        <v/>
      </c>
    </row>
    <row r="391">
      <c r="A391" s="188"/>
      <c r="B391" s="189"/>
      <c r="C391" s="190"/>
      <c r="D391" s="190"/>
      <c r="E391" s="191"/>
      <c r="F391" s="186"/>
      <c r="G391" s="192"/>
      <c r="H391" s="9"/>
      <c r="I391" s="179" t="str">
        <f t="array" ref="I391">IF($F391&lt;&gt;"",XLOOKUP($F391,Productos!$A:$A,Productos!B:B,"Revisar"),"")</f>
        <v/>
      </c>
      <c r="J391" s="179" t="str">
        <f t="array" ref="J391">IF($F391&lt;&gt;"", XLOOKUP($F391,Productos!$A$2:$A1001,Productos!C$2:C1001,"")*$G391,"")</f>
        <v/>
      </c>
      <c r="K391" s="179" t="str">
        <f t="array" ref="K391">IF($F391&lt;&gt;"",XLOOKUP($F391,Productos!$A:$A,Productos!D:D,"Revisar"),"")</f>
        <v/>
      </c>
      <c r="L391" s="179" t="str">
        <f t="array" ref="L391">IF($F391&lt;&gt;"", XLOOKUP($F391,Productos!$A$2:$A1001,Productos!E$2:E1001,"")*$G391,"")</f>
        <v/>
      </c>
      <c r="M391" s="179" t="str">
        <f t="array" ref="M391">IF($F391&lt;&gt;"",XLOOKUP($F391,Productos!$A:$A,Productos!F:F,"Revisar"),"")</f>
        <v/>
      </c>
      <c r="N391" s="179" t="str">
        <f t="array" ref="N391">IF($F391&lt;&gt;"", XLOOKUP($F391,Productos!$A$2:$A1001,Productos!G$2:G1001,"")*$G391,"")</f>
        <v/>
      </c>
      <c r="O391" s="179" t="str">
        <f t="array" ref="O391">IF($F391&lt;&gt;"",XLOOKUP($F391,Productos!$A:$A,Productos!H:H,"Revisar"),"")</f>
        <v/>
      </c>
      <c r="P391" s="179" t="str">
        <f t="array" ref="P391">IF($F391&lt;&gt;"", XLOOKUP($F391,Productos!$A$2:$A1001,Productos!I$2:I1001,"")*$G391,"")</f>
        <v/>
      </c>
      <c r="Q391" s="179" t="str">
        <f t="array" ref="Q391">IF($F391&lt;&gt;"",XLOOKUP($F391,Productos!$A:$A,Productos!J:J,"Revisar"),"")</f>
        <v/>
      </c>
      <c r="R391" s="179" t="str">
        <f t="array" ref="R391">IF($F391&lt;&gt;"", XLOOKUP($F391,Productos!$A$2:$A1001,Productos!K$2:K1001,"")*$G391,"")</f>
        <v/>
      </c>
      <c r="S391" s="179" t="str">
        <f t="array" ref="S391">IF($F391&lt;&gt;"",XLOOKUP($F391,Productos!$A:$A,Productos!L:L,"Revisar"),"")</f>
        <v/>
      </c>
      <c r="T391" s="179" t="str">
        <f t="array" ref="T391">IF($F391&lt;&gt;"", XLOOKUP($F391,Productos!$A$2:$A1001,Productos!M$2:M1001,"")*$G391,"")</f>
        <v/>
      </c>
      <c r="U391" s="179" t="str">
        <f t="array" ref="U391">IF($F391&lt;&gt;"",XLOOKUP($F391,Productos!$A:$A,Productos!N:N,"Revisar"),"")</f>
        <v/>
      </c>
      <c r="V391" s="179" t="str">
        <f t="array" ref="V391">IF($F391&lt;&gt;"", XLOOKUP($F391,Productos!$A$2:$A1001,Productos!O$2:O1001,"")*$G391,"")</f>
        <v/>
      </c>
      <c r="W391" s="179" t="str">
        <f t="array" ref="W391">IF($F391&lt;&gt;"",XLOOKUP($F391,Productos!$A:$A,Productos!P:P,"Revisar"),"")</f>
        <v/>
      </c>
      <c r="X391" s="179" t="str">
        <f t="array" ref="X391">IF($F391&lt;&gt;"", XLOOKUP($F391,Productos!$A$2:$A1001,Productos!Q$2:Q1001,"")*$G391,"")</f>
        <v/>
      </c>
      <c r="Y391" s="179" t="str">
        <f t="array" ref="Y391">IF($F391&lt;&gt;"",XLOOKUP($F391,Productos!$A:$A,Productos!R:R,"Revisar"),"")</f>
        <v/>
      </c>
      <c r="Z391" s="179" t="str">
        <f t="array" ref="Z391">IF($F391&lt;&gt;"", XLOOKUP($F391,Productos!$A$2:$A1001,Productos!S$2:S1001,"")*$G391,"")</f>
        <v/>
      </c>
      <c r="AA391" s="179" t="str">
        <f t="array" ref="AA391">IF($F391&lt;&gt;"",XLOOKUP($F391,Productos!$A:$A,Productos!T:T,"Revisar"),"")</f>
        <v/>
      </c>
      <c r="AB391" s="179" t="str">
        <f t="array" ref="AB391">IF($F391&lt;&gt;"", XLOOKUP($F391,Productos!$A$2:$A1001,Productos!U$2:U1001,"")*$G391,"")</f>
        <v/>
      </c>
      <c r="AC391" s="179" t="str">
        <f t="array" ref="AC391">IF($F391&lt;&gt;"",XLOOKUP($F391,Productos!$A:$A,Productos!V:V,"Revisar"),"")</f>
        <v/>
      </c>
      <c r="AD391" s="179" t="str">
        <f t="array" ref="AD391">IF($F391&lt;&gt;"", XLOOKUP($F391,Productos!$A$2:$A1001,Productos!W$2:W1001,"")*$G391,"")</f>
        <v/>
      </c>
      <c r="AE391" s="179" t="str">
        <f t="array" ref="AE391">IF($F391&lt;&gt;"",XLOOKUP($F391,Productos!$A:$A,Productos!X:X,"Revisar"),"")</f>
        <v/>
      </c>
      <c r="AF391" s="179" t="str">
        <f t="array" ref="AF391">IF($F391&lt;&gt;"", XLOOKUP($F391,Productos!$A$2:$A1001,Productos!Y$2:Y1001,"")*$G391,"")</f>
        <v/>
      </c>
      <c r="AG391" s="179" t="str">
        <f t="array" ref="AG391">IF($F391&lt;&gt;"",XLOOKUP($F391,Productos!$A:$A,Productos!Z:Z,"Revisar"),"")</f>
        <v/>
      </c>
      <c r="AH391" s="179" t="str">
        <f t="array" ref="AH391">IF($F391&lt;&gt;"", XLOOKUP($F391,Productos!$A$2:$A1001,Productos!AA$2:AA1001,"")*$G391,"")</f>
        <v/>
      </c>
      <c r="AI391" s="179" t="str">
        <f t="array" ref="AI391">IF($F391&lt;&gt;"",XLOOKUP($F391,Productos!$A:$A,Productos!AB:AB,"Revisar"),"")</f>
        <v/>
      </c>
      <c r="AJ391" s="179" t="str">
        <f t="array" ref="AJ391">IF($F391&lt;&gt;"", XLOOKUP($F391,Productos!$A$2:$A1001,Productos!AC$2:AC1001,"")*$G391,"")</f>
        <v/>
      </c>
      <c r="AK391" s="179" t="str">
        <f t="array" ref="AK391">IF($F391&lt;&gt;"",XLOOKUP($F391,Productos!$A:$A,Productos!AD:AD,"Revisar"),"")</f>
        <v/>
      </c>
      <c r="AL391" s="179" t="str">
        <f t="array" ref="AL391">IF($F391&lt;&gt;"", XLOOKUP($F391,Productos!$A$2:$A1001,Productos!AE$2:AE1001,"")*$G391,"")</f>
        <v/>
      </c>
      <c r="AM391" s="179" t="str">
        <f t="array" ref="AM391">IF($F391&lt;&gt;"",XLOOKUP($F391,Productos!$A:$A,Productos!AF:AF,"Revisar"),"")</f>
        <v/>
      </c>
      <c r="AN391" s="179" t="str">
        <f t="array" ref="AN391">IF($F391&lt;&gt;"", XLOOKUP($F391,Productos!$A$2:$A1001,Productos!AG$2:AG1001,"")*$G391,"")</f>
        <v/>
      </c>
      <c r="AO391" s="179" t="str">
        <f t="array" ref="AO391">IF($F391&lt;&gt;"",XLOOKUP($F391,Productos!$A:$A,Productos!AH:AH,"Revisar"),"")</f>
        <v/>
      </c>
      <c r="AP391" s="179" t="str">
        <f t="array" ref="AP391">IF($F391&lt;&gt;"", XLOOKUP($F391,Productos!$A$2:$A1001,Productos!AI$2:AI1001,"")*$G391,"")</f>
        <v/>
      </c>
      <c r="AQ391" s="179" t="str">
        <f t="array" ref="AQ391">IF($F391&lt;&gt;"",XLOOKUP($F391,Productos!$A:$A,Productos!AJ:AJ,"Revisar"),"")</f>
        <v/>
      </c>
      <c r="AR391" s="179" t="str">
        <f t="array" ref="AR391">IF($F391&lt;&gt;"", XLOOKUP($F391,Productos!$A$2:$A1001,Productos!AK$2:AK1001,"")*$G391,"")</f>
        <v/>
      </c>
      <c r="AS391" s="179" t="str">
        <f t="array" ref="AS391">IF($F391&lt;&gt;"",XLOOKUP($F391,Productos!$A:$A,Productos!AL:AL,"Revisar"),"")</f>
        <v/>
      </c>
      <c r="AT391" s="179" t="str">
        <f t="array" ref="AT391">IF($F391&lt;&gt;"", XLOOKUP($F391,Productos!$A$2:$A1001,Productos!AM$2:AM1001,"")*$G391,"")</f>
        <v/>
      </c>
      <c r="AU391" s="179" t="str">
        <f t="array" ref="AU391">IF($F391&lt;&gt;"",XLOOKUP($F391,Productos!$A:$A,Productos!AN:AN,"Revisar"),"")</f>
        <v/>
      </c>
      <c r="AV391" s="179" t="str">
        <f t="array" ref="AV391">IF($F391&lt;&gt;"", XLOOKUP($F391,Productos!$A$2:$A1001,Productos!AO$2:AO1001,"")*$G391,"")</f>
        <v/>
      </c>
      <c r="AW391" s="179" t="str">
        <f t="array" ref="AW391">IF($F391&lt;&gt;"",XLOOKUP($F391,Productos!$A:$A,Productos!AP:AP,"Revisar"),"")</f>
        <v/>
      </c>
      <c r="AX391" s="179" t="str">
        <f t="array" ref="AX391">IF($F391&lt;&gt;"", XLOOKUP($F391,Productos!$A$2:$A1001,Productos!AQ$2:AQ1001,"")*$G391,"")</f>
        <v/>
      </c>
      <c r="AY391" s="179" t="str">
        <f t="array" ref="AY391">IF($F391&lt;&gt;"",XLOOKUP($F391,Productos!$A:$A,Productos!AR:AR,"Revisar"),"")</f>
        <v/>
      </c>
      <c r="AZ391" s="179" t="str">
        <f t="array" ref="AZ391">IF($F391&lt;&gt;"", XLOOKUP($F391,Productos!$A$2:$A1001,Productos!AS$2:AS1001,"")*$G391,"")</f>
        <v/>
      </c>
      <c r="BA391" s="179" t="str">
        <f t="array" ref="BA391">IF($F391&lt;&gt;"",XLOOKUP($F391,Productos!$A:$A,Productos!AT:AT,"Revisar"),"")</f>
        <v/>
      </c>
      <c r="BB391" s="179" t="str">
        <f t="array" ref="BB391">IF($F391&lt;&gt;"", XLOOKUP($F391,Productos!$A$2:$A1001,Productos!AU$2:AU1001,"")*$G391,"")</f>
        <v/>
      </c>
      <c r="BC391" s="179" t="str">
        <f t="array" ref="BC391">IF($F391&lt;&gt;"",XLOOKUP($F391,Productos!$A:$A,Productos!AV:AV,"Revisar"),"")</f>
        <v/>
      </c>
      <c r="BD391" s="179" t="str">
        <f t="array" ref="BD391">IF($F391&lt;&gt;"", XLOOKUP($F391,Productos!$A$2:$A1001,Productos!AW$2:AW1001,"")*$G391,"")</f>
        <v/>
      </c>
      <c r="BE391" s="179" t="str">
        <f t="array" ref="BE391">IF($F391&lt;&gt;"",XLOOKUP($F391,Productos!$A:$A,Productos!AX:AX,"Revisar"),"")</f>
        <v/>
      </c>
      <c r="BF391" s="179" t="str">
        <f t="array" ref="BF391">IF($F391&lt;&gt;"", XLOOKUP($F391,Productos!$A$2:$A1001,Productos!AY$2:AY1001,"")*$G391,"")</f>
        <v/>
      </c>
      <c r="BG391" s="179" t="str">
        <f t="array" ref="BG391">IF($F391&lt;&gt;"",XLOOKUP($F391,Productos!$A:$A,Productos!AZ:AZ,"Revisar"),"")</f>
        <v/>
      </c>
      <c r="BH391" s="179" t="str">
        <f t="array" ref="BH391">IF($F391&lt;&gt;"", XLOOKUP($F391,Productos!$A$2:$A1001,Productos!BA$2:BA1001,"")*$G391,"")</f>
        <v/>
      </c>
      <c r="BI391" s="179" t="str">
        <f t="array" ref="BI391">IF($F391&lt;&gt;"",XLOOKUP($F391,Productos!$A:$A,Productos!BB:BB,"Revisar"),"")</f>
        <v/>
      </c>
      <c r="BJ391" s="179" t="str">
        <f t="array" ref="BJ391">IF($F391&lt;&gt;"", XLOOKUP($F391,Productos!$A$2:$A1001,Productos!BC$2:BC1001,"")*$G391,"")</f>
        <v/>
      </c>
      <c r="BK391" s="179" t="str">
        <f t="array" ref="BK391">IF($F391&lt;&gt;"",XLOOKUP($F391,Productos!$A:$A,Productos!BD:BD,"Revisar"),"")</f>
        <v/>
      </c>
      <c r="BL391" s="179" t="str">
        <f t="array" ref="BL391">IF($F391&lt;&gt;"", XLOOKUP($F391,Productos!$A$2:$A1001,Productos!BE$2:BE1001,"")*$G391,"")</f>
        <v/>
      </c>
      <c r="BM391" s="179" t="str">
        <f t="array" ref="BM391">IF($F391&lt;&gt;"",XLOOKUP($F391,Productos!$A:$A,Productos!BF:BF,"Revisar"),"")</f>
        <v/>
      </c>
      <c r="BN391" s="179" t="str">
        <f t="array" ref="BN391">IF($F391&lt;&gt;"", XLOOKUP($F391,Productos!$A$2:$A1001,Productos!BG$2:BG1001,"")*$G391,"")</f>
        <v/>
      </c>
      <c r="BO391" s="179" t="str">
        <f t="array" ref="BO391">IF($F391&lt;&gt;"",XLOOKUP($F391,Productos!$A:$A,Productos!BH:BH,"Revisar"),"")</f>
        <v/>
      </c>
      <c r="BP391" s="179" t="str">
        <f t="array" ref="BP391">IF($F391&lt;&gt;"", XLOOKUP($F391,Productos!$A$2:$A1001,Productos!BI$2:BI1001,"")*$G391,"")</f>
        <v/>
      </c>
      <c r="BQ391" s="179" t="str">
        <f t="array" ref="BQ391">IF($F391&lt;&gt;"",XLOOKUP($F391,Productos!$A:$A,Productos!BJ:BJ,"Revisar"),"")</f>
        <v/>
      </c>
      <c r="BR391" s="179" t="str">
        <f t="array" ref="BR391">IF($F391&lt;&gt;"", XLOOKUP($F391,Productos!$A$2:$A1001,Productos!BK$2:BK1001,"")*$G391,"")</f>
        <v/>
      </c>
      <c r="BS391" s="179" t="str">
        <f t="array" ref="BS391">IF($F391&lt;&gt;"",XLOOKUP($F391,Productos!$A:$A,Productos!BL:BL,"Revisar"),"")</f>
        <v/>
      </c>
      <c r="BT391" s="179" t="str">
        <f t="array" ref="BT391">IF($F391&lt;&gt;"", XLOOKUP($F391,Productos!$A$2:$A1001,Productos!BM$2:BM1001,"")*$G391,"")</f>
        <v/>
      </c>
      <c r="BU391" s="179" t="str">
        <f t="array" ref="BU391">IF($F391&lt;&gt;"",XLOOKUP($F391,Productos!$A:$A,Productos!BN:BN,"Revisar"),"")</f>
        <v/>
      </c>
      <c r="BV391" s="179" t="str">
        <f t="array" ref="BV391">IF($F391&lt;&gt;"", XLOOKUP($F391,Productos!$A$2:$A1001,Productos!BO$2:BO1001,"")*$G391,"")</f>
        <v/>
      </c>
      <c r="BW391" s="179" t="str">
        <f t="array" ref="BW391">IF($F391&lt;&gt;"",XLOOKUP($F391,Productos!$A:$A,Productos!BP:BP,"Revisar"),"")</f>
        <v/>
      </c>
      <c r="BX391" s="179" t="str">
        <f t="array" ref="BX391">IF($F391&lt;&gt;"", XLOOKUP($F391,Productos!$A$2:$A1001,Productos!BQ$2:BQ1001,"")*$G391,"")</f>
        <v/>
      </c>
      <c r="BY391" s="179" t="str">
        <f t="array" ref="BY391">IF($F391&lt;&gt;"",XLOOKUP($F391,Productos!$A:$A,Productos!BR:BR,"Revisar"),"")</f>
        <v/>
      </c>
      <c r="BZ391" s="179" t="str">
        <f t="array" ref="BZ391">IF($F391&lt;&gt;"", XLOOKUP($F391,Productos!$A$2:$A1001,Productos!BS$2:BS1001,"")*$G391,"")</f>
        <v/>
      </c>
    </row>
    <row r="392">
      <c r="A392" s="188"/>
      <c r="B392" s="189"/>
      <c r="C392" s="190"/>
      <c r="D392" s="190"/>
      <c r="E392" s="191"/>
      <c r="F392" s="186"/>
      <c r="G392" s="192"/>
      <c r="H392" s="9"/>
      <c r="I392" s="179" t="str">
        <f t="array" ref="I392">IF($F392&lt;&gt;"",XLOOKUP($F392,Productos!$A:$A,Productos!B:B,"Revisar"),"")</f>
        <v/>
      </c>
      <c r="J392" s="179" t="str">
        <f t="array" ref="J392">IF($F392&lt;&gt;"", XLOOKUP($F392,Productos!$A$2:$A1001,Productos!C$2:C1001,"")*$G392,"")</f>
        <v/>
      </c>
      <c r="K392" s="179" t="str">
        <f t="array" ref="K392">IF($F392&lt;&gt;"",XLOOKUP($F392,Productos!$A:$A,Productos!D:D,"Revisar"),"")</f>
        <v/>
      </c>
      <c r="L392" s="179" t="str">
        <f t="array" ref="L392">IF($F392&lt;&gt;"", XLOOKUP($F392,Productos!$A$2:$A1001,Productos!E$2:E1001,"")*$G392,"")</f>
        <v/>
      </c>
      <c r="M392" s="179" t="str">
        <f t="array" ref="M392">IF($F392&lt;&gt;"",XLOOKUP($F392,Productos!$A:$A,Productos!F:F,"Revisar"),"")</f>
        <v/>
      </c>
      <c r="N392" s="179" t="str">
        <f t="array" ref="N392">IF($F392&lt;&gt;"", XLOOKUP($F392,Productos!$A$2:$A1001,Productos!G$2:G1001,"")*$G392,"")</f>
        <v/>
      </c>
      <c r="O392" s="179" t="str">
        <f t="array" ref="O392">IF($F392&lt;&gt;"",XLOOKUP($F392,Productos!$A:$A,Productos!H:H,"Revisar"),"")</f>
        <v/>
      </c>
      <c r="P392" s="179" t="str">
        <f t="array" ref="P392">IF($F392&lt;&gt;"", XLOOKUP($F392,Productos!$A$2:$A1001,Productos!I$2:I1001,"")*$G392,"")</f>
        <v/>
      </c>
      <c r="Q392" s="179" t="str">
        <f t="array" ref="Q392">IF($F392&lt;&gt;"",XLOOKUP($F392,Productos!$A:$A,Productos!J:J,"Revisar"),"")</f>
        <v/>
      </c>
      <c r="R392" s="179" t="str">
        <f t="array" ref="R392">IF($F392&lt;&gt;"", XLOOKUP($F392,Productos!$A$2:$A1001,Productos!K$2:K1001,"")*$G392,"")</f>
        <v/>
      </c>
      <c r="S392" s="179" t="str">
        <f t="array" ref="S392">IF($F392&lt;&gt;"",XLOOKUP($F392,Productos!$A:$A,Productos!L:L,"Revisar"),"")</f>
        <v/>
      </c>
      <c r="T392" s="179" t="str">
        <f t="array" ref="T392">IF($F392&lt;&gt;"", XLOOKUP($F392,Productos!$A$2:$A1001,Productos!M$2:M1001,"")*$G392,"")</f>
        <v/>
      </c>
      <c r="U392" s="179" t="str">
        <f t="array" ref="U392">IF($F392&lt;&gt;"",XLOOKUP($F392,Productos!$A:$A,Productos!N:N,"Revisar"),"")</f>
        <v/>
      </c>
      <c r="V392" s="179" t="str">
        <f t="array" ref="V392">IF($F392&lt;&gt;"", XLOOKUP($F392,Productos!$A$2:$A1001,Productos!O$2:O1001,"")*$G392,"")</f>
        <v/>
      </c>
      <c r="W392" s="179" t="str">
        <f t="array" ref="W392">IF($F392&lt;&gt;"",XLOOKUP($F392,Productos!$A:$A,Productos!P:P,"Revisar"),"")</f>
        <v/>
      </c>
      <c r="X392" s="179" t="str">
        <f t="array" ref="X392">IF($F392&lt;&gt;"", XLOOKUP($F392,Productos!$A$2:$A1001,Productos!Q$2:Q1001,"")*$G392,"")</f>
        <v/>
      </c>
      <c r="Y392" s="179" t="str">
        <f t="array" ref="Y392">IF($F392&lt;&gt;"",XLOOKUP($F392,Productos!$A:$A,Productos!R:R,"Revisar"),"")</f>
        <v/>
      </c>
      <c r="Z392" s="179" t="str">
        <f t="array" ref="Z392">IF($F392&lt;&gt;"", XLOOKUP($F392,Productos!$A$2:$A1001,Productos!S$2:S1001,"")*$G392,"")</f>
        <v/>
      </c>
      <c r="AA392" s="179" t="str">
        <f t="array" ref="AA392">IF($F392&lt;&gt;"",XLOOKUP($F392,Productos!$A:$A,Productos!T:T,"Revisar"),"")</f>
        <v/>
      </c>
      <c r="AB392" s="179" t="str">
        <f t="array" ref="AB392">IF($F392&lt;&gt;"", XLOOKUP($F392,Productos!$A$2:$A1001,Productos!U$2:U1001,"")*$G392,"")</f>
        <v/>
      </c>
      <c r="AC392" s="179" t="str">
        <f t="array" ref="AC392">IF($F392&lt;&gt;"",XLOOKUP($F392,Productos!$A:$A,Productos!V:V,"Revisar"),"")</f>
        <v/>
      </c>
      <c r="AD392" s="179" t="str">
        <f t="array" ref="AD392">IF($F392&lt;&gt;"", XLOOKUP($F392,Productos!$A$2:$A1001,Productos!W$2:W1001,"")*$G392,"")</f>
        <v/>
      </c>
      <c r="AE392" s="179" t="str">
        <f t="array" ref="AE392">IF($F392&lt;&gt;"",XLOOKUP($F392,Productos!$A:$A,Productos!X:X,"Revisar"),"")</f>
        <v/>
      </c>
      <c r="AF392" s="179" t="str">
        <f t="array" ref="AF392">IF($F392&lt;&gt;"", XLOOKUP($F392,Productos!$A$2:$A1001,Productos!Y$2:Y1001,"")*$G392,"")</f>
        <v/>
      </c>
      <c r="AG392" s="179" t="str">
        <f t="array" ref="AG392">IF($F392&lt;&gt;"",XLOOKUP($F392,Productos!$A:$A,Productos!Z:Z,"Revisar"),"")</f>
        <v/>
      </c>
      <c r="AH392" s="179" t="str">
        <f t="array" ref="AH392">IF($F392&lt;&gt;"", XLOOKUP($F392,Productos!$A$2:$A1001,Productos!AA$2:AA1001,"")*$G392,"")</f>
        <v/>
      </c>
      <c r="AI392" s="179" t="str">
        <f t="array" ref="AI392">IF($F392&lt;&gt;"",XLOOKUP($F392,Productos!$A:$A,Productos!AB:AB,"Revisar"),"")</f>
        <v/>
      </c>
      <c r="AJ392" s="179" t="str">
        <f t="array" ref="AJ392">IF($F392&lt;&gt;"", XLOOKUP($F392,Productos!$A$2:$A1001,Productos!AC$2:AC1001,"")*$G392,"")</f>
        <v/>
      </c>
      <c r="AK392" s="179" t="str">
        <f t="array" ref="AK392">IF($F392&lt;&gt;"",XLOOKUP($F392,Productos!$A:$A,Productos!AD:AD,"Revisar"),"")</f>
        <v/>
      </c>
      <c r="AL392" s="179" t="str">
        <f t="array" ref="AL392">IF($F392&lt;&gt;"", XLOOKUP($F392,Productos!$A$2:$A1001,Productos!AE$2:AE1001,"")*$G392,"")</f>
        <v/>
      </c>
      <c r="AM392" s="179" t="str">
        <f t="array" ref="AM392">IF($F392&lt;&gt;"",XLOOKUP($F392,Productos!$A:$A,Productos!AF:AF,"Revisar"),"")</f>
        <v/>
      </c>
      <c r="AN392" s="179" t="str">
        <f t="array" ref="AN392">IF($F392&lt;&gt;"", XLOOKUP($F392,Productos!$A$2:$A1001,Productos!AG$2:AG1001,"")*$G392,"")</f>
        <v/>
      </c>
      <c r="AO392" s="179" t="str">
        <f t="array" ref="AO392">IF($F392&lt;&gt;"",XLOOKUP($F392,Productos!$A:$A,Productos!AH:AH,"Revisar"),"")</f>
        <v/>
      </c>
      <c r="AP392" s="179" t="str">
        <f t="array" ref="AP392">IF($F392&lt;&gt;"", XLOOKUP($F392,Productos!$A$2:$A1001,Productos!AI$2:AI1001,"")*$G392,"")</f>
        <v/>
      </c>
      <c r="AQ392" s="179" t="str">
        <f t="array" ref="AQ392">IF($F392&lt;&gt;"",XLOOKUP($F392,Productos!$A:$A,Productos!AJ:AJ,"Revisar"),"")</f>
        <v/>
      </c>
      <c r="AR392" s="179" t="str">
        <f t="array" ref="AR392">IF($F392&lt;&gt;"", XLOOKUP($F392,Productos!$A$2:$A1001,Productos!AK$2:AK1001,"")*$G392,"")</f>
        <v/>
      </c>
      <c r="AS392" s="179" t="str">
        <f t="array" ref="AS392">IF($F392&lt;&gt;"",XLOOKUP($F392,Productos!$A:$A,Productos!AL:AL,"Revisar"),"")</f>
        <v/>
      </c>
      <c r="AT392" s="179" t="str">
        <f t="array" ref="AT392">IF($F392&lt;&gt;"", XLOOKUP($F392,Productos!$A$2:$A1001,Productos!AM$2:AM1001,"")*$G392,"")</f>
        <v/>
      </c>
      <c r="AU392" s="179" t="str">
        <f t="array" ref="AU392">IF($F392&lt;&gt;"",XLOOKUP($F392,Productos!$A:$A,Productos!AN:AN,"Revisar"),"")</f>
        <v/>
      </c>
      <c r="AV392" s="179" t="str">
        <f t="array" ref="AV392">IF($F392&lt;&gt;"", XLOOKUP($F392,Productos!$A$2:$A1001,Productos!AO$2:AO1001,"")*$G392,"")</f>
        <v/>
      </c>
      <c r="AW392" s="179" t="str">
        <f t="array" ref="AW392">IF($F392&lt;&gt;"",XLOOKUP($F392,Productos!$A:$A,Productos!AP:AP,"Revisar"),"")</f>
        <v/>
      </c>
      <c r="AX392" s="179" t="str">
        <f t="array" ref="AX392">IF($F392&lt;&gt;"", XLOOKUP($F392,Productos!$A$2:$A1001,Productos!AQ$2:AQ1001,"")*$G392,"")</f>
        <v/>
      </c>
      <c r="AY392" s="179" t="str">
        <f t="array" ref="AY392">IF($F392&lt;&gt;"",XLOOKUP($F392,Productos!$A:$A,Productos!AR:AR,"Revisar"),"")</f>
        <v/>
      </c>
      <c r="AZ392" s="179" t="str">
        <f t="array" ref="AZ392">IF($F392&lt;&gt;"", XLOOKUP($F392,Productos!$A$2:$A1001,Productos!AS$2:AS1001,"")*$G392,"")</f>
        <v/>
      </c>
      <c r="BA392" s="179" t="str">
        <f t="array" ref="BA392">IF($F392&lt;&gt;"",XLOOKUP($F392,Productos!$A:$A,Productos!AT:AT,"Revisar"),"")</f>
        <v/>
      </c>
      <c r="BB392" s="179" t="str">
        <f t="array" ref="BB392">IF($F392&lt;&gt;"", XLOOKUP($F392,Productos!$A$2:$A1001,Productos!AU$2:AU1001,"")*$G392,"")</f>
        <v/>
      </c>
      <c r="BC392" s="179" t="str">
        <f t="array" ref="BC392">IF($F392&lt;&gt;"",XLOOKUP($F392,Productos!$A:$A,Productos!AV:AV,"Revisar"),"")</f>
        <v/>
      </c>
      <c r="BD392" s="179" t="str">
        <f t="array" ref="BD392">IF($F392&lt;&gt;"", XLOOKUP($F392,Productos!$A$2:$A1001,Productos!AW$2:AW1001,"")*$G392,"")</f>
        <v/>
      </c>
      <c r="BE392" s="179" t="str">
        <f t="array" ref="BE392">IF($F392&lt;&gt;"",XLOOKUP($F392,Productos!$A:$A,Productos!AX:AX,"Revisar"),"")</f>
        <v/>
      </c>
      <c r="BF392" s="179" t="str">
        <f t="array" ref="BF392">IF($F392&lt;&gt;"", XLOOKUP($F392,Productos!$A$2:$A1001,Productos!AY$2:AY1001,"")*$G392,"")</f>
        <v/>
      </c>
      <c r="BG392" s="179" t="str">
        <f t="array" ref="BG392">IF($F392&lt;&gt;"",XLOOKUP($F392,Productos!$A:$A,Productos!AZ:AZ,"Revisar"),"")</f>
        <v/>
      </c>
      <c r="BH392" s="179" t="str">
        <f t="array" ref="BH392">IF($F392&lt;&gt;"", XLOOKUP($F392,Productos!$A$2:$A1001,Productos!BA$2:BA1001,"")*$G392,"")</f>
        <v/>
      </c>
      <c r="BI392" s="179" t="str">
        <f t="array" ref="BI392">IF($F392&lt;&gt;"",XLOOKUP($F392,Productos!$A:$A,Productos!BB:BB,"Revisar"),"")</f>
        <v/>
      </c>
      <c r="BJ392" s="179" t="str">
        <f t="array" ref="BJ392">IF($F392&lt;&gt;"", XLOOKUP($F392,Productos!$A$2:$A1001,Productos!BC$2:BC1001,"")*$G392,"")</f>
        <v/>
      </c>
      <c r="BK392" s="179" t="str">
        <f t="array" ref="BK392">IF($F392&lt;&gt;"",XLOOKUP($F392,Productos!$A:$A,Productos!BD:BD,"Revisar"),"")</f>
        <v/>
      </c>
      <c r="BL392" s="179" t="str">
        <f t="array" ref="BL392">IF($F392&lt;&gt;"", XLOOKUP($F392,Productos!$A$2:$A1001,Productos!BE$2:BE1001,"")*$G392,"")</f>
        <v/>
      </c>
      <c r="BM392" s="179" t="str">
        <f t="array" ref="BM392">IF($F392&lt;&gt;"",XLOOKUP($F392,Productos!$A:$A,Productos!BF:BF,"Revisar"),"")</f>
        <v/>
      </c>
      <c r="BN392" s="179" t="str">
        <f t="array" ref="BN392">IF($F392&lt;&gt;"", XLOOKUP($F392,Productos!$A$2:$A1001,Productos!BG$2:BG1001,"")*$G392,"")</f>
        <v/>
      </c>
      <c r="BO392" s="179" t="str">
        <f t="array" ref="BO392">IF($F392&lt;&gt;"",XLOOKUP($F392,Productos!$A:$A,Productos!BH:BH,"Revisar"),"")</f>
        <v/>
      </c>
      <c r="BP392" s="179" t="str">
        <f t="array" ref="BP392">IF($F392&lt;&gt;"", XLOOKUP($F392,Productos!$A$2:$A1001,Productos!BI$2:BI1001,"")*$G392,"")</f>
        <v/>
      </c>
      <c r="BQ392" s="179" t="str">
        <f t="array" ref="BQ392">IF($F392&lt;&gt;"",XLOOKUP($F392,Productos!$A:$A,Productos!BJ:BJ,"Revisar"),"")</f>
        <v/>
      </c>
      <c r="BR392" s="179" t="str">
        <f t="array" ref="BR392">IF($F392&lt;&gt;"", XLOOKUP($F392,Productos!$A$2:$A1001,Productos!BK$2:BK1001,"")*$G392,"")</f>
        <v/>
      </c>
      <c r="BS392" s="179" t="str">
        <f t="array" ref="BS392">IF($F392&lt;&gt;"",XLOOKUP($F392,Productos!$A:$A,Productos!BL:BL,"Revisar"),"")</f>
        <v/>
      </c>
      <c r="BT392" s="179" t="str">
        <f t="array" ref="BT392">IF($F392&lt;&gt;"", XLOOKUP($F392,Productos!$A$2:$A1001,Productos!BM$2:BM1001,"")*$G392,"")</f>
        <v/>
      </c>
      <c r="BU392" s="179" t="str">
        <f t="array" ref="BU392">IF($F392&lt;&gt;"",XLOOKUP($F392,Productos!$A:$A,Productos!BN:BN,"Revisar"),"")</f>
        <v/>
      </c>
      <c r="BV392" s="179" t="str">
        <f t="array" ref="BV392">IF($F392&lt;&gt;"", XLOOKUP($F392,Productos!$A$2:$A1001,Productos!BO$2:BO1001,"")*$G392,"")</f>
        <v/>
      </c>
      <c r="BW392" s="179" t="str">
        <f t="array" ref="BW392">IF($F392&lt;&gt;"",XLOOKUP($F392,Productos!$A:$A,Productos!BP:BP,"Revisar"),"")</f>
        <v/>
      </c>
      <c r="BX392" s="179" t="str">
        <f t="array" ref="BX392">IF($F392&lt;&gt;"", XLOOKUP($F392,Productos!$A$2:$A1001,Productos!BQ$2:BQ1001,"")*$G392,"")</f>
        <v/>
      </c>
      <c r="BY392" s="179" t="str">
        <f t="array" ref="BY392">IF($F392&lt;&gt;"",XLOOKUP($F392,Productos!$A:$A,Productos!BR:BR,"Revisar"),"")</f>
        <v/>
      </c>
      <c r="BZ392" s="179" t="str">
        <f t="array" ref="BZ392">IF($F392&lt;&gt;"", XLOOKUP($F392,Productos!$A$2:$A1001,Productos!BS$2:BS1001,"")*$G392,"")</f>
        <v/>
      </c>
    </row>
    <row r="393">
      <c r="A393" s="188"/>
      <c r="B393" s="189"/>
      <c r="C393" s="190"/>
      <c r="D393" s="190"/>
      <c r="E393" s="191"/>
      <c r="F393" s="186"/>
      <c r="G393" s="192"/>
      <c r="H393" s="9"/>
      <c r="I393" s="179" t="str">
        <f t="array" ref="I393">IF($F393&lt;&gt;"",XLOOKUP($F393,Productos!$A:$A,Productos!B:B,"Revisar"),"")</f>
        <v/>
      </c>
      <c r="J393" s="179" t="str">
        <f t="array" ref="J393">IF($F393&lt;&gt;"", XLOOKUP($F393,Productos!$A$2:$A1001,Productos!C$2:C1001,"")*$G393,"")</f>
        <v/>
      </c>
      <c r="K393" s="179" t="str">
        <f t="array" ref="K393">IF($F393&lt;&gt;"",XLOOKUP($F393,Productos!$A:$A,Productos!D:D,"Revisar"),"")</f>
        <v/>
      </c>
      <c r="L393" s="179" t="str">
        <f t="array" ref="L393">IF($F393&lt;&gt;"", XLOOKUP($F393,Productos!$A$2:$A1001,Productos!E$2:E1001,"")*$G393,"")</f>
        <v/>
      </c>
      <c r="M393" s="179" t="str">
        <f t="array" ref="M393">IF($F393&lt;&gt;"",XLOOKUP($F393,Productos!$A:$A,Productos!F:F,"Revisar"),"")</f>
        <v/>
      </c>
      <c r="N393" s="179" t="str">
        <f t="array" ref="N393">IF($F393&lt;&gt;"", XLOOKUP($F393,Productos!$A$2:$A1001,Productos!G$2:G1001,"")*$G393,"")</f>
        <v/>
      </c>
      <c r="O393" s="179" t="str">
        <f t="array" ref="O393">IF($F393&lt;&gt;"",XLOOKUP($F393,Productos!$A:$A,Productos!H:H,"Revisar"),"")</f>
        <v/>
      </c>
      <c r="P393" s="179" t="str">
        <f t="array" ref="P393">IF($F393&lt;&gt;"", XLOOKUP($F393,Productos!$A$2:$A1001,Productos!I$2:I1001,"")*$G393,"")</f>
        <v/>
      </c>
      <c r="Q393" s="179" t="str">
        <f t="array" ref="Q393">IF($F393&lt;&gt;"",XLOOKUP($F393,Productos!$A:$A,Productos!J:J,"Revisar"),"")</f>
        <v/>
      </c>
      <c r="R393" s="179" t="str">
        <f t="array" ref="R393">IF($F393&lt;&gt;"", XLOOKUP($F393,Productos!$A$2:$A1001,Productos!K$2:K1001,"")*$G393,"")</f>
        <v/>
      </c>
      <c r="S393" s="179" t="str">
        <f t="array" ref="S393">IF($F393&lt;&gt;"",XLOOKUP($F393,Productos!$A:$A,Productos!L:L,"Revisar"),"")</f>
        <v/>
      </c>
      <c r="T393" s="179" t="str">
        <f t="array" ref="T393">IF($F393&lt;&gt;"", XLOOKUP($F393,Productos!$A$2:$A1001,Productos!M$2:M1001,"")*$G393,"")</f>
        <v/>
      </c>
      <c r="U393" s="179" t="str">
        <f t="array" ref="U393">IF($F393&lt;&gt;"",XLOOKUP($F393,Productos!$A:$A,Productos!N:N,"Revisar"),"")</f>
        <v/>
      </c>
      <c r="V393" s="179" t="str">
        <f t="array" ref="V393">IF($F393&lt;&gt;"", XLOOKUP($F393,Productos!$A$2:$A1001,Productos!O$2:O1001,"")*$G393,"")</f>
        <v/>
      </c>
      <c r="W393" s="179" t="str">
        <f t="array" ref="W393">IF($F393&lt;&gt;"",XLOOKUP($F393,Productos!$A:$A,Productos!P:P,"Revisar"),"")</f>
        <v/>
      </c>
      <c r="X393" s="179" t="str">
        <f t="array" ref="X393">IF($F393&lt;&gt;"", XLOOKUP($F393,Productos!$A$2:$A1001,Productos!Q$2:Q1001,"")*$G393,"")</f>
        <v/>
      </c>
      <c r="Y393" s="179" t="str">
        <f t="array" ref="Y393">IF($F393&lt;&gt;"",XLOOKUP($F393,Productos!$A:$A,Productos!R:R,"Revisar"),"")</f>
        <v/>
      </c>
      <c r="Z393" s="179" t="str">
        <f t="array" ref="Z393">IF($F393&lt;&gt;"", XLOOKUP($F393,Productos!$A$2:$A1001,Productos!S$2:S1001,"")*$G393,"")</f>
        <v/>
      </c>
      <c r="AA393" s="179" t="str">
        <f t="array" ref="AA393">IF($F393&lt;&gt;"",XLOOKUP($F393,Productos!$A:$A,Productos!T:T,"Revisar"),"")</f>
        <v/>
      </c>
      <c r="AB393" s="179" t="str">
        <f t="array" ref="AB393">IF($F393&lt;&gt;"", XLOOKUP($F393,Productos!$A$2:$A1001,Productos!U$2:U1001,"")*$G393,"")</f>
        <v/>
      </c>
      <c r="AC393" s="179" t="str">
        <f t="array" ref="AC393">IF($F393&lt;&gt;"",XLOOKUP($F393,Productos!$A:$A,Productos!V:V,"Revisar"),"")</f>
        <v/>
      </c>
      <c r="AD393" s="179" t="str">
        <f t="array" ref="AD393">IF($F393&lt;&gt;"", XLOOKUP($F393,Productos!$A$2:$A1001,Productos!W$2:W1001,"")*$G393,"")</f>
        <v/>
      </c>
      <c r="AE393" s="179" t="str">
        <f t="array" ref="AE393">IF($F393&lt;&gt;"",XLOOKUP($F393,Productos!$A:$A,Productos!X:X,"Revisar"),"")</f>
        <v/>
      </c>
      <c r="AF393" s="179" t="str">
        <f t="array" ref="AF393">IF($F393&lt;&gt;"", XLOOKUP($F393,Productos!$A$2:$A1001,Productos!Y$2:Y1001,"")*$G393,"")</f>
        <v/>
      </c>
      <c r="AG393" s="179" t="str">
        <f t="array" ref="AG393">IF($F393&lt;&gt;"",XLOOKUP($F393,Productos!$A:$A,Productos!Z:Z,"Revisar"),"")</f>
        <v/>
      </c>
      <c r="AH393" s="179" t="str">
        <f t="array" ref="AH393">IF($F393&lt;&gt;"", XLOOKUP($F393,Productos!$A$2:$A1001,Productos!AA$2:AA1001,"")*$G393,"")</f>
        <v/>
      </c>
      <c r="AI393" s="179" t="str">
        <f t="array" ref="AI393">IF($F393&lt;&gt;"",XLOOKUP($F393,Productos!$A:$A,Productos!AB:AB,"Revisar"),"")</f>
        <v/>
      </c>
      <c r="AJ393" s="179" t="str">
        <f t="array" ref="AJ393">IF($F393&lt;&gt;"", XLOOKUP($F393,Productos!$A$2:$A1001,Productos!AC$2:AC1001,"")*$G393,"")</f>
        <v/>
      </c>
      <c r="AK393" s="179" t="str">
        <f t="array" ref="AK393">IF($F393&lt;&gt;"",XLOOKUP($F393,Productos!$A:$A,Productos!AD:AD,"Revisar"),"")</f>
        <v/>
      </c>
      <c r="AL393" s="179" t="str">
        <f t="array" ref="AL393">IF($F393&lt;&gt;"", XLOOKUP($F393,Productos!$A$2:$A1001,Productos!AE$2:AE1001,"")*$G393,"")</f>
        <v/>
      </c>
      <c r="AM393" s="179" t="str">
        <f t="array" ref="AM393">IF($F393&lt;&gt;"",XLOOKUP($F393,Productos!$A:$A,Productos!AF:AF,"Revisar"),"")</f>
        <v/>
      </c>
      <c r="AN393" s="179" t="str">
        <f t="array" ref="AN393">IF($F393&lt;&gt;"", XLOOKUP($F393,Productos!$A$2:$A1001,Productos!AG$2:AG1001,"")*$G393,"")</f>
        <v/>
      </c>
      <c r="AO393" s="179" t="str">
        <f t="array" ref="AO393">IF($F393&lt;&gt;"",XLOOKUP($F393,Productos!$A:$A,Productos!AH:AH,"Revisar"),"")</f>
        <v/>
      </c>
      <c r="AP393" s="179" t="str">
        <f t="array" ref="AP393">IF($F393&lt;&gt;"", XLOOKUP($F393,Productos!$A$2:$A1001,Productos!AI$2:AI1001,"")*$G393,"")</f>
        <v/>
      </c>
      <c r="AQ393" s="179" t="str">
        <f t="array" ref="AQ393">IF($F393&lt;&gt;"",XLOOKUP($F393,Productos!$A:$A,Productos!AJ:AJ,"Revisar"),"")</f>
        <v/>
      </c>
      <c r="AR393" s="179" t="str">
        <f t="array" ref="AR393">IF($F393&lt;&gt;"", XLOOKUP($F393,Productos!$A$2:$A1001,Productos!AK$2:AK1001,"")*$G393,"")</f>
        <v/>
      </c>
      <c r="AS393" s="179" t="str">
        <f t="array" ref="AS393">IF($F393&lt;&gt;"",XLOOKUP($F393,Productos!$A:$A,Productos!AL:AL,"Revisar"),"")</f>
        <v/>
      </c>
      <c r="AT393" s="179" t="str">
        <f t="array" ref="AT393">IF($F393&lt;&gt;"", XLOOKUP($F393,Productos!$A$2:$A1001,Productos!AM$2:AM1001,"")*$G393,"")</f>
        <v/>
      </c>
      <c r="AU393" s="179" t="str">
        <f t="array" ref="AU393">IF($F393&lt;&gt;"",XLOOKUP($F393,Productos!$A:$A,Productos!AN:AN,"Revisar"),"")</f>
        <v/>
      </c>
      <c r="AV393" s="179" t="str">
        <f t="array" ref="AV393">IF($F393&lt;&gt;"", XLOOKUP($F393,Productos!$A$2:$A1001,Productos!AO$2:AO1001,"")*$G393,"")</f>
        <v/>
      </c>
      <c r="AW393" s="179" t="str">
        <f t="array" ref="AW393">IF($F393&lt;&gt;"",XLOOKUP($F393,Productos!$A:$A,Productos!AP:AP,"Revisar"),"")</f>
        <v/>
      </c>
      <c r="AX393" s="179" t="str">
        <f t="array" ref="AX393">IF($F393&lt;&gt;"", XLOOKUP($F393,Productos!$A$2:$A1001,Productos!AQ$2:AQ1001,"")*$G393,"")</f>
        <v/>
      </c>
      <c r="AY393" s="179" t="str">
        <f t="array" ref="AY393">IF($F393&lt;&gt;"",XLOOKUP($F393,Productos!$A:$A,Productos!AR:AR,"Revisar"),"")</f>
        <v/>
      </c>
      <c r="AZ393" s="179" t="str">
        <f t="array" ref="AZ393">IF($F393&lt;&gt;"", XLOOKUP($F393,Productos!$A$2:$A1001,Productos!AS$2:AS1001,"")*$G393,"")</f>
        <v/>
      </c>
      <c r="BA393" s="179" t="str">
        <f t="array" ref="BA393">IF($F393&lt;&gt;"",XLOOKUP($F393,Productos!$A:$A,Productos!AT:AT,"Revisar"),"")</f>
        <v/>
      </c>
      <c r="BB393" s="179" t="str">
        <f t="array" ref="BB393">IF($F393&lt;&gt;"", XLOOKUP($F393,Productos!$A$2:$A1001,Productos!AU$2:AU1001,"")*$G393,"")</f>
        <v/>
      </c>
      <c r="BC393" s="179" t="str">
        <f t="array" ref="BC393">IF($F393&lt;&gt;"",XLOOKUP($F393,Productos!$A:$A,Productos!AV:AV,"Revisar"),"")</f>
        <v/>
      </c>
      <c r="BD393" s="179" t="str">
        <f t="array" ref="BD393">IF($F393&lt;&gt;"", XLOOKUP($F393,Productos!$A$2:$A1001,Productos!AW$2:AW1001,"")*$G393,"")</f>
        <v/>
      </c>
      <c r="BE393" s="179" t="str">
        <f t="array" ref="BE393">IF($F393&lt;&gt;"",XLOOKUP($F393,Productos!$A:$A,Productos!AX:AX,"Revisar"),"")</f>
        <v/>
      </c>
      <c r="BF393" s="179" t="str">
        <f t="array" ref="BF393">IF($F393&lt;&gt;"", XLOOKUP($F393,Productos!$A$2:$A1001,Productos!AY$2:AY1001,"")*$G393,"")</f>
        <v/>
      </c>
      <c r="BG393" s="179" t="str">
        <f t="array" ref="BG393">IF($F393&lt;&gt;"",XLOOKUP($F393,Productos!$A:$A,Productos!AZ:AZ,"Revisar"),"")</f>
        <v/>
      </c>
      <c r="BH393" s="179" t="str">
        <f t="array" ref="BH393">IF($F393&lt;&gt;"", XLOOKUP($F393,Productos!$A$2:$A1001,Productos!BA$2:BA1001,"")*$G393,"")</f>
        <v/>
      </c>
      <c r="BI393" s="179" t="str">
        <f t="array" ref="BI393">IF($F393&lt;&gt;"",XLOOKUP($F393,Productos!$A:$A,Productos!BB:BB,"Revisar"),"")</f>
        <v/>
      </c>
      <c r="BJ393" s="179" t="str">
        <f t="array" ref="BJ393">IF($F393&lt;&gt;"", XLOOKUP($F393,Productos!$A$2:$A1001,Productos!BC$2:BC1001,"")*$G393,"")</f>
        <v/>
      </c>
      <c r="BK393" s="179" t="str">
        <f t="array" ref="BK393">IF($F393&lt;&gt;"",XLOOKUP($F393,Productos!$A:$A,Productos!BD:BD,"Revisar"),"")</f>
        <v/>
      </c>
      <c r="BL393" s="179" t="str">
        <f t="array" ref="BL393">IF($F393&lt;&gt;"", XLOOKUP($F393,Productos!$A$2:$A1001,Productos!BE$2:BE1001,"")*$G393,"")</f>
        <v/>
      </c>
      <c r="BM393" s="179" t="str">
        <f t="array" ref="BM393">IF($F393&lt;&gt;"",XLOOKUP($F393,Productos!$A:$A,Productos!BF:BF,"Revisar"),"")</f>
        <v/>
      </c>
      <c r="BN393" s="179" t="str">
        <f t="array" ref="BN393">IF($F393&lt;&gt;"", XLOOKUP($F393,Productos!$A$2:$A1001,Productos!BG$2:BG1001,"")*$G393,"")</f>
        <v/>
      </c>
      <c r="BO393" s="179" t="str">
        <f t="array" ref="BO393">IF($F393&lt;&gt;"",XLOOKUP($F393,Productos!$A:$A,Productos!BH:BH,"Revisar"),"")</f>
        <v/>
      </c>
      <c r="BP393" s="179" t="str">
        <f t="array" ref="BP393">IF($F393&lt;&gt;"", XLOOKUP($F393,Productos!$A$2:$A1001,Productos!BI$2:BI1001,"")*$G393,"")</f>
        <v/>
      </c>
      <c r="BQ393" s="179" t="str">
        <f t="array" ref="BQ393">IF($F393&lt;&gt;"",XLOOKUP($F393,Productos!$A:$A,Productos!BJ:BJ,"Revisar"),"")</f>
        <v/>
      </c>
      <c r="BR393" s="179" t="str">
        <f t="array" ref="BR393">IF($F393&lt;&gt;"", XLOOKUP($F393,Productos!$A$2:$A1001,Productos!BK$2:BK1001,"")*$G393,"")</f>
        <v/>
      </c>
      <c r="BS393" s="179" t="str">
        <f t="array" ref="BS393">IF($F393&lt;&gt;"",XLOOKUP($F393,Productos!$A:$A,Productos!BL:BL,"Revisar"),"")</f>
        <v/>
      </c>
      <c r="BT393" s="179" t="str">
        <f t="array" ref="BT393">IF($F393&lt;&gt;"", XLOOKUP($F393,Productos!$A$2:$A1001,Productos!BM$2:BM1001,"")*$G393,"")</f>
        <v/>
      </c>
      <c r="BU393" s="179" t="str">
        <f t="array" ref="BU393">IF($F393&lt;&gt;"",XLOOKUP($F393,Productos!$A:$A,Productos!BN:BN,"Revisar"),"")</f>
        <v/>
      </c>
      <c r="BV393" s="179" t="str">
        <f t="array" ref="BV393">IF($F393&lt;&gt;"", XLOOKUP($F393,Productos!$A$2:$A1001,Productos!BO$2:BO1001,"")*$G393,"")</f>
        <v/>
      </c>
      <c r="BW393" s="179" t="str">
        <f t="array" ref="BW393">IF($F393&lt;&gt;"",XLOOKUP($F393,Productos!$A:$A,Productos!BP:BP,"Revisar"),"")</f>
        <v/>
      </c>
      <c r="BX393" s="179" t="str">
        <f t="array" ref="BX393">IF($F393&lt;&gt;"", XLOOKUP($F393,Productos!$A$2:$A1001,Productos!BQ$2:BQ1001,"")*$G393,"")</f>
        <v/>
      </c>
      <c r="BY393" s="179" t="str">
        <f t="array" ref="BY393">IF($F393&lt;&gt;"",XLOOKUP($F393,Productos!$A:$A,Productos!BR:BR,"Revisar"),"")</f>
        <v/>
      </c>
      <c r="BZ393" s="179" t="str">
        <f t="array" ref="BZ393">IF($F393&lt;&gt;"", XLOOKUP($F393,Productos!$A$2:$A1001,Productos!BS$2:BS1001,"")*$G393,"")</f>
        <v/>
      </c>
    </row>
    <row r="394">
      <c r="A394" s="188"/>
      <c r="B394" s="189"/>
      <c r="C394" s="190"/>
      <c r="D394" s="190"/>
      <c r="E394" s="191"/>
      <c r="F394" s="186"/>
      <c r="G394" s="192"/>
      <c r="H394" s="9"/>
      <c r="I394" s="179" t="str">
        <f t="array" ref="I394">IF($F394&lt;&gt;"",XLOOKUP($F394,Productos!$A:$A,Productos!B:B,"Revisar"),"")</f>
        <v/>
      </c>
      <c r="J394" s="179" t="str">
        <f t="array" ref="J394">IF($F394&lt;&gt;"", XLOOKUP($F394,Productos!$A$2:$A1001,Productos!C$2:C1001,"")*$G394,"")</f>
        <v/>
      </c>
      <c r="K394" s="179" t="str">
        <f t="array" ref="K394">IF($F394&lt;&gt;"",XLOOKUP($F394,Productos!$A:$A,Productos!D:D,"Revisar"),"")</f>
        <v/>
      </c>
      <c r="L394" s="179" t="str">
        <f t="array" ref="L394">IF($F394&lt;&gt;"", XLOOKUP($F394,Productos!$A$2:$A1001,Productos!E$2:E1001,"")*$G394,"")</f>
        <v/>
      </c>
      <c r="M394" s="179" t="str">
        <f t="array" ref="M394">IF($F394&lt;&gt;"",XLOOKUP($F394,Productos!$A:$A,Productos!F:F,"Revisar"),"")</f>
        <v/>
      </c>
      <c r="N394" s="179" t="str">
        <f t="array" ref="N394">IF($F394&lt;&gt;"", XLOOKUP($F394,Productos!$A$2:$A1001,Productos!G$2:G1001,"")*$G394,"")</f>
        <v/>
      </c>
      <c r="O394" s="179" t="str">
        <f t="array" ref="O394">IF($F394&lt;&gt;"",XLOOKUP($F394,Productos!$A:$A,Productos!H:H,"Revisar"),"")</f>
        <v/>
      </c>
      <c r="P394" s="179" t="str">
        <f t="array" ref="P394">IF($F394&lt;&gt;"", XLOOKUP($F394,Productos!$A$2:$A1001,Productos!I$2:I1001,"")*$G394,"")</f>
        <v/>
      </c>
      <c r="Q394" s="179" t="str">
        <f t="array" ref="Q394">IF($F394&lt;&gt;"",XLOOKUP($F394,Productos!$A:$A,Productos!J:J,"Revisar"),"")</f>
        <v/>
      </c>
      <c r="R394" s="179" t="str">
        <f t="array" ref="R394">IF($F394&lt;&gt;"", XLOOKUP($F394,Productos!$A$2:$A1001,Productos!K$2:K1001,"")*$G394,"")</f>
        <v/>
      </c>
      <c r="S394" s="179" t="str">
        <f t="array" ref="S394">IF($F394&lt;&gt;"",XLOOKUP($F394,Productos!$A:$A,Productos!L:L,"Revisar"),"")</f>
        <v/>
      </c>
      <c r="T394" s="179" t="str">
        <f t="array" ref="T394">IF($F394&lt;&gt;"", XLOOKUP($F394,Productos!$A$2:$A1001,Productos!M$2:M1001,"")*$G394,"")</f>
        <v/>
      </c>
      <c r="U394" s="179" t="str">
        <f t="array" ref="U394">IF($F394&lt;&gt;"",XLOOKUP($F394,Productos!$A:$A,Productos!N:N,"Revisar"),"")</f>
        <v/>
      </c>
      <c r="V394" s="179" t="str">
        <f t="array" ref="V394">IF($F394&lt;&gt;"", XLOOKUP($F394,Productos!$A$2:$A1001,Productos!O$2:O1001,"")*$G394,"")</f>
        <v/>
      </c>
      <c r="W394" s="179" t="str">
        <f t="array" ref="W394">IF($F394&lt;&gt;"",XLOOKUP($F394,Productos!$A:$A,Productos!P:P,"Revisar"),"")</f>
        <v/>
      </c>
      <c r="X394" s="179" t="str">
        <f t="array" ref="X394">IF($F394&lt;&gt;"", XLOOKUP($F394,Productos!$A$2:$A1001,Productos!Q$2:Q1001,"")*$G394,"")</f>
        <v/>
      </c>
      <c r="Y394" s="179" t="str">
        <f t="array" ref="Y394">IF($F394&lt;&gt;"",XLOOKUP($F394,Productos!$A:$A,Productos!R:R,"Revisar"),"")</f>
        <v/>
      </c>
      <c r="Z394" s="179" t="str">
        <f t="array" ref="Z394">IF($F394&lt;&gt;"", XLOOKUP($F394,Productos!$A$2:$A1001,Productos!S$2:S1001,"")*$G394,"")</f>
        <v/>
      </c>
      <c r="AA394" s="179" t="str">
        <f t="array" ref="AA394">IF($F394&lt;&gt;"",XLOOKUP($F394,Productos!$A:$A,Productos!T:T,"Revisar"),"")</f>
        <v/>
      </c>
      <c r="AB394" s="179" t="str">
        <f t="array" ref="AB394">IF($F394&lt;&gt;"", XLOOKUP($F394,Productos!$A$2:$A1001,Productos!U$2:U1001,"")*$G394,"")</f>
        <v/>
      </c>
      <c r="AC394" s="179" t="str">
        <f t="array" ref="AC394">IF($F394&lt;&gt;"",XLOOKUP($F394,Productos!$A:$A,Productos!V:V,"Revisar"),"")</f>
        <v/>
      </c>
      <c r="AD394" s="179" t="str">
        <f t="array" ref="AD394">IF($F394&lt;&gt;"", XLOOKUP($F394,Productos!$A$2:$A1001,Productos!W$2:W1001,"")*$G394,"")</f>
        <v/>
      </c>
      <c r="AE394" s="179" t="str">
        <f t="array" ref="AE394">IF($F394&lt;&gt;"",XLOOKUP($F394,Productos!$A:$A,Productos!X:X,"Revisar"),"")</f>
        <v/>
      </c>
      <c r="AF394" s="179" t="str">
        <f t="array" ref="AF394">IF($F394&lt;&gt;"", XLOOKUP($F394,Productos!$A$2:$A1001,Productos!Y$2:Y1001,"")*$G394,"")</f>
        <v/>
      </c>
      <c r="AG394" s="179" t="str">
        <f t="array" ref="AG394">IF($F394&lt;&gt;"",XLOOKUP($F394,Productos!$A:$A,Productos!Z:Z,"Revisar"),"")</f>
        <v/>
      </c>
      <c r="AH394" s="179" t="str">
        <f t="array" ref="AH394">IF($F394&lt;&gt;"", XLOOKUP($F394,Productos!$A$2:$A1001,Productos!AA$2:AA1001,"")*$G394,"")</f>
        <v/>
      </c>
      <c r="AI394" s="179" t="str">
        <f t="array" ref="AI394">IF($F394&lt;&gt;"",XLOOKUP($F394,Productos!$A:$A,Productos!AB:AB,"Revisar"),"")</f>
        <v/>
      </c>
      <c r="AJ394" s="179" t="str">
        <f t="array" ref="AJ394">IF($F394&lt;&gt;"", XLOOKUP($F394,Productos!$A$2:$A1001,Productos!AC$2:AC1001,"")*$G394,"")</f>
        <v/>
      </c>
      <c r="AK394" s="179" t="str">
        <f t="array" ref="AK394">IF($F394&lt;&gt;"",XLOOKUP($F394,Productos!$A:$A,Productos!AD:AD,"Revisar"),"")</f>
        <v/>
      </c>
      <c r="AL394" s="179" t="str">
        <f t="array" ref="AL394">IF($F394&lt;&gt;"", XLOOKUP($F394,Productos!$A$2:$A1001,Productos!AE$2:AE1001,"")*$G394,"")</f>
        <v/>
      </c>
      <c r="AM394" s="179" t="str">
        <f t="array" ref="AM394">IF($F394&lt;&gt;"",XLOOKUP($F394,Productos!$A:$A,Productos!AF:AF,"Revisar"),"")</f>
        <v/>
      </c>
      <c r="AN394" s="179" t="str">
        <f t="array" ref="AN394">IF($F394&lt;&gt;"", XLOOKUP($F394,Productos!$A$2:$A1001,Productos!AG$2:AG1001,"")*$G394,"")</f>
        <v/>
      </c>
      <c r="AO394" s="179" t="str">
        <f t="array" ref="AO394">IF($F394&lt;&gt;"",XLOOKUP($F394,Productos!$A:$A,Productos!AH:AH,"Revisar"),"")</f>
        <v/>
      </c>
      <c r="AP394" s="179" t="str">
        <f t="array" ref="AP394">IF($F394&lt;&gt;"", XLOOKUP($F394,Productos!$A$2:$A1001,Productos!AI$2:AI1001,"")*$G394,"")</f>
        <v/>
      </c>
      <c r="AQ394" s="179" t="str">
        <f t="array" ref="AQ394">IF($F394&lt;&gt;"",XLOOKUP($F394,Productos!$A:$A,Productos!AJ:AJ,"Revisar"),"")</f>
        <v/>
      </c>
      <c r="AR394" s="179" t="str">
        <f t="array" ref="AR394">IF($F394&lt;&gt;"", XLOOKUP($F394,Productos!$A$2:$A1001,Productos!AK$2:AK1001,"")*$G394,"")</f>
        <v/>
      </c>
      <c r="AS394" s="179" t="str">
        <f t="array" ref="AS394">IF($F394&lt;&gt;"",XLOOKUP($F394,Productos!$A:$A,Productos!AL:AL,"Revisar"),"")</f>
        <v/>
      </c>
      <c r="AT394" s="179" t="str">
        <f t="array" ref="AT394">IF($F394&lt;&gt;"", XLOOKUP($F394,Productos!$A$2:$A1001,Productos!AM$2:AM1001,"")*$G394,"")</f>
        <v/>
      </c>
      <c r="AU394" s="179" t="str">
        <f t="array" ref="AU394">IF($F394&lt;&gt;"",XLOOKUP($F394,Productos!$A:$A,Productos!AN:AN,"Revisar"),"")</f>
        <v/>
      </c>
      <c r="AV394" s="179" t="str">
        <f t="array" ref="AV394">IF($F394&lt;&gt;"", XLOOKUP($F394,Productos!$A$2:$A1001,Productos!AO$2:AO1001,"")*$G394,"")</f>
        <v/>
      </c>
      <c r="AW394" s="179" t="str">
        <f t="array" ref="AW394">IF($F394&lt;&gt;"",XLOOKUP($F394,Productos!$A:$A,Productos!AP:AP,"Revisar"),"")</f>
        <v/>
      </c>
      <c r="AX394" s="179" t="str">
        <f t="array" ref="AX394">IF($F394&lt;&gt;"", XLOOKUP($F394,Productos!$A$2:$A1001,Productos!AQ$2:AQ1001,"")*$G394,"")</f>
        <v/>
      </c>
      <c r="AY394" s="179" t="str">
        <f t="array" ref="AY394">IF($F394&lt;&gt;"",XLOOKUP($F394,Productos!$A:$A,Productos!AR:AR,"Revisar"),"")</f>
        <v/>
      </c>
      <c r="AZ394" s="179" t="str">
        <f t="array" ref="AZ394">IF($F394&lt;&gt;"", XLOOKUP($F394,Productos!$A$2:$A1001,Productos!AS$2:AS1001,"")*$G394,"")</f>
        <v/>
      </c>
      <c r="BA394" s="179" t="str">
        <f t="array" ref="BA394">IF($F394&lt;&gt;"",XLOOKUP($F394,Productos!$A:$A,Productos!AT:AT,"Revisar"),"")</f>
        <v/>
      </c>
      <c r="BB394" s="179" t="str">
        <f t="array" ref="BB394">IF($F394&lt;&gt;"", XLOOKUP($F394,Productos!$A$2:$A1001,Productos!AU$2:AU1001,"")*$G394,"")</f>
        <v/>
      </c>
      <c r="BC394" s="179" t="str">
        <f t="array" ref="BC394">IF($F394&lt;&gt;"",XLOOKUP($F394,Productos!$A:$A,Productos!AV:AV,"Revisar"),"")</f>
        <v/>
      </c>
      <c r="BD394" s="179" t="str">
        <f t="array" ref="BD394">IF($F394&lt;&gt;"", XLOOKUP($F394,Productos!$A$2:$A1001,Productos!AW$2:AW1001,"")*$G394,"")</f>
        <v/>
      </c>
      <c r="BE394" s="179" t="str">
        <f t="array" ref="BE394">IF($F394&lt;&gt;"",XLOOKUP($F394,Productos!$A:$A,Productos!AX:AX,"Revisar"),"")</f>
        <v/>
      </c>
      <c r="BF394" s="179" t="str">
        <f t="array" ref="BF394">IF($F394&lt;&gt;"", XLOOKUP($F394,Productos!$A$2:$A1001,Productos!AY$2:AY1001,"")*$G394,"")</f>
        <v/>
      </c>
      <c r="BG394" s="179" t="str">
        <f t="array" ref="BG394">IF($F394&lt;&gt;"",XLOOKUP($F394,Productos!$A:$A,Productos!AZ:AZ,"Revisar"),"")</f>
        <v/>
      </c>
      <c r="BH394" s="179" t="str">
        <f t="array" ref="BH394">IF($F394&lt;&gt;"", XLOOKUP($F394,Productos!$A$2:$A1001,Productos!BA$2:BA1001,"")*$G394,"")</f>
        <v/>
      </c>
      <c r="BI394" s="179" t="str">
        <f t="array" ref="BI394">IF($F394&lt;&gt;"",XLOOKUP($F394,Productos!$A:$A,Productos!BB:BB,"Revisar"),"")</f>
        <v/>
      </c>
      <c r="BJ394" s="179" t="str">
        <f t="array" ref="BJ394">IF($F394&lt;&gt;"", XLOOKUP($F394,Productos!$A$2:$A1001,Productos!BC$2:BC1001,"")*$G394,"")</f>
        <v/>
      </c>
      <c r="BK394" s="179" t="str">
        <f t="array" ref="BK394">IF($F394&lt;&gt;"",XLOOKUP($F394,Productos!$A:$A,Productos!BD:BD,"Revisar"),"")</f>
        <v/>
      </c>
      <c r="BL394" s="179" t="str">
        <f t="array" ref="BL394">IF($F394&lt;&gt;"", XLOOKUP($F394,Productos!$A$2:$A1001,Productos!BE$2:BE1001,"")*$G394,"")</f>
        <v/>
      </c>
      <c r="BM394" s="179" t="str">
        <f t="array" ref="BM394">IF($F394&lt;&gt;"",XLOOKUP($F394,Productos!$A:$A,Productos!BF:BF,"Revisar"),"")</f>
        <v/>
      </c>
      <c r="BN394" s="179" t="str">
        <f t="array" ref="BN394">IF($F394&lt;&gt;"", XLOOKUP($F394,Productos!$A$2:$A1001,Productos!BG$2:BG1001,"")*$G394,"")</f>
        <v/>
      </c>
      <c r="BO394" s="179" t="str">
        <f t="array" ref="BO394">IF($F394&lt;&gt;"",XLOOKUP($F394,Productos!$A:$A,Productos!BH:BH,"Revisar"),"")</f>
        <v/>
      </c>
      <c r="BP394" s="179" t="str">
        <f t="array" ref="BP394">IF($F394&lt;&gt;"", XLOOKUP($F394,Productos!$A$2:$A1001,Productos!BI$2:BI1001,"")*$G394,"")</f>
        <v/>
      </c>
      <c r="BQ394" s="179" t="str">
        <f t="array" ref="BQ394">IF($F394&lt;&gt;"",XLOOKUP($F394,Productos!$A:$A,Productos!BJ:BJ,"Revisar"),"")</f>
        <v/>
      </c>
      <c r="BR394" s="179" t="str">
        <f t="array" ref="BR394">IF($F394&lt;&gt;"", XLOOKUP($F394,Productos!$A$2:$A1001,Productos!BK$2:BK1001,"")*$G394,"")</f>
        <v/>
      </c>
      <c r="BS394" s="179" t="str">
        <f t="array" ref="BS394">IF($F394&lt;&gt;"",XLOOKUP($F394,Productos!$A:$A,Productos!BL:BL,"Revisar"),"")</f>
        <v/>
      </c>
      <c r="BT394" s="179" t="str">
        <f t="array" ref="BT394">IF($F394&lt;&gt;"", XLOOKUP($F394,Productos!$A$2:$A1001,Productos!BM$2:BM1001,"")*$G394,"")</f>
        <v/>
      </c>
      <c r="BU394" s="179" t="str">
        <f t="array" ref="BU394">IF($F394&lt;&gt;"",XLOOKUP($F394,Productos!$A:$A,Productos!BN:BN,"Revisar"),"")</f>
        <v/>
      </c>
      <c r="BV394" s="179" t="str">
        <f t="array" ref="BV394">IF($F394&lt;&gt;"", XLOOKUP($F394,Productos!$A$2:$A1001,Productos!BO$2:BO1001,"")*$G394,"")</f>
        <v/>
      </c>
      <c r="BW394" s="179" t="str">
        <f t="array" ref="BW394">IF($F394&lt;&gt;"",XLOOKUP($F394,Productos!$A:$A,Productos!BP:BP,"Revisar"),"")</f>
        <v/>
      </c>
      <c r="BX394" s="179" t="str">
        <f t="array" ref="BX394">IF($F394&lt;&gt;"", XLOOKUP($F394,Productos!$A$2:$A1001,Productos!BQ$2:BQ1001,"")*$G394,"")</f>
        <v/>
      </c>
      <c r="BY394" s="179" t="str">
        <f t="array" ref="BY394">IF($F394&lt;&gt;"",XLOOKUP($F394,Productos!$A:$A,Productos!BR:BR,"Revisar"),"")</f>
        <v/>
      </c>
      <c r="BZ394" s="179" t="str">
        <f t="array" ref="BZ394">IF($F394&lt;&gt;"", XLOOKUP($F394,Productos!$A$2:$A1001,Productos!BS$2:BS1001,"")*$G394,"")</f>
        <v/>
      </c>
    </row>
    <row r="395">
      <c r="A395" s="188"/>
      <c r="B395" s="189"/>
      <c r="C395" s="190"/>
      <c r="D395" s="190"/>
      <c r="E395" s="191"/>
      <c r="F395" s="186"/>
      <c r="G395" s="192"/>
      <c r="H395" s="9"/>
      <c r="I395" s="179" t="str">
        <f t="array" ref="I395">IF($F395&lt;&gt;"",XLOOKUP($F395,Productos!$A:$A,Productos!B:B,"Revisar"),"")</f>
        <v/>
      </c>
      <c r="J395" s="179" t="str">
        <f t="array" ref="J395">IF($F395&lt;&gt;"", XLOOKUP($F395,Productos!$A$2:$A1001,Productos!C$2:C1001,"")*$G395,"")</f>
        <v/>
      </c>
      <c r="K395" s="179" t="str">
        <f t="array" ref="K395">IF($F395&lt;&gt;"",XLOOKUP($F395,Productos!$A:$A,Productos!D:D,"Revisar"),"")</f>
        <v/>
      </c>
      <c r="L395" s="179" t="str">
        <f t="array" ref="L395">IF($F395&lt;&gt;"", XLOOKUP($F395,Productos!$A$2:$A1001,Productos!E$2:E1001,"")*$G395,"")</f>
        <v/>
      </c>
      <c r="M395" s="179" t="str">
        <f t="array" ref="M395">IF($F395&lt;&gt;"",XLOOKUP($F395,Productos!$A:$A,Productos!F:F,"Revisar"),"")</f>
        <v/>
      </c>
      <c r="N395" s="179" t="str">
        <f t="array" ref="N395">IF($F395&lt;&gt;"", XLOOKUP($F395,Productos!$A$2:$A1001,Productos!G$2:G1001,"")*$G395,"")</f>
        <v/>
      </c>
      <c r="O395" s="179" t="str">
        <f t="array" ref="O395">IF($F395&lt;&gt;"",XLOOKUP($F395,Productos!$A:$A,Productos!H:H,"Revisar"),"")</f>
        <v/>
      </c>
      <c r="P395" s="179" t="str">
        <f t="array" ref="P395">IF($F395&lt;&gt;"", XLOOKUP($F395,Productos!$A$2:$A1001,Productos!I$2:I1001,"")*$G395,"")</f>
        <v/>
      </c>
      <c r="Q395" s="179" t="str">
        <f t="array" ref="Q395">IF($F395&lt;&gt;"",XLOOKUP($F395,Productos!$A:$A,Productos!J:J,"Revisar"),"")</f>
        <v/>
      </c>
      <c r="R395" s="179" t="str">
        <f t="array" ref="R395">IF($F395&lt;&gt;"", XLOOKUP($F395,Productos!$A$2:$A1001,Productos!K$2:K1001,"")*$G395,"")</f>
        <v/>
      </c>
      <c r="S395" s="179" t="str">
        <f t="array" ref="S395">IF($F395&lt;&gt;"",XLOOKUP($F395,Productos!$A:$A,Productos!L:L,"Revisar"),"")</f>
        <v/>
      </c>
      <c r="T395" s="179" t="str">
        <f t="array" ref="T395">IF($F395&lt;&gt;"", XLOOKUP($F395,Productos!$A$2:$A1001,Productos!M$2:M1001,"")*$G395,"")</f>
        <v/>
      </c>
      <c r="U395" s="179" t="str">
        <f t="array" ref="U395">IF($F395&lt;&gt;"",XLOOKUP($F395,Productos!$A:$A,Productos!N:N,"Revisar"),"")</f>
        <v/>
      </c>
      <c r="V395" s="179" t="str">
        <f t="array" ref="V395">IF($F395&lt;&gt;"", XLOOKUP($F395,Productos!$A$2:$A1001,Productos!O$2:O1001,"")*$G395,"")</f>
        <v/>
      </c>
      <c r="W395" s="179" t="str">
        <f t="array" ref="W395">IF($F395&lt;&gt;"",XLOOKUP($F395,Productos!$A:$A,Productos!P:P,"Revisar"),"")</f>
        <v/>
      </c>
      <c r="X395" s="179" t="str">
        <f t="array" ref="X395">IF($F395&lt;&gt;"", XLOOKUP($F395,Productos!$A$2:$A1001,Productos!Q$2:Q1001,"")*$G395,"")</f>
        <v/>
      </c>
      <c r="Y395" s="179" t="str">
        <f t="array" ref="Y395">IF($F395&lt;&gt;"",XLOOKUP($F395,Productos!$A:$A,Productos!R:R,"Revisar"),"")</f>
        <v/>
      </c>
      <c r="Z395" s="179" t="str">
        <f t="array" ref="Z395">IF($F395&lt;&gt;"", XLOOKUP($F395,Productos!$A$2:$A1001,Productos!S$2:S1001,"")*$G395,"")</f>
        <v/>
      </c>
      <c r="AA395" s="179" t="str">
        <f t="array" ref="AA395">IF($F395&lt;&gt;"",XLOOKUP($F395,Productos!$A:$A,Productos!T:T,"Revisar"),"")</f>
        <v/>
      </c>
      <c r="AB395" s="179" t="str">
        <f t="array" ref="AB395">IF($F395&lt;&gt;"", XLOOKUP($F395,Productos!$A$2:$A1001,Productos!U$2:U1001,"")*$G395,"")</f>
        <v/>
      </c>
      <c r="AC395" s="179" t="str">
        <f t="array" ref="AC395">IF($F395&lt;&gt;"",XLOOKUP($F395,Productos!$A:$A,Productos!V:V,"Revisar"),"")</f>
        <v/>
      </c>
      <c r="AD395" s="179" t="str">
        <f t="array" ref="AD395">IF($F395&lt;&gt;"", XLOOKUP($F395,Productos!$A$2:$A1001,Productos!W$2:W1001,"")*$G395,"")</f>
        <v/>
      </c>
      <c r="AE395" s="179" t="str">
        <f t="array" ref="AE395">IF($F395&lt;&gt;"",XLOOKUP($F395,Productos!$A:$A,Productos!X:X,"Revisar"),"")</f>
        <v/>
      </c>
      <c r="AF395" s="179" t="str">
        <f t="array" ref="AF395">IF($F395&lt;&gt;"", XLOOKUP($F395,Productos!$A$2:$A1001,Productos!Y$2:Y1001,"")*$G395,"")</f>
        <v/>
      </c>
      <c r="AG395" s="179" t="str">
        <f t="array" ref="AG395">IF($F395&lt;&gt;"",XLOOKUP($F395,Productos!$A:$A,Productos!Z:Z,"Revisar"),"")</f>
        <v/>
      </c>
      <c r="AH395" s="179" t="str">
        <f t="array" ref="AH395">IF($F395&lt;&gt;"", XLOOKUP($F395,Productos!$A$2:$A1001,Productos!AA$2:AA1001,"")*$G395,"")</f>
        <v/>
      </c>
      <c r="AI395" s="179" t="str">
        <f t="array" ref="AI395">IF($F395&lt;&gt;"",XLOOKUP($F395,Productos!$A:$A,Productos!AB:AB,"Revisar"),"")</f>
        <v/>
      </c>
      <c r="AJ395" s="179" t="str">
        <f t="array" ref="AJ395">IF($F395&lt;&gt;"", XLOOKUP($F395,Productos!$A$2:$A1001,Productos!AC$2:AC1001,"")*$G395,"")</f>
        <v/>
      </c>
      <c r="AK395" s="179" t="str">
        <f t="array" ref="AK395">IF($F395&lt;&gt;"",XLOOKUP($F395,Productos!$A:$A,Productos!AD:AD,"Revisar"),"")</f>
        <v/>
      </c>
      <c r="AL395" s="179" t="str">
        <f t="array" ref="AL395">IF($F395&lt;&gt;"", XLOOKUP($F395,Productos!$A$2:$A1001,Productos!AE$2:AE1001,"")*$G395,"")</f>
        <v/>
      </c>
      <c r="AM395" s="179" t="str">
        <f t="array" ref="AM395">IF($F395&lt;&gt;"",XLOOKUP($F395,Productos!$A:$A,Productos!AF:AF,"Revisar"),"")</f>
        <v/>
      </c>
      <c r="AN395" s="179" t="str">
        <f t="array" ref="AN395">IF($F395&lt;&gt;"", XLOOKUP($F395,Productos!$A$2:$A1001,Productos!AG$2:AG1001,"")*$G395,"")</f>
        <v/>
      </c>
      <c r="AO395" s="179" t="str">
        <f t="array" ref="AO395">IF($F395&lt;&gt;"",XLOOKUP($F395,Productos!$A:$A,Productos!AH:AH,"Revisar"),"")</f>
        <v/>
      </c>
      <c r="AP395" s="179" t="str">
        <f t="array" ref="AP395">IF($F395&lt;&gt;"", XLOOKUP($F395,Productos!$A$2:$A1001,Productos!AI$2:AI1001,"")*$G395,"")</f>
        <v/>
      </c>
      <c r="AQ395" s="179" t="str">
        <f t="array" ref="AQ395">IF($F395&lt;&gt;"",XLOOKUP($F395,Productos!$A:$A,Productos!AJ:AJ,"Revisar"),"")</f>
        <v/>
      </c>
      <c r="AR395" s="179" t="str">
        <f t="array" ref="AR395">IF($F395&lt;&gt;"", XLOOKUP($F395,Productos!$A$2:$A1001,Productos!AK$2:AK1001,"")*$G395,"")</f>
        <v/>
      </c>
      <c r="AS395" s="179" t="str">
        <f t="array" ref="AS395">IF($F395&lt;&gt;"",XLOOKUP($F395,Productos!$A:$A,Productos!AL:AL,"Revisar"),"")</f>
        <v/>
      </c>
      <c r="AT395" s="179" t="str">
        <f t="array" ref="AT395">IF($F395&lt;&gt;"", XLOOKUP($F395,Productos!$A$2:$A1001,Productos!AM$2:AM1001,"")*$G395,"")</f>
        <v/>
      </c>
      <c r="AU395" s="179" t="str">
        <f t="array" ref="AU395">IF($F395&lt;&gt;"",XLOOKUP($F395,Productos!$A:$A,Productos!AN:AN,"Revisar"),"")</f>
        <v/>
      </c>
      <c r="AV395" s="179" t="str">
        <f t="array" ref="AV395">IF($F395&lt;&gt;"", XLOOKUP($F395,Productos!$A$2:$A1001,Productos!AO$2:AO1001,"")*$G395,"")</f>
        <v/>
      </c>
      <c r="AW395" s="179" t="str">
        <f t="array" ref="AW395">IF($F395&lt;&gt;"",XLOOKUP($F395,Productos!$A:$A,Productos!AP:AP,"Revisar"),"")</f>
        <v/>
      </c>
      <c r="AX395" s="179" t="str">
        <f t="array" ref="AX395">IF($F395&lt;&gt;"", XLOOKUP($F395,Productos!$A$2:$A1001,Productos!AQ$2:AQ1001,"")*$G395,"")</f>
        <v/>
      </c>
      <c r="AY395" s="179" t="str">
        <f t="array" ref="AY395">IF($F395&lt;&gt;"",XLOOKUP($F395,Productos!$A:$A,Productos!AR:AR,"Revisar"),"")</f>
        <v/>
      </c>
      <c r="AZ395" s="179" t="str">
        <f t="array" ref="AZ395">IF($F395&lt;&gt;"", XLOOKUP($F395,Productos!$A$2:$A1001,Productos!AS$2:AS1001,"")*$G395,"")</f>
        <v/>
      </c>
      <c r="BA395" s="179" t="str">
        <f t="array" ref="BA395">IF($F395&lt;&gt;"",XLOOKUP($F395,Productos!$A:$A,Productos!AT:AT,"Revisar"),"")</f>
        <v/>
      </c>
      <c r="BB395" s="179" t="str">
        <f t="array" ref="BB395">IF($F395&lt;&gt;"", XLOOKUP($F395,Productos!$A$2:$A1001,Productos!AU$2:AU1001,"")*$G395,"")</f>
        <v/>
      </c>
      <c r="BC395" s="179" t="str">
        <f t="array" ref="BC395">IF($F395&lt;&gt;"",XLOOKUP($F395,Productos!$A:$A,Productos!AV:AV,"Revisar"),"")</f>
        <v/>
      </c>
      <c r="BD395" s="179" t="str">
        <f t="array" ref="BD395">IF($F395&lt;&gt;"", XLOOKUP($F395,Productos!$A$2:$A1001,Productos!AW$2:AW1001,"")*$G395,"")</f>
        <v/>
      </c>
      <c r="BE395" s="179" t="str">
        <f t="array" ref="BE395">IF($F395&lt;&gt;"",XLOOKUP($F395,Productos!$A:$A,Productos!AX:AX,"Revisar"),"")</f>
        <v/>
      </c>
      <c r="BF395" s="179" t="str">
        <f t="array" ref="BF395">IF($F395&lt;&gt;"", XLOOKUP($F395,Productos!$A$2:$A1001,Productos!AY$2:AY1001,"")*$G395,"")</f>
        <v/>
      </c>
      <c r="BG395" s="179" t="str">
        <f t="array" ref="BG395">IF($F395&lt;&gt;"",XLOOKUP($F395,Productos!$A:$A,Productos!AZ:AZ,"Revisar"),"")</f>
        <v/>
      </c>
      <c r="BH395" s="179" t="str">
        <f t="array" ref="BH395">IF($F395&lt;&gt;"", XLOOKUP($F395,Productos!$A$2:$A1001,Productos!BA$2:BA1001,"")*$G395,"")</f>
        <v/>
      </c>
      <c r="BI395" s="179" t="str">
        <f t="array" ref="BI395">IF($F395&lt;&gt;"",XLOOKUP($F395,Productos!$A:$A,Productos!BB:BB,"Revisar"),"")</f>
        <v/>
      </c>
      <c r="BJ395" s="179" t="str">
        <f t="array" ref="BJ395">IF($F395&lt;&gt;"", XLOOKUP($F395,Productos!$A$2:$A1001,Productos!BC$2:BC1001,"")*$G395,"")</f>
        <v/>
      </c>
      <c r="BK395" s="179" t="str">
        <f t="array" ref="BK395">IF($F395&lt;&gt;"",XLOOKUP($F395,Productos!$A:$A,Productos!BD:BD,"Revisar"),"")</f>
        <v/>
      </c>
      <c r="BL395" s="179" t="str">
        <f t="array" ref="BL395">IF($F395&lt;&gt;"", XLOOKUP($F395,Productos!$A$2:$A1001,Productos!BE$2:BE1001,"")*$G395,"")</f>
        <v/>
      </c>
      <c r="BM395" s="179" t="str">
        <f t="array" ref="BM395">IF($F395&lt;&gt;"",XLOOKUP($F395,Productos!$A:$A,Productos!BF:BF,"Revisar"),"")</f>
        <v/>
      </c>
      <c r="BN395" s="179" t="str">
        <f t="array" ref="BN395">IF($F395&lt;&gt;"", XLOOKUP($F395,Productos!$A$2:$A1001,Productos!BG$2:BG1001,"")*$G395,"")</f>
        <v/>
      </c>
      <c r="BO395" s="179" t="str">
        <f t="array" ref="BO395">IF($F395&lt;&gt;"",XLOOKUP($F395,Productos!$A:$A,Productos!BH:BH,"Revisar"),"")</f>
        <v/>
      </c>
      <c r="BP395" s="179" t="str">
        <f t="array" ref="BP395">IF($F395&lt;&gt;"", XLOOKUP($F395,Productos!$A$2:$A1001,Productos!BI$2:BI1001,"")*$G395,"")</f>
        <v/>
      </c>
      <c r="BQ395" s="179" t="str">
        <f t="array" ref="BQ395">IF($F395&lt;&gt;"",XLOOKUP($F395,Productos!$A:$A,Productos!BJ:BJ,"Revisar"),"")</f>
        <v/>
      </c>
      <c r="BR395" s="179" t="str">
        <f t="array" ref="BR395">IF($F395&lt;&gt;"", XLOOKUP($F395,Productos!$A$2:$A1001,Productos!BK$2:BK1001,"")*$G395,"")</f>
        <v/>
      </c>
      <c r="BS395" s="179" t="str">
        <f t="array" ref="BS395">IF($F395&lt;&gt;"",XLOOKUP($F395,Productos!$A:$A,Productos!BL:BL,"Revisar"),"")</f>
        <v/>
      </c>
      <c r="BT395" s="179" t="str">
        <f t="array" ref="BT395">IF($F395&lt;&gt;"", XLOOKUP($F395,Productos!$A$2:$A1001,Productos!BM$2:BM1001,"")*$G395,"")</f>
        <v/>
      </c>
      <c r="BU395" s="179" t="str">
        <f t="array" ref="BU395">IF($F395&lt;&gt;"",XLOOKUP($F395,Productos!$A:$A,Productos!BN:BN,"Revisar"),"")</f>
        <v/>
      </c>
      <c r="BV395" s="179" t="str">
        <f t="array" ref="BV395">IF($F395&lt;&gt;"", XLOOKUP($F395,Productos!$A$2:$A1001,Productos!BO$2:BO1001,"")*$G395,"")</f>
        <v/>
      </c>
      <c r="BW395" s="179" t="str">
        <f t="array" ref="BW395">IF($F395&lt;&gt;"",XLOOKUP($F395,Productos!$A:$A,Productos!BP:BP,"Revisar"),"")</f>
        <v/>
      </c>
      <c r="BX395" s="179" t="str">
        <f t="array" ref="BX395">IF($F395&lt;&gt;"", XLOOKUP($F395,Productos!$A$2:$A1001,Productos!BQ$2:BQ1001,"")*$G395,"")</f>
        <v/>
      </c>
      <c r="BY395" s="179" t="str">
        <f t="array" ref="BY395">IF($F395&lt;&gt;"",XLOOKUP($F395,Productos!$A:$A,Productos!BR:BR,"Revisar"),"")</f>
        <v/>
      </c>
      <c r="BZ395" s="179" t="str">
        <f t="array" ref="BZ395">IF($F395&lt;&gt;"", XLOOKUP($F395,Productos!$A$2:$A1001,Productos!BS$2:BS1001,"")*$G395,"")</f>
        <v/>
      </c>
    </row>
    <row r="396">
      <c r="A396" s="188"/>
      <c r="B396" s="189"/>
      <c r="C396" s="190"/>
      <c r="D396" s="190"/>
      <c r="E396" s="191"/>
      <c r="F396" s="186"/>
      <c r="G396" s="192"/>
      <c r="H396" s="9"/>
      <c r="I396" s="179" t="str">
        <f t="array" ref="I396">IF($F396&lt;&gt;"",XLOOKUP($F396,Productos!$A:$A,Productos!B:B,"Revisar"),"")</f>
        <v/>
      </c>
      <c r="J396" s="179" t="str">
        <f t="array" ref="J396">IF($F396&lt;&gt;"", XLOOKUP($F396,Productos!$A$2:$A1001,Productos!C$2:C1001,"")*$G396,"")</f>
        <v/>
      </c>
      <c r="K396" s="179" t="str">
        <f t="array" ref="K396">IF($F396&lt;&gt;"",XLOOKUP($F396,Productos!$A:$A,Productos!D:D,"Revisar"),"")</f>
        <v/>
      </c>
      <c r="L396" s="179" t="str">
        <f t="array" ref="L396">IF($F396&lt;&gt;"", XLOOKUP($F396,Productos!$A$2:$A1001,Productos!E$2:E1001,"")*$G396,"")</f>
        <v/>
      </c>
      <c r="M396" s="179" t="str">
        <f t="array" ref="M396">IF($F396&lt;&gt;"",XLOOKUP($F396,Productos!$A:$A,Productos!F:F,"Revisar"),"")</f>
        <v/>
      </c>
      <c r="N396" s="179" t="str">
        <f t="array" ref="N396">IF($F396&lt;&gt;"", XLOOKUP($F396,Productos!$A$2:$A1001,Productos!G$2:G1001,"")*$G396,"")</f>
        <v/>
      </c>
      <c r="O396" s="179" t="str">
        <f t="array" ref="O396">IF($F396&lt;&gt;"",XLOOKUP($F396,Productos!$A:$A,Productos!H:H,"Revisar"),"")</f>
        <v/>
      </c>
      <c r="P396" s="179" t="str">
        <f t="array" ref="P396">IF($F396&lt;&gt;"", XLOOKUP($F396,Productos!$A$2:$A1001,Productos!I$2:I1001,"")*$G396,"")</f>
        <v/>
      </c>
      <c r="Q396" s="179" t="str">
        <f t="array" ref="Q396">IF($F396&lt;&gt;"",XLOOKUP($F396,Productos!$A:$A,Productos!J:J,"Revisar"),"")</f>
        <v/>
      </c>
      <c r="R396" s="179" t="str">
        <f t="array" ref="R396">IF($F396&lt;&gt;"", XLOOKUP($F396,Productos!$A$2:$A1001,Productos!K$2:K1001,"")*$G396,"")</f>
        <v/>
      </c>
      <c r="S396" s="179" t="str">
        <f t="array" ref="S396">IF($F396&lt;&gt;"",XLOOKUP($F396,Productos!$A:$A,Productos!L:L,"Revisar"),"")</f>
        <v/>
      </c>
      <c r="T396" s="179" t="str">
        <f t="array" ref="T396">IF($F396&lt;&gt;"", XLOOKUP($F396,Productos!$A$2:$A1001,Productos!M$2:M1001,"")*$G396,"")</f>
        <v/>
      </c>
      <c r="U396" s="179" t="str">
        <f t="array" ref="U396">IF($F396&lt;&gt;"",XLOOKUP($F396,Productos!$A:$A,Productos!N:N,"Revisar"),"")</f>
        <v/>
      </c>
      <c r="V396" s="179" t="str">
        <f t="array" ref="V396">IF($F396&lt;&gt;"", XLOOKUP($F396,Productos!$A$2:$A1001,Productos!O$2:O1001,"")*$G396,"")</f>
        <v/>
      </c>
      <c r="W396" s="179" t="str">
        <f t="array" ref="W396">IF($F396&lt;&gt;"",XLOOKUP($F396,Productos!$A:$A,Productos!P:P,"Revisar"),"")</f>
        <v/>
      </c>
      <c r="X396" s="179" t="str">
        <f t="array" ref="X396">IF($F396&lt;&gt;"", XLOOKUP($F396,Productos!$A$2:$A1001,Productos!Q$2:Q1001,"")*$G396,"")</f>
        <v/>
      </c>
      <c r="Y396" s="179" t="str">
        <f t="array" ref="Y396">IF($F396&lt;&gt;"",XLOOKUP($F396,Productos!$A:$A,Productos!R:R,"Revisar"),"")</f>
        <v/>
      </c>
      <c r="Z396" s="179" t="str">
        <f t="array" ref="Z396">IF($F396&lt;&gt;"", XLOOKUP($F396,Productos!$A$2:$A1001,Productos!S$2:S1001,"")*$G396,"")</f>
        <v/>
      </c>
      <c r="AA396" s="179" t="str">
        <f t="array" ref="AA396">IF($F396&lt;&gt;"",XLOOKUP($F396,Productos!$A:$A,Productos!T:T,"Revisar"),"")</f>
        <v/>
      </c>
      <c r="AB396" s="179" t="str">
        <f t="array" ref="AB396">IF($F396&lt;&gt;"", XLOOKUP($F396,Productos!$A$2:$A1001,Productos!U$2:U1001,"")*$G396,"")</f>
        <v/>
      </c>
      <c r="AC396" s="179" t="str">
        <f t="array" ref="AC396">IF($F396&lt;&gt;"",XLOOKUP($F396,Productos!$A:$A,Productos!V:V,"Revisar"),"")</f>
        <v/>
      </c>
      <c r="AD396" s="179" t="str">
        <f t="array" ref="AD396">IF($F396&lt;&gt;"", XLOOKUP($F396,Productos!$A$2:$A1001,Productos!W$2:W1001,"")*$G396,"")</f>
        <v/>
      </c>
      <c r="AE396" s="179" t="str">
        <f t="array" ref="AE396">IF($F396&lt;&gt;"",XLOOKUP($F396,Productos!$A:$A,Productos!X:X,"Revisar"),"")</f>
        <v/>
      </c>
      <c r="AF396" s="179" t="str">
        <f t="array" ref="AF396">IF($F396&lt;&gt;"", XLOOKUP($F396,Productos!$A$2:$A1001,Productos!Y$2:Y1001,"")*$G396,"")</f>
        <v/>
      </c>
      <c r="AG396" s="179" t="str">
        <f t="array" ref="AG396">IF($F396&lt;&gt;"",XLOOKUP($F396,Productos!$A:$A,Productos!Z:Z,"Revisar"),"")</f>
        <v/>
      </c>
      <c r="AH396" s="179" t="str">
        <f t="array" ref="AH396">IF($F396&lt;&gt;"", XLOOKUP($F396,Productos!$A$2:$A1001,Productos!AA$2:AA1001,"")*$G396,"")</f>
        <v/>
      </c>
      <c r="AI396" s="179" t="str">
        <f t="array" ref="AI396">IF($F396&lt;&gt;"",XLOOKUP($F396,Productos!$A:$A,Productos!AB:AB,"Revisar"),"")</f>
        <v/>
      </c>
      <c r="AJ396" s="179" t="str">
        <f t="array" ref="AJ396">IF($F396&lt;&gt;"", XLOOKUP($F396,Productos!$A$2:$A1001,Productos!AC$2:AC1001,"")*$G396,"")</f>
        <v/>
      </c>
      <c r="AK396" s="179" t="str">
        <f t="array" ref="AK396">IF($F396&lt;&gt;"",XLOOKUP($F396,Productos!$A:$A,Productos!AD:AD,"Revisar"),"")</f>
        <v/>
      </c>
      <c r="AL396" s="179" t="str">
        <f t="array" ref="AL396">IF($F396&lt;&gt;"", XLOOKUP($F396,Productos!$A$2:$A1001,Productos!AE$2:AE1001,"")*$G396,"")</f>
        <v/>
      </c>
      <c r="AM396" s="179" t="str">
        <f t="array" ref="AM396">IF($F396&lt;&gt;"",XLOOKUP($F396,Productos!$A:$A,Productos!AF:AF,"Revisar"),"")</f>
        <v/>
      </c>
      <c r="AN396" s="179" t="str">
        <f t="array" ref="AN396">IF($F396&lt;&gt;"", XLOOKUP($F396,Productos!$A$2:$A1001,Productos!AG$2:AG1001,"")*$G396,"")</f>
        <v/>
      </c>
      <c r="AO396" s="179" t="str">
        <f t="array" ref="AO396">IF($F396&lt;&gt;"",XLOOKUP($F396,Productos!$A:$A,Productos!AH:AH,"Revisar"),"")</f>
        <v/>
      </c>
      <c r="AP396" s="179" t="str">
        <f t="array" ref="AP396">IF($F396&lt;&gt;"", XLOOKUP($F396,Productos!$A$2:$A1001,Productos!AI$2:AI1001,"")*$G396,"")</f>
        <v/>
      </c>
      <c r="AQ396" s="179" t="str">
        <f t="array" ref="AQ396">IF($F396&lt;&gt;"",XLOOKUP($F396,Productos!$A:$A,Productos!AJ:AJ,"Revisar"),"")</f>
        <v/>
      </c>
      <c r="AR396" s="179" t="str">
        <f t="array" ref="AR396">IF($F396&lt;&gt;"", XLOOKUP($F396,Productos!$A$2:$A1001,Productos!AK$2:AK1001,"")*$G396,"")</f>
        <v/>
      </c>
      <c r="AS396" s="179" t="str">
        <f t="array" ref="AS396">IF($F396&lt;&gt;"",XLOOKUP($F396,Productos!$A:$A,Productos!AL:AL,"Revisar"),"")</f>
        <v/>
      </c>
      <c r="AT396" s="179" t="str">
        <f t="array" ref="AT396">IF($F396&lt;&gt;"", XLOOKUP($F396,Productos!$A$2:$A1001,Productos!AM$2:AM1001,"")*$G396,"")</f>
        <v/>
      </c>
      <c r="AU396" s="179" t="str">
        <f t="array" ref="AU396">IF($F396&lt;&gt;"",XLOOKUP($F396,Productos!$A:$A,Productos!AN:AN,"Revisar"),"")</f>
        <v/>
      </c>
      <c r="AV396" s="179" t="str">
        <f t="array" ref="AV396">IF($F396&lt;&gt;"", XLOOKUP($F396,Productos!$A$2:$A1001,Productos!AO$2:AO1001,"")*$G396,"")</f>
        <v/>
      </c>
      <c r="AW396" s="179" t="str">
        <f t="array" ref="AW396">IF($F396&lt;&gt;"",XLOOKUP($F396,Productos!$A:$A,Productos!AP:AP,"Revisar"),"")</f>
        <v/>
      </c>
      <c r="AX396" s="179" t="str">
        <f t="array" ref="AX396">IF($F396&lt;&gt;"", XLOOKUP($F396,Productos!$A$2:$A1001,Productos!AQ$2:AQ1001,"")*$G396,"")</f>
        <v/>
      </c>
      <c r="AY396" s="179" t="str">
        <f t="array" ref="AY396">IF($F396&lt;&gt;"",XLOOKUP($F396,Productos!$A:$A,Productos!AR:AR,"Revisar"),"")</f>
        <v/>
      </c>
      <c r="AZ396" s="179" t="str">
        <f t="array" ref="AZ396">IF($F396&lt;&gt;"", XLOOKUP($F396,Productos!$A$2:$A1001,Productos!AS$2:AS1001,"")*$G396,"")</f>
        <v/>
      </c>
      <c r="BA396" s="179" t="str">
        <f t="array" ref="BA396">IF($F396&lt;&gt;"",XLOOKUP($F396,Productos!$A:$A,Productos!AT:AT,"Revisar"),"")</f>
        <v/>
      </c>
      <c r="BB396" s="179" t="str">
        <f t="array" ref="BB396">IF($F396&lt;&gt;"", XLOOKUP($F396,Productos!$A$2:$A1001,Productos!AU$2:AU1001,"")*$G396,"")</f>
        <v/>
      </c>
      <c r="BC396" s="179" t="str">
        <f t="array" ref="BC396">IF($F396&lt;&gt;"",XLOOKUP($F396,Productos!$A:$A,Productos!AV:AV,"Revisar"),"")</f>
        <v/>
      </c>
      <c r="BD396" s="179" t="str">
        <f t="array" ref="BD396">IF($F396&lt;&gt;"", XLOOKUP($F396,Productos!$A$2:$A1001,Productos!AW$2:AW1001,"")*$G396,"")</f>
        <v/>
      </c>
      <c r="BE396" s="179" t="str">
        <f t="array" ref="BE396">IF($F396&lt;&gt;"",XLOOKUP($F396,Productos!$A:$A,Productos!AX:AX,"Revisar"),"")</f>
        <v/>
      </c>
      <c r="BF396" s="179" t="str">
        <f t="array" ref="BF396">IF($F396&lt;&gt;"", XLOOKUP($F396,Productos!$A$2:$A1001,Productos!AY$2:AY1001,"")*$G396,"")</f>
        <v/>
      </c>
      <c r="BG396" s="179" t="str">
        <f t="array" ref="BG396">IF($F396&lt;&gt;"",XLOOKUP($F396,Productos!$A:$A,Productos!AZ:AZ,"Revisar"),"")</f>
        <v/>
      </c>
      <c r="BH396" s="179" t="str">
        <f t="array" ref="BH396">IF($F396&lt;&gt;"", XLOOKUP($F396,Productos!$A$2:$A1001,Productos!BA$2:BA1001,"")*$G396,"")</f>
        <v/>
      </c>
      <c r="BI396" s="179" t="str">
        <f t="array" ref="BI396">IF($F396&lt;&gt;"",XLOOKUP($F396,Productos!$A:$A,Productos!BB:BB,"Revisar"),"")</f>
        <v/>
      </c>
      <c r="BJ396" s="179" t="str">
        <f t="array" ref="BJ396">IF($F396&lt;&gt;"", XLOOKUP($F396,Productos!$A$2:$A1001,Productos!BC$2:BC1001,"")*$G396,"")</f>
        <v/>
      </c>
      <c r="BK396" s="179" t="str">
        <f t="array" ref="BK396">IF($F396&lt;&gt;"",XLOOKUP($F396,Productos!$A:$A,Productos!BD:BD,"Revisar"),"")</f>
        <v/>
      </c>
      <c r="BL396" s="179" t="str">
        <f t="array" ref="BL396">IF($F396&lt;&gt;"", XLOOKUP($F396,Productos!$A$2:$A1001,Productos!BE$2:BE1001,"")*$G396,"")</f>
        <v/>
      </c>
      <c r="BM396" s="179" t="str">
        <f t="array" ref="BM396">IF($F396&lt;&gt;"",XLOOKUP($F396,Productos!$A:$A,Productos!BF:BF,"Revisar"),"")</f>
        <v/>
      </c>
      <c r="BN396" s="179" t="str">
        <f t="array" ref="BN396">IF($F396&lt;&gt;"", XLOOKUP($F396,Productos!$A$2:$A1001,Productos!BG$2:BG1001,"")*$G396,"")</f>
        <v/>
      </c>
      <c r="BO396" s="179" t="str">
        <f t="array" ref="BO396">IF($F396&lt;&gt;"",XLOOKUP($F396,Productos!$A:$A,Productos!BH:BH,"Revisar"),"")</f>
        <v/>
      </c>
      <c r="BP396" s="179" t="str">
        <f t="array" ref="BP396">IF($F396&lt;&gt;"", XLOOKUP($F396,Productos!$A$2:$A1001,Productos!BI$2:BI1001,"")*$G396,"")</f>
        <v/>
      </c>
      <c r="BQ396" s="179" t="str">
        <f t="array" ref="BQ396">IF($F396&lt;&gt;"",XLOOKUP($F396,Productos!$A:$A,Productos!BJ:BJ,"Revisar"),"")</f>
        <v/>
      </c>
      <c r="BR396" s="179" t="str">
        <f t="array" ref="BR396">IF($F396&lt;&gt;"", XLOOKUP($F396,Productos!$A$2:$A1001,Productos!BK$2:BK1001,"")*$G396,"")</f>
        <v/>
      </c>
      <c r="BS396" s="179" t="str">
        <f t="array" ref="BS396">IF($F396&lt;&gt;"",XLOOKUP($F396,Productos!$A:$A,Productos!BL:BL,"Revisar"),"")</f>
        <v/>
      </c>
      <c r="BT396" s="179" t="str">
        <f t="array" ref="BT396">IF($F396&lt;&gt;"", XLOOKUP($F396,Productos!$A$2:$A1001,Productos!BM$2:BM1001,"")*$G396,"")</f>
        <v/>
      </c>
      <c r="BU396" s="179" t="str">
        <f t="array" ref="BU396">IF($F396&lt;&gt;"",XLOOKUP($F396,Productos!$A:$A,Productos!BN:BN,"Revisar"),"")</f>
        <v/>
      </c>
      <c r="BV396" s="179" t="str">
        <f t="array" ref="BV396">IF($F396&lt;&gt;"", XLOOKUP($F396,Productos!$A$2:$A1001,Productos!BO$2:BO1001,"")*$G396,"")</f>
        <v/>
      </c>
      <c r="BW396" s="179" t="str">
        <f t="array" ref="BW396">IF($F396&lt;&gt;"",XLOOKUP($F396,Productos!$A:$A,Productos!BP:BP,"Revisar"),"")</f>
        <v/>
      </c>
      <c r="BX396" s="179" t="str">
        <f t="array" ref="BX396">IF($F396&lt;&gt;"", XLOOKUP($F396,Productos!$A$2:$A1001,Productos!BQ$2:BQ1001,"")*$G396,"")</f>
        <v/>
      </c>
      <c r="BY396" s="179" t="str">
        <f t="array" ref="BY396">IF($F396&lt;&gt;"",XLOOKUP($F396,Productos!$A:$A,Productos!BR:BR,"Revisar"),"")</f>
        <v/>
      </c>
      <c r="BZ396" s="179" t="str">
        <f t="array" ref="BZ396">IF($F396&lt;&gt;"", XLOOKUP($F396,Productos!$A$2:$A1001,Productos!BS$2:BS1001,"")*$G396,"")</f>
        <v/>
      </c>
    </row>
    <row r="397">
      <c r="A397" s="188"/>
      <c r="B397" s="189"/>
      <c r="C397" s="190"/>
      <c r="D397" s="190"/>
      <c r="E397" s="191"/>
      <c r="F397" s="186"/>
      <c r="G397" s="192"/>
      <c r="H397" s="9"/>
      <c r="I397" s="179" t="str">
        <f t="array" ref="I397">IF($F397&lt;&gt;"",XLOOKUP($F397,Productos!$A:$A,Productos!B:B,"Revisar"),"")</f>
        <v/>
      </c>
      <c r="J397" s="179" t="str">
        <f t="array" ref="J397">IF($F397&lt;&gt;"", XLOOKUP($F397,Productos!$A$2:$A1001,Productos!C$2:C1001,"")*$G397,"")</f>
        <v/>
      </c>
      <c r="K397" s="179" t="str">
        <f t="array" ref="K397">IF($F397&lt;&gt;"",XLOOKUP($F397,Productos!$A:$A,Productos!D:D,"Revisar"),"")</f>
        <v/>
      </c>
      <c r="L397" s="179" t="str">
        <f t="array" ref="L397">IF($F397&lt;&gt;"", XLOOKUP($F397,Productos!$A$2:$A1001,Productos!E$2:E1001,"")*$G397,"")</f>
        <v/>
      </c>
      <c r="M397" s="179" t="str">
        <f t="array" ref="M397">IF($F397&lt;&gt;"",XLOOKUP($F397,Productos!$A:$A,Productos!F:F,"Revisar"),"")</f>
        <v/>
      </c>
      <c r="N397" s="179" t="str">
        <f t="array" ref="N397">IF($F397&lt;&gt;"", XLOOKUP($F397,Productos!$A$2:$A1001,Productos!G$2:G1001,"")*$G397,"")</f>
        <v/>
      </c>
      <c r="O397" s="179" t="str">
        <f t="array" ref="O397">IF($F397&lt;&gt;"",XLOOKUP($F397,Productos!$A:$A,Productos!H:H,"Revisar"),"")</f>
        <v/>
      </c>
      <c r="P397" s="179" t="str">
        <f t="array" ref="P397">IF($F397&lt;&gt;"", XLOOKUP($F397,Productos!$A$2:$A1001,Productos!I$2:I1001,"")*$G397,"")</f>
        <v/>
      </c>
      <c r="Q397" s="179" t="str">
        <f t="array" ref="Q397">IF($F397&lt;&gt;"",XLOOKUP($F397,Productos!$A:$A,Productos!J:J,"Revisar"),"")</f>
        <v/>
      </c>
      <c r="R397" s="179" t="str">
        <f t="array" ref="R397">IF($F397&lt;&gt;"", XLOOKUP($F397,Productos!$A$2:$A1001,Productos!K$2:K1001,"")*$G397,"")</f>
        <v/>
      </c>
      <c r="S397" s="179" t="str">
        <f t="array" ref="S397">IF($F397&lt;&gt;"",XLOOKUP($F397,Productos!$A:$A,Productos!L:L,"Revisar"),"")</f>
        <v/>
      </c>
      <c r="T397" s="179" t="str">
        <f t="array" ref="T397">IF($F397&lt;&gt;"", XLOOKUP($F397,Productos!$A$2:$A1001,Productos!M$2:M1001,"")*$G397,"")</f>
        <v/>
      </c>
      <c r="U397" s="179" t="str">
        <f t="array" ref="U397">IF($F397&lt;&gt;"",XLOOKUP($F397,Productos!$A:$A,Productos!N:N,"Revisar"),"")</f>
        <v/>
      </c>
      <c r="V397" s="179" t="str">
        <f t="array" ref="V397">IF($F397&lt;&gt;"", XLOOKUP($F397,Productos!$A$2:$A1001,Productos!O$2:O1001,"")*$G397,"")</f>
        <v/>
      </c>
      <c r="W397" s="179" t="str">
        <f t="array" ref="W397">IF($F397&lt;&gt;"",XLOOKUP($F397,Productos!$A:$A,Productos!P:P,"Revisar"),"")</f>
        <v/>
      </c>
      <c r="X397" s="179" t="str">
        <f t="array" ref="X397">IF($F397&lt;&gt;"", XLOOKUP($F397,Productos!$A$2:$A1001,Productos!Q$2:Q1001,"")*$G397,"")</f>
        <v/>
      </c>
      <c r="Y397" s="179" t="str">
        <f t="array" ref="Y397">IF($F397&lt;&gt;"",XLOOKUP($F397,Productos!$A:$A,Productos!R:R,"Revisar"),"")</f>
        <v/>
      </c>
      <c r="Z397" s="179" t="str">
        <f t="array" ref="Z397">IF($F397&lt;&gt;"", XLOOKUP($F397,Productos!$A$2:$A1001,Productos!S$2:S1001,"")*$G397,"")</f>
        <v/>
      </c>
      <c r="AA397" s="179" t="str">
        <f t="array" ref="AA397">IF($F397&lt;&gt;"",XLOOKUP($F397,Productos!$A:$A,Productos!T:T,"Revisar"),"")</f>
        <v/>
      </c>
      <c r="AB397" s="179" t="str">
        <f t="array" ref="AB397">IF($F397&lt;&gt;"", XLOOKUP($F397,Productos!$A$2:$A1001,Productos!U$2:U1001,"")*$G397,"")</f>
        <v/>
      </c>
      <c r="AC397" s="179" t="str">
        <f t="array" ref="AC397">IF($F397&lt;&gt;"",XLOOKUP($F397,Productos!$A:$A,Productos!V:V,"Revisar"),"")</f>
        <v/>
      </c>
      <c r="AD397" s="179" t="str">
        <f t="array" ref="AD397">IF($F397&lt;&gt;"", XLOOKUP($F397,Productos!$A$2:$A1001,Productos!W$2:W1001,"")*$G397,"")</f>
        <v/>
      </c>
      <c r="AE397" s="179" t="str">
        <f t="array" ref="AE397">IF($F397&lt;&gt;"",XLOOKUP($F397,Productos!$A:$A,Productos!X:X,"Revisar"),"")</f>
        <v/>
      </c>
      <c r="AF397" s="179" t="str">
        <f t="array" ref="AF397">IF($F397&lt;&gt;"", XLOOKUP($F397,Productos!$A$2:$A1001,Productos!Y$2:Y1001,"")*$G397,"")</f>
        <v/>
      </c>
      <c r="AG397" s="179" t="str">
        <f t="array" ref="AG397">IF($F397&lt;&gt;"",XLOOKUP($F397,Productos!$A:$A,Productos!Z:Z,"Revisar"),"")</f>
        <v/>
      </c>
      <c r="AH397" s="179" t="str">
        <f t="array" ref="AH397">IF($F397&lt;&gt;"", XLOOKUP($F397,Productos!$A$2:$A1001,Productos!AA$2:AA1001,"")*$G397,"")</f>
        <v/>
      </c>
      <c r="AI397" s="179" t="str">
        <f t="array" ref="AI397">IF($F397&lt;&gt;"",XLOOKUP($F397,Productos!$A:$A,Productos!AB:AB,"Revisar"),"")</f>
        <v/>
      </c>
      <c r="AJ397" s="179" t="str">
        <f t="array" ref="AJ397">IF($F397&lt;&gt;"", XLOOKUP($F397,Productos!$A$2:$A1001,Productos!AC$2:AC1001,"")*$G397,"")</f>
        <v/>
      </c>
      <c r="AK397" s="179" t="str">
        <f t="array" ref="AK397">IF($F397&lt;&gt;"",XLOOKUP($F397,Productos!$A:$A,Productos!AD:AD,"Revisar"),"")</f>
        <v/>
      </c>
      <c r="AL397" s="179" t="str">
        <f t="array" ref="AL397">IF($F397&lt;&gt;"", XLOOKUP($F397,Productos!$A$2:$A1001,Productos!AE$2:AE1001,"")*$G397,"")</f>
        <v/>
      </c>
      <c r="AM397" s="179" t="str">
        <f t="array" ref="AM397">IF($F397&lt;&gt;"",XLOOKUP($F397,Productos!$A:$A,Productos!AF:AF,"Revisar"),"")</f>
        <v/>
      </c>
      <c r="AN397" s="179" t="str">
        <f t="array" ref="AN397">IF($F397&lt;&gt;"", XLOOKUP($F397,Productos!$A$2:$A1001,Productos!AG$2:AG1001,"")*$G397,"")</f>
        <v/>
      </c>
      <c r="AO397" s="179" t="str">
        <f t="array" ref="AO397">IF($F397&lt;&gt;"",XLOOKUP($F397,Productos!$A:$A,Productos!AH:AH,"Revisar"),"")</f>
        <v/>
      </c>
      <c r="AP397" s="179" t="str">
        <f t="array" ref="AP397">IF($F397&lt;&gt;"", XLOOKUP($F397,Productos!$A$2:$A1001,Productos!AI$2:AI1001,"")*$G397,"")</f>
        <v/>
      </c>
      <c r="AQ397" s="179" t="str">
        <f t="array" ref="AQ397">IF($F397&lt;&gt;"",XLOOKUP($F397,Productos!$A:$A,Productos!AJ:AJ,"Revisar"),"")</f>
        <v/>
      </c>
      <c r="AR397" s="179" t="str">
        <f t="array" ref="AR397">IF($F397&lt;&gt;"", XLOOKUP($F397,Productos!$A$2:$A1001,Productos!AK$2:AK1001,"")*$G397,"")</f>
        <v/>
      </c>
      <c r="AS397" s="179" t="str">
        <f t="array" ref="AS397">IF($F397&lt;&gt;"",XLOOKUP($F397,Productos!$A:$A,Productos!AL:AL,"Revisar"),"")</f>
        <v/>
      </c>
      <c r="AT397" s="179" t="str">
        <f t="array" ref="AT397">IF($F397&lt;&gt;"", XLOOKUP($F397,Productos!$A$2:$A1001,Productos!AM$2:AM1001,"")*$G397,"")</f>
        <v/>
      </c>
      <c r="AU397" s="179" t="str">
        <f t="array" ref="AU397">IF($F397&lt;&gt;"",XLOOKUP($F397,Productos!$A:$A,Productos!AN:AN,"Revisar"),"")</f>
        <v/>
      </c>
      <c r="AV397" s="179" t="str">
        <f t="array" ref="AV397">IF($F397&lt;&gt;"", XLOOKUP($F397,Productos!$A$2:$A1001,Productos!AO$2:AO1001,"")*$G397,"")</f>
        <v/>
      </c>
      <c r="AW397" s="179" t="str">
        <f t="array" ref="AW397">IF($F397&lt;&gt;"",XLOOKUP($F397,Productos!$A:$A,Productos!AP:AP,"Revisar"),"")</f>
        <v/>
      </c>
      <c r="AX397" s="179" t="str">
        <f t="array" ref="AX397">IF($F397&lt;&gt;"", XLOOKUP($F397,Productos!$A$2:$A1001,Productos!AQ$2:AQ1001,"")*$G397,"")</f>
        <v/>
      </c>
      <c r="AY397" s="179" t="str">
        <f t="array" ref="AY397">IF($F397&lt;&gt;"",XLOOKUP($F397,Productos!$A:$A,Productos!AR:AR,"Revisar"),"")</f>
        <v/>
      </c>
      <c r="AZ397" s="179" t="str">
        <f t="array" ref="AZ397">IF($F397&lt;&gt;"", XLOOKUP($F397,Productos!$A$2:$A1001,Productos!AS$2:AS1001,"")*$G397,"")</f>
        <v/>
      </c>
      <c r="BA397" s="179" t="str">
        <f t="array" ref="BA397">IF($F397&lt;&gt;"",XLOOKUP($F397,Productos!$A:$A,Productos!AT:AT,"Revisar"),"")</f>
        <v/>
      </c>
      <c r="BB397" s="179" t="str">
        <f t="array" ref="BB397">IF($F397&lt;&gt;"", XLOOKUP($F397,Productos!$A$2:$A1001,Productos!AU$2:AU1001,"")*$G397,"")</f>
        <v/>
      </c>
      <c r="BC397" s="179" t="str">
        <f t="array" ref="BC397">IF($F397&lt;&gt;"",XLOOKUP($F397,Productos!$A:$A,Productos!AV:AV,"Revisar"),"")</f>
        <v/>
      </c>
      <c r="BD397" s="179" t="str">
        <f t="array" ref="BD397">IF($F397&lt;&gt;"", XLOOKUP($F397,Productos!$A$2:$A1001,Productos!AW$2:AW1001,"")*$G397,"")</f>
        <v/>
      </c>
      <c r="BE397" s="179" t="str">
        <f t="array" ref="BE397">IF($F397&lt;&gt;"",XLOOKUP($F397,Productos!$A:$A,Productos!AX:AX,"Revisar"),"")</f>
        <v/>
      </c>
      <c r="BF397" s="179" t="str">
        <f t="array" ref="BF397">IF($F397&lt;&gt;"", XLOOKUP($F397,Productos!$A$2:$A1001,Productos!AY$2:AY1001,"")*$G397,"")</f>
        <v/>
      </c>
      <c r="BG397" s="179" t="str">
        <f t="array" ref="BG397">IF($F397&lt;&gt;"",XLOOKUP($F397,Productos!$A:$A,Productos!AZ:AZ,"Revisar"),"")</f>
        <v/>
      </c>
      <c r="BH397" s="179" t="str">
        <f t="array" ref="BH397">IF($F397&lt;&gt;"", XLOOKUP($F397,Productos!$A$2:$A1001,Productos!BA$2:BA1001,"")*$G397,"")</f>
        <v/>
      </c>
      <c r="BI397" s="179" t="str">
        <f t="array" ref="BI397">IF($F397&lt;&gt;"",XLOOKUP($F397,Productos!$A:$A,Productos!BB:BB,"Revisar"),"")</f>
        <v/>
      </c>
      <c r="BJ397" s="179" t="str">
        <f t="array" ref="BJ397">IF($F397&lt;&gt;"", XLOOKUP($F397,Productos!$A$2:$A1001,Productos!BC$2:BC1001,"")*$G397,"")</f>
        <v/>
      </c>
      <c r="BK397" s="179" t="str">
        <f t="array" ref="BK397">IF($F397&lt;&gt;"",XLOOKUP($F397,Productos!$A:$A,Productos!BD:BD,"Revisar"),"")</f>
        <v/>
      </c>
      <c r="BL397" s="179" t="str">
        <f t="array" ref="BL397">IF($F397&lt;&gt;"", XLOOKUP($F397,Productos!$A$2:$A1001,Productos!BE$2:BE1001,"")*$G397,"")</f>
        <v/>
      </c>
      <c r="BM397" s="179" t="str">
        <f t="array" ref="BM397">IF($F397&lt;&gt;"",XLOOKUP($F397,Productos!$A:$A,Productos!BF:BF,"Revisar"),"")</f>
        <v/>
      </c>
      <c r="BN397" s="179" t="str">
        <f t="array" ref="BN397">IF($F397&lt;&gt;"", XLOOKUP($F397,Productos!$A$2:$A1001,Productos!BG$2:BG1001,"")*$G397,"")</f>
        <v/>
      </c>
      <c r="BO397" s="179" t="str">
        <f t="array" ref="BO397">IF($F397&lt;&gt;"",XLOOKUP($F397,Productos!$A:$A,Productos!BH:BH,"Revisar"),"")</f>
        <v/>
      </c>
      <c r="BP397" s="179" t="str">
        <f t="array" ref="BP397">IF($F397&lt;&gt;"", XLOOKUP($F397,Productos!$A$2:$A1001,Productos!BI$2:BI1001,"")*$G397,"")</f>
        <v/>
      </c>
      <c r="BQ397" s="179" t="str">
        <f t="array" ref="BQ397">IF($F397&lt;&gt;"",XLOOKUP($F397,Productos!$A:$A,Productos!BJ:BJ,"Revisar"),"")</f>
        <v/>
      </c>
      <c r="BR397" s="179" t="str">
        <f t="array" ref="BR397">IF($F397&lt;&gt;"", XLOOKUP($F397,Productos!$A$2:$A1001,Productos!BK$2:BK1001,"")*$G397,"")</f>
        <v/>
      </c>
      <c r="BS397" s="179" t="str">
        <f t="array" ref="BS397">IF($F397&lt;&gt;"",XLOOKUP($F397,Productos!$A:$A,Productos!BL:BL,"Revisar"),"")</f>
        <v/>
      </c>
      <c r="BT397" s="179" t="str">
        <f t="array" ref="BT397">IF($F397&lt;&gt;"", XLOOKUP($F397,Productos!$A$2:$A1001,Productos!BM$2:BM1001,"")*$G397,"")</f>
        <v/>
      </c>
      <c r="BU397" s="179" t="str">
        <f t="array" ref="BU397">IF($F397&lt;&gt;"",XLOOKUP($F397,Productos!$A:$A,Productos!BN:BN,"Revisar"),"")</f>
        <v/>
      </c>
      <c r="BV397" s="179" t="str">
        <f t="array" ref="BV397">IF($F397&lt;&gt;"", XLOOKUP($F397,Productos!$A$2:$A1001,Productos!BO$2:BO1001,"")*$G397,"")</f>
        <v/>
      </c>
      <c r="BW397" s="179" t="str">
        <f t="array" ref="BW397">IF($F397&lt;&gt;"",XLOOKUP($F397,Productos!$A:$A,Productos!BP:BP,"Revisar"),"")</f>
        <v/>
      </c>
      <c r="BX397" s="179" t="str">
        <f t="array" ref="BX397">IF($F397&lt;&gt;"", XLOOKUP($F397,Productos!$A$2:$A1001,Productos!BQ$2:BQ1001,"")*$G397,"")</f>
        <v/>
      </c>
      <c r="BY397" s="179" t="str">
        <f t="array" ref="BY397">IF($F397&lt;&gt;"",XLOOKUP($F397,Productos!$A:$A,Productos!BR:BR,"Revisar"),"")</f>
        <v/>
      </c>
      <c r="BZ397" s="179" t="str">
        <f t="array" ref="BZ397">IF($F397&lt;&gt;"", XLOOKUP($F397,Productos!$A$2:$A1001,Productos!BS$2:BS1001,"")*$G397,"")</f>
        <v/>
      </c>
    </row>
    <row r="398">
      <c r="A398" s="188"/>
      <c r="B398" s="189"/>
      <c r="C398" s="190"/>
      <c r="D398" s="190"/>
      <c r="E398" s="191"/>
      <c r="F398" s="186"/>
      <c r="G398" s="192"/>
      <c r="H398" s="9"/>
      <c r="I398" s="179" t="str">
        <f t="array" ref="I398">IF($F398&lt;&gt;"",XLOOKUP($F398,Productos!$A:$A,Productos!B:B,"Revisar"),"")</f>
        <v/>
      </c>
      <c r="J398" s="179" t="str">
        <f t="array" ref="J398">IF($F398&lt;&gt;"", XLOOKUP($F398,Productos!$A$2:$A1001,Productos!C$2:C1001,"")*$G398,"")</f>
        <v/>
      </c>
      <c r="K398" s="179" t="str">
        <f t="array" ref="K398">IF($F398&lt;&gt;"",XLOOKUP($F398,Productos!$A:$A,Productos!D:D,"Revisar"),"")</f>
        <v/>
      </c>
      <c r="L398" s="179" t="str">
        <f t="array" ref="L398">IF($F398&lt;&gt;"", XLOOKUP($F398,Productos!$A$2:$A1001,Productos!E$2:E1001,"")*$G398,"")</f>
        <v/>
      </c>
      <c r="M398" s="179" t="str">
        <f t="array" ref="M398">IF($F398&lt;&gt;"",XLOOKUP($F398,Productos!$A:$A,Productos!F:F,"Revisar"),"")</f>
        <v/>
      </c>
      <c r="N398" s="179" t="str">
        <f t="array" ref="N398">IF($F398&lt;&gt;"", XLOOKUP($F398,Productos!$A$2:$A1001,Productos!G$2:G1001,"")*$G398,"")</f>
        <v/>
      </c>
      <c r="O398" s="179" t="str">
        <f t="array" ref="O398">IF($F398&lt;&gt;"",XLOOKUP($F398,Productos!$A:$A,Productos!H:H,"Revisar"),"")</f>
        <v/>
      </c>
      <c r="P398" s="179" t="str">
        <f t="array" ref="P398">IF($F398&lt;&gt;"", XLOOKUP($F398,Productos!$A$2:$A1001,Productos!I$2:I1001,"")*$G398,"")</f>
        <v/>
      </c>
      <c r="Q398" s="179" t="str">
        <f t="array" ref="Q398">IF($F398&lt;&gt;"",XLOOKUP($F398,Productos!$A:$A,Productos!J:J,"Revisar"),"")</f>
        <v/>
      </c>
      <c r="R398" s="179" t="str">
        <f t="array" ref="R398">IF($F398&lt;&gt;"", XLOOKUP($F398,Productos!$A$2:$A1001,Productos!K$2:K1001,"")*$G398,"")</f>
        <v/>
      </c>
      <c r="S398" s="179" t="str">
        <f t="array" ref="S398">IF($F398&lt;&gt;"",XLOOKUP($F398,Productos!$A:$A,Productos!L:L,"Revisar"),"")</f>
        <v/>
      </c>
      <c r="T398" s="179" t="str">
        <f t="array" ref="T398">IF($F398&lt;&gt;"", XLOOKUP($F398,Productos!$A$2:$A1001,Productos!M$2:M1001,"")*$G398,"")</f>
        <v/>
      </c>
      <c r="U398" s="179" t="str">
        <f t="array" ref="U398">IF($F398&lt;&gt;"",XLOOKUP($F398,Productos!$A:$A,Productos!N:N,"Revisar"),"")</f>
        <v/>
      </c>
      <c r="V398" s="179" t="str">
        <f t="array" ref="V398">IF($F398&lt;&gt;"", XLOOKUP($F398,Productos!$A$2:$A1001,Productos!O$2:O1001,"")*$G398,"")</f>
        <v/>
      </c>
      <c r="W398" s="179" t="str">
        <f t="array" ref="W398">IF($F398&lt;&gt;"",XLOOKUP($F398,Productos!$A:$A,Productos!P:P,"Revisar"),"")</f>
        <v/>
      </c>
      <c r="X398" s="179" t="str">
        <f t="array" ref="X398">IF($F398&lt;&gt;"", XLOOKUP($F398,Productos!$A$2:$A1001,Productos!Q$2:Q1001,"")*$G398,"")</f>
        <v/>
      </c>
      <c r="Y398" s="179" t="str">
        <f t="array" ref="Y398">IF($F398&lt;&gt;"",XLOOKUP($F398,Productos!$A:$A,Productos!R:R,"Revisar"),"")</f>
        <v/>
      </c>
      <c r="Z398" s="179" t="str">
        <f t="array" ref="Z398">IF($F398&lt;&gt;"", XLOOKUP($F398,Productos!$A$2:$A1001,Productos!S$2:S1001,"")*$G398,"")</f>
        <v/>
      </c>
      <c r="AA398" s="179" t="str">
        <f t="array" ref="AA398">IF($F398&lt;&gt;"",XLOOKUP($F398,Productos!$A:$A,Productos!T:T,"Revisar"),"")</f>
        <v/>
      </c>
      <c r="AB398" s="179" t="str">
        <f t="array" ref="AB398">IF($F398&lt;&gt;"", XLOOKUP($F398,Productos!$A$2:$A1001,Productos!U$2:U1001,"")*$G398,"")</f>
        <v/>
      </c>
      <c r="AC398" s="179" t="str">
        <f t="array" ref="AC398">IF($F398&lt;&gt;"",XLOOKUP($F398,Productos!$A:$A,Productos!V:V,"Revisar"),"")</f>
        <v/>
      </c>
      <c r="AD398" s="179" t="str">
        <f t="array" ref="AD398">IF($F398&lt;&gt;"", XLOOKUP($F398,Productos!$A$2:$A1001,Productos!W$2:W1001,"")*$G398,"")</f>
        <v/>
      </c>
      <c r="AE398" s="179" t="str">
        <f t="array" ref="AE398">IF($F398&lt;&gt;"",XLOOKUP($F398,Productos!$A:$A,Productos!X:X,"Revisar"),"")</f>
        <v/>
      </c>
      <c r="AF398" s="179" t="str">
        <f t="array" ref="AF398">IF($F398&lt;&gt;"", XLOOKUP($F398,Productos!$A$2:$A1001,Productos!Y$2:Y1001,"")*$G398,"")</f>
        <v/>
      </c>
      <c r="AG398" s="179" t="str">
        <f t="array" ref="AG398">IF($F398&lt;&gt;"",XLOOKUP($F398,Productos!$A:$A,Productos!Z:Z,"Revisar"),"")</f>
        <v/>
      </c>
      <c r="AH398" s="179" t="str">
        <f t="array" ref="AH398">IF($F398&lt;&gt;"", XLOOKUP($F398,Productos!$A$2:$A1001,Productos!AA$2:AA1001,"")*$G398,"")</f>
        <v/>
      </c>
      <c r="AI398" s="179" t="str">
        <f t="array" ref="AI398">IF($F398&lt;&gt;"",XLOOKUP($F398,Productos!$A:$A,Productos!AB:AB,"Revisar"),"")</f>
        <v/>
      </c>
      <c r="AJ398" s="179" t="str">
        <f t="array" ref="AJ398">IF($F398&lt;&gt;"", XLOOKUP($F398,Productos!$A$2:$A1001,Productos!AC$2:AC1001,"")*$G398,"")</f>
        <v/>
      </c>
      <c r="AK398" s="179" t="str">
        <f t="array" ref="AK398">IF($F398&lt;&gt;"",XLOOKUP($F398,Productos!$A:$A,Productos!AD:AD,"Revisar"),"")</f>
        <v/>
      </c>
      <c r="AL398" s="179" t="str">
        <f t="array" ref="AL398">IF($F398&lt;&gt;"", XLOOKUP($F398,Productos!$A$2:$A1001,Productos!AE$2:AE1001,"")*$G398,"")</f>
        <v/>
      </c>
      <c r="AM398" s="179" t="str">
        <f t="array" ref="AM398">IF($F398&lt;&gt;"",XLOOKUP($F398,Productos!$A:$A,Productos!AF:AF,"Revisar"),"")</f>
        <v/>
      </c>
      <c r="AN398" s="179" t="str">
        <f t="array" ref="AN398">IF($F398&lt;&gt;"", XLOOKUP($F398,Productos!$A$2:$A1001,Productos!AG$2:AG1001,"")*$G398,"")</f>
        <v/>
      </c>
      <c r="AO398" s="179" t="str">
        <f t="array" ref="AO398">IF($F398&lt;&gt;"",XLOOKUP($F398,Productos!$A:$A,Productos!AH:AH,"Revisar"),"")</f>
        <v/>
      </c>
      <c r="AP398" s="179" t="str">
        <f t="array" ref="AP398">IF($F398&lt;&gt;"", XLOOKUP($F398,Productos!$A$2:$A1001,Productos!AI$2:AI1001,"")*$G398,"")</f>
        <v/>
      </c>
      <c r="AQ398" s="179" t="str">
        <f t="array" ref="AQ398">IF($F398&lt;&gt;"",XLOOKUP($F398,Productos!$A:$A,Productos!AJ:AJ,"Revisar"),"")</f>
        <v/>
      </c>
      <c r="AR398" s="179" t="str">
        <f t="array" ref="AR398">IF($F398&lt;&gt;"", XLOOKUP($F398,Productos!$A$2:$A1001,Productos!AK$2:AK1001,"")*$G398,"")</f>
        <v/>
      </c>
      <c r="AS398" s="179" t="str">
        <f t="array" ref="AS398">IF($F398&lt;&gt;"",XLOOKUP($F398,Productos!$A:$A,Productos!AL:AL,"Revisar"),"")</f>
        <v/>
      </c>
      <c r="AT398" s="179" t="str">
        <f t="array" ref="AT398">IF($F398&lt;&gt;"", XLOOKUP($F398,Productos!$A$2:$A1001,Productos!AM$2:AM1001,"")*$G398,"")</f>
        <v/>
      </c>
      <c r="AU398" s="179" t="str">
        <f t="array" ref="AU398">IF($F398&lt;&gt;"",XLOOKUP($F398,Productos!$A:$A,Productos!AN:AN,"Revisar"),"")</f>
        <v/>
      </c>
      <c r="AV398" s="179" t="str">
        <f t="array" ref="AV398">IF($F398&lt;&gt;"", XLOOKUP($F398,Productos!$A$2:$A1001,Productos!AO$2:AO1001,"")*$G398,"")</f>
        <v/>
      </c>
      <c r="AW398" s="179" t="str">
        <f t="array" ref="AW398">IF($F398&lt;&gt;"",XLOOKUP($F398,Productos!$A:$A,Productos!AP:AP,"Revisar"),"")</f>
        <v/>
      </c>
      <c r="AX398" s="179" t="str">
        <f t="array" ref="AX398">IF($F398&lt;&gt;"", XLOOKUP($F398,Productos!$A$2:$A1001,Productos!AQ$2:AQ1001,"")*$G398,"")</f>
        <v/>
      </c>
      <c r="AY398" s="179" t="str">
        <f t="array" ref="AY398">IF($F398&lt;&gt;"",XLOOKUP($F398,Productos!$A:$A,Productos!AR:AR,"Revisar"),"")</f>
        <v/>
      </c>
      <c r="AZ398" s="179" t="str">
        <f t="array" ref="AZ398">IF($F398&lt;&gt;"", XLOOKUP($F398,Productos!$A$2:$A1001,Productos!AS$2:AS1001,"")*$G398,"")</f>
        <v/>
      </c>
      <c r="BA398" s="179" t="str">
        <f t="array" ref="BA398">IF($F398&lt;&gt;"",XLOOKUP($F398,Productos!$A:$A,Productos!AT:AT,"Revisar"),"")</f>
        <v/>
      </c>
      <c r="BB398" s="179" t="str">
        <f t="array" ref="BB398">IF($F398&lt;&gt;"", XLOOKUP($F398,Productos!$A$2:$A1001,Productos!AU$2:AU1001,"")*$G398,"")</f>
        <v/>
      </c>
      <c r="BC398" s="179" t="str">
        <f t="array" ref="BC398">IF($F398&lt;&gt;"",XLOOKUP($F398,Productos!$A:$A,Productos!AV:AV,"Revisar"),"")</f>
        <v/>
      </c>
      <c r="BD398" s="179" t="str">
        <f t="array" ref="BD398">IF($F398&lt;&gt;"", XLOOKUP($F398,Productos!$A$2:$A1001,Productos!AW$2:AW1001,"")*$G398,"")</f>
        <v/>
      </c>
      <c r="BE398" s="179" t="str">
        <f t="array" ref="BE398">IF($F398&lt;&gt;"",XLOOKUP($F398,Productos!$A:$A,Productos!AX:AX,"Revisar"),"")</f>
        <v/>
      </c>
      <c r="BF398" s="179" t="str">
        <f t="array" ref="BF398">IF($F398&lt;&gt;"", XLOOKUP($F398,Productos!$A$2:$A1001,Productos!AY$2:AY1001,"")*$G398,"")</f>
        <v/>
      </c>
      <c r="BG398" s="179" t="str">
        <f t="array" ref="BG398">IF($F398&lt;&gt;"",XLOOKUP($F398,Productos!$A:$A,Productos!AZ:AZ,"Revisar"),"")</f>
        <v/>
      </c>
      <c r="BH398" s="179" t="str">
        <f t="array" ref="BH398">IF($F398&lt;&gt;"", XLOOKUP($F398,Productos!$A$2:$A1001,Productos!BA$2:BA1001,"")*$G398,"")</f>
        <v/>
      </c>
      <c r="BI398" s="179" t="str">
        <f t="array" ref="BI398">IF($F398&lt;&gt;"",XLOOKUP($F398,Productos!$A:$A,Productos!BB:BB,"Revisar"),"")</f>
        <v/>
      </c>
      <c r="BJ398" s="179" t="str">
        <f t="array" ref="BJ398">IF($F398&lt;&gt;"", XLOOKUP($F398,Productos!$A$2:$A1001,Productos!BC$2:BC1001,"")*$G398,"")</f>
        <v/>
      </c>
      <c r="BK398" s="179" t="str">
        <f t="array" ref="BK398">IF($F398&lt;&gt;"",XLOOKUP($F398,Productos!$A:$A,Productos!BD:BD,"Revisar"),"")</f>
        <v/>
      </c>
      <c r="BL398" s="179" t="str">
        <f t="array" ref="BL398">IF($F398&lt;&gt;"", XLOOKUP($F398,Productos!$A$2:$A1001,Productos!BE$2:BE1001,"")*$G398,"")</f>
        <v/>
      </c>
      <c r="BM398" s="179" t="str">
        <f t="array" ref="BM398">IF($F398&lt;&gt;"",XLOOKUP($F398,Productos!$A:$A,Productos!BF:BF,"Revisar"),"")</f>
        <v/>
      </c>
      <c r="BN398" s="179" t="str">
        <f t="array" ref="BN398">IF($F398&lt;&gt;"", XLOOKUP($F398,Productos!$A$2:$A1001,Productos!BG$2:BG1001,"")*$G398,"")</f>
        <v/>
      </c>
      <c r="BO398" s="179" t="str">
        <f t="array" ref="BO398">IF($F398&lt;&gt;"",XLOOKUP($F398,Productos!$A:$A,Productos!BH:BH,"Revisar"),"")</f>
        <v/>
      </c>
      <c r="BP398" s="179" t="str">
        <f t="array" ref="BP398">IF($F398&lt;&gt;"", XLOOKUP($F398,Productos!$A$2:$A1001,Productos!BI$2:BI1001,"")*$G398,"")</f>
        <v/>
      </c>
      <c r="BQ398" s="179" t="str">
        <f t="array" ref="BQ398">IF($F398&lt;&gt;"",XLOOKUP($F398,Productos!$A:$A,Productos!BJ:BJ,"Revisar"),"")</f>
        <v/>
      </c>
      <c r="BR398" s="179" t="str">
        <f t="array" ref="BR398">IF($F398&lt;&gt;"", XLOOKUP($F398,Productos!$A$2:$A1001,Productos!BK$2:BK1001,"")*$G398,"")</f>
        <v/>
      </c>
      <c r="BS398" s="179" t="str">
        <f t="array" ref="BS398">IF($F398&lt;&gt;"",XLOOKUP($F398,Productos!$A:$A,Productos!BL:BL,"Revisar"),"")</f>
        <v/>
      </c>
      <c r="BT398" s="179" t="str">
        <f t="array" ref="BT398">IF($F398&lt;&gt;"", XLOOKUP($F398,Productos!$A$2:$A1001,Productos!BM$2:BM1001,"")*$G398,"")</f>
        <v/>
      </c>
      <c r="BU398" s="179" t="str">
        <f t="array" ref="BU398">IF($F398&lt;&gt;"",XLOOKUP($F398,Productos!$A:$A,Productos!BN:BN,"Revisar"),"")</f>
        <v/>
      </c>
      <c r="BV398" s="179" t="str">
        <f t="array" ref="BV398">IF($F398&lt;&gt;"", XLOOKUP($F398,Productos!$A$2:$A1001,Productos!BO$2:BO1001,"")*$G398,"")</f>
        <v/>
      </c>
      <c r="BW398" s="179" t="str">
        <f t="array" ref="BW398">IF($F398&lt;&gt;"",XLOOKUP($F398,Productos!$A:$A,Productos!BP:BP,"Revisar"),"")</f>
        <v/>
      </c>
      <c r="BX398" s="179" t="str">
        <f t="array" ref="BX398">IF($F398&lt;&gt;"", XLOOKUP($F398,Productos!$A$2:$A1001,Productos!BQ$2:BQ1001,"")*$G398,"")</f>
        <v/>
      </c>
      <c r="BY398" s="179" t="str">
        <f t="array" ref="BY398">IF($F398&lt;&gt;"",XLOOKUP($F398,Productos!$A:$A,Productos!BR:BR,"Revisar"),"")</f>
        <v/>
      </c>
      <c r="BZ398" s="179" t="str">
        <f t="array" ref="BZ398">IF($F398&lt;&gt;"", XLOOKUP($F398,Productos!$A$2:$A1001,Productos!BS$2:BS1001,"")*$G398,"")</f>
        <v/>
      </c>
    </row>
    <row r="399">
      <c r="A399" s="188"/>
      <c r="B399" s="189"/>
      <c r="C399" s="190"/>
      <c r="D399" s="190"/>
      <c r="E399" s="191"/>
      <c r="F399" s="186"/>
      <c r="G399" s="192"/>
      <c r="H399" s="9"/>
      <c r="I399" s="179" t="str">
        <f t="array" ref="I399">IF($F399&lt;&gt;"",XLOOKUP($F399,Productos!$A:$A,Productos!B:B,"Revisar"),"")</f>
        <v/>
      </c>
      <c r="J399" s="179" t="str">
        <f t="array" ref="J399">IF($F399&lt;&gt;"", XLOOKUP($F399,Productos!$A$2:$A1001,Productos!C$2:C1001,"")*$G399,"")</f>
        <v/>
      </c>
      <c r="K399" s="179" t="str">
        <f t="array" ref="K399">IF($F399&lt;&gt;"",XLOOKUP($F399,Productos!$A:$A,Productos!D:D,"Revisar"),"")</f>
        <v/>
      </c>
      <c r="L399" s="179" t="str">
        <f t="array" ref="L399">IF($F399&lt;&gt;"", XLOOKUP($F399,Productos!$A$2:$A1001,Productos!E$2:E1001,"")*$G399,"")</f>
        <v/>
      </c>
      <c r="M399" s="179" t="str">
        <f t="array" ref="M399">IF($F399&lt;&gt;"",XLOOKUP($F399,Productos!$A:$A,Productos!F:F,"Revisar"),"")</f>
        <v/>
      </c>
      <c r="N399" s="179" t="str">
        <f t="array" ref="N399">IF($F399&lt;&gt;"", XLOOKUP($F399,Productos!$A$2:$A1001,Productos!G$2:G1001,"")*$G399,"")</f>
        <v/>
      </c>
      <c r="O399" s="179" t="str">
        <f t="array" ref="O399">IF($F399&lt;&gt;"",XLOOKUP($F399,Productos!$A:$A,Productos!H:H,"Revisar"),"")</f>
        <v/>
      </c>
      <c r="P399" s="179" t="str">
        <f t="array" ref="P399">IF($F399&lt;&gt;"", XLOOKUP($F399,Productos!$A$2:$A1001,Productos!I$2:I1001,"")*$G399,"")</f>
        <v/>
      </c>
      <c r="Q399" s="179" t="str">
        <f t="array" ref="Q399">IF($F399&lt;&gt;"",XLOOKUP($F399,Productos!$A:$A,Productos!J:J,"Revisar"),"")</f>
        <v/>
      </c>
      <c r="R399" s="179" t="str">
        <f t="array" ref="R399">IF($F399&lt;&gt;"", XLOOKUP($F399,Productos!$A$2:$A1001,Productos!K$2:K1001,"")*$G399,"")</f>
        <v/>
      </c>
      <c r="S399" s="179" t="str">
        <f t="array" ref="S399">IF($F399&lt;&gt;"",XLOOKUP($F399,Productos!$A:$A,Productos!L:L,"Revisar"),"")</f>
        <v/>
      </c>
      <c r="T399" s="179" t="str">
        <f t="array" ref="T399">IF($F399&lt;&gt;"", XLOOKUP($F399,Productos!$A$2:$A1001,Productos!M$2:M1001,"")*$G399,"")</f>
        <v/>
      </c>
      <c r="U399" s="179" t="str">
        <f t="array" ref="U399">IF($F399&lt;&gt;"",XLOOKUP($F399,Productos!$A:$A,Productos!N:N,"Revisar"),"")</f>
        <v/>
      </c>
      <c r="V399" s="179" t="str">
        <f t="array" ref="V399">IF($F399&lt;&gt;"", XLOOKUP($F399,Productos!$A$2:$A1001,Productos!O$2:O1001,"")*$G399,"")</f>
        <v/>
      </c>
      <c r="W399" s="179" t="str">
        <f t="array" ref="W399">IF($F399&lt;&gt;"",XLOOKUP($F399,Productos!$A:$A,Productos!P:P,"Revisar"),"")</f>
        <v/>
      </c>
      <c r="X399" s="179" t="str">
        <f t="array" ref="X399">IF($F399&lt;&gt;"", XLOOKUP($F399,Productos!$A$2:$A1001,Productos!Q$2:Q1001,"")*$G399,"")</f>
        <v/>
      </c>
      <c r="Y399" s="179" t="str">
        <f t="array" ref="Y399">IF($F399&lt;&gt;"",XLOOKUP($F399,Productos!$A:$A,Productos!R:R,"Revisar"),"")</f>
        <v/>
      </c>
      <c r="Z399" s="179" t="str">
        <f t="array" ref="Z399">IF($F399&lt;&gt;"", XLOOKUP($F399,Productos!$A$2:$A1001,Productos!S$2:S1001,"")*$G399,"")</f>
        <v/>
      </c>
      <c r="AA399" s="179" t="str">
        <f t="array" ref="AA399">IF($F399&lt;&gt;"",XLOOKUP($F399,Productos!$A:$A,Productos!T:T,"Revisar"),"")</f>
        <v/>
      </c>
      <c r="AB399" s="179" t="str">
        <f t="array" ref="AB399">IF($F399&lt;&gt;"", XLOOKUP($F399,Productos!$A$2:$A1001,Productos!U$2:U1001,"")*$G399,"")</f>
        <v/>
      </c>
      <c r="AC399" s="179" t="str">
        <f t="array" ref="AC399">IF($F399&lt;&gt;"",XLOOKUP($F399,Productos!$A:$A,Productos!V:V,"Revisar"),"")</f>
        <v/>
      </c>
      <c r="AD399" s="179" t="str">
        <f t="array" ref="AD399">IF($F399&lt;&gt;"", XLOOKUP($F399,Productos!$A$2:$A1001,Productos!W$2:W1001,"")*$G399,"")</f>
        <v/>
      </c>
      <c r="AE399" s="179" t="str">
        <f t="array" ref="AE399">IF($F399&lt;&gt;"",XLOOKUP($F399,Productos!$A:$A,Productos!X:X,"Revisar"),"")</f>
        <v/>
      </c>
      <c r="AF399" s="179" t="str">
        <f t="array" ref="AF399">IF($F399&lt;&gt;"", XLOOKUP($F399,Productos!$A$2:$A1001,Productos!Y$2:Y1001,"")*$G399,"")</f>
        <v/>
      </c>
      <c r="AG399" s="179" t="str">
        <f t="array" ref="AG399">IF($F399&lt;&gt;"",XLOOKUP($F399,Productos!$A:$A,Productos!Z:Z,"Revisar"),"")</f>
        <v/>
      </c>
      <c r="AH399" s="179" t="str">
        <f t="array" ref="AH399">IF($F399&lt;&gt;"", XLOOKUP($F399,Productos!$A$2:$A1001,Productos!AA$2:AA1001,"")*$G399,"")</f>
        <v/>
      </c>
      <c r="AI399" s="179" t="str">
        <f t="array" ref="AI399">IF($F399&lt;&gt;"",XLOOKUP($F399,Productos!$A:$A,Productos!AB:AB,"Revisar"),"")</f>
        <v/>
      </c>
      <c r="AJ399" s="179" t="str">
        <f t="array" ref="AJ399">IF($F399&lt;&gt;"", XLOOKUP($F399,Productos!$A$2:$A1001,Productos!AC$2:AC1001,"")*$G399,"")</f>
        <v/>
      </c>
      <c r="AK399" s="179" t="str">
        <f t="array" ref="AK399">IF($F399&lt;&gt;"",XLOOKUP($F399,Productos!$A:$A,Productos!AD:AD,"Revisar"),"")</f>
        <v/>
      </c>
      <c r="AL399" s="179" t="str">
        <f t="array" ref="AL399">IF($F399&lt;&gt;"", XLOOKUP($F399,Productos!$A$2:$A1001,Productos!AE$2:AE1001,"")*$G399,"")</f>
        <v/>
      </c>
      <c r="AM399" s="179" t="str">
        <f t="array" ref="AM399">IF($F399&lt;&gt;"",XLOOKUP($F399,Productos!$A:$A,Productos!AF:AF,"Revisar"),"")</f>
        <v/>
      </c>
      <c r="AN399" s="179" t="str">
        <f t="array" ref="AN399">IF($F399&lt;&gt;"", XLOOKUP($F399,Productos!$A$2:$A1001,Productos!AG$2:AG1001,"")*$G399,"")</f>
        <v/>
      </c>
      <c r="AO399" s="179" t="str">
        <f t="array" ref="AO399">IF($F399&lt;&gt;"",XLOOKUP($F399,Productos!$A:$A,Productos!AH:AH,"Revisar"),"")</f>
        <v/>
      </c>
      <c r="AP399" s="179" t="str">
        <f t="array" ref="AP399">IF($F399&lt;&gt;"", XLOOKUP($F399,Productos!$A$2:$A1001,Productos!AI$2:AI1001,"")*$G399,"")</f>
        <v/>
      </c>
      <c r="AQ399" s="179" t="str">
        <f t="array" ref="AQ399">IF($F399&lt;&gt;"",XLOOKUP($F399,Productos!$A:$A,Productos!AJ:AJ,"Revisar"),"")</f>
        <v/>
      </c>
      <c r="AR399" s="179" t="str">
        <f t="array" ref="AR399">IF($F399&lt;&gt;"", XLOOKUP($F399,Productos!$A$2:$A1001,Productos!AK$2:AK1001,"")*$G399,"")</f>
        <v/>
      </c>
      <c r="AS399" s="179" t="str">
        <f t="array" ref="AS399">IF($F399&lt;&gt;"",XLOOKUP($F399,Productos!$A:$A,Productos!AL:AL,"Revisar"),"")</f>
        <v/>
      </c>
      <c r="AT399" s="179" t="str">
        <f t="array" ref="AT399">IF($F399&lt;&gt;"", XLOOKUP($F399,Productos!$A$2:$A1001,Productos!AM$2:AM1001,"")*$G399,"")</f>
        <v/>
      </c>
      <c r="AU399" s="179" t="str">
        <f t="array" ref="AU399">IF($F399&lt;&gt;"",XLOOKUP($F399,Productos!$A:$A,Productos!AN:AN,"Revisar"),"")</f>
        <v/>
      </c>
      <c r="AV399" s="179" t="str">
        <f t="array" ref="AV399">IF($F399&lt;&gt;"", XLOOKUP($F399,Productos!$A$2:$A1001,Productos!AO$2:AO1001,"")*$G399,"")</f>
        <v/>
      </c>
      <c r="AW399" s="179" t="str">
        <f t="array" ref="AW399">IF($F399&lt;&gt;"",XLOOKUP($F399,Productos!$A:$A,Productos!AP:AP,"Revisar"),"")</f>
        <v/>
      </c>
      <c r="AX399" s="179" t="str">
        <f t="array" ref="AX399">IF($F399&lt;&gt;"", XLOOKUP($F399,Productos!$A$2:$A1001,Productos!AQ$2:AQ1001,"")*$G399,"")</f>
        <v/>
      </c>
      <c r="AY399" s="179" t="str">
        <f t="array" ref="AY399">IF($F399&lt;&gt;"",XLOOKUP($F399,Productos!$A:$A,Productos!AR:AR,"Revisar"),"")</f>
        <v/>
      </c>
      <c r="AZ399" s="179" t="str">
        <f t="array" ref="AZ399">IF($F399&lt;&gt;"", XLOOKUP($F399,Productos!$A$2:$A1001,Productos!AS$2:AS1001,"")*$G399,"")</f>
        <v/>
      </c>
      <c r="BA399" s="179" t="str">
        <f t="array" ref="BA399">IF($F399&lt;&gt;"",XLOOKUP($F399,Productos!$A:$A,Productos!AT:AT,"Revisar"),"")</f>
        <v/>
      </c>
      <c r="BB399" s="179" t="str">
        <f t="array" ref="BB399">IF($F399&lt;&gt;"", XLOOKUP($F399,Productos!$A$2:$A1001,Productos!AU$2:AU1001,"")*$G399,"")</f>
        <v/>
      </c>
      <c r="BC399" s="179" t="str">
        <f t="array" ref="BC399">IF($F399&lt;&gt;"",XLOOKUP($F399,Productos!$A:$A,Productos!AV:AV,"Revisar"),"")</f>
        <v/>
      </c>
      <c r="BD399" s="179" t="str">
        <f t="array" ref="BD399">IF($F399&lt;&gt;"", XLOOKUP($F399,Productos!$A$2:$A1001,Productos!AW$2:AW1001,"")*$G399,"")</f>
        <v/>
      </c>
      <c r="BE399" s="179" t="str">
        <f t="array" ref="BE399">IF($F399&lt;&gt;"",XLOOKUP($F399,Productos!$A:$A,Productos!AX:AX,"Revisar"),"")</f>
        <v/>
      </c>
      <c r="BF399" s="179" t="str">
        <f t="array" ref="BF399">IF($F399&lt;&gt;"", XLOOKUP($F399,Productos!$A$2:$A1001,Productos!AY$2:AY1001,"")*$G399,"")</f>
        <v/>
      </c>
      <c r="BG399" s="179" t="str">
        <f t="array" ref="BG399">IF($F399&lt;&gt;"",XLOOKUP($F399,Productos!$A:$A,Productos!AZ:AZ,"Revisar"),"")</f>
        <v/>
      </c>
      <c r="BH399" s="179" t="str">
        <f t="array" ref="BH399">IF($F399&lt;&gt;"", XLOOKUP($F399,Productos!$A$2:$A1001,Productos!BA$2:BA1001,"")*$G399,"")</f>
        <v/>
      </c>
      <c r="BI399" s="179" t="str">
        <f t="array" ref="BI399">IF($F399&lt;&gt;"",XLOOKUP($F399,Productos!$A:$A,Productos!BB:BB,"Revisar"),"")</f>
        <v/>
      </c>
      <c r="BJ399" s="179" t="str">
        <f t="array" ref="BJ399">IF($F399&lt;&gt;"", XLOOKUP($F399,Productos!$A$2:$A1001,Productos!BC$2:BC1001,"")*$G399,"")</f>
        <v/>
      </c>
      <c r="BK399" s="179" t="str">
        <f t="array" ref="BK399">IF($F399&lt;&gt;"",XLOOKUP($F399,Productos!$A:$A,Productos!BD:BD,"Revisar"),"")</f>
        <v/>
      </c>
      <c r="BL399" s="179" t="str">
        <f t="array" ref="BL399">IF($F399&lt;&gt;"", XLOOKUP($F399,Productos!$A$2:$A1001,Productos!BE$2:BE1001,"")*$G399,"")</f>
        <v/>
      </c>
      <c r="BM399" s="179" t="str">
        <f t="array" ref="BM399">IF($F399&lt;&gt;"",XLOOKUP($F399,Productos!$A:$A,Productos!BF:BF,"Revisar"),"")</f>
        <v/>
      </c>
      <c r="BN399" s="179" t="str">
        <f t="array" ref="BN399">IF($F399&lt;&gt;"", XLOOKUP($F399,Productos!$A$2:$A1001,Productos!BG$2:BG1001,"")*$G399,"")</f>
        <v/>
      </c>
      <c r="BO399" s="179" t="str">
        <f t="array" ref="BO399">IF($F399&lt;&gt;"",XLOOKUP($F399,Productos!$A:$A,Productos!BH:BH,"Revisar"),"")</f>
        <v/>
      </c>
      <c r="BP399" s="179" t="str">
        <f t="array" ref="BP399">IF($F399&lt;&gt;"", XLOOKUP($F399,Productos!$A$2:$A1001,Productos!BI$2:BI1001,"")*$G399,"")</f>
        <v/>
      </c>
      <c r="BQ399" s="179" t="str">
        <f t="array" ref="BQ399">IF($F399&lt;&gt;"",XLOOKUP($F399,Productos!$A:$A,Productos!BJ:BJ,"Revisar"),"")</f>
        <v/>
      </c>
      <c r="BR399" s="179" t="str">
        <f t="array" ref="BR399">IF($F399&lt;&gt;"", XLOOKUP($F399,Productos!$A$2:$A1001,Productos!BK$2:BK1001,"")*$G399,"")</f>
        <v/>
      </c>
      <c r="BS399" s="179" t="str">
        <f t="array" ref="BS399">IF($F399&lt;&gt;"",XLOOKUP($F399,Productos!$A:$A,Productos!BL:BL,"Revisar"),"")</f>
        <v/>
      </c>
      <c r="BT399" s="179" t="str">
        <f t="array" ref="BT399">IF($F399&lt;&gt;"", XLOOKUP($F399,Productos!$A$2:$A1001,Productos!BM$2:BM1001,"")*$G399,"")</f>
        <v/>
      </c>
      <c r="BU399" s="179" t="str">
        <f t="array" ref="BU399">IF($F399&lt;&gt;"",XLOOKUP($F399,Productos!$A:$A,Productos!BN:BN,"Revisar"),"")</f>
        <v/>
      </c>
      <c r="BV399" s="179" t="str">
        <f t="array" ref="BV399">IF($F399&lt;&gt;"", XLOOKUP($F399,Productos!$A$2:$A1001,Productos!BO$2:BO1001,"")*$G399,"")</f>
        <v/>
      </c>
      <c r="BW399" s="179" t="str">
        <f t="array" ref="BW399">IF($F399&lt;&gt;"",XLOOKUP($F399,Productos!$A:$A,Productos!BP:BP,"Revisar"),"")</f>
        <v/>
      </c>
      <c r="BX399" s="179" t="str">
        <f t="array" ref="BX399">IF($F399&lt;&gt;"", XLOOKUP($F399,Productos!$A$2:$A1001,Productos!BQ$2:BQ1001,"")*$G399,"")</f>
        <v/>
      </c>
      <c r="BY399" s="179" t="str">
        <f t="array" ref="BY399">IF($F399&lt;&gt;"",XLOOKUP($F399,Productos!$A:$A,Productos!BR:BR,"Revisar"),"")</f>
        <v/>
      </c>
      <c r="BZ399" s="179" t="str">
        <f t="array" ref="BZ399">IF($F399&lt;&gt;"", XLOOKUP($F399,Productos!$A$2:$A1001,Productos!BS$2:BS1001,"")*$G399,"")</f>
        <v/>
      </c>
    </row>
    <row r="400">
      <c r="A400" s="188"/>
      <c r="B400" s="189"/>
      <c r="C400" s="190"/>
      <c r="D400" s="190"/>
      <c r="E400" s="191"/>
      <c r="F400" s="186"/>
      <c r="G400" s="192"/>
      <c r="H400" s="9"/>
      <c r="I400" s="179" t="str">
        <f t="array" ref="I400">IF($F400&lt;&gt;"",XLOOKUP($F400,Productos!$A:$A,Productos!B:B,"Revisar"),"")</f>
        <v/>
      </c>
      <c r="J400" s="179" t="str">
        <f t="array" ref="J400">IF($F400&lt;&gt;"", XLOOKUP($F400,Productos!$A$2:$A1001,Productos!C$2:C1001,"")*$G400,"")</f>
        <v/>
      </c>
      <c r="K400" s="179" t="str">
        <f t="array" ref="K400">IF($F400&lt;&gt;"",XLOOKUP($F400,Productos!$A:$A,Productos!D:D,"Revisar"),"")</f>
        <v/>
      </c>
      <c r="L400" s="179" t="str">
        <f t="array" ref="L400">IF($F400&lt;&gt;"", XLOOKUP($F400,Productos!$A$2:$A1001,Productos!E$2:E1001,"")*$G400,"")</f>
        <v/>
      </c>
      <c r="M400" s="179" t="str">
        <f t="array" ref="M400">IF($F400&lt;&gt;"",XLOOKUP($F400,Productos!$A:$A,Productos!F:F,"Revisar"),"")</f>
        <v/>
      </c>
      <c r="N400" s="179" t="str">
        <f t="array" ref="N400">IF($F400&lt;&gt;"", XLOOKUP($F400,Productos!$A$2:$A1001,Productos!G$2:G1001,"")*$G400,"")</f>
        <v/>
      </c>
      <c r="O400" s="179" t="str">
        <f t="array" ref="O400">IF($F400&lt;&gt;"",XLOOKUP($F400,Productos!$A:$A,Productos!H:H,"Revisar"),"")</f>
        <v/>
      </c>
      <c r="P400" s="179" t="str">
        <f t="array" ref="P400">IF($F400&lt;&gt;"", XLOOKUP($F400,Productos!$A$2:$A1001,Productos!I$2:I1001,"")*$G400,"")</f>
        <v/>
      </c>
      <c r="Q400" s="179" t="str">
        <f t="array" ref="Q400">IF($F400&lt;&gt;"",XLOOKUP($F400,Productos!$A:$A,Productos!J:J,"Revisar"),"")</f>
        <v/>
      </c>
      <c r="R400" s="179" t="str">
        <f t="array" ref="R400">IF($F400&lt;&gt;"", XLOOKUP($F400,Productos!$A$2:$A1001,Productos!K$2:K1001,"")*$G400,"")</f>
        <v/>
      </c>
      <c r="S400" s="179" t="str">
        <f t="array" ref="S400">IF($F400&lt;&gt;"",XLOOKUP($F400,Productos!$A:$A,Productos!L:L,"Revisar"),"")</f>
        <v/>
      </c>
      <c r="T400" s="179" t="str">
        <f t="array" ref="T400">IF($F400&lt;&gt;"", XLOOKUP($F400,Productos!$A$2:$A1001,Productos!M$2:M1001,"")*$G400,"")</f>
        <v/>
      </c>
      <c r="U400" s="179" t="str">
        <f t="array" ref="U400">IF($F400&lt;&gt;"",XLOOKUP($F400,Productos!$A:$A,Productos!N:N,"Revisar"),"")</f>
        <v/>
      </c>
      <c r="V400" s="179" t="str">
        <f t="array" ref="V400">IF($F400&lt;&gt;"", XLOOKUP($F400,Productos!$A$2:$A1001,Productos!O$2:O1001,"")*$G400,"")</f>
        <v/>
      </c>
      <c r="W400" s="179" t="str">
        <f t="array" ref="W400">IF($F400&lt;&gt;"",XLOOKUP($F400,Productos!$A:$A,Productos!P:P,"Revisar"),"")</f>
        <v/>
      </c>
      <c r="X400" s="179" t="str">
        <f t="array" ref="X400">IF($F400&lt;&gt;"", XLOOKUP($F400,Productos!$A$2:$A1001,Productos!Q$2:Q1001,"")*$G400,"")</f>
        <v/>
      </c>
      <c r="Y400" s="179" t="str">
        <f t="array" ref="Y400">IF($F400&lt;&gt;"",XLOOKUP($F400,Productos!$A:$A,Productos!R:R,"Revisar"),"")</f>
        <v/>
      </c>
      <c r="Z400" s="179" t="str">
        <f t="array" ref="Z400">IF($F400&lt;&gt;"", XLOOKUP($F400,Productos!$A$2:$A1001,Productos!S$2:S1001,"")*$G400,"")</f>
        <v/>
      </c>
      <c r="AA400" s="179" t="str">
        <f t="array" ref="AA400">IF($F400&lt;&gt;"",XLOOKUP($F400,Productos!$A:$A,Productos!T:T,"Revisar"),"")</f>
        <v/>
      </c>
      <c r="AB400" s="179" t="str">
        <f t="array" ref="AB400">IF($F400&lt;&gt;"", XLOOKUP($F400,Productos!$A$2:$A1001,Productos!U$2:U1001,"")*$G400,"")</f>
        <v/>
      </c>
      <c r="AC400" s="179" t="str">
        <f t="array" ref="AC400">IF($F400&lt;&gt;"",XLOOKUP($F400,Productos!$A:$A,Productos!V:V,"Revisar"),"")</f>
        <v/>
      </c>
      <c r="AD400" s="179" t="str">
        <f t="array" ref="AD400">IF($F400&lt;&gt;"", XLOOKUP($F400,Productos!$A$2:$A1001,Productos!W$2:W1001,"")*$G400,"")</f>
        <v/>
      </c>
      <c r="AE400" s="179" t="str">
        <f t="array" ref="AE400">IF($F400&lt;&gt;"",XLOOKUP($F400,Productos!$A:$A,Productos!X:X,"Revisar"),"")</f>
        <v/>
      </c>
      <c r="AF400" s="179" t="str">
        <f t="array" ref="AF400">IF($F400&lt;&gt;"", XLOOKUP($F400,Productos!$A$2:$A1001,Productos!Y$2:Y1001,"")*$G400,"")</f>
        <v/>
      </c>
      <c r="AG400" s="179" t="str">
        <f t="array" ref="AG400">IF($F400&lt;&gt;"",XLOOKUP($F400,Productos!$A:$A,Productos!Z:Z,"Revisar"),"")</f>
        <v/>
      </c>
      <c r="AH400" s="179" t="str">
        <f t="array" ref="AH400">IF($F400&lt;&gt;"", XLOOKUP($F400,Productos!$A$2:$A1001,Productos!AA$2:AA1001,"")*$G400,"")</f>
        <v/>
      </c>
      <c r="AI400" s="179" t="str">
        <f t="array" ref="AI400">IF($F400&lt;&gt;"",XLOOKUP($F400,Productos!$A:$A,Productos!AB:AB,"Revisar"),"")</f>
        <v/>
      </c>
      <c r="AJ400" s="179" t="str">
        <f t="array" ref="AJ400">IF($F400&lt;&gt;"", XLOOKUP($F400,Productos!$A$2:$A1001,Productos!AC$2:AC1001,"")*$G400,"")</f>
        <v/>
      </c>
      <c r="AK400" s="179" t="str">
        <f t="array" ref="AK400">IF($F400&lt;&gt;"",XLOOKUP($F400,Productos!$A:$A,Productos!AD:AD,"Revisar"),"")</f>
        <v/>
      </c>
      <c r="AL400" s="179" t="str">
        <f t="array" ref="AL400">IF($F400&lt;&gt;"", XLOOKUP($F400,Productos!$A$2:$A1001,Productos!AE$2:AE1001,"")*$G400,"")</f>
        <v/>
      </c>
      <c r="AM400" s="179" t="str">
        <f t="array" ref="AM400">IF($F400&lt;&gt;"",XLOOKUP($F400,Productos!$A:$A,Productos!AF:AF,"Revisar"),"")</f>
        <v/>
      </c>
      <c r="AN400" s="179" t="str">
        <f t="array" ref="AN400">IF($F400&lt;&gt;"", XLOOKUP($F400,Productos!$A$2:$A1001,Productos!AG$2:AG1001,"")*$G400,"")</f>
        <v/>
      </c>
      <c r="AO400" s="179" t="str">
        <f t="array" ref="AO400">IF($F400&lt;&gt;"",XLOOKUP($F400,Productos!$A:$A,Productos!AH:AH,"Revisar"),"")</f>
        <v/>
      </c>
      <c r="AP400" s="179" t="str">
        <f t="array" ref="AP400">IF($F400&lt;&gt;"", XLOOKUP($F400,Productos!$A$2:$A1001,Productos!AI$2:AI1001,"")*$G400,"")</f>
        <v/>
      </c>
      <c r="AQ400" s="179" t="str">
        <f t="array" ref="AQ400">IF($F400&lt;&gt;"",XLOOKUP($F400,Productos!$A:$A,Productos!AJ:AJ,"Revisar"),"")</f>
        <v/>
      </c>
      <c r="AR400" s="179" t="str">
        <f t="array" ref="AR400">IF($F400&lt;&gt;"", XLOOKUP($F400,Productos!$A$2:$A1001,Productos!AK$2:AK1001,"")*$G400,"")</f>
        <v/>
      </c>
      <c r="AS400" s="179" t="str">
        <f t="array" ref="AS400">IF($F400&lt;&gt;"",XLOOKUP($F400,Productos!$A:$A,Productos!AL:AL,"Revisar"),"")</f>
        <v/>
      </c>
      <c r="AT400" s="179" t="str">
        <f t="array" ref="AT400">IF($F400&lt;&gt;"", XLOOKUP($F400,Productos!$A$2:$A1001,Productos!AM$2:AM1001,"")*$G400,"")</f>
        <v/>
      </c>
      <c r="AU400" s="179" t="str">
        <f t="array" ref="AU400">IF($F400&lt;&gt;"",XLOOKUP($F400,Productos!$A:$A,Productos!AN:AN,"Revisar"),"")</f>
        <v/>
      </c>
      <c r="AV400" s="179" t="str">
        <f t="array" ref="AV400">IF($F400&lt;&gt;"", XLOOKUP($F400,Productos!$A$2:$A1001,Productos!AO$2:AO1001,"")*$G400,"")</f>
        <v/>
      </c>
      <c r="AW400" s="179" t="str">
        <f t="array" ref="AW400">IF($F400&lt;&gt;"",XLOOKUP($F400,Productos!$A:$A,Productos!AP:AP,"Revisar"),"")</f>
        <v/>
      </c>
      <c r="AX400" s="179" t="str">
        <f t="array" ref="AX400">IF($F400&lt;&gt;"", XLOOKUP($F400,Productos!$A$2:$A1001,Productos!AQ$2:AQ1001,"")*$G400,"")</f>
        <v/>
      </c>
      <c r="AY400" s="179" t="str">
        <f t="array" ref="AY400">IF($F400&lt;&gt;"",XLOOKUP($F400,Productos!$A:$A,Productos!AR:AR,"Revisar"),"")</f>
        <v/>
      </c>
      <c r="AZ400" s="179" t="str">
        <f t="array" ref="AZ400">IF($F400&lt;&gt;"", XLOOKUP($F400,Productos!$A$2:$A1001,Productos!AS$2:AS1001,"")*$G400,"")</f>
        <v/>
      </c>
      <c r="BA400" s="179" t="str">
        <f t="array" ref="BA400">IF($F400&lt;&gt;"",XLOOKUP($F400,Productos!$A:$A,Productos!AT:AT,"Revisar"),"")</f>
        <v/>
      </c>
      <c r="BB400" s="179" t="str">
        <f t="array" ref="BB400">IF($F400&lt;&gt;"", XLOOKUP($F400,Productos!$A$2:$A1001,Productos!AU$2:AU1001,"")*$G400,"")</f>
        <v/>
      </c>
      <c r="BC400" s="179" t="str">
        <f t="array" ref="BC400">IF($F400&lt;&gt;"",XLOOKUP($F400,Productos!$A:$A,Productos!AV:AV,"Revisar"),"")</f>
        <v/>
      </c>
      <c r="BD400" s="179" t="str">
        <f t="array" ref="BD400">IF($F400&lt;&gt;"", XLOOKUP($F400,Productos!$A$2:$A1001,Productos!AW$2:AW1001,"")*$G400,"")</f>
        <v/>
      </c>
      <c r="BE400" s="179" t="str">
        <f t="array" ref="BE400">IF($F400&lt;&gt;"",XLOOKUP($F400,Productos!$A:$A,Productos!AX:AX,"Revisar"),"")</f>
        <v/>
      </c>
      <c r="BF400" s="179" t="str">
        <f t="array" ref="BF400">IF($F400&lt;&gt;"", XLOOKUP($F400,Productos!$A$2:$A1001,Productos!AY$2:AY1001,"")*$G400,"")</f>
        <v/>
      </c>
      <c r="BG400" s="179" t="str">
        <f t="array" ref="BG400">IF($F400&lt;&gt;"",XLOOKUP($F400,Productos!$A:$A,Productos!AZ:AZ,"Revisar"),"")</f>
        <v/>
      </c>
      <c r="BH400" s="179" t="str">
        <f t="array" ref="BH400">IF($F400&lt;&gt;"", XLOOKUP($F400,Productos!$A$2:$A1001,Productos!BA$2:BA1001,"")*$G400,"")</f>
        <v/>
      </c>
      <c r="BI400" s="179" t="str">
        <f t="array" ref="BI400">IF($F400&lt;&gt;"",XLOOKUP($F400,Productos!$A:$A,Productos!BB:BB,"Revisar"),"")</f>
        <v/>
      </c>
      <c r="BJ400" s="179" t="str">
        <f t="array" ref="BJ400">IF($F400&lt;&gt;"", XLOOKUP($F400,Productos!$A$2:$A1001,Productos!BC$2:BC1001,"")*$G400,"")</f>
        <v/>
      </c>
      <c r="BK400" s="179" t="str">
        <f t="array" ref="BK400">IF($F400&lt;&gt;"",XLOOKUP($F400,Productos!$A:$A,Productos!BD:BD,"Revisar"),"")</f>
        <v/>
      </c>
      <c r="BL400" s="179" t="str">
        <f t="array" ref="BL400">IF($F400&lt;&gt;"", XLOOKUP($F400,Productos!$A$2:$A1001,Productos!BE$2:BE1001,"")*$G400,"")</f>
        <v/>
      </c>
      <c r="BM400" s="179" t="str">
        <f t="array" ref="BM400">IF($F400&lt;&gt;"",XLOOKUP($F400,Productos!$A:$A,Productos!BF:BF,"Revisar"),"")</f>
        <v/>
      </c>
      <c r="BN400" s="179" t="str">
        <f t="array" ref="BN400">IF($F400&lt;&gt;"", XLOOKUP($F400,Productos!$A$2:$A1001,Productos!BG$2:BG1001,"")*$G400,"")</f>
        <v/>
      </c>
      <c r="BO400" s="179" t="str">
        <f t="array" ref="BO400">IF($F400&lt;&gt;"",XLOOKUP($F400,Productos!$A:$A,Productos!BH:BH,"Revisar"),"")</f>
        <v/>
      </c>
      <c r="BP400" s="179" t="str">
        <f t="array" ref="BP400">IF($F400&lt;&gt;"", XLOOKUP($F400,Productos!$A$2:$A1001,Productos!BI$2:BI1001,"")*$G400,"")</f>
        <v/>
      </c>
      <c r="BQ400" s="179" t="str">
        <f t="array" ref="BQ400">IF($F400&lt;&gt;"",XLOOKUP($F400,Productos!$A:$A,Productos!BJ:BJ,"Revisar"),"")</f>
        <v/>
      </c>
      <c r="BR400" s="179" t="str">
        <f t="array" ref="BR400">IF($F400&lt;&gt;"", XLOOKUP($F400,Productos!$A$2:$A1001,Productos!BK$2:BK1001,"")*$G400,"")</f>
        <v/>
      </c>
      <c r="BS400" s="179" t="str">
        <f t="array" ref="BS400">IF($F400&lt;&gt;"",XLOOKUP($F400,Productos!$A:$A,Productos!BL:BL,"Revisar"),"")</f>
        <v/>
      </c>
      <c r="BT400" s="179" t="str">
        <f t="array" ref="BT400">IF($F400&lt;&gt;"", XLOOKUP($F400,Productos!$A$2:$A1001,Productos!BM$2:BM1001,"")*$G400,"")</f>
        <v/>
      </c>
      <c r="BU400" s="179" t="str">
        <f t="array" ref="BU400">IF($F400&lt;&gt;"",XLOOKUP($F400,Productos!$A:$A,Productos!BN:BN,"Revisar"),"")</f>
        <v/>
      </c>
      <c r="BV400" s="179" t="str">
        <f t="array" ref="BV400">IF($F400&lt;&gt;"", XLOOKUP($F400,Productos!$A$2:$A1001,Productos!BO$2:BO1001,"")*$G400,"")</f>
        <v/>
      </c>
      <c r="BW400" s="179" t="str">
        <f t="array" ref="BW400">IF($F400&lt;&gt;"",XLOOKUP($F400,Productos!$A:$A,Productos!BP:BP,"Revisar"),"")</f>
        <v/>
      </c>
      <c r="BX400" s="179" t="str">
        <f t="array" ref="BX400">IF($F400&lt;&gt;"", XLOOKUP($F400,Productos!$A$2:$A1001,Productos!BQ$2:BQ1001,"")*$G400,"")</f>
        <v/>
      </c>
      <c r="BY400" s="179" t="str">
        <f t="array" ref="BY400">IF($F400&lt;&gt;"",XLOOKUP($F400,Productos!$A:$A,Productos!BR:BR,"Revisar"),"")</f>
        <v/>
      </c>
      <c r="BZ400" s="179" t="str">
        <f t="array" ref="BZ400">IF($F400&lt;&gt;"", XLOOKUP($F400,Productos!$A$2:$A1001,Productos!BS$2:BS1001,"")*$G400,"")</f>
        <v/>
      </c>
    </row>
    <row r="401">
      <c r="A401" s="188"/>
      <c r="B401" s="189"/>
      <c r="C401" s="190"/>
      <c r="D401" s="190"/>
      <c r="E401" s="191"/>
      <c r="F401" s="186"/>
      <c r="G401" s="192"/>
      <c r="H401" s="9"/>
      <c r="I401" s="179" t="str">
        <f t="array" ref="I401">IF($F401&lt;&gt;"",XLOOKUP($F401,Productos!$A:$A,Productos!B:B,"Revisar"),"")</f>
        <v/>
      </c>
      <c r="J401" s="179" t="str">
        <f t="array" ref="J401">IF($F401&lt;&gt;"", XLOOKUP($F401,Productos!$A$2:$A1001,Productos!C$2:C1001,"")*$G401,"")</f>
        <v/>
      </c>
      <c r="K401" s="179" t="str">
        <f t="array" ref="K401">IF($F401&lt;&gt;"",XLOOKUP($F401,Productos!$A:$A,Productos!D:D,"Revisar"),"")</f>
        <v/>
      </c>
      <c r="L401" s="179" t="str">
        <f t="array" ref="L401">IF($F401&lt;&gt;"", XLOOKUP($F401,Productos!$A$2:$A1001,Productos!E$2:E1001,"")*$G401,"")</f>
        <v/>
      </c>
      <c r="M401" s="179" t="str">
        <f t="array" ref="M401">IF($F401&lt;&gt;"",XLOOKUP($F401,Productos!$A:$A,Productos!F:F,"Revisar"),"")</f>
        <v/>
      </c>
      <c r="N401" s="179" t="str">
        <f t="array" ref="N401">IF($F401&lt;&gt;"", XLOOKUP($F401,Productos!$A$2:$A1001,Productos!G$2:G1001,"")*$G401,"")</f>
        <v/>
      </c>
      <c r="O401" s="179" t="str">
        <f t="array" ref="O401">IF($F401&lt;&gt;"",XLOOKUP($F401,Productos!$A:$A,Productos!H:H,"Revisar"),"")</f>
        <v/>
      </c>
      <c r="P401" s="179" t="str">
        <f t="array" ref="P401">IF($F401&lt;&gt;"", XLOOKUP($F401,Productos!$A$2:$A1001,Productos!I$2:I1001,"")*$G401,"")</f>
        <v/>
      </c>
      <c r="Q401" s="179" t="str">
        <f t="array" ref="Q401">IF($F401&lt;&gt;"",XLOOKUP($F401,Productos!$A:$A,Productos!J:J,"Revisar"),"")</f>
        <v/>
      </c>
      <c r="R401" s="179" t="str">
        <f t="array" ref="R401">IF($F401&lt;&gt;"", XLOOKUP($F401,Productos!$A$2:$A1001,Productos!K$2:K1001,"")*$G401,"")</f>
        <v/>
      </c>
      <c r="S401" s="179" t="str">
        <f t="array" ref="S401">IF($F401&lt;&gt;"",XLOOKUP($F401,Productos!$A:$A,Productos!L:L,"Revisar"),"")</f>
        <v/>
      </c>
      <c r="T401" s="179" t="str">
        <f t="array" ref="T401">IF($F401&lt;&gt;"", XLOOKUP($F401,Productos!$A$2:$A1001,Productos!M$2:M1001,"")*$G401,"")</f>
        <v/>
      </c>
      <c r="U401" s="179" t="str">
        <f t="array" ref="U401">IF($F401&lt;&gt;"",XLOOKUP($F401,Productos!$A:$A,Productos!N:N,"Revisar"),"")</f>
        <v/>
      </c>
      <c r="V401" s="179" t="str">
        <f t="array" ref="V401">IF($F401&lt;&gt;"", XLOOKUP($F401,Productos!$A$2:$A1001,Productos!O$2:O1001,"")*$G401,"")</f>
        <v/>
      </c>
      <c r="W401" s="179" t="str">
        <f t="array" ref="W401">IF($F401&lt;&gt;"",XLOOKUP($F401,Productos!$A:$A,Productos!P:P,"Revisar"),"")</f>
        <v/>
      </c>
      <c r="X401" s="179" t="str">
        <f t="array" ref="X401">IF($F401&lt;&gt;"", XLOOKUP($F401,Productos!$A$2:$A1001,Productos!Q$2:Q1001,"")*$G401,"")</f>
        <v/>
      </c>
      <c r="Y401" s="179" t="str">
        <f t="array" ref="Y401">IF($F401&lt;&gt;"",XLOOKUP($F401,Productos!$A:$A,Productos!R:R,"Revisar"),"")</f>
        <v/>
      </c>
      <c r="Z401" s="179" t="str">
        <f t="array" ref="Z401">IF($F401&lt;&gt;"", XLOOKUP($F401,Productos!$A$2:$A1001,Productos!S$2:S1001,"")*$G401,"")</f>
        <v/>
      </c>
      <c r="AA401" s="179" t="str">
        <f t="array" ref="AA401">IF($F401&lt;&gt;"",XLOOKUP($F401,Productos!$A:$A,Productos!T:T,"Revisar"),"")</f>
        <v/>
      </c>
      <c r="AB401" s="179" t="str">
        <f t="array" ref="AB401">IF($F401&lt;&gt;"", XLOOKUP($F401,Productos!$A$2:$A1001,Productos!U$2:U1001,"")*$G401,"")</f>
        <v/>
      </c>
      <c r="AC401" s="179" t="str">
        <f t="array" ref="AC401">IF($F401&lt;&gt;"",XLOOKUP($F401,Productos!$A:$A,Productos!V:V,"Revisar"),"")</f>
        <v/>
      </c>
      <c r="AD401" s="179" t="str">
        <f t="array" ref="AD401">IF($F401&lt;&gt;"", XLOOKUP($F401,Productos!$A$2:$A1001,Productos!W$2:W1001,"")*$G401,"")</f>
        <v/>
      </c>
      <c r="AE401" s="179" t="str">
        <f t="array" ref="AE401">IF($F401&lt;&gt;"",XLOOKUP($F401,Productos!$A:$A,Productos!X:X,"Revisar"),"")</f>
        <v/>
      </c>
      <c r="AF401" s="179" t="str">
        <f t="array" ref="AF401">IF($F401&lt;&gt;"", XLOOKUP($F401,Productos!$A$2:$A1001,Productos!Y$2:Y1001,"")*$G401,"")</f>
        <v/>
      </c>
      <c r="AG401" s="179" t="str">
        <f t="array" ref="AG401">IF($F401&lt;&gt;"",XLOOKUP($F401,Productos!$A:$A,Productos!Z:Z,"Revisar"),"")</f>
        <v/>
      </c>
      <c r="AH401" s="179" t="str">
        <f t="array" ref="AH401">IF($F401&lt;&gt;"", XLOOKUP($F401,Productos!$A$2:$A1001,Productos!AA$2:AA1001,"")*$G401,"")</f>
        <v/>
      </c>
      <c r="AI401" s="179" t="str">
        <f t="array" ref="AI401">IF($F401&lt;&gt;"",XLOOKUP($F401,Productos!$A:$A,Productos!AB:AB,"Revisar"),"")</f>
        <v/>
      </c>
      <c r="AJ401" s="179" t="str">
        <f t="array" ref="AJ401">IF($F401&lt;&gt;"", XLOOKUP($F401,Productos!$A$2:$A1001,Productos!AC$2:AC1001,"")*$G401,"")</f>
        <v/>
      </c>
      <c r="AK401" s="179" t="str">
        <f t="array" ref="AK401">IF($F401&lt;&gt;"",XLOOKUP($F401,Productos!$A:$A,Productos!AD:AD,"Revisar"),"")</f>
        <v/>
      </c>
      <c r="AL401" s="179" t="str">
        <f t="array" ref="AL401">IF($F401&lt;&gt;"", XLOOKUP($F401,Productos!$A$2:$A1001,Productos!AE$2:AE1001,"")*$G401,"")</f>
        <v/>
      </c>
      <c r="AM401" s="179" t="str">
        <f t="array" ref="AM401">IF($F401&lt;&gt;"",XLOOKUP($F401,Productos!$A:$A,Productos!AF:AF,"Revisar"),"")</f>
        <v/>
      </c>
      <c r="AN401" s="179" t="str">
        <f t="array" ref="AN401">IF($F401&lt;&gt;"", XLOOKUP($F401,Productos!$A$2:$A1001,Productos!AG$2:AG1001,"")*$G401,"")</f>
        <v/>
      </c>
      <c r="AO401" s="179" t="str">
        <f t="array" ref="AO401">IF($F401&lt;&gt;"",XLOOKUP($F401,Productos!$A:$A,Productos!AH:AH,"Revisar"),"")</f>
        <v/>
      </c>
      <c r="AP401" s="179" t="str">
        <f t="array" ref="AP401">IF($F401&lt;&gt;"", XLOOKUP($F401,Productos!$A$2:$A1001,Productos!AI$2:AI1001,"")*$G401,"")</f>
        <v/>
      </c>
      <c r="AQ401" s="179" t="str">
        <f t="array" ref="AQ401">IF($F401&lt;&gt;"",XLOOKUP($F401,Productos!$A:$A,Productos!AJ:AJ,"Revisar"),"")</f>
        <v/>
      </c>
      <c r="AR401" s="179" t="str">
        <f t="array" ref="AR401">IF($F401&lt;&gt;"", XLOOKUP($F401,Productos!$A$2:$A1001,Productos!AK$2:AK1001,"")*$G401,"")</f>
        <v/>
      </c>
      <c r="AS401" s="179" t="str">
        <f t="array" ref="AS401">IF($F401&lt;&gt;"",XLOOKUP($F401,Productos!$A:$A,Productos!AL:AL,"Revisar"),"")</f>
        <v/>
      </c>
      <c r="AT401" s="179" t="str">
        <f t="array" ref="AT401">IF($F401&lt;&gt;"", XLOOKUP($F401,Productos!$A$2:$A1001,Productos!AM$2:AM1001,"")*$G401,"")</f>
        <v/>
      </c>
      <c r="AU401" s="179" t="str">
        <f t="array" ref="AU401">IF($F401&lt;&gt;"",XLOOKUP($F401,Productos!$A:$A,Productos!AN:AN,"Revisar"),"")</f>
        <v/>
      </c>
      <c r="AV401" s="179" t="str">
        <f t="array" ref="AV401">IF($F401&lt;&gt;"", XLOOKUP($F401,Productos!$A$2:$A1001,Productos!AO$2:AO1001,"")*$G401,"")</f>
        <v/>
      </c>
      <c r="AW401" s="179" t="str">
        <f t="array" ref="AW401">IF($F401&lt;&gt;"",XLOOKUP($F401,Productos!$A:$A,Productos!AP:AP,"Revisar"),"")</f>
        <v/>
      </c>
      <c r="AX401" s="179" t="str">
        <f t="array" ref="AX401">IF($F401&lt;&gt;"", XLOOKUP($F401,Productos!$A$2:$A1001,Productos!AQ$2:AQ1001,"")*$G401,"")</f>
        <v/>
      </c>
      <c r="AY401" s="179" t="str">
        <f t="array" ref="AY401">IF($F401&lt;&gt;"",XLOOKUP($F401,Productos!$A:$A,Productos!AR:AR,"Revisar"),"")</f>
        <v/>
      </c>
      <c r="AZ401" s="179" t="str">
        <f t="array" ref="AZ401">IF($F401&lt;&gt;"", XLOOKUP($F401,Productos!$A$2:$A1001,Productos!AS$2:AS1001,"")*$G401,"")</f>
        <v/>
      </c>
      <c r="BA401" s="179" t="str">
        <f t="array" ref="BA401">IF($F401&lt;&gt;"",XLOOKUP($F401,Productos!$A:$A,Productos!AT:AT,"Revisar"),"")</f>
        <v/>
      </c>
      <c r="BB401" s="179" t="str">
        <f t="array" ref="BB401">IF($F401&lt;&gt;"", XLOOKUP($F401,Productos!$A$2:$A1001,Productos!AU$2:AU1001,"")*$G401,"")</f>
        <v/>
      </c>
      <c r="BC401" s="179" t="str">
        <f t="array" ref="BC401">IF($F401&lt;&gt;"",XLOOKUP($F401,Productos!$A:$A,Productos!AV:AV,"Revisar"),"")</f>
        <v/>
      </c>
      <c r="BD401" s="179" t="str">
        <f t="array" ref="BD401">IF($F401&lt;&gt;"", XLOOKUP($F401,Productos!$A$2:$A1001,Productos!AW$2:AW1001,"")*$G401,"")</f>
        <v/>
      </c>
      <c r="BE401" s="179" t="str">
        <f t="array" ref="BE401">IF($F401&lt;&gt;"",XLOOKUP($F401,Productos!$A:$A,Productos!AX:AX,"Revisar"),"")</f>
        <v/>
      </c>
      <c r="BF401" s="179" t="str">
        <f t="array" ref="BF401">IF($F401&lt;&gt;"", XLOOKUP($F401,Productos!$A$2:$A1001,Productos!AY$2:AY1001,"")*$G401,"")</f>
        <v/>
      </c>
      <c r="BG401" s="179" t="str">
        <f t="array" ref="BG401">IF($F401&lt;&gt;"",XLOOKUP($F401,Productos!$A:$A,Productos!AZ:AZ,"Revisar"),"")</f>
        <v/>
      </c>
      <c r="BH401" s="179" t="str">
        <f t="array" ref="BH401">IF($F401&lt;&gt;"", XLOOKUP($F401,Productos!$A$2:$A1001,Productos!BA$2:BA1001,"")*$G401,"")</f>
        <v/>
      </c>
      <c r="BI401" s="179" t="str">
        <f t="array" ref="BI401">IF($F401&lt;&gt;"",XLOOKUP($F401,Productos!$A:$A,Productos!BB:BB,"Revisar"),"")</f>
        <v/>
      </c>
      <c r="BJ401" s="179" t="str">
        <f t="array" ref="BJ401">IF($F401&lt;&gt;"", XLOOKUP($F401,Productos!$A$2:$A1001,Productos!BC$2:BC1001,"")*$G401,"")</f>
        <v/>
      </c>
      <c r="BK401" s="179" t="str">
        <f t="array" ref="BK401">IF($F401&lt;&gt;"",XLOOKUP($F401,Productos!$A:$A,Productos!BD:BD,"Revisar"),"")</f>
        <v/>
      </c>
      <c r="BL401" s="179" t="str">
        <f t="array" ref="BL401">IF($F401&lt;&gt;"", XLOOKUP($F401,Productos!$A$2:$A1001,Productos!BE$2:BE1001,"")*$G401,"")</f>
        <v/>
      </c>
      <c r="BM401" s="179" t="str">
        <f t="array" ref="BM401">IF($F401&lt;&gt;"",XLOOKUP($F401,Productos!$A:$A,Productos!BF:BF,"Revisar"),"")</f>
        <v/>
      </c>
      <c r="BN401" s="179" t="str">
        <f t="array" ref="BN401">IF($F401&lt;&gt;"", XLOOKUP($F401,Productos!$A$2:$A1001,Productos!BG$2:BG1001,"")*$G401,"")</f>
        <v/>
      </c>
      <c r="BO401" s="179" t="str">
        <f t="array" ref="BO401">IF($F401&lt;&gt;"",XLOOKUP($F401,Productos!$A:$A,Productos!BH:BH,"Revisar"),"")</f>
        <v/>
      </c>
      <c r="BP401" s="179" t="str">
        <f t="array" ref="BP401">IF($F401&lt;&gt;"", XLOOKUP($F401,Productos!$A$2:$A1001,Productos!BI$2:BI1001,"")*$G401,"")</f>
        <v/>
      </c>
      <c r="BQ401" s="179" t="str">
        <f t="array" ref="BQ401">IF($F401&lt;&gt;"",XLOOKUP($F401,Productos!$A:$A,Productos!BJ:BJ,"Revisar"),"")</f>
        <v/>
      </c>
      <c r="BR401" s="179" t="str">
        <f t="array" ref="BR401">IF($F401&lt;&gt;"", XLOOKUP($F401,Productos!$A$2:$A1001,Productos!BK$2:BK1001,"")*$G401,"")</f>
        <v/>
      </c>
      <c r="BS401" s="179" t="str">
        <f t="array" ref="BS401">IF($F401&lt;&gt;"",XLOOKUP($F401,Productos!$A:$A,Productos!BL:BL,"Revisar"),"")</f>
        <v/>
      </c>
      <c r="BT401" s="179" t="str">
        <f t="array" ref="BT401">IF($F401&lt;&gt;"", XLOOKUP($F401,Productos!$A$2:$A1001,Productos!BM$2:BM1001,"")*$G401,"")</f>
        <v/>
      </c>
      <c r="BU401" s="179" t="str">
        <f t="array" ref="BU401">IF($F401&lt;&gt;"",XLOOKUP($F401,Productos!$A:$A,Productos!BN:BN,"Revisar"),"")</f>
        <v/>
      </c>
      <c r="BV401" s="179" t="str">
        <f t="array" ref="BV401">IF($F401&lt;&gt;"", XLOOKUP($F401,Productos!$A$2:$A1001,Productos!BO$2:BO1001,"")*$G401,"")</f>
        <v/>
      </c>
      <c r="BW401" s="179" t="str">
        <f t="array" ref="BW401">IF($F401&lt;&gt;"",XLOOKUP($F401,Productos!$A:$A,Productos!BP:BP,"Revisar"),"")</f>
        <v/>
      </c>
      <c r="BX401" s="179" t="str">
        <f t="array" ref="BX401">IF($F401&lt;&gt;"", XLOOKUP($F401,Productos!$A$2:$A1001,Productos!BQ$2:BQ1001,"")*$G401,"")</f>
        <v/>
      </c>
      <c r="BY401" s="179" t="str">
        <f t="array" ref="BY401">IF($F401&lt;&gt;"",XLOOKUP($F401,Productos!$A:$A,Productos!BR:BR,"Revisar"),"")</f>
        <v/>
      </c>
      <c r="BZ401" s="179" t="str">
        <f t="array" ref="BZ401">IF($F401&lt;&gt;"", XLOOKUP($F401,Productos!$A$2:$A1001,Productos!BS$2:BS1001,"")*$G401,"")</f>
        <v/>
      </c>
    </row>
    <row r="402">
      <c r="A402" s="188"/>
      <c r="B402" s="189"/>
      <c r="C402" s="190"/>
      <c r="D402" s="190"/>
      <c r="E402" s="191"/>
      <c r="F402" s="186"/>
      <c r="G402" s="192"/>
      <c r="H402" s="9"/>
      <c r="I402" s="179" t="str">
        <f t="array" ref="I402">IF($F402&lt;&gt;"",XLOOKUP($F402,Productos!$A:$A,Productos!B:B,"Revisar"),"")</f>
        <v/>
      </c>
      <c r="J402" s="179" t="str">
        <f t="array" ref="J402">IF($F402&lt;&gt;"", XLOOKUP($F402,Productos!$A$2:$A1001,Productos!C$2:C1001,"")*$G402,"")</f>
        <v/>
      </c>
      <c r="K402" s="179" t="str">
        <f t="array" ref="K402">IF($F402&lt;&gt;"",XLOOKUP($F402,Productos!$A:$A,Productos!D:D,"Revisar"),"")</f>
        <v/>
      </c>
      <c r="L402" s="179" t="str">
        <f t="array" ref="L402">IF($F402&lt;&gt;"", XLOOKUP($F402,Productos!$A$2:$A1001,Productos!E$2:E1001,"")*$G402,"")</f>
        <v/>
      </c>
      <c r="M402" s="179" t="str">
        <f t="array" ref="M402">IF($F402&lt;&gt;"",XLOOKUP($F402,Productos!$A:$A,Productos!F:F,"Revisar"),"")</f>
        <v/>
      </c>
      <c r="N402" s="179" t="str">
        <f t="array" ref="N402">IF($F402&lt;&gt;"", XLOOKUP($F402,Productos!$A$2:$A1001,Productos!G$2:G1001,"")*$G402,"")</f>
        <v/>
      </c>
      <c r="O402" s="179" t="str">
        <f t="array" ref="O402">IF($F402&lt;&gt;"",XLOOKUP($F402,Productos!$A:$A,Productos!H:H,"Revisar"),"")</f>
        <v/>
      </c>
      <c r="P402" s="179" t="str">
        <f t="array" ref="P402">IF($F402&lt;&gt;"", XLOOKUP($F402,Productos!$A$2:$A1001,Productos!I$2:I1001,"")*$G402,"")</f>
        <v/>
      </c>
      <c r="Q402" s="179" t="str">
        <f t="array" ref="Q402">IF($F402&lt;&gt;"",XLOOKUP($F402,Productos!$A:$A,Productos!J:J,"Revisar"),"")</f>
        <v/>
      </c>
      <c r="R402" s="179" t="str">
        <f t="array" ref="R402">IF($F402&lt;&gt;"", XLOOKUP($F402,Productos!$A$2:$A1001,Productos!K$2:K1001,"")*$G402,"")</f>
        <v/>
      </c>
      <c r="S402" s="179" t="str">
        <f t="array" ref="S402">IF($F402&lt;&gt;"",XLOOKUP($F402,Productos!$A:$A,Productos!L:L,"Revisar"),"")</f>
        <v/>
      </c>
      <c r="T402" s="179" t="str">
        <f t="array" ref="T402">IF($F402&lt;&gt;"", XLOOKUP($F402,Productos!$A$2:$A1001,Productos!M$2:M1001,"")*$G402,"")</f>
        <v/>
      </c>
      <c r="U402" s="179" t="str">
        <f t="array" ref="U402">IF($F402&lt;&gt;"",XLOOKUP($F402,Productos!$A:$A,Productos!N:N,"Revisar"),"")</f>
        <v/>
      </c>
      <c r="V402" s="179" t="str">
        <f t="array" ref="V402">IF($F402&lt;&gt;"", XLOOKUP($F402,Productos!$A$2:$A1001,Productos!O$2:O1001,"")*$G402,"")</f>
        <v/>
      </c>
      <c r="W402" s="179" t="str">
        <f t="array" ref="W402">IF($F402&lt;&gt;"",XLOOKUP($F402,Productos!$A:$A,Productos!P:P,"Revisar"),"")</f>
        <v/>
      </c>
      <c r="X402" s="179" t="str">
        <f t="array" ref="X402">IF($F402&lt;&gt;"", XLOOKUP($F402,Productos!$A$2:$A1001,Productos!Q$2:Q1001,"")*$G402,"")</f>
        <v/>
      </c>
      <c r="Y402" s="179" t="str">
        <f t="array" ref="Y402">IF($F402&lt;&gt;"",XLOOKUP($F402,Productos!$A:$A,Productos!R:R,"Revisar"),"")</f>
        <v/>
      </c>
      <c r="Z402" s="179" t="str">
        <f t="array" ref="Z402">IF($F402&lt;&gt;"", XLOOKUP($F402,Productos!$A$2:$A1001,Productos!S$2:S1001,"")*$G402,"")</f>
        <v/>
      </c>
      <c r="AA402" s="179" t="str">
        <f t="array" ref="AA402">IF($F402&lt;&gt;"",XLOOKUP($F402,Productos!$A:$A,Productos!T:T,"Revisar"),"")</f>
        <v/>
      </c>
      <c r="AB402" s="179" t="str">
        <f t="array" ref="AB402">IF($F402&lt;&gt;"", XLOOKUP($F402,Productos!$A$2:$A1001,Productos!U$2:U1001,"")*$G402,"")</f>
        <v/>
      </c>
      <c r="AC402" s="179" t="str">
        <f t="array" ref="AC402">IF($F402&lt;&gt;"",XLOOKUP($F402,Productos!$A:$A,Productos!V:V,"Revisar"),"")</f>
        <v/>
      </c>
      <c r="AD402" s="179" t="str">
        <f t="array" ref="AD402">IF($F402&lt;&gt;"", XLOOKUP($F402,Productos!$A$2:$A1001,Productos!W$2:W1001,"")*$G402,"")</f>
        <v/>
      </c>
      <c r="AE402" s="179" t="str">
        <f t="array" ref="AE402">IF($F402&lt;&gt;"",XLOOKUP($F402,Productos!$A:$A,Productos!X:X,"Revisar"),"")</f>
        <v/>
      </c>
      <c r="AF402" s="179" t="str">
        <f t="array" ref="AF402">IF($F402&lt;&gt;"", XLOOKUP($F402,Productos!$A$2:$A1001,Productos!Y$2:Y1001,"")*$G402,"")</f>
        <v/>
      </c>
      <c r="AG402" s="179" t="str">
        <f t="array" ref="AG402">IF($F402&lt;&gt;"",XLOOKUP($F402,Productos!$A:$A,Productos!Z:Z,"Revisar"),"")</f>
        <v/>
      </c>
      <c r="AH402" s="179" t="str">
        <f t="array" ref="AH402">IF($F402&lt;&gt;"", XLOOKUP($F402,Productos!$A$2:$A1001,Productos!AA$2:AA1001,"")*$G402,"")</f>
        <v/>
      </c>
      <c r="AI402" s="179" t="str">
        <f t="array" ref="AI402">IF($F402&lt;&gt;"",XLOOKUP($F402,Productos!$A:$A,Productos!AB:AB,"Revisar"),"")</f>
        <v/>
      </c>
      <c r="AJ402" s="179" t="str">
        <f t="array" ref="AJ402">IF($F402&lt;&gt;"", XLOOKUP($F402,Productos!$A$2:$A1001,Productos!AC$2:AC1001,"")*$G402,"")</f>
        <v/>
      </c>
      <c r="AK402" s="179" t="str">
        <f t="array" ref="AK402">IF($F402&lt;&gt;"",XLOOKUP($F402,Productos!$A:$A,Productos!AD:AD,"Revisar"),"")</f>
        <v/>
      </c>
      <c r="AL402" s="179" t="str">
        <f t="array" ref="AL402">IF($F402&lt;&gt;"", XLOOKUP($F402,Productos!$A$2:$A1001,Productos!AE$2:AE1001,"")*$G402,"")</f>
        <v/>
      </c>
      <c r="AM402" s="179" t="str">
        <f t="array" ref="AM402">IF($F402&lt;&gt;"",XLOOKUP($F402,Productos!$A:$A,Productos!AF:AF,"Revisar"),"")</f>
        <v/>
      </c>
      <c r="AN402" s="179" t="str">
        <f t="array" ref="AN402">IF($F402&lt;&gt;"", XLOOKUP($F402,Productos!$A$2:$A1001,Productos!AG$2:AG1001,"")*$G402,"")</f>
        <v/>
      </c>
      <c r="AO402" s="179" t="str">
        <f t="array" ref="AO402">IF($F402&lt;&gt;"",XLOOKUP($F402,Productos!$A:$A,Productos!AH:AH,"Revisar"),"")</f>
        <v/>
      </c>
      <c r="AP402" s="179" t="str">
        <f t="array" ref="AP402">IF($F402&lt;&gt;"", XLOOKUP($F402,Productos!$A$2:$A1001,Productos!AI$2:AI1001,"")*$G402,"")</f>
        <v/>
      </c>
      <c r="AQ402" s="179" t="str">
        <f t="array" ref="AQ402">IF($F402&lt;&gt;"",XLOOKUP($F402,Productos!$A:$A,Productos!AJ:AJ,"Revisar"),"")</f>
        <v/>
      </c>
      <c r="AR402" s="179" t="str">
        <f t="array" ref="AR402">IF($F402&lt;&gt;"", XLOOKUP($F402,Productos!$A$2:$A1001,Productos!AK$2:AK1001,"")*$G402,"")</f>
        <v/>
      </c>
      <c r="AS402" s="179" t="str">
        <f t="array" ref="AS402">IF($F402&lt;&gt;"",XLOOKUP($F402,Productos!$A:$A,Productos!AL:AL,"Revisar"),"")</f>
        <v/>
      </c>
      <c r="AT402" s="179" t="str">
        <f t="array" ref="AT402">IF($F402&lt;&gt;"", XLOOKUP($F402,Productos!$A$2:$A1001,Productos!AM$2:AM1001,"")*$G402,"")</f>
        <v/>
      </c>
      <c r="AU402" s="179" t="str">
        <f t="array" ref="AU402">IF($F402&lt;&gt;"",XLOOKUP($F402,Productos!$A:$A,Productos!AN:AN,"Revisar"),"")</f>
        <v/>
      </c>
      <c r="AV402" s="179" t="str">
        <f t="array" ref="AV402">IF($F402&lt;&gt;"", XLOOKUP($F402,Productos!$A$2:$A1001,Productos!AO$2:AO1001,"")*$G402,"")</f>
        <v/>
      </c>
      <c r="AW402" s="179" t="str">
        <f t="array" ref="AW402">IF($F402&lt;&gt;"",XLOOKUP($F402,Productos!$A:$A,Productos!AP:AP,"Revisar"),"")</f>
        <v/>
      </c>
      <c r="AX402" s="179" t="str">
        <f t="array" ref="AX402">IF($F402&lt;&gt;"", XLOOKUP($F402,Productos!$A$2:$A1001,Productos!AQ$2:AQ1001,"")*$G402,"")</f>
        <v/>
      </c>
      <c r="AY402" s="179" t="str">
        <f t="array" ref="AY402">IF($F402&lt;&gt;"",XLOOKUP($F402,Productos!$A:$A,Productos!AR:AR,"Revisar"),"")</f>
        <v/>
      </c>
      <c r="AZ402" s="179" t="str">
        <f t="array" ref="AZ402">IF($F402&lt;&gt;"", XLOOKUP($F402,Productos!$A$2:$A1001,Productos!AS$2:AS1001,"")*$G402,"")</f>
        <v/>
      </c>
      <c r="BA402" s="179" t="str">
        <f t="array" ref="BA402">IF($F402&lt;&gt;"",XLOOKUP($F402,Productos!$A:$A,Productos!AT:AT,"Revisar"),"")</f>
        <v/>
      </c>
      <c r="BB402" s="179" t="str">
        <f t="array" ref="BB402">IF($F402&lt;&gt;"", XLOOKUP($F402,Productos!$A$2:$A1001,Productos!AU$2:AU1001,"")*$G402,"")</f>
        <v/>
      </c>
      <c r="BC402" s="179" t="str">
        <f t="array" ref="BC402">IF($F402&lt;&gt;"",XLOOKUP($F402,Productos!$A:$A,Productos!AV:AV,"Revisar"),"")</f>
        <v/>
      </c>
      <c r="BD402" s="179" t="str">
        <f t="array" ref="BD402">IF($F402&lt;&gt;"", XLOOKUP($F402,Productos!$A$2:$A1001,Productos!AW$2:AW1001,"")*$G402,"")</f>
        <v/>
      </c>
      <c r="BE402" s="179" t="str">
        <f t="array" ref="BE402">IF($F402&lt;&gt;"",XLOOKUP($F402,Productos!$A:$A,Productos!AX:AX,"Revisar"),"")</f>
        <v/>
      </c>
      <c r="BF402" s="179" t="str">
        <f t="array" ref="BF402">IF($F402&lt;&gt;"", XLOOKUP($F402,Productos!$A$2:$A1001,Productos!AY$2:AY1001,"")*$G402,"")</f>
        <v/>
      </c>
      <c r="BG402" s="179" t="str">
        <f t="array" ref="BG402">IF($F402&lt;&gt;"",XLOOKUP($F402,Productos!$A:$A,Productos!AZ:AZ,"Revisar"),"")</f>
        <v/>
      </c>
      <c r="BH402" s="179" t="str">
        <f t="array" ref="BH402">IF($F402&lt;&gt;"", XLOOKUP($F402,Productos!$A$2:$A1001,Productos!BA$2:BA1001,"")*$G402,"")</f>
        <v/>
      </c>
      <c r="BI402" s="179" t="str">
        <f t="array" ref="BI402">IF($F402&lt;&gt;"",XLOOKUP($F402,Productos!$A:$A,Productos!BB:BB,"Revisar"),"")</f>
        <v/>
      </c>
      <c r="BJ402" s="179" t="str">
        <f t="array" ref="BJ402">IF($F402&lt;&gt;"", XLOOKUP($F402,Productos!$A$2:$A1001,Productos!BC$2:BC1001,"")*$G402,"")</f>
        <v/>
      </c>
      <c r="BK402" s="179" t="str">
        <f t="array" ref="BK402">IF($F402&lt;&gt;"",XLOOKUP($F402,Productos!$A:$A,Productos!BD:BD,"Revisar"),"")</f>
        <v/>
      </c>
      <c r="BL402" s="179" t="str">
        <f t="array" ref="BL402">IF($F402&lt;&gt;"", XLOOKUP($F402,Productos!$A$2:$A1001,Productos!BE$2:BE1001,"")*$G402,"")</f>
        <v/>
      </c>
      <c r="BM402" s="179" t="str">
        <f t="array" ref="BM402">IF($F402&lt;&gt;"",XLOOKUP($F402,Productos!$A:$A,Productos!BF:BF,"Revisar"),"")</f>
        <v/>
      </c>
      <c r="BN402" s="179" t="str">
        <f t="array" ref="BN402">IF($F402&lt;&gt;"", XLOOKUP($F402,Productos!$A$2:$A1001,Productos!BG$2:BG1001,"")*$G402,"")</f>
        <v/>
      </c>
      <c r="BO402" s="179" t="str">
        <f t="array" ref="BO402">IF($F402&lt;&gt;"",XLOOKUP($F402,Productos!$A:$A,Productos!BH:BH,"Revisar"),"")</f>
        <v/>
      </c>
      <c r="BP402" s="179" t="str">
        <f t="array" ref="BP402">IF($F402&lt;&gt;"", XLOOKUP($F402,Productos!$A$2:$A1001,Productos!BI$2:BI1001,"")*$G402,"")</f>
        <v/>
      </c>
      <c r="BQ402" s="179" t="str">
        <f t="array" ref="BQ402">IF($F402&lt;&gt;"",XLOOKUP($F402,Productos!$A:$A,Productos!BJ:BJ,"Revisar"),"")</f>
        <v/>
      </c>
      <c r="BR402" s="179" t="str">
        <f t="array" ref="BR402">IF($F402&lt;&gt;"", XLOOKUP($F402,Productos!$A$2:$A1001,Productos!BK$2:BK1001,"")*$G402,"")</f>
        <v/>
      </c>
      <c r="BS402" s="179" t="str">
        <f t="array" ref="BS402">IF($F402&lt;&gt;"",XLOOKUP($F402,Productos!$A:$A,Productos!BL:BL,"Revisar"),"")</f>
        <v/>
      </c>
      <c r="BT402" s="179" t="str">
        <f t="array" ref="BT402">IF($F402&lt;&gt;"", XLOOKUP($F402,Productos!$A$2:$A1001,Productos!BM$2:BM1001,"")*$G402,"")</f>
        <v/>
      </c>
      <c r="BU402" s="179" t="str">
        <f t="array" ref="BU402">IF($F402&lt;&gt;"",XLOOKUP($F402,Productos!$A:$A,Productos!BN:BN,"Revisar"),"")</f>
        <v/>
      </c>
      <c r="BV402" s="179" t="str">
        <f t="array" ref="BV402">IF($F402&lt;&gt;"", XLOOKUP($F402,Productos!$A$2:$A1001,Productos!BO$2:BO1001,"")*$G402,"")</f>
        <v/>
      </c>
      <c r="BW402" s="179" t="str">
        <f t="array" ref="BW402">IF($F402&lt;&gt;"",XLOOKUP($F402,Productos!$A:$A,Productos!BP:BP,"Revisar"),"")</f>
        <v/>
      </c>
      <c r="BX402" s="179" t="str">
        <f t="array" ref="BX402">IF($F402&lt;&gt;"", XLOOKUP($F402,Productos!$A$2:$A1001,Productos!BQ$2:BQ1001,"")*$G402,"")</f>
        <v/>
      </c>
      <c r="BY402" s="179" t="str">
        <f t="array" ref="BY402">IF($F402&lt;&gt;"",XLOOKUP($F402,Productos!$A:$A,Productos!BR:BR,"Revisar"),"")</f>
        <v/>
      </c>
      <c r="BZ402" s="179" t="str">
        <f t="array" ref="BZ402">IF($F402&lt;&gt;"", XLOOKUP($F402,Productos!$A$2:$A1001,Productos!BS$2:BS1001,"")*$G402,"")</f>
        <v/>
      </c>
    </row>
    <row r="403">
      <c r="A403" s="188"/>
      <c r="B403" s="189"/>
      <c r="C403" s="190"/>
      <c r="D403" s="190"/>
      <c r="E403" s="191"/>
      <c r="F403" s="186"/>
      <c r="G403" s="192"/>
      <c r="H403" s="9"/>
      <c r="I403" s="179" t="str">
        <f t="array" ref="I403">IF($F403&lt;&gt;"",XLOOKUP($F403,Productos!$A:$A,Productos!B:B,"Revisar"),"")</f>
        <v/>
      </c>
      <c r="J403" s="179" t="str">
        <f t="array" ref="J403">IF($F403&lt;&gt;"", XLOOKUP($F403,Productos!$A$2:$A1001,Productos!C$2:C1001,"")*$G403,"")</f>
        <v/>
      </c>
      <c r="K403" s="179" t="str">
        <f t="array" ref="K403">IF($F403&lt;&gt;"",XLOOKUP($F403,Productos!$A:$A,Productos!D:D,"Revisar"),"")</f>
        <v/>
      </c>
      <c r="L403" s="179" t="str">
        <f t="array" ref="L403">IF($F403&lt;&gt;"", XLOOKUP($F403,Productos!$A$2:$A1001,Productos!E$2:E1001,"")*$G403,"")</f>
        <v/>
      </c>
      <c r="M403" s="179" t="str">
        <f t="array" ref="M403">IF($F403&lt;&gt;"",XLOOKUP($F403,Productos!$A:$A,Productos!F:F,"Revisar"),"")</f>
        <v/>
      </c>
      <c r="N403" s="179" t="str">
        <f t="array" ref="N403">IF($F403&lt;&gt;"", XLOOKUP($F403,Productos!$A$2:$A1001,Productos!G$2:G1001,"")*$G403,"")</f>
        <v/>
      </c>
      <c r="O403" s="179" t="str">
        <f t="array" ref="O403">IF($F403&lt;&gt;"",XLOOKUP($F403,Productos!$A:$A,Productos!H:H,"Revisar"),"")</f>
        <v/>
      </c>
      <c r="P403" s="179" t="str">
        <f t="array" ref="P403">IF($F403&lt;&gt;"", XLOOKUP($F403,Productos!$A$2:$A1001,Productos!I$2:I1001,"")*$G403,"")</f>
        <v/>
      </c>
      <c r="Q403" s="179" t="str">
        <f t="array" ref="Q403">IF($F403&lt;&gt;"",XLOOKUP($F403,Productos!$A:$A,Productos!J:J,"Revisar"),"")</f>
        <v/>
      </c>
      <c r="R403" s="179" t="str">
        <f t="array" ref="R403">IF($F403&lt;&gt;"", XLOOKUP($F403,Productos!$A$2:$A1001,Productos!K$2:K1001,"")*$G403,"")</f>
        <v/>
      </c>
      <c r="S403" s="179" t="str">
        <f t="array" ref="S403">IF($F403&lt;&gt;"",XLOOKUP($F403,Productos!$A:$A,Productos!L:L,"Revisar"),"")</f>
        <v/>
      </c>
      <c r="T403" s="179" t="str">
        <f t="array" ref="T403">IF($F403&lt;&gt;"", XLOOKUP($F403,Productos!$A$2:$A1001,Productos!M$2:M1001,"")*$G403,"")</f>
        <v/>
      </c>
      <c r="U403" s="179" t="str">
        <f t="array" ref="U403">IF($F403&lt;&gt;"",XLOOKUP($F403,Productos!$A:$A,Productos!N:N,"Revisar"),"")</f>
        <v/>
      </c>
      <c r="V403" s="179" t="str">
        <f t="array" ref="V403">IF($F403&lt;&gt;"", XLOOKUP($F403,Productos!$A$2:$A1001,Productos!O$2:O1001,"")*$G403,"")</f>
        <v/>
      </c>
      <c r="W403" s="179" t="str">
        <f t="array" ref="W403">IF($F403&lt;&gt;"",XLOOKUP($F403,Productos!$A:$A,Productos!P:P,"Revisar"),"")</f>
        <v/>
      </c>
      <c r="X403" s="179" t="str">
        <f t="array" ref="X403">IF($F403&lt;&gt;"", XLOOKUP($F403,Productos!$A$2:$A1001,Productos!Q$2:Q1001,"")*$G403,"")</f>
        <v/>
      </c>
      <c r="Y403" s="179" t="str">
        <f t="array" ref="Y403">IF($F403&lt;&gt;"",XLOOKUP($F403,Productos!$A:$A,Productos!R:R,"Revisar"),"")</f>
        <v/>
      </c>
      <c r="Z403" s="179" t="str">
        <f t="array" ref="Z403">IF($F403&lt;&gt;"", XLOOKUP($F403,Productos!$A$2:$A1001,Productos!S$2:S1001,"")*$G403,"")</f>
        <v/>
      </c>
      <c r="AA403" s="179" t="str">
        <f t="array" ref="AA403">IF($F403&lt;&gt;"",XLOOKUP($F403,Productos!$A:$A,Productos!T:T,"Revisar"),"")</f>
        <v/>
      </c>
      <c r="AB403" s="179" t="str">
        <f t="array" ref="AB403">IF($F403&lt;&gt;"", XLOOKUP($F403,Productos!$A$2:$A1001,Productos!U$2:U1001,"")*$G403,"")</f>
        <v/>
      </c>
      <c r="AC403" s="179" t="str">
        <f t="array" ref="AC403">IF($F403&lt;&gt;"",XLOOKUP($F403,Productos!$A:$A,Productos!V:V,"Revisar"),"")</f>
        <v/>
      </c>
      <c r="AD403" s="179" t="str">
        <f t="array" ref="AD403">IF($F403&lt;&gt;"", XLOOKUP($F403,Productos!$A$2:$A1001,Productos!W$2:W1001,"")*$G403,"")</f>
        <v/>
      </c>
      <c r="AE403" s="179" t="str">
        <f t="array" ref="AE403">IF($F403&lt;&gt;"",XLOOKUP($F403,Productos!$A:$A,Productos!X:X,"Revisar"),"")</f>
        <v/>
      </c>
      <c r="AF403" s="179" t="str">
        <f t="array" ref="AF403">IF($F403&lt;&gt;"", XLOOKUP($F403,Productos!$A$2:$A1001,Productos!Y$2:Y1001,"")*$G403,"")</f>
        <v/>
      </c>
      <c r="AG403" s="179" t="str">
        <f t="array" ref="AG403">IF($F403&lt;&gt;"",XLOOKUP($F403,Productos!$A:$A,Productos!Z:Z,"Revisar"),"")</f>
        <v/>
      </c>
      <c r="AH403" s="179" t="str">
        <f t="array" ref="AH403">IF($F403&lt;&gt;"", XLOOKUP($F403,Productos!$A$2:$A1001,Productos!AA$2:AA1001,"")*$G403,"")</f>
        <v/>
      </c>
      <c r="AI403" s="179" t="str">
        <f t="array" ref="AI403">IF($F403&lt;&gt;"",XLOOKUP($F403,Productos!$A:$A,Productos!AB:AB,"Revisar"),"")</f>
        <v/>
      </c>
      <c r="AJ403" s="179" t="str">
        <f t="array" ref="AJ403">IF($F403&lt;&gt;"", XLOOKUP($F403,Productos!$A$2:$A1001,Productos!AC$2:AC1001,"")*$G403,"")</f>
        <v/>
      </c>
      <c r="AK403" s="179" t="str">
        <f t="array" ref="AK403">IF($F403&lt;&gt;"",XLOOKUP($F403,Productos!$A:$A,Productos!AD:AD,"Revisar"),"")</f>
        <v/>
      </c>
      <c r="AL403" s="179" t="str">
        <f t="array" ref="AL403">IF($F403&lt;&gt;"", XLOOKUP($F403,Productos!$A$2:$A1001,Productos!AE$2:AE1001,"")*$G403,"")</f>
        <v/>
      </c>
      <c r="AM403" s="179" t="str">
        <f t="array" ref="AM403">IF($F403&lt;&gt;"",XLOOKUP($F403,Productos!$A:$A,Productos!AF:AF,"Revisar"),"")</f>
        <v/>
      </c>
      <c r="AN403" s="179" t="str">
        <f t="array" ref="AN403">IF($F403&lt;&gt;"", XLOOKUP($F403,Productos!$A$2:$A1001,Productos!AG$2:AG1001,"")*$G403,"")</f>
        <v/>
      </c>
      <c r="AO403" s="179" t="str">
        <f t="array" ref="AO403">IF($F403&lt;&gt;"",XLOOKUP($F403,Productos!$A:$A,Productos!AH:AH,"Revisar"),"")</f>
        <v/>
      </c>
      <c r="AP403" s="179" t="str">
        <f t="array" ref="AP403">IF($F403&lt;&gt;"", XLOOKUP($F403,Productos!$A$2:$A1001,Productos!AI$2:AI1001,"")*$G403,"")</f>
        <v/>
      </c>
      <c r="AQ403" s="179" t="str">
        <f t="array" ref="AQ403">IF($F403&lt;&gt;"",XLOOKUP($F403,Productos!$A:$A,Productos!AJ:AJ,"Revisar"),"")</f>
        <v/>
      </c>
      <c r="AR403" s="179" t="str">
        <f t="array" ref="AR403">IF($F403&lt;&gt;"", XLOOKUP($F403,Productos!$A$2:$A1001,Productos!AK$2:AK1001,"")*$G403,"")</f>
        <v/>
      </c>
      <c r="AS403" s="179" t="str">
        <f t="array" ref="AS403">IF($F403&lt;&gt;"",XLOOKUP($F403,Productos!$A:$A,Productos!AL:AL,"Revisar"),"")</f>
        <v/>
      </c>
      <c r="AT403" s="179" t="str">
        <f t="array" ref="AT403">IF($F403&lt;&gt;"", XLOOKUP($F403,Productos!$A$2:$A1001,Productos!AM$2:AM1001,"")*$G403,"")</f>
        <v/>
      </c>
      <c r="AU403" s="179" t="str">
        <f t="array" ref="AU403">IF($F403&lt;&gt;"",XLOOKUP($F403,Productos!$A:$A,Productos!AN:AN,"Revisar"),"")</f>
        <v/>
      </c>
      <c r="AV403" s="179" t="str">
        <f t="array" ref="AV403">IF($F403&lt;&gt;"", XLOOKUP($F403,Productos!$A$2:$A1001,Productos!AO$2:AO1001,"")*$G403,"")</f>
        <v/>
      </c>
      <c r="AW403" s="179" t="str">
        <f t="array" ref="AW403">IF($F403&lt;&gt;"",XLOOKUP($F403,Productos!$A:$A,Productos!AP:AP,"Revisar"),"")</f>
        <v/>
      </c>
      <c r="AX403" s="179" t="str">
        <f t="array" ref="AX403">IF($F403&lt;&gt;"", XLOOKUP($F403,Productos!$A$2:$A1001,Productos!AQ$2:AQ1001,"")*$G403,"")</f>
        <v/>
      </c>
      <c r="AY403" s="179" t="str">
        <f t="array" ref="AY403">IF($F403&lt;&gt;"",XLOOKUP($F403,Productos!$A:$A,Productos!AR:AR,"Revisar"),"")</f>
        <v/>
      </c>
      <c r="AZ403" s="179" t="str">
        <f t="array" ref="AZ403">IF($F403&lt;&gt;"", XLOOKUP($F403,Productos!$A$2:$A1001,Productos!AS$2:AS1001,"")*$G403,"")</f>
        <v/>
      </c>
      <c r="BA403" s="179" t="str">
        <f t="array" ref="BA403">IF($F403&lt;&gt;"",XLOOKUP($F403,Productos!$A:$A,Productos!AT:AT,"Revisar"),"")</f>
        <v/>
      </c>
      <c r="BB403" s="179" t="str">
        <f t="array" ref="BB403">IF($F403&lt;&gt;"", XLOOKUP($F403,Productos!$A$2:$A1001,Productos!AU$2:AU1001,"")*$G403,"")</f>
        <v/>
      </c>
      <c r="BC403" s="179" t="str">
        <f t="array" ref="BC403">IF($F403&lt;&gt;"",XLOOKUP($F403,Productos!$A:$A,Productos!AV:AV,"Revisar"),"")</f>
        <v/>
      </c>
      <c r="BD403" s="179" t="str">
        <f t="array" ref="BD403">IF($F403&lt;&gt;"", XLOOKUP($F403,Productos!$A$2:$A1001,Productos!AW$2:AW1001,"")*$G403,"")</f>
        <v/>
      </c>
      <c r="BE403" s="179" t="str">
        <f t="array" ref="BE403">IF($F403&lt;&gt;"",XLOOKUP($F403,Productos!$A:$A,Productos!AX:AX,"Revisar"),"")</f>
        <v/>
      </c>
      <c r="BF403" s="179" t="str">
        <f t="array" ref="BF403">IF($F403&lt;&gt;"", XLOOKUP($F403,Productos!$A$2:$A1001,Productos!AY$2:AY1001,"")*$G403,"")</f>
        <v/>
      </c>
      <c r="BG403" s="179" t="str">
        <f t="array" ref="BG403">IF($F403&lt;&gt;"",XLOOKUP($F403,Productos!$A:$A,Productos!AZ:AZ,"Revisar"),"")</f>
        <v/>
      </c>
      <c r="BH403" s="179" t="str">
        <f t="array" ref="BH403">IF($F403&lt;&gt;"", XLOOKUP($F403,Productos!$A$2:$A1001,Productos!BA$2:BA1001,"")*$G403,"")</f>
        <v/>
      </c>
      <c r="BI403" s="179" t="str">
        <f t="array" ref="BI403">IF($F403&lt;&gt;"",XLOOKUP($F403,Productos!$A:$A,Productos!BB:BB,"Revisar"),"")</f>
        <v/>
      </c>
      <c r="BJ403" s="179" t="str">
        <f t="array" ref="BJ403">IF($F403&lt;&gt;"", XLOOKUP($F403,Productos!$A$2:$A1001,Productos!BC$2:BC1001,"")*$G403,"")</f>
        <v/>
      </c>
      <c r="BK403" s="179" t="str">
        <f t="array" ref="BK403">IF($F403&lt;&gt;"",XLOOKUP($F403,Productos!$A:$A,Productos!BD:BD,"Revisar"),"")</f>
        <v/>
      </c>
      <c r="BL403" s="179" t="str">
        <f t="array" ref="BL403">IF($F403&lt;&gt;"", XLOOKUP($F403,Productos!$A$2:$A1001,Productos!BE$2:BE1001,"")*$G403,"")</f>
        <v/>
      </c>
      <c r="BM403" s="179" t="str">
        <f t="array" ref="BM403">IF($F403&lt;&gt;"",XLOOKUP($F403,Productos!$A:$A,Productos!BF:BF,"Revisar"),"")</f>
        <v/>
      </c>
      <c r="BN403" s="179" t="str">
        <f t="array" ref="BN403">IF($F403&lt;&gt;"", XLOOKUP($F403,Productos!$A$2:$A1001,Productos!BG$2:BG1001,"")*$G403,"")</f>
        <v/>
      </c>
      <c r="BO403" s="179" t="str">
        <f t="array" ref="BO403">IF($F403&lt;&gt;"",XLOOKUP($F403,Productos!$A:$A,Productos!BH:BH,"Revisar"),"")</f>
        <v/>
      </c>
      <c r="BP403" s="179" t="str">
        <f t="array" ref="BP403">IF($F403&lt;&gt;"", XLOOKUP($F403,Productos!$A$2:$A1001,Productos!BI$2:BI1001,"")*$G403,"")</f>
        <v/>
      </c>
      <c r="BQ403" s="179" t="str">
        <f t="array" ref="BQ403">IF($F403&lt;&gt;"",XLOOKUP($F403,Productos!$A:$A,Productos!BJ:BJ,"Revisar"),"")</f>
        <v/>
      </c>
      <c r="BR403" s="179" t="str">
        <f t="array" ref="BR403">IF($F403&lt;&gt;"", XLOOKUP($F403,Productos!$A$2:$A1001,Productos!BK$2:BK1001,"")*$G403,"")</f>
        <v/>
      </c>
      <c r="BS403" s="179" t="str">
        <f t="array" ref="BS403">IF($F403&lt;&gt;"",XLOOKUP($F403,Productos!$A:$A,Productos!BL:BL,"Revisar"),"")</f>
        <v/>
      </c>
      <c r="BT403" s="179" t="str">
        <f t="array" ref="BT403">IF($F403&lt;&gt;"", XLOOKUP($F403,Productos!$A$2:$A1001,Productos!BM$2:BM1001,"")*$G403,"")</f>
        <v/>
      </c>
      <c r="BU403" s="179" t="str">
        <f t="array" ref="BU403">IF($F403&lt;&gt;"",XLOOKUP($F403,Productos!$A:$A,Productos!BN:BN,"Revisar"),"")</f>
        <v/>
      </c>
      <c r="BV403" s="179" t="str">
        <f t="array" ref="BV403">IF($F403&lt;&gt;"", XLOOKUP($F403,Productos!$A$2:$A1001,Productos!BO$2:BO1001,"")*$G403,"")</f>
        <v/>
      </c>
      <c r="BW403" s="179" t="str">
        <f t="array" ref="BW403">IF($F403&lt;&gt;"",XLOOKUP($F403,Productos!$A:$A,Productos!BP:BP,"Revisar"),"")</f>
        <v/>
      </c>
      <c r="BX403" s="179" t="str">
        <f t="array" ref="BX403">IF($F403&lt;&gt;"", XLOOKUP($F403,Productos!$A$2:$A1001,Productos!BQ$2:BQ1001,"")*$G403,"")</f>
        <v/>
      </c>
      <c r="BY403" s="179" t="str">
        <f t="array" ref="BY403">IF($F403&lt;&gt;"",XLOOKUP($F403,Productos!$A:$A,Productos!BR:BR,"Revisar"),"")</f>
        <v/>
      </c>
      <c r="BZ403" s="179" t="str">
        <f t="array" ref="BZ403">IF($F403&lt;&gt;"", XLOOKUP($F403,Productos!$A$2:$A1001,Productos!BS$2:BS1001,"")*$G403,"")</f>
        <v/>
      </c>
    </row>
    <row r="404">
      <c r="A404" s="188"/>
      <c r="B404" s="189"/>
      <c r="C404" s="190"/>
      <c r="D404" s="190"/>
      <c r="E404" s="191"/>
      <c r="F404" s="186"/>
      <c r="G404" s="192"/>
      <c r="H404" s="9"/>
      <c r="I404" s="179" t="str">
        <f t="array" ref="I404">IF($F404&lt;&gt;"",XLOOKUP($F404,Productos!$A:$A,Productos!B:B,"Revisar"),"")</f>
        <v/>
      </c>
      <c r="J404" s="179" t="str">
        <f t="array" ref="J404">IF($F404&lt;&gt;"", XLOOKUP($F404,Productos!$A$2:$A1001,Productos!C$2:C1001,"")*$G404,"")</f>
        <v/>
      </c>
      <c r="K404" s="179" t="str">
        <f t="array" ref="K404">IF($F404&lt;&gt;"",XLOOKUP($F404,Productos!$A:$A,Productos!D:D,"Revisar"),"")</f>
        <v/>
      </c>
      <c r="L404" s="179" t="str">
        <f t="array" ref="L404">IF($F404&lt;&gt;"", XLOOKUP($F404,Productos!$A$2:$A1001,Productos!E$2:E1001,"")*$G404,"")</f>
        <v/>
      </c>
      <c r="M404" s="179" t="str">
        <f t="array" ref="M404">IF($F404&lt;&gt;"",XLOOKUP($F404,Productos!$A:$A,Productos!F:F,"Revisar"),"")</f>
        <v/>
      </c>
      <c r="N404" s="179" t="str">
        <f t="array" ref="N404">IF($F404&lt;&gt;"", XLOOKUP($F404,Productos!$A$2:$A1001,Productos!G$2:G1001,"")*$G404,"")</f>
        <v/>
      </c>
      <c r="O404" s="179" t="str">
        <f t="array" ref="O404">IF($F404&lt;&gt;"",XLOOKUP($F404,Productos!$A:$A,Productos!H:H,"Revisar"),"")</f>
        <v/>
      </c>
      <c r="P404" s="179" t="str">
        <f t="array" ref="P404">IF($F404&lt;&gt;"", XLOOKUP($F404,Productos!$A$2:$A1001,Productos!I$2:I1001,"")*$G404,"")</f>
        <v/>
      </c>
      <c r="Q404" s="179" t="str">
        <f t="array" ref="Q404">IF($F404&lt;&gt;"",XLOOKUP($F404,Productos!$A:$A,Productos!J:J,"Revisar"),"")</f>
        <v/>
      </c>
      <c r="R404" s="179" t="str">
        <f t="array" ref="R404">IF($F404&lt;&gt;"", XLOOKUP($F404,Productos!$A$2:$A1001,Productos!K$2:K1001,"")*$G404,"")</f>
        <v/>
      </c>
      <c r="S404" s="179" t="str">
        <f t="array" ref="S404">IF($F404&lt;&gt;"",XLOOKUP($F404,Productos!$A:$A,Productos!L:L,"Revisar"),"")</f>
        <v/>
      </c>
      <c r="T404" s="179" t="str">
        <f t="array" ref="T404">IF($F404&lt;&gt;"", XLOOKUP($F404,Productos!$A$2:$A1001,Productos!M$2:M1001,"")*$G404,"")</f>
        <v/>
      </c>
      <c r="U404" s="179" t="str">
        <f t="array" ref="U404">IF($F404&lt;&gt;"",XLOOKUP($F404,Productos!$A:$A,Productos!N:N,"Revisar"),"")</f>
        <v/>
      </c>
      <c r="V404" s="179" t="str">
        <f t="array" ref="V404">IF($F404&lt;&gt;"", XLOOKUP($F404,Productos!$A$2:$A1001,Productos!O$2:O1001,"")*$G404,"")</f>
        <v/>
      </c>
      <c r="W404" s="179" t="str">
        <f t="array" ref="W404">IF($F404&lt;&gt;"",XLOOKUP($F404,Productos!$A:$A,Productos!P:P,"Revisar"),"")</f>
        <v/>
      </c>
      <c r="X404" s="179" t="str">
        <f t="array" ref="X404">IF($F404&lt;&gt;"", XLOOKUP($F404,Productos!$A$2:$A1001,Productos!Q$2:Q1001,"")*$G404,"")</f>
        <v/>
      </c>
      <c r="Y404" s="179" t="str">
        <f t="array" ref="Y404">IF($F404&lt;&gt;"",XLOOKUP($F404,Productos!$A:$A,Productos!R:R,"Revisar"),"")</f>
        <v/>
      </c>
      <c r="Z404" s="179" t="str">
        <f t="array" ref="Z404">IF($F404&lt;&gt;"", XLOOKUP($F404,Productos!$A$2:$A1001,Productos!S$2:S1001,"")*$G404,"")</f>
        <v/>
      </c>
      <c r="AA404" s="179" t="str">
        <f t="array" ref="AA404">IF($F404&lt;&gt;"",XLOOKUP($F404,Productos!$A:$A,Productos!T:T,"Revisar"),"")</f>
        <v/>
      </c>
      <c r="AB404" s="179" t="str">
        <f t="array" ref="AB404">IF($F404&lt;&gt;"", XLOOKUP($F404,Productos!$A$2:$A1001,Productos!U$2:U1001,"")*$G404,"")</f>
        <v/>
      </c>
      <c r="AC404" s="179" t="str">
        <f t="array" ref="AC404">IF($F404&lt;&gt;"",XLOOKUP($F404,Productos!$A:$A,Productos!V:V,"Revisar"),"")</f>
        <v/>
      </c>
      <c r="AD404" s="179" t="str">
        <f t="array" ref="AD404">IF($F404&lt;&gt;"", XLOOKUP($F404,Productos!$A$2:$A1001,Productos!W$2:W1001,"")*$G404,"")</f>
        <v/>
      </c>
      <c r="AE404" s="179" t="str">
        <f t="array" ref="AE404">IF($F404&lt;&gt;"",XLOOKUP($F404,Productos!$A:$A,Productos!X:X,"Revisar"),"")</f>
        <v/>
      </c>
      <c r="AF404" s="179" t="str">
        <f t="array" ref="AF404">IF($F404&lt;&gt;"", XLOOKUP($F404,Productos!$A$2:$A1001,Productos!Y$2:Y1001,"")*$G404,"")</f>
        <v/>
      </c>
      <c r="AG404" s="179" t="str">
        <f t="array" ref="AG404">IF($F404&lt;&gt;"",XLOOKUP($F404,Productos!$A:$A,Productos!Z:Z,"Revisar"),"")</f>
        <v/>
      </c>
      <c r="AH404" s="179" t="str">
        <f t="array" ref="AH404">IF($F404&lt;&gt;"", XLOOKUP($F404,Productos!$A$2:$A1001,Productos!AA$2:AA1001,"")*$G404,"")</f>
        <v/>
      </c>
      <c r="AI404" s="179" t="str">
        <f t="array" ref="AI404">IF($F404&lt;&gt;"",XLOOKUP($F404,Productos!$A:$A,Productos!AB:AB,"Revisar"),"")</f>
        <v/>
      </c>
      <c r="AJ404" s="179" t="str">
        <f t="array" ref="AJ404">IF($F404&lt;&gt;"", XLOOKUP($F404,Productos!$A$2:$A1001,Productos!AC$2:AC1001,"")*$G404,"")</f>
        <v/>
      </c>
      <c r="AK404" s="179" t="str">
        <f t="array" ref="AK404">IF($F404&lt;&gt;"",XLOOKUP($F404,Productos!$A:$A,Productos!AD:AD,"Revisar"),"")</f>
        <v/>
      </c>
      <c r="AL404" s="179" t="str">
        <f t="array" ref="AL404">IF($F404&lt;&gt;"", XLOOKUP($F404,Productos!$A$2:$A1001,Productos!AE$2:AE1001,"")*$G404,"")</f>
        <v/>
      </c>
      <c r="AM404" s="179" t="str">
        <f t="array" ref="AM404">IF($F404&lt;&gt;"",XLOOKUP($F404,Productos!$A:$A,Productos!AF:AF,"Revisar"),"")</f>
        <v/>
      </c>
      <c r="AN404" s="179" t="str">
        <f t="array" ref="AN404">IF($F404&lt;&gt;"", XLOOKUP($F404,Productos!$A$2:$A1001,Productos!AG$2:AG1001,"")*$G404,"")</f>
        <v/>
      </c>
      <c r="AO404" s="179" t="str">
        <f t="array" ref="AO404">IF($F404&lt;&gt;"",XLOOKUP($F404,Productos!$A:$A,Productos!AH:AH,"Revisar"),"")</f>
        <v/>
      </c>
      <c r="AP404" s="179" t="str">
        <f t="array" ref="AP404">IF($F404&lt;&gt;"", XLOOKUP($F404,Productos!$A$2:$A1001,Productos!AI$2:AI1001,"")*$G404,"")</f>
        <v/>
      </c>
      <c r="AQ404" s="179" t="str">
        <f t="array" ref="AQ404">IF($F404&lt;&gt;"",XLOOKUP($F404,Productos!$A:$A,Productos!AJ:AJ,"Revisar"),"")</f>
        <v/>
      </c>
      <c r="AR404" s="179" t="str">
        <f t="array" ref="AR404">IF($F404&lt;&gt;"", XLOOKUP($F404,Productos!$A$2:$A1001,Productos!AK$2:AK1001,"")*$G404,"")</f>
        <v/>
      </c>
      <c r="AS404" s="179" t="str">
        <f t="array" ref="AS404">IF($F404&lt;&gt;"",XLOOKUP($F404,Productos!$A:$A,Productos!AL:AL,"Revisar"),"")</f>
        <v/>
      </c>
      <c r="AT404" s="179" t="str">
        <f t="array" ref="AT404">IF($F404&lt;&gt;"", XLOOKUP($F404,Productos!$A$2:$A1001,Productos!AM$2:AM1001,"")*$G404,"")</f>
        <v/>
      </c>
      <c r="AU404" s="179" t="str">
        <f t="array" ref="AU404">IF($F404&lt;&gt;"",XLOOKUP($F404,Productos!$A:$A,Productos!AN:AN,"Revisar"),"")</f>
        <v/>
      </c>
      <c r="AV404" s="179" t="str">
        <f t="array" ref="AV404">IF($F404&lt;&gt;"", XLOOKUP($F404,Productos!$A$2:$A1001,Productos!AO$2:AO1001,"")*$G404,"")</f>
        <v/>
      </c>
      <c r="AW404" s="179" t="str">
        <f t="array" ref="AW404">IF($F404&lt;&gt;"",XLOOKUP($F404,Productos!$A:$A,Productos!AP:AP,"Revisar"),"")</f>
        <v/>
      </c>
      <c r="AX404" s="179" t="str">
        <f t="array" ref="AX404">IF($F404&lt;&gt;"", XLOOKUP($F404,Productos!$A$2:$A1001,Productos!AQ$2:AQ1001,"")*$G404,"")</f>
        <v/>
      </c>
      <c r="AY404" s="179" t="str">
        <f t="array" ref="AY404">IF($F404&lt;&gt;"",XLOOKUP($F404,Productos!$A:$A,Productos!AR:AR,"Revisar"),"")</f>
        <v/>
      </c>
      <c r="AZ404" s="179" t="str">
        <f t="array" ref="AZ404">IF($F404&lt;&gt;"", XLOOKUP($F404,Productos!$A$2:$A1001,Productos!AS$2:AS1001,"")*$G404,"")</f>
        <v/>
      </c>
      <c r="BA404" s="179" t="str">
        <f t="array" ref="BA404">IF($F404&lt;&gt;"",XLOOKUP($F404,Productos!$A:$A,Productos!AT:AT,"Revisar"),"")</f>
        <v/>
      </c>
      <c r="BB404" s="179" t="str">
        <f t="array" ref="BB404">IF($F404&lt;&gt;"", XLOOKUP($F404,Productos!$A$2:$A1001,Productos!AU$2:AU1001,"")*$G404,"")</f>
        <v/>
      </c>
      <c r="BC404" s="179" t="str">
        <f t="array" ref="BC404">IF($F404&lt;&gt;"",XLOOKUP($F404,Productos!$A:$A,Productos!AV:AV,"Revisar"),"")</f>
        <v/>
      </c>
      <c r="BD404" s="179" t="str">
        <f t="array" ref="BD404">IF($F404&lt;&gt;"", XLOOKUP($F404,Productos!$A$2:$A1001,Productos!AW$2:AW1001,"")*$G404,"")</f>
        <v/>
      </c>
      <c r="BE404" s="179" t="str">
        <f t="array" ref="BE404">IF($F404&lt;&gt;"",XLOOKUP($F404,Productos!$A:$A,Productos!AX:AX,"Revisar"),"")</f>
        <v/>
      </c>
      <c r="BF404" s="179" t="str">
        <f t="array" ref="BF404">IF($F404&lt;&gt;"", XLOOKUP($F404,Productos!$A$2:$A1001,Productos!AY$2:AY1001,"")*$G404,"")</f>
        <v/>
      </c>
      <c r="BG404" s="179" t="str">
        <f t="array" ref="BG404">IF($F404&lt;&gt;"",XLOOKUP($F404,Productos!$A:$A,Productos!AZ:AZ,"Revisar"),"")</f>
        <v/>
      </c>
      <c r="BH404" s="179" t="str">
        <f t="array" ref="BH404">IF($F404&lt;&gt;"", XLOOKUP($F404,Productos!$A$2:$A1001,Productos!BA$2:BA1001,"")*$G404,"")</f>
        <v/>
      </c>
      <c r="BI404" s="179" t="str">
        <f t="array" ref="BI404">IF($F404&lt;&gt;"",XLOOKUP($F404,Productos!$A:$A,Productos!BB:BB,"Revisar"),"")</f>
        <v/>
      </c>
      <c r="BJ404" s="179" t="str">
        <f t="array" ref="BJ404">IF($F404&lt;&gt;"", XLOOKUP($F404,Productos!$A$2:$A1001,Productos!BC$2:BC1001,"")*$G404,"")</f>
        <v/>
      </c>
      <c r="BK404" s="179" t="str">
        <f t="array" ref="BK404">IF($F404&lt;&gt;"",XLOOKUP($F404,Productos!$A:$A,Productos!BD:BD,"Revisar"),"")</f>
        <v/>
      </c>
      <c r="BL404" s="179" t="str">
        <f t="array" ref="BL404">IF($F404&lt;&gt;"", XLOOKUP($F404,Productos!$A$2:$A1001,Productos!BE$2:BE1001,"")*$G404,"")</f>
        <v/>
      </c>
      <c r="BM404" s="179" t="str">
        <f t="array" ref="BM404">IF($F404&lt;&gt;"",XLOOKUP($F404,Productos!$A:$A,Productos!BF:BF,"Revisar"),"")</f>
        <v/>
      </c>
      <c r="BN404" s="179" t="str">
        <f t="array" ref="BN404">IF($F404&lt;&gt;"", XLOOKUP($F404,Productos!$A$2:$A1001,Productos!BG$2:BG1001,"")*$G404,"")</f>
        <v/>
      </c>
      <c r="BO404" s="179" t="str">
        <f t="array" ref="BO404">IF($F404&lt;&gt;"",XLOOKUP($F404,Productos!$A:$A,Productos!BH:BH,"Revisar"),"")</f>
        <v/>
      </c>
      <c r="BP404" s="179" t="str">
        <f t="array" ref="BP404">IF($F404&lt;&gt;"", XLOOKUP($F404,Productos!$A$2:$A1001,Productos!BI$2:BI1001,"")*$G404,"")</f>
        <v/>
      </c>
      <c r="BQ404" s="179" t="str">
        <f t="array" ref="BQ404">IF($F404&lt;&gt;"",XLOOKUP($F404,Productos!$A:$A,Productos!BJ:BJ,"Revisar"),"")</f>
        <v/>
      </c>
      <c r="BR404" s="179" t="str">
        <f t="array" ref="BR404">IF($F404&lt;&gt;"", XLOOKUP($F404,Productos!$A$2:$A1001,Productos!BK$2:BK1001,"")*$G404,"")</f>
        <v/>
      </c>
      <c r="BS404" s="179" t="str">
        <f t="array" ref="BS404">IF($F404&lt;&gt;"",XLOOKUP($F404,Productos!$A:$A,Productos!BL:BL,"Revisar"),"")</f>
        <v/>
      </c>
      <c r="BT404" s="179" t="str">
        <f t="array" ref="BT404">IF($F404&lt;&gt;"", XLOOKUP($F404,Productos!$A$2:$A1001,Productos!BM$2:BM1001,"")*$G404,"")</f>
        <v/>
      </c>
      <c r="BU404" s="179" t="str">
        <f t="array" ref="BU404">IF($F404&lt;&gt;"",XLOOKUP($F404,Productos!$A:$A,Productos!BN:BN,"Revisar"),"")</f>
        <v/>
      </c>
      <c r="BV404" s="179" t="str">
        <f t="array" ref="BV404">IF($F404&lt;&gt;"", XLOOKUP($F404,Productos!$A$2:$A1001,Productos!BO$2:BO1001,"")*$G404,"")</f>
        <v/>
      </c>
      <c r="BW404" s="179" t="str">
        <f t="array" ref="BW404">IF($F404&lt;&gt;"",XLOOKUP($F404,Productos!$A:$A,Productos!BP:BP,"Revisar"),"")</f>
        <v/>
      </c>
      <c r="BX404" s="179" t="str">
        <f t="array" ref="BX404">IF($F404&lt;&gt;"", XLOOKUP($F404,Productos!$A$2:$A1001,Productos!BQ$2:BQ1001,"")*$G404,"")</f>
        <v/>
      </c>
      <c r="BY404" s="179" t="str">
        <f t="array" ref="BY404">IF($F404&lt;&gt;"",XLOOKUP($F404,Productos!$A:$A,Productos!BR:BR,"Revisar"),"")</f>
        <v/>
      </c>
      <c r="BZ404" s="179" t="str">
        <f t="array" ref="BZ404">IF($F404&lt;&gt;"", XLOOKUP($F404,Productos!$A$2:$A1001,Productos!BS$2:BS1001,"")*$G404,"")</f>
        <v/>
      </c>
    </row>
    <row r="405">
      <c r="A405" s="188"/>
      <c r="B405" s="189"/>
      <c r="C405" s="190"/>
      <c r="D405" s="190"/>
      <c r="E405" s="191"/>
      <c r="F405" s="186"/>
      <c r="G405" s="192"/>
      <c r="H405" s="9"/>
      <c r="I405" s="179" t="str">
        <f t="array" ref="I405">IF($F405&lt;&gt;"",XLOOKUP($F405,Productos!$A:$A,Productos!B:B,"Revisar"),"")</f>
        <v/>
      </c>
      <c r="J405" s="179" t="str">
        <f t="array" ref="J405">IF($F405&lt;&gt;"", XLOOKUP($F405,Productos!$A$2:$A1001,Productos!C$2:C1001,"")*$G405,"")</f>
        <v/>
      </c>
      <c r="K405" s="179" t="str">
        <f t="array" ref="K405">IF($F405&lt;&gt;"",XLOOKUP($F405,Productos!$A:$A,Productos!D:D,"Revisar"),"")</f>
        <v/>
      </c>
      <c r="L405" s="179" t="str">
        <f t="array" ref="L405">IF($F405&lt;&gt;"", XLOOKUP($F405,Productos!$A$2:$A1001,Productos!E$2:E1001,"")*$G405,"")</f>
        <v/>
      </c>
      <c r="M405" s="179" t="str">
        <f t="array" ref="M405">IF($F405&lt;&gt;"",XLOOKUP($F405,Productos!$A:$A,Productos!F:F,"Revisar"),"")</f>
        <v/>
      </c>
      <c r="N405" s="179" t="str">
        <f t="array" ref="N405">IF($F405&lt;&gt;"", XLOOKUP($F405,Productos!$A$2:$A1001,Productos!G$2:G1001,"")*$G405,"")</f>
        <v/>
      </c>
      <c r="O405" s="179" t="str">
        <f t="array" ref="O405">IF($F405&lt;&gt;"",XLOOKUP($F405,Productos!$A:$A,Productos!H:H,"Revisar"),"")</f>
        <v/>
      </c>
      <c r="P405" s="179" t="str">
        <f t="array" ref="P405">IF($F405&lt;&gt;"", XLOOKUP($F405,Productos!$A$2:$A1001,Productos!I$2:I1001,"")*$G405,"")</f>
        <v/>
      </c>
      <c r="Q405" s="179" t="str">
        <f t="array" ref="Q405">IF($F405&lt;&gt;"",XLOOKUP($F405,Productos!$A:$A,Productos!J:J,"Revisar"),"")</f>
        <v/>
      </c>
      <c r="R405" s="179" t="str">
        <f t="array" ref="R405">IF($F405&lt;&gt;"", XLOOKUP($F405,Productos!$A$2:$A1001,Productos!K$2:K1001,"")*$G405,"")</f>
        <v/>
      </c>
      <c r="S405" s="179" t="str">
        <f t="array" ref="S405">IF($F405&lt;&gt;"",XLOOKUP($F405,Productos!$A:$A,Productos!L:L,"Revisar"),"")</f>
        <v/>
      </c>
      <c r="T405" s="179" t="str">
        <f t="array" ref="T405">IF($F405&lt;&gt;"", XLOOKUP($F405,Productos!$A$2:$A1001,Productos!M$2:M1001,"")*$G405,"")</f>
        <v/>
      </c>
      <c r="U405" s="179" t="str">
        <f t="array" ref="U405">IF($F405&lt;&gt;"",XLOOKUP($F405,Productos!$A:$A,Productos!N:N,"Revisar"),"")</f>
        <v/>
      </c>
      <c r="V405" s="179" t="str">
        <f t="array" ref="V405">IF($F405&lt;&gt;"", XLOOKUP($F405,Productos!$A$2:$A1001,Productos!O$2:O1001,"")*$G405,"")</f>
        <v/>
      </c>
      <c r="W405" s="179" t="str">
        <f t="array" ref="W405">IF($F405&lt;&gt;"",XLOOKUP($F405,Productos!$A:$A,Productos!P:P,"Revisar"),"")</f>
        <v/>
      </c>
      <c r="X405" s="179" t="str">
        <f t="array" ref="X405">IF($F405&lt;&gt;"", XLOOKUP($F405,Productos!$A$2:$A1001,Productos!Q$2:Q1001,"")*$G405,"")</f>
        <v/>
      </c>
      <c r="Y405" s="179" t="str">
        <f t="array" ref="Y405">IF($F405&lt;&gt;"",XLOOKUP($F405,Productos!$A:$A,Productos!R:R,"Revisar"),"")</f>
        <v/>
      </c>
      <c r="Z405" s="179" t="str">
        <f t="array" ref="Z405">IF($F405&lt;&gt;"", XLOOKUP($F405,Productos!$A$2:$A1001,Productos!S$2:S1001,"")*$G405,"")</f>
        <v/>
      </c>
      <c r="AA405" s="179" t="str">
        <f t="array" ref="AA405">IF($F405&lt;&gt;"",XLOOKUP($F405,Productos!$A:$A,Productos!T:T,"Revisar"),"")</f>
        <v/>
      </c>
      <c r="AB405" s="179" t="str">
        <f t="array" ref="AB405">IF($F405&lt;&gt;"", XLOOKUP($F405,Productos!$A$2:$A1001,Productos!U$2:U1001,"")*$G405,"")</f>
        <v/>
      </c>
      <c r="AC405" s="179" t="str">
        <f t="array" ref="AC405">IF($F405&lt;&gt;"",XLOOKUP($F405,Productos!$A:$A,Productos!V:V,"Revisar"),"")</f>
        <v/>
      </c>
      <c r="AD405" s="179" t="str">
        <f t="array" ref="AD405">IF($F405&lt;&gt;"", XLOOKUP($F405,Productos!$A$2:$A1001,Productos!W$2:W1001,"")*$G405,"")</f>
        <v/>
      </c>
      <c r="AE405" s="179" t="str">
        <f t="array" ref="AE405">IF($F405&lt;&gt;"",XLOOKUP($F405,Productos!$A:$A,Productos!X:X,"Revisar"),"")</f>
        <v/>
      </c>
      <c r="AF405" s="179" t="str">
        <f t="array" ref="AF405">IF($F405&lt;&gt;"", XLOOKUP($F405,Productos!$A$2:$A1001,Productos!Y$2:Y1001,"")*$G405,"")</f>
        <v/>
      </c>
      <c r="AG405" s="179" t="str">
        <f t="array" ref="AG405">IF($F405&lt;&gt;"",XLOOKUP($F405,Productos!$A:$A,Productos!Z:Z,"Revisar"),"")</f>
        <v/>
      </c>
      <c r="AH405" s="179" t="str">
        <f t="array" ref="AH405">IF($F405&lt;&gt;"", XLOOKUP($F405,Productos!$A$2:$A1001,Productos!AA$2:AA1001,"")*$G405,"")</f>
        <v/>
      </c>
      <c r="AI405" s="179" t="str">
        <f t="array" ref="AI405">IF($F405&lt;&gt;"",XLOOKUP($F405,Productos!$A:$A,Productos!AB:AB,"Revisar"),"")</f>
        <v/>
      </c>
      <c r="AJ405" s="179" t="str">
        <f t="array" ref="AJ405">IF($F405&lt;&gt;"", XLOOKUP($F405,Productos!$A$2:$A1001,Productos!AC$2:AC1001,"")*$G405,"")</f>
        <v/>
      </c>
      <c r="AK405" s="179" t="str">
        <f t="array" ref="AK405">IF($F405&lt;&gt;"",XLOOKUP($F405,Productos!$A:$A,Productos!AD:AD,"Revisar"),"")</f>
        <v/>
      </c>
      <c r="AL405" s="179" t="str">
        <f t="array" ref="AL405">IF($F405&lt;&gt;"", XLOOKUP($F405,Productos!$A$2:$A1001,Productos!AE$2:AE1001,"")*$G405,"")</f>
        <v/>
      </c>
      <c r="AM405" s="179" t="str">
        <f t="array" ref="AM405">IF($F405&lt;&gt;"",XLOOKUP($F405,Productos!$A:$A,Productos!AF:AF,"Revisar"),"")</f>
        <v/>
      </c>
      <c r="AN405" s="179" t="str">
        <f t="array" ref="AN405">IF($F405&lt;&gt;"", XLOOKUP($F405,Productos!$A$2:$A1001,Productos!AG$2:AG1001,"")*$G405,"")</f>
        <v/>
      </c>
      <c r="AO405" s="179" t="str">
        <f t="array" ref="AO405">IF($F405&lt;&gt;"",XLOOKUP($F405,Productos!$A:$A,Productos!AH:AH,"Revisar"),"")</f>
        <v/>
      </c>
      <c r="AP405" s="179" t="str">
        <f t="array" ref="AP405">IF($F405&lt;&gt;"", XLOOKUP($F405,Productos!$A$2:$A1001,Productos!AI$2:AI1001,"")*$G405,"")</f>
        <v/>
      </c>
      <c r="AQ405" s="179" t="str">
        <f t="array" ref="AQ405">IF($F405&lt;&gt;"",XLOOKUP($F405,Productos!$A:$A,Productos!AJ:AJ,"Revisar"),"")</f>
        <v/>
      </c>
      <c r="AR405" s="179" t="str">
        <f t="array" ref="AR405">IF($F405&lt;&gt;"", XLOOKUP($F405,Productos!$A$2:$A1001,Productos!AK$2:AK1001,"")*$G405,"")</f>
        <v/>
      </c>
      <c r="AS405" s="179" t="str">
        <f t="array" ref="AS405">IF($F405&lt;&gt;"",XLOOKUP($F405,Productos!$A:$A,Productos!AL:AL,"Revisar"),"")</f>
        <v/>
      </c>
      <c r="AT405" s="179" t="str">
        <f t="array" ref="AT405">IF($F405&lt;&gt;"", XLOOKUP($F405,Productos!$A$2:$A1001,Productos!AM$2:AM1001,"")*$G405,"")</f>
        <v/>
      </c>
      <c r="AU405" s="179" t="str">
        <f t="array" ref="AU405">IF($F405&lt;&gt;"",XLOOKUP($F405,Productos!$A:$A,Productos!AN:AN,"Revisar"),"")</f>
        <v/>
      </c>
      <c r="AV405" s="179" t="str">
        <f t="array" ref="AV405">IF($F405&lt;&gt;"", XLOOKUP($F405,Productos!$A$2:$A1001,Productos!AO$2:AO1001,"")*$G405,"")</f>
        <v/>
      </c>
      <c r="AW405" s="179" t="str">
        <f t="array" ref="AW405">IF($F405&lt;&gt;"",XLOOKUP($F405,Productos!$A:$A,Productos!AP:AP,"Revisar"),"")</f>
        <v/>
      </c>
      <c r="AX405" s="179" t="str">
        <f t="array" ref="AX405">IF($F405&lt;&gt;"", XLOOKUP($F405,Productos!$A$2:$A1001,Productos!AQ$2:AQ1001,"")*$G405,"")</f>
        <v/>
      </c>
      <c r="AY405" s="179" t="str">
        <f t="array" ref="AY405">IF($F405&lt;&gt;"",XLOOKUP($F405,Productos!$A:$A,Productos!AR:AR,"Revisar"),"")</f>
        <v/>
      </c>
      <c r="AZ405" s="179" t="str">
        <f t="array" ref="AZ405">IF($F405&lt;&gt;"", XLOOKUP($F405,Productos!$A$2:$A1001,Productos!AS$2:AS1001,"")*$G405,"")</f>
        <v/>
      </c>
      <c r="BA405" s="179" t="str">
        <f t="array" ref="BA405">IF($F405&lt;&gt;"",XLOOKUP($F405,Productos!$A:$A,Productos!AT:AT,"Revisar"),"")</f>
        <v/>
      </c>
      <c r="BB405" s="179" t="str">
        <f t="array" ref="BB405">IF($F405&lt;&gt;"", XLOOKUP($F405,Productos!$A$2:$A1001,Productos!AU$2:AU1001,"")*$G405,"")</f>
        <v/>
      </c>
      <c r="BC405" s="179" t="str">
        <f t="array" ref="BC405">IF($F405&lt;&gt;"",XLOOKUP($F405,Productos!$A:$A,Productos!AV:AV,"Revisar"),"")</f>
        <v/>
      </c>
      <c r="BD405" s="179" t="str">
        <f t="array" ref="BD405">IF($F405&lt;&gt;"", XLOOKUP($F405,Productos!$A$2:$A1001,Productos!AW$2:AW1001,"")*$G405,"")</f>
        <v/>
      </c>
      <c r="BE405" s="179" t="str">
        <f t="array" ref="BE405">IF($F405&lt;&gt;"",XLOOKUP($F405,Productos!$A:$A,Productos!AX:AX,"Revisar"),"")</f>
        <v/>
      </c>
      <c r="BF405" s="179" t="str">
        <f t="array" ref="BF405">IF($F405&lt;&gt;"", XLOOKUP($F405,Productos!$A$2:$A1001,Productos!AY$2:AY1001,"")*$G405,"")</f>
        <v/>
      </c>
      <c r="BG405" s="179" t="str">
        <f t="array" ref="BG405">IF($F405&lt;&gt;"",XLOOKUP($F405,Productos!$A:$A,Productos!AZ:AZ,"Revisar"),"")</f>
        <v/>
      </c>
      <c r="BH405" s="179" t="str">
        <f t="array" ref="BH405">IF($F405&lt;&gt;"", XLOOKUP($F405,Productos!$A$2:$A1001,Productos!BA$2:BA1001,"")*$G405,"")</f>
        <v/>
      </c>
      <c r="BI405" s="179" t="str">
        <f t="array" ref="BI405">IF($F405&lt;&gt;"",XLOOKUP($F405,Productos!$A:$A,Productos!BB:BB,"Revisar"),"")</f>
        <v/>
      </c>
      <c r="BJ405" s="179" t="str">
        <f t="array" ref="BJ405">IF($F405&lt;&gt;"", XLOOKUP($F405,Productos!$A$2:$A1001,Productos!BC$2:BC1001,"")*$G405,"")</f>
        <v/>
      </c>
      <c r="BK405" s="179" t="str">
        <f t="array" ref="BK405">IF($F405&lt;&gt;"",XLOOKUP($F405,Productos!$A:$A,Productos!BD:BD,"Revisar"),"")</f>
        <v/>
      </c>
      <c r="BL405" s="179" t="str">
        <f t="array" ref="BL405">IF($F405&lt;&gt;"", XLOOKUP($F405,Productos!$A$2:$A1001,Productos!BE$2:BE1001,"")*$G405,"")</f>
        <v/>
      </c>
      <c r="BM405" s="179" t="str">
        <f t="array" ref="BM405">IF($F405&lt;&gt;"",XLOOKUP($F405,Productos!$A:$A,Productos!BF:BF,"Revisar"),"")</f>
        <v/>
      </c>
      <c r="BN405" s="179" t="str">
        <f t="array" ref="BN405">IF($F405&lt;&gt;"", XLOOKUP($F405,Productos!$A$2:$A1001,Productos!BG$2:BG1001,"")*$G405,"")</f>
        <v/>
      </c>
      <c r="BO405" s="179" t="str">
        <f t="array" ref="BO405">IF($F405&lt;&gt;"",XLOOKUP($F405,Productos!$A:$A,Productos!BH:BH,"Revisar"),"")</f>
        <v/>
      </c>
      <c r="BP405" s="179" t="str">
        <f t="array" ref="BP405">IF($F405&lt;&gt;"", XLOOKUP($F405,Productos!$A$2:$A1001,Productos!BI$2:BI1001,"")*$G405,"")</f>
        <v/>
      </c>
      <c r="BQ405" s="179" t="str">
        <f t="array" ref="BQ405">IF($F405&lt;&gt;"",XLOOKUP($F405,Productos!$A:$A,Productos!BJ:BJ,"Revisar"),"")</f>
        <v/>
      </c>
      <c r="BR405" s="179" t="str">
        <f t="array" ref="BR405">IF($F405&lt;&gt;"", XLOOKUP($F405,Productos!$A$2:$A1001,Productos!BK$2:BK1001,"")*$G405,"")</f>
        <v/>
      </c>
      <c r="BS405" s="179" t="str">
        <f t="array" ref="BS405">IF($F405&lt;&gt;"",XLOOKUP($F405,Productos!$A:$A,Productos!BL:BL,"Revisar"),"")</f>
        <v/>
      </c>
      <c r="BT405" s="179" t="str">
        <f t="array" ref="BT405">IF($F405&lt;&gt;"", XLOOKUP($F405,Productos!$A$2:$A1001,Productos!BM$2:BM1001,"")*$G405,"")</f>
        <v/>
      </c>
      <c r="BU405" s="179" t="str">
        <f t="array" ref="BU405">IF($F405&lt;&gt;"",XLOOKUP($F405,Productos!$A:$A,Productos!BN:BN,"Revisar"),"")</f>
        <v/>
      </c>
      <c r="BV405" s="179" t="str">
        <f t="array" ref="BV405">IF($F405&lt;&gt;"", XLOOKUP($F405,Productos!$A$2:$A1001,Productos!BO$2:BO1001,"")*$G405,"")</f>
        <v/>
      </c>
      <c r="BW405" s="179" t="str">
        <f t="array" ref="BW405">IF($F405&lt;&gt;"",XLOOKUP($F405,Productos!$A:$A,Productos!BP:BP,"Revisar"),"")</f>
        <v/>
      </c>
      <c r="BX405" s="179" t="str">
        <f t="array" ref="BX405">IF($F405&lt;&gt;"", XLOOKUP($F405,Productos!$A$2:$A1001,Productos!BQ$2:BQ1001,"")*$G405,"")</f>
        <v/>
      </c>
      <c r="BY405" s="179" t="str">
        <f t="array" ref="BY405">IF($F405&lt;&gt;"",XLOOKUP($F405,Productos!$A:$A,Productos!BR:BR,"Revisar"),"")</f>
        <v/>
      </c>
      <c r="BZ405" s="179" t="str">
        <f t="array" ref="BZ405">IF($F405&lt;&gt;"", XLOOKUP($F405,Productos!$A$2:$A1001,Productos!BS$2:BS1001,"")*$G405,"")</f>
        <v/>
      </c>
    </row>
    <row r="406">
      <c r="A406" s="188"/>
      <c r="B406" s="189"/>
      <c r="C406" s="190"/>
      <c r="D406" s="190"/>
      <c r="E406" s="191"/>
      <c r="F406" s="186"/>
      <c r="G406" s="192"/>
      <c r="H406" s="9"/>
      <c r="I406" s="179" t="str">
        <f t="array" ref="I406">IF($F406&lt;&gt;"",XLOOKUP($F406,Productos!$A:$A,Productos!B:B,"Revisar"),"")</f>
        <v/>
      </c>
      <c r="J406" s="179" t="str">
        <f t="array" ref="J406">IF($F406&lt;&gt;"", XLOOKUP($F406,Productos!$A$2:$A1001,Productos!C$2:C1001,"")*$G406,"")</f>
        <v/>
      </c>
      <c r="K406" s="179" t="str">
        <f t="array" ref="K406">IF($F406&lt;&gt;"",XLOOKUP($F406,Productos!$A:$A,Productos!D:D,"Revisar"),"")</f>
        <v/>
      </c>
      <c r="L406" s="179" t="str">
        <f t="array" ref="L406">IF($F406&lt;&gt;"", XLOOKUP($F406,Productos!$A$2:$A1001,Productos!E$2:E1001,"")*$G406,"")</f>
        <v/>
      </c>
      <c r="M406" s="179" t="str">
        <f t="array" ref="M406">IF($F406&lt;&gt;"",XLOOKUP($F406,Productos!$A:$A,Productos!F:F,"Revisar"),"")</f>
        <v/>
      </c>
      <c r="N406" s="179" t="str">
        <f t="array" ref="N406">IF($F406&lt;&gt;"", XLOOKUP($F406,Productos!$A$2:$A1001,Productos!G$2:G1001,"")*$G406,"")</f>
        <v/>
      </c>
      <c r="O406" s="179" t="str">
        <f t="array" ref="O406">IF($F406&lt;&gt;"",XLOOKUP($F406,Productos!$A:$A,Productos!H:H,"Revisar"),"")</f>
        <v/>
      </c>
      <c r="P406" s="179" t="str">
        <f t="array" ref="P406">IF($F406&lt;&gt;"", XLOOKUP($F406,Productos!$A$2:$A1001,Productos!I$2:I1001,"")*$G406,"")</f>
        <v/>
      </c>
      <c r="Q406" s="179" t="str">
        <f t="array" ref="Q406">IF($F406&lt;&gt;"",XLOOKUP($F406,Productos!$A:$A,Productos!J:J,"Revisar"),"")</f>
        <v/>
      </c>
      <c r="R406" s="179" t="str">
        <f t="array" ref="R406">IF($F406&lt;&gt;"", XLOOKUP($F406,Productos!$A$2:$A1001,Productos!K$2:K1001,"")*$G406,"")</f>
        <v/>
      </c>
      <c r="S406" s="179" t="str">
        <f t="array" ref="S406">IF($F406&lt;&gt;"",XLOOKUP($F406,Productos!$A:$A,Productos!L:L,"Revisar"),"")</f>
        <v/>
      </c>
      <c r="T406" s="179" t="str">
        <f t="array" ref="T406">IF($F406&lt;&gt;"", XLOOKUP($F406,Productos!$A$2:$A1001,Productos!M$2:M1001,"")*$G406,"")</f>
        <v/>
      </c>
      <c r="U406" s="179" t="str">
        <f t="array" ref="U406">IF($F406&lt;&gt;"",XLOOKUP($F406,Productos!$A:$A,Productos!N:N,"Revisar"),"")</f>
        <v/>
      </c>
      <c r="V406" s="179" t="str">
        <f t="array" ref="V406">IF($F406&lt;&gt;"", XLOOKUP($F406,Productos!$A$2:$A1001,Productos!O$2:O1001,"")*$G406,"")</f>
        <v/>
      </c>
      <c r="W406" s="179" t="str">
        <f t="array" ref="W406">IF($F406&lt;&gt;"",XLOOKUP($F406,Productos!$A:$A,Productos!P:P,"Revisar"),"")</f>
        <v/>
      </c>
      <c r="X406" s="179" t="str">
        <f t="array" ref="X406">IF($F406&lt;&gt;"", XLOOKUP($F406,Productos!$A$2:$A1001,Productos!Q$2:Q1001,"")*$G406,"")</f>
        <v/>
      </c>
      <c r="Y406" s="179" t="str">
        <f t="array" ref="Y406">IF($F406&lt;&gt;"",XLOOKUP($F406,Productos!$A:$A,Productos!R:R,"Revisar"),"")</f>
        <v/>
      </c>
      <c r="Z406" s="179" t="str">
        <f t="array" ref="Z406">IF($F406&lt;&gt;"", XLOOKUP($F406,Productos!$A$2:$A1001,Productos!S$2:S1001,"")*$G406,"")</f>
        <v/>
      </c>
      <c r="AA406" s="179" t="str">
        <f t="array" ref="AA406">IF($F406&lt;&gt;"",XLOOKUP($F406,Productos!$A:$A,Productos!T:T,"Revisar"),"")</f>
        <v/>
      </c>
      <c r="AB406" s="179" t="str">
        <f t="array" ref="AB406">IF($F406&lt;&gt;"", XLOOKUP($F406,Productos!$A$2:$A1001,Productos!U$2:U1001,"")*$G406,"")</f>
        <v/>
      </c>
      <c r="AC406" s="179" t="str">
        <f t="array" ref="AC406">IF($F406&lt;&gt;"",XLOOKUP($F406,Productos!$A:$A,Productos!V:V,"Revisar"),"")</f>
        <v/>
      </c>
      <c r="AD406" s="179" t="str">
        <f t="array" ref="AD406">IF($F406&lt;&gt;"", XLOOKUP($F406,Productos!$A$2:$A1001,Productos!W$2:W1001,"")*$G406,"")</f>
        <v/>
      </c>
      <c r="AE406" s="179" t="str">
        <f t="array" ref="AE406">IF($F406&lt;&gt;"",XLOOKUP($F406,Productos!$A:$A,Productos!X:X,"Revisar"),"")</f>
        <v/>
      </c>
      <c r="AF406" s="179" t="str">
        <f t="array" ref="AF406">IF($F406&lt;&gt;"", XLOOKUP($F406,Productos!$A$2:$A1001,Productos!Y$2:Y1001,"")*$G406,"")</f>
        <v/>
      </c>
      <c r="AG406" s="179" t="str">
        <f t="array" ref="AG406">IF($F406&lt;&gt;"",XLOOKUP($F406,Productos!$A:$A,Productos!Z:Z,"Revisar"),"")</f>
        <v/>
      </c>
      <c r="AH406" s="179" t="str">
        <f t="array" ref="AH406">IF($F406&lt;&gt;"", XLOOKUP($F406,Productos!$A$2:$A1001,Productos!AA$2:AA1001,"")*$G406,"")</f>
        <v/>
      </c>
      <c r="AI406" s="179" t="str">
        <f t="array" ref="AI406">IF($F406&lt;&gt;"",XLOOKUP($F406,Productos!$A:$A,Productos!AB:AB,"Revisar"),"")</f>
        <v/>
      </c>
      <c r="AJ406" s="179" t="str">
        <f t="array" ref="AJ406">IF($F406&lt;&gt;"", XLOOKUP($F406,Productos!$A$2:$A1001,Productos!AC$2:AC1001,"")*$G406,"")</f>
        <v/>
      </c>
      <c r="AK406" s="179" t="str">
        <f t="array" ref="AK406">IF($F406&lt;&gt;"",XLOOKUP($F406,Productos!$A:$A,Productos!AD:AD,"Revisar"),"")</f>
        <v/>
      </c>
      <c r="AL406" s="179" t="str">
        <f t="array" ref="AL406">IF($F406&lt;&gt;"", XLOOKUP($F406,Productos!$A$2:$A1001,Productos!AE$2:AE1001,"")*$G406,"")</f>
        <v/>
      </c>
      <c r="AM406" s="179" t="str">
        <f t="array" ref="AM406">IF($F406&lt;&gt;"",XLOOKUP($F406,Productos!$A:$A,Productos!AF:AF,"Revisar"),"")</f>
        <v/>
      </c>
      <c r="AN406" s="179" t="str">
        <f t="array" ref="AN406">IF($F406&lt;&gt;"", XLOOKUP($F406,Productos!$A$2:$A1001,Productos!AG$2:AG1001,"")*$G406,"")</f>
        <v/>
      </c>
      <c r="AO406" s="179" t="str">
        <f t="array" ref="AO406">IF($F406&lt;&gt;"",XLOOKUP($F406,Productos!$A:$A,Productos!AH:AH,"Revisar"),"")</f>
        <v/>
      </c>
      <c r="AP406" s="179" t="str">
        <f t="array" ref="AP406">IF($F406&lt;&gt;"", XLOOKUP($F406,Productos!$A$2:$A1001,Productos!AI$2:AI1001,"")*$G406,"")</f>
        <v/>
      </c>
      <c r="AQ406" s="179" t="str">
        <f t="array" ref="AQ406">IF($F406&lt;&gt;"",XLOOKUP($F406,Productos!$A:$A,Productos!AJ:AJ,"Revisar"),"")</f>
        <v/>
      </c>
      <c r="AR406" s="179" t="str">
        <f t="array" ref="AR406">IF($F406&lt;&gt;"", XLOOKUP($F406,Productos!$A$2:$A1001,Productos!AK$2:AK1001,"")*$G406,"")</f>
        <v/>
      </c>
      <c r="AS406" s="179" t="str">
        <f t="array" ref="AS406">IF($F406&lt;&gt;"",XLOOKUP($F406,Productos!$A:$A,Productos!AL:AL,"Revisar"),"")</f>
        <v/>
      </c>
      <c r="AT406" s="179" t="str">
        <f t="array" ref="AT406">IF($F406&lt;&gt;"", XLOOKUP($F406,Productos!$A$2:$A1001,Productos!AM$2:AM1001,"")*$G406,"")</f>
        <v/>
      </c>
      <c r="AU406" s="179" t="str">
        <f t="array" ref="AU406">IF($F406&lt;&gt;"",XLOOKUP($F406,Productos!$A:$A,Productos!AN:AN,"Revisar"),"")</f>
        <v/>
      </c>
      <c r="AV406" s="179" t="str">
        <f t="array" ref="AV406">IF($F406&lt;&gt;"", XLOOKUP($F406,Productos!$A$2:$A1001,Productos!AO$2:AO1001,"")*$G406,"")</f>
        <v/>
      </c>
      <c r="AW406" s="179" t="str">
        <f t="array" ref="AW406">IF($F406&lt;&gt;"",XLOOKUP($F406,Productos!$A:$A,Productos!AP:AP,"Revisar"),"")</f>
        <v/>
      </c>
      <c r="AX406" s="179" t="str">
        <f t="array" ref="AX406">IF($F406&lt;&gt;"", XLOOKUP($F406,Productos!$A$2:$A1001,Productos!AQ$2:AQ1001,"")*$G406,"")</f>
        <v/>
      </c>
      <c r="AY406" s="179" t="str">
        <f t="array" ref="AY406">IF($F406&lt;&gt;"",XLOOKUP($F406,Productos!$A:$A,Productos!AR:AR,"Revisar"),"")</f>
        <v/>
      </c>
      <c r="AZ406" s="179" t="str">
        <f t="array" ref="AZ406">IF($F406&lt;&gt;"", XLOOKUP($F406,Productos!$A$2:$A1001,Productos!AS$2:AS1001,"")*$G406,"")</f>
        <v/>
      </c>
      <c r="BA406" s="179" t="str">
        <f t="array" ref="BA406">IF($F406&lt;&gt;"",XLOOKUP($F406,Productos!$A:$A,Productos!AT:AT,"Revisar"),"")</f>
        <v/>
      </c>
      <c r="BB406" s="179" t="str">
        <f t="array" ref="BB406">IF($F406&lt;&gt;"", XLOOKUP($F406,Productos!$A$2:$A1001,Productos!AU$2:AU1001,"")*$G406,"")</f>
        <v/>
      </c>
      <c r="BC406" s="179" t="str">
        <f t="array" ref="BC406">IF($F406&lt;&gt;"",XLOOKUP($F406,Productos!$A:$A,Productos!AV:AV,"Revisar"),"")</f>
        <v/>
      </c>
      <c r="BD406" s="179" t="str">
        <f t="array" ref="BD406">IF($F406&lt;&gt;"", XLOOKUP($F406,Productos!$A$2:$A1001,Productos!AW$2:AW1001,"")*$G406,"")</f>
        <v/>
      </c>
      <c r="BE406" s="179" t="str">
        <f t="array" ref="BE406">IF($F406&lt;&gt;"",XLOOKUP($F406,Productos!$A:$A,Productos!AX:AX,"Revisar"),"")</f>
        <v/>
      </c>
      <c r="BF406" s="179" t="str">
        <f t="array" ref="BF406">IF($F406&lt;&gt;"", XLOOKUP($F406,Productos!$A$2:$A1001,Productos!AY$2:AY1001,"")*$G406,"")</f>
        <v/>
      </c>
      <c r="BG406" s="179" t="str">
        <f t="array" ref="BG406">IF($F406&lt;&gt;"",XLOOKUP($F406,Productos!$A:$A,Productos!AZ:AZ,"Revisar"),"")</f>
        <v/>
      </c>
      <c r="BH406" s="179" t="str">
        <f t="array" ref="BH406">IF($F406&lt;&gt;"", XLOOKUP($F406,Productos!$A$2:$A1001,Productos!BA$2:BA1001,"")*$G406,"")</f>
        <v/>
      </c>
      <c r="BI406" s="179" t="str">
        <f t="array" ref="BI406">IF($F406&lt;&gt;"",XLOOKUP($F406,Productos!$A:$A,Productos!BB:BB,"Revisar"),"")</f>
        <v/>
      </c>
      <c r="BJ406" s="179" t="str">
        <f t="array" ref="BJ406">IF($F406&lt;&gt;"", XLOOKUP($F406,Productos!$A$2:$A1001,Productos!BC$2:BC1001,"")*$G406,"")</f>
        <v/>
      </c>
      <c r="BK406" s="179" t="str">
        <f t="array" ref="BK406">IF($F406&lt;&gt;"",XLOOKUP($F406,Productos!$A:$A,Productos!BD:BD,"Revisar"),"")</f>
        <v/>
      </c>
      <c r="BL406" s="179" t="str">
        <f t="array" ref="BL406">IF($F406&lt;&gt;"", XLOOKUP($F406,Productos!$A$2:$A1001,Productos!BE$2:BE1001,"")*$G406,"")</f>
        <v/>
      </c>
      <c r="BM406" s="179" t="str">
        <f t="array" ref="BM406">IF($F406&lt;&gt;"",XLOOKUP($F406,Productos!$A:$A,Productos!BF:BF,"Revisar"),"")</f>
        <v/>
      </c>
      <c r="BN406" s="179" t="str">
        <f t="array" ref="BN406">IF($F406&lt;&gt;"", XLOOKUP($F406,Productos!$A$2:$A1001,Productos!BG$2:BG1001,"")*$G406,"")</f>
        <v/>
      </c>
      <c r="BO406" s="179" t="str">
        <f t="array" ref="BO406">IF($F406&lt;&gt;"",XLOOKUP($F406,Productos!$A:$A,Productos!BH:BH,"Revisar"),"")</f>
        <v/>
      </c>
      <c r="BP406" s="179" t="str">
        <f t="array" ref="BP406">IF($F406&lt;&gt;"", XLOOKUP($F406,Productos!$A$2:$A1001,Productos!BI$2:BI1001,"")*$G406,"")</f>
        <v/>
      </c>
      <c r="BQ406" s="179" t="str">
        <f t="array" ref="BQ406">IF($F406&lt;&gt;"",XLOOKUP($F406,Productos!$A:$A,Productos!BJ:BJ,"Revisar"),"")</f>
        <v/>
      </c>
      <c r="BR406" s="179" t="str">
        <f t="array" ref="BR406">IF($F406&lt;&gt;"", XLOOKUP($F406,Productos!$A$2:$A1001,Productos!BK$2:BK1001,"")*$G406,"")</f>
        <v/>
      </c>
      <c r="BS406" s="179" t="str">
        <f t="array" ref="BS406">IF($F406&lt;&gt;"",XLOOKUP($F406,Productos!$A:$A,Productos!BL:BL,"Revisar"),"")</f>
        <v/>
      </c>
      <c r="BT406" s="179" t="str">
        <f t="array" ref="BT406">IF($F406&lt;&gt;"", XLOOKUP($F406,Productos!$A$2:$A1001,Productos!BM$2:BM1001,"")*$G406,"")</f>
        <v/>
      </c>
      <c r="BU406" s="179" t="str">
        <f t="array" ref="BU406">IF($F406&lt;&gt;"",XLOOKUP($F406,Productos!$A:$A,Productos!BN:BN,"Revisar"),"")</f>
        <v/>
      </c>
      <c r="BV406" s="179" t="str">
        <f t="array" ref="BV406">IF($F406&lt;&gt;"", XLOOKUP($F406,Productos!$A$2:$A1001,Productos!BO$2:BO1001,"")*$G406,"")</f>
        <v/>
      </c>
      <c r="BW406" s="179" t="str">
        <f t="array" ref="BW406">IF($F406&lt;&gt;"",XLOOKUP($F406,Productos!$A:$A,Productos!BP:BP,"Revisar"),"")</f>
        <v/>
      </c>
      <c r="BX406" s="179" t="str">
        <f t="array" ref="BX406">IF($F406&lt;&gt;"", XLOOKUP($F406,Productos!$A$2:$A1001,Productos!BQ$2:BQ1001,"")*$G406,"")</f>
        <v/>
      </c>
      <c r="BY406" s="179" t="str">
        <f t="array" ref="BY406">IF($F406&lt;&gt;"",XLOOKUP($F406,Productos!$A:$A,Productos!BR:BR,"Revisar"),"")</f>
        <v/>
      </c>
      <c r="BZ406" s="179" t="str">
        <f t="array" ref="BZ406">IF($F406&lt;&gt;"", XLOOKUP($F406,Productos!$A$2:$A1001,Productos!BS$2:BS1001,"")*$G406,"")</f>
        <v/>
      </c>
    </row>
    <row r="407">
      <c r="A407" s="188"/>
      <c r="B407" s="189"/>
      <c r="C407" s="190"/>
      <c r="D407" s="190"/>
      <c r="E407" s="191"/>
      <c r="F407" s="186"/>
      <c r="G407" s="192"/>
      <c r="H407" s="9"/>
      <c r="I407" s="179" t="str">
        <f t="array" ref="I407">IF($F407&lt;&gt;"",XLOOKUP($F407,Productos!$A:$A,Productos!B:B,"Revisar"),"")</f>
        <v/>
      </c>
      <c r="J407" s="179" t="str">
        <f t="array" ref="J407">IF($F407&lt;&gt;"", XLOOKUP($F407,Productos!$A$2:$A1001,Productos!C$2:C1001,"")*$G407,"")</f>
        <v/>
      </c>
      <c r="K407" s="179" t="str">
        <f t="array" ref="K407">IF($F407&lt;&gt;"",XLOOKUP($F407,Productos!$A:$A,Productos!D:D,"Revisar"),"")</f>
        <v/>
      </c>
      <c r="L407" s="179" t="str">
        <f t="array" ref="L407">IF($F407&lt;&gt;"", XLOOKUP($F407,Productos!$A$2:$A1001,Productos!E$2:E1001,"")*$G407,"")</f>
        <v/>
      </c>
      <c r="M407" s="179" t="str">
        <f t="array" ref="M407">IF($F407&lt;&gt;"",XLOOKUP($F407,Productos!$A:$A,Productos!F:F,"Revisar"),"")</f>
        <v/>
      </c>
      <c r="N407" s="179" t="str">
        <f t="array" ref="N407">IF($F407&lt;&gt;"", XLOOKUP($F407,Productos!$A$2:$A1001,Productos!G$2:G1001,"")*$G407,"")</f>
        <v/>
      </c>
      <c r="O407" s="179" t="str">
        <f t="array" ref="O407">IF($F407&lt;&gt;"",XLOOKUP($F407,Productos!$A:$A,Productos!H:H,"Revisar"),"")</f>
        <v/>
      </c>
      <c r="P407" s="179" t="str">
        <f t="array" ref="P407">IF($F407&lt;&gt;"", XLOOKUP($F407,Productos!$A$2:$A1001,Productos!I$2:I1001,"")*$G407,"")</f>
        <v/>
      </c>
      <c r="Q407" s="179" t="str">
        <f t="array" ref="Q407">IF($F407&lt;&gt;"",XLOOKUP($F407,Productos!$A:$A,Productos!J:J,"Revisar"),"")</f>
        <v/>
      </c>
      <c r="R407" s="179" t="str">
        <f t="array" ref="R407">IF($F407&lt;&gt;"", XLOOKUP($F407,Productos!$A$2:$A1001,Productos!K$2:K1001,"")*$G407,"")</f>
        <v/>
      </c>
      <c r="S407" s="179" t="str">
        <f t="array" ref="S407">IF($F407&lt;&gt;"",XLOOKUP($F407,Productos!$A:$A,Productos!L:L,"Revisar"),"")</f>
        <v/>
      </c>
      <c r="T407" s="179" t="str">
        <f t="array" ref="T407">IF($F407&lt;&gt;"", XLOOKUP($F407,Productos!$A$2:$A1001,Productos!M$2:M1001,"")*$G407,"")</f>
        <v/>
      </c>
      <c r="U407" s="179" t="str">
        <f t="array" ref="U407">IF($F407&lt;&gt;"",XLOOKUP($F407,Productos!$A:$A,Productos!N:N,"Revisar"),"")</f>
        <v/>
      </c>
      <c r="V407" s="179" t="str">
        <f t="array" ref="V407">IF($F407&lt;&gt;"", XLOOKUP($F407,Productos!$A$2:$A1001,Productos!O$2:O1001,"")*$G407,"")</f>
        <v/>
      </c>
      <c r="W407" s="179" t="str">
        <f t="array" ref="W407">IF($F407&lt;&gt;"",XLOOKUP($F407,Productos!$A:$A,Productos!P:P,"Revisar"),"")</f>
        <v/>
      </c>
      <c r="X407" s="179" t="str">
        <f t="array" ref="X407">IF($F407&lt;&gt;"", XLOOKUP($F407,Productos!$A$2:$A1001,Productos!Q$2:Q1001,"")*$G407,"")</f>
        <v/>
      </c>
      <c r="Y407" s="179" t="str">
        <f t="array" ref="Y407">IF($F407&lt;&gt;"",XLOOKUP($F407,Productos!$A:$A,Productos!R:R,"Revisar"),"")</f>
        <v/>
      </c>
      <c r="Z407" s="179" t="str">
        <f t="array" ref="Z407">IF($F407&lt;&gt;"", XLOOKUP($F407,Productos!$A$2:$A1001,Productos!S$2:S1001,"")*$G407,"")</f>
        <v/>
      </c>
      <c r="AA407" s="179" t="str">
        <f t="array" ref="AA407">IF($F407&lt;&gt;"",XLOOKUP($F407,Productos!$A:$A,Productos!T:T,"Revisar"),"")</f>
        <v/>
      </c>
      <c r="AB407" s="179" t="str">
        <f t="array" ref="AB407">IF($F407&lt;&gt;"", XLOOKUP($F407,Productos!$A$2:$A1001,Productos!U$2:U1001,"")*$G407,"")</f>
        <v/>
      </c>
      <c r="AC407" s="179" t="str">
        <f t="array" ref="AC407">IF($F407&lt;&gt;"",XLOOKUP($F407,Productos!$A:$A,Productos!V:V,"Revisar"),"")</f>
        <v/>
      </c>
      <c r="AD407" s="179" t="str">
        <f t="array" ref="AD407">IF($F407&lt;&gt;"", XLOOKUP($F407,Productos!$A$2:$A1001,Productos!W$2:W1001,"")*$G407,"")</f>
        <v/>
      </c>
      <c r="AE407" s="179" t="str">
        <f t="array" ref="AE407">IF($F407&lt;&gt;"",XLOOKUP($F407,Productos!$A:$A,Productos!X:X,"Revisar"),"")</f>
        <v/>
      </c>
      <c r="AF407" s="179" t="str">
        <f t="array" ref="AF407">IF($F407&lt;&gt;"", XLOOKUP($F407,Productos!$A$2:$A1001,Productos!Y$2:Y1001,"")*$G407,"")</f>
        <v/>
      </c>
      <c r="AG407" s="179" t="str">
        <f t="array" ref="AG407">IF($F407&lt;&gt;"",XLOOKUP($F407,Productos!$A:$A,Productos!Z:Z,"Revisar"),"")</f>
        <v/>
      </c>
      <c r="AH407" s="179" t="str">
        <f t="array" ref="AH407">IF($F407&lt;&gt;"", XLOOKUP($F407,Productos!$A$2:$A1001,Productos!AA$2:AA1001,"")*$G407,"")</f>
        <v/>
      </c>
      <c r="AI407" s="179" t="str">
        <f t="array" ref="AI407">IF($F407&lt;&gt;"",XLOOKUP($F407,Productos!$A:$A,Productos!AB:AB,"Revisar"),"")</f>
        <v/>
      </c>
      <c r="AJ407" s="179" t="str">
        <f t="array" ref="AJ407">IF($F407&lt;&gt;"", XLOOKUP($F407,Productos!$A$2:$A1001,Productos!AC$2:AC1001,"")*$G407,"")</f>
        <v/>
      </c>
      <c r="AK407" s="179" t="str">
        <f t="array" ref="AK407">IF($F407&lt;&gt;"",XLOOKUP($F407,Productos!$A:$A,Productos!AD:AD,"Revisar"),"")</f>
        <v/>
      </c>
      <c r="AL407" s="179" t="str">
        <f t="array" ref="AL407">IF($F407&lt;&gt;"", XLOOKUP($F407,Productos!$A$2:$A1001,Productos!AE$2:AE1001,"")*$G407,"")</f>
        <v/>
      </c>
      <c r="AM407" s="179" t="str">
        <f t="array" ref="AM407">IF($F407&lt;&gt;"",XLOOKUP($F407,Productos!$A:$A,Productos!AF:AF,"Revisar"),"")</f>
        <v/>
      </c>
      <c r="AN407" s="179" t="str">
        <f t="array" ref="AN407">IF($F407&lt;&gt;"", XLOOKUP($F407,Productos!$A$2:$A1001,Productos!AG$2:AG1001,"")*$G407,"")</f>
        <v/>
      </c>
      <c r="AO407" s="179" t="str">
        <f t="array" ref="AO407">IF($F407&lt;&gt;"",XLOOKUP($F407,Productos!$A:$A,Productos!AH:AH,"Revisar"),"")</f>
        <v/>
      </c>
      <c r="AP407" s="179" t="str">
        <f t="array" ref="AP407">IF($F407&lt;&gt;"", XLOOKUP($F407,Productos!$A$2:$A1001,Productos!AI$2:AI1001,"")*$G407,"")</f>
        <v/>
      </c>
      <c r="AQ407" s="179" t="str">
        <f t="array" ref="AQ407">IF($F407&lt;&gt;"",XLOOKUP($F407,Productos!$A:$A,Productos!AJ:AJ,"Revisar"),"")</f>
        <v/>
      </c>
      <c r="AR407" s="179" t="str">
        <f t="array" ref="AR407">IF($F407&lt;&gt;"", XLOOKUP($F407,Productos!$A$2:$A1001,Productos!AK$2:AK1001,"")*$G407,"")</f>
        <v/>
      </c>
      <c r="AS407" s="179" t="str">
        <f t="array" ref="AS407">IF($F407&lt;&gt;"",XLOOKUP($F407,Productos!$A:$A,Productos!AL:AL,"Revisar"),"")</f>
        <v/>
      </c>
      <c r="AT407" s="179" t="str">
        <f t="array" ref="AT407">IF($F407&lt;&gt;"", XLOOKUP($F407,Productos!$A$2:$A1001,Productos!AM$2:AM1001,"")*$G407,"")</f>
        <v/>
      </c>
      <c r="AU407" s="179" t="str">
        <f t="array" ref="AU407">IF($F407&lt;&gt;"",XLOOKUP($F407,Productos!$A:$A,Productos!AN:AN,"Revisar"),"")</f>
        <v/>
      </c>
      <c r="AV407" s="179" t="str">
        <f t="array" ref="AV407">IF($F407&lt;&gt;"", XLOOKUP($F407,Productos!$A$2:$A1001,Productos!AO$2:AO1001,"")*$G407,"")</f>
        <v/>
      </c>
      <c r="AW407" s="179" t="str">
        <f t="array" ref="AW407">IF($F407&lt;&gt;"",XLOOKUP($F407,Productos!$A:$A,Productos!AP:AP,"Revisar"),"")</f>
        <v/>
      </c>
      <c r="AX407" s="179" t="str">
        <f t="array" ref="AX407">IF($F407&lt;&gt;"", XLOOKUP($F407,Productos!$A$2:$A1001,Productos!AQ$2:AQ1001,"")*$G407,"")</f>
        <v/>
      </c>
      <c r="AY407" s="179" t="str">
        <f t="array" ref="AY407">IF($F407&lt;&gt;"",XLOOKUP($F407,Productos!$A:$A,Productos!AR:AR,"Revisar"),"")</f>
        <v/>
      </c>
      <c r="AZ407" s="179" t="str">
        <f t="array" ref="AZ407">IF($F407&lt;&gt;"", XLOOKUP($F407,Productos!$A$2:$A1001,Productos!AS$2:AS1001,"")*$G407,"")</f>
        <v/>
      </c>
      <c r="BA407" s="179" t="str">
        <f t="array" ref="BA407">IF($F407&lt;&gt;"",XLOOKUP($F407,Productos!$A:$A,Productos!AT:AT,"Revisar"),"")</f>
        <v/>
      </c>
      <c r="BB407" s="179" t="str">
        <f t="array" ref="BB407">IF($F407&lt;&gt;"", XLOOKUP($F407,Productos!$A$2:$A1001,Productos!AU$2:AU1001,"")*$G407,"")</f>
        <v/>
      </c>
      <c r="BC407" s="179" t="str">
        <f t="array" ref="BC407">IF($F407&lt;&gt;"",XLOOKUP($F407,Productos!$A:$A,Productos!AV:AV,"Revisar"),"")</f>
        <v/>
      </c>
      <c r="BD407" s="179" t="str">
        <f t="array" ref="BD407">IF($F407&lt;&gt;"", XLOOKUP($F407,Productos!$A$2:$A1001,Productos!AW$2:AW1001,"")*$G407,"")</f>
        <v/>
      </c>
      <c r="BE407" s="179" t="str">
        <f t="array" ref="BE407">IF($F407&lt;&gt;"",XLOOKUP($F407,Productos!$A:$A,Productos!AX:AX,"Revisar"),"")</f>
        <v/>
      </c>
      <c r="BF407" s="179" t="str">
        <f t="array" ref="BF407">IF($F407&lt;&gt;"", XLOOKUP($F407,Productos!$A$2:$A1001,Productos!AY$2:AY1001,"")*$G407,"")</f>
        <v/>
      </c>
      <c r="BG407" s="179" t="str">
        <f t="array" ref="BG407">IF($F407&lt;&gt;"",XLOOKUP($F407,Productos!$A:$A,Productos!AZ:AZ,"Revisar"),"")</f>
        <v/>
      </c>
      <c r="BH407" s="179" t="str">
        <f t="array" ref="BH407">IF($F407&lt;&gt;"", XLOOKUP($F407,Productos!$A$2:$A1001,Productos!BA$2:BA1001,"")*$G407,"")</f>
        <v/>
      </c>
      <c r="BI407" s="179" t="str">
        <f t="array" ref="BI407">IF($F407&lt;&gt;"",XLOOKUP($F407,Productos!$A:$A,Productos!BB:BB,"Revisar"),"")</f>
        <v/>
      </c>
      <c r="BJ407" s="179" t="str">
        <f t="array" ref="BJ407">IF($F407&lt;&gt;"", XLOOKUP($F407,Productos!$A$2:$A1001,Productos!BC$2:BC1001,"")*$G407,"")</f>
        <v/>
      </c>
      <c r="BK407" s="179" t="str">
        <f t="array" ref="BK407">IF($F407&lt;&gt;"",XLOOKUP($F407,Productos!$A:$A,Productos!BD:BD,"Revisar"),"")</f>
        <v/>
      </c>
      <c r="BL407" s="179" t="str">
        <f t="array" ref="BL407">IF($F407&lt;&gt;"", XLOOKUP($F407,Productos!$A$2:$A1001,Productos!BE$2:BE1001,"")*$G407,"")</f>
        <v/>
      </c>
      <c r="BM407" s="179" t="str">
        <f t="array" ref="BM407">IF($F407&lt;&gt;"",XLOOKUP($F407,Productos!$A:$A,Productos!BF:BF,"Revisar"),"")</f>
        <v/>
      </c>
      <c r="BN407" s="179" t="str">
        <f t="array" ref="BN407">IF($F407&lt;&gt;"", XLOOKUP($F407,Productos!$A$2:$A1001,Productos!BG$2:BG1001,"")*$G407,"")</f>
        <v/>
      </c>
      <c r="BO407" s="179" t="str">
        <f t="array" ref="BO407">IF($F407&lt;&gt;"",XLOOKUP($F407,Productos!$A:$A,Productos!BH:BH,"Revisar"),"")</f>
        <v/>
      </c>
      <c r="BP407" s="179" t="str">
        <f t="array" ref="BP407">IF($F407&lt;&gt;"", XLOOKUP($F407,Productos!$A$2:$A1001,Productos!BI$2:BI1001,"")*$G407,"")</f>
        <v/>
      </c>
      <c r="BQ407" s="179" t="str">
        <f t="array" ref="BQ407">IF($F407&lt;&gt;"",XLOOKUP($F407,Productos!$A:$A,Productos!BJ:BJ,"Revisar"),"")</f>
        <v/>
      </c>
      <c r="BR407" s="179" t="str">
        <f t="array" ref="BR407">IF($F407&lt;&gt;"", XLOOKUP($F407,Productos!$A$2:$A1001,Productos!BK$2:BK1001,"")*$G407,"")</f>
        <v/>
      </c>
      <c r="BS407" s="179" t="str">
        <f t="array" ref="BS407">IF($F407&lt;&gt;"",XLOOKUP($F407,Productos!$A:$A,Productos!BL:BL,"Revisar"),"")</f>
        <v/>
      </c>
      <c r="BT407" s="179" t="str">
        <f t="array" ref="BT407">IF($F407&lt;&gt;"", XLOOKUP($F407,Productos!$A$2:$A1001,Productos!BM$2:BM1001,"")*$G407,"")</f>
        <v/>
      </c>
      <c r="BU407" s="179" t="str">
        <f t="array" ref="BU407">IF($F407&lt;&gt;"",XLOOKUP($F407,Productos!$A:$A,Productos!BN:BN,"Revisar"),"")</f>
        <v/>
      </c>
      <c r="BV407" s="179" t="str">
        <f t="array" ref="BV407">IF($F407&lt;&gt;"", XLOOKUP($F407,Productos!$A$2:$A1001,Productos!BO$2:BO1001,"")*$G407,"")</f>
        <v/>
      </c>
      <c r="BW407" s="179" t="str">
        <f t="array" ref="BW407">IF($F407&lt;&gt;"",XLOOKUP($F407,Productos!$A:$A,Productos!BP:BP,"Revisar"),"")</f>
        <v/>
      </c>
      <c r="BX407" s="179" t="str">
        <f t="array" ref="BX407">IF($F407&lt;&gt;"", XLOOKUP($F407,Productos!$A$2:$A1001,Productos!BQ$2:BQ1001,"")*$G407,"")</f>
        <v/>
      </c>
      <c r="BY407" s="179" t="str">
        <f t="array" ref="BY407">IF($F407&lt;&gt;"",XLOOKUP($F407,Productos!$A:$A,Productos!BR:BR,"Revisar"),"")</f>
        <v/>
      </c>
      <c r="BZ407" s="179" t="str">
        <f t="array" ref="BZ407">IF($F407&lt;&gt;"", XLOOKUP($F407,Productos!$A$2:$A1001,Productos!BS$2:BS1001,"")*$G407,"")</f>
        <v/>
      </c>
    </row>
    <row r="408">
      <c r="A408" s="188"/>
      <c r="B408" s="189"/>
      <c r="C408" s="190"/>
      <c r="D408" s="190"/>
      <c r="E408" s="191"/>
      <c r="F408" s="186"/>
      <c r="G408" s="192"/>
      <c r="H408" s="9"/>
      <c r="I408" s="179" t="str">
        <f t="array" ref="I408">IF($F408&lt;&gt;"",XLOOKUP($F408,Productos!$A:$A,Productos!B:B,"Revisar"),"")</f>
        <v/>
      </c>
      <c r="J408" s="179" t="str">
        <f t="array" ref="J408">IF($F408&lt;&gt;"", XLOOKUP($F408,Productos!$A$2:$A1001,Productos!C$2:C1001,"")*$G408,"")</f>
        <v/>
      </c>
      <c r="K408" s="179" t="str">
        <f t="array" ref="K408">IF($F408&lt;&gt;"",XLOOKUP($F408,Productos!$A:$A,Productos!D:D,"Revisar"),"")</f>
        <v/>
      </c>
      <c r="L408" s="179" t="str">
        <f t="array" ref="L408">IF($F408&lt;&gt;"", XLOOKUP($F408,Productos!$A$2:$A1001,Productos!E$2:E1001,"")*$G408,"")</f>
        <v/>
      </c>
      <c r="M408" s="179" t="str">
        <f t="array" ref="M408">IF($F408&lt;&gt;"",XLOOKUP($F408,Productos!$A:$A,Productos!F:F,"Revisar"),"")</f>
        <v/>
      </c>
      <c r="N408" s="179" t="str">
        <f t="array" ref="N408">IF($F408&lt;&gt;"", XLOOKUP($F408,Productos!$A$2:$A1001,Productos!G$2:G1001,"")*$G408,"")</f>
        <v/>
      </c>
      <c r="O408" s="179" t="str">
        <f t="array" ref="O408">IF($F408&lt;&gt;"",XLOOKUP($F408,Productos!$A:$A,Productos!H:H,"Revisar"),"")</f>
        <v/>
      </c>
      <c r="P408" s="179" t="str">
        <f t="array" ref="P408">IF($F408&lt;&gt;"", XLOOKUP($F408,Productos!$A$2:$A1001,Productos!I$2:I1001,"")*$G408,"")</f>
        <v/>
      </c>
      <c r="Q408" s="179" t="str">
        <f t="array" ref="Q408">IF($F408&lt;&gt;"",XLOOKUP($F408,Productos!$A:$A,Productos!J:J,"Revisar"),"")</f>
        <v/>
      </c>
      <c r="R408" s="179" t="str">
        <f t="array" ref="R408">IF($F408&lt;&gt;"", XLOOKUP($F408,Productos!$A$2:$A1001,Productos!K$2:K1001,"")*$G408,"")</f>
        <v/>
      </c>
      <c r="S408" s="179" t="str">
        <f t="array" ref="S408">IF($F408&lt;&gt;"",XLOOKUP($F408,Productos!$A:$A,Productos!L:L,"Revisar"),"")</f>
        <v/>
      </c>
      <c r="T408" s="179" t="str">
        <f t="array" ref="T408">IF($F408&lt;&gt;"", XLOOKUP($F408,Productos!$A$2:$A1001,Productos!M$2:M1001,"")*$G408,"")</f>
        <v/>
      </c>
      <c r="U408" s="179" t="str">
        <f t="array" ref="U408">IF($F408&lt;&gt;"",XLOOKUP($F408,Productos!$A:$A,Productos!N:N,"Revisar"),"")</f>
        <v/>
      </c>
      <c r="V408" s="179" t="str">
        <f t="array" ref="V408">IF($F408&lt;&gt;"", XLOOKUP($F408,Productos!$A$2:$A1001,Productos!O$2:O1001,"")*$G408,"")</f>
        <v/>
      </c>
      <c r="W408" s="179" t="str">
        <f t="array" ref="W408">IF($F408&lt;&gt;"",XLOOKUP($F408,Productos!$A:$A,Productos!P:P,"Revisar"),"")</f>
        <v/>
      </c>
      <c r="X408" s="179" t="str">
        <f t="array" ref="X408">IF($F408&lt;&gt;"", XLOOKUP($F408,Productos!$A$2:$A1001,Productos!Q$2:Q1001,"")*$G408,"")</f>
        <v/>
      </c>
      <c r="Y408" s="179" t="str">
        <f t="array" ref="Y408">IF($F408&lt;&gt;"",XLOOKUP($F408,Productos!$A:$A,Productos!R:R,"Revisar"),"")</f>
        <v/>
      </c>
      <c r="Z408" s="179" t="str">
        <f t="array" ref="Z408">IF($F408&lt;&gt;"", XLOOKUP($F408,Productos!$A$2:$A1001,Productos!S$2:S1001,"")*$G408,"")</f>
        <v/>
      </c>
      <c r="AA408" s="179" t="str">
        <f t="array" ref="AA408">IF($F408&lt;&gt;"",XLOOKUP($F408,Productos!$A:$A,Productos!T:T,"Revisar"),"")</f>
        <v/>
      </c>
      <c r="AB408" s="179" t="str">
        <f t="array" ref="AB408">IF($F408&lt;&gt;"", XLOOKUP($F408,Productos!$A$2:$A1001,Productos!U$2:U1001,"")*$G408,"")</f>
        <v/>
      </c>
      <c r="AC408" s="179" t="str">
        <f t="array" ref="AC408">IF($F408&lt;&gt;"",XLOOKUP($F408,Productos!$A:$A,Productos!V:V,"Revisar"),"")</f>
        <v/>
      </c>
      <c r="AD408" s="179" t="str">
        <f t="array" ref="AD408">IF($F408&lt;&gt;"", XLOOKUP($F408,Productos!$A$2:$A1001,Productos!W$2:W1001,"")*$G408,"")</f>
        <v/>
      </c>
      <c r="AE408" s="179" t="str">
        <f t="array" ref="AE408">IF($F408&lt;&gt;"",XLOOKUP($F408,Productos!$A:$A,Productos!X:X,"Revisar"),"")</f>
        <v/>
      </c>
      <c r="AF408" s="179" t="str">
        <f t="array" ref="AF408">IF($F408&lt;&gt;"", XLOOKUP($F408,Productos!$A$2:$A1001,Productos!Y$2:Y1001,"")*$G408,"")</f>
        <v/>
      </c>
      <c r="AG408" s="179" t="str">
        <f t="array" ref="AG408">IF($F408&lt;&gt;"",XLOOKUP($F408,Productos!$A:$A,Productos!Z:Z,"Revisar"),"")</f>
        <v/>
      </c>
      <c r="AH408" s="179" t="str">
        <f t="array" ref="AH408">IF($F408&lt;&gt;"", XLOOKUP($F408,Productos!$A$2:$A1001,Productos!AA$2:AA1001,"")*$G408,"")</f>
        <v/>
      </c>
      <c r="AI408" s="179" t="str">
        <f t="array" ref="AI408">IF($F408&lt;&gt;"",XLOOKUP($F408,Productos!$A:$A,Productos!AB:AB,"Revisar"),"")</f>
        <v/>
      </c>
      <c r="AJ408" s="179" t="str">
        <f t="array" ref="AJ408">IF($F408&lt;&gt;"", XLOOKUP($F408,Productos!$A$2:$A1001,Productos!AC$2:AC1001,"")*$G408,"")</f>
        <v/>
      </c>
      <c r="AK408" s="179" t="str">
        <f t="array" ref="AK408">IF($F408&lt;&gt;"",XLOOKUP($F408,Productos!$A:$A,Productos!AD:AD,"Revisar"),"")</f>
        <v/>
      </c>
      <c r="AL408" s="179" t="str">
        <f t="array" ref="AL408">IF($F408&lt;&gt;"", XLOOKUP($F408,Productos!$A$2:$A1001,Productos!AE$2:AE1001,"")*$G408,"")</f>
        <v/>
      </c>
      <c r="AM408" s="179" t="str">
        <f t="array" ref="AM408">IF($F408&lt;&gt;"",XLOOKUP($F408,Productos!$A:$A,Productos!AF:AF,"Revisar"),"")</f>
        <v/>
      </c>
      <c r="AN408" s="179" t="str">
        <f t="array" ref="AN408">IF($F408&lt;&gt;"", XLOOKUP($F408,Productos!$A$2:$A1001,Productos!AG$2:AG1001,"")*$G408,"")</f>
        <v/>
      </c>
      <c r="AO408" s="179" t="str">
        <f t="array" ref="AO408">IF($F408&lt;&gt;"",XLOOKUP($F408,Productos!$A:$A,Productos!AH:AH,"Revisar"),"")</f>
        <v/>
      </c>
      <c r="AP408" s="179" t="str">
        <f t="array" ref="AP408">IF($F408&lt;&gt;"", XLOOKUP($F408,Productos!$A$2:$A1001,Productos!AI$2:AI1001,"")*$G408,"")</f>
        <v/>
      </c>
      <c r="AQ408" s="179" t="str">
        <f t="array" ref="AQ408">IF($F408&lt;&gt;"",XLOOKUP($F408,Productos!$A:$A,Productos!AJ:AJ,"Revisar"),"")</f>
        <v/>
      </c>
      <c r="AR408" s="179" t="str">
        <f t="array" ref="AR408">IF($F408&lt;&gt;"", XLOOKUP($F408,Productos!$A$2:$A1001,Productos!AK$2:AK1001,"")*$G408,"")</f>
        <v/>
      </c>
      <c r="AS408" s="179" t="str">
        <f t="array" ref="AS408">IF($F408&lt;&gt;"",XLOOKUP($F408,Productos!$A:$A,Productos!AL:AL,"Revisar"),"")</f>
        <v/>
      </c>
      <c r="AT408" s="179" t="str">
        <f t="array" ref="AT408">IF($F408&lt;&gt;"", XLOOKUP($F408,Productos!$A$2:$A1001,Productos!AM$2:AM1001,"")*$G408,"")</f>
        <v/>
      </c>
      <c r="AU408" s="179" t="str">
        <f t="array" ref="AU408">IF($F408&lt;&gt;"",XLOOKUP($F408,Productos!$A:$A,Productos!AN:AN,"Revisar"),"")</f>
        <v/>
      </c>
      <c r="AV408" s="179" t="str">
        <f t="array" ref="AV408">IF($F408&lt;&gt;"", XLOOKUP($F408,Productos!$A$2:$A1001,Productos!AO$2:AO1001,"")*$G408,"")</f>
        <v/>
      </c>
      <c r="AW408" s="179" t="str">
        <f t="array" ref="AW408">IF($F408&lt;&gt;"",XLOOKUP($F408,Productos!$A:$A,Productos!AP:AP,"Revisar"),"")</f>
        <v/>
      </c>
      <c r="AX408" s="179" t="str">
        <f t="array" ref="AX408">IF($F408&lt;&gt;"", XLOOKUP($F408,Productos!$A$2:$A1001,Productos!AQ$2:AQ1001,"")*$G408,"")</f>
        <v/>
      </c>
      <c r="AY408" s="179" t="str">
        <f t="array" ref="AY408">IF($F408&lt;&gt;"",XLOOKUP($F408,Productos!$A:$A,Productos!AR:AR,"Revisar"),"")</f>
        <v/>
      </c>
      <c r="AZ408" s="179" t="str">
        <f t="array" ref="AZ408">IF($F408&lt;&gt;"", XLOOKUP($F408,Productos!$A$2:$A1001,Productos!AS$2:AS1001,"")*$G408,"")</f>
        <v/>
      </c>
      <c r="BA408" s="179" t="str">
        <f t="array" ref="BA408">IF($F408&lt;&gt;"",XLOOKUP($F408,Productos!$A:$A,Productos!AT:AT,"Revisar"),"")</f>
        <v/>
      </c>
      <c r="BB408" s="179" t="str">
        <f t="array" ref="BB408">IF($F408&lt;&gt;"", XLOOKUP($F408,Productos!$A$2:$A1001,Productos!AU$2:AU1001,"")*$G408,"")</f>
        <v/>
      </c>
      <c r="BC408" s="179" t="str">
        <f t="array" ref="BC408">IF($F408&lt;&gt;"",XLOOKUP($F408,Productos!$A:$A,Productos!AV:AV,"Revisar"),"")</f>
        <v/>
      </c>
      <c r="BD408" s="179" t="str">
        <f t="array" ref="BD408">IF($F408&lt;&gt;"", XLOOKUP($F408,Productos!$A$2:$A1001,Productos!AW$2:AW1001,"")*$G408,"")</f>
        <v/>
      </c>
      <c r="BE408" s="179" t="str">
        <f t="array" ref="BE408">IF($F408&lt;&gt;"",XLOOKUP($F408,Productos!$A:$A,Productos!AX:AX,"Revisar"),"")</f>
        <v/>
      </c>
      <c r="BF408" s="179" t="str">
        <f t="array" ref="BF408">IF($F408&lt;&gt;"", XLOOKUP($F408,Productos!$A$2:$A1001,Productos!AY$2:AY1001,"")*$G408,"")</f>
        <v/>
      </c>
      <c r="BG408" s="179" t="str">
        <f t="array" ref="BG408">IF($F408&lt;&gt;"",XLOOKUP($F408,Productos!$A:$A,Productos!AZ:AZ,"Revisar"),"")</f>
        <v/>
      </c>
      <c r="BH408" s="179" t="str">
        <f t="array" ref="BH408">IF($F408&lt;&gt;"", XLOOKUP($F408,Productos!$A$2:$A1001,Productos!BA$2:BA1001,"")*$G408,"")</f>
        <v/>
      </c>
      <c r="BI408" s="179" t="str">
        <f t="array" ref="BI408">IF($F408&lt;&gt;"",XLOOKUP($F408,Productos!$A:$A,Productos!BB:BB,"Revisar"),"")</f>
        <v/>
      </c>
      <c r="BJ408" s="179" t="str">
        <f t="array" ref="BJ408">IF($F408&lt;&gt;"", XLOOKUP($F408,Productos!$A$2:$A1001,Productos!BC$2:BC1001,"")*$G408,"")</f>
        <v/>
      </c>
      <c r="BK408" s="179" t="str">
        <f t="array" ref="BK408">IF($F408&lt;&gt;"",XLOOKUP($F408,Productos!$A:$A,Productos!BD:BD,"Revisar"),"")</f>
        <v/>
      </c>
      <c r="BL408" s="179" t="str">
        <f t="array" ref="BL408">IF($F408&lt;&gt;"", XLOOKUP($F408,Productos!$A$2:$A1001,Productos!BE$2:BE1001,"")*$G408,"")</f>
        <v/>
      </c>
      <c r="BM408" s="179" t="str">
        <f t="array" ref="BM408">IF($F408&lt;&gt;"",XLOOKUP($F408,Productos!$A:$A,Productos!BF:BF,"Revisar"),"")</f>
        <v/>
      </c>
      <c r="BN408" s="179" t="str">
        <f t="array" ref="BN408">IF($F408&lt;&gt;"", XLOOKUP($F408,Productos!$A$2:$A1001,Productos!BG$2:BG1001,"")*$G408,"")</f>
        <v/>
      </c>
      <c r="BO408" s="179" t="str">
        <f t="array" ref="BO408">IF($F408&lt;&gt;"",XLOOKUP($F408,Productos!$A:$A,Productos!BH:BH,"Revisar"),"")</f>
        <v/>
      </c>
      <c r="BP408" s="179" t="str">
        <f t="array" ref="BP408">IF($F408&lt;&gt;"", XLOOKUP($F408,Productos!$A$2:$A1001,Productos!BI$2:BI1001,"")*$G408,"")</f>
        <v/>
      </c>
      <c r="BQ408" s="179" t="str">
        <f t="array" ref="BQ408">IF($F408&lt;&gt;"",XLOOKUP($F408,Productos!$A:$A,Productos!BJ:BJ,"Revisar"),"")</f>
        <v/>
      </c>
      <c r="BR408" s="179" t="str">
        <f t="array" ref="BR408">IF($F408&lt;&gt;"", XLOOKUP($F408,Productos!$A$2:$A1001,Productos!BK$2:BK1001,"")*$G408,"")</f>
        <v/>
      </c>
      <c r="BS408" s="179" t="str">
        <f t="array" ref="BS408">IF($F408&lt;&gt;"",XLOOKUP($F408,Productos!$A:$A,Productos!BL:BL,"Revisar"),"")</f>
        <v/>
      </c>
      <c r="BT408" s="179" t="str">
        <f t="array" ref="BT408">IF($F408&lt;&gt;"", XLOOKUP($F408,Productos!$A$2:$A1001,Productos!BM$2:BM1001,"")*$G408,"")</f>
        <v/>
      </c>
      <c r="BU408" s="179" t="str">
        <f t="array" ref="BU408">IF($F408&lt;&gt;"",XLOOKUP($F408,Productos!$A:$A,Productos!BN:BN,"Revisar"),"")</f>
        <v/>
      </c>
      <c r="BV408" s="179" t="str">
        <f t="array" ref="BV408">IF($F408&lt;&gt;"", XLOOKUP($F408,Productos!$A$2:$A1001,Productos!BO$2:BO1001,"")*$G408,"")</f>
        <v/>
      </c>
      <c r="BW408" s="179" t="str">
        <f t="array" ref="BW408">IF($F408&lt;&gt;"",XLOOKUP($F408,Productos!$A:$A,Productos!BP:BP,"Revisar"),"")</f>
        <v/>
      </c>
      <c r="BX408" s="179" t="str">
        <f t="array" ref="BX408">IF($F408&lt;&gt;"", XLOOKUP($F408,Productos!$A$2:$A1001,Productos!BQ$2:BQ1001,"")*$G408,"")</f>
        <v/>
      </c>
      <c r="BY408" s="179" t="str">
        <f t="array" ref="BY408">IF($F408&lt;&gt;"",XLOOKUP($F408,Productos!$A:$A,Productos!BR:BR,"Revisar"),"")</f>
        <v/>
      </c>
      <c r="BZ408" s="179" t="str">
        <f t="array" ref="BZ408">IF($F408&lt;&gt;"", XLOOKUP($F408,Productos!$A$2:$A1001,Productos!BS$2:BS1001,"")*$G408,"")</f>
        <v/>
      </c>
    </row>
    <row r="409">
      <c r="A409" s="188"/>
      <c r="B409" s="189"/>
      <c r="C409" s="190"/>
      <c r="D409" s="190"/>
      <c r="E409" s="191"/>
      <c r="F409" s="186"/>
      <c r="G409" s="192"/>
      <c r="H409" s="9"/>
      <c r="I409" s="179" t="str">
        <f t="array" ref="I409">IF($F409&lt;&gt;"",XLOOKUP($F409,Productos!$A:$A,Productos!B:B,"Revisar"),"")</f>
        <v/>
      </c>
      <c r="J409" s="179" t="str">
        <f t="array" ref="J409">IF($F409&lt;&gt;"", XLOOKUP($F409,Productos!$A$2:$A1001,Productos!C$2:C1001,"")*$G409,"")</f>
        <v/>
      </c>
      <c r="K409" s="179" t="str">
        <f t="array" ref="K409">IF($F409&lt;&gt;"",XLOOKUP($F409,Productos!$A:$A,Productos!D:D,"Revisar"),"")</f>
        <v/>
      </c>
      <c r="L409" s="179" t="str">
        <f t="array" ref="L409">IF($F409&lt;&gt;"", XLOOKUP($F409,Productos!$A$2:$A1001,Productos!E$2:E1001,"")*$G409,"")</f>
        <v/>
      </c>
      <c r="M409" s="179" t="str">
        <f t="array" ref="M409">IF($F409&lt;&gt;"",XLOOKUP($F409,Productos!$A:$A,Productos!F:F,"Revisar"),"")</f>
        <v/>
      </c>
      <c r="N409" s="179" t="str">
        <f t="array" ref="N409">IF($F409&lt;&gt;"", XLOOKUP($F409,Productos!$A$2:$A1001,Productos!G$2:G1001,"")*$G409,"")</f>
        <v/>
      </c>
      <c r="O409" s="179" t="str">
        <f t="array" ref="O409">IF($F409&lt;&gt;"",XLOOKUP($F409,Productos!$A:$A,Productos!H:H,"Revisar"),"")</f>
        <v/>
      </c>
      <c r="P409" s="179" t="str">
        <f t="array" ref="P409">IF($F409&lt;&gt;"", XLOOKUP($F409,Productos!$A$2:$A1001,Productos!I$2:I1001,"")*$G409,"")</f>
        <v/>
      </c>
      <c r="Q409" s="179" t="str">
        <f t="array" ref="Q409">IF($F409&lt;&gt;"",XLOOKUP($F409,Productos!$A:$A,Productos!J:J,"Revisar"),"")</f>
        <v/>
      </c>
      <c r="R409" s="179" t="str">
        <f t="array" ref="R409">IF($F409&lt;&gt;"", XLOOKUP($F409,Productos!$A$2:$A1001,Productos!K$2:K1001,"")*$G409,"")</f>
        <v/>
      </c>
      <c r="S409" s="179" t="str">
        <f t="array" ref="S409">IF($F409&lt;&gt;"",XLOOKUP($F409,Productos!$A:$A,Productos!L:L,"Revisar"),"")</f>
        <v/>
      </c>
      <c r="T409" s="179" t="str">
        <f t="array" ref="T409">IF($F409&lt;&gt;"", XLOOKUP($F409,Productos!$A$2:$A1001,Productos!M$2:M1001,"")*$G409,"")</f>
        <v/>
      </c>
      <c r="U409" s="179" t="str">
        <f t="array" ref="U409">IF($F409&lt;&gt;"",XLOOKUP($F409,Productos!$A:$A,Productos!N:N,"Revisar"),"")</f>
        <v/>
      </c>
      <c r="V409" s="179" t="str">
        <f t="array" ref="V409">IF($F409&lt;&gt;"", XLOOKUP($F409,Productos!$A$2:$A1001,Productos!O$2:O1001,"")*$G409,"")</f>
        <v/>
      </c>
      <c r="W409" s="179" t="str">
        <f t="array" ref="W409">IF($F409&lt;&gt;"",XLOOKUP($F409,Productos!$A:$A,Productos!P:P,"Revisar"),"")</f>
        <v/>
      </c>
      <c r="X409" s="179" t="str">
        <f t="array" ref="X409">IF($F409&lt;&gt;"", XLOOKUP($F409,Productos!$A$2:$A1001,Productos!Q$2:Q1001,"")*$G409,"")</f>
        <v/>
      </c>
      <c r="Y409" s="179" t="str">
        <f t="array" ref="Y409">IF($F409&lt;&gt;"",XLOOKUP($F409,Productos!$A:$A,Productos!R:R,"Revisar"),"")</f>
        <v/>
      </c>
      <c r="Z409" s="179" t="str">
        <f t="array" ref="Z409">IF($F409&lt;&gt;"", XLOOKUP($F409,Productos!$A$2:$A1001,Productos!S$2:S1001,"")*$G409,"")</f>
        <v/>
      </c>
      <c r="AA409" s="179" t="str">
        <f t="array" ref="AA409">IF($F409&lt;&gt;"",XLOOKUP($F409,Productos!$A:$A,Productos!T:T,"Revisar"),"")</f>
        <v/>
      </c>
      <c r="AB409" s="179" t="str">
        <f t="array" ref="AB409">IF($F409&lt;&gt;"", XLOOKUP($F409,Productos!$A$2:$A1001,Productos!U$2:U1001,"")*$G409,"")</f>
        <v/>
      </c>
      <c r="AC409" s="179" t="str">
        <f t="array" ref="AC409">IF($F409&lt;&gt;"",XLOOKUP($F409,Productos!$A:$A,Productos!V:V,"Revisar"),"")</f>
        <v/>
      </c>
      <c r="AD409" s="179" t="str">
        <f t="array" ref="AD409">IF($F409&lt;&gt;"", XLOOKUP($F409,Productos!$A$2:$A1001,Productos!W$2:W1001,"")*$G409,"")</f>
        <v/>
      </c>
      <c r="AE409" s="179" t="str">
        <f t="array" ref="AE409">IF($F409&lt;&gt;"",XLOOKUP($F409,Productos!$A:$A,Productos!X:X,"Revisar"),"")</f>
        <v/>
      </c>
      <c r="AF409" s="179" t="str">
        <f t="array" ref="AF409">IF($F409&lt;&gt;"", XLOOKUP($F409,Productos!$A$2:$A1001,Productos!Y$2:Y1001,"")*$G409,"")</f>
        <v/>
      </c>
      <c r="AG409" s="179" t="str">
        <f t="array" ref="AG409">IF($F409&lt;&gt;"",XLOOKUP($F409,Productos!$A:$A,Productos!Z:Z,"Revisar"),"")</f>
        <v/>
      </c>
      <c r="AH409" s="179" t="str">
        <f t="array" ref="AH409">IF($F409&lt;&gt;"", XLOOKUP($F409,Productos!$A$2:$A1001,Productos!AA$2:AA1001,"")*$G409,"")</f>
        <v/>
      </c>
      <c r="AI409" s="179" t="str">
        <f t="array" ref="AI409">IF($F409&lt;&gt;"",XLOOKUP($F409,Productos!$A:$A,Productos!AB:AB,"Revisar"),"")</f>
        <v/>
      </c>
      <c r="AJ409" s="179" t="str">
        <f t="array" ref="AJ409">IF($F409&lt;&gt;"", XLOOKUP($F409,Productos!$A$2:$A1001,Productos!AC$2:AC1001,"")*$G409,"")</f>
        <v/>
      </c>
      <c r="AK409" s="179" t="str">
        <f t="array" ref="AK409">IF($F409&lt;&gt;"",XLOOKUP($F409,Productos!$A:$A,Productos!AD:AD,"Revisar"),"")</f>
        <v/>
      </c>
      <c r="AL409" s="179" t="str">
        <f t="array" ref="AL409">IF($F409&lt;&gt;"", XLOOKUP($F409,Productos!$A$2:$A1001,Productos!AE$2:AE1001,"")*$G409,"")</f>
        <v/>
      </c>
      <c r="AM409" s="179" t="str">
        <f t="array" ref="AM409">IF($F409&lt;&gt;"",XLOOKUP($F409,Productos!$A:$A,Productos!AF:AF,"Revisar"),"")</f>
        <v/>
      </c>
      <c r="AN409" s="179" t="str">
        <f t="array" ref="AN409">IF($F409&lt;&gt;"", XLOOKUP($F409,Productos!$A$2:$A1001,Productos!AG$2:AG1001,"")*$G409,"")</f>
        <v/>
      </c>
      <c r="AO409" s="179" t="str">
        <f t="array" ref="AO409">IF($F409&lt;&gt;"",XLOOKUP($F409,Productos!$A:$A,Productos!AH:AH,"Revisar"),"")</f>
        <v/>
      </c>
      <c r="AP409" s="179" t="str">
        <f t="array" ref="AP409">IF($F409&lt;&gt;"", XLOOKUP($F409,Productos!$A$2:$A1001,Productos!AI$2:AI1001,"")*$G409,"")</f>
        <v/>
      </c>
      <c r="AQ409" s="179" t="str">
        <f t="array" ref="AQ409">IF($F409&lt;&gt;"",XLOOKUP($F409,Productos!$A:$A,Productos!AJ:AJ,"Revisar"),"")</f>
        <v/>
      </c>
      <c r="AR409" s="179" t="str">
        <f t="array" ref="AR409">IF($F409&lt;&gt;"", XLOOKUP($F409,Productos!$A$2:$A1001,Productos!AK$2:AK1001,"")*$G409,"")</f>
        <v/>
      </c>
      <c r="AS409" s="179" t="str">
        <f t="array" ref="AS409">IF($F409&lt;&gt;"",XLOOKUP($F409,Productos!$A:$A,Productos!AL:AL,"Revisar"),"")</f>
        <v/>
      </c>
      <c r="AT409" s="179" t="str">
        <f t="array" ref="AT409">IF($F409&lt;&gt;"", XLOOKUP($F409,Productos!$A$2:$A1001,Productos!AM$2:AM1001,"")*$G409,"")</f>
        <v/>
      </c>
      <c r="AU409" s="179" t="str">
        <f t="array" ref="AU409">IF($F409&lt;&gt;"",XLOOKUP($F409,Productos!$A:$A,Productos!AN:AN,"Revisar"),"")</f>
        <v/>
      </c>
      <c r="AV409" s="179" t="str">
        <f t="array" ref="AV409">IF($F409&lt;&gt;"", XLOOKUP($F409,Productos!$A$2:$A1001,Productos!AO$2:AO1001,"")*$G409,"")</f>
        <v/>
      </c>
      <c r="AW409" s="179" t="str">
        <f t="array" ref="AW409">IF($F409&lt;&gt;"",XLOOKUP($F409,Productos!$A:$A,Productos!AP:AP,"Revisar"),"")</f>
        <v/>
      </c>
      <c r="AX409" s="179" t="str">
        <f t="array" ref="AX409">IF($F409&lt;&gt;"", XLOOKUP($F409,Productos!$A$2:$A1001,Productos!AQ$2:AQ1001,"")*$G409,"")</f>
        <v/>
      </c>
      <c r="AY409" s="179" t="str">
        <f t="array" ref="AY409">IF($F409&lt;&gt;"",XLOOKUP($F409,Productos!$A:$A,Productos!AR:AR,"Revisar"),"")</f>
        <v/>
      </c>
      <c r="AZ409" s="179" t="str">
        <f t="array" ref="AZ409">IF($F409&lt;&gt;"", XLOOKUP($F409,Productos!$A$2:$A1001,Productos!AS$2:AS1001,"")*$G409,"")</f>
        <v/>
      </c>
      <c r="BA409" s="179" t="str">
        <f t="array" ref="BA409">IF($F409&lt;&gt;"",XLOOKUP($F409,Productos!$A:$A,Productos!AT:AT,"Revisar"),"")</f>
        <v/>
      </c>
      <c r="BB409" s="179" t="str">
        <f t="array" ref="BB409">IF($F409&lt;&gt;"", XLOOKUP($F409,Productos!$A$2:$A1001,Productos!AU$2:AU1001,"")*$G409,"")</f>
        <v/>
      </c>
      <c r="BC409" s="179" t="str">
        <f t="array" ref="BC409">IF($F409&lt;&gt;"",XLOOKUP($F409,Productos!$A:$A,Productos!AV:AV,"Revisar"),"")</f>
        <v/>
      </c>
      <c r="BD409" s="179" t="str">
        <f t="array" ref="BD409">IF($F409&lt;&gt;"", XLOOKUP($F409,Productos!$A$2:$A1001,Productos!AW$2:AW1001,"")*$G409,"")</f>
        <v/>
      </c>
      <c r="BE409" s="179" t="str">
        <f t="array" ref="BE409">IF($F409&lt;&gt;"",XLOOKUP($F409,Productos!$A:$A,Productos!AX:AX,"Revisar"),"")</f>
        <v/>
      </c>
      <c r="BF409" s="179" t="str">
        <f t="array" ref="BF409">IF($F409&lt;&gt;"", XLOOKUP($F409,Productos!$A$2:$A1001,Productos!AY$2:AY1001,"")*$G409,"")</f>
        <v/>
      </c>
      <c r="BG409" s="179" t="str">
        <f t="array" ref="BG409">IF($F409&lt;&gt;"",XLOOKUP($F409,Productos!$A:$A,Productos!AZ:AZ,"Revisar"),"")</f>
        <v/>
      </c>
      <c r="BH409" s="179" t="str">
        <f t="array" ref="BH409">IF($F409&lt;&gt;"", XLOOKUP($F409,Productos!$A$2:$A1001,Productos!BA$2:BA1001,"")*$G409,"")</f>
        <v/>
      </c>
      <c r="BI409" s="179" t="str">
        <f t="array" ref="BI409">IF($F409&lt;&gt;"",XLOOKUP($F409,Productos!$A:$A,Productos!BB:BB,"Revisar"),"")</f>
        <v/>
      </c>
      <c r="BJ409" s="179" t="str">
        <f t="array" ref="BJ409">IF($F409&lt;&gt;"", XLOOKUP($F409,Productos!$A$2:$A1001,Productos!BC$2:BC1001,"")*$G409,"")</f>
        <v/>
      </c>
      <c r="BK409" s="179" t="str">
        <f t="array" ref="BK409">IF($F409&lt;&gt;"",XLOOKUP($F409,Productos!$A:$A,Productos!BD:BD,"Revisar"),"")</f>
        <v/>
      </c>
      <c r="BL409" s="179" t="str">
        <f t="array" ref="BL409">IF($F409&lt;&gt;"", XLOOKUP($F409,Productos!$A$2:$A1001,Productos!BE$2:BE1001,"")*$G409,"")</f>
        <v/>
      </c>
      <c r="BM409" s="179" t="str">
        <f t="array" ref="BM409">IF($F409&lt;&gt;"",XLOOKUP($F409,Productos!$A:$A,Productos!BF:BF,"Revisar"),"")</f>
        <v/>
      </c>
      <c r="BN409" s="179" t="str">
        <f t="array" ref="BN409">IF($F409&lt;&gt;"", XLOOKUP($F409,Productos!$A$2:$A1001,Productos!BG$2:BG1001,"")*$G409,"")</f>
        <v/>
      </c>
      <c r="BO409" s="179" t="str">
        <f t="array" ref="BO409">IF($F409&lt;&gt;"",XLOOKUP($F409,Productos!$A:$A,Productos!BH:BH,"Revisar"),"")</f>
        <v/>
      </c>
      <c r="BP409" s="179" t="str">
        <f t="array" ref="BP409">IF($F409&lt;&gt;"", XLOOKUP($F409,Productos!$A$2:$A1001,Productos!BI$2:BI1001,"")*$G409,"")</f>
        <v/>
      </c>
      <c r="BQ409" s="179" t="str">
        <f t="array" ref="BQ409">IF($F409&lt;&gt;"",XLOOKUP($F409,Productos!$A:$A,Productos!BJ:BJ,"Revisar"),"")</f>
        <v/>
      </c>
      <c r="BR409" s="179" t="str">
        <f t="array" ref="BR409">IF($F409&lt;&gt;"", XLOOKUP($F409,Productos!$A$2:$A1001,Productos!BK$2:BK1001,"")*$G409,"")</f>
        <v/>
      </c>
      <c r="BS409" s="179" t="str">
        <f t="array" ref="BS409">IF($F409&lt;&gt;"",XLOOKUP($F409,Productos!$A:$A,Productos!BL:BL,"Revisar"),"")</f>
        <v/>
      </c>
      <c r="BT409" s="179" t="str">
        <f t="array" ref="BT409">IF($F409&lt;&gt;"", XLOOKUP($F409,Productos!$A$2:$A1001,Productos!BM$2:BM1001,"")*$G409,"")</f>
        <v/>
      </c>
      <c r="BU409" s="179" t="str">
        <f t="array" ref="BU409">IF($F409&lt;&gt;"",XLOOKUP($F409,Productos!$A:$A,Productos!BN:BN,"Revisar"),"")</f>
        <v/>
      </c>
      <c r="BV409" s="179" t="str">
        <f t="array" ref="BV409">IF($F409&lt;&gt;"", XLOOKUP($F409,Productos!$A$2:$A1001,Productos!BO$2:BO1001,"")*$G409,"")</f>
        <v/>
      </c>
      <c r="BW409" s="179" t="str">
        <f t="array" ref="BW409">IF($F409&lt;&gt;"",XLOOKUP($F409,Productos!$A:$A,Productos!BP:BP,"Revisar"),"")</f>
        <v/>
      </c>
      <c r="BX409" s="179" t="str">
        <f t="array" ref="BX409">IF($F409&lt;&gt;"", XLOOKUP($F409,Productos!$A$2:$A1001,Productos!BQ$2:BQ1001,"")*$G409,"")</f>
        <v/>
      </c>
      <c r="BY409" s="179" t="str">
        <f t="array" ref="BY409">IF($F409&lt;&gt;"",XLOOKUP($F409,Productos!$A:$A,Productos!BR:BR,"Revisar"),"")</f>
        <v/>
      </c>
      <c r="BZ409" s="179" t="str">
        <f t="array" ref="BZ409">IF($F409&lt;&gt;"", XLOOKUP($F409,Productos!$A$2:$A1001,Productos!BS$2:BS1001,"")*$G409,"")</f>
        <v/>
      </c>
    </row>
    <row r="410">
      <c r="A410" s="188"/>
      <c r="B410" s="189"/>
      <c r="C410" s="190"/>
      <c r="D410" s="190"/>
      <c r="E410" s="191"/>
      <c r="F410" s="186"/>
      <c r="G410" s="192"/>
      <c r="H410" s="9"/>
      <c r="I410" s="179" t="str">
        <f t="array" ref="I410">IF($F410&lt;&gt;"",XLOOKUP($F410,Productos!$A:$A,Productos!B:B,"Revisar"),"")</f>
        <v/>
      </c>
      <c r="J410" s="179" t="str">
        <f t="array" ref="J410">IF($F410&lt;&gt;"", XLOOKUP($F410,Productos!$A$2:$A1001,Productos!C$2:C1001,"")*$G410,"")</f>
        <v/>
      </c>
      <c r="K410" s="179" t="str">
        <f t="array" ref="K410">IF($F410&lt;&gt;"",XLOOKUP($F410,Productos!$A:$A,Productos!D:D,"Revisar"),"")</f>
        <v/>
      </c>
      <c r="L410" s="179" t="str">
        <f t="array" ref="L410">IF($F410&lt;&gt;"", XLOOKUP($F410,Productos!$A$2:$A1001,Productos!E$2:E1001,"")*$G410,"")</f>
        <v/>
      </c>
      <c r="M410" s="179" t="str">
        <f t="array" ref="M410">IF($F410&lt;&gt;"",XLOOKUP($F410,Productos!$A:$A,Productos!F:F,"Revisar"),"")</f>
        <v/>
      </c>
      <c r="N410" s="179" t="str">
        <f t="array" ref="N410">IF($F410&lt;&gt;"", XLOOKUP($F410,Productos!$A$2:$A1001,Productos!G$2:G1001,"")*$G410,"")</f>
        <v/>
      </c>
      <c r="O410" s="179" t="str">
        <f t="array" ref="O410">IF($F410&lt;&gt;"",XLOOKUP($F410,Productos!$A:$A,Productos!H:H,"Revisar"),"")</f>
        <v/>
      </c>
      <c r="P410" s="179" t="str">
        <f t="array" ref="P410">IF($F410&lt;&gt;"", XLOOKUP($F410,Productos!$A$2:$A1001,Productos!I$2:I1001,"")*$G410,"")</f>
        <v/>
      </c>
      <c r="Q410" s="179" t="str">
        <f t="array" ref="Q410">IF($F410&lt;&gt;"",XLOOKUP($F410,Productos!$A:$A,Productos!J:J,"Revisar"),"")</f>
        <v/>
      </c>
      <c r="R410" s="179" t="str">
        <f t="array" ref="R410">IF($F410&lt;&gt;"", XLOOKUP($F410,Productos!$A$2:$A1001,Productos!K$2:K1001,"")*$G410,"")</f>
        <v/>
      </c>
      <c r="S410" s="179" t="str">
        <f t="array" ref="S410">IF($F410&lt;&gt;"",XLOOKUP($F410,Productos!$A:$A,Productos!L:L,"Revisar"),"")</f>
        <v/>
      </c>
      <c r="T410" s="179" t="str">
        <f t="array" ref="T410">IF($F410&lt;&gt;"", XLOOKUP($F410,Productos!$A$2:$A1001,Productos!M$2:M1001,"")*$G410,"")</f>
        <v/>
      </c>
      <c r="U410" s="179" t="str">
        <f t="array" ref="U410">IF($F410&lt;&gt;"",XLOOKUP($F410,Productos!$A:$A,Productos!N:N,"Revisar"),"")</f>
        <v/>
      </c>
      <c r="V410" s="179" t="str">
        <f t="array" ref="V410">IF($F410&lt;&gt;"", XLOOKUP($F410,Productos!$A$2:$A1001,Productos!O$2:O1001,"")*$G410,"")</f>
        <v/>
      </c>
      <c r="W410" s="179" t="str">
        <f t="array" ref="W410">IF($F410&lt;&gt;"",XLOOKUP($F410,Productos!$A:$A,Productos!P:P,"Revisar"),"")</f>
        <v/>
      </c>
      <c r="X410" s="179" t="str">
        <f t="array" ref="X410">IF($F410&lt;&gt;"", XLOOKUP($F410,Productos!$A$2:$A1001,Productos!Q$2:Q1001,"")*$G410,"")</f>
        <v/>
      </c>
      <c r="Y410" s="179" t="str">
        <f t="array" ref="Y410">IF($F410&lt;&gt;"",XLOOKUP($F410,Productos!$A:$A,Productos!R:R,"Revisar"),"")</f>
        <v/>
      </c>
      <c r="Z410" s="179" t="str">
        <f t="array" ref="Z410">IF($F410&lt;&gt;"", XLOOKUP($F410,Productos!$A$2:$A1001,Productos!S$2:S1001,"")*$G410,"")</f>
        <v/>
      </c>
      <c r="AA410" s="179" t="str">
        <f t="array" ref="AA410">IF($F410&lt;&gt;"",XLOOKUP($F410,Productos!$A:$A,Productos!T:T,"Revisar"),"")</f>
        <v/>
      </c>
      <c r="AB410" s="179" t="str">
        <f t="array" ref="AB410">IF($F410&lt;&gt;"", XLOOKUP($F410,Productos!$A$2:$A1001,Productos!U$2:U1001,"")*$G410,"")</f>
        <v/>
      </c>
      <c r="AC410" s="179" t="str">
        <f t="array" ref="AC410">IF($F410&lt;&gt;"",XLOOKUP($F410,Productos!$A:$A,Productos!V:V,"Revisar"),"")</f>
        <v/>
      </c>
      <c r="AD410" s="179" t="str">
        <f t="array" ref="AD410">IF($F410&lt;&gt;"", XLOOKUP($F410,Productos!$A$2:$A1001,Productos!W$2:W1001,"")*$G410,"")</f>
        <v/>
      </c>
      <c r="AE410" s="179" t="str">
        <f t="array" ref="AE410">IF($F410&lt;&gt;"",XLOOKUP($F410,Productos!$A:$A,Productos!X:X,"Revisar"),"")</f>
        <v/>
      </c>
      <c r="AF410" s="179" t="str">
        <f t="array" ref="AF410">IF($F410&lt;&gt;"", XLOOKUP($F410,Productos!$A$2:$A1001,Productos!Y$2:Y1001,"")*$G410,"")</f>
        <v/>
      </c>
      <c r="AG410" s="179" t="str">
        <f t="array" ref="AG410">IF($F410&lt;&gt;"",XLOOKUP($F410,Productos!$A:$A,Productos!Z:Z,"Revisar"),"")</f>
        <v/>
      </c>
      <c r="AH410" s="179" t="str">
        <f t="array" ref="AH410">IF($F410&lt;&gt;"", XLOOKUP($F410,Productos!$A$2:$A1001,Productos!AA$2:AA1001,"")*$G410,"")</f>
        <v/>
      </c>
      <c r="AI410" s="179" t="str">
        <f t="array" ref="AI410">IF($F410&lt;&gt;"",XLOOKUP($F410,Productos!$A:$A,Productos!AB:AB,"Revisar"),"")</f>
        <v/>
      </c>
      <c r="AJ410" s="179" t="str">
        <f t="array" ref="AJ410">IF($F410&lt;&gt;"", XLOOKUP($F410,Productos!$A$2:$A1001,Productos!AC$2:AC1001,"")*$G410,"")</f>
        <v/>
      </c>
      <c r="AK410" s="179" t="str">
        <f t="array" ref="AK410">IF($F410&lt;&gt;"",XLOOKUP($F410,Productos!$A:$A,Productos!AD:AD,"Revisar"),"")</f>
        <v/>
      </c>
      <c r="AL410" s="179" t="str">
        <f t="array" ref="AL410">IF($F410&lt;&gt;"", XLOOKUP($F410,Productos!$A$2:$A1001,Productos!AE$2:AE1001,"")*$G410,"")</f>
        <v/>
      </c>
      <c r="AM410" s="179" t="str">
        <f t="array" ref="AM410">IF($F410&lt;&gt;"",XLOOKUP($F410,Productos!$A:$A,Productos!AF:AF,"Revisar"),"")</f>
        <v/>
      </c>
      <c r="AN410" s="179" t="str">
        <f t="array" ref="AN410">IF($F410&lt;&gt;"", XLOOKUP($F410,Productos!$A$2:$A1001,Productos!AG$2:AG1001,"")*$G410,"")</f>
        <v/>
      </c>
      <c r="AO410" s="179" t="str">
        <f t="array" ref="AO410">IF($F410&lt;&gt;"",XLOOKUP($F410,Productos!$A:$A,Productos!AH:AH,"Revisar"),"")</f>
        <v/>
      </c>
      <c r="AP410" s="179" t="str">
        <f t="array" ref="AP410">IF($F410&lt;&gt;"", XLOOKUP($F410,Productos!$A$2:$A1001,Productos!AI$2:AI1001,"")*$G410,"")</f>
        <v/>
      </c>
      <c r="AQ410" s="179" t="str">
        <f t="array" ref="AQ410">IF($F410&lt;&gt;"",XLOOKUP($F410,Productos!$A:$A,Productos!AJ:AJ,"Revisar"),"")</f>
        <v/>
      </c>
      <c r="AR410" s="179" t="str">
        <f t="array" ref="AR410">IF($F410&lt;&gt;"", XLOOKUP($F410,Productos!$A$2:$A1001,Productos!AK$2:AK1001,"")*$G410,"")</f>
        <v/>
      </c>
      <c r="AS410" s="179" t="str">
        <f t="array" ref="AS410">IF($F410&lt;&gt;"",XLOOKUP($F410,Productos!$A:$A,Productos!AL:AL,"Revisar"),"")</f>
        <v/>
      </c>
      <c r="AT410" s="179" t="str">
        <f t="array" ref="AT410">IF($F410&lt;&gt;"", XLOOKUP($F410,Productos!$A$2:$A1001,Productos!AM$2:AM1001,"")*$G410,"")</f>
        <v/>
      </c>
      <c r="AU410" s="179" t="str">
        <f t="array" ref="AU410">IF($F410&lt;&gt;"",XLOOKUP($F410,Productos!$A:$A,Productos!AN:AN,"Revisar"),"")</f>
        <v/>
      </c>
      <c r="AV410" s="179" t="str">
        <f t="array" ref="AV410">IF($F410&lt;&gt;"", XLOOKUP($F410,Productos!$A$2:$A1001,Productos!AO$2:AO1001,"")*$G410,"")</f>
        <v/>
      </c>
      <c r="AW410" s="179" t="str">
        <f t="array" ref="AW410">IF($F410&lt;&gt;"",XLOOKUP($F410,Productos!$A:$A,Productos!AP:AP,"Revisar"),"")</f>
        <v/>
      </c>
      <c r="AX410" s="179" t="str">
        <f t="array" ref="AX410">IF($F410&lt;&gt;"", XLOOKUP($F410,Productos!$A$2:$A1001,Productos!AQ$2:AQ1001,"")*$G410,"")</f>
        <v/>
      </c>
      <c r="AY410" s="179" t="str">
        <f t="array" ref="AY410">IF($F410&lt;&gt;"",XLOOKUP($F410,Productos!$A:$A,Productos!AR:AR,"Revisar"),"")</f>
        <v/>
      </c>
      <c r="AZ410" s="179" t="str">
        <f t="array" ref="AZ410">IF($F410&lt;&gt;"", XLOOKUP($F410,Productos!$A$2:$A1001,Productos!AS$2:AS1001,"")*$G410,"")</f>
        <v/>
      </c>
      <c r="BA410" s="179" t="str">
        <f t="array" ref="BA410">IF($F410&lt;&gt;"",XLOOKUP($F410,Productos!$A:$A,Productos!AT:AT,"Revisar"),"")</f>
        <v/>
      </c>
      <c r="BB410" s="179" t="str">
        <f t="array" ref="BB410">IF($F410&lt;&gt;"", XLOOKUP($F410,Productos!$A$2:$A1001,Productos!AU$2:AU1001,"")*$G410,"")</f>
        <v/>
      </c>
      <c r="BC410" s="179" t="str">
        <f t="array" ref="BC410">IF($F410&lt;&gt;"",XLOOKUP($F410,Productos!$A:$A,Productos!AV:AV,"Revisar"),"")</f>
        <v/>
      </c>
      <c r="BD410" s="179" t="str">
        <f t="array" ref="BD410">IF($F410&lt;&gt;"", XLOOKUP($F410,Productos!$A$2:$A1001,Productos!AW$2:AW1001,"")*$G410,"")</f>
        <v/>
      </c>
      <c r="BE410" s="179" t="str">
        <f t="array" ref="BE410">IF($F410&lt;&gt;"",XLOOKUP($F410,Productos!$A:$A,Productos!AX:AX,"Revisar"),"")</f>
        <v/>
      </c>
      <c r="BF410" s="179" t="str">
        <f t="array" ref="BF410">IF($F410&lt;&gt;"", XLOOKUP($F410,Productos!$A$2:$A1001,Productos!AY$2:AY1001,"")*$G410,"")</f>
        <v/>
      </c>
      <c r="BG410" s="179" t="str">
        <f t="array" ref="BG410">IF($F410&lt;&gt;"",XLOOKUP($F410,Productos!$A:$A,Productos!AZ:AZ,"Revisar"),"")</f>
        <v/>
      </c>
      <c r="BH410" s="179" t="str">
        <f t="array" ref="BH410">IF($F410&lt;&gt;"", XLOOKUP($F410,Productos!$A$2:$A1001,Productos!BA$2:BA1001,"")*$G410,"")</f>
        <v/>
      </c>
      <c r="BI410" s="179" t="str">
        <f t="array" ref="BI410">IF($F410&lt;&gt;"",XLOOKUP($F410,Productos!$A:$A,Productos!BB:BB,"Revisar"),"")</f>
        <v/>
      </c>
      <c r="BJ410" s="179" t="str">
        <f t="array" ref="BJ410">IF($F410&lt;&gt;"", XLOOKUP($F410,Productos!$A$2:$A1001,Productos!BC$2:BC1001,"")*$G410,"")</f>
        <v/>
      </c>
      <c r="BK410" s="179" t="str">
        <f t="array" ref="BK410">IF($F410&lt;&gt;"",XLOOKUP($F410,Productos!$A:$A,Productos!BD:BD,"Revisar"),"")</f>
        <v/>
      </c>
      <c r="BL410" s="179" t="str">
        <f t="array" ref="BL410">IF($F410&lt;&gt;"", XLOOKUP($F410,Productos!$A$2:$A1001,Productos!BE$2:BE1001,"")*$G410,"")</f>
        <v/>
      </c>
      <c r="BM410" s="179" t="str">
        <f t="array" ref="BM410">IF($F410&lt;&gt;"",XLOOKUP($F410,Productos!$A:$A,Productos!BF:BF,"Revisar"),"")</f>
        <v/>
      </c>
      <c r="BN410" s="179" t="str">
        <f t="array" ref="BN410">IF($F410&lt;&gt;"", XLOOKUP($F410,Productos!$A$2:$A1001,Productos!BG$2:BG1001,"")*$G410,"")</f>
        <v/>
      </c>
      <c r="BO410" s="179" t="str">
        <f t="array" ref="BO410">IF($F410&lt;&gt;"",XLOOKUP($F410,Productos!$A:$A,Productos!BH:BH,"Revisar"),"")</f>
        <v/>
      </c>
      <c r="BP410" s="179" t="str">
        <f t="array" ref="BP410">IF($F410&lt;&gt;"", XLOOKUP($F410,Productos!$A$2:$A1001,Productos!BI$2:BI1001,"")*$G410,"")</f>
        <v/>
      </c>
      <c r="BQ410" s="179" t="str">
        <f t="array" ref="BQ410">IF($F410&lt;&gt;"",XLOOKUP($F410,Productos!$A:$A,Productos!BJ:BJ,"Revisar"),"")</f>
        <v/>
      </c>
      <c r="BR410" s="179" t="str">
        <f t="array" ref="BR410">IF($F410&lt;&gt;"", XLOOKUP($F410,Productos!$A$2:$A1001,Productos!BK$2:BK1001,"")*$G410,"")</f>
        <v/>
      </c>
      <c r="BS410" s="179" t="str">
        <f t="array" ref="BS410">IF($F410&lt;&gt;"",XLOOKUP($F410,Productos!$A:$A,Productos!BL:BL,"Revisar"),"")</f>
        <v/>
      </c>
      <c r="BT410" s="179" t="str">
        <f t="array" ref="BT410">IF($F410&lt;&gt;"", XLOOKUP($F410,Productos!$A$2:$A1001,Productos!BM$2:BM1001,"")*$G410,"")</f>
        <v/>
      </c>
      <c r="BU410" s="179" t="str">
        <f t="array" ref="BU410">IF($F410&lt;&gt;"",XLOOKUP($F410,Productos!$A:$A,Productos!BN:BN,"Revisar"),"")</f>
        <v/>
      </c>
      <c r="BV410" s="179" t="str">
        <f t="array" ref="BV410">IF($F410&lt;&gt;"", XLOOKUP($F410,Productos!$A$2:$A1001,Productos!BO$2:BO1001,"")*$G410,"")</f>
        <v/>
      </c>
      <c r="BW410" s="179" t="str">
        <f t="array" ref="BW410">IF($F410&lt;&gt;"",XLOOKUP($F410,Productos!$A:$A,Productos!BP:BP,"Revisar"),"")</f>
        <v/>
      </c>
      <c r="BX410" s="179" t="str">
        <f t="array" ref="BX410">IF($F410&lt;&gt;"", XLOOKUP($F410,Productos!$A$2:$A1001,Productos!BQ$2:BQ1001,"")*$G410,"")</f>
        <v/>
      </c>
      <c r="BY410" s="179" t="str">
        <f t="array" ref="BY410">IF($F410&lt;&gt;"",XLOOKUP($F410,Productos!$A:$A,Productos!BR:BR,"Revisar"),"")</f>
        <v/>
      </c>
      <c r="BZ410" s="179" t="str">
        <f t="array" ref="BZ410">IF($F410&lt;&gt;"", XLOOKUP($F410,Productos!$A$2:$A1001,Productos!BS$2:BS1001,"")*$G410,"")</f>
        <v/>
      </c>
    </row>
    <row r="411">
      <c r="A411" s="188"/>
      <c r="B411" s="189"/>
      <c r="C411" s="190"/>
      <c r="D411" s="190"/>
      <c r="E411" s="191"/>
      <c r="F411" s="186"/>
      <c r="G411" s="192"/>
      <c r="H411" s="9"/>
      <c r="I411" s="179" t="str">
        <f t="array" ref="I411">IF($F411&lt;&gt;"",XLOOKUP($F411,Productos!$A:$A,Productos!B:B,"Revisar"),"")</f>
        <v/>
      </c>
      <c r="J411" s="179" t="str">
        <f t="array" ref="J411">IF($F411&lt;&gt;"", XLOOKUP($F411,Productos!$A$2:$A1001,Productos!C$2:C1001,"")*$G411,"")</f>
        <v/>
      </c>
      <c r="K411" s="179" t="str">
        <f t="array" ref="K411">IF($F411&lt;&gt;"",XLOOKUP($F411,Productos!$A:$A,Productos!D:D,"Revisar"),"")</f>
        <v/>
      </c>
      <c r="L411" s="179" t="str">
        <f t="array" ref="L411">IF($F411&lt;&gt;"", XLOOKUP($F411,Productos!$A$2:$A1001,Productos!E$2:E1001,"")*$G411,"")</f>
        <v/>
      </c>
      <c r="M411" s="179" t="str">
        <f t="array" ref="M411">IF($F411&lt;&gt;"",XLOOKUP($F411,Productos!$A:$A,Productos!F:F,"Revisar"),"")</f>
        <v/>
      </c>
      <c r="N411" s="179" t="str">
        <f t="array" ref="N411">IF($F411&lt;&gt;"", XLOOKUP($F411,Productos!$A$2:$A1001,Productos!G$2:G1001,"")*$G411,"")</f>
        <v/>
      </c>
      <c r="O411" s="179" t="str">
        <f t="array" ref="O411">IF($F411&lt;&gt;"",XLOOKUP($F411,Productos!$A:$A,Productos!H:H,"Revisar"),"")</f>
        <v/>
      </c>
      <c r="P411" s="179" t="str">
        <f t="array" ref="P411">IF($F411&lt;&gt;"", XLOOKUP($F411,Productos!$A$2:$A1001,Productos!I$2:I1001,"")*$G411,"")</f>
        <v/>
      </c>
      <c r="Q411" s="179" t="str">
        <f t="array" ref="Q411">IF($F411&lt;&gt;"",XLOOKUP($F411,Productos!$A:$A,Productos!J:J,"Revisar"),"")</f>
        <v/>
      </c>
      <c r="R411" s="179" t="str">
        <f t="array" ref="R411">IF($F411&lt;&gt;"", XLOOKUP($F411,Productos!$A$2:$A1001,Productos!K$2:K1001,"")*$G411,"")</f>
        <v/>
      </c>
      <c r="S411" s="179" t="str">
        <f t="array" ref="S411">IF($F411&lt;&gt;"",XLOOKUP($F411,Productos!$A:$A,Productos!L:L,"Revisar"),"")</f>
        <v/>
      </c>
      <c r="T411" s="179" t="str">
        <f t="array" ref="T411">IF($F411&lt;&gt;"", XLOOKUP($F411,Productos!$A$2:$A1001,Productos!M$2:M1001,"")*$G411,"")</f>
        <v/>
      </c>
      <c r="U411" s="179" t="str">
        <f t="array" ref="U411">IF($F411&lt;&gt;"",XLOOKUP($F411,Productos!$A:$A,Productos!N:N,"Revisar"),"")</f>
        <v/>
      </c>
      <c r="V411" s="179" t="str">
        <f t="array" ref="V411">IF($F411&lt;&gt;"", XLOOKUP($F411,Productos!$A$2:$A1001,Productos!O$2:O1001,"")*$G411,"")</f>
        <v/>
      </c>
      <c r="W411" s="179" t="str">
        <f t="array" ref="W411">IF($F411&lt;&gt;"",XLOOKUP($F411,Productos!$A:$A,Productos!P:P,"Revisar"),"")</f>
        <v/>
      </c>
      <c r="X411" s="179" t="str">
        <f t="array" ref="X411">IF($F411&lt;&gt;"", XLOOKUP($F411,Productos!$A$2:$A1001,Productos!Q$2:Q1001,"")*$G411,"")</f>
        <v/>
      </c>
      <c r="Y411" s="179" t="str">
        <f t="array" ref="Y411">IF($F411&lt;&gt;"",XLOOKUP($F411,Productos!$A:$A,Productos!R:R,"Revisar"),"")</f>
        <v/>
      </c>
      <c r="Z411" s="179" t="str">
        <f t="array" ref="Z411">IF($F411&lt;&gt;"", XLOOKUP($F411,Productos!$A$2:$A1001,Productos!S$2:S1001,"")*$G411,"")</f>
        <v/>
      </c>
      <c r="AA411" s="179" t="str">
        <f t="array" ref="AA411">IF($F411&lt;&gt;"",XLOOKUP($F411,Productos!$A:$A,Productos!T:T,"Revisar"),"")</f>
        <v/>
      </c>
      <c r="AB411" s="179" t="str">
        <f t="array" ref="AB411">IF($F411&lt;&gt;"", XLOOKUP($F411,Productos!$A$2:$A1001,Productos!U$2:U1001,"")*$G411,"")</f>
        <v/>
      </c>
      <c r="AC411" s="179" t="str">
        <f t="array" ref="AC411">IF($F411&lt;&gt;"",XLOOKUP($F411,Productos!$A:$A,Productos!V:V,"Revisar"),"")</f>
        <v/>
      </c>
      <c r="AD411" s="179" t="str">
        <f t="array" ref="AD411">IF($F411&lt;&gt;"", XLOOKUP($F411,Productos!$A$2:$A1001,Productos!W$2:W1001,"")*$G411,"")</f>
        <v/>
      </c>
      <c r="AE411" s="179" t="str">
        <f t="array" ref="AE411">IF($F411&lt;&gt;"",XLOOKUP($F411,Productos!$A:$A,Productos!X:X,"Revisar"),"")</f>
        <v/>
      </c>
      <c r="AF411" s="179" t="str">
        <f t="array" ref="AF411">IF($F411&lt;&gt;"", XLOOKUP($F411,Productos!$A$2:$A1001,Productos!Y$2:Y1001,"")*$G411,"")</f>
        <v/>
      </c>
      <c r="AG411" s="179" t="str">
        <f t="array" ref="AG411">IF($F411&lt;&gt;"",XLOOKUP($F411,Productos!$A:$A,Productos!Z:Z,"Revisar"),"")</f>
        <v/>
      </c>
      <c r="AH411" s="179" t="str">
        <f t="array" ref="AH411">IF($F411&lt;&gt;"", XLOOKUP($F411,Productos!$A$2:$A1001,Productos!AA$2:AA1001,"")*$G411,"")</f>
        <v/>
      </c>
      <c r="AI411" s="179" t="str">
        <f t="array" ref="AI411">IF($F411&lt;&gt;"",XLOOKUP($F411,Productos!$A:$A,Productos!AB:AB,"Revisar"),"")</f>
        <v/>
      </c>
      <c r="AJ411" s="179" t="str">
        <f t="array" ref="AJ411">IF($F411&lt;&gt;"", XLOOKUP($F411,Productos!$A$2:$A1001,Productos!AC$2:AC1001,"")*$G411,"")</f>
        <v/>
      </c>
      <c r="AK411" s="179" t="str">
        <f t="array" ref="AK411">IF($F411&lt;&gt;"",XLOOKUP($F411,Productos!$A:$A,Productos!AD:AD,"Revisar"),"")</f>
        <v/>
      </c>
      <c r="AL411" s="179" t="str">
        <f t="array" ref="AL411">IF($F411&lt;&gt;"", XLOOKUP($F411,Productos!$A$2:$A1001,Productos!AE$2:AE1001,"")*$G411,"")</f>
        <v/>
      </c>
      <c r="AM411" s="179" t="str">
        <f t="array" ref="AM411">IF($F411&lt;&gt;"",XLOOKUP($F411,Productos!$A:$A,Productos!AF:AF,"Revisar"),"")</f>
        <v/>
      </c>
      <c r="AN411" s="179" t="str">
        <f t="array" ref="AN411">IF($F411&lt;&gt;"", XLOOKUP($F411,Productos!$A$2:$A1001,Productos!AG$2:AG1001,"")*$G411,"")</f>
        <v/>
      </c>
      <c r="AO411" s="179" t="str">
        <f t="array" ref="AO411">IF($F411&lt;&gt;"",XLOOKUP($F411,Productos!$A:$A,Productos!AH:AH,"Revisar"),"")</f>
        <v/>
      </c>
      <c r="AP411" s="179" t="str">
        <f t="array" ref="AP411">IF($F411&lt;&gt;"", XLOOKUP($F411,Productos!$A$2:$A1001,Productos!AI$2:AI1001,"")*$G411,"")</f>
        <v/>
      </c>
      <c r="AQ411" s="179" t="str">
        <f t="array" ref="AQ411">IF($F411&lt;&gt;"",XLOOKUP($F411,Productos!$A:$A,Productos!AJ:AJ,"Revisar"),"")</f>
        <v/>
      </c>
      <c r="AR411" s="179" t="str">
        <f t="array" ref="AR411">IF($F411&lt;&gt;"", XLOOKUP($F411,Productos!$A$2:$A1001,Productos!AK$2:AK1001,"")*$G411,"")</f>
        <v/>
      </c>
      <c r="AS411" s="179" t="str">
        <f t="array" ref="AS411">IF($F411&lt;&gt;"",XLOOKUP($F411,Productos!$A:$A,Productos!AL:AL,"Revisar"),"")</f>
        <v/>
      </c>
      <c r="AT411" s="179" t="str">
        <f t="array" ref="AT411">IF($F411&lt;&gt;"", XLOOKUP($F411,Productos!$A$2:$A1001,Productos!AM$2:AM1001,"")*$G411,"")</f>
        <v/>
      </c>
      <c r="AU411" s="179" t="str">
        <f t="array" ref="AU411">IF($F411&lt;&gt;"",XLOOKUP($F411,Productos!$A:$A,Productos!AN:AN,"Revisar"),"")</f>
        <v/>
      </c>
      <c r="AV411" s="179" t="str">
        <f t="array" ref="AV411">IF($F411&lt;&gt;"", XLOOKUP($F411,Productos!$A$2:$A1001,Productos!AO$2:AO1001,"")*$G411,"")</f>
        <v/>
      </c>
      <c r="AW411" s="179" t="str">
        <f t="array" ref="AW411">IF($F411&lt;&gt;"",XLOOKUP($F411,Productos!$A:$A,Productos!AP:AP,"Revisar"),"")</f>
        <v/>
      </c>
      <c r="AX411" s="179" t="str">
        <f t="array" ref="AX411">IF($F411&lt;&gt;"", XLOOKUP($F411,Productos!$A$2:$A1001,Productos!AQ$2:AQ1001,"")*$G411,"")</f>
        <v/>
      </c>
      <c r="AY411" s="179" t="str">
        <f t="array" ref="AY411">IF($F411&lt;&gt;"",XLOOKUP($F411,Productos!$A:$A,Productos!AR:AR,"Revisar"),"")</f>
        <v/>
      </c>
      <c r="AZ411" s="179" t="str">
        <f t="array" ref="AZ411">IF($F411&lt;&gt;"", XLOOKUP($F411,Productos!$A$2:$A1001,Productos!AS$2:AS1001,"")*$G411,"")</f>
        <v/>
      </c>
      <c r="BA411" s="179" t="str">
        <f t="array" ref="BA411">IF($F411&lt;&gt;"",XLOOKUP($F411,Productos!$A:$A,Productos!AT:AT,"Revisar"),"")</f>
        <v/>
      </c>
      <c r="BB411" s="179" t="str">
        <f t="array" ref="BB411">IF($F411&lt;&gt;"", XLOOKUP($F411,Productos!$A$2:$A1001,Productos!AU$2:AU1001,"")*$G411,"")</f>
        <v/>
      </c>
      <c r="BC411" s="179" t="str">
        <f t="array" ref="BC411">IF($F411&lt;&gt;"",XLOOKUP($F411,Productos!$A:$A,Productos!AV:AV,"Revisar"),"")</f>
        <v/>
      </c>
      <c r="BD411" s="179" t="str">
        <f t="array" ref="BD411">IF($F411&lt;&gt;"", XLOOKUP($F411,Productos!$A$2:$A1001,Productos!AW$2:AW1001,"")*$G411,"")</f>
        <v/>
      </c>
      <c r="BE411" s="179" t="str">
        <f t="array" ref="BE411">IF($F411&lt;&gt;"",XLOOKUP($F411,Productos!$A:$A,Productos!AX:AX,"Revisar"),"")</f>
        <v/>
      </c>
      <c r="BF411" s="179" t="str">
        <f t="array" ref="BF411">IF($F411&lt;&gt;"", XLOOKUP($F411,Productos!$A$2:$A1001,Productos!AY$2:AY1001,"")*$G411,"")</f>
        <v/>
      </c>
      <c r="BG411" s="179" t="str">
        <f t="array" ref="BG411">IF($F411&lt;&gt;"",XLOOKUP($F411,Productos!$A:$A,Productos!AZ:AZ,"Revisar"),"")</f>
        <v/>
      </c>
      <c r="BH411" s="179" t="str">
        <f t="array" ref="BH411">IF($F411&lt;&gt;"", XLOOKUP($F411,Productos!$A$2:$A1001,Productos!BA$2:BA1001,"")*$G411,"")</f>
        <v/>
      </c>
      <c r="BI411" s="179" t="str">
        <f t="array" ref="BI411">IF($F411&lt;&gt;"",XLOOKUP($F411,Productos!$A:$A,Productos!BB:BB,"Revisar"),"")</f>
        <v/>
      </c>
      <c r="BJ411" s="179" t="str">
        <f t="array" ref="BJ411">IF($F411&lt;&gt;"", XLOOKUP($F411,Productos!$A$2:$A1001,Productos!BC$2:BC1001,"")*$G411,"")</f>
        <v/>
      </c>
      <c r="BK411" s="179" t="str">
        <f t="array" ref="BK411">IF($F411&lt;&gt;"",XLOOKUP($F411,Productos!$A:$A,Productos!BD:BD,"Revisar"),"")</f>
        <v/>
      </c>
      <c r="BL411" s="179" t="str">
        <f t="array" ref="BL411">IF($F411&lt;&gt;"", XLOOKUP($F411,Productos!$A$2:$A1001,Productos!BE$2:BE1001,"")*$G411,"")</f>
        <v/>
      </c>
      <c r="BM411" s="179" t="str">
        <f t="array" ref="BM411">IF($F411&lt;&gt;"",XLOOKUP($F411,Productos!$A:$A,Productos!BF:BF,"Revisar"),"")</f>
        <v/>
      </c>
      <c r="BN411" s="179" t="str">
        <f t="array" ref="BN411">IF($F411&lt;&gt;"", XLOOKUP($F411,Productos!$A$2:$A1001,Productos!BG$2:BG1001,"")*$G411,"")</f>
        <v/>
      </c>
      <c r="BO411" s="179" t="str">
        <f t="array" ref="BO411">IF($F411&lt;&gt;"",XLOOKUP($F411,Productos!$A:$A,Productos!BH:BH,"Revisar"),"")</f>
        <v/>
      </c>
      <c r="BP411" s="179" t="str">
        <f t="array" ref="BP411">IF($F411&lt;&gt;"", XLOOKUP($F411,Productos!$A$2:$A1001,Productos!BI$2:BI1001,"")*$G411,"")</f>
        <v/>
      </c>
      <c r="BQ411" s="179" t="str">
        <f t="array" ref="BQ411">IF($F411&lt;&gt;"",XLOOKUP($F411,Productos!$A:$A,Productos!BJ:BJ,"Revisar"),"")</f>
        <v/>
      </c>
      <c r="BR411" s="179" t="str">
        <f t="array" ref="BR411">IF($F411&lt;&gt;"", XLOOKUP($F411,Productos!$A$2:$A1001,Productos!BK$2:BK1001,"")*$G411,"")</f>
        <v/>
      </c>
      <c r="BS411" s="179" t="str">
        <f t="array" ref="BS411">IF($F411&lt;&gt;"",XLOOKUP($F411,Productos!$A:$A,Productos!BL:BL,"Revisar"),"")</f>
        <v/>
      </c>
      <c r="BT411" s="179" t="str">
        <f t="array" ref="BT411">IF($F411&lt;&gt;"", XLOOKUP($F411,Productos!$A$2:$A1001,Productos!BM$2:BM1001,"")*$G411,"")</f>
        <v/>
      </c>
      <c r="BU411" s="179" t="str">
        <f t="array" ref="BU411">IF($F411&lt;&gt;"",XLOOKUP($F411,Productos!$A:$A,Productos!BN:BN,"Revisar"),"")</f>
        <v/>
      </c>
      <c r="BV411" s="179" t="str">
        <f t="array" ref="BV411">IF($F411&lt;&gt;"", XLOOKUP($F411,Productos!$A$2:$A1001,Productos!BO$2:BO1001,"")*$G411,"")</f>
        <v/>
      </c>
      <c r="BW411" s="179" t="str">
        <f t="array" ref="BW411">IF($F411&lt;&gt;"",XLOOKUP($F411,Productos!$A:$A,Productos!BP:BP,"Revisar"),"")</f>
        <v/>
      </c>
      <c r="BX411" s="179" t="str">
        <f t="array" ref="BX411">IF($F411&lt;&gt;"", XLOOKUP($F411,Productos!$A$2:$A1001,Productos!BQ$2:BQ1001,"")*$G411,"")</f>
        <v/>
      </c>
      <c r="BY411" s="179" t="str">
        <f t="array" ref="BY411">IF($F411&lt;&gt;"",XLOOKUP($F411,Productos!$A:$A,Productos!BR:BR,"Revisar"),"")</f>
        <v/>
      </c>
      <c r="BZ411" s="179" t="str">
        <f t="array" ref="BZ411">IF($F411&lt;&gt;"", XLOOKUP($F411,Productos!$A$2:$A1001,Productos!BS$2:BS1001,"")*$G411,"")</f>
        <v/>
      </c>
    </row>
    <row r="412">
      <c r="A412" s="188"/>
      <c r="B412" s="189"/>
      <c r="C412" s="190"/>
      <c r="D412" s="190"/>
      <c r="E412" s="191"/>
      <c r="F412" s="186"/>
      <c r="G412" s="192"/>
      <c r="H412" s="9"/>
      <c r="I412" s="179" t="str">
        <f t="array" ref="I412">IF($F412&lt;&gt;"",XLOOKUP($F412,Productos!$A:$A,Productos!B:B,"Revisar"),"")</f>
        <v/>
      </c>
      <c r="J412" s="179" t="str">
        <f t="array" ref="J412">IF($F412&lt;&gt;"", XLOOKUP($F412,Productos!$A$2:$A1001,Productos!C$2:C1001,"")*$G412,"")</f>
        <v/>
      </c>
      <c r="K412" s="179" t="str">
        <f t="array" ref="K412">IF($F412&lt;&gt;"",XLOOKUP($F412,Productos!$A:$A,Productos!D:D,"Revisar"),"")</f>
        <v/>
      </c>
      <c r="L412" s="179" t="str">
        <f t="array" ref="L412">IF($F412&lt;&gt;"", XLOOKUP($F412,Productos!$A$2:$A1001,Productos!E$2:E1001,"")*$G412,"")</f>
        <v/>
      </c>
      <c r="M412" s="179" t="str">
        <f t="array" ref="M412">IF($F412&lt;&gt;"",XLOOKUP($F412,Productos!$A:$A,Productos!F:F,"Revisar"),"")</f>
        <v/>
      </c>
      <c r="N412" s="179" t="str">
        <f t="array" ref="N412">IF($F412&lt;&gt;"", XLOOKUP($F412,Productos!$A$2:$A1001,Productos!G$2:G1001,"")*$G412,"")</f>
        <v/>
      </c>
      <c r="O412" s="179" t="str">
        <f t="array" ref="O412">IF($F412&lt;&gt;"",XLOOKUP($F412,Productos!$A:$A,Productos!H:H,"Revisar"),"")</f>
        <v/>
      </c>
      <c r="P412" s="179" t="str">
        <f t="array" ref="P412">IF($F412&lt;&gt;"", XLOOKUP($F412,Productos!$A$2:$A1001,Productos!I$2:I1001,"")*$G412,"")</f>
        <v/>
      </c>
      <c r="Q412" s="179" t="str">
        <f t="array" ref="Q412">IF($F412&lt;&gt;"",XLOOKUP($F412,Productos!$A:$A,Productos!J:J,"Revisar"),"")</f>
        <v/>
      </c>
      <c r="R412" s="179" t="str">
        <f t="array" ref="R412">IF($F412&lt;&gt;"", XLOOKUP($F412,Productos!$A$2:$A1001,Productos!K$2:K1001,"")*$G412,"")</f>
        <v/>
      </c>
      <c r="S412" s="179" t="str">
        <f t="array" ref="S412">IF($F412&lt;&gt;"",XLOOKUP($F412,Productos!$A:$A,Productos!L:L,"Revisar"),"")</f>
        <v/>
      </c>
      <c r="T412" s="179" t="str">
        <f t="array" ref="T412">IF($F412&lt;&gt;"", XLOOKUP($F412,Productos!$A$2:$A1001,Productos!M$2:M1001,"")*$G412,"")</f>
        <v/>
      </c>
      <c r="U412" s="179" t="str">
        <f t="array" ref="U412">IF($F412&lt;&gt;"",XLOOKUP($F412,Productos!$A:$A,Productos!N:N,"Revisar"),"")</f>
        <v/>
      </c>
      <c r="V412" s="179" t="str">
        <f t="array" ref="V412">IF($F412&lt;&gt;"", XLOOKUP($F412,Productos!$A$2:$A1001,Productos!O$2:O1001,"")*$G412,"")</f>
        <v/>
      </c>
      <c r="W412" s="179" t="str">
        <f t="array" ref="W412">IF($F412&lt;&gt;"",XLOOKUP($F412,Productos!$A:$A,Productos!P:P,"Revisar"),"")</f>
        <v/>
      </c>
      <c r="X412" s="179" t="str">
        <f t="array" ref="X412">IF($F412&lt;&gt;"", XLOOKUP($F412,Productos!$A$2:$A1001,Productos!Q$2:Q1001,"")*$G412,"")</f>
        <v/>
      </c>
      <c r="Y412" s="179" t="str">
        <f t="array" ref="Y412">IF($F412&lt;&gt;"",XLOOKUP($F412,Productos!$A:$A,Productos!R:R,"Revisar"),"")</f>
        <v/>
      </c>
      <c r="Z412" s="179" t="str">
        <f t="array" ref="Z412">IF($F412&lt;&gt;"", XLOOKUP($F412,Productos!$A$2:$A1001,Productos!S$2:S1001,"")*$G412,"")</f>
        <v/>
      </c>
      <c r="AA412" s="179" t="str">
        <f t="array" ref="AA412">IF($F412&lt;&gt;"",XLOOKUP($F412,Productos!$A:$A,Productos!T:T,"Revisar"),"")</f>
        <v/>
      </c>
      <c r="AB412" s="179" t="str">
        <f t="array" ref="AB412">IF($F412&lt;&gt;"", XLOOKUP($F412,Productos!$A$2:$A1001,Productos!U$2:U1001,"")*$G412,"")</f>
        <v/>
      </c>
      <c r="AC412" s="179" t="str">
        <f t="array" ref="AC412">IF($F412&lt;&gt;"",XLOOKUP($F412,Productos!$A:$A,Productos!V:V,"Revisar"),"")</f>
        <v/>
      </c>
      <c r="AD412" s="179" t="str">
        <f t="array" ref="AD412">IF($F412&lt;&gt;"", XLOOKUP($F412,Productos!$A$2:$A1001,Productos!W$2:W1001,"")*$G412,"")</f>
        <v/>
      </c>
      <c r="AE412" s="179" t="str">
        <f t="array" ref="AE412">IF($F412&lt;&gt;"",XLOOKUP($F412,Productos!$A:$A,Productos!X:X,"Revisar"),"")</f>
        <v/>
      </c>
      <c r="AF412" s="179" t="str">
        <f t="array" ref="AF412">IF($F412&lt;&gt;"", XLOOKUP($F412,Productos!$A$2:$A1001,Productos!Y$2:Y1001,"")*$G412,"")</f>
        <v/>
      </c>
      <c r="AG412" s="179" t="str">
        <f t="array" ref="AG412">IF($F412&lt;&gt;"",XLOOKUP($F412,Productos!$A:$A,Productos!Z:Z,"Revisar"),"")</f>
        <v/>
      </c>
      <c r="AH412" s="179" t="str">
        <f t="array" ref="AH412">IF($F412&lt;&gt;"", XLOOKUP($F412,Productos!$A$2:$A1001,Productos!AA$2:AA1001,"")*$G412,"")</f>
        <v/>
      </c>
      <c r="AI412" s="179" t="str">
        <f t="array" ref="AI412">IF($F412&lt;&gt;"",XLOOKUP($F412,Productos!$A:$A,Productos!AB:AB,"Revisar"),"")</f>
        <v/>
      </c>
      <c r="AJ412" s="179" t="str">
        <f t="array" ref="AJ412">IF($F412&lt;&gt;"", XLOOKUP($F412,Productos!$A$2:$A1001,Productos!AC$2:AC1001,"")*$G412,"")</f>
        <v/>
      </c>
      <c r="AK412" s="179" t="str">
        <f t="array" ref="AK412">IF($F412&lt;&gt;"",XLOOKUP($F412,Productos!$A:$A,Productos!AD:AD,"Revisar"),"")</f>
        <v/>
      </c>
      <c r="AL412" s="179" t="str">
        <f t="array" ref="AL412">IF($F412&lt;&gt;"", XLOOKUP($F412,Productos!$A$2:$A1001,Productos!AE$2:AE1001,"")*$G412,"")</f>
        <v/>
      </c>
      <c r="AM412" s="179" t="str">
        <f t="array" ref="AM412">IF($F412&lt;&gt;"",XLOOKUP($F412,Productos!$A:$A,Productos!AF:AF,"Revisar"),"")</f>
        <v/>
      </c>
      <c r="AN412" s="179" t="str">
        <f t="array" ref="AN412">IF($F412&lt;&gt;"", XLOOKUP($F412,Productos!$A$2:$A1001,Productos!AG$2:AG1001,"")*$G412,"")</f>
        <v/>
      </c>
      <c r="AO412" s="179" t="str">
        <f t="array" ref="AO412">IF($F412&lt;&gt;"",XLOOKUP($F412,Productos!$A:$A,Productos!AH:AH,"Revisar"),"")</f>
        <v/>
      </c>
      <c r="AP412" s="179" t="str">
        <f t="array" ref="AP412">IF($F412&lt;&gt;"", XLOOKUP($F412,Productos!$A$2:$A1001,Productos!AI$2:AI1001,"")*$G412,"")</f>
        <v/>
      </c>
      <c r="AQ412" s="179" t="str">
        <f t="array" ref="AQ412">IF($F412&lt;&gt;"",XLOOKUP($F412,Productos!$A:$A,Productos!AJ:AJ,"Revisar"),"")</f>
        <v/>
      </c>
      <c r="AR412" s="179" t="str">
        <f t="array" ref="AR412">IF($F412&lt;&gt;"", XLOOKUP($F412,Productos!$A$2:$A1001,Productos!AK$2:AK1001,"")*$G412,"")</f>
        <v/>
      </c>
      <c r="AS412" s="179" t="str">
        <f t="array" ref="AS412">IF($F412&lt;&gt;"",XLOOKUP($F412,Productos!$A:$A,Productos!AL:AL,"Revisar"),"")</f>
        <v/>
      </c>
      <c r="AT412" s="179" t="str">
        <f t="array" ref="AT412">IF($F412&lt;&gt;"", XLOOKUP($F412,Productos!$A$2:$A1001,Productos!AM$2:AM1001,"")*$G412,"")</f>
        <v/>
      </c>
      <c r="AU412" s="179" t="str">
        <f t="array" ref="AU412">IF($F412&lt;&gt;"",XLOOKUP($F412,Productos!$A:$A,Productos!AN:AN,"Revisar"),"")</f>
        <v/>
      </c>
      <c r="AV412" s="179" t="str">
        <f t="array" ref="AV412">IF($F412&lt;&gt;"", XLOOKUP($F412,Productos!$A$2:$A1001,Productos!AO$2:AO1001,"")*$G412,"")</f>
        <v/>
      </c>
      <c r="AW412" s="179" t="str">
        <f t="array" ref="AW412">IF($F412&lt;&gt;"",XLOOKUP($F412,Productos!$A:$A,Productos!AP:AP,"Revisar"),"")</f>
        <v/>
      </c>
      <c r="AX412" s="179" t="str">
        <f t="array" ref="AX412">IF($F412&lt;&gt;"", XLOOKUP($F412,Productos!$A$2:$A1001,Productos!AQ$2:AQ1001,"")*$G412,"")</f>
        <v/>
      </c>
      <c r="AY412" s="179" t="str">
        <f t="array" ref="AY412">IF($F412&lt;&gt;"",XLOOKUP($F412,Productos!$A:$A,Productos!AR:AR,"Revisar"),"")</f>
        <v/>
      </c>
      <c r="AZ412" s="179" t="str">
        <f t="array" ref="AZ412">IF($F412&lt;&gt;"", XLOOKUP($F412,Productos!$A$2:$A1001,Productos!AS$2:AS1001,"")*$G412,"")</f>
        <v/>
      </c>
      <c r="BA412" s="179" t="str">
        <f t="array" ref="BA412">IF($F412&lt;&gt;"",XLOOKUP($F412,Productos!$A:$A,Productos!AT:AT,"Revisar"),"")</f>
        <v/>
      </c>
      <c r="BB412" s="179" t="str">
        <f t="array" ref="BB412">IF($F412&lt;&gt;"", XLOOKUP($F412,Productos!$A$2:$A1001,Productos!AU$2:AU1001,"")*$G412,"")</f>
        <v/>
      </c>
      <c r="BC412" s="179" t="str">
        <f t="array" ref="BC412">IF($F412&lt;&gt;"",XLOOKUP($F412,Productos!$A:$A,Productos!AV:AV,"Revisar"),"")</f>
        <v/>
      </c>
      <c r="BD412" s="179" t="str">
        <f t="array" ref="BD412">IF($F412&lt;&gt;"", XLOOKUP($F412,Productos!$A$2:$A1001,Productos!AW$2:AW1001,"")*$G412,"")</f>
        <v/>
      </c>
      <c r="BE412" s="179" t="str">
        <f t="array" ref="BE412">IF($F412&lt;&gt;"",XLOOKUP($F412,Productos!$A:$A,Productos!AX:AX,"Revisar"),"")</f>
        <v/>
      </c>
      <c r="BF412" s="179" t="str">
        <f t="array" ref="BF412">IF($F412&lt;&gt;"", XLOOKUP($F412,Productos!$A$2:$A1001,Productos!AY$2:AY1001,"")*$G412,"")</f>
        <v/>
      </c>
      <c r="BG412" s="179" t="str">
        <f t="array" ref="BG412">IF($F412&lt;&gt;"",XLOOKUP($F412,Productos!$A:$A,Productos!AZ:AZ,"Revisar"),"")</f>
        <v/>
      </c>
      <c r="BH412" s="179" t="str">
        <f t="array" ref="BH412">IF($F412&lt;&gt;"", XLOOKUP($F412,Productos!$A$2:$A1001,Productos!BA$2:BA1001,"")*$G412,"")</f>
        <v/>
      </c>
      <c r="BI412" s="179" t="str">
        <f t="array" ref="BI412">IF($F412&lt;&gt;"",XLOOKUP($F412,Productos!$A:$A,Productos!BB:BB,"Revisar"),"")</f>
        <v/>
      </c>
      <c r="BJ412" s="179" t="str">
        <f t="array" ref="BJ412">IF($F412&lt;&gt;"", XLOOKUP($F412,Productos!$A$2:$A1001,Productos!BC$2:BC1001,"")*$G412,"")</f>
        <v/>
      </c>
      <c r="BK412" s="179" t="str">
        <f t="array" ref="BK412">IF($F412&lt;&gt;"",XLOOKUP($F412,Productos!$A:$A,Productos!BD:BD,"Revisar"),"")</f>
        <v/>
      </c>
      <c r="BL412" s="179" t="str">
        <f t="array" ref="BL412">IF($F412&lt;&gt;"", XLOOKUP($F412,Productos!$A$2:$A1001,Productos!BE$2:BE1001,"")*$G412,"")</f>
        <v/>
      </c>
      <c r="BM412" s="179" t="str">
        <f t="array" ref="BM412">IF($F412&lt;&gt;"",XLOOKUP($F412,Productos!$A:$A,Productos!BF:BF,"Revisar"),"")</f>
        <v/>
      </c>
      <c r="BN412" s="179" t="str">
        <f t="array" ref="BN412">IF($F412&lt;&gt;"", XLOOKUP($F412,Productos!$A$2:$A1001,Productos!BG$2:BG1001,"")*$G412,"")</f>
        <v/>
      </c>
      <c r="BO412" s="179" t="str">
        <f t="array" ref="BO412">IF($F412&lt;&gt;"",XLOOKUP($F412,Productos!$A:$A,Productos!BH:BH,"Revisar"),"")</f>
        <v/>
      </c>
      <c r="BP412" s="179" t="str">
        <f t="array" ref="BP412">IF($F412&lt;&gt;"", XLOOKUP($F412,Productos!$A$2:$A1001,Productos!BI$2:BI1001,"")*$G412,"")</f>
        <v/>
      </c>
      <c r="BQ412" s="179" t="str">
        <f t="array" ref="BQ412">IF($F412&lt;&gt;"",XLOOKUP($F412,Productos!$A:$A,Productos!BJ:BJ,"Revisar"),"")</f>
        <v/>
      </c>
      <c r="BR412" s="179" t="str">
        <f t="array" ref="BR412">IF($F412&lt;&gt;"", XLOOKUP($F412,Productos!$A$2:$A1001,Productos!BK$2:BK1001,"")*$G412,"")</f>
        <v/>
      </c>
      <c r="BS412" s="179" t="str">
        <f t="array" ref="BS412">IF($F412&lt;&gt;"",XLOOKUP($F412,Productos!$A:$A,Productos!BL:BL,"Revisar"),"")</f>
        <v/>
      </c>
      <c r="BT412" s="179" t="str">
        <f t="array" ref="BT412">IF($F412&lt;&gt;"", XLOOKUP($F412,Productos!$A$2:$A1001,Productos!BM$2:BM1001,"")*$G412,"")</f>
        <v/>
      </c>
      <c r="BU412" s="179" t="str">
        <f t="array" ref="BU412">IF($F412&lt;&gt;"",XLOOKUP($F412,Productos!$A:$A,Productos!BN:BN,"Revisar"),"")</f>
        <v/>
      </c>
      <c r="BV412" s="179" t="str">
        <f t="array" ref="BV412">IF($F412&lt;&gt;"", XLOOKUP($F412,Productos!$A$2:$A1001,Productos!BO$2:BO1001,"")*$G412,"")</f>
        <v/>
      </c>
      <c r="BW412" s="179" t="str">
        <f t="array" ref="BW412">IF($F412&lt;&gt;"",XLOOKUP($F412,Productos!$A:$A,Productos!BP:BP,"Revisar"),"")</f>
        <v/>
      </c>
      <c r="BX412" s="179" t="str">
        <f t="array" ref="BX412">IF($F412&lt;&gt;"", XLOOKUP($F412,Productos!$A$2:$A1001,Productos!BQ$2:BQ1001,"")*$G412,"")</f>
        <v/>
      </c>
      <c r="BY412" s="179" t="str">
        <f t="array" ref="BY412">IF($F412&lt;&gt;"",XLOOKUP($F412,Productos!$A:$A,Productos!BR:BR,"Revisar"),"")</f>
        <v/>
      </c>
      <c r="BZ412" s="179" t="str">
        <f t="array" ref="BZ412">IF($F412&lt;&gt;"", XLOOKUP($F412,Productos!$A$2:$A1001,Productos!BS$2:BS1001,"")*$G412,"")</f>
        <v/>
      </c>
    </row>
    <row r="413">
      <c r="A413" s="188"/>
      <c r="B413" s="189"/>
      <c r="C413" s="190"/>
      <c r="D413" s="190"/>
      <c r="E413" s="191"/>
      <c r="F413" s="186"/>
      <c r="G413" s="192"/>
      <c r="H413" s="9"/>
      <c r="I413" s="179" t="str">
        <f t="array" ref="I413">IF($F413&lt;&gt;"",XLOOKUP($F413,Productos!$A:$A,Productos!B:B,"Revisar"),"")</f>
        <v/>
      </c>
      <c r="J413" s="179" t="str">
        <f t="array" ref="J413">IF($F413&lt;&gt;"", XLOOKUP($F413,Productos!$A$2:$A1001,Productos!C$2:C1001,"")*$G413,"")</f>
        <v/>
      </c>
      <c r="K413" s="179" t="str">
        <f t="array" ref="K413">IF($F413&lt;&gt;"",XLOOKUP($F413,Productos!$A:$A,Productos!D:D,"Revisar"),"")</f>
        <v/>
      </c>
      <c r="L413" s="179" t="str">
        <f t="array" ref="L413">IF($F413&lt;&gt;"", XLOOKUP($F413,Productos!$A$2:$A1001,Productos!E$2:E1001,"")*$G413,"")</f>
        <v/>
      </c>
      <c r="M413" s="179" t="str">
        <f t="array" ref="M413">IF($F413&lt;&gt;"",XLOOKUP($F413,Productos!$A:$A,Productos!F:F,"Revisar"),"")</f>
        <v/>
      </c>
      <c r="N413" s="179" t="str">
        <f t="array" ref="N413">IF($F413&lt;&gt;"", XLOOKUP($F413,Productos!$A$2:$A1001,Productos!G$2:G1001,"")*$G413,"")</f>
        <v/>
      </c>
      <c r="O413" s="179" t="str">
        <f t="array" ref="O413">IF($F413&lt;&gt;"",XLOOKUP($F413,Productos!$A:$A,Productos!H:H,"Revisar"),"")</f>
        <v/>
      </c>
      <c r="P413" s="179" t="str">
        <f t="array" ref="P413">IF($F413&lt;&gt;"", XLOOKUP($F413,Productos!$A$2:$A1001,Productos!I$2:I1001,"")*$G413,"")</f>
        <v/>
      </c>
      <c r="Q413" s="179" t="str">
        <f t="array" ref="Q413">IF($F413&lt;&gt;"",XLOOKUP($F413,Productos!$A:$A,Productos!J:J,"Revisar"),"")</f>
        <v/>
      </c>
      <c r="R413" s="179" t="str">
        <f t="array" ref="R413">IF($F413&lt;&gt;"", XLOOKUP($F413,Productos!$A$2:$A1001,Productos!K$2:K1001,"")*$G413,"")</f>
        <v/>
      </c>
      <c r="S413" s="179" t="str">
        <f t="array" ref="S413">IF($F413&lt;&gt;"",XLOOKUP($F413,Productos!$A:$A,Productos!L:L,"Revisar"),"")</f>
        <v/>
      </c>
      <c r="T413" s="179" t="str">
        <f t="array" ref="T413">IF($F413&lt;&gt;"", XLOOKUP($F413,Productos!$A$2:$A1001,Productos!M$2:M1001,"")*$G413,"")</f>
        <v/>
      </c>
      <c r="U413" s="179" t="str">
        <f t="array" ref="U413">IF($F413&lt;&gt;"",XLOOKUP($F413,Productos!$A:$A,Productos!N:N,"Revisar"),"")</f>
        <v/>
      </c>
      <c r="V413" s="179" t="str">
        <f t="array" ref="V413">IF($F413&lt;&gt;"", XLOOKUP($F413,Productos!$A$2:$A1001,Productos!O$2:O1001,"")*$G413,"")</f>
        <v/>
      </c>
      <c r="W413" s="179" t="str">
        <f t="array" ref="W413">IF($F413&lt;&gt;"",XLOOKUP($F413,Productos!$A:$A,Productos!P:P,"Revisar"),"")</f>
        <v/>
      </c>
      <c r="X413" s="179" t="str">
        <f t="array" ref="X413">IF($F413&lt;&gt;"", XLOOKUP($F413,Productos!$A$2:$A1001,Productos!Q$2:Q1001,"")*$G413,"")</f>
        <v/>
      </c>
      <c r="Y413" s="179" t="str">
        <f t="array" ref="Y413">IF($F413&lt;&gt;"",XLOOKUP($F413,Productos!$A:$A,Productos!R:R,"Revisar"),"")</f>
        <v/>
      </c>
      <c r="Z413" s="179" t="str">
        <f t="array" ref="Z413">IF($F413&lt;&gt;"", XLOOKUP($F413,Productos!$A$2:$A1001,Productos!S$2:S1001,"")*$G413,"")</f>
        <v/>
      </c>
      <c r="AA413" s="179" t="str">
        <f t="array" ref="AA413">IF($F413&lt;&gt;"",XLOOKUP($F413,Productos!$A:$A,Productos!T:T,"Revisar"),"")</f>
        <v/>
      </c>
      <c r="AB413" s="179" t="str">
        <f t="array" ref="AB413">IF($F413&lt;&gt;"", XLOOKUP($F413,Productos!$A$2:$A1001,Productos!U$2:U1001,"")*$G413,"")</f>
        <v/>
      </c>
      <c r="AC413" s="179" t="str">
        <f t="array" ref="AC413">IF($F413&lt;&gt;"",XLOOKUP($F413,Productos!$A:$A,Productos!V:V,"Revisar"),"")</f>
        <v/>
      </c>
      <c r="AD413" s="179" t="str">
        <f t="array" ref="AD413">IF($F413&lt;&gt;"", XLOOKUP($F413,Productos!$A$2:$A1001,Productos!W$2:W1001,"")*$G413,"")</f>
        <v/>
      </c>
      <c r="AE413" s="179" t="str">
        <f t="array" ref="AE413">IF($F413&lt;&gt;"",XLOOKUP($F413,Productos!$A:$A,Productos!X:X,"Revisar"),"")</f>
        <v/>
      </c>
      <c r="AF413" s="179" t="str">
        <f t="array" ref="AF413">IF($F413&lt;&gt;"", XLOOKUP($F413,Productos!$A$2:$A1001,Productos!Y$2:Y1001,"")*$G413,"")</f>
        <v/>
      </c>
      <c r="AG413" s="179" t="str">
        <f t="array" ref="AG413">IF($F413&lt;&gt;"",XLOOKUP($F413,Productos!$A:$A,Productos!Z:Z,"Revisar"),"")</f>
        <v/>
      </c>
      <c r="AH413" s="179" t="str">
        <f t="array" ref="AH413">IF($F413&lt;&gt;"", XLOOKUP($F413,Productos!$A$2:$A1001,Productos!AA$2:AA1001,"")*$G413,"")</f>
        <v/>
      </c>
      <c r="AI413" s="179" t="str">
        <f t="array" ref="AI413">IF($F413&lt;&gt;"",XLOOKUP($F413,Productos!$A:$A,Productos!AB:AB,"Revisar"),"")</f>
        <v/>
      </c>
      <c r="AJ413" s="179" t="str">
        <f t="array" ref="AJ413">IF($F413&lt;&gt;"", XLOOKUP($F413,Productos!$A$2:$A1001,Productos!AC$2:AC1001,"")*$G413,"")</f>
        <v/>
      </c>
      <c r="AK413" s="179" t="str">
        <f t="array" ref="AK413">IF($F413&lt;&gt;"",XLOOKUP($F413,Productos!$A:$A,Productos!AD:AD,"Revisar"),"")</f>
        <v/>
      </c>
      <c r="AL413" s="179" t="str">
        <f t="array" ref="AL413">IF($F413&lt;&gt;"", XLOOKUP($F413,Productos!$A$2:$A1001,Productos!AE$2:AE1001,"")*$G413,"")</f>
        <v/>
      </c>
      <c r="AM413" s="179" t="str">
        <f t="array" ref="AM413">IF($F413&lt;&gt;"",XLOOKUP($F413,Productos!$A:$A,Productos!AF:AF,"Revisar"),"")</f>
        <v/>
      </c>
      <c r="AN413" s="179" t="str">
        <f t="array" ref="AN413">IF($F413&lt;&gt;"", XLOOKUP($F413,Productos!$A$2:$A1001,Productos!AG$2:AG1001,"")*$G413,"")</f>
        <v/>
      </c>
      <c r="AO413" s="179" t="str">
        <f t="array" ref="AO413">IF($F413&lt;&gt;"",XLOOKUP($F413,Productos!$A:$A,Productos!AH:AH,"Revisar"),"")</f>
        <v/>
      </c>
      <c r="AP413" s="179" t="str">
        <f t="array" ref="AP413">IF($F413&lt;&gt;"", XLOOKUP($F413,Productos!$A$2:$A1001,Productos!AI$2:AI1001,"")*$G413,"")</f>
        <v/>
      </c>
      <c r="AQ413" s="179" t="str">
        <f t="array" ref="AQ413">IF($F413&lt;&gt;"",XLOOKUP($F413,Productos!$A:$A,Productos!AJ:AJ,"Revisar"),"")</f>
        <v/>
      </c>
      <c r="AR413" s="179" t="str">
        <f t="array" ref="AR413">IF($F413&lt;&gt;"", XLOOKUP($F413,Productos!$A$2:$A1001,Productos!AK$2:AK1001,"")*$G413,"")</f>
        <v/>
      </c>
      <c r="AS413" s="179" t="str">
        <f t="array" ref="AS413">IF($F413&lt;&gt;"",XLOOKUP($F413,Productos!$A:$A,Productos!AL:AL,"Revisar"),"")</f>
        <v/>
      </c>
      <c r="AT413" s="179" t="str">
        <f t="array" ref="AT413">IF($F413&lt;&gt;"", XLOOKUP($F413,Productos!$A$2:$A1001,Productos!AM$2:AM1001,"")*$G413,"")</f>
        <v/>
      </c>
      <c r="AU413" s="179" t="str">
        <f t="array" ref="AU413">IF($F413&lt;&gt;"",XLOOKUP($F413,Productos!$A:$A,Productos!AN:AN,"Revisar"),"")</f>
        <v/>
      </c>
      <c r="AV413" s="179" t="str">
        <f t="array" ref="AV413">IF($F413&lt;&gt;"", XLOOKUP($F413,Productos!$A$2:$A1001,Productos!AO$2:AO1001,"")*$G413,"")</f>
        <v/>
      </c>
      <c r="AW413" s="179" t="str">
        <f t="array" ref="AW413">IF($F413&lt;&gt;"",XLOOKUP($F413,Productos!$A:$A,Productos!AP:AP,"Revisar"),"")</f>
        <v/>
      </c>
      <c r="AX413" s="179" t="str">
        <f t="array" ref="AX413">IF($F413&lt;&gt;"", XLOOKUP($F413,Productos!$A$2:$A1001,Productos!AQ$2:AQ1001,"")*$G413,"")</f>
        <v/>
      </c>
      <c r="AY413" s="179" t="str">
        <f t="array" ref="AY413">IF($F413&lt;&gt;"",XLOOKUP($F413,Productos!$A:$A,Productos!AR:AR,"Revisar"),"")</f>
        <v/>
      </c>
      <c r="AZ413" s="179" t="str">
        <f t="array" ref="AZ413">IF($F413&lt;&gt;"", XLOOKUP($F413,Productos!$A$2:$A1001,Productos!AS$2:AS1001,"")*$G413,"")</f>
        <v/>
      </c>
      <c r="BA413" s="179" t="str">
        <f t="array" ref="BA413">IF($F413&lt;&gt;"",XLOOKUP($F413,Productos!$A:$A,Productos!AT:AT,"Revisar"),"")</f>
        <v/>
      </c>
      <c r="BB413" s="179" t="str">
        <f t="array" ref="BB413">IF($F413&lt;&gt;"", XLOOKUP($F413,Productos!$A$2:$A1001,Productos!AU$2:AU1001,"")*$G413,"")</f>
        <v/>
      </c>
      <c r="BC413" s="179" t="str">
        <f t="array" ref="BC413">IF($F413&lt;&gt;"",XLOOKUP($F413,Productos!$A:$A,Productos!AV:AV,"Revisar"),"")</f>
        <v/>
      </c>
      <c r="BD413" s="179" t="str">
        <f t="array" ref="BD413">IF($F413&lt;&gt;"", XLOOKUP($F413,Productos!$A$2:$A1001,Productos!AW$2:AW1001,"")*$G413,"")</f>
        <v/>
      </c>
      <c r="BE413" s="179" t="str">
        <f t="array" ref="BE413">IF($F413&lt;&gt;"",XLOOKUP($F413,Productos!$A:$A,Productos!AX:AX,"Revisar"),"")</f>
        <v/>
      </c>
      <c r="BF413" s="179" t="str">
        <f t="array" ref="BF413">IF($F413&lt;&gt;"", XLOOKUP($F413,Productos!$A$2:$A1001,Productos!AY$2:AY1001,"")*$G413,"")</f>
        <v/>
      </c>
      <c r="BG413" s="179" t="str">
        <f t="array" ref="BG413">IF($F413&lt;&gt;"",XLOOKUP($F413,Productos!$A:$A,Productos!AZ:AZ,"Revisar"),"")</f>
        <v/>
      </c>
      <c r="BH413" s="179" t="str">
        <f t="array" ref="BH413">IF($F413&lt;&gt;"", XLOOKUP($F413,Productos!$A$2:$A1001,Productos!BA$2:BA1001,"")*$G413,"")</f>
        <v/>
      </c>
      <c r="BI413" s="179" t="str">
        <f t="array" ref="BI413">IF($F413&lt;&gt;"",XLOOKUP($F413,Productos!$A:$A,Productos!BB:BB,"Revisar"),"")</f>
        <v/>
      </c>
      <c r="BJ413" s="179" t="str">
        <f t="array" ref="BJ413">IF($F413&lt;&gt;"", XLOOKUP($F413,Productos!$A$2:$A1001,Productos!BC$2:BC1001,"")*$G413,"")</f>
        <v/>
      </c>
      <c r="BK413" s="179" t="str">
        <f t="array" ref="BK413">IF($F413&lt;&gt;"",XLOOKUP($F413,Productos!$A:$A,Productos!BD:BD,"Revisar"),"")</f>
        <v/>
      </c>
      <c r="BL413" s="179" t="str">
        <f t="array" ref="BL413">IF($F413&lt;&gt;"", XLOOKUP($F413,Productos!$A$2:$A1001,Productos!BE$2:BE1001,"")*$G413,"")</f>
        <v/>
      </c>
      <c r="BM413" s="179" t="str">
        <f t="array" ref="BM413">IF($F413&lt;&gt;"",XLOOKUP($F413,Productos!$A:$A,Productos!BF:BF,"Revisar"),"")</f>
        <v/>
      </c>
      <c r="BN413" s="179" t="str">
        <f t="array" ref="BN413">IF($F413&lt;&gt;"", XLOOKUP($F413,Productos!$A$2:$A1001,Productos!BG$2:BG1001,"")*$G413,"")</f>
        <v/>
      </c>
      <c r="BO413" s="179" t="str">
        <f t="array" ref="BO413">IF($F413&lt;&gt;"",XLOOKUP($F413,Productos!$A:$A,Productos!BH:BH,"Revisar"),"")</f>
        <v/>
      </c>
      <c r="BP413" s="179" t="str">
        <f t="array" ref="BP413">IF($F413&lt;&gt;"", XLOOKUP($F413,Productos!$A$2:$A1001,Productos!BI$2:BI1001,"")*$G413,"")</f>
        <v/>
      </c>
      <c r="BQ413" s="179" t="str">
        <f t="array" ref="BQ413">IF($F413&lt;&gt;"",XLOOKUP($F413,Productos!$A:$A,Productos!BJ:BJ,"Revisar"),"")</f>
        <v/>
      </c>
      <c r="BR413" s="179" t="str">
        <f t="array" ref="BR413">IF($F413&lt;&gt;"", XLOOKUP($F413,Productos!$A$2:$A1001,Productos!BK$2:BK1001,"")*$G413,"")</f>
        <v/>
      </c>
      <c r="BS413" s="179" t="str">
        <f t="array" ref="BS413">IF($F413&lt;&gt;"",XLOOKUP($F413,Productos!$A:$A,Productos!BL:BL,"Revisar"),"")</f>
        <v/>
      </c>
      <c r="BT413" s="179" t="str">
        <f t="array" ref="BT413">IF($F413&lt;&gt;"", XLOOKUP($F413,Productos!$A$2:$A1001,Productos!BM$2:BM1001,"")*$G413,"")</f>
        <v/>
      </c>
      <c r="BU413" s="179" t="str">
        <f t="array" ref="BU413">IF($F413&lt;&gt;"",XLOOKUP($F413,Productos!$A:$A,Productos!BN:BN,"Revisar"),"")</f>
        <v/>
      </c>
      <c r="BV413" s="179" t="str">
        <f t="array" ref="BV413">IF($F413&lt;&gt;"", XLOOKUP($F413,Productos!$A$2:$A1001,Productos!BO$2:BO1001,"")*$G413,"")</f>
        <v/>
      </c>
      <c r="BW413" s="179" t="str">
        <f t="array" ref="BW413">IF($F413&lt;&gt;"",XLOOKUP($F413,Productos!$A:$A,Productos!BP:BP,"Revisar"),"")</f>
        <v/>
      </c>
      <c r="BX413" s="179" t="str">
        <f t="array" ref="BX413">IF($F413&lt;&gt;"", XLOOKUP($F413,Productos!$A$2:$A1001,Productos!BQ$2:BQ1001,"")*$G413,"")</f>
        <v/>
      </c>
      <c r="BY413" s="179" t="str">
        <f t="array" ref="BY413">IF($F413&lt;&gt;"",XLOOKUP($F413,Productos!$A:$A,Productos!BR:BR,"Revisar"),"")</f>
        <v/>
      </c>
      <c r="BZ413" s="179" t="str">
        <f t="array" ref="BZ413">IF($F413&lt;&gt;"", XLOOKUP($F413,Productos!$A$2:$A1001,Productos!BS$2:BS1001,"")*$G413,"")</f>
        <v/>
      </c>
    </row>
    <row r="414">
      <c r="A414" s="188"/>
      <c r="B414" s="189"/>
      <c r="C414" s="190"/>
      <c r="D414" s="190"/>
      <c r="E414" s="191"/>
      <c r="F414" s="186"/>
      <c r="G414" s="192"/>
      <c r="H414" s="9"/>
      <c r="I414" s="179" t="str">
        <f t="array" ref="I414">IF($F414&lt;&gt;"",XLOOKUP($F414,Productos!$A:$A,Productos!B:B,"Revisar"),"")</f>
        <v/>
      </c>
      <c r="J414" s="179" t="str">
        <f t="array" ref="J414">IF($F414&lt;&gt;"", XLOOKUP($F414,Productos!$A$2:$A1001,Productos!C$2:C1001,"")*$G414,"")</f>
        <v/>
      </c>
      <c r="K414" s="179" t="str">
        <f t="array" ref="K414">IF($F414&lt;&gt;"",XLOOKUP($F414,Productos!$A:$A,Productos!D:D,"Revisar"),"")</f>
        <v/>
      </c>
      <c r="L414" s="179" t="str">
        <f t="array" ref="L414">IF($F414&lt;&gt;"", XLOOKUP($F414,Productos!$A$2:$A1001,Productos!E$2:E1001,"")*$G414,"")</f>
        <v/>
      </c>
      <c r="M414" s="179" t="str">
        <f t="array" ref="M414">IF($F414&lt;&gt;"",XLOOKUP($F414,Productos!$A:$A,Productos!F:F,"Revisar"),"")</f>
        <v/>
      </c>
      <c r="N414" s="179" t="str">
        <f t="array" ref="N414">IF($F414&lt;&gt;"", XLOOKUP($F414,Productos!$A$2:$A1001,Productos!G$2:G1001,"")*$G414,"")</f>
        <v/>
      </c>
      <c r="O414" s="179" t="str">
        <f t="array" ref="O414">IF($F414&lt;&gt;"",XLOOKUP($F414,Productos!$A:$A,Productos!H:H,"Revisar"),"")</f>
        <v/>
      </c>
      <c r="P414" s="179" t="str">
        <f t="array" ref="P414">IF($F414&lt;&gt;"", XLOOKUP($F414,Productos!$A$2:$A1001,Productos!I$2:I1001,"")*$G414,"")</f>
        <v/>
      </c>
      <c r="Q414" s="179" t="str">
        <f t="array" ref="Q414">IF($F414&lt;&gt;"",XLOOKUP($F414,Productos!$A:$A,Productos!J:J,"Revisar"),"")</f>
        <v/>
      </c>
      <c r="R414" s="179" t="str">
        <f t="array" ref="R414">IF($F414&lt;&gt;"", XLOOKUP($F414,Productos!$A$2:$A1001,Productos!K$2:K1001,"")*$G414,"")</f>
        <v/>
      </c>
      <c r="S414" s="179" t="str">
        <f t="array" ref="S414">IF($F414&lt;&gt;"",XLOOKUP($F414,Productos!$A:$A,Productos!L:L,"Revisar"),"")</f>
        <v/>
      </c>
      <c r="T414" s="179" t="str">
        <f t="array" ref="T414">IF($F414&lt;&gt;"", XLOOKUP($F414,Productos!$A$2:$A1001,Productos!M$2:M1001,"")*$G414,"")</f>
        <v/>
      </c>
      <c r="U414" s="179" t="str">
        <f t="array" ref="U414">IF($F414&lt;&gt;"",XLOOKUP($F414,Productos!$A:$A,Productos!N:N,"Revisar"),"")</f>
        <v/>
      </c>
      <c r="V414" s="179" t="str">
        <f t="array" ref="V414">IF($F414&lt;&gt;"", XLOOKUP($F414,Productos!$A$2:$A1001,Productos!O$2:O1001,"")*$G414,"")</f>
        <v/>
      </c>
      <c r="W414" s="179" t="str">
        <f t="array" ref="W414">IF($F414&lt;&gt;"",XLOOKUP($F414,Productos!$A:$A,Productos!P:P,"Revisar"),"")</f>
        <v/>
      </c>
      <c r="X414" s="179" t="str">
        <f t="array" ref="X414">IF($F414&lt;&gt;"", XLOOKUP($F414,Productos!$A$2:$A1001,Productos!Q$2:Q1001,"")*$G414,"")</f>
        <v/>
      </c>
      <c r="Y414" s="179" t="str">
        <f t="array" ref="Y414">IF($F414&lt;&gt;"",XLOOKUP($F414,Productos!$A:$A,Productos!R:R,"Revisar"),"")</f>
        <v/>
      </c>
      <c r="Z414" s="179" t="str">
        <f t="array" ref="Z414">IF($F414&lt;&gt;"", XLOOKUP($F414,Productos!$A$2:$A1001,Productos!S$2:S1001,"")*$G414,"")</f>
        <v/>
      </c>
      <c r="AA414" s="179" t="str">
        <f t="array" ref="AA414">IF($F414&lt;&gt;"",XLOOKUP($F414,Productos!$A:$A,Productos!T:T,"Revisar"),"")</f>
        <v/>
      </c>
      <c r="AB414" s="179" t="str">
        <f t="array" ref="AB414">IF($F414&lt;&gt;"", XLOOKUP($F414,Productos!$A$2:$A1001,Productos!U$2:U1001,"")*$G414,"")</f>
        <v/>
      </c>
      <c r="AC414" s="179" t="str">
        <f t="array" ref="AC414">IF($F414&lt;&gt;"",XLOOKUP($F414,Productos!$A:$A,Productos!V:V,"Revisar"),"")</f>
        <v/>
      </c>
      <c r="AD414" s="179" t="str">
        <f t="array" ref="AD414">IF($F414&lt;&gt;"", XLOOKUP($F414,Productos!$A$2:$A1001,Productos!W$2:W1001,"")*$G414,"")</f>
        <v/>
      </c>
      <c r="AE414" s="179" t="str">
        <f t="array" ref="AE414">IF($F414&lt;&gt;"",XLOOKUP($F414,Productos!$A:$A,Productos!X:X,"Revisar"),"")</f>
        <v/>
      </c>
      <c r="AF414" s="179" t="str">
        <f t="array" ref="AF414">IF($F414&lt;&gt;"", XLOOKUP($F414,Productos!$A$2:$A1001,Productos!Y$2:Y1001,"")*$G414,"")</f>
        <v/>
      </c>
      <c r="AG414" s="179" t="str">
        <f t="array" ref="AG414">IF($F414&lt;&gt;"",XLOOKUP($F414,Productos!$A:$A,Productos!Z:Z,"Revisar"),"")</f>
        <v/>
      </c>
      <c r="AH414" s="179" t="str">
        <f t="array" ref="AH414">IF($F414&lt;&gt;"", XLOOKUP($F414,Productos!$A$2:$A1001,Productos!AA$2:AA1001,"")*$G414,"")</f>
        <v/>
      </c>
      <c r="AI414" s="179" t="str">
        <f t="array" ref="AI414">IF($F414&lt;&gt;"",XLOOKUP($F414,Productos!$A:$A,Productos!AB:AB,"Revisar"),"")</f>
        <v/>
      </c>
      <c r="AJ414" s="179" t="str">
        <f t="array" ref="AJ414">IF($F414&lt;&gt;"", XLOOKUP($F414,Productos!$A$2:$A1001,Productos!AC$2:AC1001,"")*$G414,"")</f>
        <v/>
      </c>
      <c r="AK414" s="179" t="str">
        <f t="array" ref="AK414">IF($F414&lt;&gt;"",XLOOKUP($F414,Productos!$A:$A,Productos!AD:AD,"Revisar"),"")</f>
        <v/>
      </c>
      <c r="AL414" s="179" t="str">
        <f t="array" ref="AL414">IF($F414&lt;&gt;"", XLOOKUP($F414,Productos!$A$2:$A1001,Productos!AE$2:AE1001,"")*$G414,"")</f>
        <v/>
      </c>
      <c r="AM414" s="179" t="str">
        <f t="array" ref="AM414">IF($F414&lt;&gt;"",XLOOKUP($F414,Productos!$A:$A,Productos!AF:AF,"Revisar"),"")</f>
        <v/>
      </c>
      <c r="AN414" s="179" t="str">
        <f t="array" ref="AN414">IF($F414&lt;&gt;"", XLOOKUP($F414,Productos!$A$2:$A1001,Productos!AG$2:AG1001,"")*$G414,"")</f>
        <v/>
      </c>
      <c r="AO414" s="179" t="str">
        <f t="array" ref="AO414">IF($F414&lt;&gt;"",XLOOKUP($F414,Productos!$A:$A,Productos!AH:AH,"Revisar"),"")</f>
        <v/>
      </c>
      <c r="AP414" s="179" t="str">
        <f t="array" ref="AP414">IF($F414&lt;&gt;"", XLOOKUP($F414,Productos!$A$2:$A1001,Productos!AI$2:AI1001,"")*$G414,"")</f>
        <v/>
      </c>
      <c r="AQ414" s="179" t="str">
        <f t="array" ref="AQ414">IF($F414&lt;&gt;"",XLOOKUP($F414,Productos!$A:$A,Productos!AJ:AJ,"Revisar"),"")</f>
        <v/>
      </c>
      <c r="AR414" s="179" t="str">
        <f t="array" ref="AR414">IF($F414&lt;&gt;"", XLOOKUP($F414,Productos!$A$2:$A1001,Productos!AK$2:AK1001,"")*$G414,"")</f>
        <v/>
      </c>
      <c r="AS414" s="179" t="str">
        <f t="array" ref="AS414">IF($F414&lt;&gt;"",XLOOKUP($F414,Productos!$A:$A,Productos!AL:AL,"Revisar"),"")</f>
        <v/>
      </c>
      <c r="AT414" s="179" t="str">
        <f t="array" ref="AT414">IF($F414&lt;&gt;"", XLOOKUP($F414,Productos!$A$2:$A1001,Productos!AM$2:AM1001,"")*$G414,"")</f>
        <v/>
      </c>
      <c r="AU414" s="179" t="str">
        <f t="array" ref="AU414">IF($F414&lt;&gt;"",XLOOKUP($F414,Productos!$A:$A,Productos!AN:AN,"Revisar"),"")</f>
        <v/>
      </c>
      <c r="AV414" s="179" t="str">
        <f t="array" ref="AV414">IF($F414&lt;&gt;"", XLOOKUP($F414,Productos!$A$2:$A1001,Productos!AO$2:AO1001,"")*$G414,"")</f>
        <v/>
      </c>
      <c r="AW414" s="179" t="str">
        <f t="array" ref="AW414">IF($F414&lt;&gt;"",XLOOKUP($F414,Productos!$A:$A,Productos!AP:AP,"Revisar"),"")</f>
        <v/>
      </c>
      <c r="AX414" s="179" t="str">
        <f t="array" ref="AX414">IF($F414&lt;&gt;"", XLOOKUP($F414,Productos!$A$2:$A1001,Productos!AQ$2:AQ1001,"")*$G414,"")</f>
        <v/>
      </c>
      <c r="AY414" s="179" t="str">
        <f t="array" ref="AY414">IF($F414&lt;&gt;"",XLOOKUP($F414,Productos!$A:$A,Productos!AR:AR,"Revisar"),"")</f>
        <v/>
      </c>
      <c r="AZ414" s="179" t="str">
        <f t="array" ref="AZ414">IF($F414&lt;&gt;"", XLOOKUP($F414,Productos!$A$2:$A1001,Productos!AS$2:AS1001,"")*$G414,"")</f>
        <v/>
      </c>
      <c r="BA414" s="179" t="str">
        <f t="array" ref="BA414">IF($F414&lt;&gt;"",XLOOKUP($F414,Productos!$A:$A,Productos!AT:AT,"Revisar"),"")</f>
        <v/>
      </c>
      <c r="BB414" s="179" t="str">
        <f t="array" ref="BB414">IF($F414&lt;&gt;"", XLOOKUP($F414,Productos!$A$2:$A1001,Productos!AU$2:AU1001,"")*$G414,"")</f>
        <v/>
      </c>
      <c r="BC414" s="179" t="str">
        <f t="array" ref="BC414">IF($F414&lt;&gt;"",XLOOKUP($F414,Productos!$A:$A,Productos!AV:AV,"Revisar"),"")</f>
        <v/>
      </c>
      <c r="BD414" s="179" t="str">
        <f t="array" ref="BD414">IF($F414&lt;&gt;"", XLOOKUP($F414,Productos!$A$2:$A1001,Productos!AW$2:AW1001,"")*$G414,"")</f>
        <v/>
      </c>
      <c r="BE414" s="179" t="str">
        <f t="array" ref="BE414">IF($F414&lt;&gt;"",XLOOKUP($F414,Productos!$A:$A,Productos!AX:AX,"Revisar"),"")</f>
        <v/>
      </c>
      <c r="BF414" s="179" t="str">
        <f t="array" ref="BF414">IF($F414&lt;&gt;"", XLOOKUP($F414,Productos!$A$2:$A1001,Productos!AY$2:AY1001,"")*$G414,"")</f>
        <v/>
      </c>
      <c r="BG414" s="179" t="str">
        <f t="array" ref="BG414">IF($F414&lt;&gt;"",XLOOKUP($F414,Productos!$A:$A,Productos!AZ:AZ,"Revisar"),"")</f>
        <v/>
      </c>
      <c r="BH414" s="179" t="str">
        <f t="array" ref="BH414">IF($F414&lt;&gt;"", XLOOKUP($F414,Productos!$A$2:$A1001,Productos!BA$2:BA1001,"")*$G414,"")</f>
        <v/>
      </c>
      <c r="BI414" s="179" t="str">
        <f t="array" ref="BI414">IF($F414&lt;&gt;"",XLOOKUP($F414,Productos!$A:$A,Productos!BB:BB,"Revisar"),"")</f>
        <v/>
      </c>
      <c r="BJ414" s="179" t="str">
        <f t="array" ref="BJ414">IF($F414&lt;&gt;"", XLOOKUP($F414,Productos!$A$2:$A1001,Productos!BC$2:BC1001,"")*$G414,"")</f>
        <v/>
      </c>
      <c r="BK414" s="179" t="str">
        <f t="array" ref="BK414">IF($F414&lt;&gt;"",XLOOKUP($F414,Productos!$A:$A,Productos!BD:BD,"Revisar"),"")</f>
        <v/>
      </c>
      <c r="BL414" s="179" t="str">
        <f t="array" ref="BL414">IF($F414&lt;&gt;"", XLOOKUP($F414,Productos!$A$2:$A1001,Productos!BE$2:BE1001,"")*$G414,"")</f>
        <v/>
      </c>
      <c r="BM414" s="179" t="str">
        <f t="array" ref="BM414">IF($F414&lt;&gt;"",XLOOKUP($F414,Productos!$A:$A,Productos!BF:BF,"Revisar"),"")</f>
        <v/>
      </c>
      <c r="BN414" s="179" t="str">
        <f t="array" ref="BN414">IF($F414&lt;&gt;"", XLOOKUP($F414,Productos!$A$2:$A1001,Productos!BG$2:BG1001,"")*$G414,"")</f>
        <v/>
      </c>
      <c r="BO414" s="179" t="str">
        <f t="array" ref="BO414">IF($F414&lt;&gt;"",XLOOKUP($F414,Productos!$A:$A,Productos!BH:BH,"Revisar"),"")</f>
        <v/>
      </c>
      <c r="BP414" s="179" t="str">
        <f t="array" ref="BP414">IF($F414&lt;&gt;"", XLOOKUP($F414,Productos!$A$2:$A1001,Productos!BI$2:BI1001,"")*$G414,"")</f>
        <v/>
      </c>
      <c r="BQ414" s="179" t="str">
        <f t="array" ref="BQ414">IF($F414&lt;&gt;"",XLOOKUP($F414,Productos!$A:$A,Productos!BJ:BJ,"Revisar"),"")</f>
        <v/>
      </c>
      <c r="BR414" s="179" t="str">
        <f t="array" ref="BR414">IF($F414&lt;&gt;"", XLOOKUP($F414,Productos!$A$2:$A1001,Productos!BK$2:BK1001,"")*$G414,"")</f>
        <v/>
      </c>
      <c r="BS414" s="179" t="str">
        <f t="array" ref="BS414">IF($F414&lt;&gt;"",XLOOKUP($F414,Productos!$A:$A,Productos!BL:BL,"Revisar"),"")</f>
        <v/>
      </c>
      <c r="BT414" s="179" t="str">
        <f t="array" ref="BT414">IF($F414&lt;&gt;"", XLOOKUP($F414,Productos!$A$2:$A1001,Productos!BM$2:BM1001,"")*$G414,"")</f>
        <v/>
      </c>
      <c r="BU414" s="179" t="str">
        <f t="array" ref="BU414">IF($F414&lt;&gt;"",XLOOKUP($F414,Productos!$A:$A,Productos!BN:BN,"Revisar"),"")</f>
        <v/>
      </c>
      <c r="BV414" s="179" t="str">
        <f t="array" ref="BV414">IF($F414&lt;&gt;"", XLOOKUP($F414,Productos!$A$2:$A1001,Productos!BO$2:BO1001,"")*$G414,"")</f>
        <v/>
      </c>
      <c r="BW414" s="179" t="str">
        <f t="array" ref="BW414">IF($F414&lt;&gt;"",XLOOKUP($F414,Productos!$A:$A,Productos!BP:BP,"Revisar"),"")</f>
        <v/>
      </c>
      <c r="BX414" s="179" t="str">
        <f t="array" ref="BX414">IF($F414&lt;&gt;"", XLOOKUP($F414,Productos!$A$2:$A1001,Productos!BQ$2:BQ1001,"")*$G414,"")</f>
        <v/>
      </c>
      <c r="BY414" s="179" t="str">
        <f t="array" ref="BY414">IF($F414&lt;&gt;"",XLOOKUP($F414,Productos!$A:$A,Productos!BR:BR,"Revisar"),"")</f>
        <v/>
      </c>
      <c r="BZ414" s="179" t="str">
        <f t="array" ref="BZ414">IF($F414&lt;&gt;"", XLOOKUP($F414,Productos!$A$2:$A1001,Productos!BS$2:BS1001,"")*$G414,"")</f>
        <v/>
      </c>
    </row>
    <row r="415">
      <c r="A415" s="188"/>
      <c r="B415" s="189"/>
      <c r="C415" s="190"/>
      <c r="D415" s="190"/>
      <c r="E415" s="191"/>
      <c r="F415" s="186"/>
      <c r="G415" s="192"/>
      <c r="H415" s="9"/>
      <c r="I415" s="179" t="str">
        <f t="array" ref="I415">IF($F415&lt;&gt;"",XLOOKUP($F415,Productos!$A:$A,Productos!B:B,"Revisar"),"")</f>
        <v/>
      </c>
      <c r="J415" s="179" t="str">
        <f t="array" ref="J415">IF($F415&lt;&gt;"", XLOOKUP($F415,Productos!$A$2:$A1001,Productos!C$2:C1001,"")*$G415,"")</f>
        <v/>
      </c>
      <c r="K415" s="179" t="str">
        <f t="array" ref="K415">IF($F415&lt;&gt;"",XLOOKUP($F415,Productos!$A:$A,Productos!D:D,"Revisar"),"")</f>
        <v/>
      </c>
      <c r="L415" s="179" t="str">
        <f t="array" ref="L415">IF($F415&lt;&gt;"", XLOOKUP($F415,Productos!$A$2:$A1001,Productos!E$2:E1001,"")*$G415,"")</f>
        <v/>
      </c>
      <c r="M415" s="179" t="str">
        <f t="array" ref="M415">IF($F415&lt;&gt;"",XLOOKUP($F415,Productos!$A:$A,Productos!F:F,"Revisar"),"")</f>
        <v/>
      </c>
      <c r="N415" s="179" t="str">
        <f t="array" ref="N415">IF($F415&lt;&gt;"", XLOOKUP($F415,Productos!$A$2:$A1001,Productos!G$2:G1001,"")*$G415,"")</f>
        <v/>
      </c>
      <c r="O415" s="179" t="str">
        <f t="array" ref="O415">IF($F415&lt;&gt;"",XLOOKUP($F415,Productos!$A:$A,Productos!H:H,"Revisar"),"")</f>
        <v/>
      </c>
      <c r="P415" s="179" t="str">
        <f t="array" ref="P415">IF($F415&lt;&gt;"", XLOOKUP($F415,Productos!$A$2:$A1001,Productos!I$2:I1001,"")*$G415,"")</f>
        <v/>
      </c>
      <c r="Q415" s="179" t="str">
        <f t="array" ref="Q415">IF($F415&lt;&gt;"",XLOOKUP($F415,Productos!$A:$A,Productos!J:J,"Revisar"),"")</f>
        <v/>
      </c>
      <c r="R415" s="179" t="str">
        <f t="array" ref="R415">IF($F415&lt;&gt;"", XLOOKUP($F415,Productos!$A$2:$A1001,Productos!K$2:K1001,"")*$G415,"")</f>
        <v/>
      </c>
      <c r="S415" s="179" t="str">
        <f t="array" ref="S415">IF($F415&lt;&gt;"",XLOOKUP($F415,Productos!$A:$A,Productos!L:L,"Revisar"),"")</f>
        <v/>
      </c>
      <c r="T415" s="179" t="str">
        <f t="array" ref="T415">IF($F415&lt;&gt;"", XLOOKUP($F415,Productos!$A$2:$A1001,Productos!M$2:M1001,"")*$G415,"")</f>
        <v/>
      </c>
      <c r="U415" s="179" t="str">
        <f t="array" ref="U415">IF($F415&lt;&gt;"",XLOOKUP($F415,Productos!$A:$A,Productos!N:N,"Revisar"),"")</f>
        <v/>
      </c>
      <c r="V415" s="179" t="str">
        <f t="array" ref="V415">IF($F415&lt;&gt;"", XLOOKUP($F415,Productos!$A$2:$A1001,Productos!O$2:O1001,"")*$G415,"")</f>
        <v/>
      </c>
      <c r="W415" s="179" t="str">
        <f t="array" ref="W415">IF($F415&lt;&gt;"",XLOOKUP($F415,Productos!$A:$A,Productos!P:P,"Revisar"),"")</f>
        <v/>
      </c>
      <c r="X415" s="179" t="str">
        <f t="array" ref="X415">IF($F415&lt;&gt;"", XLOOKUP($F415,Productos!$A$2:$A1001,Productos!Q$2:Q1001,"")*$G415,"")</f>
        <v/>
      </c>
      <c r="Y415" s="179" t="str">
        <f t="array" ref="Y415">IF($F415&lt;&gt;"",XLOOKUP($F415,Productos!$A:$A,Productos!R:R,"Revisar"),"")</f>
        <v/>
      </c>
      <c r="Z415" s="179" t="str">
        <f t="array" ref="Z415">IF($F415&lt;&gt;"", XLOOKUP($F415,Productos!$A$2:$A1001,Productos!S$2:S1001,"")*$G415,"")</f>
        <v/>
      </c>
      <c r="AA415" s="179" t="str">
        <f t="array" ref="AA415">IF($F415&lt;&gt;"",XLOOKUP($F415,Productos!$A:$A,Productos!T:T,"Revisar"),"")</f>
        <v/>
      </c>
      <c r="AB415" s="179" t="str">
        <f t="array" ref="AB415">IF($F415&lt;&gt;"", XLOOKUP($F415,Productos!$A$2:$A1001,Productos!U$2:U1001,"")*$G415,"")</f>
        <v/>
      </c>
      <c r="AC415" s="179" t="str">
        <f t="array" ref="AC415">IF($F415&lt;&gt;"",XLOOKUP($F415,Productos!$A:$A,Productos!V:V,"Revisar"),"")</f>
        <v/>
      </c>
      <c r="AD415" s="179" t="str">
        <f t="array" ref="AD415">IF($F415&lt;&gt;"", XLOOKUP($F415,Productos!$A$2:$A1001,Productos!W$2:W1001,"")*$G415,"")</f>
        <v/>
      </c>
      <c r="AE415" s="179" t="str">
        <f t="array" ref="AE415">IF($F415&lt;&gt;"",XLOOKUP($F415,Productos!$A:$A,Productos!X:X,"Revisar"),"")</f>
        <v/>
      </c>
      <c r="AF415" s="179" t="str">
        <f t="array" ref="AF415">IF($F415&lt;&gt;"", XLOOKUP($F415,Productos!$A$2:$A1001,Productos!Y$2:Y1001,"")*$G415,"")</f>
        <v/>
      </c>
      <c r="AG415" s="179" t="str">
        <f t="array" ref="AG415">IF($F415&lt;&gt;"",XLOOKUP($F415,Productos!$A:$A,Productos!Z:Z,"Revisar"),"")</f>
        <v/>
      </c>
      <c r="AH415" s="179" t="str">
        <f t="array" ref="AH415">IF($F415&lt;&gt;"", XLOOKUP($F415,Productos!$A$2:$A1001,Productos!AA$2:AA1001,"")*$G415,"")</f>
        <v/>
      </c>
      <c r="AI415" s="179" t="str">
        <f t="array" ref="AI415">IF($F415&lt;&gt;"",XLOOKUP($F415,Productos!$A:$A,Productos!AB:AB,"Revisar"),"")</f>
        <v/>
      </c>
      <c r="AJ415" s="179" t="str">
        <f t="array" ref="AJ415">IF($F415&lt;&gt;"", XLOOKUP($F415,Productos!$A$2:$A1001,Productos!AC$2:AC1001,"")*$G415,"")</f>
        <v/>
      </c>
      <c r="AK415" s="179" t="str">
        <f t="array" ref="AK415">IF($F415&lt;&gt;"",XLOOKUP($F415,Productos!$A:$A,Productos!AD:AD,"Revisar"),"")</f>
        <v/>
      </c>
      <c r="AL415" s="179" t="str">
        <f t="array" ref="AL415">IF($F415&lt;&gt;"", XLOOKUP($F415,Productos!$A$2:$A1001,Productos!AE$2:AE1001,"")*$G415,"")</f>
        <v/>
      </c>
      <c r="AM415" s="179" t="str">
        <f t="array" ref="AM415">IF($F415&lt;&gt;"",XLOOKUP($F415,Productos!$A:$A,Productos!AF:AF,"Revisar"),"")</f>
        <v/>
      </c>
      <c r="AN415" s="179" t="str">
        <f t="array" ref="AN415">IF($F415&lt;&gt;"", XLOOKUP($F415,Productos!$A$2:$A1001,Productos!AG$2:AG1001,"")*$G415,"")</f>
        <v/>
      </c>
      <c r="AO415" s="179" t="str">
        <f t="array" ref="AO415">IF($F415&lt;&gt;"",XLOOKUP($F415,Productos!$A:$A,Productos!AH:AH,"Revisar"),"")</f>
        <v/>
      </c>
      <c r="AP415" s="179" t="str">
        <f t="array" ref="AP415">IF($F415&lt;&gt;"", XLOOKUP($F415,Productos!$A$2:$A1001,Productos!AI$2:AI1001,"")*$G415,"")</f>
        <v/>
      </c>
      <c r="AQ415" s="179" t="str">
        <f t="array" ref="AQ415">IF($F415&lt;&gt;"",XLOOKUP($F415,Productos!$A:$A,Productos!AJ:AJ,"Revisar"),"")</f>
        <v/>
      </c>
      <c r="AR415" s="179" t="str">
        <f t="array" ref="AR415">IF($F415&lt;&gt;"", XLOOKUP($F415,Productos!$A$2:$A1001,Productos!AK$2:AK1001,"")*$G415,"")</f>
        <v/>
      </c>
      <c r="AS415" s="179" t="str">
        <f t="array" ref="AS415">IF($F415&lt;&gt;"",XLOOKUP($F415,Productos!$A:$A,Productos!AL:AL,"Revisar"),"")</f>
        <v/>
      </c>
      <c r="AT415" s="179" t="str">
        <f t="array" ref="AT415">IF($F415&lt;&gt;"", XLOOKUP($F415,Productos!$A$2:$A1001,Productos!AM$2:AM1001,"")*$G415,"")</f>
        <v/>
      </c>
      <c r="AU415" s="179" t="str">
        <f t="array" ref="AU415">IF($F415&lt;&gt;"",XLOOKUP($F415,Productos!$A:$A,Productos!AN:AN,"Revisar"),"")</f>
        <v/>
      </c>
      <c r="AV415" s="179" t="str">
        <f t="array" ref="AV415">IF($F415&lt;&gt;"", XLOOKUP($F415,Productos!$A$2:$A1001,Productos!AO$2:AO1001,"")*$G415,"")</f>
        <v/>
      </c>
      <c r="AW415" s="179" t="str">
        <f t="array" ref="AW415">IF($F415&lt;&gt;"",XLOOKUP($F415,Productos!$A:$A,Productos!AP:AP,"Revisar"),"")</f>
        <v/>
      </c>
      <c r="AX415" s="179" t="str">
        <f t="array" ref="AX415">IF($F415&lt;&gt;"", XLOOKUP($F415,Productos!$A$2:$A1001,Productos!AQ$2:AQ1001,"")*$G415,"")</f>
        <v/>
      </c>
      <c r="AY415" s="179" t="str">
        <f t="array" ref="AY415">IF($F415&lt;&gt;"",XLOOKUP($F415,Productos!$A:$A,Productos!AR:AR,"Revisar"),"")</f>
        <v/>
      </c>
      <c r="AZ415" s="179" t="str">
        <f t="array" ref="AZ415">IF($F415&lt;&gt;"", XLOOKUP($F415,Productos!$A$2:$A1001,Productos!AS$2:AS1001,"")*$G415,"")</f>
        <v/>
      </c>
      <c r="BA415" s="179" t="str">
        <f t="array" ref="BA415">IF($F415&lt;&gt;"",XLOOKUP($F415,Productos!$A:$A,Productos!AT:AT,"Revisar"),"")</f>
        <v/>
      </c>
      <c r="BB415" s="179" t="str">
        <f t="array" ref="BB415">IF($F415&lt;&gt;"", XLOOKUP($F415,Productos!$A$2:$A1001,Productos!AU$2:AU1001,"")*$G415,"")</f>
        <v/>
      </c>
      <c r="BC415" s="179" t="str">
        <f t="array" ref="BC415">IF($F415&lt;&gt;"",XLOOKUP($F415,Productos!$A:$A,Productos!AV:AV,"Revisar"),"")</f>
        <v/>
      </c>
      <c r="BD415" s="179" t="str">
        <f t="array" ref="BD415">IF($F415&lt;&gt;"", XLOOKUP($F415,Productos!$A$2:$A1001,Productos!AW$2:AW1001,"")*$G415,"")</f>
        <v/>
      </c>
      <c r="BE415" s="179" t="str">
        <f t="array" ref="BE415">IF($F415&lt;&gt;"",XLOOKUP($F415,Productos!$A:$A,Productos!AX:AX,"Revisar"),"")</f>
        <v/>
      </c>
      <c r="BF415" s="179" t="str">
        <f t="array" ref="BF415">IF($F415&lt;&gt;"", XLOOKUP($F415,Productos!$A$2:$A1001,Productos!AY$2:AY1001,"")*$G415,"")</f>
        <v/>
      </c>
      <c r="BG415" s="179" t="str">
        <f t="array" ref="BG415">IF($F415&lt;&gt;"",XLOOKUP($F415,Productos!$A:$A,Productos!AZ:AZ,"Revisar"),"")</f>
        <v/>
      </c>
      <c r="BH415" s="179" t="str">
        <f t="array" ref="BH415">IF($F415&lt;&gt;"", XLOOKUP($F415,Productos!$A$2:$A1001,Productos!BA$2:BA1001,"")*$G415,"")</f>
        <v/>
      </c>
      <c r="BI415" s="179" t="str">
        <f t="array" ref="BI415">IF($F415&lt;&gt;"",XLOOKUP($F415,Productos!$A:$A,Productos!BB:BB,"Revisar"),"")</f>
        <v/>
      </c>
      <c r="BJ415" s="179" t="str">
        <f t="array" ref="BJ415">IF($F415&lt;&gt;"", XLOOKUP($F415,Productos!$A$2:$A1001,Productos!BC$2:BC1001,"")*$G415,"")</f>
        <v/>
      </c>
      <c r="BK415" s="179" t="str">
        <f t="array" ref="BK415">IF($F415&lt;&gt;"",XLOOKUP($F415,Productos!$A:$A,Productos!BD:BD,"Revisar"),"")</f>
        <v/>
      </c>
      <c r="BL415" s="179" t="str">
        <f t="array" ref="BL415">IF($F415&lt;&gt;"", XLOOKUP($F415,Productos!$A$2:$A1001,Productos!BE$2:BE1001,"")*$G415,"")</f>
        <v/>
      </c>
      <c r="BM415" s="179" t="str">
        <f t="array" ref="BM415">IF($F415&lt;&gt;"",XLOOKUP($F415,Productos!$A:$A,Productos!BF:BF,"Revisar"),"")</f>
        <v/>
      </c>
      <c r="BN415" s="179" t="str">
        <f t="array" ref="BN415">IF($F415&lt;&gt;"", XLOOKUP($F415,Productos!$A$2:$A1001,Productos!BG$2:BG1001,"")*$G415,"")</f>
        <v/>
      </c>
      <c r="BO415" s="179" t="str">
        <f t="array" ref="BO415">IF($F415&lt;&gt;"",XLOOKUP($F415,Productos!$A:$A,Productos!BH:BH,"Revisar"),"")</f>
        <v/>
      </c>
      <c r="BP415" s="179" t="str">
        <f t="array" ref="BP415">IF($F415&lt;&gt;"", XLOOKUP($F415,Productos!$A$2:$A1001,Productos!BI$2:BI1001,"")*$G415,"")</f>
        <v/>
      </c>
      <c r="BQ415" s="179" t="str">
        <f t="array" ref="BQ415">IF($F415&lt;&gt;"",XLOOKUP($F415,Productos!$A:$A,Productos!BJ:BJ,"Revisar"),"")</f>
        <v/>
      </c>
      <c r="BR415" s="179" t="str">
        <f t="array" ref="BR415">IF($F415&lt;&gt;"", XLOOKUP($F415,Productos!$A$2:$A1001,Productos!BK$2:BK1001,"")*$G415,"")</f>
        <v/>
      </c>
      <c r="BS415" s="179" t="str">
        <f t="array" ref="BS415">IF($F415&lt;&gt;"",XLOOKUP($F415,Productos!$A:$A,Productos!BL:BL,"Revisar"),"")</f>
        <v/>
      </c>
      <c r="BT415" s="179" t="str">
        <f t="array" ref="BT415">IF($F415&lt;&gt;"", XLOOKUP($F415,Productos!$A$2:$A1001,Productos!BM$2:BM1001,"")*$G415,"")</f>
        <v/>
      </c>
      <c r="BU415" s="179" t="str">
        <f t="array" ref="BU415">IF($F415&lt;&gt;"",XLOOKUP($F415,Productos!$A:$A,Productos!BN:BN,"Revisar"),"")</f>
        <v/>
      </c>
      <c r="BV415" s="179" t="str">
        <f t="array" ref="BV415">IF($F415&lt;&gt;"", XLOOKUP($F415,Productos!$A$2:$A1001,Productos!BO$2:BO1001,"")*$G415,"")</f>
        <v/>
      </c>
      <c r="BW415" s="179" t="str">
        <f t="array" ref="BW415">IF($F415&lt;&gt;"",XLOOKUP($F415,Productos!$A:$A,Productos!BP:BP,"Revisar"),"")</f>
        <v/>
      </c>
      <c r="BX415" s="179" t="str">
        <f t="array" ref="BX415">IF($F415&lt;&gt;"", XLOOKUP($F415,Productos!$A$2:$A1001,Productos!BQ$2:BQ1001,"")*$G415,"")</f>
        <v/>
      </c>
      <c r="BY415" s="179" t="str">
        <f t="array" ref="BY415">IF($F415&lt;&gt;"",XLOOKUP($F415,Productos!$A:$A,Productos!BR:BR,"Revisar"),"")</f>
        <v/>
      </c>
      <c r="BZ415" s="179" t="str">
        <f t="array" ref="BZ415">IF($F415&lt;&gt;"", XLOOKUP($F415,Productos!$A$2:$A1001,Productos!BS$2:BS1001,"")*$G415,"")</f>
        <v/>
      </c>
    </row>
    <row r="416">
      <c r="A416" s="188"/>
      <c r="B416" s="189"/>
      <c r="C416" s="190"/>
      <c r="D416" s="190"/>
      <c r="E416" s="191"/>
      <c r="F416" s="186"/>
      <c r="G416" s="192"/>
      <c r="H416" s="9"/>
      <c r="I416" s="179" t="str">
        <f t="array" ref="I416">IF($F416&lt;&gt;"",XLOOKUP($F416,Productos!$A:$A,Productos!B:B,"Revisar"),"")</f>
        <v/>
      </c>
      <c r="J416" s="179" t="str">
        <f t="array" ref="J416">IF($F416&lt;&gt;"", XLOOKUP($F416,Productos!$A$2:$A1001,Productos!C$2:C1001,"")*$G416,"")</f>
        <v/>
      </c>
      <c r="K416" s="179" t="str">
        <f t="array" ref="K416">IF($F416&lt;&gt;"",XLOOKUP($F416,Productos!$A:$A,Productos!D:D,"Revisar"),"")</f>
        <v/>
      </c>
      <c r="L416" s="179" t="str">
        <f t="array" ref="L416">IF($F416&lt;&gt;"", XLOOKUP($F416,Productos!$A$2:$A1001,Productos!E$2:E1001,"")*$G416,"")</f>
        <v/>
      </c>
      <c r="M416" s="179" t="str">
        <f t="array" ref="M416">IF($F416&lt;&gt;"",XLOOKUP($F416,Productos!$A:$A,Productos!F:F,"Revisar"),"")</f>
        <v/>
      </c>
      <c r="N416" s="179" t="str">
        <f t="array" ref="N416">IF($F416&lt;&gt;"", XLOOKUP($F416,Productos!$A$2:$A1001,Productos!G$2:G1001,"")*$G416,"")</f>
        <v/>
      </c>
      <c r="O416" s="179" t="str">
        <f t="array" ref="O416">IF($F416&lt;&gt;"",XLOOKUP($F416,Productos!$A:$A,Productos!H:H,"Revisar"),"")</f>
        <v/>
      </c>
      <c r="P416" s="179" t="str">
        <f t="array" ref="P416">IF($F416&lt;&gt;"", XLOOKUP($F416,Productos!$A$2:$A1001,Productos!I$2:I1001,"")*$G416,"")</f>
        <v/>
      </c>
      <c r="Q416" s="179" t="str">
        <f t="array" ref="Q416">IF($F416&lt;&gt;"",XLOOKUP($F416,Productos!$A:$A,Productos!J:J,"Revisar"),"")</f>
        <v/>
      </c>
      <c r="R416" s="179" t="str">
        <f t="array" ref="R416">IF($F416&lt;&gt;"", XLOOKUP($F416,Productos!$A$2:$A1001,Productos!K$2:K1001,"")*$G416,"")</f>
        <v/>
      </c>
      <c r="S416" s="179" t="str">
        <f t="array" ref="S416">IF($F416&lt;&gt;"",XLOOKUP($F416,Productos!$A:$A,Productos!L:L,"Revisar"),"")</f>
        <v/>
      </c>
      <c r="T416" s="179" t="str">
        <f t="array" ref="T416">IF($F416&lt;&gt;"", XLOOKUP($F416,Productos!$A$2:$A1001,Productos!M$2:M1001,"")*$G416,"")</f>
        <v/>
      </c>
      <c r="U416" s="179" t="str">
        <f t="array" ref="U416">IF($F416&lt;&gt;"",XLOOKUP($F416,Productos!$A:$A,Productos!N:N,"Revisar"),"")</f>
        <v/>
      </c>
      <c r="V416" s="179" t="str">
        <f t="array" ref="V416">IF($F416&lt;&gt;"", XLOOKUP($F416,Productos!$A$2:$A1001,Productos!O$2:O1001,"")*$G416,"")</f>
        <v/>
      </c>
      <c r="W416" s="179" t="str">
        <f t="array" ref="W416">IF($F416&lt;&gt;"",XLOOKUP($F416,Productos!$A:$A,Productos!P:P,"Revisar"),"")</f>
        <v/>
      </c>
      <c r="X416" s="179" t="str">
        <f t="array" ref="X416">IF($F416&lt;&gt;"", XLOOKUP($F416,Productos!$A$2:$A1001,Productos!Q$2:Q1001,"")*$G416,"")</f>
        <v/>
      </c>
      <c r="Y416" s="179" t="str">
        <f t="array" ref="Y416">IF($F416&lt;&gt;"",XLOOKUP($F416,Productos!$A:$A,Productos!R:R,"Revisar"),"")</f>
        <v/>
      </c>
      <c r="Z416" s="179" t="str">
        <f t="array" ref="Z416">IF($F416&lt;&gt;"", XLOOKUP($F416,Productos!$A$2:$A1001,Productos!S$2:S1001,"")*$G416,"")</f>
        <v/>
      </c>
      <c r="AA416" s="179" t="str">
        <f t="array" ref="AA416">IF($F416&lt;&gt;"",XLOOKUP($F416,Productos!$A:$A,Productos!T:T,"Revisar"),"")</f>
        <v/>
      </c>
      <c r="AB416" s="179" t="str">
        <f t="array" ref="AB416">IF($F416&lt;&gt;"", XLOOKUP($F416,Productos!$A$2:$A1001,Productos!U$2:U1001,"")*$G416,"")</f>
        <v/>
      </c>
      <c r="AC416" s="179" t="str">
        <f t="array" ref="AC416">IF($F416&lt;&gt;"",XLOOKUP($F416,Productos!$A:$A,Productos!V:V,"Revisar"),"")</f>
        <v/>
      </c>
      <c r="AD416" s="179" t="str">
        <f t="array" ref="AD416">IF($F416&lt;&gt;"", XLOOKUP($F416,Productos!$A$2:$A1001,Productos!W$2:W1001,"")*$G416,"")</f>
        <v/>
      </c>
      <c r="AE416" s="179" t="str">
        <f t="array" ref="AE416">IF($F416&lt;&gt;"",XLOOKUP($F416,Productos!$A:$A,Productos!X:X,"Revisar"),"")</f>
        <v/>
      </c>
      <c r="AF416" s="179" t="str">
        <f t="array" ref="AF416">IF($F416&lt;&gt;"", XLOOKUP($F416,Productos!$A$2:$A1001,Productos!Y$2:Y1001,"")*$G416,"")</f>
        <v/>
      </c>
      <c r="AG416" s="179" t="str">
        <f t="array" ref="AG416">IF($F416&lt;&gt;"",XLOOKUP($F416,Productos!$A:$A,Productos!Z:Z,"Revisar"),"")</f>
        <v/>
      </c>
      <c r="AH416" s="179" t="str">
        <f t="array" ref="AH416">IF($F416&lt;&gt;"", XLOOKUP($F416,Productos!$A$2:$A1001,Productos!AA$2:AA1001,"")*$G416,"")</f>
        <v/>
      </c>
      <c r="AI416" s="179" t="str">
        <f t="array" ref="AI416">IF($F416&lt;&gt;"",XLOOKUP($F416,Productos!$A:$A,Productos!AB:AB,"Revisar"),"")</f>
        <v/>
      </c>
      <c r="AJ416" s="179" t="str">
        <f t="array" ref="AJ416">IF($F416&lt;&gt;"", XLOOKUP($F416,Productos!$A$2:$A1001,Productos!AC$2:AC1001,"")*$G416,"")</f>
        <v/>
      </c>
      <c r="AK416" s="179" t="str">
        <f t="array" ref="AK416">IF($F416&lt;&gt;"",XLOOKUP($F416,Productos!$A:$A,Productos!AD:AD,"Revisar"),"")</f>
        <v/>
      </c>
      <c r="AL416" s="179" t="str">
        <f t="array" ref="AL416">IF($F416&lt;&gt;"", XLOOKUP($F416,Productos!$A$2:$A1001,Productos!AE$2:AE1001,"")*$G416,"")</f>
        <v/>
      </c>
      <c r="AM416" s="179" t="str">
        <f t="array" ref="AM416">IF($F416&lt;&gt;"",XLOOKUP($F416,Productos!$A:$A,Productos!AF:AF,"Revisar"),"")</f>
        <v/>
      </c>
      <c r="AN416" s="179" t="str">
        <f t="array" ref="AN416">IF($F416&lt;&gt;"", XLOOKUP($F416,Productos!$A$2:$A1001,Productos!AG$2:AG1001,"")*$G416,"")</f>
        <v/>
      </c>
      <c r="AO416" s="179" t="str">
        <f t="array" ref="AO416">IF($F416&lt;&gt;"",XLOOKUP($F416,Productos!$A:$A,Productos!AH:AH,"Revisar"),"")</f>
        <v/>
      </c>
      <c r="AP416" s="179" t="str">
        <f t="array" ref="AP416">IF($F416&lt;&gt;"", XLOOKUP($F416,Productos!$A$2:$A1001,Productos!AI$2:AI1001,"")*$G416,"")</f>
        <v/>
      </c>
      <c r="AQ416" s="179" t="str">
        <f t="array" ref="AQ416">IF($F416&lt;&gt;"",XLOOKUP($F416,Productos!$A:$A,Productos!AJ:AJ,"Revisar"),"")</f>
        <v/>
      </c>
      <c r="AR416" s="179" t="str">
        <f t="array" ref="AR416">IF($F416&lt;&gt;"", XLOOKUP($F416,Productos!$A$2:$A1001,Productos!AK$2:AK1001,"")*$G416,"")</f>
        <v/>
      </c>
      <c r="AS416" s="179" t="str">
        <f t="array" ref="AS416">IF($F416&lt;&gt;"",XLOOKUP($F416,Productos!$A:$A,Productos!AL:AL,"Revisar"),"")</f>
        <v/>
      </c>
      <c r="AT416" s="179" t="str">
        <f t="array" ref="AT416">IF($F416&lt;&gt;"", XLOOKUP($F416,Productos!$A$2:$A1001,Productos!AM$2:AM1001,"")*$G416,"")</f>
        <v/>
      </c>
      <c r="AU416" s="179" t="str">
        <f t="array" ref="AU416">IF($F416&lt;&gt;"",XLOOKUP($F416,Productos!$A:$A,Productos!AN:AN,"Revisar"),"")</f>
        <v/>
      </c>
      <c r="AV416" s="179" t="str">
        <f t="array" ref="AV416">IF($F416&lt;&gt;"", XLOOKUP($F416,Productos!$A$2:$A1001,Productos!AO$2:AO1001,"")*$G416,"")</f>
        <v/>
      </c>
      <c r="AW416" s="179" t="str">
        <f t="array" ref="AW416">IF($F416&lt;&gt;"",XLOOKUP($F416,Productos!$A:$A,Productos!AP:AP,"Revisar"),"")</f>
        <v/>
      </c>
      <c r="AX416" s="179" t="str">
        <f t="array" ref="AX416">IF($F416&lt;&gt;"", XLOOKUP($F416,Productos!$A$2:$A1001,Productos!AQ$2:AQ1001,"")*$G416,"")</f>
        <v/>
      </c>
      <c r="AY416" s="179" t="str">
        <f t="array" ref="AY416">IF($F416&lt;&gt;"",XLOOKUP($F416,Productos!$A:$A,Productos!AR:AR,"Revisar"),"")</f>
        <v/>
      </c>
      <c r="AZ416" s="179" t="str">
        <f t="array" ref="AZ416">IF($F416&lt;&gt;"", XLOOKUP($F416,Productos!$A$2:$A1001,Productos!AS$2:AS1001,"")*$G416,"")</f>
        <v/>
      </c>
      <c r="BA416" s="179" t="str">
        <f t="array" ref="BA416">IF($F416&lt;&gt;"",XLOOKUP($F416,Productos!$A:$A,Productos!AT:AT,"Revisar"),"")</f>
        <v/>
      </c>
      <c r="BB416" s="179" t="str">
        <f t="array" ref="BB416">IF($F416&lt;&gt;"", XLOOKUP($F416,Productos!$A$2:$A1001,Productos!AU$2:AU1001,"")*$G416,"")</f>
        <v/>
      </c>
      <c r="BC416" s="179" t="str">
        <f t="array" ref="BC416">IF($F416&lt;&gt;"",XLOOKUP($F416,Productos!$A:$A,Productos!AV:AV,"Revisar"),"")</f>
        <v/>
      </c>
      <c r="BD416" s="179" t="str">
        <f t="array" ref="BD416">IF($F416&lt;&gt;"", XLOOKUP($F416,Productos!$A$2:$A1001,Productos!AW$2:AW1001,"")*$G416,"")</f>
        <v/>
      </c>
      <c r="BE416" s="179" t="str">
        <f t="array" ref="BE416">IF($F416&lt;&gt;"",XLOOKUP($F416,Productos!$A:$A,Productos!AX:AX,"Revisar"),"")</f>
        <v/>
      </c>
      <c r="BF416" s="179" t="str">
        <f t="array" ref="BF416">IF($F416&lt;&gt;"", XLOOKUP($F416,Productos!$A$2:$A1001,Productos!AY$2:AY1001,"")*$G416,"")</f>
        <v/>
      </c>
      <c r="BG416" s="179" t="str">
        <f t="array" ref="BG416">IF($F416&lt;&gt;"",XLOOKUP($F416,Productos!$A:$A,Productos!AZ:AZ,"Revisar"),"")</f>
        <v/>
      </c>
      <c r="BH416" s="179" t="str">
        <f t="array" ref="BH416">IF($F416&lt;&gt;"", XLOOKUP($F416,Productos!$A$2:$A1001,Productos!BA$2:BA1001,"")*$G416,"")</f>
        <v/>
      </c>
      <c r="BI416" s="179" t="str">
        <f t="array" ref="BI416">IF($F416&lt;&gt;"",XLOOKUP($F416,Productos!$A:$A,Productos!BB:BB,"Revisar"),"")</f>
        <v/>
      </c>
      <c r="BJ416" s="179" t="str">
        <f t="array" ref="BJ416">IF($F416&lt;&gt;"", XLOOKUP($F416,Productos!$A$2:$A1001,Productos!BC$2:BC1001,"")*$G416,"")</f>
        <v/>
      </c>
      <c r="BK416" s="179" t="str">
        <f t="array" ref="BK416">IF($F416&lt;&gt;"",XLOOKUP($F416,Productos!$A:$A,Productos!BD:BD,"Revisar"),"")</f>
        <v/>
      </c>
      <c r="BL416" s="179" t="str">
        <f t="array" ref="BL416">IF($F416&lt;&gt;"", XLOOKUP($F416,Productos!$A$2:$A1001,Productos!BE$2:BE1001,"")*$G416,"")</f>
        <v/>
      </c>
      <c r="BM416" s="179" t="str">
        <f t="array" ref="BM416">IF($F416&lt;&gt;"",XLOOKUP($F416,Productos!$A:$A,Productos!BF:BF,"Revisar"),"")</f>
        <v/>
      </c>
      <c r="BN416" s="179" t="str">
        <f t="array" ref="BN416">IF($F416&lt;&gt;"", XLOOKUP($F416,Productos!$A$2:$A1001,Productos!BG$2:BG1001,"")*$G416,"")</f>
        <v/>
      </c>
      <c r="BO416" s="179" t="str">
        <f t="array" ref="BO416">IF($F416&lt;&gt;"",XLOOKUP($F416,Productos!$A:$A,Productos!BH:BH,"Revisar"),"")</f>
        <v/>
      </c>
      <c r="BP416" s="179" t="str">
        <f t="array" ref="BP416">IF($F416&lt;&gt;"", XLOOKUP($F416,Productos!$A$2:$A1001,Productos!BI$2:BI1001,"")*$G416,"")</f>
        <v/>
      </c>
      <c r="BQ416" s="179" t="str">
        <f t="array" ref="BQ416">IF($F416&lt;&gt;"",XLOOKUP($F416,Productos!$A:$A,Productos!BJ:BJ,"Revisar"),"")</f>
        <v/>
      </c>
      <c r="BR416" s="179" t="str">
        <f t="array" ref="BR416">IF($F416&lt;&gt;"", XLOOKUP($F416,Productos!$A$2:$A1001,Productos!BK$2:BK1001,"")*$G416,"")</f>
        <v/>
      </c>
      <c r="BS416" s="179" t="str">
        <f t="array" ref="BS416">IF($F416&lt;&gt;"",XLOOKUP($F416,Productos!$A:$A,Productos!BL:BL,"Revisar"),"")</f>
        <v/>
      </c>
      <c r="BT416" s="179" t="str">
        <f t="array" ref="BT416">IF($F416&lt;&gt;"", XLOOKUP($F416,Productos!$A$2:$A1001,Productos!BM$2:BM1001,"")*$G416,"")</f>
        <v/>
      </c>
      <c r="BU416" s="179" t="str">
        <f t="array" ref="BU416">IF($F416&lt;&gt;"",XLOOKUP($F416,Productos!$A:$A,Productos!BN:BN,"Revisar"),"")</f>
        <v/>
      </c>
      <c r="BV416" s="179" t="str">
        <f t="array" ref="BV416">IF($F416&lt;&gt;"", XLOOKUP($F416,Productos!$A$2:$A1001,Productos!BO$2:BO1001,"")*$G416,"")</f>
        <v/>
      </c>
      <c r="BW416" s="179" t="str">
        <f t="array" ref="BW416">IF($F416&lt;&gt;"",XLOOKUP($F416,Productos!$A:$A,Productos!BP:BP,"Revisar"),"")</f>
        <v/>
      </c>
      <c r="BX416" s="179" t="str">
        <f t="array" ref="BX416">IF($F416&lt;&gt;"", XLOOKUP($F416,Productos!$A$2:$A1001,Productos!BQ$2:BQ1001,"")*$G416,"")</f>
        <v/>
      </c>
      <c r="BY416" s="179" t="str">
        <f t="array" ref="BY416">IF($F416&lt;&gt;"",XLOOKUP($F416,Productos!$A:$A,Productos!BR:BR,"Revisar"),"")</f>
        <v/>
      </c>
      <c r="BZ416" s="179" t="str">
        <f t="array" ref="BZ416">IF($F416&lt;&gt;"", XLOOKUP($F416,Productos!$A$2:$A1001,Productos!BS$2:BS1001,"")*$G416,"")</f>
        <v/>
      </c>
    </row>
    <row r="417">
      <c r="A417" s="188"/>
      <c r="B417" s="189"/>
      <c r="C417" s="190"/>
      <c r="D417" s="190"/>
      <c r="E417" s="191"/>
      <c r="F417" s="186"/>
      <c r="G417" s="192"/>
      <c r="H417" s="9"/>
      <c r="I417" s="179" t="str">
        <f t="array" ref="I417">IF($F417&lt;&gt;"",XLOOKUP($F417,Productos!$A:$A,Productos!B:B,"Revisar"),"")</f>
        <v/>
      </c>
      <c r="J417" s="179" t="str">
        <f t="array" ref="J417">IF($F417&lt;&gt;"", XLOOKUP($F417,Productos!$A$2:$A1001,Productos!C$2:C1001,"")*$G417,"")</f>
        <v/>
      </c>
      <c r="K417" s="179" t="str">
        <f t="array" ref="K417">IF($F417&lt;&gt;"",XLOOKUP($F417,Productos!$A:$A,Productos!D:D,"Revisar"),"")</f>
        <v/>
      </c>
      <c r="L417" s="179" t="str">
        <f t="array" ref="L417">IF($F417&lt;&gt;"", XLOOKUP($F417,Productos!$A$2:$A1001,Productos!E$2:E1001,"")*$G417,"")</f>
        <v/>
      </c>
      <c r="M417" s="179" t="str">
        <f t="array" ref="M417">IF($F417&lt;&gt;"",XLOOKUP($F417,Productos!$A:$A,Productos!F:F,"Revisar"),"")</f>
        <v/>
      </c>
      <c r="N417" s="179" t="str">
        <f t="array" ref="N417">IF($F417&lt;&gt;"", XLOOKUP($F417,Productos!$A$2:$A1001,Productos!G$2:G1001,"")*$G417,"")</f>
        <v/>
      </c>
      <c r="O417" s="179" t="str">
        <f t="array" ref="O417">IF($F417&lt;&gt;"",XLOOKUP($F417,Productos!$A:$A,Productos!H:H,"Revisar"),"")</f>
        <v/>
      </c>
      <c r="P417" s="179" t="str">
        <f t="array" ref="P417">IF($F417&lt;&gt;"", XLOOKUP($F417,Productos!$A$2:$A1001,Productos!I$2:I1001,"")*$G417,"")</f>
        <v/>
      </c>
      <c r="Q417" s="179" t="str">
        <f t="array" ref="Q417">IF($F417&lt;&gt;"",XLOOKUP($F417,Productos!$A:$A,Productos!J:J,"Revisar"),"")</f>
        <v/>
      </c>
      <c r="R417" s="179" t="str">
        <f t="array" ref="R417">IF($F417&lt;&gt;"", XLOOKUP($F417,Productos!$A$2:$A1001,Productos!K$2:K1001,"")*$G417,"")</f>
        <v/>
      </c>
      <c r="S417" s="179" t="str">
        <f t="array" ref="S417">IF($F417&lt;&gt;"",XLOOKUP($F417,Productos!$A:$A,Productos!L:L,"Revisar"),"")</f>
        <v/>
      </c>
      <c r="T417" s="179" t="str">
        <f t="array" ref="T417">IF($F417&lt;&gt;"", XLOOKUP($F417,Productos!$A$2:$A1001,Productos!M$2:M1001,"")*$G417,"")</f>
        <v/>
      </c>
      <c r="U417" s="179" t="str">
        <f t="array" ref="U417">IF($F417&lt;&gt;"",XLOOKUP($F417,Productos!$A:$A,Productos!N:N,"Revisar"),"")</f>
        <v/>
      </c>
      <c r="V417" s="179" t="str">
        <f t="array" ref="V417">IF($F417&lt;&gt;"", XLOOKUP($F417,Productos!$A$2:$A1001,Productos!O$2:O1001,"")*$G417,"")</f>
        <v/>
      </c>
      <c r="W417" s="179" t="str">
        <f t="array" ref="W417">IF($F417&lt;&gt;"",XLOOKUP($F417,Productos!$A:$A,Productos!P:P,"Revisar"),"")</f>
        <v/>
      </c>
      <c r="X417" s="179" t="str">
        <f t="array" ref="X417">IF($F417&lt;&gt;"", XLOOKUP($F417,Productos!$A$2:$A1001,Productos!Q$2:Q1001,"")*$G417,"")</f>
        <v/>
      </c>
      <c r="Y417" s="179" t="str">
        <f t="array" ref="Y417">IF($F417&lt;&gt;"",XLOOKUP($F417,Productos!$A:$A,Productos!R:R,"Revisar"),"")</f>
        <v/>
      </c>
      <c r="Z417" s="179" t="str">
        <f t="array" ref="Z417">IF($F417&lt;&gt;"", XLOOKUP($F417,Productos!$A$2:$A1001,Productos!S$2:S1001,"")*$G417,"")</f>
        <v/>
      </c>
      <c r="AA417" s="179" t="str">
        <f t="array" ref="AA417">IF($F417&lt;&gt;"",XLOOKUP($F417,Productos!$A:$A,Productos!T:T,"Revisar"),"")</f>
        <v/>
      </c>
      <c r="AB417" s="179" t="str">
        <f t="array" ref="AB417">IF($F417&lt;&gt;"", XLOOKUP($F417,Productos!$A$2:$A1001,Productos!U$2:U1001,"")*$G417,"")</f>
        <v/>
      </c>
      <c r="AC417" s="179" t="str">
        <f t="array" ref="AC417">IF($F417&lt;&gt;"",XLOOKUP($F417,Productos!$A:$A,Productos!V:V,"Revisar"),"")</f>
        <v/>
      </c>
      <c r="AD417" s="179" t="str">
        <f t="array" ref="AD417">IF($F417&lt;&gt;"", XLOOKUP($F417,Productos!$A$2:$A1001,Productos!W$2:W1001,"")*$G417,"")</f>
        <v/>
      </c>
      <c r="AE417" s="179" t="str">
        <f t="array" ref="AE417">IF($F417&lt;&gt;"",XLOOKUP($F417,Productos!$A:$A,Productos!X:X,"Revisar"),"")</f>
        <v/>
      </c>
      <c r="AF417" s="179" t="str">
        <f t="array" ref="AF417">IF($F417&lt;&gt;"", XLOOKUP($F417,Productos!$A$2:$A1001,Productos!Y$2:Y1001,"")*$G417,"")</f>
        <v/>
      </c>
      <c r="AG417" s="179" t="str">
        <f t="array" ref="AG417">IF($F417&lt;&gt;"",XLOOKUP($F417,Productos!$A:$A,Productos!Z:Z,"Revisar"),"")</f>
        <v/>
      </c>
      <c r="AH417" s="179" t="str">
        <f t="array" ref="AH417">IF($F417&lt;&gt;"", XLOOKUP($F417,Productos!$A$2:$A1001,Productos!AA$2:AA1001,"")*$G417,"")</f>
        <v/>
      </c>
      <c r="AI417" s="179" t="str">
        <f t="array" ref="AI417">IF($F417&lt;&gt;"",XLOOKUP($F417,Productos!$A:$A,Productos!AB:AB,"Revisar"),"")</f>
        <v/>
      </c>
      <c r="AJ417" s="179" t="str">
        <f t="array" ref="AJ417">IF($F417&lt;&gt;"", XLOOKUP($F417,Productos!$A$2:$A1001,Productos!AC$2:AC1001,"")*$G417,"")</f>
        <v/>
      </c>
      <c r="AK417" s="179" t="str">
        <f t="array" ref="AK417">IF($F417&lt;&gt;"",XLOOKUP($F417,Productos!$A:$A,Productos!AD:AD,"Revisar"),"")</f>
        <v/>
      </c>
      <c r="AL417" s="179" t="str">
        <f t="array" ref="AL417">IF($F417&lt;&gt;"", XLOOKUP($F417,Productos!$A$2:$A1001,Productos!AE$2:AE1001,"")*$G417,"")</f>
        <v/>
      </c>
      <c r="AM417" s="179" t="str">
        <f t="array" ref="AM417">IF($F417&lt;&gt;"",XLOOKUP($F417,Productos!$A:$A,Productos!AF:AF,"Revisar"),"")</f>
        <v/>
      </c>
      <c r="AN417" s="179" t="str">
        <f t="array" ref="AN417">IF($F417&lt;&gt;"", XLOOKUP($F417,Productos!$A$2:$A1001,Productos!AG$2:AG1001,"")*$G417,"")</f>
        <v/>
      </c>
      <c r="AO417" s="179" t="str">
        <f t="array" ref="AO417">IF($F417&lt;&gt;"",XLOOKUP($F417,Productos!$A:$A,Productos!AH:AH,"Revisar"),"")</f>
        <v/>
      </c>
      <c r="AP417" s="179" t="str">
        <f t="array" ref="AP417">IF($F417&lt;&gt;"", XLOOKUP($F417,Productos!$A$2:$A1001,Productos!AI$2:AI1001,"")*$G417,"")</f>
        <v/>
      </c>
      <c r="AQ417" s="179" t="str">
        <f t="array" ref="AQ417">IF($F417&lt;&gt;"",XLOOKUP($F417,Productos!$A:$A,Productos!AJ:AJ,"Revisar"),"")</f>
        <v/>
      </c>
      <c r="AR417" s="179" t="str">
        <f t="array" ref="AR417">IF($F417&lt;&gt;"", XLOOKUP($F417,Productos!$A$2:$A1001,Productos!AK$2:AK1001,"")*$G417,"")</f>
        <v/>
      </c>
      <c r="AS417" s="179" t="str">
        <f t="array" ref="AS417">IF($F417&lt;&gt;"",XLOOKUP($F417,Productos!$A:$A,Productos!AL:AL,"Revisar"),"")</f>
        <v/>
      </c>
      <c r="AT417" s="179" t="str">
        <f t="array" ref="AT417">IF($F417&lt;&gt;"", XLOOKUP($F417,Productos!$A$2:$A1001,Productos!AM$2:AM1001,"")*$G417,"")</f>
        <v/>
      </c>
      <c r="AU417" s="179" t="str">
        <f t="array" ref="AU417">IF($F417&lt;&gt;"",XLOOKUP($F417,Productos!$A:$A,Productos!AN:AN,"Revisar"),"")</f>
        <v/>
      </c>
      <c r="AV417" s="179" t="str">
        <f t="array" ref="AV417">IF($F417&lt;&gt;"", XLOOKUP($F417,Productos!$A$2:$A1001,Productos!AO$2:AO1001,"")*$G417,"")</f>
        <v/>
      </c>
      <c r="AW417" s="179" t="str">
        <f t="array" ref="AW417">IF($F417&lt;&gt;"",XLOOKUP($F417,Productos!$A:$A,Productos!AP:AP,"Revisar"),"")</f>
        <v/>
      </c>
      <c r="AX417" s="179" t="str">
        <f t="array" ref="AX417">IF($F417&lt;&gt;"", XLOOKUP($F417,Productos!$A$2:$A1001,Productos!AQ$2:AQ1001,"")*$G417,"")</f>
        <v/>
      </c>
      <c r="AY417" s="179" t="str">
        <f t="array" ref="AY417">IF($F417&lt;&gt;"",XLOOKUP($F417,Productos!$A:$A,Productos!AR:AR,"Revisar"),"")</f>
        <v/>
      </c>
      <c r="AZ417" s="179" t="str">
        <f t="array" ref="AZ417">IF($F417&lt;&gt;"", XLOOKUP($F417,Productos!$A$2:$A1001,Productos!AS$2:AS1001,"")*$G417,"")</f>
        <v/>
      </c>
      <c r="BA417" s="179" t="str">
        <f t="array" ref="BA417">IF($F417&lt;&gt;"",XLOOKUP($F417,Productos!$A:$A,Productos!AT:AT,"Revisar"),"")</f>
        <v/>
      </c>
      <c r="BB417" s="179" t="str">
        <f t="array" ref="BB417">IF($F417&lt;&gt;"", XLOOKUP($F417,Productos!$A$2:$A1001,Productos!AU$2:AU1001,"")*$G417,"")</f>
        <v/>
      </c>
      <c r="BC417" s="179" t="str">
        <f t="array" ref="BC417">IF($F417&lt;&gt;"",XLOOKUP($F417,Productos!$A:$A,Productos!AV:AV,"Revisar"),"")</f>
        <v/>
      </c>
      <c r="BD417" s="179" t="str">
        <f t="array" ref="BD417">IF($F417&lt;&gt;"", XLOOKUP($F417,Productos!$A$2:$A1001,Productos!AW$2:AW1001,"")*$G417,"")</f>
        <v/>
      </c>
      <c r="BE417" s="179" t="str">
        <f t="array" ref="BE417">IF($F417&lt;&gt;"",XLOOKUP($F417,Productos!$A:$A,Productos!AX:AX,"Revisar"),"")</f>
        <v/>
      </c>
      <c r="BF417" s="179" t="str">
        <f t="array" ref="BF417">IF($F417&lt;&gt;"", XLOOKUP($F417,Productos!$A$2:$A1001,Productos!AY$2:AY1001,"")*$G417,"")</f>
        <v/>
      </c>
      <c r="BG417" s="179" t="str">
        <f t="array" ref="BG417">IF($F417&lt;&gt;"",XLOOKUP($F417,Productos!$A:$A,Productos!AZ:AZ,"Revisar"),"")</f>
        <v/>
      </c>
      <c r="BH417" s="179" t="str">
        <f t="array" ref="BH417">IF($F417&lt;&gt;"", XLOOKUP($F417,Productos!$A$2:$A1001,Productos!BA$2:BA1001,"")*$G417,"")</f>
        <v/>
      </c>
      <c r="BI417" s="179" t="str">
        <f t="array" ref="BI417">IF($F417&lt;&gt;"",XLOOKUP($F417,Productos!$A:$A,Productos!BB:BB,"Revisar"),"")</f>
        <v/>
      </c>
      <c r="BJ417" s="179" t="str">
        <f t="array" ref="BJ417">IF($F417&lt;&gt;"", XLOOKUP($F417,Productos!$A$2:$A1001,Productos!BC$2:BC1001,"")*$G417,"")</f>
        <v/>
      </c>
      <c r="BK417" s="179" t="str">
        <f t="array" ref="BK417">IF($F417&lt;&gt;"",XLOOKUP($F417,Productos!$A:$A,Productos!BD:BD,"Revisar"),"")</f>
        <v/>
      </c>
      <c r="BL417" s="179" t="str">
        <f t="array" ref="BL417">IF($F417&lt;&gt;"", XLOOKUP($F417,Productos!$A$2:$A1001,Productos!BE$2:BE1001,"")*$G417,"")</f>
        <v/>
      </c>
      <c r="BM417" s="179" t="str">
        <f t="array" ref="BM417">IF($F417&lt;&gt;"",XLOOKUP($F417,Productos!$A:$A,Productos!BF:BF,"Revisar"),"")</f>
        <v/>
      </c>
      <c r="BN417" s="179" t="str">
        <f t="array" ref="BN417">IF($F417&lt;&gt;"", XLOOKUP($F417,Productos!$A$2:$A1001,Productos!BG$2:BG1001,"")*$G417,"")</f>
        <v/>
      </c>
      <c r="BO417" s="179" t="str">
        <f t="array" ref="BO417">IF($F417&lt;&gt;"",XLOOKUP($F417,Productos!$A:$A,Productos!BH:BH,"Revisar"),"")</f>
        <v/>
      </c>
      <c r="BP417" s="179" t="str">
        <f t="array" ref="BP417">IF($F417&lt;&gt;"", XLOOKUP($F417,Productos!$A$2:$A1001,Productos!BI$2:BI1001,"")*$G417,"")</f>
        <v/>
      </c>
      <c r="BQ417" s="179" t="str">
        <f t="array" ref="BQ417">IF($F417&lt;&gt;"",XLOOKUP($F417,Productos!$A:$A,Productos!BJ:BJ,"Revisar"),"")</f>
        <v/>
      </c>
      <c r="BR417" s="179" t="str">
        <f t="array" ref="BR417">IF($F417&lt;&gt;"", XLOOKUP($F417,Productos!$A$2:$A1001,Productos!BK$2:BK1001,"")*$G417,"")</f>
        <v/>
      </c>
      <c r="BS417" s="179" t="str">
        <f t="array" ref="BS417">IF($F417&lt;&gt;"",XLOOKUP($F417,Productos!$A:$A,Productos!BL:BL,"Revisar"),"")</f>
        <v/>
      </c>
      <c r="BT417" s="179" t="str">
        <f t="array" ref="BT417">IF($F417&lt;&gt;"", XLOOKUP($F417,Productos!$A$2:$A1001,Productos!BM$2:BM1001,"")*$G417,"")</f>
        <v/>
      </c>
      <c r="BU417" s="179" t="str">
        <f t="array" ref="BU417">IF($F417&lt;&gt;"",XLOOKUP($F417,Productos!$A:$A,Productos!BN:BN,"Revisar"),"")</f>
        <v/>
      </c>
      <c r="BV417" s="179" t="str">
        <f t="array" ref="BV417">IF($F417&lt;&gt;"", XLOOKUP($F417,Productos!$A$2:$A1001,Productos!BO$2:BO1001,"")*$G417,"")</f>
        <v/>
      </c>
      <c r="BW417" s="179" t="str">
        <f t="array" ref="BW417">IF($F417&lt;&gt;"",XLOOKUP($F417,Productos!$A:$A,Productos!BP:BP,"Revisar"),"")</f>
        <v/>
      </c>
      <c r="BX417" s="179" t="str">
        <f t="array" ref="BX417">IF($F417&lt;&gt;"", XLOOKUP($F417,Productos!$A$2:$A1001,Productos!BQ$2:BQ1001,"")*$G417,"")</f>
        <v/>
      </c>
      <c r="BY417" s="179" t="str">
        <f t="array" ref="BY417">IF($F417&lt;&gt;"",XLOOKUP($F417,Productos!$A:$A,Productos!BR:BR,"Revisar"),"")</f>
        <v/>
      </c>
      <c r="BZ417" s="179" t="str">
        <f t="array" ref="BZ417">IF($F417&lt;&gt;"", XLOOKUP($F417,Productos!$A$2:$A1001,Productos!BS$2:BS1001,"")*$G417,"")</f>
        <v/>
      </c>
    </row>
    <row r="418">
      <c r="A418" s="188"/>
      <c r="B418" s="189"/>
      <c r="C418" s="190"/>
      <c r="D418" s="190"/>
      <c r="E418" s="191"/>
      <c r="F418" s="186"/>
      <c r="G418" s="192"/>
      <c r="H418" s="9"/>
      <c r="I418" s="179" t="str">
        <f t="array" ref="I418">IF($F418&lt;&gt;"",XLOOKUP($F418,Productos!$A:$A,Productos!B:B,"Revisar"),"")</f>
        <v/>
      </c>
      <c r="J418" s="179" t="str">
        <f t="array" ref="J418">IF($F418&lt;&gt;"", XLOOKUP($F418,Productos!$A$2:$A1001,Productos!C$2:C1001,"")*$G418,"")</f>
        <v/>
      </c>
      <c r="K418" s="179" t="str">
        <f t="array" ref="K418">IF($F418&lt;&gt;"",XLOOKUP($F418,Productos!$A:$A,Productos!D:D,"Revisar"),"")</f>
        <v/>
      </c>
      <c r="L418" s="179" t="str">
        <f t="array" ref="L418">IF($F418&lt;&gt;"", XLOOKUP($F418,Productos!$A$2:$A1001,Productos!E$2:E1001,"")*$G418,"")</f>
        <v/>
      </c>
      <c r="M418" s="179" t="str">
        <f t="array" ref="M418">IF($F418&lt;&gt;"",XLOOKUP($F418,Productos!$A:$A,Productos!F:F,"Revisar"),"")</f>
        <v/>
      </c>
      <c r="N418" s="179" t="str">
        <f t="array" ref="N418">IF($F418&lt;&gt;"", XLOOKUP($F418,Productos!$A$2:$A1001,Productos!G$2:G1001,"")*$G418,"")</f>
        <v/>
      </c>
      <c r="O418" s="179" t="str">
        <f t="array" ref="O418">IF($F418&lt;&gt;"",XLOOKUP($F418,Productos!$A:$A,Productos!H:H,"Revisar"),"")</f>
        <v/>
      </c>
      <c r="P418" s="179" t="str">
        <f t="array" ref="P418">IF($F418&lt;&gt;"", XLOOKUP($F418,Productos!$A$2:$A1001,Productos!I$2:I1001,"")*$G418,"")</f>
        <v/>
      </c>
      <c r="Q418" s="179" t="str">
        <f t="array" ref="Q418">IF($F418&lt;&gt;"",XLOOKUP($F418,Productos!$A:$A,Productos!J:J,"Revisar"),"")</f>
        <v/>
      </c>
      <c r="R418" s="179" t="str">
        <f t="array" ref="R418">IF($F418&lt;&gt;"", XLOOKUP($F418,Productos!$A$2:$A1001,Productos!K$2:K1001,"")*$G418,"")</f>
        <v/>
      </c>
      <c r="S418" s="179" t="str">
        <f t="array" ref="S418">IF($F418&lt;&gt;"",XLOOKUP($F418,Productos!$A:$A,Productos!L:L,"Revisar"),"")</f>
        <v/>
      </c>
      <c r="T418" s="179" t="str">
        <f t="array" ref="T418">IF($F418&lt;&gt;"", XLOOKUP($F418,Productos!$A$2:$A1001,Productos!M$2:M1001,"")*$G418,"")</f>
        <v/>
      </c>
      <c r="U418" s="179" t="str">
        <f t="array" ref="U418">IF($F418&lt;&gt;"",XLOOKUP($F418,Productos!$A:$A,Productos!N:N,"Revisar"),"")</f>
        <v/>
      </c>
      <c r="V418" s="179" t="str">
        <f t="array" ref="V418">IF($F418&lt;&gt;"", XLOOKUP($F418,Productos!$A$2:$A1001,Productos!O$2:O1001,"")*$G418,"")</f>
        <v/>
      </c>
      <c r="W418" s="179" t="str">
        <f t="array" ref="W418">IF($F418&lt;&gt;"",XLOOKUP($F418,Productos!$A:$A,Productos!P:P,"Revisar"),"")</f>
        <v/>
      </c>
      <c r="X418" s="179" t="str">
        <f t="array" ref="X418">IF($F418&lt;&gt;"", XLOOKUP($F418,Productos!$A$2:$A1001,Productos!Q$2:Q1001,"")*$G418,"")</f>
        <v/>
      </c>
      <c r="Y418" s="179" t="str">
        <f t="array" ref="Y418">IF($F418&lt;&gt;"",XLOOKUP($F418,Productos!$A:$A,Productos!R:R,"Revisar"),"")</f>
        <v/>
      </c>
      <c r="Z418" s="179" t="str">
        <f t="array" ref="Z418">IF($F418&lt;&gt;"", XLOOKUP($F418,Productos!$A$2:$A1001,Productos!S$2:S1001,"")*$G418,"")</f>
        <v/>
      </c>
      <c r="AA418" s="179" t="str">
        <f t="array" ref="AA418">IF($F418&lt;&gt;"",XLOOKUP($F418,Productos!$A:$A,Productos!T:T,"Revisar"),"")</f>
        <v/>
      </c>
      <c r="AB418" s="179" t="str">
        <f t="array" ref="AB418">IF($F418&lt;&gt;"", XLOOKUP($F418,Productos!$A$2:$A1001,Productos!U$2:U1001,"")*$G418,"")</f>
        <v/>
      </c>
      <c r="AC418" s="179" t="str">
        <f t="array" ref="AC418">IF($F418&lt;&gt;"",XLOOKUP($F418,Productos!$A:$A,Productos!V:V,"Revisar"),"")</f>
        <v/>
      </c>
      <c r="AD418" s="179" t="str">
        <f t="array" ref="AD418">IF($F418&lt;&gt;"", XLOOKUP($F418,Productos!$A$2:$A1001,Productos!W$2:W1001,"")*$G418,"")</f>
        <v/>
      </c>
      <c r="AE418" s="179" t="str">
        <f t="array" ref="AE418">IF($F418&lt;&gt;"",XLOOKUP($F418,Productos!$A:$A,Productos!X:X,"Revisar"),"")</f>
        <v/>
      </c>
      <c r="AF418" s="179" t="str">
        <f t="array" ref="AF418">IF($F418&lt;&gt;"", XLOOKUP($F418,Productos!$A$2:$A1001,Productos!Y$2:Y1001,"")*$G418,"")</f>
        <v/>
      </c>
      <c r="AG418" s="179" t="str">
        <f t="array" ref="AG418">IF($F418&lt;&gt;"",XLOOKUP($F418,Productos!$A:$A,Productos!Z:Z,"Revisar"),"")</f>
        <v/>
      </c>
      <c r="AH418" s="179" t="str">
        <f t="array" ref="AH418">IF($F418&lt;&gt;"", XLOOKUP($F418,Productos!$A$2:$A1001,Productos!AA$2:AA1001,"")*$G418,"")</f>
        <v/>
      </c>
      <c r="AI418" s="179" t="str">
        <f t="array" ref="AI418">IF($F418&lt;&gt;"",XLOOKUP($F418,Productos!$A:$A,Productos!AB:AB,"Revisar"),"")</f>
        <v/>
      </c>
      <c r="AJ418" s="179" t="str">
        <f t="array" ref="AJ418">IF($F418&lt;&gt;"", XLOOKUP($F418,Productos!$A$2:$A1001,Productos!AC$2:AC1001,"")*$G418,"")</f>
        <v/>
      </c>
      <c r="AK418" s="179" t="str">
        <f t="array" ref="AK418">IF($F418&lt;&gt;"",XLOOKUP($F418,Productos!$A:$A,Productos!AD:AD,"Revisar"),"")</f>
        <v/>
      </c>
      <c r="AL418" s="179" t="str">
        <f t="array" ref="AL418">IF($F418&lt;&gt;"", XLOOKUP($F418,Productos!$A$2:$A1001,Productos!AE$2:AE1001,"")*$G418,"")</f>
        <v/>
      </c>
      <c r="AM418" s="179" t="str">
        <f t="array" ref="AM418">IF($F418&lt;&gt;"",XLOOKUP($F418,Productos!$A:$A,Productos!AF:AF,"Revisar"),"")</f>
        <v/>
      </c>
      <c r="AN418" s="179" t="str">
        <f t="array" ref="AN418">IF($F418&lt;&gt;"", XLOOKUP($F418,Productos!$A$2:$A1001,Productos!AG$2:AG1001,"")*$G418,"")</f>
        <v/>
      </c>
      <c r="AO418" s="179" t="str">
        <f t="array" ref="AO418">IF($F418&lt;&gt;"",XLOOKUP($F418,Productos!$A:$A,Productos!AH:AH,"Revisar"),"")</f>
        <v/>
      </c>
      <c r="AP418" s="179" t="str">
        <f t="array" ref="AP418">IF($F418&lt;&gt;"", XLOOKUP($F418,Productos!$A$2:$A1001,Productos!AI$2:AI1001,"")*$G418,"")</f>
        <v/>
      </c>
      <c r="AQ418" s="179" t="str">
        <f t="array" ref="AQ418">IF($F418&lt;&gt;"",XLOOKUP($F418,Productos!$A:$A,Productos!AJ:AJ,"Revisar"),"")</f>
        <v/>
      </c>
      <c r="AR418" s="179" t="str">
        <f t="array" ref="AR418">IF($F418&lt;&gt;"", XLOOKUP($F418,Productos!$A$2:$A1001,Productos!AK$2:AK1001,"")*$G418,"")</f>
        <v/>
      </c>
      <c r="AS418" s="179" t="str">
        <f t="array" ref="AS418">IF($F418&lt;&gt;"",XLOOKUP($F418,Productos!$A:$A,Productos!AL:AL,"Revisar"),"")</f>
        <v/>
      </c>
      <c r="AT418" s="179" t="str">
        <f t="array" ref="AT418">IF($F418&lt;&gt;"", XLOOKUP($F418,Productos!$A$2:$A1001,Productos!AM$2:AM1001,"")*$G418,"")</f>
        <v/>
      </c>
      <c r="AU418" s="179" t="str">
        <f t="array" ref="AU418">IF($F418&lt;&gt;"",XLOOKUP($F418,Productos!$A:$A,Productos!AN:AN,"Revisar"),"")</f>
        <v/>
      </c>
      <c r="AV418" s="179" t="str">
        <f t="array" ref="AV418">IF($F418&lt;&gt;"", XLOOKUP($F418,Productos!$A$2:$A1001,Productos!AO$2:AO1001,"")*$G418,"")</f>
        <v/>
      </c>
      <c r="AW418" s="179" t="str">
        <f t="array" ref="AW418">IF($F418&lt;&gt;"",XLOOKUP($F418,Productos!$A:$A,Productos!AP:AP,"Revisar"),"")</f>
        <v/>
      </c>
      <c r="AX418" s="179" t="str">
        <f t="array" ref="AX418">IF($F418&lt;&gt;"", XLOOKUP($F418,Productos!$A$2:$A1001,Productos!AQ$2:AQ1001,"")*$G418,"")</f>
        <v/>
      </c>
      <c r="AY418" s="179" t="str">
        <f t="array" ref="AY418">IF($F418&lt;&gt;"",XLOOKUP($F418,Productos!$A:$A,Productos!AR:AR,"Revisar"),"")</f>
        <v/>
      </c>
      <c r="AZ418" s="179" t="str">
        <f t="array" ref="AZ418">IF($F418&lt;&gt;"", XLOOKUP($F418,Productos!$A$2:$A1001,Productos!AS$2:AS1001,"")*$G418,"")</f>
        <v/>
      </c>
      <c r="BA418" s="179" t="str">
        <f t="array" ref="BA418">IF($F418&lt;&gt;"",XLOOKUP($F418,Productos!$A:$A,Productos!AT:AT,"Revisar"),"")</f>
        <v/>
      </c>
      <c r="BB418" s="179" t="str">
        <f t="array" ref="BB418">IF($F418&lt;&gt;"", XLOOKUP($F418,Productos!$A$2:$A1001,Productos!AU$2:AU1001,"")*$G418,"")</f>
        <v/>
      </c>
      <c r="BC418" s="179" t="str">
        <f t="array" ref="BC418">IF($F418&lt;&gt;"",XLOOKUP($F418,Productos!$A:$A,Productos!AV:AV,"Revisar"),"")</f>
        <v/>
      </c>
      <c r="BD418" s="179" t="str">
        <f t="array" ref="BD418">IF($F418&lt;&gt;"", XLOOKUP($F418,Productos!$A$2:$A1001,Productos!AW$2:AW1001,"")*$G418,"")</f>
        <v/>
      </c>
      <c r="BE418" s="179" t="str">
        <f t="array" ref="BE418">IF($F418&lt;&gt;"",XLOOKUP($F418,Productos!$A:$A,Productos!AX:AX,"Revisar"),"")</f>
        <v/>
      </c>
      <c r="BF418" s="179" t="str">
        <f t="array" ref="BF418">IF($F418&lt;&gt;"", XLOOKUP($F418,Productos!$A$2:$A1001,Productos!AY$2:AY1001,"")*$G418,"")</f>
        <v/>
      </c>
      <c r="BG418" s="179" t="str">
        <f t="array" ref="BG418">IF($F418&lt;&gt;"",XLOOKUP($F418,Productos!$A:$A,Productos!AZ:AZ,"Revisar"),"")</f>
        <v/>
      </c>
      <c r="BH418" s="179" t="str">
        <f t="array" ref="BH418">IF($F418&lt;&gt;"", XLOOKUP($F418,Productos!$A$2:$A1001,Productos!BA$2:BA1001,"")*$G418,"")</f>
        <v/>
      </c>
      <c r="BI418" s="179" t="str">
        <f t="array" ref="BI418">IF($F418&lt;&gt;"",XLOOKUP($F418,Productos!$A:$A,Productos!BB:BB,"Revisar"),"")</f>
        <v/>
      </c>
      <c r="BJ418" s="179" t="str">
        <f t="array" ref="BJ418">IF($F418&lt;&gt;"", XLOOKUP($F418,Productos!$A$2:$A1001,Productos!BC$2:BC1001,"")*$G418,"")</f>
        <v/>
      </c>
      <c r="BK418" s="179" t="str">
        <f t="array" ref="BK418">IF($F418&lt;&gt;"",XLOOKUP($F418,Productos!$A:$A,Productos!BD:BD,"Revisar"),"")</f>
        <v/>
      </c>
      <c r="BL418" s="179" t="str">
        <f t="array" ref="BL418">IF($F418&lt;&gt;"", XLOOKUP($F418,Productos!$A$2:$A1001,Productos!BE$2:BE1001,"")*$G418,"")</f>
        <v/>
      </c>
      <c r="BM418" s="179" t="str">
        <f t="array" ref="BM418">IF($F418&lt;&gt;"",XLOOKUP($F418,Productos!$A:$A,Productos!BF:BF,"Revisar"),"")</f>
        <v/>
      </c>
      <c r="BN418" s="179" t="str">
        <f t="array" ref="BN418">IF($F418&lt;&gt;"", XLOOKUP($F418,Productos!$A$2:$A1001,Productos!BG$2:BG1001,"")*$G418,"")</f>
        <v/>
      </c>
      <c r="BO418" s="179" t="str">
        <f t="array" ref="BO418">IF($F418&lt;&gt;"",XLOOKUP($F418,Productos!$A:$A,Productos!BH:BH,"Revisar"),"")</f>
        <v/>
      </c>
      <c r="BP418" s="179" t="str">
        <f t="array" ref="BP418">IF($F418&lt;&gt;"", XLOOKUP($F418,Productos!$A$2:$A1001,Productos!BI$2:BI1001,"")*$G418,"")</f>
        <v/>
      </c>
      <c r="BQ418" s="179" t="str">
        <f t="array" ref="BQ418">IF($F418&lt;&gt;"",XLOOKUP($F418,Productos!$A:$A,Productos!BJ:BJ,"Revisar"),"")</f>
        <v/>
      </c>
      <c r="BR418" s="179" t="str">
        <f t="array" ref="BR418">IF($F418&lt;&gt;"", XLOOKUP($F418,Productos!$A$2:$A1001,Productos!BK$2:BK1001,"")*$G418,"")</f>
        <v/>
      </c>
      <c r="BS418" s="179" t="str">
        <f t="array" ref="BS418">IF($F418&lt;&gt;"",XLOOKUP($F418,Productos!$A:$A,Productos!BL:BL,"Revisar"),"")</f>
        <v/>
      </c>
      <c r="BT418" s="179" t="str">
        <f t="array" ref="BT418">IF($F418&lt;&gt;"", XLOOKUP($F418,Productos!$A$2:$A1001,Productos!BM$2:BM1001,"")*$G418,"")</f>
        <v/>
      </c>
      <c r="BU418" s="179" t="str">
        <f t="array" ref="BU418">IF($F418&lt;&gt;"",XLOOKUP($F418,Productos!$A:$A,Productos!BN:BN,"Revisar"),"")</f>
        <v/>
      </c>
      <c r="BV418" s="179" t="str">
        <f t="array" ref="BV418">IF($F418&lt;&gt;"", XLOOKUP($F418,Productos!$A$2:$A1001,Productos!BO$2:BO1001,"")*$G418,"")</f>
        <v/>
      </c>
      <c r="BW418" s="179" t="str">
        <f t="array" ref="BW418">IF($F418&lt;&gt;"",XLOOKUP($F418,Productos!$A:$A,Productos!BP:BP,"Revisar"),"")</f>
        <v/>
      </c>
      <c r="BX418" s="179" t="str">
        <f t="array" ref="BX418">IF($F418&lt;&gt;"", XLOOKUP($F418,Productos!$A$2:$A1001,Productos!BQ$2:BQ1001,"")*$G418,"")</f>
        <v/>
      </c>
      <c r="BY418" s="179" t="str">
        <f t="array" ref="BY418">IF($F418&lt;&gt;"",XLOOKUP($F418,Productos!$A:$A,Productos!BR:BR,"Revisar"),"")</f>
        <v/>
      </c>
      <c r="BZ418" s="179" t="str">
        <f t="array" ref="BZ418">IF($F418&lt;&gt;"", XLOOKUP($F418,Productos!$A$2:$A1001,Productos!BS$2:BS1001,"")*$G418,"")</f>
        <v/>
      </c>
    </row>
    <row r="419">
      <c r="A419" s="188"/>
      <c r="B419" s="189"/>
      <c r="C419" s="190"/>
      <c r="D419" s="190"/>
      <c r="E419" s="191"/>
      <c r="F419" s="186"/>
      <c r="G419" s="192"/>
      <c r="H419" s="9"/>
      <c r="I419" s="179" t="str">
        <f t="array" ref="I419">IF($F419&lt;&gt;"",XLOOKUP($F419,Productos!$A:$A,Productos!B:B,"Revisar"),"")</f>
        <v/>
      </c>
      <c r="J419" s="179" t="str">
        <f t="array" ref="J419">IF($F419&lt;&gt;"", XLOOKUP($F419,Productos!$A$2:$A1001,Productos!C$2:C1001,"")*$G419,"")</f>
        <v/>
      </c>
      <c r="K419" s="179" t="str">
        <f t="array" ref="K419">IF($F419&lt;&gt;"",XLOOKUP($F419,Productos!$A:$A,Productos!D:D,"Revisar"),"")</f>
        <v/>
      </c>
      <c r="L419" s="179" t="str">
        <f t="array" ref="L419">IF($F419&lt;&gt;"", XLOOKUP($F419,Productos!$A$2:$A1001,Productos!E$2:E1001,"")*$G419,"")</f>
        <v/>
      </c>
      <c r="M419" s="179" t="str">
        <f t="array" ref="M419">IF($F419&lt;&gt;"",XLOOKUP($F419,Productos!$A:$A,Productos!F:F,"Revisar"),"")</f>
        <v/>
      </c>
      <c r="N419" s="179" t="str">
        <f t="array" ref="N419">IF($F419&lt;&gt;"", XLOOKUP($F419,Productos!$A$2:$A1001,Productos!G$2:G1001,"")*$G419,"")</f>
        <v/>
      </c>
      <c r="O419" s="179" t="str">
        <f t="array" ref="O419">IF($F419&lt;&gt;"",XLOOKUP($F419,Productos!$A:$A,Productos!H:H,"Revisar"),"")</f>
        <v/>
      </c>
      <c r="P419" s="179" t="str">
        <f t="array" ref="P419">IF($F419&lt;&gt;"", XLOOKUP($F419,Productos!$A$2:$A1001,Productos!I$2:I1001,"")*$G419,"")</f>
        <v/>
      </c>
      <c r="Q419" s="179" t="str">
        <f t="array" ref="Q419">IF($F419&lt;&gt;"",XLOOKUP($F419,Productos!$A:$A,Productos!J:J,"Revisar"),"")</f>
        <v/>
      </c>
      <c r="R419" s="179" t="str">
        <f t="array" ref="R419">IF($F419&lt;&gt;"", XLOOKUP($F419,Productos!$A$2:$A1001,Productos!K$2:K1001,"")*$G419,"")</f>
        <v/>
      </c>
      <c r="S419" s="179" t="str">
        <f t="array" ref="S419">IF($F419&lt;&gt;"",XLOOKUP($F419,Productos!$A:$A,Productos!L:L,"Revisar"),"")</f>
        <v/>
      </c>
      <c r="T419" s="179" t="str">
        <f t="array" ref="T419">IF($F419&lt;&gt;"", XLOOKUP($F419,Productos!$A$2:$A1001,Productos!M$2:M1001,"")*$G419,"")</f>
        <v/>
      </c>
      <c r="U419" s="179" t="str">
        <f t="array" ref="U419">IF($F419&lt;&gt;"",XLOOKUP($F419,Productos!$A:$A,Productos!N:N,"Revisar"),"")</f>
        <v/>
      </c>
      <c r="V419" s="179" t="str">
        <f t="array" ref="V419">IF($F419&lt;&gt;"", XLOOKUP($F419,Productos!$A$2:$A1001,Productos!O$2:O1001,"")*$G419,"")</f>
        <v/>
      </c>
      <c r="W419" s="179" t="str">
        <f t="array" ref="W419">IF($F419&lt;&gt;"",XLOOKUP($F419,Productos!$A:$A,Productos!P:P,"Revisar"),"")</f>
        <v/>
      </c>
      <c r="X419" s="179" t="str">
        <f t="array" ref="X419">IF($F419&lt;&gt;"", XLOOKUP($F419,Productos!$A$2:$A1001,Productos!Q$2:Q1001,"")*$G419,"")</f>
        <v/>
      </c>
      <c r="Y419" s="179" t="str">
        <f t="array" ref="Y419">IF($F419&lt;&gt;"",XLOOKUP($F419,Productos!$A:$A,Productos!R:R,"Revisar"),"")</f>
        <v/>
      </c>
      <c r="Z419" s="179" t="str">
        <f t="array" ref="Z419">IF($F419&lt;&gt;"", XLOOKUP($F419,Productos!$A$2:$A1001,Productos!S$2:S1001,"")*$G419,"")</f>
        <v/>
      </c>
      <c r="AA419" s="179" t="str">
        <f t="array" ref="AA419">IF($F419&lt;&gt;"",XLOOKUP($F419,Productos!$A:$A,Productos!T:T,"Revisar"),"")</f>
        <v/>
      </c>
      <c r="AB419" s="179" t="str">
        <f t="array" ref="AB419">IF($F419&lt;&gt;"", XLOOKUP($F419,Productos!$A$2:$A1001,Productos!U$2:U1001,"")*$G419,"")</f>
        <v/>
      </c>
      <c r="AC419" s="179" t="str">
        <f t="array" ref="AC419">IF($F419&lt;&gt;"",XLOOKUP($F419,Productos!$A:$A,Productos!V:V,"Revisar"),"")</f>
        <v/>
      </c>
      <c r="AD419" s="179" t="str">
        <f t="array" ref="AD419">IF($F419&lt;&gt;"", XLOOKUP($F419,Productos!$A$2:$A1001,Productos!W$2:W1001,"")*$G419,"")</f>
        <v/>
      </c>
      <c r="AE419" s="179" t="str">
        <f t="array" ref="AE419">IF($F419&lt;&gt;"",XLOOKUP($F419,Productos!$A:$A,Productos!X:X,"Revisar"),"")</f>
        <v/>
      </c>
      <c r="AF419" s="179" t="str">
        <f t="array" ref="AF419">IF($F419&lt;&gt;"", XLOOKUP($F419,Productos!$A$2:$A1001,Productos!Y$2:Y1001,"")*$G419,"")</f>
        <v/>
      </c>
      <c r="AG419" s="179" t="str">
        <f t="array" ref="AG419">IF($F419&lt;&gt;"",XLOOKUP($F419,Productos!$A:$A,Productos!Z:Z,"Revisar"),"")</f>
        <v/>
      </c>
      <c r="AH419" s="179" t="str">
        <f t="array" ref="AH419">IF($F419&lt;&gt;"", XLOOKUP($F419,Productos!$A$2:$A1001,Productos!AA$2:AA1001,"")*$G419,"")</f>
        <v/>
      </c>
      <c r="AI419" s="179" t="str">
        <f t="array" ref="AI419">IF($F419&lt;&gt;"",XLOOKUP($F419,Productos!$A:$A,Productos!AB:AB,"Revisar"),"")</f>
        <v/>
      </c>
      <c r="AJ419" s="179" t="str">
        <f t="array" ref="AJ419">IF($F419&lt;&gt;"", XLOOKUP($F419,Productos!$A$2:$A1001,Productos!AC$2:AC1001,"")*$G419,"")</f>
        <v/>
      </c>
      <c r="AK419" s="179" t="str">
        <f t="array" ref="AK419">IF($F419&lt;&gt;"",XLOOKUP($F419,Productos!$A:$A,Productos!AD:AD,"Revisar"),"")</f>
        <v/>
      </c>
      <c r="AL419" s="179" t="str">
        <f t="array" ref="AL419">IF($F419&lt;&gt;"", XLOOKUP($F419,Productos!$A$2:$A1001,Productos!AE$2:AE1001,"")*$G419,"")</f>
        <v/>
      </c>
      <c r="AM419" s="179" t="str">
        <f t="array" ref="AM419">IF($F419&lt;&gt;"",XLOOKUP($F419,Productos!$A:$A,Productos!AF:AF,"Revisar"),"")</f>
        <v/>
      </c>
      <c r="AN419" s="179" t="str">
        <f t="array" ref="AN419">IF($F419&lt;&gt;"", XLOOKUP($F419,Productos!$A$2:$A1001,Productos!AG$2:AG1001,"")*$G419,"")</f>
        <v/>
      </c>
      <c r="AO419" s="179" t="str">
        <f t="array" ref="AO419">IF($F419&lt;&gt;"",XLOOKUP($F419,Productos!$A:$A,Productos!AH:AH,"Revisar"),"")</f>
        <v/>
      </c>
      <c r="AP419" s="179" t="str">
        <f t="array" ref="AP419">IF($F419&lt;&gt;"", XLOOKUP($F419,Productos!$A$2:$A1001,Productos!AI$2:AI1001,"")*$G419,"")</f>
        <v/>
      </c>
      <c r="AQ419" s="179" t="str">
        <f t="array" ref="AQ419">IF($F419&lt;&gt;"",XLOOKUP($F419,Productos!$A:$A,Productos!AJ:AJ,"Revisar"),"")</f>
        <v/>
      </c>
      <c r="AR419" s="179" t="str">
        <f t="array" ref="AR419">IF($F419&lt;&gt;"", XLOOKUP($F419,Productos!$A$2:$A1001,Productos!AK$2:AK1001,"")*$G419,"")</f>
        <v/>
      </c>
      <c r="AS419" s="179" t="str">
        <f t="array" ref="AS419">IF($F419&lt;&gt;"",XLOOKUP($F419,Productos!$A:$A,Productos!AL:AL,"Revisar"),"")</f>
        <v/>
      </c>
      <c r="AT419" s="179" t="str">
        <f t="array" ref="AT419">IF($F419&lt;&gt;"", XLOOKUP($F419,Productos!$A$2:$A1001,Productos!AM$2:AM1001,"")*$G419,"")</f>
        <v/>
      </c>
      <c r="AU419" s="179" t="str">
        <f t="array" ref="AU419">IF($F419&lt;&gt;"",XLOOKUP($F419,Productos!$A:$A,Productos!AN:AN,"Revisar"),"")</f>
        <v/>
      </c>
      <c r="AV419" s="179" t="str">
        <f t="array" ref="AV419">IF($F419&lt;&gt;"", XLOOKUP($F419,Productos!$A$2:$A1001,Productos!AO$2:AO1001,"")*$G419,"")</f>
        <v/>
      </c>
      <c r="AW419" s="179" t="str">
        <f t="array" ref="AW419">IF($F419&lt;&gt;"",XLOOKUP($F419,Productos!$A:$A,Productos!AP:AP,"Revisar"),"")</f>
        <v/>
      </c>
      <c r="AX419" s="179" t="str">
        <f t="array" ref="AX419">IF($F419&lt;&gt;"", XLOOKUP($F419,Productos!$A$2:$A1001,Productos!AQ$2:AQ1001,"")*$G419,"")</f>
        <v/>
      </c>
      <c r="AY419" s="179" t="str">
        <f t="array" ref="AY419">IF($F419&lt;&gt;"",XLOOKUP($F419,Productos!$A:$A,Productos!AR:AR,"Revisar"),"")</f>
        <v/>
      </c>
      <c r="AZ419" s="179" t="str">
        <f t="array" ref="AZ419">IF($F419&lt;&gt;"", XLOOKUP($F419,Productos!$A$2:$A1001,Productos!AS$2:AS1001,"")*$G419,"")</f>
        <v/>
      </c>
      <c r="BA419" s="179" t="str">
        <f t="array" ref="BA419">IF($F419&lt;&gt;"",XLOOKUP($F419,Productos!$A:$A,Productos!AT:AT,"Revisar"),"")</f>
        <v/>
      </c>
      <c r="BB419" s="179" t="str">
        <f t="array" ref="BB419">IF($F419&lt;&gt;"", XLOOKUP($F419,Productos!$A$2:$A1001,Productos!AU$2:AU1001,"")*$G419,"")</f>
        <v/>
      </c>
      <c r="BC419" s="179" t="str">
        <f t="array" ref="BC419">IF($F419&lt;&gt;"",XLOOKUP($F419,Productos!$A:$A,Productos!AV:AV,"Revisar"),"")</f>
        <v/>
      </c>
      <c r="BD419" s="179" t="str">
        <f t="array" ref="BD419">IF($F419&lt;&gt;"", XLOOKUP($F419,Productos!$A$2:$A1001,Productos!AW$2:AW1001,"")*$G419,"")</f>
        <v/>
      </c>
      <c r="BE419" s="179" t="str">
        <f t="array" ref="BE419">IF($F419&lt;&gt;"",XLOOKUP($F419,Productos!$A:$A,Productos!AX:AX,"Revisar"),"")</f>
        <v/>
      </c>
      <c r="BF419" s="179" t="str">
        <f t="array" ref="BF419">IF($F419&lt;&gt;"", XLOOKUP($F419,Productos!$A$2:$A1001,Productos!AY$2:AY1001,"")*$G419,"")</f>
        <v/>
      </c>
      <c r="BG419" s="179" t="str">
        <f t="array" ref="BG419">IF($F419&lt;&gt;"",XLOOKUP($F419,Productos!$A:$A,Productos!AZ:AZ,"Revisar"),"")</f>
        <v/>
      </c>
      <c r="BH419" s="179" t="str">
        <f t="array" ref="BH419">IF($F419&lt;&gt;"", XLOOKUP($F419,Productos!$A$2:$A1001,Productos!BA$2:BA1001,"")*$G419,"")</f>
        <v/>
      </c>
      <c r="BI419" s="179" t="str">
        <f t="array" ref="BI419">IF($F419&lt;&gt;"",XLOOKUP($F419,Productos!$A:$A,Productos!BB:BB,"Revisar"),"")</f>
        <v/>
      </c>
      <c r="BJ419" s="179" t="str">
        <f t="array" ref="BJ419">IF($F419&lt;&gt;"", XLOOKUP($F419,Productos!$A$2:$A1001,Productos!BC$2:BC1001,"")*$G419,"")</f>
        <v/>
      </c>
      <c r="BK419" s="179" t="str">
        <f t="array" ref="BK419">IF($F419&lt;&gt;"",XLOOKUP($F419,Productos!$A:$A,Productos!BD:BD,"Revisar"),"")</f>
        <v/>
      </c>
      <c r="BL419" s="179" t="str">
        <f t="array" ref="BL419">IF($F419&lt;&gt;"", XLOOKUP($F419,Productos!$A$2:$A1001,Productos!BE$2:BE1001,"")*$G419,"")</f>
        <v/>
      </c>
      <c r="BM419" s="179" t="str">
        <f t="array" ref="BM419">IF($F419&lt;&gt;"",XLOOKUP($F419,Productos!$A:$A,Productos!BF:BF,"Revisar"),"")</f>
        <v/>
      </c>
      <c r="BN419" s="179" t="str">
        <f t="array" ref="BN419">IF($F419&lt;&gt;"", XLOOKUP($F419,Productos!$A$2:$A1001,Productos!BG$2:BG1001,"")*$G419,"")</f>
        <v/>
      </c>
      <c r="BO419" s="179" t="str">
        <f t="array" ref="BO419">IF($F419&lt;&gt;"",XLOOKUP($F419,Productos!$A:$A,Productos!BH:BH,"Revisar"),"")</f>
        <v/>
      </c>
      <c r="BP419" s="179" t="str">
        <f t="array" ref="BP419">IF($F419&lt;&gt;"", XLOOKUP($F419,Productos!$A$2:$A1001,Productos!BI$2:BI1001,"")*$G419,"")</f>
        <v/>
      </c>
      <c r="BQ419" s="179" t="str">
        <f t="array" ref="BQ419">IF($F419&lt;&gt;"",XLOOKUP($F419,Productos!$A:$A,Productos!BJ:BJ,"Revisar"),"")</f>
        <v/>
      </c>
      <c r="BR419" s="179" t="str">
        <f t="array" ref="BR419">IF($F419&lt;&gt;"", XLOOKUP($F419,Productos!$A$2:$A1001,Productos!BK$2:BK1001,"")*$G419,"")</f>
        <v/>
      </c>
      <c r="BS419" s="179" t="str">
        <f t="array" ref="BS419">IF($F419&lt;&gt;"",XLOOKUP($F419,Productos!$A:$A,Productos!BL:BL,"Revisar"),"")</f>
        <v/>
      </c>
      <c r="BT419" s="179" t="str">
        <f t="array" ref="BT419">IF($F419&lt;&gt;"", XLOOKUP($F419,Productos!$A$2:$A1001,Productos!BM$2:BM1001,"")*$G419,"")</f>
        <v/>
      </c>
      <c r="BU419" s="179" t="str">
        <f t="array" ref="BU419">IF($F419&lt;&gt;"",XLOOKUP($F419,Productos!$A:$A,Productos!BN:BN,"Revisar"),"")</f>
        <v/>
      </c>
      <c r="BV419" s="179" t="str">
        <f t="array" ref="BV419">IF($F419&lt;&gt;"", XLOOKUP($F419,Productos!$A$2:$A1001,Productos!BO$2:BO1001,"")*$G419,"")</f>
        <v/>
      </c>
      <c r="BW419" s="179" t="str">
        <f t="array" ref="BW419">IF($F419&lt;&gt;"",XLOOKUP($F419,Productos!$A:$A,Productos!BP:BP,"Revisar"),"")</f>
        <v/>
      </c>
      <c r="BX419" s="179" t="str">
        <f t="array" ref="BX419">IF($F419&lt;&gt;"", XLOOKUP($F419,Productos!$A$2:$A1001,Productos!BQ$2:BQ1001,"")*$G419,"")</f>
        <v/>
      </c>
      <c r="BY419" s="179" t="str">
        <f t="array" ref="BY419">IF($F419&lt;&gt;"",XLOOKUP($F419,Productos!$A:$A,Productos!BR:BR,"Revisar"),"")</f>
        <v/>
      </c>
      <c r="BZ419" s="179" t="str">
        <f t="array" ref="BZ419">IF($F419&lt;&gt;"", XLOOKUP($F419,Productos!$A$2:$A1001,Productos!BS$2:BS1001,"")*$G419,"")</f>
        <v/>
      </c>
    </row>
    <row r="420">
      <c r="A420" s="188"/>
      <c r="B420" s="189"/>
      <c r="C420" s="190"/>
      <c r="D420" s="190"/>
      <c r="E420" s="191"/>
      <c r="F420" s="186"/>
      <c r="G420" s="192"/>
      <c r="H420" s="9"/>
      <c r="I420" s="179" t="str">
        <f t="array" ref="I420">IF($F420&lt;&gt;"",XLOOKUP($F420,Productos!$A:$A,Productos!B:B,"Revisar"),"")</f>
        <v/>
      </c>
      <c r="J420" s="179" t="str">
        <f t="array" ref="J420">IF($F420&lt;&gt;"", XLOOKUP($F420,Productos!$A$2:$A1001,Productos!C$2:C1001,"")*$G420,"")</f>
        <v/>
      </c>
      <c r="K420" s="179" t="str">
        <f t="array" ref="K420">IF($F420&lt;&gt;"",XLOOKUP($F420,Productos!$A:$A,Productos!D:D,"Revisar"),"")</f>
        <v/>
      </c>
      <c r="L420" s="179" t="str">
        <f t="array" ref="L420">IF($F420&lt;&gt;"", XLOOKUP($F420,Productos!$A$2:$A1001,Productos!E$2:E1001,"")*$G420,"")</f>
        <v/>
      </c>
      <c r="M420" s="179" t="str">
        <f t="array" ref="M420">IF($F420&lt;&gt;"",XLOOKUP($F420,Productos!$A:$A,Productos!F:F,"Revisar"),"")</f>
        <v/>
      </c>
      <c r="N420" s="179" t="str">
        <f t="array" ref="N420">IF($F420&lt;&gt;"", XLOOKUP($F420,Productos!$A$2:$A1001,Productos!G$2:G1001,"")*$G420,"")</f>
        <v/>
      </c>
      <c r="O420" s="179" t="str">
        <f t="array" ref="O420">IF($F420&lt;&gt;"",XLOOKUP($F420,Productos!$A:$A,Productos!H:H,"Revisar"),"")</f>
        <v/>
      </c>
      <c r="P420" s="179" t="str">
        <f t="array" ref="P420">IF($F420&lt;&gt;"", XLOOKUP($F420,Productos!$A$2:$A1001,Productos!I$2:I1001,"")*$G420,"")</f>
        <v/>
      </c>
      <c r="Q420" s="179" t="str">
        <f t="array" ref="Q420">IF($F420&lt;&gt;"",XLOOKUP($F420,Productos!$A:$A,Productos!J:J,"Revisar"),"")</f>
        <v/>
      </c>
      <c r="R420" s="179" t="str">
        <f t="array" ref="R420">IF($F420&lt;&gt;"", XLOOKUP($F420,Productos!$A$2:$A1001,Productos!K$2:K1001,"")*$G420,"")</f>
        <v/>
      </c>
      <c r="S420" s="179" t="str">
        <f t="array" ref="S420">IF($F420&lt;&gt;"",XLOOKUP($F420,Productos!$A:$A,Productos!L:L,"Revisar"),"")</f>
        <v/>
      </c>
      <c r="T420" s="179" t="str">
        <f t="array" ref="T420">IF($F420&lt;&gt;"", XLOOKUP($F420,Productos!$A$2:$A1001,Productos!M$2:M1001,"")*$G420,"")</f>
        <v/>
      </c>
      <c r="U420" s="179" t="str">
        <f t="array" ref="U420">IF($F420&lt;&gt;"",XLOOKUP($F420,Productos!$A:$A,Productos!N:N,"Revisar"),"")</f>
        <v/>
      </c>
      <c r="V420" s="179" t="str">
        <f t="array" ref="V420">IF($F420&lt;&gt;"", XLOOKUP($F420,Productos!$A$2:$A1001,Productos!O$2:O1001,"")*$G420,"")</f>
        <v/>
      </c>
      <c r="W420" s="179" t="str">
        <f t="array" ref="W420">IF($F420&lt;&gt;"",XLOOKUP($F420,Productos!$A:$A,Productos!P:P,"Revisar"),"")</f>
        <v/>
      </c>
      <c r="X420" s="179" t="str">
        <f t="array" ref="X420">IF($F420&lt;&gt;"", XLOOKUP($F420,Productos!$A$2:$A1001,Productos!Q$2:Q1001,"")*$G420,"")</f>
        <v/>
      </c>
      <c r="Y420" s="179" t="str">
        <f t="array" ref="Y420">IF($F420&lt;&gt;"",XLOOKUP($F420,Productos!$A:$A,Productos!R:R,"Revisar"),"")</f>
        <v/>
      </c>
      <c r="Z420" s="179" t="str">
        <f t="array" ref="Z420">IF($F420&lt;&gt;"", XLOOKUP($F420,Productos!$A$2:$A1001,Productos!S$2:S1001,"")*$G420,"")</f>
        <v/>
      </c>
      <c r="AA420" s="179" t="str">
        <f t="array" ref="AA420">IF($F420&lt;&gt;"",XLOOKUP($F420,Productos!$A:$A,Productos!T:T,"Revisar"),"")</f>
        <v/>
      </c>
      <c r="AB420" s="179" t="str">
        <f t="array" ref="AB420">IF($F420&lt;&gt;"", XLOOKUP($F420,Productos!$A$2:$A1001,Productos!U$2:U1001,"")*$G420,"")</f>
        <v/>
      </c>
      <c r="AC420" s="179" t="str">
        <f t="array" ref="AC420">IF($F420&lt;&gt;"",XLOOKUP($F420,Productos!$A:$A,Productos!V:V,"Revisar"),"")</f>
        <v/>
      </c>
      <c r="AD420" s="179" t="str">
        <f t="array" ref="AD420">IF($F420&lt;&gt;"", XLOOKUP($F420,Productos!$A$2:$A1001,Productos!W$2:W1001,"")*$G420,"")</f>
        <v/>
      </c>
      <c r="AE420" s="179" t="str">
        <f t="array" ref="AE420">IF($F420&lt;&gt;"",XLOOKUP($F420,Productos!$A:$A,Productos!X:X,"Revisar"),"")</f>
        <v/>
      </c>
      <c r="AF420" s="179" t="str">
        <f t="array" ref="AF420">IF($F420&lt;&gt;"", XLOOKUP($F420,Productos!$A$2:$A1001,Productos!Y$2:Y1001,"")*$G420,"")</f>
        <v/>
      </c>
      <c r="AG420" s="179" t="str">
        <f t="array" ref="AG420">IF($F420&lt;&gt;"",XLOOKUP($F420,Productos!$A:$A,Productos!Z:Z,"Revisar"),"")</f>
        <v/>
      </c>
      <c r="AH420" s="179" t="str">
        <f t="array" ref="AH420">IF($F420&lt;&gt;"", XLOOKUP($F420,Productos!$A$2:$A1001,Productos!AA$2:AA1001,"")*$G420,"")</f>
        <v/>
      </c>
      <c r="AI420" s="179" t="str">
        <f t="array" ref="AI420">IF($F420&lt;&gt;"",XLOOKUP($F420,Productos!$A:$A,Productos!AB:AB,"Revisar"),"")</f>
        <v/>
      </c>
      <c r="AJ420" s="179" t="str">
        <f t="array" ref="AJ420">IF($F420&lt;&gt;"", XLOOKUP($F420,Productos!$A$2:$A1001,Productos!AC$2:AC1001,"")*$G420,"")</f>
        <v/>
      </c>
      <c r="AK420" s="179" t="str">
        <f t="array" ref="AK420">IF($F420&lt;&gt;"",XLOOKUP($F420,Productos!$A:$A,Productos!AD:AD,"Revisar"),"")</f>
        <v/>
      </c>
      <c r="AL420" s="179" t="str">
        <f t="array" ref="AL420">IF($F420&lt;&gt;"", XLOOKUP($F420,Productos!$A$2:$A1001,Productos!AE$2:AE1001,"")*$G420,"")</f>
        <v/>
      </c>
      <c r="AM420" s="179" t="str">
        <f t="array" ref="AM420">IF($F420&lt;&gt;"",XLOOKUP($F420,Productos!$A:$A,Productos!AF:AF,"Revisar"),"")</f>
        <v/>
      </c>
      <c r="AN420" s="179" t="str">
        <f t="array" ref="AN420">IF($F420&lt;&gt;"", XLOOKUP($F420,Productos!$A$2:$A1001,Productos!AG$2:AG1001,"")*$G420,"")</f>
        <v/>
      </c>
      <c r="AO420" s="179" t="str">
        <f t="array" ref="AO420">IF($F420&lt;&gt;"",XLOOKUP($F420,Productos!$A:$A,Productos!AH:AH,"Revisar"),"")</f>
        <v/>
      </c>
      <c r="AP420" s="179" t="str">
        <f t="array" ref="AP420">IF($F420&lt;&gt;"", XLOOKUP($F420,Productos!$A$2:$A1001,Productos!AI$2:AI1001,"")*$G420,"")</f>
        <v/>
      </c>
      <c r="AQ420" s="179" t="str">
        <f t="array" ref="AQ420">IF($F420&lt;&gt;"",XLOOKUP($F420,Productos!$A:$A,Productos!AJ:AJ,"Revisar"),"")</f>
        <v/>
      </c>
      <c r="AR420" s="179" t="str">
        <f t="array" ref="AR420">IF($F420&lt;&gt;"", XLOOKUP($F420,Productos!$A$2:$A1001,Productos!AK$2:AK1001,"")*$G420,"")</f>
        <v/>
      </c>
      <c r="AS420" s="179" t="str">
        <f t="array" ref="AS420">IF($F420&lt;&gt;"",XLOOKUP($F420,Productos!$A:$A,Productos!AL:AL,"Revisar"),"")</f>
        <v/>
      </c>
      <c r="AT420" s="179" t="str">
        <f t="array" ref="AT420">IF($F420&lt;&gt;"", XLOOKUP($F420,Productos!$A$2:$A1001,Productos!AM$2:AM1001,"")*$G420,"")</f>
        <v/>
      </c>
      <c r="AU420" s="179" t="str">
        <f t="array" ref="AU420">IF($F420&lt;&gt;"",XLOOKUP($F420,Productos!$A:$A,Productos!AN:AN,"Revisar"),"")</f>
        <v/>
      </c>
      <c r="AV420" s="179" t="str">
        <f t="array" ref="AV420">IF($F420&lt;&gt;"", XLOOKUP($F420,Productos!$A$2:$A1001,Productos!AO$2:AO1001,"")*$G420,"")</f>
        <v/>
      </c>
      <c r="AW420" s="179" t="str">
        <f t="array" ref="AW420">IF($F420&lt;&gt;"",XLOOKUP($F420,Productos!$A:$A,Productos!AP:AP,"Revisar"),"")</f>
        <v/>
      </c>
      <c r="AX420" s="179" t="str">
        <f t="array" ref="AX420">IF($F420&lt;&gt;"", XLOOKUP($F420,Productos!$A$2:$A1001,Productos!AQ$2:AQ1001,"")*$G420,"")</f>
        <v/>
      </c>
      <c r="AY420" s="179" t="str">
        <f t="array" ref="AY420">IF($F420&lt;&gt;"",XLOOKUP($F420,Productos!$A:$A,Productos!AR:AR,"Revisar"),"")</f>
        <v/>
      </c>
      <c r="AZ420" s="179" t="str">
        <f t="array" ref="AZ420">IF($F420&lt;&gt;"", XLOOKUP($F420,Productos!$A$2:$A1001,Productos!AS$2:AS1001,"")*$G420,"")</f>
        <v/>
      </c>
      <c r="BA420" s="179" t="str">
        <f t="array" ref="BA420">IF($F420&lt;&gt;"",XLOOKUP($F420,Productos!$A:$A,Productos!AT:AT,"Revisar"),"")</f>
        <v/>
      </c>
      <c r="BB420" s="179" t="str">
        <f t="array" ref="BB420">IF($F420&lt;&gt;"", XLOOKUP($F420,Productos!$A$2:$A1001,Productos!AU$2:AU1001,"")*$G420,"")</f>
        <v/>
      </c>
      <c r="BC420" s="179" t="str">
        <f t="array" ref="BC420">IF($F420&lt;&gt;"",XLOOKUP($F420,Productos!$A:$A,Productos!AV:AV,"Revisar"),"")</f>
        <v/>
      </c>
      <c r="BD420" s="179" t="str">
        <f t="array" ref="BD420">IF($F420&lt;&gt;"", XLOOKUP($F420,Productos!$A$2:$A1001,Productos!AW$2:AW1001,"")*$G420,"")</f>
        <v/>
      </c>
      <c r="BE420" s="179" t="str">
        <f t="array" ref="BE420">IF($F420&lt;&gt;"",XLOOKUP($F420,Productos!$A:$A,Productos!AX:AX,"Revisar"),"")</f>
        <v/>
      </c>
      <c r="BF420" s="179" t="str">
        <f t="array" ref="BF420">IF($F420&lt;&gt;"", XLOOKUP($F420,Productos!$A$2:$A1001,Productos!AY$2:AY1001,"")*$G420,"")</f>
        <v/>
      </c>
      <c r="BG420" s="179" t="str">
        <f t="array" ref="BG420">IF($F420&lt;&gt;"",XLOOKUP($F420,Productos!$A:$A,Productos!AZ:AZ,"Revisar"),"")</f>
        <v/>
      </c>
      <c r="BH420" s="179" t="str">
        <f t="array" ref="BH420">IF($F420&lt;&gt;"", XLOOKUP($F420,Productos!$A$2:$A1001,Productos!BA$2:BA1001,"")*$G420,"")</f>
        <v/>
      </c>
      <c r="BI420" s="179" t="str">
        <f t="array" ref="BI420">IF($F420&lt;&gt;"",XLOOKUP($F420,Productos!$A:$A,Productos!BB:BB,"Revisar"),"")</f>
        <v/>
      </c>
      <c r="BJ420" s="179" t="str">
        <f t="array" ref="BJ420">IF($F420&lt;&gt;"", XLOOKUP($F420,Productos!$A$2:$A1001,Productos!BC$2:BC1001,"")*$G420,"")</f>
        <v/>
      </c>
      <c r="BK420" s="179" t="str">
        <f t="array" ref="BK420">IF($F420&lt;&gt;"",XLOOKUP($F420,Productos!$A:$A,Productos!BD:BD,"Revisar"),"")</f>
        <v/>
      </c>
      <c r="BL420" s="179" t="str">
        <f t="array" ref="BL420">IF($F420&lt;&gt;"", XLOOKUP($F420,Productos!$A$2:$A1001,Productos!BE$2:BE1001,"")*$G420,"")</f>
        <v/>
      </c>
      <c r="BM420" s="179" t="str">
        <f t="array" ref="BM420">IF($F420&lt;&gt;"",XLOOKUP($F420,Productos!$A:$A,Productos!BF:BF,"Revisar"),"")</f>
        <v/>
      </c>
      <c r="BN420" s="179" t="str">
        <f t="array" ref="BN420">IF($F420&lt;&gt;"", XLOOKUP($F420,Productos!$A$2:$A1001,Productos!BG$2:BG1001,"")*$G420,"")</f>
        <v/>
      </c>
      <c r="BO420" s="179" t="str">
        <f t="array" ref="BO420">IF($F420&lt;&gt;"",XLOOKUP($F420,Productos!$A:$A,Productos!BH:BH,"Revisar"),"")</f>
        <v/>
      </c>
      <c r="BP420" s="179" t="str">
        <f t="array" ref="BP420">IF($F420&lt;&gt;"", XLOOKUP($F420,Productos!$A$2:$A1001,Productos!BI$2:BI1001,"")*$G420,"")</f>
        <v/>
      </c>
      <c r="BQ420" s="179" t="str">
        <f t="array" ref="BQ420">IF($F420&lt;&gt;"",XLOOKUP($F420,Productos!$A:$A,Productos!BJ:BJ,"Revisar"),"")</f>
        <v/>
      </c>
      <c r="BR420" s="179" t="str">
        <f t="array" ref="BR420">IF($F420&lt;&gt;"", XLOOKUP($F420,Productos!$A$2:$A1001,Productos!BK$2:BK1001,"")*$G420,"")</f>
        <v/>
      </c>
      <c r="BS420" s="179" t="str">
        <f t="array" ref="BS420">IF($F420&lt;&gt;"",XLOOKUP($F420,Productos!$A:$A,Productos!BL:BL,"Revisar"),"")</f>
        <v/>
      </c>
      <c r="BT420" s="179" t="str">
        <f t="array" ref="BT420">IF($F420&lt;&gt;"", XLOOKUP($F420,Productos!$A$2:$A1001,Productos!BM$2:BM1001,"")*$G420,"")</f>
        <v/>
      </c>
      <c r="BU420" s="179" t="str">
        <f t="array" ref="BU420">IF($F420&lt;&gt;"",XLOOKUP($F420,Productos!$A:$A,Productos!BN:BN,"Revisar"),"")</f>
        <v/>
      </c>
      <c r="BV420" s="179" t="str">
        <f t="array" ref="BV420">IF($F420&lt;&gt;"", XLOOKUP($F420,Productos!$A$2:$A1001,Productos!BO$2:BO1001,"")*$G420,"")</f>
        <v/>
      </c>
      <c r="BW420" s="179" t="str">
        <f t="array" ref="BW420">IF($F420&lt;&gt;"",XLOOKUP($F420,Productos!$A:$A,Productos!BP:BP,"Revisar"),"")</f>
        <v/>
      </c>
      <c r="BX420" s="179" t="str">
        <f t="array" ref="BX420">IF($F420&lt;&gt;"", XLOOKUP($F420,Productos!$A$2:$A1001,Productos!BQ$2:BQ1001,"")*$G420,"")</f>
        <v/>
      </c>
      <c r="BY420" s="179" t="str">
        <f t="array" ref="BY420">IF($F420&lt;&gt;"",XLOOKUP($F420,Productos!$A:$A,Productos!BR:BR,"Revisar"),"")</f>
        <v/>
      </c>
      <c r="BZ420" s="179" t="str">
        <f t="array" ref="BZ420">IF($F420&lt;&gt;"", XLOOKUP($F420,Productos!$A$2:$A1001,Productos!BS$2:BS1001,"")*$G420,"")</f>
        <v/>
      </c>
    </row>
    <row r="421">
      <c r="A421" s="188"/>
      <c r="B421" s="189"/>
      <c r="C421" s="190"/>
      <c r="D421" s="190"/>
      <c r="E421" s="191"/>
      <c r="F421" s="186"/>
      <c r="G421" s="192"/>
      <c r="H421" s="9"/>
      <c r="I421" s="179" t="str">
        <f t="array" ref="I421">IF($F421&lt;&gt;"",XLOOKUP($F421,Productos!$A:$A,Productos!B:B,"Revisar"),"")</f>
        <v/>
      </c>
      <c r="J421" s="179" t="str">
        <f t="array" ref="J421">IF($F421&lt;&gt;"", XLOOKUP($F421,Productos!$A$2:$A1001,Productos!C$2:C1001,"")*$G421,"")</f>
        <v/>
      </c>
      <c r="K421" s="179" t="str">
        <f t="array" ref="K421">IF($F421&lt;&gt;"",XLOOKUP($F421,Productos!$A:$A,Productos!D:D,"Revisar"),"")</f>
        <v/>
      </c>
      <c r="L421" s="179" t="str">
        <f t="array" ref="L421">IF($F421&lt;&gt;"", XLOOKUP($F421,Productos!$A$2:$A1001,Productos!E$2:E1001,"")*$G421,"")</f>
        <v/>
      </c>
      <c r="M421" s="179" t="str">
        <f t="array" ref="M421">IF($F421&lt;&gt;"",XLOOKUP($F421,Productos!$A:$A,Productos!F:F,"Revisar"),"")</f>
        <v/>
      </c>
      <c r="N421" s="179" t="str">
        <f t="array" ref="N421">IF($F421&lt;&gt;"", XLOOKUP($F421,Productos!$A$2:$A1001,Productos!G$2:G1001,"")*$G421,"")</f>
        <v/>
      </c>
      <c r="O421" s="179" t="str">
        <f t="array" ref="O421">IF($F421&lt;&gt;"",XLOOKUP($F421,Productos!$A:$A,Productos!H:H,"Revisar"),"")</f>
        <v/>
      </c>
      <c r="P421" s="179" t="str">
        <f t="array" ref="P421">IF($F421&lt;&gt;"", XLOOKUP($F421,Productos!$A$2:$A1001,Productos!I$2:I1001,"")*$G421,"")</f>
        <v/>
      </c>
      <c r="Q421" s="179" t="str">
        <f t="array" ref="Q421">IF($F421&lt;&gt;"",XLOOKUP($F421,Productos!$A:$A,Productos!J:J,"Revisar"),"")</f>
        <v/>
      </c>
      <c r="R421" s="179" t="str">
        <f t="array" ref="R421">IF($F421&lt;&gt;"", XLOOKUP($F421,Productos!$A$2:$A1001,Productos!K$2:K1001,"")*$G421,"")</f>
        <v/>
      </c>
      <c r="S421" s="179" t="str">
        <f t="array" ref="S421">IF($F421&lt;&gt;"",XLOOKUP($F421,Productos!$A:$A,Productos!L:L,"Revisar"),"")</f>
        <v/>
      </c>
      <c r="T421" s="179" t="str">
        <f t="array" ref="T421">IF($F421&lt;&gt;"", XLOOKUP($F421,Productos!$A$2:$A1001,Productos!M$2:M1001,"")*$G421,"")</f>
        <v/>
      </c>
      <c r="U421" s="179" t="str">
        <f t="array" ref="U421">IF($F421&lt;&gt;"",XLOOKUP($F421,Productos!$A:$A,Productos!N:N,"Revisar"),"")</f>
        <v/>
      </c>
      <c r="V421" s="179" t="str">
        <f t="array" ref="V421">IF($F421&lt;&gt;"", XLOOKUP($F421,Productos!$A$2:$A1001,Productos!O$2:O1001,"")*$G421,"")</f>
        <v/>
      </c>
      <c r="W421" s="179" t="str">
        <f t="array" ref="W421">IF($F421&lt;&gt;"",XLOOKUP($F421,Productos!$A:$A,Productos!P:P,"Revisar"),"")</f>
        <v/>
      </c>
      <c r="X421" s="179" t="str">
        <f t="array" ref="X421">IF($F421&lt;&gt;"", XLOOKUP($F421,Productos!$A$2:$A1001,Productos!Q$2:Q1001,"")*$G421,"")</f>
        <v/>
      </c>
      <c r="Y421" s="179" t="str">
        <f t="array" ref="Y421">IF($F421&lt;&gt;"",XLOOKUP($F421,Productos!$A:$A,Productos!R:R,"Revisar"),"")</f>
        <v/>
      </c>
      <c r="Z421" s="179" t="str">
        <f t="array" ref="Z421">IF($F421&lt;&gt;"", XLOOKUP($F421,Productos!$A$2:$A1001,Productos!S$2:S1001,"")*$G421,"")</f>
        <v/>
      </c>
      <c r="AA421" s="179" t="str">
        <f t="array" ref="AA421">IF($F421&lt;&gt;"",XLOOKUP($F421,Productos!$A:$A,Productos!T:T,"Revisar"),"")</f>
        <v/>
      </c>
      <c r="AB421" s="179" t="str">
        <f t="array" ref="AB421">IF($F421&lt;&gt;"", XLOOKUP($F421,Productos!$A$2:$A1001,Productos!U$2:U1001,"")*$G421,"")</f>
        <v/>
      </c>
      <c r="AC421" s="179" t="str">
        <f t="array" ref="AC421">IF($F421&lt;&gt;"",XLOOKUP($F421,Productos!$A:$A,Productos!V:V,"Revisar"),"")</f>
        <v/>
      </c>
      <c r="AD421" s="179" t="str">
        <f t="array" ref="AD421">IF($F421&lt;&gt;"", XLOOKUP($F421,Productos!$A$2:$A1001,Productos!W$2:W1001,"")*$G421,"")</f>
        <v/>
      </c>
      <c r="AE421" s="179" t="str">
        <f t="array" ref="AE421">IF($F421&lt;&gt;"",XLOOKUP($F421,Productos!$A:$A,Productos!X:X,"Revisar"),"")</f>
        <v/>
      </c>
      <c r="AF421" s="179" t="str">
        <f t="array" ref="AF421">IF($F421&lt;&gt;"", XLOOKUP($F421,Productos!$A$2:$A1001,Productos!Y$2:Y1001,"")*$G421,"")</f>
        <v/>
      </c>
      <c r="AG421" s="179" t="str">
        <f t="array" ref="AG421">IF($F421&lt;&gt;"",XLOOKUP($F421,Productos!$A:$A,Productos!Z:Z,"Revisar"),"")</f>
        <v/>
      </c>
      <c r="AH421" s="179" t="str">
        <f t="array" ref="AH421">IF($F421&lt;&gt;"", XLOOKUP($F421,Productos!$A$2:$A1001,Productos!AA$2:AA1001,"")*$G421,"")</f>
        <v/>
      </c>
      <c r="AI421" s="179" t="str">
        <f t="array" ref="AI421">IF($F421&lt;&gt;"",XLOOKUP($F421,Productos!$A:$A,Productos!AB:AB,"Revisar"),"")</f>
        <v/>
      </c>
      <c r="AJ421" s="179" t="str">
        <f t="array" ref="AJ421">IF($F421&lt;&gt;"", XLOOKUP($F421,Productos!$A$2:$A1001,Productos!AC$2:AC1001,"")*$G421,"")</f>
        <v/>
      </c>
      <c r="AK421" s="179" t="str">
        <f t="array" ref="AK421">IF($F421&lt;&gt;"",XLOOKUP($F421,Productos!$A:$A,Productos!AD:AD,"Revisar"),"")</f>
        <v/>
      </c>
      <c r="AL421" s="179" t="str">
        <f t="array" ref="AL421">IF($F421&lt;&gt;"", XLOOKUP($F421,Productos!$A$2:$A1001,Productos!AE$2:AE1001,"")*$G421,"")</f>
        <v/>
      </c>
      <c r="AM421" s="179" t="str">
        <f t="array" ref="AM421">IF($F421&lt;&gt;"",XLOOKUP($F421,Productos!$A:$A,Productos!AF:AF,"Revisar"),"")</f>
        <v/>
      </c>
      <c r="AN421" s="179" t="str">
        <f t="array" ref="AN421">IF($F421&lt;&gt;"", XLOOKUP($F421,Productos!$A$2:$A1001,Productos!AG$2:AG1001,"")*$G421,"")</f>
        <v/>
      </c>
      <c r="AO421" s="179" t="str">
        <f t="array" ref="AO421">IF($F421&lt;&gt;"",XLOOKUP($F421,Productos!$A:$A,Productos!AH:AH,"Revisar"),"")</f>
        <v/>
      </c>
      <c r="AP421" s="179" t="str">
        <f t="array" ref="AP421">IF($F421&lt;&gt;"", XLOOKUP($F421,Productos!$A$2:$A1001,Productos!AI$2:AI1001,"")*$G421,"")</f>
        <v/>
      </c>
      <c r="AQ421" s="179" t="str">
        <f t="array" ref="AQ421">IF($F421&lt;&gt;"",XLOOKUP($F421,Productos!$A:$A,Productos!AJ:AJ,"Revisar"),"")</f>
        <v/>
      </c>
      <c r="AR421" s="179" t="str">
        <f t="array" ref="AR421">IF($F421&lt;&gt;"", XLOOKUP($F421,Productos!$A$2:$A1001,Productos!AK$2:AK1001,"")*$G421,"")</f>
        <v/>
      </c>
      <c r="AS421" s="179" t="str">
        <f t="array" ref="AS421">IF($F421&lt;&gt;"",XLOOKUP($F421,Productos!$A:$A,Productos!AL:AL,"Revisar"),"")</f>
        <v/>
      </c>
      <c r="AT421" s="179" t="str">
        <f t="array" ref="AT421">IF($F421&lt;&gt;"", XLOOKUP($F421,Productos!$A$2:$A1001,Productos!AM$2:AM1001,"")*$G421,"")</f>
        <v/>
      </c>
      <c r="AU421" s="179" t="str">
        <f t="array" ref="AU421">IF($F421&lt;&gt;"",XLOOKUP($F421,Productos!$A:$A,Productos!AN:AN,"Revisar"),"")</f>
        <v/>
      </c>
      <c r="AV421" s="179" t="str">
        <f t="array" ref="AV421">IF($F421&lt;&gt;"", XLOOKUP($F421,Productos!$A$2:$A1001,Productos!AO$2:AO1001,"")*$G421,"")</f>
        <v/>
      </c>
      <c r="AW421" s="179" t="str">
        <f t="array" ref="AW421">IF($F421&lt;&gt;"",XLOOKUP($F421,Productos!$A:$A,Productos!AP:AP,"Revisar"),"")</f>
        <v/>
      </c>
      <c r="AX421" s="179" t="str">
        <f t="array" ref="AX421">IF($F421&lt;&gt;"", XLOOKUP($F421,Productos!$A$2:$A1001,Productos!AQ$2:AQ1001,"")*$G421,"")</f>
        <v/>
      </c>
      <c r="AY421" s="179" t="str">
        <f t="array" ref="AY421">IF($F421&lt;&gt;"",XLOOKUP($F421,Productos!$A:$A,Productos!AR:AR,"Revisar"),"")</f>
        <v/>
      </c>
      <c r="AZ421" s="179" t="str">
        <f t="array" ref="AZ421">IF($F421&lt;&gt;"", XLOOKUP($F421,Productos!$A$2:$A1001,Productos!AS$2:AS1001,"")*$G421,"")</f>
        <v/>
      </c>
      <c r="BA421" s="179" t="str">
        <f t="array" ref="BA421">IF($F421&lt;&gt;"",XLOOKUP($F421,Productos!$A:$A,Productos!AT:AT,"Revisar"),"")</f>
        <v/>
      </c>
      <c r="BB421" s="179" t="str">
        <f t="array" ref="BB421">IF($F421&lt;&gt;"", XLOOKUP($F421,Productos!$A$2:$A1001,Productos!AU$2:AU1001,"")*$G421,"")</f>
        <v/>
      </c>
      <c r="BC421" s="179" t="str">
        <f t="array" ref="BC421">IF($F421&lt;&gt;"",XLOOKUP($F421,Productos!$A:$A,Productos!AV:AV,"Revisar"),"")</f>
        <v/>
      </c>
      <c r="BD421" s="179" t="str">
        <f t="array" ref="BD421">IF($F421&lt;&gt;"", XLOOKUP($F421,Productos!$A$2:$A1001,Productos!AW$2:AW1001,"")*$G421,"")</f>
        <v/>
      </c>
      <c r="BE421" s="179" t="str">
        <f t="array" ref="BE421">IF($F421&lt;&gt;"",XLOOKUP($F421,Productos!$A:$A,Productos!AX:AX,"Revisar"),"")</f>
        <v/>
      </c>
      <c r="BF421" s="179" t="str">
        <f t="array" ref="BF421">IF($F421&lt;&gt;"", XLOOKUP($F421,Productos!$A$2:$A1001,Productos!AY$2:AY1001,"")*$G421,"")</f>
        <v/>
      </c>
      <c r="BG421" s="179" t="str">
        <f t="array" ref="BG421">IF($F421&lt;&gt;"",XLOOKUP($F421,Productos!$A:$A,Productos!AZ:AZ,"Revisar"),"")</f>
        <v/>
      </c>
      <c r="BH421" s="179" t="str">
        <f t="array" ref="BH421">IF($F421&lt;&gt;"", XLOOKUP($F421,Productos!$A$2:$A1001,Productos!BA$2:BA1001,"")*$G421,"")</f>
        <v/>
      </c>
      <c r="BI421" s="179" t="str">
        <f t="array" ref="BI421">IF($F421&lt;&gt;"",XLOOKUP($F421,Productos!$A:$A,Productos!BB:BB,"Revisar"),"")</f>
        <v/>
      </c>
      <c r="BJ421" s="179" t="str">
        <f t="array" ref="BJ421">IF($F421&lt;&gt;"", XLOOKUP($F421,Productos!$A$2:$A1001,Productos!BC$2:BC1001,"")*$G421,"")</f>
        <v/>
      </c>
      <c r="BK421" s="179" t="str">
        <f t="array" ref="BK421">IF($F421&lt;&gt;"",XLOOKUP($F421,Productos!$A:$A,Productos!BD:BD,"Revisar"),"")</f>
        <v/>
      </c>
      <c r="BL421" s="179" t="str">
        <f t="array" ref="BL421">IF($F421&lt;&gt;"", XLOOKUP($F421,Productos!$A$2:$A1001,Productos!BE$2:BE1001,"")*$G421,"")</f>
        <v/>
      </c>
      <c r="BM421" s="179" t="str">
        <f t="array" ref="BM421">IF($F421&lt;&gt;"",XLOOKUP($F421,Productos!$A:$A,Productos!BF:BF,"Revisar"),"")</f>
        <v/>
      </c>
      <c r="BN421" s="179" t="str">
        <f t="array" ref="BN421">IF($F421&lt;&gt;"", XLOOKUP($F421,Productos!$A$2:$A1001,Productos!BG$2:BG1001,"")*$G421,"")</f>
        <v/>
      </c>
      <c r="BO421" s="179" t="str">
        <f t="array" ref="BO421">IF($F421&lt;&gt;"",XLOOKUP($F421,Productos!$A:$A,Productos!BH:BH,"Revisar"),"")</f>
        <v/>
      </c>
      <c r="BP421" s="179" t="str">
        <f t="array" ref="BP421">IF($F421&lt;&gt;"", XLOOKUP($F421,Productos!$A$2:$A1001,Productos!BI$2:BI1001,"")*$G421,"")</f>
        <v/>
      </c>
      <c r="BQ421" s="179" t="str">
        <f t="array" ref="BQ421">IF($F421&lt;&gt;"",XLOOKUP($F421,Productos!$A:$A,Productos!BJ:BJ,"Revisar"),"")</f>
        <v/>
      </c>
      <c r="BR421" s="179" t="str">
        <f t="array" ref="BR421">IF($F421&lt;&gt;"", XLOOKUP($F421,Productos!$A$2:$A1001,Productos!BK$2:BK1001,"")*$G421,"")</f>
        <v/>
      </c>
      <c r="BS421" s="179" t="str">
        <f t="array" ref="BS421">IF($F421&lt;&gt;"",XLOOKUP($F421,Productos!$A:$A,Productos!BL:BL,"Revisar"),"")</f>
        <v/>
      </c>
      <c r="BT421" s="179" t="str">
        <f t="array" ref="BT421">IF($F421&lt;&gt;"", XLOOKUP($F421,Productos!$A$2:$A1001,Productos!BM$2:BM1001,"")*$G421,"")</f>
        <v/>
      </c>
      <c r="BU421" s="179" t="str">
        <f t="array" ref="BU421">IF($F421&lt;&gt;"",XLOOKUP($F421,Productos!$A:$A,Productos!BN:BN,"Revisar"),"")</f>
        <v/>
      </c>
      <c r="BV421" s="179" t="str">
        <f t="array" ref="BV421">IF($F421&lt;&gt;"", XLOOKUP($F421,Productos!$A$2:$A1001,Productos!BO$2:BO1001,"")*$G421,"")</f>
        <v/>
      </c>
      <c r="BW421" s="179" t="str">
        <f t="array" ref="BW421">IF($F421&lt;&gt;"",XLOOKUP($F421,Productos!$A:$A,Productos!BP:BP,"Revisar"),"")</f>
        <v/>
      </c>
      <c r="BX421" s="179" t="str">
        <f t="array" ref="BX421">IF($F421&lt;&gt;"", XLOOKUP($F421,Productos!$A$2:$A1001,Productos!BQ$2:BQ1001,"")*$G421,"")</f>
        <v/>
      </c>
      <c r="BY421" s="179" t="str">
        <f t="array" ref="BY421">IF($F421&lt;&gt;"",XLOOKUP($F421,Productos!$A:$A,Productos!BR:BR,"Revisar"),"")</f>
        <v/>
      </c>
      <c r="BZ421" s="179" t="str">
        <f t="array" ref="BZ421">IF($F421&lt;&gt;"", XLOOKUP($F421,Productos!$A$2:$A1001,Productos!BS$2:BS1001,"")*$G421,"")</f>
        <v/>
      </c>
    </row>
    <row r="422">
      <c r="A422" s="188"/>
      <c r="B422" s="189"/>
      <c r="C422" s="190"/>
      <c r="D422" s="190"/>
      <c r="E422" s="191"/>
      <c r="F422" s="186"/>
      <c r="G422" s="192"/>
      <c r="H422" s="9"/>
      <c r="I422" s="179" t="str">
        <f t="array" ref="I422">IF($F422&lt;&gt;"",XLOOKUP($F422,Productos!$A:$A,Productos!B:B,"Revisar"),"")</f>
        <v/>
      </c>
      <c r="J422" s="179" t="str">
        <f t="array" ref="J422">IF($F422&lt;&gt;"", XLOOKUP($F422,Productos!$A$2:$A1001,Productos!C$2:C1001,"")*$G422,"")</f>
        <v/>
      </c>
      <c r="K422" s="179" t="str">
        <f t="array" ref="K422">IF($F422&lt;&gt;"",XLOOKUP($F422,Productos!$A:$A,Productos!D:D,"Revisar"),"")</f>
        <v/>
      </c>
      <c r="L422" s="179" t="str">
        <f t="array" ref="L422">IF($F422&lt;&gt;"", XLOOKUP($F422,Productos!$A$2:$A1001,Productos!E$2:E1001,"")*$G422,"")</f>
        <v/>
      </c>
      <c r="M422" s="179" t="str">
        <f t="array" ref="M422">IF($F422&lt;&gt;"",XLOOKUP($F422,Productos!$A:$A,Productos!F:F,"Revisar"),"")</f>
        <v/>
      </c>
      <c r="N422" s="179" t="str">
        <f t="array" ref="N422">IF($F422&lt;&gt;"", XLOOKUP($F422,Productos!$A$2:$A1001,Productos!G$2:G1001,"")*$G422,"")</f>
        <v/>
      </c>
      <c r="O422" s="179" t="str">
        <f t="array" ref="O422">IF($F422&lt;&gt;"",XLOOKUP($F422,Productos!$A:$A,Productos!H:H,"Revisar"),"")</f>
        <v/>
      </c>
      <c r="P422" s="179" t="str">
        <f t="array" ref="P422">IF($F422&lt;&gt;"", XLOOKUP($F422,Productos!$A$2:$A1001,Productos!I$2:I1001,"")*$G422,"")</f>
        <v/>
      </c>
      <c r="Q422" s="179" t="str">
        <f t="array" ref="Q422">IF($F422&lt;&gt;"",XLOOKUP($F422,Productos!$A:$A,Productos!J:J,"Revisar"),"")</f>
        <v/>
      </c>
      <c r="R422" s="179" t="str">
        <f t="array" ref="R422">IF($F422&lt;&gt;"", XLOOKUP($F422,Productos!$A$2:$A1001,Productos!K$2:K1001,"")*$G422,"")</f>
        <v/>
      </c>
      <c r="S422" s="179" t="str">
        <f t="array" ref="S422">IF($F422&lt;&gt;"",XLOOKUP($F422,Productos!$A:$A,Productos!L:L,"Revisar"),"")</f>
        <v/>
      </c>
      <c r="T422" s="179" t="str">
        <f t="array" ref="T422">IF($F422&lt;&gt;"", XLOOKUP($F422,Productos!$A$2:$A1001,Productos!M$2:M1001,"")*$G422,"")</f>
        <v/>
      </c>
      <c r="U422" s="179" t="str">
        <f t="array" ref="U422">IF($F422&lt;&gt;"",XLOOKUP($F422,Productos!$A:$A,Productos!N:N,"Revisar"),"")</f>
        <v/>
      </c>
      <c r="V422" s="179" t="str">
        <f t="array" ref="V422">IF($F422&lt;&gt;"", XLOOKUP($F422,Productos!$A$2:$A1001,Productos!O$2:O1001,"")*$G422,"")</f>
        <v/>
      </c>
      <c r="W422" s="179" t="str">
        <f t="array" ref="W422">IF($F422&lt;&gt;"",XLOOKUP($F422,Productos!$A:$A,Productos!P:P,"Revisar"),"")</f>
        <v/>
      </c>
      <c r="X422" s="179" t="str">
        <f t="array" ref="X422">IF($F422&lt;&gt;"", XLOOKUP($F422,Productos!$A$2:$A1001,Productos!Q$2:Q1001,"")*$G422,"")</f>
        <v/>
      </c>
      <c r="Y422" s="179" t="str">
        <f t="array" ref="Y422">IF($F422&lt;&gt;"",XLOOKUP($F422,Productos!$A:$A,Productos!R:R,"Revisar"),"")</f>
        <v/>
      </c>
      <c r="Z422" s="179" t="str">
        <f t="array" ref="Z422">IF($F422&lt;&gt;"", XLOOKUP($F422,Productos!$A$2:$A1001,Productos!S$2:S1001,"")*$G422,"")</f>
        <v/>
      </c>
      <c r="AA422" s="179" t="str">
        <f t="array" ref="AA422">IF($F422&lt;&gt;"",XLOOKUP($F422,Productos!$A:$A,Productos!T:T,"Revisar"),"")</f>
        <v/>
      </c>
      <c r="AB422" s="179" t="str">
        <f t="array" ref="AB422">IF($F422&lt;&gt;"", XLOOKUP($F422,Productos!$A$2:$A1001,Productos!U$2:U1001,"")*$G422,"")</f>
        <v/>
      </c>
      <c r="AC422" s="179" t="str">
        <f t="array" ref="AC422">IF($F422&lt;&gt;"",XLOOKUP($F422,Productos!$A:$A,Productos!V:V,"Revisar"),"")</f>
        <v/>
      </c>
      <c r="AD422" s="179" t="str">
        <f t="array" ref="AD422">IF($F422&lt;&gt;"", XLOOKUP($F422,Productos!$A$2:$A1001,Productos!W$2:W1001,"")*$G422,"")</f>
        <v/>
      </c>
      <c r="AE422" s="179" t="str">
        <f t="array" ref="AE422">IF($F422&lt;&gt;"",XLOOKUP($F422,Productos!$A:$A,Productos!X:X,"Revisar"),"")</f>
        <v/>
      </c>
      <c r="AF422" s="179" t="str">
        <f t="array" ref="AF422">IF($F422&lt;&gt;"", XLOOKUP($F422,Productos!$A$2:$A1001,Productos!Y$2:Y1001,"")*$G422,"")</f>
        <v/>
      </c>
      <c r="AG422" s="179" t="str">
        <f t="array" ref="AG422">IF($F422&lt;&gt;"",XLOOKUP($F422,Productos!$A:$A,Productos!Z:Z,"Revisar"),"")</f>
        <v/>
      </c>
      <c r="AH422" s="179" t="str">
        <f t="array" ref="AH422">IF($F422&lt;&gt;"", XLOOKUP($F422,Productos!$A$2:$A1001,Productos!AA$2:AA1001,"")*$G422,"")</f>
        <v/>
      </c>
      <c r="AI422" s="179" t="str">
        <f t="array" ref="AI422">IF($F422&lt;&gt;"",XLOOKUP($F422,Productos!$A:$A,Productos!AB:AB,"Revisar"),"")</f>
        <v/>
      </c>
      <c r="AJ422" s="179" t="str">
        <f t="array" ref="AJ422">IF($F422&lt;&gt;"", XLOOKUP($F422,Productos!$A$2:$A1001,Productos!AC$2:AC1001,"")*$G422,"")</f>
        <v/>
      </c>
      <c r="AK422" s="179" t="str">
        <f t="array" ref="AK422">IF($F422&lt;&gt;"",XLOOKUP($F422,Productos!$A:$A,Productos!AD:AD,"Revisar"),"")</f>
        <v/>
      </c>
      <c r="AL422" s="179" t="str">
        <f t="array" ref="AL422">IF($F422&lt;&gt;"", XLOOKUP($F422,Productos!$A$2:$A1001,Productos!AE$2:AE1001,"")*$G422,"")</f>
        <v/>
      </c>
      <c r="AM422" s="179" t="str">
        <f t="array" ref="AM422">IF($F422&lt;&gt;"",XLOOKUP($F422,Productos!$A:$A,Productos!AF:AF,"Revisar"),"")</f>
        <v/>
      </c>
      <c r="AN422" s="179" t="str">
        <f t="array" ref="AN422">IF($F422&lt;&gt;"", XLOOKUP($F422,Productos!$A$2:$A1001,Productos!AG$2:AG1001,"")*$G422,"")</f>
        <v/>
      </c>
      <c r="AO422" s="179" t="str">
        <f t="array" ref="AO422">IF($F422&lt;&gt;"",XLOOKUP($F422,Productos!$A:$A,Productos!AH:AH,"Revisar"),"")</f>
        <v/>
      </c>
      <c r="AP422" s="179" t="str">
        <f t="array" ref="AP422">IF($F422&lt;&gt;"", XLOOKUP($F422,Productos!$A$2:$A1001,Productos!AI$2:AI1001,"")*$G422,"")</f>
        <v/>
      </c>
      <c r="AQ422" s="179" t="str">
        <f t="array" ref="AQ422">IF($F422&lt;&gt;"",XLOOKUP($F422,Productos!$A:$A,Productos!AJ:AJ,"Revisar"),"")</f>
        <v/>
      </c>
      <c r="AR422" s="179" t="str">
        <f t="array" ref="AR422">IF($F422&lt;&gt;"", XLOOKUP($F422,Productos!$A$2:$A1001,Productos!AK$2:AK1001,"")*$G422,"")</f>
        <v/>
      </c>
      <c r="AS422" s="179" t="str">
        <f t="array" ref="AS422">IF($F422&lt;&gt;"",XLOOKUP($F422,Productos!$A:$A,Productos!AL:AL,"Revisar"),"")</f>
        <v/>
      </c>
      <c r="AT422" s="179" t="str">
        <f t="array" ref="AT422">IF($F422&lt;&gt;"", XLOOKUP($F422,Productos!$A$2:$A1001,Productos!AM$2:AM1001,"")*$G422,"")</f>
        <v/>
      </c>
      <c r="AU422" s="179" t="str">
        <f t="array" ref="AU422">IF($F422&lt;&gt;"",XLOOKUP($F422,Productos!$A:$A,Productos!AN:AN,"Revisar"),"")</f>
        <v/>
      </c>
      <c r="AV422" s="179" t="str">
        <f t="array" ref="AV422">IF($F422&lt;&gt;"", XLOOKUP($F422,Productos!$A$2:$A1001,Productos!AO$2:AO1001,"")*$G422,"")</f>
        <v/>
      </c>
      <c r="AW422" s="179" t="str">
        <f t="array" ref="AW422">IF($F422&lt;&gt;"",XLOOKUP($F422,Productos!$A:$A,Productos!AP:AP,"Revisar"),"")</f>
        <v/>
      </c>
      <c r="AX422" s="179" t="str">
        <f t="array" ref="AX422">IF($F422&lt;&gt;"", XLOOKUP($F422,Productos!$A$2:$A1001,Productos!AQ$2:AQ1001,"")*$G422,"")</f>
        <v/>
      </c>
      <c r="AY422" s="179" t="str">
        <f t="array" ref="AY422">IF($F422&lt;&gt;"",XLOOKUP($F422,Productos!$A:$A,Productos!AR:AR,"Revisar"),"")</f>
        <v/>
      </c>
      <c r="AZ422" s="179" t="str">
        <f t="array" ref="AZ422">IF($F422&lt;&gt;"", XLOOKUP($F422,Productos!$A$2:$A1001,Productos!AS$2:AS1001,"")*$G422,"")</f>
        <v/>
      </c>
      <c r="BA422" s="179" t="str">
        <f t="array" ref="BA422">IF($F422&lt;&gt;"",XLOOKUP($F422,Productos!$A:$A,Productos!AT:AT,"Revisar"),"")</f>
        <v/>
      </c>
      <c r="BB422" s="179" t="str">
        <f t="array" ref="BB422">IF($F422&lt;&gt;"", XLOOKUP($F422,Productos!$A$2:$A1001,Productos!AU$2:AU1001,"")*$G422,"")</f>
        <v/>
      </c>
      <c r="BC422" s="179" t="str">
        <f t="array" ref="BC422">IF($F422&lt;&gt;"",XLOOKUP($F422,Productos!$A:$A,Productos!AV:AV,"Revisar"),"")</f>
        <v/>
      </c>
      <c r="BD422" s="179" t="str">
        <f t="array" ref="BD422">IF($F422&lt;&gt;"", XLOOKUP($F422,Productos!$A$2:$A1001,Productos!AW$2:AW1001,"")*$G422,"")</f>
        <v/>
      </c>
      <c r="BE422" s="179" t="str">
        <f t="array" ref="BE422">IF($F422&lt;&gt;"",XLOOKUP($F422,Productos!$A:$A,Productos!AX:AX,"Revisar"),"")</f>
        <v/>
      </c>
      <c r="BF422" s="179" t="str">
        <f t="array" ref="BF422">IF($F422&lt;&gt;"", XLOOKUP($F422,Productos!$A$2:$A1001,Productos!AY$2:AY1001,"")*$G422,"")</f>
        <v/>
      </c>
      <c r="BG422" s="179" t="str">
        <f t="array" ref="BG422">IF($F422&lt;&gt;"",XLOOKUP($F422,Productos!$A:$A,Productos!AZ:AZ,"Revisar"),"")</f>
        <v/>
      </c>
      <c r="BH422" s="179" t="str">
        <f t="array" ref="BH422">IF($F422&lt;&gt;"", XLOOKUP($F422,Productos!$A$2:$A1001,Productos!BA$2:BA1001,"")*$G422,"")</f>
        <v/>
      </c>
      <c r="BI422" s="179" t="str">
        <f t="array" ref="BI422">IF($F422&lt;&gt;"",XLOOKUP($F422,Productos!$A:$A,Productos!BB:BB,"Revisar"),"")</f>
        <v/>
      </c>
      <c r="BJ422" s="179" t="str">
        <f t="array" ref="BJ422">IF($F422&lt;&gt;"", XLOOKUP($F422,Productos!$A$2:$A1001,Productos!BC$2:BC1001,"")*$G422,"")</f>
        <v/>
      </c>
      <c r="BK422" s="179" t="str">
        <f t="array" ref="BK422">IF($F422&lt;&gt;"",XLOOKUP($F422,Productos!$A:$A,Productos!BD:BD,"Revisar"),"")</f>
        <v/>
      </c>
      <c r="BL422" s="179" t="str">
        <f t="array" ref="BL422">IF($F422&lt;&gt;"", XLOOKUP($F422,Productos!$A$2:$A1001,Productos!BE$2:BE1001,"")*$G422,"")</f>
        <v/>
      </c>
      <c r="BM422" s="179" t="str">
        <f t="array" ref="BM422">IF($F422&lt;&gt;"",XLOOKUP($F422,Productos!$A:$A,Productos!BF:BF,"Revisar"),"")</f>
        <v/>
      </c>
      <c r="BN422" s="179" t="str">
        <f t="array" ref="BN422">IF($F422&lt;&gt;"", XLOOKUP($F422,Productos!$A$2:$A1001,Productos!BG$2:BG1001,"")*$G422,"")</f>
        <v/>
      </c>
      <c r="BO422" s="179" t="str">
        <f t="array" ref="BO422">IF($F422&lt;&gt;"",XLOOKUP($F422,Productos!$A:$A,Productos!BH:BH,"Revisar"),"")</f>
        <v/>
      </c>
      <c r="BP422" s="179" t="str">
        <f t="array" ref="BP422">IF($F422&lt;&gt;"", XLOOKUP($F422,Productos!$A$2:$A1001,Productos!BI$2:BI1001,"")*$G422,"")</f>
        <v/>
      </c>
      <c r="BQ422" s="179" t="str">
        <f t="array" ref="BQ422">IF($F422&lt;&gt;"",XLOOKUP($F422,Productos!$A:$A,Productos!BJ:BJ,"Revisar"),"")</f>
        <v/>
      </c>
      <c r="BR422" s="179" t="str">
        <f t="array" ref="BR422">IF($F422&lt;&gt;"", XLOOKUP($F422,Productos!$A$2:$A1001,Productos!BK$2:BK1001,"")*$G422,"")</f>
        <v/>
      </c>
      <c r="BS422" s="179" t="str">
        <f t="array" ref="BS422">IF($F422&lt;&gt;"",XLOOKUP($F422,Productos!$A:$A,Productos!BL:BL,"Revisar"),"")</f>
        <v/>
      </c>
      <c r="BT422" s="179" t="str">
        <f t="array" ref="BT422">IF($F422&lt;&gt;"", XLOOKUP($F422,Productos!$A$2:$A1001,Productos!BM$2:BM1001,"")*$G422,"")</f>
        <v/>
      </c>
      <c r="BU422" s="179" t="str">
        <f t="array" ref="BU422">IF($F422&lt;&gt;"",XLOOKUP($F422,Productos!$A:$A,Productos!BN:BN,"Revisar"),"")</f>
        <v/>
      </c>
      <c r="BV422" s="179" t="str">
        <f t="array" ref="BV422">IF($F422&lt;&gt;"", XLOOKUP($F422,Productos!$A$2:$A1001,Productos!BO$2:BO1001,"")*$G422,"")</f>
        <v/>
      </c>
      <c r="BW422" s="179" t="str">
        <f t="array" ref="BW422">IF($F422&lt;&gt;"",XLOOKUP($F422,Productos!$A:$A,Productos!BP:BP,"Revisar"),"")</f>
        <v/>
      </c>
      <c r="BX422" s="179" t="str">
        <f t="array" ref="BX422">IF($F422&lt;&gt;"", XLOOKUP($F422,Productos!$A$2:$A1001,Productos!BQ$2:BQ1001,"")*$G422,"")</f>
        <v/>
      </c>
      <c r="BY422" s="179" t="str">
        <f t="array" ref="BY422">IF($F422&lt;&gt;"",XLOOKUP($F422,Productos!$A:$A,Productos!BR:BR,"Revisar"),"")</f>
        <v/>
      </c>
      <c r="BZ422" s="179" t="str">
        <f t="array" ref="BZ422">IF($F422&lt;&gt;"", XLOOKUP($F422,Productos!$A$2:$A1001,Productos!BS$2:BS1001,"")*$G422,"")</f>
        <v/>
      </c>
    </row>
    <row r="423">
      <c r="A423" s="188"/>
      <c r="B423" s="189"/>
      <c r="C423" s="190"/>
      <c r="D423" s="190"/>
      <c r="E423" s="191"/>
      <c r="F423" s="186"/>
      <c r="G423" s="192"/>
      <c r="H423" s="9"/>
      <c r="I423" s="179" t="str">
        <f t="array" ref="I423">IF($F423&lt;&gt;"",XLOOKUP($F423,Productos!$A:$A,Productos!B:B,"Revisar"),"")</f>
        <v/>
      </c>
      <c r="J423" s="179" t="str">
        <f t="array" ref="J423">IF($F423&lt;&gt;"", XLOOKUP($F423,Productos!$A$2:$A1001,Productos!C$2:C1001,"")*$G423,"")</f>
        <v/>
      </c>
      <c r="K423" s="179" t="str">
        <f t="array" ref="K423">IF($F423&lt;&gt;"",XLOOKUP($F423,Productos!$A:$A,Productos!D:D,"Revisar"),"")</f>
        <v/>
      </c>
      <c r="L423" s="179" t="str">
        <f t="array" ref="L423">IF($F423&lt;&gt;"", XLOOKUP($F423,Productos!$A$2:$A1001,Productos!E$2:E1001,"")*$G423,"")</f>
        <v/>
      </c>
      <c r="M423" s="179" t="str">
        <f t="array" ref="M423">IF($F423&lt;&gt;"",XLOOKUP($F423,Productos!$A:$A,Productos!F:F,"Revisar"),"")</f>
        <v/>
      </c>
      <c r="N423" s="179" t="str">
        <f t="array" ref="N423">IF($F423&lt;&gt;"", XLOOKUP($F423,Productos!$A$2:$A1001,Productos!G$2:G1001,"")*$G423,"")</f>
        <v/>
      </c>
      <c r="O423" s="179" t="str">
        <f t="array" ref="O423">IF($F423&lt;&gt;"",XLOOKUP($F423,Productos!$A:$A,Productos!H:H,"Revisar"),"")</f>
        <v/>
      </c>
      <c r="P423" s="179" t="str">
        <f t="array" ref="P423">IF($F423&lt;&gt;"", XLOOKUP($F423,Productos!$A$2:$A1001,Productos!I$2:I1001,"")*$G423,"")</f>
        <v/>
      </c>
      <c r="Q423" s="179" t="str">
        <f t="array" ref="Q423">IF($F423&lt;&gt;"",XLOOKUP($F423,Productos!$A:$A,Productos!J:J,"Revisar"),"")</f>
        <v/>
      </c>
      <c r="R423" s="179" t="str">
        <f t="array" ref="R423">IF($F423&lt;&gt;"", XLOOKUP($F423,Productos!$A$2:$A1001,Productos!K$2:K1001,"")*$G423,"")</f>
        <v/>
      </c>
      <c r="S423" s="179" t="str">
        <f t="array" ref="S423">IF($F423&lt;&gt;"",XLOOKUP($F423,Productos!$A:$A,Productos!L:L,"Revisar"),"")</f>
        <v/>
      </c>
      <c r="T423" s="179" t="str">
        <f t="array" ref="T423">IF($F423&lt;&gt;"", XLOOKUP($F423,Productos!$A$2:$A1001,Productos!M$2:M1001,"")*$G423,"")</f>
        <v/>
      </c>
      <c r="U423" s="179" t="str">
        <f t="array" ref="U423">IF($F423&lt;&gt;"",XLOOKUP($F423,Productos!$A:$A,Productos!N:N,"Revisar"),"")</f>
        <v/>
      </c>
      <c r="V423" s="179" t="str">
        <f t="array" ref="V423">IF($F423&lt;&gt;"", XLOOKUP($F423,Productos!$A$2:$A1001,Productos!O$2:O1001,"")*$G423,"")</f>
        <v/>
      </c>
      <c r="W423" s="179" t="str">
        <f t="array" ref="W423">IF($F423&lt;&gt;"",XLOOKUP($F423,Productos!$A:$A,Productos!P:P,"Revisar"),"")</f>
        <v/>
      </c>
      <c r="X423" s="179" t="str">
        <f t="array" ref="X423">IF($F423&lt;&gt;"", XLOOKUP($F423,Productos!$A$2:$A1001,Productos!Q$2:Q1001,"")*$G423,"")</f>
        <v/>
      </c>
      <c r="Y423" s="179" t="str">
        <f t="array" ref="Y423">IF($F423&lt;&gt;"",XLOOKUP($F423,Productos!$A:$A,Productos!R:R,"Revisar"),"")</f>
        <v/>
      </c>
      <c r="Z423" s="179" t="str">
        <f t="array" ref="Z423">IF($F423&lt;&gt;"", XLOOKUP($F423,Productos!$A$2:$A1001,Productos!S$2:S1001,"")*$G423,"")</f>
        <v/>
      </c>
      <c r="AA423" s="179" t="str">
        <f t="array" ref="AA423">IF($F423&lt;&gt;"",XLOOKUP($F423,Productos!$A:$A,Productos!T:T,"Revisar"),"")</f>
        <v/>
      </c>
      <c r="AB423" s="179" t="str">
        <f t="array" ref="AB423">IF($F423&lt;&gt;"", XLOOKUP($F423,Productos!$A$2:$A1001,Productos!U$2:U1001,"")*$G423,"")</f>
        <v/>
      </c>
      <c r="AC423" s="179" t="str">
        <f t="array" ref="AC423">IF($F423&lt;&gt;"",XLOOKUP($F423,Productos!$A:$A,Productos!V:V,"Revisar"),"")</f>
        <v/>
      </c>
      <c r="AD423" s="179" t="str">
        <f t="array" ref="AD423">IF($F423&lt;&gt;"", XLOOKUP($F423,Productos!$A$2:$A1001,Productos!W$2:W1001,"")*$G423,"")</f>
        <v/>
      </c>
      <c r="AE423" s="179" t="str">
        <f t="array" ref="AE423">IF($F423&lt;&gt;"",XLOOKUP($F423,Productos!$A:$A,Productos!X:X,"Revisar"),"")</f>
        <v/>
      </c>
      <c r="AF423" s="179" t="str">
        <f t="array" ref="AF423">IF($F423&lt;&gt;"", XLOOKUP($F423,Productos!$A$2:$A1001,Productos!Y$2:Y1001,"")*$G423,"")</f>
        <v/>
      </c>
      <c r="AG423" s="179" t="str">
        <f t="array" ref="AG423">IF($F423&lt;&gt;"",XLOOKUP($F423,Productos!$A:$A,Productos!Z:Z,"Revisar"),"")</f>
        <v/>
      </c>
      <c r="AH423" s="179" t="str">
        <f t="array" ref="AH423">IF($F423&lt;&gt;"", XLOOKUP($F423,Productos!$A$2:$A1001,Productos!AA$2:AA1001,"")*$G423,"")</f>
        <v/>
      </c>
      <c r="AI423" s="179" t="str">
        <f t="array" ref="AI423">IF($F423&lt;&gt;"",XLOOKUP($F423,Productos!$A:$A,Productos!AB:AB,"Revisar"),"")</f>
        <v/>
      </c>
      <c r="AJ423" s="179" t="str">
        <f t="array" ref="AJ423">IF($F423&lt;&gt;"", XLOOKUP($F423,Productos!$A$2:$A1001,Productos!AC$2:AC1001,"")*$G423,"")</f>
        <v/>
      </c>
      <c r="AK423" s="179" t="str">
        <f t="array" ref="AK423">IF($F423&lt;&gt;"",XLOOKUP($F423,Productos!$A:$A,Productos!AD:AD,"Revisar"),"")</f>
        <v/>
      </c>
      <c r="AL423" s="179" t="str">
        <f t="array" ref="AL423">IF($F423&lt;&gt;"", XLOOKUP($F423,Productos!$A$2:$A1001,Productos!AE$2:AE1001,"")*$G423,"")</f>
        <v/>
      </c>
      <c r="AM423" s="179" t="str">
        <f t="array" ref="AM423">IF($F423&lt;&gt;"",XLOOKUP($F423,Productos!$A:$A,Productos!AF:AF,"Revisar"),"")</f>
        <v/>
      </c>
      <c r="AN423" s="179" t="str">
        <f t="array" ref="AN423">IF($F423&lt;&gt;"", XLOOKUP($F423,Productos!$A$2:$A1001,Productos!AG$2:AG1001,"")*$G423,"")</f>
        <v/>
      </c>
      <c r="AO423" s="179" t="str">
        <f t="array" ref="AO423">IF($F423&lt;&gt;"",XLOOKUP($F423,Productos!$A:$A,Productos!AH:AH,"Revisar"),"")</f>
        <v/>
      </c>
      <c r="AP423" s="179" t="str">
        <f t="array" ref="AP423">IF($F423&lt;&gt;"", XLOOKUP($F423,Productos!$A$2:$A1001,Productos!AI$2:AI1001,"")*$G423,"")</f>
        <v/>
      </c>
      <c r="AQ423" s="179" t="str">
        <f t="array" ref="AQ423">IF($F423&lt;&gt;"",XLOOKUP($F423,Productos!$A:$A,Productos!AJ:AJ,"Revisar"),"")</f>
        <v/>
      </c>
      <c r="AR423" s="179" t="str">
        <f t="array" ref="AR423">IF($F423&lt;&gt;"", XLOOKUP($F423,Productos!$A$2:$A1001,Productos!AK$2:AK1001,"")*$G423,"")</f>
        <v/>
      </c>
      <c r="AS423" s="179" t="str">
        <f t="array" ref="AS423">IF($F423&lt;&gt;"",XLOOKUP($F423,Productos!$A:$A,Productos!AL:AL,"Revisar"),"")</f>
        <v/>
      </c>
      <c r="AT423" s="179" t="str">
        <f t="array" ref="AT423">IF($F423&lt;&gt;"", XLOOKUP($F423,Productos!$A$2:$A1001,Productos!AM$2:AM1001,"")*$G423,"")</f>
        <v/>
      </c>
      <c r="AU423" s="179" t="str">
        <f t="array" ref="AU423">IF($F423&lt;&gt;"",XLOOKUP($F423,Productos!$A:$A,Productos!AN:AN,"Revisar"),"")</f>
        <v/>
      </c>
      <c r="AV423" s="179" t="str">
        <f t="array" ref="AV423">IF($F423&lt;&gt;"", XLOOKUP($F423,Productos!$A$2:$A1001,Productos!AO$2:AO1001,"")*$G423,"")</f>
        <v/>
      </c>
      <c r="AW423" s="179" t="str">
        <f t="array" ref="AW423">IF($F423&lt;&gt;"",XLOOKUP($F423,Productos!$A:$A,Productos!AP:AP,"Revisar"),"")</f>
        <v/>
      </c>
      <c r="AX423" s="179" t="str">
        <f t="array" ref="AX423">IF($F423&lt;&gt;"", XLOOKUP($F423,Productos!$A$2:$A1001,Productos!AQ$2:AQ1001,"")*$G423,"")</f>
        <v/>
      </c>
      <c r="AY423" s="179" t="str">
        <f t="array" ref="AY423">IF($F423&lt;&gt;"",XLOOKUP($F423,Productos!$A:$A,Productos!AR:AR,"Revisar"),"")</f>
        <v/>
      </c>
      <c r="AZ423" s="179" t="str">
        <f t="array" ref="AZ423">IF($F423&lt;&gt;"", XLOOKUP($F423,Productos!$A$2:$A1001,Productos!AS$2:AS1001,"")*$G423,"")</f>
        <v/>
      </c>
      <c r="BA423" s="179" t="str">
        <f t="array" ref="BA423">IF($F423&lt;&gt;"",XLOOKUP($F423,Productos!$A:$A,Productos!AT:AT,"Revisar"),"")</f>
        <v/>
      </c>
      <c r="BB423" s="179" t="str">
        <f t="array" ref="BB423">IF($F423&lt;&gt;"", XLOOKUP($F423,Productos!$A$2:$A1001,Productos!AU$2:AU1001,"")*$G423,"")</f>
        <v/>
      </c>
      <c r="BC423" s="179" t="str">
        <f t="array" ref="BC423">IF($F423&lt;&gt;"",XLOOKUP($F423,Productos!$A:$A,Productos!AV:AV,"Revisar"),"")</f>
        <v/>
      </c>
      <c r="BD423" s="179" t="str">
        <f t="array" ref="BD423">IF($F423&lt;&gt;"", XLOOKUP($F423,Productos!$A$2:$A1001,Productos!AW$2:AW1001,"")*$G423,"")</f>
        <v/>
      </c>
      <c r="BE423" s="179" t="str">
        <f t="array" ref="BE423">IF($F423&lt;&gt;"",XLOOKUP($F423,Productos!$A:$A,Productos!AX:AX,"Revisar"),"")</f>
        <v/>
      </c>
      <c r="BF423" s="179" t="str">
        <f t="array" ref="BF423">IF($F423&lt;&gt;"", XLOOKUP($F423,Productos!$A$2:$A1001,Productos!AY$2:AY1001,"")*$G423,"")</f>
        <v/>
      </c>
      <c r="BG423" s="179" t="str">
        <f t="array" ref="BG423">IF($F423&lt;&gt;"",XLOOKUP($F423,Productos!$A:$A,Productos!AZ:AZ,"Revisar"),"")</f>
        <v/>
      </c>
      <c r="BH423" s="179" t="str">
        <f t="array" ref="BH423">IF($F423&lt;&gt;"", XLOOKUP($F423,Productos!$A$2:$A1001,Productos!BA$2:BA1001,"")*$G423,"")</f>
        <v/>
      </c>
      <c r="BI423" s="179" t="str">
        <f t="array" ref="BI423">IF($F423&lt;&gt;"",XLOOKUP($F423,Productos!$A:$A,Productos!BB:BB,"Revisar"),"")</f>
        <v/>
      </c>
      <c r="BJ423" s="179" t="str">
        <f t="array" ref="BJ423">IF($F423&lt;&gt;"", XLOOKUP($F423,Productos!$A$2:$A1001,Productos!BC$2:BC1001,"")*$G423,"")</f>
        <v/>
      </c>
      <c r="BK423" s="179" t="str">
        <f t="array" ref="BK423">IF($F423&lt;&gt;"",XLOOKUP($F423,Productos!$A:$A,Productos!BD:BD,"Revisar"),"")</f>
        <v/>
      </c>
      <c r="BL423" s="179" t="str">
        <f t="array" ref="BL423">IF($F423&lt;&gt;"", XLOOKUP($F423,Productos!$A$2:$A1001,Productos!BE$2:BE1001,"")*$G423,"")</f>
        <v/>
      </c>
      <c r="BM423" s="179" t="str">
        <f t="array" ref="BM423">IF($F423&lt;&gt;"",XLOOKUP($F423,Productos!$A:$A,Productos!BF:BF,"Revisar"),"")</f>
        <v/>
      </c>
      <c r="BN423" s="179" t="str">
        <f t="array" ref="BN423">IF($F423&lt;&gt;"", XLOOKUP($F423,Productos!$A$2:$A1001,Productos!BG$2:BG1001,"")*$G423,"")</f>
        <v/>
      </c>
      <c r="BO423" s="179" t="str">
        <f t="array" ref="BO423">IF($F423&lt;&gt;"",XLOOKUP($F423,Productos!$A:$A,Productos!BH:BH,"Revisar"),"")</f>
        <v/>
      </c>
      <c r="BP423" s="179" t="str">
        <f t="array" ref="BP423">IF($F423&lt;&gt;"", XLOOKUP($F423,Productos!$A$2:$A1001,Productos!BI$2:BI1001,"")*$G423,"")</f>
        <v/>
      </c>
      <c r="BQ423" s="179" t="str">
        <f t="array" ref="BQ423">IF($F423&lt;&gt;"",XLOOKUP($F423,Productos!$A:$A,Productos!BJ:BJ,"Revisar"),"")</f>
        <v/>
      </c>
      <c r="BR423" s="179" t="str">
        <f t="array" ref="BR423">IF($F423&lt;&gt;"", XLOOKUP($F423,Productos!$A$2:$A1001,Productos!BK$2:BK1001,"")*$G423,"")</f>
        <v/>
      </c>
      <c r="BS423" s="179" t="str">
        <f t="array" ref="BS423">IF($F423&lt;&gt;"",XLOOKUP($F423,Productos!$A:$A,Productos!BL:BL,"Revisar"),"")</f>
        <v/>
      </c>
      <c r="BT423" s="179" t="str">
        <f t="array" ref="BT423">IF($F423&lt;&gt;"", XLOOKUP($F423,Productos!$A$2:$A1001,Productos!BM$2:BM1001,"")*$G423,"")</f>
        <v/>
      </c>
      <c r="BU423" s="179" t="str">
        <f t="array" ref="BU423">IF($F423&lt;&gt;"",XLOOKUP($F423,Productos!$A:$A,Productos!BN:BN,"Revisar"),"")</f>
        <v/>
      </c>
      <c r="BV423" s="179" t="str">
        <f t="array" ref="BV423">IF($F423&lt;&gt;"", XLOOKUP($F423,Productos!$A$2:$A1001,Productos!BO$2:BO1001,"")*$G423,"")</f>
        <v/>
      </c>
      <c r="BW423" s="179" t="str">
        <f t="array" ref="BW423">IF($F423&lt;&gt;"",XLOOKUP($F423,Productos!$A:$A,Productos!BP:BP,"Revisar"),"")</f>
        <v/>
      </c>
      <c r="BX423" s="179" t="str">
        <f t="array" ref="BX423">IF($F423&lt;&gt;"", XLOOKUP($F423,Productos!$A$2:$A1001,Productos!BQ$2:BQ1001,"")*$G423,"")</f>
        <v/>
      </c>
      <c r="BY423" s="179" t="str">
        <f t="array" ref="BY423">IF($F423&lt;&gt;"",XLOOKUP($F423,Productos!$A:$A,Productos!BR:BR,"Revisar"),"")</f>
        <v/>
      </c>
      <c r="BZ423" s="179" t="str">
        <f t="array" ref="BZ423">IF($F423&lt;&gt;"", XLOOKUP($F423,Productos!$A$2:$A1001,Productos!BS$2:BS1001,"")*$G423,"")</f>
        <v/>
      </c>
    </row>
    <row r="424">
      <c r="A424" s="188"/>
      <c r="B424" s="189"/>
      <c r="C424" s="190"/>
      <c r="D424" s="190"/>
      <c r="E424" s="191"/>
      <c r="F424" s="186"/>
      <c r="G424" s="192"/>
      <c r="H424" s="9"/>
      <c r="I424" s="179" t="str">
        <f t="array" ref="I424">IF($F424&lt;&gt;"",XLOOKUP($F424,Productos!$A:$A,Productos!B:B,"Revisar"),"")</f>
        <v/>
      </c>
      <c r="J424" s="179" t="str">
        <f t="array" ref="J424">IF($F424&lt;&gt;"", XLOOKUP($F424,Productos!$A$2:$A1001,Productos!C$2:C1001,"")*$G424,"")</f>
        <v/>
      </c>
      <c r="K424" s="179" t="str">
        <f t="array" ref="K424">IF($F424&lt;&gt;"",XLOOKUP($F424,Productos!$A:$A,Productos!D:D,"Revisar"),"")</f>
        <v/>
      </c>
      <c r="L424" s="179" t="str">
        <f t="array" ref="L424">IF($F424&lt;&gt;"", XLOOKUP($F424,Productos!$A$2:$A1001,Productos!E$2:E1001,"")*$G424,"")</f>
        <v/>
      </c>
      <c r="M424" s="179" t="str">
        <f t="array" ref="M424">IF($F424&lt;&gt;"",XLOOKUP($F424,Productos!$A:$A,Productos!F:F,"Revisar"),"")</f>
        <v/>
      </c>
      <c r="N424" s="179" t="str">
        <f t="array" ref="N424">IF($F424&lt;&gt;"", XLOOKUP($F424,Productos!$A$2:$A1001,Productos!G$2:G1001,"")*$G424,"")</f>
        <v/>
      </c>
      <c r="O424" s="179" t="str">
        <f t="array" ref="O424">IF($F424&lt;&gt;"",XLOOKUP($F424,Productos!$A:$A,Productos!H:H,"Revisar"),"")</f>
        <v/>
      </c>
      <c r="P424" s="179" t="str">
        <f t="array" ref="P424">IF($F424&lt;&gt;"", XLOOKUP($F424,Productos!$A$2:$A1001,Productos!I$2:I1001,"")*$G424,"")</f>
        <v/>
      </c>
      <c r="Q424" s="179" t="str">
        <f t="array" ref="Q424">IF($F424&lt;&gt;"",XLOOKUP($F424,Productos!$A:$A,Productos!J:J,"Revisar"),"")</f>
        <v/>
      </c>
      <c r="R424" s="179" t="str">
        <f t="array" ref="R424">IF($F424&lt;&gt;"", XLOOKUP($F424,Productos!$A$2:$A1001,Productos!K$2:K1001,"")*$G424,"")</f>
        <v/>
      </c>
      <c r="S424" s="179" t="str">
        <f t="array" ref="S424">IF($F424&lt;&gt;"",XLOOKUP($F424,Productos!$A:$A,Productos!L:L,"Revisar"),"")</f>
        <v/>
      </c>
      <c r="T424" s="179" t="str">
        <f t="array" ref="T424">IF($F424&lt;&gt;"", XLOOKUP($F424,Productos!$A$2:$A1001,Productos!M$2:M1001,"")*$G424,"")</f>
        <v/>
      </c>
      <c r="U424" s="179" t="str">
        <f t="array" ref="U424">IF($F424&lt;&gt;"",XLOOKUP($F424,Productos!$A:$A,Productos!N:N,"Revisar"),"")</f>
        <v/>
      </c>
      <c r="V424" s="179" t="str">
        <f t="array" ref="V424">IF($F424&lt;&gt;"", XLOOKUP($F424,Productos!$A$2:$A1001,Productos!O$2:O1001,"")*$G424,"")</f>
        <v/>
      </c>
      <c r="W424" s="179" t="str">
        <f t="array" ref="W424">IF($F424&lt;&gt;"",XLOOKUP($F424,Productos!$A:$A,Productos!P:P,"Revisar"),"")</f>
        <v/>
      </c>
      <c r="X424" s="179" t="str">
        <f t="array" ref="X424">IF($F424&lt;&gt;"", XLOOKUP($F424,Productos!$A$2:$A1001,Productos!Q$2:Q1001,"")*$G424,"")</f>
        <v/>
      </c>
      <c r="Y424" s="179" t="str">
        <f t="array" ref="Y424">IF($F424&lt;&gt;"",XLOOKUP($F424,Productos!$A:$A,Productos!R:R,"Revisar"),"")</f>
        <v/>
      </c>
      <c r="Z424" s="179" t="str">
        <f t="array" ref="Z424">IF($F424&lt;&gt;"", XLOOKUP($F424,Productos!$A$2:$A1001,Productos!S$2:S1001,"")*$G424,"")</f>
        <v/>
      </c>
      <c r="AA424" s="179" t="str">
        <f t="array" ref="AA424">IF($F424&lt;&gt;"",XLOOKUP($F424,Productos!$A:$A,Productos!T:T,"Revisar"),"")</f>
        <v/>
      </c>
      <c r="AB424" s="179" t="str">
        <f t="array" ref="AB424">IF($F424&lt;&gt;"", XLOOKUP($F424,Productos!$A$2:$A1001,Productos!U$2:U1001,"")*$G424,"")</f>
        <v/>
      </c>
      <c r="AC424" s="179" t="str">
        <f t="array" ref="AC424">IF($F424&lt;&gt;"",XLOOKUP($F424,Productos!$A:$A,Productos!V:V,"Revisar"),"")</f>
        <v/>
      </c>
      <c r="AD424" s="179" t="str">
        <f t="array" ref="AD424">IF($F424&lt;&gt;"", XLOOKUP($F424,Productos!$A$2:$A1001,Productos!W$2:W1001,"")*$G424,"")</f>
        <v/>
      </c>
      <c r="AE424" s="179" t="str">
        <f t="array" ref="AE424">IF($F424&lt;&gt;"",XLOOKUP($F424,Productos!$A:$A,Productos!X:X,"Revisar"),"")</f>
        <v/>
      </c>
      <c r="AF424" s="179" t="str">
        <f t="array" ref="AF424">IF($F424&lt;&gt;"", XLOOKUP($F424,Productos!$A$2:$A1001,Productos!Y$2:Y1001,"")*$G424,"")</f>
        <v/>
      </c>
      <c r="AG424" s="179" t="str">
        <f t="array" ref="AG424">IF($F424&lt;&gt;"",XLOOKUP($F424,Productos!$A:$A,Productos!Z:Z,"Revisar"),"")</f>
        <v/>
      </c>
      <c r="AH424" s="179" t="str">
        <f t="array" ref="AH424">IF($F424&lt;&gt;"", XLOOKUP($F424,Productos!$A$2:$A1001,Productos!AA$2:AA1001,"")*$G424,"")</f>
        <v/>
      </c>
      <c r="AI424" s="179" t="str">
        <f t="array" ref="AI424">IF($F424&lt;&gt;"",XLOOKUP($F424,Productos!$A:$A,Productos!AB:AB,"Revisar"),"")</f>
        <v/>
      </c>
      <c r="AJ424" s="179" t="str">
        <f t="array" ref="AJ424">IF($F424&lt;&gt;"", XLOOKUP($F424,Productos!$A$2:$A1001,Productos!AC$2:AC1001,"")*$G424,"")</f>
        <v/>
      </c>
      <c r="AK424" s="179" t="str">
        <f t="array" ref="AK424">IF($F424&lt;&gt;"",XLOOKUP($F424,Productos!$A:$A,Productos!AD:AD,"Revisar"),"")</f>
        <v/>
      </c>
      <c r="AL424" s="179" t="str">
        <f t="array" ref="AL424">IF($F424&lt;&gt;"", XLOOKUP($F424,Productos!$A$2:$A1001,Productos!AE$2:AE1001,"")*$G424,"")</f>
        <v/>
      </c>
      <c r="AM424" s="179" t="str">
        <f t="array" ref="AM424">IF($F424&lt;&gt;"",XLOOKUP($F424,Productos!$A:$A,Productos!AF:AF,"Revisar"),"")</f>
        <v/>
      </c>
      <c r="AN424" s="179" t="str">
        <f t="array" ref="AN424">IF($F424&lt;&gt;"", XLOOKUP($F424,Productos!$A$2:$A1001,Productos!AG$2:AG1001,"")*$G424,"")</f>
        <v/>
      </c>
      <c r="AO424" s="179" t="str">
        <f t="array" ref="AO424">IF($F424&lt;&gt;"",XLOOKUP($F424,Productos!$A:$A,Productos!AH:AH,"Revisar"),"")</f>
        <v/>
      </c>
      <c r="AP424" s="179" t="str">
        <f t="array" ref="AP424">IF($F424&lt;&gt;"", XLOOKUP($F424,Productos!$A$2:$A1001,Productos!AI$2:AI1001,"")*$G424,"")</f>
        <v/>
      </c>
      <c r="AQ424" s="179" t="str">
        <f t="array" ref="AQ424">IF($F424&lt;&gt;"",XLOOKUP($F424,Productos!$A:$A,Productos!AJ:AJ,"Revisar"),"")</f>
        <v/>
      </c>
      <c r="AR424" s="179" t="str">
        <f t="array" ref="AR424">IF($F424&lt;&gt;"", XLOOKUP($F424,Productos!$A$2:$A1001,Productos!AK$2:AK1001,"")*$G424,"")</f>
        <v/>
      </c>
      <c r="AS424" s="179" t="str">
        <f t="array" ref="AS424">IF($F424&lt;&gt;"",XLOOKUP($F424,Productos!$A:$A,Productos!AL:AL,"Revisar"),"")</f>
        <v/>
      </c>
      <c r="AT424" s="179" t="str">
        <f t="array" ref="AT424">IF($F424&lt;&gt;"", XLOOKUP($F424,Productos!$A$2:$A1001,Productos!AM$2:AM1001,"")*$G424,"")</f>
        <v/>
      </c>
      <c r="AU424" s="179" t="str">
        <f t="array" ref="AU424">IF($F424&lt;&gt;"",XLOOKUP($F424,Productos!$A:$A,Productos!AN:AN,"Revisar"),"")</f>
        <v/>
      </c>
      <c r="AV424" s="179" t="str">
        <f t="array" ref="AV424">IF($F424&lt;&gt;"", XLOOKUP($F424,Productos!$A$2:$A1001,Productos!AO$2:AO1001,"")*$G424,"")</f>
        <v/>
      </c>
      <c r="AW424" s="179" t="str">
        <f t="array" ref="AW424">IF($F424&lt;&gt;"",XLOOKUP($F424,Productos!$A:$A,Productos!AP:AP,"Revisar"),"")</f>
        <v/>
      </c>
      <c r="AX424" s="179" t="str">
        <f t="array" ref="AX424">IF($F424&lt;&gt;"", XLOOKUP($F424,Productos!$A$2:$A1001,Productos!AQ$2:AQ1001,"")*$G424,"")</f>
        <v/>
      </c>
      <c r="AY424" s="179" t="str">
        <f t="array" ref="AY424">IF($F424&lt;&gt;"",XLOOKUP($F424,Productos!$A:$A,Productos!AR:AR,"Revisar"),"")</f>
        <v/>
      </c>
      <c r="AZ424" s="179" t="str">
        <f t="array" ref="AZ424">IF($F424&lt;&gt;"", XLOOKUP($F424,Productos!$A$2:$A1001,Productos!AS$2:AS1001,"")*$G424,"")</f>
        <v/>
      </c>
      <c r="BA424" s="179" t="str">
        <f t="array" ref="BA424">IF($F424&lt;&gt;"",XLOOKUP($F424,Productos!$A:$A,Productos!AT:AT,"Revisar"),"")</f>
        <v/>
      </c>
      <c r="BB424" s="179" t="str">
        <f t="array" ref="BB424">IF($F424&lt;&gt;"", XLOOKUP($F424,Productos!$A$2:$A1001,Productos!AU$2:AU1001,"")*$G424,"")</f>
        <v/>
      </c>
      <c r="BC424" s="179" t="str">
        <f t="array" ref="BC424">IF($F424&lt;&gt;"",XLOOKUP($F424,Productos!$A:$A,Productos!AV:AV,"Revisar"),"")</f>
        <v/>
      </c>
      <c r="BD424" s="179" t="str">
        <f t="array" ref="BD424">IF($F424&lt;&gt;"", XLOOKUP($F424,Productos!$A$2:$A1001,Productos!AW$2:AW1001,"")*$G424,"")</f>
        <v/>
      </c>
      <c r="BE424" s="179" t="str">
        <f t="array" ref="BE424">IF($F424&lt;&gt;"",XLOOKUP($F424,Productos!$A:$A,Productos!AX:AX,"Revisar"),"")</f>
        <v/>
      </c>
      <c r="BF424" s="179" t="str">
        <f t="array" ref="BF424">IF($F424&lt;&gt;"", XLOOKUP($F424,Productos!$A$2:$A1001,Productos!AY$2:AY1001,"")*$G424,"")</f>
        <v/>
      </c>
      <c r="BG424" s="179" t="str">
        <f t="array" ref="BG424">IF($F424&lt;&gt;"",XLOOKUP($F424,Productos!$A:$A,Productos!AZ:AZ,"Revisar"),"")</f>
        <v/>
      </c>
      <c r="BH424" s="179" t="str">
        <f t="array" ref="BH424">IF($F424&lt;&gt;"", XLOOKUP($F424,Productos!$A$2:$A1001,Productos!BA$2:BA1001,"")*$G424,"")</f>
        <v/>
      </c>
      <c r="BI424" s="179" t="str">
        <f t="array" ref="BI424">IF($F424&lt;&gt;"",XLOOKUP($F424,Productos!$A:$A,Productos!BB:BB,"Revisar"),"")</f>
        <v/>
      </c>
      <c r="BJ424" s="179" t="str">
        <f t="array" ref="BJ424">IF($F424&lt;&gt;"", XLOOKUP($F424,Productos!$A$2:$A1001,Productos!BC$2:BC1001,"")*$G424,"")</f>
        <v/>
      </c>
      <c r="BK424" s="179" t="str">
        <f t="array" ref="BK424">IF($F424&lt;&gt;"",XLOOKUP($F424,Productos!$A:$A,Productos!BD:BD,"Revisar"),"")</f>
        <v/>
      </c>
      <c r="BL424" s="179" t="str">
        <f t="array" ref="BL424">IF($F424&lt;&gt;"", XLOOKUP($F424,Productos!$A$2:$A1001,Productos!BE$2:BE1001,"")*$G424,"")</f>
        <v/>
      </c>
      <c r="BM424" s="179" t="str">
        <f t="array" ref="BM424">IF($F424&lt;&gt;"",XLOOKUP($F424,Productos!$A:$A,Productos!BF:BF,"Revisar"),"")</f>
        <v/>
      </c>
      <c r="BN424" s="179" t="str">
        <f t="array" ref="BN424">IF($F424&lt;&gt;"", XLOOKUP($F424,Productos!$A$2:$A1001,Productos!BG$2:BG1001,"")*$G424,"")</f>
        <v/>
      </c>
      <c r="BO424" s="179" t="str">
        <f t="array" ref="BO424">IF($F424&lt;&gt;"",XLOOKUP($F424,Productos!$A:$A,Productos!BH:BH,"Revisar"),"")</f>
        <v/>
      </c>
      <c r="BP424" s="179" t="str">
        <f t="array" ref="BP424">IF($F424&lt;&gt;"", XLOOKUP($F424,Productos!$A$2:$A1001,Productos!BI$2:BI1001,"")*$G424,"")</f>
        <v/>
      </c>
      <c r="BQ424" s="179" t="str">
        <f t="array" ref="BQ424">IF($F424&lt;&gt;"",XLOOKUP($F424,Productos!$A:$A,Productos!BJ:BJ,"Revisar"),"")</f>
        <v/>
      </c>
      <c r="BR424" s="179" t="str">
        <f t="array" ref="BR424">IF($F424&lt;&gt;"", XLOOKUP($F424,Productos!$A$2:$A1001,Productos!BK$2:BK1001,"")*$G424,"")</f>
        <v/>
      </c>
      <c r="BS424" s="179" t="str">
        <f t="array" ref="BS424">IF($F424&lt;&gt;"",XLOOKUP($F424,Productos!$A:$A,Productos!BL:BL,"Revisar"),"")</f>
        <v/>
      </c>
      <c r="BT424" s="179" t="str">
        <f t="array" ref="BT424">IF($F424&lt;&gt;"", XLOOKUP($F424,Productos!$A$2:$A1001,Productos!BM$2:BM1001,"")*$G424,"")</f>
        <v/>
      </c>
      <c r="BU424" s="179" t="str">
        <f t="array" ref="BU424">IF($F424&lt;&gt;"",XLOOKUP($F424,Productos!$A:$A,Productos!BN:BN,"Revisar"),"")</f>
        <v/>
      </c>
      <c r="BV424" s="179" t="str">
        <f t="array" ref="BV424">IF($F424&lt;&gt;"", XLOOKUP($F424,Productos!$A$2:$A1001,Productos!BO$2:BO1001,"")*$G424,"")</f>
        <v/>
      </c>
      <c r="BW424" s="179" t="str">
        <f t="array" ref="BW424">IF($F424&lt;&gt;"",XLOOKUP($F424,Productos!$A:$A,Productos!BP:BP,"Revisar"),"")</f>
        <v/>
      </c>
      <c r="BX424" s="179" t="str">
        <f t="array" ref="BX424">IF($F424&lt;&gt;"", XLOOKUP($F424,Productos!$A$2:$A1001,Productos!BQ$2:BQ1001,"")*$G424,"")</f>
        <v/>
      </c>
      <c r="BY424" s="179" t="str">
        <f t="array" ref="BY424">IF($F424&lt;&gt;"",XLOOKUP($F424,Productos!$A:$A,Productos!BR:BR,"Revisar"),"")</f>
        <v/>
      </c>
      <c r="BZ424" s="179" t="str">
        <f t="array" ref="BZ424">IF($F424&lt;&gt;"", XLOOKUP($F424,Productos!$A$2:$A1001,Productos!BS$2:BS1001,"")*$G424,"")</f>
        <v/>
      </c>
    </row>
    <row r="425">
      <c r="A425" s="188"/>
      <c r="B425" s="189"/>
      <c r="C425" s="190"/>
      <c r="D425" s="190"/>
      <c r="E425" s="191"/>
      <c r="F425" s="186"/>
      <c r="G425" s="192"/>
      <c r="H425" s="9"/>
      <c r="I425" s="179" t="str">
        <f t="array" ref="I425">IF($F425&lt;&gt;"",XLOOKUP($F425,Productos!$A:$A,Productos!B:B,"Revisar"),"")</f>
        <v/>
      </c>
      <c r="J425" s="179" t="str">
        <f t="array" ref="J425">IF($F425&lt;&gt;"", XLOOKUP($F425,Productos!$A$2:$A1001,Productos!C$2:C1001,"")*$G425,"")</f>
        <v/>
      </c>
      <c r="K425" s="179" t="str">
        <f t="array" ref="K425">IF($F425&lt;&gt;"",XLOOKUP($F425,Productos!$A:$A,Productos!D:D,"Revisar"),"")</f>
        <v/>
      </c>
      <c r="L425" s="179" t="str">
        <f t="array" ref="L425">IF($F425&lt;&gt;"", XLOOKUP($F425,Productos!$A$2:$A1001,Productos!E$2:E1001,"")*$G425,"")</f>
        <v/>
      </c>
      <c r="M425" s="179" t="str">
        <f t="array" ref="M425">IF($F425&lt;&gt;"",XLOOKUP($F425,Productos!$A:$A,Productos!F:F,"Revisar"),"")</f>
        <v/>
      </c>
      <c r="N425" s="179" t="str">
        <f t="array" ref="N425">IF($F425&lt;&gt;"", XLOOKUP($F425,Productos!$A$2:$A1001,Productos!G$2:G1001,"")*$G425,"")</f>
        <v/>
      </c>
      <c r="O425" s="179" t="str">
        <f t="array" ref="O425">IF($F425&lt;&gt;"",XLOOKUP($F425,Productos!$A:$A,Productos!H:H,"Revisar"),"")</f>
        <v/>
      </c>
      <c r="P425" s="179" t="str">
        <f t="array" ref="P425">IF($F425&lt;&gt;"", XLOOKUP($F425,Productos!$A$2:$A1001,Productos!I$2:I1001,"")*$G425,"")</f>
        <v/>
      </c>
      <c r="Q425" s="179" t="str">
        <f t="array" ref="Q425">IF($F425&lt;&gt;"",XLOOKUP($F425,Productos!$A:$A,Productos!J:J,"Revisar"),"")</f>
        <v/>
      </c>
      <c r="R425" s="179" t="str">
        <f t="array" ref="R425">IF($F425&lt;&gt;"", XLOOKUP($F425,Productos!$A$2:$A1001,Productos!K$2:K1001,"")*$G425,"")</f>
        <v/>
      </c>
      <c r="S425" s="179" t="str">
        <f t="array" ref="S425">IF($F425&lt;&gt;"",XLOOKUP($F425,Productos!$A:$A,Productos!L:L,"Revisar"),"")</f>
        <v/>
      </c>
      <c r="T425" s="179" t="str">
        <f t="array" ref="T425">IF($F425&lt;&gt;"", XLOOKUP($F425,Productos!$A$2:$A1001,Productos!M$2:M1001,"")*$G425,"")</f>
        <v/>
      </c>
      <c r="U425" s="179" t="str">
        <f t="array" ref="U425">IF($F425&lt;&gt;"",XLOOKUP($F425,Productos!$A:$A,Productos!N:N,"Revisar"),"")</f>
        <v/>
      </c>
      <c r="V425" s="179" t="str">
        <f t="array" ref="V425">IF($F425&lt;&gt;"", XLOOKUP($F425,Productos!$A$2:$A1001,Productos!O$2:O1001,"")*$G425,"")</f>
        <v/>
      </c>
      <c r="W425" s="179" t="str">
        <f t="array" ref="W425">IF($F425&lt;&gt;"",XLOOKUP($F425,Productos!$A:$A,Productos!P:P,"Revisar"),"")</f>
        <v/>
      </c>
      <c r="X425" s="179" t="str">
        <f t="array" ref="X425">IF($F425&lt;&gt;"", XLOOKUP($F425,Productos!$A$2:$A1001,Productos!Q$2:Q1001,"")*$G425,"")</f>
        <v/>
      </c>
      <c r="Y425" s="179" t="str">
        <f t="array" ref="Y425">IF($F425&lt;&gt;"",XLOOKUP($F425,Productos!$A:$A,Productos!R:R,"Revisar"),"")</f>
        <v/>
      </c>
      <c r="Z425" s="179" t="str">
        <f t="array" ref="Z425">IF($F425&lt;&gt;"", XLOOKUP($F425,Productos!$A$2:$A1001,Productos!S$2:S1001,"")*$G425,"")</f>
        <v/>
      </c>
      <c r="AA425" s="179" t="str">
        <f t="array" ref="AA425">IF($F425&lt;&gt;"",XLOOKUP($F425,Productos!$A:$A,Productos!T:T,"Revisar"),"")</f>
        <v/>
      </c>
      <c r="AB425" s="179" t="str">
        <f t="array" ref="AB425">IF($F425&lt;&gt;"", XLOOKUP($F425,Productos!$A$2:$A1001,Productos!U$2:U1001,"")*$G425,"")</f>
        <v/>
      </c>
      <c r="AC425" s="179" t="str">
        <f t="array" ref="AC425">IF($F425&lt;&gt;"",XLOOKUP($F425,Productos!$A:$A,Productos!V:V,"Revisar"),"")</f>
        <v/>
      </c>
      <c r="AD425" s="179" t="str">
        <f t="array" ref="AD425">IF($F425&lt;&gt;"", XLOOKUP($F425,Productos!$A$2:$A1001,Productos!W$2:W1001,"")*$G425,"")</f>
        <v/>
      </c>
      <c r="AE425" s="179" t="str">
        <f t="array" ref="AE425">IF($F425&lt;&gt;"",XLOOKUP($F425,Productos!$A:$A,Productos!X:X,"Revisar"),"")</f>
        <v/>
      </c>
      <c r="AF425" s="179" t="str">
        <f t="array" ref="AF425">IF($F425&lt;&gt;"", XLOOKUP($F425,Productos!$A$2:$A1001,Productos!Y$2:Y1001,"")*$G425,"")</f>
        <v/>
      </c>
      <c r="AG425" s="179" t="str">
        <f t="array" ref="AG425">IF($F425&lt;&gt;"",XLOOKUP($F425,Productos!$A:$A,Productos!Z:Z,"Revisar"),"")</f>
        <v/>
      </c>
      <c r="AH425" s="179" t="str">
        <f t="array" ref="AH425">IF($F425&lt;&gt;"", XLOOKUP($F425,Productos!$A$2:$A1001,Productos!AA$2:AA1001,"")*$G425,"")</f>
        <v/>
      </c>
      <c r="AI425" s="179" t="str">
        <f t="array" ref="AI425">IF($F425&lt;&gt;"",XLOOKUP($F425,Productos!$A:$A,Productos!AB:AB,"Revisar"),"")</f>
        <v/>
      </c>
      <c r="AJ425" s="179" t="str">
        <f t="array" ref="AJ425">IF($F425&lt;&gt;"", XLOOKUP($F425,Productos!$A$2:$A1001,Productos!AC$2:AC1001,"")*$G425,"")</f>
        <v/>
      </c>
      <c r="AK425" s="179" t="str">
        <f t="array" ref="AK425">IF($F425&lt;&gt;"",XLOOKUP($F425,Productos!$A:$A,Productos!AD:AD,"Revisar"),"")</f>
        <v/>
      </c>
      <c r="AL425" s="179" t="str">
        <f t="array" ref="AL425">IF($F425&lt;&gt;"", XLOOKUP($F425,Productos!$A$2:$A1001,Productos!AE$2:AE1001,"")*$G425,"")</f>
        <v/>
      </c>
      <c r="AM425" s="179" t="str">
        <f t="array" ref="AM425">IF($F425&lt;&gt;"",XLOOKUP($F425,Productos!$A:$A,Productos!AF:AF,"Revisar"),"")</f>
        <v/>
      </c>
      <c r="AN425" s="179" t="str">
        <f t="array" ref="AN425">IF($F425&lt;&gt;"", XLOOKUP($F425,Productos!$A$2:$A1001,Productos!AG$2:AG1001,"")*$G425,"")</f>
        <v/>
      </c>
      <c r="AO425" s="179" t="str">
        <f t="array" ref="AO425">IF($F425&lt;&gt;"",XLOOKUP($F425,Productos!$A:$A,Productos!AH:AH,"Revisar"),"")</f>
        <v/>
      </c>
      <c r="AP425" s="179" t="str">
        <f t="array" ref="AP425">IF($F425&lt;&gt;"", XLOOKUP($F425,Productos!$A$2:$A1001,Productos!AI$2:AI1001,"")*$G425,"")</f>
        <v/>
      </c>
      <c r="AQ425" s="179" t="str">
        <f t="array" ref="AQ425">IF($F425&lt;&gt;"",XLOOKUP($F425,Productos!$A:$A,Productos!AJ:AJ,"Revisar"),"")</f>
        <v/>
      </c>
      <c r="AR425" s="179" t="str">
        <f t="array" ref="AR425">IF($F425&lt;&gt;"", XLOOKUP($F425,Productos!$A$2:$A1001,Productos!AK$2:AK1001,"")*$G425,"")</f>
        <v/>
      </c>
      <c r="AS425" s="179" t="str">
        <f t="array" ref="AS425">IF($F425&lt;&gt;"",XLOOKUP($F425,Productos!$A:$A,Productos!AL:AL,"Revisar"),"")</f>
        <v/>
      </c>
      <c r="AT425" s="179" t="str">
        <f t="array" ref="AT425">IF($F425&lt;&gt;"", XLOOKUP($F425,Productos!$A$2:$A1001,Productos!AM$2:AM1001,"")*$G425,"")</f>
        <v/>
      </c>
      <c r="AU425" s="179" t="str">
        <f t="array" ref="AU425">IF($F425&lt;&gt;"",XLOOKUP($F425,Productos!$A:$A,Productos!AN:AN,"Revisar"),"")</f>
        <v/>
      </c>
      <c r="AV425" s="179" t="str">
        <f t="array" ref="AV425">IF($F425&lt;&gt;"", XLOOKUP($F425,Productos!$A$2:$A1001,Productos!AO$2:AO1001,"")*$G425,"")</f>
        <v/>
      </c>
      <c r="AW425" s="179" t="str">
        <f t="array" ref="AW425">IF($F425&lt;&gt;"",XLOOKUP($F425,Productos!$A:$A,Productos!AP:AP,"Revisar"),"")</f>
        <v/>
      </c>
      <c r="AX425" s="179" t="str">
        <f t="array" ref="AX425">IF($F425&lt;&gt;"", XLOOKUP($F425,Productos!$A$2:$A1001,Productos!AQ$2:AQ1001,"")*$G425,"")</f>
        <v/>
      </c>
      <c r="AY425" s="179" t="str">
        <f t="array" ref="AY425">IF($F425&lt;&gt;"",XLOOKUP($F425,Productos!$A:$A,Productos!AR:AR,"Revisar"),"")</f>
        <v/>
      </c>
      <c r="AZ425" s="179" t="str">
        <f t="array" ref="AZ425">IF($F425&lt;&gt;"", XLOOKUP($F425,Productos!$A$2:$A1001,Productos!AS$2:AS1001,"")*$G425,"")</f>
        <v/>
      </c>
      <c r="BA425" s="179" t="str">
        <f t="array" ref="BA425">IF($F425&lt;&gt;"",XLOOKUP($F425,Productos!$A:$A,Productos!AT:AT,"Revisar"),"")</f>
        <v/>
      </c>
      <c r="BB425" s="179" t="str">
        <f t="array" ref="BB425">IF($F425&lt;&gt;"", XLOOKUP($F425,Productos!$A$2:$A1001,Productos!AU$2:AU1001,"")*$G425,"")</f>
        <v/>
      </c>
      <c r="BC425" s="179" t="str">
        <f t="array" ref="BC425">IF($F425&lt;&gt;"",XLOOKUP($F425,Productos!$A:$A,Productos!AV:AV,"Revisar"),"")</f>
        <v/>
      </c>
      <c r="BD425" s="179" t="str">
        <f t="array" ref="BD425">IF($F425&lt;&gt;"", XLOOKUP($F425,Productos!$A$2:$A1001,Productos!AW$2:AW1001,"")*$G425,"")</f>
        <v/>
      </c>
      <c r="BE425" s="179" t="str">
        <f t="array" ref="BE425">IF($F425&lt;&gt;"",XLOOKUP($F425,Productos!$A:$A,Productos!AX:AX,"Revisar"),"")</f>
        <v/>
      </c>
      <c r="BF425" s="179" t="str">
        <f t="array" ref="BF425">IF($F425&lt;&gt;"", XLOOKUP($F425,Productos!$A$2:$A1001,Productos!AY$2:AY1001,"")*$G425,"")</f>
        <v/>
      </c>
      <c r="BG425" s="179" t="str">
        <f t="array" ref="BG425">IF($F425&lt;&gt;"",XLOOKUP($F425,Productos!$A:$A,Productos!AZ:AZ,"Revisar"),"")</f>
        <v/>
      </c>
      <c r="BH425" s="179" t="str">
        <f t="array" ref="BH425">IF($F425&lt;&gt;"", XLOOKUP($F425,Productos!$A$2:$A1001,Productos!BA$2:BA1001,"")*$G425,"")</f>
        <v/>
      </c>
      <c r="BI425" s="179" t="str">
        <f t="array" ref="BI425">IF($F425&lt;&gt;"",XLOOKUP($F425,Productos!$A:$A,Productos!BB:BB,"Revisar"),"")</f>
        <v/>
      </c>
      <c r="BJ425" s="179" t="str">
        <f t="array" ref="BJ425">IF($F425&lt;&gt;"", XLOOKUP($F425,Productos!$A$2:$A1001,Productos!BC$2:BC1001,"")*$G425,"")</f>
        <v/>
      </c>
      <c r="BK425" s="179" t="str">
        <f t="array" ref="BK425">IF($F425&lt;&gt;"",XLOOKUP($F425,Productos!$A:$A,Productos!BD:BD,"Revisar"),"")</f>
        <v/>
      </c>
      <c r="BL425" s="179" t="str">
        <f t="array" ref="BL425">IF($F425&lt;&gt;"", XLOOKUP($F425,Productos!$A$2:$A1001,Productos!BE$2:BE1001,"")*$G425,"")</f>
        <v/>
      </c>
      <c r="BM425" s="179" t="str">
        <f t="array" ref="BM425">IF($F425&lt;&gt;"",XLOOKUP($F425,Productos!$A:$A,Productos!BF:BF,"Revisar"),"")</f>
        <v/>
      </c>
      <c r="BN425" s="179" t="str">
        <f t="array" ref="BN425">IF($F425&lt;&gt;"", XLOOKUP($F425,Productos!$A$2:$A1001,Productos!BG$2:BG1001,"")*$G425,"")</f>
        <v/>
      </c>
      <c r="BO425" s="179" t="str">
        <f t="array" ref="BO425">IF($F425&lt;&gt;"",XLOOKUP($F425,Productos!$A:$A,Productos!BH:BH,"Revisar"),"")</f>
        <v/>
      </c>
      <c r="BP425" s="179" t="str">
        <f t="array" ref="BP425">IF($F425&lt;&gt;"", XLOOKUP($F425,Productos!$A$2:$A1001,Productos!BI$2:BI1001,"")*$G425,"")</f>
        <v/>
      </c>
      <c r="BQ425" s="179" t="str">
        <f t="array" ref="BQ425">IF($F425&lt;&gt;"",XLOOKUP($F425,Productos!$A:$A,Productos!BJ:BJ,"Revisar"),"")</f>
        <v/>
      </c>
      <c r="BR425" s="179" t="str">
        <f t="array" ref="BR425">IF($F425&lt;&gt;"", XLOOKUP($F425,Productos!$A$2:$A1001,Productos!BK$2:BK1001,"")*$G425,"")</f>
        <v/>
      </c>
      <c r="BS425" s="179" t="str">
        <f t="array" ref="BS425">IF($F425&lt;&gt;"",XLOOKUP($F425,Productos!$A:$A,Productos!BL:BL,"Revisar"),"")</f>
        <v/>
      </c>
      <c r="BT425" s="179" t="str">
        <f t="array" ref="BT425">IF($F425&lt;&gt;"", XLOOKUP($F425,Productos!$A$2:$A1001,Productos!BM$2:BM1001,"")*$G425,"")</f>
        <v/>
      </c>
      <c r="BU425" s="179" t="str">
        <f t="array" ref="BU425">IF($F425&lt;&gt;"",XLOOKUP($F425,Productos!$A:$A,Productos!BN:BN,"Revisar"),"")</f>
        <v/>
      </c>
      <c r="BV425" s="179" t="str">
        <f t="array" ref="BV425">IF($F425&lt;&gt;"", XLOOKUP($F425,Productos!$A$2:$A1001,Productos!BO$2:BO1001,"")*$G425,"")</f>
        <v/>
      </c>
      <c r="BW425" s="179" t="str">
        <f t="array" ref="BW425">IF($F425&lt;&gt;"",XLOOKUP($F425,Productos!$A:$A,Productos!BP:BP,"Revisar"),"")</f>
        <v/>
      </c>
      <c r="BX425" s="179" t="str">
        <f t="array" ref="BX425">IF($F425&lt;&gt;"", XLOOKUP($F425,Productos!$A$2:$A1001,Productos!BQ$2:BQ1001,"")*$G425,"")</f>
        <v/>
      </c>
      <c r="BY425" s="179" t="str">
        <f t="array" ref="BY425">IF($F425&lt;&gt;"",XLOOKUP($F425,Productos!$A:$A,Productos!BR:BR,"Revisar"),"")</f>
        <v/>
      </c>
      <c r="BZ425" s="179" t="str">
        <f t="array" ref="BZ425">IF($F425&lt;&gt;"", XLOOKUP($F425,Productos!$A$2:$A1001,Productos!BS$2:BS1001,"")*$G425,"")</f>
        <v/>
      </c>
    </row>
    <row r="426">
      <c r="A426" s="188"/>
      <c r="B426" s="189"/>
      <c r="C426" s="190"/>
      <c r="D426" s="190"/>
      <c r="E426" s="191"/>
      <c r="F426" s="186"/>
      <c r="G426" s="192"/>
      <c r="H426" s="9"/>
      <c r="I426" s="179" t="str">
        <f t="array" ref="I426">IF($F426&lt;&gt;"",XLOOKUP($F426,Productos!$A:$A,Productos!B:B,"Revisar"),"")</f>
        <v/>
      </c>
      <c r="J426" s="179" t="str">
        <f t="array" ref="J426">IF($F426&lt;&gt;"", XLOOKUP($F426,Productos!$A$2:$A1001,Productos!C$2:C1001,"")*$G426,"")</f>
        <v/>
      </c>
      <c r="K426" s="179" t="str">
        <f t="array" ref="K426">IF($F426&lt;&gt;"",XLOOKUP($F426,Productos!$A:$A,Productos!D:D,"Revisar"),"")</f>
        <v/>
      </c>
      <c r="L426" s="179" t="str">
        <f t="array" ref="L426">IF($F426&lt;&gt;"", XLOOKUP($F426,Productos!$A$2:$A1001,Productos!E$2:E1001,"")*$G426,"")</f>
        <v/>
      </c>
      <c r="M426" s="179" t="str">
        <f t="array" ref="M426">IF($F426&lt;&gt;"",XLOOKUP($F426,Productos!$A:$A,Productos!F:F,"Revisar"),"")</f>
        <v/>
      </c>
      <c r="N426" s="179" t="str">
        <f t="array" ref="N426">IF($F426&lt;&gt;"", XLOOKUP($F426,Productos!$A$2:$A1001,Productos!G$2:G1001,"")*$G426,"")</f>
        <v/>
      </c>
      <c r="O426" s="179" t="str">
        <f t="array" ref="O426">IF($F426&lt;&gt;"",XLOOKUP($F426,Productos!$A:$A,Productos!H:H,"Revisar"),"")</f>
        <v/>
      </c>
      <c r="P426" s="179" t="str">
        <f t="array" ref="P426">IF($F426&lt;&gt;"", XLOOKUP($F426,Productos!$A$2:$A1001,Productos!I$2:I1001,"")*$G426,"")</f>
        <v/>
      </c>
      <c r="Q426" s="179" t="str">
        <f t="array" ref="Q426">IF($F426&lt;&gt;"",XLOOKUP($F426,Productos!$A:$A,Productos!J:J,"Revisar"),"")</f>
        <v/>
      </c>
      <c r="R426" s="179" t="str">
        <f t="array" ref="R426">IF($F426&lt;&gt;"", XLOOKUP($F426,Productos!$A$2:$A1001,Productos!K$2:K1001,"")*$G426,"")</f>
        <v/>
      </c>
      <c r="S426" s="179" t="str">
        <f t="array" ref="S426">IF($F426&lt;&gt;"",XLOOKUP($F426,Productos!$A:$A,Productos!L:L,"Revisar"),"")</f>
        <v/>
      </c>
      <c r="T426" s="179" t="str">
        <f t="array" ref="T426">IF($F426&lt;&gt;"", XLOOKUP($F426,Productos!$A$2:$A1001,Productos!M$2:M1001,"")*$G426,"")</f>
        <v/>
      </c>
      <c r="U426" s="179" t="str">
        <f t="array" ref="U426">IF($F426&lt;&gt;"",XLOOKUP($F426,Productos!$A:$A,Productos!N:N,"Revisar"),"")</f>
        <v/>
      </c>
      <c r="V426" s="179" t="str">
        <f t="array" ref="V426">IF($F426&lt;&gt;"", XLOOKUP($F426,Productos!$A$2:$A1001,Productos!O$2:O1001,"")*$G426,"")</f>
        <v/>
      </c>
      <c r="W426" s="179" t="str">
        <f t="array" ref="W426">IF($F426&lt;&gt;"",XLOOKUP($F426,Productos!$A:$A,Productos!P:P,"Revisar"),"")</f>
        <v/>
      </c>
      <c r="X426" s="179" t="str">
        <f t="array" ref="X426">IF($F426&lt;&gt;"", XLOOKUP($F426,Productos!$A$2:$A1001,Productos!Q$2:Q1001,"")*$G426,"")</f>
        <v/>
      </c>
      <c r="Y426" s="179" t="str">
        <f t="array" ref="Y426">IF($F426&lt;&gt;"",XLOOKUP($F426,Productos!$A:$A,Productos!R:R,"Revisar"),"")</f>
        <v/>
      </c>
      <c r="Z426" s="179" t="str">
        <f t="array" ref="Z426">IF($F426&lt;&gt;"", XLOOKUP($F426,Productos!$A$2:$A1001,Productos!S$2:S1001,"")*$G426,"")</f>
        <v/>
      </c>
      <c r="AA426" s="179" t="str">
        <f t="array" ref="AA426">IF($F426&lt;&gt;"",XLOOKUP($F426,Productos!$A:$A,Productos!T:T,"Revisar"),"")</f>
        <v/>
      </c>
      <c r="AB426" s="179" t="str">
        <f t="array" ref="AB426">IF($F426&lt;&gt;"", XLOOKUP($F426,Productos!$A$2:$A1001,Productos!U$2:U1001,"")*$G426,"")</f>
        <v/>
      </c>
      <c r="AC426" s="179" t="str">
        <f t="array" ref="AC426">IF($F426&lt;&gt;"",XLOOKUP($F426,Productos!$A:$A,Productos!V:V,"Revisar"),"")</f>
        <v/>
      </c>
      <c r="AD426" s="179" t="str">
        <f t="array" ref="AD426">IF($F426&lt;&gt;"", XLOOKUP($F426,Productos!$A$2:$A1001,Productos!W$2:W1001,"")*$G426,"")</f>
        <v/>
      </c>
      <c r="AE426" s="179" t="str">
        <f t="array" ref="AE426">IF($F426&lt;&gt;"",XLOOKUP($F426,Productos!$A:$A,Productos!X:X,"Revisar"),"")</f>
        <v/>
      </c>
      <c r="AF426" s="179" t="str">
        <f t="array" ref="AF426">IF($F426&lt;&gt;"", XLOOKUP($F426,Productos!$A$2:$A1001,Productos!Y$2:Y1001,"")*$G426,"")</f>
        <v/>
      </c>
      <c r="AG426" s="179" t="str">
        <f t="array" ref="AG426">IF($F426&lt;&gt;"",XLOOKUP($F426,Productos!$A:$A,Productos!Z:Z,"Revisar"),"")</f>
        <v/>
      </c>
      <c r="AH426" s="179" t="str">
        <f t="array" ref="AH426">IF($F426&lt;&gt;"", XLOOKUP($F426,Productos!$A$2:$A1001,Productos!AA$2:AA1001,"")*$G426,"")</f>
        <v/>
      </c>
      <c r="AI426" s="179" t="str">
        <f t="array" ref="AI426">IF($F426&lt;&gt;"",XLOOKUP($F426,Productos!$A:$A,Productos!AB:AB,"Revisar"),"")</f>
        <v/>
      </c>
      <c r="AJ426" s="179" t="str">
        <f t="array" ref="AJ426">IF($F426&lt;&gt;"", XLOOKUP($F426,Productos!$A$2:$A1001,Productos!AC$2:AC1001,"")*$G426,"")</f>
        <v/>
      </c>
      <c r="AK426" s="179" t="str">
        <f t="array" ref="AK426">IF($F426&lt;&gt;"",XLOOKUP($F426,Productos!$A:$A,Productos!AD:AD,"Revisar"),"")</f>
        <v/>
      </c>
      <c r="AL426" s="179" t="str">
        <f t="array" ref="AL426">IF($F426&lt;&gt;"", XLOOKUP($F426,Productos!$A$2:$A1001,Productos!AE$2:AE1001,"")*$G426,"")</f>
        <v/>
      </c>
      <c r="AM426" s="179" t="str">
        <f t="array" ref="AM426">IF($F426&lt;&gt;"",XLOOKUP($F426,Productos!$A:$A,Productos!AF:AF,"Revisar"),"")</f>
        <v/>
      </c>
      <c r="AN426" s="179" t="str">
        <f t="array" ref="AN426">IF($F426&lt;&gt;"", XLOOKUP($F426,Productos!$A$2:$A1001,Productos!AG$2:AG1001,"")*$G426,"")</f>
        <v/>
      </c>
      <c r="AO426" s="179" t="str">
        <f t="array" ref="AO426">IF($F426&lt;&gt;"",XLOOKUP($F426,Productos!$A:$A,Productos!AH:AH,"Revisar"),"")</f>
        <v/>
      </c>
      <c r="AP426" s="179" t="str">
        <f t="array" ref="AP426">IF($F426&lt;&gt;"", XLOOKUP($F426,Productos!$A$2:$A1001,Productos!AI$2:AI1001,"")*$G426,"")</f>
        <v/>
      </c>
      <c r="AQ426" s="179" t="str">
        <f t="array" ref="AQ426">IF($F426&lt;&gt;"",XLOOKUP($F426,Productos!$A:$A,Productos!AJ:AJ,"Revisar"),"")</f>
        <v/>
      </c>
      <c r="AR426" s="179" t="str">
        <f t="array" ref="AR426">IF($F426&lt;&gt;"", XLOOKUP($F426,Productos!$A$2:$A1001,Productos!AK$2:AK1001,"")*$G426,"")</f>
        <v/>
      </c>
      <c r="AS426" s="179" t="str">
        <f t="array" ref="AS426">IF($F426&lt;&gt;"",XLOOKUP($F426,Productos!$A:$A,Productos!AL:AL,"Revisar"),"")</f>
        <v/>
      </c>
      <c r="AT426" s="179" t="str">
        <f t="array" ref="AT426">IF($F426&lt;&gt;"", XLOOKUP($F426,Productos!$A$2:$A1001,Productos!AM$2:AM1001,"")*$G426,"")</f>
        <v/>
      </c>
      <c r="AU426" s="179" t="str">
        <f t="array" ref="AU426">IF($F426&lt;&gt;"",XLOOKUP($F426,Productos!$A:$A,Productos!AN:AN,"Revisar"),"")</f>
        <v/>
      </c>
      <c r="AV426" s="179" t="str">
        <f t="array" ref="AV426">IF($F426&lt;&gt;"", XLOOKUP($F426,Productos!$A$2:$A1001,Productos!AO$2:AO1001,"")*$G426,"")</f>
        <v/>
      </c>
      <c r="AW426" s="179" t="str">
        <f t="array" ref="AW426">IF($F426&lt;&gt;"",XLOOKUP($F426,Productos!$A:$A,Productos!AP:AP,"Revisar"),"")</f>
        <v/>
      </c>
      <c r="AX426" s="179" t="str">
        <f t="array" ref="AX426">IF($F426&lt;&gt;"", XLOOKUP($F426,Productos!$A$2:$A1001,Productos!AQ$2:AQ1001,"")*$G426,"")</f>
        <v/>
      </c>
      <c r="AY426" s="179" t="str">
        <f t="array" ref="AY426">IF($F426&lt;&gt;"",XLOOKUP($F426,Productos!$A:$A,Productos!AR:AR,"Revisar"),"")</f>
        <v/>
      </c>
      <c r="AZ426" s="179" t="str">
        <f t="array" ref="AZ426">IF($F426&lt;&gt;"", XLOOKUP($F426,Productos!$A$2:$A1001,Productos!AS$2:AS1001,"")*$G426,"")</f>
        <v/>
      </c>
      <c r="BA426" s="179" t="str">
        <f t="array" ref="BA426">IF($F426&lt;&gt;"",XLOOKUP($F426,Productos!$A:$A,Productos!AT:AT,"Revisar"),"")</f>
        <v/>
      </c>
      <c r="BB426" s="179" t="str">
        <f t="array" ref="BB426">IF($F426&lt;&gt;"", XLOOKUP($F426,Productos!$A$2:$A1001,Productos!AU$2:AU1001,"")*$G426,"")</f>
        <v/>
      </c>
      <c r="BC426" s="179" t="str">
        <f t="array" ref="BC426">IF($F426&lt;&gt;"",XLOOKUP($F426,Productos!$A:$A,Productos!AV:AV,"Revisar"),"")</f>
        <v/>
      </c>
      <c r="BD426" s="179" t="str">
        <f t="array" ref="BD426">IF($F426&lt;&gt;"", XLOOKUP($F426,Productos!$A$2:$A1001,Productos!AW$2:AW1001,"")*$G426,"")</f>
        <v/>
      </c>
      <c r="BE426" s="179" t="str">
        <f t="array" ref="BE426">IF($F426&lt;&gt;"",XLOOKUP($F426,Productos!$A:$A,Productos!AX:AX,"Revisar"),"")</f>
        <v/>
      </c>
      <c r="BF426" s="179" t="str">
        <f t="array" ref="BF426">IF($F426&lt;&gt;"", XLOOKUP($F426,Productos!$A$2:$A1001,Productos!AY$2:AY1001,"")*$G426,"")</f>
        <v/>
      </c>
      <c r="BG426" s="179" t="str">
        <f t="array" ref="BG426">IF($F426&lt;&gt;"",XLOOKUP($F426,Productos!$A:$A,Productos!AZ:AZ,"Revisar"),"")</f>
        <v/>
      </c>
      <c r="BH426" s="179" t="str">
        <f t="array" ref="BH426">IF($F426&lt;&gt;"", XLOOKUP($F426,Productos!$A$2:$A1001,Productos!BA$2:BA1001,"")*$G426,"")</f>
        <v/>
      </c>
      <c r="BI426" s="179" t="str">
        <f t="array" ref="BI426">IF($F426&lt;&gt;"",XLOOKUP($F426,Productos!$A:$A,Productos!BB:BB,"Revisar"),"")</f>
        <v/>
      </c>
      <c r="BJ426" s="179" t="str">
        <f t="array" ref="BJ426">IF($F426&lt;&gt;"", XLOOKUP($F426,Productos!$A$2:$A1001,Productos!BC$2:BC1001,"")*$G426,"")</f>
        <v/>
      </c>
      <c r="BK426" s="179" t="str">
        <f t="array" ref="BK426">IF($F426&lt;&gt;"",XLOOKUP($F426,Productos!$A:$A,Productos!BD:BD,"Revisar"),"")</f>
        <v/>
      </c>
      <c r="BL426" s="179" t="str">
        <f t="array" ref="BL426">IF($F426&lt;&gt;"", XLOOKUP($F426,Productos!$A$2:$A1001,Productos!BE$2:BE1001,"")*$G426,"")</f>
        <v/>
      </c>
      <c r="BM426" s="179" t="str">
        <f t="array" ref="BM426">IF($F426&lt;&gt;"",XLOOKUP($F426,Productos!$A:$A,Productos!BF:BF,"Revisar"),"")</f>
        <v/>
      </c>
      <c r="BN426" s="179" t="str">
        <f t="array" ref="BN426">IF($F426&lt;&gt;"", XLOOKUP($F426,Productos!$A$2:$A1001,Productos!BG$2:BG1001,"")*$G426,"")</f>
        <v/>
      </c>
      <c r="BO426" s="179" t="str">
        <f t="array" ref="BO426">IF($F426&lt;&gt;"",XLOOKUP($F426,Productos!$A:$A,Productos!BH:BH,"Revisar"),"")</f>
        <v/>
      </c>
      <c r="BP426" s="179" t="str">
        <f t="array" ref="BP426">IF($F426&lt;&gt;"", XLOOKUP($F426,Productos!$A$2:$A1001,Productos!BI$2:BI1001,"")*$G426,"")</f>
        <v/>
      </c>
      <c r="BQ426" s="179" t="str">
        <f t="array" ref="BQ426">IF($F426&lt;&gt;"",XLOOKUP($F426,Productos!$A:$A,Productos!BJ:BJ,"Revisar"),"")</f>
        <v/>
      </c>
      <c r="BR426" s="179" t="str">
        <f t="array" ref="BR426">IF($F426&lt;&gt;"", XLOOKUP($F426,Productos!$A$2:$A1001,Productos!BK$2:BK1001,"")*$G426,"")</f>
        <v/>
      </c>
      <c r="BS426" s="179" t="str">
        <f t="array" ref="BS426">IF($F426&lt;&gt;"",XLOOKUP($F426,Productos!$A:$A,Productos!BL:BL,"Revisar"),"")</f>
        <v/>
      </c>
      <c r="BT426" s="179" t="str">
        <f t="array" ref="BT426">IF($F426&lt;&gt;"", XLOOKUP($F426,Productos!$A$2:$A1001,Productos!BM$2:BM1001,"")*$G426,"")</f>
        <v/>
      </c>
      <c r="BU426" s="179" t="str">
        <f t="array" ref="BU426">IF($F426&lt;&gt;"",XLOOKUP($F426,Productos!$A:$A,Productos!BN:BN,"Revisar"),"")</f>
        <v/>
      </c>
      <c r="BV426" s="179" t="str">
        <f t="array" ref="BV426">IF($F426&lt;&gt;"", XLOOKUP($F426,Productos!$A$2:$A1001,Productos!BO$2:BO1001,"")*$G426,"")</f>
        <v/>
      </c>
      <c r="BW426" s="179" t="str">
        <f t="array" ref="BW426">IF($F426&lt;&gt;"",XLOOKUP($F426,Productos!$A:$A,Productos!BP:BP,"Revisar"),"")</f>
        <v/>
      </c>
      <c r="BX426" s="179" t="str">
        <f t="array" ref="BX426">IF($F426&lt;&gt;"", XLOOKUP($F426,Productos!$A$2:$A1001,Productos!BQ$2:BQ1001,"")*$G426,"")</f>
        <v/>
      </c>
      <c r="BY426" s="179" t="str">
        <f t="array" ref="BY426">IF($F426&lt;&gt;"",XLOOKUP($F426,Productos!$A:$A,Productos!BR:BR,"Revisar"),"")</f>
        <v/>
      </c>
      <c r="BZ426" s="179" t="str">
        <f t="array" ref="BZ426">IF($F426&lt;&gt;"", XLOOKUP($F426,Productos!$A$2:$A1001,Productos!BS$2:BS1001,"")*$G426,"")</f>
        <v/>
      </c>
    </row>
    <row r="427">
      <c r="A427" s="188"/>
      <c r="B427" s="189"/>
      <c r="C427" s="190"/>
      <c r="D427" s="190"/>
      <c r="E427" s="191"/>
      <c r="F427" s="186"/>
      <c r="G427" s="192"/>
      <c r="H427" s="9"/>
      <c r="I427" s="179" t="str">
        <f t="array" ref="I427">IF($F427&lt;&gt;"",XLOOKUP($F427,Productos!$A:$A,Productos!B:B,"Revisar"),"")</f>
        <v/>
      </c>
      <c r="J427" s="179" t="str">
        <f t="array" ref="J427">IF($F427&lt;&gt;"", XLOOKUP($F427,Productos!$A$2:$A1001,Productos!C$2:C1001,"")*$G427,"")</f>
        <v/>
      </c>
      <c r="K427" s="179" t="str">
        <f t="array" ref="K427">IF($F427&lt;&gt;"",XLOOKUP($F427,Productos!$A:$A,Productos!D:D,"Revisar"),"")</f>
        <v/>
      </c>
      <c r="L427" s="179" t="str">
        <f t="array" ref="L427">IF($F427&lt;&gt;"", XLOOKUP($F427,Productos!$A$2:$A1001,Productos!E$2:E1001,"")*$G427,"")</f>
        <v/>
      </c>
      <c r="M427" s="179" t="str">
        <f t="array" ref="M427">IF($F427&lt;&gt;"",XLOOKUP($F427,Productos!$A:$A,Productos!F:F,"Revisar"),"")</f>
        <v/>
      </c>
      <c r="N427" s="179" t="str">
        <f t="array" ref="N427">IF($F427&lt;&gt;"", XLOOKUP($F427,Productos!$A$2:$A1001,Productos!G$2:G1001,"")*$G427,"")</f>
        <v/>
      </c>
      <c r="O427" s="179" t="str">
        <f t="array" ref="O427">IF($F427&lt;&gt;"",XLOOKUP($F427,Productos!$A:$A,Productos!H:H,"Revisar"),"")</f>
        <v/>
      </c>
      <c r="P427" s="179" t="str">
        <f t="array" ref="P427">IF($F427&lt;&gt;"", XLOOKUP($F427,Productos!$A$2:$A1001,Productos!I$2:I1001,"")*$G427,"")</f>
        <v/>
      </c>
      <c r="Q427" s="179" t="str">
        <f t="array" ref="Q427">IF($F427&lt;&gt;"",XLOOKUP($F427,Productos!$A:$A,Productos!J:J,"Revisar"),"")</f>
        <v/>
      </c>
      <c r="R427" s="179" t="str">
        <f t="array" ref="R427">IF($F427&lt;&gt;"", XLOOKUP($F427,Productos!$A$2:$A1001,Productos!K$2:K1001,"")*$G427,"")</f>
        <v/>
      </c>
      <c r="S427" s="179" t="str">
        <f t="array" ref="S427">IF($F427&lt;&gt;"",XLOOKUP($F427,Productos!$A:$A,Productos!L:L,"Revisar"),"")</f>
        <v/>
      </c>
      <c r="T427" s="179" t="str">
        <f t="array" ref="T427">IF($F427&lt;&gt;"", XLOOKUP($F427,Productos!$A$2:$A1001,Productos!M$2:M1001,"")*$G427,"")</f>
        <v/>
      </c>
      <c r="U427" s="179" t="str">
        <f t="array" ref="U427">IF($F427&lt;&gt;"",XLOOKUP($F427,Productos!$A:$A,Productos!N:N,"Revisar"),"")</f>
        <v/>
      </c>
      <c r="V427" s="179" t="str">
        <f t="array" ref="V427">IF($F427&lt;&gt;"", XLOOKUP($F427,Productos!$A$2:$A1001,Productos!O$2:O1001,"")*$G427,"")</f>
        <v/>
      </c>
      <c r="W427" s="179" t="str">
        <f t="array" ref="W427">IF($F427&lt;&gt;"",XLOOKUP($F427,Productos!$A:$A,Productos!P:P,"Revisar"),"")</f>
        <v/>
      </c>
      <c r="X427" s="179" t="str">
        <f t="array" ref="X427">IF($F427&lt;&gt;"", XLOOKUP($F427,Productos!$A$2:$A1001,Productos!Q$2:Q1001,"")*$G427,"")</f>
        <v/>
      </c>
      <c r="Y427" s="179" t="str">
        <f t="array" ref="Y427">IF($F427&lt;&gt;"",XLOOKUP($F427,Productos!$A:$A,Productos!R:R,"Revisar"),"")</f>
        <v/>
      </c>
      <c r="Z427" s="179" t="str">
        <f t="array" ref="Z427">IF($F427&lt;&gt;"", XLOOKUP($F427,Productos!$A$2:$A1001,Productos!S$2:S1001,"")*$G427,"")</f>
        <v/>
      </c>
      <c r="AA427" s="179" t="str">
        <f t="array" ref="AA427">IF($F427&lt;&gt;"",XLOOKUP($F427,Productos!$A:$A,Productos!T:T,"Revisar"),"")</f>
        <v/>
      </c>
      <c r="AB427" s="179" t="str">
        <f t="array" ref="AB427">IF($F427&lt;&gt;"", XLOOKUP($F427,Productos!$A$2:$A1001,Productos!U$2:U1001,"")*$G427,"")</f>
        <v/>
      </c>
      <c r="AC427" s="179" t="str">
        <f t="array" ref="AC427">IF($F427&lt;&gt;"",XLOOKUP($F427,Productos!$A:$A,Productos!V:V,"Revisar"),"")</f>
        <v/>
      </c>
      <c r="AD427" s="179" t="str">
        <f t="array" ref="AD427">IF($F427&lt;&gt;"", XLOOKUP($F427,Productos!$A$2:$A1001,Productos!W$2:W1001,"")*$G427,"")</f>
        <v/>
      </c>
      <c r="AE427" s="179" t="str">
        <f t="array" ref="AE427">IF($F427&lt;&gt;"",XLOOKUP($F427,Productos!$A:$A,Productos!X:X,"Revisar"),"")</f>
        <v/>
      </c>
      <c r="AF427" s="179" t="str">
        <f t="array" ref="AF427">IF($F427&lt;&gt;"", XLOOKUP($F427,Productos!$A$2:$A1001,Productos!Y$2:Y1001,"")*$G427,"")</f>
        <v/>
      </c>
      <c r="AG427" s="179" t="str">
        <f t="array" ref="AG427">IF($F427&lt;&gt;"",XLOOKUP($F427,Productos!$A:$A,Productos!Z:Z,"Revisar"),"")</f>
        <v/>
      </c>
      <c r="AH427" s="179" t="str">
        <f t="array" ref="AH427">IF($F427&lt;&gt;"", XLOOKUP($F427,Productos!$A$2:$A1001,Productos!AA$2:AA1001,"")*$G427,"")</f>
        <v/>
      </c>
      <c r="AI427" s="179" t="str">
        <f t="array" ref="AI427">IF($F427&lt;&gt;"",XLOOKUP($F427,Productos!$A:$A,Productos!AB:AB,"Revisar"),"")</f>
        <v/>
      </c>
      <c r="AJ427" s="179" t="str">
        <f t="array" ref="AJ427">IF($F427&lt;&gt;"", XLOOKUP($F427,Productos!$A$2:$A1001,Productos!AC$2:AC1001,"")*$G427,"")</f>
        <v/>
      </c>
      <c r="AK427" s="179" t="str">
        <f t="array" ref="AK427">IF($F427&lt;&gt;"",XLOOKUP($F427,Productos!$A:$A,Productos!AD:AD,"Revisar"),"")</f>
        <v/>
      </c>
      <c r="AL427" s="179" t="str">
        <f t="array" ref="AL427">IF($F427&lt;&gt;"", XLOOKUP($F427,Productos!$A$2:$A1001,Productos!AE$2:AE1001,"")*$G427,"")</f>
        <v/>
      </c>
      <c r="AM427" s="179" t="str">
        <f t="array" ref="AM427">IF($F427&lt;&gt;"",XLOOKUP($F427,Productos!$A:$A,Productos!AF:AF,"Revisar"),"")</f>
        <v/>
      </c>
      <c r="AN427" s="179" t="str">
        <f t="array" ref="AN427">IF($F427&lt;&gt;"", XLOOKUP($F427,Productos!$A$2:$A1001,Productos!AG$2:AG1001,"")*$G427,"")</f>
        <v/>
      </c>
      <c r="AO427" s="179" t="str">
        <f t="array" ref="AO427">IF($F427&lt;&gt;"",XLOOKUP($F427,Productos!$A:$A,Productos!AH:AH,"Revisar"),"")</f>
        <v/>
      </c>
      <c r="AP427" s="179" t="str">
        <f t="array" ref="AP427">IF($F427&lt;&gt;"", XLOOKUP($F427,Productos!$A$2:$A1001,Productos!AI$2:AI1001,"")*$G427,"")</f>
        <v/>
      </c>
      <c r="AQ427" s="179" t="str">
        <f t="array" ref="AQ427">IF($F427&lt;&gt;"",XLOOKUP($F427,Productos!$A:$A,Productos!AJ:AJ,"Revisar"),"")</f>
        <v/>
      </c>
      <c r="AR427" s="179" t="str">
        <f t="array" ref="AR427">IF($F427&lt;&gt;"", XLOOKUP($F427,Productos!$A$2:$A1001,Productos!AK$2:AK1001,"")*$G427,"")</f>
        <v/>
      </c>
      <c r="AS427" s="179" t="str">
        <f t="array" ref="AS427">IF($F427&lt;&gt;"",XLOOKUP($F427,Productos!$A:$A,Productos!AL:AL,"Revisar"),"")</f>
        <v/>
      </c>
      <c r="AT427" s="179" t="str">
        <f t="array" ref="AT427">IF($F427&lt;&gt;"", XLOOKUP($F427,Productos!$A$2:$A1001,Productos!AM$2:AM1001,"")*$G427,"")</f>
        <v/>
      </c>
      <c r="AU427" s="179" t="str">
        <f t="array" ref="AU427">IF($F427&lt;&gt;"",XLOOKUP($F427,Productos!$A:$A,Productos!AN:AN,"Revisar"),"")</f>
        <v/>
      </c>
      <c r="AV427" s="179" t="str">
        <f t="array" ref="AV427">IF($F427&lt;&gt;"", XLOOKUP($F427,Productos!$A$2:$A1001,Productos!AO$2:AO1001,"")*$G427,"")</f>
        <v/>
      </c>
      <c r="AW427" s="179" t="str">
        <f t="array" ref="AW427">IF($F427&lt;&gt;"",XLOOKUP($F427,Productos!$A:$A,Productos!AP:AP,"Revisar"),"")</f>
        <v/>
      </c>
      <c r="AX427" s="179" t="str">
        <f t="array" ref="AX427">IF($F427&lt;&gt;"", XLOOKUP($F427,Productos!$A$2:$A1001,Productos!AQ$2:AQ1001,"")*$G427,"")</f>
        <v/>
      </c>
      <c r="AY427" s="179" t="str">
        <f t="array" ref="AY427">IF($F427&lt;&gt;"",XLOOKUP($F427,Productos!$A:$A,Productos!AR:AR,"Revisar"),"")</f>
        <v/>
      </c>
      <c r="AZ427" s="179" t="str">
        <f t="array" ref="AZ427">IF($F427&lt;&gt;"", XLOOKUP($F427,Productos!$A$2:$A1001,Productos!AS$2:AS1001,"")*$G427,"")</f>
        <v/>
      </c>
      <c r="BA427" s="179" t="str">
        <f t="array" ref="BA427">IF($F427&lt;&gt;"",XLOOKUP($F427,Productos!$A:$A,Productos!AT:AT,"Revisar"),"")</f>
        <v/>
      </c>
      <c r="BB427" s="179" t="str">
        <f t="array" ref="BB427">IF($F427&lt;&gt;"", XLOOKUP($F427,Productos!$A$2:$A1001,Productos!AU$2:AU1001,"")*$G427,"")</f>
        <v/>
      </c>
      <c r="BC427" s="179" t="str">
        <f t="array" ref="BC427">IF($F427&lt;&gt;"",XLOOKUP($F427,Productos!$A:$A,Productos!AV:AV,"Revisar"),"")</f>
        <v/>
      </c>
      <c r="BD427" s="179" t="str">
        <f t="array" ref="BD427">IF($F427&lt;&gt;"", XLOOKUP($F427,Productos!$A$2:$A1001,Productos!AW$2:AW1001,"")*$G427,"")</f>
        <v/>
      </c>
      <c r="BE427" s="179" t="str">
        <f t="array" ref="BE427">IF($F427&lt;&gt;"",XLOOKUP($F427,Productos!$A:$A,Productos!AX:AX,"Revisar"),"")</f>
        <v/>
      </c>
      <c r="BF427" s="179" t="str">
        <f t="array" ref="BF427">IF($F427&lt;&gt;"", XLOOKUP($F427,Productos!$A$2:$A1001,Productos!AY$2:AY1001,"")*$G427,"")</f>
        <v/>
      </c>
      <c r="BG427" s="179" t="str">
        <f t="array" ref="BG427">IF($F427&lt;&gt;"",XLOOKUP($F427,Productos!$A:$A,Productos!AZ:AZ,"Revisar"),"")</f>
        <v/>
      </c>
      <c r="BH427" s="179" t="str">
        <f t="array" ref="BH427">IF($F427&lt;&gt;"", XLOOKUP($F427,Productos!$A$2:$A1001,Productos!BA$2:BA1001,"")*$G427,"")</f>
        <v/>
      </c>
      <c r="BI427" s="179" t="str">
        <f t="array" ref="BI427">IF($F427&lt;&gt;"",XLOOKUP($F427,Productos!$A:$A,Productos!BB:BB,"Revisar"),"")</f>
        <v/>
      </c>
      <c r="BJ427" s="179" t="str">
        <f t="array" ref="BJ427">IF($F427&lt;&gt;"", XLOOKUP($F427,Productos!$A$2:$A1001,Productos!BC$2:BC1001,"")*$G427,"")</f>
        <v/>
      </c>
      <c r="BK427" s="179" t="str">
        <f t="array" ref="BK427">IF($F427&lt;&gt;"",XLOOKUP($F427,Productos!$A:$A,Productos!BD:BD,"Revisar"),"")</f>
        <v/>
      </c>
      <c r="BL427" s="179" t="str">
        <f t="array" ref="BL427">IF($F427&lt;&gt;"", XLOOKUP($F427,Productos!$A$2:$A1001,Productos!BE$2:BE1001,"")*$G427,"")</f>
        <v/>
      </c>
      <c r="BM427" s="179" t="str">
        <f t="array" ref="BM427">IF($F427&lt;&gt;"",XLOOKUP($F427,Productos!$A:$A,Productos!BF:BF,"Revisar"),"")</f>
        <v/>
      </c>
      <c r="BN427" s="179" t="str">
        <f t="array" ref="BN427">IF($F427&lt;&gt;"", XLOOKUP($F427,Productos!$A$2:$A1001,Productos!BG$2:BG1001,"")*$G427,"")</f>
        <v/>
      </c>
      <c r="BO427" s="179" t="str">
        <f t="array" ref="BO427">IF($F427&lt;&gt;"",XLOOKUP($F427,Productos!$A:$A,Productos!BH:BH,"Revisar"),"")</f>
        <v/>
      </c>
      <c r="BP427" s="179" t="str">
        <f t="array" ref="BP427">IF($F427&lt;&gt;"", XLOOKUP($F427,Productos!$A$2:$A1001,Productos!BI$2:BI1001,"")*$G427,"")</f>
        <v/>
      </c>
      <c r="BQ427" s="179" t="str">
        <f t="array" ref="BQ427">IF($F427&lt;&gt;"",XLOOKUP($F427,Productos!$A:$A,Productos!BJ:BJ,"Revisar"),"")</f>
        <v/>
      </c>
      <c r="BR427" s="179" t="str">
        <f t="array" ref="BR427">IF($F427&lt;&gt;"", XLOOKUP($F427,Productos!$A$2:$A1001,Productos!BK$2:BK1001,"")*$G427,"")</f>
        <v/>
      </c>
      <c r="BS427" s="179" t="str">
        <f t="array" ref="BS427">IF($F427&lt;&gt;"",XLOOKUP($F427,Productos!$A:$A,Productos!BL:BL,"Revisar"),"")</f>
        <v/>
      </c>
      <c r="BT427" s="179" t="str">
        <f t="array" ref="BT427">IF($F427&lt;&gt;"", XLOOKUP($F427,Productos!$A$2:$A1001,Productos!BM$2:BM1001,"")*$G427,"")</f>
        <v/>
      </c>
      <c r="BU427" s="179" t="str">
        <f t="array" ref="BU427">IF($F427&lt;&gt;"",XLOOKUP($F427,Productos!$A:$A,Productos!BN:BN,"Revisar"),"")</f>
        <v/>
      </c>
      <c r="BV427" s="179" t="str">
        <f t="array" ref="BV427">IF($F427&lt;&gt;"", XLOOKUP($F427,Productos!$A$2:$A1001,Productos!BO$2:BO1001,"")*$G427,"")</f>
        <v/>
      </c>
      <c r="BW427" s="179" t="str">
        <f t="array" ref="BW427">IF($F427&lt;&gt;"",XLOOKUP($F427,Productos!$A:$A,Productos!BP:BP,"Revisar"),"")</f>
        <v/>
      </c>
      <c r="BX427" s="179" t="str">
        <f t="array" ref="BX427">IF($F427&lt;&gt;"", XLOOKUP($F427,Productos!$A$2:$A1001,Productos!BQ$2:BQ1001,"")*$G427,"")</f>
        <v/>
      </c>
      <c r="BY427" s="179" t="str">
        <f t="array" ref="BY427">IF($F427&lt;&gt;"",XLOOKUP($F427,Productos!$A:$A,Productos!BR:BR,"Revisar"),"")</f>
        <v/>
      </c>
      <c r="BZ427" s="179" t="str">
        <f t="array" ref="BZ427">IF($F427&lt;&gt;"", XLOOKUP($F427,Productos!$A$2:$A1001,Productos!BS$2:BS1001,"")*$G427,"")</f>
        <v/>
      </c>
    </row>
    <row r="428">
      <c r="A428" s="188"/>
      <c r="B428" s="189"/>
      <c r="C428" s="190"/>
      <c r="D428" s="190"/>
      <c r="E428" s="191"/>
      <c r="F428" s="186"/>
      <c r="G428" s="192"/>
      <c r="H428" s="9"/>
      <c r="I428" s="179" t="str">
        <f t="array" ref="I428">IF($F428&lt;&gt;"",XLOOKUP($F428,Productos!$A:$A,Productos!B:B,"Revisar"),"")</f>
        <v/>
      </c>
      <c r="J428" s="179" t="str">
        <f t="array" ref="J428">IF($F428&lt;&gt;"", XLOOKUP($F428,Productos!$A$2:$A1001,Productos!C$2:C1001,"")*$G428,"")</f>
        <v/>
      </c>
      <c r="K428" s="179" t="str">
        <f t="array" ref="K428">IF($F428&lt;&gt;"",XLOOKUP($F428,Productos!$A:$A,Productos!D:D,"Revisar"),"")</f>
        <v/>
      </c>
      <c r="L428" s="179" t="str">
        <f t="array" ref="L428">IF($F428&lt;&gt;"", XLOOKUP($F428,Productos!$A$2:$A1001,Productos!E$2:E1001,"")*$G428,"")</f>
        <v/>
      </c>
      <c r="M428" s="179" t="str">
        <f t="array" ref="M428">IF($F428&lt;&gt;"",XLOOKUP($F428,Productos!$A:$A,Productos!F:F,"Revisar"),"")</f>
        <v/>
      </c>
      <c r="N428" s="179" t="str">
        <f t="array" ref="N428">IF($F428&lt;&gt;"", XLOOKUP($F428,Productos!$A$2:$A1001,Productos!G$2:G1001,"")*$G428,"")</f>
        <v/>
      </c>
      <c r="O428" s="179" t="str">
        <f t="array" ref="O428">IF($F428&lt;&gt;"",XLOOKUP($F428,Productos!$A:$A,Productos!H:H,"Revisar"),"")</f>
        <v/>
      </c>
      <c r="P428" s="179" t="str">
        <f t="array" ref="P428">IF($F428&lt;&gt;"", XLOOKUP($F428,Productos!$A$2:$A1001,Productos!I$2:I1001,"")*$G428,"")</f>
        <v/>
      </c>
      <c r="Q428" s="179" t="str">
        <f t="array" ref="Q428">IF($F428&lt;&gt;"",XLOOKUP($F428,Productos!$A:$A,Productos!J:J,"Revisar"),"")</f>
        <v/>
      </c>
      <c r="R428" s="179" t="str">
        <f t="array" ref="R428">IF($F428&lt;&gt;"", XLOOKUP($F428,Productos!$A$2:$A1001,Productos!K$2:K1001,"")*$G428,"")</f>
        <v/>
      </c>
      <c r="S428" s="179" t="str">
        <f t="array" ref="S428">IF($F428&lt;&gt;"",XLOOKUP($F428,Productos!$A:$A,Productos!L:L,"Revisar"),"")</f>
        <v/>
      </c>
      <c r="T428" s="179" t="str">
        <f t="array" ref="T428">IF($F428&lt;&gt;"", XLOOKUP($F428,Productos!$A$2:$A1001,Productos!M$2:M1001,"")*$G428,"")</f>
        <v/>
      </c>
      <c r="U428" s="179" t="str">
        <f t="array" ref="U428">IF($F428&lt;&gt;"",XLOOKUP($F428,Productos!$A:$A,Productos!N:N,"Revisar"),"")</f>
        <v/>
      </c>
      <c r="V428" s="179" t="str">
        <f t="array" ref="V428">IF($F428&lt;&gt;"", XLOOKUP($F428,Productos!$A$2:$A1001,Productos!O$2:O1001,"")*$G428,"")</f>
        <v/>
      </c>
      <c r="W428" s="179" t="str">
        <f t="array" ref="W428">IF($F428&lt;&gt;"",XLOOKUP($F428,Productos!$A:$A,Productos!P:P,"Revisar"),"")</f>
        <v/>
      </c>
      <c r="X428" s="179" t="str">
        <f t="array" ref="X428">IF($F428&lt;&gt;"", XLOOKUP($F428,Productos!$A$2:$A1001,Productos!Q$2:Q1001,"")*$G428,"")</f>
        <v/>
      </c>
      <c r="Y428" s="179" t="str">
        <f t="array" ref="Y428">IF($F428&lt;&gt;"",XLOOKUP($F428,Productos!$A:$A,Productos!R:R,"Revisar"),"")</f>
        <v/>
      </c>
      <c r="Z428" s="179" t="str">
        <f t="array" ref="Z428">IF($F428&lt;&gt;"", XLOOKUP($F428,Productos!$A$2:$A1001,Productos!S$2:S1001,"")*$G428,"")</f>
        <v/>
      </c>
      <c r="AA428" s="179" t="str">
        <f t="array" ref="AA428">IF($F428&lt;&gt;"",XLOOKUP($F428,Productos!$A:$A,Productos!T:T,"Revisar"),"")</f>
        <v/>
      </c>
      <c r="AB428" s="179" t="str">
        <f t="array" ref="AB428">IF($F428&lt;&gt;"", XLOOKUP($F428,Productos!$A$2:$A1001,Productos!U$2:U1001,"")*$G428,"")</f>
        <v/>
      </c>
      <c r="AC428" s="179" t="str">
        <f t="array" ref="AC428">IF($F428&lt;&gt;"",XLOOKUP($F428,Productos!$A:$A,Productos!V:V,"Revisar"),"")</f>
        <v/>
      </c>
      <c r="AD428" s="179" t="str">
        <f t="array" ref="AD428">IF($F428&lt;&gt;"", XLOOKUP($F428,Productos!$A$2:$A1001,Productos!W$2:W1001,"")*$G428,"")</f>
        <v/>
      </c>
      <c r="AE428" s="179" t="str">
        <f t="array" ref="AE428">IF($F428&lt;&gt;"",XLOOKUP($F428,Productos!$A:$A,Productos!X:X,"Revisar"),"")</f>
        <v/>
      </c>
      <c r="AF428" s="179" t="str">
        <f t="array" ref="AF428">IF($F428&lt;&gt;"", XLOOKUP($F428,Productos!$A$2:$A1001,Productos!Y$2:Y1001,"")*$G428,"")</f>
        <v/>
      </c>
      <c r="AG428" s="179" t="str">
        <f t="array" ref="AG428">IF($F428&lt;&gt;"",XLOOKUP($F428,Productos!$A:$A,Productos!Z:Z,"Revisar"),"")</f>
        <v/>
      </c>
      <c r="AH428" s="179" t="str">
        <f t="array" ref="AH428">IF($F428&lt;&gt;"", XLOOKUP($F428,Productos!$A$2:$A1001,Productos!AA$2:AA1001,"")*$G428,"")</f>
        <v/>
      </c>
      <c r="AI428" s="179" t="str">
        <f t="array" ref="AI428">IF($F428&lt;&gt;"",XLOOKUP($F428,Productos!$A:$A,Productos!AB:AB,"Revisar"),"")</f>
        <v/>
      </c>
      <c r="AJ428" s="179" t="str">
        <f t="array" ref="AJ428">IF($F428&lt;&gt;"", XLOOKUP($F428,Productos!$A$2:$A1001,Productos!AC$2:AC1001,"")*$G428,"")</f>
        <v/>
      </c>
      <c r="AK428" s="179" t="str">
        <f t="array" ref="AK428">IF($F428&lt;&gt;"",XLOOKUP($F428,Productos!$A:$A,Productos!AD:AD,"Revisar"),"")</f>
        <v/>
      </c>
      <c r="AL428" s="179" t="str">
        <f t="array" ref="AL428">IF($F428&lt;&gt;"", XLOOKUP($F428,Productos!$A$2:$A1001,Productos!AE$2:AE1001,"")*$G428,"")</f>
        <v/>
      </c>
      <c r="AM428" s="179" t="str">
        <f t="array" ref="AM428">IF($F428&lt;&gt;"",XLOOKUP($F428,Productos!$A:$A,Productos!AF:AF,"Revisar"),"")</f>
        <v/>
      </c>
      <c r="AN428" s="179" t="str">
        <f t="array" ref="AN428">IF($F428&lt;&gt;"", XLOOKUP($F428,Productos!$A$2:$A1001,Productos!AG$2:AG1001,"")*$G428,"")</f>
        <v/>
      </c>
      <c r="AO428" s="179" t="str">
        <f t="array" ref="AO428">IF($F428&lt;&gt;"",XLOOKUP($F428,Productos!$A:$A,Productos!AH:AH,"Revisar"),"")</f>
        <v/>
      </c>
      <c r="AP428" s="179" t="str">
        <f t="array" ref="AP428">IF($F428&lt;&gt;"", XLOOKUP($F428,Productos!$A$2:$A1001,Productos!AI$2:AI1001,"")*$G428,"")</f>
        <v/>
      </c>
      <c r="AQ428" s="179" t="str">
        <f t="array" ref="AQ428">IF($F428&lt;&gt;"",XLOOKUP($F428,Productos!$A:$A,Productos!AJ:AJ,"Revisar"),"")</f>
        <v/>
      </c>
      <c r="AR428" s="179" t="str">
        <f t="array" ref="AR428">IF($F428&lt;&gt;"", XLOOKUP($F428,Productos!$A$2:$A1001,Productos!AK$2:AK1001,"")*$G428,"")</f>
        <v/>
      </c>
      <c r="AS428" s="179" t="str">
        <f t="array" ref="AS428">IF($F428&lt;&gt;"",XLOOKUP($F428,Productos!$A:$A,Productos!AL:AL,"Revisar"),"")</f>
        <v/>
      </c>
      <c r="AT428" s="179" t="str">
        <f t="array" ref="AT428">IF($F428&lt;&gt;"", XLOOKUP($F428,Productos!$A$2:$A1001,Productos!AM$2:AM1001,"")*$G428,"")</f>
        <v/>
      </c>
      <c r="AU428" s="179" t="str">
        <f t="array" ref="AU428">IF($F428&lt;&gt;"",XLOOKUP($F428,Productos!$A:$A,Productos!AN:AN,"Revisar"),"")</f>
        <v/>
      </c>
      <c r="AV428" s="179" t="str">
        <f t="array" ref="AV428">IF($F428&lt;&gt;"", XLOOKUP($F428,Productos!$A$2:$A1001,Productos!AO$2:AO1001,"")*$G428,"")</f>
        <v/>
      </c>
      <c r="AW428" s="179" t="str">
        <f t="array" ref="AW428">IF($F428&lt;&gt;"",XLOOKUP($F428,Productos!$A:$A,Productos!AP:AP,"Revisar"),"")</f>
        <v/>
      </c>
      <c r="AX428" s="179" t="str">
        <f t="array" ref="AX428">IF($F428&lt;&gt;"", XLOOKUP($F428,Productos!$A$2:$A1001,Productos!AQ$2:AQ1001,"")*$G428,"")</f>
        <v/>
      </c>
      <c r="AY428" s="179" t="str">
        <f t="array" ref="AY428">IF($F428&lt;&gt;"",XLOOKUP($F428,Productos!$A:$A,Productos!AR:AR,"Revisar"),"")</f>
        <v/>
      </c>
      <c r="AZ428" s="179" t="str">
        <f t="array" ref="AZ428">IF($F428&lt;&gt;"", XLOOKUP($F428,Productos!$A$2:$A1001,Productos!AS$2:AS1001,"")*$G428,"")</f>
        <v/>
      </c>
      <c r="BA428" s="179" t="str">
        <f t="array" ref="BA428">IF($F428&lt;&gt;"",XLOOKUP($F428,Productos!$A:$A,Productos!AT:AT,"Revisar"),"")</f>
        <v/>
      </c>
      <c r="BB428" s="179" t="str">
        <f t="array" ref="BB428">IF($F428&lt;&gt;"", XLOOKUP($F428,Productos!$A$2:$A1001,Productos!AU$2:AU1001,"")*$G428,"")</f>
        <v/>
      </c>
      <c r="BC428" s="179" t="str">
        <f t="array" ref="BC428">IF($F428&lt;&gt;"",XLOOKUP($F428,Productos!$A:$A,Productos!AV:AV,"Revisar"),"")</f>
        <v/>
      </c>
      <c r="BD428" s="179" t="str">
        <f t="array" ref="BD428">IF($F428&lt;&gt;"", XLOOKUP($F428,Productos!$A$2:$A1001,Productos!AW$2:AW1001,"")*$G428,"")</f>
        <v/>
      </c>
      <c r="BE428" s="179" t="str">
        <f t="array" ref="BE428">IF($F428&lt;&gt;"",XLOOKUP($F428,Productos!$A:$A,Productos!AX:AX,"Revisar"),"")</f>
        <v/>
      </c>
      <c r="BF428" s="179" t="str">
        <f t="array" ref="BF428">IF($F428&lt;&gt;"", XLOOKUP($F428,Productos!$A$2:$A1001,Productos!AY$2:AY1001,"")*$G428,"")</f>
        <v/>
      </c>
      <c r="BG428" s="179" t="str">
        <f t="array" ref="BG428">IF($F428&lt;&gt;"",XLOOKUP($F428,Productos!$A:$A,Productos!AZ:AZ,"Revisar"),"")</f>
        <v/>
      </c>
      <c r="BH428" s="179" t="str">
        <f t="array" ref="BH428">IF($F428&lt;&gt;"", XLOOKUP($F428,Productos!$A$2:$A1001,Productos!BA$2:BA1001,"")*$G428,"")</f>
        <v/>
      </c>
      <c r="BI428" s="179" t="str">
        <f t="array" ref="BI428">IF($F428&lt;&gt;"",XLOOKUP($F428,Productos!$A:$A,Productos!BB:BB,"Revisar"),"")</f>
        <v/>
      </c>
      <c r="BJ428" s="179" t="str">
        <f t="array" ref="BJ428">IF($F428&lt;&gt;"", XLOOKUP($F428,Productos!$A$2:$A1001,Productos!BC$2:BC1001,"")*$G428,"")</f>
        <v/>
      </c>
      <c r="BK428" s="179" t="str">
        <f t="array" ref="BK428">IF($F428&lt;&gt;"",XLOOKUP($F428,Productos!$A:$A,Productos!BD:BD,"Revisar"),"")</f>
        <v/>
      </c>
      <c r="BL428" s="179" t="str">
        <f t="array" ref="BL428">IF($F428&lt;&gt;"", XLOOKUP($F428,Productos!$A$2:$A1001,Productos!BE$2:BE1001,"")*$G428,"")</f>
        <v/>
      </c>
      <c r="BM428" s="179" t="str">
        <f t="array" ref="BM428">IF($F428&lt;&gt;"",XLOOKUP($F428,Productos!$A:$A,Productos!BF:BF,"Revisar"),"")</f>
        <v/>
      </c>
      <c r="BN428" s="179" t="str">
        <f t="array" ref="BN428">IF($F428&lt;&gt;"", XLOOKUP($F428,Productos!$A$2:$A1001,Productos!BG$2:BG1001,"")*$G428,"")</f>
        <v/>
      </c>
      <c r="BO428" s="179" t="str">
        <f t="array" ref="BO428">IF($F428&lt;&gt;"",XLOOKUP($F428,Productos!$A:$A,Productos!BH:BH,"Revisar"),"")</f>
        <v/>
      </c>
      <c r="BP428" s="179" t="str">
        <f t="array" ref="BP428">IF($F428&lt;&gt;"", XLOOKUP($F428,Productos!$A$2:$A1001,Productos!BI$2:BI1001,"")*$G428,"")</f>
        <v/>
      </c>
      <c r="BQ428" s="179" t="str">
        <f t="array" ref="BQ428">IF($F428&lt;&gt;"",XLOOKUP($F428,Productos!$A:$A,Productos!BJ:BJ,"Revisar"),"")</f>
        <v/>
      </c>
      <c r="BR428" s="179" t="str">
        <f t="array" ref="BR428">IF($F428&lt;&gt;"", XLOOKUP($F428,Productos!$A$2:$A1001,Productos!BK$2:BK1001,"")*$G428,"")</f>
        <v/>
      </c>
      <c r="BS428" s="179" t="str">
        <f t="array" ref="BS428">IF($F428&lt;&gt;"",XLOOKUP($F428,Productos!$A:$A,Productos!BL:BL,"Revisar"),"")</f>
        <v/>
      </c>
      <c r="BT428" s="179" t="str">
        <f t="array" ref="BT428">IF($F428&lt;&gt;"", XLOOKUP($F428,Productos!$A$2:$A1001,Productos!BM$2:BM1001,"")*$G428,"")</f>
        <v/>
      </c>
      <c r="BU428" s="179" t="str">
        <f t="array" ref="BU428">IF($F428&lt;&gt;"",XLOOKUP($F428,Productos!$A:$A,Productos!BN:BN,"Revisar"),"")</f>
        <v/>
      </c>
      <c r="BV428" s="179" t="str">
        <f t="array" ref="BV428">IF($F428&lt;&gt;"", XLOOKUP($F428,Productos!$A$2:$A1001,Productos!BO$2:BO1001,"")*$G428,"")</f>
        <v/>
      </c>
      <c r="BW428" s="179" t="str">
        <f t="array" ref="BW428">IF($F428&lt;&gt;"",XLOOKUP($F428,Productos!$A:$A,Productos!BP:BP,"Revisar"),"")</f>
        <v/>
      </c>
      <c r="BX428" s="179" t="str">
        <f t="array" ref="BX428">IF($F428&lt;&gt;"", XLOOKUP($F428,Productos!$A$2:$A1001,Productos!BQ$2:BQ1001,"")*$G428,"")</f>
        <v/>
      </c>
      <c r="BY428" s="179" t="str">
        <f t="array" ref="BY428">IF($F428&lt;&gt;"",XLOOKUP($F428,Productos!$A:$A,Productos!BR:BR,"Revisar"),"")</f>
        <v/>
      </c>
      <c r="BZ428" s="179" t="str">
        <f t="array" ref="BZ428">IF($F428&lt;&gt;"", XLOOKUP($F428,Productos!$A$2:$A1001,Productos!BS$2:BS1001,"")*$G428,"")</f>
        <v/>
      </c>
    </row>
    <row r="429">
      <c r="A429" s="188"/>
      <c r="B429" s="189"/>
      <c r="C429" s="190"/>
      <c r="D429" s="190"/>
      <c r="E429" s="191"/>
      <c r="F429" s="186"/>
      <c r="G429" s="192"/>
      <c r="H429" s="9"/>
      <c r="I429" s="179" t="str">
        <f t="array" ref="I429">IF($F429&lt;&gt;"",XLOOKUP($F429,Productos!$A:$A,Productos!B:B,"Revisar"),"")</f>
        <v/>
      </c>
      <c r="J429" s="179" t="str">
        <f t="array" ref="J429">IF($F429&lt;&gt;"", XLOOKUP($F429,Productos!$A$2:$A1001,Productos!C$2:C1001,"")*$G429,"")</f>
        <v/>
      </c>
      <c r="K429" s="179" t="str">
        <f t="array" ref="K429">IF($F429&lt;&gt;"",XLOOKUP($F429,Productos!$A:$A,Productos!D:D,"Revisar"),"")</f>
        <v/>
      </c>
      <c r="L429" s="179" t="str">
        <f t="array" ref="L429">IF($F429&lt;&gt;"", XLOOKUP($F429,Productos!$A$2:$A1001,Productos!E$2:E1001,"")*$G429,"")</f>
        <v/>
      </c>
      <c r="M429" s="179" t="str">
        <f t="array" ref="M429">IF($F429&lt;&gt;"",XLOOKUP($F429,Productos!$A:$A,Productos!F:F,"Revisar"),"")</f>
        <v/>
      </c>
      <c r="N429" s="179" t="str">
        <f t="array" ref="N429">IF($F429&lt;&gt;"", XLOOKUP($F429,Productos!$A$2:$A1001,Productos!G$2:G1001,"")*$G429,"")</f>
        <v/>
      </c>
      <c r="O429" s="179" t="str">
        <f t="array" ref="O429">IF($F429&lt;&gt;"",XLOOKUP($F429,Productos!$A:$A,Productos!H:H,"Revisar"),"")</f>
        <v/>
      </c>
      <c r="P429" s="179" t="str">
        <f t="array" ref="P429">IF($F429&lt;&gt;"", XLOOKUP($F429,Productos!$A$2:$A1001,Productos!I$2:I1001,"")*$G429,"")</f>
        <v/>
      </c>
      <c r="Q429" s="179" t="str">
        <f t="array" ref="Q429">IF($F429&lt;&gt;"",XLOOKUP($F429,Productos!$A:$A,Productos!J:J,"Revisar"),"")</f>
        <v/>
      </c>
      <c r="R429" s="179" t="str">
        <f t="array" ref="R429">IF($F429&lt;&gt;"", XLOOKUP($F429,Productos!$A$2:$A1001,Productos!K$2:K1001,"")*$G429,"")</f>
        <v/>
      </c>
      <c r="S429" s="179" t="str">
        <f t="array" ref="S429">IF($F429&lt;&gt;"",XLOOKUP($F429,Productos!$A:$A,Productos!L:L,"Revisar"),"")</f>
        <v/>
      </c>
      <c r="T429" s="179" t="str">
        <f t="array" ref="T429">IF($F429&lt;&gt;"", XLOOKUP($F429,Productos!$A$2:$A1001,Productos!M$2:M1001,"")*$G429,"")</f>
        <v/>
      </c>
      <c r="U429" s="179" t="str">
        <f t="array" ref="U429">IF($F429&lt;&gt;"",XLOOKUP($F429,Productos!$A:$A,Productos!N:N,"Revisar"),"")</f>
        <v/>
      </c>
      <c r="V429" s="179" t="str">
        <f t="array" ref="V429">IF($F429&lt;&gt;"", XLOOKUP($F429,Productos!$A$2:$A1001,Productos!O$2:O1001,"")*$G429,"")</f>
        <v/>
      </c>
      <c r="W429" s="179" t="str">
        <f t="array" ref="W429">IF($F429&lt;&gt;"",XLOOKUP($F429,Productos!$A:$A,Productos!P:P,"Revisar"),"")</f>
        <v/>
      </c>
      <c r="X429" s="179" t="str">
        <f t="array" ref="X429">IF($F429&lt;&gt;"", XLOOKUP($F429,Productos!$A$2:$A1001,Productos!Q$2:Q1001,"")*$G429,"")</f>
        <v/>
      </c>
      <c r="Y429" s="179" t="str">
        <f t="array" ref="Y429">IF($F429&lt;&gt;"",XLOOKUP($F429,Productos!$A:$A,Productos!R:R,"Revisar"),"")</f>
        <v/>
      </c>
      <c r="Z429" s="179" t="str">
        <f t="array" ref="Z429">IF($F429&lt;&gt;"", XLOOKUP($F429,Productos!$A$2:$A1001,Productos!S$2:S1001,"")*$G429,"")</f>
        <v/>
      </c>
      <c r="AA429" s="179" t="str">
        <f t="array" ref="AA429">IF($F429&lt;&gt;"",XLOOKUP($F429,Productos!$A:$A,Productos!T:T,"Revisar"),"")</f>
        <v/>
      </c>
      <c r="AB429" s="179" t="str">
        <f t="array" ref="AB429">IF($F429&lt;&gt;"", XLOOKUP($F429,Productos!$A$2:$A1001,Productos!U$2:U1001,"")*$G429,"")</f>
        <v/>
      </c>
      <c r="AC429" s="179" t="str">
        <f t="array" ref="AC429">IF($F429&lt;&gt;"",XLOOKUP($F429,Productos!$A:$A,Productos!V:V,"Revisar"),"")</f>
        <v/>
      </c>
      <c r="AD429" s="179" t="str">
        <f t="array" ref="AD429">IF($F429&lt;&gt;"", XLOOKUP($F429,Productos!$A$2:$A1001,Productos!W$2:W1001,"")*$G429,"")</f>
        <v/>
      </c>
      <c r="AE429" s="179" t="str">
        <f t="array" ref="AE429">IF($F429&lt;&gt;"",XLOOKUP($F429,Productos!$A:$A,Productos!X:X,"Revisar"),"")</f>
        <v/>
      </c>
      <c r="AF429" s="179" t="str">
        <f t="array" ref="AF429">IF($F429&lt;&gt;"", XLOOKUP($F429,Productos!$A$2:$A1001,Productos!Y$2:Y1001,"")*$G429,"")</f>
        <v/>
      </c>
      <c r="AG429" s="179" t="str">
        <f t="array" ref="AG429">IF($F429&lt;&gt;"",XLOOKUP($F429,Productos!$A:$A,Productos!Z:Z,"Revisar"),"")</f>
        <v/>
      </c>
      <c r="AH429" s="179" t="str">
        <f t="array" ref="AH429">IF($F429&lt;&gt;"", XLOOKUP($F429,Productos!$A$2:$A1001,Productos!AA$2:AA1001,"")*$G429,"")</f>
        <v/>
      </c>
      <c r="AI429" s="179" t="str">
        <f t="array" ref="AI429">IF($F429&lt;&gt;"",XLOOKUP($F429,Productos!$A:$A,Productos!AB:AB,"Revisar"),"")</f>
        <v/>
      </c>
      <c r="AJ429" s="179" t="str">
        <f t="array" ref="AJ429">IF($F429&lt;&gt;"", XLOOKUP($F429,Productos!$A$2:$A1001,Productos!AC$2:AC1001,"")*$G429,"")</f>
        <v/>
      </c>
      <c r="AK429" s="179" t="str">
        <f t="array" ref="AK429">IF($F429&lt;&gt;"",XLOOKUP($F429,Productos!$A:$A,Productos!AD:AD,"Revisar"),"")</f>
        <v/>
      </c>
      <c r="AL429" s="179" t="str">
        <f t="array" ref="AL429">IF($F429&lt;&gt;"", XLOOKUP($F429,Productos!$A$2:$A1001,Productos!AE$2:AE1001,"")*$G429,"")</f>
        <v/>
      </c>
      <c r="AM429" s="179" t="str">
        <f t="array" ref="AM429">IF($F429&lt;&gt;"",XLOOKUP($F429,Productos!$A:$A,Productos!AF:AF,"Revisar"),"")</f>
        <v/>
      </c>
      <c r="AN429" s="179" t="str">
        <f t="array" ref="AN429">IF($F429&lt;&gt;"", XLOOKUP($F429,Productos!$A$2:$A1001,Productos!AG$2:AG1001,"")*$G429,"")</f>
        <v/>
      </c>
      <c r="AO429" s="179" t="str">
        <f t="array" ref="AO429">IF($F429&lt;&gt;"",XLOOKUP($F429,Productos!$A:$A,Productos!AH:AH,"Revisar"),"")</f>
        <v/>
      </c>
      <c r="AP429" s="179" t="str">
        <f t="array" ref="AP429">IF($F429&lt;&gt;"", XLOOKUP($F429,Productos!$A$2:$A1001,Productos!AI$2:AI1001,"")*$G429,"")</f>
        <v/>
      </c>
      <c r="AQ429" s="179" t="str">
        <f t="array" ref="AQ429">IF($F429&lt;&gt;"",XLOOKUP($F429,Productos!$A:$A,Productos!AJ:AJ,"Revisar"),"")</f>
        <v/>
      </c>
      <c r="AR429" s="179" t="str">
        <f t="array" ref="AR429">IF($F429&lt;&gt;"", XLOOKUP($F429,Productos!$A$2:$A1001,Productos!AK$2:AK1001,"")*$G429,"")</f>
        <v/>
      </c>
      <c r="AS429" s="179" t="str">
        <f t="array" ref="AS429">IF($F429&lt;&gt;"",XLOOKUP($F429,Productos!$A:$A,Productos!AL:AL,"Revisar"),"")</f>
        <v/>
      </c>
      <c r="AT429" s="179" t="str">
        <f t="array" ref="AT429">IF($F429&lt;&gt;"", XLOOKUP($F429,Productos!$A$2:$A1001,Productos!AM$2:AM1001,"")*$G429,"")</f>
        <v/>
      </c>
      <c r="AU429" s="179" t="str">
        <f t="array" ref="AU429">IF($F429&lt;&gt;"",XLOOKUP($F429,Productos!$A:$A,Productos!AN:AN,"Revisar"),"")</f>
        <v/>
      </c>
      <c r="AV429" s="179" t="str">
        <f t="array" ref="AV429">IF($F429&lt;&gt;"", XLOOKUP($F429,Productos!$A$2:$A1001,Productos!AO$2:AO1001,"")*$G429,"")</f>
        <v/>
      </c>
      <c r="AW429" s="179" t="str">
        <f t="array" ref="AW429">IF($F429&lt;&gt;"",XLOOKUP($F429,Productos!$A:$A,Productos!AP:AP,"Revisar"),"")</f>
        <v/>
      </c>
      <c r="AX429" s="179" t="str">
        <f t="array" ref="AX429">IF($F429&lt;&gt;"", XLOOKUP($F429,Productos!$A$2:$A1001,Productos!AQ$2:AQ1001,"")*$G429,"")</f>
        <v/>
      </c>
      <c r="AY429" s="179" t="str">
        <f t="array" ref="AY429">IF($F429&lt;&gt;"",XLOOKUP($F429,Productos!$A:$A,Productos!AR:AR,"Revisar"),"")</f>
        <v/>
      </c>
      <c r="AZ429" s="179" t="str">
        <f t="array" ref="AZ429">IF($F429&lt;&gt;"", XLOOKUP($F429,Productos!$A$2:$A1001,Productos!AS$2:AS1001,"")*$G429,"")</f>
        <v/>
      </c>
      <c r="BA429" s="179" t="str">
        <f t="array" ref="BA429">IF($F429&lt;&gt;"",XLOOKUP($F429,Productos!$A:$A,Productos!AT:AT,"Revisar"),"")</f>
        <v/>
      </c>
      <c r="BB429" s="179" t="str">
        <f t="array" ref="BB429">IF($F429&lt;&gt;"", XLOOKUP($F429,Productos!$A$2:$A1001,Productos!AU$2:AU1001,"")*$G429,"")</f>
        <v/>
      </c>
      <c r="BC429" s="179" t="str">
        <f t="array" ref="BC429">IF($F429&lt;&gt;"",XLOOKUP($F429,Productos!$A:$A,Productos!AV:AV,"Revisar"),"")</f>
        <v/>
      </c>
      <c r="BD429" s="179" t="str">
        <f t="array" ref="BD429">IF($F429&lt;&gt;"", XLOOKUP($F429,Productos!$A$2:$A1001,Productos!AW$2:AW1001,"")*$G429,"")</f>
        <v/>
      </c>
      <c r="BE429" s="179" t="str">
        <f t="array" ref="BE429">IF($F429&lt;&gt;"",XLOOKUP($F429,Productos!$A:$A,Productos!AX:AX,"Revisar"),"")</f>
        <v/>
      </c>
      <c r="BF429" s="179" t="str">
        <f t="array" ref="BF429">IF($F429&lt;&gt;"", XLOOKUP($F429,Productos!$A$2:$A1001,Productos!AY$2:AY1001,"")*$G429,"")</f>
        <v/>
      </c>
      <c r="BG429" s="179" t="str">
        <f t="array" ref="BG429">IF($F429&lt;&gt;"",XLOOKUP($F429,Productos!$A:$A,Productos!AZ:AZ,"Revisar"),"")</f>
        <v/>
      </c>
      <c r="BH429" s="179" t="str">
        <f t="array" ref="BH429">IF($F429&lt;&gt;"", XLOOKUP($F429,Productos!$A$2:$A1001,Productos!BA$2:BA1001,"")*$G429,"")</f>
        <v/>
      </c>
      <c r="BI429" s="179" t="str">
        <f t="array" ref="BI429">IF($F429&lt;&gt;"",XLOOKUP($F429,Productos!$A:$A,Productos!BB:BB,"Revisar"),"")</f>
        <v/>
      </c>
      <c r="BJ429" s="179" t="str">
        <f t="array" ref="BJ429">IF($F429&lt;&gt;"", XLOOKUP($F429,Productos!$A$2:$A1001,Productos!BC$2:BC1001,"")*$G429,"")</f>
        <v/>
      </c>
      <c r="BK429" s="179" t="str">
        <f t="array" ref="BK429">IF($F429&lt;&gt;"",XLOOKUP($F429,Productos!$A:$A,Productos!BD:BD,"Revisar"),"")</f>
        <v/>
      </c>
      <c r="BL429" s="179" t="str">
        <f t="array" ref="BL429">IF($F429&lt;&gt;"", XLOOKUP($F429,Productos!$A$2:$A1001,Productos!BE$2:BE1001,"")*$G429,"")</f>
        <v/>
      </c>
      <c r="BM429" s="179" t="str">
        <f t="array" ref="BM429">IF($F429&lt;&gt;"",XLOOKUP($F429,Productos!$A:$A,Productos!BF:BF,"Revisar"),"")</f>
        <v/>
      </c>
      <c r="BN429" s="179" t="str">
        <f t="array" ref="BN429">IF($F429&lt;&gt;"", XLOOKUP($F429,Productos!$A$2:$A1001,Productos!BG$2:BG1001,"")*$G429,"")</f>
        <v/>
      </c>
      <c r="BO429" s="179" t="str">
        <f t="array" ref="BO429">IF($F429&lt;&gt;"",XLOOKUP($F429,Productos!$A:$A,Productos!BH:BH,"Revisar"),"")</f>
        <v/>
      </c>
      <c r="BP429" s="179" t="str">
        <f t="array" ref="BP429">IF($F429&lt;&gt;"", XLOOKUP($F429,Productos!$A$2:$A1001,Productos!BI$2:BI1001,"")*$G429,"")</f>
        <v/>
      </c>
      <c r="BQ429" s="179" t="str">
        <f t="array" ref="BQ429">IF($F429&lt;&gt;"",XLOOKUP($F429,Productos!$A:$A,Productos!BJ:BJ,"Revisar"),"")</f>
        <v/>
      </c>
      <c r="BR429" s="179" t="str">
        <f t="array" ref="BR429">IF($F429&lt;&gt;"", XLOOKUP($F429,Productos!$A$2:$A1001,Productos!BK$2:BK1001,"")*$G429,"")</f>
        <v/>
      </c>
      <c r="BS429" s="179" t="str">
        <f t="array" ref="BS429">IF($F429&lt;&gt;"",XLOOKUP($F429,Productos!$A:$A,Productos!BL:BL,"Revisar"),"")</f>
        <v/>
      </c>
      <c r="BT429" s="179" t="str">
        <f t="array" ref="BT429">IF($F429&lt;&gt;"", XLOOKUP($F429,Productos!$A$2:$A1001,Productos!BM$2:BM1001,"")*$G429,"")</f>
        <v/>
      </c>
      <c r="BU429" s="179" t="str">
        <f t="array" ref="BU429">IF($F429&lt;&gt;"",XLOOKUP($F429,Productos!$A:$A,Productos!BN:BN,"Revisar"),"")</f>
        <v/>
      </c>
      <c r="BV429" s="179" t="str">
        <f t="array" ref="BV429">IF($F429&lt;&gt;"", XLOOKUP($F429,Productos!$A$2:$A1001,Productos!BO$2:BO1001,"")*$G429,"")</f>
        <v/>
      </c>
      <c r="BW429" s="179" t="str">
        <f t="array" ref="BW429">IF($F429&lt;&gt;"",XLOOKUP($F429,Productos!$A:$A,Productos!BP:BP,"Revisar"),"")</f>
        <v/>
      </c>
      <c r="BX429" s="179" t="str">
        <f t="array" ref="BX429">IF($F429&lt;&gt;"", XLOOKUP($F429,Productos!$A$2:$A1001,Productos!BQ$2:BQ1001,"")*$G429,"")</f>
        <v/>
      </c>
      <c r="BY429" s="179" t="str">
        <f t="array" ref="BY429">IF($F429&lt;&gt;"",XLOOKUP($F429,Productos!$A:$A,Productos!BR:BR,"Revisar"),"")</f>
        <v/>
      </c>
      <c r="BZ429" s="179" t="str">
        <f t="array" ref="BZ429">IF($F429&lt;&gt;"", XLOOKUP($F429,Productos!$A$2:$A1001,Productos!BS$2:BS1001,"")*$G429,"")</f>
        <v/>
      </c>
    </row>
    <row r="430">
      <c r="A430" s="188"/>
      <c r="B430" s="189"/>
      <c r="C430" s="190"/>
      <c r="D430" s="190"/>
      <c r="E430" s="191"/>
      <c r="F430" s="186"/>
      <c r="G430" s="192"/>
      <c r="H430" s="9"/>
      <c r="I430" s="179" t="str">
        <f t="array" ref="I430">IF($F430&lt;&gt;"",XLOOKUP($F430,Productos!$A:$A,Productos!B:B,"Revisar"),"")</f>
        <v/>
      </c>
      <c r="J430" s="179" t="str">
        <f t="array" ref="J430">IF($F430&lt;&gt;"", XLOOKUP($F430,Productos!$A$2:$A1001,Productos!C$2:C1001,"")*$G430,"")</f>
        <v/>
      </c>
      <c r="K430" s="179" t="str">
        <f t="array" ref="K430">IF($F430&lt;&gt;"",XLOOKUP($F430,Productos!$A:$A,Productos!D:D,"Revisar"),"")</f>
        <v/>
      </c>
      <c r="L430" s="179" t="str">
        <f t="array" ref="L430">IF($F430&lt;&gt;"", XLOOKUP($F430,Productos!$A$2:$A1001,Productos!E$2:E1001,"")*$G430,"")</f>
        <v/>
      </c>
      <c r="M430" s="179" t="str">
        <f t="array" ref="M430">IF($F430&lt;&gt;"",XLOOKUP($F430,Productos!$A:$A,Productos!F:F,"Revisar"),"")</f>
        <v/>
      </c>
      <c r="N430" s="179" t="str">
        <f t="array" ref="N430">IF($F430&lt;&gt;"", XLOOKUP($F430,Productos!$A$2:$A1001,Productos!G$2:G1001,"")*$G430,"")</f>
        <v/>
      </c>
      <c r="O430" s="179" t="str">
        <f t="array" ref="O430">IF($F430&lt;&gt;"",XLOOKUP($F430,Productos!$A:$A,Productos!H:H,"Revisar"),"")</f>
        <v/>
      </c>
      <c r="P430" s="179" t="str">
        <f t="array" ref="P430">IF($F430&lt;&gt;"", XLOOKUP($F430,Productos!$A$2:$A1001,Productos!I$2:I1001,"")*$G430,"")</f>
        <v/>
      </c>
      <c r="Q430" s="179" t="str">
        <f t="array" ref="Q430">IF($F430&lt;&gt;"",XLOOKUP($F430,Productos!$A:$A,Productos!J:J,"Revisar"),"")</f>
        <v/>
      </c>
      <c r="R430" s="179" t="str">
        <f t="array" ref="R430">IF($F430&lt;&gt;"", XLOOKUP($F430,Productos!$A$2:$A1001,Productos!K$2:K1001,"")*$G430,"")</f>
        <v/>
      </c>
      <c r="S430" s="179" t="str">
        <f t="array" ref="S430">IF($F430&lt;&gt;"",XLOOKUP($F430,Productos!$A:$A,Productos!L:L,"Revisar"),"")</f>
        <v/>
      </c>
      <c r="T430" s="179" t="str">
        <f t="array" ref="T430">IF($F430&lt;&gt;"", XLOOKUP($F430,Productos!$A$2:$A1001,Productos!M$2:M1001,"")*$G430,"")</f>
        <v/>
      </c>
      <c r="U430" s="179" t="str">
        <f t="array" ref="U430">IF($F430&lt;&gt;"",XLOOKUP($F430,Productos!$A:$A,Productos!N:N,"Revisar"),"")</f>
        <v/>
      </c>
      <c r="V430" s="179" t="str">
        <f t="array" ref="V430">IF($F430&lt;&gt;"", XLOOKUP($F430,Productos!$A$2:$A1001,Productos!O$2:O1001,"")*$G430,"")</f>
        <v/>
      </c>
      <c r="W430" s="179" t="str">
        <f t="array" ref="W430">IF($F430&lt;&gt;"",XLOOKUP($F430,Productos!$A:$A,Productos!P:P,"Revisar"),"")</f>
        <v/>
      </c>
      <c r="X430" s="179" t="str">
        <f t="array" ref="X430">IF($F430&lt;&gt;"", XLOOKUP($F430,Productos!$A$2:$A1001,Productos!Q$2:Q1001,"")*$G430,"")</f>
        <v/>
      </c>
      <c r="Y430" s="179" t="str">
        <f t="array" ref="Y430">IF($F430&lt;&gt;"",XLOOKUP($F430,Productos!$A:$A,Productos!R:R,"Revisar"),"")</f>
        <v/>
      </c>
      <c r="Z430" s="179" t="str">
        <f t="array" ref="Z430">IF($F430&lt;&gt;"", XLOOKUP($F430,Productos!$A$2:$A1001,Productos!S$2:S1001,"")*$G430,"")</f>
        <v/>
      </c>
      <c r="AA430" s="179" t="str">
        <f t="array" ref="AA430">IF($F430&lt;&gt;"",XLOOKUP($F430,Productos!$A:$A,Productos!T:T,"Revisar"),"")</f>
        <v/>
      </c>
      <c r="AB430" s="179" t="str">
        <f t="array" ref="AB430">IF($F430&lt;&gt;"", XLOOKUP($F430,Productos!$A$2:$A1001,Productos!U$2:U1001,"")*$G430,"")</f>
        <v/>
      </c>
      <c r="AC430" s="179" t="str">
        <f t="array" ref="AC430">IF($F430&lt;&gt;"",XLOOKUP($F430,Productos!$A:$A,Productos!V:V,"Revisar"),"")</f>
        <v/>
      </c>
      <c r="AD430" s="179" t="str">
        <f t="array" ref="AD430">IF($F430&lt;&gt;"", XLOOKUP($F430,Productos!$A$2:$A1001,Productos!W$2:W1001,"")*$G430,"")</f>
        <v/>
      </c>
      <c r="AE430" s="179" t="str">
        <f t="array" ref="AE430">IF($F430&lt;&gt;"",XLOOKUP($F430,Productos!$A:$A,Productos!X:X,"Revisar"),"")</f>
        <v/>
      </c>
      <c r="AF430" s="179" t="str">
        <f t="array" ref="AF430">IF($F430&lt;&gt;"", XLOOKUP($F430,Productos!$A$2:$A1001,Productos!Y$2:Y1001,"")*$G430,"")</f>
        <v/>
      </c>
      <c r="AG430" s="179" t="str">
        <f t="array" ref="AG430">IF($F430&lt;&gt;"",XLOOKUP($F430,Productos!$A:$A,Productos!Z:Z,"Revisar"),"")</f>
        <v/>
      </c>
      <c r="AH430" s="179" t="str">
        <f t="array" ref="AH430">IF($F430&lt;&gt;"", XLOOKUP($F430,Productos!$A$2:$A1001,Productos!AA$2:AA1001,"")*$G430,"")</f>
        <v/>
      </c>
      <c r="AI430" s="179" t="str">
        <f t="array" ref="AI430">IF($F430&lt;&gt;"",XLOOKUP($F430,Productos!$A:$A,Productos!AB:AB,"Revisar"),"")</f>
        <v/>
      </c>
      <c r="AJ430" s="179" t="str">
        <f t="array" ref="AJ430">IF($F430&lt;&gt;"", XLOOKUP($F430,Productos!$A$2:$A1001,Productos!AC$2:AC1001,"")*$G430,"")</f>
        <v/>
      </c>
      <c r="AK430" s="179" t="str">
        <f t="array" ref="AK430">IF($F430&lt;&gt;"",XLOOKUP($F430,Productos!$A:$A,Productos!AD:AD,"Revisar"),"")</f>
        <v/>
      </c>
      <c r="AL430" s="179" t="str">
        <f t="array" ref="AL430">IF($F430&lt;&gt;"", XLOOKUP($F430,Productos!$A$2:$A1001,Productos!AE$2:AE1001,"")*$G430,"")</f>
        <v/>
      </c>
      <c r="AM430" s="179" t="str">
        <f t="array" ref="AM430">IF($F430&lt;&gt;"",XLOOKUP($F430,Productos!$A:$A,Productos!AF:AF,"Revisar"),"")</f>
        <v/>
      </c>
      <c r="AN430" s="179" t="str">
        <f t="array" ref="AN430">IF($F430&lt;&gt;"", XLOOKUP($F430,Productos!$A$2:$A1001,Productos!AG$2:AG1001,"")*$G430,"")</f>
        <v/>
      </c>
      <c r="AO430" s="179" t="str">
        <f t="array" ref="AO430">IF($F430&lt;&gt;"",XLOOKUP($F430,Productos!$A:$A,Productos!AH:AH,"Revisar"),"")</f>
        <v/>
      </c>
      <c r="AP430" s="179" t="str">
        <f t="array" ref="AP430">IF($F430&lt;&gt;"", XLOOKUP($F430,Productos!$A$2:$A1001,Productos!AI$2:AI1001,"")*$G430,"")</f>
        <v/>
      </c>
      <c r="AQ430" s="179" t="str">
        <f t="array" ref="AQ430">IF($F430&lt;&gt;"",XLOOKUP($F430,Productos!$A:$A,Productos!AJ:AJ,"Revisar"),"")</f>
        <v/>
      </c>
      <c r="AR430" s="179" t="str">
        <f t="array" ref="AR430">IF($F430&lt;&gt;"", XLOOKUP($F430,Productos!$A$2:$A1001,Productos!AK$2:AK1001,"")*$G430,"")</f>
        <v/>
      </c>
      <c r="AS430" s="179" t="str">
        <f t="array" ref="AS430">IF($F430&lt;&gt;"",XLOOKUP($F430,Productos!$A:$A,Productos!AL:AL,"Revisar"),"")</f>
        <v/>
      </c>
      <c r="AT430" s="179" t="str">
        <f t="array" ref="AT430">IF($F430&lt;&gt;"", XLOOKUP($F430,Productos!$A$2:$A1001,Productos!AM$2:AM1001,"")*$G430,"")</f>
        <v/>
      </c>
      <c r="AU430" s="179" t="str">
        <f t="array" ref="AU430">IF($F430&lt;&gt;"",XLOOKUP($F430,Productos!$A:$A,Productos!AN:AN,"Revisar"),"")</f>
        <v/>
      </c>
      <c r="AV430" s="179" t="str">
        <f t="array" ref="AV430">IF($F430&lt;&gt;"", XLOOKUP($F430,Productos!$A$2:$A1001,Productos!AO$2:AO1001,"")*$G430,"")</f>
        <v/>
      </c>
      <c r="AW430" s="179" t="str">
        <f t="array" ref="AW430">IF($F430&lt;&gt;"",XLOOKUP($F430,Productos!$A:$A,Productos!AP:AP,"Revisar"),"")</f>
        <v/>
      </c>
      <c r="AX430" s="179" t="str">
        <f t="array" ref="AX430">IF($F430&lt;&gt;"", XLOOKUP($F430,Productos!$A$2:$A1001,Productos!AQ$2:AQ1001,"")*$G430,"")</f>
        <v/>
      </c>
      <c r="AY430" s="179" t="str">
        <f t="array" ref="AY430">IF($F430&lt;&gt;"",XLOOKUP($F430,Productos!$A:$A,Productos!AR:AR,"Revisar"),"")</f>
        <v/>
      </c>
      <c r="AZ430" s="179" t="str">
        <f t="array" ref="AZ430">IF($F430&lt;&gt;"", XLOOKUP($F430,Productos!$A$2:$A1001,Productos!AS$2:AS1001,"")*$G430,"")</f>
        <v/>
      </c>
      <c r="BA430" s="179" t="str">
        <f t="array" ref="BA430">IF($F430&lt;&gt;"",XLOOKUP($F430,Productos!$A:$A,Productos!AT:AT,"Revisar"),"")</f>
        <v/>
      </c>
      <c r="BB430" s="179" t="str">
        <f t="array" ref="BB430">IF($F430&lt;&gt;"", XLOOKUP($F430,Productos!$A$2:$A1001,Productos!AU$2:AU1001,"")*$G430,"")</f>
        <v/>
      </c>
      <c r="BC430" s="179" t="str">
        <f t="array" ref="BC430">IF($F430&lt;&gt;"",XLOOKUP($F430,Productos!$A:$A,Productos!AV:AV,"Revisar"),"")</f>
        <v/>
      </c>
      <c r="BD430" s="179" t="str">
        <f t="array" ref="BD430">IF($F430&lt;&gt;"", XLOOKUP($F430,Productos!$A$2:$A1001,Productos!AW$2:AW1001,"")*$G430,"")</f>
        <v/>
      </c>
      <c r="BE430" s="179" t="str">
        <f t="array" ref="BE430">IF($F430&lt;&gt;"",XLOOKUP($F430,Productos!$A:$A,Productos!AX:AX,"Revisar"),"")</f>
        <v/>
      </c>
      <c r="BF430" s="179" t="str">
        <f t="array" ref="BF430">IF($F430&lt;&gt;"", XLOOKUP($F430,Productos!$A$2:$A1001,Productos!AY$2:AY1001,"")*$G430,"")</f>
        <v/>
      </c>
      <c r="BG430" s="179" t="str">
        <f t="array" ref="BG430">IF($F430&lt;&gt;"",XLOOKUP($F430,Productos!$A:$A,Productos!AZ:AZ,"Revisar"),"")</f>
        <v/>
      </c>
      <c r="BH430" s="179" t="str">
        <f t="array" ref="BH430">IF($F430&lt;&gt;"", XLOOKUP($F430,Productos!$A$2:$A1001,Productos!BA$2:BA1001,"")*$G430,"")</f>
        <v/>
      </c>
      <c r="BI430" s="179" t="str">
        <f t="array" ref="BI430">IF($F430&lt;&gt;"",XLOOKUP($F430,Productos!$A:$A,Productos!BB:BB,"Revisar"),"")</f>
        <v/>
      </c>
      <c r="BJ430" s="179" t="str">
        <f t="array" ref="BJ430">IF($F430&lt;&gt;"", XLOOKUP($F430,Productos!$A$2:$A1001,Productos!BC$2:BC1001,"")*$G430,"")</f>
        <v/>
      </c>
      <c r="BK430" s="179" t="str">
        <f t="array" ref="BK430">IF($F430&lt;&gt;"",XLOOKUP($F430,Productos!$A:$A,Productos!BD:BD,"Revisar"),"")</f>
        <v/>
      </c>
      <c r="BL430" s="179" t="str">
        <f t="array" ref="BL430">IF($F430&lt;&gt;"", XLOOKUP($F430,Productos!$A$2:$A1001,Productos!BE$2:BE1001,"")*$G430,"")</f>
        <v/>
      </c>
      <c r="BM430" s="179" t="str">
        <f t="array" ref="BM430">IF($F430&lt;&gt;"",XLOOKUP($F430,Productos!$A:$A,Productos!BF:BF,"Revisar"),"")</f>
        <v/>
      </c>
      <c r="BN430" s="179" t="str">
        <f t="array" ref="BN430">IF($F430&lt;&gt;"", XLOOKUP($F430,Productos!$A$2:$A1001,Productos!BG$2:BG1001,"")*$G430,"")</f>
        <v/>
      </c>
      <c r="BO430" s="179" t="str">
        <f t="array" ref="BO430">IF($F430&lt;&gt;"",XLOOKUP($F430,Productos!$A:$A,Productos!BH:BH,"Revisar"),"")</f>
        <v/>
      </c>
      <c r="BP430" s="179" t="str">
        <f t="array" ref="BP430">IF($F430&lt;&gt;"", XLOOKUP($F430,Productos!$A$2:$A1001,Productos!BI$2:BI1001,"")*$G430,"")</f>
        <v/>
      </c>
      <c r="BQ430" s="179" t="str">
        <f t="array" ref="BQ430">IF($F430&lt;&gt;"",XLOOKUP($F430,Productos!$A:$A,Productos!BJ:BJ,"Revisar"),"")</f>
        <v/>
      </c>
      <c r="BR430" s="179" t="str">
        <f t="array" ref="BR430">IF($F430&lt;&gt;"", XLOOKUP($F430,Productos!$A$2:$A1001,Productos!BK$2:BK1001,"")*$G430,"")</f>
        <v/>
      </c>
      <c r="BS430" s="179" t="str">
        <f t="array" ref="BS430">IF($F430&lt;&gt;"",XLOOKUP($F430,Productos!$A:$A,Productos!BL:BL,"Revisar"),"")</f>
        <v/>
      </c>
      <c r="BT430" s="179" t="str">
        <f t="array" ref="BT430">IF($F430&lt;&gt;"", XLOOKUP($F430,Productos!$A$2:$A1001,Productos!BM$2:BM1001,"")*$G430,"")</f>
        <v/>
      </c>
      <c r="BU430" s="179" t="str">
        <f t="array" ref="BU430">IF($F430&lt;&gt;"",XLOOKUP($F430,Productos!$A:$A,Productos!BN:BN,"Revisar"),"")</f>
        <v/>
      </c>
      <c r="BV430" s="179" t="str">
        <f t="array" ref="BV430">IF($F430&lt;&gt;"", XLOOKUP($F430,Productos!$A$2:$A1001,Productos!BO$2:BO1001,"")*$G430,"")</f>
        <v/>
      </c>
      <c r="BW430" s="179" t="str">
        <f t="array" ref="BW430">IF($F430&lt;&gt;"",XLOOKUP($F430,Productos!$A:$A,Productos!BP:BP,"Revisar"),"")</f>
        <v/>
      </c>
      <c r="BX430" s="179" t="str">
        <f t="array" ref="BX430">IF($F430&lt;&gt;"", XLOOKUP($F430,Productos!$A$2:$A1001,Productos!BQ$2:BQ1001,"")*$G430,"")</f>
        <v/>
      </c>
      <c r="BY430" s="179" t="str">
        <f t="array" ref="BY430">IF($F430&lt;&gt;"",XLOOKUP($F430,Productos!$A:$A,Productos!BR:BR,"Revisar"),"")</f>
        <v/>
      </c>
      <c r="BZ430" s="179" t="str">
        <f t="array" ref="BZ430">IF($F430&lt;&gt;"", XLOOKUP($F430,Productos!$A$2:$A1001,Productos!BS$2:BS1001,"")*$G430,"")</f>
        <v/>
      </c>
    </row>
    <row r="431">
      <c r="A431" s="188"/>
      <c r="B431" s="189"/>
      <c r="C431" s="190"/>
      <c r="D431" s="190"/>
      <c r="E431" s="191"/>
      <c r="F431" s="186"/>
      <c r="G431" s="192"/>
      <c r="H431" s="9"/>
      <c r="I431" s="179" t="str">
        <f t="array" ref="I431">IF($F431&lt;&gt;"",XLOOKUP($F431,Productos!$A:$A,Productos!B:B,"Revisar"),"")</f>
        <v/>
      </c>
      <c r="J431" s="179" t="str">
        <f t="array" ref="J431">IF($F431&lt;&gt;"", XLOOKUP($F431,Productos!$A$2:$A1001,Productos!C$2:C1001,"")*$G431,"")</f>
        <v/>
      </c>
      <c r="K431" s="179" t="str">
        <f t="array" ref="K431">IF($F431&lt;&gt;"",XLOOKUP($F431,Productos!$A:$A,Productos!D:D,"Revisar"),"")</f>
        <v/>
      </c>
      <c r="L431" s="179" t="str">
        <f t="array" ref="L431">IF($F431&lt;&gt;"", XLOOKUP($F431,Productos!$A$2:$A1001,Productos!E$2:E1001,"")*$G431,"")</f>
        <v/>
      </c>
      <c r="M431" s="179" t="str">
        <f t="array" ref="M431">IF($F431&lt;&gt;"",XLOOKUP($F431,Productos!$A:$A,Productos!F:F,"Revisar"),"")</f>
        <v/>
      </c>
      <c r="N431" s="179" t="str">
        <f t="array" ref="N431">IF($F431&lt;&gt;"", XLOOKUP($F431,Productos!$A$2:$A1001,Productos!G$2:G1001,"")*$G431,"")</f>
        <v/>
      </c>
      <c r="O431" s="179" t="str">
        <f t="array" ref="O431">IF($F431&lt;&gt;"",XLOOKUP($F431,Productos!$A:$A,Productos!H:H,"Revisar"),"")</f>
        <v/>
      </c>
      <c r="P431" s="179" t="str">
        <f t="array" ref="P431">IF($F431&lt;&gt;"", XLOOKUP($F431,Productos!$A$2:$A1001,Productos!I$2:I1001,"")*$G431,"")</f>
        <v/>
      </c>
      <c r="Q431" s="179" t="str">
        <f t="array" ref="Q431">IF($F431&lt;&gt;"",XLOOKUP($F431,Productos!$A:$A,Productos!J:J,"Revisar"),"")</f>
        <v/>
      </c>
      <c r="R431" s="179" t="str">
        <f t="array" ref="R431">IF($F431&lt;&gt;"", XLOOKUP($F431,Productos!$A$2:$A1001,Productos!K$2:K1001,"")*$G431,"")</f>
        <v/>
      </c>
      <c r="S431" s="179" t="str">
        <f t="array" ref="S431">IF($F431&lt;&gt;"",XLOOKUP($F431,Productos!$A:$A,Productos!L:L,"Revisar"),"")</f>
        <v/>
      </c>
      <c r="T431" s="179" t="str">
        <f t="array" ref="T431">IF($F431&lt;&gt;"", XLOOKUP($F431,Productos!$A$2:$A1001,Productos!M$2:M1001,"")*$G431,"")</f>
        <v/>
      </c>
      <c r="U431" s="179" t="str">
        <f t="array" ref="U431">IF($F431&lt;&gt;"",XLOOKUP($F431,Productos!$A:$A,Productos!N:N,"Revisar"),"")</f>
        <v/>
      </c>
      <c r="V431" s="179" t="str">
        <f t="array" ref="V431">IF($F431&lt;&gt;"", XLOOKUP($F431,Productos!$A$2:$A1001,Productos!O$2:O1001,"")*$G431,"")</f>
        <v/>
      </c>
      <c r="W431" s="179" t="str">
        <f t="array" ref="W431">IF($F431&lt;&gt;"",XLOOKUP($F431,Productos!$A:$A,Productos!P:P,"Revisar"),"")</f>
        <v/>
      </c>
      <c r="X431" s="179" t="str">
        <f t="array" ref="X431">IF($F431&lt;&gt;"", XLOOKUP($F431,Productos!$A$2:$A1001,Productos!Q$2:Q1001,"")*$G431,"")</f>
        <v/>
      </c>
      <c r="Y431" s="179" t="str">
        <f t="array" ref="Y431">IF($F431&lt;&gt;"",XLOOKUP($F431,Productos!$A:$A,Productos!R:R,"Revisar"),"")</f>
        <v/>
      </c>
      <c r="Z431" s="179" t="str">
        <f t="array" ref="Z431">IF($F431&lt;&gt;"", XLOOKUP($F431,Productos!$A$2:$A1001,Productos!S$2:S1001,"")*$G431,"")</f>
        <v/>
      </c>
      <c r="AA431" s="179" t="str">
        <f t="array" ref="AA431">IF($F431&lt;&gt;"",XLOOKUP($F431,Productos!$A:$A,Productos!T:T,"Revisar"),"")</f>
        <v/>
      </c>
      <c r="AB431" s="179" t="str">
        <f t="array" ref="AB431">IF($F431&lt;&gt;"", XLOOKUP($F431,Productos!$A$2:$A1001,Productos!U$2:U1001,"")*$G431,"")</f>
        <v/>
      </c>
      <c r="AC431" s="179" t="str">
        <f t="array" ref="AC431">IF($F431&lt;&gt;"",XLOOKUP($F431,Productos!$A:$A,Productos!V:V,"Revisar"),"")</f>
        <v/>
      </c>
      <c r="AD431" s="179" t="str">
        <f t="array" ref="AD431">IF($F431&lt;&gt;"", XLOOKUP($F431,Productos!$A$2:$A1001,Productos!W$2:W1001,"")*$G431,"")</f>
        <v/>
      </c>
      <c r="AE431" s="179" t="str">
        <f t="array" ref="AE431">IF($F431&lt;&gt;"",XLOOKUP($F431,Productos!$A:$A,Productos!X:X,"Revisar"),"")</f>
        <v/>
      </c>
      <c r="AF431" s="179" t="str">
        <f t="array" ref="AF431">IF($F431&lt;&gt;"", XLOOKUP($F431,Productos!$A$2:$A1001,Productos!Y$2:Y1001,"")*$G431,"")</f>
        <v/>
      </c>
      <c r="AG431" s="179" t="str">
        <f t="array" ref="AG431">IF($F431&lt;&gt;"",XLOOKUP($F431,Productos!$A:$A,Productos!Z:Z,"Revisar"),"")</f>
        <v/>
      </c>
      <c r="AH431" s="179" t="str">
        <f t="array" ref="AH431">IF($F431&lt;&gt;"", XLOOKUP($F431,Productos!$A$2:$A1001,Productos!AA$2:AA1001,"")*$G431,"")</f>
        <v/>
      </c>
      <c r="AI431" s="179" t="str">
        <f t="array" ref="AI431">IF($F431&lt;&gt;"",XLOOKUP($F431,Productos!$A:$A,Productos!AB:AB,"Revisar"),"")</f>
        <v/>
      </c>
      <c r="AJ431" s="179" t="str">
        <f t="array" ref="AJ431">IF($F431&lt;&gt;"", XLOOKUP($F431,Productos!$A$2:$A1001,Productos!AC$2:AC1001,"")*$G431,"")</f>
        <v/>
      </c>
      <c r="AK431" s="179" t="str">
        <f t="array" ref="AK431">IF($F431&lt;&gt;"",XLOOKUP($F431,Productos!$A:$A,Productos!AD:AD,"Revisar"),"")</f>
        <v/>
      </c>
      <c r="AL431" s="179" t="str">
        <f t="array" ref="AL431">IF($F431&lt;&gt;"", XLOOKUP($F431,Productos!$A$2:$A1001,Productos!AE$2:AE1001,"")*$G431,"")</f>
        <v/>
      </c>
      <c r="AM431" s="179" t="str">
        <f t="array" ref="AM431">IF($F431&lt;&gt;"",XLOOKUP($F431,Productos!$A:$A,Productos!AF:AF,"Revisar"),"")</f>
        <v/>
      </c>
      <c r="AN431" s="179" t="str">
        <f t="array" ref="AN431">IF($F431&lt;&gt;"", XLOOKUP($F431,Productos!$A$2:$A1001,Productos!AG$2:AG1001,"")*$G431,"")</f>
        <v/>
      </c>
      <c r="AO431" s="179" t="str">
        <f t="array" ref="AO431">IF($F431&lt;&gt;"",XLOOKUP($F431,Productos!$A:$A,Productos!AH:AH,"Revisar"),"")</f>
        <v/>
      </c>
      <c r="AP431" s="179" t="str">
        <f t="array" ref="AP431">IF($F431&lt;&gt;"", XLOOKUP($F431,Productos!$A$2:$A1001,Productos!AI$2:AI1001,"")*$G431,"")</f>
        <v/>
      </c>
      <c r="AQ431" s="179" t="str">
        <f t="array" ref="AQ431">IF($F431&lt;&gt;"",XLOOKUP($F431,Productos!$A:$A,Productos!AJ:AJ,"Revisar"),"")</f>
        <v/>
      </c>
      <c r="AR431" s="179" t="str">
        <f t="array" ref="AR431">IF($F431&lt;&gt;"", XLOOKUP($F431,Productos!$A$2:$A1001,Productos!AK$2:AK1001,"")*$G431,"")</f>
        <v/>
      </c>
      <c r="AS431" s="179" t="str">
        <f t="array" ref="AS431">IF($F431&lt;&gt;"",XLOOKUP($F431,Productos!$A:$A,Productos!AL:AL,"Revisar"),"")</f>
        <v/>
      </c>
      <c r="AT431" s="179" t="str">
        <f t="array" ref="AT431">IF($F431&lt;&gt;"", XLOOKUP($F431,Productos!$A$2:$A1001,Productos!AM$2:AM1001,"")*$G431,"")</f>
        <v/>
      </c>
      <c r="AU431" s="179" t="str">
        <f t="array" ref="AU431">IF($F431&lt;&gt;"",XLOOKUP($F431,Productos!$A:$A,Productos!AN:AN,"Revisar"),"")</f>
        <v/>
      </c>
      <c r="AV431" s="179" t="str">
        <f t="array" ref="AV431">IF($F431&lt;&gt;"", XLOOKUP($F431,Productos!$A$2:$A1001,Productos!AO$2:AO1001,"")*$G431,"")</f>
        <v/>
      </c>
      <c r="AW431" s="179" t="str">
        <f t="array" ref="AW431">IF($F431&lt;&gt;"",XLOOKUP($F431,Productos!$A:$A,Productos!AP:AP,"Revisar"),"")</f>
        <v/>
      </c>
      <c r="AX431" s="179" t="str">
        <f t="array" ref="AX431">IF($F431&lt;&gt;"", XLOOKUP($F431,Productos!$A$2:$A1001,Productos!AQ$2:AQ1001,"")*$G431,"")</f>
        <v/>
      </c>
      <c r="AY431" s="179" t="str">
        <f t="array" ref="AY431">IF($F431&lt;&gt;"",XLOOKUP($F431,Productos!$A:$A,Productos!AR:AR,"Revisar"),"")</f>
        <v/>
      </c>
      <c r="AZ431" s="179" t="str">
        <f t="array" ref="AZ431">IF($F431&lt;&gt;"", XLOOKUP($F431,Productos!$A$2:$A1001,Productos!AS$2:AS1001,"")*$G431,"")</f>
        <v/>
      </c>
      <c r="BA431" s="179" t="str">
        <f t="array" ref="BA431">IF($F431&lt;&gt;"",XLOOKUP($F431,Productos!$A:$A,Productos!AT:AT,"Revisar"),"")</f>
        <v/>
      </c>
      <c r="BB431" s="179" t="str">
        <f t="array" ref="BB431">IF($F431&lt;&gt;"", XLOOKUP($F431,Productos!$A$2:$A1001,Productos!AU$2:AU1001,"")*$G431,"")</f>
        <v/>
      </c>
      <c r="BC431" s="179" t="str">
        <f t="array" ref="BC431">IF($F431&lt;&gt;"",XLOOKUP($F431,Productos!$A:$A,Productos!AV:AV,"Revisar"),"")</f>
        <v/>
      </c>
      <c r="BD431" s="179" t="str">
        <f t="array" ref="BD431">IF($F431&lt;&gt;"", XLOOKUP($F431,Productos!$A$2:$A1001,Productos!AW$2:AW1001,"")*$G431,"")</f>
        <v/>
      </c>
      <c r="BE431" s="179" t="str">
        <f t="array" ref="BE431">IF($F431&lt;&gt;"",XLOOKUP($F431,Productos!$A:$A,Productos!AX:AX,"Revisar"),"")</f>
        <v/>
      </c>
      <c r="BF431" s="179" t="str">
        <f t="array" ref="BF431">IF($F431&lt;&gt;"", XLOOKUP($F431,Productos!$A$2:$A1001,Productos!AY$2:AY1001,"")*$G431,"")</f>
        <v/>
      </c>
      <c r="BG431" s="179" t="str">
        <f t="array" ref="BG431">IF($F431&lt;&gt;"",XLOOKUP($F431,Productos!$A:$A,Productos!AZ:AZ,"Revisar"),"")</f>
        <v/>
      </c>
      <c r="BH431" s="179" t="str">
        <f t="array" ref="BH431">IF($F431&lt;&gt;"", XLOOKUP($F431,Productos!$A$2:$A1001,Productos!BA$2:BA1001,"")*$G431,"")</f>
        <v/>
      </c>
      <c r="BI431" s="179" t="str">
        <f t="array" ref="BI431">IF($F431&lt;&gt;"",XLOOKUP($F431,Productos!$A:$A,Productos!BB:BB,"Revisar"),"")</f>
        <v/>
      </c>
      <c r="BJ431" s="179" t="str">
        <f t="array" ref="BJ431">IF($F431&lt;&gt;"", XLOOKUP($F431,Productos!$A$2:$A1001,Productos!BC$2:BC1001,"")*$G431,"")</f>
        <v/>
      </c>
      <c r="BK431" s="179" t="str">
        <f t="array" ref="BK431">IF($F431&lt;&gt;"",XLOOKUP($F431,Productos!$A:$A,Productos!BD:BD,"Revisar"),"")</f>
        <v/>
      </c>
      <c r="BL431" s="179" t="str">
        <f t="array" ref="BL431">IF($F431&lt;&gt;"", XLOOKUP($F431,Productos!$A$2:$A1001,Productos!BE$2:BE1001,"")*$G431,"")</f>
        <v/>
      </c>
      <c r="BM431" s="179" t="str">
        <f t="array" ref="BM431">IF($F431&lt;&gt;"",XLOOKUP($F431,Productos!$A:$A,Productos!BF:BF,"Revisar"),"")</f>
        <v/>
      </c>
      <c r="BN431" s="179" t="str">
        <f t="array" ref="BN431">IF($F431&lt;&gt;"", XLOOKUP($F431,Productos!$A$2:$A1001,Productos!BG$2:BG1001,"")*$G431,"")</f>
        <v/>
      </c>
      <c r="BO431" s="179" t="str">
        <f t="array" ref="BO431">IF($F431&lt;&gt;"",XLOOKUP($F431,Productos!$A:$A,Productos!BH:BH,"Revisar"),"")</f>
        <v/>
      </c>
      <c r="BP431" s="179" t="str">
        <f t="array" ref="BP431">IF($F431&lt;&gt;"", XLOOKUP($F431,Productos!$A$2:$A1001,Productos!BI$2:BI1001,"")*$G431,"")</f>
        <v/>
      </c>
      <c r="BQ431" s="179" t="str">
        <f t="array" ref="BQ431">IF($F431&lt;&gt;"",XLOOKUP($F431,Productos!$A:$A,Productos!BJ:BJ,"Revisar"),"")</f>
        <v/>
      </c>
      <c r="BR431" s="179" t="str">
        <f t="array" ref="BR431">IF($F431&lt;&gt;"", XLOOKUP($F431,Productos!$A$2:$A1001,Productos!BK$2:BK1001,"")*$G431,"")</f>
        <v/>
      </c>
      <c r="BS431" s="179" t="str">
        <f t="array" ref="BS431">IF($F431&lt;&gt;"",XLOOKUP($F431,Productos!$A:$A,Productos!BL:BL,"Revisar"),"")</f>
        <v/>
      </c>
      <c r="BT431" s="179" t="str">
        <f t="array" ref="BT431">IF($F431&lt;&gt;"", XLOOKUP($F431,Productos!$A$2:$A1001,Productos!BM$2:BM1001,"")*$G431,"")</f>
        <v/>
      </c>
      <c r="BU431" s="179" t="str">
        <f t="array" ref="BU431">IF($F431&lt;&gt;"",XLOOKUP($F431,Productos!$A:$A,Productos!BN:BN,"Revisar"),"")</f>
        <v/>
      </c>
      <c r="BV431" s="179" t="str">
        <f t="array" ref="BV431">IF($F431&lt;&gt;"", XLOOKUP($F431,Productos!$A$2:$A1001,Productos!BO$2:BO1001,"")*$G431,"")</f>
        <v/>
      </c>
      <c r="BW431" s="179" t="str">
        <f t="array" ref="BW431">IF($F431&lt;&gt;"",XLOOKUP($F431,Productos!$A:$A,Productos!BP:BP,"Revisar"),"")</f>
        <v/>
      </c>
      <c r="BX431" s="179" t="str">
        <f t="array" ref="BX431">IF($F431&lt;&gt;"", XLOOKUP($F431,Productos!$A$2:$A1001,Productos!BQ$2:BQ1001,"")*$G431,"")</f>
        <v/>
      </c>
      <c r="BY431" s="179" t="str">
        <f t="array" ref="BY431">IF($F431&lt;&gt;"",XLOOKUP($F431,Productos!$A:$A,Productos!BR:BR,"Revisar"),"")</f>
        <v/>
      </c>
      <c r="BZ431" s="179" t="str">
        <f t="array" ref="BZ431">IF($F431&lt;&gt;"", XLOOKUP($F431,Productos!$A$2:$A1001,Productos!BS$2:BS1001,"")*$G431,"")</f>
        <v/>
      </c>
    </row>
    <row r="432">
      <c r="A432" s="188"/>
      <c r="B432" s="189"/>
      <c r="C432" s="190"/>
      <c r="D432" s="190"/>
      <c r="E432" s="191"/>
      <c r="F432" s="186"/>
      <c r="G432" s="192"/>
      <c r="H432" s="9"/>
      <c r="I432" s="179" t="str">
        <f t="array" ref="I432">IF($F432&lt;&gt;"",XLOOKUP($F432,Productos!$A:$A,Productos!B:B,"Revisar"),"")</f>
        <v/>
      </c>
      <c r="J432" s="179" t="str">
        <f t="array" ref="J432">IF($F432&lt;&gt;"", XLOOKUP($F432,Productos!$A$2:$A1001,Productos!C$2:C1001,"")*$G432,"")</f>
        <v/>
      </c>
      <c r="K432" s="179" t="str">
        <f t="array" ref="K432">IF($F432&lt;&gt;"",XLOOKUP($F432,Productos!$A:$A,Productos!D:D,"Revisar"),"")</f>
        <v/>
      </c>
      <c r="L432" s="179" t="str">
        <f t="array" ref="L432">IF($F432&lt;&gt;"", XLOOKUP($F432,Productos!$A$2:$A1001,Productos!E$2:E1001,"")*$G432,"")</f>
        <v/>
      </c>
      <c r="M432" s="179" t="str">
        <f t="array" ref="M432">IF($F432&lt;&gt;"",XLOOKUP($F432,Productos!$A:$A,Productos!F:F,"Revisar"),"")</f>
        <v/>
      </c>
      <c r="N432" s="179" t="str">
        <f t="array" ref="N432">IF($F432&lt;&gt;"", XLOOKUP($F432,Productos!$A$2:$A1001,Productos!G$2:G1001,"")*$G432,"")</f>
        <v/>
      </c>
      <c r="O432" s="179" t="str">
        <f t="array" ref="O432">IF($F432&lt;&gt;"",XLOOKUP($F432,Productos!$A:$A,Productos!H:H,"Revisar"),"")</f>
        <v/>
      </c>
      <c r="P432" s="179" t="str">
        <f t="array" ref="P432">IF($F432&lt;&gt;"", XLOOKUP($F432,Productos!$A$2:$A1001,Productos!I$2:I1001,"")*$G432,"")</f>
        <v/>
      </c>
      <c r="Q432" s="179" t="str">
        <f t="array" ref="Q432">IF($F432&lt;&gt;"",XLOOKUP($F432,Productos!$A:$A,Productos!J:J,"Revisar"),"")</f>
        <v/>
      </c>
      <c r="R432" s="179" t="str">
        <f t="array" ref="R432">IF($F432&lt;&gt;"", XLOOKUP($F432,Productos!$A$2:$A1001,Productos!K$2:K1001,"")*$G432,"")</f>
        <v/>
      </c>
      <c r="S432" s="179" t="str">
        <f t="array" ref="S432">IF($F432&lt;&gt;"",XLOOKUP($F432,Productos!$A:$A,Productos!L:L,"Revisar"),"")</f>
        <v/>
      </c>
      <c r="T432" s="179" t="str">
        <f t="array" ref="T432">IF($F432&lt;&gt;"", XLOOKUP($F432,Productos!$A$2:$A1001,Productos!M$2:M1001,"")*$G432,"")</f>
        <v/>
      </c>
      <c r="U432" s="179" t="str">
        <f t="array" ref="U432">IF($F432&lt;&gt;"",XLOOKUP($F432,Productos!$A:$A,Productos!N:N,"Revisar"),"")</f>
        <v/>
      </c>
      <c r="V432" s="179" t="str">
        <f t="array" ref="V432">IF($F432&lt;&gt;"", XLOOKUP($F432,Productos!$A$2:$A1001,Productos!O$2:O1001,"")*$G432,"")</f>
        <v/>
      </c>
      <c r="W432" s="179" t="str">
        <f t="array" ref="W432">IF($F432&lt;&gt;"",XLOOKUP($F432,Productos!$A:$A,Productos!P:P,"Revisar"),"")</f>
        <v/>
      </c>
      <c r="X432" s="179" t="str">
        <f t="array" ref="X432">IF($F432&lt;&gt;"", XLOOKUP($F432,Productos!$A$2:$A1001,Productos!Q$2:Q1001,"")*$G432,"")</f>
        <v/>
      </c>
      <c r="Y432" s="179" t="str">
        <f t="array" ref="Y432">IF($F432&lt;&gt;"",XLOOKUP($F432,Productos!$A:$A,Productos!R:R,"Revisar"),"")</f>
        <v/>
      </c>
      <c r="Z432" s="179" t="str">
        <f t="array" ref="Z432">IF($F432&lt;&gt;"", XLOOKUP($F432,Productos!$A$2:$A1001,Productos!S$2:S1001,"")*$G432,"")</f>
        <v/>
      </c>
      <c r="AA432" s="179" t="str">
        <f t="array" ref="AA432">IF($F432&lt;&gt;"",XLOOKUP($F432,Productos!$A:$A,Productos!T:T,"Revisar"),"")</f>
        <v/>
      </c>
      <c r="AB432" s="179" t="str">
        <f t="array" ref="AB432">IF($F432&lt;&gt;"", XLOOKUP($F432,Productos!$A$2:$A1001,Productos!U$2:U1001,"")*$G432,"")</f>
        <v/>
      </c>
      <c r="AC432" s="179" t="str">
        <f t="array" ref="AC432">IF($F432&lt;&gt;"",XLOOKUP($F432,Productos!$A:$A,Productos!V:V,"Revisar"),"")</f>
        <v/>
      </c>
      <c r="AD432" s="179" t="str">
        <f t="array" ref="AD432">IF($F432&lt;&gt;"", XLOOKUP($F432,Productos!$A$2:$A1001,Productos!W$2:W1001,"")*$G432,"")</f>
        <v/>
      </c>
      <c r="AE432" s="179" t="str">
        <f t="array" ref="AE432">IF($F432&lt;&gt;"",XLOOKUP($F432,Productos!$A:$A,Productos!X:X,"Revisar"),"")</f>
        <v/>
      </c>
      <c r="AF432" s="179" t="str">
        <f t="array" ref="AF432">IF($F432&lt;&gt;"", XLOOKUP($F432,Productos!$A$2:$A1001,Productos!Y$2:Y1001,"")*$G432,"")</f>
        <v/>
      </c>
      <c r="AG432" s="179" t="str">
        <f t="array" ref="AG432">IF($F432&lt;&gt;"",XLOOKUP($F432,Productos!$A:$A,Productos!Z:Z,"Revisar"),"")</f>
        <v/>
      </c>
      <c r="AH432" s="179" t="str">
        <f t="array" ref="AH432">IF($F432&lt;&gt;"", XLOOKUP($F432,Productos!$A$2:$A1001,Productos!AA$2:AA1001,"")*$G432,"")</f>
        <v/>
      </c>
      <c r="AI432" s="179" t="str">
        <f t="array" ref="AI432">IF($F432&lt;&gt;"",XLOOKUP($F432,Productos!$A:$A,Productos!AB:AB,"Revisar"),"")</f>
        <v/>
      </c>
      <c r="AJ432" s="179" t="str">
        <f t="array" ref="AJ432">IF($F432&lt;&gt;"", XLOOKUP($F432,Productos!$A$2:$A1001,Productos!AC$2:AC1001,"")*$G432,"")</f>
        <v/>
      </c>
      <c r="AK432" s="179" t="str">
        <f t="array" ref="AK432">IF($F432&lt;&gt;"",XLOOKUP($F432,Productos!$A:$A,Productos!AD:AD,"Revisar"),"")</f>
        <v/>
      </c>
      <c r="AL432" s="179" t="str">
        <f t="array" ref="AL432">IF($F432&lt;&gt;"", XLOOKUP($F432,Productos!$A$2:$A1001,Productos!AE$2:AE1001,"")*$G432,"")</f>
        <v/>
      </c>
      <c r="AM432" s="179" t="str">
        <f t="array" ref="AM432">IF($F432&lt;&gt;"",XLOOKUP($F432,Productos!$A:$A,Productos!AF:AF,"Revisar"),"")</f>
        <v/>
      </c>
      <c r="AN432" s="179" t="str">
        <f t="array" ref="AN432">IF($F432&lt;&gt;"", XLOOKUP($F432,Productos!$A$2:$A1001,Productos!AG$2:AG1001,"")*$G432,"")</f>
        <v/>
      </c>
      <c r="AO432" s="179" t="str">
        <f t="array" ref="AO432">IF($F432&lt;&gt;"",XLOOKUP($F432,Productos!$A:$A,Productos!AH:AH,"Revisar"),"")</f>
        <v/>
      </c>
      <c r="AP432" s="179" t="str">
        <f t="array" ref="AP432">IF($F432&lt;&gt;"", XLOOKUP($F432,Productos!$A$2:$A1001,Productos!AI$2:AI1001,"")*$G432,"")</f>
        <v/>
      </c>
      <c r="AQ432" s="179" t="str">
        <f t="array" ref="AQ432">IF($F432&lt;&gt;"",XLOOKUP($F432,Productos!$A:$A,Productos!AJ:AJ,"Revisar"),"")</f>
        <v/>
      </c>
      <c r="AR432" s="179" t="str">
        <f t="array" ref="AR432">IF($F432&lt;&gt;"", XLOOKUP($F432,Productos!$A$2:$A1001,Productos!AK$2:AK1001,"")*$G432,"")</f>
        <v/>
      </c>
      <c r="AS432" s="179" t="str">
        <f t="array" ref="AS432">IF($F432&lt;&gt;"",XLOOKUP($F432,Productos!$A:$A,Productos!AL:AL,"Revisar"),"")</f>
        <v/>
      </c>
      <c r="AT432" s="179" t="str">
        <f t="array" ref="AT432">IF($F432&lt;&gt;"", XLOOKUP($F432,Productos!$A$2:$A1001,Productos!AM$2:AM1001,"")*$G432,"")</f>
        <v/>
      </c>
      <c r="AU432" s="179" t="str">
        <f t="array" ref="AU432">IF($F432&lt;&gt;"",XLOOKUP($F432,Productos!$A:$A,Productos!AN:AN,"Revisar"),"")</f>
        <v/>
      </c>
      <c r="AV432" s="179" t="str">
        <f t="array" ref="AV432">IF($F432&lt;&gt;"", XLOOKUP($F432,Productos!$A$2:$A1001,Productos!AO$2:AO1001,"")*$G432,"")</f>
        <v/>
      </c>
      <c r="AW432" s="179" t="str">
        <f t="array" ref="AW432">IF($F432&lt;&gt;"",XLOOKUP($F432,Productos!$A:$A,Productos!AP:AP,"Revisar"),"")</f>
        <v/>
      </c>
      <c r="AX432" s="179" t="str">
        <f t="array" ref="AX432">IF($F432&lt;&gt;"", XLOOKUP($F432,Productos!$A$2:$A1001,Productos!AQ$2:AQ1001,"")*$G432,"")</f>
        <v/>
      </c>
      <c r="AY432" s="179" t="str">
        <f t="array" ref="AY432">IF($F432&lt;&gt;"",XLOOKUP($F432,Productos!$A:$A,Productos!AR:AR,"Revisar"),"")</f>
        <v/>
      </c>
      <c r="AZ432" s="179" t="str">
        <f t="array" ref="AZ432">IF($F432&lt;&gt;"", XLOOKUP($F432,Productos!$A$2:$A1001,Productos!AS$2:AS1001,"")*$G432,"")</f>
        <v/>
      </c>
      <c r="BA432" s="179" t="str">
        <f t="array" ref="BA432">IF($F432&lt;&gt;"",XLOOKUP($F432,Productos!$A:$A,Productos!AT:AT,"Revisar"),"")</f>
        <v/>
      </c>
      <c r="BB432" s="179" t="str">
        <f t="array" ref="BB432">IF($F432&lt;&gt;"", XLOOKUP($F432,Productos!$A$2:$A1001,Productos!AU$2:AU1001,"")*$G432,"")</f>
        <v/>
      </c>
      <c r="BC432" s="179" t="str">
        <f t="array" ref="BC432">IF($F432&lt;&gt;"",XLOOKUP($F432,Productos!$A:$A,Productos!AV:AV,"Revisar"),"")</f>
        <v/>
      </c>
      <c r="BD432" s="179" t="str">
        <f t="array" ref="BD432">IF($F432&lt;&gt;"", XLOOKUP($F432,Productos!$A$2:$A1001,Productos!AW$2:AW1001,"")*$G432,"")</f>
        <v/>
      </c>
      <c r="BE432" s="179" t="str">
        <f t="array" ref="BE432">IF($F432&lt;&gt;"",XLOOKUP($F432,Productos!$A:$A,Productos!AX:AX,"Revisar"),"")</f>
        <v/>
      </c>
      <c r="BF432" s="179" t="str">
        <f t="array" ref="BF432">IF($F432&lt;&gt;"", XLOOKUP($F432,Productos!$A$2:$A1001,Productos!AY$2:AY1001,"")*$G432,"")</f>
        <v/>
      </c>
      <c r="BG432" s="179" t="str">
        <f t="array" ref="BG432">IF($F432&lt;&gt;"",XLOOKUP($F432,Productos!$A:$A,Productos!AZ:AZ,"Revisar"),"")</f>
        <v/>
      </c>
      <c r="BH432" s="179" t="str">
        <f t="array" ref="BH432">IF($F432&lt;&gt;"", XLOOKUP($F432,Productos!$A$2:$A1001,Productos!BA$2:BA1001,"")*$G432,"")</f>
        <v/>
      </c>
      <c r="BI432" s="179" t="str">
        <f t="array" ref="BI432">IF($F432&lt;&gt;"",XLOOKUP($F432,Productos!$A:$A,Productos!BB:BB,"Revisar"),"")</f>
        <v/>
      </c>
      <c r="BJ432" s="179" t="str">
        <f t="array" ref="BJ432">IF($F432&lt;&gt;"", XLOOKUP($F432,Productos!$A$2:$A1001,Productos!BC$2:BC1001,"")*$G432,"")</f>
        <v/>
      </c>
      <c r="BK432" s="179" t="str">
        <f t="array" ref="BK432">IF($F432&lt;&gt;"",XLOOKUP($F432,Productos!$A:$A,Productos!BD:BD,"Revisar"),"")</f>
        <v/>
      </c>
      <c r="BL432" s="179" t="str">
        <f t="array" ref="BL432">IF($F432&lt;&gt;"", XLOOKUP($F432,Productos!$A$2:$A1001,Productos!BE$2:BE1001,"")*$G432,"")</f>
        <v/>
      </c>
      <c r="BM432" s="179" t="str">
        <f t="array" ref="BM432">IF($F432&lt;&gt;"",XLOOKUP($F432,Productos!$A:$A,Productos!BF:BF,"Revisar"),"")</f>
        <v/>
      </c>
      <c r="BN432" s="179" t="str">
        <f t="array" ref="BN432">IF($F432&lt;&gt;"", XLOOKUP($F432,Productos!$A$2:$A1001,Productos!BG$2:BG1001,"")*$G432,"")</f>
        <v/>
      </c>
      <c r="BO432" s="179" t="str">
        <f t="array" ref="BO432">IF($F432&lt;&gt;"",XLOOKUP($F432,Productos!$A:$A,Productos!BH:BH,"Revisar"),"")</f>
        <v/>
      </c>
      <c r="BP432" s="179" t="str">
        <f t="array" ref="BP432">IF($F432&lt;&gt;"", XLOOKUP($F432,Productos!$A$2:$A1001,Productos!BI$2:BI1001,"")*$G432,"")</f>
        <v/>
      </c>
      <c r="BQ432" s="179" t="str">
        <f t="array" ref="BQ432">IF($F432&lt;&gt;"",XLOOKUP($F432,Productos!$A:$A,Productos!BJ:BJ,"Revisar"),"")</f>
        <v/>
      </c>
      <c r="BR432" s="179" t="str">
        <f t="array" ref="BR432">IF($F432&lt;&gt;"", XLOOKUP($F432,Productos!$A$2:$A1001,Productos!BK$2:BK1001,"")*$G432,"")</f>
        <v/>
      </c>
      <c r="BS432" s="179" t="str">
        <f t="array" ref="BS432">IF($F432&lt;&gt;"",XLOOKUP($F432,Productos!$A:$A,Productos!BL:BL,"Revisar"),"")</f>
        <v/>
      </c>
      <c r="BT432" s="179" t="str">
        <f t="array" ref="BT432">IF($F432&lt;&gt;"", XLOOKUP($F432,Productos!$A$2:$A1001,Productos!BM$2:BM1001,"")*$G432,"")</f>
        <v/>
      </c>
      <c r="BU432" s="179" t="str">
        <f t="array" ref="BU432">IF($F432&lt;&gt;"",XLOOKUP($F432,Productos!$A:$A,Productos!BN:BN,"Revisar"),"")</f>
        <v/>
      </c>
      <c r="BV432" s="179" t="str">
        <f t="array" ref="BV432">IF($F432&lt;&gt;"", XLOOKUP($F432,Productos!$A$2:$A1001,Productos!BO$2:BO1001,"")*$G432,"")</f>
        <v/>
      </c>
      <c r="BW432" s="179" t="str">
        <f t="array" ref="BW432">IF($F432&lt;&gt;"",XLOOKUP($F432,Productos!$A:$A,Productos!BP:BP,"Revisar"),"")</f>
        <v/>
      </c>
      <c r="BX432" s="179" t="str">
        <f t="array" ref="BX432">IF($F432&lt;&gt;"", XLOOKUP($F432,Productos!$A$2:$A1001,Productos!BQ$2:BQ1001,"")*$G432,"")</f>
        <v/>
      </c>
      <c r="BY432" s="179" t="str">
        <f t="array" ref="BY432">IF($F432&lt;&gt;"",XLOOKUP($F432,Productos!$A:$A,Productos!BR:BR,"Revisar"),"")</f>
        <v/>
      </c>
      <c r="BZ432" s="179" t="str">
        <f t="array" ref="BZ432">IF($F432&lt;&gt;"", XLOOKUP($F432,Productos!$A$2:$A1001,Productos!BS$2:BS1001,"")*$G432,"")</f>
        <v/>
      </c>
    </row>
    <row r="433">
      <c r="A433" s="188"/>
      <c r="B433" s="189"/>
      <c r="C433" s="190"/>
      <c r="D433" s="190"/>
      <c r="E433" s="191"/>
      <c r="F433" s="186"/>
      <c r="G433" s="192"/>
      <c r="H433" s="9"/>
      <c r="I433" s="179" t="str">
        <f t="array" ref="I433">IF($F433&lt;&gt;"",XLOOKUP($F433,Productos!$A:$A,Productos!B:B,"Revisar"),"")</f>
        <v/>
      </c>
      <c r="J433" s="179" t="str">
        <f t="array" ref="J433">IF($F433&lt;&gt;"", XLOOKUP($F433,Productos!$A$2:$A1001,Productos!C$2:C1001,"")*$G433,"")</f>
        <v/>
      </c>
      <c r="K433" s="179" t="str">
        <f t="array" ref="K433">IF($F433&lt;&gt;"",XLOOKUP($F433,Productos!$A:$A,Productos!D:D,"Revisar"),"")</f>
        <v/>
      </c>
      <c r="L433" s="179" t="str">
        <f t="array" ref="L433">IF($F433&lt;&gt;"", XLOOKUP($F433,Productos!$A$2:$A1001,Productos!E$2:E1001,"")*$G433,"")</f>
        <v/>
      </c>
      <c r="M433" s="179" t="str">
        <f t="array" ref="M433">IF($F433&lt;&gt;"",XLOOKUP($F433,Productos!$A:$A,Productos!F:F,"Revisar"),"")</f>
        <v/>
      </c>
      <c r="N433" s="179" t="str">
        <f t="array" ref="N433">IF($F433&lt;&gt;"", XLOOKUP($F433,Productos!$A$2:$A1001,Productos!G$2:G1001,"")*$G433,"")</f>
        <v/>
      </c>
      <c r="O433" s="179" t="str">
        <f t="array" ref="O433">IF($F433&lt;&gt;"",XLOOKUP($F433,Productos!$A:$A,Productos!H:H,"Revisar"),"")</f>
        <v/>
      </c>
      <c r="P433" s="179" t="str">
        <f t="array" ref="P433">IF($F433&lt;&gt;"", XLOOKUP($F433,Productos!$A$2:$A1001,Productos!I$2:I1001,"")*$G433,"")</f>
        <v/>
      </c>
      <c r="Q433" s="179" t="str">
        <f t="array" ref="Q433">IF($F433&lt;&gt;"",XLOOKUP($F433,Productos!$A:$A,Productos!J:J,"Revisar"),"")</f>
        <v/>
      </c>
      <c r="R433" s="179" t="str">
        <f t="array" ref="R433">IF($F433&lt;&gt;"", XLOOKUP($F433,Productos!$A$2:$A1001,Productos!K$2:K1001,"")*$G433,"")</f>
        <v/>
      </c>
      <c r="S433" s="179" t="str">
        <f t="array" ref="S433">IF($F433&lt;&gt;"",XLOOKUP($F433,Productos!$A:$A,Productos!L:L,"Revisar"),"")</f>
        <v/>
      </c>
      <c r="T433" s="179" t="str">
        <f t="array" ref="T433">IF($F433&lt;&gt;"", XLOOKUP($F433,Productos!$A$2:$A1001,Productos!M$2:M1001,"")*$G433,"")</f>
        <v/>
      </c>
      <c r="U433" s="179" t="str">
        <f t="array" ref="U433">IF($F433&lt;&gt;"",XLOOKUP($F433,Productos!$A:$A,Productos!N:N,"Revisar"),"")</f>
        <v/>
      </c>
      <c r="V433" s="179" t="str">
        <f t="array" ref="V433">IF($F433&lt;&gt;"", XLOOKUP($F433,Productos!$A$2:$A1001,Productos!O$2:O1001,"")*$G433,"")</f>
        <v/>
      </c>
      <c r="W433" s="179" t="str">
        <f t="array" ref="W433">IF($F433&lt;&gt;"",XLOOKUP($F433,Productos!$A:$A,Productos!P:P,"Revisar"),"")</f>
        <v/>
      </c>
      <c r="X433" s="179" t="str">
        <f t="array" ref="X433">IF($F433&lt;&gt;"", XLOOKUP($F433,Productos!$A$2:$A1001,Productos!Q$2:Q1001,"")*$G433,"")</f>
        <v/>
      </c>
      <c r="Y433" s="179" t="str">
        <f t="array" ref="Y433">IF($F433&lt;&gt;"",XLOOKUP($F433,Productos!$A:$A,Productos!R:R,"Revisar"),"")</f>
        <v/>
      </c>
      <c r="Z433" s="179" t="str">
        <f t="array" ref="Z433">IF($F433&lt;&gt;"", XLOOKUP($F433,Productos!$A$2:$A1001,Productos!S$2:S1001,"")*$G433,"")</f>
        <v/>
      </c>
      <c r="AA433" s="179" t="str">
        <f t="array" ref="AA433">IF($F433&lt;&gt;"",XLOOKUP($F433,Productos!$A:$A,Productos!T:T,"Revisar"),"")</f>
        <v/>
      </c>
      <c r="AB433" s="179" t="str">
        <f t="array" ref="AB433">IF($F433&lt;&gt;"", XLOOKUP($F433,Productos!$A$2:$A1001,Productos!U$2:U1001,"")*$G433,"")</f>
        <v/>
      </c>
      <c r="AC433" s="179" t="str">
        <f t="array" ref="AC433">IF($F433&lt;&gt;"",XLOOKUP($F433,Productos!$A:$A,Productos!V:V,"Revisar"),"")</f>
        <v/>
      </c>
      <c r="AD433" s="179" t="str">
        <f t="array" ref="AD433">IF($F433&lt;&gt;"", XLOOKUP($F433,Productos!$A$2:$A1001,Productos!W$2:W1001,"")*$G433,"")</f>
        <v/>
      </c>
      <c r="AE433" s="179" t="str">
        <f t="array" ref="AE433">IF($F433&lt;&gt;"",XLOOKUP($F433,Productos!$A:$A,Productos!X:X,"Revisar"),"")</f>
        <v/>
      </c>
      <c r="AF433" s="179" t="str">
        <f t="array" ref="AF433">IF($F433&lt;&gt;"", XLOOKUP($F433,Productos!$A$2:$A1001,Productos!Y$2:Y1001,"")*$G433,"")</f>
        <v/>
      </c>
      <c r="AG433" s="179" t="str">
        <f t="array" ref="AG433">IF($F433&lt;&gt;"",XLOOKUP($F433,Productos!$A:$A,Productos!Z:Z,"Revisar"),"")</f>
        <v/>
      </c>
      <c r="AH433" s="179" t="str">
        <f t="array" ref="AH433">IF($F433&lt;&gt;"", XLOOKUP($F433,Productos!$A$2:$A1001,Productos!AA$2:AA1001,"")*$G433,"")</f>
        <v/>
      </c>
      <c r="AI433" s="179" t="str">
        <f t="array" ref="AI433">IF($F433&lt;&gt;"",XLOOKUP($F433,Productos!$A:$A,Productos!AB:AB,"Revisar"),"")</f>
        <v/>
      </c>
      <c r="AJ433" s="179" t="str">
        <f t="array" ref="AJ433">IF($F433&lt;&gt;"", XLOOKUP($F433,Productos!$A$2:$A1001,Productos!AC$2:AC1001,"")*$G433,"")</f>
        <v/>
      </c>
      <c r="AK433" s="179" t="str">
        <f t="array" ref="AK433">IF($F433&lt;&gt;"",XLOOKUP($F433,Productos!$A:$A,Productos!AD:AD,"Revisar"),"")</f>
        <v/>
      </c>
      <c r="AL433" s="179" t="str">
        <f t="array" ref="AL433">IF($F433&lt;&gt;"", XLOOKUP($F433,Productos!$A$2:$A1001,Productos!AE$2:AE1001,"")*$G433,"")</f>
        <v/>
      </c>
      <c r="AM433" s="179" t="str">
        <f t="array" ref="AM433">IF($F433&lt;&gt;"",XLOOKUP($F433,Productos!$A:$A,Productos!AF:AF,"Revisar"),"")</f>
        <v/>
      </c>
      <c r="AN433" s="179" t="str">
        <f t="array" ref="AN433">IF($F433&lt;&gt;"", XLOOKUP($F433,Productos!$A$2:$A1001,Productos!AG$2:AG1001,"")*$G433,"")</f>
        <v/>
      </c>
      <c r="AO433" s="179" t="str">
        <f t="array" ref="AO433">IF($F433&lt;&gt;"",XLOOKUP($F433,Productos!$A:$A,Productos!AH:AH,"Revisar"),"")</f>
        <v/>
      </c>
      <c r="AP433" s="179" t="str">
        <f t="array" ref="AP433">IF($F433&lt;&gt;"", XLOOKUP($F433,Productos!$A$2:$A1001,Productos!AI$2:AI1001,"")*$G433,"")</f>
        <v/>
      </c>
      <c r="AQ433" s="179" t="str">
        <f t="array" ref="AQ433">IF($F433&lt;&gt;"",XLOOKUP($F433,Productos!$A:$A,Productos!AJ:AJ,"Revisar"),"")</f>
        <v/>
      </c>
      <c r="AR433" s="179" t="str">
        <f t="array" ref="AR433">IF($F433&lt;&gt;"", XLOOKUP($F433,Productos!$A$2:$A1001,Productos!AK$2:AK1001,"")*$G433,"")</f>
        <v/>
      </c>
      <c r="AS433" s="179" t="str">
        <f t="array" ref="AS433">IF($F433&lt;&gt;"",XLOOKUP($F433,Productos!$A:$A,Productos!AL:AL,"Revisar"),"")</f>
        <v/>
      </c>
      <c r="AT433" s="179" t="str">
        <f t="array" ref="AT433">IF($F433&lt;&gt;"", XLOOKUP($F433,Productos!$A$2:$A1001,Productos!AM$2:AM1001,"")*$G433,"")</f>
        <v/>
      </c>
      <c r="AU433" s="179" t="str">
        <f t="array" ref="AU433">IF($F433&lt;&gt;"",XLOOKUP($F433,Productos!$A:$A,Productos!AN:AN,"Revisar"),"")</f>
        <v/>
      </c>
      <c r="AV433" s="179" t="str">
        <f t="array" ref="AV433">IF($F433&lt;&gt;"", XLOOKUP($F433,Productos!$A$2:$A1001,Productos!AO$2:AO1001,"")*$G433,"")</f>
        <v/>
      </c>
      <c r="AW433" s="179" t="str">
        <f t="array" ref="AW433">IF($F433&lt;&gt;"",XLOOKUP($F433,Productos!$A:$A,Productos!AP:AP,"Revisar"),"")</f>
        <v/>
      </c>
      <c r="AX433" s="179" t="str">
        <f t="array" ref="AX433">IF($F433&lt;&gt;"", XLOOKUP($F433,Productos!$A$2:$A1001,Productos!AQ$2:AQ1001,"")*$G433,"")</f>
        <v/>
      </c>
      <c r="AY433" s="179" t="str">
        <f t="array" ref="AY433">IF($F433&lt;&gt;"",XLOOKUP($F433,Productos!$A:$A,Productos!AR:AR,"Revisar"),"")</f>
        <v/>
      </c>
      <c r="AZ433" s="179" t="str">
        <f t="array" ref="AZ433">IF($F433&lt;&gt;"", XLOOKUP($F433,Productos!$A$2:$A1001,Productos!AS$2:AS1001,"")*$G433,"")</f>
        <v/>
      </c>
      <c r="BA433" s="179" t="str">
        <f t="array" ref="BA433">IF($F433&lt;&gt;"",XLOOKUP($F433,Productos!$A:$A,Productos!AT:AT,"Revisar"),"")</f>
        <v/>
      </c>
      <c r="BB433" s="179" t="str">
        <f t="array" ref="BB433">IF($F433&lt;&gt;"", XLOOKUP($F433,Productos!$A$2:$A1001,Productos!AU$2:AU1001,"")*$G433,"")</f>
        <v/>
      </c>
      <c r="BC433" s="179" t="str">
        <f t="array" ref="BC433">IF($F433&lt;&gt;"",XLOOKUP($F433,Productos!$A:$A,Productos!AV:AV,"Revisar"),"")</f>
        <v/>
      </c>
      <c r="BD433" s="179" t="str">
        <f t="array" ref="BD433">IF($F433&lt;&gt;"", XLOOKUP($F433,Productos!$A$2:$A1001,Productos!AW$2:AW1001,"")*$G433,"")</f>
        <v/>
      </c>
      <c r="BE433" s="179" t="str">
        <f t="array" ref="BE433">IF($F433&lt;&gt;"",XLOOKUP($F433,Productos!$A:$A,Productos!AX:AX,"Revisar"),"")</f>
        <v/>
      </c>
      <c r="BF433" s="179" t="str">
        <f t="array" ref="BF433">IF($F433&lt;&gt;"", XLOOKUP($F433,Productos!$A$2:$A1001,Productos!AY$2:AY1001,"")*$G433,"")</f>
        <v/>
      </c>
      <c r="BG433" s="179" t="str">
        <f t="array" ref="BG433">IF($F433&lt;&gt;"",XLOOKUP($F433,Productos!$A:$A,Productos!AZ:AZ,"Revisar"),"")</f>
        <v/>
      </c>
      <c r="BH433" s="179" t="str">
        <f t="array" ref="BH433">IF($F433&lt;&gt;"", XLOOKUP($F433,Productos!$A$2:$A1001,Productos!BA$2:BA1001,"")*$G433,"")</f>
        <v/>
      </c>
      <c r="BI433" s="179" t="str">
        <f t="array" ref="BI433">IF($F433&lt;&gt;"",XLOOKUP($F433,Productos!$A:$A,Productos!BB:BB,"Revisar"),"")</f>
        <v/>
      </c>
      <c r="BJ433" s="179" t="str">
        <f t="array" ref="BJ433">IF($F433&lt;&gt;"", XLOOKUP($F433,Productos!$A$2:$A1001,Productos!BC$2:BC1001,"")*$G433,"")</f>
        <v/>
      </c>
      <c r="BK433" s="179" t="str">
        <f t="array" ref="BK433">IF($F433&lt;&gt;"",XLOOKUP($F433,Productos!$A:$A,Productos!BD:BD,"Revisar"),"")</f>
        <v/>
      </c>
      <c r="BL433" s="179" t="str">
        <f t="array" ref="BL433">IF($F433&lt;&gt;"", XLOOKUP($F433,Productos!$A$2:$A1001,Productos!BE$2:BE1001,"")*$G433,"")</f>
        <v/>
      </c>
      <c r="BM433" s="179" t="str">
        <f t="array" ref="BM433">IF($F433&lt;&gt;"",XLOOKUP($F433,Productos!$A:$A,Productos!BF:BF,"Revisar"),"")</f>
        <v/>
      </c>
      <c r="BN433" s="179" t="str">
        <f t="array" ref="BN433">IF($F433&lt;&gt;"", XLOOKUP($F433,Productos!$A$2:$A1001,Productos!BG$2:BG1001,"")*$G433,"")</f>
        <v/>
      </c>
      <c r="BO433" s="179" t="str">
        <f t="array" ref="BO433">IF($F433&lt;&gt;"",XLOOKUP($F433,Productos!$A:$A,Productos!BH:BH,"Revisar"),"")</f>
        <v/>
      </c>
      <c r="BP433" s="179" t="str">
        <f t="array" ref="BP433">IF($F433&lt;&gt;"", XLOOKUP($F433,Productos!$A$2:$A1001,Productos!BI$2:BI1001,"")*$G433,"")</f>
        <v/>
      </c>
      <c r="BQ433" s="179" t="str">
        <f t="array" ref="BQ433">IF($F433&lt;&gt;"",XLOOKUP($F433,Productos!$A:$A,Productos!BJ:BJ,"Revisar"),"")</f>
        <v/>
      </c>
      <c r="BR433" s="179" t="str">
        <f t="array" ref="BR433">IF($F433&lt;&gt;"", XLOOKUP($F433,Productos!$A$2:$A1001,Productos!BK$2:BK1001,"")*$G433,"")</f>
        <v/>
      </c>
      <c r="BS433" s="179" t="str">
        <f t="array" ref="BS433">IF($F433&lt;&gt;"",XLOOKUP($F433,Productos!$A:$A,Productos!BL:BL,"Revisar"),"")</f>
        <v/>
      </c>
      <c r="BT433" s="179" t="str">
        <f t="array" ref="BT433">IF($F433&lt;&gt;"", XLOOKUP($F433,Productos!$A$2:$A1001,Productos!BM$2:BM1001,"")*$G433,"")</f>
        <v/>
      </c>
      <c r="BU433" s="179" t="str">
        <f t="array" ref="BU433">IF($F433&lt;&gt;"",XLOOKUP($F433,Productos!$A:$A,Productos!BN:BN,"Revisar"),"")</f>
        <v/>
      </c>
      <c r="BV433" s="179" t="str">
        <f t="array" ref="BV433">IF($F433&lt;&gt;"", XLOOKUP($F433,Productos!$A$2:$A1001,Productos!BO$2:BO1001,"")*$G433,"")</f>
        <v/>
      </c>
      <c r="BW433" s="179" t="str">
        <f t="array" ref="BW433">IF($F433&lt;&gt;"",XLOOKUP($F433,Productos!$A:$A,Productos!BP:BP,"Revisar"),"")</f>
        <v/>
      </c>
      <c r="BX433" s="179" t="str">
        <f t="array" ref="BX433">IF($F433&lt;&gt;"", XLOOKUP($F433,Productos!$A$2:$A1001,Productos!BQ$2:BQ1001,"")*$G433,"")</f>
        <v/>
      </c>
      <c r="BY433" s="179" t="str">
        <f t="array" ref="BY433">IF($F433&lt;&gt;"",XLOOKUP($F433,Productos!$A:$A,Productos!BR:BR,"Revisar"),"")</f>
        <v/>
      </c>
      <c r="BZ433" s="179" t="str">
        <f t="array" ref="BZ433">IF($F433&lt;&gt;"", XLOOKUP($F433,Productos!$A$2:$A1001,Productos!BS$2:BS1001,"")*$G433,"")</f>
        <v/>
      </c>
    </row>
    <row r="434">
      <c r="A434" s="188"/>
      <c r="B434" s="189"/>
      <c r="C434" s="190"/>
      <c r="D434" s="190"/>
      <c r="E434" s="191"/>
      <c r="F434" s="186"/>
      <c r="G434" s="192"/>
      <c r="H434" s="9"/>
      <c r="I434" s="179" t="str">
        <f t="array" ref="I434">IF($F434&lt;&gt;"",XLOOKUP($F434,Productos!$A:$A,Productos!B:B,"Revisar"),"")</f>
        <v/>
      </c>
      <c r="J434" s="179" t="str">
        <f t="array" ref="J434">IF($F434&lt;&gt;"", XLOOKUP($F434,Productos!$A$2:$A1001,Productos!C$2:C1001,"")*$G434,"")</f>
        <v/>
      </c>
      <c r="K434" s="179" t="str">
        <f t="array" ref="K434">IF($F434&lt;&gt;"",XLOOKUP($F434,Productos!$A:$A,Productos!D:D,"Revisar"),"")</f>
        <v/>
      </c>
      <c r="L434" s="179" t="str">
        <f t="array" ref="L434">IF($F434&lt;&gt;"", XLOOKUP($F434,Productos!$A$2:$A1001,Productos!E$2:E1001,"")*$G434,"")</f>
        <v/>
      </c>
      <c r="M434" s="179" t="str">
        <f t="array" ref="M434">IF($F434&lt;&gt;"",XLOOKUP($F434,Productos!$A:$A,Productos!F:F,"Revisar"),"")</f>
        <v/>
      </c>
      <c r="N434" s="179" t="str">
        <f t="array" ref="N434">IF($F434&lt;&gt;"", XLOOKUP($F434,Productos!$A$2:$A1001,Productos!G$2:G1001,"")*$G434,"")</f>
        <v/>
      </c>
      <c r="O434" s="179" t="str">
        <f t="array" ref="O434">IF($F434&lt;&gt;"",XLOOKUP($F434,Productos!$A:$A,Productos!H:H,"Revisar"),"")</f>
        <v/>
      </c>
      <c r="P434" s="179" t="str">
        <f t="array" ref="P434">IF($F434&lt;&gt;"", XLOOKUP($F434,Productos!$A$2:$A1001,Productos!I$2:I1001,"")*$G434,"")</f>
        <v/>
      </c>
      <c r="Q434" s="179" t="str">
        <f t="array" ref="Q434">IF($F434&lt;&gt;"",XLOOKUP($F434,Productos!$A:$A,Productos!J:J,"Revisar"),"")</f>
        <v/>
      </c>
      <c r="R434" s="179" t="str">
        <f t="array" ref="R434">IF($F434&lt;&gt;"", XLOOKUP($F434,Productos!$A$2:$A1001,Productos!K$2:K1001,"")*$G434,"")</f>
        <v/>
      </c>
      <c r="S434" s="179" t="str">
        <f t="array" ref="S434">IF($F434&lt;&gt;"",XLOOKUP($F434,Productos!$A:$A,Productos!L:L,"Revisar"),"")</f>
        <v/>
      </c>
      <c r="T434" s="179" t="str">
        <f t="array" ref="T434">IF($F434&lt;&gt;"", XLOOKUP($F434,Productos!$A$2:$A1001,Productos!M$2:M1001,"")*$G434,"")</f>
        <v/>
      </c>
      <c r="U434" s="179" t="str">
        <f t="array" ref="U434">IF($F434&lt;&gt;"",XLOOKUP($F434,Productos!$A:$A,Productos!N:N,"Revisar"),"")</f>
        <v/>
      </c>
      <c r="V434" s="179" t="str">
        <f t="array" ref="V434">IF($F434&lt;&gt;"", XLOOKUP($F434,Productos!$A$2:$A1001,Productos!O$2:O1001,"")*$G434,"")</f>
        <v/>
      </c>
      <c r="W434" s="179" t="str">
        <f t="array" ref="W434">IF($F434&lt;&gt;"",XLOOKUP($F434,Productos!$A:$A,Productos!P:P,"Revisar"),"")</f>
        <v/>
      </c>
      <c r="X434" s="179" t="str">
        <f t="array" ref="X434">IF($F434&lt;&gt;"", XLOOKUP($F434,Productos!$A$2:$A1001,Productos!Q$2:Q1001,"")*$G434,"")</f>
        <v/>
      </c>
      <c r="Y434" s="179" t="str">
        <f t="array" ref="Y434">IF($F434&lt;&gt;"",XLOOKUP($F434,Productos!$A:$A,Productos!R:R,"Revisar"),"")</f>
        <v/>
      </c>
      <c r="Z434" s="179" t="str">
        <f t="array" ref="Z434">IF($F434&lt;&gt;"", XLOOKUP($F434,Productos!$A$2:$A1001,Productos!S$2:S1001,"")*$G434,"")</f>
        <v/>
      </c>
      <c r="AA434" s="179" t="str">
        <f t="array" ref="AA434">IF($F434&lt;&gt;"",XLOOKUP($F434,Productos!$A:$A,Productos!T:T,"Revisar"),"")</f>
        <v/>
      </c>
      <c r="AB434" s="179" t="str">
        <f t="array" ref="AB434">IF($F434&lt;&gt;"", XLOOKUP($F434,Productos!$A$2:$A1001,Productos!U$2:U1001,"")*$G434,"")</f>
        <v/>
      </c>
      <c r="AC434" s="179" t="str">
        <f t="array" ref="AC434">IF($F434&lt;&gt;"",XLOOKUP($F434,Productos!$A:$A,Productos!V:V,"Revisar"),"")</f>
        <v/>
      </c>
      <c r="AD434" s="179" t="str">
        <f t="array" ref="AD434">IF($F434&lt;&gt;"", XLOOKUP($F434,Productos!$A$2:$A1001,Productos!W$2:W1001,"")*$G434,"")</f>
        <v/>
      </c>
      <c r="AE434" s="179" t="str">
        <f t="array" ref="AE434">IF($F434&lt;&gt;"",XLOOKUP($F434,Productos!$A:$A,Productos!X:X,"Revisar"),"")</f>
        <v/>
      </c>
      <c r="AF434" s="179" t="str">
        <f t="array" ref="AF434">IF($F434&lt;&gt;"", XLOOKUP($F434,Productos!$A$2:$A1001,Productos!Y$2:Y1001,"")*$G434,"")</f>
        <v/>
      </c>
      <c r="AG434" s="179" t="str">
        <f t="array" ref="AG434">IF($F434&lt;&gt;"",XLOOKUP($F434,Productos!$A:$A,Productos!Z:Z,"Revisar"),"")</f>
        <v/>
      </c>
      <c r="AH434" s="179" t="str">
        <f t="array" ref="AH434">IF($F434&lt;&gt;"", XLOOKUP($F434,Productos!$A$2:$A1001,Productos!AA$2:AA1001,"")*$G434,"")</f>
        <v/>
      </c>
      <c r="AI434" s="179" t="str">
        <f t="array" ref="AI434">IF($F434&lt;&gt;"",XLOOKUP($F434,Productos!$A:$A,Productos!AB:AB,"Revisar"),"")</f>
        <v/>
      </c>
      <c r="AJ434" s="179" t="str">
        <f t="array" ref="AJ434">IF($F434&lt;&gt;"", XLOOKUP($F434,Productos!$A$2:$A1001,Productos!AC$2:AC1001,"")*$G434,"")</f>
        <v/>
      </c>
      <c r="AK434" s="179" t="str">
        <f t="array" ref="AK434">IF($F434&lt;&gt;"",XLOOKUP($F434,Productos!$A:$A,Productos!AD:AD,"Revisar"),"")</f>
        <v/>
      </c>
      <c r="AL434" s="179" t="str">
        <f t="array" ref="AL434">IF($F434&lt;&gt;"", XLOOKUP($F434,Productos!$A$2:$A1001,Productos!AE$2:AE1001,"")*$G434,"")</f>
        <v/>
      </c>
      <c r="AM434" s="179" t="str">
        <f t="array" ref="AM434">IF($F434&lt;&gt;"",XLOOKUP($F434,Productos!$A:$A,Productos!AF:AF,"Revisar"),"")</f>
        <v/>
      </c>
      <c r="AN434" s="179" t="str">
        <f t="array" ref="AN434">IF($F434&lt;&gt;"", XLOOKUP($F434,Productos!$A$2:$A1001,Productos!AG$2:AG1001,"")*$G434,"")</f>
        <v/>
      </c>
      <c r="AO434" s="179" t="str">
        <f t="array" ref="AO434">IF($F434&lt;&gt;"",XLOOKUP($F434,Productos!$A:$A,Productos!AH:AH,"Revisar"),"")</f>
        <v/>
      </c>
      <c r="AP434" s="179" t="str">
        <f t="array" ref="AP434">IF($F434&lt;&gt;"", XLOOKUP($F434,Productos!$A$2:$A1001,Productos!AI$2:AI1001,"")*$G434,"")</f>
        <v/>
      </c>
      <c r="AQ434" s="179" t="str">
        <f t="array" ref="AQ434">IF($F434&lt;&gt;"",XLOOKUP($F434,Productos!$A:$A,Productos!AJ:AJ,"Revisar"),"")</f>
        <v/>
      </c>
      <c r="AR434" s="179" t="str">
        <f t="array" ref="AR434">IF($F434&lt;&gt;"", XLOOKUP($F434,Productos!$A$2:$A1001,Productos!AK$2:AK1001,"")*$G434,"")</f>
        <v/>
      </c>
      <c r="AS434" s="179" t="str">
        <f t="array" ref="AS434">IF($F434&lt;&gt;"",XLOOKUP($F434,Productos!$A:$A,Productos!AL:AL,"Revisar"),"")</f>
        <v/>
      </c>
      <c r="AT434" s="179" t="str">
        <f t="array" ref="AT434">IF($F434&lt;&gt;"", XLOOKUP($F434,Productos!$A$2:$A1001,Productos!AM$2:AM1001,"")*$G434,"")</f>
        <v/>
      </c>
      <c r="AU434" s="179" t="str">
        <f t="array" ref="AU434">IF($F434&lt;&gt;"",XLOOKUP($F434,Productos!$A:$A,Productos!AN:AN,"Revisar"),"")</f>
        <v/>
      </c>
      <c r="AV434" s="179" t="str">
        <f t="array" ref="AV434">IF($F434&lt;&gt;"", XLOOKUP($F434,Productos!$A$2:$A1001,Productos!AO$2:AO1001,"")*$G434,"")</f>
        <v/>
      </c>
      <c r="AW434" s="179" t="str">
        <f t="array" ref="AW434">IF($F434&lt;&gt;"",XLOOKUP($F434,Productos!$A:$A,Productos!AP:AP,"Revisar"),"")</f>
        <v/>
      </c>
      <c r="AX434" s="179" t="str">
        <f t="array" ref="AX434">IF($F434&lt;&gt;"", XLOOKUP($F434,Productos!$A$2:$A1001,Productos!AQ$2:AQ1001,"")*$G434,"")</f>
        <v/>
      </c>
      <c r="AY434" s="179" t="str">
        <f t="array" ref="AY434">IF($F434&lt;&gt;"",XLOOKUP($F434,Productos!$A:$A,Productos!AR:AR,"Revisar"),"")</f>
        <v/>
      </c>
      <c r="AZ434" s="179" t="str">
        <f t="array" ref="AZ434">IF($F434&lt;&gt;"", XLOOKUP($F434,Productos!$A$2:$A1001,Productos!AS$2:AS1001,"")*$G434,"")</f>
        <v/>
      </c>
      <c r="BA434" s="179" t="str">
        <f t="array" ref="BA434">IF($F434&lt;&gt;"",XLOOKUP($F434,Productos!$A:$A,Productos!AT:AT,"Revisar"),"")</f>
        <v/>
      </c>
      <c r="BB434" s="179" t="str">
        <f t="array" ref="BB434">IF($F434&lt;&gt;"", XLOOKUP($F434,Productos!$A$2:$A1001,Productos!AU$2:AU1001,"")*$G434,"")</f>
        <v/>
      </c>
      <c r="BC434" s="179" t="str">
        <f t="array" ref="BC434">IF($F434&lt;&gt;"",XLOOKUP($F434,Productos!$A:$A,Productos!AV:AV,"Revisar"),"")</f>
        <v/>
      </c>
      <c r="BD434" s="179" t="str">
        <f t="array" ref="BD434">IF($F434&lt;&gt;"", XLOOKUP($F434,Productos!$A$2:$A1001,Productos!AW$2:AW1001,"")*$G434,"")</f>
        <v/>
      </c>
      <c r="BE434" s="179" t="str">
        <f t="array" ref="BE434">IF($F434&lt;&gt;"",XLOOKUP($F434,Productos!$A:$A,Productos!AX:AX,"Revisar"),"")</f>
        <v/>
      </c>
      <c r="BF434" s="179" t="str">
        <f t="array" ref="BF434">IF($F434&lt;&gt;"", XLOOKUP($F434,Productos!$A$2:$A1001,Productos!AY$2:AY1001,"")*$G434,"")</f>
        <v/>
      </c>
      <c r="BG434" s="179" t="str">
        <f t="array" ref="BG434">IF($F434&lt;&gt;"",XLOOKUP($F434,Productos!$A:$A,Productos!AZ:AZ,"Revisar"),"")</f>
        <v/>
      </c>
      <c r="BH434" s="179" t="str">
        <f t="array" ref="BH434">IF($F434&lt;&gt;"", XLOOKUP($F434,Productos!$A$2:$A1001,Productos!BA$2:BA1001,"")*$G434,"")</f>
        <v/>
      </c>
      <c r="BI434" s="179" t="str">
        <f t="array" ref="BI434">IF($F434&lt;&gt;"",XLOOKUP($F434,Productos!$A:$A,Productos!BB:BB,"Revisar"),"")</f>
        <v/>
      </c>
      <c r="BJ434" s="179" t="str">
        <f t="array" ref="BJ434">IF($F434&lt;&gt;"", XLOOKUP($F434,Productos!$A$2:$A1001,Productos!BC$2:BC1001,"")*$G434,"")</f>
        <v/>
      </c>
      <c r="BK434" s="179" t="str">
        <f t="array" ref="BK434">IF($F434&lt;&gt;"",XLOOKUP($F434,Productos!$A:$A,Productos!BD:BD,"Revisar"),"")</f>
        <v/>
      </c>
      <c r="BL434" s="179" t="str">
        <f t="array" ref="BL434">IF($F434&lt;&gt;"", XLOOKUP($F434,Productos!$A$2:$A1001,Productos!BE$2:BE1001,"")*$G434,"")</f>
        <v/>
      </c>
      <c r="BM434" s="179" t="str">
        <f t="array" ref="BM434">IF($F434&lt;&gt;"",XLOOKUP($F434,Productos!$A:$A,Productos!BF:BF,"Revisar"),"")</f>
        <v/>
      </c>
      <c r="BN434" s="179" t="str">
        <f t="array" ref="BN434">IF($F434&lt;&gt;"", XLOOKUP($F434,Productos!$A$2:$A1001,Productos!BG$2:BG1001,"")*$G434,"")</f>
        <v/>
      </c>
      <c r="BO434" s="179" t="str">
        <f t="array" ref="BO434">IF($F434&lt;&gt;"",XLOOKUP($F434,Productos!$A:$A,Productos!BH:BH,"Revisar"),"")</f>
        <v/>
      </c>
      <c r="BP434" s="179" t="str">
        <f t="array" ref="BP434">IF($F434&lt;&gt;"", XLOOKUP($F434,Productos!$A$2:$A1001,Productos!BI$2:BI1001,"")*$G434,"")</f>
        <v/>
      </c>
      <c r="BQ434" s="179" t="str">
        <f t="array" ref="BQ434">IF($F434&lt;&gt;"",XLOOKUP($F434,Productos!$A:$A,Productos!BJ:BJ,"Revisar"),"")</f>
        <v/>
      </c>
      <c r="BR434" s="179" t="str">
        <f t="array" ref="BR434">IF($F434&lt;&gt;"", XLOOKUP($F434,Productos!$A$2:$A1001,Productos!BK$2:BK1001,"")*$G434,"")</f>
        <v/>
      </c>
      <c r="BS434" s="179" t="str">
        <f t="array" ref="BS434">IF($F434&lt;&gt;"",XLOOKUP($F434,Productos!$A:$A,Productos!BL:BL,"Revisar"),"")</f>
        <v/>
      </c>
      <c r="BT434" s="179" t="str">
        <f t="array" ref="BT434">IF($F434&lt;&gt;"", XLOOKUP($F434,Productos!$A$2:$A1001,Productos!BM$2:BM1001,"")*$G434,"")</f>
        <v/>
      </c>
      <c r="BU434" s="179" t="str">
        <f t="array" ref="BU434">IF($F434&lt;&gt;"",XLOOKUP($F434,Productos!$A:$A,Productos!BN:BN,"Revisar"),"")</f>
        <v/>
      </c>
      <c r="BV434" s="179" t="str">
        <f t="array" ref="BV434">IF($F434&lt;&gt;"", XLOOKUP($F434,Productos!$A$2:$A1001,Productos!BO$2:BO1001,"")*$G434,"")</f>
        <v/>
      </c>
      <c r="BW434" s="179" t="str">
        <f t="array" ref="BW434">IF($F434&lt;&gt;"",XLOOKUP($F434,Productos!$A:$A,Productos!BP:BP,"Revisar"),"")</f>
        <v/>
      </c>
      <c r="BX434" s="179" t="str">
        <f t="array" ref="BX434">IF($F434&lt;&gt;"", XLOOKUP($F434,Productos!$A$2:$A1001,Productos!BQ$2:BQ1001,"")*$G434,"")</f>
        <v/>
      </c>
      <c r="BY434" s="179" t="str">
        <f t="array" ref="BY434">IF($F434&lt;&gt;"",XLOOKUP($F434,Productos!$A:$A,Productos!BR:BR,"Revisar"),"")</f>
        <v/>
      </c>
      <c r="BZ434" s="179" t="str">
        <f t="array" ref="BZ434">IF($F434&lt;&gt;"", XLOOKUP($F434,Productos!$A$2:$A1001,Productos!BS$2:BS1001,"")*$G434,"")</f>
        <v/>
      </c>
    </row>
    <row r="435">
      <c r="A435" s="188"/>
      <c r="B435" s="189"/>
      <c r="C435" s="190"/>
      <c r="D435" s="190"/>
      <c r="E435" s="191"/>
      <c r="F435" s="186"/>
      <c r="G435" s="192"/>
      <c r="H435" s="9"/>
      <c r="I435" s="179" t="str">
        <f t="array" ref="I435">IF($F435&lt;&gt;"",XLOOKUP($F435,Productos!$A:$A,Productos!B:B,"Revisar"),"")</f>
        <v/>
      </c>
      <c r="J435" s="179" t="str">
        <f t="array" ref="J435">IF($F435&lt;&gt;"", XLOOKUP($F435,Productos!$A$2:$A1001,Productos!C$2:C1001,"")*$G435,"")</f>
        <v/>
      </c>
      <c r="K435" s="179" t="str">
        <f t="array" ref="K435">IF($F435&lt;&gt;"",XLOOKUP($F435,Productos!$A:$A,Productos!D:D,"Revisar"),"")</f>
        <v/>
      </c>
      <c r="L435" s="179" t="str">
        <f t="array" ref="L435">IF($F435&lt;&gt;"", XLOOKUP($F435,Productos!$A$2:$A1001,Productos!E$2:E1001,"")*$G435,"")</f>
        <v/>
      </c>
      <c r="M435" s="179" t="str">
        <f t="array" ref="M435">IF($F435&lt;&gt;"",XLOOKUP($F435,Productos!$A:$A,Productos!F:F,"Revisar"),"")</f>
        <v/>
      </c>
      <c r="N435" s="179" t="str">
        <f t="array" ref="N435">IF($F435&lt;&gt;"", XLOOKUP($F435,Productos!$A$2:$A1001,Productos!G$2:G1001,"")*$G435,"")</f>
        <v/>
      </c>
      <c r="O435" s="179" t="str">
        <f t="array" ref="O435">IF($F435&lt;&gt;"",XLOOKUP($F435,Productos!$A:$A,Productos!H:H,"Revisar"),"")</f>
        <v/>
      </c>
      <c r="P435" s="179" t="str">
        <f t="array" ref="P435">IF($F435&lt;&gt;"", XLOOKUP($F435,Productos!$A$2:$A1001,Productos!I$2:I1001,"")*$G435,"")</f>
        <v/>
      </c>
      <c r="Q435" s="179" t="str">
        <f t="array" ref="Q435">IF($F435&lt;&gt;"",XLOOKUP($F435,Productos!$A:$A,Productos!J:J,"Revisar"),"")</f>
        <v/>
      </c>
      <c r="R435" s="179" t="str">
        <f t="array" ref="R435">IF($F435&lt;&gt;"", XLOOKUP($F435,Productos!$A$2:$A1001,Productos!K$2:K1001,"")*$G435,"")</f>
        <v/>
      </c>
      <c r="S435" s="179" t="str">
        <f t="array" ref="S435">IF($F435&lt;&gt;"",XLOOKUP($F435,Productos!$A:$A,Productos!L:L,"Revisar"),"")</f>
        <v/>
      </c>
      <c r="T435" s="179" t="str">
        <f t="array" ref="T435">IF($F435&lt;&gt;"", XLOOKUP($F435,Productos!$A$2:$A1001,Productos!M$2:M1001,"")*$G435,"")</f>
        <v/>
      </c>
      <c r="U435" s="179" t="str">
        <f t="array" ref="U435">IF($F435&lt;&gt;"",XLOOKUP($F435,Productos!$A:$A,Productos!N:N,"Revisar"),"")</f>
        <v/>
      </c>
      <c r="V435" s="179" t="str">
        <f t="array" ref="V435">IF($F435&lt;&gt;"", XLOOKUP($F435,Productos!$A$2:$A1001,Productos!O$2:O1001,"")*$G435,"")</f>
        <v/>
      </c>
      <c r="W435" s="179" t="str">
        <f t="array" ref="W435">IF($F435&lt;&gt;"",XLOOKUP($F435,Productos!$A:$A,Productos!P:P,"Revisar"),"")</f>
        <v/>
      </c>
      <c r="X435" s="179" t="str">
        <f t="array" ref="X435">IF($F435&lt;&gt;"", XLOOKUP($F435,Productos!$A$2:$A1001,Productos!Q$2:Q1001,"")*$G435,"")</f>
        <v/>
      </c>
      <c r="Y435" s="179" t="str">
        <f t="array" ref="Y435">IF($F435&lt;&gt;"",XLOOKUP($F435,Productos!$A:$A,Productos!R:R,"Revisar"),"")</f>
        <v/>
      </c>
      <c r="Z435" s="179" t="str">
        <f t="array" ref="Z435">IF($F435&lt;&gt;"", XLOOKUP($F435,Productos!$A$2:$A1001,Productos!S$2:S1001,"")*$G435,"")</f>
        <v/>
      </c>
      <c r="AA435" s="179" t="str">
        <f t="array" ref="AA435">IF($F435&lt;&gt;"",XLOOKUP($F435,Productos!$A:$A,Productos!T:T,"Revisar"),"")</f>
        <v/>
      </c>
      <c r="AB435" s="179" t="str">
        <f t="array" ref="AB435">IF($F435&lt;&gt;"", XLOOKUP($F435,Productos!$A$2:$A1001,Productos!U$2:U1001,"")*$G435,"")</f>
        <v/>
      </c>
      <c r="AC435" s="179" t="str">
        <f t="array" ref="AC435">IF($F435&lt;&gt;"",XLOOKUP($F435,Productos!$A:$A,Productos!V:V,"Revisar"),"")</f>
        <v/>
      </c>
      <c r="AD435" s="179" t="str">
        <f t="array" ref="AD435">IF($F435&lt;&gt;"", XLOOKUP($F435,Productos!$A$2:$A1001,Productos!W$2:W1001,"")*$G435,"")</f>
        <v/>
      </c>
      <c r="AE435" s="179" t="str">
        <f t="array" ref="AE435">IF($F435&lt;&gt;"",XLOOKUP($F435,Productos!$A:$A,Productos!X:X,"Revisar"),"")</f>
        <v/>
      </c>
      <c r="AF435" s="179" t="str">
        <f t="array" ref="AF435">IF($F435&lt;&gt;"", XLOOKUP($F435,Productos!$A$2:$A1001,Productos!Y$2:Y1001,"")*$G435,"")</f>
        <v/>
      </c>
      <c r="AG435" s="179" t="str">
        <f t="array" ref="AG435">IF($F435&lt;&gt;"",XLOOKUP($F435,Productos!$A:$A,Productos!Z:Z,"Revisar"),"")</f>
        <v/>
      </c>
      <c r="AH435" s="179" t="str">
        <f t="array" ref="AH435">IF($F435&lt;&gt;"", XLOOKUP($F435,Productos!$A$2:$A1001,Productos!AA$2:AA1001,"")*$G435,"")</f>
        <v/>
      </c>
      <c r="AI435" s="179" t="str">
        <f t="array" ref="AI435">IF($F435&lt;&gt;"",XLOOKUP($F435,Productos!$A:$A,Productos!AB:AB,"Revisar"),"")</f>
        <v/>
      </c>
      <c r="AJ435" s="179" t="str">
        <f t="array" ref="AJ435">IF($F435&lt;&gt;"", XLOOKUP($F435,Productos!$A$2:$A1001,Productos!AC$2:AC1001,"")*$G435,"")</f>
        <v/>
      </c>
      <c r="AK435" s="179" t="str">
        <f t="array" ref="AK435">IF($F435&lt;&gt;"",XLOOKUP($F435,Productos!$A:$A,Productos!AD:AD,"Revisar"),"")</f>
        <v/>
      </c>
      <c r="AL435" s="179" t="str">
        <f t="array" ref="AL435">IF($F435&lt;&gt;"", XLOOKUP($F435,Productos!$A$2:$A1001,Productos!AE$2:AE1001,"")*$G435,"")</f>
        <v/>
      </c>
      <c r="AM435" s="179" t="str">
        <f t="array" ref="AM435">IF($F435&lt;&gt;"",XLOOKUP($F435,Productos!$A:$A,Productos!AF:AF,"Revisar"),"")</f>
        <v/>
      </c>
      <c r="AN435" s="179" t="str">
        <f t="array" ref="AN435">IF($F435&lt;&gt;"", XLOOKUP($F435,Productos!$A$2:$A1001,Productos!AG$2:AG1001,"")*$G435,"")</f>
        <v/>
      </c>
      <c r="AO435" s="179" t="str">
        <f t="array" ref="AO435">IF($F435&lt;&gt;"",XLOOKUP($F435,Productos!$A:$A,Productos!AH:AH,"Revisar"),"")</f>
        <v/>
      </c>
      <c r="AP435" s="179" t="str">
        <f t="array" ref="AP435">IF($F435&lt;&gt;"", XLOOKUP($F435,Productos!$A$2:$A1001,Productos!AI$2:AI1001,"")*$G435,"")</f>
        <v/>
      </c>
      <c r="AQ435" s="179" t="str">
        <f t="array" ref="AQ435">IF($F435&lt;&gt;"",XLOOKUP($F435,Productos!$A:$A,Productos!AJ:AJ,"Revisar"),"")</f>
        <v/>
      </c>
      <c r="AR435" s="179" t="str">
        <f t="array" ref="AR435">IF($F435&lt;&gt;"", XLOOKUP($F435,Productos!$A$2:$A1001,Productos!AK$2:AK1001,"")*$G435,"")</f>
        <v/>
      </c>
      <c r="AS435" s="179" t="str">
        <f t="array" ref="AS435">IF($F435&lt;&gt;"",XLOOKUP($F435,Productos!$A:$A,Productos!AL:AL,"Revisar"),"")</f>
        <v/>
      </c>
      <c r="AT435" s="179" t="str">
        <f t="array" ref="AT435">IF($F435&lt;&gt;"", XLOOKUP($F435,Productos!$A$2:$A1001,Productos!AM$2:AM1001,"")*$G435,"")</f>
        <v/>
      </c>
      <c r="AU435" s="179" t="str">
        <f t="array" ref="AU435">IF($F435&lt;&gt;"",XLOOKUP($F435,Productos!$A:$A,Productos!AN:AN,"Revisar"),"")</f>
        <v/>
      </c>
      <c r="AV435" s="179" t="str">
        <f t="array" ref="AV435">IF($F435&lt;&gt;"", XLOOKUP($F435,Productos!$A$2:$A1001,Productos!AO$2:AO1001,"")*$G435,"")</f>
        <v/>
      </c>
      <c r="AW435" s="179" t="str">
        <f t="array" ref="AW435">IF($F435&lt;&gt;"",XLOOKUP($F435,Productos!$A:$A,Productos!AP:AP,"Revisar"),"")</f>
        <v/>
      </c>
      <c r="AX435" s="179" t="str">
        <f t="array" ref="AX435">IF($F435&lt;&gt;"", XLOOKUP($F435,Productos!$A$2:$A1001,Productos!AQ$2:AQ1001,"")*$G435,"")</f>
        <v/>
      </c>
      <c r="AY435" s="179" t="str">
        <f t="array" ref="AY435">IF($F435&lt;&gt;"",XLOOKUP($F435,Productos!$A:$A,Productos!AR:AR,"Revisar"),"")</f>
        <v/>
      </c>
      <c r="AZ435" s="179" t="str">
        <f t="array" ref="AZ435">IF($F435&lt;&gt;"", XLOOKUP($F435,Productos!$A$2:$A1001,Productos!AS$2:AS1001,"")*$G435,"")</f>
        <v/>
      </c>
      <c r="BA435" s="179" t="str">
        <f t="array" ref="BA435">IF($F435&lt;&gt;"",XLOOKUP($F435,Productos!$A:$A,Productos!AT:AT,"Revisar"),"")</f>
        <v/>
      </c>
      <c r="BB435" s="179" t="str">
        <f t="array" ref="BB435">IF($F435&lt;&gt;"", XLOOKUP($F435,Productos!$A$2:$A1001,Productos!AU$2:AU1001,"")*$G435,"")</f>
        <v/>
      </c>
      <c r="BC435" s="179" t="str">
        <f t="array" ref="BC435">IF($F435&lt;&gt;"",XLOOKUP($F435,Productos!$A:$A,Productos!AV:AV,"Revisar"),"")</f>
        <v/>
      </c>
      <c r="BD435" s="179" t="str">
        <f t="array" ref="BD435">IF($F435&lt;&gt;"", XLOOKUP($F435,Productos!$A$2:$A1001,Productos!AW$2:AW1001,"")*$G435,"")</f>
        <v/>
      </c>
      <c r="BE435" s="179" t="str">
        <f t="array" ref="BE435">IF($F435&lt;&gt;"",XLOOKUP($F435,Productos!$A:$A,Productos!AX:AX,"Revisar"),"")</f>
        <v/>
      </c>
      <c r="BF435" s="179" t="str">
        <f t="array" ref="BF435">IF($F435&lt;&gt;"", XLOOKUP($F435,Productos!$A$2:$A1001,Productos!AY$2:AY1001,"")*$G435,"")</f>
        <v/>
      </c>
      <c r="BG435" s="179" t="str">
        <f t="array" ref="BG435">IF($F435&lt;&gt;"",XLOOKUP($F435,Productos!$A:$A,Productos!AZ:AZ,"Revisar"),"")</f>
        <v/>
      </c>
      <c r="BH435" s="179" t="str">
        <f t="array" ref="BH435">IF($F435&lt;&gt;"", XLOOKUP($F435,Productos!$A$2:$A1001,Productos!BA$2:BA1001,"")*$G435,"")</f>
        <v/>
      </c>
      <c r="BI435" s="179" t="str">
        <f t="array" ref="BI435">IF($F435&lt;&gt;"",XLOOKUP($F435,Productos!$A:$A,Productos!BB:BB,"Revisar"),"")</f>
        <v/>
      </c>
      <c r="BJ435" s="179" t="str">
        <f t="array" ref="BJ435">IF($F435&lt;&gt;"", XLOOKUP($F435,Productos!$A$2:$A1001,Productos!BC$2:BC1001,"")*$G435,"")</f>
        <v/>
      </c>
      <c r="BK435" s="179" t="str">
        <f t="array" ref="BK435">IF($F435&lt;&gt;"",XLOOKUP($F435,Productos!$A:$A,Productos!BD:BD,"Revisar"),"")</f>
        <v/>
      </c>
      <c r="BL435" s="179" t="str">
        <f t="array" ref="BL435">IF($F435&lt;&gt;"", XLOOKUP($F435,Productos!$A$2:$A1001,Productos!BE$2:BE1001,"")*$G435,"")</f>
        <v/>
      </c>
      <c r="BM435" s="179" t="str">
        <f t="array" ref="BM435">IF($F435&lt;&gt;"",XLOOKUP($F435,Productos!$A:$A,Productos!BF:BF,"Revisar"),"")</f>
        <v/>
      </c>
      <c r="BN435" s="179" t="str">
        <f t="array" ref="BN435">IF($F435&lt;&gt;"", XLOOKUP($F435,Productos!$A$2:$A1001,Productos!BG$2:BG1001,"")*$G435,"")</f>
        <v/>
      </c>
      <c r="BO435" s="179" t="str">
        <f t="array" ref="BO435">IF($F435&lt;&gt;"",XLOOKUP($F435,Productos!$A:$A,Productos!BH:BH,"Revisar"),"")</f>
        <v/>
      </c>
      <c r="BP435" s="179" t="str">
        <f t="array" ref="BP435">IF($F435&lt;&gt;"", XLOOKUP($F435,Productos!$A$2:$A1001,Productos!BI$2:BI1001,"")*$G435,"")</f>
        <v/>
      </c>
      <c r="BQ435" s="179" t="str">
        <f t="array" ref="BQ435">IF($F435&lt;&gt;"",XLOOKUP($F435,Productos!$A:$A,Productos!BJ:BJ,"Revisar"),"")</f>
        <v/>
      </c>
      <c r="BR435" s="179" t="str">
        <f t="array" ref="BR435">IF($F435&lt;&gt;"", XLOOKUP($F435,Productos!$A$2:$A1001,Productos!BK$2:BK1001,"")*$G435,"")</f>
        <v/>
      </c>
      <c r="BS435" s="179" t="str">
        <f t="array" ref="BS435">IF($F435&lt;&gt;"",XLOOKUP($F435,Productos!$A:$A,Productos!BL:BL,"Revisar"),"")</f>
        <v/>
      </c>
      <c r="BT435" s="179" t="str">
        <f t="array" ref="BT435">IF($F435&lt;&gt;"", XLOOKUP($F435,Productos!$A$2:$A1001,Productos!BM$2:BM1001,"")*$G435,"")</f>
        <v/>
      </c>
      <c r="BU435" s="179" t="str">
        <f t="array" ref="BU435">IF($F435&lt;&gt;"",XLOOKUP($F435,Productos!$A:$A,Productos!BN:BN,"Revisar"),"")</f>
        <v/>
      </c>
      <c r="BV435" s="179" t="str">
        <f t="array" ref="BV435">IF($F435&lt;&gt;"", XLOOKUP($F435,Productos!$A$2:$A1001,Productos!BO$2:BO1001,"")*$G435,"")</f>
        <v/>
      </c>
      <c r="BW435" s="179" t="str">
        <f t="array" ref="BW435">IF($F435&lt;&gt;"",XLOOKUP($F435,Productos!$A:$A,Productos!BP:BP,"Revisar"),"")</f>
        <v/>
      </c>
      <c r="BX435" s="179" t="str">
        <f t="array" ref="BX435">IF($F435&lt;&gt;"", XLOOKUP($F435,Productos!$A$2:$A1001,Productos!BQ$2:BQ1001,"")*$G435,"")</f>
        <v/>
      </c>
      <c r="BY435" s="179" t="str">
        <f t="array" ref="BY435">IF($F435&lt;&gt;"",XLOOKUP($F435,Productos!$A:$A,Productos!BR:BR,"Revisar"),"")</f>
        <v/>
      </c>
      <c r="BZ435" s="179" t="str">
        <f t="array" ref="BZ435">IF($F435&lt;&gt;"", XLOOKUP($F435,Productos!$A$2:$A1001,Productos!BS$2:BS1001,"")*$G435,"")</f>
        <v/>
      </c>
    </row>
    <row r="436">
      <c r="A436" s="188"/>
      <c r="B436" s="189"/>
      <c r="C436" s="190"/>
      <c r="D436" s="190"/>
      <c r="E436" s="191"/>
      <c r="F436" s="186"/>
      <c r="G436" s="192"/>
      <c r="H436" s="9"/>
      <c r="I436" s="179" t="str">
        <f t="array" ref="I436">IF($F436&lt;&gt;"",XLOOKUP($F436,Productos!$A:$A,Productos!B:B,"Revisar"),"")</f>
        <v/>
      </c>
      <c r="J436" s="179" t="str">
        <f t="array" ref="J436">IF($F436&lt;&gt;"", XLOOKUP($F436,Productos!$A$2:$A1001,Productos!C$2:C1001,"")*$G436,"")</f>
        <v/>
      </c>
      <c r="K436" s="179" t="str">
        <f t="array" ref="K436">IF($F436&lt;&gt;"",XLOOKUP($F436,Productos!$A:$A,Productos!D:D,"Revisar"),"")</f>
        <v/>
      </c>
      <c r="L436" s="179" t="str">
        <f t="array" ref="L436">IF($F436&lt;&gt;"", XLOOKUP($F436,Productos!$A$2:$A1001,Productos!E$2:E1001,"")*$G436,"")</f>
        <v/>
      </c>
      <c r="M436" s="179" t="str">
        <f t="array" ref="M436">IF($F436&lt;&gt;"",XLOOKUP($F436,Productos!$A:$A,Productos!F:F,"Revisar"),"")</f>
        <v/>
      </c>
      <c r="N436" s="179" t="str">
        <f t="array" ref="N436">IF($F436&lt;&gt;"", XLOOKUP($F436,Productos!$A$2:$A1001,Productos!G$2:G1001,"")*$G436,"")</f>
        <v/>
      </c>
      <c r="O436" s="179" t="str">
        <f t="array" ref="O436">IF($F436&lt;&gt;"",XLOOKUP($F436,Productos!$A:$A,Productos!H:H,"Revisar"),"")</f>
        <v/>
      </c>
      <c r="P436" s="179" t="str">
        <f t="array" ref="P436">IF($F436&lt;&gt;"", XLOOKUP($F436,Productos!$A$2:$A1001,Productos!I$2:I1001,"")*$G436,"")</f>
        <v/>
      </c>
      <c r="Q436" s="179" t="str">
        <f t="array" ref="Q436">IF($F436&lt;&gt;"",XLOOKUP($F436,Productos!$A:$A,Productos!J:J,"Revisar"),"")</f>
        <v/>
      </c>
      <c r="R436" s="179" t="str">
        <f t="array" ref="R436">IF($F436&lt;&gt;"", XLOOKUP($F436,Productos!$A$2:$A1001,Productos!K$2:K1001,"")*$G436,"")</f>
        <v/>
      </c>
      <c r="S436" s="179" t="str">
        <f t="array" ref="S436">IF($F436&lt;&gt;"",XLOOKUP($F436,Productos!$A:$A,Productos!L:L,"Revisar"),"")</f>
        <v/>
      </c>
      <c r="T436" s="179" t="str">
        <f t="array" ref="T436">IF($F436&lt;&gt;"", XLOOKUP($F436,Productos!$A$2:$A1001,Productos!M$2:M1001,"")*$G436,"")</f>
        <v/>
      </c>
      <c r="U436" s="179" t="str">
        <f t="array" ref="U436">IF($F436&lt;&gt;"",XLOOKUP($F436,Productos!$A:$A,Productos!N:N,"Revisar"),"")</f>
        <v/>
      </c>
      <c r="V436" s="179" t="str">
        <f t="array" ref="V436">IF($F436&lt;&gt;"", XLOOKUP($F436,Productos!$A$2:$A1001,Productos!O$2:O1001,"")*$G436,"")</f>
        <v/>
      </c>
      <c r="W436" s="179" t="str">
        <f t="array" ref="W436">IF($F436&lt;&gt;"",XLOOKUP($F436,Productos!$A:$A,Productos!P:P,"Revisar"),"")</f>
        <v/>
      </c>
      <c r="X436" s="179" t="str">
        <f t="array" ref="X436">IF($F436&lt;&gt;"", XLOOKUP($F436,Productos!$A$2:$A1001,Productos!Q$2:Q1001,"")*$G436,"")</f>
        <v/>
      </c>
      <c r="Y436" s="179" t="str">
        <f t="array" ref="Y436">IF($F436&lt;&gt;"",XLOOKUP($F436,Productos!$A:$A,Productos!R:R,"Revisar"),"")</f>
        <v/>
      </c>
      <c r="Z436" s="179" t="str">
        <f t="array" ref="Z436">IF($F436&lt;&gt;"", XLOOKUP($F436,Productos!$A$2:$A1001,Productos!S$2:S1001,"")*$G436,"")</f>
        <v/>
      </c>
      <c r="AA436" s="179" t="str">
        <f t="array" ref="AA436">IF($F436&lt;&gt;"",XLOOKUP($F436,Productos!$A:$A,Productos!T:T,"Revisar"),"")</f>
        <v/>
      </c>
      <c r="AB436" s="179" t="str">
        <f t="array" ref="AB436">IF($F436&lt;&gt;"", XLOOKUP($F436,Productos!$A$2:$A1001,Productos!U$2:U1001,"")*$G436,"")</f>
        <v/>
      </c>
      <c r="AC436" s="179" t="str">
        <f t="array" ref="AC436">IF($F436&lt;&gt;"",XLOOKUP($F436,Productos!$A:$A,Productos!V:V,"Revisar"),"")</f>
        <v/>
      </c>
      <c r="AD436" s="179" t="str">
        <f t="array" ref="AD436">IF($F436&lt;&gt;"", XLOOKUP($F436,Productos!$A$2:$A1001,Productos!W$2:W1001,"")*$G436,"")</f>
        <v/>
      </c>
      <c r="AE436" s="179" t="str">
        <f t="array" ref="AE436">IF($F436&lt;&gt;"",XLOOKUP($F436,Productos!$A:$A,Productos!X:X,"Revisar"),"")</f>
        <v/>
      </c>
      <c r="AF436" s="179" t="str">
        <f t="array" ref="AF436">IF($F436&lt;&gt;"", XLOOKUP($F436,Productos!$A$2:$A1001,Productos!Y$2:Y1001,"")*$G436,"")</f>
        <v/>
      </c>
      <c r="AG436" s="179" t="str">
        <f t="array" ref="AG436">IF($F436&lt;&gt;"",XLOOKUP($F436,Productos!$A:$A,Productos!Z:Z,"Revisar"),"")</f>
        <v/>
      </c>
      <c r="AH436" s="179" t="str">
        <f t="array" ref="AH436">IF($F436&lt;&gt;"", XLOOKUP($F436,Productos!$A$2:$A1001,Productos!AA$2:AA1001,"")*$G436,"")</f>
        <v/>
      </c>
      <c r="AI436" s="179" t="str">
        <f t="array" ref="AI436">IF($F436&lt;&gt;"",XLOOKUP($F436,Productos!$A:$A,Productos!AB:AB,"Revisar"),"")</f>
        <v/>
      </c>
      <c r="AJ436" s="179" t="str">
        <f t="array" ref="AJ436">IF($F436&lt;&gt;"", XLOOKUP($F436,Productos!$A$2:$A1001,Productos!AC$2:AC1001,"")*$G436,"")</f>
        <v/>
      </c>
      <c r="AK436" s="179" t="str">
        <f t="array" ref="AK436">IF($F436&lt;&gt;"",XLOOKUP($F436,Productos!$A:$A,Productos!AD:AD,"Revisar"),"")</f>
        <v/>
      </c>
      <c r="AL436" s="179" t="str">
        <f t="array" ref="AL436">IF($F436&lt;&gt;"", XLOOKUP($F436,Productos!$A$2:$A1001,Productos!AE$2:AE1001,"")*$G436,"")</f>
        <v/>
      </c>
      <c r="AM436" s="179" t="str">
        <f t="array" ref="AM436">IF($F436&lt;&gt;"",XLOOKUP($F436,Productos!$A:$A,Productos!AF:AF,"Revisar"),"")</f>
        <v/>
      </c>
      <c r="AN436" s="179" t="str">
        <f t="array" ref="AN436">IF($F436&lt;&gt;"", XLOOKUP($F436,Productos!$A$2:$A1001,Productos!AG$2:AG1001,"")*$G436,"")</f>
        <v/>
      </c>
      <c r="AO436" s="179" t="str">
        <f t="array" ref="AO436">IF($F436&lt;&gt;"",XLOOKUP($F436,Productos!$A:$A,Productos!AH:AH,"Revisar"),"")</f>
        <v/>
      </c>
      <c r="AP436" s="179" t="str">
        <f t="array" ref="AP436">IF($F436&lt;&gt;"", XLOOKUP($F436,Productos!$A$2:$A1001,Productos!AI$2:AI1001,"")*$G436,"")</f>
        <v/>
      </c>
      <c r="AQ436" s="179" t="str">
        <f t="array" ref="AQ436">IF($F436&lt;&gt;"",XLOOKUP($F436,Productos!$A:$A,Productos!AJ:AJ,"Revisar"),"")</f>
        <v/>
      </c>
      <c r="AR436" s="179" t="str">
        <f t="array" ref="AR436">IF($F436&lt;&gt;"", XLOOKUP($F436,Productos!$A$2:$A1001,Productos!AK$2:AK1001,"")*$G436,"")</f>
        <v/>
      </c>
      <c r="AS436" s="179" t="str">
        <f t="array" ref="AS436">IF($F436&lt;&gt;"",XLOOKUP($F436,Productos!$A:$A,Productos!AL:AL,"Revisar"),"")</f>
        <v/>
      </c>
      <c r="AT436" s="179" t="str">
        <f t="array" ref="AT436">IF($F436&lt;&gt;"", XLOOKUP($F436,Productos!$A$2:$A1001,Productos!AM$2:AM1001,"")*$G436,"")</f>
        <v/>
      </c>
      <c r="AU436" s="179" t="str">
        <f t="array" ref="AU436">IF($F436&lt;&gt;"",XLOOKUP($F436,Productos!$A:$A,Productos!AN:AN,"Revisar"),"")</f>
        <v/>
      </c>
      <c r="AV436" s="179" t="str">
        <f t="array" ref="AV436">IF($F436&lt;&gt;"", XLOOKUP($F436,Productos!$A$2:$A1001,Productos!AO$2:AO1001,"")*$G436,"")</f>
        <v/>
      </c>
      <c r="AW436" s="179" t="str">
        <f t="array" ref="AW436">IF($F436&lt;&gt;"",XLOOKUP($F436,Productos!$A:$A,Productos!AP:AP,"Revisar"),"")</f>
        <v/>
      </c>
      <c r="AX436" s="179" t="str">
        <f t="array" ref="AX436">IF($F436&lt;&gt;"", XLOOKUP($F436,Productos!$A$2:$A1001,Productos!AQ$2:AQ1001,"")*$G436,"")</f>
        <v/>
      </c>
      <c r="AY436" s="179" t="str">
        <f t="array" ref="AY436">IF($F436&lt;&gt;"",XLOOKUP($F436,Productos!$A:$A,Productos!AR:AR,"Revisar"),"")</f>
        <v/>
      </c>
      <c r="AZ436" s="179" t="str">
        <f t="array" ref="AZ436">IF($F436&lt;&gt;"", XLOOKUP($F436,Productos!$A$2:$A1001,Productos!AS$2:AS1001,"")*$G436,"")</f>
        <v/>
      </c>
      <c r="BA436" s="179" t="str">
        <f t="array" ref="BA436">IF($F436&lt;&gt;"",XLOOKUP($F436,Productos!$A:$A,Productos!AT:AT,"Revisar"),"")</f>
        <v/>
      </c>
      <c r="BB436" s="179" t="str">
        <f t="array" ref="BB436">IF($F436&lt;&gt;"", XLOOKUP($F436,Productos!$A$2:$A1001,Productos!AU$2:AU1001,"")*$G436,"")</f>
        <v/>
      </c>
      <c r="BC436" s="179" t="str">
        <f t="array" ref="BC436">IF($F436&lt;&gt;"",XLOOKUP($F436,Productos!$A:$A,Productos!AV:AV,"Revisar"),"")</f>
        <v/>
      </c>
      <c r="BD436" s="179" t="str">
        <f t="array" ref="BD436">IF($F436&lt;&gt;"", XLOOKUP($F436,Productos!$A$2:$A1001,Productos!AW$2:AW1001,"")*$G436,"")</f>
        <v/>
      </c>
      <c r="BE436" s="179" t="str">
        <f t="array" ref="BE436">IF($F436&lt;&gt;"",XLOOKUP($F436,Productos!$A:$A,Productos!AX:AX,"Revisar"),"")</f>
        <v/>
      </c>
      <c r="BF436" s="179" t="str">
        <f t="array" ref="BF436">IF($F436&lt;&gt;"", XLOOKUP($F436,Productos!$A$2:$A1001,Productos!AY$2:AY1001,"")*$G436,"")</f>
        <v/>
      </c>
      <c r="BG436" s="179" t="str">
        <f t="array" ref="BG436">IF($F436&lt;&gt;"",XLOOKUP($F436,Productos!$A:$A,Productos!AZ:AZ,"Revisar"),"")</f>
        <v/>
      </c>
      <c r="BH436" s="179" t="str">
        <f t="array" ref="BH436">IF($F436&lt;&gt;"", XLOOKUP($F436,Productos!$A$2:$A1001,Productos!BA$2:BA1001,"")*$G436,"")</f>
        <v/>
      </c>
      <c r="BI436" s="179" t="str">
        <f t="array" ref="BI436">IF($F436&lt;&gt;"",XLOOKUP($F436,Productos!$A:$A,Productos!BB:BB,"Revisar"),"")</f>
        <v/>
      </c>
      <c r="BJ436" s="179" t="str">
        <f t="array" ref="BJ436">IF($F436&lt;&gt;"", XLOOKUP($F436,Productos!$A$2:$A1001,Productos!BC$2:BC1001,"")*$G436,"")</f>
        <v/>
      </c>
      <c r="BK436" s="179" t="str">
        <f t="array" ref="BK436">IF($F436&lt;&gt;"",XLOOKUP($F436,Productos!$A:$A,Productos!BD:BD,"Revisar"),"")</f>
        <v/>
      </c>
      <c r="BL436" s="179" t="str">
        <f t="array" ref="BL436">IF($F436&lt;&gt;"", XLOOKUP($F436,Productos!$A$2:$A1001,Productos!BE$2:BE1001,"")*$G436,"")</f>
        <v/>
      </c>
      <c r="BM436" s="179" t="str">
        <f t="array" ref="BM436">IF($F436&lt;&gt;"",XLOOKUP($F436,Productos!$A:$A,Productos!BF:BF,"Revisar"),"")</f>
        <v/>
      </c>
      <c r="BN436" s="179" t="str">
        <f t="array" ref="BN436">IF($F436&lt;&gt;"", XLOOKUP($F436,Productos!$A$2:$A1001,Productos!BG$2:BG1001,"")*$G436,"")</f>
        <v/>
      </c>
      <c r="BO436" s="179" t="str">
        <f t="array" ref="BO436">IF($F436&lt;&gt;"",XLOOKUP($F436,Productos!$A:$A,Productos!BH:BH,"Revisar"),"")</f>
        <v/>
      </c>
      <c r="BP436" s="179" t="str">
        <f t="array" ref="BP436">IF($F436&lt;&gt;"", XLOOKUP($F436,Productos!$A$2:$A1001,Productos!BI$2:BI1001,"")*$G436,"")</f>
        <v/>
      </c>
      <c r="BQ436" s="179" t="str">
        <f t="array" ref="BQ436">IF($F436&lt;&gt;"",XLOOKUP($F436,Productos!$A:$A,Productos!BJ:BJ,"Revisar"),"")</f>
        <v/>
      </c>
      <c r="BR436" s="179" t="str">
        <f t="array" ref="BR436">IF($F436&lt;&gt;"", XLOOKUP($F436,Productos!$A$2:$A1001,Productos!BK$2:BK1001,"")*$G436,"")</f>
        <v/>
      </c>
      <c r="BS436" s="179" t="str">
        <f t="array" ref="BS436">IF($F436&lt;&gt;"",XLOOKUP($F436,Productos!$A:$A,Productos!BL:BL,"Revisar"),"")</f>
        <v/>
      </c>
      <c r="BT436" s="179" t="str">
        <f t="array" ref="BT436">IF($F436&lt;&gt;"", XLOOKUP($F436,Productos!$A$2:$A1001,Productos!BM$2:BM1001,"")*$G436,"")</f>
        <v/>
      </c>
      <c r="BU436" s="179" t="str">
        <f t="array" ref="BU436">IF($F436&lt;&gt;"",XLOOKUP($F436,Productos!$A:$A,Productos!BN:BN,"Revisar"),"")</f>
        <v/>
      </c>
      <c r="BV436" s="179" t="str">
        <f t="array" ref="BV436">IF($F436&lt;&gt;"", XLOOKUP($F436,Productos!$A$2:$A1001,Productos!BO$2:BO1001,"")*$G436,"")</f>
        <v/>
      </c>
      <c r="BW436" s="179" t="str">
        <f t="array" ref="BW436">IF($F436&lt;&gt;"",XLOOKUP($F436,Productos!$A:$A,Productos!BP:BP,"Revisar"),"")</f>
        <v/>
      </c>
      <c r="BX436" s="179" t="str">
        <f t="array" ref="BX436">IF($F436&lt;&gt;"", XLOOKUP($F436,Productos!$A$2:$A1001,Productos!BQ$2:BQ1001,"")*$G436,"")</f>
        <v/>
      </c>
      <c r="BY436" s="179" t="str">
        <f t="array" ref="BY436">IF($F436&lt;&gt;"",XLOOKUP($F436,Productos!$A:$A,Productos!BR:BR,"Revisar"),"")</f>
        <v/>
      </c>
      <c r="BZ436" s="179" t="str">
        <f t="array" ref="BZ436">IF($F436&lt;&gt;"", XLOOKUP($F436,Productos!$A$2:$A1001,Productos!BS$2:BS1001,"")*$G436,"")</f>
        <v/>
      </c>
    </row>
    <row r="437">
      <c r="A437" s="188"/>
      <c r="B437" s="189"/>
      <c r="C437" s="190"/>
      <c r="D437" s="190"/>
      <c r="E437" s="191"/>
      <c r="F437" s="186"/>
      <c r="G437" s="192"/>
      <c r="H437" s="9"/>
      <c r="I437" s="179" t="str">
        <f t="array" ref="I437">IF($F437&lt;&gt;"",XLOOKUP($F437,Productos!$A:$A,Productos!B:B,"Revisar"),"")</f>
        <v/>
      </c>
      <c r="J437" s="179" t="str">
        <f t="array" ref="J437">IF($F437&lt;&gt;"", XLOOKUP($F437,Productos!$A$2:$A1001,Productos!C$2:C1001,"")*$G437,"")</f>
        <v/>
      </c>
      <c r="K437" s="179" t="str">
        <f t="array" ref="K437">IF($F437&lt;&gt;"",XLOOKUP($F437,Productos!$A:$A,Productos!D:D,"Revisar"),"")</f>
        <v/>
      </c>
      <c r="L437" s="179" t="str">
        <f t="array" ref="L437">IF($F437&lt;&gt;"", XLOOKUP($F437,Productos!$A$2:$A1001,Productos!E$2:E1001,"")*$G437,"")</f>
        <v/>
      </c>
      <c r="M437" s="179" t="str">
        <f t="array" ref="M437">IF($F437&lt;&gt;"",XLOOKUP($F437,Productos!$A:$A,Productos!F:F,"Revisar"),"")</f>
        <v/>
      </c>
      <c r="N437" s="179" t="str">
        <f t="array" ref="N437">IF($F437&lt;&gt;"", XLOOKUP($F437,Productos!$A$2:$A1001,Productos!G$2:G1001,"")*$G437,"")</f>
        <v/>
      </c>
      <c r="O437" s="179" t="str">
        <f t="array" ref="O437">IF($F437&lt;&gt;"",XLOOKUP($F437,Productos!$A:$A,Productos!H:H,"Revisar"),"")</f>
        <v/>
      </c>
      <c r="P437" s="179" t="str">
        <f t="array" ref="P437">IF($F437&lt;&gt;"", XLOOKUP($F437,Productos!$A$2:$A1001,Productos!I$2:I1001,"")*$G437,"")</f>
        <v/>
      </c>
      <c r="Q437" s="179" t="str">
        <f t="array" ref="Q437">IF($F437&lt;&gt;"",XLOOKUP($F437,Productos!$A:$A,Productos!J:J,"Revisar"),"")</f>
        <v/>
      </c>
      <c r="R437" s="179" t="str">
        <f t="array" ref="R437">IF($F437&lt;&gt;"", XLOOKUP($F437,Productos!$A$2:$A1001,Productos!K$2:K1001,"")*$G437,"")</f>
        <v/>
      </c>
      <c r="S437" s="179" t="str">
        <f t="array" ref="S437">IF($F437&lt;&gt;"",XLOOKUP($F437,Productos!$A:$A,Productos!L:L,"Revisar"),"")</f>
        <v/>
      </c>
      <c r="T437" s="179" t="str">
        <f t="array" ref="T437">IF($F437&lt;&gt;"", XLOOKUP($F437,Productos!$A$2:$A1001,Productos!M$2:M1001,"")*$G437,"")</f>
        <v/>
      </c>
      <c r="U437" s="179" t="str">
        <f t="array" ref="U437">IF($F437&lt;&gt;"",XLOOKUP($F437,Productos!$A:$A,Productos!N:N,"Revisar"),"")</f>
        <v/>
      </c>
      <c r="V437" s="179" t="str">
        <f t="array" ref="V437">IF($F437&lt;&gt;"", XLOOKUP($F437,Productos!$A$2:$A1001,Productos!O$2:O1001,"")*$G437,"")</f>
        <v/>
      </c>
      <c r="W437" s="179" t="str">
        <f t="array" ref="W437">IF($F437&lt;&gt;"",XLOOKUP($F437,Productos!$A:$A,Productos!P:P,"Revisar"),"")</f>
        <v/>
      </c>
      <c r="X437" s="179" t="str">
        <f t="array" ref="X437">IF($F437&lt;&gt;"", XLOOKUP($F437,Productos!$A$2:$A1001,Productos!Q$2:Q1001,"")*$G437,"")</f>
        <v/>
      </c>
      <c r="Y437" s="179" t="str">
        <f t="array" ref="Y437">IF($F437&lt;&gt;"",XLOOKUP($F437,Productos!$A:$A,Productos!R:R,"Revisar"),"")</f>
        <v/>
      </c>
      <c r="Z437" s="179" t="str">
        <f t="array" ref="Z437">IF($F437&lt;&gt;"", XLOOKUP($F437,Productos!$A$2:$A1001,Productos!S$2:S1001,"")*$G437,"")</f>
        <v/>
      </c>
      <c r="AA437" s="179" t="str">
        <f t="array" ref="AA437">IF($F437&lt;&gt;"",XLOOKUP($F437,Productos!$A:$A,Productos!T:T,"Revisar"),"")</f>
        <v/>
      </c>
      <c r="AB437" s="179" t="str">
        <f t="array" ref="AB437">IF($F437&lt;&gt;"", XLOOKUP($F437,Productos!$A$2:$A1001,Productos!U$2:U1001,"")*$G437,"")</f>
        <v/>
      </c>
      <c r="AC437" s="179" t="str">
        <f t="array" ref="AC437">IF($F437&lt;&gt;"",XLOOKUP($F437,Productos!$A:$A,Productos!V:V,"Revisar"),"")</f>
        <v/>
      </c>
      <c r="AD437" s="179" t="str">
        <f t="array" ref="AD437">IF($F437&lt;&gt;"", XLOOKUP($F437,Productos!$A$2:$A1001,Productos!W$2:W1001,"")*$G437,"")</f>
        <v/>
      </c>
      <c r="AE437" s="179" t="str">
        <f t="array" ref="AE437">IF($F437&lt;&gt;"",XLOOKUP($F437,Productos!$A:$A,Productos!X:X,"Revisar"),"")</f>
        <v/>
      </c>
      <c r="AF437" s="179" t="str">
        <f t="array" ref="AF437">IF($F437&lt;&gt;"", XLOOKUP($F437,Productos!$A$2:$A1001,Productos!Y$2:Y1001,"")*$G437,"")</f>
        <v/>
      </c>
      <c r="AG437" s="179" t="str">
        <f t="array" ref="AG437">IF($F437&lt;&gt;"",XLOOKUP($F437,Productos!$A:$A,Productos!Z:Z,"Revisar"),"")</f>
        <v/>
      </c>
      <c r="AH437" s="179" t="str">
        <f t="array" ref="AH437">IF($F437&lt;&gt;"", XLOOKUP($F437,Productos!$A$2:$A1001,Productos!AA$2:AA1001,"")*$G437,"")</f>
        <v/>
      </c>
      <c r="AI437" s="179" t="str">
        <f t="array" ref="AI437">IF($F437&lt;&gt;"",XLOOKUP($F437,Productos!$A:$A,Productos!AB:AB,"Revisar"),"")</f>
        <v/>
      </c>
      <c r="AJ437" s="179" t="str">
        <f t="array" ref="AJ437">IF($F437&lt;&gt;"", XLOOKUP($F437,Productos!$A$2:$A1001,Productos!AC$2:AC1001,"")*$G437,"")</f>
        <v/>
      </c>
      <c r="AK437" s="179" t="str">
        <f t="array" ref="AK437">IF($F437&lt;&gt;"",XLOOKUP($F437,Productos!$A:$A,Productos!AD:AD,"Revisar"),"")</f>
        <v/>
      </c>
      <c r="AL437" s="179" t="str">
        <f t="array" ref="AL437">IF($F437&lt;&gt;"", XLOOKUP($F437,Productos!$A$2:$A1001,Productos!AE$2:AE1001,"")*$G437,"")</f>
        <v/>
      </c>
      <c r="AM437" s="179" t="str">
        <f t="array" ref="AM437">IF($F437&lt;&gt;"",XLOOKUP($F437,Productos!$A:$A,Productos!AF:AF,"Revisar"),"")</f>
        <v/>
      </c>
      <c r="AN437" s="179" t="str">
        <f t="array" ref="AN437">IF($F437&lt;&gt;"", XLOOKUP($F437,Productos!$A$2:$A1001,Productos!AG$2:AG1001,"")*$G437,"")</f>
        <v/>
      </c>
      <c r="AO437" s="179" t="str">
        <f t="array" ref="AO437">IF($F437&lt;&gt;"",XLOOKUP($F437,Productos!$A:$A,Productos!AH:AH,"Revisar"),"")</f>
        <v/>
      </c>
      <c r="AP437" s="179" t="str">
        <f t="array" ref="AP437">IF($F437&lt;&gt;"", XLOOKUP($F437,Productos!$A$2:$A1001,Productos!AI$2:AI1001,"")*$G437,"")</f>
        <v/>
      </c>
      <c r="AQ437" s="179" t="str">
        <f t="array" ref="AQ437">IF($F437&lt;&gt;"",XLOOKUP($F437,Productos!$A:$A,Productos!AJ:AJ,"Revisar"),"")</f>
        <v/>
      </c>
      <c r="AR437" s="179" t="str">
        <f t="array" ref="AR437">IF($F437&lt;&gt;"", XLOOKUP($F437,Productos!$A$2:$A1001,Productos!AK$2:AK1001,"")*$G437,"")</f>
        <v/>
      </c>
      <c r="AS437" s="179" t="str">
        <f t="array" ref="AS437">IF($F437&lt;&gt;"",XLOOKUP($F437,Productos!$A:$A,Productos!AL:AL,"Revisar"),"")</f>
        <v/>
      </c>
      <c r="AT437" s="179" t="str">
        <f t="array" ref="AT437">IF($F437&lt;&gt;"", XLOOKUP($F437,Productos!$A$2:$A1001,Productos!AM$2:AM1001,"")*$G437,"")</f>
        <v/>
      </c>
      <c r="AU437" s="179" t="str">
        <f t="array" ref="AU437">IF($F437&lt;&gt;"",XLOOKUP($F437,Productos!$A:$A,Productos!AN:AN,"Revisar"),"")</f>
        <v/>
      </c>
      <c r="AV437" s="179" t="str">
        <f t="array" ref="AV437">IF($F437&lt;&gt;"", XLOOKUP($F437,Productos!$A$2:$A1001,Productos!AO$2:AO1001,"")*$G437,"")</f>
        <v/>
      </c>
      <c r="AW437" s="179" t="str">
        <f t="array" ref="AW437">IF($F437&lt;&gt;"",XLOOKUP($F437,Productos!$A:$A,Productos!AP:AP,"Revisar"),"")</f>
        <v/>
      </c>
      <c r="AX437" s="179" t="str">
        <f t="array" ref="AX437">IF($F437&lt;&gt;"", XLOOKUP($F437,Productos!$A$2:$A1001,Productos!AQ$2:AQ1001,"")*$G437,"")</f>
        <v/>
      </c>
      <c r="AY437" s="179" t="str">
        <f t="array" ref="AY437">IF($F437&lt;&gt;"",XLOOKUP($F437,Productos!$A:$A,Productos!AR:AR,"Revisar"),"")</f>
        <v/>
      </c>
      <c r="AZ437" s="179" t="str">
        <f t="array" ref="AZ437">IF($F437&lt;&gt;"", XLOOKUP($F437,Productos!$A$2:$A1001,Productos!AS$2:AS1001,"")*$G437,"")</f>
        <v/>
      </c>
      <c r="BA437" s="179" t="str">
        <f t="array" ref="BA437">IF($F437&lt;&gt;"",XLOOKUP($F437,Productos!$A:$A,Productos!AT:AT,"Revisar"),"")</f>
        <v/>
      </c>
      <c r="BB437" s="179" t="str">
        <f t="array" ref="BB437">IF($F437&lt;&gt;"", XLOOKUP($F437,Productos!$A$2:$A1001,Productos!AU$2:AU1001,"")*$G437,"")</f>
        <v/>
      </c>
      <c r="BC437" s="179" t="str">
        <f t="array" ref="BC437">IF($F437&lt;&gt;"",XLOOKUP($F437,Productos!$A:$A,Productos!AV:AV,"Revisar"),"")</f>
        <v/>
      </c>
      <c r="BD437" s="179" t="str">
        <f t="array" ref="BD437">IF($F437&lt;&gt;"", XLOOKUP($F437,Productos!$A$2:$A1001,Productos!AW$2:AW1001,"")*$G437,"")</f>
        <v/>
      </c>
      <c r="BE437" s="179" t="str">
        <f t="array" ref="BE437">IF($F437&lt;&gt;"",XLOOKUP($F437,Productos!$A:$A,Productos!AX:AX,"Revisar"),"")</f>
        <v/>
      </c>
      <c r="BF437" s="179" t="str">
        <f t="array" ref="BF437">IF($F437&lt;&gt;"", XLOOKUP($F437,Productos!$A$2:$A1001,Productos!AY$2:AY1001,"")*$G437,"")</f>
        <v/>
      </c>
      <c r="BG437" s="179" t="str">
        <f t="array" ref="BG437">IF($F437&lt;&gt;"",XLOOKUP($F437,Productos!$A:$A,Productos!AZ:AZ,"Revisar"),"")</f>
        <v/>
      </c>
      <c r="BH437" s="179" t="str">
        <f t="array" ref="BH437">IF($F437&lt;&gt;"", XLOOKUP($F437,Productos!$A$2:$A1001,Productos!BA$2:BA1001,"")*$G437,"")</f>
        <v/>
      </c>
      <c r="BI437" s="179" t="str">
        <f t="array" ref="BI437">IF($F437&lt;&gt;"",XLOOKUP($F437,Productos!$A:$A,Productos!BB:BB,"Revisar"),"")</f>
        <v/>
      </c>
      <c r="BJ437" s="179" t="str">
        <f t="array" ref="BJ437">IF($F437&lt;&gt;"", XLOOKUP($F437,Productos!$A$2:$A1001,Productos!BC$2:BC1001,"")*$G437,"")</f>
        <v/>
      </c>
      <c r="BK437" s="179" t="str">
        <f t="array" ref="BK437">IF($F437&lt;&gt;"",XLOOKUP($F437,Productos!$A:$A,Productos!BD:BD,"Revisar"),"")</f>
        <v/>
      </c>
      <c r="BL437" s="179" t="str">
        <f t="array" ref="BL437">IF($F437&lt;&gt;"", XLOOKUP($F437,Productos!$A$2:$A1001,Productos!BE$2:BE1001,"")*$G437,"")</f>
        <v/>
      </c>
      <c r="BM437" s="179" t="str">
        <f t="array" ref="BM437">IF($F437&lt;&gt;"",XLOOKUP($F437,Productos!$A:$A,Productos!BF:BF,"Revisar"),"")</f>
        <v/>
      </c>
      <c r="BN437" s="179" t="str">
        <f t="array" ref="BN437">IF($F437&lt;&gt;"", XLOOKUP($F437,Productos!$A$2:$A1001,Productos!BG$2:BG1001,"")*$G437,"")</f>
        <v/>
      </c>
      <c r="BO437" s="179" t="str">
        <f t="array" ref="BO437">IF($F437&lt;&gt;"",XLOOKUP($F437,Productos!$A:$A,Productos!BH:BH,"Revisar"),"")</f>
        <v/>
      </c>
      <c r="BP437" s="179" t="str">
        <f t="array" ref="BP437">IF($F437&lt;&gt;"", XLOOKUP($F437,Productos!$A$2:$A1001,Productos!BI$2:BI1001,"")*$G437,"")</f>
        <v/>
      </c>
      <c r="BQ437" s="179" t="str">
        <f t="array" ref="BQ437">IF($F437&lt;&gt;"",XLOOKUP($F437,Productos!$A:$A,Productos!BJ:BJ,"Revisar"),"")</f>
        <v/>
      </c>
      <c r="BR437" s="179" t="str">
        <f t="array" ref="BR437">IF($F437&lt;&gt;"", XLOOKUP($F437,Productos!$A$2:$A1001,Productos!BK$2:BK1001,"")*$G437,"")</f>
        <v/>
      </c>
      <c r="BS437" s="179" t="str">
        <f t="array" ref="BS437">IF($F437&lt;&gt;"",XLOOKUP($F437,Productos!$A:$A,Productos!BL:BL,"Revisar"),"")</f>
        <v/>
      </c>
      <c r="BT437" s="179" t="str">
        <f t="array" ref="BT437">IF($F437&lt;&gt;"", XLOOKUP($F437,Productos!$A$2:$A1001,Productos!BM$2:BM1001,"")*$G437,"")</f>
        <v/>
      </c>
      <c r="BU437" s="179" t="str">
        <f t="array" ref="BU437">IF($F437&lt;&gt;"",XLOOKUP($F437,Productos!$A:$A,Productos!BN:BN,"Revisar"),"")</f>
        <v/>
      </c>
      <c r="BV437" s="179" t="str">
        <f t="array" ref="BV437">IF($F437&lt;&gt;"", XLOOKUP($F437,Productos!$A$2:$A1001,Productos!BO$2:BO1001,"")*$G437,"")</f>
        <v/>
      </c>
      <c r="BW437" s="179" t="str">
        <f t="array" ref="BW437">IF($F437&lt;&gt;"",XLOOKUP($F437,Productos!$A:$A,Productos!BP:BP,"Revisar"),"")</f>
        <v/>
      </c>
      <c r="BX437" s="179" t="str">
        <f t="array" ref="BX437">IF($F437&lt;&gt;"", XLOOKUP($F437,Productos!$A$2:$A1001,Productos!BQ$2:BQ1001,"")*$G437,"")</f>
        <v/>
      </c>
      <c r="BY437" s="179" t="str">
        <f t="array" ref="BY437">IF($F437&lt;&gt;"",XLOOKUP($F437,Productos!$A:$A,Productos!BR:BR,"Revisar"),"")</f>
        <v/>
      </c>
      <c r="BZ437" s="179" t="str">
        <f t="array" ref="BZ437">IF($F437&lt;&gt;"", XLOOKUP($F437,Productos!$A$2:$A1001,Productos!BS$2:BS1001,"")*$G437,"")</f>
        <v/>
      </c>
    </row>
    <row r="438">
      <c r="A438" s="188"/>
      <c r="B438" s="189"/>
      <c r="C438" s="190"/>
      <c r="D438" s="190"/>
      <c r="E438" s="191"/>
      <c r="F438" s="186"/>
      <c r="G438" s="192"/>
      <c r="H438" s="9"/>
      <c r="I438" s="179" t="str">
        <f t="array" ref="I438">IF($F438&lt;&gt;"",XLOOKUP($F438,Productos!$A:$A,Productos!B:B,"Revisar"),"")</f>
        <v/>
      </c>
      <c r="J438" s="179" t="str">
        <f t="array" ref="J438">IF($F438&lt;&gt;"", XLOOKUP($F438,Productos!$A$2:$A1001,Productos!C$2:C1001,"")*$G438,"")</f>
        <v/>
      </c>
      <c r="K438" s="179" t="str">
        <f t="array" ref="K438">IF($F438&lt;&gt;"",XLOOKUP($F438,Productos!$A:$A,Productos!D:D,"Revisar"),"")</f>
        <v/>
      </c>
      <c r="L438" s="179" t="str">
        <f t="array" ref="L438">IF($F438&lt;&gt;"", XLOOKUP($F438,Productos!$A$2:$A1001,Productos!E$2:E1001,"")*$G438,"")</f>
        <v/>
      </c>
      <c r="M438" s="179" t="str">
        <f t="array" ref="M438">IF($F438&lt;&gt;"",XLOOKUP($F438,Productos!$A:$A,Productos!F:F,"Revisar"),"")</f>
        <v/>
      </c>
      <c r="N438" s="179" t="str">
        <f t="array" ref="N438">IF($F438&lt;&gt;"", XLOOKUP($F438,Productos!$A$2:$A1001,Productos!G$2:G1001,"")*$G438,"")</f>
        <v/>
      </c>
      <c r="O438" s="179" t="str">
        <f t="array" ref="O438">IF($F438&lt;&gt;"",XLOOKUP($F438,Productos!$A:$A,Productos!H:H,"Revisar"),"")</f>
        <v/>
      </c>
      <c r="P438" s="179" t="str">
        <f t="array" ref="P438">IF($F438&lt;&gt;"", XLOOKUP($F438,Productos!$A$2:$A1001,Productos!I$2:I1001,"")*$G438,"")</f>
        <v/>
      </c>
      <c r="Q438" s="179" t="str">
        <f t="array" ref="Q438">IF($F438&lt;&gt;"",XLOOKUP($F438,Productos!$A:$A,Productos!J:J,"Revisar"),"")</f>
        <v/>
      </c>
      <c r="R438" s="179" t="str">
        <f t="array" ref="R438">IF($F438&lt;&gt;"", XLOOKUP($F438,Productos!$A$2:$A1001,Productos!K$2:K1001,"")*$G438,"")</f>
        <v/>
      </c>
      <c r="S438" s="179" t="str">
        <f t="array" ref="S438">IF($F438&lt;&gt;"",XLOOKUP($F438,Productos!$A:$A,Productos!L:L,"Revisar"),"")</f>
        <v/>
      </c>
      <c r="T438" s="179" t="str">
        <f t="array" ref="T438">IF($F438&lt;&gt;"", XLOOKUP($F438,Productos!$A$2:$A1001,Productos!M$2:M1001,"")*$G438,"")</f>
        <v/>
      </c>
      <c r="U438" s="179" t="str">
        <f t="array" ref="U438">IF($F438&lt;&gt;"",XLOOKUP($F438,Productos!$A:$A,Productos!N:N,"Revisar"),"")</f>
        <v/>
      </c>
      <c r="V438" s="179" t="str">
        <f t="array" ref="V438">IF($F438&lt;&gt;"", XLOOKUP($F438,Productos!$A$2:$A1001,Productos!O$2:O1001,"")*$G438,"")</f>
        <v/>
      </c>
      <c r="W438" s="179" t="str">
        <f t="array" ref="W438">IF($F438&lt;&gt;"",XLOOKUP($F438,Productos!$A:$A,Productos!P:P,"Revisar"),"")</f>
        <v/>
      </c>
      <c r="X438" s="179" t="str">
        <f t="array" ref="X438">IF($F438&lt;&gt;"", XLOOKUP($F438,Productos!$A$2:$A1001,Productos!Q$2:Q1001,"")*$G438,"")</f>
        <v/>
      </c>
      <c r="Y438" s="179" t="str">
        <f t="array" ref="Y438">IF($F438&lt;&gt;"",XLOOKUP($F438,Productos!$A:$A,Productos!R:R,"Revisar"),"")</f>
        <v/>
      </c>
      <c r="Z438" s="179" t="str">
        <f t="array" ref="Z438">IF($F438&lt;&gt;"", XLOOKUP($F438,Productos!$A$2:$A1001,Productos!S$2:S1001,"")*$G438,"")</f>
        <v/>
      </c>
      <c r="AA438" s="179" t="str">
        <f t="array" ref="AA438">IF($F438&lt;&gt;"",XLOOKUP($F438,Productos!$A:$A,Productos!T:T,"Revisar"),"")</f>
        <v/>
      </c>
      <c r="AB438" s="179" t="str">
        <f t="array" ref="AB438">IF($F438&lt;&gt;"", XLOOKUP($F438,Productos!$A$2:$A1001,Productos!U$2:U1001,"")*$G438,"")</f>
        <v/>
      </c>
      <c r="AC438" s="179" t="str">
        <f t="array" ref="AC438">IF($F438&lt;&gt;"",XLOOKUP($F438,Productos!$A:$A,Productos!V:V,"Revisar"),"")</f>
        <v/>
      </c>
      <c r="AD438" s="179" t="str">
        <f t="array" ref="AD438">IF($F438&lt;&gt;"", XLOOKUP($F438,Productos!$A$2:$A1001,Productos!W$2:W1001,"")*$G438,"")</f>
        <v/>
      </c>
      <c r="AE438" s="179" t="str">
        <f t="array" ref="AE438">IF($F438&lt;&gt;"",XLOOKUP($F438,Productos!$A:$A,Productos!X:X,"Revisar"),"")</f>
        <v/>
      </c>
      <c r="AF438" s="179" t="str">
        <f t="array" ref="AF438">IF($F438&lt;&gt;"", XLOOKUP($F438,Productos!$A$2:$A1001,Productos!Y$2:Y1001,"")*$G438,"")</f>
        <v/>
      </c>
      <c r="AG438" s="179" t="str">
        <f t="array" ref="AG438">IF($F438&lt;&gt;"",XLOOKUP($F438,Productos!$A:$A,Productos!Z:Z,"Revisar"),"")</f>
        <v/>
      </c>
      <c r="AH438" s="179" t="str">
        <f t="array" ref="AH438">IF($F438&lt;&gt;"", XLOOKUP($F438,Productos!$A$2:$A1001,Productos!AA$2:AA1001,"")*$G438,"")</f>
        <v/>
      </c>
      <c r="AI438" s="179" t="str">
        <f t="array" ref="AI438">IF($F438&lt;&gt;"",XLOOKUP($F438,Productos!$A:$A,Productos!AB:AB,"Revisar"),"")</f>
        <v/>
      </c>
      <c r="AJ438" s="179" t="str">
        <f t="array" ref="AJ438">IF($F438&lt;&gt;"", XLOOKUP($F438,Productos!$A$2:$A1001,Productos!AC$2:AC1001,"")*$G438,"")</f>
        <v/>
      </c>
      <c r="AK438" s="179" t="str">
        <f t="array" ref="AK438">IF($F438&lt;&gt;"",XLOOKUP($F438,Productos!$A:$A,Productos!AD:AD,"Revisar"),"")</f>
        <v/>
      </c>
      <c r="AL438" s="179" t="str">
        <f t="array" ref="AL438">IF($F438&lt;&gt;"", XLOOKUP($F438,Productos!$A$2:$A1001,Productos!AE$2:AE1001,"")*$G438,"")</f>
        <v/>
      </c>
      <c r="AM438" s="179" t="str">
        <f t="array" ref="AM438">IF($F438&lt;&gt;"",XLOOKUP($F438,Productos!$A:$A,Productos!AF:AF,"Revisar"),"")</f>
        <v/>
      </c>
      <c r="AN438" s="179" t="str">
        <f t="array" ref="AN438">IF($F438&lt;&gt;"", XLOOKUP($F438,Productos!$A$2:$A1001,Productos!AG$2:AG1001,"")*$G438,"")</f>
        <v/>
      </c>
      <c r="AO438" s="179" t="str">
        <f t="array" ref="AO438">IF($F438&lt;&gt;"",XLOOKUP($F438,Productos!$A:$A,Productos!AH:AH,"Revisar"),"")</f>
        <v/>
      </c>
      <c r="AP438" s="179" t="str">
        <f t="array" ref="AP438">IF($F438&lt;&gt;"", XLOOKUP($F438,Productos!$A$2:$A1001,Productos!AI$2:AI1001,"")*$G438,"")</f>
        <v/>
      </c>
      <c r="AQ438" s="179" t="str">
        <f t="array" ref="AQ438">IF($F438&lt;&gt;"",XLOOKUP($F438,Productos!$A:$A,Productos!AJ:AJ,"Revisar"),"")</f>
        <v/>
      </c>
      <c r="AR438" s="179" t="str">
        <f t="array" ref="AR438">IF($F438&lt;&gt;"", XLOOKUP($F438,Productos!$A$2:$A1001,Productos!AK$2:AK1001,"")*$G438,"")</f>
        <v/>
      </c>
      <c r="AS438" s="179" t="str">
        <f t="array" ref="AS438">IF($F438&lt;&gt;"",XLOOKUP($F438,Productos!$A:$A,Productos!AL:AL,"Revisar"),"")</f>
        <v/>
      </c>
      <c r="AT438" s="179" t="str">
        <f t="array" ref="AT438">IF($F438&lt;&gt;"", XLOOKUP($F438,Productos!$A$2:$A1001,Productos!AM$2:AM1001,"")*$G438,"")</f>
        <v/>
      </c>
      <c r="AU438" s="179" t="str">
        <f t="array" ref="AU438">IF($F438&lt;&gt;"",XLOOKUP($F438,Productos!$A:$A,Productos!AN:AN,"Revisar"),"")</f>
        <v/>
      </c>
      <c r="AV438" s="179" t="str">
        <f t="array" ref="AV438">IF($F438&lt;&gt;"", XLOOKUP($F438,Productos!$A$2:$A1001,Productos!AO$2:AO1001,"")*$G438,"")</f>
        <v/>
      </c>
      <c r="AW438" s="179" t="str">
        <f t="array" ref="AW438">IF($F438&lt;&gt;"",XLOOKUP($F438,Productos!$A:$A,Productos!AP:AP,"Revisar"),"")</f>
        <v/>
      </c>
      <c r="AX438" s="179" t="str">
        <f t="array" ref="AX438">IF($F438&lt;&gt;"", XLOOKUP($F438,Productos!$A$2:$A1001,Productos!AQ$2:AQ1001,"")*$G438,"")</f>
        <v/>
      </c>
      <c r="AY438" s="179" t="str">
        <f t="array" ref="AY438">IF($F438&lt;&gt;"",XLOOKUP($F438,Productos!$A:$A,Productos!AR:AR,"Revisar"),"")</f>
        <v/>
      </c>
      <c r="AZ438" s="179" t="str">
        <f t="array" ref="AZ438">IF($F438&lt;&gt;"", XLOOKUP($F438,Productos!$A$2:$A1001,Productos!AS$2:AS1001,"")*$G438,"")</f>
        <v/>
      </c>
      <c r="BA438" s="179" t="str">
        <f t="array" ref="BA438">IF($F438&lt;&gt;"",XLOOKUP($F438,Productos!$A:$A,Productos!AT:AT,"Revisar"),"")</f>
        <v/>
      </c>
      <c r="BB438" s="179" t="str">
        <f t="array" ref="BB438">IF($F438&lt;&gt;"", XLOOKUP($F438,Productos!$A$2:$A1001,Productos!AU$2:AU1001,"")*$G438,"")</f>
        <v/>
      </c>
      <c r="BC438" s="179" t="str">
        <f t="array" ref="BC438">IF($F438&lt;&gt;"",XLOOKUP($F438,Productos!$A:$A,Productos!AV:AV,"Revisar"),"")</f>
        <v/>
      </c>
      <c r="BD438" s="179" t="str">
        <f t="array" ref="BD438">IF($F438&lt;&gt;"", XLOOKUP($F438,Productos!$A$2:$A1001,Productos!AW$2:AW1001,"")*$G438,"")</f>
        <v/>
      </c>
      <c r="BE438" s="179" t="str">
        <f t="array" ref="BE438">IF($F438&lt;&gt;"",XLOOKUP($F438,Productos!$A:$A,Productos!AX:AX,"Revisar"),"")</f>
        <v/>
      </c>
      <c r="BF438" s="179" t="str">
        <f t="array" ref="BF438">IF($F438&lt;&gt;"", XLOOKUP($F438,Productos!$A$2:$A1001,Productos!AY$2:AY1001,"")*$G438,"")</f>
        <v/>
      </c>
      <c r="BG438" s="179" t="str">
        <f t="array" ref="BG438">IF($F438&lt;&gt;"",XLOOKUP($F438,Productos!$A:$A,Productos!AZ:AZ,"Revisar"),"")</f>
        <v/>
      </c>
      <c r="BH438" s="179" t="str">
        <f t="array" ref="BH438">IF($F438&lt;&gt;"", XLOOKUP($F438,Productos!$A$2:$A1001,Productos!BA$2:BA1001,"")*$G438,"")</f>
        <v/>
      </c>
      <c r="BI438" s="179" t="str">
        <f t="array" ref="BI438">IF($F438&lt;&gt;"",XLOOKUP($F438,Productos!$A:$A,Productos!BB:BB,"Revisar"),"")</f>
        <v/>
      </c>
      <c r="BJ438" s="179" t="str">
        <f t="array" ref="BJ438">IF($F438&lt;&gt;"", XLOOKUP($F438,Productos!$A$2:$A1001,Productos!BC$2:BC1001,"")*$G438,"")</f>
        <v/>
      </c>
      <c r="BK438" s="179" t="str">
        <f t="array" ref="BK438">IF($F438&lt;&gt;"",XLOOKUP($F438,Productos!$A:$A,Productos!BD:BD,"Revisar"),"")</f>
        <v/>
      </c>
      <c r="BL438" s="179" t="str">
        <f t="array" ref="BL438">IF($F438&lt;&gt;"", XLOOKUP($F438,Productos!$A$2:$A1001,Productos!BE$2:BE1001,"")*$G438,"")</f>
        <v/>
      </c>
      <c r="BM438" s="179" t="str">
        <f t="array" ref="BM438">IF($F438&lt;&gt;"",XLOOKUP($F438,Productos!$A:$A,Productos!BF:BF,"Revisar"),"")</f>
        <v/>
      </c>
      <c r="BN438" s="179" t="str">
        <f t="array" ref="BN438">IF($F438&lt;&gt;"", XLOOKUP($F438,Productos!$A$2:$A1001,Productos!BG$2:BG1001,"")*$G438,"")</f>
        <v/>
      </c>
      <c r="BO438" s="179" t="str">
        <f t="array" ref="BO438">IF($F438&lt;&gt;"",XLOOKUP($F438,Productos!$A:$A,Productos!BH:BH,"Revisar"),"")</f>
        <v/>
      </c>
      <c r="BP438" s="179" t="str">
        <f t="array" ref="BP438">IF($F438&lt;&gt;"", XLOOKUP($F438,Productos!$A$2:$A1001,Productos!BI$2:BI1001,"")*$G438,"")</f>
        <v/>
      </c>
      <c r="BQ438" s="179" t="str">
        <f t="array" ref="BQ438">IF($F438&lt;&gt;"",XLOOKUP($F438,Productos!$A:$A,Productos!BJ:BJ,"Revisar"),"")</f>
        <v/>
      </c>
      <c r="BR438" s="179" t="str">
        <f t="array" ref="BR438">IF($F438&lt;&gt;"", XLOOKUP($F438,Productos!$A$2:$A1001,Productos!BK$2:BK1001,"")*$G438,"")</f>
        <v/>
      </c>
      <c r="BS438" s="179" t="str">
        <f t="array" ref="BS438">IF($F438&lt;&gt;"",XLOOKUP($F438,Productos!$A:$A,Productos!BL:BL,"Revisar"),"")</f>
        <v/>
      </c>
      <c r="BT438" s="179" t="str">
        <f t="array" ref="BT438">IF($F438&lt;&gt;"", XLOOKUP($F438,Productos!$A$2:$A1001,Productos!BM$2:BM1001,"")*$G438,"")</f>
        <v/>
      </c>
      <c r="BU438" s="179" t="str">
        <f t="array" ref="BU438">IF($F438&lt;&gt;"",XLOOKUP($F438,Productos!$A:$A,Productos!BN:BN,"Revisar"),"")</f>
        <v/>
      </c>
      <c r="BV438" s="179" t="str">
        <f t="array" ref="BV438">IF($F438&lt;&gt;"", XLOOKUP($F438,Productos!$A$2:$A1001,Productos!BO$2:BO1001,"")*$G438,"")</f>
        <v/>
      </c>
      <c r="BW438" s="179" t="str">
        <f t="array" ref="BW438">IF($F438&lt;&gt;"",XLOOKUP($F438,Productos!$A:$A,Productos!BP:BP,"Revisar"),"")</f>
        <v/>
      </c>
      <c r="BX438" s="179" t="str">
        <f t="array" ref="BX438">IF($F438&lt;&gt;"", XLOOKUP($F438,Productos!$A$2:$A1001,Productos!BQ$2:BQ1001,"")*$G438,"")</f>
        <v/>
      </c>
      <c r="BY438" s="179" t="str">
        <f t="array" ref="BY438">IF($F438&lt;&gt;"",XLOOKUP($F438,Productos!$A:$A,Productos!BR:BR,"Revisar"),"")</f>
        <v/>
      </c>
      <c r="BZ438" s="179" t="str">
        <f t="array" ref="BZ438">IF($F438&lt;&gt;"", XLOOKUP($F438,Productos!$A$2:$A1001,Productos!BS$2:BS1001,"")*$G438,"")</f>
        <v/>
      </c>
    </row>
    <row r="439">
      <c r="A439" s="188"/>
      <c r="B439" s="189"/>
      <c r="C439" s="190"/>
      <c r="D439" s="190"/>
      <c r="E439" s="191"/>
      <c r="F439" s="186"/>
      <c r="G439" s="192"/>
      <c r="H439" s="9"/>
      <c r="I439" s="179" t="str">
        <f t="array" ref="I439">IF($F439&lt;&gt;"",XLOOKUP($F439,Productos!$A:$A,Productos!B:B,"Revisar"),"")</f>
        <v/>
      </c>
      <c r="J439" s="179" t="str">
        <f t="array" ref="J439">IF($F439&lt;&gt;"", XLOOKUP($F439,Productos!$A$2:$A1001,Productos!C$2:C1001,"")*$G439,"")</f>
        <v/>
      </c>
      <c r="K439" s="179" t="str">
        <f t="array" ref="K439">IF($F439&lt;&gt;"",XLOOKUP($F439,Productos!$A:$A,Productos!D:D,"Revisar"),"")</f>
        <v/>
      </c>
      <c r="L439" s="179" t="str">
        <f t="array" ref="L439">IF($F439&lt;&gt;"", XLOOKUP($F439,Productos!$A$2:$A1001,Productos!E$2:E1001,"")*$G439,"")</f>
        <v/>
      </c>
      <c r="M439" s="179" t="str">
        <f t="array" ref="M439">IF($F439&lt;&gt;"",XLOOKUP($F439,Productos!$A:$A,Productos!F:F,"Revisar"),"")</f>
        <v/>
      </c>
      <c r="N439" s="179" t="str">
        <f t="array" ref="N439">IF($F439&lt;&gt;"", XLOOKUP($F439,Productos!$A$2:$A1001,Productos!G$2:G1001,"")*$G439,"")</f>
        <v/>
      </c>
      <c r="O439" s="179" t="str">
        <f t="array" ref="O439">IF($F439&lt;&gt;"",XLOOKUP($F439,Productos!$A:$A,Productos!H:H,"Revisar"),"")</f>
        <v/>
      </c>
      <c r="P439" s="179" t="str">
        <f t="array" ref="P439">IF($F439&lt;&gt;"", XLOOKUP($F439,Productos!$A$2:$A1001,Productos!I$2:I1001,"")*$G439,"")</f>
        <v/>
      </c>
      <c r="Q439" s="179" t="str">
        <f t="array" ref="Q439">IF($F439&lt;&gt;"",XLOOKUP($F439,Productos!$A:$A,Productos!J:J,"Revisar"),"")</f>
        <v/>
      </c>
      <c r="R439" s="179" t="str">
        <f t="array" ref="R439">IF($F439&lt;&gt;"", XLOOKUP($F439,Productos!$A$2:$A1001,Productos!K$2:K1001,"")*$G439,"")</f>
        <v/>
      </c>
      <c r="S439" s="179" t="str">
        <f t="array" ref="S439">IF($F439&lt;&gt;"",XLOOKUP($F439,Productos!$A:$A,Productos!L:L,"Revisar"),"")</f>
        <v/>
      </c>
      <c r="T439" s="179" t="str">
        <f t="array" ref="T439">IF($F439&lt;&gt;"", XLOOKUP($F439,Productos!$A$2:$A1001,Productos!M$2:M1001,"")*$G439,"")</f>
        <v/>
      </c>
      <c r="U439" s="179" t="str">
        <f t="array" ref="U439">IF($F439&lt;&gt;"",XLOOKUP($F439,Productos!$A:$A,Productos!N:N,"Revisar"),"")</f>
        <v/>
      </c>
      <c r="V439" s="179" t="str">
        <f t="array" ref="V439">IF($F439&lt;&gt;"", XLOOKUP($F439,Productos!$A$2:$A1001,Productos!O$2:O1001,"")*$G439,"")</f>
        <v/>
      </c>
      <c r="W439" s="179" t="str">
        <f t="array" ref="W439">IF($F439&lt;&gt;"",XLOOKUP($F439,Productos!$A:$A,Productos!P:P,"Revisar"),"")</f>
        <v/>
      </c>
      <c r="X439" s="179" t="str">
        <f t="array" ref="X439">IF($F439&lt;&gt;"", XLOOKUP($F439,Productos!$A$2:$A1001,Productos!Q$2:Q1001,"")*$G439,"")</f>
        <v/>
      </c>
      <c r="Y439" s="179" t="str">
        <f t="array" ref="Y439">IF($F439&lt;&gt;"",XLOOKUP($F439,Productos!$A:$A,Productos!R:R,"Revisar"),"")</f>
        <v/>
      </c>
      <c r="Z439" s="179" t="str">
        <f t="array" ref="Z439">IF($F439&lt;&gt;"", XLOOKUP($F439,Productos!$A$2:$A1001,Productos!S$2:S1001,"")*$G439,"")</f>
        <v/>
      </c>
      <c r="AA439" s="179" t="str">
        <f t="array" ref="AA439">IF($F439&lt;&gt;"",XLOOKUP($F439,Productos!$A:$A,Productos!T:T,"Revisar"),"")</f>
        <v/>
      </c>
      <c r="AB439" s="179" t="str">
        <f t="array" ref="AB439">IF($F439&lt;&gt;"", XLOOKUP($F439,Productos!$A$2:$A1001,Productos!U$2:U1001,"")*$G439,"")</f>
        <v/>
      </c>
      <c r="AC439" s="179" t="str">
        <f t="array" ref="AC439">IF($F439&lt;&gt;"",XLOOKUP($F439,Productos!$A:$A,Productos!V:V,"Revisar"),"")</f>
        <v/>
      </c>
      <c r="AD439" s="179" t="str">
        <f t="array" ref="AD439">IF($F439&lt;&gt;"", XLOOKUP($F439,Productos!$A$2:$A1001,Productos!W$2:W1001,"")*$G439,"")</f>
        <v/>
      </c>
      <c r="AE439" s="179" t="str">
        <f t="array" ref="AE439">IF($F439&lt;&gt;"",XLOOKUP($F439,Productos!$A:$A,Productos!X:X,"Revisar"),"")</f>
        <v/>
      </c>
      <c r="AF439" s="179" t="str">
        <f t="array" ref="AF439">IF($F439&lt;&gt;"", XLOOKUP($F439,Productos!$A$2:$A1001,Productos!Y$2:Y1001,"")*$G439,"")</f>
        <v/>
      </c>
      <c r="AG439" s="179" t="str">
        <f t="array" ref="AG439">IF($F439&lt;&gt;"",XLOOKUP($F439,Productos!$A:$A,Productos!Z:Z,"Revisar"),"")</f>
        <v/>
      </c>
      <c r="AH439" s="179" t="str">
        <f t="array" ref="AH439">IF($F439&lt;&gt;"", XLOOKUP($F439,Productos!$A$2:$A1001,Productos!AA$2:AA1001,"")*$G439,"")</f>
        <v/>
      </c>
      <c r="AI439" s="179" t="str">
        <f t="array" ref="AI439">IF($F439&lt;&gt;"",XLOOKUP($F439,Productos!$A:$A,Productos!AB:AB,"Revisar"),"")</f>
        <v/>
      </c>
      <c r="AJ439" s="179" t="str">
        <f t="array" ref="AJ439">IF($F439&lt;&gt;"", XLOOKUP($F439,Productos!$A$2:$A1001,Productos!AC$2:AC1001,"")*$G439,"")</f>
        <v/>
      </c>
      <c r="AK439" s="179" t="str">
        <f t="array" ref="AK439">IF($F439&lt;&gt;"",XLOOKUP($F439,Productos!$A:$A,Productos!AD:AD,"Revisar"),"")</f>
        <v/>
      </c>
      <c r="AL439" s="179" t="str">
        <f t="array" ref="AL439">IF($F439&lt;&gt;"", XLOOKUP($F439,Productos!$A$2:$A1001,Productos!AE$2:AE1001,"")*$G439,"")</f>
        <v/>
      </c>
      <c r="AM439" s="179" t="str">
        <f t="array" ref="AM439">IF($F439&lt;&gt;"",XLOOKUP($F439,Productos!$A:$A,Productos!AF:AF,"Revisar"),"")</f>
        <v/>
      </c>
      <c r="AN439" s="179" t="str">
        <f t="array" ref="AN439">IF($F439&lt;&gt;"", XLOOKUP($F439,Productos!$A$2:$A1001,Productos!AG$2:AG1001,"")*$G439,"")</f>
        <v/>
      </c>
      <c r="AO439" s="179" t="str">
        <f t="array" ref="AO439">IF($F439&lt;&gt;"",XLOOKUP($F439,Productos!$A:$A,Productos!AH:AH,"Revisar"),"")</f>
        <v/>
      </c>
      <c r="AP439" s="179" t="str">
        <f t="array" ref="AP439">IF($F439&lt;&gt;"", XLOOKUP($F439,Productos!$A$2:$A1001,Productos!AI$2:AI1001,"")*$G439,"")</f>
        <v/>
      </c>
      <c r="AQ439" s="179" t="str">
        <f t="array" ref="AQ439">IF($F439&lt;&gt;"",XLOOKUP($F439,Productos!$A:$A,Productos!AJ:AJ,"Revisar"),"")</f>
        <v/>
      </c>
      <c r="AR439" s="179" t="str">
        <f t="array" ref="AR439">IF($F439&lt;&gt;"", XLOOKUP($F439,Productos!$A$2:$A1001,Productos!AK$2:AK1001,"")*$G439,"")</f>
        <v/>
      </c>
      <c r="AS439" s="179" t="str">
        <f t="array" ref="AS439">IF($F439&lt;&gt;"",XLOOKUP($F439,Productos!$A:$A,Productos!AL:AL,"Revisar"),"")</f>
        <v/>
      </c>
      <c r="AT439" s="179" t="str">
        <f t="array" ref="AT439">IF($F439&lt;&gt;"", XLOOKUP($F439,Productos!$A$2:$A1001,Productos!AM$2:AM1001,"")*$G439,"")</f>
        <v/>
      </c>
      <c r="AU439" s="179" t="str">
        <f t="array" ref="AU439">IF($F439&lt;&gt;"",XLOOKUP($F439,Productos!$A:$A,Productos!AN:AN,"Revisar"),"")</f>
        <v/>
      </c>
      <c r="AV439" s="179" t="str">
        <f t="array" ref="AV439">IF($F439&lt;&gt;"", XLOOKUP($F439,Productos!$A$2:$A1001,Productos!AO$2:AO1001,"")*$G439,"")</f>
        <v/>
      </c>
      <c r="AW439" s="179" t="str">
        <f t="array" ref="AW439">IF($F439&lt;&gt;"",XLOOKUP($F439,Productos!$A:$A,Productos!AP:AP,"Revisar"),"")</f>
        <v/>
      </c>
      <c r="AX439" s="179" t="str">
        <f t="array" ref="AX439">IF($F439&lt;&gt;"", XLOOKUP($F439,Productos!$A$2:$A1001,Productos!AQ$2:AQ1001,"")*$G439,"")</f>
        <v/>
      </c>
      <c r="AY439" s="179" t="str">
        <f t="array" ref="AY439">IF($F439&lt;&gt;"",XLOOKUP($F439,Productos!$A:$A,Productos!AR:AR,"Revisar"),"")</f>
        <v/>
      </c>
      <c r="AZ439" s="179" t="str">
        <f t="array" ref="AZ439">IF($F439&lt;&gt;"", XLOOKUP($F439,Productos!$A$2:$A1001,Productos!AS$2:AS1001,"")*$G439,"")</f>
        <v/>
      </c>
      <c r="BA439" s="179" t="str">
        <f t="array" ref="BA439">IF($F439&lt;&gt;"",XLOOKUP($F439,Productos!$A:$A,Productos!AT:AT,"Revisar"),"")</f>
        <v/>
      </c>
      <c r="BB439" s="179" t="str">
        <f t="array" ref="BB439">IF($F439&lt;&gt;"", XLOOKUP($F439,Productos!$A$2:$A1001,Productos!AU$2:AU1001,"")*$G439,"")</f>
        <v/>
      </c>
      <c r="BC439" s="179" t="str">
        <f t="array" ref="BC439">IF($F439&lt;&gt;"",XLOOKUP($F439,Productos!$A:$A,Productos!AV:AV,"Revisar"),"")</f>
        <v/>
      </c>
      <c r="BD439" s="179" t="str">
        <f t="array" ref="BD439">IF($F439&lt;&gt;"", XLOOKUP($F439,Productos!$A$2:$A1001,Productos!AW$2:AW1001,"")*$G439,"")</f>
        <v/>
      </c>
      <c r="BE439" s="179" t="str">
        <f t="array" ref="BE439">IF($F439&lt;&gt;"",XLOOKUP($F439,Productos!$A:$A,Productos!AX:AX,"Revisar"),"")</f>
        <v/>
      </c>
      <c r="BF439" s="179" t="str">
        <f t="array" ref="BF439">IF($F439&lt;&gt;"", XLOOKUP($F439,Productos!$A$2:$A1001,Productos!AY$2:AY1001,"")*$G439,"")</f>
        <v/>
      </c>
      <c r="BG439" s="179" t="str">
        <f t="array" ref="BG439">IF($F439&lt;&gt;"",XLOOKUP($F439,Productos!$A:$A,Productos!AZ:AZ,"Revisar"),"")</f>
        <v/>
      </c>
      <c r="BH439" s="179" t="str">
        <f t="array" ref="BH439">IF($F439&lt;&gt;"", XLOOKUP($F439,Productos!$A$2:$A1001,Productos!BA$2:BA1001,"")*$G439,"")</f>
        <v/>
      </c>
      <c r="BI439" s="179" t="str">
        <f t="array" ref="BI439">IF($F439&lt;&gt;"",XLOOKUP($F439,Productos!$A:$A,Productos!BB:BB,"Revisar"),"")</f>
        <v/>
      </c>
      <c r="BJ439" s="179" t="str">
        <f t="array" ref="BJ439">IF($F439&lt;&gt;"", XLOOKUP($F439,Productos!$A$2:$A1001,Productos!BC$2:BC1001,"")*$G439,"")</f>
        <v/>
      </c>
      <c r="BK439" s="179" t="str">
        <f t="array" ref="BK439">IF($F439&lt;&gt;"",XLOOKUP($F439,Productos!$A:$A,Productos!BD:BD,"Revisar"),"")</f>
        <v/>
      </c>
      <c r="BL439" s="179" t="str">
        <f t="array" ref="BL439">IF($F439&lt;&gt;"", XLOOKUP($F439,Productos!$A$2:$A1001,Productos!BE$2:BE1001,"")*$G439,"")</f>
        <v/>
      </c>
      <c r="BM439" s="179" t="str">
        <f t="array" ref="BM439">IF($F439&lt;&gt;"",XLOOKUP($F439,Productos!$A:$A,Productos!BF:BF,"Revisar"),"")</f>
        <v/>
      </c>
      <c r="BN439" s="179" t="str">
        <f t="array" ref="BN439">IF($F439&lt;&gt;"", XLOOKUP($F439,Productos!$A$2:$A1001,Productos!BG$2:BG1001,"")*$G439,"")</f>
        <v/>
      </c>
      <c r="BO439" s="179" t="str">
        <f t="array" ref="BO439">IF($F439&lt;&gt;"",XLOOKUP($F439,Productos!$A:$A,Productos!BH:BH,"Revisar"),"")</f>
        <v/>
      </c>
      <c r="BP439" s="179" t="str">
        <f t="array" ref="BP439">IF($F439&lt;&gt;"", XLOOKUP($F439,Productos!$A$2:$A1001,Productos!BI$2:BI1001,"")*$G439,"")</f>
        <v/>
      </c>
      <c r="BQ439" s="179" t="str">
        <f t="array" ref="BQ439">IF($F439&lt;&gt;"",XLOOKUP($F439,Productos!$A:$A,Productos!BJ:BJ,"Revisar"),"")</f>
        <v/>
      </c>
      <c r="BR439" s="179" t="str">
        <f t="array" ref="BR439">IF($F439&lt;&gt;"", XLOOKUP($F439,Productos!$A$2:$A1001,Productos!BK$2:BK1001,"")*$G439,"")</f>
        <v/>
      </c>
      <c r="BS439" s="179" t="str">
        <f t="array" ref="BS439">IF($F439&lt;&gt;"",XLOOKUP($F439,Productos!$A:$A,Productos!BL:BL,"Revisar"),"")</f>
        <v/>
      </c>
      <c r="BT439" s="179" t="str">
        <f t="array" ref="BT439">IF($F439&lt;&gt;"", XLOOKUP($F439,Productos!$A$2:$A1001,Productos!BM$2:BM1001,"")*$G439,"")</f>
        <v/>
      </c>
      <c r="BU439" s="179" t="str">
        <f t="array" ref="BU439">IF($F439&lt;&gt;"",XLOOKUP($F439,Productos!$A:$A,Productos!BN:BN,"Revisar"),"")</f>
        <v/>
      </c>
      <c r="BV439" s="179" t="str">
        <f t="array" ref="BV439">IF($F439&lt;&gt;"", XLOOKUP($F439,Productos!$A$2:$A1001,Productos!BO$2:BO1001,"")*$G439,"")</f>
        <v/>
      </c>
      <c r="BW439" s="179" t="str">
        <f t="array" ref="BW439">IF($F439&lt;&gt;"",XLOOKUP($F439,Productos!$A:$A,Productos!BP:BP,"Revisar"),"")</f>
        <v/>
      </c>
      <c r="BX439" s="179" t="str">
        <f t="array" ref="BX439">IF($F439&lt;&gt;"", XLOOKUP($F439,Productos!$A$2:$A1001,Productos!BQ$2:BQ1001,"")*$G439,"")</f>
        <v/>
      </c>
      <c r="BY439" s="179" t="str">
        <f t="array" ref="BY439">IF($F439&lt;&gt;"",XLOOKUP($F439,Productos!$A:$A,Productos!BR:BR,"Revisar"),"")</f>
        <v/>
      </c>
      <c r="BZ439" s="179" t="str">
        <f t="array" ref="BZ439">IF($F439&lt;&gt;"", XLOOKUP($F439,Productos!$A$2:$A1001,Productos!BS$2:BS1001,"")*$G439,"")</f>
        <v/>
      </c>
    </row>
    <row r="440">
      <c r="A440" s="188"/>
      <c r="B440" s="189"/>
      <c r="C440" s="190"/>
      <c r="D440" s="190"/>
      <c r="E440" s="191"/>
      <c r="F440" s="186"/>
      <c r="G440" s="192"/>
      <c r="H440" s="9"/>
      <c r="I440" s="179" t="str">
        <f t="array" ref="I440">IF($F440&lt;&gt;"",XLOOKUP($F440,Productos!$A:$A,Productos!B:B,"Revisar"),"")</f>
        <v/>
      </c>
      <c r="J440" s="179" t="str">
        <f t="array" ref="J440">IF($F440&lt;&gt;"", XLOOKUP($F440,Productos!$A$2:$A1001,Productos!C$2:C1001,"")*$G440,"")</f>
        <v/>
      </c>
      <c r="K440" s="179" t="str">
        <f t="array" ref="K440">IF($F440&lt;&gt;"",XLOOKUP($F440,Productos!$A:$A,Productos!D:D,"Revisar"),"")</f>
        <v/>
      </c>
      <c r="L440" s="179" t="str">
        <f t="array" ref="L440">IF($F440&lt;&gt;"", XLOOKUP($F440,Productos!$A$2:$A1001,Productos!E$2:E1001,"")*$G440,"")</f>
        <v/>
      </c>
      <c r="M440" s="179" t="str">
        <f t="array" ref="M440">IF($F440&lt;&gt;"",XLOOKUP($F440,Productos!$A:$A,Productos!F:F,"Revisar"),"")</f>
        <v/>
      </c>
      <c r="N440" s="179" t="str">
        <f t="array" ref="N440">IF($F440&lt;&gt;"", XLOOKUP($F440,Productos!$A$2:$A1001,Productos!G$2:G1001,"")*$G440,"")</f>
        <v/>
      </c>
      <c r="O440" s="179" t="str">
        <f t="array" ref="O440">IF($F440&lt;&gt;"",XLOOKUP($F440,Productos!$A:$A,Productos!H:H,"Revisar"),"")</f>
        <v/>
      </c>
      <c r="P440" s="179" t="str">
        <f t="array" ref="P440">IF($F440&lt;&gt;"", XLOOKUP($F440,Productos!$A$2:$A1001,Productos!I$2:I1001,"")*$G440,"")</f>
        <v/>
      </c>
      <c r="Q440" s="179" t="str">
        <f t="array" ref="Q440">IF($F440&lt;&gt;"",XLOOKUP($F440,Productos!$A:$A,Productos!J:J,"Revisar"),"")</f>
        <v/>
      </c>
      <c r="R440" s="179" t="str">
        <f t="array" ref="R440">IF($F440&lt;&gt;"", XLOOKUP($F440,Productos!$A$2:$A1001,Productos!K$2:K1001,"")*$G440,"")</f>
        <v/>
      </c>
      <c r="S440" s="179" t="str">
        <f t="array" ref="S440">IF($F440&lt;&gt;"",XLOOKUP($F440,Productos!$A:$A,Productos!L:L,"Revisar"),"")</f>
        <v/>
      </c>
      <c r="T440" s="179" t="str">
        <f t="array" ref="T440">IF($F440&lt;&gt;"", XLOOKUP($F440,Productos!$A$2:$A1001,Productos!M$2:M1001,"")*$G440,"")</f>
        <v/>
      </c>
      <c r="U440" s="179" t="str">
        <f t="array" ref="U440">IF($F440&lt;&gt;"",XLOOKUP($F440,Productos!$A:$A,Productos!N:N,"Revisar"),"")</f>
        <v/>
      </c>
      <c r="V440" s="179" t="str">
        <f t="array" ref="V440">IF($F440&lt;&gt;"", XLOOKUP($F440,Productos!$A$2:$A1001,Productos!O$2:O1001,"")*$G440,"")</f>
        <v/>
      </c>
      <c r="W440" s="179" t="str">
        <f t="array" ref="W440">IF($F440&lt;&gt;"",XLOOKUP($F440,Productos!$A:$A,Productos!P:P,"Revisar"),"")</f>
        <v/>
      </c>
      <c r="X440" s="179" t="str">
        <f t="array" ref="X440">IF($F440&lt;&gt;"", XLOOKUP($F440,Productos!$A$2:$A1001,Productos!Q$2:Q1001,"")*$G440,"")</f>
        <v/>
      </c>
      <c r="Y440" s="179" t="str">
        <f t="array" ref="Y440">IF($F440&lt;&gt;"",XLOOKUP($F440,Productos!$A:$A,Productos!R:R,"Revisar"),"")</f>
        <v/>
      </c>
      <c r="Z440" s="179" t="str">
        <f t="array" ref="Z440">IF($F440&lt;&gt;"", XLOOKUP($F440,Productos!$A$2:$A1001,Productos!S$2:S1001,"")*$G440,"")</f>
        <v/>
      </c>
      <c r="AA440" s="179" t="str">
        <f t="array" ref="AA440">IF($F440&lt;&gt;"",XLOOKUP($F440,Productos!$A:$A,Productos!T:T,"Revisar"),"")</f>
        <v/>
      </c>
      <c r="AB440" s="179" t="str">
        <f t="array" ref="AB440">IF($F440&lt;&gt;"", XLOOKUP($F440,Productos!$A$2:$A1001,Productos!U$2:U1001,"")*$G440,"")</f>
        <v/>
      </c>
      <c r="AC440" s="179" t="str">
        <f t="array" ref="AC440">IF($F440&lt;&gt;"",XLOOKUP($F440,Productos!$A:$A,Productos!V:V,"Revisar"),"")</f>
        <v/>
      </c>
      <c r="AD440" s="179" t="str">
        <f t="array" ref="AD440">IF($F440&lt;&gt;"", XLOOKUP($F440,Productos!$A$2:$A1001,Productos!W$2:W1001,"")*$G440,"")</f>
        <v/>
      </c>
      <c r="AE440" s="179" t="str">
        <f t="array" ref="AE440">IF($F440&lt;&gt;"",XLOOKUP($F440,Productos!$A:$A,Productos!X:X,"Revisar"),"")</f>
        <v/>
      </c>
      <c r="AF440" s="179" t="str">
        <f t="array" ref="AF440">IF($F440&lt;&gt;"", XLOOKUP($F440,Productos!$A$2:$A1001,Productos!Y$2:Y1001,"")*$G440,"")</f>
        <v/>
      </c>
      <c r="AG440" s="179" t="str">
        <f t="array" ref="AG440">IF($F440&lt;&gt;"",XLOOKUP($F440,Productos!$A:$A,Productos!Z:Z,"Revisar"),"")</f>
        <v/>
      </c>
      <c r="AH440" s="179" t="str">
        <f t="array" ref="AH440">IF($F440&lt;&gt;"", XLOOKUP($F440,Productos!$A$2:$A1001,Productos!AA$2:AA1001,"")*$G440,"")</f>
        <v/>
      </c>
      <c r="AI440" s="179" t="str">
        <f t="array" ref="AI440">IF($F440&lt;&gt;"",XLOOKUP($F440,Productos!$A:$A,Productos!AB:AB,"Revisar"),"")</f>
        <v/>
      </c>
      <c r="AJ440" s="179" t="str">
        <f t="array" ref="AJ440">IF($F440&lt;&gt;"", XLOOKUP($F440,Productos!$A$2:$A1001,Productos!AC$2:AC1001,"")*$G440,"")</f>
        <v/>
      </c>
      <c r="AK440" s="179" t="str">
        <f t="array" ref="AK440">IF($F440&lt;&gt;"",XLOOKUP($F440,Productos!$A:$A,Productos!AD:AD,"Revisar"),"")</f>
        <v/>
      </c>
      <c r="AL440" s="179" t="str">
        <f t="array" ref="AL440">IF($F440&lt;&gt;"", XLOOKUP($F440,Productos!$A$2:$A1001,Productos!AE$2:AE1001,"")*$G440,"")</f>
        <v/>
      </c>
      <c r="AM440" s="179" t="str">
        <f t="array" ref="AM440">IF($F440&lt;&gt;"",XLOOKUP($F440,Productos!$A:$A,Productos!AF:AF,"Revisar"),"")</f>
        <v/>
      </c>
      <c r="AN440" s="179" t="str">
        <f t="array" ref="AN440">IF($F440&lt;&gt;"", XLOOKUP($F440,Productos!$A$2:$A1001,Productos!AG$2:AG1001,"")*$G440,"")</f>
        <v/>
      </c>
      <c r="AO440" s="179" t="str">
        <f t="array" ref="AO440">IF($F440&lt;&gt;"",XLOOKUP($F440,Productos!$A:$A,Productos!AH:AH,"Revisar"),"")</f>
        <v/>
      </c>
      <c r="AP440" s="179" t="str">
        <f t="array" ref="AP440">IF($F440&lt;&gt;"", XLOOKUP($F440,Productos!$A$2:$A1001,Productos!AI$2:AI1001,"")*$G440,"")</f>
        <v/>
      </c>
      <c r="AQ440" s="179" t="str">
        <f t="array" ref="AQ440">IF($F440&lt;&gt;"",XLOOKUP($F440,Productos!$A:$A,Productos!AJ:AJ,"Revisar"),"")</f>
        <v/>
      </c>
      <c r="AR440" s="179" t="str">
        <f t="array" ref="AR440">IF($F440&lt;&gt;"", XLOOKUP($F440,Productos!$A$2:$A1001,Productos!AK$2:AK1001,"")*$G440,"")</f>
        <v/>
      </c>
      <c r="AS440" s="179" t="str">
        <f t="array" ref="AS440">IF($F440&lt;&gt;"",XLOOKUP($F440,Productos!$A:$A,Productos!AL:AL,"Revisar"),"")</f>
        <v/>
      </c>
      <c r="AT440" s="179" t="str">
        <f t="array" ref="AT440">IF($F440&lt;&gt;"", XLOOKUP($F440,Productos!$A$2:$A1001,Productos!AM$2:AM1001,"")*$G440,"")</f>
        <v/>
      </c>
      <c r="AU440" s="179" t="str">
        <f t="array" ref="AU440">IF($F440&lt;&gt;"",XLOOKUP($F440,Productos!$A:$A,Productos!AN:AN,"Revisar"),"")</f>
        <v/>
      </c>
      <c r="AV440" s="179" t="str">
        <f t="array" ref="AV440">IF($F440&lt;&gt;"", XLOOKUP($F440,Productos!$A$2:$A1001,Productos!AO$2:AO1001,"")*$G440,"")</f>
        <v/>
      </c>
      <c r="AW440" s="179" t="str">
        <f t="array" ref="AW440">IF($F440&lt;&gt;"",XLOOKUP($F440,Productos!$A:$A,Productos!AP:AP,"Revisar"),"")</f>
        <v/>
      </c>
      <c r="AX440" s="179" t="str">
        <f t="array" ref="AX440">IF($F440&lt;&gt;"", XLOOKUP($F440,Productos!$A$2:$A1001,Productos!AQ$2:AQ1001,"")*$G440,"")</f>
        <v/>
      </c>
      <c r="AY440" s="179" t="str">
        <f t="array" ref="AY440">IF($F440&lt;&gt;"",XLOOKUP($F440,Productos!$A:$A,Productos!AR:AR,"Revisar"),"")</f>
        <v/>
      </c>
      <c r="AZ440" s="179" t="str">
        <f t="array" ref="AZ440">IF($F440&lt;&gt;"", XLOOKUP($F440,Productos!$A$2:$A1001,Productos!AS$2:AS1001,"")*$G440,"")</f>
        <v/>
      </c>
      <c r="BA440" s="179" t="str">
        <f t="array" ref="BA440">IF($F440&lt;&gt;"",XLOOKUP($F440,Productos!$A:$A,Productos!AT:AT,"Revisar"),"")</f>
        <v/>
      </c>
      <c r="BB440" s="179" t="str">
        <f t="array" ref="BB440">IF($F440&lt;&gt;"", XLOOKUP($F440,Productos!$A$2:$A1001,Productos!AU$2:AU1001,"")*$G440,"")</f>
        <v/>
      </c>
      <c r="BC440" s="179" t="str">
        <f t="array" ref="BC440">IF($F440&lt;&gt;"",XLOOKUP($F440,Productos!$A:$A,Productos!AV:AV,"Revisar"),"")</f>
        <v/>
      </c>
      <c r="BD440" s="179" t="str">
        <f t="array" ref="BD440">IF($F440&lt;&gt;"", XLOOKUP($F440,Productos!$A$2:$A1001,Productos!AW$2:AW1001,"")*$G440,"")</f>
        <v/>
      </c>
      <c r="BE440" s="179" t="str">
        <f t="array" ref="BE440">IF($F440&lt;&gt;"",XLOOKUP($F440,Productos!$A:$A,Productos!AX:AX,"Revisar"),"")</f>
        <v/>
      </c>
      <c r="BF440" s="179" t="str">
        <f t="array" ref="BF440">IF($F440&lt;&gt;"", XLOOKUP($F440,Productos!$A$2:$A1001,Productos!AY$2:AY1001,"")*$G440,"")</f>
        <v/>
      </c>
      <c r="BG440" s="179" t="str">
        <f t="array" ref="BG440">IF($F440&lt;&gt;"",XLOOKUP($F440,Productos!$A:$A,Productos!AZ:AZ,"Revisar"),"")</f>
        <v/>
      </c>
      <c r="BH440" s="179" t="str">
        <f t="array" ref="BH440">IF($F440&lt;&gt;"", XLOOKUP($F440,Productos!$A$2:$A1001,Productos!BA$2:BA1001,"")*$G440,"")</f>
        <v/>
      </c>
      <c r="BI440" s="179" t="str">
        <f t="array" ref="BI440">IF($F440&lt;&gt;"",XLOOKUP($F440,Productos!$A:$A,Productos!BB:BB,"Revisar"),"")</f>
        <v/>
      </c>
      <c r="BJ440" s="179" t="str">
        <f t="array" ref="BJ440">IF($F440&lt;&gt;"", XLOOKUP($F440,Productos!$A$2:$A1001,Productos!BC$2:BC1001,"")*$G440,"")</f>
        <v/>
      </c>
      <c r="BK440" s="179" t="str">
        <f t="array" ref="BK440">IF($F440&lt;&gt;"",XLOOKUP($F440,Productos!$A:$A,Productos!BD:BD,"Revisar"),"")</f>
        <v/>
      </c>
      <c r="BL440" s="179" t="str">
        <f t="array" ref="BL440">IF($F440&lt;&gt;"", XLOOKUP($F440,Productos!$A$2:$A1001,Productos!BE$2:BE1001,"")*$G440,"")</f>
        <v/>
      </c>
      <c r="BM440" s="179" t="str">
        <f t="array" ref="BM440">IF($F440&lt;&gt;"",XLOOKUP($F440,Productos!$A:$A,Productos!BF:BF,"Revisar"),"")</f>
        <v/>
      </c>
      <c r="BN440" s="179" t="str">
        <f t="array" ref="BN440">IF($F440&lt;&gt;"", XLOOKUP($F440,Productos!$A$2:$A1001,Productos!BG$2:BG1001,"")*$G440,"")</f>
        <v/>
      </c>
      <c r="BO440" s="179" t="str">
        <f t="array" ref="BO440">IF($F440&lt;&gt;"",XLOOKUP($F440,Productos!$A:$A,Productos!BH:BH,"Revisar"),"")</f>
        <v/>
      </c>
      <c r="BP440" s="179" t="str">
        <f t="array" ref="BP440">IF($F440&lt;&gt;"", XLOOKUP($F440,Productos!$A$2:$A1001,Productos!BI$2:BI1001,"")*$G440,"")</f>
        <v/>
      </c>
      <c r="BQ440" s="179" t="str">
        <f t="array" ref="BQ440">IF($F440&lt;&gt;"",XLOOKUP($F440,Productos!$A:$A,Productos!BJ:BJ,"Revisar"),"")</f>
        <v/>
      </c>
      <c r="BR440" s="179" t="str">
        <f t="array" ref="BR440">IF($F440&lt;&gt;"", XLOOKUP($F440,Productos!$A$2:$A1001,Productos!BK$2:BK1001,"")*$G440,"")</f>
        <v/>
      </c>
      <c r="BS440" s="179" t="str">
        <f t="array" ref="BS440">IF($F440&lt;&gt;"",XLOOKUP($F440,Productos!$A:$A,Productos!BL:BL,"Revisar"),"")</f>
        <v/>
      </c>
      <c r="BT440" s="179" t="str">
        <f t="array" ref="BT440">IF($F440&lt;&gt;"", XLOOKUP($F440,Productos!$A$2:$A1001,Productos!BM$2:BM1001,"")*$G440,"")</f>
        <v/>
      </c>
      <c r="BU440" s="179" t="str">
        <f t="array" ref="BU440">IF($F440&lt;&gt;"",XLOOKUP($F440,Productos!$A:$A,Productos!BN:BN,"Revisar"),"")</f>
        <v/>
      </c>
      <c r="BV440" s="179" t="str">
        <f t="array" ref="BV440">IF($F440&lt;&gt;"", XLOOKUP($F440,Productos!$A$2:$A1001,Productos!BO$2:BO1001,"")*$G440,"")</f>
        <v/>
      </c>
      <c r="BW440" s="179" t="str">
        <f t="array" ref="BW440">IF($F440&lt;&gt;"",XLOOKUP($F440,Productos!$A:$A,Productos!BP:BP,"Revisar"),"")</f>
        <v/>
      </c>
      <c r="BX440" s="179" t="str">
        <f t="array" ref="BX440">IF($F440&lt;&gt;"", XLOOKUP($F440,Productos!$A$2:$A1001,Productos!BQ$2:BQ1001,"")*$G440,"")</f>
        <v/>
      </c>
      <c r="BY440" s="179" t="str">
        <f t="array" ref="BY440">IF($F440&lt;&gt;"",XLOOKUP($F440,Productos!$A:$A,Productos!BR:BR,"Revisar"),"")</f>
        <v/>
      </c>
      <c r="BZ440" s="179" t="str">
        <f t="array" ref="BZ440">IF($F440&lt;&gt;"", XLOOKUP($F440,Productos!$A$2:$A1001,Productos!BS$2:BS1001,"")*$G440,"")</f>
        <v/>
      </c>
    </row>
    <row r="441">
      <c r="A441" s="188"/>
      <c r="B441" s="189"/>
      <c r="C441" s="190"/>
      <c r="D441" s="190"/>
      <c r="E441" s="191"/>
      <c r="F441" s="186"/>
      <c r="G441" s="192"/>
      <c r="H441" s="9"/>
      <c r="I441" s="179" t="str">
        <f t="array" ref="I441">IF($F441&lt;&gt;"",XLOOKUP($F441,Productos!$A:$A,Productos!B:B,"Revisar"),"")</f>
        <v/>
      </c>
      <c r="J441" s="179" t="str">
        <f t="array" ref="J441">IF($F441&lt;&gt;"", XLOOKUP($F441,Productos!$A$2:$A1001,Productos!C$2:C1001,"")*$G441,"")</f>
        <v/>
      </c>
      <c r="K441" s="179" t="str">
        <f t="array" ref="K441">IF($F441&lt;&gt;"",XLOOKUP($F441,Productos!$A:$A,Productos!D:D,"Revisar"),"")</f>
        <v/>
      </c>
      <c r="L441" s="179" t="str">
        <f t="array" ref="L441">IF($F441&lt;&gt;"", XLOOKUP($F441,Productos!$A$2:$A1001,Productos!E$2:E1001,"")*$G441,"")</f>
        <v/>
      </c>
      <c r="M441" s="179" t="str">
        <f t="array" ref="M441">IF($F441&lt;&gt;"",XLOOKUP($F441,Productos!$A:$A,Productos!F:F,"Revisar"),"")</f>
        <v/>
      </c>
      <c r="N441" s="179" t="str">
        <f t="array" ref="N441">IF($F441&lt;&gt;"", XLOOKUP($F441,Productos!$A$2:$A1001,Productos!G$2:G1001,"")*$G441,"")</f>
        <v/>
      </c>
      <c r="O441" s="179" t="str">
        <f t="array" ref="O441">IF($F441&lt;&gt;"",XLOOKUP($F441,Productos!$A:$A,Productos!H:H,"Revisar"),"")</f>
        <v/>
      </c>
      <c r="P441" s="179" t="str">
        <f t="array" ref="P441">IF($F441&lt;&gt;"", XLOOKUP($F441,Productos!$A$2:$A1001,Productos!I$2:I1001,"")*$G441,"")</f>
        <v/>
      </c>
      <c r="Q441" s="179" t="str">
        <f t="array" ref="Q441">IF($F441&lt;&gt;"",XLOOKUP($F441,Productos!$A:$A,Productos!J:J,"Revisar"),"")</f>
        <v/>
      </c>
      <c r="R441" s="179" t="str">
        <f t="array" ref="R441">IF($F441&lt;&gt;"", XLOOKUP($F441,Productos!$A$2:$A1001,Productos!K$2:K1001,"")*$G441,"")</f>
        <v/>
      </c>
      <c r="S441" s="179" t="str">
        <f t="array" ref="S441">IF($F441&lt;&gt;"",XLOOKUP($F441,Productos!$A:$A,Productos!L:L,"Revisar"),"")</f>
        <v/>
      </c>
      <c r="T441" s="179" t="str">
        <f t="array" ref="T441">IF($F441&lt;&gt;"", XLOOKUP($F441,Productos!$A$2:$A1001,Productos!M$2:M1001,"")*$G441,"")</f>
        <v/>
      </c>
      <c r="U441" s="179" t="str">
        <f t="array" ref="U441">IF($F441&lt;&gt;"",XLOOKUP($F441,Productos!$A:$A,Productos!N:N,"Revisar"),"")</f>
        <v/>
      </c>
      <c r="V441" s="179" t="str">
        <f t="array" ref="V441">IF($F441&lt;&gt;"", XLOOKUP($F441,Productos!$A$2:$A1001,Productos!O$2:O1001,"")*$G441,"")</f>
        <v/>
      </c>
      <c r="W441" s="179" t="str">
        <f t="array" ref="W441">IF($F441&lt;&gt;"",XLOOKUP($F441,Productos!$A:$A,Productos!P:P,"Revisar"),"")</f>
        <v/>
      </c>
      <c r="X441" s="179" t="str">
        <f t="array" ref="X441">IF($F441&lt;&gt;"", XLOOKUP($F441,Productos!$A$2:$A1001,Productos!Q$2:Q1001,"")*$G441,"")</f>
        <v/>
      </c>
      <c r="Y441" s="179" t="str">
        <f t="array" ref="Y441">IF($F441&lt;&gt;"",XLOOKUP($F441,Productos!$A:$A,Productos!R:R,"Revisar"),"")</f>
        <v/>
      </c>
      <c r="Z441" s="179" t="str">
        <f t="array" ref="Z441">IF($F441&lt;&gt;"", XLOOKUP($F441,Productos!$A$2:$A1001,Productos!S$2:S1001,"")*$G441,"")</f>
        <v/>
      </c>
      <c r="AA441" s="179" t="str">
        <f t="array" ref="AA441">IF($F441&lt;&gt;"",XLOOKUP($F441,Productos!$A:$A,Productos!T:T,"Revisar"),"")</f>
        <v/>
      </c>
      <c r="AB441" s="179" t="str">
        <f t="array" ref="AB441">IF($F441&lt;&gt;"", XLOOKUP($F441,Productos!$A$2:$A1001,Productos!U$2:U1001,"")*$G441,"")</f>
        <v/>
      </c>
      <c r="AC441" s="179" t="str">
        <f t="array" ref="AC441">IF($F441&lt;&gt;"",XLOOKUP($F441,Productos!$A:$A,Productos!V:V,"Revisar"),"")</f>
        <v/>
      </c>
      <c r="AD441" s="179" t="str">
        <f t="array" ref="AD441">IF($F441&lt;&gt;"", XLOOKUP($F441,Productos!$A$2:$A1001,Productos!W$2:W1001,"")*$G441,"")</f>
        <v/>
      </c>
      <c r="AE441" s="179" t="str">
        <f t="array" ref="AE441">IF($F441&lt;&gt;"",XLOOKUP($F441,Productos!$A:$A,Productos!X:X,"Revisar"),"")</f>
        <v/>
      </c>
      <c r="AF441" s="179" t="str">
        <f t="array" ref="AF441">IF($F441&lt;&gt;"", XLOOKUP($F441,Productos!$A$2:$A1001,Productos!Y$2:Y1001,"")*$G441,"")</f>
        <v/>
      </c>
      <c r="AG441" s="179" t="str">
        <f t="array" ref="AG441">IF($F441&lt;&gt;"",XLOOKUP($F441,Productos!$A:$A,Productos!Z:Z,"Revisar"),"")</f>
        <v/>
      </c>
      <c r="AH441" s="179" t="str">
        <f t="array" ref="AH441">IF($F441&lt;&gt;"", XLOOKUP($F441,Productos!$A$2:$A1001,Productos!AA$2:AA1001,"")*$G441,"")</f>
        <v/>
      </c>
      <c r="AI441" s="179" t="str">
        <f t="array" ref="AI441">IF($F441&lt;&gt;"",XLOOKUP($F441,Productos!$A:$A,Productos!AB:AB,"Revisar"),"")</f>
        <v/>
      </c>
      <c r="AJ441" s="179" t="str">
        <f t="array" ref="AJ441">IF($F441&lt;&gt;"", XLOOKUP($F441,Productos!$A$2:$A1001,Productos!AC$2:AC1001,"")*$G441,"")</f>
        <v/>
      </c>
      <c r="AK441" s="179" t="str">
        <f t="array" ref="AK441">IF($F441&lt;&gt;"",XLOOKUP($F441,Productos!$A:$A,Productos!AD:AD,"Revisar"),"")</f>
        <v/>
      </c>
      <c r="AL441" s="179" t="str">
        <f t="array" ref="AL441">IF($F441&lt;&gt;"", XLOOKUP($F441,Productos!$A$2:$A1001,Productos!AE$2:AE1001,"")*$G441,"")</f>
        <v/>
      </c>
      <c r="AM441" s="179" t="str">
        <f t="array" ref="AM441">IF($F441&lt;&gt;"",XLOOKUP($F441,Productos!$A:$A,Productos!AF:AF,"Revisar"),"")</f>
        <v/>
      </c>
      <c r="AN441" s="179" t="str">
        <f t="array" ref="AN441">IF($F441&lt;&gt;"", XLOOKUP($F441,Productos!$A$2:$A1001,Productos!AG$2:AG1001,"")*$G441,"")</f>
        <v/>
      </c>
      <c r="AO441" s="179" t="str">
        <f t="array" ref="AO441">IF($F441&lt;&gt;"",XLOOKUP($F441,Productos!$A:$A,Productos!AH:AH,"Revisar"),"")</f>
        <v/>
      </c>
      <c r="AP441" s="179" t="str">
        <f t="array" ref="AP441">IF($F441&lt;&gt;"", XLOOKUP($F441,Productos!$A$2:$A1001,Productos!AI$2:AI1001,"")*$G441,"")</f>
        <v/>
      </c>
      <c r="AQ441" s="179" t="str">
        <f t="array" ref="AQ441">IF($F441&lt;&gt;"",XLOOKUP($F441,Productos!$A:$A,Productos!AJ:AJ,"Revisar"),"")</f>
        <v/>
      </c>
      <c r="AR441" s="179" t="str">
        <f t="array" ref="AR441">IF($F441&lt;&gt;"", XLOOKUP($F441,Productos!$A$2:$A1001,Productos!AK$2:AK1001,"")*$G441,"")</f>
        <v/>
      </c>
      <c r="AS441" s="179" t="str">
        <f t="array" ref="AS441">IF($F441&lt;&gt;"",XLOOKUP($F441,Productos!$A:$A,Productos!AL:AL,"Revisar"),"")</f>
        <v/>
      </c>
      <c r="AT441" s="179" t="str">
        <f t="array" ref="AT441">IF($F441&lt;&gt;"", XLOOKUP($F441,Productos!$A$2:$A1001,Productos!AM$2:AM1001,"")*$G441,"")</f>
        <v/>
      </c>
      <c r="AU441" s="179" t="str">
        <f t="array" ref="AU441">IF($F441&lt;&gt;"",XLOOKUP($F441,Productos!$A:$A,Productos!AN:AN,"Revisar"),"")</f>
        <v/>
      </c>
      <c r="AV441" s="179" t="str">
        <f t="array" ref="AV441">IF($F441&lt;&gt;"", XLOOKUP($F441,Productos!$A$2:$A1001,Productos!AO$2:AO1001,"")*$G441,"")</f>
        <v/>
      </c>
      <c r="AW441" s="179" t="str">
        <f t="array" ref="AW441">IF($F441&lt;&gt;"",XLOOKUP($F441,Productos!$A:$A,Productos!AP:AP,"Revisar"),"")</f>
        <v/>
      </c>
      <c r="AX441" s="179" t="str">
        <f t="array" ref="AX441">IF($F441&lt;&gt;"", XLOOKUP($F441,Productos!$A$2:$A1001,Productos!AQ$2:AQ1001,"")*$G441,"")</f>
        <v/>
      </c>
      <c r="AY441" s="179" t="str">
        <f t="array" ref="AY441">IF($F441&lt;&gt;"",XLOOKUP($F441,Productos!$A:$A,Productos!AR:AR,"Revisar"),"")</f>
        <v/>
      </c>
      <c r="AZ441" s="179" t="str">
        <f t="array" ref="AZ441">IF($F441&lt;&gt;"", XLOOKUP($F441,Productos!$A$2:$A1001,Productos!AS$2:AS1001,"")*$G441,"")</f>
        <v/>
      </c>
      <c r="BA441" s="179" t="str">
        <f t="array" ref="BA441">IF($F441&lt;&gt;"",XLOOKUP($F441,Productos!$A:$A,Productos!AT:AT,"Revisar"),"")</f>
        <v/>
      </c>
      <c r="BB441" s="179" t="str">
        <f t="array" ref="BB441">IF($F441&lt;&gt;"", XLOOKUP($F441,Productos!$A$2:$A1001,Productos!AU$2:AU1001,"")*$G441,"")</f>
        <v/>
      </c>
      <c r="BC441" s="179" t="str">
        <f t="array" ref="BC441">IF($F441&lt;&gt;"",XLOOKUP($F441,Productos!$A:$A,Productos!AV:AV,"Revisar"),"")</f>
        <v/>
      </c>
      <c r="BD441" s="179" t="str">
        <f t="array" ref="BD441">IF($F441&lt;&gt;"", XLOOKUP($F441,Productos!$A$2:$A1001,Productos!AW$2:AW1001,"")*$G441,"")</f>
        <v/>
      </c>
      <c r="BE441" s="179" t="str">
        <f t="array" ref="BE441">IF($F441&lt;&gt;"",XLOOKUP($F441,Productos!$A:$A,Productos!AX:AX,"Revisar"),"")</f>
        <v/>
      </c>
      <c r="BF441" s="179" t="str">
        <f t="array" ref="BF441">IF($F441&lt;&gt;"", XLOOKUP($F441,Productos!$A$2:$A1001,Productos!AY$2:AY1001,"")*$G441,"")</f>
        <v/>
      </c>
      <c r="BG441" s="179" t="str">
        <f t="array" ref="BG441">IF($F441&lt;&gt;"",XLOOKUP($F441,Productos!$A:$A,Productos!AZ:AZ,"Revisar"),"")</f>
        <v/>
      </c>
      <c r="BH441" s="179" t="str">
        <f t="array" ref="BH441">IF($F441&lt;&gt;"", XLOOKUP($F441,Productos!$A$2:$A1001,Productos!BA$2:BA1001,"")*$G441,"")</f>
        <v/>
      </c>
      <c r="BI441" s="179" t="str">
        <f t="array" ref="BI441">IF($F441&lt;&gt;"",XLOOKUP($F441,Productos!$A:$A,Productos!BB:BB,"Revisar"),"")</f>
        <v/>
      </c>
      <c r="BJ441" s="179" t="str">
        <f t="array" ref="BJ441">IF($F441&lt;&gt;"", XLOOKUP($F441,Productos!$A$2:$A1001,Productos!BC$2:BC1001,"")*$G441,"")</f>
        <v/>
      </c>
      <c r="BK441" s="179" t="str">
        <f t="array" ref="BK441">IF($F441&lt;&gt;"",XLOOKUP($F441,Productos!$A:$A,Productos!BD:BD,"Revisar"),"")</f>
        <v/>
      </c>
      <c r="BL441" s="179" t="str">
        <f t="array" ref="BL441">IF($F441&lt;&gt;"", XLOOKUP($F441,Productos!$A$2:$A1001,Productos!BE$2:BE1001,"")*$G441,"")</f>
        <v/>
      </c>
      <c r="BM441" s="179" t="str">
        <f t="array" ref="BM441">IF($F441&lt;&gt;"",XLOOKUP($F441,Productos!$A:$A,Productos!BF:BF,"Revisar"),"")</f>
        <v/>
      </c>
      <c r="BN441" s="179" t="str">
        <f t="array" ref="BN441">IF($F441&lt;&gt;"", XLOOKUP($F441,Productos!$A$2:$A1001,Productos!BG$2:BG1001,"")*$G441,"")</f>
        <v/>
      </c>
      <c r="BO441" s="179" t="str">
        <f t="array" ref="BO441">IF($F441&lt;&gt;"",XLOOKUP($F441,Productos!$A:$A,Productos!BH:BH,"Revisar"),"")</f>
        <v/>
      </c>
      <c r="BP441" s="179" t="str">
        <f t="array" ref="BP441">IF($F441&lt;&gt;"", XLOOKUP($F441,Productos!$A$2:$A1001,Productos!BI$2:BI1001,"")*$G441,"")</f>
        <v/>
      </c>
      <c r="BQ441" s="179" t="str">
        <f t="array" ref="BQ441">IF($F441&lt;&gt;"",XLOOKUP($F441,Productos!$A:$A,Productos!BJ:BJ,"Revisar"),"")</f>
        <v/>
      </c>
      <c r="BR441" s="179" t="str">
        <f t="array" ref="BR441">IF($F441&lt;&gt;"", XLOOKUP($F441,Productos!$A$2:$A1001,Productos!BK$2:BK1001,"")*$G441,"")</f>
        <v/>
      </c>
      <c r="BS441" s="179" t="str">
        <f t="array" ref="BS441">IF($F441&lt;&gt;"",XLOOKUP($F441,Productos!$A:$A,Productos!BL:BL,"Revisar"),"")</f>
        <v/>
      </c>
      <c r="BT441" s="179" t="str">
        <f t="array" ref="BT441">IF($F441&lt;&gt;"", XLOOKUP($F441,Productos!$A$2:$A1001,Productos!BM$2:BM1001,"")*$G441,"")</f>
        <v/>
      </c>
      <c r="BU441" s="179" t="str">
        <f t="array" ref="BU441">IF($F441&lt;&gt;"",XLOOKUP($F441,Productos!$A:$A,Productos!BN:BN,"Revisar"),"")</f>
        <v/>
      </c>
      <c r="BV441" s="179" t="str">
        <f t="array" ref="BV441">IF($F441&lt;&gt;"", XLOOKUP($F441,Productos!$A$2:$A1001,Productos!BO$2:BO1001,"")*$G441,"")</f>
        <v/>
      </c>
      <c r="BW441" s="179" t="str">
        <f t="array" ref="BW441">IF($F441&lt;&gt;"",XLOOKUP($F441,Productos!$A:$A,Productos!BP:BP,"Revisar"),"")</f>
        <v/>
      </c>
      <c r="BX441" s="179" t="str">
        <f t="array" ref="BX441">IF($F441&lt;&gt;"", XLOOKUP($F441,Productos!$A$2:$A1001,Productos!BQ$2:BQ1001,"")*$G441,"")</f>
        <v/>
      </c>
      <c r="BY441" s="179" t="str">
        <f t="array" ref="BY441">IF($F441&lt;&gt;"",XLOOKUP($F441,Productos!$A:$A,Productos!BR:BR,"Revisar"),"")</f>
        <v/>
      </c>
      <c r="BZ441" s="179" t="str">
        <f t="array" ref="BZ441">IF($F441&lt;&gt;"", XLOOKUP($F441,Productos!$A$2:$A1001,Productos!BS$2:BS1001,"")*$G441,"")</f>
        <v/>
      </c>
    </row>
    <row r="442">
      <c r="A442" s="188"/>
      <c r="B442" s="189"/>
      <c r="C442" s="190"/>
      <c r="D442" s="190"/>
      <c r="E442" s="191"/>
      <c r="F442" s="186"/>
      <c r="G442" s="192"/>
      <c r="H442" s="9"/>
      <c r="I442" s="179" t="str">
        <f t="array" ref="I442">IF($F442&lt;&gt;"",XLOOKUP($F442,Productos!$A:$A,Productos!B:B,"Revisar"),"")</f>
        <v/>
      </c>
      <c r="J442" s="179" t="str">
        <f t="array" ref="J442">IF($F442&lt;&gt;"", XLOOKUP($F442,Productos!$A$2:$A1001,Productos!C$2:C1001,"")*$G442,"")</f>
        <v/>
      </c>
      <c r="K442" s="179" t="str">
        <f t="array" ref="K442">IF($F442&lt;&gt;"",XLOOKUP($F442,Productos!$A:$A,Productos!D:D,"Revisar"),"")</f>
        <v/>
      </c>
      <c r="L442" s="179" t="str">
        <f t="array" ref="L442">IF($F442&lt;&gt;"", XLOOKUP($F442,Productos!$A$2:$A1001,Productos!E$2:E1001,"")*$G442,"")</f>
        <v/>
      </c>
      <c r="M442" s="179" t="str">
        <f t="array" ref="M442">IF($F442&lt;&gt;"",XLOOKUP($F442,Productos!$A:$A,Productos!F:F,"Revisar"),"")</f>
        <v/>
      </c>
      <c r="N442" s="179" t="str">
        <f t="array" ref="N442">IF($F442&lt;&gt;"", XLOOKUP($F442,Productos!$A$2:$A1001,Productos!G$2:G1001,"")*$G442,"")</f>
        <v/>
      </c>
      <c r="O442" s="179" t="str">
        <f t="array" ref="O442">IF($F442&lt;&gt;"",XLOOKUP($F442,Productos!$A:$A,Productos!H:H,"Revisar"),"")</f>
        <v/>
      </c>
      <c r="P442" s="179" t="str">
        <f t="array" ref="P442">IF($F442&lt;&gt;"", XLOOKUP($F442,Productos!$A$2:$A1001,Productos!I$2:I1001,"")*$G442,"")</f>
        <v/>
      </c>
      <c r="Q442" s="179" t="str">
        <f t="array" ref="Q442">IF($F442&lt;&gt;"",XLOOKUP($F442,Productos!$A:$A,Productos!J:J,"Revisar"),"")</f>
        <v/>
      </c>
      <c r="R442" s="179" t="str">
        <f t="array" ref="R442">IF($F442&lt;&gt;"", XLOOKUP($F442,Productos!$A$2:$A1001,Productos!K$2:K1001,"")*$G442,"")</f>
        <v/>
      </c>
      <c r="S442" s="179" t="str">
        <f t="array" ref="S442">IF($F442&lt;&gt;"",XLOOKUP($F442,Productos!$A:$A,Productos!L:L,"Revisar"),"")</f>
        <v/>
      </c>
      <c r="T442" s="179" t="str">
        <f t="array" ref="T442">IF($F442&lt;&gt;"", XLOOKUP($F442,Productos!$A$2:$A1001,Productos!M$2:M1001,"")*$G442,"")</f>
        <v/>
      </c>
      <c r="U442" s="179" t="str">
        <f t="array" ref="U442">IF($F442&lt;&gt;"",XLOOKUP($F442,Productos!$A:$A,Productos!N:N,"Revisar"),"")</f>
        <v/>
      </c>
      <c r="V442" s="179" t="str">
        <f t="array" ref="V442">IF($F442&lt;&gt;"", XLOOKUP($F442,Productos!$A$2:$A1001,Productos!O$2:O1001,"")*$G442,"")</f>
        <v/>
      </c>
      <c r="W442" s="179" t="str">
        <f t="array" ref="W442">IF($F442&lt;&gt;"",XLOOKUP($F442,Productos!$A:$A,Productos!P:P,"Revisar"),"")</f>
        <v/>
      </c>
      <c r="X442" s="179" t="str">
        <f t="array" ref="X442">IF($F442&lt;&gt;"", XLOOKUP($F442,Productos!$A$2:$A1001,Productos!Q$2:Q1001,"")*$G442,"")</f>
        <v/>
      </c>
      <c r="Y442" s="179" t="str">
        <f t="array" ref="Y442">IF($F442&lt;&gt;"",XLOOKUP($F442,Productos!$A:$A,Productos!R:R,"Revisar"),"")</f>
        <v/>
      </c>
      <c r="Z442" s="179" t="str">
        <f t="array" ref="Z442">IF($F442&lt;&gt;"", XLOOKUP($F442,Productos!$A$2:$A1001,Productos!S$2:S1001,"")*$G442,"")</f>
        <v/>
      </c>
      <c r="AA442" s="179" t="str">
        <f t="array" ref="AA442">IF($F442&lt;&gt;"",XLOOKUP($F442,Productos!$A:$A,Productos!T:T,"Revisar"),"")</f>
        <v/>
      </c>
      <c r="AB442" s="179" t="str">
        <f t="array" ref="AB442">IF($F442&lt;&gt;"", XLOOKUP($F442,Productos!$A$2:$A1001,Productos!U$2:U1001,"")*$G442,"")</f>
        <v/>
      </c>
      <c r="AC442" s="179" t="str">
        <f t="array" ref="AC442">IF($F442&lt;&gt;"",XLOOKUP($F442,Productos!$A:$A,Productos!V:V,"Revisar"),"")</f>
        <v/>
      </c>
      <c r="AD442" s="179" t="str">
        <f t="array" ref="AD442">IF($F442&lt;&gt;"", XLOOKUP($F442,Productos!$A$2:$A1001,Productos!W$2:W1001,"")*$G442,"")</f>
        <v/>
      </c>
      <c r="AE442" s="179" t="str">
        <f t="array" ref="AE442">IF($F442&lt;&gt;"",XLOOKUP($F442,Productos!$A:$A,Productos!X:X,"Revisar"),"")</f>
        <v/>
      </c>
      <c r="AF442" s="179" t="str">
        <f t="array" ref="AF442">IF($F442&lt;&gt;"", XLOOKUP($F442,Productos!$A$2:$A1001,Productos!Y$2:Y1001,"")*$G442,"")</f>
        <v/>
      </c>
      <c r="AG442" s="179" t="str">
        <f t="array" ref="AG442">IF($F442&lt;&gt;"",XLOOKUP($F442,Productos!$A:$A,Productos!Z:Z,"Revisar"),"")</f>
        <v/>
      </c>
      <c r="AH442" s="179" t="str">
        <f t="array" ref="AH442">IF($F442&lt;&gt;"", XLOOKUP($F442,Productos!$A$2:$A1001,Productos!AA$2:AA1001,"")*$G442,"")</f>
        <v/>
      </c>
      <c r="AI442" s="179" t="str">
        <f t="array" ref="AI442">IF($F442&lt;&gt;"",XLOOKUP($F442,Productos!$A:$A,Productos!AB:AB,"Revisar"),"")</f>
        <v/>
      </c>
      <c r="AJ442" s="179" t="str">
        <f t="array" ref="AJ442">IF($F442&lt;&gt;"", XLOOKUP($F442,Productos!$A$2:$A1001,Productos!AC$2:AC1001,"")*$G442,"")</f>
        <v/>
      </c>
      <c r="AK442" s="179" t="str">
        <f t="array" ref="AK442">IF($F442&lt;&gt;"",XLOOKUP($F442,Productos!$A:$A,Productos!AD:AD,"Revisar"),"")</f>
        <v/>
      </c>
      <c r="AL442" s="179" t="str">
        <f t="array" ref="AL442">IF($F442&lt;&gt;"", XLOOKUP($F442,Productos!$A$2:$A1001,Productos!AE$2:AE1001,"")*$G442,"")</f>
        <v/>
      </c>
      <c r="AM442" s="179" t="str">
        <f t="array" ref="AM442">IF($F442&lt;&gt;"",XLOOKUP($F442,Productos!$A:$A,Productos!AF:AF,"Revisar"),"")</f>
        <v/>
      </c>
      <c r="AN442" s="179" t="str">
        <f t="array" ref="AN442">IF($F442&lt;&gt;"", XLOOKUP($F442,Productos!$A$2:$A1001,Productos!AG$2:AG1001,"")*$G442,"")</f>
        <v/>
      </c>
      <c r="AO442" s="179" t="str">
        <f t="array" ref="AO442">IF($F442&lt;&gt;"",XLOOKUP($F442,Productos!$A:$A,Productos!AH:AH,"Revisar"),"")</f>
        <v/>
      </c>
      <c r="AP442" s="179" t="str">
        <f t="array" ref="AP442">IF($F442&lt;&gt;"", XLOOKUP($F442,Productos!$A$2:$A1001,Productos!AI$2:AI1001,"")*$G442,"")</f>
        <v/>
      </c>
      <c r="AQ442" s="179" t="str">
        <f t="array" ref="AQ442">IF($F442&lt;&gt;"",XLOOKUP($F442,Productos!$A:$A,Productos!AJ:AJ,"Revisar"),"")</f>
        <v/>
      </c>
      <c r="AR442" s="179" t="str">
        <f t="array" ref="AR442">IF($F442&lt;&gt;"", XLOOKUP($F442,Productos!$A$2:$A1001,Productos!AK$2:AK1001,"")*$G442,"")</f>
        <v/>
      </c>
      <c r="AS442" s="179" t="str">
        <f t="array" ref="AS442">IF($F442&lt;&gt;"",XLOOKUP($F442,Productos!$A:$A,Productos!AL:AL,"Revisar"),"")</f>
        <v/>
      </c>
      <c r="AT442" s="179" t="str">
        <f t="array" ref="AT442">IF($F442&lt;&gt;"", XLOOKUP($F442,Productos!$A$2:$A1001,Productos!AM$2:AM1001,"")*$G442,"")</f>
        <v/>
      </c>
      <c r="AU442" s="179" t="str">
        <f t="array" ref="AU442">IF($F442&lt;&gt;"",XLOOKUP($F442,Productos!$A:$A,Productos!AN:AN,"Revisar"),"")</f>
        <v/>
      </c>
      <c r="AV442" s="179" t="str">
        <f t="array" ref="AV442">IF($F442&lt;&gt;"", XLOOKUP($F442,Productos!$A$2:$A1001,Productos!AO$2:AO1001,"")*$G442,"")</f>
        <v/>
      </c>
      <c r="AW442" s="179" t="str">
        <f t="array" ref="AW442">IF($F442&lt;&gt;"",XLOOKUP($F442,Productos!$A:$A,Productos!AP:AP,"Revisar"),"")</f>
        <v/>
      </c>
      <c r="AX442" s="179" t="str">
        <f t="array" ref="AX442">IF($F442&lt;&gt;"", XLOOKUP($F442,Productos!$A$2:$A1001,Productos!AQ$2:AQ1001,"")*$G442,"")</f>
        <v/>
      </c>
      <c r="AY442" s="179" t="str">
        <f t="array" ref="AY442">IF($F442&lt;&gt;"",XLOOKUP($F442,Productos!$A:$A,Productos!AR:AR,"Revisar"),"")</f>
        <v/>
      </c>
      <c r="AZ442" s="179" t="str">
        <f t="array" ref="AZ442">IF($F442&lt;&gt;"", XLOOKUP($F442,Productos!$A$2:$A1001,Productos!AS$2:AS1001,"")*$G442,"")</f>
        <v/>
      </c>
      <c r="BA442" s="179" t="str">
        <f t="array" ref="BA442">IF($F442&lt;&gt;"",XLOOKUP($F442,Productos!$A:$A,Productos!AT:AT,"Revisar"),"")</f>
        <v/>
      </c>
      <c r="BB442" s="179" t="str">
        <f t="array" ref="BB442">IF($F442&lt;&gt;"", XLOOKUP($F442,Productos!$A$2:$A1001,Productos!AU$2:AU1001,"")*$G442,"")</f>
        <v/>
      </c>
      <c r="BC442" s="179" t="str">
        <f t="array" ref="BC442">IF($F442&lt;&gt;"",XLOOKUP($F442,Productos!$A:$A,Productos!AV:AV,"Revisar"),"")</f>
        <v/>
      </c>
      <c r="BD442" s="179" t="str">
        <f t="array" ref="BD442">IF($F442&lt;&gt;"", XLOOKUP($F442,Productos!$A$2:$A1001,Productos!AW$2:AW1001,"")*$G442,"")</f>
        <v/>
      </c>
      <c r="BE442" s="179" t="str">
        <f t="array" ref="BE442">IF($F442&lt;&gt;"",XLOOKUP($F442,Productos!$A:$A,Productos!AX:AX,"Revisar"),"")</f>
        <v/>
      </c>
      <c r="BF442" s="179" t="str">
        <f t="array" ref="BF442">IF($F442&lt;&gt;"", XLOOKUP($F442,Productos!$A$2:$A1001,Productos!AY$2:AY1001,"")*$G442,"")</f>
        <v/>
      </c>
      <c r="BG442" s="179" t="str">
        <f t="array" ref="BG442">IF($F442&lt;&gt;"",XLOOKUP($F442,Productos!$A:$A,Productos!AZ:AZ,"Revisar"),"")</f>
        <v/>
      </c>
      <c r="BH442" s="179" t="str">
        <f t="array" ref="BH442">IF($F442&lt;&gt;"", XLOOKUP($F442,Productos!$A$2:$A1001,Productos!BA$2:BA1001,"")*$G442,"")</f>
        <v/>
      </c>
      <c r="BI442" s="179" t="str">
        <f t="array" ref="BI442">IF($F442&lt;&gt;"",XLOOKUP($F442,Productos!$A:$A,Productos!BB:BB,"Revisar"),"")</f>
        <v/>
      </c>
      <c r="BJ442" s="179" t="str">
        <f t="array" ref="BJ442">IF($F442&lt;&gt;"", XLOOKUP($F442,Productos!$A$2:$A1001,Productos!BC$2:BC1001,"")*$G442,"")</f>
        <v/>
      </c>
      <c r="BK442" s="179" t="str">
        <f t="array" ref="BK442">IF($F442&lt;&gt;"",XLOOKUP($F442,Productos!$A:$A,Productos!BD:BD,"Revisar"),"")</f>
        <v/>
      </c>
      <c r="BL442" s="179" t="str">
        <f t="array" ref="BL442">IF($F442&lt;&gt;"", XLOOKUP($F442,Productos!$A$2:$A1001,Productos!BE$2:BE1001,"")*$G442,"")</f>
        <v/>
      </c>
      <c r="BM442" s="179" t="str">
        <f t="array" ref="BM442">IF($F442&lt;&gt;"",XLOOKUP($F442,Productos!$A:$A,Productos!BF:BF,"Revisar"),"")</f>
        <v/>
      </c>
      <c r="BN442" s="179" t="str">
        <f t="array" ref="BN442">IF($F442&lt;&gt;"", XLOOKUP($F442,Productos!$A$2:$A1001,Productos!BG$2:BG1001,"")*$G442,"")</f>
        <v/>
      </c>
      <c r="BO442" s="179" t="str">
        <f t="array" ref="BO442">IF($F442&lt;&gt;"",XLOOKUP($F442,Productos!$A:$A,Productos!BH:BH,"Revisar"),"")</f>
        <v/>
      </c>
      <c r="BP442" s="179" t="str">
        <f t="array" ref="BP442">IF($F442&lt;&gt;"", XLOOKUP($F442,Productos!$A$2:$A1001,Productos!BI$2:BI1001,"")*$G442,"")</f>
        <v/>
      </c>
      <c r="BQ442" s="179" t="str">
        <f t="array" ref="BQ442">IF($F442&lt;&gt;"",XLOOKUP($F442,Productos!$A:$A,Productos!BJ:BJ,"Revisar"),"")</f>
        <v/>
      </c>
      <c r="BR442" s="179" t="str">
        <f t="array" ref="BR442">IF($F442&lt;&gt;"", XLOOKUP($F442,Productos!$A$2:$A1001,Productos!BK$2:BK1001,"")*$G442,"")</f>
        <v/>
      </c>
      <c r="BS442" s="179" t="str">
        <f t="array" ref="BS442">IF($F442&lt;&gt;"",XLOOKUP($F442,Productos!$A:$A,Productos!BL:BL,"Revisar"),"")</f>
        <v/>
      </c>
      <c r="BT442" s="179" t="str">
        <f t="array" ref="BT442">IF($F442&lt;&gt;"", XLOOKUP($F442,Productos!$A$2:$A1001,Productos!BM$2:BM1001,"")*$G442,"")</f>
        <v/>
      </c>
      <c r="BU442" s="179" t="str">
        <f t="array" ref="BU442">IF($F442&lt;&gt;"",XLOOKUP($F442,Productos!$A:$A,Productos!BN:BN,"Revisar"),"")</f>
        <v/>
      </c>
      <c r="BV442" s="179" t="str">
        <f t="array" ref="BV442">IF($F442&lt;&gt;"", XLOOKUP($F442,Productos!$A$2:$A1001,Productos!BO$2:BO1001,"")*$G442,"")</f>
        <v/>
      </c>
      <c r="BW442" s="179" t="str">
        <f t="array" ref="BW442">IF($F442&lt;&gt;"",XLOOKUP($F442,Productos!$A:$A,Productos!BP:BP,"Revisar"),"")</f>
        <v/>
      </c>
      <c r="BX442" s="179" t="str">
        <f t="array" ref="BX442">IF($F442&lt;&gt;"", XLOOKUP($F442,Productos!$A$2:$A1001,Productos!BQ$2:BQ1001,"")*$G442,"")</f>
        <v/>
      </c>
      <c r="BY442" s="179" t="str">
        <f t="array" ref="BY442">IF($F442&lt;&gt;"",XLOOKUP($F442,Productos!$A:$A,Productos!BR:BR,"Revisar"),"")</f>
        <v/>
      </c>
      <c r="BZ442" s="179" t="str">
        <f t="array" ref="BZ442">IF($F442&lt;&gt;"", XLOOKUP($F442,Productos!$A$2:$A1001,Productos!BS$2:BS1001,"")*$G442,"")</f>
        <v/>
      </c>
    </row>
    <row r="443">
      <c r="A443" s="188"/>
      <c r="B443" s="189"/>
      <c r="C443" s="190"/>
      <c r="D443" s="190"/>
      <c r="E443" s="191"/>
      <c r="F443" s="186"/>
      <c r="G443" s="192"/>
      <c r="H443" s="9"/>
      <c r="I443" s="179" t="str">
        <f t="array" ref="I443">IF($F443&lt;&gt;"",XLOOKUP($F443,Productos!$A:$A,Productos!B:B,"Revisar"),"")</f>
        <v/>
      </c>
      <c r="J443" s="179" t="str">
        <f t="array" ref="J443">IF($F443&lt;&gt;"", XLOOKUP($F443,Productos!$A$2:$A1001,Productos!C$2:C1001,"")*$G443,"")</f>
        <v/>
      </c>
      <c r="K443" s="179" t="str">
        <f t="array" ref="K443">IF($F443&lt;&gt;"",XLOOKUP($F443,Productos!$A:$A,Productos!D:D,"Revisar"),"")</f>
        <v/>
      </c>
      <c r="L443" s="179" t="str">
        <f t="array" ref="L443">IF($F443&lt;&gt;"", XLOOKUP($F443,Productos!$A$2:$A1001,Productos!E$2:E1001,"")*$G443,"")</f>
        <v/>
      </c>
      <c r="M443" s="179" t="str">
        <f t="array" ref="M443">IF($F443&lt;&gt;"",XLOOKUP($F443,Productos!$A:$A,Productos!F:F,"Revisar"),"")</f>
        <v/>
      </c>
      <c r="N443" s="179" t="str">
        <f t="array" ref="N443">IF($F443&lt;&gt;"", XLOOKUP($F443,Productos!$A$2:$A1001,Productos!G$2:G1001,"")*$G443,"")</f>
        <v/>
      </c>
      <c r="O443" s="179" t="str">
        <f t="array" ref="O443">IF($F443&lt;&gt;"",XLOOKUP($F443,Productos!$A:$A,Productos!H:H,"Revisar"),"")</f>
        <v/>
      </c>
      <c r="P443" s="179" t="str">
        <f t="array" ref="P443">IF($F443&lt;&gt;"", XLOOKUP($F443,Productos!$A$2:$A1001,Productos!I$2:I1001,"")*$G443,"")</f>
        <v/>
      </c>
      <c r="Q443" s="179" t="str">
        <f t="array" ref="Q443">IF($F443&lt;&gt;"",XLOOKUP($F443,Productos!$A:$A,Productos!J:J,"Revisar"),"")</f>
        <v/>
      </c>
      <c r="R443" s="179" t="str">
        <f t="array" ref="R443">IF($F443&lt;&gt;"", XLOOKUP($F443,Productos!$A$2:$A1001,Productos!K$2:K1001,"")*$G443,"")</f>
        <v/>
      </c>
      <c r="S443" s="179" t="str">
        <f t="array" ref="S443">IF($F443&lt;&gt;"",XLOOKUP($F443,Productos!$A:$A,Productos!L:L,"Revisar"),"")</f>
        <v/>
      </c>
      <c r="T443" s="179" t="str">
        <f t="array" ref="T443">IF($F443&lt;&gt;"", XLOOKUP($F443,Productos!$A$2:$A1001,Productos!M$2:M1001,"")*$G443,"")</f>
        <v/>
      </c>
      <c r="U443" s="179" t="str">
        <f t="array" ref="U443">IF($F443&lt;&gt;"",XLOOKUP($F443,Productos!$A:$A,Productos!N:N,"Revisar"),"")</f>
        <v/>
      </c>
      <c r="V443" s="179" t="str">
        <f t="array" ref="V443">IF($F443&lt;&gt;"", XLOOKUP($F443,Productos!$A$2:$A1001,Productos!O$2:O1001,"")*$G443,"")</f>
        <v/>
      </c>
      <c r="W443" s="179" t="str">
        <f t="array" ref="W443">IF($F443&lt;&gt;"",XLOOKUP($F443,Productos!$A:$A,Productos!P:P,"Revisar"),"")</f>
        <v/>
      </c>
      <c r="X443" s="179" t="str">
        <f t="array" ref="X443">IF($F443&lt;&gt;"", XLOOKUP($F443,Productos!$A$2:$A1001,Productos!Q$2:Q1001,"")*$G443,"")</f>
        <v/>
      </c>
      <c r="Y443" s="179" t="str">
        <f t="array" ref="Y443">IF($F443&lt;&gt;"",XLOOKUP($F443,Productos!$A:$A,Productos!R:R,"Revisar"),"")</f>
        <v/>
      </c>
      <c r="Z443" s="179" t="str">
        <f t="array" ref="Z443">IF($F443&lt;&gt;"", XLOOKUP($F443,Productos!$A$2:$A1001,Productos!S$2:S1001,"")*$G443,"")</f>
        <v/>
      </c>
      <c r="AA443" s="179" t="str">
        <f t="array" ref="AA443">IF($F443&lt;&gt;"",XLOOKUP($F443,Productos!$A:$A,Productos!T:T,"Revisar"),"")</f>
        <v/>
      </c>
      <c r="AB443" s="179" t="str">
        <f t="array" ref="AB443">IF($F443&lt;&gt;"", XLOOKUP($F443,Productos!$A$2:$A1001,Productos!U$2:U1001,"")*$G443,"")</f>
        <v/>
      </c>
      <c r="AC443" s="179" t="str">
        <f t="array" ref="AC443">IF($F443&lt;&gt;"",XLOOKUP($F443,Productos!$A:$A,Productos!V:V,"Revisar"),"")</f>
        <v/>
      </c>
      <c r="AD443" s="179" t="str">
        <f t="array" ref="AD443">IF($F443&lt;&gt;"", XLOOKUP($F443,Productos!$A$2:$A1001,Productos!W$2:W1001,"")*$G443,"")</f>
        <v/>
      </c>
      <c r="AE443" s="179" t="str">
        <f t="array" ref="AE443">IF($F443&lt;&gt;"",XLOOKUP($F443,Productos!$A:$A,Productos!X:X,"Revisar"),"")</f>
        <v/>
      </c>
      <c r="AF443" s="179" t="str">
        <f t="array" ref="AF443">IF($F443&lt;&gt;"", XLOOKUP($F443,Productos!$A$2:$A1001,Productos!Y$2:Y1001,"")*$G443,"")</f>
        <v/>
      </c>
      <c r="AG443" s="179" t="str">
        <f t="array" ref="AG443">IF($F443&lt;&gt;"",XLOOKUP($F443,Productos!$A:$A,Productos!Z:Z,"Revisar"),"")</f>
        <v/>
      </c>
      <c r="AH443" s="179" t="str">
        <f t="array" ref="AH443">IF($F443&lt;&gt;"", XLOOKUP($F443,Productos!$A$2:$A1001,Productos!AA$2:AA1001,"")*$G443,"")</f>
        <v/>
      </c>
      <c r="AI443" s="179" t="str">
        <f t="array" ref="AI443">IF($F443&lt;&gt;"",XLOOKUP($F443,Productos!$A:$A,Productos!AB:AB,"Revisar"),"")</f>
        <v/>
      </c>
      <c r="AJ443" s="179" t="str">
        <f t="array" ref="AJ443">IF($F443&lt;&gt;"", XLOOKUP($F443,Productos!$A$2:$A1001,Productos!AC$2:AC1001,"")*$G443,"")</f>
        <v/>
      </c>
      <c r="AK443" s="179" t="str">
        <f t="array" ref="AK443">IF($F443&lt;&gt;"",XLOOKUP($F443,Productos!$A:$A,Productos!AD:AD,"Revisar"),"")</f>
        <v/>
      </c>
      <c r="AL443" s="179" t="str">
        <f t="array" ref="AL443">IF($F443&lt;&gt;"", XLOOKUP($F443,Productos!$A$2:$A1001,Productos!AE$2:AE1001,"")*$G443,"")</f>
        <v/>
      </c>
      <c r="AM443" s="179" t="str">
        <f t="array" ref="AM443">IF($F443&lt;&gt;"",XLOOKUP($F443,Productos!$A:$A,Productos!AF:AF,"Revisar"),"")</f>
        <v/>
      </c>
      <c r="AN443" s="179" t="str">
        <f t="array" ref="AN443">IF($F443&lt;&gt;"", XLOOKUP($F443,Productos!$A$2:$A1001,Productos!AG$2:AG1001,"")*$G443,"")</f>
        <v/>
      </c>
      <c r="AO443" s="179" t="str">
        <f t="array" ref="AO443">IF($F443&lt;&gt;"",XLOOKUP($F443,Productos!$A:$A,Productos!AH:AH,"Revisar"),"")</f>
        <v/>
      </c>
      <c r="AP443" s="179" t="str">
        <f t="array" ref="AP443">IF($F443&lt;&gt;"", XLOOKUP($F443,Productos!$A$2:$A1001,Productos!AI$2:AI1001,"")*$G443,"")</f>
        <v/>
      </c>
      <c r="AQ443" s="179" t="str">
        <f t="array" ref="AQ443">IF($F443&lt;&gt;"",XLOOKUP($F443,Productos!$A:$A,Productos!AJ:AJ,"Revisar"),"")</f>
        <v/>
      </c>
      <c r="AR443" s="179" t="str">
        <f t="array" ref="AR443">IF($F443&lt;&gt;"", XLOOKUP($F443,Productos!$A$2:$A1001,Productos!AK$2:AK1001,"")*$G443,"")</f>
        <v/>
      </c>
      <c r="AS443" s="179" t="str">
        <f t="array" ref="AS443">IF($F443&lt;&gt;"",XLOOKUP($F443,Productos!$A:$A,Productos!AL:AL,"Revisar"),"")</f>
        <v/>
      </c>
      <c r="AT443" s="179" t="str">
        <f t="array" ref="AT443">IF($F443&lt;&gt;"", XLOOKUP($F443,Productos!$A$2:$A1001,Productos!AM$2:AM1001,"")*$G443,"")</f>
        <v/>
      </c>
      <c r="AU443" s="179" t="str">
        <f t="array" ref="AU443">IF($F443&lt;&gt;"",XLOOKUP($F443,Productos!$A:$A,Productos!AN:AN,"Revisar"),"")</f>
        <v/>
      </c>
      <c r="AV443" s="179" t="str">
        <f t="array" ref="AV443">IF($F443&lt;&gt;"", XLOOKUP($F443,Productos!$A$2:$A1001,Productos!AO$2:AO1001,"")*$G443,"")</f>
        <v/>
      </c>
      <c r="AW443" s="179" t="str">
        <f t="array" ref="AW443">IF($F443&lt;&gt;"",XLOOKUP($F443,Productos!$A:$A,Productos!AP:AP,"Revisar"),"")</f>
        <v/>
      </c>
      <c r="AX443" s="179" t="str">
        <f t="array" ref="AX443">IF($F443&lt;&gt;"", XLOOKUP($F443,Productos!$A$2:$A1001,Productos!AQ$2:AQ1001,"")*$G443,"")</f>
        <v/>
      </c>
      <c r="AY443" s="179" t="str">
        <f t="array" ref="AY443">IF($F443&lt;&gt;"",XLOOKUP($F443,Productos!$A:$A,Productos!AR:AR,"Revisar"),"")</f>
        <v/>
      </c>
      <c r="AZ443" s="179" t="str">
        <f t="array" ref="AZ443">IF($F443&lt;&gt;"", XLOOKUP($F443,Productos!$A$2:$A1001,Productos!AS$2:AS1001,"")*$G443,"")</f>
        <v/>
      </c>
      <c r="BA443" s="179" t="str">
        <f t="array" ref="BA443">IF($F443&lt;&gt;"",XLOOKUP($F443,Productos!$A:$A,Productos!AT:AT,"Revisar"),"")</f>
        <v/>
      </c>
      <c r="BB443" s="179" t="str">
        <f t="array" ref="BB443">IF($F443&lt;&gt;"", XLOOKUP($F443,Productos!$A$2:$A1001,Productos!AU$2:AU1001,"")*$G443,"")</f>
        <v/>
      </c>
      <c r="BC443" s="179" t="str">
        <f t="array" ref="BC443">IF($F443&lt;&gt;"",XLOOKUP($F443,Productos!$A:$A,Productos!AV:AV,"Revisar"),"")</f>
        <v/>
      </c>
      <c r="BD443" s="179" t="str">
        <f t="array" ref="BD443">IF($F443&lt;&gt;"", XLOOKUP($F443,Productos!$A$2:$A1001,Productos!AW$2:AW1001,"")*$G443,"")</f>
        <v/>
      </c>
      <c r="BE443" s="179" t="str">
        <f t="array" ref="BE443">IF($F443&lt;&gt;"",XLOOKUP($F443,Productos!$A:$A,Productos!AX:AX,"Revisar"),"")</f>
        <v/>
      </c>
      <c r="BF443" s="179" t="str">
        <f t="array" ref="BF443">IF($F443&lt;&gt;"", XLOOKUP($F443,Productos!$A$2:$A1001,Productos!AY$2:AY1001,"")*$G443,"")</f>
        <v/>
      </c>
      <c r="BG443" s="179" t="str">
        <f t="array" ref="BG443">IF($F443&lt;&gt;"",XLOOKUP($F443,Productos!$A:$A,Productos!AZ:AZ,"Revisar"),"")</f>
        <v/>
      </c>
      <c r="BH443" s="179" t="str">
        <f t="array" ref="BH443">IF($F443&lt;&gt;"", XLOOKUP($F443,Productos!$A$2:$A1001,Productos!BA$2:BA1001,"")*$G443,"")</f>
        <v/>
      </c>
      <c r="BI443" s="179" t="str">
        <f t="array" ref="BI443">IF($F443&lt;&gt;"",XLOOKUP($F443,Productos!$A:$A,Productos!BB:BB,"Revisar"),"")</f>
        <v/>
      </c>
      <c r="BJ443" s="179" t="str">
        <f t="array" ref="BJ443">IF($F443&lt;&gt;"", XLOOKUP($F443,Productos!$A$2:$A1001,Productos!BC$2:BC1001,"")*$G443,"")</f>
        <v/>
      </c>
      <c r="BK443" s="179" t="str">
        <f t="array" ref="BK443">IF($F443&lt;&gt;"",XLOOKUP($F443,Productos!$A:$A,Productos!BD:BD,"Revisar"),"")</f>
        <v/>
      </c>
      <c r="BL443" s="179" t="str">
        <f t="array" ref="BL443">IF($F443&lt;&gt;"", XLOOKUP($F443,Productos!$A$2:$A1001,Productos!BE$2:BE1001,"")*$G443,"")</f>
        <v/>
      </c>
      <c r="BM443" s="179" t="str">
        <f t="array" ref="BM443">IF($F443&lt;&gt;"",XLOOKUP($F443,Productos!$A:$A,Productos!BF:BF,"Revisar"),"")</f>
        <v/>
      </c>
      <c r="BN443" s="179" t="str">
        <f t="array" ref="BN443">IF($F443&lt;&gt;"", XLOOKUP($F443,Productos!$A$2:$A1001,Productos!BG$2:BG1001,"")*$G443,"")</f>
        <v/>
      </c>
      <c r="BO443" s="179" t="str">
        <f t="array" ref="BO443">IF($F443&lt;&gt;"",XLOOKUP($F443,Productos!$A:$A,Productos!BH:BH,"Revisar"),"")</f>
        <v/>
      </c>
      <c r="BP443" s="179" t="str">
        <f t="array" ref="BP443">IF($F443&lt;&gt;"", XLOOKUP($F443,Productos!$A$2:$A1001,Productos!BI$2:BI1001,"")*$G443,"")</f>
        <v/>
      </c>
      <c r="BQ443" s="179" t="str">
        <f t="array" ref="BQ443">IF($F443&lt;&gt;"",XLOOKUP($F443,Productos!$A:$A,Productos!BJ:BJ,"Revisar"),"")</f>
        <v/>
      </c>
      <c r="BR443" s="179" t="str">
        <f t="array" ref="BR443">IF($F443&lt;&gt;"", XLOOKUP($F443,Productos!$A$2:$A1001,Productos!BK$2:BK1001,"")*$G443,"")</f>
        <v/>
      </c>
      <c r="BS443" s="179" t="str">
        <f t="array" ref="BS443">IF($F443&lt;&gt;"",XLOOKUP($F443,Productos!$A:$A,Productos!BL:BL,"Revisar"),"")</f>
        <v/>
      </c>
      <c r="BT443" s="179" t="str">
        <f t="array" ref="BT443">IF($F443&lt;&gt;"", XLOOKUP($F443,Productos!$A$2:$A1001,Productos!BM$2:BM1001,"")*$G443,"")</f>
        <v/>
      </c>
      <c r="BU443" s="179" t="str">
        <f t="array" ref="BU443">IF($F443&lt;&gt;"",XLOOKUP($F443,Productos!$A:$A,Productos!BN:BN,"Revisar"),"")</f>
        <v/>
      </c>
      <c r="BV443" s="179" t="str">
        <f t="array" ref="BV443">IF($F443&lt;&gt;"", XLOOKUP($F443,Productos!$A$2:$A1001,Productos!BO$2:BO1001,"")*$G443,"")</f>
        <v/>
      </c>
      <c r="BW443" s="179" t="str">
        <f t="array" ref="BW443">IF($F443&lt;&gt;"",XLOOKUP($F443,Productos!$A:$A,Productos!BP:BP,"Revisar"),"")</f>
        <v/>
      </c>
      <c r="BX443" s="179" t="str">
        <f t="array" ref="BX443">IF($F443&lt;&gt;"", XLOOKUP($F443,Productos!$A$2:$A1001,Productos!BQ$2:BQ1001,"")*$G443,"")</f>
        <v/>
      </c>
      <c r="BY443" s="179" t="str">
        <f t="array" ref="BY443">IF($F443&lt;&gt;"",XLOOKUP($F443,Productos!$A:$A,Productos!BR:BR,"Revisar"),"")</f>
        <v/>
      </c>
      <c r="BZ443" s="179" t="str">
        <f t="array" ref="BZ443">IF($F443&lt;&gt;"", XLOOKUP($F443,Productos!$A$2:$A1001,Productos!BS$2:BS1001,"")*$G443,"")</f>
        <v/>
      </c>
    </row>
    <row r="444">
      <c r="A444" s="188"/>
      <c r="B444" s="189"/>
      <c r="C444" s="190"/>
      <c r="D444" s="190"/>
      <c r="E444" s="191"/>
      <c r="F444" s="186"/>
      <c r="G444" s="192"/>
      <c r="H444" s="9"/>
      <c r="I444" s="179" t="str">
        <f t="array" ref="I444">IF($F444&lt;&gt;"",XLOOKUP($F444,Productos!$A:$A,Productos!B:B,"Revisar"),"")</f>
        <v/>
      </c>
      <c r="J444" s="179" t="str">
        <f t="array" ref="J444">IF($F444&lt;&gt;"", XLOOKUP($F444,Productos!$A$2:$A1001,Productos!C$2:C1001,"")*$G444,"")</f>
        <v/>
      </c>
      <c r="K444" s="179" t="str">
        <f t="array" ref="K444">IF($F444&lt;&gt;"",XLOOKUP($F444,Productos!$A:$A,Productos!D:D,"Revisar"),"")</f>
        <v/>
      </c>
      <c r="L444" s="179" t="str">
        <f t="array" ref="L444">IF($F444&lt;&gt;"", XLOOKUP($F444,Productos!$A$2:$A1001,Productos!E$2:E1001,"")*$G444,"")</f>
        <v/>
      </c>
      <c r="M444" s="179" t="str">
        <f t="array" ref="M444">IF($F444&lt;&gt;"",XLOOKUP($F444,Productos!$A:$A,Productos!F:F,"Revisar"),"")</f>
        <v/>
      </c>
      <c r="N444" s="179" t="str">
        <f t="array" ref="N444">IF($F444&lt;&gt;"", XLOOKUP($F444,Productos!$A$2:$A1001,Productos!G$2:G1001,"")*$G444,"")</f>
        <v/>
      </c>
      <c r="O444" s="179" t="str">
        <f t="array" ref="O444">IF($F444&lt;&gt;"",XLOOKUP($F444,Productos!$A:$A,Productos!H:H,"Revisar"),"")</f>
        <v/>
      </c>
      <c r="P444" s="179" t="str">
        <f t="array" ref="P444">IF($F444&lt;&gt;"", XLOOKUP($F444,Productos!$A$2:$A1001,Productos!I$2:I1001,"")*$G444,"")</f>
        <v/>
      </c>
      <c r="Q444" s="179" t="str">
        <f t="array" ref="Q444">IF($F444&lt;&gt;"",XLOOKUP($F444,Productos!$A:$A,Productos!J:J,"Revisar"),"")</f>
        <v/>
      </c>
      <c r="R444" s="179" t="str">
        <f t="array" ref="R444">IF($F444&lt;&gt;"", XLOOKUP($F444,Productos!$A$2:$A1001,Productos!K$2:K1001,"")*$G444,"")</f>
        <v/>
      </c>
      <c r="S444" s="179" t="str">
        <f t="array" ref="S444">IF($F444&lt;&gt;"",XLOOKUP($F444,Productos!$A:$A,Productos!L:L,"Revisar"),"")</f>
        <v/>
      </c>
      <c r="T444" s="179" t="str">
        <f t="array" ref="T444">IF($F444&lt;&gt;"", XLOOKUP($F444,Productos!$A$2:$A1001,Productos!M$2:M1001,"")*$G444,"")</f>
        <v/>
      </c>
      <c r="U444" s="179" t="str">
        <f t="array" ref="U444">IF($F444&lt;&gt;"",XLOOKUP($F444,Productos!$A:$A,Productos!N:N,"Revisar"),"")</f>
        <v/>
      </c>
      <c r="V444" s="179" t="str">
        <f t="array" ref="V444">IF($F444&lt;&gt;"", XLOOKUP($F444,Productos!$A$2:$A1001,Productos!O$2:O1001,"")*$G444,"")</f>
        <v/>
      </c>
      <c r="W444" s="179" t="str">
        <f t="array" ref="W444">IF($F444&lt;&gt;"",XLOOKUP($F444,Productos!$A:$A,Productos!P:P,"Revisar"),"")</f>
        <v/>
      </c>
      <c r="X444" s="179" t="str">
        <f t="array" ref="X444">IF($F444&lt;&gt;"", XLOOKUP($F444,Productos!$A$2:$A1001,Productos!Q$2:Q1001,"")*$G444,"")</f>
        <v/>
      </c>
      <c r="Y444" s="179" t="str">
        <f t="array" ref="Y444">IF($F444&lt;&gt;"",XLOOKUP($F444,Productos!$A:$A,Productos!R:R,"Revisar"),"")</f>
        <v/>
      </c>
      <c r="Z444" s="179" t="str">
        <f t="array" ref="Z444">IF($F444&lt;&gt;"", XLOOKUP($F444,Productos!$A$2:$A1001,Productos!S$2:S1001,"")*$G444,"")</f>
        <v/>
      </c>
      <c r="AA444" s="179" t="str">
        <f t="array" ref="AA444">IF($F444&lt;&gt;"",XLOOKUP($F444,Productos!$A:$A,Productos!T:T,"Revisar"),"")</f>
        <v/>
      </c>
      <c r="AB444" s="179" t="str">
        <f t="array" ref="AB444">IF($F444&lt;&gt;"", XLOOKUP($F444,Productos!$A$2:$A1001,Productos!U$2:U1001,"")*$G444,"")</f>
        <v/>
      </c>
      <c r="AC444" s="179" t="str">
        <f t="array" ref="AC444">IF($F444&lt;&gt;"",XLOOKUP($F444,Productos!$A:$A,Productos!V:V,"Revisar"),"")</f>
        <v/>
      </c>
      <c r="AD444" s="179" t="str">
        <f t="array" ref="AD444">IF($F444&lt;&gt;"", XLOOKUP($F444,Productos!$A$2:$A1001,Productos!W$2:W1001,"")*$G444,"")</f>
        <v/>
      </c>
      <c r="AE444" s="179" t="str">
        <f t="array" ref="AE444">IF($F444&lt;&gt;"",XLOOKUP($F444,Productos!$A:$A,Productos!X:X,"Revisar"),"")</f>
        <v/>
      </c>
      <c r="AF444" s="179" t="str">
        <f t="array" ref="AF444">IF($F444&lt;&gt;"", XLOOKUP($F444,Productos!$A$2:$A1001,Productos!Y$2:Y1001,"")*$G444,"")</f>
        <v/>
      </c>
      <c r="AG444" s="179" t="str">
        <f t="array" ref="AG444">IF($F444&lt;&gt;"",XLOOKUP($F444,Productos!$A:$A,Productos!Z:Z,"Revisar"),"")</f>
        <v/>
      </c>
      <c r="AH444" s="179" t="str">
        <f t="array" ref="AH444">IF($F444&lt;&gt;"", XLOOKUP($F444,Productos!$A$2:$A1001,Productos!AA$2:AA1001,"")*$G444,"")</f>
        <v/>
      </c>
      <c r="AI444" s="179" t="str">
        <f t="array" ref="AI444">IF($F444&lt;&gt;"",XLOOKUP($F444,Productos!$A:$A,Productos!AB:AB,"Revisar"),"")</f>
        <v/>
      </c>
      <c r="AJ444" s="179" t="str">
        <f t="array" ref="AJ444">IF($F444&lt;&gt;"", XLOOKUP($F444,Productos!$A$2:$A1001,Productos!AC$2:AC1001,"")*$G444,"")</f>
        <v/>
      </c>
      <c r="AK444" s="179" t="str">
        <f t="array" ref="AK444">IF($F444&lt;&gt;"",XLOOKUP($F444,Productos!$A:$A,Productos!AD:AD,"Revisar"),"")</f>
        <v/>
      </c>
      <c r="AL444" s="179" t="str">
        <f t="array" ref="AL444">IF($F444&lt;&gt;"", XLOOKUP($F444,Productos!$A$2:$A1001,Productos!AE$2:AE1001,"")*$G444,"")</f>
        <v/>
      </c>
      <c r="AM444" s="179" t="str">
        <f t="array" ref="AM444">IF($F444&lt;&gt;"",XLOOKUP($F444,Productos!$A:$A,Productos!AF:AF,"Revisar"),"")</f>
        <v/>
      </c>
      <c r="AN444" s="179" t="str">
        <f t="array" ref="AN444">IF($F444&lt;&gt;"", XLOOKUP($F444,Productos!$A$2:$A1001,Productos!AG$2:AG1001,"")*$G444,"")</f>
        <v/>
      </c>
      <c r="AO444" s="179" t="str">
        <f t="array" ref="AO444">IF($F444&lt;&gt;"",XLOOKUP($F444,Productos!$A:$A,Productos!AH:AH,"Revisar"),"")</f>
        <v/>
      </c>
      <c r="AP444" s="179" t="str">
        <f t="array" ref="AP444">IF($F444&lt;&gt;"", XLOOKUP($F444,Productos!$A$2:$A1001,Productos!AI$2:AI1001,"")*$G444,"")</f>
        <v/>
      </c>
      <c r="AQ444" s="179" t="str">
        <f t="array" ref="AQ444">IF($F444&lt;&gt;"",XLOOKUP($F444,Productos!$A:$A,Productos!AJ:AJ,"Revisar"),"")</f>
        <v/>
      </c>
      <c r="AR444" s="179" t="str">
        <f t="array" ref="AR444">IF($F444&lt;&gt;"", XLOOKUP($F444,Productos!$A$2:$A1001,Productos!AK$2:AK1001,"")*$G444,"")</f>
        <v/>
      </c>
      <c r="AS444" s="179" t="str">
        <f t="array" ref="AS444">IF($F444&lt;&gt;"",XLOOKUP($F444,Productos!$A:$A,Productos!AL:AL,"Revisar"),"")</f>
        <v/>
      </c>
      <c r="AT444" s="179" t="str">
        <f t="array" ref="AT444">IF($F444&lt;&gt;"", XLOOKUP($F444,Productos!$A$2:$A1001,Productos!AM$2:AM1001,"")*$G444,"")</f>
        <v/>
      </c>
      <c r="AU444" s="179" t="str">
        <f t="array" ref="AU444">IF($F444&lt;&gt;"",XLOOKUP($F444,Productos!$A:$A,Productos!AN:AN,"Revisar"),"")</f>
        <v/>
      </c>
      <c r="AV444" s="179" t="str">
        <f t="array" ref="AV444">IF($F444&lt;&gt;"", XLOOKUP($F444,Productos!$A$2:$A1001,Productos!AO$2:AO1001,"")*$G444,"")</f>
        <v/>
      </c>
      <c r="AW444" s="179" t="str">
        <f t="array" ref="AW444">IF($F444&lt;&gt;"",XLOOKUP($F444,Productos!$A:$A,Productos!AP:AP,"Revisar"),"")</f>
        <v/>
      </c>
      <c r="AX444" s="179" t="str">
        <f t="array" ref="AX444">IF($F444&lt;&gt;"", XLOOKUP($F444,Productos!$A$2:$A1001,Productos!AQ$2:AQ1001,"")*$G444,"")</f>
        <v/>
      </c>
      <c r="AY444" s="179" t="str">
        <f t="array" ref="AY444">IF($F444&lt;&gt;"",XLOOKUP($F444,Productos!$A:$A,Productos!AR:AR,"Revisar"),"")</f>
        <v/>
      </c>
      <c r="AZ444" s="179" t="str">
        <f t="array" ref="AZ444">IF($F444&lt;&gt;"", XLOOKUP($F444,Productos!$A$2:$A1001,Productos!AS$2:AS1001,"")*$G444,"")</f>
        <v/>
      </c>
      <c r="BA444" s="179" t="str">
        <f t="array" ref="BA444">IF($F444&lt;&gt;"",XLOOKUP($F444,Productos!$A:$A,Productos!AT:AT,"Revisar"),"")</f>
        <v/>
      </c>
      <c r="BB444" s="179" t="str">
        <f t="array" ref="BB444">IF($F444&lt;&gt;"", XLOOKUP($F444,Productos!$A$2:$A1001,Productos!AU$2:AU1001,"")*$G444,"")</f>
        <v/>
      </c>
      <c r="BC444" s="179" t="str">
        <f t="array" ref="BC444">IF($F444&lt;&gt;"",XLOOKUP($F444,Productos!$A:$A,Productos!AV:AV,"Revisar"),"")</f>
        <v/>
      </c>
      <c r="BD444" s="179" t="str">
        <f t="array" ref="BD444">IF($F444&lt;&gt;"", XLOOKUP($F444,Productos!$A$2:$A1001,Productos!AW$2:AW1001,"")*$G444,"")</f>
        <v/>
      </c>
      <c r="BE444" s="179" t="str">
        <f t="array" ref="BE444">IF($F444&lt;&gt;"",XLOOKUP($F444,Productos!$A:$A,Productos!AX:AX,"Revisar"),"")</f>
        <v/>
      </c>
      <c r="BF444" s="179" t="str">
        <f t="array" ref="BF444">IF($F444&lt;&gt;"", XLOOKUP($F444,Productos!$A$2:$A1001,Productos!AY$2:AY1001,"")*$G444,"")</f>
        <v/>
      </c>
      <c r="BG444" s="179" t="str">
        <f t="array" ref="BG444">IF($F444&lt;&gt;"",XLOOKUP($F444,Productos!$A:$A,Productos!AZ:AZ,"Revisar"),"")</f>
        <v/>
      </c>
      <c r="BH444" s="179" t="str">
        <f t="array" ref="BH444">IF($F444&lt;&gt;"", XLOOKUP($F444,Productos!$A$2:$A1001,Productos!BA$2:BA1001,"")*$G444,"")</f>
        <v/>
      </c>
      <c r="BI444" s="179" t="str">
        <f t="array" ref="BI444">IF($F444&lt;&gt;"",XLOOKUP($F444,Productos!$A:$A,Productos!BB:BB,"Revisar"),"")</f>
        <v/>
      </c>
      <c r="BJ444" s="179" t="str">
        <f t="array" ref="BJ444">IF($F444&lt;&gt;"", XLOOKUP($F444,Productos!$A$2:$A1001,Productos!BC$2:BC1001,"")*$G444,"")</f>
        <v/>
      </c>
      <c r="BK444" s="179" t="str">
        <f t="array" ref="BK444">IF($F444&lt;&gt;"",XLOOKUP($F444,Productos!$A:$A,Productos!BD:BD,"Revisar"),"")</f>
        <v/>
      </c>
      <c r="BL444" s="179" t="str">
        <f t="array" ref="BL444">IF($F444&lt;&gt;"", XLOOKUP($F444,Productos!$A$2:$A1001,Productos!BE$2:BE1001,"")*$G444,"")</f>
        <v/>
      </c>
      <c r="BM444" s="179" t="str">
        <f t="array" ref="BM444">IF($F444&lt;&gt;"",XLOOKUP($F444,Productos!$A:$A,Productos!BF:BF,"Revisar"),"")</f>
        <v/>
      </c>
      <c r="BN444" s="179" t="str">
        <f t="array" ref="BN444">IF($F444&lt;&gt;"", XLOOKUP($F444,Productos!$A$2:$A1001,Productos!BG$2:BG1001,"")*$G444,"")</f>
        <v/>
      </c>
      <c r="BO444" s="179" t="str">
        <f t="array" ref="BO444">IF($F444&lt;&gt;"",XLOOKUP($F444,Productos!$A:$A,Productos!BH:BH,"Revisar"),"")</f>
        <v/>
      </c>
      <c r="BP444" s="179" t="str">
        <f t="array" ref="BP444">IF($F444&lt;&gt;"", XLOOKUP($F444,Productos!$A$2:$A1001,Productos!BI$2:BI1001,"")*$G444,"")</f>
        <v/>
      </c>
      <c r="BQ444" s="179" t="str">
        <f t="array" ref="BQ444">IF($F444&lt;&gt;"",XLOOKUP($F444,Productos!$A:$A,Productos!BJ:BJ,"Revisar"),"")</f>
        <v/>
      </c>
      <c r="BR444" s="179" t="str">
        <f t="array" ref="BR444">IF($F444&lt;&gt;"", XLOOKUP($F444,Productos!$A$2:$A1001,Productos!BK$2:BK1001,"")*$G444,"")</f>
        <v/>
      </c>
      <c r="BS444" s="179" t="str">
        <f t="array" ref="BS444">IF($F444&lt;&gt;"",XLOOKUP($F444,Productos!$A:$A,Productos!BL:BL,"Revisar"),"")</f>
        <v/>
      </c>
      <c r="BT444" s="179" t="str">
        <f t="array" ref="BT444">IF($F444&lt;&gt;"", XLOOKUP($F444,Productos!$A$2:$A1001,Productos!BM$2:BM1001,"")*$G444,"")</f>
        <v/>
      </c>
      <c r="BU444" s="179" t="str">
        <f t="array" ref="BU444">IF($F444&lt;&gt;"",XLOOKUP($F444,Productos!$A:$A,Productos!BN:BN,"Revisar"),"")</f>
        <v/>
      </c>
      <c r="BV444" s="179" t="str">
        <f t="array" ref="BV444">IF($F444&lt;&gt;"", XLOOKUP($F444,Productos!$A$2:$A1001,Productos!BO$2:BO1001,"")*$G444,"")</f>
        <v/>
      </c>
      <c r="BW444" s="179" t="str">
        <f t="array" ref="BW444">IF($F444&lt;&gt;"",XLOOKUP($F444,Productos!$A:$A,Productos!BP:BP,"Revisar"),"")</f>
        <v/>
      </c>
      <c r="BX444" s="179" t="str">
        <f t="array" ref="BX444">IF($F444&lt;&gt;"", XLOOKUP($F444,Productos!$A$2:$A1001,Productos!BQ$2:BQ1001,"")*$G444,"")</f>
        <v/>
      </c>
      <c r="BY444" s="179" t="str">
        <f t="array" ref="BY444">IF($F444&lt;&gt;"",XLOOKUP($F444,Productos!$A:$A,Productos!BR:BR,"Revisar"),"")</f>
        <v/>
      </c>
      <c r="BZ444" s="179" t="str">
        <f t="array" ref="BZ444">IF($F444&lt;&gt;"", XLOOKUP($F444,Productos!$A$2:$A1001,Productos!BS$2:BS1001,"")*$G444,"")</f>
        <v/>
      </c>
    </row>
    <row r="445">
      <c r="A445" s="188"/>
      <c r="B445" s="189"/>
      <c r="C445" s="190"/>
      <c r="D445" s="190"/>
      <c r="E445" s="191"/>
      <c r="F445" s="186"/>
      <c r="G445" s="192"/>
      <c r="H445" s="9"/>
      <c r="I445" s="179" t="str">
        <f t="array" ref="I445">IF($F445&lt;&gt;"",XLOOKUP($F445,Productos!$A:$A,Productos!B:B,"Revisar"),"")</f>
        <v/>
      </c>
      <c r="J445" s="179" t="str">
        <f t="array" ref="J445">IF($F445&lt;&gt;"", XLOOKUP($F445,Productos!$A$2:$A1001,Productos!C$2:C1001,"")*$G445,"")</f>
        <v/>
      </c>
      <c r="K445" s="179" t="str">
        <f t="array" ref="K445">IF($F445&lt;&gt;"",XLOOKUP($F445,Productos!$A:$A,Productos!D:D,"Revisar"),"")</f>
        <v/>
      </c>
      <c r="L445" s="179" t="str">
        <f t="array" ref="L445">IF($F445&lt;&gt;"", XLOOKUP($F445,Productos!$A$2:$A1001,Productos!E$2:E1001,"")*$G445,"")</f>
        <v/>
      </c>
      <c r="M445" s="179" t="str">
        <f t="array" ref="M445">IF($F445&lt;&gt;"",XLOOKUP($F445,Productos!$A:$A,Productos!F:F,"Revisar"),"")</f>
        <v/>
      </c>
      <c r="N445" s="179" t="str">
        <f t="array" ref="N445">IF($F445&lt;&gt;"", XLOOKUP($F445,Productos!$A$2:$A1001,Productos!G$2:G1001,"")*$G445,"")</f>
        <v/>
      </c>
      <c r="O445" s="179" t="str">
        <f t="array" ref="O445">IF($F445&lt;&gt;"",XLOOKUP($F445,Productos!$A:$A,Productos!H:H,"Revisar"),"")</f>
        <v/>
      </c>
      <c r="P445" s="179" t="str">
        <f t="array" ref="P445">IF($F445&lt;&gt;"", XLOOKUP($F445,Productos!$A$2:$A1001,Productos!I$2:I1001,"")*$G445,"")</f>
        <v/>
      </c>
      <c r="Q445" s="179" t="str">
        <f t="array" ref="Q445">IF($F445&lt;&gt;"",XLOOKUP($F445,Productos!$A:$A,Productos!J:J,"Revisar"),"")</f>
        <v/>
      </c>
      <c r="R445" s="179" t="str">
        <f t="array" ref="R445">IF($F445&lt;&gt;"", XLOOKUP($F445,Productos!$A$2:$A1001,Productos!K$2:K1001,"")*$G445,"")</f>
        <v/>
      </c>
      <c r="S445" s="179" t="str">
        <f t="array" ref="S445">IF($F445&lt;&gt;"",XLOOKUP($F445,Productos!$A:$A,Productos!L:L,"Revisar"),"")</f>
        <v/>
      </c>
      <c r="T445" s="179" t="str">
        <f t="array" ref="T445">IF($F445&lt;&gt;"", XLOOKUP($F445,Productos!$A$2:$A1001,Productos!M$2:M1001,"")*$G445,"")</f>
        <v/>
      </c>
      <c r="U445" s="179" t="str">
        <f t="array" ref="U445">IF($F445&lt;&gt;"",XLOOKUP($F445,Productos!$A:$A,Productos!N:N,"Revisar"),"")</f>
        <v/>
      </c>
      <c r="V445" s="179" t="str">
        <f t="array" ref="V445">IF($F445&lt;&gt;"", XLOOKUP($F445,Productos!$A$2:$A1001,Productos!O$2:O1001,"")*$G445,"")</f>
        <v/>
      </c>
      <c r="W445" s="179" t="str">
        <f t="array" ref="W445">IF($F445&lt;&gt;"",XLOOKUP($F445,Productos!$A:$A,Productos!P:P,"Revisar"),"")</f>
        <v/>
      </c>
      <c r="X445" s="179" t="str">
        <f t="array" ref="X445">IF($F445&lt;&gt;"", XLOOKUP($F445,Productos!$A$2:$A1001,Productos!Q$2:Q1001,"")*$G445,"")</f>
        <v/>
      </c>
      <c r="Y445" s="179" t="str">
        <f t="array" ref="Y445">IF($F445&lt;&gt;"",XLOOKUP($F445,Productos!$A:$A,Productos!R:R,"Revisar"),"")</f>
        <v/>
      </c>
      <c r="Z445" s="179" t="str">
        <f t="array" ref="Z445">IF($F445&lt;&gt;"", XLOOKUP($F445,Productos!$A$2:$A1001,Productos!S$2:S1001,"")*$G445,"")</f>
        <v/>
      </c>
      <c r="AA445" s="179" t="str">
        <f t="array" ref="AA445">IF($F445&lt;&gt;"",XLOOKUP($F445,Productos!$A:$A,Productos!T:T,"Revisar"),"")</f>
        <v/>
      </c>
      <c r="AB445" s="179" t="str">
        <f t="array" ref="AB445">IF($F445&lt;&gt;"", XLOOKUP($F445,Productos!$A$2:$A1001,Productos!U$2:U1001,"")*$G445,"")</f>
        <v/>
      </c>
      <c r="AC445" s="179" t="str">
        <f t="array" ref="AC445">IF($F445&lt;&gt;"",XLOOKUP($F445,Productos!$A:$A,Productos!V:V,"Revisar"),"")</f>
        <v/>
      </c>
      <c r="AD445" s="179" t="str">
        <f t="array" ref="AD445">IF($F445&lt;&gt;"", XLOOKUP($F445,Productos!$A$2:$A1001,Productos!W$2:W1001,"")*$G445,"")</f>
        <v/>
      </c>
      <c r="AE445" s="179" t="str">
        <f t="array" ref="AE445">IF($F445&lt;&gt;"",XLOOKUP($F445,Productos!$A:$A,Productos!X:X,"Revisar"),"")</f>
        <v/>
      </c>
      <c r="AF445" s="179" t="str">
        <f t="array" ref="AF445">IF($F445&lt;&gt;"", XLOOKUP($F445,Productos!$A$2:$A1001,Productos!Y$2:Y1001,"")*$G445,"")</f>
        <v/>
      </c>
      <c r="AG445" s="179" t="str">
        <f t="array" ref="AG445">IF($F445&lt;&gt;"",XLOOKUP($F445,Productos!$A:$A,Productos!Z:Z,"Revisar"),"")</f>
        <v/>
      </c>
      <c r="AH445" s="179" t="str">
        <f t="array" ref="AH445">IF($F445&lt;&gt;"", XLOOKUP($F445,Productos!$A$2:$A1001,Productos!AA$2:AA1001,"")*$G445,"")</f>
        <v/>
      </c>
      <c r="AI445" s="179" t="str">
        <f t="array" ref="AI445">IF($F445&lt;&gt;"",XLOOKUP($F445,Productos!$A:$A,Productos!AB:AB,"Revisar"),"")</f>
        <v/>
      </c>
      <c r="AJ445" s="179" t="str">
        <f t="array" ref="AJ445">IF($F445&lt;&gt;"", XLOOKUP($F445,Productos!$A$2:$A1001,Productos!AC$2:AC1001,"")*$G445,"")</f>
        <v/>
      </c>
      <c r="AK445" s="179" t="str">
        <f t="array" ref="AK445">IF($F445&lt;&gt;"",XLOOKUP($F445,Productos!$A:$A,Productos!AD:AD,"Revisar"),"")</f>
        <v/>
      </c>
      <c r="AL445" s="179" t="str">
        <f t="array" ref="AL445">IF($F445&lt;&gt;"", XLOOKUP($F445,Productos!$A$2:$A1001,Productos!AE$2:AE1001,"")*$G445,"")</f>
        <v/>
      </c>
      <c r="AM445" s="179" t="str">
        <f t="array" ref="AM445">IF($F445&lt;&gt;"",XLOOKUP($F445,Productos!$A:$A,Productos!AF:AF,"Revisar"),"")</f>
        <v/>
      </c>
      <c r="AN445" s="179" t="str">
        <f t="array" ref="AN445">IF($F445&lt;&gt;"", XLOOKUP($F445,Productos!$A$2:$A1001,Productos!AG$2:AG1001,"")*$G445,"")</f>
        <v/>
      </c>
      <c r="AO445" s="179" t="str">
        <f t="array" ref="AO445">IF($F445&lt;&gt;"",XLOOKUP($F445,Productos!$A:$A,Productos!AH:AH,"Revisar"),"")</f>
        <v/>
      </c>
      <c r="AP445" s="179" t="str">
        <f t="array" ref="AP445">IF($F445&lt;&gt;"", XLOOKUP($F445,Productos!$A$2:$A1001,Productos!AI$2:AI1001,"")*$G445,"")</f>
        <v/>
      </c>
      <c r="AQ445" s="179" t="str">
        <f t="array" ref="AQ445">IF($F445&lt;&gt;"",XLOOKUP($F445,Productos!$A:$A,Productos!AJ:AJ,"Revisar"),"")</f>
        <v/>
      </c>
      <c r="AR445" s="179" t="str">
        <f t="array" ref="AR445">IF($F445&lt;&gt;"", XLOOKUP($F445,Productos!$A$2:$A1001,Productos!AK$2:AK1001,"")*$G445,"")</f>
        <v/>
      </c>
      <c r="AS445" s="179" t="str">
        <f t="array" ref="AS445">IF($F445&lt;&gt;"",XLOOKUP($F445,Productos!$A:$A,Productos!AL:AL,"Revisar"),"")</f>
        <v/>
      </c>
      <c r="AT445" s="179" t="str">
        <f t="array" ref="AT445">IF($F445&lt;&gt;"", XLOOKUP($F445,Productos!$A$2:$A1001,Productos!AM$2:AM1001,"")*$G445,"")</f>
        <v/>
      </c>
      <c r="AU445" s="179" t="str">
        <f t="array" ref="AU445">IF($F445&lt;&gt;"",XLOOKUP($F445,Productos!$A:$A,Productos!AN:AN,"Revisar"),"")</f>
        <v/>
      </c>
      <c r="AV445" s="179" t="str">
        <f t="array" ref="AV445">IF($F445&lt;&gt;"", XLOOKUP($F445,Productos!$A$2:$A1001,Productos!AO$2:AO1001,"")*$G445,"")</f>
        <v/>
      </c>
      <c r="AW445" s="179" t="str">
        <f t="array" ref="AW445">IF($F445&lt;&gt;"",XLOOKUP($F445,Productos!$A:$A,Productos!AP:AP,"Revisar"),"")</f>
        <v/>
      </c>
      <c r="AX445" s="179" t="str">
        <f t="array" ref="AX445">IF($F445&lt;&gt;"", XLOOKUP($F445,Productos!$A$2:$A1001,Productos!AQ$2:AQ1001,"")*$G445,"")</f>
        <v/>
      </c>
      <c r="AY445" s="179" t="str">
        <f t="array" ref="AY445">IF($F445&lt;&gt;"",XLOOKUP($F445,Productos!$A:$A,Productos!AR:AR,"Revisar"),"")</f>
        <v/>
      </c>
      <c r="AZ445" s="179" t="str">
        <f t="array" ref="AZ445">IF($F445&lt;&gt;"", XLOOKUP($F445,Productos!$A$2:$A1001,Productos!AS$2:AS1001,"")*$G445,"")</f>
        <v/>
      </c>
      <c r="BA445" s="179" t="str">
        <f t="array" ref="BA445">IF($F445&lt;&gt;"",XLOOKUP($F445,Productos!$A:$A,Productos!AT:AT,"Revisar"),"")</f>
        <v/>
      </c>
      <c r="BB445" s="179" t="str">
        <f t="array" ref="BB445">IF($F445&lt;&gt;"", XLOOKUP($F445,Productos!$A$2:$A1001,Productos!AU$2:AU1001,"")*$G445,"")</f>
        <v/>
      </c>
      <c r="BC445" s="179" t="str">
        <f t="array" ref="BC445">IF($F445&lt;&gt;"",XLOOKUP($F445,Productos!$A:$A,Productos!AV:AV,"Revisar"),"")</f>
        <v/>
      </c>
      <c r="BD445" s="179" t="str">
        <f t="array" ref="BD445">IF($F445&lt;&gt;"", XLOOKUP($F445,Productos!$A$2:$A1001,Productos!AW$2:AW1001,"")*$G445,"")</f>
        <v/>
      </c>
      <c r="BE445" s="179" t="str">
        <f t="array" ref="BE445">IF($F445&lt;&gt;"",XLOOKUP($F445,Productos!$A:$A,Productos!AX:AX,"Revisar"),"")</f>
        <v/>
      </c>
      <c r="BF445" s="179" t="str">
        <f t="array" ref="BF445">IF($F445&lt;&gt;"", XLOOKUP($F445,Productos!$A$2:$A1001,Productos!AY$2:AY1001,"")*$G445,"")</f>
        <v/>
      </c>
      <c r="BG445" s="179" t="str">
        <f t="array" ref="BG445">IF($F445&lt;&gt;"",XLOOKUP($F445,Productos!$A:$A,Productos!AZ:AZ,"Revisar"),"")</f>
        <v/>
      </c>
      <c r="BH445" s="179" t="str">
        <f t="array" ref="BH445">IF($F445&lt;&gt;"", XLOOKUP($F445,Productos!$A$2:$A1001,Productos!BA$2:BA1001,"")*$G445,"")</f>
        <v/>
      </c>
      <c r="BI445" s="179" t="str">
        <f t="array" ref="BI445">IF($F445&lt;&gt;"",XLOOKUP($F445,Productos!$A:$A,Productos!BB:BB,"Revisar"),"")</f>
        <v/>
      </c>
      <c r="BJ445" s="179" t="str">
        <f t="array" ref="BJ445">IF($F445&lt;&gt;"", XLOOKUP($F445,Productos!$A$2:$A1001,Productos!BC$2:BC1001,"")*$G445,"")</f>
        <v/>
      </c>
      <c r="BK445" s="179" t="str">
        <f t="array" ref="BK445">IF($F445&lt;&gt;"",XLOOKUP($F445,Productos!$A:$A,Productos!BD:BD,"Revisar"),"")</f>
        <v/>
      </c>
      <c r="BL445" s="179" t="str">
        <f t="array" ref="BL445">IF($F445&lt;&gt;"", XLOOKUP($F445,Productos!$A$2:$A1001,Productos!BE$2:BE1001,"")*$G445,"")</f>
        <v/>
      </c>
      <c r="BM445" s="179" t="str">
        <f t="array" ref="BM445">IF($F445&lt;&gt;"",XLOOKUP($F445,Productos!$A:$A,Productos!BF:BF,"Revisar"),"")</f>
        <v/>
      </c>
      <c r="BN445" s="179" t="str">
        <f t="array" ref="BN445">IF($F445&lt;&gt;"", XLOOKUP($F445,Productos!$A$2:$A1001,Productos!BG$2:BG1001,"")*$G445,"")</f>
        <v/>
      </c>
      <c r="BO445" s="179" t="str">
        <f t="array" ref="BO445">IF($F445&lt;&gt;"",XLOOKUP($F445,Productos!$A:$A,Productos!BH:BH,"Revisar"),"")</f>
        <v/>
      </c>
      <c r="BP445" s="179" t="str">
        <f t="array" ref="BP445">IF($F445&lt;&gt;"", XLOOKUP($F445,Productos!$A$2:$A1001,Productos!BI$2:BI1001,"")*$G445,"")</f>
        <v/>
      </c>
      <c r="BQ445" s="179" t="str">
        <f t="array" ref="BQ445">IF($F445&lt;&gt;"",XLOOKUP($F445,Productos!$A:$A,Productos!BJ:BJ,"Revisar"),"")</f>
        <v/>
      </c>
      <c r="BR445" s="179" t="str">
        <f t="array" ref="BR445">IF($F445&lt;&gt;"", XLOOKUP($F445,Productos!$A$2:$A1001,Productos!BK$2:BK1001,"")*$G445,"")</f>
        <v/>
      </c>
      <c r="BS445" s="179" t="str">
        <f t="array" ref="BS445">IF($F445&lt;&gt;"",XLOOKUP($F445,Productos!$A:$A,Productos!BL:BL,"Revisar"),"")</f>
        <v/>
      </c>
      <c r="BT445" s="179" t="str">
        <f t="array" ref="BT445">IF($F445&lt;&gt;"", XLOOKUP($F445,Productos!$A$2:$A1001,Productos!BM$2:BM1001,"")*$G445,"")</f>
        <v/>
      </c>
      <c r="BU445" s="179" t="str">
        <f t="array" ref="BU445">IF($F445&lt;&gt;"",XLOOKUP($F445,Productos!$A:$A,Productos!BN:BN,"Revisar"),"")</f>
        <v/>
      </c>
      <c r="BV445" s="179" t="str">
        <f t="array" ref="BV445">IF($F445&lt;&gt;"", XLOOKUP($F445,Productos!$A$2:$A1001,Productos!BO$2:BO1001,"")*$G445,"")</f>
        <v/>
      </c>
      <c r="BW445" s="179" t="str">
        <f t="array" ref="BW445">IF($F445&lt;&gt;"",XLOOKUP($F445,Productos!$A:$A,Productos!BP:BP,"Revisar"),"")</f>
        <v/>
      </c>
      <c r="BX445" s="179" t="str">
        <f t="array" ref="BX445">IF($F445&lt;&gt;"", XLOOKUP($F445,Productos!$A$2:$A1001,Productos!BQ$2:BQ1001,"")*$G445,"")</f>
        <v/>
      </c>
      <c r="BY445" s="179" t="str">
        <f t="array" ref="BY445">IF($F445&lt;&gt;"",XLOOKUP($F445,Productos!$A:$A,Productos!BR:BR,"Revisar"),"")</f>
        <v/>
      </c>
      <c r="BZ445" s="179" t="str">
        <f t="array" ref="BZ445">IF($F445&lt;&gt;"", XLOOKUP($F445,Productos!$A$2:$A1001,Productos!BS$2:BS1001,"")*$G445,"")</f>
        <v/>
      </c>
    </row>
    <row r="446">
      <c r="A446" s="188"/>
      <c r="B446" s="189"/>
      <c r="C446" s="190"/>
      <c r="D446" s="190"/>
      <c r="E446" s="191"/>
      <c r="F446" s="186"/>
      <c r="G446" s="192"/>
      <c r="H446" s="9"/>
      <c r="I446" s="179" t="str">
        <f t="array" ref="I446">IF($F446&lt;&gt;"",XLOOKUP($F446,Productos!$A:$A,Productos!B:B,"Revisar"),"")</f>
        <v/>
      </c>
      <c r="J446" s="179" t="str">
        <f t="array" ref="J446">IF($F446&lt;&gt;"", XLOOKUP($F446,Productos!$A$2:$A1001,Productos!C$2:C1001,"")*$G446,"")</f>
        <v/>
      </c>
      <c r="K446" s="179" t="str">
        <f t="array" ref="K446">IF($F446&lt;&gt;"",XLOOKUP($F446,Productos!$A:$A,Productos!D:D,"Revisar"),"")</f>
        <v/>
      </c>
      <c r="L446" s="179" t="str">
        <f t="array" ref="L446">IF($F446&lt;&gt;"", XLOOKUP($F446,Productos!$A$2:$A1001,Productos!E$2:E1001,"")*$G446,"")</f>
        <v/>
      </c>
      <c r="M446" s="179" t="str">
        <f t="array" ref="M446">IF($F446&lt;&gt;"",XLOOKUP($F446,Productos!$A:$A,Productos!F:F,"Revisar"),"")</f>
        <v/>
      </c>
      <c r="N446" s="179" t="str">
        <f t="array" ref="N446">IF($F446&lt;&gt;"", XLOOKUP($F446,Productos!$A$2:$A1001,Productos!G$2:G1001,"")*$G446,"")</f>
        <v/>
      </c>
      <c r="O446" s="179" t="str">
        <f t="array" ref="O446">IF($F446&lt;&gt;"",XLOOKUP($F446,Productos!$A:$A,Productos!H:H,"Revisar"),"")</f>
        <v/>
      </c>
      <c r="P446" s="179" t="str">
        <f t="array" ref="P446">IF($F446&lt;&gt;"", XLOOKUP($F446,Productos!$A$2:$A1001,Productos!I$2:I1001,"")*$G446,"")</f>
        <v/>
      </c>
      <c r="Q446" s="179" t="str">
        <f t="array" ref="Q446">IF($F446&lt;&gt;"",XLOOKUP($F446,Productos!$A:$A,Productos!J:J,"Revisar"),"")</f>
        <v/>
      </c>
      <c r="R446" s="179" t="str">
        <f t="array" ref="R446">IF($F446&lt;&gt;"", XLOOKUP($F446,Productos!$A$2:$A1001,Productos!K$2:K1001,"")*$G446,"")</f>
        <v/>
      </c>
      <c r="S446" s="179" t="str">
        <f t="array" ref="S446">IF($F446&lt;&gt;"",XLOOKUP($F446,Productos!$A:$A,Productos!L:L,"Revisar"),"")</f>
        <v/>
      </c>
      <c r="T446" s="179" t="str">
        <f t="array" ref="T446">IF($F446&lt;&gt;"", XLOOKUP($F446,Productos!$A$2:$A1001,Productos!M$2:M1001,"")*$G446,"")</f>
        <v/>
      </c>
      <c r="U446" s="179" t="str">
        <f t="array" ref="U446">IF($F446&lt;&gt;"",XLOOKUP($F446,Productos!$A:$A,Productos!N:N,"Revisar"),"")</f>
        <v/>
      </c>
      <c r="V446" s="179" t="str">
        <f t="array" ref="V446">IF($F446&lt;&gt;"", XLOOKUP($F446,Productos!$A$2:$A1001,Productos!O$2:O1001,"")*$G446,"")</f>
        <v/>
      </c>
      <c r="W446" s="179" t="str">
        <f t="array" ref="W446">IF($F446&lt;&gt;"",XLOOKUP($F446,Productos!$A:$A,Productos!P:P,"Revisar"),"")</f>
        <v/>
      </c>
      <c r="X446" s="179" t="str">
        <f t="array" ref="X446">IF($F446&lt;&gt;"", XLOOKUP($F446,Productos!$A$2:$A1001,Productos!Q$2:Q1001,"")*$G446,"")</f>
        <v/>
      </c>
      <c r="Y446" s="179" t="str">
        <f t="array" ref="Y446">IF($F446&lt;&gt;"",XLOOKUP($F446,Productos!$A:$A,Productos!R:R,"Revisar"),"")</f>
        <v/>
      </c>
      <c r="Z446" s="179" t="str">
        <f t="array" ref="Z446">IF($F446&lt;&gt;"", XLOOKUP($F446,Productos!$A$2:$A1001,Productos!S$2:S1001,"")*$G446,"")</f>
        <v/>
      </c>
      <c r="AA446" s="179" t="str">
        <f t="array" ref="AA446">IF($F446&lt;&gt;"",XLOOKUP($F446,Productos!$A:$A,Productos!T:T,"Revisar"),"")</f>
        <v/>
      </c>
      <c r="AB446" s="179" t="str">
        <f t="array" ref="AB446">IF($F446&lt;&gt;"", XLOOKUP($F446,Productos!$A$2:$A1001,Productos!U$2:U1001,"")*$G446,"")</f>
        <v/>
      </c>
      <c r="AC446" s="179" t="str">
        <f t="array" ref="AC446">IF($F446&lt;&gt;"",XLOOKUP($F446,Productos!$A:$A,Productos!V:V,"Revisar"),"")</f>
        <v/>
      </c>
      <c r="AD446" s="179" t="str">
        <f t="array" ref="AD446">IF($F446&lt;&gt;"", XLOOKUP($F446,Productos!$A$2:$A1001,Productos!W$2:W1001,"")*$G446,"")</f>
        <v/>
      </c>
      <c r="AE446" s="179" t="str">
        <f t="array" ref="AE446">IF($F446&lt;&gt;"",XLOOKUP($F446,Productos!$A:$A,Productos!X:X,"Revisar"),"")</f>
        <v/>
      </c>
      <c r="AF446" s="179" t="str">
        <f t="array" ref="AF446">IF($F446&lt;&gt;"", XLOOKUP($F446,Productos!$A$2:$A1001,Productos!Y$2:Y1001,"")*$G446,"")</f>
        <v/>
      </c>
      <c r="AG446" s="179" t="str">
        <f t="array" ref="AG446">IF($F446&lt;&gt;"",XLOOKUP($F446,Productos!$A:$A,Productos!Z:Z,"Revisar"),"")</f>
        <v/>
      </c>
      <c r="AH446" s="179" t="str">
        <f t="array" ref="AH446">IF($F446&lt;&gt;"", XLOOKUP($F446,Productos!$A$2:$A1001,Productos!AA$2:AA1001,"")*$G446,"")</f>
        <v/>
      </c>
      <c r="AI446" s="179" t="str">
        <f t="array" ref="AI446">IF($F446&lt;&gt;"",XLOOKUP($F446,Productos!$A:$A,Productos!AB:AB,"Revisar"),"")</f>
        <v/>
      </c>
      <c r="AJ446" s="179" t="str">
        <f t="array" ref="AJ446">IF($F446&lt;&gt;"", XLOOKUP($F446,Productos!$A$2:$A1001,Productos!AC$2:AC1001,"")*$G446,"")</f>
        <v/>
      </c>
      <c r="AK446" s="179" t="str">
        <f t="array" ref="AK446">IF($F446&lt;&gt;"",XLOOKUP($F446,Productos!$A:$A,Productos!AD:AD,"Revisar"),"")</f>
        <v/>
      </c>
      <c r="AL446" s="179" t="str">
        <f t="array" ref="AL446">IF($F446&lt;&gt;"", XLOOKUP($F446,Productos!$A$2:$A1001,Productos!AE$2:AE1001,"")*$G446,"")</f>
        <v/>
      </c>
      <c r="AM446" s="179" t="str">
        <f t="array" ref="AM446">IF($F446&lt;&gt;"",XLOOKUP($F446,Productos!$A:$A,Productos!AF:AF,"Revisar"),"")</f>
        <v/>
      </c>
      <c r="AN446" s="179" t="str">
        <f t="array" ref="AN446">IF($F446&lt;&gt;"", XLOOKUP($F446,Productos!$A$2:$A1001,Productos!AG$2:AG1001,"")*$G446,"")</f>
        <v/>
      </c>
      <c r="AO446" s="179" t="str">
        <f t="array" ref="AO446">IF($F446&lt;&gt;"",XLOOKUP($F446,Productos!$A:$A,Productos!AH:AH,"Revisar"),"")</f>
        <v/>
      </c>
      <c r="AP446" s="179" t="str">
        <f t="array" ref="AP446">IF($F446&lt;&gt;"", XLOOKUP($F446,Productos!$A$2:$A1001,Productos!AI$2:AI1001,"")*$G446,"")</f>
        <v/>
      </c>
      <c r="AQ446" s="179" t="str">
        <f t="array" ref="AQ446">IF($F446&lt;&gt;"",XLOOKUP($F446,Productos!$A:$A,Productos!AJ:AJ,"Revisar"),"")</f>
        <v/>
      </c>
      <c r="AR446" s="179" t="str">
        <f t="array" ref="AR446">IF($F446&lt;&gt;"", XLOOKUP($F446,Productos!$A$2:$A1001,Productos!AK$2:AK1001,"")*$G446,"")</f>
        <v/>
      </c>
      <c r="AS446" s="179" t="str">
        <f t="array" ref="AS446">IF($F446&lt;&gt;"",XLOOKUP($F446,Productos!$A:$A,Productos!AL:AL,"Revisar"),"")</f>
        <v/>
      </c>
      <c r="AT446" s="179" t="str">
        <f t="array" ref="AT446">IF($F446&lt;&gt;"", XLOOKUP($F446,Productos!$A$2:$A1001,Productos!AM$2:AM1001,"")*$G446,"")</f>
        <v/>
      </c>
      <c r="AU446" s="179" t="str">
        <f t="array" ref="AU446">IF($F446&lt;&gt;"",XLOOKUP($F446,Productos!$A:$A,Productos!AN:AN,"Revisar"),"")</f>
        <v/>
      </c>
      <c r="AV446" s="179" t="str">
        <f t="array" ref="AV446">IF($F446&lt;&gt;"", XLOOKUP($F446,Productos!$A$2:$A1001,Productos!AO$2:AO1001,"")*$G446,"")</f>
        <v/>
      </c>
      <c r="AW446" s="179" t="str">
        <f t="array" ref="AW446">IF($F446&lt;&gt;"",XLOOKUP($F446,Productos!$A:$A,Productos!AP:AP,"Revisar"),"")</f>
        <v/>
      </c>
      <c r="AX446" s="179" t="str">
        <f t="array" ref="AX446">IF($F446&lt;&gt;"", XLOOKUP($F446,Productos!$A$2:$A1001,Productos!AQ$2:AQ1001,"")*$G446,"")</f>
        <v/>
      </c>
      <c r="AY446" s="179" t="str">
        <f t="array" ref="AY446">IF($F446&lt;&gt;"",XLOOKUP($F446,Productos!$A:$A,Productos!AR:AR,"Revisar"),"")</f>
        <v/>
      </c>
      <c r="AZ446" s="179" t="str">
        <f t="array" ref="AZ446">IF($F446&lt;&gt;"", XLOOKUP($F446,Productos!$A$2:$A1001,Productos!AS$2:AS1001,"")*$G446,"")</f>
        <v/>
      </c>
      <c r="BA446" s="179" t="str">
        <f t="array" ref="BA446">IF($F446&lt;&gt;"",XLOOKUP($F446,Productos!$A:$A,Productos!AT:AT,"Revisar"),"")</f>
        <v/>
      </c>
      <c r="BB446" s="179" t="str">
        <f t="array" ref="BB446">IF($F446&lt;&gt;"", XLOOKUP($F446,Productos!$A$2:$A1001,Productos!AU$2:AU1001,"")*$G446,"")</f>
        <v/>
      </c>
      <c r="BC446" s="179" t="str">
        <f t="array" ref="BC446">IF($F446&lt;&gt;"",XLOOKUP($F446,Productos!$A:$A,Productos!AV:AV,"Revisar"),"")</f>
        <v/>
      </c>
      <c r="BD446" s="179" t="str">
        <f t="array" ref="BD446">IF($F446&lt;&gt;"", XLOOKUP($F446,Productos!$A$2:$A1001,Productos!AW$2:AW1001,"")*$G446,"")</f>
        <v/>
      </c>
      <c r="BE446" s="179" t="str">
        <f t="array" ref="BE446">IF($F446&lt;&gt;"",XLOOKUP($F446,Productos!$A:$A,Productos!AX:AX,"Revisar"),"")</f>
        <v/>
      </c>
      <c r="BF446" s="179" t="str">
        <f t="array" ref="BF446">IF($F446&lt;&gt;"", XLOOKUP($F446,Productos!$A$2:$A1001,Productos!AY$2:AY1001,"")*$G446,"")</f>
        <v/>
      </c>
      <c r="BG446" s="179" t="str">
        <f t="array" ref="BG446">IF($F446&lt;&gt;"",XLOOKUP($F446,Productos!$A:$A,Productos!AZ:AZ,"Revisar"),"")</f>
        <v/>
      </c>
      <c r="BH446" s="179" t="str">
        <f t="array" ref="BH446">IF($F446&lt;&gt;"", XLOOKUP($F446,Productos!$A$2:$A1001,Productos!BA$2:BA1001,"")*$G446,"")</f>
        <v/>
      </c>
      <c r="BI446" s="179" t="str">
        <f t="array" ref="BI446">IF($F446&lt;&gt;"",XLOOKUP($F446,Productos!$A:$A,Productos!BB:BB,"Revisar"),"")</f>
        <v/>
      </c>
      <c r="BJ446" s="179" t="str">
        <f t="array" ref="BJ446">IF($F446&lt;&gt;"", XLOOKUP($F446,Productos!$A$2:$A1001,Productos!BC$2:BC1001,"")*$G446,"")</f>
        <v/>
      </c>
      <c r="BK446" s="179" t="str">
        <f t="array" ref="BK446">IF($F446&lt;&gt;"",XLOOKUP($F446,Productos!$A:$A,Productos!BD:BD,"Revisar"),"")</f>
        <v/>
      </c>
      <c r="BL446" s="179" t="str">
        <f t="array" ref="BL446">IF($F446&lt;&gt;"", XLOOKUP($F446,Productos!$A$2:$A1001,Productos!BE$2:BE1001,"")*$G446,"")</f>
        <v/>
      </c>
      <c r="BM446" s="179" t="str">
        <f t="array" ref="BM446">IF($F446&lt;&gt;"",XLOOKUP($F446,Productos!$A:$A,Productos!BF:BF,"Revisar"),"")</f>
        <v/>
      </c>
      <c r="BN446" s="179" t="str">
        <f t="array" ref="BN446">IF($F446&lt;&gt;"", XLOOKUP($F446,Productos!$A$2:$A1001,Productos!BG$2:BG1001,"")*$G446,"")</f>
        <v/>
      </c>
      <c r="BO446" s="179" t="str">
        <f t="array" ref="BO446">IF($F446&lt;&gt;"",XLOOKUP($F446,Productos!$A:$A,Productos!BH:BH,"Revisar"),"")</f>
        <v/>
      </c>
      <c r="BP446" s="179" t="str">
        <f t="array" ref="BP446">IF($F446&lt;&gt;"", XLOOKUP($F446,Productos!$A$2:$A1001,Productos!BI$2:BI1001,"")*$G446,"")</f>
        <v/>
      </c>
      <c r="BQ446" s="179" t="str">
        <f t="array" ref="BQ446">IF($F446&lt;&gt;"",XLOOKUP($F446,Productos!$A:$A,Productos!BJ:BJ,"Revisar"),"")</f>
        <v/>
      </c>
      <c r="BR446" s="179" t="str">
        <f t="array" ref="BR446">IF($F446&lt;&gt;"", XLOOKUP($F446,Productos!$A$2:$A1001,Productos!BK$2:BK1001,"")*$G446,"")</f>
        <v/>
      </c>
      <c r="BS446" s="179" t="str">
        <f t="array" ref="BS446">IF($F446&lt;&gt;"",XLOOKUP($F446,Productos!$A:$A,Productos!BL:BL,"Revisar"),"")</f>
        <v/>
      </c>
      <c r="BT446" s="179" t="str">
        <f t="array" ref="BT446">IF($F446&lt;&gt;"", XLOOKUP($F446,Productos!$A$2:$A1001,Productos!BM$2:BM1001,"")*$G446,"")</f>
        <v/>
      </c>
      <c r="BU446" s="179" t="str">
        <f t="array" ref="BU446">IF($F446&lt;&gt;"",XLOOKUP($F446,Productos!$A:$A,Productos!BN:BN,"Revisar"),"")</f>
        <v/>
      </c>
      <c r="BV446" s="179" t="str">
        <f t="array" ref="BV446">IF($F446&lt;&gt;"", XLOOKUP($F446,Productos!$A$2:$A1001,Productos!BO$2:BO1001,"")*$G446,"")</f>
        <v/>
      </c>
      <c r="BW446" s="179" t="str">
        <f t="array" ref="BW446">IF($F446&lt;&gt;"",XLOOKUP($F446,Productos!$A:$A,Productos!BP:BP,"Revisar"),"")</f>
        <v/>
      </c>
      <c r="BX446" s="179" t="str">
        <f t="array" ref="BX446">IF($F446&lt;&gt;"", XLOOKUP($F446,Productos!$A$2:$A1001,Productos!BQ$2:BQ1001,"")*$G446,"")</f>
        <v/>
      </c>
      <c r="BY446" s="179" t="str">
        <f t="array" ref="BY446">IF($F446&lt;&gt;"",XLOOKUP($F446,Productos!$A:$A,Productos!BR:BR,"Revisar"),"")</f>
        <v/>
      </c>
      <c r="BZ446" s="179" t="str">
        <f t="array" ref="BZ446">IF($F446&lt;&gt;"", XLOOKUP($F446,Productos!$A$2:$A1001,Productos!BS$2:BS1001,"")*$G446,"")</f>
        <v/>
      </c>
    </row>
    <row r="447">
      <c r="A447" s="188"/>
      <c r="B447" s="189"/>
      <c r="C447" s="190"/>
      <c r="D447" s="190"/>
      <c r="E447" s="191"/>
      <c r="F447" s="186"/>
      <c r="G447" s="192"/>
      <c r="H447" s="9"/>
      <c r="I447" s="179" t="str">
        <f t="array" ref="I447">IF($F447&lt;&gt;"",XLOOKUP($F447,Productos!$A:$A,Productos!B:B,"Revisar"),"")</f>
        <v/>
      </c>
      <c r="J447" s="179" t="str">
        <f t="array" ref="J447">IF($F447&lt;&gt;"", XLOOKUP($F447,Productos!$A$2:$A1001,Productos!C$2:C1001,"")*$G447,"")</f>
        <v/>
      </c>
      <c r="K447" s="179" t="str">
        <f t="array" ref="K447">IF($F447&lt;&gt;"",XLOOKUP($F447,Productos!$A:$A,Productos!D:D,"Revisar"),"")</f>
        <v/>
      </c>
      <c r="L447" s="179" t="str">
        <f t="array" ref="L447">IF($F447&lt;&gt;"", XLOOKUP($F447,Productos!$A$2:$A1001,Productos!E$2:E1001,"")*$G447,"")</f>
        <v/>
      </c>
      <c r="M447" s="179" t="str">
        <f t="array" ref="M447">IF($F447&lt;&gt;"",XLOOKUP($F447,Productos!$A:$A,Productos!F:F,"Revisar"),"")</f>
        <v/>
      </c>
      <c r="N447" s="179" t="str">
        <f t="array" ref="N447">IF($F447&lt;&gt;"", XLOOKUP($F447,Productos!$A$2:$A1001,Productos!G$2:G1001,"")*$G447,"")</f>
        <v/>
      </c>
      <c r="O447" s="179" t="str">
        <f t="array" ref="O447">IF($F447&lt;&gt;"",XLOOKUP($F447,Productos!$A:$A,Productos!H:H,"Revisar"),"")</f>
        <v/>
      </c>
      <c r="P447" s="179" t="str">
        <f t="array" ref="P447">IF($F447&lt;&gt;"", XLOOKUP($F447,Productos!$A$2:$A1001,Productos!I$2:I1001,"")*$G447,"")</f>
        <v/>
      </c>
      <c r="Q447" s="179" t="str">
        <f t="array" ref="Q447">IF($F447&lt;&gt;"",XLOOKUP($F447,Productos!$A:$A,Productos!J:J,"Revisar"),"")</f>
        <v/>
      </c>
      <c r="R447" s="179" t="str">
        <f t="array" ref="R447">IF($F447&lt;&gt;"", XLOOKUP($F447,Productos!$A$2:$A1001,Productos!K$2:K1001,"")*$G447,"")</f>
        <v/>
      </c>
      <c r="S447" s="179" t="str">
        <f t="array" ref="S447">IF($F447&lt;&gt;"",XLOOKUP($F447,Productos!$A:$A,Productos!L:L,"Revisar"),"")</f>
        <v/>
      </c>
      <c r="T447" s="179" t="str">
        <f t="array" ref="T447">IF($F447&lt;&gt;"", XLOOKUP($F447,Productos!$A$2:$A1001,Productos!M$2:M1001,"")*$G447,"")</f>
        <v/>
      </c>
      <c r="U447" s="179" t="str">
        <f t="array" ref="U447">IF($F447&lt;&gt;"",XLOOKUP($F447,Productos!$A:$A,Productos!N:N,"Revisar"),"")</f>
        <v/>
      </c>
      <c r="V447" s="179" t="str">
        <f t="array" ref="V447">IF($F447&lt;&gt;"", XLOOKUP($F447,Productos!$A$2:$A1001,Productos!O$2:O1001,"")*$G447,"")</f>
        <v/>
      </c>
      <c r="W447" s="179" t="str">
        <f t="array" ref="W447">IF($F447&lt;&gt;"",XLOOKUP($F447,Productos!$A:$A,Productos!P:P,"Revisar"),"")</f>
        <v/>
      </c>
      <c r="X447" s="179" t="str">
        <f t="array" ref="X447">IF($F447&lt;&gt;"", XLOOKUP($F447,Productos!$A$2:$A1001,Productos!Q$2:Q1001,"")*$G447,"")</f>
        <v/>
      </c>
      <c r="Y447" s="179" t="str">
        <f t="array" ref="Y447">IF($F447&lt;&gt;"",XLOOKUP($F447,Productos!$A:$A,Productos!R:R,"Revisar"),"")</f>
        <v/>
      </c>
      <c r="Z447" s="179" t="str">
        <f t="array" ref="Z447">IF($F447&lt;&gt;"", XLOOKUP($F447,Productos!$A$2:$A1001,Productos!S$2:S1001,"")*$G447,"")</f>
        <v/>
      </c>
      <c r="AA447" s="179" t="str">
        <f t="array" ref="AA447">IF($F447&lt;&gt;"",XLOOKUP($F447,Productos!$A:$A,Productos!T:T,"Revisar"),"")</f>
        <v/>
      </c>
      <c r="AB447" s="179" t="str">
        <f t="array" ref="AB447">IF($F447&lt;&gt;"", XLOOKUP($F447,Productos!$A$2:$A1001,Productos!U$2:U1001,"")*$G447,"")</f>
        <v/>
      </c>
      <c r="AC447" s="179" t="str">
        <f t="array" ref="AC447">IF($F447&lt;&gt;"",XLOOKUP($F447,Productos!$A:$A,Productos!V:V,"Revisar"),"")</f>
        <v/>
      </c>
      <c r="AD447" s="179" t="str">
        <f t="array" ref="AD447">IF($F447&lt;&gt;"", XLOOKUP($F447,Productos!$A$2:$A1001,Productos!W$2:W1001,"")*$G447,"")</f>
        <v/>
      </c>
      <c r="AE447" s="179" t="str">
        <f t="array" ref="AE447">IF($F447&lt;&gt;"",XLOOKUP($F447,Productos!$A:$A,Productos!X:X,"Revisar"),"")</f>
        <v/>
      </c>
      <c r="AF447" s="179" t="str">
        <f t="array" ref="AF447">IF($F447&lt;&gt;"", XLOOKUP($F447,Productos!$A$2:$A1001,Productos!Y$2:Y1001,"")*$G447,"")</f>
        <v/>
      </c>
      <c r="AG447" s="179" t="str">
        <f t="array" ref="AG447">IF($F447&lt;&gt;"",XLOOKUP($F447,Productos!$A:$A,Productos!Z:Z,"Revisar"),"")</f>
        <v/>
      </c>
      <c r="AH447" s="179" t="str">
        <f t="array" ref="AH447">IF($F447&lt;&gt;"", XLOOKUP($F447,Productos!$A$2:$A1001,Productos!AA$2:AA1001,"")*$G447,"")</f>
        <v/>
      </c>
      <c r="AI447" s="179" t="str">
        <f t="array" ref="AI447">IF($F447&lt;&gt;"",XLOOKUP($F447,Productos!$A:$A,Productos!AB:AB,"Revisar"),"")</f>
        <v/>
      </c>
      <c r="AJ447" s="179" t="str">
        <f t="array" ref="AJ447">IF($F447&lt;&gt;"", XLOOKUP($F447,Productos!$A$2:$A1001,Productos!AC$2:AC1001,"")*$G447,"")</f>
        <v/>
      </c>
      <c r="AK447" s="179" t="str">
        <f t="array" ref="AK447">IF($F447&lt;&gt;"",XLOOKUP($F447,Productos!$A:$A,Productos!AD:AD,"Revisar"),"")</f>
        <v/>
      </c>
      <c r="AL447" s="179" t="str">
        <f t="array" ref="AL447">IF($F447&lt;&gt;"", XLOOKUP($F447,Productos!$A$2:$A1001,Productos!AE$2:AE1001,"")*$G447,"")</f>
        <v/>
      </c>
      <c r="AM447" s="179" t="str">
        <f t="array" ref="AM447">IF($F447&lt;&gt;"",XLOOKUP($F447,Productos!$A:$A,Productos!AF:AF,"Revisar"),"")</f>
        <v/>
      </c>
      <c r="AN447" s="179" t="str">
        <f t="array" ref="AN447">IF($F447&lt;&gt;"", XLOOKUP($F447,Productos!$A$2:$A1001,Productos!AG$2:AG1001,"")*$G447,"")</f>
        <v/>
      </c>
      <c r="AO447" s="179" t="str">
        <f t="array" ref="AO447">IF($F447&lt;&gt;"",XLOOKUP($F447,Productos!$A:$A,Productos!AH:AH,"Revisar"),"")</f>
        <v/>
      </c>
      <c r="AP447" s="179" t="str">
        <f t="array" ref="AP447">IF($F447&lt;&gt;"", XLOOKUP($F447,Productos!$A$2:$A1001,Productos!AI$2:AI1001,"")*$G447,"")</f>
        <v/>
      </c>
      <c r="AQ447" s="179" t="str">
        <f t="array" ref="AQ447">IF($F447&lt;&gt;"",XLOOKUP($F447,Productos!$A:$A,Productos!AJ:AJ,"Revisar"),"")</f>
        <v/>
      </c>
      <c r="AR447" s="179" t="str">
        <f t="array" ref="AR447">IF($F447&lt;&gt;"", XLOOKUP($F447,Productos!$A$2:$A1001,Productos!AK$2:AK1001,"")*$G447,"")</f>
        <v/>
      </c>
      <c r="AS447" s="179" t="str">
        <f t="array" ref="AS447">IF($F447&lt;&gt;"",XLOOKUP($F447,Productos!$A:$A,Productos!AL:AL,"Revisar"),"")</f>
        <v/>
      </c>
      <c r="AT447" s="179" t="str">
        <f t="array" ref="AT447">IF($F447&lt;&gt;"", XLOOKUP($F447,Productos!$A$2:$A1001,Productos!AM$2:AM1001,"")*$G447,"")</f>
        <v/>
      </c>
      <c r="AU447" s="179" t="str">
        <f t="array" ref="AU447">IF($F447&lt;&gt;"",XLOOKUP($F447,Productos!$A:$A,Productos!AN:AN,"Revisar"),"")</f>
        <v/>
      </c>
      <c r="AV447" s="179" t="str">
        <f t="array" ref="AV447">IF($F447&lt;&gt;"", XLOOKUP($F447,Productos!$A$2:$A1001,Productos!AO$2:AO1001,"")*$G447,"")</f>
        <v/>
      </c>
      <c r="AW447" s="179" t="str">
        <f t="array" ref="AW447">IF($F447&lt;&gt;"",XLOOKUP($F447,Productos!$A:$A,Productos!AP:AP,"Revisar"),"")</f>
        <v/>
      </c>
      <c r="AX447" s="179" t="str">
        <f t="array" ref="AX447">IF($F447&lt;&gt;"", XLOOKUP($F447,Productos!$A$2:$A1001,Productos!AQ$2:AQ1001,"")*$G447,"")</f>
        <v/>
      </c>
      <c r="AY447" s="179" t="str">
        <f t="array" ref="AY447">IF($F447&lt;&gt;"",XLOOKUP($F447,Productos!$A:$A,Productos!AR:AR,"Revisar"),"")</f>
        <v/>
      </c>
      <c r="AZ447" s="179" t="str">
        <f t="array" ref="AZ447">IF($F447&lt;&gt;"", XLOOKUP($F447,Productos!$A$2:$A1001,Productos!AS$2:AS1001,"")*$G447,"")</f>
        <v/>
      </c>
      <c r="BA447" s="179" t="str">
        <f t="array" ref="BA447">IF($F447&lt;&gt;"",XLOOKUP($F447,Productos!$A:$A,Productos!AT:AT,"Revisar"),"")</f>
        <v/>
      </c>
      <c r="BB447" s="179" t="str">
        <f t="array" ref="BB447">IF($F447&lt;&gt;"", XLOOKUP($F447,Productos!$A$2:$A1001,Productos!AU$2:AU1001,"")*$G447,"")</f>
        <v/>
      </c>
      <c r="BC447" s="179" t="str">
        <f t="array" ref="BC447">IF($F447&lt;&gt;"",XLOOKUP($F447,Productos!$A:$A,Productos!AV:AV,"Revisar"),"")</f>
        <v/>
      </c>
      <c r="BD447" s="179" t="str">
        <f t="array" ref="BD447">IF($F447&lt;&gt;"", XLOOKUP($F447,Productos!$A$2:$A1001,Productos!AW$2:AW1001,"")*$G447,"")</f>
        <v/>
      </c>
      <c r="BE447" s="179" t="str">
        <f t="array" ref="BE447">IF($F447&lt;&gt;"",XLOOKUP($F447,Productos!$A:$A,Productos!AX:AX,"Revisar"),"")</f>
        <v/>
      </c>
      <c r="BF447" s="179" t="str">
        <f t="array" ref="BF447">IF($F447&lt;&gt;"", XLOOKUP($F447,Productos!$A$2:$A1001,Productos!AY$2:AY1001,"")*$G447,"")</f>
        <v/>
      </c>
      <c r="BG447" s="179" t="str">
        <f t="array" ref="BG447">IF($F447&lt;&gt;"",XLOOKUP($F447,Productos!$A:$A,Productos!AZ:AZ,"Revisar"),"")</f>
        <v/>
      </c>
      <c r="BH447" s="179" t="str">
        <f t="array" ref="BH447">IF($F447&lt;&gt;"", XLOOKUP($F447,Productos!$A$2:$A1001,Productos!BA$2:BA1001,"")*$G447,"")</f>
        <v/>
      </c>
      <c r="BI447" s="179" t="str">
        <f t="array" ref="BI447">IF($F447&lt;&gt;"",XLOOKUP($F447,Productos!$A:$A,Productos!BB:BB,"Revisar"),"")</f>
        <v/>
      </c>
      <c r="BJ447" s="179" t="str">
        <f t="array" ref="BJ447">IF($F447&lt;&gt;"", XLOOKUP($F447,Productos!$A$2:$A1001,Productos!BC$2:BC1001,"")*$G447,"")</f>
        <v/>
      </c>
      <c r="BK447" s="179" t="str">
        <f t="array" ref="BK447">IF($F447&lt;&gt;"",XLOOKUP($F447,Productos!$A:$A,Productos!BD:BD,"Revisar"),"")</f>
        <v/>
      </c>
      <c r="BL447" s="179" t="str">
        <f t="array" ref="BL447">IF($F447&lt;&gt;"", XLOOKUP($F447,Productos!$A$2:$A1001,Productos!BE$2:BE1001,"")*$G447,"")</f>
        <v/>
      </c>
      <c r="BM447" s="179" t="str">
        <f t="array" ref="BM447">IF($F447&lt;&gt;"",XLOOKUP($F447,Productos!$A:$A,Productos!BF:BF,"Revisar"),"")</f>
        <v/>
      </c>
      <c r="BN447" s="179" t="str">
        <f t="array" ref="BN447">IF($F447&lt;&gt;"", XLOOKUP($F447,Productos!$A$2:$A1001,Productos!BG$2:BG1001,"")*$G447,"")</f>
        <v/>
      </c>
      <c r="BO447" s="179" t="str">
        <f t="array" ref="BO447">IF($F447&lt;&gt;"",XLOOKUP($F447,Productos!$A:$A,Productos!BH:BH,"Revisar"),"")</f>
        <v/>
      </c>
      <c r="BP447" s="179" t="str">
        <f t="array" ref="BP447">IF($F447&lt;&gt;"", XLOOKUP($F447,Productos!$A$2:$A1001,Productos!BI$2:BI1001,"")*$G447,"")</f>
        <v/>
      </c>
      <c r="BQ447" s="179" t="str">
        <f t="array" ref="BQ447">IF($F447&lt;&gt;"",XLOOKUP($F447,Productos!$A:$A,Productos!BJ:BJ,"Revisar"),"")</f>
        <v/>
      </c>
      <c r="BR447" s="179" t="str">
        <f t="array" ref="BR447">IF($F447&lt;&gt;"", XLOOKUP($F447,Productos!$A$2:$A1001,Productos!BK$2:BK1001,"")*$G447,"")</f>
        <v/>
      </c>
      <c r="BS447" s="179" t="str">
        <f t="array" ref="BS447">IF($F447&lt;&gt;"",XLOOKUP($F447,Productos!$A:$A,Productos!BL:BL,"Revisar"),"")</f>
        <v/>
      </c>
      <c r="BT447" s="179" t="str">
        <f t="array" ref="BT447">IF($F447&lt;&gt;"", XLOOKUP($F447,Productos!$A$2:$A1001,Productos!BM$2:BM1001,"")*$G447,"")</f>
        <v/>
      </c>
      <c r="BU447" s="179" t="str">
        <f t="array" ref="BU447">IF($F447&lt;&gt;"",XLOOKUP($F447,Productos!$A:$A,Productos!BN:BN,"Revisar"),"")</f>
        <v/>
      </c>
      <c r="BV447" s="179" t="str">
        <f t="array" ref="BV447">IF($F447&lt;&gt;"", XLOOKUP($F447,Productos!$A$2:$A1001,Productos!BO$2:BO1001,"")*$G447,"")</f>
        <v/>
      </c>
      <c r="BW447" s="179" t="str">
        <f t="array" ref="BW447">IF($F447&lt;&gt;"",XLOOKUP($F447,Productos!$A:$A,Productos!BP:BP,"Revisar"),"")</f>
        <v/>
      </c>
      <c r="BX447" s="179" t="str">
        <f t="array" ref="BX447">IF($F447&lt;&gt;"", XLOOKUP($F447,Productos!$A$2:$A1001,Productos!BQ$2:BQ1001,"")*$G447,"")</f>
        <v/>
      </c>
      <c r="BY447" s="179" t="str">
        <f t="array" ref="BY447">IF($F447&lt;&gt;"",XLOOKUP($F447,Productos!$A:$A,Productos!BR:BR,"Revisar"),"")</f>
        <v/>
      </c>
      <c r="BZ447" s="179" t="str">
        <f t="array" ref="BZ447">IF($F447&lt;&gt;"", XLOOKUP($F447,Productos!$A$2:$A1001,Productos!BS$2:BS1001,"")*$G447,"")</f>
        <v/>
      </c>
    </row>
    <row r="448">
      <c r="A448" s="188"/>
      <c r="B448" s="189"/>
      <c r="C448" s="190"/>
      <c r="D448" s="190"/>
      <c r="E448" s="191"/>
      <c r="F448" s="186"/>
      <c r="G448" s="192"/>
      <c r="H448" s="9"/>
      <c r="I448" s="179" t="str">
        <f t="array" ref="I448">IF($F448&lt;&gt;"",XLOOKUP($F448,Productos!$A:$A,Productos!B:B,"Revisar"),"")</f>
        <v/>
      </c>
      <c r="J448" s="179" t="str">
        <f t="array" ref="J448">IF($F448&lt;&gt;"", XLOOKUP($F448,Productos!$A$2:$A1001,Productos!C$2:C1001,"")*$G448,"")</f>
        <v/>
      </c>
      <c r="K448" s="179" t="str">
        <f t="array" ref="K448">IF($F448&lt;&gt;"",XLOOKUP($F448,Productos!$A:$A,Productos!D:D,"Revisar"),"")</f>
        <v/>
      </c>
      <c r="L448" s="179" t="str">
        <f t="array" ref="L448">IF($F448&lt;&gt;"", XLOOKUP($F448,Productos!$A$2:$A1001,Productos!E$2:E1001,"")*$G448,"")</f>
        <v/>
      </c>
      <c r="M448" s="179" t="str">
        <f t="array" ref="M448">IF($F448&lt;&gt;"",XLOOKUP($F448,Productos!$A:$A,Productos!F:F,"Revisar"),"")</f>
        <v/>
      </c>
      <c r="N448" s="179" t="str">
        <f t="array" ref="N448">IF($F448&lt;&gt;"", XLOOKUP($F448,Productos!$A$2:$A1001,Productos!G$2:G1001,"")*$G448,"")</f>
        <v/>
      </c>
      <c r="O448" s="179" t="str">
        <f t="array" ref="O448">IF($F448&lt;&gt;"",XLOOKUP($F448,Productos!$A:$A,Productos!H:H,"Revisar"),"")</f>
        <v/>
      </c>
      <c r="P448" s="179" t="str">
        <f t="array" ref="P448">IF($F448&lt;&gt;"", XLOOKUP($F448,Productos!$A$2:$A1001,Productos!I$2:I1001,"")*$G448,"")</f>
        <v/>
      </c>
      <c r="Q448" s="179" t="str">
        <f t="array" ref="Q448">IF($F448&lt;&gt;"",XLOOKUP($F448,Productos!$A:$A,Productos!J:J,"Revisar"),"")</f>
        <v/>
      </c>
      <c r="R448" s="179" t="str">
        <f t="array" ref="R448">IF($F448&lt;&gt;"", XLOOKUP($F448,Productos!$A$2:$A1001,Productos!K$2:K1001,"")*$G448,"")</f>
        <v/>
      </c>
      <c r="S448" s="179" t="str">
        <f t="array" ref="S448">IF($F448&lt;&gt;"",XLOOKUP($F448,Productos!$A:$A,Productos!L:L,"Revisar"),"")</f>
        <v/>
      </c>
      <c r="T448" s="179" t="str">
        <f t="array" ref="T448">IF($F448&lt;&gt;"", XLOOKUP($F448,Productos!$A$2:$A1001,Productos!M$2:M1001,"")*$G448,"")</f>
        <v/>
      </c>
      <c r="U448" s="179" t="str">
        <f t="array" ref="U448">IF($F448&lt;&gt;"",XLOOKUP($F448,Productos!$A:$A,Productos!N:N,"Revisar"),"")</f>
        <v/>
      </c>
      <c r="V448" s="179" t="str">
        <f t="array" ref="V448">IF($F448&lt;&gt;"", XLOOKUP($F448,Productos!$A$2:$A1001,Productos!O$2:O1001,"")*$G448,"")</f>
        <v/>
      </c>
      <c r="W448" s="179" t="str">
        <f t="array" ref="W448">IF($F448&lt;&gt;"",XLOOKUP($F448,Productos!$A:$A,Productos!P:P,"Revisar"),"")</f>
        <v/>
      </c>
      <c r="X448" s="179" t="str">
        <f t="array" ref="X448">IF($F448&lt;&gt;"", XLOOKUP($F448,Productos!$A$2:$A1001,Productos!Q$2:Q1001,"")*$G448,"")</f>
        <v/>
      </c>
      <c r="Y448" s="179" t="str">
        <f t="array" ref="Y448">IF($F448&lt;&gt;"",XLOOKUP($F448,Productos!$A:$A,Productos!R:R,"Revisar"),"")</f>
        <v/>
      </c>
      <c r="Z448" s="179" t="str">
        <f t="array" ref="Z448">IF($F448&lt;&gt;"", XLOOKUP($F448,Productos!$A$2:$A1001,Productos!S$2:S1001,"")*$G448,"")</f>
        <v/>
      </c>
      <c r="AA448" s="179" t="str">
        <f t="array" ref="AA448">IF($F448&lt;&gt;"",XLOOKUP($F448,Productos!$A:$A,Productos!T:T,"Revisar"),"")</f>
        <v/>
      </c>
      <c r="AB448" s="179" t="str">
        <f t="array" ref="AB448">IF($F448&lt;&gt;"", XLOOKUP($F448,Productos!$A$2:$A1001,Productos!U$2:U1001,"")*$G448,"")</f>
        <v/>
      </c>
      <c r="AC448" s="179" t="str">
        <f t="array" ref="AC448">IF($F448&lt;&gt;"",XLOOKUP($F448,Productos!$A:$A,Productos!V:V,"Revisar"),"")</f>
        <v/>
      </c>
      <c r="AD448" s="179" t="str">
        <f t="array" ref="AD448">IF($F448&lt;&gt;"", XLOOKUP($F448,Productos!$A$2:$A1001,Productos!W$2:W1001,"")*$G448,"")</f>
        <v/>
      </c>
      <c r="AE448" s="179" t="str">
        <f t="array" ref="AE448">IF($F448&lt;&gt;"",XLOOKUP($F448,Productos!$A:$A,Productos!X:X,"Revisar"),"")</f>
        <v/>
      </c>
      <c r="AF448" s="179" t="str">
        <f t="array" ref="AF448">IF($F448&lt;&gt;"", XLOOKUP($F448,Productos!$A$2:$A1001,Productos!Y$2:Y1001,"")*$G448,"")</f>
        <v/>
      </c>
      <c r="AG448" s="179" t="str">
        <f t="array" ref="AG448">IF($F448&lt;&gt;"",XLOOKUP($F448,Productos!$A:$A,Productos!Z:Z,"Revisar"),"")</f>
        <v/>
      </c>
      <c r="AH448" s="179" t="str">
        <f t="array" ref="AH448">IF($F448&lt;&gt;"", XLOOKUP($F448,Productos!$A$2:$A1001,Productos!AA$2:AA1001,"")*$G448,"")</f>
        <v/>
      </c>
      <c r="AI448" s="179" t="str">
        <f t="array" ref="AI448">IF($F448&lt;&gt;"",XLOOKUP($F448,Productos!$A:$A,Productos!AB:AB,"Revisar"),"")</f>
        <v/>
      </c>
      <c r="AJ448" s="179" t="str">
        <f t="array" ref="AJ448">IF($F448&lt;&gt;"", XLOOKUP($F448,Productos!$A$2:$A1001,Productos!AC$2:AC1001,"")*$G448,"")</f>
        <v/>
      </c>
      <c r="AK448" s="179" t="str">
        <f t="array" ref="AK448">IF($F448&lt;&gt;"",XLOOKUP($F448,Productos!$A:$A,Productos!AD:AD,"Revisar"),"")</f>
        <v/>
      </c>
      <c r="AL448" s="179" t="str">
        <f t="array" ref="AL448">IF($F448&lt;&gt;"", XLOOKUP($F448,Productos!$A$2:$A1001,Productos!AE$2:AE1001,"")*$G448,"")</f>
        <v/>
      </c>
      <c r="AM448" s="179" t="str">
        <f t="array" ref="AM448">IF($F448&lt;&gt;"",XLOOKUP($F448,Productos!$A:$A,Productos!AF:AF,"Revisar"),"")</f>
        <v/>
      </c>
      <c r="AN448" s="179" t="str">
        <f t="array" ref="AN448">IF($F448&lt;&gt;"", XLOOKUP($F448,Productos!$A$2:$A1001,Productos!AG$2:AG1001,"")*$G448,"")</f>
        <v/>
      </c>
      <c r="AO448" s="179" t="str">
        <f t="array" ref="AO448">IF($F448&lt;&gt;"",XLOOKUP($F448,Productos!$A:$A,Productos!AH:AH,"Revisar"),"")</f>
        <v/>
      </c>
      <c r="AP448" s="179" t="str">
        <f t="array" ref="AP448">IF($F448&lt;&gt;"", XLOOKUP($F448,Productos!$A$2:$A1001,Productos!AI$2:AI1001,"")*$G448,"")</f>
        <v/>
      </c>
      <c r="AQ448" s="179" t="str">
        <f t="array" ref="AQ448">IF($F448&lt;&gt;"",XLOOKUP($F448,Productos!$A:$A,Productos!AJ:AJ,"Revisar"),"")</f>
        <v/>
      </c>
      <c r="AR448" s="179" t="str">
        <f t="array" ref="AR448">IF($F448&lt;&gt;"", XLOOKUP($F448,Productos!$A$2:$A1001,Productos!AK$2:AK1001,"")*$G448,"")</f>
        <v/>
      </c>
      <c r="AS448" s="179" t="str">
        <f t="array" ref="AS448">IF($F448&lt;&gt;"",XLOOKUP($F448,Productos!$A:$A,Productos!AL:AL,"Revisar"),"")</f>
        <v/>
      </c>
      <c r="AT448" s="179" t="str">
        <f t="array" ref="AT448">IF($F448&lt;&gt;"", XLOOKUP($F448,Productos!$A$2:$A1001,Productos!AM$2:AM1001,"")*$G448,"")</f>
        <v/>
      </c>
      <c r="AU448" s="179" t="str">
        <f t="array" ref="AU448">IF($F448&lt;&gt;"",XLOOKUP($F448,Productos!$A:$A,Productos!AN:AN,"Revisar"),"")</f>
        <v/>
      </c>
      <c r="AV448" s="179" t="str">
        <f t="array" ref="AV448">IF($F448&lt;&gt;"", XLOOKUP($F448,Productos!$A$2:$A1001,Productos!AO$2:AO1001,"")*$G448,"")</f>
        <v/>
      </c>
      <c r="AW448" s="179" t="str">
        <f t="array" ref="AW448">IF($F448&lt;&gt;"",XLOOKUP($F448,Productos!$A:$A,Productos!AP:AP,"Revisar"),"")</f>
        <v/>
      </c>
      <c r="AX448" s="179" t="str">
        <f t="array" ref="AX448">IF($F448&lt;&gt;"", XLOOKUP($F448,Productos!$A$2:$A1001,Productos!AQ$2:AQ1001,"")*$G448,"")</f>
        <v/>
      </c>
      <c r="AY448" s="179" t="str">
        <f t="array" ref="AY448">IF($F448&lt;&gt;"",XLOOKUP($F448,Productos!$A:$A,Productos!AR:AR,"Revisar"),"")</f>
        <v/>
      </c>
      <c r="AZ448" s="179" t="str">
        <f t="array" ref="AZ448">IF($F448&lt;&gt;"", XLOOKUP($F448,Productos!$A$2:$A1001,Productos!AS$2:AS1001,"")*$G448,"")</f>
        <v/>
      </c>
      <c r="BA448" s="179" t="str">
        <f t="array" ref="BA448">IF($F448&lt;&gt;"",XLOOKUP($F448,Productos!$A:$A,Productos!AT:AT,"Revisar"),"")</f>
        <v/>
      </c>
      <c r="BB448" s="179" t="str">
        <f t="array" ref="BB448">IF($F448&lt;&gt;"", XLOOKUP($F448,Productos!$A$2:$A1001,Productos!AU$2:AU1001,"")*$G448,"")</f>
        <v/>
      </c>
      <c r="BC448" s="179" t="str">
        <f t="array" ref="BC448">IF($F448&lt;&gt;"",XLOOKUP($F448,Productos!$A:$A,Productos!AV:AV,"Revisar"),"")</f>
        <v/>
      </c>
      <c r="BD448" s="179" t="str">
        <f t="array" ref="BD448">IF($F448&lt;&gt;"", XLOOKUP($F448,Productos!$A$2:$A1001,Productos!AW$2:AW1001,"")*$G448,"")</f>
        <v/>
      </c>
      <c r="BE448" s="179" t="str">
        <f t="array" ref="BE448">IF($F448&lt;&gt;"",XLOOKUP($F448,Productos!$A:$A,Productos!AX:AX,"Revisar"),"")</f>
        <v/>
      </c>
      <c r="BF448" s="179" t="str">
        <f t="array" ref="BF448">IF($F448&lt;&gt;"", XLOOKUP($F448,Productos!$A$2:$A1001,Productos!AY$2:AY1001,"")*$G448,"")</f>
        <v/>
      </c>
      <c r="BG448" s="179" t="str">
        <f t="array" ref="BG448">IF($F448&lt;&gt;"",XLOOKUP($F448,Productos!$A:$A,Productos!AZ:AZ,"Revisar"),"")</f>
        <v/>
      </c>
      <c r="BH448" s="179" t="str">
        <f t="array" ref="BH448">IF($F448&lt;&gt;"", XLOOKUP($F448,Productos!$A$2:$A1001,Productos!BA$2:BA1001,"")*$G448,"")</f>
        <v/>
      </c>
      <c r="BI448" s="179" t="str">
        <f t="array" ref="BI448">IF($F448&lt;&gt;"",XLOOKUP($F448,Productos!$A:$A,Productos!BB:BB,"Revisar"),"")</f>
        <v/>
      </c>
      <c r="BJ448" s="179" t="str">
        <f t="array" ref="BJ448">IF($F448&lt;&gt;"", XLOOKUP($F448,Productos!$A$2:$A1001,Productos!BC$2:BC1001,"")*$G448,"")</f>
        <v/>
      </c>
      <c r="BK448" s="179" t="str">
        <f t="array" ref="BK448">IF($F448&lt;&gt;"",XLOOKUP($F448,Productos!$A:$A,Productos!BD:BD,"Revisar"),"")</f>
        <v/>
      </c>
      <c r="BL448" s="179" t="str">
        <f t="array" ref="BL448">IF($F448&lt;&gt;"", XLOOKUP($F448,Productos!$A$2:$A1001,Productos!BE$2:BE1001,"")*$G448,"")</f>
        <v/>
      </c>
      <c r="BM448" s="179" t="str">
        <f t="array" ref="BM448">IF($F448&lt;&gt;"",XLOOKUP($F448,Productos!$A:$A,Productos!BF:BF,"Revisar"),"")</f>
        <v/>
      </c>
      <c r="BN448" s="179" t="str">
        <f t="array" ref="BN448">IF($F448&lt;&gt;"", XLOOKUP($F448,Productos!$A$2:$A1001,Productos!BG$2:BG1001,"")*$G448,"")</f>
        <v/>
      </c>
      <c r="BO448" s="179" t="str">
        <f t="array" ref="BO448">IF($F448&lt;&gt;"",XLOOKUP($F448,Productos!$A:$A,Productos!BH:BH,"Revisar"),"")</f>
        <v/>
      </c>
      <c r="BP448" s="179" t="str">
        <f t="array" ref="BP448">IF($F448&lt;&gt;"", XLOOKUP($F448,Productos!$A$2:$A1001,Productos!BI$2:BI1001,"")*$G448,"")</f>
        <v/>
      </c>
      <c r="BQ448" s="179" t="str">
        <f t="array" ref="BQ448">IF($F448&lt;&gt;"",XLOOKUP($F448,Productos!$A:$A,Productos!BJ:BJ,"Revisar"),"")</f>
        <v/>
      </c>
      <c r="BR448" s="179" t="str">
        <f t="array" ref="BR448">IF($F448&lt;&gt;"", XLOOKUP($F448,Productos!$A$2:$A1001,Productos!BK$2:BK1001,"")*$G448,"")</f>
        <v/>
      </c>
      <c r="BS448" s="179" t="str">
        <f t="array" ref="BS448">IF($F448&lt;&gt;"",XLOOKUP($F448,Productos!$A:$A,Productos!BL:BL,"Revisar"),"")</f>
        <v/>
      </c>
      <c r="BT448" s="179" t="str">
        <f t="array" ref="BT448">IF($F448&lt;&gt;"", XLOOKUP($F448,Productos!$A$2:$A1001,Productos!BM$2:BM1001,"")*$G448,"")</f>
        <v/>
      </c>
      <c r="BU448" s="179" t="str">
        <f t="array" ref="BU448">IF($F448&lt;&gt;"",XLOOKUP($F448,Productos!$A:$A,Productos!BN:BN,"Revisar"),"")</f>
        <v/>
      </c>
      <c r="BV448" s="179" t="str">
        <f t="array" ref="BV448">IF($F448&lt;&gt;"", XLOOKUP($F448,Productos!$A$2:$A1001,Productos!BO$2:BO1001,"")*$G448,"")</f>
        <v/>
      </c>
      <c r="BW448" s="179" t="str">
        <f t="array" ref="BW448">IF($F448&lt;&gt;"",XLOOKUP($F448,Productos!$A:$A,Productos!BP:BP,"Revisar"),"")</f>
        <v/>
      </c>
      <c r="BX448" s="179" t="str">
        <f t="array" ref="BX448">IF($F448&lt;&gt;"", XLOOKUP($F448,Productos!$A$2:$A1001,Productos!BQ$2:BQ1001,"")*$G448,"")</f>
        <v/>
      </c>
      <c r="BY448" s="179" t="str">
        <f t="array" ref="BY448">IF($F448&lt;&gt;"",XLOOKUP($F448,Productos!$A:$A,Productos!BR:BR,"Revisar"),"")</f>
        <v/>
      </c>
      <c r="BZ448" s="179" t="str">
        <f t="array" ref="BZ448">IF($F448&lt;&gt;"", XLOOKUP($F448,Productos!$A$2:$A1001,Productos!BS$2:BS1001,"")*$G448,"")</f>
        <v/>
      </c>
    </row>
    <row r="449">
      <c r="A449" s="188"/>
      <c r="B449" s="189"/>
      <c r="C449" s="190"/>
      <c r="D449" s="190"/>
      <c r="E449" s="191"/>
      <c r="F449" s="186"/>
      <c r="G449" s="192"/>
      <c r="H449" s="9"/>
      <c r="I449" s="179" t="str">
        <f t="array" ref="I449">IF($F449&lt;&gt;"",XLOOKUP($F449,Productos!$A:$A,Productos!B:B,"Revisar"),"")</f>
        <v/>
      </c>
      <c r="J449" s="179" t="str">
        <f t="array" ref="J449">IF($F449&lt;&gt;"", XLOOKUP($F449,Productos!$A$2:$A1001,Productos!C$2:C1001,"")*$G449,"")</f>
        <v/>
      </c>
      <c r="K449" s="179" t="str">
        <f t="array" ref="K449">IF($F449&lt;&gt;"",XLOOKUP($F449,Productos!$A:$A,Productos!D:D,"Revisar"),"")</f>
        <v/>
      </c>
      <c r="L449" s="179" t="str">
        <f t="array" ref="L449">IF($F449&lt;&gt;"", XLOOKUP($F449,Productos!$A$2:$A1001,Productos!E$2:E1001,"")*$G449,"")</f>
        <v/>
      </c>
      <c r="M449" s="179" t="str">
        <f t="array" ref="M449">IF($F449&lt;&gt;"",XLOOKUP($F449,Productos!$A:$A,Productos!F:F,"Revisar"),"")</f>
        <v/>
      </c>
      <c r="N449" s="179" t="str">
        <f t="array" ref="N449">IF($F449&lt;&gt;"", XLOOKUP($F449,Productos!$A$2:$A1001,Productos!G$2:G1001,"")*$G449,"")</f>
        <v/>
      </c>
      <c r="O449" s="179" t="str">
        <f t="array" ref="O449">IF($F449&lt;&gt;"",XLOOKUP($F449,Productos!$A:$A,Productos!H:H,"Revisar"),"")</f>
        <v/>
      </c>
      <c r="P449" s="179" t="str">
        <f t="array" ref="P449">IF($F449&lt;&gt;"", XLOOKUP($F449,Productos!$A$2:$A1001,Productos!I$2:I1001,"")*$G449,"")</f>
        <v/>
      </c>
      <c r="Q449" s="179" t="str">
        <f t="array" ref="Q449">IF($F449&lt;&gt;"",XLOOKUP($F449,Productos!$A:$A,Productos!J:J,"Revisar"),"")</f>
        <v/>
      </c>
      <c r="R449" s="179" t="str">
        <f t="array" ref="R449">IF($F449&lt;&gt;"", XLOOKUP($F449,Productos!$A$2:$A1001,Productos!K$2:K1001,"")*$G449,"")</f>
        <v/>
      </c>
      <c r="S449" s="179" t="str">
        <f t="array" ref="S449">IF($F449&lt;&gt;"",XLOOKUP($F449,Productos!$A:$A,Productos!L:L,"Revisar"),"")</f>
        <v/>
      </c>
      <c r="T449" s="179" t="str">
        <f t="array" ref="T449">IF($F449&lt;&gt;"", XLOOKUP($F449,Productos!$A$2:$A1001,Productos!M$2:M1001,"")*$G449,"")</f>
        <v/>
      </c>
      <c r="U449" s="179" t="str">
        <f t="array" ref="U449">IF($F449&lt;&gt;"",XLOOKUP($F449,Productos!$A:$A,Productos!N:N,"Revisar"),"")</f>
        <v/>
      </c>
      <c r="V449" s="179" t="str">
        <f t="array" ref="V449">IF($F449&lt;&gt;"", XLOOKUP($F449,Productos!$A$2:$A1001,Productos!O$2:O1001,"")*$G449,"")</f>
        <v/>
      </c>
      <c r="W449" s="179" t="str">
        <f t="array" ref="W449">IF($F449&lt;&gt;"",XLOOKUP($F449,Productos!$A:$A,Productos!P:P,"Revisar"),"")</f>
        <v/>
      </c>
      <c r="X449" s="179" t="str">
        <f t="array" ref="X449">IF($F449&lt;&gt;"", XLOOKUP($F449,Productos!$A$2:$A1001,Productos!Q$2:Q1001,"")*$G449,"")</f>
        <v/>
      </c>
      <c r="Y449" s="179" t="str">
        <f t="array" ref="Y449">IF($F449&lt;&gt;"",XLOOKUP($F449,Productos!$A:$A,Productos!R:R,"Revisar"),"")</f>
        <v/>
      </c>
      <c r="Z449" s="179" t="str">
        <f t="array" ref="Z449">IF($F449&lt;&gt;"", XLOOKUP($F449,Productos!$A$2:$A1001,Productos!S$2:S1001,"")*$G449,"")</f>
        <v/>
      </c>
      <c r="AA449" s="179" t="str">
        <f t="array" ref="AA449">IF($F449&lt;&gt;"",XLOOKUP($F449,Productos!$A:$A,Productos!T:T,"Revisar"),"")</f>
        <v/>
      </c>
      <c r="AB449" s="179" t="str">
        <f t="array" ref="AB449">IF($F449&lt;&gt;"", XLOOKUP($F449,Productos!$A$2:$A1001,Productos!U$2:U1001,"")*$G449,"")</f>
        <v/>
      </c>
      <c r="AC449" s="179" t="str">
        <f t="array" ref="AC449">IF($F449&lt;&gt;"",XLOOKUP($F449,Productos!$A:$A,Productos!V:V,"Revisar"),"")</f>
        <v/>
      </c>
      <c r="AD449" s="179" t="str">
        <f t="array" ref="AD449">IF($F449&lt;&gt;"", XLOOKUP($F449,Productos!$A$2:$A1001,Productos!W$2:W1001,"")*$G449,"")</f>
        <v/>
      </c>
      <c r="AE449" s="179" t="str">
        <f t="array" ref="AE449">IF($F449&lt;&gt;"",XLOOKUP($F449,Productos!$A:$A,Productos!X:X,"Revisar"),"")</f>
        <v/>
      </c>
      <c r="AF449" s="179" t="str">
        <f t="array" ref="AF449">IF($F449&lt;&gt;"", XLOOKUP($F449,Productos!$A$2:$A1001,Productos!Y$2:Y1001,"")*$G449,"")</f>
        <v/>
      </c>
      <c r="AG449" s="179" t="str">
        <f t="array" ref="AG449">IF($F449&lt;&gt;"",XLOOKUP($F449,Productos!$A:$A,Productos!Z:Z,"Revisar"),"")</f>
        <v/>
      </c>
      <c r="AH449" s="179" t="str">
        <f t="array" ref="AH449">IF($F449&lt;&gt;"", XLOOKUP($F449,Productos!$A$2:$A1001,Productos!AA$2:AA1001,"")*$G449,"")</f>
        <v/>
      </c>
      <c r="AI449" s="179" t="str">
        <f t="array" ref="AI449">IF($F449&lt;&gt;"",XLOOKUP($F449,Productos!$A:$A,Productos!AB:AB,"Revisar"),"")</f>
        <v/>
      </c>
      <c r="AJ449" s="179" t="str">
        <f t="array" ref="AJ449">IF($F449&lt;&gt;"", XLOOKUP($F449,Productos!$A$2:$A1001,Productos!AC$2:AC1001,"")*$G449,"")</f>
        <v/>
      </c>
      <c r="AK449" s="179" t="str">
        <f t="array" ref="AK449">IF($F449&lt;&gt;"",XLOOKUP($F449,Productos!$A:$A,Productos!AD:AD,"Revisar"),"")</f>
        <v/>
      </c>
      <c r="AL449" s="179" t="str">
        <f t="array" ref="AL449">IF($F449&lt;&gt;"", XLOOKUP($F449,Productos!$A$2:$A1001,Productos!AE$2:AE1001,"")*$G449,"")</f>
        <v/>
      </c>
      <c r="AM449" s="179" t="str">
        <f t="array" ref="AM449">IF($F449&lt;&gt;"",XLOOKUP($F449,Productos!$A:$A,Productos!AF:AF,"Revisar"),"")</f>
        <v/>
      </c>
      <c r="AN449" s="179" t="str">
        <f t="array" ref="AN449">IF($F449&lt;&gt;"", XLOOKUP($F449,Productos!$A$2:$A1001,Productos!AG$2:AG1001,"")*$G449,"")</f>
        <v/>
      </c>
      <c r="AO449" s="179" t="str">
        <f t="array" ref="AO449">IF($F449&lt;&gt;"",XLOOKUP($F449,Productos!$A:$A,Productos!AH:AH,"Revisar"),"")</f>
        <v/>
      </c>
      <c r="AP449" s="179" t="str">
        <f t="array" ref="AP449">IF($F449&lt;&gt;"", XLOOKUP($F449,Productos!$A$2:$A1001,Productos!AI$2:AI1001,"")*$G449,"")</f>
        <v/>
      </c>
      <c r="AQ449" s="179" t="str">
        <f t="array" ref="AQ449">IF($F449&lt;&gt;"",XLOOKUP($F449,Productos!$A:$A,Productos!AJ:AJ,"Revisar"),"")</f>
        <v/>
      </c>
      <c r="AR449" s="179" t="str">
        <f t="array" ref="AR449">IF($F449&lt;&gt;"", XLOOKUP($F449,Productos!$A$2:$A1001,Productos!AK$2:AK1001,"")*$G449,"")</f>
        <v/>
      </c>
      <c r="AS449" s="179" t="str">
        <f t="array" ref="AS449">IF($F449&lt;&gt;"",XLOOKUP($F449,Productos!$A:$A,Productos!AL:AL,"Revisar"),"")</f>
        <v/>
      </c>
      <c r="AT449" s="179" t="str">
        <f t="array" ref="AT449">IF($F449&lt;&gt;"", XLOOKUP($F449,Productos!$A$2:$A1001,Productos!AM$2:AM1001,"")*$G449,"")</f>
        <v/>
      </c>
      <c r="AU449" s="179" t="str">
        <f t="array" ref="AU449">IF($F449&lt;&gt;"",XLOOKUP($F449,Productos!$A:$A,Productos!AN:AN,"Revisar"),"")</f>
        <v/>
      </c>
      <c r="AV449" s="179" t="str">
        <f t="array" ref="AV449">IF($F449&lt;&gt;"", XLOOKUP($F449,Productos!$A$2:$A1001,Productos!AO$2:AO1001,"")*$G449,"")</f>
        <v/>
      </c>
      <c r="AW449" s="179" t="str">
        <f t="array" ref="AW449">IF($F449&lt;&gt;"",XLOOKUP($F449,Productos!$A:$A,Productos!AP:AP,"Revisar"),"")</f>
        <v/>
      </c>
      <c r="AX449" s="179" t="str">
        <f t="array" ref="AX449">IF($F449&lt;&gt;"", XLOOKUP($F449,Productos!$A$2:$A1001,Productos!AQ$2:AQ1001,"")*$G449,"")</f>
        <v/>
      </c>
      <c r="AY449" s="179" t="str">
        <f t="array" ref="AY449">IF($F449&lt;&gt;"",XLOOKUP($F449,Productos!$A:$A,Productos!AR:AR,"Revisar"),"")</f>
        <v/>
      </c>
      <c r="AZ449" s="179" t="str">
        <f t="array" ref="AZ449">IF($F449&lt;&gt;"", XLOOKUP($F449,Productos!$A$2:$A1001,Productos!AS$2:AS1001,"")*$G449,"")</f>
        <v/>
      </c>
      <c r="BA449" s="179" t="str">
        <f t="array" ref="BA449">IF($F449&lt;&gt;"",XLOOKUP($F449,Productos!$A:$A,Productos!AT:AT,"Revisar"),"")</f>
        <v/>
      </c>
      <c r="BB449" s="179" t="str">
        <f t="array" ref="BB449">IF($F449&lt;&gt;"", XLOOKUP($F449,Productos!$A$2:$A1001,Productos!AU$2:AU1001,"")*$G449,"")</f>
        <v/>
      </c>
      <c r="BC449" s="179" t="str">
        <f t="array" ref="BC449">IF($F449&lt;&gt;"",XLOOKUP($F449,Productos!$A:$A,Productos!AV:AV,"Revisar"),"")</f>
        <v/>
      </c>
      <c r="BD449" s="179" t="str">
        <f t="array" ref="BD449">IF($F449&lt;&gt;"", XLOOKUP($F449,Productos!$A$2:$A1001,Productos!AW$2:AW1001,"")*$G449,"")</f>
        <v/>
      </c>
      <c r="BE449" s="179" t="str">
        <f t="array" ref="BE449">IF($F449&lt;&gt;"",XLOOKUP($F449,Productos!$A:$A,Productos!AX:AX,"Revisar"),"")</f>
        <v/>
      </c>
      <c r="BF449" s="179" t="str">
        <f t="array" ref="BF449">IF($F449&lt;&gt;"", XLOOKUP($F449,Productos!$A$2:$A1001,Productos!AY$2:AY1001,"")*$G449,"")</f>
        <v/>
      </c>
      <c r="BG449" s="179" t="str">
        <f t="array" ref="BG449">IF($F449&lt;&gt;"",XLOOKUP($F449,Productos!$A:$A,Productos!AZ:AZ,"Revisar"),"")</f>
        <v/>
      </c>
      <c r="BH449" s="179" t="str">
        <f t="array" ref="BH449">IF($F449&lt;&gt;"", XLOOKUP($F449,Productos!$A$2:$A1001,Productos!BA$2:BA1001,"")*$G449,"")</f>
        <v/>
      </c>
      <c r="BI449" s="179" t="str">
        <f t="array" ref="BI449">IF($F449&lt;&gt;"",XLOOKUP($F449,Productos!$A:$A,Productos!BB:BB,"Revisar"),"")</f>
        <v/>
      </c>
      <c r="BJ449" s="179" t="str">
        <f t="array" ref="BJ449">IF($F449&lt;&gt;"", XLOOKUP($F449,Productos!$A$2:$A1001,Productos!BC$2:BC1001,"")*$G449,"")</f>
        <v/>
      </c>
      <c r="BK449" s="179" t="str">
        <f t="array" ref="BK449">IF($F449&lt;&gt;"",XLOOKUP($F449,Productos!$A:$A,Productos!BD:BD,"Revisar"),"")</f>
        <v/>
      </c>
      <c r="BL449" s="179" t="str">
        <f t="array" ref="BL449">IF($F449&lt;&gt;"", XLOOKUP($F449,Productos!$A$2:$A1001,Productos!BE$2:BE1001,"")*$G449,"")</f>
        <v/>
      </c>
      <c r="BM449" s="179" t="str">
        <f t="array" ref="BM449">IF($F449&lt;&gt;"",XLOOKUP($F449,Productos!$A:$A,Productos!BF:BF,"Revisar"),"")</f>
        <v/>
      </c>
      <c r="BN449" s="179" t="str">
        <f t="array" ref="BN449">IF($F449&lt;&gt;"", XLOOKUP($F449,Productos!$A$2:$A1001,Productos!BG$2:BG1001,"")*$G449,"")</f>
        <v/>
      </c>
      <c r="BO449" s="179" t="str">
        <f t="array" ref="BO449">IF($F449&lt;&gt;"",XLOOKUP($F449,Productos!$A:$A,Productos!BH:BH,"Revisar"),"")</f>
        <v/>
      </c>
      <c r="BP449" s="179" t="str">
        <f t="array" ref="BP449">IF($F449&lt;&gt;"", XLOOKUP($F449,Productos!$A$2:$A1001,Productos!BI$2:BI1001,"")*$G449,"")</f>
        <v/>
      </c>
      <c r="BQ449" s="179" t="str">
        <f t="array" ref="BQ449">IF($F449&lt;&gt;"",XLOOKUP($F449,Productos!$A:$A,Productos!BJ:BJ,"Revisar"),"")</f>
        <v/>
      </c>
      <c r="BR449" s="179" t="str">
        <f t="array" ref="BR449">IF($F449&lt;&gt;"", XLOOKUP($F449,Productos!$A$2:$A1001,Productos!BK$2:BK1001,"")*$G449,"")</f>
        <v/>
      </c>
      <c r="BS449" s="179" t="str">
        <f t="array" ref="BS449">IF($F449&lt;&gt;"",XLOOKUP($F449,Productos!$A:$A,Productos!BL:BL,"Revisar"),"")</f>
        <v/>
      </c>
      <c r="BT449" s="179" t="str">
        <f t="array" ref="BT449">IF($F449&lt;&gt;"", XLOOKUP($F449,Productos!$A$2:$A1001,Productos!BM$2:BM1001,"")*$G449,"")</f>
        <v/>
      </c>
      <c r="BU449" s="179" t="str">
        <f t="array" ref="BU449">IF($F449&lt;&gt;"",XLOOKUP($F449,Productos!$A:$A,Productos!BN:BN,"Revisar"),"")</f>
        <v/>
      </c>
      <c r="BV449" s="179" t="str">
        <f t="array" ref="BV449">IF($F449&lt;&gt;"", XLOOKUP($F449,Productos!$A$2:$A1001,Productos!BO$2:BO1001,"")*$G449,"")</f>
        <v/>
      </c>
      <c r="BW449" s="179" t="str">
        <f t="array" ref="BW449">IF($F449&lt;&gt;"",XLOOKUP($F449,Productos!$A:$A,Productos!BP:BP,"Revisar"),"")</f>
        <v/>
      </c>
      <c r="BX449" s="179" t="str">
        <f t="array" ref="BX449">IF($F449&lt;&gt;"", XLOOKUP($F449,Productos!$A$2:$A1001,Productos!BQ$2:BQ1001,"")*$G449,"")</f>
        <v/>
      </c>
      <c r="BY449" s="179" t="str">
        <f t="array" ref="BY449">IF($F449&lt;&gt;"",XLOOKUP($F449,Productos!$A:$A,Productos!BR:BR,"Revisar"),"")</f>
        <v/>
      </c>
      <c r="BZ449" s="179" t="str">
        <f t="array" ref="BZ449">IF($F449&lt;&gt;"", XLOOKUP($F449,Productos!$A$2:$A1001,Productos!BS$2:BS1001,"")*$G449,"")</f>
        <v/>
      </c>
    </row>
    <row r="450">
      <c r="A450" s="188"/>
      <c r="B450" s="189"/>
      <c r="C450" s="190"/>
      <c r="D450" s="190"/>
      <c r="E450" s="191"/>
      <c r="F450" s="186"/>
      <c r="G450" s="192"/>
      <c r="H450" s="9"/>
      <c r="I450" s="179" t="str">
        <f t="array" ref="I450">IF($F450&lt;&gt;"",XLOOKUP($F450,Productos!$A:$A,Productos!B:B,"Revisar"),"")</f>
        <v/>
      </c>
      <c r="J450" s="179" t="str">
        <f t="array" ref="J450">IF($F450&lt;&gt;"", XLOOKUP($F450,Productos!$A$2:$A1001,Productos!C$2:C1001,"")*$G450,"")</f>
        <v/>
      </c>
      <c r="K450" s="179" t="str">
        <f t="array" ref="K450">IF($F450&lt;&gt;"",XLOOKUP($F450,Productos!$A:$A,Productos!D:D,"Revisar"),"")</f>
        <v/>
      </c>
      <c r="L450" s="179" t="str">
        <f t="array" ref="L450">IF($F450&lt;&gt;"", XLOOKUP($F450,Productos!$A$2:$A1001,Productos!E$2:E1001,"")*$G450,"")</f>
        <v/>
      </c>
      <c r="M450" s="179" t="str">
        <f t="array" ref="M450">IF($F450&lt;&gt;"",XLOOKUP($F450,Productos!$A:$A,Productos!F:F,"Revisar"),"")</f>
        <v/>
      </c>
      <c r="N450" s="179" t="str">
        <f t="array" ref="N450">IF($F450&lt;&gt;"", XLOOKUP($F450,Productos!$A$2:$A1001,Productos!G$2:G1001,"")*$G450,"")</f>
        <v/>
      </c>
      <c r="O450" s="179" t="str">
        <f t="array" ref="O450">IF($F450&lt;&gt;"",XLOOKUP($F450,Productos!$A:$A,Productos!H:H,"Revisar"),"")</f>
        <v/>
      </c>
      <c r="P450" s="179" t="str">
        <f t="array" ref="P450">IF($F450&lt;&gt;"", XLOOKUP($F450,Productos!$A$2:$A1001,Productos!I$2:I1001,"")*$G450,"")</f>
        <v/>
      </c>
      <c r="Q450" s="179" t="str">
        <f t="array" ref="Q450">IF($F450&lt;&gt;"",XLOOKUP($F450,Productos!$A:$A,Productos!J:J,"Revisar"),"")</f>
        <v/>
      </c>
      <c r="R450" s="179" t="str">
        <f t="array" ref="R450">IF($F450&lt;&gt;"", XLOOKUP($F450,Productos!$A$2:$A1001,Productos!K$2:K1001,"")*$G450,"")</f>
        <v/>
      </c>
      <c r="S450" s="179" t="str">
        <f t="array" ref="S450">IF($F450&lt;&gt;"",XLOOKUP($F450,Productos!$A:$A,Productos!L:L,"Revisar"),"")</f>
        <v/>
      </c>
      <c r="T450" s="179" t="str">
        <f t="array" ref="T450">IF($F450&lt;&gt;"", XLOOKUP($F450,Productos!$A$2:$A1001,Productos!M$2:M1001,"")*$G450,"")</f>
        <v/>
      </c>
      <c r="U450" s="179" t="str">
        <f t="array" ref="U450">IF($F450&lt;&gt;"",XLOOKUP($F450,Productos!$A:$A,Productos!N:N,"Revisar"),"")</f>
        <v/>
      </c>
      <c r="V450" s="179" t="str">
        <f t="array" ref="V450">IF($F450&lt;&gt;"", XLOOKUP($F450,Productos!$A$2:$A1001,Productos!O$2:O1001,"")*$G450,"")</f>
        <v/>
      </c>
      <c r="W450" s="179" t="str">
        <f t="array" ref="W450">IF($F450&lt;&gt;"",XLOOKUP($F450,Productos!$A:$A,Productos!P:P,"Revisar"),"")</f>
        <v/>
      </c>
      <c r="X450" s="179" t="str">
        <f t="array" ref="X450">IF($F450&lt;&gt;"", XLOOKUP($F450,Productos!$A$2:$A1001,Productos!Q$2:Q1001,"")*$G450,"")</f>
        <v/>
      </c>
      <c r="Y450" s="179" t="str">
        <f t="array" ref="Y450">IF($F450&lt;&gt;"",XLOOKUP($F450,Productos!$A:$A,Productos!R:R,"Revisar"),"")</f>
        <v/>
      </c>
      <c r="Z450" s="179" t="str">
        <f t="array" ref="Z450">IF($F450&lt;&gt;"", XLOOKUP($F450,Productos!$A$2:$A1001,Productos!S$2:S1001,"")*$G450,"")</f>
        <v/>
      </c>
      <c r="AA450" s="179" t="str">
        <f t="array" ref="AA450">IF($F450&lt;&gt;"",XLOOKUP($F450,Productos!$A:$A,Productos!T:T,"Revisar"),"")</f>
        <v/>
      </c>
      <c r="AB450" s="179" t="str">
        <f t="array" ref="AB450">IF($F450&lt;&gt;"", XLOOKUP($F450,Productos!$A$2:$A1001,Productos!U$2:U1001,"")*$G450,"")</f>
        <v/>
      </c>
      <c r="AC450" s="179" t="str">
        <f t="array" ref="AC450">IF($F450&lt;&gt;"",XLOOKUP($F450,Productos!$A:$A,Productos!V:V,"Revisar"),"")</f>
        <v/>
      </c>
      <c r="AD450" s="179" t="str">
        <f t="array" ref="AD450">IF($F450&lt;&gt;"", XLOOKUP($F450,Productos!$A$2:$A1001,Productos!W$2:W1001,"")*$G450,"")</f>
        <v/>
      </c>
      <c r="AE450" s="179" t="str">
        <f t="array" ref="AE450">IF($F450&lt;&gt;"",XLOOKUP($F450,Productos!$A:$A,Productos!X:X,"Revisar"),"")</f>
        <v/>
      </c>
      <c r="AF450" s="179" t="str">
        <f t="array" ref="AF450">IF($F450&lt;&gt;"", XLOOKUP($F450,Productos!$A$2:$A1001,Productos!Y$2:Y1001,"")*$G450,"")</f>
        <v/>
      </c>
      <c r="AG450" s="179" t="str">
        <f t="array" ref="AG450">IF($F450&lt;&gt;"",XLOOKUP($F450,Productos!$A:$A,Productos!Z:Z,"Revisar"),"")</f>
        <v/>
      </c>
      <c r="AH450" s="179" t="str">
        <f t="array" ref="AH450">IF($F450&lt;&gt;"", XLOOKUP($F450,Productos!$A$2:$A1001,Productos!AA$2:AA1001,"")*$G450,"")</f>
        <v/>
      </c>
      <c r="AI450" s="179" t="str">
        <f t="array" ref="AI450">IF($F450&lt;&gt;"",XLOOKUP($F450,Productos!$A:$A,Productos!AB:AB,"Revisar"),"")</f>
        <v/>
      </c>
      <c r="AJ450" s="179" t="str">
        <f t="array" ref="AJ450">IF($F450&lt;&gt;"", XLOOKUP($F450,Productos!$A$2:$A1001,Productos!AC$2:AC1001,"")*$G450,"")</f>
        <v/>
      </c>
      <c r="AK450" s="179" t="str">
        <f t="array" ref="AK450">IF($F450&lt;&gt;"",XLOOKUP($F450,Productos!$A:$A,Productos!AD:AD,"Revisar"),"")</f>
        <v/>
      </c>
      <c r="AL450" s="179" t="str">
        <f t="array" ref="AL450">IF($F450&lt;&gt;"", XLOOKUP($F450,Productos!$A$2:$A1001,Productos!AE$2:AE1001,"")*$G450,"")</f>
        <v/>
      </c>
      <c r="AM450" s="179" t="str">
        <f t="array" ref="AM450">IF($F450&lt;&gt;"",XLOOKUP($F450,Productos!$A:$A,Productos!AF:AF,"Revisar"),"")</f>
        <v/>
      </c>
      <c r="AN450" s="179" t="str">
        <f t="array" ref="AN450">IF($F450&lt;&gt;"", XLOOKUP($F450,Productos!$A$2:$A1001,Productos!AG$2:AG1001,"")*$G450,"")</f>
        <v/>
      </c>
      <c r="AO450" s="179" t="str">
        <f t="array" ref="AO450">IF($F450&lt;&gt;"",XLOOKUP($F450,Productos!$A:$A,Productos!AH:AH,"Revisar"),"")</f>
        <v/>
      </c>
      <c r="AP450" s="179" t="str">
        <f t="array" ref="AP450">IF($F450&lt;&gt;"", XLOOKUP($F450,Productos!$A$2:$A1001,Productos!AI$2:AI1001,"")*$G450,"")</f>
        <v/>
      </c>
      <c r="AQ450" s="179" t="str">
        <f t="array" ref="AQ450">IF($F450&lt;&gt;"",XLOOKUP($F450,Productos!$A:$A,Productos!AJ:AJ,"Revisar"),"")</f>
        <v/>
      </c>
      <c r="AR450" s="179" t="str">
        <f t="array" ref="AR450">IF($F450&lt;&gt;"", XLOOKUP($F450,Productos!$A$2:$A1001,Productos!AK$2:AK1001,"")*$G450,"")</f>
        <v/>
      </c>
      <c r="AS450" s="179" t="str">
        <f t="array" ref="AS450">IF($F450&lt;&gt;"",XLOOKUP($F450,Productos!$A:$A,Productos!AL:AL,"Revisar"),"")</f>
        <v/>
      </c>
      <c r="AT450" s="179" t="str">
        <f t="array" ref="AT450">IF($F450&lt;&gt;"", XLOOKUP($F450,Productos!$A$2:$A1001,Productos!AM$2:AM1001,"")*$G450,"")</f>
        <v/>
      </c>
      <c r="AU450" s="179" t="str">
        <f t="array" ref="AU450">IF($F450&lt;&gt;"",XLOOKUP($F450,Productos!$A:$A,Productos!AN:AN,"Revisar"),"")</f>
        <v/>
      </c>
      <c r="AV450" s="179" t="str">
        <f t="array" ref="AV450">IF($F450&lt;&gt;"", XLOOKUP($F450,Productos!$A$2:$A1001,Productos!AO$2:AO1001,"")*$G450,"")</f>
        <v/>
      </c>
      <c r="AW450" s="179" t="str">
        <f t="array" ref="AW450">IF($F450&lt;&gt;"",XLOOKUP($F450,Productos!$A:$A,Productos!AP:AP,"Revisar"),"")</f>
        <v/>
      </c>
      <c r="AX450" s="179" t="str">
        <f t="array" ref="AX450">IF($F450&lt;&gt;"", XLOOKUP($F450,Productos!$A$2:$A1001,Productos!AQ$2:AQ1001,"")*$G450,"")</f>
        <v/>
      </c>
      <c r="AY450" s="179" t="str">
        <f t="array" ref="AY450">IF($F450&lt;&gt;"",XLOOKUP($F450,Productos!$A:$A,Productos!AR:AR,"Revisar"),"")</f>
        <v/>
      </c>
      <c r="AZ450" s="179" t="str">
        <f t="array" ref="AZ450">IF($F450&lt;&gt;"", XLOOKUP($F450,Productos!$A$2:$A1001,Productos!AS$2:AS1001,"")*$G450,"")</f>
        <v/>
      </c>
      <c r="BA450" s="179" t="str">
        <f t="array" ref="BA450">IF($F450&lt;&gt;"",XLOOKUP($F450,Productos!$A:$A,Productos!AT:AT,"Revisar"),"")</f>
        <v/>
      </c>
      <c r="BB450" s="179" t="str">
        <f t="array" ref="BB450">IF($F450&lt;&gt;"", XLOOKUP($F450,Productos!$A$2:$A1001,Productos!AU$2:AU1001,"")*$G450,"")</f>
        <v/>
      </c>
      <c r="BC450" s="179" t="str">
        <f t="array" ref="BC450">IF($F450&lt;&gt;"",XLOOKUP($F450,Productos!$A:$A,Productos!AV:AV,"Revisar"),"")</f>
        <v/>
      </c>
      <c r="BD450" s="179" t="str">
        <f t="array" ref="BD450">IF($F450&lt;&gt;"", XLOOKUP($F450,Productos!$A$2:$A1001,Productos!AW$2:AW1001,"")*$G450,"")</f>
        <v/>
      </c>
      <c r="BE450" s="179" t="str">
        <f t="array" ref="BE450">IF($F450&lt;&gt;"",XLOOKUP($F450,Productos!$A:$A,Productos!AX:AX,"Revisar"),"")</f>
        <v/>
      </c>
      <c r="BF450" s="179" t="str">
        <f t="array" ref="BF450">IF($F450&lt;&gt;"", XLOOKUP($F450,Productos!$A$2:$A1001,Productos!AY$2:AY1001,"")*$G450,"")</f>
        <v/>
      </c>
      <c r="BG450" s="179" t="str">
        <f t="array" ref="BG450">IF($F450&lt;&gt;"",XLOOKUP($F450,Productos!$A:$A,Productos!AZ:AZ,"Revisar"),"")</f>
        <v/>
      </c>
      <c r="BH450" s="179" t="str">
        <f t="array" ref="BH450">IF($F450&lt;&gt;"", XLOOKUP($F450,Productos!$A$2:$A1001,Productos!BA$2:BA1001,"")*$G450,"")</f>
        <v/>
      </c>
      <c r="BI450" s="179" t="str">
        <f t="array" ref="BI450">IF($F450&lt;&gt;"",XLOOKUP($F450,Productos!$A:$A,Productos!BB:BB,"Revisar"),"")</f>
        <v/>
      </c>
      <c r="BJ450" s="179" t="str">
        <f t="array" ref="BJ450">IF($F450&lt;&gt;"", XLOOKUP($F450,Productos!$A$2:$A1001,Productos!BC$2:BC1001,"")*$G450,"")</f>
        <v/>
      </c>
      <c r="BK450" s="179" t="str">
        <f t="array" ref="BK450">IF($F450&lt;&gt;"",XLOOKUP($F450,Productos!$A:$A,Productos!BD:BD,"Revisar"),"")</f>
        <v/>
      </c>
      <c r="BL450" s="179" t="str">
        <f t="array" ref="BL450">IF($F450&lt;&gt;"", XLOOKUP($F450,Productos!$A$2:$A1001,Productos!BE$2:BE1001,"")*$G450,"")</f>
        <v/>
      </c>
      <c r="BM450" s="179" t="str">
        <f t="array" ref="BM450">IF($F450&lt;&gt;"",XLOOKUP($F450,Productos!$A:$A,Productos!BF:BF,"Revisar"),"")</f>
        <v/>
      </c>
      <c r="BN450" s="179" t="str">
        <f t="array" ref="BN450">IF($F450&lt;&gt;"", XLOOKUP($F450,Productos!$A$2:$A1001,Productos!BG$2:BG1001,"")*$G450,"")</f>
        <v/>
      </c>
      <c r="BO450" s="179" t="str">
        <f t="array" ref="BO450">IF($F450&lt;&gt;"",XLOOKUP($F450,Productos!$A:$A,Productos!BH:BH,"Revisar"),"")</f>
        <v/>
      </c>
      <c r="BP450" s="179" t="str">
        <f t="array" ref="BP450">IF($F450&lt;&gt;"", XLOOKUP($F450,Productos!$A$2:$A1001,Productos!BI$2:BI1001,"")*$G450,"")</f>
        <v/>
      </c>
      <c r="BQ450" s="179" t="str">
        <f t="array" ref="BQ450">IF($F450&lt;&gt;"",XLOOKUP($F450,Productos!$A:$A,Productos!BJ:BJ,"Revisar"),"")</f>
        <v/>
      </c>
      <c r="BR450" s="179" t="str">
        <f t="array" ref="BR450">IF($F450&lt;&gt;"", XLOOKUP($F450,Productos!$A$2:$A1001,Productos!BK$2:BK1001,"")*$G450,"")</f>
        <v/>
      </c>
      <c r="BS450" s="179" t="str">
        <f t="array" ref="BS450">IF($F450&lt;&gt;"",XLOOKUP($F450,Productos!$A:$A,Productos!BL:BL,"Revisar"),"")</f>
        <v/>
      </c>
      <c r="BT450" s="179" t="str">
        <f t="array" ref="BT450">IF($F450&lt;&gt;"", XLOOKUP($F450,Productos!$A$2:$A1001,Productos!BM$2:BM1001,"")*$G450,"")</f>
        <v/>
      </c>
      <c r="BU450" s="179" t="str">
        <f t="array" ref="BU450">IF($F450&lt;&gt;"",XLOOKUP($F450,Productos!$A:$A,Productos!BN:BN,"Revisar"),"")</f>
        <v/>
      </c>
      <c r="BV450" s="179" t="str">
        <f t="array" ref="BV450">IF($F450&lt;&gt;"", XLOOKUP($F450,Productos!$A$2:$A1001,Productos!BO$2:BO1001,"")*$G450,"")</f>
        <v/>
      </c>
      <c r="BW450" s="179" t="str">
        <f t="array" ref="BW450">IF($F450&lt;&gt;"",XLOOKUP($F450,Productos!$A:$A,Productos!BP:BP,"Revisar"),"")</f>
        <v/>
      </c>
      <c r="BX450" s="179" t="str">
        <f t="array" ref="BX450">IF($F450&lt;&gt;"", XLOOKUP($F450,Productos!$A$2:$A1001,Productos!BQ$2:BQ1001,"")*$G450,"")</f>
        <v/>
      </c>
      <c r="BY450" s="179" t="str">
        <f t="array" ref="BY450">IF($F450&lt;&gt;"",XLOOKUP($F450,Productos!$A:$A,Productos!BR:BR,"Revisar"),"")</f>
        <v/>
      </c>
      <c r="BZ450" s="179" t="str">
        <f t="array" ref="BZ450">IF($F450&lt;&gt;"", XLOOKUP($F450,Productos!$A$2:$A1001,Productos!BS$2:BS1001,"")*$G450,"")</f>
        <v/>
      </c>
    </row>
    <row r="451">
      <c r="A451" s="188"/>
      <c r="B451" s="189"/>
      <c r="C451" s="190"/>
      <c r="D451" s="190"/>
      <c r="E451" s="191"/>
      <c r="F451" s="186"/>
      <c r="G451" s="192"/>
      <c r="H451" s="9"/>
      <c r="I451" s="179" t="str">
        <f t="array" ref="I451">IF($F451&lt;&gt;"",XLOOKUP($F451,Productos!$A:$A,Productos!B:B,"Revisar"),"")</f>
        <v/>
      </c>
      <c r="J451" s="179" t="str">
        <f t="array" ref="J451">IF($F451&lt;&gt;"", XLOOKUP($F451,Productos!$A$2:$A1001,Productos!C$2:C1001,"")*$G451,"")</f>
        <v/>
      </c>
      <c r="K451" s="179" t="str">
        <f t="array" ref="K451">IF($F451&lt;&gt;"",XLOOKUP($F451,Productos!$A:$A,Productos!D:D,"Revisar"),"")</f>
        <v/>
      </c>
      <c r="L451" s="179" t="str">
        <f t="array" ref="L451">IF($F451&lt;&gt;"", XLOOKUP($F451,Productos!$A$2:$A1001,Productos!E$2:E1001,"")*$G451,"")</f>
        <v/>
      </c>
      <c r="M451" s="179" t="str">
        <f t="array" ref="M451">IF($F451&lt;&gt;"",XLOOKUP($F451,Productos!$A:$A,Productos!F:F,"Revisar"),"")</f>
        <v/>
      </c>
      <c r="N451" s="179" t="str">
        <f t="array" ref="N451">IF($F451&lt;&gt;"", XLOOKUP($F451,Productos!$A$2:$A1001,Productos!G$2:G1001,"")*$G451,"")</f>
        <v/>
      </c>
      <c r="O451" s="179" t="str">
        <f t="array" ref="O451">IF($F451&lt;&gt;"",XLOOKUP($F451,Productos!$A:$A,Productos!H:H,"Revisar"),"")</f>
        <v/>
      </c>
      <c r="P451" s="179" t="str">
        <f t="array" ref="P451">IF($F451&lt;&gt;"", XLOOKUP($F451,Productos!$A$2:$A1001,Productos!I$2:I1001,"")*$G451,"")</f>
        <v/>
      </c>
      <c r="Q451" s="179" t="str">
        <f t="array" ref="Q451">IF($F451&lt;&gt;"",XLOOKUP($F451,Productos!$A:$A,Productos!J:J,"Revisar"),"")</f>
        <v/>
      </c>
      <c r="R451" s="179" t="str">
        <f t="array" ref="R451">IF($F451&lt;&gt;"", XLOOKUP($F451,Productos!$A$2:$A1001,Productos!K$2:K1001,"")*$G451,"")</f>
        <v/>
      </c>
      <c r="S451" s="179" t="str">
        <f t="array" ref="S451">IF($F451&lt;&gt;"",XLOOKUP($F451,Productos!$A:$A,Productos!L:L,"Revisar"),"")</f>
        <v/>
      </c>
      <c r="T451" s="179" t="str">
        <f t="array" ref="T451">IF($F451&lt;&gt;"", XLOOKUP($F451,Productos!$A$2:$A1001,Productos!M$2:M1001,"")*$G451,"")</f>
        <v/>
      </c>
      <c r="U451" s="179" t="str">
        <f t="array" ref="U451">IF($F451&lt;&gt;"",XLOOKUP($F451,Productos!$A:$A,Productos!N:N,"Revisar"),"")</f>
        <v/>
      </c>
      <c r="V451" s="179" t="str">
        <f t="array" ref="V451">IF($F451&lt;&gt;"", XLOOKUP($F451,Productos!$A$2:$A1001,Productos!O$2:O1001,"")*$G451,"")</f>
        <v/>
      </c>
      <c r="W451" s="179" t="str">
        <f t="array" ref="W451">IF($F451&lt;&gt;"",XLOOKUP($F451,Productos!$A:$A,Productos!P:P,"Revisar"),"")</f>
        <v/>
      </c>
      <c r="X451" s="179" t="str">
        <f t="array" ref="X451">IF($F451&lt;&gt;"", XLOOKUP($F451,Productos!$A$2:$A1001,Productos!Q$2:Q1001,"")*$G451,"")</f>
        <v/>
      </c>
      <c r="Y451" s="179" t="str">
        <f t="array" ref="Y451">IF($F451&lt;&gt;"",XLOOKUP($F451,Productos!$A:$A,Productos!R:R,"Revisar"),"")</f>
        <v/>
      </c>
      <c r="Z451" s="179" t="str">
        <f t="array" ref="Z451">IF($F451&lt;&gt;"", XLOOKUP($F451,Productos!$A$2:$A1001,Productos!S$2:S1001,"")*$G451,"")</f>
        <v/>
      </c>
      <c r="AA451" s="179" t="str">
        <f t="array" ref="AA451">IF($F451&lt;&gt;"",XLOOKUP($F451,Productos!$A:$A,Productos!T:T,"Revisar"),"")</f>
        <v/>
      </c>
      <c r="AB451" s="179" t="str">
        <f t="array" ref="AB451">IF($F451&lt;&gt;"", XLOOKUP($F451,Productos!$A$2:$A1001,Productos!U$2:U1001,"")*$G451,"")</f>
        <v/>
      </c>
      <c r="AC451" s="179" t="str">
        <f t="array" ref="AC451">IF($F451&lt;&gt;"",XLOOKUP($F451,Productos!$A:$A,Productos!V:V,"Revisar"),"")</f>
        <v/>
      </c>
      <c r="AD451" s="179" t="str">
        <f t="array" ref="AD451">IF($F451&lt;&gt;"", XLOOKUP($F451,Productos!$A$2:$A1001,Productos!W$2:W1001,"")*$G451,"")</f>
        <v/>
      </c>
      <c r="AE451" s="179" t="str">
        <f t="array" ref="AE451">IF($F451&lt;&gt;"",XLOOKUP($F451,Productos!$A:$A,Productos!X:X,"Revisar"),"")</f>
        <v/>
      </c>
      <c r="AF451" s="179" t="str">
        <f t="array" ref="AF451">IF($F451&lt;&gt;"", XLOOKUP($F451,Productos!$A$2:$A1001,Productos!Y$2:Y1001,"")*$G451,"")</f>
        <v/>
      </c>
      <c r="AG451" s="179" t="str">
        <f t="array" ref="AG451">IF($F451&lt;&gt;"",XLOOKUP($F451,Productos!$A:$A,Productos!Z:Z,"Revisar"),"")</f>
        <v/>
      </c>
      <c r="AH451" s="179" t="str">
        <f t="array" ref="AH451">IF($F451&lt;&gt;"", XLOOKUP($F451,Productos!$A$2:$A1001,Productos!AA$2:AA1001,"")*$G451,"")</f>
        <v/>
      </c>
      <c r="AI451" s="179" t="str">
        <f t="array" ref="AI451">IF($F451&lt;&gt;"",XLOOKUP($F451,Productos!$A:$A,Productos!AB:AB,"Revisar"),"")</f>
        <v/>
      </c>
      <c r="AJ451" s="179" t="str">
        <f t="array" ref="AJ451">IF($F451&lt;&gt;"", XLOOKUP($F451,Productos!$A$2:$A1001,Productos!AC$2:AC1001,"")*$G451,"")</f>
        <v/>
      </c>
      <c r="AK451" s="179" t="str">
        <f t="array" ref="AK451">IF($F451&lt;&gt;"",XLOOKUP($F451,Productos!$A:$A,Productos!AD:AD,"Revisar"),"")</f>
        <v/>
      </c>
      <c r="AL451" s="179" t="str">
        <f t="array" ref="AL451">IF($F451&lt;&gt;"", XLOOKUP($F451,Productos!$A$2:$A1001,Productos!AE$2:AE1001,"")*$G451,"")</f>
        <v/>
      </c>
      <c r="AM451" s="179" t="str">
        <f t="array" ref="AM451">IF($F451&lt;&gt;"",XLOOKUP($F451,Productos!$A:$A,Productos!AF:AF,"Revisar"),"")</f>
        <v/>
      </c>
      <c r="AN451" s="179" t="str">
        <f t="array" ref="AN451">IF($F451&lt;&gt;"", XLOOKUP($F451,Productos!$A$2:$A1001,Productos!AG$2:AG1001,"")*$G451,"")</f>
        <v/>
      </c>
      <c r="AO451" s="179" t="str">
        <f t="array" ref="AO451">IF($F451&lt;&gt;"",XLOOKUP($F451,Productos!$A:$A,Productos!AH:AH,"Revisar"),"")</f>
        <v/>
      </c>
      <c r="AP451" s="179" t="str">
        <f t="array" ref="AP451">IF($F451&lt;&gt;"", XLOOKUP($F451,Productos!$A$2:$A1001,Productos!AI$2:AI1001,"")*$G451,"")</f>
        <v/>
      </c>
      <c r="AQ451" s="179" t="str">
        <f t="array" ref="AQ451">IF($F451&lt;&gt;"",XLOOKUP($F451,Productos!$A:$A,Productos!AJ:AJ,"Revisar"),"")</f>
        <v/>
      </c>
      <c r="AR451" s="179" t="str">
        <f t="array" ref="AR451">IF($F451&lt;&gt;"", XLOOKUP($F451,Productos!$A$2:$A1001,Productos!AK$2:AK1001,"")*$G451,"")</f>
        <v/>
      </c>
      <c r="AS451" s="179" t="str">
        <f t="array" ref="AS451">IF($F451&lt;&gt;"",XLOOKUP($F451,Productos!$A:$A,Productos!AL:AL,"Revisar"),"")</f>
        <v/>
      </c>
      <c r="AT451" s="179" t="str">
        <f t="array" ref="AT451">IF($F451&lt;&gt;"", XLOOKUP($F451,Productos!$A$2:$A1001,Productos!AM$2:AM1001,"")*$G451,"")</f>
        <v/>
      </c>
      <c r="AU451" s="179" t="str">
        <f t="array" ref="AU451">IF($F451&lt;&gt;"",XLOOKUP($F451,Productos!$A:$A,Productos!AN:AN,"Revisar"),"")</f>
        <v/>
      </c>
      <c r="AV451" s="179" t="str">
        <f t="array" ref="AV451">IF($F451&lt;&gt;"", XLOOKUP($F451,Productos!$A$2:$A1001,Productos!AO$2:AO1001,"")*$G451,"")</f>
        <v/>
      </c>
      <c r="AW451" s="179" t="str">
        <f t="array" ref="AW451">IF($F451&lt;&gt;"",XLOOKUP($F451,Productos!$A:$A,Productos!AP:AP,"Revisar"),"")</f>
        <v/>
      </c>
      <c r="AX451" s="179" t="str">
        <f t="array" ref="AX451">IF($F451&lt;&gt;"", XLOOKUP($F451,Productos!$A$2:$A1001,Productos!AQ$2:AQ1001,"")*$G451,"")</f>
        <v/>
      </c>
      <c r="AY451" s="179" t="str">
        <f t="array" ref="AY451">IF($F451&lt;&gt;"",XLOOKUP($F451,Productos!$A:$A,Productos!AR:AR,"Revisar"),"")</f>
        <v/>
      </c>
      <c r="AZ451" s="179" t="str">
        <f t="array" ref="AZ451">IF($F451&lt;&gt;"", XLOOKUP($F451,Productos!$A$2:$A1001,Productos!AS$2:AS1001,"")*$G451,"")</f>
        <v/>
      </c>
      <c r="BA451" s="179" t="str">
        <f t="array" ref="BA451">IF($F451&lt;&gt;"",XLOOKUP($F451,Productos!$A:$A,Productos!AT:AT,"Revisar"),"")</f>
        <v/>
      </c>
      <c r="BB451" s="179" t="str">
        <f t="array" ref="BB451">IF($F451&lt;&gt;"", XLOOKUP($F451,Productos!$A$2:$A1001,Productos!AU$2:AU1001,"")*$G451,"")</f>
        <v/>
      </c>
      <c r="BC451" s="179" t="str">
        <f t="array" ref="BC451">IF($F451&lt;&gt;"",XLOOKUP($F451,Productos!$A:$A,Productos!AV:AV,"Revisar"),"")</f>
        <v/>
      </c>
      <c r="BD451" s="179" t="str">
        <f t="array" ref="BD451">IF($F451&lt;&gt;"", XLOOKUP($F451,Productos!$A$2:$A1001,Productos!AW$2:AW1001,"")*$G451,"")</f>
        <v/>
      </c>
      <c r="BE451" s="179" t="str">
        <f t="array" ref="BE451">IF($F451&lt;&gt;"",XLOOKUP($F451,Productos!$A:$A,Productos!AX:AX,"Revisar"),"")</f>
        <v/>
      </c>
      <c r="BF451" s="179" t="str">
        <f t="array" ref="BF451">IF($F451&lt;&gt;"", XLOOKUP($F451,Productos!$A$2:$A1001,Productos!AY$2:AY1001,"")*$G451,"")</f>
        <v/>
      </c>
      <c r="BG451" s="179" t="str">
        <f t="array" ref="BG451">IF($F451&lt;&gt;"",XLOOKUP($F451,Productos!$A:$A,Productos!AZ:AZ,"Revisar"),"")</f>
        <v/>
      </c>
      <c r="BH451" s="179" t="str">
        <f t="array" ref="BH451">IF($F451&lt;&gt;"", XLOOKUP($F451,Productos!$A$2:$A1001,Productos!BA$2:BA1001,"")*$G451,"")</f>
        <v/>
      </c>
      <c r="BI451" s="179" t="str">
        <f t="array" ref="BI451">IF($F451&lt;&gt;"",XLOOKUP($F451,Productos!$A:$A,Productos!BB:BB,"Revisar"),"")</f>
        <v/>
      </c>
      <c r="BJ451" s="179" t="str">
        <f t="array" ref="BJ451">IF($F451&lt;&gt;"", XLOOKUP($F451,Productos!$A$2:$A1001,Productos!BC$2:BC1001,"")*$G451,"")</f>
        <v/>
      </c>
      <c r="BK451" s="179" t="str">
        <f t="array" ref="BK451">IF($F451&lt;&gt;"",XLOOKUP($F451,Productos!$A:$A,Productos!BD:BD,"Revisar"),"")</f>
        <v/>
      </c>
      <c r="BL451" s="179" t="str">
        <f t="array" ref="BL451">IF($F451&lt;&gt;"", XLOOKUP($F451,Productos!$A$2:$A1001,Productos!BE$2:BE1001,"")*$G451,"")</f>
        <v/>
      </c>
      <c r="BM451" s="179" t="str">
        <f t="array" ref="BM451">IF($F451&lt;&gt;"",XLOOKUP($F451,Productos!$A:$A,Productos!BF:BF,"Revisar"),"")</f>
        <v/>
      </c>
      <c r="BN451" s="179" t="str">
        <f t="array" ref="BN451">IF($F451&lt;&gt;"", XLOOKUP($F451,Productos!$A$2:$A1001,Productos!BG$2:BG1001,"")*$G451,"")</f>
        <v/>
      </c>
      <c r="BO451" s="179" t="str">
        <f t="array" ref="BO451">IF($F451&lt;&gt;"",XLOOKUP($F451,Productos!$A:$A,Productos!BH:BH,"Revisar"),"")</f>
        <v/>
      </c>
      <c r="BP451" s="179" t="str">
        <f t="array" ref="BP451">IF($F451&lt;&gt;"", XLOOKUP($F451,Productos!$A$2:$A1001,Productos!BI$2:BI1001,"")*$G451,"")</f>
        <v/>
      </c>
      <c r="BQ451" s="179" t="str">
        <f t="array" ref="BQ451">IF($F451&lt;&gt;"",XLOOKUP($F451,Productos!$A:$A,Productos!BJ:BJ,"Revisar"),"")</f>
        <v/>
      </c>
      <c r="BR451" s="179" t="str">
        <f t="array" ref="BR451">IF($F451&lt;&gt;"", XLOOKUP($F451,Productos!$A$2:$A1001,Productos!BK$2:BK1001,"")*$G451,"")</f>
        <v/>
      </c>
      <c r="BS451" s="179" t="str">
        <f t="array" ref="BS451">IF($F451&lt;&gt;"",XLOOKUP($F451,Productos!$A:$A,Productos!BL:BL,"Revisar"),"")</f>
        <v/>
      </c>
      <c r="BT451" s="179" t="str">
        <f t="array" ref="BT451">IF($F451&lt;&gt;"", XLOOKUP($F451,Productos!$A$2:$A1001,Productos!BM$2:BM1001,"")*$G451,"")</f>
        <v/>
      </c>
      <c r="BU451" s="179" t="str">
        <f t="array" ref="BU451">IF($F451&lt;&gt;"",XLOOKUP($F451,Productos!$A:$A,Productos!BN:BN,"Revisar"),"")</f>
        <v/>
      </c>
      <c r="BV451" s="179" t="str">
        <f t="array" ref="BV451">IF($F451&lt;&gt;"", XLOOKUP($F451,Productos!$A$2:$A1001,Productos!BO$2:BO1001,"")*$G451,"")</f>
        <v/>
      </c>
      <c r="BW451" s="179" t="str">
        <f t="array" ref="BW451">IF($F451&lt;&gt;"",XLOOKUP($F451,Productos!$A:$A,Productos!BP:BP,"Revisar"),"")</f>
        <v/>
      </c>
      <c r="BX451" s="179" t="str">
        <f t="array" ref="BX451">IF($F451&lt;&gt;"", XLOOKUP($F451,Productos!$A$2:$A1001,Productos!BQ$2:BQ1001,"")*$G451,"")</f>
        <v/>
      </c>
      <c r="BY451" s="179" t="str">
        <f t="array" ref="BY451">IF($F451&lt;&gt;"",XLOOKUP($F451,Productos!$A:$A,Productos!BR:BR,"Revisar"),"")</f>
        <v/>
      </c>
      <c r="BZ451" s="179" t="str">
        <f t="array" ref="BZ451">IF($F451&lt;&gt;"", XLOOKUP($F451,Productos!$A$2:$A1001,Productos!BS$2:BS1001,"")*$G451,"")</f>
        <v/>
      </c>
    </row>
    <row r="452">
      <c r="A452" s="188"/>
      <c r="B452" s="189"/>
      <c r="C452" s="190"/>
      <c r="D452" s="190"/>
      <c r="E452" s="191"/>
      <c r="F452" s="186"/>
      <c r="G452" s="192"/>
      <c r="H452" s="9"/>
      <c r="I452" s="179" t="str">
        <f t="array" ref="I452">IF($F452&lt;&gt;"",XLOOKUP($F452,Productos!$A:$A,Productos!B:B,"Revisar"),"")</f>
        <v/>
      </c>
      <c r="J452" s="179" t="str">
        <f t="array" ref="J452">IF($F452&lt;&gt;"", XLOOKUP($F452,Productos!$A$2:$A1001,Productos!C$2:C1001,"")*$G452,"")</f>
        <v/>
      </c>
      <c r="K452" s="179" t="str">
        <f t="array" ref="K452">IF($F452&lt;&gt;"",XLOOKUP($F452,Productos!$A:$A,Productos!D:D,"Revisar"),"")</f>
        <v/>
      </c>
      <c r="L452" s="179" t="str">
        <f t="array" ref="L452">IF($F452&lt;&gt;"", XLOOKUP($F452,Productos!$A$2:$A1001,Productos!E$2:E1001,"")*$G452,"")</f>
        <v/>
      </c>
      <c r="M452" s="179" t="str">
        <f t="array" ref="M452">IF($F452&lt;&gt;"",XLOOKUP($F452,Productos!$A:$A,Productos!F:F,"Revisar"),"")</f>
        <v/>
      </c>
      <c r="N452" s="179" t="str">
        <f t="array" ref="N452">IF($F452&lt;&gt;"", XLOOKUP($F452,Productos!$A$2:$A1001,Productos!G$2:G1001,"")*$G452,"")</f>
        <v/>
      </c>
      <c r="O452" s="179" t="str">
        <f t="array" ref="O452">IF($F452&lt;&gt;"",XLOOKUP($F452,Productos!$A:$A,Productos!H:H,"Revisar"),"")</f>
        <v/>
      </c>
      <c r="P452" s="179" t="str">
        <f t="array" ref="P452">IF($F452&lt;&gt;"", XLOOKUP($F452,Productos!$A$2:$A1001,Productos!I$2:I1001,"")*$G452,"")</f>
        <v/>
      </c>
      <c r="Q452" s="179" t="str">
        <f t="array" ref="Q452">IF($F452&lt;&gt;"",XLOOKUP($F452,Productos!$A:$A,Productos!J:J,"Revisar"),"")</f>
        <v/>
      </c>
      <c r="R452" s="179" t="str">
        <f t="array" ref="R452">IF($F452&lt;&gt;"", XLOOKUP($F452,Productos!$A$2:$A1001,Productos!K$2:K1001,"")*$G452,"")</f>
        <v/>
      </c>
      <c r="S452" s="179" t="str">
        <f t="array" ref="S452">IF($F452&lt;&gt;"",XLOOKUP($F452,Productos!$A:$A,Productos!L:L,"Revisar"),"")</f>
        <v/>
      </c>
      <c r="T452" s="179" t="str">
        <f t="array" ref="T452">IF($F452&lt;&gt;"", XLOOKUP($F452,Productos!$A$2:$A1001,Productos!M$2:M1001,"")*$G452,"")</f>
        <v/>
      </c>
      <c r="U452" s="179" t="str">
        <f t="array" ref="U452">IF($F452&lt;&gt;"",XLOOKUP($F452,Productos!$A:$A,Productos!N:N,"Revisar"),"")</f>
        <v/>
      </c>
      <c r="V452" s="179" t="str">
        <f t="array" ref="V452">IF($F452&lt;&gt;"", XLOOKUP($F452,Productos!$A$2:$A1001,Productos!O$2:O1001,"")*$G452,"")</f>
        <v/>
      </c>
      <c r="W452" s="179" t="str">
        <f t="array" ref="W452">IF($F452&lt;&gt;"",XLOOKUP($F452,Productos!$A:$A,Productos!P:P,"Revisar"),"")</f>
        <v/>
      </c>
      <c r="X452" s="179" t="str">
        <f t="array" ref="X452">IF($F452&lt;&gt;"", XLOOKUP($F452,Productos!$A$2:$A1001,Productos!Q$2:Q1001,"")*$G452,"")</f>
        <v/>
      </c>
      <c r="Y452" s="179" t="str">
        <f t="array" ref="Y452">IF($F452&lt;&gt;"",XLOOKUP($F452,Productos!$A:$A,Productos!R:R,"Revisar"),"")</f>
        <v/>
      </c>
      <c r="Z452" s="179" t="str">
        <f t="array" ref="Z452">IF($F452&lt;&gt;"", XLOOKUP($F452,Productos!$A$2:$A1001,Productos!S$2:S1001,"")*$G452,"")</f>
        <v/>
      </c>
      <c r="AA452" s="179" t="str">
        <f t="array" ref="AA452">IF($F452&lt;&gt;"",XLOOKUP($F452,Productos!$A:$A,Productos!T:T,"Revisar"),"")</f>
        <v/>
      </c>
      <c r="AB452" s="179" t="str">
        <f t="array" ref="AB452">IF($F452&lt;&gt;"", XLOOKUP($F452,Productos!$A$2:$A1001,Productos!U$2:U1001,"")*$G452,"")</f>
        <v/>
      </c>
      <c r="AC452" s="179" t="str">
        <f t="array" ref="AC452">IF($F452&lt;&gt;"",XLOOKUP($F452,Productos!$A:$A,Productos!V:V,"Revisar"),"")</f>
        <v/>
      </c>
      <c r="AD452" s="179" t="str">
        <f t="array" ref="AD452">IF($F452&lt;&gt;"", XLOOKUP($F452,Productos!$A$2:$A1001,Productos!W$2:W1001,"")*$G452,"")</f>
        <v/>
      </c>
      <c r="AE452" s="179" t="str">
        <f t="array" ref="AE452">IF($F452&lt;&gt;"",XLOOKUP($F452,Productos!$A:$A,Productos!X:X,"Revisar"),"")</f>
        <v/>
      </c>
      <c r="AF452" s="179" t="str">
        <f t="array" ref="AF452">IF($F452&lt;&gt;"", XLOOKUP($F452,Productos!$A$2:$A1001,Productos!Y$2:Y1001,"")*$G452,"")</f>
        <v/>
      </c>
      <c r="AG452" s="179" t="str">
        <f t="array" ref="AG452">IF($F452&lt;&gt;"",XLOOKUP($F452,Productos!$A:$A,Productos!Z:Z,"Revisar"),"")</f>
        <v/>
      </c>
      <c r="AH452" s="179" t="str">
        <f t="array" ref="AH452">IF($F452&lt;&gt;"", XLOOKUP($F452,Productos!$A$2:$A1001,Productos!AA$2:AA1001,"")*$G452,"")</f>
        <v/>
      </c>
      <c r="AI452" s="179" t="str">
        <f t="array" ref="AI452">IF($F452&lt;&gt;"",XLOOKUP($F452,Productos!$A:$A,Productos!AB:AB,"Revisar"),"")</f>
        <v/>
      </c>
      <c r="AJ452" s="179" t="str">
        <f t="array" ref="AJ452">IF($F452&lt;&gt;"", XLOOKUP($F452,Productos!$A$2:$A1001,Productos!AC$2:AC1001,"")*$G452,"")</f>
        <v/>
      </c>
      <c r="AK452" s="179" t="str">
        <f t="array" ref="AK452">IF($F452&lt;&gt;"",XLOOKUP($F452,Productos!$A:$A,Productos!AD:AD,"Revisar"),"")</f>
        <v/>
      </c>
      <c r="AL452" s="179" t="str">
        <f t="array" ref="AL452">IF($F452&lt;&gt;"", XLOOKUP($F452,Productos!$A$2:$A1001,Productos!AE$2:AE1001,"")*$G452,"")</f>
        <v/>
      </c>
      <c r="AM452" s="179" t="str">
        <f t="array" ref="AM452">IF($F452&lt;&gt;"",XLOOKUP($F452,Productos!$A:$A,Productos!AF:AF,"Revisar"),"")</f>
        <v/>
      </c>
      <c r="AN452" s="179" t="str">
        <f t="array" ref="AN452">IF($F452&lt;&gt;"", XLOOKUP($F452,Productos!$A$2:$A1001,Productos!AG$2:AG1001,"")*$G452,"")</f>
        <v/>
      </c>
      <c r="AO452" s="179" t="str">
        <f t="array" ref="AO452">IF($F452&lt;&gt;"",XLOOKUP($F452,Productos!$A:$A,Productos!AH:AH,"Revisar"),"")</f>
        <v/>
      </c>
      <c r="AP452" s="179" t="str">
        <f t="array" ref="AP452">IF($F452&lt;&gt;"", XLOOKUP($F452,Productos!$A$2:$A1001,Productos!AI$2:AI1001,"")*$G452,"")</f>
        <v/>
      </c>
      <c r="AQ452" s="179" t="str">
        <f t="array" ref="AQ452">IF($F452&lt;&gt;"",XLOOKUP($F452,Productos!$A:$A,Productos!AJ:AJ,"Revisar"),"")</f>
        <v/>
      </c>
      <c r="AR452" s="179" t="str">
        <f t="array" ref="AR452">IF($F452&lt;&gt;"", XLOOKUP($F452,Productos!$A$2:$A1001,Productos!AK$2:AK1001,"")*$G452,"")</f>
        <v/>
      </c>
      <c r="AS452" s="179" t="str">
        <f t="array" ref="AS452">IF($F452&lt;&gt;"",XLOOKUP($F452,Productos!$A:$A,Productos!AL:AL,"Revisar"),"")</f>
        <v/>
      </c>
      <c r="AT452" s="179" t="str">
        <f t="array" ref="AT452">IF($F452&lt;&gt;"", XLOOKUP($F452,Productos!$A$2:$A1001,Productos!AM$2:AM1001,"")*$G452,"")</f>
        <v/>
      </c>
      <c r="AU452" s="179" t="str">
        <f t="array" ref="AU452">IF($F452&lt;&gt;"",XLOOKUP($F452,Productos!$A:$A,Productos!AN:AN,"Revisar"),"")</f>
        <v/>
      </c>
      <c r="AV452" s="179" t="str">
        <f t="array" ref="AV452">IF($F452&lt;&gt;"", XLOOKUP($F452,Productos!$A$2:$A1001,Productos!AO$2:AO1001,"")*$G452,"")</f>
        <v/>
      </c>
      <c r="AW452" s="179" t="str">
        <f t="array" ref="AW452">IF($F452&lt;&gt;"",XLOOKUP($F452,Productos!$A:$A,Productos!AP:AP,"Revisar"),"")</f>
        <v/>
      </c>
      <c r="AX452" s="179" t="str">
        <f t="array" ref="AX452">IF($F452&lt;&gt;"", XLOOKUP($F452,Productos!$A$2:$A1001,Productos!AQ$2:AQ1001,"")*$G452,"")</f>
        <v/>
      </c>
      <c r="AY452" s="179" t="str">
        <f t="array" ref="AY452">IF($F452&lt;&gt;"",XLOOKUP($F452,Productos!$A:$A,Productos!AR:AR,"Revisar"),"")</f>
        <v/>
      </c>
      <c r="AZ452" s="179" t="str">
        <f t="array" ref="AZ452">IF($F452&lt;&gt;"", XLOOKUP($F452,Productos!$A$2:$A1001,Productos!AS$2:AS1001,"")*$G452,"")</f>
        <v/>
      </c>
      <c r="BA452" s="179" t="str">
        <f t="array" ref="BA452">IF($F452&lt;&gt;"",XLOOKUP($F452,Productos!$A:$A,Productos!AT:AT,"Revisar"),"")</f>
        <v/>
      </c>
      <c r="BB452" s="179" t="str">
        <f t="array" ref="BB452">IF($F452&lt;&gt;"", XLOOKUP($F452,Productos!$A$2:$A1001,Productos!AU$2:AU1001,"")*$G452,"")</f>
        <v/>
      </c>
      <c r="BC452" s="179" t="str">
        <f t="array" ref="BC452">IF($F452&lt;&gt;"",XLOOKUP($F452,Productos!$A:$A,Productos!AV:AV,"Revisar"),"")</f>
        <v/>
      </c>
      <c r="BD452" s="179" t="str">
        <f t="array" ref="BD452">IF($F452&lt;&gt;"", XLOOKUP($F452,Productos!$A$2:$A1001,Productos!AW$2:AW1001,"")*$G452,"")</f>
        <v/>
      </c>
      <c r="BE452" s="179" t="str">
        <f t="array" ref="BE452">IF($F452&lt;&gt;"",XLOOKUP($F452,Productos!$A:$A,Productos!AX:AX,"Revisar"),"")</f>
        <v/>
      </c>
      <c r="BF452" s="179" t="str">
        <f t="array" ref="BF452">IF($F452&lt;&gt;"", XLOOKUP($F452,Productos!$A$2:$A1001,Productos!AY$2:AY1001,"")*$G452,"")</f>
        <v/>
      </c>
      <c r="BG452" s="179" t="str">
        <f t="array" ref="BG452">IF($F452&lt;&gt;"",XLOOKUP($F452,Productos!$A:$A,Productos!AZ:AZ,"Revisar"),"")</f>
        <v/>
      </c>
      <c r="BH452" s="179" t="str">
        <f t="array" ref="BH452">IF($F452&lt;&gt;"", XLOOKUP($F452,Productos!$A$2:$A1001,Productos!BA$2:BA1001,"")*$G452,"")</f>
        <v/>
      </c>
      <c r="BI452" s="179" t="str">
        <f t="array" ref="BI452">IF($F452&lt;&gt;"",XLOOKUP($F452,Productos!$A:$A,Productos!BB:BB,"Revisar"),"")</f>
        <v/>
      </c>
      <c r="BJ452" s="179" t="str">
        <f t="array" ref="BJ452">IF($F452&lt;&gt;"", XLOOKUP($F452,Productos!$A$2:$A1001,Productos!BC$2:BC1001,"")*$G452,"")</f>
        <v/>
      </c>
      <c r="BK452" s="179" t="str">
        <f t="array" ref="BK452">IF($F452&lt;&gt;"",XLOOKUP($F452,Productos!$A:$A,Productos!BD:BD,"Revisar"),"")</f>
        <v/>
      </c>
      <c r="BL452" s="179" t="str">
        <f t="array" ref="BL452">IF($F452&lt;&gt;"", XLOOKUP($F452,Productos!$A$2:$A1001,Productos!BE$2:BE1001,"")*$G452,"")</f>
        <v/>
      </c>
      <c r="BM452" s="179" t="str">
        <f t="array" ref="BM452">IF($F452&lt;&gt;"",XLOOKUP($F452,Productos!$A:$A,Productos!BF:BF,"Revisar"),"")</f>
        <v/>
      </c>
      <c r="BN452" s="179" t="str">
        <f t="array" ref="BN452">IF($F452&lt;&gt;"", XLOOKUP($F452,Productos!$A$2:$A1001,Productos!BG$2:BG1001,"")*$G452,"")</f>
        <v/>
      </c>
      <c r="BO452" s="179" t="str">
        <f t="array" ref="BO452">IF($F452&lt;&gt;"",XLOOKUP($F452,Productos!$A:$A,Productos!BH:BH,"Revisar"),"")</f>
        <v/>
      </c>
      <c r="BP452" s="179" t="str">
        <f t="array" ref="BP452">IF($F452&lt;&gt;"", XLOOKUP($F452,Productos!$A$2:$A1001,Productos!BI$2:BI1001,"")*$G452,"")</f>
        <v/>
      </c>
      <c r="BQ452" s="179" t="str">
        <f t="array" ref="BQ452">IF($F452&lt;&gt;"",XLOOKUP($F452,Productos!$A:$A,Productos!BJ:BJ,"Revisar"),"")</f>
        <v/>
      </c>
      <c r="BR452" s="179" t="str">
        <f t="array" ref="BR452">IF($F452&lt;&gt;"", XLOOKUP($F452,Productos!$A$2:$A1001,Productos!BK$2:BK1001,"")*$G452,"")</f>
        <v/>
      </c>
      <c r="BS452" s="179" t="str">
        <f t="array" ref="BS452">IF($F452&lt;&gt;"",XLOOKUP($F452,Productos!$A:$A,Productos!BL:BL,"Revisar"),"")</f>
        <v/>
      </c>
      <c r="BT452" s="179" t="str">
        <f t="array" ref="BT452">IF($F452&lt;&gt;"", XLOOKUP($F452,Productos!$A$2:$A1001,Productos!BM$2:BM1001,"")*$G452,"")</f>
        <v/>
      </c>
      <c r="BU452" s="179" t="str">
        <f t="array" ref="BU452">IF($F452&lt;&gt;"",XLOOKUP($F452,Productos!$A:$A,Productos!BN:BN,"Revisar"),"")</f>
        <v/>
      </c>
      <c r="BV452" s="179" t="str">
        <f t="array" ref="BV452">IF($F452&lt;&gt;"", XLOOKUP($F452,Productos!$A$2:$A1001,Productos!BO$2:BO1001,"")*$G452,"")</f>
        <v/>
      </c>
      <c r="BW452" s="179" t="str">
        <f t="array" ref="BW452">IF($F452&lt;&gt;"",XLOOKUP($F452,Productos!$A:$A,Productos!BP:BP,"Revisar"),"")</f>
        <v/>
      </c>
      <c r="BX452" s="179" t="str">
        <f t="array" ref="BX452">IF($F452&lt;&gt;"", XLOOKUP($F452,Productos!$A$2:$A1001,Productos!BQ$2:BQ1001,"")*$G452,"")</f>
        <v/>
      </c>
      <c r="BY452" s="179" t="str">
        <f t="array" ref="BY452">IF($F452&lt;&gt;"",XLOOKUP($F452,Productos!$A:$A,Productos!BR:BR,"Revisar"),"")</f>
        <v/>
      </c>
      <c r="BZ452" s="179" t="str">
        <f t="array" ref="BZ452">IF($F452&lt;&gt;"", XLOOKUP($F452,Productos!$A$2:$A1001,Productos!BS$2:BS1001,"")*$G452,"")</f>
        <v/>
      </c>
    </row>
    <row r="453">
      <c r="A453" s="188"/>
      <c r="B453" s="189"/>
      <c r="C453" s="190"/>
      <c r="D453" s="190"/>
      <c r="E453" s="191"/>
      <c r="F453" s="186"/>
      <c r="G453" s="192"/>
      <c r="H453" s="9"/>
      <c r="I453" s="179" t="str">
        <f t="array" ref="I453">IF($F453&lt;&gt;"",XLOOKUP($F453,Productos!$A:$A,Productos!B:B,"Revisar"),"")</f>
        <v/>
      </c>
      <c r="J453" s="179" t="str">
        <f t="array" ref="J453">IF($F453&lt;&gt;"", XLOOKUP($F453,Productos!$A$2:$A1001,Productos!C$2:C1001,"")*$G453,"")</f>
        <v/>
      </c>
      <c r="K453" s="179" t="str">
        <f t="array" ref="K453">IF($F453&lt;&gt;"",XLOOKUP($F453,Productos!$A:$A,Productos!D:D,"Revisar"),"")</f>
        <v/>
      </c>
      <c r="L453" s="179" t="str">
        <f t="array" ref="L453">IF($F453&lt;&gt;"", XLOOKUP($F453,Productos!$A$2:$A1001,Productos!E$2:E1001,"")*$G453,"")</f>
        <v/>
      </c>
      <c r="M453" s="179" t="str">
        <f t="array" ref="M453">IF($F453&lt;&gt;"",XLOOKUP($F453,Productos!$A:$A,Productos!F:F,"Revisar"),"")</f>
        <v/>
      </c>
      <c r="N453" s="179" t="str">
        <f t="array" ref="N453">IF($F453&lt;&gt;"", XLOOKUP($F453,Productos!$A$2:$A1001,Productos!G$2:G1001,"")*$G453,"")</f>
        <v/>
      </c>
      <c r="O453" s="179" t="str">
        <f t="array" ref="O453">IF($F453&lt;&gt;"",XLOOKUP($F453,Productos!$A:$A,Productos!H:H,"Revisar"),"")</f>
        <v/>
      </c>
      <c r="P453" s="179" t="str">
        <f t="array" ref="P453">IF($F453&lt;&gt;"", XLOOKUP($F453,Productos!$A$2:$A1001,Productos!I$2:I1001,"")*$G453,"")</f>
        <v/>
      </c>
      <c r="Q453" s="179" t="str">
        <f t="array" ref="Q453">IF($F453&lt;&gt;"",XLOOKUP($F453,Productos!$A:$A,Productos!J:J,"Revisar"),"")</f>
        <v/>
      </c>
      <c r="R453" s="179" t="str">
        <f t="array" ref="R453">IF($F453&lt;&gt;"", XLOOKUP($F453,Productos!$A$2:$A1001,Productos!K$2:K1001,"")*$G453,"")</f>
        <v/>
      </c>
      <c r="S453" s="179" t="str">
        <f t="array" ref="S453">IF($F453&lt;&gt;"",XLOOKUP($F453,Productos!$A:$A,Productos!L:L,"Revisar"),"")</f>
        <v/>
      </c>
      <c r="T453" s="179" t="str">
        <f t="array" ref="T453">IF($F453&lt;&gt;"", XLOOKUP($F453,Productos!$A$2:$A1001,Productos!M$2:M1001,"")*$G453,"")</f>
        <v/>
      </c>
      <c r="U453" s="179" t="str">
        <f t="array" ref="U453">IF($F453&lt;&gt;"",XLOOKUP($F453,Productos!$A:$A,Productos!N:N,"Revisar"),"")</f>
        <v/>
      </c>
      <c r="V453" s="179" t="str">
        <f t="array" ref="V453">IF($F453&lt;&gt;"", XLOOKUP($F453,Productos!$A$2:$A1001,Productos!O$2:O1001,"")*$G453,"")</f>
        <v/>
      </c>
      <c r="W453" s="179" t="str">
        <f t="array" ref="W453">IF($F453&lt;&gt;"",XLOOKUP($F453,Productos!$A:$A,Productos!P:P,"Revisar"),"")</f>
        <v/>
      </c>
      <c r="X453" s="179" t="str">
        <f t="array" ref="X453">IF($F453&lt;&gt;"", XLOOKUP($F453,Productos!$A$2:$A1001,Productos!Q$2:Q1001,"")*$G453,"")</f>
        <v/>
      </c>
      <c r="Y453" s="179" t="str">
        <f t="array" ref="Y453">IF($F453&lt;&gt;"",XLOOKUP($F453,Productos!$A:$A,Productos!R:R,"Revisar"),"")</f>
        <v/>
      </c>
      <c r="Z453" s="179" t="str">
        <f t="array" ref="Z453">IF($F453&lt;&gt;"", XLOOKUP($F453,Productos!$A$2:$A1001,Productos!S$2:S1001,"")*$G453,"")</f>
        <v/>
      </c>
      <c r="AA453" s="179" t="str">
        <f t="array" ref="AA453">IF($F453&lt;&gt;"",XLOOKUP($F453,Productos!$A:$A,Productos!T:T,"Revisar"),"")</f>
        <v/>
      </c>
      <c r="AB453" s="179" t="str">
        <f t="array" ref="AB453">IF($F453&lt;&gt;"", XLOOKUP($F453,Productos!$A$2:$A1001,Productos!U$2:U1001,"")*$G453,"")</f>
        <v/>
      </c>
      <c r="AC453" s="179" t="str">
        <f t="array" ref="AC453">IF($F453&lt;&gt;"",XLOOKUP($F453,Productos!$A:$A,Productos!V:V,"Revisar"),"")</f>
        <v/>
      </c>
      <c r="AD453" s="179" t="str">
        <f t="array" ref="AD453">IF($F453&lt;&gt;"", XLOOKUP($F453,Productos!$A$2:$A1001,Productos!W$2:W1001,"")*$G453,"")</f>
        <v/>
      </c>
      <c r="AE453" s="179" t="str">
        <f t="array" ref="AE453">IF($F453&lt;&gt;"",XLOOKUP($F453,Productos!$A:$A,Productos!X:X,"Revisar"),"")</f>
        <v/>
      </c>
      <c r="AF453" s="179" t="str">
        <f t="array" ref="AF453">IF($F453&lt;&gt;"", XLOOKUP($F453,Productos!$A$2:$A1001,Productos!Y$2:Y1001,"")*$G453,"")</f>
        <v/>
      </c>
      <c r="AG453" s="179" t="str">
        <f t="array" ref="AG453">IF($F453&lt;&gt;"",XLOOKUP($F453,Productos!$A:$A,Productos!Z:Z,"Revisar"),"")</f>
        <v/>
      </c>
      <c r="AH453" s="179" t="str">
        <f t="array" ref="AH453">IF($F453&lt;&gt;"", XLOOKUP($F453,Productos!$A$2:$A1001,Productos!AA$2:AA1001,"")*$G453,"")</f>
        <v/>
      </c>
      <c r="AI453" s="179" t="str">
        <f t="array" ref="AI453">IF($F453&lt;&gt;"",XLOOKUP($F453,Productos!$A:$A,Productos!AB:AB,"Revisar"),"")</f>
        <v/>
      </c>
      <c r="AJ453" s="179" t="str">
        <f t="array" ref="AJ453">IF($F453&lt;&gt;"", XLOOKUP($F453,Productos!$A$2:$A1001,Productos!AC$2:AC1001,"")*$G453,"")</f>
        <v/>
      </c>
      <c r="AK453" s="179" t="str">
        <f t="array" ref="AK453">IF($F453&lt;&gt;"",XLOOKUP($F453,Productos!$A:$A,Productos!AD:AD,"Revisar"),"")</f>
        <v/>
      </c>
      <c r="AL453" s="179" t="str">
        <f t="array" ref="AL453">IF($F453&lt;&gt;"", XLOOKUP($F453,Productos!$A$2:$A1001,Productos!AE$2:AE1001,"")*$G453,"")</f>
        <v/>
      </c>
      <c r="AM453" s="179" t="str">
        <f t="array" ref="AM453">IF($F453&lt;&gt;"",XLOOKUP($F453,Productos!$A:$A,Productos!AF:AF,"Revisar"),"")</f>
        <v/>
      </c>
      <c r="AN453" s="179" t="str">
        <f t="array" ref="AN453">IF($F453&lt;&gt;"", XLOOKUP($F453,Productos!$A$2:$A1001,Productos!AG$2:AG1001,"")*$G453,"")</f>
        <v/>
      </c>
      <c r="AO453" s="179" t="str">
        <f t="array" ref="AO453">IF($F453&lt;&gt;"",XLOOKUP($F453,Productos!$A:$A,Productos!AH:AH,"Revisar"),"")</f>
        <v/>
      </c>
      <c r="AP453" s="179" t="str">
        <f t="array" ref="AP453">IF($F453&lt;&gt;"", XLOOKUP($F453,Productos!$A$2:$A1001,Productos!AI$2:AI1001,"")*$G453,"")</f>
        <v/>
      </c>
      <c r="AQ453" s="179" t="str">
        <f t="array" ref="AQ453">IF($F453&lt;&gt;"",XLOOKUP($F453,Productos!$A:$A,Productos!AJ:AJ,"Revisar"),"")</f>
        <v/>
      </c>
      <c r="AR453" s="179" t="str">
        <f t="array" ref="AR453">IF($F453&lt;&gt;"", XLOOKUP($F453,Productos!$A$2:$A1001,Productos!AK$2:AK1001,"")*$G453,"")</f>
        <v/>
      </c>
      <c r="AS453" s="179" t="str">
        <f t="array" ref="AS453">IF($F453&lt;&gt;"",XLOOKUP($F453,Productos!$A:$A,Productos!AL:AL,"Revisar"),"")</f>
        <v/>
      </c>
      <c r="AT453" s="179" t="str">
        <f t="array" ref="AT453">IF($F453&lt;&gt;"", XLOOKUP($F453,Productos!$A$2:$A1001,Productos!AM$2:AM1001,"")*$G453,"")</f>
        <v/>
      </c>
      <c r="AU453" s="179" t="str">
        <f t="array" ref="AU453">IF($F453&lt;&gt;"",XLOOKUP($F453,Productos!$A:$A,Productos!AN:AN,"Revisar"),"")</f>
        <v/>
      </c>
      <c r="AV453" s="179" t="str">
        <f t="array" ref="AV453">IF($F453&lt;&gt;"", XLOOKUP($F453,Productos!$A$2:$A1001,Productos!AO$2:AO1001,"")*$G453,"")</f>
        <v/>
      </c>
      <c r="AW453" s="179" t="str">
        <f t="array" ref="AW453">IF($F453&lt;&gt;"",XLOOKUP($F453,Productos!$A:$A,Productos!AP:AP,"Revisar"),"")</f>
        <v/>
      </c>
      <c r="AX453" s="179" t="str">
        <f t="array" ref="AX453">IF($F453&lt;&gt;"", XLOOKUP($F453,Productos!$A$2:$A1001,Productos!AQ$2:AQ1001,"")*$G453,"")</f>
        <v/>
      </c>
      <c r="AY453" s="179" t="str">
        <f t="array" ref="AY453">IF($F453&lt;&gt;"",XLOOKUP($F453,Productos!$A:$A,Productos!AR:AR,"Revisar"),"")</f>
        <v/>
      </c>
      <c r="AZ453" s="179" t="str">
        <f t="array" ref="AZ453">IF($F453&lt;&gt;"", XLOOKUP($F453,Productos!$A$2:$A1001,Productos!AS$2:AS1001,"")*$G453,"")</f>
        <v/>
      </c>
      <c r="BA453" s="179" t="str">
        <f t="array" ref="BA453">IF($F453&lt;&gt;"",XLOOKUP($F453,Productos!$A:$A,Productos!AT:AT,"Revisar"),"")</f>
        <v/>
      </c>
      <c r="BB453" s="179" t="str">
        <f t="array" ref="BB453">IF($F453&lt;&gt;"", XLOOKUP($F453,Productos!$A$2:$A1001,Productos!AU$2:AU1001,"")*$G453,"")</f>
        <v/>
      </c>
      <c r="BC453" s="179" t="str">
        <f t="array" ref="BC453">IF($F453&lt;&gt;"",XLOOKUP($F453,Productos!$A:$A,Productos!AV:AV,"Revisar"),"")</f>
        <v/>
      </c>
      <c r="BD453" s="179" t="str">
        <f t="array" ref="BD453">IF($F453&lt;&gt;"", XLOOKUP($F453,Productos!$A$2:$A1001,Productos!AW$2:AW1001,"")*$G453,"")</f>
        <v/>
      </c>
      <c r="BE453" s="179" t="str">
        <f t="array" ref="BE453">IF($F453&lt;&gt;"",XLOOKUP($F453,Productos!$A:$A,Productos!AX:AX,"Revisar"),"")</f>
        <v/>
      </c>
      <c r="BF453" s="179" t="str">
        <f t="array" ref="BF453">IF($F453&lt;&gt;"", XLOOKUP($F453,Productos!$A$2:$A1001,Productos!AY$2:AY1001,"")*$G453,"")</f>
        <v/>
      </c>
      <c r="BG453" s="179" t="str">
        <f t="array" ref="BG453">IF($F453&lt;&gt;"",XLOOKUP($F453,Productos!$A:$A,Productos!AZ:AZ,"Revisar"),"")</f>
        <v/>
      </c>
      <c r="BH453" s="179" t="str">
        <f t="array" ref="BH453">IF($F453&lt;&gt;"", XLOOKUP($F453,Productos!$A$2:$A1001,Productos!BA$2:BA1001,"")*$G453,"")</f>
        <v/>
      </c>
      <c r="BI453" s="179" t="str">
        <f t="array" ref="BI453">IF($F453&lt;&gt;"",XLOOKUP($F453,Productos!$A:$A,Productos!BB:BB,"Revisar"),"")</f>
        <v/>
      </c>
      <c r="BJ453" s="179" t="str">
        <f t="array" ref="BJ453">IF($F453&lt;&gt;"", XLOOKUP($F453,Productos!$A$2:$A1001,Productos!BC$2:BC1001,"")*$G453,"")</f>
        <v/>
      </c>
      <c r="BK453" s="179" t="str">
        <f t="array" ref="BK453">IF($F453&lt;&gt;"",XLOOKUP($F453,Productos!$A:$A,Productos!BD:BD,"Revisar"),"")</f>
        <v/>
      </c>
      <c r="BL453" s="179" t="str">
        <f t="array" ref="BL453">IF($F453&lt;&gt;"", XLOOKUP($F453,Productos!$A$2:$A1001,Productos!BE$2:BE1001,"")*$G453,"")</f>
        <v/>
      </c>
      <c r="BM453" s="179" t="str">
        <f t="array" ref="BM453">IF($F453&lt;&gt;"",XLOOKUP($F453,Productos!$A:$A,Productos!BF:BF,"Revisar"),"")</f>
        <v/>
      </c>
      <c r="BN453" s="179" t="str">
        <f t="array" ref="BN453">IF($F453&lt;&gt;"", XLOOKUP($F453,Productos!$A$2:$A1001,Productos!BG$2:BG1001,"")*$G453,"")</f>
        <v/>
      </c>
      <c r="BO453" s="179" t="str">
        <f t="array" ref="BO453">IF($F453&lt;&gt;"",XLOOKUP($F453,Productos!$A:$A,Productos!BH:BH,"Revisar"),"")</f>
        <v/>
      </c>
      <c r="BP453" s="179" t="str">
        <f t="array" ref="BP453">IF($F453&lt;&gt;"", XLOOKUP($F453,Productos!$A$2:$A1001,Productos!BI$2:BI1001,"")*$G453,"")</f>
        <v/>
      </c>
      <c r="BQ453" s="179" t="str">
        <f t="array" ref="BQ453">IF($F453&lt;&gt;"",XLOOKUP($F453,Productos!$A:$A,Productos!BJ:BJ,"Revisar"),"")</f>
        <v/>
      </c>
      <c r="BR453" s="179" t="str">
        <f t="array" ref="BR453">IF($F453&lt;&gt;"", XLOOKUP($F453,Productos!$A$2:$A1001,Productos!BK$2:BK1001,"")*$G453,"")</f>
        <v/>
      </c>
      <c r="BS453" s="179" t="str">
        <f t="array" ref="BS453">IF($F453&lt;&gt;"",XLOOKUP($F453,Productos!$A:$A,Productos!BL:BL,"Revisar"),"")</f>
        <v/>
      </c>
      <c r="BT453" s="179" t="str">
        <f t="array" ref="BT453">IF($F453&lt;&gt;"", XLOOKUP($F453,Productos!$A$2:$A1001,Productos!BM$2:BM1001,"")*$G453,"")</f>
        <v/>
      </c>
      <c r="BU453" s="179" t="str">
        <f t="array" ref="BU453">IF($F453&lt;&gt;"",XLOOKUP($F453,Productos!$A:$A,Productos!BN:BN,"Revisar"),"")</f>
        <v/>
      </c>
      <c r="BV453" s="179" t="str">
        <f t="array" ref="BV453">IF($F453&lt;&gt;"", XLOOKUP($F453,Productos!$A$2:$A1001,Productos!BO$2:BO1001,"")*$G453,"")</f>
        <v/>
      </c>
      <c r="BW453" s="179" t="str">
        <f t="array" ref="BW453">IF($F453&lt;&gt;"",XLOOKUP($F453,Productos!$A:$A,Productos!BP:BP,"Revisar"),"")</f>
        <v/>
      </c>
      <c r="BX453" s="179" t="str">
        <f t="array" ref="BX453">IF($F453&lt;&gt;"", XLOOKUP($F453,Productos!$A$2:$A1001,Productos!BQ$2:BQ1001,"")*$G453,"")</f>
        <v/>
      </c>
      <c r="BY453" s="179" t="str">
        <f t="array" ref="BY453">IF($F453&lt;&gt;"",XLOOKUP($F453,Productos!$A:$A,Productos!BR:BR,"Revisar"),"")</f>
        <v/>
      </c>
      <c r="BZ453" s="179" t="str">
        <f t="array" ref="BZ453">IF($F453&lt;&gt;"", XLOOKUP($F453,Productos!$A$2:$A1001,Productos!BS$2:BS1001,"")*$G453,"")</f>
        <v/>
      </c>
    </row>
    <row r="454">
      <c r="A454" s="188"/>
      <c r="B454" s="189"/>
      <c r="C454" s="190"/>
      <c r="D454" s="190"/>
      <c r="E454" s="191"/>
      <c r="F454" s="186"/>
      <c r="G454" s="192"/>
      <c r="H454" s="9"/>
      <c r="I454" s="179" t="str">
        <f t="array" ref="I454">IF($F454&lt;&gt;"",XLOOKUP($F454,Productos!$A:$A,Productos!B:B,"Revisar"),"")</f>
        <v/>
      </c>
      <c r="J454" s="179" t="str">
        <f t="array" ref="J454">IF($F454&lt;&gt;"", XLOOKUP($F454,Productos!$A$2:$A1001,Productos!C$2:C1001,"")*$G454,"")</f>
        <v/>
      </c>
      <c r="K454" s="179" t="str">
        <f t="array" ref="K454">IF($F454&lt;&gt;"",XLOOKUP($F454,Productos!$A:$A,Productos!D:D,"Revisar"),"")</f>
        <v/>
      </c>
      <c r="L454" s="179" t="str">
        <f t="array" ref="L454">IF($F454&lt;&gt;"", XLOOKUP($F454,Productos!$A$2:$A1001,Productos!E$2:E1001,"")*$G454,"")</f>
        <v/>
      </c>
      <c r="M454" s="179" t="str">
        <f t="array" ref="M454">IF($F454&lt;&gt;"",XLOOKUP($F454,Productos!$A:$A,Productos!F:F,"Revisar"),"")</f>
        <v/>
      </c>
      <c r="N454" s="179" t="str">
        <f t="array" ref="N454">IF($F454&lt;&gt;"", XLOOKUP($F454,Productos!$A$2:$A1001,Productos!G$2:G1001,"")*$G454,"")</f>
        <v/>
      </c>
      <c r="O454" s="179" t="str">
        <f t="array" ref="O454">IF($F454&lt;&gt;"",XLOOKUP($F454,Productos!$A:$A,Productos!H:H,"Revisar"),"")</f>
        <v/>
      </c>
      <c r="P454" s="179" t="str">
        <f t="array" ref="P454">IF($F454&lt;&gt;"", XLOOKUP($F454,Productos!$A$2:$A1001,Productos!I$2:I1001,"")*$G454,"")</f>
        <v/>
      </c>
      <c r="Q454" s="179" t="str">
        <f t="array" ref="Q454">IF($F454&lt;&gt;"",XLOOKUP($F454,Productos!$A:$A,Productos!J:J,"Revisar"),"")</f>
        <v/>
      </c>
      <c r="R454" s="179" t="str">
        <f t="array" ref="R454">IF($F454&lt;&gt;"", XLOOKUP($F454,Productos!$A$2:$A1001,Productos!K$2:K1001,"")*$G454,"")</f>
        <v/>
      </c>
      <c r="S454" s="179" t="str">
        <f t="array" ref="S454">IF($F454&lt;&gt;"",XLOOKUP($F454,Productos!$A:$A,Productos!L:L,"Revisar"),"")</f>
        <v/>
      </c>
      <c r="T454" s="179" t="str">
        <f t="array" ref="T454">IF($F454&lt;&gt;"", XLOOKUP($F454,Productos!$A$2:$A1001,Productos!M$2:M1001,"")*$G454,"")</f>
        <v/>
      </c>
      <c r="U454" s="179" t="str">
        <f t="array" ref="U454">IF($F454&lt;&gt;"",XLOOKUP($F454,Productos!$A:$A,Productos!N:N,"Revisar"),"")</f>
        <v/>
      </c>
      <c r="V454" s="179" t="str">
        <f t="array" ref="V454">IF($F454&lt;&gt;"", XLOOKUP($F454,Productos!$A$2:$A1001,Productos!O$2:O1001,"")*$G454,"")</f>
        <v/>
      </c>
      <c r="W454" s="179" t="str">
        <f t="array" ref="W454">IF($F454&lt;&gt;"",XLOOKUP($F454,Productos!$A:$A,Productos!P:P,"Revisar"),"")</f>
        <v/>
      </c>
      <c r="X454" s="179" t="str">
        <f t="array" ref="X454">IF($F454&lt;&gt;"", XLOOKUP($F454,Productos!$A$2:$A1001,Productos!Q$2:Q1001,"")*$G454,"")</f>
        <v/>
      </c>
      <c r="Y454" s="179" t="str">
        <f t="array" ref="Y454">IF($F454&lt;&gt;"",XLOOKUP($F454,Productos!$A:$A,Productos!R:R,"Revisar"),"")</f>
        <v/>
      </c>
      <c r="Z454" s="179" t="str">
        <f t="array" ref="Z454">IF($F454&lt;&gt;"", XLOOKUP($F454,Productos!$A$2:$A1001,Productos!S$2:S1001,"")*$G454,"")</f>
        <v/>
      </c>
      <c r="AA454" s="179" t="str">
        <f t="array" ref="AA454">IF($F454&lt;&gt;"",XLOOKUP($F454,Productos!$A:$A,Productos!T:T,"Revisar"),"")</f>
        <v/>
      </c>
      <c r="AB454" s="179" t="str">
        <f t="array" ref="AB454">IF($F454&lt;&gt;"", XLOOKUP($F454,Productos!$A$2:$A1001,Productos!U$2:U1001,"")*$G454,"")</f>
        <v/>
      </c>
      <c r="AC454" s="179" t="str">
        <f t="array" ref="AC454">IF($F454&lt;&gt;"",XLOOKUP($F454,Productos!$A:$A,Productos!V:V,"Revisar"),"")</f>
        <v/>
      </c>
      <c r="AD454" s="179" t="str">
        <f t="array" ref="AD454">IF($F454&lt;&gt;"", XLOOKUP($F454,Productos!$A$2:$A1001,Productos!W$2:W1001,"")*$G454,"")</f>
        <v/>
      </c>
      <c r="AE454" s="179" t="str">
        <f t="array" ref="AE454">IF($F454&lt;&gt;"",XLOOKUP($F454,Productos!$A:$A,Productos!X:X,"Revisar"),"")</f>
        <v/>
      </c>
      <c r="AF454" s="179" t="str">
        <f t="array" ref="AF454">IF($F454&lt;&gt;"", XLOOKUP($F454,Productos!$A$2:$A1001,Productos!Y$2:Y1001,"")*$G454,"")</f>
        <v/>
      </c>
      <c r="AG454" s="179" t="str">
        <f t="array" ref="AG454">IF($F454&lt;&gt;"",XLOOKUP($F454,Productos!$A:$A,Productos!Z:Z,"Revisar"),"")</f>
        <v/>
      </c>
      <c r="AH454" s="179" t="str">
        <f t="array" ref="AH454">IF($F454&lt;&gt;"", XLOOKUP($F454,Productos!$A$2:$A1001,Productos!AA$2:AA1001,"")*$G454,"")</f>
        <v/>
      </c>
      <c r="AI454" s="179" t="str">
        <f t="array" ref="AI454">IF($F454&lt;&gt;"",XLOOKUP($F454,Productos!$A:$A,Productos!AB:AB,"Revisar"),"")</f>
        <v/>
      </c>
      <c r="AJ454" s="179" t="str">
        <f t="array" ref="AJ454">IF($F454&lt;&gt;"", XLOOKUP($F454,Productos!$A$2:$A1001,Productos!AC$2:AC1001,"")*$G454,"")</f>
        <v/>
      </c>
      <c r="AK454" s="179" t="str">
        <f t="array" ref="AK454">IF($F454&lt;&gt;"",XLOOKUP($F454,Productos!$A:$A,Productos!AD:AD,"Revisar"),"")</f>
        <v/>
      </c>
      <c r="AL454" s="179" t="str">
        <f t="array" ref="AL454">IF($F454&lt;&gt;"", XLOOKUP($F454,Productos!$A$2:$A1001,Productos!AE$2:AE1001,"")*$G454,"")</f>
        <v/>
      </c>
      <c r="AM454" s="179" t="str">
        <f t="array" ref="AM454">IF($F454&lt;&gt;"",XLOOKUP($F454,Productos!$A:$A,Productos!AF:AF,"Revisar"),"")</f>
        <v/>
      </c>
      <c r="AN454" s="179" t="str">
        <f t="array" ref="AN454">IF($F454&lt;&gt;"", XLOOKUP($F454,Productos!$A$2:$A1001,Productos!AG$2:AG1001,"")*$G454,"")</f>
        <v/>
      </c>
      <c r="AO454" s="179" t="str">
        <f t="array" ref="AO454">IF($F454&lt;&gt;"",XLOOKUP($F454,Productos!$A:$A,Productos!AH:AH,"Revisar"),"")</f>
        <v/>
      </c>
      <c r="AP454" s="179" t="str">
        <f t="array" ref="AP454">IF($F454&lt;&gt;"", XLOOKUP($F454,Productos!$A$2:$A1001,Productos!AI$2:AI1001,"")*$G454,"")</f>
        <v/>
      </c>
      <c r="AQ454" s="179" t="str">
        <f t="array" ref="AQ454">IF($F454&lt;&gt;"",XLOOKUP($F454,Productos!$A:$A,Productos!AJ:AJ,"Revisar"),"")</f>
        <v/>
      </c>
      <c r="AR454" s="179" t="str">
        <f t="array" ref="AR454">IF($F454&lt;&gt;"", XLOOKUP($F454,Productos!$A$2:$A1001,Productos!AK$2:AK1001,"")*$G454,"")</f>
        <v/>
      </c>
      <c r="AS454" s="179" t="str">
        <f t="array" ref="AS454">IF($F454&lt;&gt;"",XLOOKUP($F454,Productos!$A:$A,Productos!AL:AL,"Revisar"),"")</f>
        <v/>
      </c>
      <c r="AT454" s="179" t="str">
        <f t="array" ref="AT454">IF($F454&lt;&gt;"", XLOOKUP($F454,Productos!$A$2:$A1001,Productos!AM$2:AM1001,"")*$G454,"")</f>
        <v/>
      </c>
      <c r="AU454" s="179" t="str">
        <f t="array" ref="AU454">IF($F454&lt;&gt;"",XLOOKUP($F454,Productos!$A:$A,Productos!AN:AN,"Revisar"),"")</f>
        <v/>
      </c>
      <c r="AV454" s="179" t="str">
        <f t="array" ref="AV454">IF($F454&lt;&gt;"", XLOOKUP($F454,Productos!$A$2:$A1001,Productos!AO$2:AO1001,"")*$G454,"")</f>
        <v/>
      </c>
      <c r="AW454" s="179" t="str">
        <f t="array" ref="AW454">IF($F454&lt;&gt;"",XLOOKUP($F454,Productos!$A:$A,Productos!AP:AP,"Revisar"),"")</f>
        <v/>
      </c>
      <c r="AX454" s="179" t="str">
        <f t="array" ref="AX454">IF($F454&lt;&gt;"", XLOOKUP($F454,Productos!$A$2:$A1001,Productos!AQ$2:AQ1001,"")*$G454,"")</f>
        <v/>
      </c>
      <c r="AY454" s="179" t="str">
        <f t="array" ref="AY454">IF($F454&lt;&gt;"",XLOOKUP($F454,Productos!$A:$A,Productos!AR:AR,"Revisar"),"")</f>
        <v/>
      </c>
      <c r="AZ454" s="179" t="str">
        <f t="array" ref="AZ454">IF($F454&lt;&gt;"", XLOOKUP($F454,Productos!$A$2:$A1001,Productos!AS$2:AS1001,"")*$G454,"")</f>
        <v/>
      </c>
      <c r="BA454" s="179" t="str">
        <f t="array" ref="BA454">IF($F454&lt;&gt;"",XLOOKUP($F454,Productos!$A:$A,Productos!AT:AT,"Revisar"),"")</f>
        <v/>
      </c>
      <c r="BB454" s="179" t="str">
        <f t="array" ref="BB454">IF($F454&lt;&gt;"", XLOOKUP($F454,Productos!$A$2:$A1001,Productos!AU$2:AU1001,"")*$G454,"")</f>
        <v/>
      </c>
      <c r="BC454" s="179" t="str">
        <f t="array" ref="BC454">IF($F454&lt;&gt;"",XLOOKUP($F454,Productos!$A:$A,Productos!AV:AV,"Revisar"),"")</f>
        <v/>
      </c>
      <c r="BD454" s="179" t="str">
        <f t="array" ref="BD454">IF($F454&lt;&gt;"", XLOOKUP($F454,Productos!$A$2:$A1001,Productos!AW$2:AW1001,"")*$G454,"")</f>
        <v/>
      </c>
      <c r="BE454" s="179" t="str">
        <f t="array" ref="BE454">IF($F454&lt;&gt;"",XLOOKUP($F454,Productos!$A:$A,Productos!AX:AX,"Revisar"),"")</f>
        <v/>
      </c>
      <c r="BF454" s="179" t="str">
        <f t="array" ref="BF454">IF($F454&lt;&gt;"", XLOOKUP($F454,Productos!$A$2:$A1001,Productos!AY$2:AY1001,"")*$G454,"")</f>
        <v/>
      </c>
      <c r="BG454" s="179" t="str">
        <f t="array" ref="BG454">IF($F454&lt;&gt;"",XLOOKUP($F454,Productos!$A:$A,Productos!AZ:AZ,"Revisar"),"")</f>
        <v/>
      </c>
      <c r="BH454" s="179" t="str">
        <f t="array" ref="BH454">IF($F454&lt;&gt;"", XLOOKUP($F454,Productos!$A$2:$A1001,Productos!BA$2:BA1001,"")*$G454,"")</f>
        <v/>
      </c>
      <c r="BI454" s="179" t="str">
        <f t="array" ref="BI454">IF($F454&lt;&gt;"",XLOOKUP($F454,Productos!$A:$A,Productos!BB:BB,"Revisar"),"")</f>
        <v/>
      </c>
      <c r="BJ454" s="179" t="str">
        <f t="array" ref="BJ454">IF($F454&lt;&gt;"", XLOOKUP($F454,Productos!$A$2:$A1001,Productos!BC$2:BC1001,"")*$G454,"")</f>
        <v/>
      </c>
      <c r="BK454" s="179" t="str">
        <f t="array" ref="BK454">IF($F454&lt;&gt;"",XLOOKUP($F454,Productos!$A:$A,Productos!BD:BD,"Revisar"),"")</f>
        <v/>
      </c>
      <c r="BL454" s="179" t="str">
        <f t="array" ref="BL454">IF($F454&lt;&gt;"", XLOOKUP($F454,Productos!$A$2:$A1001,Productos!BE$2:BE1001,"")*$G454,"")</f>
        <v/>
      </c>
      <c r="BM454" s="179" t="str">
        <f t="array" ref="BM454">IF($F454&lt;&gt;"",XLOOKUP($F454,Productos!$A:$A,Productos!BF:BF,"Revisar"),"")</f>
        <v/>
      </c>
      <c r="BN454" s="179" t="str">
        <f t="array" ref="BN454">IF($F454&lt;&gt;"", XLOOKUP($F454,Productos!$A$2:$A1001,Productos!BG$2:BG1001,"")*$G454,"")</f>
        <v/>
      </c>
      <c r="BO454" s="179" t="str">
        <f t="array" ref="BO454">IF($F454&lt;&gt;"",XLOOKUP($F454,Productos!$A:$A,Productos!BH:BH,"Revisar"),"")</f>
        <v/>
      </c>
      <c r="BP454" s="179" t="str">
        <f t="array" ref="BP454">IF($F454&lt;&gt;"", XLOOKUP($F454,Productos!$A$2:$A1001,Productos!BI$2:BI1001,"")*$G454,"")</f>
        <v/>
      </c>
      <c r="BQ454" s="179" t="str">
        <f t="array" ref="BQ454">IF($F454&lt;&gt;"",XLOOKUP($F454,Productos!$A:$A,Productos!BJ:BJ,"Revisar"),"")</f>
        <v/>
      </c>
      <c r="BR454" s="179" t="str">
        <f t="array" ref="BR454">IF($F454&lt;&gt;"", XLOOKUP($F454,Productos!$A$2:$A1001,Productos!BK$2:BK1001,"")*$G454,"")</f>
        <v/>
      </c>
      <c r="BS454" s="179" t="str">
        <f t="array" ref="BS454">IF($F454&lt;&gt;"",XLOOKUP($F454,Productos!$A:$A,Productos!BL:BL,"Revisar"),"")</f>
        <v/>
      </c>
      <c r="BT454" s="179" t="str">
        <f t="array" ref="BT454">IF($F454&lt;&gt;"", XLOOKUP($F454,Productos!$A$2:$A1001,Productos!BM$2:BM1001,"")*$G454,"")</f>
        <v/>
      </c>
      <c r="BU454" s="179" t="str">
        <f t="array" ref="BU454">IF($F454&lt;&gt;"",XLOOKUP($F454,Productos!$A:$A,Productos!BN:BN,"Revisar"),"")</f>
        <v/>
      </c>
      <c r="BV454" s="179" t="str">
        <f t="array" ref="BV454">IF($F454&lt;&gt;"", XLOOKUP($F454,Productos!$A$2:$A1001,Productos!BO$2:BO1001,"")*$G454,"")</f>
        <v/>
      </c>
      <c r="BW454" s="179" t="str">
        <f t="array" ref="BW454">IF($F454&lt;&gt;"",XLOOKUP($F454,Productos!$A:$A,Productos!BP:BP,"Revisar"),"")</f>
        <v/>
      </c>
      <c r="BX454" s="179" t="str">
        <f t="array" ref="BX454">IF($F454&lt;&gt;"", XLOOKUP($F454,Productos!$A$2:$A1001,Productos!BQ$2:BQ1001,"")*$G454,"")</f>
        <v/>
      </c>
      <c r="BY454" s="179" t="str">
        <f t="array" ref="BY454">IF($F454&lt;&gt;"",XLOOKUP($F454,Productos!$A:$A,Productos!BR:BR,"Revisar"),"")</f>
        <v/>
      </c>
      <c r="BZ454" s="179" t="str">
        <f t="array" ref="BZ454">IF($F454&lt;&gt;"", XLOOKUP($F454,Productos!$A$2:$A1001,Productos!BS$2:BS1001,"")*$G454,"")</f>
        <v/>
      </c>
    </row>
    <row r="455">
      <c r="A455" s="188"/>
      <c r="B455" s="189"/>
      <c r="C455" s="190"/>
      <c r="D455" s="190"/>
      <c r="E455" s="191"/>
      <c r="F455" s="186"/>
      <c r="G455" s="192"/>
      <c r="H455" s="9"/>
      <c r="I455" s="179" t="str">
        <f t="array" ref="I455">IF($F455&lt;&gt;"",XLOOKUP($F455,Productos!$A:$A,Productos!B:B,"Revisar"),"")</f>
        <v/>
      </c>
      <c r="J455" s="179" t="str">
        <f t="array" ref="J455">IF($F455&lt;&gt;"", XLOOKUP($F455,Productos!$A$2:$A1001,Productos!C$2:C1001,"")*$G455,"")</f>
        <v/>
      </c>
      <c r="K455" s="179" t="str">
        <f t="array" ref="K455">IF($F455&lt;&gt;"",XLOOKUP($F455,Productos!$A:$A,Productos!D:D,"Revisar"),"")</f>
        <v/>
      </c>
      <c r="L455" s="179" t="str">
        <f t="array" ref="L455">IF($F455&lt;&gt;"", XLOOKUP($F455,Productos!$A$2:$A1001,Productos!E$2:E1001,"")*$G455,"")</f>
        <v/>
      </c>
      <c r="M455" s="179" t="str">
        <f t="array" ref="M455">IF($F455&lt;&gt;"",XLOOKUP($F455,Productos!$A:$A,Productos!F:F,"Revisar"),"")</f>
        <v/>
      </c>
      <c r="N455" s="179" t="str">
        <f t="array" ref="N455">IF($F455&lt;&gt;"", XLOOKUP($F455,Productos!$A$2:$A1001,Productos!G$2:G1001,"")*$G455,"")</f>
        <v/>
      </c>
      <c r="O455" s="179" t="str">
        <f t="array" ref="O455">IF($F455&lt;&gt;"",XLOOKUP($F455,Productos!$A:$A,Productos!H:H,"Revisar"),"")</f>
        <v/>
      </c>
      <c r="P455" s="179" t="str">
        <f t="array" ref="P455">IF($F455&lt;&gt;"", XLOOKUP($F455,Productos!$A$2:$A1001,Productos!I$2:I1001,"")*$G455,"")</f>
        <v/>
      </c>
      <c r="Q455" s="179" t="str">
        <f t="array" ref="Q455">IF($F455&lt;&gt;"",XLOOKUP($F455,Productos!$A:$A,Productos!J:J,"Revisar"),"")</f>
        <v/>
      </c>
      <c r="R455" s="179" t="str">
        <f t="array" ref="R455">IF($F455&lt;&gt;"", XLOOKUP($F455,Productos!$A$2:$A1001,Productos!K$2:K1001,"")*$G455,"")</f>
        <v/>
      </c>
      <c r="S455" s="179" t="str">
        <f t="array" ref="S455">IF($F455&lt;&gt;"",XLOOKUP($F455,Productos!$A:$A,Productos!L:L,"Revisar"),"")</f>
        <v/>
      </c>
      <c r="T455" s="179" t="str">
        <f t="array" ref="T455">IF($F455&lt;&gt;"", XLOOKUP($F455,Productos!$A$2:$A1001,Productos!M$2:M1001,"")*$G455,"")</f>
        <v/>
      </c>
      <c r="U455" s="179" t="str">
        <f t="array" ref="U455">IF($F455&lt;&gt;"",XLOOKUP($F455,Productos!$A:$A,Productos!N:N,"Revisar"),"")</f>
        <v/>
      </c>
      <c r="V455" s="179" t="str">
        <f t="array" ref="V455">IF($F455&lt;&gt;"", XLOOKUP($F455,Productos!$A$2:$A1001,Productos!O$2:O1001,"")*$G455,"")</f>
        <v/>
      </c>
      <c r="W455" s="179" t="str">
        <f t="array" ref="W455">IF($F455&lt;&gt;"",XLOOKUP($F455,Productos!$A:$A,Productos!P:P,"Revisar"),"")</f>
        <v/>
      </c>
      <c r="X455" s="179" t="str">
        <f t="array" ref="X455">IF($F455&lt;&gt;"", XLOOKUP($F455,Productos!$A$2:$A1001,Productos!Q$2:Q1001,"")*$G455,"")</f>
        <v/>
      </c>
      <c r="Y455" s="179" t="str">
        <f t="array" ref="Y455">IF($F455&lt;&gt;"",XLOOKUP($F455,Productos!$A:$A,Productos!R:R,"Revisar"),"")</f>
        <v/>
      </c>
      <c r="Z455" s="179" t="str">
        <f t="array" ref="Z455">IF($F455&lt;&gt;"", XLOOKUP($F455,Productos!$A$2:$A1001,Productos!S$2:S1001,"")*$G455,"")</f>
        <v/>
      </c>
      <c r="AA455" s="179" t="str">
        <f t="array" ref="AA455">IF($F455&lt;&gt;"",XLOOKUP($F455,Productos!$A:$A,Productos!T:T,"Revisar"),"")</f>
        <v/>
      </c>
      <c r="AB455" s="179" t="str">
        <f t="array" ref="AB455">IF($F455&lt;&gt;"", XLOOKUP($F455,Productos!$A$2:$A1001,Productos!U$2:U1001,"")*$G455,"")</f>
        <v/>
      </c>
      <c r="AC455" s="179" t="str">
        <f t="array" ref="AC455">IF($F455&lt;&gt;"",XLOOKUP($F455,Productos!$A:$A,Productos!V:V,"Revisar"),"")</f>
        <v/>
      </c>
      <c r="AD455" s="179" t="str">
        <f t="array" ref="AD455">IF($F455&lt;&gt;"", XLOOKUP($F455,Productos!$A$2:$A1001,Productos!W$2:W1001,"")*$G455,"")</f>
        <v/>
      </c>
      <c r="AE455" s="179" t="str">
        <f t="array" ref="AE455">IF($F455&lt;&gt;"",XLOOKUP($F455,Productos!$A:$A,Productos!X:X,"Revisar"),"")</f>
        <v/>
      </c>
      <c r="AF455" s="179" t="str">
        <f t="array" ref="AF455">IF($F455&lt;&gt;"", XLOOKUP($F455,Productos!$A$2:$A1001,Productos!Y$2:Y1001,"")*$G455,"")</f>
        <v/>
      </c>
      <c r="AG455" s="179" t="str">
        <f t="array" ref="AG455">IF($F455&lt;&gt;"",XLOOKUP($F455,Productos!$A:$A,Productos!Z:Z,"Revisar"),"")</f>
        <v/>
      </c>
      <c r="AH455" s="179" t="str">
        <f t="array" ref="AH455">IF($F455&lt;&gt;"", XLOOKUP($F455,Productos!$A$2:$A1001,Productos!AA$2:AA1001,"")*$G455,"")</f>
        <v/>
      </c>
      <c r="AI455" s="179" t="str">
        <f t="array" ref="AI455">IF($F455&lt;&gt;"",XLOOKUP($F455,Productos!$A:$A,Productos!AB:AB,"Revisar"),"")</f>
        <v/>
      </c>
      <c r="AJ455" s="179" t="str">
        <f t="array" ref="AJ455">IF($F455&lt;&gt;"", XLOOKUP($F455,Productos!$A$2:$A1001,Productos!AC$2:AC1001,"")*$G455,"")</f>
        <v/>
      </c>
      <c r="AK455" s="179" t="str">
        <f t="array" ref="AK455">IF($F455&lt;&gt;"",XLOOKUP($F455,Productos!$A:$A,Productos!AD:AD,"Revisar"),"")</f>
        <v/>
      </c>
      <c r="AL455" s="179" t="str">
        <f t="array" ref="AL455">IF($F455&lt;&gt;"", XLOOKUP($F455,Productos!$A$2:$A1001,Productos!AE$2:AE1001,"")*$G455,"")</f>
        <v/>
      </c>
      <c r="AM455" s="179" t="str">
        <f t="array" ref="AM455">IF($F455&lt;&gt;"",XLOOKUP($F455,Productos!$A:$A,Productos!AF:AF,"Revisar"),"")</f>
        <v/>
      </c>
      <c r="AN455" s="179" t="str">
        <f t="array" ref="AN455">IF($F455&lt;&gt;"", XLOOKUP($F455,Productos!$A$2:$A1001,Productos!AG$2:AG1001,"")*$G455,"")</f>
        <v/>
      </c>
      <c r="AO455" s="179" t="str">
        <f t="array" ref="AO455">IF($F455&lt;&gt;"",XLOOKUP($F455,Productos!$A:$A,Productos!AH:AH,"Revisar"),"")</f>
        <v/>
      </c>
      <c r="AP455" s="179" t="str">
        <f t="array" ref="AP455">IF($F455&lt;&gt;"", XLOOKUP($F455,Productos!$A$2:$A1001,Productos!AI$2:AI1001,"")*$G455,"")</f>
        <v/>
      </c>
      <c r="AQ455" s="179" t="str">
        <f t="array" ref="AQ455">IF($F455&lt;&gt;"",XLOOKUP($F455,Productos!$A:$A,Productos!AJ:AJ,"Revisar"),"")</f>
        <v/>
      </c>
      <c r="AR455" s="179" t="str">
        <f t="array" ref="AR455">IF($F455&lt;&gt;"", XLOOKUP($F455,Productos!$A$2:$A1001,Productos!AK$2:AK1001,"")*$G455,"")</f>
        <v/>
      </c>
      <c r="AS455" s="179" t="str">
        <f t="array" ref="AS455">IF($F455&lt;&gt;"",XLOOKUP($F455,Productos!$A:$A,Productos!AL:AL,"Revisar"),"")</f>
        <v/>
      </c>
      <c r="AT455" s="179" t="str">
        <f t="array" ref="AT455">IF($F455&lt;&gt;"", XLOOKUP($F455,Productos!$A$2:$A1001,Productos!AM$2:AM1001,"")*$G455,"")</f>
        <v/>
      </c>
      <c r="AU455" s="179" t="str">
        <f t="array" ref="AU455">IF($F455&lt;&gt;"",XLOOKUP($F455,Productos!$A:$A,Productos!AN:AN,"Revisar"),"")</f>
        <v/>
      </c>
      <c r="AV455" s="179" t="str">
        <f t="array" ref="AV455">IF($F455&lt;&gt;"", XLOOKUP($F455,Productos!$A$2:$A1001,Productos!AO$2:AO1001,"")*$G455,"")</f>
        <v/>
      </c>
      <c r="AW455" s="179" t="str">
        <f t="array" ref="AW455">IF($F455&lt;&gt;"",XLOOKUP($F455,Productos!$A:$A,Productos!AP:AP,"Revisar"),"")</f>
        <v/>
      </c>
      <c r="AX455" s="179" t="str">
        <f t="array" ref="AX455">IF($F455&lt;&gt;"", XLOOKUP($F455,Productos!$A$2:$A1001,Productos!AQ$2:AQ1001,"")*$G455,"")</f>
        <v/>
      </c>
      <c r="AY455" s="179" t="str">
        <f t="array" ref="AY455">IF($F455&lt;&gt;"",XLOOKUP($F455,Productos!$A:$A,Productos!AR:AR,"Revisar"),"")</f>
        <v/>
      </c>
      <c r="AZ455" s="179" t="str">
        <f t="array" ref="AZ455">IF($F455&lt;&gt;"", XLOOKUP($F455,Productos!$A$2:$A1001,Productos!AS$2:AS1001,"")*$G455,"")</f>
        <v/>
      </c>
      <c r="BA455" s="179" t="str">
        <f t="array" ref="BA455">IF($F455&lt;&gt;"",XLOOKUP($F455,Productos!$A:$A,Productos!AT:AT,"Revisar"),"")</f>
        <v/>
      </c>
      <c r="BB455" s="179" t="str">
        <f t="array" ref="BB455">IF($F455&lt;&gt;"", XLOOKUP($F455,Productos!$A$2:$A1001,Productos!AU$2:AU1001,"")*$G455,"")</f>
        <v/>
      </c>
      <c r="BC455" s="179" t="str">
        <f t="array" ref="BC455">IF($F455&lt;&gt;"",XLOOKUP($F455,Productos!$A:$A,Productos!AV:AV,"Revisar"),"")</f>
        <v/>
      </c>
      <c r="BD455" s="179" t="str">
        <f t="array" ref="BD455">IF($F455&lt;&gt;"", XLOOKUP($F455,Productos!$A$2:$A1001,Productos!AW$2:AW1001,"")*$G455,"")</f>
        <v/>
      </c>
      <c r="BE455" s="179" t="str">
        <f t="array" ref="BE455">IF($F455&lt;&gt;"",XLOOKUP($F455,Productos!$A:$A,Productos!AX:AX,"Revisar"),"")</f>
        <v/>
      </c>
      <c r="BF455" s="179" t="str">
        <f t="array" ref="BF455">IF($F455&lt;&gt;"", XLOOKUP($F455,Productos!$A$2:$A1001,Productos!AY$2:AY1001,"")*$G455,"")</f>
        <v/>
      </c>
      <c r="BG455" s="179" t="str">
        <f t="array" ref="BG455">IF($F455&lt;&gt;"",XLOOKUP($F455,Productos!$A:$A,Productos!AZ:AZ,"Revisar"),"")</f>
        <v/>
      </c>
      <c r="BH455" s="179" t="str">
        <f t="array" ref="BH455">IF($F455&lt;&gt;"", XLOOKUP($F455,Productos!$A$2:$A1001,Productos!BA$2:BA1001,"")*$G455,"")</f>
        <v/>
      </c>
      <c r="BI455" s="179" t="str">
        <f t="array" ref="BI455">IF($F455&lt;&gt;"",XLOOKUP($F455,Productos!$A:$A,Productos!BB:BB,"Revisar"),"")</f>
        <v/>
      </c>
      <c r="BJ455" s="179" t="str">
        <f t="array" ref="BJ455">IF($F455&lt;&gt;"", XLOOKUP($F455,Productos!$A$2:$A1001,Productos!BC$2:BC1001,"")*$G455,"")</f>
        <v/>
      </c>
      <c r="BK455" s="179" t="str">
        <f t="array" ref="BK455">IF($F455&lt;&gt;"",XLOOKUP($F455,Productos!$A:$A,Productos!BD:BD,"Revisar"),"")</f>
        <v/>
      </c>
      <c r="BL455" s="179" t="str">
        <f t="array" ref="BL455">IF($F455&lt;&gt;"", XLOOKUP($F455,Productos!$A$2:$A1001,Productos!BE$2:BE1001,"")*$G455,"")</f>
        <v/>
      </c>
      <c r="BM455" s="179" t="str">
        <f t="array" ref="BM455">IF($F455&lt;&gt;"",XLOOKUP($F455,Productos!$A:$A,Productos!BF:BF,"Revisar"),"")</f>
        <v/>
      </c>
      <c r="BN455" s="179" t="str">
        <f t="array" ref="BN455">IF($F455&lt;&gt;"", XLOOKUP($F455,Productos!$A$2:$A1001,Productos!BG$2:BG1001,"")*$G455,"")</f>
        <v/>
      </c>
      <c r="BO455" s="179" t="str">
        <f t="array" ref="BO455">IF($F455&lt;&gt;"",XLOOKUP($F455,Productos!$A:$A,Productos!BH:BH,"Revisar"),"")</f>
        <v/>
      </c>
      <c r="BP455" s="179" t="str">
        <f t="array" ref="BP455">IF($F455&lt;&gt;"", XLOOKUP($F455,Productos!$A$2:$A1001,Productos!BI$2:BI1001,"")*$G455,"")</f>
        <v/>
      </c>
      <c r="BQ455" s="179" t="str">
        <f t="array" ref="BQ455">IF($F455&lt;&gt;"",XLOOKUP($F455,Productos!$A:$A,Productos!BJ:BJ,"Revisar"),"")</f>
        <v/>
      </c>
      <c r="BR455" s="179" t="str">
        <f t="array" ref="BR455">IF($F455&lt;&gt;"", XLOOKUP($F455,Productos!$A$2:$A1001,Productos!BK$2:BK1001,"")*$G455,"")</f>
        <v/>
      </c>
      <c r="BS455" s="179" t="str">
        <f t="array" ref="BS455">IF($F455&lt;&gt;"",XLOOKUP($F455,Productos!$A:$A,Productos!BL:BL,"Revisar"),"")</f>
        <v/>
      </c>
      <c r="BT455" s="179" t="str">
        <f t="array" ref="BT455">IF($F455&lt;&gt;"", XLOOKUP($F455,Productos!$A$2:$A1001,Productos!BM$2:BM1001,"")*$G455,"")</f>
        <v/>
      </c>
      <c r="BU455" s="179" t="str">
        <f t="array" ref="BU455">IF($F455&lt;&gt;"",XLOOKUP($F455,Productos!$A:$A,Productos!BN:BN,"Revisar"),"")</f>
        <v/>
      </c>
      <c r="BV455" s="179" t="str">
        <f t="array" ref="BV455">IF($F455&lt;&gt;"", XLOOKUP($F455,Productos!$A$2:$A1001,Productos!BO$2:BO1001,"")*$G455,"")</f>
        <v/>
      </c>
      <c r="BW455" s="179" t="str">
        <f t="array" ref="BW455">IF($F455&lt;&gt;"",XLOOKUP($F455,Productos!$A:$A,Productos!BP:BP,"Revisar"),"")</f>
        <v/>
      </c>
      <c r="BX455" s="179" t="str">
        <f t="array" ref="BX455">IF($F455&lt;&gt;"", XLOOKUP($F455,Productos!$A$2:$A1001,Productos!BQ$2:BQ1001,"")*$G455,"")</f>
        <v/>
      </c>
      <c r="BY455" s="179" t="str">
        <f t="array" ref="BY455">IF($F455&lt;&gt;"",XLOOKUP($F455,Productos!$A:$A,Productos!BR:BR,"Revisar"),"")</f>
        <v/>
      </c>
      <c r="BZ455" s="179" t="str">
        <f t="array" ref="BZ455">IF($F455&lt;&gt;"", XLOOKUP($F455,Productos!$A$2:$A1001,Productos!BS$2:BS1001,"")*$G455,"")</f>
        <v/>
      </c>
    </row>
    <row r="456">
      <c r="A456" s="188"/>
      <c r="B456" s="189"/>
      <c r="C456" s="190"/>
      <c r="D456" s="190"/>
      <c r="E456" s="191"/>
      <c r="F456" s="186"/>
      <c r="G456" s="192"/>
      <c r="H456" s="9"/>
      <c r="I456" s="179" t="str">
        <f t="array" ref="I456">IF($F456&lt;&gt;"",XLOOKUP($F456,Productos!$A:$A,Productos!B:B,"Revisar"),"")</f>
        <v/>
      </c>
      <c r="J456" s="179" t="str">
        <f t="array" ref="J456">IF($F456&lt;&gt;"", XLOOKUP($F456,Productos!$A$2:$A1001,Productos!C$2:C1001,"")*$G456,"")</f>
        <v/>
      </c>
      <c r="K456" s="179" t="str">
        <f t="array" ref="K456">IF($F456&lt;&gt;"",XLOOKUP($F456,Productos!$A:$A,Productos!D:D,"Revisar"),"")</f>
        <v/>
      </c>
      <c r="L456" s="179" t="str">
        <f t="array" ref="L456">IF($F456&lt;&gt;"", XLOOKUP($F456,Productos!$A$2:$A1001,Productos!E$2:E1001,"")*$G456,"")</f>
        <v/>
      </c>
      <c r="M456" s="179" t="str">
        <f t="array" ref="M456">IF($F456&lt;&gt;"",XLOOKUP($F456,Productos!$A:$A,Productos!F:F,"Revisar"),"")</f>
        <v/>
      </c>
      <c r="N456" s="179" t="str">
        <f t="array" ref="N456">IF($F456&lt;&gt;"", XLOOKUP($F456,Productos!$A$2:$A1001,Productos!G$2:G1001,"")*$G456,"")</f>
        <v/>
      </c>
      <c r="O456" s="179" t="str">
        <f t="array" ref="O456">IF($F456&lt;&gt;"",XLOOKUP($F456,Productos!$A:$A,Productos!H:H,"Revisar"),"")</f>
        <v/>
      </c>
      <c r="P456" s="179" t="str">
        <f t="array" ref="P456">IF($F456&lt;&gt;"", XLOOKUP($F456,Productos!$A$2:$A1001,Productos!I$2:I1001,"")*$G456,"")</f>
        <v/>
      </c>
      <c r="Q456" s="179" t="str">
        <f t="array" ref="Q456">IF($F456&lt;&gt;"",XLOOKUP($F456,Productos!$A:$A,Productos!J:J,"Revisar"),"")</f>
        <v/>
      </c>
      <c r="R456" s="179" t="str">
        <f t="array" ref="R456">IF($F456&lt;&gt;"", XLOOKUP($F456,Productos!$A$2:$A1001,Productos!K$2:K1001,"")*$G456,"")</f>
        <v/>
      </c>
      <c r="S456" s="179" t="str">
        <f t="array" ref="S456">IF($F456&lt;&gt;"",XLOOKUP($F456,Productos!$A:$A,Productos!L:L,"Revisar"),"")</f>
        <v/>
      </c>
      <c r="T456" s="179" t="str">
        <f t="array" ref="T456">IF($F456&lt;&gt;"", XLOOKUP($F456,Productos!$A$2:$A1001,Productos!M$2:M1001,"")*$G456,"")</f>
        <v/>
      </c>
      <c r="U456" s="179" t="str">
        <f t="array" ref="U456">IF($F456&lt;&gt;"",XLOOKUP($F456,Productos!$A:$A,Productos!N:N,"Revisar"),"")</f>
        <v/>
      </c>
      <c r="V456" s="179" t="str">
        <f t="array" ref="V456">IF($F456&lt;&gt;"", XLOOKUP($F456,Productos!$A$2:$A1001,Productos!O$2:O1001,"")*$G456,"")</f>
        <v/>
      </c>
      <c r="W456" s="179" t="str">
        <f t="array" ref="W456">IF($F456&lt;&gt;"",XLOOKUP($F456,Productos!$A:$A,Productos!P:P,"Revisar"),"")</f>
        <v/>
      </c>
      <c r="X456" s="179" t="str">
        <f t="array" ref="X456">IF($F456&lt;&gt;"", XLOOKUP($F456,Productos!$A$2:$A1001,Productos!Q$2:Q1001,"")*$G456,"")</f>
        <v/>
      </c>
      <c r="Y456" s="179" t="str">
        <f t="array" ref="Y456">IF($F456&lt;&gt;"",XLOOKUP($F456,Productos!$A:$A,Productos!R:R,"Revisar"),"")</f>
        <v/>
      </c>
      <c r="Z456" s="179" t="str">
        <f t="array" ref="Z456">IF($F456&lt;&gt;"", XLOOKUP($F456,Productos!$A$2:$A1001,Productos!S$2:S1001,"")*$G456,"")</f>
        <v/>
      </c>
      <c r="AA456" s="179" t="str">
        <f t="array" ref="AA456">IF($F456&lt;&gt;"",XLOOKUP($F456,Productos!$A:$A,Productos!T:T,"Revisar"),"")</f>
        <v/>
      </c>
      <c r="AB456" s="179" t="str">
        <f t="array" ref="AB456">IF($F456&lt;&gt;"", XLOOKUP($F456,Productos!$A$2:$A1001,Productos!U$2:U1001,"")*$G456,"")</f>
        <v/>
      </c>
      <c r="AC456" s="179" t="str">
        <f t="array" ref="AC456">IF($F456&lt;&gt;"",XLOOKUP($F456,Productos!$A:$A,Productos!V:V,"Revisar"),"")</f>
        <v/>
      </c>
      <c r="AD456" s="179" t="str">
        <f t="array" ref="AD456">IF($F456&lt;&gt;"", XLOOKUP($F456,Productos!$A$2:$A1001,Productos!W$2:W1001,"")*$G456,"")</f>
        <v/>
      </c>
      <c r="AE456" s="179" t="str">
        <f t="array" ref="AE456">IF($F456&lt;&gt;"",XLOOKUP($F456,Productos!$A:$A,Productos!X:X,"Revisar"),"")</f>
        <v/>
      </c>
      <c r="AF456" s="179" t="str">
        <f t="array" ref="AF456">IF($F456&lt;&gt;"", XLOOKUP($F456,Productos!$A$2:$A1001,Productos!Y$2:Y1001,"")*$G456,"")</f>
        <v/>
      </c>
      <c r="AG456" s="179" t="str">
        <f t="array" ref="AG456">IF($F456&lt;&gt;"",XLOOKUP($F456,Productos!$A:$A,Productos!Z:Z,"Revisar"),"")</f>
        <v/>
      </c>
      <c r="AH456" s="179" t="str">
        <f t="array" ref="AH456">IF($F456&lt;&gt;"", XLOOKUP($F456,Productos!$A$2:$A1001,Productos!AA$2:AA1001,"")*$G456,"")</f>
        <v/>
      </c>
      <c r="AI456" s="179" t="str">
        <f t="array" ref="AI456">IF($F456&lt;&gt;"",XLOOKUP($F456,Productos!$A:$A,Productos!AB:AB,"Revisar"),"")</f>
        <v/>
      </c>
      <c r="AJ456" s="179" t="str">
        <f t="array" ref="AJ456">IF($F456&lt;&gt;"", XLOOKUP($F456,Productos!$A$2:$A1001,Productos!AC$2:AC1001,"")*$G456,"")</f>
        <v/>
      </c>
      <c r="AK456" s="179" t="str">
        <f t="array" ref="AK456">IF($F456&lt;&gt;"",XLOOKUP($F456,Productos!$A:$A,Productos!AD:AD,"Revisar"),"")</f>
        <v/>
      </c>
      <c r="AL456" s="179" t="str">
        <f t="array" ref="AL456">IF($F456&lt;&gt;"", XLOOKUP($F456,Productos!$A$2:$A1001,Productos!AE$2:AE1001,"")*$G456,"")</f>
        <v/>
      </c>
      <c r="AM456" s="179" t="str">
        <f t="array" ref="AM456">IF($F456&lt;&gt;"",XLOOKUP($F456,Productos!$A:$A,Productos!AF:AF,"Revisar"),"")</f>
        <v/>
      </c>
      <c r="AN456" s="179" t="str">
        <f t="array" ref="AN456">IF($F456&lt;&gt;"", XLOOKUP($F456,Productos!$A$2:$A1001,Productos!AG$2:AG1001,"")*$G456,"")</f>
        <v/>
      </c>
      <c r="AO456" s="179" t="str">
        <f t="array" ref="AO456">IF($F456&lt;&gt;"",XLOOKUP($F456,Productos!$A:$A,Productos!AH:AH,"Revisar"),"")</f>
        <v/>
      </c>
      <c r="AP456" s="179" t="str">
        <f t="array" ref="AP456">IF($F456&lt;&gt;"", XLOOKUP($F456,Productos!$A$2:$A1001,Productos!AI$2:AI1001,"")*$G456,"")</f>
        <v/>
      </c>
      <c r="AQ456" s="179" t="str">
        <f t="array" ref="AQ456">IF($F456&lt;&gt;"",XLOOKUP($F456,Productos!$A:$A,Productos!AJ:AJ,"Revisar"),"")</f>
        <v/>
      </c>
      <c r="AR456" s="179" t="str">
        <f t="array" ref="AR456">IF($F456&lt;&gt;"", XLOOKUP($F456,Productos!$A$2:$A1001,Productos!AK$2:AK1001,"")*$G456,"")</f>
        <v/>
      </c>
      <c r="AS456" s="179" t="str">
        <f t="array" ref="AS456">IF($F456&lt;&gt;"",XLOOKUP($F456,Productos!$A:$A,Productos!AL:AL,"Revisar"),"")</f>
        <v/>
      </c>
      <c r="AT456" s="179" t="str">
        <f t="array" ref="AT456">IF($F456&lt;&gt;"", XLOOKUP($F456,Productos!$A$2:$A1001,Productos!AM$2:AM1001,"")*$G456,"")</f>
        <v/>
      </c>
      <c r="AU456" s="179" t="str">
        <f t="array" ref="AU456">IF($F456&lt;&gt;"",XLOOKUP($F456,Productos!$A:$A,Productos!AN:AN,"Revisar"),"")</f>
        <v/>
      </c>
      <c r="AV456" s="179" t="str">
        <f t="array" ref="AV456">IF($F456&lt;&gt;"", XLOOKUP($F456,Productos!$A$2:$A1001,Productos!AO$2:AO1001,"")*$G456,"")</f>
        <v/>
      </c>
      <c r="AW456" s="179" t="str">
        <f t="array" ref="AW456">IF($F456&lt;&gt;"",XLOOKUP($F456,Productos!$A:$A,Productos!AP:AP,"Revisar"),"")</f>
        <v/>
      </c>
      <c r="AX456" s="179" t="str">
        <f t="array" ref="AX456">IF($F456&lt;&gt;"", XLOOKUP($F456,Productos!$A$2:$A1001,Productos!AQ$2:AQ1001,"")*$G456,"")</f>
        <v/>
      </c>
      <c r="AY456" s="179" t="str">
        <f t="array" ref="AY456">IF($F456&lt;&gt;"",XLOOKUP($F456,Productos!$A:$A,Productos!AR:AR,"Revisar"),"")</f>
        <v/>
      </c>
      <c r="AZ456" s="179" t="str">
        <f t="array" ref="AZ456">IF($F456&lt;&gt;"", XLOOKUP($F456,Productos!$A$2:$A1001,Productos!AS$2:AS1001,"")*$G456,"")</f>
        <v/>
      </c>
      <c r="BA456" s="179" t="str">
        <f t="array" ref="BA456">IF($F456&lt;&gt;"",XLOOKUP($F456,Productos!$A:$A,Productos!AT:AT,"Revisar"),"")</f>
        <v/>
      </c>
      <c r="BB456" s="179" t="str">
        <f t="array" ref="BB456">IF($F456&lt;&gt;"", XLOOKUP($F456,Productos!$A$2:$A1001,Productos!AU$2:AU1001,"")*$G456,"")</f>
        <v/>
      </c>
      <c r="BC456" s="179" t="str">
        <f t="array" ref="BC456">IF($F456&lt;&gt;"",XLOOKUP($F456,Productos!$A:$A,Productos!AV:AV,"Revisar"),"")</f>
        <v/>
      </c>
      <c r="BD456" s="179" t="str">
        <f t="array" ref="BD456">IF($F456&lt;&gt;"", XLOOKUP($F456,Productos!$A$2:$A1001,Productos!AW$2:AW1001,"")*$G456,"")</f>
        <v/>
      </c>
      <c r="BE456" s="179" t="str">
        <f t="array" ref="BE456">IF($F456&lt;&gt;"",XLOOKUP($F456,Productos!$A:$A,Productos!AX:AX,"Revisar"),"")</f>
        <v/>
      </c>
      <c r="BF456" s="179" t="str">
        <f t="array" ref="BF456">IF($F456&lt;&gt;"", XLOOKUP($F456,Productos!$A$2:$A1001,Productos!AY$2:AY1001,"")*$G456,"")</f>
        <v/>
      </c>
      <c r="BG456" s="179" t="str">
        <f t="array" ref="BG456">IF($F456&lt;&gt;"",XLOOKUP($F456,Productos!$A:$A,Productos!AZ:AZ,"Revisar"),"")</f>
        <v/>
      </c>
      <c r="BH456" s="179" t="str">
        <f t="array" ref="BH456">IF($F456&lt;&gt;"", XLOOKUP($F456,Productos!$A$2:$A1001,Productos!BA$2:BA1001,"")*$G456,"")</f>
        <v/>
      </c>
      <c r="BI456" s="179" t="str">
        <f t="array" ref="BI456">IF($F456&lt;&gt;"",XLOOKUP($F456,Productos!$A:$A,Productos!BB:BB,"Revisar"),"")</f>
        <v/>
      </c>
      <c r="BJ456" s="179" t="str">
        <f t="array" ref="BJ456">IF($F456&lt;&gt;"", XLOOKUP($F456,Productos!$A$2:$A1001,Productos!BC$2:BC1001,"")*$G456,"")</f>
        <v/>
      </c>
      <c r="BK456" s="179" t="str">
        <f t="array" ref="BK456">IF($F456&lt;&gt;"",XLOOKUP($F456,Productos!$A:$A,Productos!BD:BD,"Revisar"),"")</f>
        <v/>
      </c>
      <c r="BL456" s="179" t="str">
        <f t="array" ref="BL456">IF($F456&lt;&gt;"", XLOOKUP($F456,Productos!$A$2:$A1001,Productos!BE$2:BE1001,"")*$G456,"")</f>
        <v/>
      </c>
      <c r="BM456" s="179" t="str">
        <f t="array" ref="BM456">IF($F456&lt;&gt;"",XLOOKUP($F456,Productos!$A:$A,Productos!BF:BF,"Revisar"),"")</f>
        <v/>
      </c>
      <c r="BN456" s="179" t="str">
        <f t="array" ref="BN456">IF($F456&lt;&gt;"", XLOOKUP($F456,Productos!$A$2:$A1001,Productos!BG$2:BG1001,"")*$G456,"")</f>
        <v/>
      </c>
      <c r="BO456" s="179" t="str">
        <f t="array" ref="BO456">IF($F456&lt;&gt;"",XLOOKUP($F456,Productos!$A:$A,Productos!BH:BH,"Revisar"),"")</f>
        <v/>
      </c>
      <c r="BP456" s="179" t="str">
        <f t="array" ref="BP456">IF($F456&lt;&gt;"", XLOOKUP($F456,Productos!$A$2:$A1001,Productos!BI$2:BI1001,"")*$G456,"")</f>
        <v/>
      </c>
      <c r="BQ456" s="179" t="str">
        <f t="array" ref="BQ456">IF($F456&lt;&gt;"",XLOOKUP($F456,Productos!$A:$A,Productos!BJ:BJ,"Revisar"),"")</f>
        <v/>
      </c>
      <c r="BR456" s="179" t="str">
        <f t="array" ref="BR456">IF($F456&lt;&gt;"", XLOOKUP($F456,Productos!$A$2:$A1001,Productos!BK$2:BK1001,"")*$G456,"")</f>
        <v/>
      </c>
      <c r="BS456" s="179" t="str">
        <f t="array" ref="BS456">IF($F456&lt;&gt;"",XLOOKUP($F456,Productos!$A:$A,Productos!BL:BL,"Revisar"),"")</f>
        <v/>
      </c>
      <c r="BT456" s="179" t="str">
        <f t="array" ref="BT456">IF($F456&lt;&gt;"", XLOOKUP($F456,Productos!$A$2:$A1001,Productos!BM$2:BM1001,"")*$G456,"")</f>
        <v/>
      </c>
      <c r="BU456" s="179" t="str">
        <f t="array" ref="BU456">IF($F456&lt;&gt;"",XLOOKUP($F456,Productos!$A:$A,Productos!BN:BN,"Revisar"),"")</f>
        <v/>
      </c>
      <c r="BV456" s="179" t="str">
        <f t="array" ref="BV456">IF($F456&lt;&gt;"", XLOOKUP($F456,Productos!$A$2:$A1001,Productos!BO$2:BO1001,"")*$G456,"")</f>
        <v/>
      </c>
      <c r="BW456" s="179" t="str">
        <f t="array" ref="BW456">IF($F456&lt;&gt;"",XLOOKUP($F456,Productos!$A:$A,Productos!BP:BP,"Revisar"),"")</f>
        <v/>
      </c>
      <c r="BX456" s="179" t="str">
        <f t="array" ref="BX456">IF($F456&lt;&gt;"", XLOOKUP($F456,Productos!$A$2:$A1001,Productos!BQ$2:BQ1001,"")*$G456,"")</f>
        <v/>
      </c>
      <c r="BY456" s="179" t="str">
        <f t="array" ref="BY456">IF($F456&lt;&gt;"",XLOOKUP($F456,Productos!$A:$A,Productos!BR:BR,"Revisar"),"")</f>
        <v/>
      </c>
      <c r="BZ456" s="179" t="str">
        <f t="array" ref="BZ456">IF($F456&lt;&gt;"", XLOOKUP($F456,Productos!$A$2:$A1001,Productos!BS$2:BS1001,"")*$G456,"")</f>
        <v/>
      </c>
    </row>
    <row r="457">
      <c r="A457" s="188"/>
      <c r="B457" s="189"/>
      <c r="C457" s="190"/>
      <c r="D457" s="190"/>
      <c r="E457" s="191"/>
      <c r="F457" s="186"/>
      <c r="G457" s="192"/>
      <c r="H457" s="9"/>
      <c r="I457" s="179" t="str">
        <f t="array" ref="I457">IF($F457&lt;&gt;"",XLOOKUP($F457,Productos!$A:$A,Productos!B:B,"Revisar"),"")</f>
        <v/>
      </c>
      <c r="J457" s="179" t="str">
        <f t="array" ref="J457">IF($F457&lt;&gt;"", XLOOKUP($F457,Productos!$A$2:$A1001,Productos!C$2:C1001,"")*$G457,"")</f>
        <v/>
      </c>
      <c r="K457" s="179" t="str">
        <f t="array" ref="K457">IF($F457&lt;&gt;"",XLOOKUP($F457,Productos!$A:$A,Productos!D:D,"Revisar"),"")</f>
        <v/>
      </c>
      <c r="L457" s="179" t="str">
        <f t="array" ref="L457">IF($F457&lt;&gt;"", XLOOKUP($F457,Productos!$A$2:$A1001,Productos!E$2:E1001,"")*$G457,"")</f>
        <v/>
      </c>
      <c r="M457" s="179" t="str">
        <f t="array" ref="M457">IF($F457&lt;&gt;"",XLOOKUP($F457,Productos!$A:$A,Productos!F:F,"Revisar"),"")</f>
        <v/>
      </c>
      <c r="N457" s="179" t="str">
        <f t="array" ref="N457">IF($F457&lt;&gt;"", XLOOKUP($F457,Productos!$A$2:$A1001,Productos!G$2:G1001,"")*$G457,"")</f>
        <v/>
      </c>
      <c r="O457" s="179" t="str">
        <f t="array" ref="O457">IF($F457&lt;&gt;"",XLOOKUP($F457,Productos!$A:$A,Productos!H:H,"Revisar"),"")</f>
        <v/>
      </c>
      <c r="P457" s="179" t="str">
        <f t="array" ref="P457">IF($F457&lt;&gt;"", XLOOKUP($F457,Productos!$A$2:$A1001,Productos!I$2:I1001,"")*$G457,"")</f>
        <v/>
      </c>
      <c r="Q457" s="179" t="str">
        <f t="array" ref="Q457">IF($F457&lt;&gt;"",XLOOKUP($F457,Productos!$A:$A,Productos!J:J,"Revisar"),"")</f>
        <v/>
      </c>
      <c r="R457" s="179" t="str">
        <f t="array" ref="R457">IF($F457&lt;&gt;"", XLOOKUP($F457,Productos!$A$2:$A1001,Productos!K$2:K1001,"")*$G457,"")</f>
        <v/>
      </c>
      <c r="S457" s="179" t="str">
        <f t="array" ref="S457">IF($F457&lt;&gt;"",XLOOKUP($F457,Productos!$A:$A,Productos!L:L,"Revisar"),"")</f>
        <v/>
      </c>
      <c r="T457" s="179" t="str">
        <f t="array" ref="T457">IF($F457&lt;&gt;"", XLOOKUP($F457,Productos!$A$2:$A1001,Productos!M$2:M1001,"")*$G457,"")</f>
        <v/>
      </c>
      <c r="U457" s="179" t="str">
        <f t="array" ref="U457">IF($F457&lt;&gt;"",XLOOKUP($F457,Productos!$A:$A,Productos!N:N,"Revisar"),"")</f>
        <v/>
      </c>
      <c r="V457" s="179" t="str">
        <f t="array" ref="V457">IF($F457&lt;&gt;"", XLOOKUP($F457,Productos!$A$2:$A1001,Productos!O$2:O1001,"")*$G457,"")</f>
        <v/>
      </c>
      <c r="W457" s="179" t="str">
        <f t="array" ref="W457">IF($F457&lt;&gt;"",XLOOKUP($F457,Productos!$A:$A,Productos!P:P,"Revisar"),"")</f>
        <v/>
      </c>
      <c r="X457" s="179" t="str">
        <f t="array" ref="X457">IF($F457&lt;&gt;"", XLOOKUP($F457,Productos!$A$2:$A1001,Productos!Q$2:Q1001,"")*$G457,"")</f>
        <v/>
      </c>
      <c r="Y457" s="179" t="str">
        <f t="array" ref="Y457">IF($F457&lt;&gt;"",XLOOKUP($F457,Productos!$A:$A,Productos!R:R,"Revisar"),"")</f>
        <v/>
      </c>
      <c r="Z457" s="179" t="str">
        <f t="array" ref="Z457">IF($F457&lt;&gt;"", XLOOKUP($F457,Productos!$A$2:$A1001,Productos!S$2:S1001,"")*$G457,"")</f>
        <v/>
      </c>
      <c r="AA457" s="179" t="str">
        <f t="array" ref="AA457">IF($F457&lt;&gt;"",XLOOKUP($F457,Productos!$A:$A,Productos!T:T,"Revisar"),"")</f>
        <v/>
      </c>
      <c r="AB457" s="179" t="str">
        <f t="array" ref="AB457">IF($F457&lt;&gt;"", XLOOKUP($F457,Productos!$A$2:$A1001,Productos!U$2:U1001,"")*$G457,"")</f>
        <v/>
      </c>
      <c r="AC457" s="179" t="str">
        <f t="array" ref="AC457">IF($F457&lt;&gt;"",XLOOKUP($F457,Productos!$A:$A,Productos!V:V,"Revisar"),"")</f>
        <v/>
      </c>
      <c r="AD457" s="179" t="str">
        <f t="array" ref="AD457">IF($F457&lt;&gt;"", XLOOKUP($F457,Productos!$A$2:$A1001,Productos!W$2:W1001,"")*$G457,"")</f>
        <v/>
      </c>
      <c r="AE457" s="179" t="str">
        <f t="array" ref="AE457">IF($F457&lt;&gt;"",XLOOKUP($F457,Productos!$A:$A,Productos!X:X,"Revisar"),"")</f>
        <v/>
      </c>
      <c r="AF457" s="179" t="str">
        <f t="array" ref="AF457">IF($F457&lt;&gt;"", XLOOKUP($F457,Productos!$A$2:$A1001,Productos!Y$2:Y1001,"")*$G457,"")</f>
        <v/>
      </c>
      <c r="AG457" s="179" t="str">
        <f t="array" ref="AG457">IF($F457&lt;&gt;"",XLOOKUP($F457,Productos!$A:$A,Productos!Z:Z,"Revisar"),"")</f>
        <v/>
      </c>
      <c r="AH457" s="179" t="str">
        <f t="array" ref="AH457">IF($F457&lt;&gt;"", XLOOKUP($F457,Productos!$A$2:$A1001,Productos!AA$2:AA1001,"")*$G457,"")</f>
        <v/>
      </c>
      <c r="AI457" s="179" t="str">
        <f t="array" ref="AI457">IF($F457&lt;&gt;"",XLOOKUP($F457,Productos!$A:$A,Productos!AB:AB,"Revisar"),"")</f>
        <v/>
      </c>
      <c r="AJ457" s="179" t="str">
        <f t="array" ref="AJ457">IF($F457&lt;&gt;"", XLOOKUP($F457,Productos!$A$2:$A1001,Productos!AC$2:AC1001,"")*$G457,"")</f>
        <v/>
      </c>
      <c r="AK457" s="179" t="str">
        <f t="array" ref="AK457">IF($F457&lt;&gt;"",XLOOKUP($F457,Productos!$A:$A,Productos!AD:AD,"Revisar"),"")</f>
        <v/>
      </c>
      <c r="AL457" s="179" t="str">
        <f t="array" ref="AL457">IF($F457&lt;&gt;"", XLOOKUP($F457,Productos!$A$2:$A1001,Productos!AE$2:AE1001,"")*$G457,"")</f>
        <v/>
      </c>
      <c r="AM457" s="179" t="str">
        <f t="array" ref="AM457">IF($F457&lt;&gt;"",XLOOKUP($F457,Productos!$A:$A,Productos!AF:AF,"Revisar"),"")</f>
        <v/>
      </c>
      <c r="AN457" s="179" t="str">
        <f t="array" ref="AN457">IF($F457&lt;&gt;"", XLOOKUP($F457,Productos!$A$2:$A1001,Productos!AG$2:AG1001,"")*$G457,"")</f>
        <v/>
      </c>
      <c r="AO457" s="179" t="str">
        <f t="array" ref="AO457">IF($F457&lt;&gt;"",XLOOKUP($F457,Productos!$A:$A,Productos!AH:AH,"Revisar"),"")</f>
        <v/>
      </c>
      <c r="AP457" s="179" t="str">
        <f t="array" ref="AP457">IF($F457&lt;&gt;"", XLOOKUP($F457,Productos!$A$2:$A1001,Productos!AI$2:AI1001,"")*$G457,"")</f>
        <v/>
      </c>
      <c r="AQ457" s="179" t="str">
        <f t="array" ref="AQ457">IF($F457&lt;&gt;"",XLOOKUP($F457,Productos!$A:$A,Productos!AJ:AJ,"Revisar"),"")</f>
        <v/>
      </c>
      <c r="AR457" s="179" t="str">
        <f t="array" ref="AR457">IF($F457&lt;&gt;"", XLOOKUP($F457,Productos!$A$2:$A1001,Productos!AK$2:AK1001,"")*$G457,"")</f>
        <v/>
      </c>
      <c r="AS457" s="179" t="str">
        <f t="array" ref="AS457">IF($F457&lt;&gt;"",XLOOKUP($F457,Productos!$A:$A,Productos!AL:AL,"Revisar"),"")</f>
        <v/>
      </c>
      <c r="AT457" s="179" t="str">
        <f t="array" ref="AT457">IF($F457&lt;&gt;"", XLOOKUP($F457,Productos!$A$2:$A1001,Productos!AM$2:AM1001,"")*$G457,"")</f>
        <v/>
      </c>
      <c r="AU457" s="179" t="str">
        <f t="array" ref="AU457">IF($F457&lt;&gt;"",XLOOKUP($F457,Productos!$A:$A,Productos!AN:AN,"Revisar"),"")</f>
        <v/>
      </c>
      <c r="AV457" s="179" t="str">
        <f t="array" ref="AV457">IF($F457&lt;&gt;"", XLOOKUP($F457,Productos!$A$2:$A1001,Productos!AO$2:AO1001,"")*$G457,"")</f>
        <v/>
      </c>
      <c r="AW457" s="179" t="str">
        <f t="array" ref="AW457">IF($F457&lt;&gt;"",XLOOKUP($F457,Productos!$A:$A,Productos!AP:AP,"Revisar"),"")</f>
        <v/>
      </c>
      <c r="AX457" s="179" t="str">
        <f t="array" ref="AX457">IF($F457&lt;&gt;"", XLOOKUP($F457,Productos!$A$2:$A1001,Productos!AQ$2:AQ1001,"")*$G457,"")</f>
        <v/>
      </c>
      <c r="AY457" s="179" t="str">
        <f t="array" ref="AY457">IF($F457&lt;&gt;"",XLOOKUP($F457,Productos!$A:$A,Productos!AR:AR,"Revisar"),"")</f>
        <v/>
      </c>
      <c r="AZ457" s="179" t="str">
        <f t="array" ref="AZ457">IF($F457&lt;&gt;"", XLOOKUP($F457,Productos!$A$2:$A1001,Productos!AS$2:AS1001,"")*$G457,"")</f>
        <v/>
      </c>
      <c r="BA457" s="179" t="str">
        <f t="array" ref="BA457">IF($F457&lt;&gt;"",XLOOKUP($F457,Productos!$A:$A,Productos!AT:AT,"Revisar"),"")</f>
        <v/>
      </c>
      <c r="BB457" s="179" t="str">
        <f t="array" ref="BB457">IF($F457&lt;&gt;"", XLOOKUP($F457,Productos!$A$2:$A1001,Productos!AU$2:AU1001,"")*$G457,"")</f>
        <v/>
      </c>
      <c r="BC457" s="179" t="str">
        <f t="array" ref="BC457">IF($F457&lt;&gt;"",XLOOKUP($F457,Productos!$A:$A,Productos!AV:AV,"Revisar"),"")</f>
        <v/>
      </c>
      <c r="BD457" s="179" t="str">
        <f t="array" ref="BD457">IF($F457&lt;&gt;"", XLOOKUP($F457,Productos!$A$2:$A1001,Productos!AW$2:AW1001,"")*$G457,"")</f>
        <v/>
      </c>
      <c r="BE457" s="179" t="str">
        <f t="array" ref="BE457">IF($F457&lt;&gt;"",XLOOKUP($F457,Productos!$A:$A,Productos!AX:AX,"Revisar"),"")</f>
        <v/>
      </c>
      <c r="BF457" s="179" t="str">
        <f t="array" ref="BF457">IF($F457&lt;&gt;"", XLOOKUP($F457,Productos!$A$2:$A1001,Productos!AY$2:AY1001,"")*$G457,"")</f>
        <v/>
      </c>
      <c r="BG457" s="179" t="str">
        <f t="array" ref="BG457">IF($F457&lt;&gt;"",XLOOKUP($F457,Productos!$A:$A,Productos!AZ:AZ,"Revisar"),"")</f>
        <v/>
      </c>
      <c r="BH457" s="179" t="str">
        <f t="array" ref="BH457">IF($F457&lt;&gt;"", XLOOKUP($F457,Productos!$A$2:$A1001,Productos!BA$2:BA1001,"")*$G457,"")</f>
        <v/>
      </c>
      <c r="BI457" s="179" t="str">
        <f t="array" ref="BI457">IF($F457&lt;&gt;"",XLOOKUP($F457,Productos!$A:$A,Productos!BB:BB,"Revisar"),"")</f>
        <v/>
      </c>
      <c r="BJ457" s="179" t="str">
        <f t="array" ref="BJ457">IF($F457&lt;&gt;"", XLOOKUP($F457,Productos!$A$2:$A1001,Productos!BC$2:BC1001,"")*$G457,"")</f>
        <v/>
      </c>
      <c r="BK457" s="179" t="str">
        <f t="array" ref="BK457">IF($F457&lt;&gt;"",XLOOKUP($F457,Productos!$A:$A,Productos!BD:BD,"Revisar"),"")</f>
        <v/>
      </c>
      <c r="BL457" s="179" t="str">
        <f t="array" ref="BL457">IF($F457&lt;&gt;"", XLOOKUP($F457,Productos!$A$2:$A1001,Productos!BE$2:BE1001,"")*$G457,"")</f>
        <v/>
      </c>
      <c r="BM457" s="179" t="str">
        <f t="array" ref="BM457">IF($F457&lt;&gt;"",XLOOKUP($F457,Productos!$A:$A,Productos!BF:BF,"Revisar"),"")</f>
        <v/>
      </c>
      <c r="BN457" s="179" t="str">
        <f t="array" ref="BN457">IF($F457&lt;&gt;"", XLOOKUP($F457,Productos!$A$2:$A1001,Productos!BG$2:BG1001,"")*$G457,"")</f>
        <v/>
      </c>
      <c r="BO457" s="179" t="str">
        <f t="array" ref="BO457">IF($F457&lt;&gt;"",XLOOKUP($F457,Productos!$A:$A,Productos!BH:BH,"Revisar"),"")</f>
        <v/>
      </c>
      <c r="BP457" s="179" t="str">
        <f t="array" ref="BP457">IF($F457&lt;&gt;"", XLOOKUP($F457,Productos!$A$2:$A1001,Productos!BI$2:BI1001,"")*$G457,"")</f>
        <v/>
      </c>
      <c r="BQ457" s="179" t="str">
        <f t="array" ref="BQ457">IF($F457&lt;&gt;"",XLOOKUP($F457,Productos!$A:$A,Productos!BJ:BJ,"Revisar"),"")</f>
        <v/>
      </c>
      <c r="BR457" s="179" t="str">
        <f t="array" ref="BR457">IF($F457&lt;&gt;"", XLOOKUP($F457,Productos!$A$2:$A1001,Productos!BK$2:BK1001,"")*$G457,"")</f>
        <v/>
      </c>
      <c r="BS457" s="179" t="str">
        <f t="array" ref="BS457">IF($F457&lt;&gt;"",XLOOKUP($F457,Productos!$A:$A,Productos!BL:BL,"Revisar"),"")</f>
        <v/>
      </c>
      <c r="BT457" s="179" t="str">
        <f t="array" ref="BT457">IF($F457&lt;&gt;"", XLOOKUP($F457,Productos!$A$2:$A1001,Productos!BM$2:BM1001,"")*$G457,"")</f>
        <v/>
      </c>
      <c r="BU457" s="179" t="str">
        <f t="array" ref="BU457">IF($F457&lt;&gt;"",XLOOKUP($F457,Productos!$A:$A,Productos!BN:BN,"Revisar"),"")</f>
        <v/>
      </c>
      <c r="BV457" s="179" t="str">
        <f t="array" ref="BV457">IF($F457&lt;&gt;"", XLOOKUP($F457,Productos!$A$2:$A1001,Productos!BO$2:BO1001,"")*$G457,"")</f>
        <v/>
      </c>
      <c r="BW457" s="179" t="str">
        <f t="array" ref="BW457">IF($F457&lt;&gt;"",XLOOKUP($F457,Productos!$A:$A,Productos!BP:BP,"Revisar"),"")</f>
        <v/>
      </c>
      <c r="BX457" s="179" t="str">
        <f t="array" ref="BX457">IF($F457&lt;&gt;"", XLOOKUP($F457,Productos!$A$2:$A1001,Productos!BQ$2:BQ1001,"")*$G457,"")</f>
        <v/>
      </c>
      <c r="BY457" s="179" t="str">
        <f t="array" ref="BY457">IF($F457&lt;&gt;"",XLOOKUP($F457,Productos!$A:$A,Productos!BR:BR,"Revisar"),"")</f>
        <v/>
      </c>
      <c r="BZ457" s="179" t="str">
        <f t="array" ref="BZ457">IF($F457&lt;&gt;"", XLOOKUP($F457,Productos!$A$2:$A1001,Productos!BS$2:BS1001,"")*$G457,"")</f>
        <v/>
      </c>
    </row>
    <row r="458">
      <c r="A458" s="188"/>
      <c r="B458" s="189"/>
      <c r="C458" s="190"/>
      <c r="D458" s="190"/>
      <c r="E458" s="191"/>
      <c r="F458" s="186"/>
      <c r="G458" s="192"/>
      <c r="H458" s="9"/>
      <c r="I458" s="179" t="str">
        <f t="array" ref="I458">IF($F458&lt;&gt;"",XLOOKUP($F458,Productos!$A:$A,Productos!B:B,"Revisar"),"")</f>
        <v/>
      </c>
      <c r="J458" s="179" t="str">
        <f t="array" ref="J458">IF($F458&lt;&gt;"", XLOOKUP($F458,Productos!$A$2:$A1001,Productos!C$2:C1001,"")*$G458,"")</f>
        <v/>
      </c>
      <c r="K458" s="179" t="str">
        <f t="array" ref="K458">IF($F458&lt;&gt;"",XLOOKUP($F458,Productos!$A:$A,Productos!D:D,"Revisar"),"")</f>
        <v/>
      </c>
      <c r="L458" s="179" t="str">
        <f t="array" ref="L458">IF($F458&lt;&gt;"", XLOOKUP($F458,Productos!$A$2:$A1001,Productos!E$2:E1001,"")*$G458,"")</f>
        <v/>
      </c>
      <c r="M458" s="179" t="str">
        <f t="array" ref="M458">IF($F458&lt;&gt;"",XLOOKUP($F458,Productos!$A:$A,Productos!F:F,"Revisar"),"")</f>
        <v/>
      </c>
      <c r="N458" s="179" t="str">
        <f t="array" ref="N458">IF($F458&lt;&gt;"", XLOOKUP($F458,Productos!$A$2:$A1001,Productos!G$2:G1001,"")*$G458,"")</f>
        <v/>
      </c>
      <c r="O458" s="179" t="str">
        <f t="array" ref="O458">IF($F458&lt;&gt;"",XLOOKUP($F458,Productos!$A:$A,Productos!H:H,"Revisar"),"")</f>
        <v/>
      </c>
      <c r="P458" s="179" t="str">
        <f t="array" ref="P458">IF($F458&lt;&gt;"", XLOOKUP($F458,Productos!$A$2:$A1001,Productos!I$2:I1001,"")*$G458,"")</f>
        <v/>
      </c>
      <c r="Q458" s="179" t="str">
        <f t="array" ref="Q458">IF($F458&lt;&gt;"",XLOOKUP($F458,Productos!$A:$A,Productos!J:J,"Revisar"),"")</f>
        <v/>
      </c>
      <c r="R458" s="179" t="str">
        <f t="array" ref="R458">IF($F458&lt;&gt;"", XLOOKUP($F458,Productos!$A$2:$A1001,Productos!K$2:K1001,"")*$G458,"")</f>
        <v/>
      </c>
      <c r="S458" s="179" t="str">
        <f t="array" ref="S458">IF($F458&lt;&gt;"",XLOOKUP($F458,Productos!$A:$A,Productos!L:L,"Revisar"),"")</f>
        <v/>
      </c>
      <c r="T458" s="179" t="str">
        <f t="array" ref="T458">IF($F458&lt;&gt;"", XLOOKUP($F458,Productos!$A$2:$A1001,Productos!M$2:M1001,"")*$G458,"")</f>
        <v/>
      </c>
      <c r="U458" s="179" t="str">
        <f t="array" ref="U458">IF($F458&lt;&gt;"",XLOOKUP($F458,Productos!$A:$A,Productos!N:N,"Revisar"),"")</f>
        <v/>
      </c>
      <c r="V458" s="179" t="str">
        <f t="array" ref="V458">IF($F458&lt;&gt;"", XLOOKUP($F458,Productos!$A$2:$A1001,Productos!O$2:O1001,"")*$G458,"")</f>
        <v/>
      </c>
      <c r="W458" s="179" t="str">
        <f t="array" ref="W458">IF($F458&lt;&gt;"",XLOOKUP($F458,Productos!$A:$A,Productos!P:P,"Revisar"),"")</f>
        <v/>
      </c>
      <c r="X458" s="179" t="str">
        <f t="array" ref="X458">IF($F458&lt;&gt;"", XLOOKUP($F458,Productos!$A$2:$A1001,Productos!Q$2:Q1001,"")*$G458,"")</f>
        <v/>
      </c>
      <c r="Y458" s="179" t="str">
        <f t="array" ref="Y458">IF($F458&lt;&gt;"",XLOOKUP($F458,Productos!$A:$A,Productos!R:R,"Revisar"),"")</f>
        <v/>
      </c>
      <c r="Z458" s="179" t="str">
        <f t="array" ref="Z458">IF($F458&lt;&gt;"", XLOOKUP($F458,Productos!$A$2:$A1001,Productos!S$2:S1001,"")*$G458,"")</f>
        <v/>
      </c>
      <c r="AA458" s="179" t="str">
        <f t="array" ref="AA458">IF($F458&lt;&gt;"",XLOOKUP($F458,Productos!$A:$A,Productos!T:T,"Revisar"),"")</f>
        <v/>
      </c>
      <c r="AB458" s="179" t="str">
        <f t="array" ref="AB458">IF($F458&lt;&gt;"", XLOOKUP($F458,Productos!$A$2:$A1001,Productos!U$2:U1001,"")*$G458,"")</f>
        <v/>
      </c>
      <c r="AC458" s="179" t="str">
        <f t="array" ref="AC458">IF($F458&lt;&gt;"",XLOOKUP($F458,Productos!$A:$A,Productos!V:V,"Revisar"),"")</f>
        <v/>
      </c>
      <c r="AD458" s="179" t="str">
        <f t="array" ref="AD458">IF($F458&lt;&gt;"", XLOOKUP($F458,Productos!$A$2:$A1001,Productos!W$2:W1001,"")*$G458,"")</f>
        <v/>
      </c>
      <c r="AE458" s="179" t="str">
        <f t="array" ref="AE458">IF($F458&lt;&gt;"",XLOOKUP($F458,Productos!$A:$A,Productos!X:X,"Revisar"),"")</f>
        <v/>
      </c>
      <c r="AF458" s="179" t="str">
        <f t="array" ref="AF458">IF($F458&lt;&gt;"", XLOOKUP($F458,Productos!$A$2:$A1001,Productos!Y$2:Y1001,"")*$G458,"")</f>
        <v/>
      </c>
      <c r="AG458" s="179" t="str">
        <f t="array" ref="AG458">IF($F458&lt;&gt;"",XLOOKUP($F458,Productos!$A:$A,Productos!Z:Z,"Revisar"),"")</f>
        <v/>
      </c>
      <c r="AH458" s="179" t="str">
        <f t="array" ref="AH458">IF($F458&lt;&gt;"", XLOOKUP($F458,Productos!$A$2:$A1001,Productos!AA$2:AA1001,"")*$G458,"")</f>
        <v/>
      </c>
      <c r="AI458" s="179" t="str">
        <f t="array" ref="AI458">IF($F458&lt;&gt;"",XLOOKUP($F458,Productos!$A:$A,Productos!AB:AB,"Revisar"),"")</f>
        <v/>
      </c>
      <c r="AJ458" s="179" t="str">
        <f t="array" ref="AJ458">IF($F458&lt;&gt;"", XLOOKUP($F458,Productos!$A$2:$A1001,Productos!AC$2:AC1001,"")*$G458,"")</f>
        <v/>
      </c>
      <c r="AK458" s="179" t="str">
        <f t="array" ref="AK458">IF($F458&lt;&gt;"",XLOOKUP($F458,Productos!$A:$A,Productos!AD:AD,"Revisar"),"")</f>
        <v/>
      </c>
      <c r="AL458" s="179" t="str">
        <f t="array" ref="AL458">IF($F458&lt;&gt;"", XLOOKUP($F458,Productos!$A$2:$A1001,Productos!AE$2:AE1001,"")*$G458,"")</f>
        <v/>
      </c>
      <c r="AM458" s="179" t="str">
        <f t="array" ref="AM458">IF($F458&lt;&gt;"",XLOOKUP($F458,Productos!$A:$A,Productos!AF:AF,"Revisar"),"")</f>
        <v/>
      </c>
      <c r="AN458" s="179" t="str">
        <f t="array" ref="AN458">IF($F458&lt;&gt;"", XLOOKUP($F458,Productos!$A$2:$A1001,Productos!AG$2:AG1001,"")*$G458,"")</f>
        <v/>
      </c>
      <c r="AO458" s="179" t="str">
        <f t="array" ref="AO458">IF($F458&lt;&gt;"",XLOOKUP($F458,Productos!$A:$A,Productos!AH:AH,"Revisar"),"")</f>
        <v/>
      </c>
      <c r="AP458" s="179" t="str">
        <f t="array" ref="AP458">IF($F458&lt;&gt;"", XLOOKUP($F458,Productos!$A$2:$A1001,Productos!AI$2:AI1001,"")*$G458,"")</f>
        <v/>
      </c>
      <c r="AQ458" s="179" t="str">
        <f t="array" ref="AQ458">IF($F458&lt;&gt;"",XLOOKUP($F458,Productos!$A:$A,Productos!AJ:AJ,"Revisar"),"")</f>
        <v/>
      </c>
      <c r="AR458" s="179" t="str">
        <f t="array" ref="AR458">IF($F458&lt;&gt;"", XLOOKUP($F458,Productos!$A$2:$A1001,Productos!AK$2:AK1001,"")*$G458,"")</f>
        <v/>
      </c>
      <c r="AS458" s="179" t="str">
        <f t="array" ref="AS458">IF($F458&lt;&gt;"",XLOOKUP($F458,Productos!$A:$A,Productos!AL:AL,"Revisar"),"")</f>
        <v/>
      </c>
      <c r="AT458" s="179" t="str">
        <f t="array" ref="AT458">IF($F458&lt;&gt;"", XLOOKUP($F458,Productos!$A$2:$A1001,Productos!AM$2:AM1001,"")*$G458,"")</f>
        <v/>
      </c>
      <c r="AU458" s="179" t="str">
        <f t="array" ref="AU458">IF($F458&lt;&gt;"",XLOOKUP($F458,Productos!$A:$A,Productos!AN:AN,"Revisar"),"")</f>
        <v/>
      </c>
      <c r="AV458" s="179" t="str">
        <f t="array" ref="AV458">IF($F458&lt;&gt;"", XLOOKUP($F458,Productos!$A$2:$A1001,Productos!AO$2:AO1001,"")*$G458,"")</f>
        <v/>
      </c>
      <c r="AW458" s="179" t="str">
        <f t="array" ref="AW458">IF($F458&lt;&gt;"",XLOOKUP($F458,Productos!$A:$A,Productos!AP:AP,"Revisar"),"")</f>
        <v/>
      </c>
      <c r="AX458" s="179" t="str">
        <f t="array" ref="AX458">IF($F458&lt;&gt;"", XLOOKUP($F458,Productos!$A$2:$A1001,Productos!AQ$2:AQ1001,"")*$G458,"")</f>
        <v/>
      </c>
      <c r="AY458" s="179" t="str">
        <f t="array" ref="AY458">IF($F458&lt;&gt;"",XLOOKUP($F458,Productos!$A:$A,Productos!AR:AR,"Revisar"),"")</f>
        <v/>
      </c>
      <c r="AZ458" s="179" t="str">
        <f t="array" ref="AZ458">IF($F458&lt;&gt;"", XLOOKUP($F458,Productos!$A$2:$A1001,Productos!AS$2:AS1001,"")*$G458,"")</f>
        <v/>
      </c>
      <c r="BA458" s="179" t="str">
        <f t="array" ref="BA458">IF($F458&lt;&gt;"",XLOOKUP($F458,Productos!$A:$A,Productos!AT:AT,"Revisar"),"")</f>
        <v/>
      </c>
      <c r="BB458" s="179" t="str">
        <f t="array" ref="BB458">IF($F458&lt;&gt;"", XLOOKUP($F458,Productos!$A$2:$A1001,Productos!AU$2:AU1001,"")*$G458,"")</f>
        <v/>
      </c>
      <c r="BC458" s="179" t="str">
        <f t="array" ref="BC458">IF($F458&lt;&gt;"",XLOOKUP($F458,Productos!$A:$A,Productos!AV:AV,"Revisar"),"")</f>
        <v/>
      </c>
      <c r="BD458" s="179" t="str">
        <f t="array" ref="BD458">IF($F458&lt;&gt;"", XLOOKUP($F458,Productos!$A$2:$A1001,Productos!AW$2:AW1001,"")*$G458,"")</f>
        <v/>
      </c>
      <c r="BE458" s="179" t="str">
        <f t="array" ref="BE458">IF($F458&lt;&gt;"",XLOOKUP($F458,Productos!$A:$A,Productos!AX:AX,"Revisar"),"")</f>
        <v/>
      </c>
      <c r="BF458" s="179" t="str">
        <f t="array" ref="BF458">IF($F458&lt;&gt;"", XLOOKUP($F458,Productos!$A$2:$A1001,Productos!AY$2:AY1001,"")*$G458,"")</f>
        <v/>
      </c>
      <c r="BG458" s="179" t="str">
        <f t="array" ref="BG458">IF($F458&lt;&gt;"",XLOOKUP($F458,Productos!$A:$A,Productos!AZ:AZ,"Revisar"),"")</f>
        <v/>
      </c>
      <c r="BH458" s="179" t="str">
        <f t="array" ref="BH458">IF($F458&lt;&gt;"", XLOOKUP($F458,Productos!$A$2:$A1001,Productos!BA$2:BA1001,"")*$G458,"")</f>
        <v/>
      </c>
      <c r="BI458" s="179" t="str">
        <f t="array" ref="BI458">IF($F458&lt;&gt;"",XLOOKUP($F458,Productos!$A:$A,Productos!BB:BB,"Revisar"),"")</f>
        <v/>
      </c>
      <c r="BJ458" s="179" t="str">
        <f t="array" ref="BJ458">IF($F458&lt;&gt;"", XLOOKUP($F458,Productos!$A$2:$A1001,Productos!BC$2:BC1001,"")*$G458,"")</f>
        <v/>
      </c>
      <c r="BK458" s="179" t="str">
        <f t="array" ref="BK458">IF($F458&lt;&gt;"",XLOOKUP($F458,Productos!$A:$A,Productos!BD:BD,"Revisar"),"")</f>
        <v/>
      </c>
      <c r="BL458" s="179" t="str">
        <f t="array" ref="BL458">IF($F458&lt;&gt;"", XLOOKUP($F458,Productos!$A$2:$A1001,Productos!BE$2:BE1001,"")*$G458,"")</f>
        <v/>
      </c>
      <c r="BM458" s="179" t="str">
        <f t="array" ref="BM458">IF($F458&lt;&gt;"",XLOOKUP($F458,Productos!$A:$A,Productos!BF:BF,"Revisar"),"")</f>
        <v/>
      </c>
      <c r="BN458" s="179" t="str">
        <f t="array" ref="BN458">IF($F458&lt;&gt;"", XLOOKUP($F458,Productos!$A$2:$A1001,Productos!BG$2:BG1001,"")*$G458,"")</f>
        <v/>
      </c>
      <c r="BO458" s="179" t="str">
        <f t="array" ref="BO458">IF($F458&lt;&gt;"",XLOOKUP($F458,Productos!$A:$A,Productos!BH:BH,"Revisar"),"")</f>
        <v/>
      </c>
      <c r="BP458" s="179" t="str">
        <f t="array" ref="BP458">IF($F458&lt;&gt;"", XLOOKUP($F458,Productos!$A$2:$A1001,Productos!BI$2:BI1001,"")*$G458,"")</f>
        <v/>
      </c>
      <c r="BQ458" s="179" t="str">
        <f t="array" ref="BQ458">IF($F458&lt;&gt;"",XLOOKUP($F458,Productos!$A:$A,Productos!BJ:BJ,"Revisar"),"")</f>
        <v/>
      </c>
      <c r="BR458" s="179" t="str">
        <f t="array" ref="BR458">IF($F458&lt;&gt;"", XLOOKUP($F458,Productos!$A$2:$A1001,Productos!BK$2:BK1001,"")*$G458,"")</f>
        <v/>
      </c>
      <c r="BS458" s="179" t="str">
        <f t="array" ref="BS458">IF($F458&lt;&gt;"",XLOOKUP($F458,Productos!$A:$A,Productos!BL:BL,"Revisar"),"")</f>
        <v/>
      </c>
      <c r="BT458" s="179" t="str">
        <f t="array" ref="BT458">IF($F458&lt;&gt;"", XLOOKUP($F458,Productos!$A$2:$A1001,Productos!BM$2:BM1001,"")*$G458,"")</f>
        <v/>
      </c>
      <c r="BU458" s="179" t="str">
        <f t="array" ref="BU458">IF($F458&lt;&gt;"",XLOOKUP($F458,Productos!$A:$A,Productos!BN:BN,"Revisar"),"")</f>
        <v/>
      </c>
      <c r="BV458" s="179" t="str">
        <f t="array" ref="BV458">IF($F458&lt;&gt;"", XLOOKUP($F458,Productos!$A$2:$A1001,Productos!BO$2:BO1001,"")*$G458,"")</f>
        <v/>
      </c>
      <c r="BW458" s="179" t="str">
        <f t="array" ref="BW458">IF($F458&lt;&gt;"",XLOOKUP($F458,Productos!$A:$A,Productos!BP:BP,"Revisar"),"")</f>
        <v/>
      </c>
      <c r="BX458" s="179" t="str">
        <f t="array" ref="BX458">IF($F458&lt;&gt;"", XLOOKUP($F458,Productos!$A$2:$A1001,Productos!BQ$2:BQ1001,"")*$G458,"")</f>
        <v/>
      </c>
      <c r="BY458" s="179" t="str">
        <f t="array" ref="BY458">IF($F458&lt;&gt;"",XLOOKUP($F458,Productos!$A:$A,Productos!BR:BR,"Revisar"),"")</f>
        <v/>
      </c>
      <c r="BZ458" s="179" t="str">
        <f t="array" ref="BZ458">IF($F458&lt;&gt;"", XLOOKUP($F458,Productos!$A$2:$A1001,Productos!BS$2:BS1001,"")*$G458,"")</f>
        <v/>
      </c>
    </row>
    <row r="459">
      <c r="A459" s="188"/>
      <c r="B459" s="189"/>
      <c r="C459" s="190"/>
      <c r="D459" s="190"/>
      <c r="E459" s="191"/>
      <c r="F459" s="186"/>
      <c r="G459" s="192"/>
      <c r="H459" s="9"/>
      <c r="I459" s="179" t="str">
        <f t="array" ref="I459">IF($F459&lt;&gt;"",XLOOKUP($F459,Productos!$A:$A,Productos!B:B,"Revisar"),"")</f>
        <v/>
      </c>
      <c r="J459" s="179" t="str">
        <f t="array" ref="J459">IF($F459&lt;&gt;"", XLOOKUP($F459,Productos!$A$2:$A1001,Productos!C$2:C1001,"")*$G459,"")</f>
        <v/>
      </c>
      <c r="K459" s="179" t="str">
        <f t="array" ref="K459">IF($F459&lt;&gt;"",XLOOKUP($F459,Productos!$A:$A,Productos!D:D,"Revisar"),"")</f>
        <v/>
      </c>
      <c r="L459" s="179" t="str">
        <f t="array" ref="L459">IF($F459&lt;&gt;"", XLOOKUP($F459,Productos!$A$2:$A1001,Productos!E$2:E1001,"")*$G459,"")</f>
        <v/>
      </c>
      <c r="M459" s="179" t="str">
        <f t="array" ref="M459">IF($F459&lt;&gt;"",XLOOKUP($F459,Productos!$A:$A,Productos!F:F,"Revisar"),"")</f>
        <v/>
      </c>
      <c r="N459" s="179" t="str">
        <f t="array" ref="N459">IF($F459&lt;&gt;"", XLOOKUP($F459,Productos!$A$2:$A1001,Productos!G$2:G1001,"")*$G459,"")</f>
        <v/>
      </c>
      <c r="O459" s="179" t="str">
        <f t="array" ref="O459">IF($F459&lt;&gt;"",XLOOKUP($F459,Productos!$A:$A,Productos!H:H,"Revisar"),"")</f>
        <v/>
      </c>
      <c r="P459" s="179" t="str">
        <f t="array" ref="P459">IF($F459&lt;&gt;"", XLOOKUP($F459,Productos!$A$2:$A1001,Productos!I$2:I1001,"")*$G459,"")</f>
        <v/>
      </c>
      <c r="Q459" s="179" t="str">
        <f t="array" ref="Q459">IF($F459&lt;&gt;"",XLOOKUP($F459,Productos!$A:$A,Productos!J:J,"Revisar"),"")</f>
        <v/>
      </c>
      <c r="R459" s="179" t="str">
        <f t="array" ref="R459">IF($F459&lt;&gt;"", XLOOKUP($F459,Productos!$A$2:$A1001,Productos!K$2:K1001,"")*$G459,"")</f>
        <v/>
      </c>
      <c r="S459" s="179" t="str">
        <f t="array" ref="S459">IF($F459&lt;&gt;"",XLOOKUP($F459,Productos!$A:$A,Productos!L:L,"Revisar"),"")</f>
        <v/>
      </c>
      <c r="T459" s="179" t="str">
        <f t="array" ref="T459">IF($F459&lt;&gt;"", XLOOKUP($F459,Productos!$A$2:$A1001,Productos!M$2:M1001,"")*$G459,"")</f>
        <v/>
      </c>
      <c r="U459" s="179" t="str">
        <f t="array" ref="U459">IF($F459&lt;&gt;"",XLOOKUP($F459,Productos!$A:$A,Productos!N:N,"Revisar"),"")</f>
        <v/>
      </c>
      <c r="V459" s="179" t="str">
        <f t="array" ref="V459">IF($F459&lt;&gt;"", XLOOKUP($F459,Productos!$A$2:$A1001,Productos!O$2:O1001,"")*$G459,"")</f>
        <v/>
      </c>
      <c r="W459" s="179" t="str">
        <f t="array" ref="W459">IF($F459&lt;&gt;"",XLOOKUP($F459,Productos!$A:$A,Productos!P:P,"Revisar"),"")</f>
        <v/>
      </c>
      <c r="X459" s="179" t="str">
        <f t="array" ref="X459">IF($F459&lt;&gt;"", XLOOKUP($F459,Productos!$A$2:$A1001,Productos!Q$2:Q1001,"")*$G459,"")</f>
        <v/>
      </c>
      <c r="Y459" s="179" t="str">
        <f t="array" ref="Y459">IF($F459&lt;&gt;"",XLOOKUP($F459,Productos!$A:$A,Productos!R:R,"Revisar"),"")</f>
        <v/>
      </c>
      <c r="Z459" s="179" t="str">
        <f t="array" ref="Z459">IF($F459&lt;&gt;"", XLOOKUP($F459,Productos!$A$2:$A1001,Productos!S$2:S1001,"")*$G459,"")</f>
        <v/>
      </c>
      <c r="AA459" s="179" t="str">
        <f t="array" ref="AA459">IF($F459&lt;&gt;"",XLOOKUP($F459,Productos!$A:$A,Productos!T:T,"Revisar"),"")</f>
        <v/>
      </c>
      <c r="AB459" s="179" t="str">
        <f t="array" ref="AB459">IF($F459&lt;&gt;"", XLOOKUP($F459,Productos!$A$2:$A1001,Productos!U$2:U1001,"")*$G459,"")</f>
        <v/>
      </c>
      <c r="AC459" s="179" t="str">
        <f t="array" ref="AC459">IF($F459&lt;&gt;"",XLOOKUP($F459,Productos!$A:$A,Productos!V:V,"Revisar"),"")</f>
        <v/>
      </c>
      <c r="AD459" s="179" t="str">
        <f t="array" ref="AD459">IF($F459&lt;&gt;"", XLOOKUP($F459,Productos!$A$2:$A1001,Productos!W$2:W1001,"")*$G459,"")</f>
        <v/>
      </c>
      <c r="AE459" s="179" t="str">
        <f t="array" ref="AE459">IF($F459&lt;&gt;"",XLOOKUP($F459,Productos!$A:$A,Productos!X:X,"Revisar"),"")</f>
        <v/>
      </c>
      <c r="AF459" s="179" t="str">
        <f t="array" ref="AF459">IF($F459&lt;&gt;"", XLOOKUP($F459,Productos!$A$2:$A1001,Productos!Y$2:Y1001,"")*$G459,"")</f>
        <v/>
      </c>
      <c r="AG459" s="179" t="str">
        <f t="array" ref="AG459">IF($F459&lt;&gt;"",XLOOKUP($F459,Productos!$A:$A,Productos!Z:Z,"Revisar"),"")</f>
        <v/>
      </c>
      <c r="AH459" s="179" t="str">
        <f t="array" ref="AH459">IF($F459&lt;&gt;"", XLOOKUP($F459,Productos!$A$2:$A1001,Productos!AA$2:AA1001,"")*$G459,"")</f>
        <v/>
      </c>
      <c r="AI459" s="179" t="str">
        <f t="array" ref="AI459">IF($F459&lt;&gt;"",XLOOKUP($F459,Productos!$A:$A,Productos!AB:AB,"Revisar"),"")</f>
        <v/>
      </c>
      <c r="AJ459" s="179" t="str">
        <f t="array" ref="AJ459">IF($F459&lt;&gt;"", XLOOKUP($F459,Productos!$A$2:$A1001,Productos!AC$2:AC1001,"")*$G459,"")</f>
        <v/>
      </c>
      <c r="AK459" s="179" t="str">
        <f t="array" ref="AK459">IF($F459&lt;&gt;"",XLOOKUP($F459,Productos!$A:$A,Productos!AD:AD,"Revisar"),"")</f>
        <v/>
      </c>
      <c r="AL459" s="179" t="str">
        <f t="array" ref="AL459">IF($F459&lt;&gt;"", XLOOKUP($F459,Productos!$A$2:$A1001,Productos!AE$2:AE1001,"")*$G459,"")</f>
        <v/>
      </c>
      <c r="AM459" s="179" t="str">
        <f t="array" ref="AM459">IF($F459&lt;&gt;"",XLOOKUP($F459,Productos!$A:$A,Productos!AF:AF,"Revisar"),"")</f>
        <v/>
      </c>
      <c r="AN459" s="179" t="str">
        <f t="array" ref="AN459">IF($F459&lt;&gt;"", XLOOKUP($F459,Productos!$A$2:$A1001,Productos!AG$2:AG1001,"")*$G459,"")</f>
        <v/>
      </c>
      <c r="AO459" s="179" t="str">
        <f t="array" ref="AO459">IF($F459&lt;&gt;"",XLOOKUP($F459,Productos!$A:$A,Productos!AH:AH,"Revisar"),"")</f>
        <v/>
      </c>
      <c r="AP459" s="179" t="str">
        <f t="array" ref="AP459">IF($F459&lt;&gt;"", XLOOKUP($F459,Productos!$A$2:$A1001,Productos!AI$2:AI1001,"")*$G459,"")</f>
        <v/>
      </c>
      <c r="AQ459" s="179" t="str">
        <f t="array" ref="AQ459">IF($F459&lt;&gt;"",XLOOKUP($F459,Productos!$A:$A,Productos!AJ:AJ,"Revisar"),"")</f>
        <v/>
      </c>
      <c r="AR459" s="179" t="str">
        <f t="array" ref="AR459">IF($F459&lt;&gt;"", XLOOKUP($F459,Productos!$A$2:$A1001,Productos!AK$2:AK1001,"")*$G459,"")</f>
        <v/>
      </c>
      <c r="AS459" s="179" t="str">
        <f t="array" ref="AS459">IF($F459&lt;&gt;"",XLOOKUP($F459,Productos!$A:$A,Productos!AL:AL,"Revisar"),"")</f>
        <v/>
      </c>
      <c r="AT459" s="179" t="str">
        <f t="array" ref="AT459">IF($F459&lt;&gt;"", XLOOKUP($F459,Productos!$A$2:$A1001,Productos!AM$2:AM1001,"")*$G459,"")</f>
        <v/>
      </c>
      <c r="AU459" s="179" t="str">
        <f t="array" ref="AU459">IF($F459&lt;&gt;"",XLOOKUP($F459,Productos!$A:$A,Productos!AN:AN,"Revisar"),"")</f>
        <v/>
      </c>
      <c r="AV459" s="179" t="str">
        <f t="array" ref="AV459">IF($F459&lt;&gt;"", XLOOKUP($F459,Productos!$A$2:$A1001,Productos!AO$2:AO1001,"")*$G459,"")</f>
        <v/>
      </c>
      <c r="AW459" s="179" t="str">
        <f t="array" ref="AW459">IF($F459&lt;&gt;"",XLOOKUP($F459,Productos!$A:$A,Productos!AP:AP,"Revisar"),"")</f>
        <v/>
      </c>
      <c r="AX459" s="179" t="str">
        <f t="array" ref="AX459">IF($F459&lt;&gt;"", XLOOKUP($F459,Productos!$A$2:$A1001,Productos!AQ$2:AQ1001,"")*$G459,"")</f>
        <v/>
      </c>
      <c r="AY459" s="179" t="str">
        <f t="array" ref="AY459">IF($F459&lt;&gt;"",XLOOKUP($F459,Productos!$A:$A,Productos!AR:AR,"Revisar"),"")</f>
        <v/>
      </c>
      <c r="AZ459" s="179" t="str">
        <f t="array" ref="AZ459">IF($F459&lt;&gt;"", XLOOKUP($F459,Productos!$A$2:$A1001,Productos!AS$2:AS1001,"")*$G459,"")</f>
        <v/>
      </c>
      <c r="BA459" s="179" t="str">
        <f t="array" ref="BA459">IF($F459&lt;&gt;"",XLOOKUP($F459,Productos!$A:$A,Productos!AT:AT,"Revisar"),"")</f>
        <v/>
      </c>
      <c r="BB459" s="179" t="str">
        <f t="array" ref="BB459">IF($F459&lt;&gt;"", XLOOKUP($F459,Productos!$A$2:$A1001,Productos!AU$2:AU1001,"")*$G459,"")</f>
        <v/>
      </c>
      <c r="BC459" s="179" t="str">
        <f t="array" ref="BC459">IF($F459&lt;&gt;"",XLOOKUP($F459,Productos!$A:$A,Productos!AV:AV,"Revisar"),"")</f>
        <v/>
      </c>
      <c r="BD459" s="179" t="str">
        <f t="array" ref="BD459">IF($F459&lt;&gt;"", XLOOKUP($F459,Productos!$A$2:$A1001,Productos!AW$2:AW1001,"")*$G459,"")</f>
        <v/>
      </c>
      <c r="BE459" s="179" t="str">
        <f t="array" ref="BE459">IF($F459&lt;&gt;"",XLOOKUP($F459,Productos!$A:$A,Productos!AX:AX,"Revisar"),"")</f>
        <v/>
      </c>
      <c r="BF459" s="179" t="str">
        <f t="array" ref="BF459">IF($F459&lt;&gt;"", XLOOKUP($F459,Productos!$A$2:$A1001,Productos!AY$2:AY1001,"")*$G459,"")</f>
        <v/>
      </c>
      <c r="BG459" s="179" t="str">
        <f t="array" ref="BG459">IF($F459&lt;&gt;"",XLOOKUP($F459,Productos!$A:$A,Productos!AZ:AZ,"Revisar"),"")</f>
        <v/>
      </c>
      <c r="BH459" s="179" t="str">
        <f t="array" ref="BH459">IF($F459&lt;&gt;"", XLOOKUP($F459,Productos!$A$2:$A1001,Productos!BA$2:BA1001,"")*$G459,"")</f>
        <v/>
      </c>
      <c r="BI459" s="179" t="str">
        <f t="array" ref="BI459">IF($F459&lt;&gt;"",XLOOKUP($F459,Productos!$A:$A,Productos!BB:BB,"Revisar"),"")</f>
        <v/>
      </c>
      <c r="BJ459" s="179" t="str">
        <f t="array" ref="BJ459">IF($F459&lt;&gt;"", XLOOKUP($F459,Productos!$A$2:$A1001,Productos!BC$2:BC1001,"")*$G459,"")</f>
        <v/>
      </c>
      <c r="BK459" s="179" t="str">
        <f t="array" ref="BK459">IF($F459&lt;&gt;"",XLOOKUP($F459,Productos!$A:$A,Productos!BD:BD,"Revisar"),"")</f>
        <v/>
      </c>
      <c r="BL459" s="179" t="str">
        <f t="array" ref="BL459">IF($F459&lt;&gt;"", XLOOKUP($F459,Productos!$A$2:$A1001,Productos!BE$2:BE1001,"")*$G459,"")</f>
        <v/>
      </c>
      <c r="BM459" s="179" t="str">
        <f t="array" ref="BM459">IF($F459&lt;&gt;"",XLOOKUP($F459,Productos!$A:$A,Productos!BF:BF,"Revisar"),"")</f>
        <v/>
      </c>
      <c r="BN459" s="179" t="str">
        <f t="array" ref="BN459">IF($F459&lt;&gt;"", XLOOKUP($F459,Productos!$A$2:$A1001,Productos!BG$2:BG1001,"")*$G459,"")</f>
        <v/>
      </c>
      <c r="BO459" s="179" t="str">
        <f t="array" ref="BO459">IF($F459&lt;&gt;"",XLOOKUP($F459,Productos!$A:$A,Productos!BH:BH,"Revisar"),"")</f>
        <v/>
      </c>
      <c r="BP459" s="179" t="str">
        <f t="array" ref="BP459">IF($F459&lt;&gt;"", XLOOKUP($F459,Productos!$A$2:$A1001,Productos!BI$2:BI1001,"")*$G459,"")</f>
        <v/>
      </c>
      <c r="BQ459" s="179" t="str">
        <f t="array" ref="BQ459">IF($F459&lt;&gt;"",XLOOKUP($F459,Productos!$A:$A,Productos!BJ:BJ,"Revisar"),"")</f>
        <v/>
      </c>
      <c r="BR459" s="179" t="str">
        <f t="array" ref="BR459">IF($F459&lt;&gt;"", XLOOKUP($F459,Productos!$A$2:$A1001,Productos!BK$2:BK1001,"")*$G459,"")</f>
        <v/>
      </c>
      <c r="BS459" s="179" t="str">
        <f t="array" ref="BS459">IF($F459&lt;&gt;"",XLOOKUP($F459,Productos!$A:$A,Productos!BL:BL,"Revisar"),"")</f>
        <v/>
      </c>
      <c r="BT459" s="179" t="str">
        <f t="array" ref="BT459">IF($F459&lt;&gt;"", XLOOKUP($F459,Productos!$A$2:$A1001,Productos!BM$2:BM1001,"")*$G459,"")</f>
        <v/>
      </c>
      <c r="BU459" s="179" t="str">
        <f t="array" ref="BU459">IF($F459&lt;&gt;"",XLOOKUP($F459,Productos!$A:$A,Productos!BN:BN,"Revisar"),"")</f>
        <v/>
      </c>
      <c r="BV459" s="179" t="str">
        <f t="array" ref="BV459">IF($F459&lt;&gt;"", XLOOKUP($F459,Productos!$A$2:$A1001,Productos!BO$2:BO1001,"")*$G459,"")</f>
        <v/>
      </c>
      <c r="BW459" s="179" t="str">
        <f t="array" ref="BW459">IF($F459&lt;&gt;"",XLOOKUP($F459,Productos!$A:$A,Productos!BP:BP,"Revisar"),"")</f>
        <v/>
      </c>
      <c r="BX459" s="179" t="str">
        <f t="array" ref="BX459">IF($F459&lt;&gt;"", XLOOKUP($F459,Productos!$A$2:$A1001,Productos!BQ$2:BQ1001,"")*$G459,"")</f>
        <v/>
      </c>
      <c r="BY459" s="179" t="str">
        <f t="array" ref="BY459">IF($F459&lt;&gt;"",XLOOKUP($F459,Productos!$A:$A,Productos!BR:BR,"Revisar"),"")</f>
        <v/>
      </c>
      <c r="BZ459" s="179" t="str">
        <f t="array" ref="BZ459">IF($F459&lt;&gt;"", XLOOKUP($F459,Productos!$A$2:$A1001,Productos!BS$2:BS1001,"")*$G459,"")</f>
        <v/>
      </c>
    </row>
    <row r="460">
      <c r="A460" s="188"/>
      <c r="B460" s="189"/>
      <c r="C460" s="190"/>
      <c r="D460" s="190"/>
      <c r="E460" s="191"/>
      <c r="F460" s="186"/>
      <c r="G460" s="192"/>
      <c r="H460" s="9"/>
      <c r="I460" s="179" t="str">
        <f t="array" ref="I460">IF($F460&lt;&gt;"",XLOOKUP($F460,Productos!$A:$A,Productos!B:B,"Revisar"),"")</f>
        <v/>
      </c>
      <c r="J460" s="179" t="str">
        <f t="array" ref="J460">IF($F460&lt;&gt;"", XLOOKUP($F460,Productos!$A$2:$A1001,Productos!C$2:C1001,"")*$G460,"")</f>
        <v/>
      </c>
      <c r="K460" s="179" t="str">
        <f t="array" ref="K460">IF($F460&lt;&gt;"",XLOOKUP($F460,Productos!$A:$A,Productos!D:D,"Revisar"),"")</f>
        <v/>
      </c>
      <c r="L460" s="179" t="str">
        <f t="array" ref="L460">IF($F460&lt;&gt;"", XLOOKUP($F460,Productos!$A$2:$A1001,Productos!E$2:E1001,"")*$G460,"")</f>
        <v/>
      </c>
      <c r="M460" s="179" t="str">
        <f t="array" ref="M460">IF($F460&lt;&gt;"",XLOOKUP($F460,Productos!$A:$A,Productos!F:F,"Revisar"),"")</f>
        <v/>
      </c>
      <c r="N460" s="179" t="str">
        <f t="array" ref="N460">IF($F460&lt;&gt;"", XLOOKUP($F460,Productos!$A$2:$A1001,Productos!G$2:G1001,"")*$G460,"")</f>
        <v/>
      </c>
      <c r="O460" s="179" t="str">
        <f t="array" ref="O460">IF($F460&lt;&gt;"",XLOOKUP($F460,Productos!$A:$A,Productos!H:H,"Revisar"),"")</f>
        <v/>
      </c>
      <c r="P460" s="179" t="str">
        <f t="array" ref="P460">IF($F460&lt;&gt;"", XLOOKUP($F460,Productos!$A$2:$A1001,Productos!I$2:I1001,"")*$G460,"")</f>
        <v/>
      </c>
      <c r="Q460" s="179" t="str">
        <f t="array" ref="Q460">IF($F460&lt;&gt;"",XLOOKUP($F460,Productos!$A:$A,Productos!J:J,"Revisar"),"")</f>
        <v/>
      </c>
      <c r="R460" s="179" t="str">
        <f t="array" ref="R460">IF($F460&lt;&gt;"", XLOOKUP($F460,Productos!$A$2:$A1001,Productos!K$2:K1001,"")*$G460,"")</f>
        <v/>
      </c>
      <c r="S460" s="179" t="str">
        <f t="array" ref="S460">IF($F460&lt;&gt;"",XLOOKUP($F460,Productos!$A:$A,Productos!L:L,"Revisar"),"")</f>
        <v/>
      </c>
      <c r="T460" s="179" t="str">
        <f t="array" ref="T460">IF($F460&lt;&gt;"", XLOOKUP($F460,Productos!$A$2:$A1001,Productos!M$2:M1001,"")*$G460,"")</f>
        <v/>
      </c>
      <c r="U460" s="179" t="str">
        <f t="array" ref="U460">IF($F460&lt;&gt;"",XLOOKUP($F460,Productos!$A:$A,Productos!N:N,"Revisar"),"")</f>
        <v/>
      </c>
      <c r="V460" s="179" t="str">
        <f t="array" ref="V460">IF($F460&lt;&gt;"", XLOOKUP($F460,Productos!$A$2:$A1001,Productos!O$2:O1001,"")*$G460,"")</f>
        <v/>
      </c>
      <c r="W460" s="179" t="str">
        <f t="array" ref="W460">IF($F460&lt;&gt;"",XLOOKUP($F460,Productos!$A:$A,Productos!P:P,"Revisar"),"")</f>
        <v/>
      </c>
      <c r="X460" s="179" t="str">
        <f t="array" ref="X460">IF($F460&lt;&gt;"", XLOOKUP($F460,Productos!$A$2:$A1001,Productos!Q$2:Q1001,"")*$G460,"")</f>
        <v/>
      </c>
      <c r="Y460" s="179" t="str">
        <f t="array" ref="Y460">IF($F460&lt;&gt;"",XLOOKUP($F460,Productos!$A:$A,Productos!R:R,"Revisar"),"")</f>
        <v/>
      </c>
      <c r="Z460" s="179" t="str">
        <f t="array" ref="Z460">IF($F460&lt;&gt;"", XLOOKUP($F460,Productos!$A$2:$A1001,Productos!S$2:S1001,"")*$G460,"")</f>
        <v/>
      </c>
      <c r="AA460" s="179" t="str">
        <f t="array" ref="AA460">IF($F460&lt;&gt;"",XLOOKUP($F460,Productos!$A:$A,Productos!T:T,"Revisar"),"")</f>
        <v/>
      </c>
      <c r="AB460" s="179" t="str">
        <f t="array" ref="AB460">IF($F460&lt;&gt;"", XLOOKUP($F460,Productos!$A$2:$A1001,Productos!U$2:U1001,"")*$G460,"")</f>
        <v/>
      </c>
      <c r="AC460" s="179" t="str">
        <f t="array" ref="AC460">IF($F460&lt;&gt;"",XLOOKUP($F460,Productos!$A:$A,Productos!V:V,"Revisar"),"")</f>
        <v/>
      </c>
      <c r="AD460" s="179" t="str">
        <f t="array" ref="AD460">IF($F460&lt;&gt;"", XLOOKUP($F460,Productos!$A$2:$A1001,Productos!W$2:W1001,"")*$G460,"")</f>
        <v/>
      </c>
      <c r="AE460" s="179" t="str">
        <f t="array" ref="AE460">IF($F460&lt;&gt;"",XLOOKUP($F460,Productos!$A:$A,Productos!X:X,"Revisar"),"")</f>
        <v/>
      </c>
      <c r="AF460" s="179" t="str">
        <f t="array" ref="AF460">IF($F460&lt;&gt;"", XLOOKUP($F460,Productos!$A$2:$A1001,Productos!Y$2:Y1001,"")*$G460,"")</f>
        <v/>
      </c>
      <c r="AG460" s="179" t="str">
        <f t="array" ref="AG460">IF($F460&lt;&gt;"",XLOOKUP($F460,Productos!$A:$A,Productos!Z:Z,"Revisar"),"")</f>
        <v/>
      </c>
      <c r="AH460" s="179" t="str">
        <f t="array" ref="AH460">IF($F460&lt;&gt;"", XLOOKUP($F460,Productos!$A$2:$A1001,Productos!AA$2:AA1001,"")*$G460,"")</f>
        <v/>
      </c>
      <c r="AI460" s="179" t="str">
        <f t="array" ref="AI460">IF($F460&lt;&gt;"",XLOOKUP($F460,Productos!$A:$A,Productos!AB:AB,"Revisar"),"")</f>
        <v/>
      </c>
      <c r="AJ460" s="179" t="str">
        <f t="array" ref="AJ460">IF($F460&lt;&gt;"", XLOOKUP($F460,Productos!$A$2:$A1001,Productos!AC$2:AC1001,"")*$G460,"")</f>
        <v/>
      </c>
      <c r="AK460" s="179" t="str">
        <f t="array" ref="AK460">IF($F460&lt;&gt;"",XLOOKUP($F460,Productos!$A:$A,Productos!AD:AD,"Revisar"),"")</f>
        <v/>
      </c>
      <c r="AL460" s="179" t="str">
        <f t="array" ref="AL460">IF($F460&lt;&gt;"", XLOOKUP($F460,Productos!$A$2:$A1001,Productos!AE$2:AE1001,"")*$G460,"")</f>
        <v/>
      </c>
      <c r="AM460" s="179" t="str">
        <f t="array" ref="AM460">IF($F460&lt;&gt;"",XLOOKUP($F460,Productos!$A:$A,Productos!AF:AF,"Revisar"),"")</f>
        <v/>
      </c>
      <c r="AN460" s="179" t="str">
        <f t="array" ref="AN460">IF($F460&lt;&gt;"", XLOOKUP($F460,Productos!$A$2:$A1001,Productos!AG$2:AG1001,"")*$G460,"")</f>
        <v/>
      </c>
      <c r="AO460" s="179" t="str">
        <f t="array" ref="AO460">IF($F460&lt;&gt;"",XLOOKUP($F460,Productos!$A:$A,Productos!AH:AH,"Revisar"),"")</f>
        <v/>
      </c>
      <c r="AP460" s="179" t="str">
        <f t="array" ref="AP460">IF($F460&lt;&gt;"", XLOOKUP($F460,Productos!$A$2:$A1001,Productos!AI$2:AI1001,"")*$G460,"")</f>
        <v/>
      </c>
      <c r="AQ460" s="179" t="str">
        <f t="array" ref="AQ460">IF($F460&lt;&gt;"",XLOOKUP($F460,Productos!$A:$A,Productos!AJ:AJ,"Revisar"),"")</f>
        <v/>
      </c>
      <c r="AR460" s="179" t="str">
        <f t="array" ref="AR460">IF($F460&lt;&gt;"", XLOOKUP($F460,Productos!$A$2:$A1001,Productos!AK$2:AK1001,"")*$G460,"")</f>
        <v/>
      </c>
      <c r="AS460" s="179" t="str">
        <f t="array" ref="AS460">IF($F460&lt;&gt;"",XLOOKUP($F460,Productos!$A:$A,Productos!AL:AL,"Revisar"),"")</f>
        <v/>
      </c>
      <c r="AT460" s="179" t="str">
        <f t="array" ref="AT460">IF($F460&lt;&gt;"", XLOOKUP($F460,Productos!$A$2:$A1001,Productos!AM$2:AM1001,"")*$G460,"")</f>
        <v/>
      </c>
      <c r="AU460" s="179" t="str">
        <f t="array" ref="AU460">IF($F460&lt;&gt;"",XLOOKUP($F460,Productos!$A:$A,Productos!AN:AN,"Revisar"),"")</f>
        <v/>
      </c>
      <c r="AV460" s="179" t="str">
        <f t="array" ref="AV460">IF($F460&lt;&gt;"", XLOOKUP($F460,Productos!$A$2:$A1001,Productos!AO$2:AO1001,"")*$G460,"")</f>
        <v/>
      </c>
      <c r="AW460" s="179" t="str">
        <f t="array" ref="AW460">IF($F460&lt;&gt;"",XLOOKUP($F460,Productos!$A:$A,Productos!AP:AP,"Revisar"),"")</f>
        <v/>
      </c>
      <c r="AX460" s="179" t="str">
        <f t="array" ref="AX460">IF($F460&lt;&gt;"", XLOOKUP($F460,Productos!$A$2:$A1001,Productos!AQ$2:AQ1001,"")*$G460,"")</f>
        <v/>
      </c>
      <c r="AY460" s="179" t="str">
        <f t="array" ref="AY460">IF($F460&lt;&gt;"",XLOOKUP($F460,Productos!$A:$A,Productos!AR:AR,"Revisar"),"")</f>
        <v/>
      </c>
      <c r="AZ460" s="179" t="str">
        <f t="array" ref="AZ460">IF($F460&lt;&gt;"", XLOOKUP($F460,Productos!$A$2:$A1001,Productos!AS$2:AS1001,"")*$G460,"")</f>
        <v/>
      </c>
      <c r="BA460" s="179" t="str">
        <f t="array" ref="BA460">IF($F460&lt;&gt;"",XLOOKUP($F460,Productos!$A:$A,Productos!AT:AT,"Revisar"),"")</f>
        <v/>
      </c>
      <c r="BB460" s="179" t="str">
        <f t="array" ref="BB460">IF($F460&lt;&gt;"", XLOOKUP($F460,Productos!$A$2:$A1001,Productos!AU$2:AU1001,"")*$G460,"")</f>
        <v/>
      </c>
      <c r="BC460" s="179" t="str">
        <f t="array" ref="BC460">IF($F460&lt;&gt;"",XLOOKUP($F460,Productos!$A:$A,Productos!AV:AV,"Revisar"),"")</f>
        <v/>
      </c>
      <c r="BD460" s="179" t="str">
        <f t="array" ref="BD460">IF($F460&lt;&gt;"", XLOOKUP($F460,Productos!$A$2:$A1001,Productos!AW$2:AW1001,"")*$G460,"")</f>
        <v/>
      </c>
      <c r="BE460" s="179" t="str">
        <f t="array" ref="BE460">IF($F460&lt;&gt;"",XLOOKUP($F460,Productos!$A:$A,Productos!AX:AX,"Revisar"),"")</f>
        <v/>
      </c>
      <c r="BF460" s="179" t="str">
        <f t="array" ref="BF460">IF($F460&lt;&gt;"", XLOOKUP($F460,Productos!$A$2:$A1001,Productos!AY$2:AY1001,"")*$G460,"")</f>
        <v/>
      </c>
      <c r="BG460" s="179" t="str">
        <f t="array" ref="BG460">IF($F460&lt;&gt;"",XLOOKUP($F460,Productos!$A:$A,Productos!AZ:AZ,"Revisar"),"")</f>
        <v/>
      </c>
      <c r="BH460" s="179" t="str">
        <f t="array" ref="BH460">IF($F460&lt;&gt;"", XLOOKUP($F460,Productos!$A$2:$A1001,Productos!BA$2:BA1001,"")*$G460,"")</f>
        <v/>
      </c>
      <c r="BI460" s="179" t="str">
        <f t="array" ref="BI460">IF($F460&lt;&gt;"",XLOOKUP($F460,Productos!$A:$A,Productos!BB:BB,"Revisar"),"")</f>
        <v/>
      </c>
      <c r="BJ460" s="179" t="str">
        <f t="array" ref="BJ460">IF($F460&lt;&gt;"", XLOOKUP($F460,Productos!$A$2:$A1001,Productos!BC$2:BC1001,"")*$G460,"")</f>
        <v/>
      </c>
      <c r="BK460" s="179" t="str">
        <f t="array" ref="BK460">IF($F460&lt;&gt;"",XLOOKUP($F460,Productos!$A:$A,Productos!BD:BD,"Revisar"),"")</f>
        <v/>
      </c>
      <c r="BL460" s="179" t="str">
        <f t="array" ref="BL460">IF($F460&lt;&gt;"", XLOOKUP($F460,Productos!$A$2:$A1001,Productos!BE$2:BE1001,"")*$G460,"")</f>
        <v/>
      </c>
      <c r="BM460" s="179" t="str">
        <f t="array" ref="BM460">IF($F460&lt;&gt;"",XLOOKUP($F460,Productos!$A:$A,Productos!BF:BF,"Revisar"),"")</f>
        <v/>
      </c>
      <c r="BN460" s="179" t="str">
        <f t="array" ref="BN460">IF($F460&lt;&gt;"", XLOOKUP($F460,Productos!$A$2:$A1001,Productos!BG$2:BG1001,"")*$G460,"")</f>
        <v/>
      </c>
      <c r="BO460" s="179" t="str">
        <f t="array" ref="BO460">IF($F460&lt;&gt;"",XLOOKUP($F460,Productos!$A:$A,Productos!BH:BH,"Revisar"),"")</f>
        <v/>
      </c>
      <c r="BP460" s="179" t="str">
        <f t="array" ref="BP460">IF($F460&lt;&gt;"", XLOOKUP($F460,Productos!$A$2:$A1001,Productos!BI$2:BI1001,"")*$G460,"")</f>
        <v/>
      </c>
      <c r="BQ460" s="179" t="str">
        <f t="array" ref="BQ460">IF($F460&lt;&gt;"",XLOOKUP($F460,Productos!$A:$A,Productos!BJ:BJ,"Revisar"),"")</f>
        <v/>
      </c>
      <c r="BR460" s="179" t="str">
        <f t="array" ref="BR460">IF($F460&lt;&gt;"", XLOOKUP($F460,Productos!$A$2:$A1001,Productos!BK$2:BK1001,"")*$G460,"")</f>
        <v/>
      </c>
      <c r="BS460" s="179" t="str">
        <f t="array" ref="BS460">IF($F460&lt;&gt;"",XLOOKUP($F460,Productos!$A:$A,Productos!BL:BL,"Revisar"),"")</f>
        <v/>
      </c>
      <c r="BT460" s="179" t="str">
        <f t="array" ref="BT460">IF($F460&lt;&gt;"", XLOOKUP($F460,Productos!$A$2:$A1001,Productos!BM$2:BM1001,"")*$G460,"")</f>
        <v/>
      </c>
      <c r="BU460" s="179" t="str">
        <f t="array" ref="BU460">IF($F460&lt;&gt;"",XLOOKUP($F460,Productos!$A:$A,Productos!BN:BN,"Revisar"),"")</f>
        <v/>
      </c>
      <c r="BV460" s="179" t="str">
        <f t="array" ref="BV460">IF($F460&lt;&gt;"", XLOOKUP($F460,Productos!$A$2:$A1001,Productos!BO$2:BO1001,"")*$G460,"")</f>
        <v/>
      </c>
      <c r="BW460" s="179" t="str">
        <f t="array" ref="BW460">IF($F460&lt;&gt;"",XLOOKUP($F460,Productos!$A:$A,Productos!BP:BP,"Revisar"),"")</f>
        <v/>
      </c>
      <c r="BX460" s="179" t="str">
        <f t="array" ref="BX460">IF($F460&lt;&gt;"", XLOOKUP($F460,Productos!$A$2:$A1001,Productos!BQ$2:BQ1001,"")*$G460,"")</f>
        <v/>
      </c>
      <c r="BY460" s="179" t="str">
        <f t="array" ref="BY460">IF($F460&lt;&gt;"",XLOOKUP($F460,Productos!$A:$A,Productos!BR:BR,"Revisar"),"")</f>
        <v/>
      </c>
      <c r="BZ460" s="179" t="str">
        <f t="array" ref="BZ460">IF($F460&lt;&gt;"", XLOOKUP($F460,Productos!$A$2:$A1001,Productos!BS$2:BS1001,"")*$G460,"")</f>
        <v/>
      </c>
    </row>
    <row r="461">
      <c r="A461" s="188"/>
      <c r="B461" s="189"/>
      <c r="C461" s="190"/>
      <c r="D461" s="190"/>
      <c r="E461" s="191"/>
      <c r="F461" s="186"/>
      <c r="G461" s="192"/>
      <c r="H461" s="9"/>
      <c r="I461" s="179" t="str">
        <f t="array" ref="I461">IF($F461&lt;&gt;"",XLOOKUP($F461,Productos!$A:$A,Productos!B:B,"Revisar"),"")</f>
        <v/>
      </c>
      <c r="J461" s="179" t="str">
        <f t="array" ref="J461">IF($F461&lt;&gt;"", XLOOKUP($F461,Productos!$A$2:$A1001,Productos!C$2:C1001,"")*$G461,"")</f>
        <v/>
      </c>
      <c r="K461" s="179" t="str">
        <f t="array" ref="K461">IF($F461&lt;&gt;"",XLOOKUP($F461,Productos!$A:$A,Productos!D:D,"Revisar"),"")</f>
        <v/>
      </c>
      <c r="L461" s="179" t="str">
        <f t="array" ref="L461">IF($F461&lt;&gt;"", XLOOKUP($F461,Productos!$A$2:$A1001,Productos!E$2:E1001,"")*$G461,"")</f>
        <v/>
      </c>
      <c r="M461" s="179" t="str">
        <f t="array" ref="M461">IF($F461&lt;&gt;"",XLOOKUP($F461,Productos!$A:$A,Productos!F:F,"Revisar"),"")</f>
        <v/>
      </c>
      <c r="N461" s="179" t="str">
        <f t="array" ref="N461">IF($F461&lt;&gt;"", XLOOKUP($F461,Productos!$A$2:$A1001,Productos!G$2:G1001,"")*$G461,"")</f>
        <v/>
      </c>
      <c r="O461" s="179" t="str">
        <f t="array" ref="O461">IF($F461&lt;&gt;"",XLOOKUP($F461,Productos!$A:$A,Productos!H:H,"Revisar"),"")</f>
        <v/>
      </c>
      <c r="P461" s="179" t="str">
        <f t="array" ref="P461">IF($F461&lt;&gt;"", XLOOKUP($F461,Productos!$A$2:$A1001,Productos!I$2:I1001,"")*$G461,"")</f>
        <v/>
      </c>
      <c r="Q461" s="179" t="str">
        <f t="array" ref="Q461">IF($F461&lt;&gt;"",XLOOKUP($F461,Productos!$A:$A,Productos!J:J,"Revisar"),"")</f>
        <v/>
      </c>
      <c r="R461" s="179" t="str">
        <f t="array" ref="R461">IF($F461&lt;&gt;"", XLOOKUP($F461,Productos!$A$2:$A1001,Productos!K$2:K1001,"")*$G461,"")</f>
        <v/>
      </c>
      <c r="S461" s="179" t="str">
        <f t="array" ref="S461">IF($F461&lt;&gt;"",XLOOKUP($F461,Productos!$A:$A,Productos!L:L,"Revisar"),"")</f>
        <v/>
      </c>
      <c r="T461" s="179" t="str">
        <f t="array" ref="T461">IF($F461&lt;&gt;"", XLOOKUP($F461,Productos!$A$2:$A1001,Productos!M$2:M1001,"")*$G461,"")</f>
        <v/>
      </c>
      <c r="U461" s="179" t="str">
        <f t="array" ref="U461">IF($F461&lt;&gt;"",XLOOKUP($F461,Productos!$A:$A,Productos!N:N,"Revisar"),"")</f>
        <v/>
      </c>
      <c r="V461" s="179" t="str">
        <f t="array" ref="V461">IF($F461&lt;&gt;"", XLOOKUP($F461,Productos!$A$2:$A1001,Productos!O$2:O1001,"")*$G461,"")</f>
        <v/>
      </c>
      <c r="W461" s="179" t="str">
        <f t="array" ref="W461">IF($F461&lt;&gt;"",XLOOKUP($F461,Productos!$A:$A,Productos!P:P,"Revisar"),"")</f>
        <v/>
      </c>
      <c r="X461" s="179" t="str">
        <f t="array" ref="X461">IF($F461&lt;&gt;"", XLOOKUP($F461,Productos!$A$2:$A1001,Productos!Q$2:Q1001,"")*$G461,"")</f>
        <v/>
      </c>
      <c r="Y461" s="179" t="str">
        <f t="array" ref="Y461">IF($F461&lt;&gt;"",XLOOKUP($F461,Productos!$A:$A,Productos!R:R,"Revisar"),"")</f>
        <v/>
      </c>
      <c r="Z461" s="179" t="str">
        <f t="array" ref="Z461">IF($F461&lt;&gt;"", XLOOKUP($F461,Productos!$A$2:$A1001,Productos!S$2:S1001,"")*$G461,"")</f>
        <v/>
      </c>
      <c r="AA461" s="179" t="str">
        <f t="array" ref="AA461">IF($F461&lt;&gt;"",XLOOKUP($F461,Productos!$A:$A,Productos!T:T,"Revisar"),"")</f>
        <v/>
      </c>
      <c r="AB461" s="179" t="str">
        <f t="array" ref="AB461">IF($F461&lt;&gt;"", XLOOKUP($F461,Productos!$A$2:$A1001,Productos!U$2:U1001,"")*$G461,"")</f>
        <v/>
      </c>
      <c r="AC461" s="179" t="str">
        <f t="array" ref="AC461">IF($F461&lt;&gt;"",XLOOKUP($F461,Productos!$A:$A,Productos!V:V,"Revisar"),"")</f>
        <v/>
      </c>
      <c r="AD461" s="179" t="str">
        <f t="array" ref="AD461">IF($F461&lt;&gt;"", XLOOKUP($F461,Productos!$A$2:$A1001,Productos!W$2:W1001,"")*$G461,"")</f>
        <v/>
      </c>
      <c r="AE461" s="179" t="str">
        <f t="array" ref="AE461">IF($F461&lt;&gt;"",XLOOKUP($F461,Productos!$A:$A,Productos!X:X,"Revisar"),"")</f>
        <v/>
      </c>
      <c r="AF461" s="179" t="str">
        <f t="array" ref="AF461">IF($F461&lt;&gt;"", XLOOKUP($F461,Productos!$A$2:$A1001,Productos!Y$2:Y1001,"")*$G461,"")</f>
        <v/>
      </c>
      <c r="AG461" s="179" t="str">
        <f t="array" ref="AG461">IF($F461&lt;&gt;"",XLOOKUP($F461,Productos!$A:$A,Productos!Z:Z,"Revisar"),"")</f>
        <v/>
      </c>
      <c r="AH461" s="179" t="str">
        <f t="array" ref="AH461">IF($F461&lt;&gt;"", XLOOKUP($F461,Productos!$A$2:$A1001,Productos!AA$2:AA1001,"")*$G461,"")</f>
        <v/>
      </c>
      <c r="AI461" s="179" t="str">
        <f t="array" ref="AI461">IF($F461&lt;&gt;"",XLOOKUP($F461,Productos!$A:$A,Productos!AB:AB,"Revisar"),"")</f>
        <v/>
      </c>
      <c r="AJ461" s="179" t="str">
        <f t="array" ref="AJ461">IF($F461&lt;&gt;"", XLOOKUP($F461,Productos!$A$2:$A1001,Productos!AC$2:AC1001,"")*$G461,"")</f>
        <v/>
      </c>
      <c r="AK461" s="179" t="str">
        <f t="array" ref="AK461">IF($F461&lt;&gt;"",XLOOKUP($F461,Productos!$A:$A,Productos!AD:AD,"Revisar"),"")</f>
        <v/>
      </c>
      <c r="AL461" s="179" t="str">
        <f t="array" ref="AL461">IF($F461&lt;&gt;"", XLOOKUP($F461,Productos!$A$2:$A1001,Productos!AE$2:AE1001,"")*$G461,"")</f>
        <v/>
      </c>
      <c r="AM461" s="179" t="str">
        <f t="array" ref="AM461">IF($F461&lt;&gt;"",XLOOKUP($F461,Productos!$A:$A,Productos!AF:AF,"Revisar"),"")</f>
        <v/>
      </c>
      <c r="AN461" s="179" t="str">
        <f t="array" ref="AN461">IF($F461&lt;&gt;"", XLOOKUP($F461,Productos!$A$2:$A1001,Productos!AG$2:AG1001,"")*$G461,"")</f>
        <v/>
      </c>
      <c r="AO461" s="179" t="str">
        <f t="array" ref="AO461">IF($F461&lt;&gt;"",XLOOKUP($F461,Productos!$A:$A,Productos!AH:AH,"Revisar"),"")</f>
        <v/>
      </c>
      <c r="AP461" s="179" t="str">
        <f t="array" ref="AP461">IF($F461&lt;&gt;"", XLOOKUP($F461,Productos!$A$2:$A1001,Productos!AI$2:AI1001,"")*$G461,"")</f>
        <v/>
      </c>
      <c r="AQ461" s="179" t="str">
        <f t="array" ref="AQ461">IF($F461&lt;&gt;"",XLOOKUP($F461,Productos!$A:$A,Productos!AJ:AJ,"Revisar"),"")</f>
        <v/>
      </c>
      <c r="AR461" s="179" t="str">
        <f t="array" ref="AR461">IF($F461&lt;&gt;"", XLOOKUP($F461,Productos!$A$2:$A1001,Productos!AK$2:AK1001,"")*$G461,"")</f>
        <v/>
      </c>
      <c r="AS461" s="179" t="str">
        <f t="array" ref="AS461">IF($F461&lt;&gt;"",XLOOKUP($F461,Productos!$A:$A,Productos!AL:AL,"Revisar"),"")</f>
        <v/>
      </c>
      <c r="AT461" s="179" t="str">
        <f t="array" ref="AT461">IF($F461&lt;&gt;"", XLOOKUP($F461,Productos!$A$2:$A1001,Productos!AM$2:AM1001,"")*$G461,"")</f>
        <v/>
      </c>
      <c r="AU461" s="179" t="str">
        <f t="array" ref="AU461">IF($F461&lt;&gt;"",XLOOKUP($F461,Productos!$A:$A,Productos!AN:AN,"Revisar"),"")</f>
        <v/>
      </c>
      <c r="AV461" s="179" t="str">
        <f t="array" ref="AV461">IF($F461&lt;&gt;"", XLOOKUP($F461,Productos!$A$2:$A1001,Productos!AO$2:AO1001,"")*$G461,"")</f>
        <v/>
      </c>
      <c r="AW461" s="179" t="str">
        <f t="array" ref="AW461">IF($F461&lt;&gt;"",XLOOKUP($F461,Productos!$A:$A,Productos!AP:AP,"Revisar"),"")</f>
        <v/>
      </c>
      <c r="AX461" s="179" t="str">
        <f t="array" ref="AX461">IF($F461&lt;&gt;"", XLOOKUP($F461,Productos!$A$2:$A1001,Productos!AQ$2:AQ1001,"")*$G461,"")</f>
        <v/>
      </c>
      <c r="AY461" s="179" t="str">
        <f t="array" ref="AY461">IF($F461&lt;&gt;"",XLOOKUP($F461,Productos!$A:$A,Productos!AR:AR,"Revisar"),"")</f>
        <v/>
      </c>
      <c r="AZ461" s="179" t="str">
        <f t="array" ref="AZ461">IF($F461&lt;&gt;"", XLOOKUP($F461,Productos!$A$2:$A1001,Productos!AS$2:AS1001,"")*$G461,"")</f>
        <v/>
      </c>
      <c r="BA461" s="179" t="str">
        <f t="array" ref="BA461">IF($F461&lt;&gt;"",XLOOKUP($F461,Productos!$A:$A,Productos!AT:AT,"Revisar"),"")</f>
        <v/>
      </c>
      <c r="BB461" s="179" t="str">
        <f t="array" ref="BB461">IF($F461&lt;&gt;"", XLOOKUP($F461,Productos!$A$2:$A1001,Productos!AU$2:AU1001,"")*$G461,"")</f>
        <v/>
      </c>
      <c r="BC461" s="179" t="str">
        <f t="array" ref="BC461">IF($F461&lt;&gt;"",XLOOKUP($F461,Productos!$A:$A,Productos!AV:AV,"Revisar"),"")</f>
        <v/>
      </c>
      <c r="BD461" s="179" t="str">
        <f t="array" ref="BD461">IF($F461&lt;&gt;"", XLOOKUP($F461,Productos!$A$2:$A1001,Productos!AW$2:AW1001,"")*$G461,"")</f>
        <v/>
      </c>
      <c r="BE461" s="179" t="str">
        <f t="array" ref="BE461">IF($F461&lt;&gt;"",XLOOKUP($F461,Productos!$A:$A,Productos!AX:AX,"Revisar"),"")</f>
        <v/>
      </c>
      <c r="BF461" s="179" t="str">
        <f t="array" ref="BF461">IF($F461&lt;&gt;"", XLOOKUP($F461,Productos!$A$2:$A1001,Productos!AY$2:AY1001,"")*$G461,"")</f>
        <v/>
      </c>
      <c r="BG461" s="179" t="str">
        <f t="array" ref="BG461">IF($F461&lt;&gt;"",XLOOKUP($F461,Productos!$A:$A,Productos!AZ:AZ,"Revisar"),"")</f>
        <v/>
      </c>
      <c r="BH461" s="179" t="str">
        <f t="array" ref="BH461">IF($F461&lt;&gt;"", XLOOKUP($F461,Productos!$A$2:$A1001,Productos!BA$2:BA1001,"")*$G461,"")</f>
        <v/>
      </c>
      <c r="BI461" s="179" t="str">
        <f t="array" ref="BI461">IF($F461&lt;&gt;"",XLOOKUP($F461,Productos!$A:$A,Productos!BB:BB,"Revisar"),"")</f>
        <v/>
      </c>
      <c r="BJ461" s="179" t="str">
        <f t="array" ref="BJ461">IF($F461&lt;&gt;"", XLOOKUP($F461,Productos!$A$2:$A1001,Productos!BC$2:BC1001,"")*$G461,"")</f>
        <v/>
      </c>
      <c r="BK461" s="179" t="str">
        <f t="array" ref="BK461">IF($F461&lt;&gt;"",XLOOKUP($F461,Productos!$A:$A,Productos!BD:BD,"Revisar"),"")</f>
        <v/>
      </c>
      <c r="BL461" s="179" t="str">
        <f t="array" ref="BL461">IF($F461&lt;&gt;"", XLOOKUP($F461,Productos!$A$2:$A1001,Productos!BE$2:BE1001,"")*$G461,"")</f>
        <v/>
      </c>
      <c r="BM461" s="179" t="str">
        <f t="array" ref="BM461">IF($F461&lt;&gt;"",XLOOKUP($F461,Productos!$A:$A,Productos!BF:BF,"Revisar"),"")</f>
        <v/>
      </c>
      <c r="BN461" s="179" t="str">
        <f t="array" ref="BN461">IF($F461&lt;&gt;"", XLOOKUP($F461,Productos!$A$2:$A1001,Productos!BG$2:BG1001,"")*$G461,"")</f>
        <v/>
      </c>
      <c r="BO461" s="179" t="str">
        <f t="array" ref="BO461">IF($F461&lt;&gt;"",XLOOKUP($F461,Productos!$A:$A,Productos!BH:BH,"Revisar"),"")</f>
        <v/>
      </c>
      <c r="BP461" s="179" t="str">
        <f t="array" ref="BP461">IF($F461&lt;&gt;"", XLOOKUP($F461,Productos!$A$2:$A1001,Productos!BI$2:BI1001,"")*$G461,"")</f>
        <v/>
      </c>
      <c r="BQ461" s="179" t="str">
        <f t="array" ref="BQ461">IF($F461&lt;&gt;"",XLOOKUP($F461,Productos!$A:$A,Productos!BJ:BJ,"Revisar"),"")</f>
        <v/>
      </c>
      <c r="BR461" s="179" t="str">
        <f t="array" ref="BR461">IF($F461&lt;&gt;"", XLOOKUP($F461,Productos!$A$2:$A1001,Productos!BK$2:BK1001,"")*$G461,"")</f>
        <v/>
      </c>
      <c r="BS461" s="179" t="str">
        <f t="array" ref="BS461">IF($F461&lt;&gt;"",XLOOKUP($F461,Productos!$A:$A,Productos!BL:BL,"Revisar"),"")</f>
        <v/>
      </c>
      <c r="BT461" s="179" t="str">
        <f t="array" ref="BT461">IF($F461&lt;&gt;"", XLOOKUP($F461,Productos!$A$2:$A1001,Productos!BM$2:BM1001,"")*$G461,"")</f>
        <v/>
      </c>
      <c r="BU461" s="179" t="str">
        <f t="array" ref="BU461">IF($F461&lt;&gt;"",XLOOKUP($F461,Productos!$A:$A,Productos!BN:BN,"Revisar"),"")</f>
        <v/>
      </c>
      <c r="BV461" s="179" t="str">
        <f t="array" ref="BV461">IF($F461&lt;&gt;"", XLOOKUP($F461,Productos!$A$2:$A1001,Productos!BO$2:BO1001,"")*$G461,"")</f>
        <v/>
      </c>
      <c r="BW461" s="179" t="str">
        <f t="array" ref="BW461">IF($F461&lt;&gt;"",XLOOKUP($F461,Productos!$A:$A,Productos!BP:BP,"Revisar"),"")</f>
        <v/>
      </c>
      <c r="BX461" s="179" t="str">
        <f t="array" ref="BX461">IF($F461&lt;&gt;"", XLOOKUP($F461,Productos!$A$2:$A1001,Productos!BQ$2:BQ1001,"")*$G461,"")</f>
        <v/>
      </c>
      <c r="BY461" s="179" t="str">
        <f t="array" ref="BY461">IF($F461&lt;&gt;"",XLOOKUP($F461,Productos!$A:$A,Productos!BR:BR,"Revisar"),"")</f>
        <v/>
      </c>
      <c r="BZ461" s="179" t="str">
        <f t="array" ref="BZ461">IF($F461&lt;&gt;"", XLOOKUP($F461,Productos!$A$2:$A1001,Productos!BS$2:BS1001,"")*$G461,"")</f>
        <v/>
      </c>
    </row>
    <row r="462">
      <c r="A462" s="188"/>
      <c r="B462" s="189"/>
      <c r="C462" s="190"/>
      <c r="D462" s="190"/>
      <c r="E462" s="191"/>
      <c r="F462" s="186"/>
      <c r="G462" s="192"/>
      <c r="H462" s="9"/>
      <c r="I462" s="179" t="str">
        <f t="array" ref="I462">IF($F462&lt;&gt;"",XLOOKUP($F462,Productos!$A:$A,Productos!B:B,"Revisar"),"")</f>
        <v/>
      </c>
      <c r="J462" s="179" t="str">
        <f t="array" ref="J462">IF($F462&lt;&gt;"", XLOOKUP($F462,Productos!$A$2:$A1001,Productos!C$2:C1001,"")*$G462,"")</f>
        <v/>
      </c>
      <c r="K462" s="179" t="str">
        <f t="array" ref="K462">IF($F462&lt;&gt;"",XLOOKUP($F462,Productos!$A:$A,Productos!D:D,"Revisar"),"")</f>
        <v/>
      </c>
      <c r="L462" s="179" t="str">
        <f t="array" ref="L462">IF($F462&lt;&gt;"", XLOOKUP($F462,Productos!$A$2:$A1001,Productos!E$2:E1001,"")*$G462,"")</f>
        <v/>
      </c>
      <c r="M462" s="179" t="str">
        <f t="array" ref="M462">IF($F462&lt;&gt;"",XLOOKUP($F462,Productos!$A:$A,Productos!F:F,"Revisar"),"")</f>
        <v/>
      </c>
      <c r="N462" s="179" t="str">
        <f t="array" ref="N462">IF($F462&lt;&gt;"", XLOOKUP($F462,Productos!$A$2:$A1001,Productos!G$2:G1001,"")*$G462,"")</f>
        <v/>
      </c>
      <c r="O462" s="179" t="str">
        <f t="array" ref="O462">IF($F462&lt;&gt;"",XLOOKUP($F462,Productos!$A:$A,Productos!H:H,"Revisar"),"")</f>
        <v/>
      </c>
      <c r="P462" s="179" t="str">
        <f t="array" ref="P462">IF($F462&lt;&gt;"", XLOOKUP($F462,Productos!$A$2:$A1001,Productos!I$2:I1001,"")*$G462,"")</f>
        <v/>
      </c>
      <c r="Q462" s="179" t="str">
        <f t="array" ref="Q462">IF($F462&lt;&gt;"",XLOOKUP($F462,Productos!$A:$A,Productos!J:J,"Revisar"),"")</f>
        <v/>
      </c>
      <c r="R462" s="179" t="str">
        <f t="array" ref="R462">IF($F462&lt;&gt;"", XLOOKUP($F462,Productos!$A$2:$A1001,Productos!K$2:K1001,"")*$G462,"")</f>
        <v/>
      </c>
      <c r="S462" s="179" t="str">
        <f t="array" ref="S462">IF($F462&lt;&gt;"",XLOOKUP($F462,Productos!$A:$A,Productos!L:L,"Revisar"),"")</f>
        <v/>
      </c>
      <c r="T462" s="179" t="str">
        <f t="array" ref="T462">IF($F462&lt;&gt;"", XLOOKUP($F462,Productos!$A$2:$A1001,Productos!M$2:M1001,"")*$G462,"")</f>
        <v/>
      </c>
      <c r="U462" s="179" t="str">
        <f t="array" ref="U462">IF($F462&lt;&gt;"",XLOOKUP($F462,Productos!$A:$A,Productos!N:N,"Revisar"),"")</f>
        <v/>
      </c>
      <c r="V462" s="179" t="str">
        <f t="array" ref="V462">IF($F462&lt;&gt;"", XLOOKUP($F462,Productos!$A$2:$A1001,Productos!O$2:O1001,"")*$G462,"")</f>
        <v/>
      </c>
      <c r="W462" s="179" t="str">
        <f t="array" ref="W462">IF($F462&lt;&gt;"",XLOOKUP($F462,Productos!$A:$A,Productos!P:P,"Revisar"),"")</f>
        <v/>
      </c>
      <c r="X462" s="179" t="str">
        <f t="array" ref="X462">IF($F462&lt;&gt;"", XLOOKUP($F462,Productos!$A$2:$A1001,Productos!Q$2:Q1001,"")*$G462,"")</f>
        <v/>
      </c>
      <c r="Y462" s="179" t="str">
        <f t="array" ref="Y462">IF($F462&lt;&gt;"",XLOOKUP($F462,Productos!$A:$A,Productos!R:R,"Revisar"),"")</f>
        <v/>
      </c>
      <c r="Z462" s="179" t="str">
        <f t="array" ref="Z462">IF($F462&lt;&gt;"", XLOOKUP($F462,Productos!$A$2:$A1001,Productos!S$2:S1001,"")*$G462,"")</f>
        <v/>
      </c>
      <c r="AA462" s="179" t="str">
        <f t="array" ref="AA462">IF($F462&lt;&gt;"",XLOOKUP($F462,Productos!$A:$A,Productos!T:T,"Revisar"),"")</f>
        <v/>
      </c>
      <c r="AB462" s="179" t="str">
        <f t="array" ref="AB462">IF($F462&lt;&gt;"", XLOOKUP($F462,Productos!$A$2:$A1001,Productos!U$2:U1001,"")*$G462,"")</f>
        <v/>
      </c>
      <c r="AC462" s="179" t="str">
        <f t="array" ref="AC462">IF($F462&lt;&gt;"",XLOOKUP($F462,Productos!$A:$A,Productos!V:V,"Revisar"),"")</f>
        <v/>
      </c>
      <c r="AD462" s="179" t="str">
        <f t="array" ref="AD462">IF($F462&lt;&gt;"", XLOOKUP($F462,Productos!$A$2:$A1001,Productos!W$2:W1001,"")*$G462,"")</f>
        <v/>
      </c>
      <c r="AE462" s="179" t="str">
        <f t="array" ref="AE462">IF($F462&lt;&gt;"",XLOOKUP($F462,Productos!$A:$A,Productos!X:X,"Revisar"),"")</f>
        <v/>
      </c>
      <c r="AF462" s="179" t="str">
        <f t="array" ref="AF462">IF($F462&lt;&gt;"", XLOOKUP($F462,Productos!$A$2:$A1001,Productos!Y$2:Y1001,"")*$G462,"")</f>
        <v/>
      </c>
      <c r="AG462" s="179" t="str">
        <f t="array" ref="AG462">IF($F462&lt;&gt;"",XLOOKUP($F462,Productos!$A:$A,Productos!Z:Z,"Revisar"),"")</f>
        <v/>
      </c>
      <c r="AH462" s="179" t="str">
        <f t="array" ref="AH462">IF($F462&lt;&gt;"", XLOOKUP($F462,Productos!$A$2:$A1001,Productos!AA$2:AA1001,"")*$G462,"")</f>
        <v/>
      </c>
      <c r="AI462" s="179" t="str">
        <f t="array" ref="AI462">IF($F462&lt;&gt;"",XLOOKUP($F462,Productos!$A:$A,Productos!AB:AB,"Revisar"),"")</f>
        <v/>
      </c>
      <c r="AJ462" s="179" t="str">
        <f t="array" ref="AJ462">IF($F462&lt;&gt;"", XLOOKUP($F462,Productos!$A$2:$A1001,Productos!AC$2:AC1001,"")*$G462,"")</f>
        <v/>
      </c>
      <c r="AK462" s="179" t="str">
        <f t="array" ref="AK462">IF($F462&lt;&gt;"",XLOOKUP($F462,Productos!$A:$A,Productos!AD:AD,"Revisar"),"")</f>
        <v/>
      </c>
      <c r="AL462" s="179" t="str">
        <f t="array" ref="AL462">IF($F462&lt;&gt;"", XLOOKUP($F462,Productos!$A$2:$A1001,Productos!AE$2:AE1001,"")*$G462,"")</f>
        <v/>
      </c>
      <c r="AM462" s="179" t="str">
        <f t="array" ref="AM462">IF($F462&lt;&gt;"",XLOOKUP($F462,Productos!$A:$A,Productos!AF:AF,"Revisar"),"")</f>
        <v/>
      </c>
      <c r="AN462" s="179" t="str">
        <f t="array" ref="AN462">IF($F462&lt;&gt;"", XLOOKUP($F462,Productos!$A$2:$A1001,Productos!AG$2:AG1001,"")*$G462,"")</f>
        <v/>
      </c>
      <c r="AO462" s="179" t="str">
        <f t="array" ref="AO462">IF($F462&lt;&gt;"",XLOOKUP($F462,Productos!$A:$A,Productos!AH:AH,"Revisar"),"")</f>
        <v/>
      </c>
      <c r="AP462" s="179" t="str">
        <f t="array" ref="AP462">IF($F462&lt;&gt;"", XLOOKUP($F462,Productos!$A$2:$A1001,Productos!AI$2:AI1001,"")*$G462,"")</f>
        <v/>
      </c>
      <c r="AQ462" s="179" t="str">
        <f t="array" ref="AQ462">IF($F462&lt;&gt;"",XLOOKUP($F462,Productos!$A:$A,Productos!AJ:AJ,"Revisar"),"")</f>
        <v/>
      </c>
      <c r="AR462" s="179" t="str">
        <f t="array" ref="AR462">IF($F462&lt;&gt;"", XLOOKUP($F462,Productos!$A$2:$A1001,Productos!AK$2:AK1001,"")*$G462,"")</f>
        <v/>
      </c>
      <c r="AS462" s="179" t="str">
        <f t="array" ref="AS462">IF($F462&lt;&gt;"",XLOOKUP($F462,Productos!$A:$A,Productos!AL:AL,"Revisar"),"")</f>
        <v/>
      </c>
      <c r="AT462" s="179" t="str">
        <f t="array" ref="AT462">IF($F462&lt;&gt;"", XLOOKUP($F462,Productos!$A$2:$A1001,Productos!AM$2:AM1001,"")*$G462,"")</f>
        <v/>
      </c>
      <c r="AU462" s="179" t="str">
        <f t="array" ref="AU462">IF($F462&lt;&gt;"",XLOOKUP($F462,Productos!$A:$A,Productos!AN:AN,"Revisar"),"")</f>
        <v/>
      </c>
      <c r="AV462" s="179" t="str">
        <f t="array" ref="AV462">IF($F462&lt;&gt;"", XLOOKUP($F462,Productos!$A$2:$A1001,Productos!AO$2:AO1001,"")*$G462,"")</f>
        <v/>
      </c>
      <c r="AW462" s="179" t="str">
        <f t="array" ref="AW462">IF($F462&lt;&gt;"",XLOOKUP($F462,Productos!$A:$A,Productos!AP:AP,"Revisar"),"")</f>
        <v/>
      </c>
      <c r="AX462" s="179" t="str">
        <f t="array" ref="AX462">IF($F462&lt;&gt;"", XLOOKUP($F462,Productos!$A$2:$A1001,Productos!AQ$2:AQ1001,"")*$G462,"")</f>
        <v/>
      </c>
      <c r="AY462" s="179" t="str">
        <f t="array" ref="AY462">IF($F462&lt;&gt;"",XLOOKUP($F462,Productos!$A:$A,Productos!AR:AR,"Revisar"),"")</f>
        <v/>
      </c>
      <c r="AZ462" s="179" t="str">
        <f t="array" ref="AZ462">IF($F462&lt;&gt;"", XLOOKUP($F462,Productos!$A$2:$A1001,Productos!AS$2:AS1001,"")*$G462,"")</f>
        <v/>
      </c>
      <c r="BA462" s="179" t="str">
        <f t="array" ref="BA462">IF($F462&lt;&gt;"",XLOOKUP($F462,Productos!$A:$A,Productos!AT:AT,"Revisar"),"")</f>
        <v/>
      </c>
      <c r="BB462" s="179" t="str">
        <f t="array" ref="BB462">IF($F462&lt;&gt;"", XLOOKUP($F462,Productos!$A$2:$A1001,Productos!AU$2:AU1001,"")*$G462,"")</f>
        <v/>
      </c>
      <c r="BC462" s="179" t="str">
        <f t="array" ref="BC462">IF($F462&lt;&gt;"",XLOOKUP($F462,Productos!$A:$A,Productos!AV:AV,"Revisar"),"")</f>
        <v/>
      </c>
      <c r="BD462" s="179" t="str">
        <f t="array" ref="BD462">IF($F462&lt;&gt;"", XLOOKUP($F462,Productos!$A$2:$A1001,Productos!AW$2:AW1001,"")*$G462,"")</f>
        <v/>
      </c>
      <c r="BE462" s="179" t="str">
        <f t="array" ref="BE462">IF($F462&lt;&gt;"",XLOOKUP($F462,Productos!$A:$A,Productos!AX:AX,"Revisar"),"")</f>
        <v/>
      </c>
      <c r="BF462" s="179" t="str">
        <f t="array" ref="BF462">IF($F462&lt;&gt;"", XLOOKUP($F462,Productos!$A$2:$A1001,Productos!AY$2:AY1001,"")*$G462,"")</f>
        <v/>
      </c>
      <c r="BG462" s="179" t="str">
        <f t="array" ref="BG462">IF($F462&lt;&gt;"",XLOOKUP($F462,Productos!$A:$A,Productos!AZ:AZ,"Revisar"),"")</f>
        <v/>
      </c>
      <c r="BH462" s="179" t="str">
        <f t="array" ref="BH462">IF($F462&lt;&gt;"", XLOOKUP($F462,Productos!$A$2:$A1001,Productos!BA$2:BA1001,"")*$G462,"")</f>
        <v/>
      </c>
      <c r="BI462" s="179" t="str">
        <f t="array" ref="BI462">IF($F462&lt;&gt;"",XLOOKUP($F462,Productos!$A:$A,Productos!BB:BB,"Revisar"),"")</f>
        <v/>
      </c>
      <c r="BJ462" s="179" t="str">
        <f t="array" ref="BJ462">IF($F462&lt;&gt;"", XLOOKUP($F462,Productos!$A$2:$A1001,Productos!BC$2:BC1001,"")*$G462,"")</f>
        <v/>
      </c>
      <c r="BK462" s="179" t="str">
        <f t="array" ref="BK462">IF($F462&lt;&gt;"",XLOOKUP($F462,Productos!$A:$A,Productos!BD:BD,"Revisar"),"")</f>
        <v/>
      </c>
      <c r="BL462" s="179" t="str">
        <f t="array" ref="BL462">IF($F462&lt;&gt;"", XLOOKUP($F462,Productos!$A$2:$A1001,Productos!BE$2:BE1001,"")*$G462,"")</f>
        <v/>
      </c>
      <c r="BM462" s="179" t="str">
        <f t="array" ref="BM462">IF($F462&lt;&gt;"",XLOOKUP($F462,Productos!$A:$A,Productos!BF:BF,"Revisar"),"")</f>
        <v/>
      </c>
      <c r="BN462" s="179" t="str">
        <f t="array" ref="BN462">IF($F462&lt;&gt;"", XLOOKUP($F462,Productos!$A$2:$A1001,Productos!BG$2:BG1001,"")*$G462,"")</f>
        <v/>
      </c>
      <c r="BO462" s="179" t="str">
        <f t="array" ref="BO462">IF($F462&lt;&gt;"",XLOOKUP($F462,Productos!$A:$A,Productos!BH:BH,"Revisar"),"")</f>
        <v/>
      </c>
      <c r="BP462" s="179" t="str">
        <f t="array" ref="BP462">IF($F462&lt;&gt;"", XLOOKUP($F462,Productos!$A$2:$A1001,Productos!BI$2:BI1001,"")*$G462,"")</f>
        <v/>
      </c>
      <c r="BQ462" s="179" t="str">
        <f t="array" ref="BQ462">IF($F462&lt;&gt;"",XLOOKUP($F462,Productos!$A:$A,Productos!BJ:BJ,"Revisar"),"")</f>
        <v/>
      </c>
      <c r="BR462" s="179" t="str">
        <f t="array" ref="BR462">IF($F462&lt;&gt;"", XLOOKUP($F462,Productos!$A$2:$A1001,Productos!BK$2:BK1001,"")*$G462,"")</f>
        <v/>
      </c>
      <c r="BS462" s="179" t="str">
        <f t="array" ref="BS462">IF($F462&lt;&gt;"",XLOOKUP($F462,Productos!$A:$A,Productos!BL:BL,"Revisar"),"")</f>
        <v/>
      </c>
      <c r="BT462" s="179" t="str">
        <f t="array" ref="BT462">IF($F462&lt;&gt;"", XLOOKUP($F462,Productos!$A$2:$A1001,Productos!BM$2:BM1001,"")*$G462,"")</f>
        <v/>
      </c>
      <c r="BU462" s="179" t="str">
        <f t="array" ref="BU462">IF($F462&lt;&gt;"",XLOOKUP($F462,Productos!$A:$A,Productos!BN:BN,"Revisar"),"")</f>
        <v/>
      </c>
      <c r="BV462" s="179" t="str">
        <f t="array" ref="BV462">IF($F462&lt;&gt;"", XLOOKUP($F462,Productos!$A$2:$A1001,Productos!BO$2:BO1001,"")*$G462,"")</f>
        <v/>
      </c>
      <c r="BW462" s="179" t="str">
        <f t="array" ref="BW462">IF($F462&lt;&gt;"",XLOOKUP($F462,Productos!$A:$A,Productos!BP:BP,"Revisar"),"")</f>
        <v/>
      </c>
      <c r="BX462" s="179" t="str">
        <f t="array" ref="BX462">IF($F462&lt;&gt;"", XLOOKUP($F462,Productos!$A$2:$A1001,Productos!BQ$2:BQ1001,"")*$G462,"")</f>
        <v/>
      </c>
      <c r="BY462" s="179" t="str">
        <f t="array" ref="BY462">IF($F462&lt;&gt;"",XLOOKUP($F462,Productos!$A:$A,Productos!BR:BR,"Revisar"),"")</f>
        <v/>
      </c>
      <c r="BZ462" s="179" t="str">
        <f t="array" ref="BZ462">IF($F462&lt;&gt;"", XLOOKUP($F462,Productos!$A$2:$A1001,Productos!BS$2:BS1001,"")*$G462,"")</f>
        <v/>
      </c>
    </row>
    <row r="463">
      <c r="A463" s="188"/>
      <c r="B463" s="189"/>
      <c r="C463" s="190"/>
      <c r="D463" s="190"/>
      <c r="E463" s="191"/>
      <c r="F463" s="186"/>
      <c r="G463" s="192"/>
      <c r="H463" s="9"/>
      <c r="I463" s="179" t="str">
        <f t="array" ref="I463">IF($F463&lt;&gt;"",XLOOKUP($F463,Productos!$A:$A,Productos!B:B,"Revisar"),"")</f>
        <v/>
      </c>
      <c r="J463" s="179" t="str">
        <f t="array" ref="J463">IF($F463&lt;&gt;"", XLOOKUP($F463,Productos!$A$2:$A1001,Productos!C$2:C1001,"")*$G463,"")</f>
        <v/>
      </c>
      <c r="K463" s="179" t="str">
        <f t="array" ref="K463">IF($F463&lt;&gt;"",XLOOKUP($F463,Productos!$A:$A,Productos!D:D,"Revisar"),"")</f>
        <v/>
      </c>
      <c r="L463" s="179" t="str">
        <f t="array" ref="L463">IF($F463&lt;&gt;"", XLOOKUP($F463,Productos!$A$2:$A1001,Productos!E$2:E1001,"")*$G463,"")</f>
        <v/>
      </c>
      <c r="M463" s="179" t="str">
        <f t="array" ref="M463">IF($F463&lt;&gt;"",XLOOKUP($F463,Productos!$A:$A,Productos!F:F,"Revisar"),"")</f>
        <v/>
      </c>
      <c r="N463" s="179" t="str">
        <f t="array" ref="N463">IF($F463&lt;&gt;"", XLOOKUP($F463,Productos!$A$2:$A1001,Productos!G$2:G1001,"")*$G463,"")</f>
        <v/>
      </c>
      <c r="O463" s="179" t="str">
        <f t="array" ref="O463">IF($F463&lt;&gt;"",XLOOKUP($F463,Productos!$A:$A,Productos!H:H,"Revisar"),"")</f>
        <v/>
      </c>
      <c r="P463" s="179" t="str">
        <f t="array" ref="P463">IF($F463&lt;&gt;"", XLOOKUP($F463,Productos!$A$2:$A1001,Productos!I$2:I1001,"")*$G463,"")</f>
        <v/>
      </c>
      <c r="Q463" s="179" t="str">
        <f t="array" ref="Q463">IF($F463&lt;&gt;"",XLOOKUP($F463,Productos!$A:$A,Productos!J:J,"Revisar"),"")</f>
        <v/>
      </c>
      <c r="R463" s="179" t="str">
        <f t="array" ref="R463">IF($F463&lt;&gt;"", XLOOKUP($F463,Productos!$A$2:$A1001,Productos!K$2:K1001,"")*$G463,"")</f>
        <v/>
      </c>
      <c r="S463" s="179" t="str">
        <f t="array" ref="S463">IF($F463&lt;&gt;"",XLOOKUP($F463,Productos!$A:$A,Productos!L:L,"Revisar"),"")</f>
        <v/>
      </c>
      <c r="T463" s="179" t="str">
        <f t="array" ref="T463">IF($F463&lt;&gt;"", XLOOKUP($F463,Productos!$A$2:$A1001,Productos!M$2:M1001,"")*$G463,"")</f>
        <v/>
      </c>
      <c r="U463" s="179" t="str">
        <f t="array" ref="U463">IF($F463&lt;&gt;"",XLOOKUP($F463,Productos!$A:$A,Productos!N:N,"Revisar"),"")</f>
        <v/>
      </c>
      <c r="V463" s="179" t="str">
        <f t="array" ref="V463">IF($F463&lt;&gt;"", XLOOKUP($F463,Productos!$A$2:$A1001,Productos!O$2:O1001,"")*$G463,"")</f>
        <v/>
      </c>
      <c r="W463" s="179" t="str">
        <f t="array" ref="W463">IF($F463&lt;&gt;"",XLOOKUP($F463,Productos!$A:$A,Productos!P:P,"Revisar"),"")</f>
        <v/>
      </c>
      <c r="X463" s="179" t="str">
        <f t="array" ref="X463">IF($F463&lt;&gt;"", XLOOKUP($F463,Productos!$A$2:$A1001,Productos!Q$2:Q1001,"")*$G463,"")</f>
        <v/>
      </c>
      <c r="Y463" s="179" t="str">
        <f t="array" ref="Y463">IF($F463&lt;&gt;"",XLOOKUP($F463,Productos!$A:$A,Productos!R:R,"Revisar"),"")</f>
        <v/>
      </c>
      <c r="Z463" s="179" t="str">
        <f t="array" ref="Z463">IF($F463&lt;&gt;"", XLOOKUP($F463,Productos!$A$2:$A1001,Productos!S$2:S1001,"")*$G463,"")</f>
        <v/>
      </c>
      <c r="AA463" s="179" t="str">
        <f t="array" ref="AA463">IF($F463&lt;&gt;"",XLOOKUP($F463,Productos!$A:$A,Productos!T:T,"Revisar"),"")</f>
        <v/>
      </c>
      <c r="AB463" s="179" t="str">
        <f t="array" ref="AB463">IF($F463&lt;&gt;"", XLOOKUP($F463,Productos!$A$2:$A1001,Productos!U$2:U1001,"")*$G463,"")</f>
        <v/>
      </c>
      <c r="AC463" s="179" t="str">
        <f t="array" ref="AC463">IF($F463&lt;&gt;"",XLOOKUP($F463,Productos!$A:$A,Productos!V:V,"Revisar"),"")</f>
        <v/>
      </c>
      <c r="AD463" s="179" t="str">
        <f t="array" ref="AD463">IF($F463&lt;&gt;"", XLOOKUP($F463,Productos!$A$2:$A1001,Productos!W$2:W1001,"")*$G463,"")</f>
        <v/>
      </c>
      <c r="AE463" s="179" t="str">
        <f t="array" ref="AE463">IF($F463&lt;&gt;"",XLOOKUP($F463,Productos!$A:$A,Productos!X:X,"Revisar"),"")</f>
        <v/>
      </c>
      <c r="AF463" s="179" t="str">
        <f t="array" ref="AF463">IF($F463&lt;&gt;"", XLOOKUP($F463,Productos!$A$2:$A1001,Productos!Y$2:Y1001,"")*$G463,"")</f>
        <v/>
      </c>
      <c r="AG463" s="179" t="str">
        <f t="array" ref="AG463">IF($F463&lt;&gt;"",XLOOKUP($F463,Productos!$A:$A,Productos!Z:Z,"Revisar"),"")</f>
        <v/>
      </c>
      <c r="AH463" s="179" t="str">
        <f t="array" ref="AH463">IF($F463&lt;&gt;"", XLOOKUP($F463,Productos!$A$2:$A1001,Productos!AA$2:AA1001,"")*$G463,"")</f>
        <v/>
      </c>
      <c r="AI463" s="179" t="str">
        <f t="array" ref="AI463">IF($F463&lt;&gt;"",XLOOKUP($F463,Productos!$A:$A,Productos!AB:AB,"Revisar"),"")</f>
        <v/>
      </c>
      <c r="AJ463" s="179" t="str">
        <f t="array" ref="AJ463">IF($F463&lt;&gt;"", XLOOKUP($F463,Productos!$A$2:$A1001,Productos!AC$2:AC1001,"")*$G463,"")</f>
        <v/>
      </c>
      <c r="AK463" s="179" t="str">
        <f t="array" ref="AK463">IF($F463&lt;&gt;"",XLOOKUP($F463,Productos!$A:$A,Productos!AD:AD,"Revisar"),"")</f>
        <v/>
      </c>
      <c r="AL463" s="179" t="str">
        <f t="array" ref="AL463">IF($F463&lt;&gt;"", XLOOKUP($F463,Productos!$A$2:$A1001,Productos!AE$2:AE1001,"")*$G463,"")</f>
        <v/>
      </c>
      <c r="AM463" s="179" t="str">
        <f t="array" ref="AM463">IF($F463&lt;&gt;"",XLOOKUP($F463,Productos!$A:$A,Productos!AF:AF,"Revisar"),"")</f>
        <v/>
      </c>
      <c r="AN463" s="179" t="str">
        <f t="array" ref="AN463">IF($F463&lt;&gt;"", XLOOKUP($F463,Productos!$A$2:$A1001,Productos!AG$2:AG1001,"")*$G463,"")</f>
        <v/>
      </c>
      <c r="AO463" s="179" t="str">
        <f t="array" ref="AO463">IF($F463&lt;&gt;"",XLOOKUP($F463,Productos!$A:$A,Productos!AH:AH,"Revisar"),"")</f>
        <v/>
      </c>
      <c r="AP463" s="179" t="str">
        <f t="array" ref="AP463">IF($F463&lt;&gt;"", XLOOKUP($F463,Productos!$A$2:$A1001,Productos!AI$2:AI1001,"")*$G463,"")</f>
        <v/>
      </c>
      <c r="AQ463" s="179" t="str">
        <f t="array" ref="AQ463">IF($F463&lt;&gt;"",XLOOKUP($F463,Productos!$A:$A,Productos!AJ:AJ,"Revisar"),"")</f>
        <v/>
      </c>
      <c r="AR463" s="179" t="str">
        <f t="array" ref="AR463">IF($F463&lt;&gt;"", XLOOKUP($F463,Productos!$A$2:$A1001,Productos!AK$2:AK1001,"")*$G463,"")</f>
        <v/>
      </c>
      <c r="AS463" s="179" t="str">
        <f t="array" ref="AS463">IF($F463&lt;&gt;"",XLOOKUP($F463,Productos!$A:$A,Productos!AL:AL,"Revisar"),"")</f>
        <v/>
      </c>
      <c r="AT463" s="179" t="str">
        <f t="array" ref="AT463">IF($F463&lt;&gt;"", XLOOKUP($F463,Productos!$A$2:$A1001,Productos!AM$2:AM1001,"")*$G463,"")</f>
        <v/>
      </c>
      <c r="AU463" s="179" t="str">
        <f t="array" ref="AU463">IF($F463&lt;&gt;"",XLOOKUP($F463,Productos!$A:$A,Productos!AN:AN,"Revisar"),"")</f>
        <v/>
      </c>
      <c r="AV463" s="179" t="str">
        <f t="array" ref="AV463">IF($F463&lt;&gt;"", XLOOKUP($F463,Productos!$A$2:$A1001,Productos!AO$2:AO1001,"")*$G463,"")</f>
        <v/>
      </c>
      <c r="AW463" s="179" t="str">
        <f t="array" ref="AW463">IF($F463&lt;&gt;"",XLOOKUP($F463,Productos!$A:$A,Productos!AP:AP,"Revisar"),"")</f>
        <v/>
      </c>
      <c r="AX463" s="179" t="str">
        <f t="array" ref="AX463">IF($F463&lt;&gt;"", XLOOKUP($F463,Productos!$A$2:$A1001,Productos!AQ$2:AQ1001,"")*$G463,"")</f>
        <v/>
      </c>
      <c r="AY463" s="179" t="str">
        <f t="array" ref="AY463">IF($F463&lt;&gt;"",XLOOKUP($F463,Productos!$A:$A,Productos!AR:AR,"Revisar"),"")</f>
        <v/>
      </c>
      <c r="AZ463" s="179" t="str">
        <f t="array" ref="AZ463">IF($F463&lt;&gt;"", XLOOKUP($F463,Productos!$A$2:$A1001,Productos!AS$2:AS1001,"")*$G463,"")</f>
        <v/>
      </c>
      <c r="BA463" s="179" t="str">
        <f t="array" ref="BA463">IF($F463&lt;&gt;"",XLOOKUP($F463,Productos!$A:$A,Productos!AT:AT,"Revisar"),"")</f>
        <v/>
      </c>
      <c r="BB463" s="179" t="str">
        <f t="array" ref="BB463">IF($F463&lt;&gt;"", XLOOKUP($F463,Productos!$A$2:$A1001,Productos!AU$2:AU1001,"")*$G463,"")</f>
        <v/>
      </c>
      <c r="BC463" s="179" t="str">
        <f t="array" ref="BC463">IF($F463&lt;&gt;"",XLOOKUP($F463,Productos!$A:$A,Productos!AV:AV,"Revisar"),"")</f>
        <v/>
      </c>
      <c r="BD463" s="179" t="str">
        <f t="array" ref="BD463">IF($F463&lt;&gt;"", XLOOKUP($F463,Productos!$A$2:$A1001,Productos!AW$2:AW1001,"")*$G463,"")</f>
        <v/>
      </c>
      <c r="BE463" s="179" t="str">
        <f t="array" ref="BE463">IF($F463&lt;&gt;"",XLOOKUP($F463,Productos!$A:$A,Productos!AX:AX,"Revisar"),"")</f>
        <v/>
      </c>
      <c r="BF463" s="179" t="str">
        <f t="array" ref="BF463">IF($F463&lt;&gt;"", XLOOKUP($F463,Productos!$A$2:$A1001,Productos!AY$2:AY1001,"")*$G463,"")</f>
        <v/>
      </c>
      <c r="BG463" s="179" t="str">
        <f t="array" ref="BG463">IF($F463&lt;&gt;"",XLOOKUP($F463,Productos!$A:$A,Productos!AZ:AZ,"Revisar"),"")</f>
        <v/>
      </c>
      <c r="BH463" s="179" t="str">
        <f t="array" ref="BH463">IF($F463&lt;&gt;"", XLOOKUP($F463,Productos!$A$2:$A1001,Productos!BA$2:BA1001,"")*$G463,"")</f>
        <v/>
      </c>
      <c r="BI463" s="179" t="str">
        <f t="array" ref="BI463">IF($F463&lt;&gt;"",XLOOKUP($F463,Productos!$A:$A,Productos!BB:BB,"Revisar"),"")</f>
        <v/>
      </c>
      <c r="BJ463" s="179" t="str">
        <f t="array" ref="BJ463">IF($F463&lt;&gt;"", XLOOKUP($F463,Productos!$A$2:$A1001,Productos!BC$2:BC1001,"")*$G463,"")</f>
        <v/>
      </c>
      <c r="BK463" s="179" t="str">
        <f t="array" ref="BK463">IF($F463&lt;&gt;"",XLOOKUP($F463,Productos!$A:$A,Productos!BD:BD,"Revisar"),"")</f>
        <v/>
      </c>
      <c r="BL463" s="179" t="str">
        <f t="array" ref="BL463">IF($F463&lt;&gt;"", XLOOKUP($F463,Productos!$A$2:$A1001,Productos!BE$2:BE1001,"")*$G463,"")</f>
        <v/>
      </c>
      <c r="BM463" s="179" t="str">
        <f t="array" ref="BM463">IF($F463&lt;&gt;"",XLOOKUP($F463,Productos!$A:$A,Productos!BF:BF,"Revisar"),"")</f>
        <v/>
      </c>
      <c r="BN463" s="179" t="str">
        <f t="array" ref="BN463">IF($F463&lt;&gt;"", XLOOKUP($F463,Productos!$A$2:$A1001,Productos!BG$2:BG1001,"")*$G463,"")</f>
        <v/>
      </c>
      <c r="BO463" s="179" t="str">
        <f t="array" ref="BO463">IF($F463&lt;&gt;"",XLOOKUP($F463,Productos!$A:$A,Productos!BH:BH,"Revisar"),"")</f>
        <v/>
      </c>
      <c r="BP463" s="179" t="str">
        <f t="array" ref="BP463">IF($F463&lt;&gt;"", XLOOKUP($F463,Productos!$A$2:$A1001,Productos!BI$2:BI1001,"")*$G463,"")</f>
        <v/>
      </c>
      <c r="BQ463" s="179" t="str">
        <f t="array" ref="BQ463">IF($F463&lt;&gt;"",XLOOKUP($F463,Productos!$A:$A,Productos!BJ:BJ,"Revisar"),"")</f>
        <v/>
      </c>
      <c r="BR463" s="179" t="str">
        <f t="array" ref="BR463">IF($F463&lt;&gt;"", XLOOKUP($F463,Productos!$A$2:$A1001,Productos!BK$2:BK1001,"")*$G463,"")</f>
        <v/>
      </c>
      <c r="BS463" s="179" t="str">
        <f t="array" ref="BS463">IF($F463&lt;&gt;"",XLOOKUP($F463,Productos!$A:$A,Productos!BL:BL,"Revisar"),"")</f>
        <v/>
      </c>
      <c r="BT463" s="179" t="str">
        <f t="array" ref="BT463">IF($F463&lt;&gt;"", XLOOKUP($F463,Productos!$A$2:$A1001,Productos!BM$2:BM1001,"")*$G463,"")</f>
        <v/>
      </c>
      <c r="BU463" s="179" t="str">
        <f t="array" ref="BU463">IF($F463&lt;&gt;"",XLOOKUP($F463,Productos!$A:$A,Productos!BN:BN,"Revisar"),"")</f>
        <v/>
      </c>
      <c r="BV463" s="179" t="str">
        <f t="array" ref="BV463">IF($F463&lt;&gt;"", XLOOKUP($F463,Productos!$A$2:$A1001,Productos!BO$2:BO1001,"")*$G463,"")</f>
        <v/>
      </c>
      <c r="BW463" s="179" t="str">
        <f t="array" ref="BW463">IF($F463&lt;&gt;"",XLOOKUP($F463,Productos!$A:$A,Productos!BP:BP,"Revisar"),"")</f>
        <v/>
      </c>
      <c r="BX463" s="179" t="str">
        <f t="array" ref="BX463">IF($F463&lt;&gt;"", XLOOKUP($F463,Productos!$A$2:$A1001,Productos!BQ$2:BQ1001,"")*$G463,"")</f>
        <v/>
      </c>
      <c r="BY463" s="179" t="str">
        <f t="array" ref="BY463">IF($F463&lt;&gt;"",XLOOKUP($F463,Productos!$A:$A,Productos!BR:BR,"Revisar"),"")</f>
        <v/>
      </c>
      <c r="BZ463" s="179" t="str">
        <f t="array" ref="BZ463">IF($F463&lt;&gt;"", XLOOKUP($F463,Productos!$A$2:$A1001,Productos!BS$2:BS1001,"")*$G463,"")</f>
        <v/>
      </c>
    </row>
    <row r="464">
      <c r="A464" s="188"/>
      <c r="B464" s="189"/>
      <c r="C464" s="190"/>
      <c r="D464" s="190"/>
      <c r="E464" s="191"/>
      <c r="F464" s="186"/>
      <c r="G464" s="192"/>
      <c r="H464" s="9"/>
      <c r="I464" s="179" t="str">
        <f t="array" ref="I464">IF($F464&lt;&gt;"",XLOOKUP($F464,Productos!$A:$A,Productos!B:B,"Revisar"),"")</f>
        <v/>
      </c>
      <c r="J464" s="179" t="str">
        <f t="array" ref="J464">IF($F464&lt;&gt;"", XLOOKUP($F464,Productos!$A$2:$A1001,Productos!C$2:C1001,"")*$G464,"")</f>
        <v/>
      </c>
      <c r="K464" s="179" t="str">
        <f t="array" ref="K464">IF($F464&lt;&gt;"",XLOOKUP($F464,Productos!$A:$A,Productos!D:D,"Revisar"),"")</f>
        <v/>
      </c>
      <c r="L464" s="179" t="str">
        <f t="array" ref="L464">IF($F464&lt;&gt;"", XLOOKUP($F464,Productos!$A$2:$A1001,Productos!E$2:E1001,"")*$G464,"")</f>
        <v/>
      </c>
      <c r="M464" s="179" t="str">
        <f t="array" ref="M464">IF($F464&lt;&gt;"",XLOOKUP($F464,Productos!$A:$A,Productos!F:F,"Revisar"),"")</f>
        <v/>
      </c>
      <c r="N464" s="179" t="str">
        <f t="array" ref="N464">IF($F464&lt;&gt;"", XLOOKUP($F464,Productos!$A$2:$A1001,Productos!G$2:G1001,"")*$G464,"")</f>
        <v/>
      </c>
      <c r="O464" s="179" t="str">
        <f t="array" ref="O464">IF($F464&lt;&gt;"",XLOOKUP($F464,Productos!$A:$A,Productos!H:H,"Revisar"),"")</f>
        <v/>
      </c>
      <c r="P464" s="179" t="str">
        <f t="array" ref="P464">IF($F464&lt;&gt;"", XLOOKUP($F464,Productos!$A$2:$A1001,Productos!I$2:I1001,"")*$G464,"")</f>
        <v/>
      </c>
      <c r="Q464" s="179" t="str">
        <f t="array" ref="Q464">IF($F464&lt;&gt;"",XLOOKUP($F464,Productos!$A:$A,Productos!J:J,"Revisar"),"")</f>
        <v/>
      </c>
      <c r="R464" s="179" t="str">
        <f t="array" ref="R464">IF($F464&lt;&gt;"", XLOOKUP($F464,Productos!$A$2:$A1001,Productos!K$2:K1001,"")*$G464,"")</f>
        <v/>
      </c>
      <c r="S464" s="179" t="str">
        <f t="array" ref="S464">IF($F464&lt;&gt;"",XLOOKUP($F464,Productos!$A:$A,Productos!L:L,"Revisar"),"")</f>
        <v/>
      </c>
      <c r="T464" s="179" t="str">
        <f t="array" ref="T464">IF($F464&lt;&gt;"", XLOOKUP($F464,Productos!$A$2:$A1001,Productos!M$2:M1001,"")*$G464,"")</f>
        <v/>
      </c>
      <c r="U464" s="179" t="str">
        <f t="array" ref="U464">IF($F464&lt;&gt;"",XLOOKUP($F464,Productos!$A:$A,Productos!N:N,"Revisar"),"")</f>
        <v/>
      </c>
      <c r="V464" s="179" t="str">
        <f t="array" ref="V464">IF($F464&lt;&gt;"", XLOOKUP($F464,Productos!$A$2:$A1001,Productos!O$2:O1001,"")*$G464,"")</f>
        <v/>
      </c>
      <c r="W464" s="179" t="str">
        <f t="array" ref="W464">IF($F464&lt;&gt;"",XLOOKUP($F464,Productos!$A:$A,Productos!P:P,"Revisar"),"")</f>
        <v/>
      </c>
      <c r="X464" s="179" t="str">
        <f t="array" ref="X464">IF($F464&lt;&gt;"", XLOOKUP($F464,Productos!$A$2:$A1001,Productos!Q$2:Q1001,"")*$G464,"")</f>
        <v/>
      </c>
      <c r="Y464" s="179" t="str">
        <f t="array" ref="Y464">IF($F464&lt;&gt;"",XLOOKUP($F464,Productos!$A:$A,Productos!R:R,"Revisar"),"")</f>
        <v/>
      </c>
      <c r="Z464" s="179" t="str">
        <f t="array" ref="Z464">IF($F464&lt;&gt;"", XLOOKUP($F464,Productos!$A$2:$A1001,Productos!S$2:S1001,"")*$G464,"")</f>
        <v/>
      </c>
      <c r="AA464" s="179" t="str">
        <f t="array" ref="AA464">IF($F464&lt;&gt;"",XLOOKUP($F464,Productos!$A:$A,Productos!T:T,"Revisar"),"")</f>
        <v/>
      </c>
      <c r="AB464" s="179" t="str">
        <f t="array" ref="AB464">IF($F464&lt;&gt;"", XLOOKUP($F464,Productos!$A$2:$A1001,Productos!U$2:U1001,"")*$G464,"")</f>
        <v/>
      </c>
      <c r="AC464" s="179" t="str">
        <f t="array" ref="AC464">IF($F464&lt;&gt;"",XLOOKUP($F464,Productos!$A:$A,Productos!V:V,"Revisar"),"")</f>
        <v/>
      </c>
      <c r="AD464" s="179" t="str">
        <f t="array" ref="AD464">IF($F464&lt;&gt;"", XLOOKUP($F464,Productos!$A$2:$A1001,Productos!W$2:W1001,"")*$G464,"")</f>
        <v/>
      </c>
      <c r="AE464" s="179" t="str">
        <f t="array" ref="AE464">IF($F464&lt;&gt;"",XLOOKUP($F464,Productos!$A:$A,Productos!X:X,"Revisar"),"")</f>
        <v/>
      </c>
      <c r="AF464" s="179" t="str">
        <f t="array" ref="AF464">IF($F464&lt;&gt;"", XLOOKUP($F464,Productos!$A$2:$A1001,Productos!Y$2:Y1001,"")*$G464,"")</f>
        <v/>
      </c>
      <c r="AG464" s="179" t="str">
        <f t="array" ref="AG464">IF($F464&lt;&gt;"",XLOOKUP($F464,Productos!$A:$A,Productos!Z:Z,"Revisar"),"")</f>
        <v/>
      </c>
      <c r="AH464" s="179" t="str">
        <f t="array" ref="AH464">IF($F464&lt;&gt;"", XLOOKUP($F464,Productos!$A$2:$A1001,Productos!AA$2:AA1001,"")*$G464,"")</f>
        <v/>
      </c>
      <c r="AI464" s="179" t="str">
        <f t="array" ref="AI464">IF($F464&lt;&gt;"",XLOOKUP($F464,Productos!$A:$A,Productos!AB:AB,"Revisar"),"")</f>
        <v/>
      </c>
      <c r="AJ464" s="179" t="str">
        <f t="array" ref="AJ464">IF($F464&lt;&gt;"", XLOOKUP($F464,Productos!$A$2:$A1001,Productos!AC$2:AC1001,"")*$G464,"")</f>
        <v/>
      </c>
      <c r="AK464" s="179" t="str">
        <f t="array" ref="AK464">IF($F464&lt;&gt;"",XLOOKUP($F464,Productos!$A:$A,Productos!AD:AD,"Revisar"),"")</f>
        <v/>
      </c>
      <c r="AL464" s="179" t="str">
        <f t="array" ref="AL464">IF($F464&lt;&gt;"", XLOOKUP($F464,Productos!$A$2:$A1001,Productos!AE$2:AE1001,"")*$G464,"")</f>
        <v/>
      </c>
      <c r="AM464" s="179" t="str">
        <f t="array" ref="AM464">IF($F464&lt;&gt;"",XLOOKUP($F464,Productos!$A:$A,Productos!AF:AF,"Revisar"),"")</f>
        <v/>
      </c>
      <c r="AN464" s="179" t="str">
        <f t="array" ref="AN464">IF($F464&lt;&gt;"", XLOOKUP($F464,Productos!$A$2:$A1001,Productos!AG$2:AG1001,"")*$G464,"")</f>
        <v/>
      </c>
      <c r="AO464" s="179" t="str">
        <f t="array" ref="AO464">IF($F464&lt;&gt;"",XLOOKUP($F464,Productos!$A:$A,Productos!AH:AH,"Revisar"),"")</f>
        <v/>
      </c>
      <c r="AP464" s="179" t="str">
        <f t="array" ref="AP464">IF($F464&lt;&gt;"", XLOOKUP($F464,Productos!$A$2:$A1001,Productos!AI$2:AI1001,"")*$G464,"")</f>
        <v/>
      </c>
      <c r="AQ464" s="179" t="str">
        <f t="array" ref="AQ464">IF($F464&lt;&gt;"",XLOOKUP($F464,Productos!$A:$A,Productos!AJ:AJ,"Revisar"),"")</f>
        <v/>
      </c>
      <c r="AR464" s="179" t="str">
        <f t="array" ref="AR464">IF($F464&lt;&gt;"", XLOOKUP($F464,Productos!$A$2:$A1001,Productos!AK$2:AK1001,"")*$G464,"")</f>
        <v/>
      </c>
      <c r="AS464" s="179" t="str">
        <f t="array" ref="AS464">IF($F464&lt;&gt;"",XLOOKUP($F464,Productos!$A:$A,Productos!AL:AL,"Revisar"),"")</f>
        <v/>
      </c>
      <c r="AT464" s="179" t="str">
        <f t="array" ref="AT464">IF($F464&lt;&gt;"", XLOOKUP($F464,Productos!$A$2:$A1001,Productos!AM$2:AM1001,"")*$G464,"")</f>
        <v/>
      </c>
      <c r="AU464" s="179" t="str">
        <f t="array" ref="AU464">IF($F464&lt;&gt;"",XLOOKUP($F464,Productos!$A:$A,Productos!AN:AN,"Revisar"),"")</f>
        <v/>
      </c>
      <c r="AV464" s="179" t="str">
        <f t="array" ref="AV464">IF($F464&lt;&gt;"", XLOOKUP($F464,Productos!$A$2:$A1001,Productos!AO$2:AO1001,"")*$G464,"")</f>
        <v/>
      </c>
      <c r="AW464" s="179" t="str">
        <f t="array" ref="AW464">IF($F464&lt;&gt;"",XLOOKUP($F464,Productos!$A:$A,Productos!AP:AP,"Revisar"),"")</f>
        <v/>
      </c>
      <c r="AX464" s="179" t="str">
        <f t="array" ref="AX464">IF($F464&lt;&gt;"", XLOOKUP($F464,Productos!$A$2:$A1001,Productos!AQ$2:AQ1001,"")*$G464,"")</f>
        <v/>
      </c>
      <c r="AY464" s="179" t="str">
        <f t="array" ref="AY464">IF($F464&lt;&gt;"",XLOOKUP($F464,Productos!$A:$A,Productos!AR:AR,"Revisar"),"")</f>
        <v/>
      </c>
      <c r="AZ464" s="179" t="str">
        <f t="array" ref="AZ464">IF($F464&lt;&gt;"", XLOOKUP($F464,Productos!$A$2:$A1001,Productos!AS$2:AS1001,"")*$G464,"")</f>
        <v/>
      </c>
      <c r="BA464" s="179" t="str">
        <f t="array" ref="BA464">IF($F464&lt;&gt;"",XLOOKUP($F464,Productos!$A:$A,Productos!AT:AT,"Revisar"),"")</f>
        <v/>
      </c>
      <c r="BB464" s="179" t="str">
        <f t="array" ref="BB464">IF($F464&lt;&gt;"", XLOOKUP($F464,Productos!$A$2:$A1001,Productos!AU$2:AU1001,"")*$G464,"")</f>
        <v/>
      </c>
      <c r="BC464" s="179" t="str">
        <f t="array" ref="BC464">IF($F464&lt;&gt;"",XLOOKUP($F464,Productos!$A:$A,Productos!AV:AV,"Revisar"),"")</f>
        <v/>
      </c>
      <c r="BD464" s="179" t="str">
        <f t="array" ref="BD464">IF($F464&lt;&gt;"", XLOOKUP($F464,Productos!$A$2:$A1001,Productos!AW$2:AW1001,"")*$G464,"")</f>
        <v/>
      </c>
      <c r="BE464" s="179" t="str">
        <f t="array" ref="BE464">IF($F464&lt;&gt;"",XLOOKUP($F464,Productos!$A:$A,Productos!AX:AX,"Revisar"),"")</f>
        <v/>
      </c>
      <c r="BF464" s="179" t="str">
        <f t="array" ref="BF464">IF($F464&lt;&gt;"", XLOOKUP($F464,Productos!$A$2:$A1001,Productos!AY$2:AY1001,"")*$G464,"")</f>
        <v/>
      </c>
      <c r="BG464" s="179" t="str">
        <f t="array" ref="BG464">IF($F464&lt;&gt;"",XLOOKUP($F464,Productos!$A:$A,Productos!AZ:AZ,"Revisar"),"")</f>
        <v/>
      </c>
      <c r="BH464" s="179" t="str">
        <f t="array" ref="BH464">IF($F464&lt;&gt;"", XLOOKUP($F464,Productos!$A$2:$A1001,Productos!BA$2:BA1001,"")*$G464,"")</f>
        <v/>
      </c>
      <c r="BI464" s="179" t="str">
        <f t="array" ref="BI464">IF($F464&lt;&gt;"",XLOOKUP($F464,Productos!$A:$A,Productos!BB:BB,"Revisar"),"")</f>
        <v/>
      </c>
      <c r="BJ464" s="179" t="str">
        <f t="array" ref="BJ464">IF($F464&lt;&gt;"", XLOOKUP($F464,Productos!$A$2:$A1001,Productos!BC$2:BC1001,"")*$G464,"")</f>
        <v/>
      </c>
      <c r="BK464" s="179" t="str">
        <f t="array" ref="BK464">IF($F464&lt;&gt;"",XLOOKUP($F464,Productos!$A:$A,Productos!BD:BD,"Revisar"),"")</f>
        <v/>
      </c>
      <c r="BL464" s="179" t="str">
        <f t="array" ref="BL464">IF($F464&lt;&gt;"", XLOOKUP($F464,Productos!$A$2:$A1001,Productos!BE$2:BE1001,"")*$G464,"")</f>
        <v/>
      </c>
      <c r="BM464" s="179" t="str">
        <f t="array" ref="BM464">IF($F464&lt;&gt;"",XLOOKUP($F464,Productos!$A:$A,Productos!BF:BF,"Revisar"),"")</f>
        <v/>
      </c>
      <c r="BN464" s="179" t="str">
        <f t="array" ref="BN464">IF($F464&lt;&gt;"", XLOOKUP($F464,Productos!$A$2:$A1001,Productos!BG$2:BG1001,"")*$G464,"")</f>
        <v/>
      </c>
      <c r="BO464" s="179" t="str">
        <f t="array" ref="BO464">IF($F464&lt;&gt;"",XLOOKUP($F464,Productos!$A:$A,Productos!BH:BH,"Revisar"),"")</f>
        <v/>
      </c>
      <c r="BP464" s="179" t="str">
        <f t="array" ref="BP464">IF($F464&lt;&gt;"", XLOOKUP($F464,Productos!$A$2:$A1001,Productos!BI$2:BI1001,"")*$G464,"")</f>
        <v/>
      </c>
      <c r="BQ464" s="179" t="str">
        <f t="array" ref="BQ464">IF($F464&lt;&gt;"",XLOOKUP($F464,Productos!$A:$A,Productos!BJ:BJ,"Revisar"),"")</f>
        <v/>
      </c>
      <c r="BR464" s="179" t="str">
        <f t="array" ref="BR464">IF($F464&lt;&gt;"", XLOOKUP($F464,Productos!$A$2:$A1001,Productos!BK$2:BK1001,"")*$G464,"")</f>
        <v/>
      </c>
      <c r="BS464" s="179" t="str">
        <f t="array" ref="BS464">IF($F464&lt;&gt;"",XLOOKUP($F464,Productos!$A:$A,Productos!BL:BL,"Revisar"),"")</f>
        <v/>
      </c>
      <c r="BT464" s="179" t="str">
        <f t="array" ref="BT464">IF($F464&lt;&gt;"", XLOOKUP($F464,Productos!$A$2:$A1001,Productos!BM$2:BM1001,"")*$G464,"")</f>
        <v/>
      </c>
      <c r="BU464" s="179" t="str">
        <f t="array" ref="BU464">IF($F464&lt;&gt;"",XLOOKUP($F464,Productos!$A:$A,Productos!BN:BN,"Revisar"),"")</f>
        <v/>
      </c>
      <c r="BV464" s="179" t="str">
        <f t="array" ref="BV464">IF($F464&lt;&gt;"", XLOOKUP($F464,Productos!$A$2:$A1001,Productos!BO$2:BO1001,"")*$G464,"")</f>
        <v/>
      </c>
      <c r="BW464" s="179" t="str">
        <f t="array" ref="BW464">IF($F464&lt;&gt;"",XLOOKUP($F464,Productos!$A:$A,Productos!BP:BP,"Revisar"),"")</f>
        <v/>
      </c>
      <c r="BX464" s="179" t="str">
        <f t="array" ref="BX464">IF($F464&lt;&gt;"", XLOOKUP($F464,Productos!$A$2:$A1001,Productos!BQ$2:BQ1001,"")*$G464,"")</f>
        <v/>
      </c>
      <c r="BY464" s="179" t="str">
        <f t="array" ref="BY464">IF($F464&lt;&gt;"",XLOOKUP($F464,Productos!$A:$A,Productos!BR:BR,"Revisar"),"")</f>
        <v/>
      </c>
      <c r="BZ464" s="179" t="str">
        <f t="array" ref="BZ464">IF($F464&lt;&gt;"", XLOOKUP($F464,Productos!$A$2:$A1001,Productos!BS$2:BS1001,"")*$G464,"")</f>
        <v/>
      </c>
    </row>
    <row r="465">
      <c r="A465" s="188"/>
      <c r="B465" s="189"/>
      <c r="C465" s="190"/>
      <c r="D465" s="190"/>
      <c r="E465" s="191"/>
      <c r="F465" s="186"/>
      <c r="G465" s="192"/>
      <c r="H465" s="9"/>
      <c r="I465" s="179" t="str">
        <f t="array" ref="I465">IF($F465&lt;&gt;"",XLOOKUP($F465,Productos!$A:$A,Productos!B:B,"Revisar"),"")</f>
        <v/>
      </c>
      <c r="J465" s="179" t="str">
        <f t="array" ref="J465">IF($F465&lt;&gt;"", XLOOKUP($F465,Productos!$A$2:$A1001,Productos!C$2:C1001,"")*$G465,"")</f>
        <v/>
      </c>
      <c r="K465" s="179" t="str">
        <f t="array" ref="K465">IF($F465&lt;&gt;"",XLOOKUP($F465,Productos!$A:$A,Productos!D:D,"Revisar"),"")</f>
        <v/>
      </c>
      <c r="L465" s="179" t="str">
        <f t="array" ref="L465">IF($F465&lt;&gt;"", XLOOKUP($F465,Productos!$A$2:$A1001,Productos!E$2:E1001,"")*$G465,"")</f>
        <v/>
      </c>
      <c r="M465" s="179" t="str">
        <f t="array" ref="M465">IF($F465&lt;&gt;"",XLOOKUP($F465,Productos!$A:$A,Productos!F:F,"Revisar"),"")</f>
        <v/>
      </c>
      <c r="N465" s="179" t="str">
        <f t="array" ref="N465">IF($F465&lt;&gt;"", XLOOKUP($F465,Productos!$A$2:$A1001,Productos!G$2:G1001,"")*$G465,"")</f>
        <v/>
      </c>
      <c r="O465" s="179" t="str">
        <f t="array" ref="O465">IF($F465&lt;&gt;"",XLOOKUP($F465,Productos!$A:$A,Productos!H:H,"Revisar"),"")</f>
        <v/>
      </c>
      <c r="P465" s="179" t="str">
        <f t="array" ref="P465">IF($F465&lt;&gt;"", XLOOKUP($F465,Productos!$A$2:$A1001,Productos!I$2:I1001,"")*$G465,"")</f>
        <v/>
      </c>
      <c r="Q465" s="179" t="str">
        <f t="array" ref="Q465">IF($F465&lt;&gt;"",XLOOKUP($F465,Productos!$A:$A,Productos!J:J,"Revisar"),"")</f>
        <v/>
      </c>
      <c r="R465" s="179" t="str">
        <f t="array" ref="R465">IF($F465&lt;&gt;"", XLOOKUP($F465,Productos!$A$2:$A1001,Productos!K$2:K1001,"")*$G465,"")</f>
        <v/>
      </c>
      <c r="S465" s="179" t="str">
        <f t="array" ref="S465">IF($F465&lt;&gt;"",XLOOKUP($F465,Productos!$A:$A,Productos!L:L,"Revisar"),"")</f>
        <v/>
      </c>
      <c r="T465" s="179" t="str">
        <f t="array" ref="T465">IF($F465&lt;&gt;"", XLOOKUP($F465,Productos!$A$2:$A1001,Productos!M$2:M1001,"")*$G465,"")</f>
        <v/>
      </c>
      <c r="U465" s="179" t="str">
        <f t="array" ref="U465">IF($F465&lt;&gt;"",XLOOKUP($F465,Productos!$A:$A,Productos!N:N,"Revisar"),"")</f>
        <v/>
      </c>
      <c r="V465" s="179" t="str">
        <f t="array" ref="V465">IF($F465&lt;&gt;"", XLOOKUP($F465,Productos!$A$2:$A1001,Productos!O$2:O1001,"")*$G465,"")</f>
        <v/>
      </c>
      <c r="W465" s="179" t="str">
        <f t="array" ref="W465">IF($F465&lt;&gt;"",XLOOKUP($F465,Productos!$A:$A,Productos!P:P,"Revisar"),"")</f>
        <v/>
      </c>
      <c r="X465" s="179" t="str">
        <f t="array" ref="X465">IF($F465&lt;&gt;"", XLOOKUP($F465,Productos!$A$2:$A1001,Productos!Q$2:Q1001,"")*$G465,"")</f>
        <v/>
      </c>
      <c r="Y465" s="179" t="str">
        <f t="array" ref="Y465">IF($F465&lt;&gt;"",XLOOKUP($F465,Productos!$A:$A,Productos!R:R,"Revisar"),"")</f>
        <v/>
      </c>
      <c r="Z465" s="179" t="str">
        <f t="array" ref="Z465">IF($F465&lt;&gt;"", XLOOKUP($F465,Productos!$A$2:$A1001,Productos!S$2:S1001,"")*$G465,"")</f>
        <v/>
      </c>
      <c r="AA465" s="179" t="str">
        <f t="array" ref="AA465">IF($F465&lt;&gt;"",XLOOKUP($F465,Productos!$A:$A,Productos!T:T,"Revisar"),"")</f>
        <v/>
      </c>
      <c r="AB465" s="179" t="str">
        <f t="array" ref="AB465">IF($F465&lt;&gt;"", XLOOKUP($F465,Productos!$A$2:$A1001,Productos!U$2:U1001,"")*$G465,"")</f>
        <v/>
      </c>
      <c r="AC465" s="179" t="str">
        <f t="array" ref="AC465">IF($F465&lt;&gt;"",XLOOKUP($F465,Productos!$A:$A,Productos!V:V,"Revisar"),"")</f>
        <v/>
      </c>
      <c r="AD465" s="179" t="str">
        <f t="array" ref="AD465">IF($F465&lt;&gt;"", XLOOKUP($F465,Productos!$A$2:$A1001,Productos!W$2:W1001,"")*$G465,"")</f>
        <v/>
      </c>
      <c r="AE465" s="179" t="str">
        <f t="array" ref="AE465">IF($F465&lt;&gt;"",XLOOKUP($F465,Productos!$A:$A,Productos!X:X,"Revisar"),"")</f>
        <v/>
      </c>
      <c r="AF465" s="179" t="str">
        <f t="array" ref="AF465">IF($F465&lt;&gt;"", XLOOKUP($F465,Productos!$A$2:$A1001,Productos!Y$2:Y1001,"")*$G465,"")</f>
        <v/>
      </c>
      <c r="AG465" s="179" t="str">
        <f t="array" ref="AG465">IF($F465&lt;&gt;"",XLOOKUP($F465,Productos!$A:$A,Productos!Z:Z,"Revisar"),"")</f>
        <v/>
      </c>
      <c r="AH465" s="179" t="str">
        <f t="array" ref="AH465">IF($F465&lt;&gt;"", XLOOKUP($F465,Productos!$A$2:$A1001,Productos!AA$2:AA1001,"")*$G465,"")</f>
        <v/>
      </c>
      <c r="AI465" s="179" t="str">
        <f t="array" ref="AI465">IF($F465&lt;&gt;"",XLOOKUP($F465,Productos!$A:$A,Productos!AB:AB,"Revisar"),"")</f>
        <v/>
      </c>
      <c r="AJ465" s="179" t="str">
        <f t="array" ref="AJ465">IF($F465&lt;&gt;"", XLOOKUP($F465,Productos!$A$2:$A1001,Productos!AC$2:AC1001,"")*$G465,"")</f>
        <v/>
      </c>
      <c r="AK465" s="179" t="str">
        <f t="array" ref="AK465">IF($F465&lt;&gt;"",XLOOKUP($F465,Productos!$A:$A,Productos!AD:AD,"Revisar"),"")</f>
        <v/>
      </c>
      <c r="AL465" s="179" t="str">
        <f t="array" ref="AL465">IF($F465&lt;&gt;"", XLOOKUP($F465,Productos!$A$2:$A1001,Productos!AE$2:AE1001,"")*$G465,"")</f>
        <v/>
      </c>
      <c r="AM465" s="179" t="str">
        <f t="array" ref="AM465">IF($F465&lt;&gt;"",XLOOKUP($F465,Productos!$A:$A,Productos!AF:AF,"Revisar"),"")</f>
        <v/>
      </c>
      <c r="AN465" s="179" t="str">
        <f t="array" ref="AN465">IF($F465&lt;&gt;"", XLOOKUP($F465,Productos!$A$2:$A1001,Productos!AG$2:AG1001,"")*$G465,"")</f>
        <v/>
      </c>
      <c r="AO465" s="179" t="str">
        <f t="array" ref="AO465">IF($F465&lt;&gt;"",XLOOKUP($F465,Productos!$A:$A,Productos!AH:AH,"Revisar"),"")</f>
        <v/>
      </c>
      <c r="AP465" s="179" t="str">
        <f t="array" ref="AP465">IF($F465&lt;&gt;"", XLOOKUP($F465,Productos!$A$2:$A1001,Productos!AI$2:AI1001,"")*$G465,"")</f>
        <v/>
      </c>
      <c r="AQ465" s="179" t="str">
        <f t="array" ref="AQ465">IF($F465&lt;&gt;"",XLOOKUP($F465,Productos!$A:$A,Productos!AJ:AJ,"Revisar"),"")</f>
        <v/>
      </c>
      <c r="AR465" s="179" t="str">
        <f t="array" ref="AR465">IF($F465&lt;&gt;"", XLOOKUP($F465,Productos!$A$2:$A1001,Productos!AK$2:AK1001,"")*$G465,"")</f>
        <v/>
      </c>
      <c r="AS465" s="179" t="str">
        <f t="array" ref="AS465">IF($F465&lt;&gt;"",XLOOKUP($F465,Productos!$A:$A,Productos!AL:AL,"Revisar"),"")</f>
        <v/>
      </c>
      <c r="AT465" s="179" t="str">
        <f t="array" ref="AT465">IF($F465&lt;&gt;"", XLOOKUP($F465,Productos!$A$2:$A1001,Productos!AM$2:AM1001,"")*$G465,"")</f>
        <v/>
      </c>
      <c r="AU465" s="179" t="str">
        <f t="array" ref="AU465">IF($F465&lt;&gt;"",XLOOKUP($F465,Productos!$A:$A,Productos!AN:AN,"Revisar"),"")</f>
        <v/>
      </c>
      <c r="AV465" s="179" t="str">
        <f t="array" ref="AV465">IF($F465&lt;&gt;"", XLOOKUP($F465,Productos!$A$2:$A1001,Productos!AO$2:AO1001,"")*$G465,"")</f>
        <v/>
      </c>
      <c r="AW465" s="179" t="str">
        <f t="array" ref="AW465">IF($F465&lt;&gt;"",XLOOKUP($F465,Productos!$A:$A,Productos!AP:AP,"Revisar"),"")</f>
        <v/>
      </c>
      <c r="AX465" s="179" t="str">
        <f t="array" ref="AX465">IF($F465&lt;&gt;"", XLOOKUP($F465,Productos!$A$2:$A1001,Productos!AQ$2:AQ1001,"")*$G465,"")</f>
        <v/>
      </c>
      <c r="AY465" s="179" t="str">
        <f t="array" ref="AY465">IF($F465&lt;&gt;"",XLOOKUP($F465,Productos!$A:$A,Productos!AR:AR,"Revisar"),"")</f>
        <v/>
      </c>
      <c r="AZ465" s="179" t="str">
        <f t="array" ref="AZ465">IF($F465&lt;&gt;"", XLOOKUP($F465,Productos!$A$2:$A1001,Productos!AS$2:AS1001,"")*$G465,"")</f>
        <v/>
      </c>
      <c r="BA465" s="179" t="str">
        <f t="array" ref="BA465">IF($F465&lt;&gt;"",XLOOKUP($F465,Productos!$A:$A,Productos!AT:AT,"Revisar"),"")</f>
        <v/>
      </c>
      <c r="BB465" s="179" t="str">
        <f t="array" ref="BB465">IF($F465&lt;&gt;"", XLOOKUP($F465,Productos!$A$2:$A1001,Productos!AU$2:AU1001,"")*$G465,"")</f>
        <v/>
      </c>
      <c r="BC465" s="179" t="str">
        <f t="array" ref="BC465">IF($F465&lt;&gt;"",XLOOKUP($F465,Productos!$A:$A,Productos!AV:AV,"Revisar"),"")</f>
        <v/>
      </c>
      <c r="BD465" s="179" t="str">
        <f t="array" ref="BD465">IF($F465&lt;&gt;"", XLOOKUP($F465,Productos!$A$2:$A1001,Productos!AW$2:AW1001,"")*$G465,"")</f>
        <v/>
      </c>
      <c r="BE465" s="179" t="str">
        <f t="array" ref="BE465">IF($F465&lt;&gt;"",XLOOKUP($F465,Productos!$A:$A,Productos!AX:AX,"Revisar"),"")</f>
        <v/>
      </c>
      <c r="BF465" s="179" t="str">
        <f t="array" ref="BF465">IF($F465&lt;&gt;"", XLOOKUP($F465,Productos!$A$2:$A1001,Productos!AY$2:AY1001,"")*$G465,"")</f>
        <v/>
      </c>
      <c r="BG465" s="179" t="str">
        <f t="array" ref="BG465">IF($F465&lt;&gt;"",XLOOKUP($F465,Productos!$A:$A,Productos!AZ:AZ,"Revisar"),"")</f>
        <v/>
      </c>
      <c r="BH465" s="179" t="str">
        <f t="array" ref="BH465">IF($F465&lt;&gt;"", XLOOKUP($F465,Productos!$A$2:$A1001,Productos!BA$2:BA1001,"")*$G465,"")</f>
        <v/>
      </c>
      <c r="BI465" s="179" t="str">
        <f t="array" ref="BI465">IF($F465&lt;&gt;"",XLOOKUP($F465,Productos!$A:$A,Productos!BB:BB,"Revisar"),"")</f>
        <v/>
      </c>
      <c r="BJ465" s="179" t="str">
        <f t="array" ref="BJ465">IF($F465&lt;&gt;"", XLOOKUP($F465,Productos!$A$2:$A1001,Productos!BC$2:BC1001,"")*$G465,"")</f>
        <v/>
      </c>
      <c r="BK465" s="179" t="str">
        <f t="array" ref="BK465">IF($F465&lt;&gt;"",XLOOKUP($F465,Productos!$A:$A,Productos!BD:BD,"Revisar"),"")</f>
        <v/>
      </c>
      <c r="BL465" s="179" t="str">
        <f t="array" ref="BL465">IF($F465&lt;&gt;"", XLOOKUP($F465,Productos!$A$2:$A1001,Productos!BE$2:BE1001,"")*$G465,"")</f>
        <v/>
      </c>
      <c r="BM465" s="179" t="str">
        <f t="array" ref="BM465">IF($F465&lt;&gt;"",XLOOKUP($F465,Productos!$A:$A,Productos!BF:BF,"Revisar"),"")</f>
        <v/>
      </c>
      <c r="BN465" s="179" t="str">
        <f t="array" ref="BN465">IF($F465&lt;&gt;"", XLOOKUP($F465,Productos!$A$2:$A1001,Productos!BG$2:BG1001,"")*$G465,"")</f>
        <v/>
      </c>
      <c r="BO465" s="179" t="str">
        <f t="array" ref="BO465">IF($F465&lt;&gt;"",XLOOKUP($F465,Productos!$A:$A,Productos!BH:BH,"Revisar"),"")</f>
        <v/>
      </c>
      <c r="BP465" s="179" t="str">
        <f t="array" ref="BP465">IF($F465&lt;&gt;"", XLOOKUP($F465,Productos!$A$2:$A1001,Productos!BI$2:BI1001,"")*$G465,"")</f>
        <v/>
      </c>
      <c r="BQ465" s="179" t="str">
        <f t="array" ref="BQ465">IF($F465&lt;&gt;"",XLOOKUP($F465,Productos!$A:$A,Productos!BJ:BJ,"Revisar"),"")</f>
        <v/>
      </c>
      <c r="BR465" s="179" t="str">
        <f t="array" ref="BR465">IF($F465&lt;&gt;"", XLOOKUP($F465,Productos!$A$2:$A1001,Productos!BK$2:BK1001,"")*$G465,"")</f>
        <v/>
      </c>
      <c r="BS465" s="179" t="str">
        <f t="array" ref="BS465">IF($F465&lt;&gt;"",XLOOKUP($F465,Productos!$A:$A,Productos!BL:BL,"Revisar"),"")</f>
        <v/>
      </c>
      <c r="BT465" s="179" t="str">
        <f t="array" ref="BT465">IF($F465&lt;&gt;"", XLOOKUP($F465,Productos!$A$2:$A1001,Productos!BM$2:BM1001,"")*$G465,"")</f>
        <v/>
      </c>
      <c r="BU465" s="179" t="str">
        <f t="array" ref="BU465">IF($F465&lt;&gt;"",XLOOKUP($F465,Productos!$A:$A,Productos!BN:BN,"Revisar"),"")</f>
        <v/>
      </c>
      <c r="BV465" s="179" t="str">
        <f t="array" ref="BV465">IF($F465&lt;&gt;"", XLOOKUP($F465,Productos!$A$2:$A1001,Productos!BO$2:BO1001,"")*$G465,"")</f>
        <v/>
      </c>
      <c r="BW465" s="179" t="str">
        <f t="array" ref="BW465">IF($F465&lt;&gt;"",XLOOKUP($F465,Productos!$A:$A,Productos!BP:BP,"Revisar"),"")</f>
        <v/>
      </c>
      <c r="BX465" s="179" t="str">
        <f t="array" ref="BX465">IF($F465&lt;&gt;"", XLOOKUP($F465,Productos!$A$2:$A1001,Productos!BQ$2:BQ1001,"")*$G465,"")</f>
        <v/>
      </c>
      <c r="BY465" s="179" t="str">
        <f t="array" ref="BY465">IF($F465&lt;&gt;"",XLOOKUP($F465,Productos!$A:$A,Productos!BR:BR,"Revisar"),"")</f>
        <v/>
      </c>
      <c r="BZ465" s="179" t="str">
        <f t="array" ref="BZ465">IF($F465&lt;&gt;"", XLOOKUP($F465,Productos!$A$2:$A1001,Productos!BS$2:BS1001,"")*$G465,"")</f>
        <v/>
      </c>
    </row>
    <row r="466">
      <c r="A466" s="188"/>
      <c r="B466" s="189"/>
      <c r="C466" s="190"/>
      <c r="D466" s="190"/>
      <c r="E466" s="191"/>
      <c r="F466" s="186"/>
      <c r="G466" s="192"/>
      <c r="H466" s="9"/>
      <c r="I466" s="179" t="str">
        <f t="array" ref="I466">IF($F466&lt;&gt;"",XLOOKUP($F466,Productos!$A:$A,Productos!B:B,"Revisar"),"")</f>
        <v/>
      </c>
      <c r="J466" s="179" t="str">
        <f t="array" ref="J466">IF($F466&lt;&gt;"", XLOOKUP($F466,Productos!$A$2:$A1001,Productos!C$2:C1001,"")*$G466,"")</f>
        <v/>
      </c>
      <c r="K466" s="179" t="str">
        <f t="array" ref="K466">IF($F466&lt;&gt;"",XLOOKUP($F466,Productos!$A:$A,Productos!D:D,"Revisar"),"")</f>
        <v/>
      </c>
      <c r="L466" s="179" t="str">
        <f t="array" ref="L466">IF($F466&lt;&gt;"", XLOOKUP($F466,Productos!$A$2:$A1001,Productos!E$2:E1001,"")*$G466,"")</f>
        <v/>
      </c>
      <c r="M466" s="179" t="str">
        <f t="array" ref="M466">IF($F466&lt;&gt;"",XLOOKUP($F466,Productos!$A:$A,Productos!F:F,"Revisar"),"")</f>
        <v/>
      </c>
      <c r="N466" s="179" t="str">
        <f t="array" ref="N466">IF($F466&lt;&gt;"", XLOOKUP($F466,Productos!$A$2:$A1001,Productos!G$2:G1001,"")*$G466,"")</f>
        <v/>
      </c>
      <c r="O466" s="179" t="str">
        <f t="array" ref="O466">IF($F466&lt;&gt;"",XLOOKUP($F466,Productos!$A:$A,Productos!H:H,"Revisar"),"")</f>
        <v/>
      </c>
      <c r="P466" s="179" t="str">
        <f t="array" ref="P466">IF($F466&lt;&gt;"", XLOOKUP($F466,Productos!$A$2:$A1001,Productos!I$2:I1001,"")*$G466,"")</f>
        <v/>
      </c>
      <c r="Q466" s="179" t="str">
        <f t="array" ref="Q466">IF($F466&lt;&gt;"",XLOOKUP($F466,Productos!$A:$A,Productos!J:J,"Revisar"),"")</f>
        <v/>
      </c>
      <c r="R466" s="179" t="str">
        <f t="array" ref="R466">IF($F466&lt;&gt;"", XLOOKUP($F466,Productos!$A$2:$A1001,Productos!K$2:K1001,"")*$G466,"")</f>
        <v/>
      </c>
      <c r="S466" s="179" t="str">
        <f t="array" ref="S466">IF($F466&lt;&gt;"",XLOOKUP($F466,Productos!$A:$A,Productos!L:L,"Revisar"),"")</f>
        <v/>
      </c>
      <c r="T466" s="179" t="str">
        <f t="array" ref="T466">IF($F466&lt;&gt;"", XLOOKUP($F466,Productos!$A$2:$A1001,Productos!M$2:M1001,"")*$G466,"")</f>
        <v/>
      </c>
      <c r="U466" s="179" t="str">
        <f t="array" ref="U466">IF($F466&lt;&gt;"",XLOOKUP($F466,Productos!$A:$A,Productos!N:N,"Revisar"),"")</f>
        <v/>
      </c>
      <c r="V466" s="179" t="str">
        <f t="array" ref="V466">IF($F466&lt;&gt;"", XLOOKUP($F466,Productos!$A$2:$A1001,Productos!O$2:O1001,"")*$G466,"")</f>
        <v/>
      </c>
      <c r="W466" s="179" t="str">
        <f t="array" ref="W466">IF($F466&lt;&gt;"",XLOOKUP($F466,Productos!$A:$A,Productos!P:P,"Revisar"),"")</f>
        <v/>
      </c>
      <c r="X466" s="179" t="str">
        <f t="array" ref="X466">IF($F466&lt;&gt;"", XLOOKUP($F466,Productos!$A$2:$A1001,Productos!Q$2:Q1001,"")*$G466,"")</f>
        <v/>
      </c>
      <c r="Y466" s="179" t="str">
        <f t="array" ref="Y466">IF($F466&lt;&gt;"",XLOOKUP($F466,Productos!$A:$A,Productos!R:R,"Revisar"),"")</f>
        <v/>
      </c>
      <c r="Z466" s="179" t="str">
        <f t="array" ref="Z466">IF($F466&lt;&gt;"", XLOOKUP($F466,Productos!$A$2:$A1001,Productos!S$2:S1001,"")*$G466,"")</f>
        <v/>
      </c>
      <c r="AA466" s="179" t="str">
        <f t="array" ref="AA466">IF($F466&lt;&gt;"",XLOOKUP($F466,Productos!$A:$A,Productos!T:T,"Revisar"),"")</f>
        <v/>
      </c>
      <c r="AB466" s="179" t="str">
        <f t="array" ref="AB466">IF($F466&lt;&gt;"", XLOOKUP($F466,Productos!$A$2:$A1001,Productos!U$2:U1001,"")*$G466,"")</f>
        <v/>
      </c>
      <c r="AC466" s="179" t="str">
        <f t="array" ref="AC466">IF($F466&lt;&gt;"",XLOOKUP($F466,Productos!$A:$A,Productos!V:V,"Revisar"),"")</f>
        <v/>
      </c>
      <c r="AD466" s="179" t="str">
        <f t="array" ref="AD466">IF($F466&lt;&gt;"", XLOOKUP($F466,Productos!$A$2:$A1001,Productos!W$2:W1001,"")*$G466,"")</f>
        <v/>
      </c>
      <c r="AE466" s="179" t="str">
        <f t="array" ref="AE466">IF($F466&lt;&gt;"",XLOOKUP($F466,Productos!$A:$A,Productos!X:X,"Revisar"),"")</f>
        <v/>
      </c>
      <c r="AF466" s="179" t="str">
        <f t="array" ref="AF466">IF($F466&lt;&gt;"", XLOOKUP($F466,Productos!$A$2:$A1001,Productos!Y$2:Y1001,"")*$G466,"")</f>
        <v/>
      </c>
      <c r="AG466" s="179" t="str">
        <f t="array" ref="AG466">IF($F466&lt;&gt;"",XLOOKUP($F466,Productos!$A:$A,Productos!Z:Z,"Revisar"),"")</f>
        <v/>
      </c>
      <c r="AH466" s="179" t="str">
        <f t="array" ref="AH466">IF($F466&lt;&gt;"", XLOOKUP($F466,Productos!$A$2:$A1001,Productos!AA$2:AA1001,"")*$G466,"")</f>
        <v/>
      </c>
      <c r="AI466" s="179" t="str">
        <f t="array" ref="AI466">IF($F466&lt;&gt;"",XLOOKUP($F466,Productos!$A:$A,Productos!AB:AB,"Revisar"),"")</f>
        <v/>
      </c>
      <c r="AJ466" s="179" t="str">
        <f t="array" ref="AJ466">IF($F466&lt;&gt;"", XLOOKUP($F466,Productos!$A$2:$A1001,Productos!AC$2:AC1001,"")*$G466,"")</f>
        <v/>
      </c>
      <c r="AK466" s="179" t="str">
        <f t="array" ref="AK466">IF($F466&lt;&gt;"",XLOOKUP($F466,Productos!$A:$A,Productos!AD:AD,"Revisar"),"")</f>
        <v/>
      </c>
      <c r="AL466" s="179" t="str">
        <f t="array" ref="AL466">IF($F466&lt;&gt;"", XLOOKUP($F466,Productos!$A$2:$A1001,Productos!AE$2:AE1001,"")*$G466,"")</f>
        <v/>
      </c>
      <c r="AM466" s="179" t="str">
        <f t="array" ref="AM466">IF($F466&lt;&gt;"",XLOOKUP($F466,Productos!$A:$A,Productos!AF:AF,"Revisar"),"")</f>
        <v/>
      </c>
      <c r="AN466" s="179" t="str">
        <f t="array" ref="AN466">IF($F466&lt;&gt;"", XLOOKUP($F466,Productos!$A$2:$A1001,Productos!AG$2:AG1001,"")*$G466,"")</f>
        <v/>
      </c>
      <c r="AO466" s="179" t="str">
        <f t="array" ref="AO466">IF($F466&lt;&gt;"",XLOOKUP($F466,Productos!$A:$A,Productos!AH:AH,"Revisar"),"")</f>
        <v/>
      </c>
      <c r="AP466" s="179" t="str">
        <f t="array" ref="AP466">IF($F466&lt;&gt;"", XLOOKUP($F466,Productos!$A$2:$A1001,Productos!AI$2:AI1001,"")*$G466,"")</f>
        <v/>
      </c>
      <c r="AQ466" s="179" t="str">
        <f t="array" ref="AQ466">IF($F466&lt;&gt;"",XLOOKUP($F466,Productos!$A:$A,Productos!AJ:AJ,"Revisar"),"")</f>
        <v/>
      </c>
      <c r="AR466" s="179" t="str">
        <f t="array" ref="AR466">IF($F466&lt;&gt;"", XLOOKUP($F466,Productos!$A$2:$A1001,Productos!AK$2:AK1001,"")*$G466,"")</f>
        <v/>
      </c>
      <c r="AS466" s="179" t="str">
        <f t="array" ref="AS466">IF($F466&lt;&gt;"",XLOOKUP($F466,Productos!$A:$A,Productos!AL:AL,"Revisar"),"")</f>
        <v/>
      </c>
      <c r="AT466" s="179" t="str">
        <f t="array" ref="AT466">IF($F466&lt;&gt;"", XLOOKUP($F466,Productos!$A$2:$A1001,Productos!AM$2:AM1001,"")*$G466,"")</f>
        <v/>
      </c>
      <c r="AU466" s="179" t="str">
        <f t="array" ref="AU466">IF($F466&lt;&gt;"",XLOOKUP($F466,Productos!$A:$A,Productos!AN:AN,"Revisar"),"")</f>
        <v/>
      </c>
      <c r="AV466" s="179" t="str">
        <f t="array" ref="AV466">IF($F466&lt;&gt;"", XLOOKUP($F466,Productos!$A$2:$A1001,Productos!AO$2:AO1001,"")*$G466,"")</f>
        <v/>
      </c>
      <c r="AW466" s="179" t="str">
        <f t="array" ref="AW466">IF($F466&lt;&gt;"",XLOOKUP($F466,Productos!$A:$A,Productos!AP:AP,"Revisar"),"")</f>
        <v/>
      </c>
      <c r="AX466" s="179" t="str">
        <f t="array" ref="AX466">IF($F466&lt;&gt;"", XLOOKUP($F466,Productos!$A$2:$A1001,Productos!AQ$2:AQ1001,"")*$G466,"")</f>
        <v/>
      </c>
      <c r="AY466" s="179" t="str">
        <f t="array" ref="AY466">IF($F466&lt;&gt;"",XLOOKUP($F466,Productos!$A:$A,Productos!AR:AR,"Revisar"),"")</f>
        <v/>
      </c>
      <c r="AZ466" s="179" t="str">
        <f t="array" ref="AZ466">IF($F466&lt;&gt;"", XLOOKUP($F466,Productos!$A$2:$A1001,Productos!AS$2:AS1001,"")*$G466,"")</f>
        <v/>
      </c>
      <c r="BA466" s="179" t="str">
        <f t="array" ref="BA466">IF($F466&lt;&gt;"",XLOOKUP($F466,Productos!$A:$A,Productos!AT:AT,"Revisar"),"")</f>
        <v/>
      </c>
      <c r="BB466" s="179" t="str">
        <f t="array" ref="BB466">IF($F466&lt;&gt;"", XLOOKUP($F466,Productos!$A$2:$A1001,Productos!AU$2:AU1001,"")*$G466,"")</f>
        <v/>
      </c>
      <c r="BC466" s="179" t="str">
        <f t="array" ref="BC466">IF($F466&lt;&gt;"",XLOOKUP($F466,Productos!$A:$A,Productos!AV:AV,"Revisar"),"")</f>
        <v/>
      </c>
      <c r="BD466" s="179" t="str">
        <f t="array" ref="BD466">IF($F466&lt;&gt;"", XLOOKUP($F466,Productos!$A$2:$A1001,Productos!AW$2:AW1001,"")*$G466,"")</f>
        <v/>
      </c>
      <c r="BE466" s="179" t="str">
        <f t="array" ref="BE466">IF($F466&lt;&gt;"",XLOOKUP($F466,Productos!$A:$A,Productos!AX:AX,"Revisar"),"")</f>
        <v/>
      </c>
      <c r="BF466" s="179" t="str">
        <f t="array" ref="BF466">IF($F466&lt;&gt;"", XLOOKUP($F466,Productos!$A$2:$A1001,Productos!AY$2:AY1001,"")*$G466,"")</f>
        <v/>
      </c>
      <c r="BG466" s="179" t="str">
        <f t="array" ref="BG466">IF($F466&lt;&gt;"",XLOOKUP($F466,Productos!$A:$A,Productos!AZ:AZ,"Revisar"),"")</f>
        <v/>
      </c>
      <c r="BH466" s="179" t="str">
        <f t="array" ref="BH466">IF($F466&lt;&gt;"", XLOOKUP($F466,Productos!$A$2:$A1001,Productos!BA$2:BA1001,"")*$G466,"")</f>
        <v/>
      </c>
      <c r="BI466" s="179" t="str">
        <f t="array" ref="BI466">IF($F466&lt;&gt;"",XLOOKUP($F466,Productos!$A:$A,Productos!BB:BB,"Revisar"),"")</f>
        <v/>
      </c>
      <c r="BJ466" s="179" t="str">
        <f t="array" ref="BJ466">IF($F466&lt;&gt;"", XLOOKUP($F466,Productos!$A$2:$A1001,Productos!BC$2:BC1001,"")*$G466,"")</f>
        <v/>
      </c>
      <c r="BK466" s="179" t="str">
        <f t="array" ref="BK466">IF($F466&lt;&gt;"",XLOOKUP($F466,Productos!$A:$A,Productos!BD:BD,"Revisar"),"")</f>
        <v/>
      </c>
      <c r="BL466" s="179" t="str">
        <f t="array" ref="BL466">IF($F466&lt;&gt;"", XLOOKUP($F466,Productos!$A$2:$A1001,Productos!BE$2:BE1001,"")*$G466,"")</f>
        <v/>
      </c>
      <c r="BM466" s="179" t="str">
        <f t="array" ref="BM466">IF($F466&lt;&gt;"",XLOOKUP($F466,Productos!$A:$A,Productos!BF:BF,"Revisar"),"")</f>
        <v/>
      </c>
      <c r="BN466" s="179" t="str">
        <f t="array" ref="BN466">IF($F466&lt;&gt;"", XLOOKUP($F466,Productos!$A$2:$A1001,Productos!BG$2:BG1001,"")*$G466,"")</f>
        <v/>
      </c>
      <c r="BO466" s="179" t="str">
        <f t="array" ref="BO466">IF($F466&lt;&gt;"",XLOOKUP($F466,Productos!$A:$A,Productos!BH:BH,"Revisar"),"")</f>
        <v/>
      </c>
      <c r="BP466" s="179" t="str">
        <f t="array" ref="BP466">IF($F466&lt;&gt;"", XLOOKUP($F466,Productos!$A$2:$A1001,Productos!BI$2:BI1001,"")*$G466,"")</f>
        <v/>
      </c>
      <c r="BQ466" s="179" t="str">
        <f t="array" ref="BQ466">IF($F466&lt;&gt;"",XLOOKUP($F466,Productos!$A:$A,Productos!BJ:BJ,"Revisar"),"")</f>
        <v/>
      </c>
      <c r="BR466" s="179" t="str">
        <f t="array" ref="BR466">IF($F466&lt;&gt;"", XLOOKUP($F466,Productos!$A$2:$A1001,Productos!BK$2:BK1001,"")*$G466,"")</f>
        <v/>
      </c>
      <c r="BS466" s="179" t="str">
        <f t="array" ref="BS466">IF($F466&lt;&gt;"",XLOOKUP($F466,Productos!$A:$A,Productos!BL:BL,"Revisar"),"")</f>
        <v/>
      </c>
      <c r="BT466" s="179" t="str">
        <f t="array" ref="BT466">IF($F466&lt;&gt;"", XLOOKUP($F466,Productos!$A$2:$A1001,Productos!BM$2:BM1001,"")*$G466,"")</f>
        <v/>
      </c>
      <c r="BU466" s="179" t="str">
        <f t="array" ref="BU466">IF($F466&lt;&gt;"",XLOOKUP($F466,Productos!$A:$A,Productos!BN:BN,"Revisar"),"")</f>
        <v/>
      </c>
      <c r="BV466" s="179" t="str">
        <f t="array" ref="BV466">IF($F466&lt;&gt;"", XLOOKUP($F466,Productos!$A$2:$A1001,Productos!BO$2:BO1001,"")*$G466,"")</f>
        <v/>
      </c>
      <c r="BW466" s="179" t="str">
        <f t="array" ref="BW466">IF($F466&lt;&gt;"",XLOOKUP($F466,Productos!$A:$A,Productos!BP:BP,"Revisar"),"")</f>
        <v/>
      </c>
      <c r="BX466" s="179" t="str">
        <f t="array" ref="BX466">IF($F466&lt;&gt;"", XLOOKUP($F466,Productos!$A$2:$A1001,Productos!BQ$2:BQ1001,"")*$G466,"")</f>
        <v/>
      </c>
      <c r="BY466" s="179" t="str">
        <f t="array" ref="BY466">IF($F466&lt;&gt;"",XLOOKUP($F466,Productos!$A:$A,Productos!BR:BR,"Revisar"),"")</f>
        <v/>
      </c>
      <c r="BZ466" s="179" t="str">
        <f t="array" ref="BZ466">IF($F466&lt;&gt;"", XLOOKUP($F466,Productos!$A$2:$A1001,Productos!BS$2:BS1001,"")*$G466,"")</f>
        <v/>
      </c>
    </row>
    <row r="467">
      <c r="A467" s="188"/>
      <c r="B467" s="189"/>
      <c r="C467" s="190"/>
      <c r="D467" s="190"/>
      <c r="E467" s="191"/>
      <c r="F467" s="186"/>
      <c r="G467" s="192"/>
      <c r="H467" s="9"/>
      <c r="I467" s="179" t="str">
        <f t="array" ref="I467">IF($F467&lt;&gt;"",XLOOKUP($F467,Productos!$A:$A,Productos!B:B,"Revisar"),"")</f>
        <v/>
      </c>
      <c r="J467" s="179" t="str">
        <f t="array" ref="J467">IF($F467&lt;&gt;"", XLOOKUP($F467,Productos!$A$2:$A1001,Productos!C$2:C1001,"")*$G467,"")</f>
        <v/>
      </c>
      <c r="K467" s="179" t="str">
        <f t="array" ref="K467">IF($F467&lt;&gt;"",XLOOKUP($F467,Productos!$A:$A,Productos!D:D,"Revisar"),"")</f>
        <v/>
      </c>
      <c r="L467" s="179" t="str">
        <f t="array" ref="L467">IF($F467&lt;&gt;"", XLOOKUP($F467,Productos!$A$2:$A1001,Productos!E$2:E1001,"")*$G467,"")</f>
        <v/>
      </c>
      <c r="M467" s="179" t="str">
        <f t="array" ref="M467">IF($F467&lt;&gt;"",XLOOKUP($F467,Productos!$A:$A,Productos!F:F,"Revisar"),"")</f>
        <v/>
      </c>
      <c r="N467" s="179" t="str">
        <f t="array" ref="N467">IF($F467&lt;&gt;"", XLOOKUP($F467,Productos!$A$2:$A1001,Productos!G$2:G1001,"")*$G467,"")</f>
        <v/>
      </c>
      <c r="O467" s="179" t="str">
        <f t="array" ref="O467">IF($F467&lt;&gt;"",XLOOKUP($F467,Productos!$A:$A,Productos!H:H,"Revisar"),"")</f>
        <v/>
      </c>
      <c r="P467" s="179" t="str">
        <f t="array" ref="P467">IF($F467&lt;&gt;"", XLOOKUP($F467,Productos!$A$2:$A1001,Productos!I$2:I1001,"")*$G467,"")</f>
        <v/>
      </c>
      <c r="Q467" s="179" t="str">
        <f t="array" ref="Q467">IF($F467&lt;&gt;"",XLOOKUP($F467,Productos!$A:$A,Productos!J:J,"Revisar"),"")</f>
        <v/>
      </c>
      <c r="R467" s="179" t="str">
        <f t="array" ref="R467">IF($F467&lt;&gt;"", XLOOKUP($F467,Productos!$A$2:$A1001,Productos!K$2:K1001,"")*$G467,"")</f>
        <v/>
      </c>
      <c r="S467" s="179" t="str">
        <f t="array" ref="S467">IF($F467&lt;&gt;"",XLOOKUP($F467,Productos!$A:$A,Productos!L:L,"Revisar"),"")</f>
        <v/>
      </c>
      <c r="T467" s="179" t="str">
        <f t="array" ref="T467">IF($F467&lt;&gt;"", XLOOKUP($F467,Productos!$A$2:$A1001,Productos!M$2:M1001,"")*$G467,"")</f>
        <v/>
      </c>
      <c r="U467" s="179" t="str">
        <f t="array" ref="U467">IF($F467&lt;&gt;"",XLOOKUP($F467,Productos!$A:$A,Productos!N:N,"Revisar"),"")</f>
        <v/>
      </c>
      <c r="V467" s="179" t="str">
        <f t="array" ref="V467">IF($F467&lt;&gt;"", XLOOKUP($F467,Productos!$A$2:$A1001,Productos!O$2:O1001,"")*$G467,"")</f>
        <v/>
      </c>
      <c r="W467" s="179" t="str">
        <f t="array" ref="W467">IF($F467&lt;&gt;"",XLOOKUP($F467,Productos!$A:$A,Productos!P:P,"Revisar"),"")</f>
        <v/>
      </c>
      <c r="X467" s="179" t="str">
        <f t="array" ref="X467">IF($F467&lt;&gt;"", XLOOKUP($F467,Productos!$A$2:$A1001,Productos!Q$2:Q1001,"")*$G467,"")</f>
        <v/>
      </c>
      <c r="Y467" s="179" t="str">
        <f t="array" ref="Y467">IF($F467&lt;&gt;"",XLOOKUP($F467,Productos!$A:$A,Productos!R:R,"Revisar"),"")</f>
        <v/>
      </c>
      <c r="Z467" s="179" t="str">
        <f t="array" ref="Z467">IF($F467&lt;&gt;"", XLOOKUP($F467,Productos!$A$2:$A1001,Productos!S$2:S1001,"")*$G467,"")</f>
        <v/>
      </c>
      <c r="AA467" s="179" t="str">
        <f t="array" ref="AA467">IF($F467&lt;&gt;"",XLOOKUP($F467,Productos!$A:$A,Productos!T:T,"Revisar"),"")</f>
        <v/>
      </c>
      <c r="AB467" s="179" t="str">
        <f t="array" ref="AB467">IF($F467&lt;&gt;"", XLOOKUP($F467,Productos!$A$2:$A1001,Productos!U$2:U1001,"")*$G467,"")</f>
        <v/>
      </c>
      <c r="AC467" s="179" t="str">
        <f t="array" ref="AC467">IF($F467&lt;&gt;"",XLOOKUP($F467,Productos!$A:$A,Productos!V:V,"Revisar"),"")</f>
        <v/>
      </c>
      <c r="AD467" s="179" t="str">
        <f t="array" ref="AD467">IF($F467&lt;&gt;"", XLOOKUP($F467,Productos!$A$2:$A1001,Productos!W$2:W1001,"")*$G467,"")</f>
        <v/>
      </c>
      <c r="AE467" s="179" t="str">
        <f t="array" ref="AE467">IF($F467&lt;&gt;"",XLOOKUP($F467,Productos!$A:$A,Productos!X:X,"Revisar"),"")</f>
        <v/>
      </c>
      <c r="AF467" s="179" t="str">
        <f t="array" ref="AF467">IF($F467&lt;&gt;"", XLOOKUP($F467,Productos!$A$2:$A1001,Productos!Y$2:Y1001,"")*$G467,"")</f>
        <v/>
      </c>
      <c r="AG467" s="179" t="str">
        <f t="array" ref="AG467">IF($F467&lt;&gt;"",XLOOKUP($F467,Productos!$A:$A,Productos!Z:Z,"Revisar"),"")</f>
        <v/>
      </c>
      <c r="AH467" s="179" t="str">
        <f t="array" ref="AH467">IF($F467&lt;&gt;"", XLOOKUP($F467,Productos!$A$2:$A1001,Productos!AA$2:AA1001,"")*$G467,"")</f>
        <v/>
      </c>
      <c r="AI467" s="179" t="str">
        <f t="array" ref="AI467">IF($F467&lt;&gt;"",XLOOKUP($F467,Productos!$A:$A,Productos!AB:AB,"Revisar"),"")</f>
        <v/>
      </c>
      <c r="AJ467" s="179" t="str">
        <f t="array" ref="AJ467">IF($F467&lt;&gt;"", XLOOKUP($F467,Productos!$A$2:$A1001,Productos!AC$2:AC1001,"")*$G467,"")</f>
        <v/>
      </c>
      <c r="AK467" s="179" t="str">
        <f t="array" ref="AK467">IF($F467&lt;&gt;"",XLOOKUP($F467,Productos!$A:$A,Productos!AD:AD,"Revisar"),"")</f>
        <v/>
      </c>
      <c r="AL467" s="179" t="str">
        <f t="array" ref="AL467">IF($F467&lt;&gt;"", XLOOKUP($F467,Productos!$A$2:$A1001,Productos!AE$2:AE1001,"")*$G467,"")</f>
        <v/>
      </c>
      <c r="AM467" s="179" t="str">
        <f t="array" ref="AM467">IF($F467&lt;&gt;"",XLOOKUP($F467,Productos!$A:$A,Productos!AF:AF,"Revisar"),"")</f>
        <v/>
      </c>
      <c r="AN467" s="179" t="str">
        <f t="array" ref="AN467">IF($F467&lt;&gt;"", XLOOKUP($F467,Productos!$A$2:$A1001,Productos!AG$2:AG1001,"")*$G467,"")</f>
        <v/>
      </c>
      <c r="AO467" s="179" t="str">
        <f t="array" ref="AO467">IF($F467&lt;&gt;"",XLOOKUP($F467,Productos!$A:$A,Productos!AH:AH,"Revisar"),"")</f>
        <v/>
      </c>
      <c r="AP467" s="179" t="str">
        <f t="array" ref="AP467">IF($F467&lt;&gt;"", XLOOKUP($F467,Productos!$A$2:$A1001,Productos!AI$2:AI1001,"")*$G467,"")</f>
        <v/>
      </c>
      <c r="AQ467" s="179" t="str">
        <f t="array" ref="AQ467">IF($F467&lt;&gt;"",XLOOKUP($F467,Productos!$A:$A,Productos!AJ:AJ,"Revisar"),"")</f>
        <v/>
      </c>
      <c r="AR467" s="179" t="str">
        <f t="array" ref="AR467">IF($F467&lt;&gt;"", XLOOKUP($F467,Productos!$A$2:$A1001,Productos!AK$2:AK1001,"")*$G467,"")</f>
        <v/>
      </c>
      <c r="AS467" s="179" t="str">
        <f t="array" ref="AS467">IF($F467&lt;&gt;"",XLOOKUP($F467,Productos!$A:$A,Productos!AL:AL,"Revisar"),"")</f>
        <v/>
      </c>
      <c r="AT467" s="179" t="str">
        <f t="array" ref="AT467">IF($F467&lt;&gt;"", XLOOKUP($F467,Productos!$A$2:$A1001,Productos!AM$2:AM1001,"")*$G467,"")</f>
        <v/>
      </c>
      <c r="AU467" s="179" t="str">
        <f t="array" ref="AU467">IF($F467&lt;&gt;"",XLOOKUP($F467,Productos!$A:$A,Productos!AN:AN,"Revisar"),"")</f>
        <v/>
      </c>
      <c r="AV467" s="179" t="str">
        <f t="array" ref="AV467">IF($F467&lt;&gt;"", XLOOKUP($F467,Productos!$A$2:$A1001,Productos!AO$2:AO1001,"")*$G467,"")</f>
        <v/>
      </c>
      <c r="AW467" s="179" t="str">
        <f t="array" ref="AW467">IF($F467&lt;&gt;"",XLOOKUP($F467,Productos!$A:$A,Productos!AP:AP,"Revisar"),"")</f>
        <v/>
      </c>
      <c r="AX467" s="179" t="str">
        <f t="array" ref="AX467">IF($F467&lt;&gt;"", XLOOKUP($F467,Productos!$A$2:$A1001,Productos!AQ$2:AQ1001,"")*$G467,"")</f>
        <v/>
      </c>
      <c r="AY467" s="179" t="str">
        <f t="array" ref="AY467">IF($F467&lt;&gt;"",XLOOKUP($F467,Productos!$A:$A,Productos!AR:AR,"Revisar"),"")</f>
        <v/>
      </c>
      <c r="AZ467" s="179" t="str">
        <f t="array" ref="AZ467">IF($F467&lt;&gt;"", XLOOKUP($F467,Productos!$A$2:$A1001,Productos!AS$2:AS1001,"")*$G467,"")</f>
        <v/>
      </c>
      <c r="BA467" s="179" t="str">
        <f t="array" ref="BA467">IF($F467&lt;&gt;"",XLOOKUP($F467,Productos!$A:$A,Productos!AT:AT,"Revisar"),"")</f>
        <v/>
      </c>
      <c r="BB467" s="179" t="str">
        <f t="array" ref="BB467">IF($F467&lt;&gt;"", XLOOKUP($F467,Productos!$A$2:$A1001,Productos!AU$2:AU1001,"")*$G467,"")</f>
        <v/>
      </c>
      <c r="BC467" s="179" t="str">
        <f t="array" ref="BC467">IF($F467&lt;&gt;"",XLOOKUP($F467,Productos!$A:$A,Productos!AV:AV,"Revisar"),"")</f>
        <v/>
      </c>
      <c r="BD467" s="179" t="str">
        <f t="array" ref="BD467">IF($F467&lt;&gt;"", XLOOKUP($F467,Productos!$A$2:$A1001,Productos!AW$2:AW1001,"")*$G467,"")</f>
        <v/>
      </c>
      <c r="BE467" s="179" t="str">
        <f t="array" ref="BE467">IF($F467&lt;&gt;"",XLOOKUP($F467,Productos!$A:$A,Productos!AX:AX,"Revisar"),"")</f>
        <v/>
      </c>
      <c r="BF467" s="179" t="str">
        <f t="array" ref="BF467">IF($F467&lt;&gt;"", XLOOKUP($F467,Productos!$A$2:$A1001,Productos!AY$2:AY1001,"")*$G467,"")</f>
        <v/>
      </c>
      <c r="BG467" s="179" t="str">
        <f t="array" ref="BG467">IF($F467&lt;&gt;"",XLOOKUP($F467,Productos!$A:$A,Productos!AZ:AZ,"Revisar"),"")</f>
        <v/>
      </c>
      <c r="BH467" s="179" t="str">
        <f t="array" ref="BH467">IF($F467&lt;&gt;"", XLOOKUP($F467,Productos!$A$2:$A1001,Productos!BA$2:BA1001,"")*$G467,"")</f>
        <v/>
      </c>
      <c r="BI467" s="179" t="str">
        <f t="array" ref="BI467">IF($F467&lt;&gt;"",XLOOKUP($F467,Productos!$A:$A,Productos!BB:BB,"Revisar"),"")</f>
        <v/>
      </c>
      <c r="BJ467" s="179" t="str">
        <f t="array" ref="BJ467">IF($F467&lt;&gt;"", XLOOKUP($F467,Productos!$A$2:$A1001,Productos!BC$2:BC1001,"")*$G467,"")</f>
        <v/>
      </c>
      <c r="BK467" s="179" t="str">
        <f t="array" ref="BK467">IF($F467&lt;&gt;"",XLOOKUP($F467,Productos!$A:$A,Productos!BD:BD,"Revisar"),"")</f>
        <v/>
      </c>
      <c r="BL467" s="179" t="str">
        <f t="array" ref="BL467">IF($F467&lt;&gt;"", XLOOKUP($F467,Productos!$A$2:$A1001,Productos!BE$2:BE1001,"")*$G467,"")</f>
        <v/>
      </c>
      <c r="BM467" s="179" t="str">
        <f t="array" ref="BM467">IF($F467&lt;&gt;"",XLOOKUP($F467,Productos!$A:$A,Productos!BF:BF,"Revisar"),"")</f>
        <v/>
      </c>
      <c r="BN467" s="179" t="str">
        <f t="array" ref="BN467">IF($F467&lt;&gt;"", XLOOKUP($F467,Productos!$A$2:$A1001,Productos!BG$2:BG1001,"")*$G467,"")</f>
        <v/>
      </c>
      <c r="BO467" s="179" t="str">
        <f t="array" ref="BO467">IF($F467&lt;&gt;"",XLOOKUP($F467,Productos!$A:$A,Productos!BH:BH,"Revisar"),"")</f>
        <v/>
      </c>
      <c r="BP467" s="179" t="str">
        <f t="array" ref="BP467">IF($F467&lt;&gt;"", XLOOKUP($F467,Productos!$A$2:$A1001,Productos!BI$2:BI1001,"")*$G467,"")</f>
        <v/>
      </c>
      <c r="BQ467" s="179" t="str">
        <f t="array" ref="BQ467">IF($F467&lt;&gt;"",XLOOKUP($F467,Productos!$A:$A,Productos!BJ:BJ,"Revisar"),"")</f>
        <v/>
      </c>
      <c r="BR467" s="179" t="str">
        <f t="array" ref="BR467">IF($F467&lt;&gt;"", XLOOKUP($F467,Productos!$A$2:$A1001,Productos!BK$2:BK1001,"")*$G467,"")</f>
        <v/>
      </c>
      <c r="BS467" s="179" t="str">
        <f t="array" ref="BS467">IF($F467&lt;&gt;"",XLOOKUP($F467,Productos!$A:$A,Productos!BL:BL,"Revisar"),"")</f>
        <v/>
      </c>
      <c r="BT467" s="179" t="str">
        <f t="array" ref="BT467">IF($F467&lt;&gt;"", XLOOKUP($F467,Productos!$A$2:$A1001,Productos!BM$2:BM1001,"")*$G467,"")</f>
        <v/>
      </c>
      <c r="BU467" s="179" t="str">
        <f t="array" ref="BU467">IF($F467&lt;&gt;"",XLOOKUP($F467,Productos!$A:$A,Productos!BN:BN,"Revisar"),"")</f>
        <v/>
      </c>
      <c r="BV467" s="179" t="str">
        <f t="array" ref="BV467">IF($F467&lt;&gt;"", XLOOKUP($F467,Productos!$A$2:$A1001,Productos!BO$2:BO1001,"")*$G467,"")</f>
        <v/>
      </c>
      <c r="BW467" s="179" t="str">
        <f t="array" ref="BW467">IF($F467&lt;&gt;"",XLOOKUP($F467,Productos!$A:$A,Productos!BP:BP,"Revisar"),"")</f>
        <v/>
      </c>
      <c r="BX467" s="179" t="str">
        <f t="array" ref="BX467">IF($F467&lt;&gt;"", XLOOKUP($F467,Productos!$A$2:$A1001,Productos!BQ$2:BQ1001,"")*$G467,"")</f>
        <v/>
      </c>
      <c r="BY467" s="179" t="str">
        <f t="array" ref="BY467">IF($F467&lt;&gt;"",XLOOKUP($F467,Productos!$A:$A,Productos!BR:BR,"Revisar"),"")</f>
        <v/>
      </c>
      <c r="BZ467" s="179" t="str">
        <f t="array" ref="BZ467">IF($F467&lt;&gt;"", XLOOKUP($F467,Productos!$A$2:$A1001,Productos!BS$2:BS1001,"")*$G467,"")</f>
        <v/>
      </c>
    </row>
    <row r="468">
      <c r="A468" s="188"/>
      <c r="B468" s="189"/>
      <c r="C468" s="190"/>
      <c r="D468" s="190"/>
      <c r="E468" s="191"/>
      <c r="F468" s="186"/>
      <c r="G468" s="192"/>
      <c r="H468" s="9"/>
      <c r="I468" s="179" t="str">
        <f t="array" ref="I468">IF($F468&lt;&gt;"",XLOOKUP($F468,Productos!$A:$A,Productos!B:B,"Revisar"),"")</f>
        <v/>
      </c>
      <c r="J468" s="179" t="str">
        <f t="array" ref="J468">IF($F468&lt;&gt;"", XLOOKUP($F468,Productos!$A$2:$A1001,Productos!C$2:C1001,"")*$G468,"")</f>
        <v/>
      </c>
      <c r="K468" s="179" t="str">
        <f t="array" ref="K468">IF($F468&lt;&gt;"",XLOOKUP($F468,Productos!$A:$A,Productos!D:D,"Revisar"),"")</f>
        <v/>
      </c>
      <c r="L468" s="179" t="str">
        <f t="array" ref="L468">IF($F468&lt;&gt;"", XLOOKUP($F468,Productos!$A$2:$A1001,Productos!E$2:E1001,"")*$G468,"")</f>
        <v/>
      </c>
      <c r="M468" s="179" t="str">
        <f t="array" ref="M468">IF($F468&lt;&gt;"",XLOOKUP($F468,Productos!$A:$A,Productos!F:F,"Revisar"),"")</f>
        <v/>
      </c>
      <c r="N468" s="179" t="str">
        <f t="array" ref="N468">IF($F468&lt;&gt;"", XLOOKUP($F468,Productos!$A$2:$A1001,Productos!G$2:G1001,"")*$G468,"")</f>
        <v/>
      </c>
      <c r="O468" s="179" t="str">
        <f t="array" ref="O468">IF($F468&lt;&gt;"",XLOOKUP($F468,Productos!$A:$A,Productos!H:H,"Revisar"),"")</f>
        <v/>
      </c>
      <c r="P468" s="179" t="str">
        <f t="array" ref="P468">IF($F468&lt;&gt;"", XLOOKUP($F468,Productos!$A$2:$A1001,Productos!I$2:I1001,"")*$G468,"")</f>
        <v/>
      </c>
      <c r="Q468" s="179" t="str">
        <f t="array" ref="Q468">IF($F468&lt;&gt;"",XLOOKUP($F468,Productos!$A:$A,Productos!J:J,"Revisar"),"")</f>
        <v/>
      </c>
      <c r="R468" s="179" t="str">
        <f t="array" ref="R468">IF($F468&lt;&gt;"", XLOOKUP($F468,Productos!$A$2:$A1001,Productos!K$2:K1001,"")*$G468,"")</f>
        <v/>
      </c>
      <c r="S468" s="179" t="str">
        <f t="array" ref="S468">IF($F468&lt;&gt;"",XLOOKUP($F468,Productos!$A:$A,Productos!L:L,"Revisar"),"")</f>
        <v/>
      </c>
      <c r="T468" s="179" t="str">
        <f t="array" ref="T468">IF($F468&lt;&gt;"", XLOOKUP($F468,Productos!$A$2:$A1001,Productos!M$2:M1001,"")*$G468,"")</f>
        <v/>
      </c>
      <c r="U468" s="179" t="str">
        <f t="array" ref="U468">IF($F468&lt;&gt;"",XLOOKUP($F468,Productos!$A:$A,Productos!N:N,"Revisar"),"")</f>
        <v/>
      </c>
      <c r="V468" s="179" t="str">
        <f t="array" ref="V468">IF($F468&lt;&gt;"", XLOOKUP($F468,Productos!$A$2:$A1001,Productos!O$2:O1001,"")*$G468,"")</f>
        <v/>
      </c>
      <c r="W468" s="179" t="str">
        <f t="array" ref="W468">IF($F468&lt;&gt;"",XLOOKUP($F468,Productos!$A:$A,Productos!P:P,"Revisar"),"")</f>
        <v/>
      </c>
      <c r="X468" s="179" t="str">
        <f t="array" ref="X468">IF($F468&lt;&gt;"", XLOOKUP($F468,Productos!$A$2:$A1001,Productos!Q$2:Q1001,"")*$G468,"")</f>
        <v/>
      </c>
      <c r="Y468" s="179" t="str">
        <f t="array" ref="Y468">IF($F468&lt;&gt;"",XLOOKUP($F468,Productos!$A:$A,Productos!R:R,"Revisar"),"")</f>
        <v/>
      </c>
      <c r="Z468" s="179" t="str">
        <f t="array" ref="Z468">IF($F468&lt;&gt;"", XLOOKUP($F468,Productos!$A$2:$A1001,Productos!S$2:S1001,"")*$G468,"")</f>
        <v/>
      </c>
      <c r="AA468" s="179" t="str">
        <f t="array" ref="AA468">IF($F468&lt;&gt;"",XLOOKUP($F468,Productos!$A:$A,Productos!T:T,"Revisar"),"")</f>
        <v/>
      </c>
      <c r="AB468" s="179" t="str">
        <f t="array" ref="AB468">IF($F468&lt;&gt;"", XLOOKUP($F468,Productos!$A$2:$A1001,Productos!U$2:U1001,"")*$G468,"")</f>
        <v/>
      </c>
      <c r="AC468" s="179" t="str">
        <f t="array" ref="AC468">IF($F468&lt;&gt;"",XLOOKUP($F468,Productos!$A:$A,Productos!V:V,"Revisar"),"")</f>
        <v/>
      </c>
      <c r="AD468" s="179" t="str">
        <f t="array" ref="AD468">IF($F468&lt;&gt;"", XLOOKUP($F468,Productos!$A$2:$A1001,Productos!W$2:W1001,"")*$G468,"")</f>
        <v/>
      </c>
      <c r="AE468" s="179" t="str">
        <f t="array" ref="AE468">IF($F468&lt;&gt;"",XLOOKUP($F468,Productos!$A:$A,Productos!X:X,"Revisar"),"")</f>
        <v/>
      </c>
      <c r="AF468" s="179" t="str">
        <f t="array" ref="AF468">IF($F468&lt;&gt;"", XLOOKUP($F468,Productos!$A$2:$A1001,Productos!Y$2:Y1001,"")*$G468,"")</f>
        <v/>
      </c>
      <c r="AG468" s="179" t="str">
        <f t="array" ref="AG468">IF($F468&lt;&gt;"",XLOOKUP($F468,Productos!$A:$A,Productos!Z:Z,"Revisar"),"")</f>
        <v/>
      </c>
      <c r="AH468" s="179" t="str">
        <f t="array" ref="AH468">IF($F468&lt;&gt;"", XLOOKUP($F468,Productos!$A$2:$A1001,Productos!AA$2:AA1001,"")*$G468,"")</f>
        <v/>
      </c>
      <c r="AI468" s="179" t="str">
        <f t="array" ref="AI468">IF($F468&lt;&gt;"",XLOOKUP($F468,Productos!$A:$A,Productos!AB:AB,"Revisar"),"")</f>
        <v/>
      </c>
      <c r="AJ468" s="179" t="str">
        <f t="array" ref="AJ468">IF($F468&lt;&gt;"", XLOOKUP($F468,Productos!$A$2:$A1001,Productos!AC$2:AC1001,"")*$G468,"")</f>
        <v/>
      </c>
      <c r="AK468" s="179" t="str">
        <f t="array" ref="AK468">IF($F468&lt;&gt;"",XLOOKUP($F468,Productos!$A:$A,Productos!AD:AD,"Revisar"),"")</f>
        <v/>
      </c>
      <c r="AL468" s="179" t="str">
        <f t="array" ref="AL468">IF($F468&lt;&gt;"", XLOOKUP($F468,Productos!$A$2:$A1001,Productos!AE$2:AE1001,"")*$G468,"")</f>
        <v/>
      </c>
      <c r="AM468" s="179" t="str">
        <f t="array" ref="AM468">IF($F468&lt;&gt;"",XLOOKUP($F468,Productos!$A:$A,Productos!AF:AF,"Revisar"),"")</f>
        <v/>
      </c>
      <c r="AN468" s="179" t="str">
        <f t="array" ref="AN468">IF($F468&lt;&gt;"", XLOOKUP($F468,Productos!$A$2:$A1001,Productos!AG$2:AG1001,"")*$G468,"")</f>
        <v/>
      </c>
      <c r="AO468" s="179" t="str">
        <f t="array" ref="AO468">IF($F468&lt;&gt;"",XLOOKUP($F468,Productos!$A:$A,Productos!AH:AH,"Revisar"),"")</f>
        <v/>
      </c>
      <c r="AP468" s="179" t="str">
        <f t="array" ref="AP468">IF($F468&lt;&gt;"", XLOOKUP($F468,Productos!$A$2:$A1001,Productos!AI$2:AI1001,"")*$G468,"")</f>
        <v/>
      </c>
      <c r="AQ468" s="179" t="str">
        <f t="array" ref="AQ468">IF($F468&lt;&gt;"",XLOOKUP($F468,Productos!$A:$A,Productos!AJ:AJ,"Revisar"),"")</f>
        <v/>
      </c>
      <c r="AR468" s="179" t="str">
        <f t="array" ref="AR468">IF($F468&lt;&gt;"", XLOOKUP($F468,Productos!$A$2:$A1001,Productos!AK$2:AK1001,"")*$G468,"")</f>
        <v/>
      </c>
      <c r="AS468" s="179" t="str">
        <f t="array" ref="AS468">IF($F468&lt;&gt;"",XLOOKUP($F468,Productos!$A:$A,Productos!AL:AL,"Revisar"),"")</f>
        <v/>
      </c>
      <c r="AT468" s="179" t="str">
        <f t="array" ref="AT468">IF($F468&lt;&gt;"", XLOOKUP($F468,Productos!$A$2:$A1001,Productos!AM$2:AM1001,"")*$G468,"")</f>
        <v/>
      </c>
      <c r="AU468" s="179" t="str">
        <f t="array" ref="AU468">IF($F468&lt;&gt;"",XLOOKUP($F468,Productos!$A:$A,Productos!AN:AN,"Revisar"),"")</f>
        <v/>
      </c>
      <c r="AV468" s="179" t="str">
        <f t="array" ref="AV468">IF($F468&lt;&gt;"", XLOOKUP($F468,Productos!$A$2:$A1001,Productos!AO$2:AO1001,"")*$G468,"")</f>
        <v/>
      </c>
      <c r="AW468" s="179" t="str">
        <f t="array" ref="AW468">IF($F468&lt;&gt;"",XLOOKUP($F468,Productos!$A:$A,Productos!AP:AP,"Revisar"),"")</f>
        <v/>
      </c>
      <c r="AX468" s="179" t="str">
        <f t="array" ref="AX468">IF($F468&lt;&gt;"", XLOOKUP($F468,Productos!$A$2:$A1001,Productos!AQ$2:AQ1001,"")*$G468,"")</f>
        <v/>
      </c>
      <c r="AY468" s="179" t="str">
        <f t="array" ref="AY468">IF($F468&lt;&gt;"",XLOOKUP($F468,Productos!$A:$A,Productos!AR:AR,"Revisar"),"")</f>
        <v/>
      </c>
      <c r="AZ468" s="179" t="str">
        <f t="array" ref="AZ468">IF($F468&lt;&gt;"", XLOOKUP($F468,Productos!$A$2:$A1001,Productos!AS$2:AS1001,"")*$G468,"")</f>
        <v/>
      </c>
      <c r="BA468" s="179" t="str">
        <f t="array" ref="BA468">IF($F468&lt;&gt;"",XLOOKUP($F468,Productos!$A:$A,Productos!AT:AT,"Revisar"),"")</f>
        <v/>
      </c>
      <c r="BB468" s="179" t="str">
        <f t="array" ref="BB468">IF($F468&lt;&gt;"", XLOOKUP($F468,Productos!$A$2:$A1001,Productos!AU$2:AU1001,"")*$G468,"")</f>
        <v/>
      </c>
      <c r="BC468" s="179" t="str">
        <f t="array" ref="BC468">IF($F468&lt;&gt;"",XLOOKUP($F468,Productos!$A:$A,Productos!AV:AV,"Revisar"),"")</f>
        <v/>
      </c>
      <c r="BD468" s="179" t="str">
        <f t="array" ref="BD468">IF($F468&lt;&gt;"", XLOOKUP($F468,Productos!$A$2:$A1001,Productos!AW$2:AW1001,"")*$G468,"")</f>
        <v/>
      </c>
      <c r="BE468" s="179" t="str">
        <f t="array" ref="BE468">IF($F468&lt;&gt;"",XLOOKUP($F468,Productos!$A:$A,Productos!AX:AX,"Revisar"),"")</f>
        <v/>
      </c>
      <c r="BF468" s="179" t="str">
        <f t="array" ref="BF468">IF($F468&lt;&gt;"", XLOOKUP($F468,Productos!$A$2:$A1001,Productos!AY$2:AY1001,"")*$G468,"")</f>
        <v/>
      </c>
      <c r="BG468" s="179" t="str">
        <f t="array" ref="BG468">IF($F468&lt;&gt;"",XLOOKUP($F468,Productos!$A:$A,Productos!AZ:AZ,"Revisar"),"")</f>
        <v/>
      </c>
      <c r="BH468" s="179" t="str">
        <f t="array" ref="BH468">IF($F468&lt;&gt;"", XLOOKUP($F468,Productos!$A$2:$A1001,Productos!BA$2:BA1001,"")*$G468,"")</f>
        <v/>
      </c>
      <c r="BI468" s="179" t="str">
        <f t="array" ref="BI468">IF($F468&lt;&gt;"",XLOOKUP($F468,Productos!$A:$A,Productos!BB:BB,"Revisar"),"")</f>
        <v/>
      </c>
      <c r="BJ468" s="179" t="str">
        <f t="array" ref="BJ468">IF($F468&lt;&gt;"", XLOOKUP($F468,Productos!$A$2:$A1001,Productos!BC$2:BC1001,"")*$G468,"")</f>
        <v/>
      </c>
      <c r="BK468" s="179" t="str">
        <f t="array" ref="BK468">IF($F468&lt;&gt;"",XLOOKUP($F468,Productos!$A:$A,Productos!BD:BD,"Revisar"),"")</f>
        <v/>
      </c>
      <c r="BL468" s="179" t="str">
        <f t="array" ref="BL468">IF($F468&lt;&gt;"", XLOOKUP($F468,Productos!$A$2:$A1001,Productos!BE$2:BE1001,"")*$G468,"")</f>
        <v/>
      </c>
      <c r="BM468" s="179" t="str">
        <f t="array" ref="BM468">IF($F468&lt;&gt;"",XLOOKUP($F468,Productos!$A:$A,Productos!BF:BF,"Revisar"),"")</f>
        <v/>
      </c>
      <c r="BN468" s="179" t="str">
        <f t="array" ref="BN468">IF($F468&lt;&gt;"", XLOOKUP($F468,Productos!$A$2:$A1001,Productos!BG$2:BG1001,"")*$G468,"")</f>
        <v/>
      </c>
      <c r="BO468" s="179" t="str">
        <f t="array" ref="BO468">IF($F468&lt;&gt;"",XLOOKUP($F468,Productos!$A:$A,Productos!BH:BH,"Revisar"),"")</f>
        <v/>
      </c>
      <c r="BP468" s="179" t="str">
        <f t="array" ref="BP468">IF($F468&lt;&gt;"", XLOOKUP($F468,Productos!$A$2:$A1001,Productos!BI$2:BI1001,"")*$G468,"")</f>
        <v/>
      </c>
      <c r="BQ468" s="179" t="str">
        <f t="array" ref="BQ468">IF($F468&lt;&gt;"",XLOOKUP($F468,Productos!$A:$A,Productos!BJ:BJ,"Revisar"),"")</f>
        <v/>
      </c>
      <c r="BR468" s="179" t="str">
        <f t="array" ref="BR468">IF($F468&lt;&gt;"", XLOOKUP($F468,Productos!$A$2:$A1001,Productos!BK$2:BK1001,"")*$G468,"")</f>
        <v/>
      </c>
      <c r="BS468" s="179" t="str">
        <f t="array" ref="BS468">IF($F468&lt;&gt;"",XLOOKUP($F468,Productos!$A:$A,Productos!BL:BL,"Revisar"),"")</f>
        <v/>
      </c>
      <c r="BT468" s="179" t="str">
        <f t="array" ref="BT468">IF($F468&lt;&gt;"", XLOOKUP($F468,Productos!$A$2:$A1001,Productos!BM$2:BM1001,"")*$G468,"")</f>
        <v/>
      </c>
      <c r="BU468" s="179" t="str">
        <f t="array" ref="BU468">IF($F468&lt;&gt;"",XLOOKUP($F468,Productos!$A:$A,Productos!BN:BN,"Revisar"),"")</f>
        <v/>
      </c>
      <c r="BV468" s="179" t="str">
        <f t="array" ref="BV468">IF($F468&lt;&gt;"", XLOOKUP($F468,Productos!$A$2:$A1001,Productos!BO$2:BO1001,"")*$G468,"")</f>
        <v/>
      </c>
      <c r="BW468" s="179" t="str">
        <f t="array" ref="BW468">IF($F468&lt;&gt;"",XLOOKUP($F468,Productos!$A:$A,Productos!BP:BP,"Revisar"),"")</f>
        <v/>
      </c>
      <c r="BX468" s="179" t="str">
        <f t="array" ref="BX468">IF($F468&lt;&gt;"", XLOOKUP($F468,Productos!$A$2:$A1001,Productos!BQ$2:BQ1001,"")*$G468,"")</f>
        <v/>
      </c>
      <c r="BY468" s="179" t="str">
        <f t="array" ref="BY468">IF($F468&lt;&gt;"",XLOOKUP($F468,Productos!$A:$A,Productos!BR:BR,"Revisar"),"")</f>
        <v/>
      </c>
      <c r="BZ468" s="179" t="str">
        <f t="array" ref="BZ468">IF($F468&lt;&gt;"", XLOOKUP($F468,Productos!$A$2:$A1001,Productos!BS$2:BS1001,"")*$G468,"")</f>
        <v/>
      </c>
    </row>
    <row r="469">
      <c r="A469" s="188"/>
      <c r="B469" s="189"/>
      <c r="C469" s="190"/>
      <c r="D469" s="190"/>
      <c r="E469" s="191"/>
      <c r="F469" s="186"/>
      <c r="G469" s="192"/>
      <c r="H469" s="9"/>
      <c r="I469" s="179" t="str">
        <f t="array" ref="I469">IF($F469&lt;&gt;"",XLOOKUP($F469,Productos!$A:$A,Productos!B:B,"Revisar"),"")</f>
        <v/>
      </c>
      <c r="J469" s="179" t="str">
        <f t="array" ref="J469">IF($F469&lt;&gt;"", XLOOKUP($F469,Productos!$A$2:$A1001,Productos!C$2:C1001,"")*$G469,"")</f>
        <v/>
      </c>
      <c r="K469" s="179" t="str">
        <f t="array" ref="K469">IF($F469&lt;&gt;"",XLOOKUP($F469,Productos!$A:$A,Productos!D:D,"Revisar"),"")</f>
        <v/>
      </c>
      <c r="L469" s="179" t="str">
        <f t="array" ref="L469">IF($F469&lt;&gt;"", XLOOKUP($F469,Productos!$A$2:$A1001,Productos!E$2:E1001,"")*$G469,"")</f>
        <v/>
      </c>
      <c r="M469" s="179" t="str">
        <f t="array" ref="M469">IF($F469&lt;&gt;"",XLOOKUP($F469,Productos!$A:$A,Productos!F:F,"Revisar"),"")</f>
        <v/>
      </c>
      <c r="N469" s="179" t="str">
        <f t="array" ref="N469">IF($F469&lt;&gt;"", XLOOKUP($F469,Productos!$A$2:$A1001,Productos!G$2:G1001,"")*$G469,"")</f>
        <v/>
      </c>
      <c r="O469" s="179" t="str">
        <f t="array" ref="O469">IF($F469&lt;&gt;"",XLOOKUP($F469,Productos!$A:$A,Productos!H:H,"Revisar"),"")</f>
        <v/>
      </c>
      <c r="P469" s="179" t="str">
        <f t="array" ref="P469">IF($F469&lt;&gt;"", XLOOKUP($F469,Productos!$A$2:$A1001,Productos!I$2:I1001,"")*$G469,"")</f>
        <v/>
      </c>
      <c r="Q469" s="179" t="str">
        <f t="array" ref="Q469">IF($F469&lt;&gt;"",XLOOKUP($F469,Productos!$A:$A,Productos!J:J,"Revisar"),"")</f>
        <v/>
      </c>
      <c r="R469" s="179" t="str">
        <f t="array" ref="R469">IF($F469&lt;&gt;"", XLOOKUP($F469,Productos!$A$2:$A1001,Productos!K$2:K1001,"")*$G469,"")</f>
        <v/>
      </c>
      <c r="S469" s="179" t="str">
        <f t="array" ref="S469">IF($F469&lt;&gt;"",XLOOKUP($F469,Productos!$A:$A,Productos!L:L,"Revisar"),"")</f>
        <v/>
      </c>
      <c r="T469" s="179" t="str">
        <f t="array" ref="T469">IF($F469&lt;&gt;"", XLOOKUP($F469,Productos!$A$2:$A1001,Productos!M$2:M1001,"")*$G469,"")</f>
        <v/>
      </c>
      <c r="U469" s="179" t="str">
        <f t="array" ref="U469">IF($F469&lt;&gt;"",XLOOKUP($F469,Productos!$A:$A,Productos!N:N,"Revisar"),"")</f>
        <v/>
      </c>
      <c r="V469" s="179" t="str">
        <f t="array" ref="V469">IF($F469&lt;&gt;"", XLOOKUP($F469,Productos!$A$2:$A1001,Productos!O$2:O1001,"")*$G469,"")</f>
        <v/>
      </c>
      <c r="W469" s="179" t="str">
        <f t="array" ref="W469">IF($F469&lt;&gt;"",XLOOKUP($F469,Productos!$A:$A,Productos!P:P,"Revisar"),"")</f>
        <v/>
      </c>
      <c r="X469" s="179" t="str">
        <f t="array" ref="X469">IF($F469&lt;&gt;"", XLOOKUP($F469,Productos!$A$2:$A1001,Productos!Q$2:Q1001,"")*$G469,"")</f>
        <v/>
      </c>
      <c r="Y469" s="179" t="str">
        <f t="array" ref="Y469">IF($F469&lt;&gt;"",XLOOKUP($F469,Productos!$A:$A,Productos!R:R,"Revisar"),"")</f>
        <v/>
      </c>
      <c r="Z469" s="179" t="str">
        <f t="array" ref="Z469">IF($F469&lt;&gt;"", XLOOKUP($F469,Productos!$A$2:$A1001,Productos!S$2:S1001,"")*$G469,"")</f>
        <v/>
      </c>
      <c r="AA469" s="179" t="str">
        <f t="array" ref="AA469">IF($F469&lt;&gt;"",XLOOKUP($F469,Productos!$A:$A,Productos!T:T,"Revisar"),"")</f>
        <v/>
      </c>
      <c r="AB469" s="179" t="str">
        <f t="array" ref="AB469">IF($F469&lt;&gt;"", XLOOKUP($F469,Productos!$A$2:$A1001,Productos!U$2:U1001,"")*$G469,"")</f>
        <v/>
      </c>
      <c r="AC469" s="179" t="str">
        <f t="array" ref="AC469">IF($F469&lt;&gt;"",XLOOKUP($F469,Productos!$A:$A,Productos!V:V,"Revisar"),"")</f>
        <v/>
      </c>
      <c r="AD469" s="179" t="str">
        <f t="array" ref="AD469">IF($F469&lt;&gt;"", XLOOKUP($F469,Productos!$A$2:$A1001,Productos!W$2:W1001,"")*$G469,"")</f>
        <v/>
      </c>
      <c r="AE469" s="179" t="str">
        <f t="array" ref="AE469">IF($F469&lt;&gt;"",XLOOKUP($F469,Productos!$A:$A,Productos!X:X,"Revisar"),"")</f>
        <v/>
      </c>
      <c r="AF469" s="179" t="str">
        <f t="array" ref="AF469">IF($F469&lt;&gt;"", XLOOKUP($F469,Productos!$A$2:$A1001,Productos!Y$2:Y1001,"")*$G469,"")</f>
        <v/>
      </c>
      <c r="AG469" s="179" t="str">
        <f t="array" ref="AG469">IF($F469&lt;&gt;"",XLOOKUP($F469,Productos!$A:$A,Productos!Z:Z,"Revisar"),"")</f>
        <v/>
      </c>
      <c r="AH469" s="179" t="str">
        <f t="array" ref="AH469">IF($F469&lt;&gt;"", XLOOKUP($F469,Productos!$A$2:$A1001,Productos!AA$2:AA1001,"")*$G469,"")</f>
        <v/>
      </c>
      <c r="AI469" s="179" t="str">
        <f t="array" ref="AI469">IF($F469&lt;&gt;"",XLOOKUP($F469,Productos!$A:$A,Productos!AB:AB,"Revisar"),"")</f>
        <v/>
      </c>
      <c r="AJ469" s="179" t="str">
        <f t="array" ref="AJ469">IF($F469&lt;&gt;"", XLOOKUP($F469,Productos!$A$2:$A1001,Productos!AC$2:AC1001,"")*$G469,"")</f>
        <v/>
      </c>
      <c r="AK469" s="179" t="str">
        <f t="array" ref="AK469">IF($F469&lt;&gt;"",XLOOKUP($F469,Productos!$A:$A,Productos!AD:AD,"Revisar"),"")</f>
        <v/>
      </c>
      <c r="AL469" s="179" t="str">
        <f t="array" ref="AL469">IF($F469&lt;&gt;"", XLOOKUP($F469,Productos!$A$2:$A1001,Productos!AE$2:AE1001,"")*$G469,"")</f>
        <v/>
      </c>
      <c r="AM469" s="179" t="str">
        <f t="array" ref="AM469">IF($F469&lt;&gt;"",XLOOKUP($F469,Productos!$A:$A,Productos!AF:AF,"Revisar"),"")</f>
        <v/>
      </c>
      <c r="AN469" s="179" t="str">
        <f t="array" ref="AN469">IF($F469&lt;&gt;"", XLOOKUP($F469,Productos!$A$2:$A1001,Productos!AG$2:AG1001,"")*$G469,"")</f>
        <v/>
      </c>
      <c r="AO469" s="179" t="str">
        <f t="array" ref="AO469">IF($F469&lt;&gt;"",XLOOKUP($F469,Productos!$A:$A,Productos!AH:AH,"Revisar"),"")</f>
        <v/>
      </c>
      <c r="AP469" s="179" t="str">
        <f t="array" ref="AP469">IF($F469&lt;&gt;"", XLOOKUP($F469,Productos!$A$2:$A1001,Productos!AI$2:AI1001,"")*$G469,"")</f>
        <v/>
      </c>
      <c r="AQ469" s="179" t="str">
        <f t="array" ref="AQ469">IF($F469&lt;&gt;"",XLOOKUP($F469,Productos!$A:$A,Productos!AJ:AJ,"Revisar"),"")</f>
        <v/>
      </c>
      <c r="AR469" s="179" t="str">
        <f t="array" ref="AR469">IF($F469&lt;&gt;"", XLOOKUP($F469,Productos!$A$2:$A1001,Productos!AK$2:AK1001,"")*$G469,"")</f>
        <v/>
      </c>
      <c r="AS469" s="179" t="str">
        <f t="array" ref="AS469">IF($F469&lt;&gt;"",XLOOKUP($F469,Productos!$A:$A,Productos!AL:AL,"Revisar"),"")</f>
        <v/>
      </c>
      <c r="AT469" s="179" t="str">
        <f t="array" ref="AT469">IF($F469&lt;&gt;"", XLOOKUP($F469,Productos!$A$2:$A1001,Productos!AM$2:AM1001,"")*$G469,"")</f>
        <v/>
      </c>
      <c r="AU469" s="179" t="str">
        <f t="array" ref="AU469">IF($F469&lt;&gt;"",XLOOKUP($F469,Productos!$A:$A,Productos!AN:AN,"Revisar"),"")</f>
        <v/>
      </c>
      <c r="AV469" s="179" t="str">
        <f t="array" ref="AV469">IF($F469&lt;&gt;"", XLOOKUP($F469,Productos!$A$2:$A1001,Productos!AO$2:AO1001,"")*$G469,"")</f>
        <v/>
      </c>
      <c r="AW469" s="179" t="str">
        <f t="array" ref="AW469">IF($F469&lt;&gt;"",XLOOKUP($F469,Productos!$A:$A,Productos!AP:AP,"Revisar"),"")</f>
        <v/>
      </c>
      <c r="AX469" s="179" t="str">
        <f t="array" ref="AX469">IF($F469&lt;&gt;"", XLOOKUP($F469,Productos!$A$2:$A1001,Productos!AQ$2:AQ1001,"")*$G469,"")</f>
        <v/>
      </c>
      <c r="AY469" s="179" t="str">
        <f t="array" ref="AY469">IF($F469&lt;&gt;"",XLOOKUP($F469,Productos!$A:$A,Productos!AR:AR,"Revisar"),"")</f>
        <v/>
      </c>
      <c r="AZ469" s="179" t="str">
        <f t="array" ref="AZ469">IF($F469&lt;&gt;"", XLOOKUP($F469,Productos!$A$2:$A1001,Productos!AS$2:AS1001,"")*$G469,"")</f>
        <v/>
      </c>
      <c r="BA469" s="179" t="str">
        <f t="array" ref="BA469">IF($F469&lt;&gt;"",XLOOKUP($F469,Productos!$A:$A,Productos!AT:AT,"Revisar"),"")</f>
        <v/>
      </c>
      <c r="BB469" s="179" t="str">
        <f t="array" ref="BB469">IF($F469&lt;&gt;"", XLOOKUP($F469,Productos!$A$2:$A1001,Productos!AU$2:AU1001,"")*$G469,"")</f>
        <v/>
      </c>
      <c r="BC469" s="179" t="str">
        <f t="array" ref="BC469">IF($F469&lt;&gt;"",XLOOKUP($F469,Productos!$A:$A,Productos!AV:AV,"Revisar"),"")</f>
        <v/>
      </c>
      <c r="BD469" s="179" t="str">
        <f t="array" ref="BD469">IF($F469&lt;&gt;"", XLOOKUP($F469,Productos!$A$2:$A1001,Productos!AW$2:AW1001,"")*$G469,"")</f>
        <v/>
      </c>
      <c r="BE469" s="179" t="str">
        <f t="array" ref="BE469">IF($F469&lt;&gt;"",XLOOKUP($F469,Productos!$A:$A,Productos!AX:AX,"Revisar"),"")</f>
        <v/>
      </c>
      <c r="BF469" s="179" t="str">
        <f t="array" ref="BF469">IF($F469&lt;&gt;"", XLOOKUP($F469,Productos!$A$2:$A1001,Productos!AY$2:AY1001,"")*$G469,"")</f>
        <v/>
      </c>
      <c r="BG469" s="179" t="str">
        <f t="array" ref="BG469">IF($F469&lt;&gt;"",XLOOKUP($F469,Productos!$A:$A,Productos!AZ:AZ,"Revisar"),"")</f>
        <v/>
      </c>
      <c r="BH469" s="179" t="str">
        <f t="array" ref="BH469">IF($F469&lt;&gt;"", XLOOKUP($F469,Productos!$A$2:$A1001,Productos!BA$2:BA1001,"")*$G469,"")</f>
        <v/>
      </c>
      <c r="BI469" s="179" t="str">
        <f t="array" ref="BI469">IF($F469&lt;&gt;"",XLOOKUP($F469,Productos!$A:$A,Productos!BB:BB,"Revisar"),"")</f>
        <v/>
      </c>
      <c r="BJ469" s="179" t="str">
        <f t="array" ref="BJ469">IF($F469&lt;&gt;"", XLOOKUP($F469,Productos!$A$2:$A1001,Productos!BC$2:BC1001,"")*$G469,"")</f>
        <v/>
      </c>
      <c r="BK469" s="179" t="str">
        <f t="array" ref="BK469">IF($F469&lt;&gt;"",XLOOKUP($F469,Productos!$A:$A,Productos!BD:BD,"Revisar"),"")</f>
        <v/>
      </c>
      <c r="BL469" s="179" t="str">
        <f t="array" ref="BL469">IF($F469&lt;&gt;"", XLOOKUP($F469,Productos!$A$2:$A1001,Productos!BE$2:BE1001,"")*$G469,"")</f>
        <v/>
      </c>
      <c r="BM469" s="179" t="str">
        <f t="array" ref="BM469">IF($F469&lt;&gt;"",XLOOKUP($F469,Productos!$A:$A,Productos!BF:BF,"Revisar"),"")</f>
        <v/>
      </c>
      <c r="BN469" s="179" t="str">
        <f t="array" ref="BN469">IF($F469&lt;&gt;"", XLOOKUP($F469,Productos!$A$2:$A1001,Productos!BG$2:BG1001,"")*$G469,"")</f>
        <v/>
      </c>
      <c r="BO469" s="179" t="str">
        <f t="array" ref="BO469">IF($F469&lt;&gt;"",XLOOKUP($F469,Productos!$A:$A,Productos!BH:BH,"Revisar"),"")</f>
        <v/>
      </c>
      <c r="BP469" s="179" t="str">
        <f t="array" ref="BP469">IF($F469&lt;&gt;"", XLOOKUP($F469,Productos!$A$2:$A1001,Productos!BI$2:BI1001,"")*$G469,"")</f>
        <v/>
      </c>
      <c r="BQ469" s="179" t="str">
        <f t="array" ref="BQ469">IF($F469&lt;&gt;"",XLOOKUP($F469,Productos!$A:$A,Productos!BJ:BJ,"Revisar"),"")</f>
        <v/>
      </c>
      <c r="BR469" s="179" t="str">
        <f t="array" ref="BR469">IF($F469&lt;&gt;"", XLOOKUP($F469,Productos!$A$2:$A1001,Productos!BK$2:BK1001,"")*$G469,"")</f>
        <v/>
      </c>
      <c r="BS469" s="179" t="str">
        <f t="array" ref="BS469">IF($F469&lt;&gt;"",XLOOKUP($F469,Productos!$A:$A,Productos!BL:BL,"Revisar"),"")</f>
        <v/>
      </c>
      <c r="BT469" s="179" t="str">
        <f t="array" ref="BT469">IF($F469&lt;&gt;"", XLOOKUP($F469,Productos!$A$2:$A1001,Productos!BM$2:BM1001,"")*$G469,"")</f>
        <v/>
      </c>
      <c r="BU469" s="179" t="str">
        <f t="array" ref="BU469">IF($F469&lt;&gt;"",XLOOKUP($F469,Productos!$A:$A,Productos!BN:BN,"Revisar"),"")</f>
        <v/>
      </c>
      <c r="BV469" s="179" t="str">
        <f t="array" ref="BV469">IF($F469&lt;&gt;"", XLOOKUP($F469,Productos!$A$2:$A1001,Productos!BO$2:BO1001,"")*$G469,"")</f>
        <v/>
      </c>
      <c r="BW469" s="179" t="str">
        <f t="array" ref="BW469">IF($F469&lt;&gt;"",XLOOKUP($F469,Productos!$A:$A,Productos!BP:BP,"Revisar"),"")</f>
        <v/>
      </c>
      <c r="BX469" s="179" t="str">
        <f t="array" ref="BX469">IF($F469&lt;&gt;"", XLOOKUP($F469,Productos!$A$2:$A1001,Productos!BQ$2:BQ1001,"")*$G469,"")</f>
        <v/>
      </c>
      <c r="BY469" s="179" t="str">
        <f t="array" ref="BY469">IF($F469&lt;&gt;"",XLOOKUP($F469,Productos!$A:$A,Productos!BR:BR,"Revisar"),"")</f>
        <v/>
      </c>
      <c r="BZ469" s="179" t="str">
        <f t="array" ref="BZ469">IF($F469&lt;&gt;"", XLOOKUP($F469,Productos!$A$2:$A1001,Productos!BS$2:BS1001,"")*$G469,"")</f>
        <v/>
      </c>
    </row>
    <row r="470">
      <c r="A470" s="188"/>
      <c r="B470" s="189"/>
      <c r="C470" s="190"/>
      <c r="D470" s="190"/>
      <c r="E470" s="191"/>
      <c r="F470" s="186"/>
      <c r="G470" s="192"/>
      <c r="H470" s="9"/>
      <c r="I470" s="179" t="str">
        <f t="array" ref="I470">IF($F470&lt;&gt;"",XLOOKUP($F470,Productos!$A:$A,Productos!B:B,"Revisar"),"")</f>
        <v/>
      </c>
      <c r="J470" s="179" t="str">
        <f t="array" ref="J470">IF($F470&lt;&gt;"", XLOOKUP($F470,Productos!$A$2:$A1001,Productos!C$2:C1001,"")*$G470,"")</f>
        <v/>
      </c>
      <c r="K470" s="179" t="str">
        <f t="array" ref="K470">IF($F470&lt;&gt;"",XLOOKUP($F470,Productos!$A:$A,Productos!D:D,"Revisar"),"")</f>
        <v/>
      </c>
      <c r="L470" s="179" t="str">
        <f t="array" ref="L470">IF($F470&lt;&gt;"", XLOOKUP($F470,Productos!$A$2:$A1001,Productos!E$2:E1001,"")*$G470,"")</f>
        <v/>
      </c>
      <c r="M470" s="179" t="str">
        <f t="array" ref="M470">IF($F470&lt;&gt;"",XLOOKUP($F470,Productos!$A:$A,Productos!F:F,"Revisar"),"")</f>
        <v/>
      </c>
      <c r="N470" s="179" t="str">
        <f t="array" ref="N470">IF($F470&lt;&gt;"", XLOOKUP($F470,Productos!$A$2:$A1001,Productos!G$2:G1001,"")*$G470,"")</f>
        <v/>
      </c>
      <c r="O470" s="179" t="str">
        <f t="array" ref="O470">IF($F470&lt;&gt;"",XLOOKUP($F470,Productos!$A:$A,Productos!H:H,"Revisar"),"")</f>
        <v/>
      </c>
      <c r="P470" s="179" t="str">
        <f t="array" ref="P470">IF($F470&lt;&gt;"", XLOOKUP($F470,Productos!$A$2:$A1001,Productos!I$2:I1001,"")*$G470,"")</f>
        <v/>
      </c>
      <c r="Q470" s="179" t="str">
        <f t="array" ref="Q470">IF($F470&lt;&gt;"",XLOOKUP($F470,Productos!$A:$A,Productos!J:J,"Revisar"),"")</f>
        <v/>
      </c>
      <c r="R470" s="179" t="str">
        <f t="array" ref="R470">IF($F470&lt;&gt;"", XLOOKUP($F470,Productos!$A$2:$A1001,Productos!K$2:K1001,"")*$G470,"")</f>
        <v/>
      </c>
      <c r="S470" s="179" t="str">
        <f t="array" ref="S470">IF($F470&lt;&gt;"",XLOOKUP($F470,Productos!$A:$A,Productos!L:L,"Revisar"),"")</f>
        <v/>
      </c>
      <c r="T470" s="179" t="str">
        <f t="array" ref="T470">IF($F470&lt;&gt;"", XLOOKUP($F470,Productos!$A$2:$A1001,Productos!M$2:M1001,"")*$G470,"")</f>
        <v/>
      </c>
      <c r="U470" s="179" t="str">
        <f t="array" ref="U470">IF($F470&lt;&gt;"",XLOOKUP($F470,Productos!$A:$A,Productos!N:N,"Revisar"),"")</f>
        <v/>
      </c>
      <c r="V470" s="179" t="str">
        <f t="array" ref="V470">IF($F470&lt;&gt;"", XLOOKUP($F470,Productos!$A$2:$A1001,Productos!O$2:O1001,"")*$G470,"")</f>
        <v/>
      </c>
      <c r="W470" s="179" t="str">
        <f t="array" ref="W470">IF($F470&lt;&gt;"",XLOOKUP($F470,Productos!$A:$A,Productos!P:P,"Revisar"),"")</f>
        <v/>
      </c>
      <c r="X470" s="179" t="str">
        <f t="array" ref="X470">IF($F470&lt;&gt;"", XLOOKUP($F470,Productos!$A$2:$A1001,Productos!Q$2:Q1001,"")*$G470,"")</f>
        <v/>
      </c>
      <c r="Y470" s="179" t="str">
        <f t="array" ref="Y470">IF($F470&lt;&gt;"",XLOOKUP($F470,Productos!$A:$A,Productos!R:R,"Revisar"),"")</f>
        <v/>
      </c>
      <c r="Z470" s="179" t="str">
        <f t="array" ref="Z470">IF($F470&lt;&gt;"", XLOOKUP($F470,Productos!$A$2:$A1001,Productos!S$2:S1001,"")*$G470,"")</f>
        <v/>
      </c>
      <c r="AA470" s="179" t="str">
        <f t="array" ref="AA470">IF($F470&lt;&gt;"",XLOOKUP($F470,Productos!$A:$A,Productos!T:T,"Revisar"),"")</f>
        <v/>
      </c>
      <c r="AB470" s="179" t="str">
        <f t="array" ref="AB470">IF($F470&lt;&gt;"", XLOOKUP($F470,Productos!$A$2:$A1001,Productos!U$2:U1001,"")*$G470,"")</f>
        <v/>
      </c>
      <c r="AC470" s="179" t="str">
        <f t="array" ref="AC470">IF($F470&lt;&gt;"",XLOOKUP($F470,Productos!$A:$A,Productos!V:V,"Revisar"),"")</f>
        <v/>
      </c>
      <c r="AD470" s="179" t="str">
        <f t="array" ref="AD470">IF($F470&lt;&gt;"", XLOOKUP($F470,Productos!$A$2:$A1001,Productos!W$2:W1001,"")*$G470,"")</f>
        <v/>
      </c>
      <c r="AE470" s="179" t="str">
        <f t="array" ref="AE470">IF($F470&lt;&gt;"",XLOOKUP($F470,Productos!$A:$A,Productos!X:X,"Revisar"),"")</f>
        <v/>
      </c>
      <c r="AF470" s="179" t="str">
        <f t="array" ref="AF470">IF($F470&lt;&gt;"", XLOOKUP($F470,Productos!$A$2:$A1001,Productos!Y$2:Y1001,"")*$G470,"")</f>
        <v/>
      </c>
      <c r="AG470" s="179" t="str">
        <f t="array" ref="AG470">IF($F470&lt;&gt;"",XLOOKUP($F470,Productos!$A:$A,Productos!Z:Z,"Revisar"),"")</f>
        <v/>
      </c>
      <c r="AH470" s="179" t="str">
        <f t="array" ref="AH470">IF($F470&lt;&gt;"", XLOOKUP($F470,Productos!$A$2:$A1001,Productos!AA$2:AA1001,"")*$G470,"")</f>
        <v/>
      </c>
      <c r="AI470" s="179" t="str">
        <f t="array" ref="AI470">IF($F470&lt;&gt;"",XLOOKUP($F470,Productos!$A:$A,Productos!AB:AB,"Revisar"),"")</f>
        <v/>
      </c>
      <c r="AJ470" s="179" t="str">
        <f t="array" ref="AJ470">IF($F470&lt;&gt;"", XLOOKUP($F470,Productos!$A$2:$A1001,Productos!AC$2:AC1001,"")*$G470,"")</f>
        <v/>
      </c>
      <c r="AK470" s="179" t="str">
        <f t="array" ref="AK470">IF($F470&lt;&gt;"",XLOOKUP($F470,Productos!$A:$A,Productos!AD:AD,"Revisar"),"")</f>
        <v/>
      </c>
      <c r="AL470" s="179" t="str">
        <f t="array" ref="AL470">IF($F470&lt;&gt;"", XLOOKUP($F470,Productos!$A$2:$A1001,Productos!AE$2:AE1001,"")*$G470,"")</f>
        <v/>
      </c>
      <c r="AM470" s="179" t="str">
        <f t="array" ref="AM470">IF($F470&lt;&gt;"",XLOOKUP($F470,Productos!$A:$A,Productos!AF:AF,"Revisar"),"")</f>
        <v/>
      </c>
      <c r="AN470" s="179" t="str">
        <f t="array" ref="AN470">IF($F470&lt;&gt;"", XLOOKUP($F470,Productos!$A$2:$A1001,Productos!AG$2:AG1001,"")*$G470,"")</f>
        <v/>
      </c>
      <c r="AO470" s="179" t="str">
        <f t="array" ref="AO470">IF($F470&lt;&gt;"",XLOOKUP($F470,Productos!$A:$A,Productos!AH:AH,"Revisar"),"")</f>
        <v/>
      </c>
      <c r="AP470" s="179" t="str">
        <f t="array" ref="AP470">IF($F470&lt;&gt;"", XLOOKUP($F470,Productos!$A$2:$A1001,Productos!AI$2:AI1001,"")*$G470,"")</f>
        <v/>
      </c>
      <c r="AQ470" s="179" t="str">
        <f t="array" ref="AQ470">IF($F470&lt;&gt;"",XLOOKUP($F470,Productos!$A:$A,Productos!AJ:AJ,"Revisar"),"")</f>
        <v/>
      </c>
      <c r="AR470" s="179" t="str">
        <f t="array" ref="AR470">IF($F470&lt;&gt;"", XLOOKUP($F470,Productos!$A$2:$A1001,Productos!AK$2:AK1001,"")*$G470,"")</f>
        <v/>
      </c>
      <c r="AS470" s="179" t="str">
        <f t="array" ref="AS470">IF($F470&lt;&gt;"",XLOOKUP($F470,Productos!$A:$A,Productos!AL:AL,"Revisar"),"")</f>
        <v/>
      </c>
      <c r="AT470" s="179" t="str">
        <f t="array" ref="AT470">IF($F470&lt;&gt;"", XLOOKUP($F470,Productos!$A$2:$A1001,Productos!AM$2:AM1001,"")*$G470,"")</f>
        <v/>
      </c>
      <c r="AU470" s="179" t="str">
        <f t="array" ref="AU470">IF($F470&lt;&gt;"",XLOOKUP($F470,Productos!$A:$A,Productos!AN:AN,"Revisar"),"")</f>
        <v/>
      </c>
      <c r="AV470" s="179" t="str">
        <f t="array" ref="AV470">IF($F470&lt;&gt;"", XLOOKUP($F470,Productos!$A$2:$A1001,Productos!AO$2:AO1001,"")*$G470,"")</f>
        <v/>
      </c>
      <c r="AW470" s="179" t="str">
        <f t="array" ref="AW470">IF($F470&lt;&gt;"",XLOOKUP($F470,Productos!$A:$A,Productos!AP:AP,"Revisar"),"")</f>
        <v/>
      </c>
      <c r="AX470" s="179" t="str">
        <f t="array" ref="AX470">IF($F470&lt;&gt;"", XLOOKUP($F470,Productos!$A$2:$A1001,Productos!AQ$2:AQ1001,"")*$G470,"")</f>
        <v/>
      </c>
      <c r="AY470" s="179" t="str">
        <f t="array" ref="AY470">IF($F470&lt;&gt;"",XLOOKUP($F470,Productos!$A:$A,Productos!AR:AR,"Revisar"),"")</f>
        <v/>
      </c>
      <c r="AZ470" s="179" t="str">
        <f t="array" ref="AZ470">IF($F470&lt;&gt;"", XLOOKUP($F470,Productos!$A$2:$A1001,Productos!AS$2:AS1001,"")*$G470,"")</f>
        <v/>
      </c>
      <c r="BA470" s="179" t="str">
        <f t="array" ref="BA470">IF($F470&lt;&gt;"",XLOOKUP($F470,Productos!$A:$A,Productos!AT:AT,"Revisar"),"")</f>
        <v/>
      </c>
      <c r="BB470" s="179" t="str">
        <f t="array" ref="BB470">IF($F470&lt;&gt;"", XLOOKUP($F470,Productos!$A$2:$A1001,Productos!AU$2:AU1001,"")*$G470,"")</f>
        <v/>
      </c>
      <c r="BC470" s="179" t="str">
        <f t="array" ref="BC470">IF($F470&lt;&gt;"",XLOOKUP($F470,Productos!$A:$A,Productos!AV:AV,"Revisar"),"")</f>
        <v/>
      </c>
      <c r="BD470" s="179" t="str">
        <f t="array" ref="BD470">IF($F470&lt;&gt;"", XLOOKUP($F470,Productos!$A$2:$A1001,Productos!AW$2:AW1001,"")*$G470,"")</f>
        <v/>
      </c>
      <c r="BE470" s="179" t="str">
        <f t="array" ref="BE470">IF($F470&lt;&gt;"",XLOOKUP($F470,Productos!$A:$A,Productos!AX:AX,"Revisar"),"")</f>
        <v/>
      </c>
      <c r="BF470" s="179" t="str">
        <f t="array" ref="BF470">IF($F470&lt;&gt;"", XLOOKUP($F470,Productos!$A$2:$A1001,Productos!AY$2:AY1001,"")*$G470,"")</f>
        <v/>
      </c>
      <c r="BG470" s="179" t="str">
        <f t="array" ref="BG470">IF($F470&lt;&gt;"",XLOOKUP($F470,Productos!$A:$A,Productos!AZ:AZ,"Revisar"),"")</f>
        <v/>
      </c>
      <c r="BH470" s="179" t="str">
        <f t="array" ref="BH470">IF($F470&lt;&gt;"", XLOOKUP($F470,Productos!$A$2:$A1001,Productos!BA$2:BA1001,"")*$G470,"")</f>
        <v/>
      </c>
      <c r="BI470" s="179" t="str">
        <f t="array" ref="BI470">IF($F470&lt;&gt;"",XLOOKUP($F470,Productos!$A:$A,Productos!BB:BB,"Revisar"),"")</f>
        <v/>
      </c>
      <c r="BJ470" s="179" t="str">
        <f t="array" ref="BJ470">IF($F470&lt;&gt;"", XLOOKUP($F470,Productos!$A$2:$A1001,Productos!BC$2:BC1001,"")*$G470,"")</f>
        <v/>
      </c>
      <c r="BK470" s="179" t="str">
        <f t="array" ref="BK470">IF($F470&lt;&gt;"",XLOOKUP($F470,Productos!$A:$A,Productos!BD:BD,"Revisar"),"")</f>
        <v/>
      </c>
      <c r="BL470" s="179" t="str">
        <f t="array" ref="BL470">IF($F470&lt;&gt;"", XLOOKUP($F470,Productos!$A$2:$A1001,Productos!BE$2:BE1001,"")*$G470,"")</f>
        <v/>
      </c>
      <c r="BM470" s="179" t="str">
        <f t="array" ref="BM470">IF($F470&lt;&gt;"",XLOOKUP($F470,Productos!$A:$A,Productos!BF:BF,"Revisar"),"")</f>
        <v/>
      </c>
      <c r="BN470" s="179" t="str">
        <f t="array" ref="BN470">IF($F470&lt;&gt;"", XLOOKUP($F470,Productos!$A$2:$A1001,Productos!BG$2:BG1001,"")*$G470,"")</f>
        <v/>
      </c>
      <c r="BO470" s="179" t="str">
        <f t="array" ref="BO470">IF($F470&lt;&gt;"",XLOOKUP($F470,Productos!$A:$A,Productos!BH:BH,"Revisar"),"")</f>
        <v/>
      </c>
      <c r="BP470" s="179" t="str">
        <f t="array" ref="BP470">IF($F470&lt;&gt;"", XLOOKUP($F470,Productos!$A$2:$A1001,Productos!BI$2:BI1001,"")*$G470,"")</f>
        <v/>
      </c>
      <c r="BQ470" s="179" t="str">
        <f t="array" ref="BQ470">IF($F470&lt;&gt;"",XLOOKUP($F470,Productos!$A:$A,Productos!BJ:BJ,"Revisar"),"")</f>
        <v/>
      </c>
      <c r="BR470" s="179" t="str">
        <f t="array" ref="BR470">IF($F470&lt;&gt;"", XLOOKUP($F470,Productos!$A$2:$A1001,Productos!BK$2:BK1001,"")*$G470,"")</f>
        <v/>
      </c>
      <c r="BS470" s="179" t="str">
        <f t="array" ref="BS470">IF($F470&lt;&gt;"",XLOOKUP($F470,Productos!$A:$A,Productos!BL:BL,"Revisar"),"")</f>
        <v/>
      </c>
      <c r="BT470" s="179" t="str">
        <f t="array" ref="BT470">IF($F470&lt;&gt;"", XLOOKUP($F470,Productos!$A$2:$A1001,Productos!BM$2:BM1001,"")*$G470,"")</f>
        <v/>
      </c>
      <c r="BU470" s="179" t="str">
        <f t="array" ref="BU470">IF($F470&lt;&gt;"",XLOOKUP($F470,Productos!$A:$A,Productos!BN:BN,"Revisar"),"")</f>
        <v/>
      </c>
      <c r="BV470" s="179" t="str">
        <f t="array" ref="BV470">IF($F470&lt;&gt;"", XLOOKUP($F470,Productos!$A$2:$A1001,Productos!BO$2:BO1001,"")*$G470,"")</f>
        <v/>
      </c>
      <c r="BW470" s="179" t="str">
        <f t="array" ref="BW470">IF($F470&lt;&gt;"",XLOOKUP($F470,Productos!$A:$A,Productos!BP:BP,"Revisar"),"")</f>
        <v/>
      </c>
      <c r="BX470" s="179" t="str">
        <f t="array" ref="BX470">IF($F470&lt;&gt;"", XLOOKUP($F470,Productos!$A$2:$A1001,Productos!BQ$2:BQ1001,"")*$G470,"")</f>
        <v/>
      </c>
      <c r="BY470" s="179" t="str">
        <f t="array" ref="BY470">IF($F470&lt;&gt;"",XLOOKUP($F470,Productos!$A:$A,Productos!BR:BR,"Revisar"),"")</f>
        <v/>
      </c>
      <c r="BZ470" s="179" t="str">
        <f t="array" ref="BZ470">IF($F470&lt;&gt;"", XLOOKUP($F470,Productos!$A$2:$A1001,Productos!BS$2:BS1001,"")*$G470,"")</f>
        <v/>
      </c>
    </row>
    <row r="471">
      <c r="A471" s="188"/>
      <c r="B471" s="189"/>
      <c r="C471" s="190"/>
      <c r="D471" s="190"/>
      <c r="E471" s="191"/>
      <c r="F471" s="186"/>
      <c r="G471" s="192"/>
      <c r="H471" s="9"/>
      <c r="I471" s="179" t="str">
        <f t="array" ref="I471">IF($F471&lt;&gt;"",XLOOKUP($F471,Productos!$A:$A,Productos!B:B,"Revisar"),"")</f>
        <v/>
      </c>
      <c r="J471" s="179" t="str">
        <f t="array" ref="J471">IF($F471&lt;&gt;"", XLOOKUP($F471,Productos!$A$2:$A1001,Productos!C$2:C1001,"")*$G471,"")</f>
        <v/>
      </c>
      <c r="K471" s="179" t="str">
        <f t="array" ref="K471">IF($F471&lt;&gt;"",XLOOKUP($F471,Productos!$A:$A,Productos!D:D,"Revisar"),"")</f>
        <v/>
      </c>
      <c r="L471" s="179" t="str">
        <f t="array" ref="L471">IF($F471&lt;&gt;"", XLOOKUP($F471,Productos!$A$2:$A1001,Productos!E$2:E1001,"")*$G471,"")</f>
        <v/>
      </c>
      <c r="M471" s="179" t="str">
        <f t="array" ref="M471">IF($F471&lt;&gt;"",XLOOKUP($F471,Productos!$A:$A,Productos!F:F,"Revisar"),"")</f>
        <v/>
      </c>
      <c r="N471" s="179" t="str">
        <f t="array" ref="N471">IF($F471&lt;&gt;"", XLOOKUP($F471,Productos!$A$2:$A1001,Productos!G$2:G1001,"")*$G471,"")</f>
        <v/>
      </c>
      <c r="O471" s="179" t="str">
        <f t="array" ref="O471">IF($F471&lt;&gt;"",XLOOKUP($F471,Productos!$A:$A,Productos!H:H,"Revisar"),"")</f>
        <v/>
      </c>
      <c r="P471" s="179" t="str">
        <f t="array" ref="P471">IF($F471&lt;&gt;"", XLOOKUP($F471,Productos!$A$2:$A1001,Productos!I$2:I1001,"")*$G471,"")</f>
        <v/>
      </c>
      <c r="Q471" s="179" t="str">
        <f t="array" ref="Q471">IF($F471&lt;&gt;"",XLOOKUP($F471,Productos!$A:$A,Productos!J:J,"Revisar"),"")</f>
        <v/>
      </c>
      <c r="R471" s="179" t="str">
        <f t="array" ref="R471">IF($F471&lt;&gt;"", XLOOKUP($F471,Productos!$A$2:$A1001,Productos!K$2:K1001,"")*$G471,"")</f>
        <v/>
      </c>
      <c r="S471" s="179" t="str">
        <f t="array" ref="S471">IF($F471&lt;&gt;"",XLOOKUP($F471,Productos!$A:$A,Productos!L:L,"Revisar"),"")</f>
        <v/>
      </c>
      <c r="T471" s="179" t="str">
        <f t="array" ref="T471">IF($F471&lt;&gt;"", XLOOKUP($F471,Productos!$A$2:$A1001,Productos!M$2:M1001,"")*$G471,"")</f>
        <v/>
      </c>
      <c r="U471" s="179" t="str">
        <f t="array" ref="U471">IF($F471&lt;&gt;"",XLOOKUP($F471,Productos!$A:$A,Productos!N:N,"Revisar"),"")</f>
        <v/>
      </c>
      <c r="V471" s="179" t="str">
        <f t="array" ref="V471">IF($F471&lt;&gt;"", XLOOKUP($F471,Productos!$A$2:$A1001,Productos!O$2:O1001,"")*$G471,"")</f>
        <v/>
      </c>
      <c r="W471" s="179" t="str">
        <f t="array" ref="W471">IF($F471&lt;&gt;"",XLOOKUP($F471,Productos!$A:$A,Productos!P:P,"Revisar"),"")</f>
        <v/>
      </c>
      <c r="X471" s="179" t="str">
        <f t="array" ref="X471">IF($F471&lt;&gt;"", XLOOKUP($F471,Productos!$A$2:$A1001,Productos!Q$2:Q1001,"")*$G471,"")</f>
        <v/>
      </c>
      <c r="Y471" s="179" t="str">
        <f t="array" ref="Y471">IF($F471&lt;&gt;"",XLOOKUP($F471,Productos!$A:$A,Productos!R:R,"Revisar"),"")</f>
        <v/>
      </c>
      <c r="Z471" s="179" t="str">
        <f t="array" ref="Z471">IF($F471&lt;&gt;"", XLOOKUP($F471,Productos!$A$2:$A1001,Productos!S$2:S1001,"")*$G471,"")</f>
        <v/>
      </c>
      <c r="AA471" s="179" t="str">
        <f t="array" ref="AA471">IF($F471&lt;&gt;"",XLOOKUP($F471,Productos!$A:$A,Productos!T:T,"Revisar"),"")</f>
        <v/>
      </c>
      <c r="AB471" s="179" t="str">
        <f t="array" ref="AB471">IF($F471&lt;&gt;"", XLOOKUP($F471,Productos!$A$2:$A1001,Productos!U$2:U1001,"")*$G471,"")</f>
        <v/>
      </c>
      <c r="AC471" s="179" t="str">
        <f t="array" ref="AC471">IF($F471&lt;&gt;"",XLOOKUP($F471,Productos!$A:$A,Productos!V:V,"Revisar"),"")</f>
        <v/>
      </c>
      <c r="AD471" s="179" t="str">
        <f t="array" ref="AD471">IF($F471&lt;&gt;"", XLOOKUP($F471,Productos!$A$2:$A1001,Productos!W$2:W1001,"")*$G471,"")</f>
        <v/>
      </c>
      <c r="AE471" s="179" t="str">
        <f t="array" ref="AE471">IF($F471&lt;&gt;"",XLOOKUP($F471,Productos!$A:$A,Productos!X:X,"Revisar"),"")</f>
        <v/>
      </c>
      <c r="AF471" s="179" t="str">
        <f t="array" ref="AF471">IF($F471&lt;&gt;"", XLOOKUP($F471,Productos!$A$2:$A1001,Productos!Y$2:Y1001,"")*$G471,"")</f>
        <v/>
      </c>
      <c r="AG471" s="179" t="str">
        <f t="array" ref="AG471">IF($F471&lt;&gt;"",XLOOKUP($F471,Productos!$A:$A,Productos!Z:Z,"Revisar"),"")</f>
        <v/>
      </c>
      <c r="AH471" s="179" t="str">
        <f t="array" ref="AH471">IF($F471&lt;&gt;"", XLOOKUP($F471,Productos!$A$2:$A1001,Productos!AA$2:AA1001,"")*$G471,"")</f>
        <v/>
      </c>
      <c r="AI471" s="179" t="str">
        <f t="array" ref="AI471">IF($F471&lt;&gt;"",XLOOKUP($F471,Productos!$A:$A,Productos!AB:AB,"Revisar"),"")</f>
        <v/>
      </c>
      <c r="AJ471" s="179" t="str">
        <f t="array" ref="AJ471">IF($F471&lt;&gt;"", XLOOKUP($F471,Productos!$A$2:$A1001,Productos!AC$2:AC1001,"")*$G471,"")</f>
        <v/>
      </c>
      <c r="AK471" s="179" t="str">
        <f t="array" ref="AK471">IF($F471&lt;&gt;"",XLOOKUP($F471,Productos!$A:$A,Productos!AD:AD,"Revisar"),"")</f>
        <v/>
      </c>
      <c r="AL471" s="179" t="str">
        <f t="array" ref="AL471">IF($F471&lt;&gt;"", XLOOKUP($F471,Productos!$A$2:$A1001,Productos!AE$2:AE1001,"")*$G471,"")</f>
        <v/>
      </c>
      <c r="AM471" s="179" t="str">
        <f t="array" ref="AM471">IF($F471&lt;&gt;"",XLOOKUP($F471,Productos!$A:$A,Productos!AF:AF,"Revisar"),"")</f>
        <v/>
      </c>
      <c r="AN471" s="179" t="str">
        <f t="array" ref="AN471">IF($F471&lt;&gt;"", XLOOKUP($F471,Productos!$A$2:$A1001,Productos!AG$2:AG1001,"")*$G471,"")</f>
        <v/>
      </c>
      <c r="AO471" s="179" t="str">
        <f t="array" ref="AO471">IF($F471&lt;&gt;"",XLOOKUP($F471,Productos!$A:$A,Productos!AH:AH,"Revisar"),"")</f>
        <v/>
      </c>
      <c r="AP471" s="179" t="str">
        <f t="array" ref="AP471">IF($F471&lt;&gt;"", XLOOKUP($F471,Productos!$A$2:$A1001,Productos!AI$2:AI1001,"")*$G471,"")</f>
        <v/>
      </c>
      <c r="AQ471" s="179" t="str">
        <f t="array" ref="AQ471">IF($F471&lt;&gt;"",XLOOKUP($F471,Productos!$A:$A,Productos!AJ:AJ,"Revisar"),"")</f>
        <v/>
      </c>
      <c r="AR471" s="179" t="str">
        <f t="array" ref="AR471">IF($F471&lt;&gt;"", XLOOKUP($F471,Productos!$A$2:$A1001,Productos!AK$2:AK1001,"")*$G471,"")</f>
        <v/>
      </c>
      <c r="AS471" s="179" t="str">
        <f t="array" ref="AS471">IF($F471&lt;&gt;"",XLOOKUP($F471,Productos!$A:$A,Productos!AL:AL,"Revisar"),"")</f>
        <v/>
      </c>
      <c r="AT471" s="179" t="str">
        <f t="array" ref="AT471">IF($F471&lt;&gt;"", XLOOKUP($F471,Productos!$A$2:$A1001,Productos!AM$2:AM1001,"")*$G471,"")</f>
        <v/>
      </c>
      <c r="AU471" s="179" t="str">
        <f t="array" ref="AU471">IF($F471&lt;&gt;"",XLOOKUP($F471,Productos!$A:$A,Productos!AN:AN,"Revisar"),"")</f>
        <v/>
      </c>
      <c r="AV471" s="179" t="str">
        <f t="array" ref="AV471">IF($F471&lt;&gt;"", XLOOKUP($F471,Productos!$A$2:$A1001,Productos!AO$2:AO1001,"")*$G471,"")</f>
        <v/>
      </c>
      <c r="AW471" s="179" t="str">
        <f t="array" ref="AW471">IF($F471&lt;&gt;"",XLOOKUP($F471,Productos!$A:$A,Productos!AP:AP,"Revisar"),"")</f>
        <v/>
      </c>
      <c r="AX471" s="179" t="str">
        <f t="array" ref="AX471">IF($F471&lt;&gt;"", XLOOKUP($F471,Productos!$A$2:$A1001,Productos!AQ$2:AQ1001,"")*$G471,"")</f>
        <v/>
      </c>
      <c r="AY471" s="179" t="str">
        <f t="array" ref="AY471">IF($F471&lt;&gt;"",XLOOKUP($F471,Productos!$A:$A,Productos!AR:AR,"Revisar"),"")</f>
        <v/>
      </c>
      <c r="AZ471" s="179" t="str">
        <f t="array" ref="AZ471">IF($F471&lt;&gt;"", XLOOKUP($F471,Productos!$A$2:$A1001,Productos!AS$2:AS1001,"")*$G471,"")</f>
        <v/>
      </c>
      <c r="BA471" s="179" t="str">
        <f t="array" ref="BA471">IF($F471&lt;&gt;"",XLOOKUP($F471,Productos!$A:$A,Productos!AT:AT,"Revisar"),"")</f>
        <v/>
      </c>
      <c r="BB471" s="179" t="str">
        <f t="array" ref="BB471">IF($F471&lt;&gt;"", XLOOKUP($F471,Productos!$A$2:$A1001,Productos!AU$2:AU1001,"")*$G471,"")</f>
        <v/>
      </c>
      <c r="BC471" s="179" t="str">
        <f t="array" ref="BC471">IF($F471&lt;&gt;"",XLOOKUP($F471,Productos!$A:$A,Productos!AV:AV,"Revisar"),"")</f>
        <v/>
      </c>
      <c r="BD471" s="179" t="str">
        <f t="array" ref="BD471">IF($F471&lt;&gt;"", XLOOKUP($F471,Productos!$A$2:$A1001,Productos!AW$2:AW1001,"")*$G471,"")</f>
        <v/>
      </c>
      <c r="BE471" s="179" t="str">
        <f t="array" ref="BE471">IF($F471&lt;&gt;"",XLOOKUP($F471,Productos!$A:$A,Productos!AX:AX,"Revisar"),"")</f>
        <v/>
      </c>
      <c r="BF471" s="179" t="str">
        <f t="array" ref="BF471">IF($F471&lt;&gt;"", XLOOKUP($F471,Productos!$A$2:$A1001,Productos!AY$2:AY1001,"")*$G471,"")</f>
        <v/>
      </c>
      <c r="BG471" s="179" t="str">
        <f t="array" ref="BG471">IF($F471&lt;&gt;"",XLOOKUP($F471,Productos!$A:$A,Productos!AZ:AZ,"Revisar"),"")</f>
        <v/>
      </c>
      <c r="BH471" s="179" t="str">
        <f t="array" ref="BH471">IF($F471&lt;&gt;"", XLOOKUP($F471,Productos!$A$2:$A1001,Productos!BA$2:BA1001,"")*$G471,"")</f>
        <v/>
      </c>
      <c r="BI471" s="179" t="str">
        <f t="array" ref="BI471">IF($F471&lt;&gt;"",XLOOKUP($F471,Productos!$A:$A,Productos!BB:BB,"Revisar"),"")</f>
        <v/>
      </c>
      <c r="BJ471" s="179" t="str">
        <f t="array" ref="BJ471">IF($F471&lt;&gt;"", XLOOKUP($F471,Productos!$A$2:$A1001,Productos!BC$2:BC1001,"")*$G471,"")</f>
        <v/>
      </c>
      <c r="BK471" s="179" t="str">
        <f t="array" ref="BK471">IF($F471&lt;&gt;"",XLOOKUP($F471,Productos!$A:$A,Productos!BD:BD,"Revisar"),"")</f>
        <v/>
      </c>
      <c r="BL471" s="179" t="str">
        <f t="array" ref="BL471">IF($F471&lt;&gt;"", XLOOKUP($F471,Productos!$A$2:$A1001,Productos!BE$2:BE1001,"")*$G471,"")</f>
        <v/>
      </c>
      <c r="BM471" s="179" t="str">
        <f t="array" ref="BM471">IF($F471&lt;&gt;"",XLOOKUP($F471,Productos!$A:$A,Productos!BF:BF,"Revisar"),"")</f>
        <v/>
      </c>
      <c r="BN471" s="179" t="str">
        <f t="array" ref="BN471">IF($F471&lt;&gt;"", XLOOKUP($F471,Productos!$A$2:$A1001,Productos!BG$2:BG1001,"")*$G471,"")</f>
        <v/>
      </c>
      <c r="BO471" s="179" t="str">
        <f t="array" ref="BO471">IF($F471&lt;&gt;"",XLOOKUP($F471,Productos!$A:$A,Productos!BH:BH,"Revisar"),"")</f>
        <v/>
      </c>
      <c r="BP471" s="179" t="str">
        <f t="array" ref="BP471">IF($F471&lt;&gt;"", XLOOKUP($F471,Productos!$A$2:$A1001,Productos!BI$2:BI1001,"")*$G471,"")</f>
        <v/>
      </c>
      <c r="BQ471" s="179" t="str">
        <f t="array" ref="BQ471">IF($F471&lt;&gt;"",XLOOKUP($F471,Productos!$A:$A,Productos!BJ:BJ,"Revisar"),"")</f>
        <v/>
      </c>
      <c r="BR471" s="179" t="str">
        <f t="array" ref="BR471">IF($F471&lt;&gt;"", XLOOKUP($F471,Productos!$A$2:$A1001,Productos!BK$2:BK1001,"")*$G471,"")</f>
        <v/>
      </c>
      <c r="BS471" s="179" t="str">
        <f t="array" ref="BS471">IF($F471&lt;&gt;"",XLOOKUP($F471,Productos!$A:$A,Productos!BL:BL,"Revisar"),"")</f>
        <v/>
      </c>
      <c r="BT471" s="179" t="str">
        <f t="array" ref="BT471">IF($F471&lt;&gt;"", XLOOKUP($F471,Productos!$A$2:$A1001,Productos!BM$2:BM1001,"")*$G471,"")</f>
        <v/>
      </c>
      <c r="BU471" s="179" t="str">
        <f t="array" ref="BU471">IF($F471&lt;&gt;"",XLOOKUP($F471,Productos!$A:$A,Productos!BN:BN,"Revisar"),"")</f>
        <v/>
      </c>
      <c r="BV471" s="179" t="str">
        <f t="array" ref="BV471">IF($F471&lt;&gt;"", XLOOKUP($F471,Productos!$A$2:$A1001,Productos!BO$2:BO1001,"")*$G471,"")</f>
        <v/>
      </c>
      <c r="BW471" s="179" t="str">
        <f t="array" ref="BW471">IF($F471&lt;&gt;"",XLOOKUP($F471,Productos!$A:$A,Productos!BP:BP,"Revisar"),"")</f>
        <v/>
      </c>
      <c r="BX471" s="179" t="str">
        <f t="array" ref="BX471">IF($F471&lt;&gt;"", XLOOKUP($F471,Productos!$A$2:$A1001,Productos!BQ$2:BQ1001,"")*$G471,"")</f>
        <v/>
      </c>
      <c r="BY471" s="179" t="str">
        <f t="array" ref="BY471">IF($F471&lt;&gt;"",XLOOKUP($F471,Productos!$A:$A,Productos!BR:BR,"Revisar"),"")</f>
        <v/>
      </c>
      <c r="BZ471" s="179" t="str">
        <f t="array" ref="BZ471">IF($F471&lt;&gt;"", XLOOKUP($F471,Productos!$A$2:$A1001,Productos!BS$2:BS1001,"")*$G471,"")</f>
        <v/>
      </c>
    </row>
    <row r="472">
      <c r="A472" s="188"/>
      <c r="B472" s="189"/>
      <c r="C472" s="190"/>
      <c r="D472" s="190"/>
      <c r="E472" s="191"/>
      <c r="F472" s="186"/>
      <c r="G472" s="192"/>
      <c r="H472" s="9"/>
      <c r="I472" s="179" t="str">
        <f t="array" ref="I472">IF($F472&lt;&gt;"",XLOOKUP($F472,Productos!$A:$A,Productos!B:B,"Revisar"),"")</f>
        <v/>
      </c>
      <c r="J472" s="179" t="str">
        <f t="array" ref="J472">IF($F472&lt;&gt;"", XLOOKUP($F472,Productos!$A$2:$A1001,Productos!C$2:C1001,"")*$G472,"")</f>
        <v/>
      </c>
      <c r="K472" s="179" t="str">
        <f t="array" ref="K472">IF($F472&lt;&gt;"",XLOOKUP($F472,Productos!$A:$A,Productos!D:D,"Revisar"),"")</f>
        <v/>
      </c>
      <c r="L472" s="179" t="str">
        <f t="array" ref="L472">IF($F472&lt;&gt;"", XLOOKUP($F472,Productos!$A$2:$A1001,Productos!E$2:E1001,"")*$G472,"")</f>
        <v/>
      </c>
      <c r="M472" s="179" t="str">
        <f t="array" ref="M472">IF($F472&lt;&gt;"",XLOOKUP($F472,Productos!$A:$A,Productos!F:F,"Revisar"),"")</f>
        <v/>
      </c>
      <c r="N472" s="179" t="str">
        <f t="array" ref="N472">IF($F472&lt;&gt;"", XLOOKUP($F472,Productos!$A$2:$A1001,Productos!G$2:G1001,"")*$G472,"")</f>
        <v/>
      </c>
      <c r="O472" s="179" t="str">
        <f t="array" ref="O472">IF($F472&lt;&gt;"",XLOOKUP($F472,Productos!$A:$A,Productos!H:H,"Revisar"),"")</f>
        <v/>
      </c>
      <c r="P472" s="179" t="str">
        <f t="array" ref="P472">IF($F472&lt;&gt;"", XLOOKUP($F472,Productos!$A$2:$A1001,Productos!I$2:I1001,"")*$G472,"")</f>
        <v/>
      </c>
      <c r="Q472" s="179" t="str">
        <f t="array" ref="Q472">IF($F472&lt;&gt;"",XLOOKUP($F472,Productos!$A:$A,Productos!J:J,"Revisar"),"")</f>
        <v/>
      </c>
      <c r="R472" s="179" t="str">
        <f t="array" ref="R472">IF($F472&lt;&gt;"", XLOOKUP($F472,Productos!$A$2:$A1001,Productos!K$2:K1001,"")*$G472,"")</f>
        <v/>
      </c>
      <c r="S472" s="179" t="str">
        <f t="array" ref="S472">IF($F472&lt;&gt;"",XLOOKUP($F472,Productos!$A:$A,Productos!L:L,"Revisar"),"")</f>
        <v/>
      </c>
      <c r="T472" s="179" t="str">
        <f t="array" ref="T472">IF($F472&lt;&gt;"", XLOOKUP($F472,Productos!$A$2:$A1001,Productos!M$2:M1001,"")*$G472,"")</f>
        <v/>
      </c>
      <c r="U472" s="179" t="str">
        <f t="array" ref="U472">IF($F472&lt;&gt;"",XLOOKUP($F472,Productos!$A:$A,Productos!N:N,"Revisar"),"")</f>
        <v/>
      </c>
      <c r="V472" s="179" t="str">
        <f t="array" ref="V472">IF($F472&lt;&gt;"", XLOOKUP($F472,Productos!$A$2:$A1001,Productos!O$2:O1001,"")*$G472,"")</f>
        <v/>
      </c>
      <c r="W472" s="179" t="str">
        <f t="array" ref="W472">IF($F472&lt;&gt;"",XLOOKUP($F472,Productos!$A:$A,Productos!P:P,"Revisar"),"")</f>
        <v/>
      </c>
      <c r="X472" s="179" t="str">
        <f t="array" ref="X472">IF($F472&lt;&gt;"", XLOOKUP($F472,Productos!$A$2:$A1001,Productos!Q$2:Q1001,"")*$G472,"")</f>
        <v/>
      </c>
      <c r="Y472" s="179" t="str">
        <f t="array" ref="Y472">IF($F472&lt;&gt;"",XLOOKUP($F472,Productos!$A:$A,Productos!R:R,"Revisar"),"")</f>
        <v/>
      </c>
      <c r="Z472" s="179" t="str">
        <f t="array" ref="Z472">IF($F472&lt;&gt;"", XLOOKUP($F472,Productos!$A$2:$A1001,Productos!S$2:S1001,"")*$G472,"")</f>
        <v/>
      </c>
      <c r="AA472" s="179" t="str">
        <f t="array" ref="AA472">IF($F472&lt;&gt;"",XLOOKUP($F472,Productos!$A:$A,Productos!T:T,"Revisar"),"")</f>
        <v/>
      </c>
      <c r="AB472" s="179" t="str">
        <f t="array" ref="AB472">IF($F472&lt;&gt;"", XLOOKUP($F472,Productos!$A$2:$A1001,Productos!U$2:U1001,"")*$G472,"")</f>
        <v/>
      </c>
      <c r="AC472" s="179" t="str">
        <f t="array" ref="AC472">IF($F472&lt;&gt;"",XLOOKUP($F472,Productos!$A:$A,Productos!V:V,"Revisar"),"")</f>
        <v/>
      </c>
      <c r="AD472" s="179" t="str">
        <f t="array" ref="AD472">IF($F472&lt;&gt;"", XLOOKUP($F472,Productos!$A$2:$A1001,Productos!W$2:W1001,"")*$G472,"")</f>
        <v/>
      </c>
      <c r="AE472" s="179" t="str">
        <f t="array" ref="AE472">IF($F472&lt;&gt;"",XLOOKUP($F472,Productos!$A:$A,Productos!X:X,"Revisar"),"")</f>
        <v/>
      </c>
      <c r="AF472" s="179" t="str">
        <f t="array" ref="AF472">IF($F472&lt;&gt;"", XLOOKUP($F472,Productos!$A$2:$A1001,Productos!Y$2:Y1001,"")*$G472,"")</f>
        <v/>
      </c>
      <c r="AG472" s="179" t="str">
        <f t="array" ref="AG472">IF($F472&lt;&gt;"",XLOOKUP($F472,Productos!$A:$A,Productos!Z:Z,"Revisar"),"")</f>
        <v/>
      </c>
      <c r="AH472" s="179" t="str">
        <f t="array" ref="AH472">IF($F472&lt;&gt;"", XLOOKUP($F472,Productos!$A$2:$A1001,Productos!AA$2:AA1001,"")*$G472,"")</f>
        <v/>
      </c>
      <c r="AI472" s="179" t="str">
        <f t="array" ref="AI472">IF($F472&lt;&gt;"",XLOOKUP($F472,Productos!$A:$A,Productos!AB:AB,"Revisar"),"")</f>
        <v/>
      </c>
      <c r="AJ472" s="179" t="str">
        <f t="array" ref="AJ472">IF($F472&lt;&gt;"", XLOOKUP($F472,Productos!$A$2:$A1001,Productos!AC$2:AC1001,"")*$G472,"")</f>
        <v/>
      </c>
      <c r="AK472" s="179" t="str">
        <f t="array" ref="AK472">IF($F472&lt;&gt;"",XLOOKUP($F472,Productos!$A:$A,Productos!AD:AD,"Revisar"),"")</f>
        <v/>
      </c>
      <c r="AL472" s="179" t="str">
        <f t="array" ref="AL472">IF($F472&lt;&gt;"", XLOOKUP($F472,Productos!$A$2:$A1001,Productos!AE$2:AE1001,"")*$G472,"")</f>
        <v/>
      </c>
      <c r="AM472" s="179" t="str">
        <f t="array" ref="AM472">IF($F472&lt;&gt;"",XLOOKUP($F472,Productos!$A:$A,Productos!AF:AF,"Revisar"),"")</f>
        <v/>
      </c>
      <c r="AN472" s="179" t="str">
        <f t="array" ref="AN472">IF($F472&lt;&gt;"", XLOOKUP($F472,Productos!$A$2:$A1001,Productos!AG$2:AG1001,"")*$G472,"")</f>
        <v/>
      </c>
      <c r="AO472" s="179" t="str">
        <f t="array" ref="AO472">IF($F472&lt;&gt;"",XLOOKUP($F472,Productos!$A:$A,Productos!AH:AH,"Revisar"),"")</f>
        <v/>
      </c>
      <c r="AP472" s="179" t="str">
        <f t="array" ref="AP472">IF($F472&lt;&gt;"", XLOOKUP($F472,Productos!$A$2:$A1001,Productos!AI$2:AI1001,"")*$G472,"")</f>
        <v/>
      </c>
      <c r="AQ472" s="179" t="str">
        <f t="array" ref="AQ472">IF($F472&lt;&gt;"",XLOOKUP($F472,Productos!$A:$A,Productos!AJ:AJ,"Revisar"),"")</f>
        <v/>
      </c>
      <c r="AR472" s="179" t="str">
        <f t="array" ref="AR472">IF($F472&lt;&gt;"", XLOOKUP($F472,Productos!$A$2:$A1001,Productos!AK$2:AK1001,"")*$G472,"")</f>
        <v/>
      </c>
      <c r="AS472" s="179" t="str">
        <f t="array" ref="AS472">IF($F472&lt;&gt;"",XLOOKUP($F472,Productos!$A:$A,Productos!AL:AL,"Revisar"),"")</f>
        <v/>
      </c>
      <c r="AT472" s="179" t="str">
        <f t="array" ref="AT472">IF($F472&lt;&gt;"", XLOOKUP($F472,Productos!$A$2:$A1001,Productos!AM$2:AM1001,"")*$G472,"")</f>
        <v/>
      </c>
      <c r="AU472" s="179" t="str">
        <f t="array" ref="AU472">IF($F472&lt;&gt;"",XLOOKUP($F472,Productos!$A:$A,Productos!AN:AN,"Revisar"),"")</f>
        <v/>
      </c>
      <c r="AV472" s="179" t="str">
        <f t="array" ref="AV472">IF($F472&lt;&gt;"", XLOOKUP($F472,Productos!$A$2:$A1001,Productos!AO$2:AO1001,"")*$G472,"")</f>
        <v/>
      </c>
      <c r="AW472" s="179" t="str">
        <f t="array" ref="AW472">IF($F472&lt;&gt;"",XLOOKUP($F472,Productos!$A:$A,Productos!AP:AP,"Revisar"),"")</f>
        <v/>
      </c>
      <c r="AX472" s="179" t="str">
        <f t="array" ref="AX472">IF($F472&lt;&gt;"", XLOOKUP($F472,Productos!$A$2:$A1001,Productos!AQ$2:AQ1001,"")*$G472,"")</f>
        <v/>
      </c>
      <c r="AY472" s="179" t="str">
        <f t="array" ref="AY472">IF($F472&lt;&gt;"",XLOOKUP($F472,Productos!$A:$A,Productos!AR:AR,"Revisar"),"")</f>
        <v/>
      </c>
      <c r="AZ472" s="179" t="str">
        <f t="array" ref="AZ472">IF($F472&lt;&gt;"", XLOOKUP($F472,Productos!$A$2:$A1001,Productos!AS$2:AS1001,"")*$G472,"")</f>
        <v/>
      </c>
      <c r="BA472" s="179" t="str">
        <f t="array" ref="BA472">IF($F472&lt;&gt;"",XLOOKUP($F472,Productos!$A:$A,Productos!AT:AT,"Revisar"),"")</f>
        <v/>
      </c>
      <c r="BB472" s="179" t="str">
        <f t="array" ref="BB472">IF($F472&lt;&gt;"", XLOOKUP($F472,Productos!$A$2:$A1001,Productos!AU$2:AU1001,"")*$G472,"")</f>
        <v/>
      </c>
      <c r="BC472" s="179" t="str">
        <f t="array" ref="BC472">IF($F472&lt;&gt;"",XLOOKUP($F472,Productos!$A:$A,Productos!AV:AV,"Revisar"),"")</f>
        <v/>
      </c>
      <c r="BD472" s="179" t="str">
        <f t="array" ref="BD472">IF($F472&lt;&gt;"", XLOOKUP($F472,Productos!$A$2:$A1001,Productos!AW$2:AW1001,"")*$G472,"")</f>
        <v/>
      </c>
      <c r="BE472" s="179" t="str">
        <f t="array" ref="BE472">IF($F472&lt;&gt;"",XLOOKUP($F472,Productos!$A:$A,Productos!AX:AX,"Revisar"),"")</f>
        <v/>
      </c>
      <c r="BF472" s="179" t="str">
        <f t="array" ref="BF472">IF($F472&lt;&gt;"", XLOOKUP($F472,Productos!$A$2:$A1001,Productos!AY$2:AY1001,"")*$G472,"")</f>
        <v/>
      </c>
      <c r="BG472" s="179" t="str">
        <f t="array" ref="BG472">IF($F472&lt;&gt;"",XLOOKUP($F472,Productos!$A:$A,Productos!AZ:AZ,"Revisar"),"")</f>
        <v/>
      </c>
      <c r="BH472" s="179" t="str">
        <f t="array" ref="BH472">IF($F472&lt;&gt;"", XLOOKUP($F472,Productos!$A$2:$A1001,Productos!BA$2:BA1001,"")*$G472,"")</f>
        <v/>
      </c>
      <c r="BI472" s="179" t="str">
        <f t="array" ref="BI472">IF($F472&lt;&gt;"",XLOOKUP($F472,Productos!$A:$A,Productos!BB:BB,"Revisar"),"")</f>
        <v/>
      </c>
      <c r="BJ472" s="179" t="str">
        <f t="array" ref="BJ472">IF($F472&lt;&gt;"", XLOOKUP($F472,Productos!$A$2:$A1001,Productos!BC$2:BC1001,"")*$G472,"")</f>
        <v/>
      </c>
      <c r="BK472" s="179" t="str">
        <f t="array" ref="BK472">IF($F472&lt;&gt;"",XLOOKUP($F472,Productos!$A:$A,Productos!BD:BD,"Revisar"),"")</f>
        <v/>
      </c>
      <c r="BL472" s="179" t="str">
        <f t="array" ref="BL472">IF($F472&lt;&gt;"", XLOOKUP($F472,Productos!$A$2:$A1001,Productos!BE$2:BE1001,"")*$G472,"")</f>
        <v/>
      </c>
      <c r="BM472" s="179" t="str">
        <f t="array" ref="BM472">IF($F472&lt;&gt;"",XLOOKUP($F472,Productos!$A:$A,Productos!BF:BF,"Revisar"),"")</f>
        <v/>
      </c>
      <c r="BN472" s="179" t="str">
        <f t="array" ref="BN472">IF($F472&lt;&gt;"", XLOOKUP($F472,Productos!$A$2:$A1001,Productos!BG$2:BG1001,"")*$G472,"")</f>
        <v/>
      </c>
      <c r="BO472" s="179" t="str">
        <f t="array" ref="BO472">IF($F472&lt;&gt;"",XLOOKUP($F472,Productos!$A:$A,Productos!BH:BH,"Revisar"),"")</f>
        <v/>
      </c>
      <c r="BP472" s="179" t="str">
        <f t="array" ref="BP472">IF($F472&lt;&gt;"", XLOOKUP($F472,Productos!$A$2:$A1001,Productos!BI$2:BI1001,"")*$G472,"")</f>
        <v/>
      </c>
      <c r="BQ472" s="179" t="str">
        <f t="array" ref="BQ472">IF($F472&lt;&gt;"",XLOOKUP($F472,Productos!$A:$A,Productos!BJ:BJ,"Revisar"),"")</f>
        <v/>
      </c>
      <c r="BR472" s="179" t="str">
        <f t="array" ref="BR472">IF($F472&lt;&gt;"", XLOOKUP($F472,Productos!$A$2:$A1001,Productos!BK$2:BK1001,"")*$G472,"")</f>
        <v/>
      </c>
      <c r="BS472" s="179" t="str">
        <f t="array" ref="BS472">IF($F472&lt;&gt;"",XLOOKUP($F472,Productos!$A:$A,Productos!BL:BL,"Revisar"),"")</f>
        <v/>
      </c>
      <c r="BT472" s="179" t="str">
        <f t="array" ref="BT472">IF($F472&lt;&gt;"", XLOOKUP($F472,Productos!$A$2:$A1001,Productos!BM$2:BM1001,"")*$G472,"")</f>
        <v/>
      </c>
      <c r="BU472" s="179" t="str">
        <f t="array" ref="BU472">IF($F472&lt;&gt;"",XLOOKUP($F472,Productos!$A:$A,Productos!BN:BN,"Revisar"),"")</f>
        <v/>
      </c>
      <c r="BV472" s="179" t="str">
        <f t="array" ref="BV472">IF($F472&lt;&gt;"", XLOOKUP($F472,Productos!$A$2:$A1001,Productos!BO$2:BO1001,"")*$G472,"")</f>
        <v/>
      </c>
      <c r="BW472" s="179" t="str">
        <f t="array" ref="BW472">IF($F472&lt;&gt;"",XLOOKUP($F472,Productos!$A:$A,Productos!BP:BP,"Revisar"),"")</f>
        <v/>
      </c>
      <c r="BX472" s="179" t="str">
        <f t="array" ref="BX472">IF($F472&lt;&gt;"", XLOOKUP($F472,Productos!$A$2:$A1001,Productos!BQ$2:BQ1001,"")*$G472,"")</f>
        <v/>
      </c>
      <c r="BY472" s="179" t="str">
        <f t="array" ref="BY472">IF($F472&lt;&gt;"",XLOOKUP($F472,Productos!$A:$A,Productos!BR:BR,"Revisar"),"")</f>
        <v/>
      </c>
      <c r="BZ472" s="179" t="str">
        <f t="array" ref="BZ472">IF($F472&lt;&gt;"", XLOOKUP($F472,Productos!$A$2:$A1001,Productos!BS$2:BS1001,"")*$G472,"")</f>
        <v/>
      </c>
    </row>
    <row r="473">
      <c r="A473" s="188"/>
      <c r="B473" s="189"/>
      <c r="C473" s="190"/>
      <c r="D473" s="190"/>
      <c r="E473" s="191"/>
      <c r="F473" s="186"/>
      <c r="G473" s="192"/>
      <c r="H473" s="9"/>
      <c r="I473" s="179" t="str">
        <f t="array" ref="I473">IF($F473&lt;&gt;"",XLOOKUP($F473,Productos!$A:$A,Productos!B:B,"Revisar"),"")</f>
        <v/>
      </c>
      <c r="J473" s="179" t="str">
        <f t="array" ref="J473">IF($F473&lt;&gt;"", XLOOKUP($F473,Productos!$A$2:$A1001,Productos!C$2:C1001,"")*$G473,"")</f>
        <v/>
      </c>
      <c r="K473" s="179" t="str">
        <f t="array" ref="K473">IF($F473&lt;&gt;"",XLOOKUP($F473,Productos!$A:$A,Productos!D:D,"Revisar"),"")</f>
        <v/>
      </c>
      <c r="L473" s="179" t="str">
        <f t="array" ref="L473">IF($F473&lt;&gt;"", XLOOKUP($F473,Productos!$A$2:$A1001,Productos!E$2:E1001,"")*$G473,"")</f>
        <v/>
      </c>
      <c r="M473" s="179" t="str">
        <f t="array" ref="M473">IF($F473&lt;&gt;"",XLOOKUP($F473,Productos!$A:$A,Productos!F:F,"Revisar"),"")</f>
        <v/>
      </c>
      <c r="N473" s="179" t="str">
        <f t="array" ref="N473">IF($F473&lt;&gt;"", XLOOKUP($F473,Productos!$A$2:$A1001,Productos!G$2:G1001,"")*$G473,"")</f>
        <v/>
      </c>
      <c r="O473" s="179" t="str">
        <f t="array" ref="O473">IF($F473&lt;&gt;"",XLOOKUP($F473,Productos!$A:$A,Productos!H:H,"Revisar"),"")</f>
        <v/>
      </c>
      <c r="P473" s="179" t="str">
        <f t="array" ref="P473">IF($F473&lt;&gt;"", XLOOKUP($F473,Productos!$A$2:$A1001,Productos!I$2:I1001,"")*$G473,"")</f>
        <v/>
      </c>
      <c r="Q473" s="179" t="str">
        <f t="array" ref="Q473">IF($F473&lt;&gt;"",XLOOKUP($F473,Productos!$A:$A,Productos!J:J,"Revisar"),"")</f>
        <v/>
      </c>
      <c r="R473" s="179" t="str">
        <f t="array" ref="R473">IF($F473&lt;&gt;"", XLOOKUP($F473,Productos!$A$2:$A1001,Productos!K$2:K1001,"")*$G473,"")</f>
        <v/>
      </c>
      <c r="S473" s="179" t="str">
        <f t="array" ref="S473">IF($F473&lt;&gt;"",XLOOKUP($F473,Productos!$A:$A,Productos!L:L,"Revisar"),"")</f>
        <v/>
      </c>
      <c r="T473" s="179" t="str">
        <f t="array" ref="T473">IF($F473&lt;&gt;"", XLOOKUP($F473,Productos!$A$2:$A1001,Productos!M$2:M1001,"")*$G473,"")</f>
        <v/>
      </c>
      <c r="U473" s="179" t="str">
        <f t="array" ref="U473">IF($F473&lt;&gt;"",XLOOKUP($F473,Productos!$A:$A,Productos!N:N,"Revisar"),"")</f>
        <v/>
      </c>
      <c r="V473" s="179" t="str">
        <f t="array" ref="V473">IF($F473&lt;&gt;"", XLOOKUP($F473,Productos!$A$2:$A1001,Productos!O$2:O1001,"")*$G473,"")</f>
        <v/>
      </c>
      <c r="W473" s="179" t="str">
        <f t="array" ref="W473">IF($F473&lt;&gt;"",XLOOKUP($F473,Productos!$A:$A,Productos!P:P,"Revisar"),"")</f>
        <v/>
      </c>
      <c r="X473" s="179" t="str">
        <f t="array" ref="X473">IF($F473&lt;&gt;"", XLOOKUP($F473,Productos!$A$2:$A1001,Productos!Q$2:Q1001,"")*$G473,"")</f>
        <v/>
      </c>
      <c r="Y473" s="179" t="str">
        <f t="array" ref="Y473">IF($F473&lt;&gt;"",XLOOKUP($F473,Productos!$A:$A,Productos!R:R,"Revisar"),"")</f>
        <v/>
      </c>
      <c r="Z473" s="179" t="str">
        <f t="array" ref="Z473">IF($F473&lt;&gt;"", XLOOKUP($F473,Productos!$A$2:$A1001,Productos!S$2:S1001,"")*$G473,"")</f>
        <v/>
      </c>
      <c r="AA473" s="179" t="str">
        <f t="array" ref="AA473">IF($F473&lt;&gt;"",XLOOKUP($F473,Productos!$A:$A,Productos!T:T,"Revisar"),"")</f>
        <v/>
      </c>
      <c r="AB473" s="179" t="str">
        <f t="array" ref="AB473">IF($F473&lt;&gt;"", XLOOKUP($F473,Productos!$A$2:$A1001,Productos!U$2:U1001,"")*$G473,"")</f>
        <v/>
      </c>
      <c r="AC473" s="179" t="str">
        <f t="array" ref="AC473">IF($F473&lt;&gt;"",XLOOKUP($F473,Productos!$A:$A,Productos!V:V,"Revisar"),"")</f>
        <v/>
      </c>
      <c r="AD473" s="179" t="str">
        <f t="array" ref="AD473">IF($F473&lt;&gt;"", XLOOKUP($F473,Productos!$A$2:$A1001,Productos!W$2:W1001,"")*$G473,"")</f>
        <v/>
      </c>
      <c r="AE473" s="179" t="str">
        <f t="array" ref="AE473">IF($F473&lt;&gt;"",XLOOKUP($F473,Productos!$A:$A,Productos!X:X,"Revisar"),"")</f>
        <v/>
      </c>
      <c r="AF473" s="179" t="str">
        <f t="array" ref="AF473">IF($F473&lt;&gt;"", XLOOKUP($F473,Productos!$A$2:$A1001,Productos!Y$2:Y1001,"")*$G473,"")</f>
        <v/>
      </c>
      <c r="AG473" s="179" t="str">
        <f t="array" ref="AG473">IF($F473&lt;&gt;"",XLOOKUP($F473,Productos!$A:$A,Productos!Z:Z,"Revisar"),"")</f>
        <v/>
      </c>
      <c r="AH473" s="179" t="str">
        <f t="array" ref="AH473">IF($F473&lt;&gt;"", XLOOKUP($F473,Productos!$A$2:$A1001,Productos!AA$2:AA1001,"")*$G473,"")</f>
        <v/>
      </c>
      <c r="AI473" s="179" t="str">
        <f t="array" ref="AI473">IF($F473&lt;&gt;"",XLOOKUP($F473,Productos!$A:$A,Productos!AB:AB,"Revisar"),"")</f>
        <v/>
      </c>
      <c r="AJ473" s="179" t="str">
        <f t="array" ref="AJ473">IF($F473&lt;&gt;"", XLOOKUP($F473,Productos!$A$2:$A1001,Productos!AC$2:AC1001,"")*$G473,"")</f>
        <v/>
      </c>
      <c r="AK473" s="179" t="str">
        <f t="array" ref="AK473">IF($F473&lt;&gt;"",XLOOKUP($F473,Productos!$A:$A,Productos!AD:AD,"Revisar"),"")</f>
        <v/>
      </c>
      <c r="AL473" s="179" t="str">
        <f t="array" ref="AL473">IF($F473&lt;&gt;"", XLOOKUP($F473,Productos!$A$2:$A1001,Productos!AE$2:AE1001,"")*$G473,"")</f>
        <v/>
      </c>
      <c r="AM473" s="179" t="str">
        <f t="array" ref="AM473">IF($F473&lt;&gt;"",XLOOKUP($F473,Productos!$A:$A,Productos!AF:AF,"Revisar"),"")</f>
        <v/>
      </c>
      <c r="AN473" s="179" t="str">
        <f t="array" ref="AN473">IF($F473&lt;&gt;"", XLOOKUP($F473,Productos!$A$2:$A1001,Productos!AG$2:AG1001,"")*$G473,"")</f>
        <v/>
      </c>
      <c r="AO473" s="179" t="str">
        <f t="array" ref="AO473">IF($F473&lt;&gt;"",XLOOKUP($F473,Productos!$A:$A,Productos!AH:AH,"Revisar"),"")</f>
        <v/>
      </c>
      <c r="AP473" s="179" t="str">
        <f t="array" ref="AP473">IF($F473&lt;&gt;"", XLOOKUP($F473,Productos!$A$2:$A1001,Productos!AI$2:AI1001,"")*$G473,"")</f>
        <v/>
      </c>
      <c r="AQ473" s="179" t="str">
        <f t="array" ref="AQ473">IF($F473&lt;&gt;"",XLOOKUP($F473,Productos!$A:$A,Productos!AJ:AJ,"Revisar"),"")</f>
        <v/>
      </c>
      <c r="AR473" s="179" t="str">
        <f t="array" ref="AR473">IF($F473&lt;&gt;"", XLOOKUP($F473,Productos!$A$2:$A1001,Productos!AK$2:AK1001,"")*$G473,"")</f>
        <v/>
      </c>
      <c r="AS473" s="179" t="str">
        <f t="array" ref="AS473">IF($F473&lt;&gt;"",XLOOKUP($F473,Productos!$A:$A,Productos!AL:AL,"Revisar"),"")</f>
        <v/>
      </c>
      <c r="AT473" s="179" t="str">
        <f t="array" ref="AT473">IF($F473&lt;&gt;"", XLOOKUP($F473,Productos!$A$2:$A1001,Productos!AM$2:AM1001,"")*$G473,"")</f>
        <v/>
      </c>
      <c r="AU473" s="179" t="str">
        <f t="array" ref="AU473">IF($F473&lt;&gt;"",XLOOKUP($F473,Productos!$A:$A,Productos!AN:AN,"Revisar"),"")</f>
        <v/>
      </c>
      <c r="AV473" s="179" t="str">
        <f t="array" ref="AV473">IF($F473&lt;&gt;"", XLOOKUP($F473,Productos!$A$2:$A1001,Productos!AO$2:AO1001,"")*$G473,"")</f>
        <v/>
      </c>
      <c r="AW473" s="179" t="str">
        <f t="array" ref="AW473">IF($F473&lt;&gt;"",XLOOKUP($F473,Productos!$A:$A,Productos!AP:AP,"Revisar"),"")</f>
        <v/>
      </c>
      <c r="AX473" s="179" t="str">
        <f t="array" ref="AX473">IF($F473&lt;&gt;"", XLOOKUP($F473,Productos!$A$2:$A1001,Productos!AQ$2:AQ1001,"")*$G473,"")</f>
        <v/>
      </c>
      <c r="AY473" s="179" t="str">
        <f t="array" ref="AY473">IF($F473&lt;&gt;"",XLOOKUP($F473,Productos!$A:$A,Productos!AR:AR,"Revisar"),"")</f>
        <v/>
      </c>
      <c r="AZ473" s="179" t="str">
        <f t="array" ref="AZ473">IF($F473&lt;&gt;"", XLOOKUP($F473,Productos!$A$2:$A1001,Productos!AS$2:AS1001,"")*$G473,"")</f>
        <v/>
      </c>
      <c r="BA473" s="179" t="str">
        <f t="array" ref="BA473">IF($F473&lt;&gt;"",XLOOKUP($F473,Productos!$A:$A,Productos!AT:AT,"Revisar"),"")</f>
        <v/>
      </c>
      <c r="BB473" s="179" t="str">
        <f t="array" ref="BB473">IF($F473&lt;&gt;"", XLOOKUP($F473,Productos!$A$2:$A1001,Productos!AU$2:AU1001,"")*$G473,"")</f>
        <v/>
      </c>
      <c r="BC473" s="179" t="str">
        <f t="array" ref="BC473">IF($F473&lt;&gt;"",XLOOKUP($F473,Productos!$A:$A,Productos!AV:AV,"Revisar"),"")</f>
        <v/>
      </c>
      <c r="BD473" s="179" t="str">
        <f t="array" ref="BD473">IF($F473&lt;&gt;"", XLOOKUP($F473,Productos!$A$2:$A1001,Productos!AW$2:AW1001,"")*$G473,"")</f>
        <v/>
      </c>
      <c r="BE473" s="179" t="str">
        <f t="array" ref="BE473">IF($F473&lt;&gt;"",XLOOKUP($F473,Productos!$A:$A,Productos!AX:AX,"Revisar"),"")</f>
        <v/>
      </c>
      <c r="BF473" s="179" t="str">
        <f t="array" ref="BF473">IF($F473&lt;&gt;"", XLOOKUP($F473,Productos!$A$2:$A1001,Productos!AY$2:AY1001,"")*$G473,"")</f>
        <v/>
      </c>
      <c r="BG473" s="179" t="str">
        <f t="array" ref="BG473">IF($F473&lt;&gt;"",XLOOKUP($F473,Productos!$A:$A,Productos!AZ:AZ,"Revisar"),"")</f>
        <v/>
      </c>
      <c r="BH473" s="179" t="str">
        <f t="array" ref="BH473">IF($F473&lt;&gt;"", XLOOKUP($F473,Productos!$A$2:$A1001,Productos!BA$2:BA1001,"")*$G473,"")</f>
        <v/>
      </c>
      <c r="BI473" s="179" t="str">
        <f t="array" ref="BI473">IF($F473&lt;&gt;"",XLOOKUP($F473,Productos!$A:$A,Productos!BB:BB,"Revisar"),"")</f>
        <v/>
      </c>
      <c r="BJ473" s="179" t="str">
        <f t="array" ref="BJ473">IF($F473&lt;&gt;"", XLOOKUP($F473,Productos!$A$2:$A1001,Productos!BC$2:BC1001,"")*$G473,"")</f>
        <v/>
      </c>
      <c r="BK473" s="179" t="str">
        <f t="array" ref="BK473">IF($F473&lt;&gt;"",XLOOKUP($F473,Productos!$A:$A,Productos!BD:BD,"Revisar"),"")</f>
        <v/>
      </c>
      <c r="BL473" s="179" t="str">
        <f t="array" ref="BL473">IF($F473&lt;&gt;"", XLOOKUP($F473,Productos!$A$2:$A1001,Productos!BE$2:BE1001,"")*$G473,"")</f>
        <v/>
      </c>
      <c r="BM473" s="179" t="str">
        <f t="array" ref="BM473">IF($F473&lt;&gt;"",XLOOKUP($F473,Productos!$A:$A,Productos!BF:BF,"Revisar"),"")</f>
        <v/>
      </c>
      <c r="BN473" s="179" t="str">
        <f t="array" ref="BN473">IF($F473&lt;&gt;"", XLOOKUP($F473,Productos!$A$2:$A1001,Productos!BG$2:BG1001,"")*$G473,"")</f>
        <v/>
      </c>
      <c r="BO473" s="179" t="str">
        <f t="array" ref="BO473">IF($F473&lt;&gt;"",XLOOKUP($F473,Productos!$A:$A,Productos!BH:BH,"Revisar"),"")</f>
        <v/>
      </c>
      <c r="BP473" s="179" t="str">
        <f t="array" ref="BP473">IF($F473&lt;&gt;"", XLOOKUP($F473,Productos!$A$2:$A1001,Productos!BI$2:BI1001,"")*$G473,"")</f>
        <v/>
      </c>
      <c r="BQ473" s="179" t="str">
        <f t="array" ref="BQ473">IF($F473&lt;&gt;"",XLOOKUP($F473,Productos!$A:$A,Productos!BJ:BJ,"Revisar"),"")</f>
        <v/>
      </c>
      <c r="BR473" s="179" t="str">
        <f t="array" ref="BR473">IF($F473&lt;&gt;"", XLOOKUP($F473,Productos!$A$2:$A1001,Productos!BK$2:BK1001,"")*$G473,"")</f>
        <v/>
      </c>
      <c r="BS473" s="179" t="str">
        <f t="array" ref="BS473">IF($F473&lt;&gt;"",XLOOKUP($F473,Productos!$A:$A,Productos!BL:BL,"Revisar"),"")</f>
        <v/>
      </c>
      <c r="BT473" s="179" t="str">
        <f t="array" ref="BT473">IF($F473&lt;&gt;"", XLOOKUP($F473,Productos!$A$2:$A1001,Productos!BM$2:BM1001,"")*$G473,"")</f>
        <v/>
      </c>
      <c r="BU473" s="179" t="str">
        <f t="array" ref="BU473">IF($F473&lt;&gt;"",XLOOKUP($F473,Productos!$A:$A,Productos!BN:BN,"Revisar"),"")</f>
        <v/>
      </c>
      <c r="BV473" s="179" t="str">
        <f t="array" ref="BV473">IF($F473&lt;&gt;"", XLOOKUP($F473,Productos!$A$2:$A1001,Productos!BO$2:BO1001,"")*$G473,"")</f>
        <v/>
      </c>
      <c r="BW473" s="179" t="str">
        <f t="array" ref="BW473">IF($F473&lt;&gt;"",XLOOKUP($F473,Productos!$A:$A,Productos!BP:BP,"Revisar"),"")</f>
        <v/>
      </c>
      <c r="BX473" s="179" t="str">
        <f t="array" ref="BX473">IF($F473&lt;&gt;"", XLOOKUP($F473,Productos!$A$2:$A1001,Productos!BQ$2:BQ1001,"")*$G473,"")</f>
        <v/>
      </c>
      <c r="BY473" s="179" t="str">
        <f t="array" ref="BY473">IF($F473&lt;&gt;"",XLOOKUP($F473,Productos!$A:$A,Productos!BR:BR,"Revisar"),"")</f>
        <v/>
      </c>
      <c r="BZ473" s="179" t="str">
        <f t="array" ref="BZ473">IF($F473&lt;&gt;"", XLOOKUP($F473,Productos!$A$2:$A1001,Productos!BS$2:BS1001,"")*$G473,"")</f>
        <v/>
      </c>
    </row>
    <row r="474">
      <c r="A474" s="188"/>
      <c r="B474" s="189"/>
      <c r="C474" s="190"/>
      <c r="D474" s="190"/>
      <c r="E474" s="191"/>
      <c r="F474" s="186"/>
      <c r="G474" s="192"/>
      <c r="H474" s="9"/>
      <c r="I474" s="179" t="str">
        <f t="array" ref="I474">IF($F474&lt;&gt;"",XLOOKUP($F474,Productos!$A:$A,Productos!B:B,"Revisar"),"")</f>
        <v/>
      </c>
      <c r="J474" s="179" t="str">
        <f t="array" ref="J474">IF($F474&lt;&gt;"", XLOOKUP($F474,Productos!$A$2:$A1001,Productos!C$2:C1001,"")*$G474,"")</f>
        <v/>
      </c>
      <c r="K474" s="179" t="str">
        <f t="array" ref="K474">IF($F474&lt;&gt;"",XLOOKUP($F474,Productos!$A:$A,Productos!D:D,"Revisar"),"")</f>
        <v/>
      </c>
      <c r="L474" s="179" t="str">
        <f t="array" ref="L474">IF($F474&lt;&gt;"", XLOOKUP($F474,Productos!$A$2:$A1001,Productos!E$2:E1001,"")*$G474,"")</f>
        <v/>
      </c>
      <c r="M474" s="179" t="str">
        <f t="array" ref="M474">IF($F474&lt;&gt;"",XLOOKUP($F474,Productos!$A:$A,Productos!F:F,"Revisar"),"")</f>
        <v/>
      </c>
      <c r="N474" s="179" t="str">
        <f t="array" ref="N474">IF($F474&lt;&gt;"", XLOOKUP($F474,Productos!$A$2:$A1001,Productos!G$2:G1001,"")*$G474,"")</f>
        <v/>
      </c>
      <c r="O474" s="179" t="str">
        <f t="array" ref="O474">IF($F474&lt;&gt;"",XLOOKUP($F474,Productos!$A:$A,Productos!H:H,"Revisar"),"")</f>
        <v/>
      </c>
      <c r="P474" s="179" t="str">
        <f t="array" ref="P474">IF($F474&lt;&gt;"", XLOOKUP($F474,Productos!$A$2:$A1001,Productos!I$2:I1001,"")*$G474,"")</f>
        <v/>
      </c>
      <c r="Q474" s="179" t="str">
        <f t="array" ref="Q474">IF($F474&lt;&gt;"",XLOOKUP($F474,Productos!$A:$A,Productos!J:J,"Revisar"),"")</f>
        <v/>
      </c>
      <c r="R474" s="179" t="str">
        <f t="array" ref="R474">IF($F474&lt;&gt;"", XLOOKUP($F474,Productos!$A$2:$A1001,Productos!K$2:K1001,"")*$G474,"")</f>
        <v/>
      </c>
      <c r="S474" s="179" t="str">
        <f t="array" ref="S474">IF($F474&lt;&gt;"",XLOOKUP($F474,Productos!$A:$A,Productos!L:L,"Revisar"),"")</f>
        <v/>
      </c>
      <c r="T474" s="179" t="str">
        <f t="array" ref="T474">IF($F474&lt;&gt;"", XLOOKUP($F474,Productos!$A$2:$A1001,Productos!M$2:M1001,"")*$G474,"")</f>
        <v/>
      </c>
      <c r="U474" s="179" t="str">
        <f t="array" ref="U474">IF($F474&lt;&gt;"",XLOOKUP($F474,Productos!$A:$A,Productos!N:N,"Revisar"),"")</f>
        <v/>
      </c>
      <c r="V474" s="179" t="str">
        <f t="array" ref="V474">IF($F474&lt;&gt;"", XLOOKUP($F474,Productos!$A$2:$A1001,Productos!O$2:O1001,"")*$G474,"")</f>
        <v/>
      </c>
      <c r="W474" s="179" t="str">
        <f t="array" ref="W474">IF($F474&lt;&gt;"",XLOOKUP($F474,Productos!$A:$A,Productos!P:P,"Revisar"),"")</f>
        <v/>
      </c>
      <c r="X474" s="179" t="str">
        <f t="array" ref="X474">IF($F474&lt;&gt;"", XLOOKUP($F474,Productos!$A$2:$A1001,Productos!Q$2:Q1001,"")*$G474,"")</f>
        <v/>
      </c>
      <c r="Y474" s="179" t="str">
        <f t="array" ref="Y474">IF($F474&lt;&gt;"",XLOOKUP($F474,Productos!$A:$A,Productos!R:R,"Revisar"),"")</f>
        <v/>
      </c>
      <c r="Z474" s="179" t="str">
        <f t="array" ref="Z474">IF($F474&lt;&gt;"", XLOOKUP($F474,Productos!$A$2:$A1001,Productos!S$2:S1001,"")*$G474,"")</f>
        <v/>
      </c>
      <c r="AA474" s="179" t="str">
        <f t="array" ref="AA474">IF($F474&lt;&gt;"",XLOOKUP($F474,Productos!$A:$A,Productos!T:T,"Revisar"),"")</f>
        <v/>
      </c>
      <c r="AB474" s="179" t="str">
        <f t="array" ref="AB474">IF($F474&lt;&gt;"", XLOOKUP($F474,Productos!$A$2:$A1001,Productos!U$2:U1001,"")*$G474,"")</f>
        <v/>
      </c>
      <c r="AC474" s="179" t="str">
        <f t="array" ref="AC474">IF($F474&lt;&gt;"",XLOOKUP($F474,Productos!$A:$A,Productos!V:V,"Revisar"),"")</f>
        <v/>
      </c>
      <c r="AD474" s="179" t="str">
        <f t="array" ref="AD474">IF($F474&lt;&gt;"", XLOOKUP($F474,Productos!$A$2:$A1001,Productos!W$2:W1001,"")*$G474,"")</f>
        <v/>
      </c>
      <c r="AE474" s="179" t="str">
        <f t="array" ref="AE474">IF($F474&lt;&gt;"",XLOOKUP($F474,Productos!$A:$A,Productos!X:X,"Revisar"),"")</f>
        <v/>
      </c>
      <c r="AF474" s="179" t="str">
        <f t="array" ref="AF474">IF($F474&lt;&gt;"", XLOOKUP($F474,Productos!$A$2:$A1001,Productos!Y$2:Y1001,"")*$G474,"")</f>
        <v/>
      </c>
      <c r="AG474" s="179" t="str">
        <f t="array" ref="AG474">IF($F474&lt;&gt;"",XLOOKUP($F474,Productos!$A:$A,Productos!Z:Z,"Revisar"),"")</f>
        <v/>
      </c>
      <c r="AH474" s="179" t="str">
        <f t="array" ref="AH474">IF($F474&lt;&gt;"", XLOOKUP($F474,Productos!$A$2:$A1001,Productos!AA$2:AA1001,"")*$G474,"")</f>
        <v/>
      </c>
      <c r="AI474" s="179" t="str">
        <f t="array" ref="AI474">IF($F474&lt;&gt;"",XLOOKUP($F474,Productos!$A:$A,Productos!AB:AB,"Revisar"),"")</f>
        <v/>
      </c>
      <c r="AJ474" s="179" t="str">
        <f t="array" ref="AJ474">IF($F474&lt;&gt;"", XLOOKUP($F474,Productos!$A$2:$A1001,Productos!AC$2:AC1001,"")*$G474,"")</f>
        <v/>
      </c>
      <c r="AK474" s="179" t="str">
        <f t="array" ref="AK474">IF($F474&lt;&gt;"",XLOOKUP($F474,Productos!$A:$A,Productos!AD:AD,"Revisar"),"")</f>
        <v/>
      </c>
      <c r="AL474" s="179" t="str">
        <f t="array" ref="AL474">IF($F474&lt;&gt;"", XLOOKUP($F474,Productos!$A$2:$A1001,Productos!AE$2:AE1001,"")*$G474,"")</f>
        <v/>
      </c>
      <c r="AM474" s="179" t="str">
        <f t="array" ref="AM474">IF($F474&lt;&gt;"",XLOOKUP($F474,Productos!$A:$A,Productos!AF:AF,"Revisar"),"")</f>
        <v/>
      </c>
      <c r="AN474" s="179" t="str">
        <f t="array" ref="AN474">IF($F474&lt;&gt;"", XLOOKUP($F474,Productos!$A$2:$A1001,Productos!AG$2:AG1001,"")*$G474,"")</f>
        <v/>
      </c>
      <c r="AO474" s="179" t="str">
        <f t="array" ref="AO474">IF($F474&lt;&gt;"",XLOOKUP($F474,Productos!$A:$A,Productos!AH:AH,"Revisar"),"")</f>
        <v/>
      </c>
      <c r="AP474" s="179" t="str">
        <f t="array" ref="AP474">IF($F474&lt;&gt;"", XLOOKUP($F474,Productos!$A$2:$A1001,Productos!AI$2:AI1001,"")*$G474,"")</f>
        <v/>
      </c>
      <c r="AQ474" s="179" t="str">
        <f t="array" ref="AQ474">IF($F474&lt;&gt;"",XLOOKUP($F474,Productos!$A:$A,Productos!AJ:AJ,"Revisar"),"")</f>
        <v/>
      </c>
      <c r="AR474" s="179" t="str">
        <f t="array" ref="AR474">IF($F474&lt;&gt;"", XLOOKUP($F474,Productos!$A$2:$A1001,Productos!AK$2:AK1001,"")*$G474,"")</f>
        <v/>
      </c>
      <c r="AS474" s="179" t="str">
        <f t="array" ref="AS474">IF($F474&lt;&gt;"",XLOOKUP($F474,Productos!$A:$A,Productos!AL:AL,"Revisar"),"")</f>
        <v/>
      </c>
      <c r="AT474" s="179" t="str">
        <f t="array" ref="AT474">IF($F474&lt;&gt;"", XLOOKUP($F474,Productos!$A$2:$A1001,Productos!AM$2:AM1001,"")*$G474,"")</f>
        <v/>
      </c>
      <c r="AU474" s="179" t="str">
        <f t="array" ref="AU474">IF($F474&lt;&gt;"",XLOOKUP($F474,Productos!$A:$A,Productos!AN:AN,"Revisar"),"")</f>
        <v/>
      </c>
      <c r="AV474" s="179" t="str">
        <f t="array" ref="AV474">IF($F474&lt;&gt;"", XLOOKUP($F474,Productos!$A$2:$A1001,Productos!AO$2:AO1001,"")*$G474,"")</f>
        <v/>
      </c>
      <c r="AW474" s="179" t="str">
        <f t="array" ref="AW474">IF($F474&lt;&gt;"",XLOOKUP($F474,Productos!$A:$A,Productos!AP:AP,"Revisar"),"")</f>
        <v/>
      </c>
      <c r="AX474" s="179" t="str">
        <f t="array" ref="AX474">IF($F474&lt;&gt;"", XLOOKUP($F474,Productos!$A$2:$A1001,Productos!AQ$2:AQ1001,"")*$G474,"")</f>
        <v/>
      </c>
      <c r="AY474" s="179" t="str">
        <f t="array" ref="AY474">IF($F474&lt;&gt;"",XLOOKUP($F474,Productos!$A:$A,Productos!AR:AR,"Revisar"),"")</f>
        <v/>
      </c>
      <c r="AZ474" s="179" t="str">
        <f t="array" ref="AZ474">IF($F474&lt;&gt;"", XLOOKUP($F474,Productos!$A$2:$A1001,Productos!AS$2:AS1001,"")*$G474,"")</f>
        <v/>
      </c>
      <c r="BA474" s="179" t="str">
        <f t="array" ref="BA474">IF($F474&lt;&gt;"",XLOOKUP($F474,Productos!$A:$A,Productos!AT:AT,"Revisar"),"")</f>
        <v/>
      </c>
      <c r="BB474" s="179" t="str">
        <f t="array" ref="BB474">IF($F474&lt;&gt;"", XLOOKUP($F474,Productos!$A$2:$A1001,Productos!AU$2:AU1001,"")*$G474,"")</f>
        <v/>
      </c>
      <c r="BC474" s="179" t="str">
        <f t="array" ref="BC474">IF($F474&lt;&gt;"",XLOOKUP($F474,Productos!$A:$A,Productos!AV:AV,"Revisar"),"")</f>
        <v/>
      </c>
      <c r="BD474" s="179" t="str">
        <f t="array" ref="BD474">IF($F474&lt;&gt;"", XLOOKUP($F474,Productos!$A$2:$A1001,Productos!AW$2:AW1001,"")*$G474,"")</f>
        <v/>
      </c>
      <c r="BE474" s="179" t="str">
        <f t="array" ref="BE474">IF($F474&lt;&gt;"",XLOOKUP($F474,Productos!$A:$A,Productos!AX:AX,"Revisar"),"")</f>
        <v/>
      </c>
      <c r="BF474" s="179" t="str">
        <f t="array" ref="BF474">IF($F474&lt;&gt;"", XLOOKUP($F474,Productos!$A$2:$A1001,Productos!AY$2:AY1001,"")*$G474,"")</f>
        <v/>
      </c>
      <c r="BG474" s="179" t="str">
        <f t="array" ref="BG474">IF($F474&lt;&gt;"",XLOOKUP($F474,Productos!$A:$A,Productos!AZ:AZ,"Revisar"),"")</f>
        <v/>
      </c>
      <c r="BH474" s="179" t="str">
        <f t="array" ref="BH474">IF($F474&lt;&gt;"", XLOOKUP($F474,Productos!$A$2:$A1001,Productos!BA$2:BA1001,"")*$G474,"")</f>
        <v/>
      </c>
      <c r="BI474" s="179" t="str">
        <f t="array" ref="BI474">IF($F474&lt;&gt;"",XLOOKUP($F474,Productos!$A:$A,Productos!BB:BB,"Revisar"),"")</f>
        <v/>
      </c>
      <c r="BJ474" s="179" t="str">
        <f t="array" ref="BJ474">IF($F474&lt;&gt;"", XLOOKUP($F474,Productos!$A$2:$A1001,Productos!BC$2:BC1001,"")*$G474,"")</f>
        <v/>
      </c>
      <c r="BK474" s="179" t="str">
        <f t="array" ref="BK474">IF($F474&lt;&gt;"",XLOOKUP($F474,Productos!$A:$A,Productos!BD:BD,"Revisar"),"")</f>
        <v/>
      </c>
      <c r="BL474" s="179" t="str">
        <f t="array" ref="BL474">IF($F474&lt;&gt;"", XLOOKUP($F474,Productos!$A$2:$A1001,Productos!BE$2:BE1001,"")*$G474,"")</f>
        <v/>
      </c>
      <c r="BM474" s="179" t="str">
        <f t="array" ref="BM474">IF($F474&lt;&gt;"",XLOOKUP($F474,Productos!$A:$A,Productos!BF:BF,"Revisar"),"")</f>
        <v/>
      </c>
      <c r="BN474" s="179" t="str">
        <f t="array" ref="BN474">IF($F474&lt;&gt;"", XLOOKUP($F474,Productos!$A$2:$A1001,Productos!BG$2:BG1001,"")*$G474,"")</f>
        <v/>
      </c>
      <c r="BO474" s="179" t="str">
        <f t="array" ref="BO474">IF($F474&lt;&gt;"",XLOOKUP($F474,Productos!$A:$A,Productos!BH:BH,"Revisar"),"")</f>
        <v/>
      </c>
      <c r="BP474" s="179" t="str">
        <f t="array" ref="BP474">IF($F474&lt;&gt;"", XLOOKUP($F474,Productos!$A$2:$A1001,Productos!BI$2:BI1001,"")*$G474,"")</f>
        <v/>
      </c>
      <c r="BQ474" s="179" t="str">
        <f t="array" ref="BQ474">IF($F474&lt;&gt;"",XLOOKUP($F474,Productos!$A:$A,Productos!BJ:BJ,"Revisar"),"")</f>
        <v/>
      </c>
      <c r="BR474" s="179" t="str">
        <f t="array" ref="BR474">IF($F474&lt;&gt;"", XLOOKUP($F474,Productos!$A$2:$A1001,Productos!BK$2:BK1001,"")*$G474,"")</f>
        <v/>
      </c>
      <c r="BS474" s="179" t="str">
        <f t="array" ref="BS474">IF($F474&lt;&gt;"",XLOOKUP($F474,Productos!$A:$A,Productos!BL:BL,"Revisar"),"")</f>
        <v/>
      </c>
      <c r="BT474" s="179" t="str">
        <f t="array" ref="BT474">IF($F474&lt;&gt;"", XLOOKUP($F474,Productos!$A$2:$A1001,Productos!BM$2:BM1001,"")*$G474,"")</f>
        <v/>
      </c>
      <c r="BU474" s="179" t="str">
        <f t="array" ref="BU474">IF($F474&lt;&gt;"",XLOOKUP($F474,Productos!$A:$A,Productos!BN:BN,"Revisar"),"")</f>
        <v/>
      </c>
      <c r="BV474" s="179" t="str">
        <f t="array" ref="BV474">IF($F474&lt;&gt;"", XLOOKUP($F474,Productos!$A$2:$A1001,Productos!BO$2:BO1001,"")*$G474,"")</f>
        <v/>
      </c>
      <c r="BW474" s="179" t="str">
        <f t="array" ref="BW474">IF($F474&lt;&gt;"",XLOOKUP($F474,Productos!$A:$A,Productos!BP:BP,"Revisar"),"")</f>
        <v/>
      </c>
      <c r="BX474" s="179" t="str">
        <f t="array" ref="BX474">IF($F474&lt;&gt;"", XLOOKUP($F474,Productos!$A$2:$A1001,Productos!BQ$2:BQ1001,"")*$G474,"")</f>
        <v/>
      </c>
      <c r="BY474" s="179" t="str">
        <f t="array" ref="BY474">IF($F474&lt;&gt;"",XLOOKUP($F474,Productos!$A:$A,Productos!BR:BR,"Revisar"),"")</f>
        <v/>
      </c>
      <c r="BZ474" s="179" t="str">
        <f t="array" ref="BZ474">IF($F474&lt;&gt;"", XLOOKUP($F474,Productos!$A$2:$A1001,Productos!BS$2:BS1001,"")*$G474,"")</f>
        <v/>
      </c>
    </row>
    <row r="475">
      <c r="A475" s="188"/>
      <c r="B475" s="189"/>
      <c r="C475" s="190"/>
      <c r="D475" s="190"/>
      <c r="E475" s="191"/>
      <c r="F475" s="186"/>
      <c r="G475" s="192"/>
      <c r="H475" s="9"/>
      <c r="I475" s="179" t="str">
        <f t="array" ref="I475">IF($F475&lt;&gt;"",XLOOKUP($F475,Productos!$A:$A,Productos!B:B,"Revisar"),"")</f>
        <v/>
      </c>
      <c r="J475" s="179" t="str">
        <f t="array" ref="J475">IF($F475&lt;&gt;"", XLOOKUP($F475,Productos!$A$2:$A1001,Productos!C$2:C1001,"")*$G475,"")</f>
        <v/>
      </c>
      <c r="K475" s="179" t="str">
        <f t="array" ref="K475">IF($F475&lt;&gt;"",XLOOKUP($F475,Productos!$A:$A,Productos!D:D,"Revisar"),"")</f>
        <v/>
      </c>
      <c r="L475" s="179" t="str">
        <f t="array" ref="L475">IF($F475&lt;&gt;"", XLOOKUP($F475,Productos!$A$2:$A1001,Productos!E$2:E1001,"")*$G475,"")</f>
        <v/>
      </c>
      <c r="M475" s="179" t="str">
        <f t="array" ref="M475">IF($F475&lt;&gt;"",XLOOKUP($F475,Productos!$A:$A,Productos!F:F,"Revisar"),"")</f>
        <v/>
      </c>
      <c r="N475" s="179" t="str">
        <f t="array" ref="N475">IF($F475&lt;&gt;"", XLOOKUP($F475,Productos!$A$2:$A1001,Productos!G$2:G1001,"")*$G475,"")</f>
        <v/>
      </c>
      <c r="O475" s="179" t="str">
        <f t="array" ref="O475">IF($F475&lt;&gt;"",XLOOKUP($F475,Productos!$A:$A,Productos!H:H,"Revisar"),"")</f>
        <v/>
      </c>
      <c r="P475" s="179" t="str">
        <f t="array" ref="P475">IF($F475&lt;&gt;"", XLOOKUP($F475,Productos!$A$2:$A1001,Productos!I$2:I1001,"")*$G475,"")</f>
        <v/>
      </c>
      <c r="Q475" s="179" t="str">
        <f t="array" ref="Q475">IF($F475&lt;&gt;"",XLOOKUP($F475,Productos!$A:$A,Productos!J:J,"Revisar"),"")</f>
        <v/>
      </c>
      <c r="R475" s="179" t="str">
        <f t="array" ref="R475">IF($F475&lt;&gt;"", XLOOKUP($F475,Productos!$A$2:$A1001,Productos!K$2:K1001,"")*$G475,"")</f>
        <v/>
      </c>
      <c r="S475" s="179" t="str">
        <f t="array" ref="S475">IF($F475&lt;&gt;"",XLOOKUP($F475,Productos!$A:$A,Productos!L:L,"Revisar"),"")</f>
        <v/>
      </c>
      <c r="T475" s="179" t="str">
        <f t="array" ref="T475">IF($F475&lt;&gt;"", XLOOKUP($F475,Productos!$A$2:$A1001,Productos!M$2:M1001,"")*$G475,"")</f>
        <v/>
      </c>
      <c r="U475" s="179" t="str">
        <f t="array" ref="U475">IF($F475&lt;&gt;"",XLOOKUP($F475,Productos!$A:$A,Productos!N:N,"Revisar"),"")</f>
        <v/>
      </c>
      <c r="V475" s="179" t="str">
        <f t="array" ref="V475">IF($F475&lt;&gt;"", XLOOKUP($F475,Productos!$A$2:$A1001,Productos!O$2:O1001,"")*$G475,"")</f>
        <v/>
      </c>
      <c r="W475" s="179" t="str">
        <f t="array" ref="W475">IF($F475&lt;&gt;"",XLOOKUP($F475,Productos!$A:$A,Productos!P:P,"Revisar"),"")</f>
        <v/>
      </c>
      <c r="X475" s="179" t="str">
        <f t="array" ref="X475">IF($F475&lt;&gt;"", XLOOKUP($F475,Productos!$A$2:$A1001,Productos!Q$2:Q1001,"")*$G475,"")</f>
        <v/>
      </c>
      <c r="Y475" s="179" t="str">
        <f t="array" ref="Y475">IF($F475&lt;&gt;"",XLOOKUP($F475,Productos!$A:$A,Productos!R:R,"Revisar"),"")</f>
        <v/>
      </c>
      <c r="Z475" s="179" t="str">
        <f t="array" ref="Z475">IF($F475&lt;&gt;"", XLOOKUP($F475,Productos!$A$2:$A1001,Productos!S$2:S1001,"")*$G475,"")</f>
        <v/>
      </c>
      <c r="AA475" s="179" t="str">
        <f t="array" ref="AA475">IF($F475&lt;&gt;"",XLOOKUP($F475,Productos!$A:$A,Productos!T:T,"Revisar"),"")</f>
        <v/>
      </c>
      <c r="AB475" s="179" t="str">
        <f t="array" ref="AB475">IF($F475&lt;&gt;"", XLOOKUP($F475,Productos!$A$2:$A1001,Productos!U$2:U1001,"")*$G475,"")</f>
        <v/>
      </c>
      <c r="AC475" s="179" t="str">
        <f t="array" ref="AC475">IF($F475&lt;&gt;"",XLOOKUP($F475,Productos!$A:$A,Productos!V:V,"Revisar"),"")</f>
        <v/>
      </c>
      <c r="AD475" s="179" t="str">
        <f t="array" ref="AD475">IF($F475&lt;&gt;"", XLOOKUP($F475,Productos!$A$2:$A1001,Productos!W$2:W1001,"")*$G475,"")</f>
        <v/>
      </c>
      <c r="AE475" s="179" t="str">
        <f t="array" ref="AE475">IF($F475&lt;&gt;"",XLOOKUP($F475,Productos!$A:$A,Productos!X:X,"Revisar"),"")</f>
        <v/>
      </c>
      <c r="AF475" s="179" t="str">
        <f t="array" ref="AF475">IF($F475&lt;&gt;"", XLOOKUP($F475,Productos!$A$2:$A1001,Productos!Y$2:Y1001,"")*$G475,"")</f>
        <v/>
      </c>
      <c r="AG475" s="179" t="str">
        <f t="array" ref="AG475">IF($F475&lt;&gt;"",XLOOKUP($F475,Productos!$A:$A,Productos!Z:Z,"Revisar"),"")</f>
        <v/>
      </c>
      <c r="AH475" s="179" t="str">
        <f t="array" ref="AH475">IF($F475&lt;&gt;"", XLOOKUP($F475,Productos!$A$2:$A1001,Productos!AA$2:AA1001,"")*$G475,"")</f>
        <v/>
      </c>
      <c r="AI475" s="179" t="str">
        <f t="array" ref="AI475">IF($F475&lt;&gt;"",XLOOKUP($F475,Productos!$A:$A,Productos!AB:AB,"Revisar"),"")</f>
        <v/>
      </c>
      <c r="AJ475" s="179" t="str">
        <f t="array" ref="AJ475">IF($F475&lt;&gt;"", XLOOKUP($F475,Productos!$A$2:$A1001,Productos!AC$2:AC1001,"")*$G475,"")</f>
        <v/>
      </c>
      <c r="AK475" s="179" t="str">
        <f t="array" ref="AK475">IF($F475&lt;&gt;"",XLOOKUP($F475,Productos!$A:$A,Productos!AD:AD,"Revisar"),"")</f>
        <v/>
      </c>
      <c r="AL475" s="179" t="str">
        <f t="array" ref="AL475">IF($F475&lt;&gt;"", XLOOKUP($F475,Productos!$A$2:$A1001,Productos!AE$2:AE1001,"")*$G475,"")</f>
        <v/>
      </c>
      <c r="AM475" s="179" t="str">
        <f t="array" ref="AM475">IF($F475&lt;&gt;"",XLOOKUP($F475,Productos!$A:$A,Productos!AF:AF,"Revisar"),"")</f>
        <v/>
      </c>
      <c r="AN475" s="179" t="str">
        <f t="array" ref="AN475">IF($F475&lt;&gt;"", XLOOKUP($F475,Productos!$A$2:$A1001,Productos!AG$2:AG1001,"")*$G475,"")</f>
        <v/>
      </c>
      <c r="AO475" s="179" t="str">
        <f t="array" ref="AO475">IF($F475&lt;&gt;"",XLOOKUP($F475,Productos!$A:$A,Productos!AH:AH,"Revisar"),"")</f>
        <v/>
      </c>
      <c r="AP475" s="179" t="str">
        <f t="array" ref="AP475">IF($F475&lt;&gt;"", XLOOKUP($F475,Productos!$A$2:$A1001,Productos!AI$2:AI1001,"")*$G475,"")</f>
        <v/>
      </c>
      <c r="AQ475" s="179" t="str">
        <f t="array" ref="AQ475">IF($F475&lt;&gt;"",XLOOKUP($F475,Productos!$A:$A,Productos!AJ:AJ,"Revisar"),"")</f>
        <v/>
      </c>
      <c r="AR475" s="179" t="str">
        <f t="array" ref="AR475">IF($F475&lt;&gt;"", XLOOKUP($F475,Productos!$A$2:$A1001,Productos!AK$2:AK1001,"")*$G475,"")</f>
        <v/>
      </c>
      <c r="AS475" s="179" t="str">
        <f t="array" ref="AS475">IF($F475&lt;&gt;"",XLOOKUP($F475,Productos!$A:$A,Productos!AL:AL,"Revisar"),"")</f>
        <v/>
      </c>
      <c r="AT475" s="179" t="str">
        <f t="array" ref="AT475">IF($F475&lt;&gt;"", XLOOKUP($F475,Productos!$A$2:$A1001,Productos!AM$2:AM1001,"")*$G475,"")</f>
        <v/>
      </c>
      <c r="AU475" s="179" t="str">
        <f t="array" ref="AU475">IF($F475&lt;&gt;"",XLOOKUP($F475,Productos!$A:$A,Productos!AN:AN,"Revisar"),"")</f>
        <v/>
      </c>
      <c r="AV475" s="179" t="str">
        <f t="array" ref="AV475">IF($F475&lt;&gt;"", XLOOKUP($F475,Productos!$A$2:$A1001,Productos!AO$2:AO1001,"")*$G475,"")</f>
        <v/>
      </c>
      <c r="AW475" s="179" t="str">
        <f t="array" ref="AW475">IF($F475&lt;&gt;"",XLOOKUP($F475,Productos!$A:$A,Productos!AP:AP,"Revisar"),"")</f>
        <v/>
      </c>
      <c r="AX475" s="179" t="str">
        <f t="array" ref="AX475">IF($F475&lt;&gt;"", XLOOKUP($F475,Productos!$A$2:$A1001,Productos!AQ$2:AQ1001,"")*$G475,"")</f>
        <v/>
      </c>
      <c r="AY475" s="179" t="str">
        <f t="array" ref="AY475">IF($F475&lt;&gt;"",XLOOKUP($F475,Productos!$A:$A,Productos!AR:AR,"Revisar"),"")</f>
        <v/>
      </c>
      <c r="AZ475" s="179" t="str">
        <f t="array" ref="AZ475">IF($F475&lt;&gt;"", XLOOKUP($F475,Productos!$A$2:$A1001,Productos!AS$2:AS1001,"")*$G475,"")</f>
        <v/>
      </c>
      <c r="BA475" s="179" t="str">
        <f t="array" ref="BA475">IF($F475&lt;&gt;"",XLOOKUP($F475,Productos!$A:$A,Productos!AT:AT,"Revisar"),"")</f>
        <v/>
      </c>
      <c r="BB475" s="179" t="str">
        <f t="array" ref="BB475">IF($F475&lt;&gt;"", XLOOKUP($F475,Productos!$A$2:$A1001,Productos!AU$2:AU1001,"")*$G475,"")</f>
        <v/>
      </c>
      <c r="BC475" s="179" t="str">
        <f t="array" ref="BC475">IF($F475&lt;&gt;"",XLOOKUP($F475,Productos!$A:$A,Productos!AV:AV,"Revisar"),"")</f>
        <v/>
      </c>
      <c r="BD475" s="179" t="str">
        <f t="array" ref="BD475">IF($F475&lt;&gt;"", XLOOKUP($F475,Productos!$A$2:$A1001,Productos!AW$2:AW1001,"")*$G475,"")</f>
        <v/>
      </c>
      <c r="BE475" s="179" t="str">
        <f t="array" ref="BE475">IF($F475&lt;&gt;"",XLOOKUP($F475,Productos!$A:$A,Productos!AX:AX,"Revisar"),"")</f>
        <v/>
      </c>
      <c r="BF475" s="179" t="str">
        <f t="array" ref="BF475">IF($F475&lt;&gt;"", XLOOKUP($F475,Productos!$A$2:$A1001,Productos!AY$2:AY1001,"")*$G475,"")</f>
        <v/>
      </c>
      <c r="BG475" s="179" t="str">
        <f t="array" ref="BG475">IF($F475&lt;&gt;"",XLOOKUP($F475,Productos!$A:$A,Productos!AZ:AZ,"Revisar"),"")</f>
        <v/>
      </c>
      <c r="BH475" s="179" t="str">
        <f t="array" ref="BH475">IF($F475&lt;&gt;"", XLOOKUP($F475,Productos!$A$2:$A1001,Productos!BA$2:BA1001,"")*$G475,"")</f>
        <v/>
      </c>
      <c r="BI475" s="179" t="str">
        <f t="array" ref="BI475">IF($F475&lt;&gt;"",XLOOKUP($F475,Productos!$A:$A,Productos!BB:BB,"Revisar"),"")</f>
        <v/>
      </c>
      <c r="BJ475" s="179" t="str">
        <f t="array" ref="BJ475">IF($F475&lt;&gt;"", XLOOKUP($F475,Productos!$A$2:$A1001,Productos!BC$2:BC1001,"")*$G475,"")</f>
        <v/>
      </c>
      <c r="BK475" s="179" t="str">
        <f t="array" ref="BK475">IF($F475&lt;&gt;"",XLOOKUP($F475,Productos!$A:$A,Productos!BD:BD,"Revisar"),"")</f>
        <v/>
      </c>
      <c r="BL475" s="179" t="str">
        <f t="array" ref="BL475">IF($F475&lt;&gt;"", XLOOKUP($F475,Productos!$A$2:$A1001,Productos!BE$2:BE1001,"")*$G475,"")</f>
        <v/>
      </c>
      <c r="BM475" s="179" t="str">
        <f t="array" ref="BM475">IF($F475&lt;&gt;"",XLOOKUP($F475,Productos!$A:$A,Productos!BF:BF,"Revisar"),"")</f>
        <v/>
      </c>
      <c r="BN475" s="179" t="str">
        <f t="array" ref="BN475">IF($F475&lt;&gt;"", XLOOKUP($F475,Productos!$A$2:$A1001,Productos!BG$2:BG1001,"")*$G475,"")</f>
        <v/>
      </c>
      <c r="BO475" s="179" t="str">
        <f t="array" ref="BO475">IF($F475&lt;&gt;"",XLOOKUP($F475,Productos!$A:$A,Productos!BH:BH,"Revisar"),"")</f>
        <v/>
      </c>
      <c r="BP475" s="179" t="str">
        <f t="array" ref="BP475">IF($F475&lt;&gt;"", XLOOKUP($F475,Productos!$A$2:$A1001,Productos!BI$2:BI1001,"")*$G475,"")</f>
        <v/>
      </c>
      <c r="BQ475" s="179" t="str">
        <f t="array" ref="BQ475">IF($F475&lt;&gt;"",XLOOKUP($F475,Productos!$A:$A,Productos!BJ:BJ,"Revisar"),"")</f>
        <v/>
      </c>
      <c r="BR475" s="179" t="str">
        <f t="array" ref="BR475">IF($F475&lt;&gt;"", XLOOKUP($F475,Productos!$A$2:$A1001,Productos!BK$2:BK1001,"")*$G475,"")</f>
        <v/>
      </c>
      <c r="BS475" s="179" t="str">
        <f t="array" ref="BS475">IF($F475&lt;&gt;"",XLOOKUP($F475,Productos!$A:$A,Productos!BL:BL,"Revisar"),"")</f>
        <v/>
      </c>
      <c r="BT475" s="179" t="str">
        <f t="array" ref="BT475">IF($F475&lt;&gt;"", XLOOKUP($F475,Productos!$A$2:$A1001,Productos!BM$2:BM1001,"")*$G475,"")</f>
        <v/>
      </c>
      <c r="BU475" s="179" t="str">
        <f t="array" ref="BU475">IF($F475&lt;&gt;"",XLOOKUP($F475,Productos!$A:$A,Productos!BN:BN,"Revisar"),"")</f>
        <v/>
      </c>
      <c r="BV475" s="179" t="str">
        <f t="array" ref="BV475">IF($F475&lt;&gt;"", XLOOKUP($F475,Productos!$A$2:$A1001,Productos!BO$2:BO1001,"")*$G475,"")</f>
        <v/>
      </c>
      <c r="BW475" s="179" t="str">
        <f t="array" ref="BW475">IF($F475&lt;&gt;"",XLOOKUP($F475,Productos!$A:$A,Productos!BP:BP,"Revisar"),"")</f>
        <v/>
      </c>
      <c r="BX475" s="179" t="str">
        <f t="array" ref="BX475">IF($F475&lt;&gt;"", XLOOKUP($F475,Productos!$A$2:$A1001,Productos!BQ$2:BQ1001,"")*$G475,"")</f>
        <v/>
      </c>
      <c r="BY475" s="179" t="str">
        <f t="array" ref="BY475">IF($F475&lt;&gt;"",XLOOKUP($F475,Productos!$A:$A,Productos!BR:BR,"Revisar"),"")</f>
        <v/>
      </c>
      <c r="BZ475" s="179" t="str">
        <f t="array" ref="BZ475">IF($F475&lt;&gt;"", XLOOKUP($F475,Productos!$A$2:$A1001,Productos!BS$2:BS1001,"")*$G475,"")</f>
        <v/>
      </c>
    </row>
    <row r="476">
      <c r="A476" s="188"/>
      <c r="B476" s="189"/>
      <c r="C476" s="190"/>
      <c r="D476" s="190"/>
      <c r="E476" s="191"/>
      <c r="F476" s="186"/>
      <c r="G476" s="192"/>
      <c r="H476" s="9"/>
      <c r="I476" s="179" t="str">
        <f t="array" ref="I476">IF($F476&lt;&gt;"",XLOOKUP($F476,Productos!$A:$A,Productos!B:B,"Revisar"),"")</f>
        <v/>
      </c>
      <c r="J476" s="179" t="str">
        <f t="array" ref="J476">IF($F476&lt;&gt;"", XLOOKUP($F476,Productos!$A$2:$A1001,Productos!C$2:C1001,"")*$G476,"")</f>
        <v/>
      </c>
      <c r="K476" s="179" t="str">
        <f t="array" ref="K476">IF($F476&lt;&gt;"",XLOOKUP($F476,Productos!$A:$A,Productos!D:D,"Revisar"),"")</f>
        <v/>
      </c>
      <c r="L476" s="179" t="str">
        <f t="array" ref="L476">IF($F476&lt;&gt;"", XLOOKUP($F476,Productos!$A$2:$A1001,Productos!E$2:E1001,"")*$G476,"")</f>
        <v/>
      </c>
      <c r="M476" s="179" t="str">
        <f t="array" ref="M476">IF($F476&lt;&gt;"",XLOOKUP($F476,Productos!$A:$A,Productos!F:F,"Revisar"),"")</f>
        <v/>
      </c>
      <c r="N476" s="179" t="str">
        <f t="array" ref="N476">IF($F476&lt;&gt;"", XLOOKUP($F476,Productos!$A$2:$A1001,Productos!G$2:G1001,"")*$G476,"")</f>
        <v/>
      </c>
      <c r="O476" s="179" t="str">
        <f t="array" ref="O476">IF($F476&lt;&gt;"",XLOOKUP($F476,Productos!$A:$A,Productos!H:H,"Revisar"),"")</f>
        <v/>
      </c>
      <c r="P476" s="179" t="str">
        <f t="array" ref="P476">IF($F476&lt;&gt;"", XLOOKUP($F476,Productos!$A$2:$A1001,Productos!I$2:I1001,"")*$G476,"")</f>
        <v/>
      </c>
      <c r="Q476" s="179" t="str">
        <f t="array" ref="Q476">IF($F476&lt;&gt;"",XLOOKUP($F476,Productos!$A:$A,Productos!J:J,"Revisar"),"")</f>
        <v/>
      </c>
      <c r="R476" s="179" t="str">
        <f t="array" ref="R476">IF($F476&lt;&gt;"", XLOOKUP($F476,Productos!$A$2:$A1001,Productos!K$2:K1001,"")*$G476,"")</f>
        <v/>
      </c>
      <c r="S476" s="179" t="str">
        <f t="array" ref="S476">IF($F476&lt;&gt;"",XLOOKUP($F476,Productos!$A:$A,Productos!L:L,"Revisar"),"")</f>
        <v/>
      </c>
      <c r="T476" s="179" t="str">
        <f t="array" ref="T476">IF($F476&lt;&gt;"", XLOOKUP($F476,Productos!$A$2:$A1001,Productos!M$2:M1001,"")*$G476,"")</f>
        <v/>
      </c>
      <c r="U476" s="179" t="str">
        <f t="array" ref="U476">IF($F476&lt;&gt;"",XLOOKUP($F476,Productos!$A:$A,Productos!N:N,"Revisar"),"")</f>
        <v/>
      </c>
      <c r="V476" s="179" t="str">
        <f t="array" ref="V476">IF($F476&lt;&gt;"", XLOOKUP($F476,Productos!$A$2:$A1001,Productos!O$2:O1001,"")*$G476,"")</f>
        <v/>
      </c>
      <c r="W476" s="179" t="str">
        <f t="array" ref="W476">IF($F476&lt;&gt;"",XLOOKUP($F476,Productos!$A:$A,Productos!P:P,"Revisar"),"")</f>
        <v/>
      </c>
      <c r="X476" s="179" t="str">
        <f t="array" ref="X476">IF($F476&lt;&gt;"", XLOOKUP($F476,Productos!$A$2:$A1001,Productos!Q$2:Q1001,"")*$G476,"")</f>
        <v/>
      </c>
      <c r="Y476" s="179" t="str">
        <f t="array" ref="Y476">IF($F476&lt;&gt;"",XLOOKUP($F476,Productos!$A:$A,Productos!R:R,"Revisar"),"")</f>
        <v/>
      </c>
      <c r="Z476" s="179" t="str">
        <f t="array" ref="Z476">IF($F476&lt;&gt;"", XLOOKUP($F476,Productos!$A$2:$A1001,Productos!S$2:S1001,"")*$G476,"")</f>
        <v/>
      </c>
      <c r="AA476" s="179" t="str">
        <f t="array" ref="AA476">IF($F476&lt;&gt;"",XLOOKUP($F476,Productos!$A:$A,Productos!T:T,"Revisar"),"")</f>
        <v/>
      </c>
      <c r="AB476" s="179" t="str">
        <f t="array" ref="AB476">IF($F476&lt;&gt;"", XLOOKUP($F476,Productos!$A$2:$A1001,Productos!U$2:U1001,"")*$G476,"")</f>
        <v/>
      </c>
      <c r="AC476" s="179" t="str">
        <f t="array" ref="AC476">IF($F476&lt;&gt;"",XLOOKUP($F476,Productos!$A:$A,Productos!V:V,"Revisar"),"")</f>
        <v/>
      </c>
      <c r="AD476" s="179" t="str">
        <f t="array" ref="AD476">IF($F476&lt;&gt;"", XLOOKUP($F476,Productos!$A$2:$A1001,Productos!W$2:W1001,"")*$G476,"")</f>
        <v/>
      </c>
      <c r="AE476" s="179" t="str">
        <f t="array" ref="AE476">IF($F476&lt;&gt;"",XLOOKUP($F476,Productos!$A:$A,Productos!X:X,"Revisar"),"")</f>
        <v/>
      </c>
      <c r="AF476" s="179" t="str">
        <f t="array" ref="AF476">IF($F476&lt;&gt;"", XLOOKUP($F476,Productos!$A$2:$A1001,Productos!Y$2:Y1001,"")*$G476,"")</f>
        <v/>
      </c>
      <c r="AG476" s="179" t="str">
        <f t="array" ref="AG476">IF($F476&lt;&gt;"",XLOOKUP($F476,Productos!$A:$A,Productos!Z:Z,"Revisar"),"")</f>
        <v/>
      </c>
      <c r="AH476" s="179" t="str">
        <f t="array" ref="AH476">IF($F476&lt;&gt;"", XLOOKUP($F476,Productos!$A$2:$A1001,Productos!AA$2:AA1001,"")*$G476,"")</f>
        <v/>
      </c>
      <c r="AI476" s="179" t="str">
        <f t="array" ref="AI476">IF($F476&lt;&gt;"",XLOOKUP($F476,Productos!$A:$A,Productos!AB:AB,"Revisar"),"")</f>
        <v/>
      </c>
      <c r="AJ476" s="179" t="str">
        <f t="array" ref="AJ476">IF($F476&lt;&gt;"", XLOOKUP($F476,Productos!$A$2:$A1001,Productos!AC$2:AC1001,"")*$G476,"")</f>
        <v/>
      </c>
      <c r="AK476" s="179" t="str">
        <f t="array" ref="AK476">IF($F476&lt;&gt;"",XLOOKUP($F476,Productos!$A:$A,Productos!AD:AD,"Revisar"),"")</f>
        <v/>
      </c>
      <c r="AL476" s="179" t="str">
        <f t="array" ref="AL476">IF($F476&lt;&gt;"", XLOOKUP($F476,Productos!$A$2:$A1001,Productos!AE$2:AE1001,"")*$G476,"")</f>
        <v/>
      </c>
      <c r="AM476" s="179" t="str">
        <f t="array" ref="AM476">IF($F476&lt;&gt;"",XLOOKUP($F476,Productos!$A:$A,Productos!AF:AF,"Revisar"),"")</f>
        <v/>
      </c>
      <c r="AN476" s="179" t="str">
        <f t="array" ref="AN476">IF($F476&lt;&gt;"", XLOOKUP($F476,Productos!$A$2:$A1001,Productos!AG$2:AG1001,"")*$G476,"")</f>
        <v/>
      </c>
      <c r="AO476" s="179" t="str">
        <f t="array" ref="AO476">IF($F476&lt;&gt;"",XLOOKUP($F476,Productos!$A:$A,Productos!AH:AH,"Revisar"),"")</f>
        <v/>
      </c>
      <c r="AP476" s="179" t="str">
        <f t="array" ref="AP476">IF($F476&lt;&gt;"", XLOOKUP($F476,Productos!$A$2:$A1001,Productos!AI$2:AI1001,"")*$G476,"")</f>
        <v/>
      </c>
      <c r="AQ476" s="179" t="str">
        <f t="array" ref="AQ476">IF($F476&lt;&gt;"",XLOOKUP($F476,Productos!$A:$A,Productos!AJ:AJ,"Revisar"),"")</f>
        <v/>
      </c>
      <c r="AR476" s="179" t="str">
        <f t="array" ref="AR476">IF($F476&lt;&gt;"", XLOOKUP($F476,Productos!$A$2:$A1001,Productos!AK$2:AK1001,"")*$G476,"")</f>
        <v/>
      </c>
      <c r="AS476" s="179" t="str">
        <f t="array" ref="AS476">IF($F476&lt;&gt;"",XLOOKUP($F476,Productos!$A:$A,Productos!AL:AL,"Revisar"),"")</f>
        <v/>
      </c>
      <c r="AT476" s="179" t="str">
        <f t="array" ref="AT476">IF($F476&lt;&gt;"", XLOOKUP($F476,Productos!$A$2:$A1001,Productos!AM$2:AM1001,"")*$G476,"")</f>
        <v/>
      </c>
      <c r="AU476" s="179" t="str">
        <f t="array" ref="AU476">IF($F476&lt;&gt;"",XLOOKUP($F476,Productos!$A:$A,Productos!AN:AN,"Revisar"),"")</f>
        <v/>
      </c>
      <c r="AV476" s="179" t="str">
        <f t="array" ref="AV476">IF($F476&lt;&gt;"", XLOOKUP($F476,Productos!$A$2:$A1001,Productos!AO$2:AO1001,"")*$G476,"")</f>
        <v/>
      </c>
      <c r="AW476" s="179" t="str">
        <f t="array" ref="AW476">IF($F476&lt;&gt;"",XLOOKUP($F476,Productos!$A:$A,Productos!AP:AP,"Revisar"),"")</f>
        <v/>
      </c>
      <c r="AX476" s="179" t="str">
        <f t="array" ref="AX476">IF($F476&lt;&gt;"", XLOOKUP($F476,Productos!$A$2:$A1001,Productos!AQ$2:AQ1001,"")*$G476,"")</f>
        <v/>
      </c>
      <c r="AY476" s="179" t="str">
        <f t="array" ref="AY476">IF($F476&lt;&gt;"",XLOOKUP($F476,Productos!$A:$A,Productos!AR:AR,"Revisar"),"")</f>
        <v/>
      </c>
      <c r="AZ476" s="179" t="str">
        <f t="array" ref="AZ476">IF($F476&lt;&gt;"", XLOOKUP($F476,Productos!$A$2:$A1001,Productos!AS$2:AS1001,"")*$G476,"")</f>
        <v/>
      </c>
      <c r="BA476" s="179" t="str">
        <f t="array" ref="BA476">IF($F476&lt;&gt;"",XLOOKUP($F476,Productos!$A:$A,Productos!AT:AT,"Revisar"),"")</f>
        <v/>
      </c>
      <c r="BB476" s="179" t="str">
        <f t="array" ref="BB476">IF($F476&lt;&gt;"", XLOOKUP($F476,Productos!$A$2:$A1001,Productos!AU$2:AU1001,"")*$G476,"")</f>
        <v/>
      </c>
      <c r="BC476" s="179" t="str">
        <f t="array" ref="BC476">IF($F476&lt;&gt;"",XLOOKUP($F476,Productos!$A:$A,Productos!AV:AV,"Revisar"),"")</f>
        <v/>
      </c>
      <c r="BD476" s="179" t="str">
        <f t="array" ref="BD476">IF($F476&lt;&gt;"", XLOOKUP($F476,Productos!$A$2:$A1001,Productos!AW$2:AW1001,"")*$G476,"")</f>
        <v/>
      </c>
      <c r="BE476" s="179" t="str">
        <f t="array" ref="BE476">IF($F476&lt;&gt;"",XLOOKUP($F476,Productos!$A:$A,Productos!AX:AX,"Revisar"),"")</f>
        <v/>
      </c>
      <c r="BF476" s="179" t="str">
        <f t="array" ref="BF476">IF($F476&lt;&gt;"", XLOOKUP($F476,Productos!$A$2:$A1001,Productos!AY$2:AY1001,"")*$G476,"")</f>
        <v/>
      </c>
      <c r="BG476" s="179" t="str">
        <f t="array" ref="BG476">IF($F476&lt;&gt;"",XLOOKUP($F476,Productos!$A:$A,Productos!AZ:AZ,"Revisar"),"")</f>
        <v/>
      </c>
      <c r="BH476" s="179" t="str">
        <f t="array" ref="BH476">IF($F476&lt;&gt;"", XLOOKUP($F476,Productos!$A$2:$A1001,Productos!BA$2:BA1001,"")*$G476,"")</f>
        <v/>
      </c>
      <c r="BI476" s="179" t="str">
        <f t="array" ref="BI476">IF($F476&lt;&gt;"",XLOOKUP($F476,Productos!$A:$A,Productos!BB:BB,"Revisar"),"")</f>
        <v/>
      </c>
      <c r="BJ476" s="179" t="str">
        <f t="array" ref="BJ476">IF($F476&lt;&gt;"", XLOOKUP($F476,Productos!$A$2:$A1001,Productos!BC$2:BC1001,"")*$G476,"")</f>
        <v/>
      </c>
      <c r="BK476" s="179" t="str">
        <f t="array" ref="BK476">IF($F476&lt;&gt;"",XLOOKUP($F476,Productos!$A:$A,Productos!BD:BD,"Revisar"),"")</f>
        <v/>
      </c>
      <c r="BL476" s="179" t="str">
        <f t="array" ref="BL476">IF($F476&lt;&gt;"", XLOOKUP($F476,Productos!$A$2:$A1001,Productos!BE$2:BE1001,"")*$G476,"")</f>
        <v/>
      </c>
      <c r="BM476" s="179" t="str">
        <f t="array" ref="BM476">IF($F476&lt;&gt;"",XLOOKUP($F476,Productos!$A:$A,Productos!BF:BF,"Revisar"),"")</f>
        <v/>
      </c>
      <c r="BN476" s="179" t="str">
        <f t="array" ref="BN476">IF($F476&lt;&gt;"", XLOOKUP($F476,Productos!$A$2:$A1001,Productos!BG$2:BG1001,"")*$G476,"")</f>
        <v/>
      </c>
      <c r="BO476" s="179" t="str">
        <f t="array" ref="BO476">IF($F476&lt;&gt;"",XLOOKUP($F476,Productos!$A:$A,Productos!BH:BH,"Revisar"),"")</f>
        <v/>
      </c>
      <c r="BP476" s="179" t="str">
        <f t="array" ref="BP476">IF($F476&lt;&gt;"", XLOOKUP($F476,Productos!$A$2:$A1001,Productos!BI$2:BI1001,"")*$G476,"")</f>
        <v/>
      </c>
      <c r="BQ476" s="179" t="str">
        <f t="array" ref="BQ476">IF($F476&lt;&gt;"",XLOOKUP($F476,Productos!$A:$A,Productos!BJ:BJ,"Revisar"),"")</f>
        <v/>
      </c>
      <c r="BR476" s="179" t="str">
        <f t="array" ref="BR476">IF($F476&lt;&gt;"", XLOOKUP($F476,Productos!$A$2:$A1001,Productos!BK$2:BK1001,"")*$G476,"")</f>
        <v/>
      </c>
      <c r="BS476" s="179" t="str">
        <f t="array" ref="BS476">IF($F476&lt;&gt;"",XLOOKUP($F476,Productos!$A:$A,Productos!BL:BL,"Revisar"),"")</f>
        <v/>
      </c>
      <c r="BT476" s="179" t="str">
        <f t="array" ref="BT476">IF($F476&lt;&gt;"", XLOOKUP($F476,Productos!$A$2:$A1001,Productos!BM$2:BM1001,"")*$G476,"")</f>
        <v/>
      </c>
      <c r="BU476" s="179" t="str">
        <f t="array" ref="BU476">IF($F476&lt;&gt;"",XLOOKUP($F476,Productos!$A:$A,Productos!BN:BN,"Revisar"),"")</f>
        <v/>
      </c>
      <c r="BV476" s="179" t="str">
        <f t="array" ref="BV476">IF($F476&lt;&gt;"", XLOOKUP($F476,Productos!$A$2:$A1001,Productos!BO$2:BO1001,"")*$G476,"")</f>
        <v/>
      </c>
      <c r="BW476" s="179" t="str">
        <f t="array" ref="BW476">IF($F476&lt;&gt;"",XLOOKUP($F476,Productos!$A:$A,Productos!BP:BP,"Revisar"),"")</f>
        <v/>
      </c>
      <c r="BX476" s="179" t="str">
        <f t="array" ref="BX476">IF($F476&lt;&gt;"", XLOOKUP($F476,Productos!$A$2:$A1001,Productos!BQ$2:BQ1001,"")*$G476,"")</f>
        <v/>
      </c>
      <c r="BY476" s="179" t="str">
        <f t="array" ref="BY476">IF($F476&lt;&gt;"",XLOOKUP($F476,Productos!$A:$A,Productos!BR:BR,"Revisar"),"")</f>
        <v/>
      </c>
      <c r="BZ476" s="179" t="str">
        <f t="array" ref="BZ476">IF($F476&lt;&gt;"", XLOOKUP($F476,Productos!$A$2:$A1001,Productos!BS$2:BS1001,"")*$G476,"")</f>
        <v/>
      </c>
    </row>
    <row r="477">
      <c r="A477" s="188"/>
      <c r="B477" s="189"/>
      <c r="C477" s="190"/>
      <c r="D477" s="190"/>
      <c r="E477" s="191"/>
      <c r="F477" s="186"/>
      <c r="G477" s="192"/>
      <c r="H477" s="9"/>
      <c r="I477" s="179" t="str">
        <f t="array" ref="I477">IF($F477&lt;&gt;"",XLOOKUP($F477,Productos!$A:$A,Productos!B:B,"Revisar"),"")</f>
        <v/>
      </c>
      <c r="J477" s="179" t="str">
        <f t="array" ref="J477">IF($F477&lt;&gt;"", XLOOKUP($F477,Productos!$A$2:$A1001,Productos!C$2:C1001,"")*$G477,"")</f>
        <v/>
      </c>
      <c r="K477" s="179" t="str">
        <f t="array" ref="K477">IF($F477&lt;&gt;"",XLOOKUP($F477,Productos!$A:$A,Productos!D:D,"Revisar"),"")</f>
        <v/>
      </c>
      <c r="L477" s="179" t="str">
        <f t="array" ref="L477">IF($F477&lt;&gt;"", XLOOKUP($F477,Productos!$A$2:$A1001,Productos!E$2:E1001,"")*$G477,"")</f>
        <v/>
      </c>
      <c r="M477" s="179" t="str">
        <f t="array" ref="M477">IF($F477&lt;&gt;"",XLOOKUP($F477,Productos!$A:$A,Productos!F:F,"Revisar"),"")</f>
        <v/>
      </c>
      <c r="N477" s="179" t="str">
        <f t="array" ref="N477">IF($F477&lt;&gt;"", XLOOKUP($F477,Productos!$A$2:$A1001,Productos!G$2:G1001,"")*$G477,"")</f>
        <v/>
      </c>
      <c r="O477" s="179" t="str">
        <f t="array" ref="O477">IF($F477&lt;&gt;"",XLOOKUP($F477,Productos!$A:$A,Productos!H:H,"Revisar"),"")</f>
        <v/>
      </c>
      <c r="P477" s="179" t="str">
        <f t="array" ref="P477">IF($F477&lt;&gt;"", XLOOKUP($F477,Productos!$A$2:$A1001,Productos!I$2:I1001,"")*$G477,"")</f>
        <v/>
      </c>
      <c r="Q477" s="179" t="str">
        <f t="array" ref="Q477">IF($F477&lt;&gt;"",XLOOKUP($F477,Productos!$A:$A,Productos!J:J,"Revisar"),"")</f>
        <v/>
      </c>
      <c r="R477" s="179" t="str">
        <f t="array" ref="R477">IF($F477&lt;&gt;"", XLOOKUP($F477,Productos!$A$2:$A1001,Productos!K$2:K1001,"")*$G477,"")</f>
        <v/>
      </c>
      <c r="S477" s="179" t="str">
        <f t="array" ref="S477">IF($F477&lt;&gt;"",XLOOKUP($F477,Productos!$A:$A,Productos!L:L,"Revisar"),"")</f>
        <v/>
      </c>
      <c r="T477" s="179" t="str">
        <f t="array" ref="T477">IF($F477&lt;&gt;"", XLOOKUP($F477,Productos!$A$2:$A1001,Productos!M$2:M1001,"")*$G477,"")</f>
        <v/>
      </c>
      <c r="U477" s="179" t="str">
        <f t="array" ref="U477">IF($F477&lt;&gt;"",XLOOKUP($F477,Productos!$A:$A,Productos!N:N,"Revisar"),"")</f>
        <v/>
      </c>
      <c r="V477" s="179" t="str">
        <f t="array" ref="V477">IF($F477&lt;&gt;"", XLOOKUP($F477,Productos!$A$2:$A1001,Productos!O$2:O1001,"")*$G477,"")</f>
        <v/>
      </c>
      <c r="W477" s="179" t="str">
        <f t="array" ref="W477">IF($F477&lt;&gt;"",XLOOKUP($F477,Productos!$A:$A,Productos!P:P,"Revisar"),"")</f>
        <v/>
      </c>
      <c r="X477" s="179" t="str">
        <f t="array" ref="X477">IF($F477&lt;&gt;"", XLOOKUP($F477,Productos!$A$2:$A1001,Productos!Q$2:Q1001,"")*$G477,"")</f>
        <v/>
      </c>
      <c r="Y477" s="179" t="str">
        <f t="array" ref="Y477">IF($F477&lt;&gt;"",XLOOKUP($F477,Productos!$A:$A,Productos!R:R,"Revisar"),"")</f>
        <v/>
      </c>
      <c r="Z477" s="179" t="str">
        <f t="array" ref="Z477">IF($F477&lt;&gt;"", XLOOKUP($F477,Productos!$A$2:$A1001,Productos!S$2:S1001,"")*$G477,"")</f>
        <v/>
      </c>
      <c r="AA477" s="179" t="str">
        <f t="array" ref="AA477">IF($F477&lt;&gt;"",XLOOKUP($F477,Productos!$A:$A,Productos!T:T,"Revisar"),"")</f>
        <v/>
      </c>
      <c r="AB477" s="179" t="str">
        <f t="array" ref="AB477">IF($F477&lt;&gt;"", XLOOKUP($F477,Productos!$A$2:$A1001,Productos!U$2:U1001,"")*$G477,"")</f>
        <v/>
      </c>
      <c r="AC477" s="179" t="str">
        <f t="array" ref="AC477">IF($F477&lt;&gt;"",XLOOKUP($F477,Productos!$A:$A,Productos!V:V,"Revisar"),"")</f>
        <v/>
      </c>
      <c r="AD477" s="179" t="str">
        <f t="array" ref="AD477">IF($F477&lt;&gt;"", XLOOKUP($F477,Productos!$A$2:$A1001,Productos!W$2:W1001,"")*$G477,"")</f>
        <v/>
      </c>
      <c r="AE477" s="179" t="str">
        <f t="array" ref="AE477">IF($F477&lt;&gt;"",XLOOKUP($F477,Productos!$A:$A,Productos!X:X,"Revisar"),"")</f>
        <v/>
      </c>
      <c r="AF477" s="179" t="str">
        <f t="array" ref="AF477">IF($F477&lt;&gt;"", XLOOKUP($F477,Productos!$A$2:$A1001,Productos!Y$2:Y1001,"")*$G477,"")</f>
        <v/>
      </c>
      <c r="AG477" s="179" t="str">
        <f t="array" ref="AG477">IF($F477&lt;&gt;"",XLOOKUP($F477,Productos!$A:$A,Productos!Z:Z,"Revisar"),"")</f>
        <v/>
      </c>
      <c r="AH477" s="179" t="str">
        <f t="array" ref="AH477">IF($F477&lt;&gt;"", XLOOKUP($F477,Productos!$A$2:$A1001,Productos!AA$2:AA1001,"")*$G477,"")</f>
        <v/>
      </c>
      <c r="AI477" s="179" t="str">
        <f t="array" ref="AI477">IF($F477&lt;&gt;"",XLOOKUP($F477,Productos!$A:$A,Productos!AB:AB,"Revisar"),"")</f>
        <v/>
      </c>
      <c r="AJ477" s="179" t="str">
        <f t="array" ref="AJ477">IF($F477&lt;&gt;"", XLOOKUP($F477,Productos!$A$2:$A1001,Productos!AC$2:AC1001,"")*$G477,"")</f>
        <v/>
      </c>
      <c r="AK477" s="179" t="str">
        <f t="array" ref="AK477">IF($F477&lt;&gt;"",XLOOKUP($F477,Productos!$A:$A,Productos!AD:AD,"Revisar"),"")</f>
        <v/>
      </c>
      <c r="AL477" s="179" t="str">
        <f t="array" ref="AL477">IF($F477&lt;&gt;"", XLOOKUP($F477,Productos!$A$2:$A1001,Productos!AE$2:AE1001,"")*$G477,"")</f>
        <v/>
      </c>
      <c r="AM477" s="179" t="str">
        <f t="array" ref="AM477">IF($F477&lt;&gt;"",XLOOKUP($F477,Productos!$A:$A,Productos!AF:AF,"Revisar"),"")</f>
        <v/>
      </c>
      <c r="AN477" s="179" t="str">
        <f t="array" ref="AN477">IF($F477&lt;&gt;"", XLOOKUP($F477,Productos!$A$2:$A1001,Productos!AG$2:AG1001,"")*$G477,"")</f>
        <v/>
      </c>
      <c r="AO477" s="179" t="str">
        <f t="array" ref="AO477">IF($F477&lt;&gt;"",XLOOKUP($F477,Productos!$A:$A,Productos!AH:AH,"Revisar"),"")</f>
        <v/>
      </c>
      <c r="AP477" s="179" t="str">
        <f t="array" ref="AP477">IF($F477&lt;&gt;"", XLOOKUP($F477,Productos!$A$2:$A1001,Productos!AI$2:AI1001,"")*$G477,"")</f>
        <v/>
      </c>
      <c r="AQ477" s="179" t="str">
        <f t="array" ref="AQ477">IF($F477&lt;&gt;"",XLOOKUP($F477,Productos!$A:$A,Productos!AJ:AJ,"Revisar"),"")</f>
        <v/>
      </c>
      <c r="AR477" s="179" t="str">
        <f t="array" ref="AR477">IF($F477&lt;&gt;"", XLOOKUP($F477,Productos!$A$2:$A1001,Productos!AK$2:AK1001,"")*$G477,"")</f>
        <v/>
      </c>
      <c r="AS477" s="179" t="str">
        <f t="array" ref="AS477">IF($F477&lt;&gt;"",XLOOKUP($F477,Productos!$A:$A,Productos!AL:AL,"Revisar"),"")</f>
        <v/>
      </c>
      <c r="AT477" s="179" t="str">
        <f t="array" ref="AT477">IF($F477&lt;&gt;"", XLOOKUP($F477,Productos!$A$2:$A1001,Productos!AM$2:AM1001,"")*$G477,"")</f>
        <v/>
      </c>
      <c r="AU477" s="179" t="str">
        <f t="array" ref="AU477">IF($F477&lt;&gt;"",XLOOKUP($F477,Productos!$A:$A,Productos!AN:AN,"Revisar"),"")</f>
        <v/>
      </c>
      <c r="AV477" s="179" t="str">
        <f t="array" ref="AV477">IF($F477&lt;&gt;"", XLOOKUP($F477,Productos!$A$2:$A1001,Productos!AO$2:AO1001,"")*$G477,"")</f>
        <v/>
      </c>
      <c r="AW477" s="179" t="str">
        <f t="array" ref="AW477">IF($F477&lt;&gt;"",XLOOKUP($F477,Productos!$A:$A,Productos!AP:AP,"Revisar"),"")</f>
        <v/>
      </c>
      <c r="AX477" s="179" t="str">
        <f t="array" ref="AX477">IF($F477&lt;&gt;"", XLOOKUP($F477,Productos!$A$2:$A1001,Productos!AQ$2:AQ1001,"")*$G477,"")</f>
        <v/>
      </c>
      <c r="AY477" s="179" t="str">
        <f t="array" ref="AY477">IF($F477&lt;&gt;"",XLOOKUP($F477,Productos!$A:$A,Productos!AR:AR,"Revisar"),"")</f>
        <v/>
      </c>
      <c r="AZ477" s="179" t="str">
        <f t="array" ref="AZ477">IF($F477&lt;&gt;"", XLOOKUP($F477,Productos!$A$2:$A1001,Productos!AS$2:AS1001,"")*$G477,"")</f>
        <v/>
      </c>
      <c r="BA477" s="179" t="str">
        <f t="array" ref="BA477">IF($F477&lt;&gt;"",XLOOKUP($F477,Productos!$A:$A,Productos!AT:AT,"Revisar"),"")</f>
        <v/>
      </c>
      <c r="BB477" s="179" t="str">
        <f t="array" ref="BB477">IF($F477&lt;&gt;"", XLOOKUP($F477,Productos!$A$2:$A1001,Productos!AU$2:AU1001,"")*$G477,"")</f>
        <v/>
      </c>
      <c r="BC477" s="179" t="str">
        <f t="array" ref="BC477">IF($F477&lt;&gt;"",XLOOKUP($F477,Productos!$A:$A,Productos!AV:AV,"Revisar"),"")</f>
        <v/>
      </c>
      <c r="BD477" s="179" t="str">
        <f t="array" ref="BD477">IF($F477&lt;&gt;"", XLOOKUP($F477,Productos!$A$2:$A1001,Productos!AW$2:AW1001,"")*$G477,"")</f>
        <v/>
      </c>
      <c r="BE477" s="179" t="str">
        <f t="array" ref="BE477">IF($F477&lt;&gt;"",XLOOKUP($F477,Productos!$A:$A,Productos!AX:AX,"Revisar"),"")</f>
        <v/>
      </c>
      <c r="BF477" s="179" t="str">
        <f t="array" ref="BF477">IF($F477&lt;&gt;"", XLOOKUP($F477,Productos!$A$2:$A1001,Productos!AY$2:AY1001,"")*$G477,"")</f>
        <v/>
      </c>
      <c r="BG477" s="179" t="str">
        <f t="array" ref="BG477">IF($F477&lt;&gt;"",XLOOKUP($F477,Productos!$A:$A,Productos!AZ:AZ,"Revisar"),"")</f>
        <v/>
      </c>
      <c r="BH477" s="179" t="str">
        <f t="array" ref="BH477">IF($F477&lt;&gt;"", XLOOKUP($F477,Productos!$A$2:$A1001,Productos!BA$2:BA1001,"")*$G477,"")</f>
        <v/>
      </c>
      <c r="BI477" s="179" t="str">
        <f t="array" ref="BI477">IF($F477&lt;&gt;"",XLOOKUP($F477,Productos!$A:$A,Productos!BB:BB,"Revisar"),"")</f>
        <v/>
      </c>
      <c r="BJ477" s="179" t="str">
        <f t="array" ref="BJ477">IF($F477&lt;&gt;"", XLOOKUP($F477,Productos!$A$2:$A1001,Productos!BC$2:BC1001,"")*$G477,"")</f>
        <v/>
      </c>
      <c r="BK477" s="179" t="str">
        <f t="array" ref="BK477">IF($F477&lt;&gt;"",XLOOKUP($F477,Productos!$A:$A,Productos!BD:BD,"Revisar"),"")</f>
        <v/>
      </c>
      <c r="BL477" s="179" t="str">
        <f t="array" ref="BL477">IF($F477&lt;&gt;"", XLOOKUP($F477,Productos!$A$2:$A1001,Productos!BE$2:BE1001,"")*$G477,"")</f>
        <v/>
      </c>
      <c r="BM477" s="179" t="str">
        <f t="array" ref="BM477">IF($F477&lt;&gt;"",XLOOKUP($F477,Productos!$A:$A,Productos!BF:BF,"Revisar"),"")</f>
        <v/>
      </c>
      <c r="BN477" s="179" t="str">
        <f t="array" ref="BN477">IF($F477&lt;&gt;"", XLOOKUP($F477,Productos!$A$2:$A1001,Productos!BG$2:BG1001,"")*$G477,"")</f>
        <v/>
      </c>
      <c r="BO477" s="179" t="str">
        <f t="array" ref="BO477">IF($F477&lt;&gt;"",XLOOKUP($F477,Productos!$A:$A,Productos!BH:BH,"Revisar"),"")</f>
        <v/>
      </c>
      <c r="BP477" s="179" t="str">
        <f t="array" ref="BP477">IF($F477&lt;&gt;"", XLOOKUP($F477,Productos!$A$2:$A1001,Productos!BI$2:BI1001,"")*$G477,"")</f>
        <v/>
      </c>
      <c r="BQ477" s="179" t="str">
        <f t="array" ref="BQ477">IF($F477&lt;&gt;"",XLOOKUP($F477,Productos!$A:$A,Productos!BJ:BJ,"Revisar"),"")</f>
        <v/>
      </c>
      <c r="BR477" s="179" t="str">
        <f t="array" ref="BR477">IF($F477&lt;&gt;"", XLOOKUP($F477,Productos!$A$2:$A1001,Productos!BK$2:BK1001,"")*$G477,"")</f>
        <v/>
      </c>
      <c r="BS477" s="179" t="str">
        <f t="array" ref="BS477">IF($F477&lt;&gt;"",XLOOKUP($F477,Productos!$A:$A,Productos!BL:BL,"Revisar"),"")</f>
        <v/>
      </c>
      <c r="BT477" s="179" t="str">
        <f t="array" ref="BT477">IF($F477&lt;&gt;"", XLOOKUP($F477,Productos!$A$2:$A1001,Productos!BM$2:BM1001,"")*$G477,"")</f>
        <v/>
      </c>
      <c r="BU477" s="179" t="str">
        <f t="array" ref="BU477">IF($F477&lt;&gt;"",XLOOKUP($F477,Productos!$A:$A,Productos!BN:BN,"Revisar"),"")</f>
        <v/>
      </c>
      <c r="BV477" s="179" t="str">
        <f t="array" ref="BV477">IF($F477&lt;&gt;"", XLOOKUP($F477,Productos!$A$2:$A1001,Productos!BO$2:BO1001,"")*$G477,"")</f>
        <v/>
      </c>
      <c r="BW477" s="179" t="str">
        <f t="array" ref="BW477">IF($F477&lt;&gt;"",XLOOKUP($F477,Productos!$A:$A,Productos!BP:BP,"Revisar"),"")</f>
        <v/>
      </c>
      <c r="BX477" s="179" t="str">
        <f t="array" ref="BX477">IF($F477&lt;&gt;"", XLOOKUP($F477,Productos!$A$2:$A1001,Productos!BQ$2:BQ1001,"")*$G477,"")</f>
        <v/>
      </c>
      <c r="BY477" s="179" t="str">
        <f t="array" ref="BY477">IF($F477&lt;&gt;"",XLOOKUP($F477,Productos!$A:$A,Productos!BR:BR,"Revisar"),"")</f>
        <v/>
      </c>
      <c r="BZ477" s="179" t="str">
        <f t="array" ref="BZ477">IF($F477&lt;&gt;"", XLOOKUP($F477,Productos!$A$2:$A1001,Productos!BS$2:BS1001,"")*$G477,"")</f>
        <v/>
      </c>
    </row>
    <row r="478">
      <c r="A478" s="188"/>
      <c r="B478" s="189"/>
      <c r="C478" s="190"/>
      <c r="D478" s="190"/>
      <c r="E478" s="191"/>
      <c r="F478" s="186"/>
      <c r="G478" s="192"/>
      <c r="H478" s="9"/>
      <c r="I478" s="179" t="str">
        <f t="array" ref="I478">IF($F478&lt;&gt;"",XLOOKUP($F478,Productos!$A:$A,Productos!B:B,"Revisar"),"")</f>
        <v/>
      </c>
      <c r="J478" s="179" t="str">
        <f t="array" ref="J478">IF($F478&lt;&gt;"", XLOOKUP($F478,Productos!$A$2:$A1001,Productos!C$2:C1001,"")*$G478,"")</f>
        <v/>
      </c>
      <c r="K478" s="179" t="str">
        <f t="array" ref="K478">IF($F478&lt;&gt;"",XLOOKUP($F478,Productos!$A:$A,Productos!D:D,"Revisar"),"")</f>
        <v/>
      </c>
      <c r="L478" s="179" t="str">
        <f t="array" ref="L478">IF($F478&lt;&gt;"", XLOOKUP($F478,Productos!$A$2:$A1001,Productos!E$2:E1001,"")*$G478,"")</f>
        <v/>
      </c>
      <c r="M478" s="179" t="str">
        <f t="array" ref="M478">IF($F478&lt;&gt;"",XLOOKUP($F478,Productos!$A:$A,Productos!F:F,"Revisar"),"")</f>
        <v/>
      </c>
      <c r="N478" s="179" t="str">
        <f t="array" ref="N478">IF($F478&lt;&gt;"", XLOOKUP($F478,Productos!$A$2:$A1001,Productos!G$2:G1001,"")*$G478,"")</f>
        <v/>
      </c>
      <c r="O478" s="179" t="str">
        <f t="array" ref="O478">IF($F478&lt;&gt;"",XLOOKUP($F478,Productos!$A:$A,Productos!H:H,"Revisar"),"")</f>
        <v/>
      </c>
      <c r="P478" s="179" t="str">
        <f t="array" ref="P478">IF($F478&lt;&gt;"", XLOOKUP($F478,Productos!$A$2:$A1001,Productos!I$2:I1001,"")*$G478,"")</f>
        <v/>
      </c>
      <c r="Q478" s="179" t="str">
        <f t="array" ref="Q478">IF($F478&lt;&gt;"",XLOOKUP($F478,Productos!$A:$A,Productos!J:J,"Revisar"),"")</f>
        <v/>
      </c>
      <c r="R478" s="179" t="str">
        <f t="array" ref="R478">IF($F478&lt;&gt;"", XLOOKUP($F478,Productos!$A$2:$A1001,Productos!K$2:K1001,"")*$G478,"")</f>
        <v/>
      </c>
      <c r="S478" s="179" t="str">
        <f t="array" ref="S478">IF($F478&lt;&gt;"",XLOOKUP($F478,Productos!$A:$A,Productos!L:L,"Revisar"),"")</f>
        <v/>
      </c>
      <c r="T478" s="179" t="str">
        <f t="array" ref="T478">IF($F478&lt;&gt;"", XLOOKUP($F478,Productos!$A$2:$A1001,Productos!M$2:M1001,"")*$G478,"")</f>
        <v/>
      </c>
      <c r="U478" s="179" t="str">
        <f t="array" ref="U478">IF($F478&lt;&gt;"",XLOOKUP($F478,Productos!$A:$A,Productos!N:N,"Revisar"),"")</f>
        <v/>
      </c>
      <c r="V478" s="179" t="str">
        <f t="array" ref="V478">IF($F478&lt;&gt;"", XLOOKUP($F478,Productos!$A$2:$A1001,Productos!O$2:O1001,"")*$G478,"")</f>
        <v/>
      </c>
      <c r="W478" s="179" t="str">
        <f t="array" ref="W478">IF($F478&lt;&gt;"",XLOOKUP($F478,Productos!$A:$A,Productos!P:P,"Revisar"),"")</f>
        <v/>
      </c>
      <c r="X478" s="179" t="str">
        <f t="array" ref="X478">IF($F478&lt;&gt;"", XLOOKUP($F478,Productos!$A$2:$A1001,Productos!Q$2:Q1001,"")*$G478,"")</f>
        <v/>
      </c>
      <c r="Y478" s="179" t="str">
        <f t="array" ref="Y478">IF($F478&lt;&gt;"",XLOOKUP($F478,Productos!$A:$A,Productos!R:R,"Revisar"),"")</f>
        <v/>
      </c>
      <c r="Z478" s="179" t="str">
        <f t="array" ref="Z478">IF($F478&lt;&gt;"", XLOOKUP($F478,Productos!$A$2:$A1001,Productos!S$2:S1001,"")*$G478,"")</f>
        <v/>
      </c>
      <c r="AA478" s="179" t="str">
        <f t="array" ref="AA478">IF($F478&lt;&gt;"",XLOOKUP($F478,Productos!$A:$A,Productos!T:T,"Revisar"),"")</f>
        <v/>
      </c>
      <c r="AB478" s="179" t="str">
        <f t="array" ref="AB478">IF($F478&lt;&gt;"", XLOOKUP($F478,Productos!$A$2:$A1001,Productos!U$2:U1001,"")*$G478,"")</f>
        <v/>
      </c>
      <c r="AC478" s="179" t="str">
        <f t="array" ref="AC478">IF($F478&lt;&gt;"",XLOOKUP($F478,Productos!$A:$A,Productos!V:V,"Revisar"),"")</f>
        <v/>
      </c>
      <c r="AD478" s="179" t="str">
        <f t="array" ref="AD478">IF($F478&lt;&gt;"", XLOOKUP($F478,Productos!$A$2:$A1001,Productos!W$2:W1001,"")*$G478,"")</f>
        <v/>
      </c>
      <c r="AE478" s="179" t="str">
        <f t="array" ref="AE478">IF($F478&lt;&gt;"",XLOOKUP($F478,Productos!$A:$A,Productos!X:X,"Revisar"),"")</f>
        <v/>
      </c>
      <c r="AF478" s="179" t="str">
        <f t="array" ref="AF478">IF($F478&lt;&gt;"", XLOOKUP($F478,Productos!$A$2:$A1001,Productos!Y$2:Y1001,"")*$G478,"")</f>
        <v/>
      </c>
      <c r="AG478" s="179" t="str">
        <f t="array" ref="AG478">IF($F478&lt;&gt;"",XLOOKUP($F478,Productos!$A:$A,Productos!Z:Z,"Revisar"),"")</f>
        <v/>
      </c>
      <c r="AH478" s="179" t="str">
        <f t="array" ref="AH478">IF($F478&lt;&gt;"", XLOOKUP($F478,Productos!$A$2:$A1001,Productos!AA$2:AA1001,"")*$G478,"")</f>
        <v/>
      </c>
      <c r="AI478" s="179" t="str">
        <f t="array" ref="AI478">IF($F478&lt;&gt;"",XLOOKUP($F478,Productos!$A:$A,Productos!AB:AB,"Revisar"),"")</f>
        <v/>
      </c>
      <c r="AJ478" s="179" t="str">
        <f t="array" ref="AJ478">IF($F478&lt;&gt;"", XLOOKUP($F478,Productos!$A$2:$A1001,Productos!AC$2:AC1001,"")*$G478,"")</f>
        <v/>
      </c>
      <c r="AK478" s="179" t="str">
        <f t="array" ref="AK478">IF($F478&lt;&gt;"",XLOOKUP($F478,Productos!$A:$A,Productos!AD:AD,"Revisar"),"")</f>
        <v/>
      </c>
      <c r="AL478" s="179" t="str">
        <f t="array" ref="AL478">IF($F478&lt;&gt;"", XLOOKUP($F478,Productos!$A$2:$A1001,Productos!AE$2:AE1001,"")*$G478,"")</f>
        <v/>
      </c>
      <c r="AM478" s="179" t="str">
        <f t="array" ref="AM478">IF($F478&lt;&gt;"",XLOOKUP($F478,Productos!$A:$A,Productos!AF:AF,"Revisar"),"")</f>
        <v/>
      </c>
      <c r="AN478" s="179" t="str">
        <f t="array" ref="AN478">IF($F478&lt;&gt;"", XLOOKUP($F478,Productos!$A$2:$A1001,Productos!AG$2:AG1001,"")*$G478,"")</f>
        <v/>
      </c>
      <c r="AO478" s="179" t="str">
        <f t="array" ref="AO478">IF($F478&lt;&gt;"",XLOOKUP($F478,Productos!$A:$A,Productos!AH:AH,"Revisar"),"")</f>
        <v/>
      </c>
      <c r="AP478" s="179" t="str">
        <f t="array" ref="AP478">IF($F478&lt;&gt;"", XLOOKUP($F478,Productos!$A$2:$A1001,Productos!AI$2:AI1001,"")*$G478,"")</f>
        <v/>
      </c>
      <c r="AQ478" s="179" t="str">
        <f t="array" ref="AQ478">IF($F478&lt;&gt;"",XLOOKUP($F478,Productos!$A:$A,Productos!AJ:AJ,"Revisar"),"")</f>
        <v/>
      </c>
      <c r="AR478" s="179" t="str">
        <f t="array" ref="AR478">IF($F478&lt;&gt;"", XLOOKUP($F478,Productos!$A$2:$A1001,Productos!AK$2:AK1001,"")*$G478,"")</f>
        <v/>
      </c>
      <c r="AS478" s="179" t="str">
        <f t="array" ref="AS478">IF($F478&lt;&gt;"",XLOOKUP($F478,Productos!$A:$A,Productos!AL:AL,"Revisar"),"")</f>
        <v/>
      </c>
      <c r="AT478" s="179" t="str">
        <f t="array" ref="AT478">IF($F478&lt;&gt;"", XLOOKUP($F478,Productos!$A$2:$A1001,Productos!AM$2:AM1001,"")*$G478,"")</f>
        <v/>
      </c>
      <c r="AU478" s="179" t="str">
        <f t="array" ref="AU478">IF($F478&lt;&gt;"",XLOOKUP($F478,Productos!$A:$A,Productos!AN:AN,"Revisar"),"")</f>
        <v/>
      </c>
      <c r="AV478" s="179" t="str">
        <f t="array" ref="AV478">IF($F478&lt;&gt;"", XLOOKUP($F478,Productos!$A$2:$A1001,Productos!AO$2:AO1001,"")*$G478,"")</f>
        <v/>
      </c>
      <c r="AW478" s="179" t="str">
        <f t="array" ref="AW478">IF($F478&lt;&gt;"",XLOOKUP($F478,Productos!$A:$A,Productos!AP:AP,"Revisar"),"")</f>
        <v/>
      </c>
      <c r="AX478" s="179" t="str">
        <f t="array" ref="AX478">IF($F478&lt;&gt;"", XLOOKUP($F478,Productos!$A$2:$A1001,Productos!AQ$2:AQ1001,"")*$G478,"")</f>
        <v/>
      </c>
      <c r="AY478" s="179" t="str">
        <f t="array" ref="AY478">IF($F478&lt;&gt;"",XLOOKUP($F478,Productos!$A:$A,Productos!AR:AR,"Revisar"),"")</f>
        <v/>
      </c>
      <c r="AZ478" s="179" t="str">
        <f t="array" ref="AZ478">IF($F478&lt;&gt;"", XLOOKUP($F478,Productos!$A$2:$A1001,Productos!AS$2:AS1001,"")*$G478,"")</f>
        <v/>
      </c>
      <c r="BA478" s="179" t="str">
        <f t="array" ref="BA478">IF($F478&lt;&gt;"",XLOOKUP($F478,Productos!$A:$A,Productos!AT:AT,"Revisar"),"")</f>
        <v/>
      </c>
      <c r="BB478" s="179" t="str">
        <f t="array" ref="BB478">IF($F478&lt;&gt;"", XLOOKUP($F478,Productos!$A$2:$A1001,Productos!AU$2:AU1001,"")*$G478,"")</f>
        <v/>
      </c>
      <c r="BC478" s="179" t="str">
        <f t="array" ref="BC478">IF($F478&lt;&gt;"",XLOOKUP($F478,Productos!$A:$A,Productos!AV:AV,"Revisar"),"")</f>
        <v/>
      </c>
      <c r="BD478" s="179" t="str">
        <f t="array" ref="BD478">IF($F478&lt;&gt;"", XLOOKUP($F478,Productos!$A$2:$A1001,Productos!AW$2:AW1001,"")*$G478,"")</f>
        <v/>
      </c>
      <c r="BE478" s="179" t="str">
        <f t="array" ref="BE478">IF($F478&lt;&gt;"",XLOOKUP($F478,Productos!$A:$A,Productos!AX:AX,"Revisar"),"")</f>
        <v/>
      </c>
      <c r="BF478" s="179" t="str">
        <f t="array" ref="BF478">IF($F478&lt;&gt;"", XLOOKUP($F478,Productos!$A$2:$A1001,Productos!AY$2:AY1001,"")*$G478,"")</f>
        <v/>
      </c>
      <c r="BG478" s="179" t="str">
        <f t="array" ref="BG478">IF($F478&lt;&gt;"",XLOOKUP($F478,Productos!$A:$A,Productos!AZ:AZ,"Revisar"),"")</f>
        <v/>
      </c>
      <c r="BH478" s="179" t="str">
        <f t="array" ref="BH478">IF($F478&lt;&gt;"", XLOOKUP($F478,Productos!$A$2:$A1001,Productos!BA$2:BA1001,"")*$G478,"")</f>
        <v/>
      </c>
      <c r="BI478" s="179" t="str">
        <f t="array" ref="BI478">IF($F478&lt;&gt;"",XLOOKUP($F478,Productos!$A:$A,Productos!BB:BB,"Revisar"),"")</f>
        <v/>
      </c>
      <c r="BJ478" s="179" t="str">
        <f t="array" ref="BJ478">IF($F478&lt;&gt;"", XLOOKUP($F478,Productos!$A$2:$A1001,Productos!BC$2:BC1001,"")*$G478,"")</f>
        <v/>
      </c>
      <c r="BK478" s="179" t="str">
        <f t="array" ref="BK478">IF($F478&lt;&gt;"",XLOOKUP($F478,Productos!$A:$A,Productos!BD:BD,"Revisar"),"")</f>
        <v/>
      </c>
      <c r="BL478" s="179" t="str">
        <f t="array" ref="BL478">IF($F478&lt;&gt;"", XLOOKUP($F478,Productos!$A$2:$A1001,Productos!BE$2:BE1001,"")*$G478,"")</f>
        <v/>
      </c>
      <c r="BM478" s="179" t="str">
        <f t="array" ref="BM478">IF($F478&lt;&gt;"",XLOOKUP($F478,Productos!$A:$A,Productos!BF:BF,"Revisar"),"")</f>
        <v/>
      </c>
      <c r="BN478" s="179" t="str">
        <f t="array" ref="BN478">IF($F478&lt;&gt;"", XLOOKUP($F478,Productos!$A$2:$A1001,Productos!BG$2:BG1001,"")*$G478,"")</f>
        <v/>
      </c>
      <c r="BO478" s="179" t="str">
        <f t="array" ref="BO478">IF($F478&lt;&gt;"",XLOOKUP($F478,Productos!$A:$A,Productos!BH:BH,"Revisar"),"")</f>
        <v/>
      </c>
      <c r="BP478" s="179" t="str">
        <f t="array" ref="BP478">IF($F478&lt;&gt;"", XLOOKUP($F478,Productos!$A$2:$A1001,Productos!BI$2:BI1001,"")*$G478,"")</f>
        <v/>
      </c>
      <c r="BQ478" s="179" t="str">
        <f t="array" ref="BQ478">IF($F478&lt;&gt;"",XLOOKUP($F478,Productos!$A:$A,Productos!BJ:BJ,"Revisar"),"")</f>
        <v/>
      </c>
      <c r="BR478" s="179" t="str">
        <f t="array" ref="BR478">IF($F478&lt;&gt;"", XLOOKUP($F478,Productos!$A$2:$A1001,Productos!BK$2:BK1001,"")*$G478,"")</f>
        <v/>
      </c>
      <c r="BS478" s="179" t="str">
        <f t="array" ref="BS478">IF($F478&lt;&gt;"",XLOOKUP($F478,Productos!$A:$A,Productos!BL:BL,"Revisar"),"")</f>
        <v/>
      </c>
      <c r="BT478" s="179" t="str">
        <f t="array" ref="BT478">IF($F478&lt;&gt;"", XLOOKUP($F478,Productos!$A$2:$A1001,Productos!BM$2:BM1001,"")*$G478,"")</f>
        <v/>
      </c>
      <c r="BU478" s="179" t="str">
        <f t="array" ref="BU478">IF($F478&lt;&gt;"",XLOOKUP($F478,Productos!$A:$A,Productos!BN:BN,"Revisar"),"")</f>
        <v/>
      </c>
      <c r="BV478" s="179" t="str">
        <f t="array" ref="BV478">IF($F478&lt;&gt;"", XLOOKUP($F478,Productos!$A$2:$A1001,Productos!BO$2:BO1001,"")*$G478,"")</f>
        <v/>
      </c>
      <c r="BW478" s="179" t="str">
        <f t="array" ref="BW478">IF($F478&lt;&gt;"",XLOOKUP($F478,Productos!$A:$A,Productos!BP:BP,"Revisar"),"")</f>
        <v/>
      </c>
      <c r="BX478" s="179" t="str">
        <f t="array" ref="BX478">IF($F478&lt;&gt;"", XLOOKUP($F478,Productos!$A$2:$A1001,Productos!BQ$2:BQ1001,"")*$G478,"")</f>
        <v/>
      </c>
      <c r="BY478" s="179" t="str">
        <f t="array" ref="BY478">IF($F478&lt;&gt;"",XLOOKUP($F478,Productos!$A:$A,Productos!BR:BR,"Revisar"),"")</f>
        <v/>
      </c>
      <c r="BZ478" s="179" t="str">
        <f t="array" ref="BZ478">IF($F478&lt;&gt;"", XLOOKUP($F478,Productos!$A$2:$A1001,Productos!BS$2:BS1001,"")*$G478,"")</f>
        <v/>
      </c>
    </row>
    <row r="479">
      <c r="A479" s="188"/>
      <c r="B479" s="189"/>
      <c r="C479" s="190"/>
      <c r="D479" s="190"/>
      <c r="E479" s="191"/>
      <c r="F479" s="186"/>
      <c r="G479" s="192"/>
      <c r="H479" s="9"/>
      <c r="I479" s="179" t="str">
        <f t="array" ref="I479">IF($F479&lt;&gt;"",XLOOKUP($F479,Productos!$A:$A,Productos!B:B,"Revisar"),"")</f>
        <v/>
      </c>
      <c r="J479" s="179" t="str">
        <f t="array" ref="J479">IF($F479&lt;&gt;"", XLOOKUP($F479,Productos!$A$2:$A1001,Productos!C$2:C1001,"")*$G479,"")</f>
        <v/>
      </c>
      <c r="K479" s="179" t="str">
        <f t="array" ref="K479">IF($F479&lt;&gt;"",XLOOKUP($F479,Productos!$A:$A,Productos!D:D,"Revisar"),"")</f>
        <v/>
      </c>
      <c r="L479" s="179" t="str">
        <f t="array" ref="L479">IF($F479&lt;&gt;"", XLOOKUP($F479,Productos!$A$2:$A1001,Productos!E$2:E1001,"")*$G479,"")</f>
        <v/>
      </c>
      <c r="M479" s="179" t="str">
        <f t="array" ref="M479">IF($F479&lt;&gt;"",XLOOKUP($F479,Productos!$A:$A,Productos!F:F,"Revisar"),"")</f>
        <v/>
      </c>
      <c r="N479" s="179" t="str">
        <f t="array" ref="N479">IF($F479&lt;&gt;"", XLOOKUP($F479,Productos!$A$2:$A1001,Productos!G$2:G1001,"")*$G479,"")</f>
        <v/>
      </c>
      <c r="O479" s="179" t="str">
        <f t="array" ref="O479">IF($F479&lt;&gt;"",XLOOKUP($F479,Productos!$A:$A,Productos!H:H,"Revisar"),"")</f>
        <v/>
      </c>
      <c r="P479" s="179" t="str">
        <f t="array" ref="P479">IF($F479&lt;&gt;"", XLOOKUP($F479,Productos!$A$2:$A1001,Productos!I$2:I1001,"")*$G479,"")</f>
        <v/>
      </c>
      <c r="Q479" s="179" t="str">
        <f t="array" ref="Q479">IF($F479&lt;&gt;"",XLOOKUP($F479,Productos!$A:$A,Productos!J:J,"Revisar"),"")</f>
        <v/>
      </c>
      <c r="R479" s="179" t="str">
        <f t="array" ref="R479">IF($F479&lt;&gt;"", XLOOKUP($F479,Productos!$A$2:$A1001,Productos!K$2:K1001,"")*$G479,"")</f>
        <v/>
      </c>
      <c r="S479" s="179" t="str">
        <f t="array" ref="S479">IF($F479&lt;&gt;"",XLOOKUP($F479,Productos!$A:$A,Productos!L:L,"Revisar"),"")</f>
        <v/>
      </c>
      <c r="T479" s="179" t="str">
        <f t="array" ref="T479">IF($F479&lt;&gt;"", XLOOKUP($F479,Productos!$A$2:$A1001,Productos!M$2:M1001,"")*$G479,"")</f>
        <v/>
      </c>
      <c r="U479" s="179" t="str">
        <f t="array" ref="U479">IF($F479&lt;&gt;"",XLOOKUP($F479,Productos!$A:$A,Productos!N:N,"Revisar"),"")</f>
        <v/>
      </c>
      <c r="V479" s="179" t="str">
        <f t="array" ref="V479">IF($F479&lt;&gt;"", XLOOKUP($F479,Productos!$A$2:$A1001,Productos!O$2:O1001,"")*$G479,"")</f>
        <v/>
      </c>
      <c r="W479" s="179" t="str">
        <f t="array" ref="W479">IF($F479&lt;&gt;"",XLOOKUP($F479,Productos!$A:$A,Productos!P:P,"Revisar"),"")</f>
        <v/>
      </c>
      <c r="X479" s="179" t="str">
        <f t="array" ref="X479">IF($F479&lt;&gt;"", XLOOKUP($F479,Productos!$A$2:$A1001,Productos!Q$2:Q1001,"")*$G479,"")</f>
        <v/>
      </c>
      <c r="Y479" s="179" t="str">
        <f t="array" ref="Y479">IF($F479&lt;&gt;"",XLOOKUP($F479,Productos!$A:$A,Productos!R:R,"Revisar"),"")</f>
        <v/>
      </c>
      <c r="Z479" s="179" t="str">
        <f t="array" ref="Z479">IF($F479&lt;&gt;"", XLOOKUP($F479,Productos!$A$2:$A1001,Productos!S$2:S1001,"")*$G479,"")</f>
        <v/>
      </c>
      <c r="AA479" s="179" t="str">
        <f t="array" ref="AA479">IF($F479&lt;&gt;"",XLOOKUP($F479,Productos!$A:$A,Productos!T:T,"Revisar"),"")</f>
        <v/>
      </c>
      <c r="AB479" s="179" t="str">
        <f t="array" ref="AB479">IF($F479&lt;&gt;"", XLOOKUP($F479,Productos!$A$2:$A1001,Productos!U$2:U1001,"")*$G479,"")</f>
        <v/>
      </c>
      <c r="AC479" s="179" t="str">
        <f t="array" ref="AC479">IF($F479&lt;&gt;"",XLOOKUP($F479,Productos!$A:$A,Productos!V:V,"Revisar"),"")</f>
        <v/>
      </c>
      <c r="AD479" s="179" t="str">
        <f t="array" ref="AD479">IF($F479&lt;&gt;"", XLOOKUP($F479,Productos!$A$2:$A1001,Productos!W$2:W1001,"")*$G479,"")</f>
        <v/>
      </c>
      <c r="AE479" s="179" t="str">
        <f t="array" ref="AE479">IF($F479&lt;&gt;"",XLOOKUP($F479,Productos!$A:$A,Productos!X:X,"Revisar"),"")</f>
        <v/>
      </c>
      <c r="AF479" s="179" t="str">
        <f t="array" ref="AF479">IF($F479&lt;&gt;"", XLOOKUP($F479,Productos!$A$2:$A1001,Productos!Y$2:Y1001,"")*$G479,"")</f>
        <v/>
      </c>
      <c r="AG479" s="179" t="str">
        <f t="array" ref="AG479">IF($F479&lt;&gt;"",XLOOKUP($F479,Productos!$A:$A,Productos!Z:Z,"Revisar"),"")</f>
        <v/>
      </c>
      <c r="AH479" s="179" t="str">
        <f t="array" ref="AH479">IF($F479&lt;&gt;"", XLOOKUP($F479,Productos!$A$2:$A1001,Productos!AA$2:AA1001,"")*$G479,"")</f>
        <v/>
      </c>
      <c r="AI479" s="179" t="str">
        <f t="array" ref="AI479">IF($F479&lt;&gt;"",XLOOKUP($F479,Productos!$A:$A,Productos!AB:AB,"Revisar"),"")</f>
        <v/>
      </c>
      <c r="AJ479" s="179" t="str">
        <f t="array" ref="AJ479">IF($F479&lt;&gt;"", XLOOKUP($F479,Productos!$A$2:$A1001,Productos!AC$2:AC1001,"")*$G479,"")</f>
        <v/>
      </c>
      <c r="AK479" s="179" t="str">
        <f t="array" ref="AK479">IF($F479&lt;&gt;"",XLOOKUP($F479,Productos!$A:$A,Productos!AD:AD,"Revisar"),"")</f>
        <v/>
      </c>
      <c r="AL479" s="179" t="str">
        <f t="array" ref="AL479">IF($F479&lt;&gt;"", XLOOKUP($F479,Productos!$A$2:$A1001,Productos!AE$2:AE1001,"")*$G479,"")</f>
        <v/>
      </c>
      <c r="AM479" s="179" t="str">
        <f t="array" ref="AM479">IF($F479&lt;&gt;"",XLOOKUP($F479,Productos!$A:$A,Productos!AF:AF,"Revisar"),"")</f>
        <v/>
      </c>
      <c r="AN479" s="179" t="str">
        <f t="array" ref="AN479">IF($F479&lt;&gt;"", XLOOKUP($F479,Productos!$A$2:$A1001,Productos!AG$2:AG1001,"")*$G479,"")</f>
        <v/>
      </c>
      <c r="AO479" s="179" t="str">
        <f t="array" ref="AO479">IF($F479&lt;&gt;"",XLOOKUP($F479,Productos!$A:$A,Productos!AH:AH,"Revisar"),"")</f>
        <v/>
      </c>
      <c r="AP479" s="179" t="str">
        <f t="array" ref="AP479">IF($F479&lt;&gt;"", XLOOKUP($F479,Productos!$A$2:$A1001,Productos!AI$2:AI1001,"")*$G479,"")</f>
        <v/>
      </c>
      <c r="AQ479" s="179" t="str">
        <f t="array" ref="AQ479">IF($F479&lt;&gt;"",XLOOKUP($F479,Productos!$A:$A,Productos!AJ:AJ,"Revisar"),"")</f>
        <v/>
      </c>
      <c r="AR479" s="179" t="str">
        <f t="array" ref="AR479">IF($F479&lt;&gt;"", XLOOKUP($F479,Productos!$A$2:$A1001,Productos!AK$2:AK1001,"")*$G479,"")</f>
        <v/>
      </c>
      <c r="AS479" s="179" t="str">
        <f t="array" ref="AS479">IF($F479&lt;&gt;"",XLOOKUP($F479,Productos!$A:$A,Productos!AL:AL,"Revisar"),"")</f>
        <v/>
      </c>
      <c r="AT479" s="179" t="str">
        <f t="array" ref="AT479">IF($F479&lt;&gt;"", XLOOKUP($F479,Productos!$A$2:$A1001,Productos!AM$2:AM1001,"")*$G479,"")</f>
        <v/>
      </c>
      <c r="AU479" s="179" t="str">
        <f t="array" ref="AU479">IF($F479&lt;&gt;"",XLOOKUP($F479,Productos!$A:$A,Productos!AN:AN,"Revisar"),"")</f>
        <v/>
      </c>
      <c r="AV479" s="179" t="str">
        <f t="array" ref="AV479">IF($F479&lt;&gt;"", XLOOKUP($F479,Productos!$A$2:$A1001,Productos!AO$2:AO1001,"")*$G479,"")</f>
        <v/>
      </c>
      <c r="AW479" s="179" t="str">
        <f t="array" ref="AW479">IF($F479&lt;&gt;"",XLOOKUP($F479,Productos!$A:$A,Productos!AP:AP,"Revisar"),"")</f>
        <v/>
      </c>
      <c r="AX479" s="179" t="str">
        <f t="array" ref="AX479">IF($F479&lt;&gt;"", XLOOKUP($F479,Productos!$A$2:$A1001,Productos!AQ$2:AQ1001,"")*$G479,"")</f>
        <v/>
      </c>
      <c r="AY479" s="179" t="str">
        <f t="array" ref="AY479">IF($F479&lt;&gt;"",XLOOKUP($F479,Productos!$A:$A,Productos!AR:AR,"Revisar"),"")</f>
        <v/>
      </c>
      <c r="AZ479" s="179" t="str">
        <f t="array" ref="AZ479">IF($F479&lt;&gt;"", XLOOKUP($F479,Productos!$A$2:$A1001,Productos!AS$2:AS1001,"")*$G479,"")</f>
        <v/>
      </c>
      <c r="BA479" s="179" t="str">
        <f t="array" ref="BA479">IF($F479&lt;&gt;"",XLOOKUP($F479,Productos!$A:$A,Productos!AT:AT,"Revisar"),"")</f>
        <v/>
      </c>
      <c r="BB479" s="179" t="str">
        <f t="array" ref="BB479">IF($F479&lt;&gt;"", XLOOKUP($F479,Productos!$A$2:$A1001,Productos!AU$2:AU1001,"")*$G479,"")</f>
        <v/>
      </c>
      <c r="BC479" s="179" t="str">
        <f t="array" ref="BC479">IF($F479&lt;&gt;"",XLOOKUP($F479,Productos!$A:$A,Productos!AV:AV,"Revisar"),"")</f>
        <v/>
      </c>
      <c r="BD479" s="179" t="str">
        <f t="array" ref="BD479">IF($F479&lt;&gt;"", XLOOKUP($F479,Productos!$A$2:$A1001,Productos!AW$2:AW1001,"")*$G479,"")</f>
        <v/>
      </c>
      <c r="BE479" s="179" t="str">
        <f t="array" ref="BE479">IF($F479&lt;&gt;"",XLOOKUP($F479,Productos!$A:$A,Productos!AX:AX,"Revisar"),"")</f>
        <v/>
      </c>
      <c r="BF479" s="179" t="str">
        <f t="array" ref="BF479">IF($F479&lt;&gt;"", XLOOKUP($F479,Productos!$A$2:$A1001,Productos!AY$2:AY1001,"")*$G479,"")</f>
        <v/>
      </c>
      <c r="BG479" s="179" t="str">
        <f t="array" ref="BG479">IF($F479&lt;&gt;"",XLOOKUP($F479,Productos!$A:$A,Productos!AZ:AZ,"Revisar"),"")</f>
        <v/>
      </c>
      <c r="BH479" s="179" t="str">
        <f t="array" ref="BH479">IF($F479&lt;&gt;"", XLOOKUP($F479,Productos!$A$2:$A1001,Productos!BA$2:BA1001,"")*$G479,"")</f>
        <v/>
      </c>
      <c r="BI479" s="179" t="str">
        <f t="array" ref="BI479">IF($F479&lt;&gt;"",XLOOKUP($F479,Productos!$A:$A,Productos!BB:BB,"Revisar"),"")</f>
        <v/>
      </c>
      <c r="BJ479" s="179" t="str">
        <f t="array" ref="BJ479">IF($F479&lt;&gt;"", XLOOKUP($F479,Productos!$A$2:$A1001,Productos!BC$2:BC1001,"")*$G479,"")</f>
        <v/>
      </c>
      <c r="BK479" s="179" t="str">
        <f t="array" ref="BK479">IF($F479&lt;&gt;"",XLOOKUP($F479,Productos!$A:$A,Productos!BD:BD,"Revisar"),"")</f>
        <v/>
      </c>
      <c r="BL479" s="179" t="str">
        <f t="array" ref="BL479">IF($F479&lt;&gt;"", XLOOKUP($F479,Productos!$A$2:$A1001,Productos!BE$2:BE1001,"")*$G479,"")</f>
        <v/>
      </c>
      <c r="BM479" s="179" t="str">
        <f t="array" ref="BM479">IF($F479&lt;&gt;"",XLOOKUP($F479,Productos!$A:$A,Productos!BF:BF,"Revisar"),"")</f>
        <v/>
      </c>
      <c r="BN479" s="179" t="str">
        <f t="array" ref="BN479">IF($F479&lt;&gt;"", XLOOKUP($F479,Productos!$A$2:$A1001,Productos!BG$2:BG1001,"")*$G479,"")</f>
        <v/>
      </c>
      <c r="BO479" s="179" t="str">
        <f t="array" ref="BO479">IF($F479&lt;&gt;"",XLOOKUP($F479,Productos!$A:$A,Productos!BH:BH,"Revisar"),"")</f>
        <v/>
      </c>
      <c r="BP479" s="179" t="str">
        <f t="array" ref="BP479">IF($F479&lt;&gt;"", XLOOKUP($F479,Productos!$A$2:$A1001,Productos!BI$2:BI1001,"")*$G479,"")</f>
        <v/>
      </c>
      <c r="BQ479" s="179" t="str">
        <f t="array" ref="BQ479">IF($F479&lt;&gt;"",XLOOKUP($F479,Productos!$A:$A,Productos!BJ:BJ,"Revisar"),"")</f>
        <v/>
      </c>
      <c r="BR479" s="179" t="str">
        <f t="array" ref="BR479">IF($F479&lt;&gt;"", XLOOKUP($F479,Productos!$A$2:$A1001,Productos!BK$2:BK1001,"")*$G479,"")</f>
        <v/>
      </c>
      <c r="BS479" s="179" t="str">
        <f t="array" ref="BS479">IF($F479&lt;&gt;"",XLOOKUP($F479,Productos!$A:$A,Productos!BL:BL,"Revisar"),"")</f>
        <v/>
      </c>
      <c r="BT479" s="179" t="str">
        <f t="array" ref="BT479">IF($F479&lt;&gt;"", XLOOKUP($F479,Productos!$A$2:$A1001,Productos!BM$2:BM1001,"")*$G479,"")</f>
        <v/>
      </c>
      <c r="BU479" s="179" t="str">
        <f t="array" ref="BU479">IF($F479&lt;&gt;"",XLOOKUP($F479,Productos!$A:$A,Productos!BN:BN,"Revisar"),"")</f>
        <v/>
      </c>
      <c r="BV479" s="179" t="str">
        <f t="array" ref="BV479">IF($F479&lt;&gt;"", XLOOKUP($F479,Productos!$A$2:$A1001,Productos!BO$2:BO1001,"")*$G479,"")</f>
        <v/>
      </c>
      <c r="BW479" s="179" t="str">
        <f t="array" ref="BW479">IF($F479&lt;&gt;"",XLOOKUP($F479,Productos!$A:$A,Productos!BP:BP,"Revisar"),"")</f>
        <v/>
      </c>
      <c r="BX479" s="179" t="str">
        <f t="array" ref="BX479">IF($F479&lt;&gt;"", XLOOKUP($F479,Productos!$A$2:$A1001,Productos!BQ$2:BQ1001,"")*$G479,"")</f>
        <v/>
      </c>
      <c r="BY479" s="179" t="str">
        <f t="array" ref="BY479">IF($F479&lt;&gt;"",XLOOKUP($F479,Productos!$A:$A,Productos!BR:BR,"Revisar"),"")</f>
        <v/>
      </c>
      <c r="BZ479" s="179" t="str">
        <f t="array" ref="BZ479">IF($F479&lt;&gt;"", XLOOKUP($F479,Productos!$A$2:$A1001,Productos!BS$2:BS1001,"")*$G479,"")</f>
        <v/>
      </c>
    </row>
    <row r="480">
      <c r="A480" s="188"/>
      <c r="B480" s="189"/>
      <c r="C480" s="190"/>
      <c r="D480" s="190"/>
      <c r="E480" s="191"/>
      <c r="F480" s="186"/>
      <c r="G480" s="192"/>
      <c r="H480" s="9"/>
      <c r="I480" s="179" t="str">
        <f t="array" ref="I480">IF($F480&lt;&gt;"",XLOOKUP($F480,Productos!$A:$A,Productos!B:B,"Revisar"),"")</f>
        <v/>
      </c>
      <c r="J480" s="179" t="str">
        <f t="array" ref="J480">IF($F480&lt;&gt;"", XLOOKUP($F480,Productos!$A$2:$A1001,Productos!C$2:C1001,"")*$G480,"")</f>
        <v/>
      </c>
      <c r="K480" s="179" t="str">
        <f t="array" ref="K480">IF($F480&lt;&gt;"",XLOOKUP($F480,Productos!$A:$A,Productos!D:D,"Revisar"),"")</f>
        <v/>
      </c>
      <c r="L480" s="179" t="str">
        <f t="array" ref="L480">IF($F480&lt;&gt;"", XLOOKUP($F480,Productos!$A$2:$A1001,Productos!E$2:E1001,"")*$G480,"")</f>
        <v/>
      </c>
      <c r="M480" s="179" t="str">
        <f t="array" ref="M480">IF($F480&lt;&gt;"",XLOOKUP($F480,Productos!$A:$A,Productos!F:F,"Revisar"),"")</f>
        <v/>
      </c>
      <c r="N480" s="179" t="str">
        <f t="array" ref="N480">IF($F480&lt;&gt;"", XLOOKUP($F480,Productos!$A$2:$A1001,Productos!G$2:G1001,"")*$G480,"")</f>
        <v/>
      </c>
      <c r="O480" s="179" t="str">
        <f t="array" ref="O480">IF($F480&lt;&gt;"",XLOOKUP($F480,Productos!$A:$A,Productos!H:H,"Revisar"),"")</f>
        <v/>
      </c>
      <c r="P480" s="179" t="str">
        <f t="array" ref="P480">IF($F480&lt;&gt;"", XLOOKUP($F480,Productos!$A$2:$A1001,Productos!I$2:I1001,"")*$G480,"")</f>
        <v/>
      </c>
      <c r="Q480" s="179" t="str">
        <f t="array" ref="Q480">IF($F480&lt;&gt;"",XLOOKUP($F480,Productos!$A:$A,Productos!J:J,"Revisar"),"")</f>
        <v/>
      </c>
      <c r="R480" s="179" t="str">
        <f t="array" ref="R480">IF($F480&lt;&gt;"", XLOOKUP($F480,Productos!$A$2:$A1001,Productos!K$2:K1001,"")*$G480,"")</f>
        <v/>
      </c>
      <c r="S480" s="179" t="str">
        <f t="array" ref="S480">IF($F480&lt;&gt;"",XLOOKUP($F480,Productos!$A:$A,Productos!L:L,"Revisar"),"")</f>
        <v/>
      </c>
      <c r="T480" s="179" t="str">
        <f t="array" ref="T480">IF($F480&lt;&gt;"", XLOOKUP($F480,Productos!$A$2:$A1001,Productos!M$2:M1001,"")*$G480,"")</f>
        <v/>
      </c>
      <c r="U480" s="179" t="str">
        <f t="array" ref="U480">IF($F480&lt;&gt;"",XLOOKUP($F480,Productos!$A:$A,Productos!N:N,"Revisar"),"")</f>
        <v/>
      </c>
      <c r="V480" s="179" t="str">
        <f t="array" ref="V480">IF($F480&lt;&gt;"", XLOOKUP($F480,Productos!$A$2:$A1001,Productos!O$2:O1001,"")*$G480,"")</f>
        <v/>
      </c>
      <c r="W480" s="179" t="str">
        <f t="array" ref="W480">IF($F480&lt;&gt;"",XLOOKUP($F480,Productos!$A:$A,Productos!P:P,"Revisar"),"")</f>
        <v/>
      </c>
      <c r="X480" s="179" t="str">
        <f t="array" ref="X480">IF($F480&lt;&gt;"", XLOOKUP($F480,Productos!$A$2:$A1001,Productos!Q$2:Q1001,"")*$G480,"")</f>
        <v/>
      </c>
      <c r="Y480" s="179" t="str">
        <f t="array" ref="Y480">IF($F480&lt;&gt;"",XLOOKUP($F480,Productos!$A:$A,Productos!R:R,"Revisar"),"")</f>
        <v/>
      </c>
      <c r="Z480" s="179" t="str">
        <f t="array" ref="Z480">IF($F480&lt;&gt;"", XLOOKUP($F480,Productos!$A$2:$A1001,Productos!S$2:S1001,"")*$G480,"")</f>
        <v/>
      </c>
      <c r="AA480" s="179" t="str">
        <f t="array" ref="AA480">IF($F480&lt;&gt;"",XLOOKUP($F480,Productos!$A:$A,Productos!T:T,"Revisar"),"")</f>
        <v/>
      </c>
      <c r="AB480" s="179" t="str">
        <f t="array" ref="AB480">IF($F480&lt;&gt;"", XLOOKUP($F480,Productos!$A$2:$A1001,Productos!U$2:U1001,"")*$G480,"")</f>
        <v/>
      </c>
      <c r="AC480" s="179" t="str">
        <f t="array" ref="AC480">IF($F480&lt;&gt;"",XLOOKUP($F480,Productos!$A:$A,Productos!V:V,"Revisar"),"")</f>
        <v/>
      </c>
      <c r="AD480" s="179" t="str">
        <f t="array" ref="AD480">IF($F480&lt;&gt;"", XLOOKUP($F480,Productos!$A$2:$A1001,Productos!W$2:W1001,"")*$G480,"")</f>
        <v/>
      </c>
      <c r="AE480" s="179" t="str">
        <f t="array" ref="AE480">IF($F480&lt;&gt;"",XLOOKUP($F480,Productos!$A:$A,Productos!X:X,"Revisar"),"")</f>
        <v/>
      </c>
      <c r="AF480" s="179" t="str">
        <f t="array" ref="AF480">IF($F480&lt;&gt;"", XLOOKUP($F480,Productos!$A$2:$A1001,Productos!Y$2:Y1001,"")*$G480,"")</f>
        <v/>
      </c>
      <c r="AG480" s="179" t="str">
        <f t="array" ref="AG480">IF($F480&lt;&gt;"",XLOOKUP($F480,Productos!$A:$A,Productos!Z:Z,"Revisar"),"")</f>
        <v/>
      </c>
      <c r="AH480" s="179" t="str">
        <f t="array" ref="AH480">IF($F480&lt;&gt;"", XLOOKUP($F480,Productos!$A$2:$A1001,Productos!AA$2:AA1001,"")*$G480,"")</f>
        <v/>
      </c>
      <c r="AI480" s="179" t="str">
        <f t="array" ref="AI480">IF($F480&lt;&gt;"",XLOOKUP($F480,Productos!$A:$A,Productos!AB:AB,"Revisar"),"")</f>
        <v/>
      </c>
      <c r="AJ480" s="179" t="str">
        <f t="array" ref="AJ480">IF($F480&lt;&gt;"", XLOOKUP($F480,Productos!$A$2:$A1001,Productos!AC$2:AC1001,"")*$G480,"")</f>
        <v/>
      </c>
      <c r="AK480" s="179" t="str">
        <f t="array" ref="AK480">IF($F480&lt;&gt;"",XLOOKUP($F480,Productos!$A:$A,Productos!AD:AD,"Revisar"),"")</f>
        <v/>
      </c>
      <c r="AL480" s="179" t="str">
        <f t="array" ref="AL480">IF($F480&lt;&gt;"", XLOOKUP($F480,Productos!$A$2:$A1001,Productos!AE$2:AE1001,"")*$G480,"")</f>
        <v/>
      </c>
      <c r="AM480" s="179" t="str">
        <f t="array" ref="AM480">IF($F480&lt;&gt;"",XLOOKUP($F480,Productos!$A:$A,Productos!AF:AF,"Revisar"),"")</f>
        <v/>
      </c>
      <c r="AN480" s="179" t="str">
        <f t="array" ref="AN480">IF($F480&lt;&gt;"", XLOOKUP($F480,Productos!$A$2:$A1001,Productos!AG$2:AG1001,"")*$G480,"")</f>
        <v/>
      </c>
      <c r="AO480" s="179" t="str">
        <f t="array" ref="AO480">IF($F480&lt;&gt;"",XLOOKUP($F480,Productos!$A:$A,Productos!AH:AH,"Revisar"),"")</f>
        <v/>
      </c>
      <c r="AP480" s="179" t="str">
        <f t="array" ref="AP480">IF($F480&lt;&gt;"", XLOOKUP($F480,Productos!$A$2:$A1001,Productos!AI$2:AI1001,"")*$G480,"")</f>
        <v/>
      </c>
      <c r="AQ480" s="179" t="str">
        <f t="array" ref="AQ480">IF($F480&lt;&gt;"",XLOOKUP($F480,Productos!$A:$A,Productos!AJ:AJ,"Revisar"),"")</f>
        <v/>
      </c>
      <c r="AR480" s="179" t="str">
        <f t="array" ref="AR480">IF($F480&lt;&gt;"", XLOOKUP($F480,Productos!$A$2:$A1001,Productos!AK$2:AK1001,"")*$G480,"")</f>
        <v/>
      </c>
      <c r="AS480" s="179" t="str">
        <f t="array" ref="AS480">IF($F480&lt;&gt;"",XLOOKUP($F480,Productos!$A:$A,Productos!AL:AL,"Revisar"),"")</f>
        <v/>
      </c>
      <c r="AT480" s="179" t="str">
        <f t="array" ref="AT480">IF($F480&lt;&gt;"", XLOOKUP($F480,Productos!$A$2:$A1001,Productos!AM$2:AM1001,"")*$G480,"")</f>
        <v/>
      </c>
      <c r="AU480" s="179" t="str">
        <f t="array" ref="AU480">IF($F480&lt;&gt;"",XLOOKUP($F480,Productos!$A:$A,Productos!AN:AN,"Revisar"),"")</f>
        <v/>
      </c>
      <c r="AV480" s="179" t="str">
        <f t="array" ref="AV480">IF($F480&lt;&gt;"", XLOOKUP($F480,Productos!$A$2:$A1001,Productos!AO$2:AO1001,"")*$G480,"")</f>
        <v/>
      </c>
      <c r="AW480" s="179" t="str">
        <f t="array" ref="AW480">IF($F480&lt;&gt;"",XLOOKUP($F480,Productos!$A:$A,Productos!AP:AP,"Revisar"),"")</f>
        <v/>
      </c>
      <c r="AX480" s="179" t="str">
        <f t="array" ref="AX480">IF($F480&lt;&gt;"", XLOOKUP($F480,Productos!$A$2:$A1001,Productos!AQ$2:AQ1001,"")*$G480,"")</f>
        <v/>
      </c>
      <c r="AY480" s="179" t="str">
        <f t="array" ref="AY480">IF($F480&lt;&gt;"",XLOOKUP($F480,Productos!$A:$A,Productos!AR:AR,"Revisar"),"")</f>
        <v/>
      </c>
      <c r="AZ480" s="179" t="str">
        <f t="array" ref="AZ480">IF($F480&lt;&gt;"", XLOOKUP($F480,Productos!$A$2:$A1001,Productos!AS$2:AS1001,"")*$G480,"")</f>
        <v/>
      </c>
      <c r="BA480" s="179" t="str">
        <f t="array" ref="BA480">IF($F480&lt;&gt;"",XLOOKUP($F480,Productos!$A:$A,Productos!AT:AT,"Revisar"),"")</f>
        <v/>
      </c>
      <c r="BB480" s="179" t="str">
        <f t="array" ref="BB480">IF($F480&lt;&gt;"", XLOOKUP($F480,Productos!$A$2:$A1001,Productos!AU$2:AU1001,"")*$G480,"")</f>
        <v/>
      </c>
      <c r="BC480" s="179" t="str">
        <f t="array" ref="BC480">IF($F480&lt;&gt;"",XLOOKUP($F480,Productos!$A:$A,Productos!AV:AV,"Revisar"),"")</f>
        <v/>
      </c>
      <c r="BD480" s="179" t="str">
        <f t="array" ref="BD480">IF($F480&lt;&gt;"", XLOOKUP($F480,Productos!$A$2:$A1001,Productos!AW$2:AW1001,"")*$G480,"")</f>
        <v/>
      </c>
      <c r="BE480" s="179" t="str">
        <f t="array" ref="BE480">IF($F480&lt;&gt;"",XLOOKUP($F480,Productos!$A:$A,Productos!AX:AX,"Revisar"),"")</f>
        <v/>
      </c>
      <c r="BF480" s="179" t="str">
        <f t="array" ref="BF480">IF($F480&lt;&gt;"", XLOOKUP($F480,Productos!$A$2:$A1001,Productos!AY$2:AY1001,"")*$G480,"")</f>
        <v/>
      </c>
      <c r="BG480" s="179" t="str">
        <f t="array" ref="BG480">IF($F480&lt;&gt;"",XLOOKUP($F480,Productos!$A:$A,Productos!AZ:AZ,"Revisar"),"")</f>
        <v/>
      </c>
      <c r="BH480" s="179" t="str">
        <f t="array" ref="BH480">IF($F480&lt;&gt;"", XLOOKUP($F480,Productos!$A$2:$A1001,Productos!BA$2:BA1001,"")*$G480,"")</f>
        <v/>
      </c>
      <c r="BI480" s="179" t="str">
        <f t="array" ref="BI480">IF($F480&lt;&gt;"",XLOOKUP($F480,Productos!$A:$A,Productos!BB:BB,"Revisar"),"")</f>
        <v/>
      </c>
      <c r="BJ480" s="179" t="str">
        <f t="array" ref="BJ480">IF($F480&lt;&gt;"", XLOOKUP($F480,Productos!$A$2:$A1001,Productos!BC$2:BC1001,"")*$G480,"")</f>
        <v/>
      </c>
      <c r="BK480" s="179" t="str">
        <f t="array" ref="BK480">IF($F480&lt;&gt;"",XLOOKUP($F480,Productos!$A:$A,Productos!BD:BD,"Revisar"),"")</f>
        <v/>
      </c>
      <c r="BL480" s="179" t="str">
        <f t="array" ref="BL480">IF($F480&lt;&gt;"", XLOOKUP($F480,Productos!$A$2:$A1001,Productos!BE$2:BE1001,"")*$G480,"")</f>
        <v/>
      </c>
      <c r="BM480" s="179" t="str">
        <f t="array" ref="BM480">IF($F480&lt;&gt;"",XLOOKUP($F480,Productos!$A:$A,Productos!BF:BF,"Revisar"),"")</f>
        <v/>
      </c>
      <c r="BN480" s="179" t="str">
        <f t="array" ref="BN480">IF($F480&lt;&gt;"", XLOOKUP($F480,Productos!$A$2:$A1001,Productos!BG$2:BG1001,"")*$G480,"")</f>
        <v/>
      </c>
      <c r="BO480" s="179" t="str">
        <f t="array" ref="BO480">IF($F480&lt;&gt;"",XLOOKUP($F480,Productos!$A:$A,Productos!BH:BH,"Revisar"),"")</f>
        <v/>
      </c>
      <c r="BP480" s="179" t="str">
        <f t="array" ref="BP480">IF($F480&lt;&gt;"", XLOOKUP($F480,Productos!$A$2:$A1001,Productos!BI$2:BI1001,"")*$G480,"")</f>
        <v/>
      </c>
      <c r="BQ480" s="179" t="str">
        <f t="array" ref="BQ480">IF($F480&lt;&gt;"",XLOOKUP($F480,Productos!$A:$A,Productos!BJ:BJ,"Revisar"),"")</f>
        <v/>
      </c>
      <c r="BR480" s="179" t="str">
        <f t="array" ref="BR480">IF($F480&lt;&gt;"", XLOOKUP($F480,Productos!$A$2:$A1001,Productos!BK$2:BK1001,"")*$G480,"")</f>
        <v/>
      </c>
      <c r="BS480" s="179" t="str">
        <f t="array" ref="BS480">IF($F480&lt;&gt;"",XLOOKUP($F480,Productos!$A:$A,Productos!BL:BL,"Revisar"),"")</f>
        <v/>
      </c>
      <c r="BT480" s="179" t="str">
        <f t="array" ref="BT480">IF($F480&lt;&gt;"", XLOOKUP($F480,Productos!$A$2:$A1001,Productos!BM$2:BM1001,"")*$G480,"")</f>
        <v/>
      </c>
      <c r="BU480" s="179" t="str">
        <f t="array" ref="BU480">IF($F480&lt;&gt;"",XLOOKUP($F480,Productos!$A:$A,Productos!BN:BN,"Revisar"),"")</f>
        <v/>
      </c>
      <c r="BV480" s="179" t="str">
        <f t="array" ref="BV480">IF($F480&lt;&gt;"", XLOOKUP($F480,Productos!$A$2:$A1001,Productos!BO$2:BO1001,"")*$G480,"")</f>
        <v/>
      </c>
      <c r="BW480" s="179" t="str">
        <f t="array" ref="BW480">IF($F480&lt;&gt;"",XLOOKUP($F480,Productos!$A:$A,Productos!BP:BP,"Revisar"),"")</f>
        <v/>
      </c>
      <c r="BX480" s="179" t="str">
        <f t="array" ref="BX480">IF($F480&lt;&gt;"", XLOOKUP($F480,Productos!$A$2:$A1001,Productos!BQ$2:BQ1001,"")*$G480,"")</f>
        <v/>
      </c>
      <c r="BY480" s="179" t="str">
        <f t="array" ref="BY480">IF($F480&lt;&gt;"",XLOOKUP($F480,Productos!$A:$A,Productos!BR:BR,"Revisar"),"")</f>
        <v/>
      </c>
      <c r="BZ480" s="179" t="str">
        <f t="array" ref="BZ480">IF($F480&lt;&gt;"", XLOOKUP($F480,Productos!$A$2:$A1001,Productos!BS$2:BS1001,"")*$G480,"")</f>
        <v/>
      </c>
    </row>
    <row r="481">
      <c r="A481" s="188"/>
      <c r="B481" s="189"/>
      <c r="C481" s="190"/>
      <c r="D481" s="190"/>
      <c r="E481" s="191"/>
      <c r="F481" s="186"/>
      <c r="G481" s="192"/>
      <c r="H481" s="9"/>
      <c r="I481" s="179" t="str">
        <f t="array" ref="I481">IF($F481&lt;&gt;"",XLOOKUP($F481,Productos!$A:$A,Productos!B:B,"Revisar"),"")</f>
        <v/>
      </c>
      <c r="J481" s="179" t="str">
        <f t="array" ref="J481">IF($F481&lt;&gt;"", XLOOKUP($F481,Productos!$A$2:$A1001,Productos!C$2:C1001,"")*$G481,"")</f>
        <v/>
      </c>
      <c r="K481" s="179" t="str">
        <f t="array" ref="K481">IF($F481&lt;&gt;"",XLOOKUP($F481,Productos!$A:$A,Productos!D:D,"Revisar"),"")</f>
        <v/>
      </c>
      <c r="L481" s="179" t="str">
        <f t="array" ref="L481">IF($F481&lt;&gt;"", XLOOKUP($F481,Productos!$A$2:$A1001,Productos!E$2:E1001,"")*$G481,"")</f>
        <v/>
      </c>
      <c r="M481" s="179" t="str">
        <f t="array" ref="M481">IF($F481&lt;&gt;"",XLOOKUP($F481,Productos!$A:$A,Productos!F:F,"Revisar"),"")</f>
        <v/>
      </c>
      <c r="N481" s="179" t="str">
        <f t="array" ref="N481">IF($F481&lt;&gt;"", XLOOKUP($F481,Productos!$A$2:$A1001,Productos!G$2:G1001,"")*$G481,"")</f>
        <v/>
      </c>
      <c r="O481" s="179" t="str">
        <f t="array" ref="O481">IF($F481&lt;&gt;"",XLOOKUP($F481,Productos!$A:$A,Productos!H:H,"Revisar"),"")</f>
        <v/>
      </c>
      <c r="P481" s="179" t="str">
        <f t="array" ref="P481">IF($F481&lt;&gt;"", XLOOKUP($F481,Productos!$A$2:$A1001,Productos!I$2:I1001,"")*$G481,"")</f>
        <v/>
      </c>
      <c r="Q481" s="179" t="str">
        <f t="array" ref="Q481">IF($F481&lt;&gt;"",XLOOKUP($F481,Productos!$A:$A,Productos!J:J,"Revisar"),"")</f>
        <v/>
      </c>
      <c r="R481" s="179" t="str">
        <f t="array" ref="R481">IF($F481&lt;&gt;"", XLOOKUP($F481,Productos!$A$2:$A1001,Productos!K$2:K1001,"")*$G481,"")</f>
        <v/>
      </c>
      <c r="S481" s="179" t="str">
        <f t="array" ref="S481">IF($F481&lt;&gt;"",XLOOKUP($F481,Productos!$A:$A,Productos!L:L,"Revisar"),"")</f>
        <v/>
      </c>
      <c r="T481" s="179" t="str">
        <f t="array" ref="T481">IF($F481&lt;&gt;"", XLOOKUP($F481,Productos!$A$2:$A1001,Productos!M$2:M1001,"")*$G481,"")</f>
        <v/>
      </c>
      <c r="U481" s="179" t="str">
        <f t="array" ref="U481">IF($F481&lt;&gt;"",XLOOKUP($F481,Productos!$A:$A,Productos!N:N,"Revisar"),"")</f>
        <v/>
      </c>
      <c r="V481" s="179" t="str">
        <f t="array" ref="V481">IF($F481&lt;&gt;"", XLOOKUP($F481,Productos!$A$2:$A1001,Productos!O$2:O1001,"")*$G481,"")</f>
        <v/>
      </c>
      <c r="W481" s="179" t="str">
        <f t="array" ref="W481">IF($F481&lt;&gt;"",XLOOKUP($F481,Productos!$A:$A,Productos!P:P,"Revisar"),"")</f>
        <v/>
      </c>
      <c r="X481" s="179" t="str">
        <f t="array" ref="X481">IF($F481&lt;&gt;"", XLOOKUP($F481,Productos!$A$2:$A1001,Productos!Q$2:Q1001,"")*$G481,"")</f>
        <v/>
      </c>
      <c r="Y481" s="179" t="str">
        <f t="array" ref="Y481">IF($F481&lt;&gt;"",XLOOKUP($F481,Productos!$A:$A,Productos!R:R,"Revisar"),"")</f>
        <v/>
      </c>
      <c r="Z481" s="179" t="str">
        <f t="array" ref="Z481">IF($F481&lt;&gt;"", XLOOKUP($F481,Productos!$A$2:$A1001,Productos!S$2:S1001,"")*$G481,"")</f>
        <v/>
      </c>
      <c r="AA481" s="179" t="str">
        <f t="array" ref="AA481">IF($F481&lt;&gt;"",XLOOKUP($F481,Productos!$A:$A,Productos!T:T,"Revisar"),"")</f>
        <v/>
      </c>
      <c r="AB481" s="179" t="str">
        <f t="array" ref="AB481">IF($F481&lt;&gt;"", XLOOKUP($F481,Productos!$A$2:$A1001,Productos!U$2:U1001,"")*$G481,"")</f>
        <v/>
      </c>
      <c r="AC481" s="179" t="str">
        <f t="array" ref="AC481">IF($F481&lt;&gt;"",XLOOKUP($F481,Productos!$A:$A,Productos!V:V,"Revisar"),"")</f>
        <v/>
      </c>
      <c r="AD481" s="179" t="str">
        <f t="array" ref="AD481">IF($F481&lt;&gt;"", XLOOKUP($F481,Productos!$A$2:$A1001,Productos!W$2:W1001,"")*$G481,"")</f>
        <v/>
      </c>
      <c r="AE481" s="179" t="str">
        <f t="array" ref="AE481">IF($F481&lt;&gt;"",XLOOKUP($F481,Productos!$A:$A,Productos!X:X,"Revisar"),"")</f>
        <v/>
      </c>
      <c r="AF481" s="179" t="str">
        <f t="array" ref="AF481">IF($F481&lt;&gt;"", XLOOKUP($F481,Productos!$A$2:$A1001,Productos!Y$2:Y1001,"")*$G481,"")</f>
        <v/>
      </c>
      <c r="AG481" s="179" t="str">
        <f t="array" ref="AG481">IF($F481&lt;&gt;"",XLOOKUP($F481,Productos!$A:$A,Productos!Z:Z,"Revisar"),"")</f>
        <v/>
      </c>
      <c r="AH481" s="179" t="str">
        <f t="array" ref="AH481">IF($F481&lt;&gt;"", XLOOKUP($F481,Productos!$A$2:$A1001,Productos!AA$2:AA1001,"")*$G481,"")</f>
        <v/>
      </c>
      <c r="AI481" s="179" t="str">
        <f t="array" ref="AI481">IF($F481&lt;&gt;"",XLOOKUP($F481,Productos!$A:$A,Productos!AB:AB,"Revisar"),"")</f>
        <v/>
      </c>
      <c r="AJ481" s="179" t="str">
        <f t="array" ref="AJ481">IF($F481&lt;&gt;"", XLOOKUP($F481,Productos!$A$2:$A1001,Productos!AC$2:AC1001,"")*$G481,"")</f>
        <v/>
      </c>
      <c r="AK481" s="179" t="str">
        <f t="array" ref="AK481">IF($F481&lt;&gt;"",XLOOKUP($F481,Productos!$A:$A,Productos!AD:AD,"Revisar"),"")</f>
        <v/>
      </c>
      <c r="AL481" s="179" t="str">
        <f t="array" ref="AL481">IF($F481&lt;&gt;"", XLOOKUP($F481,Productos!$A$2:$A1001,Productos!AE$2:AE1001,"")*$G481,"")</f>
        <v/>
      </c>
      <c r="AM481" s="179" t="str">
        <f t="array" ref="AM481">IF($F481&lt;&gt;"",XLOOKUP($F481,Productos!$A:$A,Productos!AF:AF,"Revisar"),"")</f>
        <v/>
      </c>
      <c r="AN481" s="179" t="str">
        <f t="array" ref="AN481">IF($F481&lt;&gt;"", XLOOKUP($F481,Productos!$A$2:$A1001,Productos!AG$2:AG1001,"")*$G481,"")</f>
        <v/>
      </c>
      <c r="AO481" s="179" t="str">
        <f t="array" ref="AO481">IF($F481&lt;&gt;"",XLOOKUP($F481,Productos!$A:$A,Productos!AH:AH,"Revisar"),"")</f>
        <v/>
      </c>
      <c r="AP481" s="179" t="str">
        <f t="array" ref="AP481">IF($F481&lt;&gt;"", XLOOKUP($F481,Productos!$A$2:$A1001,Productos!AI$2:AI1001,"")*$G481,"")</f>
        <v/>
      </c>
      <c r="AQ481" s="179" t="str">
        <f t="array" ref="AQ481">IF($F481&lt;&gt;"",XLOOKUP($F481,Productos!$A:$A,Productos!AJ:AJ,"Revisar"),"")</f>
        <v/>
      </c>
      <c r="AR481" s="179" t="str">
        <f t="array" ref="AR481">IF($F481&lt;&gt;"", XLOOKUP($F481,Productos!$A$2:$A1001,Productos!AK$2:AK1001,"")*$G481,"")</f>
        <v/>
      </c>
      <c r="AS481" s="179" t="str">
        <f t="array" ref="AS481">IF($F481&lt;&gt;"",XLOOKUP($F481,Productos!$A:$A,Productos!AL:AL,"Revisar"),"")</f>
        <v/>
      </c>
      <c r="AT481" s="179" t="str">
        <f t="array" ref="AT481">IF($F481&lt;&gt;"", XLOOKUP($F481,Productos!$A$2:$A1001,Productos!AM$2:AM1001,"")*$G481,"")</f>
        <v/>
      </c>
      <c r="AU481" s="179" t="str">
        <f t="array" ref="AU481">IF($F481&lt;&gt;"",XLOOKUP($F481,Productos!$A:$A,Productos!AN:AN,"Revisar"),"")</f>
        <v/>
      </c>
      <c r="AV481" s="179" t="str">
        <f t="array" ref="AV481">IF($F481&lt;&gt;"", XLOOKUP($F481,Productos!$A$2:$A1001,Productos!AO$2:AO1001,"")*$G481,"")</f>
        <v/>
      </c>
      <c r="AW481" s="179" t="str">
        <f t="array" ref="AW481">IF($F481&lt;&gt;"",XLOOKUP($F481,Productos!$A:$A,Productos!AP:AP,"Revisar"),"")</f>
        <v/>
      </c>
      <c r="AX481" s="179" t="str">
        <f t="array" ref="AX481">IF($F481&lt;&gt;"", XLOOKUP($F481,Productos!$A$2:$A1001,Productos!AQ$2:AQ1001,"")*$G481,"")</f>
        <v/>
      </c>
      <c r="AY481" s="179" t="str">
        <f t="array" ref="AY481">IF($F481&lt;&gt;"",XLOOKUP($F481,Productos!$A:$A,Productos!AR:AR,"Revisar"),"")</f>
        <v/>
      </c>
      <c r="AZ481" s="179" t="str">
        <f t="array" ref="AZ481">IF($F481&lt;&gt;"", XLOOKUP($F481,Productos!$A$2:$A1001,Productos!AS$2:AS1001,"")*$G481,"")</f>
        <v/>
      </c>
      <c r="BA481" s="179" t="str">
        <f t="array" ref="BA481">IF($F481&lt;&gt;"",XLOOKUP($F481,Productos!$A:$A,Productos!AT:AT,"Revisar"),"")</f>
        <v/>
      </c>
      <c r="BB481" s="179" t="str">
        <f t="array" ref="BB481">IF($F481&lt;&gt;"", XLOOKUP($F481,Productos!$A$2:$A1001,Productos!AU$2:AU1001,"")*$G481,"")</f>
        <v/>
      </c>
      <c r="BC481" s="179" t="str">
        <f t="array" ref="BC481">IF($F481&lt;&gt;"",XLOOKUP($F481,Productos!$A:$A,Productos!AV:AV,"Revisar"),"")</f>
        <v/>
      </c>
      <c r="BD481" s="179" t="str">
        <f t="array" ref="BD481">IF($F481&lt;&gt;"", XLOOKUP($F481,Productos!$A$2:$A1001,Productos!AW$2:AW1001,"")*$G481,"")</f>
        <v/>
      </c>
      <c r="BE481" s="179" t="str">
        <f t="array" ref="BE481">IF($F481&lt;&gt;"",XLOOKUP($F481,Productos!$A:$A,Productos!AX:AX,"Revisar"),"")</f>
        <v/>
      </c>
      <c r="BF481" s="179" t="str">
        <f t="array" ref="BF481">IF($F481&lt;&gt;"", XLOOKUP($F481,Productos!$A$2:$A1001,Productos!AY$2:AY1001,"")*$G481,"")</f>
        <v/>
      </c>
      <c r="BG481" s="179" t="str">
        <f t="array" ref="BG481">IF($F481&lt;&gt;"",XLOOKUP($F481,Productos!$A:$A,Productos!AZ:AZ,"Revisar"),"")</f>
        <v/>
      </c>
      <c r="BH481" s="179" t="str">
        <f t="array" ref="BH481">IF($F481&lt;&gt;"", XLOOKUP($F481,Productos!$A$2:$A1001,Productos!BA$2:BA1001,"")*$G481,"")</f>
        <v/>
      </c>
      <c r="BI481" s="179" t="str">
        <f t="array" ref="BI481">IF($F481&lt;&gt;"",XLOOKUP($F481,Productos!$A:$A,Productos!BB:BB,"Revisar"),"")</f>
        <v/>
      </c>
      <c r="BJ481" s="179" t="str">
        <f t="array" ref="BJ481">IF($F481&lt;&gt;"", XLOOKUP($F481,Productos!$A$2:$A1001,Productos!BC$2:BC1001,"")*$G481,"")</f>
        <v/>
      </c>
      <c r="BK481" s="179" t="str">
        <f t="array" ref="BK481">IF($F481&lt;&gt;"",XLOOKUP($F481,Productos!$A:$A,Productos!BD:BD,"Revisar"),"")</f>
        <v/>
      </c>
      <c r="BL481" s="179" t="str">
        <f t="array" ref="BL481">IF($F481&lt;&gt;"", XLOOKUP($F481,Productos!$A$2:$A1001,Productos!BE$2:BE1001,"")*$G481,"")</f>
        <v/>
      </c>
      <c r="BM481" s="179" t="str">
        <f t="array" ref="BM481">IF($F481&lt;&gt;"",XLOOKUP($F481,Productos!$A:$A,Productos!BF:BF,"Revisar"),"")</f>
        <v/>
      </c>
      <c r="BN481" s="179" t="str">
        <f t="array" ref="BN481">IF($F481&lt;&gt;"", XLOOKUP($F481,Productos!$A$2:$A1001,Productos!BG$2:BG1001,"")*$G481,"")</f>
        <v/>
      </c>
      <c r="BO481" s="179" t="str">
        <f t="array" ref="BO481">IF($F481&lt;&gt;"",XLOOKUP($F481,Productos!$A:$A,Productos!BH:BH,"Revisar"),"")</f>
        <v/>
      </c>
      <c r="BP481" s="179" t="str">
        <f t="array" ref="BP481">IF($F481&lt;&gt;"", XLOOKUP($F481,Productos!$A$2:$A1001,Productos!BI$2:BI1001,"")*$G481,"")</f>
        <v/>
      </c>
      <c r="BQ481" s="179" t="str">
        <f t="array" ref="BQ481">IF($F481&lt;&gt;"",XLOOKUP($F481,Productos!$A:$A,Productos!BJ:BJ,"Revisar"),"")</f>
        <v/>
      </c>
      <c r="BR481" s="179" t="str">
        <f t="array" ref="BR481">IF($F481&lt;&gt;"", XLOOKUP($F481,Productos!$A$2:$A1001,Productos!BK$2:BK1001,"")*$G481,"")</f>
        <v/>
      </c>
      <c r="BS481" s="179" t="str">
        <f t="array" ref="BS481">IF($F481&lt;&gt;"",XLOOKUP($F481,Productos!$A:$A,Productos!BL:BL,"Revisar"),"")</f>
        <v/>
      </c>
      <c r="BT481" s="179" t="str">
        <f t="array" ref="BT481">IF($F481&lt;&gt;"", XLOOKUP($F481,Productos!$A$2:$A1001,Productos!BM$2:BM1001,"")*$G481,"")</f>
        <v/>
      </c>
      <c r="BU481" s="179" t="str">
        <f t="array" ref="BU481">IF($F481&lt;&gt;"",XLOOKUP($F481,Productos!$A:$A,Productos!BN:BN,"Revisar"),"")</f>
        <v/>
      </c>
      <c r="BV481" s="179" t="str">
        <f t="array" ref="BV481">IF($F481&lt;&gt;"", XLOOKUP($F481,Productos!$A$2:$A1001,Productos!BO$2:BO1001,"")*$G481,"")</f>
        <v/>
      </c>
      <c r="BW481" s="179" t="str">
        <f t="array" ref="BW481">IF($F481&lt;&gt;"",XLOOKUP($F481,Productos!$A:$A,Productos!BP:BP,"Revisar"),"")</f>
        <v/>
      </c>
      <c r="BX481" s="179" t="str">
        <f t="array" ref="BX481">IF($F481&lt;&gt;"", XLOOKUP($F481,Productos!$A$2:$A1001,Productos!BQ$2:BQ1001,"")*$G481,"")</f>
        <v/>
      </c>
      <c r="BY481" s="179" t="str">
        <f t="array" ref="BY481">IF($F481&lt;&gt;"",XLOOKUP($F481,Productos!$A:$A,Productos!BR:BR,"Revisar"),"")</f>
        <v/>
      </c>
      <c r="BZ481" s="179" t="str">
        <f t="array" ref="BZ481">IF($F481&lt;&gt;"", XLOOKUP($F481,Productos!$A$2:$A1001,Productos!BS$2:BS1001,"")*$G481,"")</f>
        <v/>
      </c>
    </row>
    <row r="482">
      <c r="A482" s="188"/>
      <c r="B482" s="189"/>
      <c r="C482" s="190"/>
      <c r="D482" s="190"/>
      <c r="E482" s="191"/>
      <c r="F482" s="186"/>
      <c r="G482" s="192"/>
      <c r="H482" s="9"/>
      <c r="I482" s="179" t="str">
        <f t="array" ref="I482">IF($F482&lt;&gt;"",XLOOKUP($F482,Productos!$A:$A,Productos!B:B,"Revisar"),"")</f>
        <v/>
      </c>
      <c r="J482" s="179" t="str">
        <f t="array" ref="J482">IF($F482&lt;&gt;"", XLOOKUP($F482,Productos!$A$2:$A1001,Productos!C$2:C1001,"")*$G482,"")</f>
        <v/>
      </c>
      <c r="K482" s="179" t="str">
        <f t="array" ref="K482">IF($F482&lt;&gt;"",XLOOKUP($F482,Productos!$A:$A,Productos!D:D,"Revisar"),"")</f>
        <v/>
      </c>
      <c r="L482" s="179" t="str">
        <f t="array" ref="L482">IF($F482&lt;&gt;"", XLOOKUP($F482,Productos!$A$2:$A1001,Productos!E$2:E1001,"")*$G482,"")</f>
        <v/>
      </c>
      <c r="M482" s="179" t="str">
        <f t="array" ref="M482">IF($F482&lt;&gt;"",XLOOKUP($F482,Productos!$A:$A,Productos!F:F,"Revisar"),"")</f>
        <v/>
      </c>
      <c r="N482" s="179" t="str">
        <f t="array" ref="N482">IF($F482&lt;&gt;"", XLOOKUP($F482,Productos!$A$2:$A1001,Productos!G$2:G1001,"")*$G482,"")</f>
        <v/>
      </c>
      <c r="O482" s="179" t="str">
        <f t="array" ref="O482">IF($F482&lt;&gt;"",XLOOKUP($F482,Productos!$A:$A,Productos!H:H,"Revisar"),"")</f>
        <v/>
      </c>
      <c r="P482" s="179" t="str">
        <f t="array" ref="P482">IF($F482&lt;&gt;"", XLOOKUP($F482,Productos!$A$2:$A1001,Productos!I$2:I1001,"")*$G482,"")</f>
        <v/>
      </c>
      <c r="Q482" s="179" t="str">
        <f t="array" ref="Q482">IF($F482&lt;&gt;"",XLOOKUP($F482,Productos!$A:$A,Productos!J:J,"Revisar"),"")</f>
        <v/>
      </c>
      <c r="R482" s="179" t="str">
        <f t="array" ref="R482">IF($F482&lt;&gt;"", XLOOKUP($F482,Productos!$A$2:$A1001,Productos!K$2:K1001,"")*$G482,"")</f>
        <v/>
      </c>
      <c r="S482" s="179" t="str">
        <f t="array" ref="S482">IF($F482&lt;&gt;"",XLOOKUP($F482,Productos!$A:$A,Productos!L:L,"Revisar"),"")</f>
        <v/>
      </c>
      <c r="T482" s="179" t="str">
        <f t="array" ref="T482">IF($F482&lt;&gt;"", XLOOKUP($F482,Productos!$A$2:$A1001,Productos!M$2:M1001,"")*$G482,"")</f>
        <v/>
      </c>
      <c r="U482" s="179" t="str">
        <f t="array" ref="U482">IF($F482&lt;&gt;"",XLOOKUP($F482,Productos!$A:$A,Productos!N:N,"Revisar"),"")</f>
        <v/>
      </c>
      <c r="V482" s="179" t="str">
        <f t="array" ref="V482">IF($F482&lt;&gt;"", XLOOKUP($F482,Productos!$A$2:$A1001,Productos!O$2:O1001,"")*$G482,"")</f>
        <v/>
      </c>
      <c r="W482" s="179" t="str">
        <f t="array" ref="W482">IF($F482&lt;&gt;"",XLOOKUP($F482,Productos!$A:$A,Productos!P:P,"Revisar"),"")</f>
        <v/>
      </c>
      <c r="X482" s="179" t="str">
        <f t="array" ref="X482">IF($F482&lt;&gt;"", XLOOKUP($F482,Productos!$A$2:$A1001,Productos!Q$2:Q1001,"")*$G482,"")</f>
        <v/>
      </c>
      <c r="Y482" s="179" t="str">
        <f t="array" ref="Y482">IF($F482&lt;&gt;"",XLOOKUP($F482,Productos!$A:$A,Productos!R:R,"Revisar"),"")</f>
        <v/>
      </c>
      <c r="Z482" s="179" t="str">
        <f t="array" ref="Z482">IF($F482&lt;&gt;"", XLOOKUP($F482,Productos!$A$2:$A1001,Productos!S$2:S1001,"")*$G482,"")</f>
        <v/>
      </c>
      <c r="AA482" s="179" t="str">
        <f t="array" ref="AA482">IF($F482&lt;&gt;"",XLOOKUP($F482,Productos!$A:$A,Productos!T:T,"Revisar"),"")</f>
        <v/>
      </c>
      <c r="AB482" s="179" t="str">
        <f t="array" ref="AB482">IF($F482&lt;&gt;"", XLOOKUP($F482,Productos!$A$2:$A1001,Productos!U$2:U1001,"")*$G482,"")</f>
        <v/>
      </c>
      <c r="AC482" s="179" t="str">
        <f t="array" ref="AC482">IF($F482&lt;&gt;"",XLOOKUP($F482,Productos!$A:$A,Productos!V:V,"Revisar"),"")</f>
        <v/>
      </c>
      <c r="AD482" s="179" t="str">
        <f t="array" ref="AD482">IF($F482&lt;&gt;"", XLOOKUP($F482,Productos!$A$2:$A1001,Productos!W$2:W1001,"")*$G482,"")</f>
        <v/>
      </c>
      <c r="AE482" s="179" t="str">
        <f t="array" ref="AE482">IF($F482&lt;&gt;"",XLOOKUP($F482,Productos!$A:$A,Productos!X:X,"Revisar"),"")</f>
        <v/>
      </c>
      <c r="AF482" s="179" t="str">
        <f t="array" ref="AF482">IF($F482&lt;&gt;"", XLOOKUP($F482,Productos!$A$2:$A1001,Productos!Y$2:Y1001,"")*$G482,"")</f>
        <v/>
      </c>
      <c r="AG482" s="179" t="str">
        <f t="array" ref="AG482">IF($F482&lt;&gt;"",XLOOKUP($F482,Productos!$A:$A,Productos!Z:Z,"Revisar"),"")</f>
        <v/>
      </c>
      <c r="AH482" s="179" t="str">
        <f t="array" ref="AH482">IF($F482&lt;&gt;"", XLOOKUP($F482,Productos!$A$2:$A1001,Productos!AA$2:AA1001,"")*$G482,"")</f>
        <v/>
      </c>
      <c r="AI482" s="179" t="str">
        <f t="array" ref="AI482">IF($F482&lt;&gt;"",XLOOKUP($F482,Productos!$A:$A,Productos!AB:AB,"Revisar"),"")</f>
        <v/>
      </c>
      <c r="AJ482" s="179" t="str">
        <f t="array" ref="AJ482">IF($F482&lt;&gt;"", XLOOKUP($F482,Productos!$A$2:$A1001,Productos!AC$2:AC1001,"")*$G482,"")</f>
        <v/>
      </c>
      <c r="AK482" s="179" t="str">
        <f t="array" ref="AK482">IF($F482&lt;&gt;"",XLOOKUP($F482,Productos!$A:$A,Productos!AD:AD,"Revisar"),"")</f>
        <v/>
      </c>
      <c r="AL482" s="179" t="str">
        <f t="array" ref="AL482">IF($F482&lt;&gt;"", XLOOKUP($F482,Productos!$A$2:$A1001,Productos!AE$2:AE1001,"")*$G482,"")</f>
        <v/>
      </c>
      <c r="AM482" s="179" t="str">
        <f t="array" ref="AM482">IF($F482&lt;&gt;"",XLOOKUP($F482,Productos!$A:$A,Productos!AF:AF,"Revisar"),"")</f>
        <v/>
      </c>
      <c r="AN482" s="179" t="str">
        <f t="array" ref="AN482">IF($F482&lt;&gt;"", XLOOKUP($F482,Productos!$A$2:$A1001,Productos!AG$2:AG1001,"")*$G482,"")</f>
        <v/>
      </c>
      <c r="AO482" s="179" t="str">
        <f t="array" ref="AO482">IF($F482&lt;&gt;"",XLOOKUP($F482,Productos!$A:$A,Productos!AH:AH,"Revisar"),"")</f>
        <v/>
      </c>
      <c r="AP482" s="179" t="str">
        <f t="array" ref="AP482">IF($F482&lt;&gt;"", XLOOKUP($F482,Productos!$A$2:$A1001,Productos!AI$2:AI1001,"")*$G482,"")</f>
        <v/>
      </c>
      <c r="AQ482" s="179" t="str">
        <f t="array" ref="AQ482">IF($F482&lt;&gt;"",XLOOKUP($F482,Productos!$A:$A,Productos!AJ:AJ,"Revisar"),"")</f>
        <v/>
      </c>
      <c r="AR482" s="179" t="str">
        <f t="array" ref="AR482">IF($F482&lt;&gt;"", XLOOKUP($F482,Productos!$A$2:$A1001,Productos!AK$2:AK1001,"")*$G482,"")</f>
        <v/>
      </c>
      <c r="AS482" s="179" t="str">
        <f t="array" ref="AS482">IF($F482&lt;&gt;"",XLOOKUP($F482,Productos!$A:$A,Productos!AL:AL,"Revisar"),"")</f>
        <v/>
      </c>
      <c r="AT482" s="179" t="str">
        <f t="array" ref="AT482">IF($F482&lt;&gt;"", XLOOKUP($F482,Productos!$A$2:$A1001,Productos!AM$2:AM1001,"")*$G482,"")</f>
        <v/>
      </c>
      <c r="AU482" s="179" t="str">
        <f t="array" ref="AU482">IF($F482&lt;&gt;"",XLOOKUP($F482,Productos!$A:$A,Productos!AN:AN,"Revisar"),"")</f>
        <v/>
      </c>
      <c r="AV482" s="179" t="str">
        <f t="array" ref="AV482">IF($F482&lt;&gt;"", XLOOKUP($F482,Productos!$A$2:$A1001,Productos!AO$2:AO1001,"")*$G482,"")</f>
        <v/>
      </c>
      <c r="AW482" s="179" t="str">
        <f t="array" ref="AW482">IF($F482&lt;&gt;"",XLOOKUP($F482,Productos!$A:$A,Productos!AP:AP,"Revisar"),"")</f>
        <v/>
      </c>
      <c r="AX482" s="179" t="str">
        <f t="array" ref="AX482">IF($F482&lt;&gt;"", XLOOKUP($F482,Productos!$A$2:$A1001,Productos!AQ$2:AQ1001,"")*$G482,"")</f>
        <v/>
      </c>
      <c r="AY482" s="179" t="str">
        <f t="array" ref="AY482">IF($F482&lt;&gt;"",XLOOKUP($F482,Productos!$A:$A,Productos!AR:AR,"Revisar"),"")</f>
        <v/>
      </c>
      <c r="AZ482" s="179" t="str">
        <f t="array" ref="AZ482">IF($F482&lt;&gt;"", XLOOKUP($F482,Productos!$A$2:$A1001,Productos!AS$2:AS1001,"")*$G482,"")</f>
        <v/>
      </c>
      <c r="BA482" s="179" t="str">
        <f t="array" ref="BA482">IF($F482&lt;&gt;"",XLOOKUP($F482,Productos!$A:$A,Productos!AT:AT,"Revisar"),"")</f>
        <v/>
      </c>
      <c r="BB482" s="179" t="str">
        <f t="array" ref="BB482">IF($F482&lt;&gt;"", XLOOKUP($F482,Productos!$A$2:$A1001,Productos!AU$2:AU1001,"")*$G482,"")</f>
        <v/>
      </c>
      <c r="BC482" s="179" t="str">
        <f t="array" ref="BC482">IF($F482&lt;&gt;"",XLOOKUP($F482,Productos!$A:$A,Productos!AV:AV,"Revisar"),"")</f>
        <v/>
      </c>
      <c r="BD482" s="179" t="str">
        <f t="array" ref="BD482">IF($F482&lt;&gt;"", XLOOKUP($F482,Productos!$A$2:$A1001,Productos!AW$2:AW1001,"")*$G482,"")</f>
        <v/>
      </c>
      <c r="BE482" s="179" t="str">
        <f t="array" ref="BE482">IF($F482&lt;&gt;"",XLOOKUP($F482,Productos!$A:$A,Productos!AX:AX,"Revisar"),"")</f>
        <v/>
      </c>
      <c r="BF482" s="179" t="str">
        <f t="array" ref="BF482">IF($F482&lt;&gt;"", XLOOKUP($F482,Productos!$A$2:$A1001,Productos!AY$2:AY1001,"")*$G482,"")</f>
        <v/>
      </c>
      <c r="BG482" s="179" t="str">
        <f t="array" ref="BG482">IF($F482&lt;&gt;"",XLOOKUP($F482,Productos!$A:$A,Productos!AZ:AZ,"Revisar"),"")</f>
        <v/>
      </c>
      <c r="BH482" s="179" t="str">
        <f t="array" ref="BH482">IF($F482&lt;&gt;"", XLOOKUP($F482,Productos!$A$2:$A1001,Productos!BA$2:BA1001,"")*$G482,"")</f>
        <v/>
      </c>
      <c r="BI482" s="179" t="str">
        <f t="array" ref="BI482">IF($F482&lt;&gt;"",XLOOKUP($F482,Productos!$A:$A,Productos!BB:BB,"Revisar"),"")</f>
        <v/>
      </c>
      <c r="BJ482" s="179" t="str">
        <f t="array" ref="BJ482">IF($F482&lt;&gt;"", XLOOKUP($F482,Productos!$A$2:$A1001,Productos!BC$2:BC1001,"")*$G482,"")</f>
        <v/>
      </c>
      <c r="BK482" s="179" t="str">
        <f t="array" ref="BK482">IF($F482&lt;&gt;"",XLOOKUP($F482,Productos!$A:$A,Productos!BD:BD,"Revisar"),"")</f>
        <v/>
      </c>
      <c r="BL482" s="179" t="str">
        <f t="array" ref="BL482">IF($F482&lt;&gt;"", XLOOKUP($F482,Productos!$A$2:$A1001,Productos!BE$2:BE1001,"")*$G482,"")</f>
        <v/>
      </c>
      <c r="BM482" s="179" t="str">
        <f t="array" ref="BM482">IF($F482&lt;&gt;"",XLOOKUP($F482,Productos!$A:$A,Productos!BF:BF,"Revisar"),"")</f>
        <v/>
      </c>
      <c r="BN482" s="179" t="str">
        <f t="array" ref="BN482">IF($F482&lt;&gt;"", XLOOKUP($F482,Productos!$A$2:$A1001,Productos!BG$2:BG1001,"")*$G482,"")</f>
        <v/>
      </c>
      <c r="BO482" s="179" t="str">
        <f t="array" ref="BO482">IF($F482&lt;&gt;"",XLOOKUP($F482,Productos!$A:$A,Productos!BH:BH,"Revisar"),"")</f>
        <v/>
      </c>
      <c r="BP482" s="179" t="str">
        <f t="array" ref="BP482">IF($F482&lt;&gt;"", XLOOKUP($F482,Productos!$A$2:$A1001,Productos!BI$2:BI1001,"")*$G482,"")</f>
        <v/>
      </c>
      <c r="BQ482" s="179" t="str">
        <f t="array" ref="BQ482">IF($F482&lt;&gt;"",XLOOKUP($F482,Productos!$A:$A,Productos!BJ:BJ,"Revisar"),"")</f>
        <v/>
      </c>
      <c r="BR482" s="179" t="str">
        <f t="array" ref="BR482">IF($F482&lt;&gt;"", XLOOKUP($F482,Productos!$A$2:$A1001,Productos!BK$2:BK1001,"")*$G482,"")</f>
        <v/>
      </c>
      <c r="BS482" s="179" t="str">
        <f t="array" ref="BS482">IF($F482&lt;&gt;"",XLOOKUP($F482,Productos!$A:$A,Productos!BL:BL,"Revisar"),"")</f>
        <v/>
      </c>
      <c r="BT482" s="179" t="str">
        <f t="array" ref="BT482">IF($F482&lt;&gt;"", XLOOKUP($F482,Productos!$A$2:$A1001,Productos!BM$2:BM1001,"")*$G482,"")</f>
        <v/>
      </c>
      <c r="BU482" s="179" t="str">
        <f t="array" ref="BU482">IF($F482&lt;&gt;"",XLOOKUP($F482,Productos!$A:$A,Productos!BN:BN,"Revisar"),"")</f>
        <v/>
      </c>
      <c r="BV482" s="179" t="str">
        <f t="array" ref="BV482">IF($F482&lt;&gt;"", XLOOKUP($F482,Productos!$A$2:$A1001,Productos!BO$2:BO1001,"")*$G482,"")</f>
        <v/>
      </c>
      <c r="BW482" s="179" t="str">
        <f t="array" ref="BW482">IF($F482&lt;&gt;"",XLOOKUP($F482,Productos!$A:$A,Productos!BP:BP,"Revisar"),"")</f>
        <v/>
      </c>
      <c r="BX482" s="179" t="str">
        <f t="array" ref="BX482">IF($F482&lt;&gt;"", XLOOKUP($F482,Productos!$A$2:$A1001,Productos!BQ$2:BQ1001,"")*$G482,"")</f>
        <v/>
      </c>
      <c r="BY482" s="179" t="str">
        <f t="array" ref="BY482">IF($F482&lt;&gt;"",XLOOKUP($F482,Productos!$A:$A,Productos!BR:BR,"Revisar"),"")</f>
        <v/>
      </c>
      <c r="BZ482" s="179" t="str">
        <f t="array" ref="BZ482">IF($F482&lt;&gt;"", XLOOKUP($F482,Productos!$A$2:$A1001,Productos!BS$2:BS1001,"")*$G482,"")</f>
        <v/>
      </c>
    </row>
    <row r="483">
      <c r="A483" s="188"/>
      <c r="B483" s="189"/>
      <c r="C483" s="190"/>
      <c r="D483" s="190"/>
      <c r="E483" s="191"/>
      <c r="F483" s="186"/>
      <c r="G483" s="192"/>
      <c r="H483" s="9"/>
      <c r="I483" s="179" t="str">
        <f t="array" ref="I483">IF($F483&lt;&gt;"",XLOOKUP($F483,Productos!$A:$A,Productos!B:B,"Revisar"),"")</f>
        <v/>
      </c>
      <c r="J483" s="179" t="str">
        <f t="array" ref="J483">IF($F483&lt;&gt;"", XLOOKUP($F483,Productos!$A$2:$A1001,Productos!C$2:C1001,"")*$G483,"")</f>
        <v/>
      </c>
      <c r="K483" s="179" t="str">
        <f t="array" ref="K483">IF($F483&lt;&gt;"",XLOOKUP($F483,Productos!$A:$A,Productos!D:D,"Revisar"),"")</f>
        <v/>
      </c>
      <c r="L483" s="179" t="str">
        <f t="array" ref="L483">IF($F483&lt;&gt;"", XLOOKUP($F483,Productos!$A$2:$A1001,Productos!E$2:E1001,"")*$G483,"")</f>
        <v/>
      </c>
      <c r="M483" s="179" t="str">
        <f t="array" ref="M483">IF($F483&lt;&gt;"",XLOOKUP($F483,Productos!$A:$A,Productos!F:F,"Revisar"),"")</f>
        <v/>
      </c>
      <c r="N483" s="179" t="str">
        <f t="array" ref="N483">IF($F483&lt;&gt;"", XLOOKUP($F483,Productos!$A$2:$A1001,Productos!G$2:G1001,"")*$G483,"")</f>
        <v/>
      </c>
      <c r="O483" s="179" t="str">
        <f t="array" ref="O483">IF($F483&lt;&gt;"",XLOOKUP($F483,Productos!$A:$A,Productos!H:H,"Revisar"),"")</f>
        <v/>
      </c>
      <c r="P483" s="179" t="str">
        <f t="array" ref="P483">IF($F483&lt;&gt;"", XLOOKUP($F483,Productos!$A$2:$A1001,Productos!I$2:I1001,"")*$G483,"")</f>
        <v/>
      </c>
      <c r="Q483" s="179" t="str">
        <f t="array" ref="Q483">IF($F483&lt;&gt;"",XLOOKUP($F483,Productos!$A:$A,Productos!J:J,"Revisar"),"")</f>
        <v/>
      </c>
      <c r="R483" s="179" t="str">
        <f t="array" ref="R483">IF($F483&lt;&gt;"", XLOOKUP($F483,Productos!$A$2:$A1001,Productos!K$2:K1001,"")*$G483,"")</f>
        <v/>
      </c>
      <c r="S483" s="179" t="str">
        <f t="array" ref="S483">IF($F483&lt;&gt;"",XLOOKUP($F483,Productos!$A:$A,Productos!L:L,"Revisar"),"")</f>
        <v/>
      </c>
      <c r="T483" s="179" t="str">
        <f t="array" ref="T483">IF($F483&lt;&gt;"", XLOOKUP($F483,Productos!$A$2:$A1001,Productos!M$2:M1001,"")*$G483,"")</f>
        <v/>
      </c>
      <c r="U483" s="179" t="str">
        <f t="array" ref="U483">IF($F483&lt;&gt;"",XLOOKUP($F483,Productos!$A:$A,Productos!N:N,"Revisar"),"")</f>
        <v/>
      </c>
      <c r="V483" s="179" t="str">
        <f t="array" ref="V483">IF($F483&lt;&gt;"", XLOOKUP($F483,Productos!$A$2:$A1001,Productos!O$2:O1001,"")*$G483,"")</f>
        <v/>
      </c>
      <c r="W483" s="179" t="str">
        <f t="array" ref="W483">IF($F483&lt;&gt;"",XLOOKUP($F483,Productos!$A:$A,Productos!P:P,"Revisar"),"")</f>
        <v/>
      </c>
      <c r="X483" s="179" t="str">
        <f t="array" ref="X483">IF($F483&lt;&gt;"", XLOOKUP($F483,Productos!$A$2:$A1001,Productos!Q$2:Q1001,"")*$G483,"")</f>
        <v/>
      </c>
      <c r="Y483" s="179" t="str">
        <f t="array" ref="Y483">IF($F483&lt;&gt;"",XLOOKUP($F483,Productos!$A:$A,Productos!R:R,"Revisar"),"")</f>
        <v/>
      </c>
      <c r="Z483" s="179" t="str">
        <f t="array" ref="Z483">IF($F483&lt;&gt;"", XLOOKUP($F483,Productos!$A$2:$A1001,Productos!S$2:S1001,"")*$G483,"")</f>
        <v/>
      </c>
      <c r="AA483" s="179" t="str">
        <f t="array" ref="AA483">IF($F483&lt;&gt;"",XLOOKUP($F483,Productos!$A:$A,Productos!T:T,"Revisar"),"")</f>
        <v/>
      </c>
      <c r="AB483" s="179" t="str">
        <f t="array" ref="AB483">IF($F483&lt;&gt;"", XLOOKUP($F483,Productos!$A$2:$A1001,Productos!U$2:U1001,"")*$G483,"")</f>
        <v/>
      </c>
      <c r="AC483" s="179" t="str">
        <f t="array" ref="AC483">IF($F483&lt;&gt;"",XLOOKUP($F483,Productos!$A:$A,Productos!V:V,"Revisar"),"")</f>
        <v/>
      </c>
      <c r="AD483" s="179" t="str">
        <f t="array" ref="AD483">IF($F483&lt;&gt;"", XLOOKUP($F483,Productos!$A$2:$A1001,Productos!W$2:W1001,"")*$G483,"")</f>
        <v/>
      </c>
      <c r="AE483" s="179" t="str">
        <f t="array" ref="AE483">IF($F483&lt;&gt;"",XLOOKUP($F483,Productos!$A:$A,Productos!X:X,"Revisar"),"")</f>
        <v/>
      </c>
      <c r="AF483" s="179" t="str">
        <f t="array" ref="AF483">IF($F483&lt;&gt;"", XLOOKUP($F483,Productos!$A$2:$A1001,Productos!Y$2:Y1001,"")*$G483,"")</f>
        <v/>
      </c>
      <c r="AG483" s="179" t="str">
        <f t="array" ref="AG483">IF($F483&lt;&gt;"",XLOOKUP($F483,Productos!$A:$A,Productos!Z:Z,"Revisar"),"")</f>
        <v/>
      </c>
      <c r="AH483" s="179" t="str">
        <f t="array" ref="AH483">IF($F483&lt;&gt;"", XLOOKUP($F483,Productos!$A$2:$A1001,Productos!AA$2:AA1001,"")*$G483,"")</f>
        <v/>
      </c>
      <c r="AI483" s="179" t="str">
        <f t="array" ref="AI483">IF($F483&lt;&gt;"",XLOOKUP($F483,Productos!$A:$A,Productos!AB:AB,"Revisar"),"")</f>
        <v/>
      </c>
      <c r="AJ483" s="179" t="str">
        <f t="array" ref="AJ483">IF($F483&lt;&gt;"", XLOOKUP($F483,Productos!$A$2:$A1001,Productos!AC$2:AC1001,"")*$G483,"")</f>
        <v/>
      </c>
      <c r="AK483" s="179" t="str">
        <f t="array" ref="AK483">IF($F483&lt;&gt;"",XLOOKUP($F483,Productos!$A:$A,Productos!AD:AD,"Revisar"),"")</f>
        <v/>
      </c>
      <c r="AL483" s="179" t="str">
        <f t="array" ref="AL483">IF($F483&lt;&gt;"", XLOOKUP($F483,Productos!$A$2:$A1001,Productos!AE$2:AE1001,"")*$G483,"")</f>
        <v/>
      </c>
      <c r="AM483" s="179" t="str">
        <f t="array" ref="AM483">IF($F483&lt;&gt;"",XLOOKUP($F483,Productos!$A:$A,Productos!AF:AF,"Revisar"),"")</f>
        <v/>
      </c>
      <c r="AN483" s="179" t="str">
        <f t="array" ref="AN483">IF($F483&lt;&gt;"", XLOOKUP($F483,Productos!$A$2:$A1001,Productos!AG$2:AG1001,"")*$G483,"")</f>
        <v/>
      </c>
      <c r="AO483" s="179" t="str">
        <f t="array" ref="AO483">IF($F483&lt;&gt;"",XLOOKUP($F483,Productos!$A:$A,Productos!AH:AH,"Revisar"),"")</f>
        <v/>
      </c>
      <c r="AP483" s="179" t="str">
        <f t="array" ref="AP483">IF($F483&lt;&gt;"", XLOOKUP($F483,Productos!$A$2:$A1001,Productos!AI$2:AI1001,"")*$G483,"")</f>
        <v/>
      </c>
      <c r="AQ483" s="179" t="str">
        <f t="array" ref="AQ483">IF($F483&lt;&gt;"",XLOOKUP($F483,Productos!$A:$A,Productos!AJ:AJ,"Revisar"),"")</f>
        <v/>
      </c>
      <c r="AR483" s="179" t="str">
        <f t="array" ref="AR483">IF($F483&lt;&gt;"", XLOOKUP($F483,Productos!$A$2:$A1001,Productos!AK$2:AK1001,"")*$G483,"")</f>
        <v/>
      </c>
      <c r="AS483" s="179" t="str">
        <f t="array" ref="AS483">IF($F483&lt;&gt;"",XLOOKUP($F483,Productos!$A:$A,Productos!AL:AL,"Revisar"),"")</f>
        <v/>
      </c>
      <c r="AT483" s="179" t="str">
        <f t="array" ref="AT483">IF($F483&lt;&gt;"", XLOOKUP($F483,Productos!$A$2:$A1001,Productos!AM$2:AM1001,"")*$G483,"")</f>
        <v/>
      </c>
      <c r="AU483" s="179" t="str">
        <f t="array" ref="AU483">IF($F483&lt;&gt;"",XLOOKUP($F483,Productos!$A:$A,Productos!AN:AN,"Revisar"),"")</f>
        <v/>
      </c>
      <c r="AV483" s="179" t="str">
        <f t="array" ref="AV483">IF($F483&lt;&gt;"", XLOOKUP($F483,Productos!$A$2:$A1001,Productos!AO$2:AO1001,"")*$G483,"")</f>
        <v/>
      </c>
      <c r="AW483" s="179" t="str">
        <f t="array" ref="AW483">IF($F483&lt;&gt;"",XLOOKUP($F483,Productos!$A:$A,Productos!AP:AP,"Revisar"),"")</f>
        <v/>
      </c>
      <c r="AX483" s="179" t="str">
        <f t="array" ref="AX483">IF($F483&lt;&gt;"", XLOOKUP($F483,Productos!$A$2:$A1001,Productos!AQ$2:AQ1001,"")*$G483,"")</f>
        <v/>
      </c>
      <c r="AY483" s="179" t="str">
        <f t="array" ref="AY483">IF($F483&lt;&gt;"",XLOOKUP($F483,Productos!$A:$A,Productos!AR:AR,"Revisar"),"")</f>
        <v/>
      </c>
      <c r="AZ483" s="179" t="str">
        <f t="array" ref="AZ483">IF($F483&lt;&gt;"", XLOOKUP($F483,Productos!$A$2:$A1001,Productos!AS$2:AS1001,"")*$G483,"")</f>
        <v/>
      </c>
      <c r="BA483" s="179" t="str">
        <f t="array" ref="BA483">IF($F483&lt;&gt;"",XLOOKUP($F483,Productos!$A:$A,Productos!AT:AT,"Revisar"),"")</f>
        <v/>
      </c>
      <c r="BB483" s="179" t="str">
        <f t="array" ref="BB483">IF($F483&lt;&gt;"", XLOOKUP($F483,Productos!$A$2:$A1001,Productos!AU$2:AU1001,"")*$G483,"")</f>
        <v/>
      </c>
      <c r="BC483" s="179" t="str">
        <f t="array" ref="BC483">IF($F483&lt;&gt;"",XLOOKUP($F483,Productos!$A:$A,Productos!AV:AV,"Revisar"),"")</f>
        <v/>
      </c>
      <c r="BD483" s="179" t="str">
        <f t="array" ref="BD483">IF($F483&lt;&gt;"", XLOOKUP($F483,Productos!$A$2:$A1001,Productos!AW$2:AW1001,"")*$G483,"")</f>
        <v/>
      </c>
      <c r="BE483" s="179" t="str">
        <f t="array" ref="BE483">IF($F483&lt;&gt;"",XLOOKUP($F483,Productos!$A:$A,Productos!AX:AX,"Revisar"),"")</f>
        <v/>
      </c>
      <c r="BF483" s="179" t="str">
        <f t="array" ref="BF483">IF($F483&lt;&gt;"", XLOOKUP($F483,Productos!$A$2:$A1001,Productos!AY$2:AY1001,"")*$G483,"")</f>
        <v/>
      </c>
      <c r="BG483" s="179" t="str">
        <f t="array" ref="BG483">IF($F483&lt;&gt;"",XLOOKUP($F483,Productos!$A:$A,Productos!AZ:AZ,"Revisar"),"")</f>
        <v/>
      </c>
      <c r="BH483" s="179" t="str">
        <f t="array" ref="BH483">IF($F483&lt;&gt;"", XLOOKUP($F483,Productos!$A$2:$A1001,Productos!BA$2:BA1001,"")*$G483,"")</f>
        <v/>
      </c>
      <c r="BI483" s="179" t="str">
        <f t="array" ref="BI483">IF($F483&lt;&gt;"",XLOOKUP($F483,Productos!$A:$A,Productos!BB:BB,"Revisar"),"")</f>
        <v/>
      </c>
      <c r="BJ483" s="179" t="str">
        <f t="array" ref="BJ483">IF($F483&lt;&gt;"", XLOOKUP($F483,Productos!$A$2:$A1001,Productos!BC$2:BC1001,"")*$G483,"")</f>
        <v/>
      </c>
      <c r="BK483" s="179" t="str">
        <f t="array" ref="BK483">IF($F483&lt;&gt;"",XLOOKUP($F483,Productos!$A:$A,Productos!BD:BD,"Revisar"),"")</f>
        <v/>
      </c>
      <c r="BL483" s="179" t="str">
        <f t="array" ref="BL483">IF($F483&lt;&gt;"", XLOOKUP($F483,Productos!$A$2:$A1001,Productos!BE$2:BE1001,"")*$G483,"")</f>
        <v/>
      </c>
      <c r="BM483" s="179" t="str">
        <f t="array" ref="BM483">IF($F483&lt;&gt;"",XLOOKUP($F483,Productos!$A:$A,Productos!BF:BF,"Revisar"),"")</f>
        <v/>
      </c>
      <c r="BN483" s="179" t="str">
        <f t="array" ref="BN483">IF($F483&lt;&gt;"", XLOOKUP($F483,Productos!$A$2:$A1001,Productos!BG$2:BG1001,"")*$G483,"")</f>
        <v/>
      </c>
      <c r="BO483" s="179" t="str">
        <f t="array" ref="BO483">IF($F483&lt;&gt;"",XLOOKUP($F483,Productos!$A:$A,Productos!BH:BH,"Revisar"),"")</f>
        <v/>
      </c>
      <c r="BP483" s="179" t="str">
        <f t="array" ref="BP483">IF($F483&lt;&gt;"", XLOOKUP($F483,Productos!$A$2:$A1001,Productos!BI$2:BI1001,"")*$G483,"")</f>
        <v/>
      </c>
      <c r="BQ483" s="179" t="str">
        <f t="array" ref="BQ483">IF($F483&lt;&gt;"",XLOOKUP($F483,Productos!$A:$A,Productos!BJ:BJ,"Revisar"),"")</f>
        <v/>
      </c>
      <c r="BR483" s="179" t="str">
        <f t="array" ref="BR483">IF($F483&lt;&gt;"", XLOOKUP($F483,Productos!$A$2:$A1001,Productos!BK$2:BK1001,"")*$G483,"")</f>
        <v/>
      </c>
      <c r="BS483" s="179" t="str">
        <f t="array" ref="BS483">IF($F483&lt;&gt;"",XLOOKUP($F483,Productos!$A:$A,Productos!BL:BL,"Revisar"),"")</f>
        <v/>
      </c>
      <c r="BT483" s="179" t="str">
        <f t="array" ref="BT483">IF($F483&lt;&gt;"", XLOOKUP($F483,Productos!$A$2:$A1001,Productos!BM$2:BM1001,"")*$G483,"")</f>
        <v/>
      </c>
      <c r="BU483" s="179" t="str">
        <f t="array" ref="BU483">IF($F483&lt;&gt;"",XLOOKUP($F483,Productos!$A:$A,Productos!BN:BN,"Revisar"),"")</f>
        <v/>
      </c>
      <c r="BV483" s="179" t="str">
        <f t="array" ref="BV483">IF($F483&lt;&gt;"", XLOOKUP($F483,Productos!$A$2:$A1001,Productos!BO$2:BO1001,"")*$G483,"")</f>
        <v/>
      </c>
      <c r="BW483" s="179" t="str">
        <f t="array" ref="BW483">IF($F483&lt;&gt;"",XLOOKUP($F483,Productos!$A:$A,Productos!BP:BP,"Revisar"),"")</f>
        <v/>
      </c>
      <c r="BX483" s="179" t="str">
        <f t="array" ref="BX483">IF($F483&lt;&gt;"", XLOOKUP($F483,Productos!$A$2:$A1001,Productos!BQ$2:BQ1001,"")*$G483,"")</f>
        <v/>
      </c>
      <c r="BY483" s="179" t="str">
        <f t="array" ref="BY483">IF($F483&lt;&gt;"",XLOOKUP($F483,Productos!$A:$A,Productos!BR:BR,"Revisar"),"")</f>
        <v/>
      </c>
      <c r="BZ483" s="179" t="str">
        <f t="array" ref="BZ483">IF($F483&lt;&gt;"", XLOOKUP($F483,Productos!$A$2:$A1001,Productos!BS$2:BS1001,"")*$G483,"")</f>
        <v/>
      </c>
    </row>
    <row r="484">
      <c r="A484" s="188"/>
      <c r="B484" s="189"/>
      <c r="C484" s="190"/>
      <c r="D484" s="190"/>
      <c r="E484" s="191"/>
      <c r="F484" s="186"/>
      <c r="G484" s="192"/>
      <c r="H484" s="9"/>
      <c r="I484" s="179" t="str">
        <f t="array" ref="I484">IF($F484&lt;&gt;"",XLOOKUP($F484,Productos!$A:$A,Productos!B:B,"Revisar"),"")</f>
        <v/>
      </c>
      <c r="J484" s="179" t="str">
        <f t="array" ref="J484">IF($F484&lt;&gt;"", XLOOKUP($F484,Productos!$A$2:$A1001,Productos!C$2:C1001,"")*$G484,"")</f>
        <v/>
      </c>
      <c r="K484" s="179" t="str">
        <f t="array" ref="K484">IF($F484&lt;&gt;"",XLOOKUP($F484,Productos!$A:$A,Productos!D:D,"Revisar"),"")</f>
        <v/>
      </c>
      <c r="L484" s="179" t="str">
        <f t="array" ref="L484">IF($F484&lt;&gt;"", XLOOKUP($F484,Productos!$A$2:$A1001,Productos!E$2:E1001,"")*$G484,"")</f>
        <v/>
      </c>
      <c r="M484" s="179" t="str">
        <f t="array" ref="M484">IF($F484&lt;&gt;"",XLOOKUP($F484,Productos!$A:$A,Productos!F:F,"Revisar"),"")</f>
        <v/>
      </c>
      <c r="N484" s="179" t="str">
        <f t="array" ref="N484">IF($F484&lt;&gt;"", XLOOKUP($F484,Productos!$A$2:$A1001,Productos!G$2:G1001,"")*$G484,"")</f>
        <v/>
      </c>
      <c r="O484" s="179" t="str">
        <f t="array" ref="O484">IF($F484&lt;&gt;"",XLOOKUP($F484,Productos!$A:$A,Productos!H:H,"Revisar"),"")</f>
        <v/>
      </c>
      <c r="P484" s="179" t="str">
        <f t="array" ref="P484">IF($F484&lt;&gt;"", XLOOKUP($F484,Productos!$A$2:$A1001,Productos!I$2:I1001,"")*$G484,"")</f>
        <v/>
      </c>
      <c r="Q484" s="179" t="str">
        <f t="array" ref="Q484">IF($F484&lt;&gt;"",XLOOKUP($F484,Productos!$A:$A,Productos!J:J,"Revisar"),"")</f>
        <v/>
      </c>
      <c r="R484" s="179" t="str">
        <f t="array" ref="R484">IF($F484&lt;&gt;"", XLOOKUP($F484,Productos!$A$2:$A1001,Productos!K$2:K1001,"")*$G484,"")</f>
        <v/>
      </c>
      <c r="S484" s="179" t="str">
        <f t="array" ref="S484">IF($F484&lt;&gt;"",XLOOKUP($F484,Productos!$A:$A,Productos!L:L,"Revisar"),"")</f>
        <v/>
      </c>
      <c r="T484" s="179" t="str">
        <f t="array" ref="T484">IF($F484&lt;&gt;"", XLOOKUP($F484,Productos!$A$2:$A1001,Productos!M$2:M1001,"")*$G484,"")</f>
        <v/>
      </c>
      <c r="U484" s="179" t="str">
        <f t="array" ref="U484">IF($F484&lt;&gt;"",XLOOKUP($F484,Productos!$A:$A,Productos!N:N,"Revisar"),"")</f>
        <v/>
      </c>
      <c r="V484" s="179" t="str">
        <f t="array" ref="V484">IF($F484&lt;&gt;"", XLOOKUP($F484,Productos!$A$2:$A1001,Productos!O$2:O1001,"")*$G484,"")</f>
        <v/>
      </c>
      <c r="W484" s="179" t="str">
        <f t="array" ref="W484">IF($F484&lt;&gt;"",XLOOKUP($F484,Productos!$A:$A,Productos!P:P,"Revisar"),"")</f>
        <v/>
      </c>
      <c r="X484" s="179" t="str">
        <f t="array" ref="X484">IF($F484&lt;&gt;"", XLOOKUP($F484,Productos!$A$2:$A1001,Productos!Q$2:Q1001,"")*$G484,"")</f>
        <v/>
      </c>
      <c r="Y484" s="179" t="str">
        <f t="array" ref="Y484">IF($F484&lt;&gt;"",XLOOKUP($F484,Productos!$A:$A,Productos!R:R,"Revisar"),"")</f>
        <v/>
      </c>
      <c r="Z484" s="179" t="str">
        <f t="array" ref="Z484">IF($F484&lt;&gt;"", XLOOKUP($F484,Productos!$A$2:$A1001,Productos!S$2:S1001,"")*$G484,"")</f>
        <v/>
      </c>
      <c r="AA484" s="179" t="str">
        <f t="array" ref="AA484">IF($F484&lt;&gt;"",XLOOKUP($F484,Productos!$A:$A,Productos!T:T,"Revisar"),"")</f>
        <v/>
      </c>
      <c r="AB484" s="179" t="str">
        <f t="array" ref="AB484">IF($F484&lt;&gt;"", XLOOKUP($F484,Productos!$A$2:$A1001,Productos!U$2:U1001,"")*$G484,"")</f>
        <v/>
      </c>
      <c r="AC484" s="179" t="str">
        <f t="array" ref="AC484">IF($F484&lt;&gt;"",XLOOKUP($F484,Productos!$A:$A,Productos!V:V,"Revisar"),"")</f>
        <v/>
      </c>
      <c r="AD484" s="179" t="str">
        <f t="array" ref="AD484">IF($F484&lt;&gt;"", XLOOKUP($F484,Productos!$A$2:$A1001,Productos!W$2:W1001,"")*$G484,"")</f>
        <v/>
      </c>
      <c r="AE484" s="179" t="str">
        <f t="array" ref="AE484">IF($F484&lt;&gt;"",XLOOKUP($F484,Productos!$A:$A,Productos!X:X,"Revisar"),"")</f>
        <v/>
      </c>
      <c r="AF484" s="179" t="str">
        <f t="array" ref="AF484">IF($F484&lt;&gt;"", XLOOKUP($F484,Productos!$A$2:$A1001,Productos!Y$2:Y1001,"")*$G484,"")</f>
        <v/>
      </c>
      <c r="AG484" s="179" t="str">
        <f t="array" ref="AG484">IF($F484&lt;&gt;"",XLOOKUP($F484,Productos!$A:$A,Productos!Z:Z,"Revisar"),"")</f>
        <v/>
      </c>
      <c r="AH484" s="179" t="str">
        <f t="array" ref="AH484">IF($F484&lt;&gt;"", XLOOKUP($F484,Productos!$A$2:$A1001,Productos!AA$2:AA1001,"")*$G484,"")</f>
        <v/>
      </c>
      <c r="AI484" s="179" t="str">
        <f t="array" ref="AI484">IF($F484&lt;&gt;"",XLOOKUP($F484,Productos!$A:$A,Productos!AB:AB,"Revisar"),"")</f>
        <v/>
      </c>
      <c r="AJ484" s="179" t="str">
        <f t="array" ref="AJ484">IF($F484&lt;&gt;"", XLOOKUP($F484,Productos!$A$2:$A1001,Productos!AC$2:AC1001,"")*$G484,"")</f>
        <v/>
      </c>
      <c r="AK484" s="179" t="str">
        <f t="array" ref="AK484">IF($F484&lt;&gt;"",XLOOKUP($F484,Productos!$A:$A,Productos!AD:AD,"Revisar"),"")</f>
        <v/>
      </c>
      <c r="AL484" s="179" t="str">
        <f t="array" ref="AL484">IF($F484&lt;&gt;"", XLOOKUP($F484,Productos!$A$2:$A1001,Productos!AE$2:AE1001,"")*$G484,"")</f>
        <v/>
      </c>
      <c r="AM484" s="179" t="str">
        <f t="array" ref="AM484">IF($F484&lt;&gt;"",XLOOKUP($F484,Productos!$A:$A,Productos!AF:AF,"Revisar"),"")</f>
        <v/>
      </c>
      <c r="AN484" s="179" t="str">
        <f t="array" ref="AN484">IF($F484&lt;&gt;"", XLOOKUP($F484,Productos!$A$2:$A1001,Productos!AG$2:AG1001,"")*$G484,"")</f>
        <v/>
      </c>
      <c r="AO484" s="179" t="str">
        <f t="array" ref="AO484">IF($F484&lt;&gt;"",XLOOKUP($F484,Productos!$A:$A,Productos!AH:AH,"Revisar"),"")</f>
        <v/>
      </c>
      <c r="AP484" s="179" t="str">
        <f t="array" ref="AP484">IF($F484&lt;&gt;"", XLOOKUP($F484,Productos!$A$2:$A1001,Productos!AI$2:AI1001,"")*$G484,"")</f>
        <v/>
      </c>
      <c r="AQ484" s="179" t="str">
        <f t="array" ref="AQ484">IF($F484&lt;&gt;"",XLOOKUP($F484,Productos!$A:$A,Productos!AJ:AJ,"Revisar"),"")</f>
        <v/>
      </c>
      <c r="AR484" s="179" t="str">
        <f t="array" ref="AR484">IF($F484&lt;&gt;"", XLOOKUP($F484,Productos!$A$2:$A1001,Productos!AK$2:AK1001,"")*$G484,"")</f>
        <v/>
      </c>
      <c r="AS484" s="179" t="str">
        <f t="array" ref="AS484">IF($F484&lt;&gt;"",XLOOKUP($F484,Productos!$A:$A,Productos!AL:AL,"Revisar"),"")</f>
        <v/>
      </c>
      <c r="AT484" s="179" t="str">
        <f t="array" ref="AT484">IF($F484&lt;&gt;"", XLOOKUP($F484,Productos!$A$2:$A1001,Productos!AM$2:AM1001,"")*$G484,"")</f>
        <v/>
      </c>
      <c r="AU484" s="179" t="str">
        <f t="array" ref="AU484">IF($F484&lt;&gt;"",XLOOKUP($F484,Productos!$A:$A,Productos!AN:AN,"Revisar"),"")</f>
        <v/>
      </c>
      <c r="AV484" s="179" t="str">
        <f t="array" ref="AV484">IF($F484&lt;&gt;"", XLOOKUP($F484,Productos!$A$2:$A1001,Productos!AO$2:AO1001,"")*$G484,"")</f>
        <v/>
      </c>
      <c r="AW484" s="179" t="str">
        <f t="array" ref="AW484">IF($F484&lt;&gt;"",XLOOKUP($F484,Productos!$A:$A,Productos!AP:AP,"Revisar"),"")</f>
        <v/>
      </c>
      <c r="AX484" s="179" t="str">
        <f t="array" ref="AX484">IF($F484&lt;&gt;"", XLOOKUP($F484,Productos!$A$2:$A1001,Productos!AQ$2:AQ1001,"")*$G484,"")</f>
        <v/>
      </c>
      <c r="AY484" s="179" t="str">
        <f t="array" ref="AY484">IF($F484&lt;&gt;"",XLOOKUP($F484,Productos!$A:$A,Productos!AR:AR,"Revisar"),"")</f>
        <v/>
      </c>
      <c r="AZ484" s="179" t="str">
        <f t="array" ref="AZ484">IF($F484&lt;&gt;"", XLOOKUP($F484,Productos!$A$2:$A1001,Productos!AS$2:AS1001,"")*$G484,"")</f>
        <v/>
      </c>
      <c r="BA484" s="179" t="str">
        <f t="array" ref="BA484">IF($F484&lt;&gt;"",XLOOKUP($F484,Productos!$A:$A,Productos!AT:AT,"Revisar"),"")</f>
        <v/>
      </c>
      <c r="BB484" s="179" t="str">
        <f t="array" ref="BB484">IF($F484&lt;&gt;"", XLOOKUP($F484,Productos!$A$2:$A1001,Productos!AU$2:AU1001,"")*$G484,"")</f>
        <v/>
      </c>
      <c r="BC484" s="179" t="str">
        <f t="array" ref="BC484">IF($F484&lt;&gt;"",XLOOKUP($F484,Productos!$A:$A,Productos!AV:AV,"Revisar"),"")</f>
        <v/>
      </c>
      <c r="BD484" s="179" t="str">
        <f t="array" ref="BD484">IF($F484&lt;&gt;"", XLOOKUP($F484,Productos!$A$2:$A1001,Productos!AW$2:AW1001,"")*$G484,"")</f>
        <v/>
      </c>
      <c r="BE484" s="179" t="str">
        <f t="array" ref="BE484">IF($F484&lt;&gt;"",XLOOKUP($F484,Productos!$A:$A,Productos!AX:AX,"Revisar"),"")</f>
        <v/>
      </c>
      <c r="BF484" s="179" t="str">
        <f t="array" ref="BF484">IF($F484&lt;&gt;"", XLOOKUP($F484,Productos!$A$2:$A1001,Productos!AY$2:AY1001,"")*$G484,"")</f>
        <v/>
      </c>
      <c r="BG484" s="179" t="str">
        <f t="array" ref="BG484">IF($F484&lt;&gt;"",XLOOKUP($F484,Productos!$A:$A,Productos!AZ:AZ,"Revisar"),"")</f>
        <v/>
      </c>
      <c r="BH484" s="179" t="str">
        <f t="array" ref="BH484">IF($F484&lt;&gt;"", XLOOKUP($F484,Productos!$A$2:$A1001,Productos!BA$2:BA1001,"")*$G484,"")</f>
        <v/>
      </c>
      <c r="BI484" s="179" t="str">
        <f t="array" ref="BI484">IF($F484&lt;&gt;"",XLOOKUP($F484,Productos!$A:$A,Productos!BB:BB,"Revisar"),"")</f>
        <v/>
      </c>
      <c r="BJ484" s="179" t="str">
        <f t="array" ref="BJ484">IF($F484&lt;&gt;"", XLOOKUP($F484,Productos!$A$2:$A1001,Productos!BC$2:BC1001,"")*$G484,"")</f>
        <v/>
      </c>
      <c r="BK484" s="179" t="str">
        <f t="array" ref="BK484">IF($F484&lt;&gt;"",XLOOKUP($F484,Productos!$A:$A,Productos!BD:BD,"Revisar"),"")</f>
        <v/>
      </c>
      <c r="BL484" s="179" t="str">
        <f t="array" ref="BL484">IF($F484&lt;&gt;"", XLOOKUP($F484,Productos!$A$2:$A1001,Productos!BE$2:BE1001,"")*$G484,"")</f>
        <v/>
      </c>
      <c r="BM484" s="179" t="str">
        <f t="array" ref="BM484">IF($F484&lt;&gt;"",XLOOKUP($F484,Productos!$A:$A,Productos!BF:BF,"Revisar"),"")</f>
        <v/>
      </c>
      <c r="BN484" s="179" t="str">
        <f t="array" ref="BN484">IF($F484&lt;&gt;"", XLOOKUP($F484,Productos!$A$2:$A1001,Productos!BG$2:BG1001,"")*$G484,"")</f>
        <v/>
      </c>
      <c r="BO484" s="179" t="str">
        <f t="array" ref="BO484">IF($F484&lt;&gt;"",XLOOKUP($F484,Productos!$A:$A,Productos!BH:BH,"Revisar"),"")</f>
        <v/>
      </c>
      <c r="BP484" s="179" t="str">
        <f t="array" ref="BP484">IF($F484&lt;&gt;"", XLOOKUP($F484,Productos!$A$2:$A1001,Productos!BI$2:BI1001,"")*$G484,"")</f>
        <v/>
      </c>
      <c r="BQ484" s="179" t="str">
        <f t="array" ref="BQ484">IF($F484&lt;&gt;"",XLOOKUP($F484,Productos!$A:$A,Productos!BJ:BJ,"Revisar"),"")</f>
        <v/>
      </c>
      <c r="BR484" s="179" t="str">
        <f t="array" ref="BR484">IF($F484&lt;&gt;"", XLOOKUP($F484,Productos!$A$2:$A1001,Productos!BK$2:BK1001,"")*$G484,"")</f>
        <v/>
      </c>
      <c r="BS484" s="179" t="str">
        <f t="array" ref="BS484">IF($F484&lt;&gt;"",XLOOKUP($F484,Productos!$A:$A,Productos!BL:BL,"Revisar"),"")</f>
        <v/>
      </c>
      <c r="BT484" s="179" t="str">
        <f t="array" ref="BT484">IF($F484&lt;&gt;"", XLOOKUP($F484,Productos!$A$2:$A1001,Productos!BM$2:BM1001,"")*$G484,"")</f>
        <v/>
      </c>
      <c r="BU484" s="179" t="str">
        <f t="array" ref="BU484">IF($F484&lt;&gt;"",XLOOKUP($F484,Productos!$A:$A,Productos!BN:BN,"Revisar"),"")</f>
        <v/>
      </c>
      <c r="BV484" s="179" t="str">
        <f t="array" ref="BV484">IF($F484&lt;&gt;"", XLOOKUP($F484,Productos!$A$2:$A1001,Productos!BO$2:BO1001,"")*$G484,"")</f>
        <v/>
      </c>
      <c r="BW484" s="179" t="str">
        <f t="array" ref="BW484">IF($F484&lt;&gt;"",XLOOKUP($F484,Productos!$A:$A,Productos!BP:BP,"Revisar"),"")</f>
        <v/>
      </c>
      <c r="BX484" s="179" t="str">
        <f t="array" ref="BX484">IF($F484&lt;&gt;"", XLOOKUP($F484,Productos!$A$2:$A1001,Productos!BQ$2:BQ1001,"")*$G484,"")</f>
        <v/>
      </c>
      <c r="BY484" s="179" t="str">
        <f t="array" ref="BY484">IF($F484&lt;&gt;"",XLOOKUP($F484,Productos!$A:$A,Productos!BR:BR,"Revisar"),"")</f>
        <v/>
      </c>
      <c r="BZ484" s="179" t="str">
        <f t="array" ref="BZ484">IF($F484&lt;&gt;"", XLOOKUP($F484,Productos!$A$2:$A1001,Productos!BS$2:BS1001,"")*$G484,"")</f>
        <v/>
      </c>
    </row>
    <row r="485">
      <c r="A485" s="188"/>
      <c r="B485" s="189"/>
      <c r="C485" s="190"/>
      <c r="D485" s="190"/>
      <c r="E485" s="191"/>
      <c r="F485" s="186"/>
      <c r="G485" s="192"/>
      <c r="H485" s="9"/>
      <c r="I485" s="179" t="str">
        <f t="array" ref="I485">IF($F485&lt;&gt;"",XLOOKUP($F485,Productos!$A:$A,Productos!B:B,"Revisar"),"")</f>
        <v/>
      </c>
      <c r="J485" s="179" t="str">
        <f t="array" ref="J485">IF($F485&lt;&gt;"", XLOOKUP($F485,Productos!$A$2:$A1001,Productos!C$2:C1001,"")*$G485,"")</f>
        <v/>
      </c>
      <c r="K485" s="179" t="str">
        <f t="array" ref="K485">IF($F485&lt;&gt;"",XLOOKUP($F485,Productos!$A:$A,Productos!D:D,"Revisar"),"")</f>
        <v/>
      </c>
      <c r="L485" s="179" t="str">
        <f t="array" ref="L485">IF($F485&lt;&gt;"", XLOOKUP($F485,Productos!$A$2:$A1001,Productos!E$2:E1001,"")*$G485,"")</f>
        <v/>
      </c>
      <c r="M485" s="179" t="str">
        <f t="array" ref="M485">IF($F485&lt;&gt;"",XLOOKUP($F485,Productos!$A:$A,Productos!F:F,"Revisar"),"")</f>
        <v/>
      </c>
      <c r="N485" s="179" t="str">
        <f t="array" ref="N485">IF($F485&lt;&gt;"", XLOOKUP($F485,Productos!$A$2:$A1001,Productos!G$2:G1001,"")*$G485,"")</f>
        <v/>
      </c>
      <c r="O485" s="179" t="str">
        <f t="array" ref="O485">IF($F485&lt;&gt;"",XLOOKUP($F485,Productos!$A:$A,Productos!H:H,"Revisar"),"")</f>
        <v/>
      </c>
      <c r="P485" s="179" t="str">
        <f t="array" ref="P485">IF($F485&lt;&gt;"", XLOOKUP($F485,Productos!$A$2:$A1001,Productos!I$2:I1001,"")*$G485,"")</f>
        <v/>
      </c>
      <c r="Q485" s="179" t="str">
        <f t="array" ref="Q485">IF($F485&lt;&gt;"",XLOOKUP($F485,Productos!$A:$A,Productos!J:J,"Revisar"),"")</f>
        <v/>
      </c>
      <c r="R485" s="179" t="str">
        <f t="array" ref="R485">IF($F485&lt;&gt;"", XLOOKUP($F485,Productos!$A$2:$A1001,Productos!K$2:K1001,"")*$G485,"")</f>
        <v/>
      </c>
      <c r="S485" s="179" t="str">
        <f t="array" ref="S485">IF($F485&lt;&gt;"",XLOOKUP($F485,Productos!$A:$A,Productos!L:L,"Revisar"),"")</f>
        <v/>
      </c>
      <c r="T485" s="179" t="str">
        <f t="array" ref="T485">IF($F485&lt;&gt;"", XLOOKUP($F485,Productos!$A$2:$A1001,Productos!M$2:M1001,"")*$G485,"")</f>
        <v/>
      </c>
      <c r="U485" s="179" t="str">
        <f t="array" ref="U485">IF($F485&lt;&gt;"",XLOOKUP($F485,Productos!$A:$A,Productos!N:N,"Revisar"),"")</f>
        <v/>
      </c>
      <c r="V485" s="179" t="str">
        <f t="array" ref="V485">IF($F485&lt;&gt;"", XLOOKUP($F485,Productos!$A$2:$A1001,Productos!O$2:O1001,"")*$G485,"")</f>
        <v/>
      </c>
      <c r="W485" s="179" t="str">
        <f t="array" ref="W485">IF($F485&lt;&gt;"",XLOOKUP($F485,Productos!$A:$A,Productos!P:P,"Revisar"),"")</f>
        <v/>
      </c>
      <c r="X485" s="179" t="str">
        <f t="array" ref="X485">IF($F485&lt;&gt;"", XLOOKUP($F485,Productos!$A$2:$A1001,Productos!Q$2:Q1001,"")*$G485,"")</f>
        <v/>
      </c>
      <c r="Y485" s="179" t="str">
        <f t="array" ref="Y485">IF($F485&lt;&gt;"",XLOOKUP($F485,Productos!$A:$A,Productos!R:R,"Revisar"),"")</f>
        <v/>
      </c>
      <c r="Z485" s="179" t="str">
        <f t="array" ref="Z485">IF($F485&lt;&gt;"", XLOOKUP($F485,Productos!$A$2:$A1001,Productos!S$2:S1001,"")*$G485,"")</f>
        <v/>
      </c>
      <c r="AA485" s="179" t="str">
        <f t="array" ref="AA485">IF($F485&lt;&gt;"",XLOOKUP($F485,Productos!$A:$A,Productos!T:T,"Revisar"),"")</f>
        <v/>
      </c>
      <c r="AB485" s="179" t="str">
        <f t="array" ref="AB485">IF($F485&lt;&gt;"", XLOOKUP($F485,Productos!$A$2:$A1001,Productos!U$2:U1001,"")*$G485,"")</f>
        <v/>
      </c>
      <c r="AC485" s="179" t="str">
        <f t="array" ref="AC485">IF($F485&lt;&gt;"",XLOOKUP($F485,Productos!$A:$A,Productos!V:V,"Revisar"),"")</f>
        <v/>
      </c>
      <c r="AD485" s="179" t="str">
        <f t="array" ref="AD485">IF($F485&lt;&gt;"", XLOOKUP($F485,Productos!$A$2:$A1001,Productos!W$2:W1001,"")*$G485,"")</f>
        <v/>
      </c>
      <c r="AE485" s="179" t="str">
        <f t="array" ref="AE485">IF($F485&lt;&gt;"",XLOOKUP($F485,Productos!$A:$A,Productos!X:X,"Revisar"),"")</f>
        <v/>
      </c>
      <c r="AF485" s="179" t="str">
        <f t="array" ref="AF485">IF($F485&lt;&gt;"", XLOOKUP($F485,Productos!$A$2:$A1001,Productos!Y$2:Y1001,"")*$G485,"")</f>
        <v/>
      </c>
      <c r="AG485" s="179" t="str">
        <f t="array" ref="AG485">IF($F485&lt;&gt;"",XLOOKUP($F485,Productos!$A:$A,Productos!Z:Z,"Revisar"),"")</f>
        <v/>
      </c>
      <c r="AH485" s="179" t="str">
        <f t="array" ref="AH485">IF($F485&lt;&gt;"", XLOOKUP($F485,Productos!$A$2:$A1001,Productos!AA$2:AA1001,"")*$G485,"")</f>
        <v/>
      </c>
      <c r="AI485" s="179" t="str">
        <f t="array" ref="AI485">IF($F485&lt;&gt;"",XLOOKUP($F485,Productos!$A:$A,Productos!AB:AB,"Revisar"),"")</f>
        <v/>
      </c>
      <c r="AJ485" s="179" t="str">
        <f t="array" ref="AJ485">IF($F485&lt;&gt;"", XLOOKUP($F485,Productos!$A$2:$A1001,Productos!AC$2:AC1001,"")*$G485,"")</f>
        <v/>
      </c>
      <c r="AK485" s="179" t="str">
        <f t="array" ref="AK485">IF($F485&lt;&gt;"",XLOOKUP($F485,Productos!$A:$A,Productos!AD:AD,"Revisar"),"")</f>
        <v/>
      </c>
      <c r="AL485" s="179" t="str">
        <f t="array" ref="AL485">IF($F485&lt;&gt;"", XLOOKUP($F485,Productos!$A$2:$A1001,Productos!AE$2:AE1001,"")*$G485,"")</f>
        <v/>
      </c>
      <c r="AM485" s="179" t="str">
        <f t="array" ref="AM485">IF($F485&lt;&gt;"",XLOOKUP($F485,Productos!$A:$A,Productos!AF:AF,"Revisar"),"")</f>
        <v/>
      </c>
      <c r="AN485" s="179" t="str">
        <f t="array" ref="AN485">IF($F485&lt;&gt;"", XLOOKUP($F485,Productos!$A$2:$A1001,Productos!AG$2:AG1001,"")*$G485,"")</f>
        <v/>
      </c>
      <c r="AO485" s="179" t="str">
        <f t="array" ref="AO485">IF($F485&lt;&gt;"",XLOOKUP($F485,Productos!$A:$A,Productos!AH:AH,"Revisar"),"")</f>
        <v/>
      </c>
      <c r="AP485" s="179" t="str">
        <f t="array" ref="AP485">IF($F485&lt;&gt;"", XLOOKUP($F485,Productos!$A$2:$A1001,Productos!AI$2:AI1001,"")*$G485,"")</f>
        <v/>
      </c>
      <c r="AQ485" s="179" t="str">
        <f t="array" ref="AQ485">IF($F485&lt;&gt;"",XLOOKUP($F485,Productos!$A:$A,Productos!AJ:AJ,"Revisar"),"")</f>
        <v/>
      </c>
      <c r="AR485" s="179" t="str">
        <f t="array" ref="AR485">IF($F485&lt;&gt;"", XLOOKUP($F485,Productos!$A$2:$A1001,Productos!AK$2:AK1001,"")*$G485,"")</f>
        <v/>
      </c>
      <c r="AS485" s="179" t="str">
        <f t="array" ref="AS485">IF($F485&lt;&gt;"",XLOOKUP($F485,Productos!$A:$A,Productos!AL:AL,"Revisar"),"")</f>
        <v/>
      </c>
      <c r="AT485" s="179" t="str">
        <f t="array" ref="AT485">IF($F485&lt;&gt;"", XLOOKUP($F485,Productos!$A$2:$A1001,Productos!AM$2:AM1001,"")*$G485,"")</f>
        <v/>
      </c>
      <c r="AU485" s="179" t="str">
        <f t="array" ref="AU485">IF($F485&lt;&gt;"",XLOOKUP($F485,Productos!$A:$A,Productos!AN:AN,"Revisar"),"")</f>
        <v/>
      </c>
      <c r="AV485" s="179" t="str">
        <f t="array" ref="AV485">IF($F485&lt;&gt;"", XLOOKUP($F485,Productos!$A$2:$A1001,Productos!AO$2:AO1001,"")*$G485,"")</f>
        <v/>
      </c>
      <c r="AW485" s="179" t="str">
        <f t="array" ref="AW485">IF($F485&lt;&gt;"",XLOOKUP($F485,Productos!$A:$A,Productos!AP:AP,"Revisar"),"")</f>
        <v/>
      </c>
      <c r="AX485" s="179" t="str">
        <f t="array" ref="AX485">IF($F485&lt;&gt;"", XLOOKUP($F485,Productos!$A$2:$A1001,Productos!AQ$2:AQ1001,"")*$G485,"")</f>
        <v/>
      </c>
      <c r="AY485" s="179" t="str">
        <f t="array" ref="AY485">IF($F485&lt;&gt;"",XLOOKUP($F485,Productos!$A:$A,Productos!AR:AR,"Revisar"),"")</f>
        <v/>
      </c>
      <c r="AZ485" s="179" t="str">
        <f t="array" ref="AZ485">IF($F485&lt;&gt;"", XLOOKUP($F485,Productos!$A$2:$A1001,Productos!AS$2:AS1001,"")*$G485,"")</f>
        <v/>
      </c>
      <c r="BA485" s="179" t="str">
        <f t="array" ref="BA485">IF($F485&lt;&gt;"",XLOOKUP($F485,Productos!$A:$A,Productos!AT:AT,"Revisar"),"")</f>
        <v/>
      </c>
      <c r="BB485" s="179" t="str">
        <f t="array" ref="BB485">IF($F485&lt;&gt;"", XLOOKUP($F485,Productos!$A$2:$A1001,Productos!AU$2:AU1001,"")*$G485,"")</f>
        <v/>
      </c>
      <c r="BC485" s="179" t="str">
        <f t="array" ref="BC485">IF($F485&lt;&gt;"",XLOOKUP($F485,Productos!$A:$A,Productos!AV:AV,"Revisar"),"")</f>
        <v/>
      </c>
      <c r="BD485" s="179" t="str">
        <f t="array" ref="BD485">IF($F485&lt;&gt;"", XLOOKUP($F485,Productos!$A$2:$A1001,Productos!AW$2:AW1001,"")*$G485,"")</f>
        <v/>
      </c>
      <c r="BE485" s="179" t="str">
        <f t="array" ref="BE485">IF($F485&lt;&gt;"",XLOOKUP($F485,Productos!$A:$A,Productos!AX:AX,"Revisar"),"")</f>
        <v/>
      </c>
      <c r="BF485" s="179" t="str">
        <f t="array" ref="BF485">IF($F485&lt;&gt;"", XLOOKUP($F485,Productos!$A$2:$A1001,Productos!AY$2:AY1001,"")*$G485,"")</f>
        <v/>
      </c>
      <c r="BG485" s="179" t="str">
        <f t="array" ref="BG485">IF($F485&lt;&gt;"",XLOOKUP($F485,Productos!$A:$A,Productos!AZ:AZ,"Revisar"),"")</f>
        <v/>
      </c>
      <c r="BH485" s="179" t="str">
        <f t="array" ref="BH485">IF($F485&lt;&gt;"", XLOOKUP($F485,Productos!$A$2:$A1001,Productos!BA$2:BA1001,"")*$G485,"")</f>
        <v/>
      </c>
      <c r="BI485" s="179" t="str">
        <f t="array" ref="BI485">IF($F485&lt;&gt;"",XLOOKUP($F485,Productos!$A:$A,Productos!BB:BB,"Revisar"),"")</f>
        <v/>
      </c>
      <c r="BJ485" s="179" t="str">
        <f t="array" ref="BJ485">IF($F485&lt;&gt;"", XLOOKUP($F485,Productos!$A$2:$A1001,Productos!BC$2:BC1001,"")*$G485,"")</f>
        <v/>
      </c>
      <c r="BK485" s="179" t="str">
        <f t="array" ref="BK485">IF($F485&lt;&gt;"",XLOOKUP($F485,Productos!$A:$A,Productos!BD:BD,"Revisar"),"")</f>
        <v/>
      </c>
      <c r="BL485" s="179" t="str">
        <f t="array" ref="BL485">IF($F485&lt;&gt;"", XLOOKUP($F485,Productos!$A$2:$A1001,Productos!BE$2:BE1001,"")*$G485,"")</f>
        <v/>
      </c>
      <c r="BM485" s="179" t="str">
        <f t="array" ref="BM485">IF($F485&lt;&gt;"",XLOOKUP($F485,Productos!$A:$A,Productos!BF:BF,"Revisar"),"")</f>
        <v/>
      </c>
      <c r="BN485" s="179" t="str">
        <f t="array" ref="BN485">IF($F485&lt;&gt;"", XLOOKUP($F485,Productos!$A$2:$A1001,Productos!BG$2:BG1001,"")*$G485,"")</f>
        <v/>
      </c>
      <c r="BO485" s="179" t="str">
        <f t="array" ref="BO485">IF($F485&lt;&gt;"",XLOOKUP($F485,Productos!$A:$A,Productos!BH:BH,"Revisar"),"")</f>
        <v/>
      </c>
      <c r="BP485" s="179" t="str">
        <f t="array" ref="BP485">IF($F485&lt;&gt;"", XLOOKUP($F485,Productos!$A$2:$A1001,Productos!BI$2:BI1001,"")*$G485,"")</f>
        <v/>
      </c>
      <c r="BQ485" s="179" t="str">
        <f t="array" ref="BQ485">IF($F485&lt;&gt;"",XLOOKUP($F485,Productos!$A:$A,Productos!BJ:BJ,"Revisar"),"")</f>
        <v/>
      </c>
      <c r="BR485" s="179" t="str">
        <f t="array" ref="BR485">IF($F485&lt;&gt;"", XLOOKUP($F485,Productos!$A$2:$A1001,Productos!BK$2:BK1001,"")*$G485,"")</f>
        <v/>
      </c>
      <c r="BS485" s="179" t="str">
        <f t="array" ref="BS485">IF($F485&lt;&gt;"",XLOOKUP($F485,Productos!$A:$A,Productos!BL:BL,"Revisar"),"")</f>
        <v/>
      </c>
      <c r="BT485" s="179" t="str">
        <f t="array" ref="BT485">IF($F485&lt;&gt;"", XLOOKUP($F485,Productos!$A$2:$A1001,Productos!BM$2:BM1001,"")*$G485,"")</f>
        <v/>
      </c>
      <c r="BU485" s="179" t="str">
        <f t="array" ref="BU485">IF($F485&lt;&gt;"",XLOOKUP($F485,Productos!$A:$A,Productos!BN:BN,"Revisar"),"")</f>
        <v/>
      </c>
      <c r="BV485" s="179" t="str">
        <f t="array" ref="BV485">IF($F485&lt;&gt;"", XLOOKUP($F485,Productos!$A$2:$A1001,Productos!BO$2:BO1001,"")*$G485,"")</f>
        <v/>
      </c>
      <c r="BW485" s="179" t="str">
        <f t="array" ref="BW485">IF($F485&lt;&gt;"",XLOOKUP($F485,Productos!$A:$A,Productos!BP:BP,"Revisar"),"")</f>
        <v/>
      </c>
      <c r="BX485" s="179" t="str">
        <f t="array" ref="BX485">IF($F485&lt;&gt;"", XLOOKUP($F485,Productos!$A$2:$A1001,Productos!BQ$2:BQ1001,"")*$G485,"")</f>
        <v/>
      </c>
      <c r="BY485" s="179" t="str">
        <f t="array" ref="BY485">IF($F485&lt;&gt;"",XLOOKUP($F485,Productos!$A:$A,Productos!BR:BR,"Revisar"),"")</f>
        <v/>
      </c>
      <c r="BZ485" s="179" t="str">
        <f t="array" ref="BZ485">IF($F485&lt;&gt;"", XLOOKUP($F485,Productos!$A$2:$A1001,Productos!BS$2:BS1001,"")*$G485,"")</f>
        <v/>
      </c>
    </row>
    <row r="486">
      <c r="A486" s="188"/>
      <c r="B486" s="189"/>
      <c r="C486" s="190"/>
      <c r="D486" s="190"/>
      <c r="E486" s="191"/>
      <c r="F486" s="186"/>
      <c r="G486" s="192"/>
      <c r="H486" s="9"/>
      <c r="I486" s="179" t="str">
        <f t="array" ref="I486">IF($F486&lt;&gt;"",XLOOKUP($F486,Productos!$A:$A,Productos!B:B,"Revisar"),"")</f>
        <v/>
      </c>
      <c r="J486" s="179" t="str">
        <f t="array" ref="J486">IF($F486&lt;&gt;"", XLOOKUP($F486,Productos!$A$2:$A1001,Productos!C$2:C1001,"")*$G486,"")</f>
        <v/>
      </c>
      <c r="K486" s="179" t="str">
        <f t="array" ref="K486">IF($F486&lt;&gt;"",XLOOKUP($F486,Productos!$A:$A,Productos!D:D,"Revisar"),"")</f>
        <v/>
      </c>
      <c r="L486" s="179" t="str">
        <f t="array" ref="L486">IF($F486&lt;&gt;"", XLOOKUP($F486,Productos!$A$2:$A1001,Productos!E$2:E1001,"")*$G486,"")</f>
        <v/>
      </c>
      <c r="M486" s="179" t="str">
        <f t="array" ref="M486">IF($F486&lt;&gt;"",XLOOKUP($F486,Productos!$A:$A,Productos!F:F,"Revisar"),"")</f>
        <v/>
      </c>
      <c r="N486" s="179" t="str">
        <f t="array" ref="N486">IF($F486&lt;&gt;"", XLOOKUP($F486,Productos!$A$2:$A1001,Productos!G$2:G1001,"")*$G486,"")</f>
        <v/>
      </c>
      <c r="O486" s="179" t="str">
        <f t="array" ref="O486">IF($F486&lt;&gt;"",XLOOKUP($F486,Productos!$A:$A,Productos!H:H,"Revisar"),"")</f>
        <v/>
      </c>
      <c r="P486" s="179" t="str">
        <f t="array" ref="P486">IF($F486&lt;&gt;"", XLOOKUP($F486,Productos!$A$2:$A1001,Productos!I$2:I1001,"")*$G486,"")</f>
        <v/>
      </c>
      <c r="Q486" s="179" t="str">
        <f t="array" ref="Q486">IF($F486&lt;&gt;"",XLOOKUP($F486,Productos!$A:$A,Productos!J:J,"Revisar"),"")</f>
        <v/>
      </c>
      <c r="R486" s="179" t="str">
        <f t="array" ref="R486">IF($F486&lt;&gt;"", XLOOKUP($F486,Productos!$A$2:$A1001,Productos!K$2:K1001,"")*$G486,"")</f>
        <v/>
      </c>
      <c r="S486" s="179" t="str">
        <f t="array" ref="S486">IF($F486&lt;&gt;"",XLOOKUP($F486,Productos!$A:$A,Productos!L:L,"Revisar"),"")</f>
        <v/>
      </c>
      <c r="T486" s="179" t="str">
        <f t="array" ref="T486">IF($F486&lt;&gt;"", XLOOKUP($F486,Productos!$A$2:$A1001,Productos!M$2:M1001,"")*$G486,"")</f>
        <v/>
      </c>
      <c r="U486" s="179" t="str">
        <f t="array" ref="U486">IF($F486&lt;&gt;"",XLOOKUP($F486,Productos!$A:$A,Productos!N:N,"Revisar"),"")</f>
        <v/>
      </c>
      <c r="V486" s="179" t="str">
        <f t="array" ref="V486">IF($F486&lt;&gt;"", XLOOKUP($F486,Productos!$A$2:$A1001,Productos!O$2:O1001,"")*$G486,"")</f>
        <v/>
      </c>
      <c r="W486" s="179" t="str">
        <f t="array" ref="W486">IF($F486&lt;&gt;"",XLOOKUP($F486,Productos!$A:$A,Productos!P:P,"Revisar"),"")</f>
        <v/>
      </c>
      <c r="X486" s="179" t="str">
        <f t="array" ref="X486">IF($F486&lt;&gt;"", XLOOKUP($F486,Productos!$A$2:$A1001,Productos!Q$2:Q1001,"")*$G486,"")</f>
        <v/>
      </c>
      <c r="Y486" s="179" t="str">
        <f t="array" ref="Y486">IF($F486&lt;&gt;"",XLOOKUP($F486,Productos!$A:$A,Productos!R:R,"Revisar"),"")</f>
        <v/>
      </c>
      <c r="Z486" s="179" t="str">
        <f t="array" ref="Z486">IF($F486&lt;&gt;"", XLOOKUP($F486,Productos!$A$2:$A1001,Productos!S$2:S1001,"")*$G486,"")</f>
        <v/>
      </c>
      <c r="AA486" s="179" t="str">
        <f t="array" ref="AA486">IF($F486&lt;&gt;"",XLOOKUP($F486,Productos!$A:$A,Productos!T:T,"Revisar"),"")</f>
        <v/>
      </c>
      <c r="AB486" s="179" t="str">
        <f t="array" ref="AB486">IF($F486&lt;&gt;"", XLOOKUP($F486,Productos!$A$2:$A1001,Productos!U$2:U1001,"")*$G486,"")</f>
        <v/>
      </c>
      <c r="AC486" s="179" t="str">
        <f t="array" ref="AC486">IF($F486&lt;&gt;"",XLOOKUP($F486,Productos!$A:$A,Productos!V:V,"Revisar"),"")</f>
        <v/>
      </c>
      <c r="AD486" s="179" t="str">
        <f t="array" ref="AD486">IF($F486&lt;&gt;"", XLOOKUP($F486,Productos!$A$2:$A1001,Productos!W$2:W1001,"")*$G486,"")</f>
        <v/>
      </c>
      <c r="AE486" s="179" t="str">
        <f t="array" ref="AE486">IF($F486&lt;&gt;"",XLOOKUP($F486,Productos!$A:$A,Productos!X:X,"Revisar"),"")</f>
        <v/>
      </c>
      <c r="AF486" s="179" t="str">
        <f t="array" ref="AF486">IF($F486&lt;&gt;"", XLOOKUP($F486,Productos!$A$2:$A1001,Productos!Y$2:Y1001,"")*$G486,"")</f>
        <v/>
      </c>
      <c r="AG486" s="179" t="str">
        <f t="array" ref="AG486">IF($F486&lt;&gt;"",XLOOKUP($F486,Productos!$A:$A,Productos!Z:Z,"Revisar"),"")</f>
        <v/>
      </c>
      <c r="AH486" s="179" t="str">
        <f t="array" ref="AH486">IF($F486&lt;&gt;"", XLOOKUP($F486,Productos!$A$2:$A1001,Productos!AA$2:AA1001,"")*$G486,"")</f>
        <v/>
      </c>
      <c r="AI486" s="179" t="str">
        <f t="array" ref="AI486">IF($F486&lt;&gt;"",XLOOKUP($F486,Productos!$A:$A,Productos!AB:AB,"Revisar"),"")</f>
        <v/>
      </c>
      <c r="AJ486" s="179" t="str">
        <f t="array" ref="AJ486">IF($F486&lt;&gt;"", XLOOKUP($F486,Productos!$A$2:$A1001,Productos!AC$2:AC1001,"")*$G486,"")</f>
        <v/>
      </c>
      <c r="AK486" s="179" t="str">
        <f t="array" ref="AK486">IF($F486&lt;&gt;"",XLOOKUP($F486,Productos!$A:$A,Productos!AD:AD,"Revisar"),"")</f>
        <v/>
      </c>
      <c r="AL486" s="179" t="str">
        <f t="array" ref="AL486">IF($F486&lt;&gt;"", XLOOKUP($F486,Productos!$A$2:$A1001,Productos!AE$2:AE1001,"")*$G486,"")</f>
        <v/>
      </c>
      <c r="AM486" s="179" t="str">
        <f t="array" ref="AM486">IF($F486&lt;&gt;"",XLOOKUP($F486,Productos!$A:$A,Productos!AF:AF,"Revisar"),"")</f>
        <v/>
      </c>
      <c r="AN486" s="179" t="str">
        <f t="array" ref="AN486">IF($F486&lt;&gt;"", XLOOKUP($F486,Productos!$A$2:$A1001,Productos!AG$2:AG1001,"")*$G486,"")</f>
        <v/>
      </c>
      <c r="AO486" s="179" t="str">
        <f t="array" ref="AO486">IF($F486&lt;&gt;"",XLOOKUP($F486,Productos!$A:$A,Productos!AH:AH,"Revisar"),"")</f>
        <v/>
      </c>
      <c r="AP486" s="179" t="str">
        <f t="array" ref="AP486">IF($F486&lt;&gt;"", XLOOKUP($F486,Productos!$A$2:$A1001,Productos!AI$2:AI1001,"")*$G486,"")</f>
        <v/>
      </c>
      <c r="AQ486" s="179" t="str">
        <f t="array" ref="AQ486">IF($F486&lt;&gt;"",XLOOKUP($F486,Productos!$A:$A,Productos!AJ:AJ,"Revisar"),"")</f>
        <v/>
      </c>
      <c r="AR486" s="179" t="str">
        <f t="array" ref="AR486">IF($F486&lt;&gt;"", XLOOKUP($F486,Productos!$A$2:$A1001,Productos!AK$2:AK1001,"")*$G486,"")</f>
        <v/>
      </c>
      <c r="AS486" s="179" t="str">
        <f t="array" ref="AS486">IF($F486&lt;&gt;"",XLOOKUP($F486,Productos!$A:$A,Productos!AL:AL,"Revisar"),"")</f>
        <v/>
      </c>
      <c r="AT486" s="179" t="str">
        <f t="array" ref="AT486">IF($F486&lt;&gt;"", XLOOKUP($F486,Productos!$A$2:$A1001,Productos!AM$2:AM1001,"")*$G486,"")</f>
        <v/>
      </c>
      <c r="AU486" s="179" t="str">
        <f t="array" ref="AU486">IF($F486&lt;&gt;"",XLOOKUP($F486,Productos!$A:$A,Productos!AN:AN,"Revisar"),"")</f>
        <v/>
      </c>
      <c r="AV486" s="179" t="str">
        <f t="array" ref="AV486">IF($F486&lt;&gt;"", XLOOKUP($F486,Productos!$A$2:$A1001,Productos!AO$2:AO1001,"")*$G486,"")</f>
        <v/>
      </c>
      <c r="AW486" s="179" t="str">
        <f t="array" ref="AW486">IF($F486&lt;&gt;"",XLOOKUP($F486,Productos!$A:$A,Productos!AP:AP,"Revisar"),"")</f>
        <v/>
      </c>
      <c r="AX486" s="179" t="str">
        <f t="array" ref="AX486">IF($F486&lt;&gt;"", XLOOKUP($F486,Productos!$A$2:$A1001,Productos!AQ$2:AQ1001,"")*$G486,"")</f>
        <v/>
      </c>
      <c r="AY486" s="179" t="str">
        <f t="array" ref="AY486">IF($F486&lt;&gt;"",XLOOKUP($F486,Productos!$A:$A,Productos!AR:AR,"Revisar"),"")</f>
        <v/>
      </c>
      <c r="AZ486" s="179" t="str">
        <f t="array" ref="AZ486">IF($F486&lt;&gt;"", XLOOKUP($F486,Productos!$A$2:$A1001,Productos!AS$2:AS1001,"")*$G486,"")</f>
        <v/>
      </c>
      <c r="BA486" s="179" t="str">
        <f t="array" ref="BA486">IF($F486&lt;&gt;"",XLOOKUP($F486,Productos!$A:$A,Productos!AT:AT,"Revisar"),"")</f>
        <v/>
      </c>
      <c r="BB486" s="179" t="str">
        <f t="array" ref="BB486">IF($F486&lt;&gt;"", XLOOKUP($F486,Productos!$A$2:$A1001,Productos!AU$2:AU1001,"")*$G486,"")</f>
        <v/>
      </c>
      <c r="BC486" s="179" t="str">
        <f t="array" ref="BC486">IF($F486&lt;&gt;"",XLOOKUP($F486,Productos!$A:$A,Productos!AV:AV,"Revisar"),"")</f>
        <v/>
      </c>
      <c r="BD486" s="179" t="str">
        <f t="array" ref="BD486">IF($F486&lt;&gt;"", XLOOKUP($F486,Productos!$A$2:$A1001,Productos!AW$2:AW1001,"")*$G486,"")</f>
        <v/>
      </c>
      <c r="BE486" s="179" t="str">
        <f t="array" ref="BE486">IF($F486&lt;&gt;"",XLOOKUP($F486,Productos!$A:$A,Productos!AX:AX,"Revisar"),"")</f>
        <v/>
      </c>
      <c r="BF486" s="179" t="str">
        <f t="array" ref="BF486">IF($F486&lt;&gt;"", XLOOKUP($F486,Productos!$A$2:$A1001,Productos!AY$2:AY1001,"")*$G486,"")</f>
        <v/>
      </c>
      <c r="BG486" s="179" t="str">
        <f t="array" ref="BG486">IF($F486&lt;&gt;"",XLOOKUP($F486,Productos!$A:$A,Productos!AZ:AZ,"Revisar"),"")</f>
        <v/>
      </c>
      <c r="BH486" s="179" t="str">
        <f t="array" ref="BH486">IF($F486&lt;&gt;"", XLOOKUP($F486,Productos!$A$2:$A1001,Productos!BA$2:BA1001,"")*$G486,"")</f>
        <v/>
      </c>
      <c r="BI486" s="179" t="str">
        <f t="array" ref="BI486">IF($F486&lt;&gt;"",XLOOKUP($F486,Productos!$A:$A,Productos!BB:BB,"Revisar"),"")</f>
        <v/>
      </c>
      <c r="BJ486" s="179" t="str">
        <f t="array" ref="BJ486">IF($F486&lt;&gt;"", XLOOKUP($F486,Productos!$A$2:$A1001,Productos!BC$2:BC1001,"")*$G486,"")</f>
        <v/>
      </c>
      <c r="BK486" s="179" t="str">
        <f t="array" ref="BK486">IF($F486&lt;&gt;"",XLOOKUP($F486,Productos!$A:$A,Productos!BD:BD,"Revisar"),"")</f>
        <v/>
      </c>
      <c r="BL486" s="179" t="str">
        <f t="array" ref="BL486">IF($F486&lt;&gt;"", XLOOKUP($F486,Productos!$A$2:$A1001,Productos!BE$2:BE1001,"")*$G486,"")</f>
        <v/>
      </c>
      <c r="BM486" s="179" t="str">
        <f t="array" ref="BM486">IF($F486&lt;&gt;"",XLOOKUP($F486,Productos!$A:$A,Productos!BF:BF,"Revisar"),"")</f>
        <v/>
      </c>
      <c r="BN486" s="179" t="str">
        <f t="array" ref="BN486">IF($F486&lt;&gt;"", XLOOKUP($F486,Productos!$A$2:$A1001,Productos!BG$2:BG1001,"")*$G486,"")</f>
        <v/>
      </c>
      <c r="BO486" s="179" t="str">
        <f t="array" ref="BO486">IF($F486&lt;&gt;"",XLOOKUP($F486,Productos!$A:$A,Productos!BH:BH,"Revisar"),"")</f>
        <v/>
      </c>
      <c r="BP486" s="179" t="str">
        <f t="array" ref="BP486">IF($F486&lt;&gt;"", XLOOKUP($F486,Productos!$A$2:$A1001,Productos!BI$2:BI1001,"")*$G486,"")</f>
        <v/>
      </c>
      <c r="BQ486" s="179" t="str">
        <f t="array" ref="BQ486">IF($F486&lt;&gt;"",XLOOKUP($F486,Productos!$A:$A,Productos!BJ:BJ,"Revisar"),"")</f>
        <v/>
      </c>
      <c r="BR486" s="179" t="str">
        <f t="array" ref="BR486">IF($F486&lt;&gt;"", XLOOKUP($F486,Productos!$A$2:$A1001,Productos!BK$2:BK1001,"")*$G486,"")</f>
        <v/>
      </c>
      <c r="BS486" s="179" t="str">
        <f t="array" ref="BS486">IF($F486&lt;&gt;"",XLOOKUP($F486,Productos!$A:$A,Productos!BL:BL,"Revisar"),"")</f>
        <v/>
      </c>
      <c r="BT486" s="179" t="str">
        <f t="array" ref="BT486">IF($F486&lt;&gt;"", XLOOKUP($F486,Productos!$A$2:$A1001,Productos!BM$2:BM1001,"")*$G486,"")</f>
        <v/>
      </c>
      <c r="BU486" s="179" t="str">
        <f t="array" ref="BU486">IF($F486&lt;&gt;"",XLOOKUP($F486,Productos!$A:$A,Productos!BN:BN,"Revisar"),"")</f>
        <v/>
      </c>
      <c r="BV486" s="179" t="str">
        <f t="array" ref="BV486">IF($F486&lt;&gt;"", XLOOKUP($F486,Productos!$A$2:$A1001,Productos!BO$2:BO1001,"")*$G486,"")</f>
        <v/>
      </c>
      <c r="BW486" s="179" t="str">
        <f t="array" ref="BW486">IF($F486&lt;&gt;"",XLOOKUP($F486,Productos!$A:$A,Productos!BP:BP,"Revisar"),"")</f>
        <v/>
      </c>
      <c r="BX486" s="179" t="str">
        <f t="array" ref="BX486">IF($F486&lt;&gt;"", XLOOKUP($F486,Productos!$A$2:$A1001,Productos!BQ$2:BQ1001,"")*$G486,"")</f>
        <v/>
      </c>
      <c r="BY486" s="179" t="str">
        <f t="array" ref="BY486">IF($F486&lt;&gt;"",XLOOKUP($F486,Productos!$A:$A,Productos!BR:BR,"Revisar"),"")</f>
        <v/>
      </c>
      <c r="BZ486" s="179" t="str">
        <f t="array" ref="BZ486">IF($F486&lt;&gt;"", XLOOKUP($F486,Productos!$A$2:$A1001,Productos!BS$2:BS1001,"")*$G486,"")</f>
        <v/>
      </c>
    </row>
    <row r="487">
      <c r="A487" s="188"/>
      <c r="B487" s="189"/>
      <c r="C487" s="190"/>
      <c r="D487" s="190"/>
      <c r="E487" s="191"/>
      <c r="F487" s="186"/>
      <c r="G487" s="192"/>
      <c r="H487" s="9"/>
      <c r="I487" s="179" t="str">
        <f t="array" ref="I487">IF($F487&lt;&gt;"",XLOOKUP($F487,Productos!$A:$A,Productos!B:B,"Revisar"),"")</f>
        <v/>
      </c>
      <c r="J487" s="179" t="str">
        <f t="array" ref="J487">IF($F487&lt;&gt;"", XLOOKUP($F487,Productos!$A$2:$A1001,Productos!C$2:C1001,"")*$G487,"")</f>
        <v/>
      </c>
      <c r="K487" s="179" t="str">
        <f t="array" ref="K487">IF($F487&lt;&gt;"",XLOOKUP($F487,Productos!$A:$A,Productos!D:D,"Revisar"),"")</f>
        <v/>
      </c>
      <c r="L487" s="179" t="str">
        <f t="array" ref="L487">IF($F487&lt;&gt;"", XLOOKUP($F487,Productos!$A$2:$A1001,Productos!E$2:E1001,"")*$G487,"")</f>
        <v/>
      </c>
      <c r="M487" s="179" t="str">
        <f t="array" ref="M487">IF($F487&lt;&gt;"",XLOOKUP($F487,Productos!$A:$A,Productos!F:F,"Revisar"),"")</f>
        <v/>
      </c>
      <c r="N487" s="179" t="str">
        <f t="array" ref="N487">IF($F487&lt;&gt;"", XLOOKUP($F487,Productos!$A$2:$A1001,Productos!G$2:G1001,"")*$G487,"")</f>
        <v/>
      </c>
      <c r="O487" s="179" t="str">
        <f t="array" ref="O487">IF($F487&lt;&gt;"",XLOOKUP($F487,Productos!$A:$A,Productos!H:H,"Revisar"),"")</f>
        <v/>
      </c>
      <c r="P487" s="179" t="str">
        <f t="array" ref="P487">IF($F487&lt;&gt;"", XLOOKUP($F487,Productos!$A$2:$A1001,Productos!I$2:I1001,"")*$G487,"")</f>
        <v/>
      </c>
      <c r="Q487" s="179" t="str">
        <f t="array" ref="Q487">IF($F487&lt;&gt;"",XLOOKUP($F487,Productos!$A:$A,Productos!J:J,"Revisar"),"")</f>
        <v/>
      </c>
      <c r="R487" s="179" t="str">
        <f t="array" ref="R487">IF($F487&lt;&gt;"", XLOOKUP($F487,Productos!$A$2:$A1001,Productos!K$2:K1001,"")*$G487,"")</f>
        <v/>
      </c>
      <c r="S487" s="179" t="str">
        <f t="array" ref="S487">IF($F487&lt;&gt;"",XLOOKUP($F487,Productos!$A:$A,Productos!L:L,"Revisar"),"")</f>
        <v/>
      </c>
      <c r="T487" s="179" t="str">
        <f t="array" ref="T487">IF($F487&lt;&gt;"", XLOOKUP($F487,Productos!$A$2:$A1001,Productos!M$2:M1001,"")*$G487,"")</f>
        <v/>
      </c>
      <c r="U487" s="179" t="str">
        <f t="array" ref="U487">IF($F487&lt;&gt;"",XLOOKUP($F487,Productos!$A:$A,Productos!N:N,"Revisar"),"")</f>
        <v/>
      </c>
      <c r="V487" s="179" t="str">
        <f t="array" ref="V487">IF($F487&lt;&gt;"", XLOOKUP($F487,Productos!$A$2:$A1001,Productos!O$2:O1001,"")*$G487,"")</f>
        <v/>
      </c>
      <c r="W487" s="179" t="str">
        <f t="array" ref="W487">IF($F487&lt;&gt;"",XLOOKUP($F487,Productos!$A:$A,Productos!P:P,"Revisar"),"")</f>
        <v/>
      </c>
      <c r="X487" s="179" t="str">
        <f t="array" ref="X487">IF($F487&lt;&gt;"", XLOOKUP($F487,Productos!$A$2:$A1001,Productos!Q$2:Q1001,"")*$G487,"")</f>
        <v/>
      </c>
      <c r="Y487" s="179" t="str">
        <f t="array" ref="Y487">IF($F487&lt;&gt;"",XLOOKUP($F487,Productos!$A:$A,Productos!R:R,"Revisar"),"")</f>
        <v/>
      </c>
      <c r="Z487" s="179" t="str">
        <f t="array" ref="Z487">IF($F487&lt;&gt;"", XLOOKUP($F487,Productos!$A$2:$A1001,Productos!S$2:S1001,"")*$G487,"")</f>
        <v/>
      </c>
      <c r="AA487" s="179" t="str">
        <f t="array" ref="AA487">IF($F487&lt;&gt;"",XLOOKUP($F487,Productos!$A:$A,Productos!T:T,"Revisar"),"")</f>
        <v/>
      </c>
      <c r="AB487" s="179" t="str">
        <f t="array" ref="AB487">IF($F487&lt;&gt;"", XLOOKUP($F487,Productos!$A$2:$A1001,Productos!U$2:U1001,"")*$G487,"")</f>
        <v/>
      </c>
      <c r="AC487" s="179" t="str">
        <f t="array" ref="AC487">IF($F487&lt;&gt;"",XLOOKUP($F487,Productos!$A:$A,Productos!V:V,"Revisar"),"")</f>
        <v/>
      </c>
      <c r="AD487" s="179" t="str">
        <f t="array" ref="AD487">IF($F487&lt;&gt;"", XLOOKUP($F487,Productos!$A$2:$A1001,Productos!W$2:W1001,"")*$G487,"")</f>
        <v/>
      </c>
      <c r="AE487" s="179" t="str">
        <f t="array" ref="AE487">IF($F487&lt;&gt;"",XLOOKUP($F487,Productos!$A:$A,Productos!X:X,"Revisar"),"")</f>
        <v/>
      </c>
      <c r="AF487" s="179" t="str">
        <f t="array" ref="AF487">IF($F487&lt;&gt;"", XLOOKUP($F487,Productos!$A$2:$A1001,Productos!Y$2:Y1001,"")*$G487,"")</f>
        <v/>
      </c>
      <c r="AG487" s="179" t="str">
        <f t="array" ref="AG487">IF($F487&lt;&gt;"",XLOOKUP($F487,Productos!$A:$A,Productos!Z:Z,"Revisar"),"")</f>
        <v/>
      </c>
      <c r="AH487" s="179" t="str">
        <f t="array" ref="AH487">IF($F487&lt;&gt;"", XLOOKUP($F487,Productos!$A$2:$A1001,Productos!AA$2:AA1001,"")*$G487,"")</f>
        <v/>
      </c>
      <c r="AI487" s="179" t="str">
        <f t="array" ref="AI487">IF($F487&lt;&gt;"",XLOOKUP($F487,Productos!$A:$A,Productos!AB:AB,"Revisar"),"")</f>
        <v/>
      </c>
      <c r="AJ487" s="179" t="str">
        <f t="array" ref="AJ487">IF($F487&lt;&gt;"", XLOOKUP($F487,Productos!$A$2:$A1001,Productos!AC$2:AC1001,"")*$G487,"")</f>
        <v/>
      </c>
      <c r="AK487" s="179" t="str">
        <f t="array" ref="AK487">IF($F487&lt;&gt;"",XLOOKUP($F487,Productos!$A:$A,Productos!AD:AD,"Revisar"),"")</f>
        <v/>
      </c>
      <c r="AL487" s="179" t="str">
        <f t="array" ref="AL487">IF($F487&lt;&gt;"", XLOOKUP($F487,Productos!$A$2:$A1001,Productos!AE$2:AE1001,"")*$G487,"")</f>
        <v/>
      </c>
      <c r="AM487" s="179" t="str">
        <f t="array" ref="AM487">IF($F487&lt;&gt;"",XLOOKUP($F487,Productos!$A:$A,Productos!AF:AF,"Revisar"),"")</f>
        <v/>
      </c>
      <c r="AN487" s="179" t="str">
        <f t="array" ref="AN487">IF($F487&lt;&gt;"", XLOOKUP($F487,Productos!$A$2:$A1001,Productos!AG$2:AG1001,"")*$G487,"")</f>
        <v/>
      </c>
      <c r="AO487" s="179" t="str">
        <f t="array" ref="AO487">IF($F487&lt;&gt;"",XLOOKUP($F487,Productos!$A:$A,Productos!AH:AH,"Revisar"),"")</f>
        <v/>
      </c>
      <c r="AP487" s="179" t="str">
        <f t="array" ref="AP487">IF($F487&lt;&gt;"", XLOOKUP($F487,Productos!$A$2:$A1001,Productos!AI$2:AI1001,"")*$G487,"")</f>
        <v/>
      </c>
      <c r="AQ487" s="179" t="str">
        <f t="array" ref="AQ487">IF($F487&lt;&gt;"",XLOOKUP($F487,Productos!$A:$A,Productos!AJ:AJ,"Revisar"),"")</f>
        <v/>
      </c>
      <c r="AR487" s="179" t="str">
        <f t="array" ref="AR487">IF($F487&lt;&gt;"", XLOOKUP($F487,Productos!$A$2:$A1001,Productos!AK$2:AK1001,"")*$G487,"")</f>
        <v/>
      </c>
      <c r="AS487" s="179" t="str">
        <f t="array" ref="AS487">IF($F487&lt;&gt;"",XLOOKUP($F487,Productos!$A:$A,Productos!AL:AL,"Revisar"),"")</f>
        <v/>
      </c>
      <c r="AT487" s="179" t="str">
        <f t="array" ref="AT487">IF($F487&lt;&gt;"", XLOOKUP($F487,Productos!$A$2:$A1001,Productos!AM$2:AM1001,"")*$G487,"")</f>
        <v/>
      </c>
      <c r="AU487" s="179" t="str">
        <f t="array" ref="AU487">IF($F487&lt;&gt;"",XLOOKUP($F487,Productos!$A:$A,Productos!AN:AN,"Revisar"),"")</f>
        <v/>
      </c>
      <c r="AV487" s="179" t="str">
        <f t="array" ref="AV487">IF($F487&lt;&gt;"", XLOOKUP($F487,Productos!$A$2:$A1001,Productos!AO$2:AO1001,"")*$G487,"")</f>
        <v/>
      </c>
      <c r="AW487" s="179" t="str">
        <f t="array" ref="AW487">IF($F487&lt;&gt;"",XLOOKUP($F487,Productos!$A:$A,Productos!AP:AP,"Revisar"),"")</f>
        <v/>
      </c>
      <c r="AX487" s="179" t="str">
        <f t="array" ref="AX487">IF($F487&lt;&gt;"", XLOOKUP($F487,Productos!$A$2:$A1001,Productos!AQ$2:AQ1001,"")*$G487,"")</f>
        <v/>
      </c>
      <c r="AY487" s="179" t="str">
        <f t="array" ref="AY487">IF($F487&lt;&gt;"",XLOOKUP($F487,Productos!$A:$A,Productos!AR:AR,"Revisar"),"")</f>
        <v/>
      </c>
      <c r="AZ487" s="179" t="str">
        <f t="array" ref="AZ487">IF($F487&lt;&gt;"", XLOOKUP($F487,Productos!$A$2:$A1001,Productos!AS$2:AS1001,"")*$G487,"")</f>
        <v/>
      </c>
      <c r="BA487" s="179" t="str">
        <f t="array" ref="BA487">IF($F487&lt;&gt;"",XLOOKUP($F487,Productos!$A:$A,Productos!AT:AT,"Revisar"),"")</f>
        <v/>
      </c>
      <c r="BB487" s="179" t="str">
        <f t="array" ref="BB487">IF($F487&lt;&gt;"", XLOOKUP($F487,Productos!$A$2:$A1001,Productos!AU$2:AU1001,"")*$G487,"")</f>
        <v/>
      </c>
      <c r="BC487" s="179" t="str">
        <f t="array" ref="BC487">IF($F487&lt;&gt;"",XLOOKUP($F487,Productos!$A:$A,Productos!AV:AV,"Revisar"),"")</f>
        <v/>
      </c>
      <c r="BD487" s="179" t="str">
        <f t="array" ref="BD487">IF($F487&lt;&gt;"", XLOOKUP($F487,Productos!$A$2:$A1001,Productos!AW$2:AW1001,"")*$G487,"")</f>
        <v/>
      </c>
      <c r="BE487" s="179" t="str">
        <f t="array" ref="BE487">IF($F487&lt;&gt;"",XLOOKUP($F487,Productos!$A:$A,Productos!AX:AX,"Revisar"),"")</f>
        <v/>
      </c>
      <c r="BF487" s="179" t="str">
        <f t="array" ref="BF487">IF($F487&lt;&gt;"", XLOOKUP($F487,Productos!$A$2:$A1001,Productos!AY$2:AY1001,"")*$G487,"")</f>
        <v/>
      </c>
      <c r="BG487" s="179" t="str">
        <f t="array" ref="BG487">IF($F487&lt;&gt;"",XLOOKUP($F487,Productos!$A:$A,Productos!AZ:AZ,"Revisar"),"")</f>
        <v/>
      </c>
      <c r="BH487" s="179" t="str">
        <f t="array" ref="BH487">IF($F487&lt;&gt;"", XLOOKUP($F487,Productos!$A$2:$A1001,Productos!BA$2:BA1001,"")*$G487,"")</f>
        <v/>
      </c>
      <c r="BI487" s="179" t="str">
        <f t="array" ref="BI487">IF($F487&lt;&gt;"",XLOOKUP($F487,Productos!$A:$A,Productos!BB:BB,"Revisar"),"")</f>
        <v/>
      </c>
      <c r="BJ487" s="179" t="str">
        <f t="array" ref="BJ487">IF($F487&lt;&gt;"", XLOOKUP($F487,Productos!$A$2:$A1001,Productos!BC$2:BC1001,"")*$G487,"")</f>
        <v/>
      </c>
      <c r="BK487" s="179" t="str">
        <f t="array" ref="BK487">IF($F487&lt;&gt;"",XLOOKUP($F487,Productos!$A:$A,Productos!BD:BD,"Revisar"),"")</f>
        <v/>
      </c>
      <c r="BL487" s="179" t="str">
        <f t="array" ref="BL487">IF($F487&lt;&gt;"", XLOOKUP($F487,Productos!$A$2:$A1001,Productos!BE$2:BE1001,"")*$G487,"")</f>
        <v/>
      </c>
      <c r="BM487" s="179" t="str">
        <f t="array" ref="BM487">IF($F487&lt;&gt;"",XLOOKUP($F487,Productos!$A:$A,Productos!BF:BF,"Revisar"),"")</f>
        <v/>
      </c>
      <c r="BN487" s="179" t="str">
        <f t="array" ref="BN487">IF($F487&lt;&gt;"", XLOOKUP($F487,Productos!$A$2:$A1001,Productos!BG$2:BG1001,"")*$G487,"")</f>
        <v/>
      </c>
      <c r="BO487" s="179" t="str">
        <f t="array" ref="BO487">IF($F487&lt;&gt;"",XLOOKUP($F487,Productos!$A:$A,Productos!BH:BH,"Revisar"),"")</f>
        <v/>
      </c>
      <c r="BP487" s="179" t="str">
        <f t="array" ref="BP487">IF($F487&lt;&gt;"", XLOOKUP($F487,Productos!$A$2:$A1001,Productos!BI$2:BI1001,"")*$G487,"")</f>
        <v/>
      </c>
      <c r="BQ487" s="179" t="str">
        <f t="array" ref="BQ487">IF($F487&lt;&gt;"",XLOOKUP($F487,Productos!$A:$A,Productos!BJ:BJ,"Revisar"),"")</f>
        <v/>
      </c>
      <c r="BR487" s="179" t="str">
        <f t="array" ref="BR487">IF($F487&lt;&gt;"", XLOOKUP($F487,Productos!$A$2:$A1001,Productos!BK$2:BK1001,"")*$G487,"")</f>
        <v/>
      </c>
      <c r="BS487" s="179" t="str">
        <f t="array" ref="BS487">IF($F487&lt;&gt;"",XLOOKUP($F487,Productos!$A:$A,Productos!BL:BL,"Revisar"),"")</f>
        <v/>
      </c>
      <c r="BT487" s="179" t="str">
        <f t="array" ref="BT487">IF($F487&lt;&gt;"", XLOOKUP($F487,Productos!$A$2:$A1001,Productos!BM$2:BM1001,"")*$G487,"")</f>
        <v/>
      </c>
      <c r="BU487" s="179" t="str">
        <f t="array" ref="BU487">IF($F487&lt;&gt;"",XLOOKUP($F487,Productos!$A:$A,Productos!BN:BN,"Revisar"),"")</f>
        <v/>
      </c>
      <c r="BV487" s="179" t="str">
        <f t="array" ref="BV487">IF($F487&lt;&gt;"", XLOOKUP($F487,Productos!$A$2:$A1001,Productos!BO$2:BO1001,"")*$G487,"")</f>
        <v/>
      </c>
      <c r="BW487" s="179" t="str">
        <f t="array" ref="BW487">IF($F487&lt;&gt;"",XLOOKUP($F487,Productos!$A:$A,Productos!BP:BP,"Revisar"),"")</f>
        <v/>
      </c>
      <c r="BX487" s="179" t="str">
        <f t="array" ref="BX487">IF($F487&lt;&gt;"", XLOOKUP($F487,Productos!$A$2:$A1001,Productos!BQ$2:BQ1001,"")*$G487,"")</f>
        <v/>
      </c>
      <c r="BY487" s="179" t="str">
        <f t="array" ref="BY487">IF($F487&lt;&gt;"",XLOOKUP($F487,Productos!$A:$A,Productos!BR:BR,"Revisar"),"")</f>
        <v/>
      </c>
      <c r="BZ487" s="179" t="str">
        <f t="array" ref="BZ487">IF($F487&lt;&gt;"", XLOOKUP($F487,Productos!$A$2:$A1001,Productos!BS$2:BS1001,"")*$G487,"")</f>
        <v/>
      </c>
    </row>
    <row r="488">
      <c r="A488" s="188"/>
      <c r="B488" s="189"/>
      <c r="C488" s="190"/>
      <c r="D488" s="190"/>
      <c r="E488" s="191"/>
      <c r="F488" s="186"/>
      <c r="G488" s="192"/>
      <c r="H488" s="9"/>
      <c r="I488" s="179" t="str">
        <f t="array" ref="I488">IF($F488&lt;&gt;"",XLOOKUP($F488,Productos!$A:$A,Productos!B:B,"Revisar"),"")</f>
        <v/>
      </c>
      <c r="J488" s="179" t="str">
        <f t="array" ref="J488">IF($F488&lt;&gt;"", XLOOKUP($F488,Productos!$A$2:$A1001,Productos!C$2:C1001,"")*$G488,"")</f>
        <v/>
      </c>
      <c r="K488" s="179" t="str">
        <f t="array" ref="K488">IF($F488&lt;&gt;"",XLOOKUP($F488,Productos!$A:$A,Productos!D:D,"Revisar"),"")</f>
        <v/>
      </c>
      <c r="L488" s="179" t="str">
        <f t="array" ref="L488">IF($F488&lt;&gt;"", XLOOKUP($F488,Productos!$A$2:$A1001,Productos!E$2:E1001,"")*$G488,"")</f>
        <v/>
      </c>
      <c r="M488" s="179" t="str">
        <f t="array" ref="M488">IF($F488&lt;&gt;"",XLOOKUP($F488,Productos!$A:$A,Productos!F:F,"Revisar"),"")</f>
        <v/>
      </c>
      <c r="N488" s="179" t="str">
        <f t="array" ref="N488">IF($F488&lt;&gt;"", XLOOKUP($F488,Productos!$A$2:$A1001,Productos!G$2:G1001,"")*$G488,"")</f>
        <v/>
      </c>
      <c r="O488" s="179" t="str">
        <f t="array" ref="O488">IF($F488&lt;&gt;"",XLOOKUP($F488,Productos!$A:$A,Productos!H:H,"Revisar"),"")</f>
        <v/>
      </c>
      <c r="P488" s="179" t="str">
        <f t="array" ref="P488">IF($F488&lt;&gt;"", XLOOKUP($F488,Productos!$A$2:$A1001,Productos!I$2:I1001,"")*$G488,"")</f>
        <v/>
      </c>
      <c r="Q488" s="179" t="str">
        <f t="array" ref="Q488">IF($F488&lt;&gt;"",XLOOKUP($F488,Productos!$A:$A,Productos!J:J,"Revisar"),"")</f>
        <v/>
      </c>
      <c r="R488" s="179" t="str">
        <f t="array" ref="R488">IF($F488&lt;&gt;"", XLOOKUP($F488,Productos!$A$2:$A1001,Productos!K$2:K1001,"")*$G488,"")</f>
        <v/>
      </c>
      <c r="S488" s="179" t="str">
        <f t="array" ref="S488">IF($F488&lt;&gt;"",XLOOKUP($F488,Productos!$A:$A,Productos!L:L,"Revisar"),"")</f>
        <v/>
      </c>
      <c r="T488" s="179" t="str">
        <f t="array" ref="T488">IF($F488&lt;&gt;"", XLOOKUP($F488,Productos!$A$2:$A1001,Productos!M$2:M1001,"")*$G488,"")</f>
        <v/>
      </c>
      <c r="U488" s="179" t="str">
        <f t="array" ref="U488">IF($F488&lt;&gt;"",XLOOKUP($F488,Productos!$A:$A,Productos!N:N,"Revisar"),"")</f>
        <v/>
      </c>
      <c r="V488" s="179" t="str">
        <f t="array" ref="V488">IF($F488&lt;&gt;"", XLOOKUP($F488,Productos!$A$2:$A1001,Productos!O$2:O1001,"")*$G488,"")</f>
        <v/>
      </c>
      <c r="W488" s="179" t="str">
        <f t="array" ref="W488">IF($F488&lt;&gt;"",XLOOKUP($F488,Productos!$A:$A,Productos!P:P,"Revisar"),"")</f>
        <v/>
      </c>
      <c r="X488" s="179" t="str">
        <f t="array" ref="X488">IF($F488&lt;&gt;"", XLOOKUP($F488,Productos!$A$2:$A1001,Productos!Q$2:Q1001,"")*$G488,"")</f>
        <v/>
      </c>
      <c r="Y488" s="179" t="str">
        <f t="array" ref="Y488">IF($F488&lt;&gt;"",XLOOKUP($F488,Productos!$A:$A,Productos!R:R,"Revisar"),"")</f>
        <v/>
      </c>
      <c r="Z488" s="179" t="str">
        <f t="array" ref="Z488">IF($F488&lt;&gt;"", XLOOKUP($F488,Productos!$A$2:$A1001,Productos!S$2:S1001,"")*$G488,"")</f>
        <v/>
      </c>
      <c r="AA488" s="179" t="str">
        <f t="array" ref="AA488">IF($F488&lt;&gt;"",XLOOKUP($F488,Productos!$A:$A,Productos!T:T,"Revisar"),"")</f>
        <v/>
      </c>
      <c r="AB488" s="179" t="str">
        <f t="array" ref="AB488">IF($F488&lt;&gt;"", XLOOKUP($F488,Productos!$A$2:$A1001,Productos!U$2:U1001,"")*$G488,"")</f>
        <v/>
      </c>
      <c r="AC488" s="179" t="str">
        <f t="array" ref="AC488">IF($F488&lt;&gt;"",XLOOKUP($F488,Productos!$A:$A,Productos!V:V,"Revisar"),"")</f>
        <v/>
      </c>
      <c r="AD488" s="179" t="str">
        <f t="array" ref="AD488">IF($F488&lt;&gt;"", XLOOKUP($F488,Productos!$A$2:$A1001,Productos!W$2:W1001,"")*$G488,"")</f>
        <v/>
      </c>
      <c r="AE488" s="179" t="str">
        <f t="array" ref="AE488">IF($F488&lt;&gt;"",XLOOKUP($F488,Productos!$A:$A,Productos!X:X,"Revisar"),"")</f>
        <v/>
      </c>
      <c r="AF488" s="179" t="str">
        <f t="array" ref="AF488">IF($F488&lt;&gt;"", XLOOKUP($F488,Productos!$A$2:$A1001,Productos!Y$2:Y1001,"")*$G488,"")</f>
        <v/>
      </c>
      <c r="AG488" s="179" t="str">
        <f t="array" ref="AG488">IF($F488&lt;&gt;"",XLOOKUP($F488,Productos!$A:$A,Productos!Z:Z,"Revisar"),"")</f>
        <v/>
      </c>
      <c r="AH488" s="179" t="str">
        <f t="array" ref="AH488">IF($F488&lt;&gt;"", XLOOKUP($F488,Productos!$A$2:$A1001,Productos!AA$2:AA1001,"")*$G488,"")</f>
        <v/>
      </c>
      <c r="AI488" s="179" t="str">
        <f t="array" ref="AI488">IF($F488&lt;&gt;"",XLOOKUP($F488,Productos!$A:$A,Productos!AB:AB,"Revisar"),"")</f>
        <v/>
      </c>
      <c r="AJ488" s="179" t="str">
        <f t="array" ref="AJ488">IF($F488&lt;&gt;"", XLOOKUP($F488,Productos!$A$2:$A1001,Productos!AC$2:AC1001,"")*$G488,"")</f>
        <v/>
      </c>
      <c r="AK488" s="179" t="str">
        <f t="array" ref="AK488">IF($F488&lt;&gt;"",XLOOKUP($F488,Productos!$A:$A,Productos!AD:AD,"Revisar"),"")</f>
        <v/>
      </c>
      <c r="AL488" s="179" t="str">
        <f t="array" ref="AL488">IF($F488&lt;&gt;"", XLOOKUP($F488,Productos!$A$2:$A1001,Productos!AE$2:AE1001,"")*$G488,"")</f>
        <v/>
      </c>
      <c r="AM488" s="179" t="str">
        <f t="array" ref="AM488">IF($F488&lt;&gt;"",XLOOKUP($F488,Productos!$A:$A,Productos!AF:AF,"Revisar"),"")</f>
        <v/>
      </c>
      <c r="AN488" s="179" t="str">
        <f t="array" ref="AN488">IF($F488&lt;&gt;"", XLOOKUP($F488,Productos!$A$2:$A1001,Productos!AG$2:AG1001,"")*$G488,"")</f>
        <v/>
      </c>
      <c r="AO488" s="179" t="str">
        <f t="array" ref="AO488">IF($F488&lt;&gt;"",XLOOKUP($F488,Productos!$A:$A,Productos!AH:AH,"Revisar"),"")</f>
        <v/>
      </c>
      <c r="AP488" s="179" t="str">
        <f t="array" ref="AP488">IF($F488&lt;&gt;"", XLOOKUP($F488,Productos!$A$2:$A1001,Productos!AI$2:AI1001,"")*$G488,"")</f>
        <v/>
      </c>
      <c r="AQ488" s="179" t="str">
        <f t="array" ref="AQ488">IF($F488&lt;&gt;"",XLOOKUP($F488,Productos!$A:$A,Productos!AJ:AJ,"Revisar"),"")</f>
        <v/>
      </c>
      <c r="AR488" s="179" t="str">
        <f t="array" ref="AR488">IF($F488&lt;&gt;"", XLOOKUP($F488,Productos!$A$2:$A1001,Productos!AK$2:AK1001,"")*$G488,"")</f>
        <v/>
      </c>
      <c r="AS488" s="179" t="str">
        <f t="array" ref="AS488">IF($F488&lt;&gt;"",XLOOKUP($F488,Productos!$A:$A,Productos!AL:AL,"Revisar"),"")</f>
        <v/>
      </c>
      <c r="AT488" s="179" t="str">
        <f t="array" ref="AT488">IF($F488&lt;&gt;"", XLOOKUP($F488,Productos!$A$2:$A1001,Productos!AM$2:AM1001,"")*$G488,"")</f>
        <v/>
      </c>
      <c r="AU488" s="179" t="str">
        <f t="array" ref="AU488">IF($F488&lt;&gt;"",XLOOKUP($F488,Productos!$A:$A,Productos!AN:AN,"Revisar"),"")</f>
        <v/>
      </c>
      <c r="AV488" s="179" t="str">
        <f t="array" ref="AV488">IF($F488&lt;&gt;"", XLOOKUP($F488,Productos!$A$2:$A1001,Productos!AO$2:AO1001,"")*$G488,"")</f>
        <v/>
      </c>
      <c r="AW488" s="179" t="str">
        <f t="array" ref="AW488">IF($F488&lt;&gt;"",XLOOKUP($F488,Productos!$A:$A,Productos!AP:AP,"Revisar"),"")</f>
        <v/>
      </c>
      <c r="AX488" s="179" t="str">
        <f t="array" ref="AX488">IF($F488&lt;&gt;"", XLOOKUP($F488,Productos!$A$2:$A1001,Productos!AQ$2:AQ1001,"")*$G488,"")</f>
        <v/>
      </c>
      <c r="AY488" s="179" t="str">
        <f t="array" ref="AY488">IF($F488&lt;&gt;"",XLOOKUP($F488,Productos!$A:$A,Productos!AR:AR,"Revisar"),"")</f>
        <v/>
      </c>
      <c r="AZ488" s="179" t="str">
        <f t="array" ref="AZ488">IF($F488&lt;&gt;"", XLOOKUP($F488,Productos!$A$2:$A1001,Productos!AS$2:AS1001,"")*$G488,"")</f>
        <v/>
      </c>
      <c r="BA488" s="179" t="str">
        <f t="array" ref="BA488">IF($F488&lt;&gt;"",XLOOKUP($F488,Productos!$A:$A,Productos!AT:AT,"Revisar"),"")</f>
        <v/>
      </c>
      <c r="BB488" s="179" t="str">
        <f t="array" ref="BB488">IF($F488&lt;&gt;"", XLOOKUP($F488,Productos!$A$2:$A1001,Productos!AU$2:AU1001,"")*$G488,"")</f>
        <v/>
      </c>
      <c r="BC488" s="179" t="str">
        <f t="array" ref="BC488">IF($F488&lt;&gt;"",XLOOKUP($F488,Productos!$A:$A,Productos!AV:AV,"Revisar"),"")</f>
        <v/>
      </c>
      <c r="BD488" s="179" t="str">
        <f t="array" ref="BD488">IF($F488&lt;&gt;"", XLOOKUP($F488,Productos!$A$2:$A1001,Productos!AW$2:AW1001,"")*$G488,"")</f>
        <v/>
      </c>
      <c r="BE488" s="179" t="str">
        <f t="array" ref="BE488">IF($F488&lt;&gt;"",XLOOKUP($F488,Productos!$A:$A,Productos!AX:AX,"Revisar"),"")</f>
        <v/>
      </c>
      <c r="BF488" s="179" t="str">
        <f t="array" ref="BF488">IF($F488&lt;&gt;"", XLOOKUP($F488,Productos!$A$2:$A1001,Productos!AY$2:AY1001,"")*$G488,"")</f>
        <v/>
      </c>
      <c r="BG488" s="179" t="str">
        <f t="array" ref="BG488">IF($F488&lt;&gt;"",XLOOKUP($F488,Productos!$A:$A,Productos!AZ:AZ,"Revisar"),"")</f>
        <v/>
      </c>
      <c r="BH488" s="179" t="str">
        <f t="array" ref="BH488">IF($F488&lt;&gt;"", XLOOKUP($F488,Productos!$A$2:$A1001,Productos!BA$2:BA1001,"")*$G488,"")</f>
        <v/>
      </c>
      <c r="BI488" s="179" t="str">
        <f t="array" ref="BI488">IF($F488&lt;&gt;"",XLOOKUP($F488,Productos!$A:$A,Productos!BB:BB,"Revisar"),"")</f>
        <v/>
      </c>
      <c r="BJ488" s="179" t="str">
        <f t="array" ref="BJ488">IF($F488&lt;&gt;"", XLOOKUP($F488,Productos!$A$2:$A1001,Productos!BC$2:BC1001,"")*$G488,"")</f>
        <v/>
      </c>
      <c r="BK488" s="179" t="str">
        <f t="array" ref="BK488">IF($F488&lt;&gt;"",XLOOKUP($F488,Productos!$A:$A,Productos!BD:BD,"Revisar"),"")</f>
        <v/>
      </c>
      <c r="BL488" s="179" t="str">
        <f t="array" ref="BL488">IF($F488&lt;&gt;"", XLOOKUP($F488,Productos!$A$2:$A1001,Productos!BE$2:BE1001,"")*$G488,"")</f>
        <v/>
      </c>
      <c r="BM488" s="179" t="str">
        <f t="array" ref="BM488">IF($F488&lt;&gt;"",XLOOKUP($F488,Productos!$A:$A,Productos!BF:BF,"Revisar"),"")</f>
        <v/>
      </c>
      <c r="BN488" s="179" t="str">
        <f t="array" ref="BN488">IF($F488&lt;&gt;"", XLOOKUP($F488,Productos!$A$2:$A1001,Productos!BG$2:BG1001,"")*$G488,"")</f>
        <v/>
      </c>
      <c r="BO488" s="179" t="str">
        <f t="array" ref="BO488">IF($F488&lt;&gt;"",XLOOKUP($F488,Productos!$A:$A,Productos!BH:BH,"Revisar"),"")</f>
        <v/>
      </c>
      <c r="BP488" s="179" t="str">
        <f t="array" ref="BP488">IF($F488&lt;&gt;"", XLOOKUP($F488,Productos!$A$2:$A1001,Productos!BI$2:BI1001,"")*$G488,"")</f>
        <v/>
      </c>
      <c r="BQ488" s="179" t="str">
        <f t="array" ref="BQ488">IF($F488&lt;&gt;"",XLOOKUP($F488,Productos!$A:$A,Productos!BJ:BJ,"Revisar"),"")</f>
        <v/>
      </c>
      <c r="BR488" s="179" t="str">
        <f t="array" ref="BR488">IF($F488&lt;&gt;"", XLOOKUP($F488,Productos!$A$2:$A1001,Productos!BK$2:BK1001,"")*$G488,"")</f>
        <v/>
      </c>
      <c r="BS488" s="179" t="str">
        <f t="array" ref="BS488">IF($F488&lt;&gt;"",XLOOKUP($F488,Productos!$A:$A,Productos!BL:BL,"Revisar"),"")</f>
        <v/>
      </c>
      <c r="BT488" s="179" t="str">
        <f t="array" ref="BT488">IF($F488&lt;&gt;"", XLOOKUP($F488,Productos!$A$2:$A1001,Productos!BM$2:BM1001,"")*$G488,"")</f>
        <v/>
      </c>
      <c r="BU488" s="179" t="str">
        <f t="array" ref="BU488">IF($F488&lt;&gt;"",XLOOKUP($F488,Productos!$A:$A,Productos!BN:BN,"Revisar"),"")</f>
        <v/>
      </c>
      <c r="BV488" s="179" t="str">
        <f t="array" ref="BV488">IF($F488&lt;&gt;"", XLOOKUP($F488,Productos!$A$2:$A1001,Productos!BO$2:BO1001,"")*$G488,"")</f>
        <v/>
      </c>
      <c r="BW488" s="179" t="str">
        <f t="array" ref="BW488">IF($F488&lt;&gt;"",XLOOKUP($F488,Productos!$A:$A,Productos!BP:BP,"Revisar"),"")</f>
        <v/>
      </c>
      <c r="BX488" s="179" t="str">
        <f t="array" ref="BX488">IF($F488&lt;&gt;"", XLOOKUP($F488,Productos!$A$2:$A1001,Productos!BQ$2:BQ1001,"")*$G488,"")</f>
        <v/>
      </c>
      <c r="BY488" s="179" t="str">
        <f t="array" ref="BY488">IF($F488&lt;&gt;"",XLOOKUP($F488,Productos!$A:$A,Productos!BR:BR,"Revisar"),"")</f>
        <v/>
      </c>
      <c r="BZ488" s="179" t="str">
        <f t="array" ref="BZ488">IF($F488&lt;&gt;"", XLOOKUP($F488,Productos!$A$2:$A1001,Productos!BS$2:BS1001,"")*$G488,"")</f>
        <v/>
      </c>
    </row>
    <row r="489">
      <c r="A489" s="188"/>
      <c r="B489" s="189"/>
      <c r="C489" s="190"/>
      <c r="D489" s="190"/>
      <c r="E489" s="191"/>
      <c r="F489" s="186"/>
      <c r="G489" s="192"/>
      <c r="H489" s="9"/>
      <c r="I489" s="179" t="str">
        <f t="array" ref="I489">IF($F489&lt;&gt;"",XLOOKUP($F489,Productos!$A:$A,Productos!B:B,"Revisar"),"")</f>
        <v/>
      </c>
      <c r="J489" s="179" t="str">
        <f t="array" ref="J489">IF($F489&lt;&gt;"", XLOOKUP($F489,Productos!$A$2:$A1001,Productos!C$2:C1001,"")*$G489,"")</f>
        <v/>
      </c>
      <c r="K489" s="179" t="str">
        <f t="array" ref="K489">IF($F489&lt;&gt;"",XLOOKUP($F489,Productos!$A:$A,Productos!D:D,"Revisar"),"")</f>
        <v/>
      </c>
      <c r="L489" s="179" t="str">
        <f t="array" ref="L489">IF($F489&lt;&gt;"", XLOOKUP($F489,Productos!$A$2:$A1001,Productos!E$2:E1001,"")*$G489,"")</f>
        <v/>
      </c>
      <c r="M489" s="179" t="str">
        <f t="array" ref="M489">IF($F489&lt;&gt;"",XLOOKUP($F489,Productos!$A:$A,Productos!F:F,"Revisar"),"")</f>
        <v/>
      </c>
      <c r="N489" s="179" t="str">
        <f t="array" ref="N489">IF($F489&lt;&gt;"", XLOOKUP($F489,Productos!$A$2:$A1001,Productos!G$2:G1001,"")*$G489,"")</f>
        <v/>
      </c>
      <c r="O489" s="179" t="str">
        <f t="array" ref="O489">IF($F489&lt;&gt;"",XLOOKUP($F489,Productos!$A:$A,Productos!H:H,"Revisar"),"")</f>
        <v/>
      </c>
      <c r="P489" s="179" t="str">
        <f t="array" ref="P489">IF($F489&lt;&gt;"", XLOOKUP($F489,Productos!$A$2:$A1001,Productos!I$2:I1001,"")*$G489,"")</f>
        <v/>
      </c>
      <c r="Q489" s="179" t="str">
        <f t="array" ref="Q489">IF($F489&lt;&gt;"",XLOOKUP($F489,Productos!$A:$A,Productos!J:J,"Revisar"),"")</f>
        <v/>
      </c>
      <c r="R489" s="179" t="str">
        <f t="array" ref="R489">IF($F489&lt;&gt;"", XLOOKUP($F489,Productos!$A$2:$A1001,Productos!K$2:K1001,"")*$G489,"")</f>
        <v/>
      </c>
      <c r="S489" s="179" t="str">
        <f t="array" ref="S489">IF($F489&lt;&gt;"",XLOOKUP($F489,Productos!$A:$A,Productos!L:L,"Revisar"),"")</f>
        <v/>
      </c>
      <c r="T489" s="179" t="str">
        <f t="array" ref="T489">IF($F489&lt;&gt;"", XLOOKUP($F489,Productos!$A$2:$A1001,Productos!M$2:M1001,"")*$G489,"")</f>
        <v/>
      </c>
      <c r="U489" s="179" t="str">
        <f t="array" ref="U489">IF($F489&lt;&gt;"",XLOOKUP($F489,Productos!$A:$A,Productos!N:N,"Revisar"),"")</f>
        <v/>
      </c>
      <c r="V489" s="179" t="str">
        <f t="array" ref="V489">IF($F489&lt;&gt;"", XLOOKUP($F489,Productos!$A$2:$A1001,Productos!O$2:O1001,"")*$G489,"")</f>
        <v/>
      </c>
      <c r="W489" s="179" t="str">
        <f t="array" ref="W489">IF($F489&lt;&gt;"",XLOOKUP($F489,Productos!$A:$A,Productos!P:P,"Revisar"),"")</f>
        <v/>
      </c>
      <c r="X489" s="179" t="str">
        <f t="array" ref="X489">IF($F489&lt;&gt;"", XLOOKUP($F489,Productos!$A$2:$A1001,Productos!Q$2:Q1001,"")*$G489,"")</f>
        <v/>
      </c>
      <c r="Y489" s="179" t="str">
        <f t="array" ref="Y489">IF($F489&lt;&gt;"",XLOOKUP($F489,Productos!$A:$A,Productos!R:R,"Revisar"),"")</f>
        <v/>
      </c>
      <c r="Z489" s="179" t="str">
        <f t="array" ref="Z489">IF($F489&lt;&gt;"", XLOOKUP($F489,Productos!$A$2:$A1001,Productos!S$2:S1001,"")*$G489,"")</f>
        <v/>
      </c>
      <c r="AA489" s="179" t="str">
        <f t="array" ref="AA489">IF($F489&lt;&gt;"",XLOOKUP($F489,Productos!$A:$A,Productos!T:T,"Revisar"),"")</f>
        <v/>
      </c>
      <c r="AB489" s="179" t="str">
        <f t="array" ref="AB489">IF($F489&lt;&gt;"", XLOOKUP($F489,Productos!$A$2:$A1001,Productos!U$2:U1001,"")*$G489,"")</f>
        <v/>
      </c>
      <c r="AC489" s="179" t="str">
        <f t="array" ref="AC489">IF($F489&lt;&gt;"",XLOOKUP($F489,Productos!$A:$A,Productos!V:V,"Revisar"),"")</f>
        <v/>
      </c>
      <c r="AD489" s="179" t="str">
        <f t="array" ref="AD489">IF($F489&lt;&gt;"", XLOOKUP($F489,Productos!$A$2:$A1001,Productos!W$2:W1001,"")*$G489,"")</f>
        <v/>
      </c>
      <c r="AE489" s="179" t="str">
        <f t="array" ref="AE489">IF($F489&lt;&gt;"",XLOOKUP($F489,Productos!$A:$A,Productos!X:X,"Revisar"),"")</f>
        <v/>
      </c>
      <c r="AF489" s="179" t="str">
        <f t="array" ref="AF489">IF($F489&lt;&gt;"", XLOOKUP($F489,Productos!$A$2:$A1001,Productos!Y$2:Y1001,"")*$G489,"")</f>
        <v/>
      </c>
      <c r="AG489" s="179" t="str">
        <f t="array" ref="AG489">IF($F489&lt;&gt;"",XLOOKUP($F489,Productos!$A:$A,Productos!Z:Z,"Revisar"),"")</f>
        <v/>
      </c>
      <c r="AH489" s="179" t="str">
        <f t="array" ref="AH489">IF($F489&lt;&gt;"", XLOOKUP($F489,Productos!$A$2:$A1001,Productos!AA$2:AA1001,"")*$G489,"")</f>
        <v/>
      </c>
      <c r="AI489" s="179" t="str">
        <f t="array" ref="AI489">IF($F489&lt;&gt;"",XLOOKUP($F489,Productos!$A:$A,Productos!AB:AB,"Revisar"),"")</f>
        <v/>
      </c>
      <c r="AJ489" s="179" t="str">
        <f t="array" ref="AJ489">IF($F489&lt;&gt;"", XLOOKUP($F489,Productos!$A$2:$A1001,Productos!AC$2:AC1001,"")*$G489,"")</f>
        <v/>
      </c>
      <c r="AK489" s="179" t="str">
        <f t="array" ref="AK489">IF($F489&lt;&gt;"",XLOOKUP($F489,Productos!$A:$A,Productos!AD:AD,"Revisar"),"")</f>
        <v/>
      </c>
      <c r="AL489" s="179" t="str">
        <f t="array" ref="AL489">IF($F489&lt;&gt;"", XLOOKUP($F489,Productos!$A$2:$A1001,Productos!AE$2:AE1001,"")*$G489,"")</f>
        <v/>
      </c>
      <c r="AM489" s="179" t="str">
        <f t="array" ref="AM489">IF($F489&lt;&gt;"",XLOOKUP($F489,Productos!$A:$A,Productos!AF:AF,"Revisar"),"")</f>
        <v/>
      </c>
      <c r="AN489" s="179" t="str">
        <f t="array" ref="AN489">IF($F489&lt;&gt;"", XLOOKUP($F489,Productos!$A$2:$A1001,Productos!AG$2:AG1001,"")*$G489,"")</f>
        <v/>
      </c>
      <c r="AO489" s="179" t="str">
        <f t="array" ref="AO489">IF($F489&lt;&gt;"",XLOOKUP($F489,Productos!$A:$A,Productos!AH:AH,"Revisar"),"")</f>
        <v/>
      </c>
      <c r="AP489" s="179" t="str">
        <f t="array" ref="AP489">IF($F489&lt;&gt;"", XLOOKUP($F489,Productos!$A$2:$A1001,Productos!AI$2:AI1001,"")*$G489,"")</f>
        <v/>
      </c>
      <c r="AQ489" s="179" t="str">
        <f t="array" ref="AQ489">IF($F489&lt;&gt;"",XLOOKUP($F489,Productos!$A:$A,Productos!AJ:AJ,"Revisar"),"")</f>
        <v/>
      </c>
      <c r="AR489" s="179" t="str">
        <f t="array" ref="AR489">IF($F489&lt;&gt;"", XLOOKUP($F489,Productos!$A$2:$A1001,Productos!AK$2:AK1001,"")*$G489,"")</f>
        <v/>
      </c>
      <c r="AS489" s="179" t="str">
        <f t="array" ref="AS489">IF($F489&lt;&gt;"",XLOOKUP($F489,Productos!$A:$A,Productos!AL:AL,"Revisar"),"")</f>
        <v/>
      </c>
      <c r="AT489" s="179" t="str">
        <f t="array" ref="AT489">IF($F489&lt;&gt;"", XLOOKUP($F489,Productos!$A$2:$A1001,Productos!AM$2:AM1001,"")*$G489,"")</f>
        <v/>
      </c>
      <c r="AU489" s="179" t="str">
        <f t="array" ref="AU489">IF($F489&lt;&gt;"",XLOOKUP($F489,Productos!$A:$A,Productos!AN:AN,"Revisar"),"")</f>
        <v/>
      </c>
      <c r="AV489" s="179" t="str">
        <f t="array" ref="AV489">IF($F489&lt;&gt;"", XLOOKUP($F489,Productos!$A$2:$A1001,Productos!AO$2:AO1001,"")*$G489,"")</f>
        <v/>
      </c>
      <c r="AW489" s="179" t="str">
        <f t="array" ref="AW489">IF($F489&lt;&gt;"",XLOOKUP($F489,Productos!$A:$A,Productos!AP:AP,"Revisar"),"")</f>
        <v/>
      </c>
      <c r="AX489" s="179" t="str">
        <f t="array" ref="AX489">IF($F489&lt;&gt;"", XLOOKUP($F489,Productos!$A$2:$A1001,Productos!AQ$2:AQ1001,"")*$G489,"")</f>
        <v/>
      </c>
      <c r="AY489" s="179" t="str">
        <f t="array" ref="AY489">IF($F489&lt;&gt;"",XLOOKUP($F489,Productos!$A:$A,Productos!AR:AR,"Revisar"),"")</f>
        <v/>
      </c>
      <c r="AZ489" s="179" t="str">
        <f t="array" ref="AZ489">IF($F489&lt;&gt;"", XLOOKUP($F489,Productos!$A$2:$A1001,Productos!AS$2:AS1001,"")*$G489,"")</f>
        <v/>
      </c>
      <c r="BA489" s="179" t="str">
        <f t="array" ref="BA489">IF($F489&lt;&gt;"",XLOOKUP($F489,Productos!$A:$A,Productos!AT:AT,"Revisar"),"")</f>
        <v/>
      </c>
      <c r="BB489" s="179" t="str">
        <f t="array" ref="BB489">IF($F489&lt;&gt;"", XLOOKUP($F489,Productos!$A$2:$A1001,Productos!AU$2:AU1001,"")*$G489,"")</f>
        <v/>
      </c>
      <c r="BC489" s="179" t="str">
        <f t="array" ref="BC489">IF($F489&lt;&gt;"",XLOOKUP($F489,Productos!$A:$A,Productos!AV:AV,"Revisar"),"")</f>
        <v/>
      </c>
      <c r="BD489" s="179" t="str">
        <f t="array" ref="BD489">IF($F489&lt;&gt;"", XLOOKUP($F489,Productos!$A$2:$A1001,Productos!AW$2:AW1001,"")*$G489,"")</f>
        <v/>
      </c>
      <c r="BE489" s="179" t="str">
        <f t="array" ref="BE489">IF($F489&lt;&gt;"",XLOOKUP($F489,Productos!$A:$A,Productos!AX:AX,"Revisar"),"")</f>
        <v/>
      </c>
      <c r="BF489" s="179" t="str">
        <f t="array" ref="BF489">IF($F489&lt;&gt;"", XLOOKUP($F489,Productos!$A$2:$A1001,Productos!AY$2:AY1001,"")*$G489,"")</f>
        <v/>
      </c>
      <c r="BG489" s="179" t="str">
        <f t="array" ref="BG489">IF($F489&lt;&gt;"",XLOOKUP($F489,Productos!$A:$A,Productos!AZ:AZ,"Revisar"),"")</f>
        <v/>
      </c>
      <c r="BH489" s="179" t="str">
        <f t="array" ref="BH489">IF($F489&lt;&gt;"", XLOOKUP($F489,Productos!$A$2:$A1001,Productos!BA$2:BA1001,"")*$G489,"")</f>
        <v/>
      </c>
      <c r="BI489" s="179" t="str">
        <f t="array" ref="BI489">IF($F489&lt;&gt;"",XLOOKUP($F489,Productos!$A:$A,Productos!BB:BB,"Revisar"),"")</f>
        <v/>
      </c>
      <c r="BJ489" s="179" t="str">
        <f t="array" ref="BJ489">IF($F489&lt;&gt;"", XLOOKUP($F489,Productos!$A$2:$A1001,Productos!BC$2:BC1001,"")*$G489,"")</f>
        <v/>
      </c>
      <c r="BK489" s="179" t="str">
        <f t="array" ref="BK489">IF($F489&lt;&gt;"",XLOOKUP($F489,Productos!$A:$A,Productos!BD:BD,"Revisar"),"")</f>
        <v/>
      </c>
      <c r="BL489" s="179" t="str">
        <f t="array" ref="BL489">IF($F489&lt;&gt;"", XLOOKUP($F489,Productos!$A$2:$A1001,Productos!BE$2:BE1001,"")*$G489,"")</f>
        <v/>
      </c>
      <c r="BM489" s="179" t="str">
        <f t="array" ref="BM489">IF($F489&lt;&gt;"",XLOOKUP($F489,Productos!$A:$A,Productos!BF:BF,"Revisar"),"")</f>
        <v/>
      </c>
      <c r="BN489" s="179" t="str">
        <f t="array" ref="BN489">IF($F489&lt;&gt;"", XLOOKUP($F489,Productos!$A$2:$A1001,Productos!BG$2:BG1001,"")*$G489,"")</f>
        <v/>
      </c>
      <c r="BO489" s="179" t="str">
        <f t="array" ref="BO489">IF($F489&lt;&gt;"",XLOOKUP($F489,Productos!$A:$A,Productos!BH:BH,"Revisar"),"")</f>
        <v/>
      </c>
      <c r="BP489" s="179" t="str">
        <f t="array" ref="BP489">IF($F489&lt;&gt;"", XLOOKUP($F489,Productos!$A$2:$A1001,Productos!BI$2:BI1001,"")*$G489,"")</f>
        <v/>
      </c>
      <c r="BQ489" s="179" t="str">
        <f t="array" ref="BQ489">IF($F489&lt;&gt;"",XLOOKUP($F489,Productos!$A:$A,Productos!BJ:BJ,"Revisar"),"")</f>
        <v/>
      </c>
      <c r="BR489" s="179" t="str">
        <f t="array" ref="BR489">IF($F489&lt;&gt;"", XLOOKUP($F489,Productos!$A$2:$A1001,Productos!BK$2:BK1001,"")*$G489,"")</f>
        <v/>
      </c>
      <c r="BS489" s="179" t="str">
        <f t="array" ref="BS489">IF($F489&lt;&gt;"",XLOOKUP($F489,Productos!$A:$A,Productos!BL:BL,"Revisar"),"")</f>
        <v/>
      </c>
      <c r="BT489" s="179" t="str">
        <f t="array" ref="BT489">IF($F489&lt;&gt;"", XLOOKUP($F489,Productos!$A$2:$A1001,Productos!BM$2:BM1001,"")*$G489,"")</f>
        <v/>
      </c>
      <c r="BU489" s="179" t="str">
        <f t="array" ref="BU489">IF($F489&lt;&gt;"",XLOOKUP($F489,Productos!$A:$A,Productos!BN:BN,"Revisar"),"")</f>
        <v/>
      </c>
      <c r="BV489" s="179" t="str">
        <f t="array" ref="BV489">IF($F489&lt;&gt;"", XLOOKUP($F489,Productos!$A$2:$A1001,Productos!BO$2:BO1001,"")*$G489,"")</f>
        <v/>
      </c>
      <c r="BW489" s="179" t="str">
        <f t="array" ref="BW489">IF($F489&lt;&gt;"",XLOOKUP($F489,Productos!$A:$A,Productos!BP:BP,"Revisar"),"")</f>
        <v/>
      </c>
      <c r="BX489" s="179" t="str">
        <f t="array" ref="BX489">IF($F489&lt;&gt;"", XLOOKUP($F489,Productos!$A$2:$A1001,Productos!BQ$2:BQ1001,"")*$G489,"")</f>
        <v/>
      </c>
      <c r="BY489" s="179" t="str">
        <f t="array" ref="BY489">IF($F489&lt;&gt;"",XLOOKUP($F489,Productos!$A:$A,Productos!BR:BR,"Revisar"),"")</f>
        <v/>
      </c>
      <c r="BZ489" s="179" t="str">
        <f t="array" ref="BZ489">IF($F489&lt;&gt;"", XLOOKUP($F489,Productos!$A$2:$A1001,Productos!BS$2:BS1001,"")*$G489,"")</f>
        <v/>
      </c>
    </row>
    <row r="490">
      <c r="A490" s="188"/>
      <c r="B490" s="189"/>
      <c r="C490" s="190"/>
      <c r="D490" s="190"/>
      <c r="E490" s="191"/>
      <c r="F490" s="186"/>
      <c r="G490" s="192"/>
      <c r="H490" s="9"/>
      <c r="I490" s="179" t="str">
        <f t="array" ref="I490">IF($F490&lt;&gt;"",XLOOKUP($F490,Productos!$A:$A,Productos!B:B,"Revisar"),"")</f>
        <v/>
      </c>
      <c r="J490" s="179" t="str">
        <f t="array" ref="J490">IF($F490&lt;&gt;"", XLOOKUP($F490,Productos!$A$2:$A1001,Productos!C$2:C1001,"")*$G490,"")</f>
        <v/>
      </c>
      <c r="K490" s="179" t="str">
        <f t="array" ref="K490">IF($F490&lt;&gt;"",XLOOKUP($F490,Productos!$A:$A,Productos!D:D,"Revisar"),"")</f>
        <v/>
      </c>
      <c r="L490" s="179" t="str">
        <f t="array" ref="L490">IF($F490&lt;&gt;"", XLOOKUP($F490,Productos!$A$2:$A1001,Productos!E$2:E1001,"")*$G490,"")</f>
        <v/>
      </c>
      <c r="M490" s="179" t="str">
        <f t="array" ref="M490">IF($F490&lt;&gt;"",XLOOKUP($F490,Productos!$A:$A,Productos!F:F,"Revisar"),"")</f>
        <v/>
      </c>
      <c r="N490" s="179" t="str">
        <f t="array" ref="N490">IF($F490&lt;&gt;"", XLOOKUP($F490,Productos!$A$2:$A1001,Productos!G$2:G1001,"")*$G490,"")</f>
        <v/>
      </c>
      <c r="O490" s="179" t="str">
        <f t="array" ref="O490">IF($F490&lt;&gt;"",XLOOKUP($F490,Productos!$A:$A,Productos!H:H,"Revisar"),"")</f>
        <v/>
      </c>
      <c r="P490" s="179" t="str">
        <f t="array" ref="P490">IF($F490&lt;&gt;"", XLOOKUP($F490,Productos!$A$2:$A1001,Productos!I$2:I1001,"")*$G490,"")</f>
        <v/>
      </c>
      <c r="Q490" s="179" t="str">
        <f t="array" ref="Q490">IF($F490&lt;&gt;"",XLOOKUP($F490,Productos!$A:$A,Productos!J:J,"Revisar"),"")</f>
        <v/>
      </c>
      <c r="R490" s="179" t="str">
        <f t="array" ref="R490">IF($F490&lt;&gt;"", XLOOKUP($F490,Productos!$A$2:$A1001,Productos!K$2:K1001,"")*$G490,"")</f>
        <v/>
      </c>
      <c r="S490" s="179" t="str">
        <f t="array" ref="S490">IF($F490&lt;&gt;"",XLOOKUP($F490,Productos!$A:$A,Productos!L:L,"Revisar"),"")</f>
        <v/>
      </c>
      <c r="T490" s="179" t="str">
        <f t="array" ref="T490">IF($F490&lt;&gt;"", XLOOKUP($F490,Productos!$A$2:$A1001,Productos!M$2:M1001,"")*$G490,"")</f>
        <v/>
      </c>
      <c r="U490" s="179" t="str">
        <f t="array" ref="U490">IF($F490&lt;&gt;"",XLOOKUP($F490,Productos!$A:$A,Productos!N:N,"Revisar"),"")</f>
        <v/>
      </c>
      <c r="V490" s="179" t="str">
        <f t="array" ref="V490">IF($F490&lt;&gt;"", XLOOKUP($F490,Productos!$A$2:$A1001,Productos!O$2:O1001,"")*$G490,"")</f>
        <v/>
      </c>
      <c r="W490" s="179" t="str">
        <f t="array" ref="W490">IF($F490&lt;&gt;"",XLOOKUP($F490,Productos!$A:$A,Productos!P:P,"Revisar"),"")</f>
        <v/>
      </c>
      <c r="X490" s="179" t="str">
        <f t="array" ref="X490">IF($F490&lt;&gt;"", XLOOKUP($F490,Productos!$A$2:$A1001,Productos!Q$2:Q1001,"")*$G490,"")</f>
        <v/>
      </c>
      <c r="Y490" s="179" t="str">
        <f t="array" ref="Y490">IF($F490&lt;&gt;"",XLOOKUP($F490,Productos!$A:$A,Productos!R:R,"Revisar"),"")</f>
        <v/>
      </c>
      <c r="Z490" s="179" t="str">
        <f t="array" ref="Z490">IF($F490&lt;&gt;"", XLOOKUP($F490,Productos!$A$2:$A1001,Productos!S$2:S1001,"")*$G490,"")</f>
        <v/>
      </c>
      <c r="AA490" s="179" t="str">
        <f t="array" ref="AA490">IF($F490&lt;&gt;"",XLOOKUP($F490,Productos!$A:$A,Productos!T:T,"Revisar"),"")</f>
        <v/>
      </c>
      <c r="AB490" s="179" t="str">
        <f t="array" ref="AB490">IF($F490&lt;&gt;"", XLOOKUP($F490,Productos!$A$2:$A1001,Productos!U$2:U1001,"")*$G490,"")</f>
        <v/>
      </c>
      <c r="AC490" s="179" t="str">
        <f t="array" ref="AC490">IF($F490&lt;&gt;"",XLOOKUP($F490,Productos!$A:$A,Productos!V:V,"Revisar"),"")</f>
        <v/>
      </c>
      <c r="AD490" s="179" t="str">
        <f t="array" ref="AD490">IF($F490&lt;&gt;"", XLOOKUP($F490,Productos!$A$2:$A1001,Productos!W$2:W1001,"")*$G490,"")</f>
        <v/>
      </c>
      <c r="AE490" s="179" t="str">
        <f t="array" ref="AE490">IF($F490&lt;&gt;"",XLOOKUP($F490,Productos!$A:$A,Productos!X:X,"Revisar"),"")</f>
        <v/>
      </c>
      <c r="AF490" s="179" t="str">
        <f t="array" ref="AF490">IF($F490&lt;&gt;"", XLOOKUP($F490,Productos!$A$2:$A1001,Productos!Y$2:Y1001,"")*$G490,"")</f>
        <v/>
      </c>
      <c r="AG490" s="179" t="str">
        <f t="array" ref="AG490">IF($F490&lt;&gt;"",XLOOKUP($F490,Productos!$A:$A,Productos!Z:Z,"Revisar"),"")</f>
        <v/>
      </c>
      <c r="AH490" s="179" t="str">
        <f t="array" ref="AH490">IF($F490&lt;&gt;"", XLOOKUP($F490,Productos!$A$2:$A1001,Productos!AA$2:AA1001,"")*$G490,"")</f>
        <v/>
      </c>
      <c r="AI490" s="179" t="str">
        <f t="array" ref="AI490">IF($F490&lt;&gt;"",XLOOKUP($F490,Productos!$A:$A,Productos!AB:AB,"Revisar"),"")</f>
        <v/>
      </c>
      <c r="AJ490" s="179" t="str">
        <f t="array" ref="AJ490">IF($F490&lt;&gt;"", XLOOKUP($F490,Productos!$A$2:$A1001,Productos!AC$2:AC1001,"")*$G490,"")</f>
        <v/>
      </c>
      <c r="AK490" s="179" t="str">
        <f t="array" ref="AK490">IF($F490&lt;&gt;"",XLOOKUP($F490,Productos!$A:$A,Productos!AD:AD,"Revisar"),"")</f>
        <v/>
      </c>
      <c r="AL490" s="179" t="str">
        <f t="array" ref="AL490">IF($F490&lt;&gt;"", XLOOKUP($F490,Productos!$A$2:$A1001,Productos!AE$2:AE1001,"")*$G490,"")</f>
        <v/>
      </c>
      <c r="AM490" s="179" t="str">
        <f t="array" ref="AM490">IF($F490&lt;&gt;"",XLOOKUP($F490,Productos!$A:$A,Productos!AF:AF,"Revisar"),"")</f>
        <v/>
      </c>
      <c r="AN490" s="179" t="str">
        <f t="array" ref="AN490">IF($F490&lt;&gt;"", XLOOKUP($F490,Productos!$A$2:$A1001,Productos!AG$2:AG1001,"")*$G490,"")</f>
        <v/>
      </c>
      <c r="AO490" s="179" t="str">
        <f t="array" ref="AO490">IF($F490&lt;&gt;"",XLOOKUP($F490,Productos!$A:$A,Productos!AH:AH,"Revisar"),"")</f>
        <v/>
      </c>
      <c r="AP490" s="179" t="str">
        <f t="array" ref="AP490">IF($F490&lt;&gt;"", XLOOKUP($F490,Productos!$A$2:$A1001,Productos!AI$2:AI1001,"")*$G490,"")</f>
        <v/>
      </c>
      <c r="AQ490" s="179" t="str">
        <f t="array" ref="AQ490">IF($F490&lt;&gt;"",XLOOKUP($F490,Productos!$A:$A,Productos!AJ:AJ,"Revisar"),"")</f>
        <v/>
      </c>
      <c r="AR490" s="179" t="str">
        <f t="array" ref="AR490">IF($F490&lt;&gt;"", XLOOKUP($F490,Productos!$A$2:$A1001,Productos!AK$2:AK1001,"")*$G490,"")</f>
        <v/>
      </c>
      <c r="AS490" s="179" t="str">
        <f t="array" ref="AS490">IF($F490&lt;&gt;"",XLOOKUP($F490,Productos!$A:$A,Productos!AL:AL,"Revisar"),"")</f>
        <v/>
      </c>
      <c r="AT490" s="179" t="str">
        <f t="array" ref="AT490">IF($F490&lt;&gt;"", XLOOKUP($F490,Productos!$A$2:$A1001,Productos!AM$2:AM1001,"")*$G490,"")</f>
        <v/>
      </c>
      <c r="AU490" s="179" t="str">
        <f t="array" ref="AU490">IF($F490&lt;&gt;"",XLOOKUP($F490,Productos!$A:$A,Productos!AN:AN,"Revisar"),"")</f>
        <v/>
      </c>
      <c r="AV490" s="179" t="str">
        <f t="array" ref="AV490">IF($F490&lt;&gt;"", XLOOKUP($F490,Productos!$A$2:$A1001,Productos!AO$2:AO1001,"")*$G490,"")</f>
        <v/>
      </c>
      <c r="AW490" s="179" t="str">
        <f t="array" ref="AW490">IF($F490&lt;&gt;"",XLOOKUP($F490,Productos!$A:$A,Productos!AP:AP,"Revisar"),"")</f>
        <v/>
      </c>
      <c r="AX490" s="179" t="str">
        <f t="array" ref="AX490">IF($F490&lt;&gt;"", XLOOKUP($F490,Productos!$A$2:$A1001,Productos!AQ$2:AQ1001,"")*$G490,"")</f>
        <v/>
      </c>
      <c r="AY490" s="179" t="str">
        <f t="array" ref="AY490">IF($F490&lt;&gt;"",XLOOKUP($F490,Productos!$A:$A,Productos!AR:AR,"Revisar"),"")</f>
        <v/>
      </c>
      <c r="AZ490" s="179" t="str">
        <f t="array" ref="AZ490">IF($F490&lt;&gt;"", XLOOKUP($F490,Productos!$A$2:$A1001,Productos!AS$2:AS1001,"")*$G490,"")</f>
        <v/>
      </c>
      <c r="BA490" s="179" t="str">
        <f t="array" ref="BA490">IF($F490&lt;&gt;"",XLOOKUP($F490,Productos!$A:$A,Productos!AT:AT,"Revisar"),"")</f>
        <v/>
      </c>
      <c r="BB490" s="179" t="str">
        <f t="array" ref="BB490">IF($F490&lt;&gt;"", XLOOKUP($F490,Productos!$A$2:$A1001,Productos!AU$2:AU1001,"")*$G490,"")</f>
        <v/>
      </c>
      <c r="BC490" s="179" t="str">
        <f t="array" ref="BC490">IF($F490&lt;&gt;"",XLOOKUP($F490,Productos!$A:$A,Productos!AV:AV,"Revisar"),"")</f>
        <v/>
      </c>
      <c r="BD490" s="179" t="str">
        <f t="array" ref="BD490">IF($F490&lt;&gt;"", XLOOKUP($F490,Productos!$A$2:$A1001,Productos!AW$2:AW1001,"")*$G490,"")</f>
        <v/>
      </c>
      <c r="BE490" s="179" t="str">
        <f t="array" ref="BE490">IF($F490&lt;&gt;"",XLOOKUP($F490,Productos!$A:$A,Productos!AX:AX,"Revisar"),"")</f>
        <v/>
      </c>
      <c r="BF490" s="179" t="str">
        <f t="array" ref="BF490">IF($F490&lt;&gt;"", XLOOKUP($F490,Productos!$A$2:$A1001,Productos!AY$2:AY1001,"")*$G490,"")</f>
        <v/>
      </c>
      <c r="BG490" s="179" t="str">
        <f t="array" ref="BG490">IF($F490&lt;&gt;"",XLOOKUP($F490,Productos!$A:$A,Productos!AZ:AZ,"Revisar"),"")</f>
        <v/>
      </c>
      <c r="BH490" s="179" t="str">
        <f t="array" ref="BH490">IF($F490&lt;&gt;"", XLOOKUP($F490,Productos!$A$2:$A1001,Productos!BA$2:BA1001,"")*$G490,"")</f>
        <v/>
      </c>
      <c r="BI490" s="179" t="str">
        <f t="array" ref="BI490">IF($F490&lt;&gt;"",XLOOKUP($F490,Productos!$A:$A,Productos!BB:BB,"Revisar"),"")</f>
        <v/>
      </c>
      <c r="BJ490" s="179" t="str">
        <f t="array" ref="BJ490">IF($F490&lt;&gt;"", XLOOKUP($F490,Productos!$A$2:$A1001,Productos!BC$2:BC1001,"")*$G490,"")</f>
        <v/>
      </c>
      <c r="BK490" s="179" t="str">
        <f t="array" ref="BK490">IF($F490&lt;&gt;"",XLOOKUP($F490,Productos!$A:$A,Productos!BD:BD,"Revisar"),"")</f>
        <v/>
      </c>
      <c r="BL490" s="179" t="str">
        <f t="array" ref="BL490">IF($F490&lt;&gt;"", XLOOKUP($F490,Productos!$A$2:$A1001,Productos!BE$2:BE1001,"")*$G490,"")</f>
        <v/>
      </c>
      <c r="BM490" s="179" t="str">
        <f t="array" ref="BM490">IF($F490&lt;&gt;"",XLOOKUP($F490,Productos!$A:$A,Productos!BF:BF,"Revisar"),"")</f>
        <v/>
      </c>
      <c r="BN490" s="179" t="str">
        <f t="array" ref="BN490">IF($F490&lt;&gt;"", XLOOKUP($F490,Productos!$A$2:$A1001,Productos!BG$2:BG1001,"")*$G490,"")</f>
        <v/>
      </c>
      <c r="BO490" s="179" t="str">
        <f t="array" ref="BO490">IF($F490&lt;&gt;"",XLOOKUP($F490,Productos!$A:$A,Productos!BH:BH,"Revisar"),"")</f>
        <v/>
      </c>
      <c r="BP490" s="179" t="str">
        <f t="array" ref="BP490">IF($F490&lt;&gt;"", XLOOKUP($F490,Productos!$A$2:$A1001,Productos!BI$2:BI1001,"")*$G490,"")</f>
        <v/>
      </c>
      <c r="BQ490" s="179" t="str">
        <f t="array" ref="BQ490">IF($F490&lt;&gt;"",XLOOKUP($F490,Productos!$A:$A,Productos!BJ:BJ,"Revisar"),"")</f>
        <v/>
      </c>
      <c r="BR490" s="179" t="str">
        <f t="array" ref="BR490">IF($F490&lt;&gt;"", XLOOKUP($F490,Productos!$A$2:$A1001,Productos!BK$2:BK1001,"")*$G490,"")</f>
        <v/>
      </c>
      <c r="BS490" s="179" t="str">
        <f t="array" ref="BS490">IF($F490&lt;&gt;"",XLOOKUP($F490,Productos!$A:$A,Productos!BL:BL,"Revisar"),"")</f>
        <v/>
      </c>
      <c r="BT490" s="179" t="str">
        <f t="array" ref="BT490">IF($F490&lt;&gt;"", XLOOKUP($F490,Productos!$A$2:$A1001,Productos!BM$2:BM1001,"")*$G490,"")</f>
        <v/>
      </c>
      <c r="BU490" s="179" t="str">
        <f t="array" ref="BU490">IF($F490&lt;&gt;"",XLOOKUP($F490,Productos!$A:$A,Productos!BN:BN,"Revisar"),"")</f>
        <v/>
      </c>
      <c r="BV490" s="179" t="str">
        <f t="array" ref="BV490">IF($F490&lt;&gt;"", XLOOKUP($F490,Productos!$A$2:$A1001,Productos!BO$2:BO1001,"")*$G490,"")</f>
        <v/>
      </c>
      <c r="BW490" s="179" t="str">
        <f t="array" ref="BW490">IF($F490&lt;&gt;"",XLOOKUP($F490,Productos!$A:$A,Productos!BP:BP,"Revisar"),"")</f>
        <v/>
      </c>
      <c r="BX490" s="179" t="str">
        <f t="array" ref="BX490">IF($F490&lt;&gt;"", XLOOKUP($F490,Productos!$A$2:$A1001,Productos!BQ$2:BQ1001,"")*$G490,"")</f>
        <v/>
      </c>
      <c r="BY490" s="179" t="str">
        <f t="array" ref="BY490">IF($F490&lt;&gt;"",XLOOKUP($F490,Productos!$A:$A,Productos!BR:BR,"Revisar"),"")</f>
        <v/>
      </c>
      <c r="BZ490" s="179" t="str">
        <f t="array" ref="BZ490">IF($F490&lt;&gt;"", XLOOKUP($F490,Productos!$A$2:$A1001,Productos!BS$2:BS1001,"")*$G490,"")</f>
        <v/>
      </c>
    </row>
    <row r="491">
      <c r="A491" s="188"/>
      <c r="B491" s="189"/>
      <c r="C491" s="190"/>
      <c r="D491" s="190"/>
      <c r="E491" s="191"/>
      <c r="F491" s="186"/>
      <c r="G491" s="192"/>
      <c r="H491" s="9"/>
      <c r="I491" s="179" t="str">
        <f t="array" ref="I491">IF($F491&lt;&gt;"",XLOOKUP($F491,Productos!$A:$A,Productos!B:B,"Revisar"),"")</f>
        <v/>
      </c>
      <c r="J491" s="179" t="str">
        <f t="array" ref="J491">IF($F491&lt;&gt;"", XLOOKUP($F491,Productos!$A$2:$A1001,Productos!C$2:C1001,"")*$G491,"")</f>
        <v/>
      </c>
      <c r="K491" s="179" t="str">
        <f t="array" ref="K491">IF($F491&lt;&gt;"",XLOOKUP($F491,Productos!$A:$A,Productos!D:D,"Revisar"),"")</f>
        <v/>
      </c>
      <c r="L491" s="179" t="str">
        <f t="array" ref="L491">IF($F491&lt;&gt;"", XLOOKUP($F491,Productos!$A$2:$A1001,Productos!E$2:E1001,"")*$G491,"")</f>
        <v/>
      </c>
      <c r="M491" s="179" t="str">
        <f t="array" ref="M491">IF($F491&lt;&gt;"",XLOOKUP($F491,Productos!$A:$A,Productos!F:F,"Revisar"),"")</f>
        <v/>
      </c>
      <c r="N491" s="179" t="str">
        <f t="array" ref="N491">IF($F491&lt;&gt;"", XLOOKUP($F491,Productos!$A$2:$A1001,Productos!G$2:G1001,"")*$G491,"")</f>
        <v/>
      </c>
      <c r="O491" s="179" t="str">
        <f t="array" ref="O491">IF($F491&lt;&gt;"",XLOOKUP($F491,Productos!$A:$A,Productos!H:H,"Revisar"),"")</f>
        <v/>
      </c>
      <c r="P491" s="179" t="str">
        <f t="array" ref="P491">IF($F491&lt;&gt;"", XLOOKUP($F491,Productos!$A$2:$A1001,Productos!I$2:I1001,"")*$G491,"")</f>
        <v/>
      </c>
      <c r="Q491" s="179" t="str">
        <f t="array" ref="Q491">IF($F491&lt;&gt;"",XLOOKUP($F491,Productos!$A:$A,Productos!J:J,"Revisar"),"")</f>
        <v/>
      </c>
      <c r="R491" s="179" t="str">
        <f t="array" ref="R491">IF($F491&lt;&gt;"", XLOOKUP($F491,Productos!$A$2:$A1001,Productos!K$2:K1001,"")*$G491,"")</f>
        <v/>
      </c>
      <c r="S491" s="179" t="str">
        <f t="array" ref="S491">IF($F491&lt;&gt;"",XLOOKUP($F491,Productos!$A:$A,Productos!L:L,"Revisar"),"")</f>
        <v/>
      </c>
      <c r="T491" s="179" t="str">
        <f t="array" ref="T491">IF($F491&lt;&gt;"", XLOOKUP($F491,Productos!$A$2:$A1001,Productos!M$2:M1001,"")*$G491,"")</f>
        <v/>
      </c>
      <c r="U491" s="179" t="str">
        <f t="array" ref="U491">IF($F491&lt;&gt;"",XLOOKUP($F491,Productos!$A:$A,Productos!N:N,"Revisar"),"")</f>
        <v/>
      </c>
      <c r="V491" s="179" t="str">
        <f t="array" ref="V491">IF($F491&lt;&gt;"", XLOOKUP($F491,Productos!$A$2:$A1001,Productos!O$2:O1001,"")*$G491,"")</f>
        <v/>
      </c>
      <c r="W491" s="179" t="str">
        <f t="array" ref="W491">IF($F491&lt;&gt;"",XLOOKUP($F491,Productos!$A:$A,Productos!P:P,"Revisar"),"")</f>
        <v/>
      </c>
      <c r="X491" s="179" t="str">
        <f t="array" ref="X491">IF($F491&lt;&gt;"", XLOOKUP($F491,Productos!$A$2:$A1001,Productos!Q$2:Q1001,"")*$G491,"")</f>
        <v/>
      </c>
      <c r="Y491" s="179" t="str">
        <f t="array" ref="Y491">IF($F491&lt;&gt;"",XLOOKUP($F491,Productos!$A:$A,Productos!R:R,"Revisar"),"")</f>
        <v/>
      </c>
      <c r="Z491" s="179" t="str">
        <f t="array" ref="Z491">IF($F491&lt;&gt;"", XLOOKUP($F491,Productos!$A$2:$A1001,Productos!S$2:S1001,"")*$G491,"")</f>
        <v/>
      </c>
      <c r="AA491" s="179" t="str">
        <f t="array" ref="AA491">IF($F491&lt;&gt;"",XLOOKUP($F491,Productos!$A:$A,Productos!T:T,"Revisar"),"")</f>
        <v/>
      </c>
      <c r="AB491" s="179" t="str">
        <f t="array" ref="AB491">IF($F491&lt;&gt;"", XLOOKUP($F491,Productos!$A$2:$A1001,Productos!U$2:U1001,"")*$G491,"")</f>
        <v/>
      </c>
      <c r="AC491" s="179" t="str">
        <f t="array" ref="AC491">IF($F491&lt;&gt;"",XLOOKUP($F491,Productos!$A:$A,Productos!V:V,"Revisar"),"")</f>
        <v/>
      </c>
      <c r="AD491" s="179" t="str">
        <f t="array" ref="AD491">IF($F491&lt;&gt;"", XLOOKUP($F491,Productos!$A$2:$A1001,Productos!W$2:W1001,"")*$G491,"")</f>
        <v/>
      </c>
      <c r="AE491" s="179" t="str">
        <f t="array" ref="AE491">IF($F491&lt;&gt;"",XLOOKUP($F491,Productos!$A:$A,Productos!X:X,"Revisar"),"")</f>
        <v/>
      </c>
      <c r="AF491" s="179" t="str">
        <f t="array" ref="AF491">IF($F491&lt;&gt;"", XLOOKUP($F491,Productos!$A$2:$A1001,Productos!Y$2:Y1001,"")*$G491,"")</f>
        <v/>
      </c>
      <c r="AG491" s="179" t="str">
        <f t="array" ref="AG491">IF($F491&lt;&gt;"",XLOOKUP($F491,Productos!$A:$A,Productos!Z:Z,"Revisar"),"")</f>
        <v/>
      </c>
      <c r="AH491" s="179" t="str">
        <f t="array" ref="AH491">IF($F491&lt;&gt;"", XLOOKUP($F491,Productos!$A$2:$A1001,Productos!AA$2:AA1001,"")*$G491,"")</f>
        <v/>
      </c>
      <c r="AI491" s="179" t="str">
        <f t="array" ref="AI491">IF($F491&lt;&gt;"",XLOOKUP($F491,Productos!$A:$A,Productos!AB:AB,"Revisar"),"")</f>
        <v/>
      </c>
      <c r="AJ491" s="179" t="str">
        <f t="array" ref="AJ491">IF($F491&lt;&gt;"", XLOOKUP($F491,Productos!$A$2:$A1001,Productos!AC$2:AC1001,"")*$G491,"")</f>
        <v/>
      </c>
      <c r="AK491" s="179" t="str">
        <f t="array" ref="AK491">IF($F491&lt;&gt;"",XLOOKUP($F491,Productos!$A:$A,Productos!AD:AD,"Revisar"),"")</f>
        <v/>
      </c>
      <c r="AL491" s="179" t="str">
        <f t="array" ref="AL491">IF($F491&lt;&gt;"", XLOOKUP($F491,Productos!$A$2:$A1001,Productos!AE$2:AE1001,"")*$G491,"")</f>
        <v/>
      </c>
      <c r="AM491" s="179" t="str">
        <f t="array" ref="AM491">IF($F491&lt;&gt;"",XLOOKUP($F491,Productos!$A:$A,Productos!AF:AF,"Revisar"),"")</f>
        <v/>
      </c>
      <c r="AN491" s="179" t="str">
        <f t="array" ref="AN491">IF($F491&lt;&gt;"", XLOOKUP($F491,Productos!$A$2:$A1001,Productos!AG$2:AG1001,"")*$G491,"")</f>
        <v/>
      </c>
      <c r="AO491" s="179" t="str">
        <f t="array" ref="AO491">IF($F491&lt;&gt;"",XLOOKUP($F491,Productos!$A:$A,Productos!AH:AH,"Revisar"),"")</f>
        <v/>
      </c>
      <c r="AP491" s="179" t="str">
        <f t="array" ref="AP491">IF($F491&lt;&gt;"", XLOOKUP($F491,Productos!$A$2:$A1001,Productos!AI$2:AI1001,"")*$G491,"")</f>
        <v/>
      </c>
      <c r="AQ491" s="179" t="str">
        <f t="array" ref="AQ491">IF($F491&lt;&gt;"",XLOOKUP($F491,Productos!$A:$A,Productos!AJ:AJ,"Revisar"),"")</f>
        <v/>
      </c>
      <c r="AR491" s="179" t="str">
        <f t="array" ref="AR491">IF($F491&lt;&gt;"", XLOOKUP($F491,Productos!$A$2:$A1001,Productos!AK$2:AK1001,"")*$G491,"")</f>
        <v/>
      </c>
      <c r="AS491" s="179" t="str">
        <f t="array" ref="AS491">IF($F491&lt;&gt;"",XLOOKUP($F491,Productos!$A:$A,Productos!AL:AL,"Revisar"),"")</f>
        <v/>
      </c>
      <c r="AT491" s="179" t="str">
        <f t="array" ref="AT491">IF($F491&lt;&gt;"", XLOOKUP($F491,Productos!$A$2:$A1001,Productos!AM$2:AM1001,"")*$G491,"")</f>
        <v/>
      </c>
      <c r="AU491" s="179" t="str">
        <f t="array" ref="AU491">IF($F491&lt;&gt;"",XLOOKUP($F491,Productos!$A:$A,Productos!AN:AN,"Revisar"),"")</f>
        <v/>
      </c>
      <c r="AV491" s="179" t="str">
        <f t="array" ref="AV491">IF($F491&lt;&gt;"", XLOOKUP($F491,Productos!$A$2:$A1001,Productos!AO$2:AO1001,"")*$G491,"")</f>
        <v/>
      </c>
      <c r="AW491" s="179" t="str">
        <f t="array" ref="AW491">IF($F491&lt;&gt;"",XLOOKUP($F491,Productos!$A:$A,Productos!AP:AP,"Revisar"),"")</f>
        <v/>
      </c>
      <c r="AX491" s="179" t="str">
        <f t="array" ref="AX491">IF($F491&lt;&gt;"", XLOOKUP($F491,Productos!$A$2:$A1001,Productos!AQ$2:AQ1001,"")*$G491,"")</f>
        <v/>
      </c>
      <c r="AY491" s="179" t="str">
        <f t="array" ref="AY491">IF($F491&lt;&gt;"",XLOOKUP($F491,Productos!$A:$A,Productos!AR:AR,"Revisar"),"")</f>
        <v/>
      </c>
      <c r="AZ491" s="179" t="str">
        <f t="array" ref="AZ491">IF($F491&lt;&gt;"", XLOOKUP($F491,Productos!$A$2:$A1001,Productos!AS$2:AS1001,"")*$G491,"")</f>
        <v/>
      </c>
      <c r="BA491" s="179" t="str">
        <f t="array" ref="BA491">IF($F491&lt;&gt;"",XLOOKUP($F491,Productos!$A:$A,Productos!AT:AT,"Revisar"),"")</f>
        <v/>
      </c>
      <c r="BB491" s="179" t="str">
        <f t="array" ref="BB491">IF($F491&lt;&gt;"", XLOOKUP($F491,Productos!$A$2:$A1001,Productos!AU$2:AU1001,"")*$G491,"")</f>
        <v/>
      </c>
      <c r="BC491" s="179" t="str">
        <f t="array" ref="BC491">IF($F491&lt;&gt;"",XLOOKUP($F491,Productos!$A:$A,Productos!AV:AV,"Revisar"),"")</f>
        <v/>
      </c>
      <c r="BD491" s="179" t="str">
        <f t="array" ref="BD491">IF($F491&lt;&gt;"", XLOOKUP($F491,Productos!$A$2:$A1001,Productos!AW$2:AW1001,"")*$G491,"")</f>
        <v/>
      </c>
      <c r="BE491" s="179" t="str">
        <f t="array" ref="BE491">IF($F491&lt;&gt;"",XLOOKUP($F491,Productos!$A:$A,Productos!AX:AX,"Revisar"),"")</f>
        <v/>
      </c>
      <c r="BF491" s="179" t="str">
        <f t="array" ref="BF491">IF($F491&lt;&gt;"", XLOOKUP($F491,Productos!$A$2:$A1001,Productos!AY$2:AY1001,"")*$G491,"")</f>
        <v/>
      </c>
      <c r="BG491" s="179" t="str">
        <f t="array" ref="BG491">IF($F491&lt;&gt;"",XLOOKUP($F491,Productos!$A:$A,Productos!AZ:AZ,"Revisar"),"")</f>
        <v/>
      </c>
      <c r="BH491" s="179" t="str">
        <f t="array" ref="BH491">IF($F491&lt;&gt;"", XLOOKUP($F491,Productos!$A$2:$A1001,Productos!BA$2:BA1001,"")*$G491,"")</f>
        <v/>
      </c>
      <c r="BI491" s="179" t="str">
        <f t="array" ref="BI491">IF($F491&lt;&gt;"",XLOOKUP($F491,Productos!$A:$A,Productos!BB:BB,"Revisar"),"")</f>
        <v/>
      </c>
      <c r="BJ491" s="179" t="str">
        <f t="array" ref="BJ491">IF($F491&lt;&gt;"", XLOOKUP($F491,Productos!$A$2:$A1001,Productos!BC$2:BC1001,"")*$G491,"")</f>
        <v/>
      </c>
      <c r="BK491" s="179" t="str">
        <f t="array" ref="BK491">IF($F491&lt;&gt;"",XLOOKUP($F491,Productos!$A:$A,Productos!BD:BD,"Revisar"),"")</f>
        <v/>
      </c>
      <c r="BL491" s="179" t="str">
        <f t="array" ref="BL491">IF($F491&lt;&gt;"", XLOOKUP($F491,Productos!$A$2:$A1001,Productos!BE$2:BE1001,"")*$G491,"")</f>
        <v/>
      </c>
      <c r="BM491" s="179" t="str">
        <f t="array" ref="BM491">IF($F491&lt;&gt;"",XLOOKUP($F491,Productos!$A:$A,Productos!BF:BF,"Revisar"),"")</f>
        <v/>
      </c>
      <c r="BN491" s="179" t="str">
        <f t="array" ref="BN491">IF($F491&lt;&gt;"", XLOOKUP($F491,Productos!$A$2:$A1001,Productos!BG$2:BG1001,"")*$G491,"")</f>
        <v/>
      </c>
      <c r="BO491" s="179" t="str">
        <f t="array" ref="BO491">IF($F491&lt;&gt;"",XLOOKUP($F491,Productos!$A:$A,Productos!BH:BH,"Revisar"),"")</f>
        <v/>
      </c>
      <c r="BP491" s="179" t="str">
        <f t="array" ref="BP491">IF($F491&lt;&gt;"", XLOOKUP($F491,Productos!$A$2:$A1001,Productos!BI$2:BI1001,"")*$G491,"")</f>
        <v/>
      </c>
      <c r="BQ491" s="179" t="str">
        <f t="array" ref="BQ491">IF($F491&lt;&gt;"",XLOOKUP($F491,Productos!$A:$A,Productos!BJ:BJ,"Revisar"),"")</f>
        <v/>
      </c>
      <c r="BR491" s="179" t="str">
        <f t="array" ref="BR491">IF($F491&lt;&gt;"", XLOOKUP($F491,Productos!$A$2:$A1001,Productos!BK$2:BK1001,"")*$G491,"")</f>
        <v/>
      </c>
      <c r="BS491" s="179" t="str">
        <f t="array" ref="BS491">IF($F491&lt;&gt;"",XLOOKUP($F491,Productos!$A:$A,Productos!BL:BL,"Revisar"),"")</f>
        <v/>
      </c>
      <c r="BT491" s="179" t="str">
        <f t="array" ref="BT491">IF($F491&lt;&gt;"", XLOOKUP($F491,Productos!$A$2:$A1001,Productos!BM$2:BM1001,"")*$G491,"")</f>
        <v/>
      </c>
      <c r="BU491" s="179" t="str">
        <f t="array" ref="BU491">IF($F491&lt;&gt;"",XLOOKUP($F491,Productos!$A:$A,Productos!BN:BN,"Revisar"),"")</f>
        <v/>
      </c>
      <c r="BV491" s="179" t="str">
        <f t="array" ref="BV491">IF($F491&lt;&gt;"", XLOOKUP($F491,Productos!$A$2:$A1001,Productos!BO$2:BO1001,"")*$G491,"")</f>
        <v/>
      </c>
      <c r="BW491" s="179" t="str">
        <f t="array" ref="BW491">IF($F491&lt;&gt;"",XLOOKUP($F491,Productos!$A:$A,Productos!BP:BP,"Revisar"),"")</f>
        <v/>
      </c>
      <c r="BX491" s="179" t="str">
        <f t="array" ref="BX491">IF($F491&lt;&gt;"", XLOOKUP($F491,Productos!$A$2:$A1001,Productos!BQ$2:BQ1001,"")*$G491,"")</f>
        <v/>
      </c>
      <c r="BY491" s="179" t="str">
        <f t="array" ref="BY491">IF($F491&lt;&gt;"",XLOOKUP($F491,Productos!$A:$A,Productos!BR:BR,"Revisar"),"")</f>
        <v/>
      </c>
      <c r="BZ491" s="179" t="str">
        <f t="array" ref="BZ491">IF($F491&lt;&gt;"", XLOOKUP($F491,Productos!$A$2:$A1001,Productos!BS$2:BS1001,"")*$G491,"")</f>
        <v/>
      </c>
    </row>
    <row r="492">
      <c r="A492" s="188"/>
      <c r="B492" s="189"/>
      <c r="C492" s="190"/>
      <c r="D492" s="190"/>
      <c r="E492" s="191"/>
      <c r="F492" s="186"/>
      <c r="G492" s="192"/>
      <c r="H492" s="9"/>
      <c r="I492" s="179" t="str">
        <f t="array" ref="I492">IF($F492&lt;&gt;"",XLOOKUP($F492,Productos!$A:$A,Productos!B:B,"Revisar"),"")</f>
        <v/>
      </c>
      <c r="J492" s="179" t="str">
        <f t="array" ref="J492">IF($F492&lt;&gt;"", XLOOKUP($F492,Productos!$A$2:$A1001,Productos!C$2:C1001,"")*$G492,"")</f>
        <v/>
      </c>
      <c r="K492" s="179" t="str">
        <f t="array" ref="K492">IF($F492&lt;&gt;"",XLOOKUP($F492,Productos!$A:$A,Productos!D:D,"Revisar"),"")</f>
        <v/>
      </c>
      <c r="L492" s="179" t="str">
        <f t="array" ref="L492">IF($F492&lt;&gt;"", XLOOKUP($F492,Productos!$A$2:$A1001,Productos!E$2:E1001,"")*$G492,"")</f>
        <v/>
      </c>
      <c r="M492" s="179" t="str">
        <f t="array" ref="M492">IF($F492&lt;&gt;"",XLOOKUP($F492,Productos!$A:$A,Productos!F:F,"Revisar"),"")</f>
        <v/>
      </c>
      <c r="N492" s="179" t="str">
        <f t="array" ref="N492">IF($F492&lt;&gt;"", XLOOKUP($F492,Productos!$A$2:$A1001,Productos!G$2:G1001,"")*$G492,"")</f>
        <v/>
      </c>
      <c r="O492" s="179" t="str">
        <f t="array" ref="O492">IF($F492&lt;&gt;"",XLOOKUP($F492,Productos!$A:$A,Productos!H:H,"Revisar"),"")</f>
        <v/>
      </c>
      <c r="P492" s="179" t="str">
        <f t="array" ref="P492">IF($F492&lt;&gt;"", XLOOKUP($F492,Productos!$A$2:$A1001,Productos!I$2:I1001,"")*$G492,"")</f>
        <v/>
      </c>
      <c r="Q492" s="179" t="str">
        <f t="array" ref="Q492">IF($F492&lt;&gt;"",XLOOKUP($F492,Productos!$A:$A,Productos!J:J,"Revisar"),"")</f>
        <v/>
      </c>
      <c r="R492" s="179" t="str">
        <f t="array" ref="R492">IF($F492&lt;&gt;"", XLOOKUP($F492,Productos!$A$2:$A1001,Productos!K$2:K1001,"")*$G492,"")</f>
        <v/>
      </c>
      <c r="S492" s="179" t="str">
        <f t="array" ref="S492">IF($F492&lt;&gt;"",XLOOKUP($F492,Productos!$A:$A,Productos!L:L,"Revisar"),"")</f>
        <v/>
      </c>
      <c r="T492" s="179" t="str">
        <f t="array" ref="T492">IF($F492&lt;&gt;"", XLOOKUP($F492,Productos!$A$2:$A1001,Productos!M$2:M1001,"")*$G492,"")</f>
        <v/>
      </c>
      <c r="U492" s="179" t="str">
        <f t="array" ref="U492">IF($F492&lt;&gt;"",XLOOKUP($F492,Productos!$A:$A,Productos!N:N,"Revisar"),"")</f>
        <v/>
      </c>
      <c r="V492" s="179" t="str">
        <f t="array" ref="V492">IF($F492&lt;&gt;"", XLOOKUP($F492,Productos!$A$2:$A1001,Productos!O$2:O1001,"")*$G492,"")</f>
        <v/>
      </c>
      <c r="W492" s="179" t="str">
        <f t="array" ref="W492">IF($F492&lt;&gt;"",XLOOKUP($F492,Productos!$A:$A,Productos!P:P,"Revisar"),"")</f>
        <v/>
      </c>
      <c r="X492" s="179" t="str">
        <f t="array" ref="X492">IF($F492&lt;&gt;"", XLOOKUP($F492,Productos!$A$2:$A1001,Productos!Q$2:Q1001,"")*$G492,"")</f>
        <v/>
      </c>
      <c r="Y492" s="179" t="str">
        <f t="array" ref="Y492">IF($F492&lt;&gt;"",XLOOKUP($F492,Productos!$A:$A,Productos!R:R,"Revisar"),"")</f>
        <v/>
      </c>
      <c r="Z492" s="179" t="str">
        <f t="array" ref="Z492">IF($F492&lt;&gt;"", XLOOKUP($F492,Productos!$A$2:$A1001,Productos!S$2:S1001,"")*$G492,"")</f>
        <v/>
      </c>
      <c r="AA492" s="179" t="str">
        <f t="array" ref="AA492">IF($F492&lt;&gt;"",XLOOKUP($F492,Productos!$A:$A,Productos!T:T,"Revisar"),"")</f>
        <v/>
      </c>
      <c r="AB492" s="179" t="str">
        <f t="array" ref="AB492">IF($F492&lt;&gt;"", XLOOKUP($F492,Productos!$A$2:$A1001,Productos!U$2:U1001,"")*$G492,"")</f>
        <v/>
      </c>
      <c r="AC492" s="179" t="str">
        <f t="array" ref="AC492">IF($F492&lt;&gt;"",XLOOKUP($F492,Productos!$A:$A,Productos!V:V,"Revisar"),"")</f>
        <v/>
      </c>
      <c r="AD492" s="179" t="str">
        <f t="array" ref="AD492">IF($F492&lt;&gt;"", XLOOKUP($F492,Productos!$A$2:$A1001,Productos!W$2:W1001,"")*$G492,"")</f>
        <v/>
      </c>
      <c r="AE492" s="179" t="str">
        <f t="array" ref="AE492">IF($F492&lt;&gt;"",XLOOKUP($F492,Productos!$A:$A,Productos!X:X,"Revisar"),"")</f>
        <v/>
      </c>
      <c r="AF492" s="179" t="str">
        <f t="array" ref="AF492">IF($F492&lt;&gt;"", XLOOKUP($F492,Productos!$A$2:$A1001,Productos!Y$2:Y1001,"")*$G492,"")</f>
        <v/>
      </c>
      <c r="AG492" s="179" t="str">
        <f t="array" ref="AG492">IF($F492&lt;&gt;"",XLOOKUP($F492,Productos!$A:$A,Productos!Z:Z,"Revisar"),"")</f>
        <v/>
      </c>
      <c r="AH492" s="179" t="str">
        <f t="array" ref="AH492">IF($F492&lt;&gt;"", XLOOKUP($F492,Productos!$A$2:$A1001,Productos!AA$2:AA1001,"")*$G492,"")</f>
        <v/>
      </c>
      <c r="AI492" s="179" t="str">
        <f t="array" ref="AI492">IF($F492&lt;&gt;"",XLOOKUP($F492,Productos!$A:$A,Productos!AB:AB,"Revisar"),"")</f>
        <v/>
      </c>
      <c r="AJ492" s="179" t="str">
        <f t="array" ref="AJ492">IF($F492&lt;&gt;"", XLOOKUP($F492,Productos!$A$2:$A1001,Productos!AC$2:AC1001,"")*$G492,"")</f>
        <v/>
      </c>
      <c r="AK492" s="179" t="str">
        <f t="array" ref="AK492">IF($F492&lt;&gt;"",XLOOKUP($F492,Productos!$A:$A,Productos!AD:AD,"Revisar"),"")</f>
        <v/>
      </c>
      <c r="AL492" s="179" t="str">
        <f t="array" ref="AL492">IF($F492&lt;&gt;"", XLOOKUP($F492,Productos!$A$2:$A1001,Productos!AE$2:AE1001,"")*$G492,"")</f>
        <v/>
      </c>
      <c r="AM492" s="179" t="str">
        <f t="array" ref="AM492">IF($F492&lt;&gt;"",XLOOKUP($F492,Productos!$A:$A,Productos!AF:AF,"Revisar"),"")</f>
        <v/>
      </c>
      <c r="AN492" s="179" t="str">
        <f t="array" ref="AN492">IF($F492&lt;&gt;"", XLOOKUP($F492,Productos!$A$2:$A1001,Productos!AG$2:AG1001,"")*$G492,"")</f>
        <v/>
      </c>
      <c r="AO492" s="179" t="str">
        <f t="array" ref="AO492">IF($F492&lt;&gt;"",XLOOKUP($F492,Productos!$A:$A,Productos!AH:AH,"Revisar"),"")</f>
        <v/>
      </c>
      <c r="AP492" s="179" t="str">
        <f t="array" ref="AP492">IF($F492&lt;&gt;"", XLOOKUP($F492,Productos!$A$2:$A1001,Productos!AI$2:AI1001,"")*$G492,"")</f>
        <v/>
      </c>
      <c r="AQ492" s="179" t="str">
        <f t="array" ref="AQ492">IF($F492&lt;&gt;"",XLOOKUP($F492,Productos!$A:$A,Productos!AJ:AJ,"Revisar"),"")</f>
        <v/>
      </c>
      <c r="AR492" s="179" t="str">
        <f t="array" ref="AR492">IF($F492&lt;&gt;"", XLOOKUP($F492,Productos!$A$2:$A1001,Productos!AK$2:AK1001,"")*$G492,"")</f>
        <v/>
      </c>
      <c r="AS492" s="179" t="str">
        <f t="array" ref="AS492">IF($F492&lt;&gt;"",XLOOKUP($F492,Productos!$A:$A,Productos!AL:AL,"Revisar"),"")</f>
        <v/>
      </c>
      <c r="AT492" s="179" t="str">
        <f t="array" ref="AT492">IF($F492&lt;&gt;"", XLOOKUP($F492,Productos!$A$2:$A1001,Productos!AM$2:AM1001,"")*$G492,"")</f>
        <v/>
      </c>
      <c r="AU492" s="179" t="str">
        <f t="array" ref="AU492">IF($F492&lt;&gt;"",XLOOKUP($F492,Productos!$A:$A,Productos!AN:AN,"Revisar"),"")</f>
        <v/>
      </c>
      <c r="AV492" s="179" t="str">
        <f t="array" ref="AV492">IF($F492&lt;&gt;"", XLOOKUP($F492,Productos!$A$2:$A1001,Productos!AO$2:AO1001,"")*$G492,"")</f>
        <v/>
      </c>
      <c r="AW492" s="179" t="str">
        <f t="array" ref="AW492">IF($F492&lt;&gt;"",XLOOKUP($F492,Productos!$A:$A,Productos!AP:AP,"Revisar"),"")</f>
        <v/>
      </c>
      <c r="AX492" s="179" t="str">
        <f t="array" ref="AX492">IF($F492&lt;&gt;"", XLOOKUP($F492,Productos!$A$2:$A1001,Productos!AQ$2:AQ1001,"")*$G492,"")</f>
        <v/>
      </c>
      <c r="AY492" s="179" t="str">
        <f t="array" ref="AY492">IF($F492&lt;&gt;"",XLOOKUP($F492,Productos!$A:$A,Productos!AR:AR,"Revisar"),"")</f>
        <v/>
      </c>
      <c r="AZ492" s="179" t="str">
        <f t="array" ref="AZ492">IF($F492&lt;&gt;"", XLOOKUP($F492,Productos!$A$2:$A1001,Productos!AS$2:AS1001,"")*$G492,"")</f>
        <v/>
      </c>
      <c r="BA492" s="179" t="str">
        <f t="array" ref="BA492">IF($F492&lt;&gt;"",XLOOKUP($F492,Productos!$A:$A,Productos!AT:AT,"Revisar"),"")</f>
        <v/>
      </c>
      <c r="BB492" s="179" t="str">
        <f t="array" ref="BB492">IF($F492&lt;&gt;"", XLOOKUP($F492,Productos!$A$2:$A1001,Productos!AU$2:AU1001,"")*$G492,"")</f>
        <v/>
      </c>
      <c r="BC492" s="179" t="str">
        <f t="array" ref="BC492">IF($F492&lt;&gt;"",XLOOKUP($F492,Productos!$A:$A,Productos!AV:AV,"Revisar"),"")</f>
        <v/>
      </c>
      <c r="BD492" s="179" t="str">
        <f t="array" ref="BD492">IF($F492&lt;&gt;"", XLOOKUP($F492,Productos!$A$2:$A1001,Productos!AW$2:AW1001,"")*$G492,"")</f>
        <v/>
      </c>
      <c r="BE492" s="179" t="str">
        <f t="array" ref="BE492">IF($F492&lt;&gt;"",XLOOKUP($F492,Productos!$A:$A,Productos!AX:AX,"Revisar"),"")</f>
        <v/>
      </c>
      <c r="BF492" s="179" t="str">
        <f t="array" ref="BF492">IF($F492&lt;&gt;"", XLOOKUP($F492,Productos!$A$2:$A1001,Productos!AY$2:AY1001,"")*$G492,"")</f>
        <v/>
      </c>
      <c r="BG492" s="179" t="str">
        <f t="array" ref="BG492">IF($F492&lt;&gt;"",XLOOKUP($F492,Productos!$A:$A,Productos!AZ:AZ,"Revisar"),"")</f>
        <v/>
      </c>
      <c r="BH492" s="179" t="str">
        <f t="array" ref="BH492">IF($F492&lt;&gt;"", XLOOKUP($F492,Productos!$A$2:$A1001,Productos!BA$2:BA1001,"")*$G492,"")</f>
        <v/>
      </c>
      <c r="BI492" s="179" t="str">
        <f t="array" ref="BI492">IF($F492&lt;&gt;"",XLOOKUP($F492,Productos!$A:$A,Productos!BB:BB,"Revisar"),"")</f>
        <v/>
      </c>
      <c r="BJ492" s="179" t="str">
        <f t="array" ref="BJ492">IF($F492&lt;&gt;"", XLOOKUP($F492,Productos!$A$2:$A1001,Productos!BC$2:BC1001,"")*$G492,"")</f>
        <v/>
      </c>
      <c r="BK492" s="179" t="str">
        <f t="array" ref="BK492">IF($F492&lt;&gt;"",XLOOKUP($F492,Productos!$A:$A,Productos!BD:BD,"Revisar"),"")</f>
        <v/>
      </c>
      <c r="BL492" s="179" t="str">
        <f t="array" ref="BL492">IF($F492&lt;&gt;"", XLOOKUP($F492,Productos!$A$2:$A1001,Productos!BE$2:BE1001,"")*$G492,"")</f>
        <v/>
      </c>
      <c r="BM492" s="179" t="str">
        <f t="array" ref="BM492">IF($F492&lt;&gt;"",XLOOKUP($F492,Productos!$A:$A,Productos!BF:BF,"Revisar"),"")</f>
        <v/>
      </c>
      <c r="BN492" s="179" t="str">
        <f t="array" ref="BN492">IF($F492&lt;&gt;"", XLOOKUP($F492,Productos!$A$2:$A1001,Productos!BG$2:BG1001,"")*$G492,"")</f>
        <v/>
      </c>
      <c r="BO492" s="179" t="str">
        <f t="array" ref="BO492">IF($F492&lt;&gt;"",XLOOKUP($F492,Productos!$A:$A,Productos!BH:BH,"Revisar"),"")</f>
        <v/>
      </c>
      <c r="BP492" s="179" t="str">
        <f t="array" ref="BP492">IF($F492&lt;&gt;"", XLOOKUP($F492,Productos!$A$2:$A1001,Productos!BI$2:BI1001,"")*$G492,"")</f>
        <v/>
      </c>
      <c r="BQ492" s="179" t="str">
        <f t="array" ref="BQ492">IF($F492&lt;&gt;"",XLOOKUP($F492,Productos!$A:$A,Productos!BJ:BJ,"Revisar"),"")</f>
        <v/>
      </c>
      <c r="BR492" s="179" t="str">
        <f t="array" ref="BR492">IF($F492&lt;&gt;"", XLOOKUP($F492,Productos!$A$2:$A1001,Productos!BK$2:BK1001,"")*$G492,"")</f>
        <v/>
      </c>
      <c r="BS492" s="179" t="str">
        <f t="array" ref="BS492">IF($F492&lt;&gt;"",XLOOKUP($F492,Productos!$A:$A,Productos!BL:BL,"Revisar"),"")</f>
        <v/>
      </c>
      <c r="BT492" s="179" t="str">
        <f t="array" ref="BT492">IF($F492&lt;&gt;"", XLOOKUP($F492,Productos!$A$2:$A1001,Productos!BM$2:BM1001,"")*$G492,"")</f>
        <v/>
      </c>
      <c r="BU492" s="179" t="str">
        <f t="array" ref="BU492">IF($F492&lt;&gt;"",XLOOKUP($F492,Productos!$A:$A,Productos!BN:BN,"Revisar"),"")</f>
        <v/>
      </c>
      <c r="BV492" s="179" t="str">
        <f t="array" ref="BV492">IF($F492&lt;&gt;"", XLOOKUP($F492,Productos!$A$2:$A1001,Productos!BO$2:BO1001,"")*$G492,"")</f>
        <v/>
      </c>
      <c r="BW492" s="179" t="str">
        <f t="array" ref="BW492">IF($F492&lt;&gt;"",XLOOKUP($F492,Productos!$A:$A,Productos!BP:BP,"Revisar"),"")</f>
        <v/>
      </c>
      <c r="BX492" s="179" t="str">
        <f t="array" ref="BX492">IF($F492&lt;&gt;"", XLOOKUP($F492,Productos!$A$2:$A1001,Productos!BQ$2:BQ1001,"")*$G492,"")</f>
        <v/>
      </c>
      <c r="BY492" s="179" t="str">
        <f t="array" ref="BY492">IF($F492&lt;&gt;"",XLOOKUP($F492,Productos!$A:$A,Productos!BR:BR,"Revisar"),"")</f>
        <v/>
      </c>
      <c r="BZ492" s="179" t="str">
        <f t="array" ref="BZ492">IF($F492&lt;&gt;"", XLOOKUP($F492,Productos!$A$2:$A1001,Productos!BS$2:BS1001,"")*$G492,"")</f>
        <v/>
      </c>
    </row>
    <row r="493">
      <c r="A493" s="188"/>
      <c r="B493" s="189"/>
      <c r="C493" s="190"/>
      <c r="D493" s="190"/>
      <c r="E493" s="191"/>
      <c r="F493" s="186"/>
      <c r="G493" s="192"/>
      <c r="H493" s="9"/>
      <c r="I493" s="179" t="str">
        <f t="array" ref="I493">IF($F493&lt;&gt;"",XLOOKUP($F493,Productos!$A:$A,Productos!B:B,"Revisar"),"")</f>
        <v/>
      </c>
      <c r="J493" s="179" t="str">
        <f t="array" ref="J493">IF($F493&lt;&gt;"", XLOOKUP($F493,Productos!$A$2:$A1001,Productos!C$2:C1001,"")*$G493,"")</f>
        <v/>
      </c>
      <c r="K493" s="179" t="str">
        <f t="array" ref="K493">IF($F493&lt;&gt;"",XLOOKUP($F493,Productos!$A:$A,Productos!D:D,"Revisar"),"")</f>
        <v/>
      </c>
      <c r="L493" s="179" t="str">
        <f t="array" ref="L493">IF($F493&lt;&gt;"", XLOOKUP($F493,Productos!$A$2:$A1001,Productos!E$2:E1001,"")*$G493,"")</f>
        <v/>
      </c>
      <c r="M493" s="179" t="str">
        <f t="array" ref="M493">IF($F493&lt;&gt;"",XLOOKUP($F493,Productos!$A:$A,Productos!F:F,"Revisar"),"")</f>
        <v/>
      </c>
      <c r="N493" s="179" t="str">
        <f t="array" ref="N493">IF($F493&lt;&gt;"", XLOOKUP($F493,Productos!$A$2:$A1001,Productos!G$2:G1001,"")*$G493,"")</f>
        <v/>
      </c>
      <c r="O493" s="179" t="str">
        <f t="array" ref="O493">IF($F493&lt;&gt;"",XLOOKUP($F493,Productos!$A:$A,Productos!H:H,"Revisar"),"")</f>
        <v/>
      </c>
      <c r="P493" s="179" t="str">
        <f t="array" ref="P493">IF($F493&lt;&gt;"", XLOOKUP($F493,Productos!$A$2:$A1001,Productos!I$2:I1001,"")*$G493,"")</f>
        <v/>
      </c>
      <c r="Q493" s="179" t="str">
        <f t="array" ref="Q493">IF($F493&lt;&gt;"",XLOOKUP($F493,Productos!$A:$A,Productos!J:J,"Revisar"),"")</f>
        <v/>
      </c>
      <c r="R493" s="179" t="str">
        <f t="array" ref="R493">IF($F493&lt;&gt;"", XLOOKUP($F493,Productos!$A$2:$A1001,Productos!K$2:K1001,"")*$G493,"")</f>
        <v/>
      </c>
      <c r="S493" s="179" t="str">
        <f t="array" ref="S493">IF($F493&lt;&gt;"",XLOOKUP($F493,Productos!$A:$A,Productos!L:L,"Revisar"),"")</f>
        <v/>
      </c>
      <c r="T493" s="179" t="str">
        <f t="array" ref="T493">IF($F493&lt;&gt;"", XLOOKUP($F493,Productos!$A$2:$A1001,Productos!M$2:M1001,"")*$G493,"")</f>
        <v/>
      </c>
      <c r="U493" s="179" t="str">
        <f t="array" ref="U493">IF($F493&lt;&gt;"",XLOOKUP($F493,Productos!$A:$A,Productos!N:N,"Revisar"),"")</f>
        <v/>
      </c>
      <c r="V493" s="179" t="str">
        <f t="array" ref="V493">IF($F493&lt;&gt;"", XLOOKUP($F493,Productos!$A$2:$A1001,Productos!O$2:O1001,"")*$G493,"")</f>
        <v/>
      </c>
      <c r="W493" s="179" t="str">
        <f t="array" ref="W493">IF($F493&lt;&gt;"",XLOOKUP($F493,Productos!$A:$A,Productos!P:P,"Revisar"),"")</f>
        <v/>
      </c>
      <c r="X493" s="179" t="str">
        <f t="array" ref="X493">IF($F493&lt;&gt;"", XLOOKUP($F493,Productos!$A$2:$A1001,Productos!Q$2:Q1001,"")*$G493,"")</f>
        <v/>
      </c>
      <c r="Y493" s="179" t="str">
        <f t="array" ref="Y493">IF($F493&lt;&gt;"",XLOOKUP($F493,Productos!$A:$A,Productos!R:R,"Revisar"),"")</f>
        <v/>
      </c>
      <c r="Z493" s="179" t="str">
        <f t="array" ref="Z493">IF($F493&lt;&gt;"", XLOOKUP($F493,Productos!$A$2:$A1001,Productos!S$2:S1001,"")*$G493,"")</f>
        <v/>
      </c>
      <c r="AA493" s="179" t="str">
        <f t="array" ref="AA493">IF($F493&lt;&gt;"",XLOOKUP($F493,Productos!$A:$A,Productos!T:T,"Revisar"),"")</f>
        <v/>
      </c>
      <c r="AB493" s="179" t="str">
        <f t="array" ref="AB493">IF($F493&lt;&gt;"", XLOOKUP($F493,Productos!$A$2:$A1001,Productos!U$2:U1001,"")*$G493,"")</f>
        <v/>
      </c>
      <c r="AC493" s="179" t="str">
        <f t="array" ref="AC493">IF($F493&lt;&gt;"",XLOOKUP($F493,Productos!$A:$A,Productos!V:V,"Revisar"),"")</f>
        <v/>
      </c>
      <c r="AD493" s="179" t="str">
        <f t="array" ref="AD493">IF($F493&lt;&gt;"", XLOOKUP($F493,Productos!$A$2:$A1001,Productos!W$2:W1001,"")*$G493,"")</f>
        <v/>
      </c>
      <c r="AE493" s="179" t="str">
        <f t="array" ref="AE493">IF($F493&lt;&gt;"",XLOOKUP($F493,Productos!$A:$A,Productos!X:X,"Revisar"),"")</f>
        <v/>
      </c>
      <c r="AF493" s="179" t="str">
        <f t="array" ref="AF493">IF($F493&lt;&gt;"", XLOOKUP($F493,Productos!$A$2:$A1001,Productos!Y$2:Y1001,"")*$G493,"")</f>
        <v/>
      </c>
      <c r="AG493" s="179" t="str">
        <f t="array" ref="AG493">IF($F493&lt;&gt;"",XLOOKUP($F493,Productos!$A:$A,Productos!Z:Z,"Revisar"),"")</f>
        <v/>
      </c>
      <c r="AH493" s="179" t="str">
        <f t="array" ref="AH493">IF($F493&lt;&gt;"", XLOOKUP($F493,Productos!$A$2:$A1001,Productos!AA$2:AA1001,"")*$G493,"")</f>
        <v/>
      </c>
      <c r="AI493" s="179" t="str">
        <f t="array" ref="AI493">IF($F493&lt;&gt;"",XLOOKUP($F493,Productos!$A:$A,Productos!AB:AB,"Revisar"),"")</f>
        <v/>
      </c>
      <c r="AJ493" s="179" t="str">
        <f t="array" ref="AJ493">IF($F493&lt;&gt;"", XLOOKUP($F493,Productos!$A$2:$A1001,Productos!AC$2:AC1001,"")*$G493,"")</f>
        <v/>
      </c>
      <c r="AK493" s="179" t="str">
        <f t="array" ref="AK493">IF($F493&lt;&gt;"",XLOOKUP($F493,Productos!$A:$A,Productos!AD:AD,"Revisar"),"")</f>
        <v/>
      </c>
      <c r="AL493" s="179" t="str">
        <f t="array" ref="AL493">IF($F493&lt;&gt;"", XLOOKUP($F493,Productos!$A$2:$A1001,Productos!AE$2:AE1001,"")*$G493,"")</f>
        <v/>
      </c>
      <c r="AM493" s="179" t="str">
        <f t="array" ref="AM493">IF($F493&lt;&gt;"",XLOOKUP($F493,Productos!$A:$A,Productos!AF:AF,"Revisar"),"")</f>
        <v/>
      </c>
      <c r="AN493" s="179" t="str">
        <f t="array" ref="AN493">IF($F493&lt;&gt;"", XLOOKUP($F493,Productos!$A$2:$A1001,Productos!AG$2:AG1001,"")*$G493,"")</f>
        <v/>
      </c>
      <c r="AO493" s="179" t="str">
        <f t="array" ref="AO493">IF($F493&lt;&gt;"",XLOOKUP($F493,Productos!$A:$A,Productos!AH:AH,"Revisar"),"")</f>
        <v/>
      </c>
      <c r="AP493" s="179" t="str">
        <f t="array" ref="AP493">IF($F493&lt;&gt;"", XLOOKUP($F493,Productos!$A$2:$A1001,Productos!AI$2:AI1001,"")*$G493,"")</f>
        <v/>
      </c>
      <c r="AQ493" s="179" t="str">
        <f t="array" ref="AQ493">IF($F493&lt;&gt;"",XLOOKUP($F493,Productos!$A:$A,Productos!AJ:AJ,"Revisar"),"")</f>
        <v/>
      </c>
      <c r="AR493" s="179" t="str">
        <f t="array" ref="AR493">IF($F493&lt;&gt;"", XLOOKUP($F493,Productos!$A$2:$A1001,Productos!AK$2:AK1001,"")*$G493,"")</f>
        <v/>
      </c>
      <c r="AS493" s="179" t="str">
        <f t="array" ref="AS493">IF($F493&lt;&gt;"",XLOOKUP($F493,Productos!$A:$A,Productos!AL:AL,"Revisar"),"")</f>
        <v/>
      </c>
      <c r="AT493" s="179" t="str">
        <f t="array" ref="AT493">IF($F493&lt;&gt;"", XLOOKUP($F493,Productos!$A$2:$A1001,Productos!AM$2:AM1001,"")*$G493,"")</f>
        <v/>
      </c>
      <c r="AU493" s="179" t="str">
        <f t="array" ref="AU493">IF($F493&lt;&gt;"",XLOOKUP($F493,Productos!$A:$A,Productos!AN:AN,"Revisar"),"")</f>
        <v/>
      </c>
      <c r="AV493" s="179" t="str">
        <f t="array" ref="AV493">IF($F493&lt;&gt;"", XLOOKUP($F493,Productos!$A$2:$A1001,Productos!AO$2:AO1001,"")*$G493,"")</f>
        <v/>
      </c>
      <c r="AW493" s="179" t="str">
        <f t="array" ref="AW493">IF($F493&lt;&gt;"",XLOOKUP($F493,Productos!$A:$A,Productos!AP:AP,"Revisar"),"")</f>
        <v/>
      </c>
      <c r="AX493" s="179" t="str">
        <f t="array" ref="AX493">IF($F493&lt;&gt;"", XLOOKUP($F493,Productos!$A$2:$A1001,Productos!AQ$2:AQ1001,"")*$G493,"")</f>
        <v/>
      </c>
      <c r="AY493" s="179" t="str">
        <f t="array" ref="AY493">IF($F493&lt;&gt;"",XLOOKUP($F493,Productos!$A:$A,Productos!AR:AR,"Revisar"),"")</f>
        <v/>
      </c>
      <c r="AZ493" s="179" t="str">
        <f t="array" ref="AZ493">IF($F493&lt;&gt;"", XLOOKUP($F493,Productos!$A$2:$A1001,Productos!AS$2:AS1001,"")*$G493,"")</f>
        <v/>
      </c>
      <c r="BA493" s="179" t="str">
        <f t="array" ref="BA493">IF($F493&lt;&gt;"",XLOOKUP($F493,Productos!$A:$A,Productos!AT:AT,"Revisar"),"")</f>
        <v/>
      </c>
      <c r="BB493" s="179" t="str">
        <f t="array" ref="BB493">IF($F493&lt;&gt;"", XLOOKUP($F493,Productos!$A$2:$A1001,Productos!AU$2:AU1001,"")*$G493,"")</f>
        <v/>
      </c>
      <c r="BC493" s="179" t="str">
        <f t="array" ref="BC493">IF($F493&lt;&gt;"",XLOOKUP($F493,Productos!$A:$A,Productos!AV:AV,"Revisar"),"")</f>
        <v/>
      </c>
      <c r="BD493" s="179" t="str">
        <f t="array" ref="BD493">IF($F493&lt;&gt;"", XLOOKUP($F493,Productos!$A$2:$A1001,Productos!AW$2:AW1001,"")*$G493,"")</f>
        <v/>
      </c>
      <c r="BE493" s="179" t="str">
        <f t="array" ref="BE493">IF($F493&lt;&gt;"",XLOOKUP($F493,Productos!$A:$A,Productos!AX:AX,"Revisar"),"")</f>
        <v/>
      </c>
      <c r="BF493" s="179" t="str">
        <f t="array" ref="BF493">IF($F493&lt;&gt;"", XLOOKUP($F493,Productos!$A$2:$A1001,Productos!AY$2:AY1001,"")*$G493,"")</f>
        <v/>
      </c>
      <c r="BG493" s="179" t="str">
        <f t="array" ref="BG493">IF($F493&lt;&gt;"",XLOOKUP($F493,Productos!$A:$A,Productos!AZ:AZ,"Revisar"),"")</f>
        <v/>
      </c>
      <c r="BH493" s="179" t="str">
        <f t="array" ref="BH493">IF($F493&lt;&gt;"", XLOOKUP($F493,Productos!$A$2:$A1001,Productos!BA$2:BA1001,"")*$G493,"")</f>
        <v/>
      </c>
      <c r="BI493" s="179" t="str">
        <f t="array" ref="BI493">IF($F493&lt;&gt;"",XLOOKUP($F493,Productos!$A:$A,Productos!BB:BB,"Revisar"),"")</f>
        <v/>
      </c>
      <c r="BJ493" s="179" t="str">
        <f t="array" ref="BJ493">IF($F493&lt;&gt;"", XLOOKUP($F493,Productos!$A$2:$A1001,Productos!BC$2:BC1001,"")*$G493,"")</f>
        <v/>
      </c>
      <c r="BK493" s="179" t="str">
        <f t="array" ref="BK493">IF($F493&lt;&gt;"",XLOOKUP($F493,Productos!$A:$A,Productos!BD:BD,"Revisar"),"")</f>
        <v/>
      </c>
      <c r="BL493" s="179" t="str">
        <f t="array" ref="BL493">IF($F493&lt;&gt;"", XLOOKUP($F493,Productos!$A$2:$A1001,Productos!BE$2:BE1001,"")*$G493,"")</f>
        <v/>
      </c>
      <c r="BM493" s="179" t="str">
        <f t="array" ref="BM493">IF($F493&lt;&gt;"",XLOOKUP($F493,Productos!$A:$A,Productos!BF:BF,"Revisar"),"")</f>
        <v/>
      </c>
      <c r="BN493" s="179" t="str">
        <f t="array" ref="BN493">IF($F493&lt;&gt;"", XLOOKUP($F493,Productos!$A$2:$A1001,Productos!BG$2:BG1001,"")*$G493,"")</f>
        <v/>
      </c>
      <c r="BO493" s="179" t="str">
        <f t="array" ref="BO493">IF($F493&lt;&gt;"",XLOOKUP($F493,Productos!$A:$A,Productos!BH:BH,"Revisar"),"")</f>
        <v/>
      </c>
      <c r="BP493" s="179" t="str">
        <f t="array" ref="BP493">IF($F493&lt;&gt;"", XLOOKUP($F493,Productos!$A$2:$A1001,Productos!BI$2:BI1001,"")*$G493,"")</f>
        <v/>
      </c>
      <c r="BQ493" s="179" t="str">
        <f t="array" ref="BQ493">IF($F493&lt;&gt;"",XLOOKUP($F493,Productos!$A:$A,Productos!BJ:BJ,"Revisar"),"")</f>
        <v/>
      </c>
      <c r="BR493" s="179" t="str">
        <f t="array" ref="BR493">IF($F493&lt;&gt;"", XLOOKUP($F493,Productos!$A$2:$A1001,Productos!BK$2:BK1001,"")*$G493,"")</f>
        <v/>
      </c>
      <c r="BS493" s="179" t="str">
        <f t="array" ref="BS493">IF($F493&lt;&gt;"",XLOOKUP($F493,Productos!$A:$A,Productos!BL:BL,"Revisar"),"")</f>
        <v/>
      </c>
      <c r="BT493" s="179" t="str">
        <f t="array" ref="BT493">IF($F493&lt;&gt;"", XLOOKUP($F493,Productos!$A$2:$A1001,Productos!BM$2:BM1001,"")*$G493,"")</f>
        <v/>
      </c>
      <c r="BU493" s="179" t="str">
        <f t="array" ref="BU493">IF($F493&lt;&gt;"",XLOOKUP($F493,Productos!$A:$A,Productos!BN:BN,"Revisar"),"")</f>
        <v/>
      </c>
      <c r="BV493" s="179" t="str">
        <f t="array" ref="BV493">IF($F493&lt;&gt;"", XLOOKUP($F493,Productos!$A$2:$A1001,Productos!BO$2:BO1001,"")*$G493,"")</f>
        <v/>
      </c>
      <c r="BW493" s="179" t="str">
        <f t="array" ref="BW493">IF($F493&lt;&gt;"",XLOOKUP($F493,Productos!$A:$A,Productos!BP:BP,"Revisar"),"")</f>
        <v/>
      </c>
      <c r="BX493" s="179" t="str">
        <f t="array" ref="BX493">IF($F493&lt;&gt;"", XLOOKUP($F493,Productos!$A$2:$A1001,Productos!BQ$2:BQ1001,"")*$G493,"")</f>
        <v/>
      </c>
      <c r="BY493" s="179" t="str">
        <f t="array" ref="BY493">IF($F493&lt;&gt;"",XLOOKUP($F493,Productos!$A:$A,Productos!BR:BR,"Revisar"),"")</f>
        <v/>
      </c>
      <c r="BZ493" s="179" t="str">
        <f t="array" ref="BZ493">IF($F493&lt;&gt;"", XLOOKUP($F493,Productos!$A$2:$A1001,Productos!BS$2:BS1001,"")*$G493,"")</f>
        <v/>
      </c>
    </row>
    <row r="494">
      <c r="A494" s="188"/>
      <c r="B494" s="189"/>
      <c r="C494" s="190"/>
      <c r="D494" s="190"/>
      <c r="E494" s="191"/>
      <c r="F494" s="186"/>
      <c r="G494" s="192"/>
      <c r="H494" s="9"/>
      <c r="I494" s="179" t="str">
        <f t="array" ref="I494">IF($F494&lt;&gt;"",XLOOKUP($F494,Productos!$A:$A,Productos!B:B,"Revisar"),"")</f>
        <v/>
      </c>
      <c r="J494" s="179" t="str">
        <f t="array" ref="J494">IF($F494&lt;&gt;"", XLOOKUP($F494,Productos!$A$2:$A1001,Productos!C$2:C1001,"")*$G494,"")</f>
        <v/>
      </c>
      <c r="K494" s="179" t="str">
        <f t="array" ref="K494">IF($F494&lt;&gt;"",XLOOKUP($F494,Productos!$A:$A,Productos!D:D,"Revisar"),"")</f>
        <v/>
      </c>
      <c r="L494" s="179" t="str">
        <f t="array" ref="L494">IF($F494&lt;&gt;"", XLOOKUP($F494,Productos!$A$2:$A1001,Productos!E$2:E1001,"")*$G494,"")</f>
        <v/>
      </c>
      <c r="M494" s="179" t="str">
        <f t="array" ref="M494">IF($F494&lt;&gt;"",XLOOKUP($F494,Productos!$A:$A,Productos!F:F,"Revisar"),"")</f>
        <v/>
      </c>
      <c r="N494" s="179" t="str">
        <f t="array" ref="N494">IF($F494&lt;&gt;"", XLOOKUP($F494,Productos!$A$2:$A1001,Productos!G$2:G1001,"")*$G494,"")</f>
        <v/>
      </c>
      <c r="O494" s="179" t="str">
        <f t="array" ref="O494">IF($F494&lt;&gt;"",XLOOKUP($F494,Productos!$A:$A,Productos!H:H,"Revisar"),"")</f>
        <v/>
      </c>
      <c r="P494" s="179" t="str">
        <f t="array" ref="P494">IF($F494&lt;&gt;"", XLOOKUP($F494,Productos!$A$2:$A1001,Productos!I$2:I1001,"")*$G494,"")</f>
        <v/>
      </c>
      <c r="Q494" s="179" t="str">
        <f t="array" ref="Q494">IF($F494&lt;&gt;"",XLOOKUP($F494,Productos!$A:$A,Productos!J:J,"Revisar"),"")</f>
        <v/>
      </c>
      <c r="R494" s="179" t="str">
        <f t="array" ref="R494">IF($F494&lt;&gt;"", XLOOKUP($F494,Productos!$A$2:$A1001,Productos!K$2:K1001,"")*$G494,"")</f>
        <v/>
      </c>
      <c r="S494" s="179" t="str">
        <f t="array" ref="S494">IF($F494&lt;&gt;"",XLOOKUP($F494,Productos!$A:$A,Productos!L:L,"Revisar"),"")</f>
        <v/>
      </c>
      <c r="T494" s="179" t="str">
        <f t="array" ref="T494">IF($F494&lt;&gt;"", XLOOKUP($F494,Productos!$A$2:$A1001,Productos!M$2:M1001,"")*$G494,"")</f>
        <v/>
      </c>
      <c r="U494" s="179" t="str">
        <f t="array" ref="U494">IF($F494&lt;&gt;"",XLOOKUP($F494,Productos!$A:$A,Productos!N:N,"Revisar"),"")</f>
        <v/>
      </c>
      <c r="V494" s="179" t="str">
        <f t="array" ref="V494">IF($F494&lt;&gt;"", XLOOKUP($F494,Productos!$A$2:$A1001,Productos!O$2:O1001,"")*$G494,"")</f>
        <v/>
      </c>
      <c r="W494" s="179" t="str">
        <f t="array" ref="W494">IF($F494&lt;&gt;"",XLOOKUP($F494,Productos!$A:$A,Productos!P:P,"Revisar"),"")</f>
        <v/>
      </c>
      <c r="X494" s="179" t="str">
        <f t="array" ref="X494">IF($F494&lt;&gt;"", XLOOKUP($F494,Productos!$A$2:$A1001,Productos!Q$2:Q1001,"")*$G494,"")</f>
        <v/>
      </c>
      <c r="Y494" s="179" t="str">
        <f t="array" ref="Y494">IF($F494&lt;&gt;"",XLOOKUP($F494,Productos!$A:$A,Productos!R:R,"Revisar"),"")</f>
        <v/>
      </c>
      <c r="Z494" s="179" t="str">
        <f t="array" ref="Z494">IF($F494&lt;&gt;"", XLOOKUP($F494,Productos!$A$2:$A1001,Productos!S$2:S1001,"")*$G494,"")</f>
        <v/>
      </c>
      <c r="AA494" s="179" t="str">
        <f t="array" ref="AA494">IF($F494&lt;&gt;"",XLOOKUP($F494,Productos!$A:$A,Productos!T:T,"Revisar"),"")</f>
        <v/>
      </c>
      <c r="AB494" s="179" t="str">
        <f t="array" ref="AB494">IF($F494&lt;&gt;"", XLOOKUP($F494,Productos!$A$2:$A1001,Productos!U$2:U1001,"")*$G494,"")</f>
        <v/>
      </c>
      <c r="AC494" s="179" t="str">
        <f t="array" ref="AC494">IF($F494&lt;&gt;"",XLOOKUP($F494,Productos!$A:$A,Productos!V:V,"Revisar"),"")</f>
        <v/>
      </c>
      <c r="AD494" s="179" t="str">
        <f t="array" ref="AD494">IF($F494&lt;&gt;"", XLOOKUP($F494,Productos!$A$2:$A1001,Productos!W$2:W1001,"")*$G494,"")</f>
        <v/>
      </c>
      <c r="AE494" s="179" t="str">
        <f t="array" ref="AE494">IF($F494&lt;&gt;"",XLOOKUP($F494,Productos!$A:$A,Productos!X:X,"Revisar"),"")</f>
        <v/>
      </c>
      <c r="AF494" s="179" t="str">
        <f t="array" ref="AF494">IF($F494&lt;&gt;"", XLOOKUP($F494,Productos!$A$2:$A1001,Productos!Y$2:Y1001,"")*$G494,"")</f>
        <v/>
      </c>
      <c r="AG494" s="179" t="str">
        <f t="array" ref="AG494">IF($F494&lt;&gt;"",XLOOKUP($F494,Productos!$A:$A,Productos!Z:Z,"Revisar"),"")</f>
        <v/>
      </c>
      <c r="AH494" s="179" t="str">
        <f t="array" ref="AH494">IF($F494&lt;&gt;"", XLOOKUP($F494,Productos!$A$2:$A1001,Productos!AA$2:AA1001,"")*$G494,"")</f>
        <v/>
      </c>
      <c r="AI494" s="179" t="str">
        <f t="array" ref="AI494">IF($F494&lt;&gt;"",XLOOKUP($F494,Productos!$A:$A,Productos!AB:AB,"Revisar"),"")</f>
        <v/>
      </c>
      <c r="AJ494" s="179" t="str">
        <f t="array" ref="AJ494">IF($F494&lt;&gt;"", XLOOKUP($F494,Productos!$A$2:$A1001,Productos!AC$2:AC1001,"")*$G494,"")</f>
        <v/>
      </c>
      <c r="AK494" s="179" t="str">
        <f t="array" ref="AK494">IF($F494&lt;&gt;"",XLOOKUP($F494,Productos!$A:$A,Productos!AD:AD,"Revisar"),"")</f>
        <v/>
      </c>
      <c r="AL494" s="179" t="str">
        <f t="array" ref="AL494">IF($F494&lt;&gt;"", XLOOKUP($F494,Productos!$A$2:$A1001,Productos!AE$2:AE1001,"")*$G494,"")</f>
        <v/>
      </c>
      <c r="AM494" s="179" t="str">
        <f t="array" ref="AM494">IF($F494&lt;&gt;"",XLOOKUP($F494,Productos!$A:$A,Productos!AF:AF,"Revisar"),"")</f>
        <v/>
      </c>
      <c r="AN494" s="179" t="str">
        <f t="array" ref="AN494">IF($F494&lt;&gt;"", XLOOKUP($F494,Productos!$A$2:$A1001,Productos!AG$2:AG1001,"")*$G494,"")</f>
        <v/>
      </c>
      <c r="AO494" s="179" t="str">
        <f t="array" ref="AO494">IF($F494&lt;&gt;"",XLOOKUP($F494,Productos!$A:$A,Productos!AH:AH,"Revisar"),"")</f>
        <v/>
      </c>
      <c r="AP494" s="179" t="str">
        <f t="array" ref="AP494">IF($F494&lt;&gt;"", XLOOKUP($F494,Productos!$A$2:$A1001,Productos!AI$2:AI1001,"")*$G494,"")</f>
        <v/>
      </c>
      <c r="AQ494" s="179" t="str">
        <f t="array" ref="AQ494">IF($F494&lt;&gt;"",XLOOKUP($F494,Productos!$A:$A,Productos!AJ:AJ,"Revisar"),"")</f>
        <v/>
      </c>
      <c r="AR494" s="179" t="str">
        <f t="array" ref="AR494">IF($F494&lt;&gt;"", XLOOKUP($F494,Productos!$A$2:$A1001,Productos!AK$2:AK1001,"")*$G494,"")</f>
        <v/>
      </c>
      <c r="AS494" s="179" t="str">
        <f t="array" ref="AS494">IF($F494&lt;&gt;"",XLOOKUP($F494,Productos!$A:$A,Productos!AL:AL,"Revisar"),"")</f>
        <v/>
      </c>
      <c r="AT494" s="179" t="str">
        <f t="array" ref="AT494">IF($F494&lt;&gt;"", XLOOKUP($F494,Productos!$A$2:$A1001,Productos!AM$2:AM1001,"")*$G494,"")</f>
        <v/>
      </c>
      <c r="AU494" s="179" t="str">
        <f t="array" ref="AU494">IF($F494&lt;&gt;"",XLOOKUP($F494,Productos!$A:$A,Productos!AN:AN,"Revisar"),"")</f>
        <v/>
      </c>
      <c r="AV494" s="179" t="str">
        <f t="array" ref="AV494">IF($F494&lt;&gt;"", XLOOKUP($F494,Productos!$A$2:$A1001,Productos!AO$2:AO1001,"")*$G494,"")</f>
        <v/>
      </c>
      <c r="AW494" s="179" t="str">
        <f t="array" ref="AW494">IF($F494&lt;&gt;"",XLOOKUP($F494,Productos!$A:$A,Productos!AP:AP,"Revisar"),"")</f>
        <v/>
      </c>
      <c r="AX494" s="179" t="str">
        <f t="array" ref="AX494">IF($F494&lt;&gt;"", XLOOKUP($F494,Productos!$A$2:$A1001,Productos!AQ$2:AQ1001,"")*$G494,"")</f>
        <v/>
      </c>
      <c r="AY494" s="179" t="str">
        <f t="array" ref="AY494">IF($F494&lt;&gt;"",XLOOKUP($F494,Productos!$A:$A,Productos!AR:AR,"Revisar"),"")</f>
        <v/>
      </c>
      <c r="AZ494" s="179" t="str">
        <f t="array" ref="AZ494">IF($F494&lt;&gt;"", XLOOKUP($F494,Productos!$A$2:$A1001,Productos!AS$2:AS1001,"")*$G494,"")</f>
        <v/>
      </c>
      <c r="BA494" s="179" t="str">
        <f t="array" ref="BA494">IF($F494&lt;&gt;"",XLOOKUP($F494,Productos!$A:$A,Productos!AT:AT,"Revisar"),"")</f>
        <v/>
      </c>
      <c r="BB494" s="179" t="str">
        <f t="array" ref="BB494">IF($F494&lt;&gt;"", XLOOKUP($F494,Productos!$A$2:$A1001,Productos!AU$2:AU1001,"")*$G494,"")</f>
        <v/>
      </c>
      <c r="BC494" s="179" t="str">
        <f t="array" ref="BC494">IF($F494&lt;&gt;"",XLOOKUP($F494,Productos!$A:$A,Productos!AV:AV,"Revisar"),"")</f>
        <v/>
      </c>
      <c r="BD494" s="179" t="str">
        <f t="array" ref="BD494">IF($F494&lt;&gt;"", XLOOKUP($F494,Productos!$A$2:$A1001,Productos!AW$2:AW1001,"")*$G494,"")</f>
        <v/>
      </c>
      <c r="BE494" s="179" t="str">
        <f t="array" ref="BE494">IF($F494&lt;&gt;"",XLOOKUP($F494,Productos!$A:$A,Productos!AX:AX,"Revisar"),"")</f>
        <v/>
      </c>
      <c r="BF494" s="179" t="str">
        <f t="array" ref="BF494">IF($F494&lt;&gt;"", XLOOKUP($F494,Productos!$A$2:$A1001,Productos!AY$2:AY1001,"")*$G494,"")</f>
        <v/>
      </c>
      <c r="BG494" s="179" t="str">
        <f t="array" ref="BG494">IF($F494&lt;&gt;"",XLOOKUP($F494,Productos!$A:$A,Productos!AZ:AZ,"Revisar"),"")</f>
        <v/>
      </c>
      <c r="BH494" s="179" t="str">
        <f t="array" ref="BH494">IF($F494&lt;&gt;"", XLOOKUP($F494,Productos!$A$2:$A1001,Productos!BA$2:BA1001,"")*$G494,"")</f>
        <v/>
      </c>
      <c r="BI494" s="179" t="str">
        <f t="array" ref="BI494">IF($F494&lt;&gt;"",XLOOKUP($F494,Productos!$A:$A,Productos!BB:BB,"Revisar"),"")</f>
        <v/>
      </c>
      <c r="BJ494" s="179" t="str">
        <f t="array" ref="BJ494">IF($F494&lt;&gt;"", XLOOKUP($F494,Productos!$A$2:$A1001,Productos!BC$2:BC1001,"")*$G494,"")</f>
        <v/>
      </c>
      <c r="BK494" s="179" t="str">
        <f t="array" ref="BK494">IF($F494&lt;&gt;"",XLOOKUP($F494,Productos!$A:$A,Productos!BD:BD,"Revisar"),"")</f>
        <v/>
      </c>
      <c r="BL494" s="179" t="str">
        <f t="array" ref="BL494">IF($F494&lt;&gt;"", XLOOKUP($F494,Productos!$A$2:$A1001,Productos!BE$2:BE1001,"")*$G494,"")</f>
        <v/>
      </c>
      <c r="BM494" s="179" t="str">
        <f t="array" ref="BM494">IF($F494&lt;&gt;"",XLOOKUP($F494,Productos!$A:$A,Productos!BF:BF,"Revisar"),"")</f>
        <v/>
      </c>
      <c r="BN494" s="179" t="str">
        <f t="array" ref="BN494">IF($F494&lt;&gt;"", XLOOKUP($F494,Productos!$A$2:$A1001,Productos!BG$2:BG1001,"")*$G494,"")</f>
        <v/>
      </c>
      <c r="BO494" s="179" t="str">
        <f t="array" ref="BO494">IF($F494&lt;&gt;"",XLOOKUP($F494,Productos!$A:$A,Productos!BH:BH,"Revisar"),"")</f>
        <v/>
      </c>
      <c r="BP494" s="179" t="str">
        <f t="array" ref="BP494">IF($F494&lt;&gt;"", XLOOKUP($F494,Productos!$A$2:$A1001,Productos!BI$2:BI1001,"")*$G494,"")</f>
        <v/>
      </c>
      <c r="BQ494" s="179" t="str">
        <f t="array" ref="BQ494">IF($F494&lt;&gt;"",XLOOKUP($F494,Productos!$A:$A,Productos!BJ:BJ,"Revisar"),"")</f>
        <v/>
      </c>
      <c r="BR494" s="179" t="str">
        <f t="array" ref="BR494">IF($F494&lt;&gt;"", XLOOKUP($F494,Productos!$A$2:$A1001,Productos!BK$2:BK1001,"")*$G494,"")</f>
        <v/>
      </c>
      <c r="BS494" s="179" t="str">
        <f t="array" ref="BS494">IF($F494&lt;&gt;"",XLOOKUP($F494,Productos!$A:$A,Productos!BL:BL,"Revisar"),"")</f>
        <v/>
      </c>
      <c r="BT494" s="179" t="str">
        <f t="array" ref="BT494">IF($F494&lt;&gt;"", XLOOKUP($F494,Productos!$A$2:$A1001,Productos!BM$2:BM1001,"")*$G494,"")</f>
        <v/>
      </c>
      <c r="BU494" s="179" t="str">
        <f t="array" ref="BU494">IF($F494&lt;&gt;"",XLOOKUP($F494,Productos!$A:$A,Productos!BN:BN,"Revisar"),"")</f>
        <v/>
      </c>
      <c r="BV494" s="179" t="str">
        <f t="array" ref="BV494">IF($F494&lt;&gt;"", XLOOKUP($F494,Productos!$A$2:$A1001,Productos!BO$2:BO1001,"")*$G494,"")</f>
        <v/>
      </c>
      <c r="BW494" s="179" t="str">
        <f t="array" ref="BW494">IF($F494&lt;&gt;"",XLOOKUP($F494,Productos!$A:$A,Productos!BP:BP,"Revisar"),"")</f>
        <v/>
      </c>
      <c r="BX494" s="179" t="str">
        <f t="array" ref="BX494">IF($F494&lt;&gt;"", XLOOKUP($F494,Productos!$A$2:$A1001,Productos!BQ$2:BQ1001,"")*$G494,"")</f>
        <v/>
      </c>
      <c r="BY494" s="179" t="str">
        <f t="array" ref="BY494">IF($F494&lt;&gt;"",XLOOKUP($F494,Productos!$A:$A,Productos!BR:BR,"Revisar"),"")</f>
        <v/>
      </c>
      <c r="BZ494" s="179" t="str">
        <f t="array" ref="BZ494">IF($F494&lt;&gt;"", XLOOKUP($F494,Productos!$A$2:$A1001,Productos!BS$2:BS1001,"")*$G494,"")</f>
        <v/>
      </c>
    </row>
    <row r="495">
      <c r="A495" s="188"/>
      <c r="B495" s="189"/>
      <c r="C495" s="190"/>
      <c r="D495" s="190"/>
      <c r="E495" s="191"/>
      <c r="F495" s="186"/>
      <c r="G495" s="192"/>
      <c r="H495" s="9"/>
      <c r="I495" s="179" t="str">
        <f t="array" ref="I495">IF($F495&lt;&gt;"",XLOOKUP($F495,Productos!$A:$A,Productos!B:B,"Revisar"),"")</f>
        <v/>
      </c>
      <c r="J495" s="179" t="str">
        <f t="array" ref="J495">IF($F495&lt;&gt;"", XLOOKUP($F495,Productos!$A$2:$A1001,Productos!C$2:C1001,"")*$G495,"")</f>
        <v/>
      </c>
      <c r="K495" s="179" t="str">
        <f t="array" ref="K495">IF($F495&lt;&gt;"",XLOOKUP($F495,Productos!$A:$A,Productos!D:D,"Revisar"),"")</f>
        <v/>
      </c>
      <c r="L495" s="179" t="str">
        <f t="array" ref="L495">IF($F495&lt;&gt;"", XLOOKUP($F495,Productos!$A$2:$A1001,Productos!E$2:E1001,"")*$G495,"")</f>
        <v/>
      </c>
      <c r="M495" s="179" t="str">
        <f t="array" ref="M495">IF($F495&lt;&gt;"",XLOOKUP($F495,Productos!$A:$A,Productos!F:F,"Revisar"),"")</f>
        <v/>
      </c>
      <c r="N495" s="179" t="str">
        <f t="array" ref="N495">IF($F495&lt;&gt;"", XLOOKUP($F495,Productos!$A$2:$A1001,Productos!G$2:G1001,"")*$G495,"")</f>
        <v/>
      </c>
      <c r="O495" s="179" t="str">
        <f t="array" ref="O495">IF($F495&lt;&gt;"",XLOOKUP($F495,Productos!$A:$A,Productos!H:H,"Revisar"),"")</f>
        <v/>
      </c>
      <c r="P495" s="179" t="str">
        <f t="array" ref="P495">IF($F495&lt;&gt;"", XLOOKUP($F495,Productos!$A$2:$A1001,Productos!I$2:I1001,"")*$G495,"")</f>
        <v/>
      </c>
      <c r="Q495" s="179" t="str">
        <f t="array" ref="Q495">IF($F495&lt;&gt;"",XLOOKUP($F495,Productos!$A:$A,Productos!J:J,"Revisar"),"")</f>
        <v/>
      </c>
      <c r="R495" s="179" t="str">
        <f t="array" ref="R495">IF($F495&lt;&gt;"", XLOOKUP($F495,Productos!$A$2:$A1001,Productos!K$2:K1001,"")*$G495,"")</f>
        <v/>
      </c>
      <c r="S495" s="179" t="str">
        <f t="array" ref="S495">IF($F495&lt;&gt;"",XLOOKUP($F495,Productos!$A:$A,Productos!L:L,"Revisar"),"")</f>
        <v/>
      </c>
      <c r="T495" s="179" t="str">
        <f t="array" ref="T495">IF($F495&lt;&gt;"", XLOOKUP($F495,Productos!$A$2:$A1001,Productos!M$2:M1001,"")*$G495,"")</f>
        <v/>
      </c>
      <c r="U495" s="179" t="str">
        <f t="array" ref="U495">IF($F495&lt;&gt;"",XLOOKUP($F495,Productos!$A:$A,Productos!N:N,"Revisar"),"")</f>
        <v/>
      </c>
      <c r="V495" s="179" t="str">
        <f t="array" ref="V495">IF($F495&lt;&gt;"", XLOOKUP($F495,Productos!$A$2:$A1001,Productos!O$2:O1001,"")*$G495,"")</f>
        <v/>
      </c>
      <c r="W495" s="179" t="str">
        <f t="array" ref="W495">IF($F495&lt;&gt;"",XLOOKUP($F495,Productos!$A:$A,Productos!P:P,"Revisar"),"")</f>
        <v/>
      </c>
      <c r="X495" s="179" t="str">
        <f t="array" ref="X495">IF($F495&lt;&gt;"", XLOOKUP($F495,Productos!$A$2:$A1001,Productos!Q$2:Q1001,"")*$G495,"")</f>
        <v/>
      </c>
      <c r="Y495" s="179" t="str">
        <f t="array" ref="Y495">IF($F495&lt;&gt;"",XLOOKUP($F495,Productos!$A:$A,Productos!R:R,"Revisar"),"")</f>
        <v/>
      </c>
      <c r="Z495" s="179" t="str">
        <f t="array" ref="Z495">IF($F495&lt;&gt;"", XLOOKUP($F495,Productos!$A$2:$A1001,Productos!S$2:S1001,"")*$G495,"")</f>
        <v/>
      </c>
      <c r="AA495" s="179" t="str">
        <f t="array" ref="AA495">IF($F495&lt;&gt;"",XLOOKUP($F495,Productos!$A:$A,Productos!T:T,"Revisar"),"")</f>
        <v/>
      </c>
      <c r="AB495" s="179" t="str">
        <f t="array" ref="AB495">IF($F495&lt;&gt;"", XLOOKUP($F495,Productos!$A$2:$A1001,Productos!U$2:U1001,"")*$G495,"")</f>
        <v/>
      </c>
      <c r="AC495" s="179" t="str">
        <f t="array" ref="AC495">IF($F495&lt;&gt;"",XLOOKUP($F495,Productos!$A:$A,Productos!V:V,"Revisar"),"")</f>
        <v/>
      </c>
      <c r="AD495" s="179" t="str">
        <f t="array" ref="AD495">IF($F495&lt;&gt;"", XLOOKUP($F495,Productos!$A$2:$A1001,Productos!W$2:W1001,"")*$G495,"")</f>
        <v/>
      </c>
      <c r="AE495" s="179" t="str">
        <f t="array" ref="AE495">IF($F495&lt;&gt;"",XLOOKUP($F495,Productos!$A:$A,Productos!X:X,"Revisar"),"")</f>
        <v/>
      </c>
      <c r="AF495" s="179" t="str">
        <f t="array" ref="AF495">IF($F495&lt;&gt;"", XLOOKUP($F495,Productos!$A$2:$A1001,Productos!Y$2:Y1001,"")*$G495,"")</f>
        <v/>
      </c>
      <c r="AG495" s="179" t="str">
        <f t="array" ref="AG495">IF($F495&lt;&gt;"",XLOOKUP($F495,Productos!$A:$A,Productos!Z:Z,"Revisar"),"")</f>
        <v/>
      </c>
      <c r="AH495" s="179" t="str">
        <f t="array" ref="AH495">IF($F495&lt;&gt;"", XLOOKUP($F495,Productos!$A$2:$A1001,Productos!AA$2:AA1001,"")*$G495,"")</f>
        <v/>
      </c>
      <c r="AI495" s="179" t="str">
        <f t="array" ref="AI495">IF($F495&lt;&gt;"",XLOOKUP($F495,Productos!$A:$A,Productos!AB:AB,"Revisar"),"")</f>
        <v/>
      </c>
      <c r="AJ495" s="179" t="str">
        <f t="array" ref="AJ495">IF($F495&lt;&gt;"", XLOOKUP($F495,Productos!$A$2:$A1001,Productos!AC$2:AC1001,"")*$G495,"")</f>
        <v/>
      </c>
      <c r="AK495" s="179" t="str">
        <f t="array" ref="AK495">IF($F495&lt;&gt;"",XLOOKUP($F495,Productos!$A:$A,Productos!AD:AD,"Revisar"),"")</f>
        <v/>
      </c>
      <c r="AL495" s="179" t="str">
        <f t="array" ref="AL495">IF($F495&lt;&gt;"", XLOOKUP($F495,Productos!$A$2:$A1001,Productos!AE$2:AE1001,"")*$G495,"")</f>
        <v/>
      </c>
      <c r="AM495" s="179" t="str">
        <f t="array" ref="AM495">IF($F495&lt;&gt;"",XLOOKUP($F495,Productos!$A:$A,Productos!AF:AF,"Revisar"),"")</f>
        <v/>
      </c>
      <c r="AN495" s="179" t="str">
        <f t="array" ref="AN495">IF($F495&lt;&gt;"", XLOOKUP($F495,Productos!$A$2:$A1001,Productos!AG$2:AG1001,"")*$G495,"")</f>
        <v/>
      </c>
      <c r="AO495" s="179" t="str">
        <f t="array" ref="AO495">IF($F495&lt;&gt;"",XLOOKUP($F495,Productos!$A:$A,Productos!AH:AH,"Revisar"),"")</f>
        <v/>
      </c>
      <c r="AP495" s="179" t="str">
        <f t="array" ref="AP495">IF($F495&lt;&gt;"", XLOOKUP($F495,Productos!$A$2:$A1001,Productos!AI$2:AI1001,"")*$G495,"")</f>
        <v/>
      </c>
      <c r="AQ495" s="179" t="str">
        <f t="array" ref="AQ495">IF($F495&lt;&gt;"",XLOOKUP($F495,Productos!$A:$A,Productos!AJ:AJ,"Revisar"),"")</f>
        <v/>
      </c>
      <c r="AR495" s="179" t="str">
        <f t="array" ref="AR495">IF($F495&lt;&gt;"", XLOOKUP($F495,Productos!$A$2:$A1001,Productos!AK$2:AK1001,"")*$G495,"")</f>
        <v/>
      </c>
      <c r="AS495" s="179" t="str">
        <f t="array" ref="AS495">IF($F495&lt;&gt;"",XLOOKUP($F495,Productos!$A:$A,Productos!AL:AL,"Revisar"),"")</f>
        <v/>
      </c>
      <c r="AT495" s="179" t="str">
        <f t="array" ref="AT495">IF($F495&lt;&gt;"", XLOOKUP($F495,Productos!$A$2:$A1001,Productos!AM$2:AM1001,"")*$G495,"")</f>
        <v/>
      </c>
      <c r="AU495" s="179" t="str">
        <f t="array" ref="AU495">IF($F495&lt;&gt;"",XLOOKUP($F495,Productos!$A:$A,Productos!AN:AN,"Revisar"),"")</f>
        <v/>
      </c>
      <c r="AV495" s="179" t="str">
        <f t="array" ref="AV495">IF($F495&lt;&gt;"", XLOOKUP($F495,Productos!$A$2:$A1001,Productos!AO$2:AO1001,"")*$G495,"")</f>
        <v/>
      </c>
      <c r="AW495" s="179" t="str">
        <f t="array" ref="AW495">IF($F495&lt;&gt;"",XLOOKUP($F495,Productos!$A:$A,Productos!AP:AP,"Revisar"),"")</f>
        <v/>
      </c>
      <c r="AX495" s="179" t="str">
        <f t="array" ref="AX495">IF($F495&lt;&gt;"", XLOOKUP($F495,Productos!$A$2:$A1001,Productos!AQ$2:AQ1001,"")*$G495,"")</f>
        <v/>
      </c>
      <c r="AY495" s="179" t="str">
        <f t="array" ref="AY495">IF($F495&lt;&gt;"",XLOOKUP($F495,Productos!$A:$A,Productos!AR:AR,"Revisar"),"")</f>
        <v/>
      </c>
      <c r="AZ495" s="179" t="str">
        <f t="array" ref="AZ495">IF($F495&lt;&gt;"", XLOOKUP($F495,Productos!$A$2:$A1001,Productos!AS$2:AS1001,"")*$G495,"")</f>
        <v/>
      </c>
      <c r="BA495" s="179" t="str">
        <f t="array" ref="BA495">IF($F495&lt;&gt;"",XLOOKUP($F495,Productos!$A:$A,Productos!AT:AT,"Revisar"),"")</f>
        <v/>
      </c>
      <c r="BB495" s="179" t="str">
        <f t="array" ref="BB495">IF($F495&lt;&gt;"", XLOOKUP($F495,Productos!$A$2:$A1001,Productos!AU$2:AU1001,"")*$G495,"")</f>
        <v/>
      </c>
      <c r="BC495" s="179" t="str">
        <f t="array" ref="BC495">IF($F495&lt;&gt;"",XLOOKUP($F495,Productos!$A:$A,Productos!AV:AV,"Revisar"),"")</f>
        <v/>
      </c>
      <c r="BD495" s="179" t="str">
        <f t="array" ref="BD495">IF($F495&lt;&gt;"", XLOOKUP($F495,Productos!$A$2:$A1001,Productos!AW$2:AW1001,"")*$G495,"")</f>
        <v/>
      </c>
      <c r="BE495" s="179" t="str">
        <f t="array" ref="BE495">IF($F495&lt;&gt;"",XLOOKUP($F495,Productos!$A:$A,Productos!AX:AX,"Revisar"),"")</f>
        <v/>
      </c>
      <c r="BF495" s="179" t="str">
        <f t="array" ref="BF495">IF($F495&lt;&gt;"", XLOOKUP($F495,Productos!$A$2:$A1001,Productos!AY$2:AY1001,"")*$G495,"")</f>
        <v/>
      </c>
      <c r="BG495" s="179" t="str">
        <f t="array" ref="BG495">IF($F495&lt;&gt;"",XLOOKUP($F495,Productos!$A:$A,Productos!AZ:AZ,"Revisar"),"")</f>
        <v/>
      </c>
      <c r="BH495" s="179" t="str">
        <f t="array" ref="BH495">IF($F495&lt;&gt;"", XLOOKUP($F495,Productos!$A$2:$A1001,Productos!BA$2:BA1001,"")*$G495,"")</f>
        <v/>
      </c>
      <c r="BI495" s="179" t="str">
        <f t="array" ref="BI495">IF($F495&lt;&gt;"",XLOOKUP($F495,Productos!$A:$A,Productos!BB:BB,"Revisar"),"")</f>
        <v/>
      </c>
      <c r="BJ495" s="179" t="str">
        <f t="array" ref="BJ495">IF($F495&lt;&gt;"", XLOOKUP($F495,Productos!$A$2:$A1001,Productos!BC$2:BC1001,"")*$G495,"")</f>
        <v/>
      </c>
      <c r="BK495" s="179" t="str">
        <f t="array" ref="BK495">IF($F495&lt;&gt;"",XLOOKUP($F495,Productos!$A:$A,Productos!BD:BD,"Revisar"),"")</f>
        <v/>
      </c>
      <c r="BL495" s="179" t="str">
        <f t="array" ref="BL495">IF($F495&lt;&gt;"", XLOOKUP($F495,Productos!$A$2:$A1001,Productos!BE$2:BE1001,"")*$G495,"")</f>
        <v/>
      </c>
      <c r="BM495" s="179" t="str">
        <f t="array" ref="BM495">IF($F495&lt;&gt;"",XLOOKUP($F495,Productos!$A:$A,Productos!BF:BF,"Revisar"),"")</f>
        <v/>
      </c>
      <c r="BN495" s="179" t="str">
        <f t="array" ref="BN495">IF($F495&lt;&gt;"", XLOOKUP($F495,Productos!$A$2:$A1001,Productos!BG$2:BG1001,"")*$G495,"")</f>
        <v/>
      </c>
      <c r="BO495" s="179" t="str">
        <f t="array" ref="BO495">IF($F495&lt;&gt;"",XLOOKUP($F495,Productos!$A:$A,Productos!BH:BH,"Revisar"),"")</f>
        <v/>
      </c>
      <c r="BP495" s="179" t="str">
        <f t="array" ref="BP495">IF($F495&lt;&gt;"", XLOOKUP($F495,Productos!$A$2:$A1001,Productos!BI$2:BI1001,"")*$G495,"")</f>
        <v/>
      </c>
      <c r="BQ495" s="179" t="str">
        <f t="array" ref="BQ495">IF($F495&lt;&gt;"",XLOOKUP($F495,Productos!$A:$A,Productos!BJ:BJ,"Revisar"),"")</f>
        <v/>
      </c>
      <c r="BR495" s="179" t="str">
        <f t="array" ref="BR495">IF($F495&lt;&gt;"", XLOOKUP($F495,Productos!$A$2:$A1001,Productos!BK$2:BK1001,"")*$G495,"")</f>
        <v/>
      </c>
      <c r="BS495" s="179" t="str">
        <f t="array" ref="BS495">IF($F495&lt;&gt;"",XLOOKUP($F495,Productos!$A:$A,Productos!BL:BL,"Revisar"),"")</f>
        <v/>
      </c>
      <c r="BT495" s="179" t="str">
        <f t="array" ref="BT495">IF($F495&lt;&gt;"", XLOOKUP($F495,Productos!$A$2:$A1001,Productos!BM$2:BM1001,"")*$G495,"")</f>
        <v/>
      </c>
      <c r="BU495" s="179" t="str">
        <f t="array" ref="BU495">IF($F495&lt;&gt;"",XLOOKUP($F495,Productos!$A:$A,Productos!BN:BN,"Revisar"),"")</f>
        <v/>
      </c>
      <c r="BV495" s="179" t="str">
        <f t="array" ref="BV495">IF($F495&lt;&gt;"", XLOOKUP($F495,Productos!$A$2:$A1001,Productos!BO$2:BO1001,"")*$G495,"")</f>
        <v/>
      </c>
      <c r="BW495" s="179" t="str">
        <f t="array" ref="BW495">IF($F495&lt;&gt;"",XLOOKUP($F495,Productos!$A:$A,Productos!BP:BP,"Revisar"),"")</f>
        <v/>
      </c>
      <c r="BX495" s="179" t="str">
        <f t="array" ref="BX495">IF($F495&lt;&gt;"", XLOOKUP($F495,Productos!$A$2:$A1001,Productos!BQ$2:BQ1001,"")*$G495,"")</f>
        <v/>
      </c>
      <c r="BY495" s="179" t="str">
        <f t="array" ref="BY495">IF($F495&lt;&gt;"",XLOOKUP($F495,Productos!$A:$A,Productos!BR:BR,"Revisar"),"")</f>
        <v/>
      </c>
      <c r="BZ495" s="179" t="str">
        <f t="array" ref="BZ495">IF($F495&lt;&gt;"", XLOOKUP($F495,Productos!$A$2:$A1001,Productos!BS$2:BS1001,"")*$G495,"")</f>
        <v/>
      </c>
    </row>
    <row r="496">
      <c r="A496" s="188"/>
      <c r="B496" s="189"/>
      <c r="C496" s="190"/>
      <c r="D496" s="190"/>
      <c r="E496" s="191"/>
      <c r="F496" s="186"/>
      <c r="G496" s="192"/>
      <c r="H496" s="9"/>
      <c r="I496" s="179" t="str">
        <f t="array" ref="I496">IF($F496&lt;&gt;"",XLOOKUP($F496,Productos!$A:$A,Productos!B:B,"Revisar"),"")</f>
        <v/>
      </c>
      <c r="J496" s="179" t="str">
        <f t="array" ref="J496">IF($F496&lt;&gt;"", XLOOKUP($F496,Productos!$A$2:$A1001,Productos!C$2:C1001,"")*$G496,"")</f>
        <v/>
      </c>
      <c r="K496" s="179" t="str">
        <f t="array" ref="K496">IF($F496&lt;&gt;"",XLOOKUP($F496,Productos!$A:$A,Productos!D:D,"Revisar"),"")</f>
        <v/>
      </c>
      <c r="L496" s="179" t="str">
        <f t="array" ref="L496">IF($F496&lt;&gt;"", XLOOKUP($F496,Productos!$A$2:$A1001,Productos!E$2:E1001,"")*$G496,"")</f>
        <v/>
      </c>
      <c r="M496" s="179" t="str">
        <f t="array" ref="M496">IF($F496&lt;&gt;"",XLOOKUP($F496,Productos!$A:$A,Productos!F:F,"Revisar"),"")</f>
        <v/>
      </c>
      <c r="N496" s="179" t="str">
        <f t="array" ref="N496">IF($F496&lt;&gt;"", XLOOKUP($F496,Productos!$A$2:$A1001,Productos!G$2:G1001,"")*$G496,"")</f>
        <v/>
      </c>
      <c r="O496" s="179" t="str">
        <f t="array" ref="O496">IF($F496&lt;&gt;"",XLOOKUP($F496,Productos!$A:$A,Productos!H:H,"Revisar"),"")</f>
        <v/>
      </c>
      <c r="P496" s="179" t="str">
        <f t="array" ref="P496">IF($F496&lt;&gt;"", XLOOKUP($F496,Productos!$A$2:$A1001,Productos!I$2:I1001,"")*$G496,"")</f>
        <v/>
      </c>
      <c r="Q496" s="179" t="str">
        <f t="array" ref="Q496">IF($F496&lt;&gt;"",XLOOKUP($F496,Productos!$A:$A,Productos!J:J,"Revisar"),"")</f>
        <v/>
      </c>
      <c r="R496" s="179" t="str">
        <f t="array" ref="R496">IF($F496&lt;&gt;"", XLOOKUP($F496,Productos!$A$2:$A1001,Productos!K$2:K1001,"")*$G496,"")</f>
        <v/>
      </c>
      <c r="S496" s="179" t="str">
        <f t="array" ref="S496">IF($F496&lt;&gt;"",XLOOKUP($F496,Productos!$A:$A,Productos!L:L,"Revisar"),"")</f>
        <v/>
      </c>
      <c r="T496" s="179" t="str">
        <f t="array" ref="T496">IF($F496&lt;&gt;"", XLOOKUP($F496,Productos!$A$2:$A1001,Productos!M$2:M1001,"")*$G496,"")</f>
        <v/>
      </c>
      <c r="U496" s="179" t="str">
        <f t="array" ref="U496">IF($F496&lt;&gt;"",XLOOKUP($F496,Productos!$A:$A,Productos!N:N,"Revisar"),"")</f>
        <v/>
      </c>
      <c r="V496" s="179" t="str">
        <f t="array" ref="V496">IF($F496&lt;&gt;"", XLOOKUP($F496,Productos!$A$2:$A1001,Productos!O$2:O1001,"")*$G496,"")</f>
        <v/>
      </c>
      <c r="W496" s="179" t="str">
        <f t="array" ref="W496">IF($F496&lt;&gt;"",XLOOKUP($F496,Productos!$A:$A,Productos!P:P,"Revisar"),"")</f>
        <v/>
      </c>
      <c r="X496" s="179" t="str">
        <f t="array" ref="X496">IF($F496&lt;&gt;"", XLOOKUP($F496,Productos!$A$2:$A1001,Productos!Q$2:Q1001,"")*$G496,"")</f>
        <v/>
      </c>
      <c r="Y496" s="179" t="str">
        <f t="array" ref="Y496">IF($F496&lt;&gt;"",XLOOKUP($F496,Productos!$A:$A,Productos!R:R,"Revisar"),"")</f>
        <v/>
      </c>
      <c r="Z496" s="179" t="str">
        <f t="array" ref="Z496">IF($F496&lt;&gt;"", XLOOKUP($F496,Productos!$A$2:$A1001,Productos!S$2:S1001,"")*$G496,"")</f>
        <v/>
      </c>
      <c r="AA496" s="179" t="str">
        <f t="array" ref="AA496">IF($F496&lt;&gt;"",XLOOKUP($F496,Productos!$A:$A,Productos!T:T,"Revisar"),"")</f>
        <v/>
      </c>
      <c r="AB496" s="179" t="str">
        <f t="array" ref="AB496">IF($F496&lt;&gt;"", XLOOKUP($F496,Productos!$A$2:$A1001,Productos!U$2:U1001,"")*$G496,"")</f>
        <v/>
      </c>
      <c r="AC496" s="179" t="str">
        <f t="array" ref="AC496">IF($F496&lt;&gt;"",XLOOKUP($F496,Productos!$A:$A,Productos!V:V,"Revisar"),"")</f>
        <v/>
      </c>
      <c r="AD496" s="179" t="str">
        <f t="array" ref="AD496">IF($F496&lt;&gt;"", XLOOKUP($F496,Productos!$A$2:$A1001,Productos!W$2:W1001,"")*$G496,"")</f>
        <v/>
      </c>
      <c r="AE496" s="179" t="str">
        <f t="array" ref="AE496">IF($F496&lt;&gt;"",XLOOKUP($F496,Productos!$A:$A,Productos!X:X,"Revisar"),"")</f>
        <v/>
      </c>
      <c r="AF496" s="179" t="str">
        <f t="array" ref="AF496">IF($F496&lt;&gt;"", XLOOKUP($F496,Productos!$A$2:$A1001,Productos!Y$2:Y1001,"")*$G496,"")</f>
        <v/>
      </c>
      <c r="AG496" s="179" t="str">
        <f t="array" ref="AG496">IF($F496&lt;&gt;"",XLOOKUP($F496,Productos!$A:$A,Productos!Z:Z,"Revisar"),"")</f>
        <v/>
      </c>
      <c r="AH496" s="179" t="str">
        <f t="array" ref="AH496">IF($F496&lt;&gt;"", XLOOKUP($F496,Productos!$A$2:$A1001,Productos!AA$2:AA1001,"")*$G496,"")</f>
        <v/>
      </c>
      <c r="AI496" s="179" t="str">
        <f t="array" ref="AI496">IF($F496&lt;&gt;"",XLOOKUP($F496,Productos!$A:$A,Productos!AB:AB,"Revisar"),"")</f>
        <v/>
      </c>
      <c r="AJ496" s="179" t="str">
        <f t="array" ref="AJ496">IF($F496&lt;&gt;"", XLOOKUP($F496,Productos!$A$2:$A1001,Productos!AC$2:AC1001,"")*$G496,"")</f>
        <v/>
      </c>
      <c r="AK496" s="179" t="str">
        <f t="array" ref="AK496">IF($F496&lt;&gt;"",XLOOKUP($F496,Productos!$A:$A,Productos!AD:AD,"Revisar"),"")</f>
        <v/>
      </c>
      <c r="AL496" s="179" t="str">
        <f t="array" ref="AL496">IF($F496&lt;&gt;"", XLOOKUP($F496,Productos!$A$2:$A1001,Productos!AE$2:AE1001,"")*$G496,"")</f>
        <v/>
      </c>
      <c r="AM496" s="179" t="str">
        <f t="array" ref="AM496">IF($F496&lt;&gt;"",XLOOKUP($F496,Productos!$A:$A,Productos!AF:AF,"Revisar"),"")</f>
        <v/>
      </c>
      <c r="AN496" s="179" t="str">
        <f t="array" ref="AN496">IF($F496&lt;&gt;"", XLOOKUP($F496,Productos!$A$2:$A1001,Productos!AG$2:AG1001,"")*$G496,"")</f>
        <v/>
      </c>
      <c r="AO496" s="179" t="str">
        <f t="array" ref="AO496">IF($F496&lt;&gt;"",XLOOKUP($F496,Productos!$A:$A,Productos!AH:AH,"Revisar"),"")</f>
        <v/>
      </c>
      <c r="AP496" s="179" t="str">
        <f t="array" ref="AP496">IF($F496&lt;&gt;"", XLOOKUP($F496,Productos!$A$2:$A1001,Productos!AI$2:AI1001,"")*$G496,"")</f>
        <v/>
      </c>
      <c r="AQ496" s="179" t="str">
        <f t="array" ref="AQ496">IF($F496&lt;&gt;"",XLOOKUP($F496,Productos!$A:$A,Productos!AJ:AJ,"Revisar"),"")</f>
        <v/>
      </c>
      <c r="AR496" s="179" t="str">
        <f t="array" ref="AR496">IF($F496&lt;&gt;"", XLOOKUP($F496,Productos!$A$2:$A1001,Productos!AK$2:AK1001,"")*$G496,"")</f>
        <v/>
      </c>
      <c r="AS496" s="179" t="str">
        <f t="array" ref="AS496">IF($F496&lt;&gt;"",XLOOKUP($F496,Productos!$A:$A,Productos!AL:AL,"Revisar"),"")</f>
        <v/>
      </c>
      <c r="AT496" s="179" t="str">
        <f t="array" ref="AT496">IF($F496&lt;&gt;"", XLOOKUP($F496,Productos!$A$2:$A1001,Productos!AM$2:AM1001,"")*$G496,"")</f>
        <v/>
      </c>
      <c r="AU496" s="179" t="str">
        <f t="array" ref="AU496">IF($F496&lt;&gt;"",XLOOKUP($F496,Productos!$A:$A,Productos!AN:AN,"Revisar"),"")</f>
        <v/>
      </c>
      <c r="AV496" s="179" t="str">
        <f t="array" ref="AV496">IF($F496&lt;&gt;"", XLOOKUP($F496,Productos!$A$2:$A1001,Productos!AO$2:AO1001,"")*$G496,"")</f>
        <v/>
      </c>
      <c r="AW496" s="179" t="str">
        <f t="array" ref="AW496">IF($F496&lt;&gt;"",XLOOKUP($F496,Productos!$A:$A,Productos!AP:AP,"Revisar"),"")</f>
        <v/>
      </c>
      <c r="AX496" s="179" t="str">
        <f t="array" ref="AX496">IF($F496&lt;&gt;"", XLOOKUP($F496,Productos!$A$2:$A1001,Productos!AQ$2:AQ1001,"")*$G496,"")</f>
        <v/>
      </c>
      <c r="AY496" s="179" t="str">
        <f t="array" ref="AY496">IF($F496&lt;&gt;"",XLOOKUP($F496,Productos!$A:$A,Productos!AR:AR,"Revisar"),"")</f>
        <v/>
      </c>
      <c r="AZ496" s="179" t="str">
        <f t="array" ref="AZ496">IF($F496&lt;&gt;"", XLOOKUP($F496,Productos!$A$2:$A1001,Productos!AS$2:AS1001,"")*$G496,"")</f>
        <v/>
      </c>
      <c r="BA496" s="179" t="str">
        <f t="array" ref="BA496">IF($F496&lt;&gt;"",XLOOKUP($F496,Productos!$A:$A,Productos!AT:AT,"Revisar"),"")</f>
        <v/>
      </c>
      <c r="BB496" s="179" t="str">
        <f t="array" ref="BB496">IF($F496&lt;&gt;"", XLOOKUP($F496,Productos!$A$2:$A1001,Productos!AU$2:AU1001,"")*$G496,"")</f>
        <v/>
      </c>
      <c r="BC496" s="179" t="str">
        <f t="array" ref="BC496">IF($F496&lt;&gt;"",XLOOKUP($F496,Productos!$A:$A,Productos!AV:AV,"Revisar"),"")</f>
        <v/>
      </c>
      <c r="BD496" s="179" t="str">
        <f t="array" ref="BD496">IF($F496&lt;&gt;"", XLOOKUP($F496,Productos!$A$2:$A1001,Productos!AW$2:AW1001,"")*$G496,"")</f>
        <v/>
      </c>
      <c r="BE496" s="179" t="str">
        <f t="array" ref="BE496">IF($F496&lt;&gt;"",XLOOKUP($F496,Productos!$A:$A,Productos!AX:AX,"Revisar"),"")</f>
        <v/>
      </c>
      <c r="BF496" s="179" t="str">
        <f t="array" ref="BF496">IF($F496&lt;&gt;"", XLOOKUP($F496,Productos!$A$2:$A1001,Productos!AY$2:AY1001,"")*$G496,"")</f>
        <v/>
      </c>
      <c r="BG496" s="179" t="str">
        <f t="array" ref="BG496">IF($F496&lt;&gt;"",XLOOKUP($F496,Productos!$A:$A,Productos!AZ:AZ,"Revisar"),"")</f>
        <v/>
      </c>
      <c r="BH496" s="179" t="str">
        <f t="array" ref="BH496">IF($F496&lt;&gt;"", XLOOKUP($F496,Productos!$A$2:$A1001,Productos!BA$2:BA1001,"")*$G496,"")</f>
        <v/>
      </c>
      <c r="BI496" s="179" t="str">
        <f t="array" ref="BI496">IF($F496&lt;&gt;"",XLOOKUP($F496,Productos!$A:$A,Productos!BB:BB,"Revisar"),"")</f>
        <v/>
      </c>
      <c r="BJ496" s="179" t="str">
        <f t="array" ref="BJ496">IF($F496&lt;&gt;"", XLOOKUP($F496,Productos!$A$2:$A1001,Productos!BC$2:BC1001,"")*$G496,"")</f>
        <v/>
      </c>
      <c r="BK496" s="179" t="str">
        <f t="array" ref="BK496">IF($F496&lt;&gt;"",XLOOKUP($F496,Productos!$A:$A,Productos!BD:BD,"Revisar"),"")</f>
        <v/>
      </c>
      <c r="BL496" s="179" t="str">
        <f t="array" ref="BL496">IF($F496&lt;&gt;"", XLOOKUP($F496,Productos!$A$2:$A1001,Productos!BE$2:BE1001,"")*$G496,"")</f>
        <v/>
      </c>
      <c r="BM496" s="179" t="str">
        <f t="array" ref="BM496">IF($F496&lt;&gt;"",XLOOKUP($F496,Productos!$A:$A,Productos!BF:BF,"Revisar"),"")</f>
        <v/>
      </c>
      <c r="BN496" s="179" t="str">
        <f t="array" ref="BN496">IF($F496&lt;&gt;"", XLOOKUP($F496,Productos!$A$2:$A1001,Productos!BG$2:BG1001,"")*$G496,"")</f>
        <v/>
      </c>
      <c r="BO496" s="179" t="str">
        <f t="array" ref="BO496">IF($F496&lt;&gt;"",XLOOKUP($F496,Productos!$A:$A,Productos!BH:BH,"Revisar"),"")</f>
        <v/>
      </c>
      <c r="BP496" s="179" t="str">
        <f t="array" ref="BP496">IF($F496&lt;&gt;"", XLOOKUP($F496,Productos!$A$2:$A1001,Productos!BI$2:BI1001,"")*$G496,"")</f>
        <v/>
      </c>
      <c r="BQ496" s="179" t="str">
        <f t="array" ref="BQ496">IF($F496&lt;&gt;"",XLOOKUP($F496,Productos!$A:$A,Productos!BJ:BJ,"Revisar"),"")</f>
        <v/>
      </c>
      <c r="BR496" s="179" t="str">
        <f t="array" ref="BR496">IF($F496&lt;&gt;"", XLOOKUP($F496,Productos!$A$2:$A1001,Productos!BK$2:BK1001,"")*$G496,"")</f>
        <v/>
      </c>
      <c r="BS496" s="179" t="str">
        <f t="array" ref="BS496">IF($F496&lt;&gt;"",XLOOKUP($F496,Productos!$A:$A,Productos!BL:BL,"Revisar"),"")</f>
        <v/>
      </c>
      <c r="BT496" s="179" t="str">
        <f t="array" ref="BT496">IF($F496&lt;&gt;"", XLOOKUP($F496,Productos!$A$2:$A1001,Productos!BM$2:BM1001,"")*$G496,"")</f>
        <v/>
      </c>
      <c r="BU496" s="179" t="str">
        <f t="array" ref="BU496">IF($F496&lt;&gt;"",XLOOKUP($F496,Productos!$A:$A,Productos!BN:BN,"Revisar"),"")</f>
        <v/>
      </c>
      <c r="BV496" s="179" t="str">
        <f t="array" ref="BV496">IF($F496&lt;&gt;"", XLOOKUP($F496,Productos!$A$2:$A1001,Productos!BO$2:BO1001,"")*$G496,"")</f>
        <v/>
      </c>
      <c r="BW496" s="179" t="str">
        <f t="array" ref="BW496">IF($F496&lt;&gt;"",XLOOKUP($F496,Productos!$A:$A,Productos!BP:BP,"Revisar"),"")</f>
        <v/>
      </c>
      <c r="BX496" s="179" t="str">
        <f t="array" ref="BX496">IF($F496&lt;&gt;"", XLOOKUP($F496,Productos!$A$2:$A1001,Productos!BQ$2:BQ1001,"")*$G496,"")</f>
        <v/>
      </c>
      <c r="BY496" s="179" t="str">
        <f t="array" ref="BY496">IF($F496&lt;&gt;"",XLOOKUP($F496,Productos!$A:$A,Productos!BR:BR,"Revisar"),"")</f>
        <v/>
      </c>
      <c r="BZ496" s="179" t="str">
        <f t="array" ref="BZ496">IF($F496&lt;&gt;"", XLOOKUP($F496,Productos!$A$2:$A1001,Productos!BS$2:BS1001,"")*$G496,"")</f>
        <v/>
      </c>
    </row>
    <row r="497">
      <c r="A497" s="188"/>
      <c r="B497" s="189"/>
      <c r="C497" s="190"/>
      <c r="D497" s="190"/>
      <c r="E497" s="191"/>
      <c r="F497" s="186"/>
      <c r="G497" s="192"/>
      <c r="H497" s="9"/>
      <c r="I497" s="179" t="str">
        <f t="array" ref="I497">IF($F497&lt;&gt;"",XLOOKUP($F497,Productos!$A:$A,Productos!B:B,"Revisar"),"")</f>
        <v/>
      </c>
      <c r="J497" s="179" t="str">
        <f t="array" ref="J497">IF($F497&lt;&gt;"", XLOOKUP($F497,Productos!$A$2:$A1001,Productos!C$2:C1001,"")*$G497,"")</f>
        <v/>
      </c>
      <c r="K497" s="179" t="str">
        <f t="array" ref="K497">IF($F497&lt;&gt;"",XLOOKUP($F497,Productos!$A:$A,Productos!D:D,"Revisar"),"")</f>
        <v/>
      </c>
      <c r="L497" s="179" t="str">
        <f t="array" ref="L497">IF($F497&lt;&gt;"", XLOOKUP($F497,Productos!$A$2:$A1001,Productos!E$2:E1001,"")*$G497,"")</f>
        <v/>
      </c>
      <c r="M497" s="179" t="str">
        <f t="array" ref="M497">IF($F497&lt;&gt;"",XLOOKUP($F497,Productos!$A:$A,Productos!F:F,"Revisar"),"")</f>
        <v/>
      </c>
      <c r="N497" s="179" t="str">
        <f t="array" ref="N497">IF($F497&lt;&gt;"", XLOOKUP($F497,Productos!$A$2:$A1001,Productos!G$2:G1001,"")*$G497,"")</f>
        <v/>
      </c>
      <c r="O497" s="179" t="str">
        <f t="array" ref="O497">IF($F497&lt;&gt;"",XLOOKUP($F497,Productos!$A:$A,Productos!H:H,"Revisar"),"")</f>
        <v/>
      </c>
      <c r="P497" s="179" t="str">
        <f t="array" ref="P497">IF($F497&lt;&gt;"", XLOOKUP($F497,Productos!$A$2:$A1001,Productos!I$2:I1001,"")*$G497,"")</f>
        <v/>
      </c>
      <c r="Q497" s="179" t="str">
        <f t="array" ref="Q497">IF($F497&lt;&gt;"",XLOOKUP($F497,Productos!$A:$A,Productos!J:J,"Revisar"),"")</f>
        <v/>
      </c>
      <c r="R497" s="179" t="str">
        <f t="array" ref="R497">IF($F497&lt;&gt;"", XLOOKUP($F497,Productos!$A$2:$A1001,Productos!K$2:K1001,"")*$G497,"")</f>
        <v/>
      </c>
      <c r="S497" s="179" t="str">
        <f t="array" ref="S497">IF($F497&lt;&gt;"",XLOOKUP($F497,Productos!$A:$A,Productos!L:L,"Revisar"),"")</f>
        <v/>
      </c>
      <c r="T497" s="179" t="str">
        <f t="array" ref="T497">IF($F497&lt;&gt;"", XLOOKUP($F497,Productos!$A$2:$A1001,Productos!M$2:M1001,"")*$G497,"")</f>
        <v/>
      </c>
      <c r="U497" s="179" t="str">
        <f t="array" ref="U497">IF($F497&lt;&gt;"",XLOOKUP($F497,Productos!$A:$A,Productos!N:N,"Revisar"),"")</f>
        <v/>
      </c>
      <c r="V497" s="179" t="str">
        <f t="array" ref="V497">IF($F497&lt;&gt;"", XLOOKUP($F497,Productos!$A$2:$A1001,Productos!O$2:O1001,"")*$G497,"")</f>
        <v/>
      </c>
      <c r="W497" s="179" t="str">
        <f t="array" ref="W497">IF($F497&lt;&gt;"",XLOOKUP($F497,Productos!$A:$A,Productos!P:P,"Revisar"),"")</f>
        <v/>
      </c>
      <c r="X497" s="179" t="str">
        <f t="array" ref="X497">IF($F497&lt;&gt;"", XLOOKUP($F497,Productos!$A$2:$A1001,Productos!Q$2:Q1001,"")*$G497,"")</f>
        <v/>
      </c>
      <c r="Y497" s="179" t="str">
        <f t="array" ref="Y497">IF($F497&lt;&gt;"",XLOOKUP($F497,Productos!$A:$A,Productos!R:R,"Revisar"),"")</f>
        <v/>
      </c>
      <c r="Z497" s="179" t="str">
        <f t="array" ref="Z497">IF($F497&lt;&gt;"", XLOOKUP($F497,Productos!$A$2:$A1001,Productos!S$2:S1001,"")*$G497,"")</f>
        <v/>
      </c>
      <c r="AA497" s="179" t="str">
        <f t="array" ref="AA497">IF($F497&lt;&gt;"",XLOOKUP($F497,Productos!$A:$A,Productos!T:T,"Revisar"),"")</f>
        <v/>
      </c>
      <c r="AB497" s="179" t="str">
        <f t="array" ref="AB497">IF($F497&lt;&gt;"", XLOOKUP($F497,Productos!$A$2:$A1001,Productos!U$2:U1001,"")*$G497,"")</f>
        <v/>
      </c>
      <c r="AC497" s="179" t="str">
        <f t="array" ref="AC497">IF($F497&lt;&gt;"",XLOOKUP($F497,Productos!$A:$A,Productos!V:V,"Revisar"),"")</f>
        <v/>
      </c>
      <c r="AD497" s="179" t="str">
        <f t="array" ref="AD497">IF($F497&lt;&gt;"", XLOOKUP($F497,Productos!$A$2:$A1001,Productos!W$2:W1001,"")*$G497,"")</f>
        <v/>
      </c>
      <c r="AE497" s="179" t="str">
        <f t="array" ref="AE497">IF($F497&lt;&gt;"",XLOOKUP($F497,Productos!$A:$A,Productos!X:X,"Revisar"),"")</f>
        <v/>
      </c>
      <c r="AF497" s="179" t="str">
        <f t="array" ref="AF497">IF($F497&lt;&gt;"", XLOOKUP($F497,Productos!$A$2:$A1001,Productos!Y$2:Y1001,"")*$G497,"")</f>
        <v/>
      </c>
      <c r="AG497" s="179" t="str">
        <f t="array" ref="AG497">IF($F497&lt;&gt;"",XLOOKUP($F497,Productos!$A:$A,Productos!Z:Z,"Revisar"),"")</f>
        <v/>
      </c>
      <c r="AH497" s="179" t="str">
        <f t="array" ref="AH497">IF($F497&lt;&gt;"", XLOOKUP($F497,Productos!$A$2:$A1001,Productos!AA$2:AA1001,"")*$G497,"")</f>
        <v/>
      </c>
      <c r="AI497" s="179" t="str">
        <f t="array" ref="AI497">IF($F497&lt;&gt;"",XLOOKUP($F497,Productos!$A:$A,Productos!AB:AB,"Revisar"),"")</f>
        <v/>
      </c>
      <c r="AJ497" s="179" t="str">
        <f t="array" ref="AJ497">IF($F497&lt;&gt;"", XLOOKUP($F497,Productos!$A$2:$A1001,Productos!AC$2:AC1001,"")*$G497,"")</f>
        <v/>
      </c>
      <c r="AK497" s="179" t="str">
        <f t="array" ref="AK497">IF($F497&lt;&gt;"",XLOOKUP($F497,Productos!$A:$A,Productos!AD:AD,"Revisar"),"")</f>
        <v/>
      </c>
      <c r="AL497" s="179" t="str">
        <f t="array" ref="AL497">IF($F497&lt;&gt;"", XLOOKUP($F497,Productos!$A$2:$A1001,Productos!AE$2:AE1001,"")*$G497,"")</f>
        <v/>
      </c>
      <c r="AM497" s="179" t="str">
        <f t="array" ref="AM497">IF($F497&lt;&gt;"",XLOOKUP($F497,Productos!$A:$A,Productos!AF:AF,"Revisar"),"")</f>
        <v/>
      </c>
      <c r="AN497" s="179" t="str">
        <f t="array" ref="AN497">IF($F497&lt;&gt;"", XLOOKUP($F497,Productos!$A$2:$A1001,Productos!AG$2:AG1001,"")*$G497,"")</f>
        <v/>
      </c>
      <c r="AO497" s="179" t="str">
        <f t="array" ref="AO497">IF($F497&lt;&gt;"",XLOOKUP($F497,Productos!$A:$A,Productos!AH:AH,"Revisar"),"")</f>
        <v/>
      </c>
      <c r="AP497" s="179" t="str">
        <f t="array" ref="AP497">IF($F497&lt;&gt;"", XLOOKUP($F497,Productos!$A$2:$A1001,Productos!AI$2:AI1001,"")*$G497,"")</f>
        <v/>
      </c>
      <c r="AQ497" s="179" t="str">
        <f t="array" ref="AQ497">IF($F497&lt;&gt;"",XLOOKUP($F497,Productos!$A:$A,Productos!AJ:AJ,"Revisar"),"")</f>
        <v/>
      </c>
      <c r="AR497" s="179" t="str">
        <f t="array" ref="AR497">IF($F497&lt;&gt;"", XLOOKUP($F497,Productos!$A$2:$A1001,Productos!AK$2:AK1001,"")*$G497,"")</f>
        <v/>
      </c>
      <c r="AS497" s="179" t="str">
        <f t="array" ref="AS497">IF($F497&lt;&gt;"",XLOOKUP($F497,Productos!$A:$A,Productos!AL:AL,"Revisar"),"")</f>
        <v/>
      </c>
      <c r="AT497" s="179" t="str">
        <f t="array" ref="AT497">IF($F497&lt;&gt;"", XLOOKUP($F497,Productos!$A$2:$A1001,Productos!AM$2:AM1001,"")*$G497,"")</f>
        <v/>
      </c>
      <c r="AU497" s="179" t="str">
        <f t="array" ref="AU497">IF($F497&lt;&gt;"",XLOOKUP($F497,Productos!$A:$A,Productos!AN:AN,"Revisar"),"")</f>
        <v/>
      </c>
      <c r="AV497" s="179" t="str">
        <f t="array" ref="AV497">IF($F497&lt;&gt;"", XLOOKUP($F497,Productos!$A$2:$A1001,Productos!AO$2:AO1001,"")*$G497,"")</f>
        <v/>
      </c>
      <c r="AW497" s="179" t="str">
        <f t="array" ref="AW497">IF($F497&lt;&gt;"",XLOOKUP($F497,Productos!$A:$A,Productos!AP:AP,"Revisar"),"")</f>
        <v/>
      </c>
      <c r="AX497" s="179" t="str">
        <f t="array" ref="AX497">IF($F497&lt;&gt;"", XLOOKUP($F497,Productos!$A$2:$A1001,Productos!AQ$2:AQ1001,"")*$G497,"")</f>
        <v/>
      </c>
      <c r="AY497" s="179" t="str">
        <f t="array" ref="AY497">IF($F497&lt;&gt;"",XLOOKUP($F497,Productos!$A:$A,Productos!AR:AR,"Revisar"),"")</f>
        <v/>
      </c>
      <c r="AZ497" s="179" t="str">
        <f t="array" ref="AZ497">IF($F497&lt;&gt;"", XLOOKUP($F497,Productos!$A$2:$A1001,Productos!AS$2:AS1001,"")*$G497,"")</f>
        <v/>
      </c>
      <c r="BA497" s="179" t="str">
        <f t="array" ref="BA497">IF($F497&lt;&gt;"",XLOOKUP($F497,Productos!$A:$A,Productos!AT:AT,"Revisar"),"")</f>
        <v/>
      </c>
      <c r="BB497" s="179" t="str">
        <f t="array" ref="BB497">IF($F497&lt;&gt;"", XLOOKUP($F497,Productos!$A$2:$A1001,Productos!AU$2:AU1001,"")*$G497,"")</f>
        <v/>
      </c>
      <c r="BC497" s="179" t="str">
        <f t="array" ref="BC497">IF($F497&lt;&gt;"",XLOOKUP($F497,Productos!$A:$A,Productos!AV:AV,"Revisar"),"")</f>
        <v/>
      </c>
      <c r="BD497" s="179" t="str">
        <f t="array" ref="BD497">IF($F497&lt;&gt;"", XLOOKUP($F497,Productos!$A$2:$A1001,Productos!AW$2:AW1001,"")*$G497,"")</f>
        <v/>
      </c>
      <c r="BE497" s="179" t="str">
        <f t="array" ref="BE497">IF($F497&lt;&gt;"",XLOOKUP($F497,Productos!$A:$A,Productos!AX:AX,"Revisar"),"")</f>
        <v/>
      </c>
      <c r="BF497" s="179" t="str">
        <f t="array" ref="BF497">IF($F497&lt;&gt;"", XLOOKUP($F497,Productos!$A$2:$A1001,Productos!AY$2:AY1001,"")*$G497,"")</f>
        <v/>
      </c>
      <c r="BG497" s="179" t="str">
        <f t="array" ref="BG497">IF($F497&lt;&gt;"",XLOOKUP($F497,Productos!$A:$A,Productos!AZ:AZ,"Revisar"),"")</f>
        <v/>
      </c>
      <c r="BH497" s="179" t="str">
        <f t="array" ref="BH497">IF($F497&lt;&gt;"", XLOOKUP($F497,Productos!$A$2:$A1001,Productos!BA$2:BA1001,"")*$G497,"")</f>
        <v/>
      </c>
      <c r="BI497" s="179" t="str">
        <f t="array" ref="BI497">IF($F497&lt;&gt;"",XLOOKUP($F497,Productos!$A:$A,Productos!BB:BB,"Revisar"),"")</f>
        <v/>
      </c>
      <c r="BJ497" s="179" t="str">
        <f t="array" ref="BJ497">IF($F497&lt;&gt;"", XLOOKUP($F497,Productos!$A$2:$A1001,Productos!BC$2:BC1001,"")*$G497,"")</f>
        <v/>
      </c>
      <c r="BK497" s="179" t="str">
        <f t="array" ref="BK497">IF($F497&lt;&gt;"",XLOOKUP($F497,Productos!$A:$A,Productos!BD:BD,"Revisar"),"")</f>
        <v/>
      </c>
      <c r="BL497" s="179" t="str">
        <f t="array" ref="BL497">IF($F497&lt;&gt;"", XLOOKUP($F497,Productos!$A$2:$A1001,Productos!BE$2:BE1001,"")*$G497,"")</f>
        <v/>
      </c>
      <c r="BM497" s="179" t="str">
        <f t="array" ref="BM497">IF($F497&lt;&gt;"",XLOOKUP($F497,Productos!$A:$A,Productos!BF:BF,"Revisar"),"")</f>
        <v/>
      </c>
      <c r="BN497" s="179" t="str">
        <f t="array" ref="BN497">IF($F497&lt;&gt;"", XLOOKUP($F497,Productos!$A$2:$A1001,Productos!BG$2:BG1001,"")*$G497,"")</f>
        <v/>
      </c>
      <c r="BO497" s="179" t="str">
        <f t="array" ref="BO497">IF($F497&lt;&gt;"",XLOOKUP($F497,Productos!$A:$A,Productos!BH:BH,"Revisar"),"")</f>
        <v/>
      </c>
      <c r="BP497" s="179" t="str">
        <f t="array" ref="BP497">IF($F497&lt;&gt;"", XLOOKUP($F497,Productos!$A$2:$A1001,Productos!BI$2:BI1001,"")*$G497,"")</f>
        <v/>
      </c>
      <c r="BQ497" s="179" t="str">
        <f t="array" ref="BQ497">IF($F497&lt;&gt;"",XLOOKUP($F497,Productos!$A:$A,Productos!BJ:BJ,"Revisar"),"")</f>
        <v/>
      </c>
      <c r="BR497" s="179" t="str">
        <f t="array" ref="BR497">IF($F497&lt;&gt;"", XLOOKUP($F497,Productos!$A$2:$A1001,Productos!BK$2:BK1001,"")*$G497,"")</f>
        <v/>
      </c>
      <c r="BS497" s="179" t="str">
        <f t="array" ref="BS497">IF($F497&lt;&gt;"",XLOOKUP($F497,Productos!$A:$A,Productos!BL:BL,"Revisar"),"")</f>
        <v/>
      </c>
      <c r="BT497" s="179" t="str">
        <f t="array" ref="BT497">IF($F497&lt;&gt;"", XLOOKUP($F497,Productos!$A$2:$A1001,Productos!BM$2:BM1001,"")*$G497,"")</f>
        <v/>
      </c>
      <c r="BU497" s="179" t="str">
        <f t="array" ref="BU497">IF($F497&lt;&gt;"",XLOOKUP($F497,Productos!$A:$A,Productos!BN:BN,"Revisar"),"")</f>
        <v/>
      </c>
      <c r="BV497" s="179" t="str">
        <f t="array" ref="BV497">IF($F497&lt;&gt;"", XLOOKUP($F497,Productos!$A$2:$A1001,Productos!BO$2:BO1001,"")*$G497,"")</f>
        <v/>
      </c>
      <c r="BW497" s="179" t="str">
        <f t="array" ref="BW497">IF($F497&lt;&gt;"",XLOOKUP($F497,Productos!$A:$A,Productos!BP:BP,"Revisar"),"")</f>
        <v/>
      </c>
      <c r="BX497" s="179" t="str">
        <f t="array" ref="BX497">IF($F497&lt;&gt;"", XLOOKUP($F497,Productos!$A$2:$A1001,Productos!BQ$2:BQ1001,"")*$G497,"")</f>
        <v/>
      </c>
      <c r="BY497" s="179" t="str">
        <f t="array" ref="BY497">IF($F497&lt;&gt;"",XLOOKUP($F497,Productos!$A:$A,Productos!BR:BR,"Revisar"),"")</f>
        <v/>
      </c>
      <c r="BZ497" s="179" t="str">
        <f t="array" ref="BZ497">IF($F497&lt;&gt;"", XLOOKUP($F497,Productos!$A$2:$A1001,Productos!BS$2:BS1001,"")*$G497,"")</f>
        <v/>
      </c>
    </row>
    <row r="498">
      <c r="A498" s="188"/>
      <c r="B498" s="189"/>
      <c r="C498" s="190"/>
      <c r="D498" s="190"/>
      <c r="E498" s="191"/>
      <c r="F498" s="186"/>
      <c r="G498" s="192"/>
      <c r="H498" s="9"/>
      <c r="I498" s="179" t="str">
        <f t="array" ref="I498">IF($F498&lt;&gt;"",XLOOKUP($F498,Productos!$A:$A,Productos!B:B,"Revisar"),"")</f>
        <v/>
      </c>
      <c r="J498" s="179" t="str">
        <f t="array" ref="J498">IF($F498&lt;&gt;"", XLOOKUP($F498,Productos!$A$2:$A1001,Productos!C$2:C1001,"")*$G498,"")</f>
        <v/>
      </c>
      <c r="K498" s="179" t="str">
        <f t="array" ref="K498">IF($F498&lt;&gt;"",XLOOKUP($F498,Productos!$A:$A,Productos!D:D,"Revisar"),"")</f>
        <v/>
      </c>
      <c r="L498" s="179" t="str">
        <f t="array" ref="L498">IF($F498&lt;&gt;"", XLOOKUP($F498,Productos!$A$2:$A1001,Productos!E$2:E1001,"")*$G498,"")</f>
        <v/>
      </c>
      <c r="M498" s="179" t="str">
        <f t="array" ref="M498">IF($F498&lt;&gt;"",XLOOKUP($F498,Productos!$A:$A,Productos!F:F,"Revisar"),"")</f>
        <v/>
      </c>
      <c r="N498" s="179" t="str">
        <f t="array" ref="N498">IF($F498&lt;&gt;"", XLOOKUP($F498,Productos!$A$2:$A1001,Productos!G$2:G1001,"")*$G498,"")</f>
        <v/>
      </c>
      <c r="O498" s="179" t="str">
        <f t="array" ref="O498">IF($F498&lt;&gt;"",XLOOKUP($F498,Productos!$A:$A,Productos!H:H,"Revisar"),"")</f>
        <v/>
      </c>
      <c r="P498" s="179" t="str">
        <f t="array" ref="P498">IF($F498&lt;&gt;"", XLOOKUP($F498,Productos!$A$2:$A1001,Productos!I$2:I1001,"")*$G498,"")</f>
        <v/>
      </c>
      <c r="Q498" s="179" t="str">
        <f t="array" ref="Q498">IF($F498&lt;&gt;"",XLOOKUP($F498,Productos!$A:$A,Productos!J:J,"Revisar"),"")</f>
        <v/>
      </c>
      <c r="R498" s="179" t="str">
        <f t="array" ref="R498">IF($F498&lt;&gt;"", XLOOKUP($F498,Productos!$A$2:$A1001,Productos!K$2:K1001,"")*$G498,"")</f>
        <v/>
      </c>
      <c r="S498" s="179" t="str">
        <f t="array" ref="S498">IF($F498&lt;&gt;"",XLOOKUP($F498,Productos!$A:$A,Productos!L:L,"Revisar"),"")</f>
        <v/>
      </c>
      <c r="T498" s="179" t="str">
        <f t="array" ref="T498">IF($F498&lt;&gt;"", XLOOKUP($F498,Productos!$A$2:$A1001,Productos!M$2:M1001,"")*$G498,"")</f>
        <v/>
      </c>
      <c r="U498" s="179" t="str">
        <f t="array" ref="U498">IF($F498&lt;&gt;"",XLOOKUP($F498,Productos!$A:$A,Productos!N:N,"Revisar"),"")</f>
        <v/>
      </c>
      <c r="V498" s="179" t="str">
        <f t="array" ref="V498">IF($F498&lt;&gt;"", XLOOKUP($F498,Productos!$A$2:$A1001,Productos!O$2:O1001,"")*$G498,"")</f>
        <v/>
      </c>
      <c r="W498" s="179" t="str">
        <f t="array" ref="W498">IF($F498&lt;&gt;"",XLOOKUP($F498,Productos!$A:$A,Productos!P:P,"Revisar"),"")</f>
        <v/>
      </c>
      <c r="X498" s="179" t="str">
        <f t="array" ref="X498">IF($F498&lt;&gt;"", XLOOKUP($F498,Productos!$A$2:$A1001,Productos!Q$2:Q1001,"")*$G498,"")</f>
        <v/>
      </c>
      <c r="Y498" s="179" t="str">
        <f t="array" ref="Y498">IF($F498&lt;&gt;"",XLOOKUP($F498,Productos!$A:$A,Productos!R:R,"Revisar"),"")</f>
        <v/>
      </c>
      <c r="Z498" s="179" t="str">
        <f t="array" ref="Z498">IF($F498&lt;&gt;"", XLOOKUP($F498,Productos!$A$2:$A1001,Productos!S$2:S1001,"")*$G498,"")</f>
        <v/>
      </c>
      <c r="AA498" s="179" t="str">
        <f t="array" ref="AA498">IF($F498&lt;&gt;"",XLOOKUP($F498,Productos!$A:$A,Productos!T:T,"Revisar"),"")</f>
        <v/>
      </c>
      <c r="AB498" s="179" t="str">
        <f t="array" ref="AB498">IF($F498&lt;&gt;"", XLOOKUP($F498,Productos!$A$2:$A1001,Productos!U$2:U1001,"")*$G498,"")</f>
        <v/>
      </c>
      <c r="AC498" s="179" t="str">
        <f t="array" ref="AC498">IF($F498&lt;&gt;"",XLOOKUP($F498,Productos!$A:$A,Productos!V:V,"Revisar"),"")</f>
        <v/>
      </c>
      <c r="AD498" s="179" t="str">
        <f t="array" ref="AD498">IF($F498&lt;&gt;"", XLOOKUP($F498,Productos!$A$2:$A1001,Productos!W$2:W1001,"")*$G498,"")</f>
        <v/>
      </c>
      <c r="AE498" s="179" t="str">
        <f t="array" ref="AE498">IF($F498&lt;&gt;"",XLOOKUP($F498,Productos!$A:$A,Productos!X:X,"Revisar"),"")</f>
        <v/>
      </c>
      <c r="AF498" s="179" t="str">
        <f t="array" ref="AF498">IF($F498&lt;&gt;"", XLOOKUP($F498,Productos!$A$2:$A1001,Productos!Y$2:Y1001,"")*$G498,"")</f>
        <v/>
      </c>
      <c r="AG498" s="179" t="str">
        <f t="array" ref="AG498">IF($F498&lt;&gt;"",XLOOKUP($F498,Productos!$A:$A,Productos!Z:Z,"Revisar"),"")</f>
        <v/>
      </c>
      <c r="AH498" s="179" t="str">
        <f t="array" ref="AH498">IF($F498&lt;&gt;"", XLOOKUP($F498,Productos!$A$2:$A1001,Productos!AA$2:AA1001,"")*$G498,"")</f>
        <v/>
      </c>
      <c r="AI498" s="179" t="str">
        <f t="array" ref="AI498">IF($F498&lt;&gt;"",XLOOKUP($F498,Productos!$A:$A,Productos!AB:AB,"Revisar"),"")</f>
        <v/>
      </c>
      <c r="AJ498" s="179" t="str">
        <f t="array" ref="AJ498">IF($F498&lt;&gt;"", XLOOKUP($F498,Productos!$A$2:$A1001,Productos!AC$2:AC1001,"")*$G498,"")</f>
        <v/>
      </c>
      <c r="AK498" s="179" t="str">
        <f t="array" ref="AK498">IF($F498&lt;&gt;"",XLOOKUP($F498,Productos!$A:$A,Productos!AD:AD,"Revisar"),"")</f>
        <v/>
      </c>
      <c r="AL498" s="179" t="str">
        <f t="array" ref="AL498">IF($F498&lt;&gt;"", XLOOKUP($F498,Productos!$A$2:$A1001,Productos!AE$2:AE1001,"")*$G498,"")</f>
        <v/>
      </c>
      <c r="AM498" s="179" t="str">
        <f t="array" ref="AM498">IF($F498&lt;&gt;"",XLOOKUP($F498,Productos!$A:$A,Productos!AF:AF,"Revisar"),"")</f>
        <v/>
      </c>
      <c r="AN498" s="179" t="str">
        <f t="array" ref="AN498">IF($F498&lt;&gt;"", XLOOKUP($F498,Productos!$A$2:$A1001,Productos!AG$2:AG1001,"")*$G498,"")</f>
        <v/>
      </c>
      <c r="AO498" s="179" t="str">
        <f t="array" ref="AO498">IF($F498&lt;&gt;"",XLOOKUP($F498,Productos!$A:$A,Productos!AH:AH,"Revisar"),"")</f>
        <v/>
      </c>
      <c r="AP498" s="179" t="str">
        <f t="array" ref="AP498">IF($F498&lt;&gt;"", XLOOKUP($F498,Productos!$A$2:$A1001,Productos!AI$2:AI1001,"")*$G498,"")</f>
        <v/>
      </c>
      <c r="AQ498" s="179" t="str">
        <f t="array" ref="AQ498">IF($F498&lt;&gt;"",XLOOKUP($F498,Productos!$A:$A,Productos!AJ:AJ,"Revisar"),"")</f>
        <v/>
      </c>
      <c r="AR498" s="179" t="str">
        <f t="array" ref="AR498">IF($F498&lt;&gt;"", XLOOKUP($F498,Productos!$A$2:$A1001,Productos!AK$2:AK1001,"")*$G498,"")</f>
        <v/>
      </c>
      <c r="AS498" s="179" t="str">
        <f t="array" ref="AS498">IF($F498&lt;&gt;"",XLOOKUP($F498,Productos!$A:$A,Productos!AL:AL,"Revisar"),"")</f>
        <v/>
      </c>
      <c r="AT498" s="179" t="str">
        <f t="array" ref="AT498">IF($F498&lt;&gt;"", XLOOKUP($F498,Productos!$A$2:$A1001,Productos!AM$2:AM1001,"")*$G498,"")</f>
        <v/>
      </c>
      <c r="AU498" s="179" t="str">
        <f t="array" ref="AU498">IF($F498&lt;&gt;"",XLOOKUP($F498,Productos!$A:$A,Productos!AN:AN,"Revisar"),"")</f>
        <v/>
      </c>
      <c r="AV498" s="179" t="str">
        <f t="array" ref="AV498">IF($F498&lt;&gt;"", XLOOKUP($F498,Productos!$A$2:$A1001,Productos!AO$2:AO1001,"")*$G498,"")</f>
        <v/>
      </c>
      <c r="AW498" s="179" t="str">
        <f t="array" ref="AW498">IF($F498&lt;&gt;"",XLOOKUP($F498,Productos!$A:$A,Productos!AP:AP,"Revisar"),"")</f>
        <v/>
      </c>
      <c r="AX498" s="179" t="str">
        <f t="array" ref="AX498">IF($F498&lt;&gt;"", XLOOKUP($F498,Productos!$A$2:$A1001,Productos!AQ$2:AQ1001,"")*$G498,"")</f>
        <v/>
      </c>
      <c r="AY498" s="179" t="str">
        <f t="array" ref="AY498">IF($F498&lt;&gt;"",XLOOKUP($F498,Productos!$A:$A,Productos!AR:AR,"Revisar"),"")</f>
        <v/>
      </c>
      <c r="AZ498" s="179" t="str">
        <f t="array" ref="AZ498">IF($F498&lt;&gt;"", XLOOKUP($F498,Productos!$A$2:$A1001,Productos!AS$2:AS1001,"")*$G498,"")</f>
        <v/>
      </c>
      <c r="BA498" s="179" t="str">
        <f t="array" ref="BA498">IF($F498&lt;&gt;"",XLOOKUP($F498,Productos!$A:$A,Productos!AT:AT,"Revisar"),"")</f>
        <v/>
      </c>
      <c r="BB498" s="179" t="str">
        <f t="array" ref="BB498">IF($F498&lt;&gt;"", XLOOKUP($F498,Productos!$A$2:$A1001,Productos!AU$2:AU1001,"")*$G498,"")</f>
        <v/>
      </c>
      <c r="BC498" s="179" t="str">
        <f t="array" ref="BC498">IF($F498&lt;&gt;"",XLOOKUP($F498,Productos!$A:$A,Productos!AV:AV,"Revisar"),"")</f>
        <v/>
      </c>
      <c r="BD498" s="179" t="str">
        <f t="array" ref="BD498">IF($F498&lt;&gt;"", XLOOKUP($F498,Productos!$A$2:$A1001,Productos!AW$2:AW1001,"")*$G498,"")</f>
        <v/>
      </c>
      <c r="BE498" s="179" t="str">
        <f t="array" ref="BE498">IF($F498&lt;&gt;"",XLOOKUP($F498,Productos!$A:$A,Productos!AX:AX,"Revisar"),"")</f>
        <v/>
      </c>
      <c r="BF498" s="179" t="str">
        <f t="array" ref="BF498">IF($F498&lt;&gt;"", XLOOKUP($F498,Productos!$A$2:$A1001,Productos!AY$2:AY1001,"")*$G498,"")</f>
        <v/>
      </c>
      <c r="BG498" s="179" t="str">
        <f t="array" ref="BG498">IF($F498&lt;&gt;"",XLOOKUP($F498,Productos!$A:$A,Productos!AZ:AZ,"Revisar"),"")</f>
        <v/>
      </c>
      <c r="BH498" s="179" t="str">
        <f t="array" ref="BH498">IF($F498&lt;&gt;"", XLOOKUP($F498,Productos!$A$2:$A1001,Productos!BA$2:BA1001,"")*$G498,"")</f>
        <v/>
      </c>
      <c r="BI498" s="179" t="str">
        <f t="array" ref="BI498">IF($F498&lt;&gt;"",XLOOKUP($F498,Productos!$A:$A,Productos!BB:BB,"Revisar"),"")</f>
        <v/>
      </c>
      <c r="BJ498" s="179" t="str">
        <f t="array" ref="BJ498">IF($F498&lt;&gt;"", XLOOKUP($F498,Productos!$A$2:$A1001,Productos!BC$2:BC1001,"")*$G498,"")</f>
        <v/>
      </c>
      <c r="BK498" s="179" t="str">
        <f t="array" ref="BK498">IF($F498&lt;&gt;"",XLOOKUP($F498,Productos!$A:$A,Productos!BD:BD,"Revisar"),"")</f>
        <v/>
      </c>
      <c r="BL498" s="179" t="str">
        <f t="array" ref="BL498">IF($F498&lt;&gt;"", XLOOKUP($F498,Productos!$A$2:$A1001,Productos!BE$2:BE1001,"")*$G498,"")</f>
        <v/>
      </c>
      <c r="BM498" s="179" t="str">
        <f t="array" ref="BM498">IF($F498&lt;&gt;"",XLOOKUP($F498,Productos!$A:$A,Productos!BF:BF,"Revisar"),"")</f>
        <v/>
      </c>
      <c r="BN498" s="179" t="str">
        <f t="array" ref="BN498">IF($F498&lt;&gt;"", XLOOKUP($F498,Productos!$A$2:$A1001,Productos!BG$2:BG1001,"")*$G498,"")</f>
        <v/>
      </c>
      <c r="BO498" s="179" t="str">
        <f t="array" ref="BO498">IF($F498&lt;&gt;"",XLOOKUP($F498,Productos!$A:$A,Productos!BH:BH,"Revisar"),"")</f>
        <v/>
      </c>
      <c r="BP498" s="179" t="str">
        <f t="array" ref="BP498">IF($F498&lt;&gt;"", XLOOKUP($F498,Productos!$A$2:$A1001,Productos!BI$2:BI1001,"")*$G498,"")</f>
        <v/>
      </c>
      <c r="BQ498" s="179" t="str">
        <f t="array" ref="BQ498">IF($F498&lt;&gt;"",XLOOKUP($F498,Productos!$A:$A,Productos!BJ:BJ,"Revisar"),"")</f>
        <v/>
      </c>
      <c r="BR498" s="179" t="str">
        <f t="array" ref="BR498">IF($F498&lt;&gt;"", XLOOKUP($F498,Productos!$A$2:$A1001,Productos!BK$2:BK1001,"")*$G498,"")</f>
        <v/>
      </c>
      <c r="BS498" s="179" t="str">
        <f t="array" ref="BS498">IF($F498&lt;&gt;"",XLOOKUP($F498,Productos!$A:$A,Productos!BL:BL,"Revisar"),"")</f>
        <v/>
      </c>
      <c r="BT498" s="179" t="str">
        <f t="array" ref="BT498">IF($F498&lt;&gt;"", XLOOKUP($F498,Productos!$A$2:$A1001,Productos!BM$2:BM1001,"")*$G498,"")</f>
        <v/>
      </c>
      <c r="BU498" s="179" t="str">
        <f t="array" ref="BU498">IF($F498&lt;&gt;"",XLOOKUP($F498,Productos!$A:$A,Productos!BN:BN,"Revisar"),"")</f>
        <v/>
      </c>
      <c r="BV498" s="179" t="str">
        <f t="array" ref="BV498">IF($F498&lt;&gt;"", XLOOKUP($F498,Productos!$A$2:$A1001,Productos!BO$2:BO1001,"")*$G498,"")</f>
        <v/>
      </c>
      <c r="BW498" s="179" t="str">
        <f t="array" ref="BW498">IF($F498&lt;&gt;"",XLOOKUP($F498,Productos!$A:$A,Productos!BP:BP,"Revisar"),"")</f>
        <v/>
      </c>
      <c r="BX498" s="179" t="str">
        <f t="array" ref="BX498">IF($F498&lt;&gt;"", XLOOKUP($F498,Productos!$A$2:$A1001,Productos!BQ$2:BQ1001,"")*$G498,"")</f>
        <v/>
      </c>
      <c r="BY498" s="179" t="str">
        <f t="array" ref="BY498">IF($F498&lt;&gt;"",XLOOKUP($F498,Productos!$A:$A,Productos!BR:BR,"Revisar"),"")</f>
        <v/>
      </c>
      <c r="BZ498" s="179" t="str">
        <f t="array" ref="BZ498">IF($F498&lt;&gt;"", XLOOKUP($F498,Productos!$A$2:$A1001,Productos!BS$2:BS1001,"")*$G498,"")</f>
        <v/>
      </c>
    </row>
    <row r="499">
      <c r="A499" s="188"/>
      <c r="B499" s="189"/>
      <c r="C499" s="190"/>
      <c r="D499" s="190"/>
      <c r="E499" s="191"/>
      <c r="F499" s="186"/>
      <c r="G499" s="192"/>
      <c r="H499" s="9"/>
      <c r="I499" s="179" t="str">
        <f t="array" ref="I499">IF($F499&lt;&gt;"",XLOOKUP($F499,Productos!$A:$A,Productos!B:B,"Revisar"),"")</f>
        <v/>
      </c>
      <c r="J499" s="179" t="str">
        <f t="array" ref="J499">IF($F499&lt;&gt;"", XLOOKUP($F499,Productos!$A$2:$A1001,Productos!C$2:C1001,"")*$G499,"")</f>
        <v/>
      </c>
      <c r="K499" s="179" t="str">
        <f t="array" ref="K499">IF($F499&lt;&gt;"",XLOOKUP($F499,Productos!$A:$A,Productos!D:D,"Revisar"),"")</f>
        <v/>
      </c>
      <c r="L499" s="179" t="str">
        <f t="array" ref="L499">IF($F499&lt;&gt;"", XLOOKUP($F499,Productos!$A$2:$A1001,Productos!E$2:E1001,"")*$G499,"")</f>
        <v/>
      </c>
      <c r="M499" s="179" t="str">
        <f t="array" ref="M499">IF($F499&lt;&gt;"",XLOOKUP($F499,Productos!$A:$A,Productos!F:F,"Revisar"),"")</f>
        <v/>
      </c>
      <c r="N499" s="179" t="str">
        <f t="array" ref="N499">IF($F499&lt;&gt;"", XLOOKUP($F499,Productos!$A$2:$A1001,Productos!G$2:G1001,"")*$G499,"")</f>
        <v/>
      </c>
      <c r="O499" s="179" t="str">
        <f t="array" ref="O499">IF($F499&lt;&gt;"",XLOOKUP($F499,Productos!$A:$A,Productos!H:H,"Revisar"),"")</f>
        <v/>
      </c>
      <c r="P499" s="179" t="str">
        <f t="array" ref="P499">IF($F499&lt;&gt;"", XLOOKUP($F499,Productos!$A$2:$A1001,Productos!I$2:I1001,"")*$G499,"")</f>
        <v/>
      </c>
      <c r="Q499" s="179" t="str">
        <f t="array" ref="Q499">IF($F499&lt;&gt;"",XLOOKUP($F499,Productos!$A:$A,Productos!J:J,"Revisar"),"")</f>
        <v/>
      </c>
      <c r="R499" s="179" t="str">
        <f t="array" ref="R499">IF($F499&lt;&gt;"", XLOOKUP($F499,Productos!$A$2:$A1001,Productos!K$2:K1001,"")*$G499,"")</f>
        <v/>
      </c>
      <c r="S499" s="179" t="str">
        <f t="array" ref="S499">IF($F499&lt;&gt;"",XLOOKUP($F499,Productos!$A:$A,Productos!L:L,"Revisar"),"")</f>
        <v/>
      </c>
      <c r="T499" s="179" t="str">
        <f t="array" ref="T499">IF($F499&lt;&gt;"", XLOOKUP($F499,Productos!$A$2:$A1001,Productos!M$2:M1001,"")*$G499,"")</f>
        <v/>
      </c>
      <c r="U499" s="179" t="str">
        <f t="array" ref="U499">IF($F499&lt;&gt;"",XLOOKUP($F499,Productos!$A:$A,Productos!N:N,"Revisar"),"")</f>
        <v/>
      </c>
      <c r="V499" s="179" t="str">
        <f t="array" ref="V499">IF($F499&lt;&gt;"", XLOOKUP($F499,Productos!$A$2:$A1001,Productos!O$2:O1001,"")*$G499,"")</f>
        <v/>
      </c>
      <c r="W499" s="179" t="str">
        <f t="array" ref="W499">IF($F499&lt;&gt;"",XLOOKUP($F499,Productos!$A:$A,Productos!P:P,"Revisar"),"")</f>
        <v/>
      </c>
      <c r="X499" s="179" t="str">
        <f t="array" ref="X499">IF($F499&lt;&gt;"", XLOOKUP($F499,Productos!$A$2:$A1001,Productos!Q$2:Q1001,"")*$G499,"")</f>
        <v/>
      </c>
      <c r="Y499" s="179" t="str">
        <f t="array" ref="Y499">IF($F499&lt;&gt;"",XLOOKUP($F499,Productos!$A:$A,Productos!R:R,"Revisar"),"")</f>
        <v/>
      </c>
      <c r="Z499" s="179" t="str">
        <f t="array" ref="Z499">IF($F499&lt;&gt;"", XLOOKUP($F499,Productos!$A$2:$A1001,Productos!S$2:S1001,"")*$G499,"")</f>
        <v/>
      </c>
      <c r="AA499" s="179" t="str">
        <f t="array" ref="AA499">IF($F499&lt;&gt;"",XLOOKUP($F499,Productos!$A:$A,Productos!T:T,"Revisar"),"")</f>
        <v/>
      </c>
      <c r="AB499" s="179" t="str">
        <f t="array" ref="AB499">IF($F499&lt;&gt;"", XLOOKUP($F499,Productos!$A$2:$A1001,Productos!U$2:U1001,"")*$G499,"")</f>
        <v/>
      </c>
      <c r="AC499" s="179" t="str">
        <f t="array" ref="AC499">IF($F499&lt;&gt;"",XLOOKUP($F499,Productos!$A:$A,Productos!V:V,"Revisar"),"")</f>
        <v/>
      </c>
      <c r="AD499" s="179" t="str">
        <f t="array" ref="AD499">IF($F499&lt;&gt;"", XLOOKUP($F499,Productos!$A$2:$A1001,Productos!W$2:W1001,"")*$G499,"")</f>
        <v/>
      </c>
      <c r="AE499" s="179" t="str">
        <f t="array" ref="AE499">IF($F499&lt;&gt;"",XLOOKUP($F499,Productos!$A:$A,Productos!X:X,"Revisar"),"")</f>
        <v/>
      </c>
      <c r="AF499" s="179" t="str">
        <f t="array" ref="AF499">IF($F499&lt;&gt;"", XLOOKUP($F499,Productos!$A$2:$A1001,Productos!Y$2:Y1001,"")*$G499,"")</f>
        <v/>
      </c>
      <c r="AG499" s="179" t="str">
        <f t="array" ref="AG499">IF($F499&lt;&gt;"",XLOOKUP($F499,Productos!$A:$A,Productos!Z:Z,"Revisar"),"")</f>
        <v/>
      </c>
      <c r="AH499" s="179" t="str">
        <f t="array" ref="AH499">IF($F499&lt;&gt;"", XLOOKUP($F499,Productos!$A$2:$A1001,Productos!AA$2:AA1001,"")*$G499,"")</f>
        <v/>
      </c>
      <c r="AI499" s="179" t="str">
        <f t="array" ref="AI499">IF($F499&lt;&gt;"",XLOOKUP($F499,Productos!$A:$A,Productos!AB:AB,"Revisar"),"")</f>
        <v/>
      </c>
      <c r="AJ499" s="179" t="str">
        <f t="array" ref="AJ499">IF($F499&lt;&gt;"", XLOOKUP($F499,Productos!$A$2:$A1001,Productos!AC$2:AC1001,"")*$G499,"")</f>
        <v/>
      </c>
      <c r="AK499" s="179" t="str">
        <f t="array" ref="AK499">IF($F499&lt;&gt;"",XLOOKUP($F499,Productos!$A:$A,Productos!AD:AD,"Revisar"),"")</f>
        <v/>
      </c>
      <c r="AL499" s="179" t="str">
        <f t="array" ref="AL499">IF($F499&lt;&gt;"", XLOOKUP($F499,Productos!$A$2:$A1001,Productos!AE$2:AE1001,"")*$G499,"")</f>
        <v/>
      </c>
      <c r="AM499" s="179" t="str">
        <f t="array" ref="AM499">IF($F499&lt;&gt;"",XLOOKUP($F499,Productos!$A:$A,Productos!AF:AF,"Revisar"),"")</f>
        <v/>
      </c>
      <c r="AN499" s="179" t="str">
        <f t="array" ref="AN499">IF($F499&lt;&gt;"", XLOOKUP($F499,Productos!$A$2:$A1001,Productos!AG$2:AG1001,"")*$G499,"")</f>
        <v/>
      </c>
      <c r="AO499" s="179" t="str">
        <f t="array" ref="AO499">IF($F499&lt;&gt;"",XLOOKUP($F499,Productos!$A:$A,Productos!AH:AH,"Revisar"),"")</f>
        <v/>
      </c>
      <c r="AP499" s="179" t="str">
        <f t="array" ref="AP499">IF($F499&lt;&gt;"", XLOOKUP($F499,Productos!$A$2:$A1001,Productos!AI$2:AI1001,"")*$G499,"")</f>
        <v/>
      </c>
      <c r="AQ499" s="179" t="str">
        <f t="array" ref="AQ499">IF($F499&lt;&gt;"",XLOOKUP($F499,Productos!$A:$A,Productos!AJ:AJ,"Revisar"),"")</f>
        <v/>
      </c>
      <c r="AR499" s="179" t="str">
        <f t="array" ref="AR499">IF($F499&lt;&gt;"", XLOOKUP($F499,Productos!$A$2:$A1001,Productos!AK$2:AK1001,"")*$G499,"")</f>
        <v/>
      </c>
      <c r="AS499" s="179" t="str">
        <f t="array" ref="AS499">IF($F499&lt;&gt;"",XLOOKUP($F499,Productos!$A:$A,Productos!AL:AL,"Revisar"),"")</f>
        <v/>
      </c>
      <c r="AT499" s="179" t="str">
        <f t="array" ref="AT499">IF($F499&lt;&gt;"", XLOOKUP($F499,Productos!$A$2:$A1001,Productos!AM$2:AM1001,"")*$G499,"")</f>
        <v/>
      </c>
      <c r="AU499" s="179" t="str">
        <f t="array" ref="AU499">IF($F499&lt;&gt;"",XLOOKUP($F499,Productos!$A:$A,Productos!AN:AN,"Revisar"),"")</f>
        <v/>
      </c>
      <c r="AV499" s="179" t="str">
        <f t="array" ref="AV499">IF($F499&lt;&gt;"", XLOOKUP($F499,Productos!$A$2:$A1001,Productos!AO$2:AO1001,"")*$G499,"")</f>
        <v/>
      </c>
      <c r="AW499" s="179" t="str">
        <f t="array" ref="AW499">IF($F499&lt;&gt;"",XLOOKUP($F499,Productos!$A:$A,Productos!AP:AP,"Revisar"),"")</f>
        <v/>
      </c>
      <c r="AX499" s="179" t="str">
        <f t="array" ref="AX499">IF($F499&lt;&gt;"", XLOOKUP($F499,Productos!$A$2:$A1001,Productos!AQ$2:AQ1001,"")*$G499,"")</f>
        <v/>
      </c>
      <c r="AY499" s="179" t="str">
        <f t="array" ref="AY499">IF($F499&lt;&gt;"",XLOOKUP($F499,Productos!$A:$A,Productos!AR:AR,"Revisar"),"")</f>
        <v/>
      </c>
      <c r="AZ499" s="179" t="str">
        <f t="array" ref="AZ499">IF($F499&lt;&gt;"", XLOOKUP($F499,Productos!$A$2:$A1001,Productos!AS$2:AS1001,"")*$G499,"")</f>
        <v/>
      </c>
      <c r="BA499" s="179" t="str">
        <f t="array" ref="BA499">IF($F499&lt;&gt;"",XLOOKUP($F499,Productos!$A:$A,Productos!AT:AT,"Revisar"),"")</f>
        <v/>
      </c>
      <c r="BB499" s="179" t="str">
        <f t="array" ref="BB499">IF($F499&lt;&gt;"", XLOOKUP($F499,Productos!$A$2:$A1001,Productos!AU$2:AU1001,"")*$G499,"")</f>
        <v/>
      </c>
      <c r="BC499" s="179" t="str">
        <f t="array" ref="BC499">IF($F499&lt;&gt;"",XLOOKUP($F499,Productos!$A:$A,Productos!AV:AV,"Revisar"),"")</f>
        <v/>
      </c>
      <c r="BD499" s="179" t="str">
        <f t="array" ref="BD499">IF($F499&lt;&gt;"", XLOOKUP($F499,Productos!$A$2:$A1001,Productos!AW$2:AW1001,"")*$G499,"")</f>
        <v/>
      </c>
      <c r="BE499" s="179" t="str">
        <f t="array" ref="BE499">IF($F499&lt;&gt;"",XLOOKUP($F499,Productos!$A:$A,Productos!AX:AX,"Revisar"),"")</f>
        <v/>
      </c>
      <c r="BF499" s="179" t="str">
        <f t="array" ref="BF499">IF($F499&lt;&gt;"", XLOOKUP($F499,Productos!$A$2:$A1001,Productos!AY$2:AY1001,"")*$G499,"")</f>
        <v/>
      </c>
      <c r="BG499" s="179" t="str">
        <f t="array" ref="BG499">IF($F499&lt;&gt;"",XLOOKUP($F499,Productos!$A:$A,Productos!AZ:AZ,"Revisar"),"")</f>
        <v/>
      </c>
      <c r="BH499" s="179" t="str">
        <f t="array" ref="BH499">IF($F499&lt;&gt;"", XLOOKUP($F499,Productos!$A$2:$A1001,Productos!BA$2:BA1001,"")*$G499,"")</f>
        <v/>
      </c>
      <c r="BI499" s="179" t="str">
        <f t="array" ref="BI499">IF($F499&lt;&gt;"",XLOOKUP($F499,Productos!$A:$A,Productos!BB:BB,"Revisar"),"")</f>
        <v/>
      </c>
      <c r="BJ499" s="179" t="str">
        <f t="array" ref="BJ499">IF($F499&lt;&gt;"", XLOOKUP($F499,Productos!$A$2:$A1001,Productos!BC$2:BC1001,"")*$G499,"")</f>
        <v/>
      </c>
      <c r="BK499" s="179" t="str">
        <f t="array" ref="BK499">IF($F499&lt;&gt;"",XLOOKUP($F499,Productos!$A:$A,Productos!BD:BD,"Revisar"),"")</f>
        <v/>
      </c>
      <c r="BL499" s="179" t="str">
        <f t="array" ref="BL499">IF($F499&lt;&gt;"", XLOOKUP($F499,Productos!$A$2:$A1001,Productos!BE$2:BE1001,"")*$G499,"")</f>
        <v/>
      </c>
      <c r="BM499" s="179" t="str">
        <f t="array" ref="BM499">IF($F499&lt;&gt;"",XLOOKUP($F499,Productos!$A:$A,Productos!BF:BF,"Revisar"),"")</f>
        <v/>
      </c>
      <c r="BN499" s="179" t="str">
        <f t="array" ref="BN499">IF($F499&lt;&gt;"", XLOOKUP($F499,Productos!$A$2:$A1001,Productos!BG$2:BG1001,"")*$G499,"")</f>
        <v/>
      </c>
      <c r="BO499" s="179" t="str">
        <f t="array" ref="BO499">IF($F499&lt;&gt;"",XLOOKUP($F499,Productos!$A:$A,Productos!BH:BH,"Revisar"),"")</f>
        <v/>
      </c>
      <c r="BP499" s="179" t="str">
        <f t="array" ref="BP499">IF($F499&lt;&gt;"", XLOOKUP($F499,Productos!$A$2:$A1001,Productos!BI$2:BI1001,"")*$G499,"")</f>
        <v/>
      </c>
      <c r="BQ499" s="179" t="str">
        <f t="array" ref="BQ499">IF($F499&lt;&gt;"",XLOOKUP($F499,Productos!$A:$A,Productos!BJ:BJ,"Revisar"),"")</f>
        <v/>
      </c>
      <c r="BR499" s="179" t="str">
        <f t="array" ref="BR499">IF($F499&lt;&gt;"", XLOOKUP($F499,Productos!$A$2:$A1001,Productos!BK$2:BK1001,"")*$G499,"")</f>
        <v/>
      </c>
      <c r="BS499" s="179" t="str">
        <f t="array" ref="BS499">IF($F499&lt;&gt;"",XLOOKUP($F499,Productos!$A:$A,Productos!BL:BL,"Revisar"),"")</f>
        <v/>
      </c>
      <c r="BT499" s="179" t="str">
        <f t="array" ref="BT499">IF($F499&lt;&gt;"", XLOOKUP($F499,Productos!$A$2:$A1001,Productos!BM$2:BM1001,"")*$G499,"")</f>
        <v/>
      </c>
      <c r="BU499" s="179" t="str">
        <f t="array" ref="BU499">IF($F499&lt;&gt;"",XLOOKUP($F499,Productos!$A:$A,Productos!BN:BN,"Revisar"),"")</f>
        <v/>
      </c>
      <c r="BV499" s="179" t="str">
        <f t="array" ref="BV499">IF($F499&lt;&gt;"", XLOOKUP($F499,Productos!$A$2:$A1001,Productos!BO$2:BO1001,"")*$G499,"")</f>
        <v/>
      </c>
      <c r="BW499" s="179" t="str">
        <f t="array" ref="BW499">IF($F499&lt;&gt;"",XLOOKUP($F499,Productos!$A:$A,Productos!BP:BP,"Revisar"),"")</f>
        <v/>
      </c>
      <c r="BX499" s="179" t="str">
        <f t="array" ref="BX499">IF($F499&lt;&gt;"", XLOOKUP($F499,Productos!$A$2:$A1001,Productos!BQ$2:BQ1001,"")*$G499,"")</f>
        <v/>
      </c>
      <c r="BY499" s="179" t="str">
        <f t="array" ref="BY499">IF($F499&lt;&gt;"",XLOOKUP($F499,Productos!$A:$A,Productos!BR:BR,"Revisar"),"")</f>
        <v/>
      </c>
      <c r="BZ499" s="179" t="str">
        <f t="array" ref="BZ499">IF($F499&lt;&gt;"", XLOOKUP($F499,Productos!$A$2:$A1001,Productos!BS$2:BS1001,"")*$G499,"")</f>
        <v/>
      </c>
    </row>
    <row r="500">
      <c r="A500" s="188"/>
      <c r="B500" s="189"/>
      <c r="C500" s="190"/>
      <c r="D500" s="190"/>
      <c r="E500" s="191"/>
      <c r="F500" s="186"/>
      <c r="G500" s="192"/>
      <c r="H500" s="9"/>
      <c r="I500" s="179" t="str">
        <f t="array" ref="I500">IF($F500&lt;&gt;"",XLOOKUP($F500,Productos!$A:$A,Productos!B:B,"Revisar"),"")</f>
        <v/>
      </c>
      <c r="J500" s="179" t="str">
        <f t="array" ref="J500">IF($F500&lt;&gt;"", XLOOKUP($F500,Productos!$A$2:$A1001,Productos!C$2:C1001,"")*$G500,"")</f>
        <v/>
      </c>
      <c r="K500" s="179" t="str">
        <f t="array" ref="K500">IF($F500&lt;&gt;"",XLOOKUP($F500,Productos!$A:$A,Productos!D:D,"Revisar"),"")</f>
        <v/>
      </c>
      <c r="L500" s="179" t="str">
        <f t="array" ref="L500">IF($F500&lt;&gt;"", XLOOKUP($F500,Productos!$A$2:$A1001,Productos!E$2:E1001,"")*$G500,"")</f>
        <v/>
      </c>
      <c r="M500" s="179" t="str">
        <f t="array" ref="M500">IF($F500&lt;&gt;"",XLOOKUP($F500,Productos!$A:$A,Productos!F:F,"Revisar"),"")</f>
        <v/>
      </c>
      <c r="N500" s="179" t="str">
        <f t="array" ref="N500">IF($F500&lt;&gt;"", XLOOKUP($F500,Productos!$A$2:$A1001,Productos!G$2:G1001,"")*$G500,"")</f>
        <v/>
      </c>
      <c r="O500" s="179" t="str">
        <f t="array" ref="O500">IF($F500&lt;&gt;"",XLOOKUP($F500,Productos!$A:$A,Productos!H:H,"Revisar"),"")</f>
        <v/>
      </c>
      <c r="P500" s="179" t="str">
        <f t="array" ref="P500">IF($F500&lt;&gt;"", XLOOKUP($F500,Productos!$A$2:$A1001,Productos!I$2:I1001,"")*$G500,"")</f>
        <v/>
      </c>
      <c r="Q500" s="179" t="str">
        <f t="array" ref="Q500">IF($F500&lt;&gt;"",XLOOKUP($F500,Productos!$A:$A,Productos!J:J,"Revisar"),"")</f>
        <v/>
      </c>
      <c r="R500" s="179" t="str">
        <f t="array" ref="R500">IF($F500&lt;&gt;"", XLOOKUP($F500,Productos!$A$2:$A1001,Productos!K$2:K1001,"")*$G500,"")</f>
        <v/>
      </c>
      <c r="S500" s="179" t="str">
        <f t="array" ref="S500">IF($F500&lt;&gt;"",XLOOKUP($F500,Productos!$A:$A,Productos!L:L,"Revisar"),"")</f>
        <v/>
      </c>
      <c r="T500" s="179" t="str">
        <f t="array" ref="T500">IF($F500&lt;&gt;"", XLOOKUP($F500,Productos!$A$2:$A1001,Productos!M$2:M1001,"")*$G500,"")</f>
        <v/>
      </c>
      <c r="U500" s="179" t="str">
        <f t="array" ref="U500">IF($F500&lt;&gt;"",XLOOKUP($F500,Productos!$A:$A,Productos!N:N,"Revisar"),"")</f>
        <v/>
      </c>
      <c r="V500" s="179" t="str">
        <f t="array" ref="V500">IF($F500&lt;&gt;"", XLOOKUP($F500,Productos!$A$2:$A1001,Productos!O$2:O1001,"")*$G500,"")</f>
        <v/>
      </c>
      <c r="W500" s="179" t="str">
        <f t="array" ref="W500">IF($F500&lt;&gt;"",XLOOKUP($F500,Productos!$A:$A,Productos!P:P,"Revisar"),"")</f>
        <v/>
      </c>
      <c r="X500" s="179" t="str">
        <f t="array" ref="X500">IF($F500&lt;&gt;"", XLOOKUP($F500,Productos!$A$2:$A1001,Productos!Q$2:Q1001,"")*$G500,"")</f>
        <v/>
      </c>
      <c r="Y500" s="179" t="str">
        <f t="array" ref="Y500">IF($F500&lt;&gt;"",XLOOKUP($F500,Productos!$A:$A,Productos!R:R,"Revisar"),"")</f>
        <v/>
      </c>
      <c r="Z500" s="179" t="str">
        <f t="array" ref="Z500">IF($F500&lt;&gt;"", XLOOKUP($F500,Productos!$A$2:$A1001,Productos!S$2:S1001,"")*$G500,"")</f>
        <v/>
      </c>
      <c r="AA500" s="179" t="str">
        <f t="array" ref="AA500">IF($F500&lt;&gt;"",XLOOKUP($F500,Productos!$A:$A,Productos!T:T,"Revisar"),"")</f>
        <v/>
      </c>
      <c r="AB500" s="179" t="str">
        <f t="array" ref="AB500">IF($F500&lt;&gt;"", XLOOKUP($F500,Productos!$A$2:$A1001,Productos!U$2:U1001,"")*$G500,"")</f>
        <v/>
      </c>
      <c r="AC500" s="179" t="str">
        <f t="array" ref="AC500">IF($F500&lt;&gt;"",XLOOKUP($F500,Productos!$A:$A,Productos!V:V,"Revisar"),"")</f>
        <v/>
      </c>
      <c r="AD500" s="179" t="str">
        <f t="array" ref="AD500">IF($F500&lt;&gt;"", XLOOKUP($F500,Productos!$A$2:$A1001,Productos!W$2:W1001,"")*$G500,"")</f>
        <v/>
      </c>
      <c r="AE500" s="179" t="str">
        <f t="array" ref="AE500">IF($F500&lt;&gt;"",XLOOKUP($F500,Productos!$A:$A,Productos!X:X,"Revisar"),"")</f>
        <v/>
      </c>
      <c r="AF500" s="179" t="str">
        <f t="array" ref="AF500">IF($F500&lt;&gt;"", XLOOKUP($F500,Productos!$A$2:$A1001,Productos!Y$2:Y1001,"")*$G500,"")</f>
        <v/>
      </c>
      <c r="AG500" s="179" t="str">
        <f t="array" ref="AG500">IF($F500&lt;&gt;"",XLOOKUP($F500,Productos!$A:$A,Productos!Z:Z,"Revisar"),"")</f>
        <v/>
      </c>
      <c r="AH500" s="179" t="str">
        <f t="array" ref="AH500">IF($F500&lt;&gt;"", XLOOKUP($F500,Productos!$A$2:$A1001,Productos!AA$2:AA1001,"")*$G500,"")</f>
        <v/>
      </c>
      <c r="AI500" s="179" t="str">
        <f t="array" ref="AI500">IF($F500&lt;&gt;"",XLOOKUP($F500,Productos!$A:$A,Productos!AB:AB,"Revisar"),"")</f>
        <v/>
      </c>
      <c r="AJ500" s="179" t="str">
        <f t="array" ref="AJ500">IF($F500&lt;&gt;"", XLOOKUP($F500,Productos!$A$2:$A1001,Productos!AC$2:AC1001,"")*$G500,"")</f>
        <v/>
      </c>
      <c r="AK500" s="179" t="str">
        <f t="array" ref="AK500">IF($F500&lt;&gt;"",XLOOKUP($F500,Productos!$A:$A,Productos!AD:AD,"Revisar"),"")</f>
        <v/>
      </c>
      <c r="AL500" s="179" t="str">
        <f t="array" ref="AL500">IF($F500&lt;&gt;"", XLOOKUP($F500,Productos!$A$2:$A1001,Productos!AE$2:AE1001,"")*$G500,"")</f>
        <v/>
      </c>
      <c r="AM500" s="179" t="str">
        <f t="array" ref="AM500">IF($F500&lt;&gt;"",XLOOKUP($F500,Productos!$A:$A,Productos!AF:AF,"Revisar"),"")</f>
        <v/>
      </c>
      <c r="AN500" s="179" t="str">
        <f t="array" ref="AN500">IF($F500&lt;&gt;"", XLOOKUP($F500,Productos!$A$2:$A1001,Productos!AG$2:AG1001,"")*$G500,"")</f>
        <v/>
      </c>
      <c r="AO500" s="179" t="str">
        <f t="array" ref="AO500">IF($F500&lt;&gt;"",XLOOKUP($F500,Productos!$A:$A,Productos!AH:AH,"Revisar"),"")</f>
        <v/>
      </c>
      <c r="AP500" s="179" t="str">
        <f t="array" ref="AP500">IF($F500&lt;&gt;"", XLOOKUP($F500,Productos!$A$2:$A1001,Productos!AI$2:AI1001,"")*$G500,"")</f>
        <v/>
      </c>
      <c r="AQ500" s="179" t="str">
        <f t="array" ref="AQ500">IF($F500&lt;&gt;"",XLOOKUP($F500,Productos!$A:$A,Productos!AJ:AJ,"Revisar"),"")</f>
        <v/>
      </c>
      <c r="AR500" s="179" t="str">
        <f t="array" ref="AR500">IF($F500&lt;&gt;"", XLOOKUP($F500,Productos!$A$2:$A1001,Productos!AK$2:AK1001,"")*$G500,"")</f>
        <v/>
      </c>
      <c r="AS500" s="179" t="str">
        <f t="array" ref="AS500">IF($F500&lt;&gt;"",XLOOKUP($F500,Productos!$A:$A,Productos!AL:AL,"Revisar"),"")</f>
        <v/>
      </c>
      <c r="AT500" s="179" t="str">
        <f t="array" ref="AT500">IF($F500&lt;&gt;"", XLOOKUP($F500,Productos!$A$2:$A1001,Productos!AM$2:AM1001,"")*$G500,"")</f>
        <v/>
      </c>
      <c r="AU500" s="179" t="str">
        <f t="array" ref="AU500">IF($F500&lt;&gt;"",XLOOKUP($F500,Productos!$A:$A,Productos!AN:AN,"Revisar"),"")</f>
        <v/>
      </c>
      <c r="AV500" s="179" t="str">
        <f t="array" ref="AV500">IF($F500&lt;&gt;"", XLOOKUP($F500,Productos!$A$2:$A1001,Productos!AO$2:AO1001,"")*$G500,"")</f>
        <v/>
      </c>
      <c r="AW500" s="179" t="str">
        <f t="array" ref="AW500">IF($F500&lt;&gt;"",XLOOKUP($F500,Productos!$A:$A,Productos!AP:AP,"Revisar"),"")</f>
        <v/>
      </c>
      <c r="AX500" s="179" t="str">
        <f t="array" ref="AX500">IF($F500&lt;&gt;"", XLOOKUP($F500,Productos!$A$2:$A1001,Productos!AQ$2:AQ1001,"")*$G500,"")</f>
        <v/>
      </c>
      <c r="AY500" s="179" t="str">
        <f t="array" ref="AY500">IF($F500&lt;&gt;"",XLOOKUP($F500,Productos!$A:$A,Productos!AR:AR,"Revisar"),"")</f>
        <v/>
      </c>
      <c r="AZ500" s="179" t="str">
        <f t="array" ref="AZ500">IF($F500&lt;&gt;"", XLOOKUP($F500,Productos!$A$2:$A1001,Productos!AS$2:AS1001,"")*$G500,"")</f>
        <v/>
      </c>
      <c r="BA500" s="179" t="str">
        <f t="array" ref="BA500">IF($F500&lt;&gt;"",XLOOKUP($F500,Productos!$A:$A,Productos!AT:AT,"Revisar"),"")</f>
        <v/>
      </c>
      <c r="BB500" s="179" t="str">
        <f t="array" ref="BB500">IF($F500&lt;&gt;"", XLOOKUP($F500,Productos!$A$2:$A1001,Productos!AU$2:AU1001,"")*$G500,"")</f>
        <v/>
      </c>
      <c r="BC500" s="179" t="str">
        <f t="array" ref="BC500">IF($F500&lt;&gt;"",XLOOKUP($F500,Productos!$A:$A,Productos!AV:AV,"Revisar"),"")</f>
        <v/>
      </c>
      <c r="BD500" s="179" t="str">
        <f t="array" ref="BD500">IF($F500&lt;&gt;"", XLOOKUP($F500,Productos!$A$2:$A1001,Productos!AW$2:AW1001,"")*$G500,"")</f>
        <v/>
      </c>
      <c r="BE500" s="179" t="str">
        <f t="array" ref="BE500">IF($F500&lt;&gt;"",XLOOKUP($F500,Productos!$A:$A,Productos!AX:AX,"Revisar"),"")</f>
        <v/>
      </c>
      <c r="BF500" s="179" t="str">
        <f t="array" ref="BF500">IF($F500&lt;&gt;"", XLOOKUP($F500,Productos!$A$2:$A1001,Productos!AY$2:AY1001,"")*$G500,"")</f>
        <v/>
      </c>
      <c r="BG500" s="179" t="str">
        <f t="array" ref="BG500">IF($F500&lt;&gt;"",XLOOKUP($F500,Productos!$A:$A,Productos!AZ:AZ,"Revisar"),"")</f>
        <v/>
      </c>
      <c r="BH500" s="179" t="str">
        <f t="array" ref="BH500">IF($F500&lt;&gt;"", XLOOKUP($F500,Productos!$A$2:$A1001,Productos!BA$2:BA1001,"")*$G500,"")</f>
        <v/>
      </c>
      <c r="BI500" s="179" t="str">
        <f t="array" ref="BI500">IF($F500&lt;&gt;"",XLOOKUP($F500,Productos!$A:$A,Productos!BB:BB,"Revisar"),"")</f>
        <v/>
      </c>
      <c r="BJ500" s="179" t="str">
        <f t="array" ref="BJ500">IF($F500&lt;&gt;"", XLOOKUP($F500,Productos!$A$2:$A1001,Productos!BC$2:BC1001,"")*$G500,"")</f>
        <v/>
      </c>
      <c r="BK500" s="179" t="str">
        <f t="array" ref="BK500">IF($F500&lt;&gt;"",XLOOKUP($F500,Productos!$A:$A,Productos!BD:BD,"Revisar"),"")</f>
        <v/>
      </c>
      <c r="BL500" s="179" t="str">
        <f t="array" ref="BL500">IF($F500&lt;&gt;"", XLOOKUP($F500,Productos!$A$2:$A1001,Productos!BE$2:BE1001,"")*$G500,"")</f>
        <v/>
      </c>
      <c r="BM500" s="179" t="str">
        <f t="array" ref="BM500">IF($F500&lt;&gt;"",XLOOKUP($F500,Productos!$A:$A,Productos!BF:BF,"Revisar"),"")</f>
        <v/>
      </c>
      <c r="BN500" s="179" t="str">
        <f t="array" ref="BN500">IF($F500&lt;&gt;"", XLOOKUP($F500,Productos!$A$2:$A1001,Productos!BG$2:BG1001,"")*$G500,"")</f>
        <v/>
      </c>
      <c r="BO500" s="179" t="str">
        <f t="array" ref="BO500">IF($F500&lt;&gt;"",XLOOKUP($F500,Productos!$A:$A,Productos!BH:BH,"Revisar"),"")</f>
        <v/>
      </c>
      <c r="BP500" s="179" t="str">
        <f t="array" ref="BP500">IF($F500&lt;&gt;"", XLOOKUP($F500,Productos!$A$2:$A1001,Productos!BI$2:BI1001,"")*$G500,"")</f>
        <v/>
      </c>
      <c r="BQ500" s="179" t="str">
        <f t="array" ref="BQ500">IF($F500&lt;&gt;"",XLOOKUP($F500,Productos!$A:$A,Productos!BJ:BJ,"Revisar"),"")</f>
        <v/>
      </c>
      <c r="BR500" s="179" t="str">
        <f t="array" ref="BR500">IF($F500&lt;&gt;"", XLOOKUP($F500,Productos!$A$2:$A1001,Productos!BK$2:BK1001,"")*$G500,"")</f>
        <v/>
      </c>
      <c r="BS500" s="179" t="str">
        <f t="array" ref="BS500">IF($F500&lt;&gt;"",XLOOKUP($F500,Productos!$A:$A,Productos!BL:BL,"Revisar"),"")</f>
        <v/>
      </c>
      <c r="BT500" s="179" t="str">
        <f t="array" ref="BT500">IF($F500&lt;&gt;"", XLOOKUP($F500,Productos!$A$2:$A1001,Productos!BM$2:BM1001,"")*$G500,"")</f>
        <v/>
      </c>
      <c r="BU500" s="179" t="str">
        <f t="array" ref="BU500">IF($F500&lt;&gt;"",XLOOKUP($F500,Productos!$A:$A,Productos!BN:BN,"Revisar"),"")</f>
        <v/>
      </c>
      <c r="BV500" s="179" t="str">
        <f t="array" ref="BV500">IF($F500&lt;&gt;"", XLOOKUP($F500,Productos!$A$2:$A1001,Productos!BO$2:BO1001,"")*$G500,"")</f>
        <v/>
      </c>
      <c r="BW500" s="179" t="str">
        <f t="array" ref="BW500">IF($F500&lt;&gt;"",XLOOKUP($F500,Productos!$A:$A,Productos!BP:BP,"Revisar"),"")</f>
        <v/>
      </c>
      <c r="BX500" s="179" t="str">
        <f t="array" ref="BX500">IF($F500&lt;&gt;"", XLOOKUP($F500,Productos!$A$2:$A1001,Productos!BQ$2:BQ1001,"")*$G500,"")</f>
        <v/>
      </c>
      <c r="BY500" s="179" t="str">
        <f t="array" ref="BY500">IF($F500&lt;&gt;"",XLOOKUP($F500,Productos!$A:$A,Productos!BR:BR,"Revisar"),"")</f>
        <v/>
      </c>
      <c r="BZ500" s="179" t="str">
        <f t="array" ref="BZ500">IF($F500&lt;&gt;"", XLOOKUP($F500,Productos!$A$2:$A1001,Productos!BS$2:BS1001,"")*$G500,"")</f>
        <v/>
      </c>
    </row>
    <row r="501">
      <c r="A501" s="188"/>
      <c r="B501" s="189"/>
      <c r="C501" s="190"/>
      <c r="D501" s="190"/>
      <c r="E501" s="191"/>
      <c r="F501" s="186"/>
      <c r="G501" s="192"/>
      <c r="H501" s="9"/>
      <c r="I501" s="179" t="str">
        <f t="array" ref="I501">IF($F501&lt;&gt;"",XLOOKUP($F501,Productos!$A:$A,Productos!B:B,"Revisar"),"")</f>
        <v/>
      </c>
      <c r="J501" s="179" t="str">
        <f t="array" ref="J501">IF($F501&lt;&gt;"", XLOOKUP($F501,Productos!$A$2:$A1001,Productos!C$2:C1001,"")*$G501,"")</f>
        <v/>
      </c>
      <c r="K501" s="179" t="str">
        <f t="array" ref="K501">IF($F501&lt;&gt;"",XLOOKUP($F501,Productos!$A:$A,Productos!D:D,"Revisar"),"")</f>
        <v/>
      </c>
      <c r="L501" s="179" t="str">
        <f t="array" ref="L501">IF($F501&lt;&gt;"", XLOOKUP($F501,Productos!$A$2:$A1001,Productos!E$2:E1001,"")*$G501,"")</f>
        <v/>
      </c>
      <c r="M501" s="179" t="str">
        <f t="array" ref="M501">IF($F501&lt;&gt;"",XLOOKUP($F501,Productos!$A:$A,Productos!F:F,"Revisar"),"")</f>
        <v/>
      </c>
      <c r="N501" s="179" t="str">
        <f t="array" ref="N501">IF($F501&lt;&gt;"", XLOOKUP($F501,Productos!$A$2:$A1001,Productos!G$2:G1001,"")*$G501,"")</f>
        <v/>
      </c>
      <c r="O501" s="179" t="str">
        <f t="array" ref="O501">IF($F501&lt;&gt;"",XLOOKUP($F501,Productos!$A:$A,Productos!H:H,"Revisar"),"")</f>
        <v/>
      </c>
      <c r="P501" s="179" t="str">
        <f t="array" ref="P501">IF($F501&lt;&gt;"", XLOOKUP($F501,Productos!$A$2:$A1001,Productos!I$2:I1001,"")*$G501,"")</f>
        <v/>
      </c>
      <c r="Q501" s="179" t="str">
        <f t="array" ref="Q501">IF($F501&lt;&gt;"",XLOOKUP($F501,Productos!$A:$A,Productos!J:J,"Revisar"),"")</f>
        <v/>
      </c>
      <c r="R501" s="179" t="str">
        <f t="array" ref="R501">IF($F501&lt;&gt;"", XLOOKUP($F501,Productos!$A$2:$A1001,Productos!K$2:K1001,"")*$G501,"")</f>
        <v/>
      </c>
      <c r="S501" s="179" t="str">
        <f t="array" ref="S501">IF($F501&lt;&gt;"",XLOOKUP($F501,Productos!$A:$A,Productos!L:L,"Revisar"),"")</f>
        <v/>
      </c>
      <c r="T501" s="179" t="str">
        <f t="array" ref="T501">IF($F501&lt;&gt;"", XLOOKUP($F501,Productos!$A$2:$A1001,Productos!M$2:M1001,"")*$G501,"")</f>
        <v/>
      </c>
      <c r="U501" s="179" t="str">
        <f t="array" ref="U501">IF($F501&lt;&gt;"",XLOOKUP($F501,Productos!$A:$A,Productos!N:N,"Revisar"),"")</f>
        <v/>
      </c>
      <c r="V501" s="179" t="str">
        <f t="array" ref="V501">IF($F501&lt;&gt;"", XLOOKUP($F501,Productos!$A$2:$A1001,Productos!O$2:O1001,"")*$G501,"")</f>
        <v/>
      </c>
      <c r="W501" s="179" t="str">
        <f t="array" ref="W501">IF($F501&lt;&gt;"",XLOOKUP($F501,Productos!$A:$A,Productos!P:P,"Revisar"),"")</f>
        <v/>
      </c>
      <c r="X501" s="179" t="str">
        <f t="array" ref="X501">IF($F501&lt;&gt;"", XLOOKUP($F501,Productos!$A$2:$A1001,Productos!Q$2:Q1001,"")*$G501,"")</f>
        <v/>
      </c>
      <c r="Y501" s="179" t="str">
        <f t="array" ref="Y501">IF($F501&lt;&gt;"",XLOOKUP($F501,Productos!$A:$A,Productos!R:R,"Revisar"),"")</f>
        <v/>
      </c>
      <c r="Z501" s="179" t="str">
        <f t="array" ref="Z501">IF($F501&lt;&gt;"", XLOOKUP($F501,Productos!$A$2:$A1001,Productos!S$2:S1001,"")*$G501,"")</f>
        <v/>
      </c>
      <c r="AA501" s="179" t="str">
        <f t="array" ref="AA501">IF($F501&lt;&gt;"",XLOOKUP($F501,Productos!$A:$A,Productos!T:T,"Revisar"),"")</f>
        <v/>
      </c>
      <c r="AB501" s="179" t="str">
        <f t="array" ref="AB501">IF($F501&lt;&gt;"", XLOOKUP($F501,Productos!$A$2:$A1001,Productos!U$2:U1001,"")*$G501,"")</f>
        <v/>
      </c>
      <c r="AC501" s="179" t="str">
        <f t="array" ref="AC501">IF($F501&lt;&gt;"",XLOOKUP($F501,Productos!$A:$A,Productos!V:V,"Revisar"),"")</f>
        <v/>
      </c>
      <c r="AD501" s="179" t="str">
        <f t="array" ref="AD501">IF($F501&lt;&gt;"", XLOOKUP($F501,Productos!$A$2:$A1001,Productos!W$2:W1001,"")*$G501,"")</f>
        <v/>
      </c>
      <c r="AE501" s="179" t="str">
        <f t="array" ref="AE501">IF($F501&lt;&gt;"",XLOOKUP($F501,Productos!$A:$A,Productos!X:X,"Revisar"),"")</f>
        <v/>
      </c>
      <c r="AF501" s="179" t="str">
        <f t="array" ref="AF501">IF($F501&lt;&gt;"", XLOOKUP($F501,Productos!$A$2:$A1001,Productos!Y$2:Y1001,"")*$G501,"")</f>
        <v/>
      </c>
      <c r="AG501" s="179" t="str">
        <f t="array" ref="AG501">IF($F501&lt;&gt;"",XLOOKUP($F501,Productos!$A:$A,Productos!Z:Z,"Revisar"),"")</f>
        <v/>
      </c>
      <c r="AH501" s="179" t="str">
        <f t="array" ref="AH501">IF($F501&lt;&gt;"", XLOOKUP($F501,Productos!$A$2:$A1001,Productos!AA$2:AA1001,"")*$G501,"")</f>
        <v/>
      </c>
      <c r="AI501" s="179" t="str">
        <f t="array" ref="AI501">IF($F501&lt;&gt;"",XLOOKUP($F501,Productos!$A:$A,Productos!AB:AB,"Revisar"),"")</f>
        <v/>
      </c>
      <c r="AJ501" s="179" t="str">
        <f t="array" ref="AJ501">IF($F501&lt;&gt;"", XLOOKUP($F501,Productos!$A$2:$A1001,Productos!AC$2:AC1001,"")*$G501,"")</f>
        <v/>
      </c>
      <c r="AK501" s="179" t="str">
        <f t="array" ref="AK501">IF($F501&lt;&gt;"",XLOOKUP($F501,Productos!$A:$A,Productos!AD:AD,"Revisar"),"")</f>
        <v/>
      </c>
      <c r="AL501" s="179" t="str">
        <f t="array" ref="AL501">IF($F501&lt;&gt;"", XLOOKUP($F501,Productos!$A$2:$A1001,Productos!AE$2:AE1001,"")*$G501,"")</f>
        <v/>
      </c>
      <c r="AM501" s="179" t="str">
        <f t="array" ref="AM501">IF($F501&lt;&gt;"",XLOOKUP($F501,Productos!$A:$A,Productos!AF:AF,"Revisar"),"")</f>
        <v/>
      </c>
      <c r="AN501" s="179" t="str">
        <f t="array" ref="AN501">IF($F501&lt;&gt;"", XLOOKUP($F501,Productos!$A$2:$A1001,Productos!AG$2:AG1001,"")*$G501,"")</f>
        <v/>
      </c>
      <c r="AO501" s="179" t="str">
        <f t="array" ref="AO501">IF($F501&lt;&gt;"",XLOOKUP($F501,Productos!$A:$A,Productos!AH:AH,"Revisar"),"")</f>
        <v/>
      </c>
      <c r="AP501" s="179" t="str">
        <f t="array" ref="AP501">IF($F501&lt;&gt;"", XLOOKUP($F501,Productos!$A$2:$A1001,Productos!AI$2:AI1001,"")*$G501,"")</f>
        <v/>
      </c>
      <c r="AQ501" s="179" t="str">
        <f t="array" ref="AQ501">IF($F501&lt;&gt;"",XLOOKUP($F501,Productos!$A:$A,Productos!AJ:AJ,"Revisar"),"")</f>
        <v/>
      </c>
      <c r="AR501" s="179" t="str">
        <f t="array" ref="AR501">IF($F501&lt;&gt;"", XLOOKUP($F501,Productos!$A$2:$A1001,Productos!AK$2:AK1001,"")*$G501,"")</f>
        <v/>
      </c>
      <c r="AS501" s="179" t="str">
        <f t="array" ref="AS501">IF($F501&lt;&gt;"",XLOOKUP($F501,Productos!$A:$A,Productos!AL:AL,"Revisar"),"")</f>
        <v/>
      </c>
      <c r="AT501" s="179" t="str">
        <f t="array" ref="AT501">IF($F501&lt;&gt;"", XLOOKUP($F501,Productos!$A$2:$A1001,Productos!AM$2:AM1001,"")*$G501,"")</f>
        <v/>
      </c>
      <c r="AU501" s="179" t="str">
        <f t="array" ref="AU501">IF($F501&lt;&gt;"",XLOOKUP($F501,Productos!$A:$A,Productos!AN:AN,"Revisar"),"")</f>
        <v/>
      </c>
      <c r="AV501" s="179" t="str">
        <f t="array" ref="AV501">IF($F501&lt;&gt;"", XLOOKUP($F501,Productos!$A$2:$A1001,Productos!AO$2:AO1001,"")*$G501,"")</f>
        <v/>
      </c>
      <c r="AW501" s="179" t="str">
        <f t="array" ref="AW501">IF($F501&lt;&gt;"",XLOOKUP($F501,Productos!$A:$A,Productos!AP:AP,"Revisar"),"")</f>
        <v/>
      </c>
      <c r="AX501" s="179" t="str">
        <f t="array" ref="AX501">IF($F501&lt;&gt;"", XLOOKUP($F501,Productos!$A$2:$A1001,Productos!AQ$2:AQ1001,"")*$G501,"")</f>
        <v/>
      </c>
      <c r="AY501" s="179" t="str">
        <f t="array" ref="AY501">IF($F501&lt;&gt;"",XLOOKUP($F501,Productos!$A:$A,Productos!AR:AR,"Revisar"),"")</f>
        <v/>
      </c>
      <c r="AZ501" s="179" t="str">
        <f t="array" ref="AZ501">IF($F501&lt;&gt;"", XLOOKUP($F501,Productos!$A$2:$A1001,Productos!AS$2:AS1001,"")*$G501,"")</f>
        <v/>
      </c>
      <c r="BA501" s="179" t="str">
        <f t="array" ref="BA501">IF($F501&lt;&gt;"",XLOOKUP($F501,Productos!$A:$A,Productos!AT:AT,"Revisar"),"")</f>
        <v/>
      </c>
      <c r="BB501" s="179" t="str">
        <f t="array" ref="BB501">IF($F501&lt;&gt;"", XLOOKUP($F501,Productos!$A$2:$A1001,Productos!AU$2:AU1001,"")*$G501,"")</f>
        <v/>
      </c>
      <c r="BC501" s="179" t="str">
        <f t="array" ref="BC501">IF($F501&lt;&gt;"",XLOOKUP($F501,Productos!$A:$A,Productos!AV:AV,"Revisar"),"")</f>
        <v/>
      </c>
      <c r="BD501" s="179" t="str">
        <f t="array" ref="BD501">IF($F501&lt;&gt;"", XLOOKUP($F501,Productos!$A$2:$A1001,Productos!AW$2:AW1001,"")*$G501,"")</f>
        <v/>
      </c>
      <c r="BE501" s="179" t="str">
        <f t="array" ref="BE501">IF($F501&lt;&gt;"",XLOOKUP($F501,Productos!$A:$A,Productos!AX:AX,"Revisar"),"")</f>
        <v/>
      </c>
      <c r="BF501" s="179" t="str">
        <f t="array" ref="BF501">IF($F501&lt;&gt;"", XLOOKUP($F501,Productos!$A$2:$A1001,Productos!AY$2:AY1001,"")*$G501,"")</f>
        <v/>
      </c>
      <c r="BG501" s="179" t="str">
        <f t="array" ref="BG501">IF($F501&lt;&gt;"",XLOOKUP($F501,Productos!$A:$A,Productos!AZ:AZ,"Revisar"),"")</f>
        <v/>
      </c>
      <c r="BH501" s="179" t="str">
        <f t="array" ref="BH501">IF($F501&lt;&gt;"", XLOOKUP($F501,Productos!$A$2:$A1001,Productos!BA$2:BA1001,"")*$G501,"")</f>
        <v/>
      </c>
      <c r="BI501" s="179" t="str">
        <f t="array" ref="BI501">IF($F501&lt;&gt;"",XLOOKUP($F501,Productos!$A:$A,Productos!BB:BB,"Revisar"),"")</f>
        <v/>
      </c>
      <c r="BJ501" s="179" t="str">
        <f t="array" ref="BJ501">IF($F501&lt;&gt;"", XLOOKUP($F501,Productos!$A$2:$A1001,Productos!BC$2:BC1001,"")*$G501,"")</f>
        <v/>
      </c>
      <c r="BK501" s="179" t="str">
        <f t="array" ref="BK501">IF($F501&lt;&gt;"",XLOOKUP($F501,Productos!$A:$A,Productos!BD:BD,"Revisar"),"")</f>
        <v/>
      </c>
      <c r="BL501" s="179" t="str">
        <f t="array" ref="BL501">IF($F501&lt;&gt;"", XLOOKUP($F501,Productos!$A$2:$A1001,Productos!BE$2:BE1001,"")*$G501,"")</f>
        <v/>
      </c>
      <c r="BM501" s="179" t="str">
        <f t="array" ref="BM501">IF($F501&lt;&gt;"",XLOOKUP($F501,Productos!$A:$A,Productos!BF:BF,"Revisar"),"")</f>
        <v/>
      </c>
      <c r="BN501" s="179" t="str">
        <f t="array" ref="BN501">IF($F501&lt;&gt;"", XLOOKUP($F501,Productos!$A$2:$A1001,Productos!BG$2:BG1001,"")*$G501,"")</f>
        <v/>
      </c>
      <c r="BO501" s="179" t="str">
        <f t="array" ref="BO501">IF($F501&lt;&gt;"",XLOOKUP($F501,Productos!$A:$A,Productos!BH:BH,"Revisar"),"")</f>
        <v/>
      </c>
      <c r="BP501" s="179" t="str">
        <f t="array" ref="BP501">IF($F501&lt;&gt;"", XLOOKUP($F501,Productos!$A$2:$A1001,Productos!BI$2:BI1001,"")*$G501,"")</f>
        <v/>
      </c>
      <c r="BQ501" s="179" t="str">
        <f t="array" ref="BQ501">IF($F501&lt;&gt;"",XLOOKUP($F501,Productos!$A:$A,Productos!BJ:BJ,"Revisar"),"")</f>
        <v/>
      </c>
      <c r="BR501" s="179" t="str">
        <f t="array" ref="BR501">IF($F501&lt;&gt;"", XLOOKUP($F501,Productos!$A$2:$A1001,Productos!BK$2:BK1001,"")*$G501,"")</f>
        <v/>
      </c>
      <c r="BS501" s="179" t="str">
        <f t="array" ref="BS501">IF($F501&lt;&gt;"",XLOOKUP($F501,Productos!$A:$A,Productos!BL:BL,"Revisar"),"")</f>
        <v/>
      </c>
      <c r="BT501" s="179" t="str">
        <f t="array" ref="BT501">IF($F501&lt;&gt;"", XLOOKUP($F501,Productos!$A$2:$A1001,Productos!BM$2:BM1001,"")*$G501,"")</f>
        <v/>
      </c>
      <c r="BU501" s="179" t="str">
        <f t="array" ref="BU501">IF($F501&lt;&gt;"",XLOOKUP($F501,Productos!$A:$A,Productos!BN:BN,"Revisar"),"")</f>
        <v/>
      </c>
      <c r="BV501" s="179" t="str">
        <f t="array" ref="BV501">IF($F501&lt;&gt;"", XLOOKUP($F501,Productos!$A$2:$A1001,Productos!BO$2:BO1001,"")*$G501,"")</f>
        <v/>
      </c>
      <c r="BW501" s="179" t="str">
        <f t="array" ref="BW501">IF($F501&lt;&gt;"",XLOOKUP($F501,Productos!$A:$A,Productos!BP:BP,"Revisar"),"")</f>
        <v/>
      </c>
      <c r="BX501" s="179" t="str">
        <f t="array" ref="BX501">IF($F501&lt;&gt;"", XLOOKUP($F501,Productos!$A$2:$A1001,Productos!BQ$2:BQ1001,"")*$G501,"")</f>
        <v/>
      </c>
      <c r="BY501" s="179" t="str">
        <f t="array" ref="BY501">IF($F501&lt;&gt;"",XLOOKUP($F501,Productos!$A:$A,Productos!BR:BR,"Revisar"),"")</f>
        <v/>
      </c>
      <c r="BZ501" s="179" t="str">
        <f t="array" ref="BZ501">IF($F501&lt;&gt;"", XLOOKUP($F501,Productos!$A$2:$A1001,Productos!BS$2:BS1001,"")*$G501,"")</f>
        <v/>
      </c>
    </row>
    <row r="502">
      <c r="A502" s="188"/>
      <c r="B502" s="189"/>
      <c r="C502" s="190"/>
      <c r="D502" s="190"/>
      <c r="E502" s="191"/>
      <c r="F502" s="186"/>
      <c r="G502" s="192"/>
      <c r="H502" s="9"/>
      <c r="I502" s="179" t="str">
        <f t="array" ref="I502">IF($F502&lt;&gt;"",XLOOKUP($F502,Productos!$A:$A,Productos!B:B,"Revisar"),"")</f>
        <v/>
      </c>
      <c r="J502" s="179" t="str">
        <f t="array" ref="J502">IF($F502&lt;&gt;"", XLOOKUP($F502,Productos!$A$2:$A1001,Productos!C$2:C1001,"")*$G502,"")</f>
        <v/>
      </c>
      <c r="K502" s="179" t="str">
        <f t="array" ref="K502">IF($F502&lt;&gt;"",XLOOKUP($F502,Productos!$A:$A,Productos!D:D,"Revisar"),"")</f>
        <v/>
      </c>
      <c r="L502" s="179" t="str">
        <f t="array" ref="L502">IF($F502&lt;&gt;"", XLOOKUP($F502,Productos!$A$2:$A1001,Productos!E$2:E1001,"")*$G502,"")</f>
        <v/>
      </c>
      <c r="M502" s="179" t="str">
        <f t="array" ref="M502">IF($F502&lt;&gt;"",XLOOKUP($F502,Productos!$A:$A,Productos!F:F,"Revisar"),"")</f>
        <v/>
      </c>
      <c r="N502" s="179" t="str">
        <f t="array" ref="N502">IF($F502&lt;&gt;"", XLOOKUP($F502,Productos!$A$2:$A1001,Productos!G$2:G1001,"")*$G502,"")</f>
        <v/>
      </c>
      <c r="O502" s="179" t="str">
        <f t="array" ref="O502">IF($F502&lt;&gt;"",XLOOKUP($F502,Productos!$A:$A,Productos!H:H,"Revisar"),"")</f>
        <v/>
      </c>
      <c r="P502" s="179" t="str">
        <f t="array" ref="P502">IF($F502&lt;&gt;"", XLOOKUP($F502,Productos!$A$2:$A1001,Productos!I$2:I1001,"")*$G502,"")</f>
        <v/>
      </c>
      <c r="Q502" s="179" t="str">
        <f t="array" ref="Q502">IF($F502&lt;&gt;"",XLOOKUP($F502,Productos!$A:$A,Productos!J:J,"Revisar"),"")</f>
        <v/>
      </c>
      <c r="R502" s="179" t="str">
        <f t="array" ref="R502">IF($F502&lt;&gt;"", XLOOKUP($F502,Productos!$A$2:$A1001,Productos!K$2:K1001,"")*$G502,"")</f>
        <v/>
      </c>
      <c r="S502" s="179" t="str">
        <f t="array" ref="S502">IF($F502&lt;&gt;"",XLOOKUP($F502,Productos!$A:$A,Productos!L:L,"Revisar"),"")</f>
        <v/>
      </c>
      <c r="T502" s="179" t="str">
        <f t="array" ref="T502">IF($F502&lt;&gt;"", XLOOKUP($F502,Productos!$A$2:$A1001,Productos!M$2:M1001,"")*$G502,"")</f>
        <v/>
      </c>
      <c r="U502" s="179" t="str">
        <f t="array" ref="U502">IF($F502&lt;&gt;"",XLOOKUP($F502,Productos!$A:$A,Productos!N:N,"Revisar"),"")</f>
        <v/>
      </c>
      <c r="V502" s="179" t="str">
        <f t="array" ref="V502">IF($F502&lt;&gt;"", XLOOKUP($F502,Productos!$A$2:$A1001,Productos!O$2:O1001,"")*$G502,"")</f>
        <v/>
      </c>
      <c r="W502" s="179" t="str">
        <f t="array" ref="W502">IF($F502&lt;&gt;"",XLOOKUP($F502,Productos!$A:$A,Productos!P:P,"Revisar"),"")</f>
        <v/>
      </c>
      <c r="X502" s="179" t="str">
        <f t="array" ref="X502">IF($F502&lt;&gt;"", XLOOKUP($F502,Productos!$A$2:$A1001,Productos!Q$2:Q1001,"")*$G502,"")</f>
        <v/>
      </c>
      <c r="Y502" s="179" t="str">
        <f t="array" ref="Y502">IF($F502&lt;&gt;"",XLOOKUP($F502,Productos!$A:$A,Productos!R:R,"Revisar"),"")</f>
        <v/>
      </c>
      <c r="Z502" s="179" t="str">
        <f t="array" ref="Z502">IF($F502&lt;&gt;"", XLOOKUP($F502,Productos!$A$2:$A1001,Productos!S$2:S1001,"")*$G502,"")</f>
        <v/>
      </c>
      <c r="AA502" s="179" t="str">
        <f t="array" ref="AA502">IF($F502&lt;&gt;"",XLOOKUP($F502,Productos!$A:$A,Productos!T:T,"Revisar"),"")</f>
        <v/>
      </c>
      <c r="AB502" s="179" t="str">
        <f t="array" ref="AB502">IF($F502&lt;&gt;"", XLOOKUP($F502,Productos!$A$2:$A1001,Productos!U$2:U1001,"")*$G502,"")</f>
        <v/>
      </c>
      <c r="AC502" s="179" t="str">
        <f t="array" ref="AC502">IF($F502&lt;&gt;"",XLOOKUP($F502,Productos!$A:$A,Productos!V:V,"Revisar"),"")</f>
        <v/>
      </c>
      <c r="AD502" s="179" t="str">
        <f t="array" ref="AD502">IF($F502&lt;&gt;"", XLOOKUP($F502,Productos!$A$2:$A1001,Productos!W$2:W1001,"")*$G502,"")</f>
        <v/>
      </c>
      <c r="AE502" s="179" t="str">
        <f t="array" ref="AE502">IF($F502&lt;&gt;"",XLOOKUP($F502,Productos!$A:$A,Productos!X:X,"Revisar"),"")</f>
        <v/>
      </c>
      <c r="AF502" s="179" t="str">
        <f t="array" ref="AF502">IF($F502&lt;&gt;"", XLOOKUP($F502,Productos!$A$2:$A1001,Productos!Y$2:Y1001,"")*$G502,"")</f>
        <v/>
      </c>
      <c r="AG502" s="179" t="str">
        <f t="array" ref="AG502">IF($F502&lt;&gt;"",XLOOKUP($F502,Productos!$A:$A,Productos!Z:Z,"Revisar"),"")</f>
        <v/>
      </c>
      <c r="AH502" s="179" t="str">
        <f t="array" ref="AH502">IF($F502&lt;&gt;"", XLOOKUP($F502,Productos!$A$2:$A1001,Productos!AA$2:AA1001,"")*$G502,"")</f>
        <v/>
      </c>
      <c r="AI502" s="179" t="str">
        <f t="array" ref="AI502">IF($F502&lt;&gt;"",XLOOKUP($F502,Productos!$A:$A,Productos!AB:AB,"Revisar"),"")</f>
        <v/>
      </c>
      <c r="AJ502" s="179" t="str">
        <f t="array" ref="AJ502">IF($F502&lt;&gt;"", XLOOKUP($F502,Productos!$A$2:$A1001,Productos!AC$2:AC1001,"")*$G502,"")</f>
        <v/>
      </c>
      <c r="AK502" s="179" t="str">
        <f t="array" ref="AK502">IF($F502&lt;&gt;"",XLOOKUP($F502,Productos!$A:$A,Productos!AD:AD,"Revisar"),"")</f>
        <v/>
      </c>
      <c r="AL502" s="179" t="str">
        <f t="array" ref="AL502">IF($F502&lt;&gt;"", XLOOKUP($F502,Productos!$A$2:$A1001,Productos!AE$2:AE1001,"")*$G502,"")</f>
        <v/>
      </c>
      <c r="AM502" s="179" t="str">
        <f t="array" ref="AM502">IF($F502&lt;&gt;"",XLOOKUP($F502,Productos!$A:$A,Productos!AF:AF,"Revisar"),"")</f>
        <v/>
      </c>
      <c r="AN502" s="179" t="str">
        <f t="array" ref="AN502">IF($F502&lt;&gt;"", XLOOKUP($F502,Productos!$A$2:$A1001,Productos!AG$2:AG1001,"")*$G502,"")</f>
        <v/>
      </c>
      <c r="AO502" s="179" t="str">
        <f t="array" ref="AO502">IF($F502&lt;&gt;"",XLOOKUP($F502,Productos!$A:$A,Productos!AH:AH,"Revisar"),"")</f>
        <v/>
      </c>
      <c r="AP502" s="179" t="str">
        <f t="array" ref="AP502">IF($F502&lt;&gt;"", XLOOKUP($F502,Productos!$A$2:$A1001,Productos!AI$2:AI1001,"")*$G502,"")</f>
        <v/>
      </c>
      <c r="AQ502" s="179" t="str">
        <f t="array" ref="AQ502">IF($F502&lt;&gt;"",XLOOKUP($F502,Productos!$A:$A,Productos!AJ:AJ,"Revisar"),"")</f>
        <v/>
      </c>
      <c r="AR502" s="179" t="str">
        <f t="array" ref="AR502">IF($F502&lt;&gt;"", XLOOKUP($F502,Productos!$A$2:$A1001,Productos!AK$2:AK1001,"")*$G502,"")</f>
        <v/>
      </c>
      <c r="AS502" s="179" t="str">
        <f t="array" ref="AS502">IF($F502&lt;&gt;"",XLOOKUP($F502,Productos!$A:$A,Productos!AL:AL,"Revisar"),"")</f>
        <v/>
      </c>
      <c r="AT502" s="179" t="str">
        <f t="array" ref="AT502">IF($F502&lt;&gt;"", XLOOKUP($F502,Productos!$A$2:$A1001,Productos!AM$2:AM1001,"")*$G502,"")</f>
        <v/>
      </c>
      <c r="AU502" s="179" t="str">
        <f t="array" ref="AU502">IF($F502&lt;&gt;"",XLOOKUP($F502,Productos!$A:$A,Productos!AN:AN,"Revisar"),"")</f>
        <v/>
      </c>
      <c r="AV502" s="179" t="str">
        <f t="array" ref="AV502">IF($F502&lt;&gt;"", XLOOKUP($F502,Productos!$A$2:$A1001,Productos!AO$2:AO1001,"")*$G502,"")</f>
        <v/>
      </c>
      <c r="AW502" s="179" t="str">
        <f t="array" ref="AW502">IF($F502&lt;&gt;"",XLOOKUP($F502,Productos!$A:$A,Productos!AP:AP,"Revisar"),"")</f>
        <v/>
      </c>
      <c r="AX502" s="179" t="str">
        <f t="array" ref="AX502">IF($F502&lt;&gt;"", XLOOKUP($F502,Productos!$A$2:$A1001,Productos!AQ$2:AQ1001,"")*$G502,"")</f>
        <v/>
      </c>
      <c r="AY502" s="179" t="str">
        <f t="array" ref="AY502">IF($F502&lt;&gt;"",XLOOKUP($F502,Productos!$A:$A,Productos!AR:AR,"Revisar"),"")</f>
        <v/>
      </c>
      <c r="AZ502" s="179" t="str">
        <f t="array" ref="AZ502">IF($F502&lt;&gt;"", XLOOKUP($F502,Productos!$A$2:$A1001,Productos!AS$2:AS1001,"")*$G502,"")</f>
        <v/>
      </c>
      <c r="BA502" s="179" t="str">
        <f t="array" ref="BA502">IF($F502&lt;&gt;"",XLOOKUP($F502,Productos!$A:$A,Productos!AT:AT,"Revisar"),"")</f>
        <v/>
      </c>
      <c r="BB502" s="179" t="str">
        <f t="array" ref="BB502">IF($F502&lt;&gt;"", XLOOKUP($F502,Productos!$A$2:$A1001,Productos!AU$2:AU1001,"")*$G502,"")</f>
        <v/>
      </c>
      <c r="BC502" s="179" t="str">
        <f t="array" ref="BC502">IF($F502&lt;&gt;"",XLOOKUP($F502,Productos!$A:$A,Productos!AV:AV,"Revisar"),"")</f>
        <v/>
      </c>
      <c r="BD502" s="179" t="str">
        <f t="array" ref="BD502">IF($F502&lt;&gt;"", XLOOKUP($F502,Productos!$A$2:$A1001,Productos!AW$2:AW1001,"")*$G502,"")</f>
        <v/>
      </c>
      <c r="BE502" s="179" t="str">
        <f t="array" ref="BE502">IF($F502&lt;&gt;"",XLOOKUP($F502,Productos!$A:$A,Productos!AX:AX,"Revisar"),"")</f>
        <v/>
      </c>
      <c r="BF502" s="179" t="str">
        <f t="array" ref="BF502">IF($F502&lt;&gt;"", XLOOKUP($F502,Productos!$A$2:$A1001,Productos!AY$2:AY1001,"")*$G502,"")</f>
        <v/>
      </c>
      <c r="BG502" s="179" t="str">
        <f t="array" ref="BG502">IF($F502&lt;&gt;"",XLOOKUP($F502,Productos!$A:$A,Productos!AZ:AZ,"Revisar"),"")</f>
        <v/>
      </c>
      <c r="BH502" s="179" t="str">
        <f t="array" ref="BH502">IF($F502&lt;&gt;"", XLOOKUP($F502,Productos!$A$2:$A1001,Productos!BA$2:BA1001,"")*$G502,"")</f>
        <v/>
      </c>
      <c r="BI502" s="179" t="str">
        <f t="array" ref="BI502">IF($F502&lt;&gt;"",XLOOKUP($F502,Productos!$A:$A,Productos!BB:BB,"Revisar"),"")</f>
        <v/>
      </c>
      <c r="BJ502" s="179" t="str">
        <f t="array" ref="BJ502">IF($F502&lt;&gt;"", XLOOKUP($F502,Productos!$A$2:$A1001,Productos!BC$2:BC1001,"")*$G502,"")</f>
        <v/>
      </c>
      <c r="BK502" s="179" t="str">
        <f t="array" ref="BK502">IF($F502&lt;&gt;"",XLOOKUP($F502,Productos!$A:$A,Productos!BD:BD,"Revisar"),"")</f>
        <v/>
      </c>
      <c r="BL502" s="179" t="str">
        <f t="array" ref="BL502">IF($F502&lt;&gt;"", XLOOKUP($F502,Productos!$A$2:$A1001,Productos!BE$2:BE1001,"")*$G502,"")</f>
        <v/>
      </c>
      <c r="BM502" s="179" t="str">
        <f t="array" ref="BM502">IF($F502&lt;&gt;"",XLOOKUP($F502,Productos!$A:$A,Productos!BF:BF,"Revisar"),"")</f>
        <v/>
      </c>
      <c r="BN502" s="179" t="str">
        <f t="array" ref="BN502">IF($F502&lt;&gt;"", XLOOKUP($F502,Productos!$A$2:$A1001,Productos!BG$2:BG1001,"")*$G502,"")</f>
        <v/>
      </c>
      <c r="BO502" s="179" t="str">
        <f t="array" ref="BO502">IF($F502&lt;&gt;"",XLOOKUP($F502,Productos!$A:$A,Productos!BH:BH,"Revisar"),"")</f>
        <v/>
      </c>
      <c r="BP502" s="179" t="str">
        <f t="array" ref="BP502">IF($F502&lt;&gt;"", XLOOKUP($F502,Productos!$A$2:$A1001,Productos!BI$2:BI1001,"")*$G502,"")</f>
        <v/>
      </c>
      <c r="BQ502" s="179" t="str">
        <f t="array" ref="BQ502">IF($F502&lt;&gt;"",XLOOKUP($F502,Productos!$A:$A,Productos!BJ:BJ,"Revisar"),"")</f>
        <v/>
      </c>
      <c r="BR502" s="179" t="str">
        <f t="array" ref="BR502">IF($F502&lt;&gt;"", XLOOKUP($F502,Productos!$A$2:$A1001,Productos!BK$2:BK1001,"")*$G502,"")</f>
        <v/>
      </c>
      <c r="BS502" s="179" t="str">
        <f t="array" ref="BS502">IF($F502&lt;&gt;"",XLOOKUP($F502,Productos!$A:$A,Productos!BL:BL,"Revisar"),"")</f>
        <v/>
      </c>
      <c r="BT502" s="179" t="str">
        <f t="array" ref="BT502">IF($F502&lt;&gt;"", XLOOKUP($F502,Productos!$A$2:$A1001,Productos!BM$2:BM1001,"")*$G502,"")</f>
        <v/>
      </c>
      <c r="BU502" s="179" t="str">
        <f t="array" ref="BU502">IF($F502&lt;&gt;"",XLOOKUP($F502,Productos!$A:$A,Productos!BN:BN,"Revisar"),"")</f>
        <v/>
      </c>
      <c r="BV502" s="179" t="str">
        <f t="array" ref="BV502">IF($F502&lt;&gt;"", XLOOKUP($F502,Productos!$A$2:$A1001,Productos!BO$2:BO1001,"")*$G502,"")</f>
        <v/>
      </c>
      <c r="BW502" s="179" t="str">
        <f t="array" ref="BW502">IF($F502&lt;&gt;"",XLOOKUP($F502,Productos!$A:$A,Productos!BP:BP,"Revisar"),"")</f>
        <v/>
      </c>
      <c r="BX502" s="179" t="str">
        <f t="array" ref="BX502">IF($F502&lt;&gt;"", XLOOKUP($F502,Productos!$A$2:$A1001,Productos!BQ$2:BQ1001,"")*$G502,"")</f>
        <v/>
      </c>
      <c r="BY502" s="179" t="str">
        <f t="array" ref="BY502">IF($F502&lt;&gt;"",XLOOKUP($F502,Productos!$A:$A,Productos!BR:BR,"Revisar"),"")</f>
        <v/>
      </c>
      <c r="BZ502" s="179" t="str">
        <f t="array" ref="BZ502">IF($F502&lt;&gt;"", XLOOKUP($F502,Productos!$A$2:$A1001,Productos!BS$2:BS1001,"")*$G502,"")</f>
        <v/>
      </c>
    </row>
    <row r="503">
      <c r="A503" s="188"/>
      <c r="B503" s="189"/>
      <c r="C503" s="190"/>
      <c r="D503" s="190"/>
      <c r="E503" s="191"/>
      <c r="F503" s="186"/>
      <c r="G503" s="192"/>
      <c r="H503" s="9"/>
      <c r="I503" s="179" t="str">
        <f t="array" ref="I503">IF($F503&lt;&gt;"",XLOOKUP($F503,Productos!$A:$A,Productos!B:B,"Revisar"),"")</f>
        <v/>
      </c>
      <c r="J503" s="179" t="str">
        <f t="array" ref="J503">IF($F503&lt;&gt;"", XLOOKUP($F503,Productos!$A$2:$A1001,Productos!C$2:C1001,"")*$G503,"")</f>
        <v/>
      </c>
      <c r="K503" s="179" t="str">
        <f t="array" ref="K503">IF($F503&lt;&gt;"",XLOOKUP($F503,Productos!$A:$A,Productos!D:D,"Revisar"),"")</f>
        <v/>
      </c>
      <c r="L503" s="179" t="str">
        <f t="array" ref="L503">IF($F503&lt;&gt;"", XLOOKUP($F503,Productos!$A$2:$A1001,Productos!E$2:E1001,"")*$G503,"")</f>
        <v/>
      </c>
      <c r="M503" s="179" t="str">
        <f t="array" ref="M503">IF($F503&lt;&gt;"",XLOOKUP($F503,Productos!$A:$A,Productos!F:F,"Revisar"),"")</f>
        <v/>
      </c>
      <c r="N503" s="179" t="str">
        <f t="array" ref="N503">IF($F503&lt;&gt;"", XLOOKUP($F503,Productos!$A$2:$A1001,Productos!G$2:G1001,"")*$G503,"")</f>
        <v/>
      </c>
      <c r="O503" s="179" t="str">
        <f t="array" ref="O503">IF($F503&lt;&gt;"",XLOOKUP($F503,Productos!$A:$A,Productos!H:H,"Revisar"),"")</f>
        <v/>
      </c>
      <c r="P503" s="179" t="str">
        <f t="array" ref="P503">IF($F503&lt;&gt;"", XLOOKUP($F503,Productos!$A$2:$A1001,Productos!I$2:I1001,"")*$G503,"")</f>
        <v/>
      </c>
      <c r="Q503" s="179" t="str">
        <f t="array" ref="Q503">IF($F503&lt;&gt;"",XLOOKUP($F503,Productos!$A:$A,Productos!J:J,"Revisar"),"")</f>
        <v/>
      </c>
      <c r="R503" s="179" t="str">
        <f t="array" ref="R503">IF($F503&lt;&gt;"", XLOOKUP($F503,Productos!$A$2:$A1001,Productos!K$2:K1001,"")*$G503,"")</f>
        <v/>
      </c>
      <c r="S503" s="179" t="str">
        <f t="array" ref="S503">IF($F503&lt;&gt;"",XLOOKUP($F503,Productos!$A:$A,Productos!L:L,"Revisar"),"")</f>
        <v/>
      </c>
      <c r="T503" s="179" t="str">
        <f t="array" ref="T503">IF($F503&lt;&gt;"", XLOOKUP($F503,Productos!$A$2:$A1001,Productos!M$2:M1001,"")*$G503,"")</f>
        <v/>
      </c>
      <c r="U503" s="179" t="str">
        <f t="array" ref="U503">IF($F503&lt;&gt;"",XLOOKUP($F503,Productos!$A:$A,Productos!N:N,"Revisar"),"")</f>
        <v/>
      </c>
      <c r="V503" s="179" t="str">
        <f t="array" ref="V503">IF($F503&lt;&gt;"", XLOOKUP($F503,Productos!$A$2:$A1001,Productos!O$2:O1001,"")*$G503,"")</f>
        <v/>
      </c>
      <c r="W503" s="179" t="str">
        <f t="array" ref="W503">IF($F503&lt;&gt;"",XLOOKUP($F503,Productos!$A:$A,Productos!P:P,"Revisar"),"")</f>
        <v/>
      </c>
      <c r="X503" s="179" t="str">
        <f t="array" ref="X503">IF($F503&lt;&gt;"", XLOOKUP($F503,Productos!$A$2:$A1001,Productos!Q$2:Q1001,"")*$G503,"")</f>
        <v/>
      </c>
      <c r="Y503" s="179" t="str">
        <f t="array" ref="Y503">IF($F503&lt;&gt;"",XLOOKUP($F503,Productos!$A:$A,Productos!R:R,"Revisar"),"")</f>
        <v/>
      </c>
      <c r="Z503" s="179" t="str">
        <f t="array" ref="Z503">IF($F503&lt;&gt;"", XLOOKUP($F503,Productos!$A$2:$A1001,Productos!S$2:S1001,"")*$G503,"")</f>
        <v/>
      </c>
      <c r="AA503" s="179" t="str">
        <f t="array" ref="AA503">IF($F503&lt;&gt;"",XLOOKUP($F503,Productos!$A:$A,Productos!T:T,"Revisar"),"")</f>
        <v/>
      </c>
      <c r="AB503" s="179" t="str">
        <f t="array" ref="AB503">IF($F503&lt;&gt;"", XLOOKUP($F503,Productos!$A$2:$A1001,Productos!U$2:U1001,"")*$G503,"")</f>
        <v/>
      </c>
      <c r="AC503" s="179" t="str">
        <f t="array" ref="AC503">IF($F503&lt;&gt;"",XLOOKUP($F503,Productos!$A:$A,Productos!V:V,"Revisar"),"")</f>
        <v/>
      </c>
      <c r="AD503" s="179" t="str">
        <f t="array" ref="AD503">IF($F503&lt;&gt;"", XLOOKUP($F503,Productos!$A$2:$A1001,Productos!W$2:W1001,"")*$G503,"")</f>
        <v/>
      </c>
      <c r="AE503" s="179" t="str">
        <f t="array" ref="AE503">IF($F503&lt;&gt;"",XLOOKUP($F503,Productos!$A:$A,Productos!X:X,"Revisar"),"")</f>
        <v/>
      </c>
      <c r="AF503" s="179" t="str">
        <f t="array" ref="AF503">IF($F503&lt;&gt;"", XLOOKUP($F503,Productos!$A$2:$A1001,Productos!Y$2:Y1001,"")*$G503,"")</f>
        <v/>
      </c>
      <c r="AG503" s="179" t="str">
        <f t="array" ref="AG503">IF($F503&lt;&gt;"",XLOOKUP($F503,Productos!$A:$A,Productos!Z:Z,"Revisar"),"")</f>
        <v/>
      </c>
      <c r="AH503" s="179" t="str">
        <f t="array" ref="AH503">IF($F503&lt;&gt;"", XLOOKUP($F503,Productos!$A$2:$A1001,Productos!AA$2:AA1001,"")*$G503,"")</f>
        <v/>
      </c>
      <c r="AI503" s="179" t="str">
        <f t="array" ref="AI503">IF($F503&lt;&gt;"",XLOOKUP($F503,Productos!$A:$A,Productos!AB:AB,"Revisar"),"")</f>
        <v/>
      </c>
      <c r="AJ503" s="179" t="str">
        <f t="array" ref="AJ503">IF($F503&lt;&gt;"", XLOOKUP($F503,Productos!$A$2:$A1001,Productos!AC$2:AC1001,"")*$G503,"")</f>
        <v/>
      </c>
      <c r="AK503" s="179" t="str">
        <f t="array" ref="AK503">IF($F503&lt;&gt;"",XLOOKUP($F503,Productos!$A:$A,Productos!AD:AD,"Revisar"),"")</f>
        <v/>
      </c>
      <c r="AL503" s="179" t="str">
        <f t="array" ref="AL503">IF($F503&lt;&gt;"", XLOOKUP($F503,Productos!$A$2:$A1001,Productos!AE$2:AE1001,"")*$G503,"")</f>
        <v/>
      </c>
      <c r="AM503" s="179" t="str">
        <f t="array" ref="AM503">IF($F503&lt;&gt;"",XLOOKUP($F503,Productos!$A:$A,Productos!AF:AF,"Revisar"),"")</f>
        <v/>
      </c>
      <c r="AN503" s="179" t="str">
        <f t="array" ref="AN503">IF($F503&lt;&gt;"", XLOOKUP($F503,Productos!$A$2:$A1001,Productos!AG$2:AG1001,"")*$G503,"")</f>
        <v/>
      </c>
      <c r="AO503" s="179" t="str">
        <f t="array" ref="AO503">IF($F503&lt;&gt;"",XLOOKUP($F503,Productos!$A:$A,Productos!AH:AH,"Revisar"),"")</f>
        <v/>
      </c>
      <c r="AP503" s="179" t="str">
        <f t="array" ref="AP503">IF($F503&lt;&gt;"", XLOOKUP($F503,Productos!$A$2:$A1001,Productos!AI$2:AI1001,"")*$G503,"")</f>
        <v/>
      </c>
      <c r="AQ503" s="179" t="str">
        <f t="array" ref="AQ503">IF($F503&lt;&gt;"",XLOOKUP($F503,Productos!$A:$A,Productos!AJ:AJ,"Revisar"),"")</f>
        <v/>
      </c>
      <c r="AR503" s="179" t="str">
        <f t="array" ref="AR503">IF($F503&lt;&gt;"", XLOOKUP($F503,Productos!$A$2:$A1001,Productos!AK$2:AK1001,"")*$G503,"")</f>
        <v/>
      </c>
      <c r="AS503" s="179" t="str">
        <f t="array" ref="AS503">IF($F503&lt;&gt;"",XLOOKUP($F503,Productos!$A:$A,Productos!AL:AL,"Revisar"),"")</f>
        <v/>
      </c>
      <c r="AT503" s="179" t="str">
        <f t="array" ref="AT503">IF($F503&lt;&gt;"", XLOOKUP($F503,Productos!$A$2:$A1001,Productos!AM$2:AM1001,"")*$G503,"")</f>
        <v/>
      </c>
      <c r="AU503" s="179" t="str">
        <f t="array" ref="AU503">IF($F503&lt;&gt;"",XLOOKUP($F503,Productos!$A:$A,Productos!AN:AN,"Revisar"),"")</f>
        <v/>
      </c>
      <c r="AV503" s="179" t="str">
        <f t="array" ref="AV503">IF($F503&lt;&gt;"", XLOOKUP($F503,Productos!$A$2:$A1001,Productos!AO$2:AO1001,"")*$G503,"")</f>
        <v/>
      </c>
      <c r="AW503" s="179" t="str">
        <f t="array" ref="AW503">IF($F503&lt;&gt;"",XLOOKUP($F503,Productos!$A:$A,Productos!AP:AP,"Revisar"),"")</f>
        <v/>
      </c>
      <c r="AX503" s="179" t="str">
        <f t="array" ref="AX503">IF($F503&lt;&gt;"", XLOOKUP($F503,Productos!$A$2:$A1001,Productos!AQ$2:AQ1001,"")*$G503,"")</f>
        <v/>
      </c>
      <c r="AY503" s="179" t="str">
        <f t="array" ref="AY503">IF($F503&lt;&gt;"",XLOOKUP($F503,Productos!$A:$A,Productos!AR:AR,"Revisar"),"")</f>
        <v/>
      </c>
      <c r="AZ503" s="179" t="str">
        <f t="array" ref="AZ503">IF($F503&lt;&gt;"", XLOOKUP($F503,Productos!$A$2:$A1001,Productos!AS$2:AS1001,"")*$G503,"")</f>
        <v/>
      </c>
      <c r="BA503" s="179" t="str">
        <f t="array" ref="BA503">IF($F503&lt;&gt;"",XLOOKUP($F503,Productos!$A:$A,Productos!AT:AT,"Revisar"),"")</f>
        <v/>
      </c>
      <c r="BB503" s="179" t="str">
        <f t="array" ref="BB503">IF($F503&lt;&gt;"", XLOOKUP($F503,Productos!$A$2:$A1001,Productos!AU$2:AU1001,"")*$G503,"")</f>
        <v/>
      </c>
      <c r="BC503" s="179" t="str">
        <f t="array" ref="BC503">IF($F503&lt;&gt;"",XLOOKUP($F503,Productos!$A:$A,Productos!AV:AV,"Revisar"),"")</f>
        <v/>
      </c>
      <c r="BD503" s="179" t="str">
        <f t="array" ref="BD503">IF($F503&lt;&gt;"", XLOOKUP($F503,Productos!$A$2:$A1001,Productos!AW$2:AW1001,"")*$G503,"")</f>
        <v/>
      </c>
      <c r="BE503" s="179" t="str">
        <f t="array" ref="BE503">IF($F503&lt;&gt;"",XLOOKUP($F503,Productos!$A:$A,Productos!AX:AX,"Revisar"),"")</f>
        <v/>
      </c>
      <c r="BF503" s="179" t="str">
        <f t="array" ref="BF503">IF($F503&lt;&gt;"", XLOOKUP($F503,Productos!$A$2:$A1001,Productos!AY$2:AY1001,"")*$G503,"")</f>
        <v/>
      </c>
      <c r="BG503" s="179" t="str">
        <f t="array" ref="BG503">IF($F503&lt;&gt;"",XLOOKUP($F503,Productos!$A:$A,Productos!AZ:AZ,"Revisar"),"")</f>
        <v/>
      </c>
      <c r="BH503" s="179" t="str">
        <f t="array" ref="BH503">IF($F503&lt;&gt;"", XLOOKUP($F503,Productos!$A$2:$A1001,Productos!BA$2:BA1001,"")*$G503,"")</f>
        <v/>
      </c>
      <c r="BI503" s="179" t="str">
        <f t="array" ref="BI503">IF($F503&lt;&gt;"",XLOOKUP($F503,Productos!$A:$A,Productos!BB:BB,"Revisar"),"")</f>
        <v/>
      </c>
      <c r="BJ503" s="179" t="str">
        <f t="array" ref="BJ503">IF($F503&lt;&gt;"", XLOOKUP($F503,Productos!$A$2:$A1001,Productos!BC$2:BC1001,"")*$G503,"")</f>
        <v/>
      </c>
      <c r="BK503" s="179" t="str">
        <f t="array" ref="BK503">IF($F503&lt;&gt;"",XLOOKUP($F503,Productos!$A:$A,Productos!BD:BD,"Revisar"),"")</f>
        <v/>
      </c>
      <c r="BL503" s="179" t="str">
        <f t="array" ref="BL503">IF($F503&lt;&gt;"", XLOOKUP($F503,Productos!$A$2:$A1001,Productos!BE$2:BE1001,"")*$G503,"")</f>
        <v/>
      </c>
      <c r="BM503" s="179" t="str">
        <f t="array" ref="BM503">IF($F503&lt;&gt;"",XLOOKUP($F503,Productos!$A:$A,Productos!BF:BF,"Revisar"),"")</f>
        <v/>
      </c>
      <c r="BN503" s="179" t="str">
        <f t="array" ref="BN503">IF($F503&lt;&gt;"", XLOOKUP($F503,Productos!$A$2:$A1001,Productos!BG$2:BG1001,"")*$G503,"")</f>
        <v/>
      </c>
      <c r="BO503" s="179" t="str">
        <f t="array" ref="BO503">IF($F503&lt;&gt;"",XLOOKUP($F503,Productos!$A:$A,Productos!BH:BH,"Revisar"),"")</f>
        <v/>
      </c>
      <c r="BP503" s="179" t="str">
        <f t="array" ref="BP503">IF($F503&lt;&gt;"", XLOOKUP($F503,Productos!$A$2:$A1001,Productos!BI$2:BI1001,"")*$G503,"")</f>
        <v/>
      </c>
      <c r="BQ503" s="179" t="str">
        <f t="array" ref="BQ503">IF($F503&lt;&gt;"",XLOOKUP($F503,Productos!$A:$A,Productos!BJ:BJ,"Revisar"),"")</f>
        <v/>
      </c>
      <c r="BR503" s="179" t="str">
        <f t="array" ref="BR503">IF($F503&lt;&gt;"", XLOOKUP($F503,Productos!$A$2:$A1001,Productos!BK$2:BK1001,"")*$G503,"")</f>
        <v/>
      </c>
      <c r="BS503" s="179" t="str">
        <f t="array" ref="BS503">IF($F503&lt;&gt;"",XLOOKUP($F503,Productos!$A:$A,Productos!BL:BL,"Revisar"),"")</f>
        <v/>
      </c>
      <c r="BT503" s="179" t="str">
        <f t="array" ref="BT503">IF($F503&lt;&gt;"", XLOOKUP($F503,Productos!$A$2:$A1001,Productos!BM$2:BM1001,"")*$G503,"")</f>
        <v/>
      </c>
      <c r="BU503" s="179" t="str">
        <f t="array" ref="BU503">IF($F503&lt;&gt;"",XLOOKUP($F503,Productos!$A:$A,Productos!BN:BN,"Revisar"),"")</f>
        <v/>
      </c>
      <c r="BV503" s="179" t="str">
        <f t="array" ref="BV503">IF($F503&lt;&gt;"", XLOOKUP($F503,Productos!$A$2:$A1001,Productos!BO$2:BO1001,"")*$G503,"")</f>
        <v/>
      </c>
      <c r="BW503" s="179" t="str">
        <f t="array" ref="BW503">IF($F503&lt;&gt;"",XLOOKUP($F503,Productos!$A:$A,Productos!BP:BP,"Revisar"),"")</f>
        <v/>
      </c>
      <c r="BX503" s="179" t="str">
        <f t="array" ref="BX503">IF($F503&lt;&gt;"", XLOOKUP($F503,Productos!$A$2:$A1001,Productos!BQ$2:BQ1001,"")*$G503,"")</f>
        <v/>
      </c>
      <c r="BY503" s="179" t="str">
        <f t="array" ref="BY503">IF($F503&lt;&gt;"",XLOOKUP($F503,Productos!$A:$A,Productos!BR:BR,"Revisar"),"")</f>
        <v/>
      </c>
      <c r="BZ503" s="179" t="str">
        <f t="array" ref="BZ503">IF($F503&lt;&gt;"", XLOOKUP($F503,Productos!$A$2:$A1001,Productos!BS$2:BS1001,"")*$G503,"")</f>
        <v/>
      </c>
    </row>
    <row r="504">
      <c r="A504" s="188"/>
      <c r="B504" s="189"/>
      <c r="C504" s="190"/>
      <c r="D504" s="190"/>
      <c r="E504" s="191"/>
      <c r="F504" s="186"/>
      <c r="G504" s="192"/>
      <c r="H504" s="9"/>
      <c r="I504" s="179" t="str">
        <f t="array" ref="I504">IF($F504&lt;&gt;"",XLOOKUP($F504,Productos!$A:$A,Productos!B:B,"Revisar"),"")</f>
        <v/>
      </c>
      <c r="J504" s="179" t="str">
        <f t="array" ref="J504">IF($F504&lt;&gt;"", XLOOKUP($F504,Productos!$A$2:$A1001,Productos!C$2:C1001,"")*$G504,"")</f>
        <v/>
      </c>
      <c r="K504" s="179" t="str">
        <f t="array" ref="K504">IF($F504&lt;&gt;"",XLOOKUP($F504,Productos!$A:$A,Productos!D:D,"Revisar"),"")</f>
        <v/>
      </c>
      <c r="L504" s="179" t="str">
        <f t="array" ref="L504">IF($F504&lt;&gt;"", XLOOKUP($F504,Productos!$A$2:$A1001,Productos!E$2:E1001,"")*$G504,"")</f>
        <v/>
      </c>
      <c r="M504" s="179" t="str">
        <f t="array" ref="M504">IF($F504&lt;&gt;"",XLOOKUP($F504,Productos!$A:$A,Productos!F:F,"Revisar"),"")</f>
        <v/>
      </c>
      <c r="N504" s="179" t="str">
        <f t="array" ref="N504">IF($F504&lt;&gt;"", XLOOKUP($F504,Productos!$A$2:$A1001,Productos!G$2:G1001,"")*$G504,"")</f>
        <v/>
      </c>
      <c r="O504" s="179" t="str">
        <f t="array" ref="O504">IF($F504&lt;&gt;"",XLOOKUP($F504,Productos!$A:$A,Productos!H:H,"Revisar"),"")</f>
        <v/>
      </c>
      <c r="P504" s="179" t="str">
        <f t="array" ref="P504">IF($F504&lt;&gt;"", XLOOKUP($F504,Productos!$A$2:$A1001,Productos!I$2:I1001,"")*$G504,"")</f>
        <v/>
      </c>
      <c r="Q504" s="179" t="str">
        <f t="array" ref="Q504">IF($F504&lt;&gt;"",XLOOKUP($F504,Productos!$A:$A,Productos!J:J,"Revisar"),"")</f>
        <v/>
      </c>
      <c r="R504" s="179" t="str">
        <f t="array" ref="R504">IF($F504&lt;&gt;"", XLOOKUP($F504,Productos!$A$2:$A1001,Productos!K$2:K1001,"")*$G504,"")</f>
        <v/>
      </c>
      <c r="S504" s="179" t="str">
        <f t="array" ref="S504">IF($F504&lt;&gt;"",XLOOKUP($F504,Productos!$A:$A,Productos!L:L,"Revisar"),"")</f>
        <v/>
      </c>
      <c r="T504" s="179" t="str">
        <f t="array" ref="T504">IF($F504&lt;&gt;"", XLOOKUP($F504,Productos!$A$2:$A1001,Productos!M$2:M1001,"")*$G504,"")</f>
        <v/>
      </c>
      <c r="U504" s="179" t="str">
        <f t="array" ref="U504">IF($F504&lt;&gt;"",XLOOKUP($F504,Productos!$A:$A,Productos!N:N,"Revisar"),"")</f>
        <v/>
      </c>
      <c r="V504" s="179" t="str">
        <f t="array" ref="V504">IF($F504&lt;&gt;"", XLOOKUP($F504,Productos!$A$2:$A1001,Productos!O$2:O1001,"")*$G504,"")</f>
        <v/>
      </c>
      <c r="W504" s="179" t="str">
        <f t="array" ref="W504">IF($F504&lt;&gt;"",XLOOKUP($F504,Productos!$A:$A,Productos!P:P,"Revisar"),"")</f>
        <v/>
      </c>
      <c r="X504" s="179" t="str">
        <f t="array" ref="X504">IF($F504&lt;&gt;"", XLOOKUP($F504,Productos!$A$2:$A1001,Productos!Q$2:Q1001,"")*$G504,"")</f>
        <v/>
      </c>
      <c r="Y504" s="179" t="str">
        <f t="array" ref="Y504">IF($F504&lt;&gt;"",XLOOKUP($F504,Productos!$A:$A,Productos!R:R,"Revisar"),"")</f>
        <v/>
      </c>
      <c r="Z504" s="179" t="str">
        <f t="array" ref="Z504">IF($F504&lt;&gt;"", XLOOKUP($F504,Productos!$A$2:$A1001,Productos!S$2:S1001,"")*$G504,"")</f>
        <v/>
      </c>
      <c r="AA504" s="179" t="str">
        <f t="array" ref="AA504">IF($F504&lt;&gt;"",XLOOKUP($F504,Productos!$A:$A,Productos!T:T,"Revisar"),"")</f>
        <v/>
      </c>
      <c r="AB504" s="179" t="str">
        <f t="array" ref="AB504">IF($F504&lt;&gt;"", XLOOKUP($F504,Productos!$A$2:$A1001,Productos!U$2:U1001,"")*$G504,"")</f>
        <v/>
      </c>
      <c r="AC504" s="179" t="str">
        <f t="array" ref="AC504">IF($F504&lt;&gt;"",XLOOKUP($F504,Productos!$A:$A,Productos!V:V,"Revisar"),"")</f>
        <v/>
      </c>
      <c r="AD504" s="179" t="str">
        <f t="array" ref="AD504">IF($F504&lt;&gt;"", XLOOKUP($F504,Productos!$A$2:$A1001,Productos!W$2:W1001,"")*$G504,"")</f>
        <v/>
      </c>
      <c r="AE504" s="179" t="str">
        <f t="array" ref="AE504">IF($F504&lt;&gt;"",XLOOKUP($F504,Productos!$A:$A,Productos!X:X,"Revisar"),"")</f>
        <v/>
      </c>
      <c r="AF504" s="179" t="str">
        <f t="array" ref="AF504">IF($F504&lt;&gt;"", XLOOKUP($F504,Productos!$A$2:$A1001,Productos!Y$2:Y1001,"")*$G504,"")</f>
        <v/>
      </c>
      <c r="AG504" s="179" t="str">
        <f t="array" ref="AG504">IF($F504&lt;&gt;"",XLOOKUP($F504,Productos!$A:$A,Productos!Z:Z,"Revisar"),"")</f>
        <v/>
      </c>
      <c r="AH504" s="179" t="str">
        <f t="array" ref="AH504">IF($F504&lt;&gt;"", XLOOKUP($F504,Productos!$A$2:$A1001,Productos!AA$2:AA1001,"")*$G504,"")</f>
        <v/>
      </c>
      <c r="AI504" s="179" t="str">
        <f t="array" ref="AI504">IF($F504&lt;&gt;"",XLOOKUP($F504,Productos!$A:$A,Productos!AB:AB,"Revisar"),"")</f>
        <v/>
      </c>
      <c r="AJ504" s="179" t="str">
        <f t="array" ref="AJ504">IF($F504&lt;&gt;"", XLOOKUP($F504,Productos!$A$2:$A1001,Productos!AC$2:AC1001,"")*$G504,"")</f>
        <v/>
      </c>
      <c r="AK504" s="179" t="str">
        <f t="array" ref="AK504">IF($F504&lt;&gt;"",XLOOKUP($F504,Productos!$A:$A,Productos!AD:AD,"Revisar"),"")</f>
        <v/>
      </c>
      <c r="AL504" s="179" t="str">
        <f t="array" ref="AL504">IF($F504&lt;&gt;"", XLOOKUP($F504,Productos!$A$2:$A1001,Productos!AE$2:AE1001,"")*$G504,"")</f>
        <v/>
      </c>
      <c r="AM504" s="179" t="str">
        <f t="array" ref="AM504">IF($F504&lt;&gt;"",XLOOKUP($F504,Productos!$A:$A,Productos!AF:AF,"Revisar"),"")</f>
        <v/>
      </c>
      <c r="AN504" s="179" t="str">
        <f t="array" ref="AN504">IF($F504&lt;&gt;"", XLOOKUP($F504,Productos!$A$2:$A1001,Productos!AG$2:AG1001,"")*$G504,"")</f>
        <v/>
      </c>
      <c r="AO504" s="179" t="str">
        <f t="array" ref="AO504">IF($F504&lt;&gt;"",XLOOKUP($F504,Productos!$A:$A,Productos!AH:AH,"Revisar"),"")</f>
        <v/>
      </c>
      <c r="AP504" s="179" t="str">
        <f t="array" ref="AP504">IF($F504&lt;&gt;"", XLOOKUP($F504,Productos!$A$2:$A1001,Productos!AI$2:AI1001,"")*$G504,"")</f>
        <v/>
      </c>
      <c r="AQ504" s="179" t="str">
        <f t="array" ref="AQ504">IF($F504&lt;&gt;"",XLOOKUP($F504,Productos!$A:$A,Productos!AJ:AJ,"Revisar"),"")</f>
        <v/>
      </c>
      <c r="AR504" s="179" t="str">
        <f t="array" ref="AR504">IF($F504&lt;&gt;"", XLOOKUP($F504,Productos!$A$2:$A1001,Productos!AK$2:AK1001,"")*$G504,"")</f>
        <v/>
      </c>
      <c r="AS504" s="179" t="str">
        <f t="array" ref="AS504">IF($F504&lt;&gt;"",XLOOKUP($F504,Productos!$A:$A,Productos!AL:AL,"Revisar"),"")</f>
        <v/>
      </c>
      <c r="AT504" s="179" t="str">
        <f t="array" ref="AT504">IF($F504&lt;&gt;"", XLOOKUP($F504,Productos!$A$2:$A1001,Productos!AM$2:AM1001,"")*$G504,"")</f>
        <v/>
      </c>
      <c r="AU504" s="179" t="str">
        <f t="array" ref="AU504">IF($F504&lt;&gt;"",XLOOKUP($F504,Productos!$A:$A,Productos!AN:AN,"Revisar"),"")</f>
        <v/>
      </c>
      <c r="AV504" s="179" t="str">
        <f t="array" ref="AV504">IF($F504&lt;&gt;"", XLOOKUP($F504,Productos!$A$2:$A1001,Productos!AO$2:AO1001,"")*$G504,"")</f>
        <v/>
      </c>
      <c r="AW504" s="179" t="str">
        <f t="array" ref="AW504">IF($F504&lt;&gt;"",XLOOKUP($F504,Productos!$A:$A,Productos!AP:AP,"Revisar"),"")</f>
        <v/>
      </c>
      <c r="AX504" s="179" t="str">
        <f t="array" ref="AX504">IF($F504&lt;&gt;"", XLOOKUP($F504,Productos!$A$2:$A1001,Productos!AQ$2:AQ1001,"")*$G504,"")</f>
        <v/>
      </c>
      <c r="AY504" s="179" t="str">
        <f t="array" ref="AY504">IF($F504&lt;&gt;"",XLOOKUP($F504,Productos!$A:$A,Productos!AR:AR,"Revisar"),"")</f>
        <v/>
      </c>
      <c r="AZ504" s="179" t="str">
        <f t="array" ref="AZ504">IF($F504&lt;&gt;"", XLOOKUP($F504,Productos!$A$2:$A1001,Productos!AS$2:AS1001,"")*$G504,"")</f>
        <v/>
      </c>
      <c r="BA504" s="179" t="str">
        <f t="array" ref="BA504">IF($F504&lt;&gt;"",XLOOKUP($F504,Productos!$A:$A,Productos!AT:AT,"Revisar"),"")</f>
        <v/>
      </c>
      <c r="BB504" s="179" t="str">
        <f t="array" ref="BB504">IF($F504&lt;&gt;"", XLOOKUP($F504,Productos!$A$2:$A1001,Productos!AU$2:AU1001,"")*$G504,"")</f>
        <v/>
      </c>
      <c r="BC504" s="179" t="str">
        <f t="array" ref="BC504">IF($F504&lt;&gt;"",XLOOKUP($F504,Productos!$A:$A,Productos!AV:AV,"Revisar"),"")</f>
        <v/>
      </c>
      <c r="BD504" s="179" t="str">
        <f t="array" ref="BD504">IF($F504&lt;&gt;"", XLOOKUP($F504,Productos!$A$2:$A1001,Productos!AW$2:AW1001,"")*$G504,"")</f>
        <v/>
      </c>
      <c r="BE504" s="179" t="str">
        <f t="array" ref="BE504">IF($F504&lt;&gt;"",XLOOKUP($F504,Productos!$A:$A,Productos!AX:AX,"Revisar"),"")</f>
        <v/>
      </c>
      <c r="BF504" s="179" t="str">
        <f t="array" ref="BF504">IF($F504&lt;&gt;"", XLOOKUP($F504,Productos!$A$2:$A1001,Productos!AY$2:AY1001,"")*$G504,"")</f>
        <v/>
      </c>
      <c r="BG504" s="179" t="str">
        <f t="array" ref="BG504">IF($F504&lt;&gt;"",XLOOKUP($F504,Productos!$A:$A,Productos!AZ:AZ,"Revisar"),"")</f>
        <v/>
      </c>
      <c r="BH504" s="179" t="str">
        <f t="array" ref="BH504">IF($F504&lt;&gt;"", XLOOKUP($F504,Productos!$A$2:$A1001,Productos!BA$2:BA1001,"")*$G504,"")</f>
        <v/>
      </c>
      <c r="BI504" s="179" t="str">
        <f t="array" ref="BI504">IF($F504&lt;&gt;"",XLOOKUP($F504,Productos!$A:$A,Productos!BB:BB,"Revisar"),"")</f>
        <v/>
      </c>
      <c r="BJ504" s="179" t="str">
        <f t="array" ref="BJ504">IF($F504&lt;&gt;"", XLOOKUP($F504,Productos!$A$2:$A1001,Productos!BC$2:BC1001,"")*$G504,"")</f>
        <v/>
      </c>
      <c r="BK504" s="179" t="str">
        <f t="array" ref="BK504">IF($F504&lt;&gt;"",XLOOKUP($F504,Productos!$A:$A,Productos!BD:BD,"Revisar"),"")</f>
        <v/>
      </c>
      <c r="BL504" s="179" t="str">
        <f t="array" ref="BL504">IF($F504&lt;&gt;"", XLOOKUP($F504,Productos!$A$2:$A1001,Productos!BE$2:BE1001,"")*$G504,"")</f>
        <v/>
      </c>
      <c r="BM504" s="179" t="str">
        <f t="array" ref="BM504">IF($F504&lt;&gt;"",XLOOKUP($F504,Productos!$A:$A,Productos!BF:BF,"Revisar"),"")</f>
        <v/>
      </c>
      <c r="BN504" s="179" t="str">
        <f t="array" ref="BN504">IF($F504&lt;&gt;"", XLOOKUP($F504,Productos!$A$2:$A1001,Productos!BG$2:BG1001,"")*$G504,"")</f>
        <v/>
      </c>
      <c r="BO504" s="179" t="str">
        <f t="array" ref="BO504">IF($F504&lt;&gt;"",XLOOKUP($F504,Productos!$A:$A,Productos!BH:BH,"Revisar"),"")</f>
        <v/>
      </c>
      <c r="BP504" s="179" t="str">
        <f t="array" ref="BP504">IF($F504&lt;&gt;"", XLOOKUP($F504,Productos!$A$2:$A1001,Productos!BI$2:BI1001,"")*$G504,"")</f>
        <v/>
      </c>
      <c r="BQ504" s="179" t="str">
        <f t="array" ref="BQ504">IF($F504&lt;&gt;"",XLOOKUP($F504,Productos!$A:$A,Productos!BJ:BJ,"Revisar"),"")</f>
        <v/>
      </c>
      <c r="BR504" s="179" t="str">
        <f t="array" ref="BR504">IF($F504&lt;&gt;"", XLOOKUP($F504,Productos!$A$2:$A1001,Productos!BK$2:BK1001,"")*$G504,"")</f>
        <v/>
      </c>
      <c r="BS504" s="179" t="str">
        <f t="array" ref="BS504">IF($F504&lt;&gt;"",XLOOKUP($F504,Productos!$A:$A,Productos!BL:BL,"Revisar"),"")</f>
        <v/>
      </c>
      <c r="BT504" s="179" t="str">
        <f t="array" ref="BT504">IF($F504&lt;&gt;"", XLOOKUP($F504,Productos!$A$2:$A1001,Productos!BM$2:BM1001,"")*$G504,"")</f>
        <v/>
      </c>
      <c r="BU504" s="179" t="str">
        <f t="array" ref="BU504">IF($F504&lt;&gt;"",XLOOKUP($F504,Productos!$A:$A,Productos!BN:BN,"Revisar"),"")</f>
        <v/>
      </c>
      <c r="BV504" s="179" t="str">
        <f t="array" ref="BV504">IF($F504&lt;&gt;"", XLOOKUP($F504,Productos!$A$2:$A1001,Productos!BO$2:BO1001,"")*$G504,"")</f>
        <v/>
      </c>
      <c r="BW504" s="179" t="str">
        <f t="array" ref="BW504">IF($F504&lt;&gt;"",XLOOKUP($F504,Productos!$A:$A,Productos!BP:BP,"Revisar"),"")</f>
        <v/>
      </c>
      <c r="BX504" s="179" t="str">
        <f t="array" ref="BX504">IF($F504&lt;&gt;"", XLOOKUP($F504,Productos!$A$2:$A1001,Productos!BQ$2:BQ1001,"")*$G504,"")</f>
        <v/>
      </c>
      <c r="BY504" s="179" t="str">
        <f t="array" ref="BY504">IF($F504&lt;&gt;"",XLOOKUP($F504,Productos!$A:$A,Productos!BR:BR,"Revisar"),"")</f>
        <v/>
      </c>
      <c r="BZ504" s="179" t="str">
        <f t="array" ref="BZ504">IF($F504&lt;&gt;"", XLOOKUP($F504,Productos!$A$2:$A1001,Productos!BS$2:BS1001,"")*$G504,"")</f>
        <v/>
      </c>
    </row>
    <row r="505">
      <c r="A505" s="188"/>
      <c r="B505" s="189"/>
      <c r="C505" s="190"/>
      <c r="D505" s="190"/>
      <c r="E505" s="191"/>
      <c r="F505" s="186"/>
      <c r="G505" s="192"/>
      <c r="H505" s="9"/>
      <c r="I505" s="179" t="str">
        <f t="array" ref="I505">IF($F505&lt;&gt;"",XLOOKUP($F505,Productos!$A:$A,Productos!B:B,"Revisar"),"")</f>
        <v/>
      </c>
      <c r="J505" s="179" t="str">
        <f t="array" ref="J505">IF($F505&lt;&gt;"", XLOOKUP($F505,Productos!$A$2:$A1001,Productos!C$2:C1001,"")*$G505,"")</f>
        <v/>
      </c>
      <c r="K505" s="179" t="str">
        <f t="array" ref="K505">IF($F505&lt;&gt;"",XLOOKUP($F505,Productos!$A:$A,Productos!D:D,"Revisar"),"")</f>
        <v/>
      </c>
      <c r="L505" s="179" t="str">
        <f t="array" ref="L505">IF($F505&lt;&gt;"", XLOOKUP($F505,Productos!$A$2:$A1001,Productos!E$2:E1001,"")*$G505,"")</f>
        <v/>
      </c>
      <c r="M505" s="179" t="str">
        <f t="array" ref="M505">IF($F505&lt;&gt;"",XLOOKUP($F505,Productos!$A:$A,Productos!F:F,"Revisar"),"")</f>
        <v/>
      </c>
      <c r="N505" s="179" t="str">
        <f t="array" ref="N505">IF($F505&lt;&gt;"", XLOOKUP($F505,Productos!$A$2:$A1001,Productos!G$2:G1001,"")*$G505,"")</f>
        <v/>
      </c>
      <c r="O505" s="179" t="str">
        <f t="array" ref="O505">IF($F505&lt;&gt;"",XLOOKUP($F505,Productos!$A:$A,Productos!H:H,"Revisar"),"")</f>
        <v/>
      </c>
      <c r="P505" s="179" t="str">
        <f t="array" ref="P505">IF($F505&lt;&gt;"", XLOOKUP($F505,Productos!$A$2:$A1001,Productos!I$2:I1001,"")*$G505,"")</f>
        <v/>
      </c>
      <c r="Q505" s="179" t="str">
        <f t="array" ref="Q505">IF($F505&lt;&gt;"",XLOOKUP($F505,Productos!$A:$A,Productos!J:J,"Revisar"),"")</f>
        <v/>
      </c>
      <c r="R505" s="179" t="str">
        <f t="array" ref="R505">IF($F505&lt;&gt;"", XLOOKUP($F505,Productos!$A$2:$A1001,Productos!K$2:K1001,"")*$G505,"")</f>
        <v/>
      </c>
      <c r="S505" s="179" t="str">
        <f t="array" ref="S505">IF($F505&lt;&gt;"",XLOOKUP($F505,Productos!$A:$A,Productos!L:L,"Revisar"),"")</f>
        <v/>
      </c>
      <c r="T505" s="179" t="str">
        <f t="array" ref="T505">IF($F505&lt;&gt;"", XLOOKUP($F505,Productos!$A$2:$A1001,Productos!M$2:M1001,"")*$G505,"")</f>
        <v/>
      </c>
      <c r="U505" s="179" t="str">
        <f t="array" ref="U505">IF($F505&lt;&gt;"",XLOOKUP($F505,Productos!$A:$A,Productos!N:N,"Revisar"),"")</f>
        <v/>
      </c>
      <c r="V505" s="179" t="str">
        <f t="array" ref="V505">IF($F505&lt;&gt;"", XLOOKUP($F505,Productos!$A$2:$A1001,Productos!O$2:O1001,"")*$G505,"")</f>
        <v/>
      </c>
      <c r="W505" s="179" t="str">
        <f t="array" ref="W505">IF($F505&lt;&gt;"",XLOOKUP($F505,Productos!$A:$A,Productos!P:P,"Revisar"),"")</f>
        <v/>
      </c>
      <c r="X505" s="179" t="str">
        <f t="array" ref="X505">IF($F505&lt;&gt;"", XLOOKUP($F505,Productos!$A$2:$A1001,Productos!Q$2:Q1001,"")*$G505,"")</f>
        <v/>
      </c>
      <c r="Y505" s="179" t="str">
        <f t="array" ref="Y505">IF($F505&lt;&gt;"",XLOOKUP($F505,Productos!$A:$A,Productos!R:R,"Revisar"),"")</f>
        <v/>
      </c>
      <c r="Z505" s="179" t="str">
        <f t="array" ref="Z505">IF($F505&lt;&gt;"", XLOOKUP($F505,Productos!$A$2:$A1001,Productos!S$2:S1001,"")*$G505,"")</f>
        <v/>
      </c>
      <c r="AA505" s="179" t="str">
        <f t="array" ref="AA505">IF($F505&lt;&gt;"",XLOOKUP($F505,Productos!$A:$A,Productos!T:T,"Revisar"),"")</f>
        <v/>
      </c>
      <c r="AB505" s="179" t="str">
        <f t="array" ref="AB505">IF($F505&lt;&gt;"", XLOOKUP($F505,Productos!$A$2:$A1001,Productos!U$2:U1001,"")*$G505,"")</f>
        <v/>
      </c>
      <c r="AC505" s="179" t="str">
        <f t="array" ref="AC505">IF($F505&lt;&gt;"",XLOOKUP($F505,Productos!$A:$A,Productos!V:V,"Revisar"),"")</f>
        <v/>
      </c>
      <c r="AD505" s="179" t="str">
        <f t="array" ref="AD505">IF($F505&lt;&gt;"", XLOOKUP($F505,Productos!$A$2:$A1001,Productos!W$2:W1001,"")*$G505,"")</f>
        <v/>
      </c>
      <c r="AE505" s="179" t="str">
        <f t="array" ref="AE505">IF($F505&lt;&gt;"",XLOOKUP($F505,Productos!$A:$A,Productos!X:X,"Revisar"),"")</f>
        <v/>
      </c>
      <c r="AF505" s="179" t="str">
        <f t="array" ref="AF505">IF($F505&lt;&gt;"", XLOOKUP($F505,Productos!$A$2:$A1001,Productos!Y$2:Y1001,"")*$G505,"")</f>
        <v/>
      </c>
      <c r="AG505" s="179" t="str">
        <f t="array" ref="AG505">IF($F505&lt;&gt;"",XLOOKUP($F505,Productos!$A:$A,Productos!Z:Z,"Revisar"),"")</f>
        <v/>
      </c>
      <c r="AH505" s="179" t="str">
        <f t="array" ref="AH505">IF($F505&lt;&gt;"", XLOOKUP($F505,Productos!$A$2:$A1001,Productos!AA$2:AA1001,"")*$G505,"")</f>
        <v/>
      </c>
      <c r="AI505" s="179" t="str">
        <f t="array" ref="AI505">IF($F505&lt;&gt;"",XLOOKUP($F505,Productos!$A:$A,Productos!AB:AB,"Revisar"),"")</f>
        <v/>
      </c>
      <c r="AJ505" s="179" t="str">
        <f t="array" ref="AJ505">IF($F505&lt;&gt;"", XLOOKUP($F505,Productos!$A$2:$A1001,Productos!AC$2:AC1001,"")*$G505,"")</f>
        <v/>
      </c>
      <c r="AK505" s="179" t="str">
        <f t="array" ref="AK505">IF($F505&lt;&gt;"",XLOOKUP($F505,Productos!$A:$A,Productos!AD:AD,"Revisar"),"")</f>
        <v/>
      </c>
      <c r="AL505" s="179" t="str">
        <f t="array" ref="AL505">IF($F505&lt;&gt;"", XLOOKUP($F505,Productos!$A$2:$A1001,Productos!AE$2:AE1001,"")*$G505,"")</f>
        <v/>
      </c>
      <c r="AM505" s="179" t="str">
        <f t="array" ref="AM505">IF($F505&lt;&gt;"",XLOOKUP($F505,Productos!$A:$A,Productos!AF:AF,"Revisar"),"")</f>
        <v/>
      </c>
      <c r="AN505" s="179" t="str">
        <f t="array" ref="AN505">IF($F505&lt;&gt;"", XLOOKUP($F505,Productos!$A$2:$A1001,Productos!AG$2:AG1001,"")*$G505,"")</f>
        <v/>
      </c>
      <c r="AO505" s="179" t="str">
        <f t="array" ref="AO505">IF($F505&lt;&gt;"",XLOOKUP($F505,Productos!$A:$A,Productos!AH:AH,"Revisar"),"")</f>
        <v/>
      </c>
      <c r="AP505" s="179" t="str">
        <f t="array" ref="AP505">IF($F505&lt;&gt;"", XLOOKUP($F505,Productos!$A$2:$A1001,Productos!AI$2:AI1001,"")*$G505,"")</f>
        <v/>
      </c>
      <c r="AQ505" s="179" t="str">
        <f t="array" ref="AQ505">IF($F505&lt;&gt;"",XLOOKUP($F505,Productos!$A:$A,Productos!AJ:AJ,"Revisar"),"")</f>
        <v/>
      </c>
      <c r="AR505" s="179" t="str">
        <f t="array" ref="AR505">IF($F505&lt;&gt;"", XLOOKUP($F505,Productos!$A$2:$A1001,Productos!AK$2:AK1001,"")*$G505,"")</f>
        <v/>
      </c>
      <c r="AS505" s="179" t="str">
        <f t="array" ref="AS505">IF($F505&lt;&gt;"",XLOOKUP($F505,Productos!$A:$A,Productos!AL:AL,"Revisar"),"")</f>
        <v/>
      </c>
      <c r="AT505" s="179" t="str">
        <f t="array" ref="AT505">IF($F505&lt;&gt;"", XLOOKUP($F505,Productos!$A$2:$A1001,Productos!AM$2:AM1001,"")*$G505,"")</f>
        <v/>
      </c>
      <c r="AU505" s="179" t="str">
        <f t="array" ref="AU505">IF($F505&lt;&gt;"",XLOOKUP($F505,Productos!$A:$A,Productos!AN:AN,"Revisar"),"")</f>
        <v/>
      </c>
      <c r="AV505" s="179" t="str">
        <f t="array" ref="AV505">IF($F505&lt;&gt;"", XLOOKUP($F505,Productos!$A$2:$A1001,Productos!AO$2:AO1001,"")*$G505,"")</f>
        <v/>
      </c>
      <c r="AW505" s="179" t="str">
        <f t="array" ref="AW505">IF($F505&lt;&gt;"",XLOOKUP($F505,Productos!$A:$A,Productos!AP:AP,"Revisar"),"")</f>
        <v/>
      </c>
      <c r="AX505" s="179" t="str">
        <f t="array" ref="AX505">IF($F505&lt;&gt;"", XLOOKUP($F505,Productos!$A$2:$A1001,Productos!AQ$2:AQ1001,"")*$G505,"")</f>
        <v/>
      </c>
      <c r="AY505" s="179" t="str">
        <f t="array" ref="AY505">IF($F505&lt;&gt;"",XLOOKUP($F505,Productos!$A:$A,Productos!AR:AR,"Revisar"),"")</f>
        <v/>
      </c>
      <c r="AZ505" s="179" t="str">
        <f t="array" ref="AZ505">IF($F505&lt;&gt;"", XLOOKUP($F505,Productos!$A$2:$A1001,Productos!AS$2:AS1001,"")*$G505,"")</f>
        <v/>
      </c>
      <c r="BA505" s="179" t="str">
        <f t="array" ref="BA505">IF($F505&lt;&gt;"",XLOOKUP($F505,Productos!$A:$A,Productos!AT:AT,"Revisar"),"")</f>
        <v/>
      </c>
      <c r="BB505" s="179" t="str">
        <f t="array" ref="BB505">IF($F505&lt;&gt;"", XLOOKUP($F505,Productos!$A$2:$A1001,Productos!AU$2:AU1001,"")*$G505,"")</f>
        <v/>
      </c>
      <c r="BC505" s="179" t="str">
        <f t="array" ref="BC505">IF($F505&lt;&gt;"",XLOOKUP($F505,Productos!$A:$A,Productos!AV:AV,"Revisar"),"")</f>
        <v/>
      </c>
      <c r="BD505" s="179" t="str">
        <f t="array" ref="BD505">IF($F505&lt;&gt;"", XLOOKUP($F505,Productos!$A$2:$A1001,Productos!AW$2:AW1001,"")*$G505,"")</f>
        <v/>
      </c>
      <c r="BE505" s="179" t="str">
        <f t="array" ref="BE505">IF($F505&lt;&gt;"",XLOOKUP($F505,Productos!$A:$A,Productos!AX:AX,"Revisar"),"")</f>
        <v/>
      </c>
      <c r="BF505" s="179" t="str">
        <f t="array" ref="BF505">IF($F505&lt;&gt;"", XLOOKUP($F505,Productos!$A$2:$A1001,Productos!AY$2:AY1001,"")*$G505,"")</f>
        <v/>
      </c>
      <c r="BG505" s="179" t="str">
        <f t="array" ref="BG505">IF($F505&lt;&gt;"",XLOOKUP($F505,Productos!$A:$A,Productos!AZ:AZ,"Revisar"),"")</f>
        <v/>
      </c>
      <c r="BH505" s="179" t="str">
        <f t="array" ref="BH505">IF($F505&lt;&gt;"", XLOOKUP($F505,Productos!$A$2:$A1001,Productos!BA$2:BA1001,"")*$G505,"")</f>
        <v/>
      </c>
      <c r="BI505" s="179" t="str">
        <f t="array" ref="BI505">IF($F505&lt;&gt;"",XLOOKUP($F505,Productos!$A:$A,Productos!BB:BB,"Revisar"),"")</f>
        <v/>
      </c>
      <c r="BJ505" s="179" t="str">
        <f t="array" ref="BJ505">IF($F505&lt;&gt;"", XLOOKUP($F505,Productos!$A$2:$A1001,Productos!BC$2:BC1001,"")*$G505,"")</f>
        <v/>
      </c>
      <c r="BK505" s="179" t="str">
        <f t="array" ref="BK505">IF($F505&lt;&gt;"",XLOOKUP($F505,Productos!$A:$A,Productos!BD:BD,"Revisar"),"")</f>
        <v/>
      </c>
      <c r="BL505" s="179" t="str">
        <f t="array" ref="BL505">IF($F505&lt;&gt;"", XLOOKUP($F505,Productos!$A$2:$A1001,Productos!BE$2:BE1001,"")*$G505,"")</f>
        <v/>
      </c>
      <c r="BM505" s="179" t="str">
        <f t="array" ref="BM505">IF($F505&lt;&gt;"",XLOOKUP($F505,Productos!$A:$A,Productos!BF:BF,"Revisar"),"")</f>
        <v/>
      </c>
      <c r="BN505" s="179" t="str">
        <f t="array" ref="BN505">IF($F505&lt;&gt;"", XLOOKUP($F505,Productos!$A$2:$A1001,Productos!BG$2:BG1001,"")*$G505,"")</f>
        <v/>
      </c>
      <c r="BO505" s="179" t="str">
        <f t="array" ref="BO505">IF($F505&lt;&gt;"",XLOOKUP($F505,Productos!$A:$A,Productos!BH:BH,"Revisar"),"")</f>
        <v/>
      </c>
      <c r="BP505" s="179" t="str">
        <f t="array" ref="BP505">IF($F505&lt;&gt;"", XLOOKUP($F505,Productos!$A$2:$A1001,Productos!BI$2:BI1001,"")*$G505,"")</f>
        <v/>
      </c>
      <c r="BQ505" s="179" t="str">
        <f t="array" ref="BQ505">IF($F505&lt;&gt;"",XLOOKUP($F505,Productos!$A:$A,Productos!BJ:BJ,"Revisar"),"")</f>
        <v/>
      </c>
      <c r="BR505" s="179" t="str">
        <f t="array" ref="BR505">IF($F505&lt;&gt;"", XLOOKUP($F505,Productos!$A$2:$A1001,Productos!BK$2:BK1001,"")*$G505,"")</f>
        <v/>
      </c>
      <c r="BS505" s="179" t="str">
        <f t="array" ref="BS505">IF($F505&lt;&gt;"",XLOOKUP($F505,Productos!$A:$A,Productos!BL:BL,"Revisar"),"")</f>
        <v/>
      </c>
      <c r="BT505" s="179" t="str">
        <f t="array" ref="BT505">IF($F505&lt;&gt;"", XLOOKUP($F505,Productos!$A$2:$A1001,Productos!BM$2:BM1001,"")*$G505,"")</f>
        <v/>
      </c>
      <c r="BU505" s="179" t="str">
        <f t="array" ref="BU505">IF($F505&lt;&gt;"",XLOOKUP($F505,Productos!$A:$A,Productos!BN:BN,"Revisar"),"")</f>
        <v/>
      </c>
      <c r="BV505" s="179" t="str">
        <f t="array" ref="BV505">IF($F505&lt;&gt;"", XLOOKUP($F505,Productos!$A$2:$A1001,Productos!BO$2:BO1001,"")*$G505,"")</f>
        <v/>
      </c>
      <c r="BW505" s="179" t="str">
        <f t="array" ref="BW505">IF($F505&lt;&gt;"",XLOOKUP($F505,Productos!$A:$A,Productos!BP:BP,"Revisar"),"")</f>
        <v/>
      </c>
      <c r="BX505" s="179" t="str">
        <f t="array" ref="BX505">IF($F505&lt;&gt;"", XLOOKUP($F505,Productos!$A$2:$A1001,Productos!BQ$2:BQ1001,"")*$G505,"")</f>
        <v/>
      </c>
      <c r="BY505" s="179" t="str">
        <f t="array" ref="BY505">IF($F505&lt;&gt;"",XLOOKUP($F505,Productos!$A:$A,Productos!BR:BR,"Revisar"),"")</f>
        <v/>
      </c>
      <c r="BZ505" s="179" t="str">
        <f t="array" ref="BZ505">IF($F505&lt;&gt;"", XLOOKUP($F505,Productos!$A$2:$A1001,Productos!BS$2:BS1001,"")*$G505,"")</f>
        <v/>
      </c>
    </row>
    <row r="506">
      <c r="A506" s="188"/>
      <c r="B506" s="189"/>
      <c r="C506" s="190"/>
      <c r="D506" s="190"/>
      <c r="E506" s="191"/>
      <c r="F506" s="186"/>
      <c r="G506" s="192"/>
      <c r="H506" s="9"/>
      <c r="I506" s="179" t="str">
        <f t="array" ref="I506">IF($F506&lt;&gt;"",XLOOKUP($F506,Productos!$A:$A,Productos!B:B,"Revisar"),"")</f>
        <v/>
      </c>
      <c r="J506" s="179" t="str">
        <f t="array" ref="J506">IF($F506&lt;&gt;"", XLOOKUP($F506,Productos!$A$2:$A1001,Productos!C$2:C1001,"")*$G506,"")</f>
        <v/>
      </c>
      <c r="K506" s="179" t="str">
        <f t="array" ref="K506">IF($F506&lt;&gt;"",XLOOKUP($F506,Productos!$A:$A,Productos!D:D,"Revisar"),"")</f>
        <v/>
      </c>
      <c r="L506" s="179" t="str">
        <f t="array" ref="L506">IF($F506&lt;&gt;"", XLOOKUP($F506,Productos!$A$2:$A1001,Productos!E$2:E1001,"")*$G506,"")</f>
        <v/>
      </c>
      <c r="M506" s="179" t="str">
        <f t="array" ref="M506">IF($F506&lt;&gt;"",XLOOKUP($F506,Productos!$A:$A,Productos!F:F,"Revisar"),"")</f>
        <v/>
      </c>
      <c r="N506" s="179" t="str">
        <f t="array" ref="N506">IF($F506&lt;&gt;"", XLOOKUP($F506,Productos!$A$2:$A1001,Productos!G$2:G1001,"")*$G506,"")</f>
        <v/>
      </c>
      <c r="O506" s="179" t="str">
        <f t="array" ref="O506">IF($F506&lt;&gt;"",XLOOKUP($F506,Productos!$A:$A,Productos!H:H,"Revisar"),"")</f>
        <v/>
      </c>
      <c r="P506" s="179" t="str">
        <f t="array" ref="P506">IF($F506&lt;&gt;"", XLOOKUP($F506,Productos!$A$2:$A1001,Productos!I$2:I1001,"")*$G506,"")</f>
        <v/>
      </c>
      <c r="Q506" s="179" t="str">
        <f t="array" ref="Q506">IF($F506&lt;&gt;"",XLOOKUP($F506,Productos!$A:$A,Productos!J:J,"Revisar"),"")</f>
        <v/>
      </c>
      <c r="R506" s="179" t="str">
        <f t="array" ref="R506">IF($F506&lt;&gt;"", XLOOKUP($F506,Productos!$A$2:$A1001,Productos!K$2:K1001,"")*$G506,"")</f>
        <v/>
      </c>
      <c r="S506" s="179" t="str">
        <f t="array" ref="S506">IF($F506&lt;&gt;"",XLOOKUP($F506,Productos!$A:$A,Productos!L:L,"Revisar"),"")</f>
        <v/>
      </c>
      <c r="T506" s="179" t="str">
        <f t="array" ref="T506">IF($F506&lt;&gt;"", XLOOKUP($F506,Productos!$A$2:$A1001,Productos!M$2:M1001,"")*$G506,"")</f>
        <v/>
      </c>
      <c r="U506" s="179" t="str">
        <f t="array" ref="U506">IF($F506&lt;&gt;"",XLOOKUP($F506,Productos!$A:$A,Productos!N:N,"Revisar"),"")</f>
        <v/>
      </c>
      <c r="V506" s="179" t="str">
        <f t="array" ref="V506">IF($F506&lt;&gt;"", XLOOKUP($F506,Productos!$A$2:$A1001,Productos!O$2:O1001,"")*$G506,"")</f>
        <v/>
      </c>
      <c r="W506" s="179" t="str">
        <f t="array" ref="W506">IF($F506&lt;&gt;"",XLOOKUP($F506,Productos!$A:$A,Productos!P:P,"Revisar"),"")</f>
        <v/>
      </c>
      <c r="X506" s="179" t="str">
        <f t="array" ref="X506">IF($F506&lt;&gt;"", XLOOKUP($F506,Productos!$A$2:$A1001,Productos!Q$2:Q1001,"")*$G506,"")</f>
        <v/>
      </c>
      <c r="Y506" s="179" t="str">
        <f t="array" ref="Y506">IF($F506&lt;&gt;"",XLOOKUP($F506,Productos!$A:$A,Productos!R:R,"Revisar"),"")</f>
        <v/>
      </c>
      <c r="Z506" s="179" t="str">
        <f t="array" ref="Z506">IF($F506&lt;&gt;"", XLOOKUP($F506,Productos!$A$2:$A1001,Productos!S$2:S1001,"")*$G506,"")</f>
        <v/>
      </c>
      <c r="AA506" s="179" t="str">
        <f t="array" ref="AA506">IF($F506&lt;&gt;"",XLOOKUP($F506,Productos!$A:$A,Productos!T:T,"Revisar"),"")</f>
        <v/>
      </c>
      <c r="AB506" s="179" t="str">
        <f t="array" ref="AB506">IF($F506&lt;&gt;"", XLOOKUP($F506,Productos!$A$2:$A1001,Productos!U$2:U1001,"")*$G506,"")</f>
        <v/>
      </c>
      <c r="AC506" s="179" t="str">
        <f t="array" ref="AC506">IF($F506&lt;&gt;"",XLOOKUP($F506,Productos!$A:$A,Productos!V:V,"Revisar"),"")</f>
        <v/>
      </c>
      <c r="AD506" s="179" t="str">
        <f t="array" ref="AD506">IF($F506&lt;&gt;"", XLOOKUP($F506,Productos!$A$2:$A1001,Productos!W$2:W1001,"")*$G506,"")</f>
        <v/>
      </c>
      <c r="AE506" s="179" t="str">
        <f t="array" ref="AE506">IF($F506&lt;&gt;"",XLOOKUP($F506,Productos!$A:$A,Productos!X:X,"Revisar"),"")</f>
        <v/>
      </c>
      <c r="AF506" s="179" t="str">
        <f t="array" ref="AF506">IF($F506&lt;&gt;"", XLOOKUP($F506,Productos!$A$2:$A1001,Productos!Y$2:Y1001,"")*$G506,"")</f>
        <v/>
      </c>
      <c r="AG506" s="179" t="str">
        <f t="array" ref="AG506">IF($F506&lt;&gt;"",XLOOKUP($F506,Productos!$A:$A,Productos!Z:Z,"Revisar"),"")</f>
        <v/>
      </c>
      <c r="AH506" s="179" t="str">
        <f t="array" ref="AH506">IF($F506&lt;&gt;"", XLOOKUP($F506,Productos!$A$2:$A1001,Productos!AA$2:AA1001,"")*$G506,"")</f>
        <v/>
      </c>
      <c r="AI506" s="179" t="str">
        <f t="array" ref="AI506">IF($F506&lt;&gt;"",XLOOKUP($F506,Productos!$A:$A,Productos!AB:AB,"Revisar"),"")</f>
        <v/>
      </c>
      <c r="AJ506" s="179" t="str">
        <f t="array" ref="AJ506">IF($F506&lt;&gt;"", XLOOKUP($F506,Productos!$A$2:$A1001,Productos!AC$2:AC1001,"")*$G506,"")</f>
        <v/>
      </c>
      <c r="AK506" s="179" t="str">
        <f t="array" ref="AK506">IF($F506&lt;&gt;"",XLOOKUP($F506,Productos!$A:$A,Productos!AD:AD,"Revisar"),"")</f>
        <v/>
      </c>
      <c r="AL506" s="179" t="str">
        <f t="array" ref="AL506">IF($F506&lt;&gt;"", XLOOKUP($F506,Productos!$A$2:$A1001,Productos!AE$2:AE1001,"")*$G506,"")</f>
        <v/>
      </c>
      <c r="AM506" s="179" t="str">
        <f t="array" ref="AM506">IF($F506&lt;&gt;"",XLOOKUP($F506,Productos!$A:$A,Productos!AF:AF,"Revisar"),"")</f>
        <v/>
      </c>
      <c r="AN506" s="179" t="str">
        <f t="array" ref="AN506">IF($F506&lt;&gt;"", XLOOKUP($F506,Productos!$A$2:$A1001,Productos!AG$2:AG1001,"")*$G506,"")</f>
        <v/>
      </c>
      <c r="AO506" s="179" t="str">
        <f t="array" ref="AO506">IF($F506&lt;&gt;"",XLOOKUP($F506,Productos!$A:$A,Productos!AH:AH,"Revisar"),"")</f>
        <v/>
      </c>
      <c r="AP506" s="179" t="str">
        <f t="array" ref="AP506">IF($F506&lt;&gt;"", XLOOKUP($F506,Productos!$A$2:$A1001,Productos!AI$2:AI1001,"")*$G506,"")</f>
        <v/>
      </c>
      <c r="AQ506" s="179" t="str">
        <f t="array" ref="AQ506">IF($F506&lt;&gt;"",XLOOKUP($F506,Productos!$A:$A,Productos!AJ:AJ,"Revisar"),"")</f>
        <v/>
      </c>
      <c r="AR506" s="179" t="str">
        <f t="array" ref="AR506">IF($F506&lt;&gt;"", XLOOKUP($F506,Productos!$A$2:$A1001,Productos!AK$2:AK1001,"")*$G506,"")</f>
        <v/>
      </c>
      <c r="AS506" s="179" t="str">
        <f t="array" ref="AS506">IF($F506&lt;&gt;"",XLOOKUP($F506,Productos!$A:$A,Productos!AL:AL,"Revisar"),"")</f>
        <v/>
      </c>
      <c r="AT506" s="179" t="str">
        <f t="array" ref="AT506">IF($F506&lt;&gt;"", XLOOKUP($F506,Productos!$A$2:$A1001,Productos!AM$2:AM1001,"")*$G506,"")</f>
        <v/>
      </c>
      <c r="AU506" s="179" t="str">
        <f t="array" ref="AU506">IF($F506&lt;&gt;"",XLOOKUP($F506,Productos!$A:$A,Productos!AN:AN,"Revisar"),"")</f>
        <v/>
      </c>
      <c r="AV506" s="179" t="str">
        <f t="array" ref="AV506">IF($F506&lt;&gt;"", XLOOKUP($F506,Productos!$A$2:$A1001,Productos!AO$2:AO1001,"")*$G506,"")</f>
        <v/>
      </c>
      <c r="AW506" s="179" t="str">
        <f t="array" ref="AW506">IF($F506&lt;&gt;"",XLOOKUP($F506,Productos!$A:$A,Productos!AP:AP,"Revisar"),"")</f>
        <v/>
      </c>
      <c r="AX506" s="179" t="str">
        <f t="array" ref="AX506">IF($F506&lt;&gt;"", XLOOKUP($F506,Productos!$A$2:$A1001,Productos!AQ$2:AQ1001,"")*$G506,"")</f>
        <v/>
      </c>
      <c r="AY506" s="179" t="str">
        <f t="array" ref="AY506">IF($F506&lt;&gt;"",XLOOKUP($F506,Productos!$A:$A,Productos!AR:AR,"Revisar"),"")</f>
        <v/>
      </c>
      <c r="AZ506" s="179" t="str">
        <f t="array" ref="AZ506">IF($F506&lt;&gt;"", XLOOKUP($F506,Productos!$A$2:$A1001,Productos!AS$2:AS1001,"")*$G506,"")</f>
        <v/>
      </c>
      <c r="BA506" s="179" t="str">
        <f t="array" ref="BA506">IF($F506&lt;&gt;"",XLOOKUP($F506,Productos!$A:$A,Productos!AT:AT,"Revisar"),"")</f>
        <v/>
      </c>
      <c r="BB506" s="179" t="str">
        <f t="array" ref="BB506">IF($F506&lt;&gt;"", XLOOKUP($F506,Productos!$A$2:$A1001,Productos!AU$2:AU1001,"")*$G506,"")</f>
        <v/>
      </c>
      <c r="BC506" s="179" t="str">
        <f t="array" ref="BC506">IF($F506&lt;&gt;"",XLOOKUP($F506,Productos!$A:$A,Productos!AV:AV,"Revisar"),"")</f>
        <v/>
      </c>
      <c r="BD506" s="179" t="str">
        <f t="array" ref="BD506">IF($F506&lt;&gt;"", XLOOKUP($F506,Productos!$A$2:$A1001,Productos!AW$2:AW1001,"")*$G506,"")</f>
        <v/>
      </c>
      <c r="BE506" s="179" t="str">
        <f t="array" ref="BE506">IF($F506&lt;&gt;"",XLOOKUP($F506,Productos!$A:$A,Productos!AX:AX,"Revisar"),"")</f>
        <v/>
      </c>
      <c r="BF506" s="179" t="str">
        <f t="array" ref="BF506">IF($F506&lt;&gt;"", XLOOKUP($F506,Productos!$A$2:$A1001,Productos!AY$2:AY1001,"")*$G506,"")</f>
        <v/>
      </c>
      <c r="BG506" s="179" t="str">
        <f t="array" ref="BG506">IF($F506&lt;&gt;"",XLOOKUP($F506,Productos!$A:$A,Productos!AZ:AZ,"Revisar"),"")</f>
        <v/>
      </c>
      <c r="BH506" s="179" t="str">
        <f t="array" ref="BH506">IF($F506&lt;&gt;"", XLOOKUP($F506,Productos!$A$2:$A1001,Productos!BA$2:BA1001,"")*$G506,"")</f>
        <v/>
      </c>
      <c r="BI506" s="179" t="str">
        <f t="array" ref="BI506">IF($F506&lt;&gt;"",XLOOKUP($F506,Productos!$A:$A,Productos!BB:BB,"Revisar"),"")</f>
        <v/>
      </c>
      <c r="BJ506" s="179" t="str">
        <f t="array" ref="BJ506">IF($F506&lt;&gt;"", XLOOKUP($F506,Productos!$A$2:$A1001,Productos!BC$2:BC1001,"")*$G506,"")</f>
        <v/>
      </c>
      <c r="BK506" s="179" t="str">
        <f t="array" ref="BK506">IF($F506&lt;&gt;"",XLOOKUP($F506,Productos!$A:$A,Productos!BD:BD,"Revisar"),"")</f>
        <v/>
      </c>
      <c r="BL506" s="179" t="str">
        <f t="array" ref="BL506">IF($F506&lt;&gt;"", XLOOKUP($F506,Productos!$A$2:$A1001,Productos!BE$2:BE1001,"")*$G506,"")</f>
        <v/>
      </c>
      <c r="BM506" s="179" t="str">
        <f t="array" ref="BM506">IF($F506&lt;&gt;"",XLOOKUP($F506,Productos!$A:$A,Productos!BF:BF,"Revisar"),"")</f>
        <v/>
      </c>
      <c r="BN506" s="179" t="str">
        <f t="array" ref="BN506">IF($F506&lt;&gt;"", XLOOKUP($F506,Productos!$A$2:$A1001,Productos!BG$2:BG1001,"")*$G506,"")</f>
        <v/>
      </c>
      <c r="BO506" s="179" t="str">
        <f t="array" ref="BO506">IF($F506&lt;&gt;"",XLOOKUP($F506,Productos!$A:$A,Productos!BH:BH,"Revisar"),"")</f>
        <v/>
      </c>
      <c r="BP506" s="179" t="str">
        <f t="array" ref="BP506">IF($F506&lt;&gt;"", XLOOKUP($F506,Productos!$A$2:$A1001,Productos!BI$2:BI1001,"")*$G506,"")</f>
        <v/>
      </c>
      <c r="BQ506" s="179" t="str">
        <f t="array" ref="BQ506">IF($F506&lt;&gt;"",XLOOKUP($F506,Productos!$A:$A,Productos!BJ:BJ,"Revisar"),"")</f>
        <v/>
      </c>
      <c r="BR506" s="179" t="str">
        <f t="array" ref="BR506">IF($F506&lt;&gt;"", XLOOKUP($F506,Productos!$A$2:$A1001,Productos!BK$2:BK1001,"")*$G506,"")</f>
        <v/>
      </c>
      <c r="BS506" s="179" t="str">
        <f t="array" ref="BS506">IF($F506&lt;&gt;"",XLOOKUP($F506,Productos!$A:$A,Productos!BL:BL,"Revisar"),"")</f>
        <v/>
      </c>
      <c r="BT506" s="179" t="str">
        <f t="array" ref="BT506">IF($F506&lt;&gt;"", XLOOKUP($F506,Productos!$A$2:$A1001,Productos!BM$2:BM1001,"")*$G506,"")</f>
        <v/>
      </c>
      <c r="BU506" s="179" t="str">
        <f t="array" ref="BU506">IF($F506&lt;&gt;"",XLOOKUP($F506,Productos!$A:$A,Productos!BN:BN,"Revisar"),"")</f>
        <v/>
      </c>
      <c r="BV506" s="179" t="str">
        <f t="array" ref="BV506">IF($F506&lt;&gt;"", XLOOKUP($F506,Productos!$A$2:$A1001,Productos!BO$2:BO1001,"")*$G506,"")</f>
        <v/>
      </c>
      <c r="BW506" s="179" t="str">
        <f t="array" ref="BW506">IF($F506&lt;&gt;"",XLOOKUP($F506,Productos!$A:$A,Productos!BP:BP,"Revisar"),"")</f>
        <v/>
      </c>
      <c r="BX506" s="179" t="str">
        <f t="array" ref="BX506">IF($F506&lt;&gt;"", XLOOKUP($F506,Productos!$A$2:$A1001,Productos!BQ$2:BQ1001,"")*$G506,"")</f>
        <v/>
      </c>
      <c r="BY506" s="179" t="str">
        <f t="array" ref="BY506">IF($F506&lt;&gt;"",XLOOKUP($F506,Productos!$A:$A,Productos!BR:BR,"Revisar"),"")</f>
        <v/>
      </c>
      <c r="BZ506" s="179" t="str">
        <f t="array" ref="BZ506">IF($F506&lt;&gt;"", XLOOKUP($F506,Productos!$A$2:$A1001,Productos!BS$2:BS1001,"")*$G506,"")</f>
        <v/>
      </c>
    </row>
    <row r="507">
      <c r="A507" s="188"/>
      <c r="B507" s="189"/>
      <c r="C507" s="190"/>
      <c r="D507" s="190"/>
      <c r="E507" s="191"/>
      <c r="F507" s="186"/>
      <c r="G507" s="192"/>
      <c r="H507" s="9"/>
      <c r="I507" s="179" t="str">
        <f t="array" ref="I507">IF($F507&lt;&gt;"",XLOOKUP($F507,Productos!$A:$A,Productos!B:B,"Revisar"),"")</f>
        <v/>
      </c>
      <c r="J507" s="179" t="str">
        <f t="array" ref="J507">IF($F507&lt;&gt;"", XLOOKUP($F507,Productos!$A$2:$A1001,Productos!C$2:C1001,"")*$G507,"")</f>
        <v/>
      </c>
      <c r="K507" s="179" t="str">
        <f t="array" ref="K507">IF($F507&lt;&gt;"",XLOOKUP($F507,Productos!$A:$A,Productos!D:D,"Revisar"),"")</f>
        <v/>
      </c>
      <c r="L507" s="179" t="str">
        <f t="array" ref="L507">IF($F507&lt;&gt;"", XLOOKUP($F507,Productos!$A$2:$A1001,Productos!E$2:E1001,"")*$G507,"")</f>
        <v/>
      </c>
      <c r="M507" s="179" t="str">
        <f t="array" ref="M507">IF($F507&lt;&gt;"",XLOOKUP($F507,Productos!$A:$A,Productos!F:F,"Revisar"),"")</f>
        <v/>
      </c>
      <c r="N507" s="179" t="str">
        <f t="array" ref="N507">IF($F507&lt;&gt;"", XLOOKUP($F507,Productos!$A$2:$A1001,Productos!G$2:G1001,"")*$G507,"")</f>
        <v/>
      </c>
      <c r="O507" s="179" t="str">
        <f t="array" ref="O507">IF($F507&lt;&gt;"",XLOOKUP($F507,Productos!$A:$A,Productos!H:H,"Revisar"),"")</f>
        <v/>
      </c>
      <c r="P507" s="179" t="str">
        <f t="array" ref="P507">IF($F507&lt;&gt;"", XLOOKUP($F507,Productos!$A$2:$A1001,Productos!I$2:I1001,"")*$G507,"")</f>
        <v/>
      </c>
      <c r="Q507" s="179" t="str">
        <f t="array" ref="Q507">IF($F507&lt;&gt;"",XLOOKUP($F507,Productos!$A:$A,Productos!J:J,"Revisar"),"")</f>
        <v/>
      </c>
      <c r="R507" s="179" t="str">
        <f t="array" ref="R507">IF($F507&lt;&gt;"", XLOOKUP($F507,Productos!$A$2:$A1001,Productos!K$2:K1001,"")*$G507,"")</f>
        <v/>
      </c>
      <c r="S507" s="179" t="str">
        <f t="array" ref="S507">IF($F507&lt;&gt;"",XLOOKUP($F507,Productos!$A:$A,Productos!L:L,"Revisar"),"")</f>
        <v/>
      </c>
      <c r="T507" s="179" t="str">
        <f t="array" ref="T507">IF($F507&lt;&gt;"", XLOOKUP($F507,Productos!$A$2:$A1001,Productos!M$2:M1001,"")*$G507,"")</f>
        <v/>
      </c>
      <c r="U507" s="179" t="str">
        <f t="array" ref="U507">IF($F507&lt;&gt;"",XLOOKUP($F507,Productos!$A:$A,Productos!N:N,"Revisar"),"")</f>
        <v/>
      </c>
      <c r="V507" s="179" t="str">
        <f t="array" ref="V507">IF($F507&lt;&gt;"", XLOOKUP($F507,Productos!$A$2:$A1001,Productos!O$2:O1001,"")*$G507,"")</f>
        <v/>
      </c>
      <c r="W507" s="179" t="str">
        <f t="array" ref="W507">IF($F507&lt;&gt;"",XLOOKUP($F507,Productos!$A:$A,Productos!P:P,"Revisar"),"")</f>
        <v/>
      </c>
      <c r="X507" s="179" t="str">
        <f t="array" ref="X507">IF($F507&lt;&gt;"", XLOOKUP($F507,Productos!$A$2:$A1001,Productos!Q$2:Q1001,"")*$G507,"")</f>
        <v/>
      </c>
      <c r="Y507" s="179" t="str">
        <f t="array" ref="Y507">IF($F507&lt;&gt;"",XLOOKUP($F507,Productos!$A:$A,Productos!R:R,"Revisar"),"")</f>
        <v/>
      </c>
      <c r="Z507" s="179" t="str">
        <f t="array" ref="Z507">IF($F507&lt;&gt;"", XLOOKUP($F507,Productos!$A$2:$A1001,Productos!S$2:S1001,"")*$G507,"")</f>
        <v/>
      </c>
      <c r="AA507" s="179" t="str">
        <f t="array" ref="AA507">IF($F507&lt;&gt;"",XLOOKUP($F507,Productos!$A:$A,Productos!T:T,"Revisar"),"")</f>
        <v/>
      </c>
      <c r="AB507" s="179" t="str">
        <f t="array" ref="AB507">IF($F507&lt;&gt;"", XLOOKUP($F507,Productos!$A$2:$A1001,Productos!U$2:U1001,"")*$G507,"")</f>
        <v/>
      </c>
      <c r="AC507" s="179" t="str">
        <f t="array" ref="AC507">IF($F507&lt;&gt;"",XLOOKUP($F507,Productos!$A:$A,Productos!V:V,"Revisar"),"")</f>
        <v/>
      </c>
      <c r="AD507" s="179" t="str">
        <f t="array" ref="AD507">IF($F507&lt;&gt;"", XLOOKUP($F507,Productos!$A$2:$A1001,Productos!W$2:W1001,"")*$G507,"")</f>
        <v/>
      </c>
      <c r="AE507" s="179" t="str">
        <f t="array" ref="AE507">IF($F507&lt;&gt;"",XLOOKUP($F507,Productos!$A:$A,Productos!X:X,"Revisar"),"")</f>
        <v/>
      </c>
      <c r="AF507" s="179" t="str">
        <f t="array" ref="AF507">IF($F507&lt;&gt;"", XLOOKUP($F507,Productos!$A$2:$A1001,Productos!Y$2:Y1001,"")*$G507,"")</f>
        <v/>
      </c>
      <c r="AG507" s="179" t="str">
        <f t="array" ref="AG507">IF($F507&lt;&gt;"",XLOOKUP($F507,Productos!$A:$A,Productos!Z:Z,"Revisar"),"")</f>
        <v/>
      </c>
      <c r="AH507" s="179" t="str">
        <f t="array" ref="AH507">IF($F507&lt;&gt;"", XLOOKUP($F507,Productos!$A$2:$A1001,Productos!AA$2:AA1001,"")*$G507,"")</f>
        <v/>
      </c>
      <c r="AI507" s="179" t="str">
        <f t="array" ref="AI507">IF($F507&lt;&gt;"",XLOOKUP($F507,Productos!$A:$A,Productos!AB:AB,"Revisar"),"")</f>
        <v/>
      </c>
      <c r="AJ507" s="179" t="str">
        <f t="array" ref="AJ507">IF($F507&lt;&gt;"", XLOOKUP($F507,Productos!$A$2:$A1001,Productos!AC$2:AC1001,"")*$G507,"")</f>
        <v/>
      </c>
      <c r="AK507" s="179" t="str">
        <f t="array" ref="AK507">IF($F507&lt;&gt;"",XLOOKUP($F507,Productos!$A:$A,Productos!AD:AD,"Revisar"),"")</f>
        <v/>
      </c>
      <c r="AL507" s="179" t="str">
        <f t="array" ref="AL507">IF($F507&lt;&gt;"", XLOOKUP($F507,Productos!$A$2:$A1001,Productos!AE$2:AE1001,"")*$G507,"")</f>
        <v/>
      </c>
      <c r="AM507" s="179" t="str">
        <f t="array" ref="AM507">IF($F507&lt;&gt;"",XLOOKUP($F507,Productos!$A:$A,Productos!AF:AF,"Revisar"),"")</f>
        <v/>
      </c>
      <c r="AN507" s="179" t="str">
        <f t="array" ref="AN507">IF($F507&lt;&gt;"", XLOOKUP($F507,Productos!$A$2:$A1001,Productos!AG$2:AG1001,"")*$G507,"")</f>
        <v/>
      </c>
      <c r="AO507" s="179" t="str">
        <f t="array" ref="AO507">IF($F507&lt;&gt;"",XLOOKUP($F507,Productos!$A:$A,Productos!AH:AH,"Revisar"),"")</f>
        <v/>
      </c>
      <c r="AP507" s="179" t="str">
        <f t="array" ref="AP507">IF($F507&lt;&gt;"", XLOOKUP($F507,Productos!$A$2:$A1001,Productos!AI$2:AI1001,"")*$G507,"")</f>
        <v/>
      </c>
      <c r="AQ507" s="179" t="str">
        <f t="array" ref="AQ507">IF($F507&lt;&gt;"",XLOOKUP($F507,Productos!$A:$A,Productos!AJ:AJ,"Revisar"),"")</f>
        <v/>
      </c>
      <c r="AR507" s="179" t="str">
        <f t="array" ref="AR507">IF($F507&lt;&gt;"", XLOOKUP($F507,Productos!$A$2:$A1001,Productos!AK$2:AK1001,"")*$G507,"")</f>
        <v/>
      </c>
      <c r="AS507" s="179" t="str">
        <f t="array" ref="AS507">IF($F507&lt;&gt;"",XLOOKUP($F507,Productos!$A:$A,Productos!AL:AL,"Revisar"),"")</f>
        <v/>
      </c>
      <c r="AT507" s="179" t="str">
        <f t="array" ref="AT507">IF($F507&lt;&gt;"", XLOOKUP($F507,Productos!$A$2:$A1001,Productos!AM$2:AM1001,"")*$G507,"")</f>
        <v/>
      </c>
      <c r="AU507" s="179" t="str">
        <f t="array" ref="AU507">IF($F507&lt;&gt;"",XLOOKUP($F507,Productos!$A:$A,Productos!AN:AN,"Revisar"),"")</f>
        <v/>
      </c>
      <c r="AV507" s="179" t="str">
        <f t="array" ref="AV507">IF($F507&lt;&gt;"", XLOOKUP($F507,Productos!$A$2:$A1001,Productos!AO$2:AO1001,"")*$G507,"")</f>
        <v/>
      </c>
      <c r="AW507" s="179" t="str">
        <f t="array" ref="AW507">IF($F507&lt;&gt;"",XLOOKUP($F507,Productos!$A:$A,Productos!AP:AP,"Revisar"),"")</f>
        <v/>
      </c>
      <c r="AX507" s="179" t="str">
        <f t="array" ref="AX507">IF($F507&lt;&gt;"", XLOOKUP($F507,Productos!$A$2:$A1001,Productos!AQ$2:AQ1001,"")*$G507,"")</f>
        <v/>
      </c>
      <c r="AY507" s="179" t="str">
        <f t="array" ref="AY507">IF($F507&lt;&gt;"",XLOOKUP($F507,Productos!$A:$A,Productos!AR:AR,"Revisar"),"")</f>
        <v/>
      </c>
      <c r="AZ507" s="179" t="str">
        <f t="array" ref="AZ507">IF($F507&lt;&gt;"", XLOOKUP($F507,Productos!$A$2:$A1001,Productos!AS$2:AS1001,"")*$G507,"")</f>
        <v/>
      </c>
      <c r="BA507" s="179" t="str">
        <f t="array" ref="BA507">IF($F507&lt;&gt;"",XLOOKUP($F507,Productos!$A:$A,Productos!AT:AT,"Revisar"),"")</f>
        <v/>
      </c>
      <c r="BB507" s="179" t="str">
        <f t="array" ref="BB507">IF($F507&lt;&gt;"", XLOOKUP($F507,Productos!$A$2:$A1001,Productos!AU$2:AU1001,"")*$G507,"")</f>
        <v/>
      </c>
      <c r="BC507" s="179" t="str">
        <f t="array" ref="BC507">IF($F507&lt;&gt;"",XLOOKUP($F507,Productos!$A:$A,Productos!AV:AV,"Revisar"),"")</f>
        <v/>
      </c>
      <c r="BD507" s="179" t="str">
        <f t="array" ref="BD507">IF($F507&lt;&gt;"", XLOOKUP($F507,Productos!$A$2:$A1001,Productos!AW$2:AW1001,"")*$G507,"")</f>
        <v/>
      </c>
      <c r="BE507" s="179" t="str">
        <f t="array" ref="BE507">IF($F507&lt;&gt;"",XLOOKUP($F507,Productos!$A:$A,Productos!AX:AX,"Revisar"),"")</f>
        <v/>
      </c>
      <c r="BF507" s="179" t="str">
        <f t="array" ref="BF507">IF($F507&lt;&gt;"", XLOOKUP($F507,Productos!$A$2:$A1001,Productos!AY$2:AY1001,"")*$G507,"")</f>
        <v/>
      </c>
      <c r="BG507" s="179" t="str">
        <f t="array" ref="BG507">IF($F507&lt;&gt;"",XLOOKUP($F507,Productos!$A:$A,Productos!AZ:AZ,"Revisar"),"")</f>
        <v/>
      </c>
      <c r="BH507" s="179" t="str">
        <f t="array" ref="BH507">IF($F507&lt;&gt;"", XLOOKUP($F507,Productos!$A$2:$A1001,Productos!BA$2:BA1001,"")*$G507,"")</f>
        <v/>
      </c>
      <c r="BI507" s="179" t="str">
        <f t="array" ref="BI507">IF($F507&lt;&gt;"",XLOOKUP($F507,Productos!$A:$A,Productos!BB:BB,"Revisar"),"")</f>
        <v/>
      </c>
      <c r="BJ507" s="179" t="str">
        <f t="array" ref="BJ507">IF($F507&lt;&gt;"", XLOOKUP($F507,Productos!$A$2:$A1001,Productos!BC$2:BC1001,"")*$G507,"")</f>
        <v/>
      </c>
      <c r="BK507" s="179" t="str">
        <f t="array" ref="BK507">IF($F507&lt;&gt;"",XLOOKUP($F507,Productos!$A:$A,Productos!BD:BD,"Revisar"),"")</f>
        <v/>
      </c>
      <c r="BL507" s="179" t="str">
        <f t="array" ref="BL507">IF($F507&lt;&gt;"", XLOOKUP($F507,Productos!$A$2:$A1001,Productos!BE$2:BE1001,"")*$G507,"")</f>
        <v/>
      </c>
      <c r="BM507" s="179" t="str">
        <f t="array" ref="BM507">IF($F507&lt;&gt;"",XLOOKUP($F507,Productos!$A:$A,Productos!BF:BF,"Revisar"),"")</f>
        <v/>
      </c>
      <c r="BN507" s="179" t="str">
        <f t="array" ref="BN507">IF($F507&lt;&gt;"", XLOOKUP($F507,Productos!$A$2:$A1001,Productos!BG$2:BG1001,"")*$G507,"")</f>
        <v/>
      </c>
      <c r="BO507" s="179" t="str">
        <f t="array" ref="BO507">IF($F507&lt;&gt;"",XLOOKUP($F507,Productos!$A:$A,Productos!BH:BH,"Revisar"),"")</f>
        <v/>
      </c>
      <c r="BP507" s="179" t="str">
        <f t="array" ref="BP507">IF($F507&lt;&gt;"", XLOOKUP($F507,Productos!$A$2:$A1001,Productos!BI$2:BI1001,"")*$G507,"")</f>
        <v/>
      </c>
      <c r="BQ507" s="179" t="str">
        <f t="array" ref="BQ507">IF($F507&lt;&gt;"",XLOOKUP($F507,Productos!$A:$A,Productos!BJ:BJ,"Revisar"),"")</f>
        <v/>
      </c>
      <c r="BR507" s="179" t="str">
        <f t="array" ref="BR507">IF($F507&lt;&gt;"", XLOOKUP($F507,Productos!$A$2:$A1001,Productos!BK$2:BK1001,"")*$G507,"")</f>
        <v/>
      </c>
      <c r="BS507" s="179" t="str">
        <f t="array" ref="BS507">IF($F507&lt;&gt;"",XLOOKUP($F507,Productos!$A:$A,Productos!BL:BL,"Revisar"),"")</f>
        <v/>
      </c>
      <c r="BT507" s="179" t="str">
        <f t="array" ref="BT507">IF($F507&lt;&gt;"", XLOOKUP($F507,Productos!$A$2:$A1001,Productos!BM$2:BM1001,"")*$G507,"")</f>
        <v/>
      </c>
      <c r="BU507" s="179" t="str">
        <f t="array" ref="BU507">IF($F507&lt;&gt;"",XLOOKUP($F507,Productos!$A:$A,Productos!BN:BN,"Revisar"),"")</f>
        <v/>
      </c>
      <c r="BV507" s="179" t="str">
        <f t="array" ref="BV507">IF($F507&lt;&gt;"", XLOOKUP($F507,Productos!$A$2:$A1001,Productos!BO$2:BO1001,"")*$G507,"")</f>
        <v/>
      </c>
      <c r="BW507" s="179" t="str">
        <f t="array" ref="BW507">IF($F507&lt;&gt;"",XLOOKUP($F507,Productos!$A:$A,Productos!BP:BP,"Revisar"),"")</f>
        <v/>
      </c>
      <c r="BX507" s="179" t="str">
        <f t="array" ref="BX507">IF($F507&lt;&gt;"", XLOOKUP($F507,Productos!$A$2:$A1001,Productos!BQ$2:BQ1001,"")*$G507,"")</f>
        <v/>
      </c>
      <c r="BY507" s="179" t="str">
        <f t="array" ref="BY507">IF($F507&lt;&gt;"",XLOOKUP($F507,Productos!$A:$A,Productos!BR:BR,"Revisar"),"")</f>
        <v/>
      </c>
      <c r="BZ507" s="179" t="str">
        <f t="array" ref="BZ507">IF($F507&lt;&gt;"", XLOOKUP($F507,Productos!$A$2:$A1001,Productos!BS$2:BS1001,"")*$G507,"")</f>
        <v/>
      </c>
    </row>
    <row r="508">
      <c r="A508" s="188"/>
      <c r="B508" s="189"/>
      <c r="C508" s="190"/>
      <c r="D508" s="190"/>
      <c r="E508" s="191"/>
      <c r="F508" s="186"/>
      <c r="G508" s="192"/>
      <c r="H508" s="9"/>
      <c r="I508" s="179" t="str">
        <f t="array" ref="I508">IF($F508&lt;&gt;"",XLOOKUP($F508,Productos!$A:$A,Productos!B:B,"Revisar"),"")</f>
        <v/>
      </c>
      <c r="J508" s="179" t="str">
        <f t="array" ref="J508">IF($F508&lt;&gt;"", XLOOKUP($F508,Productos!$A$2:$A1001,Productos!C$2:C1001,"")*$G508,"")</f>
        <v/>
      </c>
      <c r="K508" s="179" t="str">
        <f t="array" ref="K508">IF($F508&lt;&gt;"",XLOOKUP($F508,Productos!$A:$A,Productos!D:D,"Revisar"),"")</f>
        <v/>
      </c>
      <c r="L508" s="179" t="str">
        <f t="array" ref="L508">IF($F508&lt;&gt;"", XLOOKUP($F508,Productos!$A$2:$A1001,Productos!E$2:E1001,"")*$G508,"")</f>
        <v/>
      </c>
      <c r="M508" s="179" t="str">
        <f t="array" ref="M508">IF($F508&lt;&gt;"",XLOOKUP($F508,Productos!$A:$A,Productos!F:F,"Revisar"),"")</f>
        <v/>
      </c>
      <c r="N508" s="179" t="str">
        <f t="array" ref="N508">IF($F508&lt;&gt;"", XLOOKUP($F508,Productos!$A$2:$A1001,Productos!G$2:G1001,"")*$G508,"")</f>
        <v/>
      </c>
      <c r="O508" s="179" t="str">
        <f t="array" ref="O508">IF($F508&lt;&gt;"",XLOOKUP($F508,Productos!$A:$A,Productos!H:H,"Revisar"),"")</f>
        <v/>
      </c>
      <c r="P508" s="179" t="str">
        <f t="array" ref="P508">IF($F508&lt;&gt;"", XLOOKUP($F508,Productos!$A$2:$A1001,Productos!I$2:I1001,"")*$G508,"")</f>
        <v/>
      </c>
      <c r="Q508" s="179" t="str">
        <f t="array" ref="Q508">IF($F508&lt;&gt;"",XLOOKUP($F508,Productos!$A:$A,Productos!J:J,"Revisar"),"")</f>
        <v/>
      </c>
      <c r="R508" s="179" t="str">
        <f t="array" ref="R508">IF($F508&lt;&gt;"", XLOOKUP($F508,Productos!$A$2:$A1001,Productos!K$2:K1001,"")*$G508,"")</f>
        <v/>
      </c>
      <c r="S508" s="179" t="str">
        <f t="array" ref="S508">IF($F508&lt;&gt;"",XLOOKUP($F508,Productos!$A:$A,Productos!L:L,"Revisar"),"")</f>
        <v/>
      </c>
      <c r="T508" s="179" t="str">
        <f t="array" ref="T508">IF($F508&lt;&gt;"", XLOOKUP($F508,Productos!$A$2:$A1001,Productos!M$2:M1001,"")*$G508,"")</f>
        <v/>
      </c>
      <c r="U508" s="179" t="str">
        <f t="array" ref="U508">IF($F508&lt;&gt;"",XLOOKUP($F508,Productos!$A:$A,Productos!N:N,"Revisar"),"")</f>
        <v/>
      </c>
      <c r="V508" s="179" t="str">
        <f t="array" ref="V508">IF($F508&lt;&gt;"", XLOOKUP($F508,Productos!$A$2:$A1001,Productos!O$2:O1001,"")*$G508,"")</f>
        <v/>
      </c>
      <c r="W508" s="179" t="str">
        <f t="array" ref="W508">IF($F508&lt;&gt;"",XLOOKUP($F508,Productos!$A:$A,Productos!P:P,"Revisar"),"")</f>
        <v/>
      </c>
      <c r="X508" s="179" t="str">
        <f t="array" ref="X508">IF($F508&lt;&gt;"", XLOOKUP($F508,Productos!$A$2:$A1001,Productos!Q$2:Q1001,"")*$G508,"")</f>
        <v/>
      </c>
      <c r="Y508" s="179" t="str">
        <f t="array" ref="Y508">IF($F508&lt;&gt;"",XLOOKUP($F508,Productos!$A:$A,Productos!R:R,"Revisar"),"")</f>
        <v/>
      </c>
      <c r="Z508" s="179" t="str">
        <f t="array" ref="Z508">IF($F508&lt;&gt;"", XLOOKUP($F508,Productos!$A$2:$A1001,Productos!S$2:S1001,"")*$G508,"")</f>
        <v/>
      </c>
      <c r="AA508" s="179" t="str">
        <f t="array" ref="AA508">IF($F508&lt;&gt;"",XLOOKUP($F508,Productos!$A:$A,Productos!T:T,"Revisar"),"")</f>
        <v/>
      </c>
      <c r="AB508" s="179" t="str">
        <f t="array" ref="AB508">IF($F508&lt;&gt;"", XLOOKUP($F508,Productos!$A$2:$A1001,Productos!U$2:U1001,"")*$G508,"")</f>
        <v/>
      </c>
      <c r="AC508" s="179" t="str">
        <f t="array" ref="AC508">IF($F508&lt;&gt;"",XLOOKUP($F508,Productos!$A:$A,Productos!V:V,"Revisar"),"")</f>
        <v/>
      </c>
      <c r="AD508" s="179" t="str">
        <f t="array" ref="AD508">IF($F508&lt;&gt;"", XLOOKUP($F508,Productos!$A$2:$A1001,Productos!W$2:W1001,"")*$G508,"")</f>
        <v/>
      </c>
      <c r="AE508" s="179" t="str">
        <f t="array" ref="AE508">IF($F508&lt;&gt;"",XLOOKUP($F508,Productos!$A:$A,Productos!X:X,"Revisar"),"")</f>
        <v/>
      </c>
      <c r="AF508" s="179" t="str">
        <f t="array" ref="AF508">IF($F508&lt;&gt;"", XLOOKUP($F508,Productos!$A$2:$A1001,Productos!Y$2:Y1001,"")*$G508,"")</f>
        <v/>
      </c>
      <c r="AG508" s="179" t="str">
        <f t="array" ref="AG508">IF($F508&lt;&gt;"",XLOOKUP($F508,Productos!$A:$A,Productos!Z:Z,"Revisar"),"")</f>
        <v/>
      </c>
      <c r="AH508" s="179" t="str">
        <f t="array" ref="AH508">IF($F508&lt;&gt;"", XLOOKUP($F508,Productos!$A$2:$A1001,Productos!AA$2:AA1001,"")*$G508,"")</f>
        <v/>
      </c>
      <c r="AI508" s="179" t="str">
        <f t="array" ref="AI508">IF($F508&lt;&gt;"",XLOOKUP($F508,Productos!$A:$A,Productos!AB:AB,"Revisar"),"")</f>
        <v/>
      </c>
      <c r="AJ508" s="179" t="str">
        <f t="array" ref="AJ508">IF($F508&lt;&gt;"", XLOOKUP($F508,Productos!$A$2:$A1001,Productos!AC$2:AC1001,"")*$G508,"")</f>
        <v/>
      </c>
      <c r="AK508" s="179" t="str">
        <f t="array" ref="AK508">IF($F508&lt;&gt;"",XLOOKUP($F508,Productos!$A:$A,Productos!AD:AD,"Revisar"),"")</f>
        <v/>
      </c>
      <c r="AL508" s="179" t="str">
        <f t="array" ref="AL508">IF($F508&lt;&gt;"", XLOOKUP($F508,Productos!$A$2:$A1001,Productos!AE$2:AE1001,"")*$G508,"")</f>
        <v/>
      </c>
      <c r="AM508" s="179" t="str">
        <f t="array" ref="AM508">IF($F508&lt;&gt;"",XLOOKUP($F508,Productos!$A:$A,Productos!AF:AF,"Revisar"),"")</f>
        <v/>
      </c>
      <c r="AN508" s="179" t="str">
        <f t="array" ref="AN508">IF($F508&lt;&gt;"", XLOOKUP($F508,Productos!$A$2:$A1001,Productos!AG$2:AG1001,"")*$G508,"")</f>
        <v/>
      </c>
      <c r="AO508" s="179" t="str">
        <f t="array" ref="AO508">IF($F508&lt;&gt;"",XLOOKUP($F508,Productos!$A:$A,Productos!AH:AH,"Revisar"),"")</f>
        <v/>
      </c>
      <c r="AP508" s="179" t="str">
        <f t="array" ref="AP508">IF($F508&lt;&gt;"", XLOOKUP($F508,Productos!$A$2:$A1001,Productos!AI$2:AI1001,"")*$G508,"")</f>
        <v/>
      </c>
      <c r="AQ508" s="179" t="str">
        <f t="array" ref="AQ508">IF($F508&lt;&gt;"",XLOOKUP($F508,Productos!$A:$A,Productos!AJ:AJ,"Revisar"),"")</f>
        <v/>
      </c>
      <c r="AR508" s="179" t="str">
        <f t="array" ref="AR508">IF($F508&lt;&gt;"", XLOOKUP($F508,Productos!$A$2:$A1001,Productos!AK$2:AK1001,"")*$G508,"")</f>
        <v/>
      </c>
      <c r="AS508" s="179" t="str">
        <f t="array" ref="AS508">IF($F508&lt;&gt;"",XLOOKUP($F508,Productos!$A:$A,Productos!AL:AL,"Revisar"),"")</f>
        <v/>
      </c>
      <c r="AT508" s="179" t="str">
        <f t="array" ref="AT508">IF($F508&lt;&gt;"", XLOOKUP($F508,Productos!$A$2:$A1001,Productos!AM$2:AM1001,"")*$G508,"")</f>
        <v/>
      </c>
      <c r="AU508" s="179" t="str">
        <f t="array" ref="AU508">IF($F508&lt;&gt;"",XLOOKUP($F508,Productos!$A:$A,Productos!AN:AN,"Revisar"),"")</f>
        <v/>
      </c>
      <c r="AV508" s="179" t="str">
        <f t="array" ref="AV508">IF($F508&lt;&gt;"", XLOOKUP($F508,Productos!$A$2:$A1001,Productos!AO$2:AO1001,"")*$G508,"")</f>
        <v/>
      </c>
      <c r="AW508" s="179" t="str">
        <f t="array" ref="AW508">IF($F508&lt;&gt;"",XLOOKUP($F508,Productos!$A:$A,Productos!AP:AP,"Revisar"),"")</f>
        <v/>
      </c>
      <c r="AX508" s="179" t="str">
        <f t="array" ref="AX508">IF($F508&lt;&gt;"", XLOOKUP($F508,Productos!$A$2:$A1001,Productos!AQ$2:AQ1001,"")*$G508,"")</f>
        <v/>
      </c>
      <c r="AY508" s="179" t="str">
        <f t="array" ref="AY508">IF($F508&lt;&gt;"",XLOOKUP($F508,Productos!$A:$A,Productos!AR:AR,"Revisar"),"")</f>
        <v/>
      </c>
      <c r="AZ508" s="179" t="str">
        <f t="array" ref="AZ508">IF($F508&lt;&gt;"", XLOOKUP($F508,Productos!$A$2:$A1001,Productos!AS$2:AS1001,"")*$G508,"")</f>
        <v/>
      </c>
      <c r="BA508" s="179" t="str">
        <f t="array" ref="BA508">IF($F508&lt;&gt;"",XLOOKUP($F508,Productos!$A:$A,Productos!AT:AT,"Revisar"),"")</f>
        <v/>
      </c>
      <c r="BB508" s="179" t="str">
        <f t="array" ref="BB508">IF($F508&lt;&gt;"", XLOOKUP($F508,Productos!$A$2:$A1001,Productos!AU$2:AU1001,"")*$G508,"")</f>
        <v/>
      </c>
      <c r="BC508" s="179" t="str">
        <f t="array" ref="BC508">IF($F508&lt;&gt;"",XLOOKUP($F508,Productos!$A:$A,Productos!AV:AV,"Revisar"),"")</f>
        <v/>
      </c>
      <c r="BD508" s="179" t="str">
        <f t="array" ref="BD508">IF($F508&lt;&gt;"", XLOOKUP($F508,Productos!$A$2:$A1001,Productos!AW$2:AW1001,"")*$G508,"")</f>
        <v/>
      </c>
      <c r="BE508" s="179" t="str">
        <f t="array" ref="BE508">IF($F508&lt;&gt;"",XLOOKUP($F508,Productos!$A:$A,Productos!AX:AX,"Revisar"),"")</f>
        <v/>
      </c>
      <c r="BF508" s="179" t="str">
        <f t="array" ref="BF508">IF($F508&lt;&gt;"", XLOOKUP($F508,Productos!$A$2:$A1001,Productos!AY$2:AY1001,"")*$G508,"")</f>
        <v/>
      </c>
      <c r="BG508" s="179" t="str">
        <f t="array" ref="BG508">IF($F508&lt;&gt;"",XLOOKUP($F508,Productos!$A:$A,Productos!AZ:AZ,"Revisar"),"")</f>
        <v/>
      </c>
      <c r="BH508" s="179" t="str">
        <f t="array" ref="BH508">IF($F508&lt;&gt;"", XLOOKUP($F508,Productos!$A$2:$A1001,Productos!BA$2:BA1001,"")*$G508,"")</f>
        <v/>
      </c>
      <c r="BI508" s="179" t="str">
        <f t="array" ref="BI508">IF($F508&lt;&gt;"",XLOOKUP($F508,Productos!$A:$A,Productos!BB:BB,"Revisar"),"")</f>
        <v/>
      </c>
      <c r="BJ508" s="179" t="str">
        <f t="array" ref="BJ508">IF($F508&lt;&gt;"", XLOOKUP($F508,Productos!$A$2:$A1001,Productos!BC$2:BC1001,"")*$G508,"")</f>
        <v/>
      </c>
      <c r="BK508" s="179" t="str">
        <f t="array" ref="BK508">IF($F508&lt;&gt;"",XLOOKUP($F508,Productos!$A:$A,Productos!BD:BD,"Revisar"),"")</f>
        <v/>
      </c>
      <c r="BL508" s="179" t="str">
        <f t="array" ref="BL508">IF($F508&lt;&gt;"", XLOOKUP($F508,Productos!$A$2:$A1001,Productos!BE$2:BE1001,"")*$G508,"")</f>
        <v/>
      </c>
      <c r="BM508" s="179" t="str">
        <f t="array" ref="BM508">IF($F508&lt;&gt;"",XLOOKUP($F508,Productos!$A:$A,Productos!BF:BF,"Revisar"),"")</f>
        <v/>
      </c>
      <c r="BN508" s="179" t="str">
        <f t="array" ref="BN508">IF($F508&lt;&gt;"", XLOOKUP($F508,Productos!$A$2:$A1001,Productos!BG$2:BG1001,"")*$G508,"")</f>
        <v/>
      </c>
      <c r="BO508" s="179" t="str">
        <f t="array" ref="BO508">IF($F508&lt;&gt;"",XLOOKUP($F508,Productos!$A:$A,Productos!BH:BH,"Revisar"),"")</f>
        <v/>
      </c>
      <c r="BP508" s="179" t="str">
        <f t="array" ref="BP508">IF($F508&lt;&gt;"", XLOOKUP($F508,Productos!$A$2:$A1001,Productos!BI$2:BI1001,"")*$G508,"")</f>
        <v/>
      </c>
      <c r="BQ508" s="179" t="str">
        <f t="array" ref="BQ508">IF($F508&lt;&gt;"",XLOOKUP($F508,Productos!$A:$A,Productos!BJ:BJ,"Revisar"),"")</f>
        <v/>
      </c>
      <c r="BR508" s="179" t="str">
        <f t="array" ref="BR508">IF($F508&lt;&gt;"", XLOOKUP($F508,Productos!$A$2:$A1001,Productos!BK$2:BK1001,"")*$G508,"")</f>
        <v/>
      </c>
      <c r="BS508" s="179" t="str">
        <f t="array" ref="BS508">IF($F508&lt;&gt;"",XLOOKUP($F508,Productos!$A:$A,Productos!BL:BL,"Revisar"),"")</f>
        <v/>
      </c>
      <c r="BT508" s="179" t="str">
        <f t="array" ref="BT508">IF($F508&lt;&gt;"", XLOOKUP($F508,Productos!$A$2:$A1001,Productos!BM$2:BM1001,"")*$G508,"")</f>
        <v/>
      </c>
      <c r="BU508" s="179" t="str">
        <f t="array" ref="BU508">IF($F508&lt;&gt;"",XLOOKUP($F508,Productos!$A:$A,Productos!BN:BN,"Revisar"),"")</f>
        <v/>
      </c>
      <c r="BV508" s="179" t="str">
        <f t="array" ref="BV508">IF($F508&lt;&gt;"", XLOOKUP($F508,Productos!$A$2:$A1001,Productos!BO$2:BO1001,"")*$G508,"")</f>
        <v/>
      </c>
      <c r="BW508" s="179" t="str">
        <f t="array" ref="BW508">IF($F508&lt;&gt;"",XLOOKUP($F508,Productos!$A:$A,Productos!BP:BP,"Revisar"),"")</f>
        <v/>
      </c>
      <c r="BX508" s="179" t="str">
        <f t="array" ref="BX508">IF($F508&lt;&gt;"", XLOOKUP($F508,Productos!$A$2:$A1001,Productos!BQ$2:BQ1001,"")*$G508,"")</f>
        <v/>
      </c>
      <c r="BY508" s="179" t="str">
        <f t="array" ref="BY508">IF($F508&lt;&gt;"",XLOOKUP($F508,Productos!$A:$A,Productos!BR:BR,"Revisar"),"")</f>
        <v/>
      </c>
      <c r="BZ508" s="179" t="str">
        <f t="array" ref="BZ508">IF($F508&lt;&gt;"", XLOOKUP($F508,Productos!$A$2:$A1001,Productos!BS$2:BS1001,"")*$G508,"")</f>
        <v/>
      </c>
    </row>
    <row r="509">
      <c r="A509" s="188"/>
      <c r="B509" s="189"/>
      <c r="C509" s="190"/>
      <c r="D509" s="190"/>
      <c r="E509" s="191"/>
      <c r="F509" s="186"/>
      <c r="G509" s="192"/>
      <c r="H509" s="9"/>
      <c r="I509" s="179" t="str">
        <f t="array" ref="I509">IF($F509&lt;&gt;"",XLOOKUP($F509,Productos!$A:$A,Productos!B:B,"Revisar"),"")</f>
        <v/>
      </c>
      <c r="J509" s="179" t="str">
        <f t="array" ref="J509">IF($F509&lt;&gt;"", XLOOKUP($F509,Productos!$A$2:$A1001,Productos!C$2:C1001,"")*$G509,"")</f>
        <v/>
      </c>
      <c r="K509" s="179" t="str">
        <f t="array" ref="K509">IF($F509&lt;&gt;"",XLOOKUP($F509,Productos!$A:$A,Productos!D:D,"Revisar"),"")</f>
        <v/>
      </c>
      <c r="L509" s="179" t="str">
        <f t="array" ref="L509">IF($F509&lt;&gt;"", XLOOKUP($F509,Productos!$A$2:$A1001,Productos!E$2:E1001,"")*$G509,"")</f>
        <v/>
      </c>
      <c r="M509" s="179" t="str">
        <f t="array" ref="M509">IF($F509&lt;&gt;"",XLOOKUP($F509,Productos!$A:$A,Productos!F:F,"Revisar"),"")</f>
        <v/>
      </c>
      <c r="N509" s="179" t="str">
        <f t="array" ref="N509">IF($F509&lt;&gt;"", XLOOKUP($F509,Productos!$A$2:$A1001,Productos!G$2:G1001,"")*$G509,"")</f>
        <v/>
      </c>
      <c r="O509" s="179" t="str">
        <f t="array" ref="O509">IF($F509&lt;&gt;"",XLOOKUP($F509,Productos!$A:$A,Productos!H:H,"Revisar"),"")</f>
        <v/>
      </c>
      <c r="P509" s="179" t="str">
        <f t="array" ref="P509">IF($F509&lt;&gt;"", XLOOKUP($F509,Productos!$A$2:$A1001,Productos!I$2:I1001,"")*$G509,"")</f>
        <v/>
      </c>
      <c r="Q509" s="179" t="str">
        <f t="array" ref="Q509">IF($F509&lt;&gt;"",XLOOKUP($F509,Productos!$A:$A,Productos!J:J,"Revisar"),"")</f>
        <v/>
      </c>
      <c r="R509" s="179" t="str">
        <f t="array" ref="R509">IF($F509&lt;&gt;"", XLOOKUP($F509,Productos!$A$2:$A1001,Productos!K$2:K1001,"")*$G509,"")</f>
        <v/>
      </c>
      <c r="S509" s="179" t="str">
        <f t="array" ref="S509">IF($F509&lt;&gt;"",XLOOKUP($F509,Productos!$A:$A,Productos!L:L,"Revisar"),"")</f>
        <v/>
      </c>
      <c r="T509" s="179" t="str">
        <f t="array" ref="T509">IF($F509&lt;&gt;"", XLOOKUP($F509,Productos!$A$2:$A1001,Productos!M$2:M1001,"")*$G509,"")</f>
        <v/>
      </c>
      <c r="U509" s="179" t="str">
        <f t="array" ref="U509">IF($F509&lt;&gt;"",XLOOKUP($F509,Productos!$A:$A,Productos!N:N,"Revisar"),"")</f>
        <v/>
      </c>
      <c r="V509" s="179" t="str">
        <f t="array" ref="V509">IF($F509&lt;&gt;"", XLOOKUP($F509,Productos!$A$2:$A1001,Productos!O$2:O1001,"")*$G509,"")</f>
        <v/>
      </c>
      <c r="W509" s="179" t="str">
        <f t="array" ref="W509">IF($F509&lt;&gt;"",XLOOKUP($F509,Productos!$A:$A,Productos!P:P,"Revisar"),"")</f>
        <v/>
      </c>
      <c r="X509" s="179" t="str">
        <f t="array" ref="X509">IF($F509&lt;&gt;"", XLOOKUP($F509,Productos!$A$2:$A1001,Productos!Q$2:Q1001,"")*$G509,"")</f>
        <v/>
      </c>
      <c r="Y509" s="179" t="str">
        <f t="array" ref="Y509">IF($F509&lt;&gt;"",XLOOKUP($F509,Productos!$A:$A,Productos!R:R,"Revisar"),"")</f>
        <v/>
      </c>
      <c r="Z509" s="179" t="str">
        <f t="array" ref="Z509">IF($F509&lt;&gt;"", XLOOKUP($F509,Productos!$A$2:$A1001,Productos!S$2:S1001,"")*$G509,"")</f>
        <v/>
      </c>
      <c r="AA509" s="179" t="str">
        <f t="array" ref="AA509">IF($F509&lt;&gt;"",XLOOKUP($F509,Productos!$A:$A,Productos!T:T,"Revisar"),"")</f>
        <v/>
      </c>
      <c r="AB509" s="179" t="str">
        <f t="array" ref="AB509">IF($F509&lt;&gt;"", XLOOKUP($F509,Productos!$A$2:$A1001,Productos!U$2:U1001,"")*$G509,"")</f>
        <v/>
      </c>
      <c r="AC509" s="179" t="str">
        <f t="array" ref="AC509">IF($F509&lt;&gt;"",XLOOKUP($F509,Productos!$A:$A,Productos!V:V,"Revisar"),"")</f>
        <v/>
      </c>
      <c r="AD509" s="179" t="str">
        <f t="array" ref="AD509">IF($F509&lt;&gt;"", XLOOKUP($F509,Productos!$A$2:$A1001,Productos!W$2:W1001,"")*$G509,"")</f>
        <v/>
      </c>
      <c r="AE509" s="179" t="str">
        <f t="array" ref="AE509">IF($F509&lt;&gt;"",XLOOKUP($F509,Productos!$A:$A,Productos!X:X,"Revisar"),"")</f>
        <v/>
      </c>
      <c r="AF509" s="179" t="str">
        <f t="array" ref="AF509">IF($F509&lt;&gt;"", XLOOKUP($F509,Productos!$A$2:$A1001,Productos!Y$2:Y1001,"")*$G509,"")</f>
        <v/>
      </c>
      <c r="AG509" s="179" t="str">
        <f t="array" ref="AG509">IF($F509&lt;&gt;"",XLOOKUP($F509,Productos!$A:$A,Productos!Z:Z,"Revisar"),"")</f>
        <v/>
      </c>
      <c r="AH509" s="179" t="str">
        <f t="array" ref="AH509">IF($F509&lt;&gt;"", XLOOKUP($F509,Productos!$A$2:$A1001,Productos!AA$2:AA1001,"")*$G509,"")</f>
        <v/>
      </c>
      <c r="AI509" s="179" t="str">
        <f t="array" ref="AI509">IF($F509&lt;&gt;"",XLOOKUP($F509,Productos!$A:$A,Productos!AB:AB,"Revisar"),"")</f>
        <v/>
      </c>
      <c r="AJ509" s="179" t="str">
        <f t="array" ref="AJ509">IF($F509&lt;&gt;"", XLOOKUP($F509,Productos!$A$2:$A1001,Productos!AC$2:AC1001,"")*$G509,"")</f>
        <v/>
      </c>
      <c r="AK509" s="179" t="str">
        <f t="array" ref="AK509">IF($F509&lt;&gt;"",XLOOKUP($F509,Productos!$A:$A,Productos!AD:AD,"Revisar"),"")</f>
        <v/>
      </c>
      <c r="AL509" s="179" t="str">
        <f t="array" ref="AL509">IF($F509&lt;&gt;"", XLOOKUP($F509,Productos!$A$2:$A1001,Productos!AE$2:AE1001,"")*$G509,"")</f>
        <v/>
      </c>
      <c r="AM509" s="179" t="str">
        <f t="array" ref="AM509">IF($F509&lt;&gt;"",XLOOKUP($F509,Productos!$A:$A,Productos!AF:AF,"Revisar"),"")</f>
        <v/>
      </c>
      <c r="AN509" s="179" t="str">
        <f t="array" ref="AN509">IF($F509&lt;&gt;"", XLOOKUP($F509,Productos!$A$2:$A1001,Productos!AG$2:AG1001,"")*$G509,"")</f>
        <v/>
      </c>
      <c r="AO509" s="179" t="str">
        <f t="array" ref="AO509">IF($F509&lt;&gt;"",XLOOKUP($F509,Productos!$A:$A,Productos!AH:AH,"Revisar"),"")</f>
        <v/>
      </c>
      <c r="AP509" s="179" t="str">
        <f t="array" ref="AP509">IF($F509&lt;&gt;"", XLOOKUP($F509,Productos!$A$2:$A1001,Productos!AI$2:AI1001,"")*$G509,"")</f>
        <v/>
      </c>
      <c r="AQ509" s="179" t="str">
        <f t="array" ref="AQ509">IF($F509&lt;&gt;"",XLOOKUP($F509,Productos!$A:$A,Productos!AJ:AJ,"Revisar"),"")</f>
        <v/>
      </c>
      <c r="AR509" s="179" t="str">
        <f t="array" ref="AR509">IF($F509&lt;&gt;"", XLOOKUP($F509,Productos!$A$2:$A1001,Productos!AK$2:AK1001,"")*$G509,"")</f>
        <v/>
      </c>
      <c r="AS509" s="179" t="str">
        <f t="array" ref="AS509">IF($F509&lt;&gt;"",XLOOKUP($F509,Productos!$A:$A,Productos!AL:AL,"Revisar"),"")</f>
        <v/>
      </c>
      <c r="AT509" s="179" t="str">
        <f t="array" ref="AT509">IF($F509&lt;&gt;"", XLOOKUP($F509,Productos!$A$2:$A1001,Productos!AM$2:AM1001,"")*$G509,"")</f>
        <v/>
      </c>
      <c r="AU509" s="179" t="str">
        <f t="array" ref="AU509">IF($F509&lt;&gt;"",XLOOKUP($F509,Productos!$A:$A,Productos!AN:AN,"Revisar"),"")</f>
        <v/>
      </c>
      <c r="AV509" s="179" t="str">
        <f t="array" ref="AV509">IF($F509&lt;&gt;"", XLOOKUP($F509,Productos!$A$2:$A1001,Productos!AO$2:AO1001,"")*$G509,"")</f>
        <v/>
      </c>
      <c r="AW509" s="179" t="str">
        <f t="array" ref="AW509">IF($F509&lt;&gt;"",XLOOKUP($F509,Productos!$A:$A,Productos!AP:AP,"Revisar"),"")</f>
        <v/>
      </c>
      <c r="AX509" s="179" t="str">
        <f t="array" ref="AX509">IF($F509&lt;&gt;"", XLOOKUP($F509,Productos!$A$2:$A1001,Productos!AQ$2:AQ1001,"")*$G509,"")</f>
        <v/>
      </c>
      <c r="AY509" s="179" t="str">
        <f t="array" ref="AY509">IF($F509&lt;&gt;"",XLOOKUP($F509,Productos!$A:$A,Productos!AR:AR,"Revisar"),"")</f>
        <v/>
      </c>
      <c r="AZ509" s="179" t="str">
        <f t="array" ref="AZ509">IF($F509&lt;&gt;"", XLOOKUP($F509,Productos!$A$2:$A1001,Productos!AS$2:AS1001,"")*$G509,"")</f>
        <v/>
      </c>
      <c r="BA509" s="179" t="str">
        <f t="array" ref="BA509">IF($F509&lt;&gt;"",XLOOKUP($F509,Productos!$A:$A,Productos!AT:AT,"Revisar"),"")</f>
        <v/>
      </c>
      <c r="BB509" s="179" t="str">
        <f t="array" ref="BB509">IF($F509&lt;&gt;"", XLOOKUP($F509,Productos!$A$2:$A1001,Productos!AU$2:AU1001,"")*$G509,"")</f>
        <v/>
      </c>
      <c r="BC509" s="179" t="str">
        <f t="array" ref="BC509">IF($F509&lt;&gt;"",XLOOKUP($F509,Productos!$A:$A,Productos!AV:AV,"Revisar"),"")</f>
        <v/>
      </c>
      <c r="BD509" s="179" t="str">
        <f t="array" ref="BD509">IF($F509&lt;&gt;"", XLOOKUP($F509,Productos!$A$2:$A1001,Productos!AW$2:AW1001,"")*$G509,"")</f>
        <v/>
      </c>
      <c r="BE509" s="179" t="str">
        <f t="array" ref="BE509">IF($F509&lt;&gt;"",XLOOKUP($F509,Productos!$A:$A,Productos!AX:AX,"Revisar"),"")</f>
        <v/>
      </c>
      <c r="BF509" s="179" t="str">
        <f t="array" ref="BF509">IF($F509&lt;&gt;"", XLOOKUP($F509,Productos!$A$2:$A1001,Productos!AY$2:AY1001,"")*$G509,"")</f>
        <v/>
      </c>
      <c r="BG509" s="179" t="str">
        <f t="array" ref="BG509">IF($F509&lt;&gt;"",XLOOKUP($F509,Productos!$A:$A,Productos!AZ:AZ,"Revisar"),"")</f>
        <v/>
      </c>
      <c r="BH509" s="179" t="str">
        <f t="array" ref="BH509">IF($F509&lt;&gt;"", XLOOKUP($F509,Productos!$A$2:$A1001,Productos!BA$2:BA1001,"")*$G509,"")</f>
        <v/>
      </c>
      <c r="BI509" s="179" t="str">
        <f t="array" ref="BI509">IF($F509&lt;&gt;"",XLOOKUP($F509,Productos!$A:$A,Productos!BB:BB,"Revisar"),"")</f>
        <v/>
      </c>
      <c r="BJ509" s="179" t="str">
        <f t="array" ref="BJ509">IF($F509&lt;&gt;"", XLOOKUP($F509,Productos!$A$2:$A1001,Productos!BC$2:BC1001,"")*$G509,"")</f>
        <v/>
      </c>
      <c r="BK509" s="179" t="str">
        <f t="array" ref="BK509">IF($F509&lt;&gt;"",XLOOKUP($F509,Productos!$A:$A,Productos!BD:BD,"Revisar"),"")</f>
        <v/>
      </c>
      <c r="BL509" s="179" t="str">
        <f t="array" ref="BL509">IF($F509&lt;&gt;"", XLOOKUP($F509,Productos!$A$2:$A1001,Productos!BE$2:BE1001,"")*$G509,"")</f>
        <v/>
      </c>
      <c r="BM509" s="179" t="str">
        <f t="array" ref="BM509">IF($F509&lt;&gt;"",XLOOKUP($F509,Productos!$A:$A,Productos!BF:BF,"Revisar"),"")</f>
        <v/>
      </c>
      <c r="BN509" s="179" t="str">
        <f t="array" ref="BN509">IF($F509&lt;&gt;"", XLOOKUP($F509,Productos!$A$2:$A1001,Productos!BG$2:BG1001,"")*$G509,"")</f>
        <v/>
      </c>
      <c r="BO509" s="179" t="str">
        <f t="array" ref="BO509">IF($F509&lt;&gt;"",XLOOKUP($F509,Productos!$A:$A,Productos!BH:BH,"Revisar"),"")</f>
        <v/>
      </c>
      <c r="BP509" s="179" t="str">
        <f t="array" ref="BP509">IF($F509&lt;&gt;"", XLOOKUP($F509,Productos!$A$2:$A1001,Productos!BI$2:BI1001,"")*$G509,"")</f>
        <v/>
      </c>
      <c r="BQ509" s="179" t="str">
        <f t="array" ref="BQ509">IF($F509&lt;&gt;"",XLOOKUP($F509,Productos!$A:$A,Productos!BJ:BJ,"Revisar"),"")</f>
        <v/>
      </c>
      <c r="BR509" s="179" t="str">
        <f t="array" ref="BR509">IF($F509&lt;&gt;"", XLOOKUP($F509,Productos!$A$2:$A1001,Productos!BK$2:BK1001,"")*$G509,"")</f>
        <v/>
      </c>
      <c r="BS509" s="179" t="str">
        <f t="array" ref="BS509">IF($F509&lt;&gt;"",XLOOKUP($F509,Productos!$A:$A,Productos!BL:BL,"Revisar"),"")</f>
        <v/>
      </c>
      <c r="BT509" s="179" t="str">
        <f t="array" ref="BT509">IF($F509&lt;&gt;"", XLOOKUP($F509,Productos!$A$2:$A1001,Productos!BM$2:BM1001,"")*$G509,"")</f>
        <v/>
      </c>
      <c r="BU509" s="179" t="str">
        <f t="array" ref="BU509">IF($F509&lt;&gt;"",XLOOKUP($F509,Productos!$A:$A,Productos!BN:BN,"Revisar"),"")</f>
        <v/>
      </c>
      <c r="BV509" s="179" t="str">
        <f t="array" ref="BV509">IF($F509&lt;&gt;"", XLOOKUP($F509,Productos!$A$2:$A1001,Productos!BO$2:BO1001,"")*$G509,"")</f>
        <v/>
      </c>
      <c r="BW509" s="179" t="str">
        <f t="array" ref="BW509">IF($F509&lt;&gt;"",XLOOKUP($F509,Productos!$A:$A,Productos!BP:BP,"Revisar"),"")</f>
        <v/>
      </c>
      <c r="BX509" s="179" t="str">
        <f t="array" ref="BX509">IF($F509&lt;&gt;"", XLOOKUP($F509,Productos!$A$2:$A1001,Productos!BQ$2:BQ1001,"")*$G509,"")</f>
        <v/>
      </c>
      <c r="BY509" s="179" t="str">
        <f t="array" ref="BY509">IF($F509&lt;&gt;"",XLOOKUP($F509,Productos!$A:$A,Productos!BR:BR,"Revisar"),"")</f>
        <v/>
      </c>
      <c r="BZ509" s="179" t="str">
        <f t="array" ref="BZ509">IF($F509&lt;&gt;"", XLOOKUP($F509,Productos!$A$2:$A1001,Productos!BS$2:BS1001,"")*$G509,"")</f>
        <v/>
      </c>
    </row>
    <row r="510">
      <c r="A510" s="188"/>
      <c r="B510" s="189"/>
      <c r="C510" s="190"/>
      <c r="D510" s="190"/>
      <c r="E510" s="191"/>
      <c r="F510" s="186"/>
      <c r="G510" s="192"/>
      <c r="H510" s="9"/>
      <c r="I510" s="179" t="str">
        <f t="array" ref="I510">IF($F510&lt;&gt;"",XLOOKUP($F510,Productos!$A:$A,Productos!B:B,"Revisar"),"")</f>
        <v/>
      </c>
      <c r="J510" s="179" t="str">
        <f t="array" ref="J510">IF($F510&lt;&gt;"", XLOOKUP($F510,Productos!$A$2:$A1001,Productos!C$2:C1001,"")*$G510,"")</f>
        <v/>
      </c>
      <c r="K510" s="179" t="str">
        <f t="array" ref="K510">IF($F510&lt;&gt;"",XLOOKUP($F510,Productos!$A:$A,Productos!D:D,"Revisar"),"")</f>
        <v/>
      </c>
      <c r="L510" s="179" t="str">
        <f t="array" ref="L510">IF($F510&lt;&gt;"", XLOOKUP($F510,Productos!$A$2:$A1001,Productos!E$2:E1001,"")*$G510,"")</f>
        <v/>
      </c>
      <c r="M510" s="179" t="str">
        <f t="array" ref="M510">IF($F510&lt;&gt;"",XLOOKUP($F510,Productos!$A:$A,Productos!F:F,"Revisar"),"")</f>
        <v/>
      </c>
      <c r="N510" s="179" t="str">
        <f t="array" ref="N510">IF($F510&lt;&gt;"", XLOOKUP($F510,Productos!$A$2:$A1001,Productos!G$2:G1001,"")*$G510,"")</f>
        <v/>
      </c>
      <c r="O510" s="179" t="str">
        <f t="array" ref="O510">IF($F510&lt;&gt;"",XLOOKUP($F510,Productos!$A:$A,Productos!H:H,"Revisar"),"")</f>
        <v/>
      </c>
      <c r="P510" s="179" t="str">
        <f t="array" ref="P510">IF($F510&lt;&gt;"", XLOOKUP($F510,Productos!$A$2:$A1001,Productos!I$2:I1001,"")*$G510,"")</f>
        <v/>
      </c>
      <c r="Q510" s="179" t="str">
        <f t="array" ref="Q510">IF($F510&lt;&gt;"",XLOOKUP($F510,Productos!$A:$A,Productos!J:J,"Revisar"),"")</f>
        <v/>
      </c>
      <c r="R510" s="179" t="str">
        <f t="array" ref="R510">IF($F510&lt;&gt;"", XLOOKUP($F510,Productos!$A$2:$A1001,Productos!K$2:K1001,"")*$G510,"")</f>
        <v/>
      </c>
      <c r="S510" s="179" t="str">
        <f t="array" ref="S510">IF($F510&lt;&gt;"",XLOOKUP($F510,Productos!$A:$A,Productos!L:L,"Revisar"),"")</f>
        <v/>
      </c>
      <c r="T510" s="179" t="str">
        <f t="array" ref="T510">IF($F510&lt;&gt;"", XLOOKUP($F510,Productos!$A$2:$A1001,Productos!M$2:M1001,"")*$G510,"")</f>
        <v/>
      </c>
      <c r="U510" s="179" t="str">
        <f t="array" ref="U510">IF($F510&lt;&gt;"",XLOOKUP($F510,Productos!$A:$A,Productos!N:N,"Revisar"),"")</f>
        <v/>
      </c>
      <c r="V510" s="179" t="str">
        <f t="array" ref="V510">IF($F510&lt;&gt;"", XLOOKUP($F510,Productos!$A$2:$A1001,Productos!O$2:O1001,"")*$G510,"")</f>
        <v/>
      </c>
      <c r="W510" s="179" t="str">
        <f t="array" ref="W510">IF($F510&lt;&gt;"",XLOOKUP($F510,Productos!$A:$A,Productos!P:P,"Revisar"),"")</f>
        <v/>
      </c>
      <c r="X510" s="179" t="str">
        <f t="array" ref="X510">IF($F510&lt;&gt;"", XLOOKUP($F510,Productos!$A$2:$A1001,Productos!Q$2:Q1001,"")*$G510,"")</f>
        <v/>
      </c>
      <c r="Y510" s="179" t="str">
        <f t="array" ref="Y510">IF($F510&lt;&gt;"",XLOOKUP($F510,Productos!$A:$A,Productos!R:R,"Revisar"),"")</f>
        <v/>
      </c>
      <c r="Z510" s="179" t="str">
        <f t="array" ref="Z510">IF($F510&lt;&gt;"", XLOOKUP($F510,Productos!$A$2:$A1001,Productos!S$2:S1001,"")*$G510,"")</f>
        <v/>
      </c>
      <c r="AA510" s="179" t="str">
        <f t="array" ref="AA510">IF($F510&lt;&gt;"",XLOOKUP($F510,Productos!$A:$A,Productos!T:T,"Revisar"),"")</f>
        <v/>
      </c>
      <c r="AB510" s="179" t="str">
        <f t="array" ref="AB510">IF($F510&lt;&gt;"", XLOOKUP($F510,Productos!$A$2:$A1001,Productos!U$2:U1001,"")*$G510,"")</f>
        <v/>
      </c>
      <c r="AC510" s="179" t="str">
        <f t="array" ref="AC510">IF($F510&lt;&gt;"",XLOOKUP($F510,Productos!$A:$A,Productos!V:V,"Revisar"),"")</f>
        <v/>
      </c>
      <c r="AD510" s="179" t="str">
        <f t="array" ref="AD510">IF($F510&lt;&gt;"", XLOOKUP($F510,Productos!$A$2:$A1001,Productos!W$2:W1001,"")*$G510,"")</f>
        <v/>
      </c>
      <c r="AE510" s="179" t="str">
        <f t="array" ref="AE510">IF($F510&lt;&gt;"",XLOOKUP($F510,Productos!$A:$A,Productos!X:X,"Revisar"),"")</f>
        <v/>
      </c>
      <c r="AF510" s="179" t="str">
        <f t="array" ref="AF510">IF($F510&lt;&gt;"", XLOOKUP($F510,Productos!$A$2:$A1001,Productos!Y$2:Y1001,"")*$G510,"")</f>
        <v/>
      </c>
      <c r="AG510" s="179" t="str">
        <f t="array" ref="AG510">IF($F510&lt;&gt;"",XLOOKUP($F510,Productos!$A:$A,Productos!Z:Z,"Revisar"),"")</f>
        <v/>
      </c>
      <c r="AH510" s="179" t="str">
        <f t="array" ref="AH510">IF($F510&lt;&gt;"", XLOOKUP($F510,Productos!$A$2:$A1001,Productos!AA$2:AA1001,"")*$G510,"")</f>
        <v/>
      </c>
      <c r="AI510" s="179" t="str">
        <f t="array" ref="AI510">IF($F510&lt;&gt;"",XLOOKUP($F510,Productos!$A:$A,Productos!AB:AB,"Revisar"),"")</f>
        <v/>
      </c>
      <c r="AJ510" s="179" t="str">
        <f t="array" ref="AJ510">IF($F510&lt;&gt;"", XLOOKUP($F510,Productos!$A$2:$A1001,Productos!AC$2:AC1001,"")*$G510,"")</f>
        <v/>
      </c>
      <c r="AK510" s="179" t="str">
        <f t="array" ref="AK510">IF($F510&lt;&gt;"",XLOOKUP($F510,Productos!$A:$A,Productos!AD:AD,"Revisar"),"")</f>
        <v/>
      </c>
      <c r="AL510" s="179" t="str">
        <f t="array" ref="AL510">IF($F510&lt;&gt;"", XLOOKUP($F510,Productos!$A$2:$A1001,Productos!AE$2:AE1001,"")*$G510,"")</f>
        <v/>
      </c>
      <c r="AM510" s="179" t="str">
        <f t="array" ref="AM510">IF($F510&lt;&gt;"",XLOOKUP($F510,Productos!$A:$A,Productos!AF:AF,"Revisar"),"")</f>
        <v/>
      </c>
      <c r="AN510" s="179" t="str">
        <f t="array" ref="AN510">IF($F510&lt;&gt;"", XLOOKUP($F510,Productos!$A$2:$A1001,Productos!AG$2:AG1001,"")*$G510,"")</f>
        <v/>
      </c>
      <c r="AO510" s="179" t="str">
        <f t="array" ref="AO510">IF($F510&lt;&gt;"",XLOOKUP($F510,Productos!$A:$A,Productos!AH:AH,"Revisar"),"")</f>
        <v/>
      </c>
      <c r="AP510" s="179" t="str">
        <f t="array" ref="AP510">IF($F510&lt;&gt;"", XLOOKUP($F510,Productos!$A$2:$A1001,Productos!AI$2:AI1001,"")*$G510,"")</f>
        <v/>
      </c>
      <c r="AQ510" s="179" t="str">
        <f t="array" ref="AQ510">IF($F510&lt;&gt;"",XLOOKUP($F510,Productos!$A:$A,Productos!AJ:AJ,"Revisar"),"")</f>
        <v/>
      </c>
      <c r="AR510" s="179" t="str">
        <f t="array" ref="AR510">IF($F510&lt;&gt;"", XLOOKUP($F510,Productos!$A$2:$A1001,Productos!AK$2:AK1001,"")*$G510,"")</f>
        <v/>
      </c>
      <c r="AS510" s="179" t="str">
        <f t="array" ref="AS510">IF($F510&lt;&gt;"",XLOOKUP($F510,Productos!$A:$A,Productos!AL:AL,"Revisar"),"")</f>
        <v/>
      </c>
      <c r="AT510" s="179" t="str">
        <f t="array" ref="AT510">IF($F510&lt;&gt;"", XLOOKUP($F510,Productos!$A$2:$A1001,Productos!AM$2:AM1001,"")*$G510,"")</f>
        <v/>
      </c>
      <c r="AU510" s="179" t="str">
        <f t="array" ref="AU510">IF($F510&lt;&gt;"",XLOOKUP($F510,Productos!$A:$A,Productos!AN:AN,"Revisar"),"")</f>
        <v/>
      </c>
      <c r="AV510" s="179" t="str">
        <f t="array" ref="AV510">IF($F510&lt;&gt;"", XLOOKUP($F510,Productos!$A$2:$A1001,Productos!AO$2:AO1001,"")*$G510,"")</f>
        <v/>
      </c>
      <c r="AW510" s="179" t="str">
        <f t="array" ref="AW510">IF($F510&lt;&gt;"",XLOOKUP($F510,Productos!$A:$A,Productos!AP:AP,"Revisar"),"")</f>
        <v/>
      </c>
      <c r="AX510" s="179" t="str">
        <f t="array" ref="AX510">IF($F510&lt;&gt;"", XLOOKUP($F510,Productos!$A$2:$A1001,Productos!AQ$2:AQ1001,"")*$G510,"")</f>
        <v/>
      </c>
      <c r="AY510" s="179" t="str">
        <f t="array" ref="AY510">IF($F510&lt;&gt;"",XLOOKUP($F510,Productos!$A:$A,Productos!AR:AR,"Revisar"),"")</f>
        <v/>
      </c>
      <c r="AZ510" s="179" t="str">
        <f t="array" ref="AZ510">IF($F510&lt;&gt;"", XLOOKUP($F510,Productos!$A$2:$A1001,Productos!AS$2:AS1001,"")*$G510,"")</f>
        <v/>
      </c>
      <c r="BA510" s="179" t="str">
        <f t="array" ref="BA510">IF($F510&lt;&gt;"",XLOOKUP($F510,Productos!$A:$A,Productos!AT:AT,"Revisar"),"")</f>
        <v/>
      </c>
      <c r="BB510" s="179" t="str">
        <f t="array" ref="BB510">IF($F510&lt;&gt;"", XLOOKUP($F510,Productos!$A$2:$A1001,Productos!AU$2:AU1001,"")*$G510,"")</f>
        <v/>
      </c>
      <c r="BC510" s="179" t="str">
        <f t="array" ref="BC510">IF($F510&lt;&gt;"",XLOOKUP($F510,Productos!$A:$A,Productos!AV:AV,"Revisar"),"")</f>
        <v/>
      </c>
      <c r="BD510" s="179" t="str">
        <f t="array" ref="BD510">IF($F510&lt;&gt;"", XLOOKUP($F510,Productos!$A$2:$A1001,Productos!AW$2:AW1001,"")*$G510,"")</f>
        <v/>
      </c>
      <c r="BE510" s="179" t="str">
        <f t="array" ref="BE510">IF($F510&lt;&gt;"",XLOOKUP($F510,Productos!$A:$A,Productos!AX:AX,"Revisar"),"")</f>
        <v/>
      </c>
      <c r="BF510" s="179" t="str">
        <f t="array" ref="BF510">IF($F510&lt;&gt;"", XLOOKUP($F510,Productos!$A$2:$A1001,Productos!AY$2:AY1001,"")*$G510,"")</f>
        <v/>
      </c>
      <c r="BG510" s="179" t="str">
        <f t="array" ref="BG510">IF($F510&lt;&gt;"",XLOOKUP($F510,Productos!$A:$A,Productos!AZ:AZ,"Revisar"),"")</f>
        <v/>
      </c>
      <c r="BH510" s="179" t="str">
        <f t="array" ref="BH510">IF($F510&lt;&gt;"", XLOOKUP($F510,Productos!$A$2:$A1001,Productos!BA$2:BA1001,"")*$G510,"")</f>
        <v/>
      </c>
      <c r="BI510" s="179" t="str">
        <f t="array" ref="BI510">IF($F510&lt;&gt;"",XLOOKUP($F510,Productos!$A:$A,Productos!BB:BB,"Revisar"),"")</f>
        <v/>
      </c>
      <c r="BJ510" s="179" t="str">
        <f t="array" ref="BJ510">IF($F510&lt;&gt;"", XLOOKUP($F510,Productos!$A$2:$A1001,Productos!BC$2:BC1001,"")*$G510,"")</f>
        <v/>
      </c>
      <c r="BK510" s="179" t="str">
        <f t="array" ref="BK510">IF($F510&lt;&gt;"",XLOOKUP($F510,Productos!$A:$A,Productos!BD:BD,"Revisar"),"")</f>
        <v/>
      </c>
      <c r="BL510" s="179" t="str">
        <f t="array" ref="BL510">IF($F510&lt;&gt;"", XLOOKUP($F510,Productos!$A$2:$A1001,Productos!BE$2:BE1001,"")*$G510,"")</f>
        <v/>
      </c>
      <c r="BM510" s="179" t="str">
        <f t="array" ref="BM510">IF($F510&lt;&gt;"",XLOOKUP($F510,Productos!$A:$A,Productos!BF:BF,"Revisar"),"")</f>
        <v/>
      </c>
      <c r="BN510" s="179" t="str">
        <f t="array" ref="BN510">IF($F510&lt;&gt;"", XLOOKUP($F510,Productos!$A$2:$A1001,Productos!BG$2:BG1001,"")*$G510,"")</f>
        <v/>
      </c>
      <c r="BO510" s="179" t="str">
        <f t="array" ref="BO510">IF($F510&lt;&gt;"",XLOOKUP($F510,Productos!$A:$A,Productos!BH:BH,"Revisar"),"")</f>
        <v/>
      </c>
      <c r="BP510" s="179" t="str">
        <f t="array" ref="BP510">IF($F510&lt;&gt;"", XLOOKUP($F510,Productos!$A$2:$A1001,Productos!BI$2:BI1001,"")*$G510,"")</f>
        <v/>
      </c>
      <c r="BQ510" s="179" t="str">
        <f t="array" ref="BQ510">IF($F510&lt;&gt;"",XLOOKUP($F510,Productos!$A:$A,Productos!BJ:BJ,"Revisar"),"")</f>
        <v/>
      </c>
      <c r="BR510" s="179" t="str">
        <f t="array" ref="BR510">IF($F510&lt;&gt;"", XLOOKUP($F510,Productos!$A$2:$A1001,Productos!BK$2:BK1001,"")*$G510,"")</f>
        <v/>
      </c>
      <c r="BS510" s="179" t="str">
        <f t="array" ref="BS510">IF($F510&lt;&gt;"",XLOOKUP($F510,Productos!$A:$A,Productos!BL:BL,"Revisar"),"")</f>
        <v/>
      </c>
      <c r="BT510" s="179" t="str">
        <f t="array" ref="BT510">IF($F510&lt;&gt;"", XLOOKUP($F510,Productos!$A$2:$A1001,Productos!BM$2:BM1001,"")*$G510,"")</f>
        <v/>
      </c>
      <c r="BU510" s="179" t="str">
        <f t="array" ref="BU510">IF($F510&lt;&gt;"",XLOOKUP($F510,Productos!$A:$A,Productos!BN:BN,"Revisar"),"")</f>
        <v/>
      </c>
      <c r="BV510" s="179" t="str">
        <f t="array" ref="BV510">IF($F510&lt;&gt;"", XLOOKUP($F510,Productos!$A$2:$A1001,Productos!BO$2:BO1001,"")*$G510,"")</f>
        <v/>
      </c>
      <c r="BW510" s="179" t="str">
        <f t="array" ref="BW510">IF($F510&lt;&gt;"",XLOOKUP($F510,Productos!$A:$A,Productos!BP:BP,"Revisar"),"")</f>
        <v/>
      </c>
      <c r="BX510" s="179" t="str">
        <f t="array" ref="BX510">IF($F510&lt;&gt;"", XLOOKUP($F510,Productos!$A$2:$A1001,Productos!BQ$2:BQ1001,"")*$G510,"")</f>
        <v/>
      </c>
      <c r="BY510" s="179" t="str">
        <f t="array" ref="BY510">IF($F510&lt;&gt;"",XLOOKUP($F510,Productos!$A:$A,Productos!BR:BR,"Revisar"),"")</f>
        <v/>
      </c>
      <c r="BZ510" s="179" t="str">
        <f t="array" ref="BZ510">IF($F510&lt;&gt;"", XLOOKUP($F510,Productos!$A$2:$A1001,Productos!BS$2:BS1001,"")*$G510,"")</f>
        <v/>
      </c>
    </row>
    <row r="511">
      <c r="A511" s="188"/>
      <c r="B511" s="189"/>
      <c r="C511" s="190"/>
      <c r="D511" s="190"/>
      <c r="E511" s="191"/>
      <c r="F511" s="186"/>
      <c r="G511" s="192"/>
      <c r="H511" s="9"/>
      <c r="I511" s="179" t="str">
        <f t="array" ref="I511">IF($F511&lt;&gt;"",XLOOKUP($F511,Productos!$A:$A,Productos!B:B,"Revisar"),"")</f>
        <v/>
      </c>
      <c r="J511" s="179" t="str">
        <f t="array" ref="J511">IF($F511&lt;&gt;"", XLOOKUP($F511,Productos!$A$2:$A1001,Productos!C$2:C1001,"")*$G511,"")</f>
        <v/>
      </c>
      <c r="K511" s="179" t="str">
        <f t="array" ref="K511">IF($F511&lt;&gt;"",XLOOKUP($F511,Productos!$A:$A,Productos!D:D,"Revisar"),"")</f>
        <v/>
      </c>
      <c r="L511" s="179" t="str">
        <f t="array" ref="L511">IF($F511&lt;&gt;"", XLOOKUP($F511,Productos!$A$2:$A1001,Productos!E$2:E1001,"")*$G511,"")</f>
        <v/>
      </c>
      <c r="M511" s="179" t="str">
        <f t="array" ref="M511">IF($F511&lt;&gt;"",XLOOKUP($F511,Productos!$A:$A,Productos!F:F,"Revisar"),"")</f>
        <v/>
      </c>
      <c r="N511" s="179" t="str">
        <f t="array" ref="N511">IF($F511&lt;&gt;"", XLOOKUP($F511,Productos!$A$2:$A1001,Productos!G$2:G1001,"")*$G511,"")</f>
        <v/>
      </c>
      <c r="O511" s="179" t="str">
        <f t="array" ref="O511">IF($F511&lt;&gt;"",XLOOKUP($F511,Productos!$A:$A,Productos!H:H,"Revisar"),"")</f>
        <v/>
      </c>
      <c r="P511" s="179" t="str">
        <f t="array" ref="P511">IF($F511&lt;&gt;"", XLOOKUP($F511,Productos!$A$2:$A1001,Productos!I$2:I1001,"")*$G511,"")</f>
        <v/>
      </c>
      <c r="Q511" s="179" t="str">
        <f t="array" ref="Q511">IF($F511&lt;&gt;"",XLOOKUP($F511,Productos!$A:$A,Productos!J:J,"Revisar"),"")</f>
        <v/>
      </c>
      <c r="R511" s="179" t="str">
        <f t="array" ref="R511">IF($F511&lt;&gt;"", XLOOKUP($F511,Productos!$A$2:$A1001,Productos!K$2:K1001,"")*$G511,"")</f>
        <v/>
      </c>
      <c r="S511" s="179" t="str">
        <f t="array" ref="S511">IF($F511&lt;&gt;"",XLOOKUP($F511,Productos!$A:$A,Productos!L:L,"Revisar"),"")</f>
        <v/>
      </c>
      <c r="T511" s="179" t="str">
        <f t="array" ref="T511">IF($F511&lt;&gt;"", XLOOKUP($F511,Productos!$A$2:$A1001,Productos!M$2:M1001,"")*$G511,"")</f>
        <v/>
      </c>
      <c r="U511" s="179" t="str">
        <f t="array" ref="U511">IF($F511&lt;&gt;"",XLOOKUP($F511,Productos!$A:$A,Productos!N:N,"Revisar"),"")</f>
        <v/>
      </c>
      <c r="V511" s="179" t="str">
        <f t="array" ref="V511">IF($F511&lt;&gt;"", XLOOKUP($F511,Productos!$A$2:$A1001,Productos!O$2:O1001,"")*$G511,"")</f>
        <v/>
      </c>
      <c r="W511" s="179" t="str">
        <f t="array" ref="W511">IF($F511&lt;&gt;"",XLOOKUP($F511,Productos!$A:$A,Productos!P:P,"Revisar"),"")</f>
        <v/>
      </c>
      <c r="X511" s="179" t="str">
        <f t="array" ref="X511">IF($F511&lt;&gt;"", XLOOKUP($F511,Productos!$A$2:$A1001,Productos!Q$2:Q1001,"")*$G511,"")</f>
        <v/>
      </c>
      <c r="Y511" s="179" t="str">
        <f t="array" ref="Y511">IF($F511&lt;&gt;"",XLOOKUP($F511,Productos!$A:$A,Productos!R:R,"Revisar"),"")</f>
        <v/>
      </c>
      <c r="Z511" s="179" t="str">
        <f t="array" ref="Z511">IF($F511&lt;&gt;"", XLOOKUP($F511,Productos!$A$2:$A1001,Productos!S$2:S1001,"")*$G511,"")</f>
        <v/>
      </c>
      <c r="AA511" s="179" t="str">
        <f t="array" ref="AA511">IF($F511&lt;&gt;"",XLOOKUP($F511,Productos!$A:$A,Productos!T:T,"Revisar"),"")</f>
        <v/>
      </c>
      <c r="AB511" s="179" t="str">
        <f t="array" ref="AB511">IF($F511&lt;&gt;"", XLOOKUP($F511,Productos!$A$2:$A1001,Productos!U$2:U1001,"")*$G511,"")</f>
        <v/>
      </c>
      <c r="AC511" s="179" t="str">
        <f t="array" ref="AC511">IF($F511&lt;&gt;"",XLOOKUP($F511,Productos!$A:$A,Productos!V:V,"Revisar"),"")</f>
        <v/>
      </c>
      <c r="AD511" s="179" t="str">
        <f t="array" ref="AD511">IF($F511&lt;&gt;"", XLOOKUP($F511,Productos!$A$2:$A1001,Productos!W$2:W1001,"")*$G511,"")</f>
        <v/>
      </c>
      <c r="AE511" s="179" t="str">
        <f t="array" ref="AE511">IF($F511&lt;&gt;"",XLOOKUP($F511,Productos!$A:$A,Productos!X:X,"Revisar"),"")</f>
        <v/>
      </c>
      <c r="AF511" s="179" t="str">
        <f t="array" ref="AF511">IF($F511&lt;&gt;"", XLOOKUP($F511,Productos!$A$2:$A1001,Productos!Y$2:Y1001,"")*$G511,"")</f>
        <v/>
      </c>
      <c r="AG511" s="179" t="str">
        <f t="array" ref="AG511">IF($F511&lt;&gt;"",XLOOKUP($F511,Productos!$A:$A,Productos!Z:Z,"Revisar"),"")</f>
        <v/>
      </c>
      <c r="AH511" s="179" t="str">
        <f t="array" ref="AH511">IF($F511&lt;&gt;"", XLOOKUP($F511,Productos!$A$2:$A1001,Productos!AA$2:AA1001,"")*$G511,"")</f>
        <v/>
      </c>
      <c r="AI511" s="179" t="str">
        <f t="array" ref="AI511">IF($F511&lt;&gt;"",XLOOKUP($F511,Productos!$A:$A,Productos!AB:AB,"Revisar"),"")</f>
        <v/>
      </c>
      <c r="AJ511" s="179" t="str">
        <f t="array" ref="AJ511">IF($F511&lt;&gt;"", XLOOKUP($F511,Productos!$A$2:$A1001,Productos!AC$2:AC1001,"")*$G511,"")</f>
        <v/>
      </c>
      <c r="AK511" s="179" t="str">
        <f t="array" ref="AK511">IF($F511&lt;&gt;"",XLOOKUP($F511,Productos!$A:$A,Productos!AD:AD,"Revisar"),"")</f>
        <v/>
      </c>
      <c r="AL511" s="179" t="str">
        <f t="array" ref="AL511">IF($F511&lt;&gt;"", XLOOKUP($F511,Productos!$A$2:$A1001,Productos!AE$2:AE1001,"")*$G511,"")</f>
        <v/>
      </c>
      <c r="AM511" s="179" t="str">
        <f t="array" ref="AM511">IF($F511&lt;&gt;"",XLOOKUP($F511,Productos!$A:$A,Productos!AF:AF,"Revisar"),"")</f>
        <v/>
      </c>
      <c r="AN511" s="179" t="str">
        <f t="array" ref="AN511">IF($F511&lt;&gt;"", XLOOKUP($F511,Productos!$A$2:$A1001,Productos!AG$2:AG1001,"")*$G511,"")</f>
        <v/>
      </c>
      <c r="AO511" s="179" t="str">
        <f t="array" ref="AO511">IF($F511&lt;&gt;"",XLOOKUP($F511,Productos!$A:$A,Productos!AH:AH,"Revisar"),"")</f>
        <v/>
      </c>
      <c r="AP511" s="179" t="str">
        <f t="array" ref="AP511">IF($F511&lt;&gt;"", XLOOKUP($F511,Productos!$A$2:$A1001,Productos!AI$2:AI1001,"")*$G511,"")</f>
        <v/>
      </c>
      <c r="AQ511" s="179" t="str">
        <f t="array" ref="AQ511">IF($F511&lt;&gt;"",XLOOKUP($F511,Productos!$A:$A,Productos!AJ:AJ,"Revisar"),"")</f>
        <v/>
      </c>
      <c r="AR511" s="179" t="str">
        <f t="array" ref="AR511">IF($F511&lt;&gt;"", XLOOKUP($F511,Productos!$A$2:$A1001,Productos!AK$2:AK1001,"")*$G511,"")</f>
        <v/>
      </c>
      <c r="AS511" s="179" t="str">
        <f t="array" ref="AS511">IF($F511&lt;&gt;"",XLOOKUP($F511,Productos!$A:$A,Productos!AL:AL,"Revisar"),"")</f>
        <v/>
      </c>
      <c r="AT511" s="179" t="str">
        <f t="array" ref="AT511">IF($F511&lt;&gt;"", XLOOKUP($F511,Productos!$A$2:$A1001,Productos!AM$2:AM1001,"")*$G511,"")</f>
        <v/>
      </c>
      <c r="AU511" s="179" t="str">
        <f t="array" ref="AU511">IF($F511&lt;&gt;"",XLOOKUP($F511,Productos!$A:$A,Productos!AN:AN,"Revisar"),"")</f>
        <v/>
      </c>
      <c r="AV511" s="179" t="str">
        <f t="array" ref="AV511">IF($F511&lt;&gt;"", XLOOKUP($F511,Productos!$A$2:$A1001,Productos!AO$2:AO1001,"")*$G511,"")</f>
        <v/>
      </c>
      <c r="AW511" s="179" t="str">
        <f t="array" ref="AW511">IF($F511&lt;&gt;"",XLOOKUP($F511,Productos!$A:$A,Productos!AP:AP,"Revisar"),"")</f>
        <v/>
      </c>
      <c r="AX511" s="179" t="str">
        <f t="array" ref="AX511">IF($F511&lt;&gt;"", XLOOKUP($F511,Productos!$A$2:$A1001,Productos!AQ$2:AQ1001,"")*$G511,"")</f>
        <v/>
      </c>
      <c r="AY511" s="179" t="str">
        <f t="array" ref="AY511">IF($F511&lt;&gt;"",XLOOKUP($F511,Productos!$A:$A,Productos!AR:AR,"Revisar"),"")</f>
        <v/>
      </c>
      <c r="AZ511" s="179" t="str">
        <f t="array" ref="AZ511">IF($F511&lt;&gt;"", XLOOKUP($F511,Productos!$A$2:$A1001,Productos!AS$2:AS1001,"")*$G511,"")</f>
        <v/>
      </c>
      <c r="BA511" s="179" t="str">
        <f t="array" ref="BA511">IF($F511&lt;&gt;"",XLOOKUP($F511,Productos!$A:$A,Productos!AT:AT,"Revisar"),"")</f>
        <v/>
      </c>
      <c r="BB511" s="179" t="str">
        <f t="array" ref="BB511">IF($F511&lt;&gt;"", XLOOKUP($F511,Productos!$A$2:$A1001,Productos!AU$2:AU1001,"")*$G511,"")</f>
        <v/>
      </c>
      <c r="BC511" s="179" t="str">
        <f t="array" ref="BC511">IF($F511&lt;&gt;"",XLOOKUP($F511,Productos!$A:$A,Productos!AV:AV,"Revisar"),"")</f>
        <v/>
      </c>
      <c r="BD511" s="179" t="str">
        <f t="array" ref="BD511">IF($F511&lt;&gt;"", XLOOKUP($F511,Productos!$A$2:$A1001,Productos!AW$2:AW1001,"")*$G511,"")</f>
        <v/>
      </c>
      <c r="BE511" s="179" t="str">
        <f t="array" ref="BE511">IF($F511&lt;&gt;"",XLOOKUP($F511,Productos!$A:$A,Productos!AX:AX,"Revisar"),"")</f>
        <v/>
      </c>
      <c r="BF511" s="179" t="str">
        <f t="array" ref="BF511">IF($F511&lt;&gt;"", XLOOKUP($F511,Productos!$A$2:$A1001,Productos!AY$2:AY1001,"")*$G511,"")</f>
        <v/>
      </c>
      <c r="BG511" s="179" t="str">
        <f t="array" ref="BG511">IF($F511&lt;&gt;"",XLOOKUP($F511,Productos!$A:$A,Productos!AZ:AZ,"Revisar"),"")</f>
        <v/>
      </c>
      <c r="BH511" s="179" t="str">
        <f t="array" ref="BH511">IF($F511&lt;&gt;"", XLOOKUP($F511,Productos!$A$2:$A1001,Productos!BA$2:BA1001,"")*$G511,"")</f>
        <v/>
      </c>
      <c r="BI511" s="179" t="str">
        <f t="array" ref="BI511">IF($F511&lt;&gt;"",XLOOKUP($F511,Productos!$A:$A,Productos!BB:BB,"Revisar"),"")</f>
        <v/>
      </c>
      <c r="BJ511" s="179" t="str">
        <f t="array" ref="BJ511">IF($F511&lt;&gt;"", XLOOKUP($F511,Productos!$A$2:$A1001,Productos!BC$2:BC1001,"")*$G511,"")</f>
        <v/>
      </c>
      <c r="BK511" s="179" t="str">
        <f t="array" ref="BK511">IF($F511&lt;&gt;"",XLOOKUP($F511,Productos!$A:$A,Productos!BD:BD,"Revisar"),"")</f>
        <v/>
      </c>
      <c r="BL511" s="179" t="str">
        <f t="array" ref="BL511">IF($F511&lt;&gt;"", XLOOKUP($F511,Productos!$A$2:$A1001,Productos!BE$2:BE1001,"")*$G511,"")</f>
        <v/>
      </c>
      <c r="BM511" s="179" t="str">
        <f t="array" ref="BM511">IF($F511&lt;&gt;"",XLOOKUP($F511,Productos!$A:$A,Productos!BF:BF,"Revisar"),"")</f>
        <v/>
      </c>
      <c r="BN511" s="179" t="str">
        <f t="array" ref="BN511">IF($F511&lt;&gt;"", XLOOKUP($F511,Productos!$A$2:$A1001,Productos!BG$2:BG1001,"")*$G511,"")</f>
        <v/>
      </c>
      <c r="BO511" s="179" t="str">
        <f t="array" ref="BO511">IF($F511&lt;&gt;"",XLOOKUP($F511,Productos!$A:$A,Productos!BH:BH,"Revisar"),"")</f>
        <v/>
      </c>
      <c r="BP511" s="179" t="str">
        <f t="array" ref="BP511">IF($F511&lt;&gt;"", XLOOKUP($F511,Productos!$A$2:$A1001,Productos!BI$2:BI1001,"")*$G511,"")</f>
        <v/>
      </c>
      <c r="BQ511" s="179" t="str">
        <f t="array" ref="BQ511">IF($F511&lt;&gt;"",XLOOKUP($F511,Productos!$A:$A,Productos!BJ:BJ,"Revisar"),"")</f>
        <v/>
      </c>
      <c r="BR511" s="179" t="str">
        <f t="array" ref="BR511">IF($F511&lt;&gt;"", XLOOKUP($F511,Productos!$A$2:$A1001,Productos!BK$2:BK1001,"")*$G511,"")</f>
        <v/>
      </c>
      <c r="BS511" s="179" t="str">
        <f t="array" ref="BS511">IF($F511&lt;&gt;"",XLOOKUP($F511,Productos!$A:$A,Productos!BL:BL,"Revisar"),"")</f>
        <v/>
      </c>
      <c r="BT511" s="179" t="str">
        <f t="array" ref="BT511">IF($F511&lt;&gt;"", XLOOKUP($F511,Productos!$A$2:$A1001,Productos!BM$2:BM1001,"")*$G511,"")</f>
        <v/>
      </c>
      <c r="BU511" s="179" t="str">
        <f t="array" ref="BU511">IF($F511&lt;&gt;"",XLOOKUP($F511,Productos!$A:$A,Productos!BN:BN,"Revisar"),"")</f>
        <v/>
      </c>
      <c r="BV511" s="179" t="str">
        <f t="array" ref="BV511">IF($F511&lt;&gt;"", XLOOKUP($F511,Productos!$A$2:$A1001,Productos!BO$2:BO1001,"")*$G511,"")</f>
        <v/>
      </c>
      <c r="BW511" s="179" t="str">
        <f t="array" ref="BW511">IF($F511&lt;&gt;"",XLOOKUP($F511,Productos!$A:$A,Productos!BP:BP,"Revisar"),"")</f>
        <v/>
      </c>
      <c r="BX511" s="179" t="str">
        <f t="array" ref="BX511">IF($F511&lt;&gt;"", XLOOKUP($F511,Productos!$A$2:$A1001,Productos!BQ$2:BQ1001,"")*$G511,"")</f>
        <v/>
      </c>
      <c r="BY511" s="179" t="str">
        <f t="array" ref="BY511">IF($F511&lt;&gt;"",XLOOKUP($F511,Productos!$A:$A,Productos!BR:BR,"Revisar"),"")</f>
        <v/>
      </c>
      <c r="BZ511" s="179" t="str">
        <f t="array" ref="BZ511">IF($F511&lt;&gt;"", XLOOKUP($F511,Productos!$A$2:$A1001,Productos!BS$2:BS1001,"")*$G511,"")</f>
        <v/>
      </c>
    </row>
    <row r="512">
      <c r="A512" s="188"/>
      <c r="B512" s="189"/>
      <c r="C512" s="190"/>
      <c r="D512" s="190"/>
      <c r="E512" s="191"/>
      <c r="F512" s="186"/>
      <c r="G512" s="192"/>
      <c r="H512" s="9"/>
      <c r="I512" s="179" t="str">
        <f t="array" ref="I512">IF($F512&lt;&gt;"",XLOOKUP($F512,Productos!$A:$A,Productos!B:B,"Revisar"),"")</f>
        <v/>
      </c>
      <c r="J512" s="179" t="str">
        <f t="array" ref="J512">IF($F512&lt;&gt;"", XLOOKUP($F512,Productos!$A$2:$A1001,Productos!C$2:C1001,"")*$G512,"")</f>
        <v/>
      </c>
      <c r="K512" s="179" t="str">
        <f t="array" ref="K512">IF($F512&lt;&gt;"",XLOOKUP($F512,Productos!$A:$A,Productos!D:D,"Revisar"),"")</f>
        <v/>
      </c>
      <c r="L512" s="179" t="str">
        <f t="array" ref="L512">IF($F512&lt;&gt;"", XLOOKUP($F512,Productos!$A$2:$A1001,Productos!E$2:E1001,"")*$G512,"")</f>
        <v/>
      </c>
      <c r="M512" s="179" t="str">
        <f t="array" ref="M512">IF($F512&lt;&gt;"",XLOOKUP($F512,Productos!$A:$A,Productos!F:F,"Revisar"),"")</f>
        <v/>
      </c>
      <c r="N512" s="179" t="str">
        <f t="array" ref="N512">IF($F512&lt;&gt;"", XLOOKUP($F512,Productos!$A$2:$A1001,Productos!G$2:G1001,"")*$G512,"")</f>
        <v/>
      </c>
      <c r="O512" s="179" t="str">
        <f t="array" ref="O512">IF($F512&lt;&gt;"",XLOOKUP($F512,Productos!$A:$A,Productos!H:H,"Revisar"),"")</f>
        <v/>
      </c>
      <c r="P512" s="179" t="str">
        <f t="array" ref="P512">IF($F512&lt;&gt;"", XLOOKUP($F512,Productos!$A$2:$A1001,Productos!I$2:I1001,"")*$G512,"")</f>
        <v/>
      </c>
      <c r="Q512" s="179" t="str">
        <f t="array" ref="Q512">IF($F512&lt;&gt;"",XLOOKUP($F512,Productos!$A:$A,Productos!J:J,"Revisar"),"")</f>
        <v/>
      </c>
      <c r="R512" s="179" t="str">
        <f t="array" ref="R512">IF($F512&lt;&gt;"", XLOOKUP($F512,Productos!$A$2:$A1001,Productos!K$2:K1001,"")*$G512,"")</f>
        <v/>
      </c>
      <c r="S512" s="179" t="str">
        <f t="array" ref="S512">IF($F512&lt;&gt;"",XLOOKUP($F512,Productos!$A:$A,Productos!L:L,"Revisar"),"")</f>
        <v/>
      </c>
      <c r="T512" s="179" t="str">
        <f t="array" ref="T512">IF($F512&lt;&gt;"", XLOOKUP($F512,Productos!$A$2:$A1001,Productos!M$2:M1001,"")*$G512,"")</f>
        <v/>
      </c>
      <c r="U512" s="179" t="str">
        <f t="array" ref="U512">IF($F512&lt;&gt;"",XLOOKUP($F512,Productos!$A:$A,Productos!N:N,"Revisar"),"")</f>
        <v/>
      </c>
      <c r="V512" s="179" t="str">
        <f t="array" ref="V512">IF($F512&lt;&gt;"", XLOOKUP($F512,Productos!$A$2:$A1001,Productos!O$2:O1001,"")*$G512,"")</f>
        <v/>
      </c>
      <c r="W512" s="179" t="str">
        <f t="array" ref="W512">IF($F512&lt;&gt;"",XLOOKUP($F512,Productos!$A:$A,Productos!P:P,"Revisar"),"")</f>
        <v/>
      </c>
      <c r="X512" s="179" t="str">
        <f t="array" ref="X512">IF($F512&lt;&gt;"", XLOOKUP($F512,Productos!$A$2:$A1001,Productos!Q$2:Q1001,"")*$G512,"")</f>
        <v/>
      </c>
      <c r="Y512" s="179" t="str">
        <f t="array" ref="Y512">IF($F512&lt;&gt;"",XLOOKUP($F512,Productos!$A:$A,Productos!R:R,"Revisar"),"")</f>
        <v/>
      </c>
      <c r="Z512" s="179" t="str">
        <f t="array" ref="Z512">IF($F512&lt;&gt;"", XLOOKUP($F512,Productos!$A$2:$A1001,Productos!S$2:S1001,"")*$G512,"")</f>
        <v/>
      </c>
      <c r="AA512" s="179" t="str">
        <f t="array" ref="AA512">IF($F512&lt;&gt;"",XLOOKUP($F512,Productos!$A:$A,Productos!T:T,"Revisar"),"")</f>
        <v/>
      </c>
      <c r="AB512" s="179" t="str">
        <f t="array" ref="AB512">IF($F512&lt;&gt;"", XLOOKUP($F512,Productos!$A$2:$A1001,Productos!U$2:U1001,"")*$G512,"")</f>
        <v/>
      </c>
      <c r="AC512" s="179" t="str">
        <f t="array" ref="AC512">IF($F512&lt;&gt;"",XLOOKUP($F512,Productos!$A:$A,Productos!V:V,"Revisar"),"")</f>
        <v/>
      </c>
      <c r="AD512" s="179" t="str">
        <f t="array" ref="AD512">IF($F512&lt;&gt;"", XLOOKUP($F512,Productos!$A$2:$A1001,Productos!W$2:W1001,"")*$G512,"")</f>
        <v/>
      </c>
      <c r="AE512" s="179" t="str">
        <f t="array" ref="AE512">IF($F512&lt;&gt;"",XLOOKUP($F512,Productos!$A:$A,Productos!X:X,"Revisar"),"")</f>
        <v/>
      </c>
      <c r="AF512" s="179" t="str">
        <f t="array" ref="AF512">IF($F512&lt;&gt;"", XLOOKUP($F512,Productos!$A$2:$A1001,Productos!Y$2:Y1001,"")*$G512,"")</f>
        <v/>
      </c>
      <c r="AG512" s="179" t="str">
        <f t="array" ref="AG512">IF($F512&lt;&gt;"",XLOOKUP($F512,Productos!$A:$A,Productos!Z:Z,"Revisar"),"")</f>
        <v/>
      </c>
      <c r="AH512" s="179" t="str">
        <f t="array" ref="AH512">IF($F512&lt;&gt;"", XLOOKUP($F512,Productos!$A$2:$A1001,Productos!AA$2:AA1001,"")*$G512,"")</f>
        <v/>
      </c>
      <c r="AI512" s="179" t="str">
        <f t="array" ref="AI512">IF($F512&lt;&gt;"",XLOOKUP($F512,Productos!$A:$A,Productos!AB:AB,"Revisar"),"")</f>
        <v/>
      </c>
      <c r="AJ512" s="179" t="str">
        <f t="array" ref="AJ512">IF($F512&lt;&gt;"", XLOOKUP($F512,Productos!$A$2:$A1001,Productos!AC$2:AC1001,"")*$G512,"")</f>
        <v/>
      </c>
      <c r="AK512" s="179" t="str">
        <f t="array" ref="AK512">IF($F512&lt;&gt;"",XLOOKUP($F512,Productos!$A:$A,Productos!AD:AD,"Revisar"),"")</f>
        <v/>
      </c>
      <c r="AL512" s="179" t="str">
        <f t="array" ref="AL512">IF($F512&lt;&gt;"", XLOOKUP($F512,Productos!$A$2:$A1001,Productos!AE$2:AE1001,"")*$G512,"")</f>
        <v/>
      </c>
      <c r="AM512" s="179" t="str">
        <f t="array" ref="AM512">IF($F512&lt;&gt;"",XLOOKUP($F512,Productos!$A:$A,Productos!AF:AF,"Revisar"),"")</f>
        <v/>
      </c>
      <c r="AN512" s="179" t="str">
        <f t="array" ref="AN512">IF($F512&lt;&gt;"", XLOOKUP($F512,Productos!$A$2:$A1001,Productos!AG$2:AG1001,"")*$G512,"")</f>
        <v/>
      </c>
      <c r="AO512" s="179" t="str">
        <f t="array" ref="AO512">IF($F512&lt;&gt;"",XLOOKUP($F512,Productos!$A:$A,Productos!AH:AH,"Revisar"),"")</f>
        <v/>
      </c>
      <c r="AP512" s="179" t="str">
        <f t="array" ref="AP512">IF($F512&lt;&gt;"", XLOOKUP($F512,Productos!$A$2:$A1001,Productos!AI$2:AI1001,"")*$G512,"")</f>
        <v/>
      </c>
      <c r="AQ512" s="179" t="str">
        <f t="array" ref="AQ512">IF($F512&lt;&gt;"",XLOOKUP($F512,Productos!$A:$A,Productos!AJ:AJ,"Revisar"),"")</f>
        <v/>
      </c>
      <c r="AR512" s="179" t="str">
        <f t="array" ref="AR512">IF($F512&lt;&gt;"", XLOOKUP($F512,Productos!$A$2:$A1001,Productos!AK$2:AK1001,"")*$G512,"")</f>
        <v/>
      </c>
      <c r="AS512" s="179" t="str">
        <f t="array" ref="AS512">IF($F512&lt;&gt;"",XLOOKUP($F512,Productos!$A:$A,Productos!AL:AL,"Revisar"),"")</f>
        <v/>
      </c>
      <c r="AT512" s="179" t="str">
        <f t="array" ref="AT512">IF($F512&lt;&gt;"", XLOOKUP($F512,Productos!$A$2:$A1001,Productos!AM$2:AM1001,"")*$G512,"")</f>
        <v/>
      </c>
      <c r="AU512" s="179" t="str">
        <f t="array" ref="AU512">IF($F512&lt;&gt;"",XLOOKUP($F512,Productos!$A:$A,Productos!AN:AN,"Revisar"),"")</f>
        <v/>
      </c>
      <c r="AV512" s="179" t="str">
        <f t="array" ref="AV512">IF($F512&lt;&gt;"", XLOOKUP($F512,Productos!$A$2:$A1001,Productos!AO$2:AO1001,"")*$G512,"")</f>
        <v/>
      </c>
      <c r="AW512" s="179" t="str">
        <f t="array" ref="AW512">IF($F512&lt;&gt;"",XLOOKUP($F512,Productos!$A:$A,Productos!AP:AP,"Revisar"),"")</f>
        <v/>
      </c>
      <c r="AX512" s="179" t="str">
        <f t="array" ref="AX512">IF($F512&lt;&gt;"", XLOOKUP($F512,Productos!$A$2:$A1001,Productos!AQ$2:AQ1001,"")*$G512,"")</f>
        <v/>
      </c>
      <c r="AY512" s="179" t="str">
        <f t="array" ref="AY512">IF($F512&lt;&gt;"",XLOOKUP($F512,Productos!$A:$A,Productos!AR:AR,"Revisar"),"")</f>
        <v/>
      </c>
      <c r="AZ512" s="179" t="str">
        <f t="array" ref="AZ512">IF($F512&lt;&gt;"", XLOOKUP($F512,Productos!$A$2:$A1001,Productos!AS$2:AS1001,"")*$G512,"")</f>
        <v/>
      </c>
      <c r="BA512" s="179" t="str">
        <f t="array" ref="BA512">IF($F512&lt;&gt;"",XLOOKUP($F512,Productos!$A:$A,Productos!AT:AT,"Revisar"),"")</f>
        <v/>
      </c>
      <c r="BB512" s="179" t="str">
        <f t="array" ref="BB512">IF($F512&lt;&gt;"", XLOOKUP($F512,Productos!$A$2:$A1001,Productos!AU$2:AU1001,"")*$G512,"")</f>
        <v/>
      </c>
      <c r="BC512" s="179" t="str">
        <f t="array" ref="BC512">IF($F512&lt;&gt;"",XLOOKUP($F512,Productos!$A:$A,Productos!AV:AV,"Revisar"),"")</f>
        <v/>
      </c>
      <c r="BD512" s="179" t="str">
        <f t="array" ref="BD512">IF($F512&lt;&gt;"", XLOOKUP($F512,Productos!$A$2:$A1001,Productos!AW$2:AW1001,"")*$G512,"")</f>
        <v/>
      </c>
      <c r="BE512" s="179" t="str">
        <f t="array" ref="BE512">IF($F512&lt;&gt;"",XLOOKUP($F512,Productos!$A:$A,Productos!AX:AX,"Revisar"),"")</f>
        <v/>
      </c>
      <c r="BF512" s="179" t="str">
        <f t="array" ref="BF512">IF($F512&lt;&gt;"", XLOOKUP($F512,Productos!$A$2:$A1001,Productos!AY$2:AY1001,"")*$G512,"")</f>
        <v/>
      </c>
      <c r="BG512" s="179" t="str">
        <f t="array" ref="BG512">IF($F512&lt;&gt;"",XLOOKUP($F512,Productos!$A:$A,Productos!AZ:AZ,"Revisar"),"")</f>
        <v/>
      </c>
      <c r="BH512" s="179" t="str">
        <f t="array" ref="BH512">IF($F512&lt;&gt;"", XLOOKUP($F512,Productos!$A$2:$A1001,Productos!BA$2:BA1001,"")*$G512,"")</f>
        <v/>
      </c>
      <c r="BI512" s="179" t="str">
        <f t="array" ref="BI512">IF($F512&lt;&gt;"",XLOOKUP($F512,Productos!$A:$A,Productos!BB:BB,"Revisar"),"")</f>
        <v/>
      </c>
      <c r="BJ512" s="179" t="str">
        <f t="array" ref="BJ512">IF($F512&lt;&gt;"", XLOOKUP($F512,Productos!$A$2:$A1001,Productos!BC$2:BC1001,"")*$G512,"")</f>
        <v/>
      </c>
      <c r="BK512" s="179" t="str">
        <f t="array" ref="BK512">IF($F512&lt;&gt;"",XLOOKUP($F512,Productos!$A:$A,Productos!BD:BD,"Revisar"),"")</f>
        <v/>
      </c>
      <c r="BL512" s="179" t="str">
        <f t="array" ref="BL512">IF($F512&lt;&gt;"", XLOOKUP($F512,Productos!$A$2:$A1001,Productos!BE$2:BE1001,"")*$G512,"")</f>
        <v/>
      </c>
      <c r="BM512" s="179" t="str">
        <f t="array" ref="BM512">IF($F512&lt;&gt;"",XLOOKUP($F512,Productos!$A:$A,Productos!BF:BF,"Revisar"),"")</f>
        <v/>
      </c>
      <c r="BN512" s="179" t="str">
        <f t="array" ref="BN512">IF($F512&lt;&gt;"", XLOOKUP($F512,Productos!$A$2:$A1001,Productos!BG$2:BG1001,"")*$G512,"")</f>
        <v/>
      </c>
      <c r="BO512" s="179" t="str">
        <f t="array" ref="BO512">IF($F512&lt;&gt;"",XLOOKUP($F512,Productos!$A:$A,Productos!BH:BH,"Revisar"),"")</f>
        <v/>
      </c>
      <c r="BP512" s="179" t="str">
        <f t="array" ref="BP512">IF($F512&lt;&gt;"", XLOOKUP($F512,Productos!$A$2:$A1001,Productos!BI$2:BI1001,"")*$G512,"")</f>
        <v/>
      </c>
      <c r="BQ512" s="179" t="str">
        <f t="array" ref="BQ512">IF($F512&lt;&gt;"",XLOOKUP($F512,Productos!$A:$A,Productos!BJ:BJ,"Revisar"),"")</f>
        <v/>
      </c>
      <c r="BR512" s="179" t="str">
        <f t="array" ref="BR512">IF($F512&lt;&gt;"", XLOOKUP($F512,Productos!$A$2:$A1001,Productos!BK$2:BK1001,"")*$G512,"")</f>
        <v/>
      </c>
      <c r="BS512" s="179" t="str">
        <f t="array" ref="BS512">IF($F512&lt;&gt;"",XLOOKUP($F512,Productos!$A:$A,Productos!BL:BL,"Revisar"),"")</f>
        <v/>
      </c>
      <c r="BT512" s="179" t="str">
        <f t="array" ref="BT512">IF($F512&lt;&gt;"", XLOOKUP($F512,Productos!$A$2:$A1001,Productos!BM$2:BM1001,"")*$G512,"")</f>
        <v/>
      </c>
      <c r="BU512" s="179" t="str">
        <f t="array" ref="BU512">IF($F512&lt;&gt;"",XLOOKUP($F512,Productos!$A:$A,Productos!BN:BN,"Revisar"),"")</f>
        <v/>
      </c>
      <c r="BV512" s="179" t="str">
        <f t="array" ref="BV512">IF($F512&lt;&gt;"", XLOOKUP($F512,Productos!$A$2:$A1001,Productos!BO$2:BO1001,"")*$G512,"")</f>
        <v/>
      </c>
      <c r="BW512" s="179" t="str">
        <f t="array" ref="BW512">IF($F512&lt;&gt;"",XLOOKUP($F512,Productos!$A:$A,Productos!BP:BP,"Revisar"),"")</f>
        <v/>
      </c>
      <c r="BX512" s="179" t="str">
        <f t="array" ref="BX512">IF($F512&lt;&gt;"", XLOOKUP($F512,Productos!$A$2:$A1001,Productos!BQ$2:BQ1001,"")*$G512,"")</f>
        <v/>
      </c>
      <c r="BY512" s="179" t="str">
        <f t="array" ref="BY512">IF($F512&lt;&gt;"",XLOOKUP($F512,Productos!$A:$A,Productos!BR:BR,"Revisar"),"")</f>
        <v/>
      </c>
      <c r="BZ512" s="179" t="str">
        <f t="array" ref="BZ512">IF($F512&lt;&gt;"", XLOOKUP($F512,Productos!$A$2:$A1001,Productos!BS$2:BS1001,"")*$G512,"")</f>
        <v/>
      </c>
    </row>
    <row r="513">
      <c r="A513" s="188"/>
      <c r="B513" s="189"/>
      <c r="C513" s="190"/>
      <c r="D513" s="190"/>
      <c r="E513" s="191"/>
      <c r="F513" s="186"/>
      <c r="G513" s="192"/>
      <c r="H513" s="9"/>
      <c r="I513" s="179" t="str">
        <f t="array" ref="I513">IF($F513&lt;&gt;"",XLOOKUP($F513,Productos!$A:$A,Productos!B:B,"Revisar"),"")</f>
        <v/>
      </c>
      <c r="J513" s="179" t="str">
        <f t="array" ref="J513">IF($F513&lt;&gt;"", XLOOKUP($F513,Productos!$A$2:$A1001,Productos!C$2:C1001,"")*$G513,"")</f>
        <v/>
      </c>
      <c r="K513" s="179" t="str">
        <f t="array" ref="K513">IF($F513&lt;&gt;"",XLOOKUP($F513,Productos!$A:$A,Productos!D:D,"Revisar"),"")</f>
        <v/>
      </c>
      <c r="L513" s="179" t="str">
        <f t="array" ref="L513">IF($F513&lt;&gt;"", XLOOKUP($F513,Productos!$A$2:$A1001,Productos!E$2:E1001,"")*$G513,"")</f>
        <v/>
      </c>
      <c r="M513" s="179" t="str">
        <f t="array" ref="M513">IF($F513&lt;&gt;"",XLOOKUP($F513,Productos!$A:$A,Productos!F:F,"Revisar"),"")</f>
        <v/>
      </c>
      <c r="N513" s="179" t="str">
        <f t="array" ref="N513">IF($F513&lt;&gt;"", XLOOKUP($F513,Productos!$A$2:$A1001,Productos!G$2:G1001,"")*$G513,"")</f>
        <v/>
      </c>
      <c r="O513" s="179" t="str">
        <f t="array" ref="O513">IF($F513&lt;&gt;"",XLOOKUP($F513,Productos!$A:$A,Productos!H:H,"Revisar"),"")</f>
        <v/>
      </c>
      <c r="P513" s="179" t="str">
        <f t="array" ref="P513">IF($F513&lt;&gt;"", XLOOKUP($F513,Productos!$A$2:$A1001,Productos!I$2:I1001,"")*$G513,"")</f>
        <v/>
      </c>
      <c r="Q513" s="179" t="str">
        <f t="array" ref="Q513">IF($F513&lt;&gt;"",XLOOKUP($F513,Productos!$A:$A,Productos!J:J,"Revisar"),"")</f>
        <v/>
      </c>
      <c r="R513" s="179" t="str">
        <f t="array" ref="R513">IF($F513&lt;&gt;"", XLOOKUP($F513,Productos!$A$2:$A1001,Productos!K$2:K1001,"")*$G513,"")</f>
        <v/>
      </c>
      <c r="S513" s="179" t="str">
        <f t="array" ref="S513">IF($F513&lt;&gt;"",XLOOKUP($F513,Productos!$A:$A,Productos!L:L,"Revisar"),"")</f>
        <v/>
      </c>
      <c r="T513" s="179" t="str">
        <f t="array" ref="T513">IF($F513&lt;&gt;"", XLOOKUP($F513,Productos!$A$2:$A1001,Productos!M$2:M1001,"")*$G513,"")</f>
        <v/>
      </c>
      <c r="U513" s="179" t="str">
        <f t="array" ref="U513">IF($F513&lt;&gt;"",XLOOKUP($F513,Productos!$A:$A,Productos!N:N,"Revisar"),"")</f>
        <v/>
      </c>
      <c r="V513" s="179" t="str">
        <f t="array" ref="V513">IF($F513&lt;&gt;"", XLOOKUP($F513,Productos!$A$2:$A1001,Productos!O$2:O1001,"")*$G513,"")</f>
        <v/>
      </c>
      <c r="W513" s="179" t="str">
        <f t="array" ref="W513">IF($F513&lt;&gt;"",XLOOKUP($F513,Productos!$A:$A,Productos!P:P,"Revisar"),"")</f>
        <v/>
      </c>
      <c r="X513" s="179" t="str">
        <f t="array" ref="X513">IF($F513&lt;&gt;"", XLOOKUP($F513,Productos!$A$2:$A1001,Productos!Q$2:Q1001,"")*$G513,"")</f>
        <v/>
      </c>
      <c r="Y513" s="179" t="str">
        <f t="array" ref="Y513">IF($F513&lt;&gt;"",XLOOKUP($F513,Productos!$A:$A,Productos!R:R,"Revisar"),"")</f>
        <v/>
      </c>
      <c r="Z513" s="179" t="str">
        <f t="array" ref="Z513">IF($F513&lt;&gt;"", XLOOKUP($F513,Productos!$A$2:$A1001,Productos!S$2:S1001,"")*$G513,"")</f>
        <v/>
      </c>
      <c r="AA513" s="179" t="str">
        <f t="array" ref="AA513">IF($F513&lt;&gt;"",XLOOKUP($F513,Productos!$A:$A,Productos!T:T,"Revisar"),"")</f>
        <v/>
      </c>
      <c r="AB513" s="179" t="str">
        <f t="array" ref="AB513">IF($F513&lt;&gt;"", XLOOKUP($F513,Productos!$A$2:$A1001,Productos!U$2:U1001,"")*$G513,"")</f>
        <v/>
      </c>
      <c r="AC513" s="179" t="str">
        <f t="array" ref="AC513">IF($F513&lt;&gt;"",XLOOKUP($F513,Productos!$A:$A,Productos!V:V,"Revisar"),"")</f>
        <v/>
      </c>
      <c r="AD513" s="179" t="str">
        <f t="array" ref="AD513">IF($F513&lt;&gt;"", XLOOKUP($F513,Productos!$A$2:$A1001,Productos!W$2:W1001,"")*$G513,"")</f>
        <v/>
      </c>
      <c r="AE513" s="179" t="str">
        <f t="array" ref="AE513">IF($F513&lt;&gt;"",XLOOKUP($F513,Productos!$A:$A,Productos!X:X,"Revisar"),"")</f>
        <v/>
      </c>
      <c r="AF513" s="179" t="str">
        <f t="array" ref="AF513">IF($F513&lt;&gt;"", XLOOKUP($F513,Productos!$A$2:$A1001,Productos!Y$2:Y1001,"")*$G513,"")</f>
        <v/>
      </c>
      <c r="AG513" s="179" t="str">
        <f t="array" ref="AG513">IF($F513&lt;&gt;"",XLOOKUP($F513,Productos!$A:$A,Productos!Z:Z,"Revisar"),"")</f>
        <v/>
      </c>
      <c r="AH513" s="179" t="str">
        <f t="array" ref="AH513">IF($F513&lt;&gt;"", XLOOKUP($F513,Productos!$A$2:$A1001,Productos!AA$2:AA1001,"")*$G513,"")</f>
        <v/>
      </c>
      <c r="AI513" s="179" t="str">
        <f t="array" ref="AI513">IF($F513&lt;&gt;"",XLOOKUP($F513,Productos!$A:$A,Productos!AB:AB,"Revisar"),"")</f>
        <v/>
      </c>
      <c r="AJ513" s="179" t="str">
        <f t="array" ref="AJ513">IF($F513&lt;&gt;"", XLOOKUP($F513,Productos!$A$2:$A1001,Productos!AC$2:AC1001,"")*$G513,"")</f>
        <v/>
      </c>
      <c r="AK513" s="179" t="str">
        <f t="array" ref="AK513">IF($F513&lt;&gt;"",XLOOKUP($F513,Productos!$A:$A,Productos!AD:AD,"Revisar"),"")</f>
        <v/>
      </c>
      <c r="AL513" s="179" t="str">
        <f t="array" ref="AL513">IF($F513&lt;&gt;"", XLOOKUP($F513,Productos!$A$2:$A1001,Productos!AE$2:AE1001,"")*$G513,"")</f>
        <v/>
      </c>
      <c r="AM513" s="179" t="str">
        <f t="array" ref="AM513">IF($F513&lt;&gt;"",XLOOKUP($F513,Productos!$A:$A,Productos!AF:AF,"Revisar"),"")</f>
        <v/>
      </c>
      <c r="AN513" s="179" t="str">
        <f t="array" ref="AN513">IF($F513&lt;&gt;"", XLOOKUP($F513,Productos!$A$2:$A1001,Productos!AG$2:AG1001,"")*$G513,"")</f>
        <v/>
      </c>
      <c r="AO513" s="179" t="str">
        <f t="array" ref="AO513">IF($F513&lt;&gt;"",XLOOKUP($F513,Productos!$A:$A,Productos!AH:AH,"Revisar"),"")</f>
        <v/>
      </c>
      <c r="AP513" s="179" t="str">
        <f t="array" ref="AP513">IF($F513&lt;&gt;"", XLOOKUP($F513,Productos!$A$2:$A1001,Productos!AI$2:AI1001,"")*$G513,"")</f>
        <v/>
      </c>
      <c r="AQ513" s="179" t="str">
        <f t="array" ref="AQ513">IF($F513&lt;&gt;"",XLOOKUP($F513,Productos!$A:$A,Productos!AJ:AJ,"Revisar"),"")</f>
        <v/>
      </c>
      <c r="AR513" s="179" t="str">
        <f t="array" ref="AR513">IF($F513&lt;&gt;"", XLOOKUP($F513,Productos!$A$2:$A1001,Productos!AK$2:AK1001,"")*$G513,"")</f>
        <v/>
      </c>
      <c r="AS513" s="179" t="str">
        <f t="array" ref="AS513">IF($F513&lt;&gt;"",XLOOKUP($F513,Productos!$A:$A,Productos!AL:AL,"Revisar"),"")</f>
        <v/>
      </c>
      <c r="AT513" s="179" t="str">
        <f t="array" ref="AT513">IF($F513&lt;&gt;"", XLOOKUP($F513,Productos!$A$2:$A1001,Productos!AM$2:AM1001,"")*$G513,"")</f>
        <v/>
      </c>
      <c r="AU513" s="179" t="str">
        <f t="array" ref="AU513">IF($F513&lt;&gt;"",XLOOKUP($F513,Productos!$A:$A,Productos!AN:AN,"Revisar"),"")</f>
        <v/>
      </c>
      <c r="AV513" s="179" t="str">
        <f t="array" ref="AV513">IF($F513&lt;&gt;"", XLOOKUP($F513,Productos!$A$2:$A1001,Productos!AO$2:AO1001,"")*$G513,"")</f>
        <v/>
      </c>
      <c r="AW513" s="179" t="str">
        <f t="array" ref="AW513">IF($F513&lt;&gt;"",XLOOKUP($F513,Productos!$A:$A,Productos!AP:AP,"Revisar"),"")</f>
        <v/>
      </c>
      <c r="AX513" s="179" t="str">
        <f t="array" ref="AX513">IF($F513&lt;&gt;"", XLOOKUP($F513,Productos!$A$2:$A1001,Productos!AQ$2:AQ1001,"")*$G513,"")</f>
        <v/>
      </c>
      <c r="AY513" s="179" t="str">
        <f t="array" ref="AY513">IF($F513&lt;&gt;"",XLOOKUP($F513,Productos!$A:$A,Productos!AR:AR,"Revisar"),"")</f>
        <v/>
      </c>
      <c r="AZ513" s="179" t="str">
        <f t="array" ref="AZ513">IF($F513&lt;&gt;"", XLOOKUP($F513,Productos!$A$2:$A1001,Productos!AS$2:AS1001,"")*$G513,"")</f>
        <v/>
      </c>
      <c r="BA513" s="179" t="str">
        <f t="array" ref="BA513">IF($F513&lt;&gt;"",XLOOKUP($F513,Productos!$A:$A,Productos!AT:AT,"Revisar"),"")</f>
        <v/>
      </c>
      <c r="BB513" s="179" t="str">
        <f t="array" ref="BB513">IF($F513&lt;&gt;"", XLOOKUP($F513,Productos!$A$2:$A1001,Productos!AU$2:AU1001,"")*$G513,"")</f>
        <v/>
      </c>
      <c r="BC513" s="179" t="str">
        <f t="array" ref="BC513">IF($F513&lt;&gt;"",XLOOKUP($F513,Productos!$A:$A,Productos!AV:AV,"Revisar"),"")</f>
        <v/>
      </c>
      <c r="BD513" s="179" t="str">
        <f t="array" ref="BD513">IF($F513&lt;&gt;"", XLOOKUP($F513,Productos!$A$2:$A1001,Productos!AW$2:AW1001,"")*$G513,"")</f>
        <v/>
      </c>
      <c r="BE513" s="179" t="str">
        <f t="array" ref="BE513">IF($F513&lt;&gt;"",XLOOKUP($F513,Productos!$A:$A,Productos!AX:AX,"Revisar"),"")</f>
        <v/>
      </c>
      <c r="BF513" s="179" t="str">
        <f t="array" ref="BF513">IF($F513&lt;&gt;"", XLOOKUP($F513,Productos!$A$2:$A1001,Productos!AY$2:AY1001,"")*$G513,"")</f>
        <v/>
      </c>
      <c r="BG513" s="179" t="str">
        <f t="array" ref="BG513">IF($F513&lt;&gt;"",XLOOKUP($F513,Productos!$A:$A,Productos!AZ:AZ,"Revisar"),"")</f>
        <v/>
      </c>
      <c r="BH513" s="179" t="str">
        <f t="array" ref="BH513">IF($F513&lt;&gt;"", XLOOKUP($F513,Productos!$A$2:$A1001,Productos!BA$2:BA1001,"")*$G513,"")</f>
        <v/>
      </c>
      <c r="BI513" s="179" t="str">
        <f t="array" ref="BI513">IF($F513&lt;&gt;"",XLOOKUP($F513,Productos!$A:$A,Productos!BB:BB,"Revisar"),"")</f>
        <v/>
      </c>
      <c r="BJ513" s="179" t="str">
        <f t="array" ref="BJ513">IF($F513&lt;&gt;"", XLOOKUP($F513,Productos!$A$2:$A1001,Productos!BC$2:BC1001,"")*$G513,"")</f>
        <v/>
      </c>
      <c r="BK513" s="179" t="str">
        <f t="array" ref="BK513">IF($F513&lt;&gt;"",XLOOKUP($F513,Productos!$A:$A,Productos!BD:BD,"Revisar"),"")</f>
        <v/>
      </c>
      <c r="BL513" s="179" t="str">
        <f t="array" ref="BL513">IF($F513&lt;&gt;"", XLOOKUP($F513,Productos!$A$2:$A1001,Productos!BE$2:BE1001,"")*$G513,"")</f>
        <v/>
      </c>
      <c r="BM513" s="179" t="str">
        <f t="array" ref="BM513">IF($F513&lt;&gt;"",XLOOKUP($F513,Productos!$A:$A,Productos!BF:BF,"Revisar"),"")</f>
        <v/>
      </c>
      <c r="BN513" s="179" t="str">
        <f t="array" ref="BN513">IF($F513&lt;&gt;"", XLOOKUP($F513,Productos!$A$2:$A1001,Productos!BG$2:BG1001,"")*$G513,"")</f>
        <v/>
      </c>
      <c r="BO513" s="179" t="str">
        <f t="array" ref="BO513">IF($F513&lt;&gt;"",XLOOKUP($F513,Productos!$A:$A,Productos!BH:BH,"Revisar"),"")</f>
        <v/>
      </c>
      <c r="BP513" s="179" t="str">
        <f t="array" ref="BP513">IF($F513&lt;&gt;"", XLOOKUP($F513,Productos!$A$2:$A1001,Productos!BI$2:BI1001,"")*$G513,"")</f>
        <v/>
      </c>
      <c r="BQ513" s="179" t="str">
        <f t="array" ref="BQ513">IF($F513&lt;&gt;"",XLOOKUP($F513,Productos!$A:$A,Productos!BJ:BJ,"Revisar"),"")</f>
        <v/>
      </c>
      <c r="BR513" s="179" t="str">
        <f t="array" ref="BR513">IF($F513&lt;&gt;"", XLOOKUP($F513,Productos!$A$2:$A1001,Productos!BK$2:BK1001,"")*$G513,"")</f>
        <v/>
      </c>
      <c r="BS513" s="179" t="str">
        <f t="array" ref="BS513">IF($F513&lt;&gt;"",XLOOKUP($F513,Productos!$A:$A,Productos!BL:BL,"Revisar"),"")</f>
        <v/>
      </c>
      <c r="BT513" s="179" t="str">
        <f t="array" ref="BT513">IF($F513&lt;&gt;"", XLOOKUP($F513,Productos!$A$2:$A1001,Productos!BM$2:BM1001,"")*$G513,"")</f>
        <v/>
      </c>
      <c r="BU513" s="179" t="str">
        <f t="array" ref="BU513">IF($F513&lt;&gt;"",XLOOKUP($F513,Productos!$A:$A,Productos!BN:BN,"Revisar"),"")</f>
        <v/>
      </c>
      <c r="BV513" s="179" t="str">
        <f t="array" ref="BV513">IF($F513&lt;&gt;"", XLOOKUP($F513,Productos!$A$2:$A1001,Productos!BO$2:BO1001,"")*$G513,"")</f>
        <v/>
      </c>
      <c r="BW513" s="179" t="str">
        <f t="array" ref="BW513">IF($F513&lt;&gt;"",XLOOKUP($F513,Productos!$A:$A,Productos!BP:BP,"Revisar"),"")</f>
        <v/>
      </c>
      <c r="BX513" s="179" t="str">
        <f t="array" ref="BX513">IF($F513&lt;&gt;"", XLOOKUP($F513,Productos!$A$2:$A1001,Productos!BQ$2:BQ1001,"")*$G513,"")</f>
        <v/>
      </c>
      <c r="BY513" s="179" t="str">
        <f t="array" ref="BY513">IF($F513&lt;&gt;"",XLOOKUP($F513,Productos!$A:$A,Productos!BR:BR,"Revisar"),"")</f>
        <v/>
      </c>
      <c r="BZ513" s="179" t="str">
        <f t="array" ref="BZ513">IF($F513&lt;&gt;"", XLOOKUP($F513,Productos!$A$2:$A1001,Productos!BS$2:BS1001,"")*$G513,"")</f>
        <v/>
      </c>
    </row>
    <row r="514">
      <c r="A514" s="188"/>
      <c r="B514" s="189"/>
      <c r="C514" s="190"/>
      <c r="D514" s="190"/>
      <c r="E514" s="191"/>
      <c r="F514" s="186"/>
      <c r="G514" s="192"/>
      <c r="H514" s="9"/>
      <c r="I514" s="179" t="str">
        <f t="array" ref="I514">IF($F514&lt;&gt;"",XLOOKUP($F514,Productos!$A:$A,Productos!B:B,"Revisar"),"")</f>
        <v/>
      </c>
      <c r="J514" s="179" t="str">
        <f t="array" ref="J514">IF($F514&lt;&gt;"", XLOOKUP($F514,Productos!$A$2:$A1001,Productos!C$2:C1001,"")*$G514,"")</f>
        <v/>
      </c>
      <c r="K514" s="179" t="str">
        <f t="array" ref="K514">IF($F514&lt;&gt;"",XLOOKUP($F514,Productos!$A:$A,Productos!D:D,"Revisar"),"")</f>
        <v/>
      </c>
      <c r="L514" s="179" t="str">
        <f t="array" ref="L514">IF($F514&lt;&gt;"", XLOOKUP($F514,Productos!$A$2:$A1001,Productos!E$2:E1001,"")*$G514,"")</f>
        <v/>
      </c>
      <c r="M514" s="179" t="str">
        <f t="array" ref="M514">IF($F514&lt;&gt;"",XLOOKUP($F514,Productos!$A:$A,Productos!F:F,"Revisar"),"")</f>
        <v/>
      </c>
      <c r="N514" s="179" t="str">
        <f t="array" ref="N514">IF($F514&lt;&gt;"", XLOOKUP($F514,Productos!$A$2:$A1001,Productos!G$2:G1001,"")*$G514,"")</f>
        <v/>
      </c>
      <c r="O514" s="179" t="str">
        <f t="array" ref="O514">IF($F514&lt;&gt;"",XLOOKUP($F514,Productos!$A:$A,Productos!H:H,"Revisar"),"")</f>
        <v/>
      </c>
      <c r="P514" s="179" t="str">
        <f t="array" ref="P514">IF($F514&lt;&gt;"", XLOOKUP($F514,Productos!$A$2:$A1001,Productos!I$2:I1001,"")*$G514,"")</f>
        <v/>
      </c>
      <c r="Q514" s="179" t="str">
        <f t="array" ref="Q514">IF($F514&lt;&gt;"",XLOOKUP($F514,Productos!$A:$A,Productos!J:J,"Revisar"),"")</f>
        <v/>
      </c>
      <c r="R514" s="179" t="str">
        <f t="array" ref="R514">IF($F514&lt;&gt;"", XLOOKUP($F514,Productos!$A$2:$A1001,Productos!K$2:K1001,"")*$G514,"")</f>
        <v/>
      </c>
      <c r="S514" s="179" t="str">
        <f t="array" ref="S514">IF($F514&lt;&gt;"",XLOOKUP($F514,Productos!$A:$A,Productos!L:L,"Revisar"),"")</f>
        <v/>
      </c>
      <c r="T514" s="179" t="str">
        <f t="array" ref="T514">IF($F514&lt;&gt;"", XLOOKUP($F514,Productos!$A$2:$A1001,Productos!M$2:M1001,"")*$G514,"")</f>
        <v/>
      </c>
      <c r="U514" s="179" t="str">
        <f t="array" ref="U514">IF($F514&lt;&gt;"",XLOOKUP($F514,Productos!$A:$A,Productos!N:N,"Revisar"),"")</f>
        <v/>
      </c>
      <c r="V514" s="179" t="str">
        <f t="array" ref="V514">IF($F514&lt;&gt;"", XLOOKUP($F514,Productos!$A$2:$A1001,Productos!O$2:O1001,"")*$G514,"")</f>
        <v/>
      </c>
      <c r="W514" s="179" t="str">
        <f t="array" ref="W514">IF($F514&lt;&gt;"",XLOOKUP($F514,Productos!$A:$A,Productos!P:P,"Revisar"),"")</f>
        <v/>
      </c>
      <c r="X514" s="179" t="str">
        <f t="array" ref="X514">IF($F514&lt;&gt;"", XLOOKUP($F514,Productos!$A$2:$A1001,Productos!Q$2:Q1001,"")*$G514,"")</f>
        <v/>
      </c>
      <c r="Y514" s="179" t="str">
        <f t="array" ref="Y514">IF($F514&lt;&gt;"",XLOOKUP($F514,Productos!$A:$A,Productos!R:R,"Revisar"),"")</f>
        <v/>
      </c>
      <c r="Z514" s="179" t="str">
        <f t="array" ref="Z514">IF($F514&lt;&gt;"", XLOOKUP($F514,Productos!$A$2:$A1001,Productos!S$2:S1001,"")*$G514,"")</f>
        <v/>
      </c>
      <c r="AA514" s="179" t="str">
        <f t="array" ref="AA514">IF($F514&lt;&gt;"",XLOOKUP($F514,Productos!$A:$A,Productos!T:T,"Revisar"),"")</f>
        <v/>
      </c>
      <c r="AB514" s="179" t="str">
        <f t="array" ref="AB514">IF($F514&lt;&gt;"", XLOOKUP($F514,Productos!$A$2:$A1001,Productos!U$2:U1001,"")*$G514,"")</f>
        <v/>
      </c>
      <c r="AC514" s="179" t="str">
        <f t="array" ref="AC514">IF($F514&lt;&gt;"",XLOOKUP($F514,Productos!$A:$A,Productos!V:V,"Revisar"),"")</f>
        <v/>
      </c>
      <c r="AD514" s="179" t="str">
        <f t="array" ref="AD514">IF($F514&lt;&gt;"", XLOOKUP($F514,Productos!$A$2:$A1001,Productos!W$2:W1001,"")*$G514,"")</f>
        <v/>
      </c>
      <c r="AE514" s="179" t="str">
        <f t="array" ref="AE514">IF($F514&lt;&gt;"",XLOOKUP($F514,Productos!$A:$A,Productos!X:X,"Revisar"),"")</f>
        <v/>
      </c>
      <c r="AF514" s="179" t="str">
        <f t="array" ref="AF514">IF($F514&lt;&gt;"", XLOOKUP($F514,Productos!$A$2:$A1001,Productos!Y$2:Y1001,"")*$G514,"")</f>
        <v/>
      </c>
      <c r="AG514" s="179" t="str">
        <f t="array" ref="AG514">IF($F514&lt;&gt;"",XLOOKUP($F514,Productos!$A:$A,Productos!Z:Z,"Revisar"),"")</f>
        <v/>
      </c>
      <c r="AH514" s="179" t="str">
        <f t="array" ref="AH514">IF($F514&lt;&gt;"", XLOOKUP($F514,Productos!$A$2:$A1001,Productos!AA$2:AA1001,"")*$G514,"")</f>
        <v/>
      </c>
      <c r="AI514" s="179" t="str">
        <f t="array" ref="AI514">IF($F514&lt;&gt;"",XLOOKUP($F514,Productos!$A:$A,Productos!AB:AB,"Revisar"),"")</f>
        <v/>
      </c>
      <c r="AJ514" s="179" t="str">
        <f t="array" ref="AJ514">IF($F514&lt;&gt;"", XLOOKUP($F514,Productos!$A$2:$A1001,Productos!AC$2:AC1001,"")*$G514,"")</f>
        <v/>
      </c>
      <c r="AK514" s="179" t="str">
        <f t="array" ref="AK514">IF($F514&lt;&gt;"",XLOOKUP($F514,Productos!$A:$A,Productos!AD:AD,"Revisar"),"")</f>
        <v/>
      </c>
      <c r="AL514" s="179" t="str">
        <f t="array" ref="AL514">IF($F514&lt;&gt;"", XLOOKUP($F514,Productos!$A$2:$A1001,Productos!AE$2:AE1001,"")*$G514,"")</f>
        <v/>
      </c>
      <c r="AM514" s="179" t="str">
        <f t="array" ref="AM514">IF($F514&lt;&gt;"",XLOOKUP($F514,Productos!$A:$A,Productos!AF:AF,"Revisar"),"")</f>
        <v/>
      </c>
      <c r="AN514" s="179" t="str">
        <f t="array" ref="AN514">IF($F514&lt;&gt;"", XLOOKUP($F514,Productos!$A$2:$A1001,Productos!AG$2:AG1001,"")*$G514,"")</f>
        <v/>
      </c>
      <c r="AO514" s="179" t="str">
        <f t="array" ref="AO514">IF($F514&lt;&gt;"",XLOOKUP($F514,Productos!$A:$A,Productos!AH:AH,"Revisar"),"")</f>
        <v/>
      </c>
      <c r="AP514" s="179" t="str">
        <f t="array" ref="AP514">IF($F514&lt;&gt;"", XLOOKUP($F514,Productos!$A$2:$A1001,Productos!AI$2:AI1001,"")*$G514,"")</f>
        <v/>
      </c>
      <c r="AQ514" s="179" t="str">
        <f t="array" ref="AQ514">IF($F514&lt;&gt;"",XLOOKUP($F514,Productos!$A:$A,Productos!AJ:AJ,"Revisar"),"")</f>
        <v/>
      </c>
      <c r="AR514" s="179" t="str">
        <f t="array" ref="AR514">IF($F514&lt;&gt;"", XLOOKUP($F514,Productos!$A$2:$A1001,Productos!AK$2:AK1001,"")*$G514,"")</f>
        <v/>
      </c>
      <c r="AS514" s="179" t="str">
        <f t="array" ref="AS514">IF($F514&lt;&gt;"",XLOOKUP($F514,Productos!$A:$A,Productos!AL:AL,"Revisar"),"")</f>
        <v/>
      </c>
      <c r="AT514" s="179" t="str">
        <f t="array" ref="AT514">IF($F514&lt;&gt;"", XLOOKUP($F514,Productos!$A$2:$A1001,Productos!AM$2:AM1001,"")*$G514,"")</f>
        <v/>
      </c>
      <c r="AU514" s="179" t="str">
        <f t="array" ref="AU514">IF($F514&lt;&gt;"",XLOOKUP($F514,Productos!$A:$A,Productos!AN:AN,"Revisar"),"")</f>
        <v/>
      </c>
      <c r="AV514" s="179" t="str">
        <f t="array" ref="AV514">IF($F514&lt;&gt;"", XLOOKUP($F514,Productos!$A$2:$A1001,Productos!AO$2:AO1001,"")*$G514,"")</f>
        <v/>
      </c>
      <c r="AW514" s="179" t="str">
        <f t="array" ref="AW514">IF($F514&lt;&gt;"",XLOOKUP($F514,Productos!$A:$A,Productos!AP:AP,"Revisar"),"")</f>
        <v/>
      </c>
      <c r="AX514" s="179" t="str">
        <f t="array" ref="AX514">IF($F514&lt;&gt;"", XLOOKUP($F514,Productos!$A$2:$A1001,Productos!AQ$2:AQ1001,"")*$G514,"")</f>
        <v/>
      </c>
      <c r="AY514" s="179" t="str">
        <f t="array" ref="AY514">IF($F514&lt;&gt;"",XLOOKUP($F514,Productos!$A:$A,Productos!AR:AR,"Revisar"),"")</f>
        <v/>
      </c>
      <c r="AZ514" s="179" t="str">
        <f t="array" ref="AZ514">IF($F514&lt;&gt;"", XLOOKUP($F514,Productos!$A$2:$A1001,Productos!AS$2:AS1001,"")*$G514,"")</f>
        <v/>
      </c>
      <c r="BA514" s="179" t="str">
        <f t="array" ref="BA514">IF($F514&lt;&gt;"",XLOOKUP($F514,Productos!$A:$A,Productos!AT:AT,"Revisar"),"")</f>
        <v/>
      </c>
      <c r="BB514" s="179" t="str">
        <f t="array" ref="BB514">IF($F514&lt;&gt;"", XLOOKUP($F514,Productos!$A$2:$A1001,Productos!AU$2:AU1001,"")*$G514,"")</f>
        <v/>
      </c>
      <c r="BC514" s="179" t="str">
        <f t="array" ref="BC514">IF($F514&lt;&gt;"",XLOOKUP($F514,Productos!$A:$A,Productos!AV:AV,"Revisar"),"")</f>
        <v/>
      </c>
      <c r="BD514" s="179" t="str">
        <f t="array" ref="BD514">IF($F514&lt;&gt;"", XLOOKUP($F514,Productos!$A$2:$A1001,Productos!AW$2:AW1001,"")*$G514,"")</f>
        <v/>
      </c>
      <c r="BE514" s="179" t="str">
        <f t="array" ref="BE514">IF($F514&lt;&gt;"",XLOOKUP($F514,Productos!$A:$A,Productos!AX:AX,"Revisar"),"")</f>
        <v/>
      </c>
      <c r="BF514" s="179" t="str">
        <f t="array" ref="BF514">IF($F514&lt;&gt;"", XLOOKUP($F514,Productos!$A$2:$A1001,Productos!AY$2:AY1001,"")*$G514,"")</f>
        <v/>
      </c>
      <c r="BG514" s="179" t="str">
        <f t="array" ref="BG514">IF($F514&lt;&gt;"",XLOOKUP($F514,Productos!$A:$A,Productos!AZ:AZ,"Revisar"),"")</f>
        <v/>
      </c>
      <c r="BH514" s="179" t="str">
        <f t="array" ref="BH514">IF($F514&lt;&gt;"", XLOOKUP($F514,Productos!$A$2:$A1001,Productos!BA$2:BA1001,"")*$G514,"")</f>
        <v/>
      </c>
      <c r="BI514" s="179" t="str">
        <f t="array" ref="BI514">IF($F514&lt;&gt;"",XLOOKUP($F514,Productos!$A:$A,Productos!BB:BB,"Revisar"),"")</f>
        <v/>
      </c>
      <c r="BJ514" s="179" t="str">
        <f t="array" ref="BJ514">IF($F514&lt;&gt;"", XLOOKUP($F514,Productos!$A$2:$A1001,Productos!BC$2:BC1001,"")*$G514,"")</f>
        <v/>
      </c>
      <c r="BK514" s="179" t="str">
        <f t="array" ref="BK514">IF($F514&lt;&gt;"",XLOOKUP($F514,Productos!$A:$A,Productos!BD:BD,"Revisar"),"")</f>
        <v/>
      </c>
      <c r="BL514" s="179" t="str">
        <f t="array" ref="BL514">IF($F514&lt;&gt;"", XLOOKUP($F514,Productos!$A$2:$A1001,Productos!BE$2:BE1001,"")*$G514,"")</f>
        <v/>
      </c>
      <c r="BM514" s="179" t="str">
        <f t="array" ref="BM514">IF($F514&lt;&gt;"",XLOOKUP($F514,Productos!$A:$A,Productos!BF:BF,"Revisar"),"")</f>
        <v/>
      </c>
      <c r="BN514" s="179" t="str">
        <f t="array" ref="BN514">IF($F514&lt;&gt;"", XLOOKUP($F514,Productos!$A$2:$A1001,Productos!BG$2:BG1001,"")*$G514,"")</f>
        <v/>
      </c>
      <c r="BO514" s="179" t="str">
        <f t="array" ref="BO514">IF($F514&lt;&gt;"",XLOOKUP($F514,Productos!$A:$A,Productos!BH:BH,"Revisar"),"")</f>
        <v/>
      </c>
      <c r="BP514" s="179" t="str">
        <f t="array" ref="BP514">IF($F514&lt;&gt;"", XLOOKUP($F514,Productos!$A$2:$A1001,Productos!BI$2:BI1001,"")*$G514,"")</f>
        <v/>
      </c>
      <c r="BQ514" s="179" t="str">
        <f t="array" ref="BQ514">IF($F514&lt;&gt;"",XLOOKUP($F514,Productos!$A:$A,Productos!BJ:BJ,"Revisar"),"")</f>
        <v/>
      </c>
      <c r="BR514" s="179" t="str">
        <f t="array" ref="BR514">IF($F514&lt;&gt;"", XLOOKUP($F514,Productos!$A$2:$A1001,Productos!BK$2:BK1001,"")*$G514,"")</f>
        <v/>
      </c>
      <c r="BS514" s="179" t="str">
        <f t="array" ref="BS514">IF($F514&lt;&gt;"",XLOOKUP($F514,Productos!$A:$A,Productos!BL:BL,"Revisar"),"")</f>
        <v/>
      </c>
      <c r="BT514" s="179" t="str">
        <f t="array" ref="BT514">IF($F514&lt;&gt;"", XLOOKUP($F514,Productos!$A$2:$A1001,Productos!BM$2:BM1001,"")*$G514,"")</f>
        <v/>
      </c>
      <c r="BU514" s="179" t="str">
        <f t="array" ref="BU514">IF($F514&lt;&gt;"",XLOOKUP($F514,Productos!$A:$A,Productos!BN:BN,"Revisar"),"")</f>
        <v/>
      </c>
      <c r="BV514" s="179" t="str">
        <f t="array" ref="BV514">IF($F514&lt;&gt;"", XLOOKUP($F514,Productos!$A$2:$A1001,Productos!BO$2:BO1001,"")*$G514,"")</f>
        <v/>
      </c>
      <c r="BW514" s="179" t="str">
        <f t="array" ref="BW514">IF($F514&lt;&gt;"",XLOOKUP($F514,Productos!$A:$A,Productos!BP:BP,"Revisar"),"")</f>
        <v/>
      </c>
      <c r="BX514" s="179" t="str">
        <f t="array" ref="BX514">IF($F514&lt;&gt;"", XLOOKUP($F514,Productos!$A$2:$A1001,Productos!BQ$2:BQ1001,"")*$G514,"")</f>
        <v/>
      </c>
      <c r="BY514" s="179" t="str">
        <f t="array" ref="BY514">IF($F514&lt;&gt;"",XLOOKUP($F514,Productos!$A:$A,Productos!BR:BR,"Revisar"),"")</f>
        <v/>
      </c>
      <c r="BZ514" s="179" t="str">
        <f t="array" ref="BZ514">IF($F514&lt;&gt;"", XLOOKUP($F514,Productos!$A$2:$A1001,Productos!BS$2:BS1001,"")*$G514,"")</f>
        <v/>
      </c>
    </row>
    <row r="515">
      <c r="A515" s="188"/>
      <c r="B515" s="189"/>
      <c r="C515" s="190"/>
      <c r="D515" s="190"/>
      <c r="E515" s="191"/>
      <c r="F515" s="186"/>
      <c r="G515" s="192"/>
      <c r="H515" s="9"/>
      <c r="I515" s="179" t="str">
        <f t="array" ref="I515">IF($F515&lt;&gt;"",XLOOKUP($F515,Productos!$A:$A,Productos!B:B,"Revisar"),"")</f>
        <v/>
      </c>
      <c r="J515" s="179" t="str">
        <f t="array" ref="J515">IF($F515&lt;&gt;"", XLOOKUP($F515,Productos!$A$2:$A1001,Productos!C$2:C1001,"")*$G515,"")</f>
        <v/>
      </c>
      <c r="K515" s="179" t="str">
        <f t="array" ref="K515">IF($F515&lt;&gt;"",XLOOKUP($F515,Productos!$A:$A,Productos!D:D,"Revisar"),"")</f>
        <v/>
      </c>
      <c r="L515" s="179" t="str">
        <f t="array" ref="L515">IF($F515&lt;&gt;"", XLOOKUP($F515,Productos!$A$2:$A1001,Productos!E$2:E1001,"")*$G515,"")</f>
        <v/>
      </c>
      <c r="M515" s="179" t="str">
        <f t="array" ref="M515">IF($F515&lt;&gt;"",XLOOKUP($F515,Productos!$A:$A,Productos!F:F,"Revisar"),"")</f>
        <v/>
      </c>
      <c r="N515" s="179" t="str">
        <f t="array" ref="N515">IF($F515&lt;&gt;"", XLOOKUP($F515,Productos!$A$2:$A1001,Productos!G$2:G1001,"")*$G515,"")</f>
        <v/>
      </c>
      <c r="O515" s="179" t="str">
        <f t="array" ref="O515">IF($F515&lt;&gt;"",XLOOKUP($F515,Productos!$A:$A,Productos!H:H,"Revisar"),"")</f>
        <v/>
      </c>
      <c r="P515" s="179" t="str">
        <f t="array" ref="P515">IF($F515&lt;&gt;"", XLOOKUP($F515,Productos!$A$2:$A1001,Productos!I$2:I1001,"")*$G515,"")</f>
        <v/>
      </c>
      <c r="Q515" s="179" t="str">
        <f t="array" ref="Q515">IF($F515&lt;&gt;"",XLOOKUP($F515,Productos!$A:$A,Productos!J:J,"Revisar"),"")</f>
        <v/>
      </c>
      <c r="R515" s="179" t="str">
        <f t="array" ref="R515">IF($F515&lt;&gt;"", XLOOKUP($F515,Productos!$A$2:$A1001,Productos!K$2:K1001,"")*$G515,"")</f>
        <v/>
      </c>
      <c r="S515" s="179" t="str">
        <f t="array" ref="S515">IF($F515&lt;&gt;"",XLOOKUP($F515,Productos!$A:$A,Productos!L:L,"Revisar"),"")</f>
        <v/>
      </c>
      <c r="T515" s="179" t="str">
        <f t="array" ref="T515">IF($F515&lt;&gt;"", XLOOKUP($F515,Productos!$A$2:$A1001,Productos!M$2:M1001,"")*$G515,"")</f>
        <v/>
      </c>
      <c r="U515" s="179" t="str">
        <f t="array" ref="U515">IF($F515&lt;&gt;"",XLOOKUP($F515,Productos!$A:$A,Productos!N:N,"Revisar"),"")</f>
        <v/>
      </c>
      <c r="V515" s="179" t="str">
        <f t="array" ref="V515">IF($F515&lt;&gt;"", XLOOKUP($F515,Productos!$A$2:$A1001,Productos!O$2:O1001,"")*$G515,"")</f>
        <v/>
      </c>
      <c r="W515" s="179" t="str">
        <f t="array" ref="W515">IF($F515&lt;&gt;"",XLOOKUP($F515,Productos!$A:$A,Productos!P:P,"Revisar"),"")</f>
        <v/>
      </c>
      <c r="X515" s="179" t="str">
        <f t="array" ref="X515">IF($F515&lt;&gt;"", XLOOKUP($F515,Productos!$A$2:$A1001,Productos!Q$2:Q1001,"")*$G515,"")</f>
        <v/>
      </c>
      <c r="Y515" s="179" t="str">
        <f t="array" ref="Y515">IF($F515&lt;&gt;"",XLOOKUP($F515,Productos!$A:$A,Productos!R:R,"Revisar"),"")</f>
        <v/>
      </c>
      <c r="Z515" s="179" t="str">
        <f t="array" ref="Z515">IF($F515&lt;&gt;"", XLOOKUP($F515,Productos!$A$2:$A1001,Productos!S$2:S1001,"")*$G515,"")</f>
        <v/>
      </c>
      <c r="AA515" s="179" t="str">
        <f t="array" ref="AA515">IF($F515&lt;&gt;"",XLOOKUP($F515,Productos!$A:$A,Productos!T:T,"Revisar"),"")</f>
        <v/>
      </c>
      <c r="AB515" s="179" t="str">
        <f t="array" ref="AB515">IF($F515&lt;&gt;"", XLOOKUP($F515,Productos!$A$2:$A1001,Productos!U$2:U1001,"")*$G515,"")</f>
        <v/>
      </c>
      <c r="AC515" s="179" t="str">
        <f t="array" ref="AC515">IF($F515&lt;&gt;"",XLOOKUP($F515,Productos!$A:$A,Productos!V:V,"Revisar"),"")</f>
        <v/>
      </c>
      <c r="AD515" s="179" t="str">
        <f t="array" ref="AD515">IF($F515&lt;&gt;"", XLOOKUP($F515,Productos!$A$2:$A1001,Productos!W$2:W1001,"")*$G515,"")</f>
        <v/>
      </c>
      <c r="AE515" s="179" t="str">
        <f t="array" ref="AE515">IF($F515&lt;&gt;"",XLOOKUP($F515,Productos!$A:$A,Productos!X:X,"Revisar"),"")</f>
        <v/>
      </c>
      <c r="AF515" s="179" t="str">
        <f t="array" ref="AF515">IF($F515&lt;&gt;"", XLOOKUP($F515,Productos!$A$2:$A1001,Productos!Y$2:Y1001,"")*$G515,"")</f>
        <v/>
      </c>
      <c r="AG515" s="179" t="str">
        <f t="array" ref="AG515">IF($F515&lt;&gt;"",XLOOKUP($F515,Productos!$A:$A,Productos!Z:Z,"Revisar"),"")</f>
        <v/>
      </c>
      <c r="AH515" s="179" t="str">
        <f t="array" ref="AH515">IF($F515&lt;&gt;"", XLOOKUP($F515,Productos!$A$2:$A1001,Productos!AA$2:AA1001,"")*$G515,"")</f>
        <v/>
      </c>
      <c r="AI515" s="179" t="str">
        <f t="array" ref="AI515">IF($F515&lt;&gt;"",XLOOKUP($F515,Productos!$A:$A,Productos!AB:AB,"Revisar"),"")</f>
        <v/>
      </c>
      <c r="AJ515" s="179" t="str">
        <f t="array" ref="AJ515">IF($F515&lt;&gt;"", XLOOKUP($F515,Productos!$A$2:$A1001,Productos!AC$2:AC1001,"")*$G515,"")</f>
        <v/>
      </c>
      <c r="AK515" s="179" t="str">
        <f t="array" ref="AK515">IF($F515&lt;&gt;"",XLOOKUP($F515,Productos!$A:$A,Productos!AD:AD,"Revisar"),"")</f>
        <v/>
      </c>
      <c r="AL515" s="179" t="str">
        <f t="array" ref="AL515">IF($F515&lt;&gt;"", XLOOKUP($F515,Productos!$A$2:$A1001,Productos!AE$2:AE1001,"")*$G515,"")</f>
        <v/>
      </c>
      <c r="AM515" s="179" t="str">
        <f t="array" ref="AM515">IF($F515&lt;&gt;"",XLOOKUP($F515,Productos!$A:$A,Productos!AF:AF,"Revisar"),"")</f>
        <v/>
      </c>
      <c r="AN515" s="179" t="str">
        <f t="array" ref="AN515">IF($F515&lt;&gt;"", XLOOKUP($F515,Productos!$A$2:$A1001,Productos!AG$2:AG1001,"")*$G515,"")</f>
        <v/>
      </c>
      <c r="AO515" s="179" t="str">
        <f t="array" ref="AO515">IF($F515&lt;&gt;"",XLOOKUP($F515,Productos!$A:$A,Productos!AH:AH,"Revisar"),"")</f>
        <v/>
      </c>
      <c r="AP515" s="179" t="str">
        <f t="array" ref="AP515">IF($F515&lt;&gt;"", XLOOKUP($F515,Productos!$A$2:$A1001,Productos!AI$2:AI1001,"")*$G515,"")</f>
        <v/>
      </c>
      <c r="AQ515" s="179" t="str">
        <f t="array" ref="AQ515">IF($F515&lt;&gt;"",XLOOKUP($F515,Productos!$A:$A,Productos!AJ:AJ,"Revisar"),"")</f>
        <v/>
      </c>
      <c r="AR515" s="179" t="str">
        <f t="array" ref="AR515">IF($F515&lt;&gt;"", XLOOKUP($F515,Productos!$A$2:$A1001,Productos!AK$2:AK1001,"")*$G515,"")</f>
        <v/>
      </c>
      <c r="AS515" s="179" t="str">
        <f t="array" ref="AS515">IF($F515&lt;&gt;"",XLOOKUP($F515,Productos!$A:$A,Productos!AL:AL,"Revisar"),"")</f>
        <v/>
      </c>
      <c r="AT515" s="179" t="str">
        <f t="array" ref="AT515">IF($F515&lt;&gt;"", XLOOKUP($F515,Productos!$A$2:$A1001,Productos!AM$2:AM1001,"")*$G515,"")</f>
        <v/>
      </c>
      <c r="AU515" s="179" t="str">
        <f t="array" ref="AU515">IF($F515&lt;&gt;"",XLOOKUP($F515,Productos!$A:$A,Productos!AN:AN,"Revisar"),"")</f>
        <v/>
      </c>
      <c r="AV515" s="179" t="str">
        <f t="array" ref="AV515">IF($F515&lt;&gt;"", XLOOKUP($F515,Productos!$A$2:$A1001,Productos!AO$2:AO1001,"")*$G515,"")</f>
        <v/>
      </c>
      <c r="AW515" s="179" t="str">
        <f t="array" ref="AW515">IF($F515&lt;&gt;"",XLOOKUP($F515,Productos!$A:$A,Productos!AP:AP,"Revisar"),"")</f>
        <v/>
      </c>
      <c r="AX515" s="179" t="str">
        <f t="array" ref="AX515">IF($F515&lt;&gt;"", XLOOKUP($F515,Productos!$A$2:$A1001,Productos!AQ$2:AQ1001,"")*$G515,"")</f>
        <v/>
      </c>
      <c r="AY515" s="179" t="str">
        <f t="array" ref="AY515">IF($F515&lt;&gt;"",XLOOKUP($F515,Productos!$A:$A,Productos!AR:AR,"Revisar"),"")</f>
        <v/>
      </c>
      <c r="AZ515" s="179" t="str">
        <f t="array" ref="AZ515">IF($F515&lt;&gt;"", XLOOKUP($F515,Productos!$A$2:$A1001,Productos!AS$2:AS1001,"")*$G515,"")</f>
        <v/>
      </c>
      <c r="BA515" s="179" t="str">
        <f t="array" ref="BA515">IF($F515&lt;&gt;"",XLOOKUP($F515,Productos!$A:$A,Productos!AT:AT,"Revisar"),"")</f>
        <v/>
      </c>
      <c r="BB515" s="179" t="str">
        <f t="array" ref="BB515">IF($F515&lt;&gt;"", XLOOKUP($F515,Productos!$A$2:$A1001,Productos!AU$2:AU1001,"")*$G515,"")</f>
        <v/>
      </c>
      <c r="BC515" s="179" t="str">
        <f t="array" ref="BC515">IF($F515&lt;&gt;"",XLOOKUP($F515,Productos!$A:$A,Productos!AV:AV,"Revisar"),"")</f>
        <v/>
      </c>
      <c r="BD515" s="179" t="str">
        <f t="array" ref="BD515">IF($F515&lt;&gt;"", XLOOKUP($F515,Productos!$A$2:$A1001,Productos!AW$2:AW1001,"")*$G515,"")</f>
        <v/>
      </c>
      <c r="BE515" s="179" t="str">
        <f t="array" ref="BE515">IF($F515&lt;&gt;"",XLOOKUP($F515,Productos!$A:$A,Productos!AX:AX,"Revisar"),"")</f>
        <v/>
      </c>
      <c r="BF515" s="179" t="str">
        <f t="array" ref="BF515">IF($F515&lt;&gt;"", XLOOKUP($F515,Productos!$A$2:$A1001,Productos!AY$2:AY1001,"")*$G515,"")</f>
        <v/>
      </c>
      <c r="BG515" s="179" t="str">
        <f t="array" ref="BG515">IF($F515&lt;&gt;"",XLOOKUP($F515,Productos!$A:$A,Productos!AZ:AZ,"Revisar"),"")</f>
        <v/>
      </c>
      <c r="BH515" s="179" t="str">
        <f t="array" ref="BH515">IF($F515&lt;&gt;"", XLOOKUP($F515,Productos!$A$2:$A1001,Productos!BA$2:BA1001,"")*$G515,"")</f>
        <v/>
      </c>
      <c r="BI515" s="179" t="str">
        <f t="array" ref="BI515">IF($F515&lt;&gt;"",XLOOKUP($F515,Productos!$A:$A,Productos!BB:BB,"Revisar"),"")</f>
        <v/>
      </c>
      <c r="BJ515" s="179" t="str">
        <f t="array" ref="BJ515">IF($F515&lt;&gt;"", XLOOKUP($F515,Productos!$A$2:$A1001,Productos!BC$2:BC1001,"")*$G515,"")</f>
        <v/>
      </c>
      <c r="BK515" s="179" t="str">
        <f t="array" ref="BK515">IF($F515&lt;&gt;"",XLOOKUP($F515,Productos!$A:$A,Productos!BD:BD,"Revisar"),"")</f>
        <v/>
      </c>
      <c r="BL515" s="179" t="str">
        <f t="array" ref="BL515">IF($F515&lt;&gt;"", XLOOKUP($F515,Productos!$A$2:$A1001,Productos!BE$2:BE1001,"")*$G515,"")</f>
        <v/>
      </c>
      <c r="BM515" s="179" t="str">
        <f t="array" ref="BM515">IF($F515&lt;&gt;"",XLOOKUP($F515,Productos!$A:$A,Productos!BF:BF,"Revisar"),"")</f>
        <v/>
      </c>
      <c r="BN515" s="179" t="str">
        <f t="array" ref="BN515">IF($F515&lt;&gt;"", XLOOKUP($F515,Productos!$A$2:$A1001,Productos!BG$2:BG1001,"")*$G515,"")</f>
        <v/>
      </c>
      <c r="BO515" s="179" t="str">
        <f t="array" ref="BO515">IF($F515&lt;&gt;"",XLOOKUP($F515,Productos!$A:$A,Productos!BH:BH,"Revisar"),"")</f>
        <v/>
      </c>
      <c r="BP515" s="179" t="str">
        <f t="array" ref="BP515">IF($F515&lt;&gt;"", XLOOKUP($F515,Productos!$A$2:$A1001,Productos!BI$2:BI1001,"")*$G515,"")</f>
        <v/>
      </c>
      <c r="BQ515" s="179" t="str">
        <f t="array" ref="BQ515">IF($F515&lt;&gt;"",XLOOKUP($F515,Productos!$A:$A,Productos!BJ:BJ,"Revisar"),"")</f>
        <v/>
      </c>
      <c r="BR515" s="179" t="str">
        <f t="array" ref="BR515">IF($F515&lt;&gt;"", XLOOKUP($F515,Productos!$A$2:$A1001,Productos!BK$2:BK1001,"")*$G515,"")</f>
        <v/>
      </c>
      <c r="BS515" s="179" t="str">
        <f t="array" ref="BS515">IF($F515&lt;&gt;"",XLOOKUP($F515,Productos!$A:$A,Productos!BL:BL,"Revisar"),"")</f>
        <v/>
      </c>
      <c r="BT515" s="179" t="str">
        <f t="array" ref="BT515">IF($F515&lt;&gt;"", XLOOKUP($F515,Productos!$A$2:$A1001,Productos!BM$2:BM1001,"")*$G515,"")</f>
        <v/>
      </c>
      <c r="BU515" s="179" t="str">
        <f t="array" ref="BU515">IF($F515&lt;&gt;"",XLOOKUP($F515,Productos!$A:$A,Productos!BN:BN,"Revisar"),"")</f>
        <v/>
      </c>
      <c r="BV515" s="179" t="str">
        <f t="array" ref="BV515">IF($F515&lt;&gt;"", XLOOKUP($F515,Productos!$A$2:$A1001,Productos!BO$2:BO1001,"")*$G515,"")</f>
        <v/>
      </c>
      <c r="BW515" s="179" t="str">
        <f t="array" ref="BW515">IF($F515&lt;&gt;"",XLOOKUP($F515,Productos!$A:$A,Productos!BP:BP,"Revisar"),"")</f>
        <v/>
      </c>
      <c r="BX515" s="179" t="str">
        <f t="array" ref="BX515">IF($F515&lt;&gt;"", XLOOKUP($F515,Productos!$A$2:$A1001,Productos!BQ$2:BQ1001,"")*$G515,"")</f>
        <v/>
      </c>
      <c r="BY515" s="179" t="str">
        <f t="array" ref="BY515">IF($F515&lt;&gt;"",XLOOKUP($F515,Productos!$A:$A,Productos!BR:BR,"Revisar"),"")</f>
        <v/>
      </c>
      <c r="BZ515" s="179" t="str">
        <f t="array" ref="BZ515">IF($F515&lt;&gt;"", XLOOKUP($F515,Productos!$A$2:$A1001,Productos!BS$2:BS1001,"")*$G515,"")</f>
        <v/>
      </c>
    </row>
    <row r="516">
      <c r="A516" s="188"/>
      <c r="B516" s="189"/>
      <c r="C516" s="190"/>
      <c r="D516" s="190"/>
      <c r="E516" s="191"/>
      <c r="F516" s="186"/>
      <c r="G516" s="192"/>
      <c r="H516" s="9"/>
      <c r="I516" s="179" t="str">
        <f t="array" ref="I516">IF($F516&lt;&gt;"",XLOOKUP($F516,Productos!$A:$A,Productos!B:B,"Revisar"),"")</f>
        <v/>
      </c>
      <c r="J516" s="179" t="str">
        <f t="array" ref="J516">IF($F516&lt;&gt;"", XLOOKUP($F516,Productos!$A$2:$A1001,Productos!C$2:C1001,"")*$G516,"")</f>
        <v/>
      </c>
      <c r="K516" s="179" t="str">
        <f t="array" ref="K516">IF($F516&lt;&gt;"",XLOOKUP($F516,Productos!$A:$A,Productos!D:D,"Revisar"),"")</f>
        <v/>
      </c>
      <c r="L516" s="179" t="str">
        <f t="array" ref="L516">IF($F516&lt;&gt;"", XLOOKUP($F516,Productos!$A$2:$A1001,Productos!E$2:E1001,"")*$G516,"")</f>
        <v/>
      </c>
      <c r="M516" s="179" t="str">
        <f t="array" ref="M516">IF($F516&lt;&gt;"",XLOOKUP($F516,Productos!$A:$A,Productos!F:F,"Revisar"),"")</f>
        <v/>
      </c>
      <c r="N516" s="179" t="str">
        <f t="array" ref="N516">IF($F516&lt;&gt;"", XLOOKUP($F516,Productos!$A$2:$A1001,Productos!G$2:G1001,"")*$G516,"")</f>
        <v/>
      </c>
      <c r="O516" s="179" t="str">
        <f t="array" ref="O516">IF($F516&lt;&gt;"",XLOOKUP($F516,Productos!$A:$A,Productos!H:H,"Revisar"),"")</f>
        <v/>
      </c>
      <c r="P516" s="179" t="str">
        <f t="array" ref="P516">IF($F516&lt;&gt;"", XLOOKUP($F516,Productos!$A$2:$A1001,Productos!I$2:I1001,"")*$G516,"")</f>
        <v/>
      </c>
      <c r="Q516" s="179" t="str">
        <f t="array" ref="Q516">IF($F516&lt;&gt;"",XLOOKUP($F516,Productos!$A:$A,Productos!J:J,"Revisar"),"")</f>
        <v/>
      </c>
      <c r="R516" s="179" t="str">
        <f t="array" ref="R516">IF($F516&lt;&gt;"", XLOOKUP($F516,Productos!$A$2:$A1001,Productos!K$2:K1001,"")*$G516,"")</f>
        <v/>
      </c>
      <c r="S516" s="179" t="str">
        <f t="array" ref="S516">IF($F516&lt;&gt;"",XLOOKUP($F516,Productos!$A:$A,Productos!L:L,"Revisar"),"")</f>
        <v/>
      </c>
      <c r="T516" s="179" t="str">
        <f t="array" ref="T516">IF($F516&lt;&gt;"", XLOOKUP($F516,Productos!$A$2:$A1001,Productos!M$2:M1001,"")*$G516,"")</f>
        <v/>
      </c>
      <c r="U516" s="179" t="str">
        <f t="array" ref="U516">IF($F516&lt;&gt;"",XLOOKUP($F516,Productos!$A:$A,Productos!N:N,"Revisar"),"")</f>
        <v/>
      </c>
      <c r="V516" s="179" t="str">
        <f t="array" ref="V516">IF($F516&lt;&gt;"", XLOOKUP($F516,Productos!$A$2:$A1001,Productos!O$2:O1001,"")*$G516,"")</f>
        <v/>
      </c>
      <c r="W516" s="179" t="str">
        <f t="array" ref="W516">IF($F516&lt;&gt;"",XLOOKUP($F516,Productos!$A:$A,Productos!P:P,"Revisar"),"")</f>
        <v/>
      </c>
      <c r="X516" s="179" t="str">
        <f t="array" ref="X516">IF($F516&lt;&gt;"", XLOOKUP($F516,Productos!$A$2:$A1001,Productos!Q$2:Q1001,"")*$G516,"")</f>
        <v/>
      </c>
      <c r="Y516" s="179" t="str">
        <f t="array" ref="Y516">IF($F516&lt;&gt;"",XLOOKUP($F516,Productos!$A:$A,Productos!R:R,"Revisar"),"")</f>
        <v/>
      </c>
      <c r="Z516" s="179" t="str">
        <f t="array" ref="Z516">IF($F516&lt;&gt;"", XLOOKUP($F516,Productos!$A$2:$A1001,Productos!S$2:S1001,"")*$G516,"")</f>
        <v/>
      </c>
      <c r="AA516" s="179" t="str">
        <f t="array" ref="AA516">IF($F516&lt;&gt;"",XLOOKUP($F516,Productos!$A:$A,Productos!T:T,"Revisar"),"")</f>
        <v/>
      </c>
      <c r="AB516" s="179" t="str">
        <f t="array" ref="AB516">IF($F516&lt;&gt;"", XLOOKUP($F516,Productos!$A$2:$A1001,Productos!U$2:U1001,"")*$G516,"")</f>
        <v/>
      </c>
      <c r="AC516" s="179" t="str">
        <f t="array" ref="AC516">IF($F516&lt;&gt;"",XLOOKUP($F516,Productos!$A:$A,Productos!V:V,"Revisar"),"")</f>
        <v/>
      </c>
      <c r="AD516" s="179" t="str">
        <f t="array" ref="AD516">IF($F516&lt;&gt;"", XLOOKUP($F516,Productos!$A$2:$A1001,Productos!W$2:W1001,"")*$G516,"")</f>
        <v/>
      </c>
      <c r="AE516" s="179" t="str">
        <f t="array" ref="AE516">IF($F516&lt;&gt;"",XLOOKUP($F516,Productos!$A:$A,Productos!X:X,"Revisar"),"")</f>
        <v/>
      </c>
      <c r="AF516" s="179" t="str">
        <f t="array" ref="AF516">IF($F516&lt;&gt;"", XLOOKUP($F516,Productos!$A$2:$A1001,Productos!Y$2:Y1001,"")*$G516,"")</f>
        <v/>
      </c>
      <c r="AG516" s="179" t="str">
        <f t="array" ref="AG516">IF($F516&lt;&gt;"",XLOOKUP($F516,Productos!$A:$A,Productos!Z:Z,"Revisar"),"")</f>
        <v/>
      </c>
      <c r="AH516" s="179" t="str">
        <f t="array" ref="AH516">IF($F516&lt;&gt;"", XLOOKUP($F516,Productos!$A$2:$A1001,Productos!AA$2:AA1001,"")*$G516,"")</f>
        <v/>
      </c>
      <c r="AI516" s="179" t="str">
        <f t="array" ref="AI516">IF($F516&lt;&gt;"",XLOOKUP($F516,Productos!$A:$A,Productos!AB:AB,"Revisar"),"")</f>
        <v/>
      </c>
      <c r="AJ516" s="179" t="str">
        <f t="array" ref="AJ516">IF($F516&lt;&gt;"", XLOOKUP($F516,Productos!$A$2:$A1001,Productos!AC$2:AC1001,"")*$G516,"")</f>
        <v/>
      </c>
      <c r="AK516" s="179" t="str">
        <f t="array" ref="AK516">IF($F516&lt;&gt;"",XLOOKUP($F516,Productos!$A:$A,Productos!AD:AD,"Revisar"),"")</f>
        <v/>
      </c>
      <c r="AL516" s="179" t="str">
        <f t="array" ref="AL516">IF($F516&lt;&gt;"", XLOOKUP($F516,Productos!$A$2:$A1001,Productos!AE$2:AE1001,"")*$G516,"")</f>
        <v/>
      </c>
      <c r="AM516" s="179" t="str">
        <f t="array" ref="AM516">IF($F516&lt;&gt;"",XLOOKUP($F516,Productos!$A:$A,Productos!AF:AF,"Revisar"),"")</f>
        <v/>
      </c>
      <c r="AN516" s="179" t="str">
        <f t="array" ref="AN516">IF($F516&lt;&gt;"", XLOOKUP($F516,Productos!$A$2:$A1001,Productos!AG$2:AG1001,"")*$G516,"")</f>
        <v/>
      </c>
      <c r="AO516" s="179" t="str">
        <f t="array" ref="AO516">IF($F516&lt;&gt;"",XLOOKUP($F516,Productos!$A:$A,Productos!AH:AH,"Revisar"),"")</f>
        <v/>
      </c>
      <c r="AP516" s="179" t="str">
        <f t="array" ref="AP516">IF($F516&lt;&gt;"", XLOOKUP($F516,Productos!$A$2:$A1001,Productos!AI$2:AI1001,"")*$G516,"")</f>
        <v/>
      </c>
      <c r="AQ516" s="179" t="str">
        <f t="array" ref="AQ516">IF($F516&lt;&gt;"",XLOOKUP($F516,Productos!$A:$A,Productos!AJ:AJ,"Revisar"),"")</f>
        <v/>
      </c>
      <c r="AR516" s="179" t="str">
        <f t="array" ref="AR516">IF($F516&lt;&gt;"", XLOOKUP($F516,Productos!$A$2:$A1001,Productos!AK$2:AK1001,"")*$G516,"")</f>
        <v/>
      </c>
      <c r="AS516" s="179" t="str">
        <f t="array" ref="AS516">IF($F516&lt;&gt;"",XLOOKUP($F516,Productos!$A:$A,Productos!AL:AL,"Revisar"),"")</f>
        <v/>
      </c>
      <c r="AT516" s="179" t="str">
        <f t="array" ref="AT516">IF($F516&lt;&gt;"", XLOOKUP($F516,Productos!$A$2:$A1001,Productos!AM$2:AM1001,"")*$G516,"")</f>
        <v/>
      </c>
      <c r="AU516" s="179" t="str">
        <f t="array" ref="AU516">IF($F516&lt;&gt;"",XLOOKUP($F516,Productos!$A:$A,Productos!AN:AN,"Revisar"),"")</f>
        <v/>
      </c>
      <c r="AV516" s="179" t="str">
        <f t="array" ref="AV516">IF($F516&lt;&gt;"", XLOOKUP($F516,Productos!$A$2:$A1001,Productos!AO$2:AO1001,"")*$G516,"")</f>
        <v/>
      </c>
      <c r="AW516" s="179" t="str">
        <f t="array" ref="AW516">IF($F516&lt;&gt;"",XLOOKUP($F516,Productos!$A:$A,Productos!AP:AP,"Revisar"),"")</f>
        <v/>
      </c>
      <c r="AX516" s="179" t="str">
        <f t="array" ref="AX516">IF($F516&lt;&gt;"", XLOOKUP($F516,Productos!$A$2:$A1001,Productos!AQ$2:AQ1001,"")*$G516,"")</f>
        <v/>
      </c>
      <c r="AY516" s="179" t="str">
        <f t="array" ref="AY516">IF($F516&lt;&gt;"",XLOOKUP($F516,Productos!$A:$A,Productos!AR:AR,"Revisar"),"")</f>
        <v/>
      </c>
      <c r="AZ516" s="179" t="str">
        <f t="array" ref="AZ516">IF($F516&lt;&gt;"", XLOOKUP($F516,Productos!$A$2:$A1001,Productos!AS$2:AS1001,"")*$G516,"")</f>
        <v/>
      </c>
      <c r="BA516" s="179" t="str">
        <f t="array" ref="BA516">IF($F516&lt;&gt;"",XLOOKUP($F516,Productos!$A:$A,Productos!AT:AT,"Revisar"),"")</f>
        <v/>
      </c>
      <c r="BB516" s="179" t="str">
        <f t="array" ref="BB516">IF($F516&lt;&gt;"", XLOOKUP($F516,Productos!$A$2:$A1001,Productos!AU$2:AU1001,"")*$G516,"")</f>
        <v/>
      </c>
      <c r="BC516" s="179" t="str">
        <f t="array" ref="BC516">IF($F516&lt;&gt;"",XLOOKUP($F516,Productos!$A:$A,Productos!AV:AV,"Revisar"),"")</f>
        <v/>
      </c>
      <c r="BD516" s="179" t="str">
        <f t="array" ref="BD516">IF($F516&lt;&gt;"", XLOOKUP($F516,Productos!$A$2:$A1001,Productos!AW$2:AW1001,"")*$G516,"")</f>
        <v/>
      </c>
      <c r="BE516" s="179" t="str">
        <f t="array" ref="BE516">IF($F516&lt;&gt;"",XLOOKUP($F516,Productos!$A:$A,Productos!AX:AX,"Revisar"),"")</f>
        <v/>
      </c>
      <c r="BF516" s="179" t="str">
        <f t="array" ref="BF516">IF($F516&lt;&gt;"", XLOOKUP($F516,Productos!$A$2:$A1001,Productos!AY$2:AY1001,"")*$G516,"")</f>
        <v/>
      </c>
      <c r="BG516" s="179" t="str">
        <f t="array" ref="BG516">IF($F516&lt;&gt;"",XLOOKUP($F516,Productos!$A:$A,Productos!AZ:AZ,"Revisar"),"")</f>
        <v/>
      </c>
      <c r="BH516" s="179" t="str">
        <f t="array" ref="BH516">IF($F516&lt;&gt;"", XLOOKUP($F516,Productos!$A$2:$A1001,Productos!BA$2:BA1001,"")*$G516,"")</f>
        <v/>
      </c>
      <c r="BI516" s="179" t="str">
        <f t="array" ref="BI516">IF($F516&lt;&gt;"",XLOOKUP($F516,Productos!$A:$A,Productos!BB:BB,"Revisar"),"")</f>
        <v/>
      </c>
      <c r="BJ516" s="179" t="str">
        <f t="array" ref="BJ516">IF($F516&lt;&gt;"", XLOOKUP($F516,Productos!$A$2:$A1001,Productos!BC$2:BC1001,"")*$G516,"")</f>
        <v/>
      </c>
      <c r="BK516" s="179" t="str">
        <f t="array" ref="BK516">IF($F516&lt;&gt;"",XLOOKUP($F516,Productos!$A:$A,Productos!BD:BD,"Revisar"),"")</f>
        <v/>
      </c>
      <c r="BL516" s="179" t="str">
        <f t="array" ref="BL516">IF($F516&lt;&gt;"", XLOOKUP($F516,Productos!$A$2:$A1001,Productos!BE$2:BE1001,"")*$G516,"")</f>
        <v/>
      </c>
      <c r="BM516" s="179" t="str">
        <f t="array" ref="BM516">IF($F516&lt;&gt;"",XLOOKUP($F516,Productos!$A:$A,Productos!BF:BF,"Revisar"),"")</f>
        <v/>
      </c>
      <c r="BN516" s="179" t="str">
        <f t="array" ref="BN516">IF($F516&lt;&gt;"", XLOOKUP($F516,Productos!$A$2:$A1001,Productos!BG$2:BG1001,"")*$G516,"")</f>
        <v/>
      </c>
      <c r="BO516" s="179" t="str">
        <f t="array" ref="BO516">IF($F516&lt;&gt;"",XLOOKUP($F516,Productos!$A:$A,Productos!BH:BH,"Revisar"),"")</f>
        <v/>
      </c>
      <c r="BP516" s="179" t="str">
        <f t="array" ref="BP516">IF($F516&lt;&gt;"", XLOOKUP($F516,Productos!$A$2:$A1001,Productos!BI$2:BI1001,"")*$G516,"")</f>
        <v/>
      </c>
      <c r="BQ516" s="179" t="str">
        <f t="array" ref="BQ516">IF($F516&lt;&gt;"",XLOOKUP($F516,Productos!$A:$A,Productos!BJ:BJ,"Revisar"),"")</f>
        <v/>
      </c>
      <c r="BR516" s="179" t="str">
        <f t="array" ref="BR516">IF($F516&lt;&gt;"", XLOOKUP($F516,Productos!$A$2:$A1001,Productos!BK$2:BK1001,"")*$G516,"")</f>
        <v/>
      </c>
      <c r="BS516" s="179" t="str">
        <f t="array" ref="BS516">IF($F516&lt;&gt;"",XLOOKUP($F516,Productos!$A:$A,Productos!BL:BL,"Revisar"),"")</f>
        <v/>
      </c>
      <c r="BT516" s="179" t="str">
        <f t="array" ref="BT516">IF($F516&lt;&gt;"", XLOOKUP($F516,Productos!$A$2:$A1001,Productos!BM$2:BM1001,"")*$G516,"")</f>
        <v/>
      </c>
      <c r="BU516" s="179" t="str">
        <f t="array" ref="BU516">IF($F516&lt;&gt;"",XLOOKUP($F516,Productos!$A:$A,Productos!BN:BN,"Revisar"),"")</f>
        <v/>
      </c>
      <c r="BV516" s="179" t="str">
        <f t="array" ref="BV516">IF($F516&lt;&gt;"", XLOOKUP($F516,Productos!$A$2:$A1001,Productos!BO$2:BO1001,"")*$G516,"")</f>
        <v/>
      </c>
      <c r="BW516" s="179" t="str">
        <f t="array" ref="BW516">IF($F516&lt;&gt;"",XLOOKUP($F516,Productos!$A:$A,Productos!BP:BP,"Revisar"),"")</f>
        <v/>
      </c>
      <c r="BX516" s="179" t="str">
        <f t="array" ref="BX516">IF($F516&lt;&gt;"", XLOOKUP($F516,Productos!$A$2:$A1001,Productos!BQ$2:BQ1001,"")*$G516,"")</f>
        <v/>
      </c>
      <c r="BY516" s="179" t="str">
        <f t="array" ref="BY516">IF($F516&lt;&gt;"",XLOOKUP($F516,Productos!$A:$A,Productos!BR:BR,"Revisar"),"")</f>
        <v/>
      </c>
      <c r="BZ516" s="179" t="str">
        <f t="array" ref="BZ516">IF($F516&lt;&gt;"", XLOOKUP($F516,Productos!$A$2:$A1001,Productos!BS$2:BS1001,"")*$G516,"")</f>
        <v/>
      </c>
    </row>
    <row r="517">
      <c r="A517" s="188"/>
      <c r="B517" s="189"/>
      <c r="C517" s="190"/>
      <c r="D517" s="190"/>
      <c r="E517" s="191"/>
      <c r="F517" s="186"/>
      <c r="G517" s="192"/>
      <c r="H517" s="9"/>
      <c r="I517" s="179" t="str">
        <f t="array" ref="I517">IF($F517&lt;&gt;"",XLOOKUP($F517,Productos!$A:$A,Productos!B:B,"Revisar"),"")</f>
        <v/>
      </c>
      <c r="J517" s="179" t="str">
        <f t="array" ref="J517">IF($F517&lt;&gt;"", XLOOKUP($F517,Productos!$A$2:$A1001,Productos!C$2:C1001,"")*$G517,"")</f>
        <v/>
      </c>
      <c r="K517" s="179" t="str">
        <f t="array" ref="K517">IF($F517&lt;&gt;"",XLOOKUP($F517,Productos!$A:$A,Productos!D:D,"Revisar"),"")</f>
        <v/>
      </c>
      <c r="L517" s="179" t="str">
        <f t="array" ref="L517">IF($F517&lt;&gt;"", XLOOKUP($F517,Productos!$A$2:$A1001,Productos!E$2:E1001,"")*$G517,"")</f>
        <v/>
      </c>
      <c r="M517" s="179" t="str">
        <f t="array" ref="M517">IF($F517&lt;&gt;"",XLOOKUP($F517,Productos!$A:$A,Productos!F:F,"Revisar"),"")</f>
        <v/>
      </c>
      <c r="N517" s="179" t="str">
        <f t="array" ref="N517">IF($F517&lt;&gt;"", XLOOKUP($F517,Productos!$A$2:$A1001,Productos!G$2:G1001,"")*$G517,"")</f>
        <v/>
      </c>
      <c r="O517" s="179" t="str">
        <f t="array" ref="O517">IF($F517&lt;&gt;"",XLOOKUP($F517,Productos!$A:$A,Productos!H:H,"Revisar"),"")</f>
        <v/>
      </c>
      <c r="P517" s="179" t="str">
        <f t="array" ref="P517">IF($F517&lt;&gt;"", XLOOKUP($F517,Productos!$A$2:$A1001,Productos!I$2:I1001,"")*$G517,"")</f>
        <v/>
      </c>
      <c r="Q517" s="179" t="str">
        <f t="array" ref="Q517">IF($F517&lt;&gt;"",XLOOKUP($F517,Productos!$A:$A,Productos!J:J,"Revisar"),"")</f>
        <v/>
      </c>
      <c r="R517" s="179" t="str">
        <f t="array" ref="R517">IF($F517&lt;&gt;"", XLOOKUP($F517,Productos!$A$2:$A1001,Productos!K$2:K1001,"")*$G517,"")</f>
        <v/>
      </c>
      <c r="S517" s="179" t="str">
        <f t="array" ref="S517">IF($F517&lt;&gt;"",XLOOKUP($F517,Productos!$A:$A,Productos!L:L,"Revisar"),"")</f>
        <v/>
      </c>
      <c r="T517" s="179" t="str">
        <f t="array" ref="T517">IF($F517&lt;&gt;"", XLOOKUP($F517,Productos!$A$2:$A1001,Productos!M$2:M1001,"")*$G517,"")</f>
        <v/>
      </c>
      <c r="U517" s="179" t="str">
        <f t="array" ref="U517">IF($F517&lt;&gt;"",XLOOKUP($F517,Productos!$A:$A,Productos!N:N,"Revisar"),"")</f>
        <v/>
      </c>
      <c r="V517" s="179" t="str">
        <f t="array" ref="V517">IF($F517&lt;&gt;"", XLOOKUP($F517,Productos!$A$2:$A1001,Productos!O$2:O1001,"")*$G517,"")</f>
        <v/>
      </c>
      <c r="W517" s="179" t="str">
        <f t="array" ref="W517">IF($F517&lt;&gt;"",XLOOKUP($F517,Productos!$A:$A,Productos!P:P,"Revisar"),"")</f>
        <v/>
      </c>
      <c r="X517" s="179" t="str">
        <f t="array" ref="X517">IF($F517&lt;&gt;"", XLOOKUP($F517,Productos!$A$2:$A1001,Productos!Q$2:Q1001,"")*$G517,"")</f>
        <v/>
      </c>
      <c r="Y517" s="179" t="str">
        <f t="array" ref="Y517">IF($F517&lt;&gt;"",XLOOKUP($F517,Productos!$A:$A,Productos!R:R,"Revisar"),"")</f>
        <v/>
      </c>
      <c r="Z517" s="179" t="str">
        <f t="array" ref="Z517">IF($F517&lt;&gt;"", XLOOKUP($F517,Productos!$A$2:$A1001,Productos!S$2:S1001,"")*$G517,"")</f>
        <v/>
      </c>
      <c r="AA517" s="179" t="str">
        <f t="array" ref="AA517">IF($F517&lt;&gt;"",XLOOKUP($F517,Productos!$A:$A,Productos!T:T,"Revisar"),"")</f>
        <v/>
      </c>
      <c r="AB517" s="179" t="str">
        <f t="array" ref="AB517">IF($F517&lt;&gt;"", XLOOKUP($F517,Productos!$A$2:$A1001,Productos!U$2:U1001,"")*$G517,"")</f>
        <v/>
      </c>
      <c r="AC517" s="179" t="str">
        <f t="array" ref="AC517">IF($F517&lt;&gt;"",XLOOKUP($F517,Productos!$A:$A,Productos!V:V,"Revisar"),"")</f>
        <v/>
      </c>
      <c r="AD517" s="179" t="str">
        <f t="array" ref="AD517">IF($F517&lt;&gt;"", XLOOKUP($F517,Productos!$A$2:$A1001,Productos!W$2:W1001,"")*$G517,"")</f>
        <v/>
      </c>
      <c r="AE517" s="179" t="str">
        <f t="array" ref="AE517">IF($F517&lt;&gt;"",XLOOKUP($F517,Productos!$A:$A,Productos!X:X,"Revisar"),"")</f>
        <v/>
      </c>
      <c r="AF517" s="179" t="str">
        <f t="array" ref="AF517">IF($F517&lt;&gt;"", XLOOKUP($F517,Productos!$A$2:$A1001,Productos!Y$2:Y1001,"")*$G517,"")</f>
        <v/>
      </c>
      <c r="AG517" s="179" t="str">
        <f t="array" ref="AG517">IF($F517&lt;&gt;"",XLOOKUP($F517,Productos!$A:$A,Productos!Z:Z,"Revisar"),"")</f>
        <v/>
      </c>
      <c r="AH517" s="179" t="str">
        <f t="array" ref="AH517">IF($F517&lt;&gt;"", XLOOKUP($F517,Productos!$A$2:$A1001,Productos!AA$2:AA1001,"")*$G517,"")</f>
        <v/>
      </c>
      <c r="AI517" s="179" t="str">
        <f t="array" ref="AI517">IF($F517&lt;&gt;"",XLOOKUP($F517,Productos!$A:$A,Productos!AB:AB,"Revisar"),"")</f>
        <v/>
      </c>
      <c r="AJ517" s="179" t="str">
        <f t="array" ref="AJ517">IF($F517&lt;&gt;"", XLOOKUP($F517,Productos!$A$2:$A1001,Productos!AC$2:AC1001,"")*$G517,"")</f>
        <v/>
      </c>
      <c r="AK517" s="179" t="str">
        <f t="array" ref="AK517">IF($F517&lt;&gt;"",XLOOKUP($F517,Productos!$A:$A,Productos!AD:AD,"Revisar"),"")</f>
        <v/>
      </c>
      <c r="AL517" s="179" t="str">
        <f t="array" ref="AL517">IF($F517&lt;&gt;"", XLOOKUP($F517,Productos!$A$2:$A1001,Productos!AE$2:AE1001,"")*$G517,"")</f>
        <v/>
      </c>
      <c r="AM517" s="179" t="str">
        <f t="array" ref="AM517">IF($F517&lt;&gt;"",XLOOKUP($F517,Productos!$A:$A,Productos!AF:AF,"Revisar"),"")</f>
        <v/>
      </c>
      <c r="AN517" s="179" t="str">
        <f t="array" ref="AN517">IF($F517&lt;&gt;"", XLOOKUP($F517,Productos!$A$2:$A1001,Productos!AG$2:AG1001,"")*$G517,"")</f>
        <v/>
      </c>
      <c r="AO517" s="179" t="str">
        <f t="array" ref="AO517">IF($F517&lt;&gt;"",XLOOKUP($F517,Productos!$A:$A,Productos!AH:AH,"Revisar"),"")</f>
        <v/>
      </c>
      <c r="AP517" s="179" t="str">
        <f t="array" ref="AP517">IF($F517&lt;&gt;"", XLOOKUP($F517,Productos!$A$2:$A1001,Productos!AI$2:AI1001,"")*$G517,"")</f>
        <v/>
      </c>
      <c r="AQ517" s="179" t="str">
        <f t="array" ref="AQ517">IF($F517&lt;&gt;"",XLOOKUP($F517,Productos!$A:$A,Productos!AJ:AJ,"Revisar"),"")</f>
        <v/>
      </c>
      <c r="AR517" s="179" t="str">
        <f t="array" ref="AR517">IF($F517&lt;&gt;"", XLOOKUP($F517,Productos!$A$2:$A1001,Productos!AK$2:AK1001,"")*$G517,"")</f>
        <v/>
      </c>
      <c r="AS517" s="179" t="str">
        <f t="array" ref="AS517">IF($F517&lt;&gt;"",XLOOKUP($F517,Productos!$A:$A,Productos!AL:AL,"Revisar"),"")</f>
        <v/>
      </c>
      <c r="AT517" s="179" t="str">
        <f t="array" ref="AT517">IF($F517&lt;&gt;"", XLOOKUP($F517,Productos!$A$2:$A1001,Productos!AM$2:AM1001,"")*$G517,"")</f>
        <v/>
      </c>
      <c r="AU517" s="179" t="str">
        <f t="array" ref="AU517">IF($F517&lt;&gt;"",XLOOKUP($F517,Productos!$A:$A,Productos!AN:AN,"Revisar"),"")</f>
        <v/>
      </c>
      <c r="AV517" s="179" t="str">
        <f t="array" ref="AV517">IF($F517&lt;&gt;"", XLOOKUP($F517,Productos!$A$2:$A1001,Productos!AO$2:AO1001,"")*$G517,"")</f>
        <v/>
      </c>
      <c r="AW517" s="179" t="str">
        <f t="array" ref="AW517">IF($F517&lt;&gt;"",XLOOKUP($F517,Productos!$A:$A,Productos!AP:AP,"Revisar"),"")</f>
        <v/>
      </c>
      <c r="AX517" s="179" t="str">
        <f t="array" ref="AX517">IF($F517&lt;&gt;"", XLOOKUP($F517,Productos!$A$2:$A1001,Productos!AQ$2:AQ1001,"")*$G517,"")</f>
        <v/>
      </c>
      <c r="AY517" s="179" t="str">
        <f t="array" ref="AY517">IF($F517&lt;&gt;"",XLOOKUP($F517,Productos!$A:$A,Productos!AR:AR,"Revisar"),"")</f>
        <v/>
      </c>
      <c r="AZ517" s="179" t="str">
        <f t="array" ref="AZ517">IF($F517&lt;&gt;"", XLOOKUP($F517,Productos!$A$2:$A1001,Productos!AS$2:AS1001,"")*$G517,"")</f>
        <v/>
      </c>
      <c r="BA517" s="179" t="str">
        <f t="array" ref="BA517">IF($F517&lt;&gt;"",XLOOKUP($F517,Productos!$A:$A,Productos!AT:AT,"Revisar"),"")</f>
        <v/>
      </c>
      <c r="BB517" s="179" t="str">
        <f t="array" ref="BB517">IF($F517&lt;&gt;"", XLOOKUP($F517,Productos!$A$2:$A1001,Productos!AU$2:AU1001,"")*$G517,"")</f>
        <v/>
      </c>
      <c r="BC517" s="179" t="str">
        <f t="array" ref="BC517">IF($F517&lt;&gt;"",XLOOKUP($F517,Productos!$A:$A,Productos!AV:AV,"Revisar"),"")</f>
        <v/>
      </c>
      <c r="BD517" s="179" t="str">
        <f t="array" ref="BD517">IF($F517&lt;&gt;"", XLOOKUP($F517,Productos!$A$2:$A1001,Productos!AW$2:AW1001,"")*$G517,"")</f>
        <v/>
      </c>
      <c r="BE517" s="179" t="str">
        <f t="array" ref="BE517">IF($F517&lt;&gt;"",XLOOKUP($F517,Productos!$A:$A,Productos!AX:AX,"Revisar"),"")</f>
        <v/>
      </c>
      <c r="BF517" s="179" t="str">
        <f t="array" ref="BF517">IF($F517&lt;&gt;"", XLOOKUP($F517,Productos!$A$2:$A1001,Productos!AY$2:AY1001,"")*$G517,"")</f>
        <v/>
      </c>
      <c r="BG517" s="179" t="str">
        <f t="array" ref="BG517">IF($F517&lt;&gt;"",XLOOKUP($F517,Productos!$A:$A,Productos!AZ:AZ,"Revisar"),"")</f>
        <v/>
      </c>
      <c r="BH517" s="179" t="str">
        <f t="array" ref="BH517">IF($F517&lt;&gt;"", XLOOKUP($F517,Productos!$A$2:$A1001,Productos!BA$2:BA1001,"")*$G517,"")</f>
        <v/>
      </c>
      <c r="BI517" s="179" t="str">
        <f t="array" ref="BI517">IF($F517&lt;&gt;"",XLOOKUP($F517,Productos!$A:$A,Productos!BB:BB,"Revisar"),"")</f>
        <v/>
      </c>
      <c r="BJ517" s="179" t="str">
        <f t="array" ref="BJ517">IF($F517&lt;&gt;"", XLOOKUP($F517,Productos!$A$2:$A1001,Productos!BC$2:BC1001,"")*$G517,"")</f>
        <v/>
      </c>
      <c r="BK517" s="179" t="str">
        <f t="array" ref="BK517">IF($F517&lt;&gt;"",XLOOKUP($F517,Productos!$A:$A,Productos!BD:BD,"Revisar"),"")</f>
        <v/>
      </c>
      <c r="BL517" s="179" t="str">
        <f t="array" ref="BL517">IF($F517&lt;&gt;"", XLOOKUP($F517,Productos!$A$2:$A1001,Productos!BE$2:BE1001,"")*$G517,"")</f>
        <v/>
      </c>
      <c r="BM517" s="179" t="str">
        <f t="array" ref="BM517">IF($F517&lt;&gt;"",XLOOKUP($F517,Productos!$A:$A,Productos!BF:BF,"Revisar"),"")</f>
        <v/>
      </c>
      <c r="BN517" s="179" t="str">
        <f t="array" ref="BN517">IF($F517&lt;&gt;"", XLOOKUP($F517,Productos!$A$2:$A1001,Productos!BG$2:BG1001,"")*$G517,"")</f>
        <v/>
      </c>
      <c r="BO517" s="179" t="str">
        <f t="array" ref="BO517">IF($F517&lt;&gt;"",XLOOKUP($F517,Productos!$A:$A,Productos!BH:BH,"Revisar"),"")</f>
        <v/>
      </c>
      <c r="BP517" s="179" t="str">
        <f t="array" ref="BP517">IF($F517&lt;&gt;"", XLOOKUP($F517,Productos!$A$2:$A1001,Productos!BI$2:BI1001,"")*$G517,"")</f>
        <v/>
      </c>
      <c r="BQ517" s="179" t="str">
        <f t="array" ref="BQ517">IF($F517&lt;&gt;"",XLOOKUP($F517,Productos!$A:$A,Productos!BJ:BJ,"Revisar"),"")</f>
        <v/>
      </c>
      <c r="BR517" s="179" t="str">
        <f t="array" ref="BR517">IF($F517&lt;&gt;"", XLOOKUP($F517,Productos!$A$2:$A1001,Productos!BK$2:BK1001,"")*$G517,"")</f>
        <v/>
      </c>
      <c r="BS517" s="179" t="str">
        <f t="array" ref="BS517">IF($F517&lt;&gt;"",XLOOKUP($F517,Productos!$A:$A,Productos!BL:BL,"Revisar"),"")</f>
        <v/>
      </c>
      <c r="BT517" s="179" t="str">
        <f t="array" ref="BT517">IF($F517&lt;&gt;"", XLOOKUP($F517,Productos!$A$2:$A1001,Productos!BM$2:BM1001,"")*$G517,"")</f>
        <v/>
      </c>
      <c r="BU517" s="179" t="str">
        <f t="array" ref="BU517">IF($F517&lt;&gt;"",XLOOKUP($F517,Productos!$A:$A,Productos!BN:BN,"Revisar"),"")</f>
        <v/>
      </c>
      <c r="BV517" s="179" t="str">
        <f t="array" ref="BV517">IF($F517&lt;&gt;"", XLOOKUP($F517,Productos!$A$2:$A1001,Productos!BO$2:BO1001,"")*$G517,"")</f>
        <v/>
      </c>
      <c r="BW517" s="179" t="str">
        <f t="array" ref="BW517">IF($F517&lt;&gt;"",XLOOKUP($F517,Productos!$A:$A,Productos!BP:BP,"Revisar"),"")</f>
        <v/>
      </c>
      <c r="BX517" s="179" t="str">
        <f t="array" ref="BX517">IF($F517&lt;&gt;"", XLOOKUP($F517,Productos!$A$2:$A1001,Productos!BQ$2:BQ1001,"")*$G517,"")</f>
        <v/>
      </c>
      <c r="BY517" s="179" t="str">
        <f t="array" ref="BY517">IF($F517&lt;&gt;"",XLOOKUP($F517,Productos!$A:$A,Productos!BR:BR,"Revisar"),"")</f>
        <v/>
      </c>
      <c r="BZ517" s="179" t="str">
        <f t="array" ref="BZ517">IF($F517&lt;&gt;"", XLOOKUP($F517,Productos!$A$2:$A1001,Productos!BS$2:BS1001,"")*$G517,"")</f>
        <v/>
      </c>
    </row>
    <row r="518">
      <c r="A518" s="188"/>
      <c r="B518" s="189"/>
      <c r="C518" s="190"/>
      <c r="D518" s="190"/>
      <c r="E518" s="191"/>
      <c r="F518" s="186"/>
      <c r="G518" s="192"/>
      <c r="H518" s="9"/>
      <c r="I518" s="179" t="str">
        <f t="array" ref="I518">IF($F518&lt;&gt;"",XLOOKUP($F518,Productos!$A:$A,Productos!B:B,"Revisar"),"")</f>
        <v/>
      </c>
      <c r="J518" s="179" t="str">
        <f t="array" ref="J518">IF($F518&lt;&gt;"", XLOOKUP($F518,Productos!$A$2:$A1001,Productos!C$2:C1001,"")*$G518,"")</f>
        <v/>
      </c>
      <c r="K518" s="179" t="str">
        <f t="array" ref="K518">IF($F518&lt;&gt;"",XLOOKUP($F518,Productos!$A:$A,Productos!D:D,"Revisar"),"")</f>
        <v/>
      </c>
      <c r="L518" s="179" t="str">
        <f t="array" ref="L518">IF($F518&lt;&gt;"", XLOOKUP($F518,Productos!$A$2:$A1001,Productos!E$2:E1001,"")*$G518,"")</f>
        <v/>
      </c>
      <c r="M518" s="179" t="str">
        <f t="array" ref="M518">IF($F518&lt;&gt;"",XLOOKUP($F518,Productos!$A:$A,Productos!F:F,"Revisar"),"")</f>
        <v/>
      </c>
      <c r="N518" s="179" t="str">
        <f t="array" ref="N518">IF($F518&lt;&gt;"", XLOOKUP($F518,Productos!$A$2:$A1001,Productos!G$2:G1001,"")*$G518,"")</f>
        <v/>
      </c>
      <c r="O518" s="179" t="str">
        <f t="array" ref="O518">IF($F518&lt;&gt;"",XLOOKUP($F518,Productos!$A:$A,Productos!H:H,"Revisar"),"")</f>
        <v/>
      </c>
      <c r="P518" s="179" t="str">
        <f t="array" ref="P518">IF($F518&lt;&gt;"", XLOOKUP($F518,Productos!$A$2:$A1001,Productos!I$2:I1001,"")*$G518,"")</f>
        <v/>
      </c>
      <c r="Q518" s="179" t="str">
        <f t="array" ref="Q518">IF($F518&lt;&gt;"",XLOOKUP($F518,Productos!$A:$A,Productos!J:J,"Revisar"),"")</f>
        <v/>
      </c>
      <c r="R518" s="179" t="str">
        <f t="array" ref="R518">IF($F518&lt;&gt;"", XLOOKUP($F518,Productos!$A$2:$A1001,Productos!K$2:K1001,"")*$G518,"")</f>
        <v/>
      </c>
      <c r="S518" s="179" t="str">
        <f t="array" ref="S518">IF($F518&lt;&gt;"",XLOOKUP($F518,Productos!$A:$A,Productos!L:L,"Revisar"),"")</f>
        <v/>
      </c>
      <c r="T518" s="179" t="str">
        <f t="array" ref="T518">IF($F518&lt;&gt;"", XLOOKUP($F518,Productos!$A$2:$A1001,Productos!M$2:M1001,"")*$G518,"")</f>
        <v/>
      </c>
      <c r="U518" s="179" t="str">
        <f t="array" ref="U518">IF($F518&lt;&gt;"",XLOOKUP($F518,Productos!$A:$A,Productos!N:N,"Revisar"),"")</f>
        <v/>
      </c>
      <c r="V518" s="179" t="str">
        <f t="array" ref="V518">IF($F518&lt;&gt;"", XLOOKUP($F518,Productos!$A$2:$A1001,Productos!O$2:O1001,"")*$G518,"")</f>
        <v/>
      </c>
      <c r="W518" s="179" t="str">
        <f t="array" ref="W518">IF($F518&lt;&gt;"",XLOOKUP($F518,Productos!$A:$A,Productos!P:P,"Revisar"),"")</f>
        <v/>
      </c>
      <c r="X518" s="179" t="str">
        <f t="array" ref="X518">IF($F518&lt;&gt;"", XLOOKUP($F518,Productos!$A$2:$A1001,Productos!Q$2:Q1001,"")*$G518,"")</f>
        <v/>
      </c>
      <c r="Y518" s="179" t="str">
        <f t="array" ref="Y518">IF($F518&lt;&gt;"",XLOOKUP($F518,Productos!$A:$A,Productos!R:R,"Revisar"),"")</f>
        <v/>
      </c>
      <c r="Z518" s="179" t="str">
        <f t="array" ref="Z518">IF($F518&lt;&gt;"", XLOOKUP($F518,Productos!$A$2:$A1001,Productos!S$2:S1001,"")*$G518,"")</f>
        <v/>
      </c>
      <c r="AA518" s="179" t="str">
        <f t="array" ref="AA518">IF($F518&lt;&gt;"",XLOOKUP($F518,Productos!$A:$A,Productos!T:T,"Revisar"),"")</f>
        <v/>
      </c>
      <c r="AB518" s="179" t="str">
        <f t="array" ref="AB518">IF($F518&lt;&gt;"", XLOOKUP($F518,Productos!$A$2:$A1001,Productos!U$2:U1001,"")*$G518,"")</f>
        <v/>
      </c>
      <c r="AC518" s="179" t="str">
        <f t="array" ref="AC518">IF($F518&lt;&gt;"",XLOOKUP($F518,Productos!$A:$A,Productos!V:V,"Revisar"),"")</f>
        <v/>
      </c>
      <c r="AD518" s="179" t="str">
        <f t="array" ref="AD518">IF($F518&lt;&gt;"", XLOOKUP($F518,Productos!$A$2:$A1001,Productos!W$2:W1001,"")*$G518,"")</f>
        <v/>
      </c>
      <c r="AE518" s="179" t="str">
        <f t="array" ref="AE518">IF($F518&lt;&gt;"",XLOOKUP($F518,Productos!$A:$A,Productos!X:X,"Revisar"),"")</f>
        <v/>
      </c>
      <c r="AF518" s="179" t="str">
        <f t="array" ref="AF518">IF($F518&lt;&gt;"", XLOOKUP($F518,Productos!$A$2:$A1001,Productos!Y$2:Y1001,"")*$G518,"")</f>
        <v/>
      </c>
      <c r="AG518" s="179" t="str">
        <f t="array" ref="AG518">IF($F518&lt;&gt;"",XLOOKUP($F518,Productos!$A:$A,Productos!Z:Z,"Revisar"),"")</f>
        <v/>
      </c>
      <c r="AH518" s="179" t="str">
        <f t="array" ref="AH518">IF($F518&lt;&gt;"", XLOOKUP($F518,Productos!$A$2:$A1001,Productos!AA$2:AA1001,"")*$G518,"")</f>
        <v/>
      </c>
      <c r="AI518" s="179" t="str">
        <f t="array" ref="AI518">IF($F518&lt;&gt;"",XLOOKUP($F518,Productos!$A:$A,Productos!AB:AB,"Revisar"),"")</f>
        <v/>
      </c>
      <c r="AJ518" s="179" t="str">
        <f t="array" ref="AJ518">IF($F518&lt;&gt;"", XLOOKUP($F518,Productos!$A$2:$A1001,Productos!AC$2:AC1001,"")*$G518,"")</f>
        <v/>
      </c>
      <c r="AK518" s="179" t="str">
        <f t="array" ref="AK518">IF($F518&lt;&gt;"",XLOOKUP($F518,Productos!$A:$A,Productos!AD:AD,"Revisar"),"")</f>
        <v/>
      </c>
      <c r="AL518" s="179" t="str">
        <f t="array" ref="AL518">IF($F518&lt;&gt;"", XLOOKUP($F518,Productos!$A$2:$A1001,Productos!AE$2:AE1001,"")*$G518,"")</f>
        <v/>
      </c>
      <c r="AM518" s="179" t="str">
        <f t="array" ref="AM518">IF($F518&lt;&gt;"",XLOOKUP($F518,Productos!$A:$A,Productos!AF:AF,"Revisar"),"")</f>
        <v/>
      </c>
      <c r="AN518" s="179" t="str">
        <f t="array" ref="AN518">IF($F518&lt;&gt;"", XLOOKUP($F518,Productos!$A$2:$A1001,Productos!AG$2:AG1001,"")*$G518,"")</f>
        <v/>
      </c>
      <c r="AO518" s="179" t="str">
        <f t="array" ref="AO518">IF($F518&lt;&gt;"",XLOOKUP($F518,Productos!$A:$A,Productos!AH:AH,"Revisar"),"")</f>
        <v/>
      </c>
      <c r="AP518" s="179" t="str">
        <f t="array" ref="AP518">IF($F518&lt;&gt;"", XLOOKUP($F518,Productos!$A$2:$A1001,Productos!AI$2:AI1001,"")*$G518,"")</f>
        <v/>
      </c>
      <c r="AQ518" s="179" t="str">
        <f t="array" ref="AQ518">IF($F518&lt;&gt;"",XLOOKUP($F518,Productos!$A:$A,Productos!AJ:AJ,"Revisar"),"")</f>
        <v/>
      </c>
      <c r="AR518" s="179" t="str">
        <f t="array" ref="AR518">IF($F518&lt;&gt;"", XLOOKUP($F518,Productos!$A$2:$A1001,Productos!AK$2:AK1001,"")*$G518,"")</f>
        <v/>
      </c>
      <c r="AS518" s="179" t="str">
        <f t="array" ref="AS518">IF($F518&lt;&gt;"",XLOOKUP($F518,Productos!$A:$A,Productos!AL:AL,"Revisar"),"")</f>
        <v/>
      </c>
      <c r="AT518" s="179" t="str">
        <f t="array" ref="AT518">IF($F518&lt;&gt;"", XLOOKUP($F518,Productos!$A$2:$A1001,Productos!AM$2:AM1001,"")*$G518,"")</f>
        <v/>
      </c>
      <c r="AU518" s="179" t="str">
        <f t="array" ref="AU518">IF($F518&lt;&gt;"",XLOOKUP($F518,Productos!$A:$A,Productos!AN:AN,"Revisar"),"")</f>
        <v/>
      </c>
      <c r="AV518" s="179" t="str">
        <f t="array" ref="AV518">IF($F518&lt;&gt;"", XLOOKUP($F518,Productos!$A$2:$A1001,Productos!AO$2:AO1001,"")*$G518,"")</f>
        <v/>
      </c>
      <c r="AW518" s="179" t="str">
        <f t="array" ref="AW518">IF($F518&lt;&gt;"",XLOOKUP($F518,Productos!$A:$A,Productos!AP:AP,"Revisar"),"")</f>
        <v/>
      </c>
      <c r="AX518" s="179" t="str">
        <f t="array" ref="AX518">IF($F518&lt;&gt;"", XLOOKUP($F518,Productos!$A$2:$A1001,Productos!AQ$2:AQ1001,"")*$G518,"")</f>
        <v/>
      </c>
      <c r="AY518" s="179" t="str">
        <f t="array" ref="AY518">IF($F518&lt;&gt;"",XLOOKUP($F518,Productos!$A:$A,Productos!AR:AR,"Revisar"),"")</f>
        <v/>
      </c>
      <c r="AZ518" s="179" t="str">
        <f t="array" ref="AZ518">IF($F518&lt;&gt;"", XLOOKUP($F518,Productos!$A$2:$A1001,Productos!AS$2:AS1001,"")*$G518,"")</f>
        <v/>
      </c>
      <c r="BA518" s="179" t="str">
        <f t="array" ref="BA518">IF($F518&lt;&gt;"",XLOOKUP($F518,Productos!$A:$A,Productos!AT:AT,"Revisar"),"")</f>
        <v/>
      </c>
      <c r="BB518" s="179" t="str">
        <f t="array" ref="BB518">IF($F518&lt;&gt;"", XLOOKUP($F518,Productos!$A$2:$A1001,Productos!AU$2:AU1001,"")*$G518,"")</f>
        <v/>
      </c>
      <c r="BC518" s="179" t="str">
        <f t="array" ref="BC518">IF($F518&lt;&gt;"",XLOOKUP($F518,Productos!$A:$A,Productos!AV:AV,"Revisar"),"")</f>
        <v/>
      </c>
      <c r="BD518" s="179" t="str">
        <f t="array" ref="BD518">IF($F518&lt;&gt;"", XLOOKUP($F518,Productos!$A$2:$A1001,Productos!AW$2:AW1001,"")*$G518,"")</f>
        <v/>
      </c>
      <c r="BE518" s="179" t="str">
        <f t="array" ref="BE518">IF($F518&lt;&gt;"",XLOOKUP($F518,Productos!$A:$A,Productos!AX:AX,"Revisar"),"")</f>
        <v/>
      </c>
      <c r="BF518" s="179" t="str">
        <f t="array" ref="BF518">IF($F518&lt;&gt;"", XLOOKUP($F518,Productos!$A$2:$A1001,Productos!AY$2:AY1001,"")*$G518,"")</f>
        <v/>
      </c>
      <c r="BG518" s="179" t="str">
        <f t="array" ref="BG518">IF($F518&lt;&gt;"",XLOOKUP($F518,Productos!$A:$A,Productos!AZ:AZ,"Revisar"),"")</f>
        <v/>
      </c>
      <c r="BH518" s="179" t="str">
        <f t="array" ref="BH518">IF($F518&lt;&gt;"", XLOOKUP($F518,Productos!$A$2:$A1001,Productos!BA$2:BA1001,"")*$G518,"")</f>
        <v/>
      </c>
      <c r="BI518" s="179" t="str">
        <f t="array" ref="BI518">IF($F518&lt;&gt;"",XLOOKUP($F518,Productos!$A:$A,Productos!BB:BB,"Revisar"),"")</f>
        <v/>
      </c>
      <c r="BJ518" s="179" t="str">
        <f t="array" ref="BJ518">IF($F518&lt;&gt;"", XLOOKUP($F518,Productos!$A$2:$A1001,Productos!BC$2:BC1001,"")*$G518,"")</f>
        <v/>
      </c>
      <c r="BK518" s="179" t="str">
        <f t="array" ref="BK518">IF($F518&lt;&gt;"",XLOOKUP($F518,Productos!$A:$A,Productos!BD:BD,"Revisar"),"")</f>
        <v/>
      </c>
      <c r="BL518" s="179" t="str">
        <f t="array" ref="BL518">IF($F518&lt;&gt;"", XLOOKUP($F518,Productos!$A$2:$A1001,Productos!BE$2:BE1001,"")*$G518,"")</f>
        <v/>
      </c>
      <c r="BM518" s="179" t="str">
        <f t="array" ref="BM518">IF($F518&lt;&gt;"",XLOOKUP($F518,Productos!$A:$A,Productos!BF:BF,"Revisar"),"")</f>
        <v/>
      </c>
      <c r="BN518" s="179" t="str">
        <f t="array" ref="BN518">IF($F518&lt;&gt;"", XLOOKUP($F518,Productos!$A$2:$A1001,Productos!BG$2:BG1001,"")*$G518,"")</f>
        <v/>
      </c>
      <c r="BO518" s="179" t="str">
        <f t="array" ref="BO518">IF($F518&lt;&gt;"",XLOOKUP($F518,Productos!$A:$A,Productos!BH:BH,"Revisar"),"")</f>
        <v/>
      </c>
      <c r="BP518" s="179" t="str">
        <f t="array" ref="BP518">IF($F518&lt;&gt;"", XLOOKUP($F518,Productos!$A$2:$A1001,Productos!BI$2:BI1001,"")*$G518,"")</f>
        <v/>
      </c>
      <c r="BQ518" s="179" t="str">
        <f t="array" ref="BQ518">IF($F518&lt;&gt;"",XLOOKUP($F518,Productos!$A:$A,Productos!BJ:BJ,"Revisar"),"")</f>
        <v/>
      </c>
      <c r="BR518" s="179" t="str">
        <f t="array" ref="BR518">IF($F518&lt;&gt;"", XLOOKUP($F518,Productos!$A$2:$A1001,Productos!BK$2:BK1001,"")*$G518,"")</f>
        <v/>
      </c>
      <c r="BS518" s="179" t="str">
        <f t="array" ref="BS518">IF($F518&lt;&gt;"",XLOOKUP($F518,Productos!$A:$A,Productos!BL:BL,"Revisar"),"")</f>
        <v/>
      </c>
      <c r="BT518" s="179" t="str">
        <f t="array" ref="BT518">IF($F518&lt;&gt;"", XLOOKUP($F518,Productos!$A$2:$A1001,Productos!BM$2:BM1001,"")*$G518,"")</f>
        <v/>
      </c>
      <c r="BU518" s="179" t="str">
        <f t="array" ref="BU518">IF($F518&lt;&gt;"",XLOOKUP($F518,Productos!$A:$A,Productos!BN:BN,"Revisar"),"")</f>
        <v/>
      </c>
      <c r="BV518" s="179" t="str">
        <f t="array" ref="BV518">IF($F518&lt;&gt;"", XLOOKUP($F518,Productos!$A$2:$A1001,Productos!BO$2:BO1001,"")*$G518,"")</f>
        <v/>
      </c>
      <c r="BW518" s="179" t="str">
        <f t="array" ref="BW518">IF($F518&lt;&gt;"",XLOOKUP($F518,Productos!$A:$A,Productos!BP:BP,"Revisar"),"")</f>
        <v/>
      </c>
      <c r="BX518" s="179" t="str">
        <f t="array" ref="BX518">IF($F518&lt;&gt;"", XLOOKUP($F518,Productos!$A$2:$A1001,Productos!BQ$2:BQ1001,"")*$G518,"")</f>
        <v/>
      </c>
      <c r="BY518" s="179" t="str">
        <f t="array" ref="BY518">IF($F518&lt;&gt;"",XLOOKUP($F518,Productos!$A:$A,Productos!BR:BR,"Revisar"),"")</f>
        <v/>
      </c>
      <c r="BZ518" s="179" t="str">
        <f t="array" ref="BZ518">IF($F518&lt;&gt;"", XLOOKUP($F518,Productos!$A$2:$A1001,Productos!BS$2:BS1001,"")*$G518,"")</f>
        <v/>
      </c>
    </row>
    <row r="519">
      <c r="A519" s="188"/>
      <c r="B519" s="189"/>
      <c r="C519" s="190"/>
      <c r="D519" s="190"/>
      <c r="E519" s="191"/>
      <c r="F519" s="186"/>
      <c r="G519" s="192"/>
      <c r="H519" s="9"/>
      <c r="I519" s="179" t="str">
        <f t="array" ref="I519">IF($F519&lt;&gt;"",XLOOKUP($F519,Productos!$A:$A,Productos!B:B,"Revisar"),"")</f>
        <v/>
      </c>
      <c r="J519" s="179" t="str">
        <f t="array" ref="J519">IF($F519&lt;&gt;"", XLOOKUP($F519,Productos!$A$2:$A1001,Productos!C$2:C1001,"")*$G519,"")</f>
        <v/>
      </c>
      <c r="K519" s="179" t="str">
        <f t="array" ref="K519">IF($F519&lt;&gt;"",XLOOKUP($F519,Productos!$A:$A,Productos!D:D,"Revisar"),"")</f>
        <v/>
      </c>
      <c r="L519" s="179" t="str">
        <f t="array" ref="L519">IF($F519&lt;&gt;"", XLOOKUP($F519,Productos!$A$2:$A1001,Productos!E$2:E1001,"")*$G519,"")</f>
        <v/>
      </c>
      <c r="M519" s="179" t="str">
        <f t="array" ref="M519">IF($F519&lt;&gt;"",XLOOKUP($F519,Productos!$A:$A,Productos!F:F,"Revisar"),"")</f>
        <v/>
      </c>
      <c r="N519" s="179" t="str">
        <f t="array" ref="N519">IF($F519&lt;&gt;"", XLOOKUP($F519,Productos!$A$2:$A1001,Productos!G$2:G1001,"")*$G519,"")</f>
        <v/>
      </c>
      <c r="O519" s="179" t="str">
        <f t="array" ref="O519">IF($F519&lt;&gt;"",XLOOKUP($F519,Productos!$A:$A,Productos!H:H,"Revisar"),"")</f>
        <v/>
      </c>
      <c r="P519" s="179" t="str">
        <f t="array" ref="P519">IF($F519&lt;&gt;"", XLOOKUP($F519,Productos!$A$2:$A1001,Productos!I$2:I1001,"")*$G519,"")</f>
        <v/>
      </c>
      <c r="Q519" s="179" t="str">
        <f t="array" ref="Q519">IF($F519&lt;&gt;"",XLOOKUP($F519,Productos!$A:$A,Productos!J:J,"Revisar"),"")</f>
        <v/>
      </c>
      <c r="R519" s="179" t="str">
        <f t="array" ref="R519">IF($F519&lt;&gt;"", XLOOKUP($F519,Productos!$A$2:$A1001,Productos!K$2:K1001,"")*$G519,"")</f>
        <v/>
      </c>
      <c r="S519" s="179" t="str">
        <f t="array" ref="S519">IF($F519&lt;&gt;"",XLOOKUP($F519,Productos!$A:$A,Productos!L:L,"Revisar"),"")</f>
        <v/>
      </c>
      <c r="T519" s="179" t="str">
        <f t="array" ref="T519">IF($F519&lt;&gt;"", XLOOKUP($F519,Productos!$A$2:$A1001,Productos!M$2:M1001,"")*$G519,"")</f>
        <v/>
      </c>
      <c r="U519" s="179" t="str">
        <f t="array" ref="U519">IF($F519&lt;&gt;"",XLOOKUP($F519,Productos!$A:$A,Productos!N:N,"Revisar"),"")</f>
        <v/>
      </c>
      <c r="V519" s="179" t="str">
        <f t="array" ref="V519">IF($F519&lt;&gt;"", XLOOKUP($F519,Productos!$A$2:$A1001,Productos!O$2:O1001,"")*$G519,"")</f>
        <v/>
      </c>
      <c r="W519" s="179" t="str">
        <f t="array" ref="W519">IF($F519&lt;&gt;"",XLOOKUP($F519,Productos!$A:$A,Productos!P:P,"Revisar"),"")</f>
        <v/>
      </c>
      <c r="X519" s="179" t="str">
        <f t="array" ref="X519">IF($F519&lt;&gt;"", XLOOKUP($F519,Productos!$A$2:$A1001,Productos!Q$2:Q1001,"")*$G519,"")</f>
        <v/>
      </c>
      <c r="Y519" s="179" t="str">
        <f t="array" ref="Y519">IF($F519&lt;&gt;"",XLOOKUP($F519,Productos!$A:$A,Productos!R:R,"Revisar"),"")</f>
        <v/>
      </c>
      <c r="Z519" s="179" t="str">
        <f t="array" ref="Z519">IF($F519&lt;&gt;"", XLOOKUP($F519,Productos!$A$2:$A1001,Productos!S$2:S1001,"")*$G519,"")</f>
        <v/>
      </c>
      <c r="AA519" s="179" t="str">
        <f t="array" ref="AA519">IF($F519&lt;&gt;"",XLOOKUP($F519,Productos!$A:$A,Productos!T:T,"Revisar"),"")</f>
        <v/>
      </c>
      <c r="AB519" s="179" t="str">
        <f t="array" ref="AB519">IF($F519&lt;&gt;"", XLOOKUP($F519,Productos!$A$2:$A1001,Productos!U$2:U1001,"")*$G519,"")</f>
        <v/>
      </c>
      <c r="AC519" s="179" t="str">
        <f t="array" ref="AC519">IF($F519&lt;&gt;"",XLOOKUP($F519,Productos!$A:$A,Productos!V:V,"Revisar"),"")</f>
        <v/>
      </c>
      <c r="AD519" s="179" t="str">
        <f t="array" ref="AD519">IF($F519&lt;&gt;"", XLOOKUP($F519,Productos!$A$2:$A1001,Productos!W$2:W1001,"")*$G519,"")</f>
        <v/>
      </c>
      <c r="AE519" s="179" t="str">
        <f t="array" ref="AE519">IF($F519&lt;&gt;"",XLOOKUP($F519,Productos!$A:$A,Productos!X:X,"Revisar"),"")</f>
        <v/>
      </c>
      <c r="AF519" s="179" t="str">
        <f t="array" ref="AF519">IF($F519&lt;&gt;"", XLOOKUP($F519,Productos!$A$2:$A1001,Productos!Y$2:Y1001,"")*$G519,"")</f>
        <v/>
      </c>
      <c r="AG519" s="179" t="str">
        <f t="array" ref="AG519">IF($F519&lt;&gt;"",XLOOKUP($F519,Productos!$A:$A,Productos!Z:Z,"Revisar"),"")</f>
        <v/>
      </c>
      <c r="AH519" s="179" t="str">
        <f t="array" ref="AH519">IF($F519&lt;&gt;"", XLOOKUP($F519,Productos!$A$2:$A1001,Productos!AA$2:AA1001,"")*$G519,"")</f>
        <v/>
      </c>
      <c r="AI519" s="179" t="str">
        <f t="array" ref="AI519">IF($F519&lt;&gt;"",XLOOKUP($F519,Productos!$A:$A,Productos!AB:AB,"Revisar"),"")</f>
        <v/>
      </c>
      <c r="AJ519" s="179" t="str">
        <f t="array" ref="AJ519">IF($F519&lt;&gt;"", XLOOKUP($F519,Productos!$A$2:$A1001,Productos!AC$2:AC1001,"")*$G519,"")</f>
        <v/>
      </c>
      <c r="AK519" s="179" t="str">
        <f t="array" ref="AK519">IF($F519&lt;&gt;"",XLOOKUP($F519,Productos!$A:$A,Productos!AD:AD,"Revisar"),"")</f>
        <v/>
      </c>
      <c r="AL519" s="179" t="str">
        <f t="array" ref="AL519">IF($F519&lt;&gt;"", XLOOKUP($F519,Productos!$A$2:$A1001,Productos!AE$2:AE1001,"")*$G519,"")</f>
        <v/>
      </c>
      <c r="AM519" s="179" t="str">
        <f t="array" ref="AM519">IF($F519&lt;&gt;"",XLOOKUP($F519,Productos!$A:$A,Productos!AF:AF,"Revisar"),"")</f>
        <v/>
      </c>
      <c r="AN519" s="179" t="str">
        <f t="array" ref="AN519">IF($F519&lt;&gt;"", XLOOKUP($F519,Productos!$A$2:$A1001,Productos!AG$2:AG1001,"")*$G519,"")</f>
        <v/>
      </c>
      <c r="AO519" s="179" t="str">
        <f t="array" ref="AO519">IF($F519&lt;&gt;"",XLOOKUP($F519,Productos!$A:$A,Productos!AH:AH,"Revisar"),"")</f>
        <v/>
      </c>
      <c r="AP519" s="179" t="str">
        <f t="array" ref="AP519">IF($F519&lt;&gt;"", XLOOKUP($F519,Productos!$A$2:$A1001,Productos!AI$2:AI1001,"")*$G519,"")</f>
        <v/>
      </c>
      <c r="AQ519" s="179" t="str">
        <f t="array" ref="AQ519">IF($F519&lt;&gt;"",XLOOKUP($F519,Productos!$A:$A,Productos!AJ:AJ,"Revisar"),"")</f>
        <v/>
      </c>
      <c r="AR519" s="179" t="str">
        <f t="array" ref="AR519">IF($F519&lt;&gt;"", XLOOKUP($F519,Productos!$A$2:$A1001,Productos!AK$2:AK1001,"")*$G519,"")</f>
        <v/>
      </c>
      <c r="AS519" s="179" t="str">
        <f t="array" ref="AS519">IF($F519&lt;&gt;"",XLOOKUP($F519,Productos!$A:$A,Productos!AL:AL,"Revisar"),"")</f>
        <v/>
      </c>
      <c r="AT519" s="179" t="str">
        <f t="array" ref="AT519">IF($F519&lt;&gt;"", XLOOKUP($F519,Productos!$A$2:$A1001,Productos!AM$2:AM1001,"")*$G519,"")</f>
        <v/>
      </c>
      <c r="AU519" s="179" t="str">
        <f t="array" ref="AU519">IF($F519&lt;&gt;"",XLOOKUP($F519,Productos!$A:$A,Productos!AN:AN,"Revisar"),"")</f>
        <v/>
      </c>
      <c r="AV519" s="179" t="str">
        <f t="array" ref="AV519">IF($F519&lt;&gt;"", XLOOKUP($F519,Productos!$A$2:$A1001,Productos!AO$2:AO1001,"")*$G519,"")</f>
        <v/>
      </c>
      <c r="AW519" s="179" t="str">
        <f t="array" ref="AW519">IF($F519&lt;&gt;"",XLOOKUP($F519,Productos!$A:$A,Productos!AP:AP,"Revisar"),"")</f>
        <v/>
      </c>
      <c r="AX519" s="179" t="str">
        <f t="array" ref="AX519">IF($F519&lt;&gt;"", XLOOKUP($F519,Productos!$A$2:$A1001,Productos!AQ$2:AQ1001,"")*$G519,"")</f>
        <v/>
      </c>
      <c r="AY519" s="179" t="str">
        <f t="array" ref="AY519">IF($F519&lt;&gt;"",XLOOKUP($F519,Productos!$A:$A,Productos!AR:AR,"Revisar"),"")</f>
        <v/>
      </c>
      <c r="AZ519" s="179" t="str">
        <f t="array" ref="AZ519">IF($F519&lt;&gt;"", XLOOKUP($F519,Productos!$A$2:$A1001,Productos!AS$2:AS1001,"")*$G519,"")</f>
        <v/>
      </c>
      <c r="BA519" s="179" t="str">
        <f t="array" ref="BA519">IF($F519&lt;&gt;"",XLOOKUP($F519,Productos!$A:$A,Productos!AT:AT,"Revisar"),"")</f>
        <v/>
      </c>
      <c r="BB519" s="179" t="str">
        <f t="array" ref="BB519">IF($F519&lt;&gt;"", XLOOKUP($F519,Productos!$A$2:$A1001,Productos!AU$2:AU1001,"")*$G519,"")</f>
        <v/>
      </c>
      <c r="BC519" s="179" t="str">
        <f t="array" ref="BC519">IF($F519&lt;&gt;"",XLOOKUP($F519,Productos!$A:$A,Productos!AV:AV,"Revisar"),"")</f>
        <v/>
      </c>
      <c r="BD519" s="179" t="str">
        <f t="array" ref="BD519">IF($F519&lt;&gt;"", XLOOKUP($F519,Productos!$A$2:$A1001,Productos!AW$2:AW1001,"")*$G519,"")</f>
        <v/>
      </c>
      <c r="BE519" s="179" t="str">
        <f t="array" ref="BE519">IF($F519&lt;&gt;"",XLOOKUP($F519,Productos!$A:$A,Productos!AX:AX,"Revisar"),"")</f>
        <v/>
      </c>
      <c r="BF519" s="179" t="str">
        <f t="array" ref="BF519">IF($F519&lt;&gt;"", XLOOKUP($F519,Productos!$A$2:$A1001,Productos!AY$2:AY1001,"")*$G519,"")</f>
        <v/>
      </c>
      <c r="BG519" s="179" t="str">
        <f t="array" ref="BG519">IF($F519&lt;&gt;"",XLOOKUP($F519,Productos!$A:$A,Productos!AZ:AZ,"Revisar"),"")</f>
        <v/>
      </c>
      <c r="BH519" s="179" t="str">
        <f t="array" ref="BH519">IF($F519&lt;&gt;"", XLOOKUP($F519,Productos!$A$2:$A1001,Productos!BA$2:BA1001,"")*$G519,"")</f>
        <v/>
      </c>
      <c r="BI519" s="179" t="str">
        <f t="array" ref="BI519">IF($F519&lt;&gt;"",XLOOKUP($F519,Productos!$A:$A,Productos!BB:BB,"Revisar"),"")</f>
        <v/>
      </c>
      <c r="BJ519" s="179" t="str">
        <f t="array" ref="BJ519">IF($F519&lt;&gt;"", XLOOKUP($F519,Productos!$A$2:$A1001,Productos!BC$2:BC1001,"")*$G519,"")</f>
        <v/>
      </c>
      <c r="BK519" s="179" t="str">
        <f t="array" ref="BK519">IF($F519&lt;&gt;"",XLOOKUP($F519,Productos!$A:$A,Productos!BD:BD,"Revisar"),"")</f>
        <v/>
      </c>
      <c r="BL519" s="179" t="str">
        <f t="array" ref="BL519">IF($F519&lt;&gt;"", XLOOKUP($F519,Productos!$A$2:$A1001,Productos!BE$2:BE1001,"")*$G519,"")</f>
        <v/>
      </c>
      <c r="BM519" s="179" t="str">
        <f t="array" ref="BM519">IF($F519&lt;&gt;"",XLOOKUP($F519,Productos!$A:$A,Productos!BF:BF,"Revisar"),"")</f>
        <v/>
      </c>
      <c r="BN519" s="179" t="str">
        <f t="array" ref="BN519">IF($F519&lt;&gt;"", XLOOKUP($F519,Productos!$A$2:$A1001,Productos!BG$2:BG1001,"")*$G519,"")</f>
        <v/>
      </c>
      <c r="BO519" s="179" t="str">
        <f t="array" ref="BO519">IF($F519&lt;&gt;"",XLOOKUP($F519,Productos!$A:$A,Productos!BH:BH,"Revisar"),"")</f>
        <v/>
      </c>
      <c r="BP519" s="179" t="str">
        <f t="array" ref="BP519">IF($F519&lt;&gt;"", XLOOKUP($F519,Productos!$A$2:$A1001,Productos!BI$2:BI1001,"")*$G519,"")</f>
        <v/>
      </c>
      <c r="BQ519" s="179" t="str">
        <f t="array" ref="BQ519">IF($F519&lt;&gt;"",XLOOKUP($F519,Productos!$A:$A,Productos!BJ:BJ,"Revisar"),"")</f>
        <v/>
      </c>
      <c r="BR519" s="179" t="str">
        <f t="array" ref="BR519">IF($F519&lt;&gt;"", XLOOKUP($F519,Productos!$A$2:$A1001,Productos!BK$2:BK1001,"")*$G519,"")</f>
        <v/>
      </c>
      <c r="BS519" s="179" t="str">
        <f t="array" ref="BS519">IF($F519&lt;&gt;"",XLOOKUP($F519,Productos!$A:$A,Productos!BL:BL,"Revisar"),"")</f>
        <v/>
      </c>
      <c r="BT519" s="179" t="str">
        <f t="array" ref="BT519">IF($F519&lt;&gt;"", XLOOKUP($F519,Productos!$A$2:$A1001,Productos!BM$2:BM1001,"")*$G519,"")</f>
        <v/>
      </c>
      <c r="BU519" s="179" t="str">
        <f t="array" ref="BU519">IF($F519&lt;&gt;"",XLOOKUP($F519,Productos!$A:$A,Productos!BN:BN,"Revisar"),"")</f>
        <v/>
      </c>
      <c r="BV519" s="179" t="str">
        <f t="array" ref="BV519">IF($F519&lt;&gt;"", XLOOKUP($F519,Productos!$A$2:$A1001,Productos!BO$2:BO1001,"")*$G519,"")</f>
        <v/>
      </c>
      <c r="BW519" s="179" t="str">
        <f t="array" ref="BW519">IF($F519&lt;&gt;"",XLOOKUP($F519,Productos!$A:$A,Productos!BP:BP,"Revisar"),"")</f>
        <v/>
      </c>
      <c r="BX519" s="179" t="str">
        <f t="array" ref="BX519">IF($F519&lt;&gt;"", XLOOKUP($F519,Productos!$A$2:$A1001,Productos!BQ$2:BQ1001,"")*$G519,"")</f>
        <v/>
      </c>
      <c r="BY519" s="179" t="str">
        <f t="array" ref="BY519">IF($F519&lt;&gt;"",XLOOKUP($F519,Productos!$A:$A,Productos!BR:BR,"Revisar"),"")</f>
        <v/>
      </c>
      <c r="BZ519" s="179" t="str">
        <f t="array" ref="BZ519">IF($F519&lt;&gt;"", XLOOKUP($F519,Productos!$A$2:$A1001,Productos!BS$2:BS1001,"")*$G519,"")</f>
        <v/>
      </c>
    </row>
    <row r="520">
      <c r="A520" s="188"/>
      <c r="B520" s="189"/>
      <c r="C520" s="190"/>
      <c r="D520" s="190"/>
      <c r="E520" s="191"/>
      <c r="F520" s="186"/>
      <c r="G520" s="192"/>
      <c r="H520" s="9"/>
      <c r="I520" s="179" t="str">
        <f t="array" ref="I520">IF($F520&lt;&gt;"",XLOOKUP($F520,Productos!$A:$A,Productos!B:B,"Revisar"),"")</f>
        <v/>
      </c>
      <c r="J520" s="179" t="str">
        <f t="array" ref="J520">IF($F520&lt;&gt;"", XLOOKUP($F520,Productos!$A$2:$A1001,Productos!C$2:C1001,"")*$G520,"")</f>
        <v/>
      </c>
      <c r="K520" s="179" t="str">
        <f t="array" ref="K520">IF($F520&lt;&gt;"",XLOOKUP($F520,Productos!$A:$A,Productos!D:D,"Revisar"),"")</f>
        <v/>
      </c>
      <c r="L520" s="179" t="str">
        <f t="array" ref="L520">IF($F520&lt;&gt;"", XLOOKUP($F520,Productos!$A$2:$A1001,Productos!E$2:E1001,"")*$G520,"")</f>
        <v/>
      </c>
      <c r="M520" s="179" t="str">
        <f t="array" ref="M520">IF($F520&lt;&gt;"",XLOOKUP($F520,Productos!$A:$A,Productos!F:F,"Revisar"),"")</f>
        <v/>
      </c>
      <c r="N520" s="179" t="str">
        <f t="array" ref="N520">IF($F520&lt;&gt;"", XLOOKUP($F520,Productos!$A$2:$A1001,Productos!G$2:G1001,"")*$G520,"")</f>
        <v/>
      </c>
      <c r="O520" s="179" t="str">
        <f t="array" ref="O520">IF($F520&lt;&gt;"",XLOOKUP($F520,Productos!$A:$A,Productos!H:H,"Revisar"),"")</f>
        <v/>
      </c>
      <c r="P520" s="179" t="str">
        <f t="array" ref="P520">IF($F520&lt;&gt;"", XLOOKUP($F520,Productos!$A$2:$A1001,Productos!I$2:I1001,"")*$G520,"")</f>
        <v/>
      </c>
      <c r="Q520" s="179" t="str">
        <f t="array" ref="Q520">IF($F520&lt;&gt;"",XLOOKUP($F520,Productos!$A:$A,Productos!J:J,"Revisar"),"")</f>
        <v/>
      </c>
      <c r="R520" s="179" t="str">
        <f t="array" ref="R520">IF($F520&lt;&gt;"", XLOOKUP($F520,Productos!$A$2:$A1001,Productos!K$2:K1001,"")*$G520,"")</f>
        <v/>
      </c>
      <c r="S520" s="179" t="str">
        <f t="array" ref="S520">IF($F520&lt;&gt;"",XLOOKUP($F520,Productos!$A:$A,Productos!L:L,"Revisar"),"")</f>
        <v/>
      </c>
      <c r="T520" s="179" t="str">
        <f t="array" ref="T520">IF($F520&lt;&gt;"", XLOOKUP($F520,Productos!$A$2:$A1001,Productos!M$2:M1001,"")*$G520,"")</f>
        <v/>
      </c>
      <c r="U520" s="179" t="str">
        <f t="array" ref="U520">IF($F520&lt;&gt;"",XLOOKUP($F520,Productos!$A:$A,Productos!N:N,"Revisar"),"")</f>
        <v/>
      </c>
      <c r="V520" s="179" t="str">
        <f t="array" ref="V520">IF($F520&lt;&gt;"", XLOOKUP($F520,Productos!$A$2:$A1001,Productos!O$2:O1001,"")*$G520,"")</f>
        <v/>
      </c>
      <c r="W520" s="179" t="str">
        <f t="array" ref="W520">IF($F520&lt;&gt;"",XLOOKUP($F520,Productos!$A:$A,Productos!P:P,"Revisar"),"")</f>
        <v/>
      </c>
      <c r="X520" s="179" t="str">
        <f t="array" ref="X520">IF($F520&lt;&gt;"", XLOOKUP($F520,Productos!$A$2:$A1001,Productos!Q$2:Q1001,"")*$G520,"")</f>
        <v/>
      </c>
      <c r="Y520" s="179" t="str">
        <f t="array" ref="Y520">IF($F520&lt;&gt;"",XLOOKUP($F520,Productos!$A:$A,Productos!R:R,"Revisar"),"")</f>
        <v/>
      </c>
      <c r="Z520" s="179" t="str">
        <f t="array" ref="Z520">IF($F520&lt;&gt;"", XLOOKUP($F520,Productos!$A$2:$A1001,Productos!S$2:S1001,"")*$G520,"")</f>
        <v/>
      </c>
      <c r="AA520" s="179" t="str">
        <f t="array" ref="AA520">IF($F520&lt;&gt;"",XLOOKUP($F520,Productos!$A:$A,Productos!T:T,"Revisar"),"")</f>
        <v/>
      </c>
      <c r="AB520" s="179" t="str">
        <f t="array" ref="AB520">IF($F520&lt;&gt;"", XLOOKUP($F520,Productos!$A$2:$A1001,Productos!U$2:U1001,"")*$G520,"")</f>
        <v/>
      </c>
      <c r="AC520" s="179" t="str">
        <f t="array" ref="AC520">IF($F520&lt;&gt;"",XLOOKUP($F520,Productos!$A:$A,Productos!V:V,"Revisar"),"")</f>
        <v/>
      </c>
      <c r="AD520" s="179" t="str">
        <f t="array" ref="AD520">IF($F520&lt;&gt;"", XLOOKUP($F520,Productos!$A$2:$A1001,Productos!W$2:W1001,"")*$G520,"")</f>
        <v/>
      </c>
      <c r="AE520" s="179" t="str">
        <f t="array" ref="AE520">IF($F520&lt;&gt;"",XLOOKUP($F520,Productos!$A:$A,Productos!X:X,"Revisar"),"")</f>
        <v/>
      </c>
      <c r="AF520" s="179" t="str">
        <f t="array" ref="AF520">IF($F520&lt;&gt;"", XLOOKUP($F520,Productos!$A$2:$A1001,Productos!Y$2:Y1001,"")*$G520,"")</f>
        <v/>
      </c>
      <c r="AG520" s="179" t="str">
        <f t="array" ref="AG520">IF($F520&lt;&gt;"",XLOOKUP($F520,Productos!$A:$A,Productos!Z:Z,"Revisar"),"")</f>
        <v/>
      </c>
      <c r="AH520" s="179" t="str">
        <f t="array" ref="AH520">IF($F520&lt;&gt;"", XLOOKUP($F520,Productos!$A$2:$A1001,Productos!AA$2:AA1001,"")*$G520,"")</f>
        <v/>
      </c>
      <c r="AI520" s="179" t="str">
        <f t="array" ref="AI520">IF($F520&lt;&gt;"",XLOOKUP($F520,Productos!$A:$A,Productos!AB:AB,"Revisar"),"")</f>
        <v/>
      </c>
      <c r="AJ520" s="179" t="str">
        <f t="array" ref="AJ520">IF($F520&lt;&gt;"", XLOOKUP($F520,Productos!$A$2:$A1001,Productos!AC$2:AC1001,"")*$G520,"")</f>
        <v/>
      </c>
      <c r="AK520" s="179" t="str">
        <f t="array" ref="AK520">IF($F520&lt;&gt;"",XLOOKUP($F520,Productos!$A:$A,Productos!AD:AD,"Revisar"),"")</f>
        <v/>
      </c>
      <c r="AL520" s="179" t="str">
        <f t="array" ref="AL520">IF($F520&lt;&gt;"", XLOOKUP($F520,Productos!$A$2:$A1001,Productos!AE$2:AE1001,"")*$G520,"")</f>
        <v/>
      </c>
      <c r="AM520" s="179" t="str">
        <f t="array" ref="AM520">IF($F520&lt;&gt;"",XLOOKUP($F520,Productos!$A:$A,Productos!AF:AF,"Revisar"),"")</f>
        <v/>
      </c>
      <c r="AN520" s="179" t="str">
        <f t="array" ref="AN520">IF($F520&lt;&gt;"", XLOOKUP($F520,Productos!$A$2:$A1001,Productos!AG$2:AG1001,"")*$G520,"")</f>
        <v/>
      </c>
      <c r="AO520" s="179" t="str">
        <f t="array" ref="AO520">IF($F520&lt;&gt;"",XLOOKUP($F520,Productos!$A:$A,Productos!AH:AH,"Revisar"),"")</f>
        <v/>
      </c>
      <c r="AP520" s="179" t="str">
        <f t="array" ref="AP520">IF($F520&lt;&gt;"", XLOOKUP($F520,Productos!$A$2:$A1001,Productos!AI$2:AI1001,"")*$G520,"")</f>
        <v/>
      </c>
      <c r="AQ520" s="179" t="str">
        <f t="array" ref="AQ520">IF($F520&lt;&gt;"",XLOOKUP($F520,Productos!$A:$A,Productos!AJ:AJ,"Revisar"),"")</f>
        <v/>
      </c>
      <c r="AR520" s="179" t="str">
        <f t="array" ref="AR520">IF($F520&lt;&gt;"", XLOOKUP($F520,Productos!$A$2:$A1001,Productos!AK$2:AK1001,"")*$G520,"")</f>
        <v/>
      </c>
      <c r="AS520" s="179" t="str">
        <f t="array" ref="AS520">IF($F520&lt;&gt;"",XLOOKUP($F520,Productos!$A:$A,Productos!AL:AL,"Revisar"),"")</f>
        <v/>
      </c>
      <c r="AT520" s="179" t="str">
        <f t="array" ref="AT520">IF($F520&lt;&gt;"", XLOOKUP($F520,Productos!$A$2:$A1001,Productos!AM$2:AM1001,"")*$G520,"")</f>
        <v/>
      </c>
      <c r="AU520" s="179" t="str">
        <f t="array" ref="AU520">IF($F520&lt;&gt;"",XLOOKUP($F520,Productos!$A:$A,Productos!AN:AN,"Revisar"),"")</f>
        <v/>
      </c>
      <c r="AV520" s="179" t="str">
        <f t="array" ref="AV520">IF($F520&lt;&gt;"", XLOOKUP($F520,Productos!$A$2:$A1001,Productos!AO$2:AO1001,"")*$G520,"")</f>
        <v/>
      </c>
      <c r="AW520" s="179" t="str">
        <f t="array" ref="AW520">IF($F520&lt;&gt;"",XLOOKUP($F520,Productos!$A:$A,Productos!AP:AP,"Revisar"),"")</f>
        <v/>
      </c>
      <c r="AX520" s="179" t="str">
        <f t="array" ref="AX520">IF($F520&lt;&gt;"", XLOOKUP($F520,Productos!$A$2:$A1001,Productos!AQ$2:AQ1001,"")*$G520,"")</f>
        <v/>
      </c>
      <c r="AY520" s="179" t="str">
        <f t="array" ref="AY520">IF($F520&lt;&gt;"",XLOOKUP($F520,Productos!$A:$A,Productos!AR:AR,"Revisar"),"")</f>
        <v/>
      </c>
      <c r="AZ520" s="179" t="str">
        <f t="array" ref="AZ520">IF($F520&lt;&gt;"", XLOOKUP($F520,Productos!$A$2:$A1001,Productos!AS$2:AS1001,"")*$G520,"")</f>
        <v/>
      </c>
      <c r="BA520" s="179" t="str">
        <f t="array" ref="BA520">IF($F520&lt;&gt;"",XLOOKUP($F520,Productos!$A:$A,Productos!AT:AT,"Revisar"),"")</f>
        <v/>
      </c>
      <c r="BB520" s="179" t="str">
        <f t="array" ref="BB520">IF($F520&lt;&gt;"", XLOOKUP($F520,Productos!$A$2:$A1001,Productos!AU$2:AU1001,"")*$G520,"")</f>
        <v/>
      </c>
      <c r="BC520" s="179" t="str">
        <f t="array" ref="BC520">IF($F520&lt;&gt;"",XLOOKUP($F520,Productos!$A:$A,Productos!AV:AV,"Revisar"),"")</f>
        <v/>
      </c>
      <c r="BD520" s="179" t="str">
        <f t="array" ref="BD520">IF($F520&lt;&gt;"", XLOOKUP($F520,Productos!$A$2:$A1001,Productos!AW$2:AW1001,"")*$G520,"")</f>
        <v/>
      </c>
      <c r="BE520" s="179" t="str">
        <f t="array" ref="BE520">IF($F520&lt;&gt;"",XLOOKUP($F520,Productos!$A:$A,Productos!AX:AX,"Revisar"),"")</f>
        <v/>
      </c>
      <c r="BF520" s="179" t="str">
        <f t="array" ref="BF520">IF($F520&lt;&gt;"", XLOOKUP($F520,Productos!$A$2:$A1001,Productos!AY$2:AY1001,"")*$G520,"")</f>
        <v/>
      </c>
      <c r="BG520" s="179" t="str">
        <f t="array" ref="BG520">IF($F520&lt;&gt;"",XLOOKUP($F520,Productos!$A:$A,Productos!AZ:AZ,"Revisar"),"")</f>
        <v/>
      </c>
      <c r="BH520" s="179" t="str">
        <f t="array" ref="BH520">IF($F520&lt;&gt;"", XLOOKUP($F520,Productos!$A$2:$A1001,Productos!BA$2:BA1001,"")*$G520,"")</f>
        <v/>
      </c>
      <c r="BI520" s="179" t="str">
        <f t="array" ref="BI520">IF($F520&lt;&gt;"",XLOOKUP($F520,Productos!$A:$A,Productos!BB:BB,"Revisar"),"")</f>
        <v/>
      </c>
      <c r="BJ520" s="179" t="str">
        <f t="array" ref="BJ520">IF($F520&lt;&gt;"", XLOOKUP($F520,Productos!$A$2:$A1001,Productos!BC$2:BC1001,"")*$G520,"")</f>
        <v/>
      </c>
      <c r="BK520" s="179" t="str">
        <f t="array" ref="BK520">IF($F520&lt;&gt;"",XLOOKUP($F520,Productos!$A:$A,Productos!BD:BD,"Revisar"),"")</f>
        <v/>
      </c>
      <c r="BL520" s="179" t="str">
        <f t="array" ref="BL520">IF($F520&lt;&gt;"", XLOOKUP($F520,Productos!$A$2:$A1001,Productos!BE$2:BE1001,"")*$G520,"")</f>
        <v/>
      </c>
      <c r="BM520" s="179" t="str">
        <f t="array" ref="BM520">IF($F520&lt;&gt;"",XLOOKUP($F520,Productos!$A:$A,Productos!BF:BF,"Revisar"),"")</f>
        <v/>
      </c>
      <c r="BN520" s="179" t="str">
        <f t="array" ref="BN520">IF($F520&lt;&gt;"", XLOOKUP($F520,Productos!$A$2:$A1001,Productos!BG$2:BG1001,"")*$G520,"")</f>
        <v/>
      </c>
      <c r="BO520" s="179" t="str">
        <f t="array" ref="BO520">IF($F520&lt;&gt;"",XLOOKUP($F520,Productos!$A:$A,Productos!BH:BH,"Revisar"),"")</f>
        <v/>
      </c>
      <c r="BP520" s="179" t="str">
        <f t="array" ref="BP520">IF($F520&lt;&gt;"", XLOOKUP($F520,Productos!$A$2:$A1001,Productos!BI$2:BI1001,"")*$G520,"")</f>
        <v/>
      </c>
      <c r="BQ520" s="179" t="str">
        <f t="array" ref="BQ520">IF($F520&lt;&gt;"",XLOOKUP($F520,Productos!$A:$A,Productos!BJ:BJ,"Revisar"),"")</f>
        <v/>
      </c>
      <c r="BR520" s="179" t="str">
        <f t="array" ref="BR520">IF($F520&lt;&gt;"", XLOOKUP($F520,Productos!$A$2:$A1001,Productos!BK$2:BK1001,"")*$G520,"")</f>
        <v/>
      </c>
      <c r="BS520" s="179" t="str">
        <f t="array" ref="BS520">IF($F520&lt;&gt;"",XLOOKUP($F520,Productos!$A:$A,Productos!BL:BL,"Revisar"),"")</f>
        <v/>
      </c>
      <c r="BT520" s="179" t="str">
        <f t="array" ref="BT520">IF($F520&lt;&gt;"", XLOOKUP($F520,Productos!$A$2:$A1001,Productos!BM$2:BM1001,"")*$G520,"")</f>
        <v/>
      </c>
      <c r="BU520" s="179" t="str">
        <f t="array" ref="BU520">IF($F520&lt;&gt;"",XLOOKUP($F520,Productos!$A:$A,Productos!BN:BN,"Revisar"),"")</f>
        <v/>
      </c>
      <c r="BV520" s="179" t="str">
        <f t="array" ref="BV520">IF($F520&lt;&gt;"", XLOOKUP($F520,Productos!$A$2:$A1001,Productos!BO$2:BO1001,"")*$G520,"")</f>
        <v/>
      </c>
      <c r="BW520" s="179" t="str">
        <f t="array" ref="BW520">IF($F520&lt;&gt;"",XLOOKUP($F520,Productos!$A:$A,Productos!BP:BP,"Revisar"),"")</f>
        <v/>
      </c>
      <c r="BX520" s="179" t="str">
        <f t="array" ref="BX520">IF($F520&lt;&gt;"", XLOOKUP($F520,Productos!$A$2:$A1001,Productos!BQ$2:BQ1001,"")*$G520,"")</f>
        <v/>
      </c>
      <c r="BY520" s="179" t="str">
        <f t="array" ref="BY520">IF($F520&lt;&gt;"",XLOOKUP($F520,Productos!$A:$A,Productos!BR:BR,"Revisar"),"")</f>
        <v/>
      </c>
      <c r="BZ520" s="179" t="str">
        <f t="array" ref="BZ520">IF($F520&lt;&gt;"", XLOOKUP($F520,Productos!$A$2:$A1001,Productos!BS$2:BS1001,"")*$G520,"")</f>
        <v/>
      </c>
    </row>
    <row r="521">
      <c r="A521" s="188"/>
      <c r="B521" s="189"/>
      <c r="C521" s="190"/>
      <c r="D521" s="190"/>
      <c r="E521" s="191"/>
      <c r="F521" s="186"/>
      <c r="G521" s="192"/>
      <c r="H521" s="9"/>
      <c r="I521" s="179" t="str">
        <f t="array" ref="I521">IF($F521&lt;&gt;"",XLOOKUP($F521,Productos!$A:$A,Productos!B:B,"Revisar"),"")</f>
        <v/>
      </c>
      <c r="J521" s="179" t="str">
        <f t="array" ref="J521">IF($F521&lt;&gt;"", XLOOKUP($F521,Productos!$A$2:$A1001,Productos!C$2:C1001,"")*$G521,"")</f>
        <v/>
      </c>
      <c r="K521" s="179" t="str">
        <f t="array" ref="K521">IF($F521&lt;&gt;"",XLOOKUP($F521,Productos!$A:$A,Productos!D:D,"Revisar"),"")</f>
        <v/>
      </c>
      <c r="L521" s="179" t="str">
        <f t="array" ref="L521">IF($F521&lt;&gt;"", XLOOKUP($F521,Productos!$A$2:$A1001,Productos!E$2:E1001,"")*$G521,"")</f>
        <v/>
      </c>
      <c r="M521" s="179" t="str">
        <f t="array" ref="M521">IF($F521&lt;&gt;"",XLOOKUP($F521,Productos!$A:$A,Productos!F:F,"Revisar"),"")</f>
        <v/>
      </c>
      <c r="N521" s="179" t="str">
        <f t="array" ref="N521">IF($F521&lt;&gt;"", XLOOKUP($F521,Productos!$A$2:$A1001,Productos!G$2:G1001,"")*$G521,"")</f>
        <v/>
      </c>
      <c r="O521" s="179" t="str">
        <f t="array" ref="O521">IF($F521&lt;&gt;"",XLOOKUP($F521,Productos!$A:$A,Productos!H:H,"Revisar"),"")</f>
        <v/>
      </c>
      <c r="P521" s="179" t="str">
        <f t="array" ref="P521">IF($F521&lt;&gt;"", XLOOKUP($F521,Productos!$A$2:$A1001,Productos!I$2:I1001,"")*$G521,"")</f>
        <v/>
      </c>
      <c r="Q521" s="179" t="str">
        <f t="array" ref="Q521">IF($F521&lt;&gt;"",XLOOKUP($F521,Productos!$A:$A,Productos!J:J,"Revisar"),"")</f>
        <v/>
      </c>
      <c r="R521" s="179" t="str">
        <f t="array" ref="R521">IF($F521&lt;&gt;"", XLOOKUP($F521,Productos!$A$2:$A1001,Productos!K$2:K1001,"")*$G521,"")</f>
        <v/>
      </c>
      <c r="S521" s="179" t="str">
        <f t="array" ref="S521">IF($F521&lt;&gt;"",XLOOKUP($F521,Productos!$A:$A,Productos!L:L,"Revisar"),"")</f>
        <v/>
      </c>
      <c r="T521" s="179" t="str">
        <f t="array" ref="T521">IF($F521&lt;&gt;"", XLOOKUP($F521,Productos!$A$2:$A1001,Productos!M$2:M1001,"")*$G521,"")</f>
        <v/>
      </c>
      <c r="U521" s="179" t="str">
        <f t="array" ref="U521">IF($F521&lt;&gt;"",XLOOKUP($F521,Productos!$A:$A,Productos!N:N,"Revisar"),"")</f>
        <v/>
      </c>
      <c r="V521" s="179" t="str">
        <f t="array" ref="V521">IF($F521&lt;&gt;"", XLOOKUP($F521,Productos!$A$2:$A1001,Productos!O$2:O1001,"")*$G521,"")</f>
        <v/>
      </c>
      <c r="W521" s="179" t="str">
        <f t="array" ref="W521">IF($F521&lt;&gt;"",XLOOKUP($F521,Productos!$A:$A,Productos!P:P,"Revisar"),"")</f>
        <v/>
      </c>
      <c r="X521" s="179" t="str">
        <f t="array" ref="X521">IF($F521&lt;&gt;"", XLOOKUP($F521,Productos!$A$2:$A1001,Productos!Q$2:Q1001,"")*$G521,"")</f>
        <v/>
      </c>
      <c r="Y521" s="179" t="str">
        <f t="array" ref="Y521">IF($F521&lt;&gt;"",XLOOKUP($F521,Productos!$A:$A,Productos!R:R,"Revisar"),"")</f>
        <v/>
      </c>
      <c r="Z521" s="179" t="str">
        <f t="array" ref="Z521">IF($F521&lt;&gt;"", XLOOKUP($F521,Productos!$A$2:$A1001,Productos!S$2:S1001,"")*$G521,"")</f>
        <v/>
      </c>
      <c r="AA521" s="179" t="str">
        <f t="array" ref="AA521">IF($F521&lt;&gt;"",XLOOKUP($F521,Productos!$A:$A,Productos!T:T,"Revisar"),"")</f>
        <v/>
      </c>
      <c r="AB521" s="179" t="str">
        <f t="array" ref="AB521">IF($F521&lt;&gt;"", XLOOKUP($F521,Productos!$A$2:$A1001,Productos!U$2:U1001,"")*$G521,"")</f>
        <v/>
      </c>
      <c r="AC521" s="179" t="str">
        <f t="array" ref="AC521">IF($F521&lt;&gt;"",XLOOKUP($F521,Productos!$A:$A,Productos!V:V,"Revisar"),"")</f>
        <v/>
      </c>
      <c r="AD521" s="179" t="str">
        <f t="array" ref="AD521">IF($F521&lt;&gt;"", XLOOKUP($F521,Productos!$A$2:$A1001,Productos!W$2:W1001,"")*$G521,"")</f>
        <v/>
      </c>
      <c r="AE521" s="179" t="str">
        <f t="array" ref="AE521">IF($F521&lt;&gt;"",XLOOKUP($F521,Productos!$A:$A,Productos!X:X,"Revisar"),"")</f>
        <v/>
      </c>
      <c r="AF521" s="179" t="str">
        <f t="array" ref="AF521">IF($F521&lt;&gt;"", XLOOKUP($F521,Productos!$A$2:$A1001,Productos!Y$2:Y1001,"")*$G521,"")</f>
        <v/>
      </c>
      <c r="AG521" s="179" t="str">
        <f t="array" ref="AG521">IF($F521&lt;&gt;"",XLOOKUP($F521,Productos!$A:$A,Productos!Z:Z,"Revisar"),"")</f>
        <v/>
      </c>
      <c r="AH521" s="179" t="str">
        <f t="array" ref="AH521">IF($F521&lt;&gt;"", XLOOKUP($F521,Productos!$A$2:$A1001,Productos!AA$2:AA1001,"")*$G521,"")</f>
        <v/>
      </c>
      <c r="AI521" s="179" t="str">
        <f t="array" ref="AI521">IF($F521&lt;&gt;"",XLOOKUP($F521,Productos!$A:$A,Productos!AB:AB,"Revisar"),"")</f>
        <v/>
      </c>
      <c r="AJ521" s="179" t="str">
        <f t="array" ref="AJ521">IF($F521&lt;&gt;"", XLOOKUP($F521,Productos!$A$2:$A1001,Productos!AC$2:AC1001,"")*$G521,"")</f>
        <v/>
      </c>
      <c r="AK521" s="179" t="str">
        <f t="array" ref="AK521">IF($F521&lt;&gt;"",XLOOKUP($F521,Productos!$A:$A,Productos!AD:AD,"Revisar"),"")</f>
        <v/>
      </c>
      <c r="AL521" s="179" t="str">
        <f t="array" ref="AL521">IF($F521&lt;&gt;"", XLOOKUP($F521,Productos!$A$2:$A1001,Productos!AE$2:AE1001,"")*$G521,"")</f>
        <v/>
      </c>
      <c r="AM521" s="179" t="str">
        <f t="array" ref="AM521">IF($F521&lt;&gt;"",XLOOKUP($F521,Productos!$A:$A,Productos!AF:AF,"Revisar"),"")</f>
        <v/>
      </c>
      <c r="AN521" s="179" t="str">
        <f t="array" ref="AN521">IF($F521&lt;&gt;"", XLOOKUP($F521,Productos!$A$2:$A1001,Productos!AG$2:AG1001,"")*$G521,"")</f>
        <v/>
      </c>
      <c r="AO521" s="179" t="str">
        <f t="array" ref="AO521">IF($F521&lt;&gt;"",XLOOKUP($F521,Productos!$A:$A,Productos!AH:AH,"Revisar"),"")</f>
        <v/>
      </c>
      <c r="AP521" s="179" t="str">
        <f t="array" ref="AP521">IF($F521&lt;&gt;"", XLOOKUP($F521,Productos!$A$2:$A1001,Productos!AI$2:AI1001,"")*$G521,"")</f>
        <v/>
      </c>
      <c r="AQ521" s="179" t="str">
        <f t="array" ref="AQ521">IF($F521&lt;&gt;"",XLOOKUP($F521,Productos!$A:$A,Productos!AJ:AJ,"Revisar"),"")</f>
        <v/>
      </c>
      <c r="AR521" s="179" t="str">
        <f t="array" ref="AR521">IF($F521&lt;&gt;"", XLOOKUP($F521,Productos!$A$2:$A1001,Productos!AK$2:AK1001,"")*$G521,"")</f>
        <v/>
      </c>
      <c r="AS521" s="179" t="str">
        <f t="array" ref="AS521">IF($F521&lt;&gt;"",XLOOKUP($F521,Productos!$A:$A,Productos!AL:AL,"Revisar"),"")</f>
        <v/>
      </c>
      <c r="AT521" s="179" t="str">
        <f t="array" ref="AT521">IF($F521&lt;&gt;"", XLOOKUP($F521,Productos!$A$2:$A1001,Productos!AM$2:AM1001,"")*$G521,"")</f>
        <v/>
      </c>
      <c r="AU521" s="179" t="str">
        <f t="array" ref="AU521">IF($F521&lt;&gt;"",XLOOKUP($F521,Productos!$A:$A,Productos!AN:AN,"Revisar"),"")</f>
        <v/>
      </c>
      <c r="AV521" s="179" t="str">
        <f t="array" ref="AV521">IF($F521&lt;&gt;"", XLOOKUP($F521,Productos!$A$2:$A1001,Productos!AO$2:AO1001,"")*$G521,"")</f>
        <v/>
      </c>
      <c r="AW521" s="179" t="str">
        <f t="array" ref="AW521">IF($F521&lt;&gt;"",XLOOKUP($F521,Productos!$A:$A,Productos!AP:AP,"Revisar"),"")</f>
        <v/>
      </c>
      <c r="AX521" s="179" t="str">
        <f t="array" ref="AX521">IF($F521&lt;&gt;"", XLOOKUP($F521,Productos!$A$2:$A1001,Productos!AQ$2:AQ1001,"")*$G521,"")</f>
        <v/>
      </c>
      <c r="AY521" s="179" t="str">
        <f t="array" ref="AY521">IF($F521&lt;&gt;"",XLOOKUP($F521,Productos!$A:$A,Productos!AR:AR,"Revisar"),"")</f>
        <v/>
      </c>
      <c r="AZ521" s="179" t="str">
        <f t="array" ref="AZ521">IF($F521&lt;&gt;"", XLOOKUP($F521,Productos!$A$2:$A1001,Productos!AS$2:AS1001,"")*$G521,"")</f>
        <v/>
      </c>
      <c r="BA521" s="179" t="str">
        <f t="array" ref="BA521">IF($F521&lt;&gt;"",XLOOKUP($F521,Productos!$A:$A,Productos!AT:AT,"Revisar"),"")</f>
        <v/>
      </c>
      <c r="BB521" s="179" t="str">
        <f t="array" ref="BB521">IF($F521&lt;&gt;"", XLOOKUP($F521,Productos!$A$2:$A1001,Productos!AU$2:AU1001,"")*$G521,"")</f>
        <v/>
      </c>
      <c r="BC521" s="179" t="str">
        <f t="array" ref="BC521">IF($F521&lt;&gt;"",XLOOKUP($F521,Productos!$A:$A,Productos!AV:AV,"Revisar"),"")</f>
        <v/>
      </c>
      <c r="BD521" s="179" t="str">
        <f t="array" ref="BD521">IF($F521&lt;&gt;"", XLOOKUP($F521,Productos!$A$2:$A1001,Productos!AW$2:AW1001,"")*$G521,"")</f>
        <v/>
      </c>
      <c r="BE521" s="179" t="str">
        <f t="array" ref="BE521">IF($F521&lt;&gt;"",XLOOKUP($F521,Productos!$A:$A,Productos!AX:AX,"Revisar"),"")</f>
        <v/>
      </c>
      <c r="BF521" s="179" t="str">
        <f t="array" ref="BF521">IF($F521&lt;&gt;"", XLOOKUP($F521,Productos!$A$2:$A1001,Productos!AY$2:AY1001,"")*$G521,"")</f>
        <v/>
      </c>
      <c r="BG521" s="179" t="str">
        <f t="array" ref="BG521">IF($F521&lt;&gt;"",XLOOKUP($F521,Productos!$A:$A,Productos!AZ:AZ,"Revisar"),"")</f>
        <v/>
      </c>
      <c r="BH521" s="179" t="str">
        <f t="array" ref="BH521">IF($F521&lt;&gt;"", XLOOKUP($F521,Productos!$A$2:$A1001,Productos!BA$2:BA1001,"")*$G521,"")</f>
        <v/>
      </c>
      <c r="BI521" s="179" t="str">
        <f t="array" ref="BI521">IF($F521&lt;&gt;"",XLOOKUP($F521,Productos!$A:$A,Productos!BB:BB,"Revisar"),"")</f>
        <v/>
      </c>
      <c r="BJ521" s="179" t="str">
        <f t="array" ref="BJ521">IF($F521&lt;&gt;"", XLOOKUP($F521,Productos!$A$2:$A1001,Productos!BC$2:BC1001,"")*$G521,"")</f>
        <v/>
      </c>
      <c r="BK521" s="179" t="str">
        <f t="array" ref="BK521">IF($F521&lt;&gt;"",XLOOKUP($F521,Productos!$A:$A,Productos!BD:BD,"Revisar"),"")</f>
        <v/>
      </c>
      <c r="BL521" s="179" t="str">
        <f t="array" ref="BL521">IF($F521&lt;&gt;"", XLOOKUP($F521,Productos!$A$2:$A1001,Productos!BE$2:BE1001,"")*$G521,"")</f>
        <v/>
      </c>
      <c r="BM521" s="179" t="str">
        <f t="array" ref="BM521">IF($F521&lt;&gt;"",XLOOKUP($F521,Productos!$A:$A,Productos!BF:BF,"Revisar"),"")</f>
        <v/>
      </c>
      <c r="BN521" s="179" t="str">
        <f t="array" ref="BN521">IF($F521&lt;&gt;"", XLOOKUP($F521,Productos!$A$2:$A1001,Productos!BG$2:BG1001,"")*$G521,"")</f>
        <v/>
      </c>
      <c r="BO521" s="179" t="str">
        <f t="array" ref="BO521">IF($F521&lt;&gt;"",XLOOKUP($F521,Productos!$A:$A,Productos!BH:BH,"Revisar"),"")</f>
        <v/>
      </c>
      <c r="BP521" s="179" t="str">
        <f t="array" ref="BP521">IF($F521&lt;&gt;"", XLOOKUP($F521,Productos!$A$2:$A1001,Productos!BI$2:BI1001,"")*$G521,"")</f>
        <v/>
      </c>
      <c r="BQ521" s="179" t="str">
        <f t="array" ref="BQ521">IF($F521&lt;&gt;"",XLOOKUP($F521,Productos!$A:$A,Productos!BJ:BJ,"Revisar"),"")</f>
        <v/>
      </c>
      <c r="BR521" s="179" t="str">
        <f t="array" ref="BR521">IF($F521&lt;&gt;"", XLOOKUP($F521,Productos!$A$2:$A1001,Productos!BK$2:BK1001,"")*$G521,"")</f>
        <v/>
      </c>
      <c r="BS521" s="179" t="str">
        <f t="array" ref="BS521">IF($F521&lt;&gt;"",XLOOKUP($F521,Productos!$A:$A,Productos!BL:BL,"Revisar"),"")</f>
        <v/>
      </c>
      <c r="BT521" s="179" t="str">
        <f t="array" ref="BT521">IF($F521&lt;&gt;"", XLOOKUP($F521,Productos!$A$2:$A1001,Productos!BM$2:BM1001,"")*$G521,"")</f>
        <v/>
      </c>
      <c r="BU521" s="179" t="str">
        <f t="array" ref="BU521">IF($F521&lt;&gt;"",XLOOKUP($F521,Productos!$A:$A,Productos!BN:BN,"Revisar"),"")</f>
        <v/>
      </c>
      <c r="BV521" s="179" t="str">
        <f t="array" ref="BV521">IF($F521&lt;&gt;"", XLOOKUP($F521,Productos!$A$2:$A1001,Productos!BO$2:BO1001,"")*$G521,"")</f>
        <v/>
      </c>
      <c r="BW521" s="179" t="str">
        <f t="array" ref="BW521">IF($F521&lt;&gt;"",XLOOKUP($F521,Productos!$A:$A,Productos!BP:BP,"Revisar"),"")</f>
        <v/>
      </c>
      <c r="BX521" s="179" t="str">
        <f t="array" ref="BX521">IF($F521&lt;&gt;"", XLOOKUP($F521,Productos!$A$2:$A1001,Productos!BQ$2:BQ1001,"")*$G521,"")</f>
        <v/>
      </c>
      <c r="BY521" s="179" t="str">
        <f t="array" ref="BY521">IF($F521&lt;&gt;"",XLOOKUP($F521,Productos!$A:$A,Productos!BR:BR,"Revisar"),"")</f>
        <v/>
      </c>
      <c r="BZ521" s="179" t="str">
        <f t="array" ref="BZ521">IF($F521&lt;&gt;"", XLOOKUP($F521,Productos!$A$2:$A1001,Productos!BS$2:BS1001,"")*$G521,"")</f>
        <v/>
      </c>
    </row>
    <row r="522">
      <c r="A522" s="188"/>
      <c r="B522" s="189"/>
      <c r="C522" s="190"/>
      <c r="D522" s="190"/>
      <c r="E522" s="191"/>
      <c r="F522" s="186"/>
      <c r="G522" s="192"/>
      <c r="H522" s="9"/>
      <c r="I522" s="179" t="str">
        <f t="array" ref="I522">IF($F522&lt;&gt;"",XLOOKUP($F522,Productos!$A:$A,Productos!B:B,"Revisar"),"")</f>
        <v/>
      </c>
      <c r="J522" s="179" t="str">
        <f t="array" ref="J522">IF($F522&lt;&gt;"", XLOOKUP($F522,Productos!$A$2:$A1001,Productos!C$2:C1001,"")*$G522,"")</f>
        <v/>
      </c>
      <c r="K522" s="179" t="str">
        <f t="array" ref="K522">IF($F522&lt;&gt;"",XLOOKUP($F522,Productos!$A:$A,Productos!D:D,"Revisar"),"")</f>
        <v/>
      </c>
      <c r="L522" s="179" t="str">
        <f t="array" ref="L522">IF($F522&lt;&gt;"", XLOOKUP($F522,Productos!$A$2:$A1001,Productos!E$2:E1001,"")*$G522,"")</f>
        <v/>
      </c>
      <c r="M522" s="179" t="str">
        <f t="array" ref="M522">IF($F522&lt;&gt;"",XLOOKUP($F522,Productos!$A:$A,Productos!F:F,"Revisar"),"")</f>
        <v/>
      </c>
      <c r="N522" s="179" t="str">
        <f t="array" ref="N522">IF($F522&lt;&gt;"", XLOOKUP($F522,Productos!$A$2:$A1001,Productos!G$2:G1001,"")*$G522,"")</f>
        <v/>
      </c>
      <c r="O522" s="179" t="str">
        <f t="array" ref="O522">IF($F522&lt;&gt;"",XLOOKUP($F522,Productos!$A:$A,Productos!H:H,"Revisar"),"")</f>
        <v/>
      </c>
      <c r="P522" s="179" t="str">
        <f t="array" ref="P522">IF($F522&lt;&gt;"", XLOOKUP($F522,Productos!$A$2:$A1001,Productos!I$2:I1001,"")*$G522,"")</f>
        <v/>
      </c>
      <c r="Q522" s="179" t="str">
        <f t="array" ref="Q522">IF($F522&lt;&gt;"",XLOOKUP($F522,Productos!$A:$A,Productos!J:J,"Revisar"),"")</f>
        <v/>
      </c>
      <c r="R522" s="179" t="str">
        <f t="array" ref="R522">IF($F522&lt;&gt;"", XLOOKUP($F522,Productos!$A$2:$A1001,Productos!K$2:K1001,"")*$G522,"")</f>
        <v/>
      </c>
      <c r="S522" s="179" t="str">
        <f t="array" ref="S522">IF($F522&lt;&gt;"",XLOOKUP($F522,Productos!$A:$A,Productos!L:L,"Revisar"),"")</f>
        <v/>
      </c>
      <c r="T522" s="179" t="str">
        <f t="array" ref="T522">IF($F522&lt;&gt;"", XLOOKUP($F522,Productos!$A$2:$A1001,Productos!M$2:M1001,"")*$G522,"")</f>
        <v/>
      </c>
      <c r="U522" s="179" t="str">
        <f t="array" ref="U522">IF($F522&lt;&gt;"",XLOOKUP($F522,Productos!$A:$A,Productos!N:N,"Revisar"),"")</f>
        <v/>
      </c>
      <c r="V522" s="179" t="str">
        <f t="array" ref="V522">IF($F522&lt;&gt;"", XLOOKUP($F522,Productos!$A$2:$A1001,Productos!O$2:O1001,"")*$G522,"")</f>
        <v/>
      </c>
      <c r="W522" s="179" t="str">
        <f t="array" ref="W522">IF($F522&lt;&gt;"",XLOOKUP($F522,Productos!$A:$A,Productos!P:P,"Revisar"),"")</f>
        <v/>
      </c>
      <c r="X522" s="179" t="str">
        <f t="array" ref="X522">IF($F522&lt;&gt;"", XLOOKUP($F522,Productos!$A$2:$A1001,Productos!Q$2:Q1001,"")*$G522,"")</f>
        <v/>
      </c>
      <c r="Y522" s="179" t="str">
        <f t="array" ref="Y522">IF($F522&lt;&gt;"",XLOOKUP($F522,Productos!$A:$A,Productos!R:R,"Revisar"),"")</f>
        <v/>
      </c>
      <c r="Z522" s="179" t="str">
        <f t="array" ref="Z522">IF($F522&lt;&gt;"", XLOOKUP($F522,Productos!$A$2:$A1001,Productos!S$2:S1001,"")*$G522,"")</f>
        <v/>
      </c>
      <c r="AA522" s="179" t="str">
        <f t="array" ref="AA522">IF($F522&lt;&gt;"",XLOOKUP($F522,Productos!$A:$A,Productos!T:T,"Revisar"),"")</f>
        <v/>
      </c>
      <c r="AB522" s="179" t="str">
        <f t="array" ref="AB522">IF($F522&lt;&gt;"", XLOOKUP($F522,Productos!$A$2:$A1001,Productos!U$2:U1001,"")*$G522,"")</f>
        <v/>
      </c>
      <c r="AC522" s="179" t="str">
        <f t="array" ref="AC522">IF($F522&lt;&gt;"",XLOOKUP($F522,Productos!$A:$A,Productos!V:V,"Revisar"),"")</f>
        <v/>
      </c>
      <c r="AD522" s="179" t="str">
        <f t="array" ref="AD522">IF($F522&lt;&gt;"", XLOOKUP($F522,Productos!$A$2:$A1001,Productos!W$2:W1001,"")*$G522,"")</f>
        <v/>
      </c>
      <c r="AE522" s="179" t="str">
        <f t="array" ref="AE522">IF($F522&lt;&gt;"",XLOOKUP($F522,Productos!$A:$A,Productos!X:X,"Revisar"),"")</f>
        <v/>
      </c>
      <c r="AF522" s="179" t="str">
        <f t="array" ref="AF522">IF($F522&lt;&gt;"", XLOOKUP($F522,Productos!$A$2:$A1001,Productos!Y$2:Y1001,"")*$G522,"")</f>
        <v/>
      </c>
      <c r="AG522" s="179" t="str">
        <f t="array" ref="AG522">IF($F522&lt;&gt;"",XLOOKUP($F522,Productos!$A:$A,Productos!Z:Z,"Revisar"),"")</f>
        <v/>
      </c>
      <c r="AH522" s="179" t="str">
        <f t="array" ref="AH522">IF($F522&lt;&gt;"", XLOOKUP($F522,Productos!$A$2:$A1001,Productos!AA$2:AA1001,"")*$G522,"")</f>
        <v/>
      </c>
      <c r="AI522" s="179" t="str">
        <f t="array" ref="AI522">IF($F522&lt;&gt;"",XLOOKUP($F522,Productos!$A:$A,Productos!AB:AB,"Revisar"),"")</f>
        <v/>
      </c>
      <c r="AJ522" s="179" t="str">
        <f t="array" ref="AJ522">IF($F522&lt;&gt;"", XLOOKUP($F522,Productos!$A$2:$A1001,Productos!AC$2:AC1001,"")*$G522,"")</f>
        <v/>
      </c>
      <c r="AK522" s="179" t="str">
        <f t="array" ref="AK522">IF($F522&lt;&gt;"",XLOOKUP($F522,Productos!$A:$A,Productos!AD:AD,"Revisar"),"")</f>
        <v/>
      </c>
      <c r="AL522" s="179" t="str">
        <f t="array" ref="AL522">IF($F522&lt;&gt;"", XLOOKUP($F522,Productos!$A$2:$A1001,Productos!AE$2:AE1001,"")*$G522,"")</f>
        <v/>
      </c>
      <c r="AM522" s="179" t="str">
        <f t="array" ref="AM522">IF($F522&lt;&gt;"",XLOOKUP($F522,Productos!$A:$A,Productos!AF:AF,"Revisar"),"")</f>
        <v/>
      </c>
      <c r="AN522" s="179" t="str">
        <f t="array" ref="AN522">IF($F522&lt;&gt;"", XLOOKUP($F522,Productos!$A$2:$A1001,Productos!AG$2:AG1001,"")*$G522,"")</f>
        <v/>
      </c>
      <c r="AO522" s="179" t="str">
        <f t="array" ref="AO522">IF($F522&lt;&gt;"",XLOOKUP($F522,Productos!$A:$A,Productos!AH:AH,"Revisar"),"")</f>
        <v/>
      </c>
      <c r="AP522" s="179" t="str">
        <f t="array" ref="AP522">IF($F522&lt;&gt;"", XLOOKUP($F522,Productos!$A$2:$A1001,Productos!AI$2:AI1001,"")*$G522,"")</f>
        <v/>
      </c>
      <c r="AQ522" s="179" t="str">
        <f t="array" ref="AQ522">IF($F522&lt;&gt;"",XLOOKUP($F522,Productos!$A:$A,Productos!AJ:AJ,"Revisar"),"")</f>
        <v/>
      </c>
      <c r="AR522" s="179" t="str">
        <f t="array" ref="AR522">IF($F522&lt;&gt;"", XLOOKUP($F522,Productos!$A$2:$A1001,Productos!AK$2:AK1001,"")*$G522,"")</f>
        <v/>
      </c>
      <c r="AS522" s="179" t="str">
        <f t="array" ref="AS522">IF($F522&lt;&gt;"",XLOOKUP($F522,Productos!$A:$A,Productos!AL:AL,"Revisar"),"")</f>
        <v/>
      </c>
      <c r="AT522" s="179" t="str">
        <f t="array" ref="AT522">IF($F522&lt;&gt;"", XLOOKUP($F522,Productos!$A$2:$A1001,Productos!AM$2:AM1001,"")*$G522,"")</f>
        <v/>
      </c>
      <c r="AU522" s="179" t="str">
        <f t="array" ref="AU522">IF($F522&lt;&gt;"",XLOOKUP($F522,Productos!$A:$A,Productos!AN:AN,"Revisar"),"")</f>
        <v/>
      </c>
      <c r="AV522" s="179" t="str">
        <f t="array" ref="AV522">IF($F522&lt;&gt;"", XLOOKUP($F522,Productos!$A$2:$A1001,Productos!AO$2:AO1001,"")*$G522,"")</f>
        <v/>
      </c>
      <c r="AW522" s="179" t="str">
        <f t="array" ref="AW522">IF($F522&lt;&gt;"",XLOOKUP($F522,Productos!$A:$A,Productos!AP:AP,"Revisar"),"")</f>
        <v/>
      </c>
      <c r="AX522" s="179" t="str">
        <f t="array" ref="AX522">IF($F522&lt;&gt;"", XLOOKUP($F522,Productos!$A$2:$A1001,Productos!AQ$2:AQ1001,"")*$G522,"")</f>
        <v/>
      </c>
      <c r="AY522" s="179" t="str">
        <f t="array" ref="AY522">IF($F522&lt;&gt;"",XLOOKUP($F522,Productos!$A:$A,Productos!AR:AR,"Revisar"),"")</f>
        <v/>
      </c>
      <c r="AZ522" s="179" t="str">
        <f t="array" ref="AZ522">IF($F522&lt;&gt;"", XLOOKUP($F522,Productos!$A$2:$A1001,Productos!AS$2:AS1001,"")*$G522,"")</f>
        <v/>
      </c>
      <c r="BA522" s="179" t="str">
        <f t="array" ref="BA522">IF($F522&lt;&gt;"",XLOOKUP($F522,Productos!$A:$A,Productos!AT:AT,"Revisar"),"")</f>
        <v/>
      </c>
      <c r="BB522" s="179" t="str">
        <f t="array" ref="BB522">IF($F522&lt;&gt;"", XLOOKUP($F522,Productos!$A$2:$A1001,Productos!AU$2:AU1001,"")*$G522,"")</f>
        <v/>
      </c>
      <c r="BC522" s="179" t="str">
        <f t="array" ref="BC522">IF($F522&lt;&gt;"",XLOOKUP($F522,Productos!$A:$A,Productos!AV:AV,"Revisar"),"")</f>
        <v/>
      </c>
      <c r="BD522" s="179" t="str">
        <f t="array" ref="BD522">IF($F522&lt;&gt;"", XLOOKUP($F522,Productos!$A$2:$A1001,Productos!AW$2:AW1001,"")*$G522,"")</f>
        <v/>
      </c>
      <c r="BE522" s="179" t="str">
        <f t="array" ref="BE522">IF($F522&lt;&gt;"",XLOOKUP($F522,Productos!$A:$A,Productos!AX:AX,"Revisar"),"")</f>
        <v/>
      </c>
      <c r="BF522" s="179" t="str">
        <f t="array" ref="BF522">IF($F522&lt;&gt;"", XLOOKUP($F522,Productos!$A$2:$A1001,Productos!AY$2:AY1001,"")*$G522,"")</f>
        <v/>
      </c>
      <c r="BG522" s="179" t="str">
        <f t="array" ref="BG522">IF($F522&lt;&gt;"",XLOOKUP($F522,Productos!$A:$A,Productos!AZ:AZ,"Revisar"),"")</f>
        <v/>
      </c>
      <c r="BH522" s="179" t="str">
        <f t="array" ref="BH522">IF($F522&lt;&gt;"", XLOOKUP($F522,Productos!$A$2:$A1001,Productos!BA$2:BA1001,"")*$G522,"")</f>
        <v/>
      </c>
      <c r="BI522" s="179" t="str">
        <f t="array" ref="BI522">IF($F522&lt;&gt;"",XLOOKUP($F522,Productos!$A:$A,Productos!BB:BB,"Revisar"),"")</f>
        <v/>
      </c>
      <c r="BJ522" s="179" t="str">
        <f t="array" ref="BJ522">IF($F522&lt;&gt;"", XLOOKUP($F522,Productos!$A$2:$A1001,Productos!BC$2:BC1001,"")*$G522,"")</f>
        <v/>
      </c>
      <c r="BK522" s="179" t="str">
        <f t="array" ref="BK522">IF($F522&lt;&gt;"",XLOOKUP($F522,Productos!$A:$A,Productos!BD:BD,"Revisar"),"")</f>
        <v/>
      </c>
      <c r="BL522" s="179" t="str">
        <f t="array" ref="BL522">IF($F522&lt;&gt;"", XLOOKUP($F522,Productos!$A$2:$A1001,Productos!BE$2:BE1001,"")*$G522,"")</f>
        <v/>
      </c>
      <c r="BM522" s="179" t="str">
        <f t="array" ref="BM522">IF($F522&lt;&gt;"",XLOOKUP($F522,Productos!$A:$A,Productos!BF:BF,"Revisar"),"")</f>
        <v/>
      </c>
      <c r="BN522" s="179" t="str">
        <f t="array" ref="BN522">IF($F522&lt;&gt;"", XLOOKUP($F522,Productos!$A$2:$A1001,Productos!BG$2:BG1001,"")*$G522,"")</f>
        <v/>
      </c>
      <c r="BO522" s="179" t="str">
        <f t="array" ref="BO522">IF($F522&lt;&gt;"",XLOOKUP($F522,Productos!$A:$A,Productos!BH:BH,"Revisar"),"")</f>
        <v/>
      </c>
      <c r="BP522" s="179" t="str">
        <f t="array" ref="BP522">IF($F522&lt;&gt;"", XLOOKUP($F522,Productos!$A$2:$A1001,Productos!BI$2:BI1001,"")*$G522,"")</f>
        <v/>
      </c>
      <c r="BQ522" s="179" t="str">
        <f t="array" ref="BQ522">IF($F522&lt;&gt;"",XLOOKUP($F522,Productos!$A:$A,Productos!BJ:BJ,"Revisar"),"")</f>
        <v/>
      </c>
      <c r="BR522" s="179" t="str">
        <f t="array" ref="BR522">IF($F522&lt;&gt;"", XLOOKUP($F522,Productos!$A$2:$A1001,Productos!BK$2:BK1001,"")*$G522,"")</f>
        <v/>
      </c>
      <c r="BS522" s="179" t="str">
        <f t="array" ref="BS522">IF($F522&lt;&gt;"",XLOOKUP($F522,Productos!$A:$A,Productos!BL:BL,"Revisar"),"")</f>
        <v/>
      </c>
      <c r="BT522" s="179" t="str">
        <f t="array" ref="BT522">IF($F522&lt;&gt;"", XLOOKUP($F522,Productos!$A$2:$A1001,Productos!BM$2:BM1001,"")*$G522,"")</f>
        <v/>
      </c>
      <c r="BU522" s="179" t="str">
        <f t="array" ref="BU522">IF($F522&lt;&gt;"",XLOOKUP($F522,Productos!$A:$A,Productos!BN:BN,"Revisar"),"")</f>
        <v/>
      </c>
      <c r="BV522" s="179" t="str">
        <f t="array" ref="BV522">IF($F522&lt;&gt;"", XLOOKUP($F522,Productos!$A$2:$A1001,Productos!BO$2:BO1001,"")*$G522,"")</f>
        <v/>
      </c>
      <c r="BW522" s="179" t="str">
        <f t="array" ref="BW522">IF($F522&lt;&gt;"",XLOOKUP($F522,Productos!$A:$A,Productos!BP:BP,"Revisar"),"")</f>
        <v/>
      </c>
      <c r="BX522" s="179" t="str">
        <f t="array" ref="BX522">IF($F522&lt;&gt;"", XLOOKUP($F522,Productos!$A$2:$A1001,Productos!BQ$2:BQ1001,"")*$G522,"")</f>
        <v/>
      </c>
      <c r="BY522" s="179" t="str">
        <f t="array" ref="BY522">IF($F522&lt;&gt;"",XLOOKUP($F522,Productos!$A:$A,Productos!BR:BR,"Revisar"),"")</f>
        <v/>
      </c>
      <c r="BZ522" s="179" t="str">
        <f t="array" ref="BZ522">IF($F522&lt;&gt;"", XLOOKUP($F522,Productos!$A$2:$A1001,Productos!BS$2:BS1001,"")*$G522,"")</f>
        <v/>
      </c>
    </row>
    <row r="523">
      <c r="A523" s="188"/>
      <c r="B523" s="189"/>
      <c r="C523" s="190"/>
      <c r="D523" s="190"/>
      <c r="E523" s="191"/>
      <c r="F523" s="186"/>
      <c r="G523" s="192"/>
      <c r="H523" s="9"/>
      <c r="I523" s="179" t="str">
        <f t="array" ref="I523">IF($F523&lt;&gt;"",XLOOKUP($F523,Productos!$A:$A,Productos!B:B,"Revisar"),"")</f>
        <v/>
      </c>
      <c r="J523" s="179" t="str">
        <f t="array" ref="J523">IF($F523&lt;&gt;"", XLOOKUP($F523,Productos!$A$2:$A1001,Productos!C$2:C1001,"")*$G523,"")</f>
        <v/>
      </c>
      <c r="K523" s="179" t="str">
        <f t="array" ref="K523">IF($F523&lt;&gt;"",XLOOKUP($F523,Productos!$A:$A,Productos!D:D,"Revisar"),"")</f>
        <v/>
      </c>
      <c r="L523" s="179" t="str">
        <f t="array" ref="L523">IF($F523&lt;&gt;"", XLOOKUP($F523,Productos!$A$2:$A1001,Productos!E$2:E1001,"")*$G523,"")</f>
        <v/>
      </c>
      <c r="M523" s="179" t="str">
        <f t="array" ref="M523">IF($F523&lt;&gt;"",XLOOKUP($F523,Productos!$A:$A,Productos!F:F,"Revisar"),"")</f>
        <v/>
      </c>
      <c r="N523" s="179" t="str">
        <f t="array" ref="N523">IF($F523&lt;&gt;"", XLOOKUP($F523,Productos!$A$2:$A1001,Productos!G$2:G1001,"")*$G523,"")</f>
        <v/>
      </c>
      <c r="O523" s="179" t="str">
        <f t="array" ref="O523">IF($F523&lt;&gt;"",XLOOKUP($F523,Productos!$A:$A,Productos!H:H,"Revisar"),"")</f>
        <v/>
      </c>
      <c r="P523" s="179" t="str">
        <f t="array" ref="P523">IF($F523&lt;&gt;"", XLOOKUP($F523,Productos!$A$2:$A1001,Productos!I$2:I1001,"")*$G523,"")</f>
        <v/>
      </c>
      <c r="Q523" s="179" t="str">
        <f t="array" ref="Q523">IF($F523&lt;&gt;"",XLOOKUP($F523,Productos!$A:$A,Productos!J:J,"Revisar"),"")</f>
        <v/>
      </c>
      <c r="R523" s="179" t="str">
        <f t="array" ref="R523">IF($F523&lt;&gt;"", XLOOKUP($F523,Productos!$A$2:$A1001,Productos!K$2:K1001,"")*$G523,"")</f>
        <v/>
      </c>
      <c r="S523" s="179" t="str">
        <f t="array" ref="S523">IF($F523&lt;&gt;"",XLOOKUP($F523,Productos!$A:$A,Productos!L:L,"Revisar"),"")</f>
        <v/>
      </c>
      <c r="T523" s="179" t="str">
        <f t="array" ref="T523">IF($F523&lt;&gt;"", XLOOKUP($F523,Productos!$A$2:$A1001,Productos!M$2:M1001,"")*$G523,"")</f>
        <v/>
      </c>
      <c r="U523" s="179" t="str">
        <f t="array" ref="U523">IF($F523&lt;&gt;"",XLOOKUP($F523,Productos!$A:$A,Productos!N:N,"Revisar"),"")</f>
        <v/>
      </c>
      <c r="V523" s="179" t="str">
        <f t="array" ref="V523">IF($F523&lt;&gt;"", XLOOKUP($F523,Productos!$A$2:$A1001,Productos!O$2:O1001,"")*$G523,"")</f>
        <v/>
      </c>
      <c r="W523" s="179" t="str">
        <f t="array" ref="W523">IF($F523&lt;&gt;"",XLOOKUP($F523,Productos!$A:$A,Productos!P:P,"Revisar"),"")</f>
        <v/>
      </c>
      <c r="X523" s="179" t="str">
        <f t="array" ref="X523">IF($F523&lt;&gt;"", XLOOKUP($F523,Productos!$A$2:$A1001,Productos!Q$2:Q1001,"")*$G523,"")</f>
        <v/>
      </c>
      <c r="Y523" s="179" t="str">
        <f t="array" ref="Y523">IF($F523&lt;&gt;"",XLOOKUP($F523,Productos!$A:$A,Productos!R:R,"Revisar"),"")</f>
        <v/>
      </c>
      <c r="Z523" s="179" t="str">
        <f t="array" ref="Z523">IF($F523&lt;&gt;"", XLOOKUP($F523,Productos!$A$2:$A1001,Productos!S$2:S1001,"")*$G523,"")</f>
        <v/>
      </c>
      <c r="AA523" s="179" t="str">
        <f t="array" ref="AA523">IF($F523&lt;&gt;"",XLOOKUP($F523,Productos!$A:$A,Productos!T:T,"Revisar"),"")</f>
        <v/>
      </c>
      <c r="AB523" s="179" t="str">
        <f t="array" ref="AB523">IF($F523&lt;&gt;"", XLOOKUP($F523,Productos!$A$2:$A1001,Productos!U$2:U1001,"")*$G523,"")</f>
        <v/>
      </c>
      <c r="AC523" s="179" t="str">
        <f t="array" ref="AC523">IF($F523&lt;&gt;"",XLOOKUP($F523,Productos!$A:$A,Productos!V:V,"Revisar"),"")</f>
        <v/>
      </c>
      <c r="AD523" s="179" t="str">
        <f t="array" ref="AD523">IF($F523&lt;&gt;"", XLOOKUP($F523,Productos!$A$2:$A1001,Productos!W$2:W1001,"")*$G523,"")</f>
        <v/>
      </c>
      <c r="AE523" s="179" t="str">
        <f t="array" ref="AE523">IF($F523&lt;&gt;"",XLOOKUP($F523,Productos!$A:$A,Productos!X:X,"Revisar"),"")</f>
        <v/>
      </c>
      <c r="AF523" s="179" t="str">
        <f t="array" ref="AF523">IF($F523&lt;&gt;"", XLOOKUP($F523,Productos!$A$2:$A1001,Productos!Y$2:Y1001,"")*$G523,"")</f>
        <v/>
      </c>
      <c r="AG523" s="179" t="str">
        <f t="array" ref="AG523">IF($F523&lt;&gt;"",XLOOKUP($F523,Productos!$A:$A,Productos!Z:Z,"Revisar"),"")</f>
        <v/>
      </c>
      <c r="AH523" s="179" t="str">
        <f t="array" ref="AH523">IF($F523&lt;&gt;"", XLOOKUP($F523,Productos!$A$2:$A1001,Productos!AA$2:AA1001,"")*$G523,"")</f>
        <v/>
      </c>
      <c r="AI523" s="179" t="str">
        <f t="array" ref="AI523">IF($F523&lt;&gt;"",XLOOKUP($F523,Productos!$A:$A,Productos!AB:AB,"Revisar"),"")</f>
        <v/>
      </c>
      <c r="AJ523" s="179" t="str">
        <f t="array" ref="AJ523">IF($F523&lt;&gt;"", XLOOKUP($F523,Productos!$A$2:$A1001,Productos!AC$2:AC1001,"")*$G523,"")</f>
        <v/>
      </c>
      <c r="AK523" s="179" t="str">
        <f t="array" ref="AK523">IF($F523&lt;&gt;"",XLOOKUP($F523,Productos!$A:$A,Productos!AD:AD,"Revisar"),"")</f>
        <v/>
      </c>
      <c r="AL523" s="179" t="str">
        <f t="array" ref="AL523">IF($F523&lt;&gt;"", XLOOKUP($F523,Productos!$A$2:$A1001,Productos!AE$2:AE1001,"")*$G523,"")</f>
        <v/>
      </c>
      <c r="AM523" s="179" t="str">
        <f t="array" ref="AM523">IF($F523&lt;&gt;"",XLOOKUP($F523,Productos!$A:$A,Productos!AF:AF,"Revisar"),"")</f>
        <v/>
      </c>
      <c r="AN523" s="179" t="str">
        <f t="array" ref="AN523">IF($F523&lt;&gt;"", XLOOKUP($F523,Productos!$A$2:$A1001,Productos!AG$2:AG1001,"")*$G523,"")</f>
        <v/>
      </c>
      <c r="AO523" s="179" t="str">
        <f t="array" ref="AO523">IF($F523&lt;&gt;"",XLOOKUP($F523,Productos!$A:$A,Productos!AH:AH,"Revisar"),"")</f>
        <v/>
      </c>
      <c r="AP523" s="179" t="str">
        <f t="array" ref="AP523">IF($F523&lt;&gt;"", XLOOKUP($F523,Productos!$A$2:$A1001,Productos!AI$2:AI1001,"")*$G523,"")</f>
        <v/>
      </c>
      <c r="AQ523" s="179" t="str">
        <f t="array" ref="AQ523">IF($F523&lt;&gt;"",XLOOKUP($F523,Productos!$A:$A,Productos!AJ:AJ,"Revisar"),"")</f>
        <v/>
      </c>
      <c r="AR523" s="179" t="str">
        <f t="array" ref="AR523">IF($F523&lt;&gt;"", XLOOKUP($F523,Productos!$A$2:$A1001,Productos!AK$2:AK1001,"")*$G523,"")</f>
        <v/>
      </c>
      <c r="AS523" s="179" t="str">
        <f t="array" ref="AS523">IF($F523&lt;&gt;"",XLOOKUP($F523,Productos!$A:$A,Productos!AL:AL,"Revisar"),"")</f>
        <v/>
      </c>
      <c r="AT523" s="179" t="str">
        <f t="array" ref="AT523">IF($F523&lt;&gt;"", XLOOKUP($F523,Productos!$A$2:$A1001,Productos!AM$2:AM1001,"")*$G523,"")</f>
        <v/>
      </c>
      <c r="AU523" s="179" t="str">
        <f t="array" ref="AU523">IF($F523&lt;&gt;"",XLOOKUP($F523,Productos!$A:$A,Productos!AN:AN,"Revisar"),"")</f>
        <v/>
      </c>
      <c r="AV523" s="179" t="str">
        <f t="array" ref="AV523">IF($F523&lt;&gt;"", XLOOKUP($F523,Productos!$A$2:$A1001,Productos!AO$2:AO1001,"")*$G523,"")</f>
        <v/>
      </c>
      <c r="AW523" s="179" t="str">
        <f t="array" ref="AW523">IF($F523&lt;&gt;"",XLOOKUP($F523,Productos!$A:$A,Productos!AP:AP,"Revisar"),"")</f>
        <v/>
      </c>
      <c r="AX523" s="179" t="str">
        <f t="array" ref="AX523">IF($F523&lt;&gt;"", XLOOKUP($F523,Productos!$A$2:$A1001,Productos!AQ$2:AQ1001,"")*$G523,"")</f>
        <v/>
      </c>
      <c r="AY523" s="179" t="str">
        <f t="array" ref="AY523">IF($F523&lt;&gt;"",XLOOKUP($F523,Productos!$A:$A,Productos!AR:AR,"Revisar"),"")</f>
        <v/>
      </c>
      <c r="AZ523" s="179" t="str">
        <f t="array" ref="AZ523">IF($F523&lt;&gt;"", XLOOKUP($F523,Productos!$A$2:$A1001,Productos!AS$2:AS1001,"")*$G523,"")</f>
        <v/>
      </c>
      <c r="BA523" s="179" t="str">
        <f t="array" ref="BA523">IF($F523&lt;&gt;"",XLOOKUP($F523,Productos!$A:$A,Productos!AT:AT,"Revisar"),"")</f>
        <v/>
      </c>
      <c r="BB523" s="179" t="str">
        <f t="array" ref="BB523">IF($F523&lt;&gt;"", XLOOKUP($F523,Productos!$A$2:$A1001,Productos!AU$2:AU1001,"")*$G523,"")</f>
        <v/>
      </c>
      <c r="BC523" s="179" t="str">
        <f t="array" ref="BC523">IF($F523&lt;&gt;"",XLOOKUP($F523,Productos!$A:$A,Productos!AV:AV,"Revisar"),"")</f>
        <v/>
      </c>
      <c r="BD523" s="179" t="str">
        <f t="array" ref="BD523">IF($F523&lt;&gt;"", XLOOKUP($F523,Productos!$A$2:$A1001,Productos!AW$2:AW1001,"")*$G523,"")</f>
        <v/>
      </c>
      <c r="BE523" s="179" t="str">
        <f t="array" ref="BE523">IF($F523&lt;&gt;"",XLOOKUP($F523,Productos!$A:$A,Productos!AX:AX,"Revisar"),"")</f>
        <v/>
      </c>
      <c r="BF523" s="179" t="str">
        <f t="array" ref="BF523">IF($F523&lt;&gt;"", XLOOKUP($F523,Productos!$A$2:$A1001,Productos!AY$2:AY1001,"")*$G523,"")</f>
        <v/>
      </c>
      <c r="BG523" s="179" t="str">
        <f t="array" ref="BG523">IF($F523&lt;&gt;"",XLOOKUP($F523,Productos!$A:$A,Productos!AZ:AZ,"Revisar"),"")</f>
        <v/>
      </c>
      <c r="BH523" s="179" t="str">
        <f t="array" ref="BH523">IF($F523&lt;&gt;"", XLOOKUP($F523,Productos!$A$2:$A1001,Productos!BA$2:BA1001,"")*$G523,"")</f>
        <v/>
      </c>
      <c r="BI523" s="179" t="str">
        <f t="array" ref="BI523">IF($F523&lt;&gt;"",XLOOKUP($F523,Productos!$A:$A,Productos!BB:BB,"Revisar"),"")</f>
        <v/>
      </c>
      <c r="BJ523" s="179" t="str">
        <f t="array" ref="BJ523">IF($F523&lt;&gt;"", XLOOKUP($F523,Productos!$A$2:$A1001,Productos!BC$2:BC1001,"")*$G523,"")</f>
        <v/>
      </c>
      <c r="BK523" s="179" t="str">
        <f t="array" ref="BK523">IF($F523&lt;&gt;"",XLOOKUP($F523,Productos!$A:$A,Productos!BD:BD,"Revisar"),"")</f>
        <v/>
      </c>
      <c r="BL523" s="179" t="str">
        <f t="array" ref="BL523">IF($F523&lt;&gt;"", XLOOKUP($F523,Productos!$A$2:$A1001,Productos!BE$2:BE1001,"")*$G523,"")</f>
        <v/>
      </c>
      <c r="BM523" s="179" t="str">
        <f t="array" ref="BM523">IF($F523&lt;&gt;"",XLOOKUP($F523,Productos!$A:$A,Productos!BF:BF,"Revisar"),"")</f>
        <v/>
      </c>
      <c r="BN523" s="179" t="str">
        <f t="array" ref="BN523">IF($F523&lt;&gt;"", XLOOKUP($F523,Productos!$A$2:$A1001,Productos!BG$2:BG1001,"")*$G523,"")</f>
        <v/>
      </c>
      <c r="BO523" s="179" t="str">
        <f t="array" ref="BO523">IF($F523&lt;&gt;"",XLOOKUP($F523,Productos!$A:$A,Productos!BH:BH,"Revisar"),"")</f>
        <v/>
      </c>
      <c r="BP523" s="179" t="str">
        <f t="array" ref="BP523">IF($F523&lt;&gt;"", XLOOKUP($F523,Productos!$A$2:$A1001,Productos!BI$2:BI1001,"")*$G523,"")</f>
        <v/>
      </c>
      <c r="BQ523" s="179" t="str">
        <f t="array" ref="BQ523">IF($F523&lt;&gt;"",XLOOKUP($F523,Productos!$A:$A,Productos!BJ:BJ,"Revisar"),"")</f>
        <v/>
      </c>
      <c r="BR523" s="179" t="str">
        <f t="array" ref="BR523">IF($F523&lt;&gt;"", XLOOKUP($F523,Productos!$A$2:$A1001,Productos!BK$2:BK1001,"")*$G523,"")</f>
        <v/>
      </c>
      <c r="BS523" s="179" t="str">
        <f t="array" ref="BS523">IF($F523&lt;&gt;"",XLOOKUP($F523,Productos!$A:$A,Productos!BL:BL,"Revisar"),"")</f>
        <v/>
      </c>
      <c r="BT523" s="179" t="str">
        <f t="array" ref="BT523">IF($F523&lt;&gt;"", XLOOKUP($F523,Productos!$A$2:$A1001,Productos!BM$2:BM1001,"")*$G523,"")</f>
        <v/>
      </c>
      <c r="BU523" s="179" t="str">
        <f t="array" ref="BU523">IF($F523&lt;&gt;"",XLOOKUP($F523,Productos!$A:$A,Productos!BN:BN,"Revisar"),"")</f>
        <v/>
      </c>
      <c r="BV523" s="179" t="str">
        <f t="array" ref="BV523">IF($F523&lt;&gt;"", XLOOKUP($F523,Productos!$A$2:$A1001,Productos!BO$2:BO1001,"")*$G523,"")</f>
        <v/>
      </c>
      <c r="BW523" s="179" t="str">
        <f t="array" ref="BW523">IF($F523&lt;&gt;"",XLOOKUP($F523,Productos!$A:$A,Productos!BP:BP,"Revisar"),"")</f>
        <v/>
      </c>
      <c r="BX523" s="179" t="str">
        <f t="array" ref="BX523">IF($F523&lt;&gt;"", XLOOKUP($F523,Productos!$A$2:$A1001,Productos!BQ$2:BQ1001,"")*$G523,"")</f>
        <v/>
      </c>
      <c r="BY523" s="179" t="str">
        <f t="array" ref="BY523">IF($F523&lt;&gt;"",XLOOKUP($F523,Productos!$A:$A,Productos!BR:BR,"Revisar"),"")</f>
        <v/>
      </c>
      <c r="BZ523" s="179" t="str">
        <f t="array" ref="BZ523">IF($F523&lt;&gt;"", XLOOKUP($F523,Productos!$A$2:$A1001,Productos!BS$2:BS1001,"")*$G523,"")</f>
        <v/>
      </c>
    </row>
    <row r="524">
      <c r="A524" s="188"/>
      <c r="B524" s="189"/>
      <c r="C524" s="190"/>
      <c r="D524" s="190"/>
      <c r="E524" s="191"/>
      <c r="F524" s="186"/>
      <c r="G524" s="192"/>
      <c r="H524" s="9"/>
      <c r="I524" s="179" t="str">
        <f t="array" ref="I524">IF($F524&lt;&gt;"",XLOOKUP($F524,Productos!$A:$A,Productos!B:B,"Revisar"),"")</f>
        <v/>
      </c>
      <c r="J524" s="179" t="str">
        <f t="array" ref="J524">IF($F524&lt;&gt;"", XLOOKUP($F524,Productos!$A$2:$A1001,Productos!C$2:C1001,"")*$G524,"")</f>
        <v/>
      </c>
      <c r="K524" s="179" t="str">
        <f t="array" ref="K524">IF($F524&lt;&gt;"",XLOOKUP($F524,Productos!$A:$A,Productos!D:D,"Revisar"),"")</f>
        <v/>
      </c>
      <c r="L524" s="179" t="str">
        <f t="array" ref="L524">IF($F524&lt;&gt;"", XLOOKUP($F524,Productos!$A$2:$A1001,Productos!E$2:E1001,"")*$G524,"")</f>
        <v/>
      </c>
      <c r="M524" s="179" t="str">
        <f t="array" ref="M524">IF($F524&lt;&gt;"",XLOOKUP($F524,Productos!$A:$A,Productos!F:F,"Revisar"),"")</f>
        <v/>
      </c>
      <c r="N524" s="179" t="str">
        <f t="array" ref="N524">IF($F524&lt;&gt;"", XLOOKUP($F524,Productos!$A$2:$A1001,Productos!G$2:G1001,"")*$G524,"")</f>
        <v/>
      </c>
      <c r="O524" s="179" t="str">
        <f t="array" ref="O524">IF($F524&lt;&gt;"",XLOOKUP($F524,Productos!$A:$A,Productos!H:H,"Revisar"),"")</f>
        <v/>
      </c>
      <c r="P524" s="179" t="str">
        <f t="array" ref="P524">IF($F524&lt;&gt;"", XLOOKUP($F524,Productos!$A$2:$A1001,Productos!I$2:I1001,"")*$G524,"")</f>
        <v/>
      </c>
      <c r="Q524" s="179" t="str">
        <f t="array" ref="Q524">IF($F524&lt;&gt;"",XLOOKUP($F524,Productos!$A:$A,Productos!J:J,"Revisar"),"")</f>
        <v/>
      </c>
      <c r="R524" s="179" t="str">
        <f t="array" ref="R524">IF($F524&lt;&gt;"", XLOOKUP($F524,Productos!$A$2:$A1001,Productos!K$2:K1001,"")*$G524,"")</f>
        <v/>
      </c>
      <c r="S524" s="179" t="str">
        <f t="array" ref="S524">IF($F524&lt;&gt;"",XLOOKUP($F524,Productos!$A:$A,Productos!L:L,"Revisar"),"")</f>
        <v/>
      </c>
      <c r="T524" s="179" t="str">
        <f t="array" ref="T524">IF($F524&lt;&gt;"", XLOOKUP($F524,Productos!$A$2:$A1001,Productos!M$2:M1001,"")*$G524,"")</f>
        <v/>
      </c>
      <c r="U524" s="179" t="str">
        <f t="array" ref="U524">IF($F524&lt;&gt;"",XLOOKUP($F524,Productos!$A:$A,Productos!N:N,"Revisar"),"")</f>
        <v/>
      </c>
      <c r="V524" s="179" t="str">
        <f t="array" ref="V524">IF($F524&lt;&gt;"", XLOOKUP($F524,Productos!$A$2:$A1001,Productos!O$2:O1001,"")*$G524,"")</f>
        <v/>
      </c>
      <c r="W524" s="179" t="str">
        <f t="array" ref="W524">IF($F524&lt;&gt;"",XLOOKUP($F524,Productos!$A:$A,Productos!P:P,"Revisar"),"")</f>
        <v/>
      </c>
      <c r="X524" s="179" t="str">
        <f t="array" ref="X524">IF($F524&lt;&gt;"", XLOOKUP($F524,Productos!$A$2:$A1001,Productos!Q$2:Q1001,"")*$G524,"")</f>
        <v/>
      </c>
      <c r="Y524" s="179" t="str">
        <f t="array" ref="Y524">IF($F524&lt;&gt;"",XLOOKUP($F524,Productos!$A:$A,Productos!R:R,"Revisar"),"")</f>
        <v/>
      </c>
      <c r="Z524" s="179" t="str">
        <f t="array" ref="Z524">IF($F524&lt;&gt;"", XLOOKUP($F524,Productos!$A$2:$A1001,Productos!S$2:S1001,"")*$G524,"")</f>
        <v/>
      </c>
      <c r="AA524" s="179" t="str">
        <f t="array" ref="AA524">IF($F524&lt;&gt;"",XLOOKUP($F524,Productos!$A:$A,Productos!T:T,"Revisar"),"")</f>
        <v/>
      </c>
      <c r="AB524" s="179" t="str">
        <f t="array" ref="AB524">IF($F524&lt;&gt;"", XLOOKUP($F524,Productos!$A$2:$A1001,Productos!U$2:U1001,"")*$G524,"")</f>
        <v/>
      </c>
      <c r="AC524" s="179" t="str">
        <f t="array" ref="AC524">IF($F524&lt;&gt;"",XLOOKUP($F524,Productos!$A:$A,Productos!V:V,"Revisar"),"")</f>
        <v/>
      </c>
      <c r="AD524" s="179" t="str">
        <f t="array" ref="AD524">IF($F524&lt;&gt;"", XLOOKUP($F524,Productos!$A$2:$A1001,Productos!W$2:W1001,"")*$G524,"")</f>
        <v/>
      </c>
      <c r="AE524" s="179" t="str">
        <f t="array" ref="AE524">IF($F524&lt;&gt;"",XLOOKUP($F524,Productos!$A:$A,Productos!X:X,"Revisar"),"")</f>
        <v/>
      </c>
      <c r="AF524" s="179" t="str">
        <f t="array" ref="AF524">IF($F524&lt;&gt;"", XLOOKUP($F524,Productos!$A$2:$A1001,Productos!Y$2:Y1001,"")*$G524,"")</f>
        <v/>
      </c>
      <c r="AG524" s="179" t="str">
        <f t="array" ref="AG524">IF($F524&lt;&gt;"",XLOOKUP($F524,Productos!$A:$A,Productos!Z:Z,"Revisar"),"")</f>
        <v/>
      </c>
      <c r="AH524" s="179" t="str">
        <f t="array" ref="AH524">IF($F524&lt;&gt;"", XLOOKUP($F524,Productos!$A$2:$A1001,Productos!AA$2:AA1001,"")*$G524,"")</f>
        <v/>
      </c>
      <c r="AI524" s="179" t="str">
        <f t="array" ref="AI524">IF($F524&lt;&gt;"",XLOOKUP($F524,Productos!$A:$A,Productos!AB:AB,"Revisar"),"")</f>
        <v/>
      </c>
      <c r="AJ524" s="179" t="str">
        <f t="array" ref="AJ524">IF($F524&lt;&gt;"", XLOOKUP($F524,Productos!$A$2:$A1001,Productos!AC$2:AC1001,"")*$G524,"")</f>
        <v/>
      </c>
      <c r="AK524" s="179" t="str">
        <f t="array" ref="AK524">IF($F524&lt;&gt;"",XLOOKUP($F524,Productos!$A:$A,Productos!AD:AD,"Revisar"),"")</f>
        <v/>
      </c>
      <c r="AL524" s="179" t="str">
        <f t="array" ref="AL524">IF($F524&lt;&gt;"", XLOOKUP($F524,Productos!$A$2:$A1001,Productos!AE$2:AE1001,"")*$G524,"")</f>
        <v/>
      </c>
      <c r="AM524" s="179" t="str">
        <f t="array" ref="AM524">IF($F524&lt;&gt;"",XLOOKUP($F524,Productos!$A:$A,Productos!AF:AF,"Revisar"),"")</f>
        <v/>
      </c>
      <c r="AN524" s="179" t="str">
        <f t="array" ref="AN524">IF($F524&lt;&gt;"", XLOOKUP($F524,Productos!$A$2:$A1001,Productos!AG$2:AG1001,"")*$G524,"")</f>
        <v/>
      </c>
      <c r="AO524" s="179" t="str">
        <f t="array" ref="AO524">IF($F524&lt;&gt;"",XLOOKUP($F524,Productos!$A:$A,Productos!AH:AH,"Revisar"),"")</f>
        <v/>
      </c>
      <c r="AP524" s="179" t="str">
        <f t="array" ref="AP524">IF($F524&lt;&gt;"", XLOOKUP($F524,Productos!$A$2:$A1001,Productos!AI$2:AI1001,"")*$G524,"")</f>
        <v/>
      </c>
      <c r="AQ524" s="179" t="str">
        <f t="array" ref="AQ524">IF($F524&lt;&gt;"",XLOOKUP($F524,Productos!$A:$A,Productos!AJ:AJ,"Revisar"),"")</f>
        <v/>
      </c>
      <c r="AR524" s="179" t="str">
        <f t="array" ref="AR524">IF($F524&lt;&gt;"", XLOOKUP($F524,Productos!$A$2:$A1001,Productos!AK$2:AK1001,"")*$G524,"")</f>
        <v/>
      </c>
      <c r="AS524" s="179" t="str">
        <f t="array" ref="AS524">IF($F524&lt;&gt;"",XLOOKUP($F524,Productos!$A:$A,Productos!AL:AL,"Revisar"),"")</f>
        <v/>
      </c>
      <c r="AT524" s="179" t="str">
        <f t="array" ref="AT524">IF($F524&lt;&gt;"", XLOOKUP($F524,Productos!$A$2:$A1001,Productos!AM$2:AM1001,"")*$G524,"")</f>
        <v/>
      </c>
      <c r="AU524" s="179" t="str">
        <f t="array" ref="AU524">IF($F524&lt;&gt;"",XLOOKUP($F524,Productos!$A:$A,Productos!AN:AN,"Revisar"),"")</f>
        <v/>
      </c>
      <c r="AV524" s="179" t="str">
        <f t="array" ref="AV524">IF($F524&lt;&gt;"", XLOOKUP($F524,Productos!$A$2:$A1001,Productos!AO$2:AO1001,"")*$G524,"")</f>
        <v/>
      </c>
      <c r="AW524" s="179" t="str">
        <f t="array" ref="AW524">IF($F524&lt;&gt;"",XLOOKUP($F524,Productos!$A:$A,Productos!AP:AP,"Revisar"),"")</f>
        <v/>
      </c>
      <c r="AX524" s="179" t="str">
        <f t="array" ref="AX524">IF($F524&lt;&gt;"", XLOOKUP($F524,Productos!$A$2:$A1001,Productos!AQ$2:AQ1001,"")*$G524,"")</f>
        <v/>
      </c>
      <c r="AY524" s="179" t="str">
        <f t="array" ref="AY524">IF($F524&lt;&gt;"",XLOOKUP($F524,Productos!$A:$A,Productos!AR:AR,"Revisar"),"")</f>
        <v/>
      </c>
      <c r="AZ524" s="179" t="str">
        <f t="array" ref="AZ524">IF($F524&lt;&gt;"", XLOOKUP($F524,Productos!$A$2:$A1001,Productos!AS$2:AS1001,"")*$G524,"")</f>
        <v/>
      </c>
      <c r="BA524" s="179" t="str">
        <f t="array" ref="BA524">IF($F524&lt;&gt;"",XLOOKUP($F524,Productos!$A:$A,Productos!AT:AT,"Revisar"),"")</f>
        <v/>
      </c>
      <c r="BB524" s="179" t="str">
        <f t="array" ref="BB524">IF($F524&lt;&gt;"", XLOOKUP($F524,Productos!$A$2:$A1001,Productos!AU$2:AU1001,"")*$G524,"")</f>
        <v/>
      </c>
      <c r="BC524" s="179" t="str">
        <f t="array" ref="BC524">IF($F524&lt;&gt;"",XLOOKUP($F524,Productos!$A:$A,Productos!AV:AV,"Revisar"),"")</f>
        <v/>
      </c>
      <c r="BD524" s="179" t="str">
        <f t="array" ref="BD524">IF($F524&lt;&gt;"", XLOOKUP($F524,Productos!$A$2:$A1001,Productos!AW$2:AW1001,"")*$G524,"")</f>
        <v/>
      </c>
      <c r="BE524" s="179" t="str">
        <f t="array" ref="BE524">IF($F524&lt;&gt;"",XLOOKUP($F524,Productos!$A:$A,Productos!AX:AX,"Revisar"),"")</f>
        <v/>
      </c>
      <c r="BF524" s="179" t="str">
        <f t="array" ref="BF524">IF($F524&lt;&gt;"", XLOOKUP($F524,Productos!$A$2:$A1001,Productos!AY$2:AY1001,"")*$G524,"")</f>
        <v/>
      </c>
      <c r="BG524" s="179" t="str">
        <f t="array" ref="BG524">IF($F524&lt;&gt;"",XLOOKUP($F524,Productos!$A:$A,Productos!AZ:AZ,"Revisar"),"")</f>
        <v/>
      </c>
      <c r="BH524" s="179" t="str">
        <f t="array" ref="BH524">IF($F524&lt;&gt;"", XLOOKUP($F524,Productos!$A$2:$A1001,Productos!BA$2:BA1001,"")*$G524,"")</f>
        <v/>
      </c>
      <c r="BI524" s="179" t="str">
        <f t="array" ref="BI524">IF($F524&lt;&gt;"",XLOOKUP($F524,Productos!$A:$A,Productos!BB:BB,"Revisar"),"")</f>
        <v/>
      </c>
      <c r="BJ524" s="179" t="str">
        <f t="array" ref="BJ524">IF($F524&lt;&gt;"", XLOOKUP($F524,Productos!$A$2:$A1001,Productos!BC$2:BC1001,"")*$G524,"")</f>
        <v/>
      </c>
      <c r="BK524" s="179" t="str">
        <f t="array" ref="BK524">IF($F524&lt;&gt;"",XLOOKUP($F524,Productos!$A:$A,Productos!BD:BD,"Revisar"),"")</f>
        <v/>
      </c>
      <c r="BL524" s="179" t="str">
        <f t="array" ref="BL524">IF($F524&lt;&gt;"", XLOOKUP($F524,Productos!$A$2:$A1001,Productos!BE$2:BE1001,"")*$G524,"")</f>
        <v/>
      </c>
      <c r="BM524" s="179" t="str">
        <f t="array" ref="BM524">IF($F524&lt;&gt;"",XLOOKUP($F524,Productos!$A:$A,Productos!BF:BF,"Revisar"),"")</f>
        <v/>
      </c>
      <c r="BN524" s="179" t="str">
        <f t="array" ref="BN524">IF($F524&lt;&gt;"", XLOOKUP($F524,Productos!$A$2:$A1001,Productos!BG$2:BG1001,"")*$G524,"")</f>
        <v/>
      </c>
      <c r="BO524" s="179" t="str">
        <f t="array" ref="BO524">IF($F524&lt;&gt;"",XLOOKUP($F524,Productos!$A:$A,Productos!BH:BH,"Revisar"),"")</f>
        <v/>
      </c>
      <c r="BP524" s="179" t="str">
        <f t="array" ref="BP524">IF($F524&lt;&gt;"", XLOOKUP($F524,Productos!$A$2:$A1001,Productos!BI$2:BI1001,"")*$G524,"")</f>
        <v/>
      </c>
      <c r="BQ524" s="179" t="str">
        <f t="array" ref="BQ524">IF($F524&lt;&gt;"",XLOOKUP($F524,Productos!$A:$A,Productos!BJ:BJ,"Revisar"),"")</f>
        <v/>
      </c>
      <c r="BR524" s="179" t="str">
        <f t="array" ref="BR524">IF($F524&lt;&gt;"", XLOOKUP($F524,Productos!$A$2:$A1001,Productos!BK$2:BK1001,"")*$G524,"")</f>
        <v/>
      </c>
      <c r="BS524" s="179" t="str">
        <f t="array" ref="BS524">IF($F524&lt;&gt;"",XLOOKUP($F524,Productos!$A:$A,Productos!BL:BL,"Revisar"),"")</f>
        <v/>
      </c>
      <c r="BT524" s="179" t="str">
        <f t="array" ref="BT524">IF($F524&lt;&gt;"", XLOOKUP($F524,Productos!$A$2:$A1001,Productos!BM$2:BM1001,"")*$G524,"")</f>
        <v/>
      </c>
      <c r="BU524" s="179" t="str">
        <f t="array" ref="BU524">IF($F524&lt;&gt;"",XLOOKUP($F524,Productos!$A:$A,Productos!BN:BN,"Revisar"),"")</f>
        <v/>
      </c>
      <c r="BV524" s="179" t="str">
        <f t="array" ref="BV524">IF($F524&lt;&gt;"", XLOOKUP($F524,Productos!$A$2:$A1001,Productos!BO$2:BO1001,"")*$G524,"")</f>
        <v/>
      </c>
      <c r="BW524" s="179" t="str">
        <f t="array" ref="BW524">IF($F524&lt;&gt;"",XLOOKUP($F524,Productos!$A:$A,Productos!BP:BP,"Revisar"),"")</f>
        <v/>
      </c>
      <c r="BX524" s="179" t="str">
        <f t="array" ref="BX524">IF($F524&lt;&gt;"", XLOOKUP($F524,Productos!$A$2:$A1001,Productos!BQ$2:BQ1001,"")*$G524,"")</f>
        <v/>
      </c>
      <c r="BY524" s="179" t="str">
        <f t="array" ref="BY524">IF($F524&lt;&gt;"",XLOOKUP($F524,Productos!$A:$A,Productos!BR:BR,"Revisar"),"")</f>
        <v/>
      </c>
      <c r="BZ524" s="179" t="str">
        <f t="array" ref="BZ524">IF($F524&lt;&gt;"", XLOOKUP($F524,Productos!$A$2:$A1001,Productos!BS$2:BS1001,"")*$G524,"")</f>
        <v/>
      </c>
    </row>
    <row r="525">
      <c r="A525" s="188"/>
      <c r="B525" s="189"/>
      <c r="C525" s="190"/>
      <c r="D525" s="190"/>
      <c r="E525" s="191"/>
      <c r="F525" s="186"/>
      <c r="G525" s="192"/>
      <c r="H525" s="9"/>
      <c r="I525" s="179" t="str">
        <f t="array" ref="I525">IF($F525&lt;&gt;"",XLOOKUP($F525,Productos!$A:$A,Productos!B:B,"Revisar"),"")</f>
        <v/>
      </c>
      <c r="J525" s="179" t="str">
        <f t="array" ref="J525">IF($F525&lt;&gt;"", XLOOKUP($F525,Productos!$A$2:$A1001,Productos!C$2:C1001,"")*$G525,"")</f>
        <v/>
      </c>
      <c r="K525" s="179" t="str">
        <f t="array" ref="K525">IF($F525&lt;&gt;"",XLOOKUP($F525,Productos!$A:$A,Productos!D:D,"Revisar"),"")</f>
        <v/>
      </c>
      <c r="L525" s="179" t="str">
        <f t="array" ref="L525">IF($F525&lt;&gt;"", XLOOKUP($F525,Productos!$A$2:$A1001,Productos!E$2:E1001,"")*$G525,"")</f>
        <v/>
      </c>
      <c r="M525" s="179" t="str">
        <f t="array" ref="M525">IF($F525&lt;&gt;"",XLOOKUP($F525,Productos!$A:$A,Productos!F:F,"Revisar"),"")</f>
        <v/>
      </c>
      <c r="N525" s="179" t="str">
        <f t="array" ref="N525">IF($F525&lt;&gt;"", XLOOKUP($F525,Productos!$A$2:$A1001,Productos!G$2:G1001,"")*$G525,"")</f>
        <v/>
      </c>
      <c r="O525" s="179" t="str">
        <f t="array" ref="O525">IF($F525&lt;&gt;"",XLOOKUP($F525,Productos!$A:$A,Productos!H:H,"Revisar"),"")</f>
        <v/>
      </c>
      <c r="P525" s="179" t="str">
        <f t="array" ref="P525">IF($F525&lt;&gt;"", XLOOKUP($F525,Productos!$A$2:$A1001,Productos!I$2:I1001,"")*$G525,"")</f>
        <v/>
      </c>
      <c r="Q525" s="179" t="str">
        <f t="array" ref="Q525">IF($F525&lt;&gt;"",XLOOKUP($F525,Productos!$A:$A,Productos!J:J,"Revisar"),"")</f>
        <v/>
      </c>
      <c r="R525" s="179" t="str">
        <f t="array" ref="R525">IF($F525&lt;&gt;"", XLOOKUP($F525,Productos!$A$2:$A1001,Productos!K$2:K1001,"")*$G525,"")</f>
        <v/>
      </c>
      <c r="S525" s="179" t="str">
        <f t="array" ref="S525">IF($F525&lt;&gt;"",XLOOKUP($F525,Productos!$A:$A,Productos!L:L,"Revisar"),"")</f>
        <v/>
      </c>
      <c r="T525" s="179" t="str">
        <f t="array" ref="T525">IF($F525&lt;&gt;"", XLOOKUP($F525,Productos!$A$2:$A1001,Productos!M$2:M1001,"")*$G525,"")</f>
        <v/>
      </c>
      <c r="U525" s="179" t="str">
        <f t="array" ref="U525">IF($F525&lt;&gt;"",XLOOKUP($F525,Productos!$A:$A,Productos!N:N,"Revisar"),"")</f>
        <v/>
      </c>
      <c r="V525" s="179" t="str">
        <f t="array" ref="V525">IF($F525&lt;&gt;"", XLOOKUP($F525,Productos!$A$2:$A1001,Productos!O$2:O1001,"")*$G525,"")</f>
        <v/>
      </c>
      <c r="W525" s="179" t="str">
        <f t="array" ref="W525">IF($F525&lt;&gt;"",XLOOKUP($F525,Productos!$A:$A,Productos!P:P,"Revisar"),"")</f>
        <v/>
      </c>
      <c r="X525" s="179" t="str">
        <f t="array" ref="X525">IF($F525&lt;&gt;"", XLOOKUP($F525,Productos!$A$2:$A1001,Productos!Q$2:Q1001,"")*$G525,"")</f>
        <v/>
      </c>
      <c r="Y525" s="179" t="str">
        <f t="array" ref="Y525">IF($F525&lt;&gt;"",XLOOKUP($F525,Productos!$A:$A,Productos!R:R,"Revisar"),"")</f>
        <v/>
      </c>
      <c r="Z525" s="179" t="str">
        <f t="array" ref="Z525">IF($F525&lt;&gt;"", XLOOKUP($F525,Productos!$A$2:$A1001,Productos!S$2:S1001,"")*$G525,"")</f>
        <v/>
      </c>
      <c r="AA525" s="179" t="str">
        <f t="array" ref="AA525">IF($F525&lt;&gt;"",XLOOKUP($F525,Productos!$A:$A,Productos!T:T,"Revisar"),"")</f>
        <v/>
      </c>
      <c r="AB525" s="179" t="str">
        <f t="array" ref="AB525">IF($F525&lt;&gt;"", XLOOKUP($F525,Productos!$A$2:$A1001,Productos!U$2:U1001,"")*$G525,"")</f>
        <v/>
      </c>
      <c r="AC525" s="179" t="str">
        <f t="array" ref="AC525">IF($F525&lt;&gt;"",XLOOKUP($F525,Productos!$A:$A,Productos!V:V,"Revisar"),"")</f>
        <v/>
      </c>
      <c r="AD525" s="179" t="str">
        <f t="array" ref="AD525">IF($F525&lt;&gt;"", XLOOKUP($F525,Productos!$A$2:$A1001,Productos!W$2:W1001,"")*$G525,"")</f>
        <v/>
      </c>
      <c r="AE525" s="179" t="str">
        <f t="array" ref="AE525">IF($F525&lt;&gt;"",XLOOKUP($F525,Productos!$A:$A,Productos!X:X,"Revisar"),"")</f>
        <v/>
      </c>
      <c r="AF525" s="179" t="str">
        <f t="array" ref="AF525">IF($F525&lt;&gt;"", XLOOKUP($F525,Productos!$A$2:$A1001,Productos!Y$2:Y1001,"")*$G525,"")</f>
        <v/>
      </c>
      <c r="AG525" s="179" t="str">
        <f t="array" ref="AG525">IF($F525&lt;&gt;"",XLOOKUP($F525,Productos!$A:$A,Productos!Z:Z,"Revisar"),"")</f>
        <v/>
      </c>
      <c r="AH525" s="179" t="str">
        <f t="array" ref="AH525">IF($F525&lt;&gt;"", XLOOKUP($F525,Productos!$A$2:$A1001,Productos!AA$2:AA1001,"")*$G525,"")</f>
        <v/>
      </c>
      <c r="AI525" s="179" t="str">
        <f t="array" ref="AI525">IF($F525&lt;&gt;"",XLOOKUP($F525,Productos!$A:$A,Productos!AB:AB,"Revisar"),"")</f>
        <v/>
      </c>
      <c r="AJ525" s="179" t="str">
        <f t="array" ref="AJ525">IF($F525&lt;&gt;"", XLOOKUP($F525,Productos!$A$2:$A1001,Productos!AC$2:AC1001,"")*$G525,"")</f>
        <v/>
      </c>
      <c r="AK525" s="179" t="str">
        <f t="array" ref="AK525">IF($F525&lt;&gt;"",XLOOKUP($F525,Productos!$A:$A,Productos!AD:AD,"Revisar"),"")</f>
        <v/>
      </c>
      <c r="AL525" s="179" t="str">
        <f t="array" ref="AL525">IF($F525&lt;&gt;"", XLOOKUP($F525,Productos!$A$2:$A1001,Productos!AE$2:AE1001,"")*$G525,"")</f>
        <v/>
      </c>
      <c r="AM525" s="179" t="str">
        <f t="array" ref="AM525">IF($F525&lt;&gt;"",XLOOKUP($F525,Productos!$A:$A,Productos!AF:AF,"Revisar"),"")</f>
        <v/>
      </c>
      <c r="AN525" s="179" t="str">
        <f t="array" ref="AN525">IF($F525&lt;&gt;"", XLOOKUP($F525,Productos!$A$2:$A1001,Productos!AG$2:AG1001,"")*$G525,"")</f>
        <v/>
      </c>
      <c r="AO525" s="179" t="str">
        <f t="array" ref="AO525">IF($F525&lt;&gt;"",XLOOKUP($F525,Productos!$A:$A,Productos!AH:AH,"Revisar"),"")</f>
        <v/>
      </c>
      <c r="AP525" s="179" t="str">
        <f t="array" ref="AP525">IF($F525&lt;&gt;"", XLOOKUP($F525,Productos!$A$2:$A1001,Productos!AI$2:AI1001,"")*$G525,"")</f>
        <v/>
      </c>
      <c r="AQ525" s="179" t="str">
        <f t="array" ref="AQ525">IF($F525&lt;&gt;"",XLOOKUP($F525,Productos!$A:$A,Productos!AJ:AJ,"Revisar"),"")</f>
        <v/>
      </c>
      <c r="AR525" s="179" t="str">
        <f t="array" ref="AR525">IF($F525&lt;&gt;"", XLOOKUP($F525,Productos!$A$2:$A1001,Productos!AK$2:AK1001,"")*$G525,"")</f>
        <v/>
      </c>
      <c r="AS525" s="179" t="str">
        <f t="array" ref="AS525">IF($F525&lt;&gt;"",XLOOKUP($F525,Productos!$A:$A,Productos!AL:AL,"Revisar"),"")</f>
        <v/>
      </c>
      <c r="AT525" s="179" t="str">
        <f t="array" ref="AT525">IF($F525&lt;&gt;"", XLOOKUP($F525,Productos!$A$2:$A1001,Productos!AM$2:AM1001,"")*$G525,"")</f>
        <v/>
      </c>
      <c r="AU525" s="179" t="str">
        <f t="array" ref="AU525">IF($F525&lt;&gt;"",XLOOKUP($F525,Productos!$A:$A,Productos!AN:AN,"Revisar"),"")</f>
        <v/>
      </c>
      <c r="AV525" s="179" t="str">
        <f t="array" ref="AV525">IF($F525&lt;&gt;"", XLOOKUP($F525,Productos!$A$2:$A1001,Productos!AO$2:AO1001,"")*$G525,"")</f>
        <v/>
      </c>
      <c r="AW525" s="179" t="str">
        <f t="array" ref="AW525">IF($F525&lt;&gt;"",XLOOKUP($F525,Productos!$A:$A,Productos!AP:AP,"Revisar"),"")</f>
        <v/>
      </c>
      <c r="AX525" s="179" t="str">
        <f t="array" ref="AX525">IF($F525&lt;&gt;"", XLOOKUP($F525,Productos!$A$2:$A1001,Productos!AQ$2:AQ1001,"")*$G525,"")</f>
        <v/>
      </c>
      <c r="AY525" s="179" t="str">
        <f t="array" ref="AY525">IF($F525&lt;&gt;"",XLOOKUP($F525,Productos!$A:$A,Productos!AR:AR,"Revisar"),"")</f>
        <v/>
      </c>
      <c r="AZ525" s="179" t="str">
        <f t="array" ref="AZ525">IF($F525&lt;&gt;"", XLOOKUP($F525,Productos!$A$2:$A1001,Productos!AS$2:AS1001,"")*$G525,"")</f>
        <v/>
      </c>
      <c r="BA525" s="179" t="str">
        <f t="array" ref="BA525">IF($F525&lt;&gt;"",XLOOKUP($F525,Productos!$A:$A,Productos!AT:AT,"Revisar"),"")</f>
        <v/>
      </c>
      <c r="BB525" s="179" t="str">
        <f t="array" ref="BB525">IF($F525&lt;&gt;"", XLOOKUP($F525,Productos!$A$2:$A1001,Productos!AU$2:AU1001,"")*$G525,"")</f>
        <v/>
      </c>
      <c r="BC525" s="179" t="str">
        <f t="array" ref="BC525">IF($F525&lt;&gt;"",XLOOKUP($F525,Productos!$A:$A,Productos!AV:AV,"Revisar"),"")</f>
        <v/>
      </c>
      <c r="BD525" s="179" t="str">
        <f t="array" ref="BD525">IF($F525&lt;&gt;"", XLOOKUP($F525,Productos!$A$2:$A1001,Productos!AW$2:AW1001,"")*$G525,"")</f>
        <v/>
      </c>
      <c r="BE525" s="179" t="str">
        <f t="array" ref="BE525">IF($F525&lt;&gt;"",XLOOKUP($F525,Productos!$A:$A,Productos!AX:AX,"Revisar"),"")</f>
        <v/>
      </c>
      <c r="BF525" s="179" t="str">
        <f t="array" ref="BF525">IF($F525&lt;&gt;"", XLOOKUP($F525,Productos!$A$2:$A1001,Productos!AY$2:AY1001,"")*$G525,"")</f>
        <v/>
      </c>
      <c r="BG525" s="179" t="str">
        <f t="array" ref="BG525">IF($F525&lt;&gt;"",XLOOKUP($F525,Productos!$A:$A,Productos!AZ:AZ,"Revisar"),"")</f>
        <v/>
      </c>
      <c r="BH525" s="179" t="str">
        <f t="array" ref="BH525">IF($F525&lt;&gt;"", XLOOKUP($F525,Productos!$A$2:$A1001,Productos!BA$2:BA1001,"")*$G525,"")</f>
        <v/>
      </c>
      <c r="BI525" s="179" t="str">
        <f t="array" ref="BI525">IF($F525&lt;&gt;"",XLOOKUP($F525,Productos!$A:$A,Productos!BB:BB,"Revisar"),"")</f>
        <v/>
      </c>
      <c r="BJ525" s="179" t="str">
        <f t="array" ref="BJ525">IF($F525&lt;&gt;"", XLOOKUP($F525,Productos!$A$2:$A1001,Productos!BC$2:BC1001,"")*$G525,"")</f>
        <v/>
      </c>
      <c r="BK525" s="179" t="str">
        <f t="array" ref="BK525">IF($F525&lt;&gt;"",XLOOKUP($F525,Productos!$A:$A,Productos!BD:BD,"Revisar"),"")</f>
        <v/>
      </c>
      <c r="BL525" s="179" t="str">
        <f t="array" ref="BL525">IF($F525&lt;&gt;"", XLOOKUP($F525,Productos!$A$2:$A1001,Productos!BE$2:BE1001,"")*$G525,"")</f>
        <v/>
      </c>
      <c r="BM525" s="179" t="str">
        <f t="array" ref="BM525">IF($F525&lt;&gt;"",XLOOKUP($F525,Productos!$A:$A,Productos!BF:BF,"Revisar"),"")</f>
        <v/>
      </c>
      <c r="BN525" s="179" t="str">
        <f t="array" ref="BN525">IF($F525&lt;&gt;"", XLOOKUP($F525,Productos!$A$2:$A1001,Productos!BG$2:BG1001,"")*$G525,"")</f>
        <v/>
      </c>
      <c r="BO525" s="179" t="str">
        <f t="array" ref="BO525">IF($F525&lt;&gt;"",XLOOKUP($F525,Productos!$A:$A,Productos!BH:BH,"Revisar"),"")</f>
        <v/>
      </c>
      <c r="BP525" s="179" t="str">
        <f t="array" ref="BP525">IF($F525&lt;&gt;"", XLOOKUP($F525,Productos!$A$2:$A1001,Productos!BI$2:BI1001,"")*$G525,"")</f>
        <v/>
      </c>
      <c r="BQ525" s="179" t="str">
        <f t="array" ref="BQ525">IF($F525&lt;&gt;"",XLOOKUP($F525,Productos!$A:$A,Productos!BJ:BJ,"Revisar"),"")</f>
        <v/>
      </c>
      <c r="BR525" s="179" t="str">
        <f t="array" ref="BR525">IF($F525&lt;&gt;"", XLOOKUP($F525,Productos!$A$2:$A1001,Productos!BK$2:BK1001,"")*$G525,"")</f>
        <v/>
      </c>
      <c r="BS525" s="179" t="str">
        <f t="array" ref="BS525">IF($F525&lt;&gt;"",XLOOKUP($F525,Productos!$A:$A,Productos!BL:BL,"Revisar"),"")</f>
        <v/>
      </c>
      <c r="BT525" s="179" t="str">
        <f t="array" ref="BT525">IF($F525&lt;&gt;"", XLOOKUP($F525,Productos!$A$2:$A1001,Productos!BM$2:BM1001,"")*$G525,"")</f>
        <v/>
      </c>
      <c r="BU525" s="179" t="str">
        <f t="array" ref="BU525">IF($F525&lt;&gt;"",XLOOKUP($F525,Productos!$A:$A,Productos!BN:BN,"Revisar"),"")</f>
        <v/>
      </c>
      <c r="BV525" s="179" t="str">
        <f t="array" ref="BV525">IF($F525&lt;&gt;"", XLOOKUP($F525,Productos!$A$2:$A1001,Productos!BO$2:BO1001,"")*$G525,"")</f>
        <v/>
      </c>
      <c r="BW525" s="179" t="str">
        <f t="array" ref="BW525">IF($F525&lt;&gt;"",XLOOKUP($F525,Productos!$A:$A,Productos!BP:BP,"Revisar"),"")</f>
        <v/>
      </c>
      <c r="BX525" s="179" t="str">
        <f t="array" ref="BX525">IF($F525&lt;&gt;"", XLOOKUP($F525,Productos!$A$2:$A1001,Productos!BQ$2:BQ1001,"")*$G525,"")</f>
        <v/>
      </c>
      <c r="BY525" s="179" t="str">
        <f t="array" ref="BY525">IF($F525&lt;&gt;"",XLOOKUP($F525,Productos!$A:$A,Productos!BR:BR,"Revisar"),"")</f>
        <v/>
      </c>
      <c r="BZ525" s="179" t="str">
        <f t="array" ref="BZ525">IF($F525&lt;&gt;"", XLOOKUP($F525,Productos!$A$2:$A1001,Productos!BS$2:BS1001,"")*$G525,"")</f>
        <v/>
      </c>
    </row>
    <row r="526">
      <c r="A526" s="188"/>
      <c r="B526" s="189"/>
      <c r="C526" s="190"/>
      <c r="D526" s="190"/>
      <c r="E526" s="191"/>
      <c r="F526" s="186"/>
      <c r="G526" s="192"/>
      <c r="H526" s="9"/>
      <c r="I526" s="179" t="str">
        <f t="array" ref="I526">IF($F526&lt;&gt;"",XLOOKUP($F526,Productos!$A:$A,Productos!B:B,"Revisar"),"")</f>
        <v/>
      </c>
      <c r="J526" s="179" t="str">
        <f t="array" ref="J526">IF($F526&lt;&gt;"", XLOOKUP($F526,Productos!$A$2:$A1001,Productos!C$2:C1001,"")*$G526,"")</f>
        <v/>
      </c>
      <c r="K526" s="179" t="str">
        <f t="array" ref="K526">IF($F526&lt;&gt;"",XLOOKUP($F526,Productos!$A:$A,Productos!D:D,"Revisar"),"")</f>
        <v/>
      </c>
      <c r="L526" s="179" t="str">
        <f t="array" ref="L526">IF($F526&lt;&gt;"", XLOOKUP($F526,Productos!$A$2:$A1001,Productos!E$2:E1001,"")*$G526,"")</f>
        <v/>
      </c>
      <c r="M526" s="179" t="str">
        <f t="array" ref="M526">IF($F526&lt;&gt;"",XLOOKUP($F526,Productos!$A:$A,Productos!F:F,"Revisar"),"")</f>
        <v/>
      </c>
      <c r="N526" s="179" t="str">
        <f t="array" ref="N526">IF($F526&lt;&gt;"", XLOOKUP($F526,Productos!$A$2:$A1001,Productos!G$2:G1001,"")*$G526,"")</f>
        <v/>
      </c>
      <c r="O526" s="179" t="str">
        <f t="array" ref="O526">IF($F526&lt;&gt;"",XLOOKUP($F526,Productos!$A:$A,Productos!H:H,"Revisar"),"")</f>
        <v/>
      </c>
      <c r="P526" s="179" t="str">
        <f t="array" ref="P526">IF($F526&lt;&gt;"", XLOOKUP($F526,Productos!$A$2:$A1001,Productos!I$2:I1001,"")*$G526,"")</f>
        <v/>
      </c>
      <c r="Q526" s="179" t="str">
        <f t="array" ref="Q526">IF($F526&lt;&gt;"",XLOOKUP($F526,Productos!$A:$A,Productos!J:J,"Revisar"),"")</f>
        <v/>
      </c>
      <c r="R526" s="179" t="str">
        <f t="array" ref="R526">IF($F526&lt;&gt;"", XLOOKUP($F526,Productos!$A$2:$A1001,Productos!K$2:K1001,"")*$G526,"")</f>
        <v/>
      </c>
      <c r="S526" s="179" t="str">
        <f t="array" ref="S526">IF($F526&lt;&gt;"",XLOOKUP($F526,Productos!$A:$A,Productos!L:L,"Revisar"),"")</f>
        <v/>
      </c>
      <c r="T526" s="179" t="str">
        <f t="array" ref="T526">IF($F526&lt;&gt;"", XLOOKUP($F526,Productos!$A$2:$A1001,Productos!M$2:M1001,"")*$G526,"")</f>
        <v/>
      </c>
      <c r="U526" s="179" t="str">
        <f t="array" ref="U526">IF($F526&lt;&gt;"",XLOOKUP($F526,Productos!$A:$A,Productos!N:N,"Revisar"),"")</f>
        <v/>
      </c>
      <c r="V526" s="179" t="str">
        <f t="array" ref="V526">IF($F526&lt;&gt;"", XLOOKUP($F526,Productos!$A$2:$A1001,Productos!O$2:O1001,"")*$G526,"")</f>
        <v/>
      </c>
      <c r="W526" s="179" t="str">
        <f t="array" ref="W526">IF($F526&lt;&gt;"",XLOOKUP($F526,Productos!$A:$A,Productos!P:P,"Revisar"),"")</f>
        <v/>
      </c>
      <c r="X526" s="179" t="str">
        <f t="array" ref="X526">IF($F526&lt;&gt;"", XLOOKUP($F526,Productos!$A$2:$A1001,Productos!Q$2:Q1001,"")*$G526,"")</f>
        <v/>
      </c>
      <c r="Y526" s="179" t="str">
        <f t="array" ref="Y526">IF($F526&lt;&gt;"",XLOOKUP($F526,Productos!$A:$A,Productos!R:R,"Revisar"),"")</f>
        <v/>
      </c>
      <c r="Z526" s="179" t="str">
        <f t="array" ref="Z526">IF($F526&lt;&gt;"", XLOOKUP($F526,Productos!$A$2:$A1001,Productos!S$2:S1001,"")*$G526,"")</f>
        <v/>
      </c>
      <c r="AA526" s="179" t="str">
        <f t="array" ref="AA526">IF($F526&lt;&gt;"",XLOOKUP($F526,Productos!$A:$A,Productos!T:T,"Revisar"),"")</f>
        <v/>
      </c>
      <c r="AB526" s="179" t="str">
        <f t="array" ref="AB526">IF($F526&lt;&gt;"", XLOOKUP($F526,Productos!$A$2:$A1001,Productos!U$2:U1001,"")*$G526,"")</f>
        <v/>
      </c>
      <c r="AC526" s="179" t="str">
        <f t="array" ref="AC526">IF($F526&lt;&gt;"",XLOOKUP($F526,Productos!$A:$A,Productos!V:V,"Revisar"),"")</f>
        <v/>
      </c>
      <c r="AD526" s="179" t="str">
        <f t="array" ref="AD526">IF($F526&lt;&gt;"", XLOOKUP($F526,Productos!$A$2:$A1001,Productos!W$2:W1001,"")*$G526,"")</f>
        <v/>
      </c>
      <c r="AE526" s="179" t="str">
        <f t="array" ref="AE526">IF($F526&lt;&gt;"",XLOOKUP($F526,Productos!$A:$A,Productos!X:X,"Revisar"),"")</f>
        <v/>
      </c>
      <c r="AF526" s="179" t="str">
        <f t="array" ref="AF526">IF($F526&lt;&gt;"", XLOOKUP($F526,Productos!$A$2:$A1001,Productos!Y$2:Y1001,"")*$G526,"")</f>
        <v/>
      </c>
      <c r="AG526" s="179" t="str">
        <f t="array" ref="AG526">IF($F526&lt;&gt;"",XLOOKUP($F526,Productos!$A:$A,Productos!Z:Z,"Revisar"),"")</f>
        <v/>
      </c>
      <c r="AH526" s="179" t="str">
        <f t="array" ref="AH526">IF($F526&lt;&gt;"", XLOOKUP($F526,Productos!$A$2:$A1001,Productos!AA$2:AA1001,"")*$G526,"")</f>
        <v/>
      </c>
      <c r="AI526" s="179" t="str">
        <f t="array" ref="AI526">IF($F526&lt;&gt;"",XLOOKUP($F526,Productos!$A:$A,Productos!AB:AB,"Revisar"),"")</f>
        <v/>
      </c>
      <c r="AJ526" s="179" t="str">
        <f t="array" ref="AJ526">IF($F526&lt;&gt;"", XLOOKUP($F526,Productos!$A$2:$A1001,Productos!AC$2:AC1001,"")*$G526,"")</f>
        <v/>
      </c>
      <c r="AK526" s="179" t="str">
        <f t="array" ref="AK526">IF($F526&lt;&gt;"",XLOOKUP($F526,Productos!$A:$A,Productos!AD:AD,"Revisar"),"")</f>
        <v/>
      </c>
      <c r="AL526" s="179" t="str">
        <f t="array" ref="AL526">IF($F526&lt;&gt;"", XLOOKUP($F526,Productos!$A$2:$A1001,Productos!AE$2:AE1001,"")*$G526,"")</f>
        <v/>
      </c>
      <c r="AM526" s="179" t="str">
        <f t="array" ref="AM526">IF($F526&lt;&gt;"",XLOOKUP($F526,Productos!$A:$A,Productos!AF:AF,"Revisar"),"")</f>
        <v/>
      </c>
      <c r="AN526" s="179" t="str">
        <f t="array" ref="AN526">IF($F526&lt;&gt;"", XLOOKUP($F526,Productos!$A$2:$A1001,Productos!AG$2:AG1001,"")*$G526,"")</f>
        <v/>
      </c>
      <c r="AO526" s="179" t="str">
        <f t="array" ref="AO526">IF($F526&lt;&gt;"",XLOOKUP($F526,Productos!$A:$A,Productos!AH:AH,"Revisar"),"")</f>
        <v/>
      </c>
      <c r="AP526" s="179" t="str">
        <f t="array" ref="AP526">IF($F526&lt;&gt;"", XLOOKUP($F526,Productos!$A$2:$A1001,Productos!AI$2:AI1001,"")*$G526,"")</f>
        <v/>
      </c>
      <c r="AQ526" s="179" t="str">
        <f t="array" ref="AQ526">IF($F526&lt;&gt;"",XLOOKUP($F526,Productos!$A:$A,Productos!AJ:AJ,"Revisar"),"")</f>
        <v/>
      </c>
      <c r="AR526" s="179" t="str">
        <f t="array" ref="AR526">IF($F526&lt;&gt;"", XLOOKUP($F526,Productos!$A$2:$A1001,Productos!AK$2:AK1001,"")*$G526,"")</f>
        <v/>
      </c>
      <c r="AS526" s="179" t="str">
        <f t="array" ref="AS526">IF($F526&lt;&gt;"",XLOOKUP($F526,Productos!$A:$A,Productos!AL:AL,"Revisar"),"")</f>
        <v/>
      </c>
      <c r="AT526" s="179" t="str">
        <f t="array" ref="AT526">IF($F526&lt;&gt;"", XLOOKUP($F526,Productos!$A$2:$A1001,Productos!AM$2:AM1001,"")*$G526,"")</f>
        <v/>
      </c>
      <c r="AU526" s="179" t="str">
        <f t="array" ref="AU526">IF($F526&lt;&gt;"",XLOOKUP($F526,Productos!$A:$A,Productos!AN:AN,"Revisar"),"")</f>
        <v/>
      </c>
      <c r="AV526" s="179" t="str">
        <f t="array" ref="AV526">IF($F526&lt;&gt;"", XLOOKUP($F526,Productos!$A$2:$A1001,Productos!AO$2:AO1001,"")*$G526,"")</f>
        <v/>
      </c>
      <c r="AW526" s="179" t="str">
        <f t="array" ref="AW526">IF($F526&lt;&gt;"",XLOOKUP($F526,Productos!$A:$A,Productos!AP:AP,"Revisar"),"")</f>
        <v/>
      </c>
      <c r="AX526" s="179" t="str">
        <f t="array" ref="AX526">IF($F526&lt;&gt;"", XLOOKUP($F526,Productos!$A$2:$A1001,Productos!AQ$2:AQ1001,"")*$G526,"")</f>
        <v/>
      </c>
      <c r="AY526" s="179" t="str">
        <f t="array" ref="AY526">IF($F526&lt;&gt;"",XLOOKUP($F526,Productos!$A:$A,Productos!AR:AR,"Revisar"),"")</f>
        <v/>
      </c>
      <c r="AZ526" s="179" t="str">
        <f t="array" ref="AZ526">IF($F526&lt;&gt;"", XLOOKUP($F526,Productos!$A$2:$A1001,Productos!AS$2:AS1001,"")*$G526,"")</f>
        <v/>
      </c>
      <c r="BA526" s="179" t="str">
        <f t="array" ref="BA526">IF($F526&lt;&gt;"",XLOOKUP($F526,Productos!$A:$A,Productos!AT:AT,"Revisar"),"")</f>
        <v/>
      </c>
      <c r="BB526" s="179" t="str">
        <f t="array" ref="BB526">IF($F526&lt;&gt;"", XLOOKUP($F526,Productos!$A$2:$A1001,Productos!AU$2:AU1001,"")*$G526,"")</f>
        <v/>
      </c>
      <c r="BC526" s="179" t="str">
        <f t="array" ref="BC526">IF($F526&lt;&gt;"",XLOOKUP($F526,Productos!$A:$A,Productos!AV:AV,"Revisar"),"")</f>
        <v/>
      </c>
      <c r="BD526" s="179" t="str">
        <f t="array" ref="BD526">IF($F526&lt;&gt;"", XLOOKUP($F526,Productos!$A$2:$A1001,Productos!AW$2:AW1001,"")*$G526,"")</f>
        <v/>
      </c>
      <c r="BE526" s="179" t="str">
        <f t="array" ref="BE526">IF($F526&lt;&gt;"",XLOOKUP($F526,Productos!$A:$A,Productos!AX:AX,"Revisar"),"")</f>
        <v/>
      </c>
      <c r="BF526" s="179" t="str">
        <f t="array" ref="BF526">IF($F526&lt;&gt;"", XLOOKUP($F526,Productos!$A$2:$A1001,Productos!AY$2:AY1001,"")*$G526,"")</f>
        <v/>
      </c>
      <c r="BG526" s="179" t="str">
        <f t="array" ref="BG526">IF($F526&lt;&gt;"",XLOOKUP($F526,Productos!$A:$A,Productos!AZ:AZ,"Revisar"),"")</f>
        <v/>
      </c>
      <c r="BH526" s="179" t="str">
        <f t="array" ref="BH526">IF($F526&lt;&gt;"", XLOOKUP($F526,Productos!$A$2:$A1001,Productos!BA$2:BA1001,"")*$G526,"")</f>
        <v/>
      </c>
      <c r="BI526" s="179" t="str">
        <f t="array" ref="BI526">IF($F526&lt;&gt;"",XLOOKUP($F526,Productos!$A:$A,Productos!BB:BB,"Revisar"),"")</f>
        <v/>
      </c>
      <c r="BJ526" s="179" t="str">
        <f t="array" ref="BJ526">IF($F526&lt;&gt;"", XLOOKUP($F526,Productos!$A$2:$A1001,Productos!BC$2:BC1001,"")*$G526,"")</f>
        <v/>
      </c>
      <c r="BK526" s="179" t="str">
        <f t="array" ref="BK526">IF($F526&lt;&gt;"",XLOOKUP($F526,Productos!$A:$A,Productos!BD:BD,"Revisar"),"")</f>
        <v/>
      </c>
      <c r="BL526" s="179" t="str">
        <f t="array" ref="BL526">IF($F526&lt;&gt;"", XLOOKUP($F526,Productos!$A$2:$A1001,Productos!BE$2:BE1001,"")*$G526,"")</f>
        <v/>
      </c>
      <c r="BM526" s="179" t="str">
        <f t="array" ref="BM526">IF($F526&lt;&gt;"",XLOOKUP($F526,Productos!$A:$A,Productos!BF:BF,"Revisar"),"")</f>
        <v/>
      </c>
      <c r="BN526" s="179" t="str">
        <f t="array" ref="BN526">IF($F526&lt;&gt;"", XLOOKUP($F526,Productos!$A$2:$A1001,Productos!BG$2:BG1001,"")*$G526,"")</f>
        <v/>
      </c>
      <c r="BO526" s="179" t="str">
        <f t="array" ref="BO526">IF($F526&lt;&gt;"",XLOOKUP($F526,Productos!$A:$A,Productos!BH:BH,"Revisar"),"")</f>
        <v/>
      </c>
      <c r="BP526" s="179" t="str">
        <f t="array" ref="BP526">IF($F526&lt;&gt;"", XLOOKUP($F526,Productos!$A$2:$A1001,Productos!BI$2:BI1001,"")*$G526,"")</f>
        <v/>
      </c>
      <c r="BQ526" s="179" t="str">
        <f t="array" ref="BQ526">IF($F526&lt;&gt;"",XLOOKUP($F526,Productos!$A:$A,Productos!BJ:BJ,"Revisar"),"")</f>
        <v/>
      </c>
      <c r="BR526" s="179" t="str">
        <f t="array" ref="BR526">IF($F526&lt;&gt;"", XLOOKUP($F526,Productos!$A$2:$A1001,Productos!BK$2:BK1001,"")*$G526,"")</f>
        <v/>
      </c>
      <c r="BS526" s="179" t="str">
        <f t="array" ref="BS526">IF($F526&lt;&gt;"",XLOOKUP($F526,Productos!$A:$A,Productos!BL:BL,"Revisar"),"")</f>
        <v/>
      </c>
      <c r="BT526" s="179" t="str">
        <f t="array" ref="BT526">IF($F526&lt;&gt;"", XLOOKUP($F526,Productos!$A$2:$A1001,Productos!BM$2:BM1001,"")*$G526,"")</f>
        <v/>
      </c>
      <c r="BU526" s="179" t="str">
        <f t="array" ref="BU526">IF($F526&lt;&gt;"",XLOOKUP($F526,Productos!$A:$A,Productos!BN:BN,"Revisar"),"")</f>
        <v/>
      </c>
      <c r="BV526" s="179" t="str">
        <f t="array" ref="BV526">IF($F526&lt;&gt;"", XLOOKUP($F526,Productos!$A$2:$A1001,Productos!BO$2:BO1001,"")*$G526,"")</f>
        <v/>
      </c>
      <c r="BW526" s="179" t="str">
        <f t="array" ref="BW526">IF($F526&lt;&gt;"",XLOOKUP($F526,Productos!$A:$A,Productos!BP:BP,"Revisar"),"")</f>
        <v/>
      </c>
      <c r="BX526" s="179" t="str">
        <f t="array" ref="BX526">IF($F526&lt;&gt;"", XLOOKUP($F526,Productos!$A$2:$A1001,Productos!BQ$2:BQ1001,"")*$G526,"")</f>
        <v/>
      </c>
      <c r="BY526" s="179" t="str">
        <f t="array" ref="BY526">IF($F526&lt;&gt;"",XLOOKUP($F526,Productos!$A:$A,Productos!BR:BR,"Revisar"),"")</f>
        <v/>
      </c>
      <c r="BZ526" s="179" t="str">
        <f t="array" ref="BZ526">IF($F526&lt;&gt;"", XLOOKUP($F526,Productos!$A$2:$A1001,Productos!BS$2:BS1001,"")*$G526,"")</f>
        <v/>
      </c>
    </row>
    <row r="527">
      <c r="A527" s="188"/>
      <c r="B527" s="189"/>
      <c r="C527" s="190"/>
      <c r="D527" s="190"/>
      <c r="E527" s="191"/>
      <c r="F527" s="186"/>
      <c r="G527" s="192"/>
      <c r="H527" s="9"/>
      <c r="I527" s="179" t="str">
        <f t="array" ref="I527">IF($F527&lt;&gt;"",XLOOKUP($F527,Productos!$A:$A,Productos!B:B,"Revisar"),"")</f>
        <v/>
      </c>
      <c r="J527" s="179" t="str">
        <f t="array" ref="J527">IF($F527&lt;&gt;"", XLOOKUP($F527,Productos!$A$2:$A1001,Productos!C$2:C1001,"")*$G527,"")</f>
        <v/>
      </c>
      <c r="K527" s="179" t="str">
        <f t="array" ref="K527">IF($F527&lt;&gt;"",XLOOKUP($F527,Productos!$A:$A,Productos!D:D,"Revisar"),"")</f>
        <v/>
      </c>
      <c r="L527" s="179" t="str">
        <f t="array" ref="L527">IF($F527&lt;&gt;"", XLOOKUP($F527,Productos!$A$2:$A1001,Productos!E$2:E1001,"")*$G527,"")</f>
        <v/>
      </c>
      <c r="M527" s="179" t="str">
        <f t="array" ref="M527">IF($F527&lt;&gt;"",XLOOKUP($F527,Productos!$A:$A,Productos!F:F,"Revisar"),"")</f>
        <v/>
      </c>
      <c r="N527" s="179" t="str">
        <f t="array" ref="N527">IF($F527&lt;&gt;"", XLOOKUP($F527,Productos!$A$2:$A1001,Productos!G$2:G1001,"")*$G527,"")</f>
        <v/>
      </c>
      <c r="O527" s="179" t="str">
        <f t="array" ref="O527">IF($F527&lt;&gt;"",XLOOKUP($F527,Productos!$A:$A,Productos!H:H,"Revisar"),"")</f>
        <v/>
      </c>
      <c r="P527" s="179" t="str">
        <f t="array" ref="P527">IF($F527&lt;&gt;"", XLOOKUP($F527,Productos!$A$2:$A1001,Productos!I$2:I1001,"")*$G527,"")</f>
        <v/>
      </c>
      <c r="Q527" s="179" t="str">
        <f t="array" ref="Q527">IF($F527&lt;&gt;"",XLOOKUP($F527,Productos!$A:$A,Productos!J:J,"Revisar"),"")</f>
        <v/>
      </c>
      <c r="R527" s="179" t="str">
        <f t="array" ref="R527">IF($F527&lt;&gt;"", XLOOKUP($F527,Productos!$A$2:$A1001,Productos!K$2:K1001,"")*$G527,"")</f>
        <v/>
      </c>
      <c r="S527" s="179" t="str">
        <f t="array" ref="S527">IF($F527&lt;&gt;"",XLOOKUP($F527,Productos!$A:$A,Productos!L:L,"Revisar"),"")</f>
        <v/>
      </c>
      <c r="T527" s="179" t="str">
        <f t="array" ref="T527">IF($F527&lt;&gt;"", XLOOKUP($F527,Productos!$A$2:$A1001,Productos!M$2:M1001,"")*$G527,"")</f>
        <v/>
      </c>
      <c r="U527" s="179" t="str">
        <f t="array" ref="U527">IF($F527&lt;&gt;"",XLOOKUP($F527,Productos!$A:$A,Productos!N:N,"Revisar"),"")</f>
        <v/>
      </c>
      <c r="V527" s="179" t="str">
        <f t="array" ref="V527">IF($F527&lt;&gt;"", XLOOKUP($F527,Productos!$A$2:$A1001,Productos!O$2:O1001,"")*$G527,"")</f>
        <v/>
      </c>
      <c r="W527" s="179" t="str">
        <f t="array" ref="W527">IF($F527&lt;&gt;"",XLOOKUP($F527,Productos!$A:$A,Productos!P:P,"Revisar"),"")</f>
        <v/>
      </c>
      <c r="X527" s="179" t="str">
        <f t="array" ref="X527">IF($F527&lt;&gt;"", XLOOKUP($F527,Productos!$A$2:$A1001,Productos!Q$2:Q1001,"")*$G527,"")</f>
        <v/>
      </c>
      <c r="Y527" s="179" t="str">
        <f t="array" ref="Y527">IF($F527&lt;&gt;"",XLOOKUP($F527,Productos!$A:$A,Productos!R:R,"Revisar"),"")</f>
        <v/>
      </c>
      <c r="Z527" s="179" t="str">
        <f t="array" ref="Z527">IF($F527&lt;&gt;"", XLOOKUP($F527,Productos!$A$2:$A1001,Productos!S$2:S1001,"")*$G527,"")</f>
        <v/>
      </c>
      <c r="AA527" s="179" t="str">
        <f t="array" ref="AA527">IF($F527&lt;&gt;"",XLOOKUP($F527,Productos!$A:$A,Productos!T:T,"Revisar"),"")</f>
        <v/>
      </c>
      <c r="AB527" s="179" t="str">
        <f t="array" ref="AB527">IF($F527&lt;&gt;"", XLOOKUP($F527,Productos!$A$2:$A1001,Productos!U$2:U1001,"")*$G527,"")</f>
        <v/>
      </c>
      <c r="AC527" s="179" t="str">
        <f t="array" ref="AC527">IF($F527&lt;&gt;"",XLOOKUP($F527,Productos!$A:$A,Productos!V:V,"Revisar"),"")</f>
        <v/>
      </c>
      <c r="AD527" s="179" t="str">
        <f t="array" ref="AD527">IF($F527&lt;&gt;"", XLOOKUP($F527,Productos!$A$2:$A1001,Productos!W$2:W1001,"")*$G527,"")</f>
        <v/>
      </c>
      <c r="AE527" s="179" t="str">
        <f t="array" ref="AE527">IF($F527&lt;&gt;"",XLOOKUP($F527,Productos!$A:$A,Productos!X:X,"Revisar"),"")</f>
        <v/>
      </c>
      <c r="AF527" s="179" t="str">
        <f t="array" ref="AF527">IF($F527&lt;&gt;"", XLOOKUP($F527,Productos!$A$2:$A1001,Productos!Y$2:Y1001,"")*$G527,"")</f>
        <v/>
      </c>
      <c r="AG527" s="179" t="str">
        <f t="array" ref="AG527">IF($F527&lt;&gt;"",XLOOKUP($F527,Productos!$A:$A,Productos!Z:Z,"Revisar"),"")</f>
        <v/>
      </c>
      <c r="AH527" s="179" t="str">
        <f t="array" ref="AH527">IF($F527&lt;&gt;"", XLOOKUP($F527,Productos!$A$2:$A1001,Productos!AA$2:AA1001,"")*$G527,"")</f>
        <v/>
      </c>
      <c r="AI527" s="179" t="str">
        <f t="array" ref="AI527">IF($F527&lt;&gt;"",XLOOKUP($F527,Productos!$A:$A,Productos!AB:AB,"Revisar"),"")</f>
        <v/>
      </c>
      <c r="AJ527" s="179" t="str">
        <f t="array" ref="AJ527">IF($F527&lt;&gt;"", XLOOKUP($F527,Productos!$A$2:$A1001,Productos!AC$2:AC1001,"")*$G527,"")</f>
        <v/>
      </c>
      <c r="AK527" s="179" t="str">
        <f t="array" ref="AK527">IF($F527&lt;&gt;"",XLOOKUP($F527,Productos!$A:$A,Productos!AD:AD,"Revisar"),"")</f>
        <v/>
      </c>
      <c r="AL527" s="179" t="str">
        <f t="array" ref="AL527">IF($F527&lt;&gt;"", XLOOKUP($F527,Productos!$A$2:$A1001,Productos!AE$2:AE1001,"")*$G527,"")</f>
        <v/>
      </c>
      <c r="AM527" s="179" t="str">
        <f t="array" ref="AM527">IF($F527&lt;&gt;"",XLOOKUP($F527,Productos!$A:$A,Productos!AF:AF,"Revisar"),"")</f>
        <v/>
      </c>
      <c r="AN527" s="179" t="str">
        <f t="array" ref="AN527">IF($F527&lt;&gt;"", XLOOKUP($F527,Productos!$A$2:$A1001,Productos!AG$2:AG1001,"")*$G527,"")</f>
        <v/>
      </c>
      <c r="AO527" s="179" t="str">
        <f t="array" ref="AO527">IF($F527&lt;&gt;"",XLOOKUP($F527,Productos!$A:$A,Productos!AH:AH,"Revisar"),"")</f>
        <v/>
      </c>
      <c r="AP527" s="179" t="str">
        <f t="array" ref="AP527">IF($F527&lt;&gt;"", XLOOKUP($F527,Productos!$A$2:$A1001,Productos!AI$2:AI1001,"")*$G527,"")</f>
        <v/>
      </c>
      <c r="AQ527" s="179" t="str">
        <f t="array" ref="AQ527">IF($F527&lt;&gt;"",XLOOKUP($F527,Productos!$A:$A,Productos!AJ:AJ,"Revisar"),"")</f>
        <v/>
      </c>
      <c r="AR527" s="179" t="str">
        <f t="array" ref="AR527">IF($F527&lt;&gt;"", XLOOKUP($F527,Productos!$A$2:$A1001,Productos!AK$2:AK1001,"")*$G527,"")</f>
        <v/>
      </c>
      <c r="AS527" s="179" t="str">
        <f t="array" ref="AS527">IF($F527&lt;&gt;"",XLOOKUP($F527,Productos!$A:$A,Productos!AL:AL,"Revisar"),"")</f>
        <v/>
      </c>
      <c r="AT527" s="179" t="str">
        <f t="array" ref="AT527">IF($F527&lt;&gt;"", XLOOKUP($F527,Productos!$A$2:$A1001,Productos!AM$2:AM1001,"")*$G527,"")</f>
        <v/>
      </c>
      <c r="AU527" s="179" t="str">
        <f t="array" ref="AU527">IF($F527&lt;&gt;"",XLOOKUP($F527,Productos!$A:$A,Productos!AN:AN,"Revisar"),"")</f>
        <v/>
      </c>
      <c r="AV527" s="179" t="str">
        <f t="array" ref="AV527">IF($F527&lt;&gt;"", XLOOKUP($F527,Productos!$A$2:$A1001,Productos!AO$2:AO1001,"")*$G527,"")</f>
        <v/>
      </c>
      <c r="AW527" s="179" t="str">
        <f t="array" ref="AW527">IF($F527&lt;&gt;"",XLOOKUP($F527,Productos!$A:$A,Productos!AP:AP,"Revisar"),"")</f>
        <v/>
      </c>
      <c r="AX527" s="179" t="str">
        <f t="array" ref="AX527">IF($F527&lt;&gt;"", XLOOKUP($F527,Productos!$A$2:$A1001,Productos!AQ$2:AQ1001,"")*$G527,"")</f>
        <v/>
      </c>
      <c r="AY527" s="179" t="str">
        <f t="array" ref="AY527">IF($F527&lt;&gt;"",XLOOKUP($F527,Productos!$A:$A,Productos!AR:AR,"Revisar"),"")</f>
        <v/>
      </c>
      <c r="AZ527" s="179" t="str">
        <f t="array" ref="AZ527">IF($F527&lt;&gt;"", XLOOKUP($F527,Productos!$A$2:$A1001,Productos!AS$2:AS1001,"")*$G527,"")</f>
        <v/>
      </c>
      <c r="BA527" s="179" t="str">
        <f t="array" ref="BA527">IF($F527&lt;&gt;"",XLOOKUP($F527,Productos!$A:$A,Productos!AT:AT,"Revisar"),"")</f>
        <v/>
      </c>
      <c r="BB527" s="179" t="str">
        <f t="array" ref="BB527">IF($F527&lt;&gt;"", XLOOKUP($F527,Productos!$A$2:$A1001,Productos!AU$2:AU1001,"")*$G527,"")</f>
        <v/>
      </c>
      <c r="BC527" s="179" t="str">
        <f t="array" ref="BC527">IF($F527&lt;&gt;"",XLOOKUP($F527,Productos!$A:$A,Productos!AV:AV,"Revisar"),"")</f>
        <v/>
      </c>
      <c r="BD527" s="179" t="str">
        <f t="array" ref="BD527">IF($F527&lt;&gt;"", XLOOKUP($F527,Productos!$A$2:$A1001,Productos!AW$2:AW1001,"")*$G527,"")</f>
        <v/>
      </c>
      <c r="BE527" s="179" t="str">
        <f t="array" ref="BE527">IF($F527&lt;&gt;"",XLOOKUP($F527,Productos!$A:$A,Productos!AX:AX,"Revisar"),"")</f>
        <v/>
      </c>
      <c r="BF527" s="179" t="str">
        <f t="array" ref="BF527">IF($F527&lt;&gt;"", XLOOKUP($F527,Productos!$A$2:$A1001,Productos!AY$2:AY1001,"")*$G527,"")</f>
        <v/>
      </c>
      <c r="BG527" s="179" t="str">
        <f t="array" ref="BG527">IF($F527&lt;&gt;"",XLOOKUP($F527,Productos!$A:$A,Productos!AZ:AZ,"Revisar"),"")</f>
        <v/>
      </c>
      <c r="BH527" s="179" t="str">
        <f t="array" ref="BH527">IF($F527&lt;&gt;"", XLOOKUP($F527,Productos!$A$2:$A1001,Productos!BA$2:BA1001,"")*$G527,"")</f>
        <v/>
      </c>
      <c r="BI527" s="179" t="str">
        <f t="array" ref="BI527">IF($F527&lt;&gt;"",XLOOKUP($F527,Productos!$A:$A,Productos!BB:BB,"Revisar"),"")</f>
        <v/>
      </c>
      <c r="BJ527" s="179" t="str">
        <f t="array" ref="BJ527">IF($F527&lt;&gt;"", XLOOKUP($F527,Productos!$A$2:$A1001,Productos!BC$2:BC1001,"")*$G527,"")</f>
        <v/>
      </c>
      <c r="BK527" s="179" t="str">
        <f t="array" ref="BK527">IF($F527&lt;&gt;"",XLOOKUP($F527,Productos!$A:$A,Productos!BD:BD,"Revisar"),"")</f>
        <v/>
      </c>
      <c r="BL527" s="179" t="str">
        <f t="array" ref="BL527">IF($F527&lt;&gt;"", XLOOKUP($F527,Productos!$A$2:$A1001,Productos!BE$2:BE1001,"")*$G527,"")</f>
        <v/>
      </c>
      <c r="BM527" s="179" t="str">
        <f t="array" ref="BM527">IF($F527&lt;&gt;"",XLOOKUP($F527,Productos!$A:$A,Productos!BF:BF,"Revisar"),"")</f>
        <v/>
      </c>
      <c r="BN527" s="179" t="str">
        <f t="array" ref="BN527">IF($F527&lt;&gt;"", XLOOKUP($F527,Productos!$A$2:$A1001,Productos!BG$2:BG1001,"")*$G527,"")</f>
        <v/>
      </c>
      <c r="BO527" s="179" t="str">
        <f t="array" ref="BO527">IF($F527&lt;&gt;"",XLOOKUP($F527,Productos!$A:$A,Productos!BH:BH,"Revisar"),"")</f>
        <v/>
      </c>
      <c r="BP527" s="179" t="str">
        <f t="array" ref="BP527">IF($F527&lt;&gt;"", XLOOKUP($F527,Productos!$A$2:$A1001,Productos!BI$2:BI1001,"")*$G527,"")</f>
        <v/>
      </c>
      <c r="BQ527" s="179" t="str">
        <f t="array" ref="BQ527">IF($F527&lt;&gt;"",XLOOKUP($F527,Productos!$A:$A,Productos!BJ:BJ,"Revisar"),"")</f>
        <v/>
      </c>
      <c r="BR527" s="179" t="str">
        <f t="array" ref="BR527">IF($F527&lt;&gt;"", XLOOKUP($F527,Productos!$A$2:$A1001,Productos!BK$2:BK1001,"")*$G527,"")</f>
        <v/>
      </c>
      <c r="BS527" s="179" t="str">
        <f t="array" ref="BS527">IF($F527&lt;&gt;"",XLOOKUP($F527,Productos!$A:$A,Productos!BL:BL,"Revisar"),"")</f>
        <v/>
      </c>
      <c r="BT527" s="179" t="str">
        <f t="array" ref="BT527">IF($F527&lt;&gt;"", XLOOKUP($F527,Productos!$A$2:$A1001,Productos!BM$2:BM1001,"")*$G527,"")</f>
        <v/>
      </c>
      <c r="BU527" s="179" t="str">
        <f t="array" ref="BU527">IF($F527&lt;&gt;"",XLOOKUP($F527,Productos!$A:$A,Productos!BN:BN,"Revisar"),"")</f>
        <v/>
      </c>
      <c r="BV527" s="179" t="str">
        <f t="array" ref="BV527">IF($F527&lt;&gt;"", XLOOKUP($F527,Productos!$A$2:$A1001,Productos!BO$2:BO1001,"")*$G527,"")</f>
        <v/>
      </c>
      <c r="BW527" s="179" t="str">
        <f t="array" ref="BW527">IF($F527&lt;&gt;"",XLOOKUP($F527,Productos!$A:$A,Productos!BP:BP,"Revisar"),"")</f>
        <v/>
      </c>
      <c r="BX527" s="179" t="str">
        <f t="array" ref="BX527">IF($F527&lt;&gt;"", XLOOKUP($F527,Productos!$A$2:$A1001,Productos!BQ$2:BQ1001,"")*$G527,"")</f>
        <v/>
      </c>
      <c r="BY527" s="179" t="str">
        <f t="array" ref="BY527">IF($F527&lt;&gt;"",XLOOKUP($F527,Productos!$A:$A,Productos!BR:BR,"Revisar"),"")</f>
        <v/>
      </c>
      <c r="BZ527" s="179" t="str">
        <f t="array" ref="BZ527">IF($F527&lt;&gt;"", XLOOKUP($F527,Productos!$A$2:$A1001,Productos!BS$2:BS1001,"")*$G527,"")</f>
        <v/>
      </c>
    </row>
    <row r="528">
      <c r="A528" s="188"/>
      <c r="B528" s="189"/>
      <c r="C528" s="190"/>
      <c r="D528" s="190"/>
      <c r="E528" s="191"/>
      <c r="F528" s="186"/>
      <c r="G528" s="192"/>
      <c r="H528" s="9"/>
      <c r="I528" s="179" t="str">
        <f t="array" ref="I528">IF($F528&lt;&gt;"",XLOOKUP($F528,Productos!$A:$A,Productos!B:B,"Revisar"),"")</f>
        <v/>
      </c>
      <c r="J528" s="179" t="str">
        <f t="array" ref="J528">IF($F528&lt;&gt;"", XLOOKUP($F528,Productos!$A$2:$A1001,Productos!C$2:C1001,"")*$G528,"")</f>
        <v/>
      </c>
      <c r="K528" s="179" t="str">
        <f t="array" ref="K528">IF($F528&lt;&gt;"",XLOOKUP($F528,Productos!$A:$A,Productos!D:D,"Revisar"),"")</f>
        <v/>
      </c>
      <c r="L528" s="179" t="str">
        <f t="array" ref="L528">IF($F528&lt;&gt;"", XLOOKUP($F528,Productos!$A$2:$A1001,Productos!E$2:E1001,"")*$G528,"")</f>
        <v/>
      </c>
      <c r="M528" s="179" t="str">
        <f t="array" ref="M528">IF($F528&lt;&gt;"",XLOOKUP($F528,Productos!$A:$A,Productos!F:F,"Revisar"),"")</f>
        <v/>
      </c>
      <c r="N528" s="179" t="str">
        <f t="array" ref="N528">IF($F528&lt;&gt;"", XLOOKUP($F528,Productos!$A$2:$A1001,Productos!G$2:G1001,"")*$G528,"")</f>
        <v/>
      </c>
      <c r="O528" s="179" t="str">
        <f t="array" ref="O528">IF($F528&lt;&gt;"",XLOOKUP($F528,Productos!$A:$A,Productos!H:H,"Revisar"),"")</f>
        <v/>
      </c>
      <c r="P528" s="179" t="str">
        <f t="array" ref="P528">IF($F528&lt;&gt;"", XLOOKUP($F528,Productos!$A$2:$A1001,Productos!I$2:I1001,"")*$G528,"")</f>
        <v/>
      </c>
      <c r="Q528" s="179" t="str">
        <f t="array" ref="Q528">IF($F528&lt;&gt;"",XLOOKUP($F528,Productos!$A:$A,Productos!J:J,"Revisar"),"")</f>
        <v/>
      </c>
      <c r="R528" s="179" t="str">
        <f t="array" ref="R528">IF($F528&lt;&gt;"", XLOOKUP($F528,Productos!$A$2:$A1001,Productos!K$2:K1001,"")*$G528,"")</f>
        <v/>
      </c>
      <c r="S528" s="179" t="str">
        <f t="array" ref="S528">IF($F528&lt;&gt;"",XLOOKUP($F528,Productos!$A:$A,Productos!L:L,"Revisar"),"")</f>
        <v/>
      </c>
      <c r="T528" s="179" t="str">
        <f t="array" ref="T528">IF($F528&lt;&gt;"", XLOOKUP($F528,Productos!$A$2:$A1001,Productos!M$2:M1001,"")*$G528,"")</f>
        <v/>
      </c>
      <c r="U528" s="179" t="str">
        <f t="array" ref="U528">IF($F528&lt;&gt;"",XLOOKUP($F528,Productos!$A:$A,Productos!N:N,"Revisar"),"")</f>
        <v/>
      </c>
      <c r="V528" s="179" t="str">
        <f t="array" ref="V528">IF($F528&lt;&gt;"", XLOOKUP($F528,Productos!$A$2:$A1001,Productos!O$2:O1001,"")*$G528,"")</f>
        <v/>
      </c>
      <c r="W528" s="179" t="str">
        <f t="array" ref="W528">IF($F528&lt;&gt;"",XLOOKUP($F528,Productos!$A:$A,Productos!P:P,"Revisar"),"")</f>
        <v/>
      </c>
      <c r="X528" s="179" t="str">
        <f t="array" ref="X528">IF($F528&lt;&gt;"", XLOOKUP($F528,Productos!$A$2:$A1001,Productos!Q$2:Q1001,"")*$G528,"")</f>
        <v/>
      </c>
      <c r="Y528" s="179" t="str">
        <f t="array" ref="Y528">IF($F528&lt;&gt;"",XLOOKUP($F528,Productos!$A:$A,Productos!R:R,"Revisar"),"")</f>
        <v/>
      </c>
      <c r="Z528" s="179" t="str">
        <f t="array" ref="Z528">IF($F528&lt;&gt;"", XLOOKUP($F528,Productos!$A$2:$A1001,Productos!S$2:S1001,"")*$G528,"")</f>
        <v/>
      </c>
      <c r="AA528" s="179" t="str">
        <f t="array" ref="AA528">IF($F528&lt;&gt;"",XLOOKUP($F528,Productos!$A:$A,Productos!T:T,"Revisar"),"")</f>
        <v/>
      </c>
      <c r="AB528" s="179" t="str">
        <f t="array" ref="AB528">IF($F528&lt;&gt;"", XLOOKUP($F528,Productos!$A$2:$A1001,Productos!U$2:U1001,"")*$G528,"")</f>
        <v/>
      </c>
      <c r="AC528" s="179" t="str">
        <f t="array" ref="AC528">IF($F528&lt;&gt;"",XLOOKUP($F528,Productos!$A:$A,Productos!V:V,"Revisar"),"")</f>
        <v/>
      </c>
      <c r="AD528" s="179" t="str">
        <f t="array" ref="AD528">IF($F528&lt;&gt;"", XLOOKUP($F528,Productos!$A$2:$A1001,Productos!W$2:W1001,"")*$G528,"")</f>
        <v/>
      </c>
      <c r="AE528" s="179" t="str">
        <f t="array" ref="AE528">IF($F528&lt;&gt;"",XLOOKUP($F528,Productos!$A:$A,Productos!X:X,"Revisar"),"")</f>
        <v/>
      </c>
      <c r="AF528" s="179" t="str">
        <f t="array" ref="AF528">IF($F528&lt;&gt;"", XLOOKUP($F528,Productos!$A$2:$A1001,Productos!Y$2:Y1001,"")*$G528,"")</f>
        <v/>
      </c>
      <c r="AG528" s="179" t="str">
        <f t="array" ref="AG528">IF($F528&lt;&gt;"",XLOOKUP($F528,Productos!$A:$A,Productos!Z:Z,"Revisar"),"")</f>
        <v/>
      </c>
      <c r="AH528" s="179" t="str">
        <f t="array" ref="AH528">IF($F528&lt;&gt;"", XLOOKUP($F528,Productos!$A$2:$A1001,Productos!AA$2:AA1001,"")*$G528,"")</f>
        <v/>
      </c>
      <c r="AI528" s="179" t="str">
        <f t="array" ref="AI528">IF($F528&lt;&gt;"",XLOOKUP($F528,Productos!$A:$A,Productos!AB:AB,"Revisar"),"")</f>
        <v/>
      </c>
      <c r="AJ528" s="179" t="str">
        <f t="array" ref="AJ528">IF($F528&lt;&gt;"", XLOOKUP($F528,Productos!$A$2:$A1001,Productos!AC$2:AC1001,"")*$G528,"")</f>
        <v/>
      </c>
      <c r="AK528" s="179" t="str">
        <f t="array" ref="AK528">IF($F528&lt;&gt;"",XLOOKUP($F528,Productos!$A:$A,Productos!AD:AD,"Revisar"),"")</f>
        <v/>
      </c>
      <c r="AL528" s="179" t="str">
        <f t="array" ref="AL528">IF($F528&lt;&gt;"", XLOOKUP($F528,Productos!$A$2:$A1001,Productos!AE$2:AE1001,"")*$G528,"")</f>
        <v/>
      </c>
      <c r="AM528" s="179" t="str">
        <f t="array" ref="AM528">IF($F528&lt;&gt;"",XLOOKUP($F528,Productos!$A:$A,Productos!AF:AF,"Revisar"),"")</f>
        <v/>
      </c>
      <c r="AN528" s="179" t="str">
        <f t="array" ref="AN528">IF($F528&lt;&gt;"", XLOOKUP($F528,Productos!$A$2:$A1001,Productos!AG$2:AG1001,"")*$G528,"")</f>
        <v/>
      </c>
      <c r="AO528" s="179" t="str">
        <f t="array" ref="AO528">IF($F528&lt;&gt;"",XLOOKUP($F528,Productos!$A:$A,Productos!AH:AH,"Revisar"),"")</f>
        <v/>
      </c>
      <c r="AP528" s="179" t="str">
        <f t="array" ref="AP528">IF($F528&lt;&gt;"", XLOOKUP($F528,Productos!$A$2:$A1001,Productos!AI$2:AI1001,"")*$G528,"")</f>
        <v/>
      </c>
      <c r="AQ528" s="179" t="str">
        <f t="array" ref="AQ528">IF($F528&lt;&gt;"",XLOOKUP($F528,Productos!$A:$A,Productos!AJ:AJ,"Revisar"),"")</f>
        <v/>
      </c>
      <c r="AR528" s="179" t="str">
        <f t="array" ref="AR528">IF($F528&lt;&gt;"", XLOOKUP($F528,Productos!$A$2:$A1001,Productos!AK$2:AK1001,"")*$G528,"")</f>
        <v/>
      </c>
      <c r="AS528" s="179" t="str">
        <f t="array" ref="AS528">IF($F528&lt;&gt;"",XLOOKUP($F528,Productos!$A:$A,Productos!AL:AL,"Revisar"),"")</f>
        <v/>
      </c>
      <c r="AT528" s="179" t="str">
        <f t="array" ref="AT528">IF($F528&lt;&gt;"", XLOOKUP($F528,Productos!$A$2:$A1001,Productos!AM$2:AM1001,"")*$G528,"")</f>
        <v/>
      </c>
      <c r="AU528" s="179" t="str">
        <f t="array" ref="AU528">IF($F528&lt;&gt;"",XLOOKUP($F528,Productos!$A:$A,Productos!AN:AN,"Revisar"),"")</f>
        <v/>
      </c>
      <c r="AV528" s="179" t="str">
        <f t="array" ref="AV528">IF($F528&lt;&gt;"", XLOOKUP($F528,Productos!$A$2:$A1001,Productos!AO$2:AO1001,"")*$G528,"")</f>
        <v/>
      </c>
      <c r="AW528" s="179" t="str">
        <f t="array" ref="AW528">IF($F528&lt;&gt;"",XLOOKUP($F528,Productos!$A:$A,Productos!AP:AP,"Revisar"),"")</f>
        <v/>
      </c>
      <c r="AX528" s="179" t="str">
        <f t="array" ref="AX528">IF($F528&lt;&gt;"", XLOOKUP($F528,Productos!$A$2:$A1001,Productos!AQ$2:AQ1001,"")*$G528,"")</f>
        <v/>
      </c>
      <c r="AY528" s="179" t="str">
        <f t="array" ref="AY528">IF($F528&lt;&gt;"",XLOOKUP($F528,Productos!$A:$A,Productos!AR:AR,"Revisar"),"")</f>
        <v/>
      </c>
      <c r="AZ528" s="179" t="str">
        <f t="array" ref="AZ528">IF($F528&lt;&gt;"", XLOOKUP($F528,Productos!$A$2:$A1001,Productos!AS$2:AS1001,"")*$G528,"")</f>
        <v/>
      </c>
      <c r="BA528" s="179" t="str">
        <f t="array" ref="BA528">IF($F528&lt;&gt;"",XLOOKUP($F528,Productos!$A:$A,Productos!AT:AT,"Revisar"),"")</f>
        <v/>
      </c>
      <c r="BB528" s="179" t="str">
        <f t="array" ref="BB528">IF($F528&lt;&gt;"", XLOOKUP($F528,Productos!$A$2:$A1001,Productos!AU$2:AU1001,"")*$G528,"")</f>
        <v/>
      </c>
      <c r="BC528" s="179" t="str">
        <f t="array" ref="BC528">IF($F528&lt;&gt;"",XLOOKUP($F528,Productos!$A:$A,Productos!AV:AV,"Revisar"),"")</f>
        <v/>
      </c>
      <c r="BD528" s="179" t="str">
        <f t="array" ref="BD528">IF($F528&lt;&gt;"", XLOOKUP($F528,Productos!$A$2:$A1001,Productos!AW$2:AW1001,"")*$G528,"")</f>
        <v/>
      </c>
      <c r="BE528" s="179" t="str">
        <f t="array" ref="BE528">IF($F528&lt;&gt;"",XLOOKUP($F528,Productos!$A:$A,Productos!AX:AX,"Revisar"),"")</f>
        <v/>
      </c>
      <c r="BF528" s="179" t="str">
        <f t="array" ref="BF528">IF($F528&lt;&gt;"", XLOOKUP($F528,Productos!$A$2:$A1001,Productos!AY$2:AY1001,"")*$G528,"")</f>
        <v/>
      </c>
      <c r="BG528" s="179" t="str">
        <f t="array" ref="BG528">IF($F528&lt;&gt;"",XLOOKUP($F528,Productos!$A:$A,Productos!AZ:AZ,"Revisar"),"")</f>
        <v/>
      </c>
      <c r="BH528" s="179" t="str">
        <f t="array" ref="BH528">IF($F528&lt;&gt;"", XLOOKUP($F528,Productos!$A$2:$A1001,Productos!BA$2:BA1001,"")*$G528,"")</f>
        <v/>
      </c>
      <c r="BI528" s="179" t="str">
        <f t="array" ref="BI528">IF($F528&lt;&gt;"",XLOOKUP($F528,Productos!$A:$A,Productos!BB:BB,"Revisar"),"")</f>
        <v/>
      </c>
      <c r="BJ528" s="179" t="str">
        <f t="array" ref="BJ528">IF($F528&lt;&gt;"", XLOOKUP($F528,Productos!$A$2:$A1001,Productos!BC$2:BC1001,"")*$G528,"")</f>
        <v/>
      </c>
      <c r="BK528" s="179" t="str">
        <f t="array" ref="BK528">IF($F528&lt;&gt;"",XLOOKUP($F528,Productos!$A:$A,Productos!BD:BD,"Revisar"),"")</f>
        <v/>
      </c>
      <c r="BL528" s="179" t="str">
        <f t="array" ref="BL528">IF($F528&lt;&gt;"", XLOOKUP($F528,Productos!$A$2:$A1001,Productos!BE$2:BE1001,"")*$G528,"")</f>
        <v/>
      </c>
      <c r="BM528" s="179" t="str">
        <f t="array" ref="BM528">IF($F528&lt;&gt;"",XLOOKUP($F528,Productos!$A:$A,Productos!BF:BF,"Revisar"),"")</f>
        <v/>
      </c>
      <c r="BN528" s="179" t="str">
        <f t="array" ref="BN528">IF($F528&lt;&gt;"", XLOOKUP($F528,Productos!$A$2:$A1001,Productos!BG$2:BG1001,"")*$G528,"")</f>
        <v/>
      </c>
      <c r="BO528" s="179" t="str">
        <f t="array" ref="BO528">IF($F528&lt;&gt;"",XLOOKUP($F528,Productos!$A:$A,Productos!BH:BH,"Revisar"),"")</f>
        <v/>
      </c>
      <c r="BP528" s="179" t="str">
        <f t="array" ref="BP528">IF($F528&lt;&gt;"", XLOOKUP($F528,Productos!$A$2:$A1001,Productos!BI$2:BI1001,"")*$G528,"")</f>
        <v/>
      </c>
      <c r="BQ528" s="179" t="str">
        <f t="array" ref="BQ528">IF($F528&lt;&gt;"",XLOOKUP($F528,Productos!$A:$A,Productos!BJ:BJ,"Revisar"),"")</f>
        <v/>
      </c>
      <c r="BR528" s="179" t="str">
        <f t="array" ref="BR528">IF($F528&lt;&gt;"", XLOOKUP($F528,Productos!$A$2:$A1001,Productos!BK$2:BK1001,"")*$G528,"")</f>
        <v/>
      </c>
      <c r="BS528" s="179" t="str">
        <f t="array" ref="BS528">IF($F528&lt;&gt;"",XLOOKUP($F528,Productos!$A:$A,Productos!BL:BL,"Revisar"),"")</f>
        <v/>
      </c>
      <c r="BT528" s="179" t="str">
        <f t="array" ref="BT528">IF($F528&lt;&gt;"", XLOOKUP($F528,Productos!$A$2:$A1001,Productos!BM$2:BM1001,"")*$G528,"")</f>
        <v/>
      </c>
      <c r="BU528" s="179" t="str">
        <f t="array" ref="BU528">IF($F528&lt;&gt;"",XLOOKUP($F528,Productos!$A:$A,Productos!BN:BN,"Revisar"),"")</f>
        <v/>
      </c>
      <c r="BV528" s="179" t="str">
        <f t="array" ref="BV528">IF($F528&lt;&gt;"", XLOOKUP($F528,Productos!$A$2:$A1001,Productos!BO$2:BO1001,"")*$G528,"")</f>
        <v/>
      </c>
      <c r="BW528" s="179" t="str">
        <f t="array" ref="BW528">IF($F528&lt;&gt;"",XLOOKUP($F528,Productos!$A:$A,Productos!BP:BP,"Revisar"),"")</f>
        <v/>
      </c>
      <c r="BX528" s="179" t="str">
        <f t="array" ref="BX528">IF($F528&lt;&gt;"", XLOOKUP($F528,Productos!$A$2:$A1001,Productos!BQ$2:BQ1001,"")*$G528,"")</f>
        <v/>
      </c>
      <c r="BY528" s="179" t="str">
        <f t="array" ref="BY528">IF($F528&lt;&gt;"",XLOOKUP($F528,Productos!$A:$A,Productos!BR:BR,"Revisar"),"")</f>
        <v/>
      </c>
      <c r="BZ528" s="179" t="str">
        <f t="array" ref="BZ528">IF($F528&lt;&gt;"", XLOOKUP($F528,Productos!$A$2:$A1001,Productos!BS$2:BS1001,"")*$G528,"")</f>
        <v/>
      </c>
    </row>
    <row r="529">
      <c r="A529" s="188"/>
      <c r="B529" s="189"/>
      <c r="C529" s="190"/>
      <c r="D529" s="190"/>
      <c r="E529" s="191"/>
      <c r="F529" s="186"/>
      <c r="G529" s="192"/>
      <c r="H529" s="9"/>
      <c r="I529" s="179" t="str">
        <f t="array" ref="I529">IF($F529&lt;&gt;"",XLOOKUP($F529,Productos!$A:$A,Productos!B:B,"Revisar"),"")</f>
        <v/>
      </c>
      <c r="J529" s="179" t="str">
        <f t="array" ref="J529">IF($F529&lt;&gt;"", XLOOKUP($F529,Productos!$A$2:$A1001,Productos!C$2:C1001,"")*$G529,"")</f>
        <v/>
      </c>
      <c r="K529" s="179" t="str">
        <f t="array" ref="K529">IF($F529&lt;&gt;"",XLOOKUP($F529,Productos!$A:$A,Productos!D:D,"Revisar"),"")</f>
        <v/>
      </c>
      <c r="L529" s="179" t="str">
        <f t="array" ref="L529">IF($F529&lt;&gt;"", XLOOKUP($F529,Productos!$A$2:$A1001,Productos!E$2:E1001,"")*$G529,"")</f>
        <v/>
      </c>
      <c r="M529" s="179" t="str">
        <f t="array" ref="M529">IF($F529&lt;&gt;"",XLOOKUP($F529,Productos!$A:$A,Productos!F:F,"Revisar"),"")</f>
        <v/>
      </c>
      <c r="N529" s="179" t="str">
        <f t="array" ref="N529">IF($F529&lt;&gt;"", XLOOKUP($F529,Productos!$A$2:$A1001,Productos!G$2:G1001,"")*$G529,"")</f>
        <v/>
      </c>
      <c r="O529" s="179" t="str">
        <f t="array" ref="O529">IF($F529&lt;&gt;"",XLOOKUP($F529,Productos!$A:$A,Productos!H:H,"Revisar"),"")</f>
        <v/>
      </c>
      <c r="P529" s="179" t="str">
        <f t="array" ref="P529">IF($F529&lt;&gt;"", XLOOKUP($F529,Productos!$A$2:$A1001,Productos!I$2:I1001,"")*$G529,"")</f>
        <v/>
      </c>
      <c r="Q529" s="179" t="str">
        <f t="array" ref="Q529">IF($F529&lt;&gt;"",XLOOKUP($F529,Productos!$A:$A,Productos!J:J,"Revisar"),"")</f>
        <v/>
      </c>
      <c r="R529" s="179" t="str">
        <f t="array" ref="R529">IF($F529&lt;&gt;"", XLOOKUP($F529,Productos!$A$2:$A1001,Productos!K$2:K1001,"")*$G529,"")</f>
        <v/>
      </c>
      <c r="S529" s="179" t="str">
        <f t="array" ref="S529">IF($F529&lt;&gt;"",XLOOKUP($F529,Productos!$A:$A,Productos!L:L,"Revisar"),"")</f>
        <v/>
      </c>
      <c r="T529" s="179" t="str">
        <f t="array" ref="T529">IF($F529&lt;&gt;"", XLOOKUP($F529,Productos!$A$2:$A1001,Productos!M$2:M1001,"")*$G529,"")</f>
        <v/>
      </c>
      <c r="U529" s="179" t="str">
        <f t="array" ref="U529">IF($F529&lt;&gt;"",XLOOKUP($F529,Productos!$A:$A,Productos!N:N,"Revisar"),"")</f>
        <v/>
      </c>
      <c r="V529" s="179" t="str">
        <f t="array" ref="V529">IF($F529&lt;&gt;"", XLOOKUP($F529,Productos!$A$2:$A1001,Productos!O$2:O1001,"")*$G529,"")</f>
        <v/>
      </c>
      <c r="W529" s="179" t="str">
        <f t="array" ref="W529">IF($F529&lt;&gt;"",XLOOKUP($F529,Productos!$A:$A,Productos!P:P,"Revisar"),"")</f>
        <v/>
      </c>
      <c r="X529" s="179" t="str">
        <f t="array" ref="X529">IF($F529&lt;&gt;"", XLOOKUP($F529,Productos!$A$2:$A1001,Productos!Q$2:Q1001,"")*$G529,"")</f>
        <v/>
      </c>
      <c r="Y529" s="179" t="str">
        <f t="array" ref="Y529">IF($F529&lt;&gt;"",XLOOKUP($F529,Productos!$A:$A,Productos!R:R,"Revisar"),"")</f>
        <v/>
      </c>
      <c r="Z529" s="179" t="str">
        <f t="array" ref="Z529">IF($F529&lt;&gt;"", XLOOKUP($F529,Productos!$A$2:$A1001,Productos!S$2:S1001,"")*$G529,"")</f>
        <v/>
      </c>
      <c r="AA529" s="179" t="str">
        <f t="array" ref="AA529">IF($F529&lt;&gt;"",XLOOKUP($F529,Productos!$A:$A,Productos!T:T,"Revisar"),"")</f>
        <v/>
      </c>
      <c r="AB529" s="179" t="str">
        <f t="array" ref="AB529">IF($F529&lt;&gt;"", XLOOKUP($F529,Productos!$A$2:$A1001,Productos!U$2:U1001,"")*$G529,"")</f>
        <v/>
      </c>
      <c r="AC529" s="179" t="str">
        <f t="array" ref="AC529">IF($F529&lt;&gt;"",XLOOKUP($F529,Productos!$A:$A,Productos!V:V,"Revisar"),"")</f>
        <v/>
      </c>
      <c r="AD529" s="179" t="str">
        <f t="array" ref="AD529">IF($F529&lt;&gt;"", XLOOKUP($F529,Productos!$A$2:$A1001,Productos!W$2:W1001,"")*$G529,"")</f>
        <v/>
      </c>
      <c r="AE529" s="179" t="str">
        <f t="array" ref="AE529">IF($F529&lt;&gt;"",XLOOKUP($F529,Productos!$A:$A,Productos!X:X,"Revisar"),"")</f>
        <v/>
      </c>
      <c r="AF529" s="179" t="str">
        <f t="array" ref="AF529">IF($F529&lt;&gt;"", XLOOKUP($F529,Productos!$A$2:$A1001,Productos!Y$2:Y1001,"")*$G529,"")</f>
        <v/>
      </c>
      <c r="AG529" s="179" t="str">
        <f t="array" ref="AG529">IF($F529&lt;&gt;"",XLOOKUP($F529,Productos!$A:$A,Productos!Z:Z,"Revisar"),"")</f>
        <v/>
      </c>
      <c r="AH529" s="179" t="str">
        <f t="array" ref="AH529">IF($F529&lt;&gt;"", XLOOKUP($F529,Productos!$A$2:$A1001,Productos!AA$2:AA1001,"")*$G529,"")</f>
        <v/>
      </c>
      <c r="AI529" s="179" t="str">
        <f t="array" ref="AI529">IF($F529&lt;&gt;"",XLOOKUP($F529,Productos!$A:$A,Productos!AB:AB,"Revisar"),"")</f>
        <v/>
      </c>
      <c r="AJ529" s="179" t="str">
        <f t="array" ref="AJ529">IF($F529&lt;&gt;"", XLOOKUP($F529,Productos!$A$2:$A1001,Productos!AC$2:AC1001,"")*$G529,"")</f>
        <v/>
      </c>
      <c r="AK529" s="179" t="str">
        <f t="array" ref="AK529">IF($F529&lt;&gt;"",XLOOKUP($F529,Productos!$A:$A,Productos!AD:AD,"Revisar"),"")</f>
        <v/>
      </c>
      <c r="AL529" s="179" t="str">
        <f t="array" ref="AL529">IF($F529&lt;&gt;"", XLOOKUP($F529,Productos!$A$2:$A1001,Productos!AE$2:AE1001,"")*$G529,"")</f>
        <v/>
      </c>
      <c r="AM529" s="179" t="str">
        <f t="array" ref="AM529">IF($F529&lt;&gt;"",XLOOKUP($F529,Productos!$A:$A,Productos!AF:AF,"Revisar"),"")</f>
        <v/>
      </c>
      <c r="AN529" s="179" t="str">
        <f t="array" ref="AN529">IF($F529&lt;&gt;"", XLOOKUP($F529,Productos!$A$2:$A1001,Productos!AG$2:AG1001,"")*$G529,"")</f>
        <v/>
      </c>
      <c r="AO529" s="179" t="str">
        <f t="array" ref="AO529">IF($F529&lt;&gt;"",XLOOKUP($F529,Productos!$A:$A,Productos!AH:AH,"Revisar"),"")</f>
        <v/>
      </c>
      <c r="AP529" s="179" t="str">
        <f t="array" ref="AP529">IF($F529&lt;&gt;"", XLOOKUP($F529,Productos!$A$2:$A1001,Productos!AI$2:AI1001,"")*$G529,"")</f>
        <v/>
      </c>
      <c r="AQ529" s="179" t="str">
        <f t="array" ref="AQ529">IF($F529&lt;&gt;"",XLOOKUP($F529,Productos!$A:$A,Productos!AJ:AJ,"Revisar"),"")</f>
        <v/>
      </c>
      <c r="AR529" s="179" t="str">
        <f t="array" ref="AR529">IF($F529&lt;&gt;"", XLOOKUP($F529,Productos!$A$2:$A1001,Productos!AK$2:AK1001,"")*$G529,"")</f>
        <v/>
      </c>
      <c r="AS529" s="179" t="str">
        <f t="array" ref="AS529">IF($F529&lt;&gt;"",XLOOKUP($F529,Productos!$A:$A,Productos!AL:AL,"Revisar"),"")</f>
        <v/>
      </c>
      <c r="AT529" s="179" t="str">
        <f t="array" ref="AT529">IF($F529&lt;&gt;"", XLOOKUP($F529,Productos!$A$2:$A1001,Productos!AM$2:AM1001,"")*$G529,"")</f>
        <v/>
      </c>
      <c r="AU529" s="179" t="str">
        <f t="array" ref="AU529">IF($F529&lt;&gt;"",XLOOKUP($F529,Productos!$A:$A,Productos!AN:AN,"Revisar"),"")</f>
        <v/>
      </c>
      <c r="AV529" s="179" t="str">
        <f t="array" ref="AV529">IF($F529&lt;&gt;"", XLOOKUP($F529,Productos!$A$2:$A1001,Productos!AO$2:AO1001,"")*$G529,"")</f>
        <v/>
      </c>
      <c r="AW529" s="179" t="str">
        <f t="array" ref="AW529">IF($F529&lt;&gt;"",XLOOKUP($F529,Productos!$A:$A,Productos!AP:AP,"Revisar"),"")</f>
        <v/>
      </c>
      <c r="AX529" s="179" t="str">
        <f t="array" ref="AX529">IF($F529&lt;&gt;"", XLOOKUP($F529,Productos!$A$2:$A1001,Productos!AQ$2:AQ1001,"")*$G529,"")</f>
        <v/>
      </c>
      <c r="AY529" s="179" t="str">
        <f t="array" ref="AY529">IF($F529&lt;&gt;"",XLOOKUP($F529,Productos!$A:$A,Productos!AR:AR,"Revisar"),"")</f>
        <v/>
      </c>
      <c r="AZ529" s="179" t="str">
        <f t="array" ref="AZ529">IF($F529&lt;&gt;"", XLOOKUP($F529,Productos!$A$2:$A1001,Productos!AS$2:AS1001,"")*$G529,"")</f>
        <v/>
      </c>
      <c r="BA529" s="179" t="str">
        <f t="array" ref="BA529">IF($F529&lt;&gt;"",XLOOKUP($F529,Productos!$A:$A,Productos!AT:AT,"Revisar"),"")</f>
        <v/>
      </c>
      <c r="BB529" s="179" t="str">
        <f t="array" ref="BB529">IF($F529&lt;&gt;"", XLOOKUP($F529,Productos!$A$2:$A1001,Productos!AU$2:AU1001,"")*$G529,"")</f>
        <v/>
      </c>
      <c r="BC529" s="179" t="str">
        <f t="array" ref="BC529">IF($F529&lt;&gt;"",XLOOKUP($F529,Productos!$A:$A,Productos!AV:AV,"Revisar"),"")</f>
        <v/>
      </c>
      <c r="BD529" s="179" t="str">
        <f t="array" ref="BD529">IF($F529&lt;&gt;"", XLOOKUP($F529,Productos!$A$2:$A1001,Productos!AW$2:AW1001,"")*$G529,"")</f>
        <v/>
      </c>
      <c r="BE529" s="179" t="str">
        <f t="array" ref="BE529">IF($F529&lt;&gt;"",XLOOKUP($F529,Productos!$A:$A,Productos!AX:AX,"Revisar"),"")</f>
        <v/>
      </c>
      <c r="BF529" s="179" t="str">
        <f t="array" ref="BF529">IF($F529&lt;&gt;"", XLOOKUP($F529,Productos!$A$2:$A1001,Productos!AY$2:AY1001,"")*$G529,"")</f>
        <v/>
      </c>
      <c r="BG529" s="179" t="str">
        <f t="array" ref="BG529">IF($F529&lt;&gt;"",XLOOKUP($F529,Productos!$A:$A,Productos!AZ:AZ,"Revisar"),"")</f>
        <v/>
      </c>
      <c r="BH529" s="179" t="str">
        <f t="array" ref="BH529">IF($F529&lt;&gt;"", XLOOKUP($F529,Productos!$A$2:$A1001,Productos!BA$2:BA1001,"")*$G529,"")</f>
        <v/>
      </c>
      <c r="BI529" s="179" t="str">
        <f t="array" ref="BI529">IF($F529&lt;&gt;"",XLOOKUP($F529,Productos!$A:$A,Productos!BB:BB,"Revisar"),"")</f>
        <v/>
      </c>
      <c r="BJ529" s="179" t="str">
        <f t="array" ref="BJ529">IF($F529&lt;&gt;"", XLOOKUP($F529,Productos!$A$2:$A1001,Productos!BC$2:BC1001,"")*$G529,"")</f>
        <v/>
      </c>
      <c r="BK529" s="179" t="str">
        <f t="array" ref="BK529">IF($F529&lt;&gt;"",XLOOKUP($F529,Productos!$A:$A,Productos!BD:BD,"Revisar"),"")</f>
        <v/>
      </c>
      <c r="BL529" s="179" t="str">
        <f t="array" ref="BL529">IF($F529&lt;&gt;"", XLOOKUP($F529,Productos!$A$2:$A1001,Productos!BE$2:BE1001,"")*$G529,"")</f>
        <v/>
      </c>
      <c r="BM529" s="179" t="str">
        <f t="array" ref="BM529">IF($F529&lt;&gt;"",XLOOKUP($F529,Productos!$A:$A,Productos!BF:BF,"Revisar"),"")</f>
        <v/>
      </c>
      <c r="BN529" s="179" t="str">
        <f t="array" ref="BN529">IF($F529&lt;&gt;"", XLOOKUP($F529,Productos!$A$2:$A1001,Productos!BG$2:BG1001,"")*$G529,"")</f>
        <v/>
      </c>
      <c r="BO529" s="179" t="str">
        <f t="array" ref="BO529">IF($F529&lt;&gt;"",XLOOKUP($F529,Productos!$A:$A,Productos!BH:BH,"Revisar"),"")</f>
        <v/>
      </c>
      <c r="BP529" s="179" t="str">
        <f t="array" ref="BP529">IF($F529&lt;&gt;"", XLOOKUP($F529,Productos!$A$2:$A1001,Productos!BI$2:BI1001,"")*$G529,"")</f>
        <v/>
      </c>
      <c r="BQ529" s="179" t="str">
        <f t="array" ref="BQ529">IF($F529&lt;&gt;"",XLOOKUP($F529,Productos!$A:$A,Productos!BJ:BJ,"Revisar"),"")</f>
        <v/>
      </c>
      <c r="BR529" s="179" t="str">
        <f t="array" ref="BR529">IF($F529&lt;&gt;"", XLOOKUP($F529,Productos!$A$2:$A1001,Productos!BK$2:BK1001,"")*$G529,"")</f>
        <v/>
      </c>
      <c r="BS529" s="179" t="str">
        <f t="array" ref="BS529">IF($F529&lt;&gt;"",XLOOKUP($F529,Productos!$A:$A,Productos!BL:BL,"Revisar"),"")</f>
        <v/>
      </c>
      <c r="BT529" s="179" t="str">
        <f t="array" ref="BT529">IF($F529&lt;&gt;"", XLOOKUP($F529,Productos!$A$2:$A1001,Productos!BM$2:BM1001,"")*$G529,"")</f>
        <v/>
      </c>
      <c r="BU529" s="179" t="str">
        <f t="array" ref="BU529">IF($F529&lt;&gt;"",XLOOKUP($F529,Productos!$A:$A,Productos!BN:BN,"Revisar"),"")</f>
        <v/>
      </c>
      <c r="BV529" s="179" t="str">
        <f t="array" ref="BV529">IF($F529&lt;&gt;"", XLOOKUP($F529,Productos!$A$2:$A1001,Productos!BO$2:BO1001,"")*$G529,"")</f>
        <v/>
      </c>
      <c r="BW529" s="179" t="str">
        <f t="array" ref="BW529">IF($F529&lt;&gt;"",XLOOKUP($F529,Productos!$A:$A,Productos!BP:BP,"Revisar"),"")</f>
        <v/>
      </c>
      <c r="BX529" s="179" t="str">
        <f t="array" ref="BX529">IF($F529&lt;&gt;"", XLOOKUP($F529,Productos!$A$2:$A1001,Productos!BQ$2:BQ1001,"")*$G529,"")</f>
        <v/>
      </c>
      <c r="BY529" s="179" t="str">
        <f t="array" ref="BY529">IF($F529&lt;&gt;"",XLOOKUP($F529,Productos!$A:$A,Productos!BR:BR,"Revisar"),"")</f>
        <v/>
      </c>
      <c r="BZ529" s="179" t="str">
        <f t="array" ref="BZ529">IF($F529&lt;&gt;"", XLOOKUP($F529,Productos!$A$2:$A1001,Productos!BS$2:BS1001,"")*$G529,"")</f>
        <v/>
      </c>
    </row>
    <row r="530">
      <c r="A530" s="188"/>
      <c r="B530" s="189"/>
      <c r="C530" s="190"/>
      <c r="D530" s="190"/>
      <c r="E530" s="191"/>
      <c r="F530" s="186"/>
      <c r="G530" s="192"/>
      <c r="H530" s="9"/>
      <c r="I530" s="179" t="str">
        <f t="array" ref="I530">IF($F530&lt;&gt;"",XLOOKUP($F530,Productos!$A:$A,Productos!B:B,"Revisar"),"")</f>
        <v/>
      </c>
      <c r="J530" s="179" t="str">
        <f t="array" ref="J530">IF($F530&lt;&gt;"", XLOOKUP($F530,Productos!$A$2:$A1001,Productos!C$2:C1001,"")*$G530,"")</f>
        <v/>
      </c>
      <c r="K530" s="179" t="str">
        <f t="array" ref="K530">IF($F530&lt;&gt;"",XLOOKUP($F530,Productos!$A:$A,Productos!D:D,"Revisar"),"")</f>
        <v/>
      </c>
      <c r="L530" s="179" t="str">
        <f t="array" ref="L530">IF($F530&lt;&gt;"", XLOOKUP($F530,Productos!$A$2:$A1001,Productos!E$2:E1001,"")*$G530,"")</f>
        <v/>
      </c>
      <c r="M530" s="179" t="str">
        <f t="array" ref="M530">IF($F530&lt;&gt;"",XLOOKUP($F530,Productos!$A:$A,Productos!F:F,"Revisar"),"")</f>
        <v/>
      </c>
      <c r="N530" s="179" t="str">
        <f t="array" ref="N530">IF($F530&lt;&gt;"", XLOOKUP($F530,Productos!$A$2:$A1001,Productos!G$2:G1001,"")*$G530,"")</f>
        <v/>
      </c>
      <c r="O530" s="179" t="str">
        <f t="array" ref="O530">IF($F530&lt;&gt;"",XLOOKUP($F530,Productos!$A:$A,Productos!H:H,"Revisar"),"")</f>
        <v/>
      </c>
      <c r="P530" s="179" t="str">
        <f t="array" ref="P530">IF($F530&lt;&gt;"", XLOOKUP($F530,Productos!$A$2:$A1001,Productos!I$2:I1001,"")*$G530,"")</f>
        <v/>
      </c>
      <c r="Q530" s="179" t="str">
        <f t="array" ref="Q530">IF($F530&lt;&gt;"",XLOOKUP($F530,Productos!$A:$A,Productos!J:J,"Revisar"),"")</f>
        <v/>
      </c>
      <c r="R530" s="179" t="str">
        <f t="array" ref="R530">IF($F530&lt;&gt;"", XLOOKUP($F530,Productos!$A$2:$A1001,Productos!K$2:K1001,"")*$G530,"")</f>
        <v/>
      </c>
      <c r="S530" s="179" t="str">
        <f t="array" ref="S530">IF($F530&lt;&gt;"",XLOOKUP($F530,Productos!$A:$A,Productos!L:L,"Revisar"),"")</f>
        <v/>
      </c>
      <c r="T530" s="179" t="str">
        <f t="array" ref="T530">IF($F530&lt;&gt;"", XLOOKUP($F530,Productos!$A$2:$A1001,Productos!M$2:M1001,"")*$G530,"")</f>
        <v/>
      </c>
      <c r="U530" s="179" t="str">
        <f t="array" ref="U530">IF($F530&lt;&gt;"",XLOOKUP($F530,Productos!$A:$A,Productos!N:N,"Revisar"),"")</f>
        <v/>
      </c>
      <c r="V530" s="179" t="str">
        <f t="array" ref="V530">IF($F530&lt;&gt;"", XLOOKUP($F530,Productos!$A$2:$A1001,Productos!O$2:O1001,"")*$G530,"")</f>
        <v/>
      </c>
      <c r="W530" s="179" t="str">
        <f t="array" ref="W530">IF($F530&lt;&gt;"",XLOOKUP($F530,Productos!$A:$A,Productos!P:P,"Revisar"),"")</f>
        <v/>
      </c>
      <c r="X530" s="179" t="str">
        <f t="array" ref="X530">IF($F530&lt;&gt;"", XLOOKUP($F530,Productos!$A$2:$A1001,Productos!Q$2:Q1001,"")*$G530,"")</f>
        <v/>
      </c>
      <c r="Y530" s="179" t="str">
        <f t="array" ref="Y530">IF($F530&lt;&gt;"",XLOOKUP($F530,Productos!$A:$A,Productos!R:R,"Revisar"),"")</f>
        <v/>
      </c>
      <c r="Z530" s="179" t="str">
        <f t="array" ref="Z530">IF($F530&lt;&gt;"", XLOOKUP($F530,Productos!$A$2:$A1001,Productos!S$2:S1001,"")*$G530,"")</f>
        <v/>
      </c>
      <c r="AA530" s="179" t="str">
        <f t="array" ref="AA530">IF($F530&lt;&gt;"",XLOOKUP($F530,Productos!$A:$A,Productos!T:T,"Revisar"),"")</f>
        <v/>
      </c>
      <c r="AB530" s="179" t="str">
        <f t="array" ref="AB530">IF($F530&lt;&gt;"", XLOOKUP($F530,Productos!$A$2:$A1001,Productos!U$2:U1001,"")*$G530,"")</f>
        <v/>
      </c>
      <c r="AC530" s="179" t="str">
        <f t="array" ref="AC530">IF($F530&lt;&gt;"",XLOOKUP($F530,Productos!$A:$A,Productos!V:V,"Revisar"),"")</f>
        <v/>
      </c>
      <c r="AD530" s="179" t="str">
        <f t="array" ref="AD530">IF($F530&lt;&gt;"", XLOOKUP($F530,Productos!$A$2:$A1001,Productos!W$2:W1001,"")*$G530,"")</f>
        <v/>
      </c>
      <c r="AE530" s="179" t="str">
        <f t="array" ref="AE530">IF($F530&lt;&gt;"",XLOOKUP($F530,Productos!$A:$A,Productos!X:X,"Revisar"),"")</f>
        <v/>
      </c>
      <c r="AF530" s="179" t="str">
        <f t="array" ref="AF530">IF($F530&lt;&gt;"", XLOOKUP($F530,Productos!$A$2:$A1001,Productos!Y$2:Y1001,"")*$G530,"")</f>
        <v/>
      </c>
      <c r="AG530" s="179" t="str">
        <f t="array" ref="AG530">IF($F530&lt;&gt;"",XLOOKUP($F530,Productos!$A:$A,Productos!Z:Z,"Revisar"),"")</f>
        <v/>
      </c>
      <c r="AH530" s="179" t="str">
        <f t="array" ref="AH530">IF($F530&lt;&gt;"", XLOOKUP($F530,Productos!$A$2:$A1001,Productos!AA$2:AA1001,"")*$G530,"")</f>
        <v/>
      </c>
      <c r="AI530" s="179" t="str">
        <f t="array" ref="AI530">IF($F530&lt;&gt;"",XLOOKUP($F530,Productos!$A:$A,Productos!AB:AB,"Revisar"),"")</f>
        <v/>
      </c>
      <c r="AJ530" s="179" t="str">
        <f t="array" ref="AJ530">IF($F530&lt;&gt;"", XLOOKUP($F530,Productos!$A$2:$A1001,Productos!AC$2:AC1001,"")*$G530,"")</f>
        <v/>
      </c>
      <c r="AK530" s="179" t="str">
        <f t="array" ref="AK530">IF($F530&lt;&gt;"",XLOOKUP($F530,Productos!$A:$A,Productos!AD:AD,"Revisar"),"")</f>
        <v/>
      </c>
      <c r="AL530" s="179" t="str">
        <f t="array" ref="AL530">IF($F530&lt;&gt;"", XLOOKUP($F530,Productos!$A$2:$A1001,Productos!AE$2:AE1001,"")*$G530,"")</f>
        <v/>
      </c>
      <c r="AM530" s="179" t="str">
        <f t="array" ref="AM530">IF($F530&lt;&gt;"",XLOOKUP($F530,Productos!$A:$A,Productos!AF:AF,"Revisar"),"")</f>
        <v/>
      </c>
      <c r="AN530" s="179" t="str">
        <f t="array" ref="AN530">IF($F530&lt;&gt;"", XLOOKUP($F530,Productos!$A$2:$A1001,Productos!AG$2:AG1001,"")*$G530,"")</f>
        <v/>
      </c>
      <c r="AO530" s="179" t="str">
        <f t="array" ref="AO530">IF($F530&lt;&gt;"",XLOOKUP($F530,Productos!$A:$A,Productos!AH:AH,"Revisar"),"")</f>
        <v/>
      </c>
      <c r="AP530" s="179" t="str">
        <f t="array" ref="AP530">IF($F530&lt;&gt;"", XLOOKUP($F530,Productos!$A$2:$A1001,Productos!AI$2:AI1001,"")*$G530,"")</f>
        <v/>
      </c>
      <c r="AQ530" s="179" t="str">
        <f t="array" ref="AQ530">IF($F530&lt;&gt;"",XLOOKUP($F530,Productos!$A:$A,Productos!AJ:AJ,"Revisar"),"")</f>
        <v/>
      </c>
      <c r="AR530" s="179" t="str">
        <f t="array" ref="AR530">IF($F530&lt;&gt;"", XLOOKUP($F530,Productos!$A$2:$A1001,Productos!AK$2:AK1001,"")*$G530,"")</f>
        <v/>
      </c>
      <c r="AS530" s="179" t="str">
        <f t="array" ref="AS530">IF($F530&lt;&gt;"",XLOOKUP($F530,Productos!$A:$A,Productos!AL:AL,"Revisar"),"")</f>
        <v/>
      </c>
      <c r="AT530" s="179" t="str">
        <f t="array" ref="AT530">IF($F530&lt;&gt;"", XLOOKUP($F530,Productos!$A$2:$A1001,Productos!AM$2:AM1001,"")*$G530,"")</f>
        <v/>
      </c>
      <c r="AU530" s="179" t="str">
        <f t="array" ref="AU530">IF($F530&lt;&gt;"",XLOOKUP($F530,Productos!$A:$A,Productos!AN:AN,"Revisar"),"")</f>
        <v/>
      </c>
      <c r="AV530" s="179" t="str">
        <f t="array" ref="AV530">IF($F530&lt;&gt;"", XLOOKUP($F530,Productos!$A$2:$A1001,Productos!AO$2:AO1001,"")*$G530,"")</f>
        <v/>
      </c>
      <c r="AW530" s="179" t="str">
        <f t="array" ref="AW530">IF($F530&lt;&gt;"",XLOOKUP($F530,Productos!$A:$A,Productos!AP:AP,"Revisar"),"")</f>
        <v/>
      </c>
      <c r="AX530" s="179" t="str">
        <f t="array" ref="AX530">IF($F530&lt;&gt;"", XLOOKUP($F530,Productos!$A$2:$A1001,Productos!AQ$2:AQ1001,"")*$G530,"")</f>
        <v/>
      </c>
      <c r="AY530" s="179" t="str">
        <f t="array" ref="AY530">IF($F530&lt;&gt;"",XLOOKUP($F530,Productos!$A:$A,Productos!AR:AR,"Revisar"),"")</f>
        <v/>
      </c>
      <c r="AZ530" s="179" t="str">
        <f t="array" ref="AZ530">IF($F530&lt;&gt;"", XLOOKUP($F530,Productos!$A$2:$A1001,Productos!AS$2:AS1001,"")*$G530,"")</f>
        <v/>
      </c>
      <c r="BA530" s="179" t="str">
        <f t="array" ref="BA530">IF($F530&lt;&gt;"",XLOOKUP($F530,Productos!$A:$A,Productos!AT:AT,"Revisar"),"")</f>
        <v/>
      </c>
      <c r="BB530" s="179" t="str">
        <f t="array" ref="BB530">IF($F530&lt;&gt;"", XLOOKUP($F530,Productos!$A$2:$A1001,Productos!AU$2:AU1001,"")*$G530,"")</f>
        <v/>
      </c>
      <c r="BC530" s="179" t="str">
        <f t="array" ref="BC530">IF($F530&lt;&gt;"",XLOOKUP($F530,Productos!$A:$A,Productos!AV:AV,"Revisar"),"")</f>
        <v/>
      </c>
      <c r="BD530" s="179" t="str">
        <f t="array" ref="BD530">IF($F530&lt;&gt;"", XLOOKUP($F530,Productos!$A$2:$A1001,Productos!AW$2:AW1001,"")*$G530,"")</f>
        <v/>
      </c>
      <c r="BE530" s="179" t="str">
        <f t="array" ref="BE530">IF($F530&lt;&gt;"",XLOOKUP($F530,Productos!$A:$A,Productos!AX:AX,"Revisar"),"")</f>
        <v/>
      </c>
      <c r="BF530" s="179" t="str">
        <f t="array" ref="BF530">IF($F530&lt;&gt;"", XLOOKUP($F530,Productos!$A$2:$A1001,Productos!AY$2:AY1001,"")*$G530,"")</f>
        <v/>
      </c>
      <c r="BG530" s="179" t="str">
        <f t="array" ref="BG530">IF($F530&lt;&gt;"",XLOOKUP($F530,Productos!$A:$A,Productos!AZ:AZ,"Revisar"),"")</f>
        <v/>
      </c>
      <c r="BH530" s="179" t="str">
        <f t="array" ref="BH530">IF($F530&lt;&gt;"", XLOOKUP($F530,Productos!$A$2:$A1001,Productos!BA$2:BA1001,"")*$G530,"")</f>
        <v/>
      </c>
      <c r="BI530" s="179" t="str">
        <f t="array" ref="BI530">IF($F530&lt;&gt;"",XLOOKUP($F530,Productos!$A:$A,Productos!BB:BB,"Revisar"),"")</f>
        <v/>
      </c>
      <c r="BJ530" s="179" t="str">
        <f t="array" ref="BJ530">IF($F530&lt;&gt;"", XLOOKUP($F530,Productos!$A$2:$A1001,Productos!BC$2:BC1001,"")*$G530,"")</f>
        <v/>
      </c>
      <c r="BK530" s="179" t="str">
        <f t="array" ref="BK530">IF($F530&lt;&gt;"",XLOOKUP($F530,Productos!$A:$A,Productos!BD:BD,"Revisar"),"")</f>
        <v/>
      </c>
      <c r="BL530" s="179" t="str">
        <f t="array" ref="BL530">IF($F530&lt;&gt;"", XLOOKUP($F530,Productos!$A$2:$A1001,Productos!BE$2:BE1001,"")*$G530,"")</f>
        <v/>
      </c>
      <c r="BM530" s="179" t="str">
        <f t="array" ref="BM530">IF($F530&lt;&gt;"",XLOOKUP($F530,Productos!$A:$A,Productos!BF:BF,"Revisar"),"")</f>
        <v/>
      </c>
      <c r="BN530" s="179" t="str">
        <f t="array" ref="BN530">IF($F530&lt;&gt;"", XLOOKUP($F530,Productos!$A$2:$A1001,Productos!BG$2:BG1001,"")*$G530,"")</f>
        <v/>
      </c>
      <c r="BO530" s="179" t="str">
        <f t="array" ref="BO530">IF($F530&lt;&gt;"",XLOOKUP($F530,Productos!$A:$A,Productos!BH:BH,"Revisar"),"")</f>
        <v/>
      </c>
      <c r="BP530" s="179" t="str">
        <f t="array" ref="BP530">IF($F530&lt;&gt;"", XLOOKUP($F530,Productos!$A$2:$A1001,Productos!BI$2:BI1001,"")*$G530,"")</f>
        <v/>
      </c>
      <c r="BQ530" s="179" t="str">
        <f t="array" ref="BQ530">IF($F530&lt;&gt;"",XLOOKUP($F530,Productos!$A:$A,Productos!BJ:BJ,"Revisar"),"")</f>
        <v/>
      </c>
      <c r="BR530" s="179" t="str">
        <f t="array" ref="BR530">IF($F530&lt;&gt;"", XLOOKUP($F530,Productos!$A$2:$A1001,Productos!BK$2:BK1001,"")*$G530,"")</f>
        <v/>
      </c>
      <c r="BS530" s="179" t="str">
        <f t="array" ref="BS530">IF($F530&lt;&gt;"",XLOOKUP($F530,Productos!$A:$A,Productos!BL:BL,"Revisar"),"")</f>
        <v/>
      </c>
      <c r="BT530" s="179" t="str">
        <f t="array" ref="BT530">IF($F530&lt;&gt;"", XLOOKUP($F530,Productos!$A$2:$A1001,Productos!BM$2:BM1001,"")*$G530,"")</f>
        <v/>
      </c>
      <c r="BU530" s="179" t="str">
        <f t="array" ref="BU530">IF($F530&lt;&gt;"",XLOOKUP($F530,Productos!$A:$A,Productos!BN:BN,"Revisar"),"")</f>
        <v/>
      </c>
      <c r="BV530" s="179" t="str">
        <f t="array" ref="BV530">IF($F530&lt;&gt;"", XLOOKUP($F530,Productos!$A$2:$A1001,Productos!BO$2:BO1001,"")*$G530,"")</f>
        <v/>
      </c>
      <c r="BW530" s="179" t="str">
        <f t="array" ref="BW530">IF($F530&lt;&gt;"",XLOOKUP($F530,Productos!$A:$A,Productos!BP:BP,"Revisar"),"")</f>
        <v/>
      </c>
      <c r="BX530" s="179" t="str">
        <f t="array" ref="BX530">IF($F530&lt;&gt;"", XLOOKUP($F530,Productos!$A$2:$A1001,Productos!BQ$2:BQ1001,"")*$G530,"")</f>
        <v/>
      </c>
      <c r="BY530" s="179" t="str">
        <f t="array" ref="BY530">IF($F530&lt;&gt;"",XLOOKUP($F530,Productos!$A:$A,Productos!BR:BR,"Revisar"),"")</f>
        <v/>
      </c>
      <c r="BZ530" s="179" t="str">
        <f t="array" ref="BZ530">IF($F530&lt;&gt;"", XLOOKUP($F530,Productos!$A$2:$A1001,Productos!BS$2:BS1001,"")*$G530,"")</f>
        <v/>
      </c>
    </row>
    <row r="531">
      <c r="A531" s="188"/>
      <c r="B531" s="189"/>
      <c r="C531" s="190"/>
      <c r="D531" s="190"/>
      <c r="E531" s="191"/>
      <c r="F531" s="186"/>
      <c r="G531" s="192"/>
      <c r="H531" s="9"/>
      <c r="I531" s="179" t="str">
        <f t="array" ref="I531">IF($F531&lt;&gt;"",XLOOKUP($F531,Productos!$A:$A,Productos!B:B,"Revisar"),"")</f>
        <v/>
      </c>
      <c r="J531" s="179" t="str">
        <f t="array" ref="J531">IF($F531&lt;&gt;"", XLOOKUP($F531,Productos!$A$2:$A1001,Productos!C$2:C1001,"")*$G531,"")</f>
        <v/>
      </c>
      <c r="K531" s="179" t="str">
        <f t="array" ref="K531">IF($F531&lt;&gt;"",XLOOKUP($F531,Productos!$A:$A,Productos!D:D,"Revisar"),"")</f>
        <v/>
      </c>
      <c r="L531" s="179" t="str">
        <f t="array" ref="L531">IF($F531&lt;&gt;"", XLOOKUP($F531,Productos!$A$2:$A1001,Productos!E$2:E1001,"")*$G531,"")</f>
        <v/>
      </c>
      <c r="M531" s="179" t="str">
        <f t="array" ref="M531">IF($F531&lt;&gt;"",XLOOKUP($F531,Productos!$A:$A,Productos!F:F,"Revisar"),"")</f>
        <v/>
      </c>
      <c r="N531" s="179" t="str">
        <f t="array" ref="N531">IF($F531&lt;&gt;"", XLOOKUP($F531,Productos!$A$2:$A1001,Productos!G$2:G1001,"")*$G531,"")</f>
        <v/>
      </c>
      <c r="O531" s="179" t="str">
        <f t="array" ref="O531">IF($F531&lt;&gt;"",XLOOKUP($F531,Productos!$A:$A,Productos!H:H,"Revisar"),"")</f>
        <v/>
      </c>
      <c r="P531" s="179" t="str">
        <f t="array" ref="P531">IF($F531&lt;&gt;"", XLOOKUP($F531,Productos!$A$2:$A1001,Productos!I$2:I1001,"")*$G531,"")</f>
        <v/>
      </c>
      <c r="Q531" s="179" t="str">
        <f t="array" ref="Q531">IF($F531&lt;&gt;"",XLOOKUP($F531,Productos!$A:$A,Productos!J:J,"Revisar"),"")</f>
        <v/>
      </c>
      <c r="R531" s="179" t="str">
        <f t="array" ref="R531">IF($F531&lt;&gt;"", XLOOKUP($F531,Productos!$A$2:$A1001,Productos!K$2:K1001,"")*$G531,"")</f>
        <v/>
      </c>
      <c r="S531" s="179" t="str">
        <f t="array" ref="S531">IF($F531&lt;&gt;"",XLOOKUP($F531,Productos!$A:$A,Productos!L:L,"Revisar"),"")</f>
        <v/>
      </c>
      <c r="T531" s="179" t="str">
        <f t="array" ref="T531">IF($F531&lt;&gt;"", XLOOKUP($F531,Productos!$A$2:$A1001,Productos!M$2:M1001,"")*$G531,"")</f>
        <v/>
      </c>
      <c r="U531" s="179" t="str">
        <f t="array" ref="U531">IF($F531&lt;&gt;"",XLOOKUP($F531,Productos!$A:$A,Productos!N:N,"Revisar"),"")</f>
        <v/>
      </c>
      <c r="V531" s="179" t="str">
        <f t="array" ref="V531">IF($F531&lt;&gt;"", XLOOKUP($F531,Productos!$A$2:$A1001,Productos!O$2:O1001,"")*$G531,"")</f>
        <v/>
      </c>
      <c r="W531" s="179" t="str">
        <f t="array" ref="W531">IF($F531&lt;&gt;"",XLOOKUP($F531,Productos!$A:$A,Productos!P:P,"Revisar"),"")</f>
        <v/>
      </c>
      <c r="X531" s="179" t="str">
        <f t="array" ref="X531">IF($F531&lt;&gt;"", XLOOKUP($F531,Productos!$A$2:$A1001,Productos!Q$2:Q1001,"")*$G531,"")</f>
        <v/>
      </c>
      <c r="Y531" s="179" t="str">
        <f t="array" ref="Y531">IF($F531&lt;&gt;"",XLOOKUP($F531,Productos!$A:$A,Productos!R:R,"Revisar"),"")</f>
        <v/>
      </c>
      <c r="Z531" s="179" t="str">
        <f t="array" ref="Z531">IF($F531&lt;&gt;"", XLOOKUP($F531,Productos!$A$2:$A1001,Productos!S$2:S1001,"")*$G531,"")</f>
        <v/>
      </c>
      <c r="AA531" s="179" t="str">
        <f t="array" ref="AA531">IF($F531&lt;&gt;"",XLOOKUP($F531,Productos!$A:$A,Productos!T:T,"Revisar"),"")</f>
        <v/>
      </c>
      <c r="AB531" s="179" t="str">
        <f t="array" ref="AB531">IF($F531&lt;&gt;"", XLOOKUP($F531,Productos!$A$2:$A1001,Productos!U$2:U1001,"")*$G531,"")</f>
        <v/>
      </c>
      <c r="AC531" s="179" t="str">
        <f t="array" ref="AC531">IF($F531&lt;&gt;"",XLOOKUP($F531,Productos!$A:$A,Productos!V:V,"Revisar"),"")</f>
        <v/>
      </c>
      <c r="AD531" s="179" t="str">
        <f t="array" ref="AD531">IF($F531&lt;&gt;"", XLOOKUP($F531,Productos!$A$2:$A1001,Productos!W$2:W1001,"")*$G531,"")</f>
        <v/>
      </c>
      <c r="AE531" s="179" t="str">
        <f t="array" ref="AE531">IF($F531&lt;&gt;"",XLOOKUP($F531,Productos!$A:$A,Productos!X:X,"Revisar"),"")</f>
        <v/>
      </c>
      <c r="AF531" s="179" t="str">
        <f t="array" ref="AF531">IF($F531&lt;&gt;"", XLOOKUP($F531,Productos!$A$2:$A1001,Productos!Y$2:Y1001,"")*$G531,"")</f>
        <v/>
      </c>
      <c r="AG531" s="179" t="str">
        <f t="array" ref="AG531">IF($F531&lt;&gt;"",XLOOKUP($F531,Productos!$A:$A,Productos!Z:Z,"Revisar"),"")</f>
        <v/>
      </c>
      <c r="AH531" s="179" t="str">
        <f t="array" ref="AH531">IF($F531&lt;&gt;"", XLOOKUP($F531,Productos!$A$2:$A1001,Productos!AA$2:AA1001,"")*$G531,"")</f>
        <v/>
      </c>
      <c r="AI531" s="179" t="str">
        <f t="array" ref="AI531">IF($F531&lt;&gt;"",XLOOKUP($F531,Productos!$A:$A,Productos!AB:AB,"Revisar"),"")</f>
        <v/>
      </c>
      <c r="AJ531" s="179" t="str">
        <f t="array" ref="AJ531">IF($F531&lt;&gt;"", XLOOKUP($F531,Productos!$A$2:$A1001,Productos!AC$2:AC1001,"")*$G531,"")</f>
        <v/>
      </c>
      <c r="AK531" s="179" t="str">
        <f t="array" ref="AK531">IF($F531&lt;&gt;"",XLOOKUP($F531,Productos!$A:$A,Productos!AD:AD,"Revisar"),"")</f>
        <v/>
      </c>
      <c r="AL531" s="179" t="str">
        <f t="array" ref="AL531">IF($F531&lt;&gt;"", XLOOKUP($F531,Productos!$A$2:$A1001,Productos!AE$2:AE1001,"")*$G531,"")</f>
        <v/>
      </c>
      <c r="AM531" s="179" t="str">
        <f t="array" ref="AM531">IF($F531&lt;&gt;"",XLOOKUP($F531,Productos!$A:$A,Productos!AF:AF,"Revisar"),"")</f>
        <v/>
      </c>
      <c r="AN531" s="179" t="str">
        <f t="array" ref="AN531">IF($F531&lt;&gt;"", XLOOKUP($F531,Productos!$A$2:$A1001,Productos!AG$2:AG1001,"")*$G531,"")</f>
        <v/>
      </c>
      <c r="AO531" s="179" t="str">
        <f t="array" ref="AO531">IF($F531&lt;&gt;"",XLOOKUP($F531,Productos!$A:$A,Productos!AH:AH,"Revisar"),"")</f>
        <v/>
      </c>
      <c r="AP531" s="179" t="str">
        <f t="array" ref="AP531">IF($F531&lt;&gt;"", XLOOKUP($F531,Productos!$A$2:$A1001,Productos!AI$2:AI1001,"")*$G531,"")</f>
        <v/>
      </c>
      <c r="AQ531" s="179" t="str">
        <f t="array" ref="AQ531">IF($F531&lt;&gt;"",XLOOKUP($F531,Productos!$A:$A,Productos!AJ:AJ,"Revisar"),"")</f>
        <v/>
      </c>
      <c r="AR531" s="179" t="str">
        <f t="array" ref="AR531">IF($F531&lt;&gt;"", XLOOKUP($F531,Productos!$A$2:$A1001,Productos!AK$2:AK1001,"")*$G531,"")</f>
        <v/>
      </c>
      <c r="AS531" s="179" t="str">
        <f t="array" ref="AS531">IF($F531&lt;&gt;"",XLOOKUP($F531,Productos!$A:$A,Productos!AL:AL,"Revisar"),"")</f>
        <v/>
      </c>
      <c r="AT531" s="179" t="str">
        <f t="array" ref="AT531">IF($F531&lt;&gt;"", XLOOKUP($F531,Productos!$A$2:$A1001,Productos!AM$2:AM1001,"")*$G531,"")</f>
        <v/>
      </c>
      <c r="AU531" s="179" t="str">
        <f t="array" ref="AU531">IF($F531&lt;&gt;"",XLOOKUP($F531,Productos!$A:$A,Productos!AN:AN,"Revisar"),"")</f>
        <v/>
      </c>
      <c r="AV531" s="179" t="str">
        <f t="array" ref="AV531">IF($F531&lt;&gt;"", XLOOKUP($F531,Productos!$A$2:$A1001,Productos!AO$2:AO1001,"")*$G531,"")</f>
        <v/>
      </c>
      <c r="AW531" s="179" t="str">
        <f t="array" ref="AW531">IF($F531&lt;&gt;"",XLOOKUP($F531,Productos!$A:$A,Productos!AP:AP,"Revisar"),"")</f>
        <v/>
      </c>
      <c r="AX531" s="179" t="str">
        <f t="array" ref="AX531">IF($F531&lt;&gt;"", XLOOKUP($F531,Productos!$A$2:$A1001,Productos!AQ$2:AQ1001,"")*$G531,"")</f>
        <v/>
      </c>
      <c r="AY531" s="179" t="str">
        <f t="array" ref="AY531">IF($F531&lt;&gt;"",XLOOKUP($F531,Productos!$A:$A,Productos!AR:AR,"Revisar"),"")</f>
        <v/>
      </c>
      <c r="AZ531" s="179" t="str">
        <f t="array" ref="AZ531">IF($F531&lt;&gt;"", XLOOKUP($F531,Productos!$A$2:$A1001,Productos!AS$2:AS1001,"")*$G531,"")</f>
        <v/>
      </c>
      <c r="BA531" s="179" t="str">
        <f t="array" ref="BA531">IF($F531&lt;&gt;"",XLOOKUP($F531,Productos!$A:$A,Productos!AT:AT,"Revisar"),"")</f>
        <v/>
      </c>
      <c r="BB531" s="179" t="str">
        <f t="array" ref="BB531">IF($F531&lt;&gt;"", XLOOKUP($F531,Productos!$A$2:$A1001,Productos!AU$2:AU1001,"")*$G531,"")</f>
        <v/>
      </c>
      <c r="BC531" s="179" t="str">
        <f t="array" ref="BC531">IF($F531&lt;&gt;"",XLOOKUP($F531,Productos!$A:$A,Productos!AV:AV,"Revisar"),"")</f>
        <v/>
      </c>
      <c r="BD531" s="179" t="str">
        <f t="array" ref="BD531">IF($F531&lt;&gt;"", XLOOKUP($F531,Productos!$A$2:$A1001,Productos!AW$2:AW1001,"")*$G531,"")</f>
        <v/>
      </c>
      <c r="BE531" s="179" t="str">
        <f t="array" ref="BE531">IF($F531&lt;&gt;"",XLOOKUP($F531,Productos!$A:$A,Productos!AX:AX,"Revisar"),"")</f>
        <v/>
      </c>
      <c r="BF531" s="179" t="str">
        <f t="array" ref="BF531">IF($F531&lt;&gt;"", XLOOKUP($F531,Productos!$A$2:$A1001,Productos!AY$2:AY1001,"")*$G531,"")</f>
        <v/>
      </c>
      <c r="BG531" s="179" t="str">
        <f t="array" ref="BG531">IF($F531&lt;&gt;"",XLOOKUP($F531,Productos!$A:$A,Productos!AZ:AZ,"Revisar"),"")</f>
        <v/>
      </c>
      <c r="BH531" s="179" t="str">
        <f t="array" ref="BH531">IF($F531&lt;&gt;"", XLOOKUP($F531,Productos!$A$2:$A1001,Productos!BA$2:BA1001,"")*$G531,"")</f>
        <v/>
      </c>
      <c r="BI531" s="179" t="str">
        <f t="array" ref="BI531">IF($F531&lt;&gt;"",XLOOKUP($F531,Productos!$A:$A,Productos!BB:BB,"Revisar"),"")</f>
        <v/>
      </c>
      <c r="BJ531" s="179" t="str">
        <f t="array" ref="BJ531">IF($F531&lt;&gt;"", XLOOKUP($F531,Productos!$A$2:$A1001,Productos!BC$2:BC1001,"")*$G531,"")</f>
        <v/>
      </c>
      <c r="BK531" s="179" t="str">
        <f t="array" ref="BK531">IF($F531&lt;&gt;"",XLOOKUP($F531,Productos!$A:$A,Productos!BD:BD,"Revisar"),"")</f>
        <v/>
      </c>
      <c r="BL531" s="179" t="str">
        <f t="array" ref="BL531">IF($F531&lt;&gt;"", XLOOKUP($F531,Productos!$A$2:$A1001,Productos!BE$2:BE1001,"")*$G531,"")</f>
        <v/>
      </c>
      <c r="BM531" s="179" t="str">
        <f t="array" ref="BM531">IF($F531&lt;&gt;"",XLOOKUP($F531,Productos!$A:$A,Productos!BF:BF,"Revisar"),"")</f>
        <v/>
      </c>
      <c r="BN531" s="179" t="str">
        <f t="array" ref="BN531">IF($F531&lt;&gt;"", XLOOKUP($F531,Productos!$A$2:$A1001,Productos!BG$2:BG1001,"")*$G531,"")</f>
        <v/>
      </c>
      <c r="BO531" s="179" t="str">
        <f t="array" ref="BO531">IF($F531&lt;&gt;"",XLOOKUP($F531,Productos!$A:$A,Productos!BH:BH,"Revisar"),"")</f>
        <v/>
      </c>
      <c r="BP531" s="179" t="str">
        <f t="array" ref="BP531">IF($F531&lt;&gt;"", XLOOKUP($F531,Productos!$A$2:$A1001,Productos!BI$2:BI1001,"")*$G531,"")</f>
        <v/>
      </c>
      <c r="BQ531" s="179" t="str">
        <f t="array" ref="BQ531">IF($F531&lt;&gt;"",XLOOKUP($F531,Productos!$A:$A,Productos!BJ:BJ,"Revisar"),"")</f>
        <v/>
      </c>
      <c r="BR531" s="179" t="str">
        <f t="array" ref="BR531">IF($F531&lt;&gt;"", XLOOKUP($F531,Productos!$A$2:$A1001,Productos!BK$2:BK1001,"")*$G531,"")</f>
        <v/>
      </c>
      <c r="BS531" s="179" t="str">
        <f t="array" ref="BS531">IF($F531&lt;&gt;"",XLOOKUP($F531,Productos!$A:$A,Productos!BL:BL,"Revisar"),"")</f>
        <v/>
      </c>
      <c r="BT531" s="179" t="str">
        <f t="array" ref="BT531">IF($F531&lt;&gt;"", XLOOKUP($F531,Productos!$A$2:$A1001,Productos!BM$2:BM1001,"")*$G531,"")</f>
        <v/>
      </c>
      <c r="BU531" s="179" t="str">
        <f t="array" ref="BU531">IF($F531&lt;&gt;"",XLOOKUP($F531,Productos!$A:$A,Productos!BN:BN,"Revisar"),"")</f>
        <v/>
      </c>
      <c r="BV531" s="179" t="str">
        <f t="array" ref="BV531">IF($F531&lt;&gt;"", XLOOKUP($F531,Productos!$A$2:$A1001,Productos!BO$2:BO1001,"")*$G531,"")</f>
        <v/>
      </c>
      <c r="BW531" s="179" t="str">
        <f t="array" ref="BW531">IF($F531&lt;&gt;"",XLOOKUP($F531,Productos!$A:$A,Productos!BP:BP,"Revisar"),"")</f>
        <v/>
      </c>
      <c r="BX531" s="179" t="str">
        <f t="array" ref="BX531">IF($F531&lt;&gt;"", XLOOKUP($F531,Productos!$A$2:$A1001,Productos!BQ$2:BQ1001,"")*$G531,"")</f>
        <v/>
      </c>
      <c r="BY531" s="179" t="str">
        <f t="array" ref="BY531">IF($F531&lt;&gt;"",XLOOKUP($F531,Productos!$A:$A,Productos!BR:BR,"Revisar"),"")</f>
        <v/>
      </c>
      <c r="BZ531" s="179" t="str">
        <f t="array" ref="BZ531">IF($F531&lt;&gt;"", XLOOKUP($F531,Productos!$A$2:$A1001,Productos!BS$2:BS1001,"")*$G531,"")</f>
        <v/>
      </c>
    </row>
    <row r="532">
      <c r="A532" s="188"/>
      <c r="B532" s="189"/>
      <c r="C532" s="190"/>
      <c r="D532" s="190"/>
      <c r="E532" s="191"/>
      <c r="F532" s="186"/>
      <c r="G532" s="192"/>
      <c r="H532" s="9"/>
      <c r="I532" s="179" t="str">
        <f t="array" ref="I532">IF($F532&lt;&gt;"",XLOOKUP($F532,Productos!$A:$A,Productos!B:B,"Revisar"),"")</f>
        <v/>
      </c>
      <c r="J532" s="179" t="str">
        <f t="array" ref="J532">IF($F532&lt;&gt;"", XLOOKUP($F532,Productos!$A$2:$A1001,Productos!C$2:C1001,"")*$G532,"")</f>
        <v/>
      </c>
      <c r="K532" s="179" t="str">
        <f t="array" ref="K532">IF($F532&lt;&gt;"",XLOOKUP($F532,Productos!$A:$A,Productos!D:D,"Revisar"),"")</f>
        <v/>
      </c>
      <c r="L532" s="179" t="str">
        <f t="array" ref="L532">IF($F532&lt;&gt;"", XLOOKUP($F532,Productos!$A$2:$A1001,Productos!E$2:E1001,"")*$G532,"")</f>
        <v/>
      </c>
      <c r="M532" s="179" t="str">
        <f t="array" ref="M532">IF($F532&lt;&gt;"",XLOOKUP($F532,Productos!$A:$A,Productos!F:F,"Revisar"),"")</f>
        <v/>
      </c>
      <c r="N532" s="179" t="str">
        <f t="array" ref="N532">IF($F532&lt;&gt;"", XLOOKUP($F532,Productos!$A$2:$A1001,Productos!G$2:G1001,"")*$G532,"")</f>
        <v/>
      </c>
      <c r="O532" s="179" t="str">
        <f t="array" ref="O532">IF($F532&lt;&gt;"",XLOOKUP($F532,Productos!$A:$A,Productos!H:H,"Revisar"),"")</f>
        <v/>
      </c>
      <c r="P532" s="179" t="str">
        <f t="array" ref="P532">IF($F532&lt;&gt;"", XLOOKUP($F532,Productos!$A$2:$A1001,Productos!I$2:I1001,"")*$G532,"")</f>
        <v/>
      </c>
      <c r="Q532" s="179" t="str">
        <f t="array" ref="Q532">IF($F532&lt;&gt;"",XLOOKUP($F532,Productos!$A:$A,Productos!J:J,"Revisar"),"")</f>
        <v/>
      </c>
      <c r="R532" s="179" t="str">
        <f t="array" ref="R532">IF($F532&lt;&gt;"", XLOOKUP($F532,Productos!$A$2:$A1001,Productos!K$2:K1001,"")*$G532,"")</f>
        <v/>
      </c>
      <c r="S532" s="179" t="str">
        <f t="array" ref="S532">IF($F532&lt;&gt;"",XLOOKUP($F532,Productos!$A:$A,Productos!L:L,"Revisar"),"")</f>
        <v/>
      </c>
      <c r="T532" s="179" t="str">
        <f t="array" ref="T532">IF($F532&lt;&gt;"", XLOOKUP($F532,Productos!$A$2:$A1001,Productos!M$2:M1001,"")*$G532,"")</f>
        <v/>
      </c>
      <c r="U532" s="179" t="str">
        <f t="array" ref="U532">IF($F532&lt;&gt;"",XLOOKUP($F532,Productos!$A:$A,Productos!N:N,"Revisar"),"")</f>
        <v/>
      </c>
      <c r="V532" s="179" t="str">
        <f t="array" ref="V532">IF($F532&lt;&gt;"", XLOOKUP($F532,Productos!$A$2:$A1001,Productos!O$2:O1001,"")*$G532,"")</f>
        <v/>
      </c>
      <c r="W532" s="179" t="str">
        <f t="array" ref="W532">IF($F532&lt;&gt;"",XLOOKUP($F532,Productos!$A:$A,Productos!P:P,"Revisar"),"")</f>
        <v/>
      </c>
      <c r="X532" s="179" t="str">
        <f t="array" ref="X532">IF($F532&lt;&gt;"", XLOOKUP($F532,Productos!$A$2:$A1001,Productos!Q$2:Q1001,"")*$G532,"")</f>
        <v/>
      </c>
      <c r="Y532" s="179" t="str">
        <f t="array" ref="Y532">IF($F532&lt;&gt;"",XLOOKUP($F532,Productos!$A:$A,Productos!R:R,"Revisar"),"")</f>
        <v/>
      </c>
      <c r="Z532" s="179" t="str">
        <f t="array" ref="Z532">IF($F532&lt;&gt;"", XLOOKUP($F532,Productos!$A$2:$A1001,Productos!S$2:S1001,"")*$G532,"")</f>
        <v/>
      </c>
      <c r="AA532" s="179" t="str">
        <f t="array" ref="AA532">IF($F532&lt;&gt;"",XLOOKUP($F532,Productos!$A:$A,Productos!T:T,"Revisar"),"")</f>
        <v/>
      </c>
      <c r="AB532" s="179" t="str">
        <f t="array" ref="AB532">IF($F532&lt;&gt;"", XLOOKUP($F532,Productos!$A$2:$A1001,Productos!U$2:U1001,"")*$G532,"")</f>
        <v/>
      </c>
      <c r="AC532" s="179" t="str">
        <f t="array" ref="AC532">IF($F532&lt;&gt;"",XLOOKUP($F532,Productos!$A:$A,Productos!V:V,"Revisar"),"")</f>
        <v/>
      </c>
      <c r="AD532" s="179" t="str">
        <f t="array" ref="AD532">IF($F532&lt;&gt;"", XLOOKUP($F532,Productos!$A$2:$A1001,Productos!W$2:W1001,"")*$G532,"")</f>
        <v/>
      </c>
      <c r="AE532" s="179" t="str">
        <f t="array" ref="AE532">IF($F532&lt;&gt;"",XLOOKUP($F532,Productos!$A:$A,Productos!X:X,"Revisar"),"")</f>
        <v/>
      </c>
      <c r="AF532" s="179" t="str">
        <f t="array" ref="AF532">IF($F532&lt;&gt;"", XLOOKUP($F532,Productos!$A$2:$A1001,Productos!Y$2:Y1001,"")*$G532,"")</f>
        <v/>
      </c>
      <c r="AG532" s="179" t="str">
        <f t="array" ref="AG532">IF($F532&lt;&gt;"",XLOOKUP($F532,Productos!$A:$A,Productos!Z:Z,"Revisar"),"")</f>
        <v/>
      </c>
      <c r="AH532" s="179" t="str">
        <f t="array" ref="AH532">IF($F532&lt;&gt;"", XLOOKUP($F532,Productos!$A$2:$A1001,Productos!AA$2:AA1001,"")*$G532,"")</f>
        <v/>
      </c>
      <c r="AI532" s="179" t="str">
        <f t="array" ref="AI532">IF($F532&lt;&gt;"",XLOOKUP($F532,Productos!$A:$A,Productos!AB:AB,"Revisar"),"")</f>
        <v/>
      </c>
      <c r="AJ532" s="179" t="str">
        <f t="array" ref="AJ532">IF($F532&lt;&gt;"", XLOOKUP($F532,Productos!$A$2:$A1001,Productos!AC$2:AC1001,"")*$G532,"")</f>
        <v/>
      </c>
      <c r="AK532" s="179" t="str">
        <f t="array" ref="AK532">IF($F532&lt;&gt;"",XLOOKUP($F532,Productos!$A:$A,Productos!AD:AD,"Revisar"),"")</f>
        <v/>
      </c>
      <c r="AL532" s="179" t="str">
        <f t="array" ref="AL532">IF($F532&lt;&gt;"", XLOOKUP($F532,Productos!$A$2:$A1001,Productos!AE$2:AE1001,"")*$G532,"")</f>
        <v/>
      </c>
      <c r="AM532" s="179" t="str">
        <f t="array" ref="AM532">IF($F532&lt;&gt;"",XLOOKUP($F532,Productos!$A:$A,Productos!AF:AF,"Revisar"),"")</f>
        <v/>
      </c>
      <c r="AN532" s="179" t="str">
        <f t="array" ref="AN532">IF($F532&lt;&gt;"", XLOOKUP($F532,Productos!$A$2:$A1001,Productos!AG$2:AG1001,"")*$G532,"")</f>
        <v/>
      </c>
      <c r="AO532" s="179" t="str">
        <f t="array" ref="AO532">IF($F532&lt;&gt;"",XLOOKUP($F532,Productos!$A:$A,Productos!AH:AH,"Revisar"),"")</f>
        <v/>
      </c>
      <c r="AP532" s="179" t="str">
        <f t="array" ref="AP532">IF($F532&lt;&gt;"", XLOOKUP($F532,Productos!$A$2:$A1001,Productos!AI$2:AI1001,"")*$G532,"")</f>
        <v/>
      </c>
      <c r="AQ532" s="179" t="str">
        <f t="array" ref="AQ532">IF($F532&lt;&gt;"",XLOOKUP($F532,Productos!$A:$A,Productos!AJ:AJ,"Revisar"),"")</f>
        <v/>
      </c>
      <c r="AR532" s="179" t="str">
        <f t="array" ref="AR532">IF($F532&lt;&gt;"", XLOOKUP($F532,Productos!$A$2:$A1001,Productos!AK$2:AK1001,"")*$G532,"")</f>
        <v/>
      </c>
      <c r="AS532" s="179" t="str">
        <f t="array" ref="AS532">IF($F532&lt;&gt;"",XLOOKUP($F532,Productos!$A:$A,Productos!AL:AL,"Revisar"),"")</f>
        <v/>
      </c>
      <c r="AT532" s="179" t="str">
        <f t="array" ref="AT532">IF($F532&lt;&gt;"", XLOOKUP($F532,Productos!$A$2:$A1001,Productos!AM$2:AM1001,"")*$G532,"")</f>
        <v/>
      </c>
      <c r="AU532" s="179" t="str">
        <f t="array" ref="AU532">IF($F532&lt;&gt;"",XLOOKUP($F532,Productos!$A:$A,Productos!AN:AN,"Revisar"),"")</f>
        <v/>
      </c>
      <c r="AV532" s="179" t="str">
        <f t="array" ref="AV532">IF($F532&lt;&gt;"", XLOOKUP($F532,Productos!$A$2:$A1001,Productos!AO$2:AO1001,"")*$G532,"")</f>
        <v/>
      </c>
      <c r="AW532" s="179" t="str">
        <f t="array" ref="AW532">IF($F532&lt;&gt;"",XLOOKUP($F532,Productos!$A:$A,Productos!AP:AP,"Revisar"),"")</f>
        <v/>
      </c>
      <c r="AX532" s="179" t="str">
        <f t="array" ref="AX532">IF($F532&lt;&gt;"", XLOOKUP($F532,Productos!$A$2:$A1001,Productos!AQ$2:AQ1001,"")*$G532,"")</f>
        <v/>
      </c>
      <c r="AY532" s="179" t="str">
        <f t="array" ref="AY532">IF($F532&lt;&gt;"",XLOOKUP($F532,Productos!$A:$A,Productos!AR:AR,"Revisar"),"")</f>
        <v/>
      </c>
      <c r="AZ532" s="179" t="str">
        <f t="array" ref="AZ532">IF($F532&lt;&gt;"", XLOOKUP($F532,Productos!$A$2:$A1001,Productos!AS$2:AS1001,"")*$G532,"")</f>
        <v/>
      </c>
      <c r="BA532" s="179" t="str">
        <f t="array" ref="BA532">IF($F532&lt;&gt;"",XLOOKUP($F532,Productos!$A:$A,Productos!AT:AT,"Revisar"),"")</f>
        <v/>
      </c>
      <c r="BB532" s="179" t="str">
        <f t="array" ref="BB532">IF($F532&lt;&gt;"", XLOOKUP($F532,Productos!$A$2:$A1001,Productos!AU$2:AU1001,"")*$G532,"")</f>
        <v/>
      </c>
      <c r="BC532" s="179" t="str">
        <f t="array" ref="BC532">IF($F532&lt;&gt;"",XLOOKUP($F532,Productos!$A:$A,Productos!AV:AV,"Revisar"),"")</f>
        <v/>
      </c>
      <c r="BD532" s="179" t="str">
        <f t="array" ref="BD532">IF($F532&lt;&gt;"", XLOOKUP($F532,Productos!$A$2:$A1001,Productos!AW$2:AW1001,"")*$G532,"")</f>
        <v/>
      </c>
      <c r="BE532" s="179" t="str">
        <f t="array" ref="BE532">IF($F532&lt;&gt;"",XLOOKUP($F532,Productos!$A:$A,Productos!AX:AX,"Revisar"),"")</f>
        <v/>
      </c>
      <c r="BF532" s="179" t="str">
        <f t="array" ref="BF532">IF($F532&lt;&gt;"", XLOOKUP($F532,Productos!$A$2:$A1001,Productos!AY$2:AY1001,"")*$G532,"")</f>
        <v/>
      </c>
      <c r="BG532" s="179" t="str">
        <f t="array" ref="BG532">IF($F532&lt;&gt;"",XLOOKUP($F532,Productos!$A:$A,Productos!AZ:AZ,"Revisar"),"")</f>
        <v/>
      </c>
      <c r="BH532" s="179" t="str">
        <f t="array" ref="BH532">IF($F532&lt;&gt;"", XLOOKUP($F532,Productos!$A$2:$A1001,Productos!BA$2:BA1001,"")*$G532,"")</f>
        <v/>
      </c>
      <c r="BI532" s="179" t="str">
        <f t="array" ref="BI532">IF($F532&lt;&gt;"",XLOOKUP($F532,Productos!$A:$A,Productos!BB:BB,"Revisar"),"")</f>
        <v/>
      </c>
      <c r="BJ532" s="179" t="str">
        <f t="array" ref="BJ532">IF($F532&lt;&gt;"", XLOOKUP($F532,Productos!$A$2:$A1001,Productos!BC$2:BC1001,"")*$G532,"")</f>
        <v/>
      </c>
      <c r="BK532" s="179" t="str">
        <f t="array" ref="BK532">IF($F532&lt;&gt;"",XLOOKUP($F532,Productos!$A:$A,Productos!BD:BD,"Revisar"),"")</f>
        <v/>
      </c>
      <c r="BL532" s="179" t="str">
        <f t="array" ref="BL532">IF($F532&lt;&gt;"", XLOOKUP($F532,Productos!$A$2:$A1001,Productos!BE$2:BE1001,"")*$G532,"")</f>
        <v/>
      </c>
      <c r="BM532" s="179" t="str">
        <f t="array" ref="BM532">IF($F532&lt;&gt;"",XLOOKUP($F532,Productos!$A:$A,Productos!BF:BF,"Revisar"),"")</f>
        <v/>
      </c>
      <c r="BN532" s="179" t="str">
        <f t="array" ref="BN532">IF($F532&lt;&gt;"", XLOOKUP($F532,Productos!$A$2:$A1001,Productos!BG$2:BG1001,"")*$G532,"")</f>
        <v/>
      </c>
      <c r="BO532" s="179" t="str">
        <f t="array" ref="BO532">IF($F532&lt;&gt;"",XLOOKUP($F532,Productos!$A:$A,Productos!BH:BH,"Revisar"),"")</f>
        <v/>
      </c>
      <c r="BP532" s="179" t="str">
        <f t="array" ref="BP532">IF($F532&lt;&gt;"", XLOOKUP($F532,Productos!$A$2:$A1001,Productos!BI$2:BI1001,"")*$G532,"")</f>
        <v/>
      </c>
      <c r="BQ532" s="179" t="str">
        <f t="array" ref="BQ532">IF($F532&lt;&gt;"",XLOOKUP($F532,Productos!$A:$A,Productos!BJ:BJ,"Revisar"),"")</f>
        <v/>
      </c>
      <c r="BR532" s="179" t="str">
        <f t="array" ref="BR532">IF($F532&lt;&gt;"", XLOOKUP($F532,Productos!$A$2:$A1001,Productos!BK$2:BK1001,"")*$G532,"")</f>
        <v/>
      </c>
      <c r="BS532" s="179" t="str">
        <f t="array" ref="BS532">IF($F532&lt;&gt;"",XLOOKUP($F532,Productos!$A:$A,Productos!BL:BL,"Revisar"),"")</f>
        <v/>
      </c>
      <c r="BT532" s="179" t="str">
        <f t="array" ref="BT532">IF($F532&lt;&gt;"", XLOOKUP($F532,Productos!$A$2:$A1001,Productos!BM$2:BM1001,"")*$G532,"")</f>
        <v/>
      </c>
      <c r="BU532" s="179" t="str">
        <f t="array" ref="BU532">IF($F532&lt;&gt;"",XLOOKUP($F532,Productos!$A:$A,Productos!BN:BN,"Revisar"),"")</f>
        <v/>
      </c>
      <c r="BV532" s="179" t="str">
        <f t="array" ref="BV532">IF($F532&lt;&gt;"", XLOOKUP($F532,Productos!$A$2:$A1001,Productos!BO$2:BO1001,"")*$G532,"")</f>
        <v/>
      </c>
      <c r="BW532" s="179" t="str">
        <f t="array" ref="BW532">IF($F532&lt;&gt;"",XLOOKUP($F532,Productos!$A:$A,Productos!BP:BP,"Revisar"),"")</f>
        <v/>
      </c>
      <c r="BX532" s="179" t="str">
        <f t="array" ref="BX532">IF($F532&lt;&gt;"", XLOOKUP($F532,Productos!$A$2:$A1001,Productos!BQ$2:BQ1001,"")*$G532,"")</f>
        <v/>
      </c>
      <c r="BY532" s="179" t="str">
        <f t="array" ref="BY532">IF($F532&lt;&gt;"",XLOOKUP($F532,Productos!$A:$A,Productos!BR:BR,"Revisar"),"")</f>
        <v/>
      </c>
      <c r="BZ532" s="179" t="str">
        <f t="array" ref="BZ532">IF($F532&lt;&gt;"", XLOOKUP($F532,Productos!$A$2:$A1001,Productos!BS$2:BS1001,"")*$G532,"")</f>
        <v/>
      </c>
    </row>
    <row r="533">
      <c r="A533" s="188"/>
      <c r="B533" s="189"/>
      <c r="C533" s="190"/>
      <c r="D533" s="190"/>
      <c r="E533" s="191"/>
      <c r="F533" s="186"/>
      <c r="G533" s="192"/>
      <c r="H533" s="9"/>
      <c r="I533" s="179" t="str">
        <f t="array" ref="I533">IF($F533&lt;&gt;"",XLOOKUP($F533,Productos!$A:$A,Productos!B:B,"Revisar"),"")</f>
        <v/>
      </c>
      <c r="J533" s="179" t="str">
        <f t="array" ref="J533">IF($F533&lt;&gt;"", XLOOKUP($F533,Productos!$A$2:$A1001,Productos!C$2:C1001,"")*$G533,"")</f>
        <v/>
      </c>
      <c r="K533" s="179" t="str">
        <f t="array" ref="K533">IF($F533&lt;&gt;"",XLOOKUP($F533,Productos!$A:$A,Productos!D:D,"Revisar"),"")</f>
        <v/>
      </c>
      <c r="L533" s="179" t="str">
        <f t="array" ref="L533">IF($F533&lt;&gt;"", XLOOKUP($F533,Productos!$A$2:$A1001,Productos!E$2:E1001,"")*$G533,"")</f>
        <v/>
      </c>
      <c r="M533" s="179" t="str">
        <f t="array" ref="M533">IF($F533&lt;&gt;"",XLOOKUP($F533,Productos!$A:$A,Productos!F:F,"Revisar"),"")</f>
        <v/>
      </c>
      <c r="N533" s="179" t="str">
        <f t="array" ref="N533">IF($F533&lt;&gt;"", XLOOKUP($F533,Productos!$A$2:$A1001,Productos!G$2:G1001,"")*$G533,"")</f>
        <v/>
      </c>
      <c r="O533" s="179" t="str">
        <f t="array" ref="O533">IF($F533&lt;&gt;"",XLOOKUP($F533,Productos!$A:$A,Productos!H:H,"Revisar"),"")</f>
        <v/>
      </c>
      <c r="P533" s="179" t="str">
        <f t="array" ref="P533">IF($F533&lt;&gt;"", XLOOKUP($F533,Productos!$A$2:$A1001,Productos!I$2:I1001,"")*$G533,"")</f>
        <v/>
      </c>
      <c r="Q533" s="179" t="str">
        <f t="array" ref="Q533">IF($F533&lt;&gt;"",XLOOKUP($F533,Productos!$A:$A,Productos!J:J,"Revisar"),"")</f>
        <v/>
      </c>
      <c r="R533" s="179" t="str">
        <f t="array" ref="R533">IF($F533&lt;&gt;"", XLOOKUP($F533,Productos!$A$2:$A1001,Productos!K$2:K1001,"")*$G533,"")</f>
        <v/>
      </c>
      <c r="S533" s="179" t="str">
        <f t="array" ref="S533">IF($F533&lt;&gt;"",XLOOKUP($F533,Productos!$A:$A,Productos!L:L,"Revisar"),"")</f>
        <v/>
      </c>
      <c r="T533" s="179" t="str">
        <f t="array" ref="T533">IF($F533&lt;&gt;"", XLOOKUP($F533,Productos!$A$2:$A1001,Productos!M$2:M1001,"")*$G533,"")</f>
        <v/>
      </c>
      <c r="U533" s="179" t="str">
        <f t="array" ref="U533">IF($F533&lt;&gt;"",XLOOKUP($F533,Productos!$A:$A,Productos!N:N,"Revisar"),"")</f>
        <v/>
      </c>
      <c r="V533" s="179" t="str">
        <f t="array" ref="V533">IF($F533&lt;&gt;"", XLOOKUP($F533,Productos!$A$2:$A1001,Productos!O$2:O1001,"")*$G533,"")</f>
        <v/>
      </c>
      <c r="W533" s="179" t="str">
        <f t="array" ref="W533">IF($F533&lt;&gt;"",XLOOKUP($F533,Productos!$A:$A,Productos!P:P,"Revisar"),"")</f>
        <v/>
      </c>
      <c r="X533" s="179" t="str">
        <f t="array" ref="X533">IF($F533&lt;&gt;"", XLOOKUP($F533,Productos!$A$2:$A1001,Productos!Q$2:Q1001,"")*$G533,"")</f>
        <v/>
      </c>
      <c r="Y533" s="179" t="str">
        <f t="array" ref="Y533">IF($F533&lt;&gt;"",XLOOKUP($F533,Productos!$A:$A,Productos!R:R,"Revisar"),"")</f>
        <v/>
      </c>
      <c r="Z533" s="179" t="str">
        <f t="array" ref="Z533">IF($F533&lt;&gt;"", XLOOKUP($F533,Productos!$A$2:$A1001,Productos!S$2:S1001,"")*$G533,"")</f>
        <v/>
      </c>
      <c r="AA533" s="179" t="str">
        <f t="array" ref="AA533">IF($F533&lt;&gt;"",XLOOKUP($F533,Productos!$A:$A,Productos!T:T,"Revisar"),"")</f>
        <v/>
      </c>
      <c r="AB533" s="179" t="str">
        <f t="array" ref="AB533">IF($F533&lt;&gt;"", XLOOKUP($F533,Productos!$A$2:$A1001,Productos!U$2:U1001,"")*$G533,"")</f>
        <v/>
      </c>
      <c r="AC533" s="179" t="str">
        <f t="array" ref="AC533">IF($F533&lt;&gt;"",XLOOKUP($F533,Productos!$A:$A,Productos!V:V,"Revisar"),"")</f>
        <v/>
      </c>
      <c r="AD533" s="179" t="str">
        <f t="array" ref="AD533">IF($F533&lt;&gt;"", XLOOKUP($F533,Productos!$A$2:$A1001,Productos!W$2:W1001,"")*$G533,"")</f>
        <v/>
      </c>
      <c r="AE533" s="179" t="str">
        <f t="array" ref="AE533">IF($F533&lt;&gt;"",XLOOKUP($F533,Productos!$A:$A,Productos!X:X,"Revisar"),"")</f>
        <v/>
      </c>
      <c r="AF533" s="179" t="str">
        <f t="array" ref="AF533">IF($F533&lt;&gt;"", XLOOKUP($F533,Productos!$A$2:$A1001,Productos!Y$2:Y1001,"")*$G533,"")</f>
        <v/>
      </c>
      <c r="AG533" s="179" t="str">
        <f t="array" ref="AG533">IF($F533&lt;&gt;"",XLOOKUP($F533,Productos!$A:$A,Productos!Z:Z,"Revisar"),"")</f>
        <v/>
      </c>
      <c r="AH533" s="179" t="str">
        <f t="array" ref="AH533">IF($F533&lt;&gt;"", XLOOKUP($F533,Productos!$A$2:$A1001,Productos!AA$2:AA1001,"")*$G533,"")</f>
        <v/>
      </c>
      <c r="AI533" s="179" t="str">
        <f t="array" ref="AI533">IF($F533&lt;&gt;"",XLOOKUP($F533,Productos!$A:$A,Productos!AB:AB,"Revisar"),"")</f>
        <v/>
      </c>
      <c r="AJ533" s="179" t="str">
        <f t="array" ref="AJ533">IF($F533&lt;&gt;"", XLOOKUP($F533,Productos!$A$2:$A1001,Productos!AC$2:AC1001,"")*$G533,"")</f>
        <v/>
      </c>
      <c r="AK533" s="179" t="str">
        <f t="array" ref="AK533">IF($F533&lt;&gt;"",XLOOKUP($F533,Productos!$A:$A,Productos!AD:AD,"Revisar"),"")</f>
        <v/>
      </c>
      <c r="AL533" s="179" t="str">
        <f t="array" ref="AL533">IF($F533&lt;&gt;"", XLOOKUP($F533,Productos!$A$2:$A1001,Productos!AE$2:AE1001,"")*$G533,"")</f>
        <v/>
      </c>
      <c r="AM533" s="179" t="str">
        <f t="array" ref="AM533">IF($F533&lt;&gt;"",XLOOKUP($F533,Productos!$A:$A,Productos!AF:AF,"Revisar"),"")</f>
        <v/>
      </c>
      <c r="AN533" s="179" t="str">
        <f t="array" ref="AN533">IF($F533&lt;&gt;"", XLOOKUP($F533,Productos!$A$2:$A1001,Productos!AG$2:AG1001,"")*$G533,"")</f>
        <v/>
      </c>
      <c r="AO533" s="179" t="str">
        <f t="array" ref="AO533">IF($F533&lt;&gt;"",XLOOKUP($F533,Productos!$A:$A,Productos!AH:AH,"Revisar"),"")</f>
        <v/>
      </c>
      <c r="AP533" s="179" t="str">
        <f t="array" ref="AP533">IF($F533&lt;&gt;"", XLOOKUP($F533,Productos!$A$2:$A1001,Productos!AI$2:AI1001,"")*$G533,"")</f>
        <v/>
      </c>
      <c r="AQ533" s="179" t="str">
        <f t="array" ref="AQ533">IF($F533&lt;&gt;"",XLOOKUP($F533,Productos!$A:$A,Productos!AJ:AJ,"Revisar"),"")</f>
        <v/>
      </c>
      <c r="AR533" s="179" t="str">
        <f t="array" ref="AR533">IF($F533&lt;&gt;"", XLOOKUP($F533,Productos!$A$2:$A1001,Productos!AK$2:AK1001,"")*$G533,"")</f>
        <v/>
      </c>
      <c r="AS533" s="179" t="str">
        <f t="array" ref="AS533">IF($F533&lt;&gt;"",XLOOKUP($F533,Productos!$A:$A,Productos!AL:AL,"Revisar"),"")</f>
        <v/>
      </c>
      <c r="AT533" s="179" t="str">
        <f t="array" ref="AT533">IF($F533&lt;&gt;"", XLOOKUP($F533,Productos!$A$2:$A1001,Productos!AM$2:AM1001,"")*$G533,"")</f>
        <v/>
      </c>
      <c r="AU533" s="179" t="str">
        <f t="array" ref="AU533">IF($F533&lt;&gt;"",XLOOKUP($F533,Productos!$A:$A,Productos!AN:AN,"Revisar"),"")</f>
        <v/>
      </c>
      <c r="AV533" s="179" t="str">
        <f t="array" ref="AV533">IF($F533&lt;&gt;"", XLOOKUP($F533,Productos!$A$2:$A1001,Productos!AO$2:AO1001,"")*$G533,"")</f>
        <v/>
      </c>
      <c r="AW533" s="179" t="str">
        <f t="array" ref="AW533">IF($F533&lt;&gt;"",XLOOKUP($F533,Productos!$A:$A,Productos!AP:AP,"Revisar"),"")</f>
        <v/>
      </c>
      <c r="AX533" s="179" t="str">
        <f t="array" ref="AX533">IF($F533&lt;&gt;"", XLOOKUP($F533,Productos!$A$2:$A1001,Productos!AQ$2:AQ1001,"")*$G533,"")</f>
        <v/>
      </c>
      <c r="AY533" s="179" t="str">
        <f t="array" ref="AY533">IF($F533&lt;&gt;"",XLOOKUP($F533,Productos!$A:$A,Productos!AR:AR,"Revisar"),"")</f>
        <v/>
      </c>
      <c r="AZ533" s="179" t="str">
        <f t="array" ref="AZ533">IF($F533&lt;&gt;"", XLOOKUP($F533,Productos!$A$2:$A1001,Productos!AS$2:AS1001,"")*$G533,"")</f>
        <v/>
      </c>
      <c r="BA533" s="179" t="str">
        <f t="array" ref="BA533">IF($F533&lt;&gt;"",XLOOKUP($F533,Productos!$A:$A,Productos!AT:AT,"Revisar"),"")</f>
        <v/>
      </c>
      <c r="BB533" s="179" t="str">
        <f t="array" ref="BB533">IF($F533&lt;&gt;"", XLOOKUP($F533,Productos!$A$2:$A1001,Productos!AU$2:AU1001,"")*$G533,"")</f>
        <v/>
      </c>
      <c r="BC533" s="179" t="str">
        <f t="array" ref="BC533">IF($F533&lt;&gt;"",XLOOKUP($F533,Productos!$A:$A,Productos!AV:AV,"Revisar"),"")</f>
        <v/>
      </c>
      <c r="BD533" s="179" t="str">
        <f t="array" ref="BD533">IF($F533&lt;&gt;"", XLOOKUP($F533,Productos!$A$2:$A1001,Productos!AW$2:AW1001,"")*$G533,"")</f>
        <v/>
      </c>
      <c r="BE533" s="179" t="str">
        <f t="array" ref="BE533">IF($F533&lt;&gt;"",XLOOKUP($F533,Productos!$A:$A,Productos!AX:AX,"Revisar"),"")</f>
        <v/>
      </c>
      <c r="BF533" s="179" t="str">
        <f t="array" ref="BF533">IF($F533&lt;&gt;"", XLOOKUP($F533,Productos!$A$2:$A1001,Productos!AY$2:AY1001,"")*$G533,"")</f>
        <v/>
      </c>
      <c r="BG533" s="179" t="str">
        <f t="array" ref="BG533">IF($F533&lt;&gt;"",XLOOKUP($F533,Productos!$A:$A,Productos!AZ:AZ,"Revisar"),"")</f>
        <v/>
      </c>
      <c r="BH533" s="179" t="str">
        <f t="array" ref="BH533">IF($F533&lt;&gt;"", XLOOKUP($F533,Productos!$A$2:$A1001,Productos!BA$2:BA1001,"")*$G533,"")</f>
        <v/>
      </c>
      <c r="BI533" s="179" t="str">
        <f t="array" ref="BI533">IF($F533&lt;&gt;"",XLOOKUP($F533,Productos!$A:$A,Productos!BB:BB,"Revisar"),"")</f>
        <v/>
      </c>
      <c r="BJ533" s="179" t="str">
        <f t="array" ref="BJ533">IF($F533&lt;&gt;"", XLOOKUP($F533,Productos!$A$2:$A1001,Productos!BC$2:BC1001,"")*$G533,"")</f>
        <v/>
      </c>
      <c r="BK533" s="179" t="str">
        <f t="array" ref="BK533">IF($F533&lt;&gt;"",XLOOKUP($F533,Productos!$A:$A,Productos!BD:BD,"Revisar"),"")</f>
        <v/>
      </c>
      <c r="BL533" s="179" t="str">
        <f t="array" ref="BL533">IF($F533&lt;&gt;"", XLOOKUP($F533,Productos!$A$2:$A1001,Productos!BE$2:BE1001,"")*$G533,"")</f>
        <v/>
      </c>
      <c r="BM533" s="179" t="str">
        <f t="array" ref="BM533">IF($F533&lt;&gt;"",XLOOKUP($F533,Productos!$A:$A,Productos!BF:BF,"Revisar"),"")</f>
        <v/>
      </c>
      <c r="BN533" s="179" t="str">
        <f t="array" ref="BN533">IF($F533&lt;&gt;"", XLOOKUP($F533,Productos!$A$2:$A1001,Productos!BG$2:BG1001,"")*$G533,"")</f>
        <v/>
      </c>
      <c r="BO533" s="179" t="str">
        <f t="array" ref="BO533">IF($F533&lt;&gt;"",XLOOKUP($F533,Productos!$A:$A,Productos!BH:BH,"Revisar"),"")</f>
        <v/>
      </c>
      <c r="BP533" s="179" t="str">
        <f t="array" ref="BP533">IF($F533&lt;&gt;"", XLOOKUP($F533,Productos!$A$2:$A1001,Productos!BI$2:BI1001,"")*$G533,"")</f>
        <v/>
      </c>
      <c r="BQ533" s="179" t="str">
        <f t="array" ref="BQ533">IF($F533&lt;&gt;"",XLOOKUP($F533,Productos!$A:$A,Productos!BJ:BJ,"Revisar"),"")</f>
        <v/>
      </c>
      <c r="BR533" s="179" t="str">
        <f t="array" ref="BR533">IF($F533&lt;&gt;"", XLOOKUP($F533,Productos!$A$2:$A1001,Productos!BK$2:BK1001,"")*$G533,"")</f>
        <v/>
      </c>
      <c r="BS533" s="179" t="str">
        <f t="array" ref="BS533">IF($F533&lt;&gt;"",XLOOKUP($F533,Productos!$A:$A,Productos!BL:BL,"Revisar"),"")</f>
        <v/>
      </c>
      <c r="BT533" s="179" t="str">
        <f t="array" ref="BT533">IF($F533&lt;&gt;"", XLOOKUP($F533,Productos!$A$2:$A1001,Productos!BM$2:BM1001,"")*$G533,"")</f>
        <v/>
      </c>
      <c r="BU533" s="179" t="str">
        <f t="array" ref="BU533">IF($F533&lt;&gt;"",XLOOKUP($F533,Productos!$A:$A,Productos!BN:BN,"Revisar"),"")</f>
        <v/>
      </c>
      <c r="BV533" s="179" t="str">
        <f t="array" ref="BV533">IF($F533&lt;&gt;"", XLOOKUP($F533,Productos!$A$2:$A1001,Productos!BO$2:BO1001,"")*$G533,"")</f>
        <v/>
      </c>
      <c r="BW533" s="179" t="str">
        <f t="array" ref="BW533">IF($F533&lt;&gt;"",XLOOKUP($F533,Productos!$A:$A,Productos!BP:BP,"Revisar"),"")</f>
        <v/>
      </c>
      <c r="BX533" s="179" t="str">
        <f t="array" ref="BX533">IF($F533&lt;&gt;"", XLOOKUP($F533,Productos!$A$2:$A1001,Productos!BQ$2:BQ1001,"")*$G533,"")</f>
        <v/>
      </c>
      <c r="BY533" s="179" t="str">
        <f t="array" ref="BY533">IF($F533&lt;&gt;"",XLOOKUP($F533,Productos!$A:$A,Productos!BR:BR,"Revisar"),"")</f>
        <v/>
      </c>
      <c r="BZ533" s="179" t="str">
        <f t="array" ref="BZ533">IF($F533&lt;&gt;"", XLOOKUP($F533,Productos!$A$2:$A1001,Productos!BS$2:BS1001,"")*$G533,"")</f>
        <v/>
      </c>
    </row>
    <row r="534">
      <c r="A534" s="188"/>
      <c r="B534" s="189"/>
      <c r="C534" s="190"/>
      <c r="D534" s="190"/>
      <c r="E534" s="191"/>
      <c r="F534" s="186"/>
      <c r="G534" s="192"/>
      <c r="H534" s="9"/>
      <c r="I534" s="179" t="str">
        <f t="array" ref="I534">IF($F534&lt;&gt;"",XLOOKUP($F534,Productos!$A:$A,Productos!B:B,"Revisar"),"")</f>
        <v/>
      </c>
      <c r="J534" s="179" t="str">
        <f t="array" ref="J534">IF($F534&lt;&gt;"", XLOOKUP($F534,Productos!$A$2:$A1001,Productos!C$2:C1001,"")*$G534,"")</f>
        <v/>
      </c>
      <c r="K534" s="179" t="str">
        <f t="array" ref="K534">IF($F534&lt;&gt;"",XLOOKUP($F534,Productos!$A:$A,Productos!D:D,"Revisar"),"")</f>
        <v/>
      </c>
      <c r="L534" s="179" t="str">
        <f t="array" ref="L534">IF($F534&lt;&gt;"", XLOOKUP($F534,Productos!$A$2:$A1001,Productos!E$2:E1001,"")*$G534,"")</f>
        <v/>
      </c>
      <c r="M534" s="179" t="str">
        <f t="array" ref="M534">IF($F534&lt;&gt;"",XLOOKUP($F534,Productos!$A:$A,Productos!F:F,"Revisar"),"")</f>
        <v/>
      </c>
      <c r="N534" s="179" t="str">
        <f t="array" ref="N534">IF($F534&lt;&gt;"", XLOOKUP($F534,Productos!$A$2:$A1001,Productos!G$2:G1001,"")*$G534,"")</f>
        <v/>
      </c>
      <c r="O534" s="179" t="str">
        <f t="array" ref="O534">IF($F534&lt;&gt;"",XLOOKUP($F534,Productos!$A:$A,Productos!H:H,"Revisar"),"")</f>
        <v/>
      </c>
      <c r="P534" s="179" t="str">
        <f t="array" ref="P534">IF($F534&lt;&gt;"", XLOOKUP($F534,Productos!$A$2:$A1001,Productos!I$2:I1001,"")*$G534,"")</f>
        <v/>
      </c>
      <c r="Q534" s="179" t="str">
        <f t="array" ref="Q534">IF($F534&lt;&gt;"",XLOOKUP($F534,Productos!$A:$A,Productos!J:J,"Revisar"),"")</f>
        <v/>
      </c>
      <c r="R534" s="179" t="str">
        <f t="array" ref="R534">IF($F534&lt;&gt;"", XLOOKUP($F534,Productos!$A$2:$A1001,Productos!K$2:K1001,"")*$G534,"")</f>
        <v/>
      </c>
      <c r="S534" s="179" t="str">
        <f t="array" ref="S534">IF($F534&lt;&gt;"",XLOOKUP($F534,Productos!$A:$A,Productos!L:L,"Revisar"),"")</f>
        <v/>
      </c>
      <c r="T534" s="179" t="str">
        <f t="array" ref="T534">IF($F534&lt;&gt;"", XLOOKUP($F534,Productos!$A$2:$A1001,Productos!M$2:M1001,"")*$G534,"")</f>
        <v/>
      </c>
      <c r="U534" s="179" t="str">
        <f t="array" ref="U534">IF($F534&lt;&gt;"",XLOOKUP($F534,Productos!$A:$A,Productos!N:N,"Revisar"),"")</f>
        <v/>
      </c>
      <c r="V534" s="179" t="str">
        <f t="array" ref="V534">IF($F534&lt;&gt;"", XLOOKUP($F534,Productos!$A$2:$A1001,Productos!O$2:O1001,"")*$G534,"")</f>
        <v/>
      </c>
      <c r="W534" s="179" t="str">
        <f t="array" ref="W534">IF($F534&lt;&gt;"",XLOOKUP($F534,Productos!$A:$A,Productos!P:P,"Revisar"),"")</f>
        <v/>
      </c>
      <c r="X534" s="179" t="str">
        <f t="array" ref="X534">IF($F534&lt;&gt;"", XLOOKUP($F534,Productos!$A$2:$A1001,Productos!Q$2:Q1001,"")*$G534,"")</f>
        <v/>
      </c>
      <c r="Y534" s="179" t="str">
        <f t="array" ref="Y534">IF($F534&lt;&gt;"",XLOOKUP($F534,Productos!$A:$A,Productos!R:R,"Revisar"),"")</f>
        <v/>
      </c>
      <c r="Z534" s="179" t="str">
        <f t="array" ref="Z534">IF($F534&lt;&gt;"", XLOOKUP($F534,Productos!$A$2:$A1001,Productos!S$2:S1001,"")*$G534,"")</f>
        <v/>
      </c>
      <c r="AA534" s="179" t="str">
        <f t="array" ref="AA534">IF($F534&lt;&gt;"",XLOOKUP($F534,Productos!$A:$A,Productos!T:T,"Revisar"),"")</f>
        <v/>
      </c>
      <c r="AB534" s="179" t="str">
        <f t="array" ref="AB534">IF($F534&lt;&gt;"", XLOOKUP($F534,Productos!$A$2:$A1001,Productos!U$2:U1001,"")*$G534,"")</f>
        <v/>
      </c>
      <c r="AC534" s="179" t="str">
        <f t="array" ref="AC534">IF($F534&lt;&gt;"",XLOOKUP($F534,Productos!$A:$A,Productos!V:V,"Revisar"),"")</f>
        <v/>
      </c>
      <c r="AD534" s="179" t="str">
        <f t="array" ref="AD534">IF($F534&lt;&gt;"", XLOOKUP($F534,Productos!$A$2:$A1001,Productos!W$2:W1001,"")*$G534,"")</f>
        <v/>
      </c>
      <c r="AE534" s="179" t="str">
        <f t="array" ref="AE534">IF($F534&lt;&gt;"",XLOOKUP($F534,Productos!$A:$A,Productos!X:X,"Revisar"),"")</f>
        <v/>
      </c>
      <c r="AF534" s="179" t="str">
        <f t="array" ref="AF534">IF($F534&lt;&gt;"", XLOOKUP($F534,Productos!$A$2:$A1001,Productos!Y$2:Y1001,"")*$G534,"")</f>
        <v/>
      </c>
      <c r="AG534" s="179" t="str">
        <f t="array" ref="AG534">IF($F534&lt;&gt;"",XLOOKUP($F534,Productos!$A:$A,Productos!Z:Z,"Revisar"),"")</f>
        <v/>
      </c>
      <c r="AH534" s="179" t="str">
        <f t="array" ref="AH534">IF($F534&lt;&gt;"", XLOOKUP($F534,Productos!$A$2:$A1001,Productos!AA$2:AA1001,"")*$G534,"")</f>
        <v/>
      </c>
      <c r="AI534" s="179" t="str">
        <f t="array" ref="AI534">IF($F534&lt;&gt;"",XLOOKUP($F534,Productos!$A:$A,Productos!AB:AB,"Revisar"),"")</f>
        <v/>
      </c>
      <c r="AJ534" s="179" t="str">
        <f t="array" ref="AJ534">IF($F534&lt;&gt;"", XLOOKUP($F534,Productos!$A$2:$A1001,Productos!AC$2:AC1001,"")*$G534,"")</f>
        <v/>
      </c>
      <c r="AK534" s="179" t="str">
        <f t="array" ref="AK534">IF($F534&lt;&gt;"",XLOOKUP($F534,Productos!$A:$A,Productos!AD:AD,"Revisar"),"")</f>
        <v/>
      </c>
      <c r="AL534" s="179" t="str">
        <f t="array" ref="AL534">IF($F534&lt;&gt;"", XLOOKUP($F534,Productos!$A$2:$A1001,Productos!AE$2:AE1001,"")*$G534,"")</f>
        <v/>
      </c>
      <c r="AM534" s="179" t="str">
        <f t="array" ref="AM534">IF($F534&lt;&gt;"",XLOOKUP($F534,Productos!$A:$A,Productos!AF:AF,"Revisar"),"")</f>
        <v/>
      </c>
      <c r="AN534" s="179" t="str">
        <f t="array" ref="AN534">IF($F534&lt;&gt;"", XLOOKUP($F534,Productos!$A$2:$A1001,Productos!AG$2:AG1001,"")*$G534,"")</f>
        <v/>
      </c>
      <c r="AO534" s="179" t="str">
        <f t="array" ref="AO534">IF($F534&lt;&gt;"",XLOOKUP($F534,Productos!$A:$A,Productos!AH:AH,"Revisar"),"")</f>
        <v/>
      </c>
      <c r="AP534" s="179" t="str">
        <f t="array" ref="AP534">IF($F534&lt;&gt;"", XLOOKUP($F534,Productos!$A$2:$A1001,Productos!AI$2:AI1001,"")*$G534,"")</f>
        <v/>
      </c>
      <c r="AQ534" s="179" t="str">
        <f t="array" ref="AQ534">IF($F534&lt;&gt;"",XLOOKUP($F534,Productos!$A:$A,Productos!AJ:AJ,"Revisar"),"")</f>
        <v/>
      </c>
      <c r="AR534" s="179" t="str">
        <f t="array" ref="AR534">IF($F534&lt;&gt;"", XLOOKUP($F534,Productos!$A$2:$A1001,Productos!AK$2:AK1001,"")*$G534,"")</f>
        <v/>
      </c>
      <c r="AS534" s="179" t="str">
        <f t="array" ref="AS534">IF($F534&lt;&gt;"",XLOOKUP($F534,Productos!$A:$A,Productos!AL:AL,"Revisar"),"")</f>
        <v/>
      </c>
      <c r="AT534" s="179" t="str">
        <f t="array" ref="AT534">IF($F534&lt;&gt;"", XLOOKUP($F534,Productos!$A$2:$A1001,Productos!AM$2:AM1001,"")*$G534,"")</f>
        <v/>
      </c>
      <c r="AU534" s="179" t="str">
        <f t="array" ref="AU534">IF($F534&lt;&gt;"",XLOOKUP($F534,Productos!$A:$A,Productos!AN:AN,"Revisar"),"")</f>
        <v/>
      </c>
      <c r="AV534" s="179" t="str">
        <f t="array" ref="AV534">IF($F534&lt;&gt;"", XLOOKUP($F534,Productos!$A$2:$A1001,Productos!AO$2:AO1001,"")*$G534,"")</f>
        <v/>
      </c>
      <c r="AW534" s="179" t="str">
        <f t="array" ref="AW534">IF($F534&lt;&gt;"",XLOOKUP($F534,Productos!$A:$A,Productos!AP:AP,"Revisar"),"")</f>
        <v/>
      </c>
      <c r="AX534" s="179" t="str">
        <f t="array" ref="AX534">IF($F534&lt;&gt;"", XLOOKUP($F534,Productos!$A$2:$A1001,Productos!AQ$2:AQ1001,"")*$G534,"")</f>
        <v/>
      </c>
      <c r="AY534" s="179" t="str">
        <f t="array" ref="AY534">IF($F534&lt;&gt;"",XLOOKUP($F534,Productos!$A:$A,Productos!AR:AR,"Revisar"),"")</f>
        <v/>
      </c>
      <c r="AZ534" s="179" t="str">
        <f t="array" ref="AZ534">IF($F534&lt;&gt;"", XLOOKUP($F534,Productos!$A$2:$A1001,Productos!AS$2:AS1001,"")*$G534,"")</f>
        <v/>
      </c>
      <c r="BA534" s="179" t="str">
        <f t="array" ref="BA534">IF($F534&lt;&gt;"",XLOOKUP($F534,Productos!$A:$A,Productos!AT:AT,"Revisar"),"")</f>
        <v/>
      </c>
      <c r="BB534" s="179" t="str">
        <f t="array" ref="BB534">IF($F534&lt;&gt;"", XLOOKUP($F534,Productos!$A$2:$A1001,Productos!AU$2:AU1001,"")*$G534,"")</f>
        <v/>
      </c>
      <c r="BC534" s="179" t="str">
        <f t="array" ref="BC534">IF($F534&lt;&gt;"",XLOOKUP($F534,Productos!$A:$A,Productos!AV:AV,"Revisar"),"")</f>
        <v/>
      </c>
      <c r="BD534" s="179" t="str">
        <f t="array" ref="BD534">IF($F534&lt;&gt;"", XLOOKUP($F534,Productos!$A$2:$A1001,Productos!AW$2:AW1001,"")*$G534,"")</f>
        <v/>
      </c>
      <c r="BE534" s="179" t="str">
        <f t="array" ref="BE534">IF($F534&lt;&gt;"",XLOOKUP($F534,Productos!$A:$A,Productos!AX:AX,"Revisar"),"")</f>
        <v/>
      </c>
      <c r="BF534" s="179" t="str">
        <f t="array" ref="BF534">IF($F534&lt;&gt;"", XLOOKUP($F534,Productos!$A$2:$A1001,Productos!AY$2:AY1001,"")*$G534,"")</f>
        <v/>
      </c>
      <c r="BG534" s="179" t="str">
        <f t="array" ref="BG534">IF($F534&lt;&gt;"",XLOOKUP($F534,Productos!$A:$A,Productos!AZ:AZ,"Revisar"),"")</f>
        <v/>
      </c>
      <c r="BH534" s="179" t="str">
        <f t="array" ref="BH534">IF($F534&lt;&gt;"", XLOOKUP($F534,Productos!$A$2:$A1001,Productos!BA$2:BA1001,"")*$G534,"")</f>
        <v/>
      </c>
      <c r="BI534" s="179" t="str">
        <f t="array" ref="BI534">IF($F534&lt;&gt;"",XLOOKUP($F534,Productos!$A:$A,Productos!BB:BB,"Revisar"),"")</f>
        <v/>
      </c>
      <c r="BJ534" s="179" t="str">
        <f t="array" ref="BJ534">IF($F534&lt;&gt;"", XLOOKUP($F534,Productos!$A$2:$A1001,Productos!BC$2:BC1001,"")*$G534,"")</f>
        <v/>
      </c>
      <c r="BK534" s="179" t="str">
        <f t="array" ref="BK534">IF($F534&lt;&gt;"",XLOOKUP($F534,Productos!$A:$A,Productos!BD:BD,"Revisar"),"")</f>
        <v/>
      </c>
      <c r="BL534" s="179" t="str">
        <f t="array" ref="BL534">IF($F534&lt;&gt;"", XLOOKUP($F534,Productos!$A$2:$A1001,Productos!BE$2:BE1001,"")*$G534,"")</f>
        <v/>
      </c>
      <c r="BM534" s="179" t="str">
        <f t="array" ref="BM534">IF($F534&lt;&gt;"",XLOOKUP($F534,Productos!$A:$A,Productos!BF:BF,"Revisar"),"")</f>
        <v/>
      </c>
      <c r="BN534" s="179" t="str">
        <f t="array" ref="BN534">IF($F534&lt;&gt;"", XLOOKUP($F534,Productos!$A$2:$A1001,Productos!BG$2:BG1001,"")*$G534,"")</f>
        <v/>
      </c>
      <c r="BO534" s="179" t="str">
        <f t="array" ref="BO534">IF($F534&lt;&gt;"",XLOOKUP($F534,Productos!$A:$A,Productos!BH:BH,"Revisar"),"")</f>
        <v/>
      </c>
      <c r="BP534" s="179" t="str">
        <f t="array" ref="BP534">IF($F534&lt;&gt;"", XLOOKUP($F534,Productos!$A$2:$A1001,Productos!BI$2:BI1001,"")*$G534,"")</f>
        <v/>
      </c>
      <c r="BQ534" s="179" t="str">
        <f t="array" ref="BQ534">IF($F534&lt;&gt;"",XLOOKUP($F534,Productos!$A:$A,Productos!BJ:BJ,"Revisar"),"")</f>
        <v/>
      </c>
      <c r="BR534" s="179" t="str">
        <f t="array" ref="BR534">IF($F534&lt;&gt;"", XLOOKUP($F534,Productos!$A$2:$A1001,Productos!BK$2:BK1001,"")*$G534,"")</f>
        <v/>
      </c>
      <c r="BS534" s="179" t="str">
        <f t="array" ref="BS534">IF($F534&lt;&gt;"",XLOOKUP($F534,Productos!$A:$A,Productos!BL:BL,"Revisar"),"")</f>
        <v/>
      </c>
      <c r="BT534" s="179" t="str">
        <f t="array" ref="BT534">IF($F534&lt;&gt;"", XLOOKUP($F534,Productos!$A$2:$A1001,Productos!BM$2:BM1001,"")*$G534,"")</f>
        <v/>
      </c>
      <c r="BU534" s="179" t="str">
        <f t="array" ref="BU534">IF($F534&lt;&gt;"",XLOOKUP($F534,Productos!$A:$A,Productos!BN:BN,"Revisar"),"")</f>
        <v/>
      </c>
      <c r="BV534" s="179" t="str">
        <f t="array" ref="BV534">IF($F534&lt;&gt;"", XLOOKUP($F534,Productos!$A$2:$A1001,Productos!BO$2:BO1001,"")*$G534,"")</f>
        <v/>
      </c>
      <c r="BW534" s="179" t="str">
        <f t="array" ref="BW534">IF($F534&lt;&gt;"",XLOOKUP($F534,Productos!$A:$A,Productos!BP:BP,"Revisar"),"")</f>
        <v/>
      </c>
      <c r="BX534" s="179" t="str">
        <f t="array" ref="BX534">IF($F534&lt;&gt;"", XLOOKUP($F534,Productos!$A$2:$A1001,Productos!BQ$2:BQ1001,"")*$G534,"")</f>
        <v/>
      </c>
      <c r="BY534" s="179" t="str">
        <f t="array" ref="BY534">IF($F534&lt;&gt;"",XLOOKUP($F534,Productos!$A:$A,Productos!BR:BR,"Revisar"),"")</f>
        <v/>
      </c>
      <c r="BZ534" s="179" t="str">
        <f t="array" ref="BZ534">IF($F534&lt;&gt;"", XLOOKUP($F534,Productos!$A$2:$A1001,Productos!BS$2:BS1001,"")*$G534,"")</f>
        <v/>
      </c>
    </row>
    <row r="535">
      <c r="A535" s="188"/>
      <c r="B535" s="189"/>
      <c r="C535" s="190"/>
      <c r="D535" s="190"/>
      <c r="E535" s="191"/>
      <c r="F535" s="186"/>
      <c r="G535" s="192"/>
      <c r="H535" s="9"/>
      <c r="I535" s="179" t="str">
        <f t="array" ref="I535">IF($F535&lt;&gt;"",XLOOKUP($F535,Productos!$A:$A,Productos!B:B,"Revisar"),"")</f>
        <v/>
      </c>
      <c r="J535" s="179" t="str">
        <f t="array" ref="J535">IF($F535&lt;&gt;"", XLOOKUP($F535,Productos!$A$2:$A1001,Productos!C$2:C1001,"")*$G535,"")</f>
        <v/>
      </c>
      <c r="K535" s="179" t="str">
        <f t="array" ref="K535">IF($F535&lt;&gt;"",XLOOKUP($F535,Productos!$A:$A,Productos!D:D,"Revisar"),"")</f>
        <v/>
      </c>
      <c r="L535" s="179" t="str">
        <f t="array" ref="L535">IF($F535&lt;&gt;"", XLOOKUP($F535,Productos!$A$2:$A1001,Productos!E$2:E1001,"")*$G535,"")</f>
        <v/>
      </c>
      <c r="M535" s="179" t="str">
        <f t="array" ref="M535">IF($F535&lt;&gt;"",XLOOKUP($F535,Productos!$A:$A,Productos!F:F,"Revisar"),"")</f>
        <v/>
      </c>
      <c r="N535" s="179" t="str">
        <f t="array" ref="N535">IF($F535&lt;&gt;"", XLOOKUP($F535,Productos!$A$2:$A1001,Productos!G$2:G1001,"")*$G535,"")</f>
        <v/>
      </c>
      <c r="O535" s="179" t="str">
        <f t="array" ref="O535">IF($F535&lt;&gt;"",XLOOKUP($F535,Productos!$A:$A,Productos!H:H,"Revisar"),"")</f>
        <v/>
      </c>
      <c r="P535" s="179" t="str">
        <f t="array" ref="P535">IF($F535&lt;&gt;"", XLOOKUP($F535,Productos!$A$2:$A1001,Productos!I$2:I1001,"")*$G535,"")</f>
        <v/>
      </c>
      <c r="Q535" s="179" t="str">
        <f t="array" ref="Q535">IF($F535&lt;&gt;"",XLOOKUP($F535,Productos!$A:$A,Productos!J:J,"Revisar"),"")</f>
        <v/>
      </c>
      <c r="R535" s="179" t="str">
        <f t="array" ref="R535">IF($F535&lt;&gt;"", XLOOKUP($F535,Productos!$A$2:$A1001,Productos!K$2:K1001,"")*$G535,"")</f>
        <v/>
      </c>
      <c r="S535" s="179" t="str">
        <f t="array" ref="S535">IF($F535&lt;&gt;"",XLOOKUP($F535,Productos!$A:$A,Productos!L:L,"Revisar"),"")</f>
        <v/>
      </c>
      <c r="T535" s="179" t="str">
        <f t="array" ref="T535">IF($F535&lt;&gt;"", XLOOKUP($F535,Productos!$A$2:$A1001,Productos!M$2:M1001,"")*$G535,"")</f>
        <v/>
      </c>
      <c r="U535" s="179" t="str">
        <f t="array" ref="U535">IF($F535&lt;&gt;"",XLOOKUP($F535,Productos!$A:$A,Productos!N:N,"Revisar"),"")</f>
        <v/>
      </c>
      <c r="V535" s="179" t="str">
        <f t="array" ref="V535">IF($F535&lt;&gt;"", XLOOKUP($F535,Productos!$A$2:$A1001,Productos!O$2:O1001,"")*$G535,"")</f>
        <v/>
      </c>
      <c r="W535" s="179" t="str">
        <f t="array" ref="W535">IF($F535&lt;&gt;"",XLOOKUP($F535,Productos!$A:$A,Productos!P:P,"Revisar"),"")</f>
        <v/>
      </c>
      <c r="X535" s="179" t="str">
        <f t="array" ref="X535">IF($F535&lt;&gt;"", XLOOKUP($F535,Productos!$A$2:$A1001,Productos!Q$2:Q1001,"")*$G535,"")</f>
        <v/>
      </c>
      <c r="Y535" s="179" t="str">
        <f t="array" ref="Y535">IF($F535&lt;&gt;"",XLOOKUP($F535,Productos!$A:$A,Productos!R:R,"Revisar"),"")</f>
        <v/>
      </c>
      <c r="Z535" s="179" t="str">
        <f t="array" ref="Z535">IF($F535&lt;&gt;"", XLOOKUP($F535,Productos!$A$2:$A1001,Productos!S$2:S1001,"")*$G535,"")</f>
        <v/>
      </c>
      <c r="AA535" s="179" t="str">
        <f t="array" ref="AA535">IF($F535&lt;&gt;"",XLOOKUP($F535,Productos!$A:$A,Productos!T:T,"Revisar"),"")</f>
        <v/>
      </c>
      <c r="AB535" s="179" t="str">
        <f t="array" ref="AB535">IF($F535&lt;&gt;"", XLOOKUP($F535,Productos!$A$2:$A1001,Productos!U$2:U1001,"")*$G535,"")</f>
        <v/>
      </c>
      <c r="AC535" s="179" t="str">
        <f t="array" ref="AC535">IF($F535&lt;&gt;"",XLOOKUP($F535,Productos!$A:$A,Productos!V:V,"Revisar"),"")</f>
        <v/>
      </c>
      <c r="AD535" s="179" t="str">
        <f t="array" ref="AD535">IF($F535&lt;&gt;"", XLOOKUP($F535,Productos!$A$2:$A1001,Productos!W$2:W1001,"")*$G535,"")</f>
        <v/>
      </c>
      <c r="AE535" s="179" t="str">
        <f t="array" ref="AE535">IF($F535&lt;&gt;"",XLOOKUP($F535,Productos!$A:$A,Productos!X:X,"Revisar"),"")</f>
        <v/>
      </c>
      <c r="AF535" s="179" t="str">
        <f t="array" ref="AF535">IF($F535&lt;&gt;"", XLOOKUP($F535,Productos!$A$2:$A1001,Productos!Y$2:Y1001,"")*$G535,"")</f>
        <v/>
      </c>
      <c r="AG535" s="179" t="str">
        <f t="array" ref="AG535">IF($F535&lt;&gt;"",XLOOKUP($F535,Productos!$A:$A,Productos!Z:Z,"Revisar"),"")</f>
        <v/>
      </c>
      <c r="AH535" s="179" t="str">
        <f t="array" ref="AH535">IF($F535&lt;&gt;"", XLOOKUP($F535,Productos!$A$2:$A1001,Productos!AA$2:AA1001,"")*$G535,"")</f>
        <v/>
      </c>
      <c r="AI535" s="179" t="str">
        <f t="array" ref="AI535">IF($F535&lt;&gt;"",XLOOKUP($F535,Productos!$A:$A,Productos!AB:AB,"Revisar"),"")</f>
        <v/>
      </c>
      <c r="AJ535" s="179" t="str">
        <f t="array" ref="AJ535">IF($F535&lt;&gt;"", XLOOKUP($F535,Productos!$A$2:$A1001,Productos!AC$2:AC1001,"")*$G535,"")</f>
        <v/>
      </c>
      <c r="AK535" s="179" t="str">
        <f t="array" ref="AK535">IF($F535&lt;&gt;"",XLOOKUP($F535,Productos!$A:$A,Productos!AD:AD,"Revisar"),"")</f>
        <v/>
      </c>
      <c r="AL535" s="179" t="str">
        <f t="array" ref="AL535">IF($F535&lt;&gt;"", XLOOKUP($F535,Productos!$A$2:$A1001,Productos!AE$2:AE1001,"")*$G535,"")</f>
        <v/>
      </c>
      <c r="AM535" s="179" t="str">
        <f t="array" ref="AM535">IF($F535&lt;&gt;"",XLOOKUP($F535,Productos!$A:$A,Productos!AF:AF,"Revisar"),"")</f>
        <v/>
      </c>
      <c r="AN535" s="179" t="str">
        <f t="array" ref="AN535">IF($F535&lt;&gt;"", XLOOKUP($F535,Productos!$A$2:$A1001,Productos!AG$2:AG1001,"")*$G535,"")</f>
        <v/>
      </c>
      <c r="AO535" s="179" t="str">
        <f t="array" ref="AO535">IF($F535&lt;&gt;"",XLOOKUP($F535,Productos!$A:$A,Productos!AH:AH,"Revisar"),"")</f>
        <v/>
      </c>
      <c r="AP535" s="179" t="str">
        <f t="array" ref="AP535">IF($F535&lt;&gt;"", XLOOKUP($F535,Productos!$A$2:$A1001,Productos!AI$2:AI1001,"")*$G535,"")</f>
        <v/>
      </c>
      <c r="AQ535" s="179" t="str">
        <f t="array" ref="AQ535">IF($F535&lt;&gt;"",XLOOKUP($F535,Productos!$A:$A,Productos!AJ:AJ,"Revisar"),"")</f>
        <v/>
      </c>
      <c r="AR535" s="179" t="str">
        <f t="array" ref="AR535">IF($F535&lt;&gt;"", XLOOKUP($F535,Productos!$A$2:$A1001,Productos!AK$2:AK1001,"")*$G535,"")</f>
        <v/>
      </c>
      <c r="AS535" s="179" t="str">
        <f t="array" ref="AS535">IF($F535&lt;&gt;"",XLOOKUP($F535,Productos!$A:$A,Productos!AL:AL,"Revisar"),"")</f>
        <v/>
      </c>
      <c r="AT535" s="179" t="str">
        <f t="array" ref="AT535">IF($F535&lt;&gt;"", XLOOKUP($F535,Productos!$A$2:$A1001,Productos!AM$2:AM1001,"")*$G535,"")</f>
        <v/>
      </c>
      <c r="AU535" s="179" t="str">
        <f t="array" ref="AU535">IF($F535&lt;&gt;"",XLOOKUP($F535,Productos!$A:$A,Productos!AN:AN,"Revisar"),"")</f>
        <v/>
      </c>
      <c r="AV535" s="179" t="str">
        <f t="array" ref="AV535">IF($F535&lt;&gt;"", XLOOKUP($F535,Productos!$A$2:$A1001,Productos!AO$2:AO1001,"")*$G535,"")</f>
        <v/>
      </c>
      <c r="AW535" s="179" t="str">
        <f t="array" ref="AW535">IF($F535&lt;&gt;"",XLOOKUP($F535,Productos!$A:$A,Productos!AP:AP,"Revisar"),"")</f>
        <v/>
      </c>
      <c r="AX535" s="179" t="str">
        <f t="array" ref="AX535">IF($F535&lt;&gt;"", XLOOKUP($F535,Productos!$A$2:$A1001,Productos!AQ$2:AQ1001,"")*$G535,"")</f>
        <v/>
      </c>
      <c r="AY535" s="179" t="str">
        <f t="array" ref="AY535">IF($F535&lt;&gt;"",XLOOKUP($F535,Productos!$A:$A,Productos!AR:AR,"Revisar"),"")</f>
        <v/>
      </c>
      <c r="AZ535" s="179" t="str">
        <f t="array" ref="AZ535">IF($F535&lt;&gt;"", XLOOKUP($F535,Productos!$A$2:$A1001,Productos!AS$2:AS1001,"")*$G535,"")</f>
        <v/>
      </c>
      <c r="BA535" s="179" t="str">
        <f t="array" ref="BA535">IF($F535&lt;&gt;"",XLOOKUP($F535,Productos!$A:$A,Productos!AT:AT,"Revisar"),"")</f>
        <v/>
      </c>
      <c r="BB535" s="179" t="str">
        <f t="array" ref="BB535">IF($F535&lt;&gt;"", XLOOKUP($F535,Productos!$A$2:$A1001,Productos!AU$2:AU1001,"")*$G535,"")</f>
        <v/>
      </c>
      <c r="BC535" s="179" t="str">
        <f t="array" ref="BC535">IF($F535&lt;&gt;"",XLOOKUP($F535,Productos!$A:$A,Productos!AV:AV,"Revisar"),"")</f>
        <v/>
      </c>
      <c r="BD535" s="179" t="str">
        <f t="array" ref="BD535">IF($F535&lt;&gt;"", XLOOKUP($F535,Productos!$A$2:$A1001,Productos!AW$2:AW1001,"")*$G535,"")</f>
        <v/>
      </c>
      <c r="BE535" s="179" t="str">
        <f t="array" ref="BE535">IF($F535&lt;&gt;"",XLOOKUP($F535,Productos!$A:$A,Productos!AX:AX,"Revisar"),"")</f>
        <v/>
      </c>
      <c r="BF535" s="179" t="str">
        <f t="array" ref="BF535">IF($F535&lt;&gt;"", XLOOKUP($F535,Productos!$A$2:$A1001,Productos!AY$2:AY1001,"")*$G535,"")</f>
        <v/>
      </c>
      <c r="BG535" s="179" t="str">
        <f t="array" ref="BG535">IF($F535&lt;&gt;"",XLOOKUP($F535,Productos!$A:$A,Productos!AZ:AZ,"Revisar"),"")</f>
        <v/>
      </c>
      <c r="BH535" s="179" t="str">
        <f t="array" ref="BH535">IF($F535&lt;&gt;"", XLOOKUP($F535,Productos!$A$2:$A1001,Productos!BA$2:BA1001,"")*$G535,"")</f>
        <v/>
      </c>
      <c r="BI535" s="179" t="str">
        <f t="array" ref="BI535">IF($F535&lt;&gt;"",XLOOKUP($F535,Productos!$A:$A,Productos!BB:BB,"Revisar"),"")</f>
        <v/>
      </c>
      <c r="BJ535" s="179" t="str">
        <f t="array" ref="BJ535">IF($F535&lt;&gt;"", XLOOKUP($F535,Productos!$A$2:$A1001,Productos!BC$2:BC1001,"")*$G535,"")</f>
        <v/>
      </c>
      <c r="BK535" s="179" t="str">
        <f t="array" ref="BK535">IF($F535&lt;&gt;"",XLOOKUP($F535,Productos!$A:$A,Productos!BD:BD,"Revisar"),"")</f>
        <v/>
      </c>
      <c r="BL535" s="179" t="str">
        <f t="array" ref="BL535">IF($F535&lt;&gt;"", XLOOKUP($F535,Productos!$A$2:$A1001,Productos!BE$2:BE1001,"")*$G535,"")</f>
        <v/>
      </c>
      <c r="BM535" s="179" t="str">
        <f t="array" ref="BM535">IF($F535&lt;&gt;"",XLOOKUP($F535,Productos!$A:$A,Productos!BF:BF,"Revisar"),"")</f>
        <v/>
      </c>
      <c r="BN535" s="179" t="str">
        <f t="array" ref="BN535">IF($F535&lt;&gt;"", XLOOKUP($F535,Productos!$A$2:$A1001,Productos!BG$2:BG1001,"")*$G535,"")</f>
        <v/>
      </c>
      <c r="BO535" s="179" t="str">
        <f t="array" ref="BO535">IF($F535&lt;&gt;"",XLOOKUP($F535,Productos!$A:$A,Productos!BH:BH,"Revisar"),"")</f>
        <v/>
      </c>
      <c r="BP535" s="179" t="str">
        <f t="array" ref="BP535">IF($F535&lt;&gt;"", XLOOKUP($F535,Productos!$A$2:$A1001,Productos!BI$2:BI1001,"")*$G535,"")</f>
        <v/>
      </c>
      <c r="BQ535" s="179" t="str">
        <f t="array" ref="BQ535">IF($F535&lt;&gt;"",XLOOKUP($F535,Productos!$A:$A,Productos!BJ:BJ,"Revisar"),"")</f>
        <v/>
      </c>
      <c r="BR535" s="179" t="str">
        <f t="array" ref="BR535">IF($F535&lt;&gt;"", XLOOKUP($F535,Productos!$A$2:$A1001,Productos!BK$2:BK1001,"")*$G535,"")</f>
        <v/>
      </c>
      <c r="BS535" s="179" t="str">
        <f t="array" ref="BS535">IF($F535&lt;&gt;"",XLOOKUP($F535,Productos!$A:$A,Productos!BL:BL,"Revisar"),"")</f>
        <v/>
      </c>
      <c r="BT535" s="179" t="str">
        <f t="array" ref="BT535">IF($F535&lt;&gt;"", XLOOKUP($F535,Productos!$A$2:$A1001,Productos!BM$2:BM1001,"")*$G535,"")</f>
        <v/>
      </c>
      <c r="BU535" s="179" t="str">
        <f t="array" ref="BU535">IF($F535&lt;&gt;"",XLOOKUP($F535,Productos!$A:$A,Productos!BN:BN,"Revisar"),"")</f>
        <v/>
      </c>
      <c r="BV535" s="179" t="str">
        <f t="array" ref="BV535">IF($F535&lt;&gt;"", XLOOKUP($F535,Productos!$A$2:$A1001,Productos!BO$2:BO1001,"")*$G535,"")</f>
        <v/>
      </c>
      <c r="BW535" s="179" t="str">
        <f t="array" ref="BW535">IF($F535&lt;&gt;"",XLOOKUP($F535,Productos!$A:$A,Productos!BP:BP,"Revisar"),"")</f>
        <v/>
      </c>
      <c r="BX535" s="179" t="str">
        <f t="array" ref="BX535">IF($F535&lt;&gt;"", XLOOKUP($F535,Productos!$A$2:$A1001,Productos!BQ$2:BQ1001,"")*$G535,"")</f>
        <v/>
      </c>
      <c r="BY535" s="179" t="str">
        <f t="array" ref="BY535">IF($F535&lt;&gt;"",XLOOKUP($F535,Productos!$A:$A,Productos!BR:BR,"Revisar"),"")</f>
        <v/>
      </c>
      <c r="BZ535" s="179" t="str">
        <f t="array" ref="BZ535">IF($F535&lt;&gt;"", XLOOKUP($F535,Productos!$A$2:$A1001,Productos!BS$2:BS1001,"")*$G535,"")</f>
        <v/>
      </c>
    </row>
    <row r="536">
      <c r="A536" s="188"/>
      <c r="B536" s="189"/>
      <c r="C536" s="190"/>
      <c r="D536" s="190"/>
      <c r="E536" s="191"/>
      <c r="F536" s="186"/>
      <c r="G536" s="192"/>
      <c r="H536" s="9"/>
      <c r="I536" s="179" t="str">
        <f t="array" ref="I536">IF($F536&lt;&gt;"",XLOOKUP($F536,Productos!$A:$A,Productos!B:B,"Revisar"),"")</f>
        <v/>
      </c>
      <c r="J536" s="179" t="str">
        <f t="array" ref="J536">IF($F536&lt;&gt;"", XLOOKUP($F536,Productos!$A$2:$A1001,Productos!C$2:C1001,"")*$G536,"")</f>
        <v/>
      </c>
      <c r="K536" s="179" t="str">
        <f t="array" ref="K536">IF($F536&lt;&gt;"",XLOOKUP($F536,Productos!$A:$A,Productos!D:D,"Revisar"),"")</f>
        <v/>
      </c>
      <c r="L536" s="179" t="str">
        <f t="array" ref="L536">IF($F536&lt;&gt;"", XLOOKUP($F536,Productos!$A$2:$A1001,Productos!E$2:E1001,"")*$G536,"")</f>
        <v/>
      </c>
      <c r="M536" s="179" t="str">
        <f t="array" ref="M536">IF($F536&lt;&gt;"",XLOOKUP($F536,Productos!$A:$A,Productos!F:F,"Revisar"),"")</f>
        <v/>
      </c>
      <c r="N536" s="179" t="str">
        <f t="array" ref="N536">IF($F536&lt;&gt;"", XLOOKUP($F536,Productos!$A$2:$A1001,Productos!G$2:G1001,"")*$G536,"")</f>
        <v/>
      </c>
      <c r="O536" s="179" t="str">
        <f t="array" ref="O536">IF($F536&lt;&gt;"",XLOOKUP($F536,Productos!$A:$A,Productos!H:H,"Revisar"),"")</f>
        <v/>
      </c>
      <c r="P536" s="179" t="str">
        <f t="array" ref="P536">IF($F536&lt;&gt;"", XLOOKUP($F536,Productos!$A$2:$A1001,Productos!I$2:I1001,"")*$G536,"")</f>
        <v/>
      </c>
      <c r="Q536" s="179" t="str">
        <f t="array" ref="Q536">IF($F536&lt;&gt;"",XLOOKUP($F536,Productos!$A:$A,Productos!J:J,"Revisar"),"")</f>
        <v/>
      </c>
      <c r="R536" s="179" t="str">
        <f t="array" ref="R536">IF($F536&lt;&gt;"", XLOOKUP($F536,Productos!$A$2:$A1001,Productos!K$2:K1001,"")*$G536,"")</f>
        <v/>
      </c>
      <c r="S536" s="179" t="str">
        <f t="array" ref="S536">IF($F536&lt;&gt;"",XLOOKUP($F536,Productos!$A:$A,Productos!L:L,"Revisar"),"")</f>
        <v/>
      </c>
      <c r="T536" s="179" t="str">
        <f t="array" ref="T536">IF($F536&lt;&gt;"", XLOOKUP($F536,Productos!$A$2:$A1001,Productos!M$2:M1001,"")*$G536,"")</f>
        <v/>
      </c>
      <c r="U536" s="179" t="str">
        <f t="array" ref="U536">IF($F536&lt;&gt;"",XLOOKUP($F536,Productos!$A:$A,Productos!N:N,"Revisar"),"")</f>
        <v/>
      </c>
      <c r="V536" s="179" t="str">
        <f t="array" ref="V536">IF($F536&lt;&gt;"", XLOOKUP($F536,Productos!$A$2:$A1001,Productos!O$2:O1001,"")*$G536,"")</f>
        <v/>
      </c>
      <c r="W536" s="179" t="str">
        <f t="array" ref="W536">IF($F536&lt;&gt;"",XLOOKUP($F536,Productos!$A:$A,Productos!P:P,"Revisar"),"")</f>
        <v/>
      </c>
      <c r="X536" s="179" t="str">
        <f t="array" ref="X536">IF($F536&lt;&gt;"", XLOOKUP($F536,Productos!$A$2:$A1001,Productos!Q$2:Q1001,"")*$G536,"")</f>
        <v/>
      </c>
      <c r="Y536" s="179" t="str">
        <f t="array" ref="Y536">IF($F536&lt;&gt;"",XLOOKUP($F536,Productos!$A:$A,Productos!R:R,"Revisar"),"")</f>
        <v/>
      </c>
      <c r="Z536" s="179" t="str">
        <f t="array" ref="Z536">IF($F536&lt;&gt;"", XLOOKUP($F536,Productos!$A$2:$A1001,Productos!S$2:S1001,"")*$G536,"")</f>
        <v/>
      </c>
      <c r="AA536" s="179" t="str">
        <f t="array" ref="AA536">IF($F536&lt;&gt;"",XLOOKUP($F536,Productos!$A:$A,Productos!T:T,"Revisar"),"")</f>
        <v/>
      </c>
      <c r="AB536" s="179" t="str">
        <f t="array" ref="AB536">IF($F536&lt;&gt;"", XLOOKUP($F536,Productos!$A$2:$A1001,Productos!U$2:U1001,"")*$G536,"")</f>
        <v/>
      </c>
      <c r="AC536" s="179" t="str">
        <f t="array" ref="AC536">IF($F536&lt;&gt;"",XLOOKUP($F536,Productos!$A:$A,Productos!V:V,"Revisar"),"")</f>
        <v/>
      </c>
      <c r="AD536" s="179" t="str">
        <f t="array" ref="AD536">IF($F536&lt;&gt;"", XLOOKUP($F536,Productos!$A$2:$A1001,Productos!W$2:W1001,"")*$G536,"")</f>
        <v/>
      </c>
      <c r="AE536" s="179" t="str">
        <f t="array" ref="AE536">IF($F536&lt;&gt;"",XLOOKUP($F536,Productos!$A:$A,Productos!X:X,"Revisar"),"")</f>
        <v/>
      </c>
      <c r="AF536" s="179" t="str">
        <f t="array" ref="AF536">IF($F536&lt;&gt;"", XLOOKUP($F536,Productos!$A$2:$A1001,Productos!Y$2:Y1001,"")*$G536,"")</f>
        <v/>
      </c>
      <c r="AG536" s="179" t="str">
        <f t="array" ref="AG536">IF($F536&lt;&gt;"",XLOOKUP($F536,Productos!$A:$A,Productos!Z:Z,"Revisar"),"")</f>
        <v/>
      </c>
      <c r="AH536" s="179" t="str">
        <f t="array" ref="AH536">IF($F536&lt;&gt;"", XLOOKUP($F536,Productos!$A$2:$A1001,Productos!AA$2:AA1001,"")*$G536,"")</f>
        <v/>
      </c>
      <c r="AI536" s="179" t="str">
        <f t="array" ref="AI536">IF($F536&lt;&gt;"",XLOOKUP($F536,Productos!$A:$A,Productos!AB:AB,"Revisar"),"")</f>
        <v/>
      </c>
      <c r="AJ536" s="179" t="str">
        <f t="array" ref="AJ536">IF($F536&lt;&gt;"", XLOOKUP($F536,Productos!$A$2:$A1001,Productos!AC$2:AC1001,"")*$G536,"")</f>
        <v/>
      </c>
      <c r="AK536" s="179" t="str">
        <f t="array" ref="AK536">IF($F536&lt;&gt;"",XLOOKUP($F536,Productos!$A:$A,Productos!AD:AD,"Revisar"),"")</f>
        <v/>
      </c>
      <c r="AL536" s="179" t="str">
        <f t="array" ref="AL536">IF($F536&lt;&gt;"", XLOOKUP($F536,Productos!$A$2:$A1001,Productos!AE$2:AE1001,"")*$G536,"")</f>
        <v/>
      </c>
      <c r="AM536" s="179" t="str">
        <f t="array" ref="AM536">IF($F536&lt;&gt;"",XLOOKUP($F536,Productos!$A:$A,Productos!AF:AF,"Revisar"),"")</f>
        <v/>
      </c>
      <c r="AN536" s="179" t="str">
        <f t="array" ref="AN536">IF($F536&lt;&gt;"", XLOOKUP($F536,Productos!$A$2:$A1001,Productos!AG$2:AG1001,"")*$G536,"")</f>
        <v/>
      </c>
      <c r="AO536" s="179" t="str">
        <f t="array" ref="AO536">IF($F536&lt;&gt;"",XLOOKUP($F536,Productos!$A:$A,Productos!AH:AH,"Revisar"),"")</f>
        <v/>
      </c>
      <c r="AP536" s="179" t="str">
        <f t="array" ref="AP536">IF($F536&lt;&gt;"", XLOOKUP($F536,Productos!$A$2:$A1001,Productos!AI$2:AI1001,"")*$G536,"")</f>
        <v/>
      </c>
      <c r="AQ536" s="179" t="str">
        <f t="array" ref="AQ536">IF($F536&lt;&gt;"",XLOOKUP($F536,Productos!$A:$A,Productos!AJ:AJ,"Revisar"),"")</f>
        <v/>
      </c>
      <c r="AR536" s="179" t="str">
        <f t="array" ref="AR536">IF($F536&lt;&gt;"", XLOOKUP($F536,Productos!$A$2:$A1001,Productos!AK$2:AK1001,"")*$G536,"")</f>
        <v/>
      </c>
      <c r="AS536" s="179" t="str">
        <f t="array" ref="AS536">IF($F536&lt;&gt;"",XLOOKUP($F536,Productos!$A:$A,Productos!AL:AL,"Revisar"),"")</f>
        <v/>
      </c>
      <c r="AT536" s="179" t="str">
        <f t="array" ref="AT536">IF($F536&lt;&gt;"", XLOOKUP($F536,Productos!$A$2:$A1001,Productos!AM$2:AM1001,"")*$G536,"")</f>
        <v/>
      </c>
      <c r="AU536" s="179" t="str">
        <f t="array" ref="AU536">IF($F536&lt;&gt;"",XLOOKUP($F536,Productos!$A:$A,Productos!AN:AN,"Revisar"),"")</f>
        <v/>
      </c>
      <c r="AV536" s="179" t="str">
        <f t="array" ref="AV536">IF($F536&lt;&gt;"", XLOOKUP($F536,Productos!$A$2:$A1001,Productos!AO$2:AO1001,"")*$G536,"")</f>
        <v/>
      </c>
      <c r="AW536" s="179" t="str">
        <f t="array" ref="AW536">IF($F536&lt;&gt;"",XLOOKUP($F536,Productos!$A:$A,Productos!AP:AP,"Revisar"),"")</f>
        <v/>
      </c>
      <c r="AX536" s="179" t="str">
        <f t="array" ref="AX536">IF($F536&lt;&gt;"", XLOOKUP($F536,Productos!$A$2:$A1001,Productos!AQ$2:AQ1001,"")*$G536,"")</f>
        <v/>
      </c>
      <c r="AY536" s="179" t="str">
        <f t="array" ref="AY536">IF($F536&lt;&gt;"",XLOOKUP($F536,Productos!$A:$A,Productos!AR:AR,"Revisar"),"")</f>
        <v/>
      </c>
      <c r="AZ536" s="179" t="str">
        <f t="array" ref="AZ536">IF($F536&lt;&gt;"", XLOOKUP($F536,Productos!$A$2:$A1001,Productos!AS$2:AS1001,"")*$G536,"")</f>
        <v/>
      </c>
      <c r="BA536" s="179" t="str">
        <f t="array" ref="BA536">IF($F536&lt;&gt;"",XLOOKUP($F536,Productos!$A:$A,Productos!AT:AT,"Revisar"),"")</f>
        <v/>
      </c>
      <c r="BB536" s="179" t="str">
        <f t="array" ref="BB536">IF($F536&lt;&gt;"", XLOOKUP($F536,Productos!$A$2:$A1001,Productos!AU$2:AU1001,"")*$G536,"")</f>
        <v/>
      </c>
      <c r="BC536" s="179" t="str">
        <f t="array" ref="BC536">IF($F536&lt;&gt;"",XLOOKUP($F536,Productos!$A:$A,Productos!AV:AV,"Revisar"),"")</f>
        <v/>
      </c>
      <c r="BD536" s="179" t="str">
        <f t="array" ref="BD536">IF($F536&lt;&gt;"", XLOOKUP($F536,Productos!$A$2:$A1001,Productos!AW$2:AW1001,"")*$G536,"")</f>
        <v/>
      </c>
      <c r="BE536" s="179" t="str">
        <f t="array" ref="BE536">IF($F536&lt;&gt;"",XLOOKUP($F536,Productos!$A:$A,Productos!AX:AX,"Revisar"),"")</f>
        <v/>
      </c>
      <c r="BF536" s="179" t="str">
        <f t="array" ref="BF536">IF($F536&lt;&gt;"", XLOOKUP($F536,Productos!$A$2:$A1001,Productos!AY$2:AY1001,"")*$G536,"")</f>
        <v/>
      </c>
      <c r="BG536" s="179" t="str">
        <f t="array" ref="BG536">IF($F536&lt;&gt;"",XLOOKUP($F536,Productos!$A:$A,Productos!AZ:AZ,"Revisar"),"")</f>
        <v/>
      </c>
      <c r="BH536" s="179" t="str">
        <f t="array" ref="BH536">IF($F536&lt;&gt;"", XLOOKUP($F536,Productos!$A$2:$A1001,Productos!BA$2:BA1001,"")*$G536,"")</f>
        <v/>
      </c>
      <c r="BI536" s="179" t="str">
        <f t="array" ref="BI536">IF($F536&lt;&gt;"",XLOOKUP($F536,Productos!$A:$A,Productos!BB:BB,"Revisar"),"")</f>
        <v/>
      </c>
      <c r="BJ536" s="179" t="str">
        <f t="array" ref="BJ536">IF($F536&lt;&gt;"", XLOOKUP($F536,Productos!$A$2:$A1001,Productos!BC$2:BC1001,"")*$G536,"")</f>
        <v/>
      </c>
      <c r="BK536" s="179" t="str">
        <f t="array" ref="BK536">IF($F536&lt;&gt;"",XLOOKUP($F536,Productos!$A:$A,Productos!BD:BD,"Revisar"),"")</f>
        <v/>
      </c>
      <c r="BL536" s="179" t="str">
        <f t="array" ref="BL536">IF($F536&lt;&gt;"", XLOOKUP($F536,Productos!$A$2:$A1001,Productos!BE$2:BE1001,"")*$G536,"")</f>
        <v/>
      </c>
      <c r="BM536" s="179" t="str">
        <f t="array" ref="BM536">IF($F536&lt;&gt;"",XLOOKUP($F536,Productos!$A:$A,Productos!BF:BF,"Revisar"),"")</f>
        <v/>
      </c>
      <c r="BN536" s="179" t="str">
        <f t="array" ref="BN536">IF($F536&lt;&gt;"", XLOOKUP($F536,Productos!$A$2:$A1001,Productos!BG$2:BG1001,"")*$G536,"")</f>
        <v/>
      </c>
      <c r="BO536" s="179" t="str">
        <f t="array" ref="BO536">IF($F536&lt;&gt;"",XLOOKUP($F536,Productos!$A:$A,Productos!BH:BH,"Revisar"),"")</f>
        <v/>
      </c>
      <c r="BP536" s="179" t="str">
        <f t="array" ref="BP536">IF($F536&lt;&gt;"", XLOOKUP($F536,Productos!$A$2:$A1001,Productos!BI$2:BI1001,"")*$G536,"")</f>
        <v/>
      </c>
      <c r="BQ536" s="179" t="str">
        <f t="array" ref="BQ536">IF($F536&lt;&gt;"",XLOOKUP($F536,Productos!$A:$A,Productos!BJ:BJ,"Revisar"),"")</f>
        <v/>
      </c>
      <c r="BR536" s="179" t="str">
        <f t="array" ref="BR536">IF($F536&lt;&gt;"", XLOOKUP($F536,Productos!$A$2:$A1001,Productos!BK$2:BK1001,"")*$G536,"")</f>
        <v/>
      </c>
      <c r="BS536" s="179" t="str">
        <f t="array" ref="BS536">IF($F536&lt;&gt;"",XLOOKUP($F536,Productos!$A:$A,Productos!BL:BL,"Revisar"),"")</f>
        <v/>
      </c>
      <c r="BT536" s="179" t="str">
        <f t="array" ref="BT536">IF($F536&lt;&gt;"", XLOOKUP($F536,Productos!$A$2:$A1001,Productos!BM$2:BM1001,"")*$G536,"")</f>
        <v/>
      </c>
      <c r="BU536" s="179" t="str">
        <f t="array" ref="BU536">IF($F536&lt;&gt;"",XLOOKUP($F536,Productos!$A:$A,Productos!BN:BN,"Revisar"),"")</f>
        <v/>
      </c>
      <c r="BV536" s="179" t="str">
        <f t="array" ref="BV536">IF($F536&lt;&gt;"", XLOOKUP($F536,Productos!$A$2:$A1001,Productos!BO$2:BO1001,"")*$G536,"")</f>
        <v/>
      </c>
      <c r="BW536" s="179" t="str">
        <f t="array" ref="BW536">IF($F536&lt;&gt;"",XLOOKUP($F536,Productos!$A:$A,Productos!BP:BP,"Revisar"),"")</f>
        <v/>
      </c>
      <c r="BX536" s="179" t="str">
        <f t="array" ref="BX536">IF($F536&lt;&gt;"", XLOOKUP($F536,Productos!$A$2:$A1001,Productos!BQ$2:BQ1001,"")*$G536,"")</f>
        <v/>
      </c>
      <c r="BY536" s="179" t="str">
        <f t="array" ref="BY536">IF($F536&lt;&gt;"",XLOOKUP($F536,Productos!$A:$A,Productos!BR:BR,"Revisar"),"")</f>
        <v/>
      </c>
      <c r="BZ536" s="179" t="str">
        <f t="array" ref="BZ536">IF($F536&lt;&gt;"", XLOOKUP($F536,Productos!$A$2:$A1001,Productos!BS$2:BS1001,"")*$G536,"")</f>
        <v/>
      </c>
    </row>
    <row r="537">
      <c r="A537" s="188"/>
      <c r="B537" s="189"/>
      <c r="C537" s="190"/>
      <c r="D537" s="190"/>
      <c r="E537" s="191"/>
      <c r="F537" s="186"/>
      <c r="G537" s="192"/>
      <c r="H537" s="9"/>
      <c r="I537" s="179" t="str">
        <f t="array" ref="I537">IF($F537&lt;&gt;"",XLOOKUP($F537,Productos!$A:$A,Productos!B:B,"Revisar"),"")</f>
        <v/>
      </c>
      <c r="J537" s="179" t="str">
        <f t="array" ref="J537">IF($F537&lt;&gt;"", XLOOKUP($F537,Productos!$A$2:$A1001,Productos!C$2:C1001,"")*$G537,"")</f>
        <v/>
      </c>
      <c r="K537" s="179" t="str">
        <f t="array" ref="K537">IF($F537&lt;&gt;"",XLOOKUP($F537,Productos!$A:$A,Productos!D:D,"Revisar"),"")</f>
        <v/>
      </c>
      <c r="L537" s="179" t="str">
        <f t="array" ref="L537">IF($F537&lt;&gt;"", XLOOKUP($F537,Productos!$A$2:$A1001,Productos!E$2:E1001,"")*$G537,"")</f>
        <v/>
      </c>
      <c r="M537" s="179" t="str">
        <f t="array" ref="M537">IF($F537&lt;&gt;"",XLOOKUP($F537,Productos!$A:$A,Productos!F:F,"Revisar"),"")</f>
        <v/>
      </c>
      <c r="N537" s="179" t="str">
        <f t="array" ref="N537">IF($F537&lt;&gt;"", XLOOKUP($F537,Productos!$A$2:$A1001,Productos!G$2:G1001,"")*$G537,"")</f>
        <v/>
      </c>
      <c r="O537" s="179" t="str">
        <f t="array" ref="O537">IF($F537&lt;&gt;"",XLOOKUP($F537,Productos!$A:$A,Productos!H:H,"Revisar"),"")</f>
        <v/>
      </c>
      <c r="P537" s="179" t="str">
        <f t="array" ref="P537">IF($F537&lt;&gt;"", XLOOKUP($F537,Productos!$A$2:$A1001,Productos!I$2:I1001,"")*$G537,"")</f>
        <v/>
      </c>
      <c r="Q537" s="179" t="str">
        <f t="array" ref="Q537">IF($F537&lt;&gt;"",XLOOKUP($F537,Productos!$A:$A,Productos!J:J,"Revisar"),"")</f>
        <v/>
      </c>
      <c r="R537" s="179" t="str">
        <f t="array" ref="R537">IF($F537&lt;&gt;"", XLOOKUP($F537,Productos!$A$2:$A1001,Productos!K$2:K1001,"")*$G537,"")</f>
        <v/>
      </c>
      <c r="S537" s="179" t="str">
        <f t="array" ref="S537">IF($F537&lt;&gt;"",XLOOKUP($F537,Productos!$A:$A,Productos!L:L,"Revisar"),"")</f>
        <v/>
      </c>
      <c r="T537" s="179" t="str">
        <f t="array" ref="T537">IF($F537&lt;&gt;"", XLOOKUP($F537,Productos!$A$2:$A1001,Productos!M$2:M1001,"")*$G537,"")</f>
        <v/>
      </c>
      <c r="U537" s="179" t="str">
        <f t="array" ref="U537">IF($F537&lt;&gt;"",XLOOKUP($F537,Productos!$A:$A,Productos!N:N,"Revisar"),"")</f>
        <v/>
      </c>
      <c r="V537" s="179" t="str">
        <f t="array" ref="V537">IF($F537&lt;&gt;"", XLOOKUP($F537,Productos!$A$2:$A1001,Productos!O$2:O1001,"")*$G537,"")</f>
        <v/>
      </c>
      <c r="W537" s="179" t="str">
        <f t="array" ref="W537">IF($F537&lt;&gt;"",XLOOKUP($F537,Productos!$A:$A,Productos!P:P,"Revisar"),"")</f>
        <v/>
      </c>
      <c r="X537" s="179" t="str">
        <f t="array" ref="X537">IF($F537&lt;&gt;"", XLOOKUP($F537,Productos!$A$2:$A1001,Productos!Q$2:Q1001,"")*$G537,"")</f>
        <v/>
      </c>
      <c r="Y537" s="179" t="str">
        <f t="array" ref="Y537">IF($F537&lt;&gt;"",XLOOKUP($F537,Productos!$A:$A,Productos!R:R,"Revisar"),"")</f>
        <v/>
      </c>
      <c r="Z537" s="179" t="str">
        <f t="array" ref="Z537">IF($F537&lt;&gt;"", XLOOKUP($F537,Productos!$A$2:$A1001,Productos!S$2:S1001,"")*$G537,"")</f>
        <v/>
      </c>
      <c r="AA537" s="179" t="str">
        <f t="array" ref="AA537">IF($F537&lt;&gt;"",XLOOKUP($F537,Productos!$A:$A,Productos!T:T,"Revisar"),"")</f>
        <v/>
      </c>
      <c r="AB537" s="179" t="str">
        <f t="array" ref="AB537">IF($F537&lt;&gt;"", XLOOKUP($F537,Productos!$A$2:$A1001,Productos!U$2:U1001,"")*$G537,"")</f>
        <v/>
      </c>
      <c r="AC537" s="179" t="str">
        <f t="array" ref="AC537">IF($F537&lt;&gt;"",XLOOKUP($F537,Productos!$A:$A,Productos!V:V,"Revisar"),"")</f>
        <v/>
      </c>
      <c r="AD537" s="179" t="str">
        <f t="array" ref="AD537">IF($F537&lt;&gt;"", XLOOKUP($F537,Productos!$A$2:$A1001,Productos!W$2:W1001,"")*$G537,"")</f>
        <v/>
      </c>
      <c r="AE537" s="179" t="str">
        <f t="array" ref="AE537">IF($F537&lt;&gt;"",XLOOKUP($F537,Productos!$A:$A,Productos!X:X,"Revisar"),"")</f>
        <v/>
      </c>
      <c r="AF537" s="179" t="str">
        <f t="array" ref="AF537">IF($F537&lt;&gt;"", XLOOKUP($F537,Productos!$A$2:$A1001,Productos!Y$2:Y1001,"")*$G537,"")</f>
        <v/>
      </c>
      <c r="AG537" s="179" t="str">
        <f t="array" ref="AG537">IF($F537&lt;&gt;"",XLOOKUP($F537,Productos!$A:$A,Productos!Z:Z,"Revisar"),"")</f>
        <v/>
      </c>
      <c r="AH537" s="179" t="str">
        <f t="array" ref="AH537">IF($F537&lt;&gt;"", XLOOKUP($F537,Productos!$A$2:$A1001,Productos!AA$2:AA1001,"")*$G537,"")</f>
        <v/>
      </c>
      <c r="AI537" s="179" t="str">
        <f t="array" ref="AI537">IF($F537&lt;&gt;"",XLOOKUP($F537,Productos!$A:$A,Productos!AB:AB,"Revisar"),"")</f>
        <v/>
      </c>
      <c r="AJ537" s="179" t="str">
        <f t="array" ref="AJ537">IF($F537&lt;&gt;"", XLOOKUP($F537,Productos!$A$2:$A1001,Productos!AC$2:AC1001,"")*$G537,"")</f>
        <v/>
      </c>
      <c r="AK537" s="179" t="str">
        <f t="array" ref="AK537">IF($F537&lt;&gt;"",XLOOKUP($F537,Productos!$A:$A,Productos!AD:AD,"Revisar"),"")</f>
        <v/>
      </c>
      <c r="AL537" s="179" t="str">
        <f t="array" ref="AL537">IF($F537&lt;&gt;"", XLOOKUP($F537,Productos!$A$2:$A1001,Productos!AE$2:AE1001,"")*$G537,"")</f>
        <v/>
      </c>
      <c r="AM537" s="179" t="str">
        <f t="array" ref="AM537">IF($F537&lt;&gt;"",XLOOKUP($F537,Productos!$A:$A,Productos!AF:AF,"Revisar"),"")</f>
        <v/>
      </c>
      <c r="AN537" s="179" t="str">
        <f t="array" ref="AN537">IF($F537&lt;&gt;"", XLOOKUP($F537,Productos!$A$2:$A1001,Productos!AG$2:AG1001,"")*$G537,"")</f>
        <v/>
      </c>
      <c r="AO537" s="179" t="str">
        <f t="array" ref="AO537">IF($F537&lt;&gt;"",XLOOKUP($F537,Productos!$A:$A,Productos!AH:AH,"Revisar"),"")</f>
        <v/>
      </c>
      <c r="AP537" s="179" t="str">
        <f t="array" ref="AP537">IF($F537&lt;&gt;"", XLOOKUP($F537,Productos!$A$2:$A1001,Productos!AI$2:AI1001,"")*$G537,"")</f>
        <v/>
      </c>
      <c r="AQ537" s="179" t="str">
        <f t="array" ref="AQ537">IF($F537&lt;&gt;"",XLOOKUP($F537,Productos!$A:$A,Productos!AJ:AJ,"Revisar"),"")</f>
        <v/>
      </c>
      <c r="AR537" s="179" t="str">
        <f t="array" ref="AR537">IF($F537&lt;&gt;"", XLOOKUP($F537,Productos!$A$2:$A1001,Productos!AK$2:AK1001,"")*$G537,"")</f>
        <v/>
      </c>
      <c r="AS537" s="179" t="str">
        <f t="array" ref="AS537">IF($F537&lt;&gt;"",XLOOKUP($F537,Productos!$A:$A,Productos!AL:AL,"Revisar"),"")</f>
        <v/>
      </c>
      <c r="AT537" s="179" t="str">
        <f t="array" ref="AT537">IF($F537&lt;&gt;"", XLOOKUP($F537,Productos!$A$2:$A1001,Productos!AM$2:AM1001,"")*$G537,"")</f>
        <v/>
      </c>
      <c r="AU537" s="179" t="str">
        <f t="array" ref="AU537">IF($F537&lt;&gt;"",XLOOKUP($F537,Productos!$A:$A,Productos!AN:AN,"Revisar"),"")</f>
        <v/>
      </c>
      <c r="AV537" s="179" t="str">
        <f t="array" ref="AV537">IF($F537&lt;&gt;"", XLOOKUP($F537,Productos!$A$2:$A1001,Productos!AO$2:AO1001,"")*$G537,"")</f>
        <v/>
      </c>
      <c r="AW537" s="179" t="str">
        <f t="array" ref="AW537">IF($F537&lt;&gt;"",XLOOKUP($F537,Productos!$A:$A,Productos!AP:AP,"Revisar"),"")</f>
        <v/>
      </c>
      <c r="AX537" s="179" t="str">
        <f t="array" ref="AX537">IF($F537&lt;&gt;"", XLOOKUP($F537,Productos!$A$2:$A1001,Productos!AQ$2:AQ1001,"")*$G537,"")</f>
        <v/>
      </c>
      <c r="AY537" s="179" t="str">
        <f t="array" ref="AY537">IF($F537&lt;&gt;"",XLOOKUP($F537,Productos!$A:$A,Productos!AR:AR,"Revisar"),"")</f>
        <v/>
      </c>
      <c r="AZ537" s="179" t="str">
        <f t="array" ref="AZ537">IF($F537&lt;&gt;"", XLOOKUP($F537,Productos!$A$2:$A1001,Productos!AS$2:AS1001,"")*$G537,"")</f>
        <v/>
      </c>
      <c r="BA537" s="179" t="str">
        <f t="array" ref="BA537">IF($F537&lt;&gt;"",XLOOKUP($F537,Productos!$A:$A,Productos!AT:AT,"Revisar"),"")</f>
        <v/>
      </c>
      <c r="BB537" s="179" t="str">
        <f t="array" ref="BB537">IF($F537&lt;&gt;"", XLOOKUP($F537,Productos!$A$2:$A1001,Productos!AU$2:AU1001,"")*$G537,"")</f>
        <v/>
      </c>
      <c r="BC537" s="179" t="str">
        <f t="array" ref="BC537">IF($F537&lt;&gt;"",XLOOKUP($F537,Productos!$A:$A,Productos!AV:AV,"Revisar"),"")</f>
        <v/>
      </c>
      <c r="BD537" s="179" t="str">
        <f t="array" ref="BD537">IF($F537&lt;&gt;"", XLOOKUP($F537,Productos!$A$2:$A1001,Productos!AW$2:AW1001,"")*$G537,"")</f>
        <v/>
      </c>
      <c r="BE537" s="179" t="str">
        <f t="array" ref="BE537">IF($F537&lt;&gt;"",XLOOKUP($F537,Productos!$A:$A,Productos!AX:AX,"Revisar"),"")</f>
        <v/>
      </c>
      <c r="BF537" s="179" t="str">
        <f t="array" ref="BF537">IF($F537&lt;&gt;"", XLOOKUP($F537,Productos!$A$2:$A1001,Productos!AY$2:AY1001,"")*$G537,"")</f>
        <v/>
      </c>
      <c r="BG537" s="179" t="str">
        <f t="array" ref="BG537">IF($F537&lt;&gt;"",XLOOKUP($F537,Productos!$A:$A,Productos!AZ:AZ,"Revisar"),"")</f>
        <v/>
      </c>
      <c r="BH537" s="179" t="str">
        <f t="array" ref="BH537">IF($F537&lt;&gt;"", XLOOKUP($F537,Productos!$A$2:$A1001,Productos!BA$2:BA1001,"")*$G537,"")</f>
        <v/>
      </c>
      <c r="BI537" s="179" t="str">
        <f t="array" ref="BI537">IF($F537&lt;&gt;"",XLOOKUP($F537,Productos!$A:$A,Productos!BB:BB,"Revisar"),"")</f>
        <v/>
      </c>
      <c r="BJ537" s="179" t="str">
        <f t="array" ref="BJ537">IF($F537&lt;&gt;"", XLOOKUP($F537,Productos!$A$2:$A1001,Productos!BC$2:BC1001,"")*$G537,"")</f>
        <v/>
      </c>
      <c r="BK537" s="179" t="str">
        <f t="array" ref="BK537">IF($F537&lt;&gt;"",XLOOKUP($F537,Productos!$A:$A,Productos!BD:BD,"Revisar"),"")</f>
        <v/>
      </c>
      <c r="BL537" s="179" t="str">
        <f t="array" ref="BL537">IF($F537&lt;&gt;"", XLOOKUP($F537,Productos!$A$2:$A1001,Productos!BE$2:BE1001,"")*$G537,"")</f>
        <v/>
      </c>
      <c r="BM537" s="179" t="str">
        <f t="array" ref="BM537">IF($F537&lt;&gt;"",XLOOKUP($F537,Productos!$A:$A,Productos!BF:BF,"Revisar"),"")</f>
        <v/>
      </c>
      <c r="BN537" s="179" t="str">
        <f t="array" ref="BN537">IF($F537&lt;&gt;"", XLOOKUP($F537,Productos!$A$2:$A1001,Productos!BG$2:BG1001,"")*$G537,"")</f>
        <v/>
      </c>
      <c r="BO537" s="179" t="str">
        <f t="array" ref="BO537">IF($F537&lt;&gt;"",XLOOKUP($F537,Productos!$A:$A,Productos!BH:BH,"Revisar"),"")</f>
        <v/>
      </c>
      <c r="BP537" s="179" t="str">
        <f t="array" ref="BP537">IF($F537&lt;&gt;"", XLOOKUP($F537,Productos!$A$2:$A1001,Productos!BI$2:BI1001,"")*$G537,"")</f>
        <v/>
      </c>
      <c r="BQ537" s="179" t="str">
        <f t="array" ref="BQ537">IF($F537&lt;&gt;"",XLOOKUP($F537,Productos!$A:$A,Productos!BJ:BJ,"Revisar"),"")</f>
        <v/>
      </c>
      <c r="BR537" s="179" t="str">
        <f t="array" ref="BR537">IF($F537&lt;&gt;"", XLOOKUP($F537,Productos!$A$2:$A1001,Productos!BK$2:BK1001,"")*$G537,"")</f>
        <v/>
      </c>
      <c r="BS537" s="179" t="str">
        <f t="array" ref="BS537">IF($F537&lt;&gt;"",XLOOKUP($F537,Productos!$A:$A,Productos!BL:BL,"Revisar"),"")</f>
        <v/>
      </c>
      <c r="BT537" s="179" t="str">
        <f t="array" ref="BT537">IF($F537&lt;&gt;"", XLOOKUP($F537,Productos!$A$2:$A1001,Productos!BM$2:BM1001,"")*$G537,"")</f>
        <v/>
      </c>
      <c r="BU537" s="179" t="str">
        <f t="array" ref="BU537">IF($F537&lt;&gt;"",XLOOKUP($F537,Productos!$A:$A,Productos!BN:BN,"Revisar"),"")</f>
        <v/>
      </c>
      <c r="BV537" s="179" t="str">
        <f t="array" ref="BV537">IF($F537&lt;&gt;"", XLOOKUP($F537,Productos!$A$2:$A1001,Productos!BO$2:BO1001,"")*$G537,"")</f>
        <v/>
      </c>
      <c r="BW537" s="179" t="str">
        <f t="array" ref="BW537">IF($F537&lt;&gt;"",XLOOKUP($F537,Productos!$A:$A,Productos!BP:BP,"Revisar"),"")</f>
        <v/>
      </c>
      <c r="BX537" s="179" t="str">
        <f t="array" ref="BX537">IF($F537&lt;&gt;"", XLOOKUP($F537,Productos!$A$2:$A1001,Productos!BQ$2:BQ1001,"")*$G537,"")</f>
        <v/>
      </c>
      <c r="BY537" s="179" t="str">
        <f t="array" ref="BY537">IF($F537&lt;&gt;"",XLOOKUP($F537,Productos!$A:$A,Productos!BR:BR,"Revisar"),"")</f>
        <v/>
      </c>
      <c r="BZ537" s="179" t="str">
        <f t="array" ref="BZ537">IF($F537&lt;&gt;"", XLOOKUP($F537,Productos!$A$2:$A1001,Productos!BS$2:BS1001,"")*$G537,"")</f>
        <v/>
      </c>
    </row>
    <row r="538">
      <c r="A538" s="188"/>
      <c r="B538" s="189"/>
      <c r="C538" s="190"/>
      <c r="D538" s="190"/>
      <c r="E538" s="191"/>
      <c r="F538" s="186"/>
      <c r="G538" s="192"/>
      <c r="H538" s="9"/>
      <c r="I538" s="179" t="str">
        <f t="array" ref="I538">IF($F538&lt;&gt;"",XLOOKUP($F538,Productos!$A:$A,Productos!B:B,"Revisar"),"")</f>
        <v/>
      </c>
      <c r="J538" s="179" t="str">
        <f t="array" ref="J538">IF($F538&lt;&gt;"", XLOOKUP($F538,Productos!$A$2:$A1001,Productos!C$2:C1001,"")*$G538,"")</f>
        <v/>
      </c>
      <c r="K538" s="179" t="str">
        <f t="array" ref="K538">IF($F538&lt;&gt;"",XLOOKUP($F538,Productos!$A:$A,Productos!D:D,"Revisar"),"")</f>
        <v/>
      </c>
      <c r="L538" s="179" t="str">
        <f t="array" ref="L538">IF($F538&lt;&gt;"", XLOOKUP($F538,Productos!$A$2:$A1001,Productos!E$2:E1001,"")*$G538,"")</f>
        <v/>
      </c>
      <c r="M538" s="179" t="str">
        <f t="array" ref="M538">IF($F538&lt;&gt;"",XLOOKUP($F538,Productos!$A:$A,Productos!F:F,"Revisar"),"")</f>
        <v/>
      </c>
      <c r="N538" s="179" t="str">
        <f t="array" ref="N538">IF($F538&lt;&gt;"", XLOOKUP($F538,Productos!$A$2:$A1001,Productos!G$2:G1001,"")*$G538,"")</f>
        <v/>
      </c>
      <c r="O538" s="179" t="str">
        <f t="array" ref="O538">IF($F538&lt;&gt;"",XLOOKUP($F538,Productos!$A:$A,Productos!H:H,"Revisar"),"")</f>
        <v/>
      </c>
      <c r="P538" s="179" t="str">
        <f t="array" ref="P538">IF($F538&lt;&gt;"", XLOOKUP($F538,Productos!$A$2:$A1001,Productos!I$2:I1001,"")*$G538,"")</f>
        <v/>
      </c>
      <c r="Q538" s="179" t="str">
        <f t="array" ref="Q538">IF($F538&lt;&gt;"",XLOOKUP($F538,Productos!$A:$A,Productos!J:J,"Revisar"),"")</f>
        <v/>
      </c>
      <c r="R538" s="179" t="str">
        <f t="array" ref="R538">IF($F538&lt;&gt;"", XLOOKUP($F538,Productos!$A$2:$A1001,Productos!K$2:K1001,"")*$G538,"")</f>
        <v/>
      </c>
      <c r="S538" s="179" t="str">
        <f t="array" ref="S538">IF($F538&lt;&gt;"",XLOOKUP($F538,Productos!$A:$A,Productos!L:L,"Revisar"),"")</f>
        <v/>
      </c>
      <c r="T538" s="179" t="str">
        <f t="array" ref="T538">IF($F538&lt;&gt;"", XLOOKUP($F538,Productos!$A$2:$A1001,Productos!M$2:M1001,"")*$G538,"")</f>
        <v/>
      </c>
      <c r="U538" s="179" t="str">
        <f t="array" ref="U538">IF($F538&lt;&gt;"",XLOOKUP($F538,Productos!$A:$A,Productos!N:N,"Revisar"),"")</f>
        <v/>
      </c>
      <c r="V538" s="179" t="str">
        <f t="array" ref="V538">IF($F538&lt;&gt;"", XLOOKUP($F538,Productos!$A$2:$A1001,Productos!O$2:O1001,"")*$G538,"")</f>
        <v/>
      </c>
      <c r="W538" s="179" t="str">
        <f t="array" ref="W538">IF($F538&lt;&gt;"",XLOOKUP($F538,Productos!$A:$A,Productos!P:P,"Revisar"),"")</f>
        <v/>
      </c>
      <c r="X538" s="179" t="str">
        <f t="array" ref="X538">IF($F538&lt;&gt;"", XLOOKUP($F538,Productos!$A$2:$A1001,Productos!Q$2:Q1001,"")*$G538,"")</f>
        <v/>
      </c>
      <c r="Y538" s="179" t="str">
        <f t="array" ref="Y538">IF($F538&lt;&gt;"",XLOOKUP($F538,Productos!$A:$A,Productos!R:R,"Revisar"),"")</f>
        <v/>
      </c>
      <c r="Z538" s="179" t="str">
        <f t="array" ref="Z538">IF($F538&lt;&gt;"", XLOOKUP($F538,Productos!$A$2:$A1001,Productos!S$2:S1001,"")*$G538,"")</f>
        <v/>
      </c>
      <c r="AA538" s="179" t="str">
        <f t="array" ref="AA538">IF($F538&lt;&gt;"",XLOOKUP($F538,Productos!$A:$A,Productos!T:T,"Revisar"),"")</f>
        <v/>
      </c>
      <c r="AB538" s="179" t="str">
        <f t="array" ref="AB538">IF($F538&lt;&gt;"", XLOOKUP($F538,Productos!$A$2:$A1001,Productos!U$2:U1001,"")*$G538,"")</f>
        <v/>
      </c>
      <c r="AC538" s="179" t="str">
        <f t="array" ref="AC538">IF($F538&lt;&gt;"",XLOOKUP($F538,Productos!$A:$A,Productos!V:V,"Revisar"),"")</f>
        <v/>
      </c>
      <c r="AD538" s="179" t="str">
        <f t="array" ref="AD538">IF($F538&lt;&gt;"", XLOOKUP($F538,Productos!$A$2:$A1001,Productos!W$2:W1001,"")*$G538,"")</f>
        <v/>
      </c>
      <c r="AE538" s="179" t="str">
        <f t="array" ref="AE538">IF($F538&lt;&gt;"",XLOOKUP($F538,Productos!$A:$A,Productos!X:X,"Revisar"),"")</f>
        <v/>
      </c>
      <c r="AF538" s="179" t="str">
        <f t="array" ref="AF538">IF($F538&lt;&gt;"", XLOOKUP($F538,Productos!$A$2:$A1001,Productos!Y$2:Y1001,"")*$G538,"")</f>
        <v/>
      </c>
      <c r="AG538" s="179" t="str">
        <f t="array" ref="AG538">IF($F538&lt;&gt;"",XLOOKUP($F538,Productos!$A:$A,Productos!Z:Z,"Revisar"),"")</f>
        <v/>
      </c>
      <c r="AH538" s="179" t="str">
        <f t="array" ref="AH538">IF($F538&lt;&gt;"", XLOOKUP($F538,Productos!$A$2:$A1001,Productos!AA$2:AA1001,"")*$G538,"")</f>
        <v/>
      </c>
      <c r="AI538" s="179" t="str">
        <f t="array" ref="AI538">IF($F538&lt;&gt;"",XLOOKUP($F538,Productos!$A:$A,Productos!AB:AB,"Revisar"),"")</f>
        <v/>
      </c>
      <c r="AJ538" s="179" t="str">
        <f t="array" ref="AJ538">IF($F538&lt;&gt;"", XLOOKUP($F538,Productos!$A$2:$A1001,Productos!AC$2:AC1001,"")*$G538,"")</f>
        <v/>
      </c>
      <c r="AK538" s="179" t="str">
        <f t="array" ref="AK538">IF($F538&lt;&gt;"",XLOOKUP($F538,Productos!$A:$A,Productos!AD:AD,"Revisar"),"")</f>
        <v/>
      </c>
      <c r="AL538" s="179" t="str">
        <f t="array" ref="AL538">IF($F538&lt;&gt;"", XLOOKUP($F538,Productos!$A$2:$A1001,Productos!AE$2:AE1001,"")*$G538,"")</f>
        <v/>
      </c>
      <c r="AM538" s="179" t="str">
        <f t="array" ref="AM538">IF($F538&lt;&gt;"",XLOOKUP($F538,Productos!$A:$A,Productos!AF:AF,"Revisar"),"")</f>
        <v/>
      </c>
      <c r="AN538" s="179" t="str">
        <f t="array" ref="AN538">IF($F538&lt;&gt;"", XLOOKUP($F538,Productos!$A$2:$A1001,Productos!AG$2:AG1001,"")*$G538,"")</f>
        <v/>
      </c>
      <c r="AO538" s="179" t="str">
        <f t="array" ref="AO538">IF($F538&lt;&gt;"",XLOOKUP($F538,Productos!$A:$A,Productos!AH:AH,"Revisar"),"")</f>
        <v/>
      </c>
      <c r="AP538" s="179" t="str">
        <f t="array" ref="AP538">IF($F538&lt;&gt;"", XLOOKUP($F538,Productos!$A$2:$A1001,Productos!AI$2:AI1001,"")*$G538,"")</f>
        <v/>
      </c>
      <c r="AQ538" s="179" t="str">
        <f t="array" ref="AQ538">IF($F538&lt;&gt;"",XLOOKUP($F538,Productos!$A:$A,Productos!AJ:AJ,"Revisar"),"")</f>
        <v/>
      </c>
      <c r="AR538" s="179" t="str">
        <f t="array" ref="AR538">IF($F538&lt;&gt;"", XLOOKUP($F538,Productos!$A$2:$A1001,Productos!AK$2:AK1001,"")*$G538,"")</f>
        <v/>
      </c>
      <c r="AS538" s="179" t="str">
        <f t="array" ref="AS538">IF($F538&lt;&gt;"",XLOOKUP($F538,Productos!$A:$A,Productos!AL:AL,"Revisar"),"")</f>
        <v/>
      </c>
      <c r="AT538" s="179" t="str">
        <f t="array" ref="AT538">IF($F538&lt;&gt;"", XLOOKUP($F538,Productos!$A$2:$A1001,Productos!AM$2:AM1001,"")*$G538,"")</f>
        <v/>
      </c>
      <c r="AU538" s="179" t="str">
        <f t="array" ref="AU538">IF($F538&lt;&gt;"",XLOOKUP($F538,Productos!$A:$A,Productos!AN:AN,"Revisar"),"")</f>
        <v/>
      </c>
      <c r="AV538" s="179" t="str">
        <f t="array" ref="AV538">IF($F538&lt;&gt;"", XLOOKUP($F538,Productos!$A$2:$A1001,Productos!AO$2:AO1001,"")*$G538,"")</f>
        <v/>
      </c>
      <c r="AW538" s="179" t="str">
        <f t="array" ref="AW538">IF($F538&lt;&gt;"",XLOOKUP($F538,Productos!$A:$A,Productos!AP:AP,"Revisar"),"")</f>
        <v/>
      </c>
      <c r="AX538" s="179" t="str">
        <f t="array" ref="AX538">IF($F538&lt;&gt;"", XLOOKUP($F538,Productos!$A$2:$A1001,Productos!AQ$2:AQ1001,"")*$G538,"")</f>
        <v/>
      </c>
      <c r="AY538" s="179" t="str">
        <f t="array" ref="AY538">IF($F538&lt;&gt;"",XLOOKUP($F538,Productos!$A:$A,Productos!AR:AR,"Revisar"),"")</f>
        <v/>
      </c>
      <c r="AZ538" s="179" t="str">
        <f t="array" ref="AZ538">IF($F538&lt;&gt;"", XLOOKUP($F538,Productos!$A$2:$A1001,Productos!AS$2:AS1001,"")*$G538,"")</f>
        <v/>
      </c>
      <c r="BA538" s="179" t="str">
        <f t="array" ref="BA538">IF($F538&lt;&gt;"",XLOOKUP($F538,Productos!$A:$A,Productos!AT:AT,"Revisar"),"")</f>
        <v/>
      </c>
      <c r="BB538" s="179" t="str">
        <f t="array" ref="BB538">IF($F538&lt;&gt;"", XLOOKUP($F538,Productos!$A$2:$A1001,Productos!AU$2:AU1001,"")*$G538,"")</f>
        <v/>
      </c>
      <c r="BC538" s="179" t="str">
        <f t="array" ref="BC538">IF($F538&lt;&gt;"",XLOOKUP($F538,Productos!$A:$A,Productos!AV:AV,"Revisar"),"")</f>
        <v/>
      </c>
      <c r="BD538" s="179" t="str">
        <f t="array" ref="BD538">IF($F538&lt;&gt;"", XLOOKUP($F538,Productos!$A$2:$A1001,Productos!AW$2:AW1001,"")*$G538,"")</f>
        <v/>
      </c>
      <c r="BE538" s="179" t="str">
        <f t="array" ref="BE538">IF($F538&lt;&gt;"",XLOOKUP($F538,Productos!$A:$A,Productos!AX:AX,"Revisar"),"")</f>
        <v/>
      </c>
      <c r="BF538" s="179" t="str">
        <f t="array" ref="BF538">IF($F538&lt;&gt;"", XLOOKUP($F538,Productos!$A$2:$A1001,Productos!AY$2:AY1001,"")*$G538,"")</f>
        <v/>
      </c>
      <c r="BG538" s="179" t="str">
        <f t="array" ref="BG538">IF($F538&lt;&gt;"",XLOOKUP($F538,Productos!$A:$A,Productos!AZ:AZ,"Revisar"),"")</f>
        <v/>
      </c>
      <c r="BH538" s="179" t="str">
        <f t="array" ref="BH538">IF($F538&lt;&gt;"", XLOOKUP($F538,Productos!$A$2:$A1001,Productos!BA$2:BA1001,"")*$G538,"")</f>
        <v/>
      </c>
      <c r="BI538" s="179" t="str">
        <f t="array" ref="BI538">IF($F538&lt;&gt;"",XLOOKUP($F538,Productos!$A:$A,Productos!BB:BB,"Revisar"),"")</f>
        <v/>
      </c>
      <c r="BJ538" s="179" t="str">
        <f t="array" ref="BJ538">IF($F538&lt;&gt;"", XLOOKUP($F538,Productos!$A$2:$A1001,Productos!BC$2:BC1001,"")*$G538,"")</f>
        <v/>
      </c>
      <c r="BK538" s="179" t="str">
        <f t="array" ref="BK538">IF($F538&lt;&gt;"",XLOOKUP($F538,Productos!$A:$A,Productos!BD:BD,"Revisar"),"")</f>
        <v/>
      </c>
      <c r="BL538" s="179" t="str">
        <f t="array" ref="BL538">IF($F538&lt;&gt;"", XLOOKUP($F538,Productos!$A$2:$A1001,Productos!BE$2:BE1001,"")*$G538,"")</f>
        <v/>
      </c>
      <c r="BM538" s="179" t="str">
        <f t="array" ref="BM538">IF($F538&lt;&gt;"",XLOOKUP($F538,Productos!$A:$A,Productos!BF:BF,"Revisar"),"")</f>
        <v/>
      </c>
      <c r="BN538" s="179" t="str">
        <f t="array" ref="BN538">IF($F538&lt;&gt;"", XLOOKUP($F538,Productos!$A$2:$A1001,Productos!BG$2:BG1001,"")*$G538,"")</f>
        <v/>
      </c>
      <c r="BO538" s="179" t="str">
        <f t="array" ref="BO538">IF($F538&lt;&gt;"",XLOOKUP($F538,Productos!$A:$A,Productos!BH:BH,"Revisar"),"")</f>
        <v/>
      </c>
      <c r="BP538" s="179" t="str">
        <f t="array" ref="BP538">IF($F538&lt;&gt;"", XLOOKUP($F538,Productos!$A$2:$A1001,Productos!BI$2:BI1001,"")*$G538,"")</f>
        <v/>
      </c>
      <c r="BQ538" s="179" t="str">
        <f t="array" ref="BQ538">IF($F538&lt;&gt;"",XLOOKUP($F538,Productos!$A:$A,Productos!BJ:BJ,"Revisar"),"")</f>
        <v/>
      </c>
      <c r="BR538" s="179" t="str">
        <f t="array" ref="BR538">IF($F538&lt;&gt;"", XLOOKUP($F538,Productos!$A$2:$A1001,Productos!BK$2:BK1001,"")*$G538,"")</f>
        <v/>
      </c>
      <c r="BS538" s="179" t="str">
        <f t="array" ref="BS538">IF($F538&lt;&gt;"",XLOOKUP($F538,Productos!$A:$A,Productos!BL:BL,"Revisar"),"")</f>
        <v/>
      </c>
      <c r="BT538" s="179" t="str">
        <f t="array" ref="BT538">IF($F538&lt;&gt;"", XLOOKUP($F538,Productos!$A$2:$A1001,Productos!BM$2:BM1001,"")*$G538,"")</f>
        <v/>
      </c>
      <c r="BU538" s="179" t="str">
        <f t="array" ref="BU538">IF($F538&lt;&gt;"",XLOOKUP($F538,Productos!$A:$A,Productos!BN:BN,"Revisar"),"")</f>
        <v/>
      </c>
      <c r="BV538" s="179" t="str">
        <f t="array" ref="BV538">IF($F538&lt;&gt;"", XLOOKUP($F538,Productos!$A$2:$A1001,Productos!BO$2:BO1001,"")*$G538,"")</f>
        <v/>
      </c>
      <c r="BW538" s="179" t="str">
        <f t="array" ref="BW538">IF($F538&lt;&gt;"",XLOOKUP($F538,Productos!$A:$A,Productos!BP:BP,"Revisar"),"")</f>
        <v/>
      </c>
      <c r="BX538" s="179" t="str">
        <f t="array" ref="BX538">IF($F538&lt;&gt;"", XLOOKUP($F538,Productos!$A$2:$A1001,Productos!BQ$2:BQ1001,"")*$G538,"")</f>
        <v/>
      </c>
      <c r="BY538" s="179" t="str">
        <f t="array" ref="BY538">IF($F538&lt;&gt;"",XLOOKUP($F538,Productos!$A:$A,Productos!BR:BR,"Revisar"),"")</f>
        <v/>
      </c>
      <c r="BZ538" s="179" t="str">
        <f t="array" ref="BZ538">IF($F538&lt;&gt;"", XLOOKUP($F538,Productos!$A$2:$A1001,Productos!BS$2:BS1001,"")*$G538,"")</f>
        <v/>
      </c>
    </row>
    <row r="539">
      <c r="A539" s="188"/>
      <c r="B539" s="189"/>
      <c r="C539" s="190"/>
      <c r="D539" s="190"/>
      <c r="E539" s="191"/>
      <c r="F539" s="186"/>
      <c r="G539" s="192"/>
      <c r="H539" s="9"/>
      <c r="I539" s="179" t="str">
        <f t="array" ref="I539">IF($F539&lt;&gt;"",XLOOKUP($F539,Productos!$A:$A,Productos!B:B,"Revisar"),"")</f>
        <v/>
      </c>
      <c r="J539" s="179" t="str">
        <f t="array" ref="J539">IF($F539&lt;&gt;"", XLOOKUP($F539,Productos!$A$2:$A1001,Productos!C$2:C1001,"")*$G539,"")</f>
        <v/>
      </c>
      <c r="K539" s="179" t="str">
        <f t="array" ref="K539">IF($F539&lt;&gt;"",XLOOKUP($F539,Productos!$A:$A,Productos!D:D,"Revisar"),"")</f>
        <v/>
      </c>
      <c r="L539" s="179" t="str">
        <f t="array" ref="L539">IF($F539&lt;&gt;"", XLOOKUP($F539,Productos!$A$2:$A1001,Productos!E$2:E1001,"")*$G539,"")</f>
        <v/>
      </c>
      <c r="M539" s="179" t="str">
        <f t="array" ref="M539">IF($F539&lt;&gt;"",XLOOKUP($F539,Productos!$A:$A,Productos!F:F,"Revisar"),"")</f>
        <v/>
      </c>
      <c r="N539" s="179" t="str">
        <f t="array" ref="N539">IF($F539&lt;&gt;"", XLOOKUP($F539,Productos!$A$2:$A1001,Productos!G$2:G1001,"")*$G539,"")</f>
        <v/>
      </c>
      <c r="O539" s="179" t="str">
        <f t="array" ref="O539">IF($F539&lt;&gt;"",XLOOKUP($F539,Productos!$A:$A,Productos!H:H,"Revisar"),"")</f>
        <v/>
      </c>
      <c r="P539" s="179" t="str">
        <f t="array" ref="P539">IF($F539&lt;&gt;"", XLOOKUP($F539,Productos!$A$2:$A1001,Productos!I$2:I1001,"")*$G539,"")</f>
        <v/>
      </c>
      <c r="Q539" s="179" t="str">
        <f t="array" ref="Q539">IF($F539&lt;&gt;"",XLOOKUP($F539,Productos!$A:$A,Productos!J:J,"Revisar"),"")</f>
        <v/>
      </c>
      <c r="R539" s="179" t="str">
        <f t="array" ref="R539">IF($F539&lt;&gt;"", XLOOKUP($F539,Productos!$A$2:$A1001,Productos!K$2:K1001,"")*$G539,"")</f>
        <v/>
      </c>
      <c r="S539" s="179" t="str">
        <f t="array" ref="S539">IF($F539&lt;&gt;"",XLOOKUP($F539,Productos!$A:$A,Productos!L:L,"Revisar"),"")</f>
        <v/>
      </c>
      <c r="T539" s="179" t="str">
        <f t="array" ref="T539">IF($F539&lt;&gt;"", XLOOKUP($F539,Productos!$A$2:$A1001,Productos!M$2:M1001,"")*$G539,"")</f>
        <v/>
      </c>
      <c r="U539" s="179" t="str">
        <f t="array" ref="U539">IF($F539&lt;&gt;"",XLOOKUP($F539,Productos!$A:$A,Productos!N:N,"Revisar"),"")</f>
        <v/>
      </c>
      <c r="V539" s="179" t="str">
        <f t="array" ref="V539">IF($F539&lt;&gt;"", XLOOKUP($F539,Productos!$A$2:$A1001,Productos!O$2:O1001,"")*$G539,"")</f>
        <v/>
      </c>
      <c r="W539" s="179" t="str">
        <f t="array" ref="W539">IF($F539&lt;&gt;"",XLOOKUP($F539,Productos!$A:$A,Productos!P:P,"Revisar"),"")</f>
        <v/>
      </c>
      <c r="X539" s="179" t="str">
        <f t="array" ref="X539">IF($F539&lt;&gt;"", XLOOKUP($F539,Productos!$A$2:$A1001,Productos!Q$2:Q1001,"")*$G539,"")</f>
        <v/>
      </c>
      <c r="Y539" s="179" t="str">
        <f t="array" ref="Y539">IF($F539&lt;&gt;"",XLOOKUP($F539,Productos!$A:$A,Productos!R:R,"Revisar"),"")</f>
        <v/>
      </c>
      <c r="Z539" s="179" t="str">
        <f t="array" ref="Z539">IF($F539&lt;&gt;"", XLOOKUP($F539,Productos!$A$2:$A1001,Productos!S$2:S1001,"")*$G539,"")</f>
        <v/>
      </c>
      <c r="AA539" s="179" t="str">
        <f t="array" ref="AA539">IF($F539&lt;&gt;"",XLOOKUP($F539,Productos!$A:$A,Productos!T:T,"Revisar"),"")</f>
        <v/>
      </c>
      <c r="AB539" s="179" t="str">
        <f t="array" ref="AB539">IF($F539&lt;&gt;"", XLOOKUP($F539,Productos!$A$2:$A1001,Productos!U$2:U1001,"")*$G539,"")</f>
        <v/>
      </c>
      <c r="AC539" s="179" t="str">
        <f t="array" ref="AC539">IF($F539&lt;&gt;"",XLOOKUP($F539,Productos!$A:$A,Productos!V:V,"Revisar"),"")</f>
        <v/>
      </c>
      <c r="AD539" s="179" t="str">
        <f t="array" ref="AD539">IF($F539&lt;&gt;"", XLOOKUP($F539,Productos!$A$2:$A1001,Productos!W$2:W1001,"")*$G539,"")</f>
        <v/>
      </c>
      <c r="AE539" s="179" t="str">
        <f t="array" ref="AE539">IF($F539&lt;&gt;"",XLOOKUP($F539,Productos!$A:$A,Productos!X:X,"Revisar"),"")</f>
        <v/>
      </c>
      <c r="AF539" s="179" t="str">
        <f t="array" ref="AF539">IF($F539&lt;&gt;"", XLOOKUP($F539,Productos!$A$2:$A1001,Productos!Y$2:Y1001,"")*$G539,"")</f>
        <v/>
      </c>
      <c r="AG539" s="179" t="str">
        <f t="array" ref="AG539">IF($F539&lt;&gt;"",XLOOKUP($F539,Productos!$A:$A,Productos!Z:Z,"Revisar"),"")</f>
        <v/>
      </c>
      <c r="AH539" s="179" t="str">
        <f t="array" ref="AH539">IF($F539&lt;&gt;"", XLOOKUP($F539,Productos!$A$2:$A1001,Productos!AA$2:AA1001,"")*$G539,"")</f>
        <v/>
      </c>
      <c r="AI539" s="179" t="str">
        <f t="array" ref="AI539">IF($F539&lt;&gt;"",XLOOKUP($F539,Productos!$A:$A,Productos!AB:AB,"Revisar"),"")</f>
        <v/>
      </c>
      <c r="AJ539" s="179" t="str">
        <f t="array" ref="AJ539">IF($F539&lt;&gt;"", XLOOKUP($F539,Productos!$A$2:$A1001,Productos!AC$2:AC1001,"")*$G539,"")</f>
        <v/>
      </c>
      <c r="AK539" s="179" t="str">
        <f t="array" ref="AK539">IF($F539&lt;&gt;"",XLOOKUP($F539,Productos!$A:$A,Productos!AD:AD,"Revisar"),"")</f>
        <v/>
      </c>
      <c r="AL539" s="179" t="str">
        <f t="array" ref="AL539">IF($F539&lt;&gt;"", XLOOKUP($F539,Productos!$A$2:$A1001,Productos!AE$2:AE1001,"")*$G539,"")</f>
        <v/>
      </c>
      <c r="AM539" s="179" t="str">
        <f t="array" ref="AM539">IF($F539&lt;&gt;"",XLOOKUP($F539,Productos!$A:$A,Productos!AF:AF,"Revisar"),"")</f>
        <v/>
      </c>
      <c r="AN539" s="179" t="str">
        <f t="array" ref="AN539">IF($F539&lt;&gt;"", XLOOKUP($F539,Productos!$A$2:$A1001,Productos!AG$2:AG1001,"")*$G539,"")</f>
        <v/>
      </c>
      <c r="AO539" s="179" t="str">
        <f t="array" ref="AO539">IF($F539&lt;&gt;"",XLOOKUP($F539,Productos!$A:$A,Productos!AH:AH,"Revisar"),"")</f>
        <v/>
      </c>
      <c r="AP539" s="179" t="str">
        <f t="array" ref="AP539">IF($F539&lt;&gt;"", XLOOKUP($F539,Productos!$A$2:$A1001,Productos!AI$2:AI1001,"")*$G539,"")</f>
        <v/>
      </c>
      <c r="AQ539" s="179" t="str">
        <f t="array" ref="AQ539">IF($F539&lt;&gt;"",XLOOKUP($F539,Productos!$A:$A,Productos!AJ:AJ,"Revisar"),"")</f>
        <v/>
      </c>
      <c r="AR539" s="179" t="str">
        <f t="array" ref="AR539">IF($F539&lt;&gt;"", XLOOKUP($F539,Productos!$A$2:$A1001,Productos!AK$2:AK1001,"")*$G539,"")</f>
        <v/>
      </c>
      <c r="AS539" s="179" t="str">
        <f t="array" ref="AS539">IF($F539&lt;&gt;"",XLOOKUP($F539,Productos!$A:$A,Productos!AL:AL,"Revisar"),"")</f>
        <v/>
      </c>
      <c r="AT539" s="179" t="str">
        <f t="array" ref="AT539">IF($F539&lt;&gt;"", XLOOKUP($F539,Productos!$A$2:$A1001,Productos!AM$2:AM1001,"")*$G539,"")</f>
        <v/>
      </c>
      <c r="AU539" s="179" t="str">
        <f t="array" ref="AU539">IF($F539&lt;&gt;"",XLOOKUP($F539,Productos!$A:$A,Productos!AN:AN,"Revisar"),"")</f>
        <v/>
      </c>
      <c r="AV539" s="179" t="str">
        <f t="array" ref="AV539">IF($F539&lt;&gt;"", XLOOKUP($F539,Productos!$A$2:$A1001,Productos!AO$2:AO1001,"")*$G539,"")</f>
        <v/>
      </c>
      <c r="AW539" s="179" t="str">
        <f t="array" ref="AW539">IF($F539&lt;&gt;"",XLOOKUP($F539,Productos!$A:$A,Productos!AP:AP,"Revisar"),"")</f>
        <v/>
      </c>
      <c r="AX539" s="179" t="str">
        <f t="array" ref="AX539">IF($F539&lt;&gt;"", XLOOKUP($F539,Productos!$A$2:$A1001,Productos!AQ$2:AQ1001,"")*$G539,"")</f>
        <v/>
      </c>
      <c r="AY539" s="179" t="str">
        <f t="array" ref="AY539">IF($F539&lt;&gt;"",XLOOKUP($F539,Productos!$A:$A,Productos!AR:AR,"Revisar"),"")</f>
        <v/>
      </c>
      <c r="AZ539" s="179" t="str">
        <f t="array" ref="AZ539">IF($F539&lt;&gt;"", XLOOKUP($F539,Productos!$A$2:$A1001,Productos!AS$2:AS1001,"")*$G539,"")</f>
        <v/>
      </c>
      <c r="BA539" s="179" t="str">
        <f t="array" ref="BA539">IF($F539&lt;&gt;"",XLOOKUP($F539,Productos!$A:$A,Productos!AT:AT,"Revisar"),"")</f>
        <v/>
      </c>
      <c r="BB539" s="179" t="str">
        <f t="array" ref="BB539">IF($F539&lt;&gt;"", XLOOKUP($F539,Productos!$A$2:$A1001,Productos!AU$2:AU1001,"")*$G539,"")</f>
        <v/>
      </c>
      <c r="BC539" s="179" t="str">
        <f t="array" ref="BC539">IF($F539&lt;&gt;"",XLOOKUP($F539,Productos!$A:$A,Productos!AV:AV,"Revisar"),"")</f>
        <v/>
      </c>
      <c r="BD539" s="179" t="str">
        <f t="array" ref="BD539">IF($F539&lt;&gt;"", XLOOKUP($F539,Productos!$A$2:$A1001,Productos!AW$2:AW1001,"")*$G539,"")</f>
        <v/>
      </c>
      <c r="BE539" s="179" t="str">
        <f t="array" ref="BE539">IF($F539&lt;&gt;"",XLOOKUP($F539,Productos!$A:$A,Productos!AX:AX,"Revisar"),"")</f>
        <v/>
      </c>
      <c r="BF539" s="179" t="str">
        <f t="array" ref="BF539">IF($F539&lt;&gt;"", XLOOKUP($F539,Productos!$A$2:$A1001,Productos!AY$2:AY1001,"")*$G539,"")</f>
        <v/>
      </c>
      <c r="BG539" s="179" t="str">
        <f t="array" ref="BG539">IF($F539&lt;&gt;"",XLOOKUP($F539,Productos!$A:$A,Productos!AZ:AZ,"Revisar"),"")</f>
        <v/>
      </c>
      <c r="BH539" s="179" t="str">
        <f t="array" ref="BH539">IF($F539&lt;&gt;"", XLOOKUP($F539,Productos!$A$2:$A1001,Productos!BA$2:BA1001,"")*$G539,"")</f>
        <v/>
      </c>
      <c r="BI539" s="179" t="str">
        <f t="array" ref="BI539">IF($F539&lt;&gt;"",XLOOKUP($F539,Productos!$A:$A,Productos!BB:BB,"Revisar"),"")</f>
        <v/>
      </c>
      <c r="BJ539" s="179" t="str">
        <f t="array" ref="BJ539">IF($F539&lt;&gt;"", XLOOKUP($F539,Productos!$A$2:$A1001,Productos!BC$2:BC1001,"")*$G539,"")</f>
        <v/>
      </c>
      <c r="BK539" s="179" t="str">
        <f t="array" ref="BK539">IF($F539&lt;&gt;"",XLOOKUP($F539,Productos!$A:$A,Productos!BD:BD,"Revisar"),"")</f>
        <v/>
      </c>
      <c r="BL539" s="179" t="str">
        <f t="array" ref="BL539">IF($F539&lt;&gt;"", XLOOKUP($F539,Productos!$A$2:$A1001,Productos!BE$2:BE1001,"")*$G539,"")</f>
        <v/>
      </c>
      <c r="BM539" s="179" t="str">
        <f t="array" ref="BM539">IF($F539&lt;&gt;"",XLOOKUP($F539,Productos!$A:$A,Productos!BF:BF,"Revisar"),"")</f>
        <v/>
      </c>
      <c r="BN539" s="179" t="str">
        <f t="array" ref="BN539">IF($F539&lt;&gt;"", XLOOKUP($F539,Productos!$A$2:$A1001,Productos!BG$2:BG1001,"")*$G539,"")</f>
        <v/>
      </c>
      <c r="BO539" s="179" t="str">
        <f t="array" ref="BO539">IF($F539&lt;&gt;"",XLOOKUP($F539,Productos!$A:$A,Productos!BH:BH,"Revisar"),"")</f>
        <v/>
      </c>
      <c r="BP539" s="179" t="str">
        <f t="array" ref="BP539">IF($F539&lt;&gt;"", XLOOKUP($F539,Productos!$A$2:$A1001,Productos!BI$2:BI1001,"")*$G539,"")</f>
        <v/>
      </c>
      <c r="BQ539" s="179" t="str">
        <f t="array" ref="BQ539">IF($F539&lt;&gt;"",XLOOKUP($F539,Productos!$A:$A,Productos!BJ:BJ,"Revisar"),"")</f>
        <v/>
      </c>
      <c r="BR539" s="179" t="str">
        <f t="array" ref="BR539">IF($F539&lt;&gt;"", XLOOKUP($F539,Productos!$A$2:$A1001,Productos!BK$2:BK1001,"")*$G539,"")</f>
        <v/>
      </c>
      <c r="BS539" s="179" t="str">
        <f t="array" ref="BS539">IF($F539&lt;&gt;"",XLOOKUP($F539,Productos!$A:$A,Productos!BL:BL,"Revisar"),"")</f>
        <v/>
      </c>
      <c r="BT539" s="179" t="str">
        <f t="array" ref="BT539">IF($F539&lt;&gt;"", XLOOKUP($F539,Productos!$A$2:$A1001,Productos!BM$2:BM1001,"")*$G539,"")</f>
        <v/>
      </c>
      <c r="BU539" s="179" t="str">
        <f t="array" ref="BU539">IF($F539&lt;&gt;"",XLOOKUP($F539,Productos!$A:$A,Productos!BN:BN,"Revisar"),"")</f>
        <v/>
      </c>
      <c r="BV539" s="179" t="str">
        <f t="array" ref="BV539">IF($F539&lt;&gt;"", XLOOKUP($F539,Productos!$A$2:$A1001,Productos!BO$2:BO1001,"")*$G539,"")</f>
        <v/>
      </c>
      <c r="BW539" s="179" t="str">
        <f t="array" ref="BW539">IF($F539&lt;&gt;"",XLOOKUP($F539,Productos!$A:$A,Productos!BP:BP,"Revisar"),"")</f>
        <v/>
      </c>
      <c r="BX539" s="179" t="str">
        <f t="array" ref="BX539">IF($F539&lt;&gt;"", XLOOKUP($F539,Productos!$A$2:$A1001,Productos!BQ$2:BQ1001,"")*$G539,"")</f>
        <v/>
      </c>
      <c r="BY539" s="179" t="str">
        <f t="array" ref="BY539">IF($F539&lt;&gt;"",XLOOKUP($F539,Productos!$A:$A,Productos!BR:BR,"Revisar"),"")</f>
        <v/>
      </c>
      <c r="BZ539" s="179" t="str">
        <f t="array" ref="BZ539">IF($F539&lt;&gt;"", XLOOKUP($F539,Productos!$A$2:$A1001,Productos!BS$2:BS1001,"")*$G539,"")</f>
        <v/>
      </c>
    </row>
    <row r="540">
      <c r="A540" s="188"/>
      <c r="B540" s="189"/>
      <c r="C540" s="190"/>
      <c r="D540" s="190"/>
      <c r="E540" s="191"/>
      <c r="F540" s="186"/>
      <c r="G540" s="192"/>
      <c r="H540" s="9"/>
      <c r="I540" s="179" t="str">
        <f t="array" ref="I540">IF($F540&lt;&gt;"",XLOOKUP($F540,Productos!$A:$A,Productos!B:B,"Revisar"),"")</f>
        <v/>
      </c>
      <c r="J540" s="179" t="str">
        <f t="array" ref="J540">IF($F540&lt;&gt;"", XLOOKUP($F540,Productos!$A$2:$A1001,Productos!C$2:C1001,"")*$G540,"")</f>
        <v/>
      </c>
      <c r="K540" s="179" t="str">
        <f t="array" ref="K540">IF($F540&lt;&gt;"",XLOOKUP($F540,Productos!$A:$A,Productos!D:D,"Revisar"),"")</f>
        <v/>
      </c>
      <c r="L540" s="179" t="str">
        <f t="array" ref="L540">IF($F540&lt;&gt;"", XLOOKUP($F540,Productos!$A$2:$A1001,Productos!E$2:E1001,"")*$G540,"")</f>
        <v/>
      </c>
      <c r="M540" s="179" t="str">
        <f t="array" ref="M540">IF($F540&lt;&gt;"",XLOOKUP($F540,Productos!$A:$A,Productos!F:F,"Revisar"),"")</f>
        <v/>
      </c>
      <c r="N540" s="179" t="str">
        <f t="array" ref="N540">IF($F540&lt;&gt;"", XLOOKUP($F540,Productos!$A$2:$A1001,Productos!G$2:G1001,"")*$G540,"")</f>
        <v/>
      </c>
      <c r="O540" s="179" t="str">
        <f t="array" ref="O540">IF($F540&lt;&gt;"",XLOOKUP($F540,Productos!$A:$A,Productos!H:H,"Revisar"),"")</f>
        <v/>
      </c>
      <c r="P540" s="179" t="str">
        <f t="array" ref="P540">IF($F540&lt;&gt;"", XLOOKUP($F540,Productos!$A$2:$A1001,Productos!I$2:I1001,"")*$G540,"")</f>
        <v/>
      </c>
      <c r="Q540" s="179" t="str">
        <f t="array" ref="Q540">IF($F540&lt;&gt;"",XLOOKUP($F540,Productos!$A:$A,Productos!J:J,"Revisar"),"")</f>
        <v/>
      </c>
      <c r="R540" s="179" t="str">
        <f t="array" ref="R540">IF($F540&lt;&gt;"", XLOOKUP($F540,Productos!$A$2:$A1001,Productos!K$2:K1001,"")*$G540,"")</f>
        <v/>
      </c>
      <c r="S540" s="179" t="str">
        <f t="array" ref="S540">IF($F540&lt;&gt;"",XLOOKUP($F540,Productos!$A:$A,Productos!L:L,"Revisar"),"")</f>
        <v/>
      </c>
      <c r="T540" s="179" t="str">
        <f t="array" ref="T540">IF($F540&lt;&gt;"", XLOOKUP($F540,Productos!$A$2:$A1001,Productos!M$2:M1001,"")*$G540,"")</f>
        <v/>
      </c>
      <c r="U540" s="179" t="str">
        <f t="array" ref="U540">IF($F540&lt;&gt;"",XLOOKUP($F540,Productos!$A:$A,Productos!N:N,"Revisar"),"")</f>
        <v/>
      </c>
      <c r="V540" s="179" t="str">
        <f t="array" ref="V540">IF($F540&lt;&gt;"", XLOOKUP($F540,Productos!$A$2:$A1001,Productos!O$2:O1001,"")*$G540,"")</f>
        <v/>
      </c>
      <c r="W540" s="179" t="str">
        <f t="array" ref="W540">IF($F540&lt;&gt;"",XLOOKUP($F540,Productos!$A:$A,Productos!P:P,"Revisar"),"")</f>
        <v/>
      </c>
      <c r="X540" s="179" t="str">
        <f t="array" ref="X540">IF($F540&lt;&gt;"", XLOOKUP($F540,Productos!$A$2:$A1001,Productos!Q$2:Q1001,"")*$G540,"")</f>
        <v/>
      </c>
      <c r="Y540" s="179" t="str">
        <f t="array" ref="Y540">IF($F540&lt;&gt;"",XLOOKUP($F540,Productos!$A:$A,Productos!R:R,"Revisar"),"")</f>
        <v/>
      </c>
      <c r="Z540" s="179" t="str">
        <f t="array" ref="Z540">IF($F540&lt;&gt;"", XLOOKUP($F540,Productos!$A$2:$A1001,Productos!S$2:S1001,"")*$G540,"")</f>
        <v/>
      </c>
      <c r="AA540" s="179" t="str">
        <f t="array" ref="AA540">IF($F540&lt;&gt;"",XLOOKUP($F540,Productos!$A:$A,Productos!T:T,"Revisar"),"")</f>
        <v/>
      </c>
      <c r="AB540" s="179" t="str">
        <f t="array" ref="AB540">IF($F540&lt;&gt;"", XLOOKUP($F540,Productos!$A$2:$A1001,Productos!U$2:U1001,"")*$G540,"")</f>
        <v/>
      </c>
      <c r="AC540" s="179" t="str">
        <f t="array" ref="AC540">IF($F540&lt;&gt;"",XLOOKUP($F540,Productos!$A:$A,Productos!V:V,"Revisar"),"")</f>
        <v/>
      </c>
      <c r="AD540" s="179" t="str">
        <f t="array" ref="AD540">IF($F540&lt;&gt;"", XLOOKUP($F540,Productos!$A$2:$A1001,Productos!W$2:W1001,"")*$G540,"")</f>
        <v/>
      </c>
      <c r="AE540" s="179" t="str">
        <f t="array" ref="AE540">IF($F540&lt;&gt;"",XLOOKUP($F540,Productos!$A:$A,Productos!X:X,"Revisar"),"")</f>
        <v/>
      </c>
      <c r="AF540" s="179" t="str">
        <f t="array" ref="AF540">IF($F540&lt;&gt;"", XLOOKUP($F540,Productos!$A$2:$A1001,Productos!Y$2:Y1001,"")*$G540,"")</f>
        <v/>
      </c>
      <c r="AG540" s="179" t="str">
        <f t="array" ref="AG540">IF($F540&lt;&gt;"",XLOOKUP($F540,Productos!$A:$A,Productos!Z:Z,"Revisar"),"")</f>
        <v/>
      </c>
      <c r="AH540" s="179" t="str">
        <f t="array" ref="AH540">IF($F540&lt;&gt;"", XLOOKUP($F540,Productos!$A$2:$A1001,Productos!AA$2:AA1001,"")*$G540,"")</f>
        <v/>
      </c>
      <c r="AI540" s="179" t="str">
        <f t="array" ref="AI540">IF($F540&lt;&gt;"",XLOOKUP($F540,Productos!$A:$A,Productos!AB:AB,"Revisar"),"")</f>
        <v/>
      </c>
      <c r="AJ540" s="179" t="str">
        <f t="array" ref="AJ540">IF($F540&lt;&gt;"", XLOOKUP($F540,Productos!$A$2:$A1001,Productos!AC$2:AC1001,"")*$G540,"")</f>
        <v/>
      </c>
      <c r="AK540" s="179" t="str">
        <f t="array" ref="AK540">IF($F540&lt;&gt;"",XLOOKUP($F540,Productos!$A:$A,Productos!AD:AD,"Revisar"),"")</f>
        <v/>
      </c>
      <c r="AL540" s="179" t="str">
        <f t="array" ref="AL540">IF($F540&lt;&gt;"", XLOOKUP($F540,Productos!$A$2:$A1001,Productos!AE$2:AE1001,"")*$G540,"")</f>
        <v/>
      </c>
      <c r="AM540" s="179" t="str">
        <f t="array" ref="AM540">IF($F540&lt;&gt;"",XLOOKUP($F540,Productos!$A:$A,Productos!AF:AF,"Revisar"),"")</f>
        <v/>
      </c>
      <c r="AN540" s="179" t="str">
        <f t="array" ref="AN540">IF($F540&lt;&gt;"", XLOOKUP($F540,Productos!$A$2:$A1001,Productos!AG$2:AG1001,"")*$G540,"")</f>
        <v/>
      </c>
      <c r="AO540" s="179" t="str">
        <f t="array" ref="AO540">IF($F540&lt;&gt;"",XLOOKUP($F540,Productos!$A:$A,Productos!AH:AH,"Revisar"),"")</f>
        <v/>
      </c>
      <c r="AP540" s="179" t="str">
        <f t="array" ref="AP540">IF($F540&lt;&gt;"", XLOOKUP($F540,Productos!$A$2:$A1001,Productos!AI$2:AI1001,"")*$G540,"")</f>
        <v/>
      </c>
      <c r="AQ540" s="179" t="str">
        <f t="array" ref="AQ540">IF($F540&lt;&gt;"",XLOOKUP($F540,Productos!$A:$A,Productos!AJ:AJ,"Revisar"),"")</f>
        <v/>
      </c>
      <c r="AR540" s="179" t="str">
        <f t="array" ref="AR540">IF($F540&lt;&gt;"", XLOOKUP($F540,Productos!$A$2:$A1001,Productos!AK$2:AK1001,"")*$G540,"")</f>
        <v/>
      </c>
      <c r="AS540" s="179" t="str">
        <f t="array" ref="AS540">IF($F540&lt;&gt;"",XLOOKUP($F540,Productos!$A:$A,Productos!AL:AL,"Revisar"),"")</f>
        <v/>
      </c>
      <c r="AT540" s="179" t="str">
        <f t="array" ref="AT540">IF($F540&lt;&gt;"", XLOOKUP($F540,Productos!$A$2:$A1001,Productos!AM$2:AM1001,"")*$G540,"")</f>
        <v/>
      </c>
      <c r="AU540" s="179" t="str">
        <f t="array" ref="AU540">IF($F540&lt;&gt;"",XLOOKUP($F540,Productos!$A:$A,Productos!AN:AN,"Revisar"),"")</f>
        <v/>
      </c>
      <c r="AV540" s="179" t="str">
        <f t="array" ref="AV540">IF($F540&lt;&gt;"", XLOOKUP($F540,Productos!$A$2:$A1001,Productos!AO$2:AO1001,"")*$G540,"")</f>
        <v/>
      </c>
      <c r="AW540" s="179" t="str">
        <f t="array" ref="AW540">IF($F540&lt;&gt;"",XLOOKUP($F540,Productos!$A:$A,Productos!AP:AP,"Revisar"),"")</f>
        <v/>
      </c>
      <c r="AX540" s="179" t="str">
        <f t="array" ref="AX540">IF($F540&lt;&gt;"", XLOOKUP($F540,Productos!$A$2:$A1001,Productos!AQ$2:AQ1001,"")*$G540,"")</f>
        <v/>
      </c>
      <c r="AY540" s="179" t="str">
        <f t="array" ref="AY540">IF($F540&lt;&gt;"",XLOOKUP($F540,Productos!$A:$A,Productos!AR:AR,"Revisar"),"")</f>
        <v/>
      </c>
      <c r="AZ540" s="179" t="str">
        <f t="array" ref="AZ540">IF($F540&lt;&gt;"", XLOOKUP($F540,Productos!$A$2:$A1001,Productos!AS$2:AS1001,"")*$G540,"")</f>
        <v/>
      </c>
      <c r="BA540" s="179" t="str">
        <f t="array" ref="BA540">IF($F540&lt;&gt;"",XLOOKUP($F540,Productos!$A:$A,Productos!AT:AT,"Revisar"),"")</f>
        <v/>
      </c>
      <c r="BB540" s="179" t="str">
        <f t="array" ref="BB540">IF($F540&lt;&gt;"", XLOOKUP($F540,Productos!$A$2:$A1001,Productos!AU$2:AU1001,"")*$G540,"")</f>
        <v/>
      </c>
      <c r="BC540" s="179" t="str">
        <f t="array" ref="BC540">IF($F540&lt;&gt;"",XLOOKUP($F540,Productos!$A:$A,Productos!AV:AV,"Revisar"),"")</f>
        <v/>
      </c>
      <c r="BD540" s="179" t="str">
        <f t="array" ref="BD540">IF($F540&lt;&gt;"", XLOOKUP($F540,Productos!$A$2:$A1001,Productos!AW$2:AW1001,"")*$G540,"")</f>
        <v/>
      </c>
      <c r="BE540" s="179" t="str">
        <f t="array" ref="BE540">IF($F540&lt;&gt;"",XLOOKUP($F540,Productos!$A:$A,Productos!AX:AX,"Revisar"),"")</f>
        <v/>
      </c>
      <c r="BF540" s="179" t="str">
        <f t="array" ref="BF540">IF($F540&lt;&gt;"", XLOOKUP($F540,Productos!$A$2:$A1001,Productos!AY$2:AY1001,"")*$G540,"")</f>
        <v/>
      </c>
      <c r="BG540" s="179" t="str">
        <f t="array" ref="BG540">IF($F540&lt;&gt;"",XLOOKUP($F540,Productos!$A:$A,Productos!AZ:AZ,"Revisar"),"")</f>
        <v/>
      </c>
      <c r="BH540" s="179" t="str">
        <f t="array" ref="BH540">IF($F540&lt;&gt;"", XLOOKUP($F540,Productos!$A$2:$A1001,Productos!BA$2:BA1001,"")*$G540,"")</f>
        <v/>
      </c>
      <c r="BI540" s="179" t="str">
        <f t="array" ref="BI540">IF($F540&lt;&gt;"",XLOOKUP($F540,Productos!$A:$A,Productos!BB:BB,"Revisar"),"")</f>
        <v/>
      </c>
      <c r="BJ540" s="179" t="str">
        <f t="array" ref="BJ540">IF($F540&lt;&gt;"", XLOOKUP($F540,Productos!$A$2:$A1001,Productos!BC$2:BC1001,"")*$G540,"")</f>
        <v/>
      </c>
      <c r="BK540" s="179" t="str">
        <f t="array" ref="BK540">IF($F540&lt;&gt;"",XLOOKUP($F540,Productos!$A:$A,Productos!BD:BD,"Revisar"),"")</f>
        <v/>
      </c>
      <c r="BL540" s="179" t="str">
        <f t="array" ref="BL540">IF($F540&lt;&gt;"", XLOOKUP($F540,Productos!$A$2:$A1001,Productos!BE$2:BE1001,"")*$G540,"")</f>
        <v/>
      </c>
      <c r="BM540" s="179" t="str">
        <f t="array" ref="BM540">IF($F540&lt;&gt;"",XLOOKUP($F540,Productos!$A:$A,Productos!BF:BF,"Revisar"),"")</f>
        <v/>
      </c>
      <c r="BN540" s="179" t="str">
        <f t="array" ref="BN540">IF($F540&lt;&gt;"", XLOOKUP($F540,Productos!$A$2:$A1001,Productos!BG$2:BG1001,"")*$G540,"")</f>
        <v/>
      </c>
      <c r="BO540" s="179" t="str">
        <f t="array" ref="BO540">IF($F540&lt;&gt;"",XLOOKUP($F540,Productos!$A:$A,Productos!BH:BH,"Revisar"),"")</f>
        <v/>
      </c>
      <c r="BP540" s="179" t="str">
        <f t="array" ref="BP540">IF($F540&lt;&gt;"", XLOOKUP($F540,Productos!$A$2:$A1001,Productos!BI$2:BI1001,"")*$G540,"")</f>
        <v/>
      </c>
      <c r="BQ540" s="179" t="str">
        <f t="array" ref="BQ540">IF($F540&lt;&gt;"",XLOOKUP($F540,Productos!$A:$A,Productos!BJ:BJ,"Revisar"),"")</f>
        <v/>
      </c>
      <c r="BR540" s="179" t="str">
        <f t="array" ref="BR540">IF($F540&lt;&gt;"", XLOOKUP($F540,Productos!$A$2:$A1001,Productos!BK$2:BK1001,"")*$G540,"")</f>
        <v/>
      </c>
      <c r="BS540" s="179" t="str">
        <f t="array" ref="BS540">IF($F540&lt;&gt;"",XLOOKUP($F540,Productos!$A:$A,Productos!BL:BL,"Revisar"),"")</f>
        <v/>
      </c>
      <c r="BT540" s="179" t="str">
        <f t="array" ref="BT540">IF($F540&lt;&gt;"", XLOOKUP($F540,Productos!$A$2:$A1001,Productos!BM$2:BM1001,"")*$G540,"")</f>
        <v/>
      </c>
      <c r="BU540" s="179" t="str">
        <f t="array" ref="BU540">IF($F540&lt;&gt;"",XLOOKUP($F540,Productos!$A:$A,Productos!BN:BN,"Revisar"),"")</f>
        <v/>
      </c>
      <c r="BV540" s="179" t="str">
        <f t="array" ref="BV540">IF($F540&lt;&gt;"", XLOOKUP($F540,Productos!$A$2:$A1001,Productos!BO$2:BO1001,"")*$G540,"")</f>
        <v/>
      </c>
      <c r="BW540" s="179" t="str">
        <f t="array" ref="BW540">IF($F540&lt;&gt;"",XLOOKUP($F540,Productos!$A:$A,Productos!BP:BP,"Revisar"),"")</f>
        <v/>
      </c>
      <c r="BX540" s="179" t="str">
        <f t="array" ref="BX540">IF($F540&lt;&gt;"", XLOOKUP($F540,Productos!$A$2:$A1001,Productos!BQ$2:BQ1001,"")*$G540,"")</f>
        <v/>
      </c>
      <c r="BY540" s="179" t="str">
        <f t="array" ref="BY540">IF($F540&lt;&gt;"",XLOOKUP($F540,Productos!$A:$A,Productos!BR:BR,"Revisar"),"")</f>
        <v/>
      </c>
      <c r="BZ540" s="179" t="str">
        <f t="array" ref="BZ540">IF($F540&lt;&gt;"", XLOOKUP($F540,Productos!$A$2:$A1001,Productos!BS$2:BS1001,"")*$G540,"")</f>
        <v/>
      </c>
    </row>
    <row r="541">
      <c r="A541" s="188"/>
      <c r="B541" s="189"/>
      <c r="C541" s="190"/>
      <c r="D541" s="190"/>
      <c r="E541" s="191"/>
      <c r="F541" s="186"/>
      <c r="G541" s="192"/>
      <c r="H541" s="9"/>
      <c r="I541" s="179" t="str">
        <f t="array" ref="I541">IF($F541&lt;&gt;"",XLOOKUP($F541,Productos!$A:$A,Productos!B:B,"Revisar"),"")</f>
        <v/>
      </c>
      <c r="J541" s="179" t="str">
        <f t="array" ref="J541">IF($F541&lt;&gt;"", XLOOKUP($F541,Productos!$A$2:$A1001,Productos!C$2:C1001,"")*$G541,"")</f>
        <v/>
      </c>
      <c r="K541" s="179" t="str">
        <f t="array" ref="K541">IF($F541&lt;&gt;"",XLOOKUP($F541,Productos!$A:$A,Productos!D:D,"Revisar"),"")</f>
        <v/>
      </c>
      <c r="L541" s="179" t="str">
        <f t="array" ref="L541">IF($F541&lt;&gt;"", XLOOKUP($F541,Productos!$A$2:$A1001,Productos!E$2:E1001,"")*$G541,"")</f>
        <v/>
      </c>
      <c r="M541" s="179" t="str">
        <f t="array" ref="M541">IF($F541&lt;&gt;"",XLOOKUP($F541,Productos!$A:$A,Productos!F:F,"Revisar"),"")</f>
        <v/>
      </c>
      <c r="N541" s="179" t="str">
        <f t="array" ref="N541">IF($F541&lt;&gt;"", XLOOKUP($F541,Productos!$A$2:$A1001,Productos!G$2:G1001,"")*$G541,"")</f>
        <v/>
      </c>
      <c r="O541" s="179" t="str">
        <f t="array" ref="O541">IF($F541&lt;&gt;"",XLOOKUP($F541,Productos!$A:$A,Productos!H:H,"Revisar"),"")</f>
        <v/>
      </c>
      <c r="P541" s="179" t="str">
        <f t="array" ref="P541">IF($F541&lt;&gt;"", XLOOKUP($F541,Productos!$A$2:$A1001,Productos!I$2:I1001,"")*$G541,"")</f>
        <v/>
      </c>
      <c r="Q541" s="179" t="str">
        <f t="array" ref="Q541">IF($F541&lt;&gt;"",XLOOKUP($F541,Productos!$A:$A,Productos!J:J,"Revisar"),"")</f>
        <v/>
      </c>
      <c r="R541" s="179" t="str">
        <f t="array" ref="R541">IF($F541&lt;&gt;"", XLOOKUP($F541,Productos!$A$2:$A1001,Productos!K$2:K1001,"")*$G541,"")</f>
        <v/>
      </c>
      <c r="S541" s="179" t="str">
        <f t="array" ref="S541">IF($F541&lt;&gt;"",XLOOKUP($F541,Productos!$A:$A,Productos!L:L,"Revisar"),"")</f>
        <v/>
      </c>
      <c r="T541" s="179" t="str">
        <f t="array" ref="T541">IF($F541&lt;&gt;"", XLOOKUP($F541,Productos!$A$2:$A1001,Productos!M$2:M1001,"")*$G541,"")</f>
        <v/>
      </c>
      <c r="U541" s="179" t="str">
        <f t="array" ref="U541">IF($F541&lt;&gt;"",XLOOKUP($F541,Productos!$A:$A,Productos!N:N,"Revisar"),"")</f>
        <v/>
      </c>
      <c r="V541" s="179" t="str">
        <f t="array" ref="V541">IF($F541&lt;&gt;"", XLOOKUP($F541,Productos!$A$2:$A1001,Productos!O$2:O1001,"")*$G541,"")</f>
        <v/>
      </c>
      <c r="W541" s="179" t="str">
        <f t="array" ref="W541">IF($F541&lt;&gt;"",XLOOKUP($F541,Productos!$A:$A,Productos!P:P,"Revisar"),"")</f>
        <v/>
      </c>
      <c r="X541" s="179" t="str">
        <f t="array" ref="X541">IF($F541&lt;&gt;"", XLOOKUP($F541,Productos!$A$2:$A1001,Productos!Q$2:Q1001,"")*$G541,"")</f>
        <v/>
      </c>
      <c r="Y541" s="179" t="str">
        <f t="array" ref="Y541">IF($F541&lt;&gt;"",XLOOKUP($F541,Productos!$A:$A,Productos!R:R,"Revisar"),"")</f>
        <v/>
      </c>
      <c r="Z541" s="179" t="str">
        <f t="array" ref="Z541">IF($F541&lt;&gt;"", XLOOKUP($F541,Productos!$A$2:$A1001,Productos!S$2:S1001,"")*$G541,"")</f>
        <v/>
      </c>
      <c r="AA541" s="179" t="str">
        <f t="array" ref="AA541">IF($F541&lt;&gt;"",XLOOKUP($F541,Productos!$A:$A,Productos!T:T,"Revisar"),"")</f>
        <v/>
      </c>
      <c r="AB541" s="179" t="str">
        <f t="array" ref="AB541">IF($F541&lt;&gt;"", XLOOKUP($F541,Productos!$A$2:$A1001,Productos!U$2:U1001,"")*$G541,"")</f>
        <v/>
      </c>
      <c r="AC541" s="179" t="str">
        <f t="array" ref="AC541">IF($F541&lt;&gt;"",XLOOKUP($F541,Productos!$A:$A,Productos!V:V,"Revisar"),"")</f>
        <v/>
      </c>
      <c r="AD541" s="179" t="str">
        <f t="array" ref="AD541">IF($F541&lt;&gt;"", XLOOKUP($F541,Productos!$A$2:$A1001,Productos!W$2:W1001,"")*$G541,"")</f>
        <v/>
      </c>
      <c r="AE541" s="179" t="str">
        <f t="array" ref="AE541">IF($F541&lt;&gt;"",XLOOKUP($F541,Productos!$A:$A,Productos!X:X,"Revisar"),"")</f>
        <v/>
      </c>
      <c r="AF541" s="179" t="str">
        <f t="array" ref="AF541">IF($F541&lt;&gt;"", XLOOKUP($F541,Productos!$A$2:$A1001,Productos!Y$2:Y1001,"")*$G541,"")</f>
        <v/>
      </c>
      <c r="AG541" s="179" t="str">
        <f t="array" ref="AG541">IF($F541&lt;&gt;"",XLOOKUP($F541,Productos!$A:$A,Productos!Z:Z,"Revisar"),"")</f>
        <v/>
      </c>
      <c r="AH541" s="179" t="str">
        <f t="array" ref="AH541">IF($F541&lt;&gt;"", XLOOKUP($F541,Productos!$A$2:$A1001,Productos!AA$2:AA1001,"")*$G541,"")</f>
        <v/>
      </c>
      <c r="AI541" s="179" t="str">
        <f t="array" ref="AI541">IF($F541&lt;&gt;"",XLOOKUP($F541,Productos!$A:$A,Productos!AB:AB,"Revisar"),"")</f>
        <v/>
      </c>
      <c r="AJ541" s="179" t="str">
        <f t="array" ref="AJ541">IF($F541&lt;&gt;"", XLOOKUP($F541,Productos!$A$2:$A1001,Productos!AC$2:AC1001,"")*$G541,"")</f>
        <v/>
      </c>
      <c r="AK541" s="179" t="str">
        <f t="array" ref="AK541">IF($F541&lt;&gt;"",XLOOKUP($F541,Productos!$A:$A,Productos!AD:AD,"Revisar"),"")</f>
        <v/>
      </c>
      <c r="AL541" s="179" t="str">
        <f t="array" ref="AL541">IF($F541&lt;&gt;"", XLOOKUP($F541,Productos!$A$2:$A1001,Productos!AE$2:AE1001,"")*$G541,"")</f>
        <v/>
      </c>
      <c r="AM541" s="179" t="str">
        <f t="array" ref="AM541">IF($F541&lt;&gt;"",XLOOKUP($F541,Productos!$A:$A,Productos!AF:AF,"Revisar"),"")</f>
        <v/>
      </c>
      <c r="AN541" s="179" t="str">
        <f t="array" ref="AN541">IF($F541&lt;&gt;"", XLOOKUP($F541,Productos!$A$2:$A1001,Productos!AG$2:AG1001,"")*$G541,"")</f>
        <v/>
      </c>
      <c r="AO541" s="179" t="str">
        <f t="array" ref="AO541">IF($F541&lt;&gt;"",XLOOKUP($F541,Productos!$A:$A,Productos!AH:AH,"Revisar"),"")</f>
        <v/>
      </c>
      <c r="AP541" s="179" t="str">
        <f t="array" ref="AP541">IF($F541&lt;&gt;"", XLOOKUP($F541,Productos!$A$2:$A1001,Productos!AI$2:AI1001,"")*$G541,"")</f>
        <v/>
      </c>
      <c r="AQ541" s="179" t="str">
        <f t="array" ref="AQ541">IF($F541&lt;&gt;"",XLOOKUP($F541,Productos!$A:$A,Productos!AJ:AJ,"Revisar"),"")</f>
        <v/>
      </c>
      <c r="AR541" s="179" t="str">
        <f t="array" ref="AR541">IF($F541&lt;&gt;"", XLOOKUP($F541,Productos!$A$2:$A1001,Productos!AK$2:AK1001,"")*$G541,"")</f>
        <v/>
      </c>
      <c r="AS541" s="179" t="str">
        <f t="array" ref="AS541">IF($F541&lt;&gt;"",XLOOKUP($F541,Productos!$A:$A,Productos!AL:AL,"Revisar"),"")</f>
        <v/>
      </c>
      <c r="AT541" s="179" t="str">
        <f t="array" ref="AT541">IF($F541&lt;&gt;"", XLOOKUP($F541,Productos!$A$2:$A1001,Productos!AM$2:AM1001,"")*$G541,"")</f>
        <v/>
      </c>
      <c r="AU541" s="179" t="str">
        <f t="array" ref="AU541">IF($F541&lt;&gt;"",XLOOKUP($F541,Productos!$A:$A,Productos!AN:AN,"Revisar"),"")</f>
        <v/>
      </c>
      <c r="AV541" s="179" t="str">
        <f t="array" ref="AV541">IF($F541&lt;&gt;"", XLOOKUP($F541,Productos!$A$2:$A1001,Productos!AO$2:AO1001,"")*$G541,"")</f>
        <v/>
      </c>
      <c r="AW541" s="179" t="str">
        <f t="array" ref="AW541">IF($F541&lt;&gt;"",XLOOKUP($F541,Productos!$A:$A,Productos!AP:AP,"Revisar"),"")</f>
        <v/>
      </c>
      <c r="AX541" s="179" t="str">
        <f t="array" ref="AX541">IF($F541&lt;&gt;"", XLOOKUP($F541,Productos!$A$2:$A1001,Productos!AQ$2:AQ1001,"")*$G541,"")</f>
        <v/>
      </c>
      <c r="AY541" s="179" t="str">
        <f t="array" ref="AY541">IF($F541&lt;&gt;"",XLOOKUP($F541,Productos!$A:$A,Productos!AR:AR,"Revisar"),"")</f>
        <v/>
      </c>
      <c r="AZ541" s="179" t="str">
        <f t="array" ref="AZ541">IF($F541&lt;&gt;"", XLOOKUP($F541,Productos!$A$2:$A1001,Productos!AS$2:AS1001,"")*$G541,"")</f>
        <v/>
      </c>
      <c r="BA541" s="179" t="str">
        <f t="array" ref="BA541">IF($F541&lt;&gt;"",XLOOKUP($F541,Productos!$A:$A,Productos!AT:AT,"Revisar"),"")</f>
        <v/>
      </c>
      <c r="BB541" s="179" t="str">
        <f t="array" ref="BB541">IF($F541&lt;&gt;"", XLOOKUP($F541,Productos!$A$2:$A1001,Productos!AU$2:AU1001,"")*$G541,"")</f>
        <v/>
      </c>
      <c r="BC541" s="179" t="str">
        <f t="array" ref="BC541">IF($F541&lt;&gt;"",XLOOKUP($F541,Productos!$A:$A,Productos!AV:AV,"Revisar"),"")</f>
        <v/>
      </c>
      <c r="BD541" s="179" t="str">
        <f t="array" ref="BD541">IF($F541&lt;&gt;"", XLOOKUP($F541,Productos!$A$2:$A1001,Productos!AW$2:AW1001,"")*$G541,"")</f>
        <v/>
      </c>
      <c r="BE541" s="179" t="str">
        <f t="array" ref="BE541">IF($F541&lt;&gt;"",XLOOKUP($F541,Productos!$A:$A,Productos!AX:AX,"Revisar"),"")</f>
        <v/>
      </c>
      <c r="BF541" s="179" t="str">
        <f t="array" ref="BF541">IF($F541&lt;&gt;"", XLOOKUP($F541,Productos!$A$2:$A1001,Productos!AY$2:AY1001,"")*$G541,"")</f>
        <v/>
      </c>
      <c r="BG541" s="179" t="str">
        <f t="array" ref="BG541">IF($F541&lt;&gt;"",XLOOKUP($F541,Productos!$A:$A,Productos!AZ:AZ,"Revisar"),"")</f>
        <v/>
      </c>
      <c r="BH541" s="179" t="str">
        <f t="array" ref="BH541">IF($F541&lt;&gt;"", XLOOKUP($F541,Productos!$A$2:$A1001,Productos!BA$2:BA1001,"")*$G541,"")</f>
        <v/>
      </c>
      <c r="BI541" s="179" t="str">
        <f t="array" ref="BI541">IF($F541&lt;&gt;"",XLOOKUP($F541,Productos!$A:$A,Productos!BB:BB,"Revisar"),"")</f>
        <v/>
      </c>
      <c r="BJ541" s="179" t="str">
        <f t="array" ref="BJ541">IF($F541&lt;&gt;"", XLOOKUP($F541,Productos!$A$2:$A1001,Productos!BC$2:BC1001,"")*$G541,"")</f>
        <v/>
      </c>
      <c r="BK541" s="179" t="str">
        <f t="array" ref="BK541">IF($F541&lt;&gt;"",XLOOKUP($F541,Productos!$A:$A,Productos!BD:BD,"Revisar"),"")</f>
        <v/>
      </c>
      <c r="BL541" s="179" t="str">
        <f t="array" ref="BL541">IF($F541&lt;&gt;"", XLOOKUP($F541,Productos!$A$2:$A1001,Productos!BE$2:BE1001,"")*$G541,"")</f>
        <v/>
      </c>
      <c r="BM541" s="179" t="str">
        <f t="array" ref="BM541">IF($F541&lt;&gt;"",XLOOKUP($F541,Productos!$A:$A,Productos!BF:BF,"Revisar"),"")</f>
        <v/>
      </c>
      <c r="BN541" s="179" t="str">
        <f t="array" ref="BN541">IF($F541&lt;&gt;"", XLOOKUP($F541,Productos!$A$2:$A1001,Productos!BG$2:BG1001,"")*$G541,"")</f>
        <v/>
      </c>
      <c r="BO541" s="179" t="str">
        <f t="array" ref="BO541">IF($F541&lt;&gt;"",XLOOKUP($F541,Productos!$A:$A,Productos!BH:BH,"Revisar"),"")</f>
        <v/>
      </c>
      <c r="BP541" s="179" t="str">
        <f t="array" ref="BP541">IF($F541&lt;&gt;"", XLOOKUP($F541,Productos!$A$2:$A1001,Productos!BI$2:BI1001,"")*$G541,"")</f>
        <v/>
      </c>
      <c r="BQ541" s="179" t="str">
        <f t="array" ref="BQ541">IF($F541&lt;&gt;"",XLOOKUP($F541,Productos!$A:$A,Productos!BJ:BJ,"Revisar"),"")</f>
        <v/>
      </c>
      <c r="BR541" s="179" t="str">
        <f t="array" ref="BR541">IF($F541&lt;&gt;"", XLOOKUP($F541,Productos!$A$2:$A1001,Productos!BK$2:BK1001,"")*$G541,"")</f>
        <v/>
      </c>
      <c r="BS541" s="179" t="str">
        <f t="array" ref="BS541">IF($F541&lt;&gt;"",XLOOKUP($F541,Productos!$A:$A,Productos!BL:BL,"Revisar"),"")</f>
        <v/>
      </c>
      <c r="BT541" s="179" t="str">
        <f t="array" ref="BT541">IF($F541&lt;&gt;"", XLOOKUP($F541,Productos!$A$2:$A1001,Productos!BM$2:BM1001,"")*$G541,"")</f>
        <v/>
      </c>
      <c r="BU541" s="179" t="str">
        <f t="array" ref="BU541">IF($F541&lt;&gt;"",XLOOKUP($F541,Productos!$A:$A,Productos!BN:BN,"Revisar"),"")</f>
        <v/>
      </c>
      <c r="BV541" s="179" t="str">
        <f t="array" ref="BV541">IF($F541&lt;&gt;"", XLOOKUP($F541,Productos!$A$2:$A1001,Productos!BO$2:BO1001,"")*$G541,"")</f>
        <v/>
      </c>
      <c r="BW541" s="179" t="str">
        <f t="array" ref="BW541">IF($F541&lt;&gt;"",XLOOKUP($F541,Productos!$A:$A,Productos!BP:BP,"Revisar"),"")</f>
        <v/>
      </c>
      <c r="BX541" s="179" t="str">
        <f t="array" ref="BX541">IF($F541&lt;&gt;"", XLOOKUP($F541,Productos!$A$2:$A1001,Productos!BQ$2:BQ1001,"")*$G541,"")</f>
        <v/>
      </c>
      <c r="BY541" s="179" t="str">
        <f t="array" ref="BY541">IF($F541&lt;&gt;"",XLOOKUP($F541,Productos!$A:$A,Productos!BR:BR,"Revisar"),"")</f>
        <v/>
      </c>
      <c r="BZ541" s="179" t="str">
        <f t="array" ref="BZ541">IF($F541&lt;&gt;"", XLOOKUP($F541,Productos!$A$2:$A1001,Productos!BS$2:BS1001,"")*$G541,"")</f>
        <v/>
      </c>
    </row>
    <row r="542">
      <c r="A542" s="188"/>
      <c r="B542" s="189"/>
      <c r="C542" s="190"/>
      <c r="D542" s="190"/>
      <c r="E542" s="191"/>
      <c r="F542" s="186"/>
      <c r="G542" s="192"/>
      <c r="H542" s="9"/>
      <c r="I542" s="179" t="str">
        <f t="array" ref="I542">IF($F542&lt;&gt;"",XLOOKUP($F542,Productos!$A:$A,Productos!B:B,"Revisar"),"")</f>
        <v/>
      </c>
      <c r="J542" s="179" t="str">
        <f t="array" ref="J542">IF($F542&lt;&gt;"", XLOOKUP($F542,Productos!$A$2:$A1001,Productos!C$2:C1001,"")*$G542,"")</f>
        <v/>
      </c>
      <c r="K542" s="179" t="str">
        <f t="array" ref="K542">IF($F542&lt;&gt;"",XLOOKUP($F542,Productos!$A:$A,Productos!D:D,"Revisar"),"")</f>
        <v/>
      </c>
      <c r="L542" s="179" t="str">
        <f t="array" ref="L542">IF($F542&lt;&gt;"", XLOOKUP($F542,Productos!$A$2:$A1001,Productos!E$2:E1001,"")*$G542,"")</f>
        <v/>
      </c>
      <c r="M542" s="179" t="str">
        <f t="array" ref="M542">IF($F542&lt;&gt;"",XLOOKUP($F542,Productos!$A:$A,Productos!F:F,"Revisar"),"")</f>
        <v/>
      </c>
      <c r="N542" s="179" t="str">
        <f t="array" ref="N542">IF($F542&lt;&gt;"", XLOOKUP($F542,Productos!$A$2:$A1001,Productos!G$2:G1001,"")*$G542,"")</f>
        <v/>
      </c>
      <c r="O542" s="179" t="str">
        <f t="array" ref="O542">IF($F542&lt;&gt;"",XLOOKUP($F542,Productos!$A:$A,Productos!H:H,"Revisar"),"")</f>
        <v/>
      </c>
      <c r="P542" s="179" t="str">
        <f t="array" ref="P542">IF($F542&lt;&gt;"", XLOOKUP($F542,Productos!$A$2:$A1001,Productos!I$2:I1001,"")*$G542,"")</f>
        <v/>
      </c>
      <c r="Q542" s="179" t="str">
        <f t="array" ref="Q542">IF($F542&lt;&gt;"",XLOOKUP($F542,Productos!$A:$A,Productos!J:J,"Revisar"),"")</f>
        <v/>
      </c>
      <c r="R542" s="179" t="str">
        <f t="array" ref="R542">IF($F542&lt;&gt;"", XLOOKUP($F542,Productos!$A$2:$A1001,Productos!K$2:K1001,"")*$G542,"")</f>
        <v/>
      </c>
      <c r="S542" s="179" t="str">
        <f t="array" ref="S542">IF($F542&lt;&gt;"",XLOOKUP($F542,Productos!$A:$A,Productos!L:L,"Revisar"),"")</f>
        <v/>
      </c>
      <c r="T542" s="179" t="str">
        <f t="array" ref="T542">IF($F542&lt;&gt;"", XLOOKUP($F542,Productos!$A$2:$A1001,Productos!M$2:M1001,"")*$G542,"")</f>
        <v/>
      </c>
      <c r="U542" s="179" t="str">
        <f t="array" ref="U542">IF($F542&lt;&gt;"",XLOOKUP($F542,Productos!$A:$A,Productos!N:N,"Revisar"),"")</f>
        <v/>
      </c>
      <c r="V542" s="179" t="str">
        <f t="array" ref="V542">IF($F542&lt;&gt;"", XLOOKUP($F542,Productos!$A$2:$A1001,Productos!O$2:O1001,"")*$G542,"")</f>
        <v/>
      </c>
      <c r="W542" s="179" t="str">
        <f t="array" ref="W542">IF($F542&lt;&gt;"",XLOOKUP($F542,Productos!$A:$A,Productos!P:P,"Revisar"),"")</f>
        <v/>
      </c>
      <c r="X542" s="179" t="str">
        <f t="array" ref="X542">IF($F542&lt;&gt;"", XLOOKUP($F542,Productos!$A$2:$A1001,Productos!Q$2:Q1001,"")*$G542,"")</f>
        <v/>
      </c>
      <c r="Y542" s="179" t="str">
        <f t="array" ref="Y542">IF($F542&lt;&gt;"",XLOOKUP($F542,Productos!$A:$A,Productos!R:R,"Revisar"),"")</f>
        <v/>
      </c>
      <c r="Z542" s="179" t="str">
        <f t="array" ref="Z542">IF($F542&lt;&gt;"", XLOOKUP($F542,Productos!$A$2:$A1001,Productos!S$2:S1001,"")*$G542,"")</f>
        <v/>
      </c>
      <c r="AA542" s="179" t="str">
        <f t="array" ref="AA542">IF($F542&lt;&gt;"",XLOOKUP($F542,Productos!$A:$A,Productos!T:T,"Revisar"),"")</f>
        <v/>
      </c>
      <c r="AB542" s="179" t="str">
        <f t="array" ref="AB542">IF($F542&lt;&gt;"", XLOOKUP($F542,Productos!$A$2:$A1001,Productos!U$2:U1001,"")*$G542,"")</f>
        <v/>
      </c>
      <c r="AC542" s="179" t="str">
        <f t="array" ref="AC542">IF($F542&lt;&gt;"",XLOOKUP($F542,Productos!$A:$A,Productos!V:V,"Revisar"),"")</f>
        <v/>
      </c>
      <c r="AD542" s="179" t="str">
        <f t="array" ref="AD542">IF($F542&lt;&gt;"", XLOOKUP($F542,Productos!$A$2:$A1001,Productos!W$2:W1001,"")*$G542,"")</f>
        <v/>
      </c>
      <c r="AE542" s="179" t="str">
        <f t="array" ref="AE542">IF($F542&lt;&gt;"",XLOOKUP($F542,Productos!$A:$A,Productos!X:X,"Revisar"),"")</f>
        <v/>
      </c>
      <c r="AF542" s="179" t="str">
        <f t="array" ref="AF542">IF($F542&lt;&gt;"", XLOOKUP($F542,Productos!$A$2:$A1001,Productos!Y$2:Y1001,"")*$G542,"")</f>
        <v/>
      </c>
      <c r="AG542" s="179" t="str">
        <f t="array" ref="AG542">IF($F542&lt;&gt;"",XLOOKUP($F542,Productos!$A:$A,Productos!Z:Z,"Revisar"),"")</f>
        <v/>
      </c>
      <c r="AH542" s="179" t="str">
        <f t="array" ref="AH542">IF($F542&lt;&gt;"", XLOOKUP($F542,Productos!$A$2:$A1001,Productos!AA$2:AA1001,"")*$G542,"")</f>
        <v/>
      </c>
      <c r="AI542" s="179" t="str">
        <f t="array" ref="AI542">IF($F542&lt;&gt;"",XLOOKUP($F542,Productos!$A:$A,Productos!AB:AB,"Revisar"),"")</f>
        <v/>
      </c>
      <c r="AJ542" s="179" t="str">
        <f t="array" ref="AJ542">IF($F542&lt;&gt;"", XLOOKUP($F542,Productos!$A$2:$A1001,Productos!AC$2:AC1001,"")*$G542,"")</f>
        <v/>
      </c>
      <c r="AK542" s="179" t="str">
        <f t="array" ref="AK542">IF($F542&lt;&gt;"",XLOOKUP($F542,Productos!$A:$A,Productos!AD:AD,"Revisar"),"")</f>
        <v/>
      </c>
      <c r="AL542" s="179" t="str">
        <f t="array" ref="AL542">IF($F542&lt;&gt;"", XLOOKUP($F542,Productos!$A$2:$A1001,Productos!AE$2:AE1001,"")*$G542,"")</f>
        <v/>
      </c>
      <c r="AM542" s="179" t="str">
        <f t="array" ref="AM542">IF($F542&lt;&gt;"",XLOOKUP($F542,Productos!$A:$A,Productos!AF:AF,"Revisar"),"")</f>
        <v/>
      </c>
      <c r="AN542" s="179" t="str">
        <f t="array" ref="AN542">IF($F542&lt;&gt;"", XLOOKUP($F542,Productos!$A$2:$A1001,Productos!AG$2:AG1001,"")*$G542,"")</f>
        <v/>
      </c>
      <c r="AO542" s="179" t="str">
        <f t="array" ref="AO542">IF($F542&lt;&gt;"",XLOOKUP($F542,Productos!$A:$A,Productos!AH:AH,"Revisar"),"")</f>
        <v/>
      </c>
      <c r="AP542" s="179" t="str">
        <f t="array" ref="AP542">IF($F542&lt;&gt;"", XLOOKUP($F542,Productos!$A$2:$A1001,Productos!AI$2:AI1001,"")*$G542,"")</f>
        <v/>
      </c>
      <c r="AQ542" s="179" t="str">
        <f t="array" ref="AQ542">IF($F542&lt;&gt;"",XLOOKUP($F542,Productos!$A:$A,Productos!AJ:AJ,"Revisar"),"")</f>
        <v/>
      </c>
      <c r="AR542" s="179" t="str">
        <f t="array" ref="AR542">IF($F542&lt;&gt;"", XLOOKUP($F542,Productos!$A$2:$A1001,Productos!AK$2:AK1001,"")*$G542,"")</f>
        <v/>
      </c>
      <c r="AS542" s="179" t="str">
        <f t="array" ref="AS542">IF($F542&lt;&gt;"",XLOOKUP($F542,Productos!$A:$A,Productos!AL:AL,"Revisar"),"")</f>
        <v/>
      </c>
      <c r="AT542" s="179" t="str">
        <f t="array" ref="AT542">IF($F542&lt;&gt;"", XLOOKUP($F542,Productos!$A$2:$A1001,Productos!AM$2:AM1001,"")*$G542,"")</f>
        <v/>
      </c>
      <c r="AU542" s="179" t="str">
        <f t="array" ref="AU542">IF($F542&lt;&gt;"",XLOOKUP($F542,Productos!$A:$A,Productos!AN:AN,"Revisar"),"")</f>
        <v/>
      </c>
      <c r="AV542" s="179" t="str">
        <f t="array" ref="AV542">IF($F542&lt;&gt;"", XLOOKUP($F542,Productos!$A$2:$A1001,Productos!AO$2:AO1001,"")*$G542,"")</f>
        <v/>
      </c>
      <c r="AW542" s="179" t="str">
        <f t="array" ref="AW542">IF($F542&lt;&gt;"",XLOOKUP($F542,Productos!$A:$A,Productos!AP:AP,"Revisar"),"")</f>
        <v/>
      </c>
      <c r="AX542" s="179" t="str">
        <f t="array" ref="AX542">IF($F542&lt;&gt;"", XLOOKUP($F542,Productos!$A$2:$A1001,Productos!AQ$2:AQ1001,"")*$G542,"")</f>
        <v/>
      </c>
      <c r="AY542" s="179" t="str">
        <f t="array" ref="AY542">IF($F542&lt;&gt;"",XLOOKUP($F542,Productos!$A:$A,Productos!AR:AR,"Revisar"),"")</f>
        <v/>
      </c>
      <c r="AZ542" s="179" t="str">
        <f t="array" ref="AZ542">IF($F542&lt;&gt;"", XLOOKUP($F542,Productos!$A$2:$A1001,Productos!AS$2:AS1001,"")*$G542,"")</f>
        <v/>
      </c>
      <c r="BA542" s="179" t="str">
        <f t="array" ref="BA542">IF($F542&lt;&gt;"",XLOOKUP($F542,Productos!$A:$A,Productos!AT:AT,"Revisar"),"")</f>
        <v/>
      </c>
      <c r="BB542" s="179" t="str">
        <f t="array" ref="BB542">IF($F542&lt;&gt;"", XLOOKUP($F542,Productos!$A$2:$A1001,Productos!AU$2:AU1001,"")*$G542,"")</f>
        <v/>
      </c>
      <c r="BC542" s="179" t="str">
        <f t="array" ref="BC542">IF($F542&lt;&gt;"",XLOOKUP($F542,Productos!$A:$A,Productos!AV:AV,"Revisar"),"")</f>
        <v/>
      </c>
      <c r="BD542" s="179" t="str">
        <f t="array" ref="BD542">IF($F542&lt;&gt;"", XLOOKUP($F542,Productos!$A$2:$A1001,Productos!AW$2:AW1001,"")*$G542,"")</f>
        <v/>
      </c>
      <c r="BE542" s="179" t="str">
        <f t="array" ref="BE542">IF($F542&lt;&gt;"",XLOOKUP($F542,Productos!$A:$A,Productos!AX:AX,"Revisar"),"")</f>
        <v/>
      </c>
      <c r="BF542" s="179" t="str">
        <f t="array" ref="BF542">IF($F542&lt;&gt;"", XLOOKUP($F542,Productos!$A$2:$A1001,Productos!AY$2:AY1001,"")*$G542,"")</f>
        <v/>
      </c>
      <c r="BG542" s="179" t="str">
        <f t="array" ref="BG542">IF($F542&lt;&gt;"",XLOOKUP($F542,Productos!$A:$A,Productos!AZ:AZ,"Revisar"),"")</f>
        <v/>
      </c>
      <c r="BH542" s="179" t="str">
        <f t="array" ref="BH542">IF($F542&lt;&gt;"", XLOOKUP($F542,Productos!$A$2:$A1001,Productos!BA$2:BA1001,"")*$G542,"")</f>
        <v/>
      </c>
      <c r="BI542" s="179" t="str">
        <f t="array" ref="BI542">IF($F542&lt;&gt;"",XLOOKUP($F542,Productos!$A:$A,Productos!BB:BB,"Revisar"),"")</f>
        <v/>
      </c>
      <c r="BJ542" s="179" t="str">
        <f t="array" ref="BJ542">IF($F542&lt;&gt;"", XLOOKUP($F542,Productos!$A$2:$A1001,Productos!BC$2:BC1001,"")*$G542,"")</f>
        <v/>
      </c>
      <c r="BK542" s="179" t="str">
        <f t="array" ref="BK542">IF($F542&lt;&gt;"",XLOOKUP($F542,Productos!$A:$A,Productos!BD:BD,"Revisar"),"")</f>
        <v/>
      </c>
      <c r="BL542" s="179" t="str">
        <f t="array" ref="BL542">IF($F542&lt;&gt;"", XLOOKUP($F542,Productos!$A$2:$A1001,Productos!BE$2:BE1001,"")*$G542,"")</f>
        <v/>
      </c>
      <c r="BM542" s="179" t="str">
        <f t="array" ref="BM542">IF($F542&lt;&gt;"",XLOOKUP($F542,Productos!$A:$A,Productos!BF:BF,"Revisar"),"")</f>
        <v/>
      </c>
      <c r="BN542" s="179" t="str">
        <f t="array" ref="BN542">IF($F542&lt;&gt;"", XLOOKUP($F542,Productos!$A$2:$A1001,Productos!BG$2:BG1001,"")*$G542,"")</f>
        <v/>
      </c>
      <c r="BO542" s="179" t="str">
        <f t="array" ref="BO542">IF($F542&lt;&gt;"",XLOOKUP($F542,Productos!$A:$A,Productos!BH:BH,"Revisar"),"")</f>
        <v/>
      </c>
      <c r="BP542" s="179" t="str">
        <f t="array" ref="BP542">IF($F542&lt;&gt;"", XLOOKUP($F542,Productos!$A$2:$A1001,Productos!BI$2:BI1001,"")*$G542,"")</f>
        <v/>
      </c>
      <c r="BQ542" s="179" t="str">
        <f t="array" ref="BQ542">IF($F542&lt;&gt;"",XLOOKUP($F542,Productos!$A:$A,Productos!BJ:BJ,"Revisar"),"")</f>
        <v/>
      </c>
      <c r="BR542" s="179" t="str">
        <f t="array" ref="BR542">IF($F542&lt;&gt;"", XLOOKUP($F542,Productos!$A$2:$A1001,Productos!BK$2:BK1001,"")*$G542,"")</f>
        <v/>
      </c>
      <c r="BS542" s="179" t="str">
        <f t="array" ref="BS542">IF($F542&lt;&gt;"",XLOOKUP($F542,Productos!$A:$A,Productos!BL:BL,"Revisar"),"")</f>
        <v/>
      </c>
      <c r="BT542" s="179" t="str">
        <f t="array" ref="BT542">IF($F542&lt;&gt;"", XLOOKUP($F542,Productos!$A$2:$A1001,Productos!BM$2:BM1001,"")*$G542,"")</f>
        <v/>
      </c>
      <c r="BU542" s="179" t="str">
        <f t="array" ref="BU542">IF($F542&lt;&gt;"",XLOOKUP($F542,Productos!$A:$A,Productos!BN:BN,"Revisar"),"")</f>
        <v/>
      </c>
      <c r="BV542" s="179" t="str">
        <f t="array" ref="BV542">IF($F542&lt;&gt;"", XLOOKUP($F542,Productos!$A$2:$A1001,Productos!BO$2:BO1001,"")*$G542,"")</f>
        <v/>
      </c>
      <c r="BW542" s="179" t="str">
        <f t="array" ref="BW542">IF($F542&lt;&gt;"",XLOOKUP($F542,Productos!$A:$A,Productos!BP:BP,"Revisar"),"")</f>
        <v/>
      </c>
      <c r="BX542" s="179" t="str">
        <f t="array" ref="BX542">IF($F542&lt;&gt;"", XLOOKUP($F542,Productos!$A$2:$A1001,Productos!BQ$2:BQ1001,"")*$G542,"")</f>
        <v/>
      </c>
      <c r="BY542" s="179" t="str">
        <f t="array" ref="BY542">IF($F542&lt;&gt;"",XLOOKUP($F542,Productos!$A:$A,Productos!BR:BR,"Revisar"),"")</f>
        <v/>
      </c>
      <c r="BZ542" s="179" t="str">
        <f t="array" ref="BZ542">IF($F542&lt;&gt;"", XLOOKUP($F542,Productos!$A$2:$A1001,Productos!BS$2:BS1001,"")*$G542,"")</f>
        <v/>
      </c>
    </row>
    <row r="543">
      <c r="A543" s="188"/>
      <c r="B543" s="189"/>
      <c r="C543" s="190"/>
      <c r="D543" s="190"/>
      <c r="E543" s="191"/>
      <c r="F543" s="186"/>
      <c r="G543" s="192"/>
      <c r="H543" s="9"/>
      <c r="I543" s="179" t="str">
        <f t="array" ref="I543">IF($F543&lt;&gt;"",XLOOKUP($F543,Productos!$A:$A,Productos!B:B,"Revisar"),"")</f>
        <v/>
      </c>
      <c r="J543" s="179" t="str">
        <f t="array" ref="J543">IF($F543&lt;&gt;"", XLOOKUP($F543,Productos!$A$2:$A1001,Productos!C$2:C1001,"")*$G543,"")</f>
        <v/>
      </c>
      <c r="K543" s="179" t="str">
        <f t="array" ref="K543">IF($F543&lt;&gt;"",XLOOKUP($F543,Productos!$A:$A,Productos!D:D,"Revisar"),"")</f>
        <v/>
      </c>
      <c r="L543" s="179" t="str">
        <f t="array" ref="L543">IF($F543&lt;&gt;"", XLOOKUP($F543,Productos!$A$2:$A1001,Productos!E$2:E1001,"")*$G543,"")</f>
        <v/>
      </c>
      <c r="M543" s="179" t="str">
        <f t="array" ref="M543">IF($F543&lt;&gt;"",XLOOKUP($F543,Productos!$A:$A,Productos!F:F,"Revisar"),"")</f>
        <v/>
      </c>
      <c r="N543" s="179" t="str">
        <f t="array" ref="N543">IF($F543&lt;&gt;"", XLOOKUP($F543,Productos!$A$2:$A1001,Productos!G$2:G1001,"")*$G543,"")</f>
        <v/>
      </c>
      <c r="O543" s="179" t="str">
        <f t="array" ref="O543">IF($F543&lt;&gt;"",XLOOKUP($F543,Productos!$A:$A,Productos!H:H,"Revisar"),"")</f>
        <v/>
      </c>
      <c r="P543" s="179" t="str">
        <f t="array" ref="P543">IF($F543&lt;&gt;"", XLOOKUP($F543,Productos!$A$2:$A1001,Productos!I$2:I1001,"")*$G543,"")</f>
        <v/>
      </c>
      <c r="Q543" s="179" t="str">
        <f t="array" ref="Q543">IF($F543&lt;&gt;"",XLOOKUP($F543,Productos!$A:$A,Productos!J:J,"Revisar"),"")</f>
        <v/>
      </c>
      <c r="R543" s="179" t="str">
        <f t="array" ref="R543">IF($F543&lt;&gt;"", XLOOKUP($F543,Productos!$A$2:$A1001,Productos!K$2:K1001,"")*$G543,"")</f>
        <v/>
      </c>
      <c r="S543" s="179" t="str">
        <f t="array" ref="S543">IF($F543&lt;&gt;"",XLOOKUP($F543,Productos!$A:$A,Productos!L:L,"Revisar"),"")</f>
        <v/>
      </c>
      <c r="T543" s="179" t="str">
        <f t="array" ref="T543">IF($F543&lt;&gt;"", XLOOKUP($F543,Productos!$A$2:$A1001,Productos!M$2:M1001,"")*$G543,"")</f>
        <v/>
      </c>
      <c r="U543" s="179" t="str">
        <f t="array" ref="U543">IF($F543&lt;&gt;"",XLOOKUP($F543,Productos!$A:$A,Productos!N:N,"Revisar"),"")</f>
        <v/>
      </c>
      <c r="V543" s="179" t="str">
        <f t="array" ref="V543">IF($F543&lt;&gt;"", XLOOKUP($F543,Productos!$A$2:$A1001,Productos!O$2:O1001,"")*$G543,"")</f>
        <v/>
      </c>
      <c r="W543" s="179" t="str">
        <f t="array" ref="W543">IF($F543&lt;&gt;"",XLOOKUP($F543,Productos!$A:$A,Productos!P:P,"Revisar"),"")</f>
        <v/>
      </c>
      <c r="X543" s="179" t="str">
        <f t="array" ref="X543">IF($F543&lt;&gt;"", XLOOKUP($F543,Productos!$A$2:$A1001,Productos!Q$2:Q1001,"")*$G543,"")</f>
        <v/>
      </c>
      <c r="Y543" s="179" t="str">
        <f t="array" ref="Y543">IF($F543&lt;&gt;"",XLOOKUP($F543,Productos!$A:$A,Productos!R:R,"Revisar"),"")</f>
        <v/>
      </c>
      <c r="Z543" s="179" t="str">
        <f t="array" ref="Z543">IF($F543&lt;&gt;"", XLOOKUP($F543,Productos!$A$2:$A1001,Productos!S$2:S1001,"")*$G543,"")</f>
        <v/>
      </c>
      <c r="AA543" s="179" t="str">
        <f t="array" ref="AA543">IF($F543&lt;&gt;"",XLOOKUP($F543,Productos!$A:$A,Productos!T:T,"Revisar"),"")</f>
        <v/>
      </c>
      <c r="AB543" s="179" t="str">
        <f t="array" ref="AB543">IF($F543&lt;&gt;"", XLOOKUP($F543,Productos!$A$2:$A1001,Productos!U$2:U1001,"")*$G543,"")</f>
        <v/>
      </c>
      <c r="AC543" s="179" t="str">
        <f t="array" ref="AC543">IF($F543&lt;&gt;"",XLOOKUP($F543,Productos!$A:$A,Productos!V:V,"Revisar"),"")</f>
        <v/>
      </c>
      <c r="AD543" s="179" t="str">
        <f t="array" ref="AD543">IF($F543&lt;&gt;"", XLOOKUP($F543,Productos!$A$2:$A1001,Productos!W$2:W1001,"")*$G543,"")</f>
        <v/>
      </c>
      <c r="AE543" s="179" t="str">
        <f t="array" ref="AE543">IF($F543&lt;&gt;"",XLOOKUP($F543,Productos!$A:$A,Productos!X:X,"Revisar"),"")</f>
        <v/>
      </c>
      <c r="AF543" s="179" t="str">
        <f t="array" ref="AF543">IF($F543&lt;&gt;"", XLOOKUP($F543,Productos!$A$2:$A1001,Productos!Y$2:Y1001,"")*$G543,"")</f>
        <v/>
      </c>
      <c r="AG543" s="179" t="str">
        <f t="array" ref="AG543">IF($F543&lt;&gt;"",XLOOKUP($F543,Productos!$A:$A,Productos!Z:Z,"Revisar"),"")</f>
        <v/>
      </c>
      <c r="AH543" s="179" t="str">
        <f t="array" ref="AH543">IF($F543&lt;&gt;"", XLOOKUP($F543,Productos!$A$2:$A1001,Productos!AA$2:AA1001,"")*$G543,"")</f>
        <v/>
      </c>
      <c r="AI543" s="179" t="str">
        <f t="array" ref="AI543">IF($F543&lt;&gt;"",XLOOKUP($F543,Productos!$A:$A,Productos!AB:AB,"Revisar"),"")</f>
        <v/>
      </c>
      <c r="AJ543" s="179" t="str">
        <f t="array" ref="AJ543">IF($F543&lt;&gt;"", XLOOKUP($F543,Productos!$A$2:$A1001,Productos!AC$2:AC1001,"")*$G543,"")</f>
        <v/>
      </c>
      <c r="AK543" s="179" t="str">
        <f t="array" ref="AK543">IF($F543&lt;&gt;"",XLOOKUP($F543,Productos!$A:$A,Productos!AD:AD,"Revisar"),"")</f>
        <v/>
      </c>
      <c r="AL543" s="179" t="str">
        <f t="array" ref="AL543">IF($F543&lt;&gt;"", XLOOKUP($F543,Productos!$A$2:$A1001,Productos!AE$2:AE1001,"")*$G543,"")</f>
        <v/>
      </c>
      <c r="AM543" s="179" t="str">
        <f t="array" ref="AM543">IF($F543&lt;&gt;"",XLOOKUP($F543,Productos!$A:$A,Productos!AF:AF,"Revisar"),"")</f>
        <v/>
      </c>
      <c r="AN543" s="179" t="str">
        <f t="array" ref="AN543">IF($F543&lt;&gt;"", XLOOKUP($F543,Productos!$A$2:$A1001,Productos!AG$2:AG1001,"")*$G543,"")</f>
        <v/>
      </c>
      <c r="AO543" s="179" t="str">
        <f t="array" ref="AO543">IF($F543&lt;&gt;"",XLOOKUP($F543,Productos!$A:$A,Productos!AH:AH,"Revisar"),"")</f>
        <v/>
      </c>
      <c r="AP543" s="179" t="str">
        <f t="array" ref="AP543">IF($F543&lt;&gt;"", XLOOKUP($F543,Productos!$A$2:$A1001,Productos!AI$2:AI1001,"")*$G543,"")</f>
        <v/>
      </c>
      <c r="AQ543" s="179" t="str">
        <f t="array" ref="AQ543">IF($F543&lt;&gt;"",XLOOKUP($F543,Productos!$A:$A,Productos!AJ:AJ,"Revisar"),"")</f>
        <v/>
      </c>
      <c r="AR543" s="179" t="str">
        <f t="array" ref="AR543">IF($F543&lt;&gt;"", XLOOKUP($F543,Productos!$A$2:$A1001,Productos!AK$2:AK1001,"")*$G543,"")</f>
        <v/>
      </c>
      <c r="AS543" s="179" t="str">
        <f t="array" ref="AS543">IF($F543&lt;&gt;"",XLOOKUP($F543,Productos!$A:$A,Productos!AL:AL,"Revisar"),"")</f>
        <v/>
      </c>
      <c r="AT543" s="179" t="str">
        <f t="array" ref="AT543">IF($F543&lt;&gt;"", XLOOKUP($F543,Productos!$A$2:$A1001,Productos!AM$2:AM1001,"")*$G543,"")</f>
        <v/>
      </c>
      <c r="AU543" s="179" t="str">
        <f t="array" ref="AU543">IF($F543&lt;&gt;"",XLOOKUP($F543,Productos!$A:$A,Productos!AN:AN,"Revisar"),"")</f>
        <v/>
      </c>
      <c r="AV543" s="179" t="str">
        <f t="array" ref="AV543">IF($F543&lt;&gt;"", XLOOKUP($F543,Productos!$A$2:$A1001,Productos!AO$2:AO1001,"")*$G543,"")</f>
        <v/>
      </c>
      <c r="AW543" s="179" t="str">
        <f t="array" ref="AW543">IF($F543&lt;&gt;"",XLOOKUP($F543,Productos!$A:$A,Productos!AP:AP,"Revisar"),"")</f>
        <v/>
      </c>
      <c r="AX543" s="179" t="str">
        <f t="array" ref="AX543">IF($F543&lt;&gt;"", XLOOKUP($F543,Productos!$A$2:$A1001,Productos!AQ$2:AQ1001,"")*$G543,"")</f>
        <v/>
      </c>
      <c r="AY543" s="179" t="str">
        <f t="array" ref="AY543">IF($F543&lt;&gt;"",XLOOKUP($F543,Productos!$A:$A,Productos!AR:AR,"Revisar"),"")</f>
        <v/>
      </c>
      <c r="AZ543" s="179" t="str">
        <f t="array" ref="AZ543">IF($F543&lt;&gt;"", XLOOKUP($F543,Productos!$A$2:$A1001,Productos!AS$2:AS1001,"")*$G543,"")</f>
        <v/>
      </c>
      <c r="BA543" s="179" t="str">
        <f t="array" ref="BA543">IF($F543&lt;&gt;"",XLOOKUP($F543,Productos!$A:$A,Productos!AT:AT,"Revisar"),"")</f>
        <v/>
      </c>
      <c r="BB543" s="179" t="str">
        <f t="array" ref="BB543">IF($F543&lt;&gt;"", XLOOKUP($F543,Productos!$A$2:$A1001,Productos!AU$2:AU1001,"")*$G543,"")</f>
        <v/>
      </c>
      <c r="BC543" s="179" t="str">
        <f t="array" ref="BC543">IF($F543&lt;&gt;"",XLOOKUP($F543,Productos!$A:$A,Productos!AV:AV,"Revisar"),"")</f>
        <v/>
      </c>
      <c r="BD543" s="179" t="str">
        <f t="array" ref="BD543">IF($F543&lt;&gt;"", XLOOKUP($F543,Productos!$A$2:$A1001,Productos!AW$2:AW1001,"")*$G543,"")</f>
        <v/>
      </c>
      <c r="BE543" s="179" t="str">
        <f t="array" ref="BE543">IF($F543&lt;&gt;"",XLOOKUP($F543,Productos!$A:$A,Productos!AX:AX,"Revisar"),"")</f>
        <v/>
      </c>
      <c r="BF543" s="179" t="str">
        <f t="array" ref="BF543">IF($F543&lt;&gt;"", XLOOKUP($F543,Productos!$A$2:$A1001,Productos!AY$2:AY1001,"")*$G543,"")</f>
        <v/>
      </c>
      <c r="BG543" s="179" t="str">
        <f t="array" ref="BG543">IF($F543&lt;&gt;"",XLOOKUP($F543,Productos!$A:$A,Productos!AZ:AZ,"Revisar"),"")</f>
        <v/>
      </c>
      <c r="BH543" s="179" t="str">
        <f t="array" ref="BH543">IF($F543&lt;&gt;"", XLOOKUP($F543,Productos!$A$2:$A1001,Productos!BA$2:BA1001,"")*$G543,"")</f>
        <v/>
      </c>
      <c r="BI543" s="179" t="str">
        <f t="array" ref="BI543">IF($F543&lt;&gt;"",XLOOKUP($F543,Productos!$A:$A,Productos!BB:BB,"Revisar"),"")</f>
        <v/>
      </c>
      <c r="BJ543" s="179" t="str">
        <f t="array" ref="BJ543">IF($F543&lt;&gt;"", XLOOKUP($F543,Productos!$A$2:$A1001,Productos!BC$2:BC1001,"")*$G543,"")</f>
        <v/>
      </c>
      <c r="BK543" s="179" t="str">
        <f t="array" ref="BK543">IF($F543&lt;&gt;"",XLOOKUP($F543,Productos!$A:$A,Productos!BD:BD,"Revisar"),"")</f>
        <v/>
      </c>
      <c r="BL543" s="179" t="str">
        <f t="array" ref="BL543">IF($F543&lt;&gt;"", XLOOKUP($F543,Productos!$A$2:$A1001,Productos!BE$2:BE1001,"")*$G543,"")</f>
        <v/>
      </c>
      <c r="BM543" s="179" t="str">
        <f t="array" ref="BM543">IF($F543&lt;&gt;"",XLOOKUP($F543,Productos!$A:$A,Productos!BF:BF,"Revisar"),"")</f>
        <v/>
      </c>
      <c r="BN543" s="179" t="str">
        <f t="array" ref="BN543">IF($F543&lt;&gt;"", XLOOKUP($F543,Productos!$A$2:$A1001,Productos!BG$2:BG1001,"")*$G543,"")</f>
        <v/>
      </c>
      <c r="BO543" s="179" t="str">
        <f t="array" ref="BO543">IF($F543&lt;&gt;"",XLOOKUP($F543,Productos!$A:$A,Productos!BH:BH,"Revisar"),"")</f>
        <v/>
      </c>
      <c r="BP543" s="179" t="str">
        <f t="array" ref="BP543">IF($F543&lt;&gt;"", XLOOKUP($F543,Productos!$A$2:$A1001,Productos!BI$2:BI1001,"")*$G543,"")</f>
        <v/>
      </c>
      <c r="BQ543" s="179" t="str">
        <f t="array" ref="BQ543">IF($F543&lt;&gt;"",XLOOKUP($F543,Productos!$A:$A,Productos!BJ:BJ,"Revisar"),"")</f>
        <v/>
      </c>
      <c r="BR543" s="179" t="str">
        <f t="array" ref="BR543">IF($F543&lt;&gt;"", XLOOKUP($F543,Productos!$A$2:$A1001,Productos!BK$2:BK1001,"")*$G543,"")</f>
        <v/>
      </c>
      <c r="BS543" s="179" t="str">
        <f t="array" ref="BS543">IF($F543&lt;&gt;"",XLOOKUP($F543,Productos!$A:$A,Productos!BL:BL,"Revisar"),"")</f>
        <v/>
      </c>
      <c r="BT543" s="179" t="str">
        <f t="array" ref="BT543">IF($F543&lt;&gt;"", XLOOKUP($F543,Productos!$A$2:$A1001,Productos!BM$2:BM1001,"")*$G543,"")</f>
        <v/>
      </c>
      <c r="BU543" s="179" t="str">
        <f t="array" ref="BU543">IF($F543&lt;&gt;"",XLOOKUP($F543,Productos!$A:$A,Productos!BN:BN,"Revisar"),"")</f>
        <v/>
      </c>
      <c r="BV543" s="179" t="str">
        <f t="array" ref="BV543">IF($F543&lt;&gt;"", XLOOKUP($F543,Productos!$A$2:$A1001,Productos!BO$2:BO1001,"")*$G543,"")</f>
        <v/>
      </c>
      <c r="BW543" s="179" t="str">
        <f t="array" ref="BW543">IF($F543&lt;&gt;"",XLOOKUP($F543,Productos!$A:$A,Productos!BP:BP,"Revisar"),"")</f>
        <v/>
      </c>
      <c r="BX543" s="179" t="str">
        <f t="array" ref="BX543">IF($F543&lt;&gt;"", XLOOKUP($F543,Productos!$A$2:$A1001,Productos!BQ$2:BQ1001,"")*$G543,"")</f>
        <v/>
      </c>
      <c r="BY543" s="179" t="str">
        <f t="array" ref="BY543">IF($F543&lt;&gt;"",XLOOKUP($F543,Productos!$A:$A,Productos!BR:BR,"Revisar"),"")</f>
        <v/>
      </c>
      <c r="BZ543" s="179" t="str">
        <f t="array" ref="BZ543">IF($F543&lt;&gt;"", XLOOKUP($F543,Productos!$A$2:$A1001,Productos!BS$2:BS1001,"")*$G543,"")</f>
        <v/>
      </c>
    </row>
    <row r="544">
      <c r="A544" s="188"/>
      <c r="B544" s="189"/>
      <c r="C544" s="190"/>
      <c r="D544" s="190"/>
      <c r="E544" s="191"/>
      <c r="F544" s="186"/>
      <c r="G544" s="192"/>
      <c r="H544" s="9"/>
      <c r="I544" s="179" t="str">
        <f t="array" ref="I544">IF($F544&lt;&gt;"",XLOOKUP($F544,Productos!$A:$A,Productos!B:B,"Revisar"),"")</f>
        <v/>
      </c>
      <c r="J544" s="179" t="str">
        <f t="array" ref="J544">IF($F544&lt;&gt;"", XLOOKUP($F544,Productos!$A$2:$A1001,Productos!C$2:C1001,"")*$G544,"")</f>
        <v/>
      </c>
      <c r="K544" s="179" t="str">
        <f t="array" ref="K544">IF($F544&lt;&gt;"",XLOOKUP($F544,Productos!$A:$A,Productos!D:D,"Revisar"),"")</f>
        <v/>
      </c>
      <c r="L544" s="179" t="str">
        <f t="array" ref="L544">IF($F544&lt;&gt;"", XLOOKUP($F544,Productos!$A$2:$A1001,Productos!E$2:E1001,"")*$G544,"")</f>
        <v/>
      </c>
      <c r="M544" s="179" t="str">
        <f t="array" ref="M544">IF($F544&lt;&gt;"",XLOOKUP($F544,Productos!$A:$A,Productos!F:F,"Revisar"),"")</f>
        <v/>
      </c>
      <c r="N544" s="179" t="str">
        <f t="array" ref="N544">IF($F544&lt;&gt;"", XLOOKUP($F544,Productos!$A$2:$A1001,Productos!G$2:G1001,"")*$G544,"")</f>
        <v/>
      </c>
      <c r="O544" s="179" t="str">
        <f t="array" ref="O544">IF($F544&lt;&gt;"",XLOOKUP($F544,Productos!$A:$A,Productos!H:H,"Revisar"),"")</f>
        <v/>
      </c>
      <c r="P544" s="179" t="str">
        <f t="array" ref="P544">IF($F544&lt;&gt;"", XLOOKUP($F544,Productos!$A$2:$A1001,Productos!I$2:I1001,"")*$G544,"")</f>
        <v/>
      </c>
      <c r="Q544" s="179" t="str">
        <f t="array" ref="Q544">IF($F544&lt;&gt;"",XLOOKUP($F544,Productos!$A:$A,Productos!J:J,"Revisar"),"")</f>
        <v/>
      </c>
      <c r="R544" s="179" t="str">
        <f t="array" ref="R544">IF($F544&lt;&gt;"", XLOOKUP($F544,Productos!$A$2:$A1001,Productos!K$2:K1001,"")*$G544,"")</f>
        <v/>
      </c>
      <c r="S544" s="179" t="str">
        <f t="array" ref="S544">IF($F544&lt;&gt;"",XLOOKUP($F544,Productos!$A:$A,Productos!L:L,"Revisar"),"")</f>
        <v/>
      </c>
      <c r="T544" s="179" t="str">
        <f t="array" ref="T544">IF($F544&lt;&gt;"", XLOOKUP($F544,Productos!$A$2:$A1001,Productos!M$2:M1001,"")*$G544,"")</f>
        <v/>
      </c>
      <c r="U544" s="179" t="str">
        <f t="array" ref="U544">IF($F544&lt;&gt;"",XLOOKUP($F544,Productos!$A:$A,Productos!N:N,"Revisar"),"")</f>
        <v/>
      </c>
      <c r="V544" s="179" t="str">
        <f t="array" ref="V544">IF($F544&lt;&gt;"", XLOOKUP($F544,Productos!$A$2:$A1001,Productos!O$2:O1001,"")*$G544,"")</f>
        <v/>
      </c>
      <c r="W544" s="179" t="str">
        <f t="array" ref="W544">IF($F544&lt;&gt;"",XLOOKUP($F544,Productos!$A:$A,Productos!P:P,"Revisar"),"")</f>
        <v/>
      </c>
      <c r="X544" s="179" t="str">
        <f t="array" ref="X544">IF($F544&lt;&gt;"", XLOOKUP($F544,Productos!$A$2:$A1001,Productos!Q$2:Q1001,"")*$G544,"")</f>
        <v/>
      </c>
      <c r="Y544" s="179" t="str">
        <f t="array" ref="Y544">IF($F544&lt;&gt;"",XLOOKUP($F544,Productos!$A:$A,Productos!R:R,"Revisar"),"")</f>
        <v/>
      </c>
      <c r="Z544" s="179" t="str">
        <f t="array" ref="Z544">IF($F544&lt;&gt;"", XLOOKUP($F544,Productos!$A$2:$A1001,Productos!S$2:S1001,"")*$G544,"")</f>
        <v/>
      </c>
      <c r="AA544" s="179" t="str">
        <f t="array" ref="AA544">IF($F544&lt;&gt;"",XLOOKUP($F544,Productos!$A:$A,Productos!T:T,"Revisar"),"")</f>
        <v/>
      </c>
      <c r="AB544" s="179" t="str">
        <f t="array" ref="AB544">IF($F544&lt;&gt;"", XLOOKUP($F544,Productos!$A$2:$A1001,Productos!U$2:U1001,"")*$G544,"")</f>
        <v/>
      </c>
      <c r="AC544" s="179" t="str">
        <f t="array" ref="AC544">IF($F544&lt;&gt;"",XLOOKUP($F544,Productos!$A:$A,Productos!V:V,"Revisar"),"")</f>
        <v/>
      </c>
      <c r="AD544" s="179" t="str">
        <f t="array" ref="AD544">IF($F544&lt;&gt;"", XLOOKUP($F544,Productos!$A$2:$A1001,Productos!W$2:W1001,"")*$G544,"")</f>
        <v/>
      </c>
      <c r="AE544" s="179" t="str">
        <f t="array" ref="AE544">IF($F544&lt;&gt;"",XLOOKUP($F544,Productos!$A:$A,Productos!X:X,"Revisar"),"")</f>
        <v/>
      </c>
      <c r="AF544" s="179" t="str">
        <f t="array" ref="AF544">IF($F544&lt;&gt;"", XLOOKUP($F544,Productos!$A$2:$A1001,Productos!Y$2:Y1001,"")*$G544,"")</f>
        <v/>
      </c>
      <c r="AG544" s="179" t="str">
        <f t="array" ref="AG544">IF($F544&lt;&gt;"",XLOOKUP($F544,Productos!$A:$A,Productos!Z:Z,"Revisar"),"")</f>
        <v/>
      </c>
      <c r="AH544" s="179" t="str">
        <f t="array" ref="AH544">IF($F544&lt;&gt;"", XLOOKUP($F544,Productos!$A$2:$A1001,Productos!AA$2:AA1001,"")*$G544,"")</f>
        <v/>
      </c>
      <c r="AI544" s="179" t="str">
        <f t="array" ref="AI544">IF($F544&lt;&gt;"",XLOOKUP($F544,Productos!$A:$A,Productos!AB:AB,"Revisar"),"")</f>
        <v/>
      </c>
      <c r="AJ544" s="179" t="str">
        <f t="array" ref="AJ544">IF($F544&lt;&gt;"", XLOOKUP($F544,Productos!$A$2:$A1001,Productos!AC$2:AC1001,"")*$G544,"")</f>
        <v/>
      </c>
      <c r="AK544" s="179" t="str">
        <f t="array" ref="AK544">IF($F544&lt;&gt;"",XLOOKUP($F544,Productos!$A:$A,Productos!AD:AD,"Revisar"),"")</f>
        <v/>
      </c>
      <c r="AL544" s="179" t="str">
        <f t="array" ref="AL544">IF($F544&lt;&gt;"", XLOOKUP($F544,Productos!$A$2:$A1001,Productos!AE$2:AE1001,"")*$G544,"")</f>
        <v/>
      </c>
      <c r="AM544" s="179" t="str">
        <f t="array" ref="AM544">IF($F544&lt;&gt;"",XLOOKUP($F544,Productos!$A:$A,Productos!AF:AF,"Revisar"),"")</f>
        <v/>
      </c>
      <c r="AN544" s="179" t="str">
        <f t="array" ref="AN544">IF($F544&lt;&gt;"", XLOOKUP($F544,Productos!$A$2:$A1001,Productos!AG$2:AG1001,"")*$G544,"")</f>
        <v/>
      </c>
      <c r="AO544" s="179" t="str">
        <f t="array" ref="AO544">IF($F544&lt;&gt;"",XLOOKUP($F544,Productos!$A:$A,Productos!AH:AH,"Revisar"),"")</f>
        <v/>
      </c>
      <c r="AP544" s="179" t="str">
        <f t="array" ref="AP544">IF($F544&lt;&gt;"", XLOOKUP($F544,Productos!$A$2:$A1001,Productos!AI$2:AI1001,"")*$G544,"")</f>
        <v/>
      </c>
      <c r="AQ544" s="179" t="str">
        <f t="array" ref="AQ544">IF($F544&lt;&gt;"",XLOOKUP($F544,Productos!$A:$A,Productos!AJ:AJ,"Revisar"),"")</f>
        <v/>
      </c>
      <c r="AR544" s="179" t="str">
        <f t="array" ref="AR544">IF($F544&lt;&gt;"", XLOOKUP($F544,Productos!$A$2:$A1001,Productos!AK$2:AK1001,"")*$G544,"")</f>
        <v/>
      </c>
      <c r="AS544" s="179" t="str">
        <f t="array" ref="AS544">IF($F544&lt;&gt;"",XLOOKUP($F544,Productos!$A:$A,Productos!AL:AL,"Revisar"),"")</f>
        <v/>
      </c>
      <c r="AT544" s="179" t="str">
        <f t="array" ref="AT544">IF($F544&lt;&gt;"", XLOOKUP($F544,Productos!$A$2:$A1001,Productos!AM$2:AM1001,"")*$G544,"")</f>
        <v/>
      </c>
      <c r="AU544" s="179" t="str">
        <f t="array" ref="AU544">IF($F544&lt;&gt;"",XLOOKUP($F544,Productos!$A:$A,Productos!AN:AN,"Revisar"),"")</f>
        <v/>
      </c>
      <c r="AV544" s="179" t="str">
        <f t="array" ref="AV544">IF($F544&lt;&gt;"", XLOOKUP($F544,Productos!$A$2:$A1001,Productos!AO$2:AO1001,"")*$G544,"")</f>
        <v/>
      </c>
      <c r="AW544" s="179" t="str">
        <f t="array" ref="AW544">IF($F544&lt;&gt;"",XLOOKUP($F544,Productos!$A:$A,Productos!AP:AP,"Revisar"),"")</f>
        <v/>
      </c>
      <c r="AX544" s="179" t="str">
        <f t="array" ref="AX544">IF($F544&lt;&gt;"", XLOOKUP($F544,Productos!$A$2:$A1001,Productos!AQ$2:AQ1001,"")*$G544,"")</f>
        <v/>
      </c>
      <c r="AY544" s="179" t="str">
        <f t="array" ref="AY544">IF($F544&lt;&gt;"",XLOOKUP($F544,Productos!$A:$A,Productos!AR:AR,"Revisar"),"")</f>
        <v/>
      </c>
      <c r="AZ544" s="179" t="str">
        <f t="array" ref="AZ544">IF($F544&lt;&gt;"", XLOOKUP($F544,Productos!$A$2:$A1001,Productos!AS$2:AS1001,"")*$G544,"")</f>
        <v/>
      </c>
      <c r="BA544" s="179" t="str">
        <f t="array" ref="BA544">IF($F544&lt;&gt;"",XLOOKUP($F544,Productos!$A:$A,Productos!AT:AT,"Revisar"),"")</f>
        <v/>
      </c>
      <c r="BB544" s="179" t="str">
        <f t="array" ref="BB544">IF($F544&lt;&gt;"", XLOOKUP($F544,Productos!$A$2:$A1001,Productos!AU$2:AU1001,"")*$G544,"")</f>
        <v/>
      </c>
      <c r="BC544" s="179" t="str">
        <f t="array" ref="BC544">IF($F544&lt;&gt;"",XLOOKUP($F544,Productos!$A:$A,Productos!AV:AV,"Revisar"),"")</f>
        <v/>
      </c>
      <c r="BD544" s="179" t="str">
        <f t="array" ref="BD544">IF($F544&lt;&gt;"", XLOOKUP($F544,Productos!$A$2:$A1001,Productos!AW$2:AW1001,"")*$G544,"")</f>
        <v/>
      </c>
      <c r="BE544" s="179" t="str">
        <f t="array" ref="BE544">IF($F544&lt;&gt;"",XLOOKUP($F544,Productos!$A:$A,Productos!AX:AX,"Revisar"),"")</f>
        <v/>
      </c>
      <c r="BF544" s="179" t="str">
        <f t="array" ref="BF544">IF($F544&lt;&gt;"", XLOOKUP($F544,Productos!$A$2:$A1001,Productos!AY$2:AY1001,"")*$G544,"")</f>
        <v/>
      </c>
      <c r="BG544" s="179" t="str">
        <f t="array" ref="BG544">IF($F544&lt;&gt;"",XLOOKUP($F544,Productos!$A:$A,Productos!AZ:AZ,"Revisar"),"")</f>
        <v/>
      </c>
      <c r="BH544" s="179" t="str">
        <f t="array" ref="BH544">IF($F544&lt;&gt;"", XLOOKUP($F544,Productos!$A$2:$A1001,Productos!BA$2:BA1001,"")*$G544,"")</f>
        <v/>
      </c>
      <c r="BI544" s="179" t="str">
        <f t="array" ref="BI544">IF($F544&lt;&gt;"",XLOOKUP($F544,Productos!$A:$A,Productos!BB:BB,"Revisar"),"")</f>
        <v/>
      </c>
      <c r="BJ544" s="179" t="str">
        <f t="array" ref="BJ544">IF($F544&lt;&gt;"", XLOOKUP($F544,Productos!$A$2:$A1001,Productos!BC$2:BC1001,"")*$G544,"")</f>
        <v/>
      </c>
      <c r="BK544" s="179" t="str">
        <f t="array" ref="BK544">IF($F544&lt;&gt;"",XLOOKUP($F544,Productos!$A:$A,Productos!BD:BD,"Revisar"),"")</f>
        <v/>
      </c>
      <c r="BL544" s="179" t="str">
        <f t="array" ref="BL544">IF($F544&lt;&gt;"", XLOOKUP($F544,Productos!$A$2:$A1001,Productos!BE$2:BE1001,"")*$G544,"")</f>
        <v/>
      </c>
      <c r="BM544" s="179" t="str">
        <f t="array" ref="BM544">IF($F544&lt;&gt;"",XLOOKUP($F544,Productos!$A:$A,Productos!BF:BF,"Revisar"),"")</f>
        <v/>
      </c>
      <c r="BN544" s="179" t="str">
        <f t="array" ref="BN544">IF($F544&lt;&gt;"", XLOOKUP($F544,Productos!$A$2:$A1001,Productos!BG$2:BG1001,"")*$G544,"")</f>
        <v/>
      </c>
      <c r="BO544" s="179" t="str">
        <f t="array" ref="BO544">IF($F544&lt;&gt;"",XLOOKUP($F544,Productos!$A:$A,Productos!BH:BH,"Revisar"),"")</f>
        <v/>
      </c>
      <c r="BP544" s="179" t="str">
        <f t="array" ref="BP544">IF($F544&lt;&gt;"", XLOOKUP($F544,Productos!$A$2:$A1001,Productos!BI$2:BI1001,"")*$G544,"")</f>
        <v/>
      </c>
      <c r="BQ544" s="179" t="str">
        <f t="array" ref="BQ544">IF($F544&lt;&gt;"",XLOOKUP($F544,Productos!$A:$A,Productos!BJ:BJ,"Revisar"),"")</f>
        <v/>
      </c>
      <c r="BR544" s="179" t="str">
        <f t="array" ref="BR544">IF($F544&lt;&gt;"", XLOOKUP($F544,Productos!$A$2:$A1001,Productos!BK$2:BK1001,"")*$G544,"")</f>
        <v/>
      </c>
      <c r="BS544" s="179" t="str">
        <f t="array" ref="BS544">IF($F544&lt;&gt;"",XLOOKUP($F544,Productos!$A:$A,Productos!BL:BL,"Revisar"),"")</f>
        <v/>
      </c>
      <c r="BT544" s="179" t="str">
        <f t="array" ref="BT544">IF($F544&lt;&gt;"", XLOOKUP($F544,Productos!$A$2:$A1001,Productos!BM$2:BM1001,"")*$G544,"")</f>
        <v/>
      </c>
      <c r="BU544" s="179" t="str">
        <f t="array" ref="BU544">IF($F544&lt;&gt;"",XLOOKUP($F544,Productos!$A:$A,Productos!BN:BN,"Revisar"),"")</f>
        <v/>
      </c>
      <c r="BV544" s="179" t="str">
        <f t="array" ref="BV544">IF($F544&lt;&gt;"", XLOOKUP($F544,Productos!$A$2:$A1001,Productos!BO$2:BO1001,"")*$G544,"")</f>
        <v/>
      </c>
      <c r="BW544" s="179" t="str">
        <f t="array" ref="BW544">IF($F544&lt;&gt;"",XLOOKUP($F544,Productos!$A:$A,Productos!BP:BP,"Revisar"),"")</f>
        <v/>
      </c>
      <c r="BX544" s="179" t="str">
        <f t="array" ref="BX544">IF($F544&lt;&gt;"", XLOOKUP($F544,Productos!$A$2:$A1001,Productos!BQ$2:BQ1001,"")*$G544,"")</f>
        <v/>
      </c>
      <c r="BY544" s="179" t="str">
        <f t="array" ref="BY544">IF($F544&lt;&gt;"",XLOOKUP($F544,Productos!$A:$A,Productos!BR:BR,"Revisar"),"")</f>
        <v/>
      </c>
      <c r="BZ544" s="179" t="str">
        <f t="array" ref="BZ544">IF($F544&lt;&gt;"", XLOOKUP($F544,Productos!$A$2:$A1001,Productos!BS$2:BS1001,"")*$G544,"")</f>
        <v/>
      </c>
    </row>
    <row r="545">
      <c r="A545" s="188"/>
      <c r="B545" s="189"/>
      <c r="C545" s="190"/>
      <c r="D545" s="190"/>
      <c r="E545" s="191"/>
      <c r="F545" s="186"/>
      <c r="G545" s="192"/>
      <c r="H545" s="9"/>
      <c r="I545" s="179" t="str">
        <f t="array" ref="I545">IF($F545&lt;&gt;"",XLOOKUP($F545,Productos!$A:$A,Productos!B:B,"Revisar"),"")</f>
        <v/>
      </c>
      <c r="J545" s="179" t="str">
        <f t="array" ref="J545">IF($F545&lt;&gt;"", XLOOKUP($F545,Productos!$A$2:$A1001,Productos!C$2:C1001,"")*$G545,"")</f>
        <v/>
      </c>
      <c r="K545" s="179" t="str">
        <f t="array" ref="K545">IF($F545&lt;&gt;"",XLOOKUP($F545,Productos!$A:$A,Productos!D:D,"Revisar"),"")</f>
        <v/>
      </c>
      <c r="L545" s="179" t="str">
        <f t="array" ref="L545">IF($F545&lt;&gt;"", XLOOKUP($F545,Productos!$A$2:$A1001,Productos!E$2:E1001,"")*$G545,"")</f>
        <v/>
      </c>
      <c r="M545" s="179" t="str">
        <f t="array" ref="M545">IF($F545&lt;&gt;"",XLOOKUP($F545,Productos!$A:$A,Productos!F:F,"Revisar"),"")</f>
        <v/>
      </c>
      <c r="N545" s="179" t="str">
        <f t="array" ref="N545">IF($F545&lt;&gt;"", XLOOKUP($F545,Productos!$A$2:$A1001,Productos!G$2:G1001,"")*$G545,"")</f>
        <v/>
      </c>
      <c r="O545" s="179" t="str">
        <f t="array" ref="O545">IF($F545&lt;&gt;"",XLOOKUP($F545,Productos!$A:$A,Productos!H:H,"Revisar"),"")</f>
        <v/>
      </c>
      <c r="P545" s="179" t="str">
        <f t="array" ref="P545">IF($F545&lt;&gt;"", XLOOKUP($F545,Productos!$A$2:$A1001,Productos!I$2:I1001,"")*$G545,"")</f>
        <v/>
      </c>
      <c r="Q545" s="179" t="str">
        <f t="array" ref="Q545">IF($F545&lt;&gt;"",XLOOKUP($F545,Productos!$A:$A,Productos!J:J,"Revisar"),"")</f>
        <v/>
      </c>
      <c r="R545" s="179" t="str">
        <f t="array" ref="R545">IF($F545&lt;&gt;"", XLOOKUP($F545,Productos!$A$2:$A1001,Productos!K$2:K1001,"")*$G545,"")</f>
        <v/>
      </c>
      <c r="S545" s="179" t="str">
        <f t="array" ref="S545">IF($F545&lt;&gt;"",XLOOKUP($F545,Productos!$A:$A,Productos!L:L,"Revisar"),"")</f>
        <v/>
      </c>
      <c r="T545" s="179" t="str">
        <f t="array" ref="T545">IF($F545&lt;&gt;"", XLOOKUP($F545,Productos!$A$2:$A1001,Productos!M$2:M1001,"")*$G545,"")</f>
        <v/>
      </c>
      <c r="U545" s="179" t="str">
        <f t="array" ref="U545">IF($F545&lt;&gt;"",XLOOKUP($F545,Productos!$A:$A,Productos!N:N,"Revisar"),"")</f>
        <v/>
      </c>
      <c r="V545" s="179" t="str">
        <f t="array" ref="V545">IF($F545&lt;&gt;"", XLOOKUP($F545,Productos!$A$2:$A1001,Productos!O$2:O1001,"")*$G545,"")</f>
        <v/>
      </c>
      <c r="W545" s="179" t="str">
        <f t="array" ref="W545">IF($F545&lt;&gt;"",XLOOKUP($F545,Productos!$A:$A,Productos!P:P,"Revisar"),"")</f>
        <v/>
      </c>
      <c r="X545" s="179" t="str">
        <f t="array" ref="X545">IF($F545&lt;&gt;"", XLOOKUP($F545,Productos!$A$2:$A1001,Productos!Q$2:Q1001,"")*$G545,"")</f>
        <v/>
      </c>
      <c r="Y545" s="179" t="str">
        <f t="array" ref="Y545">IF($F545&lt;&gt;"",XLOOKUP($F545,Productos!$A:$A,Productos!R:R,"Revisar"),"")</f>
        <v/>
      </c>
      <c r="Z545" s="179" t="str">
        <f t="array" ref="Z545">IF($F545&lt;&gt;"", XLOOKUP($F545,Productos!$A$2:$A1001,Productos!S$2:S1001,"")*$G545,"")</f>
        <v/>
      </c>
      <c r="AA545" s="179" t="str">
        <f t="array" ref="AA545">IF($F545&lt;&gt;"",XLOOKUP($F545,Productos!$A:$A,Productos!T:T,"Revisar"),"")</f>
        <v/>
      </c>
      <c r="AB545" s="179" t="str">
        <f t="array" ref="AB545">IF($F545&lt;&gt;"", XLOOKUP($F545,Productos!$A$2:$A1001,Productos!U$2:U1001,"")*$G545,"")</f>
        <v/>
      </c>
      <c r="AC545" s="179" t="str">
        <f t="array" ref="AC545">IF($F545&lt;&gt;"",XLOOKUP($F545,Productos!$A:$A,Productos!V:V,"Revisar"),"")</f>
        <v/>
      </c>
      <c r="AD545" s="179" t="str">
        <f t="array" ref="AD545">IF($F545&lt;&gt;"", XLOOKUP($F545,Productos!$A$2:$A1001,Productos!W$2:W1001,"")*$G545,"")</f>
        <v/>
      </c>
      <c r="AE545" s="179" t="str">
        <f t="array" ref="AE545">IF($F545&lt;&gt;"",XLOOKUP($F545,Productos!$A:$A,Productos!X:X,"Revisar"),"")</f>
        <v/>
      </c>
      <c r="AF545" s="179" t="str">
        <f t="array" ref="AF545">IF($F545&lt;&gt;"", XLOOKUP($F545,Productos!$A$2:$A1001,Productos!Y$2:Y1001,"")*$G545,"")</f>
        <v/>
      </c>
      <c r="AG545" s="179" t="str">
        <f t="array" ref="AG545">IF($F545&lt;&gt;"",XLOOKUP($F545,Productos!$A:$A,Productos!Z:Z,"Revisar"),"")</f>
        <v/>
      </c>
      <c r="AH545" s="179" t="str">
        <f t="array" ref="AH545">IF($F545&lt;&gt;"", XLOOKUP($F545,Productos!$A$2:$A1001,Productos!AA$2:AA1001,"")*$G545,"")</f>
        <v/>
      </c>
      <c r="AI545" s="179" t="str">
        <f t="array" ref="AI545">IF($F545&lt;&gt;"",XLOOKUP($F545,Productos!$A:$A,Productos!AB:AB,"Revisar"),"")</f>
        <v/>
      </c>
      <c r="AJ545" s="179" t="str">
        <f t="array" ref="AJ545">IF($F545&lt;&gt;"", XLOOKUP($F545,Productos!$A$2:$A1001,Productos!AC$2:AC1001,"")*$G545,"")</f>
        <v/>
      </c>
      <c r="AK545" s="179" t="str">
        <f t="array" ref="AK545">IF($F545&lt;&gt;"",XLOOKUP($F545,Productos!$A:$A,Productos!AD:AD,"Revisar"),"")</f>
        <v/>
      </c>
      <c r="AL545" s="179" t="str">
        <f t="array" ref="AL545">IF($F545&lt;&gt;"", XLOOKUP($F545,Productos!$A$2:$A1001,Productos!AE$2:AE1001,"")*$G545,"")</f>
        <v/>
      </c>
      <c r="AM545" s="179" t="str">
        <f t="array" ref="AM545">IF($F545&lt;&gt;"",XLOOKUP($F545,Productos!$A:$A,Productos!AF:AF,"Revisar"),"")</f>
        <v/>
      </c>
      <c r="AN545" s="179" t="str">
        <f t="array" ref="AN545">IF($F545&lt;&gt;"", XLOOKUP($F545,Productos!$A$2:$A1001,Productos!AG$2:AG1001,"")*$G545,"")</f>
        <v/>
      </c>
      <c r="AO545" s="179" t="str">
        <f t="array" ref="AO545">IF($F545&lt;&gt;"",XLOOKUP($F545,Productos!$A:$A,Productos!AH:AH,"Revisar"),"")</f>
        <v/>
      </c>
      <c r="AP545" s="179" t="str">
        <f t="array" ref="AP545">IF($F545&lt;&gt;"", XLOOKUP($F545,Productos!$A$2:$A1001,Productos!AI$2:AI1001,"")*$G545,"")</f>
        <v/>
      </c>
      <c r="AQ545" s="179" t="str">
        <f t="array" ref="AQ545">IF($F545&lt;&gt;"",XLOOKUP($F545,Productos!$A:$A,Productos!AJ:AJ,"Revisar"),"")</f>
        <v/>
      </c>
      <c r="AR545" s="179" t="str">
        <f t="array" ref="AR545">IF($F545&lt;&gt;"", XLOOKUP($F545,Productos!$A$2:$A1001,Productos!AK$2:AK1001,"")*$G545,"")</f>
        <v/>
      </c>
      <c r="AS545" s="179" t="str">
        <f t="array" ref="AS545">IF($F545&lt;&gt;"",XLOOKUP($F545,Productos!$A:$A,Productos!AL:AL,"Revisar"),"")</f>
        <v/>
      </c>
      <c r="AT545" s="179" t="str">
        <f t="array" ref="AT545">IF($F545&lt;&gt;"", XLOOKUP($F545,Productos!$A$2:$A1001,Productos!AM$2:AM1001,"")*$G545,"")</f>
        <v/>
      </c>
      <c r="AU545" s="179" t="str">
        <f t="array" ref="AU545">IF($F545&lt;&gt;"",XLOOKUP($F545,Productos!$A:$A,Productos!AN:AN,"Revisar"),"")</f>
        <v/>
      </c>
      <c r="AV545" s="179" t="str">
        <f t="array" ref="AV545">IF($F545&lt;&gt;"", XLOOKUP($F545,Productos!$A$2:$A1001,Productos!AO$2:AO1001,"")*$G545,"")</f>
        <v/>
      </c>
      <c r="AW545" s="179" t="str">
        <f t="array" ref="AW545">IF($F545&lt;&gt;"",XLOOKUP($F545,Productos!$A:$A,Productos!AP:AP,"Revisar"),"")</f>
        <v/>
      </c>
      <c r="AX545" s="179" t="str">
        <f t="array" ref="AX545">IF($F545&lt;&gt;"", XLOOKUP($F545,Productos!$A$2:$A1001,Productos!AQ$2:AQ1001,"")*$G545,"")</f>
        <v/>
      </c>
      <c r="AY545" s="179" t="str">
        <f t="array" ref="AY545">IF($F545&lt;&gt;"",XLOOKUP($F545,Productos!$A:$A,Productos!AR:AR,"Revisar"),"")</f>
        <v/>
      </c>
      <c r="AZ545" s="179" t="str">
        <f t="array" ref="AZ545">IF($F545&lt;&gt;"", XLOOKUP($F545,Productos!$A$2:$A1001,Productos!AS$2:AS1001,"")*$G545,"")</f>
        <v/>
      </c>
      <c r="BA545" s="179" t="str">
        <f t="array" ref="BA545">IF($F545&lt;&gt;"",XLOOKUP($F545,Productos!$A:$A,Productos!AT:AT,"Revisar"),"")</f>
        <v/>
      </c>
      <c r="BB545" s="179" t="str">
        <f t="array" ref="BB545">IF($F545&lt;&gt;"", XLOOKUP($F545,Productos!$A$2:$A1001,Productos!AU$2:AU1001,"")*$G545,"")</f>
        <v/>
      </c>
      <c r="BC545" s="179" t="str">
        <f t="array" ref="BC545">IF($F545&lt;&gt;"",XLOOKUP($F545,Productos!$A:$A,Productos!AV:AV,"Revisar"),"")</f>
        <v/>
      </c>
      <c r="BD545" s="179" t="str">
        <f t="array" ref="BD545">IF($F545&lt;&gt;"", XLOOKUP($F545,Productos!$A$2:$A1001,Productos!AW$2:AW1001,"")*$G545,"")</f>
        <v/>
      </c>
      <c r="BE545" s="179" t="str">
        <f t="array" ref="BE545">IF($F545&lt;&gt;"",XLOOKUP($F545,Productos!$A:$A,Productos!AX:AX,"Revisar"),"")</f>
        <v/>
      </c>
      <c r="BF545" s="179" t="str">
        <f t="array" ref="BF545">IF($F545&lt;&gt;"", XLOOKUP($F545,Productos!$A$2:$A1001,Productos!AY$2:AY1001,"")*$G545,"")</f>
        <v/>
      </c>
      <c r="BG545" s="179" t="str">
        <f t="array" ref="BG545">IF($F545&lt;&gt;"",XLOOKUP($F545,Productos!$A:$A,Productos!AZ:AZ,"Revisar"),"")</f>
        <v/>
      </c>
      <c r="BH545" s="179" t="str">
        <f t="array" ref="BH545">IF($F545&lt;&gt;"", XLOOKUP($F545,Productos!$A$2:$A1001,Productos!BA$2:BA1001,"")*$G545,"")</f>
        <v/>
      </c>
      <c r="BI545" s="179" t="str">
        <f t="array" ref="BI545">IF($F545&lt;&gt;"",XLOOKUP($F545,Productos!$A:$A,Productos!BB:BB,"Revisar"),"")</f>
        <v/>
      </c>
      <c r="BJ545" s="179" t="str">
        <f t="array" ref="BJ545">IF($F545&lt;&gt;"", XLOOKUP($F545,Productos!$A$2:$A1001,Productos!BC$2:BC1001,"")*$G545,"")</f>
        <v/>
      </c>
      <c r="BK545" s="179" t="str">
        <f t="array" ref="BK545">IF($F545&lt;&gt;"",XLOOKUP($F545,Productos!$A:$A,Productos!BD:BD,"Revisar"),"")</f>
        <v/>
      </c>
      <c r="BL545" s="179" t="str">
        <f t="array" ref="BL545">IF($F545&lt;&gt;"", XLOOKUP($F545,Productos!$A$2:$A1001,Productos!BE$2:BE1001,"")*$G545,"")</f>
        <v/>
      </c>
      <c r="BM545" s="179" t="str">
        <f t="array" ref="BM545">IF($F545&lt;&gt;"",XLOOKUP($F545,Productos!$A:$A,Productos!BF:BF,"Revisar"),"")</f>
        <v/>
      </c>
      <c r="BN545" s="179" t="str">
        <f t="array" ref="BN545">IF($F545&lt;&gt;"", XLOOKUP($F545,Productos!$A$2:$A1001,Productos!BG$2:BG1001,"")*$G545,"")</f>
        <v/>
      </c>
      <c r="BO545" s="179" t="str">
        <f t="array" ref="BO545">IF($F545&lt;&gt;"",XLOOKUP($F545,Productos!$A:$A,Productos!BH:BH,"Revisar"),"")</f>
        <v/>
      </c>
      <c r="BP545" s="179" t="str">
        <f t="array" ref="BP545">IF($F545&lt;&gt;"", XLOOKUP($F545,Productos!$A$2:$A1001,Productos!BI$2:BI1001,"")*$G545,"")</f>
        <v/>
      </c>
      <c r="BQ545" s="179" t="str">
        <f t="array" ref="BQ545">IF($F545&lt;&gt;"",XLOOKUP($F545,Productos!$A:$A,Productos!BJ:BJ,"Revisar"),"")</f>
        <v/>
      </c>
      <c r="BR545" s="179" t="str">
        <f t="array" ref="BR545">IF($F545&lt;&gt;"", XLOOKUP($F545,Productos!$A$2:$A1001,Productos!BK$2:BK1001,"")*$G545,"")</f>
        <v/>
      </c>
      <c r="BS545" s="179" t="str">
        <f t="array" ref="BS545">IF($F545&lt;&gt;"",XLOOKUP($F545,Productos!$A:$A,Productos!BL:BL,"Revisar"),"")</f>
        <v/>
      </c>
      <c r="BT545" s="179" t="str">
        <f t="array" ref="BT545">IF($F545&lt;&gt;"", XLOOKUP($F545,Productos!$A$2:$A1001,Productos!BM$2:BM1001,"")*$G545,"")</f>
        <v/>
      </c>
      <c r="BU545" s="179" t="str">
        <f t="array" ref="BU545">IF($F545&lt;&gt;"",XLOOKUP($F545,Productos!$A:$A,Productos!BN:BN,"Revisar"),"")</f>
        <v/>
      </c>
      <c r="BV545" s="179" t="str">
        <f t="array" ref="BV545">IF($F545&lt;&gt;"", XLOOKUP($F545,Productos!$A$2:$A1001,Productos!BO$2:BO1001,"")*$G545,"")</f>
        <v/>
      </c>
      <c r="BW545" s="179" t="str">
        <f t="array" ref="BW545">IF($F545&lt;&gt;"",XLOOKUP($F545,Productos!$A:$A,Productos!BP:BP,"Revisar"),"")</f>
        <v/>
      </c>
      <c r="BX545" s="179" t="str">
        <f t="array" ref="BX545">IF($F545&lt;&gt;"", XLOOKUP($F545,Productos!$A$2:$A1001,Productos!BQ$2:BQ1001,"")*$G545,"")</f>
        <v/>
      </c>
      <c r="BY545" s="179" t="str">
        <f t="array" ref="BY545">IF($F545&lt;&gt;"",XLOOKUP($F545,Productos!$A:$A,Productos!BR:BR,"Revisar"),"")</f>
        <v/>
      </c>
      <c r="BZ545" s="179" t="str">
        <f t="array" ref="BZ545">IF($F545&lt;&gt;"", XLOOKUP($F545,Productos!$A$2:$A1001,Productos!BS$2:BS1001,"")*$G545,"")</f>
        <v/>
      </c>
    </row>
    <row r="546">
      <c r="A546" s="188"/>
      <c r="B546" s="189"/>
      <c r="C546" s="190"/>
      <c r="D546" s="190"/>
      <c r="E546" s="191"/>
      <c r="F546" s="186"/>
      <c r="G546" s="192"/>
      <c r="H546" s="9"/>
      <c r="I546" s="179" t="str">
        <f t="array" ref="I546">IF($F546&lt;&gt;"",XLOOKUP($F546,Productos!$A:$A,Productos!B:B,"Revisar"),"")</f>
        <v/>
      </c>
      <c r="J546" s="179" t="str">
        <f t="array" ref="J546">IF($F546&lt;&gt;"", XLOOKUP($F546,Productos!$A$2:$A1001,Productos!C$2:C1001,"")*$G546,"")</f>
        <v/>
      </c>
      <c r="K546" s="179" t="str">
        <f t="array" ref="K546">IF($F546&lt;&gt;"",XLOOKUP($F546,Productos!$A:$A,Productos!D:D,"Revisar"),"")</f>
        <v/>
      </c>
      <c r="L546" s="179" t="str">
        <f t="array" ref="L546">IF($F546&lt;&gt;"", XLOOKUP($F546,Productos!$A$2:$A1001,Productos!E$2:E1001,"")*$G546,"")</f>
        <v/>
      </c>
      <c r="M546" s="179" t="str">
        <f t="array" ref="M546">IF($F546&lt;&gt;"",XLOOKUP($F546,Productos!$A:$A,Productos!F:F,"Revisar"),"")</f>
        <v/>
      </c>
      <c r="N546" s="179" t="str">
        <f t="array" ref="N546">IF($F546&lt;&gt;"", XLOOKUP($F546,Productos!$A$2:$A1001,Productos!G$2:G1001,"")*$G546,"")</f>
        <v/>
      </c>
      <c r="O546" s="179" t="str">
        <f t="array" ref="O546">IF($F546&lt;&gt;"",XLOOKUP($F546,Productos!$A:$A,Productos!H:H,"Revisar"),"")</f>
        <v/>
      </c>
      <c r="P546" s="179" t="str">
        <f t="array" ref="P546">IF($F546&lt;&gt;"", XLOOKUP($F546,Productos!$A$2:$A1001,Productos!I$2:I1001,"")*$G546,"")</f>
        <v/>
      </c>
      <c r="Q546" s="179" t="str">
        <f t="array" ref="Q546">IF($F546&lt;&gt;"",XLOOKUP($F546,Productos!$A:$A,Productos!J:J,"Revisar"),"")</f>
        <v/>
      </c>
      <c r="R546" s="179" t="str">
        <f t="array" ref="R546">IF($F546&lt;&gt;"", XLOOKUP($F546,Productos!$A$2:$A1001,Productos!K$2:K1001,"")*$G546,"")</f>
        <v/>
      </c>
      <c r="S546" s="179" t="str">
        <f t="array" ref="S546">IF($F546&lt;&gt;"",XLOOKUP($F546,Productos!$A:$A,Productos!L:L,"Revisar"),"")</f>
        <v/>
      </c>
      <c r="T546" s="179" t="str">
        <f t="array" ref="T546">IF($F546&lt;&gt;"", XLOOKUP($F546,Productos!$A$2:$A1001,Productos!M$2:M1001,"")*$G546,"")</f>
        <v/>
      </c>
      <c r="U546" s="179" t="str">
        <f t="array" ref="U546">IF($F546&lt;&gt;"",XLOOKUP($F546,Productos!$A:$A,Productos!N:N,"Revisar"),"")</f>
        <v/>
      </c>
      <c r="V546" s="179" t="str">
        <f t="array" ref="V546">IF($F546&lt;&gt;"", XLOOKUP($F546,Productos!$A$2:$A1001,Productos!O$2:O1001,"")*$G546,"")</f>
        <v/>
      </c>
      <c r="W546" s="179" t="str">
        <f t="array" ref="W546">IF($F546&lt;&gt;"",XLOOKUP($F546,Productos!$A:$A,Productos!P:P,"Revisar"),"")</f>
        <v/>
      </c>
      <c r="X546" s="179" t="str">
        <f t="array" ref="X546">IF($F546&lt;&gt;"", XLOOKUP($F546,Productos!$A$2:$A1001,Productos!Q$2:Q1001,"")*$G546,"")</f>
        <v/>
      </c>
      <c r="Y546" s="179" t="str">
        <f t="array" ref="Y546">IF($F546&lt;&gt;"",XLOOKUP($F546,Productos!$A:$A,Productos!R:R,"Revisar"),"")</f>
        <v/>
      </c>
      <c r="Z546" s="179" t="str">
        <f t="array" ref="Z546">IF($F546&lt;&gt;"", XLOOKUP($F546,Productos!$A$2:$A1001,Productos!S$2:S1001,"")*$G546,"")</f>
        <v/>
      </c>
      <c r="AA546" s="179" t="str">
        <f t="array" ref="AA546">IF($F546&lt;&gt;"",XLOOKUP($F546,Productos!$A:$A,Productos!T:T,"Revisar"),"")</f>
        <v/>
      </c>
      <c r="AB546" s="179" t="str">
        <f t="array" ref="AB546">IF($F546&lt;&gt;"", XLOOKUP($F546,Productos!$A$2:$A1001,Productos!U$2:U1001,"")*$G546,"")</f>
        <v/>
      </c>
      <c r="AC546" s="179" t="str">
        <f t="array" ref="AC546">IF($F546&lt;&gt;"",XLOOKUP($F546,Productos!$A:$A,Productos!V:V,"Revisar"),"")</f>
        <v/>
      </c>
      <c r="AD546" s="179" t="str">
        <f t="array" ref="AD546">IF($F546&lt;&gt;"", XLOOKUP($F546,Productos!$A$2:$A1001,Productos!W$2:W1001,"")*$G546,"")</f>
        <v/>
      </c>
      <c r="AE546" s="179" t="str">
        <f t="array" ref="AE546">IF($F546&lt;&gt;"",XLOOKUP($F546,Productos!$A:$A,Productos!X:X,"Revisar"),"")</f>
        <v/>
      </c>
      <c r="AF546" s="179" t="str">
        <f t="array" ref="AF546">IF($F546&lt;&gt;"", XLOOKUP($F546,Productos!$A$2:$A1001,Productos!Y$2:Y1001,"")*$G546,"")</f>
        <v/>
      </c>
      <c r="AG546" s="179" t="str">
        <f t="array" ref="AG546">IF($F546&lt;&gt;"",XLOOKUP($F546,Productos!$A:$A,Productos!Z:Z,"Revisar"),"")</f>
        <v/>
      </c>
      <c r="AH546" s="179" t="str">
        <f t="array" ref="AH546">IF($F546&lt;&gt;"", XLOOKUP($F546,Productos!$A$2:$A1001,Productos!AA$2:AA1001,"")*$G546,"")</f>
        <v/>
      </c>
      <c r="AI546" s="179" t="str">
        <f t="array" ref="AI546">IF($F546&lt;&gt;"",XLOOKUP($F546,Productos!$A:$A,Productos!AB:AB,"Revisar"),"")</f>
        <v/>
      </c>
      <c r="AJ546" s="179" t="str">
        <f t="array" ref="AJ546">IF($F546&lt;&gt;"", XLOOKUP($F546,Productos!$A$2:$A1001,Productos!AC$2:AC1001,"")*$G546,"")</f>
        <v/>
      </c>
      <c r="AK546" s="179" t="str">
        <f t="array" ref="AK546">IF($F546&lt;&gt;"",XLOOKUP($F546,Productos!$A:$A,Productos!AD:AD,"Revisar"),"")</f>
        <v/>
      </c>
      <c r="AL546" s="179" t="str">
        <f t="array" ref="AL546">IF($F546&lt;&gt;"", XLOOKUP($F546,Productos!$A$2:$A1001,Productos!AE$2:AE1001,"")*$G546,"")</f>
        <v/>
      </c>
      <c r="AM546" s="179" t="str">
        <f t="array" ref="AM546">IF($F546&lt;&gt;"",XLOOKUP($F546,Productos!$A:$A,Productos!AF:AF,"Revisar"),"")</f>
        <v/>
      </c>
      <c r="AN546" s="179" t="str">
        <f t="array" ref="AN546">IF($F546&lt;&gt;"", XLOOKUP($F546,Productos!$A$2:$A1001,Productos!AG$2:AG1001,"")*$G546,"")</f>
        <v/>
      </c>
      <c r="AO546" s="179" t="str">
        <f t="array" ref="AO546">IF($F546&lt;&gt;"",XLOOKUP($F546,Productos!$A:$A,Productos!AH:AH,"Revisar"),"")</f>
        <v/>
      </c>
      <c r="AP546" s="179" t="str">
        <f t="array" ref="AP546">IF($F546&lt;&gt;"", XLOOKUP($F546,Productos!$A$2:$A1001,Productos!AI$2:AI1001,"")*$G546,"")</f>
        <v/>
      </c>
      <c r="AQ546" s="179" t="str">
        <f t="array" ref="AQ546">IF($F546&lt;&gt;"",XLOOKUP($F546,Productos!$A:$A,Productos!AJ:AJ,"Revisar"),"")</f>
        <v/>
      </c>
      <c r="AR546" s="179" t="str">
        <f t="array" ref="AR546">IF($F546&lt;&gt;"", XLOOKUP($F546,Productos!$A$2:$A1001,Productos!AK$2:AK1001,"")*$G546,"")</f>
        <v/>
      </c>
      <c r="AS546" s="179" t="str">
        <f t="array" ref="AS546">IF($F546&lt;&gt;"",XLOOKUP($F546,Productos!$A:$A,Productos!AL:AL,"Revisar"),"")</f>
        <v/>
      </c>
      <c r="AT546" s="179" t="str">
        <f t="array" ref="AT546">IF($F546&lt;&gt;"", XLOOKUP($F546,Productos!$A$2:$A1001,Productos!AM$2:AM1001,"")*$G546,"")</f>
        <v/>
      </c>
      <c r="AU546" s="179" t="str">
        <f t="array" ref="AU546">IF($F546&lt;&gt;"",XLOOKUP($F546,Productos!$A:$A,Productos!AN:AN,"Revisar"),"")</f>
        <v/>
      </c>
      <c r="AV546" s="179" t="str">
        <f t="array" ref="AV546">IF($F546&lt;&gt;"", XLOOKUP($F546,Productos!$A$2:$A1001,Productos!AO$2:AO1001,"")*$G546,"")</f>
        <v/>
      </c>
      <c r="AW546" s="179" t="str">
        <f t="array" ref="AW546">IF($F546&lt;&gt;"",XLOOKUP($F546,Productos!$A:$A,Productos!AP:AP,"Revisar"),"")</f>
        <v/>
      </c>
      <c r="AX546" s="179" t="str">
        <f t="array" ref="AX546">IF($F546&lt;&gt;"", XLOOKUP($F546,Productos!$A$2:$A1001,Productos!AQ$2:AQ1001,"")*$G546,"")</f>
        <v/>
      </c>
      <c r="AY546" s="179" t="str">
        <f t="array" ref="AY546">IF($F546&lt;&gt;"",XLOOKUP($F546,Productos!$A:$A,Productos!AR:AR,"Revisar"),"")</f>
        <v/>
      </c>
      <c r="AZ546" s="179" t="str">
        <f t="array" ref="AZ546">IF($F546&lt;&gt;"", XLOOKUP($F546,Productos!$A$2:$A1001,Productos!AS$2:AS1001,"")*$G546,"")</f>
        <v/>
      </c>
      <c r="BA546" s="179" t="str">
        <f t="array" ref="BA546">IF($F546&lt;&gt;"",XLOOKUP($F546,Productos!$A:$A,Productos!AT:AT,"Revisar"),"")</f>
        <v/>
      </c>
      <c r="BB546" s="179" t="str">
        <f t="array" ref="BB546">IF($F546&lt;&gt;"", XLOOKUP($F546,Productos!$A$2:$A1001,Productos!AU$2:AU1001,"")*$G546,"")</f>
        <v/>
      </c>
      <c r="BC546" s="179" t="str">
        <f t="array" ref="BC546">IF($F546&lt;&gt;"",XLOOKUP($F546,Productos!$A:$A,Productos!AV:AV,"Revisar"),"")</f>
        <v/>
      </c>
      <c r="BD546" s="179" t="str">
        <f t="array" ref="BD546">IF($F546&lt;&gt;"", XLOOKUP($F546,Productos!$A$2:$A1001,Productos!AW$2:AW1001,"")*$G546,"")</f>
        <v/>
      </c>
      <c r="BE546" s="179" t="str">
        <f t="array" ref="BE546">IF($F546&lt;&gt;"",XLOOKUP($F546,Productos!$A:$A,Productos!AX:AX,"Revisar"),"")</f>
        <v/>
      </c>
      <c r="BF546" s="179" t="str">
        <f t="array" ref="BF546">IF($F546&lt;&gt;"", XLOOKUP($F546,Productos!$A$2:$A1001,Productos!AY$2:AY1001,"")*$G546,"")</f>
        <v/>
      </c>
      <c r="BG546" s="179" t="str">
        <f t="array" ref="BG546">IF($F546&lt;&gt;"",XLOOKUP($F546,Productos!$A:$A,Productos!AZ:AZ,"Revisar"),"")</f>
        <v/>
      </c>
      <c r="BH546" s="179" t="str">
        <f t="array" ref="BH546">IF($F546&lt;&gt;"", XLOOKUP($F546,Productos!$A$2:$A1001,Productos!BA$2:BA1001,"")*$G546,"")</f>
        <v/>
      </c>
      <c r="BI546" s="179" t="str">
        <f t="array" ref="BI546">IF($F546&lt;&gt;"",XLOOKUP($F546,Productos!$A:$A,Productos!BB:BB,"Revisar"),"")</f>
        <v/>
      </c>
      <c r="BJ546" s="179" t="str">
        <f t="array" ref="BJ546">IF($F546&lt;&gt;"", XLOOKUP($F546,Productos!$A$2:$A1001,Productos!BC$2:BC1001,"")*$G546,"")</f>
        <v/>
      </c>
      <c r="BK546" s="179" t="str">
        <f t="array" ref="BK546">IF($F546&lt;&gt;"",XLOOKUP($F546,Productos!$A:$A,Productos!BD:BD,"Revisar"),"")</f>
        <v/>
      </c>
      <c r="BL546" s="179" t="str">
        <f t="array" ref="BL546">IF($F546&lt;&gt;"", XLOOKUP($F546,Productos!$A$2:$A1001,Productos!BE$2:BE1001,"")*$G546,"")</f>
        <v/>
      </c>
      <c r="BM546" s="179" t="str">
        <f t="array" ref="BM546">IF($F546&lt;&gt;"",XLOOKUP($F546,Productos!$A:$A,Productos!BF:BF,"Revisar"),"")</f>
        <v/>
      </c>
      <c r="BN546" s="179" t="str">
        <f t="array" ref="BN546">IF($F546&lt;&gt;"", XLOOKUP($F546,Productos!$A$2:$A1001,Productos!BG$2:BG1001,"")*$G546,"")</f>
        <v/>
      </c>
      <c r="BO546" s="179" t="str">
        <f t="array" ref="BO546">IF($F546&lt;&gt;"",XLOOKUP($F546,Productos!$A:$A,Productos!BH:BH,"Revisar"),"")</f>
        <v/>
      </c>
      <c r="BP546" s="179" t="str">
        <f t="array" ref="BP546">IF($F546&lt;&gt;"", XLOOKUP($F546,Productos!$A$2:$A1001,Productos!BI$2:BI1001,"")*$G546,"")</f>
        <v/>
      </c>
      <c r="BQ546" s="179" t="str">
        <f t="array" ref="BQ546">IF($F546&lt;&gt;"",XLOOKUP($F546,Productos!$A:$A,Productos!BJ:BJ,"Revisar"),"")</f>
        <v/>
      </c>
      <c r="BR546" s="179" t="str">
        <f t="array" ref="BR546">IF($F546&lt;&gt;"", XLOOKUP($F546,Productos!$A$2:$A1001,Productos!BK$2:BK1001,"")*$G546,"")</f>
        <v/>
      </c>
      <c r="BS546" s="179" t="str">
        <f t="array" ref="BS546">IF($F546&lt;&gt;"",XLOOKUP($F546,Productos!$A:$A,Productos!BL:BL,"Revisar"),"")</f>
        <v/>
      </c>
      <c r="BT546" s="179" t="str">
        <f t="array" ref="BT546">IF($F546&lt;&gt;"", XLOOKUP($F546,Productos!$A$2:$A1001,Productos!BM$2:BM1001,"")*$G546,"")</f>
        <v/>
      </c>
      <c r="BU546" s="179" t="str">
        <f t="array" ref="BU546">IF($F546&lt;&gt;"",XLOOKUP($F546,Productos!$A:$A,Productos!BN:BN,"Revisar"),"")</f>
        <v/>
      </c>
      <c r="BV546" s="179" t="str">
        <f t="array" ref="BV546">IF($F546&lt;&gt;"", XLOOKUP($F546,Productos!$A$2:$A1001,Productos!BO$2:BO1001,"")*$G546,"")</f>
        <v/>
      </c>
      <c r="BW546" s="179" t="str">
        <f t="array" ref="BW546">IF($F546&lt;&gt;"",XLOOKUP($F546,Productos!$A:$A,Productos!BP:BP,"Revisar"),"")</f>
        <v/>
      </c>
      <c r="BX546" s="179" t="str">
        <f t="array" ref="BX546">IF($F546&lt;&gt;"", XLOOKUP($F546,Productos!$A$2:$A1001,Productos!BQ$2:BQ1001,"")*$G546,"")</f>
        <v/>
      </c>
      <c r="BY546" s="179" t="str">
        <f t="array" ref="BY546">IF($F546&lt;&gt;"",XLOOKUP($F546,Productos!$A:$A,Productos!BR:BR,"Revisar"),"")</f>
        <v/>
      </c>
      <c r="BZ546" s="179" t="str">
        <f t="array" ref="BZ546">IF($F546&lt;&gt;"", XLOOKUP($F546,Productos!$A$2:$A1001,Productos!BS$2:BS1001,"")*$G546,"")</f>
        <v/>
      </c>
    </row>
    <row r="547">
      <c r="A547" s="188"/>
      <c r="B547" s="189"/>
      <c r="C547" s="190"/>
      <c r="D547" s="190"/>
      <c r="E547" s="191"/>
      <c r="F547" s="186"/>
      <c r="G547" s="192"/>
      <c r="H547" s="9"/>
      <c r="I547" s="179" t="str">
        <f t="array" ref="I547">IF($F547&lt;&gt;"",XLOOKUP($F547,Productos!$A:$A,Productos!B:B,"Revisar"),"")</f>
        <v/>
      </c>
      <c r="J547" s="179" t="str">
        <f t="array" ref="J547">IF($F547&lt;&gt;"", XLOOKUP($F547,Productos!$A$2:$A1001,Productos!C$2:C1001,"")*$G547,"")</f>
        <v/>
      </c>
      <c r="K547" s="179" t="str">
        <f t="array" ref="K547">IF($F547&lt;&gt;"",XLOOKUP($F547,Productos!$A:$A,Productos!D:D,"Revisar"),"")</f>
        <v/>
      </c>
      <c r="L547" s="179" t="str">
        <f t="array" ref="L547">IF($F547&lt;&gt;"", XLOOKUP($F547,Productos!$A$2:$A1001,Productos!E$2:E1001,"")*$G547,"")</f>
        <v/>
      </c>
      <c r="M547" s="179" t="str">
        <f t="array" ref="M547">IF($F547&lt;&gt;"",XLOOKUP($F547,Productos!$A:$A,Productos!F:F,"Revisar"),"")</f>
        <v/>
      </c>
      <c r="N547" s="179" t="str">
        <f t="array" ref="N547">IF($F547&lt;&gt;"", XLOOKUP($F547,Productos!$A$2:$A1001,Productos!G$2:G1001,"")*$G547,"")</f>
        <v/>
      </c>
      <c r="O547" s="179" t="str">
        <f t="array" ref="O547">IF($F547&lt;&gt;"",XLOOKUP($F547,Productos!$A:$A,Productos!H:H,"Revisar"),"")</f>
        <v/>
      </c>
      <c r="P547" s="179" t="str">
        <f t="array" ref="P547">IF($F547&lt;&gt;"", XLOOKUP($F547,Productos!$A$2:$A1001,Productos!I$2:I1001,"")*$G547,"")</f>
        <v/>
      </c>
      <c r="Q547" s="179" t="str">
        <f t="array" ref="Q547">IF($F547&lt;&gt;"",XLOOKUP($F547,Productos!$A:$A,Productos!J:J,"Revisar"),"")</f>
        <v/>
      </c>
      <c r="R547" s="179" t="str">
        <f t="array" ref="R547">IF($F547&lt;&gt;"", XLOOKUP($F547,Productos!$A$2:$A1001,Productos!K$2:K1001,"")*$G547,"")</f>
        <v/>
      </c>
      <c r="S547" s="179" t="str">
        <f t="array" ref="S547">IF($F547&lt;&gt;"",XLOOKUP($F547,Productos!$A:$A,Productos!L:L,"Revisar"),"")</f>
        <v/>
      </c>
      <c r="T547" s="179" t="str">
        <f t="array" ref="T547">IF($F547&lt;&gt;"", XLOOKUP($F547,Productos!$A$2:$A1001,Productos!M$2:M1001,"")*$G547,"")</f>
        <v/>
      </c>
      <c r="U547" s="179" t="str">
        <f t="array" ref="U547">IF($F547&lt;&gt;"",XLOOKUP($F547,Productos!$A:$A,Productos!N:N,"Revisar"),"")</f>
        <v/>
      </c>
      <c r="V547" s="179" t="str">
        <f t="array" ref="V547">IF($F547&lt;&gt;"", XLOOKUP($F547,Productos!$A$2:$A1001,Productos!O$2:O1001,"")*$G547,"")</f>
        <v/>
      </c>
      <c r="W547" s="179" t="str">
        <f t="array" ref="W547">IF($F547&lt;&gt;"",XLOOKUP($F547,Productos!$A:$A,Productos!P:P,"Revisar"),"")</f>
        <v/>
      </c>
      <c r="X547" s="179" t="str">
        <f t="array" ref="X547">IF($F547&lt;&gt;"", XLOOKUP($F547,Productos!$A$2:$A1001,Productos!Q$2:Q1001,"")*$G547,"")</f>
        <v/>
      </c>
      <c r="Y547" s="179" t="str">
        <f t="array" ref="Y547">IF($F547&lt;&gt;"",XLOOKUP($F547,Productos!$A:$A,Productos!R:R,"Revisar"),"")</f>
        <v/>
      </c>
      <c r="Z547" s="179" t="str">
        <f t="array" ref="Z547">IF($F547&lt;&gt;"", XLOOKUP($F547,Productos!$A$2:$A1001,Productos!S$2:S1001,"")*$G547,"")</f>
        <v/>
      </c>
      <c r="AA547" s="179" t="str">
        <f t="array" ref="AA547">IF($F547&lt;&gt;"",XLOOKUP($F547,Productos!$A:$A,Productos!T:T,"Revisar"),"")</f>
        <v/>
      </c>
      <c r="AB547" s="179" t="str">
        <f t="array" ref="AB547">IF($F547&lt;&gt;"", XLOOKUP($F547,Productos!$A$2:$A1001,Productos!U$2:U1001,"")*$G547,"")</f>
        <v/>
      </c>
      <c r="AC547" s="179" t="str">
        <f t="array" ref="AC547">IF($F547&lt;&gt;"",XLOOKUP($F547,Productos!$A:$A,Productos!V:V,"Revisar"),"")</f>
        <v/>
      </c>
      <c r="AD547" s="179" t="str">
        <f t="array" ref="AD547">IF($F547&lt;&gt;"", XLOOKUP($F547,Productos!$A$2:$A1001,Productos!W$2:W1001,"")*$G547,"")</f>
        <v/>
      </c>
      <c r="AE547" s="179" t="str">
        <f t="array" ref="AE547">IF($F547&lt;&gt;"",XLOOKUP($F547,Productos!$A:$A,Productos!X:X,"Revisar"),"")</f>
        <v/>
      </c>
      <c r="AF547" s="179" t="str">
        <f t="array" ref="AF547">IF($F547&lt;&gt;"", XLOOKUP($F547,Productos!$A$2:$A1001,Productos!Y$2:Y1001,"")*$G547,"")</f>
        <v/>
      </c>
      <c r="AG547" s="179" t="str">
        <f t="array" ref="AG547">IF($F547&lt;&gt;"",XLOOKUP($F547,Productos!$A:$A,Productos!Z:Z,"Revisar"),"")</f>
        <v/>
      </c>
      <c r="AH547" s="179" t="str">
        <f t="array" ref="AH547">IF($F547&lt;&gt;"", XLOOKUP($F547,Productos!$A$2:$A1001,Productos!AA$2:AA1001,"")*$G547,"")</f>
        <v/>
      </c>
      <c r="AI547" s="179" t="str">
        <f t="array" ref="AI547">IF($F547&lt;&gt;"",XLOOKUP($F547,Productos!$A:$A,Productos!AB:AB,"Revisar"),"")</f>
        <v/>
      </c>
      <c r="AJ547" s="179" t="str">
        <f t="array" ref="AJ547">IF($F547&lt;&gt;"", XLOOKUP($F547,Productos!$A$2:$A1001,Productos!AC$2:AC1001,"")*$G547,"")</f>
        <v/>
      </c>
      <c r="AK547" s="179" t="str">
        <f t="array" ref="AK547">IF($F547&lt;&gt;"",XLOOKUP($F547,Productos!$A:$A,Productos!AD:AD,"Revisar"),"")</f>
        <v/>
      </c>
      <c r="AL547" s="179" t="str">
        <f t="array" ref="AL547">IF($F547&lt;&gt;"", XLOOKUP($F547,Productos!$A$2:$A1001,Productos!AE$2:AE1001,"")*$G547,"")</f>
        <v/>
      </c>
      <c r="AM547" s="179" t="str">
        <f t="array" ref="AM547">IF($F547&lt;&gt;"",XLOOKUP($F547,Productos!$A:$A,Productos!AF:AF,"Revisar"),"")</f>
        <v/>
      </c>
      <c r="AN547" s="179" t="str">
        <f t="array" ref="AN547">IF($F547&lt;&gt;"", XLOOKUP($F547,Productos!$A$2:$A1001,Productos!AG$2:AG1001,"")*$G547,"")</f>
        <v/>
      </c>
      <c r="AO547" s="179" t="str">
        <f t="array" ref="AO547">IF($F547&lt;&gt;"",XLOOKUP($F547,Productos!$A:$A,Productos!AH:AH,"Revisar"),"")</f>
        <v/>
      </c>
      <c r="AP547" s="179" t="str">
        <f t="array" ref="AP547">IF($F547&lt;&gt;"", XLOOKUP($F547,Productos!$A$2:$A1001,Productos!AI$2:AI1001,"")*$G547,"")</f>
        <v/>
      </c>
      <c r="AQ547" s="179" t="str">
        <f t="array" ref="AQ547">IF($F547&lt;&gt;"",XLOOKUP($F547,Productos!$A:$A,Productos!AJ:AJ,"Revisar"),"")</f>
        <v/>
      </c>
      <c r="AR547" s="179" t="str">
        <f t="array" ref="AR547">IF($F547&lt;&gt;"", XLOOKUP($F547,Productos!$A$2:$A1001,Productos!AK$2:AK1001,"")*$G547,"")</f>
        <v/>
      </c>
      <c r="AS547" s="179" t="str">
        <f t="array" ref="AS547">IF($F547&lt;&gt;"",XLOOKUP($F547,Productos!$A:$A,Productos!AL:AL,"Revisar"),"")</f>
        <v/>
      </c>
      <c r="AT547" s="179" t="str">
        <f t="array" ref="AT547">IF($F547&lt;&gt;"", XLOOKUP($F547,Productos!$A$2:$A1001,Productos!AM$2:AM1001,"")*$G547,"")</f>
        <v/>
      </c>
      <c r="AU547" s="179" t="str">
        <f t="array" ref="AU547">IF($F547&lt;&gt;"",XLOOKUP($F547,Productos!$A:$A,Productos!AN:AN,"Revisar"),"")</f>
        <v/>
      </c>
      <c r="AV547" s="179" t="str">
        <f t="array" ref="AV547">IF($F547&lt;&gt;"", XLOOKUP($F547,Productos!$A$2:$A1001,Productos!AO$2:AO1001,"")*$G547,"")</f>
        <v/>
      </c>
      <c r="AW547" s="179" t="str">
        <f t="array" ref="AW547">IF($F547&lt;&gt;"",XLOOKUP($F547,Productos!$A:$A,Productos!AP:AP,"Revisar"),"")</f>
        <v/>
      </c>
      <c r="AX547" s="179" t="str">
        <f t="array" ref="AX547">IF($F547&lt;&gt;"", XLOOKUP($F547,Productos!$A$2:$A1001,Productos!AQ$2:AQ1001,"")*$G547,"")</f>
        <v/>
      </c>
      <c r="AY547" s="179" t="str">
        <f t="array" ref="AY547">IF($F547&lt;&gt;"",XLOOKUP($F547,Productos!$A:$A,Productos!AR:AR,"Revisar"),"")</f>
        <v/>
      </c>
      <c r="AZ547" s="179" t="str">
        <f t="array" ref="AZ547">IF($F547&lt;&gt;"", XLOOKUP($F547,Productos!$A$2:$A1001,Productos!AS$2:AS1001,"")*$G547,"")</f>
        <v/>
      </c>
      <c r="BA547" s="179" t="str">
        <f t="array" ref="BA547">IF($F547&lt;&gt;"",XLOOKUP($F547,Productos!$A:$A,Productos!AT:AT,"Revisar"),"")</f>
        <v/>
      </c>
      <c r="BB547" s="179" t="str">
        <f t="array" ref="BB547">IF($F547&lt;&gt;"", XLOOKUP($F547,Productos!$A$2:$A1001,Productos!AU$2:AU1001,"")*$G547,"")</f>
        <v/>
      </c>
      <c r="BC547" s="179" t="str">
        <f t="array" ref="BC547">IF($F547&lt;&gt;"",XLOOKUP($F547,Productos!$A:$A,Productos!AV:AV,"Revisar"),"")</f>
        <v/>
      </c>
      <c r="BD547" s="179" t="str">
        <f t="array" ref="BD547">IF($F547&lt;&gt;"", XLOOKUP($F547,Productos!$A$2:$A1001,Productos!AW$2:AW1001,"")*$G547,"")</f>
        <v/>
      </c>
      <c r="BE547" s="179" t="str">
        <f t="array" ref="BE547">IF($F547&lt;&gt;"",XLOOKUP($F547,Productos!$A:$A,Productos!AX:AX,"Revisar"),"")</f>
        <v/>
      </c>
      <c r="BF547" s="179" t="str">
        <f t="array" ref="BF547">IF($F547&lt;&gt;"", XLOOKUP($F547,Productos!$A$2:$A1001,Productos!AY$2:AY1001,"")*$G547,"")</f>
        <v/>
      </c>
      <c r="BG547" s="179" t="str">
        <f t="array" ref="BG547">IF($F547&lt;&gt;"",XLOOKUP($F547,Productos!$A:$A,Productos!AZ:AZ,"Revisar"),"")</f>
        <v/>
      </c>
      <c r="BH547" s="179" t="str">
        <f t="array" ref="BH547">IF($F547&lt;&gt;"", XLOOKUP($F547,Productos!$A$2:$A1001,Productos!BA$2:BA1001,"")*$G547,"")</f>
        <v/>
      </c>
      <c r="BI547" s="179" t="str">
        <f t="array" ref="BI547">IF($F547&lt;&gt;"",XLOOKUP($F547,Productos!$A:$A,Productos!BB:BB,"Revisar"),"")</f>
        <v/>
      </c>
      <c r="BJ547" s="179" t="str">
        <f t="array" ref="BJ547">IF($F547&lt;&gt;"", XLOOKUP($F547,Productos!$A$2:$A1001,Productos!BC$2:BC1001,"")*$G547,"")</f>
        <v/>
      </c>
      <c r="BK547" s="179" t="str">
        <f t="array" ref="BK547">IF($F547&lt;&gt;"",XLOOKUP($F547,Productos!$A:$A,Productos!BD:BD,"Revisar"),"")</f>
        <v/>
      </c>
      <c r="BL547" s="179" t="str">
        <f t="array" ref="BL547">IF($F547&lt;&gt;"", XLOOKUP($F547,Productos!$A$2:$A1001,Productos!BE$2:BE1001,"")*$G547,"")</f>
        <v/>
      </c>
      <c r="BM547" s="179" t="str">
        <f t="array" ref="BM547">IF($F547&lt;&gt;"",XLOOKUP($F547,Productos!$A:$A,Productos!BF:BF,"Revisar"),"")</f>
        <v/>
      </c>
      <c r="BN547" s="179" t="str">
        <f t="array" ref="BN547">IF($F547&lt;&gt;"", XLOOKUP($F547,Productos!$A$2:$A1001,Productos!BG$2:BG1001,"")*$G547,"")</f>
        <v/>
      </c>
      <c r="BO547" s="179" t="str">
        <f t="array" ref="BO547">IF($F547&lt;&gt;"",XLOOKUP($F547,Productos!$A:$A,Productos!BH:BH,"Revisar"),"")</f>
        <v/>
      </c>
      <c r="BP547" s="179" t="str">
        <f t="array" ref="BP547">IF($F547&lt;&gt;"", XLOOKUP($F547,Productos!$A$2:$A1001,Productos!BI$2:BI1001,"")*$G547,"")</f>
        <v/>
      </c>
      <c r="BQ547" s="179" t="str">
        <f t="array" ref="BQ547">IF($F547&lt;&gt;"",XLOOKUP($F547,Productos!$A:$A,Productos!BJ:BJ,"Revisar"),"")</f>
        <v/>
      </c>
      <c r="BR547" s="179" t="str">
        <f t="array" ref="BR547">IF($F547&lt;&gt;"", XLOOKUP($F547,Productos!$A$2:$A1001,Productos!BK$2:BK1001,"")*$G547,"")</f>
        <v/>
      </c>
      <c r="BS547" s="179" t="str">
        <f t="array" ref="BS547">IF($F547&lt;&gt;"",XLOOKUP($F547,Productos!$A:$A,Productos!BL:BL,"Revisar"),"")</f>
        <v/>
      </c>
      <c r="BT547" s="179" t="str">
        <f t="array" ref="BT547">IF($F547&lt;&gt;"", XLOOKUP($F547,Productos!$A$2:$A1001,Productos!BM$2:BM1001,"")*$G547,"")</f>
        <v/>
      </c>
      <c r="BU547" s="179" t="str">
        <f t="array" ref="BU547">IF($F547&lt;&gt;"",XLOOKUP($F547,Productos!$A:$A,Productos!BN:BN,"Revisar"),"")</f>
        <v/>
      </c>
      <c r="BV547" s="179" t="str">
        <f t="array" ref="BV547">IF($F547&lt;&gt;"", XLOOKUP($F547,Productos!$A$2:$A1001,Productos!BO$2:BO1001,"")*$G547,"")</f>
        <v/>
      </c>
      <c r="BW547" s="179" t="str">
        <f t="array" ref="BW547">IF($F547&lt;&gt;"",XLOOKUP($F547,Productos!$A:$A,Productos!BP:BP,"Revisar"),"")</f>
        <v/>
      </c>
      <c r="BX547" s="179" t="str">
        <f t="array" ref="BX547">IF($F547&lt;&gt;"", XLOOKUP($F547,Productos!$A$2:$A1001,Productos!BQ$2:BQ1001,"")*$G547,"")</f>
        <v/>
      </c>
      <c r="BY547" s="179" t="str">
        <f t="array" ref="BY547">IF($F547&lt;&gt;"",XLOOKUP($F547,Productos!$A:$A,Productos!BR:BR,"Revisar"),"")</f>
        <v/>
      </c>
      <c r="BZ547" s="179" t="str">
        <f t="array" ref="BZ547">IF($F547&lt;&gt;"", XLOOKUP($F547,Productos!$A$2:$A1001,Productos!BS$2:BS1001,"")*$G547,"")</f>
        <v/>
      </c>
    </row>
    <row r="548">
      <c r="A548" s="188"/>
      <c r="B548" s="189"/>
      <c r="C548" s="190"/>
      <c r="D548" s="190"/>
      <c r="E548" s="191"/>
      <c r="F548" s="186"/>
      <c r="G548" s="192"/>
      <c r="H548" s="9"/>
      <c r="I548" s="179" t="str">
        <f t="array" ref="I548">IF($F548&lt;&gt;"",XLOOKUP($F548,Productos!$A:$A,Productos!B:B,"Revisar"),"")</f>
        <v/>
      </c>
      <c r="J548" s="179" t="str">
        <f t="array" ref="J548">IF($F548&lt;&gt;"", XLOOKUP($F548,Productos!$A$2:$A1001,Productos!C$2:C1001,"")*$G548,"")</f>
        <v/>
      </c>
      <c r="K548" s="179" t="str">
        <f t="array" ref="K548">IF($F548&lt;&gt;"",XLOOKUP($F548,Productos!$A:$A,Productos!D:D,"Revisar"),"")</f>
        <v/>
      </c>
      <c r="L548" s="179" t="str">
        <f t="array" ref="L548">IF($F548&lt;&gt;"", XLOOKUP($F548,Productos!$A$2:$A1001,Productos!E$2:E1001,"")*$G548,"")</f>
        <v/>
      </c>
      <c r="M548" s="179" t="str">
        <f t="array" ref="M548">IF($F548&lt;&gt;"",XLOOKUP($F548,Productos!$A:$A,Productos!F:F,"Revisar"),"")</f>
        <v/>
      </c>
      <c r="N548" s="179" t="str">
        <f t="array" ref="N548">IF($F548&lt;&gt;"", XLOOKUP($F548,Productos!$A$2:$A1001,Productos!G$2:G1001,"")*$G548,"")</f>
        <v/>
      </c>
      <c r="O548" s="179" t="str">
        <f t="array" ref="O548">IF($F548&lt;&gt;"",XLOOKUP($F548,Productos!$A:$A,Productos!H:H,"Revisar"),"")</f>
        <v/>
      </c>
      <c r="P548" s="179" t="str">
        <f t="array" ref="P548">IF($F548&lt;&gt;"", XLOOKUP($F548,Productos!$A$2:$A1001,Productos!I$2:I1001,"")*$G548,"")</f>
        <v/>
      </c>
      <c r="Q548" s="179" t="str">
        <f t="array" ref="Q548">IF($F548&lt;&gt;"",XLOOKUP($F548,Productos!$A:$A,Productos!J:J,"Revisar"),"")</f>
        <v/>
      </c>
      <c r="R548" s="179" t="str">
        <f t="array" ref="R548">IF($F548&lt;&gt;"", XLOOKUP($F548,Productos!$A$2:$A1001,Productos!K$2:K1001,"")*$G548,"")</f>
        <v/>
      </c>
      <c r="S548" s="179" t="str">
        <f t="array" ref="S548">IF($F548&lt;&gt;"",XLOOKUP($F548,Productos!$A:$A,Productos!L:L,"Revisar"),"")</f>
        <v/>
      </c>
      <c r="T548" s="179" t="str">
        <f t="array" ref="T548">IF($F548&lt;&gt;"", XLOOKUP($F548,Productos!$A$2:$A1001,Productos!M$2:M1001,"")*$G548,"")</f>
        <v/>
      </c>
      <c r="U548" s="179" t="str">
        <f t="array" ref="U548">IF($F548&lt;&gt;"",XLOOKUP($F548,Productos!$A:$A,Productos!N:N,"Revisar"),"")</f>
        <v/>
      </c>
      <c r="V548" s="179" t="str">
        <f t="array" ref="V548">IF($F548&lt;&gt;"", XLOOKUP($F548,Productos!$A$2:$A1001,Productos!O$2:O1001,"")*$G548,"")</f>
        <v/>
      </c>
      <c r="W548" s="179" t="str">
        <f t="array" ref="W548">IF($F548&lt;&gt;"",XLOOKUP($F548,Productos!$A:$A,Productos!P:P,"Revisar"),"")</f>
        <v/>
      </c>
      <c r="X548" s="179" t="str">
        <f t="array" ref="X548">IF($F548&lt;&gt;"", XLOOKUP($F548,Productos!$A$2:$A1001,Productos!Q$2:Q1001,"")*$G548,"")</f>
        <v/>
      </c>
      <c r="Y548" s="179" t="str">
        <f t="array" ref="Y548">IF($F548&lt;&gt;"",XLOOKUP($F548,Productos!$A:$A,Productos!R:R,"Revisar"),"")</f>
        <v/>
      </c>
      <c r="Z548" s="179" t="str">
        <f t="array" ref="Z548">IF($F548&lt;&gt;"", XLOOKUP($F548,Productos!$A$2:$A1001,Productos!S$2:S1001,"")*$G548,"")</f>
        <v/>
      </c>
      <c r="AA548" s="179" t="str">
        <f t="array" ref="AA548">IF($F548&lt;&gt;"",XLOOKUP($F548,Productos!$A:$A,Productos!T:T,"Revisar"),"")</f>
        <v/>
      </c>
      <c r="AB548" s="179" t="str">
        <f t="array" ref="AB548">IF($F548&lt;&gt;"", XLOOKUP($F548,Productos!$A$2:$A1001,Productos!U$2:U1001,"")*$G548,"")</f>
        <v/>
      </c>
      <c r="AC548" s="179" t="str">
        <f t="array" ref="AC548">IF($F548&lt;&gt;"",XLOOKUP($F548,Productos!$A:$A,Productos!V:V,"Revisar"),"")</f>
        <v/>
      </c>
      <c r="AD548" s="179" t="str">
        <f t="array" ref="AD548">IF($F548&lt;&gt;"", XLOOKUP($F548,Productos!$A$2:$A1001,Productos!W$2:W1001,"")*$G548,"")</f>
        <v/>
      </c>
      <c r="AE548" s="179" t="str">
        <f t="array" ref="AE548">IF($F548&lt;&gt;"",XLOOKUP($F548,Productos!$A:$A,Productos!X:X,"Revisar"),"")</f>
        <v/>
      </c>
      <c r="AF548" s="179" t="str">
        <f t="array" ref="AF548">IF($F548&lt;&gt;"", XLOOKUP($F548,Productos!$A$2:$A1001,Productos!Y$2:Y1001,"")*$G548,"")</f>
        <v/>
      </c>
      <c r="AG548" s="179" t="str">
        <f t="array" ref="AG548">IF($F548&lt;&gt;"",XLOOKUP($F548,Productos!$A:$A,Productos!Z:Z,"Revisar"),"")</f>
        <v/>
      </c>
      <c r="AH548" s="179" t="str">
        <f t="array" ref="AH548">IF($F548&lt;&gt;"", XLOOKUP($F548,Productos!$A$2:$A1001,Productos!AA$2:AA1001,"")*$G548,"")</f>
        <v/>
      </c>
      <c r="AI548" s="179" t="str">
        <f t="array" ref="AI548">IF($F548&lt;&gt;"",XLOOKUP($F548,Productos!$A:$A,Productos!AB:AB,"Revisar"),"")</f>
        <v/>
      </c>
      <c r="AJ548" s="179" t="str">
        <f t="array" ref="AJ548">IF($F548&lt;&gt;"", XLOOKUP($F548,Productos!$A$2:$A1001,Productos!AC$2:AC1001,"")*$G548,"")</f>
        <v/>
      </c>
      <c r="AK548" s="179" t="str">
        <f t="array" ref="AK548">IF($F548&lt;&gt;"",XLOOKUP($F548,Productos!$A:$A,Productos!AD:AD,"Revisar"),"")</f>
        <v/>
      </c>
      <c r="AL548" s="179" t="str">
        <f t="array" ref="AL548">IF($F548&lt;&gt;"", XLOOKUP($F548,Productos!$A$2:$A1001,Productos!AE$2:AE1001,"")*$G548,"")</f>
        <v/>
      </c>
      <c r="AM548" s="179" t="str">
        <f t="array" ref="AM548">IF($F548&lt;&gt;"",XLOOKUP($F548,Productos!$A:$A,Productos!AF:AF,"Revisar"),"")</f>
        <v/>
      </c>
      <c r="AN548" s="179" t="str">
        <f t="array" ref="AN548">IF($F548&lt;&gt;"", XLOOKUP($F548,Productos!$A$2:$A1001,Productos!AG$2:AG1001,"")*$G548,"")</f>
        <v/>
      </c>
      <c r="AO548" s="179" t="str">
        <f t="array" ref="AO548">IF($F548&lt;&gt;"",XLOOKUP($F548,Productos!$A:$A,Productos!AH:AH,"Revisar"),"")</f>
        <v/>
      </c>
      <c r="AP548" s="179" t="str">
        <f t="array" ref="AP548">IF($F548&lt;&gt;"", XLOOKUP($F548,Productos!$A$2:$A1001,Productos!AI$2:AI1001,"")*$G548,"")</f>
        <v/>
      </c>
      <c r="AQ548" s="179" t="str">
        <f t="array" ref="AQ548">IF($F548&lt;&gt;"",XLOOKUP($F548,Productos!$A:$A,Productos!AJ:AJ,"Revisar"),"")</f>
        <v/>
      </c>
      <c r="AR548" s="179" t="str">
        <f t="array" ref="AR548">IF($F548&lt;&gt;"", XLOOKUP($F548,Productos!$A$2:$A1001,Productos!AK$2:AK1001,"")*$G548,"")</f>
        <v/>
      </c>
      <c r="AS548" s="179" t="str">
        <f t="array" ref="AS548">IF($F548&lt;&gt;"",XLOOKUP($F548,Productos!$A:$A,Productos!AL:AL,"Revisar"),"")</f>
        <v/>
      </c>
      <c r="AT548" s="179" t="str">
        <f t="array" ref="AT548">IF($F548&lt;&gt;"", XLOOKUP($F548,Productos!$A$2:$A1001,Productos!AM$2:AM1001,"")*$G548,"")</f>
        <v/>
      </c>
      <c r="AU548" s="179" t="str">
        <f t="array" ref="AU548">IF($F548&lt;&gt;"",XLOOKUP($F548,Productos!$A:$A,Productos!AN:AN,"Revisar"),"")</f>
        <v/>
      </c>
      <c r="AV548" s="179" t="str">
        <f t="array" ref="AV548">IF($F548&lt;&gt;"", XLOOKUP($F548,Productos!$A$2:$A1001,Productos!AO$2:AO1001,"")*$G548,"")</f>
        <v/>
      </c>
      <c r="AW548" s="179" t="str">
        <f t="array" ref="AW548">IF($F548&lt;&gt;"",XLOOKUP($F548,Productos!$A:$A,Productos!AP:AP,"Revisar"),"")</f>
        <v/>
      </c>
      <c r="AX548" s="179" t="str">
        <f t="array" ref="AX548">IF($F548&lt;&gt;"", XLOOKUP($F548,Productos!$A$2:$A1001,Productos!AQ$2:AQ1001,"")*$G548,"")</f>
        <v/>
      </c>
      <c r="AY548" s="179" t="str">
        <f t="array" ref="AY548">IF($F548&lt;&gt;"",XLOOKUP($F548,Productos!$A:$A,Productos!AR:AR,"Revisar"),"")</f>
        <v/>
      </c>
      <c r="AZ548" s="179" t="str">
        <f t="array" ref="AZ548">IF($F548&lt;&gt;"", XLOOKUP($F548,Productos!$A$2:$A1001,Productos!AS$2:AS1001,"")*$G548,"")</f>
        <v/>
      </c>
      <c r="BA548" s="179" t="str">
        <f t="array" ref="BA548">IF($F548&lt;&gt;"",XLOOKUP($F548,Productos!$A:$A,Productos!AT:AT,"Revisar"),"")</f>
        <v/>
      </c>
      <c r="BB548" s="179" t="str">
        <f t="array" ref="BB548">IF($F548&lt;&gt;"", XLOOKUP($F548,Productos!$A$2:$A1001,Productos!AU$2:AU1001,"")*$G548,"")</f>
        <v/>
      </c>
      <c r="BC548" s="179" t="str">
        <f t="array" ref="BC548">IF($F548&lt;&gt;"",XLOOKUP($F548,Productos!$A:$A,Productos!AV:AV,"Revisar"),"")</f>
        <v/>
      </c>
      <c r="BD548" s="179" t="str">
        <f t="array" ref="BD548">IF($F548&lt;&gt;"", XLOOKUP($F548,Productos!$A$2:$A1001,Productos!AW$2:AW1001,"")*$G548,"")</f>
        <v/>
      </c>
      <c r="BE548" s="179" t="str">
        <f t="array" ref="BE548">IF($F548&lt;&gt;"",XLOOKUP($F548,Productos!$A:$A,Productos!AX:AX,"Revisar"),"")</f>
        <v/>
      </c>
      <c r="BF548" s="179" t="str">
        <f t="array" ref="BF548">IF($F548&lt;&gt;"", XLOOKUP($F548,Productos!$A$2:$A1001,Productos!AY$2:AY1001,"")*$G548,"")</f>
        <v/>
      </c>
      <c r="BG548" s="179" t="str">
        <f t="array" ref="BG548">IF($F548&lt;&gt;"",XLOOKUP($F548,Productos!$A:$A,Productos!AZ:AZ,"Revisar"),"")</f>
        <v/>
      </c>
      <c r="BH548" s="179" t="str">
        <f t="array" ref="BH548">IF($F548&lt;&gt;"", XLOOKUP($F548,Productos!$A$2:$A1001,Productos!BA$2:BA1001,"")*$G548,"")</f>
        <v/>
      </c>
      <c r="BI548" s="179" t="str">
        <f t="array" ref="BI548">IF($F548&lt;&gt;"",XLOOKUP($F548,Productos!$A:$A,Productos!BB:BB,"Revisar"),"")</f>
        <v/>
      </c>
      <c r="BJ548" s="179" t="str">
        <f t="array" ref="BJ548">IF($F548&lt;&gt;"", XLOOKUP($F548,Productos!$A$2:$A1001,Productos!BC$2:BC1001,"")*$G548,"")</f>
        <v/>
      </c>
      <c r="BK548" s="179" t="str">
        <f t="array" ref="BK548">IF($F548&lt;&gt;"",XLOOKUP($F548,Productos!$A:$A,Productos!BD:BD,"Revisar"),"")</f>
        <v/>
      </c>
      <c r="BL548" s="179" t="str">
        <f t="array" ref="BL548">IF($F548&lt;&gt;"", XLOOKUP($F548,Productos!$A$2:$A1001,Productos!BE$2:BE1001,"")*$G548,"")</f>
        <v/>
      </c>
      <c r="BM548" s="179" t="str">
        <f t="array" ref="BM548">IF($F548&lt;&gt;"",XLOOKUP($F548,Productos!$A:$A,Productos!BF:BF,"Revisar"),"")</f>
        <v/>
      </c>
      <c r="BN548" s="179" t="str">
        <f t="array" ref="BN548">IF($F548&lt;&gt;"", XLOOKUP($F548,Productos!$A$2:$A1001,Productos!BG$2:BG1001,"")*$G548,"")</f>
        <v/>
      </c>
      <c r="BO548" s="179" t="str">
        <f t="array" ref="BO548">IF($F548&lt;&gt;"",XLOOKUP($F548,Productos!$A:$A,Productos!BH:BH,"Revisar"),"")</f>
        <v/>
      </c>
      <c r="BP548" s="179" t="str">
        <f t="array" ref="BP548">IF($F548&lt;&gt;"", XLOOKUP($F548,Productos!$A$2:$A1001,Productos!BI$2:BI1001,"")*$G548,"")</f>
        <v/>
      </c>
      <c r="BQ548" s="179" t="str">
        <f t="array" ref="BQ548">IF($F548&lt;&gt;"",XLOOKUP($F548,Productos!$A:$A,Productos!BJ:BJ,"Revisar"),"")</f>
        <v/>
      </c>
      <c r="BR548" s="179" t="str">
        <f t="array" ref="BR548">IF($F548&lt;&gt;"", XLOOKUP($F548,Productos!$A$2:$A1001,Productos!BK$2:BK1001,"")*$G548,"")</f>
        <v/>
      </c>
      <c r="BS548" s="179" t="str">
        <f t="array" ref="BS548">IF($F548&lt;&gt;"",XLOOKUP($F548,Productos!$A:$A,Productos!BL:BL,"Revisar"),"")</f>
        <v/>
      </c>
      <c r="BT548" s="179" t="str">
        <f t="array" ref="BT548">IF($F548&lt;&gt;"", XLOOKUP($F548,Productos!$A$2:$A1001,Productos!BM$2:BM1001,"")*$G548,"")</f>
        <v/>
      </c>
      <c r="BU548" s="179" t="str">
        <f t="array" ref="BU548">IF($F548&lt;&gt;"",XLOOKUP($F548,Productos!$A:$A,Productos!BN:BN,"Revisar"),"")</f>
        <v/>
      </c>
      <c r="BV548" s="179" t="str">
        <f t="array" ref="BV548">IF($F548&lt;&gt;"", XLOOKUP($F548,Productos!$A$2:$A1001,Productos!BO$2:BO1001,"")*$G548,"")</f>
        <v/>
      </c>
      <c r="BW548" s="179" t="str">
        <f t="array" ref="BW548">IF($F548&lt;&gt;"",XLOOKUP($F548,Productos!$A:$A,Productos!BP:BP,"Revisar"),"")</f>
        <v/>
      </c>
      <c r="BX548" s="179" t="str">
        <f t="array" ref="BX548">IF($F548&lt;&gt;"", XLOOKUP($F548,Productos!$A$2:$A1001,Productos!BQ$2:BQ1001,"")*$G548,"")</f>
        <v/>
      </c>
      <c r="BY548" s="179" t="str">
        <f t="array" ref="BY548">IF($F548&lt;&gt;"",XLOOKUP($F548,Productos!$A:$A,Productos!BR:BR,"Revisar"),"")</f>
        <v/>
      </c>
      <c r="BZ548" s="179" t="str">
        <f t="array" ref="BZ548">IF($F548&lt;&gt;"", XLOOKUP($F548,Productos!$A$2:$A1001,Productos!BS$2:BS1001,"")*$G548,"")</f>
        <v/>
      </c>
    </row>
    <row r="549">
      <c r="A549" s="188"/>
      <c r="B549" s="189"/>
      <c r="C549" s="190"/>
      <c r="D549" s="190"/>
      <c r="E549" s="191"/>
      <c r="F549" s="186"/>
      <c r="G549" s="192"/>
      <c r="H549" s="9"/>
      <c r="I549" s="179" t="str">
        <f t="array" ref="I549">IF($F549&lt;&gt;"",XLOOKUP($F549,Productos!$A:$A,Productos!B:B,"Revisar"),"")</f>
        <v/>
      </c>
      <c r="J549" s="179" t="str">
        <f t="array" ref="J549">IF($F549&lt;&gt;"", XLOOKUP($F549,Productos!$A$2:$A1001,Productos!C$2:C1001,"")*$G549,"")</f>
        <v/>
      </c>
      <c r="K549" s="179" t="str">
        <f t="array" ref="K549">IF($F549&lt;&gt;"",XLOOKUP($F549,Productos!$A:$A,Productos!D:D,"Revisar"),"")</f>
        <v/>
      </c>
      <c r="L549" s="179" t="str">
        <f t="array" ref="L549">IF($F549&lt;&gt;"", XLOOKUP($F549,Productos!$A$2:$A1001,Productos!E$2:E1001,"")*$G549,"")</f>
        <v/>
      </c>
      <c r="M549" s="179" t="str">
        <f t="array" ref="M549">IF($F549&lt;&gt;"",XLOOKUP($F549,Productos!$A:$A,Productos!F:F,"Revisar"),"")</f>
        <v/>
      </c>
      <c r="N549" s="179" t="str">
        <f t="array" ref="N549">IF($F549&lt;&gt;"", XLOOKUP($F549,Productos!$A$2:$A1001,Productos!G$2:G1001,"")*$G549,"")</f>
        <v/>
      </c>
      <c r="O549" s="179" t="str">
        <f t="array" ref="O549">IF($F549&lt;&gt;"",XLOOKUP($F549,Productos!$A:$A,Productos!H:H,"Revisar"),"")</f>
        <v/>
      </c>
      <c r="P549" s="179" t="str">
        <f t="array" ref="P549">IF($F549&lt;&gt;"", XLOOKUP($F549,Productos!$A$2:$A1001,Productos!I$2:I1001,"")*$G549,"")</f>
        <v/>
      </c>
      <c r="Q549" s="179" t="str">
        <f t="array" ref="Q549">IF($F549&lt;&gt;"",XLOOKUP($F549,Productos!$A:$A,Productos!J:J,"Revisar"),"")</f>
        <v/>
      </c>
      <c r="R549" s="179" t="str">
        <f t="array" ref="R549">IF($F549&lt;&gt;"", XLOOKUP($F549,Productos!$A$2:$A1001,Productos!K$2:K1001,"")*$G549,"")</f>
        <v/>
      </c>
      <c r="S549" s="179" t="str">
        <f t="array" ref="S549">IF($F549&lt;&gt;"",XLOOKUP($F549,Productos!$A:$A,Productos!L:L,"Revisar"),"")</f>
        <v/>
      </c>
      <c r="T549" s="179" t="str">
        <f t="array" ref="T549">IF($F549&lt;&gt;"", XLOOKUP($F549,Productos!$A$2:$A1001,Productos!M$2:M1001,"")*$G549,"")</f>
        <v/>
      </c>
      <c r="U549" s="179" t="str">
        <f t="array" ref="U549">IF($F549&lt;&gt;"",XLOOKUP($F549,Productos!$A:$A,Productos!N:N,"Revisar"),"")</f>
        <v/>
      </c>
      <c r="V549" s="179" t="str">
        <f t="array" ref="V549">IF($F549&lt;&gt;"", XLOOKUP($F549,Productos!$A$2:$A1001,Productos!O$2:O1001,"")*$G549,"")</f>
        <v/>
      </c>
      <c r="W549" s="179" t="str">
        <f t="array" ref="W549">IF($F549&lt;&gt;"",XLOOKUP($F549,Productos!$A:$A,Productos!P:P,"Revisar"),"")</f>
        <v/>
      </c>
      <c r="X549" s="179" t="str">
        <f t="array" ref="X549">IF($F549&lt;&gt;"", XLOOKUP($F549,Productos!$A$2:$A1001,Productos!Q$2:Q1001,"")*$G549,"")</f>
        <v/>
      </c>
      <c r="Y549" s="179" t="str">
        <f t="array" ref="Y549">IF($F549&lt;&gt;"",XLOOKUP($F549,Productos!$A:$A,Productos!R:R,"Revisar"),"")</f>
        <v/>
      </c>
      <c r="Z549" s="179" t="str">
        <f t="array" ref="Z549">IF($F549&lt;&gt;"", XLOOKUP($F549,Productos!$A$2:$A1001,Productos!S$2:S1001,"")*$G549,"")</f>
        <v/>
      </c>
      <c r="AA549" s="179" t="str">
        <f t="array" ref="AA549">IF($F549&lt;&gt;"",XLOOKUP($F549,Productos!$A:$A,Productos!T:T,"Revisar"),"")</f>
        <v/>
      </c>
      <c r="AB549" s="179" t="str">
        <f t="array" ref="AB549">IF($F549&lt;&gt;"", XLOOKUP($F549,Productos!$A$2:$A1001,Productos!U$2:U1001,"")*$G549,"")</f>
        <v/>
      </c>
      <c r="AC549" s="179" t="str">
        <f t="array" ref="AC549">IF($F549&lt;&gt;"",XLOOKUP($F549,Productos!$A:$A,Productos!V:V,"Revisar"),"")</f>
        <v/>
      </c>
      <c r="AD549" s="179" t="str">
        <f t="array" ref="AD549">IF($F549&lt;&gt;"", XLOOKUP($F549,Productos!$A$2:$A1001,Productos!W$2:W1001,"")*$G549,"")</f>
        <v/>
      </c>
      <c r="AE549" s="179" t="str">
        <f t="array" ref="AE549">IF($F549&lt;&gt;"",XLOOKUP($F549,Productos!$A:$A,Productos!X:X,"Revisar"),"")</f>
        <v/>
      </c>
      <c r="AF549" s="179" t="str">
        <f t="array" ref="AF549">IF($F549&lt;&gt;"", XLOOKUP($F549,Productos!$A$2:$A1001,Productos!Y$2:Y1001,"")*$G549,"")</f>
        <v/>
      </c>
      <c r="AG549" s="179" t="str">
        <f t="array" ref="AG549">IF($F549&lt;&gt;"",XLOOKUP($F549,Productos!$A:$A,Productos!Z:Z,"Revisar"),"")</f>
        <v/>
      </c>
      <c r="AH549" s="179" t="str">
        <f t="array" ref="AH549">IF($F549&lt;&gt;"", XLOOKUP($F549,Productos!$A$2:$A1001,Productos!AA$2:AA1001,"")*$G549,"")</f>
        <v/>
      </c>
      <c r="AI549" s="179" t="str">
        <f t="array" ref="AI549">IF($F549&lt;&gt;"",XLOOKUP($F549,Productos!$A:$A,Productos!AB:AB,"Revisar"),"")</f>
        <v/>
      </c>
      <c r="AJ549" s="179" t="str">
        <f t="array" ref="AJ549">IF($F549&lt;&gt;"", XLOOKUP($F549,Productos!$A$2:$A1001,Productos!AC$2:AC1001,"")*$G549,"")</f>
        <v/>
      </c>
      <c r="AK549" s="179" t="str">
        <f t="array" ref="AK549">IF($F549&lt;&gt;"",XLOOKUP($F549,Productos!$A:$A,Productos!AD:AD,"Revisar"),"")</f>
        <v/>
      </c>
      <c r="AL549" s="179" t="str">
        <f t="array" ref="AL549">IF($F549&lt;&gt;"", XLOOKUP($F549,Productos!$A$2:$A1001,Productos!AE$2:AE1001,"")*$G549,"")</f>
        <v/>
      </c>
      <c r="AM549" s="179" t="str">
        <f t="array" ref="AM549">IF($F549&lt;&gt;"",XLOOKUP($F549,Productos!$A:$A,Productos!AF:AF,"Revisar"),"")</f>
        <v/>
      </c>
      <c r="AN549" s="179" t="str">
        <f t="array" ref="AN549">IF($F549&lt;&gt;"", XLOOKUP($F549,Productos!$A$2:$A1001,Productos!AG$2:AG1001,"")*$G549,"")</f>
        <v/>
      </c>
      <c r="AO549" s="179" t="str">
        <f t="array" ref="AO549">IF($F549&lt;&gt;"",XLOOKUP($F549,Productos!$A:$A,Productos!AH:AH,"Revisar"),"")</f>
        <v/>
      </c>
      <c r="AP549" s="179" t="str">
        <f t="array" ref="AP549">IF($F549&lt;&gt;"", XLOOKUP($F549,Productos!$A$2:$A1001,Productos!AI$2:AI1001,"")*$G549,"")</f>
        <v/>
      </c>
      <c r="AQ549" s="179" t="str">
        <f t="array" ref="AQ549">IF($F549&lt;&gt;"",XLOOKUP($F549,Productos!$A:$A,Productos!AJ:AJ,"Revisar"),"")</f>
        <v/>
      </c>
      <c r="AR549" s="179" t="str">
        <f t="array" ref="AR549">IF($F549&lt;&gt;"", XLOOKUP($F549,Productos!$A$2:$A1001,Productos!AK$2:AK1001,"")*$G549,"")</f>
        <v/>
      </c>
      <c r="AS549" s="179" t="str">
        <f t="array" ref="AS549">IF($F549&lt;&gt;"",XLOOKUP($F549,Productos!$A:$A,Productos!AL:AL,"Revisar"),"")</f>
        <v/>
      </c>
      <c r="AT549" s="179" t="str">
        <f t="array" ref="AT549">IF($F549&lt;&gt;"", XLOOKUP($F549,Productos!$A$2:$A1001,Productos!AM$2:AM1001,"")*$G549,"")</f>
        <v/>
      </c>
      <c r="AU549" s="179" t="str">
        <f t="array" ref="AU549">IF($F549&lt;&gt;"",XLOOKUP($F549,Productos!$A:$A,Productos!AN:AN,"Revisar"),"")</f>
        <v/>
      </c>
      <c r="AV549" s="179" t="str">
        <f t="array" ref="AV549">IF($F549&lt;&gt;"", XLOOKUP($F549,Productos!$A$2:$A1001,Productos!AO$2:AO1001,"")*$G549,"")</f>
        <v/>
      </c>
      <c r="AW549" s="179" t="str">
        <f t="array" ref="AW549">IF($F549&lt;&gt;"",XLOOKUP($F549,Productos!$A:$A,Productos!AP:AP,"Revisar"),"")</f>
        <v/>
      </c>
      <c r="AX549" s="179" t="str">
        <f t="array" ref="AX549">IF($F549&lt;&gt;"", XLOOKUP($F549,Productos!$A$2:$A1001,Productos!AQ$2:AQ1001,"")*$G549,"")</f>
        <v/>
      </c>
      <c r="AY549" s="179" t="str">
        <f t="array" ref="AY549">IF($F549&lt;&gt;"",XLOOKUP($F549,Productos!$A:$A,Productos!AR:AR,"Revisar"),"")</f>
        <v/>
      </c>
      <c r="AZ549" s="179" t="str">
        <f t="array" ref="AZ549">IF($F549&lt;&gt;"", XLOOKUP($F549,Productos!$A$2:$A1001,Productos!AS$2:AS1001,"")*$G549,"")</f>
        <v/>
      </c>
      <c r="BA549" s="179" t="str">
        <f t="array" ref="BA549">IF($F549&lt;&gt;"",XLOOKUP($F549,Productos!$A:$A,Productos!AT:AT,"Revisar"),"")</f>
        <v/>
      </c>
      <c r="BB549" s="179" t="str">
        <f t="array" ref="BB549">IF($F549&lt;&gt;"", XLOOKUP($F549,Productos!$A$2:$A1001,Productos!AU$2:AU1001,"")*$G549,"")</f>
        <v/>
      </c>
      <c r="BC549" s="179" t="str">
        <f t="array" ref="BC549">IF($F549&lt;&gt;"",XLOOKUP($F549,Productos!$A:$A,Productos!AV:AV,"Revisar"),"")</f>
        <v/>
      </c>
      <c r="BD549" s="179" t="str">
        <f t="array" ref="BD549">IF($F549&lt;&gt;"", XLOOKUP($F549,Productos!$A$2:$A1001,Productos!AW$2:AW1001,"")*$G549,"")</f>
        <v/>
      </c>
      <c r="BE549" s="179" t="str">
        <f t="array" ref="BE549">IF($F549&lt;&gt;"",XLOOKUP($F549,Productos!$A:$A,Productos!AX:AX,"Revisar"),"")</f>
        <v/>
      </c>
      <c r="BF549" s="179" t="str">
        <f t="array" ref="BF549">IF($F549&lt;&gt;"", XLOOKUP($F549,Productos!$A$2:$A1001,Productos!AY$2:AY1001,"")*$G549,"")</f>
        <v/>
      </c>
      <c r="BG549" s="179" t="str">
        <f t="array" ref="BG549">IF($F549&lt;&gt;"",XLOOKUP($F549,Productos!$A:$A,Productos!AZ:AZ,"Revisar"),"")</f>
        <v/>
      </c>
      <c r="BH549" s="179" t="str">
        <f t="array" ref="BH549">IF($F549&lt;&gt;"", XLOOKUP($F549,Productos!$A$2:$A1001,Productos!BA$2:BA1001,"")*$G549,"")</f>
        <v/>
      </c>
      <c r="BI549" s="179" t="str">
        <f t="array" ref="BI549">IF($F549&lt;&gt;"",XLOOKUP($F549,Productos!$A:$A,Productos!BB:BB,"Revisar"),"")</f>
        <v/>
      </c>
      <c r="BJ549" s="179" t="str">
        <f t="array" ref="BJ549">IF($F549&lt;&gt;"", XLOOKUP($F549,Productos!$A$2:$A1001,Productos!BC$2:BC1001,"")*$G549,"")</f>
        <v/>
      </c>
      <c r="BK549" s="179" t="str">
        <f t="array" ref="BK549">IF($F549&lt;&gt;"",XLOOKUP($F549,Productos!$A:$A,Productos!BD:BD,"Revisar"),"")</f>
        <v/>
      </c>
      <c r="BL549" s="179" t="str">
        <f t="array" ref="BL549">IF($F549&lt;&gt;"", XLOOKUP($F549,Productos!$A$2:$A1001,Productos!BE$2:BE1001,"")*$G549,"")</f>
        <v/>
      </c>
      <c r="BM549" s="179" t="str">
        <f t="array" ref="BM549">IF($F549&lt;&gt;"",XLOOKUP($F549,Productos!$A:$A,Productos!BF:BF,"Revisar"),"")</f>
        <v/>
      </c>
      <c r="BN549" s="179" t="str">
        <f t="array" ref="BN549">IF($F549&lt;&gt;"", XLOOKUP($F549,Productos!$A$2:$A1001,Productos!BG$2:BG1001,"")*$G549,"")</f>
        <v/>
      </c>
      <c r="BO549" s="179" t="str">
        <f t="array" ref="BO549">IF($F549&lt;&gt;"",XLOOKUP($F549,Productos!$A:$A,Productos!BH:BH,"Revisar"),"")</f>
        <v/>
      </c>
      <c r="BP549" s="179" t="str">
        <f t="array" ref="BP549">IF($F549&lt;&gt;"", XLOOKUP($F549,Productos!$A$2:$A1001,Productos!BI$2:BI1001,"")*$G549,"")</f>
        <v/>
      </c>
      <c r="BQ549" s="179" t="str">
        <f t="array" ref="BQ549">IF($F549&lt;&gt;"",XLOOKUP($F549,Productos!$A:$A,Productos!BJ:BJ,"Revisar"),"")</f>
        <v/>
      </c>
      <c r="BR549" s="179" t="str">
        <f t="array" ref="BR549">IF($F549&lt;&gt;"", XLOOKUP($F549,Productos!$A$2:$A1001,Productos!BK$2:BK1001,"")*$G549,"")</f>
        <v/>
      </c>
      <c r="BS549" s="179" t="str">
        <f t="array" ref="BS549">IF($F549&lt;&gt;"",XLOOKUP($F549,Productos!$A:$A,Productos!BL:BL,"Revisar"),"")</f>
        <v/>
      </c>
      <c r="BT549" s="179" t="str">
        <f t="array" ref="BT549">IF($F549&lt;&gt;"", XLOOKUP($F549,Productos!$A$2:$A1001,Productos!BM$2:BM1001,"")*$G549,"")</f>
        <v/>
      </c>
      <c r="BU549" s="179" t="str">
        <f t="array" ref="BU549">IF($F549&lt;&gt;"",XLOOKUP($F549,Productos!$A:$A,Productos!BN:BN,"Revisar"),"")</f>
        <v/>
      </c>
      <c r="BV549" s="179" t="str">
        <f t="array" ref="BV549">IF($F549&lt;&gt;"", XLOOKUP($F549,Productos!$A$2:$A1001,Productos!BO$2:BO1001,"")*$G549,"")</f>
        <v/>
      </c>
      <c r="BW549" s="179" t="str">
        <f t="array" ref="BW549">IF($F549&lt;&gt;"",XLOOKUP($F549,Productos!$A:$A,Productos!BP:BP,"Revisar"),"")</f>
        <v/>
      </c>
      <c r="BX549" s="179" t="str">
        <f t="array" ref="BX549">IF($F549&lt;&gt;"", XLOOKUP($F549,Productos!$A$2:$A1001,Productos!BQ$2:BQ1001,"")*$G549,"")</f>
        <v/>
      </c>
      <c r="BY549" s="179" t="str">
        <f t="array" ref="BY549">IF($F549&lt;&gt;"",XLOOKUP($F549,Productos!$A:$A,Productos!BR:BR,"Revisar"),"")</f>
        <v/>
      </c>
      <c r="BZ549" s="179" t="str">
        <f t="array" ref="BZ549">IF($F549&lt;&gt;"", XLOOKUP($F549,Productos!$A$2:$A1001,Productos!BS$2:BS1001,"")*$G549,"")</f>
        <v/>
      </c>
    </row>
    <row r="550">
      <c r="A550" s="188"/>
      <c r="B550" s="189"/>
      <c r="C550" s="190"/>
      <c r="D550" s="190"/>
      <c r="E550" s="191"/>
      <c r="F550" s="186"/>
      <c r="G550" s="192"/>
      <c r="H550" s="9"/>
      <c r="I550" s="179" t="str">
        <f t="array" ref="I550">IF($F550&lt;&gt;"",XLOOKUP($F550,Productos!$A:$A,Productos!B:B,"Revisar"),"")</f>
        <v/>
      </c>
      <c r="J550" s="179" t="str">
        <f t="array" ref="J550">IF($F550&lt;&gt;"", XLOOKUP($F550,Productos!$A$2:$A1001,Productos!C$2:C1001,"")*$G550,"")</f>
        <v/>
      </c>
      <c r="K550" s="179" t="str">
        <f t="array" ref="K550">IF($F550&lt;&gt;"",XLOOKUP($F550,Productos!$A:$A,Productos!D:D,"Revisar"),"")</f>
        <v/>
      </c>
      <c r="L550" s="179" t="str">
        <f t="array" ref="L550">IF($F550&lt;&gt;"", XLOOKUP($F550,Productos!$A$2:$A1001,Productos!E$2:E1001,"")*$G550,"")</f>
        <v/>
      </c>
      <c r="M550" s="179" t="str">
        <f t="array" ref="M550">IF($F550&lt;&gt;"",XLOOKUP($F550,Productos!$A:$A,Productos!F:F,"Revisar"),"")</f>
        <v/>
      </c>
      <c r="N550" s="179" t="str">
        <f t="array" ref="N550">IF($F550&lt;&gt;"", XLOOKUP($F550,Productos!$A$2:$A1001,Productos!G$2:G1001,"")*$G550,"")</f>
        <v/>
      </c>
      <c r="O550" s="179" t="str">
        <f t="array" ref="O550">IF($F550&lt;&gt;"",XLOOKUP($F550,Productos!$A:$A,Productos!H:H,"Revisar"),"")</f>
        <v/>
      </c>
      <c r="P550" s="179" t="str">
        <f t="array" ref="P550">IF($F550&lt;&gt;"", XLOOKUP($F550,Productos!$A$2:$A1001,Productos!I$2:I1001,"")*$G550,"")</f>
        <v/>
      </c>
      <c r="Q550" s="179" t="str">
        <f t="array" ref="Q550">IF($F550&lt;&gt;"",XLOOKUP($F550,Productos!$A:$A,Productos!J:J,"Revisar"),"")</f>
        <v/>
      </c>
      <c r="R550" s="179" t="str">
        <f t="array" ref="R550">IF($F550&lt;&gt;"", XLOOKUP($F550,Productos!$A$2:$A1001,Productos!K$2:K1001,"")*$G550,"")</f>
        <v/>
      </c>
      <c r="S550" s="179" t="str">
        <f t="array" ref="S550">IF($F550&lt;&gt;"",XLOOKUP($F550,Productos!$A:$A,Productos!L:L,"Revisar"),"")</f>
        <v/>
      </c>
      <c r="T550" s="179" t="str">
        <f t="array" ref="T550">IF($F550&lt;&gt;"", XLOOKUP($F550,Productos!$A$2:$A1001,Productos!M$2:M1001,"")*$G550,"")</f>
        <v/>
      </c>
      <c r="U550" s="179" t="str">
        <f t="array" ref="U550">IF($F550&lt;&gt;"",XLOOKUP($F550,Productos!$A:$A,Productos!N:N,"Revisar"),"")</f>
        <v/>
      </c>
      <c r="V550" s="179" t="str">
        <f t="array" ref="V550">IF($F550&lt;&gt;"", XLOOKUP($F550,Productos!$A$2:$A1001,Productos!O$2:O1001,"")*$G550,"")</f>
        <v/>
      </c>
      <c r="W550" s="179" t="str">
        <f t="array" ref="W550">IF($F550&lt;&gt;"",XLOOKUP($F550,Productos!$A:$A,Productos!P:P,"Revisar"),"")</f>
        <v/>
      </c>
      <c r="X550" s="179" t="str">
        <f t="array" ref="X550">IF($F550&lt;&gt;"", XLOOKUP($F550,Productos!$A$2:$A1001,Productos!Q$2:Q1001,"")*$G550,"")</f>
        <v/>
      </c>
      <c r="Y550" s="179" t="str">
        <f t="array" ref="Y550">IF($F550&lt;&gt;"",XLOOKUP($F550,Productos!$A:$A,Productos!R:R,"Revisar"),"")</f>
        <v/>
      </c>
      <c r="Z550" s="179" t="str">
        <f t="array" ref="Z550">IF($F550&lt;&gt;"", XLOOKUP($F550,Productos!$A$2:$A1001,Productos!S$2:S1001,"")*$G550,"")</f>
        <v/>
      </c>
      <c r="AA550" s="179" t="str">
        <f t="array" ref="AA550">IF($F550&lt;&gt;"",XLOOKUP($F550,Productos!$A:$A,Productos!T:T,"Revisar"),"")</f>
        <v/>
      </c>
      <c r="AB550" s="179" t="str">
        <f t="array" ref="AB550">IF($F550&lt;&gt;"", XLOOKUP($F550,Productos!$A$2:$A1001,Productos!U$2:U1001,"")*$G550,"")</f>
        <v/>
      </c>
      <c r="AC550" s="179" t="str">
        <f t="array" ref="AC550">IF($F550&lt;&gt;"",XLOOKUP($F550,Productos!$A:$A,Productos!V:V,"Revisar"),"")</f>
        <v/>
      </c>
      <c r="AD550" s="179" t="str">
        <f t="array" ref="AD550">IF($F550&lt;&gt;"", XLOOKUP($F550,Productos!$A$2:$A1001,Productos!W$2:W1001,"")*$G550,"")</f>
        <v/>
      </c>
      <c r="AE550" s="179" t="str">
        <f t="array" ref="AE550">IF($F550&lt;&gt;"",XLOOKUP($F550,Productos!$A:$A,Productos!X:X,"Revisar"),"")</f>
        <v/>
      </c>
      <c r="AF550" s="179" t="str">
        <f t="array" ref="AF550">IF($F550&lt;&gt;"", XLOOKUP($F550,Productos!$A$2:$A1001,Productos!Y$2:Y1001,"")*$G550,"")</f>
        <v/>
      </c>
      <c r="AG550" s="179" t="str">
        <f t="array" ref="AG550">IF($F550&lt;&gt;"",XLOOKUP($F550,Productos!$A:$A,Productos!Z:Z,"Revisar"),"")</f>
        <v/>
      </c>
      <c r="AH550" s="179" t="str">
        <f t="array" ref="AH550">IF($F550&lt;&gt;"", XLOOKUP($F550,Productos!$A$2:$A1001,Productos!AA$2:AA1001,"")*$G550,"")</f>
        <v/>
      </c>
      <c r="AI550" s="179" t="str">
        <f t="array" ref="AI550">IF($F550&lt;&gt;"",XLOOKUP($F550,Productos!$A:$A,Productos!AB:AB,"Revisar"),"")</f>
        <v/>
      </c>
      <c r="AJ550" s="179" t="str">
        <f t="array" ref="AJ550">IF($F550&lt;&gt;"", XLOOKUP($F550,Productos!$A$2:$A1001,Productos!AC$2:AC1001,"")*$G550,"")</f>
        <v/>
      </c>
      <c r="AK550" s="179" t="str">
        <f t="array" ref="AK550">IF($F550&lt;&gt;"",XLOOKUP($F550,Productos!$A:$A,Productos!AD:AD,"Revisar"),"")</f>
        <v/>
      </c>
      <c r="AL550" s="179" t="str">
        <f t="array" ref="AL550">IF($F550&lt;&gt;"", XLOOKUP($F550,Productos!$A$2:$A1001,Productos!AE$2:AE1001,"")*$G550,"")</f>
        <v/>
      </c>
      <c r="AM550" s="179" t="str">
        <f t="array" ref="AM550">IF($F550&lt;&gt;"",XLOOKUP($F550,Productos!$A:$A,Productos!AF:AF,"Revisar"),"")</f>
        <v/>
      </c>
      <c r="AN550" s="179" t="str">
        <f t="array" ref="AN550">IF($F550&lt;&gt;"", XLOOKUP($F550,Productos!$A$2:$A1001,Productos!AG$2:AG1001,"")*$G550,"")</f>
        <v/>
      </c>
      <c r="AO550" s="179" t="str">
        <f t="array" ref="AO550">IF($F550&lt;&gt;"",XLOOKUP($F550,Productos!$A:$A,Productos!AH:AH,"Revisar"),"")</f>
        <v/>
      </c>
      <c r="AP550" s="179" t="str">
        <f t="array" ref="AP550">IF($F550&lt;&gt;"", XLOOKUP($F550,Productos!$A$2:$A1001,Productos!AI$2:AI1001,"")*$G550,"")</f>
        <v/>
      </c>
      <c r="AQ550" s="179" t="str">
        <f t="array" ref="AQ550">IF($F550&lt;&gt;"",XLOOKUP($F550,Productos!$A:$A,Productos!AJ:AJ,"Revisar"),"")</f>
        <v/>
      </c>
      <c r="AR550" s="179" t="str">
        <f t="array" ref="AR550">IF($F550&lt;&gt;"", XLOOKUP($F550,Productos!$A$2:$A1001,Productos!AK$2:AK1001,"")*$G550,"")</f>
        <v/>
      </c>
      <c r="AS550" s="179" t="str">
        <f t="array" ref="AS550">IF($F550&lt;&gt;"",XLOOKUP($F550,Productos!$A:$A,Productos!AL:AL,"Revisar"),"")</f>
        <v/>
      </c>
      <c r="AT550" s="179" t="str">
        <f t="array" ref="AT550">IF($F550&lt;&gt;"", XLOOKUP($F550,Productos!$A$2:$A1001,Productos!AM$2:AM1001,"")*$G550,"")</f>
        <v/>
      </c>
      <c r="AU550" s="179" t="str">
        <f t="array" ref="AU550">IF($F550&lt;&gt;"",XLOOKUP($F550,Productos!$A:$A,Productos!AN:AN,"Revisar"),"")</f>
        <v/>
      </c>
      <c r="AV550" s="179" t="str">
        <f t="array" ref="AV550">IF($F550&lt;&gt;"", XLOOKUP($F550,Productos!$A$2:$A1001,Productos!AO$2:AO1001,"")*$G550,"")</f>
        <v/>
      </c>
      <c r="AW550" s="179" t="str">
        <f t="array" ref="AW550">IF($F550&lt;&gt;"",XLOOKUP($F550,Productos!$A:$A,Productos!AP:AP,"Revisar"),"")</f>
        <v/>
      </c>
      <c r="AX550" s="179" t="str">
        <f t="array" ref="AX550">IF($F550&lt;&gt;"", XLOOKUP($F550,Productos!$A$2:$A1001,Productos!AQ$2:AQ1001,"")*$G550,"")</f>
        <v/>
      </c>
      <c r="AY550" s="179" t="str">
        <f t="array" ref="AY550">IF($F550&lt;&gt;"",XLOOKUP($F550,Productos!$A:$A,Productos!AR:AR,"Revisar"),"")</f>
        <v/>
      </c>
      <c r="AZ550" s="179" t="str">
        <f t="array" ref="AZ550">IF($F550&lt;&gt;"", XLOOKUP($F550,Productos!$A$2:$A1001,Productos!AS$2:AS1001,"")*$G550,"")</f>
        <v/>
      </c>
      <c r="BA550" s="179" t="str">
        <f t="array" ref="BA550">IF($F550&lt;&gt;"",XLOOKUP($F550,Productos!$A:$A,Productos!AT:AT,"Revisar"),"")</f>
        <v/>
      </c>
      <c r="BB550" s="179" t="str">
        <f t="array" ref="BB550">IF($F550&lt;&gt;"", XLOOKUP($F550,Productos!$A$2:$A1001,Productos!AU$2:AU1001,"")*$G550,"")</f>
        <v/>
      </c>
      <c r="BC550" s="179" t="str">
        <f t="array" ref="BC550">IF($F550&lt;&gt;"",XLOOKUP($F550,Productos!$A:$A,Productos!AV:AV,"Revisar"),"")</f>
        <v/>
      </c>
      <c r="BD550" s="179" t="str">
        <f t="array" ref="BD550">IF($F550&lt;&gt;"", XLOOKUP($F550,Productos!$A$2:$A1001,Productos!AW$2:AW1001,"")*$G550,"")</f>
        <v/>
      </c>
      <c r="BE550" s="179" t="str">
        <f t="array" ref="BE550">IF($F550&lt;&gt;"",XLOOKUP($F550,Productos!$A:$A,Productos!AX:AX,"Revisar"),"")</f>
        <v/>
      </c>
      <c r="BF550" s="179" t="str">
        <f t="array" ref="BF550">IF($F550&lt;&gt;"", XLOOKUP($F550,Productos!$A$2:$A1001,Productos!AY$2:AY1001,"")*$G550,"")</f>
        <v/>
      </c>
      <c r="BG550" s="179" t="str">
        <f t="array" ref="BG550">IF($F550&lt;&gt;"",XLOOKUP($F550,Productos!$A:$A,Productos!AZ:AZ,"Revisar"),"")</f>
        <v/>
      </c>
      <c r="BH550" s="179" t="str">
        <f t="array" ref="BH550">IF($F550&lt;&gt;"", XLOOKUP($F550,Productos!$A$2:$A1001,Productos!BA$2:BA1001,"")*$G550,"")</f>
        <v/>
      </c>
      <c r="BI550" s="179" t="str">
        <f t="array" ref="BI550">IF($F550&lt;&gt;"",XLOOKUP($F550,Productos!$A:$A,Productos!BB:BB,"Revisar"),"")</f>
        <v/>
      </c>
      <c r="BJ550" s="179" t="str">
        <f t="array" ref="BJ550">IF($F550&lt;&gt;"", XLOOKUP($F550,Productos!$A$2:$A1001,Productos!BC$2:BC1001,"")*$G550,"")</f>
        <v/>
      </c>
      <c r="BK550" s="179" t="str">
        <f t="array" ref="BK550">IF($F550&lt;&gt;"",XLOOKUP($F550,Productos!$A:$A,Productos!BD:BD,"Revisar"),"")</f>
        <v/>
      </c>
      <c r="BL550" s="179" t="str">
        <f t="array" ref="BL550">IF($F550&lt;&gt;"", XLOOKUP($F550,Productos!$A$2:$A1001,Productos!BE$2:BE1001,"")*$G550,"")</f>
        <v/>
      </c>
      <c r="BM550" s="179" t="str">
        <f t="array" ref="BM550">IF($F550&lt;&gt;"",XLOOKUP($F550,Productos!$A:$A,Productos!BF:BF,"Revisar"),"")</f>
        <v/>
      </c>
      <c r="BN550" s="179" t="str">
        <f t="array" ref="BN550">IF($F550&lt;&gt;"", XLOOKUP($F550,Productos!$A$2:$A1001,Productos!BG$2:BG1001,"")*$G550,"")</f>
        <v/>
      </c>
      <c r="BO550" s="179" t="str">
        <f t="array" ref="BO550">IF($F550&lt;&gt;"",XLOOKUP($F550,Productos!$A:$A,Productos!BH:BH,"Revisar"),"")</f>
        <v/>
      </c>
      <c r="BP550" s="179" t="str">
        <f t="array" ref="BP550">IF($F550&lt;&gt;"", XLOOKUP($F550,Productos!$A$2:$A1001,Productos!BI$2:BI1001,"")*$G550,"")</f>
        <v/>
      </c>
      <c r="BQ550" s="179" t="str">
        <f t="array" ref="BQ550">IF($F550&lt;&gt;"",XLOOKUP($F550,Productos!$A:$A,Productos!BJ:BJ,"Revisar"),"")</f>
        <v/>
      </c>
      <c r="BR550" s="179" t="str">
        <f t="array" ref="BR550">IF($F550&lt;&gt;"", XLOOKUP($F550,Productos!$A$2:$A1001,Productos!BK$2:BK1001,"")*$G550,"")</f>
        <v/>
      </c>
      <c r="BS550" s="179" t="str">
        <f t="array" ref="BS550">IF($F550&lt;&gt;"",XLOOKUP($F550,Productos!$A:$A,Productos!BL:BL,"Revisar"),"")</f>
        <v/>
      </c>
      <c r="BT550" s="179" t="str">
        <f t="array" ref="BT550">IF($F550&lt;&gt;"", XLOOKUP($F550,Productos!$A$2:$A1001,Productos!BM$2:BM1001,"")*$G550,"")</f>
        <v/>
      </c>
      <c r="BU550" s="179" t="str">
        <f t="array" ref="BU550">IF($F550&lt;&gt;"",XLOOKUP($F550,Productos!$A:$A,Productos!BN:BN,"Revisar"),"")</f>
        <v/>
      </c>
      <c r="BV550" s="179" t="str">
        <f t="array" ref="BV550">IF($F550&lt;&gt;"", XLOOKUP($F550,Productos!$A$2:$A1001,Productos!BO$2:BO1001,"")*$G550,"")</f>
        <v/>
      </c>
      <c r="BW550" s="179" t="str">
        <f t="array" ref="BW550">IF($F550&lt;&gt;"",XLOOKUP($F550,Productos!$A:$A,Productos!BP:BP,"Revisar"),"")</f>
        <v/>
      </c>
      <c r="BX550" s="179" t="str">
        <f t="array" ref="BX550">IF($F550&lt;&gt;"", XLOOKUP($F550,Productos!$A$2:$A1001,Productos!BQ$2:BQ1001,"")*$G550,"")</f>
        <v/>
      </c>
      <c r="BY550" s="179" t="str">
        <f t="array" ref="BY550">IF($F550&lt;&gt;"",XLOOKUP($F550,Productos!$A:$A,Productos!BR:BR,"Revisar"),"")</f>
        <v/>
      </c>
      <c r="BZ550" s="179" t="str">
        <f t="array" ref="BZ550">IF($F550&lt;&gt;"", XLOOKUP($F550,Productos!$A$2:$A1001,Productos!BS$2:BS1001,"")*$G550,"")</f>
        <v/>
      </c>
    </row>
    <row r="551">
      <c r="A551" s="188"/>
      <c r="B551" s="189"/>
      <c r="C551" s="190"/>
      <c r="D551" s="190"/>
      <c r="E551" s="191"/>
      <c r="F551" s="186"/>
      <c r="G551" s="192"/>
      <c r="H551" s="9"/>
      <c r="I551" s="179" t="str">
        <f t="array" ref="I551">IF($F551&lt;&gt;"",XLOOKUP($F551,Productos!$A:$A,Productos!B:B,"Revisar"),"")</f>
        <v/>
      </c>
      <c r="J551" s="179" t="str">
        <f t="array" ref="J551">IF($F551&lt;&gt;"", XLOOKUP($F551,Productos!$A$2:$A1001,Productos!C$2:C1001,"")*$G551,"")</f>
        <v/>
      </c>
      <c r="K551" s="179" t="str">
        <f t="array" ref="K551">IF($F551&lt;&gt;"",XLOOKUP($F551,Productos!$A:$A,Productos!D:D,"Revisar"),"")</f>
        <v/>
      </c>
      <c r="L551" s="179" t="str">
        <f t="array" ref="L551">IF($F551&lt;&gt;"", XLOOKUP($F551,Productos!$A$2:$A1001,Productos!E$2:E1001,"")*$G551,"")</f>
        <v/>
      </c>
      <c r="M551" s="179" t="str">
        <f t="array" ref="M551">IF($F551&lt;&gt;"",XLOOKUP($F551,Productos!$A:$A,Productos!F:F,"Revisar"),"")</f>
        <v/>
      </c>
      <c r="N551" s="179" t="str">
        <f t="array" ref="N551">IF($F551&lt;&gt;"", XLOOKUP($F551,Productos!$A$2:$A1001,Productos!G$2:G1001,"")*$G551,"")</f>
        <v/>
      </c>
      <c r="O551" s="179" t="str">
        <f t="array" ref="O551">IF($F551&lt;&gt;"",XLOOKUP($F551,Productos!$A:$A,Productos!H:H,"Revisar"),"")</f>
        <v/>
      </c>
      <c r="P551" s="179" t="str">
        <f t="array" ref="P551">IF($F551&lt;&gt;"", XLOOKUP($F551,Productos!$A$2:$A1001,Productos!I$2:I1001,"")*$G551,"")</f>
        <v/>
      </c>
      <c r="Q551" s="179" t="str">
        <f t="array" ref="Q551">IF($F551&lt;&gt;"",XLOOKUP($F551,Productos!$A:$A,Productos!J:J,"Revisar"),"")</f>
        <v/>
      </c>
      <c r="R551" s="179" t="str">
        <f t="array" ref="R551">IF($F551&lt;&gt;"", XLOOKUP($F551,Productos!$A$2:$A1001,Productos!K$2:K1001,"")*$G551,"")</f>
        <v/>
      </c>
      <c r="S551" s="179" t="str">
        <f t="array" ref="S551">IF($F551&lt;&gt;"",XLOOKUP($F551,Productos!$A:$A,Productos!L:L,"Revisar"),"")</f>
        <v/>
      </c>
      <c r="T551" s="179" t="str">
        <f t="array" ref="T551">IF($F551&lt;&gt;"", XLOOKUP($F551,Productos!$A$2:$A1001,Productos!M$2:M1001,"")*$G551,"")</f>
        <v/>
      </c>
      <c r="U551" s="179" t="str">
        <f t="array" ref="U551">IF($F551&lt;&gt;"",XLOOKUP($F551,Productos!$A:$A,Productos!N:N,"Revisar"),"")</f>
        <v/>
      </c>
      <c r="V551" s="179" t="str">
        <f t="array" ref="V551">IF($F551&lt;&gt;"", XLOOKUP($F551,Productos!$A$2:$A1001,Productos!O$2:O1001,"")*$G551,"")</f>
        <v/>
      </c>
      <c r="W551" s="179" t="str">
        <f t="array" ref="W551">IF($F551&lt;&gt;"",XLOOKUP($F551,Productos!$A:$A,Productos!P:P,"Revisar"),"")</f>
        <v/>
      </c>
      <c r="X551" s="179" t="str">
        <f t="array" ref="X551">IF($F551&lt;&gt;"", XLOOKUP($F551,Productos!$A$2:$A1001,Productos!Q$2:Q1001,"")*$G551,"")</f>
        <v/>
      </c>
      <c r="Y551" s="179" t="str">
        <f t="array" ref="Y551">IF($F551&lt;&gt;"",XLOOKUP($F551,Productos!$A:$A,Productos!R:R,"Revisar"),"")</f>
        <v/>
      </c>
      <c r="Z551" s="179" t="str">
        <f t="array" ref="Z551">IF($F551&lt;&gt;"", XLOOKUP($F551,Productos!$A$2:$A1001,Productos!S$2:S1001,"")*$G551,"")</f>
        <v/>
      </c>
      <c r="AA551" s="179" t="str">
        <f t="array" ref="AA551">IF($F551&lt;&gt;"",XLOOKUP($F551,Productos!$A:$A,Productos!T:T,"Revisar"),"")</f>
        <v/>
      </c>
      <c r="AB551" s="179" t="str">
        <f t="array" ref="AB551">IF($F551&lt;&gt;"", XLOOKUP($F551,Productos!$A$2:$A1001,Productos!U$2:U1001,"")*$G551,"")</f>
        <v/>
      </c>
      <c r="AC551" s="179" t="str">
        <f t="array" ref="AC551">IF($F551&lt;&gt;"",XLOOKUP($F551,Productos!$A:$A,Productos!V:V,"Revisar"),"")</f>
        <v/>
      </c>
      <c r="AD551" s="179" t="str">
        <f t="array" ref="AD551">IF($F551&lt;&gt;"", XLOOKUP($F551,Productos!$A$2:$A1001,Productos!W$2:W1001,"")*$G551,"")</f>
        <v/>
      </c>
      <c r="AE551" s="179" t="str">
        <f t="array" ref="AE551">IF($F551&lt;&gt;"",XLOOKUP($F551,Productos!$A:$A,Productos!X:X,"Revisar"),"")</f>
        <v/>
      </c>
      <c r="AF551" s="179" t="str">
        <f t="array" ref="AF551">IF($F551&lt;&gt;"", XLOOKUP($F551,Productos!$A$2:$A1001,Productos!Y$2:Y1001,"")*$G551,"")</f>
        <v/>
      </c>
      <c r="AG551" s="179" t="str">
        <f t="array" ref="AG551">IF($F551&lt;&gt;"",XLOOKUP($F551,Productos!$A:$A,Productos!Z:Z,"Revisar"),"")</f>
        <v/>
      </c>
      <c r="AH551" s="179" t="str">
        <f t="array" ref="AH551">IF($F551&lt;&gt;"", XLOOKUP($F551,Productos!$A$2:$A1001,Productos!AA$2:AA1001,"")*$G551,"")</f>
        <v/>
      </c>
      <c r="AI551" s="179" t="str">
        <f t="array" ref="AI551">IF($F551&lt;&gt;"",XLOOKUP($F551,Productos!$A:$A,Productos!AB:AB,"Revisar"),"")</f>
        <v/>
      </c>
      <c r="AJ551" s="179" t="str">
        <f t="array" ref="AJ551">IF($F551&lt;&gt;"", XLOOKUP($F551,Productos!$A$2:$A1001,Productos!AC$2:AC1001,"")*$G551,"")</f>
        <v/>
      </c>
      <c r="AK551" s="179" t="str">
        <f t="array" ref="AK551">IF($F551&lt;&gt;"",XLOOKUP($F551,Productos!$A:$A,Productos!AD:AD,"Revisar"),"")</f>
        <v/>
      </c>
      <c r="AL551" s="179" t="str">
        <f t="array" ref="AL551">IF($F551&lt;&gt;"", XLOOKUP($F551,Productos!$A$2:$A1001,Productos!AE$2:AE1001,"")*$G551,"")</f>
        <v/>
      </c>
      <c r="AM551" s="179" t="str">
        <f t="array" ref="AM551">IF($F551&lt;&gt;"",XLOOKUP($F551,Productos!$A:$A,Productos!AF:AF,"Revisar"),"")</f>
        <v/>
      </c>
      <c r="AN551" s="179" t="str">
        <f t="array" ref="AN551">IF($F551&lt;&gt;"", XLOOKUP($F551,Productos!$A$2:$A1001,Productos!AG$2:AG1001,"")*$G551,"")</f>
        <v/>
      </c>
      <c r="AO551" s="179" t="str">
        <f t="array" ref="AO551">IF($F551&lt;&gt;"",XLOOKUP($F551,Productos!$A:$A,Productos!AH:AH,"Revisar"),"")</f>
        <v/>
      </c>
      <c r="AP551" s="179" t="str">
        <f t="array" ref="AP551">IF($F551&lt;&gt;"", XLOOKUP($F551,Productos!$A$2:$A1001,Productos!AI$2:AI1001,"")*$G551,"")</f>
        <v/>
      </c>
      <c r="AQ551" s="179" t="str">
        <f t="array" ref="AQ551">IF($F551&lt;&gt;"",XLOOKUP($F551,Productos!$A:$A,Productos!AJ:AJ,"Revisar"),"")</f>
        <v/>
      </c>
      <c r="AR551" s="179" t="str">
        <f t="array" ref="AR551">IF($F551&lt;&gt;"", XLOOKUP($F551,Productos!$A$2:$A1001,Productos!AK$2:AK1001,"")*$G551,"")</f>
        <v/>
      </c>
      <c r="AS551" s="179" t="str">
        <f t="array" ref="AS551">IF($F551&lt;&gt;"",XLOOKUP($F551,Productos!$A:$A,Productos!AL:AL,"Revisar"),"")</f>
        <v/>
      </c>
      <c r="AT551" s="179" t="str">
        <f t="array" ref="AT551">IF($F551&lt;&gt;"", XLOOKUP($F551,Productos!$A$2:$A1001,Productos!AM$2:AM1001,"")*$G551,"")</f>
        <v/>
      </c>
      <c r="AU551" s="179" t="str">
        <f t="array" ref="AU551">IF($F551&lt;&gt;"",XLOOKUP($F551,Productos!$A:$A,Productos!AN:AN,"Revisar"),"")</f>
        <v/>
      </c>
      <c r="AV551" s="179" t="str">
        <f t="array" ref="AV551">IF($F551&lt;&gt;"", XLOOKUP($F551,Productos!$A$2:$A1001,Productos!AO$2:AO1001,"")*$G551,"")</f>
        <v/>
      </c>
      <c r="AW551" s="179" t="str">
        <f t="array" ref="AW551">IF($F551&lt;&gt;"",XLOOKUP($F551,Productos!$A:$A,Productos!AP:AP,"Revisar"),"")</f>
        <v/>
      </c>
      <c r="AX551" s="179" t="str">
        <f t="array" ref="AX551">IF($F551&lt;&gt;"", XLOOKUP($F551,Productos!$A$2:$A1001,Productos!AQ$2:AQ1001,"")*$G551,"")</f>
        <v/>
      </c>
      <c r="AY551" s="179" t="str">
        <f t="array" ref="AY551">IF($F551&lt;&gt;"",XLOOKUP($F551,Productos!$A:$A,Productos!AR:AR,"Revisar"),"")</f>
        <v/>
      </c>
      <c r="AZ551" s="179" t="str">
        <f t="array" ref="AZ551">IF($F551&lt;&gt;"", XLOOKUP($F551,Productos!$A$2:$A1001,Productos!AS$2:AS1001,"")*$G551,"")</f>
        <v/>
      </c>
      <c r="BA551" s="179" t="str">
        <f t="array" ref="BA551">IF($F551&lt;&gt;"",XLOOKUP($F551,Productos!$A:$A,Productos!AT:AT,"Revisar"),"")</f>
        <v/>
      </c>
      <c r="BB551" s="179" t="str">
        <f t="array" ref="BB551">IF($F551&lt;&gt;"", XLOOKUP($F551,Productos!$A$2:$A1001,Productos!AU$2:AU1001,"")*$G551,"")</f>
        <v/>
      </c>
      <c r="BC551" s="179" t="str">
        <f t="array" ref="BC551">IF($F551&lt;&gt;"",XLOOKUP($F551,Productos!$A:$A,Productos!AV:AV,"Revisar"),"")</f>
        <v/>
      </c>
      <c r="BD551" s="179" t="str">
        <f t="array" ref="BD551">IF($F551&lt;&gt;"", XLOOKUP($F551,Productos!$A$2:$A1001,Productos!AW$2:AW1001,"")*$G551,"")</f>
        <v/>
      </c>
      <c r="BE551" s="179" t="str">
        <f t="array" ref="BE551">IF($F551&lt;&gt;"",XLOOKUP($F551,Productos!$A:$A,Productos!AX:AX,"Revisar"),"")</f>
        <v/>
      </c>
      <c r="BF551" s="179" t="str">
        <f t="array" ref="BF551">IF($F551&lt;&gt;"", XLOOKUP($F551,Productos!$A$2:$A1001,Productos!AY$2:AY1001,"")*$G551,"")</f>
        <v/>
      </c>
      <c r="BG551" s="179" t="str">
        <f t="array" ref="BG551">IF($F551&lt;&gt;"",XLOOKUP($F551,Productos!$A:$A,Productos!AZ:AZ,"Revisar"),"")</f>
        <v/>
      </c>
      <c r="BH551" s="179" t="str">
        <f t="array" ref="BH551">IF($F551&lt;&gt;"", XLOOKUP($F551,Productos!$A$2:$A1001,Productos!BA$2:BA1001,"")*$G551,"")</f>
        <v/>
      </c>
      <c r="BI551" s="179" t="str">
        <f t="array" ref="BI551">IF($F551&lt;&gt;"",XLOOKUP($F551,Productos!$A:$A,Productos!BB:BB,"Revisar"),"")</f>
        <v/>
      </c>
      <c r="BJ551" s="179" t="str">
        <f t="array" ref="BJ551">IF($F551&lt;&gt;"", XLOOKUP($F551,Productos!$A$2:$A1001,Productos!BC$2:BC1001,"")*$G551,"")</f>
        <v/>
      </c>
      <c r="BK551" s="179" t="str">
        <f t="array" ref="BK551">IF($F551&lt;&gt;"",XLOOKUP($F551,Productos!$A:$A,Productos!BD:BD,"Revisar"),"")</f>
        <v/>
      </c>
      <c r="BL551" s="179" t="str">
        <f t="array" ref="BL551">IF($F551&lt;&gt;"", XLOOKUP($F551,Productos!$A$2:$A1001,Productos!BE$2:BE1001,"")*$G551,"")</f>
        <v/>
      </c>
      <c r="BM551" s="179" t="str">
        <f t="array" ref="BM551">IF($F551&lt;&gt;"",XLOOKUP($F551,Productos!$A:$A,Productos!BF:BF,"Revisar"),"")</f>
        <v/>
      </c>
      <c r="BN551" s="179" t="str">
        <f t="array" ref="BN551">IF($F551&lt;&gt;"", XLOOKUP($F551,Productos!$A$2:$A1001,Productos!BG$2:BG1001,"")*$G551,"")</f>
        <v/>
      </c>
      <c r="BO551" s="179" t="str">
        <f t="array" ref="BO551">IF($F551&lt;&gt;"",XLOOKUP($F551,Productos!$A:$A,Productos!BH:BH,"Revisar"),"")</f>
        <v/>
      </c>
      <c r="BP551" s="179" t="str">
        <f t="array" ref="BP551">IF($F551&lt;&gt;"", XLOOKUP($F551,Productos!$A$2:$A1001,Productos!BI$2:BI1001,"")*$G551,"")</f>
        <v/>
      </c>
      <c r="BQ551" s="179" t="str">
        <f t="array" ref="BQ551">IF($F551&lt;&gt;"",XLOOKUP($F551,Productos!$A:$A,Productos!BJ:BJ,"Revisar"),"")</f>
        <v/>
      </c>
      <c r="BR551" s="179" t="str">
        <f t="array" ref="BR551">IF($F551&lt;&gt;"", XLOOKUP($F551,Productos!$A$2:$A1001,Productos!BK$2:BK1001,"")*$G551,"")</f>
        <v/>
      </c>
      <c r="BS551" s="179" t="str">
        <f t="array" ref="BS551">IF($F551&lt;&gt;"",XLOOKUP($F551,Productos!$A:$A,Productos!BL:BL,"Revisar"),"")</f>
        <v/>
      </c>
      <c r="BT551" s="179" t="str">
        <f t="array" ref="BT551">IF($F551&lt;&gt;"", XLOOKUP($F551,Productos!$A$2:$A1001,Productos!BM$2:BM1001,"")*$G551,"")</f>
        <v/>
      </c>
      <c r="BU551" s="179" t="str">
        <f t="array" ref="BU551">IF($F551&lt;&gt;"",XLOOKUP($F551,Productos!$A:$A,Productos!BN:BN,"Revisar"),"")</f>
        <v/>
      </c>
      <c r="BV551" s="179" t="str">
        <f t="array" ref="BV551">IF($F551&lt;&gt;"", XLOOKUP($F551,Productos!$A$2:$A1001,Productos!BO$2:BO1001,"")*$G551,"")</f>
        <v/>
      </c>
      <c r="BW551" s="179" t="str">
        <f t="array" ref="BW551">IF($F551&lt;&gt;"",XLOOKUP($F551,Productos!$A:$A,Productos!BP:BP,"Revisar"),"")</f>
        <v/>
      </c>
      <c r="BX551" s="179" t="str">
        <f t="array" ref="BX551">IF($F551&lt;&gt;"", XLOOKUP($F551,Productos!$A$2:$A1001,Productos!BQ$2:BQ1001,"")*$G551,"")</f>
        <v/>
      </c>
      <c r="BY551" s="179" t="str">
        <f t="array" ref="BY551">IF($F551&lt;&gt;"",XLOOKUP($F551,Productos!$A:$A,Productos!BR:BR,"Revisar"),"")</f>
        <v/>
      </c>
      <c r="BZ551" s="179" t="str">
        <f t="array" ref="BZ551">IF($F551&lt;&gt;"", XLOOKUP($F551,Productos!$A$2:$A1001,Productos!BS$2:BS1001,"")*$G551,"")</f>
        <v/>
      </c>
    </row>
    <row r="552">
      <c r="A552" s="188"/>
      <c r="B552" s="189"/>
      <c r="C552" s="190"/>
      <c r="D552" s="190"/>
      <c r="E552" s="191"/>
      <c r="F552" s="186"/>
      <c r="G552" s="192"/>
      <c r="H552" s="9"/>
      <c r="I552" s="179" t="str">
        <f t="array" ref="I552">IF($F552&lt;&gt;"",XLOOKUP($F552,Productos!$A:$A,Productos!B:B,"Revisar"),"")</f>
        <v/>
      </c>
      <c r="J552" s="179" t="str">
        <f t="array" ref="J552">IF($F552&lt;&gt;"", XLOOKUP($F552,Productos!$A$2:$A1001,Productos!C$2:C1001,"")*$G552,"")</f>
        <v/>
      </c>
      <c r="K552" s="179" t="str">
        <f t="array" ref="K552">IF($F552&lt;&gt;"",XLOOKUP($F552,Productos!$A:$A,Productos!D:D,"Revisar"),"")</f>
        <v/>
      </c>
      <c r="L552" s="179" t="str">
        <f t="array" ref="L552">IF($F552&lt;&gt;"", XLOOKUP($F552,Productos!$A$2:$A1001,Productos!E$2:E1001,"")*$G552,"")</f>
        <v/>
      </c>
      <c r="M552" s="179" t="str">
        <f t="array" ref="M552">IF($F552&lt;&gt;"",XLOOKUP($F552,Productos!$A:$A,Productos!F:F,"Revisar"),"")</f>
        <v/>
      </c>
      <c r="N552" s="179" t="str">
        <f t="array" ref="N552">IF($F552&lt;&gt;"", XLOOKUP($F552,Productos!$A$2:$A1001,Productos!G$2:G1001,"")*$G552,"")</f>
        <v/>
      </c>
      <c r="O552" s="179" t="str">
        <f t="array" ref="O552">IF($F552&lt;&gt;"",XLOOKUP($F552,Productos!$A:$A,Productos!H:H,"Revisar"),"")</f>
        <v/>
      </c>
      <c r="P552" s="179" t="str">
        <f t="array" ref="P552">IF($F552&lt;&gt;"", XLOOKUP($F552,Productos!$A$2:$A1001,Productos!I$2:I1001,"")*$G552,"")</f>
        <v/>
      </c>
      <c r="Q552" s="179" t="str">
        <f t="array" ref="Q552">IF($F552&lt;&gt;"",XLOOKUP($F552,Productos!$A:$A,Productos!J:J,"Revisar"),"")</f>
        <v/>
      </c>
      <c r="R552" s="179" t="str">
        <f t="array" ref="R552">IF($F552&lt;&gt;"", XLOOKUP($F552,Productos!$A$2:$A1001,Productos!K$2:K1001,"")*$G552,"")</f>
        <v/>
      </c>
      <c r="S552" s="179" t="str">
        <f t="array" ref="S552">IF($F552&lt;&gt;"",XLOOKUP($F552,Productos!$A:$A,Productos!L:L,"Revisar"),"")</f>
        <v/>
      </c>
      <c r="T552" s="179" t="str">
        <f t="array" ref="T552">IF($F552&lt;&gt;"", XLOOKUP($F552,Productos!$A$2:$A1001,Productos!M$2:M1001,"")*$G552,"")</f>
        <v/>
      </c>
      <c r="U552" s="179" t="str">
        <f t="array" ref="U552">IF($F552&lt;&gt;"",XLOOKUP($F552,Productos!$A:$A,Productos!N:N,"Revisar"),"")</f>
        <v/>
      </c>
      <c r="V552" s="179" t="str">
        <f t="array" ref="V552">IF($F552&lt;&gt;"", XLOOKUP($F552,Productos!$A$2:$A1001,Productos!O$2:O1001,"")*$G552,"")</f>
        <v/>
      </c>
      <c r="W552" s="179" t="str">
        <f t="array" ref="W552">IF($F552&lt;&gt;"",XLOOKUP($F552,Productos!$A:$A,Productos!P:P,"Revisar"),"")</f>
        <v/>
      </c>
      <c r="X552" s="179" t="str">
        <f t="array" ref="X552">IF($F552&lt;&gt;"", XLOOKUP($F552,Productos!$A$2:$A1001,Productos!Q$2:Q1001,"")*$G552,"")</f>
        <v/>
      </c>
      <c r="Y552" s="179" t="str">
        <f t="array" ref="Y552">IF($F552&lt;&gt;"",XLOOKUP($F552,Productos!$A:$A,Productos!R:R,"Revisar"),"")</f>
        <v/>
      </c>
      <c r="Z552" s="179" t="str">
        <f t="array" ref="Z552">IF($F552&lt;&gt;"", XLOOKUP($F552,Productos!$A$2:$A1001,Productos!S$2:S1001,"")*$G552,"")</f>
        <v/>
      </c>
      <c r="AA552" s="179" t="str">
        <f t="array" ref="AA552">IF($F552&lt;&gt;"",XLOOKUP($F552,Productos!$A:$A,Productos!T:T,"Revisar"),"")</f>
        <v/>
      </c>
      <c r="AB552" s="179" t="str">
        <f t="array" ref="AB552">IF($F552&lt;&gt;"", XLOOKUP($F552,Productos!$A$2:$A1001,Productos!U$2:U1001,"")*$G552,"")</f>
        <v/>
      </c>
      <c r="AC552" s="179" t="str">
        <f t="array" ref="AC552">IF($F552&lt;&gt;"",XLOOKUP($F552,Productos!$A:$A,Productos!V:V,"Revisar"),"")</f>
        <v/>
      </c>
      <c r="AD552" s="179" t="str">
        <f t="array" ref="AD552">IF($F552&lt;&gt;"", XLOOKUP($F552,Productos!$A$2:$A1001,Productos!W$2:W1001,"")*$G552,"")</f>
        <v/>
      </c>
      <c r="AE552" s="179" t="str">
        <f t="array" ref="AE552">IF($F552&lt;&gt;"",XLOOKUP($F552,Productos!$A:$A,Productos!X:X,"Revisar"),"")</f>
        <v/>
      </c>
      <c r="AF552" s="179" t="str">
        <f t="array" ref="AF552">IF($F552&lt;&gt;"", XLOOKUP($F552,Productos!$A$2:$A1001,Productos!Y$2:Y1001,"")*$G552,"")</f>
        <v/>
      </c>
      <c r="AG552" s="179" t="str">
        <f t="array" ref="AG552">IF($F552&lt;&gt;"",XLOOKUP($F552,Productos!$A:$A,Productos!Z:Z,"Revisar"),"")</f>
        <v/>
      </c>
      <c r="AH552" s="179" t="str">
        <f t="array" ref="AH552">IF($F552&lt;&gt;"", XLOOKUP($F552,Productos!$A$2:$A1001,Productos!AA$2:AA1001,"")*$G552,"")</f>
        <v/>
      </c>
      <c r="AI552" s="179" t="str">
        <f t="array" ref="AI552">IF($F552&lt;&gt;"",XLOOKUP($F552,Productos!$A:$A,Productos!AB:AB,"Revisar"),"")</f>
        <v/>
      </c>
      <c r="AJ552" s="179" t="str">
        <f t="array" ref="AJ552">IF($F552&lt;&gt;"", XLOOKUP($F552,Productos!$A$2:$A1001,Productos!AC$2:AC1001,"")*$G552,"")</f>
        <v/>
      </c>
      <c r="AK552" s="179" t="str">
        <f t="array" ref="AK552">IF($F552&lt;&gt;"",XLOOKUP($F552,Productos!$A:$A,Productos!AD:AD,"Revisar"),"")</f>
        <v/>
      </c>
      <c r="AL552" s="179" t="str">
        <f t="array" ref="AL552">IF($F552&lt;&gt;"", XLOOKUP($F552,Productos!$A$2:$A1001,Productos!AE$2:AE1001,"")*$G552,"")</f>
        <v/>
      </c>
      <c r="AM552" s="179" t="str">
        <f t="array" ref="AM552">IF($F552&lt;&gt;"",XLOOKUP($F552,Productos!$A:$A,Productos!AF:AF,"Revisar"),"")</f>
        <v/>
      </c>
      <c r="AN552" s="179" t="str">
        <f t="array" ref="AN552">IF($F552&lt;&gt;"", XLOOKUP($F552,Productos!$A$2:$A1001,Productos!AG$2:AG1001,"")*$G552,"")</f>
        <v/>
      </c>
      <c r="AO552" s="179" t="str">
        <f t="array" ref="AO552">IF($F552&lt;&gt;"",XLOOKUP($F552,Productos!$A:$A,Productos!AH:AH,"Revisar"),"")</f>
        <v/>
      </c>
      <c r="AP552" s="179" t="str">
        <f t="array" ref="AP552">IF($F552&lt;&gt;"", XLOOKUP($F552,Productos!$A$2:$A1001,Productos!AI$2:AI1001,"")*$G552,"")</f>
        <v/>
      </c>
      <c r="AQ552" s="179" t="str">
        <f t="array" ref="AQ552">IF($F552&lt;&gt;"",XLOOKUP($F552,Productos!$A:$A,Productos!AJ:AJ,"Revisar"),"")</f>
        <v/>
      </c>
      <c r="AR552" s="179" t="str">
        <f t="array" ref="AR552">IF($F552&lt;&gt;"", XLOOKUP($F552,Productos!$A$2:$A1001,Productos!AK$2:AK1001,"")*$G552,"")</f>
        <v/>
      </c>
      <c r="AS552" s="179" t="str">
        <f t="array" ref="AS552">IF($F552&lt;&gt;"",XLOOKUP($F552,Productos!$A:$A,Productos!AL:AL,"Revisar"),"")</f>
        <v/>
      </c>
      <c r="AT552" s="179" t="str">
        <f t="array" ref="AT552">IF($F552&lt;&gt;"", XLOOKUP($F552,Productos!$A$2:$A1001,Productos!AM$2:AM1001,"")*$G552,"")</f>
        <v/>
      </c>
      <c r="AU552" s="179" t="str">
        <f t="array" ref="AU552">IF($F552&lt;&gt;"",XLOOKUP($F552,Productos!$A:$A,Productos!AN:AN,"Revisar"),"")</f>
        <v/>
      </c>
      <c r="AV552" s="179" t="str">
        <f t="array" ref="AV552">IF($F552&lt;&gt;"", XLOOKUP($F552,Productos!$A$2:$A1001,Productos!AO$2:AO1001,"")*$G552,"")</f>
        <v/>
      </c>
      <c r="AW552" s="179" t="str">
        <f t="array" ref="AW552">IF($F552&lt;&gt;"",XLOOKUP($F552,Productos!$A:$A,Productos!AP:AP,"Revisar"),"")</f>
        <v/>
      </c>
      <c r="AX552" s="179" t="str">
        <f t="array" ref="AX552">IF($F552&lt;&gt;"", XLOOKUP($F552,Productos!$A$2:$A1001,Productos!AQ$2:AQ1001,"")*$G552,"")</f>
        <v/>
      </c>
      <c r="AY552" s="179" t="str">
        <f t="array" ref="AY552">IF($F552&lt;&gt;"",XLOOKUP($F552,Productos!$A:$A,Productos!AR:AR,"Revisar"),"")</f>
        <v/>
      </c>
      <c r="AZ552" s="179" t="str">
        <f t="array" ref="AZ552">IF($F552&lt;&gt;"", XLOOKUP($F552,Productos!$A$2:$A1001,Productos!AS$2:AS1001,"")*$G552,"")</f>
        <v/>
      </c>
      <c r="BA552" s="179" t="str">
        <f t="array" ref="BA552">IF($F552&lt;&gt;"",XLOOKUP($F552,Productos!$A:$A,Productos!AT:AT,"Revisar"),"")</f>
        <v/>
      </c>
      <c r="BB552" s="179" t="str">
        <f t="array" ref="BB552">IF($F552&lt;&gt;"", XLOOKUP($F552,Productos!$A$2:$A1001,Productos!AU$2:AU1001,"")*$G552,"")</f>
        <v/>
      </c>
      <c r="BC552" s="179" t="str">
        <f t="array" ref="BC552">IF($F552&lt;&gt;"",XLOOKUP($F552,Productos!$A:$A,Productos!AV:AV,"Revisar"),"")</f>
        <v/>
      </c>
      <c r="BD552" s="179" t="str">
        <f t="array" ref="BD552">IF($F552&lt;&gt;"", XLOOKUP($F552,Productos!$A$2:$A1001,Productos!AW$2:AW1001,"")*$G552,"")</f>
        <v/>
      </c>
      <c r="BE552" s="179" t="str">
        <f t="array" ref="BE552">IF($F552&lt;&gt;"",XLOOKUP($F552,Productos!$A:$A,Productos!AX:AX,"Revisar"),"")</f>
        <v/>
      </c>
      <c r="BF552" s="179" t="str">
        <f t="array" ref="BF552">IF($F552&lt;&gt;"", XLOOKUP($F552,Productos!$A$2:$A1001,Productos!AY$2:AY1001,"")*$G552,"")</f>
        <v/>
      </c>
      <c r="BG552" s="179" t="str">
        <f t="array" ref="BG552">IF($F552&lt;&gt;"",XLOOKUP($F552,Productos!$A:$A,Productos!AZ:AZ,"Revisar"),"")</f>
        <v/>
      </c>
      <c r="BH552" s="179" t="str">
        <f t="array" ref="BH552">IF($F552&lt;&gt;"", XLOOKUP($F552,Productos!$A$2:$A1001,Productos!BA$2:BA1001,"")*$G552,"")</f>
        <v/>
      </c>
      <c r="BI552" s="179" t="str">
        <f t="array" ref="BI552">IF($F552&lt;&gt;"",XLOOKUP($F552,Productos!$A:$A,Productos!BB:BB,"Revisar"),"")</f>
        <v/>
      </c>
      <c r="BJ552" s="179" t="str">
        <f t="array" ref="BJ552">IF($F552&lt;&gt;"", XLOOKUP($F552,Productos!$A$2:$A1001,Productos!BC$2:BC1001,"")*$G552,"")</f>
        <v/>
      </c>
      <c r="BK552" s="179" t="str">
        <f t="array" ref="BK552">IF($F552&lt;&gt;"",XLOOKUP($F552,Productos!$A:$A,Productos!BD:BD,"Revisar"),"")</f>
        <v/>
      </c>
      <c r="BL552" s="179" t="str">
        <f t="array" ref="BL552">IF($F552&lt;&gt;"", XLOOKUP($F552,Productos!$A$2:$A1001,Productos!BE$2:BE1001,"")*$G552,"")</f>
        <v/>
      </c>
      <c r="BM552" s="179" t="str">
        <f t="array" ref="BM552">IF($F552&lt;&gt;"",XLOOKUP($F552,Productos!$A:$A,Productos!BF:BF,"Revisar"),"")</f>
        <v/>
      </c>
      <c r="BN552" s="179" t="str">
        <f t="array" ref="BN552">IF($F552&lt;&gt;"", XLOOKUP($F552,Productos!$A$2:$A1001,Productos!BG$2:BG1001,"")*$G552,"")</f>
        <v/>
      </c>
      <c r="BO552" s="179" t="str">
        <f t="array" ref="BO552">IF($F552&lt;&gt;"",XLOOKUP($F552,Productos!$A:$A,Productos!BH:BH,"Revisar"),"")</f>
        <v/>
      </c>
      <c r="BP552" s="179" t="str">
        <f t="array" ref="BP552">IF($F552&lt;&gt;"", XLOOKUP($F552,Productos!$A$2:$A1001,Productos!BI$2:BI1001,"")*$G552,"")</f>
        <v/>
      </c>
      <c r="BQ552" s="179" t="str">
        <f t="array" ref="BQ552">IF($F552&lt;&gt;"",XLOOKUP($F552,Productos!$A:$A,Productos!BJ:BJ,"Revisar"),"")</f>
        <v/>
      </c>
      <c r="BR552" s="179" t="str">
        <f t="array" ref="BR552">IF($F552&lt;&gt;"", XLOOKUP($F552,Productos!$A$2:$A1001,Productos!BK$2:BK1001,"")*$G552,"")</f>
        <v/>
      </c>
      <c r="BS552" s="179" t="str">
        <f t="array" ref="BS552">IF($F552&lt;&gt;"",XLOOKUP($F552,Productos!$A:$A,Productos!BL:BL,"Revisar"),"")</f>
        <v/>
      </c>
      <c r="BT552" s="179" t="str">
        <f t="array" ref="BT552">IF($F552&lt;&gt;"", XLOOKUP($F552,Productos!$A$2:$A1001,Productos!BM$2:BM1001,"")*$G552,"")</f>
        <v/>
      </c>
      <c r="BU552" s="179" t="str">
        <f t="array" ref="BU552">IF($F552&lt;&gt;"",XLOOKUP($F552,Productos!$A:$A,Productos!BN:BN,"Revisar"),"")</f>
        <v/>
      </c>
      <c r="BV552" s="179" t="str">
        <f t="array" ref="BV552">IF($F552&lt;&gt;"", XLOOKUP($F552,Productos!$A$2:$A1001,Productos!BO$2:BO1001,"")*$G552,"")</f>
        <v/>
      </c>
      <c r="BW552" s="179" t="str">
        <f t="array" ref="BW552">IF($F552&lt;&gt;"",XLOOKUP($F552,Productos!$A:$A,Productos!BP:BP,"Revisar"),"")</f>
        <v/>
      </c>
      <c r="BX552" s="179" t="str">
        <f t="array" ref="BX552">IF($F552&lt;&gt;"", XLOOKUP($F552,Productos!$A$2:$A1001,Productos!BQ$2:BQ1001,"")*$G552,"")</f>
        <v/>
      </c>
      <c r="BY552" s="179" t="str">
        <f t="array" ref="BY552">IF($F552&lt;&gt;"",XLOOKUP($F552,Productos!$A:$A,Productos!BR:BR,"Revisar"),"")</f>
        <v/>
      </c>
      <c r="BZ552" s="179" t="str">
        <f t="array" ref="BZ552">IF($F552&lt;&gt;"", XLOOKUP($F552,Productos!$A$2:$A1001,Productos!BS$2:BS1001,"")*$G552,"")</f>
        <v/>
      </c>
    </row>
    <row r="553">
      <c r="A553" s="188"/>
      <c r="B553" s="189"/>
      <c r="C553" s="190"/>
      <c r="D553" s="190"/>
      <c r="E553" s="191"/>
      <c r="F553" s="186"/>
      <c r="G553" s="192"/>
      <c r="H553" s="9"/>
      <c r="I553" s="179" t="str">
        <f t="array" ref="I553">IF($F553&lt;&gt;"",XLOOKUP($F553,Productos!$A:$A,Productos!B:B,"Revisar"),"")</f>
        <v/>
      </c>
      <c r="J553" s="179" t="str">
        <f t="array" ref="J553">IF($F553&lt;&gt;"", XLOOKUP($F553,Productos!$A$2:$A1001,Productos!C$2:C1001,"")*$G553,"")</f>
        <v/>
      </c>
      <c r="K553" s="179" t="str">
        <f t="array" ref="K553">IF($F553&lt;&gt;"",XLOOKUP($F553,Productos!$A:$A,Productos!D:D,"Revisar"),"")</f>
        <v/>
      </c>
      <c r="L553" s="179" t="str">
        <f t="array" ref="L553">IF($F553&lt;&gt;"", XLOOKUP($F553,Productos!$A$2:$A1001,Productos!E$2:E1001,"")*$G553,"")</f>
        <v/>
      </c>
      <c r="M553" s="179" t="str">
        <f t="array" ref="M553">IF($F553&lt;&gt;"",XLOOKUP($F553,Productos!$A:$A,Productos!F:F,"Revisar"),"")</f>
        <v/>
      </c>
      <c r="N553" s="179" t="str">
        <f t="array" ref="N553">IF($F553&lt;&gt;"", XLOOKUP($F553,Productos!$A$2:$A1001,Productos!G$2:G1001,"")*$G553,"")</f>
        <v/>
      </c>
      <c r="O553" s="179" t="str">
        <f t="array" ref="O553">IF($F553&lt;&gt;"",XLOOKUP($F553,Productos!$A:$A,Productos!H:H,"Revisar"),"")</f>
        <v/>
      </c>
      <c r="P553" s="179" t="str">
        <f t="array" ref="P553">IF($F553&lt;&gt;"", XLOOKUP($F553,Productos!$A$2:$A1001,Productos!I$2:I1001,"")*$G553,"")</f>
        <v/>
      </c>
      <c r="Q553" s="179" t="str">
        <f t="array" ref="Q553">IF($F553&lt;&gt;"",XLOOKUP($F553,Productos!$A:$A,Productos!J:J,"Revisar"),"")</f>
        <v/>
      </c>
      <c r="R553" s="179" t="str">
        <f t="array" ref="R553">IF($F553&lt;&gt;"", XLOOKUP($F553,Productos!$A$2:$A1001,Productos!K$2:K1001,"")*$G553,"")</f>
        <v/>
      </c>
      <c r="S553" s="179" t="str">
        <f t="array" ref="S553">IF($F553&lt;&gt;"",XLOOKUP($F553,Productos!$A:$A,Productos!L:L,"Revisar"),"")</f>
        <v/>
      </c>
      <c r="T553" s="179" t="str">
        <f t="array" ref="T553">IF($F553&lt;&gt;"", XLOOKUP($F553,Productos!$A$2:$A1001,Productos!M$2:M1001,"")*$G553,"")</f>
        <v/>
      </c>
      <c r="U553" s="179" t="str">
        <f t="array" ref="U553">IF($F553&lt;&gt;"",XLOOKUP($F553,Productos!$A:$A,Productos!N:N,"Revisar"),"")</f>
        <v/>
      </c>
      <c r="V553" s="179" t="str">
        <f t="array" ref="V553">IF($F553&lt;&gt;"", XLOOKUP($F553,Productos!$A$2:$A1001,Productos!O$2:O1001,"")*$G553,"")</f>
        <v/>
      </c>
      <c r="W553" s="179" t="str">
        <f t="array" ref="W553">IF($F553&lt;&gt;"",XLOOKUP($F553,Productos!$A:$A,Productos!P:P,"Revisar"),"")</f>
        <v/>
      </c>
      <c r="X553" s="179" t="str">
        <f t="array" ref="X553">IF($F553&lt;&gt;"", XLOOKUP($F553,Productos!$A$2:$A1001,Productos!Q$2:Q1001,"")*$G553,"")</f>
        <v/>
      </c>
      <c r="Y553" s="179" t="str">
        <f t="array" ref="Y553">IF($F553&lt;&gt;"",XLOOKUP($F553,Productos!$A:$A,Productos!R:R,"Revisar"),"")</f>
        <v/>
      </c>
      <c r="Z553" s="179" t="str">
        <f t="array" ref="Z553">IF($F553&lt;&gt;"", XLOOKUP($F553,Productos!$A$2:$A1001,Productos!S$2:S1001,"")*$G553,"")</f>
        <v/>
      </c>
      <c r="AA553" s="179" t="str">
        <f t="array" ref="AA553">IF($F553&lt;&gt;"",XLOOKUP($F553,Productos!$A:$A,Productos!T:T,"Revisar"),"")</f>
        <v/>
      </c>
      <c r="AB553" s="179" t="str">
        <f t="array" ref="AB553">IF($F553&lt;&gt;"", XLOOKUP($F553,Productos!$A$2:$A1001,Productos!U$2:U1001,"")*$G553,"")</f>
        <v/>
      </c>
      <c r="AC553" s="179" t="str">
        <f t="array" ref="AC553">IF($F553&lt;&gt;"",XLOOKUP($F553,Productos!$A:$A,Productos!V:V,"Revisar"),"")</f>
        <v/>
      </c>
      <c r="AD553" s="179" t="str">
        <f t="array" ref="AD553">IF($F553&lt;&gt;"", XLOOKUP($F553,Productos!$A$2:$A1001,Productos!W$2:W1001,"")*$G553,"")</f>
        <v/>
      </c>
      <c r="AE553" s="179" t="str">
        <f t="array" ref="AE553">IF($F553&lt;&gt;"",XLOOKUP($F553,Productos!$A:$A,Productos!X:X,"Revisar"),"")</f>
        <v/>
      </c>
      <c r="AF553" s="179" t="str">
        <f t="array" ref="AF553">IF($F553&lt;&gt;"", XLOOKUP($F553,Productos!$A$2:$A1001,Productos!Y$2:Y1001,"")*$G553,"")</f>
        <v/>
      </c>
      <c r="AG553" s="179" t="str">
        <f t="array" ref="AG553">IF($F553&lt;&gt;"",XLOOKUP($F553,Productos!$A:$A,Productos!Z:Z,"Revisar"),"")</f>
        <v/>
      </c>
      <c r="AH553" s="179" t="str">
        <f t="array" ref="AH553">IF($F553&lt;&gt;"", XLOOKUP($F553,Productos!$A$2:$A1001,Productos!AA$2:AA1001,"")*$G553,"")</f>
        <v/>
      </c>
      <c r="AI553" s="179" t="str">
        <f t="array" ref="AI553">IF($F553&lt;&gt;"",XLOOKUP($F553,Productos!$A:$A,Productos!AB:AB,"Revisar"),"")</f>
        <v/>
      </c>
      <c r="AJ553" s="179" t="str">
        <f t="array" ref="AJ553">IF($F553&lt;&gt;"", XLOOKUP($F553,Productos!$A$2:$A1001,Productos!AC$2:AC1001,"")*$G553,"")</f>
        <v/>
      </c>
      <c r="AK553" s="179" t="str">
        <f t="array" ref="AK553">IF($F553&lt;&gt;"",XLOOKUP($F553,Productos!$A:$A,Productos!AD:AD,"Revisar"),"")</f>
        <v/>
      </c>
      <c r="AL553" s="179" t="str">
        <f t="array" ref="AL553">IF($F553&lt;&gt;"", XLOOKUP($F553,Productos!$A$2:$A1001,Productos!AE$2:AE1001,"")*$G553,"")</f>
        <v/>
      </c>
      <c r="AM553" s="179" t="str">
        <f t="array" ref="AM553">IF($F553&lt;&gt;"",XLOOKUP($F553,Productos!$A:$A,Productos!AF:AF,"Revisar"),"")</f>
        <v/>
      </c>
      <c r="AN553" s="179" t="str">
        <f t="array" ref="AN553">IF($F553&lt;&gt;"", XLOOKUP($F553,Productos!$A$2:$A1001,Productos!AG$2:AG1001,"")*$G553,"")</f>
        <v/>
      </c>
      <c r="AO553" s="179" t="str">
        <f t="array" ref="AO553">IF($F553&lt;&gt;"",XLOOKUP($F553,Productos!$A:$A,Productos!AH:AH,"Revisar"),"")</f>
        <v/>
      </c>
      <c r="AP553" s="179" t="str">
        <f t="array" ref="AP553">IF($F553&lt;&gt;"", XLOOKUP($F553,Productos!$A$2:$A1001,Productos!AI$2:AI1001,"")*$G553,"")</f>
        <v/>
      </c>
      <c r="AQ553" s="179" t="str">
        <f t="array" ref="AQ553">IF($F553&lt;&gt;"",XLOOKUP($F553,Productos!$A:$A,Productos!AJ:AJ,"Revisar"),"")</f>
        <v/>
      </c>
      <c r="AR553" s="179" t="str">
        <f t="array" ref="AR553">IF($F553&lt;&gt;"", XLOOKUP($F553,Productos!$A$2:$A1001,Productos!AK$2:AK1001,"")*$G553,"")</f>
        <v/>
      </c>
      <c r="AS553" s="179" t="str">
        <f t="array" ref="AS553">IF($F553&lt;&gt;"",XLOOKUP($F553,Productos!$A:$A,Productos!AL:AL,"Revisar"),"")</f>
        <v/>
      </c>
      <c r="AT553" s="179" t="str">
        <f t="array" ref="AT553">IF($F553&lt;&gt;"", XLOOKUP($F553,Productos!$A$2:$A1001,Productos!AM$2:AM1001,"")*$G553,"")</f>
        <v/>
      </c>
      <c r="AU553" s="179" t="str">
        <f t="array" ref="AU553">IF($F553&lt;&gt;"",XLOOKUP($F553,Productos!$A:$A,Productos!AN:AN,"Revisar"),"")</f>
        <v/>
      </c>
      <c r="AV553" s="179" t="str">
        <f t="array" ref="AV553">IF($F553&lt;&gt;"", XLOOKUP($F553,Productos!$A$2:$A1001,Productos!AO$2:AO1001,"")*$G553,"")</f>
        <v/>
      </c>
      <c r="AW553" s="179" t="str">
        <f t="array" ref="AW553">IF($F553&lt;&gt;"",XLOOKUP($F553,Productos!$A:$A,Productos!AP:AP,"Revisar"),"")</f>
        <v/>
      </c>
      <c r="AX553" s="179" t="str">
        <f t="array" ref="AX553">IF($F553&lt;&gt;"", XLOOKUP($F553,Productos!$A$2:$A1001,Productos!AQ$2:AQ1001,"")*$G553,"")</f>
        <v/>
      </c>
      <c r="AY553" s="179" t="str">
        <f t="array" ref="AY553">IF($F553&lt;&gt;"",XLOOKUP($F553,Productos!$A:$A,Productos!AR:AR,"Revisar"),"")</f>
        <v/>
      </c>
      <c r="AZ553" s="179" t="str">
        <f t="array" ref="AZ553">IF($F553&lt;&gt;"", XLOOKUP($F553,Productos!$A$2:$A1001,Productos!AS$2:AS1001,"")*$G553,"")</f>
        <v/>
      </c>
      <c r="BA553" s="179" t="str">
        <f t="array" ref="BA553">IF($F553&lt;&gt;"",XLOOKUP($F553,Productos!$A:$A,Productos!AT:AT,"Revisar"),"")</f>
        <v/>
      </c>
      <c r="BB553" s="179" t="str">
        <f t="array" ref="BB553">IF($F553&lt;&gt;"", XLOOKUP($F553,Productos!$A$2:$A1001,Productos!AU$2:AU1001,"")*$G553,"")</f>
        <v/>
      </c>
      <c r="BC553" s="179" t="str">
        <f t="array" ref="BC553">IF($F553&lt;&gt;"",XLOOKUP($F553,Productos!$A:$A,Productos!AV:AV,"Revisar"),"")</f>
        <v/>
      </c>
      <c r="BD553" s="179" t="str">
        <f t="array" ref="BD553">IF($F553&lt;&gt;"", XLOOKUP($F553,Productos!$A$2:$A1001,Productos!AW$2:AW1001,"")*$G553,"")</f>
        <v/>
      </c>
      <c r="BE553" s="179" t="str">
        <f t="array" ref="BE553">IF($F553&lt;&gt;"",XLOOKUP($F553,Productos!$A:$A,Productos!AX:AX,"Revisar"),"")</f>
        <v/>
      </c>
      <c r="BF553" s="179" t="str">
        <f t="array" ref="BF553">IF($F553&lt;&gt;"", XLOOKUP($F553,Productos!$A$2:$A1001,Productos!AY$2:AY1001,"")*$G553,"")</f>
        <v/>
      </c>
      <c r="BG553" s="179" t="str">
        <f t="array" ref="BG553">IF($F553&lt;&gt;"",XLOOKUP($F553,Productos!$A:$A,Productos!AZ:AZ,"Revisar"),"")</f>
        <v/>
      </c>
      <c r="BH553" s="179" t="str">
        <f t="array" ref="BH553">IF($F553&lt;&gt;"", XLOOKUP($F553,Productos!$A$2:$A1001,Productos!BA$2:BA1001,"")*$G553,"")</f>
        <v/>
      </c>
      <c r="BI553" s="179" t="str">
        <f t="array" ref="BI553">IF($F553&lt;&gt;"",XLOOKUP($F553,Productos!$A:$A,Productos!BB:BB,"Revisar"),"")</f>
        <v/>
      </c>
      <c r="BJ553" s="179" t="str">
        <f t="array" ref="BJ553">IF($F553&lt;&gt;"", XLOOKUP($F553,Productos!$A$2:$A1001,Productos!BC$2:BC1001,"")*$G553,"")</f>
        <v/>
      </c>
      <c r="BK553" s="179" t="str">
        <f t="array" ref="BK553">IF($F553&lt;&gt;"",XLOOKUP($F553,Productos!$A:$A,Productos!BD:BD,"Revisar"),"")</f>
        <v/>
      </c>
      <c r="BL553" s="179" t="str">
        <f t="array" ref="BL553">IF($F553&lt;&gt;"", XLOOKUP($F553,Productos!$A$2:$A1001,Productos!BE$2:BE1001,"")*$G553,"")</f>
        <v/>
      </c>
      <c r="BM553" s="179" t="str">
        <f t="array" ref="BM553">IF($F553&lt;&gt;"",XLOOKUP($F553,Productos!$A:$A,Productos!BF:BF,"Revisar"),"")</f>
        <v/>
      </c>
      <c r="BN553" s="179" t="str">
        <f t="array" ref="BN553">IF($F553&lt;&gt;"", XLOOKUP($F553,Productos!$A$2:$A1001,Productos!BG$2:BG1001,"")*$G553,"")</f>
        <v/>
      </c>
      <c r="BO553" s="179" t="str">
        <f t="array" ref="BO553">IF($F553&lt;&gt;"",XLOOKUP($F553,Productos!$A:$A,Productos!BH:BH,"Revisar"),"")</f>
        <v/>
      </c>
      <c r="BP553" s="179" t="str">
        <f t="array" ref="BP553">IF($F553&lt;&gt;"", XLOOKUP($F553,Productos!$A$2:$A1001,Productos!BI$2:BI1001,"")*$G553,"")</f>
        <v/>
      </c>
      <c r="BQ553" s="179" t="str">
        <f t="array" ref="BQ553">IF($F553&lt;&gt;"",XLOOKUP($F553,Productos!$A:$A,Productos!BJ:BJ,"Revisar"),"")</f>
        <v/>
      </c>
      <c r="BR553" s="179" t="str">
        <f t="array" ref="BR553">IF($F553&lt;&gt;"", XLOOKUP($F553,Productos!$A$2:$A1001,Productos!BK$2:BK1001,"")*$G553,"")</f>
        <v/>
      </c>
      <c r="BS553" s="179" t="str">
        <f t="array" ref="BS553">IF($F553&lt;&gt;"",XLOOKUP($F553,Productos!$A:$A,Productos!BL:BL,"Revisar"),"")</f>
        <v/>
      </c>
      <c r="BT553" s="179" t="str">
        <f t="array" ref="BT553">IF($F553&lt;&gt;"", XLOOKUP($F553,Productos!$A$2:$A1001,Productos!BM$2:BM1001,"")*$G553,"")</f>
        <v/>
      </c>
      <c r="BU553" s="179" t="str">
        <f t="array" ref="BU553">IF($F553&lt;&gt;"",XLOOKUP($F553,Productos!$A:$A,Productos!BN:BN,"Revisar"),"")</f>
        <v/>
      </c>
      <c r="BV553" s="179" t="str">
        <f t="array" ref="BV553">IF($F553&lt;&gt;"", XLOOKUP($F553,Productos!$A$2:$A1001,Productos!BO$2:BO1001,"")*$G553,"")</f>
        <v/>
      </c>
      <c r="BW553" s="179" t="str">
        <f t="array" ref="BW553">IF($F553&lt;&gt;"",XLOOKUP($F553,Productos!$A:$A,Productos!BP:BP,"Revisar"),"")</f>
        <v/>
      </c>
      <c r="BX553" s="179" t="str">
        <f t="array" ref="BX553">IF($F553&lt;&gt;"", XLOOKUP($F553,Productos!$A$2:$A1001,Productos!BQ$2:BQ1001,"")*$G553,"")</f>
        <v/>
      </c>
      <c r="BY553" s="179" t="str">
        <f t="array" ref="BY553">IF($F553&lt;&gt;"",XLOOKUP($F553,Productos!$A:$A,Productos!BR:BR,"Revisar"),"")</f>
        <v/>
      </c>
      <c r="BZ553" s="179" t="str">
        <f t="array" ref="BZ553">IF($F553&lt;&gt;"", XLOOKUP($F553,Productos!$A$2:$A1001,Productos!BS$2:BS1001,"")*$G553,"")</f>
        <v/>
      </c>
    </row>
    <row r="554">
      <c r="A554" s="188"/>
      <c r="B554" s="189"/>
      <c r="C554" s="190"/>
      <c r="D554" s="190"/>
      <c r="E554" s="191"/>
      <c r="F554" s="186"/>
      <c r="G554" s="192"/>
      <c r="H554" s="9"/>
      <c r="I554" s="179" t="str">
        <f t="array" ref="I554">IF($F554&lt;&gt;"",XLOOKUP($F554,Productos!$A:$A,Productos!B:B,"Revisar"),"")</f>
        <v/>
      </c>
      <c r="J554" s="179" t="str">
        <f t="array" ref="J554">IF($F554&lt;&gt;"", XLOOKUP($F554,Productos!$A$2:$A1001,Productos!C$2:C1001,"")*$G554,"")</f>
        <v/>
      </c>
      <c r="K554" s="179" t="str">
        <f t="array" ref="K554">IF($F554&lt;&gt;"",XLOOKUP($F554,Productos!$A:$A,Productos!D:D,"Revisar"),"")</f>
        <v/>
      </c>
      <c r="L554" s="179" t="str">
        <f t="array" ref="L554">IF($F554&lt;&gt;"", XLOOKUP($F554,Productos!$A$2:$A1001,Productos!E$2:E1001,"")*$G554,"")</f>
        <v/>
      </c>
      <c r="M554" s="179" t="str">
        <f t="array" ref="M554">IF($F554&lt;&gt;"",XLOOKUP($F554,Productos!$A:$A,Productos!F:F,"Revisar"),"")</f>
        <v/>
      </c>
      <c r="N554" s="179" t="str">
        <f t="array" ref="N554">IF($F554&lt;&gt;"", XLOOKUP($F554,Productos!$A$2:$A1001,Productos!G$2:G1001,"")*$G554,"")</f>
        <v/>
      </c>
      <c r="O554" s="179" t="str">
        <f t="array" ref="O554">IF($F554&lt;&gt;"",XLOOKUP($F554,Productos!$A:$A,Productos!H:H,"Revisar"),"")</f>
        <v/>
      </c>
      <c r="P554" s="179" t="str">
        <f t="array" ref="P554">IF($F554&lt;&gt;"", XLOOKUP($F554,Productos!$A$2:$A1001,Productos!I$2:I1001,"")*$G554,"")</f>
        <v/>
      </c>
      <c r="Q554" s="179" t="str">
        <f t="array" ref="Q554">IF($F554&lt;&gt;"",XLOOKUP($F554,Productos!$A:$A,Productos!J:J,"Revisar"),"")</f>
        <v/>
      </c>
      <c r="R554" s="179" t="str">
        <f t="array" ref="R554">IF($F554&lt;&gt;"", XLOOKUP($F554,Productos!$A$2:$A1001,Productos!K$2:K1001,"")*$G554,"")</f>
        <v/>
      </c>
      <c r="S554" s="179" t="str">
        <f t="array" ref="S554">IF($F554&lt;&gt;"",XLOOKUP($F554,Productos!$A:$A,Productos!L:L,"Revisar"),"")</f>
        <v/>
      </c>
      <c r="T554" s="179" t="str">
        <f t="array" ref="T554">IF($F554&lt;&gt;"", XLOOKUP($F554,Productos!$A$2:$A1001,Productos!M$2:M1001,"")*$G554,"")</f>
        <v/>
      </c>
      <c r="U554" s="179" t="str">
        <f t="array" ref="U554">IF($F554&lt;&gt;"",XLOOKUP($F554,Productos!$A:$A,Productos!N:N,"Revisar"),"")</f>
        <v/>
      </c>
      <c r="V554" s="179" t="str">
        <f t="array" ref="V554">IF($F554&lt;&gt;"", XLOOKUP($F554,Productos!$A$2:$A1001,Productos!O$2:O1001,"")*$G554,"")</f>
        <v/>
      </c>
      <c r="W554" s="179" t="str">
        <f t="array" ref="W554">IF($F554&lt;&gt;"",XLOOKUP($F554,Productos!$A:$A,Productos!P:P,"Revisar"),"")</f>
        <v/>
      </c>
      <c r="X554" s="179" t="str">
        <f t="array" ref="X554">IF($F554&lt;&gt;"", XLOOKUP($F554,Productos!$A$2:$A1001,Productos!Q$2:Q1001,"")*$G554,"")</f>
        <v/>
      </c>
      <c r="Y554" s="179" t="str">
        <f t="array" ref="Y554">IF($F554&lt;&gt;"",XLOOKUP($F554,Productos!$A:$A,Productos!R:R,"Revisar"),"")</f>
        <v/>
      </c>
      <c r="Z554" s="179" t="str">
        <f t="array" ref="Z554">IF($F554&lt;&gt;"", XLOOKUP($F554,Productos!$A$2:$A1001,Productos!S$2:S1001,"")*$G554,"")</f>
        <v/>
      </c>
      <c r="AA554" s="179" t="str">
        <f t="array" ref="AA554">IF($F554&lt;&gt;"",XLOOKUP($F554,Productos!$A:$A,Productos!T:T,"Revisar"),"")</f>
        <v/>
      </c>
      <c r="AB554" s="179" t="str">
        <f t="array" ref="AB554">IF($F554&lt;&gt;"", XLOOKUP($F554,Productos!$A$2:$A1001,Productos!U$2:U1001,"")*$G554,"")</f>
        <v/>
      </c>
      <c r="AC554" s="179" t="str">
        <f t="array" ref="AC554">IF($F554&lt;&gt;"",XLOOKUP($F554,Productos!$A:$A,Productos!V:V,"Revisar"),"")</f>
        <v/>
      </c>
      <c r="AD554" s="179" t="str">
        <f t="array" ref="AD554">IF($F554&lt;&gt;"", XLOOKUP($F554,Productos!$A$2:$A1001,Productos!W$2:W1001,"")*$G554,"")</f>
        <v/>
      </c>
      <c r="AE554" s="179" t="str">
        <f t="array" ref="AE554">IF($F554&lt;&gt;"",XLOOKUP($F554,Productos!$A:$A,Productos!X:X,"Revisar"),"")</f>
        <v/>
      </c>
      <c r="AF554" s="179" t="str">
        <f t="array" ref="AF554">IF($F554&lt;&gt;"", XLOOKUP($F554,Productos!$A$2:$A1001,Productos!Y$2:Y1001,"")*$G554,"")</f>
        <v/>
      </c>
      <c r="AG554" s="179" t="str">
        <f t="array" ref="AG554">IF($F554&lt;&gt;"",XLOOKUP($F554,Productos!$A:$A,Productos!Z:Z,"Revisar"),"")</f>
        <v/>
      </c>
      <c r="AH554" s="179" t="str">
        <f t="array" ref="AH554">IF($F554&lt;&gt;"", XLOOKUP($F554,Productos!$A$2:$A1001,Productos!AA$2:AA1001,"")*$G554,"")</f>
        <v/>
      </c>
      <c r="AI554" s="179" t="str">
        <f t="array" ref="AI554">IF($F554&lt;&gt;"",XLOOKUP($F554,Productos!$A:$A,Productos!AB:AB,"Revisar"),"")</f>
        <v/>
      </c>
      <c r="AJ554" s="179" t="str">
        <f t="array" ref="AJ554">IF($F554&lt;&gt;"", XLOOKUP($F554,Productos!$A$2:$A1001,Productos!AC$2:AC1001,"")*$G554,"")</f>
        <v/>
      </c>
      <c r="AK554" s="179" t="str">
        <f t="array" ref="AK554">IF($F554&lt;&gt;"",XLOOKUP($F554,Productos!$A:$A,Productos!AD:AD,"Revisar"),"")</f>
        <v/>
      </c>
      <c r="AL554" s="179" t="str">
        <f t="array" ref="AL554">IF($F554&lt;&gt;"", XLOOKUP($F554,Productos!$A$2:$A1001,Productos!AE$2:AE1001,"")*$G554,"")</f>
        <v/>
      </c>
      <c r="AM554" s="179" t="str">
        <f t="array" ref="AM554">IF($F554&lt;&gt;"",XLOOKUP($F554,Productos!$A:$A,Productos!AF:AF,"Revisar"),"")</f>
        <v/>
      </c>
      <c r="AN554" s="179" t="str">
        <f t="array" ref="AN554">IF($F554&lt;&gt;"", XLOOKUP($F554,Productos!$A$2:$A1001,Productos!AG$2:AG1001,"")*$G554,"")</f>
        <v/>
      </c>
      <c r="AO554" s="179" t="str">
        <f t="array" ref="AO554">IF($F554&lt;&gt;"",XLOOKUP($F554,Productos!$A:$A,Productos!AH:AH,"Revisar"),"")</f>
        <v/>
      </c>
      <c r="AP554" s="179" t="str">
        <f t="array" ref="AP554">IF($F554&lt;&gt;"", XLOOKUP($F554,Productos!$A$2:$A1001,Productos!AI$2:AI1001,"")*$G554,"")</f>
        <v/>
      </c>
      <c r="AQ554" s="179" t="str">
        <f t="array" ref="AQ554">IF($F554&lt;&gt;"",XLOOKUP($F554,Productos!$A:$A,Productos!AJ:AJ,"Revisar"),"")</f>
        <v/>
      </c>
      <c r="AR554" s="179" t="str">
        <f t="array" ref="AR554">IF($F554&lt;&gt;"", XLOOKUP($F554,Productos!$A$2:$A1001,Productos!AK$2:AK1001,"")*$G554,"")</f>
        <v/>
      </c>
      <c r="AS554" s="179" t="str">
        <f t="array" ref="AS554">IF($F554&lt;&gt;"",XLOOKUP($F554,Productos!$A:$A,Productos!AL:AL,"Revisar"),"")</f>
        <v/>
      </c>
      <c r="AT554" s="179" t="str">
        <f t="array" ref="AT554">IF($F554&lt;&gt;"", XLOOKUP($F554,Productos!$A$2:$A1001,Productos!AM$2:AM1001,"")*$G554,"")</f>
        <v/>
      </c>
      <c r="AU554" s="179" t="str">
        <f t="array" ref="AU554">IF($F554&lt;&gt;"",XLOOKUP($F554,Productos!$A:$A,Productos!AN:AN,"Revisar"),"")</f>
        <v/>
      </c>
      <c r="AV554" s="179" t="str">
        <f t="array" ref="AV554">IF($F554&lt;&gt;"", XLOOKUP($F554,Productos!$A$2:$A1001,Productos!AO$2:AO1001,"")*$G554,"")</f>
        <v/>
      </c>
      <c r="AW554" s="179" t="str">
        <f t="array" ref="AW554">IF($F554&lt;&gt;"",XLOOKUP($F554,Productos!$A:$A,Productos!AP:AP,"Revisar"),"")</f>
        <v/>
      </c>
      <c r="AX554" s="179" t="str">
        <f t="array" ref="AX554">IF($F554&lt;&gt;"", XLOOKUP($F554,Productos!$A$2:$A1001,Productos!AQ$2:AQ1001,"")*$G554,"")</f>
        <v/>
      </c>
      <c r="AY554" s="179" t="str">
        <f t="array" ref="AY554">IF($F554&lt;&gt;"",XLOOKUP($F554,Productos!$A:$A,Productos!AR:AR,"Revisar"),"")</f>
        <v/>
      </c>
      <c r="AZ554" s="179" t="str">
        <f t="array" ref="AZ554">IF($F554&lt;&gt;"", XLOOKUP($F554,Productos!$A$2:$A1001,Productos!AS$2:AS1001,"")*$G554,"")</f>
        <v/>
      </c>
      <c r="BA554" s="179" t="str">
        <f t="array" ref="BA554">IF($F554&lt;&gt;"",XLOOKUP($F554,Productos!$A:$A,Productos!AT:AT,"Revisar"),"")</f>
        <v/>
      </c>
      <c r="BB554" s="179" t="str">
        <f t="array" ref="BB554">IF($F554&lt;&gt;"", XLOOKUP($F554,Productos!$A$2:$A1001,Productos!AU$2:AU1001,"")*$G554,"")</f>
        <v/>
      </c>
      <c r="BC554" s="179" t="str">
        <f t="array" ref="BC554">IF($F554&lt;&gt;"",XLOOKUP($F554,Productos!$A:$A,Productos!AV:AV,"Revisar"),"")</f>
        <v/>
      </c>
      <c r="BD554" s="179" t="str">
        <f t="array" ref="BD554">IF($F554&lt;&gt;"", XLOOKUP($F554,Productos!$A$2:$A1001,Productos!AW$2:AW1001,"")*$G554,"")</f>
        <v/>
      </c>
      <c r="BE554" s="179" t="str">
        <f t="array" ref="BE554">IF($F554&lt;&gt;"",XLOOKUP($F554,Productos!$A:$A,Productos!AX:AX,"Revisar"),"")</f>
        <v/>
      </c>
      <c r="BF554" s="179" t="str">
        <f t="array" ref="BF554">IF($F554&lt;&gt;"", XLOOKUP($F554,Productos!$A$2:$A1001,Productos!AY$2:AY1001,"")*$G554,"")</f>
        <v/>
      </c>
      <c r="BG554" s="179" t="str">
        <f t="array" ref="BG554">IF($F554&lt;&gt;"",XLOOKUP($F554,Productos!$A:$A,Productos!AZ:AZ,"Revisar"),"")</f>
        <v/>
      </c>
      <c r="BH554" s="179" t="str">
        <f t="array" ref="BH554">IF($F554&lt;&gt;"", XLOOKUP($F554,Productos!$A$2:$A1001,Productos!BA$2:BA1001,"")*$G554,"")</f>
        <v/>
      </c>
      <c r="BI554" s="179" t="str">
        <f t="array" ref="BI554">IF($F554&lt;&gt;"",XLOOKUP($F554,Productos!$A:$A,Productos!BB:BB,"Revisar"),"")</f>
        <v/>
      </c>
      <c r="BJ554" s="179" t="str">
        <f t="array" ref="BJ554">IF($F554&lt;&gt;"", XLOOKUP($F554,Productos!$A$2:$A1001,Productos!BC$2:BC1001,"")*$G554,"")</f>
        <v/>
      </c>
      <c r="BK554" s="179" t="str">
        <f t="array" ref="BK554">IF($F554&lt;&gt;"",XLOOKUP($F554,Productos!$A:$A,Productos!BD:BD,"Revisar"),"")</f>
        <v/>
      </c>
      <c r="BL554" s="179" t="str">
        <f t="array" ref="BL554">IF($F554&lt;&gt;"", XLOOKUP($F554,Productos!$A$2:$A1001,Productos!BE$2:BE1001,"")*$G554,"")</f>
        <v/>
      </c>
      <c r="BM554" s="179" t="str">
        <f t="array" ref="BM554">IF($F554&lt;&gt;"",XLOOKUP($F554,Productos!$A:$A,Productos!BF:BF,"Revisar"),"")</f>
        <v/>
      </c>
      <c r="BN554" s="179" t="str">
        <f t="array" ref="BN554">IF($F554&lt;&gt;"", XLOOKUP($F554,Productos!$A$2:$A1001,Productos!BG$2:BG1001,"")*$G554,"")</f>
        <v/>
      </c>
      <c r="BO554" s="179" t="str">
        <f t="array" ref="BO554">IF($F554&lt;&gt;"",XLOOKUP($F554,Productos!$A:$A,Productos!BH:BH,"Revisar"),"")</f>
        <v/>
      </c>
      <c r="BP554" s="179" t="str">
        <f t="array" ref="BP554">IF($F554&lt;&gt;"", XLOOKUP($F554,Productos!$A$2:$A1001,Productos!BI$2:BI1001,"")*$G554,"")</f>
        <v/>
      </c>
      <c r="BQ554" s="179" t="str">
        <f t="array" ref="BQ554">IF($F554&lt;&gt;"",XLOOKUP($F554,Productos!$A:$A,Productos!BJ:BJ,"Revisar"),"")</f>
        <v/>
      </c>
      <c r="BR554" s="179" t="str">
        <f t="array" ref="BR554">IF($F554&lt;&gt;"", XLOOKUP($F554,Productos!$A$2:$A1001,Productos!BK$2:BK1001,"")*$G554,"")</f>
        <v/>
      </c>
      <c r="BS554" s="179" t="str">
        <f t="array" ref="BS554">IF($F554&lt;&gt;"",XLOOKUP($F554,Productos!$A:$A,Productos!BL:BL,"Revisar"),"")</f>
        <v/>
      </c>
      <c r="BT554" s="179" t="str">
        <f t="array" ref="BT554">IF($F554&lt;&gt;"", XLOOKUP($F554,Productos!$A$2:$A1001,Productos!BM$2:BM1001,"")*$G554,"")</f>
        <v/>
      </c>
      <c r="BU554" s="179" t="str">
        <f t="array" ref="BU554">IF($F554&lt;&gt;"",XLOOKUP($F554,Productos!$A:$A,Productos!BN:BN,"Revisar"),"")</f>
        <v/>
      </c>
      <c r="BV554" s="179" t="str">
        <f t="array" ref="BV554">IF($F554&lt;&gt;"", XLOOKUP($F554,Productos!$A$2:$A1001,Productos!BO$2:BO1001,"")*$G554,"")</f>
        <v/>
      </c>
      <c r="BW554" s="179" t="str">
        <f t="array" ref="BW554">IF($F554&lt;&gt;"",XLOOKUP($F554,Productos!$A:$A,Productos!BP:BP,"Revisar"),"")</f>
        <v/>
      </c>
      <c r="BX554" s="179" t="str">
        <f t="array" ref="BX554">IF($F554&lt;&gt;"", XLOOKUP($F554,Productos!$A$2:$A1001,Productos!BQ$2:BQ1001,"")*$G554,"")</f>
        <v/>
      </c>
      <c r="BY554" s="179" t="str">
        <f t="array" ref="BY554">IF($F554&lt;&gt;"",XLOOKUP($F554,Productos!$A:$A,Productos!BR:BR,"Revisar"),"")</f>
        <v/>
      </c>
      <c r="BZ554" s="179" t="str">
        <f t="array" ref="BZ554">IF($F554&lt;&gt;"", XLOOKUP($F554,Productos!$A$2:$A1001,Productos!BS$2:BS1001,"")*$G554,"")</f>
        <v/>
      </c>
    </row>
    <row r="555">
      <c r="A555" s="188"/>
      <c r="B555" s="189"/>
      <c r="C555" s="190"/>
      <c r="D555" s="190"/>
      <c r="E555" s="191"/>
      <c r="F555" s="186"/>
      <c r="G555" s="192"/>
      <c r="H555" s="9"/>
      <c r="I555" s="179" t="str">
        <f t="array" ref="I555">IF($F555&lt;&gt;"",XLOOKUP($F555,Productos!$A:$A,Productos!B:B,"Revisar"),"")</f>
        <v/>
      </c>
      <c r="J555" s="179" t="str">
        <f t="array" ref="J555">IF($F555&lt;&gt;"", XLOOKUP($F555,Productos!$A$2:$A1001,Productos!C$2:C1001,"")*$G555,"")</f>
        <v/>
      </c>
      <c r="K555" s="179" t="str">
        <f t="array" ref="K555">IF($F555&lt;&gt;"",XLOOKUP($F555,Productos!$A:$A,Productos!D:D,"Revisar"),"")</f>
        <v/>
      </c>
      <c r="L555" s="179" t="str">
        <f t="array" ref="L555">IF($F555&lt;&gt;"", XLOOKUP($F555,Productos!$A$2:$A1001,Productos!E$2:E1001,"")*$G555,"")</f>
        <v/>
      </c>
      <c r="M555" s="179" t="str">
        <f t="array" ref="M555">IF($F555&lt;&gt;"",XLOOKUP($F555,Productos!$A:$A,Productos!F:F,"Revisar"),"")</f>
        <v/>
      </c>
      <c r="N555" s="179" t="str">
        <f t="array" ref="N555">IF($F555&lt;&gt;"", XLOOKUP($F555,Productos!$A$2:$A1001,Productos!G$2:G1001,"")*$G555,"")</f>
        <v/>
      </c>
      <c r="O555" s="179" t="str">
        <f t="array" ref="O555">IF($F555&lt;&gt;"",XLOOKUP($F555,Productos!$A:$A,Productos!H:H,"Revisar"),"")</f>
        <v/>
      </c>
      <c r="P555" s="179" t="str">
        <f t="array" ref="P555">IF($F555&lt;&gt;"", XLOOKUP($F555,Productos!$A$2:$A1001,Productos!I$2:I1001,"")*$G555,"")</f>
        <v/>
      </c>
      <c r="Q555" s="179" t="str">
        <f t="array" ref="Q555">IF($F555&lt;&gt;"",XLOOKUP($F555,Productos!$A:$A,Productos!J:J,"Revisar"),"")</f>
        <v/>
      </c>
      <c r="R555" s="179" t="str">
        <f t="array" ref="R555">IF($F555&lt;&gt;"", XLOOKUP($F555,Productos!$A$2:$A1001,Productos!K$2:K1001,"")*$G555,"")</f>
        <v/>
      </c>
      <c r="S555" s="179" t="str">
        <f t="array" ref="S555">IF($F555&lt;&gt;"",XLOOKUP($F555,Productos!$A:$A,Productos!L:L,"Revisar"),"")</f>
        <v/>
      </c>
      <c r="T555" s="179" t="str">
        <f t="array" ref="T555">IF($F555&lt;&gt;"", XLOOKUP($F555,Productos!$A$2:$A1001,Productos!M$2:M1001,"")*$G555,"")</f>
        <v/>
      </c>
      <c r="U555" s="179" t="str">
        <f t="array" ref="U555">IF($F555&lt;&gt;"",XLOOKUP($F555,Productos!$A:$A,Productos!N:N,"Revisar"),"")</f>
        <v/>
      </c>
      <c r="V555" s="179" t="str">
        <f t="array" ref="V555">IF($F555&lt;&gt;"", XLOOKUP($F555,Productos!$A$2:$A1001,Productos!O$2:O1001,"")*$G555,"")</f>
        <v/>
      </c>
      <c r="W555" s="179" t="str">
        <f t="array" ref="W555">IF($F555&lt;&gt;"",XLOOKUP($F555,Productos!$A:$A,Productos!P:P,"Revisar"),"")</f>
        <v/>
      </c>
      <c r="X555" s="179" t="str">
        <f t="array" ref="X555">IF($F555&lt;&gt;"", XLOOKUP($F555,Productos!$A$2:$A1001,Productos!Q$2:Q1001,"")*$G555,"")</f>
        <v/>
      </c>
      <c r="Y555" s="179" t="str">
        <f t="array" ref="Y555">IF($F555&lt;&gt;"",XLOOKUP($F555,Productos!$A:$A,Productos!R:R,"Revisar"),"")</f>
        <v/>
      </c>
      <c r="Z555" s="179" t="str">
        <f t="array" ref="Z555">IF($F555&lt;&gt;"", XLOOKUP($F555,Productos!$A$2:$A1001,Productos!S$2:S1001,"")*$G555,"")</f>
        <v/>
      </c>
      <c r="AA555" s="179" t="str">
        <f t="array" ref="AA555">IF($F555&lt;&gt;"",XLOOKUP($F555,Productos!$A:$A,Productos!T:T,"Revisar"),"")</f>
        <v/>
      </c>
      <c r="AB555" s="179" t="str">
        <f t="array" ref="AB555">IF($F555&lt;&gt;"", XLOOKUP($F555,Productos!$A$2:$A1001,Productos!U$2:U1001,"")*$G555,"")</f>
        <v/>
      </c>
      <c r="AC555" s="179" t="str">
        <f t="array" ref="AC555">IF($F555&lt;&gt;"",XLOOKUP($F555,Productos!$A:$A,Productos!V:V,"Revisar"),"")</f>
        <v/>
      </c>
      <c r="AD555" s="179" t="str">
        <f t="array" ref="AD555">IF($F555&lt;&gt;"", XLOOKUP($F555,Productos!$A$2:$A1001,Productos!W$2:W1001,"")*$G555,"")</f>
        <v/>
      </c>
      <c r="AE555" s="179" t="str">
        <f t="array" ref="AE555">IF($F555&lt;&gt;"",XLOOKUP($F555,Productos!$A:$A,Productos!X:X,"Revisar"),"")</f>
        <v/>
      </c>
      <c r="AF555" s="179" t="str">
        <f t="array" ref="AF555">IF($F555&lt;&gt;"", XLOOKUP($F555,Productos!$A$2:$A1001,Productos!Y$2:Y1001,"")*$G555,"")</f>
        <v/>
      </c>
      <c r="AG555" s="179" t="str">
        <f t="array" ref="AG555">IF($F555&lt;&gt;"",XLOOKUP($F555,Productos!$A:$A,Productos!Z:Z,"Revisar"),"")</f>
        <v/>
      </c>
      <c r="AH555" s="179" t="str">
        <f t="array" ref="AH555">IF($F555&lt;&gt;"", XLOOKUP($F555,Productos!$A$2:$A1001,Productos!AA$2:AA1001,"")*$G555,"")</f>
        <v/>
      </c>
      <c r="AI555" s="179" t="str">
        <f t="array" ref="AI555">IF($F555&lt;&gt;"",XLOOKUP($F555,Productos!$A:$A,Productos!AB:AB,"Revisar"),"")</f>
        <v/>
      </c>
      <c r="AJ555" s="179" t="str">
        <f t="array" ref="AJ555">IF($F555&lt;&gt;"", XLOOKUP($F555,Productos!$A$2:$A1001,Productos!AC$2:AC1001,"")*$G555,"")</f>
        <v/>
      </c>
      <c r="AK555" s="179" t="str">
        <f t="array" ref="AK555">IF($F555&lt;&gt;"",XLOOKUP($F555,Productos!$A:$A,Productos!AD:AD,"Revisar"),"")</f>
        <v/>
      </c>
      <c r="AL555" s="179" t="str">
        <f t="array" ref="AL555">IF($F555&lt;&gt;"", XLOOKUP($F555,Productos!$A$2:$A1001,Productos!AE$2:AE1001,"")*$G555,"")</f>
        <v/>
      </c>
      <c r="AM555" s="179" t="str">
        <f t="array" ref="AM555">IF($F555&lt;&gt;"",XLOOKUP($F555,Productos!$A:$A,Productos!AF:AF,"Revisar"),"")</f>
        <v/>
      </c>
      <c r="AN555" s="179" t="str">
        <f t="array" ref="AN555">IF($F555&lt;&gt;"", XLOOKUP($F555,Productos!$A$2:$A1001,Productos!AG$2:AG1001,"")*$G555,"")</f>
        <v/>
      </c>
      <c r="AO555" s="179" t="str">
        <f t="array" ref="AO555">IF($F555&lt;&gt;"",XLOOKUP($F555,Productos!$A:$A,Productos!AH:AH,"Revisar"),"")</f>
        <v/>
      </c>
      <c r="AP555" s="179" t="str">
        <f t="array" ref="AP555">IF($F555&lt;&gt;"", XLOOKUP($F555,Productos!$A$2:$A1001,Productos!AI$2:AI1001,"")*$G555,"")</f>
        <v/>
      </c>
      <c r="AQ555" s="179" t="str">
        <f t="array" ref="AQ555">IF($F555&lt;&gt;"",XLOOKUP($F555,Productos!$A:$A,Productos!AJ:AJ,"Revisar"),"")</f>
        <v/>
      </c>
      <c r="AR555" s="179" t="str">
        <f t="array" ref="AR555">IF($F555&lt;&gt;"", XLOOKUP($F555,Productos!$A$2:$A1001,Productos!AK$2:AK1001,"")*$G555,"")</f>
        <v/>
      </c>
      <c r="AS555" s="179" t="str">
        <f t="array" ref="AS555">IF($F555&lt;&gt;"",XLOOKUP($F555,Productos!$A:$A,Productos!AL:AL,"Revisar"),"")</f>
        <v/>
      </c>
      <c r="AT555" s="179" t="str">
        <f t="array" ref="AT555">IF($F555&lt;&gt;"", XLOOKUP($F555,Productos!$A$2:$A1001,Productos!AM$2:AM1001,"")*$G555,"")</f>
        <v/>
      </c>
      <c r="AU555" s="179" t="str">
        <f t="array" ref="AU555">IF($F555&lt;&gt;"",XLOOKUP($F555,Productos!$A:$A,Productos!AN:AN,"Revisar"),"")</f>
        <v/>
      </c>
      <c r="AV555" s="179" t="str">
        <f t="array" ref="AV555">IF($F555&lt;&gt;"", XLOOKUP($F555,Productos!$A$2:$A1001,Productos!AO$2:AO1001,"")*$G555,"")</f>
        <v/>
      </c>
      <c r="AW555" s="179" t="str">
        <f t="array" ref="AW555">IF($F555&lt;&gt;"",XLOOKUP($F555,Productos!$A:$A,Productos!AP:AP,"Revisar"),"")</f>
        <v/>
      </c>
      <c r="AX555" s="179" t="str">
        <f t="array" ref="AX555">IF($F555&lt;&gt;"", XLOOKUP($F555,Productos!$A$2:$A1001,Productos!AQ$2:AQ1001,"")*$G555,"")</f>
        <v/>
      </c>
      <c r="AY555" s="179" t="str">
        <f t="array" ref="AY555">IF($F555&lt;&gt;"",XLOOKUP($F555,Productos!$A:$A,Productos!AR:AR,"Revisar"),"")</f>
        <v/>
      </c>
      <c r="AZ555" s="179" t="str">
        <f t="array" ref="AZ555">IF($F555&lt;&gt;"", XLOOKUP($F555,Productos!$A$2:$A1001,Productos!AS$2:AS1001,"")*$G555,"")</f>
        <v/>
      </c>
      <c r="BA555" s="179" t="str">
        <f t="array" ref="BA555">IF($F555&lt;&gt;"",XLOOKUP($F555,Productos!$A:$A,Productos!AT:AT,"Revisar"),"")</f>
        <v/>
      </c>
      <c r="BB555" s="179" t="str">
        <f t="array" ref="BB555">IF($F555&lt;&gt;"", XLOOKUP($F555,Productos!$A$2:$A1001,Productos!AU$2:AU1001,"")*$G555,"")</f>
        <v/>
      </c>
      <c r="BC555" s="179" t="str">
        <f t="array" ref="BC555">IF($F555&lt;&gt;"",XLOOKUP($F555,Productos!$A:$A,Productos!AV:AV,"Revisar"),"")</f>
        <v/>
      </c>
      <c r="BD555" s="179" t="str">
        <f t="array" ref="BD555">IF($F555&lt;&gt;"", XLOOKUP($F555,Productos!$A$2:$A1001,Productos!AW$2:AW1001,"")*$G555,"")</f>
        <v/>
      </c>
      <c r="BE555" s="179" t="str">
        <f t="array" ref="BE555">IF($F555&lt;&gt;"",XLOOKUP($F555,Productos!$A:$A,Productos!AX:AX,"Revisar"),"")</f>
        <v/>
      </c>
      <c r="BF555" s="179" t="str">
        <f t="array" ref="BF555">IF($F555&lt;&gt;"", XLOOKUP($F555,Productos!$A$2:$A1001,Productos!AY$2:AY1001,"")*$G555,"")</f>
        <v/>
      </c>
      <c r="BG555" s="179" t="str">
        <f t="array" ref="BG555">IF($F555&lt;&gt;"",XLOOKUP($F555,Productos!$A:$A,Productos!AZ:AZ,"Revisar"),"")</f>
        <v/>
      </c>
      <c r="BH555" s="179" t="str">
        <f t="array" ref="BH555">IF($F555&lt;&gt;"", XLOOKUP($F555,Productos!$A$2:$A1001,Productos!BA$2:BA1001,"")*$G555,"")</f>
        <v/>
      </c>
      <c r="BI555" s="179" t="str">
        <f t="array" ref="BI555">IF($F555&lt;&gt;"",XLOOKUP($F555,Productos!$A:$A,Productos!BB:BB,"Revisar"),"")</f>
        <v/>
      </c>
      <c r="BJ555" s="179" t="str">
        <f t="array" ref="BJ555">IF($F555&lt;&gt;"", XLOOKUP($F555,Productos!$A$2:$A1001,Productos!BC$2:BC1001,"")*$G555,"")</f>
        <v/>
      </c>
      <c r="BK555" s="179" t="str">
        <f t="array" ref="BK555">IF($F555&lt;&gt;"",XLOOKUP($F555,Productos!$A:$A,Productos!BD:BD,"Revisar"),"")</f>
        <v/>
      </c>
      <c r="BL555" s="179" t="str">
        <f t="array" ref="BL555">IF($F555&lt;&gt;"", XLOOKUP($F555,Productos!$A$2:$A1001,Productos!BE$2:BE1001,"")*$G555,"")</f>
        <v/>
      </c>
      <c r="BM555" s="179" t="str">
        <f t="array" ref="BM555">IF($F555&lt;&gt;"",XLOOKUP($F555,Productos!$A:$A,Productos!BF:BF,"Revisar"),"")</f>
        <v/>
      </c>
      <c r="BN555" s="179" t="str">
        <f t="array" ref="BN555">IF($F555&lt;&gt;"", XLOOKUP($F555,Productos!$A$2:$A1001,Productos!BG$2:BG1001,"")*$G555,"")</f>
        <v/>
      </c>
      <c r="BO555" s="179" t="str">
        <f t="array" ref="BO555">IF($F555&lt;&gt;"",XLOOKUP($F555,Productos!$A:$A,Productos!BH:BH,"Revisar"),"")</f>
        <v/>
      </c>
      <c r="BP555" s="179" t="str">
        <f t="array" ref="BP555">IF($F555&lt;&gt;"", XLOOKUP($F555,Productos!$A$2:$A1001,Productos!BI$2:BI1001,"")*$G555,"")</f>
        <v/>
      </c>
      <c r="BQ555" s="179" t="str">
        <f t="array" ref="BQ555">IF($F555&lt;&gt;"",XLOOKUP($F555,Productos!$A:$A,Productos!BJ:BJ,"Revisar"),"")</f>
        <v/>
      </c>
      <c r="BR555" s="179" t="str">
        <f t="array" ref="BR555">IF($F555&lt;&gt;"", XLOOKUP($F555,Productos!$A$2:$A1001,Productos!BK$2:BK1001,"")*$G555,"")</f>
        <v/>
      </c>
      <c r="BS555" s="179" t="str">
        <f t="array" ref="BS555">IF($F555&lt;&gt;"",XLOOKUP($F555,Productos!$A:$A,Productos!BL:BL,"Revisar"),"")</f>
        <v/>
      </c>
      <c r="BT555" s="179" t="str">
        <f t="array" ref="BT555">IF($F555&lt;&gt;"", XLOOKUP($F555,Productos!$A$2:$A1001,Productos!BM$2:BM1001,"")*$G555,"")</f>
        <v/>
      </c>
      <c r="BU555" s="179" t="str">
        <f t="array" ref="BU555">IF($F555&lt;&gt;"",XLOOKUP($F555,Productos!$A:$A,Productos!BN:BN,"Revisar"),"")</f>
        <v/>
      </c>
      <c r="BV555" s="179" t="str">
        <f t="array" ref="BV555">IF($F555&lt;&gt;"", XLOOKUP($F555,Productos!$A$2:$A1001,Productos!BO$2:BO1001,"")*$G555,"")</f>
        <v/>
      </c>
      <c r="BW555" s="179" t="str">
        <f t="array" ref="BW555">IF($F555&lt;&gt;"",XLOOKUP($F555,Productos!$A:$A,Productos!BP:BP,"Revisar"),"")</f>
        <v/>
      </c>
      <c r="BX555" s="179" t="str">
        <f t="array" ref="BX555">IF($F555&lt;&gt;"", XLOOKUP($F555,Productos!$A$2:$A1001,Productos!BQ$2:BQ1001,"")*$G555,"")</f>
        <v/>
      </c>
      <c r="BY555" s="179" t="str">
        <f t="array" ref="BY555">IF($F555&lt;&gt;"",XLOOKUP($F555,Productos!$A:$A,Productos!BR:BR,"Revisar"),"")</f>
        <v/>
      </c>
      <c r="BZ555" s="179" t="str">
        <f t="array" ref="BZ555">IF($F555&lt;&gt;"", XLOOKUP($F555,Productos!$A$2:$A1001,Productos!BS$2:BS1001,"")*$G555,"")</f>
        <v/>
      </c>
    </row>
    <row r="556">
      <c r="A556" s="188"/>
      <c r="B556" s="189"/>
      <c r="C556" s="190"/>
      <c r="D556" s="190"/>
      <c r="E556" s="191"/>
      <c r="F556" s="186"/>
      <c r="G556" s="192"/>
      <c r="H556" s="9"/>
      <c r="I556" s="179" t="str">
        <f t="array" ref="I556">IF($F556&lt;&gt;"",XLOOKUP($F556,Productos!$A:$A,Productos!B:B,"Revisar"),"")</f>
        <v/>
      </c>
      <c r="J556" s="179" t="str">
        <f t="array" ref="J556">IF($F556&lt;&gt;"", XLOOKUP($F556,Productos!$A$2:$A1001,Productos!C$2:C1001,"")*$G556,"")</f>
        <v/>
      </c>
      <c r="K556" s="179" t="str">
        <f t="array" ref="K556">IF($F556&lt;&gt;"",XLOOKUP($F556,Productos!$A:$A,Productos!D:D,"Revisar"),"")</f>
        <v/>
      </c>
      <c r="L556" s="179" t="str">
        <f t="array" ref="L556">IF($F556&lt;&gt;"", XLOOKUP($F556,Productos!$A$2:$A1001,Productos!E$2:E1001,"")*$G556,"")</f>
        <v/>
      </c>
      <c r="M556" s="179" t="str">
        <f t="array" ref="M556">IF($F556&lt;&gt;"",XLOOKUP($F556,Productos!$A:$A,Productos!F:F,"Revisar"),"")</f>
        <v/>
      </c>
      <c r="N556" s="179" t="str">
        <f t="array" ref="N556">IF($F556&lt;&gt;"", XLOOKUP($F556,Productos!$A$2:$A1001,Productos!G$2:G1001,"")*$G556,"")</f>
        <v/>
      </c>
      <c r="O556" s="179" t="str">
        <f t="array" ref="O556">IF($F556&lt;&gt;"",XLOOKUP($F556,Productos!$A:$A,Productos!H:H,"Revisar"),"")</f>
        <v/>
      </c>
      <c r="P556" s="179" t="str">
        <f t="array" ref="P556">IF($F556&lt;&gt;"", XLOOKUP($F556,Productos!$A$2:$A1001,Productos!I$2:I1001,"")*$G556,"")</f>
        <v/>
      </c>
      <c r="Q556" s="179" t="str">
        <f t="array" ref="Q556">IF($F556&lt;&gt;"",XLOOKUP($F556,Productos!$A:$A,Productos!J:J,"Revisar"),"")</f>
        <v/>
      </c>
      <c r="R556" s="179" t="str">
        <f t="array" ref="R556">IF($F556&lt;&gt;"", XLOOKUP($F556,Productos!$A$2:$A1001,Productos!K$2:K1001,"")*$G556,"")</f>
        <v/>
      </c>
      <c r="S556" s="179" t="str">
        <f t="array" ref="S556">IF($F556&lt;&gt;"",XLOOKUP($F556,Productos!$A:$A,Productos!L:L,"Revisar"),"")</f>
        <v/>
      </c>
      <c r="T556" s="179" t="str">
        <f t="array" ref="T556">IF($F556&lt;&gt;"", XLOOKUP($F556,Productos!$A$2:$A1001,Productos!M$2:M1001,"")*$G556,"")</f>
        <v/>
      </c>
      <c r="U556" s="179" t="str">
        <f t="array" ref="U556">IF($F556&lt;&gt;"",XLOOKUP($F556,Productos!$A:$A,Productos!N:N,"Revisar"),"")</f>
        <v/>
      </c>
      <c r="V556" s="179" t="str">
        <f t="array" ref="V556">IF($F556&lt;&gt;"", XLOOKUP($F556,Productos!$A$2:$A1001,Productos!O$2:O1001,"")*$G556,"")</f>
        <v/>
      </c>
      <c r="W556" s="179" t="str">
        <f t="array" ref="W556">IF($F556&lt;&gt;"",XLOOKUP($F556,Productos!$A:$A,Productos!P:P,"Revisar"),"")</f>
        <v/>
      </c>
      <c r="X556" s="179" t="str">
        <f t="array" ref="X556">IF($F556&lt;&gt;"", XLOOKUP($F556,Productos!$A$2:$A1001,Productos!Q$2:Q1001,"")*$G556,"")</f>
        <v/>
      </c>
      <c r="Y556" s="179" t="str">
        <f t="array" ref="Y556">IF($F556&lt;&gt;"",XLOOKUP($F556,Productos!$A:$A,Productos!R:R,"Revisar"),"")</f>
        <v/>
      </c>
      <c r="Z556" s="179" t="str">
        <f t="array" ref="Z556">IF($F556&lt;&gt;"", XLOOKUP($F556,Productos!$A$2:$A1001,Productos!S$2:S1001,"")*$G556,"")</f>
        <v/>
      </c>
      <c r="AA556" s="179" t="str">
        <f t="array" ref="AA556">IF($F556&lt;&gt;"",XLOOKUP($F556,Productos!$A:$A,Productos!T:T,"Revisar"),"")</f>
        <v/>
      </c>
      <c r="AB556" s="179" t="str">
        <f t="array" ref="AB556">IF($F556&lt;&gt;"", XLOOKUP($F556,Productos!$A$2:$A1001,Productos!U$2:U1001,"")*$G556,"")</f>
        <v/>
      </c>
      <c r="AC556" s="179" t="str">
        <f t="array" ref="AC556">IF($F556&lt;&gt;"",XLOOKUP($F556,Productos!$A:$A,Productos!V:V,"Revisar"),"")</f>
        <v/>
      </c>
      <c r="AD556" s="179" t="str">
        <f t="array" ref="AD556">IF($F556&lt;&gt;"", XLOOKUP($F556,Productos!$A$2:$A1001,Productos!W$2:W1001,"")*$G556,"")</f>
        <v/>
      </c>
      <c r="AE556" s="179" t="str">
        <f t="array" ref="AE556">IF($F556&lt;&gt;"",XLOOKUP($F556,Productos!$A:$A,Productos!X:X,"Revisar"),"")</f>
        <v/>
      </c>
      <c r="AF556" s="179" t="str">
        <f t="array" ref="AF556">IF($F556&lt;&gt;"", XLOOKUP($F556,Productos!$A$2:$A1001,Productos!Y$2:Y1001,"")*$G556,"")</f>
        <v/>
      </c>
      <c r="AG556" s="179" t="str">
        <f t="array" ref="AG556">IF($F556&lt;&gt;"",XLOOKUP($F556,Productos!$A:$A,Productos!Z:Z,"Revisar"),"")</f>
        <v/>
      </c>
      <c r="AH556" s="179" t="str">
        <f t="array" ref="AH556">IF($F556&lt;&gt;"", XLOOKUP($F556,Productos!$A$2:$A1001,Productos!AA$2:AA1001,"")*$G556,"")</f>
        <v/>
      </c>
      <c r="AI556" s="179" t="str">
        <f t="array" ref="AI556">IF($F556&lt;&gt;"",XLOOKUP($F556,Productos!$A:$A,Productos!AB:AB,"Revisar"),"")</f>
        <v/>
      </c>
      <c r="AJ556" s="179" t="str">
        <f t="array" ref="AJ556">IF($F556&lt;&gt;"", XLOOKUP($F556,Productos!$A$2:$A1001,Productos!AC$2:AC1001,"")*$G556,"")</f>
        <v/>
      </c>
      <c r="AK556" s="179" t="str">
        <f t="array" ref="AK556">IF($F556&lt;&gt;"",XLOOKUP($F556,Productos!$A:$A,Productos!AD:AD,"Revisar"),"")</f>
        <v/>
      </c>
      <c r="AL556" s="179" t="str">
        <f t="array" ref="AL556">IF($F556&lt;&gt;"", XLOOKUP($F556,Productos!$A$2:$A1001,Productos!AE$2:AE1001,"")*$G556,"")</f>
        <v/>
      </c>
      <c r="AM556" s="179" t="str">
        <f t="array" ref="AM556">IF($F556&lt;&gt;"",XLOOKUP($F556,Productos!$A:$A,Productos!AF:AF,"Revisar"),"")</f>
        <v/>
      </c>
      <c r="AN556" s="179" t="str">
        <f t="array" ref="AN556">IF($F556&lt;&gt;"", XLOOKUP($F556,Productos!$A$2:$A1001,Productos!AG$2:AG1001,"")*$G556,"")</f>
        <v/>
      </c>
      <c r="AO556" s="179" t="str">
        <f t="array" ref="AO556">IF($F556&lt;&gt;"",XLOOKUP($F556,Productos!$A:$A,Productos!AH:AH,"Revisar"),"")</f>
        <v/>
      </c>
      <c r="AP556" s="179" t="str">
        <f t="array" ref="AP556">IF($F556&lt;&gt;"", XLOOKUP($F556,Productos!$A$2:$A1001,Productos!AI$2:AI1001,"")*$G556,"")</f>
        <v/>
      </c>
      <c r="AQ556" s="179" t="str">
        <f t="array" ref="AQ556">IF($F556&lt;&gt;"",XLOOKUP($F556,Productos!$A:$A,Productos!AJ:AJ,"Revisar"),"")</f>
        <v/>
      </c>
      <c r="AR556" s="179" t="str">
        <f t="array" ref="AR556">IF($F556&lt;&gt;"", XLOOKUP($F556,Productos!$A$2:$A1001,Productos!AK$2:AK1001,"")*$G556,"")</f>
        <v/>
      </c>
      <c r="AS556" s="179" t="str">
        <f t="array" ref="AS556">IF($F556&lt;&gt;"",XLOOKUP($F556,Productos!$A:$A,Productos!AL:AL,"Revisar"),"")</f>
        <v/>
      </c>
      <c r="AT556" s="179" t="str">
        <f t="array" ref="AT556">IF($F556&lt;&gt;"", XLOOKUP($F556,Productos!$A$2:$A1001,Productos!AM$2:AM1001,"")*$G556,"")</f>
        <v/>
      </c>
      <c r="AU556" s="179" t="str">
        <f t="array" ref="AU556">IF($F556&lt;&gt;"",XLOOKUP($F556,Productos!$A:$A,Productos!AN:AN,"Revisar"),"")</f>
        <v/>
      </c>
      <c r="AV556" s="179" t="str">
        <f t="array" ref="AV556">IF($F556&lt;&gt;"", XLOOKUP($F556,Productos!$A$2:$A1001,Productos!AO$2:AO1001,"")*$G556,"")</f>
        <v/>
      </c>
      <c r="AW556" s="179" t="str">
        <f t="array" ref="AW556">IF($F556&lt;&gt;"",XLOOKUP($F556,Productos!$A:$A,Productos!AP:AP,"Revisar"),"")</f>
        <v/>
      </c>
      <c r="AX556" s="179" t="str">
        <f t="array" ref="AX556">IF($F556&lt;&gt;"", XLOOKUP($F556,Productos!$A$2:$A1001,Productos!AQ$2:AQ1001,"")*$G556,"")</f>
        <v/>
      </c>
      <c r="AY556" s="179" t="str">
        <f t="array" ref="AY556">IF($F556&lt;&gt;"",XLOOKUP($F556,Productos!$A:$A,Productos!AR:AR,"Revisar"),"")</f>
        <v/>
      </c>
      <c r="AZ556" s="179" t="str">
        <f t="array" ref="AZ556">IF($F556&lt;&gt;"", XLOOKUP($F556,Productos!$A$2:$A1001,Productos!AS$2:AS1001,"")*$G556,"")</f>
        <v/>
      </c>
      <c r="BA556" s="179" t="str">
        <f t="array" ref="BA556">IF($F556&lt;&gt;"",XLOOKUP($F556,Productos!$A:$A,Productos!AT:AT,"Revisar"),"")</f>
        <v/>
      </c>
      <c r="BB556" s="179" t="str">
        <f t="array" ref="BB556">IF($F556&lt;&gt;"", XLOOKUP($F556,Productos!$A$2:$A1001,Productos!AU$2:AU1001,"")*$G556,"")</f>
        <v/>
      </c>
      <c r="BC556" s="179" t="str">
        <f t="array" ref="BC556">IF($F556&lt;&gt;"",XLOOKUP($F556,Productos!$A:$A,Productos!AV:AV,"Revisar"),"")</f>
        <v/>
      </c>
      <c r="BD556" s="179" t="str">
        <f t="array" ref="BD556">IF($F556&lt;&gt;"", XLOOKUP($F556,Productos!$A$2:$A1001,Productos!AW$2:AW1001,"")*$G556,"")</f>
        <v/>
      </c>
      <c r="BE556" s="179" t="str">
        <f t="array" ref="BE556">IF($F556&lt;&gt;"",XLOOKUP($F556,Productos!$A:$A,Productos!AX:AX,"Revisar"),"")</f>
        <v/>
      </c>
      <c r="BF556" s="179" t="str">
        <f t="array" ref="BF556">IF($F556&lt;&gt;"", XLOOKUP($F556,Productos!$A$2:$A1001,Productos!AY$2:AY1001,"")*$G556,"")</f>
        <v/>
      </c>
      <c r="BG556" s="179" t="str">
        <f t="array" ref="BG556">IF($F556&lt;&gt;"",XLOOKUP($F556,Productos!$A:$A,Productos!AZ:AZ,"Revisar"),"")</f>
        <v/>
      </c>
      <c r="BH556" s="179" t="str">
        <f t="array" ref="BH556">IF($F556&lt;&gt;"", XLOOKUP($F556,Productos!$A$2:$A1001,Productos!BA$2:BA1001,"")*$G556,"")</f>
        <v/>
      </c>
      <c r="BI556" s="179" t="str">
        <f t="array" ref="BI556">IF($F556&lt;&gt;"",XLOOKUP($F556,Productos!$A:$A,Productos!BB:BB,"Revisar"),"")</f>
        <v/>
      </c>
      <c r="BJ556" s="179" t="str">
        <f t="array" ref="BJ556">IF($F556&lt;&gt;"", XLOOKUP($F556,Productos!$A$2:$A1001,Productos!BC$2:BC1001,"")*$G556,"")</f>
        <v/>
      </c>
      <c r="BK556" s="179" t="str">
        <f t="array" ref="BK556">IF($F556&lt;&gt;"",XLOOKUP($F556,Productos!$A:$A,Productos!BD:BD,"Revisar"),"")</f>
        <v/>
      </c>
      <c r="BL556" s="179" t="str">
        <f t="array" ref="BL556">IF($F556&lt;&gt;"", XLOOKUP($F556,Productos!$A$2:$A1001,Productos!BE$2:BE1001,"")*$G556,"")</f>
        <v/>
      </c>
      <c r="BM556" s="179" t="str">
        <f t="array" ref="BM556">IF($F556&lt;&gt;"",XLOOKUP($F556,Productos!$A:$A,Productos!BF:BF,"Revisar"),"")</f>
        <v/>
      </c>
      <c r="BN556" s="179" t="str">
        <f t="array" ref="BN556">IF($F556&lt;&gt;"", XLOOKUP($F556,Productos!$A$2:$A1001,Productos!BG$2:BG1001,"")*$G556,"")</f>
        <v/>
      </c>
      <c r="BO556" s="179" t="str">
        <f t="array" ref="BO556">IF($F556&lt;&gt;"",XLOOKUP($F556,Productos!$A:$A,Productos!BH:BH,"Revisar"),"")</f>
        <v/>
      </c>
      <c r="BP556" s="179" t="str">
        <f t="array" ref="BP556">IF($F556&lt;&gt;"", XLOOKUP($F556,Productos!$A$2:$A1001,Productos!BI$2:BI1001,"")*$G556,"")</f>
        <v/>
      </c>
      <c r="BQ556" s="179" t="str">
        <f t="array" ref="BQ556">IF($F556&lt;&gt;"",XLOOKUP($F556,Productos!$A:$A,Productos!BJ:BJ,"Revisar"),"")</f>
        <v/>
      </c>
      <c r="BR556" s="179" t="str">
        <f t="array" ref="BR556">IF($F556&lt;&gt;"", XLOOKUP($F556,Productos!$A$2:$A1001,Productos!BK$2:BK1001,"")*$G556,"")</f>
        <v/>
      </c>
      <c r="BS556" s="179" t="str">
        <f t="array" ref="BS556">IF($F556&lt;&gt;"",XLOOKUP($F556,Productos!$A:$A,Productos!BL:BL,"Revisar"),"")</f>
        <v/>
      </c>
      <c r="BT556" s="179" t="str">
        <f t="array" ref="BT556">IF($F556&lt;&gt;"", XLOOKUP($F556,Productos!$A$2:$A1001,Productos!BM$2:BM1001,"")*$G556,"")</f>
        <v/>
      </c>
      <c r="BU556" s="179" t="str">
        <f t="array" ref="BU556">IF($F556&lt;&gt;"",XLOOKUP($F556,Productos!$A:$A,Productos!BN:BN,"Revisar"),"")</f>
        <v/>
      </c>
      <c r="BV556" s="179" t="str">
        <f t="array" ref="BV556">IF($F556&lt;&gt;"", XLOOKUP($F556,Productos!$A$2:$A1001,Productos!BO$2:BO1001,"")*$G556,"")</f>
        <v/>
      </c>
      <c r="BW556" s="179" t="str">
        <f t="array" ref="BW556">IF($F556&lt;&gt;"",XLOOKUP($F556,Productos!$A:$A,Productos!BP:BP,"Revisar"),"")</f>
        <v/>
      </c>
      <c r="BX556" s="179" t="str">
        <f t="array" ref="BX556">IF($F556&lt;&gt;"", XLOOKUP($F556,Productos!$A$2:$A1001,Productos!BQ$2:BQ1001,"")*$G556,"")</f>
        <v/>
      </c>
      <c r="BY556" s="179" t="str">
        <f t="array" ref="BY556">IF($F556&lt;&gt;"",XLOOKUP($F556,Productos!$A:$A,Productos!BR:BR,"Revisar"),"")</f>
        <v/>
      </c>
      <c r="BZ556" s="179" t="str">
        <f t="array" ref="BZ556">IF($F556&lt;&gt;"", XLOOKUP($F556,Productos!$A$2:$A1001,Productos!BS$2:BS1001,"")*$G556,"")</f>
        <v/>
      </c>
    </row>
    <row r="557">
      <c r="A557" s="188"/>
      <c r="B557" s="189"/>
      <c r="C557" s="190"/>
      <c r="D557" s="190"/>
      <c r="E557" s="191"/>
      <c r="F557" s="186"/>
      <c r="G557" s="192"/>
      <c r="H557" s="9"/>
      <c r="I557" s="179" t="str">
        <f t="array" ref="I557">IF($F557&lt;&gt;"",XLOOKUP($F557,Productos!$A:$A,Productos!B:B,"Revisar"),"")</f>
        <v/>
      </c>
      <c r="J557" s="179" t="str">
        <f t="array" ref="J557">IF($F557&lt;&gt;"", XLOOKUP($F557,Productos!$A$2:$A1001,Productos!C$2:C1001,"")*$G557,"")</f>
        <v/>
      </c>
      <c r="K557" s="179" t="str">
        <f t="array" ref="K557">IF($F557&lt;&gt;"",XLOOKUP($F557,Productos!$A:$A,Productos!D:D,"Revisar"),"")</f>
        <v/>
      </c>
      <c r="L557" s="179" t="str">
        <f t="array" ref="L557">IF($F557&lt;&gt;"", XLOOKUP($F557,Productos!$A$2:$A1001,Productos!E$2:E1001,"")*$G557,"")</f>
        <v/>
      </c>
      <c r="M557" s="179" t="str">
        <f t="array" ref="M557">IF($F557&lt;&gt;"",XLOOKUP($F557,Productos!$A:$A,Productos!F:F,"Revisar"),"")</f>
        <v/>
      </c>
      <c r="N557" s="179" t="str">
        <f t="array" ref="N557">IF($F557&lt;&gt;"", XLOOKUP($F557,Productos!$A$2:$A1001,Productos!G$2:G1001,"")*$G557,"")</f>
        <v/>
      </c>
      <c r="O557" s="179" t="str">
        <f t="array" ref="O557">IF($F557&lt;&gt;"",XLOOKUP($F557,Productos!$A:$A,Productos!H:H,"Revisar"),"")</f>
        <v/>
      </c>
      <c r="P557" s="179" t="str">
        <f t="array" ref="P557">IF($F557&lt;&gt;"", XLOOKUP($F557,Productos!$A$2:$A1001,Productos!I$2:I1001,"")*$G557,"")</f>
        <v/>
      </c>
      <c r="Q557" s="179" t="str">
        <f t="array" ref="Q557">IF($F557&lt;&gt;"",XLOOKUP($F557,Productos!$A:$A,Productos!J:J,"Revisar"),"")</f>
        <v/>
      </c>
      <c r="R557" s="179" t="str">
        <f t="array" ref="R557">IF($F557&lt;&gt;"", XLOOKUP($F557,Productos!$A$2:$A1001,Productos!K$2:K1001,"")*$G557,"")</f>
        <v/>
      </c>
      <c r="S557" s="179" t="str">
        <f t="array" ref="S557">IF($F557&lt;&gt;"",XLOOKUP($F557,Productos!$A:$A,Productos!L:L,"Revisar"),"")</f>
        <v/>
      </c>
      <c r="T557" s="179" t="str">
        <f t="array" ref="T557">IF($F557&lt;&gt;"", XLOOKUP($F557,Productos!$A$2:$A1001,Productos!M$2:M1001,"")*$G557,"")</f>
        <v/>
      </c>
      <c r="U557" s="179" t="str">
        <f t="array" ref="U557">IF($F557&lt;&gt;"",XLOOKUP($F557,Productos!$A:$A,Productos!N:N,"Revisar"),"")</f>
        <v/>
      </c>
      <c r="V557" s="179" t="str">
        <f t="array" ref="V557">IF($F557&lt;&gt;"", XLOOKUP($F557,Productos!$A$2:$A1001,Productos!O$2:O1001,"")*$G557,"")</f>
        <v/>
      </c>
      <c r="W557" s="179" t="str">
        <f t="array" ref="W557">IF($F557&lt;&gt;"",XLOOKUP($F557,Productos!$A:$A,Productos!P:P,"Revisar"),"")</f>
        <v/>
      </c>
      <c r="X557" s="179" t="str">
        <f t="array" ref="X557">IF($F557&lt;&gt;"", XLOOKUP($F557,Productos!$A$2:$A1001,Productos!Q$2:Q1001,"")*$G557,"")</f>
        <v/>
      </c>
      <c r="Y557" s="179" t="str">
        <f t="array" ref="Y557">IF($F557&lt;&gt;"",XLOOKUP($F557,Productos!$A:$A,Productos!R:R,"Revisar"),"")</f>
        <v/>
      </c>
      <c r="Z557" s="179" t="str">
        <f t="array" ref="Z557">IF($F557&lt;&gt;"", XLOOKUP($F557,Productos!$A$2:$A1001,Productos!S$2:S1001,"")*$G557,"")</f>
        <v/>
      </c>
      <c r="AA557" s="179" t="str">
        <f t="array" ref="AA557">IF($F557&lt;&gt;"",XLOOKUP($F557,Productos!$A:$A,Productos!T:T,"Revisar"),"")</f>
        <v/>
      </c>
      <c r="AB557" s="179" t="str">
        <f t="array" ref="AB557">IF($F557&lt;&gt;"", XLOOKUP($F557,Productos!$A$2:$A1001,Productos!U$2:U1001,"")*$G557,"")</f>
        <v/>
      </c>
      <c r="AC557" s="179" t="str">
        <f t="array" ref="AC557">IF($F557&lt;&gt;"",XLOOKUP($F557,Productos!$A:$A,Productos!V:V,"Revisar"),"")</f>
        <v/>
      </c>
      <c r="AD557" s="179" t="str">
        <f t="array" ref="AD557">IF($F557&lt;&gt;"", XLOOKUP($F557,Productos!$A$2:$A1001,Productos!W$2:W1001,"")*$G557,"")</f>
        <v/>
      </c>
      <c r="AE557" s="179" t="str">
        <f t="array" ref="AE557">IF($F557&lt;&gt;"",XLOOKUP($F557,Productos!$A:$A,Productos!X:X,"Revisar"),"")</f>
        <v/>
      </c>
      <c r="AF557" s="179" t="str">
        <f t="array" ref="AF557">IF($F557&lt;&gt;"", XLOOKUP($F557,Productos!$A$2:$A1001,Productos!Y$2:Y1001,"")*$G557,"")</f>
        <v/>
      </c>
      <c r="AG557" s="179" t="str">
        <f t="array" ref="AG557">IF($F557&lt;&gt;"",XLOOKUP($F557,Productos!$A:$A,Productos!Z:Z,"Revisar"),"")</f>
        <v/>
      </c>
      <c r="AH557" s="179" t="str">
        <f t="array" ref="AH557">IF($F557&lt;&gt;"", XLOOKUP($F557,Productos!$A$2:$A1001,Productos!AA$2:AA1001,"")*$G557,"")</f>
        <v/>
      </c>
      <c r="AI557" s="179" t="str">
        <f t="array" ref="AI557">IF($F557&lt;&gt;"",XLOOKUP($F557,Productos!$A:$A,Productos!AB:AB,"Revisar"),"")</f>
        <v/>
      </c>
      <c r="AJ557" s="179" t="str">
        <f t="array" ref="AJ557">IF($F557&lt;&gt;"", XLOOKUP($F557,Productos!$A$2:$A1001,Productos!AC$2:AC1001,"")*$G557,"")</f>
        <v/>
      </c>
      <c r="AK557" s="179" t="str">
        <f t="array" ref="AK557">IF($F557&lt;&gt;"",XLOOKUP($F557,Productos!$A:$A,Productos!AD:AD,"Revisar"),"")</f>
        <v/>
      </c>
      <c r="AL557" s="179" t="str">
        <f t="array" ref="AL557">IF($F557&lt;&gt;"", XLOOKUP($F557,Productos!$A$2:$A1001,Productos!AE$2:AE1001,"")*$G557,"")</f>
        <v/>
      </c>
      <c r="AM557" s="179" t="str">
        <f t="array" ref="AM557">IF($F557&lt;&gt;"",XLOOKUP($F557,Productos!$A:$A,Productos!AF:AF,"Revisar"),"")</f>
        <v/>
      </c>
      <c r="AN557" s="179" t="str">
        <f t="array" ref="AN557">IF($F557&lt;&gt;"", XLOOKUP($F557,Productos!$A$2:$A1001,Productos!AG$2:AG1001,"")*$G557,"")</f>
        <v/>
      </c>
      <c r="AO557" s="179" t="str">
        <f t="array" ref="AO557">IF($F557&lt;&gt;"",XLOOKUP($F557,Productos!$A:$A,Productos!AH:AH,"Revisar"),"")</f>
        <v/>
      </c>
      <c r="AP557" s="179" t="str">
        <f t="array" ref="AP557">IF($F557&lt;&gt;"", XLOOKUP($F557,Productos!$A$2:$A1001,Productos!AI$2:AI1001,"")*$G557,"")</f>
        <v/>
      </c>
      <c r="AQ557" s="179" t="str">
        <f t="array" ref="AQ557">IF($F557&lt;&gt;"",XLOOKUP($F557,Productos!$A:$A,Productos!AJ:AJ,"Revisar"),"")</f>
        <v/>
      </c>
      <c r="AR557" s="179" t="str">
        <f t="array" ref="AR557">IF($F557&lt;&gt;"", XLOOKUP($F557,Productos!$A$2:$A1001,Productos!AK$2:AK1001,"")*$G557,"")</f>
        <v/>
      </c>
      <c r="AS557" s="179" t="str">
        <f t="array" ref="AS557">IF($F557&lt;&gt;"",XLOOKUP($F557,Productos!$A:$A,Productos!AL:AL,"Revisar"),"")</f>
        <v/>
      </c>
      <c r="AT557" s="179" t="str">
        <f t="array" ref="AT557">IF($F557&lt;&gt;"", XLOOKUP($F557,Productos!$A$2:$A1001,Productos!AM$2:AM1001,"")*$G557,"")</f>
        <v/>
      </c>
      <c r="AU557" s="179" t="str">
        <f t="array" ref="AU557">IF($F557&lt;&gt;"",XLOOKUP($F557,Productos!$A:$A,Productos!AN:AN,"Revisar"),"")</f>
        <v/>
      </c>
      <c r="AV557" s="179" t="str">
        <f t="array" ref="AV557">IF($F557&lt;&gt;"", XLOOKUP($F557,Productos!$A$2:$A1001,Productos!AO$2:AO1001,"")*$G557,"")</f>
        <v/>
      </c>
      <c r="AW557" s="179" t="str">
        <f t="array" ref="AW557">IF($F557&lt;&gt;"",XLOOKUP($F557,Productos!$A:$A,Productos!AP:AP,"Revisar"),"")</f>
        <v/>
      </c>
      <c r="AX557" s="179" t="str">
        <f t="array" ref="AX557">IF($F557&lt;&gt;"", XLOOKUP($F557,Productos!$A$2:$A1001,Productos!AQ$2:AQ1001,"")*$G557,"")</f>
        <v/>
      </c>
      <c r="AY557" s="179" t="str">
        <f t="array" ref="AY557">IF($F557&lt;&gt;"",XLOOKUP($F557,Productos!$A:$A,Productos!AR:AR,"Revisar"),"")</f>
        <v/>
      </c>
      <c r="AZ557" s="179" t="str">
        <f t="array" ref="AZ557">IF($F557&lt;&gt;"", XLOOKUP($F557,Productos!$A$2:$A1001,Productos!AS$2:AS1001,"")*$G557,"")</f>
        <v/>
      </c>
      <c r="BA557" s="179" t="str">
        <f t="array" ref="BA557">IF($F557&lt;&gt;"",XLOOKUP($F557,Productos!$A:$A,Productos!AT:AT,"Revisar"),"")</f>
        <v/>
      </c>
      <c r="BB557" s="179" t="str">
        <f t="array" ref="BB557">IF($F557&lt;&gt;"", XLOOKUP($F557,Productos!$A$2:$A1001,Productos!AU$2:AU1001,"")*$G557,"")</f>
        <v/>
      </c>
      <c r="BC557" s="179" t="str">
        <f t="array" ref="BC557">IF($F557&lt;&gt;"",XLOOKUP($F557,Productos!$A:$A,Productos!AV:AV,"Revisar"),"")</f>
        <v/>
      </c>
      <c r="BD557" s="179" t="str">
        <f t="array" ref="BD557">IF($F557&lt;&gt;"", XLOOKUP($F557,Productos!$A$2:$A1001,Productos!AW$2:AW1001,"")*$G557,"")</f>
        <v/>
      </c>
      <c r="BE557" s="179" t="str">
        <f t="array" ref="BE557">IF($F557&lt;&gt;"",XLOOKUP($F557,Productos!$A:$A,Productos!AX:AX,"Revisar"),"")</f>
        <v/>
      </c>
      <c r="BF557" s="179" t="str">
        <f t="array" ref="BF557">IF($F557&lt;&gt;"", XLOOKUP($F557,Productos!$A$2:$A1001,Productos!AY$2:AY1001,"")*$G557,"")</f>
        <v/>
      </c>
      <c r="BG557" s="179" t="str">
        <f t="array" ref="BG557">IF($F557&lt;&gt;"",XLOOKUP($F557,Productos!$A:$A,Productos!AZ:AZ,"Revisar"),"")</f>
        <v/>
      </c>
      <c r="BH557" s="179" t="str">
        <f t="array" ref="BH557">IF($F557&lt;&gt;"", XLOOKUP($F557,Productos!$A$2:$A1001,Productos!BA$2:BA1001,"")*$G557,"")</f>
        <v/>
      </c>
      <c r="BI557" s="179" t="str">
        <f t="array" ref="BI557">IF($F557&lt;&gt;"",XLOOKUP($F557,Productos!$A:$A,Productos!BB:BB,"Revisar"),"")</f>
        <v/>
      </c>
      <c r="BJ557" s="179" t="str">
        <f t="array" ref="BJ557">IF($F557&lt;&gt;"", XLOOKUP($F557,Productos!$A$2:$A1001,Productos!BC$2:BC1001,"")*$G557,"")</f>
        <v/>
      </c>
      <c r="BK557" s="179" t="str">
        <f t="array" ref="BK557">IF($F557&lt;&gt;"",XLOOKUP($F557,Productos!$A:$A,Productos!BD:BD,"Revisar"),"")</f>
        <v/>
      </c>
      <c r="BL557" s="179" t="str">
        <f t="array" ref="BL557">IF($F557&lt;&gt;"", XLOOKUP($F557,Productos!$A$2:$A1001,Productos!BE$2:BE1001,"")*$G557,"")</f>
        <v/>
      </c>
      <c r="BM557" s="179" t="str">
        <f t="array" ref="BM557">IF($F557&lt;&gt;"",XLOOKUP($F557,Productos!$A:$A,Productos!BF:BF,"Revisar"),"")</f>
        <v/>
      </c>
      <c r="BN557" s="179" t="str">
        <f t="array" ref="BN557">IF($F557&lt;&gt;"", XLOOKUP($F557,Productos!$A$2:$A1001,Productos!BG$2:BG1001,"")*$G557,"")</f>
        <v/>
      </c>
      <c r="BO557" s="179" t="str">
        <f t="array" ref="BO557">IF($F557&lt;&gt;"",XLOOKUP($F557,Productos!$A:$A,Productos!BH:BH,"Revisar"),"")</f>
        <v/>
      </c>
      <c r="BP557" s="179" t="str">
        <f t="array" ref="BP557">IF($F557&lt;&gt;"", XLOOKUP($F557,Productos!$A$2:$A1001,Productos!BI$2:BI1001,"")*$G557,"")</f>
        <v/>
      </c>
      <c r="BQ557" s="179" t="str">
        <f t="array" ref="BQ557">IF($F557&lt;&gt;"",XLOOKUP($F557,Productos!$A:$A,Productos!BJ:BJ,"Revisar"),"")</f>
        <v/>
      </c>
      <c r="BR557" s="179" t="str">
        <f t="array" ref="BR557">IF($F557&lt;&gt;"", XLOOKUP($F557,Productos!$A$2:$A1001,Productos!BK$2:BK1001,"")*$G557,"")</f>
        <v/>
      </c>
      <c r="BS557" s="179" t="str">
        <f t="array" ref="BS557">IF($F557&lt;&gt;"",XLOOKUP($F557,Productos!$A:$A,Productos!BL:BL,"Revisar"),"")</f>
        <v/>
      </c>
      <c r="BT557" s="179" t="str">
        <f t="array" ref="BT557">IF($F557&lt;&gt;"", XLOOKUP($F557,Productos!$A$2:$A1001,Productos!BM$2:BM1001,"")*$G557,"")</f>
        <v/>
      </c>
      <c r="BU557" s="179" t="str">
        <f t="array" ref="BU557">IF($F557&lt;&gt;"",XLOOKUP($F557,Productos!$A:$A,Productos!BN:BN,"Revisar"),"")</f>
        <v/>
      </c>
      <c r="BV557" s="179" t="str">
        <f t="array" ref="BV557">IF($F557&lt;&gt;"", XLOOKUP($F557,Productos!$A$2:$A1001,Productos!BO$2:BO1001,"")*$G557,"")</f>
        <v/>
      </c>
      <c r="BW557" s="179" t="str">
        <f t="array" ref="BW557">IF($F557&lt;&gt;"",XLOOKUP($F557,Productos!$A:$A,Productos!BP:BP,"Revisar"),"")</f>
        <v/>
      </c>
      <c r="BX557" s="179" t="str">
        <f t="array" ref="BX557">IF($F557&lt;&gt;"", XLOOKUP($F557,Productos!$A$2:$A1001,Productos!BQ$2:BQ1001,"")*$G557,"")</f>
        <v/>
      </c>
      <c r="BY557" s="179" t="str">
        <f t="array" ref="BY557">IF($F557&lt;&gt;"",XLOOKUP($F557,Productos!$A:$A,Productos!BR:BR,"Revisar"),"")</f>
        <v/>
      </c>
      <c r="BZ557" s="179" t="str">
        <f t="array" ref="BZ557">IF($F557&lt;&gt;"", XLOOKUP($F557,Productos!$A$2:$A1001,Productos!BS$2:BS1001,"")*$G557,"")</f>
        <v/>
      </c>
    </row>
    <row r="558">
      <c r="A558" s="188"/>
      <c r="B558" s="189"/>
      <c r="C558" s="190"/>
      <c r="D558" s="190"/>
      <c r="E558" s="191"/>
      <c r="F558" s="186"/>
      <c r="G558" s="192"/>
      <c r="H558" s="9"/>
      <c r="I558" s="179" t="str">
        <f t="array" ref="I558">IF($F558&lt;&gt;"",XLOOKUP($F558,Productos!$A:$A,Productos!B:B,"Revisar"),"")</f>
        <v/>
      </c>
      <c r="J558" s="179" t="str">
        <f t="array" ref="J558">IF($F558&lt;&gt;"", XLOOKUP($F558,Productos!$A$2:$A1001,Productos!C$2:C1001,"")*$G558,"")</f>
        <v/>
      </c>
      <c r="K558" s="179" t="str">
        <f t="array" ref="K558">IF($F558&lt;&gt;"",XLOOKUP($F558,Productos!$A:$A,Productos!D:D,"Revisar"),"")</f>
        <v/>
      </c>
      <c r="L558" s="179" t="str">
        <f t="array" ref="L558">IF($F558&lt;&gt;"", XLOOKUP($F558,Productos!$A$2:$A1001,Productos!E$2:E1001,"")*$G558,"")</f>
        <v/>
      </c>
      <c r="M558" s="179" t="str">
        <f t="array" ref="M558">IF($F558&lt;&gt;"",XLOOKUP($F558,Productos!$A:$A,Productos!F:F,"Revisar"),"")</f>
        <v/>
      </c>
      <c r="N558" s="179" t="str">
        <f t="array" ref="N558">IF($F558&lt;&gt;"", XLOOKUP($F558,Productos!$A$2:$A1001,Productos!G$2:G1001,"")*$G558,"")</f>
        <v/>
      </c>
      <c r="O558" s="179" t="str">
        <f t="array" ref="O558">IF($F558&lt;&gt;"",XLOOKUP($F558,Productos!$A:$A,Productos!H:H,"Revisar"),"")</f>
        <v/>
      </c>
      <c r="P558" s="179" t="str">
        <f t="array" ref="P558">IF($F558&lt;&gt;"", XLOOKUP($F558,Productos!$A$2:$A1001,Productos!I$2:I1001,"")*$G558,"")</f>
        <v/>
      </c>
      <c r="Q558" s="179" t="str">
        <f t="array" ref="Q558">IF($F558&lt;&gt;"",XLOOKUP($F558,Productos!$A:$A,Productos!J:J,"Revisar"),"")</f>
        <v/>
      </c>
      <c r="R558" s="179" t="str">
        <f t="array" ref="R558">IF($F558&lt;&gt;"", XLOOKUP($F558,Productos!$A$2:$A1001,Productos!K$2:K1001,"")*$G558,"")</f>
        <v/>
      </c>
      <c r="S558" s="179" t="str">
        <f t="array" ref="S558">IF($F558&lt;&gt;"",XLOOKUP($F558,Productos!$A:$A,Productos!L:L,"Revisar"),"")</f>
        <v/>
      </c>
      <c r="T558" s="179" t="str">
        <f t="array" ref="T558">IF($F558&lt;&gt;"", XLOOKUP($F558,Productos!$A$2:$A1001,Productos!M$2:M1001,"")*$G558,"")</f>
        <v/>
      </c>
      <c r="U558" s="179" t="str">
        <f t="array" ref="U558">IF($F558&lt;&gt;"",XLOOKUP($F558,Productos!$A:$A,Productos!N:N,"Revisar"),"")</f>
        <v/>
      </c>
      <c r="V558" s="179" t="str">
        <f t="array" ref="V558">IF($F558&lt;&gt;"", XLOOKUP($F558,Productos!$A$2:$A1001,Productos!O$2:O1001,"")*$G558,"")</f>
        <v/>
      </c>
      <c r="W558" s="179" t="str">
        <f t="array" ref="W558">IF($F558&lt;&gt;"",XLOOKUP($F558,Productos!$A:$A,Productos!P:P,"Revisar"),"")</f>
        <v/>
      </c>
      <c r="X558" s="179" t="str">
        <f t="array" ref="X558">IF($F558&lt;&gt;"", XLOOKUP($F558,Productos!$A$2:$A1001,Productos!Q$2:Q1001,"")*$G558,"")</f>
        <v/>
      </c>
      <c r="Y558" s="179" t="str">
        <f t="array" ref="Y558">IF($F558&lt;&gt;"",XLOOKUP($F558,Productos!$A:$A,Productos!R:R,"Revisar"),"")</f>
        <v/>
      </c>
      <c r="Z558" s="179" t="str">
        <f t="array" ref="Z558">IF($F558&lt;&gt;"", XLOOKUP($F558,Productos!$A$2:$A1001,Productos!S$2:S1001,"")*$G558,"")</f>
        <v/>
      </c>
      <c r="AA558" s="179" t="str">
        <f t="array" ref="AA558">IF($F558&lt;&gt;"",XLOOKUP($F558,Productos!$A:$A,Productos!T:T,"Revisar"),"")</f>
        <v/>
      </c>
      <c r="AB558" s="179" t="str">
        <f t="array" ref="AB558">IF($F558&lt;&gt;"", XLOOKUP($F558,Productos!$A$2:$A1001,Productos!U$2:U1001,"")*$G558,"")</f>
        <v/>
      </c>
      <c r="AC558" s="179" t="str">
        <f t="array" ref="AC558">IF($F558&lt;&gt;"",XLOOKUP($F558,Productos!$A:$A,Productos!V:V,"Revisar"),"")</f>
        <v/>
      </c>
      <c r="AD558" s="179" t="str">
        <f t="array" ref="AD558">IF($F558&lt;&gt;"", XLOOKUP($F558,Productos!$A$2:$A1001,Productos!W$2:W1001,"")*$G558,"")</f>
        <v/>
      </c>
      <c r="AE558" s="179" t="str">
        <f t="array" ref="AE558">IF($F558&lt;&gt;"",XLOOKUP($F558,Productos!$A:$A,Productos!X:X,"Revisar"),"")</f>
        <v/>
      </c>
      <c r="AF558" s="179" t="str">
        <f t="array" ref="AF558">IF($F558&lt;&gt;"", XLOOKUP($F558,Productos!$A$2:$A1001,Productos!Y$2:Y1001,"")*$G558,"")</f>
        <v/>
      </c>
      <c r="AG558" s="179" t="str">
        <f t="array" ref="AG558">IF($F558&lt;&gt;"",XLOOKUP($F558,Productos!$A:$A,Productos!Z:Z,"Revisar"),"")</f>
        <v/>
      </c>
      <c r="AH558" s="179" t="str">
        <f t="array" ref="AH558">IF($F558&lt;&gt;"", XLOOKUP($F558,Productos!$A$2:$A1001,Productos!AA$2:AA1001,"")*$G558,"")</f>
        <v/>
      </c>
      <c r="AI558" s="179" t="str">
        <f t="array" ref="AI558">IF($F558&lt;&gt;"",XLOOKUP($F558,Productos!$A:$A,Productos!AB:AB,"Revisar"),"")</f>
        <v/>
      </c>
      <c r="AJ558" s="179" t="str">
        <f t="array" ref="AJ558">IF($F558&lt;&gt;"", XLOOKUP($F558,Productos!$A$2:$A1001,Productos!AC$2:AC1001,"")*$G558,"")</f>
        <v/>
      </c>
      <c r="AK558" s="179" t="str">
        <f t="array" ref="AK558">IF($F558&lt;&gt;"",XLOOKUP($F558,Productos!$A:$A,Productos!AD:AD,"Revisar"),"")</f>
        <v/>
      </c>
      <c r="AL558" s="179" t="str">
        <f t="array" ref="AL558">IF($F558&lt;&gt;"", XLOOKUP($F558,Productos!$A$2:$A1001,Productos!AE$2:AE1001,"")*$G558,"")</f>
        <v/>
      </c>
      <c r="AM558" s="179" t="str">
        <f t="array" ref="AM558">IF($F558&lt;&gt;"",XLOOKUP($F558,Productos!$A:$A,Productos!AF:AF,"Revisar"),"")</f>
        <v/>
      </c>
      <c r="AN558" s="179" t="str">
        <f t="array" ref="AN558">IF($F558&lt;&gt;"", XLOOKUP($F558,Productos!$A$2:$A1001,Productos!AG$2:AG1001,"")*$G558,"")</f>
        <v/>
      </c>
      <c r="AO558" s="179" t="str">
        <f t="array" ref="AO558">IF($F558&lt;&gt;"",XLOOKUP($F558,Productos!$A:$A,Productos!AH:AH,"Revisar"),"")</f>
        <v/>
      </c>
      <c r="AP558" s="179" t="str">
        <f t="array" ref="AP558">IF($F558&lt;&gt;"", XLOOKUP($F558,Productos!$A$2:$A1001,Productos!AI$2:AI1001,"")*$G558,"")</f>
        <v/>
      </c>
      <c r="AQ558" s="179" t="str">
        <f t="array" ref="AQ558">IF($F558&lt;&gt;"",XLOOKUP($F558,Productos!$A:$A,Productos!AJ:AJ,"Revisar"),"")</f>
        <v/>
      </c>
      <c r="AR558" s="179" t="str">
        <f t="array" ref="AR558">IF($F558&lt;&gt;"", XLOOKUP($F558,Productos!$A$2:$A1001,Productos!AK$2:AK1001,"")*$G558,"")</f>
        <v/>
      </c>
      <c r="AS558" s="179" t="str">
        <f t="array" ref="AS558">IF($F558&lt;&gt;"",XLOOKUP($F558,Productos!$A:$A,Productos!AL:AL,"Revisar"),"")</f>
        <v/>
      </c>
      <c r="AT558" s="179" t="str">
        <f t="array" ref="AT558">IF($F558&lt;&gt;"", XLOOKUP($F558,Productos!$A$2:$A1001,Productos!AM$2:AM1001,"")*$G558,"")</f>
        <v/>
      </c>
      <c r="AU558" s="179" t="str">
        <f t="array" ref="AU558">IF($F558&lt;&gt;"",XLOOKUP($F558,Productos!$A:$A,Productos!AN:AN,"Revisar"),"")</f>
        <v/>
      </c>
      <c r="AV558" s="179" t="str">
        <f t="array" ref="AV558">IF($F558&lt;&gt;"", XLOOKUP($F558,Productos!$A$2:$A1001,Productos!AO$2:AO1001,"")*$G558,"")</f>
        <v/>
      </c>
      <c r="AW558" s="179" t="str">
        <f t="array" ref="AW558">IF($F558&lt;&gt;"",XLOOKUP($F558,Productos!$A:$A,Productos!AP:AP,"Revisar"),"")</f>
        <v/>
      </c>
      <c r="AX558" s="179" t="str">
        <f t="array" ref="AX558">IF($F558&lt;&gt;"", XLOOKUP($F558,Productos!$A$2:$A1001,Productos!AQ$2:AQ1001,"")*$G558,"")</f>
        <v/>
      </c>
      <c r="AY558" s="179" t="str">
        <f t="array" ref="AY558">IF($F558&lt;&gt;"",XLOOKUP($F558,Productos!$A:$A,Productos!AR:AR,"Revisar"),"")</f>
        <v/>
      </c>
      <c r="AZ558" s="179" t="str">
        <f t="array" ref="AZ558">IF($F558&lt;&gt;"", XLOOKUP($F558,Productos!$A$2:$A1001,Productos!AS$2:AS1001,"")*$G558,"")</f>
        <v/>
      </c>
      <c r="BA558" s="179" t="str">
        <f t="array" ref="BA558">IF($F558&lt;&gt;"",XLOOKUP($F558,Productos!$A:$A,Productos!AT:AT,"Revisar"),"")</f>
        <v/>
      </c>
      <c r="BB558" s="179" t="str">
        <f t="array" ref="BB558">IF($F558&lt;&gt;"", XLOOKUP($F558,Productos!$A$2:$A1001,Productos!AU$2:AU1001,"")*$G558,"")</f>
        <v/>
      </c>
      <c r="BC558" s="179" t="str">
        <f t="array" ref="BC558">IF($F558&lt;&gt;"",XLOOKUP($F558,Productos!$A:$A,Productos!AV:AV,"Revisar"),"")</f>
        <v/>
      </c>
      <c r="BD558" s="179" t="str">
        <f t="array" ref="BD558">IF($F558&lt;&gt;"", XLOOKUP($F558,Productos!$A$2:$A1001,Productos!AW$2:AW1001,"")*$G558,"")</f>
        <v/>
      </c>
      <c r="BE558" s="179" t="str">
        <f t="array" ref="BE558">IF($F558&lt;&gt;"",XLOOKUP($F558,Productos!$A:$A,Productos!AX:AX,"Revisar"),"")</f>
        <v/>
      </c>
      <c r="BF558" s="179" t="str">
        <f t="array" ref="BF558">IF($F558&lt;&gt;"", XLOOKUP($F558,Productos!$A$2:$A1001,Productos!AY$2:AY1001,"")*$G558,"")</f>
        <v/>
      </c>
      <c r="BG558" s="179" t="str">
        <f t="array" ref="BG558">IF($F558&lt;&gt;"",XLOOKUP($F558,Productos!$A:$A,Productos!AZ:AZ,"Revisar"),"")</f>
        <v/>
      </c>
      <c r="BH558" s="179" t="str">
        <f t="array" ref="BH558">IF($F558&lt;&gt;"", XLOOKUP($F558,Productos!$A$2:$A1001,Productos!BA$2:BA1001,"")*$G558,"")</f>
        <v/>
      </c>
      <c r="BI558" s="179" t="str">
        <f t="array" ref="BI558">IF($F558&lt;&gt;"",XLOOKUP($F558,Productos!$A:$A,Productos!BB:BB,"Revisar"),"")</f>
        <v/>
      </c>
      <c r="BJ558" s="179" t="str">
        <f t="array" ref="BJ558">IF($F558&lt;&gt;"", XLOOKUP($F558,Productos!$A$2:$A1001,Productos!BC$2:BC1001,"")*$G558,"")</f>
        <v/>
      </c>
      <c r="BK558" s="179" t="str">
        <f t="array" ref="BK558">IF($F558&lt;&gt;"",XLOOKUP($F558,Productos!$A:$A,Productos!BD:BD,"Revisar"),"")</f>
        <v/>
      </c>
      <c r="BL558" s="179" t="str">
        <f t="array" ref="BL558">IF($F558&lt;&gt;"", XLOOKUP($F558,Productos!$A$2:$A1001,Productos!BE$2:BE1001,"")*$G558,"")</f>
        <v/>
      </c>
      <c r="BM558" s="179" t="str">
        <f t="array" ref="BM558">IF($F558&lt;&gt;"",XLOOKUP($F558,Productos!$A:$A,Productos!BF:BF,"Revisar"),"")</f>
        <v/>
      </c>
      <c r="BN558" s="179" t="str">
        <f t="array" ref="BN558">IF($F558&lt;&gt;"", XLOOKUP($F558,Productos!$A$2:$A1001,Productos!BG$2:BG1001,"")*$G558,"")</f>
        <v/>
      </c>
      <c r="BO558" s="179" t="str">
        <f t="array" ref="BO558">IF($F558&lt;&gt;"",XLOOKUP($F558,Productos!$A:$A,Productos!BH:BH,"Revisar"),"")</f>
        <v/>
      </c>
      <c r="BP558" s="179" t="str">
        <f t="array" ref="BP558">IF($F558&lt;&gt;"", XLOOKUP($F558,Productos!$A$2:$A1001,Productos!BI$2:BI1001,"")*$G558,"")</f>
        <v/>
      </c>
      <c r="BQ558" s="179" t="str">
        <f t="array" ref="BQ558">IF($F558&lt;&gt;"",XLOOKUP($F558,Productos!$A:$A,Productos!BJ:BJ,"Revisar"),"")</f>
        <v/>
      </c>
      <c r="BR558" s="179" t="str">
        <f t="array" ref="BR558">IF($F558&lt;&gt;"", XLOOKUP($F558,Productos!$A$2:$A1001,Productos!BK$2:BK1001,"")*$G558,"")</f>
        <v/>
      </c>
      <c r="BS558" s="179" t="str">
        <f t="array" ref="BS558">IF($F558&lt;&gt;"",XLOOKUP($F558,Productos!$A:$A,Productos!BL:BL,"Revisar"),"")</f>
        <v/>
      </c>
      <c r="BT558" s="179" t="str">
        <f t="array" ref="BT558">IF($F558&lt;&gt;"", XLOOKUP($F558,Productos!$A$2:$A1001,Productos!BM$2:BM1001,"")*$G558,"")</f>
        <v/>
      </c>
      <c r="BU558" s="179" t="str">
        <f t="array" ref="BU558">IF($F558&lt;&gt;"",XLOOKUP($F558,Productos!$A:$A,Productos!BN:BN,"Revisar"),"")</f>
        <v/>
      </c>
      <c r="BV558" s="179" t="str">
        <f t="array" ref="BV558">IF($F558&lt;&gt;"", XLOOKUP($F558,Productos!$A$2:$A1001,Productos!BO$2:BO1001,"")*$G558,"")</f>
        <v/>
      </c>
      <c r="BW558" s="179" t="str">
        <f t="array" ref="BW558">IF($F558&lt;&gt;"",XLOOKUP($F558,Productos!$A:$A,Productos!BP:BP,"Revisar"),"")</f>
        <v/>
      </c>
      <c r="BX558" s="179" t="str">
        <f t="array" ref="BX558">IF($F558&lt;&gt;"", XLOOKUP($F558,Productos!$A$2:$A1001,Productos!BQ$2:BQ1001,"")*$G558,"")</f>
        <v/>
      </c>
      <c r="BY558" s="179" t="str">
        <f t="array" ref="BY558">IF($F558&lt;&gt;"",XLOOKUP($F558,Productos!$A:$A,Productos!BR:BR,"Revisar"),"")</f>
        <v/>
      </c>
      <c r="BZ558" s="179" t="str">
        <f t="array" ref="BZ558">IF($F558&lt;&gt;"", XLOOKUP($F558,Productos!$A$2:$A1001,Productos!BS$2:BS1001,"")*$G558,"")</f>
        <v/>
      </c>
    </row>
    <row r="559">
      <c r="A559" s="188"/>
      <c r="B559" s="189"/>
      <c r="C559" s="190"/>
      <c r="D559" s="190"/>
      <c r="E559" s="191"/>
      <c r="F559" s="186"/>
      <c r="G559" s="192"/>
      <c r="H559" s="9"/>
      <c r="I559" s="179" t="str">
        <f t="array" ref="I559">IF($F559&lt;&gt;"",XLOOKUP($F559,Productos!$A:$A,Productos!B:B,"Revisar"),"")</f>
        <v/>
      </c>
      <c r="J559" s="179" t="str">
        <f t="array" ref="J559">IF($F559&lt;&gt;"", XLOOKUP($F559,Productos!$A$2:$A1001,Productos!C$2:C1001,"")*$G559,"")</f>
        <v/>
      </c>
      <c r="K559" s="179" t="str">
        <f t="array" ref="K559">IF($F559&lt;&gt;"",XLOOKUP($F559,Productos!$A:$A,Productos!D:D,"Revisar"),"")</f>
        <v/>
      </c>
      <c r="L559" s="179" t="str">
        <f t="array" ref="L559">IF($F559&lt;&gt;"", XLOOKUP($F559,Productos!$A$2:$A1001,Productos!E$2:E1001,"")*$G559,"")</f>
        <v/>
      </c>
      <c r="M559" s="179" t="str">
        <f t="array" ref="M559">IF($F559&lt;&gt;"",XLOOKUP($F559,Productos!$A:$A,Productos!F:F,"Revisar"),"")</f>
        <v/>
      </c>
      <c r="N559" s="179" t="str">
        <f t="array" ref="N559">IF($F559&lt;&gt;"", XLOOKUP($F559,Productos!$A$2:$A1001,Productos!G$2:G1001,"")*$G559,"")</f>
        <v/>
      </c>
      <c r="O559" s="179" t="str">
        <f t="array" ref="O559">IF($F559&lt;&gt;"",XLOOKUP($F559,Productos!$A:$A,Productos!H:H,"Revisar"),"")</f>
        <v/>
      </c>
      <c r="P559" s="179" t="str">
        <f t="array" ref="P559">IF($F559&lt;&gt;"", XLOOKUP($F559,Productos!$A$2:$A1001,Productos!I$2:I1001,"")*$G559,"")</f>
        <v/>
      </c>
      <c r="Q559" s="179" t="str">
        <f t="array" ref="Q559">IF($F559&lt;&gt;"",XLOOKUP($F559,Productos!$A:$A,Productos!J:J,"Revisar"),"")</f>
        <v/>
      </c>
      <c r="R559" s="179" t="str">
        <f t="array" ref="R559">IF($F559&lt;&gt;"", XLOOKUP($F559,Productos!$A$2:$A1001,Productos!K$2:K1001,"")*$G559,"")</f>
        <v/>
      </c>
      <c r="S559" s="179" t="str">
        <f t="array" ref="S559">IF($F559&lt;&gt;"",XLOOKUP($F559,Productos!$A:$A,Productos!L:L,"Revisar"),"")</f>
        <v/>
      </c>
      <c r="T559" s="179" t="str">
        <f t="array" ref="T559">IF($F559&lt;&gt;"", XLOOKUP($F559,Productos!$A$2:$A1001,Productos!M$2:M1001,"")*$G559,"")</f>
        <v/>
      </c>
      <c r="U559" s="179" t="str">
        <f t="array" ref="U559">IF($F559&lt;&gt;"",XLOOKUP($F559,Productos!$A:$A,Productos!N:N,"Revisar"),"")</f>
        <v/>
      </c>
      <c r="V559" s="179" t="str">
        <f t="array" ref="V559">IF($F559&lt;&gt;"", XLOOKUP($F559,Productos!$A$2:$A1001,Productos!O$2:O1001,"")*$G559,"")</f>
        <v/>
      </c>
      <c r="W559" s="179" t="str">
        <f t="array" ref="W559">IF($F559&lt;&gt;"",XLOOKUP($F559,Productos!$A:$A,Productos!P:P,"Revisar"),"")</f>
        <v/>
      </c>
      <c r="X559" s="179" t="str">
        <f t="array" ref="X559">IF($F559&lt;&gt;"", XLOOKUP($F559,Productos!$A$2:$A1001,Productos!Q$2:Q1001,"")*$G559,"")</f>
        <v/>
      </c>
      <c r="Y559" s="179" t="str">
        <f t="array" ref="Y559">IF($F559&lt;&gt;"",XLOOKUP($F559,Productos!$A:$A,Productos!R:R,"Revisar"),"")</f>
        <v/>
      </c>
      <c r="Z559" s="179" t="str">
        <f t="array" ref="Z559">IF($F559&lt;&gt;"", XLOOKUP($F559,Productos!$A$2:$A1001,Productos!S$2:S1001,"")*$G559,"")</f>
        <v/>
      </c>
      <c r="AA559" s="179" t="str">
        <f t="array" ref="AA559">IF($F559&lt;&gt;"",XLOOKUP($F559,Productos!$A:$A,Productos!T:T,"Revisar"),"")</f>
        <v/>
      </c>
      <c r="AB559" s="179" t="str">
        <f t="array" ref="AB559">IF($F559&lt;&gt;"", XLOOKUP($F559,Productos!$A$2:$A1001,Productos!U$2:U1001,"")*$G559,"")</f>
        <v/>
      </c>
      <c r="AC559" s="179" t="str">
        <f t="array" ref="AC559">IF($F559&lt;&gt;"",XLOOKUP($F559,Productos!$A:$A,Productos!V:V,"Revisar"),"")</f>
        <v/>
      </c>
      <c r="AD559" s="179" t="str">
        <f t="array" ref="AD559">IF($F559&lt;&gt;"", XLOOKUP($F559,Productos!$A$2:$A1001,Productos!W$2:W1001,"")*$G559,"")</f>
        <v/>
      </c>
      <c r="AE559" s="179" t="str">
        <f t="array" ref="AE559">IF($F559&lt;&gt;"",XLOOKUP($F559,Productos!$A:$A,Productos!X:X,"Revisar"),"")</f>
        <v/>
      </c>
      <c r="AF559" s="179" t="str">
        <f t="array" ref="AF559">IF($F559&lt;&gt;"", XLOOKUP($F559,Productos!$A$2:$A1001,Productos!Y$2:Y1001,"")*$G559,"")</f>
        <v/>
      </c>
      <c r="AG559" s="179" t="str">
        <f t="array" ref="AG559">IF($F559&lt;&gt;"",XLOOKUP($F559,Productos!$A:$A,Productos!Z:Z,"Revisar"),"")</f>
        <v/>
      </c>
      <c r="AH559" s="179" t="str">
        <f t="array" ref="AH559">IF($F559&lt;&gt;"", XLOOKUP($F559,Productos!$A$2:$A1001,Productos!AA$2:AA1001,"")*$G559,"")</f>
        <v/>
      </c>
      <c r="AI559" s="179" t="str">
        <f t="array" ref="AI559">IF($F559&lt;&gt;"",XLOOKUP($F559,Productos!$A:$A,Productos!AB:AB,"Revisar"),"")</f>
        <v/>
      </c>
      <c r="AJ559" s="179" t="str">
        <f t="array" ref="AJ559">IF($F559&lt;&gt;"", XLOOKUP($F559,Productos!$A$2:$A1001,Productos!AC$2:AC1001,"")*$G559,"")</f>
        <v/>
      </c>
      <c r="AK559" s="179" t="str">
        <f t="array" ref="AK559">IF($F559&lt;&gt;"",XLOOKUP($F559,Productos!$A:$A,Productos!AD:AD,"Revisar"),"")</f>
        <v/>
      </c>
      <c r="AL559" s="179" t="str">
        <f t="array" ref="AL559">IF($F559&lt;&gt;"", XLOOKUP($F559,Productos!$A$2:$A1001,Productos!AE$2:AE1001,"")*$G559,"")</f>
        <v/>
      </c>
      <c r="AM559" s="179" t="str">
        <f t="array" ref="AM559">IF($F559&lt;&gt;"",XLOOKUP($F559,Productos!$A:$A,Productos!AF:AF,"Revisar"),"")</f>
        <v/>
      </c>
      <c r="AN559" s="179" t="str">
        <f t="array" ref="AN559">IF($F559&lt;&gt;"", XLOOKUP($F559,Productos!$A$2:$A1001,Productos!AG$2:AG1001,"")*$G559,"")</f>
        <v/>
      </c>
      <c r="AO559" s="179" t="str">
        <f t="array" ref="AO559">IF($F559&lt;&gt;"",XLOOKUP($F559,Productos!$A:$A,Productos!AH:AH,"Revisar"),"")</f>
        <v/>
      </c>
      <c r="AP559" s="179" t="str">
        <f t="array" ref="AP559">IF($F559&lt;&gt;"", XLOOKUP($F559,Productos!$A$2:$A1001,Productos!AI$2:AI1001,"")*$G559,"")</f>
        <v/>
      </c>
      <c r="AQ559" s="179" t="str">
        <f t="array" ref="AQ559">IF($F559&lt;&gt;"",XLOOKUP($F559,Productos!$A:$A,Productos!AJ:AJ,"Revisar"),"")</f>
        <v/>
      </c>
      <c r="AR559" s="179" t="str">
        <f t="array" ref="AR559">IF($F559&lt;&gt;"", XLOOKUP($F559,Productos!$A$2:$A1001,Productos!AK$2:AK1001,"")*$G559,"")</f>
        <v/>
      </c>
      <c r="AS559" s="179" t="str">
        <f t="array" ref="AS559">IF($F559&lt;&gt;"",XLOOKUP($F559,Productos!$A:$A,Productos!AL:AL,"Revisar"),"")</f>
        <v/>
      </c>
      <c r="AT559" s="179" t="str">
        <f t="array" ref="AT559">IF($F559&lt;&gt;"", XLOOKUP($F559,Productos!$A$2:$A1001,Productos!AM$2:AM1001,"")*$G559,"")</f>
        <v/>
      </c>
      <c r="AU559" s="179" t="str">
        <f t="array" ref="AU559">IF($F559&lt;&gt;"",XLOOKUP($F559,Productos!$A:$A,Productos!AN:AN,"Revisar"),"")</f>
        <v/>
      </c>
      <c r="AV559" s="179" t="str">
        <f t="array" ref="AV559">IF($F559&lt;&gt;"", XLOOKUP($F559,Productos!$A$2:$A1001,Productos!AO$2:AO1001,"")*$G559,"")</f>
        <v/>
      </c>
      <c r="AW559" s="179" t="str">
        <f t="array" ref="AW559">IF($F559&lt;&gt;"",XLOOKUP($F559,Productos!$A:$A,Productos!AP:AP,"Revisar"),"")</f>
        <v/>
      </c>
      <c r="AX559" s="179" t="str">
        <f t="array" ref="AX559">IF($F559&lt;&gt;"", XLOOKUP($F559,Productos!$A$2:$A1001,Productos!AQ$2:AQ1001,"")*$G559,"")</f>
        <v/>
      </c>
      <c r="AY559" s="179" t="str">
        <f t="array" ref="AY559">IF($F559&lt;&gt;"",XLOOKUP($F559,Productos!$A:$A,Productos!AR:AR,"Revisar"),"")</f>
        <v/>
      </c>
      <c r="AZ559" s="179" t="str">
        <f t="array" ref="AZ559">IF($F559&lt;&gt;"", XLOOKUP($F559,Productos!$A$2:$A1001,Productos!AS$2:AS1001,"")*$G559,"")</f>
        <v/>
      </c>
      <c r="BA559" s="179" t="str">
        <f t="array" ref="BA559">IF($F559&lt;&gt;"",XLOOKUP($F559,Productos!$A:$A,Productos!AT:AT,"Revisar"),"")</f>
        <v/>
      </c>
      <c r="BB559" s="179" t="str">
        <f t="array" ref="BB559">IF($F559&lt;&gt;"", XLOOKUP($F559,Productos!$A$2:$A1001,Productos!AU$2:AU1001,"")*$G559,"")</f>
        <v/>
      </c>
      <c r="BC559" s="179" t="str">
        <f t="array" ref="BC559">IF($F559&lt;&gt;"",XLOOKUP($F559,Productos!$A:$A,Productos!AV:AV,"Revisar"),"")</f>
        <v/>
      </c>
      <c r="BD559" s="179" t="str">
        <f t="array" ref="BD559">IF($F559&lt;&gt;"", XLOOKUP($F559,Productos!$A$2:$A1001,Productos!AW$2:AW1001,"")*$G559,"")</f>
        <v/>
      </c>
      <c r="BE559" s="179" t="str">
        <f t="array" ref="BE559">IF($F559&lt;&gt;"",XLOOKUP($F559,Productos!$A:$A,Productos!AX:AX,"Revisar"),"")</f>
        <v/>
      </c>
      <c r="BF559" s="179" t="str">
        <f t="array" ref="BF559">IF($F559&lt;&gt;"", XLOOKUP($F559,Productos!$A$2:$A1001,Productos!AY$2:AY1001,"")*$G559,"")</f>
        <v/>
      </c>
      <c r="BG559" s="179" t="str">
        <f t="array" ref="BG559">IF($F559&lt;&gt;"",XLOOKUP($F559,Productos!$A:$A,Productos!AZ:AZ,"Revisar"),"")</f>
        <v/>
      </c>
      <c r="BH559" s="179" t="str">
        <f t="array" ref="BH559">IF($F559&lt;&gt;"", XLOOKUP($F559,Productos!$A$2:$A1001,Productos!BA$2:BA1001,"")*$G559,"")</f>
        <v/>
      </c>
      <c r="BI559" s="179" t="str">
        <f t="array" ref="BI559">IF($F559&lt;&gt;"",XLOOKUP($F559,Productos!$A:$A,Productos!BB:BB,"Revisar"),"")</f>
        <v/>
      </c>
      <c r="BJ559" s="179" t="str">
        <f t="array" ref="BJ559">IF($F559&lt;&gt;"", XLOOKUP($F559,Productos!$A$2:$A1001,Productos!BC$2:BC1001,"")*$G559,"")</f>
        <v/>
      </c>
      <c r="BK559" s="179" t="str">
        <f t="array" ref="BK559">IF($F559&lt;&gt;"",XLOOKUP($F559,Productos!$A:$A,Productos!BD:BD,"Revisar"),"")</f>
        <v/>
      </c>
      <c r="BL559" s="179" t="str">
        <f t="array" ref="BL559">IF($F559&lt;&gt;"", XLOOKUP($F559,Productos!$A$2:$A1001,Productos!BE$2:BE1001,"")*$G559,"")</f>
        <v/>
      </c>
      <c r="BM559" s="179" t="str">
        <f t="array" ref="BM559">IF($F559&lt;&gt;"",XLOOKUP($F559,Productos!$A:$A,Productos!BF:BF,"Revisar"),"")</f>
        <v/>
      </c>
      <c r="BN559" s="179" t="str">
        <f t="array" ref="BN559">IF($F559&lt;&gt;"", XLOOKUP($F559,Productos!$A$2:$A1001,Productos!BG$2:BG1001,"")*$G559,"")</f>
        <v/>
      </c>
      <c r="BO559" s="179" t="str">
        <f t="array" ref="BO559">IF($F559&lt;&gt;"",XLOOKUP($F559,Productos!$A:$A,Productos!BH:BH,"Revisar"),"")</f>
        <v/>
      </c>
      <c r="BP559" s="179" t="str">
        <f t="array" ref="BP559">IF($F559&lt;&gt;"", XLOOKUP($F559,Productos!$A$2:$A1001,Productos!BI$2:BI1001,"")*$G559,"")</f>
        <v/>
      </c>
      <c r="BQ559" s="179" t="str">
        <f t="array" ref="BQ559">IF($F559&lt;&gt;"",XLOOKUP($F559,Productos!$A:$A,Productos!BJ:BJ,"Revisar"),"")</f>
        <v/>
      </c>
      <c r="BR559" s="179" t="str">
        <f t="array" ref="BR559">IF($F559&lt;&gt;"", XLOOKUP($F559,Productos!$A$2:$A1001,Productos!BK$2:BK1001,"")*$G559,"")</f>
        <v/>
      </c>
      <c r="BS559" s="179" t="str">
        <f t="array" ref="BS559">IF($F559&lt;&gt;"",XLOOKUP($F559,Productos!$A:$A,Productos!BL:BL,"Revisar"),"")</f>
        <v/>
      </c>
      <c r="BT559" s="179" t="str">
        <f t="array" ref="BT559">IF($F559&lt;&gt;"", XLOOKUP($F559,Productos!$A$2:$A1001,Productos!BM$2:BM1001,"")*$G559,"")</f>
        <v/>
      </c>
      <c r="BU559" s="179" t="str">
        <f t="array" ref="BU559">IF($F559&lt;&gt;"",XLOOKUP($F559,Productos!$A:$A,Productos!BN:BN,"Revisar"),"")</f>
        <v/>
      </c>
      <c r="BV559" s="179" t="str">
        <f t="array" ref="BV559">IF($F559&lt;&gt;"", XLOOKUP($F559,Productos!$A$2:$A1001,Productos!BO$2:BO1001,"")*$G559,"")</f>
        <v/>
      </c>
      <c r="BW559" s="179" t="str">
        <f t="array" ref="BW559">IF($F559&lt;&gt;"",XLOOKUP($F559,Productos!$A:$A,Productos!BP:BP,"Revisar"),"")</f>
        <v/>
      </c>
      <c r="BX559" s="179" t="str">
        <f t="array" ref="BX559">IF($F559&lt;&gt;"", XLOOKUP($F559,Productos!$A$2:$A1001,Productos!BQ$2:BQ1001,"")*$G559,"")</f>
        <v/>
      </c>
      <c r="BY559" s="179" t="str">
        <f t="array" ref="BY559">IF($F559&lt;&gt;"",XLOOKUP($F559,Productos!$A:$A,Productos!BR:BR,"Revisar"),"")</f>
        <v/>
      </c>
      <c r="BZ559" s="179" t="str">
        <f t="array" ref="BZ559">IF($F559&lt;&gt;"", XLOOKUP($F559,Productos!$A$2:$A1001,Productos!BS$2:BS1001,"")*$G559,"")</f>
        <v/>
      </c>
    </row>
    <row r="560">
      <c r="A560" s="188"/>
      <c r="B560" s="189"/>
      <c r="C560" s="190"/>
      <c r="D560" s="190"/>
      <c r="E560" s="191"/>
      <c r="F560" s="186"/>
      <c r="G560" s="192"/>
      <c r="H560" s="9"/>
      <c r="I560" s="179" t="str">
        <f t="array" ref="I560">IF($F560&lt;&gt;"",XLOOKUP($F560,Productos!$A:$A,Productos!B:B,"Revisar"),"")</f>
        <v/>
      </c>
      <c r="J560" s="179" t="str">
        <f t="array" ref="J560">IF($F560&lt;&gt;"", XLOOKUP($F560,Productos!$A$2:$A1001,Productos!C$2:C1001,"")*$G560,"")</f>
        <v/>
      </c>
      <c r="K560" s="179" t="str">
        <f t="array" ref="K560">IF($F560&lt;&gt;"",XLOOKUP($F560,Productos!$A:$A,Productos!D:D,"Revisar"),"")</f>
        <v/>
      </c>
      <c r="L560" s="179" t="str">
        <f t="array" ref="L560">IF($F560&lt;&gt;"", XLOOKUP($F560,Productos!$A$2:$A1001,Productos!E$2:E1001,"")*$G560,"")</f>
        <v/>
      </c>
      <c r="M560" s="179" t="str">
        <f t="array" ref="M560">IF($F560&lt;&gt;"",XLOOKUP($F560,Productos!$A:$A,Productos!F:F,"Revisar"),"")</f>
        <v/>
      </c>
      <c r="N560" s="179" t="str">
        <f t="array" ref="N560">IF($F560&lt;&gt;"", XLOOKUP($F560,Productos!$A$2:$A1001,Productos!G$2:G1001,"")*$G560,"")</f>
        <v/>
      </c>
      <c r="O560" s="179" t="str">
        <f t="array" ref="O560">IF($F560&lt;&gt;"",XLOOKUP($F560,Productos!$A:$A,Productos!H:H,"Revisar"),"")</f>
        <v/>
      </c>
      <c r="P560" s="179" t="str">
        <f t="array" ref="P560">IF($F560&lt;&gt;"", XLOOKUP($F560,Productos!$A$2:$A1001,Productos!I$2:I1001,"")*$G560,"")</f>
        <v/>
      </c>
      <c r="Q560" s="179" t="str">
        <f t="array" ref="Q560">IF($F560&lt;&gt;"",XLOOKUP($F560,Productos!$A:$A,Productos!J:J,"Revisar"),"")</f>
        <v/>
      </c>
      <c r="R560" s="179" t="str">
        <f t="array" ref="R560">IF($F560&lt;&gt;"", XLOOKUP($F560,Productos!$A$2:$A1001,Productos!K$2:K1001,"")*$G560,"")</f>
        <v/>
      </c>
      <c r="S560" s="179" t="str">
        <f t="array" ref="S560">IF($F560&lt;&gt;"",XLOOKUP($F560,Productos!$A:$A,Productos!L:L,"Revisar"),"")</f>
        <v/>
      </c>
      <c r="T560" s="179" t="str">
        <f t="array" ref="T560">IF($F560&lt;&gt;"", XLOOKUP($F560,Productos!$A$2:$A1001,Productos!M$2:M1001,"")*$G560,"")</f>
        <v/>
      </c>
      <c r="U560" s="179" t="str">
        <f t="array" ref="U560">IF($F560&lt;&gt;"",XLOOKUP($F560,Productos!$A:$A,Productos!N:N,"Revisar"),"")</f>
        <v/>
      </c>
      <c r="V560" s="179" t="str">
        <f t="array" ref="V560">IF($F560&lt;&gt;"", XLOOKUP($F560,Productos!$A$2:$A1001,Productos!O$2:O1001,"")*$G560,"")</f>
        <v/>
      </c>
      <c r="W560" s="179" t="str">
        <f t="array" ref="W560">IF($F560&lt;&gt;"",XLOOKUP($F560,Productos!$A:$A,Productos!P:P,"Revisar"),"")</f>
        <v/>
      </c>
      <c r="X560" s="179" t="str">
        <f t="array" ref="X560">IF($F560&lt;&gt;"", XLOOKUP($F560,Productos!$A$2:$A1001,Productos!Q$2:Q1001,"")*$G560,"")</f>
        <v/>
      </c>
      <c r="Y560" s="179" t="str">
        <f t="array" ref="Y560">IF($F560&lt;&gt;"",XLOOKUP($F560,Productos!$A:$A,Productos!R:R,"Revisar"),"")</f>
        <v/>
      </c>
      <c r="Z560" s="179" t="str">
        <f t="array" ref="Z560">IF($F560&lt;&gt;"", XLOOKUP($F560,Productos!$A$2:$A1001,Productos!S$2:S1001,"")*$G560,"")</f>
        <v/>
      </c>
      <c r="AA560" s="179" t="str">
        <f t="array" ref="AA560">IF($F560&lt;&gt;"",XLOOKUP($F560,Productos!$A:$A,Productos!T:T,"Revisar"),"")</f>
        <v/>
      </c>
      <c r="AB560" s="179" t="str">
        <f t="array" ref="AB560">IF($F560&lt;&gt;"", XLOOKUP($F560,Productos!$A$2:$A1001,Productos!U$2:U1001,"")*$G560,"")</f>
        <v/>
      </c>
      <c r="AC560" s="179" t="str">
        <f t="array" ref="AC560">IF($F560&lt;&gt;"",XLOOKUP($F560,Productos!$A:$A,Productos!V:V,"Revisar"),"")</f>
        <v/>
      </c>
      <c r="AD560" s="179" t="str">
        <f t="array" ref="AD560">IF($F560&lt;&gt;"", XLOOKUP($F560,Productos!$A$2:$A1001,Productos!W$2:W1001,"")*$G560,"")</f>
        <v/>
      </c>
      <c r="AE560" s="179" t="str">
        <f t="array" ref="AE560">IF($F560&lt;&gt;"",XLOOKUP($F560,Productos!$A:$A,Productos!X:X,"Revisar"),"")</f>
        <v/>
      </c>
      <c r="AF560" s="179" t="str">
        <f t="array" ref="AF560">IF($F560&lt;&gt;"", XLOOKUP($F560,Productos!$A$2:$A1001,Productos!Y$2:Y1001,"")*$G560,"")</f>
        <v/>
      </c>
      <c r="AG560" s="179" t="str">
        <f t="array" ref="AG560">IF($F560&lt;&gt;"",XLOOKUP($F560,Productos!$A:$A,Productos!Z:Z,"Revisar"),"")</f>
        <v/>
      </c>
      <c r="AH560" s="179" t="str">
        <f t="array" ref="AH560">IF($F560&lt;&gt;"", XLOOKUP($F560,Productos!$A$2:$A1001,Productos!AA$2:AA1001,"")*$G560,"")</f>
        <v/>
      </c>
      <c r="AI560" s="179" t="str">
        <f t="array" ref="AI560">IF($F560&lt;&gt;"",XLOOKUP($F560,Productos!$A:$A,Productos!AB:AB,"Revisar"),"")</f>
        <v/>
      </c>
      <c r="AJ560" s="179" t="str">
        <f t="array" ref="AJ560">IF($F560&lt;&gt;"", XLOOKUP($F560,Productos!$A$2:$A1001,Productos!AC$2:AC1001,"")*$G560,"")</f>
        <v/>
      </c>
      <c r="AK560" s="179" t="str">
        <f t="array" ref="AK560">IF($F560&lt;&gt;"",XLOOKUP($F560,Productos!$A:$A,Productos!AD:AD,"Revisar"),"")</f>
        <v/>
      </c>
      <c r="AL560" s="179" t="str">
        <f t="array" ref="AL560">IF($F560&lt;&gt;"", XLOOKUP($F560,Productos!$A$2:$A1001,Productos!AE$2:AE1001,"")*$G560,"")</f>
        <v/>
      </c>
      <c r="AM560" s="179" t="str">
        <f t="array" ref="AM560">IF($F560&lt;&gt;"",XLOOKUP($F560,Productos!$A:$A,Productos!AF:AF,"Revisar"),"")</f>
        <v/>
      </c>
      <c r="AN560" s="179" t="str">
        <f t="array" ref="AN560">IF($F560&lt;&gt;"", XLOOKUP($F560,Productos!$A$2:$A1001,Productos!AG$2:AG1001,"")*$G560,"")</f>
        <v/>
      </c>
      <c r="AO560" s="179" t="str">
        <f t="array" ref="AO560">IF($F560&lt;&gt;"",XLOOKUP($F560,Productos!$A:$A,Productos!AH:AH,"Revisar"),"")</f>
        <v/>
      </c>
      <c r="AP560" s="179" t="str">
        <f t="array" ref="AP560">IF($F560&lt;&gt;"", XLOOKUP($F560,Productos!$A$2:$A1001,Productos!AI$2:AI1001,"")*$G560,"")</f>
        <v/>
      </c>
      <c r="AQ560" s="179" t="str">
        <f t="array" ref="AQ560">IF($F560&lt;&gt;"",XLOOKUP($F560,Productos!$A:$A,Productos!AJ:AJ,"Revisar"),"")</f>
        <v/>
      </c>
      <c r="AR560" s="179" t="str">
        <f t="array" ref="AR560">IF($F560&lt;&gt;"", XLOOKUP($F560,Productos!$A$2:$A1001,Productos!AK$2:AK1001,"")*$G560,"")</f>
        <v/>
      </c>
      <c r="AS560" s="179" t="str">
        <f t="array" ref="AS560">IF($F560&lt;&gt;"",XLOOKUP($F560,Productos!$A:$A,Productos!AL:AL,"Revisar"),"")</f>
        <v/>
      </c>
      <c r="AT560" s="179" t="str">
        <f t="array" ref="AT560">IF($F560&lt;&gt;"", XLOOKUP($F560,Productos!$A$2:$A1001,Productos!AM$2:AM1001,"")*$G560,"")</f>
        <v/>
      </c>
      <c r="AU560" s="179" t="str">
        <f t="array" ref="AU560">IF($F560&lt;&gt;"",XLOOKUP($F560,Productos!$A:$A,Productos!AN:AN,"Revisar"),"")</f>
        <v/>
      </c>
      <c r="AV560" s="179" t="str">
        <f t="array" ref="AV560">IF($F560&lt;&gt;"", XLOOKUP($F560,Productos!$A$2:$A1001,Productos!AO$2:AO1001,"")*$G560,"")</f>
        <v/>
      </c>
      <c r="AW560" s="179" t="str">
        <f t="array" ref="AW560">IF($F560&lt;&gt;"",XLOOKUP($F560,Productos!$A:$A,Productos!AP:AP,"Revisar"),"")</f>
        <v/>
      </c>
      <c r="AX560" s="179" t="str">
        <f t="array" ref="AX560">IF($F560&lt;&gt;"", XLOOKUP($F560,Productos!$A$2:$A1001,Productos!AQ$2:AQ1001,"")*$G560,"")</f>
        <v/>
      </c>
      <c r="AY560" s="179" t="str">
        <f t="array" ref="AY560">IF($F560&lt;&gt;"",XLOOKUP($F560,Productos!$A:$A,Productos!AR:AR,"Revisar"),"")</f>
        <v/>
      </c>
      <c r="AZ560" s="179" t="str">
        <f t="array" ref="AZ560">IF($F560&lt;&gt;"", XLOOKUP($F560,Productos!$A$2:$A1001,Productos!AS$2:AS1001,"")*$G560,"")</f>
        <v/>
      </c>
      <c r="BA560" s="179" t="str">
        <f t="array" ref="BA560">IF($F560&lt;&gt;"",XLOOKUP($F560,Productos!$A:$A,Productos!AT:AT,"Revisar"),"")</f>
        <v/>
      </c>
      <c r="BB560" s="179" t="str">
        <f t="array" ref="BB560">IF($F560&lt;&gt;"", XLOOKUP($F560,Productos!$A$2:$A1001,Productos!AU$2:AU1001,"")*$G560,"")</f>
        <v/>
      </c>
      <c r="BC560" s="179" t="str">
        <f t="array" ref="BC560">IF($F560&lt;&gt;"",XLOOKUP($F560,Productos!$A:$A,Productos!AV:AV,"Revisar"),"")</f>
        <v/>
      </c>
      <c r="BD560" s="179" t="str">
        <f t="array" ref="BD560">IF($F560&lt;&gt;"", XLOOKUP($F560,Productos!$A$2:$A1001,Productos!AW$2:AW1001,"")*$G560,"")</f>
        <v/>
      </c>
      <c r="BE560" s="179" t="str">
        <f t="array" ref="BE560">IF($F560&lt;&gt;"",XLOOKUP($F560,Productos!$A:$A,Productos!AX:AX,"Revisar"),"")</f>
        <v/>
      </c>
      <c r="BF560" s="179" t="str">
        <f t="array" ref="BF560">IF($F560&lt;&gt;"", XLOOKUP($F560,Productos!$A$2:$A1001,Productos!AY$2:AY1001,"")*$G560,"")</f>
        <v/>
      </c>
      <c r="BG560" s="179" t="str">
        <f t="array" ref="BG560">IF($F560&lt;&gt;"",XLOOKUP($F560,Productos!$A:$A,Productos!AZ:AZ,"Revisar"),"")</f>
        <v/>
      </c>
      <c r="BH560" s="179" t="str">
        <f t="array" ref="BH560">IF($F560&lt;&gt;"", XLOOKUP($F560,Productos!$A$2:$A1001,Productos!BA$2:BA1001,"")*$G560,"")</f>
        <v/>
      </c>
      <c r="BI560" s="179" t="str">
        <f t="array" ref="BI560">IF($F560&lt;&gt;"",XLOOKUP($F560,Productos!$A:$A,Productos!BB:BB,"Revisar"),"")</f>
        <v/>
      </c>
      <c r="BJ560" s="179" t="str">
        <f t="array" ref="BJ560">IF($F560&lt;&gt;"", XLOOKUP($F560,Productos!$A$2:$A1001,Productos!BC$2:BC1001,"")*$G560,"")</f>
        <v/>
      </c>
      <c r="BK560" s="179" t="str">
        <f t="array" ref="BK560">IF($F560&lt;&gt;"",XLOOKUP($F560,Productos!$A:$A,Productos!BD:BD,"Revisar"),"")</f>
        <v/>
      </c>
      <c r="BL560" s="179" t="str">
        <f t="array" ref="BL560">IF($F560&lt;&gt;"", XLOOKUP($F560,Productos!$A$2:$A1001,Productos!BE$2:BE1001,"")*$G560,"")</f>
        <v/>
      </c>
      <c r="BM560" s="179" t="str">
        <f t="array" ref="BM560">IF($F560&lt;&gt;"",XLOOKUP($F560,Productos!$A:$A,Productos!BF:BF,"Revisar"),"")</f>
        <v/>
      </c>
      <c r="BN560" s="179" t="str">
        <f t="array" ref="BN560">IF($F560&lt;&gt;"", XLOOKUP($F560,Productos!$A$2:$A1001,Productos!BG$2:BG1001,"")*$G560,"")</f>
        <v/>
      </c>
      <c r="BO560" s="179" t="str">
        <f t="array" ref="BO560">IF($F560&lt;&gt;"",XLOOKUP($F560,Productos!$A:$A,Productos!BH:BH,"Revisar"),"")</f>
        <v/>
      </c>
      <c r="BP560" s="179" t="str">
        <f t="array" ref="BP560">IF($F560&lt;&gt;"", XLOOKUP($F560,Productos!$A$2:$A1001,Productos!BI$2:BI1001,"")*$G560,"")</f>
        <v/>
      </c>
      <c r="BQ560" s="179" t="str">
        <f t="array" ref="BQ560">IF($F560&lt;&gt;"",XLOOKUP($F560,Productos!$A:$A,Productos!BJ:BJ,"Revisar"),"")</f>
        <v/>
      </c>
      <c r="BR560" s="179" t="str">
        <f t="array" ref="BR560">IF($F560&lt;&gt;"", XLOOKUP($F560,Productos!$A$2:$A1001,Productos!BK$2:BK1001,"")*$G560,"")</f>
        <v/>
      </c>
      <c r="BS560" s="179" t="str">
        <f t="array" ref="BS560">IF($F560&lt;&gt;"",XLOOKUP($F560,Productos!$A:$A,Productos!BL:BL,"Revisar"),"")</f>
        <v/>
      </c>
      <c r="BT560" s="179" t="str">
        <f t="array" ref="BT560">IF($F560&lt;&gt;"", XLOOKUP($F560,Productos!$A$2:$A1001,Productos!BM$2:BM1001,"")*$G560,"")</f>
        <v/>
      </c>
      <c r="BU560" s="179" t="str">
        <f t="array" ref="BU560">IF($F560&lt;&gt;"",XLOOKUP($F560,Productos!$A:$A,Productos!BN:BN,"Revisar"),"")</f>
        <v/>
      </c>
      <c r="BV560" s="179" t="str">
        <f t="array" ref="BV560">IF($F560&lt;&gt;"", XLOOKUP($F560,Productos!$A$2:$A1001,Productos!BO$2:BO1001,"")*$G560,"")</f>
        <v/>
      </c>
      <c r="BW560" s="179" t="str">
        <f t="array" ref="BW560">IF($F560&lt;&gt;"",XLOOKUP($F560,Productos!$A:$A,Productos!BP:BP,"Revisar"),"")</f>
        <v/>
      </c>
      <c r="BX560" s="179" t="str">
        <f t="array" ref="BX560">IF($F560&lt;&gt;"", XLOOKUP($F560,Productos!$A$2:$A1001,Productos!BQ$2:BQ1001,"")*$G560,"")</f>
        <v/>
      </c>
      <c r="BY560" s="179" t="str">
        <f t="array" ref="BY560">IF($F560&lt;&gt;"",XLOOKUP($F560,Productos!$A:$A,Productos!BR:BR,"Revisar"),"")</f>
        <v/>
      </c>
      <c r="BZ560" s="179" t="str">
        <f t="array" ref="BZ560">IF($F560&lt;&gt;"", XLOOKUP($F560,Productos!$A$2:$A1001,Productos!BS$2:BS1001,"")*$G560,"")</f>
        <v/>
      </c>
    </row>
    <row r="561">
      <c r="A561" s="188"/>
      <c r="B561" s="189"/>
      <c r="C561" s="190"/>
      <c r="D561" s="190"/>
      <c r="E561" s="191"/>
      <c r="F561" s="186"/>
      <c r="G561" s="192"/>
      <c r="H561" s="9"/>
      <c r="I561" s="179" t="str">
        <f t="array" ref="I561">IF($F561&lt;&gt;"",XLOOKUP($F561,Productos!$A:$A,Productos!B:B,"Revisar"),"")</f>
        <v/>
      </c>
      <c r="J561" s="179" t="str">
        <f t="array" ref="J561">IF($F561&lt;&gt;"", XLOOKUP($F561,Productos!$A$2:$A1001,Productos!C$2:C1001,"")*$G561,"")</f>
        <v/>
      </c>
      <c r="K561" s="179" t="str">
        <f t="array" ref="K561">IF($F561&lt;&gt;"",XLOOKUP($F561,Productos!$A:$A,Productos!D:D,"Revisar"),"")</f>
        <v/>
      </c>
      <c r="L561" s="179" t="str">
        <f t="array" ref="L561">IF($F561&lt;&gt;"", XLOOKUP($F561,Productos!$A$2:$A1001,Productos!E$2:E1001,"")*$G561,"")</f>
        <v/>
      </c>
      <c r="M561" s="179" t="str">
        <f t="array" ref="M561">IF($F561&lt;&gt;"",XLOOKUP($F561,Productos!$A:$A,Productos!F:F,"Revisar"),"")</f>
        <v/>
      </c>
      <c r="N561" s="179" t="str">
        <f t="array" ref="N561">IF($F561&lt;&gt;"", XLOOKUP($F561,Productos!$A$2:$A1001,Productos!G$2:G1001,"")*$G561,"")</f>
        <v/>
      </c>
      <c r="O561" s="179" t="str">
        <f t="array" ref="O561">IF($F561&lt;&gt;"",XLOOKUP($F561,Productos!$A:$A,Productos!H:H,"Revisar"),"")</f>
        <v/>
      </c>
      <c r="P561" s="179" t="str">
        <f t="array" ref="P561">IF($F561&lt;&gt;"", XLOOKUP($F561,Productos!$A$2:$A1001,Productos!I$2:I1001,"")*$G561,"")</f>
        <v/>
      </c>
      <c r="Q561" s="179" t="str">
        <f t="array" ref="Q561">IF($F561&lt;&gt;"",XLOOKUP($F561,Productos!$A:$A,Productos!J:J,"Revisar"),"")</f>
        <v/>
      </c>
      <c r="R561" s="179" t="str">
        <f t="array" ref="R561">IF($F561&lt;&gt;"", XLOOKUP($F561,Productos!$A$2:$A1001,Productos!K$2:K1001,"")*$G561,"")</f>
        <v/>
      </c>
      <c r="S561" s="179" t="str">
        <f t="array" ref="S561">IF($F561&lt;&gt;"",XLOOKUP($F561,Productos!$A:$A,Productos!L:L,"Revisar"),"")</f>
        <v/>
      </c>
      <c r="T561" s="179" t="str">
        <f t="array" ref="T561">IF($F561&lt;&gt;"", XLOOKUP($F561,Productos!$A$2:$A1001,Productos!M$2:M1001,"")*$G561,"")</f>
        <v/>
      </c>
      <c r="U561" s="179" t="str">
        <f t="array" ref="U561">IF($F561&lt;&gt;"",XLOOKUP($F561,Productos!$A:$A,Productos!N:N,"Revisar"),"")</f>
        <v/>
      </c>
      <c r="V561" s="179" t="str">
        <f t="array" ref="V561">IF($F561&lt;&gt;"", XLOOKUP($F561,Productos!$A$2:$A1001,Productos!O$2:O1001,"")*$G561,"")</f>
        <v/>
      </c>
      <c r="W561" s="179" t="str">
        <f t="array" ref="W561">IF($F561&lt;&gt;"",XLOOKUP($F561,Productos!$A:$A,Productos!P:P,"Revisar"),"")</f>
        <v/>
      </c>
      <c r="X561" s="179" t="str">
        <f t="array" ref="X561">IF($F561&lt;&gt;"", XLOOKUP($F561,Productos!$A$2:$A1001,Productos!Q$2:Q1001,"")*$G561,"")</f>
        <v/>
      </c>
      <c r="Y561" s="179" t="str">
        <f t="array" ref="Y561">IF($F561&lt;&gt;"",XLOOKUP($F561,Productos!$A:$A,Productos!R:R,"Revisar"),"")</f>
        <v/>
      </c>
      <c r="Z561" s="179" t="str">
        <f t="array" ref="Z561">IF($F561&lt;&gt;"", XLOOKUP($F561,Productos!$A$2:$A1001,Productos!S$2:S1001,"")*$G561,"")</f>
        <v/>
      </c>
      <c r="AA561" s="179" t="str">
        <f t="array" ref="AA561">IF($F561&lt;&gt;"",XLOOKUP($F561,Productos!$A:$A,Productos!T:T,"Revisar"),"")</f>
        <v/>
      </c>
      <c r="AB561" s="179" t="str">
        <f t="array" ref="AB561">IF($F561&lt;&gt;"", XLOOKUP($F561,Productos!$A$2:$A1001,Productos!U$2:U1001,"")*$G561,"")</f>
        <v/>
      </c>
      <c r="AC561" s="179" t="str">
        <f t="array" ref="AC561">IF($F561&lt;&gt;"",XLOOKUP($F561,Productos!$A:$A,Productos!V:V,"Revisar"),"")</f>
        <v/>
      </c>
      <c r="AD561" s="179" t="str">
        <f t="array" ref="AD561">IF($F561&lt;&gt;"", XLOOKUP($F561,Productos!$A$2:$A1001,Productos!W$2:W1001,"")*$G561,"")</f>
        <v/>
      </c>
      <c r="AE561" s="179" t="str">
        <f t="array" ref="AE561">IF($F561&lt;&gt;"",XLOOKUP($F561,Productos!$A:$A,Productos!X:X,"Revisar"),"")</f>
        <v/>
      </c>
      <c r="AF561" s="179" t="str">
        <f t="array" ref="AF561">IF($F561&lt;&gt;"", XLOOKUP($F561,Productos!$A$2:$A1001,Productos!Y$2:Y1001,"")*$G561,"")</f>
        <v/>
      </c>
      <c r="AG561" s="179" t="str">
        <f t="array" ref="AG561">IF($F561&lt;&gt;"",XLOOKUP($F561,Productos!$A:$A,Productos!Z:Z,"Revisar"),"")</f>
        <v/>
      </c>
      <c r="AH561" s="179" t="str">
        <f t="array" ref="AH561">IF($F561&lt;&gt;"", XLOOKUP($F561,Productos!$A$2:$A1001,Productos!AA$2:AA1001,"")*$G561,"")</f>
        <v/>
      </c>
      <c r="AI561" s="179" t="str">
        <f t="array" ref="AI561">IF($F561&lt;&gt;"",XLOOKUP($F561,Productos!$A:$A,Productos!AB:AB,"Revisar"),"")</f>
        <v/>
      </c>
      <c r="AJ561" s="179" t="str">
        <f t="array" ref="AJ561">IF($F561&lt;&gt;"", XLOOKUP($F561,Productos!$A$2:$A1001,Productos!AC$2:AC1001,"")*$G561,"")</f>
        <v/>
      </c>
      <c r="AK561" s="179" t="str">
        <f t="array" ref="AK561">IF($F561&lt;&gt;"",XLOOKUP($F561,Productos!$A:$A,Productos!AD:AD,"Revisar"),"")</f>
        <v/>
      </c>
      <c r="AL561" s="179" t="str">
        <f t="array" ref="AL561">IF($F561&lt;&gt;"", XLOOKUP($F561,Productos!$A$2:$A1001,Productos!AE$2:AE1001,"")*$G561,"")</f>
        <v/>
      </c>
      <c r="AM561" s="179" t="str">
        <f t="array" ref="AM561">IF($F561&lt;&gt;"",XLOOKUP($F561,Productos!$A:$A,Productos!AF:AF,"Revisar"),"")</f>
        <v/>
      </c>
      <c r="AN561" s="179" t="str">
        <f t="array" ref="AN561">IF($F561&lt;&gt;"", XLOOKUP($F561,Productos!$A$2:$A1001,Productos!AG$2:AG1001,"")*$G561,"")</f>
        <v/>
      </c>
      <c r="AO561" s="179" t="str">
        <f t="array" ref="AO561">IF($F561&lt;&gt;"",XLOOKUP($F561,Productos!$A:$A,Productos!AH:AH,"Revisar"),"")</f>
        <v/>
      </c>
      <c r="AP561" s="179" t="str">
        <f t="array" ref="AP561">IF($F561&lt;&gt;"", XLOOKUP($F561,Productos!$A$2:$A1001,Productos!AI$2:AI1001,"")*$G561,"")</f>
        <v/>
      </c>
      <c r="AQ561" s="179" t="str">
        <f t="array" ref="AQ561">IF($F561&lt;&gt;"",XLOOKUP($F561,Productos!$A:$A,Productos!AJ:AJ,"Revisar"),"")</f>
        <v/>
      </c>
      <c r="AR561" s="179" t="str">
        <f t="array" ref="AR561">IF($F561&lt;&gt;"", XLOOKUP($F561,Productos!$A$2:$A1001,Productos!AK$2:AK1001,"")*$G561,"")</f>
        <v/>
      </c>
      <c r="AS561" s="179" t="str">
        <f t="array" ref="AS561">IF($F561&lt;&gt;"",XLOOKUP($F561,Productos!$A:$A,Productos!AL:AL,"Revisar"),"")</f>
        <v/>
      </c>
      <c r="AT561" s="179" t="str">
        <f t="array" ref="AT561">IF($F561&lt;&gt;"", XLOOKUP($F561,Productos!$A$2:$A1001,Productos!AM$2:AM1001,"")*$G561,"")</f>
        <v/>
      </c>
      <c r="AU561" s="179" t="str">
        <f t="array" ref="AU561">IF($F561&lt;&gt;"",XLOOKUP($F561,Productos!$A:$A,Productos!AN:AN,"Revisar"),"")</f>
        <v/>
      </c>
      <c r="AV561" s="179" t="str">
        <f t="array" ref="AV561">IF($F561&lt;&gt;"", XLOOKUP($F561,Productos!$A$2:$A1001,Productos!AO$2:AO1001,"")*$G561,"")</f>
        <v/>
      </c>
      <c r="AW561" s="179" t="str">
        <f t="array" ref="AW561">IF($F561&lt;&gt;"",XLOOKUP($F561,Productos!$A:$A,Productos!AP:AP,"Revisar"),"")</f>
        <v/>
      </c>
      <c r="AX561" s="179" t="str">
        <f t="array" ref="AX561">IF($F561&lt;&gt;"", XLOOKUP($F561,Productos!$A$2:$A1001,Productos!AQ$2:AQ1001,"")*$G561,"")</f>
        <v/>
      </c>
      <c r="AY561" s="179" t="str">
        <f t="array" ref="AY561">IF($F561&lt;&gt;"",XLOOKUP($F561,Productos!$A:$A,Productos!AR:AR,"Revisar"),"")</f>
        <v/>
      </c>
      <c r="AZ561" s="179" t="str">
        <f t="array" ref="AZ561">IF($F561&lt;&gt;"", XLOOKUP($F561,Productos!$A$2:$A1001,Productos!AS$2:AS1001,"")*$G561,"")</f>
        <v/>
      </c>
      <c r="BA561" s="179" t="str">
        <f t="array" ref="BA561">IF($F561&lt;&gt;"",XLOOKUP($F561,Productos!$A:$A,Productos!AT:AT,"Revisar"),"")</f>
        <v/>
      </c>
      <c r="BB561" s="179" t="str">
        <f t="array" ref="BB561">IF($F561&lt;&gt;"", XLOOKUP($F561,Productos!$A$2:$A1001,Productos!AU$2:AU1001,"")*$G561,"")</f>
        <v/>
      </c>
      <c r="BC561" s="179" t="str">
        <f t="array" ref="BC561">IF($F561&lt;&gt;"",XLOOKUP($F561,Productos!$A:$A,Productos!AV:AV,"Revisar"),"")</f>
        <v/>
      </c>
      <c r="BD561" s="179" t="str">
        <f t="array" ref="BD561">IF($F561&lt;&gt;"", XLOOKUP($F561,Productos!$A$2:$A1001,Productos!AW$2:AW1001,"")*$G561,"")</f>
        <v/>
      </c>
      <c r="BE561" s="179" t="str">
        <f t="array" ref="BE561">IF($F561&lt;&gt;"",XLOOKUP($F561,Productos!$A:$A,Productos!AX:AX,"Revisar"),"")</f>
        <v/>
      </c>
      <c r="BF561" s="179" t="str">
        <f t="array" ref="BF561">IF($F561&lt;&gt;"", XLOOKUP($F561,Productos!$A$2:$A1001,Productos!AY$2:AY1001,"")*$G561,"")</f>
        <v/>
      </c>
      <c r="BG561" s="179" t="str">
        <f t="array" ref="BG561">IF($F561&lt;&gt;"",XLOOKUP($F561,Productos!$A:$A,Productos!AZ:AZ,"Revisar"),"")</f>
        <v/>
      </c>
      <c r="BH561" s="179" t="str">
        <f t="array" ref="BH561">IF($F561&lt;&gt;"", XLOOKUP($F561,Productos!$A$2:$A1001,Productos!BA$2:BA1001,"")*$G561,"")</f>
        <v/>
      </c>
      <c r="BI561" s="179" t="str">
        <f t="array" ref="BI561">IF($F561&lt;&gt;"",XLOOKUP($F561,Productos!$A:$A,Productos!BB:BB,"Revisar"),"")</f>
        <v/>
      </c>
      <c r="BJ561" s="179" t="str">
        <f t="array" ref="BJ561">IF($F561&lt;&gt;"", XLOOKUP($F561,Productos!$A$2:$A1001,Productos!BC$2:BC1001,"")*$G561,"")</f>
        <v/>
      </c>
      <c r="BK561" s="179" t="str">
        <f t="array" ref="BK561">IF($F561&lt;&gt;"",XLOOKUP($F561,Productos!$A:$A,Productos!BD:BD,"Revisar"),"")</f>
        <v/>
      </c>
      <c r="BL561" s="179" t="str">
        <f t="array" ref="BL561">IF($F561&lt;&gt;"", XLOOKUP($F561,Productos!$A$2:$A1001,Productos!BE$2:BE1001,"")*$G561,"")</f>
        <v/>
      </c>
      <c r="BM561" s="179" t="str">
        <f t="array" ref="BM561">IF($F561&lt;&gt;"",XLOOKUP($F561,Productos!$A:$A,Productos!BF:BF,"Revisar"),"")</f>
        <v/>
      </c>
      <c r="BN561" s="179" t="str">
        <f t="array" ref="BN561">IF($F561&lt;&gt;"", XLOOKUP($F561,Productos!$A$2:$A1001,Productos!BG$2:BG1001,"")*$G561,"")</f>
        <v/>
      </c>
      <c r="BO561" s="179" t="str">
        <f t="array" ref="BO561">IF($F561&lt;&gt;"",XLOOKUP($F561,Productos!$A:$A,Productos!BH:BH,"Revisar"),"")</f>
        <v/>
      </c>
      <c r="BP561" s="179" t="str">
        <f t="array" ref="BP561">IF($F561&lt;&gt;"", XLOOKUP($F561,Productos!$A$2:$A1001,Productos!BI$2:BI1001,"")*$G561,"")</f>
        <v/>
      </c>
      <c r="BQ561" s="179" t="str">
        <f t="array" ref="BQ561">IF($F561&lt;&gt;"",XLOOKUP($F561,Productos!$A:$A,Productos!BJ:BJ,"Revisar"),"")</f>
        <v/>
      </c>
      <c r="BR561" s="179" t="str">
        <f t="array" ref="BR561">IF($F561&lt;&gt;"", XLOOKUP($F561,Productos!$A$2:$A1001,Productos!BK$2:BK1001,"")*$G561,"")</f>
        <v/>
      </c>
      <c r="BS561" s="179" t="str">
        <f t="array" ref="BS561">IF($F561&lt;&gt;"",XLOOKUP($F561,Productos!$A:$A,Productos!BL:BL,"Revisar"),"")</f>
        <v/>
      </c>
      <c r="BT561" s="179" t="str">
        <f t="array" ref="BT561">IF($F561&lt;&gt;"", XLOOKUP($F561,Productos!$A$2:$A1001,Productos!BM$2:BM1001,"")*$G561,"")</f>
        <v/>
      </c>
      <c r="BU561" s="179" t="str">
        <f t="array" ref="BU561">IF($F561&lt;&gt;"",XLOOKUP($F561,Productos!$A:$A,Productos!BN:BN,"Revisar"),"")</f>
        <v/>
      </c>
      <c r="BV561" s="179" t="str">
        <f t="array" ref="BV561">IF($F561&lt;&gt;"", XLOOKUP($F561,Productos!$A$2:$A1001,Productos!BO$2:BO1001,"")*$G561,"")</f>
        <v/>
      </c>
      <c r="BW561" s="179" t="str">
        <f t="array" ref="BW561">IF($F561&lt;&gt;"",XLOOKUP($F561,Productos!$A:$A,Productos!BP:BP,"Revisar"),"")</f>
        <v/>
      </c>
      <c r="BX561" s="179" t="str">
        <f t="array" ref="BX561">IF($F561&lt;&gt;"", XLOOKUP($F561,Productos!$A$2:$A1001,Productos!BQ$2:BQ1001,"")*$G561,"")</f>
        <v/>
      </c>
      <c r="BY561" s="179" t="str">
        <f t="array" ref="BY561">IF($F561&lt;&gt;"",XLOOKUP($F561,Productos!$A:$A,Productos!BR:BR,"Revisar"),"")</f>
        <v/>
      </c>
      <c r="BZ561" s="179" t="str">
        <f t="array" ref="BZ561">IF($F561&lt;&gt;"", XLOOKUP($F561,Productos!$A$2:$A1001,Productos!BS$2:BS1001,"")*$G561,"")</f>
        <v/>
      </c>
    </row>
    <row r="562">
      <c r="A562" s="188"/>
      <c r="B562" s="189"/>
      <c r="C562" s="190"/>
      <c r="D562" s="190"/>
      <c r="E562" s="191"/>
      <c r="F562" s="186"/>
      <c r="G562" s="192"/>
      <c r="H562" s="9"/>
      <c r="I562" s="179" t="str">
        <f t="array" ref="I562">IF($F562&lt;&gt;"",XLOOKUP($F562,Productos!$A:$A,Productos!B:B,"Revisar"),"")</f>
        <v/>
      </c>
      <c r="J562" s="179" t="str">
        <f t="array" ref="J562">IF($F562&lt;&gt;"", XLOOKUP($F562,Productos!$A$2:$A1001,Productos!C$2:C1001,"")*$G562,"")</f>
        <v/>
      </c>
      <c r="K562" s="179" t="str">
        <f t="array" ref="K562">IF($F562&lt;&gt;"",XLOOKUP($F562,Productos!$A:$A,Productos!D:D,"Revisar"),"")</f>
        <v/>
      </c>
      <c r="L562" s="179" t="str">
        <f t="array" ref="L562">IF($F562&lt;&gt;"", XLOOKUP($F562,Productos!$A$2:$A1001,Productos!E$2:E1001,"")*$G562,"")</f>
        <v/>
      </c>
      <c r="M562" s="179" t="str">
        <f t="array" ref="M562">IF($F562&lt;&gt;"",XLOOKUP($F562,Productos!$A:$A,Productos!F:F,"Revisar"),"")</f>
        <v/>
      </c>
      <c r="N562" s="179" t="str">
        <f t="array" ref="N562">IF($F562&lt;&gt;"", XLOOKUP($F562,Productos!$A$2:$A1001,Productos!G$2:G1001,"")*$G562,"")</f>
        <v/>
      </c>
      <c r="O562" s="179" t="str">
        <f t="array" ref="O562">IF($F562&lt;&gt;"",XLOOKUP($F562,Productos!$A:$A,Productos!H:H,"Revisar"),"")</f>
        <v/>
      </c>
      <c r="P562" s="179" t="str">
        <f t="array" ref="P562">IF($F562&lt;&gt;"", XLOOKUP($F562,Productos!$A$2:$A1001,Productos!I$2:I1001,"")*$G562,"")</f>
        <v/>
      </c>
      <c r="Q562" s="179" t="str">
        <f t="array" ref="Q562">IF($F562&lt;&gt;"",XLOOKUP($F562,Productos!$A:$A,Productos!J:J,"Revisar"),"")</f>
        <v/>
      </c>
      <c r="R562" s="179" t="str">
        <f t="array" ref="R562">IF($F562&lt;&gt;"", XLOOKUP($F562,Productos!$A$2:$A1001,Productos!K$2:K1001,"")*$G562,"")</f>
        <v/>
      </c>
      <c r="S562" s="179" t="str">
        <f t="array" ref="S562">IF($F562&lt;&gt;"",XLOOKUP($F562,Productos!$A:$A,Productos!L:L,"Revisar"),"")</f>
        <v/>
      </c>
      <c r="T562" s="179" t="str">
        <f t="array" ref="T562">IF($F562&lt;&gt;"", XLOOKUP($F562,Productos!$A$2:$A1001,Productos!M$2:M1001,"")*$G562,"")</f>
        <v/>
      </c>
      <c r="U562" s="179" t="str">
        <f t="array" ref="U562">IF($F562&lt;&gt;"",XLOOKUP($F562,Productos!$A:$A,Productos!N:N,"Revisar"),"")</f>
        <v/>
      </c>
      <c r="V562" s="179" t="str">
        <f t="array" ref="V562">IF($F562&lt;&gt;"", XLOOKUP($F562,Productos!$A$2:$A1001,Productos!O$2:O1001,"")*$G562,"")</f>
        <v/>
      </c>
      <c r="W562" s="179" t="str">
        <f t="array" ref="W562">IF($F562&lt;&gt;"",XLOOKUP($F562,Productos!$A:$A,Productos!P:P,"Revisar"),"")</f>
        <v/>
      </c>
      <c r="X562" s="179" t="str">
        <f t="array" ref="X562">IF($F562&lt;&gt;"", XLOOKUP($F562,Productos!$A$2:$A1001,Productos!Q$2:Q1001,"")*$G562,"")</f>
        <v/>
      </c>
      <c r="Y562" s="179" t="str">
        <f t="array" ref="Y562">IF($F562&lt;&gt;"",XLOOKUP($F562,Productos!$A:$A,Productos!R:R,"Revisar"),"")</f>
        <v/>
      </c>
      <c r="Z562" s="179" t="str">
        <f t="array" ref="Z562">IF($F562&lt;&gt;"", XLOOKUP($F562,Productos!$A$2:$A1001,Productos!S$2:S1001,"")*$G562,"")</f>
        <v/>
      </c>
      <c r="AA562" s="179" t="str">
        <f t="array" ref="AA562">IF($F562&lt;&gt;"",XLOOKUP($F562,Productos!$A:$A,Productos!T:T,"Revisar"),"")</f>
        <v/>
      </c>
      <c r="AB562" s="179" t="str">
        <f t="array" ref="AB562">IF($F562&lt;&gt;"", XLOOKUP($F562,Productos!$A$2:$A1001,Productos!U$2:U1001,"")*$G562,"")</f>
        <v/>
      </c>
      <c r="AC562" s="179" t="str">
        <f t="array" ref="AC562">IF($F562&lt;&gt;"",XLOOKUP($F562,Productos!$A:$A,Productos!V:V,"Revisar"),"")</f>
        <v/>
      </c>
      <c r="AD562" s="179" t="str">
        <f t="array" ref="AD562">IF($F562&lt;&gt;"", XLOOKUP($F562,Productos!$A$2:$A1001,Productos!W$2:W1001,"")*$G562,"")</f>
        <v/>
      </c>
      <c r="AE562" s="179" t="str">
        <f t="array" ref="AE562">IF($F562&lt;&gt;"",XLOOKUP($F562,Productos!$A:$A,Productos!X:X,"Revisar"),"")</f>
        <v/>
      </c>
      <c r="AF562" s="179" t="str">
        <f t="array" ref="AF562">IF($F562&lt;&gt;"", XLOOKUP($F562,Productos!$A$2:$A1001,Productos!Y$2:Y1001,"")*$G562,"")</f>
        <v/>
      </c>
      <c r="AG562" s="179" t="str">
        <f t="array" ref="AG562">IF($F562&lt;&gt;"",XLOOKUP($F562,Productos!$A:$A,Productos!Z:Z,"Revisar"),"")</f>
        <v/>
      </c>
      <c r="AH562" s="179" t="str">
        <f t="array" ref="AH562">IF($F562&lt;&gt;"", XLOOKUP($F562,Productos!$A$2:$A1001,Productos!AA$2:AA1001,"")*$G562,"")</f>
        <v/>
      </c>
      <c r="AI562" s="179" t="str">
        <f t="array" ref="AI562">IF($F562&lt;&gt;"",XLOOKUP($F562,Productos!$A:$A,Productos!AB:AB,"Revisar"),"")</f>
        <v/>
      </c>
      <c r="AJ562" s="179" t="str">
        <f t="array" ref="AJ562">IF($F562&lt;&gt;"", XLOOKUP($F562,Productos!$A$2:$A1001,Productos!AC$2:AC1001,"")*$G562,"")</f>
        <v/>
      </c>
      <c r="AK562" s="179" t="str">
        <f t="array" ref="AK562">IF($F562&lt;&gt;"",XLOOKUP($F562,Productos!$A:$A,Productos!AD:AD,"Revisar"),"")</f>
        <v/>
      </c>
      <c r="AL562" s="179" t="str">
        <f t="array" ref="AL562">IF($F562&lt;&gt;"", XLOOKUP($F562,Productos!$A$2:$A1001,Productos!AE$2:AE1001,"")*$G562,"")</f>
        <v/>
      </c>
      <c r="AM562" s="179" t="str">
        <f t="array" ref="AM562">IF($F562&lt;&gt;"",XLOOKUP($F562,Productos!$A:$A,Productos!AF:AF,"Revisar"),"")</f>
        <v/>
      </c>
      <c r="AN562" s="179" t="str">
        <f t="array" ref="AN562">IF($F562&lt;&gt;"", XLOOKUP($F562,Productos!$A$2:$A1001,Productos!AG$2:AG1001,"")*$G562,"")</f>
        <v/>
      </c>
      <c r="AO562" s="179" t="str">
        <f t="array" ref="AO562">IF($F562&lt;&gt;"",XLOOKUP($F562,Productos!$A:$A,Productos!AH:AH,"Revisar"),"")</f>
        <v/>
      </c>
      <c r="AP562" s="179" t="str">
        <f t="array" ref="AP562">IF($F562&lt;&gt;"", XLOOKUP($F562,Productos!$A$2:$A1001,Productos!AI$2:AI1001,"")*$G562,"")</f>
        <v/>
      </c>
      <c r="AQ562" s="179" t="str">
        <f t="array" ref="AQ562">IF($F562&lt;&gt;"",XLOOKUP($F562,Productos!$A:$A,Productos!AJ:AJ,"Revisar"),"")</f>
        <v/>
      </c>
      <c r="AR562" s="179" t="str">
        <f t="array" ref="AR562">IF($F562&lt;&gt;"", XLOOKUP($F562,Productos!$A$2:$A1001,Productos!AK$2:AK1001,"")*$G562,"")</f>
        <v/>
      </c>
      <c r="AS562" s="179" t="str">
        <f t="array" ref="AS562">IF($F562&lt;&gt;"",XLOOKUP($F562,Productos!$A:$A,Productos!AL:AL,"Revisar"),"")</f>
        <v/>
      </c>
      <c r="AT562" s="179" t="str">
        <f t="array" ref="AT562">IF($F562&lt;&gt;"", XLOOKUP($F562,Productos!$A$2:$A1001,Productos!AM$2:AM1001,"")*$G562,"")</f>
        <v/>
      </c>
      <c r="AU562" s="179" t="str">
        <f t="array" ref="AU562">IF($F562&lt;&gt;"",XLOOKUP($F562,Productos!$A:$A,Productos!AN:AN,"Revisar"),"")</f>
        <v/>
      </c>
      <c r="AV562" s="179" t="str">
        <f t="array" ref="AV562">IF($F562&lt;&gt;"", XLOOKUP($F562,Productos!$A$2:$A1001,Productos!AO$2:AO1001,"")*$G562,"")</f>
        <v/>
      </c>
      <c r="AW562" s="179" t="str">
        <f t="array" ref="AW562">IF($F562&lt;&gt;"",XLOOKUP($F562,Productos!$A:$A,Productos!AP:AP,"Revisar"),"")</f>
        <v/>
      </c>
      <c r="AX562" s="179" t="str">
        <f t="array" ref="AX562">IF($F562&lt;&gt;"", XLOOKUP($F562,Productos!$A$2:$A1001,Productos!AQ$2:AQ1001,"")*$G562,"")</f>
        <v/>
      </c>
      <c r="AY562" s="179" t="str">
        <f t="array" ref="AY562">IF($F562&lt;&gt;"",XLOOKUP($F562,Productos!$A:$A,Productos!AR:AR,"Revisar"),"")</f>
        <v/>
      </c>
      <c r="AZ562" s="179" t="str">
        <f t="array" ref="AZ562">IF($F562&lt;&gt;"", XLOOKUP($F562,Productos!$A$2:$A1001,Productos!AS$2:AS1001,"")*$G562,"")</f>
        <v/>
      </c>
      <c r="BA562" s="179" t="str">
        <f t="array" ref="BA562">IF($F562&lt;&gt;"",XLOOKUP($F562,Productos!$A:$A,Productos!AT:AT,"Revisar"),"")</f>
        <v/>
      </c>
      <c r="BB562" s="179" t="str">
        <f t="array" ref="BB562">IF($F562&lt;&gt;"", XLOOKUP($F562,Productos!$A$2:$A1001,Productos!AU$2:AU1001,"")*$G562,"")</f>
        <v/>
      </c>
      <c r="BC562" s="179" t="str">
        <f t="array" ref="BC562">IF($F562&lt;&gt;"",XLOOKUP($F562,Productos!$A:$A,Productos!AV:AV,"Revisar"),"")</f>
        <v/>
      </c>
      <c r="BD562" s="179" t="str">
        <f t="array" ref="BD562">IF($F562&lt;&gt;"", XLOOKUP($F562,Productos!$A$2:$A1001,Productos!AW$2:AW1001,"")*$G562,"")</f>
        <v/>
      </c>
      <c r="BE562" s="179" t="str">
        <f t="array" ref="BE562">IF($F562&lt;&gt;"",XLOOKUP($F562,Productos!$A:$A,Productos!AX:AX,"Revisar"),"")</f>
        <v/>
      </c>
      <c r="BF562" s="179" t="str">
        <f t="array" ref="BF562">IF($F562&lt;&gt;"", XLOOKUP($F562,Productos!$A$2:$A1001,Productos!AY$2:AY1001,"")*$G562,"")</f>
        <v/>
      </c>
      <c r="BG562" s="179" t="str">
        <f t="array" ref="BG562">IF($F562&lt;&gt;"",XLOOKUP($F562,Productos!$A:$A,Productos!AZ:AZ,"Revisar"),"")</f>
        <v/>
      </c>
      <c r="BH562" s="179" t="str">
        <f t="array" ref="BH562">IF($F562&lt;&gt;"", XLOOKUP($F562,Productos!$A$2:$A1001,Productos!BA$2:BA1001,"")*$G562,"")</f>
        <v/>
      </c>
      <c r="BI562" s="179" t="str">
        <f t="array" ref="BI562">IF($F562&lt;&gt;"",XLOOKUP($F562,Productos!$A:$A,Productos!BB:BB,"Revisar"),"")</f>
        <v/>
      </c>
      <c r="BJ562" s="179" t="str">
        <f t="array" ref="BJ562">IF($F562&lt;&gt;"", XLOOKUP($F562,Productos!$A$2:$A1001,Productos!BC$2:BC1001,"")*$G562,"")</f>
        <v/>
      </c>
      <c r="BK562" s="179" t="str">
        <f t="array" ref="BK562">IF($F562&lt;&gt;"",XLOOKUP($F562,Productos!$A:$A,Productos!BD:BD,"Revisar"),"")</f>
        <v/>
      </c>
      <c r="BL562" s="179" t="str">
        <f t="array" ref="BL562">IF($F562&lt;&gt;"", XLOOKUP($F562,Productos!$A$2:$A1001,Productos!BE$2:BE1001,"")*$G562,"")</f>
        <v/>
      </c>
      <c r="BM562" s="179" t="str">
        <f t="array" ref="BM562">IF($F562&lt;&gt;"",XLOOKUP($F562,Productos!$A:$A,Productos!BF:BF,"Revisar"),"")</f>
        <v/>
      </c>
      <c r="BN562" s="179" t="str">
        <f t="array" ref="BN562">IF($F562&lt;&gt;"", XLOOKUP($F562,Productos!$A$2:$A1001,Productos!BG$2:BG1001,"")*$G562,"")</f>
        <v/>
      </c>
      <c r="BO562" s="179" t="str">
        <f t="array" ref="BO562">IF($F562&lt;&gt;"",XLOOKUP($F562,Productos!$A:$A,Productos!BH:BH,"Revisar"),"")</f>
        <v/>
      </c>
      <c r="BP562" s="179" t="str">
        <f t="array" ref="BP562">IF($F562&lt;&gt;"", XLOOKUP($F562,Productos!$A$2:$A1001,Productos!BI$2:BI1001,"")*$G562,"")</f>
        <v/>
      </c>
      <c r="BQ562" s="179" t="str">
        <f t="array" ref="BQ562">IF($F562&lt;&gt;"",XLOOKUP($F562,Productos!$A:$A,Productos!BJ:BJ,"Revisar"),"")</f>
        <v/>
      </c>
      <c r="BR562" s="179" t="str">
        <f t="array" ref="BR562">IF($F562&lt;&gt;"", XLOOKUP($F562,Productos!$A$2:$A1001,Productos!BK$2:BK1001,"")*$G562,"")</f>
        <v/>
      </c>
      <c r="BS562" s="179" t="str">
        <f t="array" ref="BS562">IF($F562&lt;&gt;"",XLOOKUP($F562,Productos!$A:$A,Productos!BL:BL,"Revisar"),"")</f>
        <v/>
      </c>
      <c r="BT562" s="179" t="str">
        <f t="array" ref="BT562">IF($F562&lt;&gt;"", XLOOKUP($F562,Productos!$A$2:$A1001,Productos!BM$2:BM1001,"")*$G562,"")</f>
        <v/>
      </c>
      <c r="BU562" s="179" t="str">
        <f t="array" ref="BU562">IF($F562&lt;&gt;"",XLOOKUP($F562,Productos!$A:$A,Productos!BN:BN,"Revisar"),"")</f>
        <v/>
      </c>
      <c r="BV562" s="179" t="str">
        <f t="array" ref="BV562">IF($F562&lt;&gt;"", XLOOKUP($F562,Productos!$A$2:$A1001,Productos!BO$2:BO1001,"")*$G562,"")</f>
        <v/>
      </c>
      <c r="BW562" s="179" t="str">
        <f t="array" ref="BW562">IF($F562&lt;&gt;"",XLOOKUP($F562,Productos!$A:$A,Productos!BP:BP,"Revisar"),"")</f>
        <v/>
      </c>
      <c r="BX562" s="179" t="str">
        <f t="array" ref="BX562">IF($F562&lt;&gt;"", XLOOKUP($F562,Productos!$A$2:$A1001,Productos!BQ$2:BQ1001,"")*$G562,"")</f>
        <v/>
      </c>
      <c r="BY562" s="179" t="str">
        <f t="array" ref="BY562">IF($F562&lt;&gt;"",XLOOKUP($F562,Productos!$A:$A,Productos!BR:BR,"Revisar"),"")</f>
        <v/>
      </c>
      <c r="BZ562" s="179" t="str">
        <f t="array" ref="BZ562">IF($F562&lt;&gt;"", XLOOKUP($F562,Productos!$A$2:$A1001,Productos!BS$2:BS1001,"")*$G562,"")</f>
        <v/>
      </c>
    </row>
    <row r="563">
      <c r="A563" s="188"/>
      <c r="B563" s="189"/>
      <c r="C563" s="190"/>
      <c r="D563" s="190"/>
      <c r="E563" s="191"/>
      <c r="F563" s="186"/>
      <c r="G563" s="192"/>
      <c r="H563" s="9"/>
      <c r="I563" s="179" t="str">
        <f t="array" ref="I563">IF($F563&lt;&gt;"",XLOOKUP($F563,Productos!$A:$A,Productos!B:B,"Revisar"),"")</f>
        <v/>
      </c>
      <c r="J563" s="179" t="str">
        <f t="array" ref="J563">IF($F563&lt;&gt;"", XLOOKUP($F563,Productos!$A$2:$A1001,Productos!C$2:C1001,"")*$G563,"")</f>
        <v/>
      </c>
      <c r="K563" s="179" t="str">
        <f t="array" ref="K563">IF($F563&lt;&gt;"",XLOOKUP($F563,Productos!$A:$A,Productos!D:D,"Revisar"),"")</f>
        <v/>
      </c>
      <c r="L563" s="179" t="str">
        <f t="array" ref="L563">IF($F563&lt;&gt;"", XLOOKUP($F563,Productos!$A$2:$A1001,Productos!E$2:E1001,"")*$G563,"")</f>
        <v/>
      </c>
      <c r="M563" s="179" t="str">
        <f t="array" ref="M563">IF($F563&lt;&gt;"",XLOOKUP($F563,Productos!$A:$A,Productos!F:F,"Revisar"),"")</f>
        <v/>
      </c>
      <c r="N563" s="179" t="str">
        <f t="array" ref="N563">IF($F563&lt;&gt;"", XLOOKUP($F563,Productos!$A$2:$A1001,Productos!G$2:G1001,"")*$G563,"")</f>
        <v/>
      </c>
      <c r="O563" s="179" t="str">
        <f t="array" ref="O563">IF($F563&lt;&gt;"",XLOOKUP($F563,Productos!$A:$A,Productos!H:H,"Revisar"),"")</f>
        <v/>
      </c>
      <c r="P563" s="179" t="str">
        <f t="array" ref="P563">IF($F563&lt;&gt;"", XLOOKUP($F563,Productos!$A$2:$A1001,Productos!I$2:I1001,"")*$G563,"")</f>
        <v/>
      </c>
      <c r="Q563" s="179" t="str">
        <f t="array" ref="Q563">IF($F563&lt;&gt;"",XLOOKUP($F563,Productos!$A:$A,Productos!J:J,"Revisar"),"")</f>
        <v/>
      </c>
      <c r="R563" s="179" t="str">
        <f t="array" ref="R563">IF($F563&lt;&gt;"", XLOOKUP($F563,Productos!$A$2:$A1001,Productos!K$2:K1001,"")*$G563,"")</f>
        <v/>
      </c>
      <c r="S563" s="179" t="str">
        <f t="array" ref="S563">IF($F563&lt;&gt;"",XLOOKUP($F563,Productos!$A:$A,Productos!L:L,"Revisar"),"")</f>
        <v/>
      </c>
      <c r="T563" s="179" t="str">
        <f t="array" ref="T563">IF($F563&lt;&gt;"", XLOOKUP($F563,Productos!$A$2:$A1001,Productos!M$2:M1001,"")*$G563,"")</f>
        <v/>
      </c>
      <c r="U563" s="179" t="str">
        <f t="array" ref="U563">IF($F563&lt;&gt;"",XLOOKUP($F563,Productos!$A:$A,Productos!N:N,"Revisar"),"")</f>
        <v/>
      </c>
      <c r="V563" s="179" t="str">
        <f t="array" ref="V563">IF($F563&lt;&gt;"", XLOOKUP($F563,Productos!$A$2:$A1001,Productos!O$2:O1001,"")*$G563,"")</f>
        <v/>
      </c>
      <c r="W563" s="179" t="str">
        <f t="array" ref="W563">IF($F563&lt;&gt;"",XLOOKUP($F563,Productos!$A:$A,Productos!P:P,"Revisar"),"")</f>
        <v/>
      </c>
      <c r="X563" s="179" t="str">
        <f t="array" ref="X563">IF($F563&lt;&gt;"", XLOOKUP($F563,Productos!$A$2:$A1001,Productos!Q$2:Q1001,"")*$G563,"")</f>
        <v/>
      </c>
      <c r="Y563" s="179" t="str">
        <f t="array" ref="Y563">IF($F563&lt;&gt;"",XLOOKUP($F563,Productos!$A:$A,Productos!R:R,"Revisar"),"")</f>
        <v/>
      </c>
      <c r="Z563" s="179" t="str">
        <f t="array" ref="Z563">IF($F563&lt;&gt;"", XLOOKUP($F563,Productos!$A$2:$A1001,Productos!S$2:S1001,"")*$G563,"")</f>
        <v/>
      </c>
      <c r="AA563" s="179" t="str">
        <f t="array" ref="AA563">IF($F563&lt;&gt;"",XLOOKUP($F563,Productos!$A:$A,Productos!T:T,"Revisar"),"")</f>
        <v/>
      </c>
      <c r="AB563" s="179" t="str">
        <f t="array" ref="AB563">IF($F563&lt;&gt;"", XLOOKUP($F563,Productos!$A$2:$A1001,Productos!U$2:U1001,"")*$G563,"")</f>
        <v/>
      </c>
      <c r="AC563" s="179" t="str">
        <f t="array" ref="AC563">IF($F563&lt;&gt;"",XLOOKUP($F563,Productos!$A:$A,Productos!V:V,"Revisar"),"")</f>
        <v/>
      </c>
      <c r="AD563" s="179" t="str">
        <f t="array" ref="AD563">IF($F563&lt;&gt;"", XLOOKUP($F563,Productos!$A$2:$A1001,Productos!W$2:W1001,"")*$G563,"")</f>
        <v/>
      </c>
      <c r="AE563" s="179" t="str">
        <f t="array" ref="AE563">IF($F563&lt;&gt;"",XLOOKUP($F563,Productos!$A:$A,Productos!X:X,"Revisar"),"")</f>
        <v/>
      </c>
      <c r="AF563" s="179" t="str">
        <f t="array" ref="AF563">IF($F563&lt;&gt;"", XLOOKUP($F563,Productos!$A$2:$A1001,Productos!Y$2:Y1001,"")*$G563,"")</f>
        <v/>
      </c>
      <c r="AG563" s="179" t="str">
        <f t="array" ref="AG563">IF($F563&lt;&gt;"",XLOOKUP($F563,Productos!$A:$A,Productos!Z:Z,"Revisar"),"")</f>
        <v/>
      </c>
      <c r="AH563" s="179" t="str">
        <f t="array" ref="AH563">IF($F563&lt;&gt;"", XLOOKUP($F563,Productos!$A$2:$A1001,Productos!AA$2:AA1001,"")*$G563,"")</f>
        <v/>
      </c>
      <c r="AI563" s="179" t="str">
        <f t="array" ref="AI563">IF($F563&lt;&gt;"",XLOOKUP($F563,Productos!$A:$A,Productos!AB:AB,"Revisar"),"")</f>
        <v/>
      </c>
      <c r="AJ563" s="179" t="str">
        <f t="array" ref="AJ563">IF($F563&lt;&gt;"", XLOOKUP($F563,Productos!$A$2:$A1001,Productos!AC$2:AC1001,"")*$G563,"")</f>
        <v/>
      </c>
      <c r="AK563" s="179" t="str">
        <f t="array" ref="AK563">IF($F563&lt;&gt;"",XLOOKUP($F563,Productos!$A:$A,Productos!AD:AD,"Revisar"),"")</f>
        <v/>
      </c>
      <c r="AL563" s="179" t="str">
        <f t="array" ref="AL563">IF($F563&lt;&gt;"", XLOOKUP($F563,Productos!$A$2:$A1001,Productos!AE$2:AE1001,"")*$G563,"")</f>
        <v/>
      </c>
      <c r="AM563" s="179" t="str">
        <f t="array" ref="AM563">IF($F563&lt;&gt;"",XLOOKUP($F563,Productos!$A:$A,Productos!AF:AF,"Revisar"),"")</f>
        <v/>
      </c>
      <c r="AN563" s="179" t="str">
        <f t="array" ref="AN563">IF($F563&lt;&gt;"", XLOOKUP($F563,Productos!$A$2:$A1001,Productos!AG$2:AG1001,"")*$G563,"")</f>
        <v/>
      </c>
      <c r="AO563" s="179" t="str">
        <f t="array" ref="AO563">IF($F563&lt;&gt;"",XLOOKUP($F563,Productos!$A:$A,Productos!AH:AH,"Revisar"),"")</f>
        <v/>
      </c>
      <c r="AP563" s="179" t="str">
        <f t="array" ref="AP563">IF($F563&lt;&gt;"", XLOOKUP($F563,Productos!$A$2:$A1001,Productos!AI$2:AI1001,"")*$G563,"")</f>
        <v/>
      </c>
      <c r="AQ563" s="179" t="str">
        <f t="array" ref="AQ563">IF($F563&lt;&gt;"",XLOOKUP($F563,Productos!$A:$A,Productos!AJ:AJ,"Revisar"),"")</f>
        <v/>
      </c>
      <c r="AR563" s="179" t="str">
        <f t="array" ref="AR563">IF($F563&lt;&gt;"", XLOOKUP($F563,Productos!$A$2:$A1001,Productos!AK$2:AK1001,"")*$G563,"")</f>
        <v/>
      </c>
      <c r="AS563" s="179" t="str">
        <f t="array" ref="AS563">IF($F563&lt;&gt;"",XLOOKUP($F563,Productos!$A:$A,Productos!AL:AL,"Revisar"),"")</f>
        <v/>
      </c>
      <c r="AT563" s="179" t="str">
        <f t="array" ref="AT563">IF($F563&lt;&gt;"", XLOOKUP($F563,Productos!$A$2:$A1001,Productos!AM$2:AM1001,"")*$G563,"")</f>
        <v/>
      </c>
      <c r="AU563" s="179" t="str">
        <f t="array" ref="AU563">IF($F563&lt;&gt;"",XLOOKUP($F563,Productos!$A:$A,Productos!AN:AN,"Revisar"),"")</f>
        <v/>
      </c>
      <c r="AV563" s="179" t="str">
        <f t="array" ref="AV563">IF($F563&lt;&gt;"", XLOOKUP($F563,Productos!$A$2:$A1001,Productos!AO$2:AO1001,"")*$G563,"")</f>
        <v/>
      </c>
      <c r="AW563" s="179" t="str">
        <f t="array" ref="AW563">IF($F563&lt;&gt;"",XLOOKUP($F563,Productos!$A:$A,Productos!AP:AP,"Revisar"),"")</f>
        <v/>
      </c>
      <c r="AX563" s="179" t="str">
        <f t="array" ref="AX563">IF($F563&lt;&gt;"", XLOOKUP($F563,Productos!$A$2:$A1001,Productos!AQ$2:AQ1001,"")*$G563,"")</f>
        <v/>
      </c>
      <c r="AY563" s="179" t="str">
        <f t="array" ref="AY563">IF($F563&lt;&gt;"",XLOOKUP($F563,Productos!$A:$A,Productos!AR:AR,"Revisar"),"")</f>
        <v/>
      </c>
      <c r="AZ563" s="179" t="str">
        <f t="array" ref="AZ563">IF($F563&lt;&gt;"", XLOOKUP($F563,Productos!$A$2:$A1001,Productos!AS$2:AS1001,"")*$G563,"")</f>
        <v/>
      </c>
      <c r="BA563" s="179" t="str">
        <f t="array" ref="BA563">IF($F563&lt;&gt;"",XLOOKUP($F563,Productos!$A:$A,Productos!AT:AT,"Revisar"),"")</f>
        <v/>
      </c>
      <c r="BB563" s="179" t="str">
        <f t="array" ref="BB563">IF($F563&lt;&gt;"", XLOOKUP($F563,Productos!$A$2:$A1001,Productos!AU$2:AU1001,"")*$G563,"")</f>
        <v/>
      </c>
      <c r="BC563" s="179" t="str">
        <f t="array" ref="BC563">IF($F563&lt;&gt;"",XLOOKUP($F563,Productos!$A:$A,Productos!AV:AV,"Revisar"),"")</f>
        <v/>
      </c>
      <c r="BD563" s="179" t="str">
        <f t="array" ref="BD563">IF($F563&lt;&gt;"", XLOOKUP($F563,Productos!$A$2:$A1001,Productos!AW$2:AW1001,"")*$G563,"")</f>
        <v/>
      </c>
      <c r="BE563" s="179" t="str">
        <f t="array" ref="BE563">IF($F563&lt;&gt;"",XLOOKUP($F563,Productos!$A:$A,Productos!AX:AX,"Revisar"),"")</f>
        <v/>
      </c>
      <c r="BF563" s="179" t="str">
        <f t="array" ref="BF563">IF($F563&lt;&gt;"", XLOOKUP($F563,Productos!$A$2:$A1001,Productos!AY$2:AY1001,"")*$G563,"")</f>
        <v/>
      </c>
      <c r="BG563" s="179" t="str">
        <f t="array" ref="BG563">IF($F563&lt;&gt;"",XLOOKUP($F563,Productos!$A:$A,Productos!AZ:AZ,"Revisar"),"")</f>
        <v/>
      </c>
      <c r="BH563" s="179" t="str">
        <f t="array" ref="BH563">IF($F563&lt;&gt;"", XLOOKUP($F563,Productos!$A$2:$A1001,Productos!BA$2:BA1001,"")*$G563,"")</f>
        <v/>
      </c>
      <c r="BI563" s="179" t="str">
        <f t="array" ref="BI563">IF($F563&lt;&gt;"",XLOOKUP($F563,Productos!$A:$A,Productos!BB:BB,"Revisar"),"")</f>
        <v/>
      </c>
      <c r="BJ563" s="179" t="str">
        <f t="array" ref="BJ563">IF($F563&lt;&gt;"", XLOOKUP($F563,Productos!$A$2:$A1001,Productos!BC$2:BC1001,"")*$G563,"")</f>
        <v/>
      </c>
      <c r="BK563" s="179" t="str">
        <f t="array" ref="BK563">IF($F563&lt;&gt;"",XLOOKUP($F563,Productos!$A:$A,Productos!BD:BD,"Revisar"),"")</f>
        <v/>
      </c>
      <c r="BL563" s="179" t="str">
        <f t="array" ref="BL563">IF($F563&lt;&gt;"", XLOOKUP($F563,Productos!$A$2:$A1001,Productos!BE$2:BE1001,"")*$G563,"")</f>
        <v/>
      </c>
      <c r="BM563" s="179" t="str">
        <f t="array" ref="BM563">IF($F563&lt;&gt;"",XLOOKUP($F563,Productos!$A:$A,Productos!BF:BF,"Revisar"),"")</f>
        <v/>
      </c>
      <c r="BN563" s="179" t="str">
        <f t="array" ref="BN563">IF($F563&lt;&gt;"", XLOOKUP($F563,Productos!$A$2:$A1001,Productos!BG$2:BG1001,"")*$G563,"")</f>
        <v/>
      </c>
      <c r="BO563" s="179" t="str">
        <f t="array" ref="BO563">IF($F563&lt;&gt;"",XLOOKUP($F563,Productos!$A:$A,Productos!BH:BH,"Revisar"),"")</f>
        <v/>
      </c>
      <c r="BP563" s="179" t="str">
        <f t="array" ref="BP563">IF($F563&lt;&gt;"", XLOOKUP($F563,Productos!$A$2:$A1001,Productos!BI$2:BI1001,"")*$G563,"")</f>
        <v/>
      </c>
      <c r="BQ563" s="179" t="str">
        <f t="array" ref="BQ563">IF($F563&lt;&gt;"",XLOOKUP($F563,Productos!$A:$A,Productos!BJ:BJ,"Revisar"),"")</f>
        <v/>
      </c>
      <c r="BR563" s="179" t="str">
        <f t="array" ref="BR563">IF($F563&lt;&gt;"", XLOOKUP($F563,Productos!$A$2:$A1001,Productos!BK$2:BK1001,"")*$G563,"")</f>
        <v/>
      </c>
      <c r="BS563" s="179" t="str">
        <f t="array" ref="BS563">IF($F563&lt;&gt;"",XLOOKUP($F563,Productos!$A:$A,Productos!BL:BL,"Revisar"),"")</f>
        <v/>
      </c>
      <c r="BT563" s="179" t="str">
        <f t="array" ref="BT563">IF($F563&lt;&gt;"", XLOOKUP($F563,Productos!$A$2:$A1001,Productos!BM$2:BM1001,"")*$G563,"")</f>
        <v/>
      </c>
      <c r="BU563" s="179" t="str">
        <f t="array" ref="BU563">IF($F563&lt;&gt;"",XLOOKUP($F563,Productos!$A:$A,Productos!BN:BN,"Revisar"),"")</f>
        <v/>
      </c>
      <c r="BV563" s="179" t="str">
        <f t="array" ref="BV563">IF($F563&lt;&gt;"", XLOOKUP($F563,Productos!$A$2:$A1001,Productos!BO$2:BO1001,"")*$G563,"")</f>
        <v/>
      </c>
      <c r="BW563" s="179" t="str">
        <f t="array" ref="BW563">IF($F563&lt;&gt;"",XLOOKUP($F563,Productos!$A:$A,Productos!BP:BP,"Revisar"),"")</f>
        <v/>
      </c>
      <c r="BX563" s="179" t="str">
        <f t="array" ref="BX563">IF($F563&lt;&gt;"", XLOOKUP($F563,Productos!$A$2:$A1001,Productos!BQ$2:BQ1001,"")*$G563,"")</f>
        <v/>
      </c>
      <c r="BY563" s="179" t="str">
        <f t="array" ref="BY563">IF($F563&lt;&gt;"",XLOOKUP($F563,Productos!$A:$A,Productos!BR:BR,"Revisar"),"")</f>
        <v/>
      </c>
      <c r="BZ563" s="179" t="str">
        <f t="array" ref="BZ563">IF($F563&lt;&gt;"", XLOOKUP($F563,Productos!$A$2:$A1001,Productos!BS$2:BS1001,"")*$G563,"")</f>
        <v/>
      </c>
    </row>
    <row r="564">
      <c r="A564" s="188"/>
      <c r="B564" s="189"/>
      <c r="C564" s="190"/>
      <c r="D564" s="190"/>
      <c r="E564" s="191"/>
      <c r="F564" s="186"/>
      <c r="G564" s="192"/>
      <c r="H564" s="9"/>
      <c r="I564" s="179" t="str">
        <f t="array" ref="I564">IF($F564&lt;&gt;"",XLOOKUP($F564,Productos!$A:$A,Productos!B:B,"Revisar"),"")</f>
        <v/>
      </c>
      <c r="J564" s="179" t="str">
        <f t="array" ref="J564">IF($F564&lt;&gt;"", XLOOKUP($F564,Productos!$A$2:$A1001,Productos!C$2:C1001,"")*$G564,"")</f>
        <v/>
      </c>
      <c r="K564" s="179" t="str">
        <f t="array" ref="K564">IF($F564&lt;&gt;"",XLOOKUP($F564,Productos!$A:$A,Productos!D:D,"Revisar"),"")</f>
        <v/>
      </c>
      <c r="L564" s="179" t="str">
        <f t="array" ref="L564">IF($F564&lt;&gt;"", XLOOKUP($F564,Productos!$A$2:$A1001,Productos!E$2:E1001,"")*$G564,"")</f>
        <v/>
      </c>
      <c r="M564" s="179" t="str">
        <f t="array" ref="M564">IF($F564&lt;&gt;"",XLOOKUP($F564,Productos!$A:$A,Productos!F:F,"Revisar"),"")</f>
        <v/>
      </c>
      <c r="N564" s="179" t="str">
        <f t="array" ref="N564">IF($F564&lt;&gt;"", XLOOKUP($F564,Productos!$A$2:$A1001,Productos!G$2:G1001,"")*$G564,"")</f>
        <v/>
      </c>
      <c r="O564" s="179" t="str">
        <f t="array" ref="O564">IF($F564&lt;&gt;"",XLOOKUP($F564,Productos!$A:$A,Productos!H:H,"Revisar"),"")</f>
        <v/>
      </c>
      <c r="P564" s="179" t="str">
        <f t="array" ref="P564">IF($F564&lt;&gt;"", XLOOKUP($F564,Productos!$A$2:$A1001,Productos!I$2:I1001,"")*$G564,"")</f>
        <v/>
      </c>
      <c r="Q564" s="179" t="str">
        <f t="array" ref="Q564">IF($F564&lt;&gt;"",XLOOKUP($F564,Productos!$A:$A,Productos!J:J,"Revisar"),"")</f>
        <v/>
      </c>
      <c r="R564" s="179" t="str">
        <f t="array" ref="R564">IF($F564&lt;&gt;"", XLOOKUP($F564,Productos!$A$2:$A1001,Productos!K$2:K1001,"")*$G564,"")</f>
        <v/>
      </c>
      <c r="S564" s="179" t="str">
        <f t="array" ref="S564">IF($F564&lt;&gt;"",XLOOKUP($F564,Productos!$A:$A,Productos!L:L,"Revisar"),"")</f>
        <v/>
      </c>
      <c r="T564" s="179" t="str">
        <f t="array" ref="T564">IF($F564&lt;&gt;"", XLOOKUP($F564,Productos!$A$2:$A1001,Productos!M$2:M1001,"")*$G564,"")</f>
        <v/>
      </c>
      <c r="U564" s="179" t="str">
        <f t="array" ref="U564">IF($F564&lt;&gt;"",XLOOKUP($F564,Productos!$A:$A,Productos!N:N,"Revisar"),"")</f>
        <v/>
      </c>
      <c r="V564" s="179" t="str">
        <f t="array" ref="V564">IF($F564&lt;&gt;"", XLOOKUP($F564,Productos!$A$2:$A1001,Productos!O$2:O1001,"")*$G564,"")</f>
        <v/>
      </c>
      <c r="W564" s="179" t="str">
        <f t="array" ref="W564">IF($F564&lt;&gt;"",XLOOKUP($F564,Productos!$A:$A,Productos!P:P,"Revisar"),"")</f>
        <v/>
      </c>
      <c r="X564" s="179" t="str">
        <f t="array" ref="X564">IF($F564&lt;&gt;"", XLOOKUP($F564,Productos!$A$2:$A1001,Productos!Q$2:Q1001,"")*$G564,"")</f>
        <v/>
      </c>
      <c r="Y564" s="179" t="str">
        <f t="array" ref="Y564">IF($F564&lt;&gt;"",XLOOKUP($F564,Productos!$A:$A,Productos!R:R,"Revisar"),"")</f>
        <v/>
      </c>
      <c r="Z564" s="179" t="str">
        <f t="array" ref="Z564">IF($F564&lt;&gt;"", XLOOKUP($F564,Productos!$A$2:$A1001,Productos!S$2:S1001,"")*$G564,"")</f>
        <v/>
      </c>
      <c r="AA564" s="179" t="str">
        <f t="array" ref="AA564">IF($F564&lt;&gt;"",XLOOKUP($F564,Productos!$A:$A,Productos!T:T,"Revisar"),"")</f>
        <v/>
      </c>
      <c r="AB564" s="179" t="str">
        <f t="array" ref="AB564">IF($F564&lt;&gt;"", XLOOKUP($F564,Productos!$A$2:$A1001,Productos!U$2:U1001,"")*$G564,"")</f>
        <v/>
      </c>
      <c r="AC564" s="179" t="str">
        <f t="array" ref="AC564">IF($F564&lt;&gt;"",XLOOKUP($F564,Productos!$A:$A,Productos!V:V,"Revisar"),"")</f>
        <v/>
      </c>
      <c r="AD564" s="179" t="str">
        <f t="array" ref="AD564">IF($F564&lt;&gt;"", XLOOKUP($F564,Productos!$A$2:$A1001,Productos!W$2:W1001,"")*$G564,"")</f>
        <v/>
      </c>
      <c r="AE564" s="179" t="str">
        <f t="array" ref="AE564">IF($F564&lt;&gt;"",XLOOKUP($F564,Productos!$A:$A,Productos!X:X,"Revisar"),"")</f>
        <v/>
      </c>
      <c r="AF564" s="179" t="str">
        <f t="array" ref="AF564">IF($F564&lt;&gt;"", XLOOKUP($F564,Productos!$A$2:$A1001,Productos!Y$2:Y1001,"")*$G564,"")</f>
        <v/>
      </c>
      <c r="AG564" s="179" t="str">
        <f t="array" ref="AG564">IF($F564&lt;&gt;"",XLOOKUP($F564,Productos!$A:$A,Productos!Z:Z,"Revisar"),"")</f>
        <v/>
      </c>
      <c r="AH564" s="179" t="str">
        <f t="array" ref="AH564">IF($F564&lt;&gt;"", XLOOKUP($F564,Productos!$A$2:$A1001,Productos!AA$2:AA1001,"")*$G564,"")</f>
        <v/>
      </c>
      <c r="AI564" s="179" t="str">
        <f t="array" ref="AI564">IF($F564&lt;&gt;"",XLOOKUP($F564,Productos!$A:$A,Productos!AB:AB,"Revisar"),"")</f>
        <v/>
      </c>
      <c r="AJ564" s="179" t="str">
        <f t="array" ref="AJ564">IF($F564&lt;&gt;"", XLOOKUP($F564,Productos!$A$2:$A1001,Productos!AC$2:AC1001,"")*$G564,"")</f>
        <v/>
      </c>
      <c r="AK564" s="179" t="str">
        <f t="array" ref="AK564">IF($F564&lt;&gt;"",XLOOKUP($F564,Productos!$A:$A,Productos!AD:AD,"Revisar"),"")</f>
        <v/>
      </c>
      <c r="AL564" s="179" t="str">
        <f t="array" ref="AL564">IF($F564&lt;&gt;"", XLOOKUP($F564,Productos!$A$2:$A1001,Productos!AE$2:AE1001,"")*$G564,"")</f>
        <v/>
      </c>
      <c r="AM564" s="179" t="str">
        <f t="array" ref="AM564">IF($F564&lt;&gt;"",XLOOKUP($F564,Productos!$A:$A,Productos!AF:AF,"Revisar"),"")</f>
        <v/>
      </c>
      <c r="AN564" s="179" t="str">
        <f t="array" ref="AN564">IF($F564&lt;&gt;"", XLOOKUP($F564,Productos!$A$2:$A1001,Productos!AG$2:AG1001,"")*$G564,"")</f>
        <v/>
      </c>
      <c r="AO564" s="179" t="str">
        <f t="array" ref="AO564">IF($F564&lt;&gt;"",XLOOKUP($F564,Productos!$A:$A,Productos!AH:AH,"Revisar"),"")</f>
        <v/>
      </c>
      <c r="AP564" s="179" t="str">
        <f t="array" ref="AP564">IF($F564&lt;&gt;"", XLOOKUP($F564,Productos!$A$2:$A1001,Productos!AI$2:AI1001,"")*$G564,"")</f>
        <v/>
      </c>
      <c r="AQ564" s="179" t="str">
        <f t="array" ref="AQ564">IF($F564&lt;&gt;"",XLOOKUP($F564,Productos!$A:$A,Productos!AJ:AJ,"Revisar"),"")</f>
        <v/>
      </c>
      <c r="AR564" s="179" t="str">
        <f t="array" ref="AR564">IF($F564&lt;&gt;"", XLOOKUP($F564,Productos!$A$2:$A1001,Productos!AK$2:AK1001,"")*$G564,"")</f>
        <v/>
      </c>
      <c r="AS564" s="179" t="str">
        <f t="array" ref="AS564">IF($F564&lt;&gt;"",XLOOKUP($F564,Productos!$A:$A,Productos!AL:AL,"Revisar"),"")</f>
        <v/>
      </c>
      <c r="AT564" s="179" t="str">
        <f t="array" ref="AT564">IF($F564&lt;&gt;"", XLOOKUP($F564,Productos!$A$2:$A1001,Productos!AM$2:AM1001,"")*$G564,"")</f>
        <v/>
      </c>
      <c r="AU564" s="179" t="str">
        <f t="array" ref="AU564">IF($F564&lt;&gt;"",XLOOKUP($F564,Productos!$A:$A,Productos!AN:AN,"Revisar"),"")</f>
        <v/>
      </c>
      <c r="AV564" s="179" t="str">
        <f t="array" ref="AV564">IF($F564&lt;&gt;"", XLOOKUP($F564,Productos!$A$2:$A1001,Productos!AO$2:AO1001,"")*$G564,"")</f>
        <v/>
      </c>
      <c r="AW564" s="179" t="str">
        <f t="array" ref="AW564">IF($F564&lt;&gt;"",XLOOKUP($F564,Productos!$A:$A,Productos!AP:AP,"Revisar"),"")</f>
        <v/>
      </c>
      <c r="AX564" s="179" t="str">
        <f t="array" ref="AX564">IF($F564&lt;&gt;"", XLOOKUP($F564,Productos!$A$2:$A1001,Productos!AQ$2:AQ1001,"")*$G564,"")</f>
        <v/>
      </c>
      <c r="AY564" s="179" t="str">
        <f t="array" ref="AY564">IF($F564&lt;&gt;"",XLOOKUP($F564,Productos!$A:$A,Productos!AR:AR,"Revisar"),"")</f>
        <v/>
      </c>
      <c r="AZ564" s="179" t="str">
        <f t="array" ref="AZ564">IF($F564&lt;&gt;"", XLOOKUP($F564,Productos!$A$2:$A1001,Productos!AS$2:AS1001,"")*$G564,"")</f>
        <v/>
      </c>
      <c r="BA564" s="179" t="str">
        <f t="array" ref="BA564">IF($F564&lt;&gt;"",XLOOKUP($F564,Productos!$A:$A,Productos!AT:AT,"Revisar"),"")</f>
        <v/>
      </c>
      <c r="BB564" s="179" t="str">
        <f t="array" ref="BB564">IF($F564&lt;&gt;"", XLOOKUP($F564,Productos!$A$2:$A1001,Productos!AU$2:AU1001,"")*$G564,"")</f>
        <v/>
      </c>
      <c r="BC564" s="179" t="str">
        <f t="array" ref="BC564">IF($F564&lt;&gt;"",XLOOKUP($F564,Productos!$A:$A,Productos!AV:AV,"Revisar"),"")</f>
        <v/>
      </c>
      <c r="BD564" s="179" t="str">
        <f t="array" ref="BD564">IF($F564&lt;&gt;"", XLOOKUP($F564,Productos!$A$2:$A1001,Productos!AW$2:AW1001,"")*$G564,"")</f>
        <v/>
      </c>
      <c r="BE564" s="179" t="str">
        <f t="array" ref="BE564">IF($F564&lt;&gt;"",XLOOKUP($F564,Productos!$A:$A,Productos!AX:AX,"Revisar"),"")</f>
        <v/>
      </c>
      <c r="BF564" s="179" t="str">
        <f t="array" ref="BF564">IF($F564&lt;&gt;"", XLOOKUP($F564,Productos!$A$2:$A1001,Productos!AY$2:AY1001,"")*$G564,"")</f>
        <v/>
      </c>
      <c r="BG564" s="179" t="str">
        <f t="array" ref="BG564">IF($F564&lt;&gt;"",XLOOKUP($F564,Productos!$A:$A,Productos!AZ:AZ,"Revisar"),"")</f>
        <v/>
      </c>
      <c r="BH564" s="179" t="str">
        <f t="array" ref="BH564">IF($F564&lt;&gt;"", XLOOKUP($F564,Productos!$A$2:$A1001,Productos!BA$2:BA1001,"")*$G564,"")</f>
        <v/>
      </c>
      <c r="BI564" s="179" t="str">
        <f t="array" ref="BI564">IF($F564&lt;&gt;"",XLOOKUP($F564,Productos!$A:$A,Productos!BB:BB,"Revisar"),"")</f>
        <v/>
      </c>
      <c r="BJ564" s="179" t="str">
        <f t="array" ref="BJ564">IF($F564&lt;&gt;"", XLOOKUP($F564,Productos!$A$2:$A1001,Productos!BC$2:BC1001,"")*$G564,"")</f>
        <v/>
      </c>
      <c r="BK564" s="179" t="str">
        <f t="array" ref="BK564">IF($F564&lt;&gt;"",XLOOKUP($F564,Productos!$A:$A,Productos!BD:BD,"Revisar"),"")</f>
        <v/>
      </c>
      <c r="BL564" s="179" t="str">
        <f t="array" ref="BL564">IF($F564&lt;&gt;"", XLOOKUP($F564,Productos!$A$2:$A1001,Productos!BE$2:BE1001,"")*$G564,"")</f>
        <v/>
      </c>
      <c r="BM564" s="179" t="str">
        <f t="array" ref="BM564">IF($F564&lt;&gt;"",XLOOKUP($F564,Productos!$A:$A,Productos!BF:BF,"Revisar"),"")</f>
        <v/>
      </c>
      <c r="BN564" s="179" t="str">
        <f t="array" ref="BN564">IF($F564&lt;&gt;"", XLOOKUP($F564,Productos!$A$2:$A1001,Productos!BG$2:BG1001,"")*$G564,"")</f>
        <v/>
      </c>
      <c r="BO564" s="179" t="str">
        <f t="array" ref="BO564">IF($F564&lt;&gt;"",XLOOKUP($F564,Productos!$A:$A,Productos!BH:BH,"Revisar"),"")</f>
        <v/>
      </c>
      <c r="BP564" s="179" t="str">
        <f t="array" ref="BP564">IF($F564&lt;&gt;"", XLOOKUP($F564,Productos!$A$2:$A1001,Productos!BI$2:BI1001,"")*$G564,"")</f>
        <v/>
      </c>
      <c r="BQ564" s="179" t="str">
        <f t="array" ref="BQ564">IF($F564&lt;&gt;"",XLOOKUP($F564,Productos!$A:$A,Productos!BJ:BJ,"Revisar"),"")</f>
        <v/>
      </c>
      <c r="BR564" s="179" t="str">
        <f t="array" ref="BR564">IF($F564&lt;&gt;"", XLOOKUP($F564,Productos!$A$2:$A1001,Productos!BK$2:BK1001,"")*$G564,"")</f>
        <v/>
      </c>
      <c r="BS564" s="179" t="str">
        <f t="array" ref="BS564">IF($F564&lt;&gt;"",XLOOKUP($F564,Productos!$A:$A,Productos!BL:BL,"Revisar"),"")</f>
        <v/>
      </c>
      <c r="BT564" s="179" t="str">
        <f t="array" ref="BT564">IF($F564&lt;&gt;"", XLOOKUP($F564,Productos!$A$2:$A1001,Productos!BM$2:BM1001,"")*$G564,"")</f>
        <v/>
      </c>
      <c r="BU564" s="179" t="str">
        <f t="array" ref="BU564">IF($F564&lt;&gt;"",XLOOKUP($F564,Productos!$A:$A,Productos!BN:BN,"Revisar"),"")</f>
        <v/>
      </c>
      <c r="BV564" s="179" t="str">
        <f t="array" ref="BV564">IF($F564&lt;&gt;"", XLOOKUP($F564,Productos!$A$2:$A1001,Productos!BO$2:BO1001,"")*$G564,"")</f>
        <v/>
      </c>
      <c r="BW564" s="179" t="str">
        <f t="array" ref="BW564">IF($F564&lt;&gt;"",XLOOKUP($F564,Productos!$A:$A,Productos!BP:BP,"Revisar"),"")</f>
        <v/>
      </c>
      <c r="BX564" s="179" t="str">
        <f t="array" ref="BX564">IF($F564&lt;&gt;"", XLOOKUP($F564,Productos!$A$2:$A1001,Productos!BQ$2:BQ1001,"")*$G564,"")</f>
        <v/>
      </c>
      <c r="BY564" s="179" t="str">
        <f t="array" ref="BY564">IF($F564&lt;&gt;"",XLOOKUP($F564,Productos!$A:$A,Productos!BR:BR,"Revisar"),"")</f>
        <v/>
      </c>
      <c r="BZ564" s="179" t="str">
        <f t="array" ref="BZ564">IF($F564&lt;&gt;"", XLOOKUP($F564,Productos!$A$2:$A1001,Productos!BS$2:BS1001,"")*$G564,"")</f>
        <v/>
      </c>
    </row>
    <row r="565">
      <c r="A565" s="188"/>
      <c r="B565" s="189"/>
      <c r="C565" s="190"/>
      <c r="D565" s="190"/>
      <c r="E565" s="191"/>
      <c r="F565" s="186"/>
      <c r="G565" s="192"/>
      <c r="H565" s="9"/>
      <c r="I565" s="179" t="str">
        <f t="array" ref="I565">IF($F565&lt;&gt;"",XLOOKUP($F565,Productos!$A:$A,Productos!B:B,"Revisar"),"")</f>
        <v/>
      </c>
      <c r="J565" s="179" t="str">
        <f t="array" ref="J565">IF($F565&lt;&gt;"", XLOOKUP($F565,Productos!$A$2:$A1001,Productos!C$2:C1001,"")*$G565,"")</f>
        <v/>
      </c>
      <c r="K565" s="179" t="str">
        <f t="array" ref="K565">IF($F565&lt;&gt;"",XLOOKUP($F565,Productos!$A:$A,Productos!D:D,"Revisar"),"")</f>
        <v/>
      </c>
      <c r="L565" s="179" t="str">
        <f t="array" ref="L565">IF($F565&lt;&gt;"", XLOOKUP($F565,Productos!$A$2:$A1001,Productos!E$2:E1001,"")*$G565,"")</f>
        <v/>
      </c>
      <c r="M565" s="179" t="str">
        <f t="array" ref="M565">IF($F565&lt;&gt;"",XLOOKUP($F565,Productos!$A:$A,Productos!F:F,"Revisar"),"")</f>
        <v/>
      </c>
      <c r="N565" s="179" t="str">
        <f t="array" ref="N565">IF($F565&lt;&gt;"", XLOOKUP($F565,Productos!$A$2:$A1001,Productos!G$2:G1001,"")*$G565,"")</f>
        <v/>
      </c>
      <c r="O565" s="179" t="str">
        <f t="array" ref="O565">IF($F565&lt;&gt;"",XLOOKUP($F565,Productos!$A:$A,Productos!H:H,"Revisar"),"")</f>
        <v/>
      </c>
      <c r="P565" s="179" t="str">
        <f t="array" ref="P565">IF($F565&lt;&gt;"", XLOOKUP($F565,Productos!$A$2:$A1001,Productos!I$2:I1001,"")*$G565,"")</f>
        <v/>
      </c>
      <c r="Q565" s="179" t="str">
        <f t="array" ref="Q565">IF($F565&lt;&gt;"",XLOOKUP($F565,Productos!$A:$A,Productos!J:J,"Revisar"),"")</f>
        <v/>
      </c>
      <c r="R565" s="179" t="str">
        <f t="array" ref="R565">IF($F565&lt;&gt;"", XLOOKUP($F565,Productos!$A$2:$A1001,Productos!K$2:K1001,"")*$G565,"")</f>
        <v/>
      </c>
      <c r="S565" s="179" t="str">
        <f t="array" ref="S565">IF($F565&lt;&gt;"",XLOOKUP($F565,Productos!$A:$A,Productos!L:L,"Revisar"),"")</f>
        <v/>
      </c>
      <c r="T565" s="179" t="str">
        <f t="array" ref="T565">IF($F565&lt;&gt;"", XLOOKUP($F565,Productos!$A$2:$A1001,Productos!M$2:M1001,"")*$G565,"")</f>
        <v/>
      </c>
      <c r="U565" s="179" t="str">
        <f t="array" ref="U565">IF($F565&lt;&gt;"",XLOOKUP($F565,Productos!$A:$A,Productos!N:N,"Revisar"),"")</f>
        <v/>
      </c>
      <c r="V565" s="179" t="str">
        <f t="array" ref="V565">IF($F565&lt;&gt;"", XLOOKUP($F565,Productos!$A$2:$A1001,Productos!O$2:O1001,"")*$G565,"")</f>
        <v/>
      </c>
      <c r="W565" s="179" t="str">
        <f t="array" ref="W565">IF($F565&lt;&gt;"",XLOOKUP($F565,Productos!$A:$A,Productos!P:P,"Revisar"),"")</f>
        <v/>
      </c>
      <c r="X565" s="179" t="str">
        <f t="array" ref="X565">IF($F565&lt;&gt;"", XLOOKUP($F565,Productos!$A$2:$A1001,Productos!Q$2:Q1001,"")*$G565,"")</f>
        <v/>
      </c>
      <c r="Y565" s="179" t="str">
        <f t="array" ref="Y565">IF($F565&lt;&gt;"",XLOOKUP($F565,Productos!$A:$A,Productos!R:R,"Revisar"),"")</f>
        <v/>
      </c>
      <c r="Z565" s="179" t="str">
        <f t="array" ref="Z565">IF($F565&lt;&gt;"", XLOOKUP($F565,Productos!$A$2:$A1001,Productos!S$2:S1001,"")*$G565,"")</f>
        <v/>
      </c>
      <c r="AA565" s="179" t="str">
        <f t="array" ref="AA565">IF($F565&lt;&gt;"",XLOOKUP($F565,Productos!$A:$A,Productos!T:T,"Revisar"),"")</f>
        <v/>
      </c>
      <c r="AB565" s="179" t="str">
        <f t="array" ref="AB565">IF($F565&lt;&gt;"", XLOOKUP($F565,Productos!$A$2:$A1001,Productos!U$2:U1001,"")*$G565,"")</f>
        <v/>
      </c>
      <c r="AC565" s="179" t="str">
        <f t="array" ref="AC565">IF($F565&lt;&gt;"",XLOOKUP($F565,Productos!$A:$A,Productos!V:V,"Revisar"),"")</f>
        <v/>
      </c>
      <c r="AD565" s="179" t="str">
        <f t="array" ref="AD565">IF($F565&lt;&gt;"", XLOOKUP($F565,Productos!$A$2:$A1001,Productos!W$2:W1001,"")*$G565,"")</f>
        <v/>
      </c>
      <c r="AE565" s="179" t="str">
        <f t="array" ref="AE565">IF($F565&lt;&gt;"",XLOOKUP($F565,Productos!$A:$A,Productos!X:X,"Revisar"),"")</f>
        <v/>
      </c>
      <c r="AF565" s="179" t="str">
        <f t="array" ref="AF565">IF($F565&lt;&gt;"", XLOOKUP($F565,Productos!$A$2:$A1001,Productos!Y$2:Y1001,"")*$G565,"")</f>
        <v/>
      </c>
      <c r="AG565" s="179" t="str">
        <f t="array" ref="AG565">IF($F565&lt;&gt;"",XLOOKUP($F565,Productos!$A:$A,Productos!Z:Z,"Revisar"),"")</f>
        <v/>
      </c>
      <c r="AH565" s="179" t="str">
        <f t="array" ref="AH565">IF($F565&lt;&gt;"", XLOOKUP($F565,Productos!$A$2:$A1001,Productos!AA$2:AA1001,"")*$G565,"")</f>
        <v/>
      </c>
      <c r="AI565" s="179" t="str">
        <f t="array" ref="AI565">IF($F565&lt;&gt;"",XLOOKUP($F565,Productos!$A:$A,Productos!AB:AB,"Revisar"),"")</f>
        <v/>
      </c>
      <c r="AJ565" s="179" t="str">
        <f t="array" ref="AJ565">IF($F565&lt;&gt;"", XLOOKUP($F565,Productos!$A$2:$A1001,Productos!AC$2:AC1001,"")*$G565,"")</f>
        <v/>
      </c>
      <c r="AK565" s="179" t="str">
        <f t="array" ref="AK565">IF($F565&lt;&gt;"",XLOOKUP($F565,Productos!$A:$A,Productos!AD:AD,"Revisar"),"")</f>
        <v/>
      </c>
      <c r="AL565" s="179" t="str">
        <f t="array" ref="AL565">IF($F565&lt;&gt;"", XLOOKUP($F565,Productos!$A$2:$A1001,Productos!AE$2:AE1001,"")*$G565,"")</f>
        <v/>
      </c>
      <c r="AM565" s="179" t="str">
        <f t="array" ref="AM565">IF($F565&lt;&gt;"",XLOOKUP($F565,Productos!$A:$A,Productos!AF:AF,"Revisar"),"")</f>
        <v/>
      </c>
      <c r="AN565" s="179" t="str">
        <f t="array" ref="AN565">IF($F565&lt;&gt;"", XLOOKUP($F565,Productos!$A$2:$A1001,Productos!AG$2:AG1001,"")*$G565,"")</f>
        <v/>
      </c>
      <c r="AO565" s="179" t="str">
        <f t="array" ref="AO565">IF($F565&lt;&gt;"",XLOOKUP($F565,Productos!$A:$A,Productos!AH:AH,"Revisar"),"")</f>
        <v/>
      </c>
      <c r="AP565" s="179" t="str">
        <f t="array" ref="AP565">IF($F565&lt;&gt;"", XLOOKUP($F565,Productos!$A$2:$A1001,Productos!AI$2:AI1001,"")*$G565,"")</f>
        <v/>
      </c>
      <c r="AQ565" s="179" t="str">
        <f t="array" ref="AQ565">IF($F565&lt;&gt;"",XLOOKUP($F565,Productos!$A:$A,Productos!AJ:AJ,"Revisar"),"")</f>
        <v/>
      </c>
      <c r="AR565" s="179" t="str">
        <f t="array" ref="AR565">IF($F565&lt;&gt;"", XLOOKUP($F565,Productos!$A$2:$A1001,Productos!AK$2:AK1001,"")*$G565,"")</f>
        <v/>
      </c>
      <c r="AS565" s="179" t="str">
        <f t="array" ref="AS565">IF($F565&lt;&gt;"",XLOOKUP($F565,Productos!$A:$A,Productos!AL:AL,"Revisar"),"")</f>
        <v/>
      </c>
      <c r="AT565" s="179" t="str">
        <f t="array" ref="AT565">IF($F565&lt;&gt;"", XLOOKUP($F565,Productos!$A$2:$A1001,Productos!AM$2:AM1001,"")*$G565,"")</f>
        <v/>
      </c>
      <c r="AU565" s="179" t="str">
        <f t="array" ref="AU565">IF($F565&lt;&gt;"",XLOOKUP($F565,Productos!$A:$A,Productos!AN:AN,"Revisar"),"")</f>
        <v/>
      </c>
      <c r="AV565" s="179" t="str">
        <f t="array" ref="AV565">IF($F565&lt;&gt;"", XLOOKUP($F565,Productos!$A$2:$A1001,Productos!AO$2:AO1001,"")*$G565,"")</f>
        <v/>
      </c>
      <c r="AW565" s="179" t="str">
        <f t="array" ref="AW565">IF($F565&lt;&gt;"",XLOOKUP($F565,Productos!$A:$A,Productos!AP:AP,"Revisar"),"")</f>
        <v/>
      </c>
      <c r="AX565" s="179" t="str">
        <f t="array" ref="AX565">IF($F565&lt;&gt;"", XLOOKUP($F565,Productos!$A$2:$A1001,Productos!AQ$2:AQ1001,"")*$G565,"")</f>
        <v/>
      </c>
      <c r="AY565" s="179" t="str">
        <f t="array" ref="AY565">IF($F565&lt;&gt;"",XLOOKUP($F565,Productos!$A:$A,Productos!AR:AR,"Revisar"),"")</f>
        <v/>
      </c>
      <c r="AZ565" s="179" t="str">
        <f t="array" ref="AZ565">IF($F565&lt;&gt;"", XLOOKUP($F565,Productos!$A$2:$A1001,Productos!AS$2:AS1001,"")*$G565,"")</f>
        <v/>
      </c>
      <c r="BA565" s="179" t="str">
        <f t="array" ref="BA565">IF($F565&lt;&gt;"",XLOOKUP($F565,Productos!$A:$A,Productos!AT:AT,"Revisar"),"")</f>
        <v/>
      </c>
      <c r="BB565" s="179" t="str">
        <f t="array" ref="BB565">IF($F565&lt;&gt;"", XLOOKUP($F565,Productos!$A$2:$A1001,Productos!AU$2:AU1001,"")*$G565,"")</f>
        <v/>
      </c>
      <c r="BC565" s="179" t="str">
        <f t="array" ref="BC565">IF($F565&lt;&gt;"",XLOOKUP($F565,Productos!$A:$A,Productos!AV:AV,"Revisar"),"")</f>
        <v/>
      </c>
      <c r="BD565" s="179" t="str">
        <f t="array" ref="BD565">IF($F565&lt;&gt;"", XLOOKUP($F565,Productos!$A$2:$A1001,Productos!AW$2:AW1001,"")*$G565,"")</f>
        <v/>
      </c>
      <c r="BE565" s="179" t="str">
        <f t="array" ref="BE565">IF($F565&lt;&gt;"",XLOOKUP($F565,Productos!$A:$A,Productos!AX:AX,"Revisar"),"")</f>
        <v/>
      </c>
      <c r="BF565" s="179" t="str">
        <f t="array" ref="BF565">IF($F565&lt;&gt;"", XLOOKUP($F565,Productos!$A$2:$A1001,Productos!AY$2:AY1001,"")*$G565,"")</f>
        <v/>
      </c>
      <c r="BG565" s="179" t="str">
        <f t="array" ref="BG565">IF($F565&lt;&gt;"",XLOOKUP($F565,Productos!$A:$A,Productos!AZ:AZ,"Revisar"),"")</f>
        <v/>
      </c>
      <c r="BH565" s="179" t="str">
        <f t="array" ref="BH565">IF($F565&lt;&gt;"", XLOOKUP($F565,Productos!$A$2:$A1001,Productos!BA$2:BA1001,"")*$G565,"")</f>
        <v/>
      </c>
      <c r="BI565" s="179" t="str">
        <f t="array" ref="BI565">IF($F565&lt;&gt;"",XLOOKUP($F565,Productos!$A:$A,Productos!BB:BB,"Revisar"),"")</f>
        <v/>
      </c>
      <c r="BJ565" s="179" t="str">
        <f t="array" ref="BJ565">IF($F565&lt;&gt;"", XLOOKUP($F565,Productos!$A$2:$A1001,Productos!BC$2:BC1001,"")*$G565,"")</f>
        <v/>
      </c>
      <c r="BK565" s="179" t="str">
        <f t="array" ref="BK565">IF($F565&lt;&gt;"",XLOOKUP($F565,Productos!$A:$A,Productos!BD:BD,"Revisar"),"")</f>
        <v/>
      </c>
      <c r="BL565" s="179" t="str">
        <f t="array" ref="BL565">IF($F565&lt;&gt;"", XLOOKUP($F565,Productos!$A$2:$A1001,Productos!BE$2:BE1001,"")*$G565,"")</f>
        <v/>
      </c>
      <c r="BM565" s="179" t="str">
        <f t="array" ref="BM565">IF($F565&lt;&gt;"",XLOOKUP($F565,Productos!$A:$A,Productos!BF:BF,"Revisar"),"")</f>
        <v/>
      </c>
      <c r="BN565" s="179" t="str">
        <f t="array" ref="BN565">IF($F565&lt;&gt;"", XLOOKUP($F565,Productos!$A$2:$A1001,Productos!BG$2:BG1001,"")*$G565,"")</f>
        <v/>
      </c>
      <c r="BO565" s="179" t="str">
        <f t="array" ref="BO565">IF($F565&lt;&gt;"",XLOOKUP($F565,Productos!$A:$A,Productos!BH:BH,"Revisar"),"")</f>
        <v/>
      </c>
      <c r="BP565" s="179" t="str">
        <f t="array" ref="BP565">IF($F565&lt;&gt;"", XLOOKUP($F565,Productos!$A$2:$A1001,Productos!BI$2:BI1001,"")*$G565,"")</f>
        <v/>
      </c>
      <c r="BQ565" s="179" t="str">
        <f t="array" ref="BQ565">IF($F565&lt;&gt;"",XLOOKUP($F565,Productos!$A:$A,Productos!BJ:BJ,"Revisar"),"")</f>
        <v/>
      </c>
      <c r="BR565" s="179" t="str">
        <f t="array" ref="BR565">IF($F565&lt;&gt;"", XLOOKUP($F565,Productos!$A$2:$A1001,Productos!BK$2:BK1001,"")*$G565,"")</f>
        <v/>
      </c>
      <c r="BS565" s="179" t="str">
        <f t="array" ref="BS565">IF($F565&lt;&gt;"",XLOOKUP($F565,Productos!$A:$A,Productos!BL:BL,"Revisar"),"")</f>
        <v/>
      </c>
      <c r="BT565" s="179" t="str">
        <f t="array" ref="BT565">IF($F565&lt;&gt;"", XLOOKUP($F565,Productos!$A$2:$A1001,Productos!BM$2:BM1001,"")*$G565,"")</f>
        <v/>
      </c>
      <c r="BU565" s="179" t="str">
        <f t="array" ref="BU565">IF($F565&lt;&gt;"",XLOOKUP($F565,Productos!$A:$A,Productos!BN:BN,"Revisar"),"")</f>
        <v/>
      </c>
      <c r="BV565" s="179" t="str">
        <f t="array" ref="BV565">IF($F565&lt;&gt;"", XLOOKUP($F565,Productos!$A$2:$A1001,Productos!BO$2:BO1001,"")*$G565,"")</f>
        <v/>
      </c>
      <c r="BW565" s="179" t="str">
        <f t="array" ref="BW565">IF($F565&lt;&gt;"",XLOOKUP($F565,Productos!$A:$A,Productos!BP:BP,"Revisar"),"")</f>
        <v/>
      </c>
      <c r="BX565" s="179" t="str">
        <f t="array" ref="BX565">IF($F565&lt;&gt;"", XLOOKUP($F565,Productos!$A$2:$A1001,Productos!BQ$2:BQ1001,"")*$G565,"")</f>
        <v/>
      </c>
      <c r="BY565" s="179" t="str">
        <f t="array" ref="BY565">IF($F565&lt;&gt;"",XLOOKUP($F565,Productos!$A:$A,Productos!BR:BR,"Revisar"),"")</f>
        <v/>
      </c>
      <c r="BZ565" s="179" t="str">
        <f t="array" ref="BZ565">IF($F565&lt;&gt;"", XLOOKUP($F565,Productos!$A$2:$A1001,Productos!BS$2:BS1001,"")*$G565,"")</f>
        <v/>
      </c>
    </row>
    <row r="566">
      <c r="A566" s="188"/>
      <c r="B566" s="189"/>
      <c r="C566" s="190"/>
      <c r="D566" s="190"/>
      <c r="E566" s="191"/>
      <c r="F566" s="186"/>
      <c r="G566" s="192"/>
      <c r="H566" s="9"/>
      <c r="I566" s="179" t="str">
        <f t="array" ref="I566">IF($F566&lt;&gt;"",XLOOKUP($F566,Productos!$A:$A,Productos!B:B,"Revisar"),"")</f>
        <v/>
      </c>
      <c r="J566" s="179" t="str">
        <f t="array" ref="J566">IF($F566&lt;&gt;"", XLOOKUP($F566,Productos!$A$2:$A1001,Productos!C$2:C1001,"")*$G566,"")</f>
        <v/>
      </c>
      <c r="K566" s="179" t="str">
        <f t="array" ref="K566">IF($F566&lt;&gt;"",XLOOKUP($F566,Productos!$A:$A,Productos!D:D,"Revisar"),"")</f>
        <v/>
      </c>
      <c r="L566" s="179" t="str">
        <f t="array" ref="L566">IF($F566&lt;&gt;"", XLOOKUP($F566,Productos!$A$2:$A1001,Productos!E$2:E1001,"")*$G566,"")</f>
        <v/>
      </c>
      <c r="M566" s="179" t="str">
        <f t="array" ref="M566">IF($F566&lt;&gt;"",XLOOKUP($F566,Productos!$A:$A,Productos!F:F,"Revisar"),"")</f>
        <v/>
      </c>
      <c r="N566" s="179" t="str">
        <f t="array" ref="N566">IF($F566&lt;&gt;"", XLOOKUP($F566,Productos!$A$2:$A1001,Productos!G$2:G1001,"")*$G566,"")</f>
        <v/>
      </c>
      <c r="O566" s="179" t="str">
        <f t="array" ref="O566">IF($F566&lt;&gt;"",XLOOKUP($F566,Productos!$A:$A,Productos!H:H,"Revisar"),"")</f>
        <v/>
      </c>
      <c r="P566" s="179" t="str">
        <f t="array" ref="P566">IF($F566&lt;&gt;"", XLOOKUP($F566,Productos!$A$2:$A1001,Productos!I$2:I1001,"")*$G566,"")</f>
        <v/>
      </c>
      <c r="Q566" s="179" t="str">
        <f t="array" ref="Q566">IF($F566&lt;&gt;"",XLOOKUP($F566,Productos!$A:$A,Productos!J:J,"Revisar"),"")</f>
        <v/>
      </c>
      <c r="R566" s="179" t="str">
        <f t="array" ref="R566">IF($F566&lt;&gt;"", XLOOKUP($F566,Productos!$A$2:$A1001,Productos!K$2:K1001,"")*$G566,"")</f>
        <v/>
      </c>
      <c r="S566" s="179" t="str">
        <f t="array" ref="S566">IF($F566&lt;&gt;"",XLOOKUP($F566,Productos!$A:$A,Productos!L:L,"Revisar"),"")</f>
        <v/>
      </c>
      <c r="T566" s="179" t="str">
        <f t="array" ref="T566">IF($F566&lt;&gt;"", XLOOKUP($F566,Productos!$A$2:$A1001,Productos!M$2:M1001,"")*$G566,"")</f>
        <v/>
      </c>
      <c r="U566" s="179" t="str">
        <f t="array" ref="U566">IF($F566&lt;&gt;"",XLOOKUP($F566,Productos!$A:$A,Productos!N:N,"Revisar"),"")</f>
        <v/>
      </c>
      <c r="V566" s="179" t="str">
        <f t="array" ref="V566">IF($F566&lt;&gt;"", XLOOKUP($F566,Productos!$A$2:$A1001,Productos!O$2:O1001,"")*$G566,"")</f>
        <v/>
      </c>
      <c r="W566" s="179" t="str">
        <f t="array" ref="W566">IF($F566&lt;&gt;"",XLOOKUP($F566,Productos!$A:$A,Productos!P:P,"Revisar"),"")</f>
        <v/>
      </c>
      <c r="X566" s="179" t="str">
        <f t="array" ref="X566">IF($F566&lt;&gt;"", XLOOKUP($F566,Productos!$A$2:$A1001,Productos!Q$2:Q1001,"")*$G566,"")</f>
        <v/>
      </c>
      <c r="Y566" s="179" t="str">
        <f t="array" ref="Y566">IF($F566&lt;&gt;"",XLOOKUP($F566,Productos!$A:$A,Productos!R:R,"Revisar"),"")</f>
        <v/>
      </c>
      <c r="Z566" s="179" t="str">
        <f t="array" ref="Z566">IF($F566&lt;&gt;"", XLOOKUP($F566,Productos!$A$2:$A1001,Productos!S$2:S1001,"")*$G566,"")</f>
        <v/>
      </c>
      <c r="AA566" s="179" t="str">
        <f t="array" ref="AA566">IF($F566&lt;&gt;"",XLOOKUP($F566,Productos!$A:$A,Productos!T:T,"Revisar"),"")</f>
        <v/>
      </c>
      <c r="AB566" s="179" t="str">
        <f t="array" ref="AB566">IF($F566&lt;&gt;"", XLOOKUP($F566,Productos!$A$2:$A1001,Productos!U$2:U1001,"")*$G566,"")</f>
        <v/>
      </c>
      <c r="AC566" s="179" t="str">
        <f t="array" ref="AC566">IF($F566&lt;&gt;"",XLOOKUP($F566,Productos!$A:$A,Productos!V:V,"Revisar"),"")</f>
        <v/>
      </c>
      <c r="AD566" s="179" t="str">
        <f t="array" ref="AD566">IF($F566&lt;&gt;"", XLOOKUP($F566,Productos!$A$2:$A1001,Productos!W$2:W1001,"")*$G566,"")</f>
        <v/>
      </c>
      <c r="AE566" s="179" t="str">
        <f t="array" ref="AE566">IF($F566&lt;&gt;"",XLOOKUP($F566,Productos!$A:$A,Productos!X:X,"Revisar"),"")</f>
        <v/>
      </c>
      <c r="AF566" s="179" t="str">
        <f t="array" ref="AF566">IF($F566&lt;&gt;"", XLOOKUP($F566,Productos!$A$2:$A1001,Productos!Y$2:Y1001,"")*$G566,"")</f>
        <v/>
      </c>
      <c r="AG566" s="179" t="str">
        <f t="array" ref="AG566">IF($F566&lt;&gt;"",XLOOKUP($F566,Productos!$A:$A,Productos!Z:Z,"Revisar"),"")</f>
        <v/>
      </c>
      <c r="AH566" s="179" t="str">
        <f t="array" ref="AH566">IF($F566&lt;&gt;"", XLOOKUP($F566,Productos!$A$2:$A1001,Productos!AA$2:AA1001,"")*$G566,"")</f>
        <v/>
      </c>
      <c r="AI566" s="179" t="str">
        <f t="array" ref="AI566">IF($F566&lt;&gt;"",XLOOKUP($F566,Productos!$A:$A,Productos!AB:AB,"Revisar"),"")</f>
        <v/>
      </c>
      <c r="AJ566" s="179" t="str">
        <f t="array" ref="AJ566">IF($F566&lt;&gt;"", XLOOKUP($F566,Productos!$A$2:$A1001,Productos!AC$2:AC1001,"")*$G566,"")</f>
        <v/>
      </c>
      <c r="AK566" s="179" t="str">
        <f t="array" ref="AK566">IF($F566&lt;&gt;"",XLOOKUP($F566,Productos!$A:$A,Productos!AD:AD,"Revisar"),"")</f>
        <v/>
      </c>
      <c r="AL566" s="179" t="str">
        <f t="array" ref="AL566">IF($F566&lt;&gt;"", XLOOKUP($F566,Productos!$A$2:$A1001,Productos!AE$2:AE1001,"")*$G566,"")</f>
        <v/>
      </c>
      <c r="AM566" s="179" t="str">
        <f t="array" ref="AM566">IF($F566&lt;&gt;"",XLOOKUP($F566,Productos!$A:$A,Productos!AF:AF,"Revisar"),"")</f>
        <v/>
      </c>
      <c r="AN566" s="179" t="str">
        <f t="array" ref="AN566">IF($F566&lt;&gt;"", XLOOKUP($F566,Productos!$A$2:$A1001,Productos!AG$2:AG1001,"")*$G566,"")</f>
        <v/>
      </c>
      <c r="AO566" s="179" t="str">
        <f t="array" ref="AO566">IF($F566&lt;&gt;"",XLOOKUP($F566,Productos!$A:$A,Productos!AH:AH,"Revisar"),"")</f>
        <v/>
      </c>
      <c r="AP566" s="179" t="str">
        <f t="array" ref="AP566">IF($F566&lt;&gt;"", XLOOKUP($F566,Productos!$A$2:$A1001,Productos!AI$2:AI1001,"")*$G566,"")</f>
        <v/>
      </c>
      <c r="AQ566" s="179" t="str">
        <f t="array" ref="AQ566">IF($F566&lt;&gt;"",XLOOKUP($F566,Productos!$A:$A,Productos!AJ:AJ,"Revisar"),"")</f>
        <v/>
      </c>
      <c r="AR566" s="179" t="str">
        <f t="array" ref="AR566">IF($F566&lt;&gt;"", XLOOKUP($F566,Productos!$A$2:$A1001,Productos!AK$2:AK1001,"")*$G566,"")</f>
        <v/>
      </c>
      <c r="AS566" s="179" t="str">
        <f t="array" ref="AS566">IF($F566&lt;&gt;"",XLOOKUP($F566,Productos!$A:$A,Productos!AL:AL,"Revisar"),"")</f>
        <v/>
      </c>
      <c r="AT566" s="179" t="str">
        <f t="array" ref="AT566">IF($F566&lt;&gt;"", XLOOKUP($F566,Productos!$A$2:$A1001,Productos!AM$2:AM1001,"")*$G566,"")</f>
        <v/>
      </c>
      <c r="AU566" s="179" t="str">
        <f t="array" ref="AU566">IF($F566&lt;&gt;"",XLOOKUP($F566,Productos!$A:$A,Productos!AN:AN,"Revisar"),"")</f>
        <v/>
      </c>
      <c r="AV566" s="179" t="str">
        <f t="array" ref="AV566">IF($F566&lt;&gt;"", XLOOKUP($F566,Productos!$A$2:$A1001,Productos!AO$2:AO1001,"")*$G566,"")</f>
        <v/>
      </c>
      <c r="AW566" s="179" t="str">
        <f t="array" ref="AW566">IF($F566&lt;&gt;"",XLOOKUP($F566,Productos!$A:$A,Productos!AP:AP,"Revisar"),"")</f>
        <v/>
      </c>
      <c r="AX566" s="179" t="str">
        <f t="array" ref="AX566">IF($F566&lt;&gt;"", XLOOKUP($F566,Productos!$A$2:$A1001,Productos!AQ$2:AQ1001,"")*$G566,"")</f>
        <v/>
      </c>
      <c r="AY566" s="179" t="str">
        <f t="array" ref="AY566">IF($F566&lt;&gt;"",XLOOKUP($F566,Productos!$A:$A,Productos!AR:AR,"Revisar"),"")</f>
        <v/>
      </c>
      <c r="AZ566" s="179" t="str">
        <f t="array" ref="AZ566">IF($F566&lt;&gt;"", XLOOKUP($F566,Productos!$A$2:$A1001,Productos!AS$2:AS1001,"")*$G566,"")</f>
        <v/>
      </c>
      <c r="BA566" s="179" t="str">
        <f t="array" ref="BA566">IF($F566&lt;&gt;"",XLOOKUP($F566,Productos!$A:$A,Productos!AT:AT,"Revisar"),"")</f>
        <v/>
      </c>
      <c r="BB566" s="179" t="str">
        <f t="array" ref="BB566">IF($F566&lt;&gt;"", XLOOKUP($F566,Productos!$A$2:$A1001,Productos!AU$2:AU1001,"")*$G566,"")</f>
        <v/>
      </c>
      <c r="BC566" s="179" t="str">
        <f t="array" ref="BC566">IF($F566&lt;&gt;"",XLOOKUP($F566,Productos!$A:$A,Productos!AV:AV,"Revisar"),"")</f>
        <v/>
      </c>
      <c r="BD566" s="179" t="str">
        <f t="array" ref="BD566">IF($F566&lt;&gt;"", XLOOKUP($F566,Productos!$A$2:$A1001,Productos!AW$2:AW1001,"")*$G566,"")</f>
        <v/>
      </c>
      <c r="BE566" s="179" t="str">
        <f t="array" ref="BE566">IF($F566&lt;&gt;"",XLOOKUP($F566,Productos!$A:$A,Productos!AX:AX,"Revisar"),"")</f>
        <v/>
      </c>
      <c r="BF566" s="179" t="str">
        <f t="array" ref="BF566">IF($F566&lt;&gt;"", XLOOKUP($F566,Productos!$A$2:$A1001,Productos!AY$2:AY1001,"")*$G566,"")</f>
        <v/>
      </c>
      <c r="BG566" s="179" t="str">
        <f t="array" ref="BG566">IF($F566&lt;&gt;"",XLOOKUP($F566,Productos!$A:$A,Productos!AZ:AZ,"Revisar"),"")</f>
        <v/>
      </c>
      <c r="BH566" s="179" t="str">
        <f t="array" ref="BH566">IF($F566&lt;&gt;"", XLOOKUP($F566,Productos!$A$2:$A1001,Productos!BA$2:BA1001,"")*$G566,"")</f>
        <v/>
      </c>
      <c r="BI566" s="179" t="str">
        <f t="array" ref="BI566">IF($F566&lt;&gt;"",XLOOKUP($F566,Productos!$A:$A,Productos!BB:BB,"Revisar"),"")</f>
        <v/>
      </c>
      <c r="BJ566" s="179" t="str">
        <f t="array" ref="BJ566">IF($F566&lt;&gt;"", XLOOKUP($F566,Productos!$A$2:$A1001,Productos!BC$2:BC1001,"")*$G566,"")</f>
        <v/>
      </c>
      <c r="BK566" s="179" t="str">
        <f t="array" ref="BK566">IF($F566&lt;&gt;"",XLOOKUP($F566,Productos!$A:$A,Productos!BD:BD,"Revisar"),"")</f>
        <v/>
      </c>
      <c r="BL566" s="179" t="str">
        <f t="array" ref="BL566">IF($F566&lt;&gt;"", XLOOKUP($F566,Productos!$A$2:$A1001,Productos!BE$2:BE1001,"")*$G566,"")</f>
        <v/>
      </c>
      <c r="BM566" s="179" t="str">
        <f t="array" ref="BM566">IF($F566&lt;&gt;"",XLOOKUP($F566,Productos!$A:$A,Productos!BF:BF,"Revisar"),"")</f>
        <v/>
      </c>
      <c r="BN566" s="179" t="str">
        <f t="array" ref="BN566">IF($F566&lt;&gt;"", XLOOKUP($F566,Productos!$A$2:$A1001,Productos!BG$2:BG1001,"")*$G566,"")</f>
        <v/>
      </c>
      <c r="BO566" s="179" t="str">
        <f t="array" ref="BO566">IF($F566&lt;&gt;"",XLOOKUP($F566,Productos!$A:$A,Productos!BH:BH,"Revisar"),"")</f>
        <v/>
      </c>
      <c r="BP566" s="179" t="str">
        <f t="array" ref="BP566">IF($F566&lt;&gt;"", XLOOKUP($F566,Productos!$A$2:$A1001,Productos!BI$2:BI1001,"")*$G566,"")</f>
        <v/>
      </c>
      <c r="BQ566" s="179" t="str">
        <f t="array" ref="BQ566">IF($F566&lt;&gt;"",XLOOKUP($F566,Productos!$A:$A,Productos!BJ:BJ,"Revisar"),"")</f>
        <v/>
      </c>
      <c r="BR566" s="179" t="str">
        <f t="array" ref="BR566">IF($F566&lt;&gt;"", XLOOKUP($F566,Productos!$A$2:$A1001,Productos!BK$2:BK1001,"")*$G566,"")</f>
        <v/>
      </c>
      <c r="BS566" s="179" t="str">
        <f t="array" ref="BS566">IF($F566&lt;&gt;"",XLOOKUP($F566,Productos!$A:$A,Productos!BL:BL,"Revisar"),"")</f>
        <v/>
      </c>
      <c r="BT566" s="179" t="str">
        <f t="array" ref="BT566">IF($F566&lt;&gt;"", XLOOKUP($F566,Productos!$A$2:$A1001,Productos!BM$2:BM1001,"")*$G566,"")</f>
        <v/>
      </c>
      <c r="BU566" s="179" t="str">
        <f t="array" ref="BU566">IF($F566&lt;&gt;"",XLOOKUP($F566,Productos!$A:$A,Productos!BN:BN,"Revisar"),"")</f>
        <v/>
      </c>
      <c r="BV566" s="179" t="str">
        <f t="array" ref="BV566">IF($F566&lt;&gt;"", XLOOKUP($F566,Productos!$A$2:$A1001,Productos!BO$2:BO1001,"")*$G566,"")</f>
        <v/>
      </c>
      <c r="BW566" s="179" t="str">
        <f t="array" ref="BW566">IF($F566&lt;&gt;"",XLOOKUP($F566,Productos!$A:$A,Productos!BP:BP,"Revisar"),"")</f>
        <v/>
      </c>
      <c r="BX566" s="179" t="str">
        <f t="array" ref="BX566">IF($F566&lt;&gt;"", XLOOKUP($F566,Productos!$A$2:$A1001,Productos!BQ$2:BQ1001,"")*$G566,"")</f>
        <v/>
      </c>
      <c r="BY566" s="179" t="str">
        <f t="array" ref="BY566">IF($F566&lt;&gt;"",XLOOKUP($F566,Productos!$A:$A,Productos!BR:BR,"Revisar"),"")</f>
        <v/>
      </c>
      <c r="BZ566" s="179" t="str">
        <f t="array" ref="BZ566">IF($F566&lt;&gt;"", XLOOKUP($F566,Productos!$A$2:$A1001,Productos!BS$2:BS1001,"")*$G566,"")</f>
        <v/>
      </c>
    </row>
    <row r="567">
      <c r="A567" s="188"/>
      <c r="B567" s="189"/>
      <c r="C567" s="190"/>
      <c r="D567" s="190"/>
      <c r="E567" s="191"/>
      <c r="F567" s="186"/>
      <c r="G567" s="192"/>
      <c r="H567" s="9"/>
      <c r="I567" s="179" t="str">
        <f t="array" ref="I567">IF($F567&lt;&gt;"",XLOOKUP($F567,Productos!$A:$A,Productos!B:B,"Revisar"),"")</f>
        <v/>
      </c>
      <c r="J567" s="179" t="str">
        <f t="array" ref="J567">IF($F567&lt;&gt;"", XLOOKUP($F567,Productos!$A$2:$A1001,Productos!C$2:C1001,"")*$G567,"")</f>
        <v/>
      </c>
      <c r="K567" s="179" t="str">
        <f t="array" ref="K567">IF($F567&lt;&gt;"",XLOOKUP($F567,Productos!$A:$A,Productos!D:D,"Revisar"),"")</f>
        <v/>
      </c>
      <c r="L567" s="179" t="str">
        <f t="array" ref="L567">IF($F567&lt;&gt;"", XLOOKUP($F567,Productos!$A$2:$A1001,Productos!E$2:E1001,"")*$G567,"")</f>
        <v/>
      </c>
      <c r="M567" s="179" t="str">
        <f t="array" ref="M567">IF($F567&lt;&gt;"",XLOOKUP($F567,Productos!$A:$A,Productos!F:F,"Revisar"),"")</f>
        <v/>
      </c>
      <c r="N567" s="179" t="str">
        <f t="array" ref="N567">IF($F567&lt;&gt;"", XLOOKUP($F567,Productos!$A$2:$A1001,Productos!G$2:G1001,"")*$G567,"")</f>
        <v/>
      </c>
      <c r="O567" s="179" t="str">
        <f t="array" ref="O567">IF($F567&lt;&gt;"",XLOOKUP($F567,Productos!$A:$A,Productos!H:H,"Revisar"),"")</f>
        <v/>
      </c>
      <c r="P567" s="179" t="str">
        <f t="array" ref="P567">IF($F567&lt;&gt;"", XLOOKUP($F567,Productos!$A$2:$A1001,Productos!I$2:I1001,"")*$G567,"")</f>
        <v/>
      </c>
      <c r="Q567" s="179" t="str">
        <f t="array" ref="Q567">IF($F567&lt;&gt;"",XLOOKUP($F567,Productos!$A:$A,Productos!J:J,"Revisar"),"")</f>
        <v/>
      </c>
      <c r="R567" s="179" t="str">
        <f t="array" ref="R567">IF($F567&lt;&gt;"", XLOOKUP($F567,Productos!$A$2:$A1001,Productos!K$2:K1001,"")*$G567,"")</f>
        <v/>
      </c>
      <c r="S567" s="179" t="str">
        <f t="array" ref="S567">IF($F567&lt;&gt;"",XLOOKUP($F567,Productos!$A:$A,Productos!L:L,"Revisar"),"")</f>
        <v/>
      </c>
      <c r="T567" s="179" t="str">
        <f t="array" ref="T567">IF($F567&lt;&gt;"", XLOOKUP($F567,Productos!$A$2:$A1001,Productos!M$2:M1001,"")*$G567,"")</f>
        <v/>
      </c>
      <c r="U567" s="179" t="str">
        <f t="array" ref="U567">IF($F567&lt;&gt;"",XLOOKUP($F567,Productos!$A:$A,Productos!N:N,"Revisar"),"")</f>
        <v/>
      </c>
      <c r="V567" s="179" t="str">
        <f t="array" ref="V567">IF($F567&lt;&gt;"", XLOOKUP($F567,Productos!$A$2:$A1001,Productos!O$2:O1001,"")*$G567,"")</f>
        <v/>
      </c>
      <c r="W567" s="179" t="str">
        <f t="array" ref="W567">IF($F567&lt;&gt;"",XLOOKUP($F567,Productos!$A:$A,Productos!P:P,"Revisar"),"")</f>
        <v/>
      </c>
      <c r="X567" s="179" t="str">
        <f t="array" ref="X567">IF($F567&lt;&gt;"", XLOOKUP($F567,Productos!$A$2:$A1001,Productos!Q$2:Q1001,"")*$G567,"")</f>
        <v/>
      </c>
      <c r="Y567" s="179" t="str">
        <f t="array" ref="Y567">IF($F567&lt;&gt;"",XLOOKUP($F567,Productos!$A:$A,Productos!R:R,"Revisar"),"")</f>
        <v/>
      </c>
      <c r="Z567" s="179" t="str">
        <f t="array" ref="Z567">IF($F567&lt;&gt;"", XLOOKUP($F567,Productos!$A$2:$A1001,Productos!S$2:S1001,"")*$G567,"")</f>
        <v/>
      </c>
      <c r="AA567" s="179" t="str">
        <f t="array" ref="AA567">IF($F567&lt;&gt;"",XLOOKUP($F567,Productos!$A:$A,Productos!T:T,"Revisar"),"")</f>
        <v/>
      </c>
      <c r="AB567" s="179" t="str">
        <f t="array" ref="AB567">IF($F567&lt;&gt;"", XLOOKUP($F567,Productos!$A$2:$A1001,Productos!U$2:U1001,"")*$G567,"")</f>
        <v/>
      </c>
      <c r="AC567" s="179" t="str">
        <f t="array" ref="AC567">IF($F567&lt;&gt;"",XLOOKUP($F567,Productos!$A:$A,Productos!V:V,"Revisar"),"")</f>
        <v/>
      </c>
      <c r="AD567" s="179" t="str">
        <f t="array" ref="AD567">IF($F567&lt;&gt;"", XLOOKUP($F567,Productos!$A$2:$A1001,Productos!W$2:W1001,"")*$G567,"")</f>
        <v/>
      </c>
      <c r="AE567" s="179" t="str">
        <f t="array" ref="AE567">IF($F567&lt;&gt;"",XLOOKUP($F567,Productos!$A:$A,Productos!X:X,"Revisar"),"")</f>
        <v/>
      </c>
      <c r="AF567" s="179" t="str">
        <f t="array" ref="AF567">IF($F567&lt;&gt;"", XLOOKUP($F567,Productos!$A$2:$A1001,Productos!Y$2:Y1001,"")*$G567,"")</f>
        <v/>
      </c>
      <c r="AG567" s="179" t="str">
        <f t="array" ref="AG567">IF($F567&lt;&gt;"",XLOOKUP($F567,Productos!$A:$A,Productos!Z:Z,"Revisar"),"")</f>
        <v/>
      </c>
      <c r="AH567" s="179" t="str">
        <f t="array" ref="AH567">IF($F567&lt;&gt;"", XLOOKUP($F567,Productos!$A$2:$A1001,Productos!AA$2:AA1001,"")*$G567,"")</f>
        <v/>
      </c>
      <c r="AI567" s="179" t="str">
        <f t="array" ref="AI567">IF($F567&lt;&gt;"",XLOOKUP($F567,Productos!$A:$A,Productos!AB:AB,"Revisar"),"")</f>
        <v/>
      </c>
      <c r="AJ567" s="179" t="str">
        <f t="array" ref="AJ567">IF($F567&lt;&gt;"", XLOOKUP($F567,Productos!$A$2:$A1001,Productos!AC$2:AC1001,"")*$G567,"")</f>
        <v/>
      </c>
      <c r="AK567" s="179" t="str">
        <f t="array" ref="AK567">IF($F567&lt;&gt;"",XLOOKUP($F567,Productos!$A:$A,Productos!AD:AD,"Revisar"),"")</f>
        <v/>
      </c>
      <c r="AL567" s="179" t="str">
        <f t="array" ref="AL567">IF($F567&lt;&gt;"", XLOOKUP($F567,Productos!$A$2:$A1001,Productos!AE$2:AE1001,"")*$G567,"")</f>
        <v/>
      </c>
      <c r="AM567" s="179" t="str">
        <f t="array" ref="AM567">IF($F567&lt;&gt;"",XLOOKUP($F567,Productos!$A:$A,Productos!AF:AF,"Revisar"),"")</f>
        <v/>
      </c>
      <c r="AN567" s="179" t="str">
        <f t="array" ref="AN567">IF($F567&lt;&gt;"", XLOOKUP($F567,Productos!$A$2:$A1001,Productos!AG$2:AG1001,"")*$G567,"")</f>
        <v/>
      </c>
      <c r="AO567" s="179" t="str">
        <f t="array" ref="AO567">IF($F567&lt;&gt;"",XLOOKUP($F567,Productos!$A:$A,Productos!AH:AH,"Revisar"),"")</f>
        <v/>
      </c>
      <c r="AP567" s="179" t="str">
        <f t="array" ref="AP567">IF($F567&lt;&gt;"", XLOOKUP($F567,Productos!$A$2:$A1001,Productos!AI$2:AI1001,"")*$G567,"")</f>
        <v/>
      </c>
      <c r="AQ567" s="179" t="str">
        <f t="array" ref="AQ567">IF($F567&lt;&gt;"",XLOOKUP($F567,Productos!$A:$A,Productos!AJ:AJ,"Revisar"),"")</f>
        <v/>
      </c>
      <c r="AR567" s="179" t="str">
        <f t="array" ref="AR567">IF($F567&lt;&gt;"", XLOOKUP($F567,Productos!$A$2:$A1001,Productos!AK$2:AK1001,"")*$G567,"")</f>
        <v/>
      </c>
      <c r="AS567" s="179" t="str">
        <f t="array" ref="AS567">IF($F567&lt;&gt;"",XLOOKUP($F567,Productos!$A:$A,Productos!AL:AL,"Revisar"),"")</f>
        <v/>
      </c>
      <c r="AT567" s="179" t="str">
        <f t="array" ref="AT567">IF($F567&lt;&gt;"", XLOOKUP($F567,Productos!$A$2:$A1001,Productos!AM$2:AM1001,"")*$G567,"")</f>
        <v/>
      </c>
      <c r="AU567" s="179" t="str">
        <f t="array" ref="AU567">IF($F567&lt;&gt;"",XLOOKUP($F567,Productos!$A:$A,Productos!AN:AN,"Revisar"),"")</f>
        <v/>
      </c>
      <c r="AV567" s="179" t="str">
        <f t="array" ref="AV567">IF($F567&lt;&gt;"", XLOOKUP($F567,Productos!$A$2:$A1001,Productos!AO$2:AO1001,"")*$G567,"")</f>
        <v/>
      </c>
      <c r="AW567" s="179" t="str">
        <f t="array" ref="AW567">IF($F567&lt;&gt;"",XLOOKUP($F567,Productos!$A:$A,Productos!AP:AP,"Revisar"),"")</f>
        <v/>
      </c>
      <c r="AX567" s="179" t="str">
        <f t="array" ref="AX567">IF($F567&lt;&gt;"", XLOOKUP($F567,Productos!$A$2:$A1001,Productos!AQ$2:AQ1001,"")*$G567,"")</f>
        <v/>
      </c>
      <c r="AY567" s="179" t="str">
        <f t="array" ref="AY567">IF($F567&lt;&gt;"",XLOOKUP($F567,Productos!$A:$A,Productos!AR:AR,"Revisar"),"")</f>
        <v/>
      </c>
      <c r="AZ567" s="179" t="str">
        <f t="array" ref="AZ567">IF($F567&lt;&gt;"", XLOOKUP($F567,Productos!$A$2:$A1001,Productos!AS$2:AS1001,"")*$G567,"")</f>
        <v/>
      </c>
      <c r="BA567" s="179" t="str">
        <f t="array" ref="BA567">IF($F567&lt;&gt;"",XLOOKUP($F567,Productos!$A:$A,Productos!AT:AT,"Revisar"),"")</f>
        <v/>
      </c>
      <c r="BB567" s="179" t="str">
        <f t="array" ref="BB567">IF($F567&lt;&gt;"", XLOOKUP($F567,Productos!$A$2:$A1001,Productos!AU$2:AU1001,"")*$G567,"")</f>
        <v/>
      </c>
      <c r="BC567" s="179" t="str">
        <f t="array" ref="BC567">IF($F567&lt;&gt;"",XLOOKUP($F567,Productos!$A:$A,Productos!AV:AV,"Revisar"),"")</f>
        <v/>
      </c>
      <c r="BD567" s="179" t="str">
        <f t="array" ref="BD567">IF($F567&lt;&gt;"", XLOOKUP($F567,Productos!$A$2:$A1001,Productos!AW$2:AW1001,"")*$G567,"")</f>
        <v/>
      </c>
      <c r="BE567" s="179" t="str">
        <f t="array" ref="BE567">IF($F567&lt;&gt;"",XLOOKUP($F567,Productos!$A:$A,Productos!AX:AX,"Revisar"),"")</f>
        <v/>
      </c>
      <c r="BF567" s="179" t="str">
        <f t="array" ref="BF567">IF($F567&lt;&gt;"", XLOOKUP($F567,Productos!$A$2:$A1001,Productos!AY$2:AY1001,"")*$G567,"")</f>
        <v/>
      </c>
      <c r="BG567" s="179" t="str">
        <f t="array" ref="BG567">IF($F567&lt;&gt;"",XLOOKUP($F567,Productos!$A:$A,Productos!AZ:AZ,"Revisar"),"")</f>
        <v/>
      </c>
      <c r="BH567" s="179" t="str">
        <f t="array" ref="BH567">IF($F567&lt;&gt;"", XLOOKUP($F567,Productos!$A$2:$A1001,Productos!BA$2:BA1001,"")*$G567,"")</f>
        <v/>
      </c>
      <c r="BI567" s="179" t="str">
        <f t="array" ref="BI567">IF($F567&lt;&gt;"",XLOOKUP($F567,Productos!$A:$A,Productos!BB:BB,"Revisar"),"")</f>
        <v/>
      </c>
      <c r="BJ567" s="179" t="str">
        <f t="array" ref="BJ567">IF($F567&lt;&gt;"", XLOOKUP($F567,Productos!$A$2:$A1001,Productos!BC$2:BC1001,"")*$G567,"")</f>
        <v/>
      </c>
      <c r="BK567" s="179" t="str">
        <f t="array" ref="BK567">IF($F567&lt;&gt;"",XLOOKUP($F567,Productos!$A:$A,Productos!BD:BD,"Revisar"),"")</f>
        <v/>
      </c>
      <c r="BL567" s="179" t="str">
        <f t="array" ref="BL567">IF($F567&lt;&gt;"", XLOOKUP($F567,Productos!$A$2:$A1001,Productos!BE$2:BE1001,"")*$G567,"")</f>
        <v/>
      </c>
      <c r="BM567" s="179" t="str">
        <f t="array" ref="BM567">IF($F567&lt;&gt;"",XLOOKUP($F567,Productos!$A:$A,Productos!BF:BF,"Revisar"),"")</f>
        <v/>
      </c>
      <c r="BN567" s="179" t="str">
        <f t="array" ref="BN567">IF($F567&lt;&gt;"", XLOOKUP($F567,Productos!$A$2:$A1001,Productos!BG$2:BG1001,"")*$G567,"")</f>
        <v/>
      </c>
      <c r="BO567" s="179" t="str">
        <f t="array" ref="BO567">IF($F567&lt;&gt;"",XLOOKUP($F567,Productos!$A:$A,Productos!BH:BH,"Revisar"),"")</f>
        <v/>
      </c>
      <c r="BP567" s="179" t="str">
        <f t="array" ref="BP567">IF($F567&lt;&gt;"", XLOOKUP($F567,Productos!$A$2:$A1001,Productos!BI$2:BI1001,"")*$G567,"")</f>
        <v/>
      </c>
      <c r="BQ567" s="179" t="str">
        <f t="array" ref="BQ567">IF($F567&lt;&gt;"",XLOOKUP($F567,Productos!$A:$A,Productos!BJ:BJ,"Revisar"),"")</f>
        <v/>
      </c>
      <c r="BR567" s="179" t="str">
        <f t="array" ref="BR567">IF($F567&lt;&gt;"", XLOOKUP($F567,Productos!$A$2:$A1001,Productos!BK$2:BK1001,"")*$G567,"")</f>
        <v/>
      </c>
      <c r="BS567" s="179" t="str">
        <f t="array" ref="BS567">IF($F567&lt;&gt;"",XLOOKUP($F567,Productos!$A:$A,Productos!BL:BL,"Revisar"),"")</f>
        <v/>
      </c>
      <c r="BT567" s="179" t="str">
        <f t="array" ref="BT567">IF($F567&lt;&gt;"", XLOOKUP($F567,Productos!$A$2:$A1001,Productos!BM$2:BM1001,"")*$G567,"")</f>
        <v/>
      </c>
      <c r="BU567" s="179" t="str">
        <f t="array" ref="BU567">IF($F567&lt;&gt;"",XLOOKUP($F567,Productos!$A:$A,Productos!BN:BN,"Revisar"),"")</f>
        <v/>
      </c>
      <c r="BV567" s="179" t="str">
        <f t="array" ref="BV567">IF($F567&lt;&gt;"", XLOOKUP($F567,Productos!$A$2:$A1001,Productos!BO$2:BO1001,"")*$G567,"")</f>
        <v/>
      </c>
      <c r="BW567" s="179" t="str">
        <f t="array" ref="BW567">IF($F567&lt;&gt;"",XLOOKUP($F567,Productos!$A:$A,Productos!BP:BP,"Revisar"),"")</f>
        <v/>
      </c>
      <c r="BX567" s="179" t="str">
        <f t="array" ref="BX567">IF($F567&lt;&gt;"", XLOOKUP($F567,Productos!$A$2:$A1001,Productos!BQ$2:BQ1001,"")*$G567,"")</f>
        <v/>
      </c>
      <c r="BY567" s="179" t="str">
        <f t="array" ref="BY567">IF($F567&lt;&gt;"",XLOOKUP($F567,Productos!$A:$A,Productos!BR:BR,"Revisar"),"")</f>
        <v/>
      </c>
      <c r="BZ567" s="179" t="str">
        <f t="array" ref="BZ567">IF($F567&lt;&gt;"", XLOOKUP($F567,Productos!$A$2:$A1001,Productos!BS$2:BS1001,"")*$G567,"")</f>
        <v/>
      </c>
    </row>
    <row r="568">
      <c r="A568" s="188"/>
      <c r="B568" s="189"/>
      <c r="C568" s="190"/>
      <c r="D568" s="190"/>
      <c r="E568" s="191"/>
      <c r="F568" s="186"/>
      <c r="G568" s="192"/>
      <c r="H568" s="9"/>
      <c r="I568" s="179" t="str">
        <f t="array" ref="I568">IF($F568&lt;&gt;"",XLOOKUP($F568,Productos!$A:$A,Productos!B:B,"Revisar"),"")</f>
        <v/>
      </c>
      <c r="J568" s="179" t="str">
        <f t="array" ref="J568">IF($F568&lt;&gt;"", XLOOKUP($F568,Productos!$A$2:$A1001,Productos!C$2:C1001,"")*$G568,"")</f>
        <v/>
      </c>
      <c r="K568" s="179" t="str">
        <f t="array" ref="K568">IF($F568&lt;&gt;"",XLOOKUP($F568,Productos!$A:$A,Productos!D:D,"Revisar"),"")</f>
        <v/>
      </c>
      <c r="L568" s="179" t="str">
        <f t="array" ref="L568">IF($F568&lt;&gt;"", XLOOKUP($F568,Productos!$A$2:$A1001,Productos!E$2:E1001,"")*$G568,"")</f>
        <v/>
      </c>
      <c r="M568" s="179" t="str">
        <f t="array" ref="M568">IF($F568&lt;&gt;"",XLOOKUP($F568,Productos!$A:$A,Productos!F:F,"Revisar"),"")</f>
        <v/>
      </c>
      <c r="N568" s="179" t="str">
        <f t="array" ref="N568">IF($F568&lt;&gt;"", XLOOKUP($F568,Productos!$A$2:$A1001,Productos!G$2:G1001,"")*$G568,"")</f>
        <v/>
      </c>
      <c r="O568" s="179" t="str">
        <f t="array" ref="O568">IF($F568&lt;&gt;"",XLOOKUP($F568,Productos!$A:$A,Productos!H:H,"Revisar"),"")</f>
        <v/>
      </c>
      <c r="P568" s="179" t="str">
        <f t="array" ref="P568">IF($F568&lt;&gt;"", XLOOKUP($F568,Productos!$A$2:$A1001,Productos!I$2:I1001,"")*$G568,"")</f>
        <v/>
      </c>
      <c r="Q568" s="179" t="str">
        <f t="array" ref="Q568">IF($F568&lt;&gt;"",XLOOKUP($F568,Productos!$A:$A,Productos!J:J,"Revisar"),"")</f>
        <v/>
      </c>
      <c r="R568" s="179" t="str">
        <f t="array" ref="R568">IF($F568&lt;&gt;"", XLOOKUP($F568,Productos!$A$2:$A1001,Productos!K$2:K1001,"")*$G568,"")</f>
        <v/>
      </c>
      <c r="S568" s="179" t="str">
        <f t="array" ref="S568">IF($F568&lt;&gt;"",XLOOKUP($F568,Productos!$A:$A,Productos!L:L,"Revisar"),"")</f>
        <v/>
      </c>
      <c r="T568" s="179" t="str">
        <f t="array" ref="T568">IF($F568&lt;&gt;"", XLOOKUP($F568,Productos!$A$2:$A1001,Productos!M$2:M1001,"")*$G568,"")</f>
        <v/>
      </c>
      <c r="U568" s="179" t="str">
        <f t="array" ref="U568">IF($F568&lt;&gt;"",XLOOKUP($F568,Productos!$A:$A,Productos!N:N,"Revisar"),"")</f>
        <v/>
      </c>
      <c r="V568" s="179" t="str">
        <f t="array" ref="V568">IF($F568&lt;&gt;"", XLOOKUP($F568,Productos!$A$2:$A1001,Productos!O$2:O1001,"")*$G568,"")</f>
        <v/>
      </c>
      <c r="W568" s="179" t="str">
        <f t="array" ref="W568">IF($F568&lt;&gt;"",XLOOKUP($F568,Productos!$A:$A,Productos!P:P,"Revisar"),"")</f>
        <v/>
      </c>
      <c r="X568" s="179" t="str">
        <f t="array" ref="X568">IF($F568&lt;&gt;"", XLOOKUP($F568,Productos!$A$2:$A1001,Productos!Q$2:Q1001,"")*$G568,"")</f>
        <v/>
      </c>
      <c r="Y568" s="179" t="str">
        <f t="array" ref="Y568">IF($F568&lt;&gt;"",XLOOKUP($F568,Productos!$A:$A,Productos!R:R,"Revisar"),"")</f>
        <v/>
      </c>
      <c r="Z568" s="179" t="str">
        <f t="array" ref="Z568">IF($F568&lt;&gt;"", XLOOKUP($F568,Productos!$A$2:$A1001,Productos!S$2:S1001,"")*$G568,"")</f>
        <v/>
      </c>
      <c r="AA568" s="179" t="str">
        <f t="array" ref="AA568">IF($F568&lt;&gt;"",XLOOKUP($F568,Productos!$A:$A,Productos!T:T,"Revisar"),"")</f>
        <v/>
      </c>
      <c r="AB568" s="179" t="str">
        <f t="array" ref="AB568">IF($F568&lt;&gt;"", XLOOKUP($F568,Productos!$A$2:$A1001,Productos!U$2:U1001,"")*$G568,"")</f>
        <v/>
      </c>
      <c r="AC568" s="179" t="str">
        <f t="array" ref="AC568">IF($F568&lt;&gt;"",XLOOKUP($F568,Productos!$A:$A,Productos!V:V,"Revisar"),"")</f>
        <v/>
      </c>
      <c r="AD568" s="179" t="str">
        <f t="array" ref="AD568">IF($F568&lt;&gt;"", XLOOKUP($F568,Productos!$A$2:$A1001,Productos!W$2:W1001,"")*$G568,"")</f>
        <v/>
      </c>
      <c r="AE568" s="179" t="str">
        <f t="array" ref="AE568">IF($F568&lt;&gt;"",XLOOKUP($F568,Productos!$A:$A,Productos!X:X,"Revisar"),"")</f>
        <v/>
      </c>
      <c r="AF568" s="179" t="str">
        <f t="array" ref="AF568">IF($F568&lt;&gt;"", XLOOKUP($F568,Productos!$A$2:$A1001,Productos!Y$2:Y1001,"")*$G568,"")</f>
        <v/>
      </c>
      <c r="AG568" s="179" t="str">
        <f t="array" ref="AG568">IF($F568&lt;&gt;"",XLOOKUP($F568,Productos!$A:$A,Productos!Z:Z,"Revisar"),"")</f>
        <v/>
      </c>
      <c r="AH568" s="179" t="str">
        <f t="array" ref="AH568">IF($F568&lt;&gt;"", XLOOKUP($F568,Productos!$A$2:$A1001,Productos!AA$2:AA1001,"")*$G568,"")</f>
        <v/>
      </c>
      <c r="AI568" s="179" t="str">
        <f t="array" ref="AI568">IF($F568&lt;&gt;"",XLOOKUP($F568,Productos!$A:$A,Productos!AB:AB,"Revisar"),"")</f>
        <v/>
      </c>
      <c r="AJ568" s="179" t="str">
        <f t="array" ref="AJ568">IF($F568&lt;&gt;"", XLOOKUP($F568,Productos!$A$2:$A1001,Productos!AC$2:AC1001,"")*$G568,"")</f>
        <v/>
      </c>
      <c r="AK568" s="179" t="str">
        <f t="array" ref="AK568">IF($F568&lt;&gt;"",XLOOKUP($F568,Productos!$A:$A,Productos!AD:AD,"Revisar"),"")</f>
        <v/>
      </c>
      <c r="AL568" s="179" t="str">
        <f t="array" ref="AL568">IF($F568&lt;&gt;"", XLOOKUP($F568,Productos!$A$2:$A1001,Productos!AE$2:AE1001,"")*$G568,"")</f>
        <v/>
      </c>
      <c r="AM568" s="179" t="str">
        <f t="array" ref="AM568">IF($F568&lt;&gt;"",XLOOKUP($F568,Productos!$A:$A,Productos!AF:AF,"Revisar"),"")</f>
        <v/>
      </c>
      <c r="AN568" s="179" t="str">
        <f t="array" ref="AN568">IF($F568&lt;&gt;"", XLOOKUP($F568,Productos!$A$2:$A1001,Productos!AG$2:AG1001,"")*$G568,"")</f>
        <v/>
      </c>
      <c r="AO568" s="179" t="str">
        <f t="array" ref="AO568">IF($F568&lt;&gt;"",XLOOKUP($F568,Productos!$A:$A,Productos!AH:AH,"Revisar"),"")</f>
        <v/>
      </c>
      <c r="AP568" s="179" t="str">
        <f t="array" ref="AP568">IF($F568&lt;&gt;"", XLOOKUP($F568,Productos!$A$2:$A1001,Productos!AI$2:AI1001,"")*$G568,"")</f>
        <v/>
      </c>
      <c r="AQ568" s="179" t="str">
        <f t="array" ref="AQ568">IF($F568&lt;&gt;"",XLOOKUP($F568,Productos!$A:$A,Productos!AJ:AJ,"Revisar"),"")</f>
        <v/>
      </c>
      <c r="AR568" s="179" t="str">
        <f t="array" ref="AR568">IF($F568&lt;&gt;"", XLOOKUP($F568,Productos!$A$2:$A1001,Productos!AK$2:AK1001,"")*$G568,"")</f>
        <v/>
      </c>
      <c r="AS568" s="179" t="str">
        <f t="array" ref="AS568">IF($F568&lt;&gt;"",XLOOKUP($F568,Productos!$A:$A,Productos!AL:AL,"Revisar"),"")</f>
        <v/>
      </c>
      <c r="AT568" s="179" t="str">
        <f t="array" ref="AT568">IF($F568&lt;&gt;"", XLOOKUP($F568,Productos!$A$2:$A1001,Productos!AM$2:AM1001,"")*$G568,"")</f>
        <v/>
      </c>
      <c r="AU568" s="179" t="str">
        <f t="array" ref="AU568">IF($F568&lt;&gt;"",XLOOKUP($F568,Productos!$A:$A,Productos!AN:AN,"Revisar"),"")</f>
        <v/>
      </c>
      <c r="AV568" s="179" t="str">
        <f t="array" ref="AV568">IF($F568&lt;&gt;"", XLOOKUP($F568,Productos!$A$2:$A1001,Productos!AO$2:AO1001,"")*$G568,"")</f>
        <v/>
      </c>
      <c r="AW568" s="179" t="str">
        <f t="array" ref="AW568">IF($F568&lt;&gt;"",XLOOKUP($F568,Productos!$A:$A,Productos!AP:AP,"Revisar"),"")</f>
        <v/>
      </c>
      <c r="AX568" s="179" t="str">
        <f t="array" ref="AX568">IF($F568&lt;&gt;"", XLOOKUP($F568,Productos!$A$2:$A1001,Productos!AQ$2:AQ1001,"")*$G568,"")</f>
        <v/>
      </c>
      <c r="AY568" s="179" t="str">
        <f t="array" ref="AY568">IF($F568&lt;&gt;"",XLOOKUP($F568,Productos!$A:$A,Productos!AR:AR,"Revisar"),"")</f>
        <v/>
      </c>
      <c r="AZ568" s="179" t="str">
        <f t="array" ref="AZ568">IF($F568&lt;&gt;"", XLOOKUP($F568,Productos!$A$2:$A1001,Productos!AS$2:AS1001,"")*$G568,"")</f>
        <v/>
      </c>
      <c r="BA568" s="179" t="str">
        <f t="array" ref="BA568">IF($F568&lt;&gt;"",XLOOKUP($F568,Productos!$A:$A,Productos!AT:AT,"Revisar"),"")</f>
        <v/>
      </c>
      <c r="BB568" s="179" t="str">
        <f t="array" ref="BB568">IF($F568&lt;&gt;"", XLOOKUP($F568,Productos!$A$2:$A1001,Productos!AU$2:AU1001,"")*$G568,"")</f>
        <v/>
      </c>
      <c r="BC568" s="179" t="str">
        <f t="array" ref="BC568">IF($F568&lt;&gt;"",XLOOKUP($F568,Productos!$A:$A,Productos!AV:AV,"Revisar"),"")</f>
        <v/>
      </c>
      <c r="BD568" s="179" t="str">
        <f t="array" ref="BD568">IF($F568&lt;&gt;"", XLOOKUP($F568,Productos!$A$2:$A1001,Productos!AW$2:AW1001,"")*$G568,"")</f>
        <v/>
      </c>
      <c r="BE568" s="179" t="str">
        <f t="array" ref="BE568">IF($F568&lt;&gt;"",XLOOKUP($F568,Productos!$A:$A,Productos!AX:AX,"Revisar"),"")</f>
        <v/>
      </c>
      <c r="BF568" s="179" t="str">
        <f t="array" ref="BF568">IF($F568&lt;&gt;"", XLOOKUP($F568,Productos!$A$2:$A1001,Productos!AY$2:AY1001,"")*$G568,"")</f>
        <v/>
      </c>
      <c r="BG568" s="179" t="str">
        <f t="array" ref="BG568">IF($F568&lt;&gt;"",XLOOKUP($F568,Productos!$A:$A,Productos!AZ:AZ,"Revisar"),"")</f>
        <v/>
      </c>
      <c r="BH568" s="179" t="str">
        <f t="array" ref="BH568">IF($F568&lt;&gt;"", XLOOKUP($F568,Productos!$A$2:$A1001,Productos!BA$2:BA1001,"")*$G568,"")</f>
        <v/>
      </c>
      <c r="BI568" s="179" t="str">
        <f t="array" ref="BI568">IF($F568&lt;&gt;"",XLOOKUP($F568,Productos!$A:$A,Productos!BB:BB,"Revisar"),"")</f>
        <v/>
      </c>
      <c r="BJ568" s="179" t="str">
        <f t="array" ref="BJ568">IF($F568&lt;&gt;"", XLOOKUP($F568,Productos!$A$2:$A1001,Productos!BC$2:BC1001,"")*$G568,"")</f>
        <v/>
      </c>
      <c r="BK568" s="179" t="str">
        <f t="array" ref="BK568">IF($F568&lt;&gt;"",XLOOKUP($F568,Productos!$A:$A,Productos!BD:BD,"Revisar"),"")</f>
        <v/>
      </c>
      <c r="BL568" s="179" t="str">
        <f t="array" ref="BL568">IF($F568&lt;&gt;"", XLOOKUP($F568,Productos!$A$2:$A1001,Productos!BE$2:BE1001,"")*$G568,"")</f>
        <v/>
      </c>
      <c r="BM568" s="179" t="str">
        <f t="array" ref="BM568">IF($F568&lt;&gt;"",XLOOKUP($F568,Productos!$A:$A,Productos!BF:BF,"Revisar"),"")</f>
        <v/>
      </c>
      <c r="BN568" s="179" t="str">
        <f t="array" ref="BN568">IF($F568&lt;&gt;"", XLOOKUP($F568,Productos!$A$2:$A1001,Productos!BG$2:BG1001,"")*$G568,"")</f>
        <v/>
      </c>
      <c r="BO568" s="179" t="str">
        <f t="array" ref="BO568">IF($F568&lt;&gt;"",XLOOKUP($F568,Productos!$A:$A,Productos!BH:BH,"Revisar"),"")</f>
        <v/>
      </c>
      <c r="BP568" s="179" t="str">
        <f t="array" ref="BP568">IF($F568&lt;&gt;"", XLOOKUP($F568,Productos!$A$2:$A1001,Productos!BI$2:BI1001,"")*$G568,"")</f>
        <v/>
      </c>
      <c r="BQ568" s="179" t="str">
        <f t="array" ref="BQ568">IF($F568&lt;&gt;"",XLOOKUP($F568,Productos!$A:$A,Productos!BJ:BJ,"Revisar"),"")</f>
        <v/>
      </c>
      <c r="BR568" s="179" t="str">
        <f t="array" ref="BR568">IF($F568&lt;&gt;"", XLOOKUP($F568,Productos!$A$2:$A1001,Productos!BK$2:BK1001,"")*$G568,"")</f>
        <v/>
      </c>
      <c r="BS568" s="179" t="str">
        <f t="array" ref="BS568">IF($F568&lt;&gt;"",XLOOKUP($F568,Productos!$A:$A,Productos!BL:BL,"Revisar"),"")</f>
        <v/>
      </c>
      <c r="BT568" s="179" t="str">
        <f t="array" ref="BT568">IF($F568&lt;&gt;"", XLOOKUP($F568,Productos!$A$2:$A1001,Productos!BM$2:BM1001,"")*$G568,"")</f>
        <v/>
      </c>
      <c r="BU568" s="179" t="str">
        <f t="array" ref="BU568">IF($F568&lt;&gt;"",XLOOKUP($F568,Productos!$A:$A,Productos!BN:BN,"Revisar"),"")</f>
        <v/>
      </c>
      <c r="BV568" s="179" t="str">
        <f t="array" ref="BV568">IF($F568&lt;&gt;"", XLOOKUP($F568,Productos!$A$2:$A1001,Productos!BO$2:BO1001,"")*$G568,"")</f>
        <v/>
      </c>
      <c r="BW568" s="179" t="str">
        <f t="array" ref="BW568">IF($F568&lt;&gt;"",XLOOKUP($F568,Productos!$A:$A,Productos!BP:BP,"Revisar"),"")</f>
        <v/>
      </c>
      <c r="BX568" s="179" t="str">
        <f t="array" ref="BX568">IF($F568&lt;&gt;"", XLOOKUP($F568,Productos!$A$2:$A1001,Productos!BQ$2:BQ1001,"")*$G568,"")</f>
        <v/>
      </c>
      <c r="BY568" s="179" t="str">
        <f t="array" ref="BY568">IF($F568&lt;&gt;"",XLOOKUP($F568,Productos!$A:$A,Productos!BR:BR,"Revisar"),"")</f>
        <v/>
      </c>
      <c r="BZ568" s="179" t="str">
        <f t="array" ref="BZ568">IF($F568&lt;&gt;"", XLOOKUP($F568,Productos!$A$2:$A1001,Productos!BS$2:BS1001,"")*$G568,"")</f>
        <v/>
      </c>
    </row>
    <row r="569">
      <c r="A569" s="188"/>
      <c r="B569" s="189"/>
      <c r="C569" s="190"/>
      <c r="D569" s="190"/>
      <c r="E569" s="191"/>
      <c r="F569" s="186"/>
      <c r="G569" s="192"/>
      <c r="H569" s="9"/>
      <c r="I569" s="179" t="str">
        <f t="array" ref="I569">IF($F569&lt;&gt;"",XLOOKUP($F569,Productos!$A:$A,Productos!B:B,"Revisar"),"")</f>
        <v/>
      </c>
      <c r="J569" s="179" t="str">
        <f t="array" ref="J569">IF($F569&lt;&gt;"", XLOOKUP($F569,Productos!$A$2:$A1001,Productos!C$2:C1001,"")*$G569,"")</f>
        <v/>
      </c>
      <c r="K569" s="179" t="str">
        <f t="array" ref="K569">IF($F569&lt;&gt;"",XLOOKUP($F569,Productos!$A:$A,Productos!D:D,"Revisar"),"")</f>
        <v/>
      </c>
      <c r="L569" s="179" t="str">
        <f t="array" ref="L569">IF($F569&lt;&gt;"", XLOOKUP($F569,Productos!$A$2:$A1001,Productos!E$2:E1001,"")*$G569,"")</f>
        <v/>
      </c>
      <c r="M569" s="179" t="str">
        <f t="array" ref="M569">IF($F569&lt;&gt;"",XLOOKUP($F569,Productos!$A:$A,Productos!F:F,"Revisar"),"")</f>
        <v/>
      </c>
      <c r="N569" s="179" t="str">
        <f t="array" ref="N569">IF($F569&lt;&gt;"", XLOOKUP($F569,Productos!$A$2:$A1001,Productos!G$2:G1001,"")*$G569,"")</f>
        <v/>
      </c>
      <c r="O569" s="179" t="str">
        <f t="array" ref="O569">IF($F569&lt;&gt;"",XLOOKUP($F569,Productos!$A:$A,Productos!H:H,"Revisar"),"")</f>
        <v/>
      </c>
      <c r="P569" s="179" t="str">
        <f t="array" ref="P569">IF($F569&lt;&gt;"", XLOOKUP($F569,Productos!$A$2:$A1001,Productos!I$2:I1001,"")*$G569,"")</f>
        <v/>
      </c>
      <c r="Q569" s="179" t="str">
        <f t="array" ref="Q569">IF($F569&lt;&gt;"",XLOOKUP($F569,Productos!$A:$A,Productos!J:J,"Revisar"),"")</f>
        <v/>
      </c>
      <c r="R569" s="179" t="str">
        <f t="array" ref="R569">IF($F569&lt;&gt;"", XLOOKUP($F569,Productos!$A$2:$A1001,Productos!K$2:K1001,"")*$G569,"")</f>
        <v/>
      </c>
      <c r="S569" s="179" t="str">
        <f t="array" ref="S569">IF($F569&lt;&gt;"",XLOOKUP($F569,Productos!$A:$A,Productos!L:L,"Revisar"),"")</f>
        <v/>
      </c>
      <c r="T569" s="179" t="str">
        <f t="array" ref="T569">IF($F569&lt;&gt;"", XLOOKUP($F569,Productos!$A$2:$A1001,Productos!M$2:M1001,"")*$G569,"")</f>
        <v/>
      </c>
      <c r="U569" s="179" t="str">
        <f t="array" ref="U569">IF($F569&lt;&gt;"",XLOOKUP($F569,Productos!$A:$A,Productos!N:N,"Revisar"),"")</f>
        <v/>
      </c>
      <c r="V569" s="179" t="str">
        <f t="array" ref="V569">IF($F569&lt;&gt;"", XLOOKUP($F569,Productos!$A$2:$A1001,Productos!O$2:O1001,"")*$G569,"")</f>
        <v/>
      </c>
      <c r="W569" s="179" t="str">
        <f t="array" ref="W569">IF($F569&lt;&gt;"",XLOOKUP($F569,Productos!$A:$A,Productos!P:P,"Revisar"),"")</f>
        <v/>
      </c>
      <c r="X569" s="179" t="str">
        <f t="array" ref="X569">IF($F569&lt;&gt;"", XLOOKUP($F569,Productos!$A$2:$A1001,Productos!Q$2:Q1001,"")*$G569,"")</f>
        <v/>
      </c>
      <c r="Y569" s="179" t="str">
        <f t="array" ref="Y569">IF($F569&lt;&gt;"",XLOOKUP($F569,Productos!$A:$A,Productos!R:R,"Revisar"),"")</f>
        <v/>
      </c>
      <c r="Z569" s="179" t="str">
        <f t="array" ref="Z569">IF($F569&lt;&gt;"", XLOOKUP($F569,Productos!$A$2:$A1001,Productos!S$2:S1001,"")*$G569,"")</f>
        <v/>
      </c>
      <c r="AA569" s="179" t="str">
        <f t="array" ref="AA569">IF($F569&lt;&gt;"",XLOOKUP($F569,Productos!$A:$A,Productos!T:T,"Revisar"),"")</f>
        <v/>
      </c>
      <c r="AB569" s="179" t="str">
        <f t="array" ref="AB569">IF($F569&lt;&gt;"", XLOOKUP($F569,Productos!$A$2:$A1001,Productos!U$2:U1001,"")*$G569,"")</f>
        <v/>
      </c>
      <c r="AC569" s="179" t="str">
        <f t="array" ref="AC569">IF($F569&lt;&gt;"",XLOOKUP($F569,Productos!$A:$A,Productos!V:V,"Revisar"),"")</f>
        <v/>
      </c>
      <c r="AD569" s="179" t="str">
        <f t="array" ref="AD569">IF($F569&lt;&gt;"", XLOOKUP($F569,Productos!$A$2:$A1001,Productos!W$2:W1001,"")*$G569,"")</f>
        <v/>
      </c>
      <c r="AE569" s="179" t="str">
        <f t="array" ref="AE569">IF($F569&lt;&gt;"",XLOOKUP($F569,Productos!$A:$A,Productos!X:X,"Revisar"),"")</f>
        <v/>
      </c>
      <c r="AF569" s="179" t="str">
        <f t="array" ref="AF569">IF($F569&lt;&gt;"", XLOOKUP($F569,Productos!$A$2:$A1001,Productos!Y$2:Y1001,"")*$G569,"")</f>
        <v/>
      </c>
      <c r="AG569" s="179" t="str">
        <f t="array" ref="AG569">IF($F569&lt;&gt;"",XLOOKUP($F569,Productos!$A:$A,Productos!Z:Z,"Revisar"),"")</f>
        <v/>
      </c>
      <c r="AH569" s="179" t="str">
        <f t="array" ref="AH569">IF($F569&lt;&gt;"", XLOOKUP($F569,Productos!$A$2:$A1001,Productos!AA$2:AA1001,"")*$G569,"")</f>
        <v/>
      </c>
      <c r="AI569" s="179" t="str">
        <f t="array" ref="AI569">IF($F569&lt;&gt;"",XLOOKUP($F569,Productos!$A:$A,Productos!AB:AB,"Revisar"),"")</f>
        <v/>
      </c>
      <c r="AJ569" s="179" t="str">
        <f t="array" ref="AJ569">IF($F569&lt;&gt;"", XLOOKUP($F569,Productos!$A$2:$A1001,Productos!AC$2:AC1001,"")*$G569,"")</f>
        <v/>
      </c>
      <c r="AK569" s="179" t="str">
        <f t="array" ref="AK569">IF($F569&lt;&gt;"",XLOOKUP($F569,Productos!$A:$A,Productos!AD:AD,"Revisar"),"")</f>
        <v/>
      </c>
      <c r="AL569" s="179" t="str">
        <f t="array" ref="AL569">IF($F569&lt;&gt;"", XLOOKUP($F569,Productos!$A$2:$A1001,Productos!AE$2:AE1001,"")*$G569,"")</f>
        <v/>
      </c>
      <c r="AM569" s="179" t="str">
        <f t="array" ref="AM569">IF($F569&lt;&gt;"",XLOOKUP($F569,Productos!$A:$A,Productos!AF:AF,"Revisar"),"")</f>
        <v/>
      </c>
      <c r="AN569" s="179" t="str">
        <f t="array" ref="AN569">IF($F569&lt;&gt;"", XLOOKUP($F569,Productos!$A$2:$A1001,Productos!AG$2:AG1001,"")*$G569,"")</f>
        <v/>
      </c>
      <c r="AO569" s="179" t="str">
        <f t="array" ref="AO569">IF($F569&lt;&gt;"",XLOOKUP($F569,Productos!$A:$A,Productos!AH:AH,"Revisar"),"")</f>
        <v/>
      </c>
      <c r="AP569" s="179" t="str">
        <f t="array" ref="AP569">IF($F569&lt;&gt;"", XLOOKUP($F569,Productos!$A$2:$A1001,Productos!AI$2:AI1001,"")*$G569,"")</f>
        <v/>
      </c>
      <c r="AQ569" s="179" t="str">
        <f t="array" ref="AQ569">IF($F569&lt;&gt;"",XLOOKUP($F569,Productos!$A:$A,Productos!AJ:AJ,"Revisar"),"")</f>
        <v/>
      </c>
      <c r="AR569" s="179" t="str">
        <f t="array" ref="AR569">IF($F569&lt;&gt;"", XLOOKUP($F569,Productos!$A$2:$A1001,Productos!AK$2:AK1001,"")*$G569,"")</f>
        <v/>
      </c>
      <c r="AS569" s="179" t="str">
        <f t="array" ref="AS569">IF($F569&lt;&gt;"",XLOOKUP($F569,Productos!$A:$A,Productos!AL:AL,"Revisar"),"")</f>
        <v/>
      </c>
      <c r="AT569" s="179" t="str">
        <f t="array" ref="AT569">IF($F569&lt;&gt;"", XLOOKUP($F569,Productos!$A$2:$A1001,Productos!AM$2:AM1001,"")*$G569,"")</f>
        <v/>
      </c>
      <c r="AU569" s="179" t="str">
        <f t="array" ref="AU569">IF($F569&lt;&gt;"",XLOOKUP($F569,Productos!$A:$A,Productos!AN:AN,"Revisar"),"")</f>
        <v/>
      </c>
      <c r="AV569" s="179" t="str">
        <f t="array" ref="AV569">IF($F569&lt;&gt;"", XLOOKUP($F569,Productos!$A$2:$A1001,Productos!AO$2:AO1001,"")*$G569,"")</f>
        <v/>
      </c>
      <c r="AW569" s="179" t="str">
        <f t="array" ref="AW569">IF($F569&lt;&gt;"",XLOOKUP($F569,Productos!$A:$A,Productos!AP:AP,"Revisar"),"")</f>
        <v/>
      </c>
      <c r="AX569" s="179" t="str">
        <f t="array" ref="AX569">IF($F569&lt;&gt;"", XLOOKUP($F569,Productos!$A$2:$A1001,Productos!AQ$2:AQ1001,"")*$G569,"")</f>
        <v/>
      </c>
      <c r="AY569" s="179" t="str">
        <f t="array" ref="AY569">IF($F569&lt;&gt;"",XLOOKUP($F569,Productos!$A:$A,Productos!AR:AR,"Revisar"),"")</f>
        <v/>
      </c>
      <c r="AZ569" s="179" t="str">
        <f t="array" ref="AZ569">IF($F569&lt;&gt;"", XLOOKUP($F569,Productos!$A$2:$A1001,Productos!AS$2:AS1001,"")*$G569,"")</f>
        <v/>
      </c>
      <c r="BA569" s="179" t="str">
        <f t="array" ref="BA569">IF($F569&lt;&gt;"",XLOOKUP($F569,Productos!$A:$A,Productos!AT:AT,"Revisar"),"")</f>
        <v/>
      </c>
      <c r="BB569" s="179" t="str">
        <f t="array" ref="BB569">IF($F569&lt;&gt;"", XLOOKUP($F569,Productos!$A$2:$A1001,Productos!AU$2:AU1001,"")*$G569,"")</f>
        <v/>
      </c>
      <c r="BC569" s="179" t="str">
        <f t="array" ref="BC569">IF($F569&lt;&gt;"",XLOOKUP($F569,Productos!$A:$A,Productos!AV:AV,"Revisar"),"")</f>
        <v/>
      </c>
      <c r="BD569" s="179" t="str">
        <f t="array" ref="BD569">IF($F569&lt;&gt;"", XLOOKUP($F569,Productos!$A$2:$A1001,Productos!AW$2:AW1001,"")*$G569,"")</f>
        <v/>
      </c>
      <c r="BE569" s="179" t="str">
        <f t="array" ref="BE569">IF($F569&lt;&gt;"",XLOOKUP($F569,Productos!$A:$A,Productos!AX:AX,"Revisar"),"")</f>
        <v/>
      </c>
      <c r="BF569" s="179" t="str">
        <f t="array" ref="BF569">IF($F569&lt;&gt;"", XLOOKUP($F569,Productos!$A$2:$A1001,Productos!AY$2:AY1001,"")*$G569,"")</f>
        <v/>
      </c>
      <c r="BG569" s="179" t="str">
        <f t="array" ref="BG569">IF($F569&lt;&gt;"",XLOOKUP($F569,Productos!$A:$A,Productos!AZ:AZ,"Revisar"),"")</f>
        <v/>
      </c>
      <c r="BH569" s="179" t="str">
        <f t="array" ref="BH569">IF($F569&lt;&gt;"", XLOOKUP($F569,Productos!$A$2:$A1001,Productos!BA$2:BA1001,"")*$G569,"")</f>
        <v/>
      </c>
      <c r="BI569" s="179" t="str">
        <f t="array" ref="BI569">IF($F569&lt;&gt;"",XLOOKUP($F569,Productos!$A:$A,Productos!BB:BB,"Revisar"),"")</f>
        <v/>
      </c>
      <c r="BJ569" s="179" t="str">
        <f t="array" ref="BJ569">IF($F569&lt;&gt;"", XLOOKUP($F569,Productos!$A$2:$A1001,Productos!BC$2:BC1001,"")*$G569,"")</f>
        <v/>
      </c>
      <c r="BK569" s="179" t="str">
        <f t="array" ref="BK569">IF($F569&lt;&gt;"",XLOOKUP($F569,Productos!$A:$A,Productos!BD:BD,"Revisar"),"")</f>
        <v/>
      </c>
      <c r="BL569" s="179" t="str">
        <f t="array" ref="BL569">IF($F569&lt;&gt;"", XLOOKUP($F569,Productos!$A$2:$A1001,Productos!BE$2:BE1001,"")*$G569,"")</f>
        <v/>
      </c>
      <c r="BM569" s="179" t="str">
        <f t="array" ref="BM569">IF($F569&lt;&gt;"",XLOOKUP($F569,Productos!$A:$A,Productos!BF:BF,"Revisar"),"")</f>
        <v/>
      </c>
      <c r="BN569" s="179" t="str">
        <f t="array" ref="BN569">IF($F569&lt;&gt;"", XLOOKUP($F569,Productos!$A$2:$A1001,Productos!BG$2:BG1001,"")*$G569,"")</f>
        <v/>
      </c>
      <c r="BO569" s="179" t="str">
        <f t="array" ref="BO569">IF($F569&lt;&gt;"",XLOOKUP($F569,Productos!$A:$A,Productos!BH:BH,"Revisar"),"")</f>
        <v/>
      </c>
      <c r="BP569" s="179" t="str">
        <f t="array" ref="BP569">IF($F569&lt;&gt;"", XLOOKUP($F569,Productos!$A$2:$A1001,Productos!BI$2:BI1001,"")*$G569,"")</f>
        <v/>
      </c>
      <c r="BQ569" s="179" t="str">
        <f t="array" ref="BQ569">IF($F569&lt;&gt;"",XLOOKUP($F569,Productos!$A:$A,Productos!BJ:BJ,"Revisar"),"")</f>
        <v/>
      </c>
      <c r="BR569" s="179" t="str">
        <f t="array" ref="BR569">IF($F569&lt;&gt;"", XLOOKUP($F569,Productos!$A$2:$A1001,Productos!BK$2:BK1001,"")*$G569,"")</f>
        <v/>
      </c>
      <c r="BS569" s="179" t="str">
        <f t="array" ref="BS569">IF($F569&lt;&gt;"",XLOOKUP($F569,Productos!$A:$A,Productos!BL:BL,"Revisar"),"")</f>
        <v/>
      </c>
      <c r="BT569" s="179" t="str">
        <f t="array" ref="BT569">IF($F569&lt;&gt;"", XLOOKUP($F569,Productos!$A$2:$A1001,Productos!BM$2:BM1001,"")*$G569,"")</f>
        <v/>
      </c>
      <c r="BU569" s="179" t="str">
        <f t="array" ref="BU569">IF($F569&lt;&gt;"",XLOOKUP($F569,Productos!$A:$A,Productos!BN:BN,"Revisar"),"")</f>
        <v/>
      </c>
      <c r="BV569" s="179" t="str">
        <f t="array" ref="BV569">IF($F569&lt;&gt;"", XLOOKUP($F569,Productos!$A$2:$A1001,Productos!BO$2:BO1001,"")*$G569,"")</f>
        <v/>
      </c>
      <c r="BW569" s="179" t="str">
        <f t="array" ref="BW569">IF($F569&lt;&gt;"",XLOOKUP($F569,Productos!$A:$A,Productos!BP:BP,"Revisar"),"")</f>
        <v/>
      </c>
      <c r="BX569" s="179" t="str">
        <f t="array" ref="BX569">IF($F569&lt;&gt;"", XLOOKUP($F569,Productos!$A$2:$A1001,Productos!BQ$2:BQ1001,"")*$G569,"")</f>
        <v/>
      </c>
      <c r="BY569" s="179" t="str">
        <f t="array" ref="BY569">IF($F569&lt;&gt;"",XLOOKUP($F569,Productos!$A:$A,Productos!BR:BR,"Revisar"),"")</f>
        <v/>
      </c>
      <c r="BZ569" s="179" t="str">
        <f t="array" ref="BZ569">IF($F569&lt;&gt;"", XLOOKUP($F569,Productos!$A$2:$A1001,Productos!BS$2:BS1001,"")*$G569,"")</f>
        <v/>
      </c>
    </row>
    <row r="570">
      <c r="A570" s="188"/>
      <c r="B570" s="189"/>
      <c r="C570" s="190"/>
      <c r="D570" s="190"/>
      <c r="E570" s="191"/>
      <c r="F570" s="186"/>
      <c r="G570" s="192"/>
      <c r="H570" s="9"/>
      <c r="I570" s="179" t="str">
        <f t="array" ref="I570">IF($F570&lt;&gt;"",XLOOKUP($F570,Productos!$A:$A,Productos!B:B,"Revisar"),"")</f>
        <v/>
      </c>
      <c r="J570" s="179" t="str">
        <f t="array" ref="J570">IF($F570&lt;&gt;"", XLOOKUP($F570,Productos!$A$2:$A1001,Productos!C$2:C1001,"")*$G570,"")</f>
        <v/>
      </c>
      <c r="K570" s="179" t="str">
        <f t="array" ref="K570">IF($F570&lt;&gt;"",XLOOKUP($F570,Productos!$A:$A,Productos!D:D,"Revisar"),"")</f>
        <v/>
      </c>
      <c r="L570" s="179" t="str">
        <f t="array" ref="L570">IF($F570&lt;&gt;"", XLOOKUP($F570,Productos!$A$2:$A1001,Productos!E$2:E1001,"")*$G570,"")</f>
        <v/>
      </c>
      <c r="M570" s="179" t="str">
        <f t="array" ref="M570">IF($F570&lt;&gt;"",XLOOKUP($F570,Productos!$A:$A,Productos!F:F,"Revisar"),"")</f>
        <v/>
      </c>
      <c r="N570" s="179" t="str">
        <f t="array" ref="N570">IF($F570&lt;&gt;"", XLOOKUP($F570,Productos!$A$2:$A1001,Productos!G$2:G1001,"")*$G570,"")</f>
        <v/>
      </c>
      <c r="O570" s="179" t="str">
        <f t="array" ref="O570">IF($F570&lt;&gt;"",XLOOKUP($F570,Productos!$A:$A,Productos!H:H,"Revisar"),"")</f>
        <v/>
      </c>
      <c r="P570" s="179" t="str">
        <f t="array" ref="P570">IF($F570&lt;&gt;"", XLOOKUP($F570,Productos!$A$2:$A1001,Productos!I$2:I1001,"")*$G570,"")</f>
        <v/>
      </c>
      <c r="Q570" s="179" t="str">
        <f t="array" ref="Q570">IF($F570&lt;&gt;"",XLOOKUP($F570,Productos!$A:$A,Productos!J:J,"Revisar"),"")</f>
        <v/>
      </c>
      <c r="R570" s="179" t="str">
        <f t="array" ref="R570">IF($F570&lt;&gt;"", XLOOKUP($F570,Productos!$A$2:$A1001,Productos!K$2:K1001,"")*$G570,"")</f>
        <v/>
      </c>
      <c r="S570" s="179" t="str">
        <f t="array" ref="S570">IF($F570&lt;&gt;"",XLOOKUP($F570,Productos!$A:$A,Productos!L:L,"Revisar"),"")</f>
        <v/>
      </c>
      <c r="T570" s="179" t="str">
        <f t="array" ref="T570">IF($F570&lt;&gt;"", XLOOKUP($F570,Productos!$A$2:$A1001,Productos!M$2:M1001,"")*$G570,"")</f>
        <v/>
      </c>
      <c r="U570" s="179" t="str">
        <f t="array" ref="U570">IF($F570&lt;&gt;"",XLOOKUP($F570,Productos!$A:$A,Productos!N:N,"Revisar"),"")</f>
        <v/>
      </c>
      <c r="V570" s="179" t="str">
        <f t="array" ref="V570">IF($F570&lt;&gt;"", XLOOKUP($F570,Productos!$A$2:$A1001,Productos!O$2:O1001,"")*$G570,"")</f>
        <v/>
      </c>
      <c r="W570" s="179" t="str">
        <f t="array" ref="W570">IF($F570&lt;&gt;"",XLOOKUP($F570,Productos!$A:$A,Productos!P:P,"Revisar"),"")</f>
        <v/>
      </c>
      <c r="X570" s="179" t="str">
        <f t="array" ref="X570">IF($F570&lt;&gt;"", XLOOKUP($F570,Productos!$A$2:$A1001,Productos!Q$2:Q1001,"")*$G570,"")</f>
        <v/>
      </c>
      <c r="Y570" s="179" t="str">
        <f t="array" ref="Y570">IF($F570&lt;&gt;"",XLOOKUP($F570,Productos!$A:$A,Productos!R:R,"Revisar"),"")</f>
        <v/>
      </c>
      <c r="Z570" s="179" t="str">
        <f t="array" ref="Z570">IF($F570&lt;&gt;"", XLOOKUP($F570,Productos!$A$2:$A1001,Productos!S$2:S1001,"")*$G570,"")</f>
        <v/>
      </c>
      <c r="AA570" s="179" t="str">
        <f t="array" ref="AA570">IF($F570&lt;&gt;"",XLOOKUP($F570,Productos!$A:$A,Productos!T:T,"Revisar"),"")</f>
        <v/>
      </c>
      <c r="AB570" s="179" t="str">
        <f t="array" ref="AB570">IF($F570&lt;&gt;"", XLOOKUP($F570,Productos!$A$2:$A1001,Productos!U$2:U1001,"")*$G570,"")</f>
        <v/>
      </c>
      <c r="AC570" s="179" t="str">
        <f t="array" ref="AC570">IF($F570&lt;&gt;"",XLOOKUP($F570,Productos!$A:$A,Productos!V:V,"Revisar"),"")</f>
        <v/>
      </c>
      <c r="AD570" s="179" t="str">
        <f t="array" ref="AD570">IF($F570&lt;&gt;"", XLOOKUP($F570,Productos!$A$2:$A1001,Productos!W$2:W1001,"")*$G570,"")</f>
        <v/>
      </c>
      <c r="AE570" s="179" t="str">
        <f t="array" ref="AE570">IF($F570&lt;&gt;"",XLOOKUP($F570,Productos!$A:$A,Productos!X:X,"Revisar"),"")</f>
        <v/>
      </c>
      <c r="AF570" s="179" t="str">
        <f t="array" ref="AF570">IF($F570&lt;&gt;"", XLOOKUP($F570,Productos!$A$2:$A1001,Productos!Y$2:Y1001,"")*$G570,"")</f>
        <v/>
      </c>
      <c r="AG570" s="179" t="str">
        <f t="array" ref="AG570">IF($F570&lt;&gt;"",XLOOKUP($F570,Productos!$A:$A,Productos!Z:Z,"Revisar"),"")</f>
        <v/>
      </c>
      <c r="AH570" s="179" t="str">
        <f t="array" ref="AH570">IF($F570&lt;&gt;"", XLOOKUP($F570,Productos!$A$2:$A1001,Productos!AA$2:AA1001,"")*$G570,"")</f>
        <v/>
      </c>
      <c r="AI570" s="179" t="str">
        <f t="array" ref="AI570">IF($F570&lt;&gt;"",XLOOKUP($F570,Productos!$A:$A,Productos!AB:AB,"Revisar"),"")</f>
        <v/>
      </c>
      <c r="AJ570" s="179" t="str">
        <f t="array" ref="AJ570">IF($F570&lt;&gt;"", XLOOKUP($F570,Productos!$A$2:$A1001,Productos!AC$2:AC1001,"")*$G570,"")</f>
        <v/>
      </c>
      <c r="AK570" s="179" t="str">
        <f t="array" ref="AK570">IF($F570&lt;&gt;"",XLOOKUP($F570,Productos!$A:$A,Productos!AD:AD,"Revisar"),"")</f>
        <v/>
      </c>
      <c r="AL570" s="179" t="str">
        <f t="array" ref="AL570">IF($F570&lt;&gt;"", XLOOKUP($F570,Productos!$A$2:$A1001,Productos!AE$2:AE1001,"")*$G570,"")</f>
        <v/>
      </c>
      <c r="AM570" s="179" t="str">
        <f t="array" ref="AM570">IF($F570&lt;&gt;"",XLOOKUP($F570,Productos!$A:$A,Productos!AF:AF,"Revisar"),"")</f>
        <v/>
      </c>
      <c r="AN570" s="179" t="str">
        <f t="array" ref="AN570">IF($F570&lt;&gt;"", XLOOKUP($F570,Productos!$A$2:$A1001,Productos!AG$2:AG1001,"")*$G570,"")</f>
        <v/>
      </c>
      <c r="AO570" s="179" t="str">
        <f t="array" ref="AO570">IF($F570&lt;&gt;"",XLOOKUP($F570,Productos!$A:$A,Productos!AH:AH,"Revisar"),"")</f>
        <v/>
      </c>
      <c r="AP570" s="179" t="str">
        <f t="array" ref="AP570">IF($F570&lt;&gt;"", XLOOKUP($F570,Productos!$A$2:$A1001,Productos!AI$2:AI1001,"")*$G570,"")</f>
        <v/>
      </c>
      <c r="AQ570" s="179" t="str">
        <f t="array" ref="AQ570">IF($F570&lt;&gt;"",XLOOKUP($F570,Productos!$A:$A,Productos!AJ:AJ,"Revisar"),"")</f>
        <v/>
      </c>
      <c r="AR570" s="179" t="str">
        <f t="array" ref="AR570">IF($F570&lt;&gt;"", XLOOKUP($F570,Productos!$A$2:$A1001,Productos!AK$2:AK1001,"")*$G570,"")</f>
        <v/>
      </c>
      <c r="AS570" s="179" t="str">
        <f t="array" ref="AS570">IF($F570&lt;&gt;"",XLOOKUP($F570,Productos!$A:$A,Productos!AL:AL,"Revisar"),"")</f>
        <v/>
      </c>
      <c r="AT570" s="179" t="str">
        <f t="array" ref="AT570">IF($F570&lt;&gt;"", XLOOKUP($F570,Productos!$A$2:$A1001,Productos!AM$2:AM1001,"")*$G570,"")</f>
        <v/>
      </c>
      <c r="AU570" s="179" t="str">
        <f t="array" ref="AU570">IF($F570&lt;&gt;"",XLOOKUP($F570,Productos!$A:$A,Productos!AN:AN,"Revisar"),"")</f>
        <v/>
      </c>
      <c r="AV570" s="179" t="str">
        <f t="array" ref="AV570">IF($F570&lt;&gt;"", XLOOKUP($F570,Productos!$A$2:$A1001,Productos!AO$2:AO1001,"")*$G570,"")</f>
        <v/>
      </c>
      <c r="AW570" s="179" t="str">
        <f t="array" ref="AW570">IF($F570&lt;&gt;"",XLOOKUP($F570,Productos!$A:$A,Productos!AP:AP,"Revisar"),"")</f>
        <v/>
      </c>
      <c r="AX570" s="179" t="str">
        <f t="array" ref="AX570">IF($F570&lt;&gt;"", XLOOKUP($F570,Productos!$A$2:$A1001,Productos!AQ$2:AQ1001,"")*$G570,"")</f>
        <v/>
      </c>
      <c r="AY570" s="179" t="str">
        <f t="array" ref="AY570">IF($F570&lt;&gt;"",XLOOKUP($F570,Productos!$A:$A,Productos!AR:AR,"Revisar"),"")</f>
        <v/>
      </c>
      <c r="AZ570" s="179" t="str">
        <f t="array" ref="AZ570">IF($F570&lt;&gt;"", XLOOKUP($F570,Productos!$A$2:$A1001,Productos!AS$2:AS1001,"")*$G570,"")</f>
        <v/>
      </c>
      <c r="BA570" s="179" t="str">
        <f t="array" ref="BA570">IF($F570&lt;&gt;"",XLOOKUP($F570,Productos!$A:$A,Productos!AT:AT,"Revisar"),"")</f>
        <v/>
      </c>
      <c r="BB570" s="179" t="str">
        <f t="array" ref="BB570">IF($F570&lt;&gt;"", XLOOKUP($F570,Productos!$A$2:$A1001,Productos!AU$2:AU1001,"")*$G570,"")</f>
        <v/>
      </c>
      <c r="BC570" s="179" t="str">
        <f t="array" ref="BC570">IF($F570&lt;&gt;"",XLOOKUP($F570,Productos!$A:$A,Productos!AV:AV,"Revisar"),"")</f>
        <v/>
      </c>
      <c r="BD570" s="179" t="str">
        <f t="array" ref="BD570">IF($F570&lt;&gt;"", XLOOKUP($F570,Productos!$A$2:$A1001,Productos!AW$2:AW1001,"")*$G570,"")</f>
        <v/>
      </c>
      <c r="BE570" s="179" t="str">
        <f t="array" ref="BE570">IF($F570&lt;&gt;"",XLOOKUP($F570,Productos!$A:$A,Productos!AX:AX,"Revisar"),"")</f>
        <v/>
      </c>
      <c r="BF570" s="179" t="str">
        <f t="array" ref="BF570">IF($F570&lt;&gt;"", XLOOKUP($F570,Productos!$A$2:$A1001,Productos!AY$2:AY1001,"")*$G570,"")</f>
        <v/>
      </c>
      <c r="BG570" s="179" t="str">
        <f t="array" ref="BG570">IF($F570&lt;&gt;"",XLOOKUP($F570,Productos!$A:$A,Productos!AZ:AZ,"Revisar"),"")</f>
        <v/>
      </c>
      <c r="BH570" s="179" t="str">
        <f t="array" ref="BH570">IF($F570&lt;&gt;"", XLOOKUP($F570,Productos!$A$2:$A1001,Productos!BA$2:BA1001,"")*$G570,"")</f>
        <v/>
      </c>
      <c r="BI570" s="179" t="str">
        <f t="array" ref="BI570">IF($F570&lt;&gt;"",XLOOKUP($F570,Productos!$A:$A,Productos!BB:BB,"Revisar"),"")</f>
        <v/>
      </c>
      <c r="BJ570" s="179" t="str">
        <f t="array" ref="BJ570">IF($F570&lt;&gt;"", XLOOKUP($F570,Productos!$A$2:$A1001,Productos!BC$2:BC1001,"")*$G570,"")</f>
        <v/>
      </c>
      <c r="BK570" s="179" t="str">
        <f t="array" ref="BK570">IF($F570&lt;&gt;"",XLOOKUP($F570,Productos!$A:$A,Productos!BD:BD,"Revisar"),"")</f>
        <v/>
      </c>
      <c r="BL570" s="179" t="str">
        <f t="array" ref="BL570">IF($F570&lt;&gt;"", XLOOKUP($F570,Productos!$A$2:$A1001,Productos!BE$2:BE1001,"")*$G570,"")</f>
        <v/>
      </c>
      <c r="BM570" s="179" t="str">
        <f t="array" ref="BM570">IF($F570&lt;&gt;"",XLOOKUP($F570,Productos!$A:$A,Productos!BF:BF,"Revisar"),"")</f>
        <v/>
      </c>
      <c r="BN570" s="179" t="str">
        <f t="array" ref="BN570">IF($F570&lt;&gt;"", XLOOKUP($F570,Productos!$A$2:$A1001,Productos!BG$2:BG1001,"")*$G570,"")</f>
        <v/>
      </c>
      <c r="BO570" s="179" t="str">
        <f t="array" ref="BO570">IF($F570&lt;&gt;"",XLOOKUP($F570,Productos!$A:$A,Productos!BH:BH,"Revisar"),"")</f>
        <v/>
      </c>
      <c r="BP570" s="179" t="str">
        <f t="array" ref="BP570">IF($F570&lt;&gt;"", XLOOKUP($F570,Productos!$A$2:$A1001,Productos!BI$2:BI1001,"")*$G570,"")</f>
        <v/>
      </c>
      <c r="BQ570" s="179" t="str">
        <f t="array" ref="BQ570">IF($F570&lt;&gt;"",XLOOKUP($F570,Productos!$A:$A,Productos!BJ:BJ,"Revisar"),"")</f>
        <v/>
      </c>
      <c r="BR570" s="179" t="str">
        <f t="array" ref="BR570">IF($F570&lt;&gt;"", XLOOKUP($F570,Productos!$A$2:$A1001,Productos!BK$2:BK1001,"")*$G570,"")</f>
        <v/>
      </c>
      <c r="BS570" s="179" t="str">
        <f t="array" ref="BS570">IF($F570&lt;&gt;"",XLOOKUP($F570,Productos!$A:$A,Productos!BL:BL,"Revisar"),"")</f>
        <v/>
      </c>
      <c r="BT570" s="179" t="str">
        <f t="array" ref="BT570">IF($F570&lt;&gt;"", XLOOKUP($F570,Productos!$A$2:$A1001,Productos!BM$2:BM1001,"")*$G570,"")</f>
        <v/>
      </c>
      <c r="BU570" s="179" t="str">
        <f t="array" ref="BU570">IF($F570&lt;&gt;"",XLOOKUP($F570,Productos!$A:$A,Productos!BN:BN,"Revisar"),"")</f>
        <v/>
      </c>
      <c r="BV570" s="179" t="str">
        <f t="array" ref="BV570">IF($F570&lt;&gt;"", XLOOKUP($F570,Productos!$A$2:$A1001,Productos!BO$2:BO1001,"")*$G570,"")</f>
        <v/>
      </c>
      <c r="BW570" s="179" t="str">
        <f t="array" ref="BW570">IF($F570&lt;&gt;"",XLOOKUP($F570,Productos!$A:$A,Productos!BP:BP,"Revisar"),"")</f>
        <v/>
      </c>
      <c r="BX570" s="179" t="str">
        <f t="array" ref="BX570">IF($F570&lt;&gt;"", XLOOKUP($F570,Productos!$A$2:$A1001,Productos!BQ$2:BQ1001,"")*$G570,"")</f>
        <v/>
      </c>
      <c r="BY570" s="179" t="str">
        <f t="array" ref="BY570">IF($F570&lt;&gt;"",XLOOKUP($F570,Productos!$A:$A,Productos!BR:BR,"Revisar"),"")</f>
        <v/>
      </c>
      <c r="BZ570" s="179" t="str">
        <f t="array" ref="BZ570">IF($F570&lt;&gt;"", XLOOKUP($F570,Productos!$A$2:$A1001,Productos!BS$2:BS1001,"")*$G570,"")</f>
        <v/>
      </c>
    </row>
    <row r="571">
      <c r="A571" s="188"/>
      <c r="B571" s="189"/>
      <c r="C571" s="190"/>
      <c r="D571" s="190"/>
      <c r="E571" s="191"/>
      <c r="F571" s="186"/>
      <c r="G571" s="192"/>
      <c r="H571" s="9"/>
      <c r="I571" s="179" t="str">
        <f t="array" ref="I571">IF($F571&lt;&gt;"",XLOOKUP($F571,Productos!$A:$A,Productos!B:B,"Revisar"),"")</f>
        <v/>
      </c>
      <c r="J571" s="179" t="str">
        <f t="array" ref="J571">IF($F571&lt;&gt;"", XLOOKUP($F571,Productos!$A$2:$A1001,Productos!C$2:C1001,"")*$G571,"")</f>
        <v/>
      </c>
      <c r="K571" s="179" t="str">
        <f t="array" ref="K571">IF($F571&lt;&gt;"",XLOOKUP($F571,Productos!$A:$A,Productos!D:D,"Revisar"),"")</f>
        <v/>
      </c>
      <c r="L571" s="179" t="str">
        <f t="array" ref="L571">IF($F571&lt;&gt;"", XLOOKUP($F571,Productos!$A$2:$A1001,Productos!E$2:E1001,"")*$G571,"")</f>
        <v/>
      </c>
      <c r="M571" s="179" t="str">
        <f t="array" ref="M571">IF($F571&lt;&gt;"",XLOOKUP($F571,Productos!$A:$A,Productos!F:F,"Revisar"),"")</f>
        <v/>
      </c>
      <c r="N571" s="179" t="str">
        <f t="array" ref="N571">IF($F571&lt;&gt;"", XLOOKUP($F571,Productos!$A$2:$A1001,Productos!G$2:G1001,"")*$G571,"")</f>
        <v/>
      </c>
      <c r="O571" s="179" t="str">
        <f t="array" ref="O571">IF($F571&lt;&gt;"",XLOOKUP($F571,Productos!$A:$A,Productos!H:H,"Revisar"),"")</f>
        <v/>
      </c>
      <c r="P571" s="179" t="str">
        <f t="array" ref="P571">IF($F571&lt;&gt;"", XLOOKUP($F571,Productos!$A$2:$A1001,Productos!I$2:I1001,"")*$G571,"")</f>
        <v/>
      </c>
      <c r="Q571" s="179" t="str">
        <f t="array" ref="Q571">IF($F571&lt;&gt;"",XLOOKUP($F571,Productos!$A:$A,Productos!J:J,"Revisar"),"")</f>
        <v/>
      </c>
      <c r="R571" s="179" t="str">
        <f t="array" ref="R571">IF($F571&lt;&gt;"", XLOOKUP($F571,Productos!$A$2:$A1001,Productos!K$2:K1001,"")*$G571,"")</f>
        <v/>
      </c>
      <c r="S571" s="179" t="str">
        <f t="array" ref="S571">IF($F571&lt;&gt;"",XLOOKUP($F571,Productos!$A:$A,Productos!L:L,"Revisar"),"")</f>
        <v/>
      </c>
      <c r="T571" s="179" t="str">
        <f t="array" ref="T571">IF($F571&lt;&gt;"", XLOOKUP($F571,Productos!$A$2:$A1001,Productos!M$2:M1001,"")*$G571,"")</f>
        <v/>
      </c>
      <c r="U571" s="179" t="str">
        <f t="array" ref="U571">IF($F571&lt;&gt;"",XLOOKUP($F571,Productos!$A:$A,Productos!N:N,"Revisar"),"")</f>
        <v/>
      </c>
      <c r="V571" s="179" t="str">
        <f t="array" ref="V571">IF($F571&lt;&gt;"", XLOOKUP($F571,Productos!$A$2:$A1001,Productos!O$2:O1001,"")*$G571,"")</f>
        <v/>
      </c>
      <c r="W571" s="179" t="str">
        <f t="array" ref="W571">IF($F571&lt;&gt;"",XLOOKUP($F571,Productos!$A:$A,Productos!P:P,"Revisar"),"")</f>
        <v/>
      </c>
      <c r="X571" s="179" t="str">
        <f t="array" ref="X571">IF($F571&lt;&gt;"", XLOOKUP($F571,Productos!$A$2:$A1001,Productos!Q$2:Q1001,"")*$G571,"")</f>
        <v/>
      </c>
      <c r="Y571" s="179" t="str">
        <f t="array" ref="Y571">IF($F571&lt;&gt;"",XLOOKUP($F571,Productos!$A:$A,Productos!R:R,"Revisar"),"")</f>
        <v/>
      </c>
      <c r="Z571" s="179" t="str">
        <f t="array" ref="Z571">IF($F571&lt;&gt;"", XLOOKUP($F571,Productos!$A$2:$A1001,Productos!S$2:S1001,"")*$G571,"")</f>
        <v/>
      </c>
      <c r="AA571" s="179" t="str">
        <f t="array" ref="AA571">IF($F571&lt;&gt;"",XLOOKUP($F571,Productos!$A:$A,Productos!T:T,"Revisar"),"")</f>
        <v/>
      </c>
      <c r="AB571" s="179" t="str">
        <f t="array" ref="AB571">IF($F571&lt;&gt;"", XLOOKUP($F571,Productos!$A$2:$A1001,Productos!U$2:U1001,"")*$G571,"")</f>
        <v/>
      </c>
      <c r="AC571" s="179" t="str">
        <f t="array" ref="AC571">IF($F571&lt;&gt;"",XLOOKUP($F571,Productos!$A:$A,Productos!V:V,"Revisar"),"")</f>
        <v/>
      </c>
      <c r="AD571" s="179" t="str">
        <f t="array" ref="AD571">IF($F571&lt;&gt;"", XLOOKUP($F571,Productos!$A$2:$A1001,Productos!W$2:W1001,"")*$G571,"")</f>
        <v/>
      </c>
      <c r="AE571" s="179" t="str">
        <f t="array" ref="AE571">IF($F571&lt;&gt;"",XLOOKUP($F571,Productos!$A:$A,Productos!X:X,"Revisar"),"")</f>
        <v/>
      </c>
      <c r="AF571" s="179" t="str">
        <f t="array" ref="AF571">IF($F571&lt;&gt;"", XLOOKUP($F571,Productos!$A$2:$A1001,Productos!Y$2:Y1001,"")*$G571,"")</f>
        <v/>
      </c>
      <c r="AG571" s="179" t="str">
        <f t="array" ref="AG571">IF($F571&lt;&gt;"",XLOOKUP($F571,Productos!$A:$A,Productos!Z:Z,"Revisar"),"")</f>
        <v/>
      </c>
      <c r="AH571" s="179" t="str">
        <f t="array" ref="AH571">IF($F571&lt;&gt;"", XLOOKUP($F571,Productos!$A$2:$A1001,Productos!AA$2:AA1001,"")*$G571,"")</f>
        <v/>
      </c>
      <c r="AI571" s="179" t="str">
        <f t="array" ref="AI571">IF($F571&lt;&gt;"",XLOOKUP($F571,Productos!$A:$A,Productos!AB:AB,"Revisar"),"")</f>
        <v/>
      </c>
      <c r="AJ571" s="179" t="str">
        <f t="array" ref="AJ571">IF($F571&lt;&gt;"", XLOOKUP($F571,Productos!$A$2:$A1001,Productos!AC$2:AC1001,"")*$G571,"")</f>
        <v/>
      </c>
      <c r="AK571" s="179" t="str">
        <f t="array" ref="AK571">IF($F571&lt;&gt;"",XLOOKUP($F571,Productos!$A:$A,Productos!AD:AD,"Revisar"),"")</f>
        <v/>
      </c>
      <c r="AL571" s="179" t="str">
        <f t="array" ref="AL571">IF($F571&lt;&gt;"", XLOOKUP($F571,Productos!$A$2:$A1001,Productos!AE$2:AE1001,"")*$G571,"")</f>
        <v/>
      </c>
      <c r="AM571" s="179" t="str">
        <f t="array" ref="AM571">IF($F571&lt;&gt;"",XLOOKUP($F571,Productos!$A:$A,Productos!AF:AF,"Revisar"),"")</f>
        <v/>
      </c>
      <c r="AN571" s="179" t="str">
        <f t="array" ref="AN571">IF($F571&lt;&gt;"", XLOOKUP($F571,Productos!$A$2:$A1001,Productos!AG$2:AG1001,"")*$G571,"")</f>
        <v/>
      </c>
      <c r="AO571" s="179" t="str">
        <f t="array" ref="AO571">IF($F571&lt;&gt;"",XLOOKUP($F571,Productos!$A:$A,Productos!AH:AH,"Revisar"),"")</f>
        <v/>
      </c>
      <c r="AP571" s="179" t="str">
        <f t="array" ref="AP571">IF($F571&lt;&gt;"", XLOOKUP($F571,Productos!$A$2:$A1001,Productos!AI$2:AI1001,"")*$G571,"")</f>
        <v/>
      </c>
      <c r="AQ571" s="179" t="str">
        <f t="array" ref="AQ571">IF($F571&lt;&gt;"",XLOOKUP($F571,Productos!$A:$A,Productos!AJ:AJ,"Revisar"),"")</f>
        <v/>
      </c>
      <c r="AR571" s="179" t="str">
        <f t="array" ref="AR571">IF($F571&lt;&gt;"", XLOOKUP($F571,Productos!$A$2:$A1001,Productos!AK$2:AK1001,"")*$G571,"")</f>
        <v/>
      </c>
      <c r="AS571" s="179" t="str">
        <f t="array" ref="AS571">IF($F571&lt;&gt;"",XLOOKUP($F571,Productos!$A:$A,Productos!AL:AL,"Revisar"),"")</f>
        <v/>
      </c>
      <c r="AT571" s="179" t="str">
        <f t="array" ref="AT571">IF($F571&lt;&gt;"", XLOOKUP($F571,Productos!$A$2:$A1001,Productos!AM$2:AM1001,"")*$G571,"")</f>
        <v/>
      </c>
      <c r="AU571" s="179" t="str">
        <f t="array" ref="AU571">IF($F571&lt;&gt;"",XLOOKUP($F571,Productos!$A:$A,Productos!AN:AN,"Revisar"),"")</f>
        <v/>
      </c>
      <c r="AV571" s="179" t="str">
        <f t="array" ref="AV571">IF($F571&lt;&gt;"", XLOOKUP($F571,Productos!$A$2:$A1001,Productos!AO$2:AO1001,"")*$G571,"")</f>
        <v/>
      </c>
      <c r="AW571" s="179" t="str">
        <f t="array" ref="AW571">IF($F571&lt;&gt;"",XLOOKUP($F571,Productos!$A:$A,Productos!AP:AP,"Revisar"),"")</f>
        <v/>
      </c>
      <c r="AX571" s="179" t="str">
        <f t="array" ref="AX571">IF($F571&lt;&gt;"", XLOOKUP($F571,Productos!$A$2:$A1001,Productos!AQ$2:AQ1001,"")*$G571,"")</f>
        <v/>
      </c>
      <c r="AY571" s="179" t="str">
        <f t="array" ref="AY571">IF($F571&lt;&gt;"",XLOOKUP($F571,Productos!$A:$A,Productos!AR:AR,"Revisar"),"")</f>
        <v/>
      </c>
      <c r="AZ571" s="179" t="str">
        <f t="array" ref="AZ571">IF($F571&lt;&gt;"", XLOOKUP($F571,Productos!$A$2:$A1001,Productos!AS$2:AS1001,"")*$G571,"")</f>
        <v/>
      </c>
      <c r="BA571" s="179" t="str">
        <f t="array" ref="BA571">IF($F571&lt;&gt;"",XLOOKUP($F571,Productos!$A:$A,Productos!AT:AT,"Revisar"),"")</f>
        <v/>
      </c>
      <c r="BB571" s="179" t="str">
        <f t="array" ref="BB571">IF($F571&lt;&gt;"", XLOOKUP($F571,Productos!$A$2:$A1001,Productos!AU$2:AU1001,"")*$G571,"")</f>
        <v/>
      </c>
      <c r="BC571" s="179" t="str">
        <f t="array" ref="BC571">IF($F571&lt;&gt;"",XLOOKUP($F571,Productos!$A:$A,Productos!AV:AV,"Revisar"),"")</f>
        <v/>
      </c>
      <c r="BD571" s="179" t="str">
        <f t="array" ref="BD571">IF($F571&lt;&gt;"", XLOOKUP($F571,Productos!$A$2:$A1001,Productos!AW$2:AW1001,"")*$G571,"")</f>
        <v/>
      </c>
      <c r="BE571" s="179" t="str">
        <f t="array" ref="BE571">IF($F571&lt;&gt;"",XLOOKUP($F571,Productos!$A:$A,Productos!AX:AX,"Revisar"),"")</f>
        <v/>
      </c>
      <c r="BF571" s="179" t="str">
        <f t="array" ref="BF571">IF($F571&lt;&gt;"", XLOOKUP($F571,Productos!$A$2:$A1001,Productos!AY$2:AY1001,"")*$G571,"")</f>
        <v/>
      </c>
      <c r="BG571" s="179" t="str">
        <f t="array" ref="BG571">IF($F571&lt;&gt;"",XLOOKUP($F571,Productos!$A:$A,Productos!AZ:AZ,"Revisar"),"")</f>
        <v/>
      </c>
      <c r="BH571" s="179" t="str">
        <f t="array" ref="BH571">IF($F571&lt;&gt;"", XLOOKUP($F571,Productos!$A$2:$A1001,Productos!BA$2:BA1001,"")*$G571,"")</f>
        <v/>
      </c>
      <c r="BI571" s="179" t="str">
        <f t="array" ref="BI571">IF($F571&lt;&gt;"",XLOOKUP($F571,Productos!$A:$A,Productos!BB:BB,"Revisar"),"")</f>
        <v/>
      </c>
      <c r="BJ571" s="179" t="str">
        <f t="array" ref="BJ571">IF($F571&lt;&gt;"", XLOOKUP($F571,Productos!$A$2:$A1001,Productos!BC$2:BC1001,"")*$G571,"")</f>
        <v/>
      </c>
      <c r="BK571" s="179" t="str">
        <f t="array" ref="BK571">IF($F571&lt;&gt;"",XLOOKUP($F571,Productos!$A:$A,Productos!BD:BD,"Revisar"),"")</f>
        <v/>
      </c>
      <c r="BL571" s="179" t="str">
        <f t="array" ref="BL571">IF($F571&lt;&gt;"", XLOOKUP($F571,Productos!$A$2:$A1001,Productos!BE$2:BE1001,"")*$G571,"")</f>
        <v/>
      </c>
      <c r="BM571" s="179" t="str">
        <f t="array" ref="BM571">IF($F571&lt;&gt;"",XLOOKUP($F571,Productos!$A:$A,Productos!BF:BF,"Revisar"),"")</f>
        <v/>
      </c>
      <c r="BN571" s="179" t="str">
        <f t="array" ref="BN571">IF($F571&lt;&gt;"", XLOOKUP($F571,Productos!$A$2:$A1001,Productos!BG$2:BG1001,"")*$G571,"")</f>
        <v/>
      </c>
      <c r="BO571" s="179" t="str">
        <f t="array" ref="BO571">IF($F571&lt;&gt;"",XLOOKUP($F571,Productos!$A:$A,Productos!BH:BH,"Revisar"),"")</f>
        <v/>
      </c>
      <c r="BP571" s="179" t="str">
        <f t="array" ref="BP571">IF($F571&lt;&gt;"", XLOOKUP($F571,Productos!$A$2:$A1001,Productos!BI$2:BI1001,"")*$G571,"")</f>
        <v/>
      </c>
      <c r="BQ571" s="179" t="str">
        <f t="array" ref="BQ571">IF($F571&lt;&gt;"",XLOOKUP($F571,Productos!$A:$A,Productos!BJ:BJ,"Revisar"),"")</f>
        <v/>
      </c>
      <c r="BR571" s="179" t="str">
        <f t="array" ref="BR571">IF($F571&lt;&gt;"", XLOOKUP($F571,Productos!$A$2:$A1001,Productos!BK$2:BK1001,"")*$G571,"")</f>
        <v/>
      </c>
      <c r="BS571" s="179" t="str">
        <f t="array" ref="BS571">IF($F571&lt;&gt;"",XLOOKUP($F571,Productos!$A:$A,Productos!BL:BL,"Revisar"),"")</f>
        <v/>
      </c>
      <c r="BT571" s="179" t="str">
        <f t="array" ref="BT571">IF($F571&lt;&gt;"", XLOOKUP($F571,Productos!$A$2:$A1001,Productos!BM$2:BM1001,"")*$G571,"")</f>
        <v/>
      </c>
      <c r="BU571" s="179" t="str">
        <f t="array" ref="BU571">IF($F571&lt;&gt;"",XLOOKUP($F571,Productos!$A:$A,Productos!BN:BN,"Revisar"),"")</f>
        <v/>
      </c>
      <c r="BV571" s="179" t="str">
        <f t="array" ref="BV571">IF($F571&lt;&gt;"", XLOOKUP($F571,Productos!$A$2:$A1001,Productos!BO$2:BO1001,"")*$G571,"")</f>
        <v/>
      </c>
      <c r="BW571" s="179" t="str">
        <f t="array" ref="BW571">IF($F571&lt;&gt;"",XLOOKUP($F571,Productos!$A:$A,Productos!BP:BP,"Revisar"),"")</f>
        <v/>
      </c>
      <c r="BX571" s="179" t="str">
        <f t="array" ref="BX571">IF($F571&lt;&gt;"", XLOOKUP($F571,Productos!$A$2:$A1001,Productos!BQ$2:BQ1001,"")*$G571,"")</f>
        <v/>
      </c>
      <c r="BY571" s="179" t="str">
        <f t="array" ref="BY571">IF($F571&lt;&gt;"",XLOOKUP($F571,Productos!$A:$A,Productos!BR:BR,"Revisar"),"")</f>
        <v/>
      </c>
      <c r="BZ571" s="179" t="str">
        <f t="array" ref="BZ571">IF($F571&lt;&gt;"", XLOOKUP($F571,Productos!$A$2:$A1001,Productos!BS$2:BS1001,"")*$G571,"")</f>
        <v/>
      </c>
    </row>
    <row r="572">
      <c r="A572" s="188"/>
      <c r="B572" s="189"/>
      <c r="C572" s="190"/>
      <c r="D572" s="190"/>
      <c r="E572" s="191"/>
      <c r="F572" s="186"/>
      <c r="G572" s="192"/>
      <c r="H572" s="9"/>
      <c r="I572" s="179" t="str">
        <f t="array" ref="I572">IF($F572&lt;&gt;"",XLOOKUP($F572,Productos!$A:$A,Productos!B:B,"Revisar"),"")</f>
        <v/>
      </c>
      <c r="J572" s="179" t="str">
        <f t="array" ref="J572">IF($F572&lt;&gt;"", XLOOKUP($F572,Productos!$A$2:$A1001,Productos!C$2:C1001,"")*$G572,"")</f>
        <v/>
      </c>
      <c r="K572" s="179" t="str">
        <f t="array" ref="K572">IF($F572&lt;&gt;"",XLOOKUP($F572,Productos!$A:$A,Productos!D:D,"Revisar"),"")</f>
        <v/>
      </c>
      <c r="L572" s="179" t="str">
        <f t="array" ref="L572">IF($F572&lt;&gt;"", XLOOKUP($F572,Productos!$A$2:$A1001,Productos!E$2:E1001,"")*$G572,"")</f>
        <v/>
      </c>
      <c r="M572" s="179" t="str">
        <f t="array" ref="M572">IF($F572&lt;&gt;"",XLOOKUP($F572,Productos!$A:$A,Productos!F:F,"Revisar"),"")</f>
        <v/>
      </c>
      <c r="N572" s="179" t="str">
        <f t="array" ref="N572">IF($F572&lt;&gt;"", XLOOKUP($F572,Productos!$A$2:$A1001,Productos!G$2:G1001,"")*$G572,"")</f>
        <v/>
      </c>
      <c r="O572" s="179" t="str">
        <f t="array" ref="O572">IF($F572&lt;&gt;"",XLOOKUP($F572,Productos!$A:$A,Productos!H:H,"Revisar"),"")</f>
        <v/>
      </c>
      <c r="P572" s="179" t="str">
        <f t="array" ref="P572">IF($F572&lt;&gt;"", XLOOKUP($F572,Productos!$A$2:$A1001,Productos!I$2:I1001,"")*$G572,"")</f>
        <v/>
      </c>
      <c r="Q572" s="179" t="str">
        <f t="array" ref="Q572">IF($F572&lt;&gt;"",XLOOKUP($F572,Productos!$A:$A,Productos!J:J,"Revisar"),"")</f>
        <v/>
      </c>
      <c r="R572" s="179" t="str">
        <f t="array" ref="R572">IF($F572&lt;&gt;"", XLOOKUP($F572,Productos!$A$2:$A1001,Productos!K$2:K1001,"")*$G572,"")</f>
        <v/>
      </c>
      <c r="S572" s="179" t="str">
        <f t="array" ref="S572">IF($F572&lt;&gt;"",XLOOKUP($F572,Productos!$A:$A,Productos!L:L,"Revisar"),"")</f>
        <v/>
      </c>
      <c r="T572" s="179" t="str">
        <f t="array" ref="T572">IF($F572&lt;&gt;"", XLOOKUP($F572,Productos!$A$2:$A1001,Productos!M$2:M1001,"")*$G572,"")</f>
        <v/>
      </c>
      <c r="U572" s="179" t="str">
        <f t="array" ref="U572">IF($F572&lt;&gt;"",XLOOKUP($F572,Productos!$A:$A,Productos!N:N,"Revisar"),"")</f>
        <v/>
      </c>
      <c r="V572" s="179" t="str">
        <f t="array" ref="V572">IF($F572&lt;&gt;"", XLOOKUP($F572,Productos!$A$2:$A1001,Productos!O$2:O1001,"")*$G572,"")</f>
        <v/>
      </c>
      <c r="W572" s="179" t="str">
        <f t="array" ref="W572">IF($F572&lt;&gt;"",XLOOKUP($F572,Productos!$A:$A,Productos!P:P,"Revisar"),"")</f>
        <v/>
      </c>
      <c r="X572" s="179" t="str">
        <f t="array" ref="X572">IF($F572&lt;&gt;"", XLOOKUP($F572,Productos!$A$2:$A1001,Productos!Q$2:Q1001,"")*$G572,"")</f>
        <v/>
      </c>
      <c r="Y572" s="179" t="str">
        <f t="array" ref="Y572">IF($F572&lt;&gt;"",XLOOKUP($F572,Productos!$A:$A,Productos!R:R,"Revisar"),"")</f>
        <v/>
      </c>
      <c r="Z572" s="179" t="str">
        <f t="array" ref="Z572">IF($F572&lt;&gt;"", XLOOKUP($F572,Productos!$A$2:$A1001,Productos!S$2:S1001,"")*$G572,"")</f>
        <v/>
      </c>
      <c r="AA572" s="179" t="str">
        <f t="array" ref="AA572">IF($F572&lt;&gt;"",XLOOKUP($F572,Productos!$A:$A,Productos!T:T,"Revisar"),"")</f>
        <v/>
      </c>
      <c r="AB572" s="179" t="str">
        <f t="array" ref="AB572">IF($F572&lt;&gt;"", XLOOKUP($F572,Productos!$A$2:$A1001,Productos!U$2:U1001,"")*$G572,"")</f>
        <v/>
      </c>
      <c r="AC572" s="179" t="str">
        <f t="array" ref="AC572">IF($F572&lt;&gt;"",XLOOKUP($F572,Productos!$A:$A,Productos!V:V,"Revisar"),"")</f>
        <v/>
      </c>
      <c r="AD572" s="179" t="str">
        <f t="array" ref="AD572">IF($F572&lt;&gt;"", XLOOKUP($F572,Productos!$A$2:$A1001,Productos!W$2:W1001,"")*$G572,"")</f>
        <v/>
      </c>
      <c r="AE572" s="179" t="str">
        <f t="array" ref="AE572">IF($F572&lt;&gt;"",XLOOKUP($F572,Productos!$A:$A,Productos!X:X,"Revisar"),"")</f>
        <v/>
      </c>
      <c r="AF572" s="179" t="str">
        <f t="array" ref="AF572">IF($F572&lt;&gt;"", XLOOKUP($F572,Productos!$A$2:$A1001,Productos!Y$2:Y1001,"")*$G572,"")</f>
        <v/>
      </c>
      <c r="AG572" s="179" t="str">
        <f t="array" ref="AG572">IF($F572&lt;&gt;"",XLOOKUP($F572,Productos!$A:$A,Productos!Z:Z,"Revisar"),"")</f>
        <v/>
      </c>
      <c r="AH572" s="179" t="str">
        <f t="array" ref="AH572">IF($F572&lt;&gt;"", XLOOKUP($F572,Productos!$A$2:$A1001,Productos!AA$2:AA1001,"")*$G572,"")</f>
        <v/>
      </c>
      <c r="AI572" s="179" t="str">
        <f t="array" ref="AI572">IF($F572&lt;&gt;"",XLOOKUP($F572,Productos!$A:$A,Productos!AB:AB,"Revisar"),"")</f>
        <v/>
      </c>
      <c r="AJ572" s="179" t="str">
        <f t="array" ref="AJ572">IF($F572&lt;&gt;"", XLOOKUP($F572,Productos!$A$2:$A1001,Productos!AC$2:AC1001,"")*$G572,"")</f>
        <v/>
      </c>
      <c r="AK572" s="179" t="str">
        <f t="array" ref="AK572">IF($F572&lt;&gt;"",XLOOKUP($F572,Productos!$A:$A,Productos!AD:AD,"Revisar"),"")</f>
        <v/>
      </c>
      <c r="AL572" s="179" t="str">
        <f t="array" ref="AL572">IF($F572&lt;&gt;"", XLOOKUP($F572,Productos!$A$2:$A1001,Productos!AE$2:AE1001,"")*$G572,"")</f>
        <v/>
      </c>
      <c r="AM572" s="179" t="str">
        <f t="array" ref="AM572">IF($F572&lt;&gt;"",XLOOKUP($F572,Productos!$A:$A,Productos!AF:AF,"Revisar"),"")</f>
        <v/>
      </c>
      <c r="AN572" s="179" t="str">
        <f t="array" ref="AN572">IF($F572&lt;&gt;"", XLOOKUP($F572,Productos!$A$2:$A1001,Productos!AG$2:AG1001,"")*$G572,"")</f>
        <v/>
      </c>
      <c r="AO572" s="179" t="str">
        <f t="array" ref="AO572">IF($F572&lt;&gt;"",XLOOKUP($F572,Productos!$A:$A,Productos!AH:AH,"Revisar"),"")</f>
        <v/>
      </c>
      <c r="AP572" s="179" t="str">
        <f t="array" ref="AP572">IF($F572&lt;&gt;"", XLOOKUP($F572,Productos!$A$2:$A1001,Productos!AI$2:AI1001,"")*$G572,"")</f>
        <v/>
      </c>
      <c r="AQ572" s="179" t="str">
        <f t="array" ref="AQ572">IF($F572&lt;&gt;"",XLOOKUP($F572,Productos!$A:$A,Productos!AJ:AJ,"Revisar"),"")</f>
        <v/>
      </c>
      <c r="AR572" s="179" t="str">
        <f t="array" ref="AR572">IF($F572&lt;&gt;"", XLOOKUP($F572,Productos!$A$2:$A1001,Productos!AK$2:AK1001,"")*$G572,"")</f>
        <v/>
      </c>
      <c r="AS572" s="179" t="str">
        <f t="array" ref="AS572">IF($F572&lt;&gt;"",XLOOKUP($F572,Productos!$A:$A,Productos!AL:AL,"Revisar"),"")</f>
        <v/>
      </c>
      <c r="AT572" s="179" t="str">
        <f t="array" ref="AT572">IF($F572&lt;&gt;"", XLOOKUP($F572,Productos!$A$2:$A1001,Productos!AM$2:AM1001,"")*$G572,"")</f>
        <v/>
      </c>
      <c r="AU572" s="179" t="str">
        <f t="array" ref="AU572">IF($F572&lt;&gt;"",XLOOKUP($F572,Productos!$A:$A,Productos!AN:AN,"Revisar"),"")</f>
        <v/>
      </c>
      <c r="AV572" s="179" t="str">
        <f t="array" ref="AV572">IF($F572&lt;&gt;"", XLOOKUP($F572,Productos!$A$2:$A1001,Productos!AO$2:AO1001,"")*$G572,"")</f>
        <v/>
      </c>
      <c r="AW572" s="179" t="str">
        <f t="array" ref="AW572">IF($F572&lt;&gt;"",XLOOKUP($F572,Productos!$A:$A,Productos!AP:AP,"Revisar"),"")</f>
        <v/>
      </c>
      <c r="AX572" s="179" t="str">
        <f t="array" ref="AX572">IF($F572&lt;&gt;"", XLOOKUP($F572,Productos!$A$2:$A1001,Productos!AQ$2:AQ1001,"")*$G572,"")</f>
        <v/>
      </c>
      <c r="AY572" s="179" t="str">
        <f t="array" ref="AY572">IF($F572&lt;&gt;"",XLOOKUP($F572,Productos!$A:$A,Productos!AR:AR,"Revisar"),"")</f>
        <v/>
      </c>
      <c r="AZ572" s="179" t="str">
        <f t="array" ref="AZ572">IF($F572&lt;&gt;"", XLOOKUP($F572,Productos!$A$2:$A1001,Productos!AS$2:AS1001,"")*$G572,"")</f>
        <v/>
      </c>
      <c r="BA572" s="179" t="str">
        <f t="array" ref="BA572">IF($F572&lt;&gt;"",XLOOKUP($F572,Productos!$A:$A,Productos!AT:AT,"Revisar"),"")</f>
        <v/>
      </c>
      <c r="BB572" s="179" t="str">
        <f t="array" ref="BB572">IF($F572&lt;&gt;"", XLOOKUP($F572,Productos!$A$2:$A1001,Productos!AU$2:AU1001,"")*$G572,"")</f>
        <v/>
      </c>
      <c r="BC572" s="179" t="str">
        <f t="array" ref="BC572">IF($F572&lt;&gt;"",XLOOKUP($F572,Productos!$A:$A,Productos!AV:AV,"Revisar"),"")</f>
        <v/>
      </c>
      <c r="BD572" s="179" t="str">
        <f t="array" ref="BD572">IF($F572&lt;&gt;"", XLOOKUP($F572,Productos!$A$2:$A1001,Productos!AW$2:AW1001,"")*$G572,"")</f>
        <v/>
      </c>
      <c r="BE572" s="179" t="str">
        <f t="array" ref="BE572">IF($F572&lt;&gt;"",XLOOKUP($F572,Productos!$A:$A,Productos!AX:AX,"Revisar"),"")</f>
        <v/>
      </c>
      <c r="BF572" s="179" t="str">
        <f t="array" ref="BF572">IF($F572&lt;&gt;"", XLOOKUP($F572,Productos!$A$2:$A1001,Productos!AY$2:AY1001,"")*$G572,"")</f>
        <v/>
      </c>
      <c r="BG572" s="179" t="str">
        <f t="array" ref="BG572">IF($F572&lt;&gt;"",XLOOKUP($F572,Productos!$A:$A,Productos!AZ:AZ,"Revisar"),"")</f>
        <v/>
      </c>
      <c r="BH572" s="179" t="str">
        <f t="array" ref="BH572">IF($F572&lt;&gt;"", XLOOKUP($F572,Productos!$A$2:$A1001,Productos!BA$2:BA1001,"")*$G572,"")</f>
        <v/>
      </c>
      <c r="BI572" s="179" t="str">
        <f t="array" ref="BI572">IF($F572&lt;&gt;"",XLOOKUP($F572,Productos!$A:$A,Productos!BB:BB,"Revisar"),"")</f>
        <v/>
      </c>
      <c r="BJ572" s="179" t="str">
        <f t="array" ref="BJ572">IF($F572&lt;&gt;"", XLOOKUP($F572,Productos!$A$2:$A1001,Productos!BC$2:BC1001,"")*$G572,"")</f>
        <v/>
      </c>
      <c r="BK572" s="179" t="str">
        <f t="array" ref="BK572">IF($F572&lt;&gt;"",XLOOKUP($F572,Productos!$A:$A,Productos!BD:BD,"Revisar"),"")</f>
        <v/>
      </c>
      <c r="BL572" s="179" t="str">
        <f t="array" ref="BL572">IF($F572&lt;&gt;"", XLOOKUP($F572,Productos!$A$2:$A1001,Productos!BE$2:BE1001,"")*$G572,"")</f>
        <v/>
      </c>
      <c r="BM572" s="179" t="str">
        <f t="array" ref="BM572">IF($F572&lt;&gt;"",XLOOKUP($F572,Productos!$A:$A,Productos!BF:BF,"Revisar"),"")</f>
        <v/>
      </c>
      <c r="BN572" s="179" t="str">
        <f t="array" ref="BN572">IF($F572&lt;&gt;"", XLOOKUP($F572,Productos!$A$2:$A1001,Productos!BG$2:BG1001,"")*$G572,"")</f>
        <v/>
      </c>
      <c r="BO572" s="179" t="str">
        <f t="array" ref="BO572">IF($F572&lt;&gt;"",XLOOKUP($F572,Productos!$A:$A,Productos!BH:BH,"Revisar"),"")</f>
        <v/>
      </c>
      <c r="BP572" s="179" t="str">
        <f t="array" ref="BP572">IF($F572&lt;&gt;"", XLOOKUP($F572,Productos!$A$2:$A1001,Productos!BI$2:BI1001,"")*$G572,"")</f>
        <v/>
      </c>
      <c r="BQ572" s="179" t="str">
        <f t="array" ref="BQ572">IF($F572&lt;&gt;"",XLOOKUP($F572,Productos!$A:$A,Productos!BJ:BJ,"Revisar"),"")</f>
        <v/>
      </c>
      <c r="BR572" s="179" t="str">
        <f t="array" ref="BR572">IF($F572&lt;&gt;"", XLOOKUP($F572,Productos!$A$2:$A1001,Productos!BK$2:BK1001,"")*$G572,"")</f>
        <v/>
      </c>
      <c r="BS572" s="179" t="str">
        <f t="array" ref="BS572">IF($F572&lt;&gt;"",XLOOKUP($F572,Productos!$A:$A,Productos!BL:BL,"Revisar"),"")</f>
        <v/>
      </c>
      <c r="BT572" s="179" t="str">
        <f t="array" ref="BT572">IF($F572&lt;&gt;"", XLOOKUP($F572,Productos!$A$2:$A1001,Productos!BM$2:BM1001,"")*$G572,"")</f>
        <v/>
      </c>
      <c r="BU572" s="179" t="str">
        <f t="array" ref="BU572">IF($F572&lt;&gt;"",XLOOKUP($F572,Productos!$A:$A,Productos!BN:BN,"Revisar"),"")</f>
        <v/>
      </c>
      <c r="BV572" s="179" t="str">
        <f t="array" ref="BV572">IF($F572&lt;&gt;"", XLOOKUP($F572,Productos!$A$2:$A1001,Productos!BO$2:BO1001,"")*$G572,"")</f>
        <v/>
      </c>
      <c r="BW572" s="179" t="str">
        <f t="array" ref="BW572">IF($F572&lt;&gt;"",XLOOKUP($F572,Productos!$A:$A,Productos!BP:BP,"Revisar"),"")</f>
        <v/>
      </c>
      <c r="BX572" s="179" t="str">
        <f t="array" ref="BX572">IF($F572&lt;&gt;"", XLOOKUP($F572,Productos!$A$2:$A1001,Productos!BQ$2:BQ1001,"")*$G572,"")</f>
        <v/>
      </c>
      <c r="BY572" s="179" t="str">
        <f t="array" ref="BY572">IF($F572&lt;&gt;"",XLOOKUP($F572,Productos!$A:$A,Productos!BR:BR,"Revisar"),"")</f>
        <v/>
      </c>
      <c r="BZ572" s="179" t="str">
        <f t="array" ref="BZ572">IF($F572&lt;&gt;"", XLOOKUP($F572,Productos!$A$2:$A1001,Productos!BS$2:BS1001,"")*$G572,"")</f>
        <v/>
      </c>
    </row>
    <row r="573">
      <c r="A573" s="188"/>
      <c r="B573" s="189"/>
      <c r="C573" s="190"/>
      <c r="D573" s="190"/>
      <c r="E573" s="191"/>
      <c r="F573" s="186"/>
      <c r="G573" s="192"/>
      <c r="H573" s="9"/>
      <c r="I573" s="179" t="str">
        <f t="array" ref="I573">IF($F573&lt;&gt;"",XLOOKUP($F573,Productos!$A:$A,Productos!B:B,"Revisar"),"")</f>
        <v/>
      </c>
      <c r="J573" s="179" t="str">
        <f t="array" ref="J573">IF($F573&lt;&gt;"", XLOOKUP($F573,Productos!$A$2:$A1001,Productos!C$2:C1001,"")*$G573,"")</f>
        <v/>
      </c>
      <c r="K573" s="179" t="str">
        <f t="array" ref="K573">IF($F573&lt;&gt;"",XLOOKUP($F573,Productos!$A:$A,Productos!D:D,"Revisar"),"")</f>
        <v/>
      </c>
      <c r="L573" s="179" t="str">
        <f t="array" ref="L573">IF($F573&lt;&gt;"", XLOOKUP($F573,Productos!$A$2:$A1001,Productos!E$2:E1001,"")*$G573,"")</f>
        <v/>
      </c>
      <c r="M573" s="179" t="str">
        <f t="array" ref="M573">IF($F573&lt;&gt;"",XLOOKUP($F573,Productos!$A:$A,Productos!F:F,"Revisar"),"")</f>
        <v/>
      </c>
      <c r="N573" s="179" t="str">
        <f t="array" ref="N573">IF($F573&lt;&gt;"", XLOOKUP($F573,Productos!$A$2:$A1001,Productos!G$2:G1001,"")*$G573,"")</f>
        <v/>
      </c>
      <c r="O573" s="179" t="str">
        <f t="array" ref="O573">IF($F573&lt;&gt;"",XLOOKUP($F573,Productos!$A:$A,Productos!H:H,"Revisar"),"")</f>
        <v/>
      </c>
      <c r="P573" s="179" t="str">
        <f t="array" ref="P573">IF($F573&lt;&gt;"", XLOOKUP($F573,Productos!$A$2:$A1001,Productos!I$2:I1001,"")*$G573,"")</f>
        <v/>
      </c>
      <c r="Q573" s="179" t="str">
        <f t="array" ref="Q573">IF($F573&lt;&gt;"",XLOOKUP($F573,Productos!$A:$A,Productos!J:J,"Revisar"),"")</f>
        <v/>
      </c>
      <c r="R573" s="179" t="str">
        <f t="array" ref="R573">IF($F573&lt;&gt;"", XLOOKUP($F573,Productos!$A$2:$A1001,Productos!K$2:K1001,"")*$G573,"")</f>
        <v/>
      </c>
      <c r="S573" s="179" t="str">
        <f t="array" ref="S573">IF($F573&lt;&gt;"",XLOOKUP($F573,Productos!$A:$A,Productos!L:L,"Revisar"),"")</f>
        <v/>
      </c>
      <c r="T573" s="179" t="str">
        <f t="array" ref="T573">IF($F573&lt;&gt;"", XLOOKUP($F573,Productos!$A$2:$A1001,Productos!M$2:M1001,"")*$G573,"")</f>
        <v/>
      </c>
      <c r="U573" s="179" t="str">
        <f t="array" ref="U573">IF($F573&lt;&gt;"",XLOOKUP($F573,Productos!$A:$A,Productos!N:N,"Revisar"),"")</f>
        <v/>
      </c>
      <c r="V573" s="179" t="str">
        <f t="array" ref="V573">IF($F573&lt;&gt;"", XLOOKUP($F573,Productos!$A$2:$A1001,Productos!O$2:O1001,"")*$G573,"")</f>
        <v/>
      </c>
      <c r="W573" s="179" t="str">
        <f t="array" ref="W573">IF($F573&lt;&gt;"",XLOOKUP($F573,Productos!$A:$A,Productos!P:P,"Revisar"),"")</f>
        <v/>
      </c>
      <c r="X573" s="179" t="str">
        <f t="array" ref="X573">IF($F573&lt;&gt;"", XLOOKUP($F573,Productos!$A$2:$A1001,Productos!Q$2:Q1001,"")*$G573,"")</f>
        <v/>
      </c>
      <c r="Y573" s="179" t="str">
        <f t="array" ref="Y573">IF($F573&lt;&gt;"",XLOOKUP($F573,Productos!$A:$A,Productos!R:R,"Revisar"),"")</f>
        <v/>
      </c>
      <c r="Z573" s="179" t="str">
        <f t="array" ref="Z573">IF($F573&lt;&gt;"", XLOOKUP($F573,Productos!$A$2:$A1001,Productos!S$2:S1001,"")*$G573,"")</f>
        <v/>
      </c>
      <c r="AA573" s="179" t="str">
        <f t="array" ref="AA573">IF($F573&lt;&gt;"",XLOOKUP($F573,Productos!$A:$A,Productos!T:T,"Revisar"),"")</f>
        <v/>
      </c>
      <c r="AB573" s="179" t="str">
        <f t="array" ref="AB573">IF($F573&lt;&gt;"", XLOOKUP($F573,Productos!$A$2:$A1001,Productos!U$2:U1001,"")*$G573,"")</f>
        <v/>
      </c>
      <c r="AC573" s="179" t="str">
        <f t="array" ref="AC573">IF($F573&lt;&gt;"",XLOOKUP($F573,Productos!$A:$A,Productos!V:V,"Revisar"),"")</f>
        <v/>
      </c>
      <c r="AD573" s="179" t="str">
        <f t="array" ref="AD573">IF($F573&lt;&gt;"", XLOOKUP($F573,Productos!$A$2:$A1001,Productos!W$2:W1001,"")*$G573,"")</f>
        <v/>
      </c>
      <c r="AE573" s="179" t="str">
        <f t="array" ref="AE573">IF($F573&lt;&gt;"",XLOOKUP($F573,Productos!$A:$A,Productos!X:X,"Revisar"),"")</f>
        <v/>
      </c>
      <c r="AF573" s="179" t="str">
        <f t="array" ref="AF573">IF($F573&lt;&gt;"", XLOOKUP($F573,Productos!$A$2:$A1001,Productos!Y$2:Y1001,"")*$G573,"")</f>
        <v/>
      </c>
      <c r="AG573" s="179" t="str">
        <f t="array" ref="AG573">IF($F573&lt;&gt;"",XLOOKUP($F573,Productos!$A:$A,Productos!Z:Z,"Revisar"),"")</f>
        <v/>
      </c>
      <c r="AH573" s="179" t="str">
        <f t="array" ref="AH573">IF($F573&lt;&gt;"", XLOOKUP($F573,Productos!$A$2:$A1001,Productos!AA$2:AA1001,"")*$G573,"")</f>
        <v/>
      </c>
      <c r="AI573" s="179" t="str">
        <f t="array" ref="AI573">IF($F573&lt;&gt;"",XLOOKUP($F573,Productos!$A:$A,Productos!AB:AB,"Revisar"),"")</f>
        <v/>
      </c>
      <c r="AJ573" s="179" t="str">
        <f t="array" ref="AJ573">IF($F573&lt;&gt;"", XLOOKUP($F573,Productos!$A$2:$A1001,Productos!AC$2:AC1001,"")*$G573,"")</f>
        <v/>
      </c>
      <c r="AK573" s="179" t="str">
        <f t="array" ref="AK573">IF($F573&lt;&gt;"",XLOOKUP($F573,Productos!$A:$A,Productos!AD:AD,"Revisar"),"")</f>
        <v/>
      </c>
      <c r="AL573" s="179" t="str">
        <f t="array" ref="AL573">IF($F573&lt;&gt;"", XLOOKUP($F573,Productos!$A$2:$A1001,Productos!AE$2:AE1001,"")*$G573,"")</f>
        <v/>
      </c>
      <c r="AM573" s="179" t="str">
        <f t="array" ref="AM573">IF($F573&lt;&gt;"",XLOOKUP($F573,Productos!$A:$A,Productos!AF:AF,"Revisar"),"")</f>
        <v/>
      </c>
      <c r="AN573" s="179" t="str">
        <f t="array" ref="AN573">IF($F573&lt;&gt;"", XLOOKUP($F573,Productos!$A$2:$A1001,Productos!AG$2:AG1001,"")*$G573,"")</f>
        <v/>
      </c>
      <c r="AO573" s="179" t="str">
        <f t="array" ref="AO573">IF($F573&lt;&gt;"",XLOOKUP($F573,Productos!$A:$A,Productos!AH:AH,"Revisar"),"")</f>
        <v/>
      </c>
      <c r="AP573" s="179" t="str">
        <f t="array" ref="AP573">IF($F573&lt;&gt;"", XLOOKUP($F573,Productos!$A$2:$A1001,Productos!AI$2:AI1001,"")*$G573,"")</f>
        <v/>
      </c>
      <c r="AQ573" s="179" t="str">
        <f t="array" ref="AQ573">IF($F573&lt;&gt;"",XLOOKUP($F573,Productos!$A:$A,Productos!AJ:AJ,"Revisar"),"")</f>
        <v/>
      </c>
      <c r="AR573" s="179" t="str">
        <f t="array" ref="AR573">IF($F573&lt;&gt;"", XLOOKUP($F573,Productos!$A$2:$A1001,Productos!AK$2:AK1001,"")*$G573,"")</f>
        <v/>
      </c>
      <c r="AS573" s="179" t="str">
        <f t="array" ref="AS573">IF($F573&lt;&gt;"",XLOOKUP($F573,Productos!$A:$A,Productos!AL:AL,"Revisar"),"")</f>
        <v/>
      </c>
      <c r="AT573" s="179" t="str">
        <f t="array" ref="AT573">IF($F573&lt;&gt;"", XLOOKUP($F573,Productos!$A$2:$A1001,Productos!AM$2:AM1001,"")*$G573,"")</f>
        <v/>
      </c>
      <c r="AU573" s="179" t="str">
        <f t="array" ref="AU573">IF($F573&lt;&gt;"",XLOOKUP($F573,Productos!$A:$A,Productos!AN:AN,"Revisar"),"")</f>
        <v/>
      </c>
      <c r="AV573" s="179" t="str">
        <f t="array" ref="AV573">IF($F573&lt;&gt;"", XLOOKUP($F573,Productos!$A$2:$A1001,Productos!AO$2:AO1001,"")*$G573,"")</f>
        <v/>
      </c>
      <c r="AW573" s="179" t="str">
        <f t="array" ref="AW573">IF($F573&lt;&gt;"",XLOOKUP($F573,Productos!$A:$A,Productos!AP:AP,"Revisar"),"")</f>
        <v/>
      </c>
      <c r="AX573" s="179" t="str">
        <f t="array" ref="AX573">IF($F573&lt;&gt;"", XLOOKUP($F573,Productos!$A$2:$A1001,Productos!AQ$2:AQ1001,"")*$G573,"")</f>
        <v/>
      </c>
      <c r="AY573" s="179" t="str">
        <f t="array" ref="AY573">IF($F573&lt;&gt;"",XLOOKUP($F573,Productos!$A:$A,Productos!AR:AR,"Revisar"),"")</f>
        <v/>
      </c>
      <c r="AZ573" s="179" t="str">
        <f t="array" ref="AZ573">IF($F573&lt;&gt;"", XLOOKUP($F573,Productos!$A$2:$A1001,Productos!AS$2:AS1001,"")*$G573,"")</f>
        <v/>
      </c>
      <c r="BA573" s="179" t="str">
        <f t="array" ref="BA573">IF($F573&lt;&gt;"",XLOOKUP($F573,Productos!$A:$A,Productos!AT:AT,"Revisar"),"")</f>
        <v/>
      </c>
      <c r="BB573" s="179" t="str">
        <f t="array" ref="BB573">IF($F573&lt;&gt;"", XLOOKUP($F573,Productos!$A$2:$A1001,Productos!AU$2:AU1001,"")*$G573,"")</f>
        <v/>
      </c>
      <c r="BC573" s="179" t="str">
        <f t="array" ref="BC573">IF($F573&lt;&gt;"",XLOOKUP($F573,Productos!$A:$A,Productos!AV:AV,"Revisar"),"")</f>
        <v/>
      </c>
      <c r="BD573" s="179" t="str">
        <f t="array" ref="BD573">IF($F573&lt;&gt;"", XLOOKUP($F573,Productos!$A$2:$A1001,Productos!AW$2:AW1001,"")*$G573,"")</f>
        <v/>
      </c>
      <c r="BE573" s="179" t="str">
        <f t="array" ref="BE573">IF($F573&lt;&gt;"",XLOOKUP($F573,Productos!$A:$A,Productos!AX:AX,"Revisar"),"")</f>
        <v/>
      </c>
      <c r="BF573" s="179" t="str">
        <f t="array" ref="BF573">IF($F573&lt;&gt;"", XLOOKUP($F573,Productos!$A$2:$A1001,Productos!AY$2:AY1001,"")*$G573,"")</f>
        <v/>
      </c>
      <c r="BG573" s="179" t="str">
        <f t="array" ref="BG573">IF($F573&lt;&gt;"",XLOOKUP($F573,Productos!$A:$A,Productos!AZ:AZ,"Revisar"),"")</f>
        <v/>
      </c>
      <c r="BH573" s="179" t="str">
        <f t="array" ref="BH573">IF($F573&lt;&gt;"", XLOOKUP($F573,Productos!$A$2:$A1001,Productos!BA$2:BA1001,"")*$G573,"")</f>
        <v/>
      </c>
      <c r="BI573" s="179" t="str">
        <f t="array" ref="BI573">IF($F573&lt;&gt;"",XLOOKUP($F573,Productos!$A:$A,Productos!BB:BB,"Revisar"),"")</f>
        <v/>
      </c>
      <c r="BJ573" s="179" t="str">
        <f t="array" ref="BJ573">IF($F573&lt;&gt;"", XLOOKUP($F573,Productos!$A$2:$A1001,Productos!BC$2:BC1001,"")*$G573,"")</f>
        <v/>
      </c>
      <c r="BK573" s="179" t="str">
        <f t="array" ref="BK573">IF($F573&lt;&gt;"",XLOOKUP($F573,Productos!$A:$A,Productos!BD:BD,"Revisar"),"")</f>
        <v/>
      </c>
      <c r="BL573" s="179" t="str">
        <f t="array" ref="BL573">IF($F573&lt;&gt;"", XLOOKUP($F573,Productos!$A$2:$A1001,Productos!BE$2:BE1001,"")*$G573,"")</f>
        <v/>
      </c>
      <c r="BM573" s="179" t="str">
        <f t="array" ref="BM573">IF($F573&lt;&gt;"",XLOOKUP($F573,Productos!$A:$A,Productos!BF:BF,"Revisar"),"")</f>
        <v/>
      </c>
      <c r="BN573" s="179" t="str">
        <f t="array" ref="BN573">IF($F573&lt;&gt;"", XLOOKUP($F573,Productos!$A$2:$A1001,Productos!BG$2:BG1001,"")*$G573,"")</f>
        <v/>
      </c>
      <c r="BO573" s="179" t="str">
        <f t="array" ref="BO573">IF($F573&lt;&gt;"",XLOOKUP($F573,Productos!$A:$A,Productos!BH:BH,"Revisar"),"")</f>
        <v/>
      </c>
      <c r="BP573" s="179" t="str">
        <f t="array" ref="BP573">IF($F573&lt;&gt;"", XLOOKUP($F573,Productos!$A$2:$A1001,Productos!BI$2:BI1001,"")*$G573,"")</f>
        <v/>
      </c>
      <c r="BQ573" s="179" t="str">
        <f t="array" ref="BQ573">IF($F573&lt;&gt;"",XLOOKUP($F573,Productos!$A:$A,Productos!BJ:BJ,"Revisar"),"")</f>
        <v/>
      </c>
      <c r="BR573" s="179" t="str">
        <f t="array" ref="BR573">IF($F573&lt;&gt;"", XLOOKUP($F573,Productos!$A$2:$A1001,Productos!BK$2:BK1001,"")*$G573,"")</f>
        <v/>
      </c>
      <c r="BS573" s="179" t="str">
        <f t="array" ref="BS573">IF($F573&lt;&gt;"",XLOOKUP($F573,Productos!$A:$A,Productos!BL:BL,"Revisar"),"")</f>
        <v/>
      </c>
      <c r="BT573" s="179" t="str">
        <f t="array" ref="BT573">IF($F573&lt;&gt;"", XLOOKUP($F573,Productos!$A$2:$A1001,Productos!BM$2:BM1001,"")*$G573,"")</f>
        <v/>
      </c>
      <c r="BU573" s="179" t="str">
        <f t="array" ref="BU573">IF($F573&lt;&gt;"",XLOOKUP($F573,Productos!$A:$A,Productos!BN:BN,"Revisar"),"")</f>
        <v/>
      </c>
      <c r="BV573" s="179" t="str">
        <f t="array" ref="BV573">IF($F573&lt;&gt;"", XLOOKUP($F573,Productos!$A$2:$A1001,Productos!BO$2:BO1001,"")*$G573,"")</f>
        <v/>
      </c>
      <c r="BW573" s="179" t="str">
        <f t="array" ref="BW573">IF($F573&lt;&gt;"",XLOOKUP($F573,Productos!$A:$A,Productos!BP:BP,"Revisar"),"")</f>
        <v/>
      </c>
      <c r="BX573" s="179" t="str">
        <f t="array" ref="BX573">IF($F573&lt;&gt;"", XLOOKUP($F573,Productos!$A$2:$A1001,Productos!BQ$2:BQ1001,"")*$G573,"")</f>
        <v/>
      </c>
      <c r="BY573" s="179" t="str">
        <f t="array" ref="BY573">IF($F573&lt;&gt;"",XLOOKUP($F573,Productos!$A:$A,Productos!BR:BR,"Revisar"),"")</f>
        <v/>
      </c>
      <c r="BZ573" s="179" t="str">
        <f t="array" ref="BZ573">IF($F573&lt;&gt;"", XLOOKUP($F573,Productos!$A$2:$A1001,Productos!BS$2:BS1001,"")*$G573,"")</f>
        <v/>
      </c>
    </row>
    <row r="574">
      <c r="A574" s="188"/>
      <c r="B574" s="189"/>
      <c r="C574" s="190"/>
      <c r="D574" s="190"/>
      <c r="E574" s="191"/>
      <c r="F574" s="186"/>
      <c r="G574" s="192"/>
      <c r="H574" s="9"/>
      <c r="I574" s="179" t="str">
        <f t="array" ref="I574">IF($F574&lt;&gt;"",XLOOKUP($F574,Productos!$A:$A,Productos!B:B,"Revisar"),"")</f>
        <v/>
      </c>
      <c r="J574" s="179" t="str">
        <f t="array" ref="J574">IF($F574&lt;&gt;"", XLOOKUP($F574,Productos!$A$2:$A1001,Productos!C$2:C1001,"")*$G574,"")</f>
        <v/>
      </c>
      <c r="K574" s="179" t="str">
        <f t="array" ref="K574">IF($F574&lt;&gt;"",XLOOKUP($F574,Productos!$A:$A,Productos!D:D,"Revisar"),"")</f>
        <v/>
      </c>
      <c r="L574" s="179" t="str">
        <f t="array" ref="L574">IF($F574&lt;&gt;"", XLOOKUP($F574,Productos!$A$2:$A1001,Productos!E$2:E1001,"")*$G574,"")</f>
        <v/>
      </c>
      <c r="M574" s="179" t="str">
        <f t="array" ref="M574">IF($F574&lt;&gt;"",XLOOKUP($F574,Productos!$A:$A,Productos!F:F,"Revisar"),"")</f>
        <v/>
      </c>
      <c r="N574" s="179" t="str">
        <f t="array" ref="N574">IF($F574&lt;&gt;"", XLOOKUP($F574,Productos!$A$2:$A1001,Productos!G$2:G1001,"")*$G574,"")</f>
        <v/>
      </c>
      <c r="O574" s="179" t="str">
        <f t="array" ref="O574">IF($F574&lt;&gt;"",XLOOKUP($F574,Productos!$A:$A,Productos!H:H,"Revisar"),"")</f>
        <v/>
      </c>
      <c r="P574" s="179" t="str">
        <f t="array" ref="P574">IF($F574&lt;&gt;"", XLOOKUP($F574,Productos!$A$2:$A1001,Productos!I$2:I1001,"")*$G574,"")</f>
        <v/>
      </c>
      <c r="Q574" s="179" t="str">
        <f t="array" ref="Q574">IF($F574&lt;&gt;"",XLOOKUP($F574,Productos!$A:$A,Productos!J:J,"Revisar"),"")</f>
        <v/>
      </c>
      <c r="R574" s="179" t="str">
        <f t="array" ref="R574">IF($F574&lt;&gt;"", XLOOKUP($F574,Productos!$A$2:$A1001,Productos!K$2:K1001,"")*$G574,"")</f>
        <v/>
      </c>
      <c r="S574" s="179" t="str">
        <f t="array" ref="S574">IF($F574&lt;&gt;"",XLOOKUP($F574,Productos!$A:$A,Productos!L:L,"Revisar"),"")</f>
        <v/>
      </c>
      <c r="T574" s="179" t="str">
        <f t="array" ref="T574">IF($F574&lt;&gt;"", XLOOKUP($F574,Productos!$A$2:$A1001,Productos!M$2:M1001,"")*$G574,"")</f>
        <v/>
      </c>
      <c r="U574" s="179" t="str">
        <f t="array" ref="U574">IF($F574&lt;&gt;"",XLOOKUP($F574,Productos!$A:$A,Productos!N:N,"Revisar"),"")</f>
        <v/>
      </c>
      <c r="V574" s="179" t="str">
        <f t="array" ref="V574">IF($F574&lt;&gt;"", XLOOKUP($F574,Productos!$A$2:$A1001,Productos!O$2:O1001,"")*$G574,"")</f>
        <v/>
      </c>
      <c r="W574" s="179" t="str">
        <f t="array" ref="W574">IF($F574&lt;&gt;"",XLOOKUP($F574,Productos!$A:$A,Productos!P:P,"Revisar"),"")</f>
        <v/>
      </c>
      <c r="X574" s="179" t="str">
        <f t="array" ref="X574">IF($F574&lt;&gt;"", XLOOKUP($F574,Productos!$A$2:$A1001,Productos!Q$2:Q1001,"")*$G574,"")</f>
        <v/>
      </c>
      <c r="Y574" s="179" t="str">
        <f t="array" ref="Y574">IF($F574&lt;&gt;"",XLOOKUP($F574,Productos!$A:$A,Productos!R:R,"Revisar"),"")</f>
        <v/>
      </c>
      <c r="Z574" s="179" t="str">
        <f t="array" ref="Z574">IF($F574&lt;&gt;"", XLOOKUP($F574,Productos!$A$2:$A1001,Productos!S$2:S1001,"")*$G574,"")</f>
        <v/>
      </c>
      <c r="AA574" s="179" t="str">
        <f t="array" ref="AA574">IF($F574&lt;&gt;"",XLOOKUP($F574,Productos!$A:$A,Productos!T:T,"Revisar"),"")</f>
        <v/>
      </c>
      <c r="AB574" s="179" t="str">
        <f t="array" ref="AB574">IF($F574&lt;&gt;"", XLOOKUP($F574,Productos!$A$2:$A1001,Productos!U$2:U1001,"")*$G574,"")</f>
        <v/>
      </c>
      <c r="AC574" s="179" t="str">
        <f t="array" ref="AC574">IF($F574&lt;&gt;"",XLOOKUP($F574,Productos!$A:$A,Productos!V:V,"Revisar"),"")</f>
        <v/>
      </c>
      <c r="AD574" s="179" t="str">
        <f t="array" ref="AD574">IF($F574&lt;&gt;"", XLOOKUP($F574,Productos!$A$2:$A1001,Productos!W$2:W1001,"")*$G574,"")</f>
        <v/>
      </c>
      <c r="AE574" s="179" t="str">
        <f t="array" ref="AE574">IF($F574&lt;&gt;"",XLOOKUP($F574,Productos!$A:$A,Productos!X:X,"Revisar"),"")</f>
        <v/>
      </c>
      <c r="AF574" s="179" t="str">
        <f t="array" ref="AF574">IF($F574&lt;&gt;"", XLOOKUP($F574,Productos!$A$2:$A1001,Productos!Y$2:Y1001,"")*$G574,"")</f>
        <v/>
      </c>
      <c r="AG574" s="179" t="str">
        <f t="array" ref="AG574">IF($F574&lt;&gt;"",XLOOKUP($F574,Productos!$A:$A,Productos!Z:Z,"Revisar"),"")</f>
        <v/>
      </c>
      <c r="AH574" s="179" t="str">
        <f t="array" ref="AH574">IF($F574&lt;&gt;"", XLOOKUP($F574,Productos!$A$2:$A1001,Productos!AA$2:AA1001,"")*$G574,"")</f>
        <v/>
      </c>
      <c r="AI574" s="179" t="str">
        <f t="array" ref="AI574">IF($F574&lt;&gt;"",XLOOKUP($F574,Productos!$A:$A,Productos!AB:AB,"Revisar"),"")</f>
        <v/>
      </c>
      <c r="AJ574" s="179" t="str">
        <f t="array" ref="AJ574">IF($F574&lt;&gt;"", XLOOKUP($F574,Productos!$A$2:$A1001,Productos!AC$2:AC1001,"")*$G574,"")</f>
        <v/>
      </c>
      <c r="AK574" s="179" t="str">
        <f t="array" ref="AK574">IF($F574&lt;&gt;"",XLOOKUP($F574,Productos!$A:$A,Productos!AD:AD,"Revisar"),"")</f>
        <v/>
      </c>
      <c r="AL574" s="179" t="str">
        <f t="array" ref="AL574">IF($F574&lt;&gt;"", XLOOKUP($F574,Productos!$A$2:$A1001,Productos!AE$2:AE1001,"")*$G574,"")</f>
        <v/>
      </c>
      <c r="AM574" s="179" t="str">
        <f t="array" ref="AM574">IF($F574&lt;&gt;"",XLOOKUP($F574,Productos!$A:$A,Productos!AF:AF,"Revisar"),"")</f>
        <v/>
      </c>
      <c r="AN574" s="179" t="str">
        <f t="array" ref="AN574">IF($F574&lt;&gt;"", XLOOKUP($F574,Productos!$A$2:$A1001,Productos!AG$2:AG1001,"")*$G574,"")</f>
        <v/>
      </c>
      <c r="AO574" s="179" t="str">
        <f t="array" ref="AO574">IF($F574&lt;&gt;"",XLOOKUP($F574,Productos!$A:$A,Productos!AH:AH,"Revisar"),"")</f>
        <v/>
      </c>
      <c r="AP574" s="179" t="str">
        <f t="array" ref="AP574">IF($F574&lt;&gt;"", XLOOKUP($F574,Productos!$A$2:$A1001,Productos!AI$2:AI1001,"")*$G574,"")</f>
        <v/>
      </c>
      <c r="AQ574" s="179" t="str">
        <f t="array" ref="AQ574">IF($F574&lt;&gt;"",XLOOKUP($F574,Productos!$A:$A,Productos!AJ:AJ,"Revisar"),"")</f>
        <v/>
      </c>
      <c r="AR574" s="179" t="str">
        <f t="array" ref="AR574">IF($F574&lt;&gt;"", XLOOKUP($F574,Productos!$A$2:$A1001,Productos!AK$2:AK1001,"")*$G574,"")</f>
        <v/>
      </c>
      <c r="AS574" s="179" t="str">
        <f t="array" ref="AS574">IF($F574&lt;&gt;"",XLOOKUP($F574,Productos!$A:$A,Productos!AL:AL,"Revisar"),"")</f>
        <v/>
      </c>
      <c r="AT574" s="179" t="str">
        <f t="array" ref="AT574">IF($F574&lt;&gt;"", XLOOKUP($F574,Productos!$A$2:$A1001,Productos!AM$2:AM1001,"")*$G574,"")</f>
        <v/>
      </c>
      <c r="AU574" s="179" t="str">
        <f t="array" ref="AU574">IF($F574&lt;&gt;"",XLOOKUP($F574,Productos!$A:$A,Productos!AN:AN,"Revisar"),"")</f>
        <v/>
      </c>
      <c r="AV574" s="179" t="str">
        <f t="array" ref="AV574">IF($F574&lt;&gt;"", XLOOKUP($F574,Productos!$A$2:$A1001,Productos!AO$2:AO1001,"")*$G574,"")</f>
        <v/>
      </c>
      <c r="AW574" s="179" t="str">
        <f t="array" ref="AW574">IF($F574&lt;&gt;"",XLOOKUP($F574,Productos!$A:$A,Productos!AP:AP,"Revisar"),"")</f>
        <v/>
      </c>
      <c r="AX574" s="179" t="str">
        <f t="array" ref="AX574">IF($F574&lt;&gt;"", XLOOKUP($F574,Productos!$A$2:$A1001,Productos!AQ$2:AQ1001,"")*$G574,"")</f>
        <v/>
      </c>
      <c r="AY574" s="179" t="str">
        <f t="array" ref="AY574">IF($F574&lt;&gt;"",XLOOKUP($F574,Productos!$A:$A,Productos!AR:AR,"Revisar"),"")</f>
        <v/>
      </c>
      <c r="AZ574" s="179" t="str">
        <f t="array" ref="AZ574">IF($F574&lt;&gt;"", XLOOKUP($F574,Productos!$A$2:$A1001,Productos!AS$2:AS1001,"")*$G574,"")</f>
        <v/>
      </c>
      <c r="BA574" s="179" t="str">
        <f t="array" ref="BA574">IF($F574&lt;&gt;"",XLOOKUP($F574,Productos!$A:$A,Productos!AT:AT,"Revisar"),"")</f>
        <v/>
      </c>
      <c r="BB574" s="179" t="str">
        <f t="array" ref="BB574">IF($F574&lt;&gt;"", XLOOKUP($F574,Productos!$A$2:$A1001,Productos!AU$2:AU1001,"")*$G574,"")</f>
        <v/>
      </c>
      <c r="BC574" s="179" t="str">
        <f t="array" ref="BC574">IF($F574&lt;&gt;"",XLOOKUP($F574,Productos!$A:$A,Productos!AV:AV,"Revisar"),"")</f>
        <v/>
      </c>
      <c r="BD574" s="179" t="str">
        <f t="array" ref="BD574">IF($F574&lt;&gt;"", XLOOKUP($F574,Productos!$A$2:$A1001,Productos!AW$2:AW1001,"")*$G574,"")</f>
        <v/>
      </c>
      <c r="BE574" s="179" t="str">
        <f t="array" ref="BE574">IF($F574&lt;&gt;"",XLOOKUP($F574,Productos!$A:$A,Productos!AX:AX,"Revisar"),"")</f>
        <v/>
      </c>
      <c r="BF574" s="179" t="str">
        <f t="array" ref="BF574">IF($F574&lt;&gt;"", XLOOKUP($F574,Productos!$A$2:$A1001,Productos!AY$2:AY1001,"")*$G574,"")</f>
        <v/>
      </c>
      <c r="BG574" s="179" t="str">
        <f t="array" ref="BG574">IF($F574&lt;&gt;"",XLOOKUP($F574,Productos!$A:$A,Productos!AZ:AZ,"Revisar"),"")</f>
        <v/>
      </c>
      <c r="BH574" s="179" t="str">
        <f t="array" ref="BH574">IF($F574&lt;&gt;"", XLOOKUP($F574,Productos!$A$2:$A1001,Productos!BA$2:BA1001,"")*$G574,"")</f>
        <v/>
      </c>
      <c r="BI574" s="179" t="str">
        <f t="array" ref="BI574">IF($F574&lt;&gt;"",XLOOKUP($F574,Productos!$A:$A,Productos!BB:BB,"Revisar"),"")</f>
        <v/>
      </c>
      <c r="BJ574" s="179" t="str">
        <f t="array" ref="BJ574">IF($F574&lt;&gt;"", XLOOKUP($F574,Productos!$A$2:$A1001,Productos!BC$2:BC1001,"")*$G574,"")</f>
        <v/>
      </c>
      <c r="BK574" s="179" t="str">
        <f t="array" ref="BK574">IF($F574&lt;&gt;"",XLOOKUP($F574,Productos!$A:$A,Productos!BD:BD,"Revisar"),"")</f>
        <v/>
      </c>
      <c r="BL574" s="179" t="str">
        <f t="array" ref="BL574">IF($F574&lt;&gt;"", XLOOKUP($F574,Productos!$A$2:$A1001,Productos!BE$2:BE1001,"")*$G574,"")</f>
        <v/>
      </c>
      <c r="BM574" s="179" t="str">
        <f t="array" ref="BM574">IF($F574&lt;&gt;"",XLOOKUP($F574,Productos!$A:$A,Productos!BF:BF,"Revisar"),"")</f>
        <v/>
      </c>
      <c r="BN574" s="179" t="str">
        <f t="array" ref="BN574">IF($F574&lt;&gt;"", XLOOKUP($F574,Productos!$A$2:$A1001,Productos!BG$2:BG1001,"")*$G574,"")</f>
        <v/>
      </c>
      <c r="BO574" s="179" t="str">
        <f t="array" ref="BO574">IF($F574&lt;&gt;"",XLOOKUP($F574,Productos!$A:$A,Productos!BH:BH,"Revisar"),"")</f>
        <v/>
      </c>
      <c r="BP574" s="179" t="str">
        <f t="array" ref="BP574">IF($F574&lt;&gt;"", XLOOKUP($F574,Productos!$A$2:$A1001,Productos!BI$2:BI1001,"")*$G574,"")</f>
        <v/>
      </c>
      <c r="BQ574" s="179" t="str">
        <f t="array" ref="BQ574">IF($F574&lt;&gt;"",XLOOKUP($F574,Productos!$A:$A,Productos!BJ:BJ,"Revisar"),"")</f>
        <v/>
      </c>
      <c r="BR574" s="179" t="str">
        <f t="array" ref="BR574">IF($F574&lt;&gt;"", XLOOKUP($F574,Productos!$A$2:$A1001,Productos!BK$2:BK1001,"")*$G574,"")</f>
        <v/>
      </c>
      <c r="BS574" s="179" t="str">
        <f t="array" ref="BS574">IF($F574&lt;&gt;"",XLOOKUP($F574,Productos!$A:$A,Productos!BL:BL,"Revisar"),"")</f>
        <v/>
      </c>
      <c r="BT574" s="179" t="str">
        <f t="array" ref="BT574">IF($F574&lt;&gt;"", XLOOKUP($F574,Productos!$A$2:$A1001,Productos!BM$2:BM1001,"")*$G574,"")</f>
        <v/>
      </c>
      <c r="BU574" s="179" t="str">
        <f t="array" ref="BU574">IF($F574&lt;&gt;"",XLOOKUP($F574,Productos!$A:$A,Productos!BN:BN,"Revisar"),"")</f>
        <v/>
      </c>
      <c r="BV574" s="179" t="str">
        <f t="array" ref="BV574">IF($F574&lt;&gt;"", XLOOKUP($F574,Productos!$A$2:$A1001,Productos!BO$2:BO1001,"")*$G574,"")</f>
        <v/>
      </c>
      <c r="BW574" s="179" t="str">
        <f t="array" ref="BW574">IF($F574&lt;&gt;"",XLOOKUP($F574,Productos!$A:$A,Productos!BP:BP,"Revisar"),"")</f>
        <v/>
      </c>
      <c r="BX574" s="179" t="str">
        <f t="array" ref="BX574">IF($F574&lt;&gt;"", XLOOKUP($F574,Productos!$A$2:$A1001,Productos!BQ$2:BQ1001,"")*$G574,"")</f>
        <v/>
      </c>
      <c r="BY574" s="179" t="str">
        <f t="array" ref="BY574">IF($F574&lt;&gt;"",XLOOKUP($F574,Productos!$A:$A,Productos!BR:BR,"Revisar"),"")</f>
        <v/>
      </c>
      <c r="BZ574" s="179" t="str">
        <f t="array" ref="BZ574">IF($F574&lt;&gt;"", XLOOKUP($F574,Productos!$A$2:$A1001,Productos!BS$2:BS1001,"")*$G574,"")</f>
        <v/>
      </c>
    </row>
    <row r="575">
      <c r="A575" s="188"/>
      <c r="B575" s="189"/>
      <c r="C575" s="190"/>
      <c r="D575" s="190"/>
      <c r="E575" s="191"/>
      <c r="F575" s="186"/>
      <c r="G575" s="192"/>
      <c r="H575" s="9"/>
      <c r="I575" s="179" t="str">
        <f t="array" ref="I575">IF($F575&lt;&gt;"",XLOOKUP($F575,Productos!$A:$A,Productos!B:B,"Revisar"),"")</f>
        <v/>
      </c>
      <c r="J575" s="179" t="str">
        <f t="array" ref="J575">IF($F575&lt;&gt;"", XLOOKUP($F575,Productos!$A$2:$A1001,Productos!C$2:C1001,"")*$G575,"")</f>
        <v/>
      </c>
      <c r="K575" s="179" t="str">
        <f t="array" ref="K575">IF($F575&lt;&gt;"",XLOOKUP($F575,Productos!$A:$A,Productos!D:D,"Revisar"),"")</f>
        <v/>
      </c>
      <c r="L575" s="179" t="str">
        <f t="array" ref="L575">IF($F575&lt;&gt;"", XLOOKUP($F575,Productos!$A$2:$A1001,Productos!E$2:E1001,"")*$G575,"")</f>
        <v/>
      </c>
      <c r="M575" s="179" t="str">
        <f t="array" ref="M575">IF($F575&lt;&gt;"",XLOOKUP($F575,Productos!$A:$A,Productos!F:F,"Revisar"),"")</f>
        <v/>
      </c>
      <c r="N575" s="179" t="str">
        <f t="array" ref="N575">IF($F575&lt;&gt;"", XLOOKUP($F575,Productos!$A$2:$A1001,Productos!G$2:G1001,"")*$G575,"")</f>
        <v/>
      </c>
      <c r="O575" s="179" t="str">
        <f t="array" ref="O575">IF($F575&lt;&gt;"",XLOOKUP($F575,Productos!$A:$A,Productos!H:H,"Revisar"),"")</f>
        <v/>
      </c>
      <c r="P575" s="179" t="str">
        <f t="array" ref="P575">IF($F575&lt;&gt;"", XLOOKUP($F575,Productos!$A$2:$A1001,Productos!I$2:I1001,"")*$G575,"")</f>
        <v/>
      </c>
      <c r="Q575" s="179" t="str">
        <f t="array" ref="Q575">IF($F575&lt;&gt;"",XLOOKUP($F575,Productos!$A:$A,Productos!J:J,"Revisar"),"")</f>
        <v/>
      </c>
      <c r="R575" s="179" t="str">
        <f t="array" ref="R575">IF($F575&lt;&gt;"", XLOOKUP($F575,Productos!$A$2:$A1001,Productos!K$2:K1001,"")*$G575,"")</f>
        <v/>
      </c>
      <c r="S575" s="179" t="str">
        <f t="array" ref="S575">IF($F575&lt;&gt;"",XLOOKUP($F575,Productos!$A:$A,Productos!L:L,"Revisar"),"")</f>
        <v/>
      </c>
      <c r="T575" s="179" t="str">
        <f t="array" ref="T575">IF($F575&lt;&gt;"", XLOOKUP($F575,Productos!$A$2:$A1001,Productos!M$2:M1001,"")*$G575,"")</f>
        <v/>
      </c>
      <c r="U575" s="179" t="str">
        <f t="array" ref="U575">IF($F575&lt;&gt;"",XLOOKUP($F575,Productos!$A:$A,Productos!N:N,"Revisar"),"")</f>
        <v/>
      </c>
      <c r="V575" s="179" t="str">
        <f t="array" ref="V575">IF($F575&lt;&gt;"", XLOOKUP($F575,Productos!$A$2:$A1001,Productos!O$2:O1001,"")*$G575,"")</f>
        <v/>
      </c>
      <c r="W575" s="179" t="str">
        <f t="array" ref="W575">IF($F575&lt;&gt;"",XLOOKUP($F575,Productos!$A:$A,Productos!P:P,"Revisar"),"")</f>
        <v/>
      </c>
      <c r="X575" s="179" t="str">
        <f t="array" ref="X575">IF($F575&lt;&gt;"", XLOOKUP($F575,Productos!$A$2:$A1001,Productos!Q$2:Q1001,"")*$G575,"")</f>
        <v/>
      </c>
      <c r="Y575" s="179" t="str">
        <f t="array" ref="Y575">IF($F575&lt;&gt;"",XLOOKUP($F575,Productos!$A:$A,Productos!R:R,"Revisar"),"")</f>
        <v/>
      </c>
      <c r="Z575" s="179" t="str">
        <f t="array" ref="Z575">IF($F575&lt;&gt;"", XLOOKUP($F575,Productos!$A$2:$A1001,Productos!S$2:S1001,"")*$G575,"")</f>
        <v/>
      </c>
      <c r="AA575" s="179" t="str">
        <f t="array" ref="AA575">IF($F575&lt;&gt;"",XLOOKUP($F575,Productos!$A:$A,Productos!T:T,"Revisar"),"")</f>
        <v/>
      </c>
      <c r="AB575" s="179" t="str">
        <f t="array" ref="AB575">IF($F575&lt;&gt;"", XLOOKUP($F575,Productos!$A$2:$A1001,Productos!U$2:U1001,"")*$G575,"")</f>
        <v/>
      </c>
      <c r="AC575" s="179" t="str">
        <f t="array" ref="AC575">IF($F575&lt;&gt;"",XLOOKUP($F575,Productos!$A:$A,Productos!V:V,"Revisar"),"")</f>
        <v/>
      </c>
      <c r="AD575" s="179" t="str">
        <f t="array" ref="AD575">IF($F575&lt;&gt;"", XLOOKUP($F575,Productos!$A$2:$A1001,Productos!W$2:W1001,"")*$G575,"")</f>
        <v/>
      </c>
      <c r="AE575" s="179" t="str">
        <f t="array" ref="AE575">IF($F575&lt;&gt;"",XLOOKUP($F575,Productos!$A:$A,Productos!X:X,"Revisar"),"")</f>
        <v/>
      </c>
      <c r="AF575" s="179" t="str">
        <f t="array" ref="AF575">IF($F575&lt;&gt;"", XLOOKUP($F575,Productos!$A$2:$A1001,Productos!Y$2:Y1001,"")*$G575,"")</f>
        <v/>
      </c>
      <c r="AG575" s="179" t="str">
        <f t="array" ref="AG575">IF($F575&lt;&gt;"",XLOOKUP($F575,Productos!$A:$A,Productos!Z:Z,"Revisar"),"")</f>
        <v/>
      </c>
      <c r="AH575" s="179" t="str">
        <f t="array" ref="AH575">IF($F575&lt;&gt;"", XLOOKUP($F575,Productos!$A$2:$A1001,Productos!AA$2:AA1001,"")*$G575,"")</f>
        <v/>
      </c>
      <c r="AI575" s="179" t="str">
        <f t="array" ref="AI575">IF($F575&lt;&gt;"",XLOOKUP($F575,Productos!$A:$A,Productos!AB:AB,"Revisar"),"")</f>
        <v/>
      </c>
      <c r="AJ575" s="179" t="str">
        <f t="array" ref="AJ575">IF($F575&lt;&gt;"", XLOOKUP($F575,Productos!$A$2:$A1001,Productos!AC$2:AC1001,"")*$G575,"")</f>
        <v/>
      </c>
      <c r="AK575" s="179" t="str">
        <f t="array" ref="AK575">IF($F575&lt;&gt;"",XLOOKUP($F575,Productos!$A:$A,Productos!AD:AD,"Revisar"),"")</f>
        <v/>
      </c>
      <c r="AL575" s="179" t="str">
        <f t="array" ref="AL575">IF($F575&lt;&gt;"", XLOOKUP($F575,Productos!$A$2:$A1001,Productos!AE$2:AE1001,"")*$G575,"")</f>
        <v/>
      </c>
      <c r="AM575" s="179" t="str">
        <f t="array" ref="AM575">IF($F575&lt;&gt;"",XLOOKUP($F575,Productos!$A:$A,Productos!AF:AF,"Revisar"),"")</f>
        <v/>
      </c>
      <c r="AN575" s="179" t="str">
        <f t="array" ref="AN575">IF($F575&lt;&gt;"", XLOOKUP($F575,Productos!$A$2:$A1001,Productos!AG$2:AG1001,"")*$G575,"")</f>
        <v/>
      </c>
      <c r="AO575" s="179" t="str">
        <f t="array" ref="AO575">IF($F575&lt;&gt;"",XLOOKUP($F575,Productos!$A:$A,Productos!AH:AH,"Revisar"),"")</f>
        <v/>
      </c>
      <c r="AP575" s="179" t="str">
        <f t="array" ref="AP575">IF($F575&lt;&gt;"", XLOOKUP($F575,Productos!$A$2:$A1001,Productos!AI$2:AI1001,"")*$G575,"")</f>
        <v/>
      </c>
      <c r="AQ575" s="179" t="str">
        <f t="array" ref="AQ575">IF($F575&lt;&gt;"",XLOOKUP($F575,Productos!$A:$A,Productos!AJ:AJ,"Revisar"),"")</f>
        <v/>
      </c>
      <c r="AR575" s="179" t="str">
        <f t="array" ref="AR575">IF($F575&lt;&gt;"", XLOOKUP($F575,Productos!$A$2:$A1001,Productos!AK$2:AK1001,"")*$G575,"")</f>
        <v/>
      </c>
      <c r="AS575" s="179" t="str">
        <f t="array" ref="AS575">IF($F575&lt;&gt;"",XLOOKUP($F575,Productos!$A:$A,Productos!AL:AL,"Revisar"),"")</f>
        <v/>
      </c>
      <c r="AT575" s="179" t="str">
        <f t="array" ref="AT575">IF($F575&lt;&gt;"", XLOOKUP($F575,Productos!$A$2:$A1001,Productos!AM$2:AM1001,"")*$G575,"")</f>
        <v/>
      </c>
      <c r="AU575" s="179" t="str">
        <f t="array" ref="AU575">IF($F575&lt;&gt;"",XLOOKUP($F575,Productos!$A:$A,Productos!AN:AN,"Revisar"),"")</f>
        <v/>
      </c>
      <c r="AV575" s="179" t="str">
        <f t="array" ref="AV575">IF($F575&lt;&gt;"", XLOOKUP($F575,Productos!$A$2:$A1001,Productos!AO$2:AO1001,"")*$G575,"")</f>
        <v/>
      </c>
      <c r="AW575" s="179" t="str">
        <f t="array" ref="AW575">IF($F575&lt;&gt;"",XLOOKUP($F575,Productos!$A:$A,Productos!AP:AP,"Revisar"),"")</f>
        <v/>
      </c>
      <c r="AX575" s="179" t="str">
        <f t="array" ref="AX575">IF($F575&lt;&gt;"", XLOOKUP($F575,Productos!$A$2:$A1001,Productos!AQ$2:AQ1001,"")*$G575,"")</f>
        <v/>
      </c>
      <c r="AY575" s="179" t="str">
        <f t="array" ref="AY575">IF($F575&lt;&gt;"",XLOOKUP($F575,Productos!$A:$A,Productos!AR:AR,"Revisar"),"")</f>
        <v/>
      </c>
      <c r="AZ575" s="179" t="str">
        <f t="array" ref="AZ575">IF($F575&lt;&gt;"", XLOOKUP($F575,Productos!$A$2:$A1001,Productos!AS$2:AS1001,"")*$G575,"")</f>
        <v/>
      </c>
      <c r="BA575" s="179" t="str">
        <f t="array" ref="BA575">IF($F575&lt;&gt;"",XLOOKUP($F575,Productos!$A:$A,Productos!AT:AT,"Revisar"),"")</f>
        <v/>
      </c>
      <c r="BB575" s="179" t="str">
        <f t="array" ref="BB575">IF($F575&lt;&gt;"", XLOOKUP($F575,Productos!$A$2:$A1001,Productos!AU$2:AU1001,"")*$G575,"")</f>
        <v/>
      </c>
      <c r="BC575" s="179" t="str">
        <f t="array" ref="BC575">IF($F575&lt;&gt;"",XLOOKUP($F575,Productos!$A:$A,Productos!AV:AV,"Revisar"),"")</f>
        <v/>
      </c>
      <c r="BD575" s="179" t="str">
        <f t="array" ref="BD575">IF($F575&lt;&gt;"", XLOOKUP($F575,Productos!$A$2:$A1001,Productos!AW$2:AW1001,"")*$G575,"")</f>
        <v/>
      </c>
      <c r="BE575" s="179" t="str">
        <f t="array" ref="BE575">IF($F575&lt;&gt;"",XLOOKUP($F575,Productos!$A:$A,Productos!AX:AX,"Revisar"),"")</f>
        <v/>
      </c>
      <c r="BF575" s="179" t="str">
        <f t="array" ref="BF575">IF($F575&lt;&gt;"", XLOOKUP($F575,Productos!$A$2:$A1001,Productos!AY$2:AY1001,"")*$G575,"")</f>
        <v/>
      </c>
      <c r="BG575" s="179" t="str">
        <f t="array" ref="BG575">IF($F575&lt;&gt;"",XLOOKUP($F575,Productos!$A:$A,Productos!AZ:AZ,"Revisar"),"")</f>
        <v/>
      </c>
      <c r="BH575" s="179" t="str">
        <f t="array" ref="BH575">IF($F575&lt;&gt;"", XLOOKUP($F575,Productos!$A$2:$A1001,Productos!BA$2:BA1001,"")*$G575,"")</f>
        <v/>
      </c>
      <c r="BI575" s="179" t="str">
        <f t="array" ref="BI575">IF($F575&lt;&gt;"",XLOOKUP($F575,Productos!$A:$A,Productos!BB:BB,"Revisar"),"")</f>
        <v/>
      </c>
      <c r="BJ575" s="179" t="str">
        <f t="array" ref="BJ575">IF($F575&lt;&gt;"", XLOOKUP($F575,Productos!$A$2:$A1001,Productos!BC$2:BC1001,"")*$G575,"")</f>
        <v/>
      </c>
      <c r="BK575" s="179" t="str">
        <f t="array" ref="BK575">IF($F575&lt;&gt;"",XLOOKUP($F575,Productos!$A:$A,Productos!BD:BD,"Revisar"),"")</f>
        <v/>
      </c>
      <c r="BL575" s="179" t="str">
        <f t="array" ref="BL575">IF($F575&lt;&gt;"", XLOOKUP($F575,Productos!$A$2:$A1001,Productos!BE$2:BE1001,"")*$G575,"")</f>
        <v/>
      </c>
      <c r="BM575" s="179" t="str">
        <f t="array" ref="BM575">IF($F575&lt;&gt;"",XLOOKUP($F575,Productos!$A:$A,Productos!BF:BF,"Revisar"),"")</f>
        <v/>
      </c>
      <c r="BN575" s="179" t="str">
        <f t="array" ref="BN575">IF($F575&lt;&gt;"", XLOOKUP($F575,Productos!$A$2:$A1001,Productos!BG$2:BG1001,"")*$G575,"")</f>
        <v/>
      </c>
      <c r="BO575" s="179" t="str">
        <f t="array" ref="BO575">IF($F575&lt;&gt;"",XLOOKUP($F575,Productos!$A:$A,Productos!BH:BH,"Revisar"),"")</f>
        <v/>
      </c>
      <c r="BP575" s="179" t="str">
        <f t="array" ref="BP575">IF($F575&lt;&gt;"", XLOOKUP($F575,Productos!$A$2:$A1001,Productos!BI$2:BI1001,"")*$G575,"")</f>
        <v/>
      </c>
      <c r="BQ575" s="179" t="str">
        <f t="array" ref="BQ575">IF($F575&lt;&gt;"",XLOOKUP($F575,Productos!$A:$A,Productos!BJ:BJ,"Revisar"),"")</f>
        <v/>
      </c>
      <c r="BR575" s="179" t="str">
        <f t="array" ref="BR575">IF($F575&lt;&gt;"", XLOOKUP($F575,Productos!$A$2:$A1001,Productos!BK$2:BK1001,"")*$G575,"")</f>
        <v/>
      </c>
      <c r="BS575" s="179" t="str">
        <f t="array" ref="BS575">IF($F575&lt;&gt;"",XLOOKUP($F575,Productos!$A:$A,Productos!BL:BL,"Revisar"),"")</f>
        <v/>
      </c>
      <c r="BT575" s="179" t="str">
        <f t="array" ref="BT575">IF($F575&lt;&gt;"", XLOOKUP($F575,Productos!$A$2:$A1001,Productos!BM$2:BM1001,"")*$G575,"")</f>
        <v/>
      </c>
      <c r="BU575" s="179" t="str">
        <f t="array" ref="BU575">IF($F575&lt;&gt;"",XLOOKUP($F575,Productos!$A:$A,Productos!BN:BN,"Revisar"),"")</f>
        <v/>
      </c>
      <c r="BV575" s="179" t="str">
        <f t="array" ref="BV575">IF($F575&lt;&gt;"", XLOOKUP($F575,Productos!$A$2:$A1001,Productos!BO$2:BO1001,"")*$G575,"")</f>
        <v/>
      </c>
      <c r="BW575" s="179" t="str">
        <f t="array" ref="BW575">IF($F575&lt;&gt;"",XLOOKUP($F575,Productos!$A:$A,Productos!BP:BP,"Revisar"),"")</f>
        <v/>
      </c>
      <c r="BX575" s="179" t="str">
        <f t="array" ref="BX575">IF($F575&lt;&gt;"", XLOOKUP($F575,Productos!$A$2:$A1001,Productos!BQ$2:BQ1001,"")*$G575,"")</f>
        <v/>
      </c>
      <c r="BY575" s="179" t="str">
        <f t="array" ref="BY575">IF($F575&lt;&gt;"",XLOOKUP($F575,Productos!$A:$A,Productos!BR:BR,"Revisar"),"")</f>
        <v/>
      </c>
      <c r="BZ575" s="179" t="str">
        <f t="array" ref="BZ575">IF($F575&lt;&gt;"", XLOOKUP($F575,Productos!$A$2:$A1001,Productos!BS$2:BS1001,"")*$G575,"")</f>
        <v/>
      </c>
    </row>
    <row r="576">
      <c r="A576" s="188"/>
      <c r="B576" s="189"/>
      <c r="C576" s="190"/>
      <c r="D576" s="190"/>
      <c r="E576" s="191"/>
      <c r="F576" s="186"/>
      <c r="G576" s="192"/>
      <c r="H576" s="9"/>
      <c r="I576" s="179" t="str">
        <f t="array" ref="I576">IF($F576&lt;&gt;"",XLOOKUP($F576,Productos!$A:$A,Productos!B:B,"Revisar"),"")</f>
        <v/>
      </c>
      <c r="J576" s="179" t="str">
        <f t="array" ref="J576">IF($F576&lt;&gt;"", XLOOKUP($F576,Productos!$A$2:$A1001,Productos!C$2:C1001,"")*$G576,"")</f>
        <v/>
      </c>
      <c r="K576" s="179" t="str">
        <f t="array" ref="K576">IF($F576&lt;&gt;"",XLOOKUP($F576,Productos!$A:$A,Productos!D:D,"Revisar"),"")</f>
        <v/>
      </c>
      <c r="L576" s="179" t="str">
        <f t="array" ref="L576">IF($F576&lt;&gt;"", XLOOKUP($F576,Productos!$A$2:$A1001,Productos!E$2:E1001,"")*$G576,"")</f>
        <v/>
      </c>
      <c r="M576" s="179" t="str">
        <f t="array" ref="M576">IF($F576&lt;&gt;"",XLOOKUP($F576,Productos!$A:$A,Productos!F:F,"Revisar"),"")</f>
        <v/>
      </c>
      <c r="N576" s="179" t="str">
        <f t="array" ref="N576">IF($F576&lt;&gt;"", XLOOKUP($F576,Productos!$A$2:$A1001,Productos!G$2:G1001,"")*$G576,"")</f>
        <v/>
      </c>
      <c r="O576" s="179" t="str">
        <f t="array" ref="O576">IF($F576&lt;&gt;"",XLOOKUP($F576,Productos!$A:$A,Productos!H:H,"Revisar"),"")</f>
        <v/>
      </c>
      <c r="P576" s="179" t="str">
        <f t="array" ref="P576">IF($F576&lt;&gt;"", XLOOKUP($F576,Productos!$A$2:$A1001,Productos!I$2:I1001,"")*$G576,"")</f>
        <v/>
      </c>
      <c r="Q576" s="179" t="str">
        <f t="array" ref="Q576">IF($F576&lt;&gt;"",XLOOKUP($F576,Productos!$A:$A,Productos!J:J,"Revisar"),"")</f>
        <v/>
      </c>
      <c r="R576" s="179" t="str">
        <f t="array" ref="R576">IF($F576&lt;&gt;"", XLOOKUP($F576,Productos!$A$2:$A1001,Productos!K$2:K1001,"")*$G576,"")</f>
        <v/>
      </c>
      <c r="S576" s="179" t="str">
        <f t="array" ref="S576">IF($F576&lt;&gt;"",XLOOKUP($F576,Productos!$A:$A,Productos!L:L,"Revisar"),"")</f>
        <v/>
      </c>
      <c r="T576" s="179" t="str">
        <f t="array" ref="T576">IF($F576&lt;&gt;"", XLOOKUP($F576,Productos!$A$2:$A1001,Productos!M$2:M1001,"")*$G576,"")</f>
        <v/>
      </c>
      <c r="U576" s="179" t="str">
        <f t="array" ref="U576">IF($F576&lt;&gt;"",XLOOKUP($F576,Productos!$A:$A,Productos!N:N,"Revisar"),"")</f>
        <v/>
      </c>
      <c r="V576" s="179" t="str">
        <f t="array" ref="V576">IF($F576&lt;&gt;"", XLOOKUP($F576,Productos!$A$2:$A1001,Productos!O$2:O1001,"")*$G576,"")</f>
        <v/>
      </c>
      <c r="W576" s="179" t="str">
        <f t="array" ref="W576">IF($F576&lt;&gt;"",XLOOKUP($F576,Productos!$A:$A,Productos!P:P,"Revisar"),"")</f>
        <v/>
      </c>
      <c r="X576" s="179" t="str">
        <f t="array" ref="X576">IF($F576&lt;&gt;"", XLOOKUP($F576,Productos!$A$2:$A1001,Productos!Q$2:Q1001,"")*$G576,"")</f>
        <v/>
      </c>
      <c r="Y576" s="179" t="str">
        <f t="array" ref="Y576">IF($F576&lt;&gt;"",XLOOKUP($F576,Productos!$A:$A,Productos!R:R,"Revisar"),"")</f>
        <v/>
      </c>
      <c r="Z576" s="179" t="str">
        <f t="array" ref="Z576">IF($F576&lt;&gt;"", XLOOKUP($F576,Productos!$A$2:$A1001,Productos!S$2:S1001,"")*$G576,"")</f>
        <v/>
      </c>
      <c r="AA576" s="179" t="str">
        <f t="array" ref="AA576">IF($F576&lt;&gt;"",XLOOKUP($F576,Productos!$A:$A,Productos!T:T,"Revisar"),"")</f>
        <v/>
      </c>
      <c r="AB576" s="179" t="str">
        <f t="array" ref="AB576">IF($F576&lt;&gt;"", XLOOKUP($F576,Productos!$A$2:$A1001,Productos!U$2:U1001,"")*$G576,"")</f>
        <v/>
      </c>
      <c r="AC576" s="179" t="str">
        <f t="array" ref="AC576">IF($F576&lt;&gt;"",XLOOKUP($F576,Productos!$A:$A,Productos!V:V,"Revisar"),"")</f>
        <v/>
      </c>
      <c r="AD576" s="179" t="str">
        <f t="array" ref="AD576">IF($F576&lt;&gt;"", XLOOKUP($F576,Productos!$A$2:$A1001,Productos!W$2:W1001,"")*$G576,"")</f>
        <v/>
      </c>
      <c r="AE576" s="179" t="str">
        <f t="array" ref="AE576">IF($F576&lt;&gt;"",XLOOKUP($F576,Productos!$A:$A,Productos!X:X,"Revisar"),"")</f>
        <v/>
      </c>
      <c r="AF576" s="179" t="str">
        <f t="array" ref="AF576">IF($F576&lt;&gt;"", XLOOKUP($F576,Productos!$A$2:$A1001,Productos!Y$2:Y1001,"")*$G576,"")</f>
        <v/>
      </c>
      <c r="AG576" s="179" t="str">
        <f t="array" ref="AG576">IF($F576&lt;&gt;"",XLOOKUP($F576,Productos!$A:$A,Productos!Z:Z,"Revisar"),"")</f>
        <v/>
      </c>
      <c r="AH576" s="179" t="str">
        <f t="array" ref="AH576">IF($F576&lt;&gt;"", XLOOKUP($F576,Productos!$A$2:$A1001,Productos!AA$2:AA1001,"")*$G576,"")</f>
        <v/>
      </c>
      <c r="AI576" s="179" t="str">
        <f t="array" ref="AI576">IF($F576&lt;&gt;"",XLOOKUP($F576,Productos!$A:$A,Productos!AB:AB,"Revisar"),"")</f>
        <v/>
      </c>
      <c r="AJ576" s="179" t="str">
        <f t="array" ref="AJ576">IF($F576&lt;&gt;"", XLOOKUP($F576,Productos!$A$2:$A1001,Productos!AC$2:AC1001,"")*$G576,"")</f>
        <v/>
      </c>
      <c r="AK576" s="179" t="str">
        <f t="array" ref="AK576">IF($F576&lt;&gt;"",XLOOKUP($F576,Productos!$A:$A,Productos!AD:AD,"Revisar"),"")</f>
        <v/>
      </c>
      <c r="AL576" s="179" t="str">
        <f t="array" ref="AL576">IF($F576&lt;&gt;"", XLOOKUP($F576,Productos!$A$2:$A1001,Productos!AE$2:AE1001,"")*$G576,"")</f>
        <v/>
      </c>
      <c r="AM576" s="179" t="str">
        <f t="array" ref="AM576">IF($F576&lt;&gt;"",XLOOKUP($F576,Productos!$A:$A,Productos!AF:AF,"Revisar"),"")</f>
        <v/>
      </c>
      <c r="AN576" s="179" t="str">
        <f t="array" ref="AN576">IF($F576&lt;&gt;"", XLOOKUP($F576,Productos!$A$2:$A1001,Productos!AG$2:AG1001,"")*$G576,"")</f>
        <v/>
      </c>
      <c r="AO576" s="179" t="str">
        <f t="array" ref="AO576">IF($F576&lt;&gt;"",XLOOKUP($F576,Productos!$A:$A,Productos!AH:AH,"Revisar"),"")</f>
        <v/>
      </c>
      <c r="AP576" s="179" t="str">
        <f t="array" ref="AP576">IF($F576&lt;&gt;"", XLOOKUP($F576,Productos!$A$2:$A1001,Productos!AI$2:AI1001,"")*$G576,"")</f>
        <v/>
      </c>
      <c r="AQ576" s="179" t="str">
        <f t="array" ref="AQ576">IF($F576&lt;&gt;"",XLOOKUP($F576,Productos!$A:$A,Productos!AJ:AJ,"Revisar"),"")</f>
        <v/>
      </c>
      <c r="AR576" s="179" t="str">
        <f t="array" ref="AR576">IF($F576&lt;&gt;"", XLOOKUP($F576,Productos!$A$2:$A1001,Productos!AK$2:AK1001,"")*$G576,"")</f>
        <v/>
      </c>
      <c r="AS576" s="179" t="str">
        <f t="array" ref="AS576">IF($F576&lt;&gt;"",XLOOKUP($F576,Productos!$A:$A,Productos!AL:AL,"Revisar"),"")</f>
        <v/>
      </c>
      <c r="AT576" s="179" t="str">
        <f t="array" ref="AT576">IF($F576&lt;&gt;"", XLOOKUP($F576,Productos!$A$2:$A1001,Productos!AM$2:AM1001,"")*$G576,"")</f>
        <v/>
      </c>
      <c r="AU576" s="179" t="str">
        <f t="array" ref="AU576">IF($F576&lt;&gt;"",XLOOKUP($F576,Productos!$A:$A,Productos!AN:AN,"Revisar"),"")</f>
        <v/>
      </c>
      <c r="AV576" s="179" t="str">
        <f t="array" ref="AV576">IF($F576&lt;&gt;"", XLOOKUP($F576,Productos!$A$2:$A1001,Productos!AO$2:AO1001,"")*$G576,"")</f>
        <v/>
      </c>
      <c r="AW576" s="179" t="str">
        <f t="array" ref="AW576">IF($F576&lt;&gt;"",XLOOKUP($F576,Productos!$A:$A,Productos!AP:AP,"Revisar"),"")</f>
        <v/>
      </c>
      <c r="AX576" s="179" t="str">
        <f t="array" ref="AX576">IF($F576&lt;&gt;"", XLOOKUP($F576,Productos!$A$2:$A1001,Productos!AQ$2:AQ1001,"")*$G576,"")</f>
        <v/>
      </c>
      <c r="AY576" s="179" t="str">
        <f t="array" ref="AY576">IF($F576&lt;&gt;"",XLOOKUP($F576,Productos!$A:$A,Productos!AR:AR,"Revisar"),"")</f>
        <v/>
      </c>
      <c r="AZ576" s="179" t="str">
        <f t="array" ref="AZ576">IF($F576&lt;&gt;"", XLOOKUP($F576,Productos!$A$2:$A1001,Productos!AS$2:AS1001,"")*$G576,"")</f>
        <v/>
      </c>
      <c r="BA576" s="179" t="str">
        <f t="array" ref="BA576">IF($F576&lt;&gt;"",XLOOKUP($F576,Productos!$A:$A,Productos!AT:AT,"Revisar"),"")</f>
        <v/>
      </c>
      <c r="BB576" s="179" t="str">
        <f t="array" ref="BB576">IF($F576&lt;&gt;"", XLOOKUP($F576,Productos!$A$2:$A1001,Productos!AU$2:AU1001,"")*$G576,"")</f>
        <v/>
      </c>
      <c r="BC576" s="179" t="str">
        <f t="array" ref="BC576">IF($F576&lt;&gt;"",XLOOKUP($F576,Productos!$A:$A,Productos!AV:AV,"Revisar"),"")</f>
        <v/>
      </c>
      <c r="BD576" s="179" t="str">
        <f t="array" ref="BD576">IF($F576&lt;&gt;"", XLOOKUP($F576,Productos!$A$2:$A1001,Productos!AW$2:AW1001,"")*$G576,"")</f>
        <v/>
      </c>
      <c r="BE576" s="179" t="str">
        <f t="array" ref="BE576">IF($F576&lt;&gt;"",XLOOKUP($F576,Productos!$A:$A,Productos!AX:AX,"Revisar"),"")</f>
        <v/>
      </c>
      <c r="BF576" s="179" t="str">
        <f t="array" ref="BF576">IF($F576&lt;&gt;"", XLOOKUP($F576,Productos!$A$2:$A1001,Productos!AY$2:AY1001,"")*$G576,"")</f>
        <v/>
      </c>
      <c r="BG576" s="179" t="str">
        <f t="array" ref="BG576">IF($F576&lt;&gt;"",XLOOKUP($F576,Productos!$A:$A,Productos!AZ:AZ,"Revisar"),"")</f>
        <v/>
      </c>
      <c r="BH576" s="179" t="str">
        <f t="array" ref="BH576">IF($F576&lt;&gt;"", XLOOKUP($F576,Productos!$A$2:$A1001,Productos!BA$2:BA1001,"")*$G576,"")</f>
        <v/>
      </c>
      <c r="BI576" s="179" t="str">
        <f t="array" ref="BI576">IF($F576&lt;&gt;"",XLOOKUP($F576,Productos!$A:$A,Productos!BB:BB,"Revisar"),"")</f>
        <v/>
      </c>
      <c r="BJ576" s="179" t="str">
        <f t="array" ref="BJ576">IF($F576&lt;&gt;"", XLOOKUP($F576,Productos!$A$2:$A1001,Productos!BC$2:BC1001,"")*$G576,"")</f>
        <v/>
      </c>
      <c r="BK576" s="179" t="str">
        <f t="array" ref="BK576">IF($F576&lt;&gt;"",XLOOKUP($F576,Productos!$A:$A,Productos!BD:BD,"Revisar"),"")</f>
        <v/>
      </c>
      <c r="BL576" s="179" t="str">
        <f t="array" ref="BL576">IF($F576&lt;&gt;"", XLOOKUP($F576,Productos!$A$2:$A1001,Productos!BE$2:BE1001,"")*$G576,"")</f>
        <v/>
      </c>
      <c r="BM576" s="179" t="str">
        <f t="array" ref="BM576">IF($F576&lt;&gt;"",XLOOKUP($F576,Productos!$A:$A,Productos!BF:BF,"Revisar"),"")</f>
        <v/>
      </c>
      <c r="BN576" s="179" t="str">
        <f t="array" ref="BN576">IF($F576&lt;&gt;"", XLOOKUP($F576,Productos!$A$2:$A1001,Productos!BG$2:BG1001,"")*$G576,"")</f>
        <v/>
      </c>
      <c r="BO576" s="179" t="str">
        <f t="array" ref="BO576">IF($F576&lt;&gt;"",XLOOKUP($F576,Productos!$A:$A,Productos!BH:BH,"Revisar"),"")</f>
        <v/>
      </c>
      <c r="BP576" s="179" t="str">
        <f t="array" ref="BP576">IF($F576&lt;&gt;"", XLOOKUP($F576,Productos!$A$2:$A1001,Productos!BI$2:BI1001,"")*$G576,"")</f>
        <v/>
      </c>
      <c r="BQ576" s="179" t="str">
        <f t="array" ref="BQ576">IF($F576&lt;&gt;"",XLOOKUP($F576,Productos!$A:$A,Productos!BJ:BJ,"Revisar"),"")</f>
        <v/>
      </c>
      <c r="BR576" s="179" t="str">
        <f t="array" ref="BR576">IF($F576&lt;&gt;"", XLOOKUP($F576,Productos!$A$2:$A1001,Productos!BK$2:BK1001,"")*$G576,"")</f>
        <v/>
      </c>
      <c r="BS576" s="179" t="str">
        <f t="array" ref="BS576">IF($F576&lt;&gt;"",XLOOKUP($F576,Productos!$A:$A,Productos!BL:BL,"Revisar"),"")</f>
        <v/>
      </c>
      <c r="BT576" s="179" t="str">
        <f t="array" ref="BT576">IF($F576&lt;&gt;"", XLOOKUP($F576,Productos!$A$2:$A1001,Productos!BM$2:BM1001,"")*$G576,"")</f>
        <v/>
      </c>
      <c r="BU576" s="179" t="str">
        <f t="array" ref="BU576">IF($F576&lt;&gt;"",XLOOKUP($F576,Productos!$A:$A,Productos!BN:BN,"Revisar"),"")</f>
        <v/>
      </c>
      <c r="BV576" s="179" t="str">
        <f t="array" ref="BV576">IF($F576&lt;&gt;"", XLOOKUP($F576,Productos!$A$2:$A1001,Productos!BO$2:BO1001,"")*$G576,"")</f>
        <v/>
      </c>
      <c r="BW576" s="179" t="str">
        <f t="array" ref="BW576">IF($F576&lt;&gt;"",XLOOKUP($F576,Productos!$A:$A,Productos!BP:BP,"Revisar"),"")</f>
        <v/>
      </c>
      <c r="BX576" s="179" t="str">
        <f t="array" ref="BX576">IF($F576&lt;&gt;"", XLOOKUP($F576,Productos!$A$2:$A1001,Productos!BQ$2:BQ1001,"")*$G576,"")</f>
        <v/>
      </c>
      <c r="BY576" s="179" t="str">
        <f t="array" ref="BY576">IF($F576&lt;&gt;"",XLOOKUP($F576,Productos!$A:$A,Productos!BR:BR,"Revisar"),"")</f>
        <v/>
      </c>
      <c r="BZ576" s="179" t="str">
        <f t="array" ref="BZ576">IF($F576&lt;&gt;"", XLOOKUP($F576,Productos!$A$2:$A1001,Productos!BS$2:BS1001,"")*$G576,"")</f>
        <v/>
      </c>
    </row>
    <row r="577">
      <c r="A577" s="188"/>
      <c r="B577" s="189"/>
      <c r="C577" s="190"/>
      <c r="D577" s="190"/>
      <c r="E577" s="191"/>
      <c r="F577" s="186"/>
      <c r="G577" s="192"/>
      <c r="H577" s="9"/>
      <c r="I577" s="179" t="str">
        <f t="array" ref="I577">IF($F577&lt;&gt;"",XLOOKUP($F577,Productos!$A:$A,Productos!B:B,"Revisar"),"")</f>
        <v/>
      </c>
      <c r="J577" s="179" t="str">
        <f t="array" ref="J577">IF($F577&lt;&gt;"", XLOOKUP($F577,Productos!$A$2:$A1001,Productos!C$2:C1001,"")*$G577,"")</f>
        <v/>
      </c>
      <c r="K577" s="179" t="str">
        <f t="array" ref="K577">IF($F577&lt;&gt;"",XLOOKUP($F577,Productos!$A:$A,Productos!D:D,"Revisar"),"")</f>
        <v/>
      </c>
      <c r="L577" s="179" t="str">
        <f t="array" ref="L577">IF($F577&lt;&gt;"", XLOOKUP($F577,Productos!$A$2:$A1001,Productos!E$2:E1001,"")*$G577,"")</f>
        <v/>
      </c>
      <c r="M577" s="179" t="str">
        <f t="array" ref="M577">IF($F577&lt;&gt;"",XLOOKUP($F577,Productos!$A:$A,Productos!F:F,"Revisar"),"")</f>
        <v/>
      </c>
      <c r="N577" s="179" t="str">
        <f t="array" ref="N577">IF($F577&lt;&gt;"", XLOOKUP($F577,Productos!$A$2:$A1001,Productos!G$2:G1001,"")*$G577,"")</f>
        <v/>
      </c>
      <c r="O577" s="179" t="str">
        <f t="array" ref="O577">IF($F577&lt;&gt;"",XLOOKUP($F577,Productos!$A:$A,Productos!H:H,"Revisar"),"")</f>
        <v/>
      </c>
      <c r="P577" s="179" t="str">
        <f t="array" ref="P577">IF($F577&lt;&gt;"", XLOOKUP($F577,Productos!$A$2:$A1001,Productos!I$2:I1001,"")*$G577,"")</f>
        <v/>
      </c>
      <c r="Q577" s="179" t="str">
        <f t="array" ref="Q577">IF($F577&lt;&gt;"",XLOOKUP($F577,Productos!$A:$A,Productos!J:J,"Revisar"),"")</f>
        <v/>
      </c>
      <c r="R577" s="179" t="str">
        <f t="array" ref="R577">IF($F577&lt;&gt;"", XLOOKUP($F577,Productos!$A$2:$A1001,Productos!K$2:K1001,"")*$G577,"")</f>
        <v/>
      </c>
      <c r="S577" s="179" t="str">
        <f t="array" ref="S577">IF($F577&lt;&gt;"",XLOOKUP($F577,Productos!$A:$A,Productos!L:L,"Revisar"),"")</f>
        <v/>
      </c>
      <c r="T577" s="179" t="str">
        <f t="array" ref="T577">IF($F577&lt;&gt;"", XLOOKUP($F577,Productos!$A$2:$A1001,Productos!M$2:M1001,"")*$G577,"")</f>
        <v/>
      </c>
      <c r="U577" s="179" t="str">
        <f t="array" ref="U577">IF($F577&lt;&gt;"",XLOOKUP($F577,Productos!$A:$A,Productos!N:N,"Revisar"),"")</f>
        <v/>
      </c>
      <c r="V577" s="179" t="str">
        <f t="array" ref="V577">IF($F577&lt;&gt;"", XLOOKUP($F577,Productos!$A$2:$A1001,Productos!O$2:O1001,"")*$G577,"")</f>
        <v/>
      </c>
      <c r="W577" s="179" t="str">
        <f t="array" ref="W577">IF($F577&lt;&gt;"",XLOOKUP($F577,Productos!$A:$A,Productos!P:P,"Revisar"),"")</f>
        <v/>
      </c>
      <c r="X577" s="179" t="str">
        <f t="array" ref="X577">IF($F577&lt;&gt;"", XLOOKUP($F577,Productos!$A$2:$A1001,Productos!Q$2:Q1001,"")*$G577,"")</f>
        <v/>
      </c>
      <c r="Y577" s="179" t="str">
        <f t="array" ref="Y577">IF($F577&lt;&gt;"",XLOOKUP($F577,Productos!$A:$A,Productos!R:R,"Revisar"),"")</f>
        <v/>
      </c>
      <c r="Z577" s="179" t="str">
        <f t="array" ref="Z577">IF($F577&lt;&gt;"", XLOOKUP($F577,Productos!$A$2:$A1001,Productos!S$2:S1001,"")*$G577,"")</f>
        <v/>
      </c>
      <c r="AA577" s="179" t="str">
        <f t="array" ref="AA577">IF($F577&lt;&gt;"",XLOOKUP($F577,Productos!$A:$A,Productos!T:T,"Revisar"),"")</f>
        <v/>
      </c>
      <c r="AB577" s="179" t="str">
        <f t="array" ref="AB577">IF($F577&lt;&gt;"", XLOOKUP($F577,Productos!$A$2:$A1001,Productos!U$2:U1001,"")*$G577,"")</f>
        <v/>
      </c>
      <c r="AC577" s="179" t="str">
        <f t="array" ref="AC577">IF($F577&lt;&gt;"",XLOOKUP($F577,Productos!$A:$A,Productos!V:V,"Revisar"),"")</f>
        <v/>
      </c>
      <c r="AD577" s="179" t="str">
        <f t="array" ref="AD577">IF($F577&lt;&gt;"", XLOOKUP($F577,Productos!$A$2:$A1001,Productos!W$2:W1001,"")*$G577,"")</f>
        <v/>
      </c>
      <c r="AE577" s="179" t="str">
        <f t="array" ref="AE577">IF($F577&lt;&gt;"",XLOOKUP($F577,Productos!$A:$A,Productos!X:X,"Revisar"),"")</f>
        <v/>
      </c>
      <c r="AF577" s="179" t="str">
        <f t="array" ref="AF577">IF($F577&lt;&gt;"", XLOOKUP($F577,Productos!$A$2:$A1001,Productos!Y$2:Y1001,"")*$G577,"")</f>
        <v/>
      </c>
      <c r="AG577" s="179" t="str">
        <f t="array" ref="AG577">IF($F577&lt;&gt;"",XLOOKUP($F577,Productos!$A:$A,Productos!Z:Z,"Revisar"),"")</f>
        <v/>
      </c>
      <c r="AH577" s="179" t="str">
        <f t="array" ref="AH577">IF($F577&lt;&gt;"", XLOOKUP($F577,Productos!$A$2:$A1001,Productos!AA$2:AA1001,"")*$G577,"")</f>
        <v/>
      </c>
      <c r="AI577" s="179" t="str">
        <f t="array" ref="AI577">IF($F577&lt;&gt;"",XLOOKUP($F577,Productos!$A:$A,Productos!AB:AB,"Revisar"),"")</f>
        <v/>
      </c>
      <c r="AJ577" s="179" t="str">
        <f t="array" ref="AJ577">IF($F577&lt;&gt;"", XLOOKUP($F577,Productos!$A$2:$A1001,Productos!AC$2:AC1001,"")*$G577,"")</f>
        <v/>
      </c>
      <c r="AK577" s="179" t="str">
        <f t="array" ref="AK577">IF($F577&lt;&gt;"",XLOOKUP($F577,Productos!$A:$A,Productos!AD:AD,"Revisar"),"")</f>
        <v/>
      </c>
      <c r="AL577" s="179" t="str">
        <f t="array" ref="AL577">IF($F577&lt;&gt;"", XLOOKUP($F577,Productos!$A$2:$A1001,Productos!AE$2:AE1001,"")*$G577,"")</f>
        <v/>
      </c>
      <c r="AM577" s="179" t="str">
        <f t="array" ref="AM577">IF($F577&lt;&gt;"",XLOOKUP($F577,Productos!$A:$A,Productos!AF:AF,"Revisar"),"")</f>
        <v/>
      </c>
      <c r="AN577" s="179" t="str">
        <f t="array" ref="AN577">IF($F577&lt;&gt;"", XLOOKUP($F577,Productos!$A$2:$A1001,Productos!AG$2:AG1001,"")*$G577,"")</f>
        <v/>
      </c>
      <c r="AO577" s="179" t="str">
        <f t="array" ref="AO577">IF($F577&lt;&gt;"",XLOOKUP($F577,Productos!$A:$A,Productos!AH:AH,"Revisar"),"")</f>
        <v/>
      </c>
      <c r="AP577" s="179" t="str">
        <f t="array" ref="AP577">IF($F577&lt;&gt;"", XLOOKUP($F577,Productos!$A$2:$A1001,Productos!AI$2:AI1001,"")*$G577,"")</f>
        <v/>
      </c>
      <c r="AQ577" s="179" t="str">
        <f t="array" ref="AQ577">IF($F577&lt;&gt;"",XLOOKUP($F577,Productos!$A:$A,Productos!AJ:AJ,"Revisar"),"")</f>
        <v/>
      </c>
      <c r="AR577" s="179" t="str">
        <f t="array" ref="AR577">IF($F577&lt;&gt;"", XLOOKUP($F577,Productos!$A$2:$A1001,Productos!AK$2:AK1001,"")*$G577,"")</f>
        <v/>
      </c>
      <c r="AS577" s="179" t="str">
        <f t="array" ref="AS577">IF($F577&lt;&gt;"",XLOOKUP($F577,Productos!$A:$A,Productos!AL:AL,"Revisar"),"")</f>
        <v/>
      </c>
      <c r="AT577" s="179" t="str">
        <f t="array" ref="AT577">IF($F577&lt;&gt;"", XLOOKUP($F577,Productos!$A$2:$A1001,Productos!AM$2:AM1001,"")*$G577,"")</f>
        <v/>
      </c>
      <c r="AU577" s="179" t="str">
        <f t="array" ref="AU577">IF($F577&lt;&gt;"",XLOOKUP($F577,Productos!$A:$A,Productos!AN:AN,"Revisar"),"")</f>
        <v/>
      </c>
      <c r="AV577" s="179" t="str">
        <f t="array" ref="AV577">IF($F577&lt;&gt;"", XLOOKUP($F577,Productos!$A$2:$A1001,Productos!AO$2:AO1001,"")*$G577,"")</f>
        <v/>
      </c>
      <c r="AW577" s="179" t="str">
        <f t="array" ref="AW577">IF($F577&lt;&gt;"",XLOOKUP($F577,Productos!$A:$A,Productos!AP:AP,"Revisar"),"")</f>
        <v/>
      </c>
      <c r="AX577" s="179" t="str">
        <f t="array" ref="AX577">IF($F577&lt;&gt;"", XLOOKUP($F577,Productos!$A$2:$A1001,Productos!AQ$2:AQ1001,"")*$G577,"")</f>
        <v/>
      </c>
      <c r="AY577" s="179" t="str">
        <f t="array" ref="AY577">IF($F577&lt;&gt;"",XLOOKUP($F577,Productos!$A:$A,Productos!AR:AR,"Revisar"),"")</f>
        <v/>
      </c>
      <c r="AZ577" s="179" t="str">
        <f t="array" ref="AZ577">IF($F577&lt;&gt;"", XLOOKUP($F577,Productos!$A$2:$A1001,Productos!AS$2:AS1001,"")*$G577,"")</f>
        <v/>
      </c>
      <c r="BA577" s="179" t="str">
        <f t="array" ref="BA577">IF($F577&lt;&gt;"",XLOOKUP($F577,Productos!$A:$A,Productos!AT:AT,"Revisar"),"")</f>
        <v/>
      </c>
      <c r="BB577" s="179" t="str">
        <f t="array" ref="BB577">IF($F577&lt;&gt;"", XLOOKUP($F577,Productos!$A$2:$A1001,Productos!AU$2:AU1001,"")*$G577,"")</f>
        <v/>
      </c>
      <c r="BC577" s="179" t="str">
        <f t="array" ref="BC577">IF($F577&lt;&gt;"",XLOOKUP($F577,Productos!$A:$A,Productos!AV:AV,"Revisar"),"")</f>
        <v/>
      </c>
      <c r="BD577" s="179" t="str">
        <f t="array" ref="BD577">IF($F577&lt;&gt;"", XLOOKUP($F577,Productos!$A$2:$A1001,Productos!AW$2:AW1001,"")*$G577,"")</f>
        <v/>
      </c>
      <c r="BE577" s="179" t="str">
        <f t="array" ref="BE577">IF($F577&lt;&gt;"",XLOOKUP($F577,Productos!$A:$A,Productos!AX:AX,"Revisar"),"")</f>
        <v/>
      </c>
      <c r="BF577" s="179" t="str">
        <f t="array" ref="BF577">IF($F577&lt;&gt;"", XLOOKUP($F577,Productos!$A$2:$A1001,Productos!AY$2:AY1001,"")*$G577,"")</f>
        <v/>
      </c>
      <c r="BG577" s="179" t="str">
        <f t="array" ref="BG577">IF($F577&lt;&gt;"",XLOOKUP($F577,Productos!$A:$A,Productos!AZ:AZ,"Revisar"),"")</f>
        <v/>
      </c>
      <c r="BH577" s="179" t="str">
        <f t="array" ref="BH577">IF($F577&lt;&gt;"", XLOOKUP($F577,Productos!$A$2:$A1001,Productos!BA$2:BA1001,"")*$G577,"")</f>
        <v/>
      </c>
      <c r="BI577" s="179" t="str">
        <f t="array" ref="BI577">IF($F577&lt;&gt;"",XLOOKUP($F577,Productos!$A:$A,Productos!BB:BB,"Revisar"),"")</f>
        <v/>
      </c>
      <c r="BJ577" s="179" t="str">
        <f t="array" ref="BJ577">IF($F577&lt;&gt;"", XLOOKUP($F577,Productos!$A$2:$A1001,Productos!BC$2:BC1001,"")*$G577,"")</f>
        <v/>
      </c>
      <c r="BK577" s="179" t="str">
        <f t="array" ref="BK577">IF($F577&lt;&gt;"",XLOOKUP($F577,Productos!$A:$A,Productos!BD:BD,"Revisar"),"")</f>
        <v/>
      </c>
      <c r="BL577" s="179" t="str">
        <f t="array" ref="BL577">IF($F577&lt;&gt;"", XLOOKUP($F577,Productos!$A$2:$A1001,Productos!BE$2:BE1001,"")*$G577,"")</f>
        <v/>
      </c>
      <c r="BM577" s="179" t="str">
        <f t="array" ref="BM577">IF($F577&lt;&gt;"",XLOOKUP($F577,Productos!$A:$A,Productos!BF:BF,"Revisar"),"")</f>
        <v/>
      </c>
      <c r="BN577" s="179" t="str">
        <f t="array" ref="BN577">IF($F577&lt;&gt;"", XLOOKUP($F577,Productos!$A$2:$A1001,Productos!BG$2:BG1001,"")*$G577,"")</f>
        <v/>
      </c>
      <c r="BO577" s="179" t="str">
        <f t="array" ref="BO577">IF($F577&lt;&gt;"",XLOOKUP($F577,Productos!$A:$A,Productos!BH:BH,"Revisar"),"")</f>
        <v/>
      </c>
      <c r="BP577" s="179" t="str">
        <f t="array" ref="BP577">IF($F577&lt;&gt;"", XLOOKUP($F577,Productos!$A$2:$A1001,Productos!BI$2:BI1001,"")*$G577,"")</f>
        <v/>
      </c>
      <c r="BQ577" s="179" t="str">
        <f t="array" ref="BQ577">IF($F577&lt;&gt;"",XLOOKUP($F577,Productos!$A:$A,Productos!BJ:BJ,"Revisar"),"")</f>
        <v/>
      </c>
      <c r="BR577" s="179" t="str">
        <f t="array" ref="BR577">IF($F577&lt;&gt;"", XLOOKUP($F577,Productos!$A$2:$A1001,Productos!BK$2:BK1001,"")*$G577,"")</f>
        <v/>
      </c>
      <c r="BS577" s="179" t="str">
        <f t="array" ref="BS577">IF($F577&lt;&gt;"",XLOOKUP($F577,Productos!$A:$A,Productos!BL:BL,"Revisar"),"")</f>
        <v/>
      </c>
      <c r="BT577" s="179" t="str">
        <f t="array" ref="BT577">IF($F577&lt;&gt;"", XLOOKUP($F577,Productos!$A$2:$A1001,Productos!BM$2:BM1001,"")*$G577,"")</f>
        <v/>
      </c>
      <c r="BU577" s="179" t="str">
        <f t="array" ref="BU577">IF($F577&lt;&gt;"",XLOOKUP($F577,Productos!$A:$A,Productos!BN:BN,"Revisar"),"")</f>
        <v/>
      </c>
      <c r="BV577" s="179" t="str">
        <f t="array" ref="BV577">IF($F577&lt;&gt;"", XLOOKUP($F577,Productos!$A$2:$A1001,Productos!BO$2:BO1001,"")*$G577,"")</f>
        <v/>
      </c>
      <c r="BW577" s="179" t="str">
        <f t="array" ref="BW577">IF($F577&lt;&gt;"",XLOOKUP($F577,Productos!$A:$A,Productos!BP:BP,"Revisar"),"")</f>
        <v/>
      </c>
      <c r="BX577" s="179" t="str">
        <f t="array" ref="BX577">IF($F577&lt;&gt;"", XLOOKUP($F577,Productos!$A$2:$A1001,Productos!BQ$2:BQ1001,"")*$G577,"")</f>
        <v/>
      </c>
      <c r="BY577" s="179" t="str">
        <f t="array" ref="BY577">IF($F577&lt;&gt;"",XLOOKUP($F577,Productos!$A:$A,Productos!BR:BR,"Revisar"),"")</f>
        <v/>
      </c>
      <c r="BZ577" s="179" t="str">
        <f t="array" ref="BZ577">IF($F577&lt;&gt;"", XLOOKUP($F577,Productos!$A$2:$A1001,Productos!BS$2:BS1001,"")*$G577,"")</f>
        <v/>
      </c>
    </row>
    <row r="578">
      <c r="A578" s="188"/>
      <c r="B578" s="189"/>
      <c r="C578" s="190"/>
      <c r="D578" s="190"/>
      <c r="E578" s="191"/>
      <c r="F578" s="186"/>
      <c r="G578" s="192"/>
      <c r="H578" s="9"/>
      <c r="I578" s="179" t="str">
        <f t="array" ref="I578">IF($F578&lt;&gt;"",XLOOKUP($F578,Productos!$A:$A,Productos!B:B,"Revisar"),"")</f>
        <v/>
      </c>
      <c r="J578" s="179" t="str">
        <f t="array" ref="J578">IF($F578&lt;&gt;"", XLOOKUP($F578,Productos!$A$2:$A1001,Productos!C$2:C1001,"")*$G578,"")</f>
        <v/>
      </c>
      <c r="K578" s="179" t="str">
        <f t="array" ref="K578">IF($F578&lt;&gt;"",XLOOKUP($F578,Productos!$A:$A,Productos!D:D,"Revisar"),"")</f>
        <v/>
      </c>
      <c r="L578" s="179" t="str">
        <f t="array" ref="L578">IF($F578&lt;&gt;"", XLOOKUP($F578,Productos!$A$2:$A1001,Productos!E$2:E1001,"")*$G578,"")</f>
        <v/>
      </c>
      <c r="M578" s="179" t="str">
        <f t="array" ref="M578">IF($F578&lt;&gt;"",XLOOKUP($F578,Productos!$A:$A,Productos!F:F,"Revisar"),"")</f>
        <v/>
      </c>
      <c r="N578" s="179" t="str">
        <f t="array" ref="N578">IF($F578&lt;&gt;"", XLOOKUP($F578,Productos!$A$2:$A1001,Productos!G$2:G1001,"")*$G578,"")</f>
        <v/>
      </c>
      <c r="O578" s="179" t="str">
        <f t="array" ref="O578">IF($F578&lt;&gt;"",XLOOKUP($F578,Productos!$A:$A,Productos!H:H,"Revisar"),"")</f>
        <v/>
      </c>
      <c r="P578" s="179" t="str">
        <f t="array" ref="P578">IF($F578&lt;&gt;"", XLOOKUP($F578,Productos!$A$2:$A1001,Productos!I$2:I1001,"")*$G578,"")</f>
        <v/>
      </c>
      <c r="Q578" s="179" t="str">
        <f t="array" ref="Q578">IF($F578&lt;&gt;"",XLOOKUP($F578,Productos!$A:$A,Productos!J:J,"Revisar"),"")</f>
        <v/>
      </c>
      <c r="R578" s="179" t="str">
        <f t="array" ref="R578">IF($F578&lt;&gt;"", XLOOKUP($F578,Productos!$A$2:$A1001,Productos!K$2:K1001,"")*$G578,"")</f>
        <v/>
      </c>
      <c r="S578" s="179" t="str">
        <f t="array" ref="S578">IF($F578&lt;&gt;"",XLOOKUP($F578,Productos!$A:$A,Productos!L:L,"Revisar"),"")</f>
        <v/>
      </c>
      <c r="T578" s="179" t="str">
        <f t="array" ref="T578">IF($F578&lt;&gt;"", XLOOKUP($F578,Productos!$A$2:$A1001,Productos!M$2:M1001,"")*$G578,"")</f>
        <v/>
      </c>
      <c r="U578" s="179" t="str">
        <f t="array" ref="U578">IF($F578&lt;&gt;"",XLOOKUP($F578,Productos!$A:$A,Productos!N:N,"Revisar"),"")</f>
        <v/>
      </c>
      <c r="V578" s="179" t="str">
        <f t="array" ref="V578">IF($F578&lt;&gt;"", XLOOKUP($F578,Productos!$A$2:$A1001,Productos!O$2:O1001,"")*$G578,"")</f>
        <v/>
      </c>
      <c r="W578" s="179" t="str">
        <f t="array" ref="W578">IF($F578&lt;&gt;"",XLOOKUP($F578,Productos!$A:$A,Productos!P:P,"Revisar"),"")</f>
        <v/>
      </c>
      <c r="X578" s="179" t="str">
        <f t="array" ref="X578">IF($F578&lt;&gt;"", XLOOKUP($F578,Productos!$A$2:$A1001,Productos!Q$2:Q1001,"")*$G578,"")</f>
        <v/>
      </c>
      <c r="Y578" s="179" t="str">
        <f t="array" ref="Y578">IF($F578&lt;&gt;"",XLOOKUP($F578,Productos!$A:$A,Productos!R:R,"Revisar"),"")</f>
        <v/>
      </c>
      <c r="Z578" s="179" t="str">
        <f t="array" ref="Z578">IF($F578&lt;&gt;"", XLOOKUP($F578,Productos!$A$2:$A1001,Productos!S$2:S1001,"")*$G578,"")</f>
        <v/>
      </c>
      <c r="AA578" s="179" t="str">
        <f t="array" ref="AA578">IF($F578&lt;&gt;"",XLOOKUP($F578,Productos!$A:$A,Productos!T:T,"Revisar"),"")</f>
        <v/>
      </c>
      <c r="AB578" s="179" t="str">
        <f t="array" ref="AB578">IF($F578&lt;&gt;"", XLOOKUP($F578,Productos!$A$2:$A1001,Productos!U$2:U1001,"")*$G578,"")</f>
        <v/>
      </c>
      <c r="AC578" s="179" t="str">
        <f t="array" ref="AC578">IF($F578&lt;&gt;"",XLOOKUP($F578,Productos!$A:$A,Productos!V:V,"Revisar"),"")</f>
        <v/>
      </c>
      <c r="AD578" s="179" t="str">
        <f t="array" ref="AD578">IF($F578&lt;&gt;"", XLOOKUP($F578,Productos!$A$2:$A1001,Productos!W$2:W1001,"")*$G578,"")</f>
        <v/>
      </c>
      <c r="AE578" s="179" t="str">
        <f t="array" ref="AE578">IF($F578&lt;&gt;"",XLOOKUP($F578,Productos!$A:$A,Productos!X:X,"Revisar"),"")</f>
        <v/>
      </c>
      <c r="AF578" s="179" t="str">
        <f t="array" ref="AF578">IF($F578&lt;&gt;"", XLOOKUP($F578,Productos!$A$2:$A1001,Productos!Y$2:Y1001,"")*$G578,"")</f>
        <v/>
      </c>
      <c r="AG578" s="179" t="str">
        <f t="array" ref="AG578">IF($F578&lt;&gt;"",XLOOKUP($F578,Productos!$A:$A,Productos!Z:Z,"Revisar"),"")</f>
        <v/>
      </c>
      <c r="AH578" s="179" t="str">
        <f t="array" ref="AH578">IF($F578&lt;&gt;"", XLOOKUP($F578,Productos!$A$2:$A1001,Productos!AA$2:AA1001,"")*$G578,"")</f>
        <v/>
      </c>
      <c r="AI578" s="179" t="str">
        <f t="array" ref="AI578">IF($F578&lt;&gt;"",XLOOKUP($F578,Productos!$A:$A,Productos!AB:AB,"Revisar"),"")</f>
        <v/>
      </c>
      <c r="AJ578" s="179" t="str">
        <f t="array" ref="AJ578">IF($F578&lt;&gt;"", XLOOKUP($F578,Productos!$A$2:$A1001,Productos!AC$2:AC1001,"")*$G578,"")</f>
        <v/>
      </c>
      <c r="AK578" s="179" t="str">
        <f t="array" ref="AK578">IF($F578&lt;&gt;"",XLOOKUP($F578,Productos!$A:$A,Productos!AD:AD,"Revisar"),"")</f>
        <v/>
      </c>
      <c r="AL578" s="179" t="str">
        <f t="array" ref="AL578">IF($F578&lt;&gt;"", XLOOKUP($F578,Productos!$A$2:$A1001,Productos!AE$2:AE1001,"")*$G578,"")</f>
        <v/>
      </c>
      <c r="AM578" s="179" t="str">
        <f t="array" ref="AM578">IF($F578&lt;&gt;"",XLOOKUP($F578,Productos!$A:$A,Productos!AF:AF,"Revisar"),"")</f>
        <v/>
      </c>
      <c r="AN578" s="179" t="str">
        <f t="array" ref="AN578">IF($F578&lt;&gt;"", XLOOKUP($F578,Productos!$A$2:$A1001,Productos!AG$2:AG1001,"")*$G578,"")</f>
        <v/>
      </c>
      <c r="AO578" s="179" t="str">
        <f t="array" ref="AO578">IF($F578&lt;&gt;"",XLOOKUP($F578,Productos!$A:$A,Productos!AH:AH,"Revisar"),"")</f>
        <v/>
      </c>
      <c r="AP578" s="179" t="str">
        <f t="array" ref="AP578">IF($F578&lt;&gt;"", XLOOKUP($F578,Productos!$A$2:$A1001,Productos!AI$2:AI1001,"")*$G578,"")</f>
        <v/>
      </c>
      <c r="AQ578" s="179" t="str">
        <f t="array" ref="AQ578">IF($F578&lt;&gt;"",XLOOKUP($F578,Productos!$A:$A,Productos!AJ:AJ,"Revisar"),"")</f>
        <v/>
      </c>
      <c r="AR578" s="179" t="str">
        <f t="array" ref="AR578">IF($F578&lt;&gt;"", XLOOKUP($F578,Productos!$A$2:$A1001,Productos!AK$2:AK1001,"")*$G578,"")</f>
        <v/>
      </c>
      <c r="AS578" s="179" t="str">
        <f t="array" ref="AS578">IF($F578&lt;&gt;"",XLOOKUP($F578,Productos!$A:$A,Productos!AL:AL,"Revisar"),"")</f>
        <v/>
      </c>
      <c r="AT578" s="179" t="str">
        <f t="array" ref="AT578">IF($F578&lt;&gt;"", XLOOKUP($F578,Productos!$A$2:$A1001,Productos!AM$2:AM1001,"")*$G578,"")</f>
        <v/>
      </c>
      <c r="AU578" s="179" t="str">
        <f t="array" ref="AU578">IF($F578&lt;&gt;"",XLOOKUP($F578,Productos!$A:$A,Productos!AN:AN,"Revisar"),"")</f>
        <v/>
      </c>
      <c r="AV578" s="179" t="str">
        <f t="array" ref="AV578">IF($F578&lt;&gt;"", XLOOKUP($F578,Productos!$A$2:$A1001,Productos!AO$2:AO1001,"")*$G578,"")</f>
        <v/>
      </c>
      <c r="AW578" s="179" t="str">
        <f t="array" ref="AW578">IF($F578&lt;&gt;"",XLOOKUP($F578,Productos!$A:$A,Productos!AP:AP,"Revisar"),"")</f>
        <v/>
      </c>
      <c r="AX578" s="179" t="str">
        <f t="array" ref="AX578">IF($F578&lt;&gt;"", XLOOKUP($F578,Productos!$A$2:$A1001,Productos!AQ$2:AQ1001,"")*$G578,"")</f>
        <v/>
      </c>
      <c r="AY578" s="179" t="str">
        <f t="array" ref="AY578">IF($F578&lt;&gt;"",XLOOKUP($F578,Productos!$A:$A,Productos!AR:AR,"Revisar"),"")</f>
        <v/>
      </c>
      <c r="AZ578" s="179" t="str">
        <f t="array" ref="AZ578">IF($F578&lt;&gt;"", XLOOKUP($F578,Productos!$A$2:$A1001,Productos!AS$2:AS1001,"")*$G578,"")</f>
        <v/>
      </c>
      <c r="BA578" s="179" t="str">
        <f t="array" ref="BA578">IF($F578&lt;&gt;"",XLOOKUP($F578,Productos!$A:$A,Productos!AT:AT,"Revisar"),"")</f>
        <v/>
      </c>
      <c r="BB578" s="179" t="str">
        <f t="array" ref="BB578">IF($F578&lt;&gt;"", XLOOKUP($F578,Productos!$A$2:$A1001,Productos!AU$2:AU1001,"")*$G578,"")</f>
        <v/>
      </c>
      <c r="BC578" s="179" t="str">
        <f t="array" ref="BC578">IF($F578&lt;&gt;"",XLOOKUP($F578,Productos!$A:$A,Productos!AV:AV,"Revisar"),"")</f>
        <v/>
      </c>
      <c r="BD578" s="179" t="str">
        <f t="array" ref="BD578">IF($F578&lt;&gt;"", XLOOKUP($F578,Productos!$A$2:$A1001,Productos!AW$2:AW1001,"")*$G578,"")</f>
        <v/>
      </c>
      <c r="BE578" s="179" t="str">
        <f t="array" ref="BE578">IF($F578&lt;&gt;"",XLOOKUP($F578,Productos!$A:$A,Productos!AX:AX,"Revisar"),"")</f>
        <v/>
      </c>
      <c r="BF578" s="179" t="str">
        <f t="array" ref="BF578">IF($F578&lt;&gt;"", XLOOKUP($F578,Productos!$A$2:$A1001,Productos!AY$2:AY1001,"")*$G578,"")</f>
        <v/>
      </c>
      <c r="BG578" s="179" t="str">
        <f t="array" ref="BG578">IF($F578&lt;&gt;"",XLOOKUP($F578,Productos!$A:$A,Productos!AZ:AZ,"Revisar"),"")</f>
        <v/>
      </c>
      <c r="BH578" s="179" t="str">
        <f t="array" ref="BH578">IF($F578&lt;&gt;"", XLOOKUP($F578,Productos!$A$2:$A1001,Productos!BA$2:BA1001,"")*$G578,"")</f>
        <v/>
      </c>
      <c r="BI578" s="179" t="str">
        <f t="array" ref="BI578">IF($F578&lt;&gt;"",XLOOKUP($F578,Productos!$A:$A,Productos!BB:BB,"Revisar"),"")</f>
        <v/>
      </c>
      <c r="BJ578" s="179" t="str">
        <f t="array" ref="BJ578">IF($F578&lt;&gt;"", XLOOKUP($F578,Productos!$A$2:$A1001,Productos!BC$2:BC1001,"")*$G578,"")</f>
        <v/>
      </c>
      <c r="BK578" s="179" t="str">
        <f t="array" ref="BK578">IF($F578&lt;&gt;"",XLOOKUP($F578,Productos!$A:$A,Productos!BD:BD,"Revisar"),"")</f>
        <v/>
      </c>
      <c r="BL578" s="179" t="str">
        <f t="array" ref="BL578">IF($F578&lt;&gt;"", XLOOKUP($F578,Productos!$A$2:$A1001,Productos!BE$2:BE1001,"")*$G578,"")</f>
        <v/>
      </c>
      <c r="BM578" s="179" t="str">
        <f t="array" ref="BM578">IF($F578&lt;&gt;"",XLOOKUP($F578,Productos!$A:$A,Productos!BF:BF,"Revisar"),"")</f>
        <v/>
      </c>
      <c r="BN578" s="179" t="str">
        <f t="array" ref="BN578">IF($F578&lt;&gt;"", XLOOKUP($F578,Productos!$A$2:$A1001,Productos!BG$2:BG1001,"")*$G578,"")</f>
        <v/>
      </c>
      <c r="BO578" s="179" t="str">
        <f t="array" ref="BO578">IF($F578&lt;&gt;"",XLOOKUP($F578,Productos!$A:$A,Productos!BH:BH,"Revisar"),"")</f>
        <v/>
      </c>
      <c r="BP578" s="179" t="str">
        <f t="array" ref="BP578">IF($F578&lt;&gt;"", XLOOKUP($F578,Productos!$A$2:$A1001,Productos!BI$2:BI1001,"")*$G578,"")</f>
        <v/>
      </c>
      <c r="BQ578" s="179" t="str">
        <f t="array" ref="BQ578">IF($F578&lt;&gt;"",XLOOKUP($F578,Productos!$A:$A,Productos!BJ:BJ,"Revisar"),"")</f>
        <v/>
      </c>
      <c r="BR578" s="179" t="str">
        <f t="array" ref="BR578">IF($F578&lt;&gt;"", XLOOKUP($F578,Productos!$A$2:$A1001,Productos!BK$2:BK1001,"")*$G578,"")</f>
        <v/>
      </c>
      <c r="BS578" s="179" t="str">
        <f t="array" ref="BS578">IF($F578&lt;&gt;"",XLOOKUP($F578,Productos!$A:$A,Productos!BL:BL,"Revisar"),"")</f>
        <v/>
      </c>
      <c r="BT578" s="179" t="str">
        <f t="array" ref="BT578">IF($F578&lt;&gt;"", XLOOKUP($F578,Productos!$A$2:$A1001,Productos!BM$2:BM1001,"")*$G578,"")</f>
        <v/>
      </c>
      <c r="BU578" s="179" t="str">
        <f t="array" ref="BU578">IF($F578&lt;&gt;"",XLOOKUP($F578,Productos!$A:$A,Productos!BN:BN,"Revisar"),"")</f>
        <v/>
      </c>
      <c r="BV578" s="179" t="str">
        <f t="array" ref="BV578">IF($F578&lt;&gt;"", XLOOKUP($F578,Productos!$A$2:$A1001,Productos!BO$2:BO1001,"")*$G578,"")</f>
        <v/>
      </c>
      <c r="BW578" s="179" t="str">
        <f t="array" ref="BW578">IF($F578&lt;&gt;"",XLOOKUP($F578,Productos!$A:$A,Productos!BP:BP,"Revisar"),"")</f>
        <v/>
      </c>
      <c r="BX578" s="179" t="str">
        <f t="array" ref="BX578">IF($F578&lt;&gt;"", XLOOKUP($F578,Productos!$A$2:$A1001,Productos!BQ$2:BQ1001,"")*$G578,"")</f>
        <v/>
      </c>
      <c r="BY578" s="179" t="str">
        <f t="array" ref="BY578">IF($F578&lt;&gt;"",XLOOKUP($F578,Productos!$A:$A,Productos!BR:BR,"Revisar"),"")</f>
        <v/>
      </c>
      <c r="BZ578" s="179" t="str">
        <f t="array" ref="BZ578">IF($F578&lt;&gt;"", XLOOKUP($F578,Productos!$A$2:$A1001,Productos!BS$2:BS1001,"")*$G578,"")</f>
        <v/>
      </c>
    </row>
    <row r="579">
      <c r="A579" s="188"/>
      <c r="B579" s="189"/>
      <c r="C579" s="190"/>
      <c r="D579" s="190"/>
      <c r="E579" s="191"/>
      <c r="F579" s="186"/>
      <c r="G579" s="192"/>
      <c r="H579" s="9"/>
      <c r="I579" s="179" t="str">
        <f t="array" ref="I579">IF($F579&lt;&gt;"",XLOOKUP($F579,Productos!$A:$A,Productos!B:B,"Revisar"),"")</f>
        <v/>
      </c>
      <c r="J579" s="179" t="str">
        <f t="array" ref="J579">IF($F579&lt;&gt;"", XLOOKUP($F579,Productos!$A$2:$A1001,Productos!C$2:C1001,"")*$G579,"")</f>
        <v/>
      </c>
      <c r="K579" s="179" t="str">
        <f t="array" ref="K579">IF($F579&lt;&gt;"",XLOOKUP($F579,Productos!$A:$A,Productos!D:D,"Revisar"),"")</f>
        <v/>
      </c>
      <c r="L579" s="179" t="str">
        <f t="array" ref="L579">IF($F579&lt;&gt;"", XLOOKUP($F579,Productos!$A$2:$A1001,Productos!E$2:E1001,"")*$G579,"")</f>
        <v/>
      </c>
      <c r="M579" s="179" t="str">
        <f t="array" ref="M579">IF($F579&lt;&gt;"",XLOOKUP($F579,Productos!$A:$A,Productos!F:F,"Revisar"),"")</f>
        <v/>
      </c>
      <c r="N579" s="179" t="str">
        <f t="array" ref="N579">IF($F579&lt;&gt;"", XLOOKUP($F579,Productos!$A$2:$A1001,Productos!G$2:G1001,"")*$G579,"")</f>
        <v/>
      </c>
      <c r="O579" s="179" t="str">
        <f t="array" ref="O579">IF($F579&lt;&gt;"",XLOOKUP($F579,Productos!$A:$A,Productos!H:H,"Revisar"),"")</f>
        <v/>
      </c>
      <c r="P579" s="179" t="str">
        <f t="array" ref="P579">IF($F579&lt;&gt;"", XLOOKUP($F579,Productos!$A$2:$A1001,Productos!I$2:I1001,"")*$G579,"")</f>
        <v/>
      </c>
      <c r="Q579" s="179" t="str">
        <f t="array" ref="Q579">IF($F579&lt;&gt;"",XLOOKUP($F579,Productos!$A:$A,Productos!J:J,"Revisar"),"")</f>
        <v/>
      </c>
      <c r="R579" s="179" t="str">
        <f t="array" ref="R579">IF($F579&lt;&gt;"", XLOOKUP($F579,Productos!$A$2:$A1001,Productos!K$2:K1001,"")*$G579,"")</f>
        <v/>
      </c>
      <c r="S579" s="179" t="str">
        <f t="array" ref="S579">IF($F579&lt;&gt;"",XLOOKUP($F579,Productos!$A:$A,Productos!L:L,"Revisar"),"")</f>
        <v/>
      </c>
      <c r="T579" s="179" t="str">
        <f t="array" ref="T579">IF($F579&lt;&gt;"", XLOOKUP($F579,Productos!$A$2:$A1001,Productos!M$2:M1001,"")*$G579,"")</f>
        <v/>
      </c>
      <c r="U579" s="179" t="str">
        <f t="array" ref="U579">IF($F579&lt;&gt;"",XLOOKUP($F579,Productos!$A:$A,Productos!N:N,"Revisar"),"")</f>
        <v/>
      </c>
      <c r="V579" s="179" t="str">
        <f t="array" ref="V579">IF($F579&lt;&gt;"", XLOOKUP($F579,Productos!$A$2:$A1001,Productos!O$2:O1001,"")*$G579,"")</f>
        <v/>
      </c>
      <c r="W579" s="179" t="str">
        <f t="array" ref="W579">IF($F579&lt;&gt;"",XLOOKUP($F579,Productos!$A:$A,Productos!P:P,"Revisar"),"")</f>
        <v/>
      </c>
      <c r="X579" s="179" t="str">
        <f t="array" ref="X579">IF($F579&lt;&gt;"", XLOOKUP($F579,Productos!$A$2:$A1001,Productos!Q$2:Q1001,"")*$G579,"")</f>
        <v/>
      </c>
      <c r="Y579" s="179" t="str">
        <f t="array" ref="Y579">IF($F579&lt;&gt;"",XLOOKUP($F579,Productos!$A:$A,Productos!R:R,"Revisar"),"")</f>
        <v/>
      </c>
      <c r="Z579" s="179" t="str">
        <f t="array" ref="Z579">IF($F579&lt;&gt;"", XLOOKUP($F579,Productos!$A$2:$A1001,Productos!S$2:S1001,"")*$G579,"")</f>
        <v/>
      </c>
      <c r="AA579" s="179" t="str">
        <f t="array" ref="AA579">IF($F579&lt;&gt;"",XLOOKUP($F579,Productos!$A:$A,Productos!T:T,"Revisar"),"")</f>
        <v/>
      </c>
      <c r="AB579" s="179" t="str">
        <f t="array" ref="AB579">IF($F579&lt;&gt;"", XLOOKUP($F579,Productos!$A$2:$A1001,Productos!U$2:U1001,"")*$G579,"")</f>
        <v/>
      </c>
      <c r="AC579" s="179" t="str">
        <f t="array" ref="AC579">IF($F579&lt;&gt;"",XLOOKUP($F579,Productos!$A:$A,Productos!V:V,"Revisar"),"")</f>
        <v/>
      </c>
      <c r="AD579" s="179" t="str">
        <f t="array" ref="AD579">IF($F579&lt;&gt;"", XLOOKUP($F579,Productos!$A$2:$A1001,Productos!W$2:W1001,"")*$G579,"")</f>
        <v/>
      </c>
      <c r="AE579" s="179" t="str">
        <f t="array" ref="AE579">IF($F579&lt;&gt;"",XLOOKUP($F579,Productos!$A:$A,Productos!X:X,"Revisar"),"")</f>
        <v/>
      </c>
      <c r="AF579" s="179" t="str">
        <f t="array" ref="AF579">IF($F579&lt;&gt;"", XLOOKUP($F579,Productos!$A$2:$A1001,Productos!Y$2:Y1001,"")*$G579,"")</f>
        <v/>
      </c>
      <c r="AG579" s="179" t="str">
        <f t="array" ref="AG579">IF($F579&lt;&gt;"",XLOOKUP($F579,Productos!$A:$A,Productos!Z:Z,"Revisar"),"")</f>
        <v/>
      </c>
      <c r="AH579" s="179" t="str">
        <f t="array" ref="AH579">IF($F579&lt;&gt;"", XLOOKUP($F579,Productos!$A$2:$A1001,Productos!AA$2:AA1001,"")*$G579,"")</f>
        <v/>
      </c>
      <c r="AI579" s="179" t="str">
        <f t="array" ref="AI579">IF($F579&lt;&gt;"",XLOOKUP($F579,Productos!$A:$A,Productos!AB:AB,"Revisar"),"")</f>
        <v/>
      </c>
      <c r="AJ579" s="179" t="str">
        <f t="array" ref="AJ579">IF($F579&lt;&gt;"", XLOOKUP($F579,Productos!$A$2:$A1001,Productos!AC$2:AC1001,"")*$G579,"")</f>
        <v/>
      </c>
      <c r="AK579" s="179" t="str">
        <f t="array" ref="AK579">IF($F579&lt;&gt;"",XLOOKUP($F579,Productos!$A:$A,Productos!AD:AD,"Revisar"),"")</f>
        <v/>
      </c>
      <c r="AL579" s="179" t="str">
        <f t="array" ref="AL579">IF($F579&lt;&gt;"", XLOOKUP($F579,Productos!$A$2:$A1001,Productos!AE$2:AE1001,"")*$G579,"")</f>
        <v/>
      </c>
      <c r="AM579" s="179" t="str">
        <f t="array" ref="AM579">IF($F579&lt;&gt;"",XLOOKUP($F579,Productos!$A:$A,Productos!AF:AF,"Revisar"),"")</f>
        <v/>
      </c>
      <c r="AN579" s="179" t="str">
        <f t="array" ref="AN579">IF($F579&lt;&gt;"", XLOOKUP($F579,Productos!$A$2:$A1001,Productos!AG$2:AG1001,"")*$G579,"")</f>
        <v/>
      </c>
      <c r="AO579" s="179" t="str">
        <f t="array" ref="AO579">IF($F579&lt;&gt;"",XLOOKUP($F579,Productos!$A:$A,Productos!AH:AH,"Revisar"),"")</f>
        <v/>
      </c>
      <c r="AP579" s="179" t="str">
        <f t="array" ref="AP579">IF($F579&lt;&gt;"", XLOOKUP($F579,Productos!$A$2:$A1001,Productos!AI$2:AI1001,"")*$G579,"")</f>
        <v/>
      </c>
      <c r="AQ579" s="179" t="str">
        <f t="array" ref="AQ579">IF($F579&lt;&gt;"",XLOOKUP($F579,Productos!$A:$A,Productos!AJ:AJ,"Revisar"),"")</f>
        <v/>
      </c>
      <c r="AR579" s="179" t="str">
        <f t="array" ref="AR579">IF($F579&lt;&gt;"", XLOOKUP($F579,Productos!$A$2:$A1001,Productos!AK$2:AK1001,"")*$G579,"")</f>
        <v/>
      </c>
      <c r="AS579" s="179" t="str">
        <f t="array" ref="AS579">IF($F579&lt;&gt;"",XLOOKUP($F579,Productos!$A:$A,Productos!AL:AL,"Revisar"),"")</f>
        <v/>
      </c>
      <c r="AT579" s="179" t="str">
        <f t="array" ref="AT579">IF($F579&lt;&gt;"", XLOOKUP($F579,Productos!$A$2:$A1001,Productos!AM$2:AM1001,"")*$G579,"")</f>
        <v/>
      </c>
      <c r="AU579" s="179" t="str">
        <f t="array" ref="AU579">IF($F579&lt;&gt;"",XLOOKUP($F579,Productos!$A:$A,Productos!AN:AN,"Revisar"),"")</f>
        <v/>
      </c>
      <c r="AV579" s="179" t="str">
        <f t="array" ref="AV579">IF($F579&lt;&gt;"", XLOOKUP($F579,Productos!$A$2:$A1001,Productos!AO$2:AO1001,"")*$G579,"")</f>
        <v/>
      </c>
      <c r="AW579" s="179" t="str">
        <f t="array" ref="AW579">IF($F579&lt;&gt;"",XLOOKUP($F579,Productos!$A:$A,Productos!AP:AP,"Revisar"),"")</f>
        <v/>
      </c>
      <c r="AX579" s="179" t="str">
        <f t="array" ref="AX579">IF($F579&lt;&gt;"", XLOOKUP($F579,Productos!$A$2:$A1001,Productos!AQ$2:AQ1001,"")*$G579,"")</f>
        <v/>
      </c>
      <c r="AY579" s="179" t="str">
        <f t="array" ref="AY579">IF($F579&lt;&gt;"",XLOOKUP($F579,Productos!$A:$A,Productos!AR:AR,"Revisar"),"")</f>
        <v/>
      </c>
      <c r="AZ579" s="179" t="str">
        <f t="array" ref="AZ579">IF($F579&lt;&gt;"", XLOOKUP($F579,Productos!$A$2:$A1001,Productos!AS$2:AS1001,"")*$G579,"")</f>
        <v/>
      </c>
      <c r="BA579" s="179" t="str">
        <f t="array" ref="BA579">IF($F579&lt;&gt;"",XLOOKUP($F579,Productos!$A:$A,Productos!AT:AT,"Revisar"),"")</f>
        <v/>
      </c>
      <c r="BB579" s="179" t="str">
        <f t="array" ref="BB579">IF($F579&lt;&gt;"", XLOOKUP($F579,Productos!$A$2:$A1001,Productos!AU$2:AU1001,"")*$G579,"")</f>
        <v/>
      </c>
      <c r="BC579" s="179" t="str">
        <f t="array" ref="BC579">IF($F579&lt;&gt;"",XLOOKUP($F579,Productos!$A:$A,Productos!AV:AV,"Revisar"),"")</f>
        <v/>
      </c>
      <c r="BD579" s="179" t="str">
        <f t="array" ref="BD579">IF($F579&lt;&gt;"", XLOOKUP($F579,Productos!$A$2:$A1001,Productos!AW$2:AW1001,"")*$G579,"")</f>
        <v/>
      </c>
      <c r="BE579" s="179" t="str">
        <f t="array" ref="BE579">IF($F579&lt;&gt;"",XLOOKUP($F579,Productos!$A:$A,Productos!AX:AX,"Revisar"),"")</f>
        <v/>
      </c>
      <c r="BF579" s="179" t="str">
        <f t="array" ref="BF579">IF($F579&lt;&gt;"", XLOOKUP($F579,Productos!$A$2:$A1001,Productos!AY$2:AY1001,"")*$G579,"")</f>
        <v/>
      </c>
      <c r="BG579" s="179" t="str">
        <f t="array" ref="BG579">IF($F579&lt;&gt;"",XLOOKUP($F579,Productos!$A:$A,Productos!AZ:AZ,"Revisar"),"")</f>
        <v/>
      </c>
      <c r="BH579" s="179" t="str">
        <f t="array" ref="BH579">IF($F579&lt;&gt;"", XLOOKUP($F579,Productos!$A$2:$A1001,Productos!BA$2:BA1001,"")*$G579,"")</f>
        <v/>
      </c>
      <c r="BI579" s="179" t="str">
        <f t="array" ref="BI579">IF($F579&lt;&gt;"",XLOOKUP($F579,Productos!$A:$A,Productos!BB:BB,"Revisar"),"")</f>
        <v/>
      </c>
      <c r="BJ579" s="179" t="str">
        <f t="array" ref="BJ579">IF($F579&lt;&gt;"", XLOOKUP($F579,Productos!$A$2:$A1001,Productos!BC$2:BC1001,"")*$G579,"")</f>
        <v/>
      </c>
      <c r="BK579" s="179" t="str">
        <f t="array" ref="BK579">IF($F579&lt;&gt;"",XLOOKUP($F579,Productos!$A:$A,Productos!BD:BD,"Revisar"),"")</f>
        <v/>
      </c>
      <c r="BL579" s="179" t="str">
        <f t="array" ref="BL579">IF($F579&lt;&gt;"", XLOOKUP($F579,Productos!$A$2:$A1001,Productos!BE$2:BE1001,"")*$G579,"")</f>
        <v/>
      </c>
      <c r="BM579" s="179" t="str">
        <f t="array" ref="BM579">IF($F579&lt;&gt;"",XLOOKUP($F579,Productos!$A:$A,Productos!BF:BF,"Revisar"),"")</f>
        <v/>
      </c>
      <c r="BN579" s="179" t="str">
        <f t="array" ref="BN579">IF($F579&lt;&gt;"", XLOOKUP($F579,Productos!$A$2:$A1001,Productos!BG$2:BG1001,"")*$G579,"")</f>
        <v/>
      </c>
      <c r="BO579" s="179" t="str">
        <f t="array" ref="BO579">IF($F579&lt;&gt;"",XLOOKUP($F579,Productos!$A:$A,Productos!BH:BH,"Revisar"),"")</f>
        <v/>
      </c>
      <c r="BP579" s="179" t="str">
        <f t="array" ref="BP579">IF($F579&lt;&gt;"", XLOOKUP($F579,Productos!$A$2:$A1001,Productos!BI$2:BI1001,"")*$G579,"")</f>
        <v/>
      </c>
      <c r="BQ579" s="179" t="str">
        <f t="array" ref="BQ579">IF($F579&lt;&gt;"",XLOOKUP($F579,Productos!$A:$A,Productos!BJ:BJ,"Revisar"),"")</f>
        <v/>
      </c>
      <c r="BR579" s="179" t="str">
        <f t="array" ref="BR579">IF($F579&lt;&gt;"", XLOOKUP($F579,Productos!$A$2:$A1001,Productos!BK$2:BK1001,"")*$G579,"")</f>
        <v/>
      </c>
      <c r="BS579" s="179" t="str">
        <f t="array" ref="BS579">IF($F579&lt;&gt;"",XLOOKUP($F579,Productos!$A:$A,Productos!BL:BL,"Revisar"),"")</f>
        <v/>
      </c>
      <c r="BT579" s="179" t="str">
        <f t="array" ref="BT579">IF($F579&lt;&gt;"", XLOOKUP($F579,Productos!$A$2:$A1001,Productos!BM$2:BM1001,"")*$G579,"")</f>
        <v/>
      </c>
      <c r="BU579" s="179" t="str">
        <f t="array" ref="BU579">IF($F579&lt;&gt;"",XLOOKUP($F579,Productos!$A:$A,Productos!BN:BN,"Revisar"),"")</f>
        <v/>
      </c>
      <c r="BV579" s="179" t="str">
        <f t="array" ref="BV579">IF($F579&lt;&gt;"", XLOOKUP($F579,Productos!$A$2:$A1001,Productos!BO$2:BO1001,"")*$G579,"")</f>
        <v/>
      </c>
      <c r="BW579" s="179" t="str">
        <f t="array" ref="BW579">IF($F579&lt;&gt;"",XLOOKUP($F579,Productos!$A:$A,Productos!BP:BP,"Revisar"),"")</f>
        <v/>
      </c>
      <c r="BX579" s="179" t="str">
        <f t="array" ref="BX579">IF($F579&lt;&gt;"", XLOOKUP($F579,Productos!$A$2:$A1001,Productos!BQ$2:BQ1001,"")*$G579,"")</f>
        <v/>
      </c>
      <c r="BY579" s="179" t="str">
        <f t="array" ref="BY579">IF($F579&lt;&gt;"",XLOOKUP($F579,Productos!$A:$A,Productos!BR:BR,"Revisar"),"")</f>
        <v/>
      </c>
      <c r="BZ579" s="179" t="str">
        <f t="array" ref="BZ579">IF($F579&lt;&gt;"", XLOOKUP($F579,Productos!$A$2:$A1001,Productos!BS$2:BS1001,"")*$G579,"")</f>
        <v/>
      </c>
    </row>
    <row r="580">
      <c r="A580" s="188"/>
      <c r="B580" s="189"/>
      <c r="C580" s="190"/>
      <c r="D580" s="190"/>
      <c r="E580" s="191"/>
      <c r="F580" s="186"/>
      <c r="G580" s="192"/>
      <c r="H580" s="9"/>
      <c r="I580" s="179" t="str">
        <f t="array" ref="I580">IF($F580&lt;&gt;"",XLOOKUP($F580,Productos!$A:$A,Productos!B:B,"Revisar"),"")</f>
        <v/>
      </c>
      <c r="J580" s="179" t="str">
        <f t="array" ref="J580">IF($F580&lt;&gt;"", XLOOKUP($F580,Productos!$A$2:$A1001,Productos!C$2:C1001,"")*$G580,"")</f>
        <v/>
      </c>
      <c r="K580" s="179" t="str">
        <f t="array" ref="K580">IF($F580&lt;&gt;"",XLOOKUP($F580,Productos!$A:$A,Productos!D:D,"Revisar"),"")</f>
        <v/>
      </c>
      <c r="L580" s="179" t="str">
        <f t="array" ref="L580">IF($F580&lt;&gt;"", XLOOKUP($F580,Productos!$A$2:$A1001,Productos!E$2:E1001,"")*$G580,"")</f>
        <v/>
      </c>
      <c r="M580" s="179" t="str">
        <f t="array" ref="M580">IF($F580&lt;&gt;"",XLOOKUP($F580,Productos!$A:$A,Productos!F:F,"Revisar"),"")</f>
        <v/>
      </c>
      <c r="N580" s="179" t="str">
        <f t="array" ref="N580">IF($F580&lt;&gt;"", XLOOKUP($F580,Productos!$A$2:$A1001,Productos!G$2:G1001,"")*$G580,"")</f>
        <v/>
      </c>
      <c r="O580" s="179" t="str">
        <f t="array" ref="O580">IF($F580&lt;&gt;"",XLOOKUP($F580,Productos!$A:$A,Productos!H:H,"Revisar"),"")</f>
        <v/>
      </c>
      <c r="P580" s="179" t="str">
        <f t="array" ref="P580">IF($F580&lt;&gt;"", XLOOKUP($F580,Productos!$A$2:$A1001,Productos!I$2:I1001,"")*$G580,"")</f>
        <v/>
      </c>
      <c r="Q580" s="179" t="str">
        <f t="array" ref="Q580">IF($F580&lt;&gt;"",XLOOKUP($F580,Productos!$A:$A,Productos!J:J,"Revisar"),"")</f>
        <v/>
      </c>
      <c r="R580" s="179" t="str">
        <f t="array" ref="R580">IF($F580&lt;&gt;"", XLOOKUP($F580,Productos!$A$2:$A1001,Productos!K$2:K1001,"")*$G580,"")</f>
        <v/>
      </c>
      <c r="S580" s="179" t="str">
        <f t="array" ref="S580">IF($F580&lt;&gt;"",XLOOKUP($F580,Productos!$A:$A,Productos!L:L,"Revisar"),"")</f>
        <v/>
      </c>
      <c r="T580" s="179" t="str">
        <f t="array" ref="T580">IF($F580&lt;&gt;"", XLOOKUP($F580,Productos!$A$2:$A1001,Productos!M$2:M1001,"")*$G580,"")</f>
        <v/>
      </c>
      <c r="U580" s="179" t="str">
        <f t="array" ref="U580">IF($F580&lt;&gt;"",XLOOKUP($F580,Productos!$A:$A,Productos!N:N,"Revisar"),"")</f>
        <v/>
      </c>
      <c r="V580" s="179" t="str">
        <f t="array" ref="V580">IF($F580&lt;&gt;"", XLOOKUP($F580,Productos!$A$2:$A1001,Productos!O$2:O1001,"")*$G580,"")</f>
        <v/>
      </c>
      <c r="W580" s="179" t="str">
        <f t="array" ref="W580">IF($F580&lt;&gt;"",XLOOKUP($F580,Productos!$A:$A,Productos!P:P,"Revisar"),"")</f>
        <v/>
      </c>
      <c r="X580" s="179" t="str">
        <f t="array" ref="X580">IF($F580&lt;&gt;"", XLOOKUP($F580,Productos!$A$2:$A1001,Productos!Q$2:Q1001,"")*$G580,"")</f>
        <v/>
      </c>
      <c r="Y580" s="179" t="str">
        <f t="array" ref="Y580">IF($F580&lt;&gt;"",XLOOKUP($F580,Productos!$A:$A,Productos!R:R,"Revisar"),"")</f>
        <v/>
      </c>
      <c r="Z580" s="179" t="str">
        <f t="array" ref="Z580">IF($F580&lt;&gt;"", XLOOKUP($F580,Productos!$A$2:$A1001,Productos!S$2:S1001,"")*$G580,"")</f>
        <v/>
      </c>
      <c r="AA580" s="179" t="str">
        <f t="array" ref="AA580">IF($F580&lt;&gt;"",XLOOKUP($F580,Productos!$A:$A,Productos!T:T,"Revisar"),"")</f>
        <v/>
      </c>
      <c r="AB580" s="179" t="str">
        <f t="array" ref="AB580">IF($F580&lt;&gt;"", XLOOKUP($F580,Productos!$A$2:$A1001,Productos!U$2:U1001,"")*$G580,"")</f>
        <v/>
      </c>
      <c r="AC580" s="179" t="str">
        <f t="array" ref="AC580">IF($F580&lt;&gt;"",XLOOKUP($F580,Productos!$A:$A,Productos!V:V,"Revisar"),"")</f>
        <v/>
      </c>
      <c r="AD580" s="179" t="str">
        <f t="array" ref="AD580">IF($F580&lt;&gt;"", XLOOKUP($F580,Productos!$A$2:$A1001,Productos!W$2:W1001,"")*$G580,"")</f>
        <v/>
      </c>
      <c r="AE580" s="179" t="str">
        <f t="array" ref="AE580">IF($F580&lt;&gt;"",XLOOKUP($F580,Productos!$A:$A,Productos!X:X,"Revisar"),"")</f>
        <v/>
      </c>
      <c r="AF580" s="179" t="str">
        <f t="array" ref="AF580">IF($F580&lt;&gt;"", XLOOKUP($F580,Productos!$A$2:$A1001,Productos!Y$2:Y1001,"")*$G580,"")</f>
        <v/>
      </c>
      <c r="AG580" s="179" t="str">
        <f t="array" ref="AG580">IF($F580&lt;&gt;"",XLOOKUP($F580,Productos!$A:$A,Productos!Z:Z,"Revisar"),"")</f>
        <v/>
      </c>
      <c r="AH580" s="179" t="str">
        <f t="array" ref="AH580">IF($F580&lt;&gt;"", XLOOKUP($F580,Productos!$A$2:$A1001,Productos!AA$2:AA1001,"")*$G580,"")</f>
        <v/>
      </c>
      <c r="AI580" s="179" t="str">
        <f t="array" ref="AI580">IF($F580&lt;&gt;"",XLOOKUP($F580,Productos!$A:$A,Productos!AB:AB,"Revisar"),"")</f>
        <v/>
      </c>
      <c r="AJ580" s="179" t="str">
        <f t="array" ref="AJ580">IF($F580&lt;&gt;"", XLOOKUP($F580,Productos!$A$2:$A1001,Productos!AC$2:AC1001,"")*$G580,"")</f>
        <v/>
      </c>
      <c r="AK580" s="179" t="str">
        <f t="array" ref="AK580">IF($F580&lt;&gt;"",XLOOKUP($F580,Productos!$A:$A,Productos!AD:AD,"Revisar"),"")</f>
        <v/>
      </c>
      <c r="AL580" s="179" t="str">
        <f t="array" ref="AL580">IF($F580&lt;&gt;"", XLOOKUP($F580,Productos!$A$2:$A1001,Productos!AE$2:AE1001,"")*$G580,"")</f>
        <v/>
      </c>
      <c r="AM580" s="179" t="str">
        <f t="array" ref="AM580">IF($F580&lt;&gt;"",XLOOKUP($F580,Productos!$A:$A,Productos!AF:AF,"Revisar"),"")</f>
        <v/>
      </c>
      <c r="AN580" s="179" t="str">
        <f t="array" ref="AN580">IF($F580&lt;&gt;"", XLOOKUP($F580,Productos!$A$2:$A1001,Productos!AG$2:AG1001,"")*$G580,"")</f>
        <v/>
      </c>
      <c r="AO580" s="179" t="str">
        <f t="array" ref="AO580">IF($F580&lt;&gt;"",XLOOKUP($F580,Productos!$A:$A,Productos!AH:AH,"Revisar"),"")</f>
        <v/>
      </c>
      <c r="AP580" s="179" t="str">
        <f t="array" ref="AP580">IF($F580&lt;&gt;"", XLOOKUP($F580,Productos!$A$2:$A1001,Productos!AI$2:AI1001,"")*$G580,"")</f>
        <v/>
      </c>
      <c r="AQ580" s="179" t="str">
        <f t="array" ref="AQ580">IF($F580&lt;&gt;"",XLOOKUP($F580,Productos!$A:$A,Productos!AJ:AJ,"Revisar"),"")</f>
        <v/>
      </c>
      <c r="AR580" s="179" t="str">
        <f t="array" ref="AR580">IF($F580&lt;&gt;"", XLOOKUP($F580,Productos!$A$2:$A1001,Productos!AK$2:AK1001,"")*$G580,"")</f>
        <v/>
      </c>
      <c r="AS580" s="179" t="str">
        <f t="array" ref="AS580">IF($F580&lt;&gt;"",XLOOKUP($F580,Productos!$A:$A,Productos!AL:AL,"Revisar"),"")</f>
        <v/>
      </c>
      <c r="AT580" s="179" t="str">
        <f t="array" ref="AT580">IF($F580&lt;&gt;"", XLOOKUP($F580,Productos!$A$2:$A1001,Productos!AM$2:AM1001,"")*$G580,"")</f>
        <v/>
      </c>
      <c r="AU580" s="179" t="str">
        <f t="array" ref="AU580">IF($F580&lt;&gt;"",XLOOKUP($F580,Productos!$A:$A,Productos!AN:AN,"Revisar"),"")</f>
        <v/>
      </c>
      <c r="AV580" s="179" t="str">
        <f t="array" ref="AV580">IF($F580&lt;&gt;"", XLOOKUP($F580,Productos!$A$2:$A1001,Productos!AO$2:AO1001,"")*$G580,"")</f>
        <v/>
      </c>
      <c r="AW580" s="179" t="str">
        <f t="array" ref="AW580">IF($F580&lt;&gt;"",XLOOKUP($F580,Productos!$A:$A,Productos!AP:AP,"Revisar"),"")</f>
        <v/>
      </c>
      <c r="AX580" s="179" t="str">
        <f t="array" ref="AX580">IF($F580&lt;&gt;"", XLOOKUP($F580,Productos!$A$2:$A1001,Productos!AQ$2:AQ1001,"")*$G580,"")</f>
        <v/>
      </c>
      <c r="AY580" s="179" t="str">
        <f t="array" ref="AY580">IF($F580&lt;&gt;"",XLOOKUP($F580,Productos!$A:$A,Productos!AR:AR,"Revisar"),"")</f>
        <v/>
      </c>
      <c r="AZ580" s="179" t="str">
        <f t="array" ref="AZ580">IF($F580&lt;&gt;"", XLOOKUP($F580,Productos!$A$2:$A1001,Productos!AS$2:AS1001,"")*$G580,"")</f>
        <v/>
      </c>
      <c r="BA580" s="179" t="str">
        <f t="array" ref="BA580">IF($F580&lt;&gt;"",XLOOKUP($F580,Productos!$A:$A,Productos!AT:AT,"Revisar"),"")</f>
        <v/>
      </c>
      <c r="BB580" s="179" t="str">
        <f t="array" ref="BB580">IF($F580&lt;&gt;"", XLOOKUP($F580,Productos!$A$2:$A1001,Productos!AU$2:AU1001,"")*$G580,"")</f>
        <v/>
      </c>
      <c r="BC580" s="179" t="str">
        <f t="array" ref="BC580">IF($F580&lt;&gt;"",XLOOKUP($F580,Productos!$A:$A,Productos!AV:AV,"Revisar"),"")</f>
        <v/>
      </c>
      <c r="BD580" s="179" t="str">
        <f t="array" ref="BD580">IF($F580&lt;&gt;"", XLOOKUP($F580,Productos!$A$2:$A1001,Productos!AW$2:AW1001,"")*$G580,"")</f>
        <v/>
      </c>
      <c r="BE580" s="179" t="str">
        <f t="array" ref="BE580">IF($F580&lt;&gt;"",XLOOKUP($F580,Productos!$A:$A,Productos!AX:AX,"Revisar"),"")</f>
        <v/>
      </c>
      <c r="BF580" s="179" t="str">
        <f t="array" ref="BF580">IF($F580&lt;&gt;"", XLOOKUP($F580,Productos!$A$2:$A1001,Productos!AY$2:AY1001,"")*$G580,"")</f>
        <v/>
      </c>
      <c r="BG580" s="179" t="str">
        <f t="array" ref="BG580">IF($F580&lt;&gt;"",XLOOKUP($F580,Productos!$A:$A,Productos!AZ:AZ,"Revisar"),"")</f>
        <v/>
      </c>
      <c r="BH580" s="179" t="str">
        <f t="array" ref="BH580">IF($F580&lt;&gt;"", XLOOKUP($F580,Productos!$A$2:$A1001,Productos!BA$2:BA1001,"")*$G580,"")</f>
        <v/>
      </c>
      <c r="BI580" s="179" t="str">
        <f t="array" ref="BI580">IF($F580&lt;&gt;"",XLOOKUP($F580,Productos!$A:$A,Productos!BB:BB,"Revisar"),"")</f>
        <v/>
      </c>
      <c r="BJ580" s="179" t="str">
        <f t="array" ref="BJ580">IF($F580&lt;&gt;"", XLOOKUP($F580,Productos!$A$2:$A1001,Productos!BC$2:BC1001,"")*$G580,"")</f>
        <v/>
      </c>
      <c r="BK580" s="179" t="str">
        <f t="array" ref="BK580">IF($F580&lt;&gt;"",XLOOKUP($F580,Productos!$A:$A,Productos!BD:BD,"Revisar"),"")</f>
        <v/>
      </c>
      <c r="BL580" s="179" t="str">
        <f t="array" ref="BL580">IF($F580&lt;&gt;"", XLOOKUP($F580,Productos!$A$2:$A1001,Productos!BE$2:BE1001,"")*$G580,"")</f>
        <v/>
      </c>
      <c r="BM580" s="179" t="str">
        <f t="array" ref="BM580">IF($F580&lt;&gt;"",XLOOKUP($F580,Productos!$A:$A,Productos!BF:BF,"Revisar"),"")</f>
        <v/>
      </c>
      <c r="BN580" s="179" t="str">
        <f t="array" ref="BN580">IF($F580&lt;&gt;"", XLOOKUP($F580,Productos!$A$2:$A1001,Productos!BG$2:BG1001,"")*$G580,"")</f>
        <v/>
      </c>
      <c r="BO580" s="179" t="str">
        <f t="array" ref="BO580">IF($F580&lt;&gt;"",XLOOKUP($F580,Productos!$A:$A,Productos!BH:BH,"Revisar"),"")</f>
        <v/>
      </c>
      <c r="BP580" s="179" t="str">
        <f t="array" ref="BP580">IF($F580&lt;&gt;"", XLOOKUP($F580,Productos!$A$2:$A1001,Productos!BI$2:BI1001,"")*$G580,"")</f>
        <v/>
      </c>
      <c r="BQ580" s="179" t="str">
        <f t="array" ref="BQ580">IF($F580&lt;&gt;"",XLOOKUP($F580,Productos!$A:$A,Productos!BJ:BJ,"Revisar"),"")</f>
        <v/>
      </c>
      <c r="BR580" s="179" t="str">
        <f t="array" ref="BR580">IF($F580&lt;&gt;"", XLOOKUP($F580,Productos!$A$2:$A1001,Productos!BK$2:BK1001,"")*$G580,"")</f>
        <v/>
      </c>
      <c r="BS580" s="179" t="str">
        <f t="array" ref="BS580">IF($F580&lt;&gt;"",XLOOKUP($F580,Productos!$A:$A,Productos!BL:BL,"Revisar"),"")</f>
        <v/>
      </c>
      <c r="BT580" s="179" t="str">
        <f t="array" ref="BT580">IF($F580&lt;&gt;"", XLOOKUP($F580,Productos!$A$2:$A1001,Productos!BM$2:BM1001,"")*$G580,"")</f>
        <v/>
      </c>
      <c r="BU580" s="179" t="str">
        <f t="array" ref="BU580">IF($F580&lt;&gt;"",XLOOKUP($F580,Productos!$A:$A,Productos!BN:BN,"Revisar"),"")</f>
        <v/>
      </c>
      <c r="BV580" s="179" t="str">
        <f t="array" ref="BV580">IF($F580&lt;&gt;"", XLOOKUP($F580,Productos!$A$2:$A1001,Productos!BO$2:BO1001,"")*$G580,"")</f>
        <v/>
      </c>
      <c r="BW580" s="179" t="str">
        <f t="array" ref="BW580">IF($F580&lt;&gt;"",XLOOKUP($F580,Productos!$A:$A,Productos!BP:BP,"Revisar"),"")</f>
        <v/>
      </c>
      <c r="BX580" s="179" t="str">
        <f t="array" ref="BX580">IF($F580&lt;&gt;"", XLOOKUP($F580,Productos!$A$2:$A1001,Productos!BQ$2:BQ1001,"")*$G580,"")</f>
        <v/>
      </c>
      <c r="BY580" s="179" t="str">
        <f t="array" ref="BY580">IF($F580&lt;&gt;"",XLOOKUP($F580,Productos!$A:$A,Productos!BR:BR,"Revisar"),"")</f>
        <v/>
      </c>
      <c r="BZ580" s="179" t="str">
        <f t="array" ref="BZ580">IF($F580&lt;&gt;"", XLOOKUP($F580,Productos!$A$2:$A1001,Productos!BS$2:BS1001,"")*$G580,"")</f>
        <v/>
      </c>
    </row>
    <row r="581">
      <c r="A581" s="188"/>
      <c r="B581" s="189"/>
      <c r="C581" s="190"/>
      <c r="D581" s="190"/>
      <c r="E581" s="191"/>
      <c r="F581" s="186"/>
      <c r="G581" s="192"/>
      <c r="H581" s="9"/>
      <c r="I581" s="179" t="str">
        <f t="array" ref="I581">IF($F581&lt;&gt;"",XLOOKUP($F581,Productos!$A:$A,Productos!B:B,"Revisar"),"")</f>
        <v/>
      </c>
      <c r="J581" s="179" t="str">
        <f t="array" ref="J581">IF($F581&lt;&gt;"", XLOOKUP($F581,Productos!$A$2:$A1001,Productos!C$2:C1001,"")*$G581,"")</f>
        <v/>
      </c>
      <c r="K581" s="179" t="str">
        <f t="array" ref="K581">IF($F581&lt;&gt;"",XLOOKUP($F581,Productos!$A:$A,Productos!D:D,"Revisar"),"")</f>
        <v/>
      </c>
      <c r="L581" s="179" t="str">
        <f t="array" ref="L581">IF($F581&lt;&gt;"", XLOOKUP($F581,Productos!$A$2:$A1001,Productos!E$2:E1001,"")*$G581,"")</f>
        <v/>
      </c>
      <c r="M581" s="179" t="str">
        <f t="array" ref="M581">IF($F581&lt;&gt;"",XLOOKUP($F581,Productos!$A:$A,Productos!F:F,"Revisar"),"")</f>
        <v/>
      </c>
      <c r="N581" s="179" t="str">
        <f t="array" ref="N581">IF($F581&lt;&gt;"", XLOOKUP($F581,Productos!$A$2:$A1001,Productos!G$2:G1001,"")*$G581,"")</f>
        <v/>
      </c>
      <c r="O581" s="179" t="str">
        <f t="array" ref="O581">IF($F581&lt;&gt;"",XLOOKUP($F581,Productos!$A:$A,Productos!H:H,"Revisar"),"")</f>
        <v/>
      </c>
      <c r="P581" s="179" t="str">
        <f t="array" ref="P581">IF($F581&lt;&gt;"", XLOOKUP($F581,Productos!$A$2:$A1001,Productos!I$2:I1001,"")*$G581,"")</f>
        <v/>
      </c>
      <c r="Q581" s="179" t="str">
        <f t="array" ref="Q581">IF($F581&lt;&gt;"",XLOOKUP($F581,Productos!$A:$A,Productos!J:J,"Revisar"),"")</f>
        <v/>
      </c>
      <c r="R581" s="179" t="str">
        <f t="array" ref="R581">IF($F581&lt;&gt;"", XLOOKUP($F581,Productos!$A$2:$A1001,Productos!K$2:K1001,"")*$G581,"")</f>
        <v/>
      </c>
      <c r="S581" s="179" t="str">
        <f t="array" ref="S581">IF($F581&lt;&gt;"",XLOOKUP($F581,Productos!$A:$A,Productos!L:L,"Revisar"),"")</f>
        <v/>
      </c>
      <c r="T581" s="179" t="str">
        <f t="array" ref="T581">IF($F581&lt;&gt;"", XLOOKUP($F581,Productos!$A$2:$A1001,Productos!M$2:M1001,"")*$G581,"")</f>
        <v/>
      </c>
      <c r="U581" s="179" t="str">
        <f t="array" ref="U581">IF($F581&lt;&gt;"",XLOOKUP($F581,Productos!$A:$A,Productos!N:N,"Revisar"),"")</f>
        <v/>
      </c>
      <c r="V581" s="179" t="str">
        <f t="array" ref="V581">IF($F581&lt;&gt;"", XLOOKUP($F581,Productos!$A$2:$A1001,Productos!O$2:O1001,"")*$G581,"")</f>
        <v/>
      </c>
      <c r="W581" s="179" t="str">
        <f t="array" ref="W581">IF($F581&lt;&gt;"",XLOOKUP($F581,Productos!$A:$A,Productos!P:P,"Revisar"),"")</f>
        <v/>
      </c>
      <c r="X581" s="179" t="str">
        <f t="array" ref="X581">IF($F581&lt;&gt;"", XLOOKUP($F581,Productos!$A$2:$A1001,Productos!Q$2:Q1001,"")*$G581,"")</f>
        <v/>
      </c>
      <c r="Y581" s="179" t="str">
        <f t="array" ref="Y581">IF($F581&lt;&gt;"",XLOOKUP($F581,Productos!$A:$A,Productos!R:R,"Revisar"),"")</f>
        <v/>
      </c>
      <c r="Z581" s="179" t="str">
        <f t="array" ref="Z581">IF($F581&lt;&gt;"", XLOOKUP($F581,Productos!$A$2:$A1001,Productos!S$2:S1001,"")*$G581,"")</f>
        <v/>
      </c>
      <c r="AA581" s="179" t="str">
        <f t="array" ref="AA581">IF($F581&lt;&gt;"",XLOOKUP($F581,Productos!$A:$A,Productos!T:T,"Revisar"),"")</f>
        <v/>
      </c>
      <c r="AB581" s="179" t="str">
        <f t="array" ref="AB581">IF($F581&lt;&gt;"", XLOOKUP($F581,Productos!$A$2:$A1001,Productos!U$2:U1001,"")*$G581,"")</f>
        <v/>
      </c>
      <c r="AC581" s="179" t="str">
        <f t="array" ref="AC581">IF($F581&lt;&gt;"",XLOOKUP($F581,Productos!$A:$A,Productos!V:V,"Revisar"),"")</f>
        <v/>
      </c>
      <c r="AD581" s="179" t="str">
        <f t="array" ref="AD581">IF($F581&lt;&gt;"", XLOOKUP($F581,Productos!$A$2:$A1001,Productos!W$2:W1001,"")*$G581,"")</f>
        <v/>
      </c>
      <c r="AE581" s="179" t="str">
        <f t="array" ref="AE581">IF($F581&lt;&gt;"",XLOOKUP($F581,Productos!$A:$A,Productos!X:X,"Revisar"),"")</f>
        <v/>
      </c>
      <c r="AF581" s="179" t="str">
        <f t="array" ref="AF581">IF($F581&lt;&gt;"", XLOOKUP($F581,Productos!$A$2:$A1001,Productos!Y$2:Y1001,"")*$G581,"")</f>
        <v/>
      </c>
      <c r="AG581" s="179" t="str">
        <f t="array" ref="AG581">IF($F581&lt;&gt;"",XLOOKUP($F581,Productos!$A:$A,Productos!Z:Z,"Revisar"),"")</f>
        <v/>
      </c>
      <c r="AH581" s="179" t="str">
        <f t="array" ref="AH581">IF($F581&lt;&gt;"", XLOOKUP($F581,Productos!$A$2:$A1001,Productos!AA$2:AA1001,"")*$G581,"")</f>
        <v/>
      </c>
      <c r="AI581" s="179" t="str">
        <f t="array" ref="AI581">IF($F581&lt;&gt;"",XLOOKUP($F581,Productos!$A:$A,Productos!AB:AB,"Revisar"),"")</f>
        <v/>
      </c>
      <c r="AJ581" s="179" t="str">
        <f t="array" ref="AJ581">IF($F581&lt;&gt;"", XLOOKUP($F581,Productos!$A$2:$A1001,Productos!AC$2:AC1001,"")*$G581,"")</f>
        <v/>
      </c>
      <c r="AK581" s="179" t="str">
        <f t="array" ref="AK581">IF($F581&lt;&gt;"",XLOOKUP($F581,Productos!$A:$A,Productos!AD:AD,"Revisar"),"")</f>
        <v/>
      </c>
      <c r="AL581" s="179" t="str">
        <f t="array" ref="AL581">IF($F581&lt;&gt;"", XLOOKUP($F581,Productos!$A$2:$A1001,Productos!AE$2:AE1001,"")*$G581,"")</f>
        <v/>
      </c>
      <c r="AM581" s="179" t="str">
        <f t="array" ref="AM581">IF($F581&lt;&gt;"",XLOOKUP($F581,Productos!$A:$A,Productos!AF:AF,"Revisar"),"")</f>
        <v/>
      </c>
      <c r="AN581" s="179" t="str">
        <f t="array" ref="AN581">IF($F581&lt;&gt;"", XLOOKUP($F581,Productos!$A$2:$A1001,Productos!AG$2:AG1001,"")*$G581,"")</f>
        <v/>
      </c>
      <c r="AO581" s="179" t="str">
        <f t="array" ref="AO581">IF($F581&lt;&gt;"",XLOOKUP($F581,Productos!$A:$A,Productos!AH:AH,"Revisar"),"")</f>
        <v/>
      </c>
      <c r="AP581" s="179" t="str">
        <f t="array" ref="AP581">IF($F581&lt;&gt;"", XLOOKUP($F581,Productos!$A$2:$A1001,Productos!AI$2:AI1001,"")*$G581,"")</f>
        <v/>
      </c>
      <c r="AQ581" s="179" t="str">
        <f t="array" ref="AQ581">IF($F581&lt;&gt;"",XLOOKUP($F581,Productos!$A:$A,Productos!AJ:AJ,"Revisar"),"")</f>
        <v/>
      </c>
      <c r="AR581" s="179" t="str">
        <f t="array" ref="AR581">IF($F581&lt;&gt;"", XLOOKUP($F581,Productos!$A$2:$A1001,Productos!AK$2:AK1001,"")*$G581,"")</f>
        <v/>
      </c>
      <c r="AS581" s="179" t="str">
        <f t="array" ref="AS581">IF($F581&lt;&gt;"",XLOOKUP($F581,Productos!$A:$A,Productos!AL:AL,"Revisar"),"")</f>
        <v/>
      </c>
      <c r="AT581" s="179" t="str">
        <f t="array" ref="AT581">IF($F581&lt;&gt;"", XLOOKUP($F581,Productos!$A$2:$A1001,Productos!AM$2:AM1001,"")*$G581,"")</f>
        <v/>
      </c>
      <c r="AU581" s="179" t="str">
        <f t="array" ref="AU581">IF($F581&lt;&gt;"",XLOOKUP($F581,Productos!$A:$A,Productos!AN:AN,"Revisar"),"")</f>
        <v/>
      </c>
      <c r="AV581" s="179" t="str">
        <f t="array" ref="AV581">IF($F581&lt;&gt;"", XLOOKUP($F581,Productos!$A$2:$A1001,Productos!AO$2:AO1001,"")*$G581,"")</f>
        <v/>
      </c>
      <c r="AW581" s="179" t="str">
        <f t="array" ref="AW581">IF($F581&lt;&gt;"",XLOOKUP($F581,Productos!$A:$A,Productos!AP:AP,"Revisar"),"")</f>
        <v/>
      </c>
      <c r="AX581" s="179" t="str">
        <f t="array" ref="AX581">IF($F581&lt;&gt;"", XLOOKUP($F581,Productos!$A$2:$A1001,Productos!AQ$2:AQ1001,"")*$G581,"")</f>
        <v/>
      </c>
      <c r="AY581" s="179" t="str">
        <f t="array" ref="AY581">IF($F581&lt;&gt;"",XLOOKUP($F581,Productos!$A:$A,Productos!AR:AR,"Revisar"),"")</f>
        <v/>
      </c>
      <c r="AZ581" s="179" t="str">
        <f t="array" ref="AZ581">IF($F581&lt;&gt;"", XLOOKUP($F581,Productos!$A$2:$A1001,Productos!AS$2:AS1001,"")*$G581,"")</f>
        <v/>
      </c>
      <c r="BA581" s="179" t="str">
        <f t="array" ref="BA581">IF($F581&lt;&gt;"",XLOOKUP($F581,Productos!$A:$A,Productos!AT:AT,"Revisar"),"")</f>
        <v/>
      </c>
      <c r="BB581" s="179" t="str">
        <f t="array" ref="BB581">IF($F581&lt;&gt;"", XLOOKUP($F581,Productos!$A$2:$A1001,Productos!AU$2:AU1001,"")*$G581,"")</f>
        <v/>
      </c>
      <c r="BC581" s="179" t="str">
        <f t="array" ref="BC581">IF($F581&lt;&gt;"",XLOOKUP($F581,Productos!$A:$A,Productos!AV:AV,"Revisar"),"")</f>
        <v/>
      </c>
      <c r="BD581" s="179" t="str">
        <f t="array" ref="BD581">IF($F581&lt;&gt;"", XLOOKUP($F581,Productos!$A$2:$A1001,Productos!AW$2:AW1001,"")*$G581,"")</f>
        <v/>
      </c>
      <c r="BE581" s="179" t="str">
        <f t="array" ref="BE581">IF($F581&lt;&gt;"",XLOOKUP($F581,Productos!$A:$A,Productos!AX:AX,"Revisar"),"")</f>
        <v/>
      </c>
      <c r="BF581" s="179" t="str">
        <f t="array" ref="BF581">IF($F581&lt;&gt;"", XLOOKUP($F581,Productos!$A$2:$A1001,Productos!AY$2:AY1001,"")*$G581,"")</f>
        <v/>
      </c>
      <c r="BG581" s="179" t="str">
        <f t="array" ref="BG581">IF($F581&lt;&gt;"",XLOOKUP($F581,Productos!$A:$A,Productos!AZ:AZ,"Revisar"),"")</f>
        <v/>
      </c>
      <c r="BH581" s="179" t="str">
        <f t="array" ref="BH581">IF($F581&lt;&gt;"", XLOOKUP($F581,Productos!$A$2:$A1001,Productos!BA$2:BA1001,"")*$G581,"")</f>
        <v/>
      </c>
      <c r="BI581" s="179" t="str">
        <f t="array" ref="BI581">IF($F581&lt;&gt;"",XLOOKUP($F581,Productos!$A:$A,Productos!BB:BB,"Revisar"),"")</f>
        <v/>
      </c>
      <c r="BJ581" s="179" t="str">
        <f t="array" ref="BJ581">IF($F581&lt;&gt;"", XLOOKUP($F581,Productos!$A$2:$A1001,Productos!BC$2:BC1001,"")*$G581,"")</f>
        <v/>
      </c>
      <c r="BK581" s="179" t="str">
        <f t="array" ref="BK581">IF($F581&lt;&gt;"",XLOOKUP($F581,Productos!$A:$A,Productos!BD:BD,"Revisar"),"")</f>
        <v/>
      </c>
      <c r="BL581" s="179" t="str">
        <f t="array" ref="BL581">IF($F581&lt;&gt;"", XLOOKUP($F581,Productos!$A$2:$A1001,Productos!BE$2:BE1001,"")*$G581,"")</f>
        <v/>
      </c>
      <c r="BM581" s="179" t="str">
        <f t="array" ref="BM581">IF($F581&lt;&gt;"",XLOOKUP($F581,Productos!$A:$A,Productos!BF:BF,"Revisar"),"")</f>
        <v/>
      </c>
      <c r="BN581" s="179" t="str">
        <f t="array" ref="BN581">IF($F581&lt;&gt;"", XLOOKUP($F581,Productos!$A$2:$A1001,Productos!BG$2:BG1001,"")*$G581,"")</f>
        <v/>
      </c>
      <c r="BO581" s="179" t="str">
        <f t="array" ref="BO581">IF($F581&lt;&gt;"",XLOOKUP($F581,Productos!$A:$A,Productos!BH:BH,"Revisar"),"")</f>
        <v/>
      </c>
      <c r="BP581" s="179" t="str">
        <f t="array" ref="BP581">IF($F581&lt;&gt;"", XLOOKUP($F581,Productos!$A$2:$A1001,Productos!BI$2:BI1001,"")*$G581,"")</f>
        <v/>
      </c>
      <c r="BQ581" s="179" t="str">
        <f t="array" ref="BQ581">IF($F581&lt;&gt;"",XLOOKUP($F581,Productos!$A:$A,Productos!BJ:BJ,"Revisar"),"")</f>
        <v/>
      </c>
      <c r="BR581" s="179" t="str">
        <f t="array" ref="BR581">IF($F581&lt;&gt;"", XLOOKUP($F581,Productos!$A$2:$A1001,Productos!BK$2:BK1001,"")*$G581,"")</f>
        <v/>
      </c>
      <c r="BS581" s="179" t="str">
        <f t="array" ref="BS581">IF($F581&lt;&gt;"",XLOOKUP($F581,Productos!$A:$A,Productos!BL:BL,"Revisar"),"")</f>
        <v/>
      </c>
      <c r="BT581" s="179" t="str">
        <f t="array" ref="BT581">IF($F581&lt;&gt;"", XLOOKUP($F581,Productos!$A$2:$A1001,Productos!BM$2:BM1001,"")*$G581,"")</f>
        <v/>
      </c>
      <c r="BU581" s="179" t="str">
        <f t="array" ref="BU581">IF($F581&lt;&gt;"",XLOOKUP($F581,Productos!$A:$A,Productos!BN:BN,"Revisar"),"")</f>
        <v/>
      </c>
      <c r="BV581" s="179" t="str">
        <f t="array" ref="BV581">IF($F581&lt;&gt;"", XLOOKUP($F581,Productos!$A$2:$A1001,Productos!BO$2:BO1001,"")*$G581,"")</f>
        <v/>
      </c>
      <c r="BW581" s="179" t="str">
        <f t="array" ref="BW581">IF($F581&lt;&gt;"",XLOOKUP($F581,Productos!$A:$A,Productos!BP:BP,"Revisar"),"")</f>
        <v/>
      </c>
      <c r="BX581" s="179" t="str">
        <f t="array" ref="BX581">IF($F581&lt;&gt;"", XLOOKUP($F581,Productos!$A$2:$A1001,Productos!BQ$2:BQ1001,"")*$G581,"")</f>
        <v/>
      </c>
      <c r="BY581" s="179" t="str">
        <f t="array" ref="BY581">IF($F581&lt;&gt;"",XLOOKUP($F581,Productos!$A:$A,Productos!BR:BR,"Revisar"),"")</f>
        <v/>
      </c>
      <c r="BZ581" s="179" t="str">
        <f t="array" ref="BZ581">IF($F581&lt;&gt;"", XLOOKUP($F581,Productos!$A$2:$A1001,Productos!BS$2:BS1001,"")*$G581,"")</f>
        <v/>
      </c>
    </row>
    <row r="582">
      <c r="A582" s="188"/>
      <c r="B582" s="189"/>
      <c r="C582" s="190"/>
      <c r="D582" s="190"/>
      <c r="E582" s="191"/>
      <c r="F582" s="186"/>
      <c r="G582" s="192"/>
      <c r="H582" s="9"/>
      <c r="I582" s="179" t="str">
        <f t="array" ref="I582">IF($F582&lt;&gt;"",XLOOKUP($F582,Productos!$A:$A,Productos!B:B,"Revisar"),"")</f>
        <v/>
      </c>
      <c r="J582" s="179" t="str">
        <f t="array" ref="J582">IF($F582&lt;&gt;"", XLOOKUP($F582,Productos!$A$2:$A1001,Productos!C$2:C1001,"")*$G582,"")</f>
        <v/>
      </c>
      <c r="K582" s="179" t="str">
        <f t="array" ref="K582">IF($F582&lt;&gt;"",XLOOKUP($F582,Productos!$A:$A,Productos!D:D,"Revisar"),"")</f>
        <v/>
      </c>
      <c r="L582" s="179" t="str">
        <f t="array" ref="L582">IF($F582&lt;&gt;"", XLOOKUP($F582,Productos!$A$2:$A1001,Productos!E$2:E1001,"")*$G582,"")</f>
        <v/>
      </c>
      <c r="M582" s="179" t="str">
        <f t="array" ref="M582">IF($F582&lt;&gt;"",XLOOKUP($F582,Productos!$A:$A,Productos!F:F,"Revisar"),"")</f>
        <v/>
      </c>
      <c r="N582" s="179" t="str">
        <f t="array" ref="N582">IF($F582&lt;&gt;"", XLOOKUP($F582,Productos!$A$2:$A1001,Productos!G$2:G1001,"")*$G582,"")</f>
        <v/>
      </c>
      <c r="O582" s="179" t="str">
        <f t="array" ref="O582">IF($F582&lt;&gt;"",XLOOKUP($F582,Productos!$A:$A,Productos!H:H,"Revisar"),"")</f>
        <v/>
      </c>
      <c r="P582" s="179" t="str">
        <f t="array" ref="P582">IF($F582&lt;&gt;"", XLOOKUP($F582,Productos!$A$2:$A1001,Productos!I$2:I1001,"")*$G582,"")</f>
        <v/>
      </c>
      <c r="Q582" s="179" t="str">
        <f t="array" ref="Q582">IF($F582&lt;&gt;"",XLOOKUP($F582,Productos!$A:$A,Productos!J:J,"Revisar"),"")</f>
        <v/>
      </c>
      <c r="R582" s="179" t="str">
        <f t="array" ref="R582">IF($F582&lt;&gt;"", XLOOKUP($F582,Productos!$A$2:$A1001,Productos!K$2:K1001,"")*$G582,"")</f>
        <v/>
      </c>
      <c r="S582" s="179" t="str">
        <f t="array" ref="S582">IF($F582&lt;&gt;"",XLOOKUP($F582,Productos!$A:$A,Productos!L:L,"Revisar"),"")</f>
        <v/>
      </c>
      <c r="T582" s="179" t="str">
        <f t="array" ref="T582">IF($F582&lt;&gt;"", XLOOKUP($F582,Productos!$A$2:$A1001,Productos!M$2:M1001,"")*$G582,"")</f>
        <v/>
      </c>
      <c r="U582" s="179" t="str">
        <f t="array" ref="U582">IF($F582&lt;&gt;"",XLOOKUP($F582,Productos!$A:$A,Productos!N:N,"Revisar"),"")</f>
        <v/>
      </c>
      <c r="V582" s="179" t="str">
        <f t="array" ref="V582">IF($F582&lt;&gt;"", XLOOKUP($F582,Productos!$A$2:$A1001,Productos!O$2:O1001,"")*$G582,"")</f>
        <v/>
      </c>
      <c r="W582" s="179" t="str">
        <f t="array" ref="W582">IF($F582&lt;&gt;"",XLOOKUP($F582,Productos!$A:$A,Productos!P:P,"Revisar"),"")</f>
        <v/>
      </c>
      <c r="X582" s="179" t="str">
        <f t="array" ref="X582">IF($F582&lt;&gt;"", XLOOKUP($F582,Productos!$A$2:$A1001,Productos!Q$2:Q1001,"")*$G582,"")</f>
        <v/>
      </c>
      <c r="Y582" s="179" t="str">
        <f t="array" ref="Y582">IF($F582&lt;&gt;"",XLOOKUP($F582,Productos!$A:$A,Productos!R:R,"Revisar"),"")</f>
        <v/>
      </c>
      <c r="Z582" s="179" t="str">
        <f t="array" ref="Z582">IF($F582&lt;&gt;"", XLOOKUP($F582,Productos!$A$2:$A1001,Productos!S$2:S1001,"")*$G582,"")</f>
        <v/>
      </c>
      <c r="AA582" s="179" t="str">
        <f t="array" ref="AA582">IF($F582&lt;&gt;"",XLOOKUP($F582,Productos!$A:$A,Productos!T:T,"Revisar"),"")</f>
        <v/>
      </c>
      <c r="AB582" s="179" t="str">
        <f t="array" ref="AB582">IF($F582&lt;&gt;"", XLOOKUP($F582,Productos!$A$2:$A1001,Productos!U$2:U1001,"")*$G582,"")</f>
        <v/>
      </c>
      <c r="AC582" s="179" t="str">
        <f t="array" ref="AC582">IF($F582&lt;&gt;"",XLOOKUP($F582,Productos!$A:$A,Productos!V:V,"Revisar"),"")</f>
        <v/>
      </c>
      <c r="AD582" s="179" t="str">
        <f t="array" ref="AD582">IF($F582&lt;&gt;"", XLOOKUP($F582,Productos!$A$2:$A1001,Productos!W$2:W1001,"")*$G582,"")</f>
        <v/>
      </c>
      <c r="AE582" s="179" t="str">
        <f t="array" ref="AE582">IF($F582&lt;&gt;"",XLOOKUP($F582,Productos!$A:$A,Productos!X:X,"Revisar"),"")</f>
        <v/>
      </c>
      <c r="AF582" s="179" t="str">
        <f t="array" ref="AF582">IF($F582&lt;&gt;"", XLOOKUP($F582,Productos!$A$2:$A1001,Productos!Y$2:Y1001,"")*$G582,"")</f>
        <v/>
      </c>
      <c r="AG582" s="179" t="str">
        <f t="array" ref="AG582">IF($F582&lt;&gt;"",XLOOKUP($F582,Productos!$A:$A,Productos!Z:Z,"Revisar"),"")</f>
        <v/>
      </c>
      <c r="AH582" s="179" t="str">
        <f t="array" ref="AH582">IF($F582&lt;&gt;"", XLOOKUP($F582,Productos!$A$2:$A1001,Productos!AA$2:AA1001,"")*$G582,"")</f>
        <v/>
      </c>
      <c r="AI582" s="179" t="str">
        <f t="array" ref="AI582">IF($F582&lt;&gt;"",XLOOKUP($F582,Productos!$A:$A,Productos!AB:AB,"Revisar"),"")</f>
        <v/>
      </c>
      <c r="AJ582" s="179" t="str">
        <f t="array" ref="AJ582">IF($F582&lt;&gt;"", XLOOKUP($F582,Productos!$A$2:$A1001,Productos!AC$2:AC1001,"")*$G582,"")</f>
        <v/>
      </c>
      <c r="AK582" s="179" t="str">
        <f t="array" ref="AK582">IF($F582&lt;&gt;"",XLOOKUP($F582,Productos!$A:$A,Productos!AD:AD,"Revisar"),"")</f>
        <v/>
      </c>
      <c r="AL582" s="179" t="str">
        <f t="array" ref="AL582">IF($F582&lt;&gt;"", XLOOKUP($F582,Productos!$A$2:$A1001,Productos!AE$2:AE1001,"")*$G582,"")</f>
        <v/>
      </c>
      <c r="AM582" s="179" t="str">
        <f t="array" ref="AM582">IF($F582&lt;&gt;"",XLOOKUP($F582,Productos!$A:$A,Productos!AF:AF,"Revisar"),"")</f>
        <v/>
      </c>
      <c r="AN582" s="179" t="str">
        <f t="array" ref="AN582">IF($F582&lt;&gt;"", XLOOKUP($F582,Productos!$A$2:$A1001,Productos!AG$2:AG1001,"")*$G582,"")</f>
        <v/>
      </c>
      <c r="AO582" s="179" t="str">
        <f t="array" ref="AO582">IF($F582&lt;&gt;"",XLOOKUP($F582,Productos!$A:$A,Productos!AH:AH,"Revisar"),"")</f>
        <v/>
      </c>
      <c r="AP582" s="179" t="str">
        <f t="array" ref="AP582">IF($F582&lt;&gt;"", XLOOKUP($F582,Productos!$A$2:$A1001,Productos!AI$2:AI1001,"")*$G582,"")</f>
        <v/>
      </c>
      <c r="AQ582" s="179" t="str">
        <f t="array" ref="AQ582">IF($F582&lt;&gt;"",XLOOKUP($F582,Productos!$A:$A,Productos!AJ:AJ,"Revisar"),"")</f>
        <v/>
      </c>
      <c r="AR582" s="179" t="str">
        <f t="array" ref="AR582">IF($F582&lt;&gt;"", XLOOKUP($F582,Productos!$A$2:$A1001,Productos!AK$2:AK1001,"")*$G582,"")</f>
        <v/>
      </c>
      <c r="AS582" s="179" t="str">
        <f t="array" ref="AS582">IF($F582&lt;&gt;"",XLOOKUP($F582,Productos!$A:$A,Productos!AL:AL,"Revisar"),"")</f>
        <v/>
      </c>
      <c r="AT582" s="179" t="str">
        <f t="array" ref="AT582">IF($F582&lt;&gt;"", XLOOKUP($F582,Productos!$A$2:$A1001,Productos!AM$2:AM1001,"")*$G582,"")</f>
        <v/>
      </c>
      <c r="AU582" s="179" t="str">
        <f t="array" ref="AU582">IF($F582&lt;&gt;"",XLOOKUP($F582,Productos!$A:$A,Productos!AN:AN,"Revisar"),"")</f>
        <v/>
      </c>
      <c r="AV582" s="179" t="str">
        <f t="array" ref="AV582">IF($F582&lt;&gt;"", XLOOKUP($F582,Productos!$A$2:$A1001,Productos!AO$2:AO1001,"")*$G582,"")</f>
        <v/>
      </c>
      <c r="AW582" s="179" t="str">
        <f t="array" ref="AW582">IF($F582&lt;&gt;"",XLOOKUP($F582,Productos!$A:$A,Productos!AP:AP,"Revisar"),"")</f>
        <v/>
      </c>
      <c r="AX582" s="179" t="str">
        <f t="array" ref="AX582">IF($F582&lt;&gt;"", XLOOKUP($F582,Productos!$A$2:$A1001,Productos!AQ$2:AQ1001,"")*$G582,"")</f>
        <v/>
      </c>
      <c r="AY582" s="179" t="str">
        <f t="array" ref="AY582">IF($F582&lt;&gt;"",XLOOKUP($F582,Productos!$A:$A,Productos!AR:AR,"Revisar"),"")</f>
        <v/>
      </c>
      <c r="AZ582" s="179" t="str">
        <f t="array" ref="AZ582">IF($F582&lt;&gt;"", XLOOKUP($F582,Productos!$A$2:$A1001,Productos!AS$2:AS1001,"")*$G582,"")</f>
        <v/>
      </c>
      <c r="BA582" s="179" t="str">
        <f t="array" ref="BA582">IF($F582&lt;&gt;"",XLOOKUP($F582,Productos!$A:$A,Productos!AT:AT,"Revisar"),"")</f>
        <v/>
      </c>
      <c r="BB582" s="179" t="str">
        <f t="array" ref="BB582">IF($F582&lt;&gt;"", XLOOKUP($F582,Productos!$A$2:$A1001,Productos!AU$2:AU1001,"")*$G582,"")</f>
        <v/>
      </c>
      <c r="BC582" s="179" t="str">
        <f t="array" ref="BC582">IF($F582&lt;&gt;"",XLOOKUP($F582,Productos!$A:$A,Productos!AV:AV,"Revisar"),"")</f>
        <v/>
      </c>
      <c r="BD582" s="179" t="str">
        <f t="array" ref="BD582">IF($F582&lt;&gt;"", XLOOKUP($F582,Productos!$A$2:$A1001,Productos!AW$2:AW1001,"")*$G582,"")</f>
        <v/>
      </c>
      <c r="BE582" s="179" t="str">
        <f t="array" ref="BE582">IF($F582&lt;&gt;"",XLOOKUP($F582,Productos!$A:$A,Productos!AX:AX,"Revisar"),"")</f>
        <v/>
      </c>
      <c r="BF582" s="179" t="str">
        <f t="array" ref="BF582">IF($F582&lt;&gt;"", XLOOKUP($F582,Productos!$A$2:$A1001,Productos!AY$2:AY1001,"")*$G582,"")</f>
        <v/>
      </c>
      <c r="BG582" s="179" t="str">
        <f t="array" ref="BG582">IF($F582&lt;&gt;"",XLOOKUP($F582,Productos!$A:$A,Productos!AZ:AZ,"Revisar"),"")</f>
        <v/>
      </c>
      <c r="BH582" s="179" t="str">
        <f t="array" ref="BH582">IF($F582&lt;&gt;"", XLOOKUP($F582,Productos!$A$2:$A1001,Productos!BA$2:BA1001,"")*$G582,"")</f>
        <v/>
      </c>
      <c r="BI582" s="179" t="str">
        <f t="array" ref="BI582">IF($F582&lt;&gt;"",XLOOKUP($F582,Productos!$A:$A,Productos!BB:BB,"Revisar"),"")</f>
        <v/>
      </c>
      <c r="BJ582" s="179" t="str">
        <f t="array" ref="BJ582">IF($F582&lt;&gt;"", XLOOKUP($F582,Productos!$A$2:$A1001,Productos!BC$2:BC1001,"")*$G582,"")</f>
        <v/>
      </c>
      <c r="BK582" s="179" t="str">
        <f t="array" ref="BK582">IF($F582&lt;&gt;"",XLOOKUP($F582,Productos!$A:$A,Productos!BD:BD,"Revisar"),"")</f>
        <v/>
      </c>
      <c r="BL582" s="179" t="str">
        <f t="array" ref="BL582">IF($F582&lt;&gt;"", XLOOKUP($F582,Productos!$A$2:$A1001,Productos!BE$2:BE1001,"")*$G582,"")</f>
        <v/>
      </c>
      <c r="BM582" s="179" t="str">
        <f t="array" ref="BM582">IF($F582&lt;&gt;"",XLOOKUP($F582,Productos!$A:$A,Productos!BF:BF,"Revisar"),"")</f>
        <v/>
      </c>
      <c r="BN582" s="179" t="str">
        <f t="array" ref="BN582">IF($F582&lt;&gt;"", XLOOKUP($F582,Productos!$A$2:$A1001,Productos!BG$2:BG1001,"")*$G582,"")</f>
        <v/>
      </c>
      <c r="BO582" s="179" t="str">
        <f t="array" ref="BO582">IF($F582&lt;&gt;"",XLOOKUP($F582,Productos!$A:$A,Productos!BH:BH,"Revisar"),"")</f>
        <v/>
      </c>
      <c r="BP582" s="179" t="str">
        <f t="array" ref="BP582">IF($F582&lt;&gt;"", XLOOKUP($F582,Productos!$A$2:$A1001,Productos!BI$2:BI1001,"")*$G582,"")</f>
        <v/>
      </c>
      <c r="BQ582" s="179" t="str">
        <f t="array" ref="BQ582">IF($F582&lt;&gt;"",XLOOKUP($F582,Productos!$A:$A,Productos!BJ:BJ,"Revisar"),"")</f>
        <v/>
      </c>
      <c r="BR582" s="179" t="str">
        <f t="array" ref="BR582">IF($F582&lt;&gt;"", XLOOKUP($F582,Productos!$A$2:$A1001,Productos!BK$2:BK1001,"")*$G582,"")</f>
        <v/>
      </c>
      <c r="BS582" s="179" t="str">
        <f t="array" ref="BS582">IF($F582&lt;&gt;"",XLOOKUP($F582,Productos!$A:$A,Productos!BL:BL,"Revisar"),"")</f>
        <v/>
      </c>
      <c r="BT582" s="179" t="str">
        <f t="array" ref="BT582">IF($F582&lt;&gt;"", XLOOKUP($F582,Productos!$A$2:$A1001,Productos!BM$2:BM1001,"")*$G582,"")</f>
        <v/>
      </c>
      <c r="BU582" s="179" t="str">
        <f t="array" ref="BU582">IF($F582&lt;&gt;"",XLOOKUP($F582,Productos!$A:$A,Productos!BN:BN,"Revisar"),"")</f>
        <v/>
      </c>
      <c r="BV582" s="179" t="str">
        <f t="array" ref="BV582">IF($F582&lt;&gt;"", XLOOKUP($F582,Productos!$A$2:$A1001,Productos!BO$2:BO1001,"")*$G582,"")</f>
        <v/>
      </c>
      <c r="BW582" s="179" t="str">
        <f t="array" ref="BW582">IF($F582&lt;&gt;"",XLOOKUP($F582,Productos!$A:$A,Productos!BP:BP,"Revisar"),"")</f>
        <v/>
      </c>
      <c r="BX582" s="179" t="str">
        <f t="array" ref="BX582">IF($F582&lt;&gt;"", XLOOKUP($F582,Productos!$A$2:$A1001,Productos!BQ$2:BQ1001,"")*$G582,"")</f>
        <v/>
      </c>
      <c r="BY582" s="179" t="str">
        <f t="array" ref="BY582">IF($F582&lt;&gt;"",XLOOKUP($F582,Productos!$A:$A,Productos!BR:BR,"Revisar"),"")</f>
        <v/>
      </c>
      <c r="BZ582" s="179" t="str">
        <f t="array" ref="BZ582">IF($F582&lt;&gt;"", XLOOKUP($F582,Productos!$A$2:$A1001,Productos!BS$2:BS1001,"")*$G582,"")</f>
        <v/>
      </c>
    </row>
    <row r="583">
      <c r="A583" s="188"/>
      <c r="B583" s="189"/>
      <c r="C583" s="190"/>
      <c r="D583" s="190"/>
      <c r="E583" s="191"/>
      <c r="F583" s="186"/>
      <c r="G583" s="192"/>
      <c r="H583" s="9"/>
      <c r="I583" s="179" t="str">
        <f t="array" ref="I583">IF($F583&lt;&gt;"",XLOOKUP($F583,Productos!$A:$A,Productos!B:B,"Revisar"),"")</f>
        <v/>
      </c>
      <c r="J583" s="179" t="str">
        <f t="array" ref="J583">IF($F583&lt;&gt;"", XLOOKUP($F583,Productos!$A$2:$A1001,Productos!C$2:C1001,"")*$G583,"")</f>
        <v/>
      </c>
      <c r="K583" s="179" t="str">
        <f t="array" ref="K583">IF($F583&lt;&gt;"",XLOOKUP($F583,Productos!$A:$A,Productos!D:D,"Revisar"),"")</f>
        <v/>
      </c>
      <c r="L583" s="179" t="str">
        <f t="array" ref="L583">IF($F583&lt;&gt;"", XLOOKUP($F583,Productos!$A$2:$A1001,Productos!E$2:E1001,"")*$G583,"")</f>
        <v/>
      </c>
      <c r="M583" s="179" t="str">
        <f t="array" ref="M583">IF($F583&lt;&gt;"",XLOOKUP($F583,Productos!$A:$A,Productos!F:F,"Revisar"),"")</f>
        <v/>
      </c>
      <c r="N583" s="179" t="str">
        <f t="array" ref="N583">IF($F583&lt;&gt;"", XLOOKUP($F583,Productos!$A$2:$A1001,Productos!G$2:G1001,"")*$G583,"")</f>
        <v/>
      </c>
      <c r="O583" s="179" t="str">
        <f t="array" ref="O583">IF($F583&lt;&gt;"",XLOOKUP($F583,Productos!$A:$A,Productos!H:H,"Revisar"),"")</f>
        <v/>
      </c>
      <c r="P583" s="179" t="str">
        <f t="array" ref="P583">IF($F583&lt;&gt;"", XLOOKUP($F583,Productos!$A$2:$A1001,Productos!I$2:I1001,"")*$G583,"")</f>
        <v/>
      </c>
      <c r="Q583" s="179" t="str">
        <f t="array" ref="Q583">IF($F583&lt;&gt;"",XLOOKUP($F583,Productos!$A:$A,Productos!J:J,"Revisar"),"")</f>
        <v/>
      </c>
      <c r="R583" s="179" t="str">
        <f t="array" ref="R583">IF($F583&lt;&gt;"", XLOOKUP($F583,Productos!$A$2:$A1001,Productos!K$2:K1001,"")*$G583,"")</f>
        <v/>
      </c>
      <c r="S583" s="179" t="str">
        <f t="array" ref="S583">IF($F583&lt;&gt;"",XLOOKUP($F583,Productos!$A:$A,Productos!L:L,"Revisar"),"")</f>
        <v/>
      </c>
      <c r="T583" s="179" t="str">
        <f t="array" ref="T583">IF($F583&lt;&gt;"", XLOOKUP($F583,Productos!$A$2:$A1001,Productos!M$2:M1001,"")*$G583,"")</f>
        <v/>
      </c>
      <c r="U583" s="179" t="str">
        <f t="array" ref="U583">IF($F583&lt;&gt;"",XLOOKUP($F583,Productos!$A:$A,Productos!N:N,"Revisar"),"")</f>
        <v/>
      </c>
      <c r="V583" s="179" t="str">
        <f t="array" ref="V583">IF($F583&lt;&gt;"", XLOOKUP($F583,Productos!$A$2:$A1001,Productos!O$2:O1001,"")*$G583,"")</f>
        <v/>
      </c>
      <c r="W583" s="179" t="str">
        <f t="array" ref="W583">IF($F583&lt;&gt;"",XLOOKUP($F583,Productos!$A:$A,Productos!P:P,"Revisar"),"")</f>
        <v/>
      </c>
      <c r="X583" s="179" t="str">
        <f t="array" ref="X583">IF($F583&lt;&gt;"", XLOOKUP($F583,Productos!$A$2:$A1001,Productos!Q$2:Q1001,"")*$G583,"")</f>
        <v/>
      </c>
      <c r="Y583" s="179" t="str">
        <f t="array" ref="Y583">IF($F583&lt;&gt;"",XLOOKUP($F583,Productos!$A:$A,Productos!R:R,"Revisar"),"")</f>
        <v/>
      </c>
      <c r="Z583" s="179" t="str">
        <f t="array" ref="Z583">IF($F583&lt;&gt;"", XLOOKUP($F583,Productos!$A$2:$A1001,Productos!S$2:S1001,"")*$G583,"")</f>
        <v/>
      </c>
      <c r="AA583" s="179" t="str">
        <f t="array" ref="AA583">IF($F583&lt;&gt;"",XLOOKUP($F583,Productos!$A:$A,Productos!T:T,"Revisar"),"")</f>
        <v/>
      </c>
      <c r="AB583" s="179" t="str">
        <f t="array" ref="AB583">IF($F583&lt;&gt;"", XLOOKUP($F583,Productos!$A$2:$A1001,Productos!U$2:U1001,"")*$G583,"")</f>
        <v/>
      </c>
      <c r="AC583" s="179" t="str">
        <f t="array" ref="AC583">IF($F583&lt;&gt;"",XLOOKUP($F583,Productos!$A:$A,Productos!V:V,"Revisar"),"")</f>
        <v/>
      </c>
      <c r="AD583" s="179" t="str">
        <f t="array" ref="AD583">IF($F583&lt;&gt;"", XLOOKUP($F583,Productos!$A$2:$A1001,Productos!W$2:W1001,"")*$G583,"")</f>
        <v/>
      </c>
      <c r="AE583" s="179" t="str">
        <f t="array" ref="AE583">IF($F583&lt;&gt;"",XLOOKUP($F583,Productos!$A:$A,Productos!X:X,"Revisar"),"")</f>
        <v/>
      </c>
      <c r="AF583" s="179" t="str">
        <f t="array" ref="AF583">IF($F583&lt;&gt;"", XLOOKUP($F583,Productos!$A$2:$A1001,Productos!Y$2:Y1001,"")*$G583,"")</f>
        <v/>
      </c>
      <c r="AG583" s="179" t="str">
        <f t="array" ref="AG583">IF($F583&lt;&gt;"",XLOOKUP($F583,Productos!$A:$A,Productos!Z:Z,"Revisar"),"")</f>
        <v/>
      </c>
      <c r="AH583" s="179" t="str">
        <f t="array" ref="AH583">IF($F583&lt;&gt;"", XLOOKUP($F583,Productos!$A$2:$A1001,Productos!AA$2:AA1001,"")*$G583,"")</f>
        <v/>
      </c>
      <c r="AI583" s="179" t="str">
        <f t="array" ref="AI583">IF($F583&lt;&gt;"",XLOOKUP($F583,Productos!$A:$A,Productos!AB:AB,"Revisar"),"")</f>
        <v/>
      </c>
      <c r="AJ583" s="179" t="str">
        <f t="array" ref="AJ583">IF($F583&lt;&gt;"", XLOOKUP($F583,Productos!$A$2:$A1001,Productos!AC$2:AC1001,"")*$G583,"")</f>
        <v/>
      </c>
      <c r="AK583" s="179" t="str">
        <f t="array" ref="AK583">IF($F583&lt;&gt;"",XLOOKUP($F583,Productos!$A:$A,Productos!AD:AD,"Revisar"),"")</f>
        <v/>
      </c>
      <c r="AL583" s="179" t="str">
        <f t="array" ref="AL583">IF($F583&lt;&gt;"", XLOOKUP($F583,Productos!$A$2:$A1001,Productos!AE$2:AE1001,"")*$G583,"")</f>
        <v/>
      </c>
      <c r="AM583" s="179" t="str">
        <f t="array" ref="AM583">IF($F583&lt;&gt;"",XLOOKUP($F583,Productos!$A:$A,Productos!AF:AF,"Revisar"),"")</f>
        <v/>
      </c>
      <c r="AN583" s="179" t="str">
        <f t="array" ref="AN583">IF($F583&lt;&gt;"", XLOOKUP($F583,Productos!$A$2:$A1001,Productos!AG$2:AG1001,"")*$G583,"")</f>
        <v/>
      </c>
      <c r="AO583" s="179" t="str">
        <f t="array" ref="AO583">IF($F583&lt;&gt;"",XLOOKUP($F583,Productos!$A:$A,Productos!AH:AH,"Revisar"),"")</f>
        <v/>
      </c>
      <c r="AP583" s="179" t="str">
        <f t="array" ref="AP583">IF($F583&lt;&gt;"", XLOOKUP($F583,Productos!$A$2:$A1001,Productos!AI$2:AI1001,"")*$G583,"")</f>
        <v/>
      </c>
      <c r="AQ583" s="179" t="str">
        <f t="array" ref="AQ583">IF($F583&lt;&gt;"",XLOOKUP($F583,Productos!$A:$A,Productos!AJ:AJ,"Revisar"),"")</f>
        <v/>
      </c>
      <c r="AR583" s="179" t="str">
        <f t="array" ref="AR583">IF($F583&lt;&gt;"", XLOOKUP($F583,Productos!$A$2:$A1001,Productos!AK$2:AK1001,"")*$G583,"")</f>
        <v/>
      </c>
      <c r="AS583" s="179" t="str">
        <f t="array" ref="AS583">IF($F583&lt;&gt;"",XLOOKUP($F583,Productos!$A:$A,Productos!AL:AL,"Revisar"),"")</f>
        <v/>
      </c>
      <c r="AT583" s="179" t="str">
        <f t="array" ref="AT583">IF($F583&lt;&gt;"", XLOOKUP($F583,Productos!$A$2:$A1001,Productos!AM$2:AM1001,"")*$G583,"")</f>
        <v/>
      </c>
      <c r="AU583" s="179" t="str">
        <f t="array" ref="AU583">IF($F583&lt;&gt;"",XLOOKUP($F583,Productos!$A:$A,Productos!AN:AN,"Revisar"),"")</f>
        <v/>
      </c>
      <c r="AV583" s="179" t="str">
        <f t="array" ref="AV583">IF($F583&lt;&gt;"", XLOOKUP($F583,Productos!$A$2:$A1001,Productos!AO$2:AO1001,"")*$G583,"")</f>
        <v/>
      </c>
      <c r="AW583" s="179" t="str">
        <f t="array" ref="AW583">IF($F583&lt;&gt;"",XLOOKUP($F583,Productos!$A:$A,Productos!AP:AP,"Revisar"),"")</f>
        <v/>
      </c>
      <c r="AX583" s="179" t="str">
        <f t="array" ref="AX583">IF($F583&lt;&gt;"", XLOOKUP($F583,Productos!$A$2:$A1001,Productos!AQ$2:AQ1001,"")*$G583,"")</f>
        <v/>
      </c>
      <c r="AY583" s="179" t="str">
        <f t="array" ref="AY583">IF($F583&lt;&gt;"",XLOOKUP($F583,Productos!$A:$A,Productos!AR:AR,"Revisar"),"")</f>
        <v/>
      </c>
      <c r="AZ583" s="179" t="str">
        <f t="array" ref="AZ583">IF($F583&lt;&gt;"", XLOOKUP($F583,Productos!$A$2:$A1001,Productos!AS$2:AS1001,"")*$G583,"")</f>
        <v/>
      </c>
      <c r="BA583" s="179" t="str">
        <f t="array" ref="BA583">IF($F583&lt;&gt;"",XLOOKUP($F583,Productos!$A:$A,Productos!AT:AT,"Revisar"),"")</f>
        <v/>
      </c>
      <c r="BB583" s="179" t="str">
        <f t="array" ref="BB583">IF($F583&lt;&gt;"", XLOOKUP($F583,Productos!$A$2:$A1001,Productos!AU$2:AU1001,"")*$G583,"")</f>
        <v/>
      </c>
      <c r="BC583" s="179" t="str">
        <f t="array" ref="BC583">IF($F583&lt;&gt;"",XLOOKUP($F583,Productos!$A:$A,Productos!AV:AV,"Revisar"),"")</f>
        <v/>
      </c>
      <c r="BD583" s="179" t="str">
        <f t="array" ref="BD583">IF($F583&lt;&gt;"", XLOOKUP($F583,Productos!$A$2:$A1001,Productos!AW$2:AW1001,"")*$G583,"")</f>
        <v/>
      </c>
      <c r="BE583" s="179" t="str">
        <f t="array" ref="BE583">IF($F583&lt;&gt;"",XLOOKUP($F583,Productos!$A:$A,Productos!AX:AX,"Revisar"),"")</f>
        <v/>
      </c>
      <c r="BF583" s="179" t="str">
        <f t="array" ref="BF583">IF($F583&lt;&gt;"", XLOOKUP($F583,Productos!$A$2:$A1001,Productos!AY$2:AY1001,"")*$G583,"")</f>
        <v/>
      </c>
      <c r="BG583" s="179" t="str">
        <f t="array" ref="BG583">IF($F583&lt;&gt;"",XLOOKUP($F583,Productos!$A:$A,Productos!AZ:AZ,"Revisar"),"")</f>
        <v/>
      </c>
      <c r="BH583" s="179" t="str">
        <f t="array" ref="BH583">IF($F583&lt;&gt;"", XLOOKUP($F583,Productos!$A$2:$A1001,Productos!BA$2:BA1001,"")*$G583,"")</f>
        <v/>
      </c>
      <c r="BI583" s="179" t="str">
        <f t="array" ref="BI583">IF($F583&lt;&gt;"",XLOOKUP($F583,Productos!$A:$A,Productos!BB:BB,"Revisar"),"")</f>
        <v/>
      </c>
      <c r="BJ583" s="179" t="str">
        <f t="array" ref="BJ583">IF($F583&lt;&gt;"", XLOOKUP($F583,Productos!$A$2:$A1001,Productos!BC$2:BC1001,"")*$G583,"")</f>
        <v/>
      </c>
      <c r="BK583" s="179" t="str">
        <f t="array" ref="BK583">IF($F583&lt;&gt;"",XLOOKUP($F583,Productos!$A:$A,Productos!BD:BD,"Revisar"),"")</f>
        <v/>
      </c>
      <c r="BL583" s="179" t="str">
        <f t="array" ref="BL583">IF($F583&lt;&gt;"", XLOOKUP($F583,Productos!$A$2:$A1001,Productos!BE$2:BE1001,"")*$G583,"")</f>
        <v/>
      </c>
      <c r="BM583" s="179" t="str">
        <f t="array" ref="BM583">IF($F583&lt;&gt;"",XLOOKUP($F583,Productos!$A:$A,Productos!BF:BF,"Revisar"),"")</f>
        <v/>
      </c>
      <c r="BN583" s="179" t="str">
        <f t="array" ref="BN583">IF($F583&lt;&gt;"", XLOOKUP($F583,Productos!$A$2:$A1001,Productos!BG$2:BG1001,"")*$G583,"")</f>
        <v/>
      </c>
      <c r="BO583" s="179" t="str">
        <f t="array" ref="BO583">IF($F583&lt;&gt;"",XLOOKUP($F583,Productos!$A:$A,Productos!BH:BH,"Revisar"),"")</f>
        <v/>
      </c>
      <c r="BP583" s="179" t="str">
        <f t="array" ref="BP583">IF($F583&lt;&gt;"", XLOOKUP($F583,Productos!$A$2:$A1001,Productos!BI$2:BI1001,"")*$G583,"")</f>
        <v/>
      </c>
      <c r="BQ583" s="179" t="str">
        <f t="array" ref="BQ583">IF($F583&lt;&gt;"",XLOOKUP($F583,Productos!$A:$A,Productos!BJ:BJ,"Revisar"),"")</f>
        <v/>
      </c>
      <c r="BR583" s="179" t="str">
        <f t="array" ref="BR583">IF($F583&lt;&gt;"", XLOOKUP($F583,Productos!$A$2:$A1001,Productos!BK$2:BK1001,"")*$G583,"")</f>
        <v/>
      </c>
      <c r="BS583" s="179" t="str">
        <f t="array" ref="BS583">IF($F583&lt;&gt;"",XLOOKUP($F583,Productos!$A:$A,Productos!BL:BL,"Revisar"),"")</f>
        <v/>
      </c>
      <c r="BT583" s="179" t="str">
        <f t="array" ref="BT583">IF($F583&lt;&gt;"", XLOOKUP($F583,Productos!$A$2:$A1001,Productos!BM$2:BM1001,"")*$G583,"")</f>
        <v/>
      </c>
      <c r="BU583" s="179" t="str">
        <f t="array" ref="BU583">IF($F583&lt;&gt;"",XLOOKUP($F583,Productos!$A:$A,Productos!BN:BN,"Revisar"),"")</f>
        <v/>
      </c>
      <c r="BV583" s="179" t="str">
        <f t="array" ref="BV583">IF($F583&lt;&gt;"", XLOOKUP($F583,Productos!$A$2:$A1001,Productos!BO$2:BO1001,"")*$G583,"")</f>
        <v/>
      </c>
      <c r="BW583" s="179" t="str">
        <f t="array" ref="BW583">IF($F583&lt;&gt;"",XLOOKUP($F583,Productos!$A:$A,Productos!BP:BP,"Revisar"),"")</f>
        <v/>
      </c>
      <c r="BX583" s="179" t="str">
        <f t="array" ref="BX583">IF($F583&lt;&gt;"", XLOOKUP($F583,Productos!$A$2:$A1001,Productos!BQ$2:BQ1001,"")*$G583,"")</f>
        <v/>
      </c>
      <c r="BY583" s="179" t="str">
        <f t="array" ref="BY583">IF($F583&lt;&gt;"",XLOOKUP($F583,Productos!$A:$A,Productos!BR:BR,"Revisar"),"")</f>
        <v/>
      </c>
      <c r="BZ583" s="179" t="str">
        <f t="array" ref="BZ583">IF($F583&lt;&gt;"", XLOOKUP($F583,Productos!$A$2:$A1001,Productos!BS$2:BS1001,"")*$G583,"")</f>
        <v/>
      </c>
    </row>
    <row r="584">
      <c r="A584" s="188"/>
      <c r="B584" s="189"/>
      <c r="C584" s="190"/>
      <c r="D584" s="190"/>
      <c r="E584" s="191"/>
      <c r="F584" s="186"/>
      <c r="G584" s="192"/>
      <c r="H584" s="9"/>
      <c r="I584" s="179" t="str">
        <f t="array" ref="I584">IF($F584&lt;&gt;"",XLOOKUP($F584,Productos!$A:$A,Productos!B:B,"Revisar"),"")</f>
        <v/>
      </c>
      <c r="J584" s="179" t="str">
        <f t="array" ref="J584">IF($F584&lt;&gt;"", XLOOKUP($F584,Productos!$A$2:$A1001,Productos!C$2:C1001,"")*$G584,"")</f>
        <v/>
      </c>
      <c r="K584" s="179" t="str">
        <f t="array" ref="K584">IF($F584&lt;&gt;"",XLOOKUP($F584,Productos!$A:$A,Productos!D:D,"Revisar"),"")</f>
        <v/>
      </c>
      <c r="L584" s="179" t="str">
        <f t="array" ref="L584">IF($F584&lt;&gt;"", XLOOKUP($F584,Productos!$A$2:$A1001,Productos!E$2:E1001,"")*$G584,"")</f>
        <v/>
      </c>
      <c r="M584" s="179" t="str">
        <f t="array" ref="M584">IF($F584&lt;&gt;"",XLOOKUP($F584,Productos!$A:$A,Productos!F:F,"Revisar"),"")</f>
        <v/>
      </c>
      <c r="N584" s="179" t="str">
        <f t="array" ref="N584">IF($F584&lt;&gt;"", XLOOKUP($F584,Productos!$A$2:$A1001,Productos!G$2:G1001,"")*$G584,"")</f>
        <v/>
      </c>
      <c r="O584" s="179" t="str">
        <f t="array" ref="O584">IF($F584&lt;&gt;"",XLOOKUP($F584,Productos!$A:$A,Productos!H:H,"Revisar"),"")</f>
        <v/>
      </c>
      <c r="P584" s="179" t="str">
        <f t="array" ref="P584">IF($F584&lt;&gt;"", XLOOKUP($F584,Productos!$A$2:$A1001,Productos!I$2:I1001,"")*$G584,"")</f>
        <v/>
      </c>
      <c r="Q584" s="179" t="str">
        <f t="array" ref="Q584">IF($F584&lt;&gt;"",XLOOKUP($F584,Productos!$A:$A,Productos!J:J,"Revisar"),"")</f>
        <v/>
      </c>
      <c r="R584" s="179" t="str">
        <f t="array" ref="R584">IF($F584&lt;&gt;"", XLOOKUP($F584,Productos!$A$2:$A1001,Productos!K$2:K1001,"")*$G584,"")</f>
        <v/>
      </c>
      <c r="S584" s="179" t="str">
        <f t="array" ref="S584">IF($F584&lt;&gt;"",XLOOKUP($F584,Productos!$A:$A,Productos!L:L,"Revisar"),"")</f>
        <v/>
      </c>
      <c r="T584" s="179" t="str">
        <f t="array" ref="T584">IF($F584&lt;&gt;"", XLOOKUP($F584,Productos!$A$2:$A1001,Productos!M$2:M1001,"")*$G584,"")</f>
        <v/>
      </c>
      <c r="U584" s="179" t="str">
        <f t="array" ref="U584">IF($F584&lt;&gt;"",XLOOKUP($F584,Productos!$A:$A,Productos!N:N,"Revisar"),"")</f>
        <v/>
      </c>
      <c r="V584" s="179" t="str">
        <f t="array" ref="V584">IF($F584&lt;&gt;"", XLOOKUP($F584,Productos!$A$2:$A1001,Productos!O$2:O1001,"")*$G584,"")</f>
        <v/>
      </c>
      <c r="W584" s="179" t="str">
        <f t="array" ref="W584">IF($F584&lt;&gt;"",XLOOKUP($F584,Productos!$A:$A,Productos!P:P,"Revisar"),"")</f>
        <v/>
      </c>
      <c r="X584" s="179" t="str">
        <f t="array" ref="X584">IF($F584&lt;&gt;"", XLOOKUP($F584,Productos!$A$2:$A1001,Productos!Q$2:Q1001,"")*$G584,"")</f>
        <v/>
      </c>
      <c r="Y584" s="179" t="str">
        <f t="array" ref="Y584">IF($F584&lt;&gt;"",XLOOKUP($F584,Productos!$A:$A,Productos!R:R,"Revisar"),"")</f>
        <v/>
      </c>
      <c r="Z584" s="179" t="str">
        <f t="array" ref="Z584">IF($F584&lt;&gt;"", XLOOKUP($F584,Productos!$A$2:$A1001,Productos!S$2:S1001,"")*$G584,"")</f>
        <v/>
      </c>
      <c r="AA584" s="179" t="str">
        <f t="array" ref="AA584">IF($F584&lt;&gt;"",XLOOKUP($F584,Productos!$A:$A,Productos!T:T,"Revisar"),"")</f>
        <v/>
      </c>
      <c r="AB584" s="179" t="str">
        <f t="array" ref="AB584">IF($F584&lt;&gt;"", XLOOKUP($F584,Productos!$A$2:$A1001,Productos!U$2:U1001,"")*$G584,"")</f>
        <v/>
      </c>
      <c r="AC584" s="179" t="str">
        <f t="array" ref="AC584">IF($F584&lt;&gt;"",XLOOKUP($F584,Productos!$A:$A,Productos!V:V,"Revisar"),"")</f>
        <v/>
      </c>
      <c r="AD584" s="179" t="str">
        <f t="array" ref="AD584">IF($F584&lt;&gt;"", XLOOKUP($F584,Productos!$A$2:$A1001,Productos!W$2:W1001,"")*$G584,"")</f>
        <v/>
      </c>
      <c r="AE584" s="179" t="str">
        <f t="array" ref="AE584">IF($F584&lt;&gt;"",XLOOKUP($F584,Productos!$A:$A,Productos!X:X,"Revisar"),"")</f>
        <v/>
      </c>
      <c r="AF584" s="179" t="str">
        <f t="array" ref="AF584">IF($F584&lt;&gt;"", XLOOKUP($F584,Productos!$A$2:$A1001,Productos!Y$2:Y1001,"")*$G584,"")</f>
        <v/>
      </c>
      <c r="AG584" s="179" t="str">
        <f t="array" ref="AG584">IF($F584&lt;&gt;"",XLOOKUP($F584,Productos!$A:$A,Productos!Z:Z,"Revisar"),"")</f>
        <v/>
      </c>
      <c r="AH584" s="179" t="str">
        <f t="array" ref="AH584">IF($F584&lt;&gt;"", XLOOKUP($F584,Productos!$A$2:$A1001,Productos!AA$2:AA1001,"")*$G584,"")</f>
        <v/>
      </c>
      <c r="AI584" s="179" t="str">
        <f t="array" ref="AI584">IF($F584&lt;&gt;"",XLOOKUP($F584,Productos!$A:$A,Productos!AB:AB,"Revisar"),"")</f>
        <v/>
      </c>
      <c r="AJ584" s="179" t="str">
        <f t="array" ref="AJ584">IF($F584&lt;&gt;"", XLOOKUP($F584,Productos!$A$2:$A1001,Productos!AC$2:AC1001,"")*$G584,"")</f>
        <v/>
      </c>
      <c r="AK584" s="179" t="str">
        <f t="array" ref="AK584">IF($F584&lt;&gt;"",XLOOKUP($F584,Productos!$A:$A,Productos!AD:AD,"Revisar"),"")</f>
        <v/>
      </c>
      <c r="AL584" s="179" t="str">
        <f t="array" ref="AL584">IF($F584&lt;&gt;"", XLOOKUP($F584,Productos!$A$2:$A1001,Productos!AE$2:AE1001,"")*$G584,"")</f>
        <v/>
      </c>
      <c r="AM584" s="179" t="str">
        <f t="array" ref="AM584">IF($F584&lt;&gt;"",XLOOKUP($F584,Productos!$A:$A,Productos!AF:AF,"Revisar"),"")</f>
        <v/>
      </c>
      <c r="AN584" s="179" t="str">
        <f t="array" ref="AN584">IF($F584&lt;&gt;"", XLOOKUP($F584,Productos!$A$2:$A1001,Productos!AG$2:AG1001,"")*$G584,"")</f>
        <v/>
      </c>
      <c r="AO584" s="179" t="str">
        <f t="array" ref="AO584">IF($F584&lt;&gt;"",XLOOKUP($F584,Productos!$A:$A,Productos!AH:AH,"Revisar"),"")</f>
        <v/>
      </c>
      <c r="AP584" s="179" t="str">
        <f t="array" ref="AP584">IF($F584&lt;&gt;"", XLOOKUP($F584,Productos!$A$2:$A1001,Productos!AI$2:AI1001,"")*$G584,"")</f>
        <v/>
      </c>
      <c r="AQ584" s="179" t="str">
        <f t="array" ref="AQ584">IF($F584&lt;&gt;"",XLOOKUP($F584,Productos!$A:$A,Productos!AJ:AJ,"Revisar"),"")</f>
        <v/>
      </c>
      <c r="AR584" s="179" t="str">
        <f t="array" ref="AR584">IF($F584&lt;&gt;"", XLOOKUP($F584,Productos!$A$2:$A1001,Productos!AK$2:AK1001,"")*$G584,"")</f>
        <v/>
      </c>
      <c r="AS584" s="179" t="str">
        <f t="array" ref="AS584">IF($F584&lt;&gt;"",XLOOKUP($F584,Productos!$A:$A,Productos!AL:AL,"Revisar"),"")</f>
        <v/>
      </c>
      <c r="AT584" s="179" t="str">
        <f t="array" ref="AT584">IF($F584&lt;&gt;"", XLOOKUP($F584,Productos!$A$2:$A1001,Productos!AM$2:AM1001,"")*$G584,"")</f>
        <v/>
      </c>
      <c r="AU584" s="179" t="str">
        <f t="array" ref="AU584">IF($F584&lt;&gt;"",XLOOKUP($F584,Productos!$A:$A,Productos!AN:AN,"Revisar"),"")</f>
        <v/>
      </c>
      <c r="AV584" s="179" t="str">
        <f t="array" ref="AV584">IF($F584&lt;&gt;"", XLOOKUP($F584,Productos!$A$2:$A1001,Productos!AO$2:AO1001,"")*$G584,"")</f>
        <v/>
      </c>
      <c r="AW584" s="179" t="str">
        <f t="array" ref="AW584">IF($F584&lt;&gt;"",XLOOKUP($F584,Productos!$A:$A,Productos!AP:AP,"Revisar"),"")</f>
        <v/>
      </c>
      <c r="AX584" s="179" t="str">
        <f t="array" ref="AX584">IF($F584&lt;&gt;"", XLOOKUP($F584,Productos!$A$2:$A1001,Productos!AQ$2:AQ1001,"")*$G584,"")</f>
        <v/>
      </c>
      <c r="AY584" s="179" t="str">
        <f t="array" ref="AY584">IF($F584&lt;&gt;"",XLOOKUP($F584,Productos!$A:$A,Productos!AR:AR,"Revisar"),"")</f>
        <v/>
      </c>
      <c r="AZ584" s="179" t="str">
        <f t="array" ref="AZ584">IF($F584&lt;&gt;"", XLOOKUP($F584,Productos!$A$2:$A1001,Productos!AS$2:AS1001,"")*$G584,"")</f>
        <v/>
      </c>
      <c r="BA584" s="179" t="str">
        <f t="array" ref="BA584">IF($F584&lt;&gt;"",XLOOKUP($F584,Productos!$A:$A,Productos!AT:AT,"Revisar"),"")</f>
        <v/>
      </c>
      <c r="BB584" s="179" t="str">
        <f t="array" ref="BB584">IF($F584&lt;&gt;"", XLOOKUP($F584,Productos!$A$2:$A1001,Productos!AU$2:AU1001,"")*$G584,"")</f>
        <v/>
      </c>
      <c r="BC584" s="179" t="str">
        <f t="array" ref="BC584">IF($F584&lt;&gt;"",XLOOKUP($F584,Productos!$A:$A,Productos!AV:AV,"Revisar"),"")</f>
        <v/>
      </c>
      <c r="BD584" s="179" t="str">
        <f t="array" ref="BD584">IF($F584&lt;&gt;"", XLOOKUP($F584,Productos!$A$2:$A1001,Productos!AW$2:AW1001,"")*$G584,"")</f>
        <v/>
      </c>
      <c r="BE584" s="179" t="str">
        <f t="array" ref="BE584">IF($F584&lt;&gt;"",XLOOKUP($F584,Productos!$A:$A,Productos!AX:AX,"Revisar"),"")</f>
        <v/>
      </c>
      <c r="BF584" s="179" t="str">
        <f t="array" ref="BF584">IF($F584&lt;&gt;"", XLOOKUP($F584,Productos!$A$2:$A1001,Productos!AY$2:AY1001,"")*$G584,"")</f>
        <v/>
      </c>
      <c r="BG584" s="179" t="str">
        <f t="array" ref="BG584">IF($F584&lt;&gt;"",XLOOKUP($F584,Productos!$A:$A,Productos!AZ:AZ,"Revisar"),"")</f>
        <v/>
      </c>
      <c r="BH584" s="179" t="str">
        <f t="array" ref="BH584">IF($F584&lt;&gt;"", XLOOKUP($F584,Productos!$A$2:$A1001,Productos!BA$2:BA1001,"")*$G584,"")</f>
        <v/>
      </c>
      <c r="BI584" s="179" t="str">
        <f t="array" ref="BI584">IF($F584&lt;&gt;"",XLOOKUP($F584,Productos!$A:$A,Productos!BB:BB,"Revisar"),"")</f>
        <v/>
      </c>
      <c r="BJ584" s="179" t="str">
        <f t="array" ref="BJ584">IF($F584&lt;&gt;"", XLOOKUP($F584,Productos!$A$2:$A1001,Productos!BC$2:BC1001,"")*$G584,"")</f>
        <v/>
      </c>
      <c r="BK584" s="179" t="str">
        <f t="array" ref="BK584">IF($F584&lt;&gt;"",XLOOKUP($F584,Productos!$A:$A,Productos!BD:BD,"Revisar"),"")</f>
        <v/>
      </c>
      <c r="BL584" s="179" t="str">
        <f t="array" ref="BL584">IF($F584&lt;&gt;"", XLOOKUP($F584,Productos!$A$2:$A1001,Productos!BE$2:BE1001,"")*$G584,"")</f>
        <v/>
      </c>
      <c r="BM584" s="179" t="str">
        <f t="array" ref="BM584">IF($F584&lt;&gt;"",XLOOKUP($F584,Productos!$A:$A,Productos!BF:BF,"Revisar"),"")</f>
        <v/>
      </c>
      <c r="BN584" s="179" t="str">
        <f t="array" ref="BN584">IF($F584&lt;&gt;"", XLOOKUP($F584,Productos!$A$2:$A1001,Productos!BG$2:BG1001,"")*$G584,"")</f>
        <v/>
      </c>
      <c r="BO584" s="179" t="str">
        <f t="array" ref="BO584">IF($F584&lt;&gt;"",XLOOKUP($F584,Productos!$A:$A,Productos!BH:BH,"Revisar"),"")</f>
        <v/>
      </c>
      <c r="BP584" s="179" t="str">
        <f t="array" ref="BP584">IF($F584&lt;&gt;"", XLOOKUP($F584,Productos!$A$2:$A1001,Productos!BI$2:BI1001,"")*$G584,"")</f>
        <v/>
      </c>
      <c r="BQ584" s="179" t="str">
        <f t="array" ref="BQ584">IF($F584&lt;&gt;"",XLOOKUP($F584,Productos!$A:$A,Productos!BJ:BJ,"Revisar"),"")</f>
        <v/>
      </c>
      <c r="BR584" s="179" t="str">
        <f t="array" ref="BR584">IF($F584&lt;&gt;"", XLOOKUP($F584,Productos!$A$2:$A1001,Productos!BK$2:BK1001,"")*$G584,"")</f>
        <v/>
      </c>
      <c r="BS584" s="179" t="str">
        <f t="array" ref="BS584">IF($F584&lt;&gt;"",XLOOKUP($F584,Productos!$A:$A,Productos!BL:BL,"Revisar"),"")</f>
        <v/>
      </c>
      <c r="BT584" s="179" t="str">
        <f t="array" ref="BT584">IF($F584&lt;&gt;"", XLOOKUP($F584,Productos!$A$2:$A1001,Productos!BM$2:BM1001,"")*$G584,"")</f>
        <v/>
      </c>
      <c r="BU584" s="179" t="str">
        <f t="array" ref="BU584">IF($F584&lt;&gt;"",XLOOKUP($F584,Productos!$A:$A,Productos!BN:BN,"Revisar"),"")</f>
        <v/>
      </c>
      <c r="BV584" s="179" t="str">
        <f t="array" ref="BV584">IF($F584&lt;&gt;"", XLOOKUP($F584,Productos!$A$2:$A1001,Productos!BO$2:BO1001,"")*$G584,"")</f>
        <v/>
      </c>
      <c r="BW584" s="179" t="str">
        <f t="array" ref="BW584">IF($F584&lt;&gt;"",XLOOKUP($F584,Productos!$A:$A,Productos!BP:BP,"Revisar"),"")</f>
        <v/>
      </c>
      <c r="BX584" s="179" t="str">
        <f t="array" ref="BX584">IF($F584&lt;&gt;"", XLOOKUP($F584,Productos!$A$2:$A1001,Productos!BQ$2:BQ1001,"")*$G584,"")</f>
        <v/>
      </c>
      <c r="BY584" s="179" t="str">
        <f t="array" ref="BY584">IF($F584&lt;&gt;"",XLOOKUP($F584,Productos!$A:$A,Productos!BR:BR,"Revisar"),"")</f>
        <v/>
      </c>
      <c r="BZ584" s="179" t="str">
        <f t="array" ref="BZ584">IF($F584&lt;&gt;"", XLOOKUP($F584,Productos!$A$2:$A1001,Productos!BS$2:BS1001,"")*$G584,"")</f>
        <v/>
      </c>
    </row>
    <row r="585">
      <c r="A585" s="188"/>
      <c r="B585" s="189"/>
      <c r="C585" s="190"/>
      <c r="D585" s="190"/>
      <c r="E585" s="191"/>
      <c r="F585" s="186"/>
      <c r="G585" s="192"/>
      <c r="H585" s="9"/>
      <c r="I585" s="179" t="str">
        <f t="array" ref="I585">IF($F585&lt;&gt;"",XLOOKUP($F585,Productos!$A:$A,Productos!B:B,"Revisar"),"")</f>
        <v/>
      </c>
      <c r="J585" s="179" t="str">
        <f t="array" ref="J585">IF($F585&lt;&gt;"", XLOOKUP($F585,Productos!$A$2:$A1001,Productos!C$2:C1001,"")*$G585,"")</f>
        <v/>
      </c>
      <c r="K585" s="179" t="str">
        <f t="array" ref="K585">IF($F585&lt;&gt;"",XLOOKUP($F585,Productos!$A:$A,Productos!D:D,"Revisar"),"")</f>
        <v/>
      </c>
      <c r="L585" s="179" t="str">
        <f t="array" ref="L585">IF($F585&lt;&gt;"", XLOOKUP($F585,Productos!$A$2:$A1001,Productos!E$2:E1001,"")*$G585,"")</f>
        <v/>
      </c>
      <c r="M585" s="179" t="str">
        <f t="array" ref="M585">IF($F585&lt;&gt;"",XLOOKUP($F585,Productos!$A:$A,Productos!F:F,"Revisar"),"")</f>
        <v/>
      </c>
      <c r="N585" s="179" t="str">
        <f t="array" ref="N585">IF($F585&lt;&gt;"", XLOOKUP($F585,Productos!$A$2:$A1001,Productos!G$2:G1001,"")*$G585,"")</f>
        <v/>
      </c>
      <c r="O585" s="179" t="str">
        <f t="array" ref="O585">IF($F585&lt;&gt;"",XLOOKUP($F585,Productos!$A:$A,Productos!H:H,"Revisar"),"")</f>
        <v/>
      </c>
      <c r="P585" s="179" t="str">
        <f t="array" ref="P585">IF($F585&lt;&gt;"", XLOOKUP($F585,Productos!$A$2:$A1001,Productos!I$2:I1001,"")*$G585,"")</f>
        <v/>
      </c>
      <c r="Q585" s="179" t="str">
        <f t="array" ref="Q585">IF($F585&lt;&gt;"",XLOOKUP($F585,Productos!$A:$A,Productos!J:J,"Revisar"),"")</f>
        <v/>
      </c>
      <c r="R585" s="179" t="str">
        <f t="array" ref="R585">IF($F585&lt;&gt;"", XLOOKUP($F585,Productos!$A$2:$A1001,Productos!K$2:K1001,"")*$G585,"")</f>
        <v/>
      </c>
      <c r="S585" s="179" t="str">
        <f t="array" ref="S585">IF($F585&lt;&gt;"",XLOOKUP($F585,Productos!$A:$A,Productos!L:L,"Revisar"),"")</f>
        <v/>
      </c>
      <c r="T585" s="179" t="str">
        <f t="array" ref="T585">IF($F585&lt;&gt;"", XLOOKUP($F585,Productos!$A$2:$A1001,Productos!M$2:M1001,"")*$G585,"")</f>
        <v/>
      </c>
      <c r="U585" s="179" t="str">
        <f t="array" ref="U585">IF($F585&lt;&gt;"",XLOOKUP($F585,Productos!$A:$A,Productos!N:N,"Revisar"),"")</f>
        <v/>
      </c>
      <c r="V585" s="179" t="str">
        <f t="array" ref="V585">IF($F585&lt;&gt;"", XLOOKUP($F585,Productos!$A$2:$A1001,Productos!O$2:O1001,"")*$G585,"")</f>
        <v/>
      </c>
      <c r="W585" s="179" t="str">
        <f t="array" ref="W585">IF($F585&lt;&gt;"",XLOOKUP($F585,Productos!$A:$A,Productos!P:P,"Revisar"),"")</f>
        <v/>
      </c>
      <c r="X585" s="179" t="str">
        <f t="array" ref="X585">IF($F585&lt;&gt;"", XLOOKUP($F585,Productos!$A$2:$A1001,Productos!Q$2:Q1001,"")*$G585,"")</f>
        <v/>
      </c>
      <c r="Y585" s="179" t="str">
        <f t="array" ref="Y585">IF($F585&lt;&gt;"",XLOOKUP($F585,Productos!$A:$A,Productos!R:R,"Revisar"),"")</f>
        <v/>
      </c>
      <c r="Z585" s="179" t="str">
        <f t="array" ref="Z585">IF($F585&lt;&gt;"", XLOOKUP($F585,Productos!$A$2:$A1001,Productos!S$2:S1001,"")*$G585,"")</f>
        <v/>
      </c>
      <c r="AA585" s="179" t="str">
        <f t="array" ref="AA585">IF($F585&lt;&gt;"",XLOOKUP($F585,Productos!$A:$A,Productos!T:T,"Revisar"),"")</f>
        <v/>
      </c>
      <c r="AB585" s="179" t="str">
        <f t="array" ref="AB585">IF($F585&lt;&gt;"", XLOOKUP($F585,Productos!$A$2:$A1001,Productos!U$2:U1001,"")*$G585,"")</f>
        <v/>
      </c>
      <c r="AC585" s="179" t="str">
        <f t="array" ref="AC585">IF($F585&lt;&gt;"",XLOOKUP($F585,Productos!$A:$A,Productos!V:V,"Revisar"),"")</f>
        <v/>
      </c>
      <c r="AD585" s="179" t="str">
        <f t="array" ref="AD585">IF($F585&lt;&gt;"", XLOOKUP($F585,Productos!$A$2:$A1001,Productos!W$2:W1001,"")*$G585,"")</f>
        <v/>
      </c>
      <c r="AE585" s="179" t="str">
        <f t="array" ref="AE585">IF($F585&lt;&gt;"",XLOOKUP($F585,Productos!$A:$A,Productos!X:X,"Revisar"),"")</f>
        <v/>
      </c>
      <c r="AF585" s="179" t="str">
        <f t="array" ref="AF585">IF($F585&lt;&gt;"", XLOOKUP($F585,Productos!$A$2:$A1001,Productos!Y$2:Y1001,"")*$G585,"")</f>
        <v/>
      </c>
      <c r="AG585" s="179" t="str">
        <f t="array" ref="AG585">IF($F585&lt;&gt;"",XLOOKUP($F585,Productos!$A:$A,Productos!Z:Z,"Revisar"),"")</f>
        <v/>
      </c>
      <c r="AH585" s="179" t="str">
        <f t="array" ref="AH585">IF($F585&lt;&gt;"", XLOOKUP($F585,Productos!$A$2:$A1001,Productos!AA$2:AA1001,"")*$G585,"")</f>
        <v/>
      </c>
      <c r="AI585" s="179" t="str">
        <f t="array" ref="AI585">IF($F585&lt;&gt;"",XLOOKUP($F585,Productos!$A:$A,Productos!AB:AB,"Revisar"),"")</f>
        <v/>
      </c>
      <c r="AJ585" s="179" t="str">
        <f t="array" ref="AJ585">IF($F585&lt;&gt;"", XLOOKUP($F585,Productos!$A$2:$A1001,Productos!AC$2:AC1001,"")*$G585,"")</f>
        <v/>
      </c>
      <c r="AK585" s="179" t="str">
        <f t="array" ref="AK585">IF($F585&lt;&gt;"",XLOOKUP($F585,Productos!$A:$A,Productos!AD:AD,"Revisar"),"")</f>
        <v/>
      </c>
      <c r="AL585" s="179" t="str">
        <f t="array" ref="AL585">IF($F585&lt;&gt;"", XLOOKUP($F585,Productos!$A$2:$A1001,Productos!AE$2:AE1001,"")*$G585,"")</f>
        <v/>
      </c>
      <c r="AM585" s="179" t="str">
        <f t="array" ref="AM585">IF($F585&lt;&gt;"",XLOOKUP($F585,Productos!$A:$A,Productos!AF:AF,"Revisar"),"")</f>
        <v/>
      </c>
      <c r="AN585" s="179" t="str">
        <f t="array" ref="AN585">IF($F585&lt;&gt;"", XLOOKUP($F585,Productos!$A$2:$A1001,Productos!AG$2:AG1001,"")*$G585,"")</f>
        <v/>
      </c>
      <c r="AO585" s="179" t="str">
        <f t="array" ref="AO585">IF($F585&lt;&gt;"",XLOOKUP($F585,Productos!$A:$A,Productos!AH:AH,"Revisar"),"")</f>
        <v/>
      </c>
      <c r="AP585" s="179" t="str">
        <f t="array" ref="AP585">IF($F585&lt;&gt;"", XLOOKUP($F585,Productos!$A$2:$A1001,Productos!AI$2:AI1001,"")*$G585,"")</f>
        <v/>
      </c>
      <c r="AQ585" s="179" t="str">
        <f t="array" ref="AQ585">IF($F585&lt;&gt;"",XLOOKUP($F585,Productos!$A:$A,Productos!AJ:AJ,"Revisar"),"")</f>
        <v/>
      </c>
      <c r="AR585" s="179" t="str">
        <f t="array" ref="AR585">IF($F585&lt;&gt;"", XLOOKUP($F585,Productos!$A$2:$A1001,Productos!AK$2:AK1001,"")*$G585,"")</f>
        <v/>
      </c>
      <c r="AS585" s="179" t="str">
        <f t="array" ref="AS585">IF($F585&lt;&gt;"",XLOOKUP($F585,Productos!$A:$A,Productos!AL:AL,"Revisar"),"")</f>
        <v/>
      </c>
      <c r="AT585" s="179" t="str">
        <f t="array" ref="AT585">IF($F585&lt;&gt;"", XLOOKUP($F585,Productos!$A$2:$A1001,Productos!AM$2:AM1001,"")*$G585,"")</f>
        <v/>
      </c>
      <c r="AU585" s="179" t="str">
        <f t="array" ref="AU585">IF($F585&lt;&gt;"",XLOOKUP($F585,Productos!$A:$A,Productos!AN:AN,"Revisar"),"")</f>
        <v/>
      </c>
      <c r="AV585" s="179" t="str">
        <f t="array" ref="AV585">IF($F585&lt;&gt;"", XLOOKUP($F585,Productos!$A$2:$A1001,Productos!AO$2:AO1001,"")*$G585,"")</f>
        <v/>
      </c>
      <c r="AW585" s="179" t="str">
        <f t="array" ref="AW585">IF($F585&lt;&gt;"",XLOOKUP($F585,Productos!$A:$A,Productos!AP:AP,"Revisar"),"")</f>
        <v/>
      </c>
      <c r="AX585" s="179" t="str">
        <f t="array" ref="AX585">IF($F585&lt;&gt;"", XLOOKUP($F585,Productos!$A$2:$A1001,Productos!AQ$2:AQ1001,"")*$G585,"")</f>
        <v/>
      </c>
      <c r="AY585" s="179" t="str">
        <f t="array" ref="AY585">IF($F585&lt;&gt;"",XLOOKUP($F585,Productos!$A:$A,Productos!AR:AR,"Revisar"),"")</f>
        <v/>
      </c>
      <c r="AZ585" s="179" t="str">
        <f t="array" ref="AZ585">IF($F585&lt;&gt;"", XLOOKUP($F585,Productos!$A$2:$A1001,Productos!AS$2:AS1001,"")*$G585,"")</f>
        <v/>
      </c>
      <c r="BA585" s="179" t="str">
        <f t="array" ref="BA585">IF($F585&lt;&gt;"",XLOOKUP($F585,Productos!$A:$A,Productos!AT:AT,"Revisar"),"")</f>
        <v/>
      </c>
      <c r="BB585" s="179" t="str">
        <f t="array" ref="BB585">IF($F585&lt;&gt;"", XLOOKUP($F585,Productos!$A$2:$A1001,Productos!AU$2:AU1001,"")*$G585,"")</f>
        <v/>
      </c>
      <c r="BC585" s="179" t="str">
        <f t="array" ref="BC585">IF($F585&lt;&gt;"",XLOOKUP($F585,Productos!$A:$A,Productos!AV:AV,"Revisar"),"")</f>
        <v/>
      </c>
      <c r="BD585" s="179" t="str">
        <f t="array" ref="BD585">IF($F585&lt;&gt;"", XLOOKUP($F585,Productos!$A$2:$A1001,Productos!AW$2:AW1001,"")*$G585,"")</f>
        <v/>
      </c>
      <c r="BE585" s="179" t="str">
        <f t="array" ref="BE585">IF($F585&lt;&gt;"",XLOOKUP($F585,Productos!$A:$A,Productos!AX:AX,"Revisar"),"")</f>
        <v/>
      </c>
      <c r="BF585" s="179" t="str">
        <f t="array" ref="BF585">IF($F585&lt;&gt;"", XLOOKUP($F585,Productos!$A$2:$A1001,Productos!AY$2:AY1001,"")*$G585,"")</f>
        <v/>
      </c>
      <c r="BG585" s="179" t="str">
        <f t="array" ref="BG585">IF($F585&lt;&gt;"",XLOOKUP($F585,Productos!$A:$A,Productos!AZ:AZ,"Revisar"),"")</f>
        <v/>
      </c>
      <c r="BH585" s="179" t="str">
        <f t="array" ref="BH585">IF($F585&lt;&gt;"", XLOOKUP($F585,Productos!$A$2:$A1001,Productos!BA$2:BA1001,"")*$G585,"")</f>
        <v/>
      </c>
      <c r="BI585" s="179" t="str">
        <f t="array" ref="BI585">IF($F585&lt;&gt;"",XLOOKUP($F585,Productos!$A:$A,Productos!BB:BB,"Revisar"),"")</f>
        <v/>
      </c>
      <c r="BJ585" s="179" t="str">
        <f t="array" ref="BJ585">IF($F585&lt;&gt;"", XLOOKUP($F585,Productos!$A$2:$A1001,Productos!BC$2:BC1001,"")*$G585,"")</f>
        <v/>
      </c>
      <c r="BK585" s="179" t="str">
        <f t="array" ref="BK585">IF($F585&lt;&gt;"",XLOOKUP($F585,Productos!$A:$A,Productos!BD:BD,"Revisar"),"")</f>
        <v/>
      </c>
      <c r="BL585" s="179" t="str">
        <f t="array" ref="BL585">IF($F585&lt;&gt;"", XLOOKUP($F585,Productos!$A$2:$A1001,Productos!BE$2:BE1001,"")*$G585,"")</f>
        <v/>
      </c>
      <c r="BM585" s="179" t="str">
        <f t="array" ref="BM585">IF($F585&lt;&gt;"",XLOOKUP($F585,Productos!$A:$A,Productos!BF:BF,"Revisar"),"")</f>
        <v/>
      </c>
      <c r="BN585" s="179" t="str">
        <f t="array" ref="BN585">IF($F585&lt;&gt;"", XLOOKUP($F585,Productos!$A$2:$A1001,Productos!BG$2:BG1001,"")*$G585,"")</f>
        <v/>
      </c>
      <c r="BO585" s="179" t="str">
        <f t="array" ref="BO585">IF($F585&lt;&gt;"",XLOOKUP($F585,Productos!$A:$A,Productos!BH:BH,"Revisar"),"")</f>
        <v/>
      </c>
      <c r="BP585" s="179" t="str">
        <f t="array" ref="BP585">IF($F585&lt;&gt;"", XLOOKUP($F585,Productos!$A$2:$A1001,Productos!BI$2:BI1001,"")*$G585,"")</f>
        <v/>
      </c>
      <c r="BQ585" s="179" t="str">
        <f t="array" ref="BQ585">IF($F585&lt;&gt;"",XLOOKUP($F585,Productos!$A:$A,Productos!BJ:BJ,"Revisar"),"")</f>
        <v/>
      </c>
      <c r="BR585" s="179" t="str">
        <f t="array" ref="BR585">IF($F585&lt;&gt;"", XLOOKUP($F585,Productos!$A$2:$A1001,Productos!BK$2:BK1001,"")*$G585,"")</f>
        <v/>
      </c>
      <c r="BS585" s="179" t="str">
        <f t="array" ref="BS585">IF($F585&lt;&gt;"",XLOOKUP($F585,Productos!$A:$A,Productos!BL:BL,"Revisar"),"")</f>
        <v/>
      </c>
      <c r="BT585" s="179" t="str">
        <f t="array" ref="BT585">IF($F585&lt;&gt;"", XLOOKUP($F585,Productos!$A$2:$A1001,Productos!BM$2:BM1001,"")*$G585,"")</f>
        <v/>
      </c>
      <c r="BU585" s="179" t="str">
        <f t="array" ref="BU585">IF($F585&lt;&gt;"",XLOOKUP($F585,Productos!$A:$A,Productos!BN:BN,"Revisar"),"")</f>
        <v/>
      </c>
      <c r="BV585" s="179" t="str">
        <f t="array" ref="BV585">IF($F585&lt;&gt;"", XLOOKUP($F585,Productos!$A$2:$A1001,Productos!BO$2:BO1001,"")*$G585,"")</f>
        <v/>
      </c>
      <c r="BW585" s="179" t="str">
        <f t="array" ref="BW585">IF($F585&lt;&gt;"",XLOOKUP($F585,Productos!$A:$A,Productos!BP:BP,"Revisar"),"")</f>
        <v/>
      </c>
      <c r="BX585" s="179" t="str">
        <f t="array" ref="BX585">IF($F585&lt;&gt;"", XLOOKUP($F585,Productos!$A$2:$A1001,Productos!BQ$2:BQ1001,"")*$G585,"")</f>
        <v/>
      </c>
      <c r="BY585" s="179" t="str">
        <f t="array" ref="BY585">IF($F585&lt;&gt;"",XLOOKUP($F585,Productos!$A:$A,Productos!BR:BR,"Revisar"),"")</f>
        <v/>
      </c>
      <c r="BZ585" s="179" t="str">
        <f t="array" ref="BZ585">IF($F585&lt;&gt;"", XLOOKUP($F585,Productos!$A$2:$A1001,Productos!BS$2:BS1001,"")*$G585,"")</f>
        <v/>
      </c>
    </row>
    <row r="586">
      <c r="A586" s="188"/>
      <c r="B586" s="189"/>
      <c r="C586" s="190"/>
      <c r="D586" s="190"/>
      <c r="E586" s="191"/>
      <c r="F586" s="186"/>
      <c r="G586" s="192"/>
      <c r="H586" s="9"/>
      <c r="I586" s="179" t="str">
        <f t="array" ref="I586">IF($F586&lt;&gt;"",XLOOKUP($F586,Productos!$A:$A,Productos!B:B,"Revisar"),"")</f>
        <v/>
      </c>
      <c r="J586" s="179" t="str">
        <f t="array" ref="J586">IF($F586&lt;&gt;"", XLOOKUP($F586,Productos!$A$2:$A1001,Productos!C$2:C1001,"")*$G586,"")</f>
        <v/>
      </c>
      <c r="K586" s="179" t="str">
        <f t="array" ref="K586">IF($F586&lt;&gt;"",XLOOKUP($F586,Productos!$A:$A,Productos!D:D,"Revisar"),"")</f>
        <v/>
      </c>
      <c r="L586" s="179" t="str">
        <f t="array" ref="L586">IF($F586&lt;&gt;"", XLOOKUP($F586,Productos!$A$2:$A1001,Productos!E$2:E1001,"")*$G586,"")</f>
        <v/>
      </c>
      <c r="M586" s="179" t="str">
        <f t="array" ref="M586">IF($F586&lt;&gt;"",XLOOKUP($F586,Productos!$A:$A,Productos!F:F,"Revisar"),"")</f>
        <v/>
      </c>
      <c r="N586" s="179" t="str">
        <f t="array" ref="N586">IF($F586&lt;&gt;"", XLOOKUP($F586,Productos!$A$2:$A1001,Productos!G$2:G1001,"")*$G586,"")</f>
        <v/>
      </c>
      <c r="O586" s="179" t="str">
        <f t="array" ref="O586">IF($F586&lt;&gt;"",XLOOKUP($F586,Productos!$A:$A,Productos!H:H,"Revisar"),"")</f>
        <v/>
      </c>
      <c r="P586" s="179" t="str">
        <f t="array" ref="P586">IF($F586&lt;&gt;"", XLOOKUP($F586,Productos!$A$2:$A1001,Productos!I$2:I1001,"")*$G586,"")</f>
        <v/>
      </c>
      <c r="Q586" s="179" t="str">
        <f t="array" ref="Q586">IF($F586&lt;&gt;"",XLOOKUP($F586,Productos!$A:$A,Productos!J:J,"Revisar"),"")</f>
        <v/>
      </c>
      <c r="R586" s="179" t="str">
        <f t="array" ref="R586">IF($F586&lt;&gt;"", XLOOKUP($F586,Productos!$A$2:$A1001,Productos!K$2:K1001,"")*$G586,"")</f>
        <v/>
      </c>
      <c r="S586" s="179" t="str">
        <f t="array" ref="S586">IF($F586&lt;&gt;"",XLOOKUP($F586,Productos!$A:$A,Productos!L:L,"Revisar"),"")</f>
        <v/>
      </c>
      <c r="T586" s="179" t="str">
        <f t="array" ref="T586">IF($F586&lt;&gt;"", XLOOKUP($F586,Productos!$A$2:$A1001,Productos!M$2:M1001,"")*$G586,"")</f>
        <v/>
      </c>
      <c r="U586" s="179" t="str">
        <f t="array" ref="U586">IF($F586&lt;&gt;"",XLOOKUP($F586,Productos!$A:$A,Productos!N:N,"Revisar"),"")</f>
        <v/>
      </c>
      <c r="V586" s="179" t="str">
        <f t="array" ref="V586">IF($F586&lt;&gt;"", XLOOKUP($F586,Productos!$A$2:$A1001,Productos!O$2:O1001,"")*$G586,"")</f>
        <v/>
      </c>
      <c r="W586" s="179" t="str">
        <f t="array" ref="W586">IF($F586&lt;&gt;"",XLOOKUP($F586,Productos!$A:$A,Productos!P:P,"Revisar"),"")</f>
        <v/>
      </c>
      <c r="X586" s="179" t="str">
        <f t="array" ref="X586">IF($F586&lt;&gt;"", XLOOKUP($F586,Productos!$A$2:$A1001,Productos!Q$2:Q1001,"")*$G586,"")</f>
        <v/>
      </c>
      <c r="Y586" s="179" t="str">
        <f t="array" ref="Y586">IF($F586&lt;&gt;"",XLOOKUP($F586,Productos!$A:$A,Productos!R:R,"Revisar"),"")</f>
        <v/>
      </c>
      <c r="Z586" s="179" t="str">
        <f t="array" ref="Z586">IF($F586&lt;&gt;"", XLOOKUP($F586,Productos!$A$2:$A1001,Productos!S$2:S1001,"")*$G586,"")</f>
        <v/>
      </c>
      <c r="AA586" s="179" t="str">
        <f t="array" ref="AA586">IF($F586&lt;&gt;"",XLOOKUP($F586,Productos!$A:$A,Productos!T:T,"Revisar"),"")</f>
        <v/>
      </c>
      <c r="AB586" s="179" t="str">
        <f t="array" ref="AB586">IF($F586&lt;&gt;"", XLOOKUP($F586,Productos!$A$2:$A1001,Productos!U$2:U1001,"")*$G586,"")</f>
        <v/>
      </c>
      <c r="AC586" s="179" t="str">
        <f t="array" ref="AC586">IF($F586&lt;&gt;"",XLOOKUP($F586,Productos!$A:$A,Productos!V:V,"Revisar"),"")</f>
        <v/>
      </c>
      <c r="AD586" s="179" t="str">
        <f t="array" ref="AD586">IF($F586&lt;&gt;"", XLOOKUP($F586,Productos!$A$2:$A1001,Productos!W$2:W1001,"")*$G586,"")</f>
        <v/>
      </c>
      <c r="AE586" s="179" t="str">
        <f t="array" ref="AE586">IF($F586&lt;&gt;"",XLOOKUP($F586,Productos!$A:$A,Productos!X:X,"Revisar"),"")</f>
        <v/>
      </c>
      <c r="AF586" s="179" t="str">
        <f t="array" ref="AF586">IF($F586&lt;&gt;"", XLOOKUP($F586,Productos!$A$2:$A1001,Productos!Y$2:Y1001,"")*$G586,"")</f>
        <v/>
      </c>
      <c r="AG586" s="179" t="str">
        <f t="array" ref="AG586">IF($F586&lt;&gt;"",XLOOKUP($F586,Productos!$A:$A,Productos!Z:Z,"Revisar"),"")</f>
        <v/>
      </c>
      <c r="AH586" s="179" t="str">
        <f t="array" ref="AH586">IF($F586&lt;&gt;"", XLOOKUP($F586,Productos!$A$2:$A1001,Productos!AA$2:AA1001,"")*$G586,"")</f>
        <v/>
      </c>
      <c r="AI586" s="179" t="str">
        <f t="array" ref="AI586">IF($F586&lt;&gt;"",XLOOKUP($F586,Productos!$A:$A,Productos!AB:AB,"Revisar"),"")</f>
        <v/>
      </c>
      <c r="AJ586" s="179" t="str">
        <f t="array" ref="AJ586">IF($F586&lt;&gt;"", XLOOKUP($F586,Productos!$A$2:$A1001,Productos!AC$2:AC1001,"")*$G586,"")</f>
        <v/>
      </c>
      <c r="AK586" s="179" t="str">
        <f t="array" ref="AK586">IF($F586&lt;&gt;"",XLOOKUP($F586,Productos!$A:$A,Productos!AD:AD,"Revisar"),"")</f>
        <v/>
      </c>
      <c r="AL586" s="179" t="str">
        <f t="array" ref="AL586">IF($F586&lt;&gt;"", XLOOKUP($F586,Productos!$A$2:$A1001,Productos!AE$2:AE1001,"")*$G586,"")</f>
        <v/>
      </c>
      <c r="AM586" s="179" t="str">
        <f t="array" ref="AM586">IF($F586&lt;&gt;"",XLOOKUP($F586,Productos!$A:$A,Productos!AF:AF,"Revisar"),"")</f>
        <v/>
      </c>
      <c r="AN586" s="179" t="str">
        <f t="array" ref="AN586">IF($F586&lt;&gt;"", XLOOKUP($F586,Productos!$A$2:$A1001,Productos!AG$2:AG1001,"")*$G586,"")</f>
        <v/>
      </c>
      <c r="AO586" s="179" t="str">
        <f t="array" ref="AO586">IF($F586&lt;&gt;"",XLOOKUP($F586,Productos!$A:$A,Productos!AH:AH,"Revisar"),"")</f>
        <v/>
      </c>
      <c r="AP586" s="179" t="str">
        <f t="array" ref="AP586">IF($F586&lt;&gt;"", XLOOKUP($F586,Productos!$A$2:$A1001,Productos!AI$2:AI1001,"")*$G586,"")</f>
        <v/>
      </c>
      <c r="AQ586" s="179" t="str">
        <f t="array" ref="AQ586">IF($F586&lt;&gt;"",XLOOKUP($F586,Productos!$A:$A,Productos!AJ:AJ,"Revisar"),"")</f>
        <v/>
      </c>
      <c r="AR586" s="179" t="str">
        <f t="array" ref="AR586">IF($F586&lt;&gt;"", XLOOKUP($F586,Productos!$A$2:$A1001,Productos!AK$2:AK1001,"")*$G586,"")</f>
        <v/>
      </c>
      <c r="AS586" s="179" t="str">
        <f t="array" ref="AS586">IF($F586&lt;&gt;"",XLOOKUP($F586,Productos!$A:$A,Productos!AL:AL,"Revisar"),"")</f>
        <v/>
      </c>
      <c r="AT586" s="179" t="str">
        <f t="array" ref="AT586">IF($F586&lt;&gt;"", XLOOKUP($F586,Productos!$A$2:$A1001,Productos!AM$2:AM1001,"")*$G586,"")</f>
        <v/>
      </c>
      <c r="AU586" s="179" t="str">
        <f t="array" ref="AU586">IF($F586&lt;&gt;"",XLOOKUP($F586,Productos!$A:$A,Productos!AN:AN,"Revisar"),"")</f>
        <v/>
      </c>
      <c r="AV586" s="179" t="str">
        <f t="array" ref="AV586">IF($F586&lt;&gt;"", XLOOKUP($F586,Productos!$A$2:$A1001,Productos!AO$2:AO1001,"")*$G586,"")</f>
        <v/>
      </c>
      <c r="AW586" s="179" t="str">
        <f t="array" ref="AW586">IF($F586&lt;&gt;"",XLOOKUP($F586,Productos!$A:$A,Productos!AP:AP,"Revisar"),"")</f>
        <v/>
      </c>
      <c r="AX586" s="179" t="str">
        <f t="array" ref="AX586">IF($F586&lt;&gt;"", XLOOKUP($F586,Productos!$A$2:$A1001,Productos!AQ$2:AQ1001,"")*$G586,"")</f>
        <v/>
      </c>
      <c r="AY586" s="179" t="str">
        <f t="array" ref="AY586">IF($F586&lt;&gt;"",XLOOKUP($F586,Productos!$A:$A,Productos!AR:AR,"Revisar"),"")</f>
        <v/>
      </c>
      <c r="AZ586" s="179" t="str">
        <f t="array" ref="AZ586">IF($F586&lt;&gt;"", XLOOKUP($F586,Productos!$A$2:$A1001,Productos!AS$2:AS1001,"")*$G586,"")</f>
        <v/>
      </c>
      <c r="BA586" s="179" t="str">
        <f t="array" ref="BA586">IF($F586&lt;&gt;"",XLOOKUP($F586,Productos!$A:$A,Productos!AT:AT,"Revisar"),"")</f>
        <v/>
      </c>
      <c r="BB586" s="179" t="str">
        <f t="array" ref="BB586">IF($F586&lt;&gt;"", XLOOKUP($F586,Productos!$A$2:$A1001,Productos!AU$2:AU1001,"")*$G586,"")</f>
        <v/>
      </c>
      <c r="BC586" s="179" t="str">
        <f t="array" ref="BC586">IF($F586&lt;&gt;"",XLOOKUP($F586,Productos!$A:$A,Productos!AV:AV,"Revisar"),"")</f>
        <v/>
      </c>
      <c r="BD586" s="179" t="str">
        <f t="array" ref="BD586">IF($F586&lt;&gt;"", XLOOKUP($F586,Productos!$A$2:$A1001,Productos!AW$2:AW1001,"")*$G586,"")</f>
        <v/>
      </c>
      <c r="BE586" s="179" t="str">
        <f t="array" ref="BE586">IF($F586&lt;&gt;"",XLOOKUP($F586,Productos!$A:$A,Productos!AX:AX,"Revisar"),"")</f>
        <v/>
      </c>
      <c r="BF586" s="179" t="str">
        <f t="array" ref="BF586">IF($F586&lt;&gt;"", XLOOKUP($F586,Productos!$A$2:$A1001,Productos!AY$2:AY1001,"")*$G586,"")</f>
        <v/>
      </c>
      <c r="BG586" s="179" t="str">
        <f t="array" ref="BG586">IF($F586&lt;&gt;"",XLOOKUP($F586,Productos!$A:$A,Productos!AZ:AZ,"Revisar"),"")</f>
        <v/>
      </c>
      <c r="BH586" s="179" t="str">
        <f t="array" ref="BH586">IF($F586&lt;&gt;"", XLOOKUP($F586,Productos!$A$2:$A1001,Productos!BA$2:BA1001,"")*$G586,"")</f>
        <v/>
      </c>
      <c r="BI586" s="179" t="str">
        <f t="array" ref="BI586">IF($F586&lt;&gt;"",XLOOKUP($F586,Productos!$A:$A,Productos!BB:BB,"Revisar"),"")</f>
        <v/>
      </c>
      <c r="BJ586" s="179" t="str">
        <f t="array" ref="BJ586">IF($F586&lt;&gt;"", XLOOKUP($F586,Productos!$A$2:$A1001,Productos!BC$2:BC1001,"")*$G586,"")</f>
        <v/>
      </c>
      <c r="BK586" s="179" t="str">
        <f t="array" ref="BK586">IF($F586&lt;&gt;"",XLOOKUP($F586,Productos!$A:$A,Productos!BD:BD,"Revisar"),"")</f>
        <v/>
      </c>
      <c r="BL586" s="179" t="str">
        <f t="array" ref="BL586">IF($F586&lt;&gt;"", XLOOKUP($F586,Productos!$A$2:$A1001,Productos!BE$2:BE1001,"")*$G586,"")</f>
        <v/>
      </c>
      <c r="BM586" s="179" t="str">
        <f t="array" ref="BM586">IF($F586&lt;&gt;"",XLOOKUP($F586,Productos!$A:$A,Productos!BF:BF,"Revisar"),"")</f>
        <v/>
      </c>
      <c r="BN586" s="179" t="str">
        <f t="array" ref="BN586">IF($F586&lt;&gt;"", XLOOKUP($F586,Productos!$A$2:$A1001,Productos!BG$2:BG1001,"")*$G586,"")</f>
        <v/>
      </c>
      <c r="BO586" s="179" t="str">
        <f t="array" ref="BO586">IF($F586&lt;&gt;"",XLOOKUP($F586,Productos!$A:$A,Productos!BH:BH,"Revisar"),"")</f>
        <v/>
      </c>
      <c r="BP586" s="179" t="str">
        <f t="array" ref="BP586">IF($F586&lt;&gt;"", XLOOKUP($F586,Productos!$A$2:$A1001,Productos!BI$2:BI1001,"")*$G586,"")</f>
        <v/>
      </c>
      <c r="BQ586" s="179" t="str">
        <f t="array" ref="BQ586">IF($F586&lt;&gt;"",XLOOKUP($F586,Productos!$A:$A,Productos!BJ:BJ,"Revisar"),"")</f>
        <v/>
      </c>
      <c r="BR586" s="179" t="str">
        <f t="array" ref="BR586">IF($F586&lt;&gt;"", XLOOKUP($F586,Productos!$A$2:$A1001,Productos!BK$2:BK1001,"")*$G586,"")</f>
        <v/>
      </c>
      <c r="BS586" s="179" t="str">
        <f t="array" ref="BS586">IF($F586&lt;&gt;"",XLOOKUP($F586,Productos!$A:$A,Productos!BL:BL,"Revisar"),"")</f>
        <v/>
      </c>
      <c r="BT586" s="179" t="str">
        <f t="array" ref="BT586">IF($F586&lt;&gt;"", XLOOKUP($F586,Productos!$A$2:$A1001,Productos!BM$2:BM1001,"")*$G586,"")</f>
        <v/>
      </c>
      <c r="BU586" s="179" t="str">
        <f t="array" ref="BU586">IF($F586&lt;&gt;"",XLOOKUP($F586,Productos!$A:$A,Productos!BN:BN,"Revisar"),"")</f>
        <v/>
      </c>
      <c r="BV586" s="179" t="str">
        <f t="array" ref="BV586">IF($F586&lt;&gt;"", XLOOKUP($F586,Productos!$A$2:$A1001,Productos!BO$2:BO1001,"")*$G586,"")</f>
        <v/>
      </c>
      <c r="BW586" s="179" t="str">
        <f t="array" ref="BW586">IF($F586&lt;&gt;"",XLOOKUP($F586,Productos!$A:$A,Productos!BP:BP,"Revisar"),"")</f>
        <v/>
      </c>
      <c r="BX586" s="179" t="str">
        <f t="array" ref="BX586">IF($F586&lt;&gt;"", XLOOKUP($F586,Productos!$A$2:$A1001,Productos!BQ$2:BQ1001,"")*$G586,"")</f>
        <v/>
      </c>
      <c r="BY586" s="179" t="str">
        <f t="array" ref="BY586">IF($F586&lt;&gt;"",XLOOKUP($F586,Productos!$A:$A,Productos!BR:BR,"Revisar"),"")</f>
        <v/>
      </c>
      <c r="BZ586" s="179" t="str">
        <f t="array" ref="BZ586">IF($F586&lt;&gt;"", XLOOKUP($F586,Productos!$A$2:$A1001,Productos!BS$2:BS1001,"")*$G586,"")</f>
        <v/>
      </c>
    </row>
    <row r="587">
      <c r="A587" s="188"/>
      <c r="B587" s="189"/>
      <c r="C587" s="190"/>
      <c r="D587" s="190"/>
      <c r="E587" s="191"/>
      <c r="F587" s="186"/>
      <c r="G587" s="192"/>
      <c r="H587" s="9"/>
      <c r="I587" s="179" t="str">
        <f t="array" ref="I587">IF($F587&lt;&gt;"",XLOOKUP($F587,Productos!$A:$A,Productos!B:B,"Revisar"),"")</f>
        <v/>
      </c>
      <c r="J587" s="179" t="str">
        <f t="array" ref="J587">IF($F587&lt;&gt;"", XLOOKUP($F587,Productos!$A$2:$A1001,Productos!C$2:C1001,"")*$G587,"")</f>
        <v/>
      </c>
      <c r="K587" s="179" t="str">
        <f t="array" ref="K587">IF($F587&lt;&gt;"",XLOOKUP($F587,Productos!$A:$A,Productos!D:D,"Revisar"),"")</f>
        <v/>
      </c>
      <c r="L587" s="179" t="str">
        <f t="array" ref="L587">IF($F587&lt;&gt;"", XLOOKUP($F587,Productos!$A$2:$A1001,Productos!E$2:E1001,"")*$G587,"")</f>
        <v/>
      </c>
      <c r="M587" s="179" t="str">
        <f t="array" ref="M587">IF($F587&lt;&gt;"",XLOOKUP($F587,Productos!$A:$A,Productos!F:F,"Revisar"),"")</f>
        <v/>
      </c>
      <c r="N587" s="179" t="str">
        <f t="array" ref="N587">IF($F587&lt;&gt;"", XLOOKUP($F587,Productos!$A$2:$A1001,Productos!G$2:G1001,"")*$G587,"")</f>
        <v/>
      </c>
      <c r="O587" s="179" t="str">
        <f t="array" ref="O587">IF($F587&lt;&gt;"",XLOOKUP($F587,Productos!$A:$A,Productos!H:H,"Revisar"),"")</f>
        <v/>
      </c>
      <c r="P587" s="179" t="str">
        <f t="array" ref="P587">IF($F587&lt;&gt;"", XLOOKUP($F587,Productos!$A$2:$A1001,Productos!I$2:I1001,"")*$G587,"")</f>
        <v/>
      </c>
      <c r="Q587" s="179" t="str">
        <f t="array" ref="Q587">IF($F587&lt;&gt;"",XLOOKUP($F587,Productos!$A:$A,Productos!J:J,"Revisar"),"")</f>
        <v/>
      </c>
      <c r="R587" s="179" t="str">
        <f t="array" ref="R587">IF($F587&lt;&gt;"", XLOOKUP($F587,Productos!$A$2:$A1001,Productos!K$2:K1001,"")*$G587,"")</f>
        <v/>
      </c>
      <c r="S587" s="179" t="str">
        <f t="array" ref="S587">IF($F587&lt;&gt;"",XLOOKUP($F587,Productos!$A:$A,Productos!L:L,"Revisar"),"")</f>
        <v/>
      </c>
      <c r="T587" s="179" t="str">
        <f t="array" ref="T587">IF($F587&lt;&gt;"", XLOOKUP($F587,Productos!$A$2:$A1001,Productos!M$2:M1001,"")*$G587,"")</f>
        <v/>
      </c>
      <c r="U587" s="179" t="str">
        <f t="array" ref="U587">IF($F587&lt;&gt;"",XLOOKUP($F587,Productos!$A:$A,Productos!N:N,"Revisar"),"")</f>
        <v/>
      </c>
      <c r="V587" s="179" t="str">
        <f t="array" ref="V587">IF($F587&lt;&gt;"", XLOOKUP($F587,Productos!$A$2:$A1001,Productos!O$2:O1001,"")*$G587,"")</f>
        <v/>
      </c>
      <c r="W587" s="179" t="str">
        <f t="array" ref="W587">IF($F587&lt;&gt;"",XLOOKUP($F587,Productos!$A:$A,Productos!P:P,"Revisar"),"")</f>
        <v/>
      </c>
      <c r="X587" s="179" t="str">
        <f t="array" ref="X587">IF($F587&lt;&gt;"", XLOOKUP($F587,Productos!$A$2:$A1001,Productos!Q$2:Q1001,"")*$G587,"")</f>
        <v/>
      </c>
      <c r="Y587" s="179" t="str">
        <f t="array" ref="Y587">IF($F587&lt;&gt;"",XLOOKUP($F587,Productos!$A:$A,Productos!R:R,"Revisar"),"")</f>
        <v/>
      </c>
      <c r="Z587" s="179" t="str">
        <f t="array" ref="Z587">IF($F587&lt;&gt;"", XLOOKUP($F587,Productos!$A$2:$A1001,Productos!S$2:S1001,"")*$G587,"")</f>
        <v/>
      </c>
      <c r="AA587" s="179" t="str">
        <f t="array" ref="AA587">IF($F587&lt;&gt;"",XLOOKUP($F587,Productos!$A:$A,Productos!T:T,"Revisar"),"")</f>
        <v/>
      </c>
      <c r="AB587" s="179" t="str">
        <f t="array" ref="AB587">IF($F587&lt;&gt;"", XLOOKUP($F587,Productos!$A$2:$A1001,Productos!U$2:U1001,"")*$G587,"")</f>
        <v/>
      </c>
      <c r="AC587" s="179" t="str">
        <f t="array" ref="AC587">IF($F587&lt;&gt;"",XLOOKUP($F587,Productos!$A:$A,Productos!V:V,"Revisar"),"")</f>
        <v/>
      </c>
      <c r="AD587" s="179" t="str">
        <f t="array" ref="AD587">IF($F587&lt;&gt;"", XLOOKUP($F587,Productos!$A$2:$A1001,Productos!W$2:W1001,"")*$G587,"")</f>
        <v/>
      </c>
      <c r="AE587" s="179" t="str">
        <f t="array" ref="AE587">IF($F587&lt;&gt;"",XLOOKUP($F587,Productos!$A:$A,Productos!X:X,"Revisar"),"")</f>
        <v/>
      </c>
      <c r="AF587" s="179" t="str">
        <f t="array" ref="AF587">IF($F587&lt;&gt;"", XLOOKUP($F587,Productos!$A$2:$A1001,Productos!Y$2:Y1001,"")*$G587,"")</f>
        <v/>
      </c>
      <c r="AG587" s="179" t="str">
        <f t="array" ref="AG587">IF($F587&lt;&gt;"",XLOOKUP($F587,Productos!$A:$A,Productos!Z:Z,"Revisar"),"")</f>
        <v/>
      </c>
      <c r="AH587" s="179" t="str">
        <f t="array" ref="AH587">IF($F587&lt;&gt;"", XLOOKUP($F587,Productos!$A$2:$A1001,Productos!AA$2:AA1001,"")*$G587,"")</f>
        <v/>
      </c>
      <c r="AI587" s="179" t="str">
        <f t="array" ref="AI587">IF($F587&lt;&gt;"",XLOOKUP($F587,Productos!$A:$A,Productos!AB:AB,"Revisar"),"")</f>
        <v/>
      </c>
      <c r="AJ587" s="179" t="str">
        <f t="array" ref="AJ587">IF($F587&lt;&gt;"", XLOOKUP($F587,Productos!$A$2:$A1001,Productos!AC$2:AC1001,"")*$G587,"")</f>
        <v/>
      </c>
      <c r="AK587" s="179" t="str">
        <f t="array" ref="AK587">IF($F587&lt;&gt;"",XLOOKUP($F587,Productos!$A:$A,Productos!AD:AD,"Revisar"),"")</f>
        <v/>
      </c>
      <c r="AL587" s="179" t="str">
        <f t="array" ref="AL587">IF($F587&lt;&gt;"", XLOOKUP($F587,Productos!$A$2:$A1001,Productos!AE$2:AE1001,"")*$G587,"")</f>
        <v/>
      </c>
      <c r="AM587" s="179" t="str">
        <f t="array" ref="AM587">IF($F587&lt;&gt;"",XLOOKUP($F587,Productos!$A:$A,Productos!AF:AF,"Revisar"),"")</f>
        <v/>
      </c>
      <c r="AN587" s="179" t="str">
        <f t="array" ref="AN587">IF($F587&lt;&gt;"", XLOOKUP($F587,Productos!$A$2:$A1001,Productos!AG$2:AG1001,"")*$G587,"")</f>
        <v/>
      </c>
      <c r="AO587" s="179" t="str">
        <f t="array" ref="AO587">IF($F587&lt;&gt;"",XLOOKUP($F587,Productos!$A:$A,Productos!AH:AH,"Revisar"),"")</f>
        <v/>
      </c>
      <c r="AP587" s="179" t="str">
        <f t="array" ref="AP587">IF($F587&lt;&gt;"", XLOOKUP($F587,Productos!$A$2:$A1001,Productos!AI$2:AI1001,"")*$G587,"")</f>
        <v/>
      </c>
      <c r="AQ587" s="179" t="str">
        <f t="array" ref="AQ587">IF($F587&lt;&gt;"",XLOOKUP($F587,Productos!$A:$A,Productos!AJ:AJ,"Revisar"),"")</f>
        <v/>
      </c>
      <c r="AR587" s="179" t="str">
        <f t="array" ref="AR587">IF($F587&lt;&gt;"", XLOOKUP($F587,Productos!$A$2:$A1001,Productos!AK$2:AK1001,"")*$G587,"")</f>
        <v/>
      </c>
      <c r="AS587" s="179" t="str">
        <f t="array" ref="AS587">IF($F587&lt;&gt;"",XLOOKUP($F587,Productos!$A:$A,Productos!AL:AL,"Revisar"),"")</f>
        <v/>
      </c>
      <c r="AT587" s="179" t="str">
        <f t="array" ref="AT587">IF($F587&lt;&gt;"", XLOOKUP($F587,Productos!$A$2:$A1001,Productos!AM$2:AM1001,"")*$G587,"")</f>
        <v/>
      </c>
      <c r="AU587" s="179" t="str">
        <f t="array" ref="AU587">IF($F587&lt;&gt;"",XLOOKUP($F587,Productos!$A:$A,Productos!AN:AN,"Revisar"),"")</f>
        <v/>
      </c>
      <c r="AV587" s="179" t="str">
        <f t="array" ref="AV587">IF($F587&lt;&gt;"", XLOOKUP($F587,Productos!$A$2:$A1001,Productos!AO$2:AO1001,"")*$G587,"")</f>
        <v/>
      </c>
      <c r="AW587" s="179" t="str">
        <f t="array" ref="AW587">IF($F587&lt;&gt;"",XLOOKUP($F587,Productos!$A:$A,Productos!AP:AP,"Revisar"),"")</f>
        <v/>
      </c>
      <c r="AX587" s="179" t="str">
        <f t="array" ref="AX587">IF($F587&lt;&gt;"", XLOOKUP($F587,Productos!$A$2:$A1001,Productos!AQ$2:AQ1001,"")*$G587,"")</f>
        <v/>
      </c>
      <c r="AY587" s="179" t="str">
        <f t="array" ref="AY587">IF($F587&lt;&gt;"",XLOOKUP($F587,Productos!$A:$A,Productos!AR:AR,"Revisar"),"")</f>
        <v/>
      </c>
      <c r="AZ587" s="179" t="str">
        <f t="array" ref="AZ587">IF($F587&lt;&gt;"", XLOOKUP($F587,Productos!$A$2:$A1001,Productos!AS$2:AS1001,"")*$G587,"")</f>
        <v/>
      </c>
      <c r="BA587" s="179" t="str">
        <f t="array" ref="BA587">IF($F587&lt;&gt;"",XLOOKUP($F587,Productos!$A:$A,Productos!AT:AT,"Revisar"),"")</f>
        <v/>
      </c>
      <c r="BB587" s="179" t="str">
        <f t="array" ref="BB587">IF($F587&lt;&gt;"", XLOOKUP($F587,Productos!$A$2:$A1001,Productos!AU$2:AU1001,"")*$G587,"")</f>
        <v/>
      </c>
      <c r="BC587" s="179" t="str">
        <f t="array" ref="BC587">IF($F587&lt;&gt;"",XLOOKUP($F587,Productos!$A:$A,Productos!AV:AV,"Revisar"),"")</f>
        <v/>
      </c>
      <c r="BD587" s="179" t="str">
        <f t="array" ref="BD587">IF($F587&lt;&gt;"", XLOOKUP($F587,Productos!$A$2:$A1001,Productos!AW$2:AW1001,"")*$G587,"")</f>
        <v/>
      </c>
      <c r="BE587" s="179" t="str">
        <f t="array" ref="BE587">IF($F587&lt;&gt;"",XLOOKUP($F587,Productos!$A:$A,Productos!AX:AX,"Revisar"),"")</f>
        <v/>
      </c>
      <c r="BF587" s="179" t="str">
        <f t="array" ref="BF587">IF($F587&lt;&gt;"", XLOOKUP($F587,Productos!$A$2:$A1001,Productos!AY$2:AY1001,"")*$G587,"")</f>
        <v/>
      </c>
      <c r="BG587" s="179" t="str">
        <f t="array" ref="BG587">IF($F587&lt;&gt;"",XLOOKUP($F587,Productos!$A:$A,Productos!AZ:AZ,"Revisar"),"")</f>
        <v/>
      </c>
      <c r="BH587" s="179" t="str">
        <f t="array" ref="BH587">IF($F587&lt;&gt;"", XLOOKUP($F587,Productos!$A$2:$A1001,Productos!BA$2:BA1001,"")*$G587,"")</f>
        <v/>
      </c>
      <c r="BI587" s="179" t="str">
        <f t="array" ref="BI587">IF($F587&lt;&gt;"",XLOOKUP($F587,Productos!$A:$A,Productos!BB:BB,"Revisar"),"")</f>
        <v/>
      </c>
      <c r="BJ587" s="179" t="str">
        <f t="array" ref="BJ587">IF($F587&lt;&gt;"", XLOOKUP($F587,Productos!$A$2:$A1001,Productos!BC$2:BC1001,"")*$G587,"")</f>
        <v/>
      </c>
      <c r="BK587" s="179" t="str">
        <f t="array" ref="BK587">IF($F587&lt;&gt;"",XLOOKUP($F587,Productos!$A:$A,Productos!BD:BD,"Revisar"),"")</f>
        <v/>
      </c>
      <c r="BL587" s="179" t="str">
        <f t="array" ref="BL587">IF($F587&lt;&gt;"", XLOOKUP($F587,Productos!$A$2:$A1001,Productos!BE$2:BE1001,"")*$G587,"")</f>
        <v/>
      </c>
      <c r="BM587" s="179" t="str">
        <f t="array" ref="BM587">IF($F587&lt;&gt;"",XLOOKUP($F587,Productos!$A:$A,Productos!BF:BF,"Revisar"),"")</f>
        <v/>
      </c>
      <c r="BN587" s="179" t="str">
        <f t="array" ref="BN587">IF($F587&lt;&gt;"", XLOOKUP($F587,Productos!$A$2:$A1001,Productos!BG$2:BG1001,"")*$G587,"")</f>
        <v/>
      </c>
      <c r="BO587" s="179" t="str">
        <f t="array" ref="BO587">IF($F587&lt;&gt;"",XLOOKUP($F587,Productos!$A:$A,Productos!BH:BH,"Revisar"),"")</f>
        <v/>
      </c>
      <c r="BP587" s="179" t="str">
        <f t="array" ref="BP587">IF($F587&lt;&gt;"", XLOOKUP($F587,Productos!$A$2:$A1001,Productos!BI$2:BI1001,"")*$G587,"")</f>
        <v/>
      </c>
      <c r="BQ587" s="179" t="str">
        <f t="array" ref="BQ587">IF($F587&lt;&gt;"",XLOOKUP($F587,Productos!$A:$A,Productos!BJ:BJ,"Revisar"),"")</f>
        <v/>
      </c>
      <c r="BR587" s="179" t="str">
        <f t="array" ref="BR587">IF($F587&lt;&gt;"", XLOOKUP($F587,Productos!$A$2:$A1001,Productos!BK$2:BK1001,"")*$G587,"")</f>
        <v/>
      </c>
      <c r="BS587" s="179" t="str">
        <f t="array" ref="BS587">IF($F587&lt;&gt;"",XLOOKUP($F587,Productos!$A:$A,Productos!BL:BL,"Revisar"),"")</f>
        <v/>
      </c>
      <c r="BT587" s="179" t="str">
        <f t="array" ref="BT587">IF($F587&lt;&gt;"", XLOOKUP($F587,Productos!$A$2:$A1001,Productos!BM$2:BM1001,"")*$G587,"")</f>
        <v/>
      </c>
      <c r="BU587" s="179" t="str">
        <f t="array" ref="BU587">IF($F587&lt;&gt;"",XLOOKUP($F587,Productos!$A:$A,Productos!BN:BN,"Revisar"),"")</f>
        <v/>
      </c>
      <c r="BV587" s="179" t="str">
        <f t="array" ref="BV587">IF($F587&lt;&gt;"", XLOOKUP($F587,Productos!$A$2:$A1001,Productos!BO$2:BO1001,"")*$G587,"")</f>
        <v/>
      </c>
      <c r="BW587" s="179" t="str">
        <f t="array" ref="BW587">IF($F587&lt;&gt;"",XLOOKUP($F587,Productos!$A:$A,Productos!BP:BP,"Revisar"),"")</f>
        <v/>
      </c>
      <c r="BX587" s="179" t="str">
        <f t="array" ref="BX587">IF($F587&lt;&gt;"", XLOOKUP($F587,Productos!$A$2:$A1001,Productos!BQ$2:BQ1001,"")*$G587,"")</f>
        <v/>
      </c>
      <c r="BY587" s="179" t="str">
        <f t="array" ref="BY587">IF($F587&lt;&gt;"",XLOOKUP($F587,Productos!$A:$A,Productos!BR:BR,"Revisar"),"")</f>
        <v/>
      </c>
      <c r="BZ587" s="179" t="str">
        <f t="array" ref="BZ587">IF($F587&lt;&gt;"", XLOOKUP($F587,Productos!$A$2:$A1001,Productos!BS$2:BS1001,"")*$G587,"")</f>
        <v/>
      </c>
    </row>
    <row r="588">
      <c r="A588" s="188"/>
      <c r="B588" s="189"/>
      <c r="C588" s="190"/>
      <c r="D588" s="190"/>
      <c r="E588" s="191"/>
      <c r="F588" s="186"/>
      <c r="G588" s="192"/>
      <c r="H588" s="9"/>
      <c r="I588" s="179" t="str">
        <f t="array" ref="I588">IF($F588&lt;&gt;"",XLOOKUP($F588,Productos!$A:$A,Productos!B:B,"Revisar"),"")</f>
        <v/>
      </c>
      <c r="J588" s="179" t="str">
        <f t="array" ref="J588">IF($F588&lt;&gt;"", XLOOKUP($F588,Productos!$A$2:$A1001,Productos!C$2:C1001,"")*$G588,"")</f>
        <v/>
      </c>
      <c r="K588" s="179" t="str">
        <f t="array" ref="K588">IF($F588&lt;&gt;"",XLOOKUP($F588,Productos!$A:$A,Productos!D:D,"Revisar"),"")</f>
        <v/>
      </c>
      <c r="L588" s="179" t="str">
        <f t="array" ref="L588">IF($F588&lt;&gt;"", XLOOKUP($F588,Productos!$A$2:$A1001,Productos!E$2:E1001,"")*$G588,"")</f>
        <v/>
      </c>
      <c r="M588" s="179" t="str">
        <f t="array" ref="M588">IF($F588&lt;&gt;"",XLOOKUP($F588,Productos!$A:$A,Productos!F:F,"Revisar"),"")</f>
        <v/>
      </c>
      <c r="N588" s="179" t="str">
        <f t="array" ref="N588">IF($F588&lt;&gt;"", XLOOKUP($F588,Productos!$A$2:$A1001,Productos!G$2:G1001,"")*$G588,"")</f>
        <v/>
      </c>
      <c r="O588" s="179" t="str">
        <f t="array" ref="O588">IF($F588&lt;&gt;"",XLOOKUP($F588,Productos!$A:$A,Productos!H:H,"Revisar"),"")</f>
        <v/>
      </c>
      <c r="P588" s="179" t="str">
        <f t="array" ref="P588">IF($F588&lt;&gt;"", XLOOKUP($F588,Productos!$A$2:$A1001,Productos!I$2:I1001,"")*$G588,"")</f>
        <v/>
      </c>
      <c r="Q588" s="179" t="str">
        <f t="array" ref="Q588">IF($F588&lt;&gt;"",XLOOKUP($F588,Productos!$A:$A,Productos!J:J,"Revisar"),"")</f>
        <v/>
      </c>
      <c r="R588" s="179" t="str">
        <f t="array" ref="R588">IF($F588&lt;&gt;"", XLOOKUP($F588,Productos!$A$2:$A1001,Productos!K$2:K1001,"")*$G588,"")</f>
        <v/>
      </c>
      <c r="S588" s="179" t="str">
        <f t="array" ref="S588">IF($F588&lt;&gt;"",XLOOKUP($F588,Productos!$A:$A,Productos!L:L,"Revisar"),"")</f>
        <v/>
      </c>
      <c r="T588" s="179" t="str">
        <f t="array" ref="T588">IF($F588&lt;&gt;"", XLOOKUP($F588,Productos!$A$2:$A1001,Productos!M$2:M1001,"")*$G588,"")</f>
        <v/>
      </c>
      <c r="U588" s="179" t="str">
        <f t="array" ref="U588">IF($F588&lt;&gt;"",XLOOKUP($F588,Productos!$A:$A,Productos!N:N,"Revisar"),"")</f>
        <v/>
      </c>
      <c r="V588" s="179" t="str">
        <f t="array" ref="V588">IF($F588&lt;&gt;"", XLOOKUP($F588,Productos!$A$2:$A1001,Productos!O$2:O1001,"")*$G588,"")</f>
        <v/>
      </c>
      <c r="W588" s="179" t="str">
        <f t="array" ref="W588">IF($F588&lt;&gt;"",XLOOKUP($F588,Productos!$A:$A,Productos!P:P,"Revisar"),"")</f>
        <v/>
      </c>
      <c r="X588" s="179" t="str">
        <f t="array" ref="X588">IF($F588&lt;&gt;"", XLOOKUP($F588,Productos!$A$2:$A1001,Productos!Q$2:Q1001,"")*$G588,"")</f>
        <v/>
      </c>
      <c r="Y588" s="179" t="str">
        <f t="array" ref="Y588">IF($F588&lt;&gt;"",XLOOKUP($F588,Productos!$A:$A,Productos!R:R,"Revisar"),"")</f>
        <v/>
      </c>
      <c r="Z588" s="179" t="str">
        <f t="array" ref="Z588">IF($F588&lt;&gt;"", XLOOKUP($F588,Productos!$A$2:$A1001,Productos!S$2:S1001,"")*$G588,"")</f>
        <v/>
      </c>
      <c r="AA588" s="179" t="str">
        <f t="array" ref="AA588">IF($F588&lt;&gt;"",XLOOKUP($F588,Productos!$A:$A,Productos!T:T,"Revisar"),"")</f>
        <v/>
      </c>
      <c r="AB588" s="179" t="str">
        <f t="array" ref="AB588">IF($F588&lt;&gt;"", XLOOKUP($F588,Productos!$A$2:$A1001,Productos!U$2:U1001,"")*$G588,"")</f>
        <v/>
      </c>
      <c r="AC588" s="179" t="str">
        <f t="array" ref="AC588">IF($F588&lt;&gt;"",XLOOKUP($F588,Productos!$A:$A,Productos!V:V,"Revisar"),"")</f>
        <v/>
      </c>
      <c r="AD588" s="179" t="str">
        <f t="array" ref="AD588">IF($F588&lt;&gt;"", XLOOKUP($F588,Productos!$A$2:$A1001,Productos!W$2:W1001,"")*$G588,"")</f>
        <v/>
      </c>
      <c r="AE588" s="179" t="str">
        <f t="array" ref="AE588">IF($F588&lt;&gt;"",XLOOKUP($F588,Productos!$A:$A,Productos!X:X,"Revisar"),"")</f>
        <v/>
      </c>
      <c r="AF588" s="179" t="str">
        <f t="array" ref="AF588">IF($F588&lt;&gt;"", XLOOKUP($F588,Productos!$A$2:$A1001,Productos!Y$2:Y1001,"")*$G588,"")</f>
        <v/>
      </c>
      <c r="AG588" s="179" t="str">
        <f t="array" ref="AG588">IF($F588&lt;&gt;"",XLOOKUP($F588,Productos!$A:$A,Productos!Z:Z,"Revisar"),"")</f>
        <v/>
      </c>
      <c r="AH588" s="179" t="str">
        <f t="array" ref="AH588">IF($F588&lt;&gt;"", XLOOKUP($F588,Productos!$A$2:$A1001,Productos!AA$2:AA1001,"")*$G588,"")</f>
        <v/>
      </c>
      <c r="AI588" s="179" t="str">
        <f t="array" ref="AI588">IF($F588&lt;&gt;"",XLOOKUP($F588,Productos!$A:$A,Productos!AB:AB,"Revisar"),"")</f>
        <v/>
      </c>
      <c r="AJ588" s="179" t="str">
        <f t="array" ref="AJ588">IF($F588&lt;&gt;"", XLOOKUP($F588,Productos!$A$2:$A1001,Productos!AC$2:AC1001,"")*$G588,"")</f>
        <v/>
      </c>
      <c r="AK588" s="179" t="str">
        <f t="array" ref="AK588">IF($F588&lt;&gt;"",XLOOKUP($F588,Productos!$A:$A,Productos!AD:AD,"Revisar"),"")</f>
        <v/>
      </c>
      <c r="AL588" s="179" t="str">
        <f t="array" ref="AL588">IF($F588&lt;&gt;"", XLOOKUP($F588,Productos!$A$2:$A1001,Productos!AE$2:AE1001,"")*$G588,"")</f>
        <v/>
      </c>
      <c r="AM588" s="179" t="str">
        <f t="array" ref="AM588">IF($F588&lt;&gt;"",XLOOKUP($F588,Productos!$A:$A,Productos!AF:AF,"Revisar"),"")</f>
        <v/>
      </c>
      <c r="AN588" s="179" t="str">
        <f t="array" ref="AN588">IF($F588&lt;&gt;"", XLOOKUP($F588,Productos!$A$2:$A1001,Productos!AG$2:AG1001,"")*$G588,"")</f>
        <v/>
      </c>
      <c r="AO588" s="179" t="str">
        <f t="array" ref="AO588">IF($F588&lt;&gt;"",XLOOKUP($F588,Productos!$A:$A,Productos!AH:AH,"Revisar"),"")</f>
        <v/>
      </c>
      <c r="AP588" s="179" t="str">
        <f t="array" ref="AP588">IF($F588&lt;&gt;"", XLOOKUP($F588,Productos!$A$2:$A1001,Productos!AI$2:AI1001,"")*$G588,"")</f>
        <v/>
      </c>
      <c r="AQ588" s="179" t="str">
        <f t="array" ref="AQ588">IF($F588&lt;&gt;"",XLOOKUP($F588,Productos!$A:$A,Productos!AJ:AJ,"Revisar"),"")</f>
        <v/>
      </c>
      <c r="AR588" s="179" t="str">
        <f t="array" ref="AR588">IF($F588&lt;&gt;"", XLOOKUP($F588,Productos!$A$2:$A1001,Productos!AK$2:AK1001,"")*$G588,"")</f>
        <v/>
      </c>
      <c r="AS588" s="179" t="str">
        <f t="array" ref="AS588">IF($F588&lt;&gt;"",XLOOKUP($F588,Productos!$A:$A,Productos!AL:AL,"Revisar"),"")</f>
        <v/>
      </c>
      <c r="AT588" s="179" t="str">
        <f t="array" ref="AT588">IF($F588&lt;&gt;"", XLOOKUP($F588,Productos!$A$2:$A1001,Productos!AM$2:AM1001,"")*$G588,"")</f>
        <v/>
      </c>
      <c r="AU588" s="179" t="str">
        <f t="array" ref="AU588">IF($F588&lt;&gt;"",XLOOKUP($F588,Productos!$A:$A,Productos!AN:AN,"Revisar"),"")</f>
        <v/>
      </c>
      <c r="AV588" s="179" t="str">
        <f t="array" ref="AV588">IF($F588&lt;&gt;"", XLOOKUP($F588,Productos!$A$2:$A1001,Productos!AO$2:AO1001,"")*$G588,"")</f>
        <v/>
      </c>
      <c r="AW588" s="179" t="str">
        <f t="array" ref="AW588">IF($F588&lt;&gt;"",XLOOKUP($F588,Productos!$A:$A,Productos!AP:AP,"Revisar"),"")</f>
        <v/>
      </c>
      <c r="AX588" s="179" t="str">
        <f t="array" ref="AX588">IF($F588&lt;&gt;"", XLOOKUP($F588,Productos!$A$2:$A1001,Productos!AQ$2:AQ1001,"")*$G588,"")</f>
        <v/>
      </c>
      <c r="AY588" s="179" t="str">
        <f t="array" ref="AY588">IF($F588&lt;&gt;"",XLOOKUP($F588,Productos!$A:$A,Productos!AR:AR,"Revisar"),"")</f>
        <v/>
      </c>
      <c r="AZ588" s="179" t="str">
        <f t="array" ref="AZ588">IF($F588&lt;&gt;"", XLOOKUP($F588,Productos!$A$2:$A1001,Productos!AS$2:AS1001,"")*$G588,"")</f>
        <v/>
      </c>
      <c r="BA588" s="179" t="str">
        <f t="array" ref="BA588">IF($F588&lt;&gt;"",XLOOKUP($F588,Productos!$A:$A,Productos!AT:AT,"Revisar"),"")</f>
        <v/>
      </c>
      <c r="BB588" s="179" t="str">
        <f t="array" ref="BB588">IF($F588&lt;&gt;"", XLOOKUP($F588,Productos!$A$2:$A1001,Productos!AU$2:AU1001,"")*$G588,"")</f>
        <v/>
      </c>
      <c r="BC588" s="179" t="str">
        <f t="array" ref="BC588">IF($F588&lt;&gt;"",XLOOKUP($F588,Productos!$A:$A,Productos!AV:AV,"Revisar"),"")</f>
        <v/>
      </c>
      <c r="BD588" s="179" t="str">
        <f t="array" ref="BD588">IF($F588&lt;&gt;"", XLOOKUP($F588,Productos!$A$2:$A1001,Productos!AW$2:AW1001,"")*$G588,"")</f>
        <v/>
      </c>
      <c r="BE588" s="179" t="str">
        <f t="array" ref="BE588">IF($F588&lt;&gt;"",XLOOKUP($F588,Productos!$A:$A,Productos!AX:AX,"Revisar"),"")</f>
        <v/>
      </c>
      <c r="BF588" s="179" t="str">
        <f t="array" ref="BF588">IF($F588&lt;&gt;"", XLOOKUP($F588,Productos!$A$2:$A1001,Productos!AY$2:AY1001,"")*$G588,"")</f>
        <v/>
      </c>
      <c r="BG588" s="179" t="str">
        <f t="array" ref="BG588">IF($F588&lt;&gt;"",XLOOKUP($F588,Productos!$A:$A,Productos!AZ:AZ,"Revisar"),"")</f>
        <v/>
      </c>
      <c r="BH588" s="179" t="str">
        <f t="array" ref="BH588">IF($F588&lt;&gt;"", XLOOKUP($F588,Productos!$A$2:$A1001,Productos!BA$2:BA1001,"")*$G588,"")</f>
        <v/>
      </c>
      <c r="BI588" s="179" t="str">
        <f t="array" ref="BI588">IF($F588&lt;&gt;"",XLOOKUP($F588,Productos!$A:$A,Productos!BB:BB,"Revisar"),"")</f>
        <v/>
      </c>
      <c r="BJ588" s="179" t="str">
        <f t="array" ref="BJ588">IF($F588&lt;&gt;"", XLOOKUP($F588,Productos!$A$2:$A1001,Productos!BC$2:BC1001,"")*$G588,"")</f>
        <v/>
      </c>
      <c r="BK588" s="179" t="str">
        <f t="array" ref="BK588">IF($F588&lt;&gt;"",XLOOKUP($F588,Productos!$A:$A,Productos!BD:BD,"Revisar"),"")</f>
        <v/>
      </c>
      <c r="BL588" s="179" t="str">
        <f t="array" ref="BL588">IF($F588&lt;&gt;"", XLOOKUP($F588,Productos!$A$2:$A1001,Productos!BE$2:BE1001,"")*$G588,"")</f>
        <v/>
      </c>
      <c r="BM588" s="179" t="str">
        <f t="array" ref="BM588">IF($F588&lt;&gt;"",XLOOKUP($F588,Productos!$A:$A,Productos!BF:BF,"Revisar"),"")</f>
        <v/>
      </c>
      <c r="BN588" s="179" t="str">
        <f t="array" ref="BN588">IF($F588&lt;&gt;"", XLOOKUP($F588,Productos!$A$2:$A1001,Productos!BG$2:BG1001,"")*$G588,"")</f>
        <v/>
      </c>
      <c r="BO588" s="179" t="str">
        <f t="array" ref="BO588">IF($F588&lt;&gt;"",XLOOKUP($F588,Productos!$A:$A,Productos!BH:BH,"Revisar"),"")</f>
        <v/>
      </c>
      <c r="BP588" s="179" t="str">
        <f t="array" ref="BP588">IF($F588&lt;&gt;"", XLOOKUP($F588,Productos!$A$2:$A1001,Productos!BI$2:BI1001,"")*$G588,"")</f>
        <v/>
      </c>
      <c r="BQ588" s="179" t="str">
        <f t="array" ref="BQ588">IF($F588&lt;&gt;"",XLOOKUP($F588,Productos!$A:$A,Productos!BJ:BJ,"Revisar"),"")</f>
        <v/>
      </c>
      <c r="BR588" s="179" t="str">
        <f t="array" ref="BR588">IF($F588&lt;&gt;"", XLOOKUP($F588,Productos!$A$2:$A1001,Productos!BK$2:BK1001,"")*$G588,"")</f>
        <v/>
      </c>
      <c r="BS588" s="179" t="str">
        <f t="array" ref="BS588">IF($F588&lt;&gt;"",XLOOKUP($F588,Productos!$A:$A,Productos!BL:BL,"Revisar"),"")</f>
        <v/>
      </c>
      <c r="BT588" s="179" t="str">
        <f t="array" ref="BT588">IF($F588&lt;&gt;"", XLOOKUP($F588,Productos!$A$2:$A1001,Productos!BM$2:BM1001,"")*$G588,"")</f>
        <v/>
      </c>
      <c r="BU588" s="179" t="str">
        <f t="array" ref="BU588">IF($F588&lt;&gt;"",XLOOKUP($F588,Productos!$A:$A,Productos!BN:BN,"Revisar"),"")</f>
        <v/>
      </c>
      <c r="BV588" s="179" t="str">
        <f t="array" ref="BV588">IF($F588&lt;&gt;"", XLOOKUP($F588,Productos!$A$2:$A1001,Productos!BO$2:BO1001,"")*$G588,"")</f>
        <v/>
      </c>
      <c r="BW588" s="179" t="str">
        <f t="array" ref="BW588">IF($F588&lt;&gt;"",XLOOKUP($F588,Productos!$A:$A,Productos!BP:BP,"Revisar"),"")</f>
        <v/>
      </c>
      <c r="BX588" s="179" t="str">
        <f t="array" ref="BX588">IF($F588&lt;&gt;"", XLOOKUP($F588,Productos!$A$2:$A1001,Productos!BQ$2:BQ1001,"")*$G588,"")</f>
        <v/>
      </c>
      <c r="BY588" s="179" t="str">
        <f t="array" ref="BY588">IF($F588&lt;&gt;"",XLOOKUP($F588,Productos!$A:$A,Productos!BR:BR,"Revisar"),"")</f>
        <v/>
      </c>
      <c r="BZ588" s="179" t="str">
        <f t="array" ref="BZ588">IF($F588&lt;&gt;"", XLOOKUP($F588,Productos!$A$2:$A1001,Productos!BS$2:BS1001,"")*$G588,"")</f>
        <v/>
      </c>
    </row>
    <row r="589">
      <c r="A589" s="188"/>
      <c r="B589" s="189"/>
      <c r="C589" s="190"/>
      <c r="D589" s="190"/>
      <c r="E589" s="191"/>
      <c r="F589" s="186"/>
      <c r="G589" s="192"/>
      <c r="H589" s="9"/>
      <c r="I589" s="179" t="str">
        <f t="array" ref="I589">IF($F589&lt;&gt;"",XLOOKUP($F589,Productos!$A:$A,Productos!B:B,"Revisar"),"")</f>
        <v/>
      </c>
      <c r="J589" s="179" t="str">
        <f t="array" ref="J589">IF($F589&lt;&gt;"", XLOOKUP($F589,Productos!$A$2:$A1001,Productos!C$2:C1001,"")*$G589,"")</f>
        <v/>
      </c>
      <c r="K589" s="179" t="str">
        <f t="array" ref="K589">IF($F589&lt;&gt;"",XLOOKUP($F589,Productos!$A:$A,Productos!D:D,"Revisar"),"")</f>
        <v/>
      </c>
      <c r="L589" s="179" t="str">
        <f t="array" ref="L589">IF($F589&lt;&gt;"", XLOOKUP($F589,Productos!$A$2:$A1001,Productos!E$2:E1001,"")*$G589,"")</f>
        <v/>
      </c>
      <c r="M589" s="179" t="str">
        <f t="array" ref="M589">IF($F589&lt;&gt;"",XLOOKUP($F589,Productos!$A:$A,Productos!F:F,"Revisar"),"")</f>
        <v/>
      </c>
      <c r="N589" s="179" t="str">
        <f t="array" ref="N589">IF($F589&lt;&gt;"", XLOOKUP($F589,Productos!$A$2:$A1001,Productos!G$2:G1001,"")*$G589,"")</f>
        <v/>
      </c>
      <c r="O589" s="179" t="str">
        <f t="array" ref="O589">IF($F589&lt;&gt;"",XLOOKUP($F589,Productos!$A:$A,Productos!H:H,"Revisar"),"")</f>
        <v/>
      </c>
      <c r="P589" s="179" t="str">
        <f t="array" ref="P589">IF($F589&lt;&gt;"", XLOOKUP($F589,Productos!$A$2:$A1001,Productos!I$2:I1001,"")*$G589,"")</f>
        <v/>
      </c>
      <c r="Q589" s="179" t="str">
        <f t="array" ref="Q589">IF($F589&lt;&gt;"",XLOOKUP($F589,Productos!$A:$A,Productos!J:J,"Revisar"),"")</f>
        <v/>
      </c>
      <c r="R589" s="179" t="str">
        <f t="array" ref="R589">IF($F589&lt;&gt;"", XLOOKUP($F589,Productos!$A$2:$A1001,Productos!K$2:K1001,"")*$G589,"")</f>
        <v/>
      </c>
      <c r="S589" s="179" t="str">
        <f t="array" ref="S589">IF($F589&lt;&gt;"",XLOOKUP($F589,Productos!$A:$A,Productos!L:L,"Revisar"),"")</f>
        <v/>
      </c>
      <c r="T589" s="179" t="str">
        <f t="array" ref="T589">IF($F589&lt;&gt;"", XLOOKUP($F589,Productos!$A$2:$A1001,Productos!M$2:M1001,"")*$G589,"")</f>
        <v/>
      </c>
      <c r="U589" s="179" t="str">
        <f t="array" ref="U589">IF($F589&lt;&gt;"",XLOOKUP($F589,Productos!$A:$A,Productos!N:N,"Revisar"),"")</f>
        <v/>
      </c>
      <c r="V589" s="179" t="str">
        <f t="array" ref="V589">IF($F589&lt;&gt;"", XLOOKUP($F589,Productos!$A$2:$A1001,Productos!O$2:O1001,"")*$G589,"")</f>
        <v/>
      </c>
      <c r="W589" s="179" t="str">
        <f t="array" ref="W589">IF($F589&lt;&gt;"",XLOOKUP($F589,Productos!$A:$A,Productos!P:P,"Revisar"),"")</f>
        <v/>
      </c>
      <c r="X589" s="179" t="str">
        <f t="array" ref="X589">IF($F589&lt;&gt;"", XLOOKUP($F589,Productos!$A$2:$A1001,Productos!Q$2:Q1001,"")*$G589,"")</f>
        <v/>
      </c>
      <c r="Y589" s="179" t="str">
        <f t="array" ref="Y589">IF($F589&lt;&gt;"",XLOOKUP($F589,Productos!$A:$A,Productos!R:R,"Revisar"),"")</f>
        <v/>
      </c>
      <c r="Z589" s="179" t="str">
        <f t="array" ref="Z589">IF($F589&lt;&gt;"", XLOOKUP($F589,Productos!$A$2:$A1001,Productos!S$2:S1001,"")*$G589,"")</f>
        <v/>
      </c>
      <c r="AA589" s="179" t="str">
        <f t="array" ref="AA589">IF($F589&lt;&gt;"",XLOOKUP($F589,Productos!$A:$A,Productos!T:T,"Revisar"),"")</f>
        <v/>
      </c>
      <c r="AB589" s="179" t="str">
        <f t="array" ref="AB589">IF($F589&lt;&gt;"", XLOOKUP($F589,Productos!$A$2:$A1001,Productos!U$2:U1001,"")*$G589,"")</f>
        <v/>
      </c>
      <c r="AC589" s="179" t="str">
        <f t="array" ref="AC589">IF($F589&lt;&gt;"",XLOOKUP($F589,Productos!$A:$A,Productos!V:V,"Revisar"),"")</f>
        <v/>
      </c>
      <c r="AD589" s="179" t="str">
        <f t="array" ref="AD589">IF($F589&lt;&gt;"", XLOOKUP($F589,Productos!$A$2:$A1001,Productos!W$2:W1001,"")*$G589,"")</f>
        <v/>
      </c>
      <c r="AE589" s="179" t="str">
        <f t="array" ref="AE589">IF($F589&lt;&gt;"",XLOOKUP($F589,Productos!$A:$A,Productos!X:X,"Revisar"),"")</f>
        <v/>
      </c>
      <c r="AF589" s="179" t="str">
        <f t="array" ref="AF589">IF($F589&lt;&gt;"", XLOOKUP($F589,Productos!$A$2:$A1001,Productos!Y$2:Y1001,"")*$G589,"")</f>
        <v/>
      </c>
      <c r="AG589" s="179" t="str">
        <f t="array" ref="AG589">IF($F589&lt;&gt;"",XLOOKUP($F589,Productos!$A:$A,Productos!Z:Z,"Revisar"),"")</f>
        <v/>
      </c>
      <c r="AH589" s="179" t="str">
        <f t="array" ref="AH589">IF($F589&lt;&gt;"", XLOOKUP($F589,Productos!$A$2:$A1001,Productos!AA$2:AA1001,"")*$G589,"")</f>
        <v/>
      </c>
      <c r="AI589" s="179" t="str">
        <f t="array" ref="AI589">IF($F589&lt;&gt;"",XLOOKUP($F589,Productos!$A:$A,Productos!AB:AB,"Revisar"),"")</f>
        <v/>
      </c>
      <c r="AJ589" s="179" t="str">
        <f t="array" ref="AJ589">IF($F589&lt;&gt;"", XLOOKUP($F589,Productos!$A$2:$A1001,Productos!AC$2:AC1001,"")*$G589,"")</f>
        <v/>
      </c>
      <c r="AK589" s="179" t="str">
        <f t="array" ref="AK589">IF($F589&lt;&gt;"",XLOOKUP($F589,Productos!$A:$A,Productos!AD:AD,"Revisar"),"")</f>
        <v/>
      </c>
      <c r="AL589" s="179" t="str">
        <f t="array" ref="AL589">IF($F589&lt;&gt;"", XLOOKUP($F589,Productos!$A$2:$A1001,Productos!AE$2:AE1001,"")*$G589,"")</f>
        <v/>
      </c>
      <c r="AM589" s="179" t="str">
        <f t="array" ref="AM589">IF($F589&lt;&gt;"",XLOOKUP($F589,Productos!$A:$A,Productos!AF:AF,"Revisar"),"")</f>
        <v/>
      </c>
      <c r="AN589" s="179" t="str">
        <f t="array" ref="AN589">IF($F589&lt;&gt;"", XLOOKUP($F589,Productos!$A$2:$A1001,Productos!AG$2:AG1001,"")*$G589,"")</f>
        <v/>
      </c>
      <c r="AO589" s="179" t="str">
        <f t="array" ref="AO589">IF($F589&lt;&gt;"",XLOOKUP($F589,Productos!$A:$A,Productos!AH:AH,"Revisar"),"")</f>
        <v/>
      </c>
      <c r="AP589" s="179" t="str">
        <f t="array" ref="AP589">IF($F589&lt;&gt;"", XLOOKUP($F589,Productos!$A$2:$A1001,Productos!AI$2:AI1001,"")*$G589,"")</f>
        <v/>
      </c>
      <c r="AQ589" s="179" t="str">
        <f t="array" ref="AQ589">IF($F589&lt;&gt;"",XLOOKUP($F589,Productos!$A:$A,Productos!AJ:AJ,"Revisar"),"")</f>
        <v/>
      </c>
      <c r="AR589" s="179" t="str">
        <f t="array" ref="AR589">IF($F589&lt;&gt;"", XLOOKUP($F589,Productos!$A$2:$A1001,Productos!AK$2:AK1001,"")*$G589,"")</f>
        <v/>
      </c>
      <c r="AS589" s="179" t="str">
        <f t="array" ref="AS589">IF($F589&lt;&gt;"",XLOOKUP($F589,Productos!$A:$A,Productos!AL:AL,"Revisar"),"")</f>
        <v/>
      </c>
      <c r="AT589" s="179" t="str">
        <f t="array" ref="AT589">IF($F589&lt;&gt;"", XLOOKUP($F589,Productos!$A$2:$A1001,Productos!AM$2:AM1001,"")*$G589,"")</f>
        <v/>
      </c>
      <c r="AU589" s="179" t="str">
        <f t="array" ref="AU589">IF($F589&lt;&gt;"",XLOOKUP($F589,Productos!$A:$A,Productos!AN:AN,"Revisar"),"")</f>
        <v/>
      </c>
      <c r="AV589" s="179" t="str">
        <f t="array" ref="AV589">IF($F589&lt;&gt;"", XLOOKUP($F589,Productos!$A$2:$A1001,Productos!AO$2:AO1001,"")*$G589,"")</f>
        <v/>
      </c>
      <c r="AW589" s="179" t="str">
        <f t="array" ref="AW589">IF($F589&lt;&gt;"",XLOOKUP($F589,Productos!$A:$A,Productos!AP:AP,"Revisar"),"")</f>
        <v/>
      </c>
      <c r="AX589" s="179" t="str">
        <f t="array" ref="AX589">IF($F589&lt;&gt;"", XLOOKUP($F589,Productos!$A$2:$A1001,Productos!AQ$2:AQ1001,"")*$G589,"")</f>
        <v/>
      </c>
      <c r="AY589" s="179" t="str">
        <f t="array" ref="AY589">IF($F589&lt;&gt;"",XLOOKUP($F589,Productos!$A:$A,Productos!AR:AR,"Revisar"),"")</f>
        <v/>
      </c>
      <c r="AZ589" s="179" t="str">
        <f t="array" ref="AZ589">IF($F589&lt;&gt;"", XLOOKUP($F589,Productos!$A$2:$A1001,Productos!AS$2:AS1001,"")*$G589,"")</f>
        <v/>
      </c>
      <c r="BA589" s="179" t="str">
        <f t="array" ref="BA589">IF($F589&lt;&gt;"",XLOOKUP($F589,Productos!$A:$A,Productos!AT:AT,"Revisar"),"")</f>
        <v/>
      </c>
      <c r="BB589" s="179" t="str">
        <f t="array" ref="BB589">IF($F589&lt;&gt;"", XLOOKUP($F589,Productos!$A$2:$A1001,Productos!AU$2:AU1001,"")*$G589,"")</f>
        <v/>
      </c>
      <c r="BC589" s="179" t="str">
        <f t="array" ref="BC589">IF($F589&lt;&gt;"",XLOOKUP($F589,Productos!$A:$A,Productos!AV:AV,"Revisar"),"")</f>
        <v/>
      </c>
      <c r="BD589" s="179" t="str">
        <f t="array" ref="BD589">IF($F589&lt;&gt;"", XLOOKUP($F589,Productos!$A$2:$A1001,Productos!AW$2:AW1001,"")*$G589,"")</f>
        <v/>
      </c>
      <c r="BE589" s="179" t="str">
        <f t="array" ref="BE589">IF($F589&lt;&gt;"",XLOOKUP($F589,Productos!$A:$A,Productos!AX:AX,"Revisar"),"")</f>
        <v/>
      </c>
      <c r="BF589" s="179" t="str">
        <f t="array" ref="BF589">IF($F589&lt;&gt;"", XLOOKUP($F589,Productos!$A$2:$A1001,Productos!AY$2:AY1001,"")*$G589,"")</f>
        <v/>
      </c>
      <c r="BG589" s="179" t="str">
        <f t="array" ref="BG589">IF($F589&lt;&gt;"",XLOOKUP($F589,Productos!$A:$A,Productos!AZ:AZ,"Revisar"),"")</f>
        <v/>
      </c>
      <c r="BH589" s="179" t="str">
        <f t="array" ref="BH589">IF($F589&lt;&gt;"", XLOOKUP($F589,Productos!$A$2:$A1001,Productos!BA$2:BA1001,"")*$G589,"")</f>
        <v/>
      </c>
      <c r="BI589" s="179" t="str">
        <f t="array" ref="BI589">IF($F589&lt;&gt;"",XLOOKUP($F589,Productos!$A:$A,Productos!BB:BB,"Revisar"),"")</f>
        <v/>
      </c>
      <c r="BJ589" s="179" t="str">
        <f t="array" ref="BJ589">IF($F589&lt;&gt;"", XLOOKUP($F589,Productos!$A$2:$A1001,Productos!BC$2:BC1001,"")*$G589,"")</f>
        <v/>
      </c>
      <c r="BK589" s="179" t="str">
        <f t="array" ref="BK589">IF($F589&lt;&gt;"",XLOOKUP($F589,Productos!$A:$A,Productos!BD:BD,"Revisar"),"")</f>
        <v/>
      </c>
      <c r="BL589" s="179" t="str">
        <f t="array" ref="BL589">IF($F589&lt;&gt;"", XLOOKUP($F589,Productos!$A$2:$A1001,Productos!BE$2:BE1001,"")*$G589,"")</f>
        <v/>
      </c>
      <c r="BM589" s="179" t="str">
        <f t="array" ref="BM589">IF($F589&lt;&gt;"",XLOOKUP($F589,Productos!$A:$A,Productos!BF:BF,"Revisar"),"")</f>
        <v/>
      </c>
      <c r="BN589" s="179" t="str">
        <f t="array" ref="BN589">IF($F589&lt;&gt;"", XLOOKUP($F589,Productos!$A$2:$A1001,Productos!BG$2:BG1001,"")*$G589,"")</f>
        <v/>
      </c>
      <c r="BO589" s="179" t="str">
        <f t="array" ref="BO589">IF($F589&lt;&gt;"",XLOOKUP($F589,Productos!$A:$A,Productos!BH:BH,"Revisar"),"")</f>
        <v/>
      </c>
      <c r="BP589" s="179" t="str">
        <f t="array" ref="BP589">IF($F589&lt;&gt;"", XLOOKUP($F589,Productos!$A$2:$A1001,Productos!BI$2:BI1001,"")*$G589,"")</f>
        <v/>
      </c>
      <c r="BQ589" s="179" t="str">
        <f t="array" ref="BQ589">IF($F589&lt;&gt;"",XLOOKUP($F589,Productos!$A:$A,Productos!BJ:BJ,"Revisar"),"")</f>
        <v/>
      </c>
      <c r="BR589" s="179" t="str">
        <f t="array" ref="BR589">IF($F589&lt;&gt;"", XLOOKUP($F589,Productos!$A$2:$A1001,Productos!BK$2:BK1001,"")*$G589,"")</f>
        <v/>
      </c>
      <c r="BS589" s="179" t="str">
        <f t="array" ref="BS589">IF($F589&lt;&gt;"",XLOOKUP($F589,Productos!$A:$A,Productos!BL:BL,"Revisar"),"")</f>
        <v/>
      </c>
      <c r="BT589" s="179" t="str">
        <f t="array" ref="BT589">IF($F589&lt;&gt;"", XLOOKUP($F589,Productos!$A$2:$A1001,Productos!BM$2:BM1001,"")*$G589,"")</f>
        <v/>
      </c>
      <c r="BU589" s="179" t="str">
        <f t="array" ref="BU589">IF($F589&lt;&gt;"",XLOOKUP($F589,Productos!$A:$A,Productos!BN:BN,"Revisar"),"")</f>
        <v/>
      </c>
      <c r="BV589" s="179" t="str">
        <f t="array" ref="BV589">IF($F589&lt;&gt;"", XLOOKUP($F589,Productos!$A$2:$A1001,Productos!BO$2:BO1001,"")*$G589,"")</f>
        <v/>
      </c>
      <c r="BW589" s="179" t="str">
        <f t="array" ref="BW589">IF($F589&lt;&gt;"",XLOOKUP($F589,Productos!$A:$A,Productos!BP:BP,"Revisar"),"")</f>
        <v/>
      </c>
      <c r="BX589" s="179" t="str">
        <f t="array" ref="BX589">IF($F589&lt;&gt;"", XLOOKUP($F589,Productos!$A$2:$A1001,Productos!BQ$2:BQ1001,"")*$G589,"")</f>
        <v/>
      </c>
      <c r="BY589" s="179" t="str">
        <f t="array" ref="BY589">IF($F589&lt;&gt;"",XLOOKUP($F589,Productos!$A:$A,Productos!BR:BR,"Revisar"),"")</f>
        <v/>
      </c>
      <c r="BZ589" s="179" t="str">
        <f t="array" ref="BZ589">IF($F589&lt;&gt;"", XLOOKUP($F589,Productos!$A$2:$A1001,Productos!BS$2:BS1001,"")*$G589,"")</f>
        <v/>
      </c>
    </row>
    <row r="590">
      <c r="A590" s="188"/>
      <c r="B590" s="189"/>
      <c r="C590" s="190"/>
      <c r="D590" s="190"/>
      <c r="E590" s="191"/>
      <c r="F590" s="186"/>
      <c r="G590" s="192"/>
      <c r="H590" s="9"/>
      <c r="I590" s="179" t="str">
        <f t="array" ref="I590">IF($F590&lt;&gt;"",XLOOKUP($F590,Productos!$A:$A,Productos!B:B,"Revisar"),"")</f>
        <v/>
      </c>
      <c r="J590" s="179" t="str">
        <f t="array" ref="J590">IF($F590&lt;&gt;"", XLOOKUP($F590,Productos!$A$2:$A1001,Productos!C$2:C1001,"")*$G590,"")</f>
        <v/>
      </c>
      <c r="K590" s="179" t="str">
        <f t="array" ref="K590">IF($F590&lt;&gt;"",XLOOKUP($F590,Productos!$A:$A,Productos!D:D,"Revisar"),"")</f>
        <v/>
      </c>
      <c r="L590" s="179" t="str">
        <f t="array" ref="L590">IF($F590&lt;&gt;"", XLOOKUP($F590,Productos!$A$2:$A1001,Productos!E$2:E1001,"")*$G590,"")</f>
        <v/>
      </c>
      <c r="M590" s="179" t="str">
        <f t="array" ref="M590">IF($F590&lt;&gt;"",XLOOKUP($F590,Productos!$A:$A,Productos!F:F,"Revisar"),"")</f>
        <v/>
      </c>
      <c r="N590" s="179" t="str">
        <f t="array" ref="N590">IF($F590&lt;&gt;"", XLOOKUP($F590,Productos!$A$2:$A1001,Productos!G$2:G1001,"")*$G590,"")</f>
        <v/>
      </c>
      <c r="O590" s="179" t="str">
        <f t="array" ref="O590">IF($F590&lt;&gt;"",XLOOKUP($F590,Productos!$A:$A,Productos!H:H,"Revisar"),"")</f>
        <v/>
      </c>
      <c r="P590" s="179" t="str">
        <f t="array" ref="P590">IF($F590&lt;&gt;"", XLOOKUP($F590,Productos!$A$2:$A1001,Productos!I$2:I1001,"")*$G590,"")</f>
        <v/>
      </c>
      <c r="Q590" s="179" t="str">
        <f t="array" ref="Q590">IF($F590&lt;&gt;"",XLOOKUP($F590,Productos!$A:$A,Productos!J:J,"Revisar"),"")</f>
        <v/>
      </c>
      <c r="R590" s="179" t="str">
        <f t="array" ref="R590">IF($F590&lt;&gt;"", XLOOKUP($F590,Productos!$A$2:$A1001,Productos!K$2:K1001,"")*$G590,"")</f>
        <v/>
      </c>
      <c r="S590" s="179" t="str">
        <f t="array" ref="S590">IF($F590&lt;&gt;"",XLOOKUP($F590,Productos!$A:$A,Productos!L:L,"Revisar"),"")</f>
        <v/>
      </c>
      <c r="T590" s="179" t="str">
        <f t="array" ref="T590">IF($F590&lt;&gt;"", XLOOKUP($F590,Productos!$A$2:$A1001,Productos!M$2:M1001,"")*$G590,"")</f>
        <v/>
      </c>
      <c r="U590" s="179" t="str">
        <f t="array" ref="U590">IF($F590&lt;&gt;"",XLOOKUP($F590,Productos!$A:$A,Productos!N:N,"Revisar"),"")</f>
        <v/>
      </c>
      <c r="V590" s="179" t="str">
        <f t="array" ref="V590">IF($F590&lt;&gt;"", XLOOKUP($F590,Productos!$A$2:$A1001,Productos!O$2:O1001,"")*$G590,"")</f>
        <v/>
      </c>
      <c r="W590" s="179" t="str">
        <f t="array" ref="W590">IF($F590&lt;&gt;"",XLOOKUP($F590,Productos!$A:$A,Productos!P:P,"Revisar"),"")</f>
        <v/>
      </c>
      <c r="X590" s="179" t="str">
        <f t="array" ref="X590">IF($F590&lt;&gt;"", XLOOKUP($F590,Productos!$A$2:$A1001,Productos!Q$2:Q1001,"")*$G590,"")</f>
        <v/>
      </c>
      <c r="Y590" s="179" t="str">
        <f t="array" ref="Y590">IF($F590&lt;&gt;"",XLOOKUP($F590,Productos!$A:$A,Productos!R:R,"Revisar"),"")</f>
        <v/>
      </c>
      <c r="Z590" s="179" t="str">
        <f t="array" ref="Z590">IF($F590&lt;&gt;"", XLOOKUP($F590,Productos!$A$2:$A1001,Productos!S$2:S1001,"")*$G590,"")</f>
        <v/>
      </c>
      <c r="AA590" s="179" t="str">
        <f t="array" ref="AA590">IF($F590&lt;&gt;"",XLOOKUP($F590,Productos!$A:$A,Productos!T:T,"Revisar"),"")</f>
        <v/>
      </c>
      <c r="AB590" s="179" t="str">
        <f t="array" ref="AB590">IF($F590&lt;&gt;"", XLOOKUP($F590,Productos!$A$2:$A1001,Productos!U$2:U1001,"")*$G590,"")</f>
        <v/>
      </c>
      <c r="AC590" s="179" t="str">
        <f t="array" ref="AC590">IF($F590&lt;&gt;"",XLOOKUP($F590,Productos!$A:$A,Productos!V:V,"Revisar"),"")</f>
        <v/>
      </c>
      <c r="AD590" s="179" t="str">
        <f t="array" ref="AD590">IF($F590&lt;&gt;"", XLOOKUP($F590,Productos!$A$2:$A1001,Productos!W$2:W1001,"")*$G590,"")</f>
        <v/>
      </c>
      <c r="AE590" s="179" t="str">
        <f t="array" ref="AE590">IF($F590&lt;&gt;"",XLOOKUP($F590,Productos!$A:$A,Productos!X:X,"Revisar"),"")</f>
        <v/>
      </c>
      <c r="AF590" s="179" t="str">
        <f t="array" ref="AF590">IF($F590&lt;&gt;"", XLOOKUP($F590,Productos!$A$2:$A1001,Productos!Y$2:Y1001,"")*$G590,"")</f>
        <v/>
      </c>
      <c r="AG590" s="179" t="str">
        <f t="array" ref="AG590">IF($F590&lt;&gt;"",XLOOKUP($F590,Productos!$A:$A,Productos!Z:Z,"Revisar"),"")</f>
        <v/>
      </c>
      <c r="AH590" s="179" t="str">
        <f t="array" ref="AH590">IF($F590&lt;&gt;"", XLOOKUP($F590,Productos!$A$2:$A1001,Productos!AA$2:AA1001,"")*$G590,"")</f>
        <v/>
      </c>
      <c r="AI590" s="179" t="str">
        <f t="array" ref="AI590">IF($F590&lt;&gt;"",XLOOKUP($F590,Productos!$A:$A,Productos!AB:AB,"Revisar"),"")</f>
        <v/>
      </c>
      <c r="AJ590" s="179" t="str">
        <f t="array" ref="AJ590">IF($F590&lt;&gt;"", XLOOKUP($F590,Productos!$A$2:$A1001,Productos!AC$2:AC1001,"")*$G590,"")</f>
        <v/>
      </c>
      <c r="AK590" s="179" t="str">
        <f t="array" ref="AK590">IF($F590&lt;&gt;"",XLOOKUP($F590,Productos!$A:$A,Productos!AD:AD,"Revisar"),"")</f>
        <v/>
      </c>
      <c r="AL590" s="179" t="str">
        <f t="array" ref="AL590">IF($F590&lt;&gt;"", XLOOKUP($F590,Productos!$A$2:$A1001,Productos!AE$2:AE1001,"")*$G590,"")</f>
        <v/>
      </c>
      <c r="AM590" s="179" t="str">
        <f t="array" ref="AM590">IF($F590&lt;&gt;"",XLOOKUP($F590,Productos!$A:$A,Productos!AF:AF,"Revisar"),"")</f>
        <v/>
      </c>
      <c r="AN590" s="179" t="str">
        <f t="array" ref="AN590">IF($F590&lt;&gt;"", XLOOKUP($F590,Productos!$A$2:$A1001,Productos!AG$2:AG1001,"")*$G590,"")</f>
        <v/>
      </c>
      <c r="AO590" s="179" t="str">
        <f t="array" ref="AO590">IF($F590&lt;&gt;"",XLOOKUP($F590,Productos!$A:$A,Productos!AH:AH,"Revisar"),"")</f>
        <v/>
      </c>
      <c r="AP590" s="179" t="str">
        <f t="array" ref="AP590">IF($F590&lt;&gt;"", XLOOKUP($F590,Productos!$A$2:$A1001,Productos!AI$2:AI1001,"")*$G590,"")</f>
        <v/>
      </c>
      <c r="AQ590" s="179" t="str">
        <f t="array" ref="AQ590">IF($F590&lt;&gt;"",XLOOKUP($F590,Productos!$A:$A,Productos!AJ:AJ,"Revisar"),"")</f>
        <v/>
      </c>
      <c r="AR590" s="179" t="str">
        <f t="array" ref="AR590">IF($F590&lt;&gt;"", XLOOKUP($F590,Productos!$A$2:$A1001,Productos!AK$2:AK1001,"")*$G590,"")</f>
        <v/>
      </c>
      <c r="AS590" s="179" t="str">
        <f t="array" ref="AS590">IF($F590&lt;&gt;"",XLOOKUP($F590,Productos!$A:$A,Productos!AL:AL,"Revisar"),"")</f>
        <v/>
      </c>
      <c r="AT590" s="179" t="str">
        <f t="array" ref="AT590">IF($F590&lt;&gt;"", XLOOKUP($F590,Productos!$A$2:$A1001,Productos!AM$2:AM1001,"")*$G590,"")</f>
        <v/>
      </c>
      <c r="AU590" s="179" t="str">
        <f t="array" ref="AU590">IF($F590&lt;&gt;"",XLOOKUP($F590,Productos!$A:$A,Productos!AN:AN,"Revisar"),"")</f>
        <v/>
      </c>
      <c r="AV590" s="179" t="str">
        <f t="array" ref="AV590">IF($F590&lt;&gt;"", XLOOKUP($F590,Productos!$A$2:$A1001,Productos!AO$2:AO1001,"")*$G590,"")</f>
        <v/>
      </c>
      <c r="AW590" s="179" t="str">
        <f t="array" ref="AW590">IF($F590&lt;&gt;"",XLOOKUP($F590,Productos!$A:$A,Productos!AP:AP,"Revisar"),"")</f>
        <v/>
      </c>
      <c r="AX590" s="179" t="str">
        <f t="array" ref="AX590">IF($F590&lt;&gt;"", XLOOKUP($F590,Productos!$A$2:$A1001,Productos!AQ$2:AQ1001,"")*$G590,"")</f>
        <v/>
      </c>
      <c r="AY590" s="179" t="str">
        <f t="array" ref="AY590">IF($F590&lt;&gt;"",XLOOKUP($F590,Productos!$A:$A,Productos!AR:AR,"Revisar"),"")</f>
        <v/>
      </c>
      <c r="AZ590" s="179" t="str">
        <f t="array" ref="AZ590">IF($F590&lt;&gt;"", XLOOKUP($F590,Productos!$A$2:$A1001,Productos!AS$2:AS1001,"")*$G590,"")</f>
        <v/>
      </c>
      <c r="BA590" s="179" t="str">
        <f t="array" ref="BA590">IF($F590&lt;&gt;"",XLOOKUP($F590,Productos!$A:$A,Productos!AT:AT,"Revisar"),"")</f>
        <v/>
      </c>
      <c r="BB590" s="179" t="str">
        <f t="array" ref="BB590">IF($F590&lt;&gt;"", XLOOKUP($F590,Productos!$A$2:$A1001,Productos!AU$2:AU1001,"")*$G590,"")</f>
        <v/>
      </c>
      <c r="BC590" s="179" t="str">
        <f t="array" ref="BC590">IF($F590&lt;&gt;"",XLOOKUP($F590,Productos!$A:$A,Productos!AV:AV,"Revisar"),"")</f>
        <v/>
      </c>
      <c r="BD590" s="179" t="str">
        <f t="array" ref="BD590">IF($F590&lt;&gt;"", XLOOKUP($F590,Productos!$A$2:$A1001,Productos!AW$2:AW1001,"")*$G590,"")</f>
        <v/>
      </c>
      <c r="BE590" s="179" t="str">
        <f t="array" ref="BE590">IF($F590&lt;&gt;"",XLOOKUP($F590,Productos!$A:$A,Productos!AX:AX,"Revisar"),"")</f>
        <v/>
      </c>
      <c r="BF590" s="179" t="str">
        <f t="array" ref="BF590">IF($F590&lt;&gt;"", XLOOKUP($F590,Productos!$A$2:$A1001,Productos!AY$2:AY1001,"")*$G590,"")</f>
        <v/>
      </c>
      <c r="BG590" s="179" t="str">
        <f t="array" ref="BG590">IF($F590&lt;&gt;"",XLOOKUP($F590,Productos!$A:$A,Productos!AZ:AZ,"Revisar"),"")</f>
        <v/>
      </c>
      <c r="BH590" s="179" t="str">
        <f t="array" ref="BH590">IF($F590&lt;&gt;"", XLOOKUP($F590,Productos!$A$2:$A1001,Productos!BA$2:BA1001,"")*$G590,"")</f>
        <v/>
      </c>
      <c r="BI590" s="179" t="str">
        <f t="array" ref="BI590">IF($F590&lt;&gt;"",XLOOKUP($F590,Productos!$A:$A,Productos!BB:BB,"Revisar"),"")</f>
        <v/>
      </c>
      <c r="BJ590" s="179" t="str">
        <f t="array" ref="BJ590">IF($F590&lt;&gt;"", XLOOKUP($F590,Productos!$A$2:$A1001,Productos!BC$2:BC1001,"")*$G590,"")</f>
        <v/>
      </c>
      <c r="BK590" s="179" t="str">
        <f t="array" ref="BK590">IF($F590&lt;&gt;"",XLOOKUP($F590,Productos!$A:$A,Productos!BD:BD,"Revisar"),"")</f>
        <v/>
      </c>
      <c r="BL590" s="179" t="str">
        <f t="array" ref="BL590">IF($F590&lt;&gt;"", XLOOKUP($F590,Productos!$A$2:$A1001,Productos!BE$2:BE1001,"")*$G590,"")</f>
        <v/>
      </c>
      <c r="BM590" s="179" t="str">
        <f t="array" ref="BM590">IF($F590&lt;&gt;"",XLOOKUP($F590,Productos!$A:$A,Productos!BF:BF,"Revisar"),"")</f>
        <v/>
      </c>
      <c r="BN590" s="179" t="str">
        <f t="array" ref="BN590">IF($F590&lt;&gt;"", XLOOKUP($F590,Productos!$A$2:$A1001,Productos!BG$2:BG1001,"")*$G590,"")</f>
        <v/>
      </c>
      <c r="BO590" s="179" t="str">
        <f t="array" ref="BO590">IF($F590&lt;&gt;"",XLOOKUP($F590,Productos!$A:$A,Productos!BH:BH,"Revisar"),"")</f>
        <v/>
      </c>
      <c r="BP590" s="179" t="str">
        <f t="array" ref="BP590">IF($F590&lt;&gt;"", XLOOKUP($F590,Productos!$A$2:$A1001,Productos!BI$2:BI1001,"")*$G590,"")</f>
        <v/>
      </c>
      <c r="BQ590" s="179" t="str">
        <f t="array" ref="BQ590">IF($F590&lt;&gt;"",XLOOKUP($F590,Productos!$A:$A,Productos!BJ:BJ,"Revisar"),"")</f>
        <v/>
      </c>
      <c r="BR590" s="179" t="str">
        <f t="array" ref="BR590">IF($F590&lt;&gt;"", XLOOKUP($F590,Productos!$A$2:$A1001,Productos!BK$2:BK1001,"")*$G590,"")</f>
        <v/>
      </c>
      <c r="BS590" s="179" t="str">
        <f t="array" ref="BS590">IF($F590&lt;&gt;"",XLOOKUP($F590,Productos!$A:$A,Productos!BL:BL,"Revisar"),"")</f>
        <v/>
      </c>
      <c r="BT590" s="179" t="str">
        <f t="array" ref="BT590">IF($F590&lt;&gt;"", XLOOKUP($F590,Productos!$A$2:$A1001,Productos!BM$2:BM1001,"")*$G590,"")</f>
        <v/>
      </c>
      <c r="BU590" s="179" t="str">
        <f t="array" ref="BU590">IF($F590&lt;&gt;"",XLOOKUP($F590,Productos!$A:$A,Productos!BN:BN,"Revisar"),"")</f>
        <v/>
      </c>
      <c r="BV590" s="179" t="str">
        <f t="array" ref="BV590">IF($F590&lt;&gt;"", XLOOKUP($F590,Productos!$A$2:$A1001,Productos!BO$2:BO1001,"")*$G590,"")</f>
        <v/>
      </c>
      <c r="BW590" s="179" t="str">
        <f t="array" ref="BW590">IF($F590&lt;&gt;"",XLOOKUP($F590,Productos!$A:$A,Productos!BP:BP,"Revisar"),"")</f>
        <v/>
      </c>
      <c r="BX590" s="179" t="str">
        <f t="array" ref="BX590">IF($F590&lt;&gt;"", XLOOKUP($F590,Productos!$A$2:$A1001,Productos!BQ$2:BQ1001,"")*$G590,"")</f>
        <v/>
      </c>
      <c r="BY590" s="179" t="str">
        <f t="array" ref="BY590">IF($F590&lt;&gt;"",XLOOKUP($F590,Productos!$A:$A,Productos!BR:BR,"Revisar"),"")</f>
        <v/>
      </c>
      <c r="BZ590" s="179" t="str">
        <f t="array" ref="BZ590">IF($F590&lt;&gt;"", XLOOKUP($F590,Productos!$A$2:$A1001,Productos!BS$2:BS1001,"")*$G590,"")</f>
        <v/>
      </c>
    </row>
    <row r="591">
      <c r="A591" s="188"/>
      <c r="B591" s="189"/>
      <c r="C591" s="190"/>
      <c r="D591" s="190"/>
      <c r="E591" s="191"/>
      <c r="F591" s="186"/>
      <c r="G591" s="192"/>
      <c r="H591" s="9"/>
      <c r="I591" s="179" t="str">
        <f t="array" ref="I591">IF($F591&lt;&gt;"",XLOOKUP($F591,Productos!$A:$A,Productos!B:B,"Revisar"),"")</f>
        <v/>
      </c>
      <c r="J591" s="179" t="str">
        <f t="array" ref="J591">IF($F591&lt;&gt;"", XLOOKUP($F591,Productos!$A$2:$A1001,Productos!C$2:C1001,"")*$G591,"")</f>
        <v/>
      </c>
      <c r="K591" s="179" t="str">
        <f t="array" ref="K591">IF($F591&lt;&gt;"",XLOOKUP($F591,Productos!$A:$A,Productos!D:D,"Revisar"),"")</f>
        <v/>
      </c>
      <c r="L591" s="179" t="str">
        <f t="array" ref="L591">IF($F591&lt;&gt;"", XLOOKUP($F591,Productos!$A$2:$A1001,Productos!E$2:E1001,"")*$G591,"")</f>
        <v/>
      </c>
      <c r="M591" s="179" t="str">
        <f t="array" ref="M591">IF($F591&lt;&gt;"",XLOOKUP($F591,Productos!$A:$A,Productos!F:F,"Revisar"),"")</f>
        <v/>
      </c>
      <c r="N591" s="179" t="str">
        <f t="array" ref="N591">IF($F591&lt;&gt;"", XLOOKUP($F591,Productos!$A$2:$A1001,Productos!G$2:G1001,"")*$G591,"")</f>
        <v/>
      </c>
      <c r="O591" s="179" t="str">
        <f t="array" ref="O591">IF($F591&lt;&gt;"",XLOOKUP($F591,Productos!$A:$A,Productos!H:H,"Revisar"),"")</f>
        <v/>
      </c>
      <c r="P591" s="179" t="str">
        <f t="array" ref="P591">IF($F591&lt;&gt;"", XLOOKUP($F591,Productos!$A$2:$A1001,Productos!I$2:I1001,"")*$G591,"")</f>
        <v/>
      </c>
      <c r="Q591" s="179" t="str">
        <f t="array" ref="Q591">IF($F591&lt;&gt;"",XLOOKUP($F591,Productos!$A:$A,Productos!J:J,"Revisar"),"")</f>
        <v/>
      </c>
      <c r="R591" s="179" t="str">
        <f t="array" ref="R591">IF($F591&lt;&gt;"", XLOOKUP($F591,Productos!$A$2:$A1001,Productos!K$2:K1001,"")*$G591,"")</f>
        <v/>
      </c>
      <c r="S591" s="179" t="str">
        <f t="array" ref="S591">IF($F591&lt;&gt;"",XLOOKUP($F591,Productos!$A:$A,Productos!L:L,"Revisar"),"")</f>
        <v/>
      </c>
      <c r="T591" s="179" t="str">
        <f t="array" ref="T591">IF($F591&lt;&gt;"", XLOOKUP($F591,Productos!$A$2:$A1001,Productos!M$2:M1001,"")*$G591,"")</f>
        <v/>
      </c>
      <c r="U591" s="179" t="str">
        <f t="array" ref="U591">IF($F591&lt;&gt;"",XLOOKUP($F591,Productos!$A:$A,Productos!N:N,"Revisar"),"")</f>
        <v/>
      </c>
      <c r="V591" s="179" t="str">
        <f t="array" ref="V591">IF($F591&lt;&gt;"", XLOOKUP($F591,Productos!$A$2:$A1001,Productos!O$2:O1001,"")*$G591,"")</f>
        <v/>
      </c>
      <c r="W591" s="179" t="str">
        <f t="array" ref="W591">IF($F591&lt;&gt;"",XLOOKUP($F591,Productos!$A:$A,Productos!P:P,"Revisar"),"")</f>
        <v/>
      </c>
      <c r="X591" s="179" t="str">
        <f t="array" ref="X591">IF($F591&lt;&gt;"", XLOOKUP($F591,Productos!$A$2:$A1001,Productos!Q$2:Q1001,"")*$G591,"")</f>
        <v/>
      </c>
      <c r="Y591" s="179" t="str">
        <f t="array" ref="Y591">IF($F591&lt;&gt;"",XLOOKUP($F591,Productos!$A:$A,Productos!R:R,"Revisar"),"")</f>
        <v/>
      </c>
      <c r="Z591" s="179" t="str">
        <f t="array" ref="Z591">IF($F591&lt;&gt;"", XLOOKUP($F591,Productos!$A$2:$A1001,Productos!S$2:S1001,"")*$G591,"")</f>
        <v/>
      </c>
      <c r="AA591" s="179" t="str">
        <f t="array" ref="AA591">IF($F591&lt;&gt;"",XLOOKUP($F591,Productos!$A:$A,Productos!T:T,"Revisar"),"")</f>
        <v/>
      </c>
      <c r="AB591" s="179" t="str">
        <f t="array" ref="AB591">IF($F591&lt;&gt;"", XLOOKUP($F591,Productos!$A$2:$A1001,Productos!U$2:U1001,"")*$G591,"")</f>
        <v/>
      </c>
      <c r="AC591" s="179" t="str">
        <f t="array" ref="AC591">IF($F591&lt;&gt;"",XLOOKUP($F591,Productos!$A:$A,Productos!V:V,"Revisar"),"")</f>
        <v/>
      </c>
      <c r="AD591" s="179" t="str">
        <f t="array" ref="AD591">IF($F591&lt;&gt;"", XLOOKUP($F591,Productos!$A$2:$A1001,Productos!W$2:W1001,"")*$G591,"")</f>
        <v/>
      </c>
      <c r="AE591" s="179" t="str">
        <f t="array" ref="AE591">IF($F591&lt;&gt;"",XLOOKUP($F591,Productos!$A:$A,Productos!X:X,"Revisar"),"")</f>
        <v/>
      </c>
      <c r="AF591" s="179" t="str">
        <f t="array" ref="AF591">IF($F591&lt;&gt;"", XLOOKUP($F591,Productos!$A$2:$A1001,Productos!Y$2:Y1001,"")*$G591,"")</f>
        <v/>
      </c>
      <c r="AG591" s="179" t="str">
        <f t="array" ref="AG591">IF($F591&lt;&gt;"",XLOOKUP($F591,Productos!$A:$A,Productos!Z:Z,"Revisar"),"")</f>
        <v/>
      </c>
      <c r="AH591" s="179" t="str">
        <f t="array" ref="AH591">IF($F591&lt;&gt;"", XLOOKUP($F591,Productos!$A$2:$A1001,Productos!AA$2:AA1001,"")*$G591,"")</f>
        <v/>
      </c>
      <c r="AI591" s="179" t="str">
        <f t="array" ref="AI591">IF($F591&lt;&gt;"",XLOOKUP($F591,Productos!$A:$A,Productos!AB:AB,"Revisar"),"")</f>
        <v/>
      </c>
      <c r="AJ591" s="179" t="str">
        <f t="array" ref="AJ591">IF($F591&lt;&gt;"", XLOOKUP($F591,Productos!$A$2:$A1001,Productos!AC$2:AC1001,"")*$G591,"")</f>
        <v/>
      </c>
      <c r="AK591" s="179" t="str">
        <f t="array" ref="AK591">IF($F591&lt;&gt;"",XLOOKUP($F591,Productos!$A:$A,Productos!AD:AD,"Revisar"),"")</f>
        <v/>
      </c>
      <c r="AL591" s="179" t="str">
        <f t="array" ref="AL591">IF($F591&lt;&gt;"", XLOOKUP($F591,Productos!$A$2:$A1001,Productos!AE$2:AE1001,"")*$G591,"")</f>
        <v/>
      </c>
      <c r="AM591" s="179" t="str">
        <f t="array" ref="AM591">IF($F591&lt;&gt;"",XLOOKUP($F591,Productos!$A:$A,Productos!AF:AF,"Revisar"),"")</f>
        <v/>
      </c>
      <c r="AN591" s="179" t="str">
        <f t="array" ref="AN591">IF($F591&lt;&gt;"", XLOOKUP($F591,Productos!$A$2:$A1001,Productos!AG$2:AG1001,"")*$G591,"")</f>
        <v/>
      </c>
      <c r="AO591" s="179" t="str">
        <f t="array" ref="AO591">IF($F591&lt;&gt;"",XLOOKUP($F591,Productos!$A:$A,Productos!AH:AH,"Revisar"),"")</f>
        <v/>
      </c>
      <c r="AP591" s="179" t="str">
        <f t="array" ref="AP591">IF($F591&lt;&gt;"", XLOOKUP($F591,Productos!$A$2:$A1001,Productos!AI$2:AI1001,"")*$G591,"")</f>
        <v/>
      </c>
      <c r="AQ591" s="179" t="str">
        <f t="array" ref="AQ591">IF($F591&lt;&gt;"",XLOOKUP($F591,Productos!$A:$A,Productos!AJ:AJ,"Revisar"),"")</f>
        <v/>
      </c>
      <c r="AR591" s="179" t="str">
        <f t="array" ref="AR591">IF($F591&lt;&gt;"", XLOOKUP($F591,Productos!$A$2:$A1001,Productos!AK$2:AK1001,"")*$G591,"")</f>
        <v/>
      </c>
      <c r="AS591" s="179" t="str">
        <f t="array" ref="AS591">IF($F591&lt;&gt;"",XLOOKUP($F591,Productos!$A:$A,Productos!AL:AL,"Revisar"),"")</f>
        <v/>
      </c>
      <c r="AT591" s="179" t="str">
        <f t="array" ref="AT591">IF($F591&lt;&gt;"", XLOOKUP($F591,Productos!$A$2:$A1001,Productos!AM$2:AM1001,"")*$G591,"")</f>
        <v/>
      </c>
      <c r="AU591" s="179" t="str">
        <f t="array" ref="AU591">IF($F591&lt;&gt;"",XLOOKUP($F591,Productos!$A:$A,Productos!AN:AN,"Revisar"),"")</f>
        <v/>
      </c>
      <c r="AV591" s="179" t="str">
        <f t="array" ref="AV591">IF($F591&lt;&gt;"", XLOOKUP($F591,Productos!$A$2:$A1001,Productos!AO$2:AO1001,"")*$G591,"")</f>
        <v/>
      </c>
      <c r="AW591" s="179" t="str">
        <f t="array" ref="AW591">IF($F591&lt;&gt;"",XLOOKUP($F591,Productos!$A:$A,Productos!AP:AP,"Revisar"),"")</f>
        <v/>
      </c>
      <c r="AX591" s="179" t="str">
        <f t="array" ref="AX591">IF($F591&lt;&gt;"", XLOOKUP($F591,Productos!$A$2:$A1001,Productos!AQ$2:AQ1001,"")*$G591,"")</f>
        <v/>
      </c>
      <c r="AY591" s="179" t="str">
        <f t="array" ref="AY591">IF($F591&lt;&gt;"",XLOOKUP($F591,Productos!$A:$A,Productos!AR:AR,"Revisar"),"")</f>
        <v/>
      </c>
      <c r="AZ591" s="179" t="str">
        <f t="array" ref="AZ591">IF($F591&lt;&gt;"", XLOOKUP($F591,Productos!$A$2:$A1001,Productos!AS$2:AS1001,"")*$G591,"")</f>
        <v/>
      </c>
      <c r="BA591" s="179" t="str">
        <f t="array" ref="BA591">IF($F591&lt;&gt;"",XLOOKUP($F591,Productos!$A:$A,Productos!AT:AT,"Revisar"),"")</f>
        <v/>
      </c>
      <c r="BB591" s="179" t="str">
        <f t="array" ref="BB591">IF($F591&lt;&gt;"", XLOOKUP($F591,Productos!$A$2:$A1001,Productos!AU$2:AU1001,"")*$G591,"")</f>
        <v/>
      </c>
      <c r="BC591" s="179" t="str">
        <f t="array" ref="BC591">IF($F591&lt;&gt;"",XLOOKUP($F591,Productos!$A:$A,Productos!AV:AV,"Revisar"),"")</f>
        <v/>
      </c>
      <c r="BD591" s="179" t="str">
        <f t="array" ref="BD591">IF($F591&lt;&gt;"", XLOOKUP($F591,Productos!$A$2:$A1001,Productos!AW$2:AW1001,"")*$G591,"")</f>
        <v/>
      </c>
      <c r="BE591" s="179" t="str">
        <f t="array" ref="BE591">IF($F591&lt;&gt;"",XLOOKUP($F591,Productos!$A:$A,Productos!AX:AX,"Revisar"),"")</f>
        <v/>
      </c>
      <c r="BF591" s="179" t="str">
        <f t="array" ref="BF591">IF($F591&lt;&gt;"", XLOOKUP($F591,Productos!$A$2:$A1001,Productos!AY$2:AY1001,"")*$G591,"")</f>
        <v/>
      </c>
      <c r="BG591" s="179" t="str">
        <f t="array" ref="BG591">IF($F591&lt;&gt;"",XLOOKUP($F591,Productos!$A:$A,Productos!AZ:AZ,"Revisar"),"")</f>
        <v/>
      </c>
      <c r="BH591" s="179" t="str">
        <f t="array" ref="BH591">IF($F591&lt;&gt;"", XLOOKUP($F591,Productos!$A$2:$A1001,Productos!BA$2:BA1001,"")*$G591,"")</f>
        <v/>
      </c>
      <c r="BI591" s="179" t="str">
        <f t="array" ref="BI591">IF($F591&lt;&gt;"",XLOOKUP($F591,Productos!$A:$A,Productos!BB:BB,"Revisar"),"")</f>
        <v/>
      </c>
      <c r="BJ591" s="179" t="str">
        <f t="array" ref="BJ591">IF($F591&lt;&gt;"", XLOOKUP($F591,Productos!$A$2:$A1001,Productos!BC$2:BC1001,"")*$G591,"")</f>
        <v/>
      </c>
      <c r="BK591" s="179" t="str">
        <f t="array" ref="BK591">IF($F591&lt;&gt;"",XLOOKUP($F591,Productos!$A:$A,Productos!BD:BD,"Revisar"),"")</f>
        <v/>
      </c>
      <c r="BL591" s="179" t="str">
        <f t="array" ref="BL591">IF($F591&lt;&gt;"", XLOOKUP($F591,Productos!$A$2:$A1001,Productos!BE$2:BE1001,"")*$G591,"")</f>
        <v/>
      </c>
      <c r="BM591" s="179" t="str">
        <f t="array" ref="BM591">IF($F591&lt;&gt;"",XLOOKUP($F591,Productos!$A:$A,Productos!BF:BF,"Revisar"),"")</f>
        <v/>
      </c>
      <c r="BN591" s="179" t="str">
        <f t="array" ref="BN591">IF($F591&lt;&gt;"", XLOOKUP($F591,Productos!$A$2:$A1001,Productos!BG$2:BG1001,"")*$G591,"")</f>
        <v/>
      </c>
      <c r="BO591" s="179" t="str">
        <f t="array" ref="BO591">IF($F591&lt;&gt;"",XLOOKUP($F591,Productos!$A:$A,Productos!BH:BH,"Revisar"),"")</f>
        <v/>
      </c>
      <c r="BP591" s="179" t="str">
        <f t="array" ref="BP591">IF($F591&lt;&gt;"", XLOOKUP($F591,Productos!$A$2:$A1001,Productos!BI$2:BI1001,"")*$G591,"")</f>
        <v/>
      </c>
      <c r="BQ591" s="179" t="str">
        <f t="array" ref="BQ591">IF($F591&lt;&gt;"",XLOOKUP($F591,Productos!$A:$A,Productos!BJ:BJ,"Revisar"),"")</f>
        <v/>
      </c>
      <c r="BR591" s="179" t="str">
        <f t="array" ref="BR591">IF($F591&lt;&gt;"", XLOOKUP($F591,Productos!$A$2:$A1001,Productos!BK$2:BK1001,"")*$G591,"")</f>
        <v/>
      </c>
      <c r="BS591" s="179" t="str">
        <f t="array" ref="BS591">IF($F591&lt;&gt;"",XLOOKUP($F591,Productos!$A:$A,Productos!BL:BL,"Revisar"),"")</f>
        <v/>
      </c>
      <c r="BT591" s="179" t="str">
        <f t="array" ref="BT591">IF($F591&lt;&gt;"", XLOOKUP($F591,Productos!$A$2:$A1001,Productos!BM$2:BM1001,"")*$G591,"")</f>
        <v/>
      </c>
      <c r="BU591" s="179" t="str">
        <f t="array" ref="BU591">IF($F591&lt;&gt;"",XLOOKUP($F591,Productos!$A:$A,Productos!BN:BN,"Revisar"),"")</f>
        <v/>
      </c>
      <c r="BV591" s="179" t="str">
        <f t="array" ref="BV591">IF($F591&lt;&gt;"", XLOOKUP($F591,Productos!$A$2:$A1001,Productos!BO$2:BO1001,"")*$G591,"")</f>
        <v/>
      </c>
      <c r="BW591" s="179" t="str">
        <f t="array" ref="BW591">IF($F591&lt;&gt;"",XLOOKUP($F591,Productos!$A:$A,Productos!BP:BP,"Revisar"),"")</f>
        <v/>
      </c>
      <c r="BX591" s="179" t="str">
        <f t="array" ref="BX591">IF($F591&lt;&gt;"", XLOOKUP($F591,Productos!$A$2:$A1001,Productos!BQ$2:BQ1001,"")*$G591,"")</f>
        <v/>
      </c>
      <c r="BY591" s="179" t="str">
        <f t="array" ref="BY591">IF($F591&lt;&gt;"",XLOOKUP($F591,Productos!$A:$A,Productos!BR:BR,"Revisar"),"")</f>
        <v/>
      </c>
      <c r="BZ591" s="179" t="str">
        <f t="array" ref="BZ591">IF($F591&lt;&gt;"", XLOOKUP($F591,Productos!$A$2:$A1001,Productos!BS$2:BS1001,"")*$G591,"")</f>
        <v/>
      </c>
    </row>
    <row r="592">
      <c r="A592" s="188"/>
      <c r="B592" s="189"/>
      <c r="C592" s="190"/>
      <c r="D592" s="190"/>
      <c r="E592" s="191"/>
      <c r="F592" s="186"/>
      <c r="G592" s="192"/>
      <c r="H592" s="9"/>
      <c r="I592" s="179" t="str">
        <f t="array" ref="I592">IF($F592&lt;&gt;"",XLOOKUP($F592,Productos!$A:$A,Productos!B:B,"Revisar"),"")</f>
        <v/>
      </c>
      <c r="J592" s="179" t="str">
        <f t="array" ref="J592">IF($F592&lt;&gt;"", XLOOKUP($F592,Productos!$A$2:$A1001,Productos!C$2:C1001,"")*$G592,"")</f>
        <v/>
      </c>
      <c r="K592" s="179" t="str">
        <f t="array" ref="K592">IF($F592&lt;&gt;"",XLOOKUP($F592,Productos!$A:$A,Productos!D:D,"Revisar"),"")</f>
        <v/>
      </c>
      <c r="L592" s="179" t="str">
        <f t="array" ref="L592">IF($F592&lt;&gt;"", XLOOKUP($F592,Productos!$A$2:$A1001,Productos!E$2:E1001,"")*$G592,"")</f>
        <v/>
      </c>
      <c r="M592" s="179" t="str">
        <f t="array" ref="M592">IF($F592&lt;&gt;"",XLOOKUP($F592,Productos!$A:$A,Productos!F:F,"Revisar"),"")</f>
        <v/>
      </c>
      <c r="N592" s="179" t="str">
        <f t="array" ref="N592">IF($F592&lt;&gt;"", XLOOKUP($F592,Productos!$A$2:$A1001,Productos!G$2:G1001,"")*$G592,"")</f>
        <v/>
      </c>
      <c r="O592" s="179" t="str">
        <f t="array" ref="O592">IF($F592&lt;&gt;"",XLOOKUP($F592,Productos!$A:$A,Productos!H:H,"Revisar"),"")</f>
        <v/>
      </c>
      <c r="P592" s="179" t="str">
        <f t="array" ref="P592">IF($F592&lt;&gt;"", XLOOKUP($F592,Productos!$A$2:$A1001,Productos!I$2:I1001,"")*$G592,"")</f>
        <v/>
      </c>
      <c r="Q592" s="179" t="str">
        <f t="array" ref="Q592">IF($F592&lt;&gt;"",XLOOKUP($F592,Productos!$A:$A,Productos!J:J,"Revisar"),"")</f>
        <v/>
      </c>
      <c r="R592" s="179" t="str">
        <f t="array" ref="R592">IF($F592&lt;&gt;"", XLOOKUP($F592,Productos!$A$2:$A1001,Productos!K$2:K1001,"")*$G592,"")</f>
        <v/>
      </c>
      <c r="S592" s="179" t="str">
        <f t="array" ref="S592">IF($F592&lt;&gt;"",XLOOKUP($F592,Productos!$A:$A,Productos!L:L,"Revisar"),"")</f>
        <v/>
      </c>
      <c r="T592" s="179" t="str">
        <f t="array" ref="T592">IF($F592&lt;&gt;"", XLOOKUP($F592,Productos!$A$2:$A1001,Productos!M$2:M1001,"")*$G592,"")</f>
        <v/>
      </c>
      <c r="U592" s="179" t="str">
        <f t="array" ref="U592">IF($F592&lt;&gt;"",XLOOKUP($F592,Productos!$A:$A,Productos!N:N,"Revisar"),"")</f>
        <v/>
      </c>
      <c r="V592" s="179" t="str">
        <f t="array" ref="V592">IF($F592&lt;&gt;"", XLOOKUP($F592,Productos!$A$2:$A1001,Productos!O$2:O1001,"")*$G592,"")</f>
        <v/>
      </c>
      <c r="W592" s="179" t="str">
        <f t="array" ref="W592">IF($F592&lt;&gt;"",XLOOKUP($F592,Productos!$A:$A,Productos!P:P,"Revisar"),"")</f>
        <v/>
      </c>
      <c r="X592" s="179" t="str">
        <f t="array" ref="X592">IF($F592&lt;&gt;"", XLOOKUP($F592,Productos!$A$2:$A1001,Productos!Q$2:Q1001,"")*$G592,"")</f>
        <v/>
      </c>
      <c r="Y592" s="179" t="str">
        <f t="array" ref="Y592">IF($F592&lt;&gt;"",XLOOKUP($F592,Productos!$A:$A,Productos!R:R,"Revisar"),"")</f>
        <v/>
      </c>
      <c r="Z592" s="179" t="str">
        <f t="array" ref="Z592">IF($F592&lt;&gt;"", XLOOKUP($F592,Productos!$A$2:$A1001,Productos!S$2:S1001,"")*$G592,"")</f>
        <v/>
      </c>
      <c r="AA592" s="179" t="str">
        <f t="array" ref="AA592">IF($F592&lt;&gt;"",XLOOKUP($F592,Productos!$A:$A,Productos!T:T,"Revisar"),"")</f>
        <v/>
      </c>
      <c r="AB592" s="179" t="str">
        <f t="array" ref="AB592">IF($F592&lt;&gt;"", XLOOKUP($F592,Productos!$A$2:$A1001,Productos!U$2:U1001,"")*$G592,"")</f>
        <v/>
      </c>
      <c r="AC592" s="179" t="str">
        <f t="array" ref="AC592">IF($F592&lt;&gt;"",XLOOKUP($F592,Productos!$A:$A,Productos!V:V,"Revisar"),"")</f>
        <v/>
      </c>
      <c r="AD592" s="179" t="str">
        <f t="array" ref="AD592">IF($F592&lt;&gt;"", XLOOKUP($F592,Productos!$A$2:$A1001,Productos!W$2:W1001,"")*$G592,"")</f>
        <v/>
      </c>
      <c r="AE592" s="179" t="str">
        <f t="array" ref="AE592">IF($F592&lt;&gt;"",XLOOKUP($F592,Productos!$A:$A,Productos!X:X,"Revisar"),"")</f>
        <v/>
      </c>
      <c r="AF592" s="179" t="str">
        <f t="array" ref="AF592">IF($F592&lt;&gt;"", XLOOKUP($F592,Productos!$A$2:$A1001,Productos!Y$2:Y1001,"")*$G592,"")</f>
        <v/>
      </c>
      <c r="AG592" s="179" t="str">
        <f t="array" ref="AG592">IF($F592&lt;&gt;"",XLOOKUP($F592,Productos!$A:$A,Productos!Z:Z,"Revisar"),"")</f>
        <v/>
      </c>
      <c r="AH592" s="179" t="str">
        <f t="array" ref="AH592">IF($F592&lt;&gt;"", XLOOKUP($F592,Productos!$A$2:$A1001,Productos!AA$2:AA1001,"")*$G592,"")</f>
        <v/>
      </c>
      <c r="AI592" s="179" t="str">
        <f t="array" ref="AI592">IF($F592&lt;&gt;"",XLOOKUP($F592,Productos!$A:$A,Productos!AB:AB,"Revisar"),"")</f>
        <v/>
      </c>
      <c r="AJ592" s="179" t="str">
        <f t="array" ref="AJ592">IF($F592&lt;&gt;"", XLOOKUP($F592,Productos!$A$2:$A1001,Productos!AC$2:AC1001,"")*$G592,"")</f>
        <v/>
      </c>
      <c r="AK592" s="179" t="str">
        <f t="array" ref="AK592">IF($F592&lt;&gt;"",XLOOKUP($F592,Productos!$A:$A,Productos!AD:AD,"Revisar"),"")</f>
        <v/>
      </c>
      <c r="AL592" s="179" t="str">
        <f t="array" ref="AL592">IF($F592&lt;&gt;"", XLOOKUP($F592,Productos!$A$2:$A1001,Productos!AE$2:AE1001,"")*$G592,"")</f>
        <v/>
      </c>
      <c r="AM592" s="179" t="str">
        <f t="array" ref="AM592">IF($F592&lt;&gt;"",XLOOKUP($F592,Productos!$A:$A,Productos!AF:AF,"Revisar"),"")</f>
        <v/>
      </c>
      <c r="AN592" s="179" t="str">
        <f t="array" ref="AN592">IF($F592&lt;&gt;"", XLOOKUP($F592,Productos!$A$2:$A1001,Productos!AG$2:AG1001,"")*$G592,"")</f>
        <v/>
      </c>
      <c r="AO592" s="179" t="str">
        <f t="array" ref="AO592">IF($F592&lt;&gt;"",XLOOKUP($F592,Productos!$A:$A,Productos!AH:AH,"Revisar"),"")</f>
        <v/>
      </c>
      <c r="AP592" s="179" t="str">
        <f t="array" ref="AP592">IF($F592&lt;&gt;"", XLOOKUP($F592,Productos!$A$2:$A1001,Productos!AI$2:AI1001,"")*$G592,"")</f>
        <v/>
      </c>
      <c r="AQ592" s="179" t="str">
        <f t="array" ref="AQ592">IF($F592&lt;&gt;"",XLOOKUP($F592,Productos!$A:$A,Productos!AJ:AJ,"Revisar"),"")</f>
        <v/>
      </c>
      <c r="AR592" s="179" t="str">
        <f t="array" ref="AR592">IF($F592&lt;&gt;"", XLOOKUP($F592,Productos!$A$2:$A1001,Productos!AK$2:AK1001,"")*$G592,"")</f>
        <v/>
      </c>
      <c r="AS592" s="179" t="str">
        <f t="array" ref="AS592">IF($F592&lt;&gt;"",XLOOKUP($F592,Productos!$A:$A,Productos!AL:AL,"Revisar"),"")</f>
        <v/>
      </c>
      <c r="AT592" s="179" t="str">
        <f t="array" ref="AT592">IF($F592&lt;&gt;"", XLOOKUP($F592,Productos!$A$2:$A1001,Productos!AM$2:AM1001,"")*$G592,"")</f>
        <v/>
      </c>
      <c r="AU592" s="179" t="str">
        <f t="array" ref="AU592">IF($F592&lt;&gt;"",XLOOKUP($F592,Productos!$A:$A,Productos!AN:AN,"Revisar"),"")</f>
        <v/>
      </c>
      <c r="AV592" s="179" t="str">
        <f t="array" ref="AV592">IF($F592&lt;&gt;"", XLOOKUP($F592,Productos!$A$2:$A1001,Productos!AO$2:AO1001,"")*$G592,"")</f>
        <v/>
      </c>
      <c r="AW592" s="179" t="str">
        <f t="array" ref="AW592">IF($F592&lt;&gt;"",XLOOKUP($F592,Productos!$A:$A,Productos!AP:AP,"Revisar"),"")</f>
        <v/>
      </c>
      <c r="AX592" s="179" t="str">
        <f t="array" ref="AX592">IF($F592&lt;&gt;"", XLOOKUP($F592,Productos!$A$2:$A1001,Productos!AQ$2:AQ1001,"")*$G592,"")</f>
        <v/>
      </c>
      <c r="AY592" s="179" t="str">
        <f t="array" ref="AY592">IF($F592&lt;&gt;"",XLOOKUP($F592,Productos!$A:$A,Productos!AR:AR,"Revisar"),"")</f>
        <v/>
      </c>
      <c r="AZ592" s="179" t="str">
        <f t="array" ref="AZ592">IF($F592&lt;&gt;"", XLOOKUP($F592,Productos!$A$2:$A1001,Productos!AS$2:AS1001,"")*$G592,"")</f>
        <v/>
      </c>
      <c r="BA592" s="179" t="str">
        <f t="array" ref="BA592">IF($F592&lt;&gt;"",XLOOKUP($F592,Productos!$A:$A,Productos!AT:AT,"Revisar"),"")</f>
        <v/>
      </c>
      <c r="BB592" s="179" t="str">
        <f t="array" ref="BB592">IF($F592&lt;&gt;"", XLOOKUP($F592,Productos!$A$2:$A1001,Productos!AU$2:AU1001,"")*$G592,"")</f>
        <v/>
      </c>
      <c r="BC592" s="179" t="str">
        <f t="array" ref="BC592">IF($F592&lt;&gt;"",XLOOKUP($F592,Productos!$A:$A,Productos!AV:AV,"Revisar"),"")</f>
        <v/>
      </c>
      <c r="BD592" s="179" t="str">
        <f t="array" ref="BD592">IF($F592&lt;&gt;"", XLOOKUP($F592,Productos!$A$2:$A1001,Productos!AW$2:AW1001,"")*$G592,"")</f>
        <v/>
      </c>
      <c r="BE592" s="179" t="str">
        <f t="array" ref="BE592">IF($F592&lt;&gt;"",XLOOKUP($F592,Productos!$A:$A,Productos!AX:AX,"Revisar"),"")</f>
        <v/>
      </c>
      <c r="BF592" s="179" t="str">
        <f t="array" ref="BF592">IF($F592&lt;&gt;"", XLOOKUP($F592,Productos!$A$2:$A1001,Productos!AY$2:AY1001,"")*$G592,"")</f>
        <v/>
      </c>
      <c r="BG592" s="179" t="str">
        <f t="array" ref="BG592">IF($F592&lt;&gt;"",XLOOKUP($F592,Productos!$A:$A,Productos!AZ:AZ,"Revisar"),"")</f>
        <v/>
      </c>
      <c r="BH592" s="179" t="str">
        <f t="array" ref="BH592">IF($F592&lt;&gt;"", XLOOKUP($F592,Productos!$A$2:$A1001,Productos!BA$2:BA1001,"")*$G592,"")</f>
        <v/>
      </c>
      <c r="BI592" s="179" t="str">
        <f t="array" ref="BI592">IF($F592&lt;&gt;"",XLOOKUP($F592,Productos!$A:$A,Productos!BB:BB,"Revisar"),"")</f>
        <v/>
      </c>
      <c r="BJ592" s="179" t="str">
        <f t="array" ref="BJ592">IF($F592&lt;&gt;"", XLOOKUP($F592,Productos!$A$2:$A1001,Productos!BC$2:BC1001,"")*$G592,"")</f>
        <v/>
      </c>
      <c r="BK592" s="179" t="str">
        <f t="array" ref="BK592">IF($F592&lt;&gt;"",XLOOKUP($F592,Productos!$A:$A,Productos!BD:BD,"Revisar"),"")</f>
        <v/>
      </c>
      <c r="BL592" s="179" t="str">
        <f t="array" ref="BL592">IF($F592&lt;&gt;"", XLOOKUP($F592,Productos!$A$2:$A1001,Productos!BE$2:BE1001,"")*$G592,"")</f>
        <v/>
      </c>
      <c r="BM592" s="179" t="str">
        <f t="array" ref="BM592">IF($F592&lt;&gt;"",XLOOKUP($F592,Productos!$A:$A,Productos!BF:BF,"Revisar"),"")</f>
        <v/>
      </c>
      <c r="BN592" s="179" t="str">
        <f t="array" ref="BN592">IF($F592&lt;&gt;"", XLOOKUP($F592,Productos!$A$2:$A1001,Productos!BG$2:BG1001,"")*$G592,"")</f>
        <v/>
      </c>
      <c r="BO592" s="179" t="str">
        <f t="array" ref="BO592">IF($F592&lt;&gt;"",XLOOKUP($F592,Productos!$A:$A,Productos!BH:BH,"Revisar"),"")</f>
        <v/>
      </c>
      <c r="BP592" s="179" t="str">
        <f t="array" ref="BP592">IF($F592&lt;&gt;"", XLOOKUP($F592,Productos!$A$2:$A1001,Productos!BI$2:BI1001,"")*$G592,"")</f>
        <v/>
      </c>
      <c r="BQ592" s="179" t="str">
        <f t="array" ref="BQ592">IF($F592&lt;&gt;"",XLOOKUP($F592,Productos!$A:$A,Productos!BJ:BJ,"Revisar"),"")</f>
        <v/>
      </c>
      <c r="BR592" s="179" t="str">
        <f t="array" ref="BR592">IF($F592&lt;&gt;"", XLOOKUP($F592,Productos!$A$2:$A1001,Productos!BK$2:BK1001,"")*$G592,"")</f>
        <v/>
      </c>
      <c r="BS592" s="179" t="str">
        <f t="array" ref="BS592">IF($F592&lt;&gt;"",XLOOKUP($F592,Productos!$A:$A,Productos!BL:BL,"Revisar"),"")</f>
        <v/>
      </c>
      <c r="BT592" s="179" t="str">
        <f t="array" ref="BT592">IF($F592&lt;&gt;"", XLOOKUP($F592,Productos!$A$2:$A1001,Productos!BM$2:BM1001,"")*$G592,"")</f>
        <v/>
      </c>
      <c r="BU592" s="179" t="str">
        <f t="array" ref="BU592">IF($F592&lt;&gt;"",XLOOKUP($F592,Productos!$A:$A,Productos!BN:BN,"Revisar"),"")</f>
        <v/>
      </c>
      <c r="BV592" s="179" t="str">
        <f t="array" ref="BV592">IF($F592&lt;&gt;"", XLOOKUP($F592,Productos!$A$2:$A1001,Productos!BO$2:BO1001,"")*$G592,"")</f>
        <v/>
      </c>
      <c r="BW592" s="179" t="str">
        <f t="array" ref="BW592">IF($F592&lt;&gt;"",XLOOKUP($F592,Productos!$A:$A,Productos!BP:BP,"Revisar"),"")</f>
        <v/>
      </c>
      <c r="BX592" s="179" t="str">
        <f t="array" ref="BX592">IF($F592&lt;&gt;"", XLOOKUP($F592,Productos!$A$2:$A1001,Productos!BQ$2:BQ1001,"")*$G592,"")</f>
        <v/>
      </c>
      <c r="BY592" s="179" t="str">
        <f t="array" ref="BY592">IF($F592&lt;&gt;"",XLOOKUP($F592,Productos!$A:$A,Productos!BR:BR,"Revisar"),"")</f>
        <v/>
      </c>
      <c r="BZ592" s="179" t="str">
        <f t="array" ref="BZ592">IF($F592&lt;&gt;"", XLOOKUP($F592,Productos!$A$2:$A1001,Productos!BS$2:BS1001,"")*$G592,"")</f>
        <v/>
      </c>
    </row>
    <row r="593">
      <c r="A593" s="188"/>
      <c r="B593" s="189"/>
      <c r="C593" s="190"/>
      <c r="D593" s="190"/>
      <c r="E593" s="191"/>
      <c r="F593" s="186"/>
      <c r="G593" s="192"/>
      <c r="H593" s="9"/>
      <c r="I593" s="179" t="str">
        <f t="array" ref="I593">IF($F593&lt;&gt;"",XLOOKUP($F593,Productos!$A:$A,Productos!B:B,"Revisar"),"")</f>
        <v/>
      </c>
      <c r="J593" s="179" t="str">
        <f t="array" ref="J593">IF($F593&lt;&gt;"", XLOOKUP($F593,Productos!$A$2:$A1001,Productos!C$2:C1001,"")*$G593,"")</f>
        <v/>
      </c>
      <c r="K593" s="179" t="str">
        <f t="array" ref="K593">IF($F593&lt;&gt;"",XLOOKUP($F593,Productos!$A:$A,Productos!D:D,"Revisar"),"")</f>
        <v/>
      </c>
      <c r="L593" s="179" t="str">
        <f t="array" ref="L593">IF($F593&lt;&gt;"", XLOOKUP($F593,Productos!$A$2:$A1001,Productos!E$2:E1001,"")*$G593,"")</f>
        <v/>
      </c>
      <c r="M593" s="179" t="str">
        <f t="array" ref="M593">IF($F593&lt;&gt;"",XLOOKUP($F593,Productos!$A:$A,Productos!F:F,"Revisar"),"")</f>
        <v/>
      </c>
      <c r="N593" s="179" t="str">
        <f t="array" ref="N593">IF($F593&lt;&gt;"", XLOOKUP($F593,Productos!$A$2:$A1001,Productos!G$2:G1001,"")*$G593,"")</f>
        <v/>
      </c>
      <c r="O593" s="179" t="str">
        <f t="array" ref="O593">IF($F593&lt;&gt;"",XLOOKUP($F593,Productos!$A:$A,Productos!H:H,"Revisar"),"")</f>
        <v/>
      </c>
      <c r="P593" s="179" t="str">
        <f t="array" ref="P593">IF($F593&lt;&gt;"", XLOOKUP($F593,Productos!$A$2:$A1001,Productos!I$2:I1001,"")*$G593,"")</f>
        <v/>
      </c>
      <c r="Q593" s="179" t="str">
        <f t="array" ref="Q593">IF($F593&lt;&gt;"",XLOOKUP($F593,Productos!$A:$A,Productos!J:J,"Revisar"),"")</f>
        <v/>
      </c>
      <c r="R593" s="179" t="str">
        <f t="array" ref="R593">IF($F593&lt;&gt;"", XLOOKUP($F593,Productos!$A$2:$A1001,Productos!K$2:K1001,"")*$G593,"")</f>
        <v/>
      </c>
      <c r="S593" s="179" t="str">
        <f t="array" ref="S593">IF($F593&lt;&gt;"",XLOOKUP($F593,Productos!$A:$A,Productos!L:L,"Revisar"),"")</f>
        <v/>
      </c>
      <c r="T593" s="179" t="str">
        <f t="array" ref="T593">IF($F593&lt;&gt;"", XLOOKUP($F593,Productos!$A$2:$A1001,Productos!M$2:M1001,"")*$G593,"")</f>
        <v/>
      </c>
      <c r="U593" s="179" t="str">
        <f t="array" ref="U593">IF($F593&lt;&gt;"",XLOOKUP($F593,Productos!$A:$A,Productos!N:N,"Revisar"),"")</f>
        <v/>
      </c>
      <c r="V593" s="179" t="str">
        <f t="array" ref="V593">IF($F593&lt;&gt;"", XLOOKUP($F593,Productos!$A$2:$A1001,Productos!O$2:O1001,"")*$G593,"")</f>
        <v/>
      </c>
      <c r="W593" s="179" t="str">
        <f t="array" ref="W593">IF($F593&lt;&gt;"",XLOOKUP($F593,Productos!$A:$A,Productos!P:P,"Revisar"),"")</f>
        <v/>
      </c>
      <c r="X593" s="179" t="str">
        <f t="array" ref="X593">IF($F593&lt;&gt;"", XLOOKUP($F593,Productos!$A$2:$A1001,Productos!Q$2:Q1001,"")*$G593,"")</f>
        <v/>
      </c>
      <c r="Y593" s="179" t="str">
        <f t="array" ref="Y593">IF($F593&lt;&gt;"",XLOOKUP($F593,Productos!$A:$A,Productos!R:R,"Revisar"),"")</f>
        <v/>
      </c>
      <c r="Z593" s="179" t="str">
        <f t="array" ref="Z593">IF($F593&lt;&gt;"", XLOOKUP($F593,Productos!$A$2:$A1001,Productos!S$2:S1001,"")*$G593,"")</f>
        <v/>
      </c>
      <c r="AA593" s="179" t="str">
        <f t="array" ref="AA593">IF($F593&lt;&gt;"",XLOOKUP($F593,Productos!$A:$A,Productos!T:T,"Revisar"),"")</f>
        <v/>
      </c>
      <c r="AB593" s="179" t="str">
        <f t="array" ref="AB593">IF($F593&lt;&gt;"", XLOOKUP($F593,Productos!$A$2:$A1001,Productos!U$2:U1001,"")*$G593,"")</f>
        <v/>
      </c>
      <c r="AC593" s="179" t="str">
        <f t="array" ref="AC593">IF($F593&lt;&gt;"",XLOOKUP($F593,Productos!$A:$A,Productos!V:V,"Revisar"),"")</f>
        <v/>
      </c>
      <c r="AD593" s="179" t="str">
        <f t="array" ref="AD593">IF($F593&lt;&gt;"", XLOOKUP($F593,Productos!$A$2:$A1001,Productos!W$2:W1001,"")*$G593,"")</f>
        <v/>
      </c>
      <c r="AE593" s="179" t="str">
        <f t="array" ref="AE593">IF($F593&lt;&gt;"",XLOOKUP($F593,Productos!$A:$A,Productos!X:X,"Revisar"),"")</f>
        <v/>
      </c>
      <c r="AF593" s="179" t="str">
        <f t="array" ref="AF593">IF($F593&lt;&gt;"", XLOOKUP($F593,Productos!$A$2:$A1001,Productos!Y$2:Y1001,"")*$G593,"")</f>
        <v/>
      </c>
      <c r="AG593" s="179" t="str">
        <f t="array" ref="AG593">IF($F593&lt;&gt;"",XLOOKUP($F593,Productos!$A:$A,Productos!Z:Z,"Revisar"),"")</f>
        <v/>
      </c>
      <c r="AH593" s="179" t="str">
        <f t="array" ref="AH593">IF($F593&lt;&gt;"", XLOOKUP($F593,Productos!$A$2:$A1001,Productos!AA$2:AA1001,"")*$G593,"")</f>
        <v/>
      </c>
      <c r="AI593" s="179" t="str">
        <f t="array" ref="AI593">IF($F593&lt;&gt;"",XLOOKUP($F593,Productos!$A:$A,Productos!AB:AB,"Revisar"),"")</f>
        <v/>
      </c>
      <c r="AJ593" s="179" t="str">
        <f t="array" ref="AJ593">IF($F593&lt;&gt;"", XLOOKUP($F593,Productos!$A$2:$A1001,Productos!AC$2:AC1001,"")*$G593,"")</f>
        <v/>
      </c>
      <c r="AK593" s="179" t="str">
        <f t="array" ref="AK593">IF($F593&lt;&gt;"",XLOOKUP($F593,Productos!$A:$A,Productos!AD:AD,"Revisar"),"")</f>
        <v/>
      </c>
      <c r="AL593" s="179" t="str">
        <f t="array" ref="AL593">IF($F593&lt;&gt;"", XLOOKUP($F593,Productos!$A$2:$A1001,Productos!AE$2:AE1001,"")*$G593,"")</f>
        <v/>
      </c>
      <c r="AM593" s="179" t="str">
        <f t="array" ref="AM593">IF($F593&lt;&gt;"",XLOOKUP($F593,Productos!$A:$A,Productos!AF:AF,"Revisar"),"")</f>
        <v/>
      </c>
      <c r="AN593" s="179" t="str">
        <f t="array" ref="AN593">IF($F593&lt;&gt;"", XLOOKUP($F593,Productos!$A$2:$A1001,Productos!AG$2:AG1001,"")*$G593,"")</f>
        <v/>
      </c>
      <c r="AO593" s="179" t="str">
        <f t="array" ref="AO593">IF($F593&lt;&gt;"",XLOOKUP($F593,Productos!$A:$A,Productos!AH:AH,"Revisar"),"")</f>
        <v/>
      </c>
      <c r="AP593" s="179" t="str">
        <f t="array" ref="AP593">IF($F593&lt;&gt;"", XLOOKUP($F593,Productos!$A$2:$A1001,Productos!AI$2:AI1001,"")*$G593,"")</f>
        <v/>
      </c>
      <c r="AQ593" s="179" t="str">
        <f t="array" ref="AQ593">IF($F593&lt;&gt;"",XLOOKUP($F593,Productos!$A:$A,Productos!AJ:AJ,"Revisar"),"")</f>
        <v/>
      </c>
      <c r="AR593" s="179" t="str">
        <f t="array" ref="AR593">IF($F593&lt;&gt;"", XLOOKUP($F593,Productos!$A$2:$A1001,Productos!AK$2:AK1001,"")*$G593,"")</f>
        <v/>
      </c>
      <c r="AS593" s="179" t="str">
        <f t="array" ref="AS593">IF($F593&lt;&gt;"",XLOOKUP($F593,Productos!$A:$A,Productos!AL:AL,"Revisar"),"")</f>
        <v/>
      </c>
      <c r="AT593" s="179" t="str">
        <f t="array" ref="AT593">IF($F593&lt;&gt;"", XLOOKUP($F593,Productos!$A$2:$A1001,Productos!AM$2:AM1001,"")*$G593,"")</f>
        <v/>
      </c>
      <c r="AU593" s="179" t="str">
        <f t="array" ref="AU593">IF($F593&lt;&gt;"",XLOOKUP($F593,Productos!$A:$A,Productos!AN:AN,"Revisar"),"")</f>
        <v/>
      </c>
      <c r="AV593" s="179" t="str">
        <f t="array" ref="AV593">IF($F593&lt;&gt;"", XLOOKUP($F593,Productos!$A$2:$A1001,Productos!AO$2:AO1001,"")*$G593,"")</f>
        <v/>
      </c>
      <c r="AW593" s="179" t="str">
        <f t="array" ref="AW593">IF($F593&lt;&gt;"",XLOOKUP($F593,Productos!$A:$A,Productos!AP:AP,"Revisar"),"")</f>
        <v/>
      </c>
      <c r="AX593" s="179" t="str">
        <f t="array" ref="AX593">IF($F593&lt;&gt;"", XLOOKUP($F593,Productos!$A$2:$A1001,Productos!AQ$2:AQ1001,"")*$G593,"")</f>
        <v/>
      </c>
      <c r="AY593" s="179" t="str">
        <f t="array" ref="AY593">IF($F593&lt;&gt;"",XLOOKUP($F593,Productos!$A:$A,Productos!AR:AR,"Revisar"),"")</f>
        <v/>
      </c>
      <c r="AZ593" s="179" t="str">
        <f t="array" ref="AZ593">IF($F593&lt;&gt;"", XLOOKUP($F593,Productos!$A$2:$A1001,Productos!AS$2:AS1001,"")*$G593,"")</f>
        <v/>
      </c>
      <c r="BA593" s="179" t="str">
        <f t="array" ref="BA593">IF($F593&lt;&gt;"",XLOOKUP($F593,Productos!$A:$A,Productos!AT:AT,"Revisar"),"")</f>
        <v/>
      </c>
      <c r="BB593" s="179" t="str">
        <f t="array" ref="BB593">IF($F593&lt;&gt;"", XLOOKUP($F593,Productos!$A$2:$A1001,Productos!AU$2:AU1001,"")*$G593,"")</f>
        <v/>
      </c>
      <c r="BC593" s="179" t="str">
        <f t="array" ref="BC593">IF($F593&lt;&gt;"",XLOOKUP($F593,Productos!$A:$A,Productos!AV:AV,"Revisar"),"")</f>
        <v/>
      </c>
      <c r="BD593" s="179" t="str">
        <f t="array" ref="BD593">IF($F593&lt;&gt;"", XLOOKUP($F593,Productos!$A$2:$A1001,Productos!AW$2:AW1001,"")*$G593,"")</f>
        <v/>
      </c>
      <c r="BE593" s="179" t="str">
        <f t="array" ref="BE593">IF($F593&lt;&gt;"",XLOOKUP($F593,Productos!$A:$A,Productos!AX:AX,"Revisar"),"")</f>
        <v/>
      </c>
      <c r="BF593" s="179" t="str">
        <f t="array" ref="BF593">IF($F593&lt;&gt;"", XLOOKUP($F593,Productos!$A$2:$A1001,Productos!AY$2:AY1001,"")*$G593,"")</f>
        <v/>
      </c>
      <c r="BG593" s="179" t="str">
        <f t="array" ref="BG593">IF($F593&lt;&gt;"",XLOOKUP($F593,Productos!$A:$A,Productos!AZ:AZ,"Revisar"),"")</f>
        <v/>
      </c>
      <c r="BH593" s="179" t="str">
        <f t="array" ref="BH593">IF($F593&lt;&gt;"", XLOOKUP($F593,Productos!$A$2:$A1001,Productos!BA$2:BA1001,"")*$G593,"")</f>
        <v/>
      </c>
      <c r="BI593" s="179" t="str">
        <f t="array" ref="BI593">IF($F593&lt;&gt;"",XLOOKUP($F593,Productos!$A:$A,Productos!BB:BB,"Revisar"),"")</f>
        <v/>
      </c>
      <c r="BJ593" s="179" t="str">
        <f t="array" ref="BJ593">IF($F593&lt;&gt;"", XLOOKUP($F593,Productos!$A$2:$A1001,Productos!BC$2:BC1001,"")*$G593,"")</f>
        <v/>
      </c>
      <c r="BK593" s="179" t="str">
        <f t="array" ref="BK593">IF($F593&lt;&gt;"",XLOOKUP($F593,Productos!$A:$A,Productos!BD:BD,"Revisar"),"")</f>
        <v/>
      </c>
      <c r="BL593" s="179" t="str">
        <f t="array" ref="BL593">IF($F593&lt;&gt;"", XLOOKUP($F593,Productos!$A$2:$A1001,Productos!BE$2:BE1001,"")*$G593,"")</f>
        <v/>
      </c>
      <c r="BM593" s="179" t="str">
        <f t="array" ref="BM593">IF($F593&lt;&gt;"",XLOOKUP($F593,Productos!$A:$A,Productos!BF:BF,"Revisar"),"")</f>
        <v/>
      </c>
      <c r="BN593" s="179" t="str">
        <f t="array" ref="BN593">IF($F593&lt;&gt;"", XLOOKUP($F593,Productos!$A$2:$A1001,Productos!BG$2:BG1001,"")*$G593,"")</f>
        <v/>
      </c>
      <c r="BO593" s="179" t="str">
        <f t="array" ref="BO593">IF($F593&lt;&gt;"",XLOOKUP($F593,Productos!$A:$A,Productos!BH:BH,"Revisar"),"")</f>
        <v/>
      </c>
      <c r="BP593" s="179" t="str">
        <f t="array" ref="BP593">IF($F593&lt;&gt;"", XLOOKUP($F593,Productos!$A$2:$A1001,Productos!BI$2:BI1001,"")*$G593,"")</f>
        <v/>
      </c>
      <c r="BQ593" s="179" t="str">
        <f t="array" ref="BQ593">IF($F593&lt;&gt;"",XLOOKUP($F593,Productos!$A:$A,Productos!BJ:BJ,"Revisar"),"")</f>
        <v/>
      </c>
      <c r="BR593" s="179" t="str">
        <f t="array" ref="BR593">IF($F593&lt;&gt;"", XLOOKUP($F593,Productos!$A$2:$A1001,Productos!BK$2:BK1001,"")*$G593,"")</f>
        <v/>
      </c>
      <c r="BS593" s="179" t="str">
        <f t="array" ref="BS593">IF($F593&lt;&gt;"",XLOOKUP($F593,Productos!$A:$A,Productos!BL:BL,"Revisar"),"")</f>
        <v/>
      </c>
      <c r="BT593" s="179" t="str">
        <f t="array" ref="BT593">IF($F593&lt;&gt;"", XLOOKUP($F593,Productos!$A$2:$A1001,Productos!BM$2:BM1001,"")*$G593,"")</f>
        <v/>
      </c>
      <c r="BU593" s="179" t="str">
        <f t="array" ref="BU593">IF($F593&lt;&gt;"",XLOOKUP($F593,Productos!$A:$A,Productos!BN:BN,"Revisar"),"")</f>
        <v/>
      </c>
      <c r="BV593" s="179" t="str">
        <f t="array" ref="BV593">IF($F593&lt;&gt;"", XLOOKUP($F593,Productos!$A$2:$A1001,Productos!BO$2:BO1001,"")*$G593,"")</f>
        <v/>
      </c>
      <c r="BW593" s="179" t="str">
        <f t="array" ref="BW593">IF($F593&lt;&gt;"",XLOOKUP($F593,Productos!$A:$A,Productos!BP:BP,"Revisar"),"")</f>
        <v/>
      </c>
      <c r="BX593" s="179" t="str">
        <f t="array" ref="BX593">IF($F593&lt;&gt;"", XLOOKUP($F593,Productos!$A$2:$A1001,Productos!BQ$2:BQ1001,"")*$G593,"")</f>
        <v/>
      </c>
      <c r="BY593" s="179" t="str">
        <f t="array" ref="BY593">IF($F593&lt;&gt;"",XLOOKUP($F593,Productos!$A:$A,Productos!BR:BR,"Revisar"),"")</f>
        <v/>
      </c>
      <c r="BZ593" s="179" t="str">
        <f t="array" ref="BZ593">IF($F593&lt;&gt;"", XLOOKUP($F593,Productos!$A$2:$A1001,Productos!BS$2:BS1001,"")*$G593,"")</f>
        <v/>
      </c>
    </row>
    <row r="594">
      <c r="A594" s="188"/>
      <c r="B594" s="189"/>
      <c r="C594" s="190"/>
      <c r="D594" s="190"/>
      <c r="E594" s="191"/>
      <c r="F594" s="186"/>
      <c r="G594" s="192"/>
      <c r="H594" s="9"/>
      <c r="I594" s="179" t="str">
        <f t="array" ref="I594">IF($F594&lt;&gt;"",XLOOKUP($F594,Productos!$A:$A,Productos!B:B,"Revisar"),"")</f>
        <v/>
      </c>
      <c r="J594" s="179" t="str">
        <f t="array" ref="J594">IF($F594&lt;&gt;"", XLOOKUP($F594,Productos!$A$2:$A1001,Productos!C$2:C1001,"")*$G594,"")</f>
        <v/>
      </c>
      <c r="K594" s="179" t="str">
        <f t="array" ref="K594">IF($F594&lt;&gt;"",XLOOKUP($F594,Productos!$A:$A,Productos!D:D,"Revisar"),"")</f>
        <v/>
      </c>
      <c r="L594" s="179" t="str">
        <f t="array" ref="L594">IF($F594&lt;&gt;"", XLOOKUP($F594,Productos!$A$2:$A1001,Productos!E$2:E1001,"")*$G594,"")</f>
        <v/>
      </c>
      <c r="M594" s="179" t="str">
        <f t="array" ref="M594">IF($F594&lt;&gt;"",XLOOKUP($F594,Productos!$A:$A,Productos!F:F,"Revisar"),"")</f>
        <v/>
      </c>
      <c r="N594" s="179" t="str">
        <f t="array" ref="N594">IF($F594&lt;&gt;"", XLOOKUP($F594,Productos!$A$2:$A1001,Productos!G$2:G1001,"")*$G594,"")</f>
        <v/>
      </c>
      <c r="O594" s="179" t="str">
        <f t="array" ref="O594">IF($F594&lt;&gt;"",XLOOKUP($F594,Productos!$A:$A,Productos!H:H,"Revisar"),"")</f>
        <v/>
      </c>
      <c r="P594" s="179" t="str">
        <f t="array" ref="P594">IF($F594&lt;&gt;"", XLOOKUP($F594,Productos!$A$2:$A1001,Productos!I$2:I1001,"")*$G594,"")</f>
        <v/>
      </c>
      <c r="Q594" s="179" t="str">
        <f t="array" ref="Q594">IF($F594&lt;&gt;"",XLOOKUP($F594,Productos!$A:$A,Productos!J:J,"Revisar"),"")</f>
        <v/>
      </c>
      <c r="R594" s="179" t="str">
        <f t="array" ref="R594">IF($F594&lt;&gt;"", XLOOKUP($F594,Productos!$A$2:$A1001,Productos!K$2:K1001,"")*$G594,"")</f>
        <v/>
      </c>
      <c r="S594" s="179" t="str">
        <f t="array" ref="S594">IF($F594&lt;&gt;"",XLOOKUP($F594,Productos!$A:$A,Productos!L:L,"Revisar"),"")</f>
        <v/>
      </c>
      <c r="T594" s="179" t="str">
        <f t="array" ref="T594">IF($F594&lt;&gt;"", XLOOKUP($F594,Productos!$A$2:$A1001,Productos!M$2:M1001,"")*$G594,"")</f>
        <v/>
      </c>
      <c r="U594" s="179" t="str">
        <f t="array" ref="U594">IF($F594&lt;&gt;"",XLOOKUP($F594,Productos!$A:$A,Productos!N:N,"Revisar"),"")</f>
        <v/>
      </c>
      <c r="V594" s="179" t="str">
        <f t="array" ref="V594">IF($F594&lt;&gt;"", XLOOKUP($F594,Productos!$A$2:$A1001,Productos!O$2:O1001,"")*$G594,"")</f>
        <v/>
      </c>
      <c r="W594" s="179" t="str">
        <f t="array" ref="W594">IF($F594&lt;&gt;"",XLOOKUP($F594,Productos!$A:$A,Productos!P:P,"Revisar"),"")</f>
        <v/>
      </c>
      <c r="X594" s="179" t="str">
        <f t="array" ref="X594">IF($F594&lt;&gt;"", XLOOKUP($F594,Productos!$A$2:$A1001,Productos!Q$2:Q1001,"")*$G594,"")</f>
        <v/>
      </c>
      <c r="Y594" s="179" t="str">
        <f t="array" ref="Y594">IF($F594&lt;&gt;"",XLOOKUP($F594,Productos!$A:$A,Productos!R:R,"Revisar"),"")</f>
        <v/>
      </c>
      <c r="Z594" s="179" t="str">
        <f t="array" ref="Z594">IF($F594&lt;&gt;"", XLOOKUP($F594,Productos!$A$2:$A1001,Productos!S$2:S1001,"")*$G594,"")</f>
        <v/>
      </c>
      <c r="AA594" s="179" t="str">
        <f t="array" ref="AA594">IF($F594&lt;&gt;"",XLOOKUP($F594,Productos!$A:$A,Productos!T:T,"Revisar"),"")</f>
        <v/>
      </c>
      <c r="AB594" s="179" t="str">
        <f t="array" ref="AB594">IF($F594&lt;&gt;"", XLOOKUP($F594,Productos!$A$2:$A1001,Productos!U$2:U1001,"")*$G594,"")</f>
        <v/>
      </c>
      <c r="AC594" s="179" t="str">
        <f t="array" ref="AC594">IF($F594&lt;&gt;"",XLOOKUP($F594,Productos!$A:$A,Productos!V:V,"Revisar"),"")</f>
        <v/>
      </c>
      <c r="AD594" s="179" t="str">
        <f t="array" ref="AD594">IF($F594&lt;&gt;"", XLOOKUP($F594,Productos!$A$2:$A1001,Productos!W$2:W1001,"")*$G594,"")</f>
        <v/>
      </c>
      <c r="AE594" s="179" t="str">
        <f t="array" ref="AE594">IF($F594&lt;&gt;"",XLOOKUP($F594,Productos!$A:$A,Productos!X:X,"Revisar"),"")</f>
        <v/>
      </c>
      <c r="AF594" s="179" t="str">
        <f t="array" ref="AF594">IF($F594&lt;&gt;"", XLOOKUP($F594,Productos!$A$2:$A1001,Productos!Y$2:Y1001,"")*$G594,"")</f>
        <v/>
      </c>
      <c r="AG594" s="179" t="str">
        <f t="array" ref="AG594">IF($F594&lt;&gt;"",XLOOKUP($F594,Productos!$A:$A,Productos!Z:Z,"Revisar"),"")</f>
        <v/>
      </c>
      <c r="AH594" s="179" t="str">
        <f t="array" ref="AH594">IF($F594&lt;&gt;"", XLOOKUP($F594,Productos!$A$2:$A1001,Productos!AA$2:AA1001,"")*$G594,"")</f>
        <v/>
      </c>
      <c r="AI594" s="179" t="str">
        <f t="array" ref="AI594">IF($F594&lt;&gt;"",XLOOKUP($F594,Productos!$A:$A,Productos!AB:AB,"Revisar"),"")</f>
        <v/>
      </c>
      <c r="AJ594" s="179" t="str">
        <f t="array" ref="AJ594">IF($F594&lt;&gt;"", XLOOKUP($F594,Productos!$A$2:$A1001,Productos!AC$2:AC1001,"")*$G594,"")</f>
        <v/>
      </c>
      <c r="AK594" s="179" t="str">
        <f t="array" ref="AK594">IF($F594&lt;&gt;"",XLOOKUP($F594,Productos!$A:$A,Productos!AD:AD,"Revisar"),"")</f>
        <v/>
      </c>
      <c r="AL594" s="179" t="str">
        <f t="array" ref="AL594">IF($F594&lt;&gt;"", XLOOKUP($F594,Productos!$A$2:$A1001,Productos!AE$2:AE1001,"")*$G594,"")</f>
        <v/>
      </c>
      <c r="AM594" s="179" t="str">
        <f t="array" ref="AM594">IF($F594&lt;&gt;"",XLOOKUP($F594,Productos!$A:$A,Productos!AF:AF,"Revisar"),"")</f>
        <v/>
      </c>
      <c r="AN594" s="179" t="str">
        <f t="array" ref="AN594">IF($F594&lt;&gt;"", XLOOKUP($F594,Productos!$A$2:$A1001,Productos!AG$2:AG1001,"")*$G594,"")</f>
        <v/>
      </c>
      <c r="AO594" s="179" t="str">
        <f t="array" ref="AO594">IF($F594&lt;&gt;"",XLOOKUP($F594,Productos!$A:$A,Productos!AH:AH,"Revisar"),"")</f>
        <v/>
      </c>
      <c r="AP594" s="179" t="str">
        <f t="array" ref="AP594">IF($F594&lt;&gt;"", XLOOKUP($F594,Productos!$A$2:$A1001,Productos!AI$2:AI1001,"")*$G594,"")</f>
        <v/>
      </c>
      <c r="AQ594" s="179" t="str">
        <f t="array" ref="AQ594">IF($F594&lt;&gt;"",XLOOKUP($F594,Productos!$A:$A,Productos!AJ:AJ,"Revisar"),"")</f>
        <v/>
      </c>
      <c r="AR594" s="179" t="str">
        <f t="array" ref="AR594">IF($F594&lt;&gt;"", XLOOKUP($F594,Productos!$A$2:$A1001,Productos!AK$2:AK1001,"")*$G594,"")</f>
        <v/>
      </c>
      <c r="AS594" s="179" t="str">
        <f t="array" ref="AS594">IF($F594&lt;&gt;"",XLOOKUP($F594,Productos!$A:$A,Productos!AL:AL,"Revisar"),"")</f>
        <v/>
      </c>
      <c r="AT594" s="179" t="str">
        <f t="array" ref="AT594">IF($F594&lt;&gt;"", XLOOKUP($F594,Productos!$A$2:$A1001,Productos!AM$2:AM1001,"")*$G594,"")</f>
        <v/>
      </c>
      <c r="AU594" s="179" t="str">
        <f t="array" ref="AU594">IF($F594&lt;&gt;"",XLOOKUP($F594,Productos!$A:$A,Productos!AN:AN,"Revisar"),"")</f>
        <v/>
      </c>
      <c r="AV594" s="179" t="str">
        <f t="array" ref="AV594">IF($F594&lt;&gt;"", XLOOKUP($F594,Productos!$A$2:$A1001,Productos!AO$2:AO1001,"")*$G594,"")</f>
        <v/>
      </c>
      <c r="AW594" s="179" t="str">
        <f t="array" ref="AW594">IF($F594&lt;&gt;"",XLOOKUP($F594,Productos!$A:$A,Productos!AP:AP,"Revisar"),"")</f>
        <v/>
      </c>
      <c r="AX594" s="179" t="str">
        <f t="array" ref="AX594">IF($F594&lt;&gt;"", XLOOKUP($F594,Productos!$A$2:$A1001,Productos!AQ$2:AQ1001,"")*$G594,"")</f>
        <v/>
      </c>
      <c r="AY594" s="179" t="str">
        <f t="array" ref="AY594">IF($F594&lt;&gt;"",XLOOKUP($F594,Productos!$A:$A,Productos!AR:AR,"Revisar"),"")</f>
        <v/>
      </c>
      <c r="AZ594" s="179" t="str">
        <f t="array" ref="AZ594">IF($F594&lt;&gt;"", XLOOKUP($F594,Productos!$A$2:$A1001,Productos!AS$2:AS1001,"")*$G594,"")</f>
        <v/>
      </c>
      <c r="BA594" s="179" t="str">
        <f t="array" ref="BA594">IF($F594&lt;&gt;"",XLOOKUP($F594,Productos!$A:$A,Productos!AT:AT,"Revisar"),"")</f>
        <v/>
      </c>
      <c r="BB594" s="179" t="str">
        <f t="array" ref="BB594">IF($F594&lt;&gt;"", XLOOKUP($F594,Productos!$A$2:$A1001,Productos!AU$2:AU1001,"")*$G594,"")</f>
        <v/>
      </c>
      <c r="BC594" s="179" t="str">
        <f t="array" ref="BC594">IF($F594&lt;&gt;"",XLOOKUP($F594,Productos!$A:$A,Productos!AV:AV,"Revisar"),"")</f>
        <v/>
      </c>
      <c r="BD594" s="179" t="str">
        <f t="array" ref="BD594">IF($F594&lt;&gt;"", XLOOKUP($F594,Productos!$A$2:$A1001,Productos!AW$2:AW1001,"")*$G594,"")</f>
        <v/>
      </c>
      <c r="BE594" s="179" t="str">
        <f t="array" ref="BE594">IF($F594&lt;&gt;"",XLOOKUP($F594,Productos!$A:$A,Productos!AX:AX,"Revisar"),"")</f>
        <v/>
      </c>
      <c r="BF594" s="179" t="str">
        <f t="array" ref="BF594">IF($F594&lt;&gt;"", XLOOKUP($F594,Productos!$A$2:$A1001,Productos!AY$2:AY1001,"")*$G594,"")</f>
        <v/>
      </c>
      <c r="BG594" s="179" t="str">
        <f t="array" ref="BG594">IF($F594&lt;&gt;"",XLOOKUP($F594,Productos!$A:$A,Productos!AZ:AZ,"Revisar"),"")</f>
        <v/>
      </c>
      <c r="BH594" s="179" t="str">
        <f t="array" ref="BH594">IF($F594&lt;&gt;"", XLOOKUP($F594,Productos!$A$2:$A1001,Productos!BA$2:BA1001,"")*$G594,"")</f>
        <v/>
      </c>
      <c r="BI594" s="179" t="str">
        <f t="array" ref="BI594">IF($F594&lt;&gt;"",XLOOKUP($F594,Productos!$A:$A,Productos!BB:BB,"Revisar"),"")</f>
        <v/>
      </c>
      <c r="BJ594" s="179" t="str">
        <f t="array" ref="BJ594">IF($F594&lt;&gt;"", XLOOKUP($F594,Productos!$A$2:$A1001,Productos!BC$2:BC1001,"")*$G594,"")</f>
        <v/>
      </c>
      <c r="BK594" s="179" t="str">
        <f t="array" ref="BK594">IF($F594&lt;&gt;"",XLOOKUP($F594,Productos!$A:$A,Productos!BD:BD,"Revisar"),"")</f>
        <v/>
      </c>
      <c r="BL594" s="179" t="str">
        <f t="array" ref="BL594">IF($F594&lt;&gt;"", XLOOKUP($F594,Productos!$A$2:$A1001,Productos!BE$2:BE1001,"")*$G594,"")</f>
        <v/>
      </c>
      <c r="BM594" s="179" t="str">
        <f t="array" ref="BM594">IF($F594&lt;&gt;"",XLOOKUP($F594,Productos!$A:$A,Productos!BF:BF,"Revisar"),"")</f>
        <v/>
      </c>
      <c r="BN594" s="179" t="str">
        <f t="array" ref="BN594">IF($F594&lt;&gt;"", XLOOKUP($F594,Productos!$A$2:$A1001,Productos!BG$2:BG1001,"")*$G594,"")</f>
        <v/>
      </c>
      <c r="BO594" s="179" t="str">
        <f t="array" ref="BO594">IF($F594&lt;&gt;"",XLOOKUP($F594,Productos!$A:$A,Productos!BH:BH,"Revisar"),"")</f>
        <v/>
      </c>
      <c r="BP594" s="179" t="str">
        <f t="array" ref="BP594">IF($F594&lt;&gt;"", XLOOKUP($F594,Productos!$A$2:$A1001,Productos!BI$2:BI1001,"")*$G594,"")</f>
        <v/>
      </c>
      <c r="BQ594" s="179" t="str">
        <f t="array" ref="BQ594">IF($F594&lt;&gt;"",XLOOKUP($F594,Productos!$A:$A,Productos!BJ:BJ,"Revisar"),"")</f>
        <v/>
      </c>
      <c r="BR594" s="179" t="str">
        <f t="array" ref="BR594">IF($F594&lt;&gt;"", XLOOKUP($F594,Productos!$A$2:$A1001,Productos!BK$2:BK1001,"")*$G594,"")</f>
        <v/>
      </c>
      <c r="BS594" s="179" t="str">
        <f t="array" ref="BS594">IF($F594&lt;&gt;"",XLOOKUP($F594,Productos!$A:$A,Productos!BL:BL,"Revisar"),"")</f>
        <v/>
      </c>
      <c r="BT594" s="179" t="str">
        <f t="array" ref="BT594">IF($F594&lt;&gt;"", XLOOKUP($F594,Productos!$A$2:$A1001,Productos!BM$2:BM1001,"")*$G594,"")</f>
        <v/>
      </c>
      <c r="BU594" s="179" t="str">
        <f t="array" ref="BU594">IF($F594&lt;&gt;"",XLOOKUP($F594,Productos!$A:$A,Productos!BN:BN,"Revisar"),"")</f>
        <v/>
      </c>
      <c r="BV594" s="179" t="str">
        <f t="array" ref="BV594">IF($F594&lt;&gt;"", XLOOKUP($F594,Productos!$A$2:$A1001,Productos!BO$2:BO1001,"")*$G594,"")</f>
        <v/>
      </c>
      <c r="BW594" s="179" t="str">
        <f t="array" ref="BW594">IF($F594&lt;&gt;"",XLOOKUP($F594,Productos!$A:$A,Productos!BP:BP,"Revisar"),"")</f>
        <v/>
      </c>
      <c r="BX594" s="179" t="str">
        <f t="array" ref="BX594">IF($F594&lt;&gt;"", XLOOKUP($F594,Productos!$A$2:$A1001,Productos!BQ$2:BQ1001,"")*$G594,"")</f>
        <v/>
      </c>
      <c r="BY594" s="179" t="str">
        <f t="array" ref="BY594">IF($F594&lt;&gt;"",XLOOKUP($F594,Productos!$A:$A,Productos!BR:BR,"Revisar"),"")</f>
        <v/>
      </c>
      <c r="BZ594" s="179" t="str">
        <f t="array" ref="BZ594">IF($F594&lt;&gt;"", XLOOKUP($F594,Productos!$A$2:$A1001,Productos!BS$2:BS1001,"")*$G594,"")</f>
        <v/>
      </c>
    </row>
    <row r="595">
      <c r="A595" s="188"/>
      <c r="B595" s="189"/>
      <c r="C595" s="190"/>
      <c r="D595" s="190"/>
      <c r="E595" s="191"/>
      <c r="F595" s="186"/>
      <c r="G595" s="192"/>
      <c r="H595" s="9"/>
      <c r="I595" s="179" t="str">
        <f t="array" ref="I595">IF($F595&lt;&gt;"",XLOOKUP($F595,Productos!$A:$A,Productos!B:B,"Revisar"),"")</f>
        <v/>
      </c>
      <c r="J595" s="179" t="str">
        <f t="array" ref="J595">IF($F595&lt;&gt;"", XLOOKUP($F595,Productos!$A$2:$A1001,Productos!C$2:C1001,"")*$G595,"")</f>
        <v/>
      </c>
      <c r="K595" s="179" t="str">
        <f t="array" ref="K595">IF($F595&lt;&gt;"",XLOOKUP($F595,Productos!$A:$A,Productos!D:D,"Revisar"),"")</f>
        <v/>
      </c>
      <c r="L595" s="179" t="str">
        <f t="array" ref="L595">IF($F595&lt;&gt;"", XLOOKUP($F595,Productos!$A$2:$A1001,Productos!E$2:E1001,"")*$G595,"")</f>
        <v/>
      </c>
      <c r="M595" s="179" t="str">
        <f t="array" ref="M595">IF($F595&lt;&gt;"",XLOOKUP($F595,Productos!$A:$A,Productos!F:F,"Revisar"),"")</f>
        <v/>
      </c>
      <c r="N595" s="179" t="str">
        <f t="array" ref="N595">IF($F595&lt;&gt;"", XLOOKUP($F595,Productos!$A$2:$A1001,Productos!G$2:G1001,"")*$G595,"")</f>
        <v/>
      </c>
      <c r="O595" s="179" t="str">
        <f t="array" ref="O595">IF($F595&lt;&gt;"",XLOOKUP($F595,Productos!$A:$A,Productos!H:H,"Revisar"),"")</f>
        <v/>
      </c>
      <c r="P595" s="179" t="str">
        <f t="array" ref="P595">IF($F595&lt;&gt;"", XLOOKUP($F595,Productos!$A$2:$A1001,Productos!I$2:I1001,"")*$G595,"")</f>
        <v/>
      </c>
      <c r="Q595" s="179" t="str">
        <f t="array" ref="Q595">IF($F595&lt;&gt;"",XLOOKUP($F595,Productos!$A:$A,Productos!J:J,"Revisar"),"")</f>
        <v/>
      </c>
      <c r="R595" s="179" t="str">
        <f t="array" ref="R595">IF($F595&lt;&gt;"", XLOOKUP($F595,Productos!$A$2:$A1001,Productos!K$2:K1001,"")*$G595,"")</f>
        <v/>
      </c>
      <c r="S595" s="179" t="str">
        <f t="array" ref="S595">IF($F595&lt;&gt;"",XLOOKUP($F595,Productos!$A:$A,Productos!L:L,"Revisar"),"")</f>
        <v/>
      </c>
      <c r="T595" s="179" t="str">
        <f t="array" ref="T595">IF($F595&lt;&gt;"", XLOOKUP($F595,Productos!$A$2:$A1001,Productos!M$2:M1001,"")*$G595,"")</f>
        <v/>
      </c>
      <c r="U595" s="179" t="str">
        <f t="array" ref="U595">IF($F595&lt;&gt;"",XLOOKUP($F595,Productos!$A:$A,Productos!N:N,"Revisar"),"")</f>
        <v/>
      </c>
      <c r="V595" s="179" t="str">
        <f t="array" ref="V595">IF($F595&lt;&gt;"", XLOOKUP($F595,Productos!$A$2:$A1001,Productos!O$2:O1001,"")*$G595,"")</f>
        <v/>
      </c>
      <c r="W595" s="179" t="str">
        <f t="array" ref="W595">IF($F595&lt;&gt;"",XLOOKUP($F595,Productos!$A:$A,Productos!P:P,"Revisar"),"")</f>
        <v/>
      </c>
      <c r="X595" s="179" t="str">
        <f t="array" ref="X595">IF($F595&lt;&gt;"", XLOOKUP($F595,Productos!$A$2:$A1001,Productos!Q$2:Q1001,"")*$G595,"")</f>
        <v/>
      </c>
      <c r="Y595" s="179" t="str">
        <f t="array" ref="Y595">IF($F595&lt;&gt;"",XLOOKUP($F595,Productos!$A:$A,Productos!R:R,"Revisar"),"")</f>
        <v/>
      </c>
      <c r="Z595" s="179" t="str">
        <f t="array" ref="Z595">IF($F595&lt;&gt;"", XLOOKUP($F595,Productos!$A$2:$A1001,Productos!S$2:S1001,"")*$G595,"")</f>
        <v/>
      </c>
      <c r="AA595" s="179" t="str">
        <f t="array" ref="AA595">IF($F595&lt;&gt;"",XLOOKUP($F595,Productos!$A:$A,Productos!T:T,"Revisar"),"")</f>
        <v/>
      </c>
      <c r="AB595" s="179" t="str">
        <f t="array" ref="AB595">IF($F595&lt;&gt;"", XLOOKUP($F595,Productos!$A$2:$A1001,Productos!U$2:U1001,"")*$G595,"")</f>
        <v/>
      </c>
      <c r="AC595" s="179" t="str">
        <f t="array" ref="AC595">IF($F595&lt;&gt;"",XLOOKUP($F595,Productos!$A:$A,Productos!V:V,"Revisar"),"")</f>
        <v/>
      </c>
      <c r="AD595" s="179" t="str">
        <f t="array" ref="AD595">IF($F595&lt;&gt;"", XLOOKUP($F595,Productos!$A$2:$A1001,Productos!W$2:W1001,"")*$G595,"")</f>
        <v/>
      </c>
      <c r="AE595" s="179" t="str">
        <f t="array" ref="AE595">IF($F595&lt;&gt;"",XLOOKUP($F595,Productos!$A:$A,Productos!X:X,"Revisar"),"")</f>
        <v/>
      </c>
      <c r="AF595" s="179" t="str">
        <f t="array" ref="AF595">IF($F595&lt;&gt;"", XLOOKUP($F595,Productos!$A$2:$A1001,Productos!Y$2:Y1001,"")*$G595,"")</f>
        <v/>
      </c>
      <c r="AG595" s="179" t="str">
        <f t="array" ref="AG595">IF($F595&lt;&gt;"",XLOOKUP($F595,Productos!$A:$A,Productos!Z:Z,"Revisar"),"")</f>
        <v/>
      </c>
      <c r="AH595" s="179" t="str">
        <f t="array" ref="AH595">IF($F595&lt;&gt;"", XLOOKUP($F595,Productos!$A$2:$A1001,Productos!AA$2:AA1001,"")*$G595,"")</f>
        <v/>
      </c>
      <c r="AI595" s="179" t="str">
        <f t="array" ref="AI595">IF($F595&lt;&gt;"",XLOOKUP($F595,Productos!$A:$A,Productos!AB:AB,"Revisar"),"")</f>
        <v/>
      </c>
      <c r="AJ595" s="179" t="str">
        <f t="array" ref="AJ595">IF($F595&lt;&gt;"", XLOOKUP($F595,Productos!$A$2:$A1001,Productos!AC$2:AC1001,"")*$G595,"")</f>
        <v/>
      </c>
      <c r="AK595" s="179" t="str">
        <f t="array" ref="AK595">IF($F595&lt;&gt;"",XLOOKUP($F595,Productos!$A:$A,Productos!AD:AD,"Revisar"),"")</f>
        <v/>
      </c>
      <c r="AL595" s="179" t="str">
        <f t="array" ref="AL595">IF($F595&lt;&gt;"", XLOOKUP($F595,Productos!$A$2:$A1001,Productos!AE$2:AE1001,"")*$G595,"")</f>
        <v/>
      </c>
      <c r="AM595" s="179" t="str">
        <f t="array" ref="AM595">IF($F595&lt;&gt;"",XLOOKUP($F595,Productos!$A:$A,Productos!AF:AF,"Revisar"),"")</f>
        <v/>
      </c>
      <c r="AN595" s="179" t="str">
        <f t="array" ref="AN595">IF($F595&lt;&gt;"", XLOOKUP($F595,Productos!$A$2:$A1001,Productos!AG$2:AG1001,"")*$G595,"")</f>
        <v/>
      </c>
      <c r="AO595" s="179" t="str">
        <f t="array" ref="AO595">IF($F595&lt;&gt;"",XLOOKUP($F595,Productos!$A:$A,Productos!AH:AH,"Revisar"),"")</f>
        <v/>
      </c>
      <c r="AP595" s="179" t="str">
        <f t="array" ref="AP595">IF($F595&lt;&gt;"", XLOOKUP($F595,Productos!$A$2:$A1001,Productos!AI$2:AI1001,"")*$G595,"")</f>
        <v/>
      </c>
      <c r="AQ595" s="179" t="str">
        <f t="array" ref="AQ595">IF($F595&lt;&gt;"",XLOOKUP($F595,Productos!$A:$A,Productos!AJ:AJ,"Revisar"),"")</f>
        <v/>
      </c>
      <c r="AR595" s="179" t="str">
        <f t="array" ref="AR595">IF($F595&lt;&gt;"", XLOOKUP($F595,Productos!$A$2:$A1001,Productos!AK$2:AK1001,"")*$G595,"")</f>
        <v/>
      </c>
      <c r="AS595" s="179" t="str">
        <f t="array" ref="AS595">IF($F595&lt;&gt;"",XLOOKUP($F595,Productos!$A:$A,Productos!AL:AL,"Revisar"),"")</f>
        <v/>
      </c>
      <c r="AT595" s="179" t="str">
        <f t="array" ref="AT595">IF($F595&lt;&gt;"", XLOOKUP($F595,Productos!$A$2:$A1001,Productos!AM$2:AM1001,"")*$G595,"")</f>
        <v/>
      </c>
      <c r="AU595" s="179" t="str">
        <f t="array" ref="AU595">IF($F595&lt;&gt;"",XLOOKUP($F595,Productos!$A:$A,Productos!AN:AN,"Revisar"),"")</f>
        <v/>
      </c>
      <c r="AV595" s="179" t="str">
        <f t="array" ref="AV595">IF($F595&lt;&gt;"", XLOOKUP($F595,Productos!$A$2:$A1001,Productos!AO$2:AO1001,"")*$G595,"")</f>
        <v/>
      </c>
      <c r="AW595" s="179" t="str">
        <f t="array" ref="AW595">IF($F595&lt;&gt;"",XLOOKUP($F595,Productos!$A:$A,Productos!AP:AP,"Revisar"),"")</f>
        <v/>
      </c>
      <c r="AX595" s="179" t="str">
        <f t="array" ref="AX595">IF($F595&lt;&gt;"", XLOOKUP($F595,Productos!$A$2:$A1001,Productos!AQ$2:AQ1001,"")*$G595,"")</f>
        <v/>
      </c>
      <c r="AY595" s="179" t="str">
        <f t="array" ref="AY595">IF($F595&lt;&gt;"",XLOOKUP($F595,Productos!$A:$A,Productos!AR:AR,"Revisar"),"")</f>
        <v/>
      </c>
      <c r="AZ595" s="179" t="str">
        <f t="array" ref="AZ595">IF($F595&lt;&gt;"", XLOOKUP($F595,Productos!$A$2:$A1001,Productos!AS$2:AS1001,"")*$G595,"")</f>
        <v/>
      </c>
      <c r="BA595" s="179" t="str">
        <f t="array" ref="BA595">IF($F595&lt;&gt;"",XLOOKUP($F595,Productos!$A:$A,Productos!AT:AT,"Revisar"),"")</f>
        <v/>
      </c>
      <c r="BB595" s="179" t="str">
        <f t="array" ref="BB595">IF($F595&lt;&gt;"", XLOOKUP($F595,Productos!$A$2:$A1001,Productos!AU$2:AU1001,"")*$G595,"")</f>
        <v/>
      </c>
      <c r="BC595" s="179" t="str">
        <f t="array" ref="BC595">IF($F595&lt;&gt;"",XLOOKUP($F595,Productos!$A:$A,Productos!AV:AV,"Revisar"),"")</f>
        <v/>
      </c>
      <c r="BD595" s="179" t="str">
        <f t="array" ref="BD595">IF($F595&lt;&gt;"", XLOOKUP($F595,Productos!$A$2:$A1001,Productos!AW$2:AW1001,"")*$G595,"")</f>
        <v/>
      </c>
      <c r="BE595" s="179" t="str">
        <f t="array" ref="BE595">IF($F595&lt;&gt;"",XLOOKUP($F595,Productos!$A:$A,Productos!AX:AX,"Revisar"),"")</f>
        <v/>
      </c>
      <c r="BF595" s="179" t="str">
        <f t="array" ref="BF595">IF($F595&lt;&gt;"", XLOOKUP($F595,Productos!$A$2:$A1001,Productos!AY$2:AY1001,"")*$G595,"")</f>
        <v/>
      </c>
      <c r="BG595" s="179" t="str">
        <f t="array" ref="BG595">IF($F595&lt;&gt;"",XLOOKUP($F595,Productos!$A:$A,Productos!AZ:AZ,"Revisar"),"")</f>
        <v/>
      </c>
      <c r="BH595" s="179" t="str">
        <f t="array" ref="BH595">IF($F595&lt;&gt;"", XLOOKUP($F595,Productos!$A$2:$A1001,Productos!BA$2:BA1001,"")*$G595,"")</f>
        <v/>
      </c>
      <c r="BI595" s="179" t="str">
        <f t="array" ref="BI595">IF($F595&lt;&gt;"",XLOOKUP($F595,Productos!$A:$A,Productos!BB:BB,"Revisar"),"")</f>
        <v/>
      </c>
      <c r="BJ595" s="179" t="str">
        <f t="array" ref="BJ595">IF($F595&lt;&gt;"", XLOOKUP($F595,Productos!$A$2:$A1001,Productos!BC$2:BC1001,"")*$G595,"")</f>
        <v/>
      </c>
      <c r="BK595" s="179" t="str">
        <f t="array" ref="BK595">IF($F595&lt;&gt;"",XLOOKUP($F595,Productos!$A:$A,Productos!BD:BD,"Revisar"),"")</f>
        <v/>
      </c>
      <c r="BL595" s="179" t="str">
        <f t="array" ref="BL595">IF($F595&lt;&gt;"", XLOOKUP($F595,Productos!$A$2:$A1001,Productos!BE$2:BE1001,"")*$G595,"")</f>
        <v/>
      </c>
      <c r="BM595" s="179" t="str">
        <f t="array" ref="BM595">IF($F595&lt;&gt;"",XLOOKUP($F595,Productos!$A:$A,Productos!BF:BF,"Revisar"),"")</f>
        <v/>
      </c>
      <c r="BN595" s="179" t="str">
        <f t="array" ref="BN595">IF($F595&lt;&gt;"", XLOOKUP($F595,Productos!$A$2:$A1001,Productos!BG$2:BG1001,"")*$G595,"")</f>
        <v/>
      </c>
      <c r="BO595" s="179" t="str">
        <f t="array" ref="BO595">IF($F595&lt;&gt;"",XLOOKUP($F595,Productos!$A:$A,Productos!BH:BH,"Revisar"),"")</f>
        <v/>
      </c>
      <c r="BP595" s="179" t="str">
        <f t="array" ref="BP595">IF($F595&lt;&gt;"", XLOOKUP($F595,Productos!$A$2:$A1001,Productos!BI$2:BI1001,"")*$G595,"")</f>
        <v/>
      </c>
      <c r="BQ595" s="179" t="str">
        <f t="array" ref="BQ595">IF($F595&lt;&gt;"",XLOOKUP($F595,Productos!$A:$A,Productos!BJ:BJ,"Revisar"),"")</f>
        <v/>
      </c>
      <c r="BR595" s="179" t="str">
        <f t="array" ref="BR595">IF($F595&lt;&gt;"", XLOOKUP($F595,Productos!$A$2:$A1001,Productos!BK$2:BK1001,"")*$G595,"")</f>
        <v/>
      </c>
      <c r="BS595" s="179" t="str">
        <f t="array" ref="BS595">IF($F595&lt;&gt;"",XLOOKUP($F595,Productos!$A:$A,Productos!BL:BL,"Revisar"),"")</f>
        <v/>
      </c>
      <c r="BT595" s="179" t="str">
        <f t="array" ref="BT595">IF($F595&lt;&gt;"", XLOOKUP($F595,Productos!$A$2:$A1001,Productos!BM$2:BM1001,"")*$G595,"")</f>
        <v/>
      </c>
      <c r="BU595" s="179" t="str">
        <f t="array" ref="BU595">IF($F595&lt;&gt;"",XLOOKUP($F595,Productos!$A:$A,Productos!BN:BN,"Revisar"),"")</f>
        <v/>
      </c>
      <c r="BV595" s="179" t="str">
        <f t="array" ref="BV595">IF($F595&lt;&gt;"", XLOOKUP($F595,Productos!$A$2:$A1001,Productos!BO$2:BO1001,"")*$G595,"")</f>
        <v/>
      </c>
      <c r="BW595" s="179" t="str">
        <f t="array" ref="BW595">IF($F595&lt;&gt;"",XLOOKUP($F595,Productos!$A:$A,Productos!BP:BP,"Revisar"),"")</f>
        <v/>
      </c>
      <c r="BX595" s="179" t="str">
        <f t="array" ref="BX595">IF($F595&lt;&gt;"", XLOOKUP($F595,Productos!$A$2:$A1001,Productos!BQ$2:BQ1001,"")*$G595,"")</f>
        <v/>
      </c>
      <c r="BY595" s="179" t="str">
        <f t="array" ref="BY595">IF($F595&lt;&gt;"",XLOOKUP($F595,Productos!$A:$A,Productos!BR:BR,"Revisar"),"")</f>
        <v/>
      </c>
      <c r="BZ595" s="179" t="str">
        <f t="array" ref="BZ595">IF($F595&lt;&gt;"", XLOOKUP($F595,Productos!$A$2:$A1001,Productos!BS$2:BS1001,"")*$G595,"")</f>
        <v/>
      </c>
    </row>
    <row r="596">
      <c r="A596" s="188"/>
      <c r="B596" s="189"/>
      <c r="C596" s="190"/>
      <c r="D596" s="190"/>
      <c r="E596" s="191"/>
      <c r="F596" s="186"/>
      <c r="G596" s="192"/>
      <c r="H596" s="9"/>
      <c r="I596" s="179" t="str">
        <f t="array" ref="I596">IF($F596&lt;&gt;"",XLOOKUP($F596,Productos!$A:$A,Productos!B:B,"Revisar"),"")</f>
        <v/>
      </c>
      <c r="J596" s="179" t="str">
        <f t="array" ref="J596">IF($F596&lt;&gt;"", XLOOKUP($F596,Productos!$A$2:$A1001,Productos!C$2:C1001,"")*$G596,"")</f>
        <v/>
      </c>
      <c r="K596" s="179" t="str">
        <f t="array" ref="K596">IF($F596&lt;&gt;"",XLOOKUP($F596,Productos!$A:$A,Productos!D:D,"Revisar"),"")</f>
        <v/>
      </c>
      <c r="L596" s="179" t="str">
        <f t="array" ref="L596">IF($F596&lt;&gt;"", XLOOKUP($F596,Productos!$A$2:$A1001,Productos!E$2:E1001,"")*$G596,"")</f>
        <v/>
      </c>
      <c r="M596" s="179" t="str">
        <f t="array" ref="M596">IF($F596&lt;&gt;"",XLOOKUP($F596,Productos!$A:$A,Productos!F:F,"Revisar"),"")</f>
        <v/>
      </c>
      <c r="N596" s="179" t="str">
        <f t="array" ref="N596">IF($F596&lt;&gt;"", XLOOKUP($F596,Productos!$A$2:$A1001,Productos!G$2:G1001,"")*$G596,"")</f>
        <v/>
      </c>
      <c r="O596" s="179" t="str">
        <f t="array" ref="O596">IF($F596&lt;&gt;"",XLOOKUP($F596,Productos!$A:$A,Productos!H:H,"Revisar"),"")</f>
        <v/>
      </c>
      <c r="P596" s="179" t="str">
        <f t="array" ref="P596">IF($F596&lt;&gt;"", XLOOKUP($F596,Productos!$A$2:$A1001,Productos!I$2:I1001,"")*$G596,"")</f>
        <v/>
      </c>
      <c r="Q596" s="179" t="str">
        <f t="array" ref="Q596">IF($F596&lt;&gt;"",XLOOKUP($F596,Productos!$A:$A,Productos!J:J,"Revisar"),"")</f>
        <v/>
      </c>
      <c r="R596" s="179" t="str">
        <f t="array" ref="R596">IF($F596&lt;&gt;"", XLOOKUP($F596,Productos!$A$2:$A1001,Productos!K$2:K1001,"")*$G596,"")</f>
        <v/>
      </c>
      <c r="S596" s="179" t="str">
        <f t="array" ref="S596">IF($F596&lt;&gt;"",XLOOKUP($F596,Productos!$A:$A,Productos!L:L,"Revisar"),"")</f>
        <v/>
      </c>
      <c r="T596" s="179" t="str">
        <f t="array" ref="T596">IF($F596&lt;&gt;"", XLOOKUP($F596,Productos!$A$2:$A1001,Productos!M$2:M1001,"")*$G596,"")</f>
        <v/>
      </c>
      <c r="U596" s="179" t="str">
        <f t="array" ref="U596">IF($F596&lt;&gt;"",XLOOKUP($F596,Productos!$A:$A,Productos!N:N,"Revisar"),"")</f>
        <v/>
      </c>
      <c r="V596" s="179" t="str">
        <f t="array" ref="V596">IF($F596&lt;&gt;"", XLOOKUP($F596,Productos!$A$2:$A1001,Productos!O$2:O1001,"")*$G596,"")</f>
        <v/>
      </c>
      <c r="W596" s="179" t="str">
        <f t="array" ref="W596">IF($F596&lt;&gt;"",XLOOKUP($F596,Productos!$A:$A,Productos!P:P,"Revisar"),"")</f>
        <v/>
      </c>
      <c r="X596" s="179" t="str">
        <f t="array" ref="X596">IF($F596&lt;&gt;"", XLOOKUP($F596,Productos!$A$2:$A1001,Productos!Q$2:Q1001,"")*$G596,"")</f>
        <v/>
      </c>
      <c r="Y596" s="179" t="str">
        <f t="array" ref="Y596">IF($F596&lt;&gt;"",XLOOKUP($F596,Productos!$A:$A,Productos!R:R,"Revisar"),"")</f>
        <v/>
      </c>
      <c r="Z596" s="179" t="str">
        <f t="array" ref="Z596">IF($F596&lt;&gt;"", XLOOKUP($F596,Productos!$A$2:$A1001,Productos!S$2:S1001,"")*$G596,"")</f>
        <v/>
      </c>
      <c r="AA596" s="179" t="str">
        <f t="array" ref="AA596">IF($F596&lt;&gt;"",XLOOKUP($F596,Productos!$A:$A,Productos!T:T,"Revisar"),"")</f>
        <v/>
      </c>
      <c r="AB596" s="179" t="str">
        <f t="array" ref="AB596">IF($F596&lt;&gt;"", XLOOKUP($F596,Productos!$A$2:$A1001,Productos!U$2:U1001,"")*$G596,"")</f>
        <v/>
      </c>
      <c r="AC596" s="179" t="str">
        <f t="array" ref="AC596">IF($F596&lt;&gt;"",XLOOKUP($F596,Productos!$A:$A,Productos!V:V,"Revisar"),"")</f>
        <v/>
      </c>
      <c r="AD596" s="179" t="str">
        <f t="array" ref="AD596">IF($F596&lt;&gt;"", XLOOKUP($F596,Productos!$A$2:$A1001,Productos!W$2:W1001,"")*$G596,"")</f>
        <v/>
      </c>
      <c r="AE596" s="179" t="str">
        <f t="array" ref="AE596">IF($F596&lt;&gt;"",XLOOKUP($F596,Productos!$A:$A,Productos!X:X,"Revisar"),"")</f>
        <v/>
      </c>
      <c r="AF596" s="179" t="str">
        <f t="array" ref="AF596">IF($F596&lt;&gt;"", XLOOKUP($F596,Productos!$A$2:$A1001,Productos!Y$2:Y1001,"")*$G596,"")</f>
        <v/>
      </c>
      <c r="AG596" s="179" t="str">
        <f t="array" ref="AG596">IF($F596&lt;&gt;"",XLOOKUP($F596,Productos!$A:$A,Productos!Z:Z,"Revisar"),"")</f>
        <v/>
      </c>
      <c r="AH596" s="179" t="str">
        <f t="array" ref="AH596">IF($F596&lt;&gt;"", XLOOKUP($F596,Productos!$A$2:$A1001,Productos!AA$2:AA1001,"")*$G596,"")</f>
        <v/>
      </c>
      <c r="AI596" s="179" t="str">
        <f t="array" ref="AI596">IF($F596&lt;&gt;"",XLOOKUP($F596,Productos!$A:$A,Productos!AB:AB,"Revisar"),"")</f>
        <v/>
      </c>
      <c r="AJ596" s="179" t="str">
        <f t="array" ref="AJ596">IF($F596&lt;&gt;"", XLOOKUP($F596,Productos!$A$2:$A1001,Productos!AC$2:AC1001,"")*$G596,"")</f>
        <v/>
      </c>
      <c r="AK596" s="179" t="str">
        <f t="array" ref="AK596">IF($F596&lt;&gt;"",XLOOKUP($F596,Productos!$A:$A,Productos!AD:AD,"Revisar"),"")</f>
        <v/>
      </c>
      <c r="AL596" s="179" t="str">
        <f t="array" ref="AL596">IF($F596&lt;&gt;"", XLOOKUP($F596,Productos!$A$2:$A1001,Productos!AE$2:AE1001,"")*$G596,"")</f>
        <v/>
      </c>
      <c r="AM596" s="179" t="str">
        <f t="array" ref="AM596">IF($F596&lt;&gt;"",XLOOKUP($F596,Productos!$A:$A,Productos!AF:AF,"Revisar"),"")</f>
        <v/>
      </c>
      <c r="AN596" s="179" t="str">
        <f t="array" ref="AN596">IF($F596&lt;&gt;"", XLOOKUP($F596,Productos!$A$2:$A1001,Productos!AG$2:AG1001,"")*$G596,"")</f>
        <v/>
      </c>
      <c r="AO596" s="179" t="str">
        <f t="array" ref="AO596">IF($F596&lt;&gt;"",XLOOKUP($F596,Productos!$A:$A,Productos!AH:AH,"Revisar"),"")</f>
        <v/>
      </c>
      <c r="AP596" s="179" t="str">
        <f t="array" ref="AP596">IF($F596&lt;&gt;"", XLOOKUP($F596,Productos!$A$2:$A1001,Productos!AI$2:AI1001,"")*$G596,"")</f>
        <v/>
      </c>
      <c r="AQ596" s="179" t="str">
        <f t="array" ref="AQ596">IF($F596&lt;&gt;"",XLOOKUP($F596,Productos!$A:$A,Productos!AJ:AJ,"Revisar"),"")</f>
        <v/>
      </c>
      <c r="AR596" s="179" t="str">
        <f t="array" ref="AR596">IF($F596&lt;&gt;"", XLOOKUP($F596,Productos!$A$2:$A1001,Productos!AK$2:AK1001,"")*$G596,"")</f>
        <v/>
      </c>
      <c r="AS596" s="179" t="str">
        <f t="array" ref="AS596">IF($F596&lt;&gt;"",XLOOKUP($F596,Productos!$A:$A,Productos!AL:AL,"Revisar"),"")</f>
        <v/>
      </c>
      <c r="AT596" s="179" t="str">
        <f t="array" ref="AT596">IF($F596&lt;&gt;"", XLOOKUP($F596,Productos!$A$2:$A1001,Productos!AM$2:AM1001,"")*$G596,"")</f>
        <v/>
      </c>
      <c r="AU596" s="179" t="str">
        <f t="array" ref="AU596">IF($F596&lt;&gt;"",XLOOKUP($F596,Productos!$A:$A,Productos!AN:AN,"Revisar"),"")</f>
        <v/>
      </c>
      <c r="AV596" s="179" t="str">
        <f t="array" ref="AV596">IF($F596&lt;&gt;"", XLOOKUP($F596,Productos!$A$2:$A1001,Productos!AO$2:AO1001,"")*$G596,"")</f>
        <v/>
      </c>
      <c r="AW596" s="179" t="str">
        <f t="array" ref="AW596">IF($F596&lt;&gt;"",XLOOKUP($F596,Productos!$A:$A,Productos!AP:AP,"Revisar"),"")</f>
        <v/>
      </c>
      <c r="AX596" s="179" t="str">
        <f t="array" ref="AX596">IF($F596&lt;&gt;"", XLOOKUP($F596,Productos!$A$2:$A1001,Productos!AQ$2:AQ1001,"")*$G596,"")</f>
        <v/>
      </c>
      <c r="AY596" s="179" t="str">
        <f t="array" ref="AY596">IF($F596&lt;&gt;"",XLOOKUP($F596,Productos!$A:$A,Productos!AR:AR,"Revisar"),"")</f>
        <v/>
      </c>
      <c r="AZ596" s="179" t="str">
        <f t="array" ref="AZ596">IF($F596&lt;&gt;"", XLOOKUP($F596,Productos!$A$2:$A1001,Productos!AS$2:AS1001,"")*$G596,"")</f>
        <v/>
      </c>
      <c r="BA596" s="179" t="str">
        <f t="array" ref="BA596">IF($F596&lt;&gt;"",XLOOKUP($F596,Productos!$A:$A,Productos!AT:AT,"Revisar"),"")</f>
        <v/>
      </c>
      <c r="BB596" s="179" t="str">
        <f t="array" ref="BB596">IF($F596&lt;&gt;"", XLOOKUP($F596,Productos!$A$2:$A1001,Productos!AU$2:AU1001,"")*$G596,"")</f>
        <v/>
      </c>
      <c r="BC596" s="179" t="str">
        <f t="array" ref="BC596">IF($F596&lt;&gt;"",XLOOKUP($F596,Productos!$A:$A,Productos!AV:AV,"Revisar"),"")</f>
        <v/>
      </c>
      <c r="BD596" s="179" t="str">
        <f t="array" ref="BD596">IF($F596&lt;&gt;"", XLOOKUP($F596,Productos!$A$2:$A1001,Productos!AW$2:AW1001,"")*$G596,"")</f>
        <v/>
      </c>
      <c r="BE596" s="179" t="str">
        <f t="array" ref="BE596">IF($F596&lt;&gt;"",XLOOKUP($F596,Productos!$A:$A,Productos!AX:AX,"Revisar"),"")</f>
        <v/>
      </c>
      <c r="BF596" s="179" t="str">
        <f t="array" ref="BF596">IF($F596&lt;&gt;"", XLOOKUP($F596,Productos!$A$2:$A1001,Productos!AY$2:AY1001,"")*$G596,"")</f>
        <v/>
      </c>
      <c r="BG596" s="179" t="str">
        <f t="array" ref="BG596">IF($F596&lt;&gt;"",XLOOKUP($F596,Productos!$A:$A,Productos!AZ:AZ,"Revisar"),"")</f>
        <v/>
      </c>
      <c r="BH596" s="179" t="str">
        <f t="array" ref="BH596">IF($F596&lt;&gt;"", XLOOKUP($F596,Productos!$A$2:$A1001,Productos!BA$2:BA1001,"")*$G596,"")</f>
        <v/>
      </c>
      <c r="BI596" s="179" t="str">
        <f t="array" ref="BI596">IF($F596&lt;&gt;"",XLOOKUP($F596,Productos!$A:$A,Productos!BB:BB,"Revisar"),"")</f>
        <v/>
      </c>
      <c r="BJ596" s="179" t="str">
        <f t="array" ref="BJ596">IF($F596&lt;&gt;"", XLOOKUP($F596,Productos!$A$2:$A1001,Productos!BC$2:BC1001,"")*$G596,"")</f>
        <v/>
      </c>
      <c r="BK596" s="179" t="str">
        <f t="array" ref="BK596">IF($F596&lt;&gt;"",XLOOKUP($F596,Productos!$A:$A,Productos!BD:BD,"Revisar"),"")</f>
        <v/>
      </c>
      <c r="BL596" s="179" t="str">
        <f t="array" ref="BL596">IF($F596&lt;&gt;"", XLOOKUP($F596,Productos!$A$2:$A1001,Productos!BE$2:BE1001,"")*$G596,"")</f>
        <v/>
      </c>
      <c r="BM596" s="179" t="str">
        <f t="array" ref="BM596">IF($F596&lt;&gt;"",XLOOKUP($F596,Productos!$A:$A,Productos!BF:BF,"Revisar"),"")</f>
        <v/>
      </c>
      <c r="BN596" s="179" t="str">
        <f t="array" ref="BN596">IF($F596&lt;&gt;"", XLOOKUP($F596,Productos!$A$2:$A1001,Productos!BG$2:BG1001,"")*$G596,"")</f>
        <v/>
      </c>
      <c r="BO596" s="179" t="str">
        <f t="array" ref="BO596">IF($F596&lt;&gt;"",XLOOKUP($F596,Productos!$A:$A,Productos!BH:BH,"Revisar"),"")</f>
        <v/>
      </c>
      <c r="BP596" s="179" t="str">
        <f t="array" ref="BP596">IF($F596&lt;&gt;"", XLOOKUP($F596,Productos!$A$2:$A1001,Productos!BI$2:BI1001,"")*$G596,"")</f>
        <v/>
      </c>
      <c r="BQ596" s="179" t="str">
        <f t="array" ref="BQ596">IF($F596&lt;&gt;"",XLOOKUP($F596,Productos!$A:$A,Productos!BJ:BJ,"Revisar"),"")</f>
        <v/>
      </c>
      <c r="BR596" s="179" t="str">
        <f t="array" ref="BR596">IF($F596&lt;&gt;"", XLOOKUP($F596,Productos!$A$2:$A1001,Productos!BK$2:BK1001,"")*$G596,"")</f>
        <v/>
      </c>
      <c r="BS596" s="179" t="str">
        <f t="array" ref="BS596">IF($F596&lt;&gt;"",XLOOKUP($F596,Productos!$A:$A,Productos!BL:BL,"Revisar"),"")</f>
        <v/>
      </c>
      <c r="BT596" s="179" t="str">
        <f t="array" ref="BT596">IF($F596&lt;&gt;"", XLOOKUP($F596,Productos!$A$2:$A1001,Productos!BM$2:BM1001,"")*$G596,"")</f>
        <v/>
      </c>
      <c r="BU596" s="179" t="str">
        <f t="array" ref="BU596">IF($F596&lt;&gt;"",XLOOKUP($F596,Productos!$A:$A,Productos!BN:BN,"Revisar"),"")</f>
        <v/>
      </c>
      <c r="BV596" s="179" t="str">
        <f t="array" ref="BV596">IF($F596&lt;&gt;"", XLOOKUP($F596,Productos!$A$2:$A1001,Productos!BO$2:BO1001,"")*$G596,"")</f>
        <v/>
      </c>
      <c r="BW596" s="179" t="str">
        <f t="array" ref="BW596">IF($F596&lt;&gt;"",XLOOKUP($F596,Productos!$A:$A,Productos!BP:BP,"Revisar"),"")</f>
        <v/>
      </c>
      <c r="BX596" s="179" t="str">
        <f t="array" ref="BX596">IF($F596&lt;&gt;"", XLOOKUP($F596,Productos!$A$2:$A1001,Productos!BQ$2:BQ1001,"")*$G596,"")</f>
        <v/>
      </c>
      <c r="BY596" s="179" t="str">
        <f t="array" ref="BY596">IF($F596&lt;&gt;"",XLOOKUP($F596,Productos!$A:$A,Productos!BR:BR,"Revisar"),"")</f>
        <v/>
      </c>
      <c r="BZ596" s="179" t="str">
        <f t="array" ref="BZ596">IF($F596&lt;&gt;"", XLOOKUP($F596,Productos!$A$2:$A1001,Productos!BS$2:BS1001,"")*$G596,"")</f>
        <v/>
      </c>
    </row>
    <row r="597">
      <c r="A597" s="188"/>
      <c r="B597" s="189"/>
      <c r="C597" s="190"/>
      <c r="D597" s="190"/>
      <c r="E597" s="191"/>
      <c r="F597" s="186"/>
      <c r="G597" s="192"/>
      <c r="H597" s="9"/>
      <c r="I597" s="179" t="str">
        <f t="array" ref="I597">IF($F597&lt;&gt;"",XLOOKUP($F597,Productos!$A:$A,Productos!B:B,"Revisar"),"")</f>
        <v/>
      </c>
      <c r="J597" s="179" t="str">
        <f t="array" ref="J597">IF($F597&lt;&gt;"", XLOOKUP($F597,Productos!$A$2:$A1001,Productos!C$2:C1001,"")*$G597,"")</f>
        <v/>
      </c>
      <c r="K597" s="179" t="str">
        <f t="array" ref="K597">IF($F597&lt;&gt;"",XLOOKUP($F597,Productos!$A:$A,Productos!D:D,"Revisar"),"")</f>
        <v/>
      </c>
      <c r="L597" s="179" t="str">
        <f t="array" ref="L597">IF($F597&lt;&gt;"", XLOOKUP($F597,Productos!$A$2:$A1001,Productos!E$2:E1001,"")*$G597,"")</f>
        <v/>
      </c>
      <c r="M597" s="179" t="str">
        <f t="array" ref="M597">IF($F597&lt;&gt;"",XLOOKUP($F597,Productos!$A:$A,Productos!F:F,"Revisar"),"")</f>
        <v/>
      </c>
      <c r="N597" s="179" t="str">
        <f t="array" ref="N597">IF($F597&lt;&gt;"", XLOOKUP($F597,Productos!$A$2:$A1001,Productos!G$2:G1001,"")*$G597,"")</f>
        <v/>
      </c>
      <c r="O597" s="179" t="str">
        <f t="array" ref="O597">IF($F597&lt;&gt;"",XLOOKUP($F597,Productos!$A:$A,Productos!H:H,"Revisar"),"")</f>
        <v/>
      </c>
      <c r="P597" s="179" t="str">
        <f t="array" ref="P597">IF($F597&lt;&gt;"", XLOOKUP($F597,Productos!$A$2:$A1001,Productos!I$2:I1001,"")*$G597,"")</f>
        <v/>
      </c>
      <c r="Q597" s="179" t="str">
        <f t="array" ref="Q597">IF($F597&lt;&gt;"",XLOOKUP($F597,Productos!$A:$A,Productos!J:J,"Revisar"),"")</f>
        <v/>
      </c>
      <c r="R597" s="179" t="str">
        <f t="array" ref="R597">IF($F597&lt;&gt;"", XLOOKUP($F597,Productos!$A$2:$A1001,Productos!K$2:K1001,"")*$G597,"")</f>
        <v/>
      </c>
      <c r="S597" s="179" t="str">
        <f t="array" ref="S597">IF($F597&lt;&gt;"",XLOOKUP($F597,Productos!$A:$A,Productos!L:L,"Revisar"),"")</f>
        <v/>
      </c>
      <c r="T597" s="179" t="str">
        <f t="array" ref="T597">IF($F597&lt;&gt;"", XLOOKUP($F597,Productos!$A$2:$A1001,Productos!M$2:M1001,"")*$G597,"")</f>
        <v/>
      </c>
      <c r="U597" s="179" t="str">
        <f t="array" ref="U597">IF($F597&lt;&gt;"",XLOOKUP($F597,Productos!$A:$A,Productos!N:N,"Revisar"),"")</f>
        <v/>
      </c>
      <c r="V597" s="179" t="str">
        <f t="array" ref="V597">IF($F597&lt;&gt;"", XLOOKUP($F597,Productos!$A$2:$A1001,Productos!O$2:O1001,"")*$G597,"")</f>
        <v/>
      </c>
      <c r="W597" s="179" t="str">
        <f t="array" ref="W597">IF($F597&lt;&gt;"",XLOOKUP($F597,Productos!$A:$A,Productos!P:P,"Revisar"),"")</f>
        <v/>
      </c>
      <c r="X597" s="179" t="str">
        <f t="array" ref="X597">IF($F597&lt;&gt;"", XLOOKUP($F597,Productos!$A$2:$A1001,Productos!Q$2:Q1001,"")*$G597,"")</f>
        <v/>
      </c>
      <c r="Y597" s="179" t="str">
        <f t="array" ref="Y597">IF($F597&lt;&gt;"",XLOOKUP($F597,Productos!$A:$A,Productos!R:R,"Revisar"),"")</f>
        <v/>
      </c>
      <c r="Z597" s="179" t="str">
        <f t="array" ref="Z597">IF($F597&lt;&gt;"", XLOOKUP($F597,Productos!$A$2:$A1001,Productos!S$2:S1001,"")*$G597,"")</f>
        <v/>
      </c>
      <c r="AA597" s="179" t="str">
        <f t="array" ref="AA597">IF($F597&lt;&gt;"",XLOOKUP($F597,Productos!$A:$A,Productos!T:T,"Revisar"),"")</f>
        <v/>
      </c>
      <c r="AB597" s="179" t="str">
        <f t="array" ref="AB597">IF($F597&lt;&gt;"", XLOOKUP($F597,Productos!$A$2:$A1001,Productos!U$2:U1001,"")*$G597,"")</f>
        <v/>
      </c>
      <c r="AC597" s="179" t="str">
        <f t="array" ref="AC597">IF($F597&lt;&gt;"",XLOOKUP($F597,Productos!$A:$A,Productos!V:V,"Revisar"),"")</f>
        <v/>
      </c>
      <c r="AD597" s="179" t="str">
        <f t="array" ref="AD597">IF($F597&lt;&gt;"", XLOOKUP($F597,Productos!$A$2:$A1001,Productos!W$2:W1001,"")*$G597,"")</f>
        <v/>
      </c>
      <c r="AE597" s="179" t="str">
        <f t="array" ref="AE597">IF($F597&lt;&gt;"",XLOOKUP($F597,Productos!$A:$A,Productos!X:X,"Revisar"),"")</f>
        <v/>
      </c>
      <c r="AF597" s="179" t="str">
        <f t="array" ref="AF597">IF($F597&lt;&gt;"", XLOOKUP($F597,Productos!$A$2:$A1001,Productos!Y$2:Y1001,"")*$G597,"")</f>
        <v/>
      </c>
      <c r="AG597" s="179" t="str">
        <f t="array" ref="AG597">IF($F597&lt;&gt;"",XLOOKUP($F597,Productos!$A:$A,Productos!Z:Z,"Revisar"),"")</f>
        <v/>
      </c>
      <c r="AH597" s="179" t="str">
        <f t="array" ref="AH597">IF($F597&lt;&gt;"", XLOOKUP($F597,Productos!$A$2:$A1001,Productos!AA$2:AA1001,"")*$G597,"")</f>
        <v/>
      </c>
      <c r="AI597" s="179" t="str">
        <f t="array" ref="AI597">IF($F597&lt;&gt;"",XLOOKUP($F597,Productos!$A:$A,Productos!AB:AB,"Revisar"),"")</f>
        <v/>
      </c>
      <c r="AJ597" s="179" t="str">
        <f t="array" ref="AJ597">IF($F597&lt;&gt;"", XLOOKUP($F597,Productos!$A$2:$A1001,Productos!AC$2:AC1001,"")*$G597,"")</f>
        <v/>
      </c>
      <c r="AK597" s="179" t="str">
        <f t="array" ref="AK597">IF($F597&lt;&gt;"",XLOOKUP($F597,Productos!$A:$A,Productos!AD:AD,"Revisar"),"")</f>
        <v/>
      </c>
      <c r="AL597" s="179" t="str">
        <f t="array" ref="AL597">IF($F597&lt;&gt;"", XLOOKUP($F597,Productos!$A$2:$A1001,Productos!AE$2:AE1001,"")*$G597,"")</f>
        <v/>
      </c>
      <c r="AM597" s="179" t="str">
        <f t="array" ref="AM597">IF($F597&lt;&gt;"",XLOOKUP($F597,Productos!$A:$A,Productos!AF:AF,"Revisar"),"")</f>
        <v/>
      </c>
      <c r="AN597" s="179" t="str">
        <f t="array" ref="AN597">IF($F597&lt;&gt;"", XLOOKUP($F597,Productos!$A$2:$A1001,Productos!AG$2:AG1001,"")*$G597,"")</f>
        <v/>
      </c>
      <c r="AO597" s="179" t="str">
        <f t="array" ref="AO597">IF($F597&lt;&gt;"",XLOOKUP($F597,Productos!$A:$A,Productos!AH:AH,"Revisar"),"")</f>
        <v/>
      </c>
      <c r="AP597" s="179" t="str">
        <f t="array" ref="AP597">IF($F597&lt;&gt;"", XLOOKUP($F597,Productos!$A$2:$A1001,Productos!AI$2:AI1001,"")*$G597,"")</f>
        <v/>
      </c>
      <c r="AQ597" s="179" t="str">
        <f t="array" ref="AQ597">IF($F597&lt;&gt;"",XLOOKUP($F597,Productos!$A:$A,Productos!AJ:AJ,"Revisar"),"")</f>
        <v/>
      </c>
      <c r="AR597" s="179" t="str">
        <f t="array" ref="AR597">IF($F597&lt;&gt;"", XLOOKUP($F597,Productos!$A$2:$A1001,Productos!AK$2:AK1001,"")*$G597,"")</f>
        <v/>
      </c>
      <c r="AS597" s="179" t="str">
        <f t="array" ref="AS597">IF($F597&lt;&gt;"",XLOOKUP($F597,Productos!$A:$A,Productos!AL:AL,"Revisar"),"")</f>
        <v/>
      </c>
      <c r="AT597" s="179" t="str">
        <f t="array" ref="AT597">IF($F597&lt;&gt;"", XLOOKUP($F597,Productos!$A$2:$A1001,Productos!AM$2:AM1001,"")*$G597,"")</f>
        <v/>
      </c>
      <c r="AU597" s="179" t="str">
        <f t="array" ref="AU597">IF($F597&lt;&gt;"",XLOOKUP($F597,Productos!$A:$A,Productos!AN:AN,"Revisar"),"")</f>
        <v/>
      </c>
      <c r="AV597" s="179" t="str">
        <f t="array" ref="AV597">IF($F597&lt;&gt;"", XLOOKUP($F597,Productos!$A$2:$A1001,Productos!AO$2:AO1001,"")*$G597,"")</f>
        <v/>
      </c>
      <c r="AW597" s="179" t="str">
        <f t="array" ref="AW597">IF($F597&lt;&gt;"",XLOOKUP($F597,Productos!$A:$A,Productos!AP:AP,"Revisar"),"")</f>
        <v/>
      </c>
      <c r="AX597" s="179" t="str">
        <f t="array" ref="AX597">IF($F597&lt;&gt;"", XLOOKUP($F597,Productos!$A$2:$A1001,Productos!AQ$2:AQ1001,"")*$G597,"")</f>
        <v/>
      </c>
      <c r="AY597" s="179" t="str">
        <f t="array" ref="AY597">IF($F597&lt;&gt;"",XLOOKUP($F597,Productos!$A:$A,Productos!AR:AR,"Revisar"),"")</f>
        <v/>
      </c>
      <c r="AZ597" s="179" t="str">
        <f t="array" ref="AZ597">IF($F597&lt;&gt;"", XLOOKUP($F597,Productos!$A$2:$A1001,Productos!AS$2:AS1001,"")*$G597,"")</f>
        <v/>
      </c>
      <c r="BA597" s="179" t="str">
        <f t="array" ref="BA597">IF($F597&lt;&gt;"",XLOOKUP($F597,Productos!$A:$A,Productos!AT:AT,"Revisar"),"")</f>
        <v/>
      </c>
      <c r="BB597" s="179" t="str">
        <f t="array" ref="BB597">IF($F597&lt;&gt;"", XLOOKUP($F597,Productos!$A$2:$A1001,Productos!AU$2:AU1001,"")*$G597,"")</f>
        <v/>
      </c>
      <c r="BC597" s="179" t="str">
        <f t="array" ref="BC597">IF($F597&lt;&gt;"",XLOOKUP($F597,Productos!$A:$A,Productos!AV:AV,"Revisar"),"")</f>
        <v/>
      </c>
      <c r="BD597" s="179" t="str">
        <f t="array" ref="BD597">IF($F597&lt;&gt;"", XLOOKUP($F597,Productos!$A$2:$A1001,Productos!AW$2:AW1001,"")*$G597,"")</f>
        <v/>
      </c>
      <c r="BE597" s="179" t="str">
        <f t="array" ref="BE597">IF($F597&lt;&gt;"",XLOOKUP($F597,Productos!$A:$A,Productos!AX:AX,"Revisar"),"")</f>
        <v/>
      </c>
      <c r="BF597" s="179" t="str">
        <f t="array" ref="BF597">IF($F597&lt;&gt;"", XLOOKUP($F597,Productos!$A$2:$A1001,Productos!AY$2:AY1001,"")*$G597,"")</f>
        <v/>
      </c>
      <c r="BG597" s="179" t="str">
        <f t="array" ref="BG597">IF($F597&lt;&gt;"",XLOOKUP($F597,Productos!$A:$A,Productos!AZ:AZ,"Revisar"),"")</f>
        <v/>
      </c>
      <c r="BH597" s="179" t="str">
        <f t="array" ref="BH597">IF($F597&lt;&gt;"", XLOOKUP($F597,Productos!$A$2:$A1001,Productos!BA$2:BA1001,"")*$G597,"")</f>
        <v/>
      </c>
      <c r="BI597" s="179" t="str">
        <f t="array" ref="BI597">IF($F597&lt;&gt;"",XLOOKUP($F597,Productos!$A:$A,Productos!BB:BB,"Revisar"),"")</f>
        <v/>
      </c>
      <c r="BJ597" s="179" t="str">
        <f t="array" ref="BJ597">IF($F597&lt;&gt;"", XLOOKUP($F597,Productos!$A$2:$A1001,Productos!BC$2:BC1001,"")*$G597,"")</f>
        <v/>
      </c>
      <c r="BK597" s="179" t="str">
        <f t="array" ref="BK597">IF($F597&lt;&gt;"",XLOOKUP($F597,Productos!$A:$A,Productos!BD:BD,"Revisar"),"")</f>
        <v/>
      </c>
      <c r="BL597" s="179" t="str">
        <f t="array" ref="BL597">IF($F597&lt;&gt;"", XLOOKUP($F597,Productos!$A$2:$A1001,Productos!BE$2:BE1001,"")*$G597,"")</f>
        <v/>
      </c>
      <c r="BM597" s="179" t="str">
        <f t="array" ref="BM597">IF($F597&lt;&gt;"",XLOOKUP($F597,Productos!$A:$A,Productos!BF:BF,"Revisar"),"")</f>
        <v/>
      </c>
      <c r="BN597" s="179" t="str">
        <f t="array" ref="BN597">IF($F597&lt;&gt;"", XLOOKUP($F597,Productos!$A$2:$A1001,Productos!BG$2:BG1001,"")*$G597,"")</f>
        <v/>
      </c>
      <c r="BO597" s="179" t="str">
        <f t="array" ref="BO597">IF($F597&lt;&gt;"",XLOOKUP($F597,Productos!$A:$A,Productos!BH:BH,"Revisar"),"")</f>
        <v/>
      </c>
      <c r="BP597" s="179" t="str">
        <f t="array" ref="BP597">IF($F597&lt;&gt;"", XLOOKUP($F597,Productos!$A$2:$A1001,Productos!BI$2:BI1001,"")*$G597,"")</f>
        <v/>
      </c>
      <c r="BQ597" s="179" t="str">
        <f t="array" ref="BQ597">IF($F597&lt;&gt;"",XLOOKUP($F597,Productos!$A:$A,Productos!BJ:BJ,"Revisar"),"")</f>
        <v/>
      </c>
      <c r="BR597" s="179" t="str">
        <f t="array" ref="BR597">IF($F597&lt;&gt;"", XLOOKUP($F597,Productos!$A$2:$A1001,Productos!BK$2:BK1001,"")*$G597,"")</f>
        <v/>
      </c>
      <c r="BS597" s="179" t="str">
        <f t="array" ref="BS597">IF($F597&lt;&gt;"",XLOOKUP($F597,Productos!$A:$A,Productos!BL:BL,"Revisar"),"")</f>
        <v/>
      </c>
      <c r="BT597" s="179" t="str">
        <f t="array" ref="BT597">IF($F597&lt;&gt;"", XLOOKUP($F597,Productos!$A$2:$A1001,Productos!BM$2:BM1001,"")*$G597,"")</f>
        <v/>
      </c>
      <c r="BU597" s="179" t="str">
        <f t="array" ref="BU597">IF($F597&lt;&gt;"",XLOOKUP($F597,Productos!$A:$A,Productos!BN:BN,"Revisar"),"")</f>
        <v/>
      </c>
      <c r="BV597" s="179" t="str">
        <f t="array" ref="BV597">IF($F597&lt;&gt;"", XLOOKUP($F597,Productos!$A$2:$A1001,Productos!BO$2:BO1001,"")*$G597,"")</f>
        <v/>
      </c>
      <c r="BW597" s="179" t="str">
        <f t="array" ref="BW597">IF($F597&lt;&gt;"",XLOOKUP($F597,Productos!$A:$A,Productos!BP:BP,"Revisar"),"")</f>
        <v/>
      </c>
      <c r="BX597" s="179" t="str">
        <f t="array" ref="BX597">IF($F597&lt;&gt;"", XLOOKUP($F597,Productos!$A$2:$A1001,Productos!BQ$2:BQ1001,"")*$G597,"")</f>
        <v/>
      </c>
      <c r="BY597" s="179" t="str">
        <f t="array" ref="BY597">IF($F597&lt;&gt;"",XLOOKUP($F597,Productos!$A:$A,Productos!BR:BR,"Revisar"),"")</f>
        <v/>
      </c>
      <c r="BZ597" s="179" t="str">
        <f t="array" ref="BZ597">IF($F597&lt;&gt;"", XLOOKUP($F597,Productos!$A$2:$A1001,Productos!BS$2:BS1001,"")*$G597,"")</f>
        <v/>
      </c>
    </row>
    <row r="598">
      <c r="A598" s="188"/>
      <c r="B598" s="189"/>
      <c r="C598" s="190"/>
      <c r="D598" s="190"/>
      <c r="E598" s="191"/>
      <c r="F598" s="186"/>
      <c r="G598" s="192"/>
      <c r="H598" s="9"/>
      <c r="I598" s="179" t="str">
        <f t="array" ref="I598">IF($F598&lt;&gt;"",XLOOKUP($F598,Productos!$A:$A,Productos!B:B,"Revisar"),"")</f>
        <v/>
      </c>
      <c r="J598" s="179" t="str">
        <f t="array" ref="J598">IF($F598&lt;&gt;"", XLOOKUP($F598,Productos!$A$2:$A1001,Productos!C$2:C1001,"")*$G598,"")</f>
        <v/>
      </c>
      <c r="K598" s="179" t="str">
        <f t="array" ref="K598">IF($F598&lt;&gt;"",XLOOKUP($F598,Productos!$A:$A,Productos!D:D,"Revisar"),"")</f>
        <v/>
      </c>
      <c r="L598" s="179" t="str">
        <f t="array" ref="L598">IF($F598&lt;&gt;"", XLOOKUP($F598,Productos!$A$2:$A1001,Productos!E$2:E1001,"")*$G598,"")</f>
        <v/>
      </c>
      <c r="M598" s="179" t="str">
        <f t="array" ref="M598">IF($F598&lt;&gt;"",XLOOKUP($F598,Productos!$A:$A,Productos!F:F,"Revisar"),"")</f>
        <v/>
      </c>
      <c r="N598" s="179" t="str">
        <f t="array" ref="N598">IF($F598&lt;&gt;"", XLOOKUP($F598,Productos!$A$2:$A1001,Productos!G$2:G1001,"")*$G598,"")</f>
        <v/>
      </c>
      <c r="O598" s="179" t="str">
        <f t="array" ref="O598">IF($F598&lt;&gt;"",XLOOKUP($F598,Productos!$A:$A,Productos!H:H,"Revisar"),"")</f>
        <v/>
      </c>
      <c r="P598" s="179" t="str">
        <f t="array" ref="P598">IF($F598&lt;&gt;"", XLOOKUP($F598,Productos!$A$2:$A1001,Productos!I$2:I1001,"")*$G598,"")</f>
        <v/>
      </c>
      <c r="Q598" s="179" t="str">
        <f t="array" ref="Q598">IF($F598&lt;&gt;"",XLOOKUP($F598,Productos!$A:$A,Productos!J:J,"Revisar"),"")</f>
        <v/>
      </c>
      <c r="R598" s="179" t="str">
        <f t="array" ref="R598">IF($F598&lt;&gt;"", XLOOKUP($F598,Productos!$A$2:$A1001,Productos!K$2:K1001,"")*$G598,"")</f>
        <v/>
      </c>
      <c r="S598" s="179" t="str">
        <f t="array" ref="S598">IF($F598&lt;&gt;"",XLOOKUP($F598,Productos!$A:$A,Productos!L:L,"Revisar"),"")</f>
        <v/>
      </c>
      <c r="T598" s="179" t="str">
        <f t="array" ref="T598">IF($F598&lt;&gt;"", XLOOKUP($F598,Productos!$A$2:$A1001,Productos!M$2:M1001,"")*$G598,"")</f>
        <v/>
      </c>
      <c r="U598" s="179" t="str">
        <f t="array" ref="U598">IF($F598&lt;&gt;"",XLOOKUP($F598,Productos!$A:$A,Productos!N:N,"Revisar"),"")</f>
        <v/>
      </c>
      <c r="V598" s="179" t="str">
        <f t="array" ref="V598">IF($F598&lt;&gt;"", XLOOKUP($F598,Productos!$A$2:$A1001,Productos!O$2:O1001,"")*$G598,"")</f>
        <v/>
      </c>
      <c r="W598" s="179" t="str">
        <f t="array" ref="W598">IF($F598&lt;&gt;"",XLOOKUP($F598,Productos!$A:$A,Productos!P:P,"Revisar"),"")</f>
        <v/>
      </c>
      <c r="X598" s="179" t="str">
        <f t="array" ref="X598">IF($F598&lt;&gt;"", XLOOKUP($F598,Productos!$A$2:$A1001,Productos!Q$2:Q1001,"")*$G598,"")</f>
        <v/>
      </c>
      <c r="Y598" s="179" t="str">
        <f t="array" ref="Y598">IF($F598&lt;&gt;"",XLOOKUP($F598,Productos!$A:$A,Productos!R:R,"Revisar"),"")</f>
        <v/>
      </c>
      <c r="Z598" s="179" t="str">
        <f t="array" ref="Z598">IF($F598&lt;&gt;"", XLOOKUP($F598,Productos!$A$2:$A1001,Productos!S$2:S1001,"")*$G598,"")</f>
        <v/>
      </c>
      <c r="AA598" s="179" t="str">
        <f t="array" ref="AA598">IF($F598&lt;&gt;"",XLOOKUP($F598,Productos!$A:$A,Productos!T:T,"Revisar"),"")</f>
        <v/>
      </c>
      <c r="AB598" s="179" t="str">
        <f t="array" ref="AB598">IF($F598&lt;&gt;"", XLOOKUP($F598,Productos!$A$2:$A1001,Productos!U$2:U1001,"")*$G598,"")</f>
        <v/>
      </c>
      <c r="AC598" s="179" t="str">
        <f t="array" ref="AC598">IF($F598&lt;&gt;"",XLOOKUP($F598,Productos!$A:$A,Productos!V:V,"Revisar"),"")</f>
        <v/>
      </c>
      <c r="AD598" s="179" t="str">
        <f t="array" ref="AD598">IF($F598&lt;&gt;"", XLOOKUP($F598,Productos!$A$2:$A1001,Productos!W$2:W1001,"")*$G598,"")</f>
        <v/>
      </c>
      <c r="AE598" s="179" t="str">
        <f t="array" ref="AE598">IF($F598&lt;&gt;"",XLOOKUP($F598,Productos!$A:$A,Productos!X:X,"Revisar"),"")</f>
        <v/>
      </c>
      <c r="AF598" s="179" t="str">
        <f t="array" ref="AF598">IF($F598&lt;&gt;"", XLOOKUP($F598,Productos!$A$2:$A1001,Productos!Y$2:Y1001,"")*$G598,"")</f>
        <v/>
      </c>
      <c r="AG598" s="179" t="str">
        <f t="array" ref="AG598">IF($F598&lt;&gt;"",XLOOKUP($F598,Productos!$A:$A,Productos!Z:Z,"Revisar"),"")</f>
        <v/>
      </c>
      <c r="AH598" s="179" t="str">
        <f t="array" ref="AH598">IF($F598&lt;&gt;"", XLOOKUP($F598,Productos!$A$2:$A1001,Productos!AA$2:AA1001,"")*$G598,"")</f>
        <v/>
      </c>
      <c r="AI598" s="179" t="str">
        <f t="array" ref="AI598">IF($F598&lt;&gt;"",XLOOKUP($F598,Productos!$A:$A,Productos!AB:AB,"Revisar"),"")</f>
        <v/>
      </c>
      <c r="AJ598" s="179" t="str">
        <f t="array" ref="AJ598">IF($F598&lt;&gt;"", XLOOKUP($F598,Productos!$A$2:$A1001,Productos!AC$2:AC1001,"")*$G598,"")</f>
        <v/>
      </c>
      <c r="AK598" s="179" t="str">
        <f t="array" ref="AK598">IF($F598&lt;&gt;"",XLOOKUP($F598,Productos!$A:$A,Productos!AD:AD,"Revisar"),"")</f>
        <v/>
      </c>
      <c r="AL598" s="179" t="str">
        <f t="array" ref="AL598">IF($F598&lt;&gt;"", XLOOKUP($F598,Productos!$A$2:$A1001,Productos!AE$2:AE1001,"")*$G598,"")</f>
        <v/>
      </c>
      <c r="AM598" s="179" t="str">
        <f t="array" ref="AM598">IF($F598&lt;&gt;"",XLOOKUP($F598,Productos!$A:$A,Productos!AF:AF,"Revisar"),"")</f>
        <v/>
      </c>
      <c r="AN598" s="179" t="str">
        <f t="array" ref="AN598">IF($F598&lt;&gt;"", XLOOKUP($F598,Productos!$A$2:$A1001,Productos!AG$2:AG1001,"")*$G598,"")</f>
        <v/>
      </c>
      <c r="AO598" s="179" t="str">
        <f t="array" ref="AO598">IF($F598&lt;&gt;"",XLOOKUP($F598,Productos!$A:$A,Productos!AH:AH,"Revisar"),"")</f>
        <v/>
      </c>
      <c r="AP598" s="179" t="str">
        <f t="array" ref="AP598">IF($F598&lt;&gt;"", XLOOKUP($F598,Productos!$A$2:$A1001,Productos!AI$2:AI1001,"")*$G598,"")</f>
        <v/>
      </c>
      <c r="AQ598" s="179" t="str">
        <f t="array" ref="AQ598">IF($F598&lt;&gt;"",XLOOKUP($F598,Productos!$A:$A,Productos!AJ:AJ,"Revisar"),"")</f>
        <v/>
      </c>
      <c r="AR598" s="179" t="str">
        <f t="array" ref="AR598">IF($F598&lt;&gt;"", XLOOKUP($F598,Productos!$A$2:$A1001,Productos!AK$2:AK1001,"")*$G598,"")</f>
        <v/>
      </c>
      <c r="AS598" s="179" t="str">
        <f t="array" ref="AS598">IF($F598&lt;&gt;"",XLOOKUP($F598,Productos!$A:$A,Productos!AL:AL,"Revisar"),"")</f>
        <v/>
      </c>
      <c r="AT598" s="179" t="str">
        <f t="array" ref="AT598">IF($F598&lt;&gt;"", XLOOKUP($F598,Productos!$A$2:$A1001,Productos!AM$2:AM1001,"")*$G598,"")</f>
        <v/>
      </c>
      <c r="AU598" s="179" t="str">
        <f t="array" ref="AU598">IF($F598&lt;&gt;"",XLOOKUP($F598,Productos!$A:$A,Productos!AN:AN,"Revisar"),"")</f>
        <v/>
      </c>
      <c r="AV598" s="179" t="str">
        <f t="array" ref="AV598">IF($F598&lt;&gt;"", XLOOKUP($F598,Productos!$A$2:$A1001,Productos!AO$2:AO1001,"")*$G598,"")</f>
        <v/>
      </c>
      <c r="AW598" s="179" t="str">
        <f t="array" ref="AW598">IF($F598&lt;&gt;"",XLOOKUP($F598,Productos!$A:$A,Productos!AP:AP,"Revisar"),"")</f>
        <v/>
      </c>
      <c r="AX598" s="179" t="str">
        <f t="array" ref="AX598">IF($F598&lt;&gt;"", XLOOKUP($F598,Productos!$A$2:$A1001,Productos!AQ$2:AQ1001,"")*$G598,"")</f>
        <v/>
      </c>
      <c r="AY598" s="179" t="str">
        <f t="array" ref="AY598">IF($F598&lt;&gt;"",XLOOKUP($F598,Productos!$A:$A,Productos!AR:AR,"Revisar"),"")</f>
        <v/>
      </c>
      <c r="AZ598" s="179" t="str">
        <f t="array" ref="AZ598">IF($F598&lt;&gt;"", XLOOKUP($F598,Productos!$A$2:$A1001,Productos!AS$2:AS1001,"")*$G598,"")</f>
        <v/>
      </c>
      <c r="BA598" s="179" t="str">
        <f t="array" ref="BA598">IF($F598&lt;&gt;"",XLOOKUP($F598,Productos!$A:$A,Productos!AT:AT,"Revisar"),"")</f>
        <v/>
      </c>
      <c r="BB598" s="179" t="str">
        <f t="array" ref="BB598">IF($F598&lt;&gt;"", XLOOKUP($F598,Productos!$A$2:$A1001,Productos!AU$2:AU1001,"")*$G598,"")</f>
        <v/>
      </c>
      <c r="BC598" s="179" t="str">
        <f t="array" ref="BC598">IF($F598&lt;&gt;"",XLOOKUP($F598,Productos!$A:$A,Productos!AV:AV,"Revisar"),"")</f>
        <v/>
      </c>
      <c r="BD598" s="179" t="str">
        <f t="array" ref="BD598">IF($F598&lt;&gt;"", XLOOKUP($F598,Productos!$A$2:$A1001,Productos!AW$2:AW1001,"")*$G598,"")</f>
        <v/>
      </c>
      <c r="BE598" s="179" t="str">
        <f t="array" ref="BE598">IF($F598&lt;&gt;"",XLOOKUP($F598,Productos!$A:$A,Productos!AX:AX,"Revisar"),"")</f>
        <v/>
      </c>
      <c r="BF598" s="179" t="str">
        <f t="array" ref="BF598">IF($F598&lt;&gt;"", XLOOKUP($F598,Productos!$A$2:$A1001,Productos!AY$2:AY1001,"")*$G598,"")</f>
        <v/>
      </c>
      <c r="BG598" s="179" t="str">
        <f t="array" ref="BG598">IF($F598&lt;&gt;"",XLOOKUP($F598,Productos!$A:$A,Productos!AZ:AZ,"Revisar"),"")</f>
        <v/>
      </c>
      <c r="BH598" s="179" t="str">
        <f t="array" ref="BH598">IF($F598&lt;&gt;"", XLOOKUP($F598,Productos!$A$2:$A1001,Productos!BA$2:BA1001,"")*$G598,"")</f>
        <v/>
      </c>
      <c r="BI598" s="179" t="str">
        <f t="array" ref="BI598">IF($F598&lt;&gt;"",XLOOKUP($F598,Productos!$A:$A,Productos!BB:BB,"Revisar"),"")</f>
        <v/>
      </c>
      <c r="BJ598" s="179" t="str">
        <f t="array" ref="BJ598">IF($F598&lt;&gt;"", XLOOKUP($F598,Productos!$A$2:$A1001,Productos!BC$2:BC1001,"")*$G598,"")</f>
        <v/>
      </c>
      <c r="BK598" s="179" t="str">
        <f t="array" ref="BK598">IF($F598&lt;&gt;"",XLOOKUP($F598,Productos!$A:$A,Productos!BD:BD,"Revisar"),"")</f>
        <v/>
      </c>
      <c r="BL598" s="179" t="str">
        <f t="array" ref="BL598">IF($F598&lt;&gt;"", XLOOKUP($F598,Productos!$A$2:$A1001,Productos!BE$2:BE1001,"")*$G598,"")</f>
        <v/>
      </c>
      <c r="BM598" s="179" t="str">
        <f t="array" ref="BM598">IF($F598&lt;&gt;"",XLOOKUP($F598,Productos!$A:$A,Productos!BF:BF,"Revisar"),"")</f>
        <v/>
      </c>
      <c r="BN598" s="179" t="str">
        <f t="array" ref="BN598">IF($F598&lt;&gt;"", XLOOKUP($F598,Productos!$A$2:$A1001,Productos!BG$2:BG1001,"")*$G598,"")</f>
        <v/>
      </c>
      <c r="BO598" s="179" t="str">
        <f t="array" ref="BO598">IF($F598&lt;&gt;"",XLOOKUP($F598,Productos!$A:$A,Productos!BH:BH,"Revisar"),"")</f>
        <v/>
      </c>
      <c r="BP598" s="179" t="str">
        <f t="array" ref="BP598">IF($F598&lt;&gt;"", XLOOKUP($F598,Productos!$A$2:$A1001,Productos!BI$2:BI1001,"")*$G598,"")</f>
        <v/>
      </c>
      <c r="BQ598" s="179" t="str">
        <f t="array" ref="BQ598">IF($F598&lt;&gt;"",XLOOKUP($F598,Productos!$A:$A,Productos!BJ:BJ,"Revisar"),"")</f>
        <v/>
      </c>
      <c r="BR598" s="179" t="str">
        <f t="array" ref="BR598">IF($F598&lt;&gt;"", XLOOKUP($F598,Productos!$A$2:$A1001,Productos!BK$2:BK1001,"")*$G598,"")</f>
        <v/>
      </c>
      <c r="BS598" s="179" t="str">
        <f t="array" ref="BS598">IF($F598&lt;&gt;"",XLOOKUP($F598,Productos!$A:$A,Productos!BL:BL,"Revisar"),"")</f>
        <v/>
      </c>
      <c r="BT598" s="179" t="str">
        <f t="array" ref="BT598">IF($F598&lt;&gt;"", XLOOKUP($F598,Productos!$A$2:$A1001,Productos!BM$2:BM1001,"")*$G598,"")</f>
        <v/>
      </c>
      <c r="BU598" s="179" t="str">
        <f t="array" ref="BU598">IF($F598&lt;&gt;"",XLOOKUP($F598,Productos!$A:$A,Productos!BN:BN,"Revisar"),"")</f>
        <v/>
      </c>
      <c r="BV598" s="179" t="str">
        <f t="array" ref="BV598">IF($F598&lt;&gt;"", XLOOKUP($F598,Productos!$A$2:$A1001,Productos!BO$2:BO1001,"")*$G598,"")</f>
        <v/>
      </c>
      <c r="BW598" s="179" t="str">
        <f t="array" ref="BW598">IF($F598&lt;&gt;"",XLOOKUP($F598,Productos!$A:$A,Productos!BP:BP,"Revisar"),"")</f>
        <v/>
      </c>
      <c r="BX598" s="179" t="str">
        <f t="array" ref="BX598">IF($F598&lt;&gt;"", XLOOKUP($F598,Productos!$A$2:$A1001,Productos!BQ$2:BQ1001,"")*$G598,"")</f>
        <v/>
      </c>
      <c r="BY598" s="179" t="str">
        <f t="array" ref="BY598">IF($F598&lt;&gt;"",XLOOKUP($F598,Productos!$A:$A,Productos!BR:BR,"Revisar"),"")</f>
        <v/>
      </c>
      <c r="BZ598" s="179" t="str">
        <f t="array" ref="BZ598">IF($F598&lt;&gt;"", XLOOKUP($F598,Productos!$A$2:$A1001,Productos!BS$2:BS1001,"")*$G598,"")</f>
        <v/>
      </c>
    </row>
    <row r="599">
      <c r="A599" s="188"/>
      <c r="B599" s="189"/>
      <c r="C599" s="190"/>
      <c r="D599" s="190"/>
      <c r="E599" s="191"/>
      <c r="F599" s="186"/>
      <c r="G599" s="192"/>
      <c r="H599" s="9"/>
      <c r="I599" s="179" t="str">
        <f t="array" ref="I599">IF($F599&lt;&gt;"",XLOOKUP($F599,Productos!$A:$A,Productos!B:B,"Revisar"),"")</f>
        <v/>
      </c>
      <c r="J599" s="179" t="str">
        <f t="array" ref="J599">IF($F599&lt;&gt;"", XLOOKUP($F599,Productos!$A$2:$A1001,Productos!C$2:C1001,"")*$G599,"")</f>
        <v/>
      </c>
      <c r="K599" s="179" t="str">
        <f t="array" ref="K599">IF($F599&lt;&gt;"",XLOOKUP($F599,Productos!$A:$A,Productos!D:D,"Revisar"),"")</f>
        <v/>
      </c>
      <c r="L599" s="179" t="str">
        <f t="array" ref="L599">IF($F599&lt;&gt;"", XLOOKUP($F599,Productos!$A$2:$A1001,Productos!E$2:E1001,"")*$G599,"")</f>
        <v/>
      </c>
      <c r="M599" s="179" t="str">
        <f t="array" ref="M599">IF($F599&lt;&gt;"",XLOOKUP($F599,Productos!$A:$A,Productos!F:F,"Revisar"),"")</f>
        <v/>
      </c>
      <c r="N599" s="179" t="str">
        <f t="array" ref="N599">IF($F599&lt;&gt;"", XLOOKUP($F599,Productos!$A$2:$A1001,Productos!G$2:G1001,"")*$G599,"")</f>
        <v/>
      </c>
      <c r="O599" s="179" t="str">
        <f t="array" ref="O599">IF($F599&lt;&gt;"",XLOOKUP($F599,Productos!$A:$A,Productos!H:H,"Revisar"),"")</f>
        <v/>
      </c>
      <c r="P599" s="179" t="str">
        <f t="array" ref="P599">IF($F599&lt;&gt;"", XLOOKUP($F599,Productos!$A$2:$A1001,Productos!I$2:I1001,"")*$G599,"")</f>
        <v/>
      </c>
      <c r="Q599" s="179" t="str">
        <f t="array" ref="Q599">IF($F599&lt;&gt;"",XLOOKUP($F599,Productos!$A:$A,Productos!J:J,"Revisar"),"")</f>
        <v/>
      </c>
      <c r="R599" s="179" t="str">
        <f t="array" ref="R599">IF($F599&lt;&gt;"", XLOOKUP($F599,Productos!$A$2:$A1001,Productos!K$2:K1001,"")*$G599,"")</f>
        <v/>
      </c>
      <c r="S599" s="179" t="str">
        <f t="array" ref="S599">IF($F599&lt;&gt;"",XLOOKUP($F599,Productos!$A:$A,Productos!L:L,"Revisar"),"")</f>
        <v/>
      </c>
      <c r="T599" s="179" t="str">
        <f t="array" ref="T599">IF($F599&lt;&gt;"", XLOOKUP($F599,Productos!$A$2:$A1001,Productos!M$2:M1001,"")*$G599,"")</f>
        <v/>
      </c>
      <c r="U599" s="179" t="str">
        <f t="array" ref="U599">IF($F599&lt;&gt;"",XLOOKUP($F599,Productos!$A:$A,Productos!N:N,"Revisar"),"")</f>
        <v/>
      </c>
      <c r="V599" s="179" t="str">
        <f t="array" ref="V599">IF($F599&lt;&gt;"", XLOOKUP($F599,Productos!$A$2:$A1001,Productos!O$2:O1001,"")*$G599,"")</f>
        <v/>
      </c>
      <c r="W599" s="179" t="str">
        <f t="array" ref="W599">IF($F599&lt;&gt;"",XLOOKUP($F599,Productos!$A:$A,Productos!P:P,"Revisar"),"")</f>
        <v/>
      </c>
      <c r="X599" s="179" t="str">
        <f t="array" ref="X599">IF($F599&lt;&gt;"", XLOOKUP($F599,Productos!$A$2:$A1001,Productos!Q$2:Q1001,"")*$G599,"")</f>
        <v/>
      </c>
      <c r="Y599" s="179" t="str">
        <f t="array" ref="Y599">IF($F599&lt;&gt;"",XLOOKUP($F599,Productos!$A:$A,Productos!R:R,"Revisar"),"")</f>
        <v/>
      </c>
      <c r="Z599" s="179" t="str">
        <f t="array" ref="Z599">IF($F599&lt;&gt;"", XLOOKUP($F599,Productos!$A$2:$A1001,Productos!S$2:S1001,"")*$G599,"")</f>
        <v/>
      </c>
      <c r="AA599" s="179" t="str">
        <f t="array" ref="AA599">IF($F599&lt;&gt;"",XLOOKUP($F599,Productos!$A:$A,Productos!T:T,"Revisar"),"")</f>
        <v/>
      </c>
      <c r="AB599" s="179" t="str">
        <f t="array" ref="AB599">IF($F599&lt;&gt;"", XLOOKUP($F599,Productos!$A$2:$A1001,Productos!U$2:U1001,"")*$G599,"")</f>
        <v/>
      </c>
      <c r="AC599" s="179" t="str">
        <f t="array" ref="AC599">IF($F599&lt;&gt;"",XLOOKUP($F599,Productos!$A:$A,Productos!V:V,"Revisar"),"")</f>
        <v/>
      </c>
      <c r="AD599" s="179" t="str">
        <f t="array" ref="AD599">IF($F599&lt;&gt;"", XLOOKUP($F599,Productos!$A$2:$A1001,Productos!W$2:W1001,"")*$G599,"")</f>
        <v/>
      </c>
      <c r="AE599" s="179" t="str">
        <f t="array" ref="AE599">IF($F599&lt;&gt;"",XLOOKUP($F599,Productos!$A:$A,Productos!X:X,"Revisar"),"")</f>
        <v/>
      </c>
      <c r="AF599" s="179" t="str">
        <f t="array" ref="AF599">IF($F599&lt;&gt;"", XLOOKUP($F599,Productos!$A$2:$A1001,Productos!Y$2:Y1001,"")*$G599,"")</f>
        <v/>
      </c>
      <c r="AG599" s="179" t="str">
        <f t="array" ref="AG599">IF($F599&lt;&gt;"",XLOOKUP($F599,Productos!$A:$A,Productos!Z:Z,"Revisar"),"")</f>
        <v/>
      </c>
      <c r="AH599" s="179" t="str">
        <f t="array" ref="AH599">IF($F599&lt;&gt;"", XLOOKUP($F599,Productos!$A$2:$A1001,Productos!AA$2:AA1001,"")*$G599,"")</f>
        <v/>
      </c>
      <c r="AI599" s="179" t="str">
        <f t="array" ref="AI599">IF($F599&lt;&gt;"",XLOOKUP($F599,Productos!$A:$A,Productos!AB:AB,"Revisar"),"")</f>
        <v/>
      </c>
      <c r="AJ599" s="179" t="str">
        <f t="array" ref="AJ599">IF($F599&lt;&gt;"", XLOOKUP($F599,Productos!$A$2:$A1001,Productos!AC$2:AC1001,"")*$G599,"")</f>
        <v/>
      </c>
      <c r="AK599" s="179" t="str">
        <f t="array" ref="AK599">IF($F599&lt;&gt;"",XLOOKUP($F599,Productos!$A:$A,Productos!AD:AD,"Revisar"),"")</f>
        <v/>
      </c>
      <c r="AL599" s="179" t="str">
        <f t="array" ref="AL599">IF($F599&lt;&gt;"", XLOOKUP($F599,Productos!$A$2:$A1001,Productos!AE$2:AE1001,"")*$G599,"")</f>
        <v/>
      </c>
      <c r="AM599" s="179" t="str">
        <f t="array" ref="AM599">IF($F599&lt;&gt;"",XLOOKUP($F599,Productos!$A:$A,Productos!AF:AF,"Revisar"),"")</f>
        <v/>
      </c>
      <c r="AN599" s="179" t="str">
        <f t="array" ref="AN599">IF($F599&lt;&gt;"", XLOOKUP($F599,Productos!$A$2:$A1001,Productos!AG$2:AG1001,"")*$G599,"")</f>
        <v/>
      </c>
      <c r="AO599" s="179" t="str">
        <f t="array" ref="AO599">IF($F599&lt;&gt;"",XLOOKUP($F599,Productos!$A:$A,Productos!AH:AH,"Revisar"),"")</f>
        <v/>
      </c>
      <c r="AP599" s="179" t="str">
        <f t="array" ref="AP599">IF($F599&lt;&gt;"", XLOOKUP($F599,Productos!$A$2:$A1001,Productos!AI$2:AI1001,"")*$G599,"")</f>
        <v/>
      </c>
      <c r="AQ599" s="179" t="str">
        <f t="array" ref="AQ599">IF($F599&lt;&gt;"",XLOOKUP($F599,Productos!$A:$A,Productos!AJ:AJ,"Revisar"),"")</f>
        <v/>
      </c>
      <c r="AR599" s="179" t="str">
        <f t="array" ref="AR599">IF($F599&lt;&gt;"", XLOOKUP($F599,Productos!$A$2:$A1001,Productos!AK$2:AK1001,"")*$G599,"")</f>
        <v/>
      </c>
      <c r="AS599" s="179" t="str">
        <f t="array" ref="AS599">IF($F599&lt;&gt;"",XLOOKUP($F599,Productos!$A:$A,Productos!AL:AL,"Revisar"),"")</f>
        <v/>
      </c>
      <c r="AT599" s="179" t="str">
        <f t="array" ref="AT599">IF($F599&lt;&gt;"", XLOOKUP($F599,Productos!$A$2:$A1001,Productos!AM$2:AM1001,"")*$G599,"")</f>
        <v/>
      </c>
      <c r="AU599" s="179" t="str">
        <f t="array" ref="AU599">IF($F599&lt;&gt;"",XLOOKUP($F599,Productos!$A:$A,Productos!AN:AN,"Revisar"),"")</f>
        <v/>
      </c>
      <c r="AV599" s="179" t="str">
        <f t="array" ref="AV599">IF($F599&lt;&gt;"", XLOOKUP($F599,Productos!$A$2:$A1001,Productos!AO$2:AO1001,"")*$G599,"")</f>
        <v/>
      </c>
      <c r="AW599" s="179" t="str">
        <f t="array" ref="AW599">IF($F599&lt;&gt;"",XLOOKUP($F599,Productos!$A:$A,Productos!AP:AP,"Revisar"),"")</f>
        <v/>
      </c>
      <c r="AX599" s="179" t="str">
        <f t="array" ref="AX599">IF($F599&lt;&gt;"", XLOOKUP($F599,Productos!$A$2:$A1001,Productos!AQ$2:AQ1001,"")*$G599,"")</f>
        <v/>
      </c>
      <c r="AY599" s="179" t="str">
        <f t="array" ref="AY599">IF($F599&lt;&gt;"",XLOOKUP($F599,Productos!$A:$A,Productos!AR:AR,"Revisar"),"")</f>
        <v/>
      </c>
      <c r="AZ599" s="179" t="str">
        <f t="array" ref="AZ599">IF($F599&lt;&gt;"", XLOOKUP($F599,Productos!$A$2:$A1001,Productos!AS$2:AS1001,"")*$G599,"")</f>
        <v/>
      </c>
      <c r="BA599" s="179" t="str">
        <f t="array" ref="BA599">IF($F599&lt;&gt;"",XLOOKUP($F599,Productos!$A:$A,Productos!AT:AT,"Revisar"),"")</f>
        <v/>
      </c>
      <c r="BB599" s="179" t="str">
        <f t="array" ref="BB599">IF($F599&lt;&gt;"", XLOOKUP($F599,Productos!$A$2:$A1001,Productos!AU$2:AU1001,"")*$G599,"")</f>
        <v/>
      </c>
      <c r="BC599" s="179" t="str">
        <f t="array" ref="BC599">IF($F599&lt;&gt;"",XLOOKUP($F599,Productos!$A:$A,Productos!AV:AV,"Revisar"),"")</f>
        <v/>
      </c>
      <c r="BD599" s="179" t="str">
        <f t="array" ref="BD599">IF($F599&lt;&gt;"", XLOOKUP($F599,Productos!$A$2:$A1001,Productos!AW$2:AW1001,"")*$G599,"")</f>
        <v/>
      </c>
      <c r="BE599" s="179" t="str">
        <f t="array" ref="BE599">IF($F599&lt;&gt;"",XLOOKUP($F599,Productos!$A:$A,Productos!AX:AX,"Revisar"),"")</f>
        <v/>
      </c>
      <c r="BF599" s="179" t="str">
        <f t="array" ref="BF599">IF($F599&lt;&gt;"", XLOOKUP($F599,Productos!$A$2:$A1001,Productos!AY$2:AY1001,"")*$G599,"")</f>
        <v/>
      </c>
      <c r="BG599" s="179" t="str">
        <f t="array" ref="BG599">IF($F599&lt;&gt;"",XLOOKUP($F599,Productos!$A:$A,Productos!AZ:AZ,"Revisar"),"")</f>
        <v/>
      </c>
      <c r="BH599" s="179" t="str">
        <f t="array" ref="BH599">IF($F599&lt;&gt;"", XLOOKUP($F599,Productos!$A$2:$A1001,Productos!BA$2:BA1001,"")*$G599,"")</f>
        <v/>
      </c>
      <c r="BI599" s="179" t="str">
        <f t="array" ref="BI599">IF($F599&lt;&gt;"",XLOOKUP($F599,Productos!$A:$A,Productos!BB:BB,"Revisar"),"")</f>
        <v/>
      </c>
      <c r="BJ599" s="179" t="str">
        <f t="array" ref="BJ599">IF($F599&lt;&gt;"", XLOOKUP($F599,Productos!$A$2:$A1001,Productos!BC$2:BC1001,"")*$G599,"")</f>
        <v/>
      </c>
      <c r="BK599" s="179" t="str">
        <f t="array" ref="BK599">IF($F599&lt;&gt;"",XLOOKUP($F599,Productos!$A:$A,Productos!BD:BD,"Revisar"),"")</f>
        <v/>
      </c>
      <c r="BL599" s="179" t="str">
        <f t="array" ref="BL599">IF($F599&lt;&gt;"", XLOOKUP($F599,Productos!$A$2:$A1001,Productos!BE$2:BE1001,"")*$G599,"")</f>
        <v/>
      </c>
      <c r="BM599" s="179" t="str">
        <f t="array" ref="BM599">IF($F599&lt;&gt;"",XLOOKUP($F599,Productos!$A:$A,Productos!BF:BF,"Revisar"),"")</f>
        <v/>
      </c>
      <c r="BN599" s="179" t="str">
        <f t="array" ref="BN599">IF($F599&lt;&gt;"", XLOOKUP($F599,Productos!$A$2:$A1001,Productos!BG$2:BG1001,"")*$G599,"")</f>
        <v/>
      </c>
      <c r="BO599" s="179" t="str">
        <f t="array" ref="BO599">IF($F599&lt;&gt;"",XLOOKUP($F599,Productos!$A:$A,Productos!BH:BH,"Revisar"),"")</f>
        <v/>
      </c>
      <c r="BP599" s="179" t="str">
        <f t="array" ref="BP599">IF($F599&lt;&gt;"", XLOOKUP($F599,Productos!$A$2:$A1001,Productos!BI$2:BI1001,"")*$G599,"")</f>
        <v/>
      </c>
      <c r="BQ599" s="179" t="str">
        <f t="array" ref="BQ599">IF($F599&lt;&gt;"",XLOOKUP($F599,Productos!$A:$A,Productos!BJ:BJ,"Revisar"),"")</f>
        <v/>
      </c>
      <c r="BR599" s="179" t="str">
        <f t="array" ref="BR599">IF($F599&lt;&gt;"", XLOOKUP($F599,Productos!$A$2:$A1001,Productos!BK$2:BK1001,"")*$G599,"")</f>
        <v/>
      </c>
      <c r="BS599" s="179" t="str">
        <f t="array" ref="BS599">IF($F599&lt;&gt;"",XLOOKUP($F599,Productos!$A:$A,Productos!BL:BL,"Revisar"),"")</f>
        <v/>
      </c>
      <c r="BT599" s="179" t="str">
        <f t="array" ref="BT599">IF($F599&lt;&gt;"", XLOOKUP($F599,Productos!$A$2:$A1001,Productos!BM$2:BM1001,"")*$G599,"")</f>
        <v/>
      </c>
      <c r="BU599" s="179" t="str">
        <f t="array" ref="BU599">IF($F599&lt;&gt;"",XLOOKUP($F599,Productos!$A:$A,Productos!BN:BN,"Revisar"),"")</f>
        <v/>
      </c>
      <c r="BV599" s="179" t="str">
        <f t="array" ref="BV599">IF($F599&lt;&gt;"", XLOOKUP($F599,Productos!$A$2:$A1001,Productos!BO$2:BO1001,"")*$G599,"")</f>
        <v/>
      </c>
      <c r="BW599" s="179" t="str">
        <f t="array" ref="BW599">IF($F599&lt;&gt;"",XLOOKUP($F599,Productos!$A:$A,Productos!BP:BP,"Revisar"),"")</f>
        <v/>
      </c>
      <c r="BX599" s="179" t="str">
        <f t="array" ref="BX599">IF($F599&lt;&gt;"", XLOOKUP($F599,Productos!$A$2:$A1001,Productos!BQ$2:BQ1001,"")*$G599,"")</f>
        <v/>
      </c>
      <c r="BY599" s="179" t="str">
        <f t="array" ref="BY599">IF($F599&lt;&gt;"",XLOOKUP($F599,Productos!$A:$A,Productos!BR:BR,"Revisar"),"")</f>
        <v/>
      </c>
      <c r="BZ599" s="179" t="str">
        <f t="array" ref="BZ599">IF($F599&lt;&gt;"", XLOOKUP($F599,Productos!$A$2:$A1001,Productos!BS$2:BS1001,"")*$G599,"")</f>
        <v/>
      </c>
    </row>
    <row r="600">
      <c r="A600" s="188"/>
      <c r="B600" s="189"/>
      <c r="C600" s="190"/>
      <c r="D600" s="190"/>
      <c r="E600" s="191"/>
      <c r="F600" s="186"/>
      <c r="G600" s="192"/>
      <c r="H600" s="9"/>
      <c r="I600" s="179" t="str">
        <f t="array" ref="I600">IF($F600&lt;&gt;"",XLOOKUP($F600,Productos!$A:$A,Productos!B:B,"Revisar"),"")</f>
        <v/>
      </c>
      <c r="J600" s="179" t="str">
        <f t="array" ref="J600">IF($F600&lt;&gt;"", XLOOKUP($F600,Productos!$A$2:$A1001,Productos!C$2:C1001,"")*$G600,"")</f>
        <v/>
      </c>
      <c r="K600" s="179" t="str">
        <f t="array" ref="K600">IF($F600&lt;&gt;"",XLOOKUP($F600,Productos!$A:$A,Productos!D:D,"Revisar"),"")</f>
        <v/>
      </c>
      <c r="L600" s="179" t="str">
        <f t="array" ref="L600">IF($F600&lt;&gt;"", XLOOKUP($F600,Productos!$A$2:$A1001,Productos!E$2:E1001,"")*$G600,"")</f>
        <v/>
      </c>
      <c r="M600" s="179" t="str">
        <f t="array" ref="M600">IF($F600&lt;&gt;"",XLOOKUP($F600,Productos!$A:$A,Productos!F:F,"Revisar"),"")</f>
        <v/>
      </c>
      <c r="N600" s="179" t="str">
        <f t="array" ref="N600">IF($F600&lt;&gt;"", XLOOKUP($F600,Productos!$A$2:$A1001,Productos!G$2:G1001,"")*$G600,"")</f>
        <v/>
      </c>
      <c r="O600" s="179" t="str">
        <f t="array" ref="O600">IF($F600&lt;&gt;"",XLOOKUP($F600,Productos!$A:$A,Productos!H:H,"Revisar"),"")</f>
        <v/>
      </c>
      <c r="P600" s="179" t="str">
        <f t="array" ref="P600">IF($F600&lt;&gt;"", XLOOKUP($F600,Productos!$A$2:$A1001,Productos!I$2:I1001,"")*$G600,"")</f>
        <v/>
      </c>
      <c r="Q600" s="179" t="str">
        <f t="array" ref="Q600">IF($F600&lt;&gt;"",XLOOKUP($F600,Productos!$A:$A,Productos!J:J,"Revisar"),"")</f>
        <v/>
      </c>
      <c r="R600" s="179" t="str">
        <f t="array" ref="R600">IF($F600&lt;&gt;"", XLOOKUP($F600,Productos!$A$2:$A1001,Productos!K$2:K1001,"")*$G600,"")</f>
        <v/>
      </c>
      <c r="S600" s="179" t="str">
        <f t="array" ref="S600">IF($F600&lt;&gt;"",XLOOKUP($F600,Productos!$A:$A,Productos!L:L,"Revisar"),"")</f>
        <v/>
      </c>
      <c r="T600" s="179" t="str">
        <f t="array" ref="T600">IF($F600&lt;&gt;"", XLOOKUP($F600,Productos!$A$2:$A1001,Productos!M$2:M1001,"")*$G600,"")</f>
        <v/>
      </c>
      <c r="U600" s="179" t="str">
        <f t="array" ref="U600">IF($F600&lt;&gt;"",XLOOKUP($F600,Productos!$A:$A,Productos!N:N,"Revisar"),"")</f>
        <v/>
      </c>
      <c r="V600" s="179" t="str">
        <f t="array" ref="V600">IF($F600&lt;&gt;"", XLOOKUP($F600,Productos!$A$2:$A1001,Productos!O$2:O1001,"")*$G600,"")</f>
        <v/>
      </c>
      <c r="W600" s="179" t="str">
        <f t="array" ref="W600">IF($F600&lt;&gt;"",XLOOKUP($F600,Productos!$A:$A,Productos!P:P,"Revisar"),"")</f>
        <v/>
      </c>
      <c r="X600" s="179" t="str">
        <f t="array" ref="X600">IF($F600&lt;&gt;"", XLOOKUP($F600,Productos!$A$2:$A1001,Productos!Q$2:Q1001,"")*$G600,"")</f>
        <v/>
      </c>
      <c r="Y600" s="179" t="str">
        <f t="array" ref="Y600">IF($F600&lt;&gt;"",XLOOKUP($F600,Productos!$A:$A,Productos!R:R,"Revisar"),"")</f>
        <v/>
      </c>
      <c r="Z600" s="179" t="str">
        <f t="array" ref="Z600">IF($F600&lt;&gt;"", XLOOKUP($F600,Productos!$A$2:$A1001,Productos!S$2:S1001,"")*$G600,"")</f>
        <v/>
      </c>
      <c r="AA600" s="179" t="str">
        <f t="array" ref="AA600">IF($F600&lt;&gt;"",XLOOKUP($F600,Productos!$A:$A,Productos!T:T,"Revisar"),"")</f>
        <v/>
      </c>
      <c r="AB600" s="179" t="str">
        <f t="array" ref="AB600">IF($F600&lt;&gt;"", XLOOKUP($F600,Productos!$A$2:$A1001,Productos!U$2:U1001,"")*$G600,"")</f>
        <v/>
      </c>
      <c r="AC600" s="179" t="str">
        <f t="array" ref="AC600">IF($F600&lt;&gt;"",XLOOKUP($F600,Productos!$A:$A,Productos!V:V,"Revisar"),"")</f>
        <v/>
      </c>
      <c r="AD600" s="179" t="str">
        <f t="array" ref="AD600">IF($F600&lt;&gt;"", XLOOKUP($F600,Productos!$A$2:$A1001,Productos!W$2:W1001,"")*$G600,"")</f>
        <v/>
      </c>
      <c r="AE600" s="179" t="str">
        <f t="array" ref="AE600">IF($F600&lt;&gt;"",XLOOKUP($F600,Productos!$A:$A,Productos!X:X,"Revisar"),"")</f>
        <v/>
      </c>
      <c r="AF600" s="179" t="str">
        <f t="array" ref="AF600">IF($F600&lt;&gt;"", XLOOKUP($F600,Productos!$A$2:$A1001,Productos!Y$2:Y1001,"")*$G600,"")</f>
        <v/>
      </c>
      <c r="AG600" s="179" t="str">
        <f t="array" ref="AG600">IF($F600&lt;&gt;"",XLOOKUP($F600,Productos!$A:$A,Productos!Z:Z,"Revisar"),"")</f>
        <v/>
      </c>
      <c r="AH600" s="179" t="str">
        <f t="array" ref="AH600">IF($F600&lt;&gt;"", XLOOKUP($F600,Productos!$A$2:$A1001,Productos!AA$2:AA1001,"")*$G600,"")</f>
        <v/>
      </c>
      <c r="AI600" s="179" t="str">
        <f t="array" ref="AI600">IF($F600&lt;&gt;"",XLOOKUP($F600,Productos!$A:$A,Productos!AB:AB,"Revisar"),"")</f>
        <v/>
      </c>
      <c r="AJ600" s="179" t="str">
        <f t="array" ref="AJ600">IF($F600&lt;&gt;"", XLOOKUP($F600,Productos!$A$2:$A1001,Productos!AC$2:AC1001,"")*$G600,"")</f>
        <v/>
      </c>
      <c r="AK600" s="179" t="str">
        <f t="array" ref="AK600">IF($F600&lt;&gt;"",XLOOKUP($F600,Productos!$A:$A,Productos!AD:AD,"Revisar"),"")</f>
        <v/>
      </c>
      <c r="AL600" s="179" t="str">
        <f t="array" ref="AL600">IF($F600&lt;&gt;"", XLOOKUP($F600,Productos!$A$2:$A1001,Productos!AE$2:AE1001,"")*$G600,"")</f>
        <v/>
      </c>
      <c r="AM600" s="179" t="str">
        <f t="array" ref="AM600">IF($F600&lt;&gt;"",XLOOKUP($F600,Productos!$A:$A,Productos!AF:AF,"Revisar"),"")</f>
        <v/>
      </c>
      <c r="AN600" s="179" t="str">
        <f t="array" ref="AN600">IF($F600&lt;&gt;"", XLOOKUP($F600,Productos!$A$2:$A1001,Productos!AG$2:AG1001,"")*$G600,"")</f>
        <v/>
      </c>
      <c r="AO600" s="179" t="str">
        <f t="array" ref="AO600">IF($F600&lt;&gt;"",XLOOKUP($F600,Productos!$A:$A,Productos!AH:AH,"Revisar"),"")</f>
        <v/>
      </c>
      <c r="AP600" s="179" t="str">
        <f t="array" ref="AP600">IF($F600&lt;&gt;"", XLOOKUP($F600,Productos!$A$2:$A1001,Productos!AI$2:AI1001,"")*$G600,"")</f>
        <v/>
      </c>
      <c r="AQ600" s="179" t="str">
        <f t="array" ref="AQ600">IF($F600&lt;&gt;"",XLOOKUP($F600,Productos!$A:$A,Productos!AJ:AJ,"Revisar"),"")</f>
        <v/>
      </c>
      <c r="AR600" s="179" t="str">
        <f t="array" ref="AR600">IF($F600&lt;&gt;"", XLOOKUP($F600,Productos!$A$2:$A1001,Productos!AK$2:AK1001,"")*$G600,"")</f>
        <v/>
      </c>
      <c r="AS600" s="179" t="str">
        <f t="array" ref="AS600">IF($F600&lt;&gt;"",XLOOKUP($F600,Productos!$A:$A,Productos!AL:AL,"Revisar"),"")</f>
        <v/>
      </c>
      <c r="AT600" s="179" t="str">
        <f t="array" ref="AT600">IF($F600&lt;&gt;"", XLOOKUP($F600,Productos!$A$2:$A1001,Productos!AM$2:AM1001,"")*$G600,"")</f>
        <v/>
      </c>
      <c r="AU600" s="179" t="str">
        <f t="array" ref="AU600">IF($F600&lt;&gt;"",XLOOKUP($F600,Productos!$A:$A,Productos!AN:AN,"Revisar"),"")</f>
        <v/>
      </c>
      <c r="AV600" s="179" t="str">
        <f t="array" ref="AV600">IF($F600&lt;&gt;"", XLOOKUP($F600,Productos!$A$2:$A1001,Productos!AO$2:AO1001,"")*$G600,"")</f>
        <v/>
      </c>
      <c r="AW600" s="179" t="str">
        <f t="array" ref="AW600">IF($F600&lt;&gt;"",XLOOKUP($F600,Productos!$A:$A,Productos!AP:AP,"Revisar"),"")</f>
        <v/>
      </c>
      <c r="AX600" s="179" t="str">
        <f t="array" ref="AX600">IF($F600&lt;&gt;"", XLOOKUP($F600,Productos!$A$2:$A1001,Productos!AQ$2:AQ1001,"")*$G600,"")</f>
        <v/>
      </c>
      <c r="AY600" s="179" t="str">
        <f t="array" ref="AY600">IF($F600&lt;&gt;"",XLOOKUP($F600,Productos!$A:$A,Productos!AR:AR,"Revisar"),"")</f>
        <v/>
      </c>
      <c r="AZ600" s="179" t="str">
        <f t="array" ref="AZ600">IF($F600&lt;&gt;"", XLOOKUP($F600,Productos!$A$2:$A1001,Productos!AS$2:AS1001,"")*$G600,"")</f>
        <v/>
      </c>
      <c r="BA600" s="179" t="str">
        <f t="array" ref="BA600">IF($F600&lt;&gt;"",XLOOKUP($F600,Productos!$A:$A,Productos!AT:AT,"Revisar"),"")</f>
        <v/>
      </c>
      <c r="BB600" s="179" t="str">
        <f t="array" ref="BB600">IF($F600&lt;&gt;"", XLOOKUP($F600,Productos!$A$2:$A1001,Productos!AU$2:AU1001,"")*$G600,"")</f>
        <v/>
      </c>
      <c r="BC600" s="179" t="str">
        <f t="array" ref="BC600">IF($F600&lt;&gt;"",XLOOKUP($F600,Productos!$A:$A,Productos!AV:AV,"Revisar"),"")</f>
        <v/>
      </c>
      <c r="BD600" s="179" t="str">
        <f t="array" ref="BD600">IF($F600&lt;&gt;"", XLOOKUP($F600,Productos!$A$2:$A1001,Productos!AW$2:AW1001,"")*$G600,"")</f>
        <v/>
      </c>
      <c r="BE600" s="179" t="str">
        <f t="array" ref="BE600">IF($F600&lt;&gt;"",XLOOKUP($F600,Productos!$A:$A,Productos!AX:AX,"Revisar"),"")</f>
        <v/>
      </c>
      <c r="BF600" s="179" t="str">
        <f t="array" ref="BF600">IF($F600&lt;&gt;"", XLOOKUP($F600,Productos!$A$2:$A1001,Productos!AY$2:AY1001,"")*$G600,"")</f>
        <v/>
      </c>
      <c r="BG600" s="179" t="str">
        <f t="array" ref="BG600">IF($F600&lt;&gt;"",XLOOKUP($F600,Productos!$A:$A,Productos!AZ:AZ,"Revisar"),"")</f>
        <v/>
      </c>
      <c r="BH600" s="179" t="str">
        <f t="array" ref="BH600">IF($F600&lt;&gt;"", XLOOKUP($F600,Productos!$A$2:$A1001,Productos!BA$2:BA1001,"")*$G600,"")</f>
        <v/>
      </c>
      <c r="BI600" s="179" t="str">
        <f t="array" ref="BI600">IF($F600&lt;&gt;"",XLOOKUP($F600,Productos!$A:$A,Productos!BB:BB,"Revisar"),"")</f>
        <v/>
      </c>
      <c r="BJ600" s="179" t="str">
        <f t="array" ref="BJ600">IF($F600&lt;&gt;"", XLOOKUP($F600,Productos!$A$2:$A1001,Productos!BC$2:BC1001,"")*$G600,"")</f>
        <v/>
      </c>
      <c r="BK600" s="179" t="str">
        <f t="array" ref="BK600">IF($F600&lt;&gt;"",XLOOKUP($F600,Productos!$A:$A,Productos!BD:BD,"Revisar"),"")</f>
        <v/>
      </c>
      <c r="BL600" s="179" t="str">
        <f t="array" ref="BL600">IF($F600&lt;&gt;"", XLOOKUP($F600,Productos!$A$2:$A1001,Productos!BE$2:BE1001,"")*$G600,"")</f>
        <v/>
      </c>
      <c r="BM600" s="179" t="str">
        <f t="array" ref="BM600">IF($F600&lt;&gt;"",XLOOKUP($F600,Productos!$A:$A,Productos!BF:BF,"Revisar"),"")</f>
        <v/>
      </c>
      <c r="BN600" s="179" t="str">
        <f t="array" ref="BN600">IF($F600&lt;&gt;"", XLOOKUP($F600,Productos!$A$2:$A1001,Productos!BG$2:BG1001,"")*$G600,"")</f>
        <v/>
      </c>
      <c r="BO600" s="179" t="str">
        <f t="array" ref="BO600">IF($F600&lt;&gt;"",XLOOKUP($F600,Productos!$A:$A,Productos!BH:BH,"Revisar"),"")</f>
        <v/>
      </c>
      <c r="BP600" s="179" t="str">
        <f t="array" ref="BP600">IF($F600&lt;&gt;"", XLOOKUP($F600,Productos!$A$2:$A1001,Productos!BI$2:BI1001,"")*$G600,"")</f>
        <v/>
      </c>
      <c r="BQ600" s="179" t="str">
        <f t="array" ref="BQ600">IF($F600&lt;&gt;"",XLOOKUP($F600,Productos!$A:$A,Productos!BJ:BJ,"Revisar"),"")</f>
        <v/>
      </c>
      <c r="BR600" s="179" t="str">
        <f t="array" ref="BR600">IF($F600&lt;&gt;"", XLOOKUP($F600,Productos!$A$2:$A1001,Productos!BK$2:BK1001,"")*$G600,"")</f>
        <v/>
      </c>
      <c r="BS600" s="179" t="str">
        <f t="array" ref="BS600">IF($F600&lt;&gt;"",XLOOKUP($F600,Productos!$A:$A,Productos!BL:BL,"Revisar"),"")</f>
        <v/>
      </c>
      <c r="BT600" s="179" t="str">
        <f t="array" ref="BT600">IF($F600&lt;&gt;"", XLOOKUP($F600,Productos!$A$2:$A1001,Productos!BM$2:BM1001,"")*$G600,"")</f>
        <v/>
      </c>
      <c r="BU600" s="179" t="str">
        <f t="array" ref="BU600">IF($F600&lt;&gt;"",XLOOKUP($F600,Productos!$A:$A,Productos!BN:BN,"Revisar"),"")</f>
        <v/>
      </c>
      <c r="BV600" s="179" t="str">
        <f t="array" ref="BV600">IF($F600&lt;&gt;"", XLOOKUP($F600,Productos!$A$2:$A1001,Productos!BO$2:BO1001,"")*$G600,"")</f>
        <v/>
      </c>
      <c r="BW600" s="179" t="str">
        <f t="array" ref="BW600">IF($F600&lt;&gt;"",XLOOKUP($F600,Productos!$A:$A,Productos!BP:BP,"Revisar"),"")</f>
        <v/>
      </c>
      <c r="BX600" s="179" t="str">
        <f t="array" ref="BX600">IF($F600&lt;&gt;"", XLOOKUP($F600,Productos!$A$2:$A1001,Productos!BQ$2:BQ1001,"")*$G600,"")</f>
        <v/>
      </c>
      <c r="BY600" s="179" t="str">
        <f t="array" ref="BY600">IF($F600&lt;&gt;"",XLOOKUP($F600,Productos!$A:$A,Productos!BR:BR,"Revisar"),"")</f>
        <v/>
      </c>
      <c r="BZ600" s="179" t="str">
        <f t="array" ref="BZ600">IF($F600&lt;&gt;"", XLOOKUP($F600,Productos!$A$2:$A1001,Productos!BS$2:BS1001,"")*$G600,"")</f>
        <v/>
      </c>
    </row>
    <row r="601">
      <c r="A601" s="188"/>
      <c r="B601" s="189"/>
      <c r="C601" s="190"/>
      <c r="D601" s="190"/>
      <c r="E601" s="191"/>
      <c r="F601" s="186"/>
      <c r="G601" s="192"/>
      <c r="H601" s="9"/>
      <c r="I601" s="179" t="str">
        <f t="array" ref="I601">IF($F601&lt;&gt;"",XLOOKUP($F601,Productos!$A:$A,Productos!B:B,"Revisar"),"")</f>
        <v/>
      </c>
      <c r="J601" s="179" t="str">
        <f t="array" ref="J601">IF($F601&lt;&gt;"", XLOOKUP($F601,Productos!$A$2:$A1001,Productos!C$2:C1001,"")*$G601,"")</f>
        <v/>
      </c>
      <c r="K601" s="179" t="str">
        <f t="array" ref="K601">IF($F601&lt;&gt;"",XLOOKUP($F601,Productos!$A:$A,Productos!D:D,"Revisar"),"")</f>
        <v/>
      </c>
      <c r="L601" s="179" t="str">
        <f t="array" ref="L601">IF($F601&lt;&gt;"", XLOOKUP($F601,Productos!$A$2:$A1001,Productos!E$2:E1001,"")*$G601,"")</f>
        <v/>
      </c>
      <c r="M601" s="179" t="str">
        <f t="array" ref="M601">IF($F601&lt;&gt;"",XLOOKUP($F601,Productos!$A:$A,Productos!F:F,"Revisar"),"")</f>
        <v/>
      </c>
      <c r="N601" s="179" t="str">
        <f t="array" ref="N601">IF($F601&lt;&gt;"", XLOOKUP($F601,Productos!$A$2:$A1001,Productos!G$2:G1001,"")*$G601,"")</f>
        <v/>
      </c>
      <c r="O601" s="179" t="str">
        <f t="array" ref="O601">IF($F601&lt;&gt;"",XLOOKUP($F601,Productos!$A:$A,Productos!H:H,"Revisar"),"")</f>
        <v/>
      </c>
      <c r="P601" s="179" t="str">
        <f t="array" ref="P601">IF($F601&lt;&gt;"", XLOOKUP($F601,Productos!$A$2:$A1001,Productos!I$2:I1001,"")*$G601,"")</f>
        <v/>
      </c>
      <c r="Q601" s="179" t="str">
        <f t="array" ref="Q601">IF($F601&lt;&gt;"",XLOOKUP($F601,Productos!$A:$A,Productos!J:J,"Revisar"),"")</f>
        <v/>
      </c>
      <c r="R601" s="179" t="str">
        <f t="array" ref="R601">IF($F601&lt;&gt;"", XLOOKUP($F601,Productos!$A$2:$A1001,Productos!K$2:K1001,"")*$G601,"")</f>
        <v/>
      </c>
      <c r="S601" s="179" t="str">
        <f t="array" ref="S601">IF($F601&lt;&gt;"",XLOOKUP($F601,Productos!$A:$A,Productos!L:L,"Revisar"),"")</f>
        <v/>
      </c>
      <c r="T601" s="179" t="str">
        <f t="array" ref="T601">IF($F601&lt;&gt;"", XLOOKUP($F601,Productos!$A$2:$A1001,Productos!M$2:M1001,"")*$G601,"")</f>
        <v/>
      </c>
      <c r="U601" s="179" t="str">
        <f t="array" ref="U601">IF($F601&lt;&gt;"",XLOOKUP($F601,Productos!$A:$A,Productos!N:N,"Revisar"),"")</f>
        <v/>
      </c>
      <c r="V601" s="179" t="str">
        <f t="array" ref="V601">IF($F601&lt;&gt;"", XLOOKUP($F601,Productos!$A$2:$A1001,Productos!O$2:O1001,"")*$G601,"")</f>
        <v/>
      </c>
      <c r="W601" s="179" t="str">
        <f t="array" ref="W601">IF($F601&lt;&gt;"",XLOOKUP($F601,Productos!$A:$A,Productos!P:P,"Revisar"),"")</f>
        <v/>
      </c>
      <c r="X601" s="179" t="str">
        <f t="array" ref="X601">IF($F601&lt;&gt;"", XLOOKUP($F601,Productos!$A$2:$A1001,Productos!Q$2:Q1001,"")*$G601,"")</f>
        <v/>
      </c>
      <c r="Y601" s="179" t="str">
        <f t="array" ref="Y601">IF($F601&lt;&gt;"",XLOOKUP($F601,Productos!$A:$A,Productos!R:R,"Revisar"),"")</f>
        <v/>
      </c>
      <c r="Z601" s="179" t="str">
        <f t="array" ref="Z601">IF($F601&lt;&gt;"", XLOOKUP($F601,Productos!$A$2:$A1001,Productos!S$2:S1001,"")*$G601,"")</f>
        <v/>
      </c>
      <c r="AA601" s="179" t="str">
        <f t="array" ref="AA601">IF($F601&lt;&gt;"",XLOOKUP($F601,Productos!$A:$A,Productos!T:T,"Revisar"),"")</f>
        <v/>
      </c>
      <c r="AB601" s="179" t="str">
        <f t="array" ref="AB601">IF($F601&lt;&gt;"", XLOOKUP($F601,Productos!$A$2:$A1001,Productos!U$2:U1001,"")*$G601,"")</f>
        <v/>
      </c>
      <c r="AC601" s="179" t="str">
        <f t="array" ref="AC601">IF($F601&lt;&gt;"",XLOOKUP($F601,Productos!$A:$A,Productos!V:V,"Revisar"),"")</f>
        <v/>
      </c>
      <c r="AD601" s="179" t="str">
        <f t="array" ref="AD601">IF($F601&lt;&gt;"", XLOOKUP($F601,Productos!$A$2:$A1001,Productos!W$2:W1001,"")*$G601,"")</f>
        <v/>
      </c>
      <c r="AE601" s="179" t="str">
        <f t="array" ref="AE601">IF($F601&lt;&gt;"",XLOOKUP($F601,Productos!$A:$A,Productos!X:X,"Revisar"),"")</f>
        <v/>
      </c>
      <c r="AF601" s="179" t="str">
        <f t="array" ref="AF601">IF($F601&lt;&gt;"", XLOOKUP($F601,Productos!$A$2:$A1001,Productos!Y$2:Y1001,"")*$G601,"")</f>
        <v/>
      </c>
      <c r="AG601" s="179" t="str">
        <f t="array" ref="AG601">IF($F601&lt;&gt;"",XLOOKUP($F601,Productos!$A:$A,Productos!Z:Z,"Revisar"),"")</f>
        <v/>
      </c>
      <c r="AH601" s="179" t="str">
        <f t="array" ref="AH601">IF($F601&lt;&gt;"", XLOOKUP($F601,Productos!$A$2:$A1001,Productos!AA$2:AA1001,"")*$G601,"")</f>
        <v/>
      </c>
      <c r="AI601" s="179" t="str">
        <f t="array" ref="AI601">IF($F601&lt;&gt;"",XLOOKUP($F601,Productos!$A:$A,Productos!AB:AB,"Revisar"),"")</f>
        <v/>
      </c>
      <c r="AJ601" s="179" t="str">
        <f t="array" ref="AJ601">IF($F601&lt;&gt;"", XLOOKUP($F601,Productos!$A$2:$A1001,Productos!AC$2:AC1001,"")*$G601,"")</f>
        <v/>
      </c>
      <c r="AK601" s="179" t="str">
        <f t="array" ref="AK601">IF($F601&lt;&gt;"",XLOOKUP($F601,Productos!$A:$A,Productos!AD:AD,"Revisar"),"")</f>
        <v/>
      </c>
      <c r="AL601" s="179" t="str">
        <f t="array" ref="AL601">IF($F601&lt;&gt;"", XLOOKUP($F601,Productos!$A$2:$A1001,Productos!AE$2:AE1001,"")*$G601,"")</f>
        <v/>
      </c>
      <c r="AM601" s="179" t="str">
        <f t="array" ref="AM601">IF($F601&lt;&gt;"",XLOOKUP($F601,Productos!$A:$A,Productos!AF:AF,"Revisar"),"")</f>
        <v/>
      </c>
      <c r="AN601" s="179" t="str">
        <f t="array" ref="AN601">IF($F601&lt;&gt;"", XLOOKUP($F601,Productos!$A$2:$A1001,Productos!AG$2:AG1001,"")*$G601,"")</f>
        <v/>
      </c>
      <c r="AO601" s="179" t="str">
        <f t="array" ref="AO601">IF($F601&lt;&gt;"",XLOOKUP($F601,Productos!$A:$A,Productos!AH:AH,"Revisar"),"")</f>
        <v/>
      </c>
      <c r="AP601" s="179" t="str">
        <f t="array" ref="AP601">IF($F601&lt;&gt;"", XLOOKUP($F601,Productos!$A$2:$A1001,Productos!AI$2:AI1001,"")*$G601,"")</f>
        <v/>
      </c>
      <c r="AQ601" s="179" t="str">
        <f t="array" ref="AQ601">IF($F601&lt;&gt;"",XLOOKUP($F601,Productos!$A:$A,Productos!AJ:AJ,"Revisar"),"")</f>
        <v/>
      </c>
      <c r="AR601" s="179" t="str">
        <f t="array" ref="AR601">IF($F601&lt;&gt;"", XLOOKUP($F601,Productos!$A$2:$A1001,Productos!AK$2:AK1001,"")*$G601,"")</f>
        <v/>
      </c>
      <c r="AS601" s="179" t="str">
        <f t="array" ref="AS601">IF($F601&lt;&gt;"",XLOOKUP($F601,Productos!$A:$A,Productos!AL:AL,"Revisar"),"")</f>
        <v/>
      </c>
      <c r="AT601" s="179" t="str">
        <f t="array" ref="AT601">IF($F601&lt;&gt;"", XLOOKUP($F601,Productos!$A$2:$A1001,Productos!AM$2:AM1001,"")*$G601,"")</f>
        <v/>
      </c>
      <c r="AU601" s="179" t="str">
        <f t="array" ref="AU601">IF($F601&lt;&gt;"",XLOOKUP($F601,Productos!$A:$A,Productos!AN:AN,"Revisar"),"")</f>
        <v/>
      </c>
      <c r="AV601" s="179" t="str">
        <f t="array" ref="AV601">IF($F601&lt;&gt;"", XLOOKUP($F601,Productos!$A$2:$A1001,Productos!AO$2:AO1001,"")*$G601,"")</f>
        <v/>
      </c>
      <c r="AW601" s="179" t="str">
        <f t="array" ref="AW601">IF($F601&lt;&gt;"",XLOOKUP($F601,Productos!$A:$A,Productos!AP:AP,"Revisar"),"")</f>
        <v/>
      </c>
      <c r="AX601" s="179" t="str">
        <f t="array" ref="AX601">IF($F601&lt;&gt;"", XLOOKUP($F601,Productos!$A$2:$A1001,Productos!AQ$2:AQ1001,"")*$G601,"")</f>
        <v/>
      </c>
      <c r="AY601" s="179" t="str">
        <f t="array" ref="AY601">IF($F601&lt;&gt;"",XLOOKUP($F601,Productos!$A:$A,Productos!AR:AR,"Revisar"),"")</f>
        <v/>
      </c>
      <c r="AZ601" s="179" t="str">
        <f t="array" ref="AZ601">IF($F601&lt;&gt;"", XLOOKUP($F601,Productos!$A$2:$A1001,Productos!AS$2:AS1001,"")*$G601,"")</f>
        <v/>
      </c>
      <c r="BA601" s="179" t="str">
        <f t="array" ref="BA601">IF($F601&lt;&gt;"",XLOOKUP($F601,Productos!$A:$A,Productos!AT:AT,"Revisar"),"")</f>
        <v/>
      </c>
      <c r="BB601" s="179" t="str">
        <f t="array" ref="BB601">IF($F601&lt;&gt;"", XLOOKUP($F601,Productos!$A$2:$A1001,Productos!AU$2:AU1001,"")*$G601,"")</f>
        <v/>
      </c>
      <c r="BC601" s="179" t="str">
        <f t="array" ref="BC601">IF($F601&lt;&gt;"",XLOOKUP($F601,Productos!$A:$A,Productos!AV:AV,"Revisar"),"")</f>
        <v/>
      </c>
      <c r="BD601" s="179" t="str">
        <f t="array" ref="BD601">IF($F601&lt;&gt;"", XLOOKUP($F601,Productos!$A$2:$A1001,Productos!AW$2:AW1001,"")*$G601,"")</f>
        <v/>
      </c>
      <c r="BE601" s="179" t="str">
        <f t="array" ref="BE601">IF($F601&lt;&gt;"",XLOOKUP($F601,Productos!$A:$A,Productos!AX:AX,"Revisar"),"")</f>
        <v/>
      </c>
      <c r="BF601" s="179" t="str">
        <f t="array" ref="BF601">IF($F601&lt;&gt;"", XLOOKUP($F601,Productos!$A$2:$A1001,Productos!AY$2:AY1001,"")*$G601,"")</f>
        <v/>
      </c>
      <c r="BG601" s="179" t="str">
        <f t="array" ref="BG601">IF($F601&lt;&gt;"",XLOOKUP($F601,Productos!$A:$A,Productos!AZ:AZ,"Revisar"),"")</f>
        <v/>
      </c>
      <c r="BH601" s="179" t="str">
        <f t="array" ref="BH601">IF($F601&lt;&gt;"", XLOOKUP($F601,Productos!$A$2:$A1001,Productos!BA$2:BA1001,"")*$G601,"")</f>
        <v/>
      </c>
      <c r="BI601" s="179" t="str">
        <f t="array" ref="BI601">IF($F601&lt;&gt;"",XLOOKUP($F601,Productos!$A:$A,Productos!BB:BB,"Revisar"),"")</f>
        <v/>
      </c>
      <c r="BJ601" s="179" t="str">
        <f t="array" ref="BJ601">IF($F601&lt;&gt;"", XLOOKUP($F601,Productos!$A$2:$A1001,Productos!BC$2:BC1001,"")*$G601,"")</f>
        <v/>
      </c>
      <c r="BK601" s="179" t="str">
        <f t="array" ref="BK601">IF($F601&lt;&gt;"",XLOOKUP($F601,Productos!$A:$A,Productos!BD:BD,"Revisar"),"")</f>
        <v/>
      </c>
      <c r="BL601" s="179" t="str">
        <f t="array" ref="BL601">IF($F601&lt;&gt;"", XLOOKUP($F601,Productos!$A$2:$A1001,Productos!BE$2:BE1001,"")*$G601,"")</f>
        <v/>
      </c>
      <c r="BM601" s="179" t="str">
        <f t="array" ref="BM601">IF($F601&lt;&gt;"",XLOOKUP($F601,Productos!$A:$A,Productos!BF:BF,"Revisar"),"")</f>
        <v/>
      </c>
      <c r="BN601" s="179" t="str">
        <f t="array" ref="BN601">IF($F601&lt;&gt;"", XLOOKUP($F601,Productos!$A$2:$A1001,Productos!BG$2:BG1001,"")*$G601,"")</f>
        <v/>
      </c>
      <c r="BO601" s="179" t="str">
        <f t="array" ref="BO601">IF($F601&lt;&gt;"",XLOOKUP($F601,Productos!$A:$A,Productos!BH:BH,"Revisar"),"")</f>
        <v/>
      </c>
      <c r="BP601" s="179" t="str">
        <f t="array" ref="BP601">IF($F601&lt;&gt;"", XLOOKUP($F601,Productos!$A$2:$A1001,Productos!BI$2:BI1001,"")*$G601,"")</f>
        <v/>
      </c>
      <c r="BQ601" s="179" t="str">
        <f t="array" ref="BQ601">IF($F601&lt;&gt;"",XLOOKUP($F601,Productos!$A:$A,Productos!BJ:BJ,"Revisar"),"")</f>
        <v/>
      </c>
      <c r="BR601" s="179" t="str">
        <f t="array" ref="BR601">IF($F601&lt;&gt;"", XLOOKUP($F601,Productos!$A$2:$A1001,Productos!BK$2:BK1001,"")*$G601,"")</f>
        <v/>
      </c>
      <c r="BS601" s="179" t="str">
        <f t="array" ref="BS601">IF($F601&lt;&gt;"",XLOOKUP($F601,Productos!$A:$A,Productos!BL:BL,"Revisar"),"")</f>
        <v/>
      </c>
      <c r="BT601" s="179" t="str">
        <f t="array" ref="BT601">IF($F601&lt;&gt;"", XLOOKUP($F601,Productos!$A$2:$A1001,Productos!BM$2:BM1001,"")*$G601,"")</f>
        <v/>
      </c>
      <c r="BU601" s="179" t="str">
        <f t="array" ref="BU601">IF($F601&lt;&gt;"",XLOOKUP($F601,Productos!$A:$A,Productos!BN:BN,"Revisar"),"")</f>
        <v/>
      </c>
      <c r="BV601" s="179" t="str">
        <f t="array" ref="BV601">IF($F601&lt;&gt;"", XLOOKUP($F601,Productos!$A$2:$A1001,Productos!BO$2:BO1001,"")*$G601,"")</f>
        <v/>
      </c>
      <c r="BW601" s="179" t="str">
        <f t="array" ref="BW601">IF($F601&lt;&gt;"",XLOOKUP($F601,Productos!$A:$A,Productos!BP:BP,"Revisar"),"")</f>
        <v/>
      </c>
      <c r="BX601" s="179" t="str">
        <f t="array" ref="BX601">IF($F601&lt;&gt;"", XLOOKUP($F601,Productos!$A$2:$A1001,Productos!BQ$2:BQ1001,"")*$G601,"")</f>
        <v/>
      </c>
      <c r="BY601" s="179" t="str">
        <f t="array" ref="BY601">IF($F601&lt;&gt;"",XLOOKUP($F601,Productos!$A:$A,Productos!BR:BR,"Revisar"),"")</f>
        <v/>
      </c>
      <c r="BZ601" s="179" t="str">
        <f t="array" ref="BZ601">IF($F601&lt;&gt;"", XLOOKUP($F601,Productos!$A$2:$A1001,Productos!BS$2:BS1001,"")*$G601,"")</f>
        <v/>
      </c>
    </row>
    <row r="602">
      <c r="A602" s="188"/>
      <c r="B602" s="189"/>
      <c r="C602" s="190"/>
      <c r="D602" s="190"/>
      <c r="E602" s="191"/>
      <c r="F602" s="186"/>
      <c r="G602" s="192"/>
      <c r="H602" s="9"/>
      <c r="I602" s="179" t="str">
        <f t="array" ref="I602">IF($F602&lt;&gt;"",XLOOKUP($F602,Productos!$A:$A,Productos!B:B,"Revisar"),"")</f>
        <v/>
      </c>
      <c r="J602" s="179" t="str">
        <f t="array" ref="J602">IF($F602&lt;&gt;"", XLOOKUP($F602,Productos!$A$2:$A1001,Productos!C$2:C1001,"")*$G602,"")</f>
        <v/>
      </c>
      <c r="K602" s="179" t="str">
        <f t="array" ref="K602">IF($F602&lt;&gt;"",XLOOKUP($F602,Productos!$A:$A,Productos!D:D,"Revisar"),"")</f>
        <v/>
      </c>
      <c r="L602" s="179" t="str">
        <f t="array" ref="L602">IF($F602&lt;&gt;"", XLOOKUP($F602,Productos!$A$2:$A1001,Productos!E$2:E1001,"")*$G602,"")</f>
        <v/>
      </c>
      <c r="M602" s="179" t="str">
        <f t="array" ref="M602">IF($F602&lt;&gt;"",XLOOKUP($F602,Productos!$A:$A,Productos!F:F,"Revisar"),"")</f>
        <v/>
      </c>
      <c r="N602" s="179" t="str">
        <f t="array" ref="N602">IF($F602&lt;&gt;"", XLOOKUP($F602,Productos!$A$2:$A1001,Productos!G$2:G1001,"")*$G602,"")</f>
        <v/>
      </c>
      <c r="O602" s="179" t="str">
        <f t="array" ref="O602">IF($F602&lt;&gt;"",XLOOKUP($F602,Productos!$A:$A,Productos!H:H,"Revisar"),"")</f>
        <v/>
      </c>
      <c r="P602" s="179" t="str">
        <f t="array" ref="P602">IF($F602&lt;&gt;"", XLOOKUP($F602,Productos!$A$2:$A1001,Productos!I$2:I1001,"")*$G602,"")</f>
        <v/>
      </c>
      <c r="Q602" s="179" t="str">
        <f t="array" ref="Q602">IF($F602&lt;&gt;"",XLOOKUP($F602,Productos!$A:$A,Productos!J:J,"Revisar"),"")</f>
        <v/>
      </c>
      <c r="R602" s="179" t="str">
        <f t="array" ref="R602">IF($F602&lt;&gt;"", XLOOKUP($F602,Productos!$A$2:$A1001,Productos!K$2:K1001,"")*$G602,"")</f>
        <v/>
      </c>
      <c r="S602" s="179" t="str">
        <f t="array" ref="S602">IF($F602&lt;&gt;"",XLOOKUP($F602,Productos!$A:$A,Productos!L:L,"Revisar"),"")</f>
        <v/>
      </c>
      <c r="T602" s="179" t="str">
        <f t="array" ref="T602">IF($F602&lt;&gt;"", XLOOKUP($F602,Productos!$A$2:$A1001,Productos!M$2:M1001,"")*$G602,"")</f>
        <v/>
      </c>
      <c r="U602" s="179" t="str">
        <f t="array" ref="U602">IF($F602&lt;&gt;"",XLOOKUP($F602,Productos!$A:$A,Productos!N:N,"Revisar"),"")</f>
        <v/>
      </c>
      <c r="V602" s="179" t="str">
        <f t="array" ref="V602">IF($F602&lt;&gt;"", XLOOKUP($F602,Productos!$A$2:$A1001,Productos!O$2:O1001,"")*$G602,"")</f>
        <v/>
      </c>
      <c r="W602" s="179" t="str">
        <f t="array" ref="W602">IF($F602&lt;&gt;"",XLOOKUP($F602,Productos!$A:$A,Productos!P:P,"Revisar"),"")</f>
        <v/>
      </c>
      <c r="X602" s="179" t="str">
        <f t="array" ref="X602">IF($F602&lt;&gt;"", XLOOKUP($F602,Productos!$A$2:$A1001,Productos!Q$2:Q1001,"")*$G602,"")</f>
        <v/>
      </c>
      <c r="Y602" s="179" t="str">
        <f t="array" ref="Y602">IF($F602&lt;&gt;"",XLOOKUP($F602,Productos!$A:$A,Productos!R:R,"Revisar"),"")</f>
        <v/>
      </c>
      <c r="Z602" s="179" t="str">
        <f t="array" ref="Z602">IF($F602&lt;&gt;"", XLOOKUP($F602,Productos!$A$2:$A1001,Productos!S$2:S1001,"")*$G602,"")</f>
        <v/>
      </c>
      <c r="AA602" s="179" t="str">
        <f t="array" ref="AA602">IF($F602&lt;&gt;"",XLOOKUP($F602,Productos!$A:$A,Productos!T:T,"Revisar"),"")</f>
        <v/>
      </c>
      <c r="AB602" s="179" t="str">
        <f t="array" ref="AB602">IF($F602&lt;&gt;"", XLOOKUP($F602,Productos!$A$2:$A1001,Productos!U$2:U1001,"")*$G602,"")</f>
        <v/>
      </c>
      <c r="AC602" s="179" t="str">
        <f t="array" ref="AC602">IF($F602&lt;&gt;"",XLOOKUP($F602,Productos!$A:$A,Productos!V:V,"Revisar"),"")</f>
        <v/>
      </c>
      <c r="AD602" s="179" t="str">
        <f t="array" ref="AD602">IF($F602&lt;&gt;"", XLOOKUP($F602,Productos!$A$2:$A1001,Productos!W$2:W1001,"")*$G602,"")</f>
        <v/>
      </c>
      <c r="AE602" s="179" t="str">
        <f t="array" ref="AE602">IF($F602&lt;&gt;"",XLOOKUP($F602,Productos!$A:$A,Productos!X:X,"Revisar"),"")</f>
        <v/>
      </c>
      <c r="AF602" s="179" t="str">
        <f t="array" ref="AF602">IF($F602&lt;&gt;"", XLOOKUP($F602,Productos!$A$2:$A1001,Productos!Y$2:Y1001,"")*$G602,"")</f>
        <v/>
      </c>
      <c r="AG602" s="179" t="str">
        <f t="array" ref="AG602">IF($F602&lt;&gt;"",XLOOKUP($F602,Productos!$A:$A,Productos!Z:Z,"Revisar"),"")</f>
        <v/>
      </c>
      <c r="AH602" s="179" t="str">
        <f t="array" ref="AH602">IF($F602&lt;&gt;"", XLOOKUP($F602,Productos!$A$2:$A1001,Productos!AA$2:AA1001,"")*$G602,"")</f>
        <v/>
      </c>
      <c r="AI602" s="179" t="str">
        <f t="array" ref="AI602">IF($F602&lt;&gt;"",XLOOKUP($F602,Productos!$A:$A,Productos!AB:AB,"Revisar"),"")</f>
        <v/>
      </c>
      <c r="AJ602" s="179" t="str">
        <f t="array" ref="AJ602">IF($F602&lt;&gt;"", XLOOKUP($F602,Productos!$A$2:$A1001,Productos!AC$2:AC1001,"")*$G602,"")</f>
        <v/>
      </c>
      <c r="AK602" s="179" t="str">
        <f t="array" ref="AK602">IF($F602&lt;&gt;"",XLOOKUP($F602,Productos!$A:$A,Productos!AD:AD,"Revisar"),"")</f>
        <v/>
      </c>
      <c r="AL602" s="179" t="str">
        <f t="array" ref="AL602">IF($F602&lt;&gt;"", XLOOKUP($F602,Productos!$A$2:$A1001,Productos!AE$2:AE1001,"")*$G602,"")</f>
        <v/>
      </c>
      <c r="AM602" s="179" t="str">
        <f t="array" ref="AM602">IF($F602&lt;&gt;"",XLOOKUP($F602,Productos!$A:$A,Productos!AF:AF,"Revisar"),"")</f>
        <v/>
      </c>
      <c r="AN602" s="179" t="str">
        <f t="array" ref="AN602">IF($F602&lt;&gt;"", XLOOKUP($F602,Productos!$A$2:$A1001,Productos!AG$2:AG1001,"")*$G602,"")</f>
        <v/>
      </c>
      <c r="AO602" s="179" t="str">
        <f t="array" ref="AO602">IF($F602&lt;&gt;"",XLOOKUP($F602,Productos!$A:$A,Productos!AH:AH,"Revisar"),"")</f>
        <v/>
      </c>
      <c r="AP602" s="179" t="str">
        <f t="array" ref="AP602">IF($F602&lt;&gt;"", XLOOKUP($F602,Productos!$A$2:$A1001,Productos!AI$2:AI1001,"")*$G602,"")</f>
        <v/>
      </c>
      <c r="AQ602" s="179" t="str">
        <f t="array" ref="AQ602">IF($F602&lt;&gt;"",XLOOKUP($F602,Productos!$A:$A,Productos!AJ:AJ,"Revisar"),"")</f>
        <v/>
      </c>
      <c r="AR602" s="179" t="str">
        <f t="array" ref="AR602">IF($F602&lt;&gt;"", XLOOKUP($F602,Productos!$A$2:$A1001,Productos!AK$2:AK1001,"")*$G602,"")</f>
        <v/>
      </c>
      <c r="AS602" s="179" t="str">
        <f t="array" ref="AS602">IF($F602&lt;&gt;"",XLOOKUP($F602,Productos!$A:$A,Productos!AL:AL,"Revisar"),"")</f>
        <v/>
      </c>
      <c r="AT602" s="179" t="str">
        <f t="array" ref="AT602">IF($F602&lt;&gt;"", XLOOKUP($F602,Productos!$A$2:$A1001,Productos!AM$2:AM1001,"")*$G602,"")</f>
        <v/>
      </c>
      <c r="AU602" s="179" t="str">
        <f t="array" ref="AU602">IF($F602&lt;&gt;"",XLOOKUP($F602,Productos!$A:$A,Productos!AN:AN,"Revisar"),"")</f>
        <v/>
      </c>
      <c r="AV602" s="179" t="str">
        <f t="array" ref="AV602">IF($F602&lt;&gt;"", XLOOKUP($F602,Productos!$A$2:$A1001,Productos!AO$2:AO1001,"")*$G602,"")</f>
        <v/>
      </c>
      <c r="AW602" s="179" t="str">
        <f t="array" ref="AW602">IF($F602&lt;&gt;"",XLOOKUP($F602,Productos!$A:$A,Productos!AP:AP,"Revisar"),"")</f>
        <v/>
      </c>
      <c r="AX602" s="179" t="str">
        <f t="array" ref="AX602">IF($F602&lt;&gt;"", XLOOKUP($F602,Productos!$A$2:$A1001,Productos!AQ$2:AQ1001,"")*$G602,"")</f>
        <v/>
      </c>
      <c r="AY602" s="179" t="str">
        <f t="array" ref="AY602">IF($F602&lt;&gt;"",XLOOKUP($F602,Productos!$A:$A,Productos!AR:AR,"Revisar"),"")</f>
        <v/>
      </c>
      <c r="AZ602" s="179" t="str">
        <f t="array" ref="AZ602">IF($F602&lt;&gt;"", XLOOKUP($F602,Productos!$A$2:$A1001,Productos!AS$2:AS1001,"")*$G602,"")</f>
        <v/>
      </c>
      <c r="BA602" s="179" t="str">
        <f t="array" ref="BA602">IF($F602&lt;&gt;"",XLOOKUP($F602,Productos!$A:$A,Productos!AT:AT,"Revisar"),"")</f>
        <v/>
      </c>
      <c r="BB602" s="179" t="str">
        <f t="array" ref="BB602">IF($F602&lt;&gt;"", XLOOKUP($F602,Productos!$A$2:$A1001,Productos!AU$2:AU1001,"")*$G602,"")</f>
        <v/>
      </c>
      <c r="BC602" s="179" t="str">
        <f t="array" ref="BC602">IF($F602&lt;&gt;"",XLOOKUP($F602,Productos!$A:$A,Productos!AV:AV,"Revisar"),"")</f>
        <v/>
      </c>
      <c r="BD602" s="179" t="str">
        <f t="array" ref="BD602">IF($F602&lt;&gt;"", XLOOKUP($F602,Productos!$A$2:$A1001,Productos!AW$2:AW1001,"")*$G602,"")</f>
        <v/>
      </c>
      <c r="BE602" s="179" t="str">
        <f t="array" ref="BE602">IF($F602&lt;&gt;"",XLOOKUP($F602,Productos!$A:$A,Productos!AX:AX,"Revisar"),"")</f>
        <v/>
      </c>
      <c r="BF602" s="179" t="str">
        <f t="array" ref="BF602">IF($F602&lt;&gt;"", XLOOKUP($F602,Productos!$A$2:$A1001,Productos!AY$2:AY1001,"")*$G602,"")</f>
        <v/>
      </c>
      <c r="BG602" s="179" t="str">
        <f t="array" ref="BG602">IF($F602&lt;&gt;"",XLOOKUP($F602,Productos!$A:$A,Productos!AZ:AZ,"Revisar"),"")</f>
        <v/>
      </c>
      <c r="BH602" s="179" t="str">
        <f t="array" ref="BH602">IF($F602&lt;&gt;"", XLOOKUP($F602,Productos!$A$2:$A1001,Productos!BA$2:BA1001,"")*$G602,"")</f>
        <v/>
      </c>
      <c r="BI602" s="179" t="str">
        <f t="array" ref="BI602">IF($F602&lt;&gt;"",XLOOKUP($F602,Productos!$A:$A,Productos!BB:BB,"Revisar"),"")</f>
        <v/>
      </c>
      <c r="BJ602" s="179" t="str">
        <f t="array" ref="BJ602">IF($F602&lt;&gt;"", XLOOKUP($F602,Productos!$A$2:$A1001,Productos!BC$2:BC1001,"")*$G602,"")</f>
        <v/>
      </c>
      <c r="BK602" s="179" t="str">
        <f t="array" ref="BK602">IF($F602&lt;&gt;"",XLOOKUP($F602,Productos!$A:$A,Productos!BD:BD,"Revisar"),"")</f>
        <v/>
      </c>
      <c r="BL602" s="179" t="str">
        <f t="array" ref="BL602">IF($F602&lt;&gt;"", XLOOKUP($F602,Productos!$A$2:$A1001,Productos!BE$2:BE1001,"")*$G602,"")</f>
        <v/>
      </c>
      <c r="BM602" s="179" t="str">
        <f t="array" ref="BM602">IF($F602&lt;&gt;"",XLOOKUP($F602,Productos!$A:$A,Productos!BF:BF,"Revisar"),"")</f>
        <v/>
      </c>
      <c r="BN602" s="179" t="str">
        <f t="array" ref="BN602">IF($F602&lt;&gt;"", XLOOKUP($F602,Productos!$A$2:$A1001,Productos!BG$2:BG1001,"")*$G602,"")</f>
        <v/>
      </c>
      <c r="BO602" s="179" t="str">
        <f t="array" ref="BO602">IF($F602&lt;&gt;"",XLOOKUP($F602,Productos!$A:$A,Productos!BH:BH,"Revisar"),"")</f>
        <v/>
      </c>
      <c r="BP602" s="179" t="str">
        <f t="array" ref="BP602">IF($F602&lt;&gt;"", XLOOKUP($F602,Productos!$A$2:$A1001,Productos!BI$2:BI1001,"")*$G602,"")</f>
        <v/>
      </c>
      <c r="BQ602" s="179" t="str">
        <f t="array" ref="BQ602">IF($F602&lt;&gt;"",XLOOKUP($F602,Productos!$A:$A,Productos!BJ:BJ,"Revisar"),"")</f>
        <v/>
      </c>
      <c r="BR602" s="179" t="str">
        <f t="array" ref="BR602">IF($F602&lt;&gt;"", XLOOKUP($F602,Productos!$A$2:$A1001,Productos!BK$2:BK1001,"")*$G602,"")</f>
        <v/>
      </c>
      <c r="BS602" s="179" t="str">
        <f t="array" ref="BS602">IF($F602&lt;&gt;"",XLOOKUP($F602,Productos!$A:$A,Productos!BL:BL,"Revisar"),"")</f>
        <v/>
      </c>
      <c r="BT602" s="179" t="str">
        <f t="array" ref="BT602">IF($F602&lt;&gt;"", XLOOKUP($F602,Productos!$A$2:$A1001,Productos!BM$2:BM1001,"")*$G602,"")</f>
        <v/>
      </c>
      <c r="BU602" s="179" t="str">
        <f t="array" ref="BU602">IF($F602&lt;&gt;"",XLOOKUP($F602,Productos!$A:$A,Productos!BN:BN,"Revisar"),"")</f>
        <v/>
      </c>
      <c r="BV602" s="179" t="str">
        <f t="array" ref="BV602">IF($F602&lt;&gt;"", XLOOKUP($F602,Productos!$A$2:$A1001,Productos!BO$2:BO1001,"")*$G602,"")</f>
        <v/>
      </c>
      <c r="BW602" s="179" t="str">
        <f t="array" ref="BW602">IF($F602&lt;&gt;"",XLOOKUP($F602,Productos!$A:$A,Productos!BP:BP,"Revisar"),"")</f>
        <v/>
      </c>
      <c r="BX602" s="179" t="str">
        <f t="array" ref="BX602">IF($F602&lt;&gt;"", XLOOKUP($F602,Productos!$A$2:$A1001,Productos!BQ$2:BQ1001,"")*$G602,"")</f>
        <v/>
      </c>
      <c r="BY602" s="179" t="str">
        <f t="array" ref="BY602">IF($F602&lt;&gt;"",XLOOKUP($F602,Productos!$A:$A,Productos!BR:BR,"Revisar"),"")</f>
        <v/>
      </c>
      <c r="BZ602" s="179" t="str">
        <f t="array" ref="BZ602">IF($F602&lt;&gt;"", XLOOKUP($F602,Productos!$A$2:$A1001,Productos!BS$2:BS1001,"")*$G602,"")</f>
        <v/>
      </c>
    </row>
    <row r="603">
      <c r="A603" s="188"/>
      <c r="B603" s="189"/>
      <c r="C603" s="190"/>
      <c r="D603" s="190"/>
      <c r="E603" s="191"/>
      <c r="F603" s="186"/>
      <c r="G603" s="192"/>
      <c r="H603" s="9"/>
      <c r="I603" s="179" t="str">
        <f t="array" ref="I603">IF($F603&lt;&gt;"",XLOOKUP($F603,Productos!$A:$A,Productos!B:B,"Revisar"),"")</f>
        <v/>
      </c>
      <c r="J603" s="179" t="str">
        <f t="array" ref="J603">IF($F603&lt;&gt;"", XLOOKUP($F603,Productos!$A$2:$A1001,Productos!C$2:C1001,"")*$G603,"")</f>
        <v/>
      </c>
      <c r="K603" s="179" t="str">
        <f t="array" ref="K603">IF($F603&lt;&gt;"",XLOOKUP($F603,Productos!$A:$A,Productos!D:D,"Revisar"),"")</f>
        <v/>
      </c>
      <c r="L603" s="179" t="str">
        <f t="array" ref="L603">IF($F603&lt;&gt;"", XLOOKUP($F603,Productos!$A$2:$A1001,Productos!E$2:E1001,"")*$G603,"")</f>
        <v/>
      </c>
      <c r="M603" s="179" t="str">
        <f t="array" ref="M603">IF($F603&lt;&gt;"",XLOOKUP($F603,Productos!$A:$A,Productos!F:F,"Revisar"),"")</f>
        <v/>
      </c>
      <c r="N603" s="179" t="str">
        <f t="array" ref="N603">IF($F603&lt;&gt;"", XLOOKUP($F603,Productos!$A$2:$A1001,Productos!G$2:G1001,"")*$G603,"")</f>
        <v/>
      </c>
      <c r="O603" s="179" t="str">
        <f t="array" ref="O603">IF($F603&lt;&gt;"",XLOOKUP($F603,Productos!$A:$A,Productos!H:H,"Revisar"),"")</f>
        <v/>
      </c>
      <c r="P603" s="179" t="str">
        <f t="array" ref="P603">IF($F603&lt;&gt;"", XLOOKUP($F603,Productos!$A$2:$A1001,Productos!I$2:I1001,"")*$G603,"")</f>
        <v/>
      </c>
      <c r="Q603" s="179" t="str">
        <f t="array" ref="Q603">IF($F603&lt;&gt;"",XLOOKUP($F603,Productos!$A:$A,Productos!J:J,"Revisar"),"")</f>
        <v/>
      </c>
      <c r="R603" s="179" t="str">
        <f t="array" ref="R603">IF($F603&lt;&gt;"", XLOOKUP($F603,Productos!$A$2:$A1001,Productos!K$2:K1001,"")*$G603,"")</f>
        <v/>
      </c>
      <c r="S603" s="179" t="str">
        <f t="array" ref="S603">IF($F603&lt;&gt;"",XLOOKUP($F603,Productos!$A:$A,Productos!L:L,"Revisar"),"")</f>
        <v/>
      </c>
      <c r="T603" s="179" t="str">
        <f t="array" ref="T603">IF($F603&lt;&gt;"", XLOOKUP($F603,Productos!$A$2:$A1001,Productos!M$2:M1001,"")*$G603,"")</f>
        <v/>
      </c>
      <c r="U603" s="179" t="str">
        <f t="array" ref="U603">IF($F603&lt;&gt;"",XLOOKUP($F603,Productos!$A:$A,Productos!N:N,"Revisar"),"")</f>
        <v/>
      </c>
      <c r="V603" s="179" t="str">
        <f t="array" ref="V603">IF($F603&lt;&gt;"", XLOOKUP($F603,Productos!$A$2:$A1001,Productos!O$2:O1001,"")*$G603,"")</f>
        <v/>
      </c>
      <c r="W603" s="179" t="str">
        <f t="array" ref="W603">IF($F603&lt;&gt;"",XLOOKUP($F603,Productos!$A:$A,Productos!P:P,"Revisar"),"")</f>
        <v/>
      </c>
      <c r="X603" s="179" t="str">
        <f t="array" ref="X603">IF($F603&lt;&gt;"", XLOOKUP($F603,Productos!$A$2:$A1001,Productos!Q$2:Q1001,"")*$G603,"")</f>
        <v/>
      </c>
      <c r="Y603" s="179" t="str">
        <f t="array" ref="Y603">IF($F603&lt;&gt;"",XLOOKUP($F603,Productos!$A:$A,Productos!R:R,"Revisar"),"")</f>
        <v/>
      </c>
      <c r="Z603" s="179" t="str">
        <f t="array" ref="Z603">IF($F603&lt;&gt;"", XLOOKUP($F603,Productos!$A$2:$A1001,Productos!S$2:S1001,"")*$G603,"")</f>
        <v/>
      </c>
      <c r="AA603" s="179" t="str">
        <f t="array" ref="AA603">IF($F603&lt;&gt;"",XLOOKUP($F603,Productos!$A:$A,Productos!T:T,"Revisar"),"")</f>
        <v/>
      </c>
      <c r="AB603" s="179" t="str">
        <f t="array" ref="AB603">IF($F603&lt;&gt;"", XLOOKUP($F603,Productos!$A$2:$A1001,Productos!U$2:U1001,"")*$G603,"")</f>
        <v/>
      </c>
      <c r="AC603" s="179" t="str">
        <f t="array" ref="AC603">IF($F603&lt;&gt;"",XLOOKUP($F603,Productos!$A:$A,Productos!V:V,"Revisar"),"")</f>
        <v/>
      </c>
      <c r="AD603" s="179" t="str">
        <f t="array" ref="AD603">IF($F603&lt;&gt;"", XLOOKUP($F603,Productos!$A$2:$A1001,Productos!W$2:W1001,"")*$G603,"")</f>
        <v/>
      </c>
      <c r="AE603" s="179" t="str">
        <f t="array" ref="AE603">IF($F603&lt;&gt;"",XLOOKUP($F603,Productos!$A:$A,Productos!X:X,"Revisar"),"")</f>
        <v/>
      </c>
      <c r="AF603" s="179" t="str">
        <f t="array" ref="AF603">IF($F603&lt;&gt;"", XLOOKUP($F603,Productos!$A$2:$A1001,Productos!Y$2:Y1001,"")*$G603,"")</f>
        <v/>
      </c>
      <c r="AG603" s="179" t="str">
        <f t="array" ref="AG603">IF($F603&lt;&gt;"",XLOOKUP($F603,Productos!$A:$A,Productos!Z:Z,"Revisar"),"")</f>
        <v/>
      </c>
      <c r="AH603" s="179" t="str">
        <f t="array" ref="AH603">IF($F603&lt;&gt;"", XLOOKUP($F603,Productos!$A$2:$A1001,Productos!AA$2:AA1001,"")*$G603,"")</f>
        <v/>
      </c>
      <c r="AI603" s="179" t="str">
        <f t="array" ref="AI603">IF($F603&lt;&gt;"",XLOOKUP($F603,Productos!$A:$A,Productos!AB:AB,"Revisar"),"")</f>
        <v/>
      </c>
      <c r="AJ603" s="179" t="str">
        <f t="array" ref="AJ603">IF($F603&lt;&gt;"", XLOOKUP($F603,Productos!$A$2:$A1001,Productos!AC$2:AC1001,"")*$G603,"")</f>
        <v/>
      </c>
      <c r="AK603" s="179" t="str">
        <f t="array" ref="AK603">IF($F603&lt;&gt;"",XLOOKUP($F603,Productos!$A:$A,Productos!AD:AD,"Revisar"),"")</f>
        <v/>
      </c>
      <c r="AL603" s="179" t="str">
        <f t="array" ref="AL603">IF($F603&lt;&gt;"", XLOOKUP($F603,Productos!$A$2:$A1001,Productos!AE$2:AE1001,"")*$G603,"")</f>
        <v/>
      </c>
      <c r="AM603" s="179" t="str">
        <f t="array" ref="AM603">IF($F603&lt;&gt;"",XLOOKUP($F603,Productos!$A:$A,Productos!AF:AF,"Revisar"),"")</f>
        <v/>
      </c>
      <c r="AN603" s="179" t="str">
        <f t="array" ref="AN603">IF($F603&lt;&gt;"", XLOOKUP($F603,Productos!$A$2:$A1001,Productos!AG$2:AG1001,"")*$G603,"")</f>
        <v/>
      </c>
      <c r="AO603" s="179" t="str">
        <f t="array" ref="AO603">IF($F603&lt;&gt;"",XLOOKUP($F603,Productos!$A:$A,Productos!AH:AH,"Revisar"),"")</f>
        <v/>
      </c>
      <c r="AP603" s="179" t="str">
        <f t="array" ref="AP603">IF($F603&lt;&gt;"", XLOOKUP($F603,Productos!$A$2:$A1001,Productos!AI$2:AI1001,"")*$G603,"")</f>
        <v/>
      </c>
      <c r="AQ603" s="179" t="str">
        <f t="array" ref="AQ603">IF($F603&lt;&gt;"",XLOOKUP($F603,Productos!$A:$A,Productos!AJ:AJ,"Revisar"),"")</f>
        <v/>
      </c>
      <c r="AR603" s="179" t="str">
        <f t="array" ref="AR603">IF($F603&lt;&gt;"", XLOOKUP($F603,Productos!$A$2:$A1001,Productos!AK$2:AK1001,"")*$G603,"")</f>
        <v/>
      </c>
      <c r="AS603" s="179" t="str">
        <f t="array" ref="AS603">IF($F603&lt;&gt;"",XLOOKUP($F603,Productos!$A:$A,Productos!AL:AL,"Revisar"),"")</f>
        <v/>
      </c>
      <c r="AT603" s="179" t="str">
        <f t="array" ref="AT603">IF($F603&lt;&gt;"", XLOOKUP($F603,Productos!$A$2:$A1001,Productos!AM$2:AM1001,"")*$G603,"")</f>
        <v/>
      </c>
      <c r="AU603" s="179" t="str">
        <f t="array" ref="AU603">IF($F603&lt;&gt;"",XLOOKUP($F603,Productos!$A:$A,Productos!AN:AN,"Revisar"),"")</f>
        <v/>
      </c>
      <c r="AV603" s="179" t="str">
        <f t="array" ref="AV603">IF($F603&lt;&gt;"", XLOOKUP($F603,Productos!$A$2:$A1001,Productos!AO$2:AO1001,"")*$G603,"")</f>
        <v/>
      </c>
      <c r="AW603" s="179" t="str">
        <f t="array" ref="AW603">IF($F603&lt;&gt;"",XLOOKUP($F603,Productos!$A:$A,Productos!AP:AP,"Revisar"),"")</f>
        <v/>
      </c>
      <c r="AX603" s="179" t="str">
        <f t="array" ref="AX603">IF($F603&lt;&gt;"", XLOOKUP($F603,Productos!$A$2:$A1001,Productos!AQ$2:AQ1001,"")*$G603,"")</f>
        <v/>
      </c>
      <c r="AY603" s="179" t="str">
        <f t="array" ref="AY603">IF($F603&lt;&gt;"",XLOOKUP($F603,Productos!$A:$A,Productos!AR:AR,"Revisar"),"")</f>
        <v/>
      </c>
      <c r="AZ603" s="179" t="str">
        <f t="array" ref="AZ603">IF($F603&lt;&gt;"", XLOOKUP($F603,Productos!$A$2:$A1001,Productos!AS$2:AS1001,"")*$G603,"")</f>
        <v/>
      </c>
      <c r="BA603" s="179" t="str">
        <f t="array" ref="BA603">IF($F603&lt;&gt;"",XLOOKUP($F603,Productos!$A:$A,Productos!AT:AT,"Revisar"),"")</f>
        <v/>
      </c>
      <c r="BB603" s="179" t="str">
        <f t="array" ref="BB603">IF($F603&lt;&gt;"", XLOOKUP($F603,Productos!$A$2:$A1001,Productos!AU$2:AU1001,"")*$G603,"")</f>
        <v/>
      </c>
      <c r="BC603" s="179" t="str">
        <f t="array" ref="BC603">IF($F603&lt;&gt;"",XLOOKUP($F603,Productos!$A:$A,Productos!AV:AV,"Revisar"),"")</f>
        <v/>
      </c>
      <c r="BD603" s="179" t="str">
        <f t="array" ref="BD603">IF($F603&lt;&gt;"", XLOOKUP($F603,Productos!$A$2:$A1001,Productos!AW$2:AW1001,"")*$G603,"")</f>
        <v/>
      </c>
      <c r="BE603" s="179" t="str">
        <f t="array" ref="BE603">IF($F603&lt;&gt;"",XLOOKUP($F603,Productos!$A:$A,Productos!AX:AX,"Revisar"),"")</f>
        <v/>
      </c>
      <c r="BF603" s="179" t="str">
        <f t="array" ref="BF603">IF($F603&lt;&gt;"", XLOOKUP($F603,Productos!$A$2:$A1001,Productos!AY$2:AY1001,"")*$G603,"")</f>
        <v/>
      </c>
      <c r="BG603" s="179" t="str">
        <f t="array" ref="BG603">IF($F603&lt;&gt;"",XLOOKUP($F603,Productos!$A:$A,Productos!AZ:AZ,"Revisar"),"")</f>
        <v/>
      </c>
      <c r="BH603" s="179" t="str">
        <f t="array" ref="BH603">IF($F603&lt;&gt;"", XLOOKUP($F603,Productos!$A$2:$A1001,Productos!BA$2:BA1001,"")*$G603,"")</f>
        <v/>
      </c>
      <c r="BI603" s="179" t="str">
        <f t="array" ref="BI603">IF($F603&lt;&gt;"",XLOOKUP($F603,Productos!$A:$A,Productos!BB:BB,"Revisar"),"")</f>
        <v/>
      </c>
      <c r="BJ603" s="179" t="str">
        <f t="array" ref="BJ603">IF($F603&lt;&gt;"", XLOOKUP($F603,Productos!$A$2:$A1001,Productos!BC$2:BC1001,"")*$G603,"")</f>
        <v/>
      </c>
      <c r="BK603" s="179" t="str">
        <f t="array" ref="BK603">IF($F603&lt;&gt;"",XLOOKUP($F603,Productos!$A:$A,Productos!BD:BD,"Revisar"),"")</f>
        <v/>
      </c>
      <c r="BL603" s="179" t="str">
        <f t="array" ref="BL603">IF($F603&lt;&gt;"", XLOOKUP($F603,Productos!$A$2:$A1001,Productos!BE$2:BE1001,"")*$G603,"")</f>
        <v/>
      </c>
      <c r="BM603" s="179" t="str">
        <f t="array" ref="BM603">IF($F603&lt;&gt;"",XLOOKUP($F603,Productos!$A:$A,Productos!BF:BF,"Revisar"),"")</f>
        <v/>
      </c>
      <c r="BN603" s="179" t="str">
        <f t="array" ref="BN603">IF($F603&lt;&gt;"", XLOOKUP($F603,Productos!$A$2:$A1001,Productos!BG$2:BG1001,"")*$G603,"")</f>
        <v/>
      </c>
      <c r="BO603" s="179" t="str">
        <f t="array" ref="BO603">IF($F603&lt;&gt;"",XLOOKUP($F603,Productos!$A:$A,Productos!BH:BH,"Revisar"),"")</f>
        <v/>
      </c>
      <c r="BP603" s="179" t="str">
        <f t="array" ref="BP603">IF($F603&lt;&gt;"", XLOOKUP($F603,Productos!$A$2:$A1001,Productos!BI$2:BI1001,"")*$G603,"")</f>
        <v/>
      </c>
      <c r="BQ603" s="179" t="str">
        <f t="array" ref="BQ603">IF($F603&lt;&gt;"",XLOOKUP($F603,Productos!$A:$A,Productos!BJ:BJ,"Revisar"),"")</f>
        <v/>
      </c>
      <c r="BR603" s="179" t="str">
        <f t="array" ref="BR603">IF($F603&lt;&gt;"", XLOOKUP($F603,Productos!$A$2:$A1001,Productos!BK$2:BK1001,"")*$G603,"")</f>
        <v/>
      </c>
      <c r="BS603" s="179" t="str">
        <f t="array" ref="BS603">IF($F603&lt;&gt;"",XLOOKUP($F603,Productos!$A:$A,Productos!BL:BL,"Revisar"),"")</f>
        <v/>
      </c>
      <c r="BT603" s="179" t="str">
        <f t="array" ref="BT603">IF($F603&lt;&gt;"", XLOOKUP($F603,Productos!$A$2:$A1001,Productos!BM$2:BM1001,"")*$G603,"")</f>
        <v/>
      </c>
      <c r="BU603" s="179" t="str">
        <f t="array" ref="BU603">IF($F603&lt;&gt;"",XLOOKUP($F603,Productos!$A:$A,Productos!BN:BN,"Revisar"),"")</f>
        <v/>
      </c>
      <c r="BV603" s="179" t="str">
        <f t="array" ref="BV603">IF($F603&lt;&gt;"", XLOOKUP($F603,Productos!$A$2:$A1001,Productos!BO$2:BO1001,"")*$G603,"")</f>
        <v/>
      </c>
      <c r="BW603" s="179" t="str">
        <f t="array" ref="BW603">IF($F603&lt;&gt;"",XLOOKUP($F603,Productos!$A:$A,Productos!BP:BP,"Revisar"),"")</f>
        <v/>
      </c>
      <c r="BX603" s="179" t="str">
        <f t="array" ref="BX603">IF($F603&lt;&gt;"", XLOOKUP($F603,Productos!$A$2:$A1001,Productos!BQ$2:BQ1001,"")*$G603,"")</f>
        <v/>
      </c>
      <c r="BY603" s="179" t="str">
        <f t="array" ref="BY603">IF($F603&lt;&gt;"",XLOOKUP($F603,Productos!$A:$A,Productos!BR:BR,"Revisar"),"")</f>
        <v/>
      </c>
      <c r="BZ603" s="179" t="str">
        <f t="array" ref="BZ603">IF($F603&lt;&gt;"", XLOOKUP($F603,Productos!$A$2:$A1001,Productos!BS$2:BS1001,"")*$G603,"")</f>
        <v/>
      </c>
    </row>
    <row r="604">
      <c r="A604" s="188"/>
      <c r="B604" s="189"/>
      <c r="C604" s="190"/>
      <c r="D604" s="190"/>
      <c r="E604" s="191"/>
      <c r="F604" s="186"/>
      <c r="G604" s="192"/>
      <c r="H604" s="9"/>
      <c r="I604" s="179" t="str">
        <f t="array" ref="I604">IF($F604&lt;&gt;"",XLOOKUP($F604,Productos!$A:$A,Productos!B:B,"Revisar"),"")</f>
        <v/>
      </c>
      <c r="J604" s="179" t="str">
        <f t="array" ref="J604">IF($F604&lt;&gt;"", XLOOKUP($F604,Productos!$A$2:$A1001,Productos!C$2:C1001,"")*$G604,"")</f>
        <v/>
      </c>
      <c r="K604" s="179" t="str">
        <f t="array" ref="K604">IF($F604&lt;&gt;"",XLOOKUP($F604,Productos!$A:$A,Productos!D:D,"Revisar"),"")</f>
        <v/>
      </c>
      <c r="L604" s="179" t="str">
        <f t="array" ref="L604">IF($F604&lt;&gt;"", XLOOKUP($F604,Productos!$A$2:$A1001,Productos!E$2:E1001,"")*$G604,"")</f>
        <v/>
      </c>
      <c r="M604" s="179" t="str">
        <f t="array" ref="M604">IF($F604&lt;&gt;"",XLOOKUP($F604,Productos!$A:$A,Productos!F:F,"Revisar"),"")</f>
        <v/>
      </c>
      <c r="N604" s="179" t="str">
        <f t="array" ref="N604">IF($F604&lt;&gt;"", XLOOKUP($F604,Productos!$A$2:$A1001,Productos!G$2:G1001,"")*$G604,"")</f>
        <v/>
      </c>
      <c r="O604" s="179" t="str">
        <f t="array" ref="O604">IF($F604&lt;&gt;"",XLOOKUP($F604,Productos!$A:$A,Productos!H:H,"Revisar"),"")</f>
        <v/>
      </c>
      <c r="P604" s="179" t="str">
        <f t="array" ref="P604">IF($F604&lt;&gt;"", XLOOKUP($F604,Productos!$A$2:$A1001,Productos!I$2:I1001,"")*$G604,"")</f>
        <v/>
      </c>
      <c r="Q604" s="179" t="str">
        <f t="array" ref="Q604">IF($F604&lt;&gt;"",XLOOKUP($F604,Productos!$A:$A,Productos!J:J,"Revisar"),"")</f>
        <v/>
      </c>
      <c r="R604" s="179" t="str">
        <f t="array" ref="R604">IF($F604&lt;&gt;"", XLOOKUP($F604,Productos!$A$2:$A1001,Productos!K$2:K1001,"")*$G604,"")</f>
        <v/>
      </c>
      <c r="S604" s="179" t="str">
        <f t="array" ref="S604">IF($F604&lt;&gt;"",XLOOKUP($F604,Productos!$A:$A,Productos!L:L,"Revisar"),"")</f>
        <v/>
      </c>
      <c r="T604" s="179" t="str">
        <f t="array" ref="T604">IF($F604&lt;&gt;"", XLOOKUP($F604,Productos!$A$2:$A1001,Productos!M$2:M1001,"")*$G604,"")</f>
        <v/>
      </c>
      <c r="U604" s="179" t="str">
        <f t="array" ref="U604">IF($F604&lt;&gt;"",XLOOKUP($F604,Productos!$A:$A,Productos!N:N,"Revisar"),"")</f>
        <v/>
      </c>
      <c r="V604" s="179" t="str">
        <f t="array" ref="V604">IF($F604&lt;&gt;"", XLOOKUP($F604,Productos!$A$2:$A1001,Productos!O$2:O1001,"")*$G604,"")</f>
        <v/>
      </c>
      <c r="W604" s="179" t="str">
        <f t="array" ref="W604">IF($F604&lt;&gt;"",XLOOKUP($F604,Productos!$A:$A,Productos!P:P,"Revisar"),"")</f>
        <v/>
      </c>
      <c r="X604" s="179" t="str">
        <f t="array" ref="X604">IF($F604&lt;&gt;"", XLOOKUP($F604,Productos!$A$2:$A1001,Productos!Q$2:Q1001,"")*$G604,"")</f>
        <v/>
      </c>
      <c r="Y604" s="179" t="str">
        <f t="array" ref="Y604">IF($F604&lt;&gt;"",XLOOKUP($F604,Productos!$A:$A,Productos!R:R,"Revisar"),"")</f>
        <v/>
      </c>
      <c r="Z604" s="179" t="str">
        <f t="array" ref="Z604">IF($F604&lt;&gt;"", XLOOKUP($F604,Productos!$A$2:$A1001,Productos!S$2:S1001,"")*$G604,"")</f>
        <v/>
      </c>
      <c r="AA604" s="179" t="str">
        <f t="array" ref="AA604">IF($F604&lt;&gt;"",XLOOKUP($F604,Productos!$A:$A,Productos!T:T,"Revisar"),"")</f>
        <v/>
      </c>
      <c r="AB604" s="179" t="str">
        <f t="array" ref="AB604">IF($F604&lt;&gt;"", XLOOKUP($F604,Productos!$A$2:$A1001,Productos!U$2:U1001,"")*$G604,"")</f>
        <v/>
      </c>
      <c r="AC604" s="179" t="str">
        <f t="array" ref="AC604">IF($F604&lt;&gt;"",XLOOKUP($F604,Productos!$A:$A,Productos!V:V,"Revisar"),"")</f>
        <v/>
      </c>
      <c r="AD604" s="179" t="str">
        <f t="array" ref="AD604">IF($F604&lt;&gt;"", XLOOKUP($F604,Productos!$A$2:$A1001,Productos!W$2:W1001,"")*$G604,"")</f>
        <v/>
      </c>
      <c r="AE604" s="179" t="str">
        <f t="array" ref="AE604">IF($F604&lt;&gt;"",XLOOKUP($F604,Productos!$A:$A,Productos!X:X,"Revisar"),"")</f>
        <v/>
      </c>
      <c r="AF604" s="179" t="str">
        <f t="array" ref="AF604">IF($F604&lt;&gt;"", XLOOKUP($F604,Productos!$A$2:$A1001,Productos!Y$2:Y1001,"")*$G604,"")</f>
        <v/>
      </c>
      <c r="AG604" s="179" t="str">
        <f t="array" ref="AG604">IF($F604&lt;&gt;"",XLOOKUP($F604,Productos!$A:$A,Productos!Z:Z,"Revisar"),"")</f>
        <v/>
      </c>
      <c r="AH604" s="179" t="str">
        <f t="array" ref="AH604">IF($F604&lt;&gt;"", XLOOKUP($F604,Productos!$A$2:$A1001,Productos!AA$2:AA1001,"")*$G604,"")</f>
        <v/>
      </c>
      <c r="AI604" s="179" t="str">
        <f t="array" ref="AI604">IF($F604&lt;&gt;"",XLOOKUP($F604,Productos!$A:$A,Productos!AB:AB,"Revisar"),"")</f>
        <v/>
      </c>
      <c r="AJ604" s="179" t="str">
        <f t="array" ref="AJ604">IF($F604&lt;&gt;"", XLOOKUP($F604,Productos!$A$2:$A1001,Productos!AC$2:AC1001,"")*$G604,"")</f>
        <v/>
      </c>
      <c r="AK604" s="179" t="str">
        <f t="array" ref="AK604">IF($F604&lt;&gt;"",XLOOKUP($F604,Productos!$A:$A,Productos!AD:AD,"Revisar"),"")</f>
        <v/>
      </c>
      <c r="AL604" s="179" t="str">
        <f t="array" ref="AL604">IF($F604&lt;&gt;"", XLOOKUP($F604,Productos!$A$2:$A1001,Productos!AE$2:AE1001,"")*$G604,"")</f>
        <v/>
      </c>
      <c r="AM604" s="179" t="str">
        <f t="array" ref="AM604">IF($F604&lt;&gt;"",XLOOKUP($F604,Productos!$A:$A,Productos!AF:AF,"Revisar"),"")</f>
        <v/>
      </c>
      <c r="AN604" s="179" t="str">
        <f t="array" ref="AN604">IF($F604&lt;&gt;"", XLOOKUP($F604,Productos!$A$2:$A1001,Productos!AG$2:AG1001,"")*$G604,"")</f>
        <v/>
      </c>
      <c r="AO604" s="179" t="str">
        <f t="array" ref="AO604">IF($F604&lt;&gt;"",XLOOKUP($F604,Productos!$A:$A,Productos!AH:AH,"Revisar"),"")</f>
        <v/>
      </c>
      <c r="AP604" s="179" t="str">
        <f t="array" ref="AP604">IF($F604&lt;&gt;"", XLOOKUP($F604,Productos!$A$2:$A1001,Productos!AI$2:AI1001,"")*$G604,"")</f>
        <v/>
      </c>
      <c r="AQ604" s="179" t="str">
        <f t="array" ref="AQ604">IF($F604&lt;&gt;"",XLOOKUP($F604,Productos!$A:$A,Productos!AJ:AJ,"Revisar"),"")</f>
        <v/>
      </c>
      <c r="AR604" s="179" t="str">
        <f t="array" ref="AR604">IF($F604&lt;&gt;"", XLOOKUP($F604,Productos!$A$2:$A1001,Productos!AK$2:AK1001,"")*$G604,"")</f>
        <v/>
      </c>
      <c r="AS604" s="179" t="str">
        <f t="array" ref="AS604">IF($F604&lt;&gt;"",XLOOKUP($F604,Productos!$A:$A,Productos!AL:AL,"Revisar"),"")</f>
        <v/>
      </c>
      <c r="AT604" s="179" t="str">
        <f t="array" ref="AT604">IF($F604&lt;&gt;"", XLOOKUP($F604,Productos!$A$2:$A1001,Productos!AM$2:AM1001,"")*$G604,"")</f>
        <v/>
      </c>
      <c r="AU604" s="179" t="str">
        <f t="array" ref="AU604">IF($F604&lt;&gt;"",XLOOKUP($F604,Productos!$A:$A,Productos!AN:AN,"Revisar"),"")</f>
        <v/>
      </c>
      <c r="AV604" s="179" t="str">
        <f t="array" ref="AV604">IF($F604&lt;&gt;"", XLOOKUP($F604,Productos!$A$2:$A1001,Productos!AO$2:AO1001,"")*$G604,"")</f>
        <v/>
      </c>
      <c r="AW604" s="179" t="str">
        <f t="array" ref="AW604">IF($F604&lt;&gt;"",XLOOKUP($F604,Productos!$A:$A,Productos!AP:AP,"Revisar"),"")</f>
        <v/>
      </c>
      <c r="AX604" s="179" t="str">
        <f t="array" ref="AX604">IF($F604&lt;&gt;"", XLOOKUP($F604,Productos!$A$2:$A1001,Productos!AQ$2:AQ1001,"")*$G604,"")</f>
        <v/>
      </c>
      <c r="AY604" s="179" t="str">
        <f t="array" ref="AY604">IF($F604&lt;&gt;"",XLOOKUP($F604,Productos!$A:$A,Productos!AR:AR,"Revisar"),"")</f>
        <v/>
      </c>
      <c r="AZ604" s="179" t="str">
        <f t="array" ref="AZ604">IF($F604&lt;&gt;"", XLOOKUP($F604,Productos!$A$2:$A1001,Productos!AS$2:AS1001,"")*$G604,"")</f>
        <v/>
      </c>
      <c r="BA604" s="179" t="str">
        <f t="array" ref="BA604">IF($F604&lt;&gt;"",XLOOKUP($F604,Productos!$A:$A,Productos!AT:AT,"Revisar"),"")</f>
        <v/>
      </c>
      <c r="BB604" s="179" t="str">
        <f t="array" ref="BB604">IF($F604&lt;&gt;"", XLOOKUP($F604,Productos!$A$2:$A1001,Productos!AU$2:AU1001,"")*$G604,"")</f>
        <v/>
      </c>
      <c r="BC604" s="179" t="str">
        <f t="array" ref="BC604">IF($F604&lt;&gt;"",XLOOKUP($F604,Productos!$A:$A,Productos!AV:AV,"Revisar"),"")</f>
        <v/>
      </c>
      <c r="BD604" s="179" t="str">
        <f t="array" ref="BD604">IF($F604&lt;&gt;"", XLOOKUP($F604,Productos!$A$2:$A1001,Productos!AW$2:AW1001,"")*$G604,"")</f>
        <v/>
      </c>
      <c r="BE604" s="179" t="str">
        <f t="array" ref="BE604">IF($F604&lt;&gt;"",XLOOKUP($F604,Productos!$A:$A,Productos!AX:AX,"Revisar"),"")</f>
        <v/>
      </c>
      <c r="BF604" s="179" t="str">
        <f t="array" ref="BF604">IF($F604&lt;&gt;"", XLOOKUP($F604,Productos!$A$2:$A1001,Productos!AY$2:AY1001,"")*$G604,"")</f>
        <v/>
      </c>
      <c r="BG604" s="179" t="str">
        <f t="array" ref="BG604">IF($F604&lt;&gt;"",XLOOKUP($F604,Productos!$A:$A,Productos!AZ:AZ,"Revisar"),"")</f>
        <v/>
      </c>
      <c r="BH604" s="179" t="str">
        <f t="array" ref="BH604">IF($F604&lt;&gt;"", XLOOKUP($F604,Productos!$A$2:$A1001,Productos!BA$2:BA1001,"")*$G604,"")</f>
        <v/>
      </c>
      <c r="BI604" s="179" t="str">
        <f t="array" ref="BI604">IF($F604&lt;&gt;"",XLOOKUP($F604,Productos!$A:$A,Productos!BB:BB,"Revisar"),"")</f>
        <v/>
      </c>
      <c r="BJ604" s="179" t="str">
        <f t="array" ref="BJ604">IF($F604&lt;&gt;"", XLOOKUP($F604,Productos!$A$2:$A1001,Productos!BC$2:BC1001,"")*$G604,"")</f>
        <v/>
      </c>
      <c r="BK604" s="179" t="str">
        <f t="array" ref="BK604">IF($F604&lt;&gt;"",XLOOKUP($F604,Productos!$A:$A,Productos!BD:BD,"Revisar"),"")</f>
        <v/>
      </c>
      <c r="BL604" s="179" t="str">
        <f t="array" ref="BL604">IF($F604&lt;&gt;"", XLOOKUP($F604,Productos!$A$2:$A1001,Productos!BE$2:BE1001,"")*$G604,"")</f>
        <v/>
      </c>
      <c r="BM604" s="179" t="str">
        <f t="array" ref="BM604">IF($F604&lt;&gt;"",XLOOKUP($F604,Productos!$A:$A,Productos!BF:BF,"Revisar"),"")</f>
        <v/>
      </c>
      <c r="BN604" s="179" t="str">
        <f t="array" ref="BN604">IF($F604&lt;&gt;"", XLOOKUP($F604,Productos!$A$2:$A1001,Productos!BG$2:BG1001,"")*$G604,"")</f>
        <v/>
      </c>
      <c r="BO604" s="179" t="str">
        <f t="array" ref="BO604">IF($F604&lt;&gt;"",XLOOKUP($F604,Productos!$A:$A,Productos!BH:BH,"Revisar"),"")</f>
        <v/>
      </c>
      <c r="BP604" s="179" t="str">
        <f t="array" ref="BP604">IF($F604&lt;&gt;"", XLOOKUP($F604,Productos!$A$2:$A1001,Productos!BI$2:BI1001,"")*$G604,"")</f>
        <v/>
      </c>
      <c r="BQ604" s="179" t="str">
        <f t="array" ref="BQ604">IF($F604&lt;&gt;"",XLOOKUP($F604,Productos!$A:$A,Productos!BJ:BJ,"Revisar"),"")</f>
        <v/>
      </c>
      <c r="BR604" s="179" t="str">
        <f t="array" ref="BR604">IF($F604&lt;&gt;"", XLOOKUP($F604,Productos!$A$2:$A1001,Productos!BK$2:BK1001,"")*$G604,"")</f>
        <v/>
      </c>
      <c r="BS604" s="179" t="str">
        <f t="array" ref="BS604">IF($F604&lt;&gt;"",XLOOKUP($F604,Productos!$A:$A,Productos!BL:BL,"Revisar"),"")</f>
        <v/>
      </c>
      <c r="BT604" s="179" t="str">
        <f t="array" ref="BT604">IF($F604&lt;&gt;"", XLOOKUP($F604,Productos!$A$2:$A1001,Productos!BM$2:BM1001,"")*$G604,"")</f>
        <v/>
      </c>
      <c r="BU604" s="179" t="str">
        <f t="array" ref="BU604">IF($F604&lt;&gt;"",XLOOKUP($F604,Productos!$A:$A,Productos!BN:BN,"Revisar"),"")</f>
        <v/>
      </c>
      <c r="BV604" s="179" t="str">
        <f t="array" ref="BV604">IF($F604&lt;&gt;"", XLOOKUP($F604,Productos!$A$2:$A1001,Productos!BO$2:BO1001,"")*$G604,"")</f>
        <v/>
      </c>
      <c r="BW604" s="179" t="str">
        <f t="array" ref="BW604">IF($F604&lt;&gt;"",XLOOKUP($F604,Productos!$A:$A,Productos!BP:BP,"Revisar"),"")</f>
        <v/>
      </c>
      <c r="BX604" s="179" t="str">
        <f t="array" ref="BX604">IF($F604&lt;&gt;"", XLOOKUP($F604,Productos!$A$2:$A1001,Productos!BQ$2:BQ1001,"")*$G604,"")</f>
        <v/>
      </c>
      <c r="BY604" s="179" t="str">
        <f t="array" ref="BY604">IF($F604&lt;&gt;"",XLOOKUP($F604,Productos!$A:$A,Productos!BR:BR,"Revisar"),"")</f>
        <v/>
      </c>
      <c r="BZ604" s="179" t="str">
        <f t="array" ref="BZ604">IF($F604&lt;&gt;"", XLOOKUP($F604,Productos!$A$2:$A1001,Productos!BS$2:BS1001,"")*$G604,"")</f>
        <v/>
      </c>
    </row>
    <row r="605">
      <c r="A605" s="188"/>
      <c r="B605" s="189"/>
      <c r="C605" s="190"/>
      <c r="D605" s="190"/>
      <c r="E605" s="191"/>
      <c r="F605" s="186"/>
      <c r="G605" s="192"/>
      <c r="H605" s="9"/>
      <c r="I605" s="179" t="str">
        <f t="array" ref="I605">IF($F605&lt;&gt;"",XLOOKUP($F605,Productos!$A:$A,Productos!B:B,"Revisar"),"")</f>
        <v/>
      </c>
      <c r="J605" s="179" t="str">
        <f t="array" ref="J605">IF($F605&lt;&gt;"", XLOOKUP($F605,Productos!$A$2:$A1001,Productos!C$2:C1001,"")*$G605,"")</f>
        <v/>
      </c>
      <c r="K605" s="179" t="str">
        <f t="array" ref="K605">IF($F605&lt;&gt;"",XLOOKUP($F605,Productos!$A:$A,Productos!D:D,"Revisar"),"")</f>
        <v/>
      </c>
      <c r="L605" s="179" t="str">
        <f t="array" ref="L605">IF($F605&lt;&gt;"", XLOOKUP($F605,Productos!$A$2:$A1001,Productos!E$2:E1001,"")*$G605,"")</f>
        <v/>
      </c>
      <c r="M605" s="179" t="str">
        <f t="array" ref="M605">IF($F605&lt;&gt;"",XLOOKUP($F605,Productos!$A:$A,Productos!F:F,"Revisar"),"")</f>
        <v/>
      </c>
      <c r="N605" s="179" t="str">
        <f t="array" ref="N605">IF($F605&lt;&gt;"", XLOOKUP($F605,Productos!$A$2:$A1001,Productos!G$2:G1001,"")*$G605,"")</f>
        <v/>
      </c>
      <c r="O605" s="179" t="str">
        <f t="array" ref="O605">IF($F605&lt;&gt;"",XLOOKUP($F605,Productos!$A:$A,Productos!H:H,"Revisar"),"")</f>
        <v/>
      </c>
      <c r="P605" s="179" t="str">
        <f t="array" ref="P605">IF($F605&lt;&gt;"", XLOOKUP($F605,Productos!$A$2:$A1001,Productos!I$2:I1001,"")*$G605,"")</f>
        <v/>
      </c>
      <c r="Q605" s="179" t="str">
        <f t="array" ref="Q605">IF($F605&lt;&gt;"",XLOOKUP($F605,Productos!$A:$A,Productos!J:J,"Revisar"),"")</f>
        <v/>
      </c>
      <c r="R605" s="179" t="str">
        <f t="array" ref="R605">IF($F605&lt;&gt;"", XLOOKUP($F605,Productos!$A$2:$A1001,Productos!K$2:K1001,"")*$G605,"")</f>
        <v/>
      </c>
      <c r="S605" s="179" t="str">
        <f t="array" ref="S605">IF($F605&lt;&gt;"",XLOOKUP($F605,Productos!$A:$A,Productos!L:L,"Revisar"),"")</f>
        <v/>
      </c>
      <c r="T605" s="179" t="str">
        <f t="array" ref="T605">IF($F605&lt;&gt;"", XLOOKUP($F605,Productos!$A$2:$A1001,Productos!M$2:M1001,"")*$G605,"")</f>
        <v/>
      </c>
      <c r="U605" s="179" t="str">
        <f t="array" ref="U605">IF($F605&lt;&gt;"",XLOOKUP($F605,Productos!$A:$A,Productos!N:N,"Revisar"),"")</f>
        <v/>
      </c>
      <c r="V605" s="179" t="str">
        <f t="array" ref="V605">IF($F605&lt;&gt;"", XLOOKUP($F605,Productos!$A$2:$A1001,Productos!O$2:O1001,"")*$G605,"")</f>
        <v/>
      </c>
      <c r="W605" s="179" t="str">
        <f t="array" ref="W605">IF($F605&lt;&gt;"",XLOOKUP($F605,Productos!$A:$A,Productos!P:P,"Revisar"),"")</f>
        <v/>
      </c>
      <c r="X605" s="179" t="str">
        <f t="array" ref="X605">IF($F605&lt;&gt;"", XLOOKUP($F605,Productos!$A$2:$A1001,Productos!Q$2:Q1001,"")*$G605,"")</f>
        <v/>
      </c>
      <c r="Y605" s="179" t="str">
        <f t="array" ref="Y605">IF($F605&lt;&gt;"",XLOOKUP($F605,Productos!$A:$A,Productos!R:R,"Revisar"),"")</f>
        <v/>
      </c>
      <c r="Z605" s="179" t="str">
        <f t="array" ref="Z605">IF($F605&lt;&gt;"", XLOOKUP($F605,Productos!$A$2:$A1001,Productos!S$2:S1001,"")*$G605,"")</f>
        <v/>
      </c>
      <c r="AA605" s="179" t="str">
        <f t="array" ref="AA605">IF($F605&lt;&gt;"",XLOOKUP($F605,Productos!$A:$A,Productos!T:T,"Revisar"),"")</f>
        <v/>
      </c>
      <c r="AB605" s="179" t="str">
        <f t="array" ref="AB605">IF($F605&lt;&gt;"", XLOOKUP($F605,Productos!$A$2:$A1001,Productos!U$2:U1001,"")*$G605,"")</f>
        <v/>
      </c>
      <c r="AC605" s="179" t="str">
        <f t="array" ref="AC605">IF($F605&lt;&gt;"",XLOOKUP($F605,Productos!$A:$A,Productos!V:V,"Revisar"),"")</f>
        <v/>
      </c>
      <c r="AD605" s="179" t="str">
        <f t="array" ref="AD605">IF($F605&lt;&gt;"", XLOOKUP($F605,Productos!$A$2:$A1001,Productos!W$2:W1001,"")*$G605,"")</f>
        <v/>
      </c>
      <c r="AE605" s="179" t="str">
        <f t="array" ref="AE605">IF($F605&lt;&gt;"",XLOOKUP($F605,Productos!$A:$A,Productos!X:X,"Revisar"),"")</f>
        <v/>
      </c>
      <c r="AF605" s="179" t="str">
        <f t="array" ref="AF605">IF($F605&lt;&gt;"", XLOOKUP($F605,Productos!$A$2:$A1001,Productos!Y$2:Y1001,"")*$G605,"")</f>
        <v/>
      </c>
      <c r="AG605" s="179" t="str">
        <f t="array" ref="AG605">IF($F605&lt;&gt;"",XLOOKUP($F605,Productos!$A:$A,Productos!Z:Z,"Revisar"),"")</f>
        <v/>
      </c>
      <c r="AH605" s="179" t="str">
        <f t="array" ref="AH605">IF($F605&lt;&gt;"", XLOOKUP($F605,Productos!$A$2:$A1001,Productos!AA$2:AA1001,"")*$G605,"")</f>
        <v/>
      </c>
      <c r="AI605" s="179" t="str">
        <f t="array" ref="AI605">IF($F605&lt;&gt;"",XLOOKUP($F605,Productos!$A:$A,Productos!AB:AB,"Revisar"),"")</f>
        <v/>
      </c>
      <c r="AJ605" s="179" t="str">
        <f t="array" ref="AJ605">IF($F605&lt;&gt;"", XLOOKUP($F605,Productos!$A$2:$A1001,Productos!AC$2:AC1001,"")*$G605,"")</f>
        <v/>
      </c>
      <c r="AK605" s="179" t="str">
        <f t="array" ref="AK605">IF($F605&lt;&gt;"",XLOOKUP($F605,Productos!$A:$A,Productos!AD:AD,"Revisar"),"")</f>
        <v/>
      </c>
      <c r="AL605" s="179" t="str">
        <f t="array" ref="AL605">IF($F605&lt;&gt;"", XLOOKUP($F605,Productos!$A$2:$A1001,Productos!AE$2:AE1001,"")*$G605,"")</f>
        <v/>
      </c>
      <c r="AM605" s="179" t="str">
        <f t="array" ref="AM605">IF($F605&lt;&gt;"",XLOOKUP($F605,Productos!$A:$A,Productos!AF:AF,"Revisar"),"")</f>
        <v/>
      </c>
      <c r="AN605" s="179" t="str">
        <f t="array" ref="AN605">IF($F605&lt;&gt;"", XLOOKUP($F605,Productos!$A$2:$A1001,Productos!AG$2:AG1001,"")*$G605,"")</f>
        <v/>
      </c>
      <c r="AO605" s="179" t="str">
        <f t="array" ref="AO605">IF($F605&lt;&gt;"",XLOOKUP($F605,Productos!$A:$A,Productos!AH:AH,"Revisar"),"")</f>
        <v/>
      </c>
      <c r="AP605" s="179" t="str">
        <f t="array" ref="AP605">IF($F605&lt;&gt;"", XLOOKUP($F605,Productos!$A$2:$A1001,Productos!AI$2:AI1001,"")*$G605,"")</f>
        <v/>
      </c>
      <c r="AQ605" s="179" t="str">
        <f t="array" ref="AQ605">IF($F605&lt;&gt;"",XLOOKUP($F605,Productos!$A:$A,Productos!AJ:AJ,"Revisar"),"")</f>
        <v/>
      </c>
      <c r="AR605" s="179" t="str">
        <f t="array" ref="AR605">IF($F605&lt;&gt;"", XLOOKUP($F605,Productos!$A$2:$A1001,Productos!AK$2:AK1001,"")*$G605,"")</f>
        <v/>
      </c>
      <c r="AS605" s="179" t="str">
        <f t="array" ref="AS605">IF($F605&lt;&gt;"",XLOOKUP($F605,Productos!$A:$A,Productos!AL:AL,"Revisar"),"")</f>
        <v/>
      </c>
      <c r="AT605" s="179" t="str">
        <f t="array" ref="AT605">IF($F605&lt;&gt;"", XLOOKUP($F605,Productos!$A$2:$A1001,Productos!AM$2:AM1001,"")*$G605,"")</f>
        <v/>
      </c>
      <c r="AU605" s="179" t="str">
        <f t="array" ref="AU605">IF($F605&lt;&gt;"",XLOOKUP($F605,Productos!$A:$A,Productos!AN:AN,"Revisar"),"")</f>
        <v/>
      </c>
      <c r="AV605" s="179" t="str">
        <f t="array" ref="AV605">IF($F605&lt;&gt;"", XLOOKUP($F605,Productos!$A$2:$A1001,Productos!AO$2:AO1001,"")*$G605,"")</f>
        <v/>
      </c>
      <c r="AW605" s="179" t="str">
        <f t="array" ref="AW605">IF($F605&lt;&gt;"",XLOOKUP($F605,Productos!$A:$A,Productos!AP:AP,"Revisar"),"")</f>
        <v/>
      </c>
      <c r="AX605" s="179" t="str">
        <f t="array" ref="AX605">IF($F605&lt;&gt;"", XLOOKUP($F605,Productos!$A$2:$A1001,Productos!AQ$2:AQ1001,"")*$G605,"")</f>
        <v/>
      </c>
      <c r="AY605" s="179" t="str">
        <f t="array" ref="AY605">IF($F605&lt;&gt;"",XLOOKUP($F605,Productos!$A:$A,Productos!AR:AR,"Revisar"),"")</f>
        <v/>
      </c>
      <c r="AZ605" s="179" t="str">
        <f t="array" ref="AZ605">IF($F605&lt;&gt;"", XLOOKUP($F605,Productos!$A$2:$A1001,Productos!AS$2:AS1001,"")*$G605,"")</f>
        <v/>
      </c>
      <c r="BA605" s="179" t="str">
        <f t="array" ref="BA605">IF($F605&lt;&gt;"",XLOOKUP($F605,Productos!$A:$A,Productos!AT:AT,"Revisar"),"")</f>
        <v/>
      </c>
      <c r="BB605" s="179" t="str">
        <f t="array" ref="BB605">IF($F605&lt;&gt;"", XLOOKUP($F605,Productos!$A$2:$A1001,Productos!AU$2:AU1001,"")*$G605,"")</f>
        <v/>
      </c>
      <c r="BC605" s="179" t="str">
        <f t="array" ref="BC605">IF($F605&lt;&gt;"",XLOOKUP($F605,Productos!$A:$A,Productos!AV:AV,"Revisar"),"")</f>
        <v/>
      </c>
      <c r="BD605" s="179" t="str">
        <f t="array" ref="BD605">IF($F605&lt;&gt;"", XLOOKUP($F605,Productos!$A$2:$A1001,Productos!AW$2:AW1001,"")*$G605,"")</f>
        <v/>
      </c>
      <c r="BE605" s="179" t="str">
        <f t="array" ref="BE605">IF($F605&lt;&gt;"",XLOOKUP($F605,Productos!$A:$A,Productos!AX:AX,"Revisar"),"")</f>
        <v/>
      </c>
      <c r="BF605" s="179" t="str">
        <f t="array" ref="BF605">IF($F605&lt;&gt;"", XLOOKUP($F605,Productos!$A$2:$A1001,Productos!AY$2:AY1001,"")*$G605,"")</f>
        <v/>
      </c>
      <c r="BG605" s="179" t="str">
        <f t="array" ref="BG605">IF($F605&lt;&gt;"",XLOOKUP($F605,Productos!$A:$A,Productos!AZ:AZ,"Revisar"),"")</f>
        <v/>
      </c>
      <c r="BH605" s="179" t="str">
        <f t="array" ref="BH605">IF($F605&lt;&gt;"", XLOOKUP($F605,Productos!$A$2:$A1001,Productos!BA$2:BA1001,"")*$G605,"")</f>
        <v/>
      </c>
      <c r="BI605" s="179" t="str">
        <f t="array" ref="BI605">IF($F605&lt;&gt;"",XLOOKUP($F605,Productos!$A:$A,Productos!BB:BB,"Revisar"),"")</f>
        <v/>
      </c>
      <c r="BJ605" s="179" t="str">
        <f t="array" ref="BJ605">IF($F605&lt;&gt;"", XLOOKUP($F605,Productos!$A$2:$A1001,Productos!BC$2:BC1001,"")*$G605,"")</f>
        <v/>
      </c>
      <c r="BK605" s="179" t="str">
        <f t="array" ref="BK605">IF($F605&lt;&gt;"",XLOOKUP($F605,Productos!$A:$A,Productos!BD:BD,"Revisar"),"")</f>
        <v/>
      </c>
      <c r="BL605" s="179" t="str">
        <f t="array" ref="BL605">IF($F605&lt;&gt;"", XLOOKUP($F605,Productos!$A$2:$A1001,Productos!BE$2:BE1001,"")*$G605,"")</f>
        <v/>
      </c>
      <c r="BM605" s="179" t="str">
        <f t="array" ref="BM605">IF($F605&lt;&gt;"",XLOOKUP($F605,Productos!$A:$A,Productos!BF:BF,"Revisar"),"")</f>
        <v/>
      </c>
      <c r="BN605" s="179" t="str">
        <f t="array" ref="BN605">IF($F605&lt;&gt;"", XLOOKUP($F605,Productos!$A$2:$A1001,Productos!BG$2:BG1001,"")*$G605,"")</f>
        <v/>
      </c>
      <c r="BO605" s="179" t="str">
        <f t="array" ref="BO605">IF($F605&lt;&gt;"",XLOOKUP($F605,Productos!$A:$A,Productos!BH:BH,"Revisar"),"")</f>
        <v/>
      </c>
      <c r="BP605" s="179" t="str">
        <f t="array" ref="BP605">IF($F605&lt;&gt;"", XLOOKUP($F605,Productos!$A$2:$A1001,Productos!BI$2:BI1001,"")*$G605,"")</f>
        <v/>
      </c>
      <c r="BQ605" s="179" t="str">
        <f t="array" ref="BQ605">IF($F605&lt;&gt;"",XLOOKUP($F605,Productos!$A:$A,Productos!BJ:BJ,"Revisar"),"")</f>
        <v/>
      </c>
      <c r="BR605" s="179" t="str">
        <f t="array" ref="BR605">IF($F605&lt;&gt;"", XLOOKUP($F605,Productos!$A$2:$A1001,Productos!BK$2:BK1001,"")*$G605,"")</f>
        <v/>
      </c>
      <c r="BS605" s="179" t="str">
        <f t="array" ref="BS605">IF($F605&lt;&gt;"",XLOOKUP($F605,Productos!$A:$A,Productos!BL:BL,"Revisar"),"")</f>
        <v/>
      </c>
      <c r="BT605" s="179" t="str">
        <f t="array" ref="BT605">IF($F605&lt;&gt;"", XLOOKUP($F605,Productos!$A$2:$A1001,Productos!BM$2:BM1001,"")*$G605,"")</f>
        <v/>
      </c>
      <c r="BU605" s="179" t="str">
        <f t="array" ref="BU605">IF($F605&lt;&gt;"",XLOOKUP($F605,Productos!$A:$A,Productos!BN:BN,"Revisar"),"")</f>
        <v/>
      </c>
      <c r="BV605" s="179" t="str">
        <f t="array" ref="BV605">IF($F605&lt;&gt;"", XLOOKUP($F605,Productos!$A$2:$A1001,Productos!BO$2:BO1001,"")*$G605,"")</f>
        <v/>
      </c>
      <c r="BW605" s="179" t="str">
        <f t="array" ref="BW605">IF($F605&lt;&gt;"",XLOOKUP($F605,Productos!$A:$A,Productos!BP:BP,"Revisar"),"")</f>
        <v/>
      </c>
      <c r="BX605" s="179" t="str">
        <f t="array" ref="BX605">IF($F605&lt;&gt;"", XLOOKUP($F605,Productos!$A$2:$A1001,Productos!BQ$2:BQ1001,"")*$G605,"")</f>
        <v/>
      </c>
      <c r="BY605" s="179" t="str">
        <f t="array" ref="BY605">IF($F605&lt;&gt;"",XLOOKUP($F605,Productos!$A:$A,Productos!BR:BR,"Revisar"),"")</f>
        <v/>
      </c>
      <c r="BZ605" s="179" t="str">
        <f t="array" ref="BZ605">IF($F605&lt;&gt;"", XLOOKUP($F605,Productos!$A$2:$A1001,Productos!BS$2:BS1001,"")*$G605,"")</f>
        <v/>
      </c>
    </row>
    <row r="606">
      <c r="A606" s="188"/>
      <c r="B606" s="189"/>
      <c r="C606" s="190"/>
      <c r="D606" s="190"/>
      <c r="E606" s="191"/>
      <c r="F606" s="186"/>
      <c r="G606" s="192"/>
      <c r="H606" s="9"/>
      <c r="I606" s="179" t="str">
        <f t="array" ref="I606">IF($F606&lt;&gt;"",XLOOKUP($F606,Productos!$A:$A,Productos!B:B,"Revisar"),"")</f>
        <v/>
      </c>
      <c r="J606" s="179" t="str">
        <f t="array" ref="J606">IF($F606&lt;&gt;"", XLOOKUP($F606,Productos!$A$2:$A1001,Productos!C$2:C1001,"")*$G606,"")</f>
        <v/>
      </c>
      <c r="K606" s="179" t="str">
        <f t="array" ref="K606">IF($F606&lt;&gt;"",XLOOKUP($F606,Productos!$A:$A,Productos!D:D,"Revisar"),"")</f>
        <v/>
      </c>
      <c r="L606" s="179" t="str">
        <f t="array" ref="L606">IF($F606&lt;&gt;"", XLOOKUP($F606,Productos!$A$2:$A1001,Productos!E$2:E1001,"")*$G606,"")</f>
        <v/>
      </c>
      <c r="M606" s="179" t="str">
        <f t="array" ref="M606">IF($F606&lt;&gt;"",XLOOKUP($F606,Productos!$A:$A,Productos!F:F,"Revisar"),"")</f>
        <v/>
      </c>
      <c r="N606" s="179" t="str">
        <f t="array" ref="N606">IF($F606&lt;&gt;"", XLOOKUP($F606,Productos!$A$2:$A1001,Productos!G$2:G1001,"")*$G606,"")</f>
        <v/>
      </c>
      <c r="O606" s="179" t="str">
        <f t="array" ref="O606">IF($F606&lt;&gt;"",XLOOKUP($F606,Productos!$A:$A,Productos!H:H,"Revisar"),"")</f>
        <v/>
      </c>
      <c r="P606" s="179" t="str">
        <f t="array" ref="P606">IF($F606&lt;&gt;"", XLOOKUP($F606,Productos!$A$2:$A1001,Productos!I$2:I1001,"")*$G606,"")</f>
        <v/>
      </c>
      <c r="Q606" s="179" t="str">
        <f t="array" ref="Q606">IF($F606&lt;&gt;"",XLOOKUP($F606,Productos!$A:$A,Productos!J:J,"Revisar"),"")</f>
        <v/>
      </c>
      <c r="R606" s="179" t="str">
        <f t="array" ref="R606">IF($F606&lt;&gt;"", XLOOKUP($F606,Productos!$A$2:$A1001,Productos!K$2:K1001,"")*$G606,"")</f>
        <v/>
      </c>
      <c r="S606" s="179" t="str">
        <f t="array" ref="S606">IF($F606&lt;&gt;"",XLOOKUP($F606,Productos!$A:$A,Productos!L:L,"Revisar"),"")</f>
        <v/>
      </c>
      <c r="T606" s="179" t="str">
        <f t="array" ref="T606">IF($F606&lt;&gt;"", XLOOKUP($F606,Productos!$A$2:$A1001,Productos!M$2:M1001,"")*$G606,"")</f>
        <v/>
      </c>
      <c r="U606" s="179" t="str">
        <f t="array" ref="U606">IF($F606&lt;&gt;"",XLOOKUP($F606,Productos!$A:$A,Productos!N:N,"Revisar"),"")</f>
        <v/>
      </c>
      <c r="V606" s="179" t="str">
        <f t="array" ref="V606">IF($F606&lt;&gt;"", XLOOKUP($F606,Productos!$A$2:$A1001,Productos!O$2:O1001,"")*$G606,"")</f>
        <v/>
      </c>
      <c r="W606" s="179" t="str">
        <f t="array" ref="W606">IF($F606&lt;&gt;"",XLOOKUP($F606,Productos!$A:$A,Productos!P:P,"Revisar"),"")</f>
        <v/>
      </c>
      <c r="X606" s="179" t="str">
        <f t="array" ref="X606">IF($F606&lt;&gt;"", XLOOKUP($F606,Productos!$A$2:$A1001,Productos!Q$2:Q1001,"")*$G606,"")</f>
        <v/>
      </c>
      <c r="Y606" s="179" t="str">
        <f t="array" ref="Y606">IF($F606&lt;&gt;"",XLOOKUP($F606,Productos!$A:$A,Productos!R:R,"Revisar"),"")</f>
        <v/>
      </c>
      <c r="Z606" s="179" t="str">
        <f t="array" ref="Z606">IF($F606&lt;&gt;"", XLOOKUP($F606,Productos!$A$2:$A1001,Productos!S$2:S1001,"")*$G606,"")</f>
        <v/>
      </c>
      <c r="AA606" s="179" t="str">
        <f t="array" ref="AA606">IF($F606&lt;&gt;"",XLOOKUP($F606,Productos!$A:$A,Productos!T:T,"Revisar"),"")</f>
        <v/>
      </c>
      <c r="AB606" s="179" t="str">
        <f t="array" ref="AB606">IF($F606&lt;&gt;"", XLOOKUP($F606,Productos!$A$2:$A1001,Productos!U$2:U1001,"")*$G606,"")</f>
        <v/>
      </c>
      <c r="AC606" s="179" t="str">
        <f t="array" ref="AC606">IF($F606&lt;&gt;"",XLOOKUP($F606,Productos!$A:$A,Productos!V:V,"Revisar"),"")</f>
        <v/>
      </c>
      <c r="AD606" s="179" t="str">
        <f t="array" ref="AD606">IF($F606&lt;&gt;"", XLOOKUP($F606,Productos!$A$2:$A1001,Productos!W$2:W1001,"")*$G606,"")</f>
        <v/>
      </c>
      <c r="AE606" s="179" t="str">
        <f t="array" ref="AE606">IF($F606&lt;&gt;"",XLOOKUP($F606,Productos!$A:$A,Productos!X:X,"Revisar"),"")</f>
        <v/>
      </c>
      <c r="AF606" s="179" t="str">
        <f t="array" ref="AF606">IF($F606&lt;&gt;"", XLOOKUP($F606,Productos!$A$2:$A1001,Productos!Y$2:Y1001,"")*$G606,"")</f>
        <v/>
      </c>
      <c r="AG606" s="179" t="str">
        <f t="array" ref="AG606">IF($F606&lt;&gt;"",XLOOKUP($F606,Productos!$A:$A,Productos!Z:Z,"Revisar"),"")</f>
        <v/>
      </c>
      <c r="AH606" s="179" t="str">
        <f t="array" ref="AH606">IF($F606&lt;&gt;"", XLOOKUP($F606,Productos!$A$2:$A1001,Productos!AA$2:AA1001,"")*$G606,"")</f>
        <v/>
      </c>
      <c r="AI606" s="179" t="str">
        <f t="array" ref="AI606">IF($F606&lt;&gt;"",XLOOKUP($F606,Productos!$A:$A,Productos!AB:AB,"Revisar"),"")</f>
        <v/>
      </c>
      <c r="AJ606" s="179" t="str">
        <f t="array" ref="AJ606">IF($F606&lt;&gt;"", XLOOKUP($F606,Productos!$A$2:$A1001,Productos!AC$2:AC1001,"")*$G606,"")</f>
        <v/>
      </c>
      <c r="AK606" s="179" t="str">
        <f t="array" ref="AK606">IF($F606&lt;&gt;"",XLOOKUP($F606,Productos!$A:$A,Productos!AD:AD,"Revisar"),"")</f>
        <v/>
      </c>
      <c r="AL606" s="179" t="str">
        <f t="array" ref="AL606">IF($F606&lt;&gt;"", XLOOKUP($F606,Productos!$A$2:$A1001,Productos!AE$2:AE1001,"")*$G606,"")</f>
        <v/>
      </c>
      <c r="AM606" s="179" t="str">
        <f t="array" ref="AM606">IF($F606&lt;&gt;"",XLOOKUP($F606,Productos!$A:$A,Productos!AF:AF,"Revisar"),"")</f>
        <v/>
      </c>
      <c r="AN606" s="179" t="str">
        <f t="array" ref="AN606">IF($F606&lt;&gt;"", XLOOKUP($F606,Productos!$A$2:$A1001,Productos!AG$2:AG1001,"")*$G606,"")</f>
        <v/>
      </c>
      <c r="AO606" s="179" t="str">
        <f t="array" ref="AO606">IF($F606&lt;&gt;"",XLOOKUP($F606,Productos!$A:$A,Productos!AH:AH,"Revisar"),"")</f>
        <v/>
      </c>
      <c r="AP606" s="179" t="str">
        <f t="array" ref="AP606">IF($F606&lt;&gt;"", XLOOKUP($F606,Productos!$A$2:$A1001,Productos!AI$2:AI1001,"")*$G606,"")</f>
        <v/>
      </c>
      <c r="AQ606" s="179" t="str">
        <f t="array" ref="AQ606">IF($F606&lt;&gt;"",XLOOKUP($F606,Productos!$A:$A,Productos!AJ:AJ,"Revisar"),"")</f>
        <v/>
      </c>
      <c r="AR606" s="179" t="str">
        <f t="array" ref="AR606">IF($F606&lt;&gt;"", XLOOKUP($F606,Productos!$A$2:$A1001,Productos!AK$2:AK1001,"")*$G606,"")</f>
        <v/>
      </c>
      <c r="AS606" s="179" t="str">
        <f t="array" ref="AS606">IF($F606&lt;&gt;"",XLOOKUP($F606,Productos!$A:$A,Productos!AL:AL,"Revisar"),"")</f>
        <v/>
      </c>
      <c r="AT606" s="179" t="str">
        <f t="array" ref="AT606">IF($F606&lt;&gt;"", XLOOKUP($F606,Productos!$A$2:$A1001,Productos!AM$2:AM1001,"")*$G606,"")</f>
        <v/>
      </c>
      <c r="AU606" s="179" t="str">
        <f t="array" ref="AU606">IF($F606&lt;&gt;"",XLOOKUP($F606,Productos!$A:$A,Productos!AN:AN,"Revisar"),"")</f>
        <v/>
      </c>
      <c r="AV606" s="179" t="str">
        <f t="array" ref="AV606">IF($F606&lt;&gt;"", XLOOKUP($F606,Productos!$A$2:$A1001,Productos!AO$2:AO1001,"")*$G606,"")</f>
        <v/>
      </c>
      <c r="AW606" s="179" t="str">
        <f t="array" ref="AW606">IF($F606&lt;&gt;"",XLOOKUP($F606,Productos!$A:$A,Productos!AP:AP,"Revisar"),"")</f>
        <v/>
      </c>
      <c r="AX606" s="179" t="str">
        <f t="array" ref="AX606">IF($F606&lt;&gt;"", XLOOKUP($F606,Productos!$A$2:$A1001,Productos!AQ$2:AQ1001,"")*$G606,"")</f>
        <v/>
      </c>
      <c r="AY606" s="179" t="str">
        <f t="array" ref="AY606">IF($F606&lt;&gt;"",XLOOKUP($F606,Productos!$A:$A,Productos!AR:AR,"Revisar"),"")</f>
        <v/>
      </c>
      <c r="AZ606" s="179" t="str">
        <f t="array" ref="AZ606">IF($F606&lt;&gt;"", XLOOKUP($F606,Productos!$A$2:$A1001,Productos!AS$2:AS1001,"")*$G606,"")</f>
        <v/>
      </c>
      <c r="BA606" s="179" t="str">
        <f t="array" ref="BA606">IF($F606&lt;&gt;"",XLOOKUP($F606,Productos!$A:$A,Productos!AT:AT,"Revisar"),"")</f>
        <v/>
      </c>
      <c r="BB606" s="179" t="str">
        <f t="array" ref="BB606">IF($F606&lt;&gt;"", XLOOKUP($F606,Productos!$A$2:$A1001,Productos!AU$2:AU1001,"")*$G606,"")</f>
        <v/>
      </c>
      <c r="BC606" s="179" t="str">
        <f t="array" ref="BC606">IF($F606&lt;&gt;"",XLOOKUP($F606,Productos!$A:$A,Productos!AV:AV,"Revisar"),"")</f>
        <v/>
      </c>
      <c r="BD606" s="179" t="str">
        <f t="array" ref="BD606">IF($F606&lt;&gt;"", XLOOKUP($F606,Productos!$A$2:$A1001,Productos!AW$2:AW1001,"")*$G606,"")</f>
        <v/>
      </c>
      <c r="BE606" s="179" t="str">
        <f t="array" ref="BE606">IF($F606&lt;&gt;"",XLOOKUP($F606,Productos!$A:$A,Productos!AX:AX,"Revisar"),"")</f>
        <v/>
      </c>
      <c r="BF606" s="179" t="str">
        <f t="array" ref="BF606">IF($F606&lt;&gt;"", XLOOKUP($F606,Productos!$A$2:$A1001,Productos!AY$2:AY1001,"")*$G606,"")</f>
        <v/>
      </c>
      <c r="BG606" s="179" t="str">
        <f t="array" ref="BG606">IF($F606&lt;&gt;"",XLOOKUP($F606,Productos!$A:$A,Productos!AZ:AZ,"Revisar"),"")</f>
        <v/>
      </c>
      <c r="BH606" s="179" t="str">
        <f t="array" ref="BH606">IF($F606&lt;&gt;"", XLOOKUP($F606,Productos!$A$2:$A1001,Productos!BA$2:BA1001,"")*$G606,"")</f>
        <v/>
      </c>
      <c r="BI606" s="179" t="str">
        <f t="array" ref="BI606">IF($F606&lt;&gt;"",XLOOKUP($F606,Productos!$A:$A,Productos!BB:BB,"Revisar"),"")</f>
        <v/>
      </c>
      <c r="BJ606" s="179" t="str">
        <f t="array" ref="BJ606">IF($F606&lt;&gt;"", XLOOKUP($F606,Productos!$A$2:$A1001,Productos!BC$2:BC1001,"")*$G606,"")</f>
        <v/>
      </c>
      <c r="BK606" s="179" t="str">
        <f t="array" ref="BK606">IF($F606&lt;&gt;"",XLOOKUP($F606,Productos!$A:$A,Productos!BD:BD,"Revisar"),"")</f>
        <v/>
      </c>
      <c r="BL606" s="179" t="str">
        <f t="array" ref="BL606">IF($F606&lt;&gt;"", XLOOKUP($F606,Productos!$A$2:$A1001,Productos!BE$2:BE1001,"")*$G606,"")</f>
        <v/>
      </c>
      <c r="BM606" s="179" t="str">
        <f t="array" ref="BM606">IF($F606&lt;&gt;"",XLOOKUP($F606,Productos!$A:$A,Productos!BF:BF,"Revisar"),"")</f>
        <v/>
      </c>
      <c r="BN606" s="179" t="str">
        <f t="array" ref="BN606">IF($F606&lt;&gt;"", XLOOKUP($F606,Productos!$A$2:$A1001,Productos!BG$2:BG1001,"")*$G606,"")</f>
        <v/>
      </c>
      <c r="BO606" s="179" t="str">
        <f t="array" ref="BO606">IF($F606&lt;&gt;"",XLOOKUP($F606,Productos!$A:$A,Productos!BH:BH,"Revisar"),"")</f>
        <v/>
      </c>
      <c r="BP606" s="179" t="str">
        <f t="array" ref="BP606">IF($F606&lt;&gt;"", XLOOKUP($F606,Productos!$A$2:$A1001,Productos!BI$2:BI1001,"")*$G606,"")</f>
        <v/>
      </c>
      <c r="BQ606" s="179" t="str">
        <f t="array" ref="BQ606">IF($F606&lt;&gt;"",XLOOKUP($F606,Productos!$A:$A,Productos!BJ:BJ,"Revisar"),"")</f>
        <v/>
      </c>
      <c r="BR606" s="179" t="str">
        <f t="array" ref="BR606">IF($F606&lt;&gt;"", XLOOKUP($F606,Productos!$A$2:$A1001,Productos!BK$2:BK1001,"")*$G606,"")</f>
        <v/>
      </c>
      <c r="BS606" s="179" t="str">
        <f t="array" ref="BS606">IF($F606&lt;&gt;"",XLOOKUP($F606,Productos!$A:$A,Productos!BL:BL,"Revisar"),"")</f>
        <v/>
      </c>
      <c r="BT606" s="179" t="str">
        <f t="array" ref="BT606">IF($F606&lt;&gt;"", XLOOKUP($F606,Productos!$A$2:$A1001,Productos!BM$2:BM1001,"")*$G606,"")</f>
        <v/>
      </c>
      <c r="BU606" s="179" t="str">
        <f t="array" ref="BU606">IF($F606&lt;&gt;"",XLOOKUP($F606,Productos!$A:$A,Productos!BN:BN,"Revisar"),"")</f>
        <v/>
      </c>
      <c r="BV606" s="179" t="str">
        <f t="array" ref="BV606">IF($F606&lt;&gt;"", XLOOKUP($F606,Productos!$A$2:$A1001,Productos!BO$2:BO1001,"")*$G606,"")</f>
        <v/>
      </c>
      <c r="BW606" s="179" t="str">
        <f t="array" ref="BW606">IF($F606&lt;&gt;"",XLOOKUP($F606,Productos!$A:$A,Productos!BP:BP,"Revisar"),"")</f>
        <v/>
      </c>
      <c r="BX606" s="179" t="str">
        <f t="array" ref="BX606">IF($F606&lt;&gt;"", XLOOKUP($F606,Productos!$A$2:$A1001,Productos!BQ$2:BQ1001,"")*$G606,"")</f>
        <v/>
      </c>
      <c r="BY606" s="179" t="str">
        <f t="array" ref="BY606">IF($F606&lt;&gt;"",XLOOKUP($F606,Productos!$A:$A,Productos!BR:BR,"Revisar"),"")</f>
        <v/>
      </c>
      <c r="BZ606" s="179" t="str">
        <f t="array" ref="BZ606">IF($F606&lt;&gt;"", XLOOKUP($F606,Productos!$A$2:$A1001,Productos!BS$2:BS1001,"")*$G606,"")</f>
        <v/>
      </c>
    </row>
    <row r="607">
      <c r="A607" s="188"/>
      <c r="B607" s="189"/>
      <c r="C607" s="190"/>
      <c r="D607" s="190"/>
      <c r="E607" s="191"/>
      <c r="F607" s="186"/>
      <c r="G607" s="192"/>
      <c r="H607" s="9"/>
      <c r="I607" s="179" t="str">
        <f t="array" ref="I607">IF($F607&lt;&gt;"",XLOOKUP($F607,Productos!$A:$A,Productos!B:B,"Revisar"),"")</f>
        <v/>
      </c>
      <c r="J607" s="179" t="str">
        <f t="array" ref="J607">IF($F607&lt;&gt;"", XLOOKUP($F607,Productos!$A$2:$A1001,Productos!C$2:C1001,"")*$G607,"")</f>
        <v/>
      </c>
      <c r="K607" s="179" t="str">
        <f t="array" ref="K607">IF($F607&lt;&gt;"",XLOOKUP($F607,Productos!$A:$A,Productos!D:D,"Revisar"),"")</f>
        <v/>
      </c>
      <c r="L607" s="179" t="str">
        <f t="array" ref="L607">IF($F607&lt;&gt;"", XLOOKUP($F607,Productos!$A$2:$A1001,Productos!E$2:E1001,"")*$G607,"")</f>
        <v/>
      </c>
      <c r="M607" s="179" t="str">
        <f t="array" ref="M607">IF($F607&lt;&gt;"",XLOOKUP($F607,Productos!$A:$A,Productos!F:F,"Revisar"),"")</f>
        <v/>
      </c>
      <c r="N607" s="179" t="str">
        <f t="array" ref="N607">IF($F607&lt;&gt;"", XLOOKUP($F607,Productos!$A$2:$A1001,Productos!G$2:G1001,"")*$G607,"")</f>
        <v/>
      </c>
      <c r="O607" s="179" t="str">
        <f t="array" ref="O607">IF($F607&lt;&gt;"",XLOOKUP($F607,Productos!$A:$A,Productos!H:H,"Revisar"),"")</f>
        <v/>
      </c>
      <c r="P607" s="179" t="str">
        <f t="array" ref="P607">IF($F607&lt;&gt;"", XLOOKUP($F607,Productos!$A$2:$A1001,Productos!I$2:I1001,"")*$G607,"")</f>
        <v/>
      </c>
      <c r="Q607" s="179" t="str">
        <f t="array" ref="Q607">IF($F607&lt;&gt;"",XLOOKUP($F607,Productos!$A:$A,Productos!J:J,"Revisar"),"")</f>
        <v/>
      </c>
      <c r="R607" s="179" t="str">
        <f t="array" ref="R607">IF($F607&lt;&gt;"", XLOOKUP($F607,Productos!$A$2:$A1001,Productos!K$2:K1001,"")*$G607,"")</f>
        <v/>
      </c>
      <c r="S607" s="179" t="str">
        <f t="array" ref="S607">IF($F607&lt;&gt;"",XLOOKUP($F607,Productos!$A:$A,Productos!L:L,"Revisar"),"")</f>
        <v/>
      </c>
      <c r="T607" s="179" t="str">
        <f t="array" ref="T607">IF($F607&lt;&gt;"", XLOOKUP($F607,Productos!$A$2:$A1001,Productos!M$2:M1001,"")*$G607,"")</f>
        <v/>
      </c>
      <c r="U607" s="179" t="str">
        <f t="array" ref="U607">IF($F607&lt;&gt;"",XLOOKUP($F607,Productos!$A:$A,Productos!N:N,"Revisar"),"")</f>
        <v/>
      </c>
      <c r="V607" s="179" t="str">
        <f t="array" ref="V607">IF($F607&lt;&gt;"", XLOOKUP($F607,Productos!$A$2:$A1001,Productos!O$2:O1001,"")*$G607,"")</f>
        <v/>
      </c>
      <c r="W607" s="179" t="str">
        <f t="array" ref="W607">IF($F607&lt;&gt;"",XLOOKUP($F607,Productos!$A:$A,Productos!P:P,"Revisar"),"")</f>
        <v/>
      </c>
      <c r="X607" s="179" t="str">
        <f t="array" ref="X607">IF($F607&lt;&gt;"", XLOOKUP($F607,Productos!$A$2:$A1001,Productos!Q$2:Q1001,"")*$G607,"")</f>
        <v/>
      </c>
      <c r="Y607" s="179" t="str">
        <f t="array" ref="Y607">IF($F607&lt;&gt;"",XLOOKUP($F607,Productos!$A:$A,Productos!R:R,"Revisar"),"")</f>
        <v/>
      </c>
      <c r="Z607" s="179" t="str">
        <f t="array" ref="Z607">IF($F607&lt;&gt;"", XLOOKUP($F607,Productos!$A$2:$A1001,Productos!S$2:S1001,"")*$G607,"")</f>
        <v/>
      </c>
      <c r="AA607" s="179" t="str">
        <f t="array" ref="AA607">IF($F607&lt;&gt;"",XLOOKUP($F607,Productos!$A:$A,Productos!T:T,"Revisar"),"")</f>
        <v/>
      </c>
      <c r="AB607" s="179" t="str">
        <f t="array" ref="AB607">IF($F607&lt;&gt;"", XLOOKUP($F607,Productos!$A$2:$A1001,Productos!U$2:U1001,"")*$G607,"")</f>
        <v/>
      </c>
      <c r="AC607" s="179" t="str">
        <f t="array" ref="AC607">IF($F607&lt;&gt;"",XLOOKUP($F607,Productos!$A:$A,Productos!V:V,"Revisar"),"")</f>
        <v/>
      </c>
      <c r="AD607" s="179" t="str">
        <f t="array" ref="AD607">IF($F607&lt;&gt;"", XLOOKUP($F607,Productos!$A$2:$A1001,Productos!W$2:W1001,"")*$G607,"")</f>
        <v/>
      </c>
      <c r="AE607" s="179" t="str">
        <f t="array" ref="AE607">IF($F607&lt;&gt;"",XLOOKUP($F607,Productos!$A:$A,Productos!X:X,"Revisar"),"")</f>
        <v/>
      </c>
      <c r="AF607" s="179" t="str">
        <f t="array" ref="AF607">IF($F607&lt;&gt;"", XLOOKUP($F607,Productos!$A$2:$A1001,Productos!Y$2:Y1001,"")*$G607,"")</f>
        <v/>
      </c>
      <c r="AG607" s="179" t="str">
        <f t="array" ref="AG607">IF($F607&lt;&gt;"",XLOOKUP($F607,Productos!$A:$A,Productos!Z:Z,"Revisar"),"")</f>
        <v/>
      </c>
      <c r="AH607" s="179" t="str">
        <f t="array" ref="AH607">IF($F607&lt;&gt;"", XLOOKUP($F607,Productos!$A$2:$A1001,Productos!AA$2:AA1001,"")*$G607,"")</f>
        <v/>
      </c>
      <c r="AI607" s="179" t="str">
        <f t="array" ref="AI607">IF($F607&lt;&gt;"",XLOOKUP($F607,Productos!$A:$A,Productos!AB:AB,"Revisar"),"")</f>
        <v/>
      </c>
      <c r="AJ607" s="179" t="str">
        <f t="array" ref="AJ607">IF($F607&lt;&gt;"", XLOOKUP($F607,Productos!$A$2:$A1001,Productos!AC$2:AC1001,"")*$G607,"")</f>
        <v/>
      </c>
      <c r="AK607" s="179" t="str">
        <f t="array" ref="AK607">IF($F607&lt;&gt;"",XLOOKUP($F607,Productos!$A:$A,Productos!AD:AD,"Revisar"),"")</f>
        <v/>
      </c>
      <c r="AL607" s="179" t="str">
        <f t="array" ref="AL607">IF($F607&lt;&gt;"", XLOOKUP($F607,Productos!$A$2:$A1001,Productos!AE$2:AE1001,"")*$G607,"")</f>
        <v/>
      </c>
      <c r="AM607" s="179" t="str">
        <f t="array" ref="AM607">IF($F607&lt;&gt;"",XLOOKUP($F607,Productos!$A:$A,Productos!AF:AF,"Revisar"),"")</f>
        <v/>
      </c>
      <c r="AN607" s="179" t="str">
        <f t="array" ref="AN607">IF($F607&lt;&gt;"", XLOOKUP($F607,Productos!$A$2:$A1001,Productos!AG$2:AG1001,"")*$G607,"")</f>
        <v/>
      </c>
      <c r="AO607" s="179" t="str">
        <f t="array" ref="AO607">IF($F607&lt;&gt;"",XLOOKUP($F607,Productos!$A:$A,Productos!AH:AH,"Revisar"),"")</f>
        <v/>
      </c>
      <c r="AP607" s="179" t="str">
        <f t="array" ref="AP607">IF($F607&lt;&gt;"", XLOOKUP($F607,Productos!$A$2:$A1001,Productos!AI$2:AI1001,"")*$G607,"")</f>
        <v/>
      </c>
      <c r="AQ607" s="179" t="str">
        <f t="array" ref="AQ607">IF($F607&lt;&gt;"",XLOOKUP($F607,Productos!$A:$A,Productos!AJ:AJ,"Revisar"),"")</f>
        <v/>
      </c>
      <c r="AR607" s="179" t="str">
        <f t="array" ref="AR607">IF($F607&lt;&gt;"", XLOOKUP($F607,Productos!$A$2:$A1001,Productos!AK$2:AK1001,"")*$G607,"")</f>
        <v/>
      </c>
      <c r="AS607" s="179" t="str">
        <f t="array" ref="AS607">IF($F607&lt;&gt;"",XLOOKUP($F607,Productos!$A:$A,Productos!AL:AL,"Revisar"),"")</f>
        <v/>
      </c>
      <c r="AT607" s="179" t="str">
        <f t="array" ref="AT607">IF($F607&lt;&gt;"", XLOOKUP($F607,Productos!$A$2:$A1001,Productos!AM$2:AM1001,"")*$G607,"")</f>
        <v/>
      </c>
      <c r="AU607" s="179" t="str">
        <f t="array" ref="AU607">IF($F607&lt;&gt;"",XLOOKUP($F607,Productos!$A:$A,Productos!AN:AN,"Revisar"),"")</f>
        <v/>
      </c>
      <c r="AV607" s="179" t="str">
        <f t="array" ref="AV607">IF($F607&lt;&gt;"", XLOOKUP($F607,Productos!$A$2:$A1001,Productos!AO$2:AO1001,"")*$G607,"")</f>
        <v/>
      </c>
      <c r="AW607" s="179" t="str">
        <f t="array" ref="AW607">IF($F607&lt;&gt;"",XLOOKUP($F607,Productos!$A:$A,Productos!AP:AP,"Revisar"),"")</f>
        <v/>
      </c>
      <c r="AX607" s="179" t="str">
        <f t="array" ref="AX607">IF($F607&lt;&gt;"", XLOOKUP($F607,Productos!$A$2:$A1001,Productos!AQ$2:AQ1001,"")*$G607,"")</f>
        <v/>
      </c>
      <c r="AY607" s="179" t="str">
        <f t="array" ref="AY607">IF($F607&lt;&gt;"",XLOOKUP($F607,Productos!$A:$A,Productos!AR:AR,"Revisar"),"")</f>
        <v/>
      </c>
      <c r="AZ607" s="179" t="str">
        <f t="array" ref="AZ607">IF($F607&lt;&gt;"", XLOOKUP($F607,Productos!$A$2:$A1001,Productos!AS$2:AS1001,"")*$G607,"")</f>
        <v/>
      </c>
      <c r="BA607" s="179" t="str">
        <f t="array" ref="BA607">IF($F607&lt;&gt;"",XLOOKUP($F607,Productos!$A:$A,Productos!AT:AT,"Revisar"),"")</f>
        <v/>
      </c>
      <c r="BB607" s="179" t="str">
        <f t="array" ref="BB607">IF($F607&lt;&gt;"", XLOOKUP($F607,Productos!$A$2:$A1001,Productos!AU$2:AU1001,"")*$G607,"")</f>
        <v/>
      </c>
      <c r="BC607" s="179" t="str">
        <f t="array" ref="BC607">IF($F607&lt;&gt;"",XLOOKUP($F607,Productos!$A:$A,Productos!AV:AV,"Revisar"),"")</f>
        <v/>
      </c>
      <c r="BD607" s="179" t="str">
        <f t="array" ref="BD607">IF($F607&lt;&gt;"", XLOOKUP($F607,Productos!$A$2:$A1001,Productos!AW$2:AW1001,"")*$G607,"")</f>
        <v/>
      </c>
      <c r="BE607" s="179" t="str">
        <f t="array" ref="BE607">IF($F607&lt;&gt;"",XLOOKUP($F607,Productos!$A:$A,Productos!AX:AX,"Revisar"),"")</f>
        <v/>
      </c>
      <c r="BF607" s="179" t="str">
        <f t="array" ref="BF607">IF($F607&lt;&gt;"", XLOOKUP($F607,Productos!$A$2:$A1001,Productos!AY$2:AY1001,"")*$G607,"")</f>
        <v/>
      </c>
      <c r="BG607" s="179" t="str">
        <f t="array" ref="BG607">IF($F607&lt;&gt;"",XLOOKUP($F607,Productos!$A:$A,Productos!AZ:AZ,"Revisar"),"")</f>
        <v/>
      </c>
      <c r="BH607" s="179" t="str">
        <f t="array" ref="BH607">IF($F607&lt;&gt;"", XLOOKUP($F607,Productos!$A$2:$A1001,Productos!BA$2:BA1001,"")*$G607,"")</f>
        <v/>
      </c>
      <c r="BI607" s="179" t="str">
        <f t="array" ref="BI607">IF($F607&lt;&gt;"",XLOOKUP($F607,Productos!$A:$A,Productos!BB:BB,"Revisar"),"")</f>
        <v/>
      </c>
      <c r="BJ607" s="179" t="str">
        <f t="array" ref="BJ607">IF($F607&lt;&gt;"", XLOOKUP($F607,Productos!$A$2:$A1001,Productos!BC$2:BC1001,"")*$G607,"")</f>
        <v/>
      </c>
      <c r="BK607" s="179" t="str">
        <f t="array" ref="BK607">IF($F607&lt;&gt;"",XLOOKUP($F607,Productos!$A:$A,Productos!BD:BD,"Revisar"),"")</f>
        <v/>
      </c>
      <c r="BL607" s="179" t="str">
        <f t="array" ref="BL607">IF($F607&lt;&gt;"", XLOOKUP($F607,Productos!$A$2:$A1001,Productos!BE$2:BE1001,"")*$G607,"")</f>
        <v/>
      </c>
      <c r="BM607" s="179" t="str">
        <f t="array" ref="BM607">IF($F607&lt;&gt;"",XLOOKUP($F607,Productos!$A:$A,Productos!BF:BF,"Revisar"),"")</f>
        <v/>
      </c>
      <c r="BN607" s="179" t="str">
        <f t="array" ref="BN607">IF($F607&lt;&gt;"", XLOOKUP($F607,Productos!$A$2:$A1001,Productos!BG$2:BG1001,"")*$G607,"")</f>
        <v/>
      </c>
      <c r="BO607" s="179" t="str">
        <f t="array" ref="BO607">IF($F607&lt;&gt;"",XLOOKUP($F607,Productos!$A:$A,Productos!BH:BH,"Revisar"),"")</f>
        <v/>
      </c>
      <c r="BP607" s="179" t="str">
        <f t="array" ref="BP607">IF($F607&lt;&gt;"", XLOOKUP($F607,Productos!$A$2:$A1001,Productos!BI$2:BI1001,"")*$G607,"")</f>
        <v/>
      </c>
      <c r="BQ607" s="179" t="str">
        <f t="array" ref="BQ607">IF($F607&lt;&gt;"",XLOOKUP($F607,Productos!$A:$A,Productos!BJ:BJ,"Revisar"),"")</f>
        <v/>
      </c>
      <c r="BR607" s="179" t="str">
        <f t="array" ref="BR607">IF($F607&lt;&gt;"", XLOOKUP($F607,Productos!$A$2:$A1001,Productos!BK$2:BK1001,"")*$G607,"")</f>
        <v/>
      </c>
      <c r="BS607" s="179" t="str">
        <f t="array" ref="BS607">IF($F607&lt;&gt;"",XLOOKUP($F607,Productos!$A:$A,Productos!BL:BL,"Revisar"),"")</f>
        <v/>
      </c>
      <c r="BT607" s="179" t="str">
        <f t="array" ref="BT607">IF($F607&lt;&gt;"", XLOOKUP($F607,Productos!$A$2:$A1001,Productos!BM$2:BM1001,"")*$G607,"")</f>
        <v/>
      </c>
      <c r="BU607" s="179" t="str">
        <f t="array" ref="BU607">IF($F607&lt;&gt;"",XLOOKUP($F607,Productos!$A:$A,Productos!BN:BN,"Revisar"),"")</f>
        <v/>
      </c>
      <c r="BV607" s="179" t="str">
        <f t="array" ref="BV607">IF($F607&lt;&gt;"", XLOOKUP($F607,Productos!$A$2:$A1001,Productos!BO$2:BO1001,"")*$G607,"")</f>
        <v/>
      </c>
      <c r="BW607" s="179" t="str">
        <f t="array" ref="BW607">IF($F607&lt;&gt;"",XLOOKUP($F607,Productos!$A:$A,Productos!BP:BP,"Revisar"),"")</f>
        <v/>
      </c>
      <c r="BX607" s="179" t="str">
        <f t="array" ref="BX607">IF($F607&lt;&gt;"", XLOOKUP($F607,Productos!$A$2:$A1001,Productos!BQ$2:BQ1001,"")*$G607,"")</f>
        <v/>
      </c>
      <c r="BY607" s="179" t="str">
        <f t="array" ref="BY607">IF($F607&lt;&gt;"",XLOOKUP($F607,Productos!$A:$A,Productos!BR:BR,"Revisar"),"")</f>
        <v/>
      </c>
      <c r="BZ607" s="179" t="str">
        <f t="array" ref="BZ607">IF($F607&lt;&gt;"", XLOOKUP($F607,Productos!$A$2:$A1001,Productos!BS$2:BS1001,"")*$G607,"")</f>
        <v/>
      </c>
    </row>
    <row r="608">
      <c r="A608" s="188"/>
      <c r="B608" s="189"/>
      <c r="C608" s="190"/>
      <c r="D608" s="190"/>
      <c r="E608" s="191"/>
      <c r="F608" s="186"/>
      <c r="G608" s="192"/>
      <c r="H608" s="9"/>
      <c r="I608" s="179" t="str">
        <f t="array" ref="I608">IF($F608&lt;&gt;"",XLOOKUP($F608,Productos!$A:$A,Productos!B:B,"Revisar"),"")</f>
        <v/>
      </c>
      <c r="J608" s="179" t="str">
        <f t="array" ref="J608">IF($F608&lt;&gt;"", XLOOKUP($F608,Productos!$A$2:$A1001,Productos!C$2:C1001,"")*$G608,"")</f>
        <v/>
      </c>
      <c r="K608" s="179" t="str">
        <f t="array" ref="K608">IF($F608&lt;&gt;"",XLOOKUP($F608,Productos!$A:$A,Productos!D:D,"Revisar"),"")</f>
        <v/>
      </c>
      <c r="L608" s="179" t="str">
        <f t="array" ref="L608">IF($F608&lt;&gt;"", XLOOKUP($F608,Productos!$A$2:$A1001,Productos!E$2:E1001,"")*$G608,"")</f>
        <v/>
      </c>
      <c r="M608" s="179" t="str">
        <f t="array" ref="M608">IF($F608&lt;&gt;"",XLOOKUP($F608,Productos!$A:$A,Productos!F:F,"Revisar"),"")</f>
        <v/>
      </c>
      <c r="N608" s="179" t="str">
        <f t="array" ref="N608">IF($F608&lt;&gt;"", XLOOKUP($F608,Productos!$A$2:$A1001,Productos!G$2:G1001,"")*$G608,"")</f>
        <v/>
      </c>
      <c r="O608" s="179" t="str">
        <f t="array" ref="O608">IF($F608&lt;&gt;"",XLOOKUP($F608,Productos!$A:$A,Productos!H:H,"Revisar"),"")</f>
        <v/>
      </c>
      <c r="P608" s="179" t="str">
        <f t="array" ref="P608">IF($F608&lt;&gt;"", XLOOKUP($F608,Productos!$A$2:$A1001,Productos!I$2:I1001,"")*$G608,"")</f>
        <v/>
      </c>
      <c r="Q608" s="179" t="str">
        <f t="array" ref="Q608">IF($F608&lt;&gt;"",XLOOKUP($F608,Productos!$A:$A,Productos!J:J,"Revisar"),"")</f>
        <v/>
      </c>
      <c r="R608" s="179" t="str">
        <f t="array" ref="R608">IF($F608&lt;&gt;"", XLOOKUP($F608,Productos!$A$2:$A1001,Productos!K$2:K1001,"")*$G608,"")</f>
        <v/>
      </c>
      <c r="S608" s="179" t="str">
        <f t="array" ref="S608">IF($F608&lt;&gt;"",XLOOKUP($F608,Productos!$A:$A,Productos!L:L,"Revisar"),"")</f>
        <v/>
      </c>
      <c r="T608" s="179" t="str">
        <f t="array" ref="T608">IF($F608&lt;&gt;"", XLOOKUP($F608,Productos!$A$2:$A1001,Productos!M$2:M1001,"")*$G608,"")</f>
        <v/>
      </c>
      <c r="U608" s="179" t="str">
        <f t="array" ref="U608">IF($F608&lt;&gt;"",XLOOKUP($F608,Productos!$A:$A,Productos!N:N,"Revisar"),"")</f>
        <v/>
      </c>
      <c r="V608" s="179" t="str">
        <f t="array" ref="V608">IF($F608&lt;&gt;"", XLOOKUP($F608,Productos!$A$2:$A1001,Productos!O$2:O1001,"")*$G608,"")</f>
        <v/>
      </c>
      <c r="W608" s="179" t="str">
        <f t="array" ref="W608">IF($F608&lt;&gt;"",XLOOKUP($F608,Productos!$A:$A,Productos!P:P,"Revisar"),"")</f>
        <v/>
      </c>
      <c r="X608" s="179" t="str">
        <f t="array" ref="X608">IF($F608&lt;&gt;"", XLOOKUP($F608,Productos!$A$2:$A1001,Productos!Q$2:Q1001,"")*$G608,"")</f>
        <v/>
      </c>
      <c r="Y608" s="179" t="str">
        <f t="array" ref="Y608">IF($F608&lt;&gt;"",XLOOKUP($F608,Productos!$A:$A,Productos!R:R,"Revisar"),"")</f>
        <v/>
      </c>
      <c r="Z608" s="179" t="str">
        <f t="array" ref="Z608">IF($F608&lt;&gt;"", XLOOKUP($F608,Productos!$A$2:$A1001,Productos!S$2:S1001,"")*$G608,"")</f>
        <v/>
      </c>
      <c r="AA608" s="179" t="str">
        <f t="array" ref="AA608">IF($F608&lt;&gt;"",XLOOKUP($F608,Productos!$A:$A,Productos!T:T,"Revisar"),"")</f>
        <v/>
      </c>
      <c r="AB608" s="179" t="str">
        <f t="array" ref="AB608">IF($F608&lt;&gt;"", XLOOKUP($F608,Productos!$A$2:$A1001,Productos!U$2:U1001,"")*$G608,"")</f>
        <v/>
      </c>
      <c r="AC608" s="179" t="str">
        <f t="array" ref="AC608">IF($F608&lt;&gt;"",XLOOKUP($F608,Productos!$A:$A,Productos!V:V,"Revisar"),"")</f>
        <v/>
      </c>
      <c r="AD608" s="179" t="str">
        <f t="array" ref="AD608">IF($F608&lt;&gt;"", XLOOKUP($F608,Productos!$A$2:$A1001,Productos!W$2:W1001,"")*$G608,"")</f>
        <v/>
      </c>
      <c r="AE608" s="179" t="str">
        <f t="array" ref="AE608">IF($F608&lt;&gt;"",XLOOKUP($F608,Productos!$A:$A,Productos!X:X,"Revisar"),"")</f>
        <v/>
      </c>
      <c r="AF608" s="179" t="str">
        <f t="array" ref="AF608">IF($F608&lt;&gt;"", XLOOKUP($F608,Productos!$A$2:$A1001,Productos!Y$2:Y1001,"")*$G608,"")</f>
        <v/>
      </c>
      <c r="AG608" s="179" t="str">
        <f t="array" ref="AG608">IF($F608&lt;&gt;"",XLOOKUP($F608,Productos!$A:$A,Productos!Z:Z,"Revisar"),"")</f>
        <v/>
      </c>
      <c r="AH608" s="179" t="str">
        <f t="array" ref="AH608">IF($F608&lt;&gt;"", XLOOKUP($F608,Productos!$A$2:$A1001,Productos!AA$2:AA1001,"")*$G608,"")</f>
        <v/>
      </c>
      <c r="AI608" s="179" t="str">
        <f t="array" ref="AI608">IF($F608&lt;&gt;"",XLOOKUP($F608,Productos!$A:$A,Productos!AB:AB,"Revisar"),"")</f>
        <v/>
      </c>
      <c r="AJ608" s="179" t="str">
        <f t="array" ref="AJ608">IF($F608&lt;&gt;"", XLOOKUP($F608,Productos!$A$2:$A1001,Productos!AC$2:AC1001,"")*$G608,"")</f>
        <v/>
      </c>
      <c r="AK608" s="179" t="str">
        <f t="array" ref="AK608">IF($F608&lt;&gt;"",XLOOKUP($F608,Productos!$A:$A,Productos!AD:AD,"Revisar"),"")</f>
        <v/>
      </c>
      <c r="AL608" s="179" t="str">
        <f t="array" ref="AL608">IF($F608&lt;&gt;"", XLOOKUP($F608,Productos!$A$2:$A1001,Productos!AE$2:AE1001,"")*$G608,"")</f>
        <v/>
      </c>
      <c r="AM608" s="179" t="str">
        <f t="array" ref="AM608">IF($F608&lt;&gt;"",XLOOKUP($F608,Productos!$A:$A,Productos!AF:AF,"Revisar"),"")</f>
        <v/>
      </c>
      <c r="AN608" s="179" t="str">
        <f t="array" ref="AN608">IF($F608&lt;&gt;"", XLOOKUP($F608,Productos!$A$2:$A1001,Productos!AG$2:AG1001,"")*$G608,"")</f>
        <v/>
      </c>
      <c r="AO608" s="179" t="str">
        <f t="array" ref="AO608">IF($F608&lt;&gt;"",XLOOKUP($F608,Productos!$A:$A,Productos!AH:AH,"Revisar"),"")</f>
        <v/>
      </c>
      <c r="AP608" s="179" t="str">
        <f t="array" ref="AP608">IF($F608&lt;&gt;"", XLOOKUP($F608,Productos!$A$2:$A1001,Productos!AI$2:AI1001,"")*$G608,"")</f>
        <v/>
      </c>
      <c r="AQ608" s="179" t="str">
        <f t="array" ref="AQ608">IF($F608&lt;&gt;"",XLOOKUP($F608,Productos!$A:$A,Productos!AJ:AJ,"Revisar"),"")</f>
        <v/>
      </c>
      <c r="AR608" s="179" t="str">
        <f t="array" ref="AR608">IF($F608&lt;&gt;"", XLOOKUP($F608,Productos!$A$2:$A1001,Productos!AK$2:AK1001,"")*$G608,"")</f>
        <v/>
      </c>
      <c r="AS608" s="179" t="str">
        <f t="array" ref="AS608">IF($F608&lt;&gt;"",XLOOKUP($F608,Productos!$A:$A,Productos!AL:AL,"Revisar"),"")</f>
        <v/>
      </c>
      <c r="AT608" s="179" t="str">
        <f t="array" ref="AT608">IF($F608&lt;&gt;"", XLOOKUP($F608,Productos!$A$2:$A1001,Productos!AM$2:AM1001,"")*$G608,"")</f>
        <v/>
      </c>
      <c r="AU608" s="179" t="str">
        <f t="array" ref="AU608">IF($F608&lt;&gt;"",XLOOKUP($F608,Productos!$A:$A,Productos!AN:AN,"Revisar"),"")</f>
        <v/>
      </c>
      <c r="AV608" s="179" t="str">
        <f t="array" ref="AV608">IF($F608&lt;&gt;"", XLOOKUP($F608,Productos!$A$2:$A1001,Productos!AO$2:AO1001,"")*$G608,"")</f>
        <v/>
      </c>
      <c r="AW608" s="179" t="str">
        <f t="array" ref="AW608">IF($F608&lt;&gt;"",XLOOKUP($F608,Productos!$A:$A,Productos!AP:AP,"Revisar"),"")</f>
        <v/>
      </c>
      <c r="AX608" s="179" t="str">
        <f t="array" ref="AX608">IF($F608&lt;&gt;"", XLOOKUP($F608,Productos!$A$2:$A1001,Productos!AQ$2:AQ1001,"")*$G608,"")</f>
        <v/>
      </c>
      <c r="AY608" s="179" t="str">
        <f t="array" ref="AY608">IF($F608&lt;&gt;"",XLOOKUP($F608,Productos!$A:$A,Productos!AR:AR,"Revisar"),"")</f>
        <v/>
      </c>
      <c r="AZ608" s="179" t="str">
        <f t="array" ref="AZ608">IF($F608&lt;&gt;"", XLOOKUP($F608,Productos!$A$2:$A1001,Productos!AS$2:AS1001,"")*$G608,"")</f>
        <v/>
      </c>
      <c r="BA608" s="179" t="str">
        <f t="array" ref="BA608">IF($F608&lt;&gt;"",XLOOKUP($F608,Productos!$A:$A,Productos!AT:AT,"Revisar"),"")</f>
        <v/>
      </c>
      <c r="BB608" s="179" t="str">
        <f t="array" ref="BB608">IF($F608&lt;&gt;"", XLOOKUP($F608,Productos!$A$2:$A1001,Productos!AU$2:AU1001,"")*$G608,"")</f>
        <v/>
      </c>
      <c r="BC608" s="179" t="str">
        <f t="array" ref="BC608">IF($F608&lt;&gt;"",XLOOKUP($F608,Productos!$A:$A,Productos!AV:AV,"Revisar"),"")</f>
        <v/>
      </c>
      <c r="BD608" s="179" t="str">
        <f t="array" ref="BD608">IF($F608&lt;&gt;"", XLOOKUP($F608,Productos!$A$2:$A1001,Productos!AW$2:AW1001,"")*$G608,"")</f>
        <v/>
      </c>
      <c r="BE608" s="179" t="str">
        <f t="array" ref="BE608">IF($F608&lt;&gt;"",XLOOKUP($F608,Productos!$A:$A,Productos!AX:AX,"Revisar"),"")</f>
        <v/>
      </c>
      <c r="BF608" s="179" t="str">
        <f t="array" ref="BF608">IF($F608&lt;&gt;"", XLOOKUP($F608,Productos!$A$2:$A1001,Productos!AY$2:AY1001,"")*$G608,"")</f>
        <v/>
      </c>
      <c r="BG608" s="179" t="str">
        <f t="array" ref="BG608">IF($F608&lt;&gt;"",XLOOKUP($F608,Productos!$A:$A,Productos!AZ:AZ,"Revisar"),"")</f>
        <v/>
      </c>
      <c r="BH608" s="179" t="str">
        <f t="array" ref="BH608">IF($F608&lt;&gt;"", XLOOKUP($F608,Productos!$A$2:$A1001,Productos!BA$2:BA1001,"")*$G608,"")</f>
        <v/>
      </c>
      <c r="BI608" s="179" t="str">
        <f t="array" ref="BI608">IF($F608&lt;&gt;"",XLOOKUP($F608,Productos!$A:$A,Productos!BB:BB,"Revisar"),"")</f>
        <v/>
      </c>
      <c r="BJ608" s="179" t="str">
        <f t="array" ref="BJ608">IF($F608&lt;&gt;"", XLOOKUP($F608,Productos!$A$2:$A1001,Productos!BC$2:BC1001,"")*$G608,"")</f>
        <v/>
      </c>
      <c r="BK608" s="179" t="str">
        <f t="array" ref="BK608">IF($F608&lt;&gt;"",XLOOKUP($F608,Productos!$A:$A,Productos!BD:BD,"Revisar"),"")</f>
        <v/>
      </c>
      <c r="BL608" s="179" t="str">
        <f t="array" ref="BL608">IF($F608&lt;&gt;"", XLOOKUP($F608,Productos!$A$2:$A1001,Productos!BE$2:BE1001,"")*$G608,"")</f>
        <v/>
      </c>
      <c r="BM608" s="179" t="str">
        <f t="array" ref="BM608">IF($F608&lt;&gt;"",XLOOKUP($F608,Productos!$A:$A,Productos!BF:BF,"Revisar"),"")</f>
        <v/>
      </c>
      <c r="BN608" s="179" t="str">
        <f t="array" ref="BN608">IF($F608&lt;&gt;"", XLOOKUP($F608,Productos!$A$2:$A1001,Productos!BG$2:BG1001,"")*$G608,"")</f>
        <v/>
      </c>
      <c r="BO608" s="179" t="str">
        <f t="array" ref="BO608">IF($F608&lt;&gt;"",XLOOKUP($F608,Productos!$A:$A,Productos!BH:BH,"Revisar"),"")</f>
        <v/>
      </c>
      <c r="BP608" s="179" t="str">
        <f t="array" ref="BP608">IF($F608&lt;&gt;"", XLOOKUP($F608,Productos!$A$2:$A1001,Productos!BI$2:BI1001,"")*$G608,"")</f>
        <v/>
      </c>
      <c r="BQ608" s="179" t="str">
        <f t="array" ref="BQ608">IF($F608&lt;&gt;"",XLOOKUP($F608,Productos!$A:$A,Productos!BJ:BJ,"Revisar"),"")</f>
        <v/>
      </c>
      <c r="BR608" s="179" t="str">
        <f t="array" ref="BR608">IF($F608&lt;&gt;"", XLOOKUP($F608,Productos!$A$2:$A1001,Productos!BK$2:BK1001,"")*$G608,"")</f>
        <v/>
      </c>
      <c r="BS608" s="179" t="str">
        <f t="array" ref="BS608">IF($F608&lt;&gt;"",XLOOKUP($F608,Productos!$A:$A,Productos!BL:BL,"Revisar"),"")</f>
        <v/>
      </c>
      <c r="BT608" s="179" t="str">
        <f t="array" ref="BT608">IF($F608&lt;&gt;"", XLOOKUP($F608,Productos!$A$2:$A1001,Productos!BM$2:BM1001,"")*$G608,"")</f>
        <v/>
      </c>
      <c r="BU608" s="179" t="str">
        <f t="array" ref="BU608">IF($F608&lt;&gt;"",XLOOKUP($F608,Productos!$A:$A,Productos!BN:BN,"Revisar"),"")</f>
        <v/>
      </c>
      <c r="BV608" s="179" t="str">
        <f t="array" ref="BV608">IF($F608&lt;&gt;"", XLOOKUP($F608,Productos!$A$2:$A1001,Productos!BO$2:BO1001,"")*$G608,"")</f>
        <v/>
      </c>
      <c r="BW608" s="179" t="str">
        <f t="array" ref="BW608">IF($F608&lt;&gt;"",XLOOKUP($F608,Productos!$A:$A,Productos!BP:BP,"Revisar"),"")</f>
        <v/>
      </c>
      <c r="BX608" s="179" t="str">
        <f t="array" ref="BX608">IF($F608&lt;&gt;"", XLOOKUP($F608,Productos!$A$2:$A1001,Productos!BQ$2:BQ1001,"")*$G608,"")</f>
        <v/>
      </c>
      <c r="BY608" s="179" t="str">
        <f t="array" ref="BY608">IF($F608&lt;&gt;"",XLOOKUP($F608,Productos!$A:$A,Productos!BR:BR,"Revisar"),"")</f>
        <v/>
      </c>
      <c r="BZ608" s="179" t="str">
        <f t="array" ref="BZ608">IF($F608&lt;&gt;"", XLOOKUP($F608,Productos!$A$2:$A1001,Productos!BS$2:BS1001,"")*$G608,"")</f>
        <v/>
      </c>
    </row>
    <row r="609">
      <c r="A609" s="188"/>
      <c r="B609" s="189"/>
      <c r="C609" s="190"/>
      <c r="D609" s="190"/>
      <c r="E609" s="191"/>
      <c r="F609" s="186"/>
      <c r="G609" s="192"/>
      <c r="H609" s="9"/>
      <c r="I609" s="179" t="str">
        <f t="array" ref="I609">IF($F609&lt;&gt;"",XLOOKUP($F609,Productos!$A:$A,Productos!B:B,"Revisar"),"")</f>
        <v/>
      </c>
      <c r="J609" s="179" t="str">
        <f t="array" ref="J609">IF($F609&lt;&gt;"", XLOOKUP($F609,Productos!$A$2:$A1001,Productos!C$2:C1001,"")*$G609,"")</f>
        <v/>
      </c>
      <c r="K609" s="179" t="str">
        <f t="array" ref="K609">IF($F609&lt;&gt;"",XLOOKUP($F609,Productos!$A:$A,Productos!D:D,"Revisar"),"")</f>
        <v/>
      </c>
      <c r="L609" s="179" t="str">
        <f t="array" ref="L609">IF($F609&lt;&gt;"", XLOOKUP($F609,Productos!$A$2:$A1001,Productos!E$2:E1001,"")*$G609,"")</f>
        <v/>
      </c>
      <c r="M609" s="179" t="str">
        <f t="array" ref="M609">IF($F609&lt;&gt;"",XLOOKUP($F609,Productos!$A:$A,Productos!F:F,"Revisar"),"")</f>
        <v/>
      </c>
      <c r="N609" s="179" t="str">
        <f t="array" ref="N609">IF($F609&lt;&gt;"", XLOOKUP($F609,Productos!$A$2:$A1001,Productos!G$2:G1001,"")*$G609,"")</f>
        <v/>
      </c>
      <c r="O609" s="179" t="str">
        <f t="array" ref="O609">IF($F609&lt;&gt;"",XLOOKUP($F609,Productos!$A:$A,Productos!H:H,"Revisar"),"")</f>
        <v/>
      </c>
      <c r="P609" s="179" t="str">
        <f t="array" ref="P609">IF($F609&lt;&gt;"", XLOOKUP($F609,Productos!$A$2:$A1001,Productos!I$2:I1001,"")*$G609,"")</f>
        <v/>
      </c>
      <c r="Q609" s="179" t="str">
        <f t="array" ref="Q609">IF($F609&lt;&gt;"",XLOOKUP($F609,Productos!$A:$A,Productos!J:J,"Revisar"),"")</f>
        <v/>
      </c>
      <c r="R609" s="179" t="str">
        <f t="array" ref="R609">IF($F609&lt;&gt;"", XLOOKUP($F609,Productos!$A$2:$A1001,Productos!K$2:K1001,"")*$G609,"")</f>
        <v/>
      </c>
      <c r="S609" s="179" t="str">
        <f t="array" ref="S609">IF($F609&lt;&gt;"",XLOOKUP($F609,Productos!$A:$A,Productos!L:L,"Revisar"),"")</f>
        <v/>
      </c>
      <c r="T609" s="179" t="str">
        <f t="array" ref="T609">IF($F609&lt;&gt;"", XLOOKUP($F609,Productos!$A$2:$A1001,Productos!M$2:M1001,"")*$G609,"")</f>
        <v/>
      </c>
      <c r="U609" s="179" t="str">
        <f t="array" ref="U609">IF($F609&lt;&gt;"",XLOOKUP($F609,Productos!$A:$A,Productos!N:N,"Revisar"),"")</f>
        <v/>
      </c>
      <c r="V609" s="179" t="str">
        <f t="array" ref="V609">IF($F609&lt;&gt;"", XLOOKUP($F609,Productos!$A$2:$A1001,Productos!O$2:O1001,"")*$G609,"")</f>
        <v/>
      </c>
      <c r="W609" s="179" t="str">
        <f t="array" ref="W609">IF($F609&lt;&gt;"",XLOOKUP($F609,Productos!$A:$A,Productos!P:P,"Revisar"),"")</f>
        <v/>
      </c>
      <c r="X609" s="179" t="str">
        <f t="array" ref="X609">IF($F609&lt;&gt;"", XLOOKUP($F609,Productos!$A$2:$A1001,Productos!Q$2:Q1001,"")*$G609,"")</f>
        <v/>
      </c>
      <c r="Y609" s="179" t="str">
        <f t="array" ref="Y609">IF($F609&lt;&gt;"",XLOOKUP($F609,Productos!$A:$A,Productos!R:R,"Revisar"),"")</f>
        <v/>
      </c>
      <c r="Z609" s="179" t="str">
        <f t="array" ref="Z609">IF($F609&lt;&gt;"", XLOOKUP($F609,Productos!$A$2:$A1001,Productos!S$2:S1001,"")*$G609,"")</f>
        <v/>
      </c>
      <c r="AA609" s="179" t="str">
        <f t="array" ref="AA609">IF($F609&lt;&gt;"",XLOOKUP($F609,Productos!$A:$A,Productos!T:T,"Revisar"),"")</f>
        <v/>
      </c>
      <c r="AB609" s="179" t="str">
        <f t="array" ref="AB609">IF($F609&lt;&gt;"", XLOOKUP($F609,Productos!$A$2:$A1001,Productos!U$2:U1001,"")*$G609,"")</f>
        <v/>
      </c>
      <c r="AC609" s="179" t="str">
        <f t="array" ref="AC609">IF($F609&lt;&gt;"",XLOOKUP($F609,Productos!$A:$A,Productos!V:V,"Revisar"),"")</f>
        <v/>
      </c>
      <c r="AD609" s="179" t="str">
        <f t="array" ref="AD609">IF($F609&lt;&gt;"", XLOOKUP($F609,Productos!$A$2:$A1001,Productos!W$2:W1001,"")*$G609,"")</f>
        <v/>
      </c>
      <c r="AE609" s="179" t="str">
        <f t="array" ref="AE609">IF($F609&lt;&gt;"",XLOOKUP($F609,Productos!$A:$A,Productos!X:X,"Revisar"),"")</f>
        <v/>
      </c>
      <c r="AF609" s="179" t="str">
        <f t="array" ref="AF609">IF($F609&lt;&gt;"", XLOOKUP($F609,Productos!$A$2:$A1001,Productos!Y$2:Y1001,"")*$G609,"")</f>
        <v/>
      </c>
      <c r="AG609" s="179" t="str">
        <f t="array" ref="AG609">IF($F609&lt;&gt;"",XLOOKUP($F609,Productos!$A:$A,Productos!Z:Z,"Revisar"),"")</f>
        <v/>
      </c>
      <c r="AH609" s="179" t="str">
        <f t="array" ref="AH609">IF($F609&lt;&gt;"", XLOOKUP($F609,Productos!$A$2:$A1001,Productos!AA$2:AA1001,"")*$G609,"")</f>
        <v/>
      </c>
      <c r="AI609" s="179" t="str">
        <f t="array" ref="AI609">IF($F609&lt;&gt;"",XLOOKUP($F609,Productos!$A:$A,Productos!AB:AB,"Revisar"),"")</f>
        <v/>
      </c>
      <c r="AJ609" s="179" t="str">
        <f t="array" ref="AJ609">IF($F609&lt;&gt;"", XLOOKUP($F609,Productos!$A$2:$A1001,Productos!AC$2:AC1001,"")*$G609,"")</f>
        <v/>
      </c>
      <c r="AK609" s="179" t="str">
        <f t="array" ref="AK609">IF($F609&lt;&gt;"",XLOOKUP($F609,Productos!$A:$A,Productos!AD:AD,"Revisar"),"")</f>
        <v/>
      </c>
      <c r="AL609" s="179" t="str">
        <f t="array" ref="AL609">IF($F609&lt;&gt;"", XLOOKUP($F609,Productos!$A$2:$A1001,Productos!AE$2:AE1001,"")*$G609,"")</f>
        <v/>
      </c>
      <c r="AM609" s="179" t="str">
        <f t="array" ref="AM609">IF($F609&lt;&gt;"",XLOOKUP($F609,Productos!$A:$A,Productos!AF:AF,"Revisar"),"")</f>
        <v/>
      </c>
      <c r="AN609" s="179" t="str">
        <f t="array" ref="AN609">IF($F609&lt;&gt;"", XLOOKUP($F609,Productos!$A$2:$A1001,Productos!AG$2:AG1001,"")*$G609,"")</f>
        <v/>
      </c>
      <c r="AO609" s="179" t="str">
        <f t="array" ref="AO609">IF($F609&lt;&gt;"",XLOOKUP($F609,Productos!$A:$A,Productos!AH:AH,"Revisar"),"")</f>
        <v/>
      </c>
      <c r="AP609" s="179" t="str">
        <f t="array" ref="AP609">IF($F609&lt;&gt;"", XLOOKUP($F609,Productos!$A$2:$A1001,Productos!AI$2:AI1001,"")*$G609,"")</f>
        <v/>
      </c>
      <c r="AQ609" s="179" t="str">
        <f t="array" ref="AQ609">IF($F609&lt;&gt;"",XLOOKUP($F609,Productos!$A:$A,Productos!AJ:AJ,"Revisar"),"")</f>
        <v/>
      </c>
      <c r="AR609" s="179" t="str">
        <f t="array" ref="AR609">IF($F609&lt;&gt;"", XLOOKUP($F609,Productos!$A$2:$A1001,Productos!AK$2:AK1001,"")*$G609,"")</f>
        <v/>
      </c>
      <c r="AS609" s="179" t="str">
        <f t="array" ref="AS609">IF($F609&lt;&gt;"",XLOOKUP($F609,Productos!$A:$A,Productos!AL:AL,"Revisar"),"")</f>
        <v/>
      </c>
      <c r="AT609" s="179" t="str">
        <f t="array" ref="AT609">IF($F609&lt;&gt;"", XLOOKUP($F609,Productos!$A$2:$A1001,Productos!AM$2:AM1001,"")*$G609,"")</f>
        <v/>
      </c>
      <c r="AU609" s="179" t="str">
        <f t="array" ref="AU609">IF($F609&lt;&gt;"",XLOOKUP($F609,Productos!$A:$A,Productos!AN:AN,"Revisar"),"")</f>
        <v/>
      </c>
      <c r="AV609" s="179" t="str">
        <f t="array" ref="AV609">IF($F609&lt;&gt;"", XLOOKUP($F609,Productos!$A$2:$A1001,Productos!AO$2:AO1001,"")*$G609,"")</f>
        <v/>
      </c>
      <c r="AW609" s="179" t="str">
        <f t="array" ref="AW609">IF($F609&lt;&gt;"",XLOOKUP($F609,Productos!$A:$A,Productos!AP:AP,"Revisar"),"")</f>
        <v/>
      </c>
      <c r="AX609" s="179" t="str">
        <f t="array" ref="AX609">IF($F609&lt;&gt;"", XLOOKUP($F609,Productos!$A$2:$A1001,Productos!AQ$2:AQ1001,"")*$G609,"")</f>
        <v/>
      </c>
      <c r="AY609" s="179" t="str">
        <f t="array" ref="AY609">IF($F609&lt;&gt;"",XLOOKUP($F609,Productos!$A:$A,Productos!AR:AR,"Revisar"),"")</f>
        <v/>
      </c>
      <c r="AZ609" s="179" t="str">
        <f t="array" ref="AZ609">IF($F609&lt;&gt;"", XLOOKUP($F609,Productos!$A$2:$A1001,Productos!AS$2:AS1001,"")*$G609,"")</f>
        <v/>
      </c>
      <c r="BA609" s="179" t="str">
        <f t="array" ref="BA609">IF($F609&lt;&gt;"",XLOOKUP($F609,Productos!$A:$A,Productos!AT:AT,"Revisar"),"")</f>
        <v/>
      </c>
      <c r="BB609" s="179" t="str">
        <f t="array" ref="BB609">IF($F609&lt;&gt;"", XLOOKUP($F609,Productos!$A$2:$A1001,Productos!AU$2:AU1001,"")*$G609,"")</f>
        <v/>
      </c>
      <c r="BC609" s="179" t="str">
        <f t="array" ref="BC609">IF($F609&lt;&gt;"",XLOOKUP($F609,Productos!$A:$A,Productos!AV:AV,"Revisar"),"")</f>
        <v/>
      </c>
      <c r="BD609" s="179" t="str">
        <f t="array" ref="BD609">IF($F609&lt;&gt;"", XLOOKUP($F609,Productos!$A$2:$A1001,Productos!AW$2:AW1001,"")*$G609,"")</f>
        <v/>
      </c>
      <c r="BE609" s="179" t="str">
        <f t="array" ref="BE609">IF($F609&lt;&gt;"",XLOOKUP($F609,Productos!$A:$A,Productos!AX:AX,"Revisar"),"")</f>
        <v/>
      </c>
      <c r="BF609" s="179" t="str">
        <f t="array" ref="BF609">IF($F609&lt;&gt;"", XLOOKUP($F609,Productos!$A$2:$A1001,Productos!AY$2:AY1001,"")*$G609,"")</f>
        <v/>
      </c>
      <c r="BG609" s="179" t="str">
        <f t="array" ref="BG609">IF($F609&lt;&gt;"",XLOOKUP($F609,Productos!$A:$A,Productos!AZ:AZ,"Revisar"),"")</f>
        <v/>
      </c>
      <c r="BH609" s="179" t="str">
        <f t="array" ref="BH609">IF($F609&lt;&gt;"", XLOOKUP($F609,Productos!$A$2:$A1001,Productos!BA$2:BA1001,"")*$G609,"")</f>
        <v/>
      </c>
      <c r="BI609" s="179" t="str">
        <f t="array" ref="BI609">IF($F609&lt;&gt;"",XLOOKUP($F609,Productos!$A:$A,Productos!BB:BB,"Revisar"),"")</f>
        <v/>
      </c>
      <c r="BJ609" s="179" t="str">
        <f t="array" ref="BJ609">IF($F609&lt;&gt;"", XLOOKUP($F609,Productos!$A$2:$A1001,Productos!BC$2:BC1001,"")*$G609,"")</f>
        <v/>
      </c>
      <c r="BK609" s="179" t="str">
        <f t="array" ref="BK609">IF($F609&lt;&gt;"",XLOOKUP($F609,Productos!$A:$A,Productos!BD:BD,"Revisar"),"")</f>
        <v/>
      </c>
      <c r="BL609" s="179" t="str">
        <f t="array" ref="BL609">IF($F609&lt;&gt;"", XLOOKUP($F609,Productos!$A$2:$A1001,Productos!BE$2:BE1001,"")*$G609,"")</f>
        <v/>
      </c>
      <c r="BM609" s="179" t="str">
        <f t="array" ref="BM609">IF($F609&lt;&gt;"",XLOOKUP($F609,Productos!$A:$A,Productos!BF:BF,"Revisar"),"")</f>
        <v/>
      </c>
      <c r="BN609" s="179" t="str">
        <f t="array" ref="BN609">IF($F609&lt;&gt;"", XLOOKUP($F609,Productos!$A$2:$A1001,Productos!BG$2:BG1001,"")*$G609,"")</f>
        <v/>
      </c>
      <c r="BO609" s="179" t="str">
        <f t="array" ref="BO609">IF($F609&lt;&gt;"",XLOOKUP($F609,Productos!$A:$A,Productos!BH:BH,"Revisar"),"")</f>
        <v/>
      </c>
      <c r="BP609" s="179" t="str">
        <f t="array" ref="BP609">IF($F609&lt;&gt;"", XLOOKUP($F609,Productos!$A$2:$A1001,Productos!BI$2:BI1001,"")*$G609,"")</f>
        <v/>
      </c>
      <c r="BQ609" s="179" t="str">
        <f t="array" ref="BQ609">IF($F609&lt;&gt;"",XLOOKUP($F609,Productos!$A:$A,Productos!BJ:BJ,"Revisar"),"")</f>
        <v/>
      </c>
      <c r="BR609" s="179" t="str">
        <f t="array" ref="BR609">IF($F609&lt;&gt;"", XLOOKUP($F609,Productos!$A$2:$A1001,Productos!BK$2:BK1001,"")*$G609,"")</f>
        <v/>
      </c>
      <c r="BS609" s="179" t="str">
        <f t="array" ref="BS609">IF($F609&lt;&gt;"",XLOOKUP($F609,Productos!$A:$A,Productos!BL:BL,"Revisar"),"")</f>
        <v/>
      </c>
      <c r="BT609" s="179" t="str">
        <f t="array" ref="BT609">IF($F609&lt;&gt;"", XLOOKUP($F609,Productos!$A$2:$A1001,Productos!BM$2:BM1001,"")*$G609,"")</f>
        <v/>
      </c>
      <c r="BU609" s="179" t="str">
        <f t="array" ref="BU609">IF($F609&lt;&gt;"",XLOOKUP($F609,Productos!$A:$A,Productos!BN:BN,"Revisar"),"")</f>
        <v/>
      </c>
      <c r="BV609" s="179" t="str">
        <f t="array" ref="BV609">IF($F609&lt;&gt;"", XLOOKUP($F609,Productos!$A$2:$A1001,Productos!BO$2:BO1001,"")*$G609,"")</f>
        <v/>
      </c>
      <c r="BW609" s="179" t="str">
        <f t="array" ref="BW609">IF($F609&lt;&gt;"",XLOOKUP($F609,Productos!$A:$A,Productos!BP:BP,"Revisar"),"")</f>
        <v/>
      </c>
      <c r="BX609" s="179" t="str">
        <f t="array" ref="BX609">IF($F609&lt;&gt;"", XLOOKUP($F609,Productos!$A$2:$A1001,Productos!BQ$2:BQ1001,"")*$G609,"")</f>
        <v/>
      </c>
      <c r="BY609" s="179" t="str">
        <f t="array" ref="BY609">IF($F609&lt;&gt;"",XLOOKUP($F609,Productos!$A:$A,Productos!BR:BR,"Revisar"),"")</f>
        <v/>
      </c>
      <c r="BZ609" s="179" t="str">
        <f t="array" ref="BZ609">IF($F609&lt;&gt;"", XLOOKUP($F609,Productos!$A$2:$A1001,Productos!BS$2:BS1001,"")*$G609,"")</f>
        <v/>
      </c>
    </row>
    <row r="610">
      <c r="A610" s="188"/>
      <c r="B610" s="189"/>
      <c r="C610" s="190"/>
      <c r="D610" s="190"/>
      <c r="E610" s="191"/>
      <c r="F610" s="186"/>
      <c r="G610" s="192"/>
      <c r="H610" s="9"/>
      <c r="I610" s="179" t="str">
        <f t="array" ref="I610">IF($F610&lt;&gt;"",XLOOKUP($F610,Productos!$A:$A,Productos!B:B,"Revisar"),"")</f>
        <v/>
      </c>
      <c r="J610" s="179" t="str">
        <f t="array" ref="J610">IF($F610&lt;&gt;"", XLOOKUP($F610,Productos!$A$2:$A1001,Productos!C$2:C1001,"")*$G610,"")</f>
        <v/>
      </c>
      <c r="K610" s="179" t="str">
        <f t="array" ref="K610">IF($F610&lt;&gt;"",XLOOKUP($F610,Productos!$A:$A,Productos!D:D,"Revisar"),"")</f>
        <v/>
      </c>
      <c r="L610" s="179" t="str">
        <f t="array" ref="L610">IF($F610&lt;&gt;"", XLOOKUP($F610,Productos!$A$2:$A1001,Productos!E$2:E1001,"")*$G610,"")</f>
        <v/>
      </c>
      <c r="M610" s="179" t="str">
        <f t="array" ref="M610">IF($F610&lt;&gt;"",XLOOKUP($F610,Productos!$A:$A,Productos!F:F,"Revisar"),"")</f>
        <v/>
      </c>
      <c r="N610" s="179" t="str">
        <f t="array" ref="N610">IF($F610&lt;&gt;"", XLOOKUP($F610,Productos!$A$2:$A1001,Productos!G$2:G1001,"")*$G610,"")</f>
        <v/>
      </c>
      <c r="O610" s="179" t="str">
        <f t="array" ref="O610">IF($F610&lt;&gt;"",XLOOKUP($F610,Productos!$A:$A,Productos!H:H,"Revisar"),"")</f>
        <v/>
      </c>
      <c r="P610" s="179" t="str">
        <f t="array" ref="P610">IF($F610&lt;&gt;"", XLOOKUP($F610,Productos!$A$2:$A1001,Productos!I$2:I1001,"")*$G610,"")</f>
        <v/>
      </c>
      <c r="Q610" s="179" t="str">
        <f t="array" ref="Q610">IF($F610&lt;&gt;"",XLOOKUP($F610,Productos!$A:$A,Productos!J:J,"Revisar"),"")</f>
        <v/>
      </c>
      <c r="R610" s="179" t="str">
        <f t="array" ref="R610">IF($F610&lt;&gt;"", XLOOKUP($F610,Productos!$A$2:$A1001,Productos!K$2:K1001,"")*$G610,"")</f>
        <v/>
      </c>
      <c r="S610" s="179" t="str">
        <f t="array" ref="S610">IF($F610&lt;&gt;"",XLOOKUP($F610,Productos!$A:$A,Productos!L:L,"Revisar"),"")</f>
        <v/>
      </c>
      <c r="T610" s="179" t="str">
        <f t="array" ref="T610">IF($F610&lt;&gt;"", XLOOKUP($F610,Productos!$A$2:$A1001,Productos!M$2:M1001,"")*$G610,"")</f>
        <v/>
      </c>
      <c r="U610" s="179" t="str">
        <f t="array" ref="U610">IF($F610&lt;&gt;"",XLOOKUP($F610,Productos!$A:$A,Productos!N:N,"Revisar"),"")</f>
        <v/>
      </c>
      <c r="V610" s="179" t="str">
        <f t="array" ref="V610">IF($F610&lt;&gt;"", XLOOKUP($F610,Productos!$A$2:$A1001,Productos!O$2:O1001,"")*$G610,"")</f>
        <v/>
      </c>
      <c r="W610" s="179" t="str">
        <f t="array" ref="W610">IF($F610&lt;&gt;"",XLOOKUP($F610,Productos!$A:$A,Productos!P:P,"Revisar"),"")</f>
        <v/>
      </c>
      <c r="X610" s="179" t="str">
        <f t="array" ref="X610">IF($F610&lt;&gt;"", XLOOKUP($F610,Productos!$A$2:$A1001,Productos!Q$2:Q1001,"")*$G610,"")</f>
        <v/>
      </c>
      <c r="Y610" s="179" t="str">
        <f t="array" ref="Y610">IF($F610&lt;&gt;"",XLOOKUP($F610,Productos!$A:$A,Productos!R:R,"Revisar"),"")</f>
        <v/>
      </c>
      <c r="Z610" s="179" t="str">
        <f t="array" ref="Z610">IF($F610&lt;&gt;"", XLOOKUP($F610,Productos!$A$2:$A1001,Productos!S$2:S1001,"")*$G610,"")</f>
        <v/>
      </c>
      <c r="AA610" s="179" t="str">
        <f t="array" ref="AA610">IF($F610&lt;&gt;"",XLOOKUP($F610,Productos!$A:$A,Productos!T:T,"Revisar"),"")</f>
        <v/>
      </c>
      <c r="AB610" s="179" t="str">
        <f t="array" ref="AB610">IF($F610&lt;&gt;"", XLOOKUP($F610,Productos!$A$2:$A1001,Productos!U$2:U1001,"")*$G610,"")</f>
        <v/>
      </c>
      <c r="AC610" s="179" t="str">
        <f t="array" ref="AC610">IF($F610&lt;&gt;"",XLOOKUP($F610,Productos!$A:$A,Productos!V:V,"Revisar"),"")</f>
        <v/>
      </c>
      <c r="AD610" s="179" t="str">
        <f t="array" ref="AD610">IF($F610&lt;&gt;"", XLOOKUP($F610,Productos!$A$2:$A1001,Productos!W$2:W1001,"")*$G610,"")</f>
        <v/>
      </c>
      <c r="AE610" s="179" t="str">
        <f t="array" ref="AE610">IF($F610&lt;&gt;"",XLOOKUP($F610,Productos!$A:$A,Productos!X:X,"Revisar"),"")</f>
        <v/>
      </c>
      <c r="AF610" s="179" t="str">
        <f t="array" ref="AF610">IF($F610&lt;&gt;"", XLOOKUP($F610,Productos!$A$2:$A1001,Productos!Y$2:Y1001,"")*$G610,"")</f>
        <v/>
      </c>
      <c r="AG610" s="179" t="str">
        <f t="array" ref="AG610">IF($F610&lt;&gt;"",XLOOKUP($F610,Productos!$A:$A,Productos!Z:Z,"Revisar"),"")</f>
        <v/>
      </c>
      <c r="AH610" s="179" t="str">
        <f t="array" ref="AH610">IF($F610&lt;&gt;"", XLOOKUP($F610,Productos!$A$2:$A1001,Productos!AA$2:AA1001,"")*$G610,"")</f>
        <v/>
      </c>
      <c r="AI610" s="179" t="str">
        <f t="array" ref="AI610">IF($F610&lt;&gt;"",XLOOKUP($F610,Productos!$A:$A,Productos!AB:AB,"Revisar"),"")</f>
        <v/>
      </c>
      <c r="AJ610" s="179" t="str">
        <f t="array" ref="AJ610">IF($F610&lt;&gt;"", XLOOKUP($F610,Productos!$A$2:$A1001,Productos!AC$2:AC1001,"")*$G610,"")</f>
        <v/>
      </c>
      <c r="AK610" s="179" t="str">
        <f t="array" ref="AK610">IF($F610&lt;&gt;"",XLOOKUP($F610,Productos!$A:$A,Productos!AD:AD,"Revisar"),"")</f>
        <v/>
      </c>
      <c r="AL610" s="179" t="str">
        <f t="array" ref="AL610">IF($F610&lt;&gt;"", XLOOKUP($F610,Productos!$A$2:$A1001,Productos!AE$2:AE1001,"")*$G610,"")</f>
        <v/>
      </c>
      <c r="AM610" s="179" t="str">
        <f t="array" ref="AM610">IF($F610&lt;&gt;"",XLOOKUP($F610,Productos!$A:$A,Productos!AF:AF,"Revisar"),"")</f>
        <v/>
      </c>
      <c r="AN610" s="179" t="str">
        <f t="array" ref="AN610">IF($F610&lt;&gt;"", XLOOKUP($F610,Productos!$A$2:$A1001,Productos!AG$2:AG1001,"")*$G610,"")</f>
        <v/>
      </c>
      <c r="AO610" s="179" t="str">
        <f t="array" ref="AO610">IF($F610&lt;&gt;"",XLOOKUP($F610,Productos!$A:$A,Productos!AH:AH,"Revisar"),"")</f>
        <v/>
      </c>
      <c r="AP610" s="179" t="str">
        <f t="array" ref="AP610">IF($F610&lt;&gt;"", XLOOKUP($F610,Productos!$A$2:$A1001,Productos!AI$2:AI1001,"")*$G610,"")</f>
        <v/>
      </c>
      <c r="AQ610" s="179" t="str">
        <f t="array" ref="AQ610">IF($F610&lt;&gt;"",XLOOKUP($F610,Productos!$A:$A,Productos!AJ:AJ,"Revisar"),"")</f>
        <v/>
      </c>
      <c r="AR610" s="179" t="str">
        <f t="array" ref="AR610">IF($F610&lt;&gt;"", XLOOKUP($F610,Productos!$A$2:$A1001,Productos!AK$2:AK1001,"")*$G610,"")</f>
        <v/>
      </c>
      <c r="AS610" s="179" t="str">
        <f t="array" ref="AS610">IF($F610&lt;&gt;"",XLOOKUP($F610,Productos!$A:$A,Productos!AL:AL,"Revisar"),"")</f>
        <v/>
      </c>
      <c r="AT610" s="179" t="str">
        <f t="array" ref="AT610">IF($F610&lt;&gt;"", XLOOKUP($F610,Productos!$A$2:$A1001,Productos!AM$2:AM1001,"")*$G610,"")</f>
        <v/>
      </c>
      <c r="AU610" s="179" t="str">
        <f t="array" ref="AU610">IF($F610&lt;&gt;"",XLOOKUP($F610,Productos!$A:$A,Productos!AN:AN,"Revisar"),"")</f>
        <v/>
      </c>
      <c r="AV610" s="179" t="str">
        <f t="array" ref="AV610">IF($F610&lt;&gt;"", XLOOKUP($F610,Productos!$A$2:$A1001,Productos!AO$2:AO1001,"")*$G610,"")</f>
        <v/>
      </c>
      <c r="AW610" s="179" t="str">
        <f t="array" ref="AW610">IF($F610&lt;&gt;"",XLOOKUP($F610,Productos!$A:$A,Productos!AP:AP,"Revisar"),"")</f>
        <v/>
      </c>
      <c r="AX610" s="179" t="str">
        <f t="array" ref="AX610">IF($F610&lt;&gt;"", XLOOKUP($F610,Productos!$A$2:$A1001,Productos!AQ$2:AQ1001,"")*$G610,"")</f>
        <v/>
      </c>
      <c r="AY610" s="179" t="str">
        <f t="array" ref="AY610">IF($F610&lt;&gt;"",XLOOKUP($F610,Productos!$A:$A,Productos!AR:AR,"Revisar"),"")</f>
        <v/>
      </c>
      <c r="AZ610" s="179" t="str">
        <f t="array" ref="AZ610">IF($F610&lt;&gt;"", XLOOKUP($F610,Productos!$A$2:$A1001,Productos!AS$2:AS1001,"")*$G610,"")</f>
        <v/>
      </c>
      <c r="BA610" s="179" t="str">
        <f t="array" ref="BA610">IF($F610&lt;&gt;"",XLOOKUP($F610,Productos!$A:$A,Productos!AT:AT,"Revisar"),"")</f>
        <v/>
      </c>
      <c r="BB610" s="179" t="str">
        <f t="array" ref="BB610">IF($F610&lt;&gt;"", XLOOKUP($F610,Productos!$A$2:$A1001,Productos!AU$2:AU1001,"")*$G610,"")</f>
        <v/>
      </c>
      <c r="BC610" s="179" t="str">
        <f t="array" ref="BC610">IF($F610&lt;&gt;"",XLOOKUP($F610,Productos!$A:$A,Productos!AV:AV,"Revisar"),"")</f>
        <v/>
      </c>
      <c r="BD610" s="179" t="str">
        <f t="array" ref="BD610">IF($F610&lt;&gt;"", XLOOKUP($F610,Productos!$A$2:$A1001,Productos!AW$2:AW1001,"")*$G610,"")</f>
        <v/>
      </c>
      <c r="BE610" s="179" t="str">
        <f t="array" ref="BE610">IF($F610&lt;&gt;"",XLOOKUP($F610,Productos!$A:$A,Productos!AX:AX,"Revisar"),"")</f>
        <v/>
      </c>
      <c r="BF610" s="179" t="str">
        <f t="array" ref="BF610">IF($F610&lt;&gt;"", XLOOKUP($F610,Productos!$A$2:$A1001,Productos!AY$2:AY1001,"")*$G610,"")</f>
        <v/>
      </c>
      <c r="BG610" s="179" t="str">
        <f t="array" ref="BG610">IF($F610&lt;&gt;"",XLOOKUP($F610,Productos!$A:$A,Productos!AZ:AZ,"Revisar"),"")</f>
        <v/>
      </c>
      <c r="BH610" s="179" t="str">
        <f t="array" ref="BH610">IF($F610&lt;&gt;"", XLOOKUP($F610,Productos!$A$2:$A1001,Productos!BA$2:BA1001,"")*$G610,"")</f>
        <v/>
      </c>
      <c r="BI610" s="179" t="str">
        <f t="array" ref="BI610">IF($F610&lt;&gt;"",XLOOKUP($F610,Productos!$A:$A,Productos!BB:BB,"Revisar"),"")</f>
        <v/>
      </c>
      <c r="BJ610" s="179" t="str">
        <f t="array" ref="BJ610">IF($F610&lt;&gt;"", XLOOKUP($F610,Productos!$A$2:$A1001,Productos!BC$2:BC1001,"")*$G610,"")</f>
        <v/>
      </c>
      <c r="BK610" s="179" t="str">
        <f t="array" ref="BK610">IF($F610&lt;&gt;"",XLOOKUP($F610,Productos!$A:$A,Productos!BD:BD,"Revisar"),"")</f>
        <v/>
      </c>
      <c r="BL610" s="179" t="str">
        <f t="array" ref="BL610">IF($F610&lt;&gt;"", XLOOKUP($F610,Productos!$A$2:$A1001,Productos!BE$2:BE1001,"")*$G610,"")</f>
        <v/>
      </c>
      <c r="BM610" s="179" t="str">
        <f t="array" ref="BM610">IF($F610&lt;&gt;"",XLOOKUP($F610,Productos!$A:$A,Productos!BF:BF,"Revisar"),"")</f>
        <v/>
      </c>
      <c r="BN610" s="179" t="str">
        <f t="array" ref="BN610">IF($F610&lt;&gt;"", XLOOKUP($F610,Productos!$A$2:$A1001,Productos!BG$2:BG1001,"")*$G610,"")</f>
        <v/>
      </c>
      <c r="BO610" s="179" t="str">
        <f t="array" ref="BO610">IF($F610&lt;&gt;"",XLOOKUP($F610,Productos!$A:$A,Productos!BH:BH,"Revisar"),"")</f>
        <v/>
      </c>
      <c r="BP610" s="179" t="str">
        <f t="array" ref="BP610">IF($F610&lt;&gt;"", XLOOKUP($F610,Productos!$A$2:$A1001,Productos!BI$2:BI1001,"")*$G610,"")</f>
        <v/>
      </c>
      <c r="BQ610" s="179" t="str">
        <f t="array" ref="BQ610">IF($F610&lt;&gt;"",XLOOKUP($F610,Productos!$A:$A,Productos!BJ:BJ,"Revisar"),"")</f>
        <v/>
      </c>
      <c r="BR610" s="179" t="str">
        <f t="array" ref="BR610">IF($F610&lt;&gt;"", XLOOKUP($F610,Productos!$A$2:$A1001,Productos!BK$2:BK1001,"")*$G610,"")</f>
        <v/>
      </c>
      <c r="BS610" s="179" t="str">
        <f t="array" ref="BS610">IF($F610&lt;&gt;"",XLOOKUP($F610,Productos!$A:$A,Productos!BL:BL,"Revisar"),"")</f>
        <v/>
      </c>
      <c r="BT610" s="179" t="str">
        <f t="array" ref="BT610">IF($F610&lt;&gt;"", XLOOKUP($F610,Productos!$A$2:$A1001,Productos!BM$2:BM1001,"")*$G610,"")</f>
        <v/>
      </c>
      <c r="BU610" s="179" t="str">
        <f t="array" ref="BU610">IF($F610&lt;&gt;"",XLOOKUP($F610,Productos!$A:$A,Productos!BN:BN,"Revisar"),"")</f>
        <v/>
      </c>
      <c r="BV610" s="179" t="str">
        <f t="array" ref="BV610">IF($F610&lt;&gt;"", XLOOKUP($F610,Productos!$A$2:$A1001,Productos!BO$2:BO1001,"")*$G610,"")</f>
        <v/>
      </c>
      <c r="BW610" s="179" t="str">
        <f t="array" ref="BW610">IF($F610&lt;&gt;"",XLOOKUP($F610,Productos!$A:$A,Productos!BP:BP,"Revisar"),"")</f>
        <v/>
      </c>
      <c r="BX610" s="179" t="str">
        <f t="array" ref="BX610">IF($F610&lt;&gt;"", XLOOKUP($F610,Productos!$A$2:$A1001,Productos!BQ$2:BQ1001,"")*$G610,"")</f>
        <v/>
      </c>
      <c r="BY610" s="179" t="str">
        <f t="array" ref="BY610">IF($F610&lt;&gt;"",XLOOKUP($F610,Productos!$A:$A,Productos!BR:BR,"Revisar"),"")</f>
        <v/>
      </c>
      <c r="BZ610" s="179" t="str">
        <f t="array" ref="BZ610">IF($F610&lt;&gt;"", XLOOKUP($F610,Productos!$A$2:$A1001,Productos!BS$2:BS1001,"")*$G610,"")</f>
        <v/>
      </c>
    </row>
    <row r="611">
      <c r="A611" s="188"/>
      <c r="B611" s="189"/>
      <c r="C611" s="190"/>
      <c r="D611" s="190"/>
      <c r="E611" s="191"/>
      <c r="F611" s="186"/>
      <c r="G611" s="192"/>
      <c r="H611" s="9"/>
      <c r="I611" s="179" t="str">
        <f t="array" ref="I611">IF($F611&lt;&gt;"",XLOOKUP($F611,Productos!$A:$A,Productos!B:B,"Revisar"),"")</f>
        <v/>
      </c>
      <c r="J611" s="179" t="str">
        <f t="array" ref="J611">IF($F611&lt;&gt;"", XLOOKUP($F611,Productos!$A$2:$A1001,Productos!C$2:C1001,"")*$G611,"")</f>
        <v/>
      </c>
      <c r="K611" s="179" t="str">
        <f t="array" ref="K611">IF($F611&lt;&gt;"",XLOOKUP($F611,Productos!$A:$A,Productos!D:D,"Revisar"),"")</f>
        <v/>
      </c>
      <c r="L611" s="179" t="str">
        <f t="array" ref="L611">IF($F611&lt;&gt;"", XLOOKUP($F611,Productos!$A$2:$A1001,Productos!E$2:E1001,"")*$G611,"")</f>
        <v/>
      </c>
      <c r="M611" s="179" t="str">
        <f t="array" ref="M611">IF($F611&lt;&gt;"",XLOOKUP($F611,Productos!$A:$A,Productos!F:F,"Revisar"),"")</f>
        <v/>
      </c>
      <c r="N611" s="179" t="str">
        <f t="array" ref="N611">IF($F611&lt;&gt;"", XLOOKUP($F611,Productos!$A$2:$A1001,Productos!G$2:G1001,"")*$G611,"")</f>
        <v/>
      </c>
      <c r="O611" s="179" t="str">
        <f t="array" ref="O611">IF($F611&lt;&gt;"",XLOOKUP($F611,Productos!$A:$A,Productos!H:H,"Revisar"),"")</f>
        <v/>
      </c>
      <c r="P611" s="179" t="str">
        <f t="array" ref="P611">IF($F611&lt;&gt;"", XLOOKUP($F611,Productos!$A$2:$A1001,Productos!I$2:I1001,"")*$G611,"")</f>
        <v/>
      </c>
      <c r="Q611" s="179" t="str">
        <f t="array" ref="Q611">IF($F611&lt;&gt;"",XLOOKUP($F611,Productos!$A:$A,Productos!J:J,"Revisar"),"")</f>
        <v/>
      </c>
      <c r="R611" s="179" t="str">
        <f t="array" ref="R611">IF($F611&lt;&gt;"", XLOOKUP($F611,Productos!$A$2:$A1001,Productos!K$2:K1001,"")*$G611,"")</f>
        <v/>
      </c>
      <c r="S611" s="179" t="str">
        <f t="array" ref="S611">IF($F611&lt;&gt;"",XLOOKUP($F611,Productos!$A:$A,Productos!L:L,"Revisar"),"")</f>
        <v/>
      </c>
      <c r="T611" s="179" t="str">
        <f t="array" ref="T611">IF($F611&lt;&gt;"", XLOOKUP($F611,Productos!$A$2:$A1001,Productos!M$2:M1001,"")*$G611,"")</f>
        <v/>
      </c>
      <c r="U611" s="179" t="str">
        <f t="array" ref="U611">IF($F611&lt;&gt;"",XLOOKUP($F611,Productos!$A:$A,Productos!N:N,"Revisar"),"")</f>
        <v/>
      </c>
      <c r="V611" s="179" t="str">
        <f t="array" ref="V611">IF($F611&lt;&gt;"", XLOOKUP($F611,Productos!$A$2:$A1001,Productos!O$2:O1001,"")*$G611,"")</f>
        <v/>
      </c>
      <c r="W611" s="179" t="str">
        <f t="array" ref="W611">IF($F611&lt;&gt;"",XLOOKUP($F611,Productos!$A:$A,Productos!P:P,"Revisar"),"")</f>
        <v/>
      </c>
      <c r="X611" s="179" t="str">
        <f t="array" ref="X611">IF($F611&lt;&gt;"", XLOOKUP($F611,Productos!$A$2:$A1001,Productos!Q$2:Q1001,"")*$G611,"")</f>
        <v/>
      </c>
      <c r="Y611" s="179" t="str">
        <f t="array" ref="Y611">IF($F611&lt;&gt;"",XLOOKUP($F611,Productos!$A:$A,Productos!R:R,"Revisar"),"")</f>
        <v/>
      </c>
      <c r="Z611" s="179" t="str">
        <f t="array" ref="Z611">IF($F611&lt;&gt;"", XLOOKUP($F611,Productos!$A$2:$A1001,Productos!S$2:S1001,"")*$G611,"")</f>
        <v/>
      </c>
      <c r="AA611" s="179" t="str">
        <f t="array" ref="AA611">IF($F611&lt;&gt;"",XLOOKUP($F611,Productos!$A:$A,Productos!T:T,"Revisar"),"")</f>
        <v/>
      </c>
      <c r="AB611" s="179" t="str">
        <f t="array" ref="AB611">IF($F611&lt;&gt;"", XLOOKUP($F611,Productos!$A$2:$A1001,Productos!U$2:U1001,"")*$G611,"")</f>
        <v/>
      </c>
      <c r="AC611" s="179" t="str">
        <f t="array" ref="AC611">IF($F611&lt;&gt;"",XLOOKUP($F611,Productos!$A:$A,Productos!V:V,"Revisar"),"")</f>
        <v/>
      </c>
      <c r="AD611" s="179" t="str">
        <f t="array" ref="AD611">IF($F611&lt;&gt;"", XLOOKUP($F611,Productos!$A$2:$A1001,Productos!W$2:W1001,"")*$G611,"")</f>
        <v/>
      </c>
      <c r="AE611" s="179" t="str">
        <f t="array" ref="AE611">IF($F611&lt;&gt;"",XLOOKUP($F611,Productos!$A:$A,Productos!X:X,"Revisar"),"")</f>
        <v/>
      </c>
      <c r="AF611" s="179" t="str">
        <f t="array" ref="AF611">IF($F611&lt;&gt;"", XLOOKUP($F611,Productos!$A$2:$A1001,Productos!Y$2:Y1001,"")*$G611,"")</f>
        <v/>
      </c>
      <c r="AG611" s="179" t="str">
        <f t="array" ref="AG611">IF($F611&lt;&gt;"",XLOOKUP($F611,Productos!$A:$A,Productos!Z:Z,"Revisar"),"")</f>
        <v/>
      </c>
      <c r="AH611" s="179" t="str">
        <f t="array" ref="AH611">IF($F611&lt;&gt;"", XLOOKUP($F611,Productos!$A$2:$A1001,Productos!AA$2:AA1001,"")*$G611,"")</f>
        <v/>
      </c>
      <c r="AI611" s="179" t="str">
        <f t="array" ref="AI611">IF($F611&lt;&gt;"",XLOOKUP($F611,Productos!$A:$A,Productos!AB:AB,"Revisar"),"")</f>
        <v/>
      </c>
      <c r="AJ611" s="179" t="str">
        <f t="array" ref="AJ611">IF($F611&lt;&gt;"", XLOOKUP($F611,Productos!$A$2:$A1001,Productos!AC$2:AC1001,"")*$G611,"")</f>
        <v/>
      </c>
      <c r="AK611" s="179" t="str">
        <f t="array" ref="AK611">IF($F611&lt;&gt;"",XLOOKUP($F611,Productos!$A:$A,Productos!AD:AD,"Revisar"),"")</f>
        <v/>
      </c>
      <c r="AL611" s="179" t="str">
        <f t="array" ref="AL611">IF($F611&lt;&gt;"", XLOOKUP($F611,Productos!$A$2:$A1001,Productos!AE$2:AE1001,"")*$G611,"")</f>
        <v/>
      </c>
      <c r="AM611" s="179" t="str">
        <f t="array" ref="AM611">IF($F611&lt;&gt;"",XLOOKUP($F611,Productos!$A:$A,Productos!AF:AF,"Revisar"),"")</f>
        <v/>
      </c>
      <c r="AN611" s="179" t="str">
        <f t="array" ref="AN611">IF($F611&lt;&gt;"", XLOOKUP($F611,Productos!$A$2:$A1001,Productos!AG$2:AG1001,"")*$G611,"")</f>
        <v/>
      </c>
      <c r="AO611" s="179" t="str">
        <f t="array" ref="AO611">IF($F611&lt;&gt;"",XLOOKUP($F611,Productos!$A:$A,Productos!AH:AH,"Revisar"),"")</f>
        <v/>
      </c>
      <c r="AP611" s="179" t="str">
        <f t="array" ref="AP611">IF($F611&lt;&gt;"", XLOOKUP($F611,Productos!$A$2:$A1001,Productos!AI$2:AI1001,"")*$G611,"")</f>
        <v/>
      </c>
      <c r="AQ611" s="179" t="str">
        <f t="array" ref="AQ611">IF($F611&lt;&gt;"",XLOOKUP($F611,Productos!$A:$A,Productos!AJ:AJ,"Revisar"),"")</f>
        <v/>
      </c>
      <c r="AR611" s="179" t="str">
        <f t="array" ref="AR611">IF($F611&lt;&gt;"", XLOOKUP($F611,Productos!$A$2:$A1001,Productos!AK$2:AK1001,"")*$G611,"")</f>
        <v/>
      </c>
      <c r="AS611" s="179" t="str">
        <f t="array" ref="AS611">IF($F611&lt;&gt;"",XLOOKUP($F611,Productos!$A:$A,Productos!AL:AL,"Revisar"),"")</f>
        <v/>
      </c>
      <c r="AT611" s="179" t="str">
        <f t="array" ref="AT611">IF($F611&lt;&gt;"", XLOOKUP($F611,Productos!$A$2:$A1001,Productos!AM$2:AM1001,"")*$G611,"")</f>
        <v/>
      </c>
      <c r="AU611" s="179" t="str">
        <f t="array" ref="AU611">IF($F611&lt;&gt;"",XLOOKUP($F611,Productos!$A:$A,Productos!AN:AN,"Revisar"),"")</f>
        <v/>
      </c>
      <c r="AV611" s="179" t="str">
        <f t="array" ref="AV611">IF($F611&lt;&gt;"", XLOOKUP($F611,Productos!$A$2:$A1001,Productos!AO$2:AO1001,"")*$G611,"")</f>
        <v/>
      </c>
      <c r="AW611" s="179" t="str">
        <f t="array" ref="AW611">IF($F611&lt;&gt;"",XLOOKUP($F611,Productos!$A:$A,Productos!AP:AP,"Revisar"),"")</f>
        <v/>
      </c>
      <c r="AX611" s="179" t="str">
        <f t="array" ref="AX611">IF($F611&lt;&gt;"", XLOOKUP($F611,Productos!$A$2:$A1001,Productos!AQ$2:AQ1001,"")*$G611,"")</f>
        <v/>
      </c>
      <c r="AY611" s="179" t="str">
        <f t="array" ref="AY611">IF($F611&lt;&gt;"",XLOOKUP($F611,Productos!$A:$A,Productos!AR:AR,"Revisar"),"")</f>
        <v/>
      </c>
      <c r="AZ611" s="179" t="str">
        <f t="array" ref="AZ611">IF($F611&lt;&gt;"", XLOOKUP($F611,Productos!$A$2:$A1001,Productos!AS$2:AS1001,"")*$G611,"")</f>
        <v/>
      </c>
      <c r="BA611" s="179" t="str">
        <f t="array" ref="BA611">IF($F611&lt;&gt;"",XLOOKUP($F611,Productos!$A:$A,Productos!AT:AT,"Revisar"),"")</f>
        <v/>
      </c>
      <c r="BB611" s="179" t="str">
        <f t="array" ref="BB611">IF($F611&lt;&gt;"", XLOOKUP($F611,Productos!$A$2:$A1001,Productos!AU$2:AU1001,"")*$G611,"")</f>
        <v/>
      </c>
      <c r="BC611" s="179" t="str">
        <f t="array" ref="BC611">IF($F611&lt;&gt;"",XLOOKUP($F611,Productos!$A:$A,Productos!AV:AV,"Revisar"),"")</f>
        <v/>
      </c>
      <c r="BD611" s="179" t="str">
        <f t="array" ref="BD611">IF($F611&lt;&gt;"", XLOOKUP($F611,Productos!$A$2:$A1001,Productos!AW$2:AW1001,"")*$G611,"")</f>
        <v/>
      </c>
      <c r="BE611" s="179" t="str">
        <f t="array" ref="BE611">IF($F611&lt;&gt;"",XLOOKUP($F611,Productos!$A:$A,Productos!AX:AX,"Revisar"),"")</f>
        <v/>
      </c>
      <c r="BF611" s="179" t="str">
        <f t="array" ref="BF611">IF($F611&lt;&gt;"", XLOOKUP($F611,Productos!$A$2:$A1001,Productos!AY$2:AY1001,"")*$G611,"")</f>
        <v/>
      </c>
      <c r="BG611" s="179" t="str">
        <f t="array" ref="BG611">IF($F611&lt;&gt;"",XLOOKUP($F611,Productos!$A:$A,Productos!AZ:AZ,"Revisar"),"")</f>
        <v/>
      </c>
      <c r="BH611" s="179" t="str">
        <f t="array" ref="BH611">IF($F611&lt;&gt;"", XLOOKUP($F611,Productos!$A$2:$A1001,Productos!BA$2:BA1001,"")*$G611,"")</f>
        <v/>
      </c>
      <c r="BI611" s="179" t="str">
        <f t="array" ref="BI611">IF($F611&lt;&gt;"",XLOOKUP($F611,Productos!$A:$A,Productos!BB:BB,"Revisar"),"")</f>
        <v/>
      </c>
      <c r="BJ611" s="179" t="str">
        <f t="array" ref="BJ611">IF($F611&lt;&gt;"", XLOOKUP($F611,Productos!$A$2:$A1001,Productos!BC$2:BC1001,"")*$G611,"")</f>
        <v/>
      </c>
      <c r="BK611" s="179" t="str">
        <f t="array" ref="BK611">IF($F611&lt;&gt;"",XLOOKUP($F611,Productos!$A:$A,Productos!BD:BD,"Revisar"),"")</f>
        <v/>
      </c>
      <c r="BL611" s="179" t="str">
        <f t="array" ref="BL611">IF($F611&lt;&gt;"", XLOOKUP($F611,Productos!$A$2:$A1001,Productos!BE$2:BE1001,"")*$G611,"")</f>
        <v/>
      </c>
      <c r="BM611" s="179" t="str">
        <f t="array" ref="BM611">IF($F611&lt;&gt;"",XLOOKUP($F611,Productos!$A:$A,Productos!BF:BF,"Revisar"),"")</f>
        <v/>
      </c>
      <c r="BN611" s="179" t="str">
        <f t="array" ref="BN611">IF($F611&lt;&gt;"", XLOOKUP($F611,Productos!$A$2:$A1001,Productos!BG$2:BG1001,"")*$G611,"")</f>
        <v/>
      </c>
      <c r="BO611" s="179" t="str">
        <f t="array" ref="BO611">IF($F611&lt;&gt;"",XLOOKUP($F611,Productos!$A:$A,Productos!BH:BH,"Revisar"),"")</f>
        <v/>
      </c>
      <c r="BP611" s="179" t="str">
        <f t="array" ref="BP611">IF($F611&lt;&gt;"", XLOOKUP($F611,Productos!$A$2:$A1001,Productos!BI$2:BI1001,"")*$G611,"")</f>
        <v/>
      </c>
      <c r="BQ611" s="179" t="str">
        <f t="array" ref="BQ611">IF($F611&lt;&gt;"",XLOOKUP($F611,Productos!$A:$A,Productos!BJ:BJ,"Revisar"),"")</f>
        <v/>
      </c>
      <c r="BR611" s="179" t="str">
        <f t="array" ref="BR611">IF($F611&lt;&gt;"", XLOOKUP($F611,Productos!$A$2:$A1001,Productos!BK$2:BK1001,"")*$G611,"")</f>
        <v/>
      </c>
      <c r="BS611" s="179" t="str">
        <f t="array" ref="BS611">IF($F611&lt;&gt;"",XLOOKUP($F611,Productos!$A:$A,Productos!BL:BL,"Revisar"),"")</f>
        <v/>
      </c>
      <c r="BT611" s="179" t="str">
        <f t="array" ref="BT611">IF($F611&lt;&gt;"", XLOOKUP($F611,Productos!$A$2:$A1001,Productos!BM$2:BM1001,"")*$G611,"")</f>
        <v/>
      </c>
      <c r="BU611" s="179" t="str">
        <f t="array" ref="BU611">IF($F611&lt;&gt;"",XLOOKUP($F611,Productos!$A:$A,Productos!BN:BN,"Revisar"),"")</f>
        <v/>
      </c>
      <c r="BV611" s="179" t="str">
        <f t="array" ref="BV611">IF($F611&lt;&gt;"", XLOOKUP($F611,Productos!$A$2:$A1001,Productos!BO$2:BO1001,"")*$G611,"")</f>
        <v/>
      </c>
      <c r="BW611" s="179" t="str">
        <f t="array" ref="BW611">IF($F611&lt;&gt;"",XLOOKUP($F611,Productos!$A:$A,Productos!BP:BP,"Revisar"),"")</f>
        <v/>
      </c>
      <c r="BX611" s="179" t="str">
        <f t="array" ref="BX611">IF($F611&lt;&gt;"", XLOOKUP($F611,Productos!$A$2:$A1001,Productos!BQ$2:BQ1001,"")*$G611,"")</f>
        <v/>
      </c>
      <c r="BY611" s="179" t="str">
        <f t="array" ref="BY611">IF($F611&lt;&gt;"",XLOOKUP($F611,Productos!$A:$A,Productos!BR:BR,"Revisar"),"")</f>
        <v/>
      </c>
      <c r="BZ611" s="179" t="str">
        <f t="array" ref="BZ611">IF($F611&lt;&gt;"", XLOOKUP($F611,Productos!$A$2:$A1001,Productos!BS$2:BS1001,"")*$G611,"")</f>
        <v/>
      </c>
    </row>
    <row r="612">
      <c r="A612" s="188"/>
      <c r="B612" s="189"/>
      <c r="C612" s="190"/>
      <c r="D612" s="190"/>
      <c r="E612" s="191"/>
      <c r="F612" s="186"/>
      <c r="G612" s="192"/>
      <c r="H612" s="9"/>
      <c r="I612" s="179" t="str">
        <f t="array" ref="I612">IF($F612&lt;&gt;"",XLOOKUP($F612,Productos!$A:$A,Productos!B:B,"Revisar"),"")</f>
        <v/>
      </c>
      <c r="J612" s="179" t="str">
        <f t="array" ref="J612">IF($F612&lt;&gt;"", XLOOKUP($F612,Productos!$A$2:$A1001,Productos!C$2:C1001,"")*$G612,"")</f>
        <v/>
      </c>
      <c r="K612" s="179" t="str">
        <f t="array" ref="K612">IF($F612&lt;&gt;"",XLOOKUP($F612,Productos!$A:$A,Productos!D:D,"Revisar"),"")</f>
        <v/>
      </c>
      <c r="L612" s="179" t="str">
        <f t="array" ref="L612">IF($F612&lt;&gt;"", XLOOKUP($F612,Productos!$A$2:$A1001,Productos!E$2:E1001,"")*$G612,"")</f>
        <v/>
      </c>
      <c r="M612" s="179" t="str">
        <f t="array" ref="M612">IF($F612&lt;&gt;"",XLOOKUP($F612,Productos!$A:$A,Productos!F:F,"Revisar"),"")</f>
        <v/>
      </c>
      <c r="N612" s="179" t="str">
        <f t="array" ref="N612">IF($F612&lt;&gt;"", XLOOKUP($F612,Productos!$A$2:$A1001,Productos!G$2:G1001,"")*$G612,"")</f>
        <v/>
      </c>
      <c r="O612" s="179" t="str">
        <f t="array" ref="O612">IF($F612&lt;&gt;"",XLOOKUP($F612,Productos!$A:$A,Productos!H:H,"Revisar"),"")</f>
        <v/>
      </c>
      <c r="P612" s="179" t="str">
        <f t="array" ref="P612">IF($F612&lt;&gt;"", XLOOKUP($F612,Productos!$A$2:$A1001,Productos!I$2:I1001,"")*$G612,"")</f>
        <v/>
      </c>
      <c r="Q612" s="179" t="str">
        <f t="array" ref="Q612">IF($F612&lt;&gt;"",XLOOKUP($F612,Productos!$A:$A,Productos!J:J,"Revisar"),"")</f>
        <v/>
      </c>
      <c r="R612" s="179" t="str">
        <f t="array" ref="R612">IF($F612&lt;&gt;"", XLOOKUP($F612,Productos!$A$2:$A1001,Productos!K$2:K1001,"")*$G612,"")</f>
        <v/>
      </c>
      <c r="S612" s="179" t="str">
        <f t="array" ref="S612">IF($F612&lt;&gt;"",XLOOKUP($F612,Productos!$A:$A,Productos!L:L,"Revisar"),"")</f>
        <v/>
      </c>
      <c r="T612" s="179" t="str">
        <f t="array" ref="T612">IF($F612&lt;&gt;"", XLOOKUP($F612,Productos!$A$2:$A1001,Productos!M$2:M1001,"")*$G612,"")</f>
        <v/>
      </c>
      <c r="U612" s="179" t="str">
        <f t="array" ref="U612">IF($F612&lt;&gt;"",XLOOKUP($F612,Productos!$A:$A,Productos!N:N,"Revisar"),"")</f>
        <v/>
      </c>
      <c r="V612" s="179" t="str">
        <f t="array" ref="V612">IF($F612&lt;&gt;"", XLOOKUP($F612,Productos!$A$2:$A1001,Productos!O$2:O1001,"")*$G612,"")</f>
        <v/>
      </c>
      <c r="W612" s="179" t="str">
        <f t="array" ref="W612">IF($F612&lt;&gt;"",XLOOKUP($F612,Productos!$A:$A,Productos!P:P,"Revisar"),"")</f>
        <v/>
      </c>
      <c r="X612" s="179" t="str">
        <f t="array" ref="X612">IF($F612&lt;&gt;"", XLOOKUP($F612,Productos!$A$2:$A1001,Productos!Q$2:Q1001,"")*$G612,"")</f>
        <v/>
      </c>
      <c r="Y612" s="179" t="str">
        <f t="array" ref="Y612">IF($F612&lt;&gt;"",XLOOKUP($F612,Productos!$A:$A,Productos!R:R,"Revisar"),"")</f>
        <v/>
      </c>
      <c r="Z612" s="179" t="str">
        <f t="array" ref="Z612">IF($F612&lt;&gt;"", XLOOKUP($F612,Productos!$A$2:$A1001,Productos!S$2:S1001,"")*$G612,"")</f>
        <v/>
      </c>
      <c r="AA612" s="179" t="str">
        <f t="array" ref="AA612">IF($F612&lt;&gt;"",XLOOKUP($F612,Productos!$A:$A,Productos!T:T,"Revisar"),"")</f>
        <v/>
      </c>
      <c r="AB612" s="179" t="str">
        <f t="array" ref="AB612">IF($F612&lt;&gt;"", XLOOKUP($F612,Productos!$A$2:$A1001,Productos!U$2:U1001,"")*$G612,"")</f>
        <v/>
      </c>
      <c r="AC612" s="179" t="str">
        <f t="array" ref="AC612">IF($F612&lt;&gt;"",XLOOKUP($F612,Productos!$A:$A,Productos!V:V,"Revisar"),"")</f>
        <v/>
      </c>
      <c r="AD612" s="179" t="str">
        <f t="array" ref="AD612">IF($F612&lt;&gt;"", XLOOKUP($F612,Productos!$A$2:$A1001,Productos!W$2:W1001,"")*$G612,"")</f>
        <v/>
      </c>
      <c r="AE612" s="179" t="str">
        <f t="array" ref="AE612">IF($F612&lt;&gt;"",XLOOKUP($F612,Productos!$A:$A,Productos!X:X,"Revisar"),"")</f>
        <v/>
      </c>
      <c r="AF612" s="179" t="str">
        <f t="array" ref="AF612">IF($F612&lt;&gt;"", XLOOKUP($F612,Productos!$A$2:$A1001,Productos!Y$2:Y1001,"")*$G612,"")</f>
        <v/>
      </c>
      <c r="AG612" s="179" t="str">
        <f t="array" ref="AG612">IF($F612&lt;&gt;"",XLOOKUP($F612,Productos!$A:$A,Productos!Z:Z,"Revisar"),"")</f>
        <v/>
      </c>
      <c r="AH612" s="179" t="str">
        <f t="array" ref="AH612">IF($F612&lt;&gt;"", XLOOKUP($F612,Productos!$A$2:$A1001,Productos!AA$2:AA1001,"")*$G612,"")</f>
        <v/>
      </c>
      <c r="AI612" s="179" t="str">
        <f t="array" ref="AI612">IF($F612&lt;&gt;"",XLOOKUP($F612,Productos!$A:$A,Productos!AB:AB,"Revisar"),"")</f>
        <v/>
      </c>
      <c r="AJ612" s="179" t="str">
        <f t="array" ref="AJ612">IF($F612&lt;&gt;"", XLOOKUP($F612,Productos!$A$2:$A1001,Productos!AC$2:AC1001,"")*$G612,"")</f>
        <v/>
      </c>
      <c r="AK612" s="179" t="str">
        <f t="array" ref="AK612">IF($F612&lt;&gt;"",XLOOKUP($F612,Productos!$A:$A,Productos!AD:AD,"Revisar"),"")</f>
        <v/>
      </c>
      <c r="AL612" s="179" t="str">
        <f t="array" ref="AL612">IF($F612&lt;&gt;"", XLOOKUP($F612,Productos!$A$2:$A1001,Productos!AE$2:AE1001,"")*$G612,"")</f>
        <v/>
      </c>
      <c r="AM612" s="179" t="str">
        <f t="array" ref="AM612">IF($F612&lt;&gt;"",XLOOKUP($F612,Productos!$A:$A,Productos!AF:AF,"Revisar"),"")</f>
        <v/>
      </c>
      <c r="AN612" s="179" t="str">
        <f t="array" ref="AN612">IF($F612&lt;&gt;"", XLOOKUP($F612,Productos!$A$2:$A1001,Productos!AG$2:AG1001,"")*$G612,"")</f>
        <v/>
      </c>
      <c r="AO612" s="179" t="str">
        <f t="array" ref="AO612">IF($F612&lt;&gt;"",XLOOKUP($F612,Productos!$A:$A,Productos!AH:AH,"Revisar"),"")</f>
        <v/>
      </c>
      <c r="AP612" s="179" t="str">
        <f t="array" ref="AP612">IF($F612&lt;&gt;"", XLOOKUP($F612,Productos!$A$2:$A1001,Productos!AI$2:AI1001,"")*$G612,"")</f>
        <v/>
      </c>
      <c r="AQ612" s="179" t="str">
        <f t="array" ref="AQ612">IF($F612&lt;&gt;"",XLOOKUP($F612,Productos!$A:$A,Productos!AJ:AJ,"Revisar"),"")</f>
        <v/>
      </c>
      <c r="AR612" s="179" t="str">
        <f t="array" ref="AR612">IF($F612&lt;&gt;"", XLOOKUP($F612,Productos!$A$2:$A1001,Productos!AK$2:AK1001,"")*$G612,"")</f>
        <v/>
      </c>
      <c r="AS612" s="179" t="str">
        <f t="array" ref="AS612">IF($F612&lt;&gt;"",XLOOKUP($F612,Productos!$A:$A,Productos!AL:AL,"Revisar"),"")</f>
        <v/>
      </c>
      <c r="AT612" s="179" t="str">
        <f t="array" ref="AT612">IF($F612&lt;&gt;"", XLOOKUP($F612,Productos!$A$2:$A1001,Productos!AM$2:AM1001,"")*$G612,"")</f>
        <v/>
      </c>
      <c r="AU612" s="179" t="str">
        <f t="array" ref="AU612">IF($F612&lt;&gt;"",XLOOKUP($F612,Productos!$A:$A,Productos!AN:AN,"Revisar"),"")</f>
        <v/>
      </c>
      <c r="AV612" s="179" t="str">
        <f t="array" ref="AV612">IF($F612&lt;&gt;"", XLOOKUP($F612,Productos!$A$2:$A1001,Productos!AO$2:AO1001,"")*$G612,"")</f>
        <v/>
      </c>
      <c r="AW612" s="179" t="str">
        <f t="array" ref="AW612">IF($F612&lt;&gt;"",XLOOKUP($F612,Productos!$A:$A,Productos!AP:AP,"Revisar"),"")</f>
        <v/>
      </c>
      <c r="AX612" s="179" t="str">
        <f t="array" ref="AX612">IF($F612&lt;&gt;"", XLOOKUP($F612,Productos!$A$2:$A1001,Productos!AQ$2:AQ1001,"")*$G612,"")</f>
        <v/>
      </c>
      <c r="AY612" s="179" t="str">
        <f t="array" ref="AY612">IF($F612&lt;&gt;"",XLOOKUP($F612,Productos!$A:$A,Productos!AR:AR,"Revisar"),"")</f>
        <v/>
      </c>
      <c r="AZ612" s="179" t="str">
        <f t="array" ref="AZ612">IF($F612&lt;&gt;"", XLOOKUP($F612,Productos!$A$2:$A1001,Productos!AS$2:AS1001,"")*$G612,"")</f>
        <v/>
      </c>
      <c r="BA612" s="179" t="str">
        <f t="array" ref="BA612">IF($F612&lt;&gt;"",XLOOKUP($F612,Productos!$A:$A,Productos!AT:AT,"Revisar"),"")</f>
        <v/>
      </c>
      <c r="BB612" s="179" t="str">
        <f t="array" ref="BB612">IF($F612&lt;&gt;"", XLOOKUP($F612,Productos!$A$2:$A1001,Productos!AU$2:AU1001,"")*$G612,"")</f>
        <v/>
      </c>
      <c r="BC612" s="179" t="str">
        <f t="array" ref="BC612">IF($F612&lt;&gt;"",XLOOKUP($F612,Productos!$A:$A,Productos!AV:AV,"Revisar"),"")</f>
        <v/>
      </c>
      <c r="BD612" s="179" t="str">
        <f t="array" ref="BD612">IF($F612&lt;&gt;"", XLOOKUP($F612,Productos!$A$2:$A1001,Productos!AW$2:AW1001,"")*$G612,"")</f>
        <v/>
      </c>
      <c r="BE612" s="179" t="str">
        <f t="array" ref="BE612">IF($F612&lt;&gt;"",XLOOKUP($F612,Productos!$A:$A,Productos!AX:AX,"Revisar"),"")</f>
        <v/>
      </c>
      <c r="BF612" s="179" t="str">
        <f t="array" ref="BF612">IF($F612&lt;&gt;"", XLOOKUP($F612,Productos!$A$2:$A1001,Productos!AY$2:AY1001,"")*$G612,"")</f>
        <v/>
      </c>
      <c r="BG612" s="179" t="str">
        <f t="array" ref="BG612">IF($F612&lt;&gt;"",XLOOKUP($F612,Productos!$A:$A,Productos!AZ:AZ,"Revisar"),"")</f>
        <v/>
      </c>
      <c r="BH612" s="179" t="str">
        <f t="array" ref="BH612">IF($F612&lt;&gt;"", XLOOKUP($F612,Productos!$A$2:$A1001,Productos!BA$2:BA1001,"")*$G612,"")</f>
        <v/>
      </c>
      <c r="BI612" s="179" t="str">
        <f t="array" ref="BI612">IF($F612&lt;&gt;"",XLOOKUP($F612,Productos!$A:$A,Productos!BB:BB,"Revisar"),"")</f>
        <v/>
      </c>
      <c r="BJ612" s="179" t="str">
        <f t="array" ref="BJ612">IF($F612&lt;&gt;"", XLOOKUP($F612,Productos!$A$2:$A1001,Productos!BC$2:BC1001,"")*$G612,"")</f>
        <v/>
      </c>
      <c r="BK612" s="179" t="str">
        <f t="array" ref="BK612">IF($F612&lt;&gt;"",XLOOKUP($F612,Productos!$A:$A,Productos!BD:BD,"Revisar"),"")</f>
        <v/>
      </c>
      <c r="BL612" s="179" t="str">
        <f t="array" ref="BL612">IF($F612&lt;&gt;"", XLOOKUP($F612,Productos!$A$2:$A1001,Productos!BE$2:BE1001,"")*$G612,"")</f>
        <v/>
      </c>
      <c r="BM612" s="179" t="str">
        <f t="array" ref="BM612">IF($F612&lt;&gt;"",XLOOKUP($F612,Productos!$A:$A,Productos!BF:BF,"Revisar"),"")</f>
        <v/>
      </c>
      <c r="BN612" s="179" t="str">
        <f t="array" ref="BN612">IF($F612&lt;&gt;"", XLOOKUP($F612,Productos!$A$2:$A1001,Productos!BG$2:BG1001,"")*$G612,"")</f>
        <v/>
      </c>
      <c r="BO612" s="179" t="str">
        <f t="array" ref="BO612">IF($F612&lt;&gt;"",XLOOKUP($F612,Productos!$A:$A,Productos!BH:BH,"Revisar"),"")</f>
        <v/>
      </c>
      <c r="BP612" s="179" t="str">
        <f t="array" ref="BP612">IF($F612&lt;&gt;"", XLOOKUP($F612,Productos!$A$2:$A1001,Productos!BI$2:BI1001,"")*$G612,"")</f>
        <v/>
      </c>
      <c r="BQ612" s="179" t="str">
        <f t="array" ref="BQ612">IF($F612&lt;&gt;"",XLOOKUP($F612,Productos!$A:$A,Productos!BJ:BJ,"Revisar"),"")</f>
        <v/>
      </c>
      <c r="BR612" s="179" t="str">
        <f t="array" ref="BR612">IF($F612&lt;&gt;"", XLOOKUP($F612,Productos!$A$2:$A1001,Productos!BK$2:BK1001,"")*$G612,"")</f>
        <v/>
      </c>
      <c r="BS612" s="179" t="str">
        <f t="array" ref="BS612">IF($F612&lt;&gt;"",XLOOKUP($F612,Productos!$A:$A,Productos!BL:BL,"Revisar"),"")</f>
        <v/>
      </c>
      <c r="BT612" s="179" t="str">
        <f t="array" ref="BT612">IF($F612&lt;&gt;"", XLOOKUP($F612,Productos!$A$2:$A1001,Productos!BM$2:BM1001,"")*$G612,"")</f>
        <v/>
      </c>
      <c r="BU612" s="179" t="str">
        <f t="array" ref="BU612">IF($F612&lt;&gt;"",XLOOKUP($F612,Productos!$A:$A,Productos!BN:BN,"Revisar"),"")</f>
        <v/>
      </c>
      <c r="BV612" s="179" t="str">
        <f t="array" ref="BV612">IF($F612&lt;&gt;"", XLOOKUP($F612,Productos!$A$2:$A1001,Productos!BO$2:BO1001,"")*$G612,"")</f>
        <v/>
      </c>
      <c r="BW612" s="179" t="str">
        <f t="array" ref="BW612">IF($F612&lt;&gt;"",XLOOKUP($F612,Productos!$A:$A,Productos!BP:BP,"Revisar"),"")</f>
        <v/>
      </c>
      <c r="BX612" s="179" t="str">
        <f t="array" ref="BX612">IF($F612&lt;&gt;"", XLOOKUP($F612,Productos!$A$2:$A1001,Productos!BQ$2:BQ1001,"")*$G612,"")</f>
        <v/>
      </c>
      <c r="BY612" s="179" t="str">
        <f t="array" ref="BY612">IF($F612&lt;&gt;"",XLOOKUP($F612,Productos!$A:$A,Productos!BR:BR,"Revisar"),"")</f>
        <v/>
      </c>
      <c r="BZ612" s="179" t="str">
        <f t="array" ref="BZ612">IF($F612&lt;&gt;"", XLOOKUP($F612,Productos!$A$2:$A1001,Productos!BS$2:BS1001,"")*$G612,"")</f>
        <v/>
      </c>
    </row>
    <row r="613">
      <c r="A613" s="188"/>
      <c r="B613" s="189"/>
      <c r="C613" s="190"/>
      <c r="D613" s="190"/>
      <c r="E613" s="191"/>
      <c r="F613" s="186"/>
      <c r="G613" s="192"/>
      <c r="H613" s="9"/>
      <c r="I613" s="179" t="str">
        <f t="array" ref="I613">IF($F613&lt;&gt;"",XLOOKUP($F613,Productos!$A:$A,Productos!B:B,"Revisar"),"")</f>
        <v/>
      </c>
      <c r="J613" s="179" t="str">
        <f t="array" ref="J613">IF($F613&lt;&gt;"", XLOOKUP($F613,Productos!$A$2:$A1001,Productos!C$2:C1001,"")*$G613,"")</f>
        <v/>
      </c>
      <c r="K613" s="179" t="str">
        <f t="array" ref="K613">IF($F613&lt;&gt;"",XLOOKUP($F613,Productos!$A:$A,Productos!D:D,"Revisar"),"")</f>
        <v/>
      </c>
      <c r="L613" s="179" t="str">
        <f t="array" ref="L613">IF($F613&lt;&gt;"", XLOOKUP($F613,Productos!$A$2:$A1001,Productos!E$2:E1001,"")*$G613,"")</f>
        <v/>
      </c>
      <c r="M613" s="179" t="str">
        <f t="array" ref="M613">IF($F613&lt;&gt;"",XLOOKUP($F613,Productos!$A:$A,Productos!F:F,"Revisar"),"")</f>
        <v/>
      </c>
      <c r="N613" s="179" t="str">
        <f t="array" ref="N613">IF($F613&lt;&gt;"", XLOOKUP($F613,Productos!$A$2:$A1001,Productos!G$2:G1001,"")*$G613,"")</f>
        <v/>
      </c>
      <c r="O613" s="179" t="str">
        <f t="array" ref="O613">IF($F613&lt;&gt;"",XLOOKUP($F613,Productos!$A:$A,Productos!H:H,"Revisar"),"")</f>
        <v/>
      </c>
      <c r="P613" s="179" t="str">
        <f t="array" ref="P613">IF($F613&lt;&gt;"", XLOOKUP($F613,Productos!$A$2:$A1001,Productos!I$2:I1001,"")*$G613,"")</f>
        <v/>
      </c>
      <c r="Q613" s="179" t="str">
        <f t="array" ref="Q613">IF($F613&lt;&gt;"",XLOOKUP($F613,Productos!$A:$A,Productos!J:J,"Revisar"),"")</f>
        <v/>
      </c>
      <c r="R613" s="179" t="str">
        <f t="array" ref="R613">IF($F613&lt;&gt;"", XLOOKUP($F613,Productos!$A$2:$A1001,Productos!K$2:K1001,"")*$G613,"")</f>
        <v/>
      </c>
      <c r="S613" s="179" t="str">
        <f t="array" ref="S613">IF($F613&lt;&gt;"",XLOOKUP($F613,Productos!$A:$A,Productos!L:L,"Revisar"),"")</f>
        <v/>
      </c>
      <c r="T613" s="179" t="str">
        <f t="array" ref="T613">IF($F613&lt;&gt;"", XLOOKUP($F613,Productos!$A$2:$A1001,Productos!M$2:M1001,"")*$G613,"")</f>
        <v/>
      </c>
      <c r="U613" s="179" t="str">
        <f t="array" ref="U613">IF($F613&lt;&gt;"",XLOOKUP($F613,Productos!$A:$A,Productos!N:N,"Revisar"),"")</f>
        <v/>
      </c>
      <c r="V613" s="179" t="str">
        <f t="array" ref="V613">IF($F613&lt;&gt;"", XLOOKUP($F613,Productos!$A$2:$A1001,Productos!O$2:O1001,"")*$G613,"")</f>
        <v/>
      </c>
      <c r="W613" s="179" t="str">
        <f t="array" ref="W613">IF($F613&lt;&gt;"",XLOOKUP($F613,Productos!$A:$A,Productos!P:P,"Revisar"),"")</f>
        <v/>
      </c>
      <c r="X613" s="179" t="str">
        <f t="array" ref="X613">IF($F613&lt;&gt;"", XLOOKUP($F613,Productos!$A$2:$A1001,Productos!Q$2:Q1001,"")*$G613,"")</f>
        <v/>
      </c>
      <c r="Y613" s="179" t="str">
        <f t="array" ref="Y613">IF($F613&lt;&gt;"",XLOOKUP($F613,Productos!$A:$A,Productos!R:R,"Revisar"),"")</f>
        <v/>
      </c>
      <c r="Z613" s="179" t="str">
        <f t="array" ref="Z613">IF($F613&lt;&gt;"", XLOOKUP($F613,Productos!$A$2:$A1001,Productos!S$2:S1001,"")*$G613,"")</f>
        <v/>
      </c>
      <c r="AA613" s="179" t="str">
        <f t="array" ref="AA613">IF($F613&lt;&gt;"",XLOOKUP($F613,Productos!$A:$A,Productos!T:T,"Revisar"),"")</f>
        <v/>
      </c>
      <c r="AB613" s="179" t="str">
        <f t="array" ref="AB613">IF($F613&lt;&gt;"", XLOOKUP($F613,Productos!$A$2:$A1001,Productos!U$2:U1001,"")*$G613,"")</f>
        <v/>
      </c>
      <c r="AC613" s="179" t="str">
        <f t="array" ref="AC613">IF($F613&lt;&gt;"",XLOOKUP($F613,Productos!$A:$A,Productos!V:V,"Revisar"),"")</f>
        <v/>
      </c>
      <c r="AD613" s="179" t="str">
        <f t="array" ref="AD613">IF($F613&lt;&gt;"", XLOOKUP($F613,Productos!$A$2:$A1001,Productos!W$2:W1001,"")*$G613,"")</f>
        <v/>
      </c>
      <c r="AE613" s="179" t="str">
        <f t="array" ref="AE613">IF($F613&lt;&gt;"",XLOOKUP($F613,Productos!$A:$A,Productos!X:X,"Revisar"),"")</f>
        <v/>
      </c>
      <c r="AF613" s="179" t="str">
        <f t="array" ref="AF613">IF($F613&lt;&gt;"", XLOOKUP($F613,Productos!$A$2:$A1001,Productos!Y$2:Y1001,"")*$G613,"")</f>
        <v/>
      </c>
      <c r="AG613" s="179" t="str">
        <f t="array" ref="AG613">IF($F613&lt;&gt;"",XLOOKUP($F613,Productos!$A:$A,Productos!Z:Z,"Revisar"),"")</f>
        <v/>
      </c>
      <c r="AH613" s="179" t="str">
        <f t="array" ref="AH613">IF($F613&lt;&gt;"", XLOOKUP($F613,Productos!$A$2:$A1001,Productos!AA$2:AA1001,"")*$G613,"")</f>
        <v/>
      </c>
      <c r="AI613" s="179" t="str">
        <f t="array" ref="AI613">IF($F613&lt;&gt;"",XLOOKUP($F613,Productos!$A:$A,Productos!AB:AB,"Revisar"),"")</f>
        <v/>
      </c>
      <c r="AJ613" s="179" t="str">
        <f t="array" ref="AJ613">IF($F613&lt;&gt;"", XLOOKUP($F613,Productos!$A$2:$A1001,Productos!AC$2:AC1001,"")*$G613,"")</f>
        <v/>
      </c>
      <c r="AK613" s="179" t="str">
        <f t="array" ref="AK613">IF($F613&lt;&gt;"",XLOOKUP($F613,Productos!$A:$A,Productos!AD:AD,"Revisar"),"")</f>
        <v/>
      </c>
      <c r="AL613" s="179" t="str">
        <f t="array" ref="AL613">IF($F613&lt;&gt;"", XLOOKUP($F613,Productos!$A$2:$A1001,Productos!AE$2:AE1001,"")*$G613,"")</f>
        <v/>
      </c>
      <c r="AM613" s="179" t="str">
        <f t="array" ref="AM613">IF($F613&lt;&gt;"",XLOOKUP($F613,Productos!$A:$A,Productos!AF:AF,"Revisar"),"")</f>
        <v/>
      </c>
      <c r="AN613" s="179" t="str">
        <f t="array" ref="AN613">IF($F613&lt;&gt;"", XLOOKUP($F613,Productos!$A$2:$A1001,Productos!AG$2:AG1001,"")*$G613,"")</f>
        <v/>
      </c>
      <c r="AO613" s="179" t="str">
        <f t="array" ref="AO613">IF($F613&lt;&gt;"",XLOOKUP($F613,Productos!$A:$A,Productos!AH:AH,"Revisar"),"")</f>
        <v/>
      </c>
      <c r="AP613" s="179" t="str">
        <f t="array" ref="AP613">IF($F613&lt;&gt;"", XLOOKUP($F613,Productos!$A$2:$A1001,Productos!AI$2:AI1001,"")*$G613,"")</f>
        <v/>
      </c>
      <c r="AQ613" s="179" t="str">
        <f t="array" ref="AQ613">IF($F613&lt;&gt;"",XLOOKUP($F613,Productos!$A:$A,Productos!AJ:AJ,"Revisar"),"")</f>
        <v/>
      </c>
      <c r="AR613" s="179" t="str">
        <f t="array" ref="AR613">IF($F613&lt;&gt;"", XLOOKUP($F613,Productos!$A$2:$A1001,Productos!AK$2:AK1001,"")*$G613,"")</f>
        <v/>
      </c>
      <c r="AS613" s="179" t="str">
        <f t="array" ref="AS613">IF($F613&lt;&gt;"",XLOOKUP($F613,Productos!$A:$A,Productos!AL:AL,"Revisar"),"")</f>
        <v/>
      </c>
      <c r="AT613" s="179" t="str">
        <f t="array" ref="AT613">IF($F613&lt;&gt;"", XLOOKUP($F613,Productos!$A$2:$A1001,Productos!AM$2:AM1001,"")*$G613,"")</f>
        <v/>
      </c>
      <c r="AU613" s="179" t="str">
        <f t="array" ref="AU613">IF($F613&lt;&gt;"",XLOOKUP($F613,Productos!$A:$A,Productos!AN:AN,"Revisar"),"")</f>
        <v/>
      </c>
      <c r="AV613" s="179" t="str">
        <f t="array" ref="AV613">IF($F613&lt;&gt;"", XLOOKUP($F613,Productos!$A$2:$A1001,Productos!AO$2:AO1001,"")*$G613,"")</f>
        <v/>
      </c>
      <c r="AW613" s="179" t="str">
        <f t="array" ref="AW613">IF($F613&lt;&gt;"",XLOOKUP($F613,Productos!$A:$A,Productos!AP:AP,"Revisar"),"")</f>
        <v/>
      </c>
      <c r="AX613" s="179" t="str">
        <f t="array" ref="AX613">IF($F613&lt;&gt;"", XLOOKUP($F613,Productos!$A$2:$A1001,Productos!AQ$2:AQ1001,"")*$G613,"")</f>
        <v/>
      </c>
      <c r="AY613" s="179" t="str">
        <f t="array" ref="AY613">IF($F613&lt;&gt;"",XLOOKUP($F613,Productos!$A:$A,Productos!AR:AR,"Revisar"),"")</f>
        <v/>
      </c>
      <c r="AZ613" s="179" t="str">
        <f t="array" ref="AZ613">IF($F613&lt;&gt;"", XLOOKUP($F613,Productos!$A$2:$A1001,Productos!AS$2:AS1001,"")*$G613,"")</f>
        <v/>
      </c>
      <c r="BA613" s="179" t="str">
        <f t="array" ref="BA613">IF($F613&lt;&gt;"",XLOOKUP($F613,Productos!$A:$A,Productos!AT:AT,"Revisar"),"")</f>
        <v/>
      </c>
      <c r="BB613" s="179" t="str">
        <f t="array" ref="BB613">IF($F613&lt;&gt;"", XLOOKUP($F613,Productos!$A$2:$A1001,Productos!AU$2:AU1001,"")*$G613,"")</f>
        <v/>
      </c>
      <c r="BC613" s="179" t="str">
        <f t="array" ref="BC613">IF($F613&lt;&gt;"",XLOOKUP($F613,Productos!$A:$A,Productos!AV:AV,"Revisar"),"")</f>
        <v/>
      </c>
      <c r="BD613" s="179" t="str">
        <f t="array" ref="BD613">IF($F613&lt;&gt;"", XLOOKUP($F613,Productos!$A$2:$A1001,Productos!AW$2:AW1001,"")*$G613,"")</f>
        <v/>
      </c>
      <c r="BE613" s="179" t="str">
        <f t="array" ref="BE613">IF($F613&lt;&gt;"",XLOOKUP($F613,Productos!$A:$A,Productos!AX:AX,"Revisar"),"")</f>
        <v/>
      </c>
      <c r="BF613" s="179" t="str">
        <f t="array" ref="BF613">IF($F613&lt;&gt;"", XLOOKUP($F613,Productos!$A$2:$A1001,Productos!AY$2:AY1001,"")*$G613,"")</f>
        <v/>
      </c>
      <c r="BG613" s="179" t="str">
        <f t="array" ref="BG613">IF($F613&lt;&gt;"",XLOOKUP($F613,Productos!$A:$A,Productos!AZ:AZ,"Revisar"),"")</f>
        <v/>
      </c>
      <c r="BH613" s="179" t="str">
        <f t="array" ref="BH613">IF($F613&lt;&gt;"", XLOOKUP($F613,Productos!$A$2:$A1001,Productos!BA$2:BA1001,"")*$G613,"")</f>
        <v/>
      </c>
      <c r="BI613" s="179" t="str">
        <f t="array" ref="BI613">IF($F613&lt;&gt;"",XLOOKUP($F613,Productos!$A:$A,Productos!BB:BB,"Revisar"),"")</f>
        <v/>
      </c>
      <c r="BJ613" s="179" t="str">
        <f t="array" ref="BJ613">IF($F613&lt;&gt;"", XLOOKUP($F613,Productos!$A$2:$A1001,Productos!BC$2:BC1001,"")*$G613,"")</f>
        <v/>
      </c>
      <c r="BK613" s="179" t="str">
        <f t="array" ref="BK613">IF($F613&lt;&gt;"",XLOOKUP($F613,Productos!$A:$A,Productos!BD:BD,"Revisar"),"")</f>
        <v/>
      </c>
      <c r="BL613" s="179" t="str">
        <f t="array" ref="BL613">IF($F613&lt;&gt;"", XLOOKUP($F613,Productos!$A$2:$A1001,Productos!BE$2:BE1001,"")*$G613,"")</f>
        <v/>
      </c>
      <c r="BM613" s="179" t="str">
        <f t="array" ref="BM613">IF($F613&lt;&gt;"",XLOOKUP($F613,Productos!$A:$A,Productos!BF:BF,"Revisar"),"")</f>
        <v/>
      </c>
      <c r="BN613" s="179" t="str">
        <f t="array" ref="BN613">IF($F613&lt;&gt;"", XLOOKUP($F613,Productos!$A$2:$A1001,Productos!BG$2:BG1001,"")*$G613,"")</f>
        <v/>
      </c>
      <c r="BO613" s="179" t="str">
        <f t="array" ref="BO613">IF($F613&lt;&gt;"",XLOOKUP($F613,Productos!$A:$A,Productos!BH:BH,"Revisar"),"")</f>
        <v/>
      </c>
      <c r="BP613" s="179" t="str">
        <f t="array" ref="BP613">IF($F613&lt;&gt;"", XLOOKUP($F613,Productos!$A$2:$A1001,Productos!BI$2:BI1001,"")*$G613,"")</f>
        <v/>
      </c>
      <c r="BQ613" s="179" t="str">
        <f t="array" ref="BQ613">IF($F613&lt;&gt;"",XLOOKUP($F613,Productos!$A:$A,Productos!BJ:BJ,"Revisar"),"")</f>
        <v/>
      </c>
      <c r="BR613" s="179" t="str">
        <f t="array" ref="BR613">IF($F613&lt;&gt;"", XLOOKUP($F613,Productos!$A$2:$A1001,Productos!BK$2:BK1001,"")*$G613,"")</f>
        <v/>
      </c>
      <c r="BS613" s="179" t="str">
        <f t="array" ref="BS613">IF($F613&lt;&gt;"",XLOOKUP($F613,Productos!$A:$A,Productos!BL:BL,"Revisar"),"")</f>
        <v/>
      </c>
      <c r="BT613" s="179" t="str">
        <f t="array" ref="BT613">IF($F613&lt;&gt;"", XLOOKUP($F613,Productos!$A$2:$A1001,Productos!BM$2:BM1001,"")*$G613,"")</f>
        <v/>
      </c>
      <c r="BU613" s="179" t="str">
        <f t="array" ref="BU613">IF($F613&lt;&gt;"",XLOOKUP($F613,Productos!$A:$A,Productos!BN:BN,"Revisar"),"")</f>
        <v/>
      </c>
      <c r="BV613" s="179" t="str">
        <f t="array" ref="BV613">IF($F613&lt;&gt;"", XLOOKUP($F613,Productos!$A$2:$A1001,Productos!BO$2:BO1001,"")*$G613,"")</f>
        <v/>
      </c>
      <c r="BW613" s="179" t="str">
        <f t="array" ref="BW613">IF($F613&lt;&gt;"",XLOOKUP($F613,Productos!$A:$A,Productos!BP:BP,"Revisar"),"")</f>
        <v/>
      </c>
      <c r="BX613" s="179" t="str">
        <f t="array" ref="BX613">IF($F613&lt;&gt;"", XLOOKUP($F613,Productos!$A$2:$A1001,Productos!BQ$2:BQ1001,"")*$G613,"")</f>
        <v/>
      </c>
      <c r="BY613" s="179" t="str">
        <f t="array" ref="BY613">IF($F613&lt;&gt;"",XLOOKUP($F613,Productos!$A:$A,Productos!BR:BR,"Revisar"),"")</f>
        <v/>
      </c>
      <c r="BZ613" s="179" t="str">
        <f t="array" ref="BZ613">IF($F613&lt;&gt;"", XLOOKUP($F613,Productos!$A$2:$A1001,Productos!BS$2:BS1001,"")*$G613,"")</f>
        <v/>
      </c>
    </row>
    <row r="614">
      <c r="A614" s="188"/>
      <c r="B614" s="189"/>
      <c r="C614" s="190"/>
      <c r="D614" s="190"/>
      <c r="E614" s="191"/>
      <c r="F614" s="186"/>
      <c r="G614" s="192"/>
      <c r="H614" s="9"/>
      <c r="I614" s="179" t="str">
        <f t="array" ref="I614">IF($F614&lt;&gt;"",XLOOKUP($F614,Productos!$A:$A,Productos!B:B,"Revisar"),"")</f>
        <v/>
      </c>
      <c r="J614" s="179" t="str">
        <f t="array" ref="J614">IF($F614&lt;&gt;"", XLOOKUP($F614,Productos!$A$2:$A1001,Productos!C$2:C1001,"")*$G614,"")</f>
        <v/>
      </c>
      <c r="K614" s="179" t="str">
        <f t="array" ref="K614">IF($F614&lt;&gt;"",XLOOKUP($F614,Productos!$A:$A,Productos!D:D,"Revisar"),"")</f>
        <v/>
      </c>
      <c r="L614" s="179" t="str">
        <f t="array" ref="L614">IF($F614&lt;&gt;"", XLOOKUP($F614,Productos!$A$2:$A1001,Productos!E$2:E1001,"")*$G614,"")</f>
        <v/>
      </c>
      <c r="M614" s="179" t="str">
        <f t="array" ref="M614">IF($F614&lt;&gt;"",XLOOKUP($F614,Productos!$A:$A,Productos!F:F,"Revisar"),"")</f>
        <v/>
      </c>
      <c r="N614" s="179" t="str">
        <f t="array" ref="N614">IF($F614&lt;&gt;"", XLOOKUP($F614,Productos!$A$2:$A1001,Productos!G$2:G1001,"")*$G614,"")</f>
        <v/>
      </c>
      <c r="O614" s="179" t="str">
        <f t="array" ref="O614">IF($F614&lt;&gt;"",XLOOKUP($F614,Productos!$A:$A,Productos!H:H,"Revisar"),"")</f>
        <v/>
      </c>
      <c r="P614" s="179" t="str">
        <f t="array" ref="P614">IF($F614&lt;&gt;"", XLOOKUP($F614,Productos!$A$2:$A1001,Productos!I$2:I1001,"")*$G614,"")</f>
        <v/>
      </c>
      <c r="Q614" s="179" t="str">
        <f t="array" ref="Q614">IF($F614&lt;&gt;"",XLOOKUP($F614,Productos!$A:$A,Productos!J:J,"Revisar"),"")</f>
        <v/>
      </c>
      <c r="R614" s="179" t="str">
        <f t="array" ref="R614">IF($F614&lt;&gt;"", XLOOKUP($F614,Productos!$A$2:$A1001,Productos!K$2:K1001,"")*$G614,"")</f>
        <v/>
      </c>
      <c r="S614" s="179" t="str">
        <f t="array" ref="S614">IF($F614&lt;&gt;"",XLOOKUP($F614,Productos!$A:$A,Productos!L:L,"Revisar"),"")</f>
        <v/>
      </c>
      <c r="T614" s="179" t="str">
        <f t="array" ref="T614">IF($F614&lt;&gt;"", XLOOKUP($F614,Productos!$A$2:$A1001,Productos!M$2:M1001,"")*$G614,"")</f>
        <v/>
      </c>
      <c r="U614" s="179" t="str">
        <f t="array" ref="U614">IF($F614&lt;&gt;"",XLOOKUP($F614,Productos!$A:$A,Productos!N:N,"Revisar"),"")</f>
        <v/>
      </c>
      <c r="V614" s="179" t="str">
        <f t="array" ref="V614">IF($F614&lt;&gt;"", XLOOKUP($F614,Productos!$A$2:$A1001,Productos!O$2:O1001,"")*$G614,"")</f>
        <v/>
      </c>
      <c r="W614" s="179" t="str">
        <f t="array" ref="W614">IF($F614&lt;&gt;"",XLOOKUP($F614,Productos!$A:$A,Productos!P:P,"Revisar"),"")</f>
        <v/>
      </c>
      <c r="X614" s="179" t="str">
        <f t="array" ref="X614">IF($F614&lt;&gt;"", XLOOKUP($F614,Productos!$A$2:$A1001,Productos!Q$2:Q1001,"")*$G614,"")</f>
        <v/>
      </c>
      <c r="Y614" s="179" t="str">
        <f t="array" ref="Y614">IF($F614&lt;&gt;"",XLOOKUP($F614,Productos!$A:$A,Productos!R:R,"Revisar"),"")</f>
        <v/>
      </c>
      <c r="Z614" s="179" t="str">
        <f t="array" ref="Z614">IF($F614&lt;&gt;"", XLOOKUP($F614,Productos!$A$2:$A1001,Productos!S$2:S1001,"")*$G614,"")</f>
        <v/>
      </c>
      <c r="AA614" s="179" t="str">
        <f t="array" ref="AA614">IF($F614&lt;&gt;"",XLOOKUP($F614,Productos!$A:$A,Productos!T:T,"Revisar"),"")</f>
        <v/>
      </c>
      <c r="AB614" s="179" t="str">
        <f t="array" ref="AB614">IF($F614&lt;&gt;"", XLOOKUP($F614,Productos!$A$2:$A1001,Productos!U$2:U1001,"")*$G614,"")</f>
        <v/>
      </c>
      <c r="AC614" s="179" t="str">
        <f t="array" ref="AC614">IF($F614&lt;&gt;"",XLOOKUP($F614,Productos!$A:$A,Productos!V:V,"Revisar"),"")</f>
        <v/>
      </c>
      <c r="AD614" s="179" t="str">
        <f t="array" ref="AD614">IF($F614&lt;&gt;"", XLOOKUP($F614,Productos!$A$2:$A1001,Productos!W$2:W1001,"")*$G614,"")</f>
        <v/>
      </c>
      <c r="AE614" s="179" t="str">
        <f t="array" ref="AE614">IF($F614&lt;&gt;"",XLOOKUP($F614,Productos!$A:$A,Productos!X:X,"Revisar"),"")</f>
        <v/>
      </c>
      <c r="AF614" s="179" t="str">
        <f t="array" ref="AF614">IF($F614&lt;&gt;"", XLOOKUP($F614,Productos!$A$2:$A1001,Productos!Y$2:Y1001,"")*$G614,"")</f>
        <v/>
      </c>
      <c r="AG614" s="179" t="str">
        <f t="array" ref="AG614">IF($F614&lt;&gt;"",XLOOKUP($F614,Productos!$A:$A,Productos!Z:Z,"Revisar"),"")</f>
        <v/>
      </c>
      <c r="AH614" s="179" t="str">
        <f t="array" ref="AH614">IF($F614&lt;&gt;"", XLOOKUP($F614,Productos!$A$2:$A1001,Productos!AA$2:AA1001,"")*$G614,"")</f>
        <v/>
      </c>
      <c r="AI614" s="179" t="str">
        <f t="array" ref="AI614">IF($F614&lt;&gt;"",XLOOKUP($F614,Productos!$A:$A,Productos!AB:AB,"Revisar"),"")</f>
        <v/>
      </c>
      <c r="AJ614" s="179" t="str">
        <f t="array" ref="AJ614">IF($F614&lt;&gt;"", XLOOKUP($F614,Productos!$A$2:$A1001,Productos!AC$2:AC1001,"")*$G614,"")</f>
        <v/>
      </c>
      <c r="AK614" s="179" t="str">
        <f t="array" ref="AK614">IF($F614&lt;&gt;"",XLOOKUP($F614,Productos!$A:$A,Productos!AD:AD,"Revisar"),"")</f>
        <v/>
      </c>
      <c r="AL614" s="179" t="str">
        <f t="array" ref="AL614">IF($F614&lt;&gt;"", XLOOKUP($F614,Productos!$A$2:$A1001,Productos!AE$2:AE1001,"")*$G614,"")</f>
        <v/>
      </c>
      <c r="AM614" s="179" t="str">
        <f t="array" ref="AM614">IF($F614&lt;&gt;"",XLOOKUP($F614,Productos!$A:$A,Productos!AF:AF,"Revisar"),"")</f>
        <v/>
      </c>
      <c r="AN614" s="179" t="str">
        <f t="array" ref="AN614">IF($F614&lt;&gt;"", XLOOKUP($F614,Productos!$A$2:$A1001,Productos!AG$2:AG1001,"")*$G614,"")</f>
        <v/>
      </c>
      <c r="AO614" s="179" t="str">
        <f t="array" ref="AO614">IF($F614&lt;&gt;"",XLOOKUP($F614,Productos!$A:$A,Productos!AH:AH,"Revisar"),"")</f>
        <v/>
      </c>
      <c r="AP614" s="179" t="str">
        <f t="array" ref="AP614">IF($F614&lt;&gt;"", XLOOKUP($F614,Productos!$A$2:$A1001,Productos!AI$2:AI1001,"")*$G614,"")</f>
        <v/>
      </c>
      <c r="AQ614" s="179" t="str">
        <f t="array" ref="AQ614">IF($F614&lt;&gt;"",XLOOKUP($F614,Productos!$A:$A,Productos!AJ:AJ,"Revisar"),"")</f>
        <v/>
      </c>
      <c r="AR614" s="179" t="str">
        <f t="array" ref="AR614">IF($F614&lt;&gt;"", XLOOKUP($F614,Productos!$A$2:$A1001,Productos!AK$2:AK1001,"")*$G614,"")</f>
        <v/>
      </c>
      <c r="AS614" s="179" t="str">
        <f t="array" ref="AS614">IF($F614&lt;&gt;"",XLOOKUP($F614,Productos!$A:$A,Productos!AL:AL,"Revisar"),"")</f>
        <v/>
      </c>
      <c r="AT614" s="179" t="str">
        <f t="array" ref="AT614">IF($F614&lt;&gt;"", XLOOKUP($F614,Productos!$A$2:$A1001,Productos!AM$2:AM1001,"")*$G614,"")</f>
        <v/>
      </c>
      <c r="AU614" s="179" t="str">
        <f t="array" ref="AU614">IF($F614&lt;&gt;"",XLOOKUP($F614,Productos!$A:$A,Productos!AN:AN,"Revisar"),"")</f>
        <v/>
      </c>
      <c r="AV614" s="179" t="str">
        <f t="array" ref="AV614">IF($F614&lt;&gt;"", XLOOKUP($F614,Productos!$A$2:$A1001,Productos!AO$2:AO1001,"")*$G614,"")</f>
        <v/>
      </c>
      <c r="AW614" s="179" t="str">
        <f t="array" ref="AW614">IF($F614&lt;&gt;"",XLOOKUP($F614,Productos!$A:$A,Productos!AP:AP,"Revisar"),"")</f>
        <v/>
      </c>
      <c r="AX614" s="179" t="str">
        <f t="array" ref="AX614">IF($F614&lt;&gt;"", XLOOKUP($F614,Productos!$A$2:$A1001,Productos!AQ$2:AQ1001,"")*$G614,"")</f>
        <v/>
      </c>
      <c r="AY614" s="179" t="str">
        <f t="array" ref="AY614">IF($F614&lt;&gt;"",XLOOKUP($F614,Productos!$A:$A,Productos!AR:AR,"Revisar"),"")</f>
        <v/>
      </c>
      <c r="AZ614" s="179" t="str">
        <f t="array" ref="AZ614">IF($F614&lt;&gt;"", XLOOKUP($F614,Productos!$A$2:$A1001,Productos!AS$2:AS1001,"")*$G614,"")</f>
        <v/>
      </c>
      <c r="BA614" s="179" t="str">
        <f t="array" ref="BA614">IF($F614&lt;&gt;"",XLOOKUP($F614,Productos!$A:$A,Productos!AT:AT,"Revisar"),"")</f>
        <v/>
      </c>
      <c r="BB614" s="179" t="str">
        <f t="array" ref="BB614">IF($F614&lt;&gt;"", XLOOKUP($F614,Productos!$A$2:$A1001,Productos!AU$2:AU1001,"")*$G614,"")</f>
        <v/>
      </c>
      <c r="BC614" s="179" t="str">
        <f t="array" ref="BC614">IF($F614&lt;&gt;"",XLOOKUP($F614,Productos!$A:$A,Productos!AV:AV,"Revisar"),"")</f>
        <v/>
      </c>
      <c r="BD614" s="179" t="str">
        <f t="array" ref="BD614">IF($F614&lt;&gt;"", XLOOKUP($F614,Productos!$A$2:$A1001,Productos!AW$2:AW1001,"")*$G614,"")</f>
        <v/>
      </c>
      <c r="BE614" s="179" t="str">
        <f t="array" ref="BE614">IF($F614&lt;&gt;"",XLOOKUP($F614,Productos!$A:$A,Productos!AX:AX,"Revisar"),"")</f>
        <v/>
      </c>
      <c r="BF614" s="179" t="str">
        <f t="array" ref="BF614">IF($F614&lt;&gt;"", XLOOKUP($F614,Productos!$A$2:$A1001,Productos!AY$2:AY1001,"")*$G614,"")</f>
        <v/>
      </c>
      <c r="BG614" s="179" t="str">
        <f t="array" ref="BG614">IF($F614&lt;&gt;"",XLOOKUP($F614,Productos!$A:$A,Productos!AZ:AZ,"Revisar"),"")</f>
        <v/>
      </c>
      <c r="BH614" s="179" t="str">
        <f t="array" ref="BH614">IF($F614&lt;&gt;"", XLOOKUP($F614,Productos!$A$2:$A1001,Productos!BA$2:BA1001,"")*$G614,"")</f>
        <v/>
      </c>
      <c r="BI614" s="179" t="str">
        <f t="array" ref="BI614">IF($F614&lt;&gt;"",XLOOKUP($F614,Productos!$A:$A,Productos!BB:BB,"Revisar"),"")</f>
        <v/>
      </c>
      <c r="BJ614" s="179" t="str">
        <f t="array" ref="BJ614">IF($F614&lt;&gt;"", XLOOKUP($F614,Productos!$A$2:$A1001,Productos!BC$2:BC1001,"")*$G614,"")</f>
        <v/>
      </c>
      <c r="BK614" s="179" t="str">
        <f t="array" ref="BK614">IF($F614&lt;&gt;"",XLOOKUP($F614,Productos!$A:$A,Productos!BD:BD,"Revisar"),"")</f>
        <v/>
      </c>
      <c r="BL614" s="179" t="str">
        <f t="array" ref="BL614">IF($F614&lt;&gt;"", XLOOKUP($F614,Productos!$A$2:$A1001,Productos!BE$2:BE1001,"")*$G614,"")</f>
        <v/>
      </c>
      <c r="BM614" s="179" t="str">
        <f t="array" ref="BM614">IF($F614&lt;&gt;"",XLOOKUP($F614,Productos!$A:$A,Productos!BF:BF,"Revisar"),"")</f>
        <v/>
      </c>
      <c r="BN614" s="179" t="str">
        <f t="array" ref="BN614">IF($F614&lt;&gt;"", XLOOKUP($F614,Productos!$A$2:$A1001,Productos!BG$2:BG1001,"")*$G614,"")</f>
        <v/>
      </c>
      <c r="BO614" s="179" t="str">
        <f t="array" ref="BO614">IF($F614&lt;&gt;"",XLOOKUP($F614,Productos!$A:$A,Productos!BH:BH,"Revisar"),"")</f>
        <v/>
      </c>
      <c r="BP614" s="179" t="str">
        <f t="array" ref="BP614">IF($F614&lt;&gt;"", XLOOKUP($F614,Productos!$A$2:$A1001,Productos!BI$2:BI1001,"")*$G614,"")</f>
        <v/>
      </c>
      <c r="BQ614" s="179" t="str">
        <f t="array" ref="BQ614">IF($F614&lt;&gt;"",XLOOKUP($F614,Productos!$A:$A,Productos!BJ:BJ,"Revisar"),"")</f>
        <v/>
      </c>
      <c r="BR614" s="179" t="str">
        <f t="array" ref="BR614">IF($F614&lt;&gt;"", XLOOKUP($F614,Productos!$A$2:$A1001,Productos!BK$2:BK1001,"")*$G614,"")</f>
        <v/>
      </c>
      <c r="BS614" s="179" t="str">
        <f t="array" ref="BS614">IF($F614&lt;&gt;"",XLOOKUP($F614,Productos!$A:$A,Productos!BL:BL,"Revisar"),"")</f>
        <v/>
      </c>
      <c r="BT614" s="179" t="str">
        <f t="array" ref="BT614">IF($F614&lt;&gt;"", XLOOKUP($F614,Productos!$A$2:$A1001,Productos!BM$2:BM1001,"")*$G614,"")</f>
        <v/>
      </c>
      <c r="BU614" s="179" t="str">
        <f t="array" ref="BU614">IF($F614&lt;&gt;"",XLOOKUP($F614,Productos!$A:$A,Productos!BN:BN,"Revisar"),"")</f>
        <v/>
      </c>
      <c r="BV614" s="179" t="str">
        <f t="array" ref="BV614">IF($F614&lt;&gt;"", XLOOKUP($F614,Productos!$A$2:$A1001,Productos!BO$2:BO1001,"")*$G614,"")</f>
        <v/>
      </c>
      <c r="BW614" s="179" t="str">
        <f t="array" ref="BW614">IF($F614&lt;&gt;"",XLOOKUP($F614,Productos!$A:$A,Productos!BP:BP,"Revisar"),"")</f>
        <v/>
      </c>
      <c r="BX614" s="179" t="str">
        <f t="array" ref="BX614">IF($F614&lt;&gt;"", XLOOKUP($F614,Productos!$A$2:$A1001,Productos!BQ$2:BQ1001,"")*$G614,"")</f>
        <v/>
      </c>
      <c r="BY614" s="179" t="str">
        <f t="array" ref="BY614">IF($F614&lt;&gt;"",XLOOKUP($F614,Productos!$A:$A,Productos!BR:BR,"Revisar"),"")</f>
        <v/>
      </c>
      <c r="BZ614" s="179" t="str">
        <f t="array" ref="BZ614">IF($F614&lt;&gt;"", XLOOKUP($F614,Productos!$A$2:$A1001,Productos!BS$2:BS1001,"")*$G614,"")</f>
        <v/>
      </c>
    </row>
    <row r="615">
      <c r="A615" s="188"/>
      <c r="B615" s="189"/>
      <c r="C615" s="190"/>
      <c r="D615" s="190"/>
      <c r="E615" s="191"/>
      <c r="F615" s="186"/>
      <c r="G615" s="192"/>
      <c r="H615" s="9"/>
      <c r="I615" s="179" t="str">
        <f t="array" ref="I615">IF($F615&lt;&gt;"",XLOOKUP($F615,Productos!$A:$A,Productos!B:B,"Revisar"),"")</f>
        <v/>
      </c>
      <c r="J615" s="179" t="str">
        <f t="array" ref="J615">IF($F615&lt;&gt;"", XLOOKUP($F615,Productos!$A$2:$A1001,Productos!C$2:C1001,"")*$G615,"")</f>
        <v/>
      </c>
      <c r="K615" s="179" t="str">
        <f t="array" ref="K615">IF($F615&lt;&gt;"",XLOOKUP($F615,Productos!$A:$A,Productos!D:D,"Revisar"),"")</f>
        <v/>
      </c>
      <c r="L615" s="179" t="str">
        <f t="array" ref="L615">IF($F615&lt;&gt;"", XLOOKUP($F615,Productos!$A$2:$A1001,Productos!E$2:E1001,"")*$G615,"")</f>
        <v/>
      </c>
      <c r="M615" s="179" t="str">
        <f t="array" ref="M615">IF($F615&lt;&gt;"",XLOOKUP($F615,Productos!$A:$A,Productos!F:F,"Revisar"),"")</f>
        <v/>
      </c>
      <c r="N615" s="179" t="str">
        <f t="array" ref="N615">IF($F615&lt;&gt;"", XLOOKUP($F615,Productos!$A$2:$A1001,Productos!G$2:G1001,"")*$G615,"")</f>
        <v/>
      </c>
      <c r="O615" s="179" t="str">
        <f t="array" ref="O615">IF($F615&lt;&gt;"",XLOOKUP($F615,Productos!$A:$A,Productos!H:H,"Revisar"),"")</f>
        <v/>
      </c>
      <c r="P615" s="179" t="str">
        <f t="array" ref="P615">IF($F615&lt;&gt;"", XLOOKUP($F615,Productos!$A$2:$A1001,Productos!I$2:I1001,"")*$G615,"")</f>
        <v/>
      </c>
      <c r="Q615" s="179" t="str">
        <f t="array" ref="Q615">IF($F615&lt;&gt;"",XLOOKUP($F615,Productos!$A:$A,Productos!J:J,"Revisar"),"")</f>
        <v/>
      </c>
      <c r="R615" s="179" t="str">
        <f t="array" ref="R615">IF($F615&lt;&gt;"", XLOOKUP($F615,Productos!$A$2:$A1001,Productos!K$2:K1001,"")*$G615,"")</f>
        <v/>
      </c>
      <c r="S615" s="179" t="str">
        <f t="array" ref="S615">IF($F615&lt;&gt;"",XLOOKUP($F615,Productos!$A:$A,Productos!L:L,"Revisar"),"")</f>
        <v/>
      </c>
      <c r="T615" s="179" t="str">
        <f t="array" ref="T615">IF($F615&lt;&gt;"", XLOOKUP($F615,Productos!$A$2:$A1001,Productos!M$2:M1001,"")*$G615,"")</f>
        <v/>
      </c>
      <c r="U615" s="179" t="str">
        <f t="array" ref="U615">IF($F615&lt;&gt;"",XLOOKUP($F615,Productos!$A:$A,Productos!N:N,"Revisar"),"")</f>
        <v/>
      </c>
      <c r="V615" s="179" t="str">
        <f t="array" ref="V615">IF($F615&lt;&gt;"", XLOOKUP($F615,Productos!$A$2:$A1001,Productos!O$2:O1001,"")*$G615,"")</f>
        <v/>
      </c>
      <c r="W615" s="179" t="str">
        <f t="array" ref="W615">IF($F615&lt;&gt;"",XLOOKUP($F615,Productos!$A:$A,Productos!P:P,"Revisar"),"")</f>
        <v/>
      </c>
      <c r="X615" s="179" t="str">
        <f t="array" ref="X615">IF($F615&lt;&gt;"", XLOOKUP($F615,Productos!$A$2:$A1001,Productos!Q$2:Q1001,"")*$G615,"")</f>
        <v/>
      </c>
      <c r="Y615" s="179" t="str">
        <f t="array" ref="Y615">IF($F615&lt;&gt;"",XLOOKUP($F615,Productos!$A:$A,Productos!R:R,"Revisar"),"")</f>
        <v/>
      </c>
      <c r="Z615" s="179" t="str">
        <f t="array" ref="Z615">IF($F615&lt;&gt;"", XLOOKUP($F615,Productos!$A$2:$A1001,Productos!S$2:S1001,"")*$G615,"")</f>
        <v/>
      </c>
      <c r="AA615" s="179" t="str">
        <f t="array" ref="AA615">IF($F615&lt;&gt;"",XLOOKUP($F615,Productos!$A:$A,Productos!T:T,"Revisar"),"")</f>
        <v/>
      </c>
      <c r="AB615" s="179" t="str">
        <f t="array" ref="AB615">IF($F615&lt;&gt;"", XLOOKUP($F615,Productos!$A$2:$A1001,Productos!U$2:U1001,"")*$G615,"")</f>
        <v/>
      </c>
      <c r="AC615" s="179" t="str">
        <f t="array" ref="AC615">IF($F615&lt;&gt;"",XLOOKUP($F615,Productos!$A:$A,Productos!V:V,"Revisar"),"")</f>
        <v/>
      </c>
      <c r="AD615" s="179" t="str">
        <f t="array" ref="AD615">IF($F615&lt;&gt;"", XLOOKUP($F615,Productos!$A$2:$A1001,Productos!W$2:W1001,"")*$G615,"")</f>
        <v/>
      </c>
      <c r="AE615" s="179" t="str">
        <f t="array" ref="AE615">IF($F615&lt;&gt;"",XLOOKUP($F615,Productos!$A:$A,Productos!X:X,"Revisar"),"")</f>
        <v/>
      </c>
      <c r="AF615" s="179" t="str">
        <f t="array" ref="AF615">IF($F615&lt;&gt;"", XLOOKUP($F615,Productos!$A$2:$A1001,Productos!Y$2:Y1001,"")*$G615,"")</f>
        <v/>
      </c>
      <c r="AG615" s="179" t="str">
        <f t="array" ref="AG615">IF($F615&lt;&gt;"",XLOOKUP($F615,Productos!$A:$A,Productos!Z:Z,"Revisar"),"")</f>
        <v/>
      </c>
      <c r="AH615" s="179" t="str">
        <f t="array" ref="AH615">IF($F615&lt;&gt;"", XLOOKUP($F615,Productos!$A$2:$A1001,Productos!AA$2:AA1001,"")*$G615,"")</f>
        <v/>
      </c>
      <c r="AI615" s="179" t="str">
        <f t="array" ref="AI615">IF($F615&lt;&gt;"",XLOOKUP($F615,Productos!$A:$A,Productos!AB:AB,"Revisar"),"")</f>
        <v/>
      </c>
      <c r="AJ615" s="179" t="str">
        <f t="array" ref="AJ615">IF($F615&lt;&gt;"", XLOOKUP($F615,Productos!$A$2:$A1001,Productos!AC$2:AC1001,"")*$G615,"")</f>
        <v/>
      </c>
      <c r="AK615" s="179" t="str">
        <f t="array" ref="AK615">IF($F615&lt;&gt;"",XLOOKUP($F615,Productos!$A:$A,Productos!AD:AD,"Revisar"),"")</f>
        <v/>
      </c>
      <c r="AL615" s="179" t="str">
        <f t="array" ref="AL615">IF($F615&lt;&gt;"", XLOOKUP($F615,Productos!$A$2:$A1001,Productos!AE$2:AE1001,"")*$G615,"")</f>
        <v/>
      </c>
      <c r="AM615" s="179" t="str">
        <f t="array" ref="AM615">IF($F615&lt;&gt;"",XLOOKUP($F615,Productos!$A:$A,Productos!AF:AF,"Revisar"),"")</f>
        <v/>
      </c>
      <c r="AN615" s="179" t="str">
        <f t="array" ref="AN615">IF($F615&lt;&gt;"", XLOOKUP($F615,Productos!$A$2:$A1001,Productos!AG$2:AG1001,"")*$G615,"")</f>
        <v/>
      </c>
      <c r="AO615" s="179" t="str">
        <f t="array" ref="AO615">IF($F615&lt;&gt;"",XLOOKUP($F615,Productos!$A:$A,Productos!AH:AH,"Revisar"),"")</f>
        <v/>
      </c>
      <c r="AP615" s="179" t="str">
        <f t="array" ref="AP615">IF($F615&lt;&gt;"", XLOOKUP($F615,Productos!$A$2:$A1001,Productos!AI$2:AI1001,"")*$G615,"")</f>
        <v/>
      </c>
      <c r="AQ615" s="179" t="str">
        <f t="array" ref="AQ615">IF($F615&lt;&gt;"",XLOOKUP($F615,Productos!$A:$A,Productos!AJ:AJ,"Revisar"),"")</f>
        <v/>
      </c>
      <c r="AR615" s="179" t="str">
        <f t="array" ref="AR615">IF($F615&lt;&gt;"", XLOOKUP($F615,Productos!$A$2:$A1001,Productos!AK$2:AK1001,"")*$G615,"")</f>
        <v/>
      </c>
      <c r="AS615" s="179" t="str">
        <f t="array" ref="AS615">IF($F615&lt;&gt;"",XLOOKUP($F615,Productos!$A:$A,Productos!AL:AL,"Revisar"),"")</f>
        <v/>
      </c>
      <c r="AT615" s="179" t="str">
        <f t="array" ref="AT615">IF($F615&lt;&gt;"", XLOOKUP($F615,Productos!$A$2:$A1001,Productos!AM$2:AM1001,"")*$G615,"")</f>
        <v/>
      </c>
      <c r="AU615" s="179" t="str">
        <f t="array" ref="AU615">IF($F615&lt;&gt;"",XLOOKUP($F615,Productos!$A:$A,Productos!AN:AN,"Revisar"),"")</f>
        <v/>
      </c>
      <c r="AV615" s="179" t="str">
        <f t="array" ref="AV615">IF($F615&lt;&gt;"", XLOOKUP($F615,Productos!$A$2:$A1001,Productos!AO$2:AO1001,"")*$G615,"")</f>
        <v/>
      </c>
      <c r="AW615" s="179" t="str">
        <f t="array" ref="AW615">IF($F615&lt;&gt;"",XLOOKUP($F615,Productos!$A:$A,Productos!AP:AP,"Revisar"),"")</f>
        <v/>
      </c>
      <c r="AX615" s="179" t="str">
        <f t="array" ref="AX615">IF($F615&lt;&gt;"", XLOOKUP($F615,Productos!$A$2:$A1001,Productos!AQ$2:AQ1001,"")*$G615,"")</f>
        <v/>
      </c>
      <c r="AY615" s="179" t="str">
        <f t="array" ref="AY615">IF($F615&lt;&gt;"",XLOOKUP($F615,Productos!$A:$A,Productos!AR:AR,"Revisar"),"")</f>
        <v/>
      </c>
      <c r="AZ615" s="179" t="str">
        <f t="array" ref="AZ615">IF($F615&lt;&gt;"", XLOOKUP($F615,Productos!$A$2:$A1001,Productos!AS$2:AS1001,"")*$G615,"")</f>
        <v/>
      </c>
      <c r="BA615" s="179" t="str">
        <f t="array" ref="BA615">IF($F615&lt;&gt;"",XLOOKUP($F615,Productos!$A:$A,Productos!AT:AT,"Revisar"),"")</f>
        <v/>
      </c>
      <c r="BB615" s="179" t="str">
        <f t="array" ref="BB615">IF($F615&lt;&gt;"", XLOOKUP($F615,Productos!$A$2:$A1001,Productos!AU$2:AU1001,"")*$G615,"")</f>
        <v/>
      </c>
      <c r="BC615" s="179" t="str">
        <f t="array" ref="BC615">IF($F615&lt;&gt;"",XLOOKUP($F615,Productos!$A:$A,Productos!AV:AV,"Revisar"),"")</f>
        <v/>
      </c>
      <c r="BD615" s="179" t="str">
        <f t="array" ref="BD615">IF($F615&lt;&gt;"", XLOOKUP($F615,Productos!$A$2:$A1001,Productos!AW$2:AW1001,"")*$G615,"")</f>
        <v/>
      </c>
      <c r="BE615" s="179" t="str">
        <f t="array" ref="BE615">IF($F615&lt;&gt;"",XLOOKUP($F615,Productos!$A:$A,Productos!AX:AX,"Revisar"),"")</f>
        <v/>
      </c>
      <c r="BF615" s="179" t="str">
        <f t="array" ref="BF615">IF($F615&lt;&gt;"", XLOOKUP($F615,Productos!$A$2:$A1001,Productos!AY$2:AY1001,"")*$G615,"")</f>
        <v/>
      </c>
      <c r="BG615" s="179" t="str">
        <f t="array" ref="BG615">IF($F615&lt;&gt;"",XLOOKUP($F615,Productos!$A:$A,Productos!AZ:AZ,"Revisar"),"")</f>
        <v/>
      </c>
      <c r="BH615" s="179" t="str">
        <f t="array" ref="BH615">IF($F615&lt;&gt;"", XLOOKUP($F615,Productos!$A$2:$A1001,Productos!BA$2:BA1001,"")*$G615,"")</f>
        <v/>
      </c>
      <c r="BI615" s="179" t="str">
        <f t="array" ref="BI615">IF($F615&lt;&gt;"",XLOOKUP($F615,Productos!$A:$A,Productos!BB:BB,"Revisar"),"")</f>
        <v/>
      </c>
      <c r="BJ615" s="179" t="str">
        <f t="array" ref="BJ615">IF($F615&lt;&gt;"", XLOOKUP($F615,Productos!$A$2:$A1001,Productos!BC$2:BC1001,"")*$G615,"")</f>
        <v/>
      </c>
      <c r="BK615" s="179" t="str">
        <f t="array" ref="BK615">IF($F615&lt;&gt;"",XLOOKUP($F615,Productos!$A:$A,Productos!BD:BD,"Revisar"),"")</f>
        <v/>
      </c>
      <c r="BL615" s="179" t="str">
        <f t="array" ref="BL615">IF($F615&lt;&gt;"", XLOOKUP($F615,Productos!$A$2:$A1001,Productos!BE$2:BE1001,"")*$G615,"")</f>
        <v/>
      </c>
      <c r="BM615" s="179" t="str">
        <f t="array" ref="BM615">IF($F615&lt;&gt;"",XLOOKUP($F615,Productos!$A:$A,Productos!BF:BF,"Revisar"),"")</f>
        <v/>
      </c>
      <c r="BN615" s="179" t="str">
        <f t="array" ref="BN615">IF($F615&lt;&gt;"", XLOOKUP($F615,Productos!$A$2:$A1001,Productos!BG$2:BG1001,"")*$G615,"")</f>
        <v/>
      </c>
      <c r="BO615" s="179" t="str">
        <f t="array" ref="BO615">IF($F615&lt;&gt;"",XLOOKUP($F615,Productos!$A:$A,Productos!BH:BH,"Revisar"),"")</f>
        <v/>
      </c>
      <c r="BP615" s="179" t="str">
        <f t="array" ref="BP615">IF($F615&lt;&gt;"", XLOOKUP($F615,Productos!$A$2:$A1001,Productos!BI$2:BI1001,"")*$G615,"")</f>
        <v/>
      </c>
      <c r="BQ615" s="179" t="str">
        <f t="array" ref="BQ615">IF($F615&lt;&gt;"",XLOOKUP($F615,Productos!$A:$A,Productos!BJ:BJ,"Revisar"),"")</f>
        <v/>
      </c>
      <c r="BR615" s="179" t="str">
        <f t="array" ref="BR615">IF($F615&lt;&gt;"", XLOOKUP($F615,Productos!$A$2:$A1001,Productos!BK$2:BK1001,"")*$G615,"")</f>
        <v/>
      </c>
      <c r="BS615" s="179" t="str">
        <f t="array" ref="BS615">IF($F615&lt;&gt;"",XLOOKUP($F615,Productos!$A:$A,Productos!BL:BL,"Revisar"),"")</f>
        <v/>
      </c>
      <c r="BT615" s="179" t="str">
        <f t="array" ref="BT615">IF($F615&lt;&gt;"", XLOOKUP($F615,Productos!$A$2:$A1001,Productos!BM$2:BM1001,"")*$G615,"")</f>
        <v/>
      </c>
      <c r="BU615" s="179" t="str">
        <f t="array" ref="BU615">IF($F615&lt;&gt;"",XLOOKUP($F615,Productos!$A:$A,Productos!BN:BN,"Revisar"),"")</f>
        <v/>
      </c>
      <c r="BV615" s="179" t="str">
        <f t="array" ref="BV615">IF($F615&lt;&gt;"", XLOOKUP($F615,Productos!$A$2:$A1001,Productos!BO$2:BO1001,"")*$G615,"")</f>
        <v/>
      </c>
      <c r="BW615" s="179" t="str">
        <f t="array" ref="BW615">IF($F615&lt;&gt;"",XLOOKUP($F615,Productos!$A:$A,Productos!BP:BP,"Revisar"),"")</f>
        <v/>
      </c>
      <c r="BX615" s="179" t="str">
        <f t="array" ref="BX615">IF($F615&lt;&gt;"", XLOOKUP($F615,Productos!$A$2:$A1001,Productos!BQ$2:BQ1001,"")*$G615,"")</f>
        <v/>
      </c>
      <c r="BY615" s="179" t="str">
        <f t="array" ref="BY615">IF($F615&lt;&gt;"",XLOOKUP($F615,Productos!$A:$A,Productos!BR:BR,"Revisar"),"")</f>
        <v/>
      </c>
      <c r="BZ615" s="179" t="str">
        <f t="array" ref="BZ615">IF($F615&lt;&gt;"", XLOOKUP($F615,Productos!$A$2:$A1001,Productos!BS$2:BS1001,"")*$G615,"")</f>
        <v/>
      </c>
    </row>
    <row r="616">
      <c r="A616" s="188"/>
      <c r="B616" s="189"/>
      <c r="C616" s="190"/>
      <c r="D616" s="190"/>
      <c r="E616" s="191"/>
      <c r="F616" s="186"/>
      <c r="G616" s="192"/>
      <c r="H616" s="9"/>
      <c r="I616" s="179" t="str">
        <f t="array" ref="I616">IF($F616&lt;&gt;"",XLOOKUP($F616,Productos!$A:$A,Productos!B:B,"Revisar"),"")</f>
        <v/>
      </c>
      <c r="J616" s="179" t="str">
        <f t="array" ref="J616">IF($F616&lt;&gt;"", XLOOKUP($F616,Productos!$A$2:$A1001,Productos!C$2:C1001,"")*$G616,"")</f>
        <v/>
      </c>
      <c r="K616" s="179" t="str">
        <f t="array" ref="K616">IF($F616&lt;&gt;"",XLOOKUP($F616,Productos!$A:$A,Productos!D:D,"Revisar"),"")</f>
        <v/>
      </c>
      <c r="L616" s="179" t="str">
        <f t="array" ref="L616">IF($F616&lt;&gt;"", XLOOKUP($F616,Productos!$A$2:$A1001,Productos!E$2:E1001,"")*$G616,"")</f>
        <v/>
      </c>
      <c r="M616" s="179" t="str">
        <f t="array" ref="M616">IF($F616&lt;&gt;"",XLOOKUP($F616,Productos!$A:$A,Productos!F:F,"Revisar"),"")</f>
        <v/>
      </c>
      <c r="N616" s="179" t="str">
        <f t="array" ref="N616">IF($F616&lt;&gt;"", XLOOKUP($F616,Productos!$A$2:$A1001,Productos!G$2:G1001,"")*$G616,"")</f>
        <v/>
      </c>
      <c r="O616" s="179" t="str">
        <f t="array" ref="O616">IF($F616&lt;&gt;"",XLOOKUP($F616,Productos!$A:$A,Productos!H:H,"Revisar"),"")</f>
        <v/>
      </c>
      <c r="P616" s="179" t="str">
        <f t="array" ref="P616">IF($F616&lt;&gt;"", XLOOKUP($F616,Productos!$A$2:$A1001,Productos!I$2:I1001,"")*$G616,"")</f>
        <v/>
      </c>
      <c r="Q616" s="179" t="str">
        <f t="array" ref="Q616">IF($F616&lt;&gt;"",XLOOKUP($F616,Productos!$A:$A,Productos!J:J,"Revisar"),"")</f>
        <v/>
      </c>
      <c r="R616" s="179" t="str">
        <f t="array" ref="R616">IF($F616&lt;&gt;"", XLOOKUP($F616,Productos!$A$2:$A1001,Productos!K$2:K1001,"")*$G616,"")</f>
        <v/>
      </c>
      <c r="S616" s="179" t="str">
        <f t="array" ref="S616">IF($F616&lt;&gt;"",XLOOKUP($F616,Productos!$A:$A,Productos!L:L,"Revisar"),"")</f>
        <v/>
      </c>
      <c r="T616" s="179" t="str">
        <f t="array" ref="T616">IF($F616&lt;&gt;"", XLOOKUP($F616,Productos!$A$2:$A1001,Productos!M$2:M1001,"")*$G616,"")</f>
        <v/>
      </c>
      <c r="U616" s="179" t="str">
        <f t="array" ref="U616">IF($F616&lt;&gt;"",XLOOKUP($F616,Productos!$A:$A,Productos!N:N,"Revisar"),"")</f>
        <v/>
      </c>
      <c r="V616" s="179" t="str">
        <f t="array" ref="V616">IF($F616&lt;&gt;"", XLOOKUP($F616,Productos!$A$2:$A1001,Productos!O$2:O1001,"")*$G616,"")</f>
        <v/>
      </c>
      <c r="W616" s="179" t="str">
        <f t="array" ref="W616">IF($F616&lt;&gt;"",XLOOKUP($F616,Productos!$A:$A,Productos!P:P,"Revisar"),"")</f>
        <v/>
      </c>
      <c r="X616" s="179" t="str">
        <f t="array" ref="X616">IF($F616&lt;&gt;"", XLOOKUP($F616,Productos!$A$2:$A1001,Productos!Q$2:Q1001,"")*$G616,"")</f>
        <v/>
      </c>
      <c r="Y616" s="179" t="str">
        <f t="array" ref="Y616">IF($F616&lt;&gt;"",XLOOKUP($F616,Productos!$A:$A,Productos!R:R,"Revisar"),"")</f>
        <v/>
      </c>
      <c r="Z616" s="179" t="str">
        <f t="array" ref="Z616">IF($F616&lt;&gt;"", XLOOKUP($F616,Productos!$A$2:$A1001,Productos!S$2:S1001,"")*$G616,"")</f>
        <v/>
      </c>
      <c r="AA616" s="179" t="str">
        <f t="array" ref="AA616">IF($F616&lt;&gt;"",XLOOKUP($F616,Productos!$A:$A,Productos!T:T,"Revisar"),"")</f>
        <v/>
      </c>
      <c r="AB616" s="179" t="str">
        <f t="array" ref="AB616">IF($F616&lt;&gt;"", XLOOKUP($F616,Productos!$A$2:$A1001,Productos!U$2:U1001,"")*$G616,"")</f>
        <v/>
      </c>
      <c r="AC616" s="179" t="str">
        <f t="array" ref="AC616">IF($F616&lt;&gt;"",XLOOKUP($F616,Productos!$A:$A,Productos!V:V,"Revisar"),"")</f>
        <v/>
      </c>
      <c r="AD616" s="179" t="str">
        <f t="array" ref="AD616">IF($F616&lt;&gt;"", XLOOKUP($F616,Productos!$A$2:$A1001,Productos!W$2:W1001,"")*$G616,"")</f>
        <v/>
      </c>
      <c r="AE616" s="179" t="str">
        <f t="array" ref="AE616">IF($F616&lt;&gt;"",XLOOKUP($F616,Productos!$A:$A,Productos!X:X,"Revisar"),"")</f>
        <v/>
      </c>
      <c r="AF616" s="179" t="str">
        <f t="array" ref="AF616">IF($F616&lt;&gt;"", XLOOKUP($F616,Productos!$A$2:$A1001,Productos!Y$2:Y1001,"")*$G616,"")</f>
        <v/>
      </c>
      <c r="AG616" s="179" t="str">
        <f t="array" ref="AG616">IF($F616&lt;&gt;"",XLOOKUP($F616,Productos!$A:$A,Productos!Z:Z,"Revisar"),"")</f>
        <v/>
      </c>
      <c r="AH616" s="179" t="str">
        <f t="array" ref="AH616">IF($F616&lt;&gt;"", XLOOKUP($F616,Productos!$A$2:$A1001,Productos!AA$2:AA1001,"")*$G616,"")</f>
        <v/>
      </c>
      <c r="AI616" s="179" t="str">
        <f t="array" ref="AI616">IF($F616&lt;&gt;"",XLOOKUP($F616,Productos!$A:$A,Productos!AB:AB,"Revisar"),"")</f>
        <v/>
      </c>
      <c r="AJ616" s="179" t="str">
        <f t="array" ref="AJ616">IF($F616&lt;&gt;"", XLOOKUP($F616,Productos!$A$2:$A1001,Productos!AC$2:AC1001,"")*$G616,"")</f>
        <v/>
      </c>
      <c r="AK616" s="179" t="str">
        <f t="array" ref="AK616">IF($F616&lt;&gt;"",XLOOKUP($F616,Productos!$A:$A,Productos!AD:AD,"Revisar"),"")</f>
        <v/>
      </c>
      <c r="AL616" s="179" t="str">
        <f t="array" ref="AL616">IF($F616&lt;&gt;"", XLOOKUP($F616,Productos!$A$2:$A1001,Productos!AE$2:AE1001,"")*$G616,"")</f>
        <v/>
      </c>
      <c r="AM616" s="179" t="str">
        <f t="array" ref="AM616">IF($F616&lt;&gt;"",XLOOKUP($F616,Productos!$A:$A,Productos!AF:AF,"Revisar"),"")</f>
        <v/>
      </c>
      <c r="AN616" s="179" t="str">
        <f t="array" ref="AN616">IF($F616&lt;&gt;"", XLOOKUP($F616,Productos!$A$2:$A1001,Productos!AG$2:AG1001,"")*$G616,"")</f>
        <v/>
      </c>
      <c r="AO616" s="179" t="str">
        <f t="array" ref="AO616">IF($F616&lt;&gt;"",XLOOKUP($F616,Productos!$A:$A,Productos!AH:AH,"Revisar"),"")</f>
        <v/>
      </c>
      <c r="AP616" s="179" t="str">
        <f t="array" ref="AP616">IF($F616&lt;&gt;"", XLOOKUP($F616,Productos!$A$2:$A1001,Productos!AI$2:AI1001,"")*$G616,"")</f>
        <v/>
      </c>
      <c r="AQ616" s="179" t="str">
        <f t="array" ref="AQ616">IF($F616&lt;&gt;"",XLOOKUP($F616,Productos!$A:$A,Productos!AJ:AJ,"Revisar"),"")</f>
        <v/>
      </c>
      <c r="AR616" s="179" t="str">
        <f t="array" ref="AR616">IF($F616&lt;&gt;"", XLOOKUP($F616,Productos!$A$2:$A1001,Productos!AK$2:AK1001,"")*$G616,"")</f>
        <v/>
      </c>
      <c r="AS616" s="179" t="str">
        <f t="array" ref="AS616">IF($F616&lt;&gt;"",XLOOKUP($F616,Productos!$A:$A,Productos!AL:AL,"Revisar"),"")</f>
        <v/>
      </c>
      <c r="AT616" s="179" t="str">
        <f t="array" ref="AT616">IF($F616&lt;&gt;"", XLOOKUP($F616,Productos!$A$2:$A1001,Productos!AM$2:AM1001,"")*$G616,"")</f>
        <v/>
      </c>
      <c r="AU616" s="179" t="str">
        <f t="array" ref="AU616">IF($F616&lt;&gt;"",XLOOKUP($F616,Productos!$A:$A,Productos!AN:AN,"Revisar"),"")</f>
        <v/>
      </c>
      <c r="AV616" s="179" t="str">
        <f t="array" ref="AV616">IF($F616&lt;&gt;"", XLOOKUP($F616,Productos!$A$2:$A1001,Productos!AO$2:AO1001,"")*$G616,"")</f>
        <v/>
      </c>
      <c r="AW616" s="179" t="str">
        <f t="array" ref="AW616">IF($F616&lt;&gt;"",XLOOKUP($F616,Productos!$A:$A,Productos!AP:AP,"Revisar"),"")</f>
        <v/>
      </c>
      <c r="AX616" s="179" t="str">
        <f t="array" ref="AX616">IF($F616&lt;&gt;"", XLOOKUP($F616,Productos!$A$2:$A1001,Productos!AQ$2:AQ1001,"")*$G616,"")</f>
        <v/>
      </c>
      <c r="AY616" s="179" t="str">
        <f t="array" ref="AY616">IF($F616&lt;&gt;"",XLOOKUP($F616,Productos!$A:$A,Productos!AR:AR,"Revisar"),"")</f>
        <v/>
      </c>
      <c r="AZ616" s="179" t="str">
        <f t="array" ref="AZ616">IF($F616&lt;&gt;"", XLOOKUP($F616,Productos!$A$2:$A1001,Productos!AS$2:AS1001,"")*$G616,"")</f>
        <v/>
      </c>
      <c r="BA616" s="179" t="str">
        <f t="array" ref="BA616">IF($F616&lt;&gt;"",XLOOKUP($F616,Productos!$A:$A,Productos!AT:AT,"Revisar"),"")</f>
        <v/>
      </c>
      <c r="BB616" s="179" t="str">
        <f t="array" ref="BB616">IF($F616&lt;&gt;"", XLOOKUP($F616,Productos!$A$2:$A1001,Productos!AU$2:AU1001,"")*$G616,"")</f>
        <v/>
      </c>
      <c r="BC616" s="179" t="str">
        <f t="array" ref="BC616">IF($F616&lt;&gt;"",XLOOKUP($F616,Productos!$A:$A,Productos!AV:AV,"Revisar"),"")</f>
        <v/>
      </c>
      <c r="BD616" s="179" t="str">
        <f t="array" ref="BD616">IF($F616&lt;&gt;"", XLOOKUP($F616,Productos!$A$2:$A1001,Productos!AW$2:AW1001,"")*$G616,"")</f>
        <v/>
      </c>
      <c r="BE616" s="179" t="str">
        <f t="array" ref="BE616">IF($F616&lt;&gt;"",XLOOKUP($F616,Productos!$A:$A,Productos!AX:AX,"Revisar"),"")</f>
        <v/>
      </c>
      <c r="BF616" s="179" t="str">
        <f t="array" ref="BF616">IF($F616&lt;&gt;"", XLOOKUP($F616,Productos!$A$2:$A1001,Productos!AY$2:AY1001,"")*$G616,"")</f>
        <v/>
      </c>
      <c r="BG616" s="179" t="str">
        <f t="array" ref="BG616">IF($F616&lt;&gt;"",XLOOKUP($F616,Productos!$A:$A,Productos!AZ:AZ,"Revisar"),"")</f>
        <v/>
      </c>
      <c r="BH616" s="179" t="str">
        <f t="array" ref="BH616">IF($F616&lt;&gt;"", XLOOKUP($F616,Productos!$A$2:$A1001,Productos!BA$2:BA1001,"")*$G616,"")</f>
        <v/>
      </c>
      <c r="BI616" s="179" t="str">
        <f t="array" ref="BI616">IF($F616&lt;&gt;"",XLOOKUP($F616,Productos!$A:$A,Productos!BB:BB,"Revisar"),"")</f>
        <v/>
      </c>
      <c r="BJ616" s="179" t="str">
        <f t="array" ref="BJ616">IF($F616&lt;&gt;"", XLOOKUP($F616,Productos!$A$2:$A1001,Productos!BC$2:BC1001,"")*$G616,"")</f>
        <v/>
      </c>
      <c r="BK616" s="179" t="str">
        <f t="array" ref="BK616">IF($F616&lt;&gt;"",XLOOKUP($F616,Productos!$A:$A,Productos!BD:BD,"Revisar"),"")</f>
        <v/>
      </c>
      <c r="BL616" s="179" t="str">
        <f t="array" ref="BL616">IF($F616&lt;&gt;"", XLOOKUP($F616,Productos!$A$2:$A1001,Productos!BE$2:BE1001,"")*$G616,"")</f>
        <v/>
      </c>
      <c r="BM616" s="179" t="str">
        <f t="array" ref="BM616">IF($F616&lt;&gt;"",XLOOKUP($F616,Productos!$A:$A,Productos!BF:BF,"Revisar"),"")</f>
        <v/>
      </c>
      <c r="BN616" s="179" t="str">
        <f t="array" ref="BN616">IF($F616&lt;&gt;"", XLOOKUP($F616,Productos!$A$2:$A1001,Productos!BG$2:BG1001,"")*$G616,"")</f>
        <v/>
      </c>
      <c r="BO616" s="179" t="str">
        <f t="array" ref="BO616">IF($F616&lt;&gt;"",XLOOKUP($F616,Productos!$A:$A,Productos!BH:BH,"Revisar"),"")</f>
        <v/>
      </c>
      <c r="BP616" s="179" t="str">
        <f t="array" ref="BP616">IF($F616&lt;&gt;"", XLOOKUP($F616,Productos!$A$2:$A1001,Productos!BI$2:BI1001,"")*$G616,"")</f>
        <v/>
      </c>
      <c r="BQ616" s="179" t="str">
        <f t="array" ref="BQ616">IF($F616&lt;&gt;"",XLOOKUP($F616,Productos!$A:$A,Productos!BJ:BJ,"Revisar"),"")</f>
        <v/>
      </c>
      <c r="BR616" s="179" t="str">
        <f t="array" ref="BR616">IF($F616&lt;&gt;"", XLOOKUP($F616,Productos!$A$2:$A1001,Productos!BK$2:BK1001,"")*$G616,"")</f>
        <v/>
      </c>
      <c r="BS616" s="179" t="str">
        <f t="array" ref="BS616">IF($F616&lt;&gt;"",XLOOKUP($F616,Productos!$A:$A,Productos!BL:BL,"Revisar"),"")</f>
        <v/>
      </c>
      <c r="BT616" s="179" t="str">
        <f t="array" ref="BT616">IF($F616&lt;&gt;"", XLOOKUP($F616,Productos!$A$2:$A1001,Productos!BM$2:BM1001,"")*$G616,"")</f>
        <v/>
      </c>
      <c r="BU616" s="179" t="str">
        <f t="array" ref="BU616">IF($F616&lt;&gt;"",XLOOKUP($F616,Productos!$A:$A,Productos!BN:BN,"Revisar"),"")</f>
        <v/>
      </c>
      <c r="BV616" s="179" t="str">
        <f t="array" ref="BV616">IF($F616&lt;&gt;"", XLOOKUP($F616,Productos!$A$2:$A1001,Productos!BO$2:BO1001,"")*$G616,"")</f>
        <v/>
      </c>
      <c r="BW616" s="179" t="str">
        <f t="array" ref="BW616">IF($F616&lt;&gt;"",XLOOKUP($F616,Productos!$A:$A,Productos!BP:BP,"Revisar"),"")</f>
        <v/>
      </c>
      <c r="BX616" s="179" t="str">
        <f t="array" ref="BX616">IF($F616&lt;&gt;"", XLOOKUP($F616,Productos!$A$2:$A1001,Productos!BQ$2:BQ1001,"")*$G616,"")</f>
        <v/>
      </c>
      <c r="BY616" s="179" t="str">
        <f t="array" ref="BY616">IF($F616&lt;&gt;"",XLOOKUP($F616,Productos!$A:$A,Productos!BR:BR,"Revisar"),"")</f>
        <v/>
      </c>
      <c r="BZ616" s="179" t="str">
        <f t="array" ref="BZ616">IF($F616&lt;&gt;"", XLOOKUP($F616,Productos!$A$2:$A1001,Productos!BS$2:BS1001,"")*$G616,"")</f>
        <v/>
      </c>
    </row>
    <row r="617">
      <c r="A617" s="188"/>
      <c r="B617" s="189"/>
      <c r="C617" s="190"/>
      <c r="D617" s="190"/>
      <c r="E617" s="191"/>
      <c r="F617" s="186"/>
      <c r="G617" s="192"/>
      <c r="H617" s="9"/>
      <c r="I617" s="179" t="str">
        <f t="array" ref="I617">IF($F617&lt;&gt;"",XLOOKUP($F617,Productos!$A:$A,Productos!B:B,"Revisar"),"")</f>
        <v/>
      </c>
      <c r="J617" s="179" t="str">
        <f t="array" ref="J617">IF($F617&lt;&gt;"", XLOOKUP($F617,Productos!$A$2:$A1001,Productos!C$2:C1001,"")*$G617,"")</f>
        <v/>
      </c>
      <c r="K617" s="179" t="str">
        <f t="array" ref="K617">IF($F617&lt;&gt;"",XLOOKUP($F617,Productos!$A:$A,Productos!D:D,"Revisar"),"")</f>
        <v/>
      </c>
      <c r="L617" s="179" t="str">
        <f t="array" ref="L617">IF($F617&lt;&gt;"", XLOOKUP($F617,Productos!$A$2:$A1001,Productos!E$2:E1001,"")*$G617,"")</f>
        <v/>
      </c>
      <c r="M617" s="179" t="str">
        <f t="array" ref="M617">IF($F617&lt;&gt;"",XLOOKUP($F617,Productos!$A:$A,Productos!F:F,"Revisar"),"")</f>
        <v/>
      </c>
      <c r="N617" s="179" t="str">
        <f t="array" ref="N617">IF($F617&lt;&gt;"", XLOOKUP($F617,Productos!$A$2:$A1001,Productos!G$2:G1001,"")*$G617,"")</f>
        <v/>
      </c>
      <c r="O617" s="179" t="str">
        <f t="array" ref="O617">IF($F617&lt;&gt;"",XLOOKUP($F617,Productos!$A:$A,Productos!H:H,"Revisar"),"")</f>
        <v/>
      </c>
      <c r="P617" s="179" t="str">
        <f t="array" ref="P617">IF($F617&lt;&gt;"", XLOOKUP($F617,Productos!$A$2:$A1001,Productos!I$2:I1001,"")*$G617,"")</f>
        <v/>
      </c>
      <c r="Q617" s="179" t="str">
        <f t="array" ref="Q617">IF($F617&lt;&gt;"",XLOOKUP($F617,Productos!$A:$A,Productos!J:J,"Revisar"),"")</f>
        <v/>
      </c>
      <c r="R617" s="179" t="str">
        <f t="array" ref="R617">IF($F617&lt;&gt;"", XLOOKUP($F617,Productos!$A$2:$A1001,Productos!K$2:K1001,"")*$G617,"")</f>
        <v/>
      </c>
      <c r="S617" s="179" t="str">
        <f t="array" ref="S617">IF($F617&lt;&gt;"",XLOOKUP($F617,Productos!$A:$A,Productos!L:L,"Revisar"),"")</f>
        <v/>
      </c>
      <c r="T617" s="179" t="str">
        <f t="array" ref="T617">IF($F617&lt;&gt;"", XLOOKUP($F617,Productos!$A$2:$A1001,Productos!M$2:M1001,"")*$G617,"")</f>
        <v/>
      </c>
      <c r="U617" s="179" t="str">
        <f t="array" ref="U617">IF($F617&lt;&gt;"",XLOOKUP($F617,Productos!$A:$A,Productos!N:N,"Revisar"),"")</f>
        <v/>
      </c>
      <c r="V617" s="179" t="str">
        <f t="array" ref="V617">IF($F617&lt;&gt;"", XLOOKUP($F617,Productos!$A$2:$A1001,Productos!O$2:O1001,"")*$G617,"")</f>
        <v/>
      </c>
      <c r="W617" s="179" t="str">
        <f t="array" ref="W617">IF($F617&lt;&gt;"",XLOOKUP($F617,Productos!$A:$A,Productos!P:P,"Revisar"),"")</f>
        <v/>
      </c>
      <c r="X617" s="179" t="str">
        <f t="array" ref="X617">IF($F617&lt;&gt;"", XLOOKUP($F617,Productos!$A$2:$A1001,Productos!Q$2:Q1001,"")*$G617,"")</f>
        <v/>
      </c>
      <c r="Y617" s="179" t="str">
        <f t="array" ref="Y617">IF($F617&lt;&gt;"",XLOOKUP($F617,Productos!$A:$A,Productos!R:R,"Revisar"),"")</f>
        <v/>
      </c>
      <c r="Z617" s="179" t="str">
        <f t="array" ref="Z617">IF($F617&lt;&gt;"", XLOOKUP($F617,Productos!$A$2:$A1001,Productos!S$2:S1001,"")*$G617,"")</f>
        <v/>
      </c>
      <c r="AA617" s="179" t="str">
        <f t="array" ref="AA617">IF($F617&lt;&gt;"",XLOOKUP($F617,Productos!$A:$A,Productos!T:T,"Revisar"),"")</f>
        <v/>
      </c>
      <c r="AB617" s="179" t="str">
        <f t="array" ref="AB617">IF($F617&lt;&gt;"", XLOOKUP($F617,Productos!$A$2:$A1001,Productos!U$2:U1001,"")*$G617,"")</f>
        <v/>
      </c>
      <c r="AC617" s="179" t="str">
        <f t="array" ref="AC617">IF($F617&lt;&gt;"",XLOOKUP($F617,Productos!$A:$A,Productos!V:V,"Revisar"),"")</f>
        <v/>
      </c>
      <c r="AD617" s="179" t="str">
        <f t="array" ref="AD617">IF($F617&lt;&gt;"", XLOOKUP($F617,Productos!$A$2:$A1001,Productos!W$2:W1001,"")*$G617,"")</f>
        <v/>
      </c>
      <c r="AE617" s="179" t="str">
        <f t="array" ref="AE617">IF($F617&lt;&gt;"",XLOOKUP($F617,Productos!$A:$A,Productos!X:X,"Revisar"),"")</f>
        <v/>
      </c>
      <c r="AF617" s="179" t="str">
        <f t="array" ref="AF617">IF($F617&lt;&gt;"", XLOOKUP($F617,Productos!$A$2:$A1001,Productos!Y$2:Y1001,"")*$G617,"")</f>
        <v/>
      </c>
      <c r="AG617" s="179" t="str">
        <f t="array" ref="AG617">IF($F617&lt;&gt;"",XLOOKUP($F617,Productos!$A:$A,Productos!Z:Z,"Revisar"),"")</f>
        <v/>
      </c>
      <c r="AH617" s="179" t="str">
        <f t="array" ref="AH617">IF($F617&lt;&gt;"", XLOOKUP($F617,Productos!$A$2:$A1001,Productos!AA$2:AA1001,"")*$G617,"")</f>
        <v/>
      </c>
      <c r="AI617" s="179" t="str">
        <f t="array" ref="AI617">IF($F617&lt;&gt;"",XLOOKUP($F617,Productos!$A:$A,Productos!AB:AB,"Revisar"),"")</f>
        <v/>
      </c>
      <c r="AJ617" s="179" t="str">
        <f t="array" ref="AJ617">IF($F617&lt;&gt;"", XLOOKUP($F617,Productos!$A$2:$A1001,Productos!AC$2:AC1001,"")*$G617,"")</f>
        <v/>
      </c>
      <c r="AK617" s="179" t="str">
        <f t="array" ref="AK617">IF($F617&lt;&gt;"",XLOOKUP($F617,Productos!$A:$A,Productos!AD:AD,"Revisar"),"")</f>
        <v/>
      </c>
      <c r="AL617" s="179" t="str">
        <f t="array" ref="AL617">IF($F617&lt;&gt;"", XLOOKUP($F617,Productos!$A$2:$A1001,Productos!AE$2:AE1001,"")*$G617,"")</f>
        <v/>
      </c>
      <c r="AM617" s="179" t="str">
        <f t="array" ref="AM617">IF($F617&lt;&gt;"",XLOOKUP($F617,Productos!$A:$A,Productos!AF:AF,"Revisar"),"")</f>
        <v/>
      </c>
      <c r="AN617" s="179" t="str">
        <f t="array" ref="AN617">IF($F617&lt;&gt;"", XLOOKUP($F617,Productos!$A$2:$A1001,Productos!AG$2:AG1001,"")*$G617,"")</f>
        <v/>
      </c>
      <c r="AO617" s="179" t="str">
        <f t="array" ref="AO617">IF($F617&lt;&gt;"",XLOOKUP($F617,Productos!$A:$A,Productos!AH:AH,"Revisar"),"")</f>
        <v/>
      </c>
      <c r="AP617" s="179" t="str">
        <f t="array" ref="AP617">IF($F617&lt;&gt;"", XLOOKUP($F617,Productos!$A$2:$A1001,Productos!AI$2:AI1001,"")*$G617,"")</f>
        <v/>
      </c>
      <c r="AQ617" s="179" t="str">
        <f t="array" ref="AQ617">IF($F617&lt;&gt;"",XLOOKUP($F617,Productos!$A:$A,Productos!AJ:AJ,"Revisar"),"")</f>
        <v/>
      </c>
      <c r="AR617" s="179" t="str">
        <f t="array" ref="AR617">IF($F617&lt;&gt;"", XLOOKUP($F617,Productos!$A$2:$A1001,Productos!AK$2:AK1001,"")*$G617,"")</f>
        <v/>
      </c>
      <c r="AS617" s="179" t="str">
        <f t="array" ref="AS617">IF($F617&lt;&gt;"",XLOOKUP($F617,Productos!$A:$A,Productos!AL:AL,"Revisar"),"")</f>
        <v/>
      </c>
      <c r="AT617" s="179" t="str">
        <f t="array" ref="AT617">IF($F617&lt;&gt;"", XLOOKUP($F617,Productos!$A$2:$A1001,Productos!AM$2:AM1001,"")*$G617,"")</f>
        <v/>
      </c>
      <c r="AU617" s="179" t="str">
        <f t="array" ref="AU617">IF($F617&lt;&gt;"",XLOOKUP($F617,Productos!$A:$A,Productos!AN:AN,"Revisar"),"")</f>
        <v/>
      </c>
      <c r="AV617" s="179" t="str">
        <f t="array" ref="AV617">IF($F617&lt;&gt;"", XLOOKUP($F617,Productos!$A$2:$A1001,Productos!AO$2:AO1001,"")*$G617,"")</f>
        <v/>
      </c>
      <c r="AW617" s="179" t="str">
        <f t="array" ref="AW617">IF($F617&lt;&gt;"",XLOOKUP($F617,Productos!$A:$A,Productos!AP:AP,"Revisar"),"")</f>
        <v/>
      </c>
      <c r="AX617" s="179" t="str">
        <f t="array" ref="AX617">IF($F617&lt;&gt;"", XLOOKUP($F617,Productos!$A$2:$A1001,Productos!AQ$2:AQ1001,"")*$G617,"")</f>
        <v/>
      </c>
      <c r="AY617" s="179" t="str">
        <f t="array" ref="AY617">IF($F617&lt;&gt;"",XLOOKUP($F617,Productos!$A:$A,Productos!AR:AR,"Revisar"),"")</f>
        <v/>
      </c>
      <c r="AZ617" s="179" t="str">
        <f t="array" ref="AZ617">IF($F617&lt;&gt;"", XLOOKUP($F617,Productos!$A$2:$A1001,Productos!AS$2:AS1001,"")*$G617,"")</f>
        <v/>
      </c>
      <c r="BA617" s="179" t="str">
        <f t="array" ref="BA617">IF($F617&lt;&gt;"",XLOOKUP($F617,Productos!$A:$A,Productos!AT:AT,"Revisar"),"")</f>
        <v/>
      </c>
      <c r="BB617" s="179" t="str">
        <f t="array" ref="BB617">IF($F617&lt;&gt;"", XLOOKUP($F617,Productos!$A$2:$A1001,Productos!AU$2:AU1001,"")*$G617,"")</f>
        <v/>
      </c>
      <c r="BC617" s="179" t="str">
        <f t="array" ref="BC617">IF($F617&lt;&gt;"",XLOOKUP($F617,Productos!$A:$A,Productos!AV:AV,"Revisar"),"")</f>
        <v/>
      </c>
      <c r="BD617" s="179" t="str">
        <f t="array" ref="BD617">IF($F617&lt;&gt;"", XLOOKUP($F617,Productos!$A$2:$A1001,Productos!AW$2:AW1001,"")*$G617,"")</f>
        <v/>
      </c>
      <c r="BE617" s="179" t="str">
        <f t="array" ref="BE617">IF($F617&lt;&gt;"",XLOOKUP($F617,Productos!$A:$A,Productos!AX:AX,"Revisar"),"")</f>
        <v/>
      </c>
      <c r="BF617" s="179" t="str">
        <f t="array" ref="BF617">IF($F617&lt;&gt;"", XLOOKUP($F617,Productos!$A$2:$A1001,Productos!AY$2:AY1001,"")*$G617,"")</f>
        <v/>
      </c>
      <c r="BG617" s="179" t="str">
        <f t="array" ref="BG617">IF($F617&lt;&gt;"",XLOOKUP($F617,Productos!$A:$A,Productos!AZ:AZ,"Revisar"),"")</f>
        <v/>
      </c>
      <c r="BH617" s="179" t="str">
        <f t="array" ref="BH617">IF($F617&lt;&gt;"", XLOOKUP($F617,Productos!$A$2:$A1001,Productos!BA$2:BA1001,"")*$G617,"")</f>
        <v/>
      </c>
      <c r="BI617" s="179" t="str">
        <f t="array" ref="BI617">IF($F617&lt;&gt;"",XLOOKUP($F617,Productos!$A:$A,Productos!BB:BB,"Revisar"),"")</f>
        <v/>
      </c>
      <c r="BJ617" s="179" t="str">
        <f t="array" ref="BJ617">IF($F617&lt;&gt;"", XLOOKUP($F617,Productos!$A$2:$A1001,Productos!BC$2:BC1001,"")*$G617,"")</f>
        <v/>
      </c>
      <c r="BK617" s="179" t="str">
        <f t="array" ref="BK617">IF($F617&lt;&gt;"",XLOOKUP($F617,Productos!$A:$A,Productos!BD:BD,"Revisar"),"")</f>
        <v/>
      </c>
      <c r="BL617" s="179" t="str">
        <f t="array" ref="BL617">IF($F617&lt;&gt;"", XLOOKUP($F617,Productos!$A$2:$A1001,Productos!BE$2:BE1001,"")*$G617,"")</f>
        <v/>
      </c>
      <c r="BM617" s="179" t="str">
        <f t="array" ref="BM617">IF($F617&lt;&gt;"",XLOOKUP($F617,Productos!$A:$A,Productos!BF:BF,"Revisar"),"")</f>
        <v/>
      </c>
      <c r="BN617" s="179" t="str">
        <f t="array" ref="BN617">IF($F617&lt;&gt;"", XLOOKUP($F617,Productos!$A$2:$A1001,Productos!BG$2:BG1001,"")*$G617,"")</f>
        <v/>
      </c>
      <c r="BO617" s="179" t="str">
        <f t="array" ref="BO617">IF($F617&lt;&gt;"",XLOOKUP($F617,Productos!$A:$A,Productos!BH:BH,"Revisar"),"")</f>
        <v/>
      </c>
      <c r="BP617" s="179" t="str">
        <f t="array" ref="BP617">IF($F617&lt;&gt;"", XLOOKUP($F617,Productos!$A$2:$A1001,Productos!BI$2:BI1001,"")*$G617,"")</f>
        <v/>
      </c>
      <c r="BQ617" s="179" t="str">
        <f t="array" ref="BQ617">IF($F617&lt;&gt;"",XLOOKUP($F617,Productos!$A:$A,Productos!BJ:BJ,"Revisar"),"")</f>
        <v/>
      </c>
      <c r="BR617" s="179" t="str">
        <f t="array" ref="BR617">IF($F617&lt;&gt;"", XLOOKUP($F617,Productos!$A$2:$A1001,Productos!BK$2:BK1001,"")*$G617,"")</f>
        <v/>
      </c>
      <c r="BS617" s="179" t="str">
        <f t="array" ref="BS617">IF($F617&lt;&gt;"",XLOOKUP($F617,Productos!$A:$A,Productos!BL:BL,"Revisar"),"")</f>
        <v/>
      </c>
      <c r="BT617" s="179" t="str">
        <f t="array" ref="BT617">IF($F617&lt;&gt;"", XLOOKUP($F617,Productos!$A$2:$A1001,Productos!BM$2:BM1001,"")*$G617,"")</f>
        <v/>
      </c>
      <c r="BU617" s="179" t="str">
        <f t="array" ref="BU617">IF($F617&lt;&gt;"",XLOOKUP($F617,Productos!$A:$A,Productos!BN:BN,"Revisar"),"")</f>
        <v/>
      </c>
      <c r="BV617" s="179" t="str">
        <f t="array" ref="BV617">IF($F617&lt;&gt;"", XLOOKUP($F617,Productos!$A$2:$A1001,Productos!BO$2:BO1001,"")*$G617,"")</f>
        <v/>
      </c>
      <c r="BW617" s="179" t="str">
        <f t="array" ref="BW617">IF($F617&lt;&gt;"",XLOOKUP($F617,Productos!$A:$A,Productos!BP:BP,"Revisar"),"")</f>
        <v/>
      </c>
      <c r="BX617" s="179" t="str">
        <f t="array" ref="BX617">IF($F617&lt;&gt;"", XLOOKUP($F617,Productos!$A$2:$A1001,Productos!BQ$2:BQ1001,"")*$G617,"")</f>
        <v/>
      </c>
      <c r="BY617" s="179" t="str">
        <f t="array" ref="BY617">IF($F617&lt;&gt;"",XLOOKUP($F617,Productos!$A:$A,Productos!BR:BR,"Revisar"),"")</f>
        <v/>
      </c>
      <c r="BZ617" s="179" t="str">
        <f t="array" ref="BZ617">IF($F617&lt;&gt;"", XLOOKUP($F617,Productos!$A$2:$A1001,Productos!BS$2:BS1001,"")*$G617,"")</f>
        <v/>
      </c>
    </row>
    <row r="618">
      <c r="A618" s="188"/>
      <c r="B618" s="189"/>
      <c r="C618" s="190"/>
      <c r="D618" s="190"/>
      <c r="E618" s="191"/>
      <c r="F618" s="186"/>
      <c r="G618" s="192"/>
      <c r="H618" s="9"/>
      <c r="I618" s="179" t="str">
        <f t="array" ref="I618">IF($F618&lt;&gt;"",XLOOKUP($F618,Productos!$A:$A,Productos!B:B,"Revisar"),"")</f>
        <v/>
      </c>
      <c r="J618" s="179" t="str">
        <f t="array" ref="J618">IF($F618&lt;&gt;"", XLOOKUP($F618,Productos!$A$2:$A1001,Productos!C$2:C1001,"")*$G618,"")</f>
        <v/>
      </c>
      <c r="K618" s="179" t="str">
        <f t="array" ref="K618">IF($F618&lt;&gt;"",XLOOKUP($F618,Productos!$A:$A,Productos!D:D,"Revisar"),"")</f>
        <v/>
      </c>
      <c r="L618" s="179" t="str">
        <f t="array" ref="L618">IF($F618&lt;&gt;"", XLOOKUP($F618,Productos!$A$2:$A1001,Productos!E$2:E1001,"")*$G618,"")</f>
        <v/>
      </c>
      <c r="M618" s="179" t="str">
        <f t="array" ref="M618">IF($F618&lt;&gt;"",XLOOKUP($F618,Productos!$A:$A,Productos!F:F,"Revisar"),"")</f>
        <v/>
      </c>
      <c r="N618" s="179" t="str">
        <f t="array" ref="N618">IF($F618&lt;&gt;"", XLOOKUP($F618,Productos!$A$2:$A1001,Productos!G$2:G1001,"")*$G618,"")</f>
        <v/>
      </c>
      <c r="O618" s="179" t="str">
        <f t="array" ref="O618">IF($F618&lt;&gt;"",XLOOKUP($F618,Productos!$A:$A,Productos!H:H,"Revisar"),"")</f>
        <v/>
      </c>
      <c r="P618" s="179" t="str">
        <f t="array" ref="P618">IF($F618&lt;&gt;"", XLOOKUP($F618,Productos!$A$2:$A1001,Productos!I$2:I1001,"")*$G618,"")</f>
        <v/>
      </c>
      <c r="Q618" s="179" t="str">
        <f t="array" ref="Q618">IF($F618&lt;&gt;"",XLOOKUP($F618,Productos!$A:$A,Productos!J:J,"Revisar"),"")</f>
        <v/>
      </c>
      <c r="R618" s="179" t="str">
        <f t="array" ref="R618">IF($F618&lt;&gt;"", XLOOKUP($F618,Productos!$A$2:$A1001,Productos!K$2:K1001,"")*$G618,"")</f>
        <v/>
      </c>
      <c r="S618" s="179" t="str">
        <f t="array" ref="S618">IF($F618&lt;&gt;"",XLOOKUP($F618,Productos!$A:$A,Productos!L:L,"Revisar"),"")</f>
        <v/>
      </c>
      <c r="T618" s="179" t="str">
        <f t="array" ref="T618">IF($F618&lt;&gt;"", XLOOKUP($F618,Productos!$A$2:$A1001,Productos!M$2:M1001,"")*$G618,"")</f>
        <v/>
      </c>
      <c r="U618" s="179" t="str">
        <f t="array" ref="U618">IF($F618&lt;&gt;"",XLOOKUP($F618,Productos!$A:$A,Productos!N:N,"Revisar"),"")</f>
        <v/>
      </c>
      <c r="V618" s="179" t="str">
        <f t="array" ref="V618">IF($F618&lt;&gt;"", XLOOKUP($F618,Productos!$A$2:$A1001,Productos!O$2:O1001,"")*$G618,"")</f>
        <v/>
      </c>
      <c r="W618" s="179" t="str">
        <f t="array" ref="W618">IF($F618&lt;&gt;"",XLOOKUP($F618,Productos!$A:$A,Productos!P:P,"Revisar"),"")</f>
        <v/>
      </c>
      <c r="X618" s="179" t="str">
        <f t="array" ref="X618">IF($F618&lt;&gt;"", XLOOKUP($F618,Productos!$A$2:$A1001,Productos!Q$2:Q1001,"")*$G618,"")</f>
        <v/>
      </c>
      <c r="Y618" s="179" t="str">
        <f t="array" ref="Y618">IF($F618&lt;&gt;"",XLOOKUP($F618,Productos!$A:$A,Productos!R:R,"Revisar"),"")</f>
        <v/>
      </c>
      <c r="Z618" s="179" t="str">
        <f t="array" ref="Z618">IF($F618&lt;&gt;"", XLOOKUP($F618,Productos!$A$2:$A1001,Productos!S$2:S1001,"")*$G618,"")</f>
        <v/>
      </c>
      <c r="AA618" s="179" t="str">
        <f t="array" ref="AA618">IF($F618&lt;&gt;"",XLOOKUP($F618,Productos!$A:$A,Productos!T:T,"Revisar"),"")</f>
        <v/>
      </c>
      <c r="AB618" s="179" t="str">
        <f t="array" ref="AB618">IF($F618&lt;&gt;"", XLOOKUP($F618,Productos!$A$2:$A1001,Productos!U$2:U1001,"")*$G618,"")</f>
        <v/>
      </c>
      <c r="AC618" s="179" t="str">
        <f t="array" ref="AC618">IF($F618&lt;&gt;"",XLOOKUP($F618,Productos!$A:$A,Productos!V:V,"Revisar"),"")</f>
        <v/>
      </c>
      <c r="AD618" s="179" t="str">
        <f t="array" ref="AD618">IF($F618&lt;&gt;"", XLOOKUP($F618,Productos!$A$2:$A1001,Productos!W$2:W1001,"")*$G618,"")</f>
        <v/>
      </c>
      <c r="AE618" s="179" t="str">
        <f t="array" ref="AE618">IF($F618&lt;&gt;"",XLOOKUP($F618,Productos!$A:$A,Productos!X:X,"Revisar"),"")</f>
        <v/>
      </c>
      <c r="AF618" s="179" t="str">
        <f t="array" ref="AF618">IF($F618&lt;&gt;"", XLOOKUP($F618,Productos!$A$2:$A1001,Productos!Y$2:Y1001,"")*$G618,"")</f>
        <v/>
      </c>
      <c r="AG618" s="179" t="str">
        <f t="array" ref="AG618">IF($F618&lt;&gt;"",XLOOKUP($F618,Productos!$A:$A,Productos!Z:Z,"Revisar"),"")</f>
        <v/>
      </c>
      <c r="AH618" s="179" t="str">
        <f t="array" ref="AH618">IF($F618&lt;&gt;"", XLOOKUP($F618,Productos!$A$2:$A1001,Productos!AA$2:AA1001,"")*$G618,"")</f>
        <v/>
      </c>
      <c r="AI618" s="179" t="str">
        <f t="array" ref="AI618">IF($F618&lt;&gt;"",XLOOKUP($F618,Productos!$A:$A,Productos!AB:AB,"Revisar"),"")</f>
        <v/>
      </c>
      <c r="AJ618" s="179" t="str">
        <f t="array" ref="AJ618">IF($F618&lt;&gt;"", XLOOKUP($F618,Productos!$A$2:$A1001,Productos!AC$2:AC1001,"")*$G618,"")</f>
        <v/>
      </c>
      <c r="AK618" s="179" t="str">
        <f t="array" ref="AK618">IF($F618&lt;&gt;"",XLOOKUP($F618,Productos!$A:$A,Productos!AD:AD,"Revisar"),"")</f>
        <v/>
      </c>
      <c r="AL618" s="179" t="str">
        <f t="array" ref="AL618">IF($F618&lt;&gt;"", XLOOKUP($F618,Productos!$A$2:$A1001,Productos!AE$2:AE1001,"")*$G618,"")</f>
        <v/>
      </c>
      <c r="AM618" s="179" t="str">
        <f t="array" ref="AM618">IF($F618&lt;&gt;"",XLOOKUP($F618,Productos!$A:$A,Productos!AF:AF,"Revisar"),"")</f>
        <v/>
      </c>
      <c r="AN618" s="179" t="str">
        <f t="array" ref="AN618">IF($F618&lt;&gt;"", XLOOKUP($F618,Productos!$A$2:$A1001,Productos!AG$2:AG1001,"")*$G618,"")</f>
        <v/>
      </c>
      <c r="AO618" s="179" t="str">
        <f t="array" ref="AO618">IF($F618&lt;&gt;"",XLOOKUP($F618,Productos!$A:$A,Productos!AH:AH,"Revisar"),"")</f>
        <v/>
      </c>
      <c r="AP618" s="179" t="str">
        <f t="array" ref="AP618">IF($F618&lt;&gt;"", XLOOKUP($F618,Productos!$A$2:$A1001,Productos!AI$2:AI1001,"")*$G618,"")</f>
        <v/>
      </c>
      <c r="AQ618" s="179" t="str">
        <f t="array" ref="AQ618">IF($F618&lt;&gt;"",XLOOKUP($F618,Productos!$A:$A,Productos!AJ:AJ,"Revisar"),"")</f>
        <v/>
      </c>
      <c r="AR618" s="179" t="str">
        <f t="array" ref="AR618">IF($F618&lt;&gt;"", XLOOKUP($F618,Productos!$A$2:$A1001,Productos!AK$2:AK1001,"")*$G618,"")</f>
        <v/>
      </c>
      <c r="AS618" s="179" t="str">
        <f t="array" ref="AS618">IF($F618&lt;&gt;"",XLOOKUP($F618,Productos!$A:$A,Productos!AL:AL,"Revisar"),"")</f>
        <v/>
      </c>
      <c r="AT618" s="179" t="str">
        <f t="array" ref="AT618">IF($F618&lt;&gt;"", XLOOKUP($F618,Productos!$A$2:$A1001,Productos!AM$2:AM1001,"")*$G618,"")</f>
        <v/>
      </c>
      <c r="AU618" s="179" t="str">
        <f t="array" ref="AU618">IF($F618&lt;&gt;"",XLOOKUP($F618,Productos!$A:$A,Productos!AN:AN,"Revisar"),"")</f>
        <v/>
      </c>
      <c r="AV618" s="179" t="str">
        <f t="array" ref="AV618">IF($F618&lt;&gt;"", XLOOKUP($F618,Productos!$A$2:$A1001,Productos!AO$2:AO1001,"")*$G618,"")</f>
        <v/>
      </c>
      <c r="AW618" s="179" t="str">
        <f t="array" ref="AW618">IF($F618&lt;&gt;"",XLOOKUP($F618,Productos!$A:$A,Productos!AP:AP,"Revisar"),"")</f>
        <v/>
      </c>
      <c r="AX618" s="179" t="str">
        <f t="array" ref="AX618">IF($F618&lt;&gt;"", XLOOKUP($F618,Productos!$A$2:$A1001,Productos!AQ$2:AQ1001,"")*$G618,"")</f>
        <v/>
      </c>
      <c r="AY618" s="179" t="str">
        <f t="array" ref="AY618">IF($F618&lt;&gt;"",XLOOKUP($F618,Productos!$A:$A,Productos!AR:AR,"Revisar"),"")</f>
        <v/>
      </c>
      <c r="AZ618" s="179" t="str">
        <f t="array" ref="AZ618">IF($F618&lt;&gt;"", XLOOKUP($F618,Productos!$A$2:$A1001,Productos!AS$2:AS1001,"")*$G618,"")</f>
        <v/>
      </c>
      <c r="BA618" s="179" t="str">
        <f t="array" ref="BA618">IF($F618&lt;&gt;"",XLOOKUP($F618,Productos!$A:$A,Productos!AT:AT,"Revisar"),"")</f>
        <v/>
      </c>
      <c r="BB618" s="179" t="str">
        <f t="array" ref="BB618">IF($F618&lt;&gt;"", XLOOKUP($F618,Productos!$A$2:$A1001,Productos!AU$2:AU1001,"")*$G618,"")</f>
        <v/>
      </c>
      <c r="BC618" s="179" t="str">
        <f t="array" ref="BC618">IF($F618&lt;&gt;"",XLOOKUP($F618,Productos!$A:$A,Productos!AV:AV,"Revisar"),"")</f>
        <v/>
      </c>
      <c r="BD618" s="179" t="str">
        <f t="array" ref="BD618">IF($F618&lt;&gt;"", XLOOKUP($F618,Productos!$A$2:$A1001,Productos!AW$2:AW1001,"")*$G618,"")</f>
        <v/>
      </c>
      <c r="BE618" s="179" t="str">
        <f t="array" ref="BE618">IF($F618&lt;&gt;"",XLOOKUP($F618,Productos!$A:$A,Productos!AX:AX,"Revisar"),"")</f>
        <v/>
      </c>
      <c r="BF618" s="179" t="str">
        <f t="array" ref="BF618">IF($F618&lt;&gt;"", XLOOKUP($F618,Productos!$A$2:$A1001,Productos!AY$2:AY1001,"")*$G618,"")</f>
        <v/>
      </c>
      <c r="BG618" s="179" t="str">
        <f t="array" ref="BG618">IF($F618&lt;&gt;"",XLOOKUP($F618,Productos!$A:$A,Productos!AZ:AZ,"Revisar"),"")</f>
        <v/>
      </c>
      <c r="BH618" s="179" t="str">
        <f t="array" ref="BH618">IF($F618&lt;&gt;"", XLOOKUP($F618,Productos!$A$2:$A1001,Productos!BA$2:BA1001,"")*$G618,"")</f>
        <v/>
      </c>
      <c r="BI618" s="179" t="str">
        <f t="array" ref="BI618">IF($F618&lt;&gt;"",XLOOKUP($F618,Productos!$A:$A,Productos!BB:BB,"Revisar"),"")</f>
        <v/>
      </c>
      <c r="BJ618" s="179" t="str">
        <f t="array" ref="BJ618">IF($F618&lt;&gt;"", XLOOKUP($F618,Productos!$A$2:$A1001,Productos!BC$2:BC1001,"")*$G618,"")</f>
        <v/>
      </c>
      <c r="BK618" s="179" t="str">
        <f t="array" ref="BK618">IF($F618&lt;&gt;"",XLOOKUP($F618,Productos!$A:$A,Productos!BD:BD,"Revisar"),"")</f>
        <v/>
      </c>
      <c r="BL618" s="179" t="str">
        <f t="array" ref="BL618">IF($F618&lt;&gt;"", XLOOKUP($F618,Productos!$A$2:$A1001,Productos!BE$2:BE1001,"")*$G618,"")</f>
        <v/>
      </c>
      <c r="BM618" s="179" t="str">
        <f t="array" ref="BM618">IF($F618&lt;&gt;"",XLOOKUP($F618,Productos!$A:$A,Productos!BF:BF,"Revisar"),"")</f>
        <v/>
      </c>
      <c r="BN618" s="179" t="str">
        <f t="array" ref="BN618">IF($F618&lt;&gt;"", XLOOKUP($F618,Productos!$A$2:$A1001,Productos!BG$2:BG1001,"")*$G618,"")</f>
        <v/>
      </c>
      <c r="BO618" s="179" t="str">
        <f t="array" ref="BO618">IF($F618&lt;&gt;"",XLOOKUP($F618,Productos!$A:$A,Productos!BH:BH,"Revisar"),"")</f>
        <v/>
      </c>
      <c r="BP618" s="179" t="str">
        <f t="array" ref="BP618">IF($F618&lt;&gt;"", XLOOKUP($F618,Productos!$A$2:$A1001,Productos!BI$2:BI1001,"")*$G618,"")</f>
        <v/>
      </c>
      <c r="BQ618" s="179" t="str">
        <f t="array" ref="BQ618">IF($F618&lt;&gt;"",XLOOKUP($F618,Productos!$A:$A,Productos!BJ:BJ,"Revisar"),"")</f>
        <v/>
      </c>
      <c r="BR618" s="179" t="str">
        <f t="array" ref="BR618">IF($F618&lt;&gt;"", XLOOKUP($F618,Productos!$A$2:$A1001,Productos!BK$2:BK1001,"")*$G618,"")</f>
        <v/>
      </c>
      <c r="BS618" s="179" t="str">
        <f t="array" ref="BS618">IF($F618&lt;&gt;"",XLOOKUP($F618,Productos!$A:$A,Productos!BL:BL,"Revisar"),"")</f>
        <v/>
      </c>
      <c r="BT618" s="179" t="str">
        <f t="array" ref="BT618">IF($F618&lt;&gt;"", XLOOKUP($F618,Productos!$A$2:$A1001,Productos!BM$2:BM1001,"")*$G618,"")</f>
        <v/>
      </c>
      <c r="BU618" s="179" t="str">
        <f t="array" ref="BU618">IF($F618&lt;&gt;"",XLOOKUP($F618,Productos!$A:$A,Productos!BN:BN,"Revisar"),"")</f>
        <v/>
      </c>
      <c r="BV618" s="179" t="str">
        <f t="array" ref="BV618">IF($F618&lt;&gt;"", XLOOKUP($F618,Productos!$A$2:$A1001,Productos!BO$2:BO1001,"")*$G618,"")</f>
        <v/>
      </c>
      <c r="BW618" s="179" t="str">
        <f t="array" ref="BW618">IF($F618&lt;&gt;"",XLOOKUP($F618,Productos!$A:$A,Productos!BP:BP,"Revisar"),"")</f>
        <v/>
      </c>
      <c r="BX618" s="179" t="str">
        <f t="array" ref="BX618">IF($F618&lt;&gt;"", XLOOKUP($F618,Productos!$A$2:$A1001,Productos!BQ$2:BQ1001,"")*$G618,"")</f>
        <v/>
      </c>
      <c r="BY618" s="179" t="str">
        <f t="array" ref="BY618">IF($F618&lt;&gt;"",XLOOKUP($F618,Productos!$A:$A,Productos!BR:BR,"Revisar"),"")</f>
        <v/>
      </c>
      <c r="BZ618" s="179" t="str">
        <f t="array" ref="BZ618">IF($F618&lt;&gt;"", XLOOKUP($F618,Productos!$A$2:$A1001,Productos!BS$2:BS1001,"")*$G618,"")</f>
        <v/>
      </c>
    </row>
    <row r="619">
      <c r="A619" s="188"/>
      <c r="B619" s="189"/>
      <c r="C619" s="190"/>
      <c r="D619" s="190"/>
      <c r="E619" s="191"/>
      <c r="F619" s="186"/>
      <c r="G619" s="192"/>
      <c r="H619" s="9"/>
      <c r="I619" s="179" t="str">
        <f t="array" ref="I619">IF($F619&lt;&gt;"",XLOOKUP($F619,Productos!$A:$A,Productos!B:B,"Revisar"),"")</f>
        <v/>
      </c>
      <c r="J619" s="179" t="str">
        <f t="array" ref="J619">IF($F619&lt;&gt;"", XLOOKUP($F619,Productos!$A$2:$A1001,Productos!C$2:C1001,"")*$G619,"")</f>
        <v/>
      </c>
      <c r="K619" s="179" t="str">
        <f t="array" ref="K619">IF($F619&lt;&gt;"",XLOOKUP($F619,Productos!$A:$A,Productos!D:D,"Revisar"),"")</f>
        <v/>
      </c>
      <c r="L619" s="179" t="str">
        <f t="array" ref="L619">IF($F619&lt;&gt;"", XLOOKUP($F619,Productos!$A$2:$A1001,Productos!E$2:E1001,"")*$G619,"")</f>
        <v/>
      </c>
      <c r="M619" s="179" t="str">
        <f t="array" ref="M619">IF($F619&lt;&gt;"",XLOOKUP($F619,Productos!$A:$A,Productos!F:F,"Revisar"),"")</f>
        <v/>
      </c>
      <c r="N619" s="179" t="str">
        <f t="array" ref="N619">IF($F619&lt;&gt;"", XLOOKUP($F619,Productos!$A$2:$A1001,Productos!G$2:G1001,"")*$G619,"")</f>
        <v/>
      </c>
      <c r="O619" s="179" t="str">
        <f t="array" ref="O619">IF($F619&lt;&gt;"",XLOOKUP($F619,Productos!$A:$A,Productos!H:H,"Revisar"),"")</f>
        <v/>
      </c>
      <c r="P619" s="179" t="str">
        <f t="array" ref="P619">IF($F619&lt;&gt;"", XLOOKUP($F619,Productos!$A$2:$A1001,Productos!I$2:I1001,"")*$G619,"")</f>
        <v/>
      </c>
      <c r="Q619" s="179" t="str">
        <f t="array" ref="Q619">IF($F619&lt;&gt;"",XLOOKUP($F619,Productos!$A:$A,Productos!J:J,"Revisar"),"")</f>
        <v/>
      </c>
      <c r="R619" s="179" t="str">
        <f t="array" ref="R619">IF($F619&lt;&gt;"", XLOOKUP($F619,Productos!$A$2:$A1001,Productos!K$2:K1001,"")*$G619,"")</f>
        <v/>
      </c>
      <c r="S619" s="179" t="str">
        <f t="array" ref="S619">IF($F619&lt;&gt;"",XLOOKUP($F619,Productos!$A:$A,Productos!L:L,"Revisar"),"")</f>
        <v/>
      </c>
      <c r="T619" s="179" t="str">
        <f t="array" ref="T619">IF($F619&lt;&gt;"", XLOOKUP($F619,Productos!$A$2:$A1001,Productos!M$2:M1001,"")*$G619,"")</f>
        <v/>
      </c>
      <c r="U619" s="179" t="str">
        <f t="array" ref="U619">IF($F619&lt;&gt;"",XLOOKUP($F619,Productos!$A:$A,Productos!N:N,"Revisar"),"")</f>
        <v/>
      </c>
      <c r="V619" s="179" t="str">
        <f t="array" ref="V619">IF($F619&lt;&gt;"", XLOOKUP($F619,Productos!$A$2:$A1001,Productos!O$2:O1001,"")*$G619,"")</f>
        <v/>
      </c>
      <c r="W619" s="179" t="str">
        <f t="array" ref="W619">IF($F619&lt;&gt;"",XLOOKUP($F619,Productos!$A:$A,Productos!P:P,"Revisar"),"")</f>
        <v/>
      </c>
      <c r="X619" s="179" t="str">
        <f t="array" ref="X619">IF($F619&lt;&gt;"", XLOOKUP($F619,Productos!$A$2:$A1001,Productos!Q$2:Q1001,"")*$G619,"")</f>
        <v/>
      </c>
      <c r="Y619" s="179" t="str">
        <f t="array" ref="Y619">IF($F619&lt;&gt;"",XLOOKUP($F619,Productos!$A:$A,Productos!R:R,"Revisar"),"")</f>
        <v/>
      </c>
      <c r="Z619" s="179" t="str">
        <f t="array" ref="Z619">IF($F619&lt;&gt;"", XLOOKUP($F619,Productos!$A$2:$A1001,Productos!S$2:S1001,"")*$G619,"")</f>
        <v/>
      </c>
      <c r="AA619" s="179" t="str">
        <f t="array" ref="AA619">IF($F619&lt;&gt;"",XLOOKUP($F619,Productos!$A:$A,Productos!T:T,"Revisar"),"")</f>
        <v/>
      </c>
      <c r="AB619" s="179" t="str">
        <f t="array" ref="AB619">IF($F619&lt;&gt;"", XLOOKUP($F619,Productos!$A$2:$A1001,Productos!U$2:U1001,"")*$G619,"")</f>
        <v/>
      </c>
      <c r="AC619" s="179" t="str">
        <f t="array" ref="AC619">IF($F619&lt;&gt;"",XLOOKUP($F619,Productos!$A:$A,Productos!V:V,"Revisar"),"")</f>
        <v/>
      </c>
      <c r="AD619" s="179" t="str">
        <f t="array" ref="AD619">IF($F619&lt;&gt;"", XLOOKUP($F619,Productos!$A$2:$A1001,Productos!W$2:W1001,"")*$G619,"")</f>
        <v/>
      </c>
      <c r="AE619" s="179" t="str">
        <f t="array" ref="AE619">IF($F619&lt;&gt;"",XLOOKUP($F619,Productos!$A:$A,Productos!X:X,"Revisar"),"")</f>
        <v/>
      </c>
      <c r="AF619" s="179" t="str">
        <f t="array" ref="AF619">IF($F619&lt;&gt;"", XLOOKUP($F619,Productos!$A$2:$A1001,Productos!Y$2:Y1001,"")*$G619,"")</f>
        <v/>
      </c>
      <c r="AG619" s="179" t="str">
        <f t="array" ref="AG619">IF($F619&lt;&gt;"",XLOOKUP($F619,Productos!$A:$A,Productos!Z:Z,"Revisar"),"")</f>
        <v/>
      </c>
      <c r="AH619" s="179" t="str">
        <f t="array" ref="AH619">IF($F619&lt;&gt;"", XLOOKUP($F619,Productos!$A$2:$A1001,Productos!AA$2:AA1001,"")*$G619,"")</f>
        <v/>
      </c>
      <c r="AI619" s="179" t="str">
        <f t="array" ref="AI619">IF($F619&lt;&gt;"",XLOOKUP($F619,Productos!$A:$A,Productos!AB:AB,"Revisar"),"")</f>
        <v/>
      </c>
      <c r="AJ619" s="179" t="str">
        <f t="array" ref="AJ619">IF($F619&lt;&gt;"", XLOOKUP($F619,Productos!$A$2:$A1001,Productos!AC$2:AC1001,"")*$G619,"")</f>
        <v/>
      </c>
      <c r="AK619" s="179" t="str">
        <f t="array" ref="AK619">IF($F619&lt;&gt;"",XLOOKUP($F619,Productos!$A:$A,Productos!AD:AD,"Revisar"),"")</f>
        <v/>
      </c>
      <c r="AL619" s="179" t="str">
        <f t="array" ref="AL619">IF($F619&lt;&gt;"", XLOOKUP($F619,Productos!$A$2:$A1001,Productos!AE$2:AE1001,"")*$G619,"")</f>
        <v/>
      </c>
      <c r="AM619" s="179" t="str">
        <f t="array" ref="AM619">IF($F619&lt;&gt;"",XLOOKUP($F619,Productos!$A:$A,Productos!AF:AF,"Revisar"),"")</f>
        <v/>
      </c>
      <c r="AN619" s="179" t="str">
        <f t="array" ref="AN619">IF($F619&lt;&gt;"", XLOOKUP($F619,Productos!$A$2:$A1001,Productos!AG$2:AG1001,"")*$G619,"")</f>
        <v/>
      </c>
      <c r="AO619" s="179" t="str">
        <f t="array" ref="AO619">IF($F619&lt;&gt;"",XLOOKUP($F619,Productos!$A:$A,Productos!AH:AH,"Revisar"),"")</f>
        <v/>
      </c>
      <c r="AP619" s="179" t="str">
        <f t="array" ref="AP619">IF($F619&lt;&gt;"", XLOOKUP($F619,Productos!$A$2:$A1001,Productos!AI$2:AI1001,"")*$G619,"")</f>
        <v/>
      </c>
      <c r="AQ619" s="179" t="str">
        <f t="array" ref="AQ619">IF($F619&lt;&gt;"",XLOOKUP($F619,Productos!$A:$A,Productos!AJ:AJ,"Revisar"),"")</f>
        <v/>
      </c>
      <c r="AR619" s="179" t="str">
        <f t="array" ref="AR619">IF($F619&lt;&gt;"", XLOOKUP($F619,Productos!$A$2:$A1001,Productos!AK$2:AK1001,"")*$G619,"")</f>
        <v/>
      </c>
      <c r="AS619" s="179" t="str">
        <f t="array" ref="AS619">IF($F619&lt;&gt;"",XLOOKUP($F619,Productos!$A:$A,Productos!AL:AL,"Revisar"),"")</f>
        <v/>
      </c>
      <c r="AT619" s="179" t="str">
        <f t="array" ref="AT619">IF($F619&lt;&gt;"", XLOOKUP($F619,Productos!$A$2:$A1001,Productos!AM$2:AM1001,"")*$G619,"")</f>
        <v/>
      </c>
      <c r="AU619" s="179" t="str">
        <f t="array" ref="AU619">IF($F619&lt;&gt;"",XLOOKUP($F619,Productos!$A:$A,Productos!AN:AN,"Revisar"),"")</f>
        <v/>
      </c>
      <c r="AV619" s="179" t="str">
        <f t="array" ref="AV619">IF($F619&lt;&gt;"", XLOOKUP($F619,Productos!$A$2:$A1001,Productos!AO$2:AO1001,"")*$G619,"")</f>
        <v/>
      </c>
      <c r="AW619" s="179" t="str">
        <f t="array" ref="AW619">IF($F619&lt;&gt;"",XLOOKUP($F619,Productos!$A:$A,Productos!AP:AP,"Revisar"),"")</f>
        <v/>
      </c>
      <c r="AX619" s="179" t="str">
        <f t="array" ref="AX619">IF($F619&lt;&gt;"", XLOOKUP($F619,Productos!$A$2:$A1001,Productos!AQ$2:AQ1001,"")*$G619,"")</f>
        <v/>
      </c>
      <c r="AY619" s="179" t="str">
        <f t="array" ref="AY619">IF($F619&lt;&gt;"",XLOOKUP($F619,Productos!$A:$A,Productos!AR:AR,"Revisar"),"")</f>
        <v/>
      </c>
      <c r="AZ619" s="179" t="str">
        <f t="array" ref="AZ619">IF($F619&lt;&gt;"", XLOOKUP($F619,Productos!$A$2:$A1001,Productos!AS$2:AS1001,"")*$G619,"")</f>
        <v/>
      </c>
      <c r="BA619" s="179" t="str">
        <f t="array" ref="BA619">IF($F619&lt;&gt;"",XLOOKUP($F619,Productos!$A:$A,Productos!AT:AT,"Revisar"),"")</f>
        <v/>
      </c>
      <c r="BB619" s="179" t="str">
        <f t="array" ref="BB619">IF($F619&lt;&gt;"", XLOOKUP($F619,Productos!$A$2:$A1001,Productos!AU$2:AU1001,"")*$G619,"")</f>
        <v/>
      </c>
      <c r="BC619" s="179" t="str">
        <f t="array" ref="BC619">IF($F619&lt;&gt;"",XLOOKUP($F619,Productos!$A:$A,Productos!AV:AV,"Revisar"),"")</f>
        <v/>
      </c>
      <c r="BD619" s="179" t="str">
        <f t="array" ref="BD619">IF($F619&lt;&gt;"", XLOOKUP($F619,Productos!$A$2:$A1001,Productos!AW$2:AW1001,"")*$G619,"")</f>
        <v/>
      </c>
      <c r="BE619" s="179" t="str">
        <f t="array" ref="BE619">IF($F619&lt;&gt;"",XLOOKUP($F619,Productos!$A:$A,Productos!AX:AX,"Revisar"),"")</f>
        <v/>
      </c>
      <c r="BF619" s="179" t="str">
        <f t="array" ref="BF619">IF($F619&lt;&gt;"", XLOOKUP($F619,Productos!$A$2:$A1001,Productos!AY$2:AY1001,"")*$G619,"")</f>
        <v/>
      </c>
      <c r="BG619" s="179" t="str">
        <f t="array" ref="BG619">IF($F619&lt;&gt;"",XLOOKUP($F619,Productos!$A:$A,Productos!AZ:AZ,"Revisar"),"")</f>
        <v/>
      </c>
      <c r="BH619" s="179" t="str">
        <f t="array" ref="BH619">IF($F619&lt;&gt;"", XLOOKUP($F619,Productos!$A$2:$A1001,Productos!BA$2:BA1001,"")*$G619,"")</f>
        <v/>
      </c>
      <c r="BI619" s="179" t="str">
        <f t="array" ref="BI619">IF($F619&lt;&gt;"",XLOOKUP($F619,Productos!$A:$A,Productos!BB:BB,"Revisar"),"")</f>
        <v/>
      </c>
      <c r="BJ619" s="179" t="str">
        <f t="array" ref="BJ619">IF($F619&lt;&gt;"", XLOOKUP($F619,Productos!$A$2:$A1001,Productos!BC$2:BC1001,"")*$G619,"")</f>
        <v/>
      </c>
      <c r="BK619" s="179" t="str">
        <f t="array" ref="BK619">IF($F619&lt;&gt;"",XLOOKUP($F619,Productos!$A:$A,Productos!BD:BD,"Revisar"),"")</f>
        <v/>
      </c>
      <c r="BL619" s="179" t="str">
        <f t="array" ref="BL619">IF($F619&lt;&gt;"", XLOOKUP($F619,Productos!$A$2:$A1001,Productos!BE$2:BE1001,"")*$G619,"")</f>
        <v/>
      </c>
      <c r="BM619" s="179" t="str">
        <f t="array" ref="BM619">IF($F619&lt;&gt;"",XLOOKUP($F619,Productos!$A:$A,Productos!BF:BF,"Revisar"),"")</f>
        <v/>
      </c>
      <c r="BN619" s="179" t="str">
        <f t="array" ref="BN619">IF($F619&lt;&gt;"", XLOOKUP($F619,Productos!$A$2:$A1001,Productos!BG$2:BG1001,"")*$G619,"")</f>
        <v/>
      </c>
      <c r="BO619" s="179" t="str">
        <f t="array" ref="BO619">IF($F619&lt;&gt;"",XLOOKUP($F619,Productos!$A:$A,Productos!BH:BH,"Revisar"),"")</f>
        <v/>
      </c>
      <c r="BP619" s="179" t="str">
        <f t="array" ref="BP619">IF($F619&lt;&gt;"", XLOOKUP($F619,Productos!$A$2:$A1001,Productos!BI$2:BI1001,"")*$G619,"")</f>
        <v/>
      </c>
      <c r="BQ619" s="179" t="str">
        <f t="array" ref="BQ619">IF($F619&lt;&gt;"",XLOOKUP($F619,Productos!$A:$A,Productos!BJ:BJ,"Revisar"),"")</f>
        <v/>
      </c>
      <c r="BR619" s="179" t="str">
        <f t="array" ref="BR619">IF($F619&lt;&gt;"", XLOOKUP($F619,Productos!$A$2:$A1001,Productos!BK$2:BK1001,"")*$G619,"")</f>
        <v/>
      </c>
      <c r="BS619" s="179" t="str">
        <f t="array" ref="BS619">IF($F619&lt;&gt;"",XLOOKUP($F619,Productos!$A:$A,Productos!BL:BL,"Revisar"),"")</f>
        <v/>
      </c>
      <c r="BT619" s="179" t="str">
        <f t="array" ref="BT619">IF($F619&lt;&gt;"", XLOOKUP($F619,Productos!$A$2:$A1001,Productos!BM$2:BM1001,"")*$G619,"")</f>
        <v/>
      </c>
      <c r="BU619" s="179" t="str">
        <f t="array" ref="BU619">IF($F619&lt;&gt;"",XLOOKUP($F619,Productos!$A:$A,Productos!BN:BN,"Revisar"),"")</f>
        <v/>
      </c>
      <c r="BV619" s="179" t="str">
        <f t="array" ref="BV619">IF($F619&lt;&gt;"", XLOOKUP($F619,Productos!$A$2:$A1001,Productos!BO$2:BO1001,"")*$G619,"")</f>
        <v/>
      </c>
      <c r="BW619" s="179" t="str">
        <f t="array" ref="BW619">IF($F619&lt;&gt;"",XLOOKUP($F619,Productos!$A:$A,Productos!BP:BP,"Revisar"),"")</f>
        <v/>
      </c>
      <c r="BX619" s="179" t="str">
        <f t="array" ref="BX619">IF($F619&lt;&gt;"", XLOOKUP($F619,Productos!$A$2:$A1001,Productos!BQ$2:BQ1001,"")*$G619,"")</f>
        <v/>
      </c>
      <c r="BY619" s="179" t="str">
        <f t="array" ref="BY619">IF($F619&lt;&gt;"",XLOOKUP($F619,Productos!$A:$A,Productos!BR:BR,"Revisar"),"")</f>
        <v/>
      </c>
      <c r="BZ619" s="179" t="str">
        <f t="array" ref="BZ619">IF($F619&lt;&gt;"", XLOOKUP($F619,Productos!$A$2:$A1001,Productos!BS$2:BS1001,"")*$G619,"")</f>
        <v/>
      </c>
    </row>
    <row r="620">
      <c r="A620" s="188"/>
      <c r="B620" s="189"/>
      <c r="C620" s="190"/>
      <c r="D620" s="190"/>
      <c r="E620" s="191"/>
      <c r="F620" s="186"/>
      <c r="G620" s="192"/>
      <c r="H620" s="9"/>
      <c r="I620" s="179" t="str">
        <f t="array" ref="I620">IF($F620&lt;&gt;"",XLOOKUP($F620,Productos!$A:$A,Productos!B:B,"Revisar"),"")</f>
        <v/>
      </c>
      <c r="J620" s="179" t="str">
        <f t="array" ref="J620">IF($F620&lt;&gt;"", XLOOKUP($F620,Productos!$A$2:$A1001,Productos!C$2:C1001,"")*$G620,"")</f>
        <v/>
      </c>
      <c r="K620" s="179" t="str">
        <f t="array" ref="K620">IF($F620&lt;&gt;"",XLOOKUP($F620,Productos!$A:$A,Productos!D:D,"Revisar"),"")</f>
        <v/>
      </c>
      <c r="L620" s="179" t="str">
        <f t="array" ref="L620">IF($F620&lt;&gt;"", XLOOKUP($F620,Productos!$A$2:$A1001,Productos!E$2:E1001,"")*$G620,"")</f>
        <v/>
      </c>
      <c r="M620" s="179" t="str">
        <f t="array" ref="M620">IF($F620&lt;&gt;"",XLOOKUP($F620,Productos!$A:$A,Productos!F:F,"Revisar"),"")</f>
        <v/>
      </c>
      <c r="N620" s="179" t="str">
        <f t="array" ref="N620">IF($F620&lt;&gt;"", XLOOKUP($F620,Productos!$A$2:$A1001,Productos!G$2:G1001,"")*$G620,"")</f>
        <v/>
      </c>
      <c r="O620" s="179" t="str">
        <f t="array" ref="O620">IF($F620&lt;&gt;"",XLOOKUP($F620,Productos!$A:$A,Productos!H:H,"Revisar"),"")</f>
        <v/>
      </c>
      <c r="P620" s="179" t="str">
        <f t="array" ref="P620">IF($F620&lt;&gt;"", XLOOKUP($F620,Productos!$A$2:$A1001,Productos!I$2:I1001,"")*$G620,"")</f>
        <v/>
      </c>
      <c r="Q620" s="179" t="str">
        <f t="array" ref="Q620">IF($F620&lt;&gt;"",XLOOKUP($F620,Productos!$A:$A,Productos!J:J,"Revisar"),"")</f>
        <v/>
      </c>
      <c r="R620" s="179" t="str">
        <f t="array" ref="R620">IF($F620&lt;&gt;"", XLOOKUP($F620,Productos!$A$2:$A1001,Productos!K$2:K1001,"")*$G620,"")</f>
        <v/>
      </c>
      <c r="S620" s="179" t="str">
        <f t="array" ref="S620">IF($F620&lt;&gt;"",XLOOKUP($F620,Productos!$A:$A,Productos!L:L,"Revisar"),"")</f>
        <v/>
      </c>
      <c r="T620" s="179" t="str">
        <f t="array" ref="T620">IF($F620&lt;&gt;"", XLOOKUP($F620,Productos!$A$2:$A1001,Productos!M$2:M1001,"")*$G620,"")</f>
        <v/>
      </c>
      <c r="U620" s="179" t="str">
        <f t="array" ref="U620">IF($F620&lt;&gt;"",XLOOKUP($F620,Productos!$A:$A,Productos!N:N,"Revisar"),"")</f>
        <v/>
      </c>
      <c r="V620" s="179" t="str">
        <f t="array" ref="V620">IF($F620&lt;&gt;"", XLOOKUP($F620,Productos!$A$2:$A1001,Productos!O$2:O1001,"")*$G620,"")</f>
        <v/>
      </c>
      <c r="W620" s="179" t="str">
        <f t="array" ref="W620">IF($F620&lt;&gt;"",XLOOKUP($F620,Productos!$A:$A,Productos!P:P,"Revisar"),"")</f>
        <v/>
      </c>
      <c r="X620" s="179" t="str">
        <f t="array" ref="X620">IF($F620&lt;&gt;"", XLOOKUP($F620,Productos!$A$2:$A1001,Productos!Q$2:Q1001,"")*$G620,"")</f>
        <v/>
      </c>
      <c r="Y620" s="179" t="str">
        <f t="array" ref="Y620">IF($F620&lt;&gt;"",XLOOKUP($F620,Productos!$A:$A,Productos!R:R,"Revisar"),"")</f>
        <v/>
      </c>
      <c r="Z620" s="179" t="str">
        <f t="array" ref="Z620">IF($F620&lt;&gt;"", XLOOKUP($F620,Productos!$A$2:$A1001,Productos!S$2:S1001,"")*$G620,"")</f>
        <v/>
      </c>
      <c r="AA620" s="179" t="str">
        <f t="array" ref="AA620">IF($F620&lt;&gt;"",XLOOKUP($F620,Productos!$A:$A,Productos!T:T,"Revisar"),"")</f>
        <v/>
      </c>
      <c r="AB620" s="179" t="str">
        <f t="array" ref="AB620">IF($F620&lt;&gt;"", XLOOKUP($F620,Productos!$A$2:$A1001,Productos!U$2:U1001,"")*$G620,"")</f>
        <v/>
      </c>
      <c r="AC620" s="179" t="str">
        <f t="array" ref="AC620">IF($F620&lt;&gt;"",XLOOKUP($F620,Productos!$A:$A,Productos!V:V,"Revisar"),"")</f>
        <v/>
      </c>
      <c r="AD620" s="179" t="str">
        <f t="array" ref="AD620">IF($F620&lt;&gt;"", XLOOKUP($F620,Productos!$A$2:$A1001,Productos!W$2:W1001,"")*$G620,"")</f>
        <v/>
      </c>
      <c r="AE620" s="179" t="str">
        <f t="array" ref="AE620">IF($F620&lt;&gt;"",XLOOKUP($F620,Productos!$A:$A,Productos!X:X,"Revisar"),"")</f>
        <v/>
      </c>
      <c r="AF620" s="179" t="str">
        <f t="array" ref="AF620">IF($F620&lt;&gt;"", XLOOKUP($F620,Productos!$A$2:$A1001,Productos!Y$2:Y1001,"")*$G620,"")</f>
        <v/>
      </c>
      <c r="AG620" s="179" t="str">
        <f t="array" ref="AG620">IF($F620&lt;&gt;"",XLOOKUP($F620,Productos!$A:$A,Productos!Z:Z,"Revisar"),"")</f>
        <v/>
      </c>
      <c r="AH620" s="179" t="str">
        <f t="array" ref="AH620">IF($F620&lt;&gt;"", XLOOKUP($F620,Productos!$A$2:$A1001,Productos!AA$2:AA1001,"")*$G620,"")</f>
        <v/>
      </c>
      <c r="AI620" s="179" t="str">
        <f t="array" ref="AI620">IF($F620&lt;&gt;"",XLOOKUP($F620,Productos!$A:$A,Productos!AB:AB,"Revisar"),"")</f>
        <v/>
      </c>
      <c r="AJ620" s="179" t="str">
        <f t="array" ref="AJ620">IF($F620&lt;&gt;"", XLOOKUP($F620,Productos!$A$2:$A1001,Productos!AC$2:AC1001,"")*$G620,"")</f>
        <v/>
      </c>
      <c r="AK620" s="179" t="str">
        <f t="array" ref="AK620">IF($F620&lt;&gt;"",XLOOKUP($F620,Productos!$A:$A,Productos!AD:AD,"Revisar"),"")</f>
        <v/>
      </c>
      <c r="AL620" s="179" t="str">
        <f t="array" ref="AL620">IF($F620&lt;&gt;"", XLOOKUP($F620,Productos!$A$2:$A1001,Productos!AE$2:AE1001,"")*$G620,"")</f>
        <v/>
      </c>
      <c r="AM620" s="179" t="str">
        <f t="array" ref="AM620">IF($F620&lt;&gt;"",XLOOKUP($F620,Productos!$A:$A,Productos!AF:AF,"Revisar"),"")</f>
        <v/>
      </c>
      <c r="AN620" s="179" t="str">
        <f t="array" ref="AN620">IF($F620&lt;&gt;"", XLOOKUP($F620,Productos!$A$2:$A1001,Productos!AG$2:AG1001,"")*$G620,"")</f>
        <v/>
      </c>
      <c r="AO620" s="179" t="str">
        <f t="array" ref="AO620">IF($F620&lt;&gt;"",XLOOKUP($F620,Productos!$A:$A,Productos!AH:AH,"Revisar"),"")</f>
        <v/>
      </c>
      <c r="AP620" s="179" t="str">
        <f t="array" ref="AP620">IF($F620&lt;&gt;"", XLOOKUP($F620,Productos!$A$2:$A1001,Productos!AI$2:AI1001,"")*$G620,"")</f>
        <v/>
      </c>
      <c r="AQ620" s="179" t="str">
        <f t="array" ref="AQ620">IF($F620&lt;&gt;"",XLOOKUP($F620,Productos!$A:$A,Productos!AJ:AJ,"Revisar"),"")</f>
        <v/>
      </c>
      <c r="AR620" s="179" t="str">
        <f t="array" ref="AR620">IF($F620&lt;&gt;"", XLOOKUP($F620,Productos!$A$2:$A1001,Productos!AK$2:AK1001,"")*$G620,"")</f>
        <v/>
      </c>
      <c r="AS620" s="179" t="str">
        <f t="array" ref="AS620">IF($F620&lt;&gt;"",XLOOKUP($F620,Productos!$A:$A,Productos!AL:AL,"Revisar"),"")</f>
        <v/>
      </c>
      <c r="AT620" s="179" t="str">
        <f t="array" ref="AT620">IF($F620&lt;&gt;"", XLOOKUP($F620,Productos!$A$2:$A1001,Productos!AM$2:AM1001,"")*$G620,"")</f>
        <v/>
      </c>
      <c r="AU620" s="179" t="str">
        <f t="array" ref="AU620">IF($F620&lt;&gt;"",XLOOKUP($F620,Productos!$A:$A,Productos!AN:AN,"Revisar"),"")</f>
        <v/>
      </c>
      <c r="AV620" s="179" t="str">
        <f t="array" ref="AV620">IF($F620&lt;&gt;"", XLOOKUP($F620,Productos!$A$2:$A1001,Productos!AO$2:AO1001,"")*$G620,"")</f>
        <v/>
      </c>
      <c r="AW620" s="179" t="str">
        <f t="array" ref="AW620">IF($F620&lt;&gt;"",XLOOKUP($F620,Productos!$A:$A,Productos!AP:AP,"Revisar"),"")</f>
        <v/>
      </c>
      <c r="AX620" s="179" t="str">
        <f t="array" ref="AX620">IF($F620&lt;&gt;"", XLOOKUP($F620,Productos!$A$2:$A1001,Productos!AQ$2:AQ1001,"")*$G620,"")</f>
        <v/>
      </c>
      <c r="AY620" s="179" t="str">
        <f t="array" ref="AY620">IF($F620&lt;&gt;"",XLOOKUP($F620,Productos!$A:$A,Productos!AR:AR,"Revisar"),"")</f>
        <v/>
      </c>
      <c r="AZ620" s="179" t="str">
        <f t="array" ref="AZ620">IF($F620&lt;&gt;"", XLOOKUP($F620,Productos!$A$2:$A1001,Productos!AS$2:AS1001,"")*$G620,"")</f>
        <v/>
      </c>
      <c r="BA620" s="179" t="str">
        <f t="array" ref="BA620">IF($F620&lt;&gt;"",XLOOKUP($F620,Productos!$A:$A,Productos!AT:AT,"Revisar"),"")</f>
        <v/>
      </c>
      <c r="BB620" s="179" t="str">
        <f t="array" ref="BB620">IF($F620&lt;&gt;"", XLOOKUP($F620,Productos!$A$2:$A1001,Productos!AU$2:AU1001,"")*$G620,"")</f>
        <v/>
      </c>
      <c r="BC620" s="179" t="str">
        <f t="array" ref="BC620">IF($F620&lt;&gt;"",XLOOKUP($F620,Productos!$A:$A,Productos!AV:AV,"Revisar"),"")</f>
        <v/>
      </c>
      <c r="BD620" s="179" t="str">
        <f t="array" ref="BD620">IF($F620&lt;&gt;"", XLOOKUP($F620,Productos!$A$2:$A1001,Productos!AW$2:AW1001,"")*$G620,"")</f>
        <v/>
      </c>
      <c r="BE620" s="179" t="str">
        <f t="array" ref="BE620">IF($F620&lt;&gt;"",XLOOKUP($F620,Productos!$A:$A,Productos!AX:AX,"Revisar"),"")</f>
        <v/>
      </c>
      <c r="BF620" s="179" t="str">
        <f t="array" ref="BF620">IF($F620&lt;&gt;"", XLOOKUP($F620,Productos!$A$2:$A1001,Productos!AY$2:AY1001,"")*$G620,"")</f>
        <v/>
      </c>
      <c r="BG620" s="179" t="str">
        <f t="array" ref="BG620">IF($F620&lt;&gt;"",XLOOKUP($F620,Productos!$A:$A,Productos!AZ:AZ,"Revisar"),"")</f>
        <v/>
      </c>
      <c r="BH620" s="179" t="str">
        <f t="array" ref="BH620">IF($F620&lt;&gt;"", XLOOKUP($F620,Productos!$A$2:$A1001,Productos!BA$2:BA1001,"")*$G620,"")</f>
        <v/>
      </c>
      <c r="BI620" s="179" t="str">
        <f t="array" ref="BI620">IF($F620&lt;&gt;"",XLOOKUP($F620,Productos!$A:$A,Productos!BB:BB,"Revisar"),"")</f>
        <v/>
      </c>
      <c r="BJ620" s="179" t="str">
        <f t="array" ref="BJ620">IF($F620&lt;&gt;"", XLOOKUP($F620,Productos!$A$2:$A1001,Productos!BC$2:BC1001,"")*$G620,"")</f>
        <v/>
      </c>
      <c r="BK620" s="179" t="str">
        <f t="array" ref="BK620">IF($F620&lt;&gt;"",XLOOKUP($F620,Productos!$A:$A,Productos!BD:BD,"Revisar"),"")</f>
        <v/>
      </c>
      <c r="BL620" s="179" t="str">
        <f t="array" ref="BL620">IF($F620&lt;&gt;"", XLOOKUP($F620,Productos!$A$2:$A1001,Productos!BE$2:BE1001,"")*$G620,"")</f>
        <v/>
      </c>
      <c r="BM620" s="179" t="str">
        <f t="array" ref="BM620">IF($F620&lt;&gt;"",XLOOKUP($F620,Productos!$A:$A,Productos!BF:BF,"Revisar"),"")</f>
        <v/>
      </c>
      <c r="BN620" s="179" t="str">
        <f t="array" ref="BN620">IF($F620&lt;&gt;"", XLOOKUP($F620,Productos!$A$2:$A1001,Productos!BG$2:BG1001,"")*$G620,"")</f>
        <v/>
      </c>
      <c r="BO620" s="179" t="str">
        <f t="array" ref="BO620">IF($F620&lt;&gt;"",XLOOKUP($F620,Productos!$A:$A,Productos!BH:BH,"Revisar"),"")</f>
        <v/>
      </c>
      <c r="BP620" s="179" t="str">
        <f t="array" ref="BP620">IF($F620&lt;&gt;"", XLOOKUP($F620,Productos!$A$2:$A1001,Productos!BI$2:BI1001,"")*$G620,"")</f>
        <v/>
      </c>
      <c r="BQ620" s="179" t="str">
        <f t="array" ref="BQ620">IF($F620&lt;&gt;"",XLOOKUP($F620,Productos!$A:$A,Productos!BJ:BJ,"Revisar"),"")</f>
        <v/>
      </c>
      <c r="BR620" s="179" t="str">
        <f t="array" ref="BR620">IF($F620&lt;&gt;"", XLOOKUP($F620,Productos!$A$2:$A1001,Productos!BK$2:BK1001,"")*$G620,"")</f>
        <v/>
      </c>
      <c r="BS620" s="179" t="str">
        <f t="array" ref="BS620">IF($F620&lt;&gt;"",XLOOKUP($F620,Productos!$A:$A,Productos!BL:BL,"Revisar"),"")</f>
        <v/>
      </c>
      <c r="BT620" s="179" t="str">
        <f t="array" ref="BT620">IF($F620&lt;&gt;"", XLOOKUP($F620,Productos!$A$2:$A1001,Productos!BM$2:BM1001,"")*$G620,"")</f>
        <v/>
      </c>
      <c r="BU620" s="179" t="str">
        <f t="array" ref="BU620">IF($F620&lt;&gt;"",XLOOKUP($F620,Productos!$A:$A,Productos!BN:BN,"Revisar"),"")</f>
        <v/>
      </c>
      <c r="BV620" s="179" t="str">
        <f t="array" ref="BV620">IF($F620&lt;&gt;"", XLOOKUP($F620,Productos!$A$2:$A1001,Productos!BO$2:BO1001,"")*$G620,"")</f>
        <v/>
      </c>
      <c r="BW620" s="179" t="str">
        <f t="array" ref="BW620">IF($F620&lt;&gt;"",XLOOKUP($F620,Productos!$A:$A,Productos!BP:BP,"Revisar"),"")</f>
        <v/>
      </c>
      <c r="BX620" s="179" t="str">
        <f t="array" ref="BX620">IF($F620&lt;&gt;"", XLOOKUP($F620,Productos!$A$2:$A1001,Productos!BQ$2:BQ1001,"")*$G620,"")</f>
        <v/>
      </c>
      <c r="BY620" s="179" t="str">
        <f t="array" ref="BY620">IF($F620&lt;&gt;"",XLOOKUP($F620,Productos!$A:$A,Productos!BR:BR,"Revisar"),"")</f>
        <v/>
      </c>
      <c r="BZ620" s="179" t="str">
        <f t="array" ref="BZ620">IF($F620&lt;&gt;"", XLOOKUP($F620,Productos!$A$2:$A1001,Productos!BS$2:BS1001,"")*$G620,"")</f>
        <v/>
      </c>
    </row>
    <row r="621">
      <c r="A621" s="188"/>
      <c r="B621" s="189"/>
      <c r="C621" s="190"/>
      <c r="D621" s="190"/>
      <c r="E621" s="191"/>
      <c r="F621" s="186"/>
      <c r="G621" s="192"/>
      <c r="H621" s="9"/>
      <c r="I621" s="179" t="str">
        <f t="array" ref="I621">IF($F621&lt;&gt;"",XLOOKUP($F621,Productos!$A:$A,Productos!B:B,"Revisar"),"")</f>
        <v/>
      </c>
      <c r="J621" s="179" t="str">
        <f t="array" ref="J621">IF($F621&lt;&gt;"", XLOOKUP($F621,Productos!$A$2:$A1001,Productos!C$2:C1001,"")*$G621,"")</f>
        <v/>
      </c>
      <c r="K621" s="179" t="str">
        <f t="array" ref="K621">IF($F621&lt;&gt;"",XLOOKUP($F621,Productos!$A:$A,Productos!D:D,"Revisar"),"")</f>
        <v/>
      </c>
      <c r="L621" s="179" t="str">
        <f t="array" ref="L621">IF($F621&lt;&gt;"", XLOOKUP($F621,Productos!$A$2:$A1001,Productos!E$2:E1001,"")*$G621,"")</f>
        <v/>
      </c>
      <c r="M621" s="179" t="str">
        <f t="array" ref="M621">IF($F621&lt;&gt;"",XLOOKUP($F621,Productos!$A:$A,Productos!F:F,"Revisar"),"")</f>
        <v/>
      </c>
      <c r="N621" s="179" t="str">
        <f t="array" ref="N621">IF($F621&lt;&gt;"", XLOOKUP($F621,Productos!$A$2:$A1001,Productos!G$2:G1001,"")*$G621,"")</f>
        <v/>
      </c>
      <c r="O621" s="179" t="str">
        <f t="array" ref="O621">IF($F621&lt;&gt;"",XLOOKUP($F621,Productos!$A:$A,Productos!H:H,"Revisar"),"")</f>
        <v/>
      </c>
      <c r="P621" s="179" t="str">
        <f t="array" ref="P621">IF($F621&lt;&gt;"", XLOOKUP($F621,Productos!$A$2:$A1001,Productos!I$2:I1001,"")*$G621,"")</f>
        <v/>
      </c>
      <c r="Q621" s="179" t="str">
        <f t="array" ref="Q621">IF($F621&lt;&gt;"",XLOOKUP($F621,Productos!$A:$A,Productos!J:J,"Revisar"),"")</f>
        <v/>
      </c>
      <c r="R621" s="179" t="str">
        <f t="array" ref="R621">IF($F621&lt;&gt;"", XLOOKUP($F621,Productos!$A$2:$A1001,Productos!K$2:K1001,"")*$G621,"")</f>
        <v/>
      </c>
      <c r="S621" s="179" t="str">
        <f t="array" ref="S621">IF($F621&lt;&gt;"",XLOOKUP($F621,Productos!$A:$A,Productos!L:L,"Revisar"),"")</f>
        <v/>
      </c>
      <c r="T621" s="179" t="str">
        <f t="array" ref="T621">IF($F621&lt;&gt;"", XLOOKUP($F621,Productos!$A$2:$A1001,Productos!M$2:M1001,"")*$G621,"")</f>
        <v/>
      </c>
      <c r="U621" s="179" t="str">
        <f t="array" ref="U621">IF($F621&lt;&gt;"",XLOOKUP($F621,Productos!$A:$A,Productos!N:N,"Revisar"),"")</f>
        <v/>
      </c>
      <c r="V621" s="179" t="str">
        <f t="array" ref="V621">IF($F621&lt;&gt;"", XLOOKUP($F621,Productos!$A$2:$A1001,Productos!O$2:O1001,"")*$G621,"")</f>
        <v/>
      </c>
      <c r="W621" s="179" t="str">
        <f t="array" ref="W621">IF($F621&lt;&gt;"",XLOOKUP($F621,Productos!$A:$A,Productos!P:P,"Revisar"),"")</f>
        <v/>
      </c>
      <c r="X621" s="179" t="str">
        <f t="array" ref="X621">IF($F621&lt;&gt;"", XLOOKUP($F621,Productos!$A$2:$A1001,Productos!Q$2:Q1001,"")*$G621,"")</f>
        <v/>
      </c>
      <c r="Y621" s="179" t="str">
        <f t="array" ref="Y621">IF($F621&lt;&gt;"",XLOOKUP($F621,Productos!$A:$A,Productos!R:R,"Revisar"),"")</f>
        <v/>
      </c>
      <c r="Z621" s="179" t="str">
        <f t="array" ref="Z621">IF($F621&lt;&gt;"", XLOOKUP($F621,Productos!$A$2:$A1001,Productos!S$2:S1001,"")*$G621,"")</f>
        <v/>
      </c>
      <c r="AA621" s="179" t="str">
        <f t="array" ref="AA621">IF($F621&lt;&gt;"",XLOOKUP($F621,Productos!$A:$A,Productos!T:T,"Revisar"),"")</f>
        <v/>
      </c>
      <c r="AB621" s="179" t="str">
        <f t="array" ref="AB621">IF($F621&lt;&gt;"", XLOOKUP($F621,Productos!$A$2:$A1001,Productos!U$2:U1001,"")*$G621,"")</f>
        <v/>
      </c>
      <c r="AC621" s="179" t="str">
        <f t="array" ref="AC621">IF($F621&lt;&gt;"",XLOOKUP($F621,Productos!$A:$A,Productos!V:V,"Revisar"),"")</f>
        <v/>
      </c>
      <c r="AD621" s="179" t="str">
        <f t="array" ref="AD621">IF($F621&lt;&gt;"", XLOOKUP($F621,Productos!$A$2:$A1001,Productos!W$2:W1001,"")*$G621,"")</f>
        <v/>
      </c>
      <c r="AE621" s="179" t="str">
        <f t="array" ref="AE621">IF($F621&lt;&gt;"",XLOOKUP($F621,Productos!$A:$A,Productos!X:X,"Revisar"),"")</f>
        <v/>
      </c>
      <c r="AF621" s="179" t="str">
        <f t="array" ref="AF621">IF($F621&lt;&gt;"", XLOOKUP($F621,Productos!$A$2:$A1001,Productos!Y$2:Y1001,"")*$G621,"")</f>
        <v/>
      </c>
      <c r="AG621" s="179" t="str">
        <f t="array" ref="AG621">IF($F621&lt;&gt;"",XLOOKUP($F621,Productos!$A:$A,Productos!Z:Z,"Revisar"),"")</f>
        <v/>
      </c>
      <c r="AH621" s="179" t="str">
        <f t="array" ref="AH621">IF($F621&lt;&gt;"", XLOOKUP($F621,Productos!$A$2:$A1001,Productos!AA$2:AA1001,"")*$G621,"")</f>
        <v/>
      </c>
      <c r="AI621" s="179" t="str">
        <f t="array" ref="AI621">IF($F621&lt;&gt;"",XLOOKUP($F621,Productos!$A:$A,Productos!AB:AB,"Revisar"),"")</f>
        <v/>
      </c>
      <c r="AJ621" s="179" t="str">
        <f t="array" ref="AJ621">IF($F621&lt;&gt;"", XLOOKUP($F621,Productos!$A$2:$A1001,Productos!AC$2:AC1001,"")*$G621,"")</f>
        <v/>
      </c>
      <c r="AK621" s="179" t="str">
        <f t="array" ref="AK621">IF($F621&lt;&gt;"",XLOOKUP($F621,Productos!$A:$A,Productos!AD:AD,"Revisar"),"")</f>
        <v/>
      </c>
      <c r="AL621" s="179" t="str">
        <f t="array" ref="AL621">IF($F621&lt;&gt;"", XLOOKUP($F621,Productos!$A$2:$A1001,Productos!AE$2:AE1001,"")*$G621,"")</f>
        <v/>
      </c>
      <c r="AM621" s="179" t="str">
        <f t="array" ref="AM621">IF($F621&lt;&gt;"",XLOOKUP($F621,Productos!$A:$A,Productos!AF:AF,"Revisar"),"")</f>
        <v/>
      </c>
      <c r="AN621" s="179" t="str">
        <f t="array" ref="AN621">IF($F621&lt;&gt;"", XLOOKUP($F621,Productos!$A$2:$A1001,Productos!AG$2:AG1001,"")*$G621,"")</f>
        <v/>
      </c>
      <c r="AO621" s="179" t="str">
        <f t="array" ref="AO621">IF($F621&lt;&gt;"",XLOOKUP($F621,Productos!$A:$A,Productos!AH:AH,"Revisar"),"")</f>
        <v/>
      </c>
      <c r="AP621" s="179" t="str">
        <f t="array" ref="AP621">IF($F621&lt;&gt;"", XLOOKUP($F621,Productos!$A$2:$A1001,Productos!AI$2:AI1001,"")*$G621,"")</f>
        <v/>
      </c>
      <c r="AQ621" s="179" t="str">
        <f t="array" ref="AQ621">IF($F621&lt;&gt;"",XLOOKUP($F621,Productos!$A:$A,Productos!AJ:AJ,"Revisar"),"")</f>
        <v/>
      </c>
      <c r="AR621" s="179" t="str">
        <f t="array" ref="AR621">IF($F621&lt;&gt;"", XLOOKUP($F621,Productos!$A$2:$A1001,Productos!AK$2:AK1001,"")*$G621,"")</f>
        <v/>
      </c>
      <c r="AS621" s="179" t="str">
        <f t="array" ref="AS621">IF($F621&lt;&gt;"",XLOOKUP($F621,Productos!$A:$A,Productos!AL:AL,"Revisar"),"")</f>
        <v/>
      </c>
      <c r="AT621" s="179" t="str">
        <f t="array" ref="AT621">IF($F621&lt;&gt;"", XLOOKUP($F621,Productos!$A$2:$A1001,Productos!AM$2:AM1001,"")*$G621,"")</f>
        <v/>
      </c>
      <c r="AU621" s="179" t="str">
        <f t="array" ref="AU621">IF($F621&lt;&gt;"",XLOOKUP($F621,Productos!$A:$A,Productos!AN:AN,"Revisar"),"")</f>
        <v/>
      </c>
      <c r="AV621" s="179" t="str">
        <f t="array" ref="AV621">IF($F621&lt;&gt;"", XLOOKUP($F621,Productos!$A$2:$A1001,Productos!AO$2:AO1001,"")*$G621,"")</f>
        <v/>
      </c>
      <c r="AW621" s="179" t="str">
        <f t="array" ref="AW621">IF($F621&lt;&gt;"",XLOOKUP($F621,Productos!$A:$A,Productos!AP:AP,"Revisar"),"")</f>
        <v/>
      </c>
      <c r="AX621" s="179" t="str">
        <f t="array" ref="AX621">IF($F621&lt;&gt;"", XLOOKUP($F621,Productos!$A$2:$A1001,Productos!AQ$2:AQ1001,"")*$G621,"")</f>
        <v/>
      </c>
      <c r="AY621" s="179" t="str">
        <f t="array" ref="AY621">IF($F621&lt;&gt;"",XLOOKUP($F621,Productos!$A:$A,Productos!AR:AR,"Revisar"),"")</f>
        <v/>
      </c>
      <c r="AZ621" s="179" t="str">
        <f t="array" ref="AZ621">IF($F621&lt;&gt;"", XLOOKUP($F621,Productos!$A$2:$A1001,Productos!AS$2:AS1001,"")*$G621,"")</f>
        <v/>
      </c>
      <c r="BA621" s="179" t="str">
        <f t="array" ref="BA621">IF($F621&lt;&gt;"",XLOOKUP($F621,Productos!$A:$A,Productos!AT:AT,"Revisar"),"")</f>
        <v/>
      </c>
      <c r="BB621" s="179" t="str">
        <f t="array" ref="BB621">IF($F621&lt;&gt;"", XLOOKUP($F621,Productos!$A$2:$A1001,Productos!AU$2:AU1001,"")*$G621,"")</f>
        <v/>
      </c>
      <c r="BC621" s="179" t="str">
        <f t="array" ref="BC621">IF($F621&lt;&gt;"",XLOOKUP($F621,Productos!$A:$A,Productos!AV:AV,"Revisar"),"")</f>
        <v/>
      </c>
      <c r="BD621" s="179" t="str">
        <f t="array" ref="BD621">IF($F621&lt;&gt;"", XLOOKUP($F621,Productos!$A$2:$A1001,Productos!AW$2:AW1001,"")*$G621,"")</f>
        <v/>
      </c>
      <c r="BE621" s="179" t="str">
        <f t="array" ref="BE621">IF($F621&lt;&gt;"",XLOOKUP($F621,Productos!$A:$A,Productos!AX:AX,"Revisar"),"")</f>
        <v/>
      </c>
      <c r="BF621" s="179" t="str">
        <f t="array" ref="BF621">IF($F621&lt;&gt;"", XLOOKUP($F621,Productos!$A$2:$A1001,Productos!AY$2:AY1001,"")*$G621,"")</f>
        <v/>
      </c>
      <c r="BG621" s="179" t="str">
        <f t="array" ref="BG621">IF($F621&lt;&gt;"",XLOOKUP($F621,Productos!$A:$A,Productos!AZ:AZ,"Revisar"),"")</f>
        <v/>
      </c>
      <c r="BH621" s="179" t="str">
        <f t="array" ref="BH621">IF($F621&lt;&gt;"", XLOOKUP($F621,Productos!$A$2:$A1001,Productos!BA$2:BA1001,"")*$G621,"")</f>
        <v/>
      </c>
      <c r="BI621" s="179" t="str">
        <f t="array" ref="BI621">IF($F621&lt;&gt;"",XLOOKUP($F621,Productos!$A:$A,Productos!BB:BB,"Revisar"),"")</f>
        <v/>
      </c>
      <c r="BJ621" s="179" t="str">
        <f t="array" ref="BJ621">IF($F621&lt;&gt;"", XLOOKUP($F621,Productos!$A$2:$A1001,Productos!BC$2:BC1001,"")*$G621,"")</f>
        <v/>
      </c>
      <c r="BK621" s="179" t="str">
        <f t="array" ref="BK621">IF($F621&lt;&gt;"",XLOOKUP($F621,Productos!$A:$A,Productos!BD:BD,"Revisar"),"")</f>
        <v/>
      </c>
      <c r="BL621" s="179" t="str">
        <f t="array" ref="BL621">IF($F621&lt;&gt;"", XLOOKUP($F621,Productos!$A$2:$A1001,Productos!BE$2:BE1001,"")*$G621,"")</f>
        <v/>
      </c>
      <c r="BM621" s="179" t="str">
        <f t="array" ref="BM621">IF($F621&lt;&gt;"",XLOOKUP($F621,Productos!$A:$A,Productos!BF:BF,"Revisar"),"")</f>
        <v/>
      </c>
      <c r="BN621" s="179" t="str">
        <f t="array" ref="BN621">IF($F621&lt;&gt;"", XLOOKUP($F621,Productos!$A$2:$A1001,Productos!BG$2:BG1001,"")*$G621,"")</f>
        <v/>
      </c>
      <c r="BO621" s="179" t="str">
        <f t="array" ref="BO621">IF($F621&lt;&gt;"",XLOOKUP($F621,Productos!$A:$A,Productos!BH:BH,"Revisar"),"")</f>
        <v/>
      </c>
      <c r="BP621" s="179" t="str">
        <f t="array" ref="BP621">IF($F621&lt;&gt;"", XLOOKUP($F621,Productos!$A$2:$A1001,Productos!BI$2:BI1001,"")*$G621,"")</f>
        <v/>
      </c>
      <c r="BQ621" s="179" t="str">
        <f t="array" ref="BQ621">IF($F621&lt;&gt;"",XLOOKUP($F621,Productos!$A:$A,Productos!BJ:BJ,"Revisar"),"")</f>
        <v/>
      </c>
      <c r="BR621" s="179" t="str">
        <f t="array" ref="BR621">IF($F621&lt;&gt;"", XLOOKUP($F621,Productos!$A$2:$A1001,Productos!BK$2:BK1001,"")*$G621,"")</f>
        <v/>
      </c>
      <c r="BS621" s="179" t="str">
        <f t="array" ref="BS621">IF($F621&lt;&gt;"",XLOOKUP($F621,Productos!$A:$A,Productos!BL:BL,"Revisar"),"")</f>
        <v/>
      </c>
      <c r="BT621" s="179" t="str">
        <f t="array" ref="BT621">IF($F621&lt;&gt;"", XLOOKUP($F621,Productos!$A$2:$A1001,Productos!BM$2:BM1001,"")*$G621,"")</f>
        <v/>
      </c>
      <c r="BU621" s="179" t="str">
        <f t="array" ref="BU621">IF($F621&lt;&gt;"",XLOOKUP($F621,Productos!$A:$A,Productos!BN:BN,"Revisar"),"")</f>
        <v/>
      </c>
      <c r="BV621" s="179" t="str">
        <f t="array" ref="BV621">IF($F621&lt;&gt;"", XLOOKUP($F621,Productos!$A$2:$A1001,Productos!BO$2:BO1001,"")*$G621,"")</f>
        <v/>
      </c>
      <c r="BW621" s="179" t="str">
        <f t="array" ref="BW621">IF($F621&lt;&gt;"",XLOOKUP($F621,Productos!$A:$A,Productos!BP:BP,"Revisar"),"")</f>
        <v/>
      </c>
      <c r="BX621" s="179" t="str">
        <f t="array" ref="BX621">IF($F621&lt;&gt;"", XLOOKUP($F621,Productos!$A$2:$A1001,Productos!BQ$2:BQ1001,"")*$G621,"")</f>
        <v/>
      </c>
      <c r="BY621" s="179" t="str">
        <f t="array" ref="BY621">IF($F621&lt;&gt;"",XLOOKUP($F621,Productos!$A:$A,Productos!BR:BR,"Revisar"),"")</f>
        <v/>
      </c>
      <c r="BZ621" s="179" t="str">
        <f t="array" ref="BZ621">IF($F621&lt;&gt;"", XLOOKUP($F621,Productos!$A$2:$A1001,Productos!BS$2:BS1001,"")*$G621,"")</f>
        <v/>
      </c>
    </row>
    <row r="622">
      <c r="A622" s="188"/>
      <c r="B622" s="189"/>
      <c r="C622" s="190"/>
      <c r="D622" s="190"/>
      <c r="E622" s="191"/>
      <c r="F622" s="186"/>
      <c r="G622" s="192"/>
      <c r="H622" s="9"/>
      <c r="I622" s="179" t="str">
        <f t="array" ref="I622">IF($F622&lt;&gt;"",XLOOKUP($F622,Productos!$A:$A,Productos!B:B,"Revisar"),"")</f>
        <v/>
      </c>
      <c r="J622" s="179" t="str">
        <f t="array" ref="J622">IF($F622&lt;&gt;"", XLOOKUP($F622,Productos!$A$2:$A1001,Productos!C$2:C1001,"")*$G622,"")</f>
        <v/>
      </c>
      <c r="K622" s="179" t="str">
        <f t="array" ref="K622">IF($F622&lt;&gt;"",XLOOKUP($F622,Productos!$A:$A,Productos!D:D,"Revisar"),"")</f>
        <v/>
      </c>
      <c r="L622" s="179" t="str">
        <f t="array" ref="L622">IF($F622&lt;&gt;"", XLOOKUP($F622,Productos!$A$2:$A1001,Productos!E$2:E1001,"")*$G622,"")</f>
        <v/>
      </c>
      <c r="M622" s="179" t="str">
        <f t="array" ref="M622">IF($F622&lt;&gt;"",XLOOKUP($F622,Productos!$A:$A,Productos!F:F,"Revisar"),"")</f>
        <v/>
      </c>
      <c r="N622" s="179" t="str">
        <f t="array" ref="N622">IF($F622&lt;&gt;"", XLOOKUP($F622,Productos!$A$2:$A1001,Productos!G$2:G1001,"")*$G622,"")</f>
        <v/>
      </c>
      <c r="O622" s="179" t="str">
        <f t="array" ref="O622">IF($F622&lt;&gt;"",XLOOKUP($F622,Productos!$A:$A,Productos!H:H,"Revisar"),"")</f>
        <v/>
      </c>
      <c r="P622" s="179" t="str">
        <f t="array" ref="P622">IF($F622&lt;&gt;"", XLOOKUP($F622,Productos!$A$2:$A1001,Productos!I$2:I1001,"")*$G622,"")</f>
        <v/>
      </c>
      <c r="Q622" s="179" t="str">
        <f t="array" ref="Q622">IF($F622&lt;&gt;"",XLOOKUP($F622,Productos!$A:$A,Productos!J:J,"Revisar"),"")</f>
        <v/>
      </c>
      <c r="R622" s="179" t="str">
        <f t="array" ref="R622">IF($F622&lt;&gt;"", XLOOKUP($F622,Productos!$A$2:$A1001,Productos!K$2:K1001,"")*$G622,"")</f>
        <v/>
      </c>
      <c r="S622" s="179" t="str">
        <f t="array" ref="S622">IF($F622&lt;&gt;"",XLOOKUP($F622,Productos!$A:$A,Productos!L:L,"Revisar"),"")</f>
        <v/>
      </c>
      <c r="T622" s="179" t="str">
        <f t="array" ref="T622">IF($F622&lt;&gt;"", XLOOKUP($F622,Productos!$A$2:$A1001,Productos!M$2:M1001,"")*$G622,"")</f>
        <v/>
      </c>
      <c r="U622" s="179" t="str">
        <f t="array" ref="U622">IF($F622&lt;&gt;"",XLOOKUP($F622,Productos!$A:$A,Productos!N:N,"Revisar"),"")</f>
        <v/>
      </c>
      <c r="V622" s="179" t="str">
        <f t="array" ref="V622">IF($F622&lt;&gt;"", XLOOKUP($F622,Productos!$A$2:$A1001,Productos!O$2:O1001,"")*$G622,"")</f>
        <v/>
      </c>
      <c r="W622" s="179" t="str">
        <f t="array" ref="W622">IF($F622&lt;&gt;"",XLOOKUP($F622,Productos!$A:$A,Productos!P:P,"Revisar"),"")</f>
        <v/>
      </c>
      <c r="X622" s="179" t="str">
        <f t="array" ref="X622">IF($F622&lt;&gt;"", XLOOKUP($F622,Productos!$A$2:$A1001,Productos!Q$2:Q1001,"")*$G622,"")</f>
        <v/>
      </c>
      <c r="Y622" s="179" t="str">
        <f t="array" ref="Y622">IF($F622&lt;&gt;"",XLOOKUP($F622,Productos!$A:$A,Productos!R:R,"Revisar"),"")</f>
        <v/>
      </c>
      <c r="Z622" s="179" t="str">
        <f t="array" ref="Z622">IF($F622&lt;&gt;"", XLOOKUP($F622,Productos!$A$2:$A1001,Productos!S$2:S1001,"")*$G622,"")</f>
        <v/>
      </c>
      <c r="AA622" s="179" t="str">
        <f t="array" ref="AA622">IF($F622&lt;&gt;"",XLOOKUP($F622,Productos!$A:$A,Productos!T:T,"Revisar"),"")</f>
        <v/>
      </c>
      <c r="AB622" s="179" t="str">
        <f t="array" ref="AB622">IF($F622&lt;&gt;"", XLOOKUP($F622,Productos!$A$2:$A1001,Productos!U$2:U1001,"")*$G622,"")</f>
        <v/>
      </c>
      <c r="AC622" s="179" t="str">
        <f t="array" ref="AC622">IF($F622&lt;&gt;"",XLOOKUP($F622,Productos!$A:$A,Productos!V:V,"Revisar"),"")</f>
        <v/>
      </c>
      <c r="AD622" s="179" t="str">
        <f t="array" ref="AD622">IF($F622&lt;&gt;"", XLOOKUP($F622,Productos!$A$2:$A1001,Productos!W$2:W1001,"")*$G622,"")</f>
        <v/>
      </c>
      <c r="AE622" s="179" t="str">
        <f t="array" ref="AE622">IF($F622&lt;&gt;"",XLOOKUP($F622,Productos!$A:$A,Productos!X:X,"Revisar"),"")</f>
        <v/>
      </c>
      <c r="AF622" s="179" t="str">
        <f t="array" ref="AF622">IF($F622&lt;&gt;"", XLOOKUP($F622,Productos!$A$2:$A1001,Productos!Y$2:Y1001,"")*$G622,"")</f>
        <v/>
      </c>
      <c r="AG622" s="179" t="str">
        <f t="array" ref="AG622">IF($F622&lt;&gt;"",XLOOKUP($F622,Productos!$A:$A,Productos!Z:Z,"Revisar"),"")</f>
        <v/>
      </c>
      <c r="AH622" s="179" t="str">
        <f t="array" ref="AH622">IF($F622&lt;&gt;"", XLOOKUP($F622,Productos!$A$2:$A1001,Productos!AA$2:AA1001,"")*$G622,"")</f>
        <v/>
      </c>
      <c r="AI622" s="179" t="str">
        <f t="array" ref="AI622">IF($F622&lt;&gt;"",XLOOKUP($F622,Productos!$A:$A,Productos!AB:AB,"Revisar"),"")</f>
        <v/>
      </c>
      <c r="AJ622" s="179" t="str">
        <f t="array" ref="AJ622">IF($F622&lt;&gt;"", XLOOKUP($F622,Productos!$A$2:$A1001,Productos!AC$2:AC1001,"")*$G622,"")</f>
        <v/>
      </c>
      <c r="AK622" s="179" t="str">
        <f t="array" ref="AK622">IF($F622&lt;&gt;"",XLOOKUP($F622,Productos!$A:$A,Productos!AD:AD,"Revisar"),"")</f>
        <v/>
      </c>
      <c r="AL622" s="179" t="str">
        <f t="array" ref="AL622">IF($F622&lt;&gt;"", XLOOKUP($F622,Productos!$A$2:$A1001,Productos!AE$2:AE1001,"")*$G622,"")</f>
        <v/>
      </c>
      <c r="AM622" s="179" t="str">
        <f t="array" ref="AM622">IF($F622&lt;&gt;"",XLOOKUP($F622,Productos!$A:$A,Productos!AF:AF,"Revisar"),"")</f>
        <v/>
      </c>
      <c r="AN622" s="179" t="str">
        <f t="array" ref="AN622">IF($F622&lt;&gt;"", XLOOKUP($F622,Productos!$A$2:$A1001,Productos!AG$2:AG1001,"")*$G622,"")</f>
        <v/>
      </c>
      <c r="AO622" s="179" t="str">
        <f t="array" ref="AO622">IF($F622&lt;&gt;"",XLOOKUP($F622,Productos!$A:$A,Productos!AH:AH,"Revisar"),"")</f>
        <v/>
      </c>
      <c r="AP622" s="179" t="str">
        <f t="array" ref="AP622">IF($F622&lt;&gt;"", XLOOKUP($F622,Productos!$A$2:$A1001,Productos!AI$2:AI1001,"")*$G622,"")</f>
        <v/>
      </c>
      <c r="AQ622" s="179" t="str">
        <f t="array" ref="AQ622">IF($F622&lt;&gt;"",XLOOKUP($F622,Productos!$A:$A,Productos!AJ:AJ,"Revisar"),"")</f>
        <v/>
      </c>
      <c r="AR622" s="179" t="str">
        <f t="array" ref="AR622">IF($F622&lt;&gt;"", XLOOKUP($F622,Productos!$A$2:$A1001,Productos!AK$2:AK1001,"")*$G622,"")</f>
        <v/>
      </c>
      <c r="AS622" s="179" t="str">
        <f t="array" ref="AS622">IF($F622&lt;&gt;"",XLOOKUP($F622,Productos!$A:$A,Productos!AL:AL,"Revisar"),"")</f>
        <v/>
      </c>
      <c r="AT622" s="179" t="str">
        <f t="array" ref="AT622">IF($F622&lt;&gt;"", XLOOKUP($F622,Productos!$A$2:$A1001,Productos!AM$2:AM1001,"")*$G622,"")</f>
        <v/>
      </c>
      <c r="AU622" s="179" t="str">
        <f t="array" ref="AU622">IF($F622&lt;&gt;"",XLOOKUP($F622,Productos!$A:$A,Productos!AN:AN,"Revisar"),"")</f>
        <v/>
      </c>
      <c r="AV622" s="179" t="str">
        <f t="array" ref="AV622">IF($F622&lt;&gt;"", XLOOKUP($F622,Productos!$A$2:$A1001,Productos!AO$2:AO1001,"")*$G622,"")</f>
        <v/>
      </c>
      <c r="AW622" s="179" t="str">
        <f t="array" ref="AW622">IF($F622&lt;&gt;"",XLOOKUP($F622,Productos!$A:$A,Productos!AP:AP,"Revisar"),"")</f>
        <v/>
      </c>
      <c r="AX622" s="179" t="str">
        <f t="array" ref="AX622">IF($F622&lt;&gt;"", XLOOKUP($F622,Productos!$A$2:$A1001,Productos!AQ$2:AQ1001,"")*$G622,"")</f>
        <v/>
      </c>
      <c r="AY622" s="179" t="str">
        <f t="array" ref="AY622">IF($F622&lt;&gt;"",XLOOKUP($F622,Productos!$A:$A,Productos!AR:AR,"Revisar"),"")</f>
        <v/>
      </c>
      <c r="AZ622" s="179" t="str">
        <f t="array" ref="AZ622">IF($F622&lt;&gt;"", XLOOKUP($F622,Productos!$A$2:$A1001,Productos!AS$2:AS1001,"")*$G622,"")</f>
        <v/>
      </c>
      <c r="BA622" s="179" t="str">
        <f t="array" ref="BA622">IF($F622&lt;&gt;"",XLOOKUP($F622,Productos!$A:$A,Productos!AT:AT,"Revisar"),"")</f>
        <v/>
      </c>
      <c r="BB622" s="179" t="str">
        <f t="array" ref="BB622">IF($F622&lt;&gt;"", XLOOKUP($F622,Productos!$A$2:$A1001,Productos!AU$2:AU1001,"")*$G622,"")</f>
        <v/>
      </c>
      <c r="BC622" s="179" t="str">
        <f t="array" ref="BC622">IF($F622&lt;&gt;"",XLOOKUP($F622,Productos!$A:$A,Productos!AV:AV,"Revisar"),"")</f>
        <v/>
      </c>
      <c r="BD622" s="179" t="str">
        <f t="array" ref="BD622">IF($F622&lt;&gt;"", XLOOKUP($F622,Productos!$A$2:$A1001,Productos!AW$2:AW1001,"")*$G622,"")</f>
        <v/>
      </c>
      <c r="BE622" s="179" t="str">
        <f t="array" ref="BE622">IF($F622&lt;&gt;"",XLOOKUP($F622,Productos!$A:$A,Productos!AX:AX,"Revisar"),"")</f>
        <v/>
      </c>
      <c r="BF622" s="179" t="str">
        <f t="array" ref="BF622">IF($F622&lt;&gt;"", XLOOKUP($F622,Productos!$A$2:$A1001,Productos!AY$2:AY1001,"")*$G622,"")</f>
        <v/>
      </c>
      <c r="BG622" s="179" t="str">
        <f t="array" ref="BG622">IF($F622&lt;&gt;"",XLOOKUP($F622,Productos!$A:$A,Productos!AZ:AZ,"Revisar"),"")</f>
        <v/>
      </c>
      <c r="BH622" s="179" t="str">
        <f t="array" ref="BH622">IF($F622&lt;&gt;"", XLOOKUP($F622,Productos!$A$2:$A1001,Productos!BA$2:BA1001,"")*$G622,"")</f>
        <v/>
      </c>
      <c r="BI622" s="179" t="str">
        <f t="array" ref="BI622">IF($F622&lt;&gt;"",XLOOKUP($F622,Productos!$A:$A,Productos!BB:BB,"Revisar"),"")</f>
        <v/>
      </c>
      <c r="BJ622" s="179" t="str">
        <f t="array" ref="BJ622">IF($F622&lt;&gt;"", XLOOKUP($F622,Productos!$A$2:$A1001,Productos!BC$2:BC1001,"")*$G622,"")</f>
        <v/>
      </c>
      <c r="BK622" s="179" t="str">
        <f t="array" ref="BK622">IF($F622&lt;&gt;"",XLOOKUP($F622,Productos!$A:$A,Productos!BD:BD,"Revisar"),"")</f>
        <v/>
      </c>
      <c r="BL622" s="179" t="str">
        <f t="array" ref="BL622">IF($F622&lt;&gt;"", XLOOKUP($F622,Productos!$A$2:$A1001,Productos!BE$2:BE1001,"")*$G622,"")</f>
        <v/>
      </c>
      <c r="BM622" s="179" t="str">
        <f t="array" ref="BM622">IF($F622&lt;&gt;"",XLOOKUP($F622,Productos!$A:$A,Productos!BF:BF,"Revisar"),"")</f>
        <v/>
      </c>
      <c r="BN622" s="179" t="str">
        <f t="array" ref="BN622">IF($F622&lt;&gt;"", XLOOKUP($F622,Productos!$A$2:$A1001,Productos!BG$2:BG1001,"")*$G622,"")</f>
        <v/>
      </c>
      <c r="BO622" s="179" t="str">
        <f t="array" ref="BO622">IF($F622&lt;&gt;"",XLOOKUP($F622,Productos!$A:$A,Productos!BH:BH,"Revisar"),"")</f>
        <v/>
      </c>
      <c r="BP622" s="179" t="str">
        <f t="array" ref="BP622">IF($F622&lt;&gt;"", XLOOKUP($F622,Productos!$A$2:$A1001,Productos!BI$2:BI1001,"")*$G622,"")</f>
        <v/>
      </c>
      <c r="BQ622" s="179" t="str">
        <f t="array" ref="BQ622">IF($F622&lt;&gt;"",XLOOKUP($F622,Productos!$A:$A,Productos!BJ:BJ,"Revisar"),"")</f>
        <v/>
      </c>
      <c r="BR622" s="179" t="str">
        <f t="array" ref="BR622">IF($F622&lt;&gt;"", XLOOKUP($F622,Productos!$A$2:$A1001,Productos!BK$2:BK1001,"")*$G622,"")</f>
        <v/>
      </c>
      <c r="BS622" s="179" t="str">
        <f t="array" ref="BS622">IF($F622&lt;&gt;"",XLOOKUP($F622,Productos!$A:$A,Productos!BL:BL,"Revisar"),"")</f>
        <v/>
      </c>
      <c r="BT622" s="179" t="str">
        <f t="array" ref="BT622">IF($F622&lt;&gt;"", XLOOKUP($F622,Productos!$A$2:$A1001,Productos!BM$2:BM1001,"")*$G622,"")</f>
        <v/>
      </c>
      <c r="BU622" s="179" t="str">
        <f t="array" ref="BU622">IF($F622&lt;&gt;"",XLOOKUP($F622,Productos!$A:$A,Productos!BN:BN,"Revisar"),"")</f>
        <v/>
      </c>
      <c r="BV622" s="179" t="str">
        <f t="array" ref="BV622">IF($F622&lt;&gt;"", XLOOKUP($F622,Productos!$A$2:$A1001,Productos!BO$2:BO1001,"")*$G622,"")</f>
        <v/>
      </c>
      <c r="BW622" s="179" t="str">
        <f t="array" ref="BW622">IF($F622&lt;&gt;"",XLOOKUP($F622,Productos!$A:$A,Productos!BP:BP,"Revisar"),"")</f>
        <v/>
      </c>
      <c r="BX622" s="179" t="str">
        <f t="array" ref="BX622">IF($F622&lt;&gt;"", XLOOKUP($F622,Productos!$A$2:$A1001,Productos!BQ$2:BQ1001,"")*$G622,"")</f>
        <v/>
      </c>
      <c r="BY622" s="179" t="str">
        <f t="array" ref="BY622">IF($F622&lt;&gt;"",XLOOKUP($F622,Productos!$A:$A,Productos!BR:BR,"Revisar"),"")</f>
        <v/>
      </c>
      <c r="BZ622" s="179" t="str">
        <f t="array" ref="BZ622">IF($F622&lt;&gt;"", XLOOKUP($F622,Productos!$A$2:$A1001,Productos!BS$2:BS1001,"")*$G622,"")</f>
        <v/>
      </c>
    </row>
    <row r="623">
      <c r="A623" s="188"/>
      <c r="B623" s="189"/>
      <c r="C623" s="190"/>
      <c r="D623" s="190"/>
      <c r="E623" s="191"/>
      <c r="F623" s="186"/>
      <c r="G623" s="192"/>
      <c r="H623" s="9"/>
      <c r="I623" s="179" t="str">
        <f t="array" ref="I623">IF($F623&lt;&gt;"",XLOOKUP($F623,Productos!$A:$A,Productos!B:B,"Revisar"),"")</f>
        <v/>
      </c>
      <c r="J623" s="179" t="str">
        <f t="array" ref="J623">IF($F623&lt;&gt;"", XLOOKUP($F623,Productos!$A$2:$A1001,Productos!C$2:C1001,"")*$G623,"")</f>
        <v/>
      </c>
      <c r="K623" s="179" t="str">
        <f t="array" ref="K623">IF($F623&lt;&gt;"",XLOOKUP($F623,Productos!$A:$A,Productos!D:D,"Revisar"),"")</f>
        <v/>
      </c>
      <c r="L623" s="179" t="str">
        <f t="array" ref="L623">IF($F623&lt;&gt;"", XLOOKUP($F623,Productos!$A$2:$A1001,Productos!E$2:E1001,"")*$G623,"")</f>
        <v/>
      </c>
      <c r="M623" s="179" t="str">
        <f t="array" ref="M623">IF($F623&lt;&gt;"",XLOOKUP($F623,Productos!$A:$A,Productos!F:F,"Revisar"),"")</f>
        <v/>
      </c>
      <c r="N623" s="179" t="str">
        <f t="array" ref="N623">IF($F623&lt;&gt;"", XLOOKUP($F623,Productos!$A$2:$A1001,Productos!G$2:G1001,"")*$G623,"")</f>
        <v/>
      </c>
      <c r="O623" s="179" t="str">
        <f t="array" ref="O623">IF($F623&lt;&gt;"",XLOOKUP($F623,Productos!$A:$A,Productos!H:H,"Revisar"),"")</f>
        <v/>
      </c>
      <c r="P623" s="179" t="str">
        <f t="array" ref="P623">IF($F623&lt;&gt;"", XLOOKUP($F623,Productos!$A$2:$A1001,Productos!I$2:I1001,"")*$G623,"")</f>
        <v/>
      </c>
      <c r="Q623" s="179" t="str">
        <f t="array" ref="Q623">IF($F623&lt;&gt;"",XLOOKUP($F623,Productos!$A:$A,Productos!J:J,"Revisar"),"")</f>
        <v/>
      </c>
      <c r="R623" s="179" t="str">
        <f t="array" ref="R623">IF($F623&lt;&gt;"", XLOOKUP($F623,Productos!$A$2:$A1001,Productos!K$2:K1001,"")*$G623,"")</f>
        <v/>
      </c>
      <c r="S623" s="179" t="str">
        <f t="array" ref="S623">IF($F623&lt;&gt;"",XLOOKUP($F623,Productos!$A:$A,Productos!L:L,"Revisar"),"")</f>
        <v/>
      </c>
      <c r="T623" s="179" t="str">
        <f t="array" ref="T623">IF($F623&lt;&gt;"", XLOOKUP($F623,Productos!$A$2:$A1001,Productos!M$2:M1001,"")*$G623,"")</f>
        <v/>
      </c>
      <c r="U623" s="179" t="str">
        <f t="array" ref="U623">IF($F623&lt;&gt;"",XLOOKUP($F623,Productos!$A:$A,Productos!N:N,"Revisar"),"")</f>
        <v/>
      </c>
      <c r="V623" s="179" t="str">
        <f t="array" ref="V623">IF($F623&lt;&gt;"", XLOOKUP($F623,Productos!$A$2:$A1001,Productos!O$2:O1001,"")*$G623,"")</f>
        <v/>
      </c>
      <c r="W623" s="179" t="str">
        <f t="array" ref="W623">IF($F623&lt;&gt;"",XLOOKUP($F623,Productos!$A:$A,Productos!P:P,"Revisar"),"")</f>
        <v/>
      </c>
      <c r="X623" s="179" t="str">
        <f t="array" ref="X623">IF($F623&lt;&gt;"", XLOOKUP($F623,Productos!$A$2:$A1001,Productos!Q$2:Q1001,"")*$G623,"")</f>
        <v/>
      </c>
      <c r="Y623" s="179" t="str">
        <f t="array" ref="Y623">IF($F623&lt;&gt;"",XLOOKUP($F623,Productos!$A:$A,Productos!R:R,"Revisar"),"")</f>
        <v/>
      </c>
      <c r="Z623" s="179" t="str">
        <f t="array" ref="Z623">IF($F623&lt;&gt;"", XLOOKUP($F623,Productos!$A$2:$A1001,Productos!S$2:S1001,"")*$G623,"")</f>
        <v/>
      </c>
      <c r="AA623" s="179" t="str">
        <f t="array" ref="AA623">IF($F623&lt;&gt;"",XLOOKUP($F623,Productos!$A:$A,Productos!T:T,"Revisar"),"")</f>
        <v/>
      </c>
      <c r="AB623" s="179" t="str">
        <f t="array" ref="AB623">IF($F623&lt;&gt;"", XLOOKUP($F623,Productos!$A$2:$A1001,Productos!U$2:U1001,"")*$G623,"")</f>
        <v/>
      </c>
      <c r="AC623" s="179" t="str">
        <f t="array" ref="AC623">IF($F623&lt;&gt;"",XLOOKUP($F623,Productos!$A:$A,Productos!V:V,"Revisar"),"")</f>
        <v/>
      </c>
      <c r="AD623" s="179" t="str">
        <f t="array" ref="AD623">IF($F623&lt;&gt;"", XLOOKUP($F623,Productos!$A$2:$A1001,Productos!W$2:W1001,"")*$G623,"")</f>
        <v/>
      </c>
      <c r="AE623" s="179" t="str">
        <f t="array" ref="AE623">IF($F623&lt;&gt;"",XLOOKUP($F623,Productos!$A:$A,Productos!X:X,"Revisar"),"")</f>
        <v/>
      </c>
      <c r="AF623" s="179" t="str">
        <f t="array" ref="AF623">IF($F623&lt;&gt;"", XLOOKUP($F623,Productos!$A$2:$A1001,Productos!Y$2:Y1001,"")*$G623,"")</f>
        <v/>
      </c>
      <c r="AG623" s="179" t="str">
        <f t="array" ref="AG623">IF($F623&lt;&gt;"",XLOOKUP($F623,Productos!$A:$A,Productos!Z:Z,"Revisar"),"")</f>
        <v/>
      </c>
      <c r="AH623" s="179" t="str">
        <f t="array" ref="AH623">IF($F623&lt;&gt;"", XLOOKUP($F623,Productos!$A$2:$A1001,Productos!AA$2:AA1001,"")*$G623,"")</f>
        <v/>
      </c>
      <c r="AI623" s="179" t="str">
        <f t="array" ref="AI623">IF($F623&lt;&gt;"",XLOOKUP($F623,Productos!$A:$A,Productos!AB:AB,"Revisar"),"")</f>
        <v/>
      </c>
      <c r="AJ623" s="179" t="str">
        <f t="array" ref="AJ623">IF($F623&lt;&gt;"", XLOOKUP($F623,Productos!$A$2:$A1001,Productos!AC$2:AC1001,"")*$G623,"")</f>
        <v/>
      </c>
      <c r="AK623" s="179" t="str">
        <f t="array" ref="AK623">IF($F623&lt;&gt;"",XLOOKUP($F623,Productos!$A:$A,Productos!AD:AD,"Revisar"),"")</f>
        <v/>
      </c>
      <c r="AL623" s="179" t="str">
        <f t="array" ref="AL623">IF($F623&lt;&gt;"", XLOOKUP($F623,Productos!$A$2:$A1001,Productos!AE$2:AE1001,"")*$G623,"")</f>
        <v/>
      </c>
      <c r="AM623" s="179" t="str">
        <f t="array" ref="AM623">IF($F623&lt;&gt;"",XLOOKUP($F623,Productos!$A:$A,Productos!AF:AF,"Revisar"),"")</f>
        <v/>
      </c>
      <c r="AN623" s="179" t="str">
        <f t="array" ref="AN623">IF($F623&lt;&gt;"", XLOOKUP($F623,Productos!$A$2:$A1001,Productos!AG$2:AG1001,"")*$G623,"")</f>
        <v/>
      </c>
      <c r="AO623" s="179" t="str">
        <f t="array" ref="AO623">IF($F623&lt;&gt;"",XLOOKUP($F623,Productos!$A:$A,Productos!AH:AH,"Revisar"),"")</f>
        <v/>
      </c>
      <c r="AP623" s="179" t="str">
        <f t="array" ref="AP623">IF($F623&lt;&gt;"", XLOOKUP($F623,Productos!$A$2:$A1001,Productos!AI$2:AI1001,"")*$G623,"")</f>
        <v/>
      </c>
      <c r="AQ623" s="179" t="str">
        <f t="array" ref="AQ623">IF($F623&lt;&gt;"",XLOOKUP($F623,Productos!$A:$A,Productos!AJ:AJ,"Revisar"),"")</f>
        <v/>
      </c>
      <c r="AR623" s="179" t="str">
        <f t="array" ref="AR623">IF($F623&lt;&gt;"", XLOOKUP($F623,Productos!$A$2:$A1001,Productos!AK$2:AK1001,"")*$G623,"")</f>
        <v/>
      </c>
      <c r="AS623" s="179" t="str">
        <f t="array" ref="AS623">IF($F623&lt;&gt;"",XLOOKUP($F623,Productos!$A:$A,Productos!AL:AL,"Revisar"),"")</f>
        <v/>
      </c>
      <c r="AT623" s="179" t="str">
        <f t="array" ref="AT623">IF($F623&lt;&gt;"", XLOOKUP($F623,Productos!$A$2:$A1001,Productos!AM$2:AM1001,"")*$G623,"")</f>
        <v/>
      </c>
      <c r="AU623" s="179" t="str">
        <f t="array" ref="AU623">IF($F623&lt;&gt;"",XLOOKUP($F623,Productos!$A:$A,Productos!AN:AN,"Revisar"),"")</f>
        <v/>
      </c>
      <c r="AV623" s="179" t="str">
        <f t="array" ref="AV623">IF($F623&lt;&gt;"", XLOOKUP($F623,Productos!$A$2:$A1001,Productos!AO$2:AO1001,"")*$G623,"")</f>
        <v/>
      </c>
      <c r="AW623" s="179" t="str">
        <f t="array" ref="AW623">IF($F623&lt;&gt;"",XLOOKUP($F623,Productos!$A:$A,Productos!AP:AP,"Revisar"),"")</f>
        <v/>
      </c>
      <c r="AX623" s="179" t="str">
        <f t="array" ref="AX623">IF($F623&lt;&gt;"", XLOOKUP($F623,Productos!$A$2:$A1001,Productos!AQ$2:AQ1001,"")*$G623,"")</f>
        <v/>
      </c>
      <c r="AY623" s="179" t="str">
        <f t="array" ref="AY623">IF($F623&lt;&gt;"",XLOOKUP($F623,Productos!$A:$A,Productos!AR:AR,"Revisar"),"")</f>
        <v/>
      </c>
      <c r="AZ623" s="179" t="str">
        <f t="array" ref="AZ623">IF($F623&lt;&gt;"", XLOOKUP($F623,Productos!$A$2:$A1001,Productos!AS$2:AS1001,"")*$G623,"")</f>
        <v/>
      </c>
      <c r="BA623" s="179" t="str">
        <f t="array" ref="BA623">IF($F623&lt;&gt;"",XLOOKUP($F623,Productos!$A:$A,Productos!AT:AT,"Revisar"),"")</f>
        <v/>
      </c>
      <c r="BB623" s="179" t="str">
        <f t="array" ref="BB623">IF($F623&lt;&gt;"", XLOOKUP($F623,Productos!$A$2:$A1001,Productos!AU$2:AU1001,"")*$G623,"")</f>
        <v/>
      </c>
      <c r="BC623" s="179" t="str">
        <f t="array" ref="BC623">IF($F623&lt;&gt;"",XLOOKUP($F623,Productos!$A:$A,Productos!AV:AV,"Revisar"),"")</f>
        <v/>
      </c>
      <c r="BD623" s="179" t="str">
        <f t="array" ref="BD623">IF($F623&lt;&gt;"", XLOOKUP($F623,Productos!$A$2:$A1001,Productos!AW$2:AW1001,"")*$G623,"")</f>
        <v/>
      </c>
      <c r="BE623" s="179" t="str">
        <f t="array" ref="BE623">IF($F623&lt;&gt;"",XLOOKUP($F623,Productos!$A:$A,Productos!AX:AX,"Revisar"),"")</f>
        <v/>
      </c>
      <c r="BF623" s="179" t="str">
        <f t="array" ref="BF623">IF($F623&lt;&gt;"", XLOOKUP($F623,Productos!$A$2:$A1001,Productos!AY$2:AY1001,"")*$G623,"")</f>
        <v/>
      </c>
      <c r="BG623" s="179" t="str">
        <f t="array" ref="BG623">IF($F623&lt;&gt;"",XLOOKUP($F623,Productos!$A:$A,Productos!AZ:AZ,"Revisar"),"")</f>
        <v/>
      </c>
      <c r="BH623" s="179" t="str">
        <f t="array" ref="BH623">IF($F623&lt;&gt;"", XLOOKUP($F623,Productos!$A$2:$A1001,Productos!BA$2:BA1001,"")*$G623,"")</f>
        <v/>
      </c>
      <c r="BI623" s="179" t="str">
        <f t="array" ref="BI623">IF($F623&lt;&gt;"",XLOOKUP($F623,Productos!$A:$A,Productos!BB:BB,"Revisar"),"")</f>
        <v/>
      </c>
      <c r="BJ623" s="179" t="str">
        <f t="array" ref="BJ623">IF($F623&lt;&gt;"", XLOOKUP($F623,Productos!$A$2:$A1001,Productos!BC$2:BC1001,"")*$G623,"")</f>
        <v/>
      </c>
      <c r="BK623" s="179" t="str">
        <f t="array" ref="BK623">IF($F623&lt;&gt;"",XLOOKUP($F623,Productos!$A:$A,Productos!BD:BD,"Revisar"),"")</f>
        <v/>
      </c>
      <c r="BL623" s="179" t="str">
        <f t="array" ref="BL623">IF($F623&lt;&gt;"", XLOOKUP($F623,Productos!$A$2:$A1001,Productos!BE$2:BE1001,"")*$G623,"")</f>
        <v/>
      </c>
      <c r="BM623" s="179" t="str">
        <f t="array" ref="BM623">IF($F623&lt;&gt;"",XLOOKUP($F623,Productos!$A:$A,Productos!BF:BF,"Revisar"),"")</f>
        <v/>
      </c>
      <c r="BN623" s="179" t="str">
        <f t="array" ref="BN623">IF($F623&lt;&gt;"", XLOOKUP($F623,Productos!$A$2:$A1001,Productos!BG$2:BG1001,"")*$G623,"")</f>
        <v/>
      </c>
      <c r="BO623" s="179" t="str">
        <f t="array" ref="BO623">IF($F623&lt;&gt;"",XLOOKUP($F623,Productos!$A:$A,Productos!BH:BH,"Revisar"),"")</f>
        <v/>
      </c>
      <c r="BP623" s="179" t="str">
        <f t="array" ref="BP623">IF($F623&lt;&gt;"", XLOOKUP($F623,Productos!$A$2:$A1001,Productos!BI$2:BI1001,"")*$G623,"")</f>
        <v/>
      </c>
      <c r="BQ623" s="179" t="str">
        <f t="array" ref="BQ623">IF($F623&lt;&gt;"",XLOOKUP($F623,Productos!$A:$A,Productos!BJ:BJ,"Revisar"),"")</f>
        <v/>
      </c>
      <c r="BR623" s="179" t="str">
        <f t="array" ref="BR623">IF($F623&lt;&gt;"", XLOOKUP($F623,Productos!$A$2:$A1001,Productos!BK$2:BK1001,"")*$G623,"")</f>
        <v/>
      </c>
      <c r="BS623" s="179" t="str">
        <f t="array" ref="BS623">IF($F623&lt;&gt;"",XLOOKUP($F623,Productos!$A:$A,Productos!BL:BL,"Revisar"),"")</f>
        <v/>
      </c>
      <c r="BT623" s="179" t="str">
        <f t="array" ref="BT623">IF($F623&lt;&gt;"", XLOOKUP($F623,Productos!$A$2:$A1001,Productos!BM$2:BM1001,"")*$G623,"")</f>
        <v/>
      </c>
      <c r="BU623" s="179" t="str">
        <f t="array" ref="BU623">IF($F623&lt;&gt;"",XLOOKUP($F623,Productos!$A:$A,Productos!BN:BN,"Revisar"),"")</f>
        <v/>
      </c>
      <c r="BV623" s="179" t="str">
        <f t="array" ref="BV623">IF($F623&lt;&gt;"", XLOOKUP($F623,Productos!$A$2:$A1001,Productos!BO$2:BO1001,"")*$G623,"")</f>
        <v/>
      </c>
      <c r="BW623" s="179" t="str">
        <f t="array" ref="BW623">IF($F623&lt;&gt;"",XLOOKUP($F623,Productos!$A:$A,Productos!BP:BP,"Revisar"),"")</f>
        <v/>
      </c>
      <c r="BX623" s="179" t="str">
        <f t="array" ref="BX623">IF($F623&lt;&gt;"", XLOOKUP($F623,Productos!$A$2:$A1001,Productos!BQ$2:BQ1001,"")*$G623,"")</f>
        <v/>
      </c>
      <c r="BY623" s="179" t="str">
        <f t="array" ref="BY623">IF($F623&lt;&gt;"",XLOOKUP($F623,Productos!$A:$A,Productos!BR:BR,"Revisar"),"")</f>
        <v/>
      </c>
      <c r="BZ623" s="179" t="str">
        <f t="array" ref="BZ623">IF($F623&lt;&gt;"", XLOOKUP($F623,Productos!$A$2:$A1001,Productos!BS$2:BS1001,"")*$G623,"")</f>
        <v/>
      </c>
    </row>
    <row r="624">
      <c r="A624" s="188"/>
      <c r="B624" s="189"/>
      <c r="C624" s="190"/>
      <c r="D624" s="190"/>
      <c r="E624" s="191"/>
      <c r="F624" s="186"/>
      <c r="G624" s="192"/>
      <c r="H624" s="9"/>
      <c r="I624" s="179" t="str">
        <f t="array" ref="I624">IF($F624&lt;&gt;"",XLOOKUP($F624,Productos!$A:$A,Productos!B:B,"Revisar"),"")</f>
        <v/>
      </c>
      <c r="J624" s="179" t="str">
        <f t="array" ref="J624">IF($F624&lt;&gt;"", XLOOKUP($F624,Productos!$A$2:$A1001,Productos!C$2:C1001,"")*$G624,"")</f>
        <v/>
      </c>
      <c r="K624" s="179" t="str">
        <f t="array" ref="K624">IF($F624&lt;&gt;"",XLOOKUP($F624,Productos!$A:$A,Productos!D:D,"Revisar"),"")</f>
        <v/>
      </c>
      <c r="L624" s="179" t="str">
        <f t="array" ref="L624">IF($F624&lt;&gt;"", XLOOKUP($F624,Productos!$A$2:$A1001,Productos!E$2:E1001,"")*$G624,"")</f>
        <v/>
      </c>
      <c r="M624" s="179" t="str">
        <f t="array" ref="M624">IF($F624&lt;&gt;"",XLOOKUP($F624,Productos!$A:$A,Productos!F:F,"Revisar"),"")</f>
        <v/>
      </c>
      <c r="N624" s="179" t="str">
        <f t="array" ref="N624">IF($F624&lt;&gt;"", XLOOKUP($F624,Productos!$A$2:$A1001,Productos!G$2:G1001,"")*$G624,"")</f>
        <v/>
      </c>
      <c r="O624" s="179" t="str">
        <f t="array" ref="O624">IF($F624&lt;&gt;"",XLOOKUP($F624,Productos!$A:$A,Productos!H:H,"Revisar"),"")</f>
        <v/>
      </c>
      <c r="P624" s="179" t="str">
        <f t="array" ref="P624">IF($F624&lt;&gt;"", XLOOKUP($F624,Productos!$A$2:$A1001,Productos!I$2:I1001,"")*$G624,"")</f>
        <v/>
      </c>
      <c r="Q624" s="179" t="str">
        <f t="array" ref="Q624">IF($F624&lt;&gt;"",XLOOKUP($F624,Productos!$A:$A,Productos!J:J,"Revisar"),"")</f>
        <v/>
      </c>
      <c r="R624" s="179" t="str">
        <f t="array" ref="R624">IF($F624&lt;&gt;"", XLOOKUP($F624,Productos!$A$2:$A1001,Productos!K$2:K1001,"")*$G624,"")</f>
        <v/>
      </c>
      <c r="S624" s="179" t="str">
        <f t="array" ref="S624">IF($F624&lt;&gt;"",XLOOKUP($F624,Productos!$A:$A,Productos!L:L,"Revisar"),"")</f>
        <v/>
      </c>
      <c r="T624" s="179" t="str">
        <f t="array" ref="T624">IF($F624&lt;&gt;"", XLOOKUP($F624,Productos!$A$2:$A1001,Productos!M$2:M1001,"")*$G624,"")</f>
        <v/>
      </c>
      <c r="U624" s="179" t="str">
        <f t="array" ref="U624">IF($F624&lt;&gt;"",XLOOKUP($F624,Productos!$A:$A,Productos!N:N,"Revisar"),"")</f>
        <v/>
      </c>
      <c r="V624" s="179" t="str">
        <f t="array" ref="V624">IF($F624&lt;&gt;"", XLOOKUP($F624,Productos!$A$2:$A1001,Productos!O$2:O1001,"")*$G624,"")</f>
        <v/>
      </c>
      <c r="W624" s="179" t="str">
        <f t="array" ref="W624">IF($F624&lt;&gt;"",XLOOKUP($F624,Productos!$A:$A,Productos!P:P,"Revisar"),"")</f>
        <v/>
      </c>
      <c r="X624" s="179" t="str">
        <f t="array" ref="X624">IF($F624&lt;&gt;"", XLOOKUP($F624,Productos!$A$2:$A1001,Productos!Q$2:Q1001,"")*$G624,"")</f>
        <v/>
      </c>
      <c r="Y624" s="179" t="str">
        <f t="array" ref="Y624">IF($F624&lt;&gt;"",XLOOKUP($F624,Productos!$A:$A,Productos!R:R,"Revisar"),"")</f>
        <v/>
      </c>
      <c r="Z624" s="179" t="str">
        <f t="array" ref="Z624">IF($F624&lt;&gt;"", XLOOKUP($F624,Productos!$A$2:$A1001,Productos!S$2:S1001,"")*$G624,"")</f>
        <v/>
      </c>
      <c r="AA624" s="179" t="str">
        <f t="array" ref="AA624">IF($F624&lt;&gt;"",XLOOKUP($F624,Productos!$A:$A,Productos!T:T,"Revisar"),"")</f>
        <v/>
      </c>
      <c r="AB624" s="179" t="str">
        <f t="array" ref="AB624">IF($F624&lt;&gt;"", XLOOKUP($F624,Productos!$A$2:$A1001,Productos!U$2:U1001,"")*$G624,"")</f>
        <v/>
      </c>
      <c r="AC624" s="179" t="str">
        <f t="array" ref="AC624">IF($F624&lt;&gt;"",XLOOKUP($F624,Productos!$A:$A,Productos!V:V,"Revisar"),"")</f>
        <v/>
      </c>
      <c r="AD624" s="179" t="str">
        <f t="array" ref="AD624">IF($F624&lt;&gt;"", XLOOKUP($F624,Productos!$A$2:$A1001,Productos!W$2:W1001,"")*$G624,"")</f>
        <v/>
      </c>
      <c r="AE624" s="179" t="str">
        <f t="array" ref="AE624">IF($F624&lt;&gt;"",XLOOKUP($F624,Productos!$A:$A,Productos!X:X,"Revisar"),"")</f>
        <v/>
      </c>
      <c r="AF624" s="179" t="str">
        <f t="array" ref="AF624">IF($F624&lt;&gt;"", XLOOKUP($F624,Productos!$A$2:$A1001,Productos!Y$2:Y1001,"")*$G624,"")</f>
        <v/>
      </c>
      <c r="AG624" s="179" t="str">
        <f t="array" ref="AG624">IF($F624&lt;&gt;"",XLOOKUP($F624,Productos!$A:$A,Productos!Z:Z,"Revisar"),"")</f>
        <v/>
      </c>
      <c r="AH624" s="179" t="str">
        <f t="array" ref="AH624">IF($F624&lt;&gt;"", XLOOKUP($F624,Productos!$A$2:$A1001,Productos!AA$2:AA1001,"")*$G624,"")</f>
        <v/>
      </c>
      <c r="AI624" s="179" t="str">
        <f t="array" ref="AI624">IF($F624&lt;&gt;"",XLOOKUP($F624,Productos!$A:$A,Productos!AB:AB,"Revisar"),"")</f>
        <v/>
      </c>
      <c r="AJ624" s="179" t="str">
        <f t="array" ref="AJ624">IF($F624&lt;&gt;"", XLOOKUP($F624,Productos!$A$2:$A1001,Productos!AC$2:AC1001,"")*$G624,"")</f>
        <v/>
      </c>
      <c r="AK624" s="179" t="str">
        <f t="array" ref="AK624">IF($F624&lt;&gt;"",XLOOKUP($F624,Productos!$A:$A,Productos!AD:AD,"Revisar"),"")</f>
        <v/>
      </c>
      <c r="AL624" s="179" t="str">
        <f t="array" ref="AL624">IF($F624&lt;&gt;"", XLOOKUP($F624,Productos!$A$2:$A1001,Productos!AE$2:AE1001,"")*$G624,"")</f>
        <v/>
      </c>
      <c r="AM624" s="179" t="str">
        <f t="array" ref="AM624">IF($F624&lt;&gt;"",XLOOKUP($F624,Productos!$A:$A,Productos!AF:AF,"Revisar"),"")</f>
        <v/>
      </c>
      <c r="AN624" s="179" t="str">
        <f t="array" ref="AN624">IF($F624&lt;&gt;"", XLOOKUP($F624,Productos!$A$2:$A1001,Productos!AG$2:AG1001,"")*$G624,"")</f>
        <v/>
      </c>
      <c r="AO624" s="179" t="str">
        <f t="array" ref="AO624">IF($F624&lt;&gt;"",XLOOKUP($F624,Productos!$A:$A,Productos!AH:AH,"Revisar"),"")</f>
        <v/>
      </c>
      <c r="AP624" s="179" t="str">
        <f t="array" ref="AP624">IF($F624&lt;&gt;"", XLOOKUP($F624,Productos!$A$2:$A1001,Productos!AI$2:AI1001,"")*$G624,"")</f>
        <v/>
      </c>
      <c r="AQ624" s="179" t="str">
        <f t="array" ref="AQ624">IF($F624&lt;&gt;"",XLOOKUP($F624,Productos!$A:$A,Productos!AJ:AJ,"Revisar"),"")</f>
        <v/>
      </c>
      <c r="AR624" s="179" t="str">
        <f t="array" ref="AR624">IF($F624&lt;&gt;"", XLOOKUP($F624,Productos!$A$2:$A1001,Productos!AK$2:AK1001,"")*$G624,"")</f>
        <v/>
      </c>
      <c r="AS624" s="179" t="str">
        <f t="array" ref="AS624">IF($F624&lt;&gt;"",XLOOKUP($F624,Productos!$A:$A,Productos!AL:AL,"Revisar"),"")</f>
        <v/>
      </c>
      <c r="AT624" s="179" t="str">
        <f t="array" ref="AT624">IF($F624&lt;&gt;"", XLOOKUP($F624,Productos!$A$2:$A1001,Productos!AM$2:AM1001,"")*$G624,"")</f>
        <v/>
      </c>
      <c r="AU624" s="179" t="str">
        <f t="array" ref="AU624">IF($F624&lt;&gt;"",XLOOKUP($F624,Productos!$A:$A,Productos!AN:AN,"Revisar"),"")</f>
        <v/>
      </c>
      <c r="AV624" s="179" t="str">
        <f t="array" ref="AV624">IF($F624&lt;&gt;"", XLOOKUP($F624,Productos!$A$2:$A1001,Productos!AO$2:AO1001,"")*$G624,"")</f>
        <v/>
      </c>
      <c r="AW624" s="179" t="str">
        <f t="array" ref="AW624">IF($F624&lt;&gt;"",XLOOKUP($F624,Productos!$A:$A,Productos!AP:AP,"Revisar"),"")</f>
        <v/>
      </c>
      <c r="AX624" s="179" t="str">
        <f t="array" ref="AX624">IF($F624&lt;&gt;"", XLOOKUP($F624,Productos!$A$2:$A1001,Productos!AQ$2:AQ1001,"")*$G624,"")</f>
        <v/>
      </c>
      <c r="AY624" s="179" t="str">
        <f t="array" ref="AY624">IF($F624&lt;&gt;"",XLOOKUP($F624,Productos!$A:$A,Productos!AR:AR,"Revisar"),"")</f>
        <v/>
      </c>
      <c r="AZ624" s="179" t="str">
        <f t="array" ref="AZ624">IF($F624&lt;&gt;"", XLOOKUP($F624,Productos!$A$2:$A1001,Productos!AS$2:AS1001,"")*$G624,"")</f>
        <v/>
      </c>
      <c r="BA624" s="179" t="str">
        <f t="array" ref="BA624">IF($F624&lt;&gt;"",XLOOKUP($F624,Productos!$A:$A,Productos!AT:AT,"Revisar"),"")</f>
        <v/>
      </c>
      <c r="BB624" s="179" t="str">
        <f t="array" ref="BB624">IF($F624&lt;&gt;"", XLOOKUP($F624,Productos!$A$2:$A1001,Productos!AU$2:AU1001,"")*$G624,"")</f>
        <v/>
      </c>
      <c r="BC624" s="179" t="str">
        <f t="array" ref="BC624">IF($F624&lt;&gt;"",XLOOKUP($F624,Productos!$A:$A,Productos!AV:AV,"Revisar"),"")</f>
        <v/>
      </c>
      <c r="BD624" s="179" t="str">
        <f t="array" ref="BD624">IF($F624&lt;&gt;"", XLOOKUP($F624,Productos!$A$2:$A1001,Productos!AW$2:AW1001,"")*$G624,"")</f>
        <v/>
      </c>
      <c r="BE624" s="179" t="str">
        <f t="array" ref="BE624">IF($F624&lt;&gt;"",XLOOKUP($F624,Productos!$A:$A,Productos!AX:AX,"Revisar"),"")</f>
        <v/>
      </c>
      <c r="BF624" s="179" t="str">
        <f t="array" ref="BF624">IF($F624&lt;&gt;"", XLOOKUP($F624,Productos!$A$2:$A1001,Productos!AY$2:AY1001,"")*$G624,"")</f>
        <v/>
      </c>
      <c r="BG624" s="179" t="str">
        <f t="array" ref="BG624">IF($F624&lt;&gt;"",XLOOKUP($F624,Productos!$A:$A,Productos!AZ:AZ,"Revisar"),"")</f>
        <v/>
      </c>
      <c r="BH624" s="179" t="str">
        <f t="array" ref="BH624">IF($F624&lt;&gt;"", XLOOKUP($F624,Productos!$A$2:$A1001,Productos!BA$2:BA1001,"")*$G624,"")</f>
        <v/>
      </c>
      <c r="BI624" s="179" t="str">
        <f t="array" ref="BI624">IF($F624&lt;&gt;"",XLOOKUP($F624,Productos!$A:$A,Productos!BB:BB,"Revisar"),"")</f>
        <v/>
      </c>
      <c r="BJ624" s="179" t="str">
        <f t="array" ref="BJ624">IF($F624&lt;&gt;"", XLOOKUP($F624,Productos!$A$2:$A1001,Productos!BC$2:BC1001,"")*$G624,"")</f>
        <v/>
      </c>
      <c r="BK624" s="179" t="str">
        <f t="array" ref="BK624">IF($F624&lt;&gt;"",XLOOKUP($F624,Productos!$A:$A,Productos!BD:BD,"Revisar"),"")</f>
        <v/>
      </c>
      <c r="BL624" s="179" t="str">
        <f t="array" ref="BL624">IF($F624&lt;&gt;"", XLOOKUP($F624,Productos!$A$2:$A1001,Productos!BE$2:BE1001,"")*$G624,"")</f>
        <v/>
      </c>
      <c r="BM624" s="179" t="str">
        <f t="array" ref="BM624">IF($F624&lt;&gt;"",XLOOKUP($F624,Productos!$A:$A,Productos!BF:BF,"Revisar"),"")</f>
        <v/>
      </c>
      <c r="BN624" s="179" t="str">
        <f t="array" ref="BN624">IF($F624&lt;&gt;"", XLOOKUP($F624,Productos!$A$2:$A1001,Productos!BG$2:BG1001,"")*$G624,"")</f>
        <v/>
      </c>
      <c r="BO624" s="179" t="str">
        <f t="array" ref="BO624">IF($F624&lt;&gt;"",XLOOKUP($F624,Productos!$A:$A,Productos!BH:BH,"Revisar"),"")</f>
        <v/>
      </c>
      <c r="BP624" s="179" t="str">
        <f t="array" ref="BP624">IF($F624&lt;&gt;"", XLOOKUP($F624,Productos!$A$2:$A1001,Productos!BI$2:BI1001,"")*$G624,"")</f>
        <v/>
      </c>
      <c r="BQ624" s="179" t="str">
        <f t="array" ref="BQ624">IF($F624&lt;&gt;"",XLOOKUP($F624,Productos!$A:$A,Productos!BJ:BJ,"Revisar"),"")</f>
        <v/>
      </c>
      <c r="BR624" s="179" t="str">
        <f t="array" ref="BR624">IF($F624&lt;&gt;"", XLOOKUP($F624,Productos!$A$2:$A1001,Productos!BK$2:BK1001,"")*$G624,"")</f>
        <v/>
      </c>
      <c r="BS624" s="179" t="str">
        <f t="array" ref="BS624">IF($F624&lt;&gt;"",XLOOKUP($F624,Productos!$A:$A,Productos!BL:BL,"Revisar"),"")</f>
        <v/>
      </c>
      <c r="BT624" s="179" t="str">
        <f t="array" ref="BT624">IF($F624&lt;&gt;"", XLOOKUP($F624,Productos!$A$2:$A1001,Productos!BM$2:BM1001,"")*$G624,"")</f>
        <v/>
      </c>
      <c r="BU624" s="179" t="str">
        <f t="array" ref="BU624">IF($F624&lt;&gt;"",XLOOKUP($F624,Productos!$A:$A,Productos!BN:BN,"Revisar"),"")</f>
        <v/>
      </c>
      <c r="BV624" s="179" t="str">
        <f t="array" ref="BV624">IF($F624&lt;&gt;"", XLOOKUP($F624,Productos!$A$2:$A1001,Productos!BO$2:BO1001,"")*$G624,"")</f>
        <v/>
      </c>
      <c r="BW624" s="179" t="str">
        <f t="array" ref="BW624">IF($F624&lt;&gt;"",XLOOKUP($F624,Productos!$A:$A,Productos!BP:BP,"Revisar"),"")</f>
        <v/>
      </c>
      <c r="BX624" s="179" t="str">
        <f t="array" ref="BX624">IF($F624&lt;&gt;"", XLOOKUP($F624,Productos!$A$2:$A1001,Productos!BQ$2:BQ1001,"")*$G624,"")</f>
        <v/>
      </c>
      <c r="BY624" s="179" t="str">
        <f t="array" ref="BY624">IF($F624&lt;&gt;"",XLOOKUP($F624,Productos!$A:$A,Productos!BR:BR,"Revisar"),"")</f>
        <v/>
      </c>
      <c r="BZ624" s="179" t="str">
        <f t="array" ref="BZ624">IF($F624&lt;&gt;"", XLOOKUP($F624,Productos!$A$2:$A1001,Productos!BS$2:BS1001,"")*$G624,"")</f>
        <v/>
      </c>
    </row>
    <row r="625">
      <c r="A625" s="188"/>
      <c r="B625" s="189"/>
      <c r="C625" s="190"/>
      <c r="D625" s="190"/>
      <c r="E625" s="191"/>
      <c r="F625" s="186"/>
      <c r="G625" s="192"/>
      <c r="H625" s="9"/>
      <c r="I625" s="179" t="str">
        <f t="array" ref="I625">IF($F625&lt;&gt;"",XLOOKUP($F625,Productos!$A:$A,Productos!B:B,"Revisar"),"")</f>
        <v/>
      </c>
      <c r="J625" s="179" t="str">
        <f t="array" ref="J625">IF($F625&lt;&gt;"", XLOOKUP($F625,Productos!$A$2:$A1001,Productos!C$2:C1001,"")*$G625,"")</f>
        <v/>
      </c>
      <c r="K625" s="179" t="str">
        <f t="array" ref="K625">IF($F625&lt;&gt;"",XLOOKUP($F625,Productos!$A:$A,Productos!D:D,"Revisar"),"")</f>
        <v/>
      </c>
      <c r="L625" s="179" t="str">
        <f t="array" ref="L625">IF($F625&lt;&gt;"", XLOOKUP($F625,Productos!$A$2:$A1001,Productos!E$2:E1001,"")*$G625,"")</f>
        <v/>
      </c>
      <c r="M625" s="179" t="str">
        <f t="array" ref="M625">IF($F625&lt;&gt;"",XLOOKUP($F625,Productos!$A:$A,Productos!F:F,"Revisar"),"")</f>
        <v/>
      </c>
      <c r="N625" s="179" t="str">
        <f t="array" ref="N625">IF($F625&lt;&gt;"", XLOOKUP($F625,Productos!$A$2:$A1001,Productos!G$2:G1001,"")*$G625,"")</f>
        <v/>
      </c>
      <c r="O625" s="179" t="str">
        <f t="array" ref="O625">IF($F625&lt;&gt;"",XLOOKUP($F625,Productos!$A:$A,Productos!H:H,"Revisar"),"")</f>
        <v/>
      </c>
      <c r="P625" s="179" t="str">
        <f t="array" ref="P625">IF($F625&lt;&gt;"", XLOOKUP($F625,Productos!$A$2:$A1001,Productos!I$2:I1001,"")*$G625,"")</f>
        <v/>
      </c>
      <c r="Q625" s="179" t="str">
        <f t="array" ref="Q625">IF($F625&lt;&gt;"",XLOOKUP($F625,Productos!$A:$A,Productos!J:J,"Revisar"),"")</f>
        <v/>
      </c>
      <c r="R625" s="179" t="str">
        <f t="array" ref="R625">IF($F625&lt;&gt;"", XLOOKUP($F625,Productos!$A$2:$A1001,Productos!K$2:K1001,"")*$G625,"")</f>
        <v/>
      </c>
      <c r="S625" s="179" t="str">
        <f t="array" ref="S625">IF($F625&lt;&gt;"",XLOOKUP($F625,Productos!$A:$A,Productos!L:L,"Revisar"),"")</f>
        <v/>
      </c>
      <c r="T625" s="179" t="str">
        <f t="array" ref="T625">IF($F625&lt;&gt;"", XLOOKUP($F625,Productos!$A$2:$A1001,Productos!M$2:M1001,"")*$G625,"")</f>
        <v/>
      </c>
      <c r="U625" s="179" t="str">
        <f t="array" ref="U625">IF($F625&lt;&gt;"",XLOOKUP($F625,Productos!$A:$A,Productos!N:N,"Revisar"),"")</f>
        <v/>
      </c>
      <c r="V625" s="179" t="str">
        <f t="array" ref="V625">IF($F625&lt;&gt;"", XLOOKUP($F625,Productos!$A$2:$A1001,Productos!O$2:O1001,"")*$G625,"")</f>
        <v/>
      </c>
      <c r="W625" s="179" t="str">
        <f t="array" ref="W625">IF($F625&lt;&gt;"",XLOOKUP($F625,Productos!$A:$A,Productos!P:P,"Revisar"),"")</f>
        <v/>
      </c>
      <c r="X625" s="179" t="str">
        <f t="array" ref="X625">IF($F625&lt;&gt;"", XLOOKUP($F625,Productos!$A$2:$A1001,Productos!Q$2:Q1001,"")*$G625,"")</f>
        <v/>
      </c>
      <c r="Y625" s="179" t="str">
        <f t="array" ref="Y625">IF($F625&lt;&gt;"",XLOOKUP($F625,Productos!$A:$A,Productos!R:R,"Revisar"),"")</f>
        <v/>
      </c>
      <c r="Z625" s="179" t="str">
        <f t="array" ref="Z625">IF($F625&lt;&gt;"", XLOOKUP($F625,Productos!$A$2:$A1001,Productos!S$2:S1001,"")*$G625,"")</f>
        <v/>
      </c>
      <c r="AA625" s="179" t="str">
        <f t="array" ref="AA625">IF($F625&lt;&gt;"",XLOOKUP($F625,Productos!$A:$A,Productos!T:T,"Revisar"),"")</f>
        <v/>
      </c>
      <c r="AB625" s="179" t="str">
        <f t="array" ref="AB625">IF($F625&lt;&gt;"", XLOOKUP($F625,Productos!$A$2:$A1001,Productos!U$2:U1001,"")*$G625,"")</f>
        <v/>
      </c>
      <c r="AC625" s="179" t="str">
        <f t="array" ref="AC625">IF($F625&lt;&gt;"",XLOOKUP($F625,Productos!$A:$A,Productos!V:V,"Revisar"),"")</f>
        <v/>
      </c>
      <c r="AD625" s="179" t="str">
        <f t="array" ref="AD625">IF($F625&lt;&gt;"", XLOOKUP($F625,Productos!$A$2:$A1001,Productos!W$2:W1001,"")*$G625,"")</f>
        <v/>
      </c>
      <c r="AE625" s="179" t="str">
        <f t="array" ref="AE625">IF($F625&lt;&gt;"",XLOOKUP($F625,Productos!$A:$A,Productos!X:X,"Revisar"),"")</f>
        <v/>
      </c>
      <c r="AF625" s="179" t="str">
        <f t="array" ref="AF625">IF($F625&lt;&gt;"", XLOOKUP($F625,Productos!$A$2:$A1001,Productos!Y$2:Y1001,"")*$G625,"")</f>
        <v/>
      </c>
      <c r="AG625" s="179" t="str">
        <f t="array" ref="AG625">IF($F625&lt;&gt;"",XLOOKUP($F625,Productos!$A:$A,Productos!Z:Z,"Revisar"),"")</f>
        <v/>
      </c>
      <c r="AH625" s="179" t="str">
        <f t="array" ref="AH625">IF($F625&lt;&gt;"", XLOOKUP($F625,Productos!$A$2:$A1001,Productos!AA$2:AA1001,"")*$G625,"")</f>
        <v/>
      </c>
      <c r="AI625" s="179" t="str">
        <f t="array" ref="AI625">IF($F625&lt;&gt;"",XLOOKUP($F625,Productos!$A:$A,Productos!AB:AB,"Revisar"),"")</f>
        <v/>
      </c>
      <c r="AJ625" s="179" t="str">
        <f t="array" ref="AJ625">IF($F625&lt;&gt;"", XLOOKUP($F625,Productos!$A$2:$A1001,Productos!AC$2:AC1001,"")*$G625,"")</f>
        <v/>
      </c>
      <c r="AK625" s="179" t="str">
        <f t="array" ref="AK625">IF($F625&lt;&gt;"",XLOOKUP($F625,Productos!$A:$A,Productos!AD:AD,"Revisar"),"")</f>
        <v/>
      </c>
      <c r="AL625" s="179" t="str">
        <f t="array" ref="AL625">IF($F625&lt;&gt;"", XLOOKUP($F625,Productos!$A$2:$A1001,Productos!AE$2:AE1001,"")*$G625,"")</f>
        <v/>
      </c>
      <c r="AM625" s="179" t="str">
        <f t="array" ref="AM625">IF($F625&lt;&gt;"",XLOOKUP($F625,Productos!$A:$A,Productos!AF:AF,"Revisar"),"")</f>
        <v/>
      </c>
      <c r="AN625" s="179" t="str">
        <f t="array" ref="AN625">IF($F625&lt;&gt;"", XLOOKUP($F625,Productos!$A$2:$A1001,Productos!AG$2:AG1001,"")*$G625,"")</f>
        <v/>
      </c>
      <c r="AO625" s="179" t="str">
        <f t="array" ref="AO625">IF($F625&lt;&gt;"",XLOOKUP($F625,Productos!$A:$A,Productos!AH:AH,"Revisar"),"")</f>
        <v/>
      </c>
      <c r="AP625" s="179" t="str">
        <f t="array" ref="AP625">IF($F625&lt;&gt;"", XLOOKUP($F625,Productos!$A$2:$A1001,Productos!AI$2:AI1001,"")*$G625,"")</f>
        <v/>
      </c>
      <c r="AQ625" s="179" t="str">
        <f t="array" ref="AQ625">IF($F625&lt;&gt;"",XLOOKUP($F625,Productos!$A:$A,Productos!AJ:AJ,"Revisar"),"")</f>
        <v/>
      </c>
      <c r="AR625" s="179" t="str">
        <f t="array" ref="AR625">IF($F625&lt;&gt;"", XLOOKUP($F625,Productos!$A$2:$A1001,Productos!AK$2:AK1001,"")*$G625,"")</f>
        <v/>
      </c>
      <c r="AS625" s="179" t="str">
        <f t="array" ref="AS625">IF($F625&lt;&gt;"",XLOOKUP($F625,Productos!$A:$A,Productos!AL:AL,"Revisar"),"")</f>
        <v/>
      </c>
      <c r="AT625" s="179" t="str">
        <f t="array" ref="AT625">IF($F625&lt;&gt;"", XLOOKUP($F625,Productos!$A$2:$A1001,Productos!AM$2:AM1001,"")*$G625,"")</f>
        <v/>
      </c>
      <c r="AU625" s="179" t="str">
        <f t="array" ref="AU625">IF($F625&lt;&gt;"",XLOOKUP($F625,Productos!$A:$A,Productos!AN:AN,"Revisar"),"")</f>
        <v/>
      </c>
      <c r="AV625" s="179" t="str">
        <f t="array" ref="AV625">IF($F625&lt;&gt;"", XLOOKUP($F625,Productos!$A$2:$A1001,Productos!AO$2:AO1001,"")*$G625,"")</f>
        <v/>
      </c>
      <c r="AW625" s="179" t="str">
        <f t="array" ref="AW625">IF($F625&lt;&gt;"",XLOOKUP($F625,Productos!$A:$A,Productos!AP:AP,"Revisar"),"")</f>
        <v/>
      </c>
      <c r="AX625" s="179" t="str">
        <f t="array" ref="AX625">IF($F625&lt;&gt;"", XLOOKUP($F625,Productos!$A$2:$A1001,Productos!AQ$2:AQ1001,"")*$G625,"")</f>
        <v/>
      </c>
      <c r="AY625" s="179" t="str">
        <f t="array" ref="AY625">IF($F625&lt;&gt;"",XLOOKUP($F625,Productos!$A:$A,Productos!AR:AR,"Revisar"),"")</f>
        <v/>
      </c>
      <c r="AZ625" s="179" t="str">
        <f t="array" ref="AZ625">IF($F625&lt;&gt;"", XLOOKUP($F625,Productos!$A$2:$A1001,Productos!AS$2:AS1001,"")*$G625,"")</f>
        <v/>
      </c>
      <c r="BA625" s="179" t="str">
        <f t="array" ref="BA625">IF($F625&lt;&gt;"",XLOOKUP($F625,Productos!$A:$A,Productos!AT:AT,"Revisar"),"")</f>
        <v/>
      </c>
      <c r="BB625" s="179" t="str">
        <f t="array" ref="BB625">IF($F625&lt;&gt;"", XLOOKUP($F625,Productos!$A$2:$A1001,Productos!AU$2:AU1001,"")*$G625,"")</f>
        <v/>
      </c>
      <c r="BC625" s="179" t="str">
        <f t="array" ref="BC625">IF($F625&lt;&gt;"",XLOOKUP($F625,Productos!$A:$A,Productos!AV:AV,"Revisar"),"")</f>
        <v/>
      </c>
      <c r="BD625" s="179" t="str">
        <f t="array" ref="BD625">IF($F625&lt;&gt;"", XLOOKUP($F625,Productos!$A$2:$A1001,Productos!AW$2:AW1001,"")*$G625,"")</f>
        <v/>
      </c>
      <c r="BE625" s="179" t="str">
        <f t="array" ref="BE625">IF($F625&lt;&gt;"",XLOOKUP($F625,Productos!$A:$A,Productos!AX:AX,"Revisar"),"")</f>
        <v/>
      </c>
      <c r="BF625" s="179" t="str">
        <f t="array" ref="BF625">IF($F625&lt;&gt;"", XLOOKUP($F625,Productos!$A$2:$A1001,Productos!AY$2:AY1001,"")*$G625,"")</f>
        <v/>
      </c>
      <c r="BG625" s="179" t="str">
        <f t="array" ref="BG625">IF($F625&lt;&gt;"",XLOOKUP($F625,Productos!$A:$A,Productos!AZ:AZ,"Revisar"),"")</f>
        <v/>
      </c>
      <c r="BH625" s="179" t="str">
        <f t="array" ref="BH625">IF($F625&lt;&gt;"", XLOOKUP($F625,Productos!$A$2:$A1001,Productos!BA$2:BA1001,"")*$G625,"")</f>
        <v/>
      </c>
      <c r="BI625" s="179" t="str">
        <f t="array" ref="BI625">IF($F625&lt;&gt;"",XLOOKUP($F625,Productos!$A:$A,Productos!BB:BB,"Revisar"),"")</f>
        <v/>
      </c>
      <c r="BJ625" s="179" t="str">
        <f t="array" ref="BJ625">IF($F625&lt;&gt;"", XLOOKUP($F625,Productos!$A$2:$A1001,Productos!BC$2:BC1001,"")*$G625,"")</f>
        <v/>
      </c>
      <c r="BK625" s="179" t="str">
        <f t="array" ref="BK625">IF($F625&lt;&gt;"",XLOOKUP($F625,Productos!$A:$A,Productos!BD:BD,"Revisar"),"")</f>
        <v/>
      </c>
      <c r="BL625" s="179" t="str">
        <f t="array" ref="BL625">IF($F625&lt;&gt;"", XLOOKUP($F625,Productos!$A$2:$A1001,Productos!BE$2:BE1001,"")*$G625,"")</f>
        <v/>
      </c>
      <c r="BM625" s="179" t="str">
        <f t="array" ref="BM625">IF($F625&lt;&gt;"",XLOOKUP($F625,Productos!$A:$A,Productos!BF:BF,"Revisar"),"")</f>
        <v/>
      </c>
      <c r="BN625" s="179" t="str">
        <f t="array" ref="BN625">IF($F625&lt;&gt;"", XLOOKUP($F625,Productos!$A$2:$A1001,Productos!BG$2:BG1001,"")*$G625,"")</f>
        <v/>
      </c>
      <c r="BO625" s="179" t="str">
        <f t="array" ref="BO625">IF($F625&lt;&gt;"",XLOOKUP($F625,Productos!$A:$A,Productos!BH:BH,"Revisar"),"")</f>
        <v/>
      </c>
      <c r="BP625" s="179" t="str">
        <f t="array" ref="BP625">IF($F625&lt;&gt;"", XLOOKUP($F625,Productos!$A$2:$A1001,Productos!BI$2:BI1001,"")*$G625,"")</f>
        <v/>
      </c>
      <c r="BQ625" s="179" t="str">
        <f t="array" ref="BQ625">IF($F625&lt;&gt;"",XLOOKUP($F625,Productos!$A:$A,Productos!BJ:BJ,"Revisar"),"")</f>
        <v/>
      </c>
      <c r="BR625" s="179" t="str">
        <f t="array" ref="BR625">IF($F625&lt;&gt;"", XLOOKUP($F625,Productos!$A$2:$A1001,Productos!BK$2:BK1001,"")*$G625,"")</f>
        <v/>
      </c>
      <c r="BS625" s="179" t="str">
        <f t="array" ref="BS625">IF($F625&lt;&gt;"",XLOOKUP($F625,Productos!$A:$A,Productos!BL:BL,"Revisar"),"")</f>
        <v/>
      </c>
      <c r="BT625" s="179" t="str">
        <f t="array" ref="BT625">IF($F625&lt;&gt;"", XLOOKUP($F625,Productos!$A$2:$A1001,Productos!BM$2:BM1001,"")*$G625,"")</f>
        <v/>
      </c>
      <c r="BU625" s="179" t="str">
        <f t="array" ref="BU625">IF($F625&lt;&gt;"",XLOOKUP($F625,Productos!$A:$A,Productos!BN:BN,"Revisar"),"")</f>
        <v/>
      </c>
      <c r="BV625" s="179" t="str">
        <f t="array" ref="BV625">IF($F625&lt;&gt;"", XLOOKUP($F625,Productos!$A$2:$A1001,Productos!BO$2:BO1001,"")*$G625,"")</f>
        <v/>
      </c>
      <c r="BW625" s="179" t="str">
        <f t="array" ref="BW625">IF($F625&lt;&gt;"",XLOOKUP($F625,Productos!$A:$A,Productos!BP:BP,"Revisar"),"")</f>
        <v/>
      </c>
      <c r="BX625" s="179" t="str">
        <f t="array" ref="BX625">IF($F625&lt;&gt;"", XLOOKUP($F625,Productos!$A$2:$A1001,Productos!BQ$2:BQ1001,"")*$G625,"")</f>
        <v/>
      </c>
      <c r="BY625" s="179" t="str">
        <f t="array" ref="BY625">IF($F625&lt;&gt;"",XLOOKUP($F625,Productos!$A:$A,Productos!BR:BR,"Revisar"),"")</f>
        <v/>
      </c>
      <c r="BZ625" s="179" t="str">
        <f t="array" ref="BZ625">IF($F625&lt;&gt;"", XLOOKUP($F625,Productos!$A$2:$A1001,Productos!BS$2:BS1001,"")*$G625,"")</f>
        <v/>
      </c>
    </row>
    <row r="626">
      <c r="A626" s="188"/>
      <c r="B626" s="189"/>
      <c r="C626" s="190"/>
      <c r="D626" s="190"/>
      <c r="E626" s="191"/>
      <c r="F626" s="186"/>
      <c r="G626" s="192"/>
      <c r="H626" s="9"/>
      <c r="I626" s="179" t="str">
        <f t="array" ref="I626">IF($F626&lt;&gt;"",XLOOKUP($F626,Productos!$A:$A,Productos!B:B,"Revisar"),"")</f>
        <v/>
      </c>
      <c r="J626" s="179" t="str">
        <f t="array" ref="J626">IF($F626&lt;&gt;"", XLOOKUP($F626,Productos!$A$2:$A1001,Productos!C$2:C1001,"")*$G626,"")</f>
        <v/>
      </c>
      <c r="K626" s="179" t="str">
        <f t="array" ref="K626">IF($F626&lt;&gt;"",XLOOKUP($F626,Productos!$A:$A,Productos!D:D,"Revisar"),"")</f>
        <v/>
      </c>
      <c r="L626" s="179" t="str">
        <f t="array" ref="L626">IF($F626&lt;&gt;"", XLOOKUP($F626,Productos!$A$2:$A1001,Productos!E$2:E1001,"")*$G626,"")</f>
        <v/>
      </c>
      <c r="M626" s="179" t="str">
        <f t="array" ref="M626">IF($F626&lt;&gt;"",XLOOKUP($F626,Productos!$A:$A,Productos!F:F,"Revisar"),"")</f>
        <v/>
      </c>
      <c r="N626" s="179" t="str">
        <f t="array" ref="N626">IF($F626&lt;&gt;"", XLOOKUP($F626,Productos!$A$2:$A1001,Productos!G$2:G1001,"")*$G626,"")</f>
        <v/>
      </c>
      <c r="O626" s="179" t="str">
        <f t="array" ref="O626">IF($F626&lt;&gt;"",XLOOKUP($F626,Productos!$A:$A,Productos!H:H,"Revisar"),"")</f>
        <v/>
      </c>
      <c r="P626" s="179" t="str">
        <f t="array" ref="P626">IF($F626&lt;&gt;"", XLOOKUP($F626,Productos!$A$2:$A1001,Productos!I$2:I1001,"")*$G626,"")</f>
        <v/>
      </c>
      <c r="Q626" s="179" t="str">
        <f t="array" ref="Q626">IF($F626&lt;&gt;"",XLOOKUP($F626,Productos!$A:$A,Productos!J:J,"Revisar"),"")</f>
        <v/>
      </c>
      <c r="R626" s="179" t="str">
        <f t="array" ref="R626">IF($F626&lt;&gt;"", XLOOKUP($F626,Productos!$A$2:$A1001,Productos!K$2:K1001,"")*$G626,"")</f>
        <v/>
      </c>
      <c r="S626" s="179" t="str">
        <f t="array" ref="S626">IF($F626&lt;&gt;"",XLOOKUP($F626,Productos!$A:$A,Productos!L:L,"Revisar"),"")</f>
        <v/>
      </c>
      <c r="T626" s="179" t="str">
        <f t="array" ref="T626">IF($F626&lt;&gt;"", XLOOKUP($F626,Productos!$A$2:$A1001,Productos!M$2:M1001,"")*$G626,"")</f>
        <v/>
      </c>
      <c r="U626" s="179" t="str">
        <f t="array" ref="U626">IF($F626&lt;&gt;"",XLOOKUP($F626,Productos!$A:$A,Productos!N:N,"Revisar"),"")</f>
        <v/>
      </c>
      <c r="V626" s="179" t="str">
        <f t="array" ref="V626">IF($F626&lt;&gt;"", XLOOKUP($F626,Productos!$A$2:$A1001,Productos!O$2:O1001,"")*$G626,"")</f>
        <v/>
      </c>
      <c r="W626" s="179" t="str">
        <f t="array" ref="W626">IF($F626&lt;&gt;"",XLOOKUP($F626,Productos!$A:$A,Productos!P:P,"Revisar"),"")</f>
        <v/>
      </c>
      <c r="X626" s="179" t="str">
        <f t="array" ref="X626">IF($F626&lt;&gt;"", XLOOKUP($F626,Productos!$A$2:$A1001,Productos!Q$2:Q1001,"")*$G626,"")</f>
        <v/>
      </c>
      <c r="Y626" s="179" t="str">
        <f t="array" ref="Y626">IF($F626&lt;&gt;"",XLOOKUP($F626,Productos!$A:$A,Productos!R:R,"Revisar"),"")</f>
        <v/>
      </c>
      <c r="Z626" s="179" t="str">
        <f t="array" ref="Z626">IF($F626&lt;&gt;"", XLOOKUP($F626,Productos!$A$2:$A1001,Productos!S$2:S1001,"")*$G626,"")</f>
        <v/>
      </c>
      <c r="AA626" s="179" t="str">
        <f t="array" ref="AA626">IF($F626&lt;&gt;"",XLOOKUP($F626,Productos!$A:$A,Productos!T:T,"Revisar"),"")</f>
        <v/>
      </c>
      <c r="AB626" s="179" t="str">
        <f t="array" ref="AB626">IF($F626&lt;&gt;"", XLOOKUP($F626,Productos!$A$2:$A1001,Productos!U$2:U1001,"")*$G626,"")</f>
        <v/>
      </c>
      <c r="AC626" s="179" t="str">
        <f t="array" ref="AC626">IF($F626&lt;&gt;"",XLOOKUP($F626,Productos!$A:$A,Productos!V:V,"Revisar"),"")</f>
        <v/>
      </c>
      <c r="AD626" s="179" t="str">
        <f t="array" ref="AD626">IF($F626&lt;&gt;"", XLOOKUP($F626,Productos!$A$2:$A1001,Productos!W$2:W1001,"")*$G626,"")</f>
        <v/>
      </c>
      <c r="AE626" s="179" t="str">
        <f t="array" ref="AE626">IF($F626&lt;&gt;"",XLOOKUP($F626,Productos!$A:$A,Productos!X:X,"Revisar"),"")</f>
        <v/>
      </c>
      <c r="AF626" s="179" t="str">
        <f t="array" ref="AF626">IF($F626&lt;&gt;"", XLOOKUP($F626,Productos!$A$2:$A1001,Productos!Y$2:Y1001,"")*$G626,"")</f>
        <v/>
      </c>
      <c r="AG626" s="179" t="str">
        <f t="array" ref="AG626">IF($F626&lt;&gt;"",XLOOKUP($F626,Productos!$A:$A,Productos!Z:Z,"Revisar"),"")</f>
        <v/>
      </c>
      <c r="AH626" s="179" t="str">
        <f t="array" ref="AH626">IF($F626&lt;&gt;"", XLOOKUP($F626,Productos!$A$2:$A1001,Productos!AA$2:AA1001,"")*$G626,"")</f>
        <v/>
      </c>
      <c r="AI626" s="179" t="str">
        <f t="array" ref="AI626">IF($F626&lt;&gt;"",XLOOKUP($F626,Productos!$A:$A,Productos!AB:AB,"Revisar"),"")</f>
        <v/>
      </c>
      <c r="AJ626" s="179" t="str">
        <f t="array" ref="AJ626">IF($F626&lt;&gt;"", XLOOKUP($F626,Productos!$A$2:$A1001,Productos!AC$2:AC1001,"")*$G626,"")</f>
        <v/>
      </c>
      <c r="AK626" s="179" t="str">
        <f t="array" ref="AK626">IF($F626&lt;&gt;"",XLOOKUP($F626,Productos!$A:$A,Productos!AD:AD,"Revisar"),"")</f>
        <v/>
      </c>
      <c r="AL626" s="179" t="str">
        <f t="array" ref="AL626">IF($F626&lt;&gt;"", XLOOKUP($F626,Productos!$A$2:$A1001,Productos!AE$2:AE1001,"")*$G626,"")</f>
        <v/>
      </c>
      <c r="AM626" s="179" t="str">
        <f t="array" ref="AM626">IF($F626&lt;&gt;"",XLOOKUP($F626,Productos!$A:$A,Productos!AF:AF,"Revisar"),"")</f>
        <v/>
      </c>
      <c r="AN626" s="179" t="str">
        <f t="array" ref="AN626">IF($F626&lt;&gt;"", XLOOKUP($F626,Productos!$A$2:$A1001,Productos!AG$2:AG1001,"")*$G626,"")</f>
        <v/>
      </c>
      <c r="AO626" s="179" t="str">
        <f t="array" ref="AO626">IF($F626&lt;&gt;"",XLOOKUP($F626,Productos!$A:$A,Productos!AH:AH,"Revisar"),"")</f>
        <v/>
      </c>
      <c r="AP626" s="179" t="str">
        <f t="array" ref="AP626">IF($F626&lt;&gt;"", XLOOKUP($F626,Productos!$A$2:$A1001,Productos!AI$2:AI1001,"")*$G626,"")</f>
        <v/>
      </c>
      <c r="AQ626" s="179" t="str">
        <f t="array" ref="AQ626">IF($F626&lt;&gt;"",XLOOKUP($F626,Productos!$A:$A,Productos!AJ:AJ,"Revisar"),"")</f>
        <v/>
      </c>
      <c r="AR626" s="179" t="str">
        <f t="array" ref="AR626">IF($F626&lt;&gt;"", XLOOKUP($F626,Productos!$A$2:$A1001,Productos!AK$2:AK1001,"")*$G626,"")</f>
        <v/>
      </c>
      <c r="AS626" s="179" t="str">
        <f t="array" ref="AS626">IF($F626&lt;&gt;"",XLOOKUP($F626,Productos!$A:$A,Productos!AL:AL,"Revisar"),"")</f>
        <v/>
      </c>
      <c r="AT626" s="179" t="str">
        <f t="array" ref="AT626">IF($F626&lt;&gt;"", XLOOKUP($F626,Productos!$A$2:$A1001,Productos!AM$2:AM1001,"")*$G626,"")</f>
        <v/>
      </c>
      <c r="AU626" s="179" t="str">
        <f t="array" ref="AU626">IF($F626&lt;&gt;"",XLOOKUP($F626,Productos!$A:$A,Productos!AN:AN,"Revisar"),"")</f>
        <v/>
      </c>
      <c r="AV626" s="179" t="str">
        <f t="array" ref="AV626">IF($F626&lt;&gt;"", XLOOKUP($F626,Productos!$A$2:$A1001,Productos!AO$2:AO1001,"")*$G626,"")</f>
        <v/>
      </c>
      <c r="AW626" s="179" t="str">
        <f t="array" ref="AW626">IF($F626&lt;&gt;"",XLOOKUP($F626,Productos!$A:$A,Productos!AP:AP,"Revisar"),"")</f>
        <v/>
      </c>
      <c r="AX626" s="179" t="str">
        <f t="array" ref="AX626">IF($F626&lt;&gt;"", XLOOKUP($F626,Productos!$A$2:$A1001,Productos!AQ$2:AQ1001,"")*$G626,"")</f>
        <v/>
      </c>
      <c r="AY626" s="179" t="str">
        <f t="array" ref="AY626">IF($F626&lt;&gt;"",XLOOKUP($F626,Productos!$A:$A,Productos!AR:AR,"Revisar"),"")</f>
        <v/>
      </c>
      <c r="AZ626" s="179" t="str">
        <f t="array" ref="AZ626">IF($F626&lt;&gt;"", XLOOKUP($F626,Productos!$A$2:$A1001,Productos!AS$2:AS1001,"")*$G626,"")</f>
        <v/>
      </c>
      <c r="BA626" s="179" t="str">
        <f t="array" ref="BA626">IF($F626&lt;&gt;"",XLOOKUP($F626,Productos!$A:$A,Productos!AT:AT,"Revisar"),"")</f>
        <v/>
      </c>
      <c r="BB626" s="179" t="str">
        <f t="array" ref="BB626">IF($F626&lt;&gt;"", XLOOKUP($F626,Productos!$A$2:$A1001,Productos!AU$2:AU1001,"")*$G626,"")</f>
        <v/>
      </c>
      <c r="BC626" s="179" t="str">
        <f t="array" ref="BC626">IF($F626&lt;&gt;"",XLOOKUP($F626,Productos!$A:$A,Productos!AV:AV,"Revisar"),"")</f>
        <v/>
      </c>
      <c r="BD626" s="179" t="str">
        <f t="array" ref="BD626">IF($F626&lt;&gt;"", XLOOKUP($F626,Productos!$A$2:$A1001,Productos!AW$2:AW1001,"")*$G626,"")</f>
        <v/>
      </c>
      <c r="BE626" s="179" t="str">
        <f t="array" ref="BE626">IF($F626&lt;&gt;"",XLOOKUP($F626,Productos!$A:$A,Productos!AX:AX,"Revisar"),"")</f>
        <v/>
      </c>
      <c r="BF626" s="179" t="str">
        <f t="array" ref="BF626">IF($F626&lt;&gt;"", XLOOKUP($F626,Productos!$A$2:$A1001,Productos!AY$2:AY1001,"")*$G626,"")</f>
        <v/>
      </c>
      <c r="BG626" s="179" t="str">
        <f t="array" ref="BG626">IF($F626&lt;&gt;"",XLOOKUP($F626,Productos!$A:$A,Productos!AZ:AZ,"Revisar"),"")</f>
        <v/>
      </c>
      <c r="BH626" s="179" t="str">
        <f t="array" ref="BH626">IF($F626&lt;&gt;"", XLOOKUP($F626,Productos!$A$2:$A1001,Productos!BA$2:BA1001,"")*$G626,"")</f>
        <v/>
      </c>
      <c r="BI626" s="179" t="str">
        <f t="array" ref="BI626">IF($F626&lt;&gt;"",XLOOKUP($F626,Productos!$A:$A,Productos!BB:BB,"Revisar"),"")</f>
        <v/>
      </c>
      <c r="BJ626" s="179" t="str">
        <f t="array" ref="BJ626">IF($F626&lt;&gt;"", XLOOKUP($F626,Productos!$A$2:$A1001,Productos!BC$2:BC1001,"")*$G626,"")</f>
        <v/>
      </c>
      <c r="BK626" s="179" t="str">
        <f t="array" ref="BK626">IF($F626&lt;&gt;"",XLOOKUP($F626,Productos!$A:$A,Productos!BD:BD,"Revisar"),"")</f>
        <v/>
      </c>
      <c r="BL626" s="179" t="str">
        <f t="array" ref="BL626">IF($F626&lt;&gt;"", XLOOKUP($F626,Productos!$A$2:$A1001,Productos!BE$2:BE1001,"")*$G626,"")</f>
        <v/>
      </c>
      <c r="BM626" s="179" t="str">
        <f t="array" ref="BM626">IF($F626&lt;&gt;"",XLOOKUP($F626,Productos!$A:$A,Productos!BF:BF,"Revisar"),"")</f>
        <v/>
      </c>
      <c r="BN626" s="179" t="str">
        <f t="array" ref="BN626">IF($F626&lt;&gt;"", XLOOKUP($F626,Productos!$A$2:$A1001,Productos!BG$2:BG1001,"")*$G626,"")</f>
        <v/>
      </c>
      <c r="BO626" s="179" t="str">
        <f t="array" ref="BO626">IF($F626&lt;&gt;"",XLOOKUP($F626,Productos!$A:$A,Productos!BH:BH,"Revisar"),"")</f>
        <v/>
      </c>
      <c r="BP626" s="179" t="str">
        <f t="array" ref="BP626">IF($F626&lt;&gt;"", XLOOKUP($F626,Productos!$A$2:$A1001,Productos!BI$2:BI1001,"")*$G626,"")</f>
        <v/>
      </c>
      <c r="BQ626" s="179" t="str">
        <f t="array" ref="BQ626">IF($F626&lt;&gt;"",XLOOKUP($F626,Productos!$A:$A,Productos!BJ:BJ,"Revisar"),"")</f>
        <v/>
      </c>
      <c r="BR626" s="179" t="str">
        <f t="array" ref="BR626">IF($F626&lt;&gt;"", XLOOKUP($F626,Productos!$A$2:$A1001,Productos!BK$2:BK1001,"")*$G626,"")</f>
        <v/>
      </c>
      <c r="BS626" s="179" t="str">
        <f t="array" ref="BS626">IF($F626&lt;&gt;"",XLOOKUP($F626,Productos!$A:$A,Productos!BL:BL,"Revisar"),"")</f>
        <v/>
      </c>
      <c r="BT626" s="179" t="str">
        <f t="array" ref="BT626">IF($F626&lt;&gt;"", XLOOKUP($F626,Productos!$A$2:$A1001,Productos!BM$2:BM1001,"")*$G626,"")</f>
        <v/>
      </c>
      <c r="BU626" s="179" t="str">
        <f t="array" ref="BU626">IF($F626&lt;&gt;"",XLOOKUP($F626,Productos!$A:$A,Productos!BN:BN,"Revisar"),"")</f>
        <v/>
      </c>
      <c r="BV626" s="179" t="str">
        <f t="array" ref="BV626">IF($F626&lt;&gt;"", XLOOKUP($F626,Productos!$A$2:$A1001,Productos!BO$2:BO1001,"")*$G626,"")</f>
        <v/>
      </c>
      <c r="BW626" s="179" t="str">
        <f t="array" ref="BW626">IF($F626&lt;&gt;"",XLOOKUP($F626,Productos!$A:$A,Productos!BP:BP,"Revisar"),"")</f>
        <v/>
      </c>
      <c r="BX626" s="179" t="str">
        <f t="array" ref="BX626">IF($F626&lt;&gt;"", XLOOKUP($F626,Productos!$A$2:$A1001,Productos!BQ$2:BQ1001,"")*$G626,"")</f>
        <v/>
      </c>
      <c r="BY626" s="179" t="str">
        <f t="array" ref="BY626">IF($F626&lt;&gt;"",XLOOKUP($F626,Productos!$A:$A,Productos!BR:BR,"Revisar"),"")</f>
        <v/>
      </c>
      <c r="BZ626" s="179" t="str">
        <f t="array" ref="BZ626">IF($F626&lt;&gt;"", XLOOKUP($F626,Productos!$A$2:$A1001,Productos!BS$2:BS1001,"")*$G626,"")</f>
        <v/>
      </c>
    </row>
    <row r="627">
      <c r="A627" s="188"/>
      <c r="B627" s="189"/>
      <c r="C627" s="190"/>
      <c r="D627" s="190"/>
      <c r="E627" s="191"/>
      <c r="F627" s="186"/>
      <c r="G627" s="192"/>
      <c r="H627" s="9"/>
      <c r="I627" s="179" t="str">
        <f t="array" ref="I627">IF($F627&lt;&gt;"",XLOOKUP($F627,Productos!$A:$A,Productos!B:B,"Revisar"),"")</f>
        <v/>
      </c>
      <c r="J627" s="179" t="str">
        <f t="array" ref="J627">IF($F627&lt;&gt;"", XLOOKUP($F627,Productos!$A$2:$A1001,Productos!C$2:C1001,"")*$G627,"")</f>
        <v/>
      </c>
      <c r="K627" s="179" t="str">
        <f t="array" ref="K627">IF($F627&lt;&gt;"",XLOOKUP($F627,Productos!$A:$A,Productos!D:D,"Revisar"),"")</f>
        <v/>
      </c>
      <c r="L627" s="179" t="str">
        <f t="array" ref="L627">IF($F627&lt;&gt;"", XLOOKUP($F627,Productos!$A$2:$A1001,Productos!E$2:E1001,"")*$G627,"")</f>
        <v/>
      </c>
      <c r="M627" s="179" t="str">
        <f t="array" ref="M627">IF($F627&lt;&gt;"",XLOOKUP($F627,Productos!$A:$A,Productos!F:F,"Revisar"),"")</f>
        <v/>
      </c>
      <c r="N627" s="179" t="str">
        <f t="array" ref="N627">IF($F627&lt;&gt;"", XLOOKUP($F627,Productos!$A$2:$A1001,Productos!G$2:G1001,"")*$G627,"")</f>
        <v/>
      </c>
      <c r="O627" s="179" t="str">
        <f t="array" ref="O627">IF($F627&lt;&gt;"",XLOOKUP($F627,Productos!$A:$A,Productos!H:H,"Revisar"),"")</f>
        <v/>
      </c>
      <c r="P627" s="179" t="str">
        <f t="array" ref="P627">IF($F627&lt;&gt;"", XLOOKUP($F627,Productos!$A$2:$A1001,Productos!I$2:I1001,"")*$G627,"")</f>
        <v/>
      </c>
      <c r="Q627" s="179" t="str">
        <f t="array" ref="Q627">IF($F627&lt;&gt;"",XLOOKUP($F627,Productos!$A:$A,Productos!J:J,"Revisar"),"")</f>
        <v/>
      </c>
      <c r="R627" s="179" t="str">
        <f t="array" ref="R627">IF($F627&lt;&gt;"", XLOOKUP($F627,Productos!$A$2:$A1001,Productos!K$2:K1001,"")*$G627,"")</f>
        <v/>
      </c>
      <c r="S627" s="179" t="str">
        <f t="array" ref="S627">IF($F627&lt;&gt;"",XLOOKUP($F627,Productos!$A:$A,Productos!L:L,"Revisar"),"")</f>
        <v/>
      </c>
      <c r="T627" s="179" t="str">
        <f t="array" ref="T627">IF($F627&lt;&gt;"", XLOOKUP($F627,Productos!$A$2:$A1001,Productos!M$2:M1001,"")*$G627,"")</f>
        <v/>
      </c>
      <c r="U627" s="179" t="str">
        <f t="array" ref="U627">IF($F627&lt;&gt;"",XLOOKUP($F627,Productos!$A:$A,Productos!N:N,"Revisar"),"")</f>
        <v/>
      </c>
      <c r="V627" s="179" t="str">
        <f t="array" ref="V627">IF($F627&lt;&gt;"", XLOOKUP($F627,Productos!$A$2:$A1001,Productos!O$2:O1001,"")*$G627,"")</f>
        <v/>
      </c>
      <c r="W627" s="179" t="str">
        <f t="array" ref="W627">IF($F627&lt;&gt;"",XLOOKUP($F627,Productos!$A:$A,Productos!P:P,"Revisar"),"")</f>
        <v/>
      </c>
      <c r="X627" s="179" t="str">
        <f t="array" ref="X627">IF($F627&lt;&gt;"", XLOOKUP($F627,Productos!$A$2:$A1001,Productos!Q$2:Q1001,"")*$G627,"")</f>
        <v/>
      </c>
      <c r="Y627" s="179" t="str">
        <f t="array" ref="Y627">IF($F627&lt;&gt;"",XLOOKUP($F627,Productos!$A:$A,Productos!R:R,"Revisar"),"")</f>
        <v/>
      </c>
      <c r="Z627" s="179" t="str">
        <f t="array" ref="Z627">IF($F627&lt;&gt;"", XLOOKUP($F627,Productos!$A$2:$A1001,Productos!S$2:S1001,"")*$G627,"")</f>
        <v/>
      </c>
      <c r="AA627" s="179" t="str">
        <f t="array" ref="AA627">IF($F627&lt;&gt;"",XLOOKUP($F627,Productos!$A:$A,Productos!T:T,"Revisar"),"")</f>
        <v/>
      </c>
      <c r="AB627" s="179" t="str">
        <f t="array" ref="AB627">IF($F627&lt;&gt;"", XLOOKUP($F627,Productos!$A$2:$A1001,Productos!U$2:U1001,"")*$G627,"")</f>
        <v/>
      </c>
      <c r="AC627" s="179" t="str">
        <f t="array" ref="AC627">IF($F627&lt;&gt;"",XLOOKUP($F627,Productos!$A:$A,Productos!V:V,"Revisar"),"")</f>
        <v/>
      </c>
      <c r="AD627" s="179" t="str">
        <f t="array" ref="AD627">IF($F627&lt;&gt;"", XLOOKUP($F627,Productos!$A$2:$A1001,Productos!W$2:W1001,"")*$G627,"")</f>
        <v/>
      </c>
      <c r="AE627" s="179" t="str">
        <f t="array" ref="AE627">IF($F627&lt;&gt;"",XLOOKUP($F627,Productos!$A:$A,Productos!X:X,"Revisar"),"")</f>
        <v/>
      </c>
      <c r="AF627" s="179" t="str">
        <f t="array" ref="AF627">IF($F627&lt;&gt;"", XLOOKUP($F627,Productos!$A$2:$A1001,Productos!Y$2:Y1001,"")*$G627,"")</f>
        <v/>
      </c>
      <c r="AG627" s="179" t="str">
        <f t="array" ref="AG627">IF($F627&lt;&gt;"",XLOOKUP($F627,Productos!$A:$A,Productos!Z:Z,"Revisar"),"")</f>
        <v/>
      </c>
      <c r="AH627" s="179" t="str">
        <f t="array" ref="AH627">IF($F627&lt;&gt;"", XLOOKUP($F627,Productos!$A$2:$A1001,Productos!AA$2:AA1001,"")*$G627,"")</f>
        <v/>
      </c>
      <c r="AI627" s="179" t="str">
        <f t="array" ref="AI627">IF($F627&lt;&gt;"",XLOOKUP($F627,Productos!$A:$A,Productos!AB:AB,"Revisar"),"")</f>
        <v/>
      </c>
      <c r="AJ627" s="179" t="str">
        <f t="array" ref="AJ627">IF($F627&lt;&gt;"", XLOOKUP($F627,Productos!$A$2:$A1001,Productos!AC$2:AC1001,"")*$G627,"")</f>
        <v/>
      </c>
      <c r="AK627" s="179" t="str">
        <f t="array" ref="AK627">IF($F627&lt;&gt;"",XLOOKUP($F627,Productos!$A:$A,Productos!AD:AD,"Revisar"),"")</f>
        <v/>
      </c>
      <c r="AL627" s="179" t="str">
        <f t="array" ref="AL627">IF($F627&lt;&gt;"", XLOOKUP($F627,Productos!$A$2:$A1001,Productos!AE$2:AE1001,"")*$G627,"")</f>
        <v/>
      </c>
      <c r="AM627" s="179" t="str">
        <f t="array" ref="AM627">IF($F627&lt;&gt;"",XLOOKUP($F627,Productos!$A:$A,Productos!AF:AF,"Revisar"),"")</f>
        <v/>
      </c>
      <c r="AN627" s="179" t="str">
        <f t="array" ref="AN627">IF($F627&lt;&gt;"", XLOOKUP($F627,Productos!$A$2:$A1001,Productos!AG$2:AG1001,"")*$G627,"")</f>
        <v/>
      </c>
      <c r="AO627" s="179" t="str">
        <f t="array" ref="AO627">IF($F627&lt;&gt;"",XLOOKUP($F627,Productos!$A:$A,Productos!AH:AH,"Revisar"),"")</f>
        <v/>
      </c>
      <c r="AP627" s="179" t="str">
        <f t="array" ref="AP627">IF($F627&lt;&gt;"", XLOOKUP($F627,Productos!$A$2:$A1001,Productos!AI$2:AI1001,"")*$G627,"")</f>
        <v/>
      </c>
      <c r="AQ627" s="179" t="str">
        <f t="array" ref="AQ627">IF($F627&lt;&gt;"",XLOOKUP($F627,Productos!$A:$A,Productos!AJ:AJ,"Revisar"),"")</f>
        <v/>
      </c>
      <c r="AR627" s="179" t="str">
        <f t="array" ref="AR627">IF($F627&lt;&gt;"", XLOOKUP($F627,Productos!$A$2:$A1001,Productos!AK$2:AK1001,"")*$G627,"")</f>
        <v/>
      </c>
      <c r="AS627" s="179" t="str">
        <f t="array" ref="AS627">IF($F627&lt;&gt;"",XLOOKUP($F627,Productos!$A:$A,Productos!AL:AL,"Revisar"),"")</f>
        <v/>
      </c>
      <c r="AT627" s="179" t="str">
        <f t="array" ref="AT627">IF($F627&lt;&gt;"", XLOOKUP($F627,Productos!$A$2:$A1001,Productos!AM$2:AM1001,"")*$G627,"")</f>
        <v/>
      </c>
      <c r="AU627" s="179" t="str">
        <f t="array" ref="AU627">IF($F627&lt;&gt;"",XLOOKUP($F627,Productos!$A:$A,Productos!AN:AN,"Revisar"),"")</f>
        <v/>
      </c>
      <c r="AV627" s="179" t="str">
        <f t="array" ref="AV627">IF($F627&lt;&gt;"", XLOOKUP($F627,Productos!$A$2:$A1001,Productos!AO$2:AO1001,"")*$G627,"")</f>
        <v/>
      </c>
      <c r="AW627" s="179" t="str">
        <f t="array" ref="AW627">IF($F627&lt;&gt;"",XLOOKUP($F627,Productos!$A:$A,Productos!AP:AP,"Revisar"),"")</f>
        <v/>
      </c>
      <c r="AX627" s="179" t="str">
        <f t="array" ref="AX627">IF($F627&lt;&gt;"", XLOOKUP($F627,Productos!$A$2:$A1001,Productos!AQ$2:AQ1001,"")*$G627,"")</f>
        <v/>
      </c>
      <c r="AY627" s="179" t="str">
        <f t="array" ref="AY627">IF($F627&lt;&gt;"",XLOOKUP($F627,Productos!$A:$A,Productos!AR:AR,"Revisar"),"")</f>
        <v/>
      </c>
      <c r="AZ627" s="179" t="str">
        <f t="array" ref="AZ627">IF($F627&lt;&gt;"", XLOOKUP($F627,Productos!$A$2:$A1001,Productos!AS$2:AS1001,"")*$G627,"")</f>
        <v/>
      </c>
      <c r="BA627" s="179" t="str">
        <f t="array" ref="BA627">IF($F627&lt;&gt;"",XLOOKUP($F627,Productos!$A:$A,Productos!AT:AT,"Revisar"),"")</f>
        <v/>
      </c>
      <c r="BB627" s="179" t="str">
        <f t="array" ref="BB627">IF($F627&lt;&gt;"", XLOOKUP($F627,Productos!$A$2:$A1001,Productos!AU$2:AU1001,"")*$G627,"")</f>
        <v/>
      </c>
      <c r="BC627" s="179" t="str">
        <f t="array" ref="BC627">IF($F627&lt;&gt;"",XLOOKUP($F627,Productos!$A:$A,Productos!AV:AV,"Revisar"),"")</f>
        <v/>
      </c>
      <c r="BD627" s="179" t="str">
        <f t="array" ref="BD627">IF($F627&lt;&gt;"", XLOOKUP($F627,Productos!$A$2:$A1001,Productos!AW$2:AW1001,"")*$G627,"")</f>
        <v/>
      </c>
      <c r="BE627" s="179" t="str">
        <f t="array" ref="BE627">IF($F627&lt;&gt;"",XLOOKUP($F627,Productos!$A:$A,Productos!AX:AX,"Revisar"),"")</f>
        <v/>
      </c>
      <c r="BF627" s="179" t="str">
        <f t="array" ref="BF627">IF($F627&lt;&gt;"", XLOOKUP($F627,Productos!$A$2:$A1001,Productos!AY$2:AY1001,"")*$G627,"")</f>
        <v/>
      </c>
      <c r="BG627" s="179" t="str">
        <f t="array" ref="BG627">IF($F627&lt;&gt;"",XLOOKUP($F627,Productos!$A:$A,Productos!AZ:AZ,"Revisar"),"")</f>
        <v/>
      </c>
      <c r="BH627" s="179" t="str">
        <f t="array" ref="BH627">IF($F627&lt;&gt;"", XLOOKUP($F627,Productos!$A$2:$A1001,Productos!BA$2:BA1001,"")*$G627,"")</f>
        <v/>
      </c>
      <c r="BI627" s="179" t="str">
        <f t="array" ref="BI627">IF($F627&lt;&gt;"",XLOOKUP($F627,Productos!$A:$A,Productos!BB:BB,"Revisar"),"")</f>
        <v/>
      </c>
      <c r="BJ627" s="179" t="str">
        <f t="array" ref="BJ627">IF($F627&lt;&gt;"", XLOOKUP($F627,Productos!$A$2:$A1001,Productos!BC$2:BC1001,"")*$G627,"")</f>
        <v/>
      </c>
      <c r="BK627" s="179" t="str">
        <f t="array" ref="BK627">IF($F627&lt;&gt;"",XLOOKUP($F627,Productos!$A:$A,Productos!BD:BD,"Revisar"),"")</f>
        <v/>
      </c>
      <c r="BL627" s="179" t="str">
        <f t="array" ref="BL627">IF($F627&lt;&gt;"", XLOOKUP($F627,Productos!$A$2:$A1001,Productos!BE$2:BE1001,"")*$G627,"")</f>
        <v/>
      </c>
      <c r="BM627" s="179" t="str">
        <f t="array" ref="BM627">IF($F627&lt;&gt;"",XLOOKUP($F627,Productos!$A:$A,Productos!BF:BF,"Revisar"),"")</f>
        <v/>
      </c>
      <c r="BN627" s="179" t="str">
        <f t="array" ref="BN627">IF($F627&lt;&gt;"", XLOOKUP($F627,Productos!$A$2:$A1001,Productos!BG$2:BG1001,"")*$G627,"")</f>
        <v/>
      </c>
      <c r="BO627" s="179" t="str">
        <f t="array" ref="BO627">IF($F627&lt;&gt;"",XLOOKUP($F627,Productos!$A:$A,Productos!BH:BH,"Revisar"),"")</f>
        <v/>
      </c>
      <c r="BP627" s="179" t="str">
        <f t="array" ref="BP627">IF($F627&lt;&gt;"", XLOOKUP($F627,Productos!$A$2:$A1001,Productos!BI$2:BI1001,"")*$G627,"")</f>
        <v/>
      </c>
      <c r="BQ627" s="179" t="str">
        <f t="array" ref="BQ627">IF($F627&lt;&gt;"",XLOOKUP($F627,Productos!$A:$A,Productos!BJ:BJ,"Revisar"),"")</f>
        <v/>
      </c>
      <c r="BR627" s="179" t="str">
        <f t="array" ref="BR627">IF($F627&lt;&gt;"", XLOOKUP($F627,Productos!$A$2:$A1001,Productos!BK$2:BK1001,"")*$G627,"")</f>
        <v/>
      </c>
      <c r="BS627" s="179" t="str">
        <f t="array" ref="BS627">IF($F627&lt;&gt;"",XLOOKUP($F627,Productos!$A:$A,Productos!BL:BL,"Revisar"),"")</f>
        <v/>
      </c>
      <c r="BT627" s="179" t="str">
        <f t="array" ref="BT627">IF($F627&lt;&gt;"", XLOOKUP($F627,Productos!$A$2:$A1001,Productos!BM$2:BM1001,"")*$G627,"")</f>
        <v/>
      </c>
      <c r="BU627" s="179" t="str">
        <f t="array" ref="BU627">IF($F627&lt;&gt;"",XLOOKUP($F627,Productos!$A:$A,Productos!BN:BN,"Revisar"),"")</f>
        <v/>
      </c>
      <c r="BV627" s="179" t="str">
        <f t="array" ref="BV627">IF($F627&lt;&gt;"", XLOOKUP($F627,Productos!$A$2:$A1001,Productos!BO$2:BO1001,"")*$G627,"")</f>
        <v/>
      </c>
      <c r="BW627" s="179" t="str">
        <f t="array" ref="BW627">IF($F627&lt;&gt;"",XLOOKUP($F627,Productos!$A:$A,Productos!BP:BP,"Revisar"),"")</f>
        <v/>
      </c>
      <c r="BX627" s="179" t="str">
        <f t="array" ref="BX627">IF($F627&lt;&gt;"", XLOOKUP($F627,Productos!$A$2:$A1001,Productos!BQ$2:BQ1001,"")*$G627,"")</f>
        <v/>
      </c>
      <c r="BY627" s="179" t="str">
        <f t="array" ref="BY627">IF($F627&lt;&gt;"",XLOOKUP($F627,Productos!$A:$A,Productos!BR:BR,"Revisar"),"")</f>
        <v/>
      </c>
      <c r="BZ627" s="179" t="str">
        <f t="array" ref="BZ627">IF($F627&lt;&gt;"", XLOOKUP($F627,Productos!$A$2:$A1001,Productos!BS$2:BS1001,"")*$G627,"")</f>
        <v/>
      </c>
    </row>
    <row r="628">
      <c r="A628" s="188"/>
      <c r="B628" s="189"/>
      <c r="C628" s="190"/>
      <c r="D628" s="190"/>
      <c r="E628" s="191"/>
      <c r="F628" s="186"/>
      <c r="G628" s="192"/>
      <c r="H628" s="9"/>
      <c r="I628" s="179" t="str">
        <f t="array" ref="I628">IF($F628&lt;&gt;"",XLOOKUP($F628,Productos!$A:$A,Productos!B:B,"Revisar"),"")</f>
        <v/>
      </c>
      <c r="J628" s="179" t="str">
        <f t="array" ref="J628">IF($F628&lt;&gt;"", XLOOKUP($F628,Productos!$A$2:$A1001,Productos!C$2:C1001,"")*$G628,"")</f>
        <v/>
      </c>
      <c r="K628" s="179" t="str">
        <f t="array" ref="K628">IF($F628&lt;&gt;"",XLOOKUP($F628,Productos!$A:$A,Productos!D:D,"Revisar"),"")</f>
        <v/>
      </c>
      <c r="L628" s="179" t="str">
        <f t="array" ref="L628">IF($F628&lt;&gt;"", XLOOKUP($F628,Productos!$A$2:$A1001,Productos!E$2:E1001,"")*$G628,"")</f>
        <v/>
      </c>
      <c r="M628" s="179" t="str">
        <f t="array" ref="M628">IF($F628&lt;&gt;"",XLOOKUP($F628,Productos!$A:$A,Productos!F:F,"Revisar"),"")</f>
        <v/>
      </c>
      <c r="N628" s="179" t="str">
        <f t="array" ref="N628">IF($F628&lt;&gt;"", XLOOKUP($F628,Productos!$A$2:$A1001,Productos!G$2:G1001,"")*$G628,"")</f>
        <v/>
      </c>
      <c r="O628" s="179" t="str">
        <f t="array" ref="O628">IF($F628&lt;&gt;"",XLOOKUP($F628,Productos!$A:$A,Productos!H:H,"Revisar"),"")</f>
        <v/>
      </c>
      <c r="P628" s="179" t="str">
        <f t="array" ref="P628">IF($F628&lt;&gt;"", XLOOKUP($F628,Productos!$A$2:$A1001,Productos!I$2:I1001,"")*$G628,"")</f>
        <v/>
      </c>
      <c r="Q628" s="179" t="str">
        <f t="array" ref="Q628">IF($F628&lt;&gt;"",XLOOKUP($F628,Productos!$A:$A,Productos!J:J,"Revisar"),"")</f>
        <v/>
      </c>
      <c r="R628" s="179" t="str">
        <f t="array" ref="R628">IF($F628&lt;&gt;"", XLOOKUP($F628,Productos!$A$2:$A1001,Productos!K$2:K1001,"")*$G628,"")</f>
        <v/>
      </c>
      <c r="S628" s="179" t="str">
        <f t="array" ref="S628">IF($F628&lt;&gt;"",XLOOKUP($F628,Productos!$A:$A,Productos!L:L,"Revisar"),"")</f>
        <v/>
      </c>
      <c r="T628" s="179" t="str">
        <f t="array" ref="T628">IF($F628&lt;&gt;"", XLOOKUP($F628,Productos!$A$2:$A1001,Productos!M$2:M1001,"")*$G628,"")</f>
        <v/>
      </c>
      <c r="U628" s="179" t="str">
        <f t="array" ref="U628">IF($F628&lt;&gt;"",XLOOKUP($F628,Productos!$A:$A,Productos!N:N,"Revisar"),"")</f>
        <v/>
      </c>
      <c r="V628" s="179" t="str">
        <f t="array" ref="V628">IF($F628&lt;&gt;"", XLOOKUP($F628,Productos!$A$2:$A1001,Productos!O$2:O1001,"")*$G628,"")</f>
        <v/>
      </c>
      <c r="W628" s="179" t="str">
        <f t="array" ref="W628">IF($F628&lt;&gt;"",XLOOKUP($F628,Productos!$A:$A,Productos!P:P,"Revisar"),"")</f>
        <v/>
      </c>
      <c r="X628" s="179" t="str">
        <f t="array" ref="X628">IF($F628&lt;&gt;"", XLOOKUP($F628,Productos!$A$2:$A1001,Productos!Q$2:Q1001,"")*$G628,"")</f>
        <v/>
      </c>
      <c r="Y628" s="179" t="str">
        <f t="array" ref="Y628">IF($F628&lt;&gt;"",XLOOKUP($F628,Productos!$A:$A,Productos!R:R,"Revisar"),"")</f>
        <v/>
      </c>
      <c r="Z628" s="179" t="str">
        <f t="array" ref="Z628">IF($F628&lt;&gt;"", XLOOKUP($F628,Productos!$A$2:$A1001,Productos!S$2:S1001,"")*$G628,"")</f>
        <v/>
      </c>
      <c r="AA628" s="179" t="str">
        <f t="array" ref="AA628">IF($F628&lt;&gt;"",XLOOKUP($F628,Productos!$A:$A,Productos!T:T,"Revisar"),"")</f>
        <v/>
      </c>
      <c r="AB628" s="179" t="str">
        <f t="array" ref="AB628">IF($F628&lt;&gt;"", XLOOKUP($F628,Productos!$A$2:$A1001,Productos!U$2:U1001,"")*$G628,"")</f>
        <v/>
      </c>
      <c r="AC628" s="179" t="str">
        <f t="array" ref="AC628">IF($F628&lt;&gt;"",XLOOKUP($F628,Productos!$A:$A,Productos!V:V,"Revisar"),"")</f>
        <v/>
      </c>
      <c r="AD628" s="179" t="str">
        <f t="array" ref="AD628">IF($F628&lt;&gt;"", XLOOKUP($F628,Productos!$A$2:$A1001,Productos!W$2:W1001,"")*$G628,"")</f>
        <v/>
      </c>
      <c r="AE628" s="179" t="str">
        <f t="array" ref="AE628">IF($F628&lt;&gt;"",XLOOKUP($F628,Productos!$A:$A,Productos!X:X,"Revisar"),"")</f>
        <v/>
      </c>
      <c r="AF628" s="179" t="str">
        <f t="array" ref="AF628">IF($F628&lt;&gt;"", XLOOKUP($F628,Productos!$A$2:$A1001,Productos!Y$2:Y1001,"")*$G628,"")</f>
        <v/>
      </c>
      <c r="AG628" s="179" t="str">
        <f t="array" ref="AG628">IF($F628&lt;&gt;"",XLOOKUP($F628,Productos!$A:$A,Productos!Z:Z,"Revisar"),"")</f>
        <v/>
      </c>
      <c r="AH628" s="179" t="str">
        <f t="array" ref="AH628">IF($F628&lt;&gt;"", XLOOKUP($F628,Productos!$A$2:$A1001,Productos!AA$2:AA1001,"")*$G628,"")</f>
        <v/>
      </c>
      <c r="AI628" s="179" t="str">
        <f t="array" ref="AI628">IF($F628&lt;&gt;"",XLOOKUP($F628,Productos!$A:$A,Productos!AB:AB,"Revisar"),"")</f>
        <v/>
      </c>
      <c r="AJ628" s="179" t="str">
        <f t="array" ref="AJ628">IF($F628&lt;&gt;"", XLOOKUP($F628,Productos!$A$2:$A1001,Productos!AC$2:AC1001,"")*$G628,"")</f>
        <v/>
      </c>
      <c r="AK628" s="179" t="str">
        <f t="array" ref="AK628">IF($F628&lt;&gt;"",XLOOKUP($F628,Productos!$A:$A,Productos!AD:AD,"Revisar"),"")</f>
        <v/>
      </c>
      <c r="AL628" s="179" t="str">
        <f t="array" ref="AL628">IF($F628&lt;&gt;"", XLOOKUP($F628,Productos!$A$2:$A1001,Productos!AE$2:AE1001,"")*$G628,"")</f>
        <v/>
      </c>
      <c r="AM628" s="179" t="str">
        <f t="array" ref="AM628">IF($F628&lt;&gt;"",XLOOKUP($F628,Productos!$A:$A,Productos!AF:AF,"Revisar"),"")</f>
        <v/>
      </c>
      <c r="AN628" s="179" t="str">
        <f t="array" ref="AN628">IF($F628&lt;&gt;"", XLOOKUP($F628,Productos!$A$2:$A1001,Productos!AG$2:AG1001,"")*$G628,"")</f>
        <v/>
      </c>
      <c r="AO628" s="179" t="str">
        <f t="array" ref="AO628">IF($F628&lt;&gt;"",XLOOKUP($F628,Productos!$A:$A,Productos!AH:AH,"Revisar"),"")</f>
        <v/>
      </c>
      <c r="AP628" s="179" t="str">
        <f t="array" ref="AP628">IF($F628&lt;&gt;"", XLOOKUP($F628,Productos!$A$2:$A1001,Productos!AI$2:AI1001,"")*$G628,"")</f>
        <v/>
      </c>
      <c r="AQ628" s="179" t="str">
        <f t="array" ref="AQ628">IF($F628&lt;&gt;"",XLOOKUP($F628,Productos!$A:$A,Productos!AJ:AJ,"Revisar"),"")</f>
        <v/>
      </c>
      <c r="AR628" s="179" t="str">
        <f t="array" ref="AR628">IF($F628&lt;&gt;"", XLOOKUP($F628,Productos!$A$2:$A1001,Productos!AK$2:AK1001,"")*$G628,"")</f>
        <v/>
      </c>
      <c r="AS628" s="179" t="str">
        <f t="array" ref="AS628">IF($F628&lt;&gt;"",XLOOKUP($F628,Productos!$A:$A,Productos!AL:AL,"Revisar"),"")</f>
        <v/>
      </c>
      <c r="AT628" s="179" t="str">
        <f t="array" ref="AT628">IF($F628&lt;&gt;"", XLOOKUP($F628,Productos!$A$2:$A1001,Productos!AM$2:AM1001,"")*$G628,"")</f>
        <v/>
      </c>
      <c r="AU628" s="179" t="str">
        <f t="array" ref="AU628">IF($F628&lt;&gt;"",XLOOKUP($F628,Productos!$A:$A,Productos!AN:AN,"Revisar"),"")</f>
        <v/>
      </c>
      <c r="AV628" s="179" t="str">
        <f t="array" ref="AV628">IF($F628&lt;&gt;"", XLOOKUP($F628,Productos!$A$2:$A1001,Productos!AO$2:AO1001,"")*$G628,"")</f>
        <v/>
      </c>
      <c r="AW628" s="179" t="str">
        <f t="array" ref="AW628">IF($F628&lt;&gt;"",XLOOKUP($F628,Productos!$A:$A,Productos!AP:AP,"Revisar"),"")</f>
        <v/>
      </c>
      <c r="AX628" s="179" t="str">
        <f t="array" ref="AX628">IF($F628&lt;&gt;"", XLOOKUP($F628,Productos!$A$2:$A1001,Productos!AQ$2:AQ1001,"")*$G628,"")</f>
        <v/>
      </c>
      <c r="AY628" s="179" t="str">
        <f t="array" ref="AY628">IF($F628&lt;&gt;"",XLOOKUP($F628,Productos!$A:$A,Productos!AR:AR,"Revisar"),"")</f>
        <v/>
      </c>
      <c r="AZ628" s="179" t="str">
        <f t="array" ref="AZ628">IF($F628&lt;&gt;"", XLOOKUP($F628,Productos!$A$2:$A1001,Productos!AS$2:AS1001,"")*$G628,"")</f>
        <v/>
      </c>
      <c r="BA628" s="179" t="str">
        <f t="array" ref="BA628">IF($F628&lt;&gt;"",XLOOKUP($F628,Productos!$A:$A,Productos!AT:AT,"Revisar"),"")</f>
        <v/>
      </c>
      <c r="BB628" s="179" t="str">
        <f t="array" ref="BB628">IF($F628&lt;&gt;"", XLOOKUP($F628,Productos!$A$2:$A1001,Productos!AU$2:AU1001,"")*$G628,"")</f>
        <v/>
      </c>
      <c r="BC628" s="179" t="str">
        <f t="array" ref="BC628">IF($F628&lt;&gt;"",XLOOKUP($F628,Productos!$A:$A,Productos!AV:AV,"Revisar"),"")</f>
        <v/>
      </c>
      <c r="BD628" s="179" t="str">
        <f t="array" ref="BD628">IF($F628&lt;&gt;"", XLOOKUP($F628,Productos!$A$2:$A1001,Productos!AW$2:AW1001,"")*$G628,"")</f>
        <v/>
      </c>
      <c r="BE628" s="179" t="str">
        <f t="array" ref="BE628">IF($F628&lt;&gt;"",XLOOKUP($F628,Productos!$A:$A,Productos!AX:AX,"Revisar"),"")</f>
        <v/>
      </c>
      <c r="BF628" s="179" t="str">
        <f t="array" ref="BF628">IF($F628&lt;&gt;"", XLOOKUP($F628,Productos!$A$2:$A1001,Productos!AY$2:AY1001,"")*$G628,"")</f>
        <v/>
      </c>
      <c r="BG628" s="179" t="str">
        <f t="array" ref="BG628">IF($F628&lt;&gt;"",XLOOKUP($F628,Productos!$A:$A,Productos!AZ:AZ,"Revisar"),"")</f>
        <v/>
      </c>
      <c r="BH628" s="179" t="str">
        <f t="array" ref="BH628">IF($F628&lt;&gt;"", XLOOKUP($F628,Productos!$A$2:$A1001,Productos!BA$2:BA1001,"")*$G628,"")</f>
        <v/>
      </c>
      <c r="BI628" s="179" t="str">
        <f t="array" ref="BI628">IF($F628&lt;&gt;"",XLOOKUP($F628,Productos!$A:$A,Productos!BB:BB,"Revisar"),"")</f>
        <v/>
      </c>
      <c r="BJ628" s="179" t="str">
        <f t="array" ref="BJ628">IF($F628&lt;&gt;"", XLOOKUP($F628,Productos!$A$2:$A1001,Productos!BC$2:BC1001,"")*$G628,"")</f>
        <v/>
      </c>
      <c r="BK628" s="179" t="str">
        <f t="array" ref="BK628">IF($F628&lt;&gt;"",XLOOKUP($F628,Productos!$A:$A,Productos!BD:BD,"Revisar"),"")</f>
        <v/>
      </c>
      <c r="BL628" s="179" t="str">
        <f t="array" ref="BL628">IF($F628&lt;&gt;"", XLOOKUP($F628,Productos!$A$2:$A1001,Productos!BE$2:BE1001,"")*$G628,"")</f>
        <v/>
      </c>
      <c r="BM628" s="179" t="str">
        <f t="array" ref="BM628">IF($F628&lt;&gt;"",XLOOKUP($F628,Productos!$A:$A,Productos!BF:BF,"Revisar"),"")</f>
        <v/>
      </c>
      <c r="BN628" s="179" t="str">
        <f t="array" ref="BN628">IF($F628&lt;&gt;"", XLOOKUP($F628,Productos!$A$2:$A1001,Productos!BG$2:BG1001,"")*$G628,"")</f>
        <v/>
      </c>
      <c r="BO628" s="179" t="str">
        <f t="array" ref="BO628">IF($F628&lt;&gt;"",XLOOKUP($F628,Productos!$A:$A,Productos!BH:BH,"Revisar"),"")</f>
        <v/>
      </c>
      <c r="BP628" s="179" t="str">
        <f t="array" ref="BP628">IF($F628&lt;&gt;"", XLOOKUP($F628,Productos!$A$2:$A1001,Productos!BI$2:BI1001,"")*$G628,"")</f>
        <v/>
      </c>
      <c r="BQ628" s="179" t="str">
        <f t="array" ref="BQ628">IF($F628&lt;&gt;"",XLOOKUP($F628,Productos!$A:$A,Productos!BJ:BJ,"Revisar"),"")</f>
        <v/>
      </c>
      <c r="BR628" s="179" t="str">
        <f t="array" ref="BR628">IF($F628&lt;&gt;"", XLOOKUP($F628,Productos!$A$2:$A1001,Productos!BK$2:BK1001,"")*$G628,"")</f>
        <v/>
      </c>
      <c r="BS628" s="179" t="str">
        <f t="array" ref="BS628">IF($F628&lt;&gt;"",XLOOKUP($F628,Productos!$A:$A,Productos!BL:BL,"Revisar"),"")</f>
        <v/>
      </c>
      <c r="BT628" s="179" t="str">
        <f t="array" ref="BT628">IF($F628&lt;&gt;"", XLOOKUP($F628,Productos!$A$2:$A1001,Productos!BM$2:BM1001,"")*$G628,"")</f>
        <v/>
      </c>
      <c r="BU628" s="179" t="str">
        <f t="array" ref="BU628">IF($F628&lt;&gt;"",XLOOKUP($F628,Productos!$A:$A,Productos!BN:BN,"Revisar"),"")</f>
        <v/>
      </c>
      <c r="BV628" s="179" t="str">
        <f t="array" ref="BV628">IF($F628&lt;&gt;"", XLOOKUP($F628,Productos!$A$2:$A1001,Productos!BO$2:BO1001,"")*$G628,"")</f>
        <v/>
      </c>
      <c r="BW628" s="179" t="str">
        <f t="array" ref="BW628">IF($F628&lt;&gt;"",XLOOKUP($F628,Productos!$A:$A,Productos!BP:BP,"Revisar"),"")</f>
        <v/>
      </c>
      <c r="BX628" s="179" t="str">
        <f t="array" ref="BX628">IF($F628&lt;&gt;"", XLOOKUP($F628,Productos!$A$2:$A1001,Productos!BQ$2:BQ1001,"")*$G628,"")</f>
        <v/>
      </c>
      <c r="BY628" s="179" t="str">
        <f t="array" ref="BY628">IF($F628&lt;&gt;"",XLOOKUP($F628,Productos!$A:$A,Productos!BR:BR,"Revisar"),"")</f>
        <v/>
      </c>
      <c r="BZ628" s="179" t="str">
        <f t="array" ref="BZ628">IF($F628&lt;&gt;"", XLOOKUP($F628,Productos!$A$2:$A1001,Productos!BS$2:BS1001,"")*$G628,"")</f>
        <v/>
      </c>
    </row>
    <row r="629">
      <c r="A629" s="188"/>
      <c r="B629" s="189"/>
      <c r="C629" s="190"/>
      <c r="D629" s="190"/>
      <c r="E629" s="191"/>
      <c r="F629" s="186"/>
      <c r="G629" s="192"/>
      <c r="H629" s="9"/>
      <c r="I629" s="179" t="str">
        <f t="array" ref="I629">IF($F629&lt;&gt;"",XLOOKUP($F629,Productos!$A:$A,Productos!B:B,"Revisar"),"")</f>
        <v/>
      </c>
      <c r="J629" s="179" t="str">
        <f t="array" ref="J629">IF($F629&lt;&gt;"", XLOOKUP($F629,Productos!$A$2:$A1001,Productos!C$2:C1001,"")*$G629,"")</f>
        <v/>
      </c>
      <c r="K629" s="179" t="str">
        <f t="array" ref="K629">IF($F629&lt;&gt;"",XLOOKUP($F629,Productos!$A:$A,Productos!D:D,"Revisar"),"")</f>
        <v/>
      </c>
      <c r="L629" s="179" t="str">
        <f t="array" ref="L629">IF($F629&lt;&gt;"", XLOOKUP($F629,Productos!$A$2:$A1001,Productos!E$2:E1001,"")*$G629,"")</f>
        <v/>
      </c>
      <c r="M629" s="179" t="str">
        <f t="array" ref="M629">IF($F629&lt;&gt;"",XLOOKUP($F629,Productos!$A:$A,Productos!F:F,"Revisar"),"")</f>
        <v/>
      </c>
      <c r="N629" s="179" t="str">
        <f t="array" ref="N629">IF($F629&lt;&gt;"", XLOOKUP($F629,Productos!$A$2:$A1001,Productos!G$2:G1001,"")*$G629,"")</f>
        <v/>
      </c>
      <c r="O629" s="179" t="str">
        <f t="array" ref="O629">IF($F629&lt;&gt;"",XLOOKUP($F629,Productos!$A:$A,Productos!H:H,"Revisar"),"")</f>
        <v/>
      </c>
      <c r="P629" s="179" t="str">
        <f t="array" ref="P629">IF($F629&lt;&gt;"", XLOOKUP($F629,Productos!$A$2:$A1001,Productos!I$2:I1001,"")*$G629,"")</f>
        <v/>
      </c>
      <c r="Q629" s="179" t="str">
        <f t="array" ref="Q629">IF($F629&lt;&gt;"",XLOOKUP($F629,Productos!$A:$A,Productos!J:J,"Revisar"),"")</f>
        <v/>
      </c>
      <c r="R629" s="179" t="str">
        <f t="array" ref="R629">IF($F629&lt;&gt;"", XLOOKUP($F629,Productos!$A$2:$A1001,Productos!K$2:K1001,"")*$G629,"")</f>
        <v/>
      </c>
      <c r="S629" s="179" t="str">
        <f t="array" ref="S629">IF($F629&lt;&gt;"",XLOOKUP($F629,Productos!$A:$A,Productos!L:L,"Revisar"),"")</f>
        <v/>
      </c>
      <c r="T629" s="179" t="str">
        <f t="array" ref="T629">IF($F629&lt;&gt;"", XLOOKUP($F629,Productos!$A$2:$A1001,Productos!M$2:M1001,"")*$G629,"")</f>
        <v/>
      </c>
      <c r="U629" s="179" t="str">
        <f t="array" ref="U629">IF($F629&lt;&gt;"",XLOOKUP($F629,Productos!$A:$A,Productos!N:N,"Revisar"),"")</f>
        <v/>
      </c>
      <c r="V629" s="179" t="str">
        <f t="array" ref="V629">IF($F629&lt;&gt;"", XLOOKUP($F629,Productos!$A$2:$A1001,Productos!O$2:O1001,"")*$G629,"")</f>
        <v/>
      </c>
      <c r="W629" s="179" t="str">
        <f t="array" ref="W629">IF($F629&lt;&gt;"",XLOOKUP($F629,Productos!$A:$A,Productos!P:P,"Revisar"),"")</f>
        <v/>
      </c>
      <c r="X629" s="179" t="str">
        <f t="array" ref="X629">IF($F629&lt;&gt;"", XLOOKUP($F629,Productos!$A$2:$A1001,Productos!Q$2:Q1001,"")*$G629,"")</f>
        <v/>
      </c>
      <c r="Y629" s="179" t="str">
        <f t="array" ref="Y629">IF($F629&lt;&gt;"",XLOOKUP($F629,Productos!$A:$A,Productos!R:R,"Revisar"),"")</f>
        <v/>
      </c>
      <c r="Z629" s="179" t="str">
        <f t="array" ref="Z629">IF($F629&lt;&gt;"", XLOOKUP($F629,Productos!$A$2:$A1001,Productos!S$2:S1001,"")*$G629,"")</f>
        <v/>
      </c>
      <c r="AA629" s="179" t="str">
        <f t="array" ref="AA629">IF($F629&lt;&gt;"",XLOOKUP($F629,Productos!$A:$A,Productos!T:T,"Revisar"),"")</f>
        <v/>
      </c>
      <c r="AB629" s="179" t="str">
        <f t="array" ref="AB629">IF($F629&lt;&gt;"", XLOOKUP($F629,Productos!$A$2:$A1001,Productos!U$2:U1001,"")*$G629,"")</f>
        <v/>
      </c>
      <c r="AC629" s="179" t="str">
        <f t="array" ref="AC629">IF($F629&lt;&gt;"",XLOOKUP($F629,Productos!$A:$A,Productos!V:V,"Revisar"),"")</f>
        <v/>
      </c>
      <c r="AD629" s="179" t="str">
        <f t="array" ref="AD629">IF($F629&lt;&gt;"", XLOOKUP($F629,Productos!$A$2:$A1001,Productos!W$2:W1001,"")*$G629,"")</f>
        <v/>
      </c>
      <c r="AE629" s="179" t="str">
        <f t="array" ref="AE629">IF($F629&lt;&gt;"",XLOOKUP($F629,Productos!$A:$A,Productos!X:X,"Revisar"),"")</f>
        <v/>
      </c>
      <c r="AF629" s="179" t="str">
        <f t="array" ref="AF629">IF($F629&lt;&gt;"", XLOOKUP($F629,Productos!$A$2:$A1001,Productos!Y$2:Y1001,"")*$G629,"")</f>
        <v/>
      </c>
      <c r="AG629" s="179" t="str">
        <f t="array" ref="AG629">IF($F629&lt;&gt;"",XLOOKUP($F629,Productos!$A:$A,Productos!Z:Z,"Revisar"),"")</f>
        <v/>
      </c>
      <c r="AH629" s="179" t="str">
        <f t="array" ref="AH629">IF($F629&lt;&gt;"", XLOOKUP($F629,Productos!$A$2:$A1001,Productos!AA$2:AA1001,"")*$G629,"")</f>
        <v/>
      </c>
      <c r="AI629" s="179" t="str">
        <f t="array" ref="AI629">IF($F629&lt;&gt;"",XLOOKUP($F629,Productos!$A:$A,Productos!AB:AB,"Revisar"),"")</f>
        <v/>
      </c>
      <c r="AJ629" s="179" t="str">
        <f t="array" ref="AJ629">IF($F629&lt;&gt;"", XLOOKUP($F629,Productos!$A$2:$A1001,Productos!AC$2:AC1001,"")*$G629,"")</f>
        <v/>
      </c>
      <c r="AK629" s="179" t="str">
        <f t="array" ref="AK629">IF($F629&lt;&gt;"",XLOOKUP($F629,Productos!$A:$A,Productos!AD:AD,"Revisar"),"")</f>
        <v/>
      </c>
      <c r="AL629" s="179" t="str">
        <f t="array" ref="AL629">IF($F629&lt;&gt;"", XLOOKUP($F629,Productos!$A$2:$A1001,Productos!AE$2:AE1001,"")*$G629,"")</f>
        <v/>
      </c>
      <c r="AM629" s="179" t="str">
        <f t="array" ref="AM629">IF($F629&lt;&gt;"",XLOOKUP($F629,Productos!$A:$A,Productos!AF:AF,"Revisar"),"")</f>
        <v/>
      </c>
      <c r="AN629" s="179" t="str">
        <f t="array" ref="AN629">IF($F629&lt;&gt;"", XLOOKUP($F629,Productos!$A$2:$A1001,Productos!AG$2:AG1001,"")*$G629,"")</f>
        <v/>
      </c>
      <c r="AO629" s="179" t="str">
        <f t="array" ref="AO629">IF($F629&lt;&gt;"",XLOOKUP($F629,Productos!$A:$A,Productos!AH:AH,"Revisar"),"")</f>
        <v/>
      </c>
      <c r="AP629" s="179" t="str">
        <f t="array" ref="AP629">IF($F629&lt;&gt;"", XLOOKUP($F629,Productos!$A$2:$A1001,Productos!AI$2:AI1001,"")*$G629,"")</f>
        <v/>
      </c>
      <c r="AQ629" s="179" t="str">
        <f t="array" ref="AQ629">IF($F629&lt;&gt;"",XLOOKUP($F629,Productos!$A:$A,Productos!AJ:AJ,"Revisar"),"")</f>
        <v/>
      </c>
      <c r="AR629" s="179" t="str">
        <f t="array" ref="AR629">IF($F629&lt;&gt;"", XLOOKUP($F629,Productos!$A$2:$A1001,Productos!AK$2:AK1001,"")*$G629,"")</f>
        <v/>
      </c>
      <c r="AS629" s="179" t="str">
        <f t="array" ref="AS629">IF($F629&lt;&gt;"",XLOOKUP($F629,Productos!$A:$A,Productos!AL:AL,"Revisar"),"")</f>
        <v/>
      </c>
      <c r="AT629" s="179" t="str">
        <f t="array" ref="AT629">IF($F629&lt;&gt;"", XLOOKUP($F629,Productos!$A$2:$A1001,Productos!AM$2:AM1001,"")*$G629,"")</f>
        <v/>
      </c>
      <c r="AU629" s="179" t="str">
        <f t="array" ref="AU629">IF($F629&lt;&gt;"",XLOOKUP($F629,Productos!$A:$A,Productos!AN:AN,"Revisar"),"")</f>
        <v/>
      </c>
      <c r="AV629" s="179" t="str">
        <f t="array" ref="AV629">IF($F629&lt;&gt;"", XLOOKUP($F629,Productos!$A$2:$A1001,Productos!AO$2:AO1001,"")*$G629,"")</f>
        <v/>
      </c>
      <c r="AW629" s="179" t="str">
        <f t="array" ref="AW629">IF($F629&lt;&gt;"",XLOOKUP($F629,Productos!$A:$A,Productos!AP:AP,"Revisar"),"")</f>
        <v/>
      </c>
      <c r="AX629" s="179" t="str">
        <f t="array" ref="AX629">IF($F629&lt;&gt;"", XLOOKUP($F629,Productos!$A$2:$A1001,Productos!AQ$2:AQ1001,"")*$G629,"")</f>
        <v/>
      </c>
      <c r="AY629" s="179" t="str">
        <f t="array" ref="AY629">IF($F629&lt;&gt;"",XLOOKUP($F629,Productos!$A:$A,Productos!AR:AR,"Revisar"),"")</f>
        <v/>
      </c>
      <c r="AZ629" s="179" t="str">
        <f t="array" ref="AZ629">IF($F629&lt;&gt;"", XLOOKUP($F629,Productos!$A$2:$A1001,Productos!AS$2:AS1001,"")*$G629,"")</f>
        <v/>
      </c>
      <c r="BA629" s="179" t="str">
        <f t="array" ref="BA629">IF($F629&lt;&gt;"",XLOOKUP($F629,Productos!$A:$A,Productos!AT:AT,"Revisar"),"")</f>
        <v/>
      </c>
      <c r="BB629" s="179" t="str">
        <f t="array" ref="BB629">IF($F629&lt;&gt;"", XLOOKUP($F629,Productos!$A$2:$A1001,Productos!AU$2:AU1001,"")*$G629,"")</f>
        <v/>
      </c>
      <c r="BC629" s="179" t="str">
        <f t="array" ref="BC629">IF($F629&lt;&gt;"",XLOOKUP($F629,Productos!$A:$A,Productos!AV:AV,"Revisar"),"")</f>
        <v/>
      </c>
      <c r="BD629" s="179" t="str">
        <f t="array" ref="BD629">IF($F629&lt;&gt;"", XLOOKUP($F629,Productos!$A$2:$A1001,Productos!AW$2:AW1001,"")*$G629,"")</f>
        <v/>
      </c>
      <c r="BE629" s="179" t="str">
        <f t="array" ref="BE629">IF($F629&lt;&gt;"",XLOOKUP($F629,Productos!$A:$A,Productos!AX:AX,"Revisar"),"")</f>
        <v/>
      </c>
      <c r="BF629" s="179" t="str">
        <f t="array" ref="BF629">IF($F629&lt;&gt;"", XLOOKUP($F629,Productos!$A$2:$A1001,Productos!AY$2:AY1001,"")*$G629,"")</f>
        <v/>
      </c>
      <c r="BG629" s="179" t="str">
        <f t="array" ref="BG629">IF($F629&lt;&gt;"",XLOOKUP($F629,Productos!$A:$A,Productos!AZ:AZ,"Revisar"),"")</f>
        <v/>
      </c>
      <c r="BH629" s="179" t="str">
        <f t="array" ref="BH629">IF($F629&lt;&gt;"", XLOOKUP($F629,Productos!$A$2:$A1001,Productos!BA$2:BA1001,"")*$G629,"")</f>
        <v/>
      </c>
      <c r="BI629" s="179" t="str">
        <f t="array" ref="BI629">IF($F629&lt;&gt;"",XLOOKUP($F629,Productos!$A:$A,Productos!BB:BB,"Revisar"),"")</f>
        <v/>
      </c>
      <c r="BJ629" s="179" t="str">
        <f t="array" ref="BJ629">IF($F629&lt;&gt;"", XLOOKUP($F629,Productos!$A$2:$A1001,Productos!BC$2:BC1001,"")*$G629,"")</f>
        <v/>
      </c>
      <c r="BK629" s="179" t="str">
        <f t="array" ref="BK629">IF($F629&lt;&gt;"",XLOOKUP($F629,Productos!$A:$A,Productos!BD:BD,"Revisar"),"")</f>
        <v/>
      </c>
      <c r="BL629" s="179" t="str">
        <f t="array" ref="BL629">IF($F629&lt;&gt;"", XLOOKUP($F629,Productos!$A$2:$A1001,Productos!BE$2:BE1001,"")*$G629,"")</f>
        <v/>
      </c>
      <c r="BM629" s="179" t="str">
        <f t="array" ref="BM629">IF($F629&lt;&gt;"",XLOOKUP($F629,Productos!$A:$A,Productos!BF:BF,"Revisar"),"")</f>
        <v/>
      </c>
      <c r="BN629" s="179" t="str">
        <f t="array" ref="BN629">IF($F629&lt;&gt;"", XLOOKUP($F629,Productos!$A$2:$A1001,Productos!BG$2:BG1001,"")*$G629,"")</f>
        <v/>
      </c>
      <c r="BO629" s="179" t="str">
        <f t="array" ref="BO629">IF($F629&lt;&gt;"",XLOOKUP($F629,Productos!$A:$A,Productos!BH:BH,"Revisar"),"")</f>
        <v/>
      </c>
      <c r="BP629" s="179" t="str">
        <f t="array" ref="BP629">IF($F629&lt;&gt;"", XLOOKUP($F629,Productos!$A$2:$A1001,Productos!BI$2:BI1001,"")*$G629,"")</f>
        <v/>
      </c>
      <c r="BQ629" s="179" t="str">
        <f t="array" ref="BQ629">IF($F629&lt;&gt;"",XLOOKUP($F629,Productos!$A:$A,Productos!BJ:BJ,"Revisar"),"")</f>
        <v/>
      </c>
      <c r="BR629" s="179" t="str">
        <f t="array" ref="BR629">IF($F629&lt;&gt;"", XLOOKUP($F629,Productos!$A$2:$A1001,Productos!BK$2:BK1001,"")*$G629,"")</f>
        <v/>
      </c>
      <c r="BS629" s="179" t="str">
        <f t="array" ref="BS629">IF($F629&lt;&gt;"",XLOOKUP($F629,Productos!$A:$A,Productos!BL:BL,"Revisar"),"")</f>
        <v/>
      </c>
      <c r="BT629" s="179" t="str">
        <f t="array" ref="BT629">IF($F629&lt;&gt;"", XLOOKUP($F629,Productos!$A$2:$A1001,Productos!BM$2:BM1001,"")*$G629,"")</f>
        <v/>
      </c>
      <c r="BU629" s="179" t="str">
        <f t="array" ref="BU629">IF($F629&lt;&gt;"",XLOOKUP($F629,Productos!$A:$A,Productos!BN:BN,"Revisar"),"")</f>
        <v/>
      </c>
      <c r="BV629" s="179" t="str">
        <f t="array" ref="BV629">IF($F629&lt;&gt;"", XLOOKUP($F629,Productos!$A$2:$A1001,Productos!BO$2:BO1001,"")*$G629,"")</f>
        <v/>
      </c>
      <c r="BW629" s="179" t="str">
        <f t="array" ref="BW629">IF($F629&lt;&gt;"",XLOOKUP($F629,Productos!$A:$A,Productos!BP:BP,"Revisar"),"")</f>
        <v/>
      </c>
      <c r="BX629" s="179" t="str">
        <f t="array" ref="BX629">IF($F629&lt;&gt;"", XLOOKUP($F629,Productos!$A$2:$A1001,Productos!BQ$2:BQ1001,"")*$G629,"")</f>
        <v/>
      </c>
      <c r="BY629" s="179" t="str">
        <f t="array" ref="BY629">IF($F629&lt;&gt;"",XLOOKUP($F629,Productos!$A:$A,Productos!BR:BR,"Revisar"),"")</f>
        <v/>
      </c>
      <c r="BZ629" s="179" t="str">
        <f t="array" ref="BZ629">IF($F629&lt;&gt;"", XLOOKUP($F629,Productos!$A$2:$A1001,Productos!BS$2:BS1001,"")*$G629,"")</f>
        <v/>
      </c>
    </row>
    <row r="630">
      <c r="A630" s="188"/>
      <c r="B630" s="189"/>
      <c r="C630" s="190"/>
      <c r="D630" s="190"/>
      <c r="E630" s="191"/>
      <c r="F630" s="186"/>
      <c r="G630" s="192"/>
      <c r="H630" s="9"/>
      <c r="I630" s="179" t="str">
        <f t="array" ref="I630">IF($F630&lt;&gt;"",XLOOKUP($F630,Productos!$A:$A,Productos!B:B,"Revisar"),"")</f>
        <v/>
      </c>
      <c r="J630" s="179" t="str">
        <f t="array" ref="J630">IF($F630&lt;&gt;"", XLOOKUP($F630,Productos!$A$2:$A1001,Productos!C$2:C1001,"")*$G630,"")</f>
        <v/>
      </c>
      <c r="K630" s="179" t="str">
        <f t="array" ref="K630">IF($F630&lt;&gt;"",XLOOKUP($F630,Productos!$A:$A,Productos!D:D,"Revisar"),"")</f>
        <v/>
      </c>
      <c r="L630" s="179" t="str">
        <f t="array" ref="L630">IF($F630&lt;&gt;"", XLOOKUP($F630,Productos!$A$2:$A1001,Productos!E$2:E1001,"")*$G630,"")</f>
        <v/>
      </c>
      <c r="M630" s="179" t="str">
        <f t="array" ref="M630">IF($F630&lt;&gt;"",XLOOKUP($F630,Productos!$A:$A,Productos!F:F,"Revisar"),"")</f>
        <v/>
      </c>
      <c r="N630" s="179" t="str">
        <f t="array" ref="N630">IF($F630&lt;&gt;"", XLOOKUP($F630,Productos!$A$2:$A1001,Productos!G$2:G1001,"")*$G630,"")</f>
        <v/>
      </c>
      <c r="O630" s="179" t="str">
        <f t="array" ref="O630">IF($F630&lt;&gt;"",XLOOKUP($F630,Productos!$A:$A,Productos!H:H,"Revisar"),"")</f>
        <v/>
      </c>
      <c r="P630" s="179" t="str">
        <f t="array" ref="P630">IF($F630&lt;&gt;"", XLOOKUP($F630,Productos!$A$2:$A1001,Productos!I$2:I1001,"")*$G630,"")</f>
        <v/>
      </c>
      <c r="Q630" s="179" t="str">
        <f t="array" ref="Q630">IF($F630&lt;&gt;"",XLOOKUP($F630,Productos!$A:$A,Productos!J:J,"Revisar"),"")</f>
        <v/>
      </c>
      <c r="R630" s="179" t="str">
        <f t="array" ref="R630">IF($F630&lt;&gt;"", XLOOKUP($F630,Productos!$A$2:$A1001,Productos!K$2:K1001,"")*$G630,"")</f>
        <v/>
      </c>
      <c r="S630" s="179" t="str">
        <f t="array" ref="S630">IF($F630&lt;&gt;"",XLOOKUP($F630,Productos!$A:$A,Productos!L:L,"Revisar"),"")</f>
        <v/>
      </c>
      <c r="T630" s="179" t="str">
        <f t="array" ref="T630">IF($F630&lt;&gt;"", XLOOKUP($F630,Productos!$A$2:$A1001,Productos!M$2:M1001,"")*$G630,"")</f>
        <v/>
      </c>
      <c r="U630" s="179" t="str">
        <f t="array" ref="U630">IF($F630&lt;&gt;"",XLOOKUP($F630,Productos!$A:$A,Productos!N:N,"Revisar"),"")</f>
        <v/>
      </c>
      <c r="V630" s="179" t="str">
        <f t="array" ref="V630">IF($F630&lt;&gt;"", XLOOKUP($F630,Productos!$A$2:$A1001,Productos!O$2:O1001,"")*$G630,"")</f>
        <v/>
      </c>
      <c r="W630" s="179" t="str">
        <f t="array" ref="W630">IF($F630&lt;&gt;"",XLOOKUP($F630,Productos!$A:$A,Productos!P:P,"Revisar"),"")</f>
        <v/>
      </c>
      <c r="X630" s="179" t="str">
        <f t="array" ref="X630">IF($F630&lt;&gt;"", XLOOKUP($F630,Productos!$A$2:$A1001,Productos!Q$2:Q1001,"")*$G630,"")</f>
        <v/>
      </c>
      <c r="Y630" s="179" t="str">
        <f t="array" ref="Y630">IF($F630&lt;&gt;"",XLOOKUP($F630,Productos!$A:$A,Productos!R:R,"Revisar"),"")</f>
        <v/>
      </c>
      <c r="Z630" s="179" t="str">
        <f t="array" ref="Z630">IF($F630&lt;&gt;"", XLOOKUP($F630,Productos!$A$2:$A1001,Productos!S$2:S1001,"")*$G630,"")</f>
        <v/>
      </c>
      <c r="AA630" s="179" t="str">
        <f t="array" ref="AA630">IF($F630&lt;&gt;"",XLOOKUP($F630,Productos!$A:$A,Productos!T:T,"Revisar"),"")</f>
        <v/>
      </c>
      <c r="AB630" s="179" t="str">
        <f t="array" ref="AB630">IF($F630&lt;&gt;"", XLOOKUP($F630,Productos!$A$2:$A1001,Productos!U$2:U1001,"")*$G630,"")</f>
        <v/>
      </c>
      <c r="AC630" s="179" t="str">
        <f t="array" ref="AC630">IF($F630&lt;&gt;"",XLOOKUP($F630,Productos!$A:$A,Productos!V:V,"Revisar"),"")</f>
        <v/>
      </c>
      <c r="AD630" s="179" t="str">
        <f t="array" ref="AD630">IF($F630&lt;&gt;"", XLOOKUP($F630,Productos!$A$2:$A1001,Productos!W$2:W1001,"")*$G630,"")</f>
        <v/>
      </c>
      <c r="AE630" s="179" t="str">
        <f t="array" ref="AE630">IF($F630&lt;&gt;"",XLOOKUP($F630,Productos!$A:$A,Productos!X:X,"Revisar"),"")</f>
        <v/>
      </c>
      <c r="AF630" s="179" t="str">
        <f t="array" ref="AF630">IF($F630&lt;&gt;"", XLOOKUP($F630,Productos!$A$2:$A1001,Productos!Y$2:Y1001,"")*$G630,"")</f>
        <v/>
      </c>
      <c r="AG630" s="179" t="str">
        <f t="array" ref="AG630">IF($F630&lt;&gt;"",XLOOKUP($F630,Productos!$A:$A,Productos!Z:Z,"Revisar"),"")</f>
        <v/>
      </c>
      <c r="AH630" s="179" t="str">
        <f t="array" ref="AH630">IF($F630&lt;&gt;"", XLOOKUP($F630,Productos!$A$2:$A1001,Productos!AA$2:AA1001,"")*$G630,"")</f>
        <v/>
      </c>
      <c r="AI630" s="179" t="str">
        <f t="array" ref="AI630">IF($F630&lt;&gt;"",XLOOKUP($F630,Productos!$A:$A,Productos!AB:AB,"Revisar"),"")</f>
        <v/>
      </c>
      <c r="AJ630" s="179" t="str">
        <f t="array" ref="AJ630">IF($F630&lt;&gt;"", XLOOKUP($F630,Productos!$A$2:$A1001,Productos!AC$2:AC1001,"")*$G630,"")</f>
        <v/>
      </c>
      <c r="AK630" s="179" t="str">
        <f t="array" ref="AK630">IF($F630&lt;&gt;"",XLOOKUP($F630,Productos!$A:$A,Productos!AD:AD,"Revisar"),"")</f>
        <v/>
      </c>
      <c r="AL630" s="179" t="str">
        <f t="array" ref="AL630">IF($F630&lt;&gt;"", XLOOKUP($F630,Productos!$A$2:$A1001,Productos!AE$2:AE1001,"")*$G630,"")</f>
        <v/>
      </c>
      <c r="AM630" s="179" t="str">
        <f t="array" ref="AM630">IF($F630&lt;&gt;"",XLOOKUP($F630,Productos!$A:$A,Productos!AF:AF,"Revisar"),"")</f>
        <v/>
      </c>
      <c r="AN630" s="179" t="str">
        <f t="array" ref="AN630">IF($F630&lt;&gt;"", XLOOKUP($F630,Productos!$A$2:$A1001,Productos!AG$2:AG1001,"")*$G630,"")</f>
        <v/>
      </c>
      <c r="AO630" s="179" t="str">
        <f t="array" ref="AO630">IF($F630&lt;&gt;"",XLOOKUP($F630,Productos!$A:$A,Productos!AH:AH,"Revisar"),"")</f>
        <v/>
      </c>
      <c r="AP630" s="179" t="str">
        <f t="array" ref="AP630">IF($F630&lt;&gt;"", XLOOKUP($F630,Productos!$A$2:$A1001,Productos!AI$2:AI1001,"")*$G630,"")</f>
        <v/>
      </c>
      <c r="AQ630" s="179" t="str">
        <f t="array" ref="AQ630">IF($F630&lt;&gt;"",XLOOKUP($F630,Productos!$A:$A,Productos!AJ:AJ,"Revisar"),"")</f>
        <v/>
      </c>
      <c r="AR630" s="179" t="str">
        <f t="array" ref="AR630">IF($F630&lt;&gt;"", XLOOKUP($F630,Productos!$A$2:$A1001,Productos!AK$2:AK1001,"")*$G630,"")</f>
        <v/>
      </c>
      <c r="AS630" s="179" t="str">
        <f t="array" ref="AS630">IF($F630&lt;&gt;"",XLOOKUP($F630,Productos!$A:$A,Productos!AL:AL,"Revisar"),"")</f>
        <v/>
      </c>
      <c r="AT630" s="179" t="str">
        <f t="array" ref="AT630">IF($F630&lt;&gt;"", XLOOKUP($F630,Productos!$A$2:$A1001,Productos!AM$2:AM1001,"")*$G630,"")</f>
        <v/>
      </c>
      <c r="AU630" s="179" t="str">
        <f t="array" ref="AU630">IF($F630&lt;&gt;"",XLOOKUP($F630,Productos!$A:$A,Productos!AN:AN,"Revisar"),"")</f>
        <v/>
      </c>
      <c r="AV630" s="179" t="str">
        <f t="array" ref="AV630">IF($F630&lt;&gt;"", XLOOKUP($F630,Productos!$A$2:$A1001,Productos!AO$2:AO1001,"")*$G630,"")</f>
        <v/>
      </c>
      <c r="AW630" s="179" t="str">
        <f t="array" ref="AW630">IF($F630&lt;&gt;"",XLOOKUP($F630,Productos!$A:$A,Productos!AP:AP,"Revisar"),"")</f>
        <v/>
      </c>
      <c r="AX630" s="179" t="str">
        <f t="array" ref="AX630">IF($F630&lt;&gt;"", XLOOKUP($F630,Productos!$A$2:$A1001,Productos!AQ$2:AQ1001,"")*$G630,"")</f>
        <v/>
      </c>
      <c r="AY630" s="179" t="str">
        <f t="array" ref="AY630">IF($F630&lt;&gt;"",XLOOKUP($F630,Productos!$A:$A,Productos!AR:AR,"Revisar"),"")</f>
        <v/>
      </c>
      <c r="AZ630" s="179" t="str">
        <f t="array" ref="AZ630">IF($F630&lt;&gt;"", XLOOKUP($F630,Productos!$A$2:$A1001,Productos!AS$2:AS1001,"")*$G630,"")</f>
        <v/>
      </c>
      <c r="BA630" s="179" t="str">
        <f t="array" ref="BA630">IF($F630&lt;&gt;"",XLOOKUP($F630,Productos!$A:$A,Productos!AT:AT,"Revisar"),"")</f>
        <v/>
      </c>
      <c r="BB630" s="179" t="str">
        <f t="array" ref="BB630">IF($F630&lt;&gt;"", XLOOKUP($F630,Productos!$A$2:$A1001,Productos!AU$2:AU1001,"")*$G630,"")</f>
        <v/>
      </c>
      <c r="BC630" s="179" t="str">
        <f t="array" ref="BC630">IF($F630&lt;&gt;"",XLOOKUP($F630,Productos!$A:$A,Productos!AV:AV,"Revisar"),"")</f>
        <v/>
      </c>
      <c r="BD630" s="179" t="str">
        <f t="array" ref="BD630">IF($F630&lt;&gt;"", XLOOKUP($F630,Productos!$A$2:$A1001,Productos!AW$2:AW1001,"")*$G630,"")</f>
        <v/>
      </c>
      <c r="BE630" s="179" t="str">
        <f t="array" ref="BE630">IF($F630&lt;&gt;"",XLOOKUP($F630,Productos!$A:$A,Productos!AX:AX,"Revisar"),"")</f>
        <v/>
      </c>
      <c r="BF630" s="179" t="str">
        <f t="array" ref="BF630">IF($F630&lt;&gt;"", XLOOKUP($F630,Productos!$A$2:$A1001,Productos!AY$2:AY1001,"")*$G630,"")</f>
        <v/>
      </c>
      <c r="BG630" s="179" t="str">
        <f t="array" ref="BG630">IF($F630&lt;&gt;"",XLOOKUP($F630,Productos!$A:$A,Productos!AZ:AZ,"Revisar"),"")</f>
        <v/>
      </c>
      <c r="BH630" s="179" t="str">
        <f t="array" ref="BH630">IF($F630&lt;&gt;"", XLOOKUP($F630,Productos!$A$2:$A1001,Productos!BA$2:BA1001,"")*$G630,"")</f>
        <v/>
      </c>
      <c r="BI630" s="179" t="str">
        <f t="array" ref="BI630">IF($F630&lt;&gt;"",XLOOKUP($F630,Productos!$A:$A,Productos!BB:BB,"Revisar"),"")</f>
        <v/>
      </c>
      <c r="BJ630" s="179" t="str">
        <f t="array" ref="BJ630">IF($F630&lt;&gt;"", XLOOKUP($F630,Productos!$A$2:$A1001,Productos!BC$2:BC1001,"")*$G630,"")</f>
        <v/>
      </c>
      <c r="BK630" s="179" t="str">
        <f t="array" ref="BK630">IF($F630&lt;&gt;"",XLOOKUP($F630,Productos!$A:$A,Productos!BD:BD,"Revisar"),"")</f>
        <v/>
      </c>
      <c r="BL630" s="179" t="str">
        <f t="array" ref="BL630">IF($F630&lt;&gt;"", XLOOKUP($F630,Productos!$A$2:$A1001,Productos!BE$2:BE1001,"")*$G630,"")</f>
        <v/>
      </c>
      <c r="BM630" s="179" t="str">
        <f t="array" ref="BM630">IF($F630&lt;&gt;"",XLOOKUP($F630,Productos!$A:$A,Productos!BF:BF,"Revisar"),"")</f>
        <v/>
      </c>
      <c r="BN630" s="179" t="str">
        <f t="array" ref="BN630">IF($F630&lt;&gt;"", XLOOKUP($F630,Productos!$A$2:$A1001,Productos!BG$2:BG1001,"")*$G630,"")</f>
        <v/>
      </c>
      <c r="BO630" s="179" t="str">
        <f t="array" ref="BO630">IF($F630&lt;&gt;"",XLOOKUP($F630,Productos!$A:$A,Productos!BH:BH,"Revisar"),"")</f>
        <v/>
      </c>
      <c r="BP630" s="179" t="str">
        <f t="array" ref="BP630">IF($F630&lt;&gt;"", XLOOKUP($F630,Productos!$A$2:$A1001,Productos!BI$2:BI1001,"")*$G630,"")</f>
        <v/>
      </c>
      <c r="BQ630" s="179" t="str">
        <f t="array" ref="BQ630">IF($F630&lt;&gt;"",XLOOKUP($F630,Productos!$A:$A,Productos!BJ:BJ,"Revisar"),"")</f>
        <v/>
      </c>
      <c r="BR630" s="179" t="str">
        <f t="array" ref="BR630">IF($F630&lt;&gt;"", XLOOKUP($F630,Productos!$A$2:$A1001,Productos!BK$2:BK1001,"")*$G630,"")</f>
        <v/>
      </c>
      <c r="BS630" s="179" t="str">
        <f t="array" ref="BS630">IF($F630&lt;&gt;"",XLOOKUP($F630,Productos!$A:$A,Productos!BL:BL,"Revisar"),"")</f>
        <v/>
      </c>
      <c r="BT630" s="179" t="str">
        <f t="array" ref="BT630">IF($F630&lt;&gt;"", XLOOKUP($F630,Productos!$A$2:$A1001,Productos!BM$2:BM1001,"")*$G630,"")</f>
        <v/>
      </c>
      <c r="BU630" s="179" t="str">
        <f t="array" ref="BU630">IF($F630&lt;&gt;"",XLOOKUP($F630,Productos!$A:$A,Productos!BN:BN,"Revisar"),"")</f>
        <v/>
      </c>
      <c r="BV630" s="179" t="str">
        <f t="array" ref="BV630">IF($F630&lt;&gt;"", XLOOKUP($F630,Productos!$A$2:$A1001,Productos!BO$2:BO1001,"")*$G630,"")</f>
        <v/>
      </c>
      <c r="BW630" s="179" t="str">
        <f t="array" ref="BW630">IF($F630&lt;&gt;"",XLOOKUP($F630,Productos!$A:$A,Productos!BP:BP,"Revisar"),"")</f>
        <v/>
      </c>
      <c r="BX630" s="179" t="str">
        <f t="array" ref="BX630">IF($F630&lt;&gt;"", XLOOKUP($F630,Productos!$A$2:$A1001,Productos!BQ$2:BQ1001,"")*$G630,"")</f>
        <v/>
      </c>
      <c r="BY630" s="179" t="str">
        <f t="array" ref="BY630">IF($F630&lt;&gt;"",XLOOKUP($F630,Productos!$A:$A,Productos!BR:BR,"Revisar"),"")</f>
        <v/>
      </c>
      <c r="BZ630" s="179" t="str">
        <f t="array" ref="BZ630">IF($F630&lt;&gt;"", XLOOKUP($F630,Productos!$A$2:$A1001,Productos!BS$2:BS1001,"")*$G630,"")</f>
        <v/>
      </c>
    </row>
    <row r="631">
      <c r="A631" s="188"/>
      <c r="B631" s="189"/>
      <c r="C631" s="190"/>
      <c r="D631" s="190"/>
      <c r="E631" s="191"/>
      <c r="F631" s="186"/>
      <c r="G631" s="192"/>
      <c r="H631" s="9"/>
      <c r="I631" s="179" t="str">
        <f t="array" ref="I631">IF($F631&lt;&gt;"",XLOOKUP($F631,Productos!$A:$A,Productos!B:B,"Revisar"),"")</f>
        <v/>
      </c>
      <c r="J631" s="179" t="str">
        <f t="array" ref="J631">IF($F631&lt;&gt;"", XLOOKUP($F631,Productos!$A$2:$A1001,Productos!C$2:C1001,"")*$G631,"")</f>
        <v/>
      </c>
      <c r="K631" s="179" t="str">
        <f t="array" ref="K631">IF($F631&lt;&gt;"",XLOOKUP($F631,Productos!$A:$A,Productos!D:D,"Revisar"),"")</f>
        <v/>
      </c>
      <c r="L631" s="179" t="str">
        <f t="array" ref="L631">IF($F631&lt;&gt;"", XLOOKUP($F631,Productos!$A$2:$A1001,Productos!E$2:E1001,"")*$G631,"")</f>
        <v/>
      </c>
      <c r="M631" s="179" t="str">
        <f t="array" ref="M631">IF($F631&lt;&gt;"",XLOOKUP($F631,Productos!$A:$A,Productos!F:F,"Revisar"),"")</f>
        <v/>
      </c>
      <c r="N631" s="179" t="str">
        <f t="array" ref="N631">IF($F631&lt;&gt;"", XLOOKUP($F631,Productos!$A$2:$A1001,Productos!G$2:G1001,"")*$G631,"")</f>
        <v/>
      </c>
      <c r="O631" s="179" t="str">
        <f t="array" ref="O631">IF($F631&lt;&gt;"",XLOOKUP($F631,Productos!$A:$A,Productos!H:H,"Revisar"),"")</f>
        <v/>
      </c>
      <c r="P631" s="179" t="str">
        <f t="array" ref="P631">IF($F631&lt;&gt;"", XLOOKUP($F631,Productos!$A$2:$A1001,Productos!I$2:I1001,"")*$G631,"")</f>
        <v/>
      </c>
      <c r="Q631" s="179" t="str">
        <f t="array" ref="Q631">IF($F631&lt;&gt;"",XLOOKUP($F631,Productos!$A:$A,Productos!J:J,"Revisar"),"")</f>
        <v/>
      </c>
      <c r="R631" s="179" t="str">
        <f t="array" ref="R631">IF($F631&lt;&gt;"", XLOOKUP($F631,Productos!$A$2:$A1001,Productos!K$2:K1001,"")*$G631,"")</f>
        <v/>
      </c>
      <c r="S631" s="179" t="str">
        <f t="array" ref="S631">IF($F631&lt;&gt;"",XLOOKUP($F631,Productos!$A:$A,Productos!L:L,"Revisar"),"")</f>
        <v/>
      </c>
      <c r="T631" s="179" t="str">
        <f t="array" ref="T631">IF($F631&lt;&gt;"", XLOOKUP($F631,Productos!$A$2:$A1001,Productos!M$2:M1001,"")*$G631,"")</f>
        <v/>
      </c>
      <c r="U631" s="179" t="str">
        <f t="array" ref="U631">IF($F631&lt;&gt;"",XLOOKUP($F631,Productos!$A:$A,Productos!N:N,"Revisar"),"")</f>
        <v/>
      </c>
      <c r="V631" s="179" t="str">
        <f t="array" ref="V631">IF($F631&lt;&gt;"", XLOOKUP($F631,Productos!$A$2:$A1001,Productos!O$2:O1001,"")*$G631,"")</f>
        <v/>
      </c>
      <c r="W631" s="179" t="str">
        <f t="array" ref="W631">IF($F631&lt;&gt;"",XLOOKUP($F631,Productos!$A:$A,Productos!P:P,"Revisar"),"")</f>
        <v/>
      </c>
      <c r="X631" s="179" t="str">
        <f t="array" ref="X631">IF($F631&lt;&gt;"", XLOOKUP($F631,Productos!$A$2:$A1001,Productos!Q$2:Q1001,"")*$G631,"")</f>
        <v/>
      </c>
      <c r="Y631" s="179" t="str">
        <f t="array" ref="Y631">IF($F631&lt;&gt;"",XLOOKUP($F631,Productos!$A:$A,Productos!R:R,"Revisar"),"")</f>
        <v/>
      </c>
      <c r="Z631" s="179" t="str">
        <f t="array" ref="Z631">IF($F631&lt;&gt;"", XLOOKUP($F631,Productos!$A$2:$A1001,Productos!S$2:S1001,"")*$G631,"")</f>
        <v/>
      </c>
      <c r="AA631" s="179" t="str">
        <f t="array" ref="AA631">IF($F631&lt;&gt;"",XLOOKUP($F631,Productos!$A:$A,Productos!T:T,"Revisar"),"")</f>
        <v/>
      </c>
      <c r="AB631" s="179" t="str">
        <f t="array" ref="AB631">IF($F631&lt;&gt;"", XLOOKUP($F631,Productos!$A$2:$A1001,Productos!U$2:U1001,"")*$G631,"")</f>
        <v/>
      </c>
      <c r="AC631" s="179" t="str">
        <f t="array" ref="AC631">IF($F631&lt;&gt;"",XLOOKUP($F631,Productos!$A:$A,Productos!V:V,"Revisar"),"")</f>
        <v/>
      </c>
      <c r="AD631" s="179" t="str">
        <f t="array" ref="AD631">IF($F631&lt;&gt;"", XLOOKUP($F631,Productos!$A$2:$A1001,Productos!W$2:W1001,"")*$G631,"")</f>
        <v/>
      </c>
      <c r="AE631" s="179" t="str">
        <f t="array" ref="AE631">IF($F631&lt;&gt;"",XLOOKUP($F631,Productos!$A:$A,Productos!X:X,"Revisar"),"")</f>
        <v/>
      </c>
      <c r="AF631" s="179" t="str">
        <f t="array" ref="AF631">IF($F631&lt;&gt;"", XLOOKUP($F631,Productos!$A$2:$A1001,Productos!Y$2:Y1001,"")*$G631,"")</f>
        <v/>
      </c>
      <c r="AG631" s="179" t="str">
        <f t="array" ref="AG631">IF($F631&lt;&gt;"",XLOOKUP($F631,Productos!$A:$A,Productos!Z:Z,"Revisar"),"")</f>
        <v/>
      </c>
      <c r="AH631" s="179" t="str">
        <f t="array" ref="AH631">IF($F631&lt;&gt;"", XLOOKUP($F631,Productos!$A$2:$A1001,Productos!AA$2:AA1001,"")*$G631,"")</f>
        <v/>
      </c>
      <c r="AI631" s="179" t="str">
        <f t="array" ref="AI631">IF($F631&lt;&gt;"",XLOOKUP($F631,Productos!$A:$A,Productos!AB:AB,"Revisar"),"")</f>
        <v/>
      </c>
      <c r="AJ631" s="179" t="str">
        <f t="array" ref="AJ631">IF($F631&lt;&gt;"", XLOOKUP($F631,Productos!$A$2:$A1001,Productos!AC$2:AC1001,"")*$G631,"")</f>
        <v/>
      </c>
      <c r="AK631" s="179" t="str">
        <f t="array" ref="AK631">IF($F631&lt;&gt;"",XLOOKUP($F631,Productos!$A:$A,Productos!AD:AD,"Revisar"),"")</f>
        <v/>
      </c>
      <c r="AL631" s="179" t="str">
        <f t="array" ref="AL631">IF($F631&lt;&gt;"", XLOOKUP($F631,Productos!$A$2:$A1001,Productos!AE$2:AE1001,"")*$G631,"")</f>
        <v/>
      </c>
      <c r="AM631" s="179" t="str">
        <f t="array" ref="AM631">IF($F631&lt;&gt;"",XLOOKUP($F631,Productos!$A:$A,Productos!AF:AF,"Revisar"),"")</f>
        <v/>
      </c>
      <c r="AN631" s="179" t="str">
        <f t="array" ref="AN631">IF($F631&lt;&gt;"", XLOOKUP($F631,Productos!$A$2:$A1001,Productos!AG$2:AG1001,"")*$G631,"")</f>
        <v/>
      </c>
      <c r="AO631" s="179" t="str">
        <f t="array" ref="AO631">IF($F631&lt;&gt;"",XLOOKUP($F631,Productos!$A:$A,Productos!AH:AH,"Revisar"),"")</f>
        <v/>
      </c>
      <c r="AP631" s="179" t="str">
        <f t="array" ref="AP631">IF($F631&lt;&gt;"", XLOOKUP($F631,Productos!$A$2:$A1001,Productos!AI$2:AI1001,"")*$G631,"")</f>
        <v/>
      </c>
      <c r="AQ631" s="179" t="str">
        <f t="array" ref="AQ631">IF($F631&lt;&gt;"",XLOOKUP($F631,Productos!$A:$A,Productos!AJ:AJ,"Revisar"),"")</f>
        <v/>
      </c>
      <c r="AR631" s="179" t="str">
        <f t="array" ref="AR631">IF($F631&lt;&gt;"", XLOOKUP($F631,Productos!$A$2:$A1001,Productos!AK$2:AK1001,"")*$G631,"")</f>
        <v/>
      </c>
      <c r="AS631" s="179" t="str">
        <f t="array" ref="AS631">IF($F631&lt;&gt;"",XLOOKUP($F631,Productos!$A:$A,Productos!AL:AL,"Revisar"),"")</f>
        <v/>
      </c>
      <c r="AT631" s="179" t="str">
        <f t="array" ref="AT631">IF($F631&lt;&gt;"", XLOOKUP($F631,Productos!$A$2:$A1001,Productos!AM$2:AM1001,"")*$G631,"")</f>
        <v/>
      </c>
      <c r="AU631" s="179" t="str">
        <f t="array" ref="AU631">IF($F631&lt;&gt;"",XLOOKUP($F631,Productos!$A:$A,Productos!AN:AN,"Revisar"),"")</f>
        <v/>
      </c>
      <c r="AV631" s="179" t="str">
        <f t="array" ref="AV631">IF($F631&lt;&gt;"", XLOOKUP($F631,Productos!$A$2:$A1001,Productos!AO$2:AO1001,"")*$G631,"")</f>
        <v/>
      </c>
      <c r="AW631" s="179" t="str">
        <f t="array" ref="AW631">IF($F631&lt;&gt;"",XLOOKUP($F631,Productos!$A:$A,Productos!AP:AP,"Revisar"),"")</f>
        <v/>
      </c>
      <c r="AX631" s="179" t="str">
        <f t="array" ref="AX631">IF($F631&lt;&gt;"", XLOOKUP($F631,Productos!$A$2:$A1001,Productos!AQ$2:AQ1001,"")*$G631,"")</f>
        <v/>
      </c>
      <c r="AY631" s="179" t="str">
        <f t="array" ref="AY631">IF($F631&lt;&gt;"",XLOOKUP($F631,Productos!$A:$A,Productos!AR:AR,"Revisar"),"")</f>
        <v/>
      </c>
      <c r="AZ631" s="179" t="str">
        <f t="array" ref="AZ631">IF($F631&lt;&gt;"", XLOOKUP($F631,Productos!$A$2:$A1001,Productos!AS$2:AS1001,"")*$G631,"")</f>
        <v/>
      </c>
      <c r="BA631" s="179" t="str">
        <f t="array" ref="BA631">IF($F631&lt;&gt;"",XLOOKUP($F631,Productos!$A:$A,Productos!AT:AT,"Revisar"),"")</f>
        <v/>
      </c>
      <c r="BB631" s="179" t="str">
        <f t="array" ref="BB631">IF($F631&lt;&gt;"", XLOOKUP($F631,Productos!$A$2:$A1001,Productos!AU$2:AU1001,"")*$G631,"")</f>
        <v/>
      </c>
      <c r="BC631" s="179" t="str">
        <f t="array" ref="BC631">IF($F631&lt;&gt;"",XLOOKUP($F631,Productos!$A:$A,Productos!AV:AV,"Revisar"),"")</f>
        <v/>
      </c>
      <c r="BD631" s="179" t="str">
        <f t="array" ref="BD631">IF($F631&lt;&gt;"", XLOOKUP($F631,Productos!$A$2:$A1001,Productos!AW$2:AW1001,"")*$G631,"")</f>
        <v/>
      </c>
      <c r="BE631" s="179" t="str">
        <f t="array" ref="BE631">IF($F631&lt;&gt;"",XLOOKUP($F631,Productos!$A:$A,Productos!AX:AX,"Revisar"),"")</f>
        <v/>
      </c>
      <c r="BF631" s="179" t="str">
        <f t="array" ref="BF631">IF($F631&lt;&gt;"", XLOOKUP($F631,Productos!$A$2:$A1001,Productos!AY$2:AY1001,"")*$G631,"")</f>
        <v/>
      </c>
      <c r="BG631" s="179" t="str">
        <f t="array" ref="BG631">IF($F631&lt;&gt;"",XLOOKUP($F631,Productos!$A:$A,Productos!AZ:AZ,"Revisar"),"")</f>
        <v/>
      </c>
      <c r="BH631" s="179" t="str">
        <f t="array" ref="BH631">IF($F631&lt;&gt;"", XLOOKUP($F631,Productos!$A$2:$A1001,Productos!BA$2:BA1001,"")*$G631,"")</f>
        <v/>
      </c>
      <c r="BI631" s="179" t="str">
        <f t="array" ref="BI631">IF($F631&lt;&gt;"",XLOOKUP($F631,Productos!$A:$A,Productos!BB:BB,"Revisar"),"")</f>
        <v/>
      </c>
      <c r="BJ631" s="179" t="str">
        <f t="array" ref="BJ631">IF($F631&lt;&gt;"", XLOOKUP($F631,Productos!$A$2:$A1001,Productos!BC$2:BC1001,"")*$G631,"")</f>
        <v/>
      </c>
      <c r="BK631" s="179" t="str">
        <f t="array" ref="BK631">IF($F631&lt;&gt;"",XLOOKUP($F631,Productos!$A:$A,Productos!BD:BD,"Revisar"),"")</f>
        <v/>
      </c>
      <c r="BL631" s="179" t="str">
        <f t="array" ref="BL631">IF($F631&lt;&gt;"", XLOOKUP($F631,Productos!$A$2:$A1001,Productos!BE$2:BE1001,"")*$G631,"")</f>
        <v/>
      </c>
      <c r="BM631" s="179" t="str">
        <f t="array" ref="BM631">IF($F631&lt;&gt;"",XLOOKUP($F631,Productos!$A:$A,Productos!BF:BF,"Revisar"),"")</f>
        <v/>
      </c>
      <c r="BN631" s="179" t="str">
        <f t="array" ref="BN631">IF($F631&lt;&gt;"", XLOOKUP($F631,Productos!$A$2:$A1001,Productos!BG$2:BG1001,"")*$G631,"")</f>
        <v/>
      </c>
      <c r="BO631" s="179" t="str">
        <f t="array" ref="BO631">IF($F631&lt;&gt;"",XLOOKUP($F631,Productos!$A:$A,Productos!BH:BH,"Revisar"),"")</f>
        <v/>
      </c>
      <c r="BP631" s="179" t="str">
        <f t="array" ref="BP631">IF($F631&lt;&gt;"", XLOOKUP($F631,Productos!$A$2:$A1001,Productos!BI$2:BI1001,"")*$G631,"")</f>
        <v/>
      </c>
      <c r="BQ631" s="179" t="str">
        <f t="array" ref="BQ631">IF($F631&lt;&gt;"",XLOOKUP($F631,Productos!$A:$A,Productos!BJ:BJ,"Revisar"),"")</f>
        <v/>
      </c>
      <c r="BR631" s="179" t="str">
        <f t="array" ref="BR631">IF($F631&lt;&gt;"", XLOOKUP($F631,Productos!$A$2:$A1001,Productos!BK$2:BK1001,"")*$G631,"")</f>
        <v/>
      </c>
      <c r="BS631" s="179" t="str">
        <f t="array" ref="BS631">IF($F631&lt;&gt;"",XLOOKUP($F631,Productos!$A:$A,Productos!BL:BL,"Revisar"),"")</f>
        <v/>
      </c>
      <c r="BT631" s="179" t="str">
        <f t="array" ref="BT631">IF($F631&lt;&gt;"", XLOOKUP($F631,Productos!$A$2:$A1001,Productos!BM$2:BM1001,"")*$G631,"")</f>
        <v/>
      </c>
      <c r="BU631" s="179" t="str">
        <f t="array" ref="BU631">IF($F631&lt;&gt;"",XLOOKUP($F631,Productos!$A:$A,Productos!BN:BN,"Revisar"),"")</f>
        <v/>
      </c>
      <c r="BV631" s="179" t="str">
        <f t="array" ref="BV631">IF($F631&lt;&gt;"", XLOOKUP($F631,Productos!$A$2:$A1001,Productos!BO$2:BO1001,"")*$G631,"")</f>
        <v/>
      </c>
      <c r="BW631" s="179" t="str">
        <f t="array" ref="BW631">IF($F631&lt;&gt;"",XLOOKUP($F631,Productos!$A:$A,Productos!BP:BP,"Revisar"),"")</f>
        <v/>
      </c>
      <c r="BX631" s="179" t="str">
        <f t="array" ref="BX631">IF($F631&lt;&gt;"", XLOOKUP($F631,Productos!$A$2:$A1001,Productos!BQ$2:BQ1001,"")*$G631,"")</f>
        <v/>
      </c>
      <c r="BY631" s="179" t="str">
        <f t="array" ref="BY631">IF($F631&lt;&gt;"",XLOOKUP($F631,Productos!$A:$A,Productos!BR:BR,"Revisar"),"")</f>
        <v/>
      </c>
      <c r="BZ631" s="179" t="str">
        <f t="array" ref="BZ631">IF($F631&lt;&gt;"", XLOOKUP($F631,Productos!$A$2:$A1001,Productos!BS$2:BS1001,"")*$G631,"")</f>
        <v/>
      </c>
    </row>
    <row r="632">
      <c r="A632" s="188"/>
      <c r="B632" s="189"/>
      <c r="C632" s="190"/>
      <c r="D632" s="190"/>
      <c r="E632" s="191"/>
      <c r="F632" s="186"/>
      <c r="G632" s="192"/>
      <c r="H632" s="9"/>
      <c r="I632" s="179" t="str">
        <f t="array" ref="I632">IF($F632&lt;&gt;"",XLOOKUP($F632,Productos!$A:$A,Productos!B:B,"Revisar"),"")</f>
        <v/>
      </c>
      <c r="J632" s="179" t="str">
        <f t="array" ref="J632">IF($F632&lt;&gt;"", XLOOKUP($F632,Productos!$A$2:$A1001,Productos!C$2:C1001,"")*$G632,"")</f>
        <v/>
      </c>
      <c r="K632" s="179" t="str">
        <f t="array" ref="K632">IF($F632&lt;&gt;"",XLOOKUP($F632,Productos!$A:$A,Productos!D:D,"Revisar"),"")</f>
        <v/>
      </c>
      <c r="L632" s="179" t="str">
        <f t="array" ref="L632">IF($F632&lt;&gt;"", XLOOKUP($F632,Productos!$A$2:$A1001,Productos!E$2:E1001,"")*$G632,"")</f>
        <v/>
      </c>
      <c r="M632" s="179" t="str">
        <f t="array" ref="M632">IF($F632&lt;&gt;"",XLOOKUP($F632,Productos!$A:$A,Productos!F:F,"Revisar"),"")</f>
        <v/>
      </c>
      <c r="N632" s="179" t="str">
        <f t="array" ref="N632">IF($F632&lt;&gt;"", XLOOKUP($F632,Productos!$A$2:$A1001,Productos!G$2:G1001,"")*$G632,"")</f>
        <v/>
      </c>
      <c r="O632" s="179" t="str">
        <f t="array" ref="O632">IF($F632&lt;&gt;"",XLOOKUP($F632,Productos!$A:$A,Productos!H:H,"Revisar"),"")</f>
        <v/>
      </c>
      <c r="P632" s="179" t="str">
        <f t="array" ref="P632">IF($F632&lt;&gt;"", XLOOKUP($F632,Productos!$A$2:$A1001,Productos!I$2:I1001,"")*$G632,"")</f>
        <v/>
      </c>
      <c r="Q632" s="179" t="str">
        <f t="array" ref="Q632">IF($F632&lt;&gt;"",XLOOKUP($F632,Productos!$A:$A,Productos!J:J,"Revisar"),"")</f>
        <v/>
      </c>
      <c r="R632" s="179" t="str">
        <f t="array" ref="R632">IF($F632&lt;&gt;"", XLOOKUP($F632,Productos!$A$2:$A1001,Productos!K$2:K1001,"")*$G632,"")</f>
        <v/>
      </c>
      <c r="S632" s="179" t="str">
        <f t="array" ref="S632">IF($F632&lt;&gt;"",XLOOKUP($F632,Productos!$A:$A,Productos!L:L,"Revisar"),"")</f>
        <v/>
      </c>
      <c r="T632" s="179" t="str">
        <f t="array" ref="T632">IF($F632&lt;&gt;"", XLOOKUP($F632,Productos!$A$2:$A1001,Productos!M$2:M1001,"")*$G632,"")</f>
        <v/>
      </c>
      <c r="U632" s="179" t="str">
        <f t="array" ref="U632">IF($F632&lt;&gt;"",XLOOKUP($F632,Productos!$A:$A,Productos!N:N,"Revisar"),"")</f>
        <v/>
      </c>
      <c r="V632" s="179" t="str">
        <f t="array" ref="V632">IF($F632&lt;&gt;"", XLOOKUP($F632,Productos!$A$2:$A1001,Productos!O$2:O1001,"")*$G632,"")</f>
        <v/>
      </c>
      <c r="W632" s="179" t="str">
        <f t="array" ref="W632">IF($F632&lt;&gt;"",XLOOKUP($F632,Productos!$A:$A,Productos!P:P,"Revisar"),"")</f>
        <v/>
      </c>
      <c r="X632" s="179" t="str">
        <f t="array" ref="X632">IF($F632&lt;&gt;"", XLOOKUP($F632,Productos!$A$2:$A1001,Productos!Q$2:Q1001,"")*$G632,"")</f>
        <v/>
      </c>
      <c r="Y632" s="179" t="str">
        <f t="array" ref="Y632">IF($F632&lt;&gt;"",XLOOKUP($F632,Productos!$A:$A,Productos!R:R,"Revisar"),"")</f>
        <v/>
      </c>
      <c r="Z632" s="179" t="str">
        <f t="array" ref="Z632">IF($F632&lt;&gt;"", XLOOKUP($F632,Productos!$A$2:$A1001,Productos!S$2:S1001,"")*$G632,"")</f>
        <v/>
      </c>
      <c r="AA632" s="179" t="str">
        <f t="array" ref="AA632">IF($F632&lt;&gt;"",XLOOKUP($F632,Productos!$A:$A,Productos!T:T,"Revisar"),"")</f>
        <v/>
      </c>
      <c r="AB632" s="179" t="str">
        <f t="array" ref="AB632">IF($F632&lt;&gt;"", XLOOKUP($F632,Productos!$A$2:$A1001,Productos!U$2:U1001,"")*$G632,"")</f>
        <v/>
      </c>
      <c r="AC632" s="179" t="str">
        <f t="array" ref="AC632">IF($F632&lt;&gt;"",XLOOKUP($F632,Productos!$A:$A,Productos!V:V,"Revisar"),"")</f>
        <v/>
      </c>
      <c r="AD632" s="179" t="str">
        <f t="array" ref="AD632">IF($F632&lt;&gt;"", XLOOKUP($F632,Productos!$A$2:$A1001,Productos!W$2:W1001,"")*$G632,"")</f>
        <v/>
      </c>
      <c r="AE632" s="179" t="str">
        <f t="array" ref="AE632">IF($F632&lt;&gt;"",XLOOKUP($F632,Productos!$A:$A,Productos!X:X,"Revisar"),"")</f>
        <v/>
      </c>
      <c r="AF632" s="179" t="str">
        <f t="array" ref="AF632">IF($F632&lt;&gt;"", XLOOKUP($F632,Productos!$A$2:$A1001,Productos!Y$2:Y1001,"")*$G632,"")</f>
        <v/>
      </c>
      <c r="AG632" s="179" t="str">
        <f t="array" ref="AG632">IF($F632&lt;&gt;"",XLOOKUP($F632,Productos!$A:$A,Productos!Z:Z,"Revisar"),"")</f>
        <v/>
      </c>
      <c r="AH632" s="179" t="str">
        <f t="array" ref="AH632">IF($F632&lt;&gt;"", XLOOKUP($F632,Productos!$A$2:$A1001,Productos!AA$2:AA1001,"")*$G632,"")</f>
        <v/>
      </c>
      <c r="AI632" s="179" t="str">
        <f t="array" ref="AI632">IF($F632&lt;&gt;"",XLOOKUP($F632,Productos!$A:$A,Productos!AB:AB,"Revisar"),"")</f>
        <v/>
      </c>
      <c r="AJ632" s="179" t="str">
        <f t="array" ref="AJ632">IF($F632&lt;&gt;"", XLOOKUP($F632,Productos!$A$2:$A1001,Productos!AC$2:AC1001,"")*$G632,"")</f>
        <v/>
      </c>
      <c r="AK632" s="179" t="str">
        <f t="array" ref="AK632">IF($F632&lt;&gt;"",XLOOKUP($F632,Productos!$A:$A,Productos!AD:AD,"Revisar"),"")</f>
        <v/>
      </c>
      <c r="AL632" s="179" t="str">
        <f t="array" ref="AL632">IF($F632&lt;&gt;"", XLOOKUP($F632,Productos!$A$2:$A1001,Productos!AE$2:AE1001,"")*$G632,"")</f>
        <v/>
      </c>
      <c r="AM632" s="179" t="str">
        <f t="array" ref="AM632">IF($F632&lt;&gt;"",XLOOKUP($F632,Productos!$A:$A,Productos!AF:AF,"Revisar"),"")</f>
        <v/>
      </c>
      <c r="AN632" s="179" t="str">
        <f t="array" ref="AN632">IF($F632&lt;&gt;"", XLOOKUP($F632,Productos!$A$2:$A1001,Productos!AG$2:AG1001,"")*$G632,"")</f>
        <v/>
      </c>
      <c r="AO632" s="179" t="str">
        <f t="array" ref="AO632">IF($F632&lt;&gt;"",XLOOKUP($F632,Productos!$A:$A,Productos!AH:AH,"Revisar"),"")</f>
        <v/>
      </c>
      <c r="AP632" s="179" t="str">
        <f t="array" ref="AP632">IF($F632&lt;&gt;"", XLOOKUP($F632,Productos!$A$2:$A1001,Productos!AI$2:AI1001,"")*$G632,"")</f>
        <v/>
      </c>
      <c r="AQ632" s="179" t="str">
        <f t="array" ref="AQ632">IF($F632&lt;&gt;"",XLOOKUP($F632,Productos!$A:$A,Productos!AJ:AJ,"Revisar"),"")</f>
        <v/>
      </c>
      <c r="AR632" s="179" t="str">
        <f t="array" ref="AR632">IF($F632&lt;&gt;"", XLOOKUP($F632,Productos!$A$2:$A1001,Productos!AK$2:AK1001,"")*$G632,"")</f>
        <v/>
      </c>
      <c r="AS632" s="179" t="str">
        <f t="array" ref="AS632">IF($F632&lt;&gt;"",XLOOKUP($F632,Productos!$A:$A,Productos!AL:AL,"Revisar"),"")</f>
        <v/>
      </c>
      <c r="AT632" s="179" t="str">
        <f t="array" ref="AT632">IF($F632&lt;&gt;"", XLOOKUP($F632,Productos!$A$2:$A1001,Productos!AM$2:AM1001,"")*$G632,"")</f>
        <v/>
      </c>
      <c r="AU632" s="179" t="str">
        <f t="array" ref="AU632">IF($F632&lt;&gt;"",XLOOKUP($F632,Productos!$A:$A,Productos!AN:AN,"Revisar"),"")</f>
        <v/>
      </c>
      <c r="AV632" s="179" t="str">
        <f t="array" ref="AV632">IF($F632&lt;&gt;"", XLOOKUP($F632,Productos!$A$2:$A1001,Productos!AO$2:AO1001,"")*$G632,"")</f>
        <v/>
      </c>
      <c r="AW632" s="179" t="str">
        <f t="array" ref="AW632">IF($F632&lt;&gt;"",XLOOKUP($F632,Productos!$A:$A,Productos!AP:AP,"Revisar"),"")</f>
        <v/>
      </c>
      <c r="AX632" s="179" t="str">
        <f t="array" ref="AX632">IF($F632&lt;&gt;"", XLOOKUP($F632,Productos!$A$2:$A1001,Productos!AQ$2:AQ1001,"")*$G632,"")</f>
        <v/>
      </c>
      <c r="AY632" s="179" t="str">
        <f t="array" ref="AY632">IF($F632&lt;&gt;"",XLOOKUP($F632,Productos!$A:$A,Productos!AR:AR,"Revisar"),"")</f>
        <v/>
      </c>
      <c r="AZ632" s="179" t="str">
        <f t="array" ref="AZ632">IF($F632&lt;&gt;"", XLOOKUP($F632,Productos!$A$2:$A1001,Productos!AS$2:AS1001,"")*$G632,"")</f>
        <v/>
      </c>
      <c r="BA632" s="179" t="str">
        <f t="array" ref="BA632">IF($F632&lt;&gt;"",XLOOKUP($F632,Productos!$A:$A,Productos!AT:AT,"Revisar"),"")</f>
        <v/>
      </c>
      <c r="BB632" s="179" t="str">
        <f t="array" ref="BB632">IF($F632&lt;&gt;"", XLOOKUP($F632,Productos!$A$2:$A1001,Productos!AU$2:AU1001,"")*$G632,"")</f>
        <v/>
      </c>
      <c r="BC632" s="179" t="str">
        <f t="array" ref="BC632">IF($F632&lt;&gt;"",XLOOKUP($F632,Productos!$A:$A,Productos!AV:AV,"Revisar"),"")</f>
        <v/>
      </c>
      <c r="BD632" s="179" t="str">
        <f t="array" ref="BD632">IF($F632&lt;&gt;"", XLOOKUP($F632,Productos!$A$2:$A1001,Productos!AW$2:AW1001,"")*$G632,"")</f>
        <v/>
      </c>
      <c r="BE632" s="179" t="str">
        <f t="array" ref="BE632">IF($F632&lt;&gt;"",XLOOKUP($F632,Productos!$A:$A,Productos!AX:AX,"Revisar"),"")</f>
        <v/>
      </c>
      <c r="BF632" s="179" t="str">
        <f t="array" ref="BF632">IF($F632&lt;&gt;"", XLOOKUP($F632,Productos!$A$2:$A1001,Productos!AY$2:AY1001,"")*$G632,"")</f>
        <v/>
      </c>
      <c r="BG632" s="179" t="str">
        <f t="array" ref="BG632">IF($F632&lt;&gt;"",XLOOKUP($F632,Productos!$A:$A,Productos!AZ:AZ,"Revisar"),"")</f>
        <v/>
      </c>
      <c r="BH632" s="179" t="str">
        <f t="array" ref="BH632">IF($F632&lt;&gt;"", XLOOKUP($F632,Productos!$A$2:$A1001,Productos!BA$2:BA1001,"")*$G632,"")</f>
        <v/>
      </c>
      <c r="BI632" s="179" t="str">
        <f t="array" ref="BI632">IF($F632&lt;&gt;"",XLOOKUP($F632,Productos!$A:$A,Productos!BB:BB,"Revisar"),"")</f>
        <v/>
      </c>
      <c r="BJ632" s="179" t="str">
        <f t="array" ref="BJ632">IF($F632&lt;&gt;"", XLOOKUP($F632,Productos!$A$2:$A1001,Productos!BC$2:BC1001,"")*$G632,"")</f>
        <v/>
      </c>
      <c r="BK632" s="179" t="str">
        <f t="array" ref="BK632">IF($F632&lt;&gt;"",XLOOKUP($F632,Productos!$A:$A,Productos!BD:BD,"Revisar"),"")</f>
        <v/>
      </c>
      <c r="BL632" s="179" t="str">
        <f t="array" ref="BL632">IF($F632&lt;&gt;"", XLOOKUP($F632,Productos!$A$2:$A1001,Productos!BE$2:BE1001,"")*$G632,"")</f>
        <v/>
      </c>
      <c r="BM632" s="179" t="str">
        <f t="array" ref="BM632">IF($F632&lt;&gt;"",XLOOKUP($F632,Productos!$A:$A,Productos!BF:BF,"Revisar"),"")</f>
        <v/>
      </c>
      <c r="BN632" s="179" t="str">
        <f t="array" ref="BN632">IF($F632&lt;&gt;"", XLOOKUP($F632,Productos!$A$2:$A1001,Productos!BG$2:BG1001,"")*$G632,"")</f>
        <v/>
      </c>
      <c r="BO632" s="179" t="str">
        <f t="array" ref="BO632">IF($F632&lt;&gt;"",XLOOKUP($F632,Productos!$A:$A,Productos!BH:BH,"Revisar"),"")</f>
        <v/>
      </c>
      <c r="BP632" s="179" t="str">
        <f t="array" ref="BP632">IF($F632&lt;&gt;"", XLOOKUP($F632,Productos!$A$2:$A1001,Productos!BI$2:BI1001,"")*$G632,"")</f>
        <v/>
      </c>
      <c r="BQ632" s="179" t="str">
        <f t="array" ref="BQ632">IF($F632&lt;&gt;"",XLOOKUP($F632,Productos!$A:$A,Productos!BJ:BJ,"Revisar"),"")</f>
        <v/>
      </c>
      <c r="BR632" s="179" t="str">
        <f t="array" ref="BR632">IF($F632&lt;&gt;"", XLOOKUP($F632,Productos!$A$2:$A1001,Productos!BK$2:BK1001,"")*$G632,"")</f>
        <v/>
      </c>
      <c r="BS632" s="179" t="str">
        <f t="array" ref="BS632">IF($F632&lt;&gt;"",XLOOKUP($F632,Productos!$A:$A,Productos!BL:BL,"Revisar"),"")</f>
        <v/>
      </c>
      <c r="BT632" s="179" t="str">
        <f t="array" ref="BT632">IF($F632&lt;&gt;"", XLOOKUP($F632,Productos!$A$2:$A1001,Productos!BM$2:BM1001,"")*$G632,"")</f>
        <v/>
      </c>
      <c r="BU632" s="179" t="str">
        <f t="array" ref="BU632">IF($F632&lt;&gt;"",XLOOKUP($F632,Productos!$A:$A,Productos!BN:BN,"Revisar"),"")</f>
        <v/>
      </c>
      <c r="BV632" s="179" t="str">
        <f t="array" ref="BV632">IF($F632&lt;&gt;"", XLOOKUP($F632,Productos!$A$2:$A1001,Productos!BO$2:BO1001,"")*$G632,"")</f>
        <v/>
      </c>
      <c r="BW632" s="179" t="str">
        <f t="array" ref="BW632">IF($F632&lt;&gt;"",XLOOKUP($F632,Productos!$A:$A,Productos!BP:BP,"Revisar"),"")</f>
        <v/>
      </c>
      <c r="BX632" s="179" t="str">
        <f t="array" ref="BX632">IF($F632&lt;&gt;"", XLOOKUP($F632,Productos!$A$2:$A1001,Productos!BQ$2:BQ1001,"")*$G632,"")</f>
        <v/>
      </c>
      <c r="BY632" s="179" t="str">
        <f t="array" ref="BY632">IF($F632&lt;&gt;"",XLOOKUP($F632,Productos!$A:$A,Productos!BR:BR,"Revisar"),"")</f>
        <v/>
      </c>
      <c r="BZ632" s="179" t="str">
        <f t="array" ref="BZ632">IF($F632&lt;&gt;"", XLOOKUP($F632,Productos!$A$2:$A1001,Productos!BS$2:BS1001,"")*$G632,"")</f>
        <v/>
      </c>
    </row>
    <row r="633">
      <c r="A633" s="188"/>
      <c r="B633" s="189"/>
      <c r="C633" s="190"/>
      <c r="D633" s="190"/>
      <c r="E633" s="191"/>
      <c r="F633" s="186"/>
      <c r="G633" s="192"/>
      <c r="H633" s="9"/>
      <c r="I633" s="179" t="str">
        <f t="array" ref="I633">IF($F633&lt;&gt;"",XLOOKUP($F633,Productos!$A:$A,Productos!B:B,"Revisar"),"")</f>
        <v/>
      </c>
      <c r="J633" s="179" t="str">
        <f t="array" ref="J633">IF($F633&lt;&gt;"", XLOOKUP($F633,Productos!$A$2:$A1001,Productos!C$2:C1001,"")*$G633,"")</f>
        <v/>
      </c>
      <c r="K633" s="179" t="str">
        <f t="array" ref="K633">IF($F633&lt;&gt;"",XLOOKUP($F633,Productos!$A:$A,Productos!D:D,"Revisar"),"")</f>
        <v/>
      </c>
      <c r="L633" s="179" t="str">
        <f t="array" ref="L633">IF($F633&lt;&gt;"", XLOOKUP($F633,Productos!$A$2:$A1001,Productos!E$2:E1001,"")*$G633,"")</f>
        <v/>
      </c>
      <c r="M633" s="179" t="str">
        <f t="array" ref="M633">IF($F633&lt;&gt;"",XLOOKUP($F633,Productos!$A:$A,Productos!F:F,"Revisar"),"")</f>
        <v/>
      </c>
      <c r="N633" s="179" t="str">
        <f t="array" ref="N633">IF($F633&lt;&gt;"", XLOOKUP($F633,Productos!$A$2:$A1001,Productos!G$2:G1001,"")*$G633,"")</f>
        <v/>
      </c>
      <c r="O633" s="179" t="str">
        <f t="array" ref="O633">IF($F633&lt;&gt;"",XLOOKUP($F633,Productos!$A:$A,Productos!H:H,"Revisar"),"")</f>
        <v/>
      </c>
      <c r="P633" s="179" t="str">
        <f t="array" ref="P633">IF($F633&lt;&gt;"", XLOOKUP($F633,Productos!$A$2:$A1001,Productos!I$2:I1001,"")*$G633,"")</f>
        <v/>
      </c>
      <c r="Q633" s="179" t="str">
        <f t="array" ref="Q633">IF($F633&lt;&gt;"",XLOOKUP($F633,Productos!$A:$A,Productos!J:J,"Revisar"),"")</f>
        <v/>
      </c>
      <c r="R633" s="179" t="str">
        <f t="array" ref="R633">IF($F633&lt;&gt;"", XLOOKUP($F633,Productos!$A$2:$A1001,Productos!K$2:K1001,"")*$G633,"")</f>
        <v/>
      </c>
      <c r="S633" s="179" t="str">
        <f t="array" ref="S633">IF($F633&lt;&gt;"",XLOOKUP($F633,Productos!$A:$A,Productos!L:L,"Revisar"),"")</f>
        <v/>
      </c>
      <c r="T633" s="179" t="str">
        <f t="array" ref="T633">IF($F633&lt;&gt;"", XLOOKUP($F633,Productos!$A$2:$A1001,Productos!M$2:M1001,"")*$G633,"")</f>
        <v/>
      </c>
      <c r="U633" s="179" t="str">
        <f t="array" ref="U633">IF($F633&lt;&gt;"",XLOOKUP($F633,Productos!$A:$A,Productos!N:N,"Revisar"),"")</f>
        <v/>
      </c>
      <c r="V633" s="179" t="str">
        <f t="array" ref="V633">IF($F633&lt;&gt;"", XLOOKUP($F633,Productos!$A$2:$A1001,Productos!O$2:O1001,"")*$G633,"")</f>
        <v/>
      </c>
      <c r="W633" s="179" t="str">
        <f t="array" ref="W633">IF($F633&lt;&gt;"",XLOOKUP($F633,Productos!$A:$A,Productos!P:P,"Revisar"),"")</f>
        <v/>
      </c>
      <c r="X633" s="179" t="str">
        <f t="array" ref="X633">IF($F633&lt;&gt;"", XLOOKUP($F633,Productos!$A$2:$A1001,Productos!Q$2:Q1001,"")*$G633,"")</f>
        <v/>
      </c>
      <c r="Y633" s="179" t="str">
        <f t="array" ref="Y633">IF($F633&lt;&gt;"",XLOOKUP($F633,Productos!$A:$A,Productos!R:R,"Revisar"),"")</f>
        <v/>
      </c>
      <c r="Z633" s="179" t="str">
        <f t="array" ref="Z633">IF($F633&lt;&gt;"", XLOOKUP($F633,Productos!$A$2:$A1001,Productos!S$2:S1001,"")*$G633,"")</f>
        <v/>
      </c>
      <c r="AA633" s="179" t="str">
        <f t="array" ref="AA633">IF($F633&lt;&gt;"",XLOOKUP($F633,Productos!$A:$A,Productos!T:T,"Revisar"),"")</f>
        <v/>
      </c>
      <c r="AB633" s="179" t="str">
        <f t="array" ref="AB633">IF($F633&lt;&gt;"", XLOOKUP($F633,Productos!$A$2:$A1001,Productos!U$2:U1001,"")*$G633,"")</f>
        <v/>
      </c>
      <c r="AC633" s="179" t="str">
        <f t="array" ref="AC633">IF($F633&lt;&gt;"",XLOOKUP($F633,Productos!$A:$A,Productos!V:V,"Revisar"),"")</f>
        <v/>
      </c>
      <c r="AD633" s="179" t="str">
        <f t="array" ref="AD633">IF($F633&lt;&gt;"", XLOOKUP($F633,Productos!$A$2:$A1001,Productos!W$2:W1001,"")*$G633,"")</f>
        <v/>
      </c>
      <c r="AE633" s="179" t="str">
        <f t="array" ref="AE633">IF($F633&lt;&gt;"",XLOOKUP($F633,Productos!$A:$A,Productos!X:X,"Revisar"),"")</f>
        <v/>
      </c>
      <c r="AF633" s="179" t="str">
        <f t="array" ref="AF633">IF($F633&lt;&gt;"", XLOOKUP($F633,Productos!$A$2:$A1001,Productos!Y$2:Y1001,"")*$G633,"")</f>
        <v/>
      </c>
      <c r="AG633" s="179" t="str">
        <f t="array" ref="AG633">IF($F633&lt;&gt;"",XLOOKUP($F633,Productos!$A:$A,Productos!Z:Z,"Revisar"),"")</f>
        <v/>
      </c>
      <c r="AH633" s="179" t="str">
        <f t="array" ref="AH633">IF($F633&lt;&gt;"", XLOOKUP($F633,Productos!$A$2:$A1001,Productos!AA$2:AA1001,"")*$G633,"")</f>
        <v/>
      </c>
      <c r="AI633" s="179" t="str">
        <f t="array" ref="AI633">IF($F633&lt;&gt;"",XLOOKUP($F633,Productos!$A:$A,Productos!AB:AB,"Revisar"),"")</f>
        <v/>
      </c>
      <c r="AJ633" s="179" t="str">
        <f t="array" ref="AJ633">IF($F633&lt;&gt;"", XLOOKUP($F633,Productos!$A$2:$A1001,Productos!AC$2:AC1001,"")*$G633,"")</f>
        <v/>
      </c>
      <c r="AK633" s="179" t="str">
        <f t="array" ref="AK633">IF($F633&lt;&gt;"",XLOOKUP($F633,Productos!$A:$A,Productos!AD:AD,"Revisar"),"")</f>
        <v/>
      </c>
      <c r="AL633" s="179" t="str">
        <f t="array" ref="AL633">IF($F633&lt;&gt;"", XLOOKUP($F633,Productos!$A$2:$A1001,Productos!AE$2:AE1001,"")*$G633,"")</f>
        <v/>
      </c>
      <c r="AM633" s="179" t="str">
        <f t="array" ref="AM633">IF($F633&lt;&gt;"",XLOOKUP($F633,Productos!$A:$A,Productos!AF:AF,"Revisar"),"")</f>
        <v/>
      </c>
      <c r="AN633" s="179" t="str">
        <f t="array" ref="AN633">IF($F633&lt;&gt;"", XLOOKUP($F633,Productos!$A$2:$A1001,Productos!AG$2:AG1001,"")*$G633,"")</f>
        <v/>
      </c>
      <c r="AO633" s="179" t="str">
        <f t="array" ref="AO633">IF($F633&lt;&gt;"",XLOOKUP($F633,Productos!$A:$A,Productos!AH:AH,"Revisar"),"")</f>
        <v/>
      </c>
      <c r="AP633" s="179" t="str">
        <f t="array" ref="AP633">IF($F633&lt;&gt;"", XLOOKUP($F633,Productos!$A$2:$A1001,Productos!AI$2:AI1001,"")*$G633,"")</f>
        <v/>
      </c>
      <c r="AQ633" s="179" t="str">
        <f t="array" ref="AQ633">IF($F633&lt;&gt;"",XLOOKUP($F633,Productos!$A:$A,Productos!AJ:AJ,"Revisar"),"")</f>
        <v/>
      </c>
      <c r="AR633" s="179" t="str">
        <f t="array" ref="AR633">IF($F633&lt;&gt;"", XLOOKUP($F633,Productos!$A$2:$A1001,Productos!AK$2:AK1001,"")*$G633,"")</f>
        <v/>
      </c>
      <c r="AS633" s="179" t="str">
        <f t="array" ref="AS633">IF($F633&lt;&gt;"",XLOOKUP($F633,Productos!$A:$A,Productos!AL:AL,"Revisar"),"")</f>
        <v/>
      </c>
      <c r="AT633" s="179" t="str">
        <f t="array" ref="AT633">IF($F633&lt;&gt;"", XLOOKUP($F633,Productos!$A$2:$A1001,Productos!AM$2:AM1001,"")*$G633,"")</f>
        <v/>
      </c>
      <c r="AU633" s="179" t="str">
        <f t="array" ref="AU633">IF($F633&lt;&gt;"",XLOOKUP($F633,Productos!$A:$A,Productos!AN:AN,"Revisar"),"")</f>
        <v/>
      </c>
      <c r="AV633" s="179" t="str">
        <f t="array" ref="AV633">IF($F633&lt;&gt;"", XLOOKUP($F633,Productos!$A$2:$A1001,Productos!AO$2:AO1001,"")*$G633,"")</f>
        <v/>
      </c>
      <c r="AW633" s="179" t="str">
        <f t="array" ref="AW633">IF($F633&lt;&gt;"",XLOOKUP($F633,Productos!$A:$A,Productos!AP:AP,"Revisar"),"")</f>
        <v/>
      </c>
      <c r="AX633" s="179" t="str">
        <f t="array" ref="AX633">IF($F633&lt;&gt;"", XLOOKUP($F633,Productos!$A$2:$A1001,Productos!AQ$2:AQ1001,"")*$G633,"")</f>
        <v/>
      </c>
      <c r="AY633" s="179" t="str">
        <f t="array" ref="AY633">IF($F633&lt;&gt;"",XLOOKUP($F633,Productos!$A:$A,Productos!AR:AR,"Revisar"),"")</f>
        <v/>
      </c>
      <c r="AZ633" s="179" t="str">
        <f t="array" ref="AZ633">IF($F633&lt;&gt;"", XLOOKUP($F633,Productos!$A$2:$A1001,Productos!AS$2:AS1001,"")*$G633,"")</f>
        <v/>
      </c>
      <c r="BA633" s="179" t="str">
        <f t="array" ref="BA633">IF($F633&lt;&gt;"",XLOOKUP($F633,Productos!$A:$A,Productos!AT:AT,"Revisar"),"")</f>
        <v/>
      </c>
      <c r="BB633" s="179" t="str">
        <f t="array" ref="BB633">IF($F633&lt;&gt;"", XLOOKUP($F633,Productos!$A$2:$A1001,Productos!AU$2:AU1001,"")*$G633,"")</f>
        <v/>
      </c>
      <c r="BC633" s="179" t="str">
        <f t="array" ref="BC633">IF($F633&lt;&gt;"",XLOOKUP($F633,Productos!$A:$A,Productos!AV:AV,"Revisar"),"")</f>
        <v/>
      </c>
      <c r="BD633" s="179" t="str">
        <f t="array" ref="BD633">IF($F633&lt;&gt;"", XLOOKUP($F633,Productos!$A$2:$A1001,Productos!AW$2:AW1001,"")*$G633,"")</f>
        <v/>
      </c>
      <c r="BE633" s="179" t="str">
        <f t="array" ref="BE633">IF($F633&lt;&gt;"",XLOOKUP($F633,Productos!$A:$A,Productos!AX:AX,"Revisar"),"")</f>
        <v/>
      </c>
      <c r="BF633" s="179" t="str">
        <f t="array" ref="BF633">IF($F633&lt;&gt;"", XLOOKUP($F633,Productos!$A$2:$A1001,Productos!AY$2:AY1001,"")*$G633,"")</f>
        <v/>
      </c>
      <c r="BG633" s="179" t="str">
        <f t="array" ref="BG633">IF($F633&lt;&gt;"",XLOOKUP($F633,Productos!$A:$A,Productos!AZ:AZ,"Revisar"),"")</f>
        <v/>
      </c>
      <c r="BH633" s="179" t="str">
        <f t="array" ref="BH633">IF($F633&lt;&gt;"", XLOOKUP($F633,Productos!$A$2:$A1001,Productos!BA$2:BA1001,"")*$G633,"")</f>
        <v/>
      </c>
      <c r="BI633" s="179" t="str">
        <f t="array" ref="BI633">IF($F633&lt;&gt;"",XLOOKUP($F633,Productos!$A:$A,Productos!BB:BB,"Revisar"),"")</f>
        <v/>
      </c>
      <c r="BJ633" s="179" t="str">
        <f t="array" ref="BJ633">IF($F633&lt;&gt;"", XLOOKUP($F633,Productos!$A$2:$A1001,Productos!BC$2:BC1001,"")*$G633,"")</f>
        <v/>
      </c>
      <c r="BK633" s="179" t="str">
        <f t="array" ref="BK633">IF($F633&lt;&gt;"",XLOOKUP($F633,Productos!$A:$A,Productos!BD:BD,"Revisar"),"")</f>
        <v/>
      </c>
      <c r="BL633" s="179" t="str">
        <f t="array" ref="BL633">IF($F633&lt;&gt;"", XLOOKUP($F633,Productos!$A$2:$A1001,Productos!BE$2:BE1001,"")*$G633,"")</f>
        <v/>
      </c>
      <c r="BM633" s="179" t="str">
        <f t="array" ref="BM633">IF($F633&lt;&gt;"",XLOOKUP($F633,Productos!$A:$A,Productos!BF:BF,"Revisar"),"")</f>
        <v/>
      </c>
      <c r="BN633" s="179" t="str">
        <f t="array" ref="BN633">IF($F633&lt;&gt;"", XLOOKUP($F633,Productos!$A$2:$A1001,Productos!BG$2:BG1001,"")*$G633,"")</f>
        <v/>
      </c>
      <c r="BO633" s="179" t="str">
        <f t="array" ref="BO633">IF($F633&lt;&gt;"",XLOOKUP($F633,Productos!$A:$A,Productos!BH:BH,"Revisar"),"")</f>
        <v/>
      </c>
      <c r="BP633" s="179" t="str">
        <f t="array" ref="BP633">IF($F633&lt;&gt;"", XLOOKUP($F633,Productos!$A$2:$A1001,Productos!BI$2:BI1001,"")*$G633,"")</f>
        <v/>
      </c>
      <c r="BQ633" s="179" t="str">
        <f t="array" ref="BQ633">IF($F633&lt;&gt;"",XLOOKUP($F633,Productos!$A:$A,Productos!BJ:BJ,"Revisar"),"")</f>
        <v/>
      </c>
      <c r="BR633" s="179" t="str">
        <f t="array" ref="BR633">IF($F633&lt;&gt;"", XLOOKUP($F633,Productos!$A$2:$A1001,Productos!BK$2:BK1001,"")*$G633,"")</f>
        <v/>
      </c>
      <c r="BS633" s="179" t="str">
        <f t="array" ref="BS633">IF($F633&lt;&gt;"",XLOOKUP($F633,Productos!$A:$A,Productos!BL:BL,"Revisar"),"")</f>
        <v/>
      </c>
      <c r="BT633" s="179" t="str">
        <f t="array" ref="BT633">IF($F633&lt;&gt;"", XLOOKUP($F633,Productos!$A$2:$A1001,Productos!BM$2:BM1001,"")*$G633,"")</f>
        <v/>
      </c>
      <c r="BU633" s="179" t="str">
        <f t="array" ref="BU633">IF($F633&lt;&gt;"",XLOOKUP($F633,Productos!$A:$A,Productos!BN:BN,"Revisar"),"")</f>
        <v/>
      </c>
      <c r="BV633" s="179" t="str">
        <f t="array" ref="BV633">IF($F633&lt;&gt;"", XLOOKUP($F633,Productos!$A$2:$A1001,Productos!BO$2:BO1001,"")*$G633,"")</f>
        <v/>
      </c>
      <c r="BW633" s="179" t="str">
        <f t="array" ref="BW633">IF($F633&lt;&gt;"",XLOOKUP($F633,Productos!$A:$A,Productos!BP:BP,"Revisar"),"")</f>
        <v/>
      </c>
      <c r="BX633" s="179" t="str">
        <f t="array" ref="BX633">IF($F633&lt;&gt;"", XLOOKUP($F633,Productos!$A$2:$A1001,Productos!BQ$2:BQ1001,"")*$G633,"")</f>
        <v/>
      </c>
      <c r="BY633" s="179" t="str">
        <f t="array" ref="BY633">IF($F633&lt;&gt;"",XLOOKUP($F633,Productos!$A:$A,Productos!BR:BR,"Revisar"),"")</f>
        <v/>
      </c>
      <c r="BZ633" s="179" t="str">
        <f t="array" ref="BZ633">IF($F633&lt;&gt;"", XLOOKUP($F633,Productos!$A$2:$A1001,Productos!BS$2:BS1001,"")*$G633,"")</f>
        <v/>
      </c>
    </row>
    <row r="634">
      <c r="A634" s="188"/>
      <c r="B634" s="189"/>
      <c r="C634" s="190"/>
      <c r="D634" s="190"/>
      <c r="E634" s="191"/>
      <c r="F634" s="186"/>
      <c r="G634" s="192"/>
      <c r="H634" s="9"/>
      <c r="I634" s="179" t="str">
        <f t="array" ref="I634">IF($F634&lt;&gt;"",XLOOKUP($F634,Productos!$A:$A,Productos!B:B,"Revisar"),"")</f>
        <v/>
      </c>
      <c r="J634" s="179" t="str">
        <f t="array" ref="J634">IF($F634&lt;&gt;"", XLOOKUP($F634,Productos!$A$2:$A1001,Productos!C$2:C1001,"")*$G634,"")</f>
        <v/>
      </c>
      <c r="K634" s="179" t="str">
        <f t="array" ref="K634">IF($F634&lt;&gt;"",XLOOKUP($F634,Productos!$A:$A,Productos!D:D,"Revisar"),"")</f>
        <v/>
      </c>
      <c r="L634" s="179" t="str">
        <f t="array" ref="L634">IF($F634&lt;&gt;"", XLOOKUP($F634,Productos!$A$2:$A1001,Productos!E$2:E1001,"")*$G634,"")</f>
        <v/>
      </c>
      <c r="M634" s="179" t="str">
        <f t="array" ref="M634">IF($F634&lt;&gt;"",XLOOKUP($F634,Productos!$A:$A,Productos!F:F,"Revisar"),"")</f>
        <v/>
      </c>
      <c r="N634" s="179" t="str">
        <f t="array" ref="N634">IF($F634&lt;&gt;"", XLOOKUP($F634,Productos!$A$2:$A1001,Productos!G$2:G1001,"")*$G634,"")</f>
        <v/>
      </c>
      <c r="O634" s="179" t="str">
        <f t="array" ref="O634">IF($F634&lt;&gt;"",XLOOKUP($F634,Productos!$A:$A,Productos!H:H,"Revisar"),"")</f>
        <v/>
      </c>
      <c r="P634" s="179" t="str">
        <f t="array" ref="P634">IF($F634&lt;&gt;"", XLOOKUP($F634,Productos!$A$2:$A1001,Productos!I$2:I1001,"")*$G634,"")</f>
        <v/>
      </c>
      <c r="Q634" s="179" t="str">
        <f t="array" ref="Q634">IF($F634&lt;&gt;"",XLOOKUP($F634,Productos!$A:$A,Productos!J:J,"Revisar"),"")</f>
        <v/>
      </c>
      <c r="R634" s="179" t="str">
        <f t="array" ref="R634">IF($F634&lt;&gt;"", XLOOKUP($F634,Productos!$A$2:$A1001,Productos!K$2:K1001,"")*$G634,"")</f>
        <v/>
      </c>
      <c r="S634" s="179" t="str">
        <f t="array" ref="S634">IF($F634&lt;&gt;"",XLOOKUP($F634,Productos!$A:$A,Productos!L:L,"Revisar"),"")</f>
        <v/>
      </c>
      <c r="T634" s="179" t="str">
        <f t="array" ref="T634">IF($F634&lt;&gt;"", XLOOKUP($F634,Productos!$A$2:$A1001,Productos!M$2:M1001,"")*$G634,"")</f>
        <v/>
      </c>
      <c r="U634" s="179" t="str">
        <f t="array" ref="U634">IF($F634&lt;&gt;"",XLOOKUP($F634,Productos!$A:$A,Productos!N:N,"Revisar"),"")</f>
        <v/>
      </c>
      <c r="V634" s="179" t="str">
        <f t="array" ref="V634">IF($F634&lt;&gt;"", XLOOKUP($F634,Productos!$A$2:$A1001,Productos!O$2:O1001,"")*$G634,"")</f>
        <v/>
      </c>
      <c r="W634" s="179" t="str">
        <f t="array" ref="W634">IF($F634&lt;&gt;"",XLOOKUP($F634,Productos!$A:$A,Productos!P:P,"Revisar"),"")</f>
        <v/>
      </c>
      <c r="X634" s="179" t="str">
        <f t="array" ref="X634">IF($F634&lt;&gt;"", XLOOKUP($F634,Productos!$A$2:$A1001,Productos!Q$2:Q1001,"")*$G634,"")</f>
        <v/>
      </c>
      <c r="Y634" s="179" t="str">
        <f t="array" ref="Y634">IF($F634&lt;&gt;"",XLOOKUP($F634,Productos!$A:$A,Productos!R:R,"Revisar"),"")</f>
        <v/>
      </c>
      <c r="Z634" s="179" t="str">
        <f t="array" ref="Z634">IF($F634&lt;&gt;"", XLOOKUP($F634,Productos!$A$2:$A1001,Productos!S$2:S1001,"")*$G634,"")</f>
        <v/>
      </c>
      <c r="AA634" s="179" t="str">
        <f t="array" ref="AA634">IF($F634&lt;&gt;"",XLOOKUP($F634,Productos!$A:$A,Productos!T:T,"Revisar"),"")</f>
        <v/>
      </c>
      <c r="AB634" s="179" t="str">
        <f t="array" ref="AB634">IF($F634&lt;&gt;"", XLOOKUP($F634,Productos!$A$2:$A1001,Productos!U$2:U1001,"")*$G634,"")</f>
        <v/>
      </c>
      <c r="AC634" s="179" t="str">
        <f t="array" ref="AC634">IF($F634&lt;&gt;"",XLOOKUP($F634,Productos!$A:$A,Productos!V:V,"Revisar"),"")</f>
        <v/>
      </c>
      <c r="AD634" s="179" t="str">
        <f t="array" ref="AD634">IF($F634&lt;&gt;"", XLOOKUP($F634,Productos!$A$2:$A1001,Productos!W$2:W1001,"")*$G634,"")</f>
        <v/>
      </c>
      <c r="AE634" s="179" t="str">
        <f t="array" ref="AE634">IF($F634&lt;&gt;"",XLOOKUP($F634,Productos!$A:$A,Productos!X:X,"Revisar"),"")</f>
        <v/>
      </c>
      <c r="AF634" s="179" t="str">
        <f t="array" ref="AF634">IF($F634&lt;&gt;"", XLOOKUP($F634,Productos!$A$2:$A1001,Productos!Y$2:Y1001,"")*$G634,"")</f>
        <v/>
      </c>
      <c r="AG634" s="179" t="str">
        <f t="array" ref="AG634">IF($F634&lt;&gt;"",XLOOKUP($F634,Productos!$A:$A,Productos!Z:Z,"Revisar"),"")</f>
        <v/>
      </c>
      <c r="AH634" s="179" t="str">
        <f t="array" ref="AH634">IF($F634&lt;&gt;"", XLOOKUP($F634,Productos!$A$2:$A1001,Productos!AA$2:AA1001,"")*$G634,"")</f>
        <v/>
      </c>
      <c r="AI634" s="179" t="str">
        <f t="array" ref="AI634">IF($F634&lt;&gt;"",XLOOKUP($F634,Productos!$A:$A,Productos!AB:AB,"Revisar"),"")</f>
        <v/>
      </c>
      <c r="AJ634" s="179" t="str">
        <f t="array" ref="AJ634">IF($F634&lt;&gt;"", XLOOKUP($F634,Productos!$A$2:$A1001,Productos!AC$2:AC1001,"")*$G634,"")</f>
        <v/>
      </c>
      <c r="AK634" s="179" t="str">
        <f t="array" ref="AK634">IF($F634&lt;&gt;"",XLOOKUP($F634,Productos!$A:$A,Productos!AD:AD,"Revisar"),"")</f>
        <v/>
      </c>
      <c r="AL634" s="179" t="str">
        <f t="array" ref="AL634">IF($F634&lt;&gt;"", XLOOKUP($F634,Productos!$A$2:$A1001,Productos!AE$2:AE1001,"")*$G634,"")</f>
        <v/>
      </c>
      <c r="AM634" s="179" t="str">
        <f t="array" ref="AM634">IF($F634&lt;&gt;"",XLOOKUP($F634,Productos!$A:$A,Productos!AF:AF,"Revisar"),"")</f>
        <v/>
      </c>
      <c r="AN634" s="179" t="str">
        <f t="array" ref="AN634">IF($F634&lt;&gt;"", XLOOKUP($F634,Productos!$A$2:$A1001,Productos!AG$2:AG1001,"")*$G634,"")</f>
        <v/>
      </c>
      <c r="AO634" s="179" t="str">
        <f t="array" ref="AO634">IF($F634&lt;&gt;"",XLOOKUP($F634,Productos!$A:$A,Productos!AH:AH,"Revisar"),"")</f>
        <v/>
      </c>
      <c r="AP634" s="179" t="str">
        <f t="array" ref="AP634">IF($F634&lt;&gt;"", XLOOKUP($F634,Productos!$A$2:$A1001,Productos!AI$2:AI1001,"")*$G634,"")</f>
        <v/>
      </c>
      <c r="AQ634" s="179" t="str">
        <f t="array" ref="AQ634">IF($F634&lt;&gt;"",XLOOKUP($F634,Productos!$A:$A,Productos!AJ:AJ,"Revisar"),"")</f>
        <v/>
      </c>
      <c r="AR634" s="179" t="str">
        <f t="array" ref="AR634">IF($F634&lt;&gt;"", XLOOKUP($F634,Productos!$A$2:$A1001,Productos!AK$2:AK1001,"")*$G634,"")</f>
        <v/>
      </c>
      <c r="AS634" s="179" t="str">
        <f t="array" ref="AS634">IF($F634&lt;&gt;"",XLOOKUP($F634,Productos!$A:$A,Productos!AL:AL,"Revisar"),"")</f>
        <v/>
      </c>
      <c r="AT634" s="179" t="str">
        <f t="array" ref="AT634">IF($F634&lt;&gt;"", XLOOKUP($F634,Productos!$A$2:$A1001,Productos!AM$2:AM1001,"")*$G634,"")</f>
        <v/>
      </c>
      <c r="AU634" s="179" t="str">
        <f t="array" ref="AU634">IF($F634&lt;&gt;"",XLOOKUP($F634,Productos!$A:$A,Productos!AN:AN,"Revisar"),"")</f>
        <v/>
      </c>
      <c r="AV634" s="179" t="str">
        <f t="array" ref="AV634">IF($F634&lt;&gt;"", XLOOKUP($F634,Productos!$A$2:$A1001,Productos!AO$2:AO1001,"")*$G634,"")</f>
        <v/>
      </c>
      <c r="AW634" s="179" t="str">
        <f t="array" ref="AW634">IF($F634&lt;&gt;"",XLOOKUP($F634,Productos!$A:$A,Productos!AP:AP,"Revisar"),"")</f>
        <v/>
      </c>
      <c r="AX634" s="179" t="str">
        <f t="array" ref="AX634">IF($F634&lt;&gt;"", XLOOKUP($F634,Productos!$A$2:$A1001,Productos!AQ$2:AQ1001,"")*$G634,"")</f>
        <v/>
      </c>
      <c r="AY634" s="179" t="str">
        <f t="array" ref="AY634">IF($F634&lt;&gt;"",XLOOKUP($F634,Productos!$A:$A,Productos!AR:AR,"Revisar"),"")</f>
        <v/>
      </c>
      <c r="AZ634" s="179" t="str">
        <f t="array" ref="AZ634">IF($F634&lt;&gt;"", XLOOKUP($F634,Productos!$A$2:$A1001,Productos!AS$2:AS1001,"")*$G634,"")</f>
        <v/>
      </c>
      <c r="BA634" s="179" t="str">
        <f t="array" ref="BA634">IF($F634&lt;&gt;"",XLOOKUP($F634,Productos!$A:$A,Productos!AT:AT,"Revisar"),"")</f>
        <v/>
      </c>
      <c r="BB634" s="179" t="str">
        <f t="array" ref="BB634">IF($F634&lt;&gt;"", XLOOKUP($F634,Productos!$A$2:$A1001,Productos!AU$2:AU1001,"")*$G634,"")</f>
        <v/>
      </c>
      <c r="BC634" s="179" t="str">
        <f t="array" ref="BC634">IF($F634&lt;&gt;"",XLOOKUP($F634,Productos!$A:$A,Productos!AV:AV,"Revisar"),"")</f>
        <v/>
      </c>
      <c r="BD634" s="179" t="str">
        <f t="array" ref="BD634">IF($F634&lt;&gt;"", XLOOKUP($F634,Productos!$A$2:$A1001,Productos!AW$2:AW1001,"")*$G634,"")</f>
        <v/>
      </c>
      <c r="BE634" s="179" t="str">
        <f t="array" ref="BE634">IF($F634&lt;&gt;"",XLOOKUP($F634,Productos!$A:$A,Productos!AX:AX,"Revisar"),"")</f>
        <v/>
      </c>
      <c r="BF634" s="179" t="str">
        <f t="array" ref="BF634">IF($F634&lt;&gt;"", XLOOKUP($F634,Productos!$A$2:$A1001,Productos!AY$2:AY1001,"")*$G634,"")</f>
        <v/>
      </c>
      <c r="BG634" s="179" t="str">
        <f t="array" ref="BG634">IF($F634&lt;&gt;"",XLOOKUP($F634,Productos!$A:$A,Productos!AZ:AZ,"Revisar"),"")</f>
        <v/>
      </c>
      <c r="BH634" s="179" t="str">
        <f t="array" ref="BH634">IF($F634&lt;&gt;"", XLOOKUP($F634,Productos!$A$2:$A1001,Productos!BA$2:BA1001,"")*$G634,"")</f>
        <v/>
      </c>
      <c r="BI634" s="179" t="str">
        <f t="array" ref="BI634">IF($F634&lt;&gt;"",XLOOKUP($F634,Productos!$A:$A,Productos!BB:BB,"Revisar"),"")</f>
        <v/>
      </c>
      <c r="BJ634" s="179" t="str">
        <f t="array" ref="BJ634">IF($F634&lt;&gt;"", XLOOKUP($F634,Productos!$A$2:$A1001,Productos!BC$2:BC1001,"")*$G634,"")</f>
        <v/>
      </c>
      <c r="BK634" s="179" t="str">
        <f t="array" ref="BK634">IF($F634&lt;&gt;"",XLOOKUP($F634,Productos!$A:$A,Productos!BD:BD,"Revisar"),"")</f>
        <v/>
      </c>
      <c r="BL634" s="179" t="str">
        <f t="array" ref="BL634">IF($F634&lt;&gt;"", XLOOKUP($F634,Productos!$A$2:$A1001,Productos!BE$2:BE1001,"")*$G634,"")</f>
        <v/>
      </c>
      <c r="BM634" s="179" t="str">
        <f t="array" ref="BM634">IF($F634&lt;&gt;"",XLOOKUP($F634,Productos!$A:$A,Productos!BF:BF,"Revisar"),"")</f>
        <v/>
      </c>
      <c r="BN634" s="179" t="str">
        <f t="array" ref="BN634">IF($F634&lt;&gt;"", XLOOKUP($F634,Productos!$A$2:$A1001,Productos!BG$2:BG1001,"")*$G634,"")</f>
        <v/>
      </c>
      <c r="BO634" s="179" t="str">
        <f t="array" ref="BO634">IF($F634&lt;&gt;"",XLOOKUP($F634,Productos!$A:$A,Productos!BH:BH,"Revisar"),"")</f>
        <v/>
      </c>
      <c r="BP634" s="179" t="str">
        <f t="array" ref="BP634">IF($F634&lt;&gt;"", XLOOKUP($F634,Productos!$A$2:$A1001,Productos!BI$2:BI1001,"")*$G634,"")</f>
        <v/>
      </c>
      <c r="BQ634" s="179" t="str">
        <f t="array" ref="BQ634">IF($F634&lt;&gt;"",XLOOKUP($F634,Productos!$A:$A,Productos!BJ:BJ,"Revisar"),"")</f>
        <v/>
      </c>
      <c r="BR634" s="179" t="str">
        <f t="array" ref="BR634">IF($F634&lt;&gt;"", XLOOKUP($F634,Productos!$A$2:$A1001,Productos!BK$2:BK1001,"")*$G634,"")</f>
        <v/>
      </c>
      <c r="BS634" s="179" t="str">
        <f t="array" ref="BS634">IF($F634&lt;&gt;"",XLOOKUP($F634,Productos!$A:$A,Productos!BL:BL,"Revisar"),"")</f>
        <v/>
      </c>
      <c r="BT634" s="179" t="str">
        <f t="array" ref="BT634">IF($F634&lt;&gt;"", XLOOKUP($F634,Productos!$A$2:$A1001,Productos!BM$2:BM1001,"")*$G634,"")</f>
        <v/>
      </c>
      <c r="BU634" s="179" t="str">
        <f t="array" ref="BU634">IF($F634&lt;&gt;"",XLOOKUP($F634,Productos!$A:$A,Productos!BN:BN,"Revisar"),"")</f>
        <v/>
      </c>
      <c r="BV634" s="179" t="str">
        <f t="array" ref="BV634">IF($F634&lt;&gt;"", XLOOKUP($F634,Productos!$A$2:$A1001,Productos!BO$2:BO1001,"")*$G634,"")</f>
        <v/>
      </c>
      <c r="BW634" s="179" t="str">
        <f t="array" ref="BW634">IF($F634&lt;&gt;"",XLOOKUP($F634,Productos!$A:$A,Productos!BP:BP,"Revisar"),"")</f>
        <v/>
      </c>
      <c r="BX634" s="179" t="str">
        <f t="array" ref="BX634">IF($F634&lt;&gt;"", XLOOKUP($F634,Productos!$A$2:$A1001,Productos!BQ$2:BQ1001,"")*$G634,"")</f>
        <v/>
      </c>
      <c r="BY634" s="179" t="str">
        <f t="array" ref="BY634">IF($F634&lt;&gt;"",XLOOKUP($F634,Productos!$A:$A,Productos!BR:BR,"Revisar"),"")</f>
        <v/>
      </c>
      <c r="BZ634" s="179" t="str">
        <f t="array" ref="BZ634">IF($F634&lt;&gt;"", XLOOKUP($F634,Productos!$A$2:$A1001,Productos!BS$2:BS1001,"")*$G634,"")</f>
        <v/>
      </c>
    </row>
    <row r="635">
      <c r="A635" s="188"/>
      <c r="B635" s="189"/>
      <c r="C635" s="190"/>
      <c r="D635" s="190"/>
      <c r="E635" s="191"/>
      <c r="F635" s="186"/>
      <c r="G635" s="192"/>
      <c r="H635" s="9"/>
      <c r="I635" s="179" t="str">
        <f t="array" ref="I635">IF($F635&lt;&gt;"",XLOOKUP($F635,Productos!$A:$A,Productos!B:B,"Revisar"),"")</f>
        <v/>
      </c>
      <c r="J635" s="179" t="str">
        <f t="array" ref="J635">IF($F635&lt;&gt;"", XLOOKUP($F635,Productos!$A$2:$A1001,Productos!C$2:C1001,"")*$G635,"")</f>
        <v/>
      </c>
      <c r="K635" s="179" t="str">
        <f t="array" ref="K635">IF($F635&lt;&gt;"",XLOOKUP($F635,Productos!$A:$A,Productos!D:D,"Revisar"),"")</f>
        <v/>
      </c>
      <c r="L635" s="179" t="str">
        <f t="array" ref="L635">IF($F635&lt;&gt;"", XLOOKUP($F635,Productos!$A$2:$A1001,Productos!E$2:E1001,"")*$G635,"")</f>
        <v/>
      </c>
      <c r="M635" s="179" t="str">
        <f t="array" ref="M635">IF($F635&lt;&gt;"",XLOOKUP($F635,Productos!$A:$A,Productos!F:F,"Revisar"),"")</f>
        <v/>
      </c>
      <c r="N635" s="179" t="str">
        <f t="array" ref="N635">IF($F635&lt;&gt;"", XLOOKUP($F635,Productos!$A$2:$A1001,Productos!G$2:G1001,"")*$G635,"")</f>
        <v/>
      </c>
      <c r="O635" s="179" t="str">
        <f t="array" ref="O635">IF($F635&lt;&gt;"",XLOOKUP($F635,Productos!$A:$A,Productos!H:H,"Revisar"),"")</f>
        <v/>
      </c>
      <c r="P635" s="179" t="str">
        <f t="array" ref="P635">IF($F635&lt;&gt;"", XLOOKUP($F635,Productos!$A$2:$A1001,Productos!I$2:I1001,"")*$G635,"")</f>
        <v/>
      </c>
      <c r="Q635" s="179" t="str">
        <f t="array" ref="Q635">IF($F635&lt;&gt;"",XLOOKUP($F635,Productos!$A:$A,Productos!J:J,"Revisar"),"")</f>
        <v/>
      </c>
      <c r="R635" s="179" t="str">
        <f t="array" ref="R635">IF($F635&lt;&gt;"", XLOOKUP($F635,Productos!$A$2:$A1001,Productos!K$2:K1001,"")*$G635,"")</f>
        <v/>
      </c>
      <c r="S635" s="179" t="str">
        <f t="array" ref="S635">IF($F635&lt;&gt;"",XLOOKUP($F635,Productos!$A:$A,Productos!L:L,"Revisar"),"")</f>
        <v/>
      </c>
      <c r="T635" s="179" t="str">
        <f t="array" ref="T635">IF($F635&lt;&gt;"", XLOOKUP($F635,Productos!$A$2:$A1001,Productos!M$2:M1001,"")*$G635,"")</f>
        <v/>
      </c>
      <c r="U635" s="179" t="str">
        <f t="array" ref="U635">IF($F635&lt;&gt;"",XLOOKUP($F635,Productos!$A:$A,Productos!N:N,"Revisar"),"")</f>
        <v/>
      </c>
      <c r="V635" s="179" t="str">
        <f t="array" ref="V635">IF($F635&lt;&gt;"", XLOOKUP($F635,Productos!$A$2:$A1001,Productos!O$2:O1001,"")*$G635,"")</f>
        <v/>
      </c>
      <c r="W635" s="179" t="str">
        <f t="array" ref="W635">IF($F635&lt;&gt;"",XLOOKUP($F635,Productos!$A:$A,Productos!P:P,"Revisar"),"")</f>
        <v/>
      </c>
      <c r="X635" s="179" t="str">
        <f t="array" ref="X635">IF($F635&lt;&gt;"", XLOOKUP($F635,Productos!$A$2:$A1001,Productos!Q$2:Q1001,"")*$G635,"")</f>
        <v/>
      </c>
      <c r="Y635" s="179" t="str">
        <f t="array" ref="Y635">IF($F635&lt;&gt;"",XLOOKUP($F635,Productos!$A:$A,Productos!R:R,"Revisar"),"")</f>
        <v/>
      </c>
      <c r="Z635" s="179" t="str">
        <f t="array" ref="Z635">IF($F635&lt;&gt;"", XLOOKUP($F635,Productos!$A$2:$A1001,Productos!S$2:S1001,"")*$G635,"")</f>
        <v/>
      </c>
      <c r="AA635" s="179" t="str">
        <f t="array" ref="AA635">IF($F635&lt;&gt;"",XLOOKUP($F635,Productos!$A:$A,Productos!T:T,"Revisar"),"")</f>
        <v/>
      </c>
      <c r="AB635" s="179" t="str">
        <f t="array" ref="AB635">IF($F635&lt;&gt;"", XLOOKUP($F635,Productos!$A$2:$A1001,Productos!U$2:U1001,"")*$G635,"")</f>
        <v/>
      </c>
      <c r="AC635" s="179" t="str">
        <f t="array" ref="AC635">IF($F635&lt;&gt;"",XLOOKUP($F635,Productos!$A:$A,Productos!V:V,"Revisar"),"")</f>
        <v/>
      </c>
      <c r="AD635" s="179" t="str">
        <f t="array" ref="AD635">IF($F635&lt;&gt;"", XLOOKUP($F635,Productos!$A$2:$A1001,Productos!W$2:W1001,"")*$G635,"")</f>
        <v/>
      </c>
      <c r="AE635" s="179" t="str">
        <f t="array" ref="AE635">IF($F635&lt;&gt;"",XLOOKUP($F635,Productos!$A:$A,Productos!X:X,"Revisar"),"")</f>
        <v/>
      </c>
      <c r="AF635" s="179" t="str">
        <f t="array" ref="AF635">IF($F635&lt;&gt;"", XLOOKUP($F635,Productos!$A$2:$A1001,Productos!Y$2:Y1001,"")*$G635,"")</f>
        <v/>
      </c>
      <c r="AG635" s="179" t="str">
        <f t="array" ref="AG635">IF($F635&lt;&gt;"",XLOOKUP($F635,Productos!$A:$A,Productos!Z:Z,"Revisar"),"")</f>
        <v/>
      </c>
      <c r="AH635" s="179" t="str">
        <f t="array" ref="AH635">IF($F635&lt;&gt;"", XLOOKUP($F635,Productos!$A$2:$A1001,Productos!AA$2:AA1001,"")*$G635,"")</f>
        <v/>
      </c>
      <c r="AI635" s="179" t="str">
        <f t="array" ref="AI635">IF($F635&lt;&gt;"",XLOOKUP($F635,Productos!$A:$A,Productos!AB:AB,"Revisar"),"")</f>
        <v/>
      </c>
      <c r="AJ635" s="179" t="str">
        <f t="array" ref="AJ635">IF($F635&lt;&gt;"", XLOOKUP($F635,Productos!$A$2:$A1001,Productos!AC$2:AC1001,"")*$G635,"")</f>
        <v/>
      </c>
      <c r="AK635" s="179" t="str">
        <f t="array" ref="AK635">IF($F635&lt;&gt;"",XLOOKUP($F635,Productos!$A:$A,Productos!AD:AD,"Revisar"),"")</f>
        <v/>
      </c>
      <c r="AL635" s="179" t="str">
        <f t="array" ref="AL635">IF($F635&lt;&gt;"", XLOOKUP($F635,Productos!$A$2:$A1001,Productos!AE$2:AE1001,"")*$G635,"")</f>
        <v/>
      </c>
      <c r="AM635" s="179" t="str">
        <f t="array" ref="AM635">IF($F635&lt;&gt;"",XLOOKUP($F635,Productos!$A:$A,Productos!AF:AF,"Revisar"),"")</f>
        <v/>
      </c>
      <c r="AN635" s="179" t="str">
        <f t="array" ref="AN635">IF($F635&lt;&gt;"", XLOOKUP($F635,Productos!$A$2:$A1001,Productos!AG$2:AG1001,"")*$G635,"")</f>
        <v/>
      </c>
      <c r="AO635" s="179" t="str">
        <f t="array" ref="AO635">IF($F635&lt;&gt;"",XLOOKUP($F635,Productos!$A:$A,Productos!AH:AH,"Revisar"),"")</f>
        <v/>
      </c>
      <c r="AP635" s="179" t="str">
        <f t="array" ref="AP635">IF($F635&lt;&gt;"", XLOOKUP($F635,Productos!$A$2:$A1001,Productos!AI$2:AI1001,"")*$G635,"")</f>
        <v/>
      </c>
      <c r="AQ635" s="179" t="str">
        <f t="array" ref="AQ635">IF($F635&lt;&gt;"",XLOOKUP($F635,Productos!$A:$A,Productos!AJ:AJ,"Revisar"),"")</f>
        <v/>
      </c>
      <c r="AR635" s="179" t="str">
        <f t="array" ref="AR635">IF($F635&lt;&gt;"", XLOOKUP($F635,Productos!$A$2:$A1001,Productos!AK$2:AK1001,"")*$G635,"")</f>
        <v/>
      </c>
      <c r="AS635" s="179" t="str">
        <f t="array" ref="AS635">IF($F635&lt;&gt;"",XLOOKUP($F635,Productos!$A:$A,Productos!AL:AL,"Revisar"),"")</f>
        <v/>
      </c>
      <c r="AT635" s="179" t="str">
        <f t="array" ref="AT635">IF($F635&lt;&gt;"", XLOOKUP($F635,Productos!$A$2:$A1001,Productos!AM$2:AM1001,"")*$G635,"")</f>
        <v/>
      </c>
      <c r="AU635" s="179" t="str">
        <f t="array" ref="AU635">IF($F635&lt;&gt;"",XLOOKUP($F635,Productos!$A:$A,Productos!AN:AN,"Revisar"),"")</f>
        <v/>
      </c>
      <c r="AV635" s="179" t="str">
        <f t="array" ref="AV635">IF($F635&lt;&gt;"", XLOOKUP($F635,Productos!$A$2:$A1001,Productos!AO$2:AO1001,"")*$G635,"")</f>
        <v/>
      </c>
      <c r="AW635" s="179" t="str">
        <f t="array" ref="AW635">IF($F635&lt;&gt;"",XLOOKUP($F635,Productos!$A:$A,Productos!AP:AP,"Revisar"),"")</f>
        <v/>
      </c>
      <c r="AX635" s="179" t="str">
        <f t="array" ref="AX635">IF($F635&lt;&gt;"", XLOOKUP($F635,Productos!$A$2:$A1001,Productos!AQ$2:AQ1001,"")*$G635,"")</f>
        <v/>
      </c>
      <c r="AY635" s="179" t="str">
        <f t="array" ref="AY635">IF($F635&lt;&gt;"",XLOOKUP($F635,Productos!$A:$A,Productos!AR:AR,"Revisar"),"")</f>
        <v/>
      </c>
      <c r="AZ635" s="179" t="str">
        <f t="array" ref="AZ635">IF($F635&lt;&gt;"", XLOOKUP($F635,Productos!$A$2:$A1001,Productos!AS$2:AS1001,"")*$G635,"")</f>
        <v/>
      </c>
      <c r="BA635" s="179" t="str">
        <f t="array" ref="BA635">IF($F635&lt;&gt;"",XLOOKUP($F635,Productos!$A:$A,Productos!AT:AT,"Revisar"),"")</f>
        <v/>
      </c>
      <c r="BB635" s="179" t="str">
        <f t="array" ref="BB635">IF($F635&lt;&gt;"", XLOOKUP($F635,Productos!$A$2:$A1001,Productos!AU$2:AU1001,"")*$G635,"")</f>
        <v/>
      </c>
      <c r="BC635" s="179" t="str">
        <f t="array" ref="BC635">IF($F635&lt;&gt;"",XLOOKUP($F635,Productos!$A:$A,Productos!AV:AV,"Revisar"),"")</f>
        <v/>
      </c>
      <c r="BD635" s="179" t="str">
        <f t="array" ref="BD635">IF($F635&lt;&gt;"", XLOOKUP($F635,Productos!$A$2:$A1001,Productos!AW$2:AW1001,"")*$G635,"")</f>
        <v/>
      </c>
      <c r="BE635" s="179" t="str">
        <f t="array" ref="BE635">IF($F635&lt;&gt;"",XLOOKUP($F635,Productos!$A:$A,Productos!AX:AX,"Revisar"),"")</f>
        <v/>
      </c>
      <c r="BF635" s="179" t="str">
        <f t="array" ref="BF635">IF($F635&lt;&gt;"", XLOOKUP($F635,Productos!$A$2:$A1001,Productos!AY$2:AY1001,"")*$G635,"")</f>
        <v/>
      </c>
      <c r="BG635" s="179" t="str">
        <f t="array" ref="BG635">IF($F635&lt;&gt;"",XLOOKUP($F635,Productos!$A:$A,Productos!AZ:AZ,"Revisar"),"")</f>
        <v/>
      </c>
      <c r="BH635" s="179" t="str">
        <f t="array" ref="BH635">IF($F635&lt;&gt;"", XLOOKUP($F635,Productos!$A$2:$A1001,Productos!BA$2:BA1001,"")*$G635,"")</f>
        <v/>
      </c>
      <c r="BI635" s="179" t="str">
        <f t="array" ref="BI635">IF($F635&lt;&gt;"",XLOOKUP($F635,Productos!$A:$A,Productos!BB:BB,"Revisar"),"")</f>
        <v/>
      </c>
      <c r="BJ635" s="179" t="str">
        <f t="array" ref="BJ635">IF($F635&lt;&gt;"", XLOOKUP($F635,Productos!$A$2:$A1001,Productos!BC$2:BC1001,"")*$G635,"")</f>
        <v/>
      </c>
      <c r="BK635" s="179" t="str">
        <f t="array" ref="BK635">IF($F635&lt;&gt;"",XLOOKUP($F635,Productos!$A:$A,Productos!BD:BD,"Revisar"),"")</f>
        <v/>
      </c>
      <c r="BL635" s="179" t="str">
        <f t="array" ref="BL635">IF($F635&lt;&gt;"", XLOOKUP($F635,Productos!$A$2:$A1001,Productos!BE$2:BE1001,"")*$G635,"")</f>
        <v/>
      </c>
      <c r="BM635" s="179" t="str">
        <f t="array" ref="BM635">IF($F635&lt;&gt;"",XLOOKUP($F635,Productos!$A:$A,Productos!BF:BF,"Revisar"),"")</f>
        <v/>
      </c>
      <c r="BN635" s="179" t="str">
        <f t="array" ref="BN635">IF($F635&lt;&gt;"", XLOOKUP($F635,Productos!$A$2:$A1001,Productos!BG$2:BG1001,"")*$G635,"")</f>
        <v/>
      </c>
      <c r="BO635" s="179" t="str">
        <f t="array" ref="BO635">IF($F635&lt;&gt;"",XLOOKUP($F635,Productos!$A:$A,Productos!BH:BH,"Revisar"),"")</f>
        <v/>
      </c>
      <c r="BP635" s="179" t="str">
        <f t="array" ref="BP635">IF($F635&lt;&gt;"", XLOOKUP($F635,Productos!$A$2:$A1001,Productos!BI$2:BI1001,"")*$G635,"")</f>
        <v/>
      </c>
      <c r="BQ635" s="179" t="str">
        <f t="array" ref="BQ635">IF($F635&lt;&gt;"",XLOOKUP($F635,Productos!$A:$A,Productos!BJ:BJ,"Revisar"),"")</f>
        <v/>
      </c>
      <c r="BR635" s="179" t="str">
        <f t="array" ref="BR635">IF($F635&lt;&gt;"", XLOOKUP($F635,Productos!$A$2:$A1001,Productos!BK$2:BK1001,"")*$G635,"")</f>
        <v/>
      </c>
      <c r="BS635" s="179" t="str">
        <f t="array" ref="BS635">IF($F635&lt;&gt;"",XLOOKUP($F635,Productos!$A:$A,Productos!BL:BL,"Revisar"),"")</f>
        <v/>
      </c>
      <c r="BT635" s="179" t="str">
        <f t="array" ref="BT635">IF($F635&lt;&gt;"", XLOOKUP($F635,Productos!$A$2:$A1001,Productos!BM$2:BM1001,"")*$G635,"")</f>
        <v/>
      </c>
      <c r="BU635" s="179" t="str">
        <f t="array" ref="BU635">IF($F635&lt;&gt;"",XLOOKUP($F635,Productos!$A:$A,Productos!BN:BN,"Revisar"),"")</f>
        <v/>
      </c>
      <c r="BV635" s="179" t="str">
        <f t="array" ref="BV635">IF($F635&lt;&gt;"", XLOOKUP($F635,Productos!$A$2:$A1001,Productos!BO$2:BO1001,"")*$G635,"")</f>
        <v/>
      </c>
      <c r="BW635" s="179" t="str">
        <f t="array" ref="BW635">IF($F635&lt;&gt;"",XLOOKUP($F635,Productos!$A:$A,Productos!BP:BP,"Revisar"),"")</f>
        <v/>
      </c>
      <c r="BX635" s="179" t="str">
        <f t="array" ref="BX635">IF($F635&lt;&gt;"", XLOOKUP($F635,Productos!$A$2:$A1001,Productos!BQ$2:BQ1001,"")*$G635,"")</f>
        <v/>
      </c>
      <c r="BY635" s="179" t="str">
        <f t="array" ref="BY635">IF($F635&lt;&gt;"",XLOOKUP($F635,Productos!$A:$A,Productos!BR:BR,"Revisar"),"")</f>
        <v/>
      </c>
      <c r="BZ635" s="179" t="str">
        <f t="array" ref="BZ635">IF($F635&lt;&gt;"", XLOOKUP($F635,Productos!$A$2:$A1001,Productos!BS$2:BS1001,"")*$G635,"")</f>
        <v/>
      </c>
    </row>
    <row r="636">
      <c r="A636" s="188"/>
      <c r="B636" s="189"/>
      <c r="C636" s="190"/>
      <c r="D636" s="190"/>
      <c r="E636" s="191"/>
      <c r="F636" s="186"/>
      <c r="G636" s="192"/>
      <c r="H636" s="9"/>
      <c r="I636" s="179" t="str">
        <f t="array" ref="I636">IF($F636&lt;&gt;"",XLOOKUP($F636,Productos!$A:$A,Productos!B:B,"Revisar"),"")</f>
        <v/>
      </c>
      <c r="J636" s="179" t="str">
        <f t="array" ref="J636">IF($F636&lt;&gt;"", XLOOKUP($F636,Productos!$A$2:$A1001,Productos!C$2:C1001,"")*$G636,"")</f>
        <v/>
      </c>
      <c r="K636" s="179" t="str">
        <f t="array" ref="K636">IF($F636&lt;&gt;"",XLOOKUP($F636,Productos!$A:$A,Productos!D:D,"Revisar"),"")</f>
        <v/>
      </c>
      <c r="L636" s="179" t="str">
        <f t="array" ref="L636">IF($F636&lt;&gt;"", XLOOKUP($F636,Productos!$A$2:$A1001,Productos!E$2:E1001,"")*$G636,"")</f>
        <v/>
      </c>
      <c r="M636" s="179" t="str">
        <f t="array" ref="M636">IF($F636&lt;&gt;"",XLOOKUP($F636,Productos!$A:$A,Productos!F:F,"Revisar"),"")</f>
        <v/>
      </c>
      <c r="N636" s="179" t="str">
        <f t="array" ref="N636">IF($F636&lt;&gt;"", XLOOKUP($F636,Productos!$A$2:$A1001,Productos!G$2:G1001,"")*$G636,"")</f>
        <v/>
      </c>
      <c r="O636" s="179" t="str">
        <f t="array" ref="O636">IF($F636&lt;&gt;"",XLOOKUP($F636,Productos!$A:$A,Productos!H:H,"Revisar"),"")</f>
        <v/>
      </c>
      <c r="P636" s="179" t="str">
        <f t="array" ref="P636">IF($F636&lt;&gt;"", XLOOKUP($F636,Productos!$A$2:$A1001,Productos!I$2:I1001,"")*$G636,"")</f>
        <v/>
      </c>
      <c r="Q636" s="179" t="str">
        <f t="array" ref="Q636">IF($F636&lt;&gt;"",XLOOKUP($F636,Productos!$A:$A,Productos!J:J,"Revisar"),"")</f>
        <v/>
      </c>
      <c r="R636" s="179" t="str">
        <f t="array" ref="R636">IF($F636&lt;&gt;"", XLOOKUP($F636,Productos!$A$2:$A1001,Productos!K$2:K1001,"")*$G636,"")</f>
        <v/>
      </c>
      <c r="S636" s="179" t="str">
        <f t="array" ref="S636">IF($F636&lt;&gt;"",XLOOKUP($F636,Productos!$A:$A,Productos!L:L,"Revisar"),"")</f>
        <v/>
      </c>
      <c r="T636" s="179" t="str">
        <f t="array" ref="T636">IF($F636&lt;&gt;"", XLOOKUP($F636,Productos!$A$2:$A1001,Productos!M$2:M1001,"")*$G636,"")</f>
        <v/>
      </c>
      <c r="U636" s="179" t="str">
        <f t="array" ref="U636">IF($F636&lt;&gt;"",XLOOKUP($F636,Productos!$A:$A,Productos!N:N,"Revisar"),"")</f>
        <v/>
      </c>
      <c r="V636" s="179" t="str">
        <f t="array" ref="V636">IF($F636&lt;&gt;"", XLOOKUP($F636,Productos!$A$2:$A1001,Productos!O$2:O1001,"")*$G636,"")</f>
        <v/>
      </c>
      <c r="W636" s="179" t="str">
        <f t="array" ref="W636">IF($F636&lt;&gt;"",XLOOKUP($F636,Productos!$A:$A,Productos!P:P,"Revisar"),"")</f>
        <v/>
      </c>
      <c r="X636" s="179" t="str">
        <f t="array" ref="X636">IF($F636&lt;&gt;"", XLOOKUP($F636,Productos!$A$2:$A1001,Productos!Q$2:Q1001,"")*$G636,"")</f>
        <v/>
      </c>
      <c r="Y636" s="179" t="str">
        <f t="array" ref="Y636">IF($F636&lt;&gt;"",XLOOKUP($F636,Productos!$A:$A,Productos!R:R,"Revisar"),"")</f>
        <v/>
      </c>
      <c r="Z636" s="179" t="str">
        <f t="array" ref="Z636">IF($F636&lt;&gt;"", XLOOKUP($F636,Productos!$A$2:$A1001,Productos!S$2:S1001,"")*$G636,"")</f>
        <v/>
      </c>
      <c r="AA636" s="179" t="str">
        <f t="array" ref="AA636">IF($F636&lt;&gt;"",XLOOKUP($F636,Productos!$A:$A,Productos!T:T,"Revisar"),"")</f>
        <v/>
      </c>
      <c r="AB636" s="179" t="str">
        <f t="array" ref="AB636">IF($F636&lt;&gt;"", XLOOKUP($F636,Productos!$A$2:$A1001,Productos!U$2:U1001,"")*$G636,"")</f>
        <v/>
      </c>
      <c r="AC636" s="179" t="str">
        <f t="array" ref="AC636">IF($F636&lt;&gt;"",XLOOKUP($F636,Productos!$A:$A,Productos!V:V,"Revisar"),"")</f>
        <v/>
      </c>
      <c r="AD636" s="179" t="str">
        <f t="array" ref="AD636">IF($F636&lt;&gt;"", XLOOKUP($F636,Productos!$A$2:$A1001,Productos!W$2:W1001,"")*$G636,"")</f>
        <v/>
      </c>
      <c r="AE636" s="179" t="str">
        <f t="array" ref="AE636">IF($F636&lt;&gt;"",XLOOKUP($F636,Productos!$A:$A,Productos!X:X,"Revisar"),"")</f>
        <v/>
      </c>
      <c r="AF636" s="179" t="str">
        <f t="array" ref="AF636">IF($F636&lt;&gt;"", XLOOKUP($F636,Productos!$A$2:$A1001,Productos!Y$2:Y1001,"")*$G636,"")</f>
        <v/>
      </c>
      <c r="AG636" s="179" t="str">
        <f t="array" ref="AG636">IF($F636&lt;&gt;"",XLOOKUP($F636,Productos!$A:$A,Productos!Z:Z,"Revisar"),"")</f>
        <v/>
      </c>
      <c r="AH636" s="179" t="str">
        <f t="array" ref="AH636">IF($F636&lt;&gt;"", XLOOKUP($F636,Productos!$A$2:$A1001,Productos!AA$2:AA1001,"")*$G636,"")</f>
        <v/>
      </c>
      <c r="AI636" s="179" t="str">
        <f t="array" ref="AI636">IF($F636&lt;&gt;"",XLOOKUP($F636,Productos!$A:$A,Productos!AB:AB,"Revisar"),"")</f>
        <v/>
      </c>
      <c r="AJ636" s="179" t="str">
        <f t="array" ref="AJ636">IF($F636&lt;&gt;"", XLOOKUP($F636,Productos!$A$2:$A1001,Productos!AC$2:AC1001,"")*$G636,"")</f>
        <v/>
      </c>
      <c r="AK636" s="179" t="str">
        <f t="array" ref="AK636">IF($F636&lt;&gt;"",XLOOKUP($F636,Productos!$A:$A,Productos!AD:AD,"Revisar"),"")</f>
        <v/>
      </c>
      <c r="AL636" s="179" t="str">
        <f t="array" ref="AL636">IF($F636&lt;&gt;"", XLOOKUP($F636,Productos!$A$2:$A1001,Productos!AE$2:AE1001,"")*$G636,"")</f>
        <v/>
      </c>
      <c r="AM636" s="179" t="str">
        <f t="array" ref="AM636">IF($F636&lt;&gt;"",XLOOKUP($F636,Productos!$A:$A,Productos!AF:AF,"Revisar"),"")</f>
        <v/>
      </c>
      <c r="AN636" s="179" t="str">
        <f t="array" ref="AN636">IF($F636&lt;&gt;"", XLOOKUP($F636,Productos!$A$2:$A1001,Productos!AG$2:AG1001,"")*$G636,"")</f>
        <v/>
      </c>
      <c r="AO636" s="179" t="str">
        <f t="array" ref="AO636">IF($F636&lt;&gt;"",XLOOKUP($F636,Productos!$A:$A,Productos!AH:AH,"Revisar"),"")</f>
        <v/>
      </c>
      <c r="AP636" s="179" t="str">
        <f t="array" ref="AP636">IF($F636&lt;&gt;"", XLOOKUP($F636,Productos!$A$2:$A1001,Productos!AI$2:AI1001,"")*$G636,"")</f>
        <v/>
      </c>
      <c r="AQ636" s="179" t="str">
        <f t="array" ref="AQ636">IF($F636&lt;&gt;"",XLOOKUP($F636,Productos!$A:$A,Productos!AJ:AJ,"Revisar"),"")</f>
        <v/>
      </c>
      <c r="AR636" s="179" t="str">
        <f t="array" ref="AR636">IF($F636&lt;&gt;"", XLOOKUP($F636,Productos!$A$2:$A1001,Productos!AK$2:AK1001,"")*$G636,"")</f>
        <v/>
      </c>
      <c r="AS636" s="179" t="str">
        <f t="array" ref="AS636">IF($F636&lt;&gt;"",XLOOKUP($F636,Productos!$A:$A,Productos!AL:AL,"Revisar"),"")</f>
        <v/>
      </c>
      <c r="AT636" s="179" t="str">
        <f t="array" ref="AT636">IF($F636&lt;&gt;"", XLOOKUP($F636,Productos!$A$2:$A1001,Productos!AM$2:AM1001,"")*$G636,"")</f>
        <v/>
      </c>
      <c r="AU636" s="179" t="str">
        <f t="array" ref="AU636">IF($F636&lt;&gt;"",XLOOKUP($F636,Productos!$A:$A,Productos!AN:AN,"Revisar"),"")</f>
        <v/>
      </c>
      <c r="AV636" s="179" t="str">
        <f t="array" ref="AV636">IF($F636&lt;&gt;"", XLOOKUP($F636,Productos!$A$2:$A1001,Productos!AO$2:AO1001,"")*$G636,"")</f>
        <v/>
      </c>
      <c r="AW636" s="179" t="str">
        <f t="array" ref="AW636">IF($F636&lt;&gt;"",XLOOKUP($F636,Productos!$A:$A,Productos!AP:AP,"Revisar"),"")</f>
        <v/>
      </c>
      <c r="AX636" s="179" t="str">
        <f t="array" ref="AX636">IF($F636&lt;&gt;"", XLOOKUP($F636,Productos!$A$2:$A1001,Productos!AQ$2:AQ1001,"")*$G636,"")</f>
        <v/>
      </c>
      <c r="AY636" s="179" t="str">
        <f t="array" ref="AY636">IF($F636&lt;&gt;"",XLOOKUP($F636,Productos!$A:$A,Productos!AR:AR,"Revisar"),"")</f>
        <v/>
      </c>
      <c r="AZ636" s="179" t="str">
        <f t="array" ref="AZ636">IF($F636&lt;&gt;"", XLOOKUP($F636,Productos!$A$2:$A1001,Productos!AS$2:AS1001,"")*$G636,"")</f>
        <v/>
      </c>
      <c r="BA636" s="179" t="str">
        <f t="array" ref="BA636">IF($F636&lt;&gt;"",XLOOKUP($F636,Productos!$A:$A,Productos!AT:AT,"Revisar"),"")</f>
        <v/>
      </c>
      <c r="BB636" s="179" t="str">
        <f t="array" ref="BB636">IF($F636&lt;&gt;"", XLOOKUP($F636,Productos!$A$2:$A1001,Productos!AU$2:AU1001,"")*$G636,"")</f>
        <v/>
      </c>
      <c r="BC636" s="179" t="str">
        <f t="array" ref="BC636">IF($F636&lt;&gt;"",XLOOKUP($F636,Productos!$A:$A,Productos!AV:AV,"Revisar"),"")</f>
        <v/>
      </c>
      <c r="BD636" s="179" t="str">
        <f t="array" ref="BD636">IF($F636&lt;&gt;"", XLOOKUP($F636,Productos!$A$2:$A1001,Productos!AW$2:AW1001,"")*$G636,"")</f>
        <v/>
      </c>
      <c r="BE636" s="179" t="str">
        <f t="array" ref="BE636">IF($F636&lt;&gt;"",XLOOKUP($F636,Productos!$A:$A,Productos!AX:AX,"Revisar"),"")</f>
        <v/>
      </c>
      <c r="BF636" s="179" t="str">
        <f t="array" ref="BF636">IF($F636&lt;&gt;"", XLOOKUP($F636,Productos!$A$2:$A1001,Productos!AY$2:AY1001,"")*$G636,"")</f>
        <v/>
      </c>
      <c r="BG636" s="179" t="str">
        <f t="array" ref="BG636">IF($F636&lt;&gt;"",XLOOKUP($F636,Productos!$A:$A,Productos!AZ:AZ,"Revisar"),"")</f>
        <v/>
      </c>
      <c r="BH636" s="179" t="str">
        <f t="array" ref="BH636">IF($F636&lt;&gt;"", XLOOKUP($F636,Productos!$A$2:$A1001,Productos!BA$2:BA1001,"")*$G636,"")</f>
        <v/>
      </c>
      <c r="BI636" s="179" t="str">
        <f t="array" ref="BI636">IF($F636&lt;&gt;"",XLOOKUP($F636,Productos!$A:$A,Productos!BB:BB,"Revisar"),"")</f>
        <v/>
      </c>
      <c r="BJ636" s="179" t="str">
        <f t="array" ref="BJ636">IF($F636&lt;&gt;"", XLOOKUP($F636,Productos!$A$2:$A1001,Productos!BC$2:BC1001,"")*$G636,"")</f>
        <v/>
      </c>
      <c r="BK636" s="179" t="str">
        <f t="array" ref="BK636">IF($F636&lt;&gt;"",XLOOKUP($F636,Productos!$A:$A,Productos!BD:BD,"Revisar"),"")</f>
        <v/>
      </c>
      <c r="BL636" s="179" t="str">
        <f t="array" ref="BL636">IF($F636&lt;&gt;"", XLOOKUP($F636,Productos!$A$2:$A1001,Productos!BE$2:BE1001,"")*$G636,"")</f>
        <v/>
      </c>
      <c r="BM636" s="179" t="str">
        <f t="array" ref="BM636">IF($F636&lt;&gt;"",XLOOKUP($F636,Productos!$A:$A,Productos!BF:BF,"Revisar"),"")</f>
        <v/>
      </c>
      <c r="BN636" s="179" t="str">
        <f t="array" ref="BN636">IF($F636&lt;&gt;"", XLOOKUP($F636,Productos!$A$2:$A1001,Productos!BG$2:BG1001,"")*$G636,"")</f>
        <v/>
      </c>
      <c r="BO636" s="179" t="str">
        <f t="array" ref="BO636">IF($F636&lt;&gt;"",XLOOKUP($F636,Productos!$A:$A,Productos!BH:BH,"Revisar"),"")</f>
        <v/>
      </c>
      <c r="BP636" s="179" t="str">
        <f t="array" ref="BP636">IF($F636&lt;&gt;"", XLOOKUP($F636,Productos!$A$2:$A1001,Productos!BI$2:BI1001,"")*$G636,"")</f>
        <v/>
      </c>
      <c r="BQ636" s="179" t="str">
        <f t="array" ref="BQ636">IF($F636&lt;&gt;"",XLOOKUP($F636,Productos!$A:$A,Productos!BJ:BJ,"Revisar"),"")</f>
        <v/>
      </c>
      <c r="BR636" s="179" t="str">
        <f t="array" ref="BR636">IF($F636&lt;&gt;"", XLOOKUP($F636,Productos!$A$2:$A1001,Productos!BK$2:BK1001,"")*$G636,"")</f>
        <v/>
      </c>
      <c r="BS636" s="179" t="str">
        <f t="array" ref="BS636">IF($F636&lt;&gt;"",XLOOKUP($F636,Productos!$A:$A,Productos!BL:BL,"Revisar"),"")</f>
        <v/>
      </c>
      <c r="BT636" s="179" t="str">
        <f t="array" ref="BT636">IF($F636&lt;&gt;"", XLOOKUP($F636,Productos!$A$2:$A1001,Productos!BM$2:BM1001,"")*$G636,"")</f>
        <v/>
      </c>
      <c r="BU636" s="179" t="str">
        <f t="array" ref="BU636">IF($F636&lt;&gt;"",XLOOKUP($F636,Productos!$A:$A,Productos!BN:BN,"Revisar"),"")</f>
        <v/>
      </c>
      <c r="BV636" s="179" t="str">
        <f t="array" ref="BV636">IF($F636&lt;&gt;"", XLOOKUP($F636,Productos!$A$2:$A1001,Productos!BO$2:BO1001,"")*$G636,"")</f>
        <v/>
      </c>
      <c r="BW636" s="179" t="str">
        <f t="array" ref="BW636">IF($F636&lt;&gt;"",XLOOKUP($F636,Productos!$A:$A,Productos!BP:BP,"Revisar"),"")</f>
        <v/>
      </c>
      <c r="BX636" s="179" t="str">
        <f t="array" ref="BX636">IF($F636&lt;&gt;"", XLOOKUP($F636,Productos!$A$2:$A1001,Productos!BQ$2:BQ1001,"")*$G636,"")</f>
        <v/>
      </c>
      <c r="BY636" s="179" t="str">
        <f t="array" ref="BY636">IF($F636&lt;&gt;"",XLOOKUP($F636,Productos!$A:$A,Productos!BR:BR,"Revisar"),"")</f>
        <v/>
      </c>
      <c r="BZ636" s="179" t="str">
        <f t="array" ref="BZ636">IF($F636&lt;&gt;"", XLOOKUP($F636,Productos!$A$2:$A1001,Productos!BS$2:BS1001,"")*$G636,"")</f>
        <v/>
      </c>
    </row>
    <row r="637">
      <c r="A637" s="188"/>
      <c r="B637" s="189"/>
      <c r="C637" s="190"/>
      <c r="D637" s="190"/>
      <c r="E637" s="191"/>
      <c r="F637" s="186"/>
      <c r="G637" s="192"/>
      <c r="H637" s="9"/>
      <c r="I637" s="179" t="str">
        <f t="array" ref="I637">IF($F637&lt;&gt;"",XLOOKUP($F637,Productos!$A:$A,Productos!B:B,"Revisar"),"")</f>
        <v/>
      </c>
      <c r="J637" s="179" t="str">
        <f t="array" ref="J637">IF($F637&lt;&gt;"", XLOOKUP($F637,Productos!$A$2:$A1001,Productos!C$2:C1001,"")*$G637,"")</f>
        <v/>
      </c>
      <c r="K637" s="179" t="str">
        <f t="array" ref="K637">IF($F637&lt;&gt;"",XLOOKUP($F637,Productos!$A:$A,Productos!D:D,"Revisar"),"")</f>
        <v/>
      </c>
      <c r="L637" s="179" t="str">
        <f t="array" ref="L637">IF($F637&lt;&gt;"", XLOOKUP($F637,Productos!$A$2:$A1001,Productos!E$2:E1001,"")*$G637,"")</f>
        <v/>
      </c>
      <c r="M637" s="179" t="str">
        <f t="array" ref="M637">IF($F637&lt;&gt;"",XLOOKUP($F637,Productos!$A:$A,Productos!F:F,"Revisar"),"")</f>
        <v/>
      </c>
      <c r="N637" s="179" t="str">
        <f t="array" ref="N637">IF($F637&lt;&gt;"", XLOOKUP($F637,Productos!$A$2:$A1001,Productos!G$2:G1001,"")*$G637,"")</f>
        <v/>
      </c>
      <c r="O637" s="179" t="str">
        <f t="array" ref="O637">IF($F637&lt;&gt;"",XLOOKUP($F637,Productos!$A:$A,Productos!H:H,"Revisar"),"")</f>
        <v/>
      </c>
      <c r="P637" s="179" t="str">
        <f t="array" ref="P637">IF($F637&lt;&gt;"", XLOOKUP($F637,Productos!$A$2:$A1001,Productos!I$2:I1001,"")*$G637,"")</f>
        <v/>
      </c>
      <c r="Q637" s="179" t="str">
        <f t="array" ref="Q637">IF($F637&lt;&gt;"",XLOOKUP($F637,Productos!$A:$A,Productos!J:J,"Revisar"),"")</f>
        <v/>
      </c>
      <c r="R637" s="179" t="str">
        <f t="array" ref="R637">IF($F637&lt;&gt;"", XLOOKUP($F637,Productos!$A$2:$A1001,Productos!K$2:K1001,"")*$G637,"")</f>
        <v/>
      </c>
      <c r="S637" s="179" t="str">
        <f t="array" ref="S637">IF($F637&lt;&gt;"",XLOOKUP($F637,Productos!$A:$A,Productos!L:L,"Revisar"),"")</f>
        <v/>
      </c>
      <c r="T637" s="179" t="str">
        <f t="array" ref="T637">IF($F637&lt;&gt;"", XLOOKUP($F637,Productos!$A$2:$A1001,Productos!M$2:M1001,"")*$G637,"")</f>
        <v/>
      </c>
      <c r="U637" s="179" t="str">
        <f t="array" ref="U637">IF($F637&lt;&gt;"",XLOOKUP($F637,Productos!$A:$A,Productos!N:N,"Revisar"),"")</f>
        <v/>
      </c>
      <c r="V637" s="179" t="str">
        <f t="array" ref="V637">IF($F637&lt;&gt;"", XLOOKUP($F637,Productos!$A$2:$A1001,Productos!O$2:O1001,"")*$G637,"")</f>
        <v/>
      </c>
      <c r="W637" s="179" t="str">
        <f t="array" ref="W637">IF($F637&lt;&gt;"",XLOOKUP($F637,Productos!$A:$A,Productos!P:P,"Revisar"),"")</f>
        <v/>
      </c>
      <c r="X637" s="179" t="str">
        <f t="array" ref="X637">IF($F637&lt;&gt;"", XLOOKUP($F637,Productos!$A$2:$A1001,Productos!Q$2:Q1001,"")*$G637,"")</f>
        <v/>
      </c>
      <c r="Y637" s="179" t="str">
        <f t="array" ref="Y637">IF($F637&lt;&gt;"",XLOOKUP($F637,Productos!$A:$A,Productos!R:R,"Revisar"),"")</f>
        <v/>
      </c>
      <c r="Z637" s="179" t="str">
        <f t="array" ref="Z637">IF($F637&lt;&gt;"", XLOOKUP($F637,Productos!$A$2:$A1001,Productos!S$2:S1001,"")*$G637,"")</f>
        <v/>
      </c>
      <c r="AA637" s="179" t="str">
        <f t="array" ref="AA637">IF($F637&lt;&gt;"",XLOOKUP($F637,Productos!$A:$A,Productos!T:T,"Revisar"),"")</f>
        <v/>
      </c>
      <c r="AB637" s="179" t="str">
        <f t="array" ref="AB637">IF($F637&lt;&gt;"", XLOOKUP($F637,Productos!$A$2:$A1001,Productos!U$2:U1001,"")*$G637,"")</f>
        <v/>
      </c>
      <c r="AC637" s="179" t="str">
        <f t="array" ref="AC637">IF($F637&lt;&gt;"",XLOOKUP($F637,Productos!$A:$A,Productos!V:V,"Revisar"),"")</f>
        <v/>
      </c>
      <c r="AD637" s="179" t="str">
        <f t="array" ref="AD637">IF($F637&lt;&gt;"", XLOOKUP($F637,Productos!$A$2:$A1001,Productos!W$2:W1001,"")*$G637,"")</f>
        <v/>
      </c>
      <c r="AE637" s="179" t="str">
        <f t="array" ref="AE637">IF($F637&lt;&gt;"",XLOOKUP($F637,Productos!$A:$A,Productos!X:X,"Revisar"),"")</f>
        <v/>
      </c>
      <c r="AF637" s="179" t="str">
        <f t="array" ref="AF637">IF($F637&lt;&gt;"", XLOOKUP($F637,Productos!$A$2:$A1001,Productos!Y$2:Y1001,"")*$G637,"")</f>
        <v/>
      </c>
      <c r="AG637" s="179" t="str">
        <f t="array" ref="AG637">IF($F637&lt;&gt;"",XLOOKUP($F637,Productos!$A:$A,Productos!Z:Z,"Revisar"),"")</f>
        <v/>
      </c>
      <c r="AH637" s="179" t="str">
        <f t="array" ref="AH637">IF($F637&lt;&gt;"", XLOOKUP($F637,Productos!$A$2:$A1001,Productos!AA$2:AA1001,"")*$G637,"")</f>
        <v/>
      </c>
      <c r="AI637" s="179" t="str">
        <f t="array" ref="AI637">IF($F637&lt;&gt;"",XLOOKUP($F637,Productos!$A:$A,Productos!AB:AB,"Revisar"),"")</f>
        <v/>
      </c>
      <c r="AJ637" s="179" t="str">
        <f t="array" ref="AJ637">IF($F637&lt;&gt;"", XLOOKUP($F637,Productos!$A$2:$A1001,Productos!AC$2:AC1001,"")*$G637,"")</f>
        <v/>
      </c>
      <c r="AK637" s="179" t="str">
        <f t="array" ref="AK637">IF($F637&lt;&gt;"",XLOOKUP($F637,Productos!$A:$A,Productos!AD:AD,"Revisar"),"")</f>
        <v/>
      </c>
      <c r="AL637" s="179" t="str">
        <f t="array" ref="AL637">IF($F637&lt;&gt;"", XLOOKUP($F637,Productos!$A$2:$A1001,Productos!AE$2:AE1001,"")*$G637,"")</f>
        <v/>
      </c>
      <c r="AM637" s="179" t="str">
        <f t="array" ref="AM637">IF($F637&lt;&gt;"",XLOOKUP($F637,Productos!$A:$A,Productos!AF:AF,"Revisar"),"")</f>
        <v/>
      </c>
      <c r="AN637" s="179" t="str">
        <f t="array" ref="AN637">IF($F637&lt;&gt;"", XLOOKUP($F637,Productos!$A$2:$A1001,Productos!AG$2:AG1001,"")*$G637,"")</f>
        <v/>
      </c>
      <c r="AO637" s="179" t="str">
        <f t="array" ref="AO637">IF($F637&lt;&gt;"",XLOOKUP($F637,Productos!$A:$A,Productos!AH:AH,"Revisar"),"")</f>
        <v/>
      </c>
      <c r="AP637" s="179" t="str">
        <f t="array" ref="AP637">IF($F637&lt;&gt;"", XLOOKUP($F637,Productos!$A$2:$A1001,Productos!AI$2:AI1001,"")*$G637,"")</f>
        <v/>
      </c>
      <c r="AQ637" s="179" t="str">
        <f t="array" ref="AQ637">IF($F637&lt;&gt;"",XLOOKUP($F637,Productos!$A:$A,Productos!AJ:AJ,"Revisar"),"")</f>
        <v/>
      </c>
      <c r="AR637" s="179" t="str">
        <f t="array" ref="AR637">IF($F637&lt;&gt;"", XLOOKUP($F637,Productos!$A$2:$A1001,Productos!AK$2:AK1001,"")*$G637,"")</f>
        <v/>
      </c>
      <c r="AS637" s="179" t="str">
        <f t="array" ref="AS637">IF($F637&lt;&gt;"",XLOOKUP($F637,Productos!$A:$A,Productos!AL:AL,"Revisar"),"")</f>
        <v/>
      </c>
      <c r="AT637" s="179" t="str">
        <f t="array" ref="AT637">IF($F637&lt;&gt;"", XLOOKUP($F637,Productos!$A$2:$A1001,Productos!AM$2:AM1001,"")*$G637,"")</f>
        <v/>
      </c>
      <c r="AU637" s="179" t="str">
        <f t="array" ref="AU637">IF($F637&lt;&gt;"",XLOOKUP($F637,Productos!$A:$A,Productos!AN:AN,"Revisar"),"")</f>
        <v/>
      </c>
      <c r="AV637" s="179" t="str">
        <f t="array" ref="AV637">IF($F637&lt;&gt;"", XLOOKUP($F637,Productos!$A$2:$A1001,Productos!AO$2:AO1001,"")*$G637,"")</f>
        <v/>
      </c>
      <c r="AW637" s="179" t="str">
        <f t="array" ref="AW637">IF($F637&lt;&gt;"",XLOOKUP($F637,Productos!$A:$A,Productos!AP:AP,"Revisar"),"")</f>
        <v/>
      </c>
      <c r="AX637" s="179" t="str">
        <f t="array" ref="AX637">IF($F637&lt;&gt;"", XLOOKUP($F637,Productos!$A$2:$A1001,Productos!AQ$2:AQ1001,"")*$G637,"")</f>
        <v/>
      </c>
      <c r="AY637" s="179" t="str">
        <f t="array" ref="AY637">IF($F637&lt;&gt;"",XLOOKUP($F637,Productos!$A:$A,Productos!AR:AR,"Revisar"),"")</f>
        <v/>
      </c>
      <c r="AZ637" s="179" t="str">
        <f t="array" ref="AZ637">IF($F637&lt;&gt;"", XLOOKUP($F637,Productos!$A$2:$A1001,Productos!AS$2:AS1001,"")*$G637,"")</f>
        <v/>
      </c>
      <c r="BA637" s="179" t="str">
        <f t="array" ref="BA637">IF($F637&lt;&gt;"",XLOOKUP($F637,Productos!$A:$A,Productos!AT:AT,"Revisar"),"")</f>
        <v/>
      </c>
      <c r="BB637" s="179" t="str">
        <f t="array" ref="BB637">IF($F637&lt;&gt;"", XLOOKUP($F637,Productos!$A$2:$A1001,Productos!AU$2:AU1001,"")*$G637,"")</f>
        <v/>
      </c>
      <c r="BC637" s="179" t="str">
        <f t="array" ref="BC637">IF($F637&lt;&gt;"",XLOOKUP($F637,Productos!$A:$A,Productos!AV:AV,"Revisar"),"")</f>
        <v/>
      </c>
      <c r="BD637" s="179" t="str">
        <f t="array" ref="BD637">IF($F637&lt;&gt;"", XLOOKUP($F637,Productos!$A$2:$A1001,Productos!AW$2:AW1001,"")*$G637,"")</f>
        <v/>
      </c>
      <c r="BE637" s="179" t="str">
        <f t="array" ref="BE637">IF($F637&lt;&gt;"",XLOOKUP($F637,Productos!$A:$A,Productos!AX:AX,"Revisar"),"")</f>
        <v/>
      </c>
      <c r="BF637" s="179" t="str">
        <f t="array" ref="BF637">IF($F637&lt;&gt;"", XLOOKUP($F637,Productos!$A$2:$A1001,Productos!AY$2:AY1001,"")*$G637,"")</f>
        <v/>
      </c>
      <c r="BG637" s="179" t="str">
        <f t="array" ref="BG637">IF($F637&lt;&gt;"",XLOOKUP($F637,Productos!$A:$A,Productos!AZ:AZ,"Revisar"),"")</f>
        <v/>
      </c>
      <c r="BH637" s="179" t="str">
        <f t="array" ref="BH637">IF($F637&lt;&gt;"", XLOOKUP($F637,Productos!$A$2:$A1001,Productos!BA$2:BA1001,"")*$G637,"")</f>
        <v/>
      </c>
      <c r="BI637" s="179" t="str">
        <f t="array" ref="BI637">IF($F637&lt;&gt;"",XLOOKUP($F637,Productos!$A:$A,Productos!BB:BB,"Revisar"),"")</f>
        <v/>
      </c>
      <c r="BJ637" s="179" t="str">
        <f t="array" ref="BJ637">IF($F637&lt;&gt;"", XLOOKUP($F637,Productos!$A$2:$A1001,Productos!BC$2:BC1001,"")*$G637,"")</f>
        <v/>
      </c>
      <c r="BK637" s="179" t="str">
        <f t="array" ref="BK637">IF($F637&lt;&gt;"",XLOOKUP($F637,Productos!$A:$A,Productos!BD:BD,"Revisar"),"")</f>
        <v/>
      </c>
      <c r="BL637" s="179" t="str">
        <f t="array" ref="BL637">IF($F637&lt;&gt;"", XLOOKUP($F637,Productos!$A$2:$A1001,Productos!BE$2:BE1001,"")*$G637,"")</f>
        <v/>
      </c>
      <c r="BM637" s="179" t="str">
        <f t="array" ref="BM637">IF($F637&lt;&gt;"",XLOOKUP($F637,Productos!$A:$A,Productos!BF:BF,"Revisar"),"")</f>
        <v/>
      </c>
      <c r="BN637" s="179" t="str">
        <f t="array" ref="BN637">IF($F637&lt;&gt;"", XLOOKUP($F637,Productos!$A$2:$A1001,Productos!BG$2:BG1001,"")*$G637,"")</f>
        <v/>
      </c>
      <c r="BO637" s="179" t="str">
        <f t="array" ref="BO637">IF($F637&lt;&gt;"",XLOOKUP($F637,Productos!$A:$A,Productos!BH:BH,"Revisar"),"")</f>
        <v/>
      </c>
      <c r="BP637" s="179" t="str">
        <f t="array" ref="BP637">IF($F637&lt;&gt;"", XLOOKUP($F637,Productos!$A$2:$A1001,Productos!BI$2:BI1001,"")*$G637,"")</f>
        <v/>
      </c>
      <c r="BQ637" s="179" t="str">
        <f t="array" ref="BQ637">IF($F637&lt;&gt;"",XLOOKUP($F637,Productos!$A:$A,Productos!BJ:BJ,"Revisar"),"")</f>
        <v/>
      </c>
      <c r="BR637" s="179" t="str">
        <f t="array" ref="BR637">IF($F637&lt;&gt;"", XLOOKUP($F637,Productos!$A$2:$A1001,Productos!BK$2:BK1001,"")*$G637,"")</f>
        <v/>
      </c>
      <c r="BS637" s="179" t="str">
        <f t="array" ref="BS637">IF($F637&lt;&gt;"",XLOOKUP($F637,Productos!$A:$A,Productos!BL:BL,"Revisar"),"")</f>
        <v/>
      </c>
      <c r="BT637" s="179" t="str">
        <f t="array" ref="BT637">IF($F637&lt;&gt;"", XLOOKUP($F637,Productos!$A$2:$A1001,Productos!BM$2:BM1001,"")*$G637,"")</f>
        <v/>
      </c>
      <c r="BU637" s="179" t="str">
        <f t="array" ref="BU637">IF($F637&lt;&gt;"",XLOOKUP($F637,Productos!$A:$A,Productos!BN:BN,"Revisar"),"")</f>
        <v/>
      </c>
      <c r="BV637" s="179" t="str">
        <f t="array" ref="BV637">IF($F637&lt;&gt;"", XLOOKUP($F637,Productos!$A$2:$A1001,Productos!BO$2:BO1001,"")*$G637,"")</f>
        <v/>
      </c>
      <c r="BW637" s="179" t="str">
        <f t="array" ref="BW637">IF($F637&lt;&gt;"",XLOOKUP($F637,Productos!$A:$A,Productos!BP:BP,"Revisar"),"")</f>
        <v/>
      </c>
      <c r="BX637" s="179" t="str">
        <f t="array" ref="BX637">IF($F637&lt;&gt;"", XLOOKUP($F637,Productos!$A$2:$A1001,Productos!BQ$2:BQ1001,"")*$G637,"")</f>
        <v/>
      </c>
      <c r="BY637" s="179" t="str">
        <f t="array" ref="BY637">IF($F637&lt;&gt;"",XLOOKUP($F637,Productos!$A:$A,Productos!BR:BR,"Revisar"),"")</f>
        <v/>
      </c>
      <c r="BZ637" s="179" t="str">
        <f t="array" ref="BZ637">IF($F637&lt;&gt;"", XLOOKUP($F637,Productos!$A$2:$A1001,Productos!BS$2:BS1001,"")*$G637,"")</f>
        <v/>
      </c>
    </row>
    <row r="638">
      <c r="A638" s="188"/>
      <c r="B638" s="189"/>
      <c r="C638" s="190"/>
      <c r="D638" s="190"/>
      <c r="E638" s="191"/>
      <c r="F638" s="186"/>
      <c r="G638" s="192"/>
      <c r="H638" s="9"/>
      <c r="I638" s="179" t="str">
        <f t="array" ref="I638">IF($F638&lt;&gt;"",XLOOKUP($F638,Productos!$A:$A,Productos!B:B,"Revisar"),"")</f>
        <v/>
      </c>
      <c r="J638" s="179" t="str">
        <f t="array" ref="J638">IF($F638&lt;&gt;"", XLOOKUP($F638,Productos!$A$2:$A1001,Productos!C$2:C1001,"")*$G638,"")</f>
        <v/>
      </c>
      <c r="K638" s="179" t="str">
        <f t="array" ref="K638">IF($F638&lt;&gt;"",XLOOKUP($F638,Productos!$A:$A,Productos!D:D,"Revisar"),"")</f>
        <v/>
      </c>
      <c r="L638" s="179" t="str">
        <f t="array" ref="L638">IF($F638&lt;&gt;"", XLOOKUP($F638,Productos!$A$2:$A1001,Productos!E$2:E1001,"")*$G638,"")</f>
        <v/>
      </c>
      <c r="M638" s="179" t="str">
        <f t="array" ref="M638">IF($F638&lt;&gt;"",XLOOKUP($F638,Productos!$A:$A,Productos!F:F,"Revisar"),"")</f>
        <v/>
      </c>
      <c r="N638" s="179" t="str">
        <f t="array" ref="N638">IF($F638&lt;&gt;"", XLOOKUP($F638,Productos!$A$2:$A1001,Productos!G$2:G1001,"")*$G638,"")</f>
        <v/>
      </c>
      <c r="O638" s="179" t="str">
        <f t="array" ref="O638">IF($F638&lt;&gt;"",XLOOKUP($F638,Productos!$A:$A,Productos!H:H,"Revisar"),"")</f>
        <v/>
      </c>
      <c r="P638" s="179" t="str">
        <f t="array" ref="P638">IF($F638&lt;&gt;"", XLOOKUP($F638,Productos!$A$2:$A1001,Productos!I$2:I1001,"")*$G638,"")</f>
        <v/>
      </c>
      <c r="Q638" s="179" t="str">
        <f t="array" ref="Q638">IF($F638&lt;&gt;"",XLOOKUP($F638,Productos!$A:$A,Productos!J:J,"Revisar"),"")</f>
        <v/>
      </c>
      <c r="R638" s="179" t="str">
        <f t="array" ref="R638">IF($F638&lt;&gt;"", XLOOKUP($F638,Productos!$A$2:$A1001,Productos!K$2:K1001,"")*$G638,"")</f>
        <v/>
      </c>
      <c r="S638" s="179" t="str">
        <f t="array" ref="S638">IF($F638&lt;&gt;"",XLOOKUP($F638,Productos!$A:$A,Productos!L:L,"Revisar"),"")</f>
        <v/>
      </c>
      <c r="T638" s="179" t="str">
        <f t="array" ref="T638">IF($F638&lt;&gt;"", XLOOKUP($F638,Productos!$A$2:$A1001,Productos!M$2:M1001,"")*$G638,"")</f>
        <v/>
      </c>
      <c r="U638" s="179" t="str">
        <f t="array" ref="U638">IF($F638&lt;&gt;"",XLOOKUP($F638,Productos!$A:$A,Productos!N:N,"Revisar"),"")</f>
        <v/>
      </c>
      <c r="V638" s="179" t="str">
        <f t="array" ref="V638">IF($F638&lt;&gt;"", XLOOKUP($F638,Productos!$A$2:$A1001,Productos!O$2:O1001,"")*$G638,"")</f>
        <v/>
      </c>
      <c r="W638" s="179" t="str">
        <f t="array" ref="W638">IF($F638&lt;&gt;"",XLOOKUP($F638,Productos!$A:$A,Productos!P:P,"Revisar"),"")</f>
        <v/>
      </c>
      <c r="X638" s="179" t="str">
        <f t="array" ref="X638">IF($F638&lt;&gt;"", XLOOKUP($F638,Productos!$A$2:$A1001,Productos!Q$2:Q1001,"")*$G638,"")</f>
        <v/>
      </c>
      <c r="Y638" s="179" t="str">
        <f t="array" ref="Y638">IF($F638&lt;&gt;"",XLOOKUP($F638,Productos!$A:$A,Productos!R:R,"Revisar"),"")</f>
        <v/>
      </c>
      <c r="Z638" s="179" t="str">
        <f t="array" ref="Z638">IF($F638&lt;&gt;"", XLOOKUP($F638,Productos!$A$2:$A1001,Productos!S$2:S1001,"")*$G638,"")</f>
        <v/>
      </c>
      <c r="AA638" s="179" t="str">
        <f t="array" ref="AA638">IF($F638&lt;&gt;"",XLOOKUP($F638,Productos!$A:$A,Productos!T:T,"Revisar"),"")</f>
        <v/>
      </c>
      <c r="AB638" s="179" t="str">
        <f t="array" ref="AB638">IF($F638&lt;&gt;"", XLOOKUP($F638,Productos!$A$2:$A1001,Productos!U$2:U1001,"")*$G638,"")</f>
        <v/>
      </c>
      <c r="AC638" s="179" t="str">
        <f t="array" ref="AC638">IF($F638&lt;&gt;"",XLOOKUP($F638,Productos!$A:$A,Productos!V:V,"Revisar"),"")</f>
        <v/>
      </c>
      <c r="AD638" s="179" t="str">
        <f t="array" ref="AD638">IF($F638&lt;&gt;"", XLOOKUP($F638,Productos!$A$2:$A1001,Productos!W$2:W1001,"")*$G638,"")</f>
        <v/>
      </c>
      <c r="AE638" s="179" t="str">
        <f t="array" ref="AE638">IF($F638&lt;&gt;"",XLOOKUP($F638,Productos!$A:$A,Productos!X:X,"Revisar"),"")</f>
        <v/>
      </c>
      <c r="AF638" s="179" t="str">
        <f t="array" ref="AF638">IF($F638&lt;&gt;"", XLOOKUP($F638,Productos!$A$2:$A1001,Productos!Y$2:Y1001,"")*$G638,"")</f>
        <v/>
      </c>
      <c r="AG638" s="179" t="str">
        <f t="array" ref="AG638">IF($F638&lt;&gt;"",XLOOKUP($F638,Productos!$A:$A,Productos!Z:Z,"Revisar"),"")</f>
        <v/>
      </c>
      <c r="AH638" s="179" t="str">
        <f t="array" ref="AH638">IF($F638&lt;&gt;"", XLOOKUP($F638,Productos!$A$2:$A1001,Productos!AA$2:AA1001,"")*$G638,"")</f>
        <v/>
      </c>
      <c r="AI638" s="179" t="str">
        <f t="array" ref="AI638">IF($F638&lt;&gt;"",XLOOKUP($F638,Productos!$A:$A,Productos!AB:AB,"Revisar"),"")</f>
        <v/>
      </c>
      <c r="AJ638" s="179" t="str">
        <f t="array" ref="AJ638">IF($F638&lt;&gt;"", XLOOKUP($F638,Productos!$A$2:$A1001,Productos!AC$2:AC1001,"")*$G638,"")</f>
        <v/>
      </c>
      <c r="AK638" s="179" t="str">
        <f t="array" ref="AK638">IF($F638&lt;&gt;"",XLOOKUP($F638,Productos!$A:$A,Productos!AD:AD,"Revisar"),"")</f>
        <v/>
      </c>
      <c r="AL638" s="179" t="str">
        <f t="array" ref="AL638">IF($F638&lt;&gt;"", XLOOKUP($F638,Productos!$A$2:$A1001,Productos!AE$2:AE1001,"")*$G638,"")</f>
        <v/>
      </c>
      <c r="AM638" s="179" t="str">
        <f t="array" ref="AM638">IF($F638&lt;&gt;"",XLOOKUP($F638,Productos!$A:$A,Productos!AF:AF,"Revisar"),"")</f>
        <v/>
      </c>
      <c r="AN638" s="179" t="str">
        <f t="array" ref="AN638">IF($F638&lt;&gt;"", XLOOKUP($F638,Productos!$A$2:$A1001,Productos!AG$2:AG1001,"")*$G638,"")</f>
        <v/>
      </c>
      <c r="AO638" s="179" t="str">
        <f t="array" ref="AO638">IF($F638&lt;&gt;"",XLOOKUP($F638,Productos!$A:$A,Productos!AH:AH,"Revisar"),"")</f>
        <v/>
      </c>
      <c r="AP638" s="179" t="str">
        <f t="array" ref="AP638">IF($F638&lt;&gt;"", XLOOKUP($F638,Productos!$A$2:$A1001,Productos!AI$2:AI1001,"")*$G638,"")</f>
        <v/>
      </c>
      <c r="AQ638" s="179" t="str">
        <f t="array" ref="AQ638">IF($F638&lt;&gt;"",XLOOKUP($F638,Productos!$A:$A,Productos!AJ:AJ,"Revisar"),"")</f>
        <v/>
      </c>
      <c r="AR638" s="179" t="str">
        <f t="array" ref="AR638">IF($F638&lt;&gt;"", XLOOKUP($F638,Productos!$A$2:$A1001,Productos!AK$2:AK1001,"")*$G638,"")</f>
        <v/>
      </c>
      <c r="AS638" s="179" t="str">
        <f t="array" ref="AS638">IF($F638&lt;&gt;"",XLOOKUP($F638,Productos!$A:$A,Productos!AL:AL,"Revisar"),"")</f>
        <v/>
      </c>
      <c r="AT638" s="179" t="str">
        <f t="array" ref="AT638">IF($F638&lt;&gt;"", XLOOKUP($F638,Productos!$A$2:$A1001,Productos!AM$2:AM1001,"")*$G638,"")</f>
        <v/>
      </c>
      <c r="AU638" s="179" t="str">
        <f t="array" ref="AU638">IF($F638&lt;&gt;"",XLOOKUP($F638,Productos!$A:$A,Productos!AN:AN,"Revisar"),"")</f>
        <v/>
      </c>
      <c r="AV638" s="179" t="str">
        <f t="array" ref="AV638">IF($F638&lt;&gt;"", XLOOKUP($F638,Productos!$A$2:$A1001,Productos!AO$2:AO1001,"")*$G638,"")</f>
        <v/>
      </c>
      <c r="AW638" s="179" t="str">
        <f t="array" ref="AW638">IF($F638&lt;&gt;"",XLOOKUP($F638,Productos!$A:$A,Productos!AP:AP,"Revisar"),"")</f>
        <v/>
      </c>
      <c r="AX638" s="179" t="str">
        <f t="array" ref="AX638">IF($F638&lt;&gt;"", XLOOKUP($F638,Productos!$A$2:$A1001,Productos!AQ$2:AQ1001,"")*$G638,"")</f>
        <v/>
      </c>
      <c r="AY638" s="179" t="str">
        <f t="array" ref="AY638">IF($F638&lt;&gt;"",XLOOKUP($F638,Productos!$A:$A,Productos!AR:AR,"Revisar"),"")</f>
        <v/>
      </c>
      <c r="AZ638" s="179" t="str">
        <f t="array" ref="AZ638">IF($F638&lt;&gt;"", XLOOKUP($F638,Productos!$A$2:$A1001,Productos!AS$2:AS1001,"")*$G638,"")</f>
        <v/>
      </c>
      <c r="BA638" s="179" t="str">
        <f t="array" ref="BA638">IF($F638&lt;&gt;"",XLOOKUP($F638,Productos!$A:$A,Productos!AT:AT,"Revisar"),"")</f>
        <v/>
      </c>
      <c r="BB638" s="179" t="str">
        <f t="array" ref="BB638">IF($F638&lt;&gt;"", XLOOKUP($F638,Productos!$A$2:$A1001,Productos!AU$2:AU1001,"")*$G638,"")</f>
        <v/>
      </c>
      <c r="BC638" s="179" t="str">
        <f t="array" ref="BC638">IF($F638&lt;&gt;"",XLOOKUP($F638,Productos!$A:$A,Productos!AV:AV,"Revisar"),"")</f>
        <v/>
      </c>
      <c r="BD638" s="179" t="str">
        <f t="array" ref="BD638">IF($F638&lt;&gt;"", XLOOKUP($F638,Productos!$A$2:$A1001,Productos!AW$2:AW1001,"")*$G638,"")</f>
        <v/>
      </c>
      <c r="BE638" s="179" t="str">
        <f t="array" ref="BE638">IF($F638&lt;&gt;"",XLOOKUP($F638,Productos!$A:$A,Productos!AX:AX,"Revisar"),"")</f>
        <v/>
      </c>
      <c r="BF638" s="179" t="str">
        <f t="array" ref="BF638">IF($F638&lt;&gt;"", XLOOKUP($F638,Productos!$A$2:$A1001,Productos!AY$2:AY1001,"")*$G638,"")</f>
        <v/>
      </c>
      <c r="BG638" s="179" t="str">
        <f t="array" ref="BG638">IF($F638&lt;&gt;"",XLOOKUP($F638,Productos!$A:$A,Productos!AZ:AZ,"Revisar"),"")</f>
        <v/>
      </c>
      <c r="BH638" s="179" t="str">
        <f t="array" ref="BH638">IF($F638&lt;&gt;"", XLOOKUP($F638,Productos!$A$2:$A1001,Productos!BA$2:BA1001,"")*$G638,"")</f>
        <v/>
      </c>
      <c r="BI638" s="179" t="str">
        <f t="array" ref="BI638">IF($F638&lt;&gt;"",XLOOKUP($F638,Productos!$A:$A,Productos!BB:BB,"Revisar"),"")</f>
        <v/>
      </c>
      <c r="BJ638" s="179" t="str">
        <f t="array" ref="BJ638">IF($F638&lt;&gt;"", XLOOKUP($F638,Productos!$A$2:$A1001,Productos!BC$2:BC1001,"")*$G638,"")</f>
        <v/>
      </c>
      <c r="BK638" s="179" t="str">
        <f t="array" ref="BK638">IF($F638&lt;&gt;"",XLOOKUP($F638,Productos!$A:$A,Productos!BD:BD,"Revisar"),"")</f>
        <v/>
      </c>
      <c r="BL638" s="179" t="str">
        <f t="array" ref="BL638">IF($F638&lt;&gt;"", XLOOKUP($F638,Productos!$A$2:$A1001,Productos!BE$2:BE1001,"")*$G638,"")</f>
        <v/>
      </c>
      <c r="BM638" s="179" t="str">
        <f t="array" ref="BM638">IF($F638&lt;&gt;"",XLOOKUP($F638,Productos!$A:$A,Productos!BF:BF,"Revisar"),"")</f>
        <v/>
      </c>
      <c r="BN638" s="179" t="str">
        <f t="array" ref="BN638">IF($F638&lt;&gt;"", XLOOKUP($F638,Productos!$A$2:$A1001,Productos!BG$2:BG1001,"")*$G638,"")</f>
        <v/>
      </c>
      <c r="BO638" s="179" t="str">
        <f t="array" ref="BO638">IF($F638&lt;&gt;"",XLOOKUP($F638,Productos!$A:$A,Productos!BH:BH,"Revisar"),"")</f>
        <v/>
      </c>
      <c r="BP638" s="179" t="str">
        <f t="array" ref="BP638">IF($F638&lt;&gt;"", XLOOKUP($F638,Productos!$A$2:$A1001,Productos!BI$2:BI1001,"")*$G638,"")</f>
        <v/>
      </c>
      <c r="BQ638" s="179" t="str">
        <f t="array" ref="BQ638">IF($F638&lt;&gt;"",XLOOKUP($F638,Productos!$A:$A,Productos!BJ:BJ,"Revisar"),"")</f>
        <v/>
      </c>
      <c r="BR638" s="179" t="str">
        <f t="array" ref="BR638">IF($F638&lt;&gt;"", XLOOKUP($F638,Productos!$A$2:$A1001,Productos!BK$2:BK1001,"")*$G638,"")</f>
        <v/>
      </c>
      <c r="BS638" s="179" t="str">
        <f t="array" ref="BS638">IF($F638&lt;&gt;"",XLOOKUP($F638,Productos!$A:$A,Productos!BL:BL,"Revisar"),"")</f>
        <v/>
      </c>
      <c r="BT638" s="179" t="str">
        <f t="array" ref="BT638">IF($F638&lt;&gt;"", XLOOKUP($F638,Productos!$A$2:$A1001,Productos!BM$2:BM1001,"")*$G638,"")</f>
        <v/>
      </c>
      <c r="BU638" s="179" t="str">
        <f t="array" ref="BU638">IF($F638&lt;&gt;"",XLOOKUP($F638,Productos!$A:$A,Productos!BN:BN,"Revisar"),"")</f>
        <v/>
      </c>
      <c r="BV638" s="179" t="str">
        <f t="array" ref="BV638">IF($F638&lt;&gt;"", XLOOKUP($F638,Productos!$A$2:$A1001,Productos!BO$2:BO1001,"")*$G638,"")</f>
        <v/>
      </c>
      <c r="BW638" s="179" t="str">
        <f t="array" ref="BW638">IF($F638&lt;&gt;"",XLOOKUP($F638,Productos!$A:$A,Productos!BP:BP,"Revisar"),"")</f>
        <v/>
      </c>
      <c r="BX638" s="179" t="str">
        <f t="array" ref="BX638">IF($F638&lt;&gt;"", XLOOKUP($F638,Productos!$A$2:$A1001,Productos!BQ$2:BQ1001,"")*$G638,"")</f>
        <v/>
      </c>
      <c r="BY638" s="179" t="str">
        <f t="array" ref="BY638">IF($F638&lt;&gt;"",XLOOKUP($F638,Productos!$A:$A,Productos!BR:BR,"Revisar"),"")</f>
        <v/>
      </c>
      <c r="BZ638" s="179" t="str">
        <f t="array" ref="BZ638">IF($F638&lt;&gt;"", XLOOKUP($F638,Productos!$A$2:$A1001,Productos!BS$2:BS1001,"")*$G638,"")</f>
        <v/>
      </c>
    </row>
    <row r="639">
      <c r="A639" s="188"/>
      <c r="B639" s="189"/>
      <c r="C639" s="190"/>
      <c r="D639" s="190"/>
      <c r="E639" s="191"/>
      <c r="F639" s="186"/>
      <c r="G639" s="192"/>
      <c r="H639" s="9"/>
      <c r="I639" s="179" t="str">
        <f t="array" ref="I639">IF($F639&lt;&gt;"",XLOOKUP($F639,Productos!$A:$A,Productos!B:B,"Revisar"),"")</f>
        <v/>
      </c>
      <c r="J639" s="179" t="str">
        <f t="array" ref="J639">IF($F639&lt;&gt;"", XLOOKUP($F639,Productos!$A$2:$A1001,Productos!C$2:C1001,"")*$G639,"")</f>
        <v/>
      </c>
      <c r="K639" s="179" t="str">
        <f t="array" ref="K639">IF($F639&lt;&gt;"",XLOOKUP($F639,Productos!$A:$A,Productos!D:D,"Revisar"),"")</f>
        <v/>
      </c>
      <c r="L639" s="179" t="str">
        <f t="array" ref="L639">IF($F639&lt;&gt;"", XLOOKUP($F639,Productos!$A$2:$A1001,Productos!E$2:E1001,"")*$G639,"")</f>
        <v/>
      </c>
      <c r="M639" s="179" t="str">
        <f t="array" ref="M639">IF($F639&lt;&gt;"",XLOOKUP($F639,Productos!$A:$A,Productos!F:F,"Revisar"),"")</f>
        <v/>
      </c>
      <c r="N639" s="179" t="str">
        <f t="array" ref="N639">IF($F639&lt;&gt;"", XLOOKUP($F639,Productos!$A$2:$A1001,Productos!G$2:G1001,"")*$G639,"")</f>
        <v/>
      </c>
      <c r="O639" s="179" t="str">
        <f t="array" ref="O639">IF($F639&lt;&gt;"",XLOOKUP($F639,Productos!$A:$A,Productos!H:H,"Revisar"),"")</f>
        <v/>
      </c>
      <c r="P639" s="179" t="str">
        <f t="array" ref="P639">IF($F639&lt;&gt;"", XLOOKUP($F639,Productos!$A$2:$A1001,Productos!I$2:I1001,"")*$G639,"")</f>
        <v/>
      </c>
      <c r="Q639" s="179" t="str">
        <f t="array" ref="Q639">IF($F639&lt;&gt;"",XLOOKUP($F639,Productos!$A:$A,Productos!J:J,"Revisar"),"")</f>
        <v/>
      </c>
      <c r="R639" s="179" t="str">
        <f t="array" ref="R639">IF($F639&lt;&gt;"", XLOOKUP($F639,Productos!$A$2:$A1001,Productos!K$2:K1001,"")*$G639,"")</f>
        <v/>
      </c>
      <c r="S639" s="179" t="str">
        <f t="array" ref="S639">IF($F639&lt;&gt;"",XLOOKUP($F639,Productos!$A:$A,Productos!L:L,"Revisar"),"")</f>
        <v/>
      </c>
      <c r="T639" s="179" t="str">
        <f t="array" ref="T639">IF($F639&lt;&gt;"", XLOOKUP($F639,Productos!$A$2:$A1001,Productos!M$2:M1001,"")*$G639,"")</f>
        <v/>
      </c>
      <c r="U639" s="179" t="str">
        <f t="array" ref="U639">IF($F639&lt;&gt;"",XLOOKUP($F639,Productos!$A:$A,Productos!N:N,"Revisar"),"")</f>
        <v/>
      </c>
      <c r="V639" s="179" t="str">
        <f t="array" ref="V639">IF($F639&lt;&gt;"", XLOOKUP($F639,Productos!$A$2:$A1001,Productos!O$2:O1001,"")*$G639,"")</f>
        <v/>
      </c>
      <c r="W639" s="179" t="str">
        <f t="array" ref="W639">IF($F639&lt;&gt;"",XLOOKUP($F639,Productos!$A:$A,Productos!P:P,"Revisar"),"")</f>
        <v/>
      </c>
      <c r="X639" s="179" t="str">
        <f t="array" ref="X639">IF($F639&lt;&gt;"", XLOOKUP($F639,Productos!$A$2:$A1001,Productos!Q$2:Q1001,"")*$G639,"")</f>
        <v/>
      </c>
      <c r="Y639" s="179" t="str">
        <f t="array" ref="Y639">IF($F639&lt;&gt;"",XLOOKUP($F639,Productos!$A:$A,Productos!R:R,"Revisar"),"")</f>
        <v/>
      </c>
      <c r="Z639" s="179" t="str">
        <f t="array" ref="Z639">IF($F639&lt;&gt;"", XLOOKUP($F639,Productos!$A$2:$A1001,Productos!S$2:S1001,"")*$G639,"")</f>
        <v/>
      </c>
      <c r="AA639" s="179" t="str">
        <f t="array" ref="AA639">IF($F639&lt;&gt;"",XLOOKUP($F639,Productos!$A:$A,Productos!T:T,"Revisar"),"")</f>
        <v/>
      </c>
      <c r="AB639" s="179" t="str">
        <f t="array" ref="AB639">IF($F639&lt;&gt;"", XLOOKUP($F639,Productos!$A$2:$A1001,Productos!U$2:U1001,"")*$G639,"")</f>
        <v/>
      </c>
      <c r="AC639" s="179" t="str">
        <f t="array" ref="AC639">IF($F639&lt;&gt;"",XLOOKUP($F639,Productos!$A:$A,Productos!V:V,"Revisar"),"")</f>
        <v/>
      </c>
      <c r="AD639" s="179" t="str">
        <f t="array" ref="AD639">IF($F639&lt;&gt;"", XLOOKUP($F639,Productos!$A$2:$A1001,Productos!W$2:W1001,"")*$G639,"")</f>
        <v/>
      </c>
      <c r="AE639" s="179" t="str">
        <f t="array" ref="AE639">IF($F639&lt;&gt;"",XLOOKUP($F639,Productos!$A:$A,Productos!X:X,"Revisar"),"")</f>
        <v/>
      </c>
      <c r="AF639" s="179" t="str">
        <f t="array" ref="AF639">IF($F639&lt;&gt;"", XLOOKUP($F639,Productos!$A$2:$A1001,Productos!Y$2:Y1001,"")*$G639,"")</f>
        <v/>
      </c>
      <c r="AG639" s="179" t="str">
        <f t="array" ref="AG639">IF($F639&lt;&gt;"",XLOOKUP($F639,Productos!$A:$A,Productos!Z:Z,"Revisar"),"")</f>
        <v/>
      </c>
      <c r="AH639" s="179" t="str">
        <f t="array" ref="AH639">IF($F639&lt;&gt;"", XLOOKUP($F639,Productos!$A$2:$A1001,Productos!AA$2:AA1001,"")*$G639,"")</f>
        <v/>
      </c>
      <c r="AI639" s="179" t="str">
        <f t="array" ref="AI639">IF($F639&lt;&gt;"",XLOOKUP($F639,Productos!$A:$A,Productos!AB:AB,"Revisar"),"")</f>
        <v/>
      </c>
      <c r="AJ639" s="179" t="str">
        <f t="array" ref="AJ639">IF($F639&lt;&gt;"", XLOOKUP($F639,Productos!$A$2:$A1001,Productos!AC$2:AC1001,"")*$G639,"")</f>
        <v/>
      </c>
      <c r="AK639" s="179" t="str">
        <f t="array" ref="AK639">IF($F639&lt;&gt;"",XLOOKUP($F639,Productos!$A:$A,Productos!AD:AD,"Revisar"),"")</f>
        <v/>
      </c>
      <c r="AL639" s="179" t="str">
        <f t="array" ref="AL639">IF($F639&lt;&gt;"", XLOOKUP($F639,Productos!$A$2:$A1001,Productos!AE$2:AE1001,"")*$G639,"")</f>
        <v/>
      </c>
      <c r="AM639" s="179" t="str">
        <f t="array" ref="AM639">IF($F639&lt;&gt;"",XLOOKUP($F639,Productos!$A:$A,Productos!AF:AF,"Revisar"),"")</f>
        <v/>
      </c>
      <c r="AN639" s="179" t="str">
        <f t="array" ref="AN639">IF($F639&lt;&gt;"", XLOOKUP($F639,Productos!$A$2:$A1001,Productos!AG$2:AG1001,"")*$G639,"")</f>
        <v/>
      </c>
      <c r="AO639" s="179" t="str">
        <f t="array" ref="AO639">IF($F639&lt;&gt;"",XLOOKUP($F639,Productos!$A:$A,Productos!AH:AH,"Revisar"),"")</f>
        <v/>
      </c>
      <c r="AP639" s="179" t="str">
        <f t="array" ref="AP639">IF($F639&lt;&gt;"", XLOOKUP($F639,Productos!$A$2:$A1001,Productos!AI$2:AI1001,"")*$G639,"")</f>
        <v/>
      </c>
      <c r="AQ639" s="179" t="str">
        <f t="array" ref="AQ639">IF($F639&lt;&gt;"",XLOOKUP($F639,Productos!$A:$A,Productos!AJ:AJ,"Revisar"),"")</f>
        <v/>
      </c>
      <c r="AR639" s="179" t="str">
        <f t="array" ref="AR639">IF($F639&lt;&gt;"", XLOOKUP($F639,Productos!$A$2:$A1001,Productos!AK$2:AK1001,"")*$G639,"")</f>
        <v/>
      </c>
      <c r="AS639" s="179" t="str">
        <f t="array" ref="AS639">IF($F639&lt;&gt;"",XLOOKUP($F639,Productos!$A:$A,Productos!AL:AL,"Revisar"),"")</f>
        <v/>
      </c>
      <c r="AT639" s="179" t="str">
        <f t="array" ref="AT639">IF($F639&lt;&gt;"", XLOOKUP($F639,Productos!$A$2:$A1001,Productos!AM$2:AM1001,"")*$G639,"")</f>
        <v/>
      </c>
      <c r="AU639" s="179" t="str">
        <f t="array" ref="AU639">IF($F639&lt;&gt;"",XLOOKUP($F639,Productos!$A:$A,Productos!AN:AN,"Revisar"),"")</f>
        <v/>
      </c>
      <c r="AV639" s="179" t="str">
        <f t="array" ref="AV639">IF($F639&lt;&gt;"", XLOOKUP($F639,Productos!$A$2:$A1001,Productos!AO$2:AO1001,"")*$G639,"")</f>
        <v/>
      </c>
      <c r="AW639" s="179" t="str">
        <f t="array" ref="AW639">IF($F639&lt;&gt;"",XLOOKUP($F639,Productos!$A:$A,Productos!AP:AP,"Revisar"),"")</f>
        <v/>
      </c>
      <c r="AX639" s="179" t="str">
        <f t="array" ref="AX639">IF($F639&lt;&gt;"", XLOOKUP($F639,Productos!$A$2:$A1001,Productos!AQ$2:AQ1001,"")*$G639,"")</f>
        <v/>
      </c>
      <c r="AY639" s="179" t="str">
        <f t="array" ref="AY639">IF($F639&lt;&gt;"",XLOOKUP($F639,Productos!$A:$A,Productos!AR:AR,"Revisar"),"")</f>
        <v/>
      </c>
      <c r="AZ639" s="179" t="str">
        <f t="array" ref="AZ639">IF($F639&lt;&gt;"", XLOOKUP($F639,Productos!$A$2:$A1001,Productos!AS$2:AS1001,"")*$G639,"")</f>
        <v/>
      </c>
      <c r="BA639" s="179" t="str">
        <f t="array" ref="BA639">IF($F639&lt;&gt;"",XLOOKUP($F639,Productos!$A:$A,Productos!AT:AT,"Revisar"),"")</f>
        <v/>
      </c>
      <c r="BB639" s="179" t="str">
        <f t="array" ref="BB639">IF($F639&lt;&gt;"", XLOOKUP($F639,Productos!$A$2:$A1001,Productos!AU$2:AU1001,"")*$G639,"")</f>
        <v/>
      </c>
      <c r="BC639" s="179" t="str">
        <f t="array" ref="BC639">IF($F639&lt;&gt;"",XLOOKUP($F639,Productos!$A:$A,Productos!AV:AV,"Revisar"),"")</f>
        <v/>
      </c>
      <c r="BD639" s="179" t="str">
        <f t="array" ref="BD639">IF($F639&lt;&gt;"", XLOOKUP($F639,Productos!$A$2:$A1001,Productos!AW$2:AW1001,"")*$G639,"")</f>
        <v/>
      </c>
      <c r="BE639" s="179" t="str">
        <f t="array" ref="BE639">IF($F639&lt;&gt;"",XLOOKUP($F639,Productos!$A:$A,Productos!AX:AX,"Revisar"),"")</f>
        <v/>
      </c>
      <c r="BF639" s="179" t="str">
        <f t="array" ref="BF639">IF($F639&lt;&gt;"", XLOOKUP($F639,Productos!$A$2:$A1001,Productos!AY$2:AY1001,"")*$G639,"")</f>
        <v/>
      </c>
      <c r="BG639" s="179" t="str">
        <f t="array" ref="BG639">IF($F639&lt;&gt;"",XLOOKUP($F639,Productos!$A:$A,Productos!AZ:AZ,"Revisar"),"")</f>
        <v/>
      </c>
      <c r="BH639" s="179" t="str">
        <f t="array" ref="BH639">IF($F639&lt;&gt;"", XLOOKUP($F639,Productos!$A$2:$A1001,Productos!BA$2:BA1001,"")*$G639,"")</f>
        <v/>
      </c>
      <c r="BI639" s="179" t="str">
        <f t="array" ref="BI639">IF($F639&lt;&gt;"",XLOOKUP($F639,Productos!$A:$A,Productos!BB:BB,"Revisar"),"")</f>
        <v/>
      </c>
      <c r="BJ639" s="179" t="str">
        <f t="array" ref="BJ639">IF($F639&lt;&gt;"", XLOOKUP($F639,Productos!$A$2:$A1001,Productos!BC$2:BC1001,"")*$G639,"")</f>
        <v/>
      </c>
      <c r="BK639" s="179" t="str">
        <f t="array" ref="BK639">IF($F639&lt;&gt;"",XLOOKUP($F639,Productos!$A:$A,Productos!BD:BD,"Revisar"),"")</f>
        <v/>
      </c>
      <c r="BL639" s="179" t="str">
        <f t="array" ref="BL639">IF($F639&lt;&gt;"", XLOOKUP($F639,Productos!$A$2:$A1001,Productos!BE$2:BE1001,"")*$G639,"")</f>
        <v/>
      </c>
      <c r="BM639" s="179" t="str">
        <f t="array" ref="BM639">IF($F639&lt;&gt;"",XLOOKUP($F639,Productos!$A:$A,Productos!BF:BF,"Revisar"),"")</f>
        <v/>
      </c>
      <c r="BN639" s="179" t="str">
        <f t="array" ref="BN639">IF($F639&lt;&gt;"", XLOOKUP($F639,Productos!$A$2:$A1001,Productos!BG$2:BG1001,"")*$G639,"")</f>
        <v/>
      </c>
      <c r="BO639" s="179" t="str">
        <f t="array" ref="BO639">IF($F639&lt;&gt;"",XLOOKUP($F639,Productos!$A:$A,Productos!BH:BH,"Revisar"),"")</f>
        <v/>
      </c>
      <c r="BP639" s="179" t="str">
        <f t="array" ref="BP639">IF($F639&lt;&gt;"", XLOOKUP($F639,Productos!$A$2:$A1001,Productos!BI$2:BI1001,"")*$G639,"")</f>
        <v/>
      </c>
      <c r="BQ639" s="179" t="str">
        <f t="array" ref="BQ639">IF($F639&lt;&gt;"",XLOOKUP($F639,Productos!$A:$A,Productos!BJ:BJ,"Revisar"),"")</f>
        <v/>
      </c>
      <c r="BR639" s="179" t="str">
        <f t="array" ref="BR639">IF($F639&lt;&gt;"", XLOOKUP($F639,Productos!$A$2:$A1001,Productos!BK$2:BK1001,"")*$G639,"")</f>
        <v/>
      </c>
      <c r="BS639" s="179" t="str">
        <f t="array" ref="BS639">IF($F639&lt;&gt;"",XLOOKUP($F639,Productos!$A:$A,Productos!BL:BL,"Revisar"),"")</f>
        <v/>
      </c>
      <c r="BT639" s="179" t="str">
        <f t="array" ref="BT639">IF($F639&lt;&gt;"", XLOOKUP($F639,Productos!$A$2:$A1001,Productos!BM$2:BM1001,"")*$G639,"")</f>
        <v/>
      </c>
      <c r="BU639" s="179" t="str">
        <f t="array" ref="BU639">IF($F639&lt;&gt;"",XLOOKUP($F639,Productos!$A:$A,Productos!BN:BN,"Revisar"),"")</f>
        <v/>
      </c>
      <c r="BV639" s="179" t="str">
        <f t="array" ref="BV639">IF($F639&lt;&gt;"", XLOOKUP($F639,Productos!$A$2:$A1001,Productos!BO$2:BO1001,"")*$G639,"")</f>
        <v/>
      </c>
      <c r="BW639" s="179" t="str">
        <f t="array" ref="BW639">IF($F639&lt;&gt;"",XLOOKUP($F639,Productos!$A:$A,Productos!BP:BP,"Revisar"),"")</f>
        <v/>
      </c>
      <c r="BX639" s="179" t="str">
        <f t="array" ref="BX639">IF($F639&lt;&gt;"", XLOOKUP($F639,Productos!$A$2:$A1001,Productos!BQ$2:BQ1001,"")*$G639,"")</f>
        <v/>
      </c>
      <c r="BY639" s="179" t="str">
        <f t="array" ref="BY639">IF($F639&lt;&gt;"",XLOOKUP($F639,Productos!$A:$A,Productos!BR:BR,"Revisar"),"")</f>
        <v/>
      </c>
      <c r="BZ639" s="179" t="str">
        <f t="array" ref="BZ639">IF($F639&lt;&gt;"", XLOOKUP($F639,Productos!$A$2:$A1001,Productos!BS$2:BS1001,"")*$G639,"")</f>
        <v/>
      </c>
    </row>
    <row r="640">
      <c r="A640" s="188"/>
      <c r="B640" s="189"/>
      <c r="C640" s="190"/>
      <c r="D640" s="190"/>
      <c r="E640" s="191"/>
      <c r="F640" s="186"/>
      <c r="G640" s="192"/>
      <c r="H640" s="9"/>
      <c r="I640" s="179" t="str">
        <f t="array" ref="I640">IF($F640&lt;&gt;"",XLOOKUP($F640,Productos!$A:$A,Productos!B:B,"Revisar"),"")</f>
        <v/>
      </c>
      <c r="J640" s="179" t="str">
        <f t="array" ref="J640">IF($F640&lt;&gt;"", XLOOKUP($F640,Productos!$A$2:$A1001,Productos!C$2:C1001,"")*$G640,"")</f>
        <v/>
      </c>
      <c r="K640" s="179" t="str">
        <f t="array" ref="K640">IF($F640&lt;&gt;"",XLOOKUP($F640,Productos!$A:$A,Productos!D:D,"Revisar"),"")</f>
        <v/>
      </c>
      <c r="L640" s="179" t="str">
        <f t="array" ref="L640">IF($F640&lt;&gt;"", XLOOKUP($F640,Productos!$A$2:$A1001,Productos!E$2:E1001,"")*$G640,"")</f>
        <v/>
      </c>
      <c r="M640" s="179" t="str">
        <f t="array" ref="M640">IF($F640&lt;&gt;"",XLOOKUP($F640,Productos!$A:$A,Productos!F:F,"Revisar"),"")</f>
        <v/>
      </c>
      <c r="N640" s="179" t="str">
        <f t="array" ref="N640">IF($F640&lt;&gt;"", XLOOKUP($F640,Productos!$A$2:$A1001,Productos!G$2:G1001,"")*$G640,"")</f>
        <v/>
      </c>
      <c r="O640" s="179" t="str">
        <f t="array" ref="O640">IF($F640&lt;&gt;"",XLOOKUP($F640,Productos!$A:$A,Productos!H:H,"Revisar"),"")</f>
        <v/>
      </c>
      <c r="P640" s="179" t="str">
        <f t="array" ref="P640">IF($F640&lt;&gt;"", XLOOKUP($F640,Productos!$A$2:$A1001,Productos!I$2:I1001,"")*$G640,"")</f>
        <v/>
      </c>
      <c r="Q640" s="179" t="str">
        <f t="array" ref="Q640">IF($F640&lt;&gt;"",XLOOKUP($F640,Productos!$A:$A,Productos!J:J,"Revisar"),"")</f>
        <v/>
      </c>
      <c r="R640" s="179" t="str">
        <f t="array" ref="R640">IF($F640&lt;&gt;"", XLOOKUP($F640,Productos!$A$2:$A1001,Productos!K$2:K1001,"")*$G640,"")</f>
        <v/>
      </c>
      <c r="S640" s="179" t="str">
        <f t="array" ref="S640">IF($F640&lt;&gt;"",XLOOKUP($F640,Productos!$A:$A,Productos!L:L,"Revisar"),"")</f>
        <v/>
      </c>
      <c r="T640" s="179" t="str">
        <f t="array" ref="T640">IF($F640&lt;&gt;"", XLOOKUP($F640,Productos!$A$2:$A1001,Productos!M$2:M1001,"")*$G640,"")</f>
        <v/>
      </c>
      <c r="U640" s="179" t="str">
        <f t="array" ref="U640">IF($F640&lt;&gt;"",XLOOKUP($F640,Productos!$A:$A,Productos!N:N,"Revisar"),"")</f>
        <v/>
      </c>
      <c r="V640" s="179" t="str">
        <f t="array" ref="V640">IF($F640&lt;&gt;"", XLOOKUP($F640,Productos!$A$2:$A1001,Productos!O$2:O1001,"")*$G640,"")</f>
        <v/>
      </c>
      <c r="W640" s="179" t="str">
        <f t="array" ref="W640">IF($F640&lt;&gt;"",XLOOKUP($F640,Productos!$A:$A,Productos!P:P,"Revisar"),"")</f>
        <v/>
      </c>
      <c r="X640" s="179" t="str">
        <f t="array" ref="X640">IF($F640&lt;&gt;"", XLOOKUP($F640,Productos!$A$2:$A1001,Productos!Q$2:Q1001,"")*$G640,"")</f>
        <v/>
      </c>
      <c r="Y640" s="179" t="str">
        <f t="array" ref="Y640">IF($F640&lt;&gt;"",XLOOKUP($F640,Productos!$A:$A,Productos!R:R,"Revisar"),"")</f>
        <v/>
      </c>
      <c r="Z640" s="179" t="str">
        <f t="array" ref="Z640">IF($F640&lt;&gt;"", XLOOKUP($F640,Productos!$A$2:$A1001,Productos!S$2:S1001,"")*$G640,"")</f>
        <v/>
      </c>
      <c r="AA640" s="179" t="str">
        <f t="array" ref="AA640">IF($F640&lt;&gt;"",XLOOKUP($F640,Productos!$A:$A,Productos!T:T,"Revisar"),"")</f>
        <v/>
      </c>
      <c r="AB640" s="179" t="str">
        <f t="array" ref="AB640">IF($F640&lt;&gt;"", XLOOKUP($F640,Productos!$A$2:$A1001,Productos!U$2:U1001,"")*$G640,"")</f>
        <v/>
      </c>
      <c r="AC640" s="179" t="str">
        <f t="array" ref="AC640">IF($F640&lt;&gt;"",XLOOKUP($F640,Productos!$A:$A,Productos!V:V,"Revisar"),"")</f>
        <v/>
      </c>
      <c r="AD640" s="179" t="str">
        <f t="array" ref="AD640">IF($F640&lt;&gt;"", XLOOKUP($F640,Productos!$A$2:$A1001,Productos!W$2:W1001,"")*$G640,"")</f>
        <v/>
      </c>
      <c r="AE640" s="179" t="str">
        <f t="array" ref="AE640">IF($F640&lt;&gt;"",XLOOKUP($F640,Productos!$A:$A,Productos!X:X,"Revisar"),"")</f>
        <v/>
      </c>
      <c r="AF640" s="179" t="str">
        <f t="array" ref="AF640">IF($F640&lt;&gt;"", XLOOKUP($F640,Productos!$A$2:$A1001,Productos!Y$2:Y1001,"")*$G640,"")</f>
        <v/>
      </c>
      <c r="AG640" s="179" t="str">
        <f t="array" ref="AG640">IF($F640&lt;&gt;"",XLOOKUP($F640,Productos!$A:$A,Productos!Z:Z,"Revisar"),"")</f>
        <v/>
      </c>
      <c r="AH640" s="179" t="str">
        <f t="array" ref="AH640">IF($F640&lt;&gt;"", XLOOKUP($F640,Productos!$A$2:$A1001,Productos!AA$2:AA1001,"")*$G640,"")</f>
        <v/>
      </c>
      <c r="AI640" s="179" t="str">
        <f t="array" ref="AI640">IF($F640&lt;&gt;"",XLOOKUP($F640,Productos!$A:$A,Productos!AB:AB,"Revisar"),"")</f>
        <v/>
      </c>
      <c r="AJ640" s="179" t="str">
        <f t="array" ref="AJ640">IF($F640&lt;&gt;"", XLOOKUP($F640,Productos!$A$2:$A1001,Productos!AC$2:AC1001,"")*$G640,"")</f>
        <v/>
      </c>
      <c r="AK640" s="179" t="str">
        <f t="array" ref="AK640">IF($F640&lt;&gt;"",XLOOKUP($F640,Productos!$A:$A,Productos!AD:AD,"Revisar"),"")</f>
        <v/>
      </c>
      <c r="AL640" s="179" t="str">
        <f t="array" ref="AL640">IF($F640&lt;&gt;"", XLOOKUP($F640,Productos!$A$2:$A1001,Productos!AE$2:AE1001,"")*$G640,"")</f>
        <v/>
      </c>
      <c r="AM640" s="179" t="str">
        <f t="array" ref="AM640">IF($F640&lt;&gt;"",XLOOKUP($F640,Productos!$A:$A,Productos!AF:AF,"Revisar"),"")</f>
        <v/>
      </c>
      <c r="AN640" s="179" t="str">
        <f t="array" ref="AN640">IF($F640&lt;&gt;"", XLOOKUP($F640,Productos!$A$2:$A1001,Productos!AG$2:AG1001,"")*$G640,"")</f>
        <v/>
      </c>
      <c r="AO640" s="179" t="str">
        <f t="array" ref="AO640">IF($F640&lt;&gt;"",XLOOKUP($F640,Productos!$A:$A,Productos!AH:AH,"Revisar"),"")</f>
        <v/>
      </c>
      <c r="AP640" s="179" t="str">
        <f t="array" ref="AP640">IF($F640&lt;&gt;"", XLOOKUP($F640,Productos!$A$2:$A1001,Productos!AI$2:AI1001,"")*$G640,"")</f>
        <v/>
      </c>
      <c r="AQ640" s="179" t="str">
        <f t="array" ref="AQ640">IF($F640&lt;&gt;"",XLOOKUP($F640,Productos!$A:$A,Productos!AJ:AJ,"Revisar"),"")</f>
        <v/>
      </c>
      <c r="AR640" s="179" t="str">
        <f t="array" ref="AR640">IF($F640&lt;&gt;"", XLOOKUP($F640,Productos!$A$2:$A1001,Productos!AK$2:AK1001,"")*$G640,"")</f>
        <v/>
      </c>
      <c r="AS640" s="179" t="str">
        <f t="array" ref="AS640">IF($F640&lt;&gt;"",XLOOKUP($F640,Productos!$A:$A,Productos!AL:AL,"Revisar"),"")</f>
        <v/>
      </c>
      <c r="AT640" s="179" t="str">
        <f t="array" ref="AT640">IF($F640&lt;&gt;"", XLOOKUP($F640,Productos!$A$2:$A1001,Productos!AM$2:AM1001,"")*$G640,"")</f>
        <v/>
      </c>
      <c r="AU640" s="179" t="str">
        <f t="array" ref="AU640">IF($F640&lt;&gt;"",XLOOKUP($F640,Productos!$A:$A,Productos!AN:AN,"Revisar"),"")</f>
        <v/>
      </c>
      <c r="AV640" s="179" t="str">
        <f t="array" ref="AV640">IF($F640&lt;&gt;"", XLOOKUP($F640,Productos!$A$2:$A1001,Productos!AO$2:AO1001,"")*$G640,"")</f>
        <v/>
      </c>
      <c r="AW640" s="179" t="str">
        <f t="array" ref="AW640">IF($F640&lt;&gt;"",XLOOKUP($F640,Productos!$A:$A,Productos!AP:AP,"Revisar"),"")</f>
        <v/>
      </c>
      <c r="AX640" s="179" t="str">
        <f t="array" ref="AX640">IF($F640&lt;&gt;"", XLOOKUP($F640,Productos!$A$2:$A1001,Productos!AQ$2:AQ1001,"")*$G640,"")</f>
        <v/>
      </c>
      <c r="AY640" s="179" t="str">
        <f t="array" ref="AY640">IF($F640&lt;&gt;"",XLOOKUP($F640,Productos!$A:$A,Productos!AR:AR,"Revisar"),"")</f>
        <v/>
      </c>
      <c r="AZ640" s="179" t="str">
        <f t="array" ref="AZ640">IF($F640&lt;&gt;"", XLOOKUP($F640,Productos!$A$2:$A1001,Productos!AS$2:AS1001,"")*$G640,"")</f>
        <v/>
      </c>
      <c r="BA640" s="179" t="str">
        <f t="array" ref="BA640">IF($F640&lt;&gt;"",XLOOKUP($F640,Productos!$A:$A,Productos!AT:AT,"Revisar"),"")</f>
        <v/>
      </c>
      <c r="BB640" s="179" t="str">
        <f t="array" ref="BB640">IF($F640&lt;&gt;"", XLOOKUP($F640,Productos!$A$2:$A1001,Productos!AU$2:AU1001,"")*$G640,"")</f>
        <v/>
      </c>
      <c r="BC640" s="179" t="str">
        <f t="array" ref="BC640">IF($F640&lt;&gt;"",XLOOKUP($F640,Productos!$A:$A,Productos!AV:AV,"Revisar"),"")</f>
        <v/>
      </c>
      <c r="BD640" s="179" t="str">
        <f t="array" ref="BD640">IF($F640&lt;&gt;"", XLOOKUP($F640,Productos!$A$2:$A1001,Productos!AW$2:AW1001,"")*$G640,"")</f>
        <v/>
      </c>
      <c r="BE640" s="179" t="str">
        <f t="array" ref="BE640">IF($F640&lt;&gt;"",XLOOKUP($F640,Productos!$A:$A,Productos!AX:AX,"Revisar"),"")</f>
        <v/>
      </c>
      <c r="BF640" s="179" t="str">
        <f t="array" ref="BF640">IF($F640&lt;&gt;"", XLOOKUP($F640,Productos!$A$2:$A1001,Productos!AY$2:AY1001,"")*$G640,"")</f>
        <v/>
      </c>
      <c r="BG640" s="179" t="str">
        <f t="array" ref="BG640">IF($F640&lt;&gt;"",XLOOKUP($F640,Productos!$A:$A,Productos!AZ:AZ,"Revisar"),"")</f>
        <v/>
      </c>
      <c r="BH640" s="179" t="str">
        <f t="array" ref="BH640">IF($F640&lt;&gt;"", XLOOKUP($F640,Productos!$A$2:$A1001,Productos!BA$2:BA1001,"")*$G640,"")</f>
        <v/>
      </c>
      <c r="BI640" s="179" t="str">
        <f t="array" ref="BI640">IF($F640&lt;&gt;"",XLOOKUP($F640,Productos!$A:$A,Productos!BB:BB,"Revisar"),"")</f>
        <v/>
      </c>
      <c r="BJ640" s="179" t="str">
        <f t="array" ref="BJ640">IF($F640&lt;&gt;"", XLOOKUP($F640,Productos!$A$2:$A1001,Productos!BC$2:BC1001,"")*$G640,"")</f>
        <v/>
      </c>
      <c r="BK640" s="179" t="str">
        <f t="array" ref="BK640">IF($F640&lt;&gt;"",XLOOKUP($F640,Productos!$A:$A,Productos!BD:BD,"Revisar"),"")</f>
        <v/>
      </c>
      <c r="BL640" s="179" t="str">
        <f t="array" ref="BL640">IF($F640&lt;&gt;"", XLOOKUP($F640,Productos!$A$2:$A1001,Productos!BE$2:BE1001,"")*$G640,"")</f>
        <v/>
      </c>
      <c r="BM640" s="179" t="str">
        <f t="array" ref="BM640">IF($F640&lt;&gt;"",XLOOKUP($F640,Productos!$A:$A,Productos!BF:BF,"Revisar"),"")</f>
        <v/>
      </c>
      <c r="BN640" s="179" t="str">
        <f t="array" ref="BN640">IF($F640&lt;&gt;"", XLOOKUP($F640,Productos!$A$2:$A1001,Productos!BG$2:BG1001,"")*$G640,"")</f>
        <v/>
      </c>
      <c r="BO640" s="179" t="str">
        <f t="array" ref="BO640">IF($F640&lt;&gt;"",XLOOKUP($F640,Productos!$A:$A,Productos!BH:BH,"Revisar"),"")</f>
        <v/>
      </c>
      <c r="BP640" s="179" t="str">
        <f t="array" ref="BP640">IF($F640&lt;&gt;"", XLOOKUP($F640,Productos!$A$2:$A1001,Productos!BI$2:BI1001,"")*$G640,"")</f>
        <v/>
      </c>
      <c r="BQ640" s="179" t="str">
        <f t="array" ref="BQ640">IF($F640&lt;&gt;"",XLOOKUP($F640,Productos!$A:$A,Productos!BJ:BJ,"Revisar"),"")</f>
        <v/>
      </c>
      <c r="BR640" s="179" t="str">
        <f t="array" ref="BR640">IF($F640&lt;&gt;"", XLOOKUP($F640,Productos!$A$2:$A1001,Productos!BK$2:BK1001,"")*$G640,"")</f>
        <v/>
      </c>
      <c r="BS640" s="179" t="str">
        <f t="array" ref="BS640">IF($F640&lt;&gt;"",XLOOKUP($F640,Productos!$A:$A,Productos!BL:BL,"Revisar"),"")</f>
        <v/>
      </c>
      <c r="BT640" s="179" t="str">
        <f t="array" ref="BT640">IF($F640&lt;&gt;"", XLOOKUP($F640,Productos!$A$2:$A1001,Productos!BM$2:BM1001,"")*$G640,"")</f>
        <v/>
      </c>
      <c r="BU640" s="179" t="str">
        <f t="array" ref="BU640">IF($F640&lt;&gt;"",XLOOKUP($F640,Productos!$A:$A,Productos!BN:BN,"Revisar"),"")</f>
        <v/>
      </c>
      <c r="BV640" s="179" t="str">
        <f t="array" ref="BV640">IF($F640&lt;&gt;"", XLOOKUP($F640,Productos!$A$2:$A1001,Productos!BO$2:BO1001,"")*$G640,"")</f>
        <v/>
      </c>
      <c r="BW640" s="179" t="str">
        <f t="array" ref="BW640">IF($F640&lt;&gt;"",XLOOKUP($F640,Productos!$A:$A,Productos!BP:BP,"Revisar"),"")</f>
        <v/>
      </c>
      <c r="BX640" s="179" t="str">
        <f t="array" ref="BX640">IF($F640&lt;&gt;"", XLOOKUP($F640,Productos!$A$2:$A1001,Productos!BQ$2:BQ1001,"")*$G640,"")</f>
        <v/>
      </c>
      <c r="BY640" s="179" t="str">
        <f t="array" ref="BY640">IF($F640&lt;&gt;"",XLOOKUP($F640,Productos!$A:$A,Productos!BR:BR,"Revisar"),"")</f>
        <v/>
      </c>
      <c r="BZ640" s="179" t="str">
        <f t="array" ref="BZ640">IF($F640&lt;&gt;"", XLOOKUP($F640,Productos!$A$2:$A1001,Productos!BS$2:BS1001,"")*$G640,"")</f>
        <v/>
      </c>
    </row>
    <row r="641">
      <c r="A641" s="188"/>
      <c r="B641" s="189"/>
      <c r="C641" s="190"/>
      <c r="D641" s="190"/>
      <c r="E641" s="191"/>
      <c r="F641" s="186"/>
      <c r="G641" s="192"/>
      <c r="H641" s="9"/>
      <c r="I641" s="179" t="str">
        <f t="array" ref="I641">IF($F641&lt;&gt;"",XLOOKUP($F641,Productos!$A:$A,Productos!B:B,"Revisar"),"")</f>
        <v/>
      </c>
      <c r="J641" s="179" t="str">
        <f t="array" ref="J641">IF($F641&lt;&gt;"", XLOOKUP($F641,Productos!$A$2:$A1001,Productos!C$2:C1001,"")*$G641,"")</f>
        <v/>
      </c>
      <c r="K641" s="179" t="str">
        <f t="array" ref="K641">IF($F641&lt;&gt;"",XLOOKUP($F641,Productos!$A:$A,Productos!D:D,"Revisar"),"")</f>
        <v/>
      </c>
      <c r="L641" s="179" t="str">
        <f t="array" ref="L641">IF($F641&lt;&gt;"", XLOOKUP($F641,Productos!$A$2:$A1001,Productos!E$2:E1001,"")*$G641,"")</f>
        <v/>
      </c>
      <c r="M641" s="179" t="str">
        <f t="array" ref="M641">IF($F641&lt;&gt;"",XLOOKUP($F641,Productos!$A:$A,Productos!F:F,"Revisar"),"")</f>
        <v/>
      </c>
      <c r="N641" s="179" t="str">
        <f t="array" ref="N641">IF($F641&lt;&gt;"", XLOOKUP($F641,Productos!$A$2:$A1001,Productos!G$2:G1001,"")*$G641,"")</f>
        <v/>
      </c>
      <c r="O641" s="179" t="str">
        <f t="array" ref="O641">IF($F641&lt;&gt;"",XLOOKUP($F641,Productos!$A:$A,Productos!H:H,"Revisar"),"")</f>
        <v/>
      </c>
      <c r="P641" s="179" t="str">
        <f t="array" ref="P641">IF($F641&lt;&gt;"", XLOOKUP($F641,Productos!$A$2:$A1001,Productos!I$2:I1001,"")*$G641,"")</f>
        <v/>
      </c>
      <c r="Q641" s="179" t="str">
        <f t="array" ref="Q641">IF($F641&lt;&gt;"",XLOOKUP($F641,Productos!$A:$A,Productos!J:J,"Revisar"),"")</f>
        <v/>
      </c>
      <c r="R641" s="179" t="str">
        <f t="array" ref="R641">IF($F641&lt;&gt;"", XLOOKUP($F641,Productos!$A$2:$A1001,Productos!K$2:K1001,"")*$G641,"")</f>
        <v/>
      </c>
      <c r="S641" s="179" t="str">
        <f t="array" ref="S641">IF($F641&lt;&gt;"",XLOOKUP($F641,Productos!$A:$A,Productos!L:L,"Revisar"),"")</f>
        <v/>
      </c>
      <c r="T641" s="179" t="str">
        <f t="array" ref="T641">IF($F641&lt;&gt;"", XLOOKUP($F641,Productos!$A$2:$A1001,Productos!M$2:M1001,"")*$G641,"")</f>
        <v/>
      </c>
      <c r="U641" s="179" t="str">
        <f t="array" ref="U641">IF($F641&lt;&gt;"",XLOOKUP($F641,Productos!$A:$A,Productos!N:N,"Revisar"),"")</f>
        <v/>
      </c>
      <c r="V641" s="179" t="str">
        <f t="array" ref="V641">IF($F641&lt;&gt;"", XLOOKUP($F641,Productos!$A$2:$A1001,Productos!O$2:O1001,"")*$G641,"")</f>
        <v/>
      </c>
      <c r="W641" s="179" t="str">
        <f t="array" ref="W641">IF($F641&lt;&gt;"",XLOOKUP($F641,Productos!$A:$A,Productos!P:P,"Revisar"),"")</f>
        <v/>
      </c>
      <c r="X641" s="179" t="str">
        <f t="array" ref="X641">IF($F641&lt;&gt;"", XLOOKUP($F641,Productos!$A$2:$A1001,Productos!Q$2:Q1001,"")*$G641,"")</f>
        <v/>
      </c>
      <c r="Y641" s="179" t="str">
        <f t="array" ref="Y641">IF($F641&lt;&gt;"",XLOOKUP($F641,Productos!$A:$A,Productos!R:R,"Revisar"),"")</f>
        <v/>
      </c>
      <c r="Z641" s="179" t="str">
        <f t="array" ref="Z641">IF($F641&lt;&gt;"", XLOOKUP($F641,Productos!$A$2:$A1001,Productos!S$2:S1001,"")*$G641,"")</f>
        <v/>
      </c>
      <c r="AA641" s="179" t="str">
        <f t="array" ref="AA641">IF($F641&lt;&gt;"",XLOOKUP($F641,Productos!$A:$A,Productos!T:T,"Revisar"),"")</f>
        <v/>
      </c>
      <c r="AB641" s="179" t="str">
        <f t="array" ref="AB641">IF($F641&lt;&gt;"", XLOOKUP($F641,Productos!$A$2:$A1001,Productos!U$2:U1001,"")*$G641,"")</f>
        <v/>
      </c>
      <c r="AC641" s="179" t="str">
        <f t="array" ref="AC641">IF($F641&lt;&gt;"",XLOOKUP($F641,Productos!$A:$A,Productos!V:V,"Revisar"),"")</f>
        <v/>
      </c>
      <c r="AD641" s="179" t="str">
        <f t="array" ref="AD641">IF($F641&lt;&gt;"", XLOOKUP($F641,Productos!$A$2:$A1001,Productos!W$2:W1001,"")*$G641,"")</f>
        <v/>
      </c>
      <c r="AE641" s="179" t="str">
        <f t="array" ref="AE641">IF($F641&lt;&gt;"",XLOOKUP($F641,Productos!$A:$A,Productos!X:X,"Revisar"),"")</f>
        <v/>
      </c>
      <c r="AF641" s="179" t="str">
        <f t="array" ref="AF641">IF($F641&lt;&gt;"", XLOOKUP($F641,Productos!$A$2:$A1001,Productos!Y$2:Y1001,"")*$G641,"")</f>
        <v/>
      </c>
      <c r="AG641" s="179" t="str">
        <f t="array" ref="AG641">IF($F641&lt;&gt;"",XLOOKUP($F641,Productos!$A:$A,Productos!Z:Z,"Revisar"),"")</f>
        <v/>
      </c>
      <c r="AH641" s="179" t="str">
        <f t="array" ref="AH641">IF($F641&lt;&gt;"", XLOOKUP($F641,Productos!$A$2:$A1001,Productos!AA$2:AA1001,"")*$G641,"")</f>
        <v/>
      </c>
      <c r="AI641" s="179" t="str">
        <f t="array" ref="AI641">IF($F641&lt;&gt;"",XLOOKUP($F641,Productos!$A:$A,Productos!AB:AB,"Revisar"),"")</f>
        <v/>
      </c>
      <c r="AJ641" s="179" t="str">
        <f t="array" ref="AJ641">IF($F641&lt;&gt;"", XLOOKUP($F641,Productos!$A$2:$A1001,Productos!AC$2:AC1001,"")*$G641,"")</f>
        <v/>
      </c>
      <c r="AK641" s="179" t="str">
        <f t="array" ref="AK641">IF($F641&lt;&gt;"",XLOOKUP($F641,Productos!$A:$A,Productos!AD:AD,"Revisar"),"")</f>
        <v/>
      </c>
      <c r="AL641" s="179" t="str">
        <f t="array" ref="AL641">IF($F641&lt;&gt;"", XLOOKUP($F641,Productos!$A$2:$A1001,Productos!AE$2:AE1001,"")*$G641,"")</f>
        <v/>
      </c>
      <c r="AM641" s="179" t="str">
        <f t="array" ref="AM641">IF($F641&lt;&gt;"",XLOOKUP($F641,Productos!$A:$A,Productos!AF:AF,"Revisar"),"")</f>
        <v/>
      </c>
      <c r="AN641" s="179" t="str">
        <f t="array" ref="AN641">IF($F641&lt;&gt;"", XLOOKUP($F641,Productos!$A$2:$A1001,Productos!AG$2:AG1001,"")*$G641,"")</f>
        <v/>
      </c>
      <c r="AO641" s="179" t="str">
        <f t="array" ref="AO641">IF($F641&lt;&gt;"",XLOOKUP($F641,Productos!$A:$A,Productos!AH:AH,"Revisar"),"")</f>
        <v/>
      </c>
      <c r="AP641" s="179" t="str">
        <f t="array" ref="AP641">IF($F641&lt;&gt;"", XLOOKUP($F641,Productos!$A$2:$A1001,Productos!AI$2:AI1001,"")*$G641,"")</f>
        <v/>
      </c>
      <c r="AQ641" s="179" t="str">
        <f t="array" ref="AQ641">IF($F641&lt;&gt;"",XLOOKUP($F641,Productos!$A:$A,Productos!AJ:AJ,"Revisar"),"")</f>
        <v/>
      </c>
      <c r="AR641" s="179" t="str">
        <f t="array" ref="AR641">IF($F641&lt;&gt;"", XLOOKUP($F641,Productos!$A$2:$A1001,Productos!AK$2:AK1001,"")*$G641,"")</f>
        <v/>
      </c>
      <c r="AS641" s="179" t="str">
        <f t="array" ref="AS641">IF($F641&lt;&gt;"",XLOOKUP($F641,Productos!$A:$A,Productos!AL:AL,"Revisar"),"")</f>
        <v/>
      </c>
      <c r="AT641" s="179" t="str">
        <f t="array" ref="AT641">IF($F641&lt;&gt;"", XLOOKUP($F641,Productos!$A$2:$A1001,Productos!AM$2:AM1001,"")*$G641,"")</f>
        <v/>
      </c>
      <c r="AU641" s="179" t="str">
        <f t="array" ref="AU641">IF($F641&lt;&gt;"",XLOOKUP($F641,Productos!$A:$A,Productos!AN:AN,"Revisar"),"")</f>
        <v/>
      </c>
      <c r="AV641" s="179" t="str">
        <f t="array" ref="AV641">IF($F641&lt;&gt;"", XLOOKUP($F641,Productos!$A$2:$A1001,Productos!AO$2:AO1001,"")*$G641,"")</f>
        <v/>
      </c>
      <c r="AW641" s="179" t="str">
        <f t="array" ref="AW641">IF($F641&lt;&gt;"",XLOOKUP($F641,Productos!$A:$A,Productos!AP:AP,"Revisar"),"")</f>
        <v/>
      </c>
      <c r="AX641" s="179" t="str">
        <f t="array" ref="AX641">IF($F641&lt;&gt;"", XLOOKUP($F641,Productos!$A$2:$A1001,Productos!AQ$2:AQ1001,"")*$G641,"")</f>
        <v/>
      </c>
      <c r="AY641" s="179" t="str">
        <f t="array" ref="AY641">IF($F641&lt;&gt;"",XLOOKUP($F641,Productos!$A:$A,Productos!AR:AR,"Revisar"),"")</f>
        <v/>
      </c>
      <c r="AZ641" s="179" t="str">
        <f t="array" ref="AZ641">IF($F641&lt;&gt;"", XLOOKUP($F641,Productos!$A$2:$A1001,Productos!AS$2:AS1001,"")*$G641,"")</f>
        <v/>
      </c>
      <c r="BA641" s="179" t="str">
        <f t="array" ref="BA641">IF($F641&lt;&gt;"",XLOOKUP($F641,Productos!$A:$A,Productos!AT:AT,"Revisar"),"")</f>
        <v/>
      </c>
      <c r="BB641" s="179" t="str">
        <f t="array" ref="BB641">IF($F641&lt;&gt;"", XLOOKUP($F641,Productos!$A$2:$A1001,Productos!AU$2:AU1001,"")*$G641,"")</f>
        <v/>
      </c>
      <c r="BC641" s="179" t="str">
        <f t="array" ref="BC641">IF($F641&lt;&gt;"",XLOOKUP($F641,Productos!$A:$A,Productos!AV:AV,"Revisar"),"")</f>
        <v/>
      </c>
      <c r="BD641" s="179" t="str">
        <f t="array" ref="BD641">IF($F641&lt;&gt;"", XLOOKUP($F641,Productos!$A$2:$A1001,Productos!AW$2:AW1001,"")*$G641,"")</f>
        <v/>
      </c>
      <c r="BE641" s="179" t="str">
        <f t="array" ref="BE641">IF($F641&lt;&gt;"",XLOOKUP($F641,Productos!$A:$A,Productos!AX:AX,"Revisar"),"")</f>
        <v/>
      </c>
      <c r="BF641" s="179" t="str">
        <f t="array" ref="BF641">IF($F641&lt;&gt;"", XLOOKUP($F641,Productos!$A$2:$A1001,Productos!AY$2:AY1001,"")*$G641,"")</f>
        <v/>
      </c>
      <c r="BG641" s="179" t="str">
        <f t="array" ref="BG641">IF($F641&lt;&gt;"",XLOOKUP($F641,Productos!$A:$A,Productos!AZ:AZ,"Revisar"),"")</f>
        <v/>
      </c>
      <c r="BH641" s="179" t="str">
        <f t="array" ref="BH641">IF($F641&lt;&gt;"", XLOOKUP($F641,Productos!$A$2:$A1001,Productos!BA$2:BA1001,"")*$G641,"")</f>
        <v/>
      </c>
      <c r="BI641" s="179" t="str">
        <f t="array" ref="BI641">IF($F641&lt;&gt;"",XLOOKUP($F641,Productos!$A:$A,Productos!BB:BB,"Revisar"),"")</f>
        <v/>
      </c>
      <c r="BJ641" s="179" t="str">
        <f t="array" ref="BJ641">IF($F641&lt;&gt;"", XLOOKUP($F641,Productos!$A$2:$A1001,Productos!BC$2:BC1001,"")*$G641,"")</f>
        <v/>
      </c>
      <c r="BK641" s="179" t="str">
        <f t="array" ref="BK641">IF($F641&lt;&gt;"",XLOOKUP($F641,Productos!$A:$A,Productos!BD:BD,"Revisar"),"")</f>
        <v/>
      </c>
      <c r="BL641" s="179" t="str">
        <f t="array" ref="BL641">IF($F641&lt;&gt;"", XLOOKUP($F641,Productos!$A$2:$A1001,Productos!BE$2:BE1001,"")*$G641,"")</f>
        <v/>
      </c>
      <c r="BM641" s="179" t="str">
        <f t="array" ref="BM641">IF($F641&lt;&gt;"",XLOOKUP($F641,Productos!$A:$A,Productos!BF:BF,"Revisar"),"")</f>
        <v/>
      </c>
      <c r="BN641" s="179" t="str">
        <f t="array" ref="BN641">IF($F641&lt;&gt;"", XLOOKUP($F641,Productos!$A$2:$A1001,Productos!BG$2:BG1001,"")*$G641,"")</f>
        <v/>
      </c>
      <c r="BO641" s="179" t="str">
        <f t="array" ref="BO641">IF($F641&lt;&gt;"",XLOOKUP($F641,Productos!$A:$A,Productos!BH:BH,"Revisar"),"")</f>
        <v/>
      </c>
      <c r="BP641" s="179" t="str">
        <f t="array" ref="BP641">IF($F641&lt;&gt;"", XLOOKUP($F641,Productos!$A$2:$A1001,Productos!BI$2:BI1001,"")*$G641,"")</f>
        <v/>
      </c>
      <c r="BQ641" s="179" t="str">
        <f t="array" ref="BQ641">IF($F641&lt;&gt;"",XLOOKUP($F641,Productos!$A:$A,Productos!BJ:BJ,"Revisar"),"")</f>
        <v/>
      </c>
      <c r="BR641" s="179" t="str">
        <f t="array" ref="BR641">IF($F641&lt;&gt;"", XLOOKUP($F641,Productos!$A$2:$A1001,Productos!BK$2:BK1001,"")*$G641,"")</f>
        <v/>
      </c>
      <c r="BS641" s="179" t="str">
        <f t="array" ref="BS641">IF($F641&lt;&gt;"",XLOOKUP($F641,Productos!$A:$A,Productos!BL:BL,"Revisar"),"")</f>
        <v/>
      </c>
      <c r="BT641" s="179" t="str">
        <f t="array" ref="BT641">IF($F641&lt;&gt;"", XLOOKUP($F641,Productos!$A$2:$A1001,Productos!BM$2:BM1001,"")*$G641,"")</f>
        <v/>
      </c>
      <c r="BU641" s="179" t="str">
        <f t="array" ref="BU641">IF($F641&lt;&gt;"",XLOOKUP($F641,Productos!$A:$A,Productos!BN:BN,"Revisar"),"")</f>
        <v/>
      </c>
      <c r="BV641" s="179" t="str">
        <f t="array" ref="BV641">IF($F641&lt;&gt;"", XLOOKUP($F641,Productos!$A$2:$A1001,Productos!BO$2:BO1001,"")*$G641,"")</f>
        <v/>
      </c>
      <c r="BW641" s="179" t="str">
        <f t="array" ref="BW641">IF($F641&lt;&gt;"",XLOOKUP($F641,Productos!$A:$A,Productos!BP:BP,"Revisar"),"")</f>
        <v/>
      </c>
      <c r="BX641" s="179" t="str">
        <f t="array" ref="BX641">IF($F641&lt;&gt;"", XLOOKUP($F641,Productos!$A$2:$A1001,Productos!BQ$2:BQ1001,"")*$G641,"")</f>
        <v/>
      </c>
      <c r="BY641" s="179" t="str">
        <f t="array" ref="BY641">IF($F641&lt;&gt;"",XLOOKUP($F641,Productos!$A:$A,Productos!BR:BR,"Revisar"),"")</f>
        <v/>
      </c>
      <c r="BZ641" s="179" t="str">
        <f t="array" ref="BZ641">IF($F641&lt;&gt;"", XLOOKUP($F641,Productos!$A$2:$A1001,Productos!BS$2:BS1001,"")*$G641,"")</f>
        <v/>
      </c>
    </row>
    <row r="642">
      <c r="A642" s="188"/>
      <c r="B642" s="189"/>
      <c r="C642" s="190"/>
      <c r="D642" s="190"/>
      <c r="E642" s="191"/>
      <c r="F642" s="186"/>
      <c r="G642" s="192"/>
      <c r="H642" s="9"/>
      <c r="I642" s="179" t="str">
        <f t="array" ref="I642">IF($F642&lt;&gt;"",XLOOKUP($F642,Productos!$A:$A,Productos!B:B,"Revisar"),"")</f>
        <v/>
      </c>
      <c r="J642" s="179" t="str">
        <f t="array" ref="J642">IF($F642&lt;&gt;"", XLOOKUP($F642,Productos!$A$2:$A1001,Productos!C$2:C1001,"")*$G642,"")</f>
        <v/>
      </c>
      <c r="K642" s="179" t="str">
        <f t="array" ref="K642">IF($F642&lt;&gt;"",XLOOKUP($F642,Productos!$A:$A,Productos!D:D,"Revisar"),"")</f>
        <v/>
      </c>
      <c r="L642" s="179" t="str">
        <f t="array" ref="L642">IF($F642&lt;&gt;"", XLOOKUP($F642,Productos!$A$2:$A1001,Productos!E$2:E1001,"")*$G642,"")</f>
        <v/>
      </c>
      <c r="M642" s="179" t="str">
        <f t="array" ref="M642">IF($F642&lt;&gt;"",XLOOKUP($F642,Productos!$A:$A,Productos!F:F,"Revisar"),"")</f>
        <v/>
      </c>
      <c r="N642" s="179" t="str">
        <f t="array" ref="N642">IF($F642&lt;&gt;"", XLOOKUP($F642,Productos!$A$2:$A1001,Productos!G$2:G1001,"")*$G642,"")</f>
        <v/>
      </c>
      <c r="O642" s="179" t="str">
        <f t="array" ref="O642">IF($F642&lt;&gt;"",XLOOKUP($F642,Productos!$A:$A,Productos!H:H,"Revisar"),"")</f>
        <v/>
      </c>
      <c r="P642" s="179" t="str">
        <f t="array" ref="P642">IF($F642&lt;&gt;"", XLOOKUP($F642,Productos!$A$2:$A1001,Productos!I$2:I1001,"")*$G642,"")</f>
        <v/>
      </c>
      <c r="Q642" s="179" t="str">
        <f t="array" ref="Q642">IF($F642&lt;&gt;"",XLOOKUP($F642,Productos!$A:$A,Productos!J:J,"Revisar"),"")</f>
        <v/>
      </c>
      <c r="R642" s="179" t="str">
        <f t="array" ref="R642">IF($F642&lt;&gt;"", XLOOKUP($F642,Productos!$A$2:$A1001,Productos!K$2:K1001,"")*$G642,"")</f>
        <v/>
      </c>
      <c r="S642" s="179" t="str">
        <f t="array" ref="S642">IF($F642&lt;&gt;"",XLOOKUP($F642,Productos!$A:$A,Productos!L:L,"Revisar"),"")</f>
        <v/>
      </c>
      <c r="T642" s="179" t="str">
        <f t="array" ref="T642">IF($F642&lt;&gt;"", XLOOKUP($F642,Productos!$A$2:$A1001,Productos!M$2:M1001,"")*$G642,"")</f>
        <v/>
      </c>
      <c r="U642" s="179" t="str">
        <f t="array" ref="U642">IF($F642&lt;&gt;"",XLOOKUP($F642,Productos!$A:$A,Productos!N:N,"Revisar"),"")</f>
        <v/>
      </c>
      <c r="V642" s="179" t="str">
        <f t="array" ref="V642">IF($F642&lt;&gt;"", XLOOKUP($F642,Productos!$A$2:$A1001,Productos!O$2:O1001,"")*$G642,"")</f>
        <v/>
      </c>
      <c r="W642" s="179" t="str">
        <f t="array" ref="W642">IF($F642&lt;&gt;"",XLOOKUP($F642,Productos!$A:$A,Productos!P:P,"Revisar"),"")</f>
        <v/>
      </c>
      <c r="X642" s="179" t="str">
        <f t="array" ref="X642">IF($F642&lt;&gt;"", XLOOKUP($F642,Productos!$A$2:$A1001,Productos!Q$2:Q1001,"")*$G642,"")</f>
        <v/>
      </c>
      <c r="Y642" s="179" t="str">
        <f t="array" ref="Y642">IF($F642&lt;&gt;"",XLOOKUP($F642,Productos!$A:$A,Productos!R:R,"Revisar"),"")</f>
        <v/>
      </c>
      <c r="Z642" s="179" t="str">
        <f t="array" ref="Z642">IF($F642&lt;&gt;"", XLOOKUP($F642,Productos!$A$2:$A1001,Productos!S$2:S1001,"")*$G642,"")</f>
        <v/>
      </c>
      <c r="AA642" s="179" t="str">
        <f t="array" ref="AA642">IF($F642&lt;&gt;"",XLOOKUP($F642,Productos!$A:$A,Productos!T:T,"Revisar"),"")</f>
        <v/>
      </c>
      <c r="AB642" s="179" t="str">
        <f t="array" ref="AB642">IF($F642&lt;&gt;"", XLOOKUP($F642,Productos!$A$2:$A1001,Productos!U$2:U1001,"")*$G642,"")</f>
        <v/>
      </c>
      <c r="AC642" s="179" t="str">
        <f t="array" ref="AC642">IF($F642&lt;&gt;"",XLOOKUP($F642,Productos!$A:$A,Productos!V:V,"Revisar"),"")</f>
        <v/>
      </c>
      <c r="AD642" s="179" t="str">
        <f t="array" ref="AD642">IF($F642&lt;&gt;"", XLOOKUP($F642,Productos!$A$2:$A1001,Productos!W$2:W1001,"")*$G642,"")</f>
        <v/>
      </c>
      <c r="AE642" s="179" t="str">
        <f t="array" ref="AE642">IF($F642&lt;&gt;"",XLOOKUP($F642,Productos!$A:$A,Productos!X:X,"Revisar"),"")</f>
        <v/>
      </c>
      <c r="AF642" s="179" t="str">
        <f t="array" ref="AF642">IF($F642&lt;&gt;"", XLOOKUP($F642,Productos!$A$2:$A1001,Productos!Y$2:Y1001,"")*$G642,"")</f>
        <v/>
      </c>
      <c r="AG642" s="179" t="str">
        <f t="array" ref="AG642">IF($F642&lt;&gt;"",XLOOKUP($F642,Productos!$A:$A,Productos!Z:Z,"Revisar"),"")</f>
        <v/>
      </c>
      <c r="AH642" s="179" t="str">
        <f t="array" ref="AH642">IF($F642&lt;&gt;"", XLOOKUP($F642,Productos!$A$2:$A1001,Productos!AA$2:AA1001,"")*$G642,"")</f>
        <v/>
      </c>
      <c r="AI642" s="179" t="str">
        <f t="array" ref="AI642">IF($F642&lt;&gt;"",XLOOKUP($F642,Productos!$A:$A,Productos!AB:AB,"Revisar"),"")</f>
        <v/>
      </c>
      <c r="AJ642" s="179" t="str">
        <f t="array" ref="AJ642">IF($F642&lt;&gt;"", XLOOKUP($F642,Productos!$A$2:$A1001,Productos!AC$2:AC1001,"")*$G642,"")</f>
        <v/>
      </c>
      <c r="AK642" s="179" t="str">
        <f t="array" ref="AK642">IF($F642&lt;&gt;"",XLOOKUP($F642,Productos!$A:$A,Productos!AD:AD,"Revisar"),"")</f>
        <v/>
      </c>
      <c r="AL642" s="179" t="str">
        <f t="array" ref="AL642">IF($F642&lt;&gt;"", XLOOKUP($F642,Productos!$A$2:$A1001,Productos!AE$2:AE1001,"")*$G642,"")</f>
        <v/>
      </c>
      <c r="AM642" s="179" t="str">
        <f t="array" ref="AM642">IF($F642&lt;&gt;"",XLOOKUP($F642,Productos!$A:$A,Productos!AF:AF,"Revisar"),"")</f>
        <v/>
      </c>
      <c r="AN642" s="179" t="str">
        <f t="array" ref="AN642">IF($F642&lt;&gt;"", XLOOKUP($F642,Productos!$A$2:$A1001,Productos!AG$2:AG1001,"")*$G642,"")</f>
        <v/>
      </c>
      <c r="AO642" s="179" t="str">
        <f t="array" ref="AO642">IF($F642&lt;&gt;"",XLOOKUP($F642,Productos!$A:$A,Productos!AH:AH,"Revisar"),"")</f>
        <v/>
      </c>
      <c r="AP642" s="179" t="str">
        <f t="array" ref="AP642">IF($F642&lt;&gt;"", XLOOKUP($F642,Productos!$A$2:$A1001,Productos!AI$2:AI1001,"")*$G642,"")</f>
        <v/>
      </c>
      <c r="AQ642" s="179" t="str">
        <f t="array" ref="AQ642">IF($F642&lt;&gt;"",XLOOKUP($F642,Productos!$A:$A,Productos!AJ:AJ,"Revisar"),"")</f>
        <v/>
      </c>
      <c r="AR642" s="179" t="str">
        <f t="array" ref="AR642">IF($F642&lt;&gt;"", XLOOKUP($F642,Productos!$A$2:$A1001,Productos!AK$2:AK1001,"")*$G642,"")</f>
        <v/>
      </c>
      <c r="AS642" s="179" t="str">
        <f t="array" ref="AS642">IF($F642&lt;&gt;"",XLOOKUP($F642,Productos!$A:$A,Productos!AL:AL,"Revisar"),"")</f>
        <v/>
      </c>
      <c r="AT642" s="179" t="str">
        <f t="array" ref="AT642">IF($F642&lt;&gt;"", XLOOKUP($F642,Productos!$A$2:$A1001,Productos!AM$2:AM1001,"")*$G642,"")</f>
        <v/>
      </c>
      <c r="AU642" s="179" t="str">
        <f t="array" ref="AU642">IF($F642&lt;&gt;"",XLOOKUP($F642,Productos!$A:$A,Productos!AN:AN,"Revisar"),"")</f>
        <v/>
      </c>
      <c r="AV642" s="179" t="str">
        <f t="array" ref="AV642">IF($F642&lt;&gt;"", XLOOKUP($F642,Productos!$A$2:$A1001,Productos!AO$2:AO1001,"")*$G642,"")</f>
        <v/>
      </c>
      <c r="AW642" s="179" t="str">
        <f t="array" ref="AW642">IF($F642&lt;&gt;"",XLOOKUP($F642,Productos!$A:$A,Productos!AP:AP,"Revisar"),"")</f>
        <v/>
      </c>
      <c r="AX642" s="179" t="str">
        <f t="array" ref="AX642">IF($F642&lt;&gt;"", XLOOKUP($F642,Productos!$A$2:$A1001,Productos!AQ$2:AQ1001,"")*$G642,"")</f>
        <v/>
      </c>
      <c r="AY642" s="179" t="str">
        <f t="array" ref="AY642">IF($F642&lt;&gt;"",XLOOKUP($F642,Productos!$A:$A,Productos!AR:AR,"Revisar"),"")</f>
        <v/>
      </c>
      <c r="AZ642" s="179" t="str">
        <f t="array" ref="AZ642">IF($F642&lt;&gt;"", XLOOKUP($F642,Productos!$A$2:$A1001,Productos!AS$2:AS1001,"")*$G642,"")</f>
        <v/>
      </c>
      <c r="BA642" s="179" t="str">
        <f t="array" ref="BA642">IF($F642&lt;&gt;"",XLOOKUP($F642,Productos!$A:$A,Productos!AT:AT,"Revisar"),"")</f>
        <v/>
      </c>
      <c r="BB642" s="179" t="str">
        <f t="array" ref="BB642">IF($F642&lt;&gt;"", XLOOKUP($F642,Productos!$A$2:$A1001,Productos!AU$2:AU1001,"")*$G642,"")</f>
        <v/>
      </c>
      <c r="BC642" s="179" t="str">
        <f t="array" ref="BC642">IF($F642&lt;&gt;"",XLOOKUP($F642,Productos!$A:$A,Productos!AV:AV,"Revisar"),"")</f>
        <v/>
      </c>
      <c r="BD642" s="179" t="str">
        <f t="array" ref="BD642">IF($F642&lt;&gt;"", XLOOKUP($F642,Productos!$A$2:$A1001,Productos!AW$2:AW1001,"")*$G642,"")</f>
        <v/>
      </c>
      <c r="BE642" s="179" t="str">
        <f t="array" ref="BE642">IF($F642&lt;&gt;"",XLOOKUP($F642,Productos!$A:$A,Productos!AX:AX,"Revisar"),"")</f>
        <v/>
      </c>
      <c r="BF642" s="179" t="str">
        <f t="array" ref="BF642">IF($F642&lt;&gt;"", XLOOKUP($F642,Productos!$A$2:$A1001,Productos!AY$2:AY1001,"")*$G642,"")</f>
        <v/>
      </c>
      <c r="BG642" s="179" t="str">
        <f t="array" ref="BG642">IF($F642&lt;&gt;"",XLOOKUP($F642,Productos!$A:$A,Productos!AZ:AZ,"Revisar"),"")</f>
        <v/>
      </c>
      <c r="BH642" s="179" t="str">
        <f t="array" ref="BH642">IF($F642&lt;&gt;"", XLOOKUP($F642,Productos!$A$2:$A1001,Productos!BA$2:BA1001,"")*$G642,"")</f>
        <v/>
      </c>
      <c r="BI642" s="179" t="str">
        <f t="array" ref="BI642">IF($F642&lt;&gt;"",XLOOKUP($F642,Productos!$A:$A,Productos!BB:BB,"Revisar"),"")</f>
        <v/>
      </c>
      <c r="BJ642" s="179" t="str">
        <f t="array" ref="BJ642">IF($F642&lt;&gt;"", XLOOKUP($F642,Productos!$A$2:$A1001,Productos!BC$2:BC1001,"")*$G642,"")</f>
        <v/>
      </c>
      <c r="BK642" s="179" t="str">
        <f t="array" ref="BK642">IF($F642&lt;&gt;"",XLOOKUP($F642,Productos!$A:$A,Productos!BD:BD,"Revisar"),"")</f>
        <v/>
      </c>
      <c r="BL642" s="179" t="str">
        <f t="array" ref="BL642">IF($F642&lt;&gt;"", XLOOKUP($F642,Productos!$A$2:$A1001,Productos!BE$2:BE1001,"")*$G642,"")</f>
        <v/>
      </c>
      <c r="BM642" s="179" t="str">
        <f t="array" ref="BM642">IF($F642&lt;&gt;"",XLOOKUP($F642,Productos!$A:$A,Productos!BF:BF,"Revisar"),"")</f>
        <v/>
      </c>
      <c r="BN642" s="179" t="str">
        <f t="array" ref="BN642">IF($F642&lt;&gt;"", XLOOKUP($F642,Productos!$A$2:$A1001,Productos!BG$2:BG1001,"")*$G642,"")</f>
        <v/>
      </c>
      <c r="BO642" s="179" t="str">
        <f t="array" ref="BO642">IF($F642&lt;&gt;"",XLOOKUP($F642,Productos!$A:$A,Productos!BH:BH,"Revisar"),"")</f>
        <v/>
      </c>
      <c r="BP642" s="179" t="str">
        <f t="array" ref="BP642">IF($F642&lt;&gt;"", XLOOKUP($F642,Productos!$A$2:$A1001,Productos!BI$2:BI1001,"")*$G642,"")</f>
        <v/>
      </c>
      <c r="BQ642" s="179" t="str">
        <f t="array" ref="BQ642">IF($F642&lt;&gt;"",XLOOKUP($F642,Productos!$A:$A,Productos!BJ:BJ,"Revisar"),"")</f>
        <v/>
      </c>
      <c r="BR642" s="179" t="str">
        <f t="array" ref="BR642">IF($F642&lt;&gt;"", XLOOKUP($F642,Productos!$A$2:$A1001,Productos!BK$2:BK1001,"")*$G642,"")</f>
        <v/>
      </c>
      <c r="BS642" s="179" t="str">
        <f t="array" ref="BS642">IF($F642&lt;&gt;"",XLOOKUP($F642,Productos!$A:$A,Productos!BL:BL,"Revisar"),"")</f>
        <v/>
      </c>
      <c r="BT642" s="179" t="str">
        <f t="array" ref="BT642">IF($F642&lt;&gt;"", XLOOKUP($F642,Productos!$A$2:$A1001,Productos!BM$2:BM1001,"")*$G642,"")</f>
        <v/>
      </c>
      <c r="BU642" s="179" t="str">
        <f t="array" ref="BU642">IF($F642&lt;&gt;"",XLOOKUP($F642,Productos!$A:$A,Productos!BN:BN,"Revisar"),"")</f>
        <v/>
      </c>
      <c r="BV642" s="179" t="str">
        <f t="array" ref="BV642">IF($F642&lt;&gt;"", XLOOKUP($F642,Productos!$A$2:$A1001,Productos!BO$2:BO1001,"")*$G642,"")</f>
        <v/>
      </c>
      <c r="BW642" s="179" t="str">
        <f t="array" ref="BW642">IF($F642&lt;&gt;"",XLOOKUP($F642,Productos!$A:$A,Productos!BP:BP,"Revisar"),"")</f>
        <v/>
      </c>
      <c r="BX642" s="179" t="str">
        <f t="array" ref="BX642">IF($F642&lt;&gt;"", XLOOKUP($F642,Productos!$A$2:$A1001,Productos!BQ$2:BQ1001,"")*$G642,"")</f>
        <v/>
      </c>
      <c r="BY642" s="179" t="str">
        <f t="array" ref="BY642">IF($F642&lt;&gt;"",XLOOKUP($F642,Productos!$A:$A,Productos!BR:BR,"Revisar"),"")</f>
        <v/>
      </c>
      <c r="BZ642" s="179" t="str">
        <f t="array" ref="BZ642">IF($F642&lt;&gt;"", XLOOKUP($F642,Productos!$A$2:$A1001,Productos!BS$2:BS1001,"")*$G642,"")</f>
        <v/>
      </c>
    </row>
    <row r="643">
      <c r="A643" s="188"/>
      <c r="B643" s="189"/>
      <c r="C643" s="190"/>
      <c r="D643" s="190"/>
      <c r="E643" s="191"/>
      <c r="F643" s="186"/>
      <c r="G643" s="192"/>
      <c r="H643" s="9"/>
      <c r="I643" s="179" t="str">
        <f t="array" ref="I643">IF($F643&lt;&gt;"",XLOOKUP($F643,Productos!$A:$A,Productos!B:B,"Revisar"),"")</f>
        <v/>
      </c>
      <c r="J643" s="179" t="str">
        <f t="array" ref="J643">IF($F643&lt;&gt;"", XLOOKUP($F643,Productos!$A$2:$A1001,Productos!C$2:C1001,"")*$G643,"")</f>
        <v/>
      </c>
      <c r="K643" s="179" t="str">
        <f t="array" ref="K643">IF($F643&lt;&gt;"",XLOOKUP($F643,Productos!$A:$A,Productos!D:D,"Revisar"),"")</f>
        <v/>
      </c>
      <c r="L643" s="179" t="str">
        <f t="array" ref="L643">IF($F643&lt;&gt;"", XLOOKUP($F643,Productos!$A$2:$A1001,Productos!E$2:E1001,"")*$G643,"")</f>
        <v/>
      </c>
      <c r="M643" s="179" t="str">
        <f t="array" ref="M643">IF($F643&lt;&gt;"",XLOOKUP($F643,Productos!$A:$A,Productos!F:F,"Revisar"),"")</f>
        <v/>
      </c>
      <c r="N643" s="179" t="str">
        <f t="array" ref="N643">IF($F643&lt;&gt;"", XLOOKUP($F643,Productos!$A$2:$A1001,Productos!G$2:G1001,"")*$G643,"")</f>
        <v/>
      </c>
      <c r="O643" s="179" t="str">
        <f t="array" ref="O643">IF($F643&lt;&gt;"",XLOOKUP($F643,Productos!$A:$A,Productos!H:H,"Revisar"),"")</f>
        <v/>
      </c>
      <c r="P643" s="179" t="str">
        <f t="array" ref="P643">IF($F643&lt;&gt;"", XLOOKUP($F643,Productos!$A$2:$A1001,Productos!I$2:I1001,"")*$G643,"")</f>
        <v/>
      </c>
      <c r="Q643" s="179" t="str">
        <f t="array" ref="Q643">IF($F643&lt;&gt;"",XLOOKUP($F643,Productos!$A:$A,Productos!J:J,"Revisar"),"")</f>
        <v/>
      </c>
      <c r="R643" s="179" t="str">
        <f t="array" ref="R643">IF($F643&lt;&gt;"", XLOOKUP($F643,Productos!$A$2:$A1001,Productos!K$2:K1001,"")*$G643,"")</f>
        <v/>
      </c>
      <c r="S643" s="179" t="str">
        <f t="array" ref="S643">IF($F643&lt;&gt;"",XLOOKUP($F643,Productos!$A:$A,Productos!L:L,"Revisar"),"")</f>
        <v/>
      </c>
      <c r="T643" s="179" t="str">
        <f t="array" ref="T643">IF($F643&lt;&gt;"", XLOOKUP($F643,Productos!$A$2:$A1001,Productos!M$2:M1001,"")*$G643,"")</f>
        <v/>
      </c>
      <c r="U643" s="179" t="str">
        <f t="array" ref="U643">IF($F643&lt;&gt;"",XLOOKUP($F643,Productos!$A:$A,Productos!N:N,"Revisar"),"")</f>
        <v/>
      </c>
      <c r="V643" s="179" t="str">
        <f t="array" ref="V643">IF($F643&lt;&gt;"", XLOOKUP($F643,Productos!$A$2:$A1001,Productos!O$2:O1001,"")*$G643,"")</f>
        <v/>
      </c>
      <c r="W643" s="179" t="str">
        <f t="array" ref="W643">IF($F643&lt;&gt;"",XLOOKUP($F643,Productos!$A:$A,Productos!P:P,"Revisar"),"")</f>
        <v/>
      </c>
      <c r="X643" s="179" t="str">
        <f t="array" ref="X643">IF($F643&lt;&gt;"", XLOOKUP($F643,Productos!$A$2:$A1001,Productos!Q$2:Q1001,"")*$G643,"")</f>
        <v/>
      </c>
      <c r="Y643" s="179" t="str">
        <f t="array" ref="Y643">IF($F643&lt;&gt;"",XLOOKUP($F643,Productos!$A:$A,Productos!R:R,"Revisar"),"")</f>
        <v/>
      </c>
      <c r="Z643" s="179" t="str">
        <f t="array" ref="Z643">IF($F643&lt;&gt;"", XLOOKUP($F643,Productos!$A$2:$A1001,Productos!S$2:S1001,"")*$G643,"")</f>
        <v/>
      </c>
      <c r="AA643" s="179" t="str">
        <f t="array" ref="AA643">IF($F643&lt;&gt;"",XLOOKUP($F643,Productos!$A:$A,Productos!T:T,"Revisar"),"")</f>
        <v/>
      </c>
      <c r="AB643" s="179" t="str">
        <f t="array" ref="AB643">IF($F643&lt;&gt;"", XLOOKUP($F643,Productos!$A$2:$A1001,Productos!U$2:U1001,"")*$G643,"")</f>
        <v/>
      </c>
      <c r="AC643" s="179" t="str">
        <f t="array" ref="AC643">IF($F643&lt;&gt;"",XLOOKUP($F643,Productos!$A:$A,Productos!V:V,"Revisar"),"")</f>
        <v/>
      </c>
      <c r="AD643" s="179" t="str">
        <f t="array" ref="AD643">IF($F643&lt;&gt;"", XLOOKUP($F643,Productos!$A$2:$A1001,Productos!W$2:W1001,"")*$G643,"")</f>
        <v/>
      </c>
      <c r="AE643" s="179" t="str">
        <f t="array" ref="AE643">IF($F643&lt;&gt;"",XLOOKUP($F643,Productos!$A:$A,Productos!X:X,"Revisar"),"")</f>
        <v/>
      </c>
      <c r="AF643" s="179" t="str">
        <f t="array" ref="AF643">IF($F643&lt;&gt;"", XLOOKUP($F643,Productos!$A$2:$A1001,Productos!Y$2:Y1001,"")*$G643,"")</f>
        <v/>
      </c>
      <c r="AG643" s="179" t="str">
        <f t="array" ref="AG643">IF($F643&lt;&gt;"",XLOOKUP($F643,Productos!$A:$A,Productos!Z:Z,"Revisar"),"")</f>
        <v/>
      </c>
      <c r="AH643" s="179" t="str">
        <f t="array" ref="AH643">IF($F643&lt;&gt;"", XLOOKUP($F643,Productos!$A$2:$A1001,Productos!AA$2:AA1001,"")*$G643,"")</f>
        <v/>
      </c>
      <c r="AI643" s="179" t="str">
        <f t="array" ref="AI643">IF($F643&lt;&gt;"",XLOOKUP($F643,Productos!$A:$A,Productos!AB:AB,"Revisar"),"")</f>
        <v/>
      </c>
      <c r="AJ643" s="179" t="str">
        <f t="array" ref="AJ643">IF($F643&lt;&gt;"", XLOOKUP($F643,Productos!$A$2:$A1001,Productos!AC$2:AC1001,"")*$G643,"")</f>
        <v/>
      </c>
      <c r="AK643" s="179" t="str">
        <f t="array" ref="AK643">IF($F643&lt;&gt;"",XLOOKUP($F643,Productos!$A:$A,Productos!AD:AD,"Revisar"),"")</f>
        <v/>
      </c>
      <c r="AL643" s="179" t="str">
        <f t="array" ref="AL643">IF($F643&lt;&gt;"", XLOOKUP($F643,Productos!$A$2:$A1001,Productos!AE$2:AE1001,"")*$G643,"")</f>
        <v/>
      </c>
      <c r="AM643" s="179" t="str">
        <f t="array" ref="AM643">IF($F643&lt;&gt;"",XLOOKUP($F643,Productos!$A:$A,Productos!AF:AF,"Revisar"),"")</f>
        <v/>
      </c>
      <c r="AN643" s="179" t="str">
        <f t="array" ref="AN643">IF($F643&lt;&gt;"", XLOOKUP($F643,Productos!$A$2:$A1001,Productos!AG$2:AG1001,"")*$G643,"")</f>
        <v/>
      </c>
      <c r="AO643" s="179" t="str">
        <f t="array" ref="AO643">IF($F643&lt;&gt;"",XLOOKUP($F643,Productos!$A:$A,Productos!AH:AH,"Revisar"),"")</f>
        <v/>
      </c>
      <c r="AP643" s="179" t="str">
        <f t="array" ref="AP643">IF($F643&lt;&gt;"", XLOOKUP($F643,Productos!$A$2:$A1001,Productos!AI$2:AI1001,"")*$G643,"")</f>
        <v/>
      </c>
      <c r="AQ643" s="179" t="str">
        <f t="array" ref="AQ643">IF($F643&lt;&gt;"",XLOOKUP($F643,Productos!$A:$A,Productos!AJ:AJ,"Revisar"),"")</f>
        <v/>
      </c>
      <c r="AR643" s="179" t="str">
        <f t="array" ref="AR643">IF($F643&lt;&gt;"", XLOOKUP($F643,Productos!$A$2:$A1001,Productos!AK$2:AK1001,"")*$G643,"")</f>
        <v/>
      </c>
      <c r="AS643" s="179" t="str">
        <f t="array" ref="AS643">IF($F643&lt;&gt;"",XLOOKUP($F643,Productos!$A:$A,Productos!AL:AL,"Revisar"),"")</f>
        <v/>
      </c>
      <c r="AT643" s="179" t="str">
        <f t="array" ref="AT643">IF($F643&lt;&gt;"", XLOOKUP($F643,Productos!$A$2:$A1001,Productos!AM$2:AM1001,"")*$G643,"")</f>
        <v/>
      </c>
      <c r="AU643" s="179" t="str">
        <f t="array" ref="AU643">IF($F643&lt;&gt;"",XLOOKUP($F643,Productos!$A:$A,Productos!AN:AN,"Revisar"),"")</f>
        <v/>
      </c>
      <c r="AV643" s="179" t="str">
        <f t="array" ref="AV643">IF($F643&lt;&gt;"", XLOOKUP($F643,Productos!$A$2:$A1001,Productos!AO$2:AO1001,"")*$G643,"")</f>
        <v/>
      </c>
      <c r="AW643" s="179" t="str">
        <f t="array" ref="AW643">IF($F643&lt;&gt;"",XLOOKUP($F643,Productos!$A:$A,Productos!AP:AP,"Revisar"),"")</f>
        <v/>
      </c>
      <c r="AX643" s="179" t="str">
        <f t="array" ref="AX643">IF($F643&lt;&gt;"", XLOOKUP($F643,Productos!$A$2:$A1001,Productos!AQ$2:AQ1001,"")*$G643,"")</f>
        <v/>
      </c>
      <c r="AY643" s="179" t="str">
        <f t="array" ref="AY643">IF($F643&lt;&gt;"",XLOOKUP($F643,Productos!$A:$A,Productos!AR:AR,"Revisar"),"")</f>
        <v/>
      </c>
      <c r="AZ643" s="179" t="str">
        <f t="array" ref="AZ643">IF($F643&lt;&gt;"", XLOOKUP($F643,Productos!$A$2:$A1001,Productos!AS$2:AS1001,"")*$G643,"")</f>
        <v/>
      </c>
      <c r="BA643" s="179" t="str">
        <f t="array" ref="BA643">IF($F643&lt;&gt;"",XLOOKUP($F643,Productos!$A:$A,Productos!AT:AT,"Revisar"),"")</f>
        <v/>
      </c>
      <c r="BB643" s="179" t="str">
        <f t="array" ref="BB643">IF($F643&lt;&gt;"", XLOOKUP($F643,Productos!$A$2:$A1001,Productos!AU$2:AU1001,"")*$G643,"")</f>
        <v/>
      </c>
      <c r="BC643" s="179" t="str">
        <f t="array" ref="BC643">IF($F643&lt;&gt;"",XLOOKUP($F643,Productos!$A:$A,Productos!AV:AV,"Revisar"),"")</f>
        <v/>
      </c>
      <c r="BD643" s="179" t="str">
        <f t="array" ref="BD643">IF($F643&lt;&gt;"", XLOOKUP($F643,Productos!$A$2:$A1001,Productos!AW$2:AW1001,"")*$G643,"")</f>
        <v/>
      </c>
      <c r="BE643" s="179" t="str">
        <f t="array" ref="BE643">IF($F643&lt;&gt;"",XLOOKUP($F643,Productos!$A:$A,Productos!AX:AX,"Revisar"),"")</f>
        <v/>
      </c>
      <c r="BF643" s="179" t="str">
        <f t="array" ref="BF643">IF($F643&lt;&gt;"", XLOOKUP($F643,Productos!$A$2:$A1001,Productos!AY$2:AY1001,"")*$G643,"")</f>
        <v/>
      </c>
      <c r="BG643" s="179" t="str">
        <f t="array" ref="BG643">IF($F643&lt;&gt;"",XLOOKUP($F643,Productos!$A:$A,Productos!AZ:AZ,"Revisar"),"")</f>
        <v/>
      </c>
      <c r="BH643" s="179" t="str">
        <f t="array" ref="BH643">IF($F643&lt;&gt;"", XLOOKUP($F643,Productos!$A$2:$A1001,Productos!BA$2:BA1001,"")*$G643,"")</f>
        <v/>
      </c>
      <c r="BI643" s="179" t="str">
        <f t="array" ref="BI643">IF($F643&lt;&gt;"",XLOOKUP($F643,Productos!$A:$A,Productos!BB:BB,"Revisar"),"")</f>
        <v/>
      </c>
      <c r="BJ643" s="179" t="str">
        <f t="array" ref="BJ643">IF($F643&lt;&gt;"", XLOOKUP($F643,Productos!$A$2:$A1001,Productos!BC$2:BC1001,"")*$G643,"")</f>
        <v/>
      </c>
      <c r="BK643" s="179" t="str">
        <f t="array" ref="BK643">IF($F643&lt;&gt;"",XLOOKUP($F643,Productos!$A:$A,Productos!BD:BD,"Revisar"),"")</f>
        <v/>
      </c>
      <c r="BL643" s="179" t="str">
        <f t="array" ref="BL643">IF($F643&lt;&gt;"", XLOOKUP($F643,Productos!$A$2:$A1001,Productos!BE$2:BE1001,"")*$G643,"")</f>
        <v/>
      </c>
      <c r="BM643" s="179" t="str">
        <f t="array" ref="BM643">IF($F643&lt;&gt;"",XLOOKUP($F643,Productos!$A:$A,Productos!BF:BF,"Revisar"),"")</f>
        <v/>
      </c>
      <c r="BN643" s="179" t="str">
        <f t="array" ref="BN643">IF($F643&lt;&gt;"", XLOOKUP($F643,Productos!$A$2:$A1001,Productos!BG$2:BG1001,"")*$G643,"")</f>
        <v/>
      </c>
      <c r="BO643" s="179" t="str">
        <f t="array" ref="BO643">IF($F643&lt;&gt;"",XLOOKUP($F643,Productos!$A:$A,Productos!BH:BH,"Revisar"),"")</f>
        <v/>
      </c>
      <c r="BP643" s="179" t="str">
        <f t="array" ref="BP643">IF($F643&lt;&gt;"", XLOOKUP($F643,Productos!$A$2:$A1001,Productos!BI$2:BI1001,"")*$G643,"")</f>
        <v/>
      </c>
      <c r="BQ643" s="179" t="str">
        <f t="array" ref="BQ643">IF($F643&lt;&gt;"",XLOOKUP($F643,Productos!$A:$A,Productos!BJ:BJ,"Revisar"),"")</f>
        <v/>
      </c>
      <c r="BR643" s="179" t="str">
        <f t="array" ref="BR643">IF($F643&lt;&gt;"", XLOOKUP($F643,Productos!$A$2:$A1001,Productos!BK$2:BK1001,"")*$G643,"")</f>
        <v/>
      </c>
      <c r="BS643" s="179" t="str">
        <f t="array" ref="BS643">IF($F643&lt;&gt;"",XLOOKUP($F643,Productos!$A:$A,Productos!BL:BL,"Revisar"),"")</f>
        <v/>
      </c>
      <c r="BT643" s="179" t="str">
        <f t="array" ref="BT643">IF($F643&lt;&gt;"", XLOOKUP($F643,Productos!$A$2:$A1001,Productos!BM$2:BM1001,"")*$G643,"")</f>
        <v/>
      </c>
      <c r="BU643" s="179" t="str">
        <f t="array" ref="BU643">IF($F643&lt;&gt;"",XLOOKUP($F643,Productos!$A:$A,Productos!BN:BN,"Revisar"),"")</f>
        <v/>
      </c>
      <c r="BV643" s="179" t="str">
        <f t="array" ref="BV643">IF($F643&lt;&gt;"", XLOOKUP($F643,Productos!$A$2:$A1001,Productos!BO$2:BO1001,"")*$G643,"")</f>
        <v/>
      </c>
      <c r="BW643" s="179" t="str">
        <f t="array" ref="BW643">IF($F643&lt;&gt;"",XLOOKUP($F643,Productos!$A:$A,Productos!BP:BP,"Revisar"),"")</f>
        <v/>
      </c>
      <c r="BX643" s="179" t="str">
        <f t="array" ref="BX643">IF($F643&lt;&gt;"", XLOOKUP($F643,Productos!$A$2:$A1001,Productos!BQ$2:BQ1001,"")*$G643,"")</f>
        <v/>
      </c>
      <c r="BY643" s="179" t="str">
        <f t="array" ref="BY643">IF($F643&lt;&gt;"",XLOOKUP($F643,Productos!$A:$A,Productos!BR:BR,"Revisar"),"")</f>
        <v/>
      </c>
      <c r="BZ643" s="179" t="str">
        <f t="array" ref="BZ643">IF($F643&lt;&gt;"", XLOOKUP($F643,Productos!$A$2:$A1001,Productos!BS$2:BS1001,"")*$G643,"")</f>
        <v/>
      </c>
    </row>
    <row r="644">
      <c r="A644" s="188"/>
      <c r="B644" s="189"/>
      <c r="C644" s="190"/>
      <c r="D644" s="190"/>
      <c r="E644" s="191"/>
      <c r="F644" s="186"/>
      <c r="G644" s="192"/>
      <c r="H644" s="9"/>
      <c r="I644" s="179" t="str">
        <f t="array" ref="I644">IF($F644&lt;&gt;"",XLOOKUP($F644,Productos!$A:$A,Productos!B:B,"Revisar"),"")</f>
        <v/>
      </c>
      <c r="J644" s="179" t="str">
        <f t="array" ref="J644">IF($F644&lt;&gt;"", XLOOKUP($F644,Productos!$A$2:$A1001,Productos!C$2:C1001,"")*$G644,"")</f>
        <v/>
      </c>
      <c r="K644" s="179" t="str">
        <f t="array" ref="K644">IF($F644&lt;&gt;"",XLOOKUP($F644,Productos!$A:$A,Productos!D:D,"Revisar"),"")</f>
        <v/>
      </c>
      <c r="L644" s="179" t="str">
        <f t="array" ref="L644">IF($F644&lt;&gt;"", XLOOKUP($F644,Productos!$A$2:$A1001,Productos!E$2:E1001,"")*$G644,"")</f>
        <v/>
      </c>
      <c r="M644" s="179" t="str">
        <f t="array" ref="M644">IF($F644&lt;&gt;"",XLOOKUP($F644,Productos!$A:$A,Productos!F:F,"Revisar"),"")</f>
        <v/>
      </c>
      <c r="N644" s="179" t="str">
        <f t="array" ref="N644">IF($F644&lt;&gt;"", XLOOKUP($F644,Productos!$A$2:$A1001,Productos!G$2:G1001,"")*$G644,"")</f>
        <v/>
      </c>
      <c r="O644" s="179" t="str">
        <f t="array" ref="O644">IF($F644&lt;&gt;"",XLOOKUP($F644,Productos!$A:$A,Productos!H:H,"Revisar"),"")</f>
        <v/>
      </c>
      <c r="P644" s="179" t="str">
        <f t="array" ref="P644">IF($F644&lt;&gt;"", XLOOKUP($F644,Productos!$A$2:$A1001,Productos!I$2:I1001,"")*$G644,"")</f>
        <v/>
      </c>
      <c r="Q644" s="179" t="str">
        <f t="array" ref="Q644">IF($F644&lt;&gt;"",XLOOKUP($F644,Productos!$A:$A,Productos!J:J,"Revisar"),"")</f>
        <v/>
      </c>
      <c r="R644" s="179" t="str">
        <f t="array" ref="R644">IF($F644&lt;&gt;"", XLOOKUP($F644,Productos!$A$2:$A1001,Productos!K$2:K1001,"")*$G644,"")</f>
        <v/>
      </c>
      <c r="S644" s="179" t="str">
        <f t="array" ref="S644">IF($F644&lt;&gt;"",XLOOKUP($F644,Productos!$A:$A,Productos!L:L,"Revisar"),"")</f>
        <v/>
      </c>
      <c r="T644" s="179" t="str">
        <f t="array" ref="T644">IF($F644&lt;&gt;"", XLOOKUP($F644,Productos!$A$2:$A1001,Productos!M$2:M1001,"")*$G644,"")</f>
        <v/>
      </c>
      <c r="U644" s="179" t="str">
        <f t="array" ref="U644">IF($F644&lt;&gt;"",XLOOKUP($F644,Productos!$A:$A,Productos!N:N,"Revisar"),"")</f>
        <v/>
      </c>
      <c r="V644" s="179" t="str">
        <f t="array" ref="V644">IF($F644&lt;&gt;"", XLOOKUP($F644,Productos!$A$2:$A1001,Productos!O$2:O1001,"")*$G644,"")</f>
        <v/>
      </c>
      <c r="W644" s="179" t="str">
        <f t="array" ref="W644">IF($F644&lt;&gt;"",XLOOKUP($F644,Productos!$A:$A,Productos!P:P,"Revisar"),"")</f>
        <v/>
      </c>
      <c r="X644" s="179" t="str">
        <f t="array" ref="X644">IF($F644&lt;&gt;"", XLOOKUP($F644,Productos!$A$2:$A1001,Productos!Q$2:Q1001,"")*$G644,"")</f>
        <v/>
      </c>
      <c r="Y644" s="179" t="str">
        <f t="array" ref="Y644">IF($F644&lt;&gt;"",XLOOKUP($F644,Productos!$A:$A,Productos!R:R,"Revisar"),"")</f>
        <v/>
      </c>
      <c r="Z644" s="179" t="str">
        <f t="array" ref="Z644">IF($F644&lt;&gt;"", XLOOKUP($F644,Productos!$A$2:$A1001,Productos!S$2:S1001,"")*$G644,"")</f>
        <v/>
      </c>
      <c r="AA644" s="179" t="str">
        <f t="array" ref="AA644">IF($F644&lt;&gt;"",XLOOKUP($F644,Productos!$A:$A,Productos!T:T,"Revisar"),"")</f>
        <v/>
      </c>
      <c r="AB644" s="179" t="str">
        <f t="array" ref="AB644">IF($F644&lt;&gt;"", XLOOKUP($F644,Productos!$A$2:$A1001,Productos!U$2:U1001,"")*$G644,"")</f>
        <v/>
      </c>
      <c r="AC644" s="179" t="str">
        <f t="array" ref="AC644">IF($F644&lt;&gt;"",XLOOKUP($F644,Productos!$A:$A,Productos!V:V,"Revisar"),"")</f>
        <v/>
      </c>
      <c r="AD644" s="179" t="str">
        <f t="array" ref="AD644">IF($F644&lt;&gt;"", XLOOKUP($F644,Productos!$A$2:$A1001,Productos!W$2:W1001,"")*$G644,"")</f>
        <v/>
      </c>
      <c r="AE644" s="179" t="str">
        <f t="array" ref="AE644">IF($F644&lt;&gt;"",XLOOKUP($F644,Productos!$A:$A,Productos!X:X,"Revisar"),"")</f>
        <v/>
      </c>
      <c r="AF644" s="179" t="str">
        <f t="array" ref="AF644">IF($F644&lt;&gt;"", XLOOKUP($F644,Productos!$A$2:$A1001,Productos!Y$2:Y1001,"")*$G644,"")</f>
        <v/>
      </c>
      <c r="AG644" s="179" t="str">
        <f t="array" ref="AG644">IF($F644&lt;&gt;"",XLOOKUP($F644,Productos!$A:$A,Productos!Z:Z,"Revisar"),"")</f>
        <v/>
      </c>
      <c r="AH644" s="179" t="str">
        <f t="array" ref="AH644">IF($F644&lt;&gt;"", XLOOKUP($F644,Productos!$A$2:$A1001,Productos!AA$2:AA1001,"")*$G644,"")</f>
        <v/>
      </c>
      <c r="AI644" s="179" t="str">
        <f t="array" ref="AI644">IF($F644&lt;&gt;"",XLOOKUP($F644,Productos!$A:$A,Productos!AB:AB,"Revisar"),"")</f>
        <v/>
      </c>
      <c r="AJ644" s="179" t="str">
        <f t="array" ref="AJ644">IF($F644&lt;&gt;"", XLOOKUP($F644,Productos!$A$2:$A1001,Productos!AC$2:AC1001,"")*$G644,"")</f>
        <v/>
      </c>
      <c r="AK644" s="179" t="str">
        <f t="array" ref="AK644">IF($F644&lt;&gt;"",XLOOKUP($F644,Productos!$A:$A,Productos!AD:AD,"Revisar"),"")</f>
        <v/>
      </c>
      <c r="AL644" s="179" t="str">
        <f t="array" ref="AL644">IF($F644&lt;&gt;"", XLOOKUP($F644,Productos!$A$2:$A1001,Productos!AE$2:AE1001,"")*$G644,"")</f>
        <v/>
      </c>
      <c r="AM644" s="179" t="str">
        <f t="array" ref="AM644">IF($F644&lt;&gt;"",XLOOKUP($F644,Productos!$A:$A,Productos!AF:AF,"Revisar"),"")</f>
        <v/>
      </c>
      <c r="AN644" s="179" t="str">
        <f t="array" ref="AN644">IF($F644&lt;&gt;"", XLOOKUP($F644,Productos!$A$2:$A1001,Productos!AG$2:AG1001,"")*$G644,"")</f>
        <v/>
      </c>
      <c r="AO644" s="179" t="str">
        <f t="array" ref="AO644">IF($F644&lt;&gt;"",XLOOKUP($F644,Productos!$A:$A,Productos!AH:AH,"Revisar"),"")</f>
        <v/>
      </c>
      <c r="AP644" s="179" t="str">
        <f t="array" ref="AP644">IF($F644&lt;&gt;"", XLOOKUP($F644,Productos!$A$2:$A1001,Productos!AI$2:AI1001,"")*$G644,"")</f>
        <v/>
      </c>
      <c r="AQ644" s="179" t="str">
        <f t="array" ref="AQ644">IF($F644&lt;&gt;"",XLOOKUP($F644,Productos!$A:$A,Productos!AJ:AJ,"Revisar"),"")</f>
        <v/>
      </c>
      <c r="AR644" s="179" t="str">
        <f t="array" ref="AR644">IF($F644&lt;&gt;"", XLOOKUP($F644,Productos!$A$2:$A1001,Productos!AK$2:AK1001,"")*$G644,"")</f>
        <v/>
      </c>
      <c r="AS644" s="179" t="str">
        <f t="array" ref="AS644">IF($F644&lt;&gt;"",XLOOKUP($F644,Productos!$A:$A,Productos!AL:AL,"Revisar"),"")</f>
        <v/>
      </c>
      <c r="AT644" s="179" t="str">
        <f t="array" ref="AT644">IF($F644&lt;&gt;"", XLOOKUP($F644,Productos!$A$2:$A1001,Productos!AM$2:AM1001,"")*$G644,"")</f>
        <v/>
      </c>
      <c r="AU644" s="179" t="str">
        <f t="array" ref="AU644">IF($F644&lt;&gt;"",XLOOKUP($F644,Productos!$A:$A,Productos!AN:AN,"Revisar"),"")</f>
        <v/>
      </c>
      <c r="AV644" s="179" t="str">
        <f t="array" ref="AV644">IF($F644&lt;&gt;"", XLOOKUP($F644,Productos!$A$2:$A1001,Productos!AO$2:AO1001,"")*$G644,"")</f>
        <v/>
      </c>
      <c r="AW644" s="179" t="str">
        <f t="array" ref="AW644">IF($F644&lt;&gt;"",XLOOKUP($F644,Productos!$A:$A,Productos!AP:AP,"Revisar"),"")</f>
        <v/>
      </c>
      <c r="AX644" s="179" t="str">
        <f t="array" ref="AX644">IF($F644&lt;&gt;"", XLOOKUP($F644,Productos!$A$2:$A1001,Productos!AQ$2:AQ1001,"")*$G644,"")</f>
        <v/>
      </c>
      <c r="AY644" s="179" t="str">
        <f t="array" ref="AY644">IF($F644&lt;&gt;"",XLOOKUP($F644,Productos!$A:$A,Productos!AR:AR,"Revisar"),"")</f>
        <v/>
      </c>
      <c r="AZ644" s="179" t="str">
        <f t="array" ref="AZ644">IF($F644&lt;&gt;"", XLOOKUP($F644,Productos!$A$2:$A1001,Productos!AS$2:AS1001,"")*$G644,"")</f>
        <v/>
      </c>
      <c r="BA644" s="179" t="str">
        <f t="array" ref="BA644">IF($F644&lt;&gt;"",XLOOKUP($F644,Productos!$A:$A,Productos!AT:AT,"Revisar"),"")</f>
        <v/>
      </c>
      <c r="BB644" s="179" t="str">
        <f t="array" ref="BB644">IF($F644&lt;&gt;"", XLOOKUP($F644,Productos!$A$2:$A1001,Productos!AU$2:AU1001,"")*$G644,"")</f>
        <v/>
      </c>
      <c r="BC644" s="179" t="str">
        <f t="array" ref="BC644">IF($F644&lt;&gt;"",XLOOKUP($F644,Productos!$A:$A,Productos!AV:AV,"Revisar"),"")</f>
        <v/>
      </c>
      <c r="BD644" s="179" t="str">
        <f t="array" ref="BD644">IF($F644&lt;&gt;"", XLOOKUP($F644,Productos!$A$2:$A1001,Productos!AW$2:AW1001,"")*$G644,"")</f>
        <v/>
      </c>
      <c r="BE644" s="179" t="str">
        <f t="array" ref="BE644">IF($F644&lt;&gt;"",XLOOKUP($F644,Productos!$A:$A,Productos!AX:AX,"Revisar"),"")</f>
        <v/>
      </c>
      <c r="BF644" s="179" t="str">
        <f t="array" ref="BF644">IF($F644&lt;&gt;"", XLOOKUP($F644,Productos!$A$2:$A1001,Productos!AY$2:AY1001,"")*$G644,"")</f>
        <v/>
      </c>
      <c r="BG644" s="179" t="str">
        <f t="array" ref="BG644">IF($F644&lt;&gt;"",XLOOKUP($F644,Productos!$A:$A,Productos!AZ:AZ,"Revisar"),"")</f>
        <v/>
      </c>
      <c r="BH644" s="179" t="str">
        <f t="array" ref="BH644">IF($F644&lt;&gt;"", XLOOKUP($F644,Productos!$A$2:$A1001,Productos!BA$2:BA1001,"")*$G644,"")</f>
        <v/>
      </c>
      <c r="BI644" s="179" t="str">
        <f t="array" ref="BI644">IF($F644&lt;&gt;"",XLOOKUP($F644,Productos!$A:$A,Productos!BB:BB,"Revisar"),"")</f>
        <v/>
      </c>
      <c r="BJ644" s="179" t="str">
        <f t="array" ref="BJ644">IF($F644&lt;&gt;"", XLOOKUP($F644,Productos!$A$2:$A1001,Productos!BC$2:BC1001,"")*$G644,"")</f>
        <v/>
      </c>
      <c r="BK644" s="179" t="str">
        <f t="array" ref="BK644">IF($F644&lt;&gt;"",XLOOKUP($F644,Productos!$A:$A,Productos!BD:BD,"Revisar"),"")</f>
        <v/>
      </c>
      <c r="BL644" s="179" t="str">
        <f t="array" ref="BL644">IF($F644&lt;&gt;"", XLOOKUP($F644,Productos!$A$2:$A1001,Productos!BE$2:BE1001,"")*$G644,"")</f>
        <v/>
      </c>
      <c r="BM644" s="179" t="str">
        <f t="array" ref="BM644">IF($F644&lt;&gt;"",XLOOKUP($F644,Productos!$A:$A,Productos!BF:BF,"Revisar"),"")</f>
        <v/>
      </c>
      <c r="BN644" s="179" t="str">
        <f t="array" ref="BN644">IF($F644&lt;&gt;"", XLOOKUP($F644,Productos!$A$2:$A1001,Productos!BG$2:BG1001,"")*$G644,"")</f>
        <v/>
      </c>
      <c r="BO644" s="179" t="str">
        <f t="array" ref="BO644">IF($F644&lt;&gt;"",XLOOKUP($F644,Productos!$A:$A,Productos!BH:BH,"Revisar"),"")</f>
        <v/>
      </c>
      <c r="BP644" s="179" t="str">
        <f t="array" ref="BP644">IF($F644&lt;&gt;"", XLOOKUP($F644,Productos!$A$2:$A1001,Productos!BI$2:BI1001,"")*$G644,"")</f>
        <v/>
      </c>
      <c r="BQ644" s="179" t="str">
        <f t="array" ref="BQ644">IF($F644&lt;&gt;"",XLOOKUP($F644,Productos!$A:$A,Productos!BJ:BJ,"Revisar"),"")</f>
        <v/>
      </c>
      <c r="BR644" s="179" t="str">
        <f t="array" ref="BR644">IF($F644&lt;&gt;"", XLOOKUP($F644,Productos!$A$2:$A1001,Productos!BK$2:BK1001,"")*$G644,"")</f>
        <v/>
      </c>
      <c r="BS644" s="179" t="str">
        <f t="array" ref="BS644">IF($F644&lt;&gt;"",XLOOKUP($F644,Productos!$A:$A,Productos!BL:BL,"Revisar"),"")</f>
        <v/>
      </c>
      <c r="BT644" s="179" t="str">
        <f t="array" ref="BT644">IF($F644&lt;&gt;"", XLOOKUP($F644,Productos!$A$2:$A1001,Productos!BM$2:BM1001,"")*$G644,"")</f>
        <v/>
      </c>
      <c r="BU644" s="179" t="str">
        <f t="array" ref="BU644">IF($F644&lt;&gt;"",XLOOKUP($F644,Productos!$A:$A,Productos!BN:BN,"Revisar"),"")</f>
        <v/>
      </c>
      <c r="BV644" s="179" t="str">
        <f t="array" ref="BV644">IF($F644&lt;&gt;"", XLOOKUP($F644,Productos!$A$2:$A1001,Productos!BO$2:BO1001,"")*$G644,"")</f>
        <v/>
      </c>
      <c r="BW644" s="179" t="str">
        <f t="array" ref="BW644">IF($F644&lt;&gt;"",XLOOKUP($F644,Productos!$A:$A,Productos!BP:BP,"Revisar"),"")</f>
        <v/>
      </c>
      <c r="BX644" s="179" t="str">
        <f t="array" ref="BX644">IF($F644&lt;&gt;"", XLOOKUP($F644,Productos!$A$2:$A1001,Productos!BQ$2:BQ1001,"")*$G644,"")</f>
        <v/>
      </c>
      <c r="BY644" s="179" t="str">
        <f t="array" ref="BY644">IF($F644&lt;&gt;"",XLOOKUP($F644,Productos!$A:$A,Productos!BR:BR,"Revisar"),"")</f>
        <v/>
      </c>
      <c r="BZ644" s="179" t="str">
        <f t="array" ref="BZ644">IF($F644&lt;&gt;"", XLOOKUP($F644,Productos!$A$2:$A1001,Productos!BS$2:BS1001,"")*$G644,"")</f>
        <v/>
      </c>
    </row>
    <row r="645">
      <c r="A645" s="188"/>
      <c r="B645" s="189"/>
      <c r="C645" s="190"/>
      <c r="D645" s="190"/>
      <c r="E645" s="191"/>
      <c r="F645" s="186"/>
      <c r="G645" s="192"/>
      <c r="H645" s="9"/>
      <c r="I645" s="179" t="str">
        <f t="array" ref="I645">IF($F645&lt;&gt;"",XLOOKUP($F645,Productos!$A:$A,Productos!B:B,"Revisar"),"")</f>
        <v/>
      </c>
      <c r="J645" s="179" t="str">
        <f t="array" ref="J645">IF($F645&lt;&gt;"", XLOOKUP($F645,Productos!$A$2:$A1001,Productos!C$2:C1001,"")*$G645,"")</f>
        <v/>
      </c>
      <c r="K645" s="179" t="str">
        <f t="array" ref="K645">IF($F645&lt;&gt;"",XLOOKUP($F645,Productos!$A:$A,Productos!D:D,"Revisar"),"")</f>
        <v/>
      </c>
      <c r="L645" s="179" t="str">
        <f t="array" ref="L645">IF($F645&lt;&gt;"", XLOOKUP($F645,Productos!$A$2:$A1001,Productos!E$2:E1001,"")*$G645,"")</f>
        <v/>
      </c>
      <c r="M645" s="179" t="str">
        <f t="array" ref="M645">IF($F645&lt;&gt;"",XLOOKUP($F645,Productos!$A:$A,Productos!F:F,"Revisar"),"")</f>
        <v/>
      </c>
      <c r="N645" s="179" t="str">
        <f t="array" ref="N645">IF($F645&lt;&gt;"", XLOOKUP($F645,Productos!$A$2:$A1001,Productos!G$2:G1001,"")*$G645,"")</f>
        <v/>
      </c>
      <c r="O645" s="179" t="str">
        <f t="array" ref="O645">IF($F645&lt;&gt;"",XLOOKUP($F645,Productos!$A:$A,Productos!H:H,"Revisar"),"")</f>
        <v/>
      </c>
      <c r="P645" s="179" t="str">
        <f t="array" ref="P645">IF($F645&lt;&gt;"", XLOOKUP($F645,Productos!$A$2:$A1001,Productos!I$2:I1001,"")*$G645,"")</f>
        <v/>
      </c>
      <c r="Q645" s="179" t="str">
        <f t="array" ref="Q645">IF($F645&lt;&gt;"",XLOOKUP($F645,Productos!$A:$A,Productos!J:J,"Revisar"),"")</f>
        <v/>
      </c>
      <c r="R645" s="179" t="str">
        <f t="array" ref="R645">IF($F645&lt;&gt;"", XLOOKUP($F645,Productos!$A$2:$A1001,Productos!K$2:K1001,"")*$G645,"")</f>
        <v/>
      </c>
      <c r="S645" s="179" t="str">
        <f t="array" ref="S645">IF($F645&lt;&gt;"",XLOOKUP($F645,Productos!$A:$A,Productos!L:L,"Revisar"),"")</f>
        <v/>
      </c>
      <c r="T645" s="179" t="str">
        <f t="array" ref="T645">IF($F645&lt;&gt;"", XLOOKUP($F645,Productos!$A$2:$A1001,Productos!M$2:M1001,"")*$G645,"")</f>
        <v/>
      </c>
      <c r="U645" s="179" t="str">
        <f t="array" ref="U645">IF($F645&lt;&gt;"",XLOOKUP($F645,Productos!$A:$A,Productos!N:N,"Revisar"),"")</f>
        <v/>
      </c>
      <c r="V645" s="179" t="str">
        <f t="array" ref="V645">IF($F645&lt;&gt;"", XLOOKUP($F645,Productos!$A$2:$A1001,Productos!O$2:O1001,"")*$G645,"")</f>
        <v/>
      </c>
      <c r="W645" s="179" t="str">
        <f t="array" ref="W645">IF($F645&lt;&gt;"",XLOOKUP($F645,Productos!$A:$A,Productos!P:P,"Revisar"),"")</f>
        <v/>
      </c>
      <c r="X645" s="179" t="str">
        <f t="array" ref="X645">IF($F645&lt;&gt;"", XLOOKUP($F645,Productos!$A$2:$A1001,Productos!Q$2:Q1001,"")*$G645,"")</f>
        <v/>
      </c>
      <c r="Y645" s="179" t="str">
        <f t="array" ref="Y645">IF($F645&lt;&gt;"",XLOOKUP($F645,Productos!$A:$A,Productos!R:R,"Revisar"),"")</f>
        <v/>
      </c>
      <c r="Z645" s="179" t="str">
        <f t="array" ref="Z645">IF($F645&lt;&gt;"", XLOOKUP($F645,Productos!$A$2:$A1001,Productos!S$2:S1001,"")*$G645,"")</f>
        <v/>
      </c>
      <c r="AA645" s="179" t="str">
        <f t="array" ref="AA645">IF($F645&lt;&gt;"",XLOOKUP($F645,Productos!$A:$A,Productos!T:T,"Revisar"),"")</f>
        <v/>
      </c>
      <c r="AB645" s="179" t="str">
        <f t="array" ref="AB645">IF($F645&lt;&gt;"", XLOOKUP($F645,Productos!$A$2:$A1001,Productos!U$2:U1001,"")*$G645,"")</f>
        <v/>
      </c>
      <c r="AC645" s="179" t="str">
        <f t="array" ref="AC645">IF($F645&lt;&gt;"",XLOOKUP($F645,Productos!$A:$A,Productos!V:V,"Revisar"),"")</f>
        <v/>
      </c>
      <c r="AD645" s="179" t="str">
        <f t="array" ref="AD645">IF($F645&lt;&gt;"", XLOOKUP($F645,Productos!$A$2:$A1001,Productos!W$2:W1001,"")*$G645,"")</f>
        <v/>
      </c>
      <c r="AE645" s="179" t="str">
        <f t="array" ref="AE645">IF($F645&lt;&gt;"",XLOOKUP($F645,Productos!$A:$A,Productos!X:X,"Revisar"),"")</f>
        <v/>
      </c>
      <c r="AF645" s="179" t="str">
        <f t="array" ref="AF645">IF($F645&lt;&gt;"", XLOOKUP($F645,Productos!$A$2:$A1001,Productos!Y$2:Y1001,"")*$G645,"")</f>
        <v/>
      </c>
      <c r="AG645" s="179" t="str">
        <f t="array" ref="AG645">IF($F645&lt;&gt;"",XLOOKUP($F645,Productos!$A:$A,Productos!Z:Z,"Revisar"),"")</f>
        <v/>
      </c>
      <c r="AH645" s="179" t="str">
        <f t="array" ref="AH645">IF($F645&lt;&gt;"", XLOOKUP($F645,Productos!$A$2:$A1001,Productos!AA$2:AA1001,"")*$G645,"")</f>
        <v/>
      </c>
      <c r="AI645" s="179" t="str">
        <f t="array" ref="AI645">IF($F645&lt;&gt;"",XLOOKUP($F645,Productos!$A:$A,Productos!AB:AB,"Revisar"),"")</f>
        <v/>
      </c>
      <c r="AJ645" s="179" t="str">
        <f t="array" ref="AJ645">IF($F645&lt;&gt;"", XLOOKUP($F645,Productos!$A$2:$A1001,Productos!AC$2:AC1001,"")*$G645,"")</f>
        <v/>
      </c>
      <c r="AK645" s="179" t="str">
        <f t="array" ref="AK645">IF($F645&lt;&gt;"",XLOOKUP($F645,Productos!$A:$A,Productos!AD:AD,"Revisar"),"")</f>
        <v/>
      </c>
      <c r="AL645" s="179" t="str">
        <f t="array" ref="AL645">IF($F645&lt;&gt;"", XLOOKUP($F645,Productos!$A$2:$A1001,Productos!AE$2:AE1001,"")*$G645,"")</f>
        <v/>
      </c>
      <c r="AM645" s="179" t="str">
        <f t="array" ref="AM645">IF($F645&lt;&gt;"",XLOOKUP($F645,Productos!$A:$A,Productos!AF:AF,"Revisar"),"")</f>
        <v/>
      </c>
      <c r="AN645" s="179" t="str">
        <f t="array" ref="AN645">IF($F645&lt;&gt;"", XLOOKUP($F645,Productos!$A$2:$A1001,Productos!AG$2:AG1001,"")*$G645,"")</f>
        <v/>
      </c>
      <c r="AO645" s="179" t="str">
        <f t="array" ref="AO645">IF($F645&lt;&gt;"",XLOOKUP($F645,Productos!$A:$A,Productos!AH:AH,"Revisar"),"")</f>
        <v/>
      </c>
      <c r="AP645" s="179" t="str">
        <f t="array" ref="AP645">IF($F645&lt;&gt;"", XLOOKUP($F645,Productos!$A$2:$A1001,Productos!AI$2:AI1001,"")*$G645,"")</f>
        <v/>
      </c>
      <c r="AQ645" s="179" t="str">
        <f t="array" ref="AQ645">IF($F645&lt;&gt;"",XLOOKUP($F645,Productos!$A:$A,Productos!AJ:AJ,"Revisar"),"")</f>
        <v/>
      </c>
      <c r="AR645" s="179" t="str">
        <f t="array" ref="AR645">IF($F645&lt;&gt;"", XLOOKUP($F645,Productos!$A$2:$A1001,Productos!AK$2:AK1001,"")*$G645,"")</f>
        <v/>
      </c>
      <c r="AS645" s="179" t="str">
        <f t="array" ref="AS645">IF($F645&lt;&gt;"",XLOOKUP($F645,Productos!$A:$A,Productos!AL:AL,"Revisar"),"")</f>
        <v/>
      </c>
      <c r="AT645" s="179" t="str">
        <f t="array" ref="AT645">IF($F645&lt;&gt;"", XLOOKUP($F645,Productos!$A$2:$A1001,Productos!AM$2:AM1001,"")*$G645,"")</f>
        <v/>
      </c>
      <c r="AU645" s="179" t="str">
        <f t="array" ref="AU645">IF($F645&lt;&gt;"",XLOOKUP($F645,Productos!$A:$A,Productos!AN:AN,"Revisar"),"")</f>
        <v/>
      </c>
      <c r="AV645" s="179" t="str">
        <f t="array" ref="AV645">IF($F645&lt;&gt;"", XLOOKUP($F645,Productos!$A$2:$A1001,Productos!AO$2:AO1001,"")*$G645,"")</f>
        <v/>
      </c>
      <c r="AW645" s="179" t="str">
        <f t="array" ref="AW645">IF($F645&lt;&gt;"",XLOOKUP($F645,Productos!$A:$A,Productos!AP:AP,"Revisar"),"")</f>
        <v/>
      </c>
      <c r="AX645" s="179" t="str">
        <f t="array" ref="AX645">IF($F645&lt;&gt;"", XLOOKUP($F645,Productos!$A$2:$A1001,Productos!AQ$2:AQ1001,"")*$G645,"")</f>
        <v/>
      </c>
      <c r="AY645" s="179" t="str">
        <f t="array" ref="AY645">IF($F645&lt;&gt;"",XLOOKUP($F645,Productos!$A:$A,Productos!AR:AR,"Revisar"),"")</f>
        <v/>
      </c>
      <c r="AZ645" s="179" t="str">
        <f t="array" ref="AZ645">IF($F645&lt;&gt;"", XLOOKUP($F645,Productos!$A$2:$A1001,Productos!AS$2:AS1001,"")*$G645,"")</f>
        <v/>
      </c>
      <c r="BA645" s="179" t="str">
        <f t="array" ref="BA645">IF($F645&lt;&gt;"",XLOOKUP($F645,Productos!$A:$A,Productos!AT:AT,"Revisar"),"")</f>
        <v/>
      </c>
      <c r="BB645" s="179" t="str">
        <f t="array" ref="BB645">IF($F645&lt;&gt;"", XLOOKUP($F645,Productos!$A$2:$A1001,Productos!AU$2:AU1001,"")*$G645,"")</f>
        <v/>
      </c>
      <c r="BC645" s="179" t="str">
        <f t="array" ref="BC645">IF($F645&lt;&gt;"",XLOOKUP($F645,Productos!$A:$A,Productos!AV:AV,"Revisar"),"")</f>
        <v/>
      </c>
      <c r="BD645" s="179" t="str">
        <f t="array" ref="BD645">IF($F645&lt;&gt;"", XLOOKUP($F645,Productos!$A$2:$A1001,Productos!AW$2:AW1001,"")*$G645,"")</f>
        <v/>
      </c>
      <c r="BE645" s="179" t="str">
        <f t="array" ref="BE645">IF($F645&lt;&gt;"",XLOOKUP($F645,Productos!$A:$A,Productos!AX:AX,"Revisar"),"")</f>
        <v/>
      </c>
      <c r="BF645" s="179" t="str">
        <f t="array" ref="BF645">IF($F645&lt;&gt;"", XLOOKUP($F645,Productos!$A$2:$A1001,Productos!AY$2:AY1001,"")*$G645,"")</f>
        <v/>
      </c>
      <c r="BG645" s="179" t="str">
        <f t="array" ref="BG645">IF($F645&lt;&gt;"",XLOOKUP($F645,Productos!$A:$A,Productos!AZ:AZ,"Revisar"),"")</f>
        <v/>
      </c>
      <c r="BH645" s="179" t="str">
        <f t="array" ref="BH645">IF($F645&lt;&gt;"", XLOOKUP($F645,Productos!$A$2:$A1001,Productos!BA$2:BA1001,"")*$G645,"")</f>
        <v/>
      </c>
      <c r="BI645" s="179" t="str">
        <f t="array" ref="BI645">IF($F645&lt;&gt;"",XLOOKUP($F645,Productos!$A:$A,Productos!BB:BB,"Revisar"),"")</f>
        <v/>
      </c>
      <c r="BJ645" s="179" t="str">
        <f t="array" ref="BJ645">IF($F645&lt;&gt;"", XLOOKUP($F645,Productos!$A$2:$A1001,Productos!BC$2:BC1001,"")*$G645,"")</f>
        <v/>
      </c>
      <c r="BK645" s="179" t="str">
        <f t="array" ref="BK645">IF($F645&lt;&gt;"",XLOOKUP($F645,Productos!$A:$A,Productos!BD:BD,"Revisar"),"")</f>
        <v/>
      </c>
      <c r="BL645" s="179" t="str">
        <f t="array" ref="BL645">IF($F645&lt;&gt;"", XLOOKUP($F645,Productos!$A$2:$A1001,Productos!BE$2:BE1001,"")*$G645,"")</f>
        <v/>
      </c>
      <c r="BM645" s="179" t="str">
        <f t="array" ref="BM645">IF($F645&lt;&gt;"",XLOOKUP($F645,Productos!$A:$A,Productos!BF:BF,"Revisar"),"")</f>
        <v/>
      </c>
      <c r="BN645" s="179" t="str">
        <f t="array" ref="BN645">IF($F645&lt;&gt;"", XLOOKUP($F645,Productos!$A$2:$A1001,Productos!BG$2:BG1001,"")*$G645,"")</f>
        <v/>
      </c>
      <c r="BO645" s="179" t="str">
        <f t="array" ref="BO645">IF($F645&lt;&gt;"",XLOOKUP($F645,Productos!$A:$A,Productos!BH:BH,"Revisar"),"")</f>
        <v/>
      </c>
      <c r="BP645" s="179" t="str">
        <f t="array" ref="BP645">IF($F645&lt;&gt;"", XLOOKUP($F645,Productos!$A$2:$A1001,Productos!BI$2:BI1001,"")*$G645,"")</f>
        <v/>
      </c>
      <c r="BQ645" s="179" t="str">
        <f t="array" ref="BQ645">IF($F645&lt;&gt;"",XLOOKUP($F645,Productos!$A:$A,Productos!BJ:BJ,"Revisar"),"")</f>
        <v/>
      </c>
      <c r="BR645" s="179" t="str">
        <f t="array" ref="BR645">IF($F645&lt;&gt;"", XLOOKUP($F645,Productos!$A$2:$A1001,Productos!BK$2:BK1001,"")*$G645,"")</f>
        <v/>
      </c>
      <c r="BS645" s="179" t="str">
        <f t="array" ref="BS645">IF($F645&lt;&gt;"",XLOOKUP($F645,Productos!$A:$A,Productos!BL:BL,"Revisar"),"")</f>
        <v/>
      </c>
      <c r="BT645" s="179" t="str">
        <f t="array" ref="BT645">IF($F645&lt;&gt;"", XLOOKUP($F645,Productos!$A$2:$A1001,Productos!BM$2:BM1001,"")*$G645,"")</f>
        <v/>
      </c>
      <c r="BU645" s="179" t="str">
        <f t="array" ref="BU645">IF($F645&lt;&gt;"",XLOOKUP($F645,Productos!$A:$A,Productos!BN:BN,"Revisar"),"")</f>
        <v/>
      </c>
      <c r="BV645" s="179" t="str">
        <f t="array" ref="BV645">IF($F645&lt;&gt;"", XLOOKUP($F645,Productos!$A$2:$A1001,Productos!BO$2:BO1001,"")*$G645,"")</f>
        <v/>
      </c>
      <c r="BW645" s="179" t="str">
        <f t="array" ref="BW645">IF($F645&lt;&gt;"",XLOOKUP($F645,Productos!$A:$A,Productos!BP:BP,"Revisar"),"")</f>
        <v/>
      </c>
      <c r="BX645" s="179" t="str">
        <f t="array" ref="BX645">IF($F645&lt;&gt;"", XLOOKUP($F645,Productos!$A$2:$A1001,Productos!BQ$2:BQ1001,"")*$G645,"")</f>
        <v/>
      </c>
      <c r="BY645" s="179" t="str">
        <f t="array" ref="BY645">IF($F645&lt;&gt;"",XLOOKUP($F645,Productos!$A:$A,Productos!BR:BR,"Revisar"),"")</f>
        <v/>
      </c>
      <c r="BZ645" s="179" t="str">
        <f t="array" ref="BZ645">IF($F645&lt;&gt;"", XLOOKUP($F645,Productos!$A$2:$A1001,Productos!BS$2:BS1001,"")*$G645,"")</f>
        <v/>
      </c>
    </row>
    <row r="646">
      <c r="A646" s="188"/>
      <c r="B646" s="189"/>
      <c r="C646" s="190"/>
      <c r="D646" s="190"/>
      <c r="E646" s="191"/>
      <c r="F646" s="186"/>
      <c r="G646" s="192"/>
      <c r="H646" s="9"/>
      <c r="I646" s="179" t="str">
        <f t="array" ref="I646">IF($F646&lt;&gt;"",XLOOKUP($F646,Productos!$A:$A,Productos!B:B,"Revisar"),"")</f>
        <v/>
      </c>
      <c r="J646" s="179" t="str">
        <f t="array" ref="J646">IF($F646&lt;&gt;"", XLOOKUP($F646,Productos!$A$2:$A1001,Productos!C$2:C1001,"")*$G646,"")</f>
        <v/>
      </c>
      <c r="K646" s="179" t="str">
        <f t="array" ref="K646">IF($F646&lt;&gt;"",XLOOKUP($F646,Productos!$A:$A,Productos!D:D,"Revisar"),"")</f>
        <v/>
      </c>
      <c r="L646" s="179" t="str">
        <f t="array" ref="L646">IF($F646&lt;&gt;"", XLOOKUP($F646,Productos!$A$2:$A1001,Productos!E$2:E1001,"")*$G646,"")</f>
        <v/>
      </c>
      <c r="M646" s="179" t="str">
        <f t="array" ref="M646">IF($F646&lt;&gt;"",XLOOKUP($F646,Productos!$A:$A,Productos!F:F,"Revisar"),"")</f>
        <v/>
      </c>
      <c r="N646" s="179" t="str">
        <f t="array" ref="N646">IF($F646&lt;&gt;"", XLOOKUP($F646,Productos!$A$2:$A1001,Productos!G$2:G1001,"")*$G646,"")</f>
        <v/>
      </c>
      <c r="O646" s="179" t="str">
        <f t="array" ref="O646">IF($F646&lt;&gt;"",XLOOKUP($F646,Productos!$A:$A,Productos!H:H,"Revisar"),"")</f>
        <v/>
      </c>
      <c r="P646" s="179" t="str">
        <f t="array" ref="P646">IF($F646&lt;&gt;"", XLOOKUP($F646,Productos!$A$2:$A1001,Productos!I$2:I1001,"")*$G646,"")</f>
        <v/>
      </c>
      <c r="Q646" s="179" t="str">
        <f t="array" ref="Q646">IF($F646&lt;&gt;"",XLOOKUP($F646,Productos!$A:$A,Productos!J:J,"Revisar"),"")</f>
        <v/>
      </c>
      <c r="R646" s="179" t="str">
        <f t="array" ref="R646">IF($F646&lt;&gt;"", XLOOKUP($F646,Productos!$A$2:$A1001,Productos!K$2:K1001,"")*$G646,"")</f>
        <v/>
      </c>
      <c r="S646" s="179" t="str">
        <f t="array" ref="S646">IF($F646&lt;&gt;"",XLOOKUP($F646,Productos!$A:$A,Productos!L:L,"Revisar"),"")</f>
        <v/>
      </c>
      <c r="T646" s="179" t="str">
        <f t="array" ref="T646">IF($F646&lt;&gt;"", XLOOKUP($F646,Productos!$A$2:$A1001,Productos!M$2:M1001,"")*$G646,"")</f>
        <v/>
      </c>
      <c r="U646" s="179" t="str">
        <f t="array" ref="U646">IF($F646&lt;&gt;"",XLOOKUP($F646,Productos!$A:$A,Productos!N:N,"Revisar"),"")</f>
        <v/>
      </c>
      <c r="V646" s="179" t="str">
        <f t="array" ref="V646">IF($F646&lt;&gt;"", XLOOKUP($F646,Productos!$A$2:$A1001,Productos!O$2:O1001,"")*$G646,"")</f>
        <v/>
      </c>
      <c r="W646" s="179" t="str">
        <f t="array" ref="W646">IF($F646&lt;&gt;"",XLOOKUP($F646,Productos!$A:$A,Productos!P:P,"Revisar"),"")</f>
        <v/>
      </c>
      <c r="X646" s="179" t="str">
        <f t="array" ref="X646">IF($F646&lt;&gt;"", XLOOKUP($F646,Productos!$A$2:$A1001,Productos!Q$2:Q1001,"")*$G646,"")</f>
        <v/>
      </c>
      <c r="Y646" s="179" t="str">
        <f t="array" ref="Y646">IF($F646&lt;&gt;"",XLOOKUP($F646,Productos!$A:$A,Productos!R:R,"Revisar"),"")</f>
        <v/>
      </c>
      <c r="Z646" s="179" t="str">
        <f t="array" ref="Z646">IF($F646&lt;&gt;"", XLOOKUP($F646,Productos!$A$2:$A1001,Productos!S$2:S1001,"")*$G646,"")</f>
        <v/>
      </c>
      <c r="AA646" s="179" t="str">
        <f t="array" ref="AA646">IF($F646&lt;&gt;"",XLOOKUP($F646,Productos!$A:$A,Productos!T:T,"Revisar"),"")</f>
        <v/>
      </c>
      <c r="AB646" s="179" t="str">
        <f t="array" ref="AB646">IF($F646&lt;&gt;"", XLOOKUP($F646,Productos!$A$2:$A1001,Productos!U$2:U1001,"")*$G646,"")</f>
        <v/>
      </c>
      <c r="AC646" s="179" t="str">
        <f t="array" ref="AC646">IF($F646&lt;&gt;"",XLOOKUP($F646,Productos!$A:$A,Productos!V:V,"Revisar"),"")</f>
        <v/>
      </c>
      <c r="AD646" s="179" t="str">
        <f t="array" ref="AD646">IF($F646&lt;&gt;"", XLOOKUP($F646,Productos!$A$2:$A1001,Productos!W$2:W1001,"")*$G646,"")</f>
        <v/>
      </c>
      <c r="AE646" s="179" t="str">
        <f t="array" ref="AE646">IF($F646&lt;&gt;"",XLOOKUP($F646,Productos!$A:$A,Productos!X:X,"Revisar"),"")</f>
        <v/>
      </c>
      <c r="AF646" s="179" t="str">
        <f t="array" ref="AF646">IF($F646&lt;&gt;"", XLOOKUP($F646,Productos!$A$2:$A1001,Productos!Y$2:Y1001,"")*$G646,"")</f>
        <v/>
      </c>
      <c r="AG646" s="179" t="str">
        <f t="array" ref="AG646">IF($F646&lt;&gt;"",XLOOKUP($F646,Productos!$A:$A,Productos!Z:Z,"Revisar"),"")</f>
        <v/>
      </c>
      <c r="AH646" s="179" t="str">
        <f t="array" ref="AH646">IF($F646&lt;&gt;"", XLOOKUP($F646,Productos!$A$2:$A1001,Productos!AA$2:AA1001,"")*$G646,"")</f>
        <v/>
      </c>
      <c r="AI646" s="179" t="str">
        <f t="array" ref="AI646">IF($F646&lt;&gt;"",XLOOKUP($F646,Productos!$A:$A,Productos!AB:AB,"Revisar"),"")</f>
        <v/>
      </c>
      <c r="AJ646" s="179" t="str">
        <f t="array" ref="AJ646">IF($F646&lt;&gt;"", XLOOKUP($F646,Productos!$A$2:$A1001,Productos!AC$2:AC1001,"")*$G646,"")</f>
        <v/>
      </c>
      <c r="AK646" s="179" t="str">
        <f t="array" ref="AK646">IF($F646&lt;&gt;"",XLOOKUP($F646,Productos!$A:$A,Productos!AD:AD,"Revisar"),"")</f>
        <v/>
      </c>
      <c r="AL646" s="179" t="str">
        <f t="array" ref="AL646">IF($F646&lt;&gt;"", XLOOKUP($F646,Productos!$A$2:$A1001,Productos!AE$2:AE1001,"")*$G646,"")</f>
        <v/>
      </c>
      <c r="AM646" s="179" t="str">
        <f t="array" ref="AM646">IF($F646&lt;&gt;"",XLOOKUP($F646,Productos!$A:$A,Productos!AF:AF,"Revisar"),"")</f>
        <v/>
      </c>
      <c r="AN646" s="179" t="str">
        <f t="array" ref="AN646">IF($F646&lt;&gt;"", XLOOKUP($F646,Productos!$A$2:$A1001,Productos!AG$2:AG1001,"")*$G646,"")</f>
        <v/>
      </c>
      <c r="AO646" s="179" t="str">
        <f t="array" ref="AO646">IF($F646&lt;&gt;"",XLOOKUP($F646,Productos!$A:$A,Productos!AH:AH,"Revisar"),"")</f>
        <v/>
      </c>
      <c r="AP646" s="179" t="str">
        <f t="array" ref="AP646">IF($F646&lt;&gt;"", XLOOKUP($F646,Productos!$A$2:$A1001,Productos!AI$2:AI1001,"")*$G646,"")</f>
        <v/>
      </c>
      <c r="AQ646" s="179" t="str">
        <f t="array" ref="AQ646">IF($F646&lt;&gt;"",XLOOKUP($F646,Productos!$A:$A,Productos!AJ:AJ,"Revisar"),"")</f>
        <v/>
      </c>
      <c r="AR646" s="179" t="str">
        <f t="array" ref="AR646">IF($F646&lt;&gt;"", XLOOKUP($F646,Productos!$A$2:$A1001,Productos!AK$2:AK1001,"")*$G646,"")</f>
        <v/>
      </c>
      <c r="AS646" s="179" t="str">
        <f t="array" ref="AS646">IF($F646&lt;&gt;"",XLOOKUP($F646,Productos!$A:$A,Productos!AL:AL,"Revisar"),"")</f>
        <v/>
      </c>
      <c r="AT646" s="179" t="str">
        <f t="array" ref="AT646">IF($F646&lt;&gt;"", XLOOKUP($F646,Productos!$A$2:$A1001,Productos!AM$2:AM1001,"")*$G646,"")</f>
        <v/>
      </c>
      <c r="AU646" s="179" t="str">
        <f t="array" ref="AU646">IF($F646&lt;&gt;"",XLOOKUP($F646,Productos!$A:$A,Productos!AN:AN,"Revisar"),"")</f>
        <v/>
      </c>
      <c r="AV646" s="179" t="str">
        <f t="array" ref="AV646">IF($F646&lt;&gt;"", XLOOKUP($F646,Productos!$A$2:$A1001,Productos!AO$2:AO1001,"")*$G646,"")</f>
        <v/>
      </c>
      <c r="AW646" s="179" t="str">
        <f t="array" ref="AW646">IF($F646&lt;&gt;"",XLOOKUP($F646,Productos!$A:$A,Productos!AP:AP,"Revisar"),"")</f>
        <v/>
      </c>
      <c r="AX646" s="179" t="str">
        <f t="array" ref="AX646">IF($F646&lt;&gt;"", XLOOKUP($F646,Productos!$A$2:$A1001,Productos!AQ$2:AQ1001,"")*$G646,"")</f>
        <v/>
      </c>
      <c r="AY646" s="179" t="str">
        <f t="array" ref="AY646">IF($F646&lt;&gt;"",XLOOKUP($F646,Productos!$A:$A,Productos!AR:AR,"Revisar"),"")</f>
        <v/>
      </c>
      <c r="AZ646" s="179" t="str">
        <f t="array" ref="AZ646">IF($F646&lt;&gt;"", XLOOKUP($F646,Productos!$A$2:$A1001,Productos!AS$2:AS1001,"")*$G646,"")</f>
        <v/>
      </c>
      <c r="BA646" s="179" t="str">
        <f t="array" ref="BA646">IF($F646&lt;&gt;"",XLOOKUP($F646,Productos!$A:$A,Productos!AT:AT,"Revisar"),"")</f>
        <v/>
      </c>
      <c r="BB646" s="179" t="str">
        <f t="array" ref="BB646">IF($F646&lt;&gt;"", XLOOKUP($F646,Productos!$A$2:$A1001,Productos!AU$2:AU1001,"")*$G646,"")</f>
        <v/>
      </c>
      <c r="BC646" s="179" t="str">
        <f t="array" ref="BC646">IF($F646&lt;&gt;"",XLOOKUP($F646,Productos!$A:$A,Productos!AV:AV,"Revisar"),"")</f>
        <v/>
      </c>
      <c r="BD646" s="179" t="str">
        <f t="array" ref="BD646">IF($F646&lt;&gt;"", XLOOKUP($F646,Productos!$A$2:$A1001,Productos!AW$2:AW1001,"")*$G646,"")</f>
        <v/>
      </c>
      <c r="BE646" s="179" t="str">
        <f t="array" ref="BE646">IF($F646&lt;&gt;"",XLOOKUP($F646,Productos!$A:$A,Productos!AX:AX,"Revisar"),"")</f>
        <v/>
      </c>
      <c r="BF646" s="179" t="str">
        <f t="array" ref="BF646">IF($F646&lt;&gt;"", XLOOKUP($F646,Productos!$A$2:$A1001,Productos!AY$2:AY1001,"")*$G646,"")</f>
        <v/>
      </c>
      <c r="BG646" s="179" t="str">
        <f t="array" ref="BG646">IF($F646&lt;&gt;"",XLOOKUP($F646,Productos!$A:$A,Productos!AZ:AZ,"Revisar"),"")</f>
        <v/>
      </c>
      <c r="BH646" s="179" t="str">
        <f t="array" ref="BH646">IF($F646&lt;&gt;"", XLOOKUP($F646,Productos!$A$2:$A1001,Productos!BA$2:BA1001,"")*$G646,"")</f>
        <v/>
      </c>
      <c r="BI646" s="179" t="str">
        <f t="array" ref="BI646">IF($F646&lt;&gt;"",XLOOKUP($F646,Productos!$A:$A,Productos!BB:BB,"Revisar"),"")</f>
        <v/>
      </c>
      <c r="BJ646" s="179" t="str">
        <f t="array" ref="BJ646">IF($F646&lt;&gt;"", XLOOKUP($F646,Productos!$A$2:$A1001,Productos!BC$2:BC1001,"")*$G646,"")</f>
        <v/>
      </c>
      <c r="BK646" s="179" t="str">
        <f t="array" ref="BK646">IF($F646&lt;&gt;"",XLOOKUP($F646,Productos!$A:$A,Productos!BD:BD,"Revisar"),"")</f>
        <v/>
      </c>
      <c r="BL646" s="179" t="str">
        <f t="array" ref="BL646">IF($F646&lt;&gt;"", XLOOKUP($F646,Productos!$A$2:$A1001,Productos!BE$2:BE1001,"")*$G646,"")</f>
        <v/>
      </c>
      <c r="BM646" s="179" t="str">
        <f t="array" ref="BM646">IF($F646&lt;&gt;"",XLOOKUP($F646,Productos!$A:$A,Productos!BF:BF,"Revisar"),"")</f>
        <v/>
      </c>
      <c r="BN646" s="179" t="str">
        <f t="array" ref="BN646">IF($F646&lt;&gt;"", XLOOKUP($F646,Productos!$A$2:$A1001,Productos!BG$2:BG1001,"")*$G646,"")</f>
        <v/>
      </c>
      <c r="BO646" s="179" t="str">
        <f t="array" ref="BO646">IF($F646&lt;&gt;"",XLOOKUP($F646,Productos!$A:$A,Productos!BH:BH,"Revisar"),"")</f>
        <v/>
      </c>
      <c r="BP646" s="179" t="str">
        <f t="array" ref="BP646">IF($F646&lt;&gt;"", XLOOKUP($F646,Productos!$A$2:$A1001,Productos!BI$2:BI1001,"")*$G646,"")</f>
        <v/>
      </c>
      <c r="BQ646" s="179" t="str">
        <f t="array" ref="BQ646">IF($F646&lt;&gt;"",XLOOKUP($F646,Productos!$A:$A,Productos!BJ:BJ,"Revisar"),"")</f>
        <v/>
      </c>
      <c r="BR646" s="179" t="str">
        <f t="array" ref="BR646">IF($F646&lt;&gt;"", XLOOKUP($F646,Productos!$A$2:$A1001,Productos!BK$2:BK1001,"")*$G646,"")</f>
        <v/>
      </c>
      <c r="BS646" s="179" t="str">
        <f t="array" ref="BS646">IF($F646&lt;&gt;"",XLOOKUP($F646,Productos!$A:$A,Productos!BL:BL,"Revisar"),"")</f>
        <v/>
      </c>
      <c r="BT646" s="179" t="str">
        <f t="array" ref="BT646">IF($F646&lt;&gt;"", XLOOKUP($F646,Productos!$A$2:$A1001,Productos!BM$2:BM1001,"")*$G646,"")</f>
        <v/>
      </c>
      <c r="BU646" s="179" t="str">
        <f t="array" ref="BU646">IF($F646&lt;&gt;"",XLOOKUP($F646,Productos!$A:$A,Productos!BN:BN,"Revisar"),"")</f>
        <v/>
      </c>
      <c r="BV646" s="179" t="str">
        <f t="array" ref="BV646">IF($F646&lt;&gt;"", XLOOKUP($F646,Productos!$A$2:$A1001,Productos!BO$2:BO1001,"")*$G646,"")</f>
        <v/>
      </c>
      <c r="BW646" s="179" t="str">
        <f t="array" ref="BW646">IF($F646&lt;&gt;"",XLOOKUP($F646,Productos!$A:$A,Productos!BP:BP,"Revisar"),"")</f>
        <v/>
      </c>
      <c r="BX646" s="179" t="str">
        <f t="array" ref="BX646">IF($F646&lt;&gt;"", XLOOKUP($F646,Productos!$A$2:$A1001,Productos!BQ$2:BQ1001,"")*$G646,"")</f>
        <v/>
      </c>
      <c r="BY646" s="179" t="str">
        <f t="array" ref="BY646">IF($F646&lt;&gt;"",XLOOKUP($F646,Productos!$A:$A,Productos!BR:BR,"Revisar"),"")</f>
        <v/>
      </c>
      <c r="BZ646" s="179" t="str">
        <f t="array" ref="BZ646">IF($F646&lt;&gt;"", XLOOKUP($F646,Productos!$A$2:$A1001,Productos!BS$2:BS1001,"")*$G646,"")</f>
        <v/>
      </c>
    </row>
    <row r="647">
      <c r="A647" s="188"/>
      <c r="B647" s="189"/>
      <c r="C647" s="190"/>
      <c r="D647" s="190"/>
      <c r="E647" s="191"/>
      <c r="F647" s="186"/>
      <c r="G647" s="192"/>
      <c r="H647" s="9"/>
      <c r="I647" s="179" t="str">
        <f t="array" ref="I647">IF($F647&lt;&gt;"",XLOOKUP($F647,Productos!$A:$A,Productos!B:B,"Revisar"),"")</f>
        <v/>
      </c>
      <c r="J647" s="179" t="str">
        <f t="array" ref="J647">IF($F647&lt;&gt;"", XLOOKUP($F647,Productos!$A$2:$A1001,Productos!C$2:C1001,"")*$G647,"")</f>
        <v/>
      </c>
      <c r="K647" s="179" t="str">
        <f t="array" ref="K647">IF($F647&lt;&gt;"",XLOOKUP($F647,Productos!$A:$A,Productos!D:D,"Revisar"),"")</f>
        <v/>
      </c>
      <c r="L647" s="179" t="str">
        <f t="array" ref="L647">IF($F647&lt;&gt;"", XLOOKUP($F647,Productos!$A$2:$A1001,Productos!E$2:E1001,"")*$G647,"")</f>
        <v/>
      </c>
      <c r="M647" s="179" t="str">
        <f t="array" ref="M647">IF($F647&lt;&gt;"",XLOOKUP($F647,Productos!$A:$A,Productos!F:F,"Revisar"),"")</f>
        <v/>
      </c>
      <c r="N647" s="179" t="str">
        <f t="array" ref="N647">IF($F647&lt;&gt;"", XLOOKUP($F647,Productos!$A$2:$A1001,Productos!G$2:G1001,"")*$G647,"")</f>
        <v/>
      </c>
      <c r="O647" s="179" t="str">
        <f t="array" ref="O647">IF($F647&lt;&gt;"",XLOOKUP($F647,Productos!$A:$A,Productos!H:H,"Revisar"),"")</f>
        <v/>
      </c>
      <c r="P647" s="179" t="str">
        <f t="array" ref="P647">IF($F647&lt;&gt;"", XLOOKUP($F647,Productos!$A$2:$A1001,Productos!I$2:I1001,"")*$G647,"")</f>
        <v/>
      </c>
      <c r="Q647" s="179" t="str">
        <f t="array" ref="Q647">IF($F647&lt;&gt;"",XLOOKUP($F647,Productos!$A:$A,Productos!J:J,"Revisar"),"")</f>
        <v/>
      </c>
      <c r="R647" s="179" t="str">
        <f t="array" ref="R647">IF($F647&lt;&gt;"", XLOOKUP($F647,Productos!$A$2:$A1001,Productos!K$2:K1001,"")*$G647,"")</f>
        <v/>
      </c>
      <c r="S647" s="179" t="str">
        <f t="array" ref="S647">IF($F647&lt;&gt;"",XLOOKUP($F647,Productos!$A:$A,Productos!L:L,"Revisar"),"")</f>
        <v/>
      </c>
      <c r="T647" s="179" t="str">
        <f t="array" ref="T647">IF($F647&lt;&gt;"", XLOOKUP($F647,Productos!$A$2:$A1001,Productos!M$2:M1001,"")*$G647,"")</f>
        <v/>
      </c>
      <c r="U647" s="179" t="str">
        <f t="array" ref="U647">IF($F647&lt;&gt;"",XLOOKUP($F647,Productos!$A:$A,Productos!N:N,"Revisar"),"")</f>
        <v/>
      </c>
      <c r="V647" s="179" t="str">
        <f t="array" ref="V647">IF($F647&lt;&gt;"", XLOOKUP($F647,Productos!$A$2:$A1001,Productos!O$2:O1001,"")*$G647,"")</f>
        <v/>
      </c>
      <c r="W647" s="179" t="str">
        <f t="array" ref="W647">IF($F647&lt;&gt;"",XLOOKUP($F647,Productos!$A:$A,Productos!P:P,"Revisar"),"")</f>
        <v/>
      </c>
      <c r="X647" s="179" t="str">
        <f t="array" ref="X647">IF($F647&lt;&gt;"", XLOOKUP($F647,Productos!$A$2:$A1001,Productos!Q$2:Q1001,"")*$G647,"")</f>
        <v/>
      </c>
      <c r="Y647" s="179" t="str">
        <f t="array" ref="Y647">IF($F647&lt;&gt;"",XLOOKUP($F647,Productos!$A:$A,Productos!R:R,"Revisar"),"")</f>
        <v/>
      </c>
      <c r="Z647" s="179" t="str">
        <f t="array" ref="Z647">IF($F647&lt;&gt;"", XLOOKUP($F647,Productos!$A$2:$A1001,Productos!S$2:S1001,"")*$G647,"")</f>
        <v/>
      </c>
      <c r="AA647" s="179" t="str">
        <f t="array" ref="AA647">IF($F647&lt;&gt;"",XLOOKUP($F647,Productos!$A:$A,Productos!T:T,"Revisar"),"")</f>
        <v/>
      </c>
      <c r="AB647" s="179" t="str">
        <f t="array" ref="AB647">IF($F647&lt;&gt;"", XLOOKUP($F647,Productos!$A$2:$A1001,Productos!U$2:U1001,"")*$G647,"")</f>
        <v/>
      </c>
      <c r="AC647" s="179" t="str">
        <f t="array" ref="AC647">IF($F647&lt;&gt;"",XLOOKUP($F647,Productos!$A:$A,Productos!V:V,"Revisar"),"")</f>
        <v/>
      </c>
      <c r="AD647" s="179" t="str">
        <f t="array" ref="AD647">IF($F647&lt;&gt;"", XLOOKUP($F647,Productos!$A$2:$A1001,Productos!W$2:W1001,"")*$G647,"")</f>
        <v/>
      </c>
      <c r="AE647" s="179" t="str">
        <f t="array" ref="AE647">IF($F647&lt;&gt;"",XLOOKUP($F647,Productos!$A:$A,Productos!X:X,"Revisar"),"")</f>
        <v/>
      </c>
      <c r="AF647" s="179" t="str">
        <f t="array" ref="AF647">IF($F647&lt;&gt;"", XLOOKUP($F647,Productos!$A$2:$A1001,Productos!Y$2:Y1001,"")*$G647,"")</f>
        <v/>
      </c>
      <c r="AG647" s="179" t="str">
        <f t="array" ref="AG647">IF($F647&lt;&gt;"",XLOOKUP($F647,Productos!$A:$A,Productos!Z:Z,"Revisar"),"")</f>
        <v/>
      </c>
      <c r="AH647" s="179" t="str">
        <f t="array" ref="AH647">IF($F647&lt;&gt;"", XLOOKUP($F647,Productos!$A$2:$A1001,Productos!AA$2:AA1001,"")*$G647,"")</f>
        <v/>
      </c>
      <c r="AI647" s="179" t="str">
        <f t="array" ref="AI647">IF($F647&lt;&gt;"",XLOOKUP($F647,Productos!$A:$A,Productos!AB:AB,"Revisar"),"")</f>
        <v/>
      </c>
      <c r="AJ647" s="179" t="str">
        <f t="array" ref="AJ647">IF($F647&lt;&gt;"", XLOOKUP($F647,Productos!$A$2:$A1001,Productos!AC$2:AC1001,"")*$G647,"")</f>
        <v/>
      </c>
      <c r="AK647" s="179" t="str">
        <f t="array" ref="AK647">IF($F647&lt;&gt;"",XLOOKUP($F647,Productos!$A:$A,Productos!AD:AD,"Revisar"),"")</f>
        <v/>
      </c>
      <c r="AL647" s="179" t="str">
        <f t="array" ref="AL647">IF($F647&lt;&gt;"", XLOOKUP($F647,Productos!$A$2:$A1001,Productos!AE$2:AE1001,"")*$G647,"")</f>
        <v/>
      </c>
      <c r="AM647" s="179" t="str">
        <f t="array" ref="AM647">IF($F647&lt;&gt;"",XLOOKUP($F647,Productos!$A:$A,Productos!AF:AF,"Revisar"),"")</f>
        <v/>
      </c>
      <c r="AN647" s="179" t="str">
        <f t="array" ref="AN647">IF($F647&lt;&gt;"", XLOOKUP($F647,Productos!$A$2:$A1001,Productos!AG$2:AG1001,"")*$G647,"")</f>
        <v/>
      </c>
      <c r="AO647" s="179" t="str">
        <f t="array" ref="AO647">IF($F647&lt;&gt;"",XLOOKUP($F647,Productos!$A:$A,Productos!AH:AH,"Revisar"),"")</f>
        <v/>
      </c>
      <c r="AP647" s="179" t="str">
        <f t="array" ref="AP647">IF($F647&lt;&gt;"", XLOOKUP($F647,Productos!$A$2:$A1001,Productos!AI$2:AI1001,"")*$G647,"")</f>
        <v/>
      </c>
      <c r="AQ647" s="179" t="str">
        <f t="array" ref="AQ647">IF($F647&lt;&gt;"",XLOOKUP($F647,Productos!$A:$A,Productos!AJ:AJ,"Revisar"),"")</f>
        <v/>
      </c>
      <c r="AR647" s="179" t="str">
        <f t="array" ref="AR647">IF($F647&lt;&gt;"", XLOOKUP($F647,Productos!$A$2:$A1001,Productos!AK$2:AK1001,"")*$G647,"")</f>
        <v/>
      </c>
      <c r="AS647" s="179" t="str">
        <f t="array" ref="AS647">IF($F647&lt;&gt;"",XLOOKUP($F647,Productos!$A:$A,Productos!AL:AL,"Revisar"),"")</f>
        <v/>
      </c>
      <c r="AT647" s="179" t="str">
        <f t="array" ref="AT647">IF($F647&lt;&gt;"", XLOOKUP($F647,Productos!$A$2:$A1001,Productos!AM$2:AM1001,"")*$G647,"")</f>
        <v/>
      </c>
      <c r="AU647" s="179" t="str">
        <f t="array" ref="AU647">IF($F647&lt;&gt;"",XLOOKUP($F647,Productos!$A:$A,Productos!AN:AN,"Revisar"),"")</f>
        <v/>
      </c>
      <c r="AV647" s="179" t="str">
        <f t="array" ref="AV647">IF($F647&lt;&gt;"", XLOOKUP($F647,Productos!$A$2:$A1001,Productos!AO$2:AO1001,"")*$G647,"")</f>
        <v/>
      </c>
      <c r="AW647" s="179" t="str">
        <f t="array" ref="AW647">IF($F647&lt;&gt;"",XLOOKUP($F647,Productos!$A:$A,Productos!AP:AP,"Revisar"),"")</f>
        <v/>
      </c>
      <c r="AX647" s="179" t="str">
        <f t="array" ref="AX647">IF($F647&lt;&gt;"", XLOOKUP($F647,Productos!$A$2:$A1001,Productos!AQ$2:AQ1001,"")*$G647,"")</f>
        <v/>
      </c>
      <c r="AY647" s="179" t="str">
        <f t="array" ref="AY647">IF($F647&lt;&gt;"",XLOOKUP($F647,Productos!$A:$A,Productos!AR:AR,"Revisar"),"")</f>
        <v/>
      </c>
      <c r="AZ647" s="179" t="str">
        <f t="array" ref="AZ647">IF($F647&lt;&gt;"", XLOOKUP($F647,Productos!$A$2:$A1001,Productos!AS$2:AS1001,"")*$G647,"")</f>
        <v/>
      </c>
      <c r="BA647" s="179" t="str">
        <f t="array" ref="BA647">IF($F647&lt;&gt;"",XLOOKUP($F647,Productos!$A:$A,Productos!AT:AT,"Revisar"),"")</f>
        <v/>
      </c>
      <c r="BB647" s="179" t="str">
        <f t="array" ref="BB647">IF($F647&lt;&gt;"", XLOOKUP($F647,Productos!$A$2:$A1001,Productos!AU$2:AU1001,"")*$G647,"")</f>
        <v/>
      </c>
      <c r="BC647" s="179" t="str">
        <f t="array" ref="BC647">IF($F647&lt;&gt;"",XLOOKUP($F647,Productos!$A:$A,Productos!AV:AV,"Revisar"),"")</f>
        <v/>
      </c>
      <c r="BD647" s="179" t="str">
        <f t="array" ref="BD647">IF($F647&lt;&gt;"", XLOOKUP($F647,Productos!$A$2:$A1001,Productos!AW$2:AW1001,"")*$G647,"")</f>
        <v/>
      </c>
      <c r="BE647" s="179" t="str">
        <f t="array" ref="BE647">IF($F647&lt;&gt;"",XLOOKUP($F647,Productos!$A:$A,Productos!AX:AX,"Revisar"),"")</f>
        <v/>
      </c>
      <c r="BF647" s="179" t="str">
        <f t="array" ref="BF647">IF($F647&lt;&gt;"", XLOOKUP($F647,Productos!$A$2:$A1001,Productos!AY$2:AY1001,"")*$G647,"")</f>
        <v/>
      </c>
      <c r="BG647" s="179" t="str">
        <f t="array" ref="BG647">IF($F647&lt;&gt;"",XLOOKUP($F647,Productos!$A:$A,Productos!AZ:AZ,"Revisar"),"")</f>
        <v/>
      </c>
      <c r="BH647" s="179" t="str">
        <f t="array" ref="BH647">IF($F647&lt;&gt;"", XLOOKUP($F647,Productos!$A$2:$A1001,Productos!BA$2:BA1001,"")*$G647,"")</f>
        <v/>
      </c>
      <c r="BI647" s="179" t="str">
        <f t="array" ref="BI647">IF($F647&lt;&gt;"",XLOOKUP($F647,Productos!$A:$A,Productos!BB:BB,"Revisar"),"")</f>
        <v/>
      </c>
      <c r="BJ647" s="179" t="str">
        <f t="array" ref="BJ647">IF($F647&lt;&gt;"", XLOOKUP($F647,Productos!$A$2:$A1001,Productos!BC$2:BC1001,"")*$G647,"")</f>
        <v/>
      </c>
      <c r="BK647" s="179" t="str">
        <f t="array" ref="BK647">IF($F647&lt;&gt;"",XLOOKUP($F647,Productos!$A:$A,Productos!BD:BD,"Revisar"),"")</f>
        <v/>
      </c>
      <c r="BL647" s="179" t="str">
        <f t="array" ref="BL647">IF($F647&lt;&gt;"", XLOOKUP($F647,Productos!$A$2:$A1001,Productos!BE$2:BE1001,"")*$G647,"")</f>
        <v/>
      </c>
      <c r="BM647" s="179" t="str">
        <f t="array" ref="BM647">IF($F647&lt;&gt;"",XLOOKUP($F647,Productos!$A:$A,Productos!BF:BF,"Revisar"),"")</f>
        <v/>
      </c>
      <c r="BN647" s="179" t="str">
        <f t="array" ref="BN647">IF($F647&lt;&gt;"", XLOOKUP($F647,Productos!$A$2:$A1001,Productos!BG$2:BG1001,"")*$G647,"")</f>
        <v/>
      </c>
      <c r="BO647" s="179" t="str">
        <f t="array" ref="BO647">IF($F647&lt;&gt;"",XLOOKUP($F647,Productos!$A:$A,Productos!BH:BH,"Revisar"),"")</f>
        <v/>
      </c>
      <c r="BP647" s="179" t="str">
        <f t="array" ref="BP647">IF($F647&lt;&gt;"", XLOOKUP($F647,Productos!$A$2:$A1001,Productos!BI$2:BI1001,"")*$G647,"")</f>
        <v/>
      </c>
      <c r="BQ647" s="179" t="str">
        <f t="array" ref="BQ647">IF($F647&lt;&gt;"",XLOOKUP($F647,Productos!$A:$A,Productos!BJ:BJ,"Revisar"),"")</f>
        <v/>
      </c>
      <c r="BR647" s="179" t="str">
        <f t="array" ref="BR647">IF($F647&lt;&gt;"", XLOOKUP($F647,Productos!$A$2:$A1001,Productos!BK$2:BK1001,"")*$G647,"")</f>
        <v/>
      </c>
      <c r="BS647" s="179" t="str">
        <f t="array" ref="BS647">IF($F647&lt;&gt;"",XLOOKUP($F647,Productos!$A:$A,Productos!BL:BL,"Revisar"),"")</f>
        <v/>
      </c>
      <c r="BT647" s="179" t="str">
        <f t="array" ref="BT647">IF($F647&lt;&gt;"", XLOOKUP($F647,Productos!$A$2:$A1001,Productos!BM$2:BM1001,"")*$G647,"")</f>
        <v/>
      </c>
      <c r="BU647" s="179" t="str">
        <f t="array" ref="BU647">IF($F647&lt;&gt;"",XLOOKUP($F647,Productos!$A:$A,Productos!BN:BN,"Revisar"),"")</f>
        <v/>
      </c>
      <c r="BV647" s="179" t="str">
        <f t="array" ref="BV647">IF($F647&lt;&gt;"", XLOOKUP($F647,Productos!$A$2:$A1001,Productos!BO$2:BO1001,"")*$G647,"")</f>
        <v/>
      </c>
      <c r="BW647" s="179" t="str">
        <f t="array" ref="BW647">IF($F647&lt;&gt;"",XLOOKUP($F647,Productos!$A:$A,Productos!BP:BP,"Revisar"),"")</f>
        <v/>
      </c>
      <c r="BX647" s="179" t="str">
        <f t="array" ref="BX647">IF($F647&lt;&gt;"", XLOOKUP($F647,Productos!$A$2:$A1001,Productos!BQ$2:BQ1001,"")*$G647,"")</f>
        <v/>
      </c>
      <c r="BY647" s="179" t="str">
        <f t="array" ref="BY647">IF($F647&lt;&gt;"",XLOOKUP($F647,Productos!$A:$A,Productos!BR:BR,"Revisar"),"")</f>
        <v/>
      </c>
      <c r="BZ647" s="179" t="str">
        <f t="array" ref="BZ647">IF($F647&lt;&gt;"", XLOOKUP($F647,Productos!$A$2:$A1001,Productos!BS$2:BS1001,"")*$G647,"")</f>
        <v/>
      </c>
    </row>
    <row r="648">
      <c r="A648" s="188"/>
      <c r="B648" s="189"/>
      <c r="C648" s="190"/>
      <c r="D648" s="190"/>
      <c r="E648" s="191"/>
      <c r="F648" s="186"/>
      <c r="G648" s="192"/>
      <c r="H648" s="9"/>
      <c r="I648" s="179" t="str">
        <f t="array" ref="I648">IF($F648&lt;&gt;"",XLOOKUP($F648,Productos!$A:$A,Productos!B:B,"Revisar"),"")</f>
        <v/>
      </c>
      <c r="J648" s="179" t="str">
        <f t="array" ref="J648">IF($F648&lt;&gt;"", XLOOKUP($F648,Productos!$A$2:$A1001,Productos!C$2:C1001,"")*$G648,"")</f>
        <v/>
      </c>
      <c r="K648" s="179" t="str">
        <f t="array" ref="K648">IF($F648&lt;&gt;"",XLOOKUP($F648,Productos!$A:$A,Productos!D:D,"Revisar"),"")</f>
        <v/>
      </c>
      <c r="L648" s="179" t="str">
        <f t="array" ref="L648">IF($F648&lt;&gt;"", XLOOKUP($F648,Productos!$A$2:$A1001,Productos!E$2:E1001,"")*$G648,"")</f>
        <v/>
      </c>
      <c r="M648" s="179" t="str">
        <f t="array" ref="M648">IF($F648&lt;&gt;"",XLOOKUP($F648,Productos!$A:$A,Productos!F:F,"Revisar"),"")</f>
        <v/>
      </c>
      <c r="N648" s="179" t="str">
        <f t="array" ref="N648">IF($F648&lt;&gt;"", XLOOKUP($F648,Productos!$A$2:$A1001,Productos!G$2:G1001,"")*$G648,"")</f>
        <v/>
      </c>
      <c r="O648" s="179" t="str">
        <f t="array" ref="O648">IF($F648&lt;&gt;"",XLOOKUP($F648,Productos!$A:$A,Productos!H:H,"Revisar"),"")</f>
        <v/>
      </c>
      <c r="P648" s="179" t="str">
        <f t="array" ref="P648">IF($F648&lt;&gt;"", XLOOKUP($F648,Productos!$A$2:$A1001,Productos!I$2:I1001,"")*$G648,"")</f>
        <v/>
      </c>
      <c r="Q648" s="179" t="str">
        <f t="array" ref="Q648">IF($F648&lt;&gt;"",XLOOKUP($F648,Productos!$A:$A,Productos!J:J,"Revisar"),"")</f>
        <v/>
      </c>
      <c r="R648" s="179" t="str">
        <f t="array" ref="R648">IF($F648&lt;&gt;"", XLOOKUP($F648,Productos!$A$2:$A1001,Productos!K$2:K1001,"")*$G648,"")</f>
        <v/>
      </c>
      <c r="S648" s="179" t="str">
        <f t="array" ref="S648">IF($F648&lt;&gt;"",XLOOKUP($F648,Productos!$A:$A,Productos!L:L,"Revisar"),"")</f>
        <v/>
      </c>
      <c r="T648" s="179" t="str">
        <f t="array" ref="T648">IF($F648&lt;&gt;"", XLOOKUP($F648,Productos!$A$2:$A1001,Productos!M$2:M1001,"")*$G648,"")</f>
        <v/>
      </c>
      <c r="U648" s="179" t="str">
        <f t="array" ref="U648">IF($F648&lt;&gt;"",XLOOKUP($F648,Productos!$A:$A,Productos!N:N,"Revisar"),"")</f>
        <v/>
      </c>
      <c r="V648" s="179" t="str">
        <f t="array" ref="V648">IF($F648&lt;&gt;"", XLOOKUP($F648,Productos!$A$2:$A1001,Productos!O$2:O1001,"")*$G648,"")</f>
        <v/>
      </c>
      <c r="W648" s="179" t="str">
        <f t="array" ref="W648">IF($F648&lt;&gt;"",XLOOKUP($F648,Productos!$A:$A,Productos!P:P,"Revisar"),"")</f>
        <v/>
      </c>
      <c r="X648" s="179" t="str">
        <f t="array" ref="X648">IF($F648&lt;&gt;"", XLOOKUP($F648,Productos!$A$2:$A1001,Productos!Q$2:Q1001,"")*$G648,"")</f>
        <v/>
      </c>
      <c r="Y648" s="179" t="str">
        <f t="array" ref="Y648">IF($F648&lt;&gt;"",XLOOKUP($F648,Productos!$A:$A,Productos!R:R,"Revisar"),"")</f>
        <v/>
      </c>
      <c r="Z648" s="179" t="str">
        <f t="array" ref="Z648">IF($F648&lt;&gt;"", XLOOKUP($F648,Productos!$A$2:$A1001,Productos!S$2:S1001,"")*$G648,"")</f>
        <v/>
      </c>
      <c r="AA648" s="179" t="str">
        <f t="array" ref="AA648">IF($F648&lt;&gt;"",XLOOKUP($F648,Productos!$A:$A,Productos!T:T,"Revisar"),"")</f>
        <v/>
      </c>
      <c r="AB648" s="179" t="str">
        <f t="array" ref="AB648">IF($F648&lt;&gt;"", XLOOKUP($F648,Productos!$A$2:$A1001,Productos!U$2:U1001,"")*$G648,"")</f>
        <v/>
      </c>
      <c r="AC648" s="179" t="str">
        <f t="array" ref="AC648">IF($F648&lt;&gt;"",XLOOKUP($F648,Productos!$A:$A,Productos!V:V,"Revisar"),"")</f>
        <v/>
      </c>
      <c r="AD648" s="179" t="str">
        <f t="array" ref="AD648">IF($F648&lt;&gt;"", XLOOKUP($F648,Productos!$A$2:$A1001,Productos!W$2:W1001,"")*$G648,"")</f>
        <v/>
      </c>
      <c r="AE648" s="179" t="str">
        <f t="array" ref="AE648">IF($F648&lt;&gt;"",XLOOKUP($F648,Productos!$A:$A,Productos!X:X,"Revisar"),"")</f>
        <v/>
      </c>
      <c r="AF648" s="179" t="str">
        <f t="array" ref="AF648">IF($F648&lt;&gt;"", XLOOKUP($F648,Productos!$A$2:$A1001,Productos!Y$2:Y1001,"")*$G648,"")</f>
        <v/>
      </c>
      <c r="AG648" s="179" t="str">
        <f t="array" ref="AG648">IF($F648&lt;&gt;"",XLOOKUP($F648,Productos!$A:$A,Productos!Z:Z,"Revisar"),"")</f>
        <v/>
      </c>
      <c r="AH648" s="179" t="str">
        <f t="array" ref="AH648">IF($F648&lt;&gt;"", XLOOKUP($F648,Productos!$A$2:$A1001,Productos!AA$2:AA1001,"")*$G648,"")</f>
        <v/>
      </c>
      <c r="AI648" s="179" t="str">
        <f t="array" ref="AI648">IF($F648&lt;&gt;"",XLOOKUP($F648,Productos!$A:$A,Productos!AB:AB,"Revisar"),"")</f>
        <v/>
      </c>
      <c r="AJ648" s="179" t="str">
        <f t="array" ref="AJ648">IF($F648&lt;&gt;"", XLOOKUP($F648,Productos!$A$2:$A1001,Productos!AC$2:AC1001,"")*$G648,"")</f>
        <v/>
      </c>
      <c r="AK648" s="179" t="str">
        <f t="array" ref="AK648">IF($F648&lt;&gt;"",XLOOKUP($F648,Productos!$A:$A,Productos!AD:AD,"Revisar"),"")</f>
        <v/>
      </c>
      <c r="AL648" s="179" t="str">
        <f t="array" ref="AL648">IF($F648&lt;&gt;"", XLOOKUP($F648,Productos!$A$2:$A1001,Productos!AE$2:AE1001,"")*$G648,"")</f>
        <v/>
      </c>
      <c r="AM648" s="179" t="str">
        <f t="array" ref="AM648">IF($F648&lt;&gt;"",XLOOKUP($F648,Productos!$A:$A,Productos!AF:AF,"Revisar"),"")</f>
        <v/>
      </c>
      <c r="AN648" s="179" t="str">
        <f t="array" ref="AN648">IF($F648&lt;&gt;"", XLOOKUP($F648,Productos!$A$2:$A1001,Productos!AG$2:AG1001,"")*$G648,"")</f>
        <v/>
      </c>
      <c r="AO648" s="179" t="str">
        <f t="array" ref="AO648">IF($F648&lt;&gt;"",XLOOKUP($F648,Productos!$A:$A,Productos!AH:AH,"Revisar"),"")</f>
        <v/>
      </c>
      <c r="AP648" s="179" t="str">
        <f t="array" ref="AP648">IF($F648&lt;&gt;"", XLOOKUP($F648,Productos!$A$2:$A1001,Productos!AI$2:AI1001,"")*$G648,"")</f>
        <v/>
      </c>
      <c r="AQ648" s="179" t="str">
        <f t="array" ref="AQ648">IF($F648&lt;&gt;"",XLOOKUP($F648,Productos!$A:$A,Productos!AJ:AJ,"Revisar"),"")</f>
        <v/>
      </c>
      <c r="AR648" s="179" t="str">
        <f t="array" ref="AR648">IF($F648&lt;&gt;"", XLOOKUP($F648,Productos!$A$2:$A1001,Productos!AK$2:AK1001,"")*$G648,"")</f>
        <v/>
      </c>
      <c r="AS648" s="179" t="str">
        <f t="array" ref="AS648">IF($F648&lt;&gt;"",XLOOKUP($F648,Productos!$A:$A,Productos!AL:AL,"Revisar"),"")</f>
        <v/>
      </c>
      <c r="AT648" s="179" t="str">
        <f t="array" ref="AT648">IF($F648&lt;&gt;"", XLOOKUP($F648,Productos!$A$2:$A1001,Productos!AM$2:AM1001,"")*$G648,"")</f>
        <v/>
      </c>
      <c r="AU648" s="179" t="str">
        <f t="array" ref="AU648">IF($F648&lt;&gt;"",XLOOKUP($F648,Productos!$A:$A,Productos!AN:AN,"Revisar"),"")</f>
        <v/>
      </c>
      <c r="AV648" s="179" t="str">
        <f t="array" ref="AV648">IF($F648&lt;&gt;"", XLOOKUP($F648,Productos!$A$2:$A1001,Productos!AO$2:AO1001,"")*$G648,"")</f>
        <v/>
      </c>
      <c r="AW648" s="179" t="str">
        <f t="array" ref="AW648">IF($F648&lt;&gt;"",XLOOKUP($F648,Productos!$A:$A,Productos!AP:AP,"Revisar"),"")</f>
        <v/>
      </c>
      <c r="AX648" s="179" t="str">
        <f t="array" ref="AX648">IF($F648&lt;&gt;"", XLOOKUP($F648,Productos!$A$2:$A1001,Productos!AQ$2:AQ1001,"")*$G648,"")</f>
        <v/>
      </c>
      <c r="AY648" s="179" t="str">
        <f t="array" ref="AY648">IF($F648&lt;&gt;"",XLOOKUP($F648,Productos!$A:$A,Productos!AR:AR,"Revisar"),"")</f>
        <v/>
      </c>
      <c r="AZ648" s="179" t="str">
        <f t="array" ref="AZ648">IF($F648&lt;&gt;"", XLOOKUP($F648,Productos!$A$2:$A1001,Productos!AS$2:AS1001,"")*$G648,"")</f>
        <v/>
      </c>
      <c r="BA648" s="179" t="str">
        <f t="array" ref="BA648">IF($F648&lt;&gt;"",XLOOKUP($F648,Productos!$A:$A,Productos!AT:AT,"Revisar"),"")</f>
        <v/>
      </c>
      <c r="BB648" s="179" t="str">
        <f t="array" ref="BB648">IF($F648&lt;&gt;"", XLOOKUP($F648,Productos!$A$2:$A1001,Productos!AU$2:AU1001,"")*$G648,"")</f>
        <v/>
      </c>
      <c r="BC648" s="179" t="str">
        <f t="array" ref="BC648">IF($F648&lt;&gt;"",XLOOKUP($F648,Productos!$A:$A,Productos!AV:AV,"Revisar"),"")</f>
        <v/>
      </c>
      <c r="BD648" s="179" t="str">
        <f t="array" ref="BD648">IF($F648&lt;&gt;"", XLOOKUP($F648,Productos!$A$2:$A1001,Productos!AW$2:AW1001,"")*$G648,"")</f>
        <v/>
      </c>
      <c r="BE648" s="179" t="str">
        <f t="array" ref="BE648">IF($F648&lt;&gt;"",XLOOKUP($F648,Productos!$A:$A,Productos!AX:AX,"Revisar"),"")</f>
        <v/>
      </c>
      <c r="BF648" s="179" t="str">
        <f t="array" ref="BF648">IF($F648&lt;&gt;"", XLOOKUP($F648,Productos!$A$2:$A1001,Productos!AY$2:AY1001,"")*$G648,"")</f>
        <v/>
      </c>
      <c r="BG648" s="179" t="str">
        <f t="array" ref="BG648">IF($F648&lt;&gt;"",XLOOKUP($F648,Productos!$A:$A,Productos!AZ:AZ,"Revisar"),"")</f>
        <v/>
      </c>
      <c r="BH648" s="179" t="str">
        <f t="array" ref="BH648">IF($F648&lt;&gt;"", XLOOKUP($F648,Productos!$A$2:$A1001,Productos!BA$2:BA1001,"")*$G648,"")</f>
        <v/>
      </c>
      <c r="BI648" s="179" t="str">
        <f t="array" ref="BI648">IF($F648&lt;&gt;"",XLOOKUP($F648,Productos!$A:$A,Productos!BB:BB,"Revisar"),"")</f>
        <v/>
      </c>
      <c r="BJ648" s="179" t="str">
        <f t="array" ref="BJ648">IF($F648&lt;&gt;"", XLOOKUP($F648,Productos!$A$2:$A1001,Productos!BC$2:BC1001,"")*$G648,"")</f>
        <v/>
      </c>
      <c r="BK648" s="179" t="str">
        <f t="array" ref="BK648">IF($F648&lt;&gt;"",XLOOKUP($F648,Productos!$A:$A,Productos!BD:BD,"Revisar"),"")</f>
        <v/>
      </c>
      <c r="BL648" s="179" t="str">
        <f t="array" ref="BL648">IF($F648&lt;&gt;"", XLOOKUP($F648,Productos!$A$2:$A1001,Productos!BE$2:BE1001,"")*$G648,"")</f>
        <v/>
      </c>
      <c r="BM648" s="179" t="str">
        <f t="array" ref="BM648">IF($F648&lt;&gt;"",XLOOKUP($F648,Productos!$A:$A,Productos!BF:BF,"Revisar"),"")</f>
        <v/>
      </c>
      <c r="BN648" s="179" t="str">
        <f t="array" ref="BN648">IF($F648&lt;&gt;"", XLOOKUP($F648,Productos!$A$2:$A1001,Productos!BG$2:BG1001,"")*$G648,"")</f>
        <v/>
      </c>
      <c r="BO648" s="179" t="str">
        <f t="array" ref="BO648">IF($F648&lt;&gt;"",XLOOKUP($F648,Productos!$A:$A,Productos!BH:BH,"Revisar"),"")</f>
        <v/>
      </c>
      <c r="BP648" s="179" t="str">
        <f t="array" ref="BP648">IF($F648&lt;&gt;"", XLOOKUP($F648,Productos!$A$2:$A1001,Productos!BI$2:BI1001,"")*$G648,"")</f>
        <v/>
      </c>
      <c r="BQ648" s="179" t="str">
        <f t="array" ref="BQ648">IF($F648&lt;&gt;"",XLOOKUP($F648,Productos!$A:$A,Productos!BJ:BJ,"Revisar"),"")</f>
        <v/>
      </c>
      <c r="BR648" s="179" t="str">
        <f t="array" ref="BR648">IF($F648&lt;&gt;"", XLOOKUP($F648,Productos!$A$2:$A1001,Productos!BK$2:BK1001,"")*$G648,"")</f>
        <v/>
      </c>
      <c r="BS648" s="179" t="str">
        <f t="array" ref="BS648">IF($F648&lt;&gt;"",XLOOKUP($F648,Productos!$A:$A,Productos!BL:BL,"Revisar"),"")</f>
        <v/>
      </c>
      <c r="BT648" s="179" t="str">
        <f t="array" ref="BT648">IF($F648&lt;&gt;"", XLOOKUP($F648,Productos!$A$2:$A1001,Productos!BM$2:BM1001,"")*$G648,"")</f>
        <v/>
      </c>
      <c r="BU648" s="179" t="str">
        <f t="array" ref="BU648">IF($F648&lt;&gt;"",XLOOKUP($F648,Productos!$A:$A,Productos!BN:BN,"Revisar"),"")</f>
        <v/>
      </c>
      <c r="BV648" s="179" t="str">
        <f t="array" ref="BV648">IF($F648&lt;&gt;"", XLOOKUP($F648,Productos!$A$2:$A1001,Productos!BO$2:BO1001,"")*$G648,"")</f>
        <v/>
      </c>
      <c r="BW648" s="179" t="str">
        <f t="array" ref="BW648">IF($F648&lt;&gt;"",XLOOKUP($F648,Productos!$A:$A,Productos!BP:BP,"Revisar"),"")</f>
        <v/>
      </c>
      <c r="BX648" s="179" t="str">
        <f t="array" ref="BX648">IF($F648&lt;&gt;"", XLOOKUP($F648,Productos!$A$2:$A1001,Productos!BQ$2:BQ1001,"")*$G648,"")</f>
        <v/>
      </c>
      <c r="BY648" s="179" t="str">
        <f t="array" ref="BY648">IF($F648&lt;&gt;"",XLOOKUP($F648,Productos!$A:$A,Productos!BR:BR,"Revisar"),"")</f>
        <v/>
      </c>
      <c r="BZ648" s="179" t="str">
        <f t="array" ref="BZ648">IF($F648&lt;&gt;"", XLOOKUP($F648,Productos!$A$2:$A1001,Productos!BS$2:BS1001,"")*$G648,"")</f>
        <v/>
      </c>
    </row>
    <row r="649">
      <c r="A649" s="188"/>
      <c r="B649" s="189"/>
      <c r="C649" s="190"/>
      <c r="D649" s="190"/>
      <c r="E649" s="191"/>
      <c r="F649" s="186"/>
      <c r="G649" s="192"/>
      <c r="H649" s="9"/>
      <c r="I649" s="179" t="str">
        <f t="array" ref="I649">IF($F649&lt;&gt;"",XLOOKUP($F649,Productos!$A:$A,Productos!B:B,"Revisar"),"")</f>
        <v/>
      </c>
      <c r="J649" s="179" t="str">
        <f t="array" ref="J649">IF($F649&lt;&gt;"", XLOOKUP($F649,Productos!$A$2:$A1001,Productos!C$2:C1001,"")*$G649,"")</f>
        <v/>
      </c>
      <c r="K649" s="179" t="str">
        <f t="array" ref="K649">IF($F649&lt;&gt;"",XLOOKUP($F649,Productos!$A:$A,Productos!D:D,"Revisar"),"")</f>
        <v/>
      </c>
      <c r="L649" s="179" t="str">
        <f t="array" ref="L649">IF($F649&lt;&gt;"", XLOOKUP($F649,Productos!$A$2:$A1001,Productos!E$2:E1001,"")*$G649,"")</f>
        <v/>
      </c>
      <c r="M649" s="179" t="str">
        <f t="array" ref="M649">IF($F649&lt;&gt;"",XLOOKUP($F649,Productos!$A:$A,Productos!F:F,"Revisar"),"")</f>
        <v/>
      </c>
      <c r="N649" s="179" t="str">
        <f t="array" ref="N649">IF($F649&lt;&gt;"", XLOOKUP($F649,Productos!$A$2:$A1001,Productos!G$2:G1001,"")*$G649,"")</f>
        <v/>
      </c>
      <c r="O649" s="179" t="str">
        <f t="array" ref="O649">IF($F649&lt;&gt;"",XLOOKUP($F649,Productos!$A:$A,Productos!H:H,"Revisar"),"")</f>
        <v/>
      </c>
      <c r="P649" s="179" t="str">
        <f t="array" ref="P649">IF($F649&lt;&gt;"", XLOOKUP($F649,Productos!$A$2:$A1001,Productos!I$2:I1001,"")*$G649,"")</f>
        <v/>
      </c>
      <c r="Q649" s="179" t="str">
        <f t="array" ref="Q649">IF($F649&lt;&gt;"",XLOOKUP($F649,Productos!$A:$A,Productos!J:J,"Revisar"),"")</f>
        <v/>
      </c>
      <c r="R649" s="179" t="str">
        <f t="array" ref="R649">IF($F649&lt;&gt;"", XLOOKUP($F649,Productos!$A$2:$A1001,Productos!K$2:K1001,"")*$G649,"")</f>
        <v/>
      </c>
      <c r="S649" s="179" t="str">
        <f t="array" ref="S649">IF($F649&lt;&gt;"",XLOOKUP($F649,Productos!$A:$A,Productos!L:L,"Revisar"),"")</f>
        <v/>
      </c>
      <c r="T649" s="179" t="str">
        <f t="array" ref="T649">IF($F649&lt;&gt;"", XLOOKUP($F649,Productos!$A$2:$A1001,Productos!M$2:M1001,"")*$G649,"")</f>
        <v/>
      </c>
      <c r="U649" s="179" t="str">
        <f t="array" ref="U649">IF($F649&lt;&gt;"",XLOOKUP($F649,Productos!$A:$A,Productos!N:N,"Revisar"),"")</f>
        <v/>
      </c>
      <c r="V649" s="179" t="str">
        <f t="array" ref="V649">IF($F649&lt;&gt;"", XLOOKUP($F649,Productos!$A$2:$A1001,Productos!O$2:O1001,"")*$G649,"")</f>
        <v/>
      </c>
      <c r="W649" s="179" t="str">
        <f t="array" ref="W649">IF($F649&lt;&gt;"",XLOOKUP($F649,Productos!$A:$A,Productos!P:P,"Revisar"),"")</f>
        <v/>
      </c>
      <c r="X649" s="179" t="str">
        <f t="array" ref="X649">IF($F649&lt;&gt;"", XLOOKUP($F649,Productos!$A$2:$A1001,Productos!Q$2:Q1001,"")*$G649,"")</f>
        <v/>
      </c>
      <c r="Y649" s="179" t="str">
        <f t="array" ref="Y649">IF($F649&lt;&gt;"",XLOOKUP($F649,Productos!$A:$A,Productos!R:R,"Revisar"),"")</f>
        <v/>
      </c>
      <c r="Z649" s="179" t="str">
        <f t="array" ref="Z649">IF($F649&lt;&gt;"", XLOOKUP($F649,Productos!$A$2:$A1001,Productos!S$2:S1001,"")*$G649,"")</f>
        <v/>
      </c>
      <c r="AA649" s="179" t="str">
        <f t="array" ref="AA649">IF($F649&lt;&gt;"",XLOOKUP($F649,Productos!$A:$A,Productos!T:T,"Revisar"),"")</f>
        <v/>
      </c>
      <c r="AB649" s="179" t="str">
        <f t="array" ref="AB649">IF($F649&lt;&gt;"", XLOOKUP($F649,Productos!$A$2:$A1001,Productos!U$2:U1001,"")*$G649,"")</f>
        <v/>
      </c>
      <c r="AC649" s="179" t="str">
        <f t="array" ref="AC649">IF($F649&lt;&gt;"",XLOOKUP($F649,Productos!$A:$A,Productos!V:V,"Revisar"),"")</f>
        <v/>
      </c>
      <c r="AD649" s="179" t="str">
        <f t="array" ref="AD649">IF($F649&lt;&gt;"", XLOOKUP($F649,Productos!$A$2:$A1001,Productos!W$2:W1001,"")*$G649,"")</f>
        <v/>
      </c>
      <c r="AE649" s="179" t="str">
        <f t="array" ref="AE649">IF($F649&lt;&gt;"",XLOOKUP($F649,Productos!$A:$A,Productos!X:X,"Revisar"),"")</f>
        <v/>
      </c>
      <c r="AF649" s="179" t="str">
        <f t="array" ref="AF649">IF($F649&lt;&gt;"", XLOOKUP($F649,Productos!$A$2:$A1001,Productos!Y$2:Y1001,"")*$G649,"")</f>
        <v/>
      </c>
      <c r="AG649" s="179" t="str">
        <f t="array" ref="AG649">IF($F649&lt;&gt;"",XLOOKUP($F649,Productos!$A:$A,Productos!Z:Z,"Revisar"),"")</f>
        <v/>
      </c>
      <c r="AH649" s="179" t="str">
        <f t="array" ref="AH649">IF($F649&lt;&gt;"", XLOOKUP($F649,Productos!$A$2:$A1001,Productos!AA$2:AA1001,"")*$G649,"")</f>
        <v/>
      </c>
      <c r="AI649" s="179" t="str">
        <f t="array" ref="AI649">IF($F649&lt;&gt;"",XLOOKUP($F649,Productos!$A:$A,Productos!AB:AB,"Revisar"),"")</f>
        <v/>
      </c>
      <c r="AJ649" s="179" t="str">
        <f t="array" ref="AJ649">IF($F649&lt;&gt;"", XLOOKUP($F649,Productos!$A$2:$A1001,Productos!AC$2:AC1001,"")*$G649,"")</f>
        <v/>
      </c>
      <c r="AK649" s="179" t="str">
        <f t="array" ref="AK649">IF($F649&lt;&gt;"",XLOOKUP($F649,Productos!$A:$A,Productos!AD:AD,"Revisar"),"")</f>
        <v/>
      </c>
      <c r="AL649" s="179" t="str">
        <f t="array" ref="AL649">IF($F649&lt;&gt;"", XLOOKUP($F649,Productos!$A$2:$A1001,Productos!AE$2:AE1001,"")*$G649,"")</f>
        <v/>
      </c>
      <c r="AM649" s="179" t="str">
        <f t="array" ref="AM649">IF($F649&lt;&gt;"",XLOOKUP($F649,Productos!$A:$A,Productos!AF:AF,"Revisar"),"")</f>
        <v/>
      </c>
      <c r="AN649" s="179" t="str">
        <f t="array" ref="AN649">IF($F649&lt;&gt;"", XLOOKUP($F649,Productos!$A$2:$A1001,Productos!AG$2:AG1001,"")*$G649,"")</f>
        <v/>
      </c>
      <c r="AO649" s="179" t="str">
        <f t="array" ref="AO649">IF($F649&lt;&gt;"",XLOOKUP($F649,Productos!$A:$A,Productos!AH:AH,"Revisar"),"")</f>
        <v/>
      </c>
      <c r="AP649" s="179" t="str">
        <f t="array" ref="AP649">IF($F649&lt;&gt;"", XLOOKUP($F649,Productos!$A$2:$A1001,Productos!AI$2:AI1001,"")*$G649,"")</f>
        <v/>
      </c>
      <c r="AQ649" s="179" t="str">
        <f t="array" ref="AQ649">IF($F649&lt;&gt;"",XLOOKUP($F649,Productos!$A:$A,Productos!AJ:AJ,"Revisar"),"")</f>
        <v/>
      </c>
      <c r="AR649" s="179" t="str">
        <f t="array" ref="AR649">IF($F649&lt;&gt;"", XLOOKUP($F649,Productos!$A$2:$A1001,Productos!AK$2:AK1001,"")*$G649,"")</f>
        <v/>
      </c>
      <c r="AS649" s="179" t="str">
        <f t="array" ref="AS649">IF($F649&lt;&gt;"",XLOOKUP($F649,Productos!$A:$A,Productos!AL:AL,"Revisar"),"")</f>
        <v/>
      </c>
      <c r="AT649" s="179" t="str">
        <f t="array" ref="AT649">IF($F649&lt;&gt;"", XLOOKUP($F649,Productos!$A$2:$A1001,Productos!AM$2:AM1001,"")*$G649,"")</f>
        <v/>
      </c>
      <c r="AU649" s="179" t="str">
        <f t="array" ref="AU649">IF($F649&lt;&gt;"",XLOOKUP($F649,Productos!$A:$A,Productos!AN:AN,"Revisar"),"")</f>
        <v/>
      </c>
      <c r="AV649" s="179" t="str">
        <f t="array" ref="AV649">IF($F649&lt;&gt;"", XLOOKUP($F649,Productos!$A$2:$A1001,Productos!AO$2:AO1001,"")*$G649,"")</f>
        <v/>
      </c>
      <c r="AW649" s="179" t="str">
        <f t="array" ref="AW649">IF($F649&lt;&gt;"",XLOOKUP($F649,Productos!$A:$A,Productos!AP:AP,"Revisar"),"")</f>
        <v/>
      </c>
      <c r="AX649" s="179" t="str">
        <f t="array" ref="AX649">IF($F649&lt;&gt;"", XLOOKUP($F649,Productos!$A$2:$A1001,Productos!AQ$2:AQ1001,"")*$G649,"")</f>
        <v/>
      </c>
      <c r="AY649" s="179" t="str">
        <f t="array" ref="AY649">IF($F649&lt;&gt;"",XLOOKUP($F649,Productos!$A:$A,Productos!AR:AR,"Revisar"),"")</f>
        <v/>
      </c>
      <c r="AZ649" s="179" t="str">
        <f t="array" ref="AZ649">IF($F649&lt;&gt;"", XLOOKUP($F649,Productos!$A$2:$A1001,Productos!AS$2:AS1001,"")*$G649,"")</f>
        <v/>
      </c>
      <c r="BA649" s="179" t="str">
        <f t="array" ref="BA649">IF($F649&lt;&gt;"",XLOOKUP($F649,Productos!$A:$A,Productos!AT:AT,"Revisar"),"")</f>
        <v/>
      </c>
      <c r="BB649" s="179" t="str">
        <f t="array" ref="BB649">IF($F649&lt;&gt;"", XLOOKUP($F649,Productos!$A$2:$A1001,Productos!AU$2:AU1001,"")*$G649,"")</f>
        <v/>
      </c>
      <c r="BC649" s="179" t="str">
        <f t="array" ref="BC649">IF($F649&lt;&gt;"",XLOOKUP($F649,Productos!$A:$A,Productos!AV:AV,"Revisar"),"")</f>
        <v/>
      </c>
      <c r="BD649" s="179" t="str">
        <f t="array" ref="BD649">IF($F649&lt;&gt;"", XLOOKUP($F649,Productos!$A$2:$A1001,Productos!AW$2:AW1001,"")*$G649,"")</f>
        <v/>
      </c>
      <c r="BE649" s="179" t="str">
        <f t="array" ref="BE649">IF($F649&lt;&gt;"",XLOOKUP($F649,Productos!$A:$A,Productos!AX:AX,"Revisar"),"")</f>
        <v/>
      </c>
      <c r="BF649" s="179" t="str">
        <f t="array" ref="BF649">IF($F649&lt;&gt;"", XLOOKUP($F649,Productos!$A$2:$A1001,Productos!AY$2:AY1001,"")*$G649,"")</f>
        <v/>
      </c>
      <c r="BG649" s="179" t="str">
        <f t="array" ref="BG649">IF($F649&lt;&gt;"",XLOOKUP($F649,Productos!$A:$A,Productos!AZ:AZ,"Revisar"),"")</f>
        <v/>
      </c>
      <c r="BH649" s="179" t="str">
        <f t="array" ref="BH649">IF($F649&lt;&gt;"", XLOOKUP($F649,Productos!$A$2:$A1001,Productos!BA$2:BA1001,"")*$G649,"")</f>
        <v/>
      </c>
      <c r="BI649" s="179" t="str">
        <f t="array" ref="BI649">IF($F649&lt;&gt;"",XLOOKUP($F649,Productos!$A:$A,Productos!BB:BB,"Revisar"),"")</f>
        <v/>
      </c>
      <c r="BJ649" s="179" t="str">
        <f t="array" ref="BJ649">IF($F649&lt;&gt;"", XLOOKUP($F649,Productos!$A$2:$A1001,Productos!BC$2:BC1001,"")*$G649,"")</f>
        <v/>
      </c>
      <c r="BK649" s="179" t="str">
        <f t="array" ref="BK649">IF($F649&lt;&gt;"",XLOOKUP($F649,Productos!$A:$A,Productos!BD:BD,"Revisar"),"")</f>
        <v/>
      </c>
      <c r="BL649" s="179" t="str">
        <f t="array" ref="BL649">IF($F649&lt;&gt;"", XLOOKUP($F649,Productos!$A$2:$A1001,Productos!BE$2:BE1001,"")*$G649,"")</f>
        <v/>
      </c>
      <c r="BM649" s="179" t="str">
        <f t="array" ref="BM649">IF($F649&lt;&gt;"",XLOOKUP($F649,Productos!$A:$A,Productos!BF:BF,"Revisar"),"")</f>
        <v/>
      </c>
      <c r="BN649" s="179" t="str">
        <f t="array" ref="BN649">IF($F649&lt;&gt;"", XLOOKUP($F649,Productos!$A$2:$A1001,Productos!BG$2:BG1001,"")*$G649,"")</f>
        <v/>
      </c>
      <c r="BO649" s="179" t="str">
        <f t="array" ref="BO649">IF($F649&lt;&gt;"",XLOOKUP($F649,Productos!$A:$A,Productos!BH:BH,"Revisar"),"")</f>
        <v/>
      </c>
      <c r="BP649" s="179" t="str">
        <f t="array" ref="BP649">IF($F649&lt;&gt;"", XLOOKUP($F649,Productos!$A$2:$A1001,Productos!BI$2:BI1001,"")*$G649,"")</f>
        <v/>
      </c>
      <c r="BQ649" s="179" t="str">
        <f t="array" ref="BQ649">IF($F649&lt;&gt;"",XLOOKUP($F649,Productos!$A:$A,Productos!BJ:BJ,"Revisar"),"")</f>
        <v/>
      </c>
      <c r="BR649" s="179" t="str">
        <f t="array" ref="BR649">IF($F649&lt;&gt;"", XLOOKUP($F649,Productos!$A$2:$A1001,Productos!BK$2:BK1001,"")*$G649,"")</f>
        <v/>
      </c>
      <c r="BS649" s="179" t="str">
        <f t="array" ref="BS649">IF($F649&lt;&gt;"",XLOOKUP($F649,Productos!$A:$A,Productos!BL:BL,"Revisar"),"")</f>
        <v/>
      </c>
      <c r="BT649" s="179" t="str">
        <f t="array" ref="BT649">IF($F649&lt;&gt;"", XLOOKUP($F649,Productos!$A$2:$A1001,Productos!BM$2:BM1001,"")*$G649,"")</f>
        <v/>
      </c>
      <c r="BU649" s="179" t="str">
        <f t="array" ref="BU649">IF($F649&lt;&gt;"",XLOOKUP($F649,Productos!$A:$A,Productos!BN:BN,"Revisar"),"")</f>
        <v/>
      </c>
      <c r="BV649" s="179" t="str">
        <f t="array" ref="BV649">IF($F649&lt;&gt;"", XLOOKUP($F649,Productos!$A$2:$A1001,Productos!BO$2:BO1001,"")*$G649,"")</f>
        <v/>
      </c>
      <c r="BW649" s="179" t="str">
        <f t="array" ref="BW649">IF($F649&lt;&gt;"",XLOOKUP($F649,Productos!$A:$A,Productos!BP:BP,"Revisar"),"")</f>
        <v/>
      </c>
      <c r="BX649" s="179" t="str">
        <f t="array" ref="BX649">IF($F649&lt;&gt;"", XLOOKUP($F649,Productos!$A$2:$A1001,Productos!BQ$2:BQ1001,"")*$G649,"")</f>
        <v/>
      </c>
      <c r="BY649" s="179" t="str">
        <f t="array" ref="BY649">IF($F649&lt;&gt;"",XLOOKUP($F649,Productos!$A:$A,Productos!BR:BR,"Revisar"),"")</f>
        <v/>
      </c>
      <c r="BZ649" s="179" t="str">
        <f t="array" ref="BZ649">IF($F649&lt;&gt;"", XLOOKUP($F649,Productos!$A$2:$A1001,Productos!BS$2:BS1001,"")*$G649,"")</f>
        <v/>
      </c>
    </row>
    <row r="650">
      <c r="A650" s="188"/>
      <c r="B650" s="189"/>
      <c r="C650" s="190"/>
      <c r="D650" s="190"/>
      <c r="E650" s="191"/>
      <c r="F650" s="186"/>
      <c r="G650" s="192"/>
      <c r="H650" s="9"/>
      <c r="I650" s="179" t="str">
        <f t="array" ref="I650">IF($F650&lt;&gt;"",XLOOKUP($F650,Productos!$A:$A,Productos!B:B,"Revisar"),"")</f>
        <v/>
      </c>
      <c r="J650" s="179" t="str">
        <f t="array" ref="J650">IF($F650&lt;&gt;"", XLOOKUP($F650,Productos!$A$2:$A1001,Productos!C$2:C1001,"")*$G650,"")</f>
        <v/>
      </c>
      <c r="K650" s="179" t="str">
        <f t="array" ref="K650">IF($F650&lt;&gt;"",XLOOKUP($F650,Productos!$A:$A,Productos!D:D,"Revisar"),"")</f>
        <v/>
      </c>
      <c r="L650" s="179" t="str">
        <f t="array" ref="L650">IF($F650&lt;&gt;"", XLOOKUP($F650,Productos!$A$2:$A1001,Productos!E$2:E1001,"")*$G650,"")</f>
        <v/>
      </c>
      <c r="M650" s="179" t="str">
        <f t="array" ref="M650">IF($F650&lt;&gt;"",XLOOKUP($F650,Productos!$A:$A,Productos!F:F,"Revisar"),"")</f>
        <v/>
      </c>
      <c r="N650" s="179" t="str">
        <f t="array" ref="N650">IF($F650&lt;&gt;"", XLOOKUP($F650,Productos!$A$2:$A1001,Productos!G$2:G1001,"")*$G650,"")</f>
        <v/>
      </c>
      <c r="O650" s="179" t="str">
        <f t="array" ref="O650">IF($F650&lt;&gt;"",XLOOKUP($F650,Productos!$A:$A,Productos!H:H,"Revisar"),"")</f>
        <v/>
      </c>
      <c r="P650" s="179" t="str">
        <f t="array" ref="P650">IF($F650&lt;&gt;"", XLOOKUP($F650,Productos!$A$2:$A1001,Productos!I$2:I1001,"")*$G650,"")</f>
        <v/>
      </c>
      <c r="Q650" s="179" t="str">
        <f t="array" ref="Q650">IF($F650&lt;&gt;"",XLOOKUP($F650,Productos!$A:$A,Productos!J:J,"Revisar"),"")</f>
        <v/>
      </c>
      <c r="R650" s="179" t="str">
        <f t="array" ref="R650">IF($F650&lt;&gt;"", XLOOKUP($F650,Productos!$A$2:$A1001,Productos!K$2:K1001,"")*$G650,"")</f>
        <v/>
      </c>
      <c r="S650" s="179" t="str">
        <f t="array" ref="S650">IF($F650&lt;&gt;"",XLOOKUP($F650,Productos!$A:$A,Productos!L:L,"Revisar"),"")</f>
        <v/>
      </c>
      <c r="T650" s="179" t="str">
        <f t="array" ref="T650">IF($F650&lt;&gt;"", XLOOKUP($F650,Productos!$A$2:$A1001,Productos!M$2:M1001,"")*$G650,"")</f>
        <v/>
      </c>
      <c r="U650" s="179" t="str">
        <f t="array" ref="U650">IF($F650&lt;&gt;"",XLOOKUP($F650,Productos!$A:$A,Productos!N:N,"Revisar"),"")</f>
        <v/>
      </c>
      <c r="V650" s="179" t="str">
        <f t="array" ref="V650">IF($F650&lt;&gt;"", XLOOKUP($F650,Productos!$A$2:$A1001,Productos!O$2:O1001,"")*$G650,"")</f>
        <v/>
      </c>
      <c r="W650" s="179" t="str">
        <f t="array" ref="W650">IF($F650&lt;&gt;"",XLOOKUP($F650,Productos!$A:$A,Productos!P:P,"Revisar"),"")</f>
        <v/>
      </c>
      <c r="X650" s="179" t="str">
        <f t="array" ref="X650">IF($F650&lt;&gt;"", XLOOKUP($F650,Productos!$A$2:$A1001,Productos!Q$2:Q1001,"")*$G650,"")</f>
        <v/>
      </c>
      <c r="Y650" s="179" t="str">
        <f t="array" ref="Y650">IF($F650&lt;&gt;"",XLOOKUP($F650,Productos!$A:$A,Productos!R:R,"Revisar"),"")</f>
        <v/>
      </c>
      <c r="Z650" s="179" t="str">
        <f t="array" ref="Z650">IF($F650&lt;&gt;"", XLOOKUP($F650,Productos!$A$2:$A1001,Productos!S$2:S1001,"")*$G650,"")</f>
        <v/>
      </c>
      <c r="AA650" s="179" t="str">
        <f t="array" ref="AA650">IF($F650&lt;&gt;"",XLOOKUP($F650,Productos!$A:$A,Productos!T:T,"Revisar"),"")</f>
        <v/>
      </c>
      <c r="AB650" s="179" t="str">
        <f t="array" ref="AB650">IF($F650&lt;&gt;"", XLOOKUP($F650,Productos!$A$2:$A1001,Productos!U$2:U1001,"")*$G650,"")</f>
        <v/>
      </c>
      <c r="AC650" s="179" t="str">
        <f t="array" ref="AC650">IF($F650&lt;&gt;"",XLOOKUP($F650,Productos!$A:$A,Productos!V:V,"Revisar"),"")</f>
        <v/>
      </c>
      <c r="AD650" s="179" t="str">
        <f t="array" ref="AD650">IF($F650&lt;&gt;"", XLOOKUP($F650,Productos!$A$2:$A1001,Productos!W$2:W1001,"")*$G650,"")</f>
        <v/>
      </c>
      <c r="AE650" s="179" t="str">
        <f t="array" ref="AE650">IF($F650&lt;&gt;"",XLOOKUP($F650,Productos!$A:$A,Productos!X:X,"Revisar"),"")</f>
        <v/>
      </c>
      <c r="AF650" s="179" t="str">
        <f t="array" ref="AF650">IF($F650&lt;&gt;"", XLOOKUP($F650,Productos!$A$2:$A1001,Productos!Y$2:Y1001,"")*$G650,"")</f>
        <v/>
      </c>
      <c r="AG650" s="179" t="str">
        <f t="array" ref="AG650">IF($F650&lt;&gt;"",XLOOKUP($F650,Productos!$A:$A,Productos!Z:Z,"Revisar"),"")</f>
        <v/>
      </c>
      <c r="AH650" s="179" t="str">
        <f t="array" ref="AH650">IF($F650&lt;&gt;"", XLOOKUP($F650,Productos!$A$2:$A1001,Productos!AA$2:AA1001,"")*$G650,"")</f>
        <v/>
      </c>
      <c r="AI650" s="179" t="str">
        <f t="array" ref="AI650">IF($F650&lt;&gt;"",XLOOKUP($F650,Productos!$A:$A,Productos!AB:AB,"Revisar"),"")</f>
        <v/>
      </c>
      <c r="AJ650" s="179" t="str">
        <f t="array" ref="AJ650">IF($F650&lt;&gt;"", XLOOKUP($F650,Productos!$A$2:$A1001,Productos!AC$2:AC1001,"")*$G650,"")</f>
        <v/>
      </c>
      <c r="AK650" s="179" t="str">
        <f t="array" ref="AK650">IF($F650&lt;&gt;"",XLOOKUP($F650,Productos!$A:$A,Productos!AD:AD,"Revisar"),"")</f>
        <v/>
      </c>
      <c r="AL650" s="179" t="str">
        <f t="array" ref="AL650">IF($F650&lt;&gt;"", XLOOKUP($F650,Productos!$A$2:$A1001,Productos!AE$2:AE1001,"")*$G650,"")</f>
        <v/>
      </c>
      <c r="AM650" s="179" t="str">
        <f t="array" ref="AM650">IF($F650&lt;&gt;"",XLOOKUP($F650,Productos!$A:$A,Productos!AF:AF,"Revisar"),"")</f>
        <v/>
      </c>
      <c r="AN650" s="179" t="str">
        <f t="array" ref="AN650">IF($F650&lt;&gt;"", XLOOKUP($F650,Productos!$A$2:$A1001,Productos!AG$2:AG1001,"")*$G650,"")</f>
        <v/>
      </c>
      <c r="AO650" s="179" t="str">
        <f t="array" ref="AO650">IF($F650&lt;&gt;"",XLOOKUP($F650,Productos!$A:$A,Productos!AH:AH,"Revisar"),"")</f>
        <v/>
      </c>
      <c r="AP650" s="179" t="str">
        <f t="array" ref="AP650">IF($F650&lt;&gt;"", XLOOKUP($F650,Productos!$A$2:$A1001,Productos!AI$2:AI1001,"")*$G650,"")</f>
        <v/>
      </c>
      <c r="AQ650" s="179" t="str">
        <f t="array" ref="AQ650">IF($F650&lt;&gt;"",XLOOKUP($F650,Productos!$A:$A,Productos!AJ:AJ,"Revisar"),"")</f>
        <v/>
      </c>
      <c r="AR650" s="179" t="str">
        <f t="array" ref="AR650">IF($F650&lt;&gt;"", XLOOKUP($F650,Productos!$A$2:$A1001,Productos!AK$2:AK1001,"")*$G650,"")</f>
        <v/>
      </c>
      <c r="AS650" s="179" t="str">
        <f t="array" ref="AS650">IF($F650&lt;&gt;"",XLOOKUP($F650,Productos!$A:$A,Productos!AL:AL,"Revisar"),"")</f>
        <v/>
      </c>
      <c r="AT650" s="179" t="str">
        <f t="array" ref="AT650">IF($F650&lt;&gt;"", XLOOKUP($F650,Productos!$A$2:$A1001,Productos!AM$2:AM1001,"")*$G650,"")</f>
        <v/>
      </c>
      <c r="AU650" s="179" t="str">
        <f t="array" ref="AU650">IF($F650&lt;&gt;"",XLOOKUP($F650,Productos!$A:$A,Productos!AN:AN,"Revisar"),"")</f>
        <v/>
      </c>
      <c r="AV650" s="179" t="str">
        <f t="array" ref="AV650">IF($F650&lt;&gt;"", XLOOKUP($F650,Productos!$A$2:$A1001,Productos!AO$2:AO1001,"")*$G650,"")</f>
        <v/>
      </c>
      <c r="AW650" s="179" t="str">
        <f t="array" ref="AW650">IF($F650&lt;&gt;"",XLOOKUP($F650,Productos!$A:$A,Productos!AP:AP,"Revisar"),"")</f>
        <v/>
      </c>
      <c r="AX650" s="179" t="str">
        <f t="array" ref="AX650">IF($F650&lt;&gt;"", XLOOKUP($F650,Productos!$A$2:$A1001,Productos!AQ$2:AQ1001,"")*$G650,"")</f>
        <v/>
      </c>
      <c r="AY650" s="179" t="str">
        <f t="array" ref="AY650">IF($F650&lt;&gt;"",XLOOKUP($F650,Productos!$A:$A,Productos!AR:AR,"Revisar"),"")</f>
        <v/>
      </c>
      <c r="AZ650" s="179" t="str">
        <f t="array" ref="AZ650">IF($F650&lt;&gt;"", XLOOKUP($F650,Productos!$A$2:$A1001,Productos!AS$2:AS1001,"")*$G650,"")</f>
        <v/>
      </c>
      <c r="BA650" s="179" t="str">
        <f t="array" ref="BA650">IF($F650&lt;&gt;"",XLOOKUP($F650,Productos!$A:$A,Productos!AT:AT,"Revisar"),"")</f>
        <v/>
      </c>
      <c r="BB650" s="179" t="str">
        <f t="array" ref="BB650">IF($F650&lt;&gt;"", XLOOKUP($F650,Productos!$A$2:$A1001,Productos!AU$2:AU1001,"")*$G650,"")</f>
        <v/>
      </c>
      <c r="BC650" s="179" t="str">
        <f t="array" ref="BC650">IF($F650&lt;&gt;"",XLOOKUP($F650,Productos!$A:$A,Productos!AV:AV,"Revisar"),"")</f>
        <v/>
      </c>
      <c r="BD650" s="179" t="str">
        <f t="array" ref="BD650">IF($F650&lt;&gt;"", XLOOKUP($F650,Productos!$A$2:$A1001,Productos!AW$2:AW1001,"")*$G650,"")</f>
        <v/>
      </c>
      <c r="BE650" s="179" t="str">
        <f t="array" ref="BE650">IF($F650&lt;&gt;"",XLOOKUP($F650,Productos!$A:$A,Productos!AX:AX,"Revisar"),"")</f>
        <v/>
      </c>
      <c r="BF650" s="179" t="str">
        <f t="array" ref="BF650">IF($F650&lt;&gt;"", XLOOKUP($F650,Productos!$A$2:$A1001,Productos!AY$2:AY1001,"")*$G650,"")</f>
        <v/>
      </c>
      <c r="BG650" s="179" t="str">
        <f t="array" ref="BG650">IF($F650&lt;&gt;"",XLOOKUP($F650,Productos!$A:$A,Productos!AZ:AZ,"Revisar"),"")</f>
        <v/>
      </c>
      <c r="BH650" s="179" t="str">
        <f t="array" ref="BH650">IF($F650&lt;&gt;"", XLOOKUP($F650,Productos!$A$2:$A1001,Productos!BA$2:BA1001,"")*$G650,"")</f>
        <v/>
      </c>
      <c r="BI650" s="179" t="str">
        <f t="array" ref="BI650">IF($F650&lt;&gt;"",XLOOKUP($F650,Productos!$A:$A,Productos!BB:BB,"Revisar"),"")</f>
        <v/>
      </c>
      <c r="BJ650" s="179" t="str">
        <f t="array" ref="BJ650">IF($F650&lt;&gt;"", XLOOKUP($F650,Productos!$A$2:$A1001,Productos!BC$2:BC1001,"")*$G650,"")</f>
        <v/>
      </c>
      <c r="BK650" s="179" t="str">
        <f t="array" ref="BK650">IF($F650&lt;&gt;"",XLOOKUP($F650,Productos!$A:$A,Productos!BD:BD,"Revisar"),"")</f>
        <v/>
      </c>
      <c r="BL650" s="179" t="str">
        <f t="array" ref="BL650">IF($F650&lt;&gt;"", XLOOKUP($F650,Productos!$A$2:$A1001,Productos!BE$2:BE1001,"")*$G650,"")</f>
        <v/>
      </c>
      <c r="BM650" s="179" t="str">
        <f t="array" ref="BM650">IF($F650&lt;&gt;"",XLOOKUP($F650,Productos!$A:$A,Productos!BF:BF,"Revisar"),"")</f>
        <v/>
      </c>
      <c r="BN650" s="179" t="str">
        <f t="array" ref="BN650">IF($F650&lt;&gt;"", XLOOKUP($F650,Productos!$A$2:$A1001,Productos!BG$2:BG1001,"")*$G650,"")</f>
        <v/>
      </c>
      <c r="BO650" s="179" t="str">
        <f t="array" ref="BO650">IF($F650&lt;&gt;"",XLOOKUP($F650,Productos!$A:$A,Productos!BH:BH,"Revisar"),"")</f>
        <v/>
      </c>
      <c r="BP650" s="179" t="str">
        <f t="array" ref="BP650">IF($F650&lt;&gt;"", XLOOKUP($F650,Productos!$A$2:$A1001,Productos!BI$2:BI1001,"")*$G650,"")</f>
        <v/>
      </c>
      <c r="BQ650" s="179" t="str">
        <f t="array" ref="BQ650">IF($F650&lt;&gt;"",XLOOKUP($F650,Productos!$A:$A,Productos!BJ:BJ,"Revisar"),"")</f>
        <v/>
      </c>
      <c r="BR650" s="179" t="str">
        <f t="array" ref="BR650">IF($F650&lt;&gt;"", XLOOKUP($F650,Productos!$A$2:$A1001,Productos!BK$2:BK1001,"")*$G650,"")</f>
        <v/>
      </c>
      <c r="BS650" s="179" t="str">
        <f t="array" ref="BS650">IF($F650&lt;&gt;"",XLOOKUP($F650,Productos!$A:$A,Productos!BL:BL,"Revisar"),"")</f>
        <v/>
      </c>
      <c r="BT650" s="179" t="str">
        <f t="array" ref="BT650">IF($F650&lt;&gt;"", XLOOKUP($F650,Productos!$A$2:$A1001,Productos!BM$2:BM1001,"")*$G650,"")</f>
        <v/>
      </c>
      <c r="BU650" s="179" t="str">
        <f t="array" ref="BU650">IF($F650&lt;&gt;"",XLOOKUP($F650,Productos!$A:$A,Productos!BN:BN,"Revisar"),"")</f>
        <v/>
      </c>
      <c r="BV650" s="179" t="str">
        <f t="array" ref="BV650">IF($F650&lt;&gt;"", XLOOKUP($F650,Productos!$A$2:$A1001,Productos!BO$2:BO1001,"")*$G650,"")</f>
        <v/>
      </c>
      <c r="BW650" s="179" t="str">
        <f t="array" ref="BW650">IF($F650&lt;&gt;"",XLOOKUP($F650,Productos!$A:$A,Productos!BP:BP,"Revisar"),"")</f>
        <v/>
      </c>
      <c r="BX650" s="179" t="str">
        <f t="array" ref="BX650">IF($F650&lt;&gt;"", XLOOKUP($F650,Productos!$A$2:$A1001,Productos!BQ$2:BQ1001,"")*$G650,"")</f>
        <v/>
      </c>
      <c r="BY650" s="179" t="str">
        <f t="array" ref="BY650">IF($F650&lt;&gt;"",XLOOKUP($F650,Productos!$A:$A,Productos!BR:BR,"Revisar"),"")</f>
        <v/>
      </c>
      <c r="BZ650" s="179" t="str">
        <f t="array" ref="BZ650">IF($F650&lt;&gt;"", XLOOKUP($F650,Productos!$A$2:$A1001,Productos!BS$2:BS1001,"")*$G650,"")</f>
        <v/>
      </c>
    </row>
    <row r="651">
      <c r="A651" s="188"/>
      <c r="B651" s="189"/>
      <c r="C651" s="190"/>
      <c r="D651" s="190"/>
      <c r="E651" s="191"/>
      <c r="F651" s="186"/>
      <c r="G651" s="192"/>
      <c r="H651" s="9"/>
      <c r="I651" s="179" t="str">
        <f t="array" ref="I651">IF($F651&lt;&gt;"",XLOOKUP($F651,Productos!$A:$A,Productos!B:B,"Revisar"),"")</f>
        <v/>
      </c>
      <c r="J651" s="179" t="str">
        <f t="array" ref="J651">IF($F651&lt;&gt;"", XLOOKUP($F651,Productos!$A$2:$A1001,Productos!C$2:C1001,"")*$G651,"")</f>
        <v/>
      </c>
      <c r="K651" s="179" t="str">
        <f t="array" ref="K651">IF($F651&lt;&gt;"",XLOOKUP($F651,Productos!$A:$A,Productos!D:D,"Revisar"),"")</f>
        <v/>
      </c>
      <c r="L651" s="179" t="str">
        <f t="array" ref="L651">IF($F651&lt;&gt;"", XLOOKUP($F651,Productos!$A$2:$A1001,Productos!E$2:E1001,"")*$G651,"")</f>
        <v/>
      </c>
      <c r="M651" s="179" t="str">
        <f t="array" ref="M651">IF($F651&lt;&gt;"",XLOOKUP($F651,Productos!$A:$A,Productos!F:F,"Revisar"),"")</f>
        <v/>
      </c>
      <c r="N651" s="179" t="str">
        <f t="array" ref="N651">IF($F651&lt;&gt;"", XLOOKUP($F651,Productos!$A$2:$A1001,Productos!G$2:G1001,"")*$G651,"")</f>
        <v/>
      </c>
      <c r="O651" s="179" t="str">
        <f t="array" ref="O651">IF($F651&lt;&gt;"",XLOOKUP($F651,Productos!$A:$A,Productos!H:H,"Revisar"),"")</f>
        <v/>
      </c>
      <c r="P651" s="179" t="str">
        <f t="array" ref="P651">IF($F651&lt;&gt;"", XLOOKUP($F651,Productos!$A$2:$A1001,Productos!I$2:I1001,"")*$G651,"")</f>
        <v/>
      </c>
      <c r="Q651" s="179" t="str">
        <f t="array" ref="Q651">IF($F651&lt;&gt;"",XLOOKUP($F651,Productos!$A:$A,Productos!J:J,"Revisar"),"")</f>
        <v/>
      </c>
      <c r="R651" s="179" t="str">
        <f t="array" ref="R651">IF($F651&lt;&gt;"", XLOOKUP($F651,Productos!$A$2:$A1001,Productos!K$2:K1001,"")*$G651,"")</f>
        <v/>
      </c>
      <c r="S651" s="179" t="str">
        <f t="array" ref="S651">IF($F651&lt;&gt;"",XLOOKUP($F651,Productos!$A:$A,Productos!L:L,"Revisar"),"")</f>
        <v/>
      </c>
      <c r="T651" s="179" t="str">
        <f t="array" ref="T651">IF($F651&lt;&gt;"", XLOOKUP($F651,Productos!$A$2:$A1001,Productos!M$2:M1001,"")*$G651,"")</f>
        <v/>
      </c>
      <c r="U651" s="179" t="str">
        <f t="array" ref="U651">IF($F651&lt;&gt;"",XLOOKUP($F651,Productos!$A:$A,Productos!N:N,"Revisar"),"")</f>
        <v/>
      </c>
      <c r="V651" s="179" t="str">
        <f t="array" ref="V651">IF($F651&lt;&gt;"", XLOOKUP($F651,Productos!$A$2:$A1001,Productos!O$2:O1001,"")*$G651,"")</f>
        <v/>
      </c>
      <c r="W651" s="179" t="str">
        <f t="array" ref="W651">IF($F651&lt;&gt;"",XLOOKUP($F651,Productos!$A:$A,Productos!P:P,"Revisar"),"")</f>
        <v/>
      </c>
      <c r="X651" s="179" t="str">
        <f t="array" ref="X651">IF($F651&lt;&gt;"", XLOOKUP($F651,Productos!$A$2:$A1001,Productos!Q$2:Q1001,"")*$G651,"")</f>
        <v/>
      </c>
      <c r="Y651" s="179" t="str">
        <f t="array" ref="Y651">IF($F651&lt;&gt;"",XLOOKUP($F651,Productos!$A:$A,Productos!R:R,"Revisar"),"")</f>
        <v/>
      </c>
      <c r="Z651" s="179" t="str">
        <f t="array" ref="Z651">IF($F651&lt;&gt;"", XLOOKUP($F651,Productos!$A$2:$A1001,Productos!S$2:S1001,"")*$G651,"")</f>
        <v/>
      </c>
      <c r="AA651" s="179" t="str">
        <f t="array" ref="AA651">IF($F651&lt;&gt;"",XLOOKUP($F651,Productos!$A:$A,Productos!T:T,"Revisar"),"")</f>
        <v/>
      </c>
      <c r="AB651" s="179" t="str">
        <f t="array" ref="AB651">IF($F651&lt;&gt;"", XLOOKUP($F651,Productos!$A$2:$A1001,Productos!U$2:U1001,"")*$G651,"")</f>
        <v/>
      </c>
      <c r="AC651" s="179" t="str">
        <f t="array" ref="AC651">IF($F651&lt;&gt;"",XLOOKUP($F651,Productos!$A:$A,Productos!V:V,"Revisar"),"")</f>
        <v/>
      </c>
      <c r="AD651" s="179" t="str">
        <f t="array" ref="AD651">IF($F651&lt;&gt;"", XLOOKUP($F651,Productos!$A$2:$A1001,Productos!W$2:W1001,"")*$G651,"")</f>
        <v/>
      </c>
      <c r="AE651" s="179" t="str">
        <f t="array" ref="AE651">IF($F651&lt;&gt;"",XLOOKUP($F651,Productos!$A:$A,Productos!X:X,"Revisar"),"")</f>
        <v/>
      </c>
      <c r="AF651" s="179" t="str">
        <f t="array" ref="AF651">IF($F651&lt;&gt;"", XLOOKUP($F651,Productos!$A$2:$A1001,Productos!Y$2:Y1001,"")*$G651,"")</f>
        <v/>
      </c>
      <c r="AG651" s="179" t="str">
        <f t="array" ref="AG651">IF($F651&lt;&gt;"",XLOOKUP($F651,Productos!$A:$A,Productos!Z:Z,"Revisar"),"")</f>
        <v/>
      </c>
      <c r="AH651" s="179" t="str">
        <f t="array" ref="AH651">IF($F651&lt;&gt;"", XLOOKUP($F651,Productos!$A$2:$A1001,Productos!AA$2:AA1001,"")*$G651,"")</f>
        <v/>
      </c>
      <c r="AI651" s="179" t="str">
        <f t="array" ref="AI651">IF($F651&lt;&gt;"",XLOOKUP($F651,Productos!$A:$A,Productos!AB:AB,"Revisar"),"")</f>
        <v/>
      </c>
      <c r="AJ651" s="179" t="str">
        <f t="array" ref="AJ651">IF($F651&lt;&gt;"", XLOOKUP($F651,Productos!$A$2:$A1001,Productos!AC$2:AC1001,"")*$G651,"")</f>
        <v/>
      </c>
      <c r="AK651" s="179" t="str">
        <f t="array" ref="AK651">IF($F651&lt;&gt;"",XLOOKUP($F651,Productos!$A:$A,Productos!AD:AD,"Revisar"),"")</f>
        <v/>
      </c>
      <c r="AL651" s="179" t="str">
        <f t="array" ref="AL651">IF($F651&lt;&gt;"", XLOOKUP($F651,Productos!$A$2:$A1001,Productos!AE$2:AE1001,"")*$G651,"")</f>
        <v/>
      </c>
      <c r="AM651" s="179" t="str">
        <f t="array" ref="AM651">IF($F651&lt;&gt;"",XLOOKUP($F651,Productos!$A:$A,Productos!AF:AF,"Revisar"),"")</f>
        <v/>
      </c>
      <c r="AN651" s="179" t="str">
        <f t="array" ref="AN651">IF($F651&lt;&gt;"", XLOOKUP($F651,Productos!$A$2:$A1001,Productos!AG$2:AG1001,"")*$G651,"")</f>
        <v/>
      </c>
      <c r="AO651" s="179" t="str">
        <f t="array" ref="AO651">IF($F651&lt;&gt;"",XLOOKUP($F651,Productos!$A:$A,Productos!AH:AH,"Revisar"),"")</f>
        <v/>
      </c>
      <c r="AP651" s="179" t="str">
        <f t="array" ref="AP651">IF($F651&lt;&gt;"", XLOOKUP($F651,Productos!$A$2:$A1001,Productos!AI$2:AI1001,"")*$G651,"")</f>
        <v/>
      </c>
      <c r="AQ651" s="179" t="str">
        <f t="array" ref="AQ651">IF($F651&lt;&gt;"",XLOOKUP($F651,Productos!$A:$A,Productos!AJ:AJ,"Revisar"),"")</f>
        <v/>
      </c>
      <c r="AR651" s="179" t="str">
        <f t="array" ref="AR651">IF($F651&lt;&gt;"", XLOOKUP($F651,Productos!$A$2:$A1001,Productos!AK$2:AK1001,"")*$G651,"")</f>
        <v/>
      </c>
      <c r="AS651" s="179" t="str">
        <f t="array" ref="AS651">IF($F651&lt;&gt;"",XLOOKUP($F651,Productos!$A:$A,Productos!AL:AL,"Revisar"),"")</f>
        <v/>
      </c>
      <c r="AT651" s="179" t="str">
        <f t="array" ref="AT651">IF($F651&lt;&gt;"", XLOOKUP($F651,Productos!$A$2:$A1001,Productos!AM$2:AM1001,"")*$G651,"")</f>
        <v/>
      </c>
      <c r="AU651" s="179" t="str">
        <f t="array" ref="AU651">IF($F651&lt;&gt;"",XLOOKUP($F651,Productos!$A:$A,Productos!AN:AN,"Revisar"),"")</f>
        <v/>
      </c>
      <c r="AV651" s="179" t="str">
        <f t="array" ref="AV651">IF($F651&lt;&gt;"", XLOOKUP($F651,Productos!$A$2:$A1001,Productos!AO$2:AO1001,"")*$G651,"")</f>
        <v/>
      </c>
      <c r="AW651" s="179" t="str">
        <f t="array" ref="AW651">IF($F651&lt;&gt;"",XLOOKUP($F651,Productos!$A:$A,Productos!AP:AP,"Revisar"),"")</f>
        <v/>
      </c>
      <c r="AX651" s="179" t="str">
        <f t="array" ref="AX651">IF($F651&lt;&gt;"", XLOOKUP($F651,Productos!$A$2:$A1001,Productos!AQ$2:AQ1001,"")*$G651,"")</f>
        <v/>
      </c>
      <c r="AY651" s="179" t="str">
        <f t="array" ref="AY651">IF($F651&lt;&gt;"",XLOOKUP($F651,Productos!$A:$A,Productos!AR:AR,"Revisar"),"")</f>
        <v/>
      </c>
      <c r="AZ651" s="179" t="str">
        <f t="array" ref="AZ651">IF($F651&lt;&gt;"", XLOOKUP($F651,Productos!$A$2:$A1001,Productos!AS$2:AS1001,"")*$G651,"")</f>
        <v/>
      </c>
      <c r="BA651" s="179" t="str">
        <f t="array" ref="BA651">IF($F651&lt;&gt;"",XLOOKUP($F651,Productos!$A:$A,Productos!AT:AT,"Revisar"),"")</f>
        <v/>
      </c>
      <c r="BB651" s="179" t="str">
        <f t="array" ref="BB651">IF($F651&lt;&gt;"", XLOOKUP($F651,Productos!$A$2:$A1001,Productos!AU$2:AU1001,"")*$G651,"")</f>
        <v/>
      </c>
      <c r="BC651" s="179" t="str">
        <f t="array" ref="BC651">IF($F651&lt;&gt;"",XLOOKUP($F651,Productos!$A:$A,Productos!AV:AV,"Revisar"),"")</f>
        <v/>
      </c>
      <c r="BD651" s="179" t="str">
        <f t="array" ref="BD651">IF($F651&lt;&gt;"", XLOOKUP($F651,Productos!$A$2:$A1001,Productos!AW$2:AW1001,"")*$G651,"")</f>
        <v/>
      </c>
      <c r="BE651" s="179" t="str">
        <f t="array" ref="BE651">IF($F651&lt;&gt;"",XLOOKUP($F651,Productos!$A:$A,Productos!AX:AX,"Revisar"),"")</f>
        <v/>
      </c>
      <c r="BF651" s="179" t="str">
        <f t="array" ref="BF651">IF($F651&lt;&gt;"", XLOOKUP($F651,Productos!$A$2:$A1001,Productos!AY$2:AY1001,"")*$G651,"")</f>
        <v/>
      </c>
      <c r="BG651" s="179" t="str">
        <f t="array" ref="BG651">IF($F651&lt;&gt;"",XLOOKUP($F651,Productos!$A:$A,Productos!AZ:AZ,"Revisar"),"")</f>
        <v/>
      </c>
      <c r="BH651" s="179" t="str">
        <f t="array" ref="BH651">IF($F651&lt;&gt;"", XLOOKUP($F651,Productos!$A$2:$A1001,Productos!BA$2:BA1001,"")*$G651,"")</f>
        <v/>
      </c>
      <c r="BI651" s="179" t="str">
        <f t="array" ref="BI651">IF($F651&lt;&gt;"",XLOOKUP($F651,Productos!$A:$A,Productos!BB:BB,"Revisar"),"")</f>
        <v/>
      </c>
      <c r="BJ651" s="179" t="str">
        <f t="array" ref="BJ651">IF($F651&lt;&gt;"", XLOOKUP($F651,Productos!$A$2:$A1001,Productos!BC$2:BC1001,"")*$G651,"")</f>
        <v/>
      </c>
      <c r="BK651" s="179" t="str">
        <f t="array" ref="BK651">IF($F651&lt;&gt;"",XLOOKUP($F651,Productos!$A:$A,Productos!BD:BD,"Revisar"),"")</f>
        <v/>
      </c>
      <c r="BL651" s="179" t="str">
        <f t="array" ref="BL651">IF($F651&lt;&gt;"", XLOOKUP($F651,Productos!$A$2:$A1001,Productos!BE$2:BE1001,"")*$G651,"")</f>
        <v/>
      </c>
      <c r="BM651" s="179" t="str">
        <f t="array" ref="BM651">IF($F651&lt;&gt;"",XLOOKUP($F651,Productos!$A:$A,Productos!BF:BF,"Revisar"),"")</f>
        <v/>
      </c>
      <c r="BN651" s="179" t="str">
        <f t="array" ref="BN651">IF($F651&lt;&gt;"", XLOOKUP($F651,Productos!$A$2:$A1001,Productos!BG$2:BG1001,"")*$G651,"")</f>
        <v/>
      </c>
      <c r="BO651" s="179" t="str">
        <f t="array" ref="BO651">IF($F651&lt;&gt;"",XLOOKUP($F651,Productos!$A:$A,Productos!BH:BH,"Revisar"),"")</f>
        <v/>
      </c>
      <c r="BP651" s="179" t="str">
        <f t="array" ref="BP651">IF($F651&lt;&gt;"", XLOOKUP($F651,Productos!$A$2:$A1001,Productos!BI$2:BI1001,"")*$G651,"")</f>
        <v/>
      </c>
      <c r="BQ651" s="179" t="str">
        <f t="array" ref="BQ651">IF($F651&lt;&gt;"",XLOOKUP($F651,Productos!$A:$A,Productos!BJ:BJ,"Revisar"),"")</f>
        <v/>
      </c>
      <c r="BR651" s="179" t="str">
        <f t="array" ref="BR651">IF($F651&lt;&gt;"", XLOOKUP($F651,Productos!$A$2:$A1001,Productos!BK$2:BK1001,"")*$G651,"")</f>
        <v/>
      </c>
      <c r="BS651" s="179" t="str">
        <f t="array" ref="BS651">IF($F651&lt;&gt;"",XLOOKUP($F651,Productos!$A:$A,Productos!BL:BL,"Revisar"),"")</f>
        <v/>
      </c>
      <c r="BT651" s="179" t="str">
        <f t="array" ref="BT651">IF($F651&lt;&gt;"", XLOOKUP($F651,Productos!$A$2:$A1001,Productos!BM$2:BM1001,"")*$G651,"")</f>
        <v/>
      </c>
      <c r="BU651" s="179" t="str">
        <f t="array" ref="BU651">IF($F651&lt;&gt;"",XLOOKUP($F651,Productos!$A:$A,Productos!BN:BN,"Revisar"),"")</f>
        <v/>
      </c>
      <c r="BV651" s="179" t="str">
        <f t="array" ref="BV651">IF($F651&lt;&gt;"", XLOOKUP($F651,Productos!$A$2:$A1001,Productos!BO$2:BO1001,"")*$G651,"")</f>
        <v/>
      </c>
      <c r="BW651" s="179" t="str">
        <f t="array" ref="BW651">IF($F651&lt;&gt;"",XLOOKUP($F651,Productos!$A:$A,Productos!BP:BP,"Revisar"),"")</f>
        <v/>
      </c>
      <c r="BX651" s="179" t="str">
        <f t="array" ref="BX651">IF($F651&lt;&gt;"", XLOOKUP($F651,Productos!$A$2:$A1001,Productos!BQ$2:BQ1001,"")*$G651,"")</f>
        <v/>
      </c>
      <c r="BY651" s="179" t="str">
        <f t="array" ref="BY651">IF($F651&lt;&gt;"",XLOOKUP($F651,Productos!$A:$A,Productos!BR:BR,"Revisar"),"")</f>
        <v/>
      </c>
      <c r="BZ651" s="179" t="str">
        <f t="array" ref="BZ651">IF($F651&lt;&gt;"", XLOOKUP($F651,Productos!$A$2:$A1001,Productos!BS$2:BS1001,"")*$G651,"")</f>
        <v/>
      </c>
    </row>
    <row r="652">
      <c r="A652" s="188"/>
      <c r="B652" s="189"/>
      <c r="C652" s="190"/>
      <c r="D652" s="190"/>
      <c r="E652" s="191"/>
      <c r="F652" s="186"/>
      <c r="G652" s="192"/>
      <c r="H652" s="9"/>
      <c r="I652" s="179" t="str">
        <f t="array" ref="I652">IF($F652&lt;&gt;"",XLOOKUP($F652,Productos!$A:$A,Productos!B:B,"Revisar"),"")</f>
        <v/>
      </c>
      <c r="J652" s="179" t="str">
        <f t="array" ref="J652">IF($F652&lt;&gt;"", XLOOKUP($F652,Productos!$A$2:$A1001,Productos!C$2:C1001,"")*$G652,"")</f>
        <v/>
      </c>
      <c r="K652" s="179" t="str">
        <f t="array" ref="K652">IF($F652&lt;&gt;"",XLOOKUP($F652,Productos!$A:$A,Productos!D:D,"Revisar"),"")</f>
        <v/>
      </c>
      <c r="L652" s="179" t="str">
        <f t="array" ref="L652">IF($F652&lt;&gt;"", XLOOKUP($F652,Productos!$A$2:$A1001,Productos!E$2:E1001,"")*$G652,"")</f>
        <v/>
      </c>
      <c r="M652" s="179" t="str">
        <f t="array" ref="M652">IF($F652&lt;&gt;"",XLOOKUP($F652,Productos!$A:$A,Productos!F:F,"Revisar"),"")</f>
        <v/>
      </c>
      <c r="N652" s="179" t="str">
        <f t="array" ref="N652">IF($F652&lt;&gt;"", XLOOKUP($F652,Productos!$A$2:$A1001,Productos!G$2:G1001,"")*$G652,"")</f>
        <v/>
      </c>
      <c r="O652" s="179" t="str">
        <f t="array" ref="O652">IF($F652&lt;&gt;"",XLOOKUP($F652,Productos!$A:$A,Productos!H:H,"Revisar"),"")</f>
        <v/>
      </c>
      <c r="P652" s="179" t="str">
        <f t="array" ref="P652">IF($F652&lt;&gt;"", XLOOKUP($F652,Productos!$A$2:$A1001,Productos!I$2:I1001,"")*$G652,"")</f>
        <v/>
      </c>
      <c r="Q652" s="179" t="str">
        <f t="array" ref="Q652">IF($F652&lt;&gt;"",XLOOKUP($F652,Productos!$A:$A,Productos!J:J,"Revisar"),"")</f>
        <v/>
      </c>
      <c r="R652" s="179" t="str">
        <f t="array" ref="R652">IF($F652&lt;&gt;"", XLOOKUP($F652,Productos!$A$2:$A1001,Productos!K$2:K1001,"")*$G652,"")</f>
        <v/>
      </c>
      <c r="S652" s="179" t="str">
        <f t="array" ref="S652">IF($F652&lt;&gt;"",XLOOKUP($F652,Productos!$A:$A,Productos!L:L,"Revisar"),"")</f>
        <v/>
      </c>
      <c r="T652" s="179" t="str">
        <f t="array" ref="T652">IF($F652&lt;&gt;"", XLOOKUP($F652,Productos!$A$2:$A1001,Productos!M$2:M1001,"")*$G652,"")</f>
        <v/>
      </c>
      <c r="U652" s="179" t="str">
        <f t="array" ref="U652">IF($F652&lt;&gt;"",XLOOKUP($F652,Productos!$A:$A,Productos!N:N,"Revisar"),"")</f>
        <v/>
      </c>
      <c r="V652" s="179" t="str">
        <f t="array" ref="V652">IF($F652&lt;&gt;"", XLOOKUP($F652,Productos!$A$2:$A1001,Productos!O$2:O1001,"")*$G652,"")</f>
        <v/>
      </c>
      <c r="W652" s="179" t="str">
        <f t="array" ref="W652">IF($F652&lt;&gt;"",XLOOKUP($F652,Productos!$A:$A,Productos!P:P,"Revisar"),"")</f>
        <v/>
      </c>
      <c r="X652" s="179" t="str">
        <f t="array" ref="X652">IF($F652&lt;&gt;"", XLOOKUP($F652,Productos!$A$2:$A1001,Productos!Q$2:Q1001,"")*$G652,"")</f>
        <v/>
      </c>
      <c r="Y652" s="179" t="str">
        <f t="array" ref="Y652">IF($F652&lt;&gt;"",XLOOKUP($F652,Productos!$A:$A,Productos!R:R,"Revisar"),"")</f>
        <v/>
      </c>
      <c r="Z652" s="179" t="str">
        <f t="array" ref="Z652">IF($F652&lt;&gt;"", XLOOKUP($F652,Productos!$A$2:$A1001,Productos!S$2:S1001,"")*$G652,"")</f>
        <v/>
      </c>
      <c r="AA652" s="179" t="str">
        <f t="array" ref="AA652">IF($F652&lt;&gt;"",XLOOKUP($F652,Productos!$A:$A,Productos!T:T,"Revisar"),"")</f>
        <v/>
      </c>
      <c r="AB652" s="179" t="str">
        <f t="array" ref="AB652">IF($F652&lt;&gt;"", XLOOKUP($F652,Productos!$A$2:$A1001,Productos!U$2:U1001,"")*$G652,"")</f>
        <v/>
      </c>
      <c r="AC652" s="179" t="str">
        <f t="array" ref="AC652">IF($F652&lt;&gt;"",XLOOKUP($F652,Productos!$A:$A,Productos!V:V,"Revisar"),"")</f>
        <v/>
      </c>
      <c r="AD652" s="179" t="str">
        <f t="array" ref="AD652">IF($F652&lt;&gt;"", XLOOKUP($F652,Productos!$A$2:$A1001,Productos!W$2:W1001,"")*$G652,"")</f>
        <v/>
      </c>
      <c r="AE652" s="179" t="str">
        <f t="array" ref="AE652">IF($F652&lt;&gt;"",XLOOKUP($F652,Productos!$A:$A,Productos!X:X,"Revisar"),"")</f>
        <v/>
      </c>
      <c r="AF652" s="179" t="str">
        <f t="array" ref="AF652">IF($F652&lt;&gt;"", XLOOKUP($F652,Productos!$A$2:$A1001,Productos!Y$2:Y1001,"")*$G652,"")</f>
        <v/>
      </c>
      <c r="AG652" s="179" t="str">
        <f t="array" ref="AG652">IF($F652&lt;&gt;"",XLOOKUP($F652,Productos!$A:$A,Productos!Z:Z,"Revisar"),"")</f>
        <v/>
      </c>
      <c r="AH652" s="179" t="str">
        <f t="array" ref="AH652">IF($F652&lt;&gt;"", XLOOKUP($F652,Productos!$A$2:$A1001,Productos!AA$2:AA1001,"")*$G652,"")</f>
        <v/>
      </c>
      <c r="AI652" s="179" t="str">
        <f t="array" ref="AI652">IF($F652&lt;&gt;"",XLOOKUP($F652,Productos!$A:$A,Productos!AB:AB,"Revisar"),"")</f>
        <v/>
      </c>
      <c r="AJ652" s="179" t="str">
        <f t="array" ref="AJ652">IF($F652&lt;&gt;"", XLOOKUP($F652,Productos!$A$2:$A1001,Productos!AC$2:AC1001,"")*$G652,"")</f>
        <v/>
      </c>
      <c r="AK652" s="179" t="str">
        <f t="array" ref="AK652">IF($F652&lt;&gt;"",XLOOKUP($F652,Productos!$A:$A,Productos!AD:AD,"Revisar"),"")</f>
        <v/>
      </c>
      <c r="AL652" s="179" t="str">
        <f t="array" ref="AL652">IF($F652&lt;&gt;"", XLOOKUP($F652,Productos!$A$2:$A1001,Productos!AE$2:AE1001,"")*$G652,"")</f>
        <v/>
      </c>
      <c r="AM652" s="179" t="str">
        <f t="array" ref="AM652">IF($F652&lt;&gt;"",XLOOKUP($F652,Productos!$A:$A,Productos!AF:AF,"Revisar"),"")</f>
        <v/>
      </c>
      <c r="AN652" s="179" t="str">
        <f t="array" ref="AN652">IF($F652&lt;&gt;"", XLOOKUP($F652,Productos!$A$2:$A1001,Productos!AG$2:AG1001,"")*$G652,"")</f>
        <v/>
      </c>
      <c r="AO652" s="179" t="str">
        <f t="array" ref="AO652">IF($F652&lt;&gt;"",XLOOKUP($F652,Productos!$A:$A,Productos!AH:AH,"Revisar"),"")</f>
        <v/>
      </c>
      <c r="AP652" s="179" t="str">
        <f t="array" ref="AP652">IF($F652&lt;&gt;"", XLOOKUP($F652,Productos!$A$2:$A1001,Productos!AI$2:AI1001,"")*$G652,"")</f>
        <v/>
      </c>
      <c r="AQ652" s="179" t="str">
        <f t="array" ref="AQ652">IF($F652&lt;&gt;"",XLOOKUP($F652,Productos!$A:$A,Productos!AJ:AJ,"Revisar"),"")</f>
        <v/>
      </c>
      <c r="AR652" s="179" t="str">
        <f t="array" ref="AR652">IF($F652&lt;&gt;"", XLOOKUP($F652,Productos!$A$2:$A1001,Productos!AK$2:AK1001,"")*$G652,"")</f>
        <v/>
      </c>
      <c r="AS652" s="179" t="str">
        <f t="array" ref="AS652">IF($F652&lt;&gt;"",XLOOKUP($F652,Productos!$A:$A,Productos!AL:AL,"Revisar"),"")</f>
        <v/>
      </c>
      <c r="AT652" s="179" t="str">
        <f t="array" ref="AT652">IF($F652&lt;&gt;"", XLOOKUP($F652,Productos!$A$2:$A1001,Productos!AM$2:AM1001,"")*$G652,"")</f>
        <v/>
      </c>
      <c r="AU652" s="179" t="str">
        <f t="array" ref="AU652">IF($F652&lt;&gt;"",XLOOKUP($F652,Productos!$A:$A,Productos!AN:AN,"Revisar"),"")</f>
        <v/>
      </c>
      <c r="AV652" s="179" t="str">
        <f t="array" ref="AV652">IF($F652&lt;&gt;"", XLOOKUP($F652,Productos!$A$2:$A1001,Productos!AO$2:AO1001,"")*$G652,"")</f>
        <v/>
      </c>
      <c r="AW652" s="179" t="str">
        <f t="array" ref="AW652">IF($F652&lt;&gt;"",XLOOKUP($F652,Productos!$A:$A,Productos!AP:AP,"Revisar"),"")</f>
        <v/>
      </c>
      <c r="AX652" s="179" t="str">
        <f t="array" ref="AX652">IF($F652&lt;&gt;"", XLOOKUP($F652,Productos!$A$2:$A1001,Productos!AQ$2:AQ1001,"")*$G652,"")</f>
        <v/>
      </c>
      <c r="AY652" s="179" t="str">
        <f t="array" ref="AY652">IF($F652&lt;&gt;"",XLOOKUP($F652,Productos!$A:$A,Productos!AR:AR,"Revisar"),"")</f>
        <v/>
      </c>
      <c r="AZ652" s="179" t="str">
        <f t="array" ref="AZ652">IF($F652&lt;&gt;"", XLOOKUP($F652,Productos!$A$2:$A1001,Productos!AS$2:AS1001,"")*$G652,"")</f>
        <v/>
      </c>
      <c r="BA652" s="179" t="str">
        <f t="array" ref="BA652">IF($F652&lt;&gt;"",XLOOKUP($F652,Productos!$A:$A,Productos!AT:AT,"Revisar"),"")</f>
        <v/>
      </c>
      <c r="BB652" s="179" t="str">
        <f t="array" ref="BB652">IF($F652&lt;&gt;"", XLOOKUP($F652,Productos!$A$2:$A1001,Productos!AU$2:AU1001,"")*$G652,"")</f>
        <v/>
      </c>
      <c r="BC652" s="179" t="str">
        <f t="array" ref="BC652">IF($F652&lt;&gt;"",XLOOKUP($F652,Productos!$A:$A,Productos!AV:AV,"Revisar"),"")</f>
        <v/>
      </c>
      <c r="BD652" s="179" t="str">
        <f t="array" ref="BD652">IF($F652&lt;&gt;"", XLOOKUP($F652,Productos!$A$2:$A1001,Productos!AW$2:AW1001,"")*$G652,"")</f>
        <v/>
      </c>
      <c r="BE652" s="179" t="str">
        <f t="array" ref="BE652">IF($F652&lt;&gt;"",XLOOKUP($F652,Productos!$A:$A,Productos!AX:AX,"Revisar"),"")</f>
        <v/>
      </c>
      <c r="BF652" s="179" t="str">
        <f t="array" ref="BF652">IF($F652&lt;&gt;"", XLOOKUP($F652,Productos!$A$2:$A1001,Productos!AY$2:AY1001,"")*$G652,"")</f>
        <v/>
      </c>
      <c r="BG652" s="179" t="str">
        <f t="array" ref="BG652">IF($F652&lt;&gt;"",XLOOKUP($F652,Productos!$A:$A,Productos!AZ:AZ,"Revisar"),"")</f>
        <v/>
      </c>
      <c r="BH652" s="179" t="str">
        <f t="array" ref="BH652">IF($F652&lt;&gt;"", XLOOKUP($F652,Productos!$A$2:$A1001,Productos!BA$2:BA1001,"")*$G652,"")</f>
        <v/>
      </c>
      <c r="BI652" s="179" t="str">
        <f t="array" ref="BI652">IF($F652&lt;&gt;"",XLOOKUP($F652,Productos!$A:$A,Productos!BB:BB,"Revisar"),"")</f>
        <v/>
      </c>
      <c r="BJ652" s="179" t="str">
        <f t="array" ref="BJ652">IF($F652&lt;&gt;"", XLOOKUP($F652,Productos!$A$2:$A1001,Productos!BC$2:BC1001,"")*$G652,"")</f>
        <v/>
      </c>
      <c r="BK652" s="179" t="str">
        <f t="array" ref="BK652">IF($F652&lt;&gt;"",XLOOKUP($F652,Productos!$A:$A,Productos!BD:BD,"Revisar"),"")</f>
        <v/>
      </c>
      <c r="BL652" s="179" t="str">
        <f t="array" ref="BL652">IF($F652&lt;&gt;"", XLOOKUP($F652,Productos!$A$2:$A1001,Productos!BE$2:BE1001,"")*$G652,"")</f>
        <v/>
      </c>
      <c r="BM652" s="179" t="str">
        <f t="array" ref="BM652">IF($F652&lt;&gt;"",XLOOKUP($F652,Productos!$A:$A,Productos!BF:BF,"Revisar"),"")</f>
        <v/>
      </c>
      <c r="BN652" s="179" t="str">
        <f t="array" ref="BN652">IF($F652&lt;&gt;"", XLOOKUP($F652,Productos!$A$2:$A1001,Productos!BG$2:BG1001,"")*$G652,"")</f>
        <v/>
      </c>
      <c r="BO652" s="179" t="str">
        <f t="array" ref="BO652">IF($F652&lt;&gt;"",XLOOKUP($F652,Productos!$A:$A,Productos!BH:BH,"Revisar"),"")</f>
        <v/>
      </c>
      <c r="BP652" s="179" t="str">
        <f t="array" ref="BP652">IF($F652&lt;&gt;"", XLOOKUP($F652,Productos!$A$2:$A1001,Productos!BI$2:BI1001,"")*$G652,"")</f>
        <v/>
      </c>
      <c r="BQ652" s="179" t="str">
        <f t="array" ref="BQ652">IF($F652&lt;&gt;"",XLOOKUP($F652,Productos!$A:$A,Productos!BJ:BJ,"Revisar"),"")</f>
        <v/>
      </c>
      <c r="BR652" s="179" t="str">
        <f t="array" ref="BR652">IF($F652&lt;&gt;"", XLOOKUP($F652,Productos!$A$2:$A1001,Productos!BK$2:BK1001,"")*$G652,"")</f>
        <v/>
      </c>
      <c r="BS652" s="179" t="str">
        <f t="array" ref="BS652">IF($F652&lt;&gt;"",XLOOKUP($F652,Productos!$A:$A,Productos!BL:BL,"Revisar"),"")</f>
        <v/>
      </c>
      <c r="BT652" s="179" t="str">
        <f t="array" ref="BT652">IF($F652&lt;&gt;"", XLOOKUP($F652,Productos!$A$2:$A1001,Productos!BM$2:BM1001,"")*$G652,"")</f>
        <v/>
      </c>
      <c r="BU652" s="179" t="str">
        <f t="array" ref="BU652">IF($F652&lt;&gt;"",XLOOKUP($F652,Productos!$A:$A,Productos!BN:BN,"Revisar"),"")</f>
        <v/>
      </c>
      <c r="BV652" s="179" t="str">
        <f t="array" ref="BV652">IF($F652&lt;&gt;"", XLOOKUP($F652,Productos!$A$2:$A1001,Productos!BO$2:BO1001,"")*$G652,"")</f>
        <v/>
      </c>
      <c r="BW652" s="179" t="str">
        <f t="array" ref="BW652">IF($F652&lt;&gt;"",XLOOKUP($F652,Productos!$A:$A,Productos!BP:BP,"Revisar"),"")</f>
        <v/>
      </c>
      <c r="BX652" s="179" t="str">
        <f t="array" ref="BX652">IF($F652&lt;&gt;"", XLOOKUP($F652,Productos!$A$2:$A1001,Productos!BQ$2:BQ1001,"")*$G652,"")</f>
        <v/>
      </c>
      <c r="BY652" s="179" t="str">
        <f t="array" ref="BY652">IF($F652&lt;&gt;"",XLOOKUP($F652,Productos!$A:$A,Productos!BR:BR,"Revisar"),"")</f>
        <v/>
      </c>
      <c r="BZ652" s="179" t="str">
        <f t="array" ref="BZ652">IF($F652&lt;&gt;"", XLOOKUP($F652,Productos!$A$2:$A1001,Productos!BS$2:BS1001,"")*$G652,"")</f>
        <v/>
      </c>
    </row>
    <row r="653">
      <c r="A653" s="188"/>
      <c r="B653" s="189"/>
      <c r="C653" s="190"/>
      <c r="D653" s="190"/>
      <c r="E653" s="191"/>
      <c r="F653" s="186"/>
      <c r="G653" s="192"/>
      <c r="H653" s="9"/>
      <c r="I653" s="179" t="str">
        <f t="array" ref="I653">IF($F653&lt;&gt;"",XLOOKUP($F653,Productos!$A:$A,Productos!B:B,"Revisar"),"")</f>
        <v/>
      </c>
      <c r="J653" s="179" t="str">
        <f t="array" ref="J653">IF($F653&lt;&gt;"", XLOOKUP($F653,Productos!$A$2:$A1001,Productos!C$2:C1001,"")*$G653,"")</f>
        <v/>
      </c>
      <c r="K653" s="179" t="str">
        <f t="array" ref="K653">IF($F653&lt;&gt;"",XLOOKUP($F653,Productos!$A:$A,Productos!D:D,"Revisar"),"")</f>
        <v/>
      </c>
      <c r="L653" s="179" t="str">
        <f t="array" ref="L653">IF($F653&lt;&gt;"", XLOOKUP($F653,Productos!$A$2:$A1001,Productos!E$2:E1001,"")*$G653,"")</f>
        <v/>
      </c>
      <c r="M653" s="179" t="str">
        <f t="array" ref="M653">IF($F653&lt;&gt;"",XLOOKUP($F653,Productos!$A:$A,Productos!F:F,"Revisar"),"")</f>
        <v/>
      </c>
      <c r="N653" s="179" t="str">
        <f t="array" ref="N653">IF($F653&lt;&gt;"", XLOOKUP($F653,Productos!$A$2:$A1001,Productos!G$2:G1001,"")*$G653,"")</f>
        <v/>
      </c>
      <c r="O653" s="179" t="str">
        <f t="array" ref="O653">IF($F653&lt;&gt;"",XLOOKUP($F653,Productos!$A:$A,Productos!H:H,"Revisar"),"")</f>
        <v/>
      </c>
      <c r="P653" s="179" t="str">
        <f t="array" ref="P653">IF($F653&lt;&gt;"", XLOOKUP($F653,Productos!$A$2:$A1001,Productos!I$2:I1001,"")*$G653,"")</f>
        <v/>
      </c>
      <c r="Q653" s="179" t="str">
        <f t="array" ref="Q653">IF($F653&lt;&gt;"",XLOOKUP($F653,Productos!$A:$A,Productos!J:J,"Revisar"),"")</f>
        <v/>
      </c>
      <c r="R653" s="179" t="str">
        <f t="array" ref="R653">IF($F653&lt;&gt;"", XLOOKUP($F653,Productos!$A$2:$A1001,Productos!K$2:K1001,"")*$G653,"")</f>
        <v/>
      </c>
      <c r="S653" s="179" t="str">
        <f t="array" ref="S653">IF($F653&lt;&gt;"",XLOOKUP($F653,Productos!$A:$A,Productos!L:L,"Revisar"),"")</f>
        <v/>
      </c>
      <c r="T653" s="179" t="str">
        <f t="array" ref="T653">IF($F653&lt;&gt;"", XLOOKUP($F653,Productos!$A$2:$A1001,Productos!M$2:M1001,"")*$G653,"")</f>
        <v/>
      </c>
      <c r="U653" s="179" t="str">
        <f t="array" ref="U653">IF($F653&lt;&gt;"",XLOOKUP($F653,Productos!$A:$A,Productos!N:N,"Revisar"),"")</f>
        <v/>
      </c>
      <c r="V653" s="179" t="str">
        <f t="array" ref="V653">IF($F653&lt;&gt;"", XLOOKUP($F653,Productos!$A$2:$A1001,Productos!O$2:O1001,"")*$G653,"")</f>
        <v/>
      </c>
      <c r="W653" s="179" t="str">
        <f t="array" ref="W653">IF($F653&lt;&gt;"",XLOOKUP($F653,Productos!$A:$A,Productos!P:P,"Revisar"),"")</f>
        <v/>
      </c>
      <c r="X653" s="179" t="str">
        <f t="array" ref="X653">IF($F653&lt;&gt;"", XLOOKUP($F653,Productos!$A$2:$A1001,Productos!Q$2:Q1001,"")*$G653,"")</f>
        <v/>
      </c>
      <c r="Y653" s="179" t="str">
        <f t="array" ref="Y653">IF($F653&lt;&gt;"",XLOOKUP($F653,Productos!$A:$A,Productos!R:R,"Revisar"),"")</f>
        <v/>
      </c>
      <c r="Z653" s="179" t="str">
        <f t="array" ref="Z653">IF($F653&lt;&gt;"", XLOOKUP($F653,Productos!$A$2:$A1001,Productos!S$2:S1001,"")*$G653,"")</f>
        <v/>
      </c>
      <c r="AA653" s="179" t="str">
        <f t="array" ref="AA653">IF($F653&lt;&gt;"",XLOOKUP($F653,Productos!$A:$A,Productos!T:T,"Revisar"),"")</f>
        <v/>
      </c>
      <c r="AB653" s="179" t="str">
        <f t="array" ref="AB653">IF($F653&lt;&gt;"", XLOOKUP($F653,Productos!$A$2:$A1001,Productos!U$2:U1001,"")*$G653,"")</f>
        <v/>
      </c>
      <c r="AC653" s="179" t="str">
        <f t="array" ref="AC653">IF($F653&lt;&gt;"",XLOOKUP($F653,Productos!$A:$A,Productos!V:V,"Revisar"),"")</f>
        <v/>
      </c>
      <c r="AD653" s="179" t="str">
        <f t="array" ref="AD653">IF($F653&lt;&gt;"", XLOOKUP($F653,Productos!$A$2:$A1001,Productos!W$2:W1001,"")*$G653,"")</f>
        <v/>
      </c>
      <c r="AE653" s="179" t="str">
        <f t="array" ref="AE653">IF($F653&lt;&gt;"",XLOOKUP($F653,Productos!$A:$A,Productos!X:X,"Revisar"),"")</f>
        <v/>
      </c>
      <c r="AF653" s="179" t="str">
        <f t="array" ref="AF653">IF($F653&lt;&gt;"", XLOOKUP($F653,Productos!$A$2:$A1001,Productos!Y$2:Y1001,"")*$G653,"")</f>
        <v/>
      </c>
      <c r="AG653" s="179" t="str">
        <f t="array" ref="AG653">IF($F653&lt;&gt;"",XLOOKUP($F653,Productos!$A:$A,Productos!Z:Z,"Revisar"),"")</f>
        <v/>
      </c>
      <c r="AH653" s="179" t="str">
        <f t="array" ref="AH653">IF($F653&lt;&gt;"", XLOOKUP($F653,Productos!$A$2:$A1001,Productos!AA$2:AA1001,"")*$G653,"")</f>
        <v/>
      </c>
      <c r="AI653" s="179" t="str">
        <f t="array" ref="AI653">IF($F653&lt;&gt;"",XLOOKUP($F653,Productos!$A:$A,Productos!AB:AB,"Revisar"),"")</f>
        <v/>
      </c>
      <c r="AJ653" s="179" t="str">
        <f t="array" ref="AJ653">IF($F653&lt;&gt;"", XLOOKUP($F653,Productos!$A$2:$A1001,Productos!AC$2:AC1001,"")*$G653,"")</f>
        <v/>
      </c>
      <c r="AK653" s="179" t="str">
        <f t="array" ref="AK653">IF($F653&lt;&gt;"",XLOOKUP($F653,Productos!$A:$A,Productos!AD:AD,"Revisar"),"")</f>
        <v/>
      </c>
      <c r="AL653" s="179" t="str">
        <f t="array" ref="AL653">IF($F653&lt;&gt;"", XLOOKUP($F653,Productos!$A$2:$A1001,Productos!AE$2:AE1001,"")*$G653,"")</f>
        <v/>
      </c>
      <c r="AM653" s="179" t="str">
        <f t="array" ref="AM653">IF($F653&lt;&gt;"",XLOOKUP($F653,Productos!$A:$A,Productos!AF:AF,"Revisar"),"")</f>
        <v/>
      </c>
      <c r="AN653" s="179" t="str">
        <f t="array" ref="AN653">IF($F653&lt;&gt;"", XLOOKUP($F653,Productos!$A$2:$A1001,Productos!AG$2:AG1001,"")*$G653,"")</f>
        <v/>
      </c>
      <c r="AO653" s="179" t="str">
        <f t="array" ref="AO653">IF($F653&lt;&gt;"",XLOOKUP($F653,Productos!$A:$A,Productos!AH:AH,"Revisar"),"")</f>
        <v/>
      </c>
      <c r="AP653" s="179" t="str">
        <f t="array" ref="AP653">IF($F653&lt;&gt;"", XLOOKUP($F653,Productos!$A$2:$A1001,Productos!AI$2:AI1001,"")*$G653,"")</f>
        <v/>
      </c>
      <c r="AQ653" s="179" t="str">
        <f t="array" ref="AQ653">IF($F653&lt;&gt;"",XLOOKUP($F653,Productos!$A:$A,Productos!AJ:AJ,"Revisar"),"")</f>
        <v/>
      </c>
      <c r="AR653" s="179" t="str">
        <f t="array" ref="AR653">IF($F653&lt;&gt;"", XLOOKUP($F653,Productos!$A$2:$A1001,Productos!AK$2:AK1001,"")*$G653,"")</f>
        <v/>
      </c>
      <c r="AS653" s="179" t="str">
        <f t="array" ref="AS653">IF($F653&lt;&gt;"",XLOOKUP($F653,Productos!$A:$A,Productos!AL:AL,"Revisar"),"")</f>
        <v/>
      </c>
      <c r="AT653" s="179" t="str">
        <f t="array" ref="AT653">IF($F653&lt;&gt;"", XLOOKUP($F653,Productos!$A$2:$A1001,Productos!AM$2:AM1001,"")*$G653,"")</f>
        <v/>
      </c>
      <c r="AU653" s="179" t="str">
        <f t="array" ref="AU653">IF($F653&lt;&gt;"",XLOOKUP($F653,Productos!$A:$A,Productos!AN:AN,"Revisar"),"")</f>
        <v/>
      </c>
      <c r="AV653" s="179" t="str">
        <f t="array" ref="AV653">IF($F653&lt;&gt;"", XLOOKUP($F653,Productos!$A$2:$A1001,Productos!AO$2:AO1001,"")*$G653,"")</f>
        <v/>
      </c>
      <c r="AW653" s="179" t="str">
        <f t="array" ref="AW653">IF($F653&lt;&gt;"",XLOOKUP($F653,Productos!$A:$A,Productos!AP:AP,"Revisar"),"")</f>
        <v/>
      </c>
      <c r="AX653" s="179" t="str">
        <f t="array" ref="AX653">IF($F653&lt;&gt;"", XLOOKUP($F653,Productos!$A$2:$A1001,Productos!AQ$2:AQ1001,"")*$G653,"")</f>
        <v/>
      </c>
      <c r="AY653" s="179" t="str">
        <f t="array" ref="AY653">IF($F653&lt;&gt;"",XLOOKUP($F653,Productos!$A:$A,Productos!AR:AR,"Revisar"),"")</f>
        <v/>
      </c>
      <c r="AZ653" s="179" t="str">
        <f t="array" ref="AZ653">IF($F653&lt;&gt;"", XLOOKUP($F653,Productos!$A$2:$A1001,Productos!AS$2:AS1001,"")*$G653,"")</f>
        <v/>
      </c>
      <c r="BA653" s="179" t="str">
        <f t="array" ref="BA653">IF($F653&lt;&gt;"",XLOOKUP($F653,Productos!$A:$A,Productos!AT:AT,"Revisar"),"")</f>
        <v/>
      </c>
      <c r="BB653" s="179" t="str">
        <f t="array" ref="BB653">IF($F653&lt;&gt;"", XLOOKUP($F653,Productos!$A$2:$A1001,Productos!AU$2:AU1001,"")*$G653,"")</f>
        <v/>
      </c>
      <c r="BC653" s="179" t="str">
        <f t="array" ref="BC653">IF($F653&lt;&gt;"",XLOOKUP($F653,Productos!$A:$A,Productos!AV:AV,"Revisar"),"")</f>
        <v/>
      </c>
      <c r="BD653" s="179" t="str">
        <f t="array" ref="BD653">IF($F653&lt;&gt;"", XLOOKUP($F653,Productos!$A$2:$A1001,Productos!AW$2:AW1001,"")*$G653,"")</f>
        <v/>
      </c>
      <c r="BE653" s="179" t="str">
        <f t="array" ref="BE653">IF($F653&lt;&gt;"",XLOOKUP($F653,Productos!$A:$A,Productos!AX:AX,"Revisar"),"")</f>
        <v/>
      </c>
      <c r="BF653" s="179" t="str">
        <f t="array" ref="BF653">IF($F653&lt;&gt;"", XLOOKUP($F653,Productos!$A$2:$A1001,Productos!AY$2:AY1001,"")*$G653,"")</f>
        <v/>
      </c>
      <c r="BG653" s="179" t="str">
        <f t="array" ref="BG653">IF($F653&lt;&gt;"",XLOOKUP($F653,Productos!$A:$A,Productos!AZ:AZ,"Revisar"),"")</f>
        <v/>
      </c>
      <c r="BH653" s="179" t="str">
        <f t="array" ref="BH653">IF($F653&lt;&gt;"", XLOOKUP($F653,Productos!$A$2:$A1001,Productos!BA$2:BA1001,"")*$G653,"")</f>
        <v/>
      </c>
      <c r="BI653" s="179" t="str">
        <f t="array" ref="BI653">IF($F653&lt;&gt;"",XLOOKUP($F653,Productos!$A:$A,Productos!BB:BB,"Revisar"),"")</f>
        <v/>
      </c>
      <c r="BJ653" s="179" t="str">
        <f t="array" ref="BJ653">IF($F653&lt;&gt;"", XLOOKUP($F653,Productos!$A$2:$A1001,Productos!BC$2:BC1001,"")*$G653,"")</f>
        <v/>
      </c>
      <c r="BK653" s="179" t="str">
        <f t="array" ref="BK653">IF($F653&lt;&gt;"",XLOOKUP($F653,Productos!$A:$A,Productos!BD:BD,"Revisar"),"")</f>
        <v/>
      </c>
      <c r="BL653" s="179" t="str">
        <f t="array" ref="BL653">IF($F653&lt;&gt;"", XLOOKUP($F653,Productos!$A$2:$A1001,Productos!BE$2:BE1001,"")*$G653,"")</f>
        <v/>
      </c>
      <c r="BM653" s="179" t="str">
        <f t="array" ref="BM653">IF($F653&lt;&gt;"",XLOOKUP($F653,Productos!$A:$A,Productos!BF:BF,"Revisar"),"")</f>
        <v/>
      </c>
      <c r="BN653" s="179" t="str">
        <f t="array" ref="BN653">IF($F653&lt;&gt;"", XLOOKUP($F653,Productos!$A$2:$A1001,Productos!BG$2:BG1001,"")*$G653,"")</f>
        <v/>
      </c>
      <c r="BO653" s="179" t="str">
        <f t="array" ref="BO653">IF($F653&lt;&gt;"",XLOOKUP($F653,Productos!$A:$A,Productos!BH:BH,"Revisar"),"")</f>
        <v/>
      </c>
      <c r="BP653" s="179" t="str">
        <f t="array" ref="BP653">IF($F653&lt;&gt;"", XLOOKUP($F653,Productos!$A$2:$A1001,Productos!BI$2:BI1001,"")*$G653,"")</f>
        <v/>
      </c>
      <c r="BQ653" s="179" t="str">
        <f t="array" ref="BQ653">IF($F653&lt;&gt;"",XLOOKUP($F653,Productos!$A:$A,Productos!BJ:BJ,"Revisar"),"")</f>
        <v/>
      </c>
      <c r="BR653" s="179" t="str">
        <f t="array" ref="BR653">IF($F653&lt;&gt;"", XLOOKUP($F653,Productos!$A$2:$A1001,Productos!BK$2:BK1001,"")*$G653,"")</f>
        <v/>
      </c>
      <c r="BS653" s="179" t="str">
        <f t="array" ref="BS653">IF($F653&lt;&gt;"",XLOOKUP($F653,Productos!$A:$A,Productos!BL:BL,"Revisar"),"")</f>
        <v/>
      </c>
      <c r="BT653" s="179" t="str">
        <f t="array" ref="BT653">IF($F653&lt;&gt;"", XLOOKUP($F653,Productos!$A$2:$A1001,Productos!BM$2:BM1001,"")*$G653,"")</f>
        <v/>
      </c>
      <c r="BU653" s="179" t="str">
        <f t="array" ref="BU653">IF($F653&lt;&gt;"",XLOOKUP($F653,Productos!$A:$A,Productos!BN:BN,"Revisar"),"")</f>
        <v/>
      </c>
      <c r="BV653" s="179" t="str">
        <f t="array" ref="BV653">IF($F653&lt;&gt;"", XLOOKUP($F653,Productos!$A$2:$A1001,Productos!BO$2:BO1001,"")*$G653,"")</f>
        <v/>
      </c>
      <c r="BW653" s="179" t="str">
        <f t="array" ref="BW653">IF($F653&lt;&gt;"",XLOOKUP($F653,Productos!$A:$A,Productos!BP:BP,"Revisar"),"")</f>
        <v/>
      </c>
      <c r="BX653" s="179" t="str">
        <f t="array" ref="BX653">IF($F653&lt;&gt;"", XLOOKUP($F653,Productos!$A$2:$A1001,Productos!BQ$2:BQ1001,"")*$G653,"")</f>
        <v/>
      </c>
      <c r="BY653" s="179" t="str">
        <f t="array" ref="BY653">IF($F653&lt;&gt;"",XLOOKUP($F653,Productos!$A:$A,Productos!BR:BR,"Revisar"),"")</f>
        <v/>
      </c>
      <c r="BZ653" s="179" t="str">
        <f t="array" ref="BZ653">IF($F653&lt;&gt;"", XLOOKUP($F653,Productos!$A$2:$A1001,Productos!BS$2:BS1001,"")*$G653,"")</f>
        <v/>
      </c>
    </row>
    <row r="654">
      <c r="A654" s="188"/>
      <c r="B654" s="189"/>
      <c r="C654" s="190"/>
      <c r="D654" s="190"/>
      <c r="E654" s="191"/>
      <c r="F654" s="186"/>
      <c r="G654" s="192"/>
      <c r="H654" s="9"/>
      <c r="I654" s="179" t="str">
        <f t="array" ref="I654">IF($F654&lt;&gt;"",XLOOKUP($F654,Productos!$A:$A,Productos!B:B,"Revisar"),"")</f>
        <v/>
      </c>
      <c r="J654" s="179" t="str">
        <f t="array" ref="J654">IF($F654&lt;&gt;"", XLOOKUP($F654,Productos!$A$2:$A1001,Productos!C$2:C1001,"")*$G654,"")</f>
        <v/>
      </c>
      <c r="K654" s="179" t="str">
        <f t="array" ref="K654">IF($F654&lt;&gt;"",XLOOKUP($F654,Productos!$A:$A,Productos!D:D,"Revisar"),"")</f>
        <v/>
      </c>
      <c r="L654" s="179" t="str">
        <f t="array" ref="L654">IF($F654&lt;&gt;"", XLOOKUP($F654,Productos!$A$2:$A1001,Productos!E$2:E1001,"")*$G654,"")</f>
        <v/>
      </c>
      <c r="M654" s="179" t="str">
        <f t="array" ref="M654">IF($F654&lt;&gt;"",XLOOKUP($F654,Productos!$A:$A,Productos!F:F,"Revisar"),"")</f>
        <v/>
      </c>
      <c r="N654" s="179" t="str">
        <f t="array" ref="N654">IF($F654&lt;&gt;"", XLOOKUP($F654,Productos!$A$2:$A1001,Productos!G$2:G1001,"")*$G654,"")</f>
        <v/>
      </c>
      <c r="O654" s="179" t="str">
        <f t="array" ref="O654">IF($F654&lt;&gt;"",XLOOKUP($F654,Productos!$A:$A,Productos!H:H,"Revisar"),"")</f>
        <v/>
      </c>
      <c r="P654" s="179" t="str">
        <f t="array" ref="P654">IF($F654&lt;&gt;"", XLOOKUP($F654,Productos!$A$2:$A1001,Productos!I$2:I1001,"")*$G654,"")</f>
        <v/>
      </c>
      <c r="Q654" s="179" t="str">
        <f t="array" ref="Q654">IF($F654&lt;&gt;"",XLOOKUP($F654,Productos!$A:$A,Productos!J:J,"Revisar"),"")</f>
        <v/>
      </c>
      <c r="R654" s="179" t="str">
        <f t="array" ref="R654">IF($F654&lt;&gt;"", XLOOKUP($F654,Productos!$A$2:$A1001,Productos!K$2:K1001,"")*$G654,"")</f>
        <v/>
      </c>
      <c r="S654" s="179" t="str">
        <f t="array" ref="S654">IF($F654&lt;&gt;"",XLOOKUP($F654,Productos!$A:$A,Productos!L:L,"Revisar"),"")</f>
        <v/>
      </c>
      <c r="T654" s="179" t="str">
        <f t="array" ref="T654">IF($F654&lt;&gt;"", XLOOKUP($F654,Productos!$A$2:$A1001,Productos!M$2:M1001,"")*$G654,"")</f>
        <v/>
      </c>
      <c r="U654" s="179" t="str">
        <f t="array" ref="U654">IF($F654&lt;&gt;"",XLOOKUP($F654,Productos!$A:$A,Productos!N:N,"Revisar"),"")</f>
        <v/>
      </c>
      <c r="V654" s="179" t="str">
        <f t="array" ref="V654">IF($F654&lt;&gt;"", XLOOKUP($F654,Productos!$A$2:$A1001,Productos!O$2:O1001,"")*$G654,"")</f>
        <v/>
      </c>
      <c r="W654" s="179" t="str">
        <f t="array" ref="W654">IF($F654&lt;&gt;"",XLOOKUP($F654,Productos!$A:$A,Productos!P:P,"Revisar"),"")</f>
        <v/>
      </c>
      <c r="X654" s="179" t="str">
        <f t="array" ref="X654">IF($F654&lt;&gt;"", XLOOKUP($F654,Productos!$A$2:$A1001,Productos!Q$2:Q1001,"")*$G654,"")</f>
        <v/>
      </c>
      <c r="Y654" s="179" t="str">
        <f t="array" ref="Y654">IF($F654&lt;&gt;"",XLOOKUP($F654,Productos!$A:$A,Productos!R:R,"Revisar"),"")</f>
        <v/>
      </c>
      <c r="Z654" s="179" t="str">
        <f t="array" ref="Z654">IF($F654&lt;&gt;"", XLOOKUP($F654,Productos!$A$2:$A1001,Productos!S$2:S1001,"")*$G654,"")</f>
        <v/>
      </c>
      <c r="AA654" s="179" t="str">
        <f t="array" ref="AA654">IF($F654&lt;&gt;"",XLOOKUP($F654,Productos!$A:$A,Productos!T:T,"Revisar"),"")</f>
        <v/>
      </c>
      <c r="AB654" s="179" t="str">
        <f t="array" ref="AB654">IF($F654&lt;&gt;"", XLOOKUP($F654,Productos!$A$2:$A1001,Productos!U$2:U1001,"")*$G654,"")</f>
        <v/>
      </c>
      <c r="AC654" s="179" t="str">
        <f t="array" ref="AC654">IF($F654&lt;&gt;"",XLOOKUP($F654,Productos!$A:$A,Productos!V:V,"Revisar"),"")</f>
        <v/>
      </c>
      <c r="AD654" s="179" t="str">
        <f t="array" ref="AD654">IF($F654&lt;&gt;"", XLOOKUP($F654,Productos!$A$2:$A1001,Productos!W$2:W1001,"")*$G654,"")</f>
        <v/>
      </c>
      <c r="AE654" s="179" t="str">
        <f t="array" ref="AE654">IF($F654&lt;&gt;"",XLOOKUP($F654,Productos!$A:$A,Productos!X:X,"Revisar"),"")</f>
        <v/>
      </c>
      <c r="AF654" s="179" t="str">
        <f t="array" ref="AF654">IF($F654&lt;&gt;"", XLOOKUP($F654,Productos!$A$2:$A1001,Productos!Y$2:Y1001,"")*$G654,"")</f>
        <v/>
      </c>
      <c r="AG654" s="179" t="str">
        <f t="array" ref="AG654">IF($F654&lt;&gt;"",XLOOKUP($F654,Productos!$A:$A,Productos!Z:Z,"Revisar"),"")</f>
        <v/>
      </c>
      <c r="AH654" s="179" t="str">
        <f t="array" ref="AH654">IF($F654&lt;&gt;"", XLOOKUP($F654,Productos!$A$2:$A1001,Productos!AA$2:AA1001,"")*$G654,"")</f>
        <v/>
      </c>
      <c r="AI654" s="179" t="str">
        <f t="array" ref="AI654">IF($F654&lt;&gt;"",XLOOKUP($F654,Productos!$A:$A,Productos!AB:AB,"Revisar"),"")</f>
        <v/>
      </c>
      <c r="AJ654" s="179" t="str">
        <f t="array" ref="AJ654">IF($F654&lt;&gt;"", XLOOKUP($F654,Productos!$A$2:$A1001,Productos!AC$2:AC1001,"")*$G654,"")</f>
        <v/>
      </c>
      <c r="AK654" s="179" t="str">
        <f t="array" ref="AK654">IF($F654&lt;&gt;"",XLOOKUP($F654,Productos!$A:$A,Productos!AD:AD,"Revisar"),"")</f>
        <v/>
      </c>
      <c r="AL654" s="179" t="str">
        <f t="array" ref="AL654">IF($F654&lt;&gt;"", XLOOKUP($F654,Productos!$A$2:$A1001,Productos!AE$2:AE1001,"")*$G654,"")</f>
        <v/>
      </c>
      <c r="AM654" s="179" t="str">
        <f t="array" ref="AM654">IF($F654&lt;&gt;"",XLOOKUP($F654,Productos!$A:$A,Productos!AF:AF,"Revisar"),"")</f>
        <v/>
      </c>
      <c r="AN654" s="179" t="str">
        <f t="array" ref="AN654">IF($F654&lt;&gt;"", XLOOKUP($F654,Productos!$A$2:$A1001,Productos!AG$2:AG1001,"")*$G654,"")</f>
        <v/>
      </c>
      <c r="AO654" s="179" t="str">
        <f t="array" ref="AO654">IF($F654&lt;&gt;"",XLOOKUP($F654,Productos!$A:$A,Productos!AH:AH,"Revisar"),"")</f>
        <v/>
      </c>
      <c r="AP654" s="179" t="str">
        <f t="array" ref="AP654">IF($F654&lt;&gt;"", XLOOKUP($F654,Productos!$A$2:$A1001,Productos!AI$2:AI1001,"")*$G654,"")</f>
        <v/>
      </c>
      <c r="AQ654" s="179" t="str">
        <f t="array" ref="AQ654">IF($F654&lt;&gt;"",XLOOKUP($F654,Productos!$A:$A,Productos!AJ:AJ,"Revisar"),"")</f>
        <v/>
      </c>
      <c r="AR654" s="179" t="str">
        <f t="array" ref="AR654">IF($F654&lt;&gt;"", XLOOKUP($F654,Productos!$A$2:$A1001,Productos!AK$2:AK1001,"")*$G654,"")</f>
        <v/>
      </c>
      <c r="AS654" s="179" t="str">
        <f t="array" ref="AS654">IF($F654&lt;&gt;"",XLOOKUP($F654,Productos!$A:$A,Productos!AL:AL,"Revisar"),"")</f>
        <v/>
      </c>
      <c r="AT654" s="179" t="str">
        <f t="array" ref="AT654">IF($F654&lt;&gt;"", XLOOKUP($F654,Productos!$A$2:$A1001,Productos!AM$2:AM1001,"")*$G654,"")</f>
        <v/>
      </c>
      <c r="AU654" s="179" t="str">
        <f t="array" ref="AU654">IF($F654&lt;&gt;"",XLOOKUP($F654,Productos!$A:$A,Productos!AN:AN,"Revisar"),"")</f>
        <v/>
      </c>
      <c r="AV654" s="179" t="str">
        <f t="array" ref="AV654">IF($F654&lt;&gt;"", XLOOKUP($F654,Productos!$A$2:$A1001,Productos!AO$2:AO1001,"")*$G654,"")</f>
        <v/>
      </c>
      <c r="AW654" s="179" t="str">
        <f t="array" ref="AW654">IF($F654&lt;&gt;"",XLOOKUP($F654,Productos!$A:$A,Productos!AP:AP,"Revisar"),"")</f>
        <v/>
      </c>
      <c r="AX654" s="179" t="str">
        <f t="array" ref="AX654">IF($F654&lt;&gt;"", XLOOKUP($F654,Productos!$A$2:$A1001,Productos!AQ$2:AQ1001,"")*$G654,"")</f>
        <v/>
      </c>
      <c r="AY654" s="179" t="str">
        <f t="array" ref="AY654">IF($F654&lt;&gt;"",XLOOKUP($F654,Productos!$A:$A,Productos!AR:AR,"Revisar"),"")</f>
        <v/>
      </c>
      <c r="AZ654" s="179" t="str">
        <f t="array" ref="AZ654">IF($F654&lt;&gt;"", XLOOKUP($F654,Productos!$A$2:$A1001,Productos!AS$2:AS1001,"")*$G654,"")</f>
        <v/>
      </c>
      <c r="BA654" s="179" t="str">
        <f t="array" ref="BA654">IF($F654&lt;&gt;"",XLOOKUP($F654,Productos!$A:$A,Productos!AT:AT,"Revisar"),"")</f>
        <v/>
      </c>
      <c r="BB654" s="179" t="str">
        <f t="array" ref="BB654">IF($F654&lt;&gt;"", XLOOKUP($F654,Productos!$A$2:$A1001,Productos!AU$2:AU1001,"")*$G654,"")</f>
        <v/>
      </c>
      <c r="BC654" s="179" t="str">
        <f t="array" ref="BC654">IF($F654&lt;&gt;"",XLOOKUP($F654,Productos!$A:$A,Productos!AV:AV,"Revisar"),"")</f>
        <v/>
      </c>
      <c r="BD654" s="179" t="str">
        <f t="array" ref="BD654">IF($F654&lt;&gt;"", XLOOKUP($F654,Productos!$A$2:$A1001,Productos!AW$2:AW1001,"")*$G654,"")</f>
        <v/>
      </c>
      <c r="BE654" s="179" t="str">
        <f t="array" ref="BE654">IF($F654&lt;&gt;"",XLOOKUP($F654,Productos!$A:$A,Productos!AX:AX,"Revisar"),"")</f>
        <v/>
      </c>
      <c r="BF654" s="179" t="str">
        <f t="array" ref="BF654">IF($F654&lt;&gt;"", XLOOKUP($F654,Productos!$A$2:$A1001,Productos!AY$2:AY1001,"")*$G654,"")</f>
        <v/>
      </c>
      <c r="BG654" s="179" t="str">
        <f t="array" ref="BG654">IF($F654&lt;&gt;"",XLOOKUP($F654,Productos!$A:$A,Productos!AZ:AZ,"Revisar"),"")</f>
        <v/>
      </c>
      <c r="BH654" s="179" t="str">
        <f t="array" ref="BH654">IF($F654&lt;&gt;"", XLOOKUP($F654,Productos!$A$2:$A1001,Productos!BA$2:BA1001,"")*$G654,"")</f>
        <v/>
      </c>
      <c r="BI654" s="179" t="str">
        <f t="array" ref="BI654">IF($F654&lt;&gt;"",XLOOKUP($F654,Productos!$A:$A,Productos!BB:BB,"Revisar"),"")</f>
        <v/>
      </c>
      <c r="BJ654" s="179" t="str">
        <f t="array" ref="BJ654">IF($F654&lt;&gt;"", XLOOKUP($F654,Productos!$A$2:$A1001,Productos!BC$2:BC1001,"")*$G654,"")</f>
        <v/>
      </c>
      <c r="BK654" s="179" t="str">
        <f t="array" ref="BK654">IF($F654&lt;&gt;"",XLOOKUP($F654,Productos!$A:$A,Productos!BD:BD,"Revisar"),"")</f>
        <v/>
      </c>
      <c r="BL654" s="179" t="str">
        <f t="array" ref="BL654">IF($F654&lt;&gt;"", XLOOKUP($F654,Productos!$A$2:$A1001,Productos!BE$2:BE1001,"")*$G654,"")</f>
        <v/>
      </c>
      <c r="BM654" s="179" t="str">
        <f t="array" ref="BM654">IF($F654&lt;&gt;"",XLOOKUP($F654,Productos!$A:$A,Productos!BF:BF,"Revisar"),"")</f>
        <v/>
      </c>
      <c r="BN654" s="179" t="str">
        <f t="array" ref="BN654">IF($F654&lt;&gt;"", XLOOKUP($F654,Productos!$A$2:$A1001,Productos!BG$2:BG1001,"")*$G654,"")</f>
        <v/>
      </c>
      <c r="BO654" s="179" t="str">
        <f t="array" ref="BO654">IF($F654&lt;&gt;"",XLOOKUP($F654,Productos!$A:$A,Productos!BH:BH,"Revisar"),"")</f>
        <v/>
      </c>
      <c r="BP654" s="179" t="str">
        <f t="array" ref="BP654">IF($F654&lt;&gt;"", XLOOKUP($F654,Productos!$A$2:$A1001,Productos!BI$2:BI1001,"")*$G654,"")</f>
        <v/>
      </c>
      <c r="BQ654" s="179" t="str">
        <f t="array" ref="BQ654">IF($F654&lt;&gt;"",XLOOKUP($F654,Productos!$A:$A,Productos!BJ:BJ,"Revisar"),"")</f>
        <v/>
      </c>
      <c r="BR654" s="179" t="str">
        <f t="array" ref="BR654">IF($F654&lt;&gt;"", XLOOKUP($F654,Productos!$A$2:$A1001,Productos!BK$2:BK1001,"")*$G654,"")</f>
        <v/>
      </c>
      <c r="BS654" s="179" t="str">
        <f t="array" ref="BS654">IF($F654&lt;&gt;"",XLOOKUP($F654,Productos!$A:$A,Productos!BL:BL,"Revisar"),"")</f>
        <v/>
      </c>
      <c r="BT654" s="179" t="str">
        <f t="array" ref="BT654">IF($F654&lt;&gt;"", XLOOKUP($F654,Productos!$A$2:$A1001,Productos!BM$2:BM1001,"")*$G654,"")</f>
        <v/>
      </c>
      <c r="BU654" s="179" t="str">
        <f t="array" ref="BU654">IF($F654&lt;&gt;"",XLOOKUP($F654,Productos!$A:$A,Productos!BN:BN,"Revisar"),"")</f>
        <v/>
      </c>
      <c r="BV654" s="179" t="str">
        <f t="array" ref="BV654">IF($F654&lt;&gt;"", XLOOKUP($F654,Productos!$A$2:$A1001,Productos!BO$2:BO1001,"")*$G654,"")</f>
        <v/>
      </c>
      <c r="BW654" s="179" t="str">
        <f t="array" ref="BW654">IF($F654&lt;&gt;"",XLOOKUP($F654,Productos!$A:$A,Productos!BP:BP,"Revisar"),"")</f>
        <v/>
      </c>
      <c r="BX654" s="179" t="str">
        <f t="array" ref="BX654">IF($F654&lt;&gt;"", XLOOKUP($F654,Productos!$A$2:$A1001,Productos!BQ$2:BQ1001,"")*$G654,"")</f>
        <v/>
      </c>
      <c r="BY654" s="179" t="str">
        <f t="array" ref="BY654">IF($F654&lt;&gt;"",XLOOKUP($F654,Productos!$A:$A,Productos!BR:BR,"Revisar"),"")</f>
        <v/>
      </c>
      <c r="BZ654" s="179" t="str">
        <f t="array" ref="BZ654">IF($F654&lt;&gt;"", XLOOKUP($F654,Productos!$A$2:$A1001,Productos!BS$2:BS1001,"")*$G654,"")</f>
        <v/>
      </c>
    </row>
    <row r="655">
      <c r="A655" s="188"/>
      <c r="B655" s="189"/>
      <c r="C655" s="190"/>
      <c r="D655" s="190"/>
      <c r="E655" s="191"/>
      <c r="F655" s="186"/>
      <c r="G655" s="192"/>
      <c r="H655" s="9"/>
      <c r="I655" s="179" t="str">
        <f t="array" ref="I655">IF($F655&lt;&gt;"",XLOOKUP($F655,Productos!$A:$A,Productos!B:B,"Revisar"),"")</f>
        <v/>
      </c>
      <c r="J655" s="179" t="str">
        <f t="array" ref="J655">IF($F655&lt;&gt;"", XLOOKUP($F655,Productos!$A$2:$A1001,Productos!C$2:C1001,"")*$G655,"")</f>
        <v/>
      </c>
      <c r="K655" s="179" t="str">
        <f t="array" ref="K655">IF($F655&lt;&gt;"",XLOOKUP($F655,Productos!$A:$A,Productos!D:D,"Revisar"),"")</f>
        <v/>
      </c>
      <c r="L655" s="179" t="str">
        <f t="array" ref="L655">IF($F655&lt;&gt;"", XLOOKUP($F655,Productos!$A$2:$A1001,Productos!E$2:E1001,"")*$G655,"")</f>
        <v/>
      </c>
      <c r="M655" s="179" t="str">
        <f t="array" ref="M655">IF($F655&lt;&gt;"",XLOOKUP($F655,Productos!$A:$A,Productos!F:F,"Revisar"),"")</f>
        <v/>
      </c>
      <c r="N655" s="179" t="str">
        <f t="array" ref="N655">IF($F655&lt;&gt;"", XLOOKUP($F655,Productos!$A$2:$A1001,Productos!G$2:G1001,"")*$G655,"")</f>
        <v/>
      </c>
      <c r="O655" s="179" t="str">
        <f t="array" ref="O655">IF($F655&lt;&gt;"",XLOOKUP($F655,Productos!$A:$A,Productos!H:H,"Revisar"),"")</f>
        <v/>
      </c>
      <c r="P655" s="179" t="str">
        <f t="array" ref="P655">IF($F655&lt;&gt;"", XLOOKUP($F655,Productos!$A$2:$A1001,Productos!I$2:I1001,"")*$G655,"")</f>
        <v/>
      </c>
      <c r="Q655" s="179" t="str">
        <f t="array" ref="Q655">IF($F655&lt;&gt;"",XLOOKUP($F655,Productos!$A:$A,Productos!J:J,"Revisar"),"")</f>
        <v/>
      </c>
      <c r="R655" s="179" t="str">
        <f t="array" ref="R655">IF($F655&lt;&gt;"", XLOOKUP($F655,Productos!$A$2:$A1001,Productos!K$2:K1001,"")*$G655,"")</f>
        <v/>
      </c>
      <c r="S655" s="179" t="str">
        <f t="array" ref="S655">IF($F655&lt;&gt;"",XLOOKUP($F655,Productos!$A:$A,Productos!L:L,"Revisar"),"")</f>
        <v/>
      </c>
      <c r="T655" s="179" t="str">
        <f t="array" ref="T655">IF($F655&lt;&gt;"", XLOOKUP($F655,Productos!$A$2:$A1001,Productos!M$2:M1001,"")*$G655,"")</f>
        <v/>
      </c>
      <c r="U655" s="179" t="str">
        <f t="array" ref="U655">IF($F655&lt;&gt;"",XLOOKUP($F655,Productos!$A:$A,Productos!N:N,"Revisar"),"")</f>
        <v/>
      </c>
      <c r="V655" s="179" t="str">
        <f t="array" ref="V655">IF($F655&lt;&gt;"", XLOOKUP($F655,Productos!$A$2:$A1001,Productos!O$2:O1001,"")*$G655,"")</f>
        <v/>
      </c>
      <c r="W655" s="179" t="str">
        <f t="array" ref="W655">IF($F655&lt;&gt;"",XLOOKUP($F655,Productos!$A:$A,Productos!P:P,"Revisar"),"")</f>
        <v/>
      </c>
      <c r="X655" s="179" t="str">
        <f t="array" ref="X655">IF($F655&lt;&gt;"", XLOOKUP($F655,Productos!$A$2:$A1001,Productos!Q$2:Q1001,"")*$G655,"")</f>
        <v/>
      </c>
      <c r="Y655" s="179" t="str">
        <f t="array" ref="Y655">IF($F655&lt;&gt;"",XLOOKUP($F655,Productos!$A:$A,Productos!R:R,"Revisar"),"")</f>
        <v/>
      </c>
      <c r="Z655" s="179" t="str">
        <f t="array" ref="Z655">IF($F655&lt;&gt;"", XLOOKUP($F655,Productos!$A$2:$A1001,Productos!S$2:S1001,"")*$G655,"")</f>
        <v/>
      </c>
      <c r="AA655" s="179" t="str">
        <f t="array" ref="AA655">IF($F655&lt;&gt;"",XLOOKUP($F655,Productos!$A:$A,Productos!T:T,"Revisar"),"")</f>
        <v/>
      </c>
      <c r="AB655" s="179" t="str">
        <f t="array" ref="AB655">IF($F655&lt;&gt;"", XLOOKUP($F655,Productos!$A$2:$A1001,Productos!U$2:U1001,"")*$G655,"")</f>
        <v/>
      </c>
      <c r="AC655" s="179" t="str">
        <f t="array" ref="AC655">IF($F655&lt;&gt;"",XLOOKUP($F655,Productos!$A:$A,Productos!V:V,"Revisar"),"")</f>
        <v/>
      </c>
      <c r="AD655" s="179" t="str">
        <f t="array" ref="AD655">IF($F655&lt;&gt;"", XLOOKUP($F655,Productos!$A$2:$A1001,Productos!W$2:W1001,"")*$G655,"")</f>
        <v/>
      </c>
      <c r="AE655" s="179" t="str">
        <f t="array" ref="AE655">IF($F655&lt;&gt;"",XLOOKUP($F655,Productos!$A:$A,Productos!X:X,"Revisar"),"")</f>
        <v/>
      </c>
      <c r="AF655" s="179" t="str">
        <f t="array" ref="AF655">IF($F655&lt;&gt;"", XLOOKUP($F655,Productos!$A$2:$A1001,Productos!Y$2:Y1001,"")*$G655,"")</f>
        <v/>
      </c>
      <c r="AG655" s="179" t="str">
        <f t="array" ref="AG655">IF($F655&lt;&gt;"",XLOOKUP($F655,Productos!$A:$A,Productos!Z:Z,"Revisar"),"")</f>
        <v/>
      </c>
      <c r="AH655" s="179" t="str">
        <f t="array" ref="AH655">IF($F655&lt;&gt;"", XLOOKUP($F655,Productos!$A$2:$A1001,Productos!AA$2:AA1001,"")*$G655,"")</f>
        <v/>
      </c>
      <c r="AI655" s="179" t="str">
        <f t="array" ref="AI655">IF($F655&lt;&gt;"",XLOOKUP($F655,Productos!$A:$A,Productos!AB:AB,"Revisar"),"")</f>
        <v/>
      </c>
      <c r="AJ655" s="179" t="str">
        <f t="array" ref="AJ655">IF($F655&lt;&gt;"", XLOOKUP($F655,Productos!$A$2:$A1001,Productos!AC$2:AC1001,"")*$G655,"")</f>
        <v/>
      </c>
      <c r="AK655" s="179" t="str">
        <f t="array" ref="AK655">IF($F655&lt;&gt;"",XLOOKUP($F655,Productos!$A:$A,Productos!AD:AD,"Revisar"),"")</f>
        <v/>
      </c>
      <c r="AL655" s="179" t="str">
        <f t="array" ref="AL655">IF($F655&lt;&gt;"", XLOOKUP($F655,Productos!$A$2:$A1001,Productos!AE$2:AE1001,"")*$G655,"")</f>
        <v/>
      </c>
      <c r="AM655" s="179" t="str">
        <f t="array" ref="AM655">IF($F655&lt;&gt;"",XLOOKUP($F655,Productos!$A:$A,Productos!AF:AF,"Revisar"),"")</f>
        <v/>
      </c>
      <c r="AN655" s="179" t="str">
        <f t="array" ref="AN655">IF($F655&lt;&gt;"", XLOOKUP($F655,Productos!$A$2:$A1001,Productos!AG$2:AG1001,"")*$G655,"")</f>
        <v/>
      </c>
      <c r="AO655" s="179" t="str">
        <f t="array" ref="AO655">IF($F655&lt;&gt;"",XLOOKUP($F655,Productos!$A:$A,Productos!AH:AH,"Revisar"),"")</f>
        <v/>
      </c>
      <c r="AP655" s="179" t="str">
        <f t="array" ref="AP655">IF($F655&lt;&gt;"", XLOOKUP($F655,Productos!$A$2:$A1001,Productos!AI$2:AI1001,"")*$G655,"")</f>
        <v/>
      </c>
      <c r="AQ655" s="179" t="str">
        <f t="array" ref="AQ655">IF($F655&lt;&gt;"",XLOOKUP($F655,Productos!$A:$A,Productos!AJ:AJ,"Revisar"),"")</f>
        <v/>
      </c>
      <c r="AR655" s="179" t="str">
        <f t="array" ref="AR655">IF($F655&lt;&gt;"", XLOOKUP($F655,Productos!$A$2:$A1001,Productos!AK$2:AK1001,"")*$G655,"")</f>
        <v/>
      </c>
      <c r="AS655" s="179" t="str">
        <f t="array" ref="AS655">IF($F655&lt;&gt;"",XLOOKUP($F655,Productos!$A:$A,Productos!AL:AL,"Revisar"),"")</f>
        <v/>
      </c>
      <c r="AT655" s="179" t="str">
        <f t="array" ref="AT655">IF($F655&lt;&gt;"", XLOOKUP($F655,Productos!$A$2:$A1001,Productos!AM$2:AM1001,"")*$G655,"")</f>
        <v/>
      </c>
      <c r="AU655" s="179" t="str">
        <f t="array" ref="AU655">IF($F655&lt;&gt;"",XLOOKUP($F655,Productos!$A:$A,Productos!AN:AN,"Revisar"),"")</f>
        <v/>
      </c>
      <c r="AV655" s="179" t="str">
        <f t="array" ref="AV655">IF($F655&lt;&gt;"", XLOOKUP($F655,Productos!$A$2:$A1001,Productos!AO$2:AO1001,"")*$G655,"")</f>
        <v/>
      </c>
      <c r="AW655" s="179" t="str">
        <f t="array" ref="AW655">IF($F655&lt;&gt;"",XLOOKUP($F655,Productos!$A:$A,Productos!AP:AP,"Revisar"),"")</f>
        <v/>
      </c>
      <c r="AX655" s="179" t="str">
        <f t="array" ref="AX655">IF($F655&lt;&gt;"", XLOOKUP($F655,Productos!$A$2:$A1001,Productos!AQ$2:AQ1001,"")*$G655,"")</f>
        <v/>
      </c>
      <c r="AY655" s="179" t="str">
        <f t="array" ref="AY655">IF($F655&lt;&gt;"",XLOOKUP($F655,Productos!$A:$A,Productos!AR:AR,"Revisar"),"")</f>
        <v/>
      </c>
      <c r="AZ655" s="179" t="str">
        <f t="array" ref="AZ655">IF($F655&lt;&gt;"", XLOOKUP($F655,Productos!$A$2:$A1001,Productos!AS$2:AS1001,"")*$G655,"")</f>
        <v/>
      </c>
      <c r="BA655" s="179" t="str">
        <f t="array" ref="BA655">IF($F655&lt;&gt;"",XLOOKUP($F655,Productos!$A:$A,Productos!AT:AT,"Revisar"),"")</f>
        <v/>
      </c>
      <c r="BB655" s="179" t="str">
        <f t="array" ref="BB655">IF($F655&lt;&gt;"", XLOOKUP($F655,Productos!$A$2:$A1001,Productos!AU$2:AU1001,"")*$G655,"")</f>
        <v/>
      </c>
      <c r="BC655" s="179" t="str">
        <f t="array" ref="BC655">IF($F655&lt;&gt;"",XLOOKUP($F655,Productos!$A:$A,Productos!AV:AV,"Revisar"),"")</f>
        <v/>
      </c>
      <c r="BD655" s="179" t="str">
        <f t="array" ref="BD655">IF($F655&lt;&gt;"", XLOOKUP($F655,Productos!$A$2:$A1001,Productos!AW$2:AW1001,"")*$G655,"")</f>
        <v/>
      </c>
      <c r="BE655" s="179" t="str">
        <f t="array" ref="BE655">IF($F655&lt;&gt;"",XLOOKUP($F655,Productos!$A:$A,Productos!AX:AX,"Revisar"),"")</f>
        <v/>
      </c>
      <c r="BF655" s="179" t="str">
        <f t="array" ref="BF655">IF($F655&lt;&gt;"", XLOOKUP($F655,Productos!$A$2:$A1001,Productos!AY$2:AY1001,"")*$G655,"")</f>
        <v/>
      </c>
      <c r="BG655" s="179" t="str">
        <f t="array" ref="BG655">IF($F655&lt;&gt;"",XLOOKUP($F655,Productos!$A:$A,Productos!AZ:AZ,"Revisar"),"")</f>
        <v/>
      </c>
      <c r="BH655" s="179" t="str">
        <f t="array" ref="BH655">IF($F655&lt;&gt;"", XLOOKUP($F655,Productos!$A$2:$A1001,Productos!BA$2:BA1001,"")*$G655,"")</f>
        <v/>
      </c>
      <c r="BI655" s="179" t="str">
        <f t="array" ref="BI655">IF($F655&lt;&gt;"",XLOOKUP($F655,Productos!$A:$A,Productos!BB:BB,"Revisar"),"")</f>
        <v/>
      </c>
      <c r="BJ655" s="179" t="str">
        <f t="array" ref="BJ655">IF($F655&lt;&gt;"", XLOOKUP($F655,Productos!$A$2:$A1001,Productos!BC$2:BC1001,"")*$G655,"")</f>
        <v/>
      </c>
      <c r="BK655" s="179" t="str">
        <f t="array" ref="BK655">IF($F655&lt;&gt;"",XLOOKUP($F655,Productos!$A:$A,Productos!BD:BD,"Revisar"),"")</f>
        <v/>
      </c>
      <c r="BL655" s="179" t="str">
        <f t="array" ref="BL655">IF($F655&lt;&gt;"", XLOOKUP($F655,Productos!$A$2:$A1001,Productos!BE$2:BE1001,"")*$G655,"")</f>
        <v/>
      </c>
      <c r="BM655" s="179" t="str">
        <f t="array" ref="BM655">IF($F655&lt;&gt;"",XLOOKUP($F655,Productos!$A:$A,Productos!BF:BF,"Revisar"),"")</f>
        <v/>
      </c>
      <c r="BN655" s="179" t="str">
        <f t="array" ref="BN655">IF($F655&lt;&gt;"", XLOOKUP($F655,Productos!$A$2:$A1001,Productos!BG$2:BG1001,"")*$G655,"")</f>
        <v/>
      </c>
      <c r="BO655" s="179" t="str">
        <f t="array" ref="BO655">IF($F655&lt;&gt;"",XLOOKUP($F655,Productos!$A:$A,Productos!BH:BH,"Revisar"),"")</f>
        <v/>
      </c>
      <c r="BP655" s="179" t="str">
        <f t="array" ref="BP655">IF($F655&lt;&gt;"", XLOOKUP($F655,Productos!$A$2:$A1001,Productos!BI$2:BI1001,"")*$G655,"")</f>
        <v/>
      </c>
      <c r="BQ655" s="179" t="str">
        <f t="array" ref="BQ655">IF($F655&lt;&gt;"",XLOOKUP($F655,Productos!$A:$A,Productos!BJ:BJ,"Revisar"),"")</f>
        <v/>
      </c>
      <c r="BR655" s="179" t="str">
        <f t="array" ref="BR655">IF($F655&lt;&gt;"", XLOOKUP($F655,Productos!$A$2:$A1001,Productos!BK$2:BK1001,"")*$G655,"")</f>
        <v/>
      </c>
      <c r="BS655" s="179" t="str">
        <f t="array" ref="BS655">IF($F655&lt;&gt;"",XLOOKUP($F655,Productos!$A:$A,Productos!BL:BL,"Revisar"),"")</f>
        <v/>
      </c>
      <c r="BT655" s="179" t="str">
        <f t="array" ref="BT655">IF($F655&lt;&gt;"", XLOOKUP($F655,Productos!$A$2:$A1001,Productos!BM$2:BM1001,"")*$G655,"")</f>
        <v/>
      </c>
      <c r="BU655" s="179" t="str">
        <f t="array" ref="BU655">IF($F655&lt;&gt;"",XLOOKUP($F655,Productos!$A:$A,Productos!BN:BN,"Revisar"),"")</f>
        <v/>
      </c>
      <c r="BV655" s="179" t="str">
        <f t="array" ref="BV655">IF($F655&lt;&gt;"", XLOOKUP($F655,Productos!$A$2:$A1001,Productos!BO$2:BO1001,"")*$G655,"")</f>
        <v/>
      </c>
      <c r="BW655" s="179" t="str">
        <f t="array" ref="BW655">IF($F655&lt;&gt;"",XLOOKUP($F655,Productos!$A:$A,Productos!BP:BP,"Revisar"),"")</f>
        <v/>
      </c>
      <c r="BX655" s="179" t="str">
        <f t="array" ref="BX655">IF($F655&lt;&gt;"", XLOOKUP($F655,Productos!$A$2:$A1001,Productos!BQ$2:BQ1001,"")*$G655,"")</f>
        <v/>
      </c>
      <c r="BY655" s="179" t="str">
        <f t="array" ref="BY655">IF($F655&lt;&gt;"",XLOOKUP($F655,Productos!$A:$A,Productos!BR:BR,"Revisar"),"")</f>
        <v/>
      </c>
      <c r="BZ655" s="179" t="str">
        <f t="array" ref="BZ655">IF($F655&lt;&gt;"", XLOOKUP($F655,Productos!$A$2:$A1001,Productos!BS$2:BS1001,"")*$G655,"")</f>
        <v/>
      </c>
    </row>
    <row r="656">
      <c r="A656" s="188"/>
      <c r="B656" s="189"/>
      <c r="C656" s="190"/>
      <c r="D656" s="190"/>
      <c r="E656" s="191"/>
      <c r="F656" s="186"/>
      <c r="G656" s="192"/>
      <c r="H656" s="9"/>
      <c r="I656" s="179" t="str">
        <f t="array" ref="I656">IF($F656&lt;&gt;"",XLOOKUP($F656,Productos!$A:$A,Productos!B:B,"Revisar"),"")</f>
        <v/>
      </c>
      <c r="J656" s="179" t="str">
        <f t="array" ref="J656">IF($F656&lt;&gt;"", XLOOKUP($F656,Productos!$A$2:$A1001,Productos!C$2:C1001,"")*$G656,"")</f>
        <v/>
      </c>
      <c r="K656" s="179" t="str">
        <f t="array" ref="K656">IF($F656&lt;&gt;"",XLOOKUP($F656,Productos!$A:$A,Productos!D:D,"Revisar"),"")</f>
        <v/>
      </c>
      <c r="L656" s="179" t="str">
        <f t="array" ref="L656">IF($F656&lt;&gt;"", XLOOKUP($F656,Productos!$A$2:$A1001,Productos!E$2:E1001,"")*$G656,"")</f>
        <v/>
      </c>
      <c r="M656" s="179" t="str">
        <f t="array" ref="M656">IF($F656&lt;&gt;"",XLOOKUP($F656,Productos!$A:$A,Productos!F:F,"Revisar"),"")</f>
        <v/>
      </c>
      <c r="N656" s="179" t="str">
        <f t="array" ref="N656">IF($F656&lt;&gt;"", XLOOKUP($F656,Productos!$A$2:$A1001,Productos!G$2:G1001,"")*$G656,"")</f>
        <v/>
      </c>
      <c r="O656" s="179" t="str">
        <f t="array" ref="O656">IF($F656&lt;&gt;"",XLOOKUP($F656,Productos!$A:$A,Productos!H:H,"Revisar"),"")</f>
        <v/>
      </c>
      <c r="P656" s="179" t="str">
        <f t="array" ref="P656">IF($F656&lt;&gt;"", XLOOKUP($F656,Productos!$A$2:$A1001,Productos!I$2:I1001,"")*$G656,"")</f>
        <v/>
      </c>
      <c r="Q656" s="179" t="str">
        <f t="array" ref="Q656">IF($F656&lt;&gt;"",XLOOKUP($F656,Productos!$A:$A,Productos!J:J,"Revisar"),"")</f>
        <v/>
      </c>
      <c r="R656" s="179" t="str">
        <f t="array" ref="R656">IF($F656&lt;&gt;"", XLOOKUP($F656,Productos!$A$2:$A1001,Productos!K$2:K1001,"")*$G656,"")</f>
        <v/>
      </c>
      <c r="S656" s="179" t="str">
        <f t="array" ref="S656">IF($F656&lt;&gt;"",XLOOKUP($F656,Productos!$A:$A,Productos!L:L,"Revisar"),"")</f>
        <v/>
      </c>
      <c r="T656" s="179" t="str">
        <f t="array" ref="T656">IF($F656&lt;&gt;"", XLOOKUP($F656,Productos!$A$2:$A1001,Productos!M$2:M1001,"")*$G656,"")</f>
        <v/>
      </c>
      <c r="U656" s="179" t="str">
        <f t="array" ref="U656">IF($F656&lt;&gt;"",XLOOKUP($F656,Productos!$A:$A,Productos!N:N,"Revisar"),"")</f>
        <v/>
      </c>
      <c r="V656" s="179" t="str">
        <f t="array" ref="V656">IF($F656&lt;&gt;"", XLOOKUP($F656,Productos!$A$2:$A1001,Productos!O$2:O1001,"")*$G656,"")</f>
        <v/>
      </c>
      <c r="W656" s="179" t="str">
        <f t="array" ref="W656">IF($F656&lt;&gt;"",XLOOKUP($F656,Productos!$A:$A,Productos!P:P,"Revisar"),"")</f>
        <v/>
      </c>
      <c r="X656" s="179" t="str">
        <f t="array" ref="X656">IF($F656&lt;&gt;"", XLOOKUP($F656,Productos!$A$2:$A1001,Productos!Q$2:Q1001,"")*$G656,"")</f>
        <v/>
      </c>
      <c r="Y656" s="179" t="str">
        <f t="array" ref="Y656">IF($F656&lt;&gt;"",XLOOKUP($F656,Productos!$A:$A,Productos!R:R,"Revisar"),"")</f>
        <v/>
      </c>
      <c r="Z656" s="179" t="str">
        <f t="array" ref="Z656">IF($F656&lt;&gt;"", XLOOKUP($F656,Productos!$A$2:$A1001,Productos!S$2:S1001,"")*$G656,"")</f>
        <v/>
      </c>
      <c r="AA656" s="179" t="str">
        <f t="array" ref="AA656">IF($F656&lt;&gt;"",XLOOKUP($F656,Productos!$A:$A,Productos!T:T,"Revisar"),"")</f>
        <v/>
      </c>
      <c r="AB656" s="179" t="str">
        <f t="array" ref="AB656">IF($F656&lt;&gt;"", XLOOKUP($F656,Productos!$A$2:$A1001,Productos!U$2:U1001,"")*$G656,"")</f>
        <v/>
      </c>
      <c r="AC656" s="179" t="str">
        <f t="array" ref="AC656">IF($F656&lt;&gt;"",XLOOKUP($F656,Productos!$A:$A,Productos!V:V,"Revisar"),"")</f>
        <v/>
      </c>
      <c r="AD656" s="179" t="str">
        <f t="array" ref="AD656">IF($F656&lt;&gt;"", XLOOKUP($F656,Productos!$A$2:$A1001,Productos!W$2:W1001,"")*$G656,"")</f>
        <v/>
      </c>
      <c r="AE656" s="179" t="str">
        <f t="array" ref="AE656">IF($F656&lt;&gt;"",XLOOKUP($F656,Productos!$A:$A,Productos!X:X,"Revisar"),"")</f>
        <v/>
      </c>
      <c r="AF656" s="179" t="str">
        <f t="array" ref="AF656">IF($F656&lt;&gt;"", XLOOKUP($F656,Productos!$A$2:$A1001,Productos!Y$2:Y1001,"")*$G656,"")</f>
        <v/>
      </c>
      <c r="AG656" s="179" t="str">
        <f t="array" ref="AG656">IF($F656&lt;&gt;"",XLOOKUP($F656,Productos!$A:$A,Productos!Z:Z,"Revisar"),"")</f>
        <v/>
      </c>
      <c r="AH656" s="179" t="str">
        <f t="array" ref="AH656">IF($F656&lt;&gt;"", XLOOKUP($F656,Productos!$A$2:$A1001,Productos!AA$2:AA1001,"")*$G656,"")</f>
        <v/>
      </c>
      <c r="AI656" s="179" t="str">
        <f t="array" ref="AI656">IF($F656&lt;&gt;"",XLOOKUP($F656,Productos!$A:$A,Productos!AB:AB,"Revisar"),"")</f>
        <v/>
      </c>
      <c r="AJ656" s="179" t="str">
        <f t="array" ref="AJ656">IF($F656&lt;&gt;"", XLOOKUP($F656,Productos!$A$2:$A1001,Productos!AC$2:AC1001,"")*$G656,"")</f>
        <v/>
      </c>
      <c r="AK656" s="179" t="str">
        <f t="array" ref="AK656">IF($F656&lt;&gt;"",XLOOKUP($F656,Productos!$A:$A,Productos!AD:AD,"Revisar"),"")</f>
        <v/>
      </c>
      <c r="AL656" s="179" t="str">
        <f t="array" ref="AL656">IF($F656&lt;&gt;"", XLOOKUP($F656,Productos!$A$2:$A1001,Productos!AE$2:AE1001,"")*$G656,"")</f>
        <v/>
      </c>
      <c r="AM656" s="179" t="str">
        <f t="array" ref="AM656">IF($F656&lt;&gt;"",XLOOKUP($F656,Productos!$A:$A,Productos!AF:AF,"Revisar"),"")</f>
        <v/>
      </c>
      <c r="AN656" s="179" t="str">
        <f t="array" ref="AN656">IF($F656&lt;&gt;"", XLOOKUP($F656,Productos!$A$2:$A1001,Productos!AG$2:AG1001,"")*$G656,"")</f>
        <v/>
      </c>
      <c r="AO656" s="179" t="str">
        <f t="array" ref="AO656">IF($F656&lt;&gt;"",XLOOKUP($F656,Productos!$A:$A,Productos!AH:AH,"Revisar"),"")</f>
        <v/>
      </c>
      <c r="AP656" s="179" t="str">
        <f t="array" ref="AP656">IF($F656&lt;&gt;"", XLOOKUP($F656,Productos!$A$2:$A1001,Productos!AI$2:AI1001,"")*$G656,"")</f>
        <v/>
      </c>
      <c r="AQ656" s="179" t="str">
        <f t="array" ref="AQ656">IF($F656&lt;&gt;"",XLOOKUP($F656,Productos!$A:$A,Productos!AJ:AJ,"Revisar"),"")</f>
        <v/>
      </c>
      <c r="AR656" s="179" t="str">
        <f t="array" ref="AR656">IF($F656&lt;&gt;"", XLOOKUP($F656,Productos!$A$2:$A1001,Productos!AK$2:AK1001,"")*$G656,"")</f>
        <v/>
      </c>
      <c r="AS656" s="179" t="str">
        <f t="array" ref="AS656">IF($F656&lt;&gt;"",XLOOKUP($F656,Productos!$A:$A,Productos!AL:AL,"Revisar"),"")</f>
        <v/>
      </c>
      <c r="AT656" s="179" t="str">
        <f t="array" ref="AT656">IF($F656&lt;&gt;"", XLOOKUP($F656,Productos!$A$2:$A1001,Productos!AM$2:AM1001,"")*$G656,"")</f>
        <v/>
      </c>
      <c r="AU656" s="179" t="str">
        <f t="array" ref="AU656">IF($F656&lt;&gt;"",XLOOKUP($F656,Productos!$A:$A,Productos!AN:AN,"Revisar"),"")</f>
        <v/>
      </c>
      <c r="AV656" s="179" t="str">
        <f t="array" ref="AV656">IF($F656&lt;&gt;"", XLOOKUP($F656,Productos!$A$2:$A1001,Productos!AO$2:AO1001,"")*$G656,"")</f>
        <v/>
      </c>
      <c r="AW656" s="179" t="str">
        <f t="array" ref="AW656">IF($F656&lt;&gt;"",XLOOKUP($F656,Productos!$A:$A,Productos!AP:AP,"Revisar"),"")</f>
        <v/>
      </c>
      <c r="AX656" s="179" t="str">
        <f t="array" ref="AX656">IF($F656&lt;&gt;"", XLOOKUP($F656,Productos!$A$2:$A1001,Productos!AQ$2:AQ1001,"")*$G656,"")</f>
        <v/>
      </c>
      <c r="AY656" s="179" t="str">
        <f t="array" ref="AY656">IF($F656&lt;&gt;"",XLOOKUP($F656,Productos!$A:$A,Productos!AR:AR,"Revisar"),"")</f>
        <v/>
      </c>
      <c r="AZ656" s="179" t="str">
        <f t="array" ref="AZ656">IF($F656&lt;&gt;"", XLOOKUP($F656,Productos!$A$2:$A1001,Productos!AS$2:AS1001,"")*$G656,"")</f>
        <v/>
      </c>
      <c r="BA656" s="179" t="str">
        <f t="array" ref="BA656">IF($F656&lt;&gt;"",XLOOKUP($F656,Productos!$A:$A,Productos!AT:AT,"Revisar"),"")</f>
        <v/>
      </c>
      <c r="BB656" s="179" t="str">
        <f t="array" ref="BB656">IF($F656&lt;&gt;"", XLOOKUP($F656,Productos!$A$2:$A1001,Productos!AU$2:AU1001,"")*$G656,"")</f>
        <v/>
      </c>
      <c r="BC656" s="179" t="str">
        <f t="array" ref="BC656">IF($F656&lt;&gt;"",XLOOKUP($F656,Productos!$A:$A,Productos!AV:AV,"Revisar"),"")</f>
        <v/>
      </c>
      <c r="BD656" s="179" t="str">
        <f t="array" ref="BD656">IF($F656&lt;&gt;"", XLOOKUP($F656,Productos!$A$2:$A1001,Productos!AW$2:AW1001,"")*$G656,"")</f>
        <v/>
      </c>
      <c r="BE656" s="179" t="str">
        <f t="array" ref="BE656">IF($F656&lt;&gt;"",XLOOKUP($F656,Productos!$A:$A,Productos!AX:AX,"Revisar"),"")</f>
        <v/>
      </c>
      <c r="BF656" s="179" t="str">
        <f t="array" ref="BF656">IF($F656&lt;&gt;"", XLOOKUP($F656,Productos!$A$2:$A1001,Productos!AY$2:AY1001,"")*$G656,"")</f>
        <v/>
      </c>
      <c r="BG656" s="179" t="str">
        <f t="array" ref="BG656">IF($F656&lt;&gt;"",XLOOKUP($F656,Productos!$A:$A,Productos!AZ:AZ,"Revisar"),"")</f>
        <v/>
      </c>
      <c r="BH656" s="179" t="str">
        <f t="array" ref="BH656">IF($F656&lt;&gt;"", XLOOKUP($F656,Productos!$A$2:$A1001,Productos!BA$2:BA1001,"")*$G656,"")</f>
        <v/>
      </c>
      <c r="BI656" s="179" t="str">
        <f t="array" ref="BI656">IF($F656&lt;&gt;"",XLOOKUP($F656,Productos!$A:$A,Productos!BB:BB,"Revisar"),"")</f>
        <v/>
      </c>
      <c r="BJ656" s="179" t="str">
        <f t="array" ref="BJ656">IF($F656&lt;&gt;"", XLOOKUP($F656,Productos!$A$2:$A1001,Productos!BC$2:BC1001,"")*$G656,"")</f>
        <v/>
      </c>
      <c r="BK656" s="179" t="str">
        <f t="array" ref="BK656">IF($F656&lt;&gt;"",XLOOKUP($F656,Productos!$A:$A,Productos!BD:BD,"Revisar"),"")</f>
        <v/>
      </c>
      <c r="BL656" s="179" t="str">
        <f t="array" ref="BL656">IF($F656&lt;&gt;"", XLOOKUP($F656,Productos!$A$2:$A1001,Productos!BE$2:BE1001,"")*$G656,"")</f>
        <v/>
      </c>
      <c r="BM656" s="179" t="str">
        <f t="array" ref="BM656">IF($F656&lt;&gt;"",XLOOKUP($F656,Productos!$A:$A,Productos!BF:BF,"Revisar"),"")</f>
        <v/>
      </c>
      <c r="BN656" s="179" t="str">
        <f t="array" ref="BN656">IF($F656&lt;&gt;"", XLOOKUP($F656,Productos!$A$2:$A1001,Productos!BG$2:BG1001,"")*$G656,"")</f>
        <v/>
      </c>
      <c r="BO656" s="179" t="str">
        <f t="array" ref="BO656">IF($F656&lt;&gt;"",XLOOKUP($F656,Productos!$A:$A,Productos!BH:BH,"Revisar"),"")</f>
        <v/>
      </c>
      <c r="BP656" s="179" t="str">
        <f t="array" ref="BP656">IF($F656&lt;&gt;"", XLOOKUP($F656,Productos!$A$2:$A1001,Productos!BI$2:BI1001,"")*$G656,"")</f>
        <v/>
      </c>
      <c r="BQ656" s="179" t="str">
        <f t="array" ref="BQ656">IF($F656&lt;&gt;"",XLOOKUP($F656,Productos!$A:$A,Productos!BJ:BJ,"Revisar"),"")</f>
        <v/>
      </c>
      <c r="BR656" s="179" t="str">
        <f t="array" ref="BR656">IF($F656&lt;&gt;"", XLOOKUP($F656,Productos!$A$2:$A1001,Productos!BK$2:BK1001,"")*$G656,"")</f>
        <v/>
      </c>
      <c r="BS656" s="179" t="str">
        <f t="array" ref="BS656">IF($F656&lt;&gt;"",XLOOKUP($F656,Productos!$A:$A,Productos!BL:BL,"Revisar"),"")</f>
        <v/>
      </c>
      <c r="BT656" s="179" t="str">
        <f t="array" ref="BT656">IF($F656&lt;&gt;"", XLOOKUP($F656,Productos!$A$2:$A1001,Productos!BM$2:BM1001,"")*$G656,"")</f>
        <v/>
      </c>
      <c r="BU656" s="179" t="str">
        <f t="array" ref="BU656">IF($F656&lt;&gt;"",XLOOKUP($F656,Productos!$A:$A,Productos!BN:BN,"Revisar"),"")</f>
        <v/>
      </c>
      <c r="BV656" s="179" t="str">
        <f t="array" ref="BV656">IF($F656&lt;&gt;"", XLOOKUP($F656,Productos!$A$2:$A1001,Productos!BO$2:BO1001,"")*$G656,"")</f>
        <v/>
      </c>
      <c r="BW656" s="179" t="str">
        <f t="array" ref="BW656">IF($F656&lt;&gt;"",XLOOKUP($F656,Productos!$A:$A,Productos!BP:BP,"Revisar"),"")</f>
        <v/>
      </c>
      <c r="BX656" s="179" t="str">
        <f t="array" ref="BX656">IF($F656&lt;&gt;"", XLOOKUP($F656,Productos!$A$2:$A1001,Productos!BQ$2:BQ1001,"")*$G656,"")</f>
        <v/>
      </c>
      <c r="BY656" s="179" t="str">
        <f t="array" ref="BY656">IF($F656&lt;&gt;"",XLOOKUP($F656,Productos!$A:$A,Productos!BR:BR,"Revisar"),"")</f>
        <v/>
      </c>
      <c r="BZ656" s="179" t="str">
        <f t="array" ref="BZ656">IF($F656&lt;&gt;"", XLOOKUP($F656,Productos!$A$2:$A1001,Productos!BS$2:BS1001,"")*$G656,"")</f>
        <v/>
      </c>
    </row>
    <row r="657">
      <c r="A657" s="188"/>
      <c r="B657" s="189"/>
      <c r="C657" s="190"/>
      <c r="D657" s="190"/>
      <c r="E657" s="191"/>
      <c r="F657" s="186"/>
      <c r="G657" s="192"/>
      <c r="H657" s="9"/>
      <c r="I657" s="179" t="str">
        <f t="array" ref="I657">IF($F657&lt;&gt;"",XLOOKUP($F657,Productos!$A:$A,Productos!B:B,"Revisar"),"")</f>
        <v/>
      </c>
      <c r="J657" s="179" t="str">
        <f t="array" ref="J657">IF($F657&lt;&gt;"", XLOOKUP($F657,Productos!$A$2:$A1001,Productos!C$2:C1001,"")*$G657,"")</f>
        <v/>
      </c>
      <c r="K657" s="179" t="str">
        <f t="array" ref="K657">IF($F657&lt;&gt;"",XLOOKUP($F657,Productos!$A:$A,Productos!D:D,"Revisar"),"")</f>
        <v/>
      </c>
      <c r="L657" s="179" t="str">
        <f t="array" ref="L657">IF($F657&lt;&gt;"", XLOOKUP($F657,Productos!$A$2:$A1001,Productos!E$2:E1001,"")*$G657,"")</f>
        <v/>
      </c>
      <c r="M657" s="179" t="str">
        <f t="array" ref="M657">IF($F657&lt;&gt;"",XLOOKUP($F657,Productos!$A:$A,Productos!F:F,"Revisar"),"")</f>
        <v/>
      </c>
      <c r="N657" s="179" t="str">
        <f t="array" ref="N657">IF($F657&lt;&gt;"", XLOOKUP($F657,Productos!$A$2:$A1001,Productos!G$2:G1001,"")*$G657,"")</f>
        <v/>
      </c>
      <c r="O657" s="179" t="str">
        <f t="array" ref="O657">IF($F657&lt;&gt;"",XLOOKUP($F657,Productos!$A:$A,Productos!H:H,"Revisar"),"")</f>
        <v/>
      </c>
      <c r="P657" s="179" t="str">
        <f t="array" ref="P657">IF($F657&lt;&gt;"", XLOOKUP($F657,Productos!$A$2:$A1001,Productos!I$2:I1001,"")*$G657,"")</f>
        <v/>
      </c>
      <c r="Q657" s="179" t="str">
        <f t="array" ref="Q657">IF($F657&lt;&gt;"",XLOOKUP($F657,Productos!$A:$A,Productos!J:J,"Revisar"),"")</f>
        <v/>
      </c>
      <c r="R657" s="179" t="str">
        <f t="array" ref="R657">IF($F657&lt;&gt;"", XLOOKUP($F657,Productos!$A$2:$A1001,Productos!K$2:K1001,"")*$G657,"")</f>
        <v/>
      </c>
      <c r="S657" s="179" t="str">
        <f t="array" ref="S657">IF($F657&lt;&gt;"",XLOOKUP($F657,Productos!$A:$A,Productos!L:L,"Revisar"),"")</f>
        <v/>
      </c>
      <c r="T657" s="179" t="str">
        <f t="array" ref="T657">IF($F657&lt;&gt;"", XLOOKUP($F657,Productos!$A$2:$A1001,Productos!M$2:M1001,"")*$G657,"")</f>
        <v/>
      </c>
      <c r="U657" s="179" t="str">
        <f t="array" ref="U657">IF($F657&lt;&gt;"",XLOOKUP($F657,Productos!$A:$A,Productos!N:N,"Revisar"),"")</f>
        <v/>
      </c>
      <c r="V657" s="179" t="str">
        <f t="array" ref="V657">IF($F657&lt;&gt;"", XLOOKUP($F657,Productos!$A$2:$A1001,Productos!O$2:O1001,"")*$G657,"")</f>
        <v/>
      </c>
      <c r="W657" s="179" t="str">
        <f t="array" ref="W657">IF($F657&lt;&gt;"",XLOOKUP($F657,Productos!$A:$A,Productos!P:P,"Revisar"),"")</f>
        <v/>
      </c>
      <c r="X657" s="179" t="str">
        <f t="array" ref="X657">IF($F657&lt;&gt;"", XLOOKUP($F657,Productos!$A$2:$A1001,Productos!Q$2:Q1001,"")*$G657,"")</f>
        <v/>
      </c>
      <c r="Y657" s="179" t="str">
        <f t="array" ref="Y657">IF($F657&lt;&gt;"",XLOOKUP($F657,Productos!$A:$A,Productos!R:R,"Revisar"),"")</f>
        <v/>
      </c>
      <c r="Z657" s="179" t="str">
        <f t="array" ref="Z657">IF($F657&lt;&gt;"", XLOOKUP($F657,Productos!$A$2:$A1001,Productos!S$2:S1001,"")*$G657,"")</f>
        <v/>
      </c>
      <c r="AA657" s="179" t="str">
        <f t="array" ref="AA657">IF($F657&lt;&gt;"",XLOOKUP($F657,Productos!$A:$A,Productos!T:T,"Revisar"),"")</f>
        <v/>
      </c>
      <c r="AB657" s="179" t="str">
        <f t="array" ref="AB657">IF($F657&lt;&gt;"", XLOOKUP($F657,Productos!$A$2:$A1001,Productos!U$2:U1001,"")*$G657,"")</f>
        <v/>
      </c>
      <c r="AC657" s="179" t="str">
        <f t="array" ref="AC657">IF($F657&lt;&gt;"",XLOOKUP($F657,Productos!$A:$A,Productos!V:V,"Revisar"),"")</f>
        <v/>
      </c>
      <c r="AD657" s="179" t="str">
        <f t="array" ref="AD657">IF($F657&lt;&gt;"", XLOOKUP($F657,Productos!$A$2:$A1001,Productos!W$2:W1001,"")*$G657,"")</f>
        <v/>
      </c>
      <c r="AE657" s="179" t="str">
        <f t="array" ref="AE657">IF($F657&lt;&gt;"",XLOOKUP($F657,Productos!$A:$A,Productos!X:X,"Revisar"),"")</f>
        <v/>
      </c>
      <c r="AF657" s="179" t="str">
        <f t="array" ref="AF657">IF($F657&lt;&gt;"", XLOOKUP($F657,Productos!$A$2:$A1001,Productos!Y$2:Y1001,"")*$G657,"")</f>
        <v/>
      </c>
      <c r="AG657" s="179" t="str">
        <f t="array" ref="AG657">IF($F657&lt;&gt;"",XLOOKUP($F657,Productos!$A:$A,Productos!Z:Z,"Revisar"),"")</f>
        <v/>
      </c>
      <c r="AH657" s="179" t="str">
        <f t="array" ref="AH657">IF($F657&lt;&gt;"", XLOOKUP($F657,Productos!$A$2:$A1001,Productos!AA$2:AA1001,"")*$G657,"")</f>
        <v/>
      </c>
      <c r="AI657" s="179" t="str">
        <f t="array" ref="AI657">IF($F657&lt;&gt;"",XLOOKUP($F657,Productos!$A:$A,Productos!AB:AB,"Revisar"),"")</f>
        <v/>
      </c>
      <c r="AJ657" s="179" t="str">
        <f t="array" ref="AJ657">IF($F657&lt;&gt;"", XLOOKUP($F657,Productos!$A$2:$A1001,Productos!AC$2:AC1001,"")*$G657,"")</f>
        <v/>
      </c>
      <c r="AK657" s="179" t="str">
        <f t="array" ref="AK657">IF($F657&lt;&gt;"",XLOOKUP($F657,Productos!$A:$A,Productos!AD:AD,"Revisar"),"")</f>
        <v/>
      </c>
      <c r="AL657" s="179" t="str">
        <f t="array" ref="AL657">IF($F657&lt;&gt;"", XLOOKUP($F657,Productos!$A$2:$A1001,Productos!AE$2:AE1001,"")*$G657,"")</f>
        <v/>
      </c>
      <c r="AM657" s="179" t="str">
        <f t="array" ref="AM657">IF($F657&lt;&gt;"",XLOOKUP($F657,Productos!$A:$A,Productos!AF:AF,"Revisar"),"")</f>
        <v/>
      </c>
      <c r="AN657" s="179" t="str">
        <f t="array" ref="AN657">IF($F657&lt;&gt;"", XLOOKUP($F657,Productos!$A$2:$A1001,Productos!AG$2:AG1001,"")*$G657,"")</f>
        <v/>
      </c>
      <c r="AO657" s="179" t="str">
        <f t="array" ref="AO657">IF($F657&lt;&gt;"",XLOOKUP($F657,Productos!$A:$A,Productos!AH:AH,"Revisar"),"")</f>
        <v/>
      </c>
      <c r="AP657" s="179" t="str">
        <f t="array" ref="AP657">IF($F657&lt;&gt;"", XLOOKUP($F657,Productos!$A$2:$A1001,Productos!AI$2:AI1001,"")*$G657,"")</f>
        <v/>
      </c>
      <c r="AQ657" s="179" t="str">
        <f t="array" ref="AQ657">IF($F657&lt;&gt;"",XLOOKUP($F657,Productos!$A:$A,Productos!AJ:AJ,"Revisar"),"")</f>
        <v/>
      </c>
      <c r="AR657" s="179" t="str">
        <f t="array" ref="AR657">IF($F657&lt;&gt;"", XLOOKUP($F657,Productos!$A$2:$A1001,Productos!AK$2:AK1001,"")*$G657,"")</f>
        <v/>
      </c>
      <c r="AS657" s="179" t="str">
        <f t="array" ref="AS657">IF($F657&lt;&gt;"",XLOOKUP($F657,Productos!$A:$A,Productos!AL:AL,"Revisar"),"")</f>
        <v/>
      </c>
      <c r="AT657" s="179" t="str">
        <f t="array" ref="AT657">IF($F657&lt;&gt;"", XLOOKUP($F657,Productos!$A$2:$A1001,Productos!AM$2:AM1001,"")*$G657,"")</f>
        <v/>
      </c>
      <c r="AU657" s="179" t="str">
        <f t="array" ref="AU657">IF($F657&lt;&gt;"",XLOOKUP($F657,Productos!$A:$A,Productos!AN:AN,"Revisar"),"")</f>
        <v/>
      </c>
      <c r="AV657" s="179" t="str">
        <f t="array" ref="AV657">IF($F657&lt;&gt;"", XLOOKUP($F657,Productos!$A$2:$A1001,Productos!AO$2:AO1001,"")*$G657,"")</f>
        <v/>
      </c>
      <c r="AW657" s="179" t="str">
        <f t="array" ref="AW657">IF($F657&lt;&gt;"",XLOOKUP($F657,Productos!$A:$A,Productos!AP:AP,"Revisar"),"")</f>
        <v/>
      </c>
      <c r="AX657" s="179" t="str">
        <f t="array" ref="AX657">IF($F657&lt;&gt;"", XLOOKUP($F657,Productos!$A$2:$A1001,Productos!AQ$2:AQ1001,"")*$G657,"")</f>
        <v/>
      </c>
      <c r="AY657" s="179" t="str">
        <f t="array" ref="AY657">IF($F657&lt;&gt;"",XLOOKUP($F657,Productos!$A:$A,Productos!AR:AR,"Revisar"),"")</f>
        <v/>
      </c>
      <c r="AZ657" s="179" t="str">
        <f t="array" ref="AZ657">IF($F657&lt;&gt;"", XLOOKUP($F657,Productos!$A$2:$A1001,Productos!AS$2:AS1001,"")*$G657,"")</f>
        <v/>
      </c>
      <c r="BA657" s="179" t="str">
        <f t="array" ref="BA657">IF($F657&lt;&gt;"",XLOOKUP($F657,Productos!$A:$A,Productos!AT:AT,"Revisar"),"")</f>
        <v/>
      </c>
      <c r="BB657" s="179" t="str">
        <f t="array" ref="BB657">IF($F657&lt;&gt;"", XLOOKUP($F657,Productos!$A$2:$A1001,Productos!AU$2:AU1001,"")*$G657,"")</f>
        <v/>
      </c>
      <c r="BC657" s="179" t="str">
        <f t="array" ref="BC657">IF($F657&lt;&gt;"",XLOOKUP($F657,Productos!$A:$A,Productos!AV:AV,"Revisar"),"")</f>
        <v/>
      </c>
      <c r="BD657" s="179" t="str">
        <f t="array" ref="BD657">IF($F657&lt;&gt;"", XLOOKUP($F657,Productos!$A$2:$A1001,Productos!AW$2:AW1001,"")*$G657,"")</f>
        <v/>
      </c>
      <c r="BE657" s="179" t="str">
        <f t="array" ref="BE657">IF($F657&lt;&gt;"",XLOOKUP($F657,Productos!$A:$A,Productos!AX:AX,"Revisar"),"")</f>
        <v/>
      </c>
      <c r="BF657" s="179" t="str">
        <f t="array" ref="BF657">IF($F657&lt;&gt;"", XLOOKUP($F657,Productos!$A$2:$A1001,Productos!AY$2:AY1001,"")*$G657,"")</f>
        <v/>
      </c>
      <c r="BG657" s="179" t="str">
        <f t="array" ref="BG657">IF($F657&lt;&gt;"",XLOOKUP($F657,Productos!$A:$A,Productos!AZ:AZ,"Revisar"),"")</f>
        <v/>
      </c>
      <c r="BH657" s="179" t="str">
        <f t="array" ref="BH657">IF($F657&lt;&gt;"", XLOOKUP($F657,Productos!$A$2:$A1001,Productos!BA$2:BA1001,"")*$G657,"")</f>
        <v/>
      </c>
      <c r="BI657" s="179" t="str">
        <f t="array" ref="BI657">IF($F657&lt;&gt;"",XLOOKUP($F657,Productos!$A:$A,Productos!BB:BB,"Revisar"),"")</f>
        <v/>
      </c>
      <c r="BJ657" s="179" t="str">
        <f t="array" ref="BJ657">IF($F657&lt;&gt;"", XLOOKUP($F657,Productos!$A$2:$A1001,Productos!BC$2:BC1001,"")*$G657,"")</f>
        <v/>
      </c>
      <c r="BK657" s="179" t="str">
        <f t="array" ref="BK657">IF($F657&lt;&gt;"",XLOOKUP($F657,Productos!$A:$A,Productos!BD:BD,"Revisar"),"")</f>
        <v/>
      </c>
      <c r="BL657" s="179" t="str">
        <f t="array" ref="BL657">IF($F657&lt;&gt;"", XLOOKUP($F657,Productos!$A$2:$A1001,Productos!BE$2:BE1001,"")*$G657,"")</f>
        <v/>
      </c>
      <c r="BM657" s="179" t="str">
        <f t="array" ref="BM657">IF($F657&lt;&gt;"",XLOOKUP($F657,Productos!$A:$A,Productos!BF:BF,"Revisar"),"")</f>
        <v/>
      </c>
      <c r="BN657" s="179" t="str">
        <f t="array" ref="BN657">IF($F657&lt;&gt;"", XLOOKUP($F657,Productos!$A$2:$A1001,Productos!BG$2:BG1001,"")*$G657,"")</f>
        <v/>
      </c>
      <c r="BO657" s="179" t="str">
        <f t="array" ref="BO657">IF($F657&lt;&gt;"",XLOOKUP($F657,Productos!$A:$A,Productos!BH:BH,"Revisar"),"")</f>
        <v/>
      </c>
      <c r="BP657" s="179" t="str">
        <f t="array" ref="BP657">IF($F657&lt;&gt;"", XLOOKUP($F657,Productos!$A$2:$A1001,Productos!BI$2:BI1001,"")*$G657,"")</f>
        <v/>
      </c>
      <c r="BQ657" s="179" t="str">
        <f t="array" ref="BQ657">IF($F657&lt;&gt;"",XLOOKUP($F657,Productos!$A:$A,Productos!BJ:BJ,"Revisar"),"")</f>
        <v/>
      </c>
      <c r="BR657" s="179" t="str">
        <f t="array" ref="BR657">IF($F657&lt;&gt;"", XLOOKUP($F657,Productos!$A$2:$A1001,Productos!BK$2:BK1001,"")*$G657,"")</f>
        <v/>
      </c>
      <c r="BS657" s="179" t="str">
        <f t="array" ref="BS657">IF($F657&lt;&gt;"",XLOOKUP($F657,Productos!$A:$A,Productos!BL:BL,"Revisar"),"")</f>
        <v/>
      </c>
      <c r="BT657" s="179" t="str">
        <f t="array" ref="BT657">IF($F657&lt;&gt;"", XLOOKUP($F657,Productos!$A$2:$A1001,Productos!BM$2:BM1001,"")*$G657,"")</f>
        <v/>
      </c>
      <c r="BU657" s="179" t="str">
        <f t="array" ref="BU657">IF($F657&lt;&gt;"",XLOOKUP($F657,Productos!$A:$A,Productos!BN:BN,"Revisar"),"")</f>
        <v/>
      </c>
      <c r="BV657" s="179" t="str">
        <f t="array" ref="BV657">IF($F657&lt;&gt;"", XLOOKUP($F657,Productos!$A$2:$A1001,Productos!BO$2:BO1001,"")*$G657,"")</f>
        <v/>
      </c>
      <c r="BW657" s="179" t="str">
        <f t="array" ref="BW657">IF($F657&lt;&gt;"",XLOOKUP($F657,Productos!$A:$A,Productos!BP:BP,"Revisar"),"")</f>
        <v/>
      </c>
      <c r="BX657" s="179" t="str">
        <f t="array" ref="BX657">IF($F657&lt;&gt;"", XLOOKUP($F657,Productos!$A$2:$A1001,Productos!BQ$2:BQ1001,"")*$G657,"")</f>
        <v/>
      </c>
      <c r="BY657" s="179" t="str">
        <f t="array" ref="BY657">IF($F657&lt;&gt;"",XLOOKUP($F657,Productos!$A:$A,Productos!BR:BR,"Revisar"),"")</f>
        <v/>
      </c>
      <c r="BZ657" s="179" t="str">
        <f t="array" ref="BZ657">IF($F657&lt;&gt;"", XLOOKUP($F657,Productos!$A$2:$A1001,Productos!BS$2:BS1001,"")*$G657,"")</f>
        <v/>
      </c>
    </row>
    <row r="658">
      <c r="A658" s="188"/>
      <c r="B658" s="189"/>
      <c r="C658" s="190"/>
      <c r="D658" s="190"/>
      <c r="E658" s="191"/>
      <c r="F658" s="186"/>
      <c r="G658" s="192"/>
      <c r="H658" s="9"/>
      <c r="I658" s="179" t="str">
        <f t="array" ref="I658">IF($F658&lt;&gt;"",XLOOKUP($F658,Productos!$A:$A,Productos!B:B,"Revisar"),"")</f>
        <v/>
      </c>
      <c r="J658" s="179" t="str">
        <f t="array" ref="J658">IF($F658&lt;&gt;"", XLOOKUP($F658,Productos!$A$2:$A1001,Productos!C$2:C1001,"")*$G658,"")</f>
        <v/>
      </c>
      <c r="K658" s="179" t="str">
        <f t="array" ref="K658">IF($F658&lt;&gt;"",XLOOKUP($F658,Productos!$A:$A,Productos!D:D,"Revisar"),"")</f>
        <v/>
      </c>
      <c r="L658" s="179" t="str">
        <f t="array" ref="L658">IF($F658&lt;&gt;"", XLOOKUP($F658,Productos!$A$2:$A1001,Productos!E$2:E1001,"")*$G658,"")</f>
        <v/>
      </c>
      <c r="M658" s="179" t="str">
        <f t="array" ref="M658">IF($F658&lt;&gt;"",XLOOKUP($F658,Productos!$A:$A,Productos!F:F,"Revisar"),"")</f>
        <v/>
      </c>
      <c r="N658" s="179" t="str">
        <f t="array" ref="N658">IF($F658&lt;&gt;"", XLOOKUP($F658,Productos!$A$2:$A1001,Productos!G$2:G1001,"")*$G658,"")</f>
        <v/>
      </c>
      <c r="O658" s="179" t="str">
        <f t="array" ref="O658">IF($F658&lt;&gt;"",XLOOKUP($F658,Productos!$A:$A,Productos!H:H,"Revisar"),"")</f>
        <v/>
      </c>
      <c r="P658" s="179" t="str">
        <f t="array" ref="P658">IF($F658&lt;&gt;"", XLOOKUP($F658,Productos!$A$2:$A1001,Productos!I$2:I1001,"")*$G658,"")</f>
        <v/>
      </c>
      <c r="Q658" s="179" t="str">
        <f t="array" ref="Q658">IF($F658&lt;&gt;"",XLOOKUP($F658,Productos!$A:$A,Productos!J:J,"Revisar"),"")</f>
        <v/>
      </c>
      <c r="R658" s="179" t="str">
        <f t="array" ref="R658">IF($F658&lt;&gt;"", XLOOKUP($F658,Productos!$A$2:$A1001,Productos!K$2:K1001,"")*$G658,"")</f>
        <v/>
      </c>
      <c r="S658" s="179" t="str">
        <f t="array" ref="S658">IF($F658&lt;&gt;"",XLOOKUP($F658,Productos!$A:$A,Productos!L:L,"Revisar"),"")</f>
        <v/>
      </c>
      <c r="T658" s="179" t="str">
        <f t="array" ref="T658">IF($F658&lt;&gt;"", XLOOKUP($F658,Productos!$A$2:$A1001,Productos!M$2:M1001,"")*$G658,"")</f>
        <v/>
      </c>
      <c r="U658" s="179" t="str">
        <f t="array" ref="U658">IF($F658&lt;&gt;"",XLOOKUP($F658,Productos!$A:$A,Productos!N:N,"Revisar"),"")</f>
        <v/>
      </c>
      <c r="V658" s="179" t="str">
        <f t="array" ref="V658">IF($F658&lt;&gt;"", XLOOKUP($F658,Productos!$A$2:$A1001,Productos!O$2:O1001,"")*$G658,"")</f>
        <v/>
      </c>
      <c r="W658" s="179" t="str">
        <f t="array" ref="W658">IF($F658&lt;&gt;"",XLOOKUP($F658,Productos!$A:$A,Productos!P:P,"Revisar"),"")</f>
        <v/>
      </c>
      <c r="X658" s="179" t="str">
        <f t="array" ref="X658">IF($F658&lt;&gt;"", XLOOKUP($F658,Productos!$A$2:$A1001,Productos!Q$2:Q1001,"")*$G658,"")</f>
        <v/>
      </c>
      <c r="Y658" s="179" t="str">
        <f t="array" ref="Y658">IF($F658&lt;&gt;"",XLOOKUP($F658,Productos!$A:$A,Productos!R:R,"Revisar"),"")</f>
        <v/>
      </c>
      <c r="Z658" s="179" t="str">
        <f t="array" ref="Z658">IF($F658&lt;&gt;"", XLOOKUP($F658,Productos!$A$2:$A1001,Productos!S$2:S1001,"")*$G658,"")</f>
        <v/>
      </c>
      <c r="AA658" s="179" t="str">
        <f t="array" ref="AA658">IF($F658&lt;&gt;"",XLOOKUP($F658,Productos!$A:$A,Productos!T:T,"Revisar"),"")</f>
        <v/>
      </c>
      <c r="AB658" s="179" t="str">
        <f t="array" ref="AB658">IF($F658&lt;&gt;"", XLOOKUP($F658,Productos!$A$2:$A1001,Productos!U$2:U1001,"")*$G658,"")</f>
        <v/>
      </c>
      <c r="AC658" s="179" t="str">
        <f t="array" ref="AC658">IF($F658&lt;&gt;"",XLOOKUP($F658,Productos!$A:$A,Productos!V:V,"Revisar"),"")</f>
        <v/>
      </c>
      <c r="AD658" s="179" t="str">
        <f t="array" ref="AD658">IF($F658&lt;&gt;"", XLOOKUP($F658,Productos!$A$2:$A1001,Productos!W$2:W1001,"")*$G658,"")</f>
        <v/>
      </c>
      <c r="AE658" s="179" t="str">
        <f t="array" ref="AE658">IF($F658&lt;&gt;"",XLOOKUP($F658,Productos!$A:$A,Productos!X:X,"Revisar"),"")</f>
        <v/>
      </c>
      <c r="AF658" s="179" t="str">
        <f t="array" ref="AF658">IF($F658&lt;&gt;"", XLOOKUP($F658,Productos!$A$2:$A1001,Productos!Y$2:Y1001,"")*$G658,"")</f>
        <v/>
      </c>
      <c r="AG658" s="179" t="str">
        <f t="array" ref="AG658">IF($F658&lt;&gt;"",XLOOKUP($F658,Productos!$A:$A,Productos!Z:Z,"Revisar"),"")</f>
        <v/>
      </c>
      <c r="AH658" s="179" t="str">
        <f t="array" ref="AH658">IF($F658&lt;&gt;"", XLOOKUP($F658,Productos!$A$2:$A1001,Productos!AA$2:AA1001,"")*$G658,"")</f>
        <v/>
      </c>
      <c r="AI658" s="179" t="str">
        <f t="array" ref="AI658">IF($F658&lt;&gt;"",XLOOKUP($F658,Productos!$A:$A,Productos!AB:AB,"Revisar"),"")</f>
        <v/>
      </c>
      <c r="AJ658" s="179" t="str">
        <f t="array" ref="AJ658">IF($F658&lt;&gt;"", XLOOKUP($F658,Productos!$A$2:$A1001,Productos!AC$2:AC1001,"")*$G658,"")</f>
        <v/>
      </c>
      <c r="AK658" s="179" t="str">
        <f t="array" ref="AK658">IF($F658&lt;&gt;"",XLOOKUP($F658,Productos!$A:$A,Productos!AD:AD,"Revisar"),"")</f>
        <v/>
      </c>
      <c r="AL658" s="179" t="str">
        <f t="array" ref="AL658">IF($F658&lt;&gt;"", XLOOKUP($F658,Productos!$A$2:$A1001,Productos!AE$2:AE1001,"")*$G658,"")</f>
        <v/>
      </c>
      <c r="AM658" s="179" t="str">
        <f t="array" ref="AM658">IF($F658&lt;&gt;"",XLOOKUP($F658,Productos!$A:$A,Productos!AF:AF,"Revisar"),"")</f>
        <v/>
      </c>
      <c r="AN658" s="179" t="str">
        <f t="array" ref="AN658">IF($F658&lt;&gt;"", XLOOKUP($F658,Productos!$A$2:$A1001,Productos!AG$2:AG1001,"")*$G658,"")</f>
        <v/>
      </c>
      <c r="AO658" s="179" t="str">
        <f t="array" ref="AO658">IF($F658&lt;&gt;"",XLOOKUP($F658,Productos!$A:$A,Productos!AH:AH,"Revisar"),"")</f>
        <v/>
      </c>
      <c r="AP658" s="179" t="str">
        <f t="array" ref="AP658">IF($F658&lt;&gt;"", XLOOKUP($F658,Productos!$A$2:$A1001,Productos!AI$2:AI1001,"")*$G658,"")</f>
        <v/>
      </c>
      <c r="AQ658" s="179" t="str">
        <f t="array" ref="AQ658">IF($F658&lt;&gt;"",XLOOKUP($F658,Productos!$A:$A,Productos!AJ:AJ,"Revisar"),"")</f>
        <v/>
      </c>
      <c r="AR658" s="179" t="str">
        <f t="array" ref="AR658">IF($F658&lt;&gt;"", XLOOKUP($F658,Productos!$A$2:$A1001,Productos!AK$2:AK1001,"")*$G658,"")</f>
        <v/>
      </c>
      <c r="AS658" s="179" t="str">
        <f t="array" ref="AS658">IF($F658&lt;&gt;"",XLOOKUP($F658,Productos!$A:$A,Productos!AL:AL,"Revisar"),"")</f>
        <v/>
      </c>
      <c r="AT658" s="179" t="str">
        <f t="array" ref="AT658">IF($F658&lt;&gt;"", XLOOKUP($F658,Productos!$A$2:$A1001,Productos!AM$2:AM1001,"")*$G658,"")</f>
        <v/>
      </c>
      <c r="AU658" s="179" t="str">
        <f t="array" ref="AU658">IF($F658&lt;&gt;"",XLOOKUP($F658,Productos!$A:$A,Productos!AN:AN,"Revisar"),"")</f>
        <v/>
      </c>
      <c r="AV658" s="179" t="str">
        <f t="array" ref="AV658">IF($F658&lt;&gt;"", XLOOKUP($F658,Productos!$A$2:$A1001,Productos!AO$2:AO1001,"")*$G658,"")</f>
        <v/>
      </c>
      <c r="AW658" s="179" t="str">
        <f t="array" ref="AW658">IF($F658&lt;&gt;"",XLOOKUP($F658,Productos!$A:$A,Productos!AP:AP,"Revisar"),"")</f>
        <v/>
      </c>
      <c r="AX658" s="179" t="str">
        <f t="array" ref="AX658">IF($F658&lt;&gt;"", XLOOKUP($F658,Productos!$A$2:$A1001,Productos!AQ$2:AQ1001,"")*$G658,"")</f>
        <v/>
      </c>
      <c r="AY658" s="179" t="str">
        <f t="array" ref="AY658">IF($F658&lt;&gt;"",XLOOKUP($F658,Productos!$A:$A,Productos!AR:AR,"Revisar"),"")</f>
        <v/>
      </c>
      <c r="AZ658" s="179" t="str">
        <f t="array" ref="AZ658">IF($F658&lt;&gt;"", XLOOKUP($F658,Productos!$A$2:$A1001,Productos!AS$2:AS1001,"")*$G658,"")</f>
        <v/>
      </c>
      <c r="BA658" s="179" t="str">
        <f t="array" ref="BA658">IF($F658&lt;&gt;"",XLOOKUP($F658,Productos!$A:$A,Productos!AT:AT,"Revisar"),"")</f>
        <v/>
      </c>
      <c r="BB658" s="179" t="str">
        <f t="array" ref="BB658">IF($F658&lt;&gt;"", XLOOKUP($F658,Productos!$A$2:$A1001,Productos!AU$2:AU1001,"")*$G658,"")</f>
        <v/>
      </c>
      <c r="BC658" s="179" t="str">
        <f t="array" ref="BC658">IF($F658&lt;&gt;"",XLOOKUP($F658,Productos!$A:$A,Productos!AV:AV,"Revisar"),"")</f>
        <v/>
      </c>
      <c r="BD658" s="179" t="str">
        <f t="array" ref="BD658">IF($F658&lt;&gt;"", XLOOKUP($F658,Productos!$A$2:$A1001,Productos!AW$2:AW1001,"")*$G658,"")</f>
        <v/>
      </c>
      <c r="BE658" s="179" t="str">
        <f t="array" ref="BE658">IF($F658&lt;&gt;"",XLOOKUP($F658,Productos!$A:$A,Productos!AX:AX,"Revisar"),"")</f>
        <v/>
      </c>
      <c r="BF658" s="179" t="str">
        <f t="array" ref="BF658">IF($F658&lt;&gt;"", XLOOKUP($F658,Productos!$A$2:$A1001,Productos!AY$2:AY1001,"")*$G658,"")</f>
        <v/>
      </c>
      <c r="BG658" s="179" t="str">
        <f t="array" ref="BG658">IF($F658&lt;&gt;"",XLOOKUP($F658,Productos!$A:$A,Productos!AZ:AZ,"Revisar"),"")</f>
        <v/>
      </c>
      <c r="BH658" s="179" t="str">
        <f t="array" ref="BH658">IF($F658&lt;&gt;"", XLOOKUP($F658,Productos!$A$2:$A1001,Productos!BA$2:BA1001,"")*$G658,"")</f>
        <v/>
      </c>
      <c r="BI658" s="179" t="str">
        <f t="array" ref="BI658">IF($F658&lt;&gt;"",XLOOKUP($F658,Productos!$A:$A,Productos!BB:BB,"Revisar"),"")</f>
        <v/>
      </c>
      <c r="BJ658" s="179" t="str">
        <f t="array" ref="BJ658">IF($F658&lt;&gt;"", XLOOKUP($F658,Productos!$A$2:$A1001,Productos!BC$2:BC1001,"")*$G658,"")</f>
        <v/>
      </c>
      <c r="BK658" s="179" t="str">
        <f t="array" ref="BK658">IF($F658&lt;&gt;"",XLOOKUP($F658,Productos!$A:$A,Productos!BD:BD,"Revisar"),"")</f>
        <v/>
      </c>
      <c r="BL658" s="179" t="str">
        <f t="array" ref="BL658">IF($F658&lt;&gt;"", XLOOKUP($F658,Productos!$A$2:$A1001,Productos!BE$2:BE1001,"")*$G658,"")</f>
        <v/>
      </c>
      <c r="BM658" s="179" t="str">
        <f t="array" ref="BM658">IF($F658&lt;&gt;"",XLOOKUP($F658,Productos!$A:$A,Productos!BF:BF,"Revisar"),"")</f>
        <v/>
      </c>
      <c r="BN658" s="179" t="str">
        <f t="array" ref="BN658">IF($F658&lt;&gt;"", XLOOKUP($F658,Productos!$A$2:$A1001,Productos!BG$2:BG1001,"")*$G658,"")</f>
        <v/>
      </c>
      <c r="BO658" s="179" t="str">
        <f t="array" ref="BO658">IF($F658&lt;&gt;"",XLOOKUP($F658,Productos!$A:$A,Productos!BH:BH,"Revisar"),"")</f>
        <v/>
      </c>
      <c r="BP658" s="179" t="str">
        <f t="array" ref="BP658">IF($F658&lt;&gt;"", XLOOKUP($F658,Productos!$A$2:$A1001,Productos!BI$2:BI1001,"")*$G658,"")</f>
        <v/>
      </c>
      <c r="BQ658" s="179" t="str">
        <f t="array" ref="BQ658">IF($F658&lt;&gt;"",XLOOKUP($F658,Productos!$A:$A,Productos!BJ:BJ,"Revisar"),"")</f>
        <v/>
      </c>
      <c r="BR658" s="179" t="str">
        <f t="array" ref="BR658">IF($F658&lt;&gt;"", XLOOKUP($F658,Productos!$A$2:$A1001,Productos!BK$2:BK1001,"")*$G658,"")</f>
        <v/>
      </c>
      <c r="BS658" s="179" t="str">
        <f t="array" ref="BS658">IF($F658&lt;&gt;"",XLOOKUP($F658,Productos!$A:$A,Productos!BL:BL,"Revisar"),"")</f>
        <v/>
      </c>
      <c r="BT658" s="179" t="str">
        <f t="array" ref="BT658">IF($F658&lt;&gt;"", XLOOKUP($F658,Productos!$A$2:$A1001,Productos!BM$2:BM1001,"")*$G658,"")</f>
        <v/>
      </c>
      <c r="BU658" s="179" t="str">
        <f t="array" ref="BU658">IF($F658&lt;&gt;"",XLOOKUP($F658,Productos!$A:$A,Productos!BN:BN,"Revisar"),"")</f>
        <v/>
      </c>
      <c r="BV658" s="179" t="str">
        <f t="array" ref="BV658">IF($F658&lt;&gt;"", XLOOKUP($F658,Productos!$A$2:$A1001,Productos!BO$2:BO1001,"")*$G658,"")</f>
        <v/>
      </c>
      <c r="BW658" s="179" t="str">
        <f t="array" ref="BW658">IF($F658&lt;&gt;"",XLOOKUP($F658,Productos!$A:$A,Productos!BP:BP,"Revisar"),"")</f>
        <v/>
      </c>
      <c r="BX658" s="179" t="str">
        <f t="array" ref="BX658">IF($F658&lt;&gt;"", XLOOKUP($F658,Productos!$A$2:$A1001,Productos!BQ$2:BQ1001,"")*$G658,"")</f>
        <v/>
      </c>
      <c r="BY658" s="179" t="str">
        <f t="array" ref="BY658">IF($F658&lt;&gt;"",XLOOKUP($F658,Productos!$A:$A,Productos!BR:BR,"Revisar"),"")</f>
        <v/>
      </c>
      <c r="BZ658" s="179" t="str">
        <f t="array" ref="BZ658">IF($F658&lt;&gt;"", XLOOKUP($F658,Productos!$A$2:$A1001,Productos!BS$2:BS1001,"")*$G658,"")</f>
        <v/>
      </c>
    </row>
    <row r="659">
      <c r="A659" s="188"/>
      <c r="B659" s="189"/>
      <c r="C659" s="190"/>
      <c r="D659" s="190"/>
      <c r="E659" s="191"/>
      <c r="F659" s="186"/>
      <c r="G659" s="192"/>
      <c r="H659" s="9"/>
      <c r="I659" s="179" t="str">
        <f t="array" ref="I659">IF($F659&lt;&gt;"",XLOOKUP($F659,Productos!$A:$A,Productos!B:B,"Revisar"),"")</f>
        <v/>
      </c>
      <c r="J659" s="179" t="str">
        <f t="array" ref="J659">IF($F659&lt;&gt;"", XLOOKUP($F659,Productos!$A$2:$A1001,Productos!C$2:C1001,"")*$G659,"")</f>
        <v/>
      </c>
      <c r="K659" s="179" t="str">
        <f t="array" ref="K659">IF($F659&lt;&gt;"",XLOOKUP($F659,Productos!$A:$A,Productos!D:D,"Revisar"),"")</f>
        <v/>
      </c>
      <c r="L659" s="179" t="str">
        <f t="array" ref="L659">IF($F659&lt;&gt;"", XLOOKUP($F659,Productos!$A$2:$A1001,Productos!E$2:E1001,"")*$G659,"")</f>
        <v/>
      </c>
      <c r="M659" s="179" t="str">
        <f t="array" ref="M659">IF($F659&lt;&gt;"",XLOOKUP($F659,Productos!$A:$A,Productos!F:F,"Revisar"),"")</f>
        <v/>
      </c>
      <c r="N659" s="179" t="str">
        <f t="array" ref="N659">IF($F659&lt;&gt;"", XLOOKUP($F659,Productos!$A$2:$A1001,Productos!G$2:G1001,"")*$G659,"")</f>
        <v/>
      </c>
      <c r="O659" s="179" t="str">
        <f t="array" ref="O659">IF($F659&lt;&gt;"",XLOOKUP($F659,Productos!$A:$A,Productos!H:H,"Revisar"),"")</f>
        <v/>
      </c>
      <c r="P659" s="179" t="str">
        <f t="array" ref="P659">IF($F659&lt;&gt;"", XLOOKUP($F659,Productos!$A$2:$A1001,Productos!I$2:I1001,"")*$G659,"")</f>
        <v/>
      </c>
      <c r="Q659" s="179" t="str">
        <f t="array" ref="Q659">IF($F659&lt;&gt;"",XLOOKUP($F659,Productos!$A:$A,Productos!J:J,"Revisar"),"")</f>
        <v/>
      </c>
      <c r="R659" s="179" t="str">
        <f t="array" ref="R659">IF($F659&lt;&gt;"", XLOOKUP($F659,Productos!$A$2:$A1001,Productos!K$2:K1001,"")*$G659,"")</f>
        <v/>
      </c>
      <c r="S659" s="179" t="str">
        <f t="array" ref="S659">IF($F659&lt;&gt;"",XLOOKUP($F659,Productos!$A:$A,Productos!L:L,"Revisar"),"")</f>
        <v/>
      </c>
      <c r="T659" s="179" t="str">
        <f t="array" ref="T659">IF($F659&lt;&gt;"", XLOOKUP($F659,Productos!$A$2:$A1001,Productos!M$2:M1001,"")*$G659,"")</f>
        <v/>
      </c>
      <c r="U659" s="179" t="str">
        <f t="array" ref="U659">IF($F659&lt;&gt;"",XLOOKUP($F659,Productos!$A:$A,Productos!N:N,"Revisar"),"")</f>
        <v/>
      </c>
      <c r="V659" s="179" t="str">
        <f t="array" ref="V659">IF($F659&lt;&gt;"", XLOOKUP($F659,Productos!$A$2:$A1001,Productos!O$2:O1001,"")*$G659,"")</f>
        <v/>
      </c>
      <c r="W659" s="179" t="str">
        <f t="array" ref="W659">IF($F659&lt;&gt;"",XLOOKUP($F659,Productos!$A:$A,Productos!P:P,"Revisar"),"")</f>
        <v/>
      </c>
      <c r="X659" s="179" t="str">
        <f t="array" ref="X659">IF($F659&lt;&gt;"", XLOOKUP($F659,Productos!$A$2:$A1001,Productos!Q$2:Q1001,"")*$G659,"")</f>
        <v/>
      </c>
      <c r="Y659" s="179" t="str">
        <f t="array" ref="Y659">IF($F659&lt;&gt;"",XLOOKUP($F659,Productos!$A:$A,Productos!R:R,"Revisar"),"")</f>
        <v/>
      </c>
      <c r="Z659" s="179" t="str">
        <f t="array" ref="Z659">IF($F659&lt;&gt;"", XLOOKUP($F659,Productos!$A$2:$A1001,Productos!S$2:S1001,"")*$G659,"")</f>
        <v/>
      </c>
      <c r="AA659" s="179" t="str">
        <f t="array" ref="AA659">IF($F659&lt;&gt;"",XLOOKUP($F659,Productos!$A:$A,Productos!T:T,"Revisar"),"")</f>
        <v/>
      </c>
      <c r="AB659" s="179" t="str">
        <f t="array" ref="AB659">IF($F659&lt;&gt;"", XLOOKUP($F659,Productos!$A$2:$A1001,Productos!U$2:U1001,"")*$G659,"")</f>
        <v/>
      </c>
      <c r="AC659" s="179" t="str">
        <f t="array" ref="AC659">IF($F659&lt;&gt;"",XLOOKUP($F659,Productos!$A:$A,Productos!V:V,"Revisar"),"")</f>
        <v/>
      </c>
      <c r="AD659" s="179" t="str">
        <f t="array" ref="AD659">IF($F659&lt;&gt;"", XLOOKUP($F659,Productos!$A$2:$A1001,Productos!W$2:W1001,"")*$G659,"")</f>
        <v/>
      </c>
      <c r="AE659" s="179" t="str">
        <f t="array" ref="AE659">IF($F659&lt;&gt;"",XLOOKUP($F659,Productos!$A:$A,Productos!X:X,"Revisar"),"")</f>
        <v/>
      </c>
      <c r="AF659" s="179" t="str">
        <f t="array" ref="AF659">IF($F659&lt;&gt;"", XLOOKUP($F659,Productos!$A$2:$A1001,Productos!Y$2:Y1001,"")*$G659,"")</f>
        <v/>
      </c>
      <c r="AG659" s="179" t="str">
        <f t="array" ref="AG659">IF($F659&lt;&gt;"",XLOOKUP($F659,Productos!$A:$A,Productos!Z:Z,"Revisar"),"")</f>
        <v/>
      </c>
      <c r="AH659" s="179" t="str">
        <f t="array" ref="AH659">IF($F659&lt;&gt;"", XLOOKUP($F659,Productos!$A$2:$A1001,Productos!AA$2:AA1001,"")*$G659,"")</f>
        <v/>
      </c>
      <c r="AI659" s="179" t="str">
        <f t="array" ref="AI659">IF($F659&lt;&gt;"",XLOOKUP($F659,Productos!$A:$A,Productos!AB:AB,"Revisar"),"")</f>
        <v/>
      </c>
      <c r="AJ659" s="179" t="str">
        <f t="array" ref="AJ659">IF($F659&lt;&gt;"", XLOOKUP($F659,Productos!$A$2:$A1001,Productos!AC$2:AC1001,"")*$G659,"")</f>
        <v/>
      </c>
      <c r="AK659" s="179" t="str">
        <f t="array" ref="AK659">IF($F659&lt;&gt;"",XLOOKUP($F659,Productos!$A:$A,Productos!AD:AD,"Revisar"),"")</f>
        <v/>
      </c>
      <c r="AL659" s="179" t="str">
        <f t="array" ref="AL659">IF($F659&lt;&gt;"", XLOOKUP($F659,Productos!$A$2:$A1001,Productos!AE$2:AE1001,"")*$G659,"")</f>
        <v/>
      </c>
      <c r="AM659" s="179" t="str">
        <f t="array" ref="AM659">IF($F659&lt;&gt;"",XLOOKUP($F659,Productos!$A:$A,Productos!AF:AF,"Revisar"),"")</f>
        <v/>
      </c>
      <c r="AN659" s="179" t="str">
        <f t="array" ref="AN659">IF($F659&lt;&gt;"", XLOOKUP($F659,Productos!$A$2:$A1001,Productos!AG$2:AG1001,"")*$G659,"")</f>
        <v/>
      </c>
      <c r="AO659" s="179" t="str">
        <f t="array" ref="AO659">IF($F659&lt;&gt;"",XLOOKUP($F659,Productos!$A:$A,Productos!AH:AH,"Revisar"),"")</f>
        <v/>
      </c>
      <c r="AP659" s="179" t="str">
        <f t="array" ref="AP659">IF($F659&lt;&gt;"", XLOOKUP($F659,Productos!$A$2:$A1001,Productos!AI$2:AI1001,"")*$G659,"")</f>
        <v/>
      </c>
      <c r="AQ659" s="179" t="str">
        <f t="array" ref="AQ659">IF($F659&lt;&gt;"",XLOOKUP($F659,Productos!$A:$A,Productos!AJ:AJ,"Revisar"),"")</f>
        <v/>
      </c>
      <c r="AR659" s="179" t="str">
        <f t="array" ref="AR659">IF($F659&lt;&gt;"", XLOOKUP($F659,Productos!$A$2:$A1001,Productos!AK$2:AK1001,"")*$G659,"")</f>
        <v/>
      </c>
      <c r="AS659" s="179" t="str">
        <f t="array" ref="AS659">IF($F659&lt;&gt;"",XLOOKUP($F659,Productos!$A:$A,Productos!AL:AL,"Revisar"),"")</f>
        <v/>
      </c>
      <c r="AT659" s="179" t="str">
        <f t="array" ref="AT659">IF($F659&lt;&gt;"", XLOOKUP($F659,Productos!$A$2:$A1001,Productos!AM$2:AM1001,"")*$G659,"")</f>
        <v/>
      </c>
      <c r="AU659" s="179" t="str">
        <f t="array" ref="AU659">IF($F659&lt;&gt;"",XLOOKUP($F659,Productos!$A:$A,Productos!AN:AN,"Revisar"),"")</f>
        <v/>
      </c>
      <c r="AV659" s="179" t="str">
        <f t="array" ref="AV659">IF($F659&lt;&gt;"", XLOOKUP($F659,Productos!$A$2:$A1001,Productos!AO$2:AO1001,"")*$G659,"")</f>
        <v/>
      </c>
      <c r="AW659" s="179" t="str">
        <f t="array" ref="AW659">IF($F659&lt;&gt;"",XLOOKUP($F659,Productos!$A:$A,Productos!AP:AP,"Revisar"),"")</f>
        <v/>
      </c>
      <c r="AX659" s="179" t="str">
        <f t="array" ref="AX659">IF($F659&lt;&gt;"", XLOOKUP($F659,Productos!$A$2:$A1001,Productos!AQ$2:AQ1001,"")*$G659,"")</f>
        <v/>
      </c>
      <c r="AY659" s="179" t="str">
        <f t="array" ref="AY659">IF($F659&lt;&gt;"",XLOOKUP($F659,Productos!$A:$A,Productos!AR:AR,"Revisar"),"")</f>
        <v/>
      </c>
      <c r="AZ659" s="179" t="str">
        <f t="array" ref="AZ659">IF($F659&lt;&gt;"", XLOOKUP($F659,Productos!$A$2:$A1001,Productos!AS$2:AS1001,"")*$G659,"")</f>
        <v/>
      </c>
      <c r="BA659" s="179" t="str">
        <f t="array" ref="BA659">IF($F659&lt;&gt;"",XLOOKUP($F659,Productos!$A:$A,Productos!AT:AT,"Revisar"),"")</f>
        <v/>
      </c>
      <c r="BB659" s="179" t="str">
        <f t="array" ref="BB659">IF($F659&lt;&gt;"", XLOOKUP($F659,Productos!$A$2:$A1001,Productos!AU$2:AU1001,"")*$G659,"")</f>
        <v/>
      </c>
      <c r="BC659" s="179" t="str">
        <f t="array" ref="BC659">IF($F659&lt;&gt;"",XLOOKUP($F659,Productos!$A:$A,Productos!AV:AV,"Revisar"),"")</f>
        <v/>
      </c>
      <c r="BD659" s="179" t="str">
        <f t="array" ref="BD659">IF($F659&lt;&gt;"", XLOOKUP($F659,Productos!$A$2:$A1001,Productos!AW$2:AW1001,"")*$G659,"")</f>
        <v/>
      </c>
      <c r="BE659" s="179" t="str">
        <f t="array" ref="BE659">IF($F659&lt;&gt;"",XLOOKUP($F659,Productos!$A:$A,Productos!AX:AX,"Revisar"),"")</f>
        <v/>
      </c>
      <c r="BF659" s="179" t="str">
        <f t="array" ref="BF659">IF($F659&lt;&gt;"", XLOOKUP($F659,Productos!$A$2:$A1001,Productos!AY$2:AY1001,"")*$G659,"")</f>
        <v/>
      </c>
      <c r="BG659" s="179" t="str">
        <f t="array" ref="BG659">IF($F659&lt;&gt;"",XLOOKUP($F659,Productos!$A:$A,Productos!AZ:AZ,"Revisar"),"")</f>
        <v/>
      </c>
      <c r="BH659" s="179" t="str">
        <f t="array" ref="BH659">IF($F659&lt;&gt;"", XLOOKUP($F659,Productos!$A$2:$A1001,Productos!BA$2:BA1001,"")*$G659,"")</f>
        <v/>
      </c>
      <c r="BI659" s="179" t="str">
        <f t="array" ref="BI659">IF($F659&lt;&gt;"",XLOOKUP($F659,Productos!$A:$A,Productos!BB:BB,"Revisar"),"")</f>
        <v/>
      </c>
      <c r="BJ659" s="179" t="str">
        <f t="array" ref="BJ659">IF($F659&lt;&gt;"", XLOOKUP($F659,Productos!$A$2:$A1001,Productos!BC$2:BC1001,"")*$G659,"")</f>
        <v/>
      </c>
      <c r="BK659" s="179" t="str">
        <f t="array" ref="BK659">IF($F659&lt;&gt;"",XLOOKUP($F659,Productos!$A:$A,Productos!BD:BD,"Revisar"),"")</f>
        <v/>
      </c>
      <c r="BL659" s="179" t="str">
        <f t="array" ref="BL659">IF($F659&lt;&gt;"", XLOOKUP($F659,Productos!$A$2:$A1001,Productos!BE$2:BE1001,"")*$G659,"")</f>
        <v/>
      </c>
      <c r="BM659" s="179" t="str">
        <f t="array" ref="BM659">IF($F659&lt;&gt;"",XLOOKUP($F659,Productos!$A:$A,Productos!BF:BF,"Revisar"),"")</f>
        <v/>
      </c>
      <c r="BN659" s="179" t="str">
        <f t="array" ref="BN659">IF($F659&lt;&gt;"", XLOOKUP($F659,Productos!$A$2:$A1001,Productos!BG$2:BG1001,"")*$G659,"")</f>
        <v/>
      </c>
      <c r="BO659" s="179" t="str">
        <f t="array" ref="BO659">IF($F659&lt;&gt;"",XLOOKUP($F659,Productos!$A:$A,Productos!BH:BH,"Revisar"),"")</f>
        <v/>
      </c>
      <c r="BP659" s="179" t="str">
        <f t="array" ref="BP659">IF($F659&lt;&gt;"", XLOOKUP($F659,Productos!$A$2:$A1001,Productos!BI$2:BI1001,"")*$G659,"")</f>
        <v/>
      </c>
      <c r="BQ659" s="179" t="str">
        <f t="array" ref="BQ659">IF($F659&lt;&gt;"",XLOOKUP($F659,Productos!$A:$A,Productos!BJ:BJ,"Revisar"),"")</f>
        <v/>
      </c>
      <c r="BR659" s="179" t="str">
        <f t="array" ref="BR659">IF($F659&lt;&gt;"", XLOOKUP($F659,Productos!$A$2:$A1001,Productos!BK$2:BK1001,"")*$G659,"")</f>
        <v/>
      </c>
      <c r="BS659" s="179" t="str">
        <f t="array" ref="BS659">IF($F659&lt;&gt;"",XLOOKUP($F659,Productos!$A:$A,Productos!BL:BL,"Revisar"),"")</f>
        <v/>
      </c>
      <c r="BT659" s="179" t="str">
        <f t="array" ref="BT659">IF($F659&lt;&gt;"", XLOOKUP($F659,Productos!$A$2:$A1001,Productos!BM$2:BM1001,"")*$G659,"")</f>
        <v/>
      </c>
      <c r="BU659" s="179" t="str">
        <f t="array" ref="BU659">IF($F659&lt;&gt;"",XLOOKUP($F659,Productos!$A:$A,Productos!BN:BN,"Revisar"),"")</f>
        <v/>
      </c>
      <c r="BV659" s="179" t="str">
        <f t="array" ref="BV659">IF($F659&lt;&gt;"", XLOOKUP($F659,Productos!$A$2:$A1001,Productos!BO$2:BO1001,"")*$G659,"")</f>
        <v/>
      </c>
      <c r="BW659" s="179" t="str">
        <f t="array" ref="BW659">IF($F659&lt;&gt;"",XLOOKUP($F659,Productos!$A:$A,Productos!BP:BP,"Revisar"),"")</f>
        <v/>
      </c>
      <c r="BX659" s="179" t="str">
        <f t="array" ref="BX659">IF($F659&lt;&gt;"", XLOOKUP($F659,Productos!$A$2:$A1001,Productos!BQ$2:BQ1001,"")*$G659,"")</f>
        <v/>
      </c>
      <c r="BY659" s="179" t="str">
        <f t="array" ref="BY659">IF($F659&lt;&gt;"",XLOOKUP($F659,Productos!$A:$A,Productos!BR:BR,"Revisar"),"")</f>
        <v/>
      </c>
      <c r="BZ659" s="179" t="str">
        <f t="array" ref="BZ659">IF($F659&lt;&gt;"", XLOOKUP($F659,Productos!$A$2:$A1001,Productos!BS$2:BS1001,"")*$G659,"")</f>
        <v/>
      </c>
    </row>
    <row r="660">
      <c r="A660" s="188"/>
      <c r="B660" s="189"/>
      <c r="C660" s="190"/>
      <c r="D660" s="190"/>
      <c r="E660" s="191"/>
      <c r="F660" s="186"/>
      <c r="G660" s="192"/>
      <c r="H660" s="9"/>
      <c r="I660" s="179" t="str">
        <f t="array" ref="I660">IF($F660&lt;&gt;"",XLOOKUP($F660,Productos!$A:$A,Productos!B:B,"Revisar"),"")</f>
        <v/>
      </c>
      <c r="J660" s="179" t="str">
        <f t="array" ref="J660">IF($F660&lt;&gt;"", XLOOKUP($F660,Productos!$A$2:$A1001,Productos!C$2:C1001,"")*$G660,"")</f>
        <v/>
      </c>
      <c r="K660" s="179" t="str">
        <f t="array" ref="K660">IF($F660&lt;&gt;"",XLOOKUP($F660,Productos!$A:$A,Productos!D:D,"Revisar"),"")</f>
        <v/>
      </c>
      <c r="L660" s="179" t="str">
        <f t="array" ref="L660">IF($F660&lt;&gt;"", XLOOKUP($F660,Productos!$A$2:$A1001,Productos!E$2:E1001,"")*$G660,"")</f>
        <v/>
      </c>
      <c r="M660" s="179" t="str">
        <f t="array" ref="M660">IF($F660&lt;&gt;"",XLOOKUP($F660,Productos!$A:$A,Productos!F:F,"Revisar"),"")</f>
        <v/>
      </c>
      <c r="N660" s="179" t="str">
        <f t="array" ref="N660">IF($F660&lt;&gt;"", XLOOKUP($F660,Productos!$A$2:$A1001,Productos!G$2:G1001,"")*$G660,"")</f>
        <v/>
      </c>
      <c r="O660" s="179" t="str">
        <f t="array" ref="O660">IF($F660&lt;&gt;"",XLOOKUP($F660,Productos!$A:$A,Productos!H:H,"Revisar"),"")</f>
        <v/>
      </c>
      <c r="P660" s="179" t="str">
        <f t="array" ref="P660">IF($F660&lt;&gt;"", XLOOKUP($F660,Productos!$A$2:$A1001,Productos!I$2:I1001,"")*$G660,"")</f>
        <v/>
      </c>
      <c r="Q660" s="179" t="str">
        <f t="array" ref="Q660">IF($F660&lt;&gt;"",XLOOKUP($F660,Productos!$A:$A,Productos!J:J,"Revisar"),"")</f>
        <v/>
      </c>
      <c r="R660" s="179" t="str">
        <f t="array" ref="R660">IF($F660&lt;&gt;"", XLOOKUP($F660,Productos!$A$2:$A1001,Productos!K$2:K1001,"")*$G660,"")</f>
        <v/>
      </c>
      <c r="S660" s="179" t="str">
        <f t="array" ref="S660">IF($F660&lt;&gt;"",XLOOKUP($F660,Productos!$A:$A,Productos!L:L,"Revisar"),"")</f>
        <v/>
      </c>
      <c r="T660" s="179" t="str">
        <f t="array" ref="T660">IF($F660&lt;&gt;"", XLOOKUP($F660,Productos!$A$2:$A1001,Productos!M$2:M1001,"")*$G660,"")</f>
        <v/>
      </c>
      <c r="U660" s="179" t="str">
        <f t="array" ref="U660">IF($F660&lt;&gt;"",XLOOKUP($F660,Productos!$A:$A,Productos!N:N,"Revisar"),"")</f>
        <v/>
      </c>
      <c r="V660" s="179" t="str">
        <f t="array" ref="V660">IF($F660&lt;&gt;"", XLOOKUP($F660,Productos!$A$2:$A1001,Productos!O$2:O1001,"")*$G660,"")</f>
        <v/>
      </c>
      <c r="W660" s="179" t="str">
        <f t="array" ref="W660">IF($F660&lt;&gt;"",XLOOKUP($F660,Productos!$A:$A,Productos!P:P,"Revisar"),"")</f>
        <v/>
      </c>
      <c r="X660" s="179" t="str">
        <f t="array" ref="X660">IF($F660&lt;&gt;"", XLOOKUP($F660,Productos!$A$2:$A1001,Productos!Q$2:Q1001,"")*$G660,"")</f>
        <v/>
      </c>
      <c r="Y660" s="179" t="str">
        <f t="array" ref="Y660">IF($F660&lt;&gt;"",XLOOKUP($F660,Productos!$A:$A,Productos!R:R,"Revisar"),"")</f>
        <v/>
      </c>
      <c r="Z660" s="179" t="str">
        <f t="array" ref="Z660">IF($F660&lt;&gt;"", XLOOKUP($F660,Productos!$A$2:$A1001,Productos!S$2:S1001,"")*$G660,"")</f>
        <v/>
      </c>
      <c r="AA660" s="179" t="str">
        <f t="array" ref="AA660">IF($F660&lt;&gt;"",XLOOKUP($F660,Productos!$A:$A,Productos!T:T,"Revisar"),"")</f>
        <v/>
      </c>
      <c r="AB660" s="179" t="str">
        <f t="array" ref="AB660">IF($F660&lt;&gt;"", XLOOKUP($F660,Productos!$A$2:$A1001,Productos!U$2:U1001,"")*$G660,"")</f>
        <v/>
      </c>
      <c r="AC660" s="179" t="str">
        <f t="array" ref="AC660">IF($F660&lt;&gt;"",XLOOKUP($F660,Productos!$A:$A,Productos!V:V,"Revisar"),"")</f>
        <v/>
      </c>
      <c r="AD660" s="179" t="str">
        <f t="array" ref="AD660">IF($F660&lt;&gt;"", XLOOKUP($F660,Productos!$A$2:$A1001,Productos!W$2:W1001,"")*$G660,"")</f>
        <v/>
      </c>
      <c r="AE660" s="179" t="str">
        <f t="array" ref="AE660">IF($F660&lt;&gt;"",XLOOKUP($F660,Productos!$A:$A,Productos!X:X,"Revisar"),"")</f>
        <v/>
      </c>
      <c r="AF660" s="179" t="str">
        <f t="array" ref="AF660">IF($F660&lt;&gt;"", XLOOKUP($F660,Productos!$A$2:$A1001,Productos!Y$2:Y1001,"")*$G660,"")</f>
        <v/>
      </c>
      <c r="AG660" s="179" t="str">
        <f t="array" ref="AG660">IF($F660&lt;&gt;"",XLOOKUP($F660,Productos!$A:$A,Productos!Z:Z,"Revisar"),"")</f>
        <v/>
      </c>
      <c r="AH660" s="179" t="str">
        <f t="array" ref="AH660">IF($F660&lt;&gt;"", XLOOKUP($F660,Productos!$A$2:$A1001,Productos!AA$2:AA1001,"")*$G660,"")</f>
        <v/>
      </c>
      <c r="AI660" s="179" t="str">
        <f t="array" ref="AI660">IF($F660&lt;&gt;"",XLOOKUP($F660,Productos!$A:$A,Productos!AB:AB,"Revisar"),"")</f>
        <v/>
      </c>
      <c r="AJ660" s="179" t="str">
        <f t="array" ref="AJ660">IF($F660&lt;&gt;"", XLOOKUP($F660,Productos!$A$2:$A1001,Productos!AC$2:AC1001,"")*$G660,"")</f>
        <v/>
      </c>
      <c r="AK660" s="179" t="str">
        <f t="array" ref="AK660">IF($F660&lt;&gt;"",XLOOKUP($F660,Productos!$A:$A,Productos!AD:AD,"Revisar"),"")</f>
        <v/>
      </c>
      <c r="AL660" s="179" t="str">
        <f t="array" ref="AL660">IF($F660&lt;&gt;"", XLOOKUP($F660,Productos!$A$2:$A1001,Productos!AE$2:AE1001,"")*$G660,"")</f>
        <v/>
      </c>
      <c r="AM660" s="179" t="str">
        <f t="array" ref="AM660">IF($F660&lt;&gt;"",XLOOKUP($F660,Productos!$A:$A,Productos!AF:AF,"Revisar"),"")</f>
        <v/>
      </c>
      <c r="AN660" s="179" t="str">
        <f t="array" ref="AN660">IF($F660&lt;&gt;"", XLOOKUP($F660,Productos!$A$2:$A1001,Productos!AG$2:AG1001,"")*$G660,"")</f>
        <v/>
      </c>
      <c r="AO660" s="179" t="str">
        <f t="array" ref="AO660">IF($F660&lt;&gt;"",XLOOKUP($F660,Productos!$A:$A,Productos!AH:AH,"Revisar"),"")</f>
        <v/>
      </c>
      <c r="AP660" s="179" t="str">
        <f t="array" ref="AP660">IF($F660&lt;&gt;"", XLOOKUP($F660,Productos!$A$2:$A1001,Productos!AI$2:AI1001,"")*$G660,"")</f>
        <v/>
      </c>
      <c r="AQ660" s="179" t="str">
        <f t="array" ref="AQ660">IF($F660&lt;&gt;"",XLOOKUP($F660,Productos!$A:$A,Productos!AJ:AJ,"Revisar"),"")</f>
        <v/>
      </c>
      <c r="AR660" s="179" t="str">
        <f t="array" ref="AR660">IF($F660&lt;&gt;"", XLOOKUP($F660,Productos!$A$2:$A1001,Productos!AK$2:AK1001,"")*$G660,"")</f>
        <v/>
      </c>
      <c r="AS660" s="179" t="str">
        <f t="array" ref="AS660">IF($F660&lt;&gt;"",XLOOKUP($F660,Productos!$A:$A,Productos!AL:AL,"Revisar"),"")</f>
        <v/>
      </c>
      <c r="AT660" s="179" t="str">
        <f t="array" ref="AT660">IF($F660&lt;&gt;"", XLOOKUP($F660,Productos!$A$2:$A1001,Productos!AM$2:AM1001,"")*$G660,"")</f>
        <v/>
      </c>
      <c r="AU660" s="179" t="str">
        <f t="array" ref="AU660">IF($F660&lt;&gt;"",XLOOKUP($F660,Productos!$A:$A,Productos!AN:AN,"Revisar"),"")</f>
        <v/>
      </c>
      <c r="AV660" s="179" t="str">
        <f t="array" ref="AV660">IF($F660&lt;&gt;"", XLOOKUP($F660,Productos!$A$2:$A1001,Productos!AO$2:AO1001,"")*$G660,"")</f>
        <v/>
      </c>
      <c r="AW660" s="179" t="str">
        <f t="array" ref="AW660">IF($F660&lt;&gt;"",XLOOKUP($F660,Productos!$A:$A,Productos!AP:AP,"Revisar"),"")</f>
        <v/>
      </c>
      <c r="AX660" s="179" t="str">
        <f t="array" ref="AX660">IF($F660&lt;&gt;"", XLOOKUP($F660,Productos!$A$2:$A1001,Productos!AQ$2:AQ1001,"")*$G660,"")</f>
        <v/>
      </c>
      <c r="AY660" s="179" t="str">
        <f t="array" ref="AY660">IF($F660&lt;&gt;"",XLOOKUP($F660,Productos!$A:$A,Productos!AR:AR,"Revisar"),"")</f>
        <v/>
      </c>
      <c r="AZ660" s="179" t="str">
        <f t="array" ref="AZ660">IF($F660&lt;&gt;"", XLOOKUP($F660,Productos!$A$2:$A1001,Productos!AS$2:AS1001,"")*$G660,"")</f>
        <v/>
      </c>
      <c r="BA660" s="179" t="str">
        <f t="array" ref="BA660">IF($F660&lt;&gt;"",XLOOKUP($F660,Productos!$A:$A,Productos!AT:AT,"Revisar"),"")</f>
        <v/>
      </c>
      <c r="BB660" s="179" t="str">
        <f t="array" ref="BB660">IF($F660&lt;&gt;"", XLOOKUP($F660,Productos!$A$2:$A1001,Productos!AU$2:AU1001,"")*$G660,"")</f>
        <v/>
      </c>
      <c r="BC660" s="179" t="str">
        <f t="array" ref="BC660">IF($F660&lt;&gt;"",XLOOKUP($F660,Productos!$A:$A,Productos!AV:AV,"Revisar"),"")</f>
        <v/>
      </c>
      <c r="BD660" s="179" t="str">
        <f t="array" ref="BD660">IF($F660&lt;&gt;"", XLOOKUP($F660,Productos!$A$2:$A1001,Productos!AW$2:AW1001,"")*$G660,"")</f>
        <v/>
      </c>
      <c r="BE660" s="179" t="str">
        <f t="array" ref="BE660">IF($F660&lt;&gt;"",XLOOKUP($F660,Productos!$A:$A,Productos!AX:AX,"Revisar"),"")</f>
        <v/>
      </c>
      <c r="BF660" s="179" t="str">
        <f t="array" ref="BF660">IF($F660&lt;&gt;"", XLOOKUP($F660,Productos!$A$2:$A1001,Productos!AY$2:AY1001,"")*$G660,"")</f>
        <v/>
      </c>
      <c r="BG660" s="179" t="str">
        <f t="array" ref="BG660">IF($F660&lt;&gt;"",XLOOKUP($F660,Productos!$A:$A,Productos!AZ:AZ,"Revisar"),"")</f>
        <v/>
      </c>
      <c r="BH660" s="179" t="str">
        <f t="array" ref="BH660">IF($F660&lt;&gt;"", XLOOKUP($F660,Productos!$A$2:$A1001,Productos!BA$2:BA1001,"")*$G660,"")</f>
        <v/>
      </c>
      <c r="BI660" s="179" t="str">
        <f t="array" ref="BI660">IF($F660&lt;&gt;"",XLOOKUP($F660,Productos!$A:$A,Productos!BB:BB,"Revisar"),"")</f>
        <v/>
      </c>
      <c r="BJ660" s="179" t="str">
        <f t="array" ref="BJ660">IF($F660&lt;&gt;"", XLOOKUP($F660,Productos!$A$2:$A1001,Productos!BC$2:BC1001,"")*$G660,"")</f>
        <v/>
      </c>
      <c r="BK660" s="179" t="str">
        <f t="array" ref="BK660">IF($F660&lt;&gt;"",XLOOKUP($F660,Productos!$A:$A,Productos!BD:BD,"Revisar"),"")</f>
        <v/>
      </c>
      <c r="BL660" s="179" t="str">
        <f t="array" ref="BL660">IF($F660&lt;&gt;"", XLOOKUP($F660,Productos!$A$2:$A1001,Productos!BE$2:BE1001,"")*$G660,"")</f>
        <v/>
      </c>
      <c r="BM660" s="179" t="str">
        <f t="array" ref="BM660">IF($F660&lt;&gt;"",XLOOKUP($F660,Productos!$A:$A,Productos!BF:BF,"Revisar"),"")</f>
        <v/>
      </c>
      <c r="BN660" s="179" t="str">
        <f t="array" ref="BN660">IF($F660&lt;&gt;"", XLOOKUP($F660,Productos!$A$2:$A1001,Productos!BG$2:BG1001,"")*$G660,"")</f>
        <v/>
      </c>
      <c r="BO660" s="179" t="str">
        <f t="array" ref="BO660">IF($F660&lt;&gt;"",XLOOKUP($F660,Productos!$A:$A,Productos!BH:BH,"Revisar"),"")</f>
        <v/>
      </c>
      <c r="BP660" s="179" t="str">
        <f t="array" ref="BP660">IF($F660&lt;&gt;"", XLOOKUP($F660,Productos!$A$2:$A1001,Productos!BI$2:BI1001,"")*$G660,"")</f>
        <v/>
      </c>
      <c r="BQ660" s="179" t="str">
        <f t="array" ref="BQ660">IF($F660&lt;&gt;"",XLOOKUP($F660,Productos!$A:$A,Productos!BJ:BJ,"Revisar"),"")</f>
        <v/>
      </c>
      <c r="BR660" s="179" t="str">
        <f t="array" ref="BR660">IF($F660&lt;&gt;"", XLOOKUP($F660,Productos!$A$2:$A1001,Productos!BK$2:BK1001,"")*$G660,"")</f>
        <v/>
      </c>
      <c r="BS660" s="179" t="str">
        <f t="array" ref="BS660">IF($F660&lt;&gt;"",XLOOKUP($F660,Productos!$A:$A,Productos!BL:BL,"Revisar"),"")</f>
        <v/>
      </c>
      <c r="BT660" s="179" t="str">
        <f t="array" ref="BT660">IF($F660&lt;&gt;"", XLOOKUP($F660,Productos!$A$2:$A1001,Productos!BM$2:BM1001,"")*$G660,"")</f>
        <v/>
      </c>
      <c r="BU660" s="179" t="str">
        <f t="array" ref="BU660">IF($F660&lt;&gt;"",XLOOKUP($F660,Productos!$A:$A,Productos!BN:BN,"Revisar"),"")</f>
        <v/>
      </c>
      <c r="BV660" s="179" t="str">
        <f t="array" ref="BV660">IF($F660&lt;&gt;"", XLOOKUP($F660,Productos!$A$2:$A1001,Productos!BO$2:BO1001,"")*$G660,"")</f>
        <v/>
      </c>
      <c r="BW660" s="179" t="str">
        <f t="array" ref="BW660">IF($F660&lt;&gt;"",XLOOKUP($F660,Productos!$A:$A,Productos!BP:BP,"Revisar"),"")</f>
        <v/>
      </c>
      <c r="BX660" s="179" t="str">
        <f t="array" ref="BX660">IF($F660&lt;&gt;"", XLOOKUP($F660,Productos!$A$2:$A1001,Productos!BQ$2:BQ1001,"")*$G660,"")</f>
        <v/>
      </c>
      <c r="BY660" s="179" t="str">
        <f t="array" ref="BY660">IF($F660&lt;&gt;"",XLOOKUP($F660,Productos!$A:$A,Productos!BR:BR,"Revisar"),"")</f>
        <v/>
      </c>
      <c r="BZ660" s="179" t="str">
        <f t="array" ref="BZ660">IF($F660&lt;&gt;"", XLOOKUP($F660,Productos!$A$2:$A1001,Productos!BS$2:BS1001,"")*$G660,"")</f>
        <v/>
      </c>
    </row>
    <row r="661">
      <c r="A661" s="188"/>
      <c r="B661" s="189"/>
      <c r="C661" s="190"/>
      <c r="D661" s="190"/>
      <c r="E661" s="191"/>
      <c r="F661" s="186"/>
      <c r="G661" s="192"/>
      <c r="H661" s="9"/>
      <c r="I661" s="179" t="str">
        <f t="array" ref="I661">IF($F661&lt;&gt;"",XLOOKUP($F661,Productos!$A:$A,Productos!B:B,"Revisar"),"")</f>
        <v/>
      </c>
      <c r="J661" s="179" t="str">
        <f t="array" ref="J661">IF($F661&lt;&gt;"", XLOOKUP($F661,Productos!$A$2:$A1001,Productos!C$2:C1001,"")*$G661,"")</f>
        <v/>
      </c>
      <c r="K661" s="179" t="str">
        <f t="array" ref="K661">IF($F661&lt;&gt;"",XLOOKUP($F661,Productos!$A:$A,Productos!D:D,"Revisar"),"")</f>
        <v/>
      </c>
      <c r="L661" s="179" t="str">
        <f t="array" ref="L661">IF($F661&lt;&gt;"", XLOOKUP($F661,Productos!$A$2:$A1001,Productos!E$2:E1001,"")*$G661,"")</f>
        <v/>
      </c>
      <c r="M661" s="179" t="str">
        <f t="array" ref="M661">IF($F661&lt;&gt;"",XLOOKUP($F661,Productos!$A:$A,Productos!F:F,"Revisar"),"")</f>
        <v/>
      </c>
      <c r="N661" s="179" t="str">
        <f t="array" ref="N661">IF($F661&lt;&gt;"", XLOOKUP($F661,Productos!$A$2:$A1001,Productos!G$2:G1001,"")*$G661,"")</f>
        <v/>
      </c>
      <c r="O661" s="179" t="str">
        <f t="array" ref="O661">IF($F661&lt;&gt;"",XLOOKUP($F661,Productos!$A:$A,Productos!H:H,"Revisar"),"")</f>
        <v/>
      </c>
      <c r="P661" s="179" t="str">
        <f t="array" ref="P661">IF($F661&lt;&gt;"", XLOOKUP($F661,Productos!$A$2:$A1001,Productos!I$2:I1001,"")*$G661,"")</f>
        <v/>
      </c>
      <c r="Q661" s="179" t="str">
        <f t="array" ref="Q661">IF($F661&lt;&gt;"",XLOOKUP($F661,Productos!$A:$A,Productos!J:J,"Revisar"),"")</f>
        <v/>
      </c>
      <c r="R661" s="179" t="str">
        <f t="array" ref="R661">IF($F661&lt;&gt;"", XLOOKUP($F661,Productos!$A$2:$A1001,Productos!K$2:K1001,"")*$G661,"")</f>
        <v/>
      </c>
      <c r="S661" s="179" t="str">
        <f t="array" ref="S661">IF($F661&lt;&gt;"",XLOOKUP($F661,Productos!$A:$A,Productos!L:L,"Revisar"),"")</f>
        <v/>
      </c>
      <c r="T661" s="179" t="str">
        <f t="array" ref="T661">IF($F661&lt;&gt;"", XLOOKUP($F661,Productos!$A$2:$A1001,Productos!M$2:M1001,"")*$G661,"")</f>
        <v/>
      </c>
      <c r="U661" s="179" t="str">
        <f t="array" ref="U661">IF($F661&lt;&gt;"",XLOOKUP($F661,Productos!$A:$A,Productos!N:N,"Revisar"),"")</f>
        <v/>
      </c>
      <c r="V661" s="179" t="str">
        <f t="array" ref="V661">IF($F661&lt;&gt;"", XLOOKUP($F661,Productos!$A$2:$A1001,Productos!O$2:O1001,"")*$G661,"")</f>
        <v/>
      </c>
      <c r="W661" s="179" t="str">
        <f t="array" ref="W661">IF($F661&lt;&gt;"",XLOOKUP($F661,Productos!$A:$A,Productos!P:P,"Revisar"),"")</f>
        <v/>
      </c>
      <c r="X661" s="179" t="str">
        <f t="array" ref="X661">IF($F661&lt;&gt;"", XLOOKUP($F661,Productos!$A$2:$A1001,Productos!Q$2:Q1001,"")*$G661,"")</f>
        <v/>
      </c>
      <c r="Y661" s="179" t="str">
        <f t="array" ref="Y661">IF($F661&lt;&gt;"",XLOOKUP($F661,Productos!$A:$A,Productos!R:R,"Revisar"),"")</f>
        <v/>
      </c>
      <c r="Z661" s="179" t="str">
        <f t="array" ref="Z661">IF($F661&lt;&gt;"", XLOOKUP($F661,Productos!$A$2:$A1001,Productos!S$2:S1001,"")*$G661,"")</f>
        <v/>
      </c>
      <c r="AA661" s="179" t="str">
        <f t="array" ref="AA661">IF($F661&lt;&gt;"",XLOOKUP($F661,Productos!$A:$A,Productos!T:T,"Revisar"),"")</f>
        <v/>
      </c>
      <c r="AB661" s="179" t="str">
        <f t="array" ref="AB661">IF($F661&lt;&gt;"", XLOOKUP($F661,Productos!$A$2:$A1001,Productos!U$2:U1001,"")*$G661,"")</f>
        <v/>
      </c>
      <c r="AC661" s="179" t="str">
        <f t="array" ref="AC661">IF($F661&lt;&gt;"",XLOOKUP($F661,Productos!$A:$A,Productos!V:V,"Revisar"),"")</f>
        <v/>
      </c>
      <c r="AD661" s="179" t="str">
        <f t="array" ref="AD661">IF($F661&lt;&gt;"", XLOOKUP($F661,Productos!$A$2:$A1001,Productos!W$2:W1001,"")*$G661,"")</f>
        <v/>
      </c>
      <c r="AE661" s="179" t="str">
        <f t="array" ref="AE661">IF($F661&lt;&gt;"",XLOOKUP($F661,Productos!$A:$A,Productos!X:X,"Revisar"),"")</f>
        <v/>
      </c>
      <c r="AF661" s="179" t="str">
        <f t="array" ref="AF661">IF($F661&lt;&gt;"", XLOOKUP($F661,Productos!$A$2:$A1001,Productos!Y$2:Y1001,"")*$G661,"")</f>
        <v/>
      </c>
      <c r="AG661" s="179" t="str">
        <f t="array" ref="AG661">IF($F661&lt;&gt;"",XLOOKUP($F661,Productos!$A:$A,Productos!Z:Z,"Revisar"),"")</f>
        <v/>
      </c>
      <c r="AH661" s="179" t="str">
        <f t="array" ref="AH661">IF($F661&lt;&gt;"", XLOOKUP($F661,Productos!$A$2:$A1001,Productos!AA$2:AA1001,"")*$G661,"")</f>
        <v/>
      </c>
      <c r="AI661" s="179" t="str">
        <f t="array" ref="AI661">IF($F661&lt;&gt;"",XLOOKUP($F661,Productos!$A:$A,Productos!AB:AB,"Revisar"),"")</f>
        <v/>
      </c>
      <c r="AJ661" s="179" t="str">
        <f t="array" ref="AJ661">IF($F661&lt;&gt;"", XLOOKUP($F661,Productos!$A$2:$A1001,Productos!AC$2:AC1001,"")*$G661,"")</f>
        <v/>
      </c>
      <c r="AK661" s="179" t="str">
        <f t="array" ref="AK661">IF($F661&lt;&gt;"",XLOOKUP($F661,Productos!$A:$A,Productos!AD:AD,"Revisar"),"")</f>
        <v/>
      </c>
      <c r="AL661" s="179" t="str">
        <f t="array" ref="AL661">IF($F661&lt;&gt;"", XLOOKUP($F661,Productos!$A$2:$A1001,Productos!AE$2:AE1001,"")*$G661,"")</f>
        <v/>
      </c>
      <c r="AM661" s="179" t="str">
        <f t="array" ref="AM661">IF($F661&lt;&gt;"",XLOOKUP($F661,Productos!$A:$A,Productos!AF:AF,"Revisar"),"")</f>
        <v/>
      </c>
      <c r="AN661" s="179" t="str">
        <f t="array" ref="AN661">IF($F661&lt;&gt;"", XLOOKUP($F661,Productos!$A$2:$A1001,Productos!AG$2:AG1001,"")*$G661,"")</f>
        <v/>
      </c>
      <c r="AO661" s="179" t="str">
        <f t="array" ref="AO661">IF($F661&lt;&gt;"",XLOOKUP($F661,Productos!$A:$A,Productos!AH:AH,"Revisar"),"")</f>
        <v/>
      </c>
      <c r="AP661" s="179" t="str">
        <f t="array" ref="AP661">IF($F661&lt;&gt;"", XLOOKUP($F661,Productos!$A$2:$A1001,Productos!AI$2:AI1001,"")*$G661,"")</f>
        <v/>
      </c>
      <c r="AQ661" s="179" t="str">
        <f t="array" ref="AQ661">IF($F661&lt;&gt;"",XLOOKUP($F661,Productos!$A:$A,Productos!AJ:AJ,"Revisar"),"")</f>
        <v/>
      </c>
      <c r="AR661" s="179" t="str">
        <f t="array" ref="AR661">IF($F661&lt;&gt;"", XLOOKUP($F661,Productos!$A$2:$A1001,Productos!AK$2:AK1001,"")*$G661,"")</f>
        <v/>
      </c>
      <c r="AS661" s="179" t="str">
        <f t="array" ref="AS661">IF($F661&lt;&gt;"",XLOOKUP($F661,Productos!$A:$A,Productos!AL:AL,"Revisar"),"")</f>
        <v/>
      </c>
      <c r="AT661" s="179" t="str">
        <f t="array" ref="AT661">IF($F661&lt;&gt;"", XLOOKUP($F661,Productos!$A$2:$A1001,Productos!AM$2:AM1001,"")*$G661,"")</f>
        <v/>
      </c>
      <c r="AU661" s="179" t="str">
        <f t="array" ref="AU661">IF($F661&lt;&gt;"",XLOOKUP($F661,Productos!$A:$A,Productos!AN:AN,"Revisar"),"")</f>
        <v/>
      </c>
      <c r="AV661" s="179" t="str">
        <f t="array" ref="AV661">IF($F661&lt;&gt;"", XLOOKUP($F661,Productos!$A$2:$A1001,Productos!AO$2:AO1001,"")*$G661,"")</f>
        <v/>
      </c>
      <c r="AW661" s="179" t="str">
        <f t="array" ref="AW661">IF($F661&lt;&gt;"",XLOOKUP($F661,Productos!$A:$A,Productos!AP:AP,"Revisar"),"")</f>
        <v/>
      </c>
      <c r="AX661" s="179" t="str">
        <f t="array" ref="AX661">IF($F661&lt;&gt;"", XLOOKUP($F661,Productos!$A$2:$A1001,Productos!AQ$2:AQ1001,"")*$G661,"")</f>
        <v/>
      </c>
      <c r="AY661" s="179" t="str">
        <f t="array" ref="AY661">IF($F661&lt;&gt;"",XLOOKUP($F661,Productos!$A:$A,Productos!AR:AR,"Revisar"),"")</f>
        <v/>
      </c>
      <c r="AZ661" s="179" t="str">
        <f t="array" ref="AZ661">IF($F661&lt;&gt;"", XLOOKUP($F661,Productos!$A$2:$A1001,Productos!AS$2:AS1001,"")*$G661,"")</f>
        <v/>
      </c>
      <c r="BA661" s="179" t="str">
        <f t="array" ref="BA661">IF($F661&lt;&gt;"",XLOOKUP($F661,Productos!$A:$A,Productos!AT:AT,"Revisar"),"")</f>
        <v/>
      </c>
      <c r="BB661" s="179" t="str">
        <f t="array" ref="BB661">IF($F661&lt;&gt;"", XLOOKUP($F661,Productos!$A$2:$A1001,Productos!AU$2:AU1001,"")*$G661,"")</f>
        <v/>
      </c>
      <c r="BC661" s="179" t="str">
        <f t="array" ref="BC661">IF($F661&lt;&gt;"",XLOOKUP($F661,Productos!$A:$A,Productos!AV:AV,"Revisar"),"")</f>
        <v/>
      </c>
      <c r="BD661" s="179" t="str">
        <f t="array" ref="BD661">IF($F661&lt;&gt;"", XLOOKUP($F661,Productos!$A$2:$A1001,Productos!AW$2:AW1001,"")*$G661,"")</f>
        <v/>
      </c>
      <c r="BE661" s="179" t="str">
        <f t="array" ref="BE661">IF($F661&lt;&gt;"",XLOOKUP($F661,Productos!$A:$A,Productos!AX:AX,"Revisar"),"")</f>
        <v/>
      </c>
      <c r="BF661" s="179" t="str">
        <f t="array" ref="BF661">IF($F661&lt;&gt;"", XLOOKUP($F661,Productos!$A$2:$A1001,Productos!AY$2:AY1001,"")*$G661,"")</f>
        <v/>
      </c>
      <c r="BG661" s="179" t="str">
        <f t="array" ref="BG661">IF($F661&lt;&gt;"",XLOOKUP($F661,Productos!$A:$A,Productos!AZ:AZ,"Revisar"),"")</f>
        <v/>
      </c>
      <c r="BH661" s="179" t="str">
        <f t="array" ref="BH661">IF($F661&lt;&gt;"", XLOOKUP($F661,Productos!$A$2:$A1001,Productos!BA$2:BA1001,"")*$G661,"")</f>
        <v/>
      </c>
      <c r="BI661" s="179" t="str">
        <f t="array" ref="BI661">IF($F661&lt;&gt;"",XLOOKUP($F661,Productos!$A:$A,Productos!BB:BB,"Revisar"),"")</f>
        <v/>
      </c>
      <c r="BJ661" s="179" t="str">
        <f t="array" ref="BJ661">IF($F661&lt;&gt;"", XLOOKUP($F661,Productos!$A$2:$A1001,Productos!BC$2:BC1001,"")*$G661,"")</f>
        <v/>
      </c>
      <c r="BK661" s="179" t="str">
        <f t="array" ref="BK661">IF($F661&lt;&gt;"",XLOOKUP($F661,Productos!$A:$A,Productos!BD:BD,"Revisar"),"")</f>
        <v/>
      </c>
      <c r="BL661" s="179" t="str">
        <f t="array" ref="BL661">IF($F661&lt;&gt;"", XLOOKUP($F661,Productos!$A$2:$A1001,Productos!BE$2:BE1001,"")*$G661,"")</f>
        <v/>
      </c>
      <c r="BM661" s="179" t="str">
        <f t="array" ref="BM661">IF($F661&lt;&gt;"",XLOOKUP($F661,Productos!$A:$A,Productos!BF:BF,"Revisar"),"")</f>
        <v/>
      </c>
      <c r="BN661" s="179" t="str">
        <f t="array" ref="BN661">IF($F661&lt;&gt;"", XLOOKUP($F661,Productos!$A$2:$A1001,Productos!BG$2:BG1001,"")*$G661,"")</f>
        <v/>
      </c>
      <c r="BO661" s="179" t="str">
        <f t="array" ref="BO661">IF($F661&lt;&gt;"",XLOOKUP($F661,Productos!$A:$A,Productos!BH:BH,"Revisar"),"")</f>
        <v/>
      </c>
      <c r="BP661" s="179" t="str">
        <f t="array" ref="BP661">IF($F661&lt;&gt;"", XLOOKUP($F661,Productos!$A$2:$A1001,Productos!BI$2:BI1001,"")*$G661,"")</f>
        <v/>
      </c>
      <c r="BQ661" s="179" t="str">
        <f t="array" ref="BQ661">IF($F661&lt;&gt;"",XLOOKUP($F661,Productos!$A:$A,Productos!BJ:BJ,"Revisar"),"")</f>
        <v/>
      </c>
      <c r="BR661" s="179" t="str">
        <f t="array" ref="BR661">IF($F661&lt;&gt;"", XLOOKUP($F661,Productos!$A$2:$A1001,Productos!BK$2:BK1001,"")*$G661,"")</f>
        <v/>
      </c>
      <c r="BS661" s="179" t="str">
        <f t="array" ref="BS661">IF($F661&lt;&gt;"",XLOOKUP($F661,Productos!$A:$A,Productos!BL:BL,"Revisar"),"")</f>
        <v/>
      </c>
      <c r="BT661" s="179" t="str">
        <f t="array" ref="BT661">IF($F661&lt;&gt;"", XLOOKUP($F661,Productos!$A$2:$A1001,Productos!BM$2:BM1001,"")*$G661,"")</f>
        <v/>
      </c>
      <c r="BU661" s="179" t="str">
        <f t="array" ref="BU661">IF($F661&lt;&gt;"",XLOOKUP($F661,Productos!$A:$A,Productos!BN:BN,"Revisar"),"")</f>
        <v/>
      </c>
      <c r="BV661" s="179" t="str">
        <f t="array" ref="BV661">IF($F661&lt;&gt;"", XLOOKUP($F661,Productos!$A$2:$A1001,Productos!BO$2:BO1001,"")*$G661,"")</f>
        <v/>
      </c>
      <c r="BW661" s="179" t="str">
        <f t="array" ref="BW661">IF($F661&lt;&gt;"",XLOOKUP($F661,Productos!$A:$A,Productos!BP:BP,"Revisar"),"")</f>
        <v/>
      </c>
      <c r="BX661" s="179" t="str">
        <f t="array" ref="BX661">IF($F661&lt;&gt;"", XLOOKUP($F661,Productos!$A$2:$A1001,Productos!BQ$2:BQ1001,"")*$G661,"")</f>
        <v/>
      </c>
      <c r="BY661" s="179" t="str">
        <f t="array" ref="BY661">IF($F661&lt;&gt;"",XLOOKUP($F661,Productos!$A:$A,Productos!BR:BR,"Revisar"),"")</f>
        <v/>
      </c>
      <c r="BZ661" s="179" t="str">
        <f t="array" ref="BZ661">IF($F661&lt;&gt;"", XLOOKUP($F661,Productos!$A$2:$A1001,Productos!BS$2:BS1001,"")*$G661,"")</f>
        <v/>
      </c>
    </row>
    <row r="662">
      <c r="A662" s="188"/>
      <c r="B662" s="189"/>
      <c r="C662" s="190"/>
      <c r="D662" s="190"/>
      <c r="E662" s="191"/>
      <c r="F662" s="186"/>
      <c r="G662" s="192"/>
      <c r="H662" s="9"/>
      <c r="I662" s="179" t="str">
        <f t="array" ref="I662">IF($F662&lt;&gt;"",XLOOKUP($F662,Productos!$A:$A,Productos!B:B,"Revisar"),"")</f>
        <v/>
      </c>
      <c r="J662" s="179" t="str">
        <f t="array" ref="J662">IF($F662&lt;&gt;"", XLOOKUP($F662,Productos!$A$2:$A1001,Productos!C$2:C1001,"")*$G662,"")</f>
        <v/>
      </c>
      <c r="K662" s="179" t="str">
        <f t="array" ref="K662">IF($F662&lt;&gt;"",XLOOKUP($F662,Productos!$A:$A,Productos!D:D,"Revisar"),"")</f>
        <v/>
      </c>
      <c r="L662" s="179" t="str">
        <f t="array" ref="L662">IF($F662&lt;&gt;"", XLOOKUP($F662,Productos!$A$2:$A1001,Productos!E$2:E1001,"")*$G662,"")</f>
        <v/>
      </c>
      <c r="M662" s="179" t="str">
        <f t="array" ref="M662">IF($F662&lt;&gt;"",XLOOKUP($F662,Productos!$A:$A,Productos!F:F,"Revisar"),"")</f>
        <v/>
      </c>
      <c r="N662" s="179" t="str">
        <f t="array" ref="N662">IF($F662&lt;&gt;"", XLOOKUP($F662,Productos!$A$2:$A1001,Productos!G$2:G1001,"")*$G662,"")</f>
        <v/>
      </c>
      <c r="O662" s="179" t="str">
        <f t="array" ref="O662">IF($F662&lt;&gt;"",XLOOKUP($F662,Productos!$A:$A,Productos!H:H,"Revisar"),"")</f>
        <v/>
      </c>
      <c r="P662" s="179" t="str">
        <f t="array" ref="P662">IF($F662&lt;&gt;"", XLOOKUP($F662,Productos!$A$2:$A1001,Productos!I$2:I1001,"")*$G662,"")</f>
        <v/>
      </c>
      <c r="Q662" s="179" t="str">
        <f t="array" ref="Q662">IF($F662&lt;&gt;"",XLOOKUP($F662,Productos!$A:$A,Productos!J:J,"Revisar"),"")</f>
        <v/>
      </c>
      <c r="R662" s="179" t="str">
        <f t="array" ref="R662">IF($F662&lt;&gt;"", XLOOKUP($F662,Productos!$A$2:$A1001,Productos!K$2:K1001,"")*$G662,"")</f>
        <v/>
      </c>
      <c r="S662" s="179" t="str">
        <f t="array" ref="S662">IF($F662&lt;&gt;"",XLOOKUP($F662,Productos!$A:$A,Productos!L:L,"Revisar"),"")</f>
        <v/>
      </c>
      <c r="T662" s="179" t="str">
        <f t="array" ref="T662">IF($F662&lt;&gt;"", XLOOKUP($F662,Productos!$A$2:$A1001,Productos!M$2:M1001,"")*$G662,"")</f>
        <v/>
      </c>
      <c r="U662" s="179" t="str">
        <f t="array" ref="U662">IF($F662&lt;&gt;"",XLOOKUP($F662,Productos!$A:$A,Productos!N:N,"Revisar"),"")</f>
        <v/>
      </c>
      <c r="V662" s="179" t="str">
        <f t="array" ref="V662">IF($F662&lt;&gt;"", XLOOKUP($F662,Productos!$A$2:$A1001,Productos!O$2:O1001,"")*$G662,"")</f>
        <v/>
      </c>
      <c r="W662" s="179" t="str">
        <f t="array" ref="W662">IF($F662&lt;&gt;"",XLOOKUP($F662,Productos!$A:$A,Productos!P:P,"Revisar"),"")</f>
        <v/>
      </c>
      <c r="X662" s="179" t="str">
        <f t="array" ref="X662">IF($F662&lt;&gt;"", XLOOKUP($F662,Productos!$A$2:$A1001,Productos!Q$2:Q1001,"")*$G662,"")</f>
        <v/>
      </c>
      <c r="Y662" s="179" t="str">
        <f t="array" ref="Y662">IF($F662&lt;&gt;"",XLOOKUP($F662,Productos!$A:$A,Productos!R:R,"Revisar"),"")</f>
        <v/>
      </c>
      <c r="Z662" s="179" t="str">
        <f t="array" ref="Z662">IF($F662&lt;&gt;"", XLOOKUP($F662,Productos!$A$2:$A1001,Productos!S$2:S1001,"")*$G662,"")</f>
        <v/>
      </c>
      <c r="AA662" s="179" t="str">
        <f t="array" ref="AA662">IF($F662&lt;&gt;"",XLOOKUP($F662,Productos!$A:$A,Productos!T:T,"Revisar"),"")</f>
        <v/>
      </c>
      <c r="AB662" s="179" t="str">
        <f t="array" ref="AB662">IF($F662&lt;&gt;"", XLOOKUP($F662,Productos!$A$2:$A1001,Productos!U$2:U1001,"")*$G662,"")</f>
        <v/>
      </c>
      <c r="AC662" s="179" t="str">
        <f t="array" ref="AC662">IF($F662&lt;&gt;"",XLOOKUP($F662,Productos!$A:$A,Productos!V:V,"Revisar"),"")</f>
        <v/>
      </c>
      <c r="AD662" s="179" t="str">
        <f t="array" ref="AD662">IF($F662&lt;&gt;"", XLOOKUP($F662,Productos!$A$2:$A1001,Productos!W$2:W1001,"")*$G662,"")</f>
        <v/>
      </c>
      <c r="AE662" s="179" t="str">
        <f t="array" ref="AE662">IF($F662&lt;&gt;"",XLOOKUP($F662,Productos!$A:$A,Productos!X:X,"Revisar"),"")</f>
        <v/>
      </c>
      <c r="AF662" s="179" t="str">
        <f t="array" ref="AF662">IF($F662&lt;&gt;"", XLOOKUP($F662,Productos!$A$2:$A1001,Productos!Y$2:Y1001,"")*$G662,"")</f>
        <v/>
      </c>
      <c r="AG662" s="179" t="str">
        <f t="array" ref="AG662">IF($F662&lt;&gt;"",XLOOKUP($F662,Productos!$A:$A,Productos!Z:Z,"Revisar"),"")</f>
        <v/>
      </c>
      <c r="AH662" s="179" t="str">
        <f t="array" ref="AH662">IF($F662&lt;&gt;"", XLOOKUP($F662,Productos!$A$2:$A1001,Productos!AA$2:AA1001,"")*$G662,"")</f>
        <v/>
      </c>
      <c r="AI662" s="179" t="str">
        <f t="array" ref="AI662">IF($F662&lt;&gt;"",XLOOKUP($F662,Productos!$A:$A,Productos!AB:AB,"Revisar"),"")</f>
        <v/>
      </c>
      <c r="AJ662" s="179" t="str">
        <f t="array" ref="AJ662">IF($F662&lt;&gt;"", XLOOKUP($F662,Productos!$A$2:$A1001,Productos!AC$2:AC1001,"")*$G662,"")</f>
        <v/>
      </c>
      <c r="AK662" s="179" t="str">
        <f t="array" ref="AK662">IF($F662&lt;&gt;"",XLOOKUP($F662,Productos!$A:$A,Productos!AD:AD,"Revisar"),"")</f>
        <v/>
      </c>
      <c r="AL662" s="179" t="str">
        <f t="array" ref="AL662">IF($F662&lt;&gt;"", XLOOKUP($F662,Productos!$A$2:$A1001,Productos!AE$2:AE1001,"")*$G662,"")</f>
        <v/>
      </c>
      <c r="AM662" s="179" t="str">
        <f t="array" ref="AM662">IF($F662&lt;&gt;"",XLOOKUP($F662,Productos!$A:$A,Productos!AF:AF,"Revisar"),"")</f>
        <v/>
      </c>
      <c r="AN662" s="179" t="str">
        <f t="array" ref="AN662">IF($F662&lt;&gt;"", XLOOKUP($F662,Productos!$A$2:$A1001,Productos!AG$2:AG1001,"")*$G662,"")</f>
        <v/>
      </c>
      <c r="AO662" s="179" t="str">
        <f t="array" ref="AO662">IF($F662&lt;&gt;"",XLOOKUP($F662,Productos!$A:$A,Productos!AH:AH,"Revisar"),"")</f>
        <v/>
      </c>
      <c r="AP662" s="179" t="str">
        <f t="array" ref="AP662">IF($F662&lt;&gt;"", XLOOKUP($F662,Productos!$A$2:$A1001,Productos!AI$2:AI1001,"")*$G662,"")</f>
        <v/>
      </c>
      <c r="AQ662" s="179" t="str">
        <f t="array" ref="AQ662">IF($F662&lt;&gt;"",XLOOKUP($F662,Productos!$A:$A,Productos!AJ:AJ,"Revisar"),"")</f>
        <v/>
      </c>
      <c r="AR662" s="179" t="str">
        <f t="array" ref="AR662">IF($F662&lt;&gt;"", XLOOKUP($F662,Productos!$A$2:$A1001,Productos!AK$2:AK1001,"")*$G662,"")</f>
        <v/>
      </c>
      <c r="AS662" s="179" t="str">
        <f t="array" ref="AS662">IF($F662&lt;&gt;"",XLOOKUP($F662,Productos!$A:$A,Productos!AL:AL,"Revisar"),"")</f>
        <v/>
      </c>
      <c r="AT662" s="179" t="str">
        <f t="array" ref="AT662">IF($F662&lt;&gt;"", XLOOKUP($F662,Productos!$A$2:$A1001,Productos!AM$2:AM1001,"")*$G662,"")</f>
        <v/>
      </c>
      <c r="AU662" s="179" t="str">
        <f t="array" ref="AU662">IF($F662&lt;&gt;"",XLOOKUP($F662,Productos!$A:$A,Productos!AN:AN,"Revisar"),"")</f>
        <v/>
      </c>
      <c r="AV662" s="179" t="str">
        <f t="array" ref="AV662">IF($F662&lt;&gt;"", XLOOKUP($F662,Productos!$A$2:$A1001,Productos!AO$2:AO1001,"")*$G662,"")</f>
        <v/>
      </c>
      <c r="AW662" s="179" t="str">
        <f t="array" ref="AW662">IF($F662&lt;&gt;"",XLOOKUP($F662,Productos!$A:$A,Productos!AP:AP,"Revisar"),"")</f>
        <v/>
      </c>
      <c r="AX662" s="179" t="str">
        <f t="array" ref="AX662">IF($F662&lt;&gt;"", XLOOKUP($F662,Productos!$A$2:$A1001,Productos!AQ$2:AQ1001,"")*$G662,"")</f>
        <v/>
      </c>
      <c r="AY662" s="179" t="str">
        <f t="array" ref="AY662">IF($F662&lt;&gt;"",XLOOKUP($F662,Productos!$A:$A,Productos!AR:AR,"Revisar"),"")</f>
        <v/>
      </c>
      <c r="AZ662" s="179" t="str">
        <f t="array" ref="AZ662">IF($F662&lt;&gt;"", XLOOKUP($F662,Productos!$A$2:$A1001,Productos!AS$2:AS1001,"")*$G662,"")</f>
        <v/>
      </c>
      <c r="BA662" s="179" t="str">
        <f t="array" ref="BA662">IF($F662&lt;&gt;"",XLOOKUP($F662,Productos!$A:$A,Productos!AT:AT,"Revisar"),"")</f>
        <v/>
      </c>
      <c r="BB662" s="179" t="str">
        <f t="array" ref="BB662">IF($F662&lt;&gt;"", XLOOKUP($F662,Productos!$A$2:$A1001,Productos!AU$2:AU1001,"")*$G662,"")</f>
        <v/>
      </c>
      <c r="BC662" s="179" t="str">
        <f t="array" ref="BC662">IF($F662&lt;&gt;"",XLOOKUP($F662,Productos!$A:$A,Productos!AV:AV,"Revisar"),"")</f>
        <v/>
      </c>
      <c r="BD662" s="179" t="str">
        <f t="array" ref="BD662">IF($F662&lt;&gt;"", XLOOKUP($F662,Productos!$A$2:$A1001,Productos!AW$2:AW1001,"")*$G662,"")</f>
        <v/>
      </c>
      <c r="BE662" s="179" t="str">
        <f t="array" ref="BE662">IF($F662&lt;&gt;"",XLOOKUP($F662,Productos!$A:$A,Productos!AX:AX,"Revisar"),"")</f>
        <v/>
      </c>
      <c r="BF662" s="179" t="str">
        <f t="array" ref="BF662">IF($F662&lt;&gt;"", XLOOKUP($F662,Productos!$A$2:$A1001,Productos!AY$2:AY1001,"")*$G662,"")</f>
        <v/>
      </c>
      <c r="BG662" s="179" t="str">
        <f t="array" ref="BG662">IF($F662&lt;&gt;"",XLOOKUP($F662,Productos!$A:$A,Productos!AZ:AZ,"Revisar"),"")</f>
        <v/>
      </c>
      <c r="BH662" s="179" t="str">
        <f t="array" ref="BH662">IF($F662&lt;&gt;"", XLOOKUP($F662,Productos!$A$2:$A1001,Productos!BA$2:BA1001,"")*$G662,"")</f>
        <v/>
      </c>
      <c r="BI662" s="179" t="str">
        <f t="array" ref="BI662">IF($F662&lt;&gt;"",XLOOKUP($F662,Productos!$A:$A,Productos!BB:BB,"Revisar"),"")</f>
        <v/>
      </c>
      <c r="BJ662" s="179" t="str">
        <f t="array" ref="BJ662">IF($F662&lt;&gt;"", XLOOKUP($F662,Productos!$A$2:$A1001,Productos!BC$2:BC1001,"")*$G662,"")</f>
        <v/>
      </c>
      <c r="BK662" s="179" t="str">
        <f t="array" ref="BK662">IF($F662&lt;&gt;"",XLOOKUP($F662,Productos!$A:$A,Productos!BD:BD,"Revisar"),"")</f>
        <v/>
      </c>
      <c r="BL662" s="179" t="str">
        <f t="array" ref="BL662">IF($F662&lt;&gt;"", XLOOKUP($F662,Productos!$A$2:$A1001,Productos!BE$2:BE1001,"")*$G662,"")</f>
        <v/>
      </c>
      <c r="BM662" s="179" t="str">
        <f t="array" ref="BM662">IF($F662&lt;&gt;"",XLOOKUP($F662,Productos!$A:$A,Productos!BF:BF,"Revisar"),"")</f>
        <v/>
      </c>
      <c r="BN662" s="179" t="str">
        <f t="array" ref="BN662">IF($F662&lt;&gt;"", XLOOKUP($F662,Productos!$A$2:$A1001,Productos!BG$2:BG1001,"")*$G662,"")</f>
        <v/>
      </c>
      <c r="BO662" s="179" t="str">
        <f t="array" ref="BO662">IF($F662&lt;&gt;"",XLOOKUP($F662,Productos!$A:$A,Productos!BH:BH,"Revisar"),"")</f>
        <v/>
      </c>
      <c r="BP662" s="179" t="str">
        <f t="array" ref="BP662">IF($F662&lt;&gt;"", XLOOKUP($F662,Productos!$A$2:$A1001,Productos!BI$2:BI1001,"")*$G662,"")</f>
        <v/>
      </c>
      <c r="BQ662" s="179" t="str">
        <f t="array" ref="BQ662">IF($F662&lt;&gt;"",XLOOKUP($F662,Productos!$A:$A,Productos!BJ:BJ,"Revisar"),"")</f>
        <v/>
      </c>
      <c r="BR662" s="179" t="str">
        <f t="array" ref="BR662">IF($F662&lt;&gt;"", XLOOKUP($F662,Productos!$A$2:$A1001,Productos!BK$2:BK1001,"")*$G662,"")</f>
        <v/>
      </c>
      <c r="BS662" s="179" t="str">
        <f t="array" ref="BS662">IF($F662&lt;&gt;"",XLOOKUP($F662,Productos!$A:$A,Productos!BL:BL,"Revisar"),"")</f>
        <v/>
      </c>
      <c r="BT662" s="179" t="str">
        <f t="array" ref="BT662">IF($F662&lt;&gt;"", XLOOKUP($F662,Productos!$A$2:$A1001,Productos!BM$2:BM1001,"")*$G662,"")</f>
        <v/>
      </c>
      <c r="BU662" s="179" t="str">
        <f t="array" ref="BU662">IF($F662&lt;&gt;"",XLOOKUP($F662,Productos!$A:$A,Productos!BN:BN,"Revisar"),"")</f>
        <v/>
      </c>
      <c r="BV662" s="179" t="str">
        <f t="array" ref="BV662">IF($F662&lt;&gt;"", XLOOKUP($F662,Productos!$A$2:$A1001,Productos!BO$2:BO1001,"")*$G662,"")</f>
        <v/>
      </c>
      <c r="BW662" s="179" t="str">
        <f t="array" ref="BW662">IF($F662&lt;&gt;"",XLOOKUP($F662,Productos!$A:$A,Productos!BP:BP,"Revisar"),"")</f>
        <v/>
      </c>
      <c r="BX662" s="179" t="str">
        <f t="array" ref="BX662">IF($F662&lt;&gt;"", XLOOKUP($F662,Productos!$A$2:$A1001,Productos!BQ$2:BQ1001,"")*$G662,"")</f>
        <v/>
      </c>
      <c r="BY662" s="179" t="str">
        <f t="array" ref="BY662">IF($F662&lt;&gt;"",XLOOKUP($F662,Productos!$A:$A,Productos!BR:BR,"Revisar"),"")</f>
        <v/>
      </c>
      <c r="BZ662" s="179" t="str">
        <f t="array" ref="BZ662">IF($F662&lt;&gt;"", XLOOKUP($F662,Productos!$A$2:$A1001,Productos!BS$2:BS1001,"")*$G662,"")</f>
        <v/>
      </c>
    </row>
    <row r="663">
      <c r="A663" s="188"/>
      <c r="B663" s="189"/>
      <c r="C663" s="190"/>
      <c r="D663" s="190"/>
      <c r="E663" s="191"/>
      <c r="F663" s="186"/>
      <c r="G663" s="192"/>
      <c r="H663" s="9"/>
      <c r="I663" s="179" t="str">
        <f t="array" ref="I663">IF($F663&lt;&gt;"",XLOOKUP($F663,Productos!$A:$A,Productos!B:B,"Revisar"),"")</f>
        <v/>
      </c>
      <c r="J663" s="179" t="str">
        <f t="array" ref="J663">IF($F663&lt;&gt;"", XLOOKUP($F663,Productos!$A$2:$A1001,Productos!C$2:C1001,"")*$G663,"")</f>
        <v/>
      </c>
      <c r="K663" s="179" t="str">
        <f t="array" ref="K663">IF($F663&lt;&gt;"",XLOOKUP($F663,Productos!$A:$A,Productos!D:D,"Revisar"),"")</f>
        <v/>
      </c>
      <c r="L663" s="179" t="str">
        <f t="array" ref="L663">IF($F663&lt;&gt;"", XLOOKUP($F663,Productos!$A$2:$A1001,Productos!E$2:E1001,"")*$G663,"")</f>
        <v/>
      </c>
      <c r="M663" s="179" t="str">
        <f t="array" ref="M663">IF($F663&lt;&gt;"",XLOOKUP($F663,Productos!$A:$A,Productos!F:F,"Revisar"),"")</f>
        <v/>
      </c>
      <c r="N663" s="179" t="str">
        <f t="array" ref="N663">IF($F663&lt;&gt;"", XLOOKUP($F663,Productos!$A$2:$A1001,Productos!G$2:G1001,"")*$G663,"")</f>
        <v/>
      </c>
      <c r="O663" s="179" t="str">
        <f t="array" ref="O663">IF($F663&lt;&gt;"",XLOOKUP($F663,Productos!$A:$A,Productos!H:H,"Revisar"),"")</f>
        <v/>
      </c>
      <c r="P663" s="179" t="str">
        <f t="array" ref="P663">IF($F663&lt;&gt;"", XLOOKUP($F663,Productos!$A$2:$A1001,Productos!I$2:I1001,"")*$G663,"")</f>
        <v/>
      </c>
      <c r="Q663" s="179" t="str">
        <f t="array" ref="Q663">IF($F663&lt;&gt;"",XLOOKUP($F663,Productos!$A:$A,Productos!J:J,"Revisar"),"")</f>
        <v/>
      </c>
      <c r="R663" s="179" t="str">
        <f t="array" ref="R663">IF($F663&lt;&gt;"", XLOOKUP($F663,Productos!$A$2:$A1001,Productos!K$2:K1001,"")*$G663,"")</f>
        <v/>
      </c>
      <c r="S663" s="179" t="str">
        <f t="array" ref="S663">IF($F663&lt;&gt;"",XLOOKUP($F663,Productos!$A:$A,Productos!L:L,"Revisar"),"")</f>
        <v/>
      </c>
      <c r="T663" s="179" t="str">
        <f t="array" ref="T663">IF($F663&lt;&gt;"", XLOOKUP($F663,Productos!$A$2:$A1001,Productos!M$2:M1001,"")*$G663,"")</f>
        <v/>
      </c>
      <c r="U663" s="179" t="str">
        <f t="array" ref="U663">IF($F663&lt;&gt;"",XLOOKUP($F663,Productos!$A:$A,Productos!N:N,"Revisar"),"")</f>
        <v/>
      </c>
      <c r="V663" s="179" t="str">
        <f t="array" ref="V663">IF($F663&lt;&gt;"", XLOOKUP($F663,Productos!$A$2:$A1001,Productos!O$2:O1001,"")*$G663,"")</f>
        <v/>
      </c>
      <c r="W663" s="179" t="str">
        <f t="array" ref="W663">IF($F663&lt;&gt;"",XLOOKUP($F663,Productos!$A:$A,Productos!P:P,"Revisar"),"")</f>
        <v/>
      </c>
      <c r="X663" s="179" t="str">
        <f t="array" ref="X663">IF($F663&lt;&gt;"", XLOOKUP($F663,Productos!$A$2:$A1001,Productos!Q$2:Q1001,"")*$G663,"")</f>
        <v/>
      </c>
      <c r="Y663" s="179" t="str">
        <f t="array" ref="Y663">IF($F663&lt;&gt;"",XLOOKUP($F663,Productos!$A:$A,Productos!R:R,"Revisar"),"")</f>
        <v/>
      </c>
      <c r="Z663" s="179" t="str">
        <f t="array" ref="Z663">IF($F663&lt;&gt;"", XLOOKUP($F663,Productos!$A$2:$A1001,Productos!S$2:S1001,"")*$G663,"")</f>
        <v/>
      </c>
      <c r="AA663" s="179" t="str">
        <f t="array" ref="AA663">IF($F663&lt;&gt;"",XLOOKUP($F663,Productos!$A:$A,Productos!T:T,"Revisar"),"")</f>
        <v/>
      </c>
      <c r="AB663" s="179" t="str">
        <f t="array" ref="AB663">IF($F663&lt;&gt;"", XLOOKUP($F663,Productos!$A$2:$A1001,Productos!U$2:U1001,"")*$G663,"")</f>
        <v/>
      </c>
      <c r="AC663" s="179" t="str">
        <f t="array" ref="AC663">IF($F663&lt;&gt;"",XLOOKUP($F663,Productos!$A:$A,Productos!V:V,"Revisar"),"")</f>
        <v/>
      </c>
      <c r="AD663" s="179" t="str">
        <f t="array" ref="AD663">IF($F663&lt;&gt;"", XLOOKUP($F663,Productos!$A$2:$A1001,Productos!W$2:W1001,"")*$G663,"")</f>
        <v/>
      </c>
      <c r="AE663" s="179" t="str">
        <f t="array" ref="AE663">IF($F663&lt;&gt;"",XLOOKUP($F663,Productos!$A:$A,Productos!X:X,"Revisar"),"")</f>
        <v/>
      </c>
      <c r="AF663" s="179" t="str">
        <f t="array" ref="AF663">IF($F663&lt;&gt;"", XLOOKUP($F663,Productos!$A$2:$A1001,Productos!Y$2:Y1001,"")*$G663,"")</f>
        <v/>
      </c>
      <c r="AG663" s="179" t="str">
        <f t="array" ref="AG663">IF($F663&lt;&gt;"",XLOOKUP($F663,Productos!$A:$A,Productos!Z:Z,"Revisar"),"")</f>
        <v/>
      </c>
      <c r="AH663" s="179" t="str">
        <f t="array" ref="AH663">IF($F663&lt;&gt;"", XLOOKUP($F663,Productos!$A$2:$A1001,Productos!AA$2:AA1001,"")*$G663,"")</f>
        <v/>
      </c>
      <c r="AI663" s="179" t="str">
        <f t="array" ref="AI663">IF($F663&lt;&gt;"",XLOOKUP($F663,Productos!$A:$A,Productos!AB:AB,"Revisar"),"")</f>
        <v/>
      </c>
      <c r="AJ663" s="179" t="str">
        <f t="array" ref="AJ663">IF($F663&lt;&gt;"", XLOOKUP($F663,Productos!$A$2:$A1001,Productos!AC$2:AC1001,"")*$G663,"")</f>
        <v/>
      </c>
      <c r="AK663" s="179" t="str">
        <f t="array" ref="AK663">IF($F663&lt;&gt;"",XLOOKUP($F663,Productos!$A:$A,Productos!AD:AD,"Revisar"),"")</f>
        <v/>
      </c>
      <c r="AL663" s="179" t="str">
        <f t="array" ref="AL663">IF($F663&lt;&gt;"", XLOOKUP($F663,Productos!$A$2:$A1001,Productos!AE$2:AE1001,"")*$G663,"")</f>
        <v/>
      </c>
      <c r="AM663" s="179" t="str">
        <f t="array" ref="AM663">IF($F663&lt;&gt;"",XLOOKUP($F663,Productos!$A:$A,Productos!AF:AF,"Revisar"),"")</f>
        <v/>
      </c>
      <c r="AN663" s="179" t="str">
        <f t="array" ref="AN663">IF($F663&lt;&gt;"", XLOOKUP($F663,Productos!$A$2:$A1001,Productos!AG$2:AG1001,"")*$G663,"")</f>
        <v/>
      </c>
      <c r="AO663" s="179" t="str">
        <f t="array" ref="AO663">IF($F663&lt;&gt;"",XLOOKUP($F663,Productos!$A:$A,Productos!AH:AH,"Revisar"),"")</f>
        <v/>
      </c>
      <c r="AP663" s="179" t="str">
        <f t="array" ref="AP663">IF($F663&lt;&gt;"", XLOOKUP($F663,Productos!$A$2:$A1001,Productos!AI$2:AI1001,"")*$G663,"")</f>
        <v/>
      </c>
      <c r="AQ663" s="179" t="str">
        <f t="array" ref="AQ663">IF($F663&lt;&gt;"",XLOOKUP($F663,Productos!$A:$A,Productos!AJ:AJ,"Revisar"),"")</f>
        <v/>
      </c>
      <c r="AR663" s="179" t="str">
        <f t="array" ref="AR663">IF($F663&lt;&gt;"", XLOOKUP($F663,Productos!$A$2:$A1001,Productos!AK$2:AK1001,"")*$G663,"")</f>
        <v/>
      </c>
      <c r="AS663" s="179" t="str">
        <f t="array" ref="AS663">IF($F663&lt;&gt;"",XLOOKUP($F663,Productos!$A:$A,Productos!AL:AL,"Revisar"),"")</f>
        <v/>
      </c>
      <c r="AT663" s="179" t="str">
        <f t="array" ref="AT663">IF($F663&lt;&gt;"", XLOOKUP($F663,Productos!$A$2:$A1001,Productos!AM$2:AM1001,"")*$G663,"")</f>
        <v/>
      </c>
      <c r="AU663" s="179" t="str">
        <f t="array" ref="AU663">IF($F663&lt;&gt;"",XLOOKUP($F663,Productos!$A:$A,Productos!AN:AN,"Revisar"),"")</f>
        <v/>
      </c>
      <c r="AV663" s="179" t="str">
        <f t="array" ref="AV663">IF($F663&lt;&gt;"", XLOOKUP($F663,Productos!$A$2:$A1001,Productos!AO$2:AO1001,"")*$G663,"")</f>
        <v/>
      </c>
      <c r="AW663" s="179" t="str">
        <f t="array" ref="AW663">IF($F663&lt;&gt;"",XLOOKUP($F663,Productos!$A:$A,Productos!AP:AP,"Revisar"),"")</f>
        <v/>
      </c>
      <c r="AX663" s="179" t="str">
        <f t="array" ref="AX663">IF($F663&lt;&gt;"", XLOOKUP($F663,Productos!$A$2:$A1001,Productos!AQ$2:AQ1001,"")*$G663,"")</f>
        <v/>
      </c>
      <c r="AY663" s="179" t="str">
        <f t="array" ref="AY663">IF($F663&lt;&gt;"",XLOOKUP($F663,Productos!$A:$A,Productos!AR:AR,"Revisar"),"")</f>
        <v/>
      </c>
      <c r="AZ663" s="179" t="str">
        <f t="array" ref="AZ663">IF($F663&lt;&gt;"", XLOOKUP($F663,Productos!$A$2:$A1001,Productos!AS$2:AS1001,"")*$G663,"")</f>
        <v/>
      </c>
      <c r="BA663" s="179" t="str">
        <f t="array" ref="BA663">IF($F663&lt;&gt;"",XLOOKUP($F663,Productos!$A:$A,Productos!AT:AT,"Revisar"),"")</f>
        <v/>
      </c>
      <c r="BB663" s="179" t="str">
        <f t="array" ref="BB663">IF($F663&lt;&gt;"", XLOOKUP($F663,Productos!$A$2:$A1001,Productos!AU$2:AU1001,"")*$G663,"")</f>
        <v/>
      </c>
      <c r="BC663" s="179" t="str">
        <f t="array" ref="BC663">IF($F663&lt;&gt;"",XLOOKUP($F663,Productos!$A:$A,Productos!AV:AV,"Revisar"),"")</f>
        <v/>
      </c>
      <c r="BD663" s="179" t="str">
        <f t="array" ref="BD663">IF($F663&lt;&gt;"", XLOOKUP($F663,Productos!$A$2:$A1001,Productos!AW$2:AW1001,"")*$G663,"")</f>
        <v/>
      </c>
      <c r="BE663" s="179" t="str">
        <f t="array" ref="BE663">IF($F663&lt;&gt;"",XLOOKUP($F663,Productos!$A:$A,Productos!AX:AX,"Revisar"),"")</f>
        <v/>
      </c>
      <c r="BF663" s="179" t="str">
        <f t="array" ref="BF663">IF($F663&lt;&gt;"", XLOOKUP($F663,Productos!$A$2:$A1001,Productos!AY$2:AY1001,"")*$G663,"")</f>
        <v/>
      </c>
      <c r="BG663" s="179" t="str">
        <f t="array" ref="BG663">IF($F663&lt;&gt;"",XLOOKUP($F663,Productos!$A:$A,Productos!AZ:AZ,"Revisar"),"")</f>
        <v/>
      </c>
      <c r="BH663" s="179" t="str">
        <f t="array" ref="BH663">IF($F663&lt;&gt;"", XLOOKUP($F663,Productos!$A$2:$A1001,Productos!BA$2:BA1001,"")*$G663,"")</f>
        <v/>
      </c>
      <c r="BI663" s="179" t="str">
        <f t="array" ref="BI663">IF($F663&lt;&gt;"",XLOOKUP($F663,Productos!$A:$A,Productos!BB:BB,"Revisar"),"")</f>
        <v/>
      </c>
      <c r="BJ663" s="179" t="str">
        <f t="array" ref="BJ663">IF($F663&lt;&gt;"", XLOOKUP($F663,Productos!$A$2:$A1001,Productos!BC$2:BC1001,"")*$G663,"")</f>
        <v/>
      </c>
      <c r="BK663" s="179" t="str">
        <f t="array" ref="BK663">IF($F663&lt;&gt;"",XLOOKUP($F663,Productos!$A:$A,Productos!BD:BD,"Revisar"),"")</f>
        <v/>
      </c>
      <c r="BL663" s="179" t="str">
        <f t="array" ref="BL663">IF($F663&lt;&gt;"", XLOOKUP($F663,Productos!$A$2:$A1001,Productos!BE$2:BE1001,"")*$G663,"")</f>
        <v/>
      </c>
      <c r="BM663" s="179" t="str">
        <f t="array" ref="BM663">IF($F663&lt;&gt;"",XLOOKUP($F663,Productos!$A:$A,Productos!BF:BF,"Revisar"),"")</f>
        <v/>
      </c>
      <c r="BN663" s="179" t="str">
        <f t="array" ref="BN663">IF($F663&lt;&gt;"", XLOOKUP($F663,Productos!$A$2:$A1001,Productos!BG$2:BG1001,"")*$G663,"")</f>
        <v/>
      </c>
      <c r="BO663" s="179" t="str">
        <f t="array" ref="BO663">IF($F663&lt;&gt;"",XLOOKUP($F663,Productos!$A:$A,Productos!BH:BH,"Revisar"),"")</f>
        <v/>
      </c>
      <c r="BP663" s="179" t="str">
        <f t="array" ref="BP663">IF($F663&lt;&gt;"", XLOOKUP($F663,Productos!$A$2:$A1001,Productos!BI$2:BI1001,"")*$G663,"")</f>
        <v/>
      </c>
      <c r="BQ663" s="179" t="str">
        <f t="array" ref="BQ663">IF($F663&lt;&gt;"",XLOOKUP($F663,Productos!$A:$A,Productos!BJ:BJ,"Revisar"),"")</f>
        <v/>
      </c>
      <c r="BR663" s="179" t="str">
        <f t="array" ref="BR663">IF($F663&lt;&gt;"", XLOOKUP($F663,Productos!$A$2:$A1001,Productos!BK$2:BK1001,"")*$G663,"")</f>
        <v/>
      </c>
      <c r="BS663" s="179" t="str">
        <f t="array" ref="BS663">IF($F663&lt;&gt;"",XLOOKUP($F663,Productos!$A:$A,Productos!BL:BL,"Revisar"),"")</f>
        <v/>
      </c>
      <c r="BT663" s="179" t="str">
        <f t="array" ref="BT663">IF($F663&lt;&gt;"", XLOOKUP($F663,Productos!$A$2:$A1001,Productos!BM$2:BM1001,"")*$G663,"")</f>
        <v/>
      </c>
      <c r="BU663" s="179" t="str">
        <f t="array" ref="BU663">IF($F663&lt;&gt;"",XLOOKUP($F663,Productos!$A:$A,Productos!BN:BN,"Revisar"),"")</f>
        <v/>
      </c>
      <c r="BV663" s="179" t="str">
        <f t="array" ref="BV663">IF($F663&lt;&gt;"", XLOOKUP($F663,Productos!$A$2:$A1001,Productos!BO$2:BO1001,"")*$G663,"")</f>
        <v/>
      </c>
      <c r="BW663" s="179" t="str">
        <f t="array" ref="BW663">IF($F663&lt;&gt;"",XLOOKUP($F663,Productos!$A:$A,Productos!BP:BP,"Revisar"),"")</f>
        <v/>
      </c>
      <c r="BX663" s="179" t="str">
        <f t="array" ref="BX663">IF($F663&lt;&gt;"", XLOOKUP($F663,Productos!$A$2:$A1001,Productos!BQ$2:BQ1001,"")*$G663,"")</f>
        <v/>
      </c>
      <c r="BY663" s="179" t="str">
        <f t="array" ref="BY663">IF($F663&lt;&gt;"",XLOOKUP($F663,Productos!$A:$A,Productos!BR:BR,"Revisar"),"")</f>
        <v/>
      </c>
      <c r="BZ663" s="179" t="str">
        <f t="array" ref="BZ663">IF($F663&lt;&gt;"", XLOOKUP($F663,Productos!$A$2:$A1001,Productos!BS$2:BS1001,"")*$G663,"")</f>
        <v/>
      </c>
    </row>
    <row r="664">
      <c r="A664" s="188"/>
      <c r="B664" s="189"/>
      <c r="C664" s="190"/>
      <c r="D664" s="190"/>
      <c r="E664" s="191"/>
      <c r="F664" s="186"/>
      <c r="G664" s="192"/>
      <c r="H664" s="9"/>
      <c r="I664" s="179" t="str">
        <f t="array" ref="I664">IF($F664&lt;&gt;"",XLOOKUP($F664,Productos!$A:$A,Productos!B:B,"Revisar"),"")</f>
        <v/>
      </c>
      <c r="J664" s="179" t="str">
        <f t="array" ref="J664">IF($F664&lt;&gt;"", XLOOKUP($F664,Productos!$A$2:$A1001,Productos!C$2:C1001,"")*$G664,"")</f>
        <v/>
      </c>
      <c r="K664" s="179" t="str">
        <f t="array" ref="K664">IF($F664&lt;&gt;"",XLOOKUP($F664,Productos!$A:$A,Productos!D:D,"Revisar"),"")</f>
        <v/>
      </c>
      <c r="L664" s="179" t="str">
        <f t="array" ref="L664">IF($F664&lt;&gt;"", XLOOKUP($F664,Productos!$A$2:$A1001,Productos!E$2:E1001,"")*$G664,"")</f>
        <v/>
      </c>
      <c r="M664" s="179" t="str">
        <f t="array" ref="M664">IF($F664&lt;&gt;"",XLOOKUP($F664,Productos!$A:$A,Productos!F:F,"Revisar"),"")</f>
        <v/>
      </c>
      <c r="N664" s="179" t="str">
        <f t="array" ref="N664">IF($F664&lt;&gt;"", XLOOKUP($F664,Productos!$A$2:$A1001,Productos!G$2:G1001,"")*$G664,"")</f>
        <v/>
      </c>
      <c r="O664" s="179" t="str">
        <f t="array" ref="O664">IF($F664&lt;&gt;"",XLOOKUP($F664,Productos!$A:$A,Productos!H:H,"Revisar"),"")</f>
        <v/>
      </c>
      <c r="P664" s="179" t="str">
        <f t="array" ref="P664">IF($F664&lt;&gt;"", XLOOKUP($F664,Productos!$A$2:$A1001,Productos!I$2:I1001,"")*$G664,"")</f>
        <v/>
      </c>
      <c r="Q664" s="179" t="str">
        <f t="array" ref="Q664">IF($F664&lt;&gt;"",XLOOKUP($F664,Productos!$A:$A,Productos!J:J,"Revisar"),"")</f>
        <v/>
      </c>
      <c r="R664" s="179" t="str">
        <f t="array" ref="R664">IF($F664&lt;&gt;"", XLOOKUP($F664,Productos!$A$2:$A1001,Productos!K$2:K1001,"")*$G664,"")</f>
        <v/>
      </c>
      <c r="S664" s="179" t="str">
        <f t="array" ref="S664">IF($F664&lt;&gt;"",XLOOKUP($F664,Productos!$A:$A,Productos!L:L,"Revisar"),"")</f>
        <v/>
      </c>
      <c r="T664" s="179" t="str">
        <f t="array" ref="T664">IF($F664&lt;&gt;"", XLOOKUP($F664,Productos!$A$2:$A1001,Productos!M$2:M1001,"")*$G664,"")</f>
        <v/>
      </c>
      <c r="U664" s="179" t="str">
        <f t="array" ref="U664">IF($F664&lt;&gt;"",XLOOKUP($F664,Productos!$A:$A,Productos!N:N,"Revisar"),"")</f>
        <v/>
      </c>
      <c r="V664" s="179" t="str">
        <f t="array" ref="V664">IF($F664&lt;&gt;"", XLOOKUP($F664,Productos!$A$2:$A1001,Productos!O$2:O1001,"")*$G664,"")</f>
        <v/>
      </c>
      <c r="W664" s="179" t="str">
        <f t="array" ref="W664">IF($F664&lt;&gt;"",XLOOKUP($F664,Productos!$A:$A,Productos!P:P,"Revisar"),"")</f>
        <v/>
      </c>
      <c r="X664" s="179" t="str">
        <f t="array" ref="X664">IF($F664&lt;&gt;"", XLOOKUP($F664,Productos!$A$2:$A1001,Productos!Q$2:Q1001,"")*$G664,"")</f>
        <v/>
      </c>
      <c r="Y664" s="179" t="str">
        <f t="array" ref="Y664">IF($F664&lt;&gt;"",XLOOKUP($F664,Productos!$A:$A,Productos!R:R,"Revisar"),"")</f>
        <v/>
      </c>
      <c r="Z664" s="179" t="str">
        <f t="array" ref="Z664">IF($F664&lt;&gt;"", XLOOKUP($F664,Productos!$A$2:$A1001,Productos!S$2:S1001,"")*$G664,"")</f>
        <v/>
      </c>
      <c r="AA664" s="179" t="str">
        <f t="array" ref="AA664">IF($F664&lt;&gt;"",XLOOKUP($F664,Productos!$A:$A,Productos!T:T,"Revisar"),"")</f>
        <v/>
      </c>
      <c r="AB664" s="179" t="str">
        <f t="array" ref="AB664">IF($F664&lt;&gt;"", XLOOKUP($F664,Productos!$A$2:$A1001,Productos!U$2:U1001,"")*$G664,"")</f>
        <v/>
      </c>
      <c r="AC664" s="179" t="str">
        <f t="array" ref="AC664">IF($F664&lt;&gt;"",XLOOKUP($F664,Productos!$A:$A,Productos!V:V,"Revisar"),"")</f>
        <v/>
      </c>
      <c r="AD664" s="179" t="str">
        <f t="array" ref="AD664">IF($F664&lt;&gt;"", XLOOKUP($F664,Productos!$A$2:$A1001,Productos!W$2:W1001,"")*$G664,"")</f>
        <v/>
      </c>
      <c r="AE664" s="179" t="str">
        <f t="array" ref="AE664">IF($F664&lt;&gt;"",XLOOKUP($F664,Productos!$A:$A,Productos!X:X,"Revisar"),"")</f>
        <v/>
      </c>
      <c r="AF664" s="179" t="str">
        <f t="array" ref="AF664">IF($F664&lt;&gt;"", XLOOKUP($F664,Productos!$A$2:$A1001,Productos!Y$2:Y1001,"")*$G664,"")</f>
        <v/>
      </c>
      <c r="AG664" s="179" t="str">
        <f t="array" ref="AG664">IF($F664&lt;&gt;"",XLOOKUP($F664,Productos!$A:$A,Productos!Z:Z,"Revisar"),"")</f>
        <v/>
      </c>
      <c r="AH664" s="179" t="str">
        <f t="array" ref="AH664">IF($F664&lt;&gt;"", XLOOKUP($F664,Productos!$A$2:$A1001,Productos!AA$2:AA1001,"")*$G664,"")</f>
        <v/>
      </c>
      <c r="AI664" s="179" t="str">
        <f t="array" ref="AI664">IF($F664&lt;&gt;"",XLOOKUP($F664,Productos!$A:$A,Productos!AB:AB,"Revisar"),"")</f>
        <v/>
      </c>
      <c r="AJ664" s="179" t="str">
        <f t="array" ref="AJ664">IF($F664&lt;&gt;"", XLOOKUP($F664,Productos!$A$2:$A1001,Productos!AC$2:AC1001,"")*$G664,"")</f>
        <v/>
      </c>
      <c r="AK664" s="179" t="str">
        <f t="array" ref="AK664">IF($F664&lt;&gt;"",XLOOKUP($F664,Productos!$A:$A,Productos!AD:AD,"Revisar"),"")</f>
        <v/>
      </c>
      <c r="AL664" s="179" t="str">
        <f t="array" ref="AL664">IF($F664&lt;&gt;"", XLOOKUP($F664,Productos!$A$2:$A1001,Productos!AE$2:AE1001,"")*$G664,"")</f>
        <v/>
      </c>
      <c r="AM664" s="179" t="str">
        <f t="array" ref="AM664">IF($F664&lt;&gt;"",XLOOKUP($F664,Productos!$A:$A,Productos!AF:AF,"Revisar"),"")</f>
        <v/>
      </c>
      <c r="AN664" s="179" t="str">
        <f t="array" ref="AN664">IF($F664&lt;&gt;"", XLOOKUP($F664,Productos!$A$2:$A1001,Productos!AG$2:AG1001,"")*$G664,"")</f>
        <v/>
      </c>
      <c r="AO664" s="179" t="str">
        <f t="array" ref="AO664">IF($F664&lt;&gt;"",XLOOKUP($F664,Productos!$A:$A,Productos!AH:AH,"Revisar"),"")</f>
        <v/>
      </c>
      <c r="AP664" s="179" t="str">
        <f t="array" ref="AP664">IF($F664&lt;&gt;"", XLOOKUP($F664,Productos!$A$2:$A1001,Productos!AI$2:AI1001,"")*$G664,"")</f>
        <v/>
      </c>
      <c r="AQ664" s="179" t="str">
        <f t="array" ref="AQ664">IF($F664&lt;&gt;"",XLOOKUP($F664,Productos!$A:$A,Productos!AJ:AJ,"Revisar"),"")</f>
        <v/>
      </c>
      <c r="AR664" s="179" t="str">
        <f t="array" ref="AR664">IF($F664&lt;&gt;"", XLOOKUP($F664,Productos!$A$2:$A1001,Productos!AK$2:AK1001,"")*$G664,"")</f>
        <v/>
      </c>
      <c r="AS664" s="179" t="str">
        <f t="array" ref="AS664">IF($F664&lt;&gt;"",XLOOKUP($F664,Productos!$A:$A,Productos!AL:AL,"Revisar"),"")</f>
        <v/>
      </c>
      <c r="AT664" s="179" t="str">
        <f t="array" ref="AT664">IF($F664&lt;&gt;"", XLOOKUP($F664,Productos!$A$2:$A1001,Productos!AM$2:AM1001,"")*$G664,"")</f>
        <v/>
      </c>
      <c r="AU664" s="179" t="str">
        <f t="array" ref="AU664">IF($F664&lt;&gt;"",XLOOKUP($F664,Productos!$A:$A,Productos!AN:AN,"Revisar"),"")</f>
        <v/>
      </c>
      <c r="AV664" s="179" t="str">
        <f t="array" ref="AV664">IF($F664&lt;&gt;"", XLOOKUP($F664,Productos!$A$2:$A1001,Productos!AO$2:AO1001,"")*$G664,"")</f>
        <v/>
      </c>
      <c r="AW664" s="179" t="str">
        <f t="array" ref="AW664">IF($F664&lt;&gt;"",XLOOKUP($F664,Productos!$A:$A,Productos!AP:AP,"Revisar"),"")</f>
        <v/>
      </c>
      <c r="AX664" s="179" t="str">
        <f t="array" ref="AX664">IF($F664&lt;&gt;"", XLOOKUP($F664,Productos!$A$2:$A1001,Productos!AQ$2:AQ1001,"")*$G664,"")</f>
        <v/>
      </c>
      <c r="AY664" s="179" t="str">
        <f t="array" ref="AY664">IF($F664&lt;&gt;"",XLOOKUP($F664,Productos!$A:$A,Productos!AR:AR,"Revisar"),"")</f>
        <v/>
      </c>
      <c r="AZ664" s="179" t="str">
        <f t="array" ref="AZ664">IF($F664&lt;&gt;"", XLOOKUP($F664,Productos!$A$2:$A1001,Productos!AS$2:AS1001,"")*$G664,"")</f>
        <v/>
      </c>
      <c r="BA664" s="179" t="str">
        <f t="array" ref="BA664">IF($F664&lt;&gt;"",XLOOKUP($F664,Productos!$A:$A,Productos!AT:AT,"Revisar"),"")</f>
        <v/>
      </c>
      <c r="BB664" s="179" t="str">
        <f t="array" ref="BB664">IF($F664&lt;&gt;"", XLOOKUP($F664,Productos!$A$2:$A1001,Productos!AU$2:AU1001,"")*$G664,"")</f>
        <v/>
      </c>
      <c r="BC664" s="179" t="str">
        <f t="array" ref="BC664">IF($F664&lt;&gt;"",XLOOKUP($F664,Productos!$A:$A,Productos!AV:AV,"Revisar"),"")</f>
        <v/>
      </c>
      <c r="BD664" s="179" t="str">
        <f t="array" ref="BD664">IF($F664&lt;&gt;"", XLOOKUP($F664,Productos!$A$2:$A1001,Productos!AW$2:AW1001,"")*$G664,"")</f>
        <v/>
      </c>
      <c r="BE664" s="179" t="str">
        <f t="array" ref="BE664">IF($F664&lt;&gt;"",XLOOKUP($F664,Productos!$A:$A,Productos!AX:AX,"Revisar"),"")</f>
        <v/>
      </c>
      <c r="BF664" s="179" t="str">
        <f t="array" ref="BF664">IF($F664&lt;&gt;"", XLOOKUP($F664,Productos!$A$2:$A1001,Productos!AY$2:AY1001,"")*$G664,"")</f>
        <v/>
      </c>
      <c r="BG664" s="179" t="str">
        <f t="array" ref="BG664">IF($F664&lt;&gt;"",XLOOKUP($F664,Productos!$A:$A,Productos!AZ:AZ,"Revisar"),"")</f>
        <v/>
      </c>
      <c r="BH664" s="179" t="str">
        <f t="array" ref="BH664">IF($F664&lt;&gt;"", XLOOKUP($F664,Productos!$A$2:$A1001,Productos!BA$2:BA1001,"")*$G664,"")</f>
        <v/>
      </c>
      <c r="BI664" s="179" t="str">
        <f t="array" ref="BI664">IF($F664&lt;&gt;"",XLOOKUP($F664,Productos!$A:$A,Productos!BB:BB,"Revisar"),"")</f>
        <v/>
      </c>
      <c r="BJ664" s="179" t="str">
        <f t="array" ref="BJ664">IF($F664&lt;&gt;"", XLOOKUP($F664,Productos!$A$2:$A1001,Productos!BC$2:BC1001,"")*$G664,"")</f>
        <v/>
      </c>
      <c r="BK664" s="179" t="str">
        <f t="array" ref="BK664">IF($F664&lt;&gt;"",XLOOKUP($F664,Productos!$A:$A,Productos!BD:BD,"Revisar"),"")</f>
        <v/>
      </c>
      <c r="BL664" s="179" t="str">
        <f t="array" ref="BL664">IF($F664&lt;&gt;"", XLOOKUP($F664,Productos!$A$2:$A1001,Productos!BE$2:BE1001,"")*$G664,"")</f>
        <v/>
      </c>
      <c r="BM664" s="179" t="str">
        <f t="array" ref="BM664">IF($F664&lt;&gt;"",XLOOKUP($F664,Productos!$A:$A,Productos!BF:BF,"Revisar"),"")</f>
        <v/>
      </c>
      <c r="BN664" s="179" t="str">
        <f t="array" ref="BN664">IF($F664&lt;&gt;"", XLOOKUP($F664,Productos!$A$2:$A1001,Productos!BG$2:BG1001,"")*$G664,"")</f>
        <v/>
      </c>
      <c r="BO664" s="179" t="str">
        <f t="array" ref="BO664">IF($F664&lt;&gt;"",XLOOKUP($F664,Productos!$A:$A,Productos!BH:BH,"Revisar"),"")</f>
        <v/>
      </c>
      <c r="BP664" s="179" t="str">
        <f t="array" ref="BP664">IF($F664&lt;&gt;"", XLOOKUP($F664,Productos!$A$2:$A1001,Productos!BI$2:BI1001,"")*$G664,"")</f>
        <v/>
      </c>
      <c r="BQ664" s="179" t="str">
        <f t="array" ref="BQ664">IF($F664&lt;&gt;"",XLOOKUP($F664,Productos!$A:$A,Productos!BJ:BJ,"Revisar"),"")</f>
        <v/>
      </c>
      <c r="BR664" s="179" t="str">
        <f t="array" ref="BR664">IF($F664&lt;&gt;"", XLOOKUP($F664,Productos!$A$2:$A1001,Productos!BK$2:BK1001,"")*$G664,"")</f>
        <v/>
      </c>
      <c r="BS664" s="179" t="str">
        <f t="array" ref="BS664">IF($F664&lt;&gt;"",XLOOKUP($F664,Productos!$A:$A,Productos!BL:BL,"Revisar"),"")</f>
        <v/>
      </c>
      <c r="BT664" s="179" t="str">
        <f t="array" ref="BT664">IF($F664&lt;&gt;"", XLOOKUP($F664,Productos!$A$2:$A1001,Productos!BM$2:BM1001,"")*$G664,"")</f>
        <v/>
      </c>
      <c r="BU664" s="179" t="str">
        <f t="array" ref="BU664">IF($F664&lt;&gt;"",XLOOKUP($F664,Productos!$A:$A,Productos!BN:BN,"Revisar"),"")</f>
        <v/>
      </c>
      <c r="BV664" s="179" t="str">
        <f t="array" ref="BV664">IF($F664&lt;&gt;"", XLOOKUP($F664,Productos!$A$2:$A1001,Productos!BO$2:BO1001,"")*$G664,"")</f>
        <v/>
      </c>
      <c r="BW664" s="179" t="str">
        <f t="array" ref="BW664">IF($F664&lt;&gt;"",XLOOKUP($F664,Productos!$A:$A,Productos!BP:BP,"Revisar"),"")</f>
        <v/>
      </c>
      <c r="BX664" s="179" t="str">
        <f t="array" ref="BX664">IF($F664&lt;&gt;"", XLOOKUP($F664,Productos!$A$2:$A1001,Productos!BQ$2:BQ1001,"")*$G664,"")</f>
        <v/>
      </c>
      <c r="BY664" s="179" t="str">
        <f t="array" ref="BY664">IF($F664&lt;&gt;"",XLOOKUP($F664,Productos!$A:$A,Productos!BR:BR,"Revisar"),"")</f>
        <v/>
      </c>
      <c r="BZ664" s="179" t="str">
        <f t="array" ref="BZ664">IF($F664&lt;&gt;"", XLOOKUP($F664,Productos!$A$2:$A1001,Productos!BS$2:BS1001,"")*$G664,"")</f>
        <v/>
      </c>
    </row>
    <row r="665">
      <c r="A665" s="188"/>
      <c r="B665" s="189"/>
      <c r="C665" s="190"/>
      <c r="D665" s="190"/>
      <c r="E665" s="191"/>
      <c r="F665" s="186"/>
      <c r="G665" s="192"/>
      <c r="H665" s="9"/>
      <c r="I665" s="179" t="str">
        <f t="array" ref="I665">IF($F665&lt;&gt;"",XLOOKUP($F665,Productos!$A:$A,Productos!B:B,"Revisar"),"")</f>
        <v/>
      </c>
      <c r="J665" s="179" t="str">
        <f t="array" ref="J665">IF($F665&lt;&gt;"", XLOOKUP($F665,Productos!$A$2:$A1001,Productos!C$2:C1001,"")*$G665,"")</f>
        <v/>
      </c>
      <c r="K665" s="179" t="str">
        <f t="array" ref="K665">IF($F665&lt;&gt;"",XLOOKUP($F665,Productos!$A:$A,Productos!D:D,"Revisar"),"")</f>
        <v/>
      </c>
      <c r="L665" s="179" t="str">
        <f t="array" ref="L665">IF($F665&lt;&gt;"", XLOOKUP($F665,Productos!$A$2:$A1001,Productos!E$2:E1001,"")*$G665,"")</f>
        <v/>
      </c>
      <c r="M665" s="179" t="str">
        <f t="array" ref="M665">IF($F665&lt;&gt;"",XLOOKUP($F665,Productos!$A:$A,Productos!F:F,"Revisar"),"")</f>
        <v/>
      </c>
      <c r="N665" s="179" t="str">
        <f t="array" ref="N665">IF($F665&lt;&gt;"", XLOOKUP($F665,Productos!$A$2:$A1001,Productos!G$2:G1001,"")*$G665,"")</f>
        <v/>
      </c>
      <c r="O665" s="179" t="str">
        <f t="array" ref="O665">IF($F665&lt;&gt;"",XLOOKUP($F665,Productos!$A:$A,Productos!H:H,"Revisar"),"")</f>
        <v/>
      </c>
      <c r="P665" s="179" t="str">
        <f t="array" ref="P665">IF($F665&lt;&gt;"", XLOOKUP($F665,Productos!$A$2:$A1001,Productos!I$2:I1001,"")*$G665,"")</f>
        <v/>
      </c>
      <c r="Q665" s="179" t="str">
        <f t="array" ref="Q665">IF($F665&lt;&gt;"",XLOOKUP($F665,Productos!$A:$A,Productos!J:J,"Revisar"),"")</f>
        <v/>
      </c>
      <c r="R665" s="179" t="str">
        <f t="array" ref="R665">IF($F665&lt;&gt;"", XLOOKUP($F665,Productos!$A$2:$A1001,Productos!K$2:K1001,"")*$G665,"")</f>
        <v/>
      </c>
      <c r="S665" s="179" t="str">
        <f t="array" ref="S665">IF($F665&lt;&gt;"",XLOOKUP($F665,Productos!$A:$A,Productos!L:L,"Revisar"),"")</f>
        <v/>
      </c>
      <c r="T665" s="179" t="str">
        <f t="array" ref="T665">IF($F665&lt;&gt;"", XLOOKUP($F665,Productos!$A$2:$A1001,Productos!M$2:M1001,"")*$G665,"")</f>
        <v/>
      </c>
      <c r="U665" s="179" t="str">
        <f t="array" ref="U665">IF($F665&lt;&gt;"",XLOOKUP($F665,Productos!$A:$A,Productos!N:N,"Revisar"),"")</f>
        <v/>
      </c>
      <c r="V665" s="179" t="str">
        <f t="array" ref="V665">IF($F665&lt;&gt;"", XLOOKUP($F665,Productos!$A$2:$A1001,Productos!O$2:O1001,"")*$G665,"")</f>
        <v/>
      </c>
      <c r="W665" s="179" t="str">
        <f t="array" ref="W665">IF($F665&lt;&gt;"",XLOOKUP($F665,Productos!$A:$A,Productos!P:P,"Revisar"),"")</f>
        <v/>
      </c>
      <c r="X665" s="179" t="str">
        <f t="array" ref="X665">IF($F665&lt;&gt;"", XLOOKUP($F665,Productos!$A$2:$A1001,Productos!Q$2:Q1001,"")*$G665,"")</f>
        <v/>
      </c>
      <c r="Y665" s="179" t="str">
        <f t="array" ref="Y665">IF($F665&lt;&gt;"",XLOOKUP($F665,Productos!$A:$A,Productos!R:R,"Revisar"),"")</f>
        <v/>
      </c>
      <c r="Z665" s="179" t="str">
        <f t="array" ref="Z665">IF($F665&lt;&gt;"", XLOOKUP($F665,Productos!$A$2:$A1001,Productos!S$2:S1001,"")*$G665,"")</f>
        <v/>
      </c>
      <c r="AA665" s="179" t="str">
        <f t="array" ref="AA665">IF($F665&lt;&gt;"",XLOOKUP($F665,Productos!$A:$A,Productos!T:T,"Revisar"),"")</f>
        <v/>
      </c>
      <c r="AB665" s="179" t="str">
        <f t="array" ref="AB665">IF($F665&lt;&gt;"", XLOOKUP($F665,Productos!$A$2:$A1001,Productos!U$2:U1001,"")*$G665,"")</f>
        <v/>
      </c>
      <c r="AC665" s="179" t="str">
        <f t="array" ref="AC665">IF($F665&lt;&gt;"",XLOOKUP($F665,Productos!$A:$A,Productos!V:V,"Revisar"),"")</f>
        <v/>
      </c>
      <c r="AD665" s="179" t="str">
        <f t="array" ref="AD665">IF($F665&lt;&gt;"", XLOOKUP($F665,Productos!$A$2:$A1001,Productos!W$2:W1001,"")*$G665,"")</f>
        <v/>
      </c>
      <c r="AE665" s="179" t="str">
        <f t="array" ref="AE665">IF($F665&lt;&gt;"",XLOOKUP($F665,Productos!$A:$A,Productos!X:X,"Revisar"),"")</f>
        <v/>
      </c>
      <c r="AF665" s="179" t="str">
        <f t="array" ref="AF665">IF($F665&lt;&gt;"", XLOOKUP($F665,Productos!$A$2:$A1001,Productos!Y$2:Y1001,"")*$G665,"")</f>
        <v/>
      </c>
      <c r="AG665" s="179" t="str">
        <f t="array" ref="AG665">IF($F665&lt;&gt;"",XLOOKUP($F665,Productos!$A:$A,Productos!Z:Z,"Revisar"),"")</f>
        <v/>
      </c>
      <c r="AH665" s="179" t="str">
        <f t="array" ref="AH665">IF($F665&lt;&gt;"", XLOOKUP($F665,Productos!$A$2:$A1001,Productos!AA$2:AA1001,"")*$G665,"")</f>
        <v/>
      </c>
      <c r="AI665" s="179" t="str">
        <f t="array" ref="AI665">IF($F665&lt;&gt;"",XLOOKUP($F665,Productos!$A:$A,Productos!AB:AB,"Revisar"),"")</f>
        <v/>
      </c>
      <c r="AJ665" s="179" t="str">
        <f t="array" ref="AJ665">IF($F665&lt;&gt;"", XLOOKUP($F665,Productos!$A$2:$A1001,Productos!AC$2:AC1001,"")*$G665,"")</f>
        <v/>
      </c>
      <c r="AK665" s="179" t="str">
        <f t="array" ref="AK665">IF($F665&lt;&gt;"",XLOOKUP($F665,Productos!$A:$A,Productos!AD:AD,"Revisar"),"")</f>
        <v/>
      </c>
      <c r="AL665" s="179" t="str">
        <f t="array" ref="AL665">IF($F665&lt;&gt;"", XLOOKUP($F665,Productos!$A$2:$A1001,Productos!AE$2:AE1001,"")*$G665,"")</f>
        <v/>
      </c>
      <c r="AM665" s="179" t="str">
        <f t="array" ref="AM665">IF($F665&lt;&gt;"",XLOOKUP($F665,Productos!$A:$A,Productos!AF:AF,"Revisar"),"")</f>
        <v/>
      </c>
      <c r="AN665" s="179" t="str">
        <f t="array" ref="AN665">IF($F665&lt;&gt;"", XLOOKUP($F665,Productos!$A$2:$A1001,Productos!AG$2:AG1001,"")*$G665,"")</f>
        <v/>
      </c>
      <c r="AO665" s="179" t="str">
        <f t="array" ref="AO665">IF($F665&lt;&gt;"",XLOOKUP($F665,Productos!$A:$A,Productos!AH:AH,"Revisar"),"")</f>
        <v/>
      </c>
      <c r="AP665" s="179" t="str">
        <f t="array" ref="AP665">IF($F665&lt;&gt;"", XLOOKUP($F665,Productos!$A$2:$A1001,Productos!AI$2:AI1001,"")*$G665,"")</f>
        <v/>
      </c>
      <c r="AQ665" s="179" t="str">
        <f t="array" ref="AQ665">IF($F665&lt;&gt;"",XLOOKUP($F665,Productos!$A:$A,Productos!AJ:AJ,"Revisar"),"")</f>
        <v/>
      </c>
      <c r="AR665" s="179" t="str">
        <f t="array" ref="AR665">IF($F665&lt;&gt;"", XLOOKUP($F665,Productos!$A$2:$A1001,Productos!AK$2:AK1001,"")*$G665,"")</f>
        <v/>
      </c>
      <c r="AS665" s="179" t="str">
        <f t="array" ref="AS665">IF($F665&lt;&gt;"",XLOOKUP($F665,Productos!$A:$A,Productos!AL:AL,"Revisar"),"")</f>
        <v/>
      </c>
      <c r="AT665" s="179" t="str">
        <f t="array" ref="AT665">IF($F665&lt;&gt;"", XLOOKUP($F665,Productos!$A$2:$A1001,Productos!AM$2:AM1001,"")*$G665,"")</f>
        <v/>
      </c>
      <c r="AU665" s="179" t="str">
        <f t="array" ref="AU665">IF($F665&lt;&gt;"",XLOOKUP($F665,Productos!$A:$A,Productos!AN:AN,"Revisar"),"")</f>
        <v/>
      </c>
      <c r="AV665" s="179" t="str">
        <f t="array" ref="AV665">IF($F665&lt;&gt;"", XLOOKUP($F665,Productos!$A$2:$A1001,Productos!AO$2:AO1001,"")*$G665,"")</f>
        <v/>
      </c>
      <c r="AW665" s="179" t="str">
        <f t="array" ref="AW665">IF($F665&lt;&gt;"",XLOOKUP($F665,Productos!$A:$A,Productos!AP:AP,"Revisar"),"")</f>
        <v/>
      </c>
      <c r="AX665" s="179" t="str">
        <f t="array" ref="AX665">IF($F665&lt;&gt;"", XLOOKUP($F665,Productos!$A$2:$A1001,Productos!AQ$2:AQ1001,"")*$G665,"")</f>
        <v/>
      </c>
      <c r="AY665" s="179" t="str">
        <f t="array" ref="AY665">IF($F665&lt;&gt;"",XLOOKUP($F665,Productos!$A:$A,Productos!AR:AR,"Revisar"),"")</f>
        <v/>
      </c>
      <c r="AZ665" s="179" t="str">
        <f t="array" ref="AZ665">IF($F665&lt;&gt;"", XLOOKUP($F665,Productos!$A$2:$A1001,Productos!AS$2:AS1001,"")*$G665,"")</f>
        <v/>
      </c>
      <c r="BA665" s="179" t="str">
        <f t="array" ref="BA665">IF($F665&lt;&gt;"",XLOOKUP($F665,Productos!$A:$A,Productos!AT:AT,"Revisar"),"")</f>
        <v/>
      </c>
      <c r="BB665" s="179" t="str">
        <f t="array" ref="BB665">IF($F665&lt;&gt;"", XLOOKUP($F665,Productos!$A$2:$A1001,Productos!AU$2:AU1001,"")*$G665,"")</f>
        <v/>
      </c>
      <c r="BC665" s="179" t="str">
        <f t="array" ref="BC665">IF($F665&lt;&gt;"",XLOOKUP($F665,Productos!$A:$A,Productos!AV:AV,"Revisar"),"")</f>
        <v/>
      </c>
      <c r="BD665" s="179" t="str">
        <f t="array" ref="BD665">IF($F665&lt;&gt;"", XLOOKUP($F665,Productos!$A$2:$A1001,Productos!AW$2:AW1001,"")*$G665,"")</f>
        <v/>
      </c>
      <c r="BE665" s="179" t="str">
        <f t="array" ref="BE665">IF($F665&lt;&gt;"",XLOOKUP($F665,Productos!$A:$A,Productos!AX:AX,"Revisar"),"")</f>
        <v/>
      </c>
      <c r="BF665" s="179" t="str">
        <f t="array" ref="BF665">IF($F665&lt;&gt;"", XLOOKUP($F665,Productos!$A$2:$A1001,Productos!AY$2:AY1001,"")*$G665,"")</f>
        <v/>
      </c>
      <c r="BG665" s="179" t="str">
        <f t="array" ref="BG665">IF($F665&lt;&gt;"",XLOOKUP($F665,Productos!$A:$A,Productos!AZ:AZ,"Revisar"),"")</f>
        <v/>
      </c>
      <c r="BH665" s="179" t="str">
        <f t="array" ref="BH665">IF($F665&lt;&gt;"", XLOOKUP($F665,Productos!$A$2:$A1001,Productos!BA$2:BA1001,"")*$G665,"")</f>
        <v/>
      </c>
      <c r="BI665" s="179" t="str">
        <f t="array" ref="BI665">IF($F665&lt;&gt;"",XLOOKUP($F665,Productos!$A:$A,Productos!BB:BB,"Revisar"),"")</f>
        <v/>
      </c>
      <c r="BJ665" s="179" t="str">
        <f t="array" ref="BJ665">IF($F665&lt;&gt;"", XLOOKUP($F665,Productos!$A$2:$A1001,Productos!BC$2:BC1001,"")*$G665,"")</f>
        <v/>
      </c>
      <c r="BK665" s="179" t="str">
        <f t="array" ref="BK665">IF($F665&lt;&gt;"",XLOOKUP($F665,Productos!$A:$A,Productos!BD:BD,"Revisar"),"")</f>
        <v/>
      </c>
      <c r="BL665" s="179" t="str">
        <f t="array" ref="BL665">IF($F665&lt;&gt;"", XLOOKUP($F665,Productos!$A$2:$A1001,Productos!BE$2:BE1001,"")*$G665,"")</f>
        <v/>
      </c>
      <c r="BM665" s="179" t="str">
        <f t="array" ref="BM665">IF($F665&lt;&gt;"",XLOOKUP($F665,Productos!$A:$A,Productos!BF:BF,"Revisar"),"")</f>
        <v/>
      </c>
      <c r="BN665" s="179" t="str">
        <f t="array" ref="BN665">IF($F665&lt;&gt;"", XLOOKUP($F665,Productos!$A$2:$A1001,Productos!BG$2:BG1001,"")*$G665,"")</f>
        <v/>
      </c>
      <c r="BO665" s="179" t="str">
        <f t="array" ref="BO665">IF($F665&lt;&gt;"",XLOOKUP($F665,Productos!$A:$A,Productos!BH:BH,"Revisar"),"")</f>
        <v/>
      </c>
      <c r="BP665" s="179" t="str">
        <f t="array" ref="BP665">IF($F665&lt;&gt;"", XLOOKUP($F665,Productos!$A$2:$A1001,Productos!BI$2:BI1001,"")*$G665,"")</f>
        <v/>
      </c>
      <c r="BQ665" s="179" t="str">
        <f t="array" ref="BQ665">IF($F665&lt;&gt;"",XLOOKUP($F665,Productos!$A:$A,Productos!BJ:BJ,"Revisar"),"")</f>
        <v/>
      </c>
      <c r="BR665" s="179" t="str">
        <f t="array" ref="BR665">IF($F665&lt;&gt;"", XLOOKUP($F665,Productos!$A$2:$A1001,Productos!BK$2:BK1001,"")*$G665,"")</f>
        <v/>
      </c>
      <c r="BS665" s="179" t="str">
        <f t="array" ref="BS665">IF($F665&lt;&gt;"",XLOOKUP($F665,Productos!$A:$A,Productos!BL:BL,"Revisar"),"")</f>
        <v/>
      </c>
      <c r="BT665" s="179" t="str">
        <f t="array" ref="BT665">IF($F665&lt;&gt;"", XLOOKUP($F665,Productos!$A$2:$A1001,Productos!BM$2:BM1001,"")*$G665,"")</f>
        <v/>
      </c>
      <c r="BU665" s="179" t="str">
        <f t="array" ref="BU665">IF($F665&lt;&gt;"",XLOOKUP($F665,Productos!$A:$A,Productos!BN:BN,"Revisar"),"")</f>
        <v/>
      </c>
      <c r="BV665" s="179" t="str">
        <f t="array" ref="BV665">IF($F665&lt;&gt;"", XLOOKUP($F665,Productos!$A$2:$A1001,Productos!BO$2:BO1001,"")*$G665,"")</f>
        <v/>
      </c>
      <c r="BW665" s="179" t="str">
        <f t="array" ref="BW665">IF($F665&lt;&gt;"",XLOOKUP($F665,Productos!$A:$A,Productos!BP:BP,"Revisar"),"")</f>
        <v/>
      </c>
      <c r="BX665" s="179" t="str">
        <f t="array" ref="BX665">IF($F665&lt;&gt;"", XLOOKUP($F665,Productos!$A$2:$A1001,Productos!BQ$2:BQ1001,"")*$G665,"")</f>
        <v/>
      </c>
      <c r="BY665" s="179" t="str">
        <f t="array" ref="BY665">IF($F665&lt;&gt;"",XLOOKUP($F665,Productos!$A:$A,Productos!BR:BR,"Revisar"),"")</f>
        <v/>
      </c>
      <c r="BZ665" s="179" t="str">
        <f t="array" ref="BZ665">IF($F665&lt;&gt;"", XLOOKUP($F665,Productos!$A$2:$A1001,Productos!BS$2:BS1001,"")*$G665,"")</f>
        <v/>
      </c>
    </row>
    <row r="666">
      <c r="A666" s="188"/>
      <c r="B666" s="189"/>
      <c r="C666" s="190"/>
      <c r="D666" s="190"/>
      <c r="E666" s="191"/>
      <c r="F666" s="186"/>
      <c r="G666" s="192"/>
      <c r="H666" s="9"/>
      <c r="I666" s="179" t="str">
        <f t="array" ref="I666">IF($F666&lt;&gt;"",XLOOKUP($F666,Productos!$A:$A,Productos!B:B,"Revisar"),"")</f>
        <v/>
      </c>
      <c r="J666" s="179" t="str">
        <f t="array" ref="J666">IF($F666&lt;&gt;"", XLOOKUP($F666,Productos!$A$2:$A1001,Productos!C$2:C1001,"")*$G666,"")</f>
        <v/>
      </c>
      <c r="K666" s="179" t="str">
        <f t="array" ref="K666">IF($F666&lt;&gt;"",XLOOKUP($F666,Productos!$A:$A,Productos!D:D,"Revisar"),"")</f>
        <v/>
      </c>
      <c r="L666" s="179" t="str">
        <f t="array" ref="L666">IF($F666&lt;&gt;"", XLOOKUP($F666,Productos!$A$2:$A1001,Productos!E$2:E1001,"")*$G666,"")</f>
        <v/>
      </c>
      <c r="M666" s="179" t="str">
        <f t="array" ref="M666">IF($F666&lt;&gt;"",XLOOKUP($F666,Productos!$A:$A,Productos!F:F,"Revisar"),"")</f>
        <v/>
      </c>
      <c r="N666" s="179" t="str">
        <f t="array" ref="N666">IF($F666&lt;&gt;"", XLOOKUP($F666,Productos!$A$2:$A1001,Productos!G$2:G1001,"")*$G666,"")</f>
        <v/>
      </c>
      <c r="O666" s="179" t="str">
        <f t="array" ref="O666">IF($F666&lt;&gt;"",XLOOKUP($F666,Productos!$A:$A,Productos!H:H,"Revisar"),"")</f>
        <v/>
      </c>
      <c r="P666" s="179" t="str">
        <f t="array" ref="P666">IF($F666&lt;&gt;"", XLOOKUP($F666,Productos!$A$2:$A1001,Productos!I$2:I1001,"")*$G666,"")</f>
        <v/>
      </c>
      <c r="Q666" s="179" t="str">
        <f t="array" ref="Q666">IF($F666&lt;&gt;"",XLOOKUP($F666,Productos!$A:$A,Productos!J:J,"Revisar"),"")</f>
        <v/>
      </c>
      <c r="R666" s="179" t="str">
        <f t="array" ref="R666">IF($F666&lt;&gt;"", XLOOKUP($F666,Productos!$A$2:$A1001,Productos!K$2:K1001,"")*$G666,"")</f>
        <v/>
      </c>
      <c r="S666" s="179" t="str">
        <f t="array" ref="S666">IF($F666&lt;&gt;"",XLOOKUP($F666,Productos!$A:$A,Productos!L:L,"Revisar"),"")</f>
        <v/>
      </c>
      <c r="T666" s="179" t="str">
        <f t="array" ref="T666">IF($F666&lt;&gt;"", XLOOKUP($F666,Productos!$A$2:$A1001,Productos!M$2:M1001,"")*$G666,"")</f>
        <v/>
      </c>
      <c r="U666" s="179" t="str">
        <f t="array" ref="U666">IF($F666&lt;&gt;"",XLOOKUP($F666,Productos!$A:$A,Productos!N:N,"Revisar"),"")</f>
        <v/>
      </c>
      <c r="V666" s="179" t="str">
        <f t="array" ref="V666">IF($F666&lt;&gt;"", XLOOKUP($F666,Productos!$A$2:$A1001,Productos!O$2:O1001,"")*$G666,"")</f>
        <v/>
      </c>
      <c r="W666" s="179" t="str">
        <f t="array" ref="W666">IF($F666&lt;&gt;"",XLOOKUP($F666,Productos!$A:$A,Productos!P:P,"Revisar"),"")</f>
        <v/>
      </c>
      <c r="X666" s="179" t="str">
        <f t="array" ref="X666">IF($F666&lt;&gt;"", XLOOKUP($F666,Productos!$A$2:$A1001,Productos!Q$2:Q1001,"")*$G666,"")</f>
        <v/>
      </c>
      <c r="Y666" s="179" t="str">
        <f t="array" ref="Y666">IF($F666&lt;&gt;"",XLOOKUP($F666,Productos!$A:$A,Productos!R:R,"Revisar"),"")</f>
        <v/>
      </c>
      <c r="Z666" s="179" t="str">
        <f t="array" ref="Z666">IF($F666&lt;&gt;"", XLOOKUP($F666,Productos!$A$2:$A1001,Productos!S$2:S1001,"")*$G666,"")</f>
        <v/>
      </c>
      <c r="AA666" s="179" t="str">
        <f t="array" ref="AA666">IF($F666&lt;&gt;"",XLOOKUP($F666,Productos!$A:$A,Productos!T:T,"Revisar"),"")</f>
        <v/>
      </c>
      <c r="AB666" s="179" t="str">
        <f t="array" ref="AB666">IF($F666&lt;&gt;"", XLOOKUP($F666,Productos!$A$2:$A1001,Productos!U$2:U1001,"")*$G666,"")</f>
        <v/>
      </c>
      <c r="AC666" s="179" t="str">
        <f t="array" ref="AC666">IF($F666&lt;&gt;"",XLOOKUP($F666,Productos!$A:$A,Productos!V:V,"Revisar"),"")</f>
        <v/>
      </c>
      <c r="AD666" s="179" t="str">
        <f t="array" ref="AD666">IF($F666&lt;&gt;"", XLOOKUP($F666,Productos!$A$2:$A1001,Productos!W$2:W1001,"")*$G666,"")</f>
        <v/>
      </c>
      <c r="AE666" s="179" t="str">
        <f t="array" ref="AE666">IF($F666&lt;&gt;"",XLOOKUP($F666,Productos!$A:$A,Productos!X:X,"Revisar"),"")</f>
        <v/>
      </c>
      <c r="AF666" s="179" t="str">
        <f t="array" ref="AF666">IF($F666&lt;&gt;"", XLOOKUP($F666,Productos!$A$2:$A1001,Productos!Y$2:Y1001,"")*$G666,"")</f>
        <v/>
      </c>
      <c r="AG666" s="179" t="str">
        <f t="array" ref="AG666">IF($F666&lt;&gt;"",XLOOKUP($F666,Productos!$A:$A,Productos!Z:Z,"Revisar"),"")</f>
        <v/>
      </c>
      <c r="AH666" s="179" t="str">
        <f t="array" ref="AH666">IF($F666&lt;&gt;"", XLOOKUP($F666,Productos!$A$2:$A1001,Productos!AA$2:AA1001,"")*$G666,"")</f>
        <v/>
      </c>
      <c r="AI666" s="179" t="str">
        <f t="array" ref="AI666">IF($F666&lt;&gt;"",XLOOKUP($F666,Productos!$A:$A,Productos!AB:AB,"Revisar"),"")</f>
        <v/>
      </c>
      <c r="AJ666" s="179" t="str">
        <f t="array" ref="AJ666">IF($F666&lt;&gt;"", XLOOKUP($F666,Productos!$A$2:$A1001,Productos!AC$2:AC1001,"")*$G666,"")</f>
        <v/>
      </c>
      <c r="AK666" s="179" t="str">
        <f t="array" ref="AK666">IF($F666&lt;&gt;"",XLOOKUP($F666,Productos!$A:$A,Productos!AD:AD,"Revisar"),"")</f>
        <v/>
      </c>
      <c r="AL666" s="179" t="str">
        <f t="array" ref="AL666">IF($F666&lt;&gt;"", XLOOKUP($F666,Productos!$A$2:$A1001,Productos!AE$2:AE1001,"")*$G666,"")</f>
        <v/>
      </c>
      <c r="AM666" s="179" t="str">
        <f t="array" ref="AM666">IF($F666&lt;&gt;"",XLOOKUP($F666,Productos!$A:$A,Productos!AF:AF,"Revisar"),"")</f>
        <v/>
      </c>
      <c r="AN666" s="179" t="str">
        <f t="array" ref="AN666">IF($F666&lt;&gt;"", XLOOKUP($F666,Productos!$A$2:$A1001,Productos!AG$2:AG1001,"")*$G666,"")</f>
        <v/>
      </c>
      <c r="AO666" s="179" t="str">
        <f t="array" ref="AO666">IF($F666&lt;&gt;"",XLOOKUP($F666,Productos!$A:$A,Productos!AH:AH,"Revisar"),"")</f>
        <v/>
      </c>
      <c r="AP666" s="179" t="str">
        <f t="array" ref="AP666">IF($F666&lt;&gt;"", XLOOKUP($F666,Productos!$A$2:$A1001,Productos!AI$2:AI1001,"")*$G666,"")</f>
        <v/>
      </c>
      <c r="AQ666" s="179" t="str">
        <f t="array" ref="AQ666">IF($F666&lt;&gt;"",XLOOKUP($F666,Productos!$A:$A,Productos!AJ:AJ,"Revisar"),"")</f>
        <v/>
      </c>
      <c r="AR666" s="179" t="str">
        <f t="array" ref="AR666">IF($F666&lt;&gt;"", XLOOKUP($F666,Productos!$A$2:$A1001,Productos!AK$2:AK1001,"")*$G666,"")</f>
        <v/>
      </c>
      <c r="AS666" s="179" t="str">
        <f t="array" ref="AS666">IF($F666&lt;&gt;"",XLOOKUP($F666,Productos!$A:$A,Productos!AL:AL,"Revisar"),"")</f>
        <v/>
      </c>
      <c r="AT666" s="179" t="str">
        <f t="array" ref="AT666">IF($F666&lt;&gt;"", XLOOKUP($F666,Productos!$A$2:$A1001,Productos!AM$2:AM1001,"")*$G666,"")</f>
        <v/>
      </c>
      <c r="AU666" s="179" t="str">
        <f t="array" ref="AU666">IF($F666&lt;&gt;"",XLOOKUP($F666,Productos!$A:$A,Productos!AN:AN,"Revisar"),"")</f>
        <v/>
      </c>
      <c r="AV666" s="179" t="str">
        <f t="array" ref="AV666">IF($F666&lt;&gt;"", XLOOKUP($F666,Productos!$A$2:$A1001,Productos!AO$2:AO1001,"")*$G666,"")</f>
        <v/>
      </c>
      <c r="AW666" s="179" t="str">
        <f t="array" ref="AW666">IF($F666&lt;&gt;"",XLOOKUP($F666,Productos!$A:$A,Productos!AP:AP,"Revisar"),"")</f>
        <v/>
      </c>
      <c r="AX666" s="179" t="str">
        <f t="array" ref="AX666">IF($F666&lt;&gt;"", XLOOKUP($F666,Productos!$A$2:$A1001,Productos!AQ$2:AQ1001,"")*$G666,"")</f>
        <v/>
      </c>
      <c r="AY666" s="179" t="str">
        <f t="array" ref="AY666">IF($F666&lt;&gt;"",XLOOKUP($F666,Productos!$A:$A,Productos!AR:AR,"Revisar"),"")</f>
        <v/>
      </c>
      <c r="AZ666" s="179" t="str">
        <f t="array" ref="AZ666">IF($F666&lt;&gt;"", XLOOKUP($F666,Productos!$A$2:$A1001,Productos!AS$2:AS1001,"")*$G666,"")</f>
        <v/>
      </c>
      <c r="BA666" s="179" t="str">
        <f t="array" ref="BA666">IF($F666&lt;&gt;"",XLOOKUP($F666,Productos!$A:$A,Productos!AT:AT,"Revisar"),"")</f>
        <v/>
      </c>
      <c r="BB666" s="179" t="str">
        <f t="array" ref="BB666">IF($F666&lt;&gt;"", XLOOKUP($F666,Productos!$A$2:$A1001,Productos!AU$2:AU1001,"")*$G666,"")</f>
        <v/>
      </c>
      <c r="BC666" s="179" t="str">
        <f t="array" ref="BC666">IF($F666&lt;&gt;"",XLOOKUP($F666,Productos!$A:$A,Productos!AV:AV,"Revisar"),"")</f>
        <v/>
      </c>
      <c r="BD666" s="179" t="str">
        <f t="array" ref="BD666">IF($F666&lt;&gt;"", XLOOKUP($F666,Productos!$A$2:$A1001,Productos!AW$2:AW1001,"")*$G666,"")</f>
        <v/>
      </c>
      <c r="BE666" s="179" t="str">
        <f t="array" ref="BE666">IF($F666&lt;&gt;"",XLOOKUP($F666,Productos!$A:$A,Productos!AX:AX,"Revisar"),"")</f>
        <v/>
      </c>
      <c r="BF666" s="179" t="str">
        <f t="array" ref="BF666">IF($F666&lt;&gt;"", XLOOKUP($F666,Productos!$A$2:$A1001,Productos!AY$2:AY1001,"")*$G666,"")</f>
        <v/>
      </c>
      <c r="BG666" s="179" t="str">
        <f t="array" ref="BG666">IF($F666&lt;&gt;"",XLOOKUP($F666,Productos!$A:$A,Productos!AZ:AZ,"Revisar"),"")</f>
        <v/>
      </c>
      <c r="BH666" s="179" t="str">
        <f t="array" ref="BH666">IF($F666&lt;&gt;"", XLOOKUP($F666,Productos!$A$2:$A1001,Productos!BA$2:BA1001,"")*$G666,"")</f>
        <v/>
      </c>
      <c r="BI666" s="179" t="str">
        <f t="array" ref="BI666">IF($F666&lt;&gt;"",XLOOKUP($F666,Productos!$A:$A,Productos!BB:BB,"Revisar"),"")</f>
        <v/>
      </c>
      <c r="BJ666" s="179" t="str">
        <f t="array" ref="BJ666">IF($F666&lt;&gt;"", XLOOKUP($F666,Productos!$A$2:$A1001,Productos!BC$2:BC1001,"")*$G666,"")</f>
        <v/>
      </c>
      <c r="BK666" s="179" t="str">
        <f t="array" ref="BK666">IF($F666&lt;&gt;"",XLOOKUP($F666,Productos!$A:$A,Productos!BD:BD,"Revisar"),"")</f>
        <v/>
      </c>
      <c r="BL666" s="179" t="str">
        <f t="array" ref="BL666">IF($F666&lt;&gt;"", XLOOKUP($F666,Productos!$A$2:$A1001,Productos!BE$2:BE1001,"")*$G666,"")</f>
        <v/>
      </c>
      <c r="BM666" s="179" t="str">
        <f t="array" ref="BM666">IF($F666&lt;&gt;"",XLOOKUP($F666,Productos!$A:$A,Productos!BF:BF,"Revisar"),"")</f>
        <v/>
      </c>
      <c r="BN666" s="179" t="str">
        <f t="array" ref="BN666">IF($F666&lt;&gt;"", XLOOKUP($F666,Productos!$A$2:$A1001,Productos!BG$2:BG1001,"")*$G666,"")</f>
        <v/>
      </c>
      <c r="BO666" s="179" t="str">
        <f t="array" ref="BO666">IF($F666&lt;&gt;"",XLOOKUP($F666,Productos!$A:$A,Productos!BH:BH,"Revisar"),"")</f>
        <v/>
      </c>
      <c r="BP666" s="179" t="str">
        <f t="array" ref="BP666">IF($F666&lt;&gt;"", XLOOKUP($F666,Productos!$A$2:$A1001,Productos!BI$2:BI1001,"")*$G666,"")</f>
        <v/>
      </c>
      <c r="BQ666" s="179" t="str">
        <f t="array" ref="BQ666">IF($F666&lt;&gt;"",XLOOKUP($F666,Productos!$A:$A,Productos!BJ:BJ,"Revisar"),"")</f>
        <v/>
      </c>
      <c r="BR666" s="179" t="str">
        <f t="array" ref="BR666">IF($F666&lt;&gt;"", XLOOKUP($F666,Productos!$A$2:$A1001,Productos!BK$2:BK1001,"")*$G666,"")</f>
        <v/>
      </c>
      <c r="BS666" s="179" t="str">
        <f t="array" ref="BS666">IF($F666&lt;&gt;"",XLOOKUP($F666,Productos!$A:$A,Productos!BL:BL,"Revisar"),"")</f>
        <v/>
      </c>
      <c r="BT666" s="179" t="str">
        <f t="array" ref="BT666">IF($F666&lt;&gt;"", XLOOKUP($F666,Productos!$A$2:$A1001,Productos!BM$2:BM1001,"")*$G666,"")</f>
        <v/>
      </c>
      <c r="BU666" s="179" t="str">
        <f t="array" ref="BU666">IF($F666&lt;&gt;"",XLOOKUP($F666,Productos!$A:$A,Productos!BN:BN,"Revisar"),"")</f>
        <v/>
      </c>
      <c r="BV666" s="179" t="str">
        <f t="array" ref="BV666">IF($F666&lt;&gt;"", XLOOKUP($F666,Productos!$A$2:$A1001,Productos!BO$2:BO1001,"")*$G666,"")</f>
        <v/>
      </c>
      <c r="BW666" s="179" t="str">
        <f t="array" ref="BW666">IF($F666&lt;&gt;"",XLOOKUP($F666,Productos!$A:$A,Productos!BP:BP,"Revisar"),"")</f>
        <v/>
      </c>
      <c r="BX666" s="179" t="str">
        <f t="array" ref="BX666">IF($F666&lt;&gt;"", XLOOKUP($F666,Productos!$A$2:$A1001,Productos!BQ$2:BQ1001,"")*$G666,"")</f>
        <v/>
      </c>
      <c r="BY666" s="179" t="str">
        <f t="array" ref="BY666">IF($F666&lt;&gt;"",XLOOKUP($F666,Productos!$A:$A,Productos!BR:BR,"Revisar"),"")</f>
        <v/>
      </c>
      <c r="BZ666" s="179" t="str">
        <f t="array" ref="BZ666">IF($F666&lt;&gt;"", XLOOKUP($F666,Productos!$A$2:$A1001,Productos!BS$2:BS1001,"")*$G666,"")</f>
        <v/>
      </c>
    </row>
    <row r="667">
      <c r="A667" s="188"/>
      <c r="B667" s="189"/>
      <c r="C667" s="190"/>
      <c r="D667" s="190"/>
      <c r="E667" s="191"/>
      <c r="F667" s="186"/>
      <c r="G667" s="192"/>
      <c r="H667" s="9"/>
      <c r="I667" s="179" t="str">
        <f t="array" ref="I667">IF($F667&lt;&gt;"",XLOOKUP($F667,Productos!$A:$A,Productos!B:B,"Revisar"),"")</f>
        <v/>
      </c>
      <c r="J667" s="179" t="str">
        <f t="array" ref="J667">IF($F667&lt;&gt;"", XLOOKUP($F667,Productos!$A$2:$A1001,Productos!C$2:C1001,"")*$G667,"")</f>
        <v/>
      </c>
      <c r="K667" s="179" t="str">
        <f t="array" ref="K667">IF($F667&lt;&gt;"",XLOOKUP($F667,Productos!$A:$A,Productos!D:D,"Revisar"),"")</f>
        <v/>
      </c>
      <c r="L667" s="179" t="str">
        <f t="array" ref="L667">IF($F667&lt;&gt;"", XLOOKUP($F667,Productos!$A$2:$A1001,Productos!E$2:E1001,"")*$G667,"")</f>
        <v/>
      </c>
      <c r="M667" s="179" t="str">
        <f t="array" ref="M667">IF($F667&lt;&gt;"",XLOOKUP($F667,Productos!$A:$A,Productos!F:F,"Revisar"),"")</f>
        <v/>
      </c>
      <c r="N667" s="179" t="str">
        <f t="array" ref="N667">IF($F667&lt;&gt;"", XLOOKUP($F667,Productos!$A$2:$A1001,Productos!G$2:G1001,"")*$G667,"")</f>
        <v/>
      </c>
      <c r="O667" s="179" t="str">
        <f t="array" ref="O667">IF($F667&lt;&gt;"",XLOOKUP($F667,Productos!$A:$A,Productos!H:H,"Revisar"),"")</f>
        <v/>
      </c>
      <c r="P667" s="179" t="str">
        <f t="array" ref="P667">IF($F667&lt;&gt;"", XLOOKUP($F667,Productos!$A$2:$A1001,Productos!I$2:I1001,"")*$G667,"")</f>
        <v/>
      </c>
      <c r="Q667" s="179" t="str">
        <f t="array" ref="Q667">IF($F667&lt;&gt;"",XLOOKUP($F667,Productos!$A:$A,Productos!J:J,"Revisar"),"")</f>
        <v/>
      </c>
      <c r="R667" s="179" t="str">
        <f t="array" ref="R667">IF($F667&lt;&gt;"", XLOOKUP($F667,Productos!$A$2:$A1001,Productos!K$2:K1001,"")*$G667,"")</f>
        <v/>
      </c>
      <c r="S667" s="179" t="str">
        <f t="array" ref="S667">IF($F667&lt;&gt;"",XLOOKUP($F667,Productos!$A:$A,Productos!L:L,"Revisar"),"")</f>
        <v/>
      </c>
      <c r="T667" s="179" t="str">
        <f t="array" ref="T667">IF($F667&lt;&gt;"", XLOOKUP($F667,Productos!$A$2:$A1001,Productos!M$2:M1001,"")*$G667,"")</f>
        <v/>
      </c>
      <c r="U667" s="179" t="str">
        <f t="array" ref="U667">IF($F667&lt;&gt;"",XLOOKUP($F667,Productos!$A:$A,Productos!N:N,"Revisar"),"")</f>
        <v/>
      </c>
      <c r="V667" s="179" t="str">
        <f t="array" ref="V667">IF($F667&lt;&gt;"", XLOOKUP($F667,Productos!$A$2:$A1001,Productos!O$2:O1001,"")*$G667,"")</f>
        <v/>
      </c>
      <c r="W667" s="179" t="str">
        <f t="array" ref="W667">IF($F667&lt;&gt;"",XLOOKUP($F667,Productos!$A:$A,Productos!P:P,"Revisar"),"")</f>
        <v/>
      </c>
      <c r="X667" s="179" t="str">
        <f t="array" ref="X667">IF($F667&lt;&gt;"", XLOOKUP($F667,Productos!$A$2:$A1001,Productos!Q$2:Q1001,"")*$G667,"")</f>
        <v/>
      </c>
      <c r="Y667" s="179" t="str">
        <f t="array" ref="Y667">IF($F667&lt;&gt;"",XLOOKUP($F667,Productos!$A:$A,Productos!R:R,"Revisar"),"")</f>
        <v/>
      </c>
      <c r="Z667" s="179" t="str">
        <f t="array" ref="Z667">IF($F667&lt;&gt;"", XLOOKUP($F667,Productos!$A$2:$A1001,Productos!S$2:S1001,"")*$G667,"")</f>
        <v/>
      </c>
      <c r="AA667" s="179" t="str">
        <f t="array" ref="AA667">IF($F667&lt;&gt;"",XLOOKUP($F667,Productos!$A:$A,Productos!T:T,"Revisar"),"")</f>
        <v/>
      </c>
      <c r="AB667" s="179" t="str">
        <f t="array" ref="AB667">IF($F667&lt;&gt;"", XLOOKUP($F667,Productos!$A$2:$A1001,Productos!U$2:U1001,"")*$G667,"")</f>
        <v/>
      </c>
      <c r="AC667" s="179" t="str">
        <f t="array" ref="AC667">IF($F667&lt;&gt;"",XLOOKUP($F667,Productos!$A:$A,Productos!V:V,"Revisar"),"")</f>
        <v/>
      </c>
      <c r="AD667" s="179" t="str">
        <f t="array" ref="AD667">IF($F667&lt;&gt;"", XLOOKUP($F667,Productos!$A$2:$A1001,Productos!W$2:W1001,"")*$G667,"")</f>
        <v/>
      </c>
      <c r="AE667" s="179" t="str">
        <f t="array" ref="AE667">IF($F667&lt;&gt;"",XLOOKUP($F667,Productos!$A:$A,Productos!X:X,"Revisar"),"")</f>
        <v/>
      </c>
      <c r="AF667" s="179" t="str">
        <f t="array" ref="AF667">IF($F667&lt;&gt;"", XLOOKUP($F667,Productos!$A$2:$A1001,Productos!Y$2:Y1001,"")*$G667,"")</f>
        <v/>
      </c>
      <c r="AG667" s="179" t="str">
        <f t="array" ref="AG667">IF($F667&lt;&gt;"",XLOOKUP($F667,Productos!$A:$A,Productos!Z:Z,"Revisar"),"")</f>
        <v/>
      </c>
      <c r="AH667" s="179" t="str">
        <f t="array" ref="AH667">IF($F667&lt;&gt;"", XLOOKUP($F667,Productos!$A$2:$A1001,Productos!AA$2:AA1001,"")*$G667,"")</f>
        <v/>
      </c>
      <c r="AI667" s="179" t="str">
        <f t="array" ref="AI667">IF($F667&lt;&gt;"",XLOOKUP($F667,Productos!$A:$A,Productos!AB:AB,"Revisar"),"")</f>
        <v/>
      </c>
      <c r="AJ667" s="179" t="str">
        <f t="array" ref="AJ667">IF($F667&lt;&gt;"", XLOOKUP($F667,Productos!$A$2:$A1001,Productos!AC$2:AC1001,"")*$G667,"")</f>
        <v/>
      </c>
      <c r="AK667" s="179" t="str">
        <f t="array" ref="AK667">IF($F667&lt;&gt;"",XLOOKUP($F667,Productos!$A:$A,Productos!AD:AD,"Revisar"),"")</f>
        <v/>
      </c>
      <c r="AL667" s="179" t="str">
        <f t="array" ref="AL667">IF($F667&lt;&gt;"", XLOOKUP($F667,Productos!$A$2:$A1001,Productos!AE$2:AE1001,"")*$G667,"")</f>
        <v/>
      </c>
      <c r="AM667" s="179" t="str">
        <f t="array" ref="AM667">IF($F667&lt;&gt;"",XLOOKUP($F667,Productos!$A:$A,Productos!AF:AF,"Revisar"),"")</f>
        <v/>
      </c>
      <c r="AN667" s="179" t="str">
        <f t="array" ref="AN667">IF($F667&lt;&gt;"", XLOOKUP($F667,Productos!$A$2:$A1001,Productos!AG$2:AG1001,"")*$G667,"")</f>
        <v/>
      </c>
      <c r="AO667" s="179" t="str">
        <f t="array" ref="AO667">IF($F667&lt;&gt;"",XLOOKUP($F667,Productos!$A:$A,Productos!AH:AH,"Revisar"),"")</f>
        <v/>
      </c>
      <c r="AP667" s="179" t="str">
        <f t="array" ref="AP667">IF($F667&lt;&gt;"", XLOOKUP($F667,Productos!$A$2:$A1001,Productos!AI$2:AI1001,"")*$G667,"")</f>
        <v/>
      </c>
      <c r="AQ667" s="179" t="str">
        <f t="array" ref="AQ667">IF($F667&lt;&gt;"",XLOOKUP($F667,Productos!$A:$A,Productos!AJ:AJ,"Revisar"),"")</f>
        <v/>
      </c>
      <c r="AR667" s="179" t="str">
        <f t="array" ref="AR667">IF($F667&lt;&gt;"", XLOOKUP($F667,Productos!$A$2:$A1001,Productos!AK$2:AK1001,"")*$G667,"")</f>
        <v/>
      </c>
      <c r="AS667" s="179" t="str">
        <f t="array" ref="AS667">IF($F667&lt;&gt;"",XLOOKUP($F667,Productos!$A:$A,Productos!AL:AL,"Revisar"),"")</f>
        <v/>
      </c>
      <c r="AT667" s="179" t="str">
        <f t="array" ref="AT667">IF($F667&lt;&gt;"", XLOOKUP($F667,Productos!$A$2:$A1001,Productos!AM$2:AM1001,"")*$G667,"")</f>
        <v/>
      </c>
      <c r="AU667" s="179" t="str">
        <f t="array" ref="AU667">IF($F667&lt;&gt;"",XLOOKUP($F667,Productos!$A:$A,Productos!AN:AN,"Revisar"),"")</f>
        <v/>
      </c>
      <c r="AV667" s="179" t="str">
        <f t="array" ref="AV667">IF($F667&lt;&gt;"", XLOOKUP($F667,Productos!$A$2:$A1001,Productos!AO$2:AO1001,"")*$G667,"")</f>
        <v/>
      </c>
      <c r="AW667" s="179" t="str">
        <f t="array" ref="AW667">IF($F667&lt;&gt;"",XLOOKUP($F667,Productos!$A:$A,Productos!AP:AP,"Revisar"),"")</f>
        <v/>
      </c>
      <c r="AX667" s="179" t="str">
        <f t="array" ref="AX667">IF($F667&lt;&gt;"", XLOOKUP($F667,Productos!$A$2:$A1001,Productos!AQ$2:AQ1001,"")*$G667,"")</f>
        <v/>
      </c>
      <c r="AY667" s="179" t="str">
        <f t="array" ref="AY667">IF($F667&lt;&gt;"",XLOOKUP($F667,Productos!$A:$A,Productos!AR:AR,"Revisar"),"")</f>
        <v/>
      </c>
      <c r="AZ667" s="179" t="str">
        <f t="array" ref="AZ667">IF($F667&lt;&gt;"", XLOOKUP($F667,Productos!$A$2:$A1001,Productos!AS$2:AS1001,"")*$G667,"")</f>
        <v/>
      </c>
      <c r="BA667" s="179" t="str">
        <f t="array" ref="BA667">IF($F667&lt;&gt;"",XLOOKUP($F667,Productos!$A:$A,Productos!AT:AT,"Revisar"),"")</f>
        <v/>
      </c>
      <c r="BB667" s="179" t="str">
        <f t="array" ref="BB667">IF($F667&lt;&gt;"", XLOOKUP($F667,Productos!$A$2:$A1001,Productos!AU$2:AU1001,"")*$G667,"")</f>
        <v/>
      </c>
      <c r="BC667" s="179" t="str">
        <f t="array" ref="BC667">IF($F667&lt;&gt;"",XLOOKUP($F667,Productos!$A:$A,Productos!AV:AV,"Revisar"),"")</f>
        <v/>
      </c>
      <c r="BD667" s="179" t="str">
        <f t="array" ref="BD667">IF($F667&lt;&gt;"", XLOOKUP($F667,Productos!$A$2:$A1001,Productos!AW$2:AW1001,"")*$G667,"")</f>
        <v/>
      </c>
      <c r="BE667" s="179" t="str">
        <f t="array" ref="BE667">IF($F667&lt;&gt;"",XLOOKUP($F667,Productos!$A:$A,Productos!AX:AX,"Revisar"),"")</f>
        <v/>
      </c>
      <c r="BF667" s="179" t="str">
        <f t="array" ref="BF667">IF($F667&lt;&gt;"", XLOOKUP($F667,Productos!$A$2:$A1001,Productos!AY$2:AY1001,"")*$G667,"")</f>
        <v/>
      </c>
      <c r="BG667" s="179" t="str">
        <f t="array" ref="BG667">IF($F667&lt;&gt;"",XLOOKUP($F667,Productos!$A:$A,Productos!AZ:AZ,"Revisar"),"")</f>
        <v/>
      </c>
      <c r="BH667" s="179" t="str">
        <f t="array" ref="BH667">IF($F667&lt;&gt;"", XLOOKUP($F667,Productos!$A$2:$A1001,Productos!BA$2:BA1001,"")*$G667,"")</f>
        <v/>
      </c>
      <c r="BI667" s="179" t="str">
        <f t="array" ref="BI667">IF($F667&lt;&gt;"",XLOOKUP($F667,Productos!$A:$A,Productos!BB:BB,"Revisar"),"")</f>
        <v/>
      </c>
      <c r="BJ667" s="179" t="str">
        <f t="array" ref="BJ667">IF($F667&lt;&gt;"", XLOOKUP($F667,Productos!$A$2:$A1001,Productos!BC$2:BC1001,"")*$G667,"")</f>
        <v/>
      </c>
      <c r="BK667" s="179" t="str">
        <f t="array" ref="BK667">IF($F667&lt;&gt;"",XLOOKUP($F667,Productos!$A:$A,Productos!BD:BD,"Revisar"),"")</f>
        <v/>
      </c>
      <c r="BL667" s="179" t="str">
        <f t="array" ref="BL667">IF($F667&lt;&gt;"", XLOOKUP($F667,Productos!$A$2:$A1001,Productos!BE$2:BE1001,"")*$G667,"")</f>
        <v/>
      </c>
      <c r="BM667" s="179" t="str">
        <f t="array" ref="BM667">IF($F667&lt;&gt;"",XLOOKUP($F667,Productos!$A:$A,Productos!BF:BF,"Revisar"),"")</f>
        <v/>
      </c>
      <c r="BN667" s="179" t="str">
        <f t="array" ref="BN667">IF($F667&lt;&gt;"", XLOOKUP($F667,Productos!$A$2:$A1001,Productos!BG$2:BG1001,"")*$G667,"")</f>
        <v/>
      </c>
      <c r="BO667" s="179" t="str">
        <f t="array" ref="BO667">IF($F667&lt;&gt;"",XLOOKUP($F667,Productos!$A:$A,Productos!BH:BH,"Revisar"),"")</f>
        <v/>
      </c>
      <c r="BP667" s="179" t="str">
        <f t="array" ref="BP667">IF($F667&lt;&gt;"", XLOOKUP($F667,Productos!$A$2:$A1001,Productos!BI$2:BI1001,"")*$G667,"")</f>
        <v/>
      </c>
      <c r="BQ667" s="179" t="str">
        <f t="array" ref="BQ667">IF($F667&lt;&gt;"",XLOOKUP($F667,Productos!$A:$A,Productos!BJ:BJ,"Revisar"),"")</f>
        <v/>
      </c>
      <c r="BR667" s="179" t="str">
        <f t="array" ref="BR667">IF($F667&lt;&gt;"", XLOOKUP($F667,Productos!$A$2:$A1001,Productos!BK$2:BK1001,"")*$G667,"")</f>
        <v/>
      </c>
      <c r="BS667" s="179" t="str">
        <f t="array" ref="BS667">IF($F667&lt;&gt;"",XLOOKUP($F667,Productos!$A:$A,Productos!BL:BL,"Revisar"),"")</f>
        <v/>
      </c>
      <c r="BT667" s="179" t="str">
        <f t="array" ref="BT667">IF($F667&lt;&gt;"", XLOOKUP($F667,Productos!$A$2:$A1001,Productos!BM$2:BM1001,"")*$G667,"")</f>
        <v/>
      </c>
      <c r="BU667" s="179" t="str">
        <f t="array" ref="BU667">IF($F667&lt;&gt;"",XLOOKUP($F667,Productos!$A:$A,Productos!BN:BN,"Revisar"),"")</f>
        <v/>
      </c>
      <c r="BV667" s="179" t="str">
        <f t="array" ref="BV667">IF($F667&lt;&gt;"", XLOOKUP($F667,Productos!$A$2:$A1001,Productos!BO$2:BO1001,"")*$G667,"")</f>
        <v/>
      </c>
      <c r="BW667" s="179" t="str">
        <f t="array" ref="BW667">IF($F667&lt;&gt;"",XLOOKUP($F667,Productos!$A:$A,Productos!BP:BP,"Revisar"),"")</f>
        <v/>
      </c>
      <c r="BX667" s="179" t="str">
        <f t="array" ref="BX667">IF($F667&lt;&gt;"", XLOOKUP($F667,Productos!$A$2:$A1001,Productos!BQ$2:BQ1001,"")*$G667,"")</f>
        <v/>
      </c>
      <c r="BY667" s="179" t="str">
        <f t="array" ref="BY667">IF($F667&lt;&gt;"",XLOOKUP($F667,Productos!$A:$A,Productos!BR:BR,"Revisar"),"")</f>
        <v/>
      </c>
      <c r="BZ667" s="179" t="str">
        <f t="array" ref="BZ667">IF($F667&lt;&gt;"", XLOOKUP($F667,Productos!$A$2:$A1001,Productos!BS$2:BS1001,"")*$G667,"")</f>
        <v/>
      </c>
    </row>
    <row r="668">
      <c r="A668" s="188"/>
      <c r="B668" s="189"/>
      <c r="C668" s="190"/>
      <c r="D668" s="190"/>
      <c r="E668" s="191"/>
      <c r="F668" s="186"/>
      <c r="G668" s="192"/>
      <c r="H668" s="9"/>
      <c r="I668" s="179" t="str">
        <f t="array" ref="I668">IF($F668&lt;&gt;"",XLOOKUP($F668,Productos!$A:$A,Productos!B:B,"Revisar"),"")</f>
        <v/>
      </c>
      <c r="J668" s="179" t="str">
        <f t="array" ref="J668">IF($F668&lt;&gt;"", XLOOKUP($F668,Productos!$A$2:$A1001,Productos!C$2:C1001,"")*$G668,"")</f>
        <v/>
      </c>
      <c r="K668" s="179" t="str">
        <f t="array" ref="K668">IF($F668&lt;&gt;"",XLOOKUP($F668,Productos!$A:$A,Productos!D:D,"Revisar"),"")</f>
        <v/>
      </c>
      <c r="L668" s="179" t="str">
        <f t="array" ref="L668">IF($F668&lt;&gt;"", XLOOKUP($F668,Productos!$A$2:$A1001,Productos!E$2:E1001,"")*$G668,"")</f>
        <v/>
      </c>
      <c r="M668" s="179" t="str">
        <f t="array" ref="M668">IF($F668&lt;&gt;"",XLOOKUP($F668,Productos!$A:$A,Productos!F:F,"Revisar"),"")</f>
        <v/>
      </c>
      <c r="N668" s="179" t="str">
        <f t="array" ref="N668">IF($F668&lt;&gt;"", XLOOKUP($F668,Productos!$A$2:$A1001,Productos!G$2:G1001,"")*$G668,"")</f>
        <v/>
      </c>
      <c r="O668" s="179" t="str">
        <f t="array" ref="O668">IF($F668&lt;&gt;"",XLOOKUP($F668,Productos!$A:$A,Productos!H:H,"Revisar"),"")</f>
        <v/>
      </c>
      <c r="P668" s="179" t="str">
        <f t="array" ref="P668">IF($F668&lt;&gt;"", XLOOKUP($F668,Productos!$A$2:$A1001,Productos!I$2:I1001,"")*$G668,"")</f>
        <v/>
      </c>
      <c r="Q668" s="179" t="str">
        <f t="array" ref="Q668">IF($F668&lt;&gt;"",XLOOKUP($F668,Productos!$A:$A,Productos!J:J,"Revisar"),"")</f>
        <v/>
      </c>
      <c r="R668" s="179" t="str">
        <f t="array" ref="R668">IF($F668&lt;&gt;"", XLOOKUP($F668,Productos!$A$2:$A1001,Productos!K$2:K1001,"")*$G668,"")</f>
        <v/>
      </c>
      <c r="S668" s="179" t="str">
        <f t="array" ref="S668">IF($F668&lt;&gt;"",XLOOKUP($F668,Productos!$A:$A,Productos!L:L,"Revisar"),"")</f>
        <v/>
      </c>
      <c r="T668" s="179" t="str">
        <f t="array" ref="T668">IF($F668&lt;&gt;"", XLOOKUP($F668,Productos!$A$2:$A1001,Productos!M$2:M1001,"")*$G668,"")</f>
        <v/>
      </c>
      <c r="U668" s="179" t="str">
        <f t="array" ref="U668">IF($F668&lt;&gt;"",XLOOKUP($F668,Productos!$A:$A,Productos!N:N,"Revisar"),"")</f>
        <v/>
      </c>
      <c r="V668" s="179" t="str">
        <f t="array" ref="V668">IF($F668&lt;&gt;"", XLOOKUP($F668,Productos!$A$2:$A1001,Productos!O$2:O1001,"")*$G668,"")</f>
        <v/>
      </c>
      <c r="W668" s="179" t="str">
        <f t="array" ref="W668">IF($F668&lt;&gt;"",XLOOKUP($F668,Productos!$A:$A,Productos!P:P,"Revisar"),"")</f>
        <v/>
      </c>
      <c r="X668" s="179" t="str">
        <f t="array" ref="X668">IF($F668&lt;&gt;"", XLOOKUP($F668,Productos!$A$2:$A1001,Productos!Q$2:Q1001,"")*$G668,"")</f>
        <v/>
      </c>
      <c r="Y668" s="179" t="str">
        <f t="array" ref="Y668">IF($F668&lt;&gt;"",XLOOKUP($F668,Productos!$A:$A,Productos!R:R,"Revisar"),"")</f>
        <v/>
      </c>
      <c r="Z668" s="179" t="str">
        <f t="array" ref="Z668">IF($F668&lt;&gt;"", XLOOKUP($F668,Productos!$A$2:$A1001,Productos!S$2:S1001,"")*$G668,"")</f>
        <v/>
      </c>
      <c r="AA668" s="179" t="str">
        <f t="array" ref="AA668">IF($F668&lt;&gt;"",XLOOKUP($F668,Productos!$A:$A,Productos!T:T,"Revisar"),"")</f>
        <v/>
      </c>
      <c r="AB668" s="179" t="str">
        <f t="array" ref="AB668">IF($F668&lt;&gt;"", XLOOKUP($F668,Productos!$A$2:$A1001,Productos!U$2:U1001,"")*$G668,"")</f>
        <v/>
      </c>
      <c r="AC668" s="179" t="str">
        <f t="array" ref="AC668">IF($F668&lt;&gt;"",XLOOKUP($F668,Productos!$A:$A,Productos!V:V,"Revisar"),"")</f>
        <v/>
      </c>
      <c r="AD668" s="179" t="str">
        <f t="array" ref="AD668">IF($F668&lt;&gt;"", XLOOKUP($F668,Productos!$A$2:$A1001,Productos!W$2:W1001,"")*$G668,"")</f>
        <v/>
      </c>
      <c r="AE668" s="179" t="str">
        <f t="array" ref="AE668">IF($F668&lt;&gt;"",XLOOKUP($F668,Productos!$A:$A,Productos!X:X,"Revisar"),"")</f>
        <v/>
      </c>
      <c r="AF668" s="179" t="str">
        <f t="array" ref="AF668">IF($F668&lt;&gt;"", XLOOKUP($F668,Productos!$A$2:$A1001,Productos!Y$2:Y1001,"")*$G668,"")</f>
        <v/>
      </c>
      <c r="AG668" s="179" t="str">
        <f t="array" ref="AG668">IF($F668&lt;&gt;"",XLOOKUP($F668,Productos!$A:$A,Productos!Z:Z,"Revisar"),"")</f>
        <v/>
      </c>
      <c r="AH668" s="179" t="str">
        <f t="array" ref="AH668">IF($F668&lt;&gt;"", XLOOKUP($F668,Productos!$A$2:$A1001,Productos!AA$2:AA1001,"")*$G668,"")</f>
        <v/>
      </c>
      <c r="AI668" s="179" t="str">
        <f t="array" ref="AI668">IF($F668&lt;&gt;"",XLOOKUP($F668,Productos!$A:$A,Productos!AB:AB,"Revisar"),"")</f>
        <v/>
      </c>
      <c r="AJ668" s="179" t="str">
        <f t="array" ref="AJ668">IF($F668&lt;&gt;"", XLOOKUP($F668,Productos!$A$2:$A1001,Productos!AC$2:AC1001,"")*$G668,"")</f>
        <v/>
      </c>
      <c r="AK668" s="179" t="str">
        <f t="array" ref="AK668">IF($F668&lt;&gt;"",XLOOKUP($F668,Productos!$A:$A,Productos!AD:AD,"Revisar"),"")</f>
        <v/>
      </c>
      <c r="AL668" s="179" t="str">
        <f t="array" ref="AL668">IF($F668&lt;&gt;"", XLOOKUP($F668,Productos!$A$2:$A1001,Productos!AE$2:AE1001,"")*$G668,"")</f>
        <v/>
      </c>
      <c r="AM668" s="179" t="str">
        <f t="array" ref="AM668">IF($F668&lt;&gt;"",XLOOKUP($F668,Productos!$A:$A,Productos!AF:AF,"Revisar"),"")</f>
        <v/>
      </c>
      <c r="AN668" s="179" t="str">
        <f t="array" ref="AN668">IF($F668&lt;&gt;"", XLOOKUP($F668,Productos!$A$2:$A1001,Productos!AG$2:AG1001,"")*$G668,"")</f>
        <v/>
      </c>
      <c r="AO668" s="179" t="str">
        <f t="array" ref="AO668">IF($F668&lt;&gt;"",XLOOKUP($F668,Productos!$A:$A,Productos!AH:AH,"Revisar"),"")</f>
        <v/>
      </c>
      <c r="AP668" s="179" t="str">
        <f t="array" ref="AP668">IF($F668&lt;&gt;"", XLOOKUP($F668,Productos!$A$2:$A1001,Productos!AI$2:AI1001,"")*$G668,"")</f>
        <v/>
      </c>
      <c r="AQ668" s="179" t="str">
        <f t="array" ref="AQ668">IF($F668&lt;&gt;"",XLOOKUP($F668,Productos!$A:$A,Productos!AJ:AJ,"Revisar"),"")</f>
        <v/>
      </c>
      <c r="AR668" s="179" t="str">
        <f t="array" ref="AR668">IF($F668&lt;&gt;"", XLOOKUP($F668,Productos!$A$2:$A1001,Productos!AK$2:AK1001,"")*$G668,"")</f>
        <v/>
      </c>
      <c r="AS668" s="179" t="str">
        <f t="array" ref="AS668">IF($F668&lt;&gt;"",XLOOKUP($F668,Productos!$A:$A,Productos!AL:AL,"Revisar"),"")</f>
        <v/>
      </c>
      <c r="AT668" s="179" t="str">
        <f t="array" ref="AT668">IF($F668&lt;&gt;"", XLOOKUP($F668,Productos!$A$2:$A1001,Productos!AM$2:AM1001,"")*$G668,"")</f>
        <v/>
      </c>
      <c r="AU668" s="179" t="str">
        <f t="array" ref="AU668">IF($F668&lt;&gt;"",XLOOKUP($F668,Productos!$A:$A,Productos!AN:AN,"Revisar"),"")</f>
        <v/>
      </c>
      <c r="AV668" s="179" t="str">
        <f t="array" ref="AV668">IF($F668&lt;&gt;"", XLOOKUP($F668,Productos!$A$2:$A1001,Productos!AO$2:AO1001,"")*$G668,"")</f>
        <v/>
      </c>
      <c r="AW668" s="179" t="str">
        <f t="array" ref="AW668">IF($F668&lt;&gt;"",XLOOKUP($F668,Productos!$A:$A,Productos!AP:AP,"Revisar"),"")</f>
        <v/>
      </c>
      <c r="AX668" s="179" t="str">
        <f t="array" ref="AX668">IF($F668&lt;&gt;"", XLOOKUP($F668,Productos!$A$2:$A1001,Productos!AQ$2:AQ1001,"")*$G668,"")</f>
        <v/>
      </c>
      <c r="AY668" s="179" t="str">
        <f t="array" ref="AY668">IF($F668&lt;&gt;"",XLOOKUP($F668,Productos!$A:$A,Productos!AR:AR,"Revisar"),"")</f>
        <v/>
      </c>
      <c r="AZ668" s="179" t="str">
        <f t="array" ref="AZ668">IF($F668&lt;&gt;"", XLOOKUP($F668,Productos!$A$2:$A1001,Productos!AS$2:AS1001,"")*$G668,"")</f>
        <v/>
      </c>
      <c r="BA668" s="179" t="str">
        <f t="array" ref="BA668">IF($F668&lt;&gt;"",XLOOKUP($F668,Productos!$A:$A,Productos!AT:AT,"Revisar"),"")</f>
        <v/>
      </c>
      <c r="BB668" s="179" t="str">
        <f t="array" ref="BB668">IF($F668&lt;&gt;"", XLOOKUP($F668,Productos!$A$2:$A1001,Productos!AU$2:AU1001,"")*$G668,"")</f>
        <v/>
      </c>
      <c r="BC668" s="179" t="str">
        <f t="array" ref="BC668">IF($F668&lt;&gt;"",XLOOKUP($F668,Productos!$A:$A,Productos!AV:AV,"Revisar"),"")</f>
        <v/>
      </c>
      <c r="BD668" s="179" t="str">
        <f t="array" ref="BD668">IF($F668&lt;&gt;"", XLOOKUP($F668,Productos!$A$2:$A1001,Productos!AW$2:AW1001,"")*$G668,"")</f>
        <v/>
      </c>
      <c r="BE668" s="179" t="str">
        <f t="array" ref="BE668">IF($F668&lt;&gt;"",XLOOKUP($F668,Productos!$A:$A,Productos!AX:AX,"Revisar"),"")</f>
        <v/>
      </c>
      <c r="BF668" s="179" t="str">
        <f t="array" ref="BF668">IF($F668&lt;&gt;"", XLOOKUP($F668,Productos!$A$2:$A1001,Productos!AY$2:AY1001,"")*$G668,"")</f>
        <v/>
      </c>
      <c r="BG668" s="179" t="str">
        <f t="array" ref="BG668">IF($F668&lt;&gt;"",XLOOKUP($F668,Productos!$A:$A,Productos!AZ:AZ,"Revisar"),"")</f>
        <v/>
      </c>
      <c r="BH668" s="179" t="str">
        <f t="array" ref="BH668">IF($F668&lt;&gt;"", XLOOKUP($F668,Productos!$A$2:$A1001,Productos!BA$2:BA1001,"")*$G668,"")</f>
        <v/>
      </c>
      <c r="BI668" s="179" t="str">
        <f t="array" ref="BI668">IF($F668&lt;&gt;"",XLOOKUP($F668,Productos!$A:$A,Productos!BB:BB,"Revisar"),"")</f>
        <v/>
      </c>
      <c r="BJ668" s="179" t="str">
        <f t="array" ref="BJ668">IF($F668&lt;&gt;"", XLOOKUP($F668,Productos!$A$2:$A1001,Productos!BC$2:BC1001,"")*$G668,"")</f>
        <v/>
      </c>
      <c r="BK668" s="179" t="str">
        <f t="array" ref="BK668">IF($F668&lt;&gt;"",XLOOKUP($F668,Productos!$A:$A,Productos!BD:BD,"Revisar"),"")</f>
        <v/>
      </c>
      <c r="BL668" s="179" t="str">
        <f t="array" ref="BL668">IF($F668&lt;&gt;"", XLOOKUP($F668,Productos!$A$2:$A1001,Productos!BE$2:BE1001,"")*$G668,"")</f>
        <v/>
      </c>
      <c r="BM668" s="179" t="str">
        <f t="array" ref="BM668">IF($F668&lt;&gt;"",XLOOKUP($F668,Productos!$A:$A,Productos!BF:BF,"Revisar"),"")</f>
        <v/>
      </c>
      <c r="BN668" s="179" t="str">
        <f t="array" ref="BN668">IF($F668&lt;&gt;"", XLOOKUP($F668,Productos!$A$2:$A1001,Productos!BG$2:BG1001,"")*$G668,"")</f>
        <v/>
      </c>
      <c r="BO668" s="179" t="str">
        <f t="array" ref="BO668">IF($F668&lt;&gt;"",XLOOKUP($F668,Productos!$A:$A,Productos!BH:BH,"Revisar"),"")</f>
        <v/>
      </c>
      <c r="BP668" s="179" t="str">
        <f t="array" ref="BP668">IF($F668&lt;&gt;"", XLOOKUP($F668,Productos!$A$2:$A1001,Productos!BI$2:BI1001,"")*$G668,"")</f>
        <v/>
      </c>
      <c r="BQ668" s="179" t="str">
        <f t="array" ref="BQ668">IF($F668&lt;&gt;"",XLOOKUP($F668,Productos!$A:$A,Productos!BJ:BJ,"Revisar"),"")</f>
        <v/>
      </c>
      <c r="BR668" s="179" t="str">
        <f t="array" ref="BR668">IF($F668&lt;&gt;"", XLOOKUP($F668,Productos!$A$2:$A1001,Productos!BK$2:BK1001,"")*$G668,"")</f>
        <v/>
      </c>
      <c r="BS668" s="179" t="str">
        <f t="array" ref="BS668">IF($F668&lt;&gt;"",XLOOKUP($F668,Productos!$A:$A,Productos!BL:BL,"Revisar"),"")</f>
        <v/>
      </c>
      <c r="BT668" s="179" t="str">
        <f t="array" ref="BT668">IF($F668&lt;&gt;"", XLOOKUP($F668,Productos!$A$2:$A1001,Productos!BM$2:BM1001,"")*$G668,"")</f>
        <v/>
      </c>
      <c r="BU668" s="179" t="str">
        <f t="array" ref="BU668">IF($F668&lt;&gt;"",XLOOKUP($F668,Productos!$A:$A,Productos!BN:BN,"Revisar"),"")</f>
        <v/>
      </c>
      <c r="BV668" s="179" t="str">
        <f t="array" ref="BV668">IF($F668&lt;&gt;"", XLOOKUP($F668,Productos!$A$2:$A1001,Productos!BO$2:BO1001,"")*$G668,"")</f>
        <v/>
      </c>
      <c r="BW668" s="179" t="str">
        <f t="array" ref="BW668">IF($F668&lt;&gt;"",XLOOKUP($F668,Productos!$A:$A,Productos!BP:BP,"Revisar"),"")</f>
        <v/>
      </c>
      <c r="BX668" s="179" t="str">
        <f t="array" ref="BX668">IF($F668&lt;&gt;"", XLOOKUP($F668,Productos!$A$2:$A1001,Productos!BQ$2:BQ1001,"")*$G668,"")</f>
        <v/>
      </c>
      <c r="BY668" s="179" t="str">
        <f t="array" ref="BY668">IF($F668&lt;&gt;"",XLOOKUP($F668,Productos!$A:$A,Productos!BR:BR,"Revisar"),"")</f>
        <v/>
      </c>
      <c r="BZ668" s="179" t="str">
        <f t="array" ref="BZ668">IF($F668&lt;&gt;"", XLOOKUP($F668,Productos!$A$2:$A1001,Productos!BS$2:BS1001,"")*$G668,"")</f>
        <v/>
      </c>
    </row>
    <row r="669">
      <c r="A669" s="188"/>
      <c r="B669" s="189"/>
      <c r="C669" s="190"/>
      <c r="D669" s="190"/>
      <c r="E669" s="191"/>
      <c r="F669" s="186"/>
      <c r="G669" s="192"/>
      <c r="H669" s="9"/>
      <c r="I669" s="179" t="str">
        <f t="array" ref="I669">IF($F669&lt;&gt;"",XLOOKUP($F669,Productos!$A:$A,Productos!B:B,"Revisar"),"")</f>
        <v/>
      </c>
      <c r="J669" s="179" t="str">
        <f t="array" ref="J669">IF($F669&lt;&gt;"", XLOOKUP($F669,Productos!$A$2:$A1001,Productos!C$2:C1001,"")*$G669,"")</f>
        <v/>
      </c>
      <c r="K669" s="179" t="str">
        <f t="array" ref="K669">IF($F669&lt;&gt;"",XLOOKUP($F669,Productos!$A:$A,Productos!D:D,"Revisar"),"")</f>
        <v/>
      </c>
      <c r="L669" s="179" t="str">
        <f t="array" ref="L669">IF($F669&lt;&gt;"", XLOOKUP($F669,Productos!$A$2:$A1001,Productos!E$2:E1001,"")*$G669,"")</f>
        <v/>
      </c>
      <c r="M669" s="179" t="str">
        <f t="array" ref="M669">IF($F669&lt;&gt;"",XLOOKUP($F669,Productos!$A:$A,Productos!F:F,"Revisar"),"")</f>
        <v/>
      </c>
      <c r="N669" s="179" t="str">
        <f t="array" ref="N669">IF($F669&lt;&gt;"", XLOOKUP($F669,Productos!$A$2:$A1001,Productos!G$2:G1001,"")*$G669,"")</f>
        <v/>
      </c>
      <c r="O669" s="179" t="str">
        <f t="array" ref="O669">IF($F669&lt;&gt;"",XLOOKUP($F669,Productos!$A:$A,Productos!H:H,"Revisar"),"")</f>
        <v/>
      </c>
      <c r="P669" s="179" t="str">
        <f t="array" ref="P669">IF($F669&lt;&gt;"", XLOOKUP($F669,Productos!$A$2:$A1001,Productos!I$2:I1001,"")*$G669,"")</f>
        <v/>
      </c>
      <c r="Q669" s="179" t="str">
        <f t="array" ref="Q669">IF($F669&lt;&gt;"",XLOOKUP($F669,Productos!$A:$A,Productos!J:J,"Revisar"),"")</f>
        <v/>
      </c>
      <c r="R669" s="179" t="str">
        <f t="array" ref="R669">IF($F669&lt;&gt;"", XLOOKUP($F669,Productos!$A$2:$A1001,Productos!K$2:K1001,"")*$G669,"")</f>
        <v/>
      </c>
      <c r="S669" s="179" t="str">
        <f t="array" ref="S669">IF($F669&lt;&gt;"",XLOOKUP($F669,Productos!$A:$A,Productos!L:L,"Revisar"),"")</f>
        <v/>
      </c>
      <c r="T669" s="179" t="str">
        <f t="array" ref="T669">IF($F669&lt;&gt;"", XLOOKUP($F669,Productos!$A$2:$A1001,Productos!M$2:M1001,"")*$G669,"")</f>
        <v/>
      </c>
      <c r="U669" s="179" t="str">
        <f t="array" ref="U669">IF($F669&lt;&gt;"",XLOOKUP($F669,Productos!$A:$A,Productos!N:N,"Revisar"),"")</f>
        <v/>
      </c>
      <c r="V669" s="179" t="str">
        <f t="array" ref="V669">IF($F669&lt;&gt;"", XLOOKUP($F669,Productos!$A$2:$A1001,Productos!O$2:O1001,"")*$G669,"")</f>
        <v/>
      </c>
      <c r="W669" s="179" t="str">
        <f t="array" ref="W669">IF($F669&lt;&gt;"",XLOOKUP($F669,Productos!$A:$A,Productos!P:P,"Revisar"),"")</f>
        <v/>
      </c>
      <c r="X669" s="179" t="str">
        <f t="array" ref="X669">IF($F669&lt;&gt;"", XLOOKUP($F669,Productos!$A$2:$A1001,Productos!Q$2:Q1001,"")*$G669,"")</f>
        <v/>
      </c>
      <c r="Y669" s="179" t="str">
        <f t="array" ref="Y669">IF($F669&lt;&gt;"",XLOOKUP($F669,Productos!$A:$A,Productos!R:R,"Revisar"),"")</f>
        <v/>
      </c>
      <c r="Z669" s="179" t="str">
        <f t="array" ref="Z669">IF($F669&lt;&gt;"", XLOOKUP($F669,Productos!$A$2:$A1001,Productos!S$2:S1001,"")*$G669,"")</f>
        <v/>
      </c>
      <c r="AA669" s="179" t="str">
        <f t="array" ref="AA669">IF($F669&lt;&gt;"",XLOOKUP($F669,Productos!$A:$A,Productos!T:T,"Revisar"),"")</f>
        <v/>
      </c>
      <c r="AB669" s="179" t="str">
        <f t="array" ref="AB669">IF($F669&lt;&gt;"", XLOOKUP($F669,Productos!$A$2:$A1001,Productos!U$2:U1001,"")*$G669,"")</f>
        <v/>
      </c>
      <c r="AC669" s="179" t="str">
        <f t="array" ref="AC669">IF($F669&lt;&gt;"",XLOOKUP($F669,Productos!$A:$A,Productos!V:V,"Revisar"),"")</f>
        <v/>
      </c>
      <c r="AD669" s="179" t="str">
        <f t="array" ref="AD669">IF($F669&lt;&gt;"", XLOOKUP($F669,Productos!$A$2:$A1001,Productos!W$2:W1001,"")*$G669,"")</f>
        <v/>
      </c>
      <c r="AE669" s="179" t="str">
        <f t="array" ref="AE669">IF($F669&lt;&gt;"",XLOOKUP($F669,Productos!$A:$A,Productos!X:X,"Revisar"),"")</f>
        <v/>
      </c>
      <c r="AF669" s="179" t="str">
        <f t="array" ref="AF669">IF($F669&lt;&gt;"", XLOOKUP($F669,Productos!$A$2:$A1001,Productos!Y$2:Y1001,"")*$G669,"")</f>
        <v/>
      </c>
      <c r="AG669" s="179" t="str">
        <f t="array" ref="AG669">IF($F669&lt;&gt;"",XLOOKUP($F669,Productos!$A:$A,Productos!Z:Z,"Revisar"),"")</f>
        <v/>
      </c>
      <c r="AH669" s="179" t="str">
        <f t="array" ref="AH669">IF($F669&lt;&gt;"", XLOOKUP($F669,Productos!$A$2:$A1001,Productos!AA$2:AA1001,"")*$G669,"")</f>
        <v/>
      </c>
      <c r="AI669" s="179" t="str">
        <f t="array" ref="AI669">IF($F669&lt;&gt;"",XLOOKUP($F669,Productos!$A:$A,Productos!AB:AB,"Revisar"),"")</f>
        <v/>
      </c>
      <c r="AJ669" s="179" t="str">
        <f t="array" ref="AJ669">IF($F669&lt;&gt;"", XLOOKUP($F669,Productos!$A$2:$A1001,Productos!AC$2:AC1001,"")*$G669,"")</f>
        <v/>
      </c>
      <c r="AK669" s="179" t="str">
        <f t="array" ref="AK669">IF($F669&lt;&gt;"",XLOOKUP($F669,Productos!$A:$A,Productos!AD:AD,"Revisar"),"")</f>
        <v/>
      </c>
      <c r="AL669" s="179" t="str">
        <f t="array" ref="AL669">IF($F669&lt;&gt;"", XLOOKUP($F669,Productos!$A$2:$A1001,Productos!AE$2:AE1001,"")*$G669,"")</f>
        <v/>
      </c>
      <c r="AM669" s="179" t="str">
        <f t="array" ref="AM669">IF($F669&lt;&gt;"",XLOOKUP($F669,Productos!$A:$A,Productos!AF:AF,"Revisar"),"")</f>
        <v/>
      </c>
      <c r="AN669" s="179" t="str">
        <f t="array" ref="AN669">IF($F669&lt;&gt;"", XLOOKUP($F669,Productos!$A$2:$A1001,Productos!AG$2:AG1001,"")*$G669,"")</f>
        <v/>
      </c>
      <c r="AO669" s="179" t="str">
        <f t="array" ref="AO669">IF($F669&lt;&gt;"",XLOOKUP($F669,Productos!$A:$A,Productos!AH:AH,"Revisar"),"")</f>
        <v/>
      </c>
      <c r="AP669" s="179" t="str">
        <f t="array" ref="AP669">IF($F669&lt;&gt;"", XLOOKUP($F669,Productos!$A$2:$A1001,Productos!AI$2:AI1001,"")*$G669,"")</f>
        <v/>
      </c>
      <c r="AQ669" s="179" t="str">
        <f t="array" ref="AQ669">IF($F669&lt;&gt;"",XLOOKUP($F669,Productos!$A:$A,Productos!AJ:AJ,"Revisar"),"")</f>
        <v/>
      </c>
      <c r="AR669" s="179" t="str">
        <f t="array" ref="AR669">IF($F669&lt;&gt;"", XLOOKUP($F669,Productos!$A$2:$A1001,Productos!AK$2:AK1001,"")*$G669,"")</f>
        <v/>
      </c>
      <c r="AS669" s="179" t="str">
        <f t="array" ref="AS669">IF($F669&lt;&gt;"",XLOOKUP($F669,Productos!$A:$A,Productos!AL:AL,"Revisar"),"")</f>
        <v/>
      </c>
      <c r="AT669" s="179" t="str">
        <f t="array" ref="AT669">IF($F669&lt;&gt;"", XLOOKUP($F669,Productos!$A$2:$A1001,Productos!AM$2:AM1001,"")*$G669,"")</f>
        <v/>
      </c>
      <c r="AU669" s="179" t="str">
        <f t="array" ref="AU669">IF($F669&lt;&gt;"",XLOOKUP($F669,Productos!$A:$A,Productos!AN:AN,"Revisar"),"")</f>
        <v/>
      </c>
      <c r="AV669" s="179" t="str">
        <f t="array" ref="AV669">IF($F669&lt;&gt;"", XLOOKUP($F669,Productos!$A$2:$A1001,Productos!AO$2:AO1001,"")*$G669,"")</f>
        <v/>
      </c>
      <c r="AW669" s="179" t="str">
        <f t="array" ref="AW669">IF($F669&lt;&gt;"",XLOOKUP($F669,Productos!$A:$A,Productos!AP:AP,"Revisar"),"")</f>
        <v/>
      </c>
      <c r="AX669" s="179" t="str">
        <f t="array" ref="AX669">IF($F669&lt;&gt;"", XLOOKUP($F669,Productos!$A$2:$A1001,Productos!AQ$2:AQ1001,"")*$G669,"")</f>
        <v/>
      </c>
      <c r="AY669" s="179" t="str">
        <f t="array" ref="AY669">IF($F669&lt;&gt;"",XLOOKUP($F669,Productos!$A:$A,Productos!AR:AR,"Revisar"),"")</f>
        <v/>
      </c>
      <c r="AZ669" s="179" t="str">
        <f t="array" ref="AZ669">IF($F669&lt;&gt;"", XLOOKUP($F669,Productos!$A$2:$A1001,Productos!AS$2:AS1001,"")*$G669,"")</f>
        <v/>
      </c>
      <c r="BA669" s="179" t="str">
        <f t="array" ref="BA669">IF($F669&lt;&gt;"",XLOOKUP($F669,Productos!$A:$A,Productos!AT:AT,"Revisar"),"")</f>
        <v/>
      </c>
      <c r="BB669" s="179" t="str">
        <f t="array" ref="BB669">IF($F669&lt;&gt;"", XLOOKUP($F669,Productos!$A$2:$A1001,Productos!AU$2:AU1001,"")*$G669,"")</f>
        <v/>
      </c>
      <c r="BC669" s="179" t="str">
        <f t="array" ref="BC669">IF($F669&lt;&gt;"",XLOOKUP($F669,Productos!$A:$A,Productos!AV:AV,"Revisar"),"")</f>
        <v/>
      </c>
      <c r="BD669" s="179" t="str">
        <f t="array" ref="BD669">IF($F669&lt;&gt;"", XLOOKUP($F669,Productos!$A$2:$A1001,Productos!AW$2:AW1001,"")*$G669,"")</f>
        <v/>
      </c>
      <c r="BE669" s="179" t="str">
        <f t="array" ref="BE669">IF($F669&lt;&gt;"",XLOOKUP($F669,Productos!$A:$A,Productos!AX:AX,"Revisar"),"")</f>
        <v/>
      </c>
      <c r="BF669" s="179" t="str">
        <f t="array" ref="BF669">IF($F669&lt;&gt;"", XLOOKUP($F669,Productos!$A$2:$A1001,Productos!AY$2:AY1001,"")*$G669,"")</f>
        <v/>
      </c>
      <c r="BG669" s="179" t="str">
        <f t="array" ref="BG669">IF($F669&lt;&gt;"",XLOOKUP($F669,Productos!$A:$A,Productos!AZ:AZ,"Revisar"),"")</f>
        <v/>
      </c>
      <c r="BH669" s="179" t="str">
        <f t="array" ref="BH669">IF($F669&lt;&gt;"", XLOOKUP($F669,Productos!$A$2:$A1001,Productos!BA$2:BA1001,"")*$G669,"")</f>
        <v/>
      </c>
      <c r="BI669" s="179" t="str">
        <f t="array" ref="BI669">IF($F669&lt;&gt;"",XLOOKUP($F669,Productos!$A:$A,Productos!BB:BB,"Revisar"),"")</f>
        <v/>
      </c>
      <c r="BJ669" s="179" t="str">
        <f t="array" ref="BJ669">IF($F669&lt;&gt;"", XLOOKUP($F669,Productos!$A$2:$A1001,Productos!BC$2:BC1001,"")*$G669,"")</f>
        <v/>
      </c>
      <c r="BK669" s="179" t="str">
        <f t="array" ref="BK669">IF($F669&lt;&gt;"",XLOOKUP($F669,Productos!$A:$A,Productos!BD:BD,"Revisar"),"")</f>
        <v/>
      </c>
      <c r="BL669" s="179" t="str">
        <f t="array" ref="BL669">IF($F669&lt;&gt;"", XLOOKUP($F669,Productos!$A$2:$A1001,Productos!BE$2:BE1001,"")*$G669,"")</f>
        <v/>
      </c>
      <c r="BM669" s="179" t="str">
        <f t="array" ref="BM669">IF($F669&lt;&gt;"",XLOOKUP($F669,Productos!$A:$A,Productos!BF:BF,"Revisar"),"")</f>
        <v/>
      </c>
      <c r="BN669" s="179" t="str">
        <f t="array" ref="BN669">IF($F669&lt;&gt;"", XLOOKUP($F669,Productos!$A$2:$A1001,Productos!BG$2:BG1001,"")*$G669,"")</f>
        <v/>
      </c>
      <c r="BO669" s="179" t="str">
        <f t="array" ref="BO669">IF($F669&lt;&gt;"",XLOOKUP($F669,Productos!$A:$A,Productos!BH:BH,"Revisar"),"")</f>
        <v/>
      </c>
      <c r="BP669" s="179" t="str">
        <f t="array" ref="BP669">IF($F669&lt;&gt;"", XLOOKUP($F669,Productos!$A$2:$A1001,Productos!BI$2:BI1001,"")*$G669,"")</f>
        <v/>
      </c>
      <c r="BQ669" s="179" t="str">
        <f t="array" ref="BQ669">IF($F669&lt;&gt;"",XLOOKUP($F669,Productos!$A:$A,Productos!BJ:BJ,"Revisar"),"")</f>
        <v/>
      </c>
      <c r="BR669" s="179" t="str">
        <f t="array" ref="BR669">IF($F669&lt;&gt;"", XLOOKUP($F669,Productos!$A$2:$A1001,Productos!BK$2:BK1001,"")*$G669,"")</f>
        <v/>
      </c>
      <c r="BS669" s="179" t="str">
        <f t="array" ref="BS669">IF($F669&lt;&gt;"",XLOOKUP($F669,Productos!$A:$A,Productos!BL:BL,"Revisar"),"")</f>
        <v/>
      </c>
      <c r="BT669" s="179" t="str">
        <f t="array" ref="BT669">IF($F669&lt;&gt;"", XLOOKUP($F669,Productos!$A$2:$A1001,Productos!BM$2:BM1001,"")*$G669,"")</f>
        <v/>
      </c>
      <c r="BU669" s="179" t="str">
        <f t="array" ref="BU669">IF($F669&lt;&gt;"",XLOOKUP($F669,Productos!$A:$A,Productos!BN:BN,"Revisar"),"")</f>
        <v/>
      </c>
      <c r="BV669" s="179" t="str">
        <f t="array" ref="BV669">IF($F669&lt;&gt;"", XLOOKUP($F669,Productos!$A$2:$A1001,Productos!BO$2:BO1001,"")*$G669,"")</f>
        <v/>
      </c>
      <c r="BW669" s="179" t="str">
        <f t="array" ref="BW669">IF($F669&lt;&gt;"",XLOOKUP($F669,Productos!$A:$A,Productos!BP:BP,"Revisar"),"")</f>
        <v/>
      </c>
      <c r="BX669" s="179" t="str">
        <f t="array" ref="BX669">IF($F669&lt;&gt;"", XLOOKUP($F669,Productos!$A$2:$A1001,Productos!BQ$2:BQ1001,"")*$G669,"")</f>
        <v/>
      </c>
      <c r="BY669" s="179" t="str">
        <f t="array" ref="BY669">IF($F669&lt;&gt;"",XLOOKUP($F669,Productos!$A:$A,Productos!BR:BR,"Revisar"),"")</f>
        <v/>
      </c>
      <c r="BZ669" s="179" t="str">
        <f t="array" ref="BZ669">IF($F669&lt;&gt;"", XLOOKUP($F669,Productos!$A$2:$A1001,Productos!BS$2:BS1001,"")*$G669,"")</f>
        <v/>
      </c>
    </row>
    <row r="670">
      <c r="A670" s="188"/>
      <c r="B670" s="189"/>
      <c r="C670" s="190"/>
      <c r="D670" s="190"/>
      <c r="E670" s="191"/>
      <c r="F670" s="186"/>
      <c r="G670" s="192"/>
      <c r="H670" s="9"/>
      <c r="I670" s="179" t="str">
        <f t="array" ref="I670">IF($F670&lt;&gt;"",XLOOKUP($F670,Productos!$A:$A,Productos!B:B,"Revisar"),"")</f>
        <v/>
      </c>
      <c r="J670" s="179" t="str">
        <f t="array" ref="J670">IF($F670&lt;&gt;"", XLOOKUP($F670,Productos!$A$2:$A1001,Productos!C$2:C1001,"")*$G670,"")</f>
        <v/>
      </c>
      <c r="K670" s="179" t="str">
        <f t="array" ref="K670">IF($F670&lt;&gt;"",XLOOKUP($F670,Productos!$A:$A,Productos!D:D,"Revisar"),"")</f>
        <v/>
      </c>
      <c r="L670" s="179" t="str">
        <f t="array" ref="L670">IF($F670&lt;&gt;"", XLOOKUP($F670,Productos!$A$2:$A1001,Productos!E$2:E1001,"")*$G670,"")</f>
        <v/>
      </c>
      <c r="M670" s="179" t="str">
        <f t="array" ref="M670">IF($F670&lt;&gt;"",XLOOKUP($F670,Productos!$A:$A,Productos!F:F,"Revisar"),"")</f>
        <v/>
      </c>
      <c r="N670" s="179" t="str">
        <f t="array" ref="N670">IF($F670&lt;&gt;"", XLOOKUP($F670,Productos!$A$2:$A1001,Productos!G$2:G1001,"")*$G670,"")</f>
        <v/>
      </c>
      <c r="O670" s="179" t="str">
        <f t="array" ref="O670">IF($F670&lt;&gt;"",XLOOKUP($F670,Productos!$A:$A,Productos!H:H,"Revisar"),"")</f>
        <v/>
      </c>
      <c r="P670" s="179" t="str">
        <f t="array" ref="P670">IF($F670&lt;&gt;"", XLOOKUP($F670,Productos!$A$2:$A1001,Productos!I$2:I1001,"")*$G670,"")</f>
        <v/>
      </c>
      <c r="Q670" s="179" t="str">
        <f t="array" ref="Q670">IF($F670&lt;&gt;"",XLOOKUP($F670,Productos!$A:$A,Productos!J:J,"Revisar"),"")</f>
        <v/>
      </c>
      <c r="R670" s="179" t="str">
        <f t="array" ref="R670">IF($F670&lt;&gt;"", XLOOKUP($F670,Productos!$A$2:$A1001,Productos!K$2:K1001,"")*$G670,"")</f>
        <v/>
      </c>
      <c r="S670" s="179" t="str">
        <f t="array" ref="S670">IF($F670&lt;&gt;"",XLOOKUP($F670,Productos!$A:$A,Productos!L:L,"Revisar"),"")</f>
        <v/>
      </c>
      <c r="T670" s="179" t="str">
        <f t="array" ref="T670">IF($F670&lt;&gt;"", XLOOKUP($F670,Productos!$A$2:$A1001,Productos!M$2:M1001,"")*$G670,"")</f>
        <v/>
      </c>
      <c r="U670" s="179" t="str">
        <f t="array" ref="U670">IF($F670&lt;&gt;"",XLOOKUP($F670,Productos!$A:$A,Productos!N:N,"Revisar"),"")</f>
        <v/>
      </c>
      <c r="V670" s="179" t="str">
        <f t="array" ref="V670">IF($F670&lt;&gt;"", XLOOKUP($F670,Productos!$A$2:$A1001,Productos!O$2:O1001,"")*$G670,"")</f>
        <v/>
      </c>
      <c r="W670" s="179" t="str">
        <f t="array" ref="W670">IF($F670&lt;&gt;"",XLOOKUP($F670,Productos!$A:$A,Productos!P:P,"Revisar"),"")</f>
        <v/>
      </c>
      <c r="X670" s="179" t="str">
        <f t="array" ref="X670">IF($F670&lt;&gt;"", XLOOKUP($F670,Productos!$A$2:$A1001,Productos!Q$2:Q1001,"")*$G670,"")</f>
        <v/>
      </c>
      <c r="Y670" s="179" t="str">
        <f t="array" ref="Y670">IF($F670&lt;&gt;"",XLOOKUP($F670,Productos!$A:$A,Productos!R:R,"Revisar"),"")</f>
        <v/>
      </c>
      <c r="Z670" s="179" t="str">
        <f t="array" ref="Z670">IF($F670&lt;&gt;"", XLOOKUP($F670,Productos!$A$2:$A1001,Productos!S$2:S1001,"")*$G670,"")</f>
        <v/>
      </c>
      <c r="AA670" s="179" t="str">
        <f t="array" ref="AA670">IF($F670&lt;&gt;"",XLOOKUP($F670,Productos!$A:$A,Productos!T:T,"Revisar"),"")</f>
        <v/>
      </c>
      <c r="AB670" s="179" t="str">
        <f t="array" ref="AB670">IF($F670&lt;&gt;"", XLOOKUP($F670,Productos!$A$2:$A1001,Productos!U$2:U1001,"")*$G670,"")</f>
        <v/>
      </c>
      <c r="AC670" s="179" t="str">
        <f t="array" ref="AC670">IF($F670&lt;&gt;"",XLOOKUP($F670,Productos!$A:$A,Productos!V:V,"Revisar"),"")</f>
        <v/>
      </c>
      <c r="AD670" s="179" t="str">
        <f t="array" ref="AD670">IF($F670&lt;&gt;"", XLOOKUP($F670,Productos!$A$2:$A1001,Productos!W$2:W1001,"")*$G670,"")</f>
        <v/>
      </c>
      <c r="AE670" s="179" t="str">
        <f t="array" ref="AE670">IF($F670&lt;&gt;"",XLOOKUP($F670,Productos!$A:$A,Productos!X:X,"Revisar"),"")</f>
        <v/>
      </c>
      <c r="AF670" s="179" t="str">
        <f t="array" ref="AF670">IF($F670&lt;&gt;"", XLOOKUP($F670,Productos!$A$2:$A1001,Productos!Y$2:Y1001,"")*$G670,"")</f>
        <v/>
      </c>
      <c r="AG670" s="179" t="str">
        <f t="array" ref="AG670">IF($F670&lt;&gt;"",XLOOKUP($F670,Productos!$A:$A,Productos!Z:Z,"Revisar"),"")</f>
        <v/>
      </c>
      <c r="AH670" s="179" t="str">
        <f t="array" ref="AH670">IF($F670&lt;&gt;"", XLOOKUP($F670,Productos!$A$2:$A1001,Productos!AA$2:AA1001,"")*$G670,"")</f>
        <v/>
      </c>
      <c r="AI670" s="179" t="str">
        <f t="array" ref="AI670">IF($F670&lt;&gt;"",XLOOKUP($F670,Productos!$A:$A,Productos!AB:AB,"Revisar"),"")</f>
        <v/>
      </c>
      <c r="AJ670" s="179" t="str">
        <f t="array" ref="AJ670">IF($F670&lt;&gt;"", XLOOKUP($F670,Productos!$A$2:$A1001,Productos!AC$2:AC1001,"")*$G670,"")</f>
        <v/>
      </c>
      <c r="AK670" s="179" t="str">
        <f t="array" ref="AK670">IF($F670&lt;&gt;"",XLOOKUP($F670,Productos!$A:$A,Productos!AD:AD,"Revisar"),"")</f>
        <v/>
      </c>
      <c r="AL670" s="179" t="str">
        <f t="array" ref="AL670">IF($F670&lt;&gt;"", XLOOKUP($F670,Productos!$A$2:$A1001,Productos!AE$2:AE1001,"")*$G670,"")</f>
        <v/>
      </c>
      <c r="AM670" s="179" t="str">
        <f t="array" ref="AM670">IF($F670&lt;&gt;"",XLOOKUP($F670,Productos!$A:$A,Productos!AF:AF,"Revisar"),"")</f>
        <v/>
      </c>
      <c r="AN670" s="179" t="str">
        <f t="array" ref="AN670">IF($F670&lt;&gt;"", XLOOKUP($F670,Productos!$A$2:$A1001,Productos!AG$2:AG1001,"")*$G670,"")</f>
        <v/>
      </c>
      <c r="AO670" s="179" t="str">
        <f t="array" ref="AO670">IF($F670&lt;&gt;"",XLOOKUP($F670,Productos!$A:$A,Productos!AH:AH,"Revisar"),"")</f>
        <v/>
      </c>
      <c r="AP670" s="179" t="str">
        <f t="array" ref="AP670">IF($F670&lt;&gt;"", XLOOKUP($F670,Productos!$A$2:$A1001,Productos!AI$2:AI1001,"")*$G670,"")</f>
        <v/>
      </c>
      <c r="AQ670" s="179" t="str">
        <f t="array" ref="AQ670">IF($F670&lt;&gt;"",XLOOKUP($F670,Productos!$A:$A,Productos!AJ:AJ,"Revisar"),"")</f>
        <v/>
      </c>
      <c r="AR670" s="179" t="str">
        <f t="array" ref="AR670">IF($F670&lt;&gt;"", XLOOKUP($F670,Productos!$A$2:$A1001,Productos!AK$2:AK1001,"")*$G670,"")</f>
        <v/>
      </c>
      <c r="AS670" s="179" t="str">
        <f t="array" ref="AS670">IF($F670&lt;&gt;"",XLOOKUP($F670,Productos!$A:$A,Productos!AL:AL,"Revisar"),"")</f>
        <v/>
      </c>
      <c r="AT670" s="179" t="str">
        <f t="array" ref="AT670">IF($F670&lt;&gt;"", XLOOKUP($F670,Productos!$A$2:$A1001,Productos!AM$2:AM1001,"")*$G670,"")</f>
        <v/>
      </c>
      <c r="AU670" s="179" t="str">
        <f t="array" ref="AU670">IF($F670&lt;&gt;"",XLOOKUP($F670,Productos!$A:$A,Productos!AN:AN,"Revisar"),"")</f>
        <v/>
      </c>
      <c r="AV670" s="179" t="str">
        <f t="array" ref="AV670">IF($F670&lt;&gt;"", XLOOKUP($F670,Productos!$A$2:$A1001,Productos!AO$2:AO1001,"")*$G670,"")</f>
        <v/>
      </c>
      <c r="AW670" s="179" t="str">
        <f t="array" ref="AW670">IF($F670&lt;&gt;"",XLOOKUP($F670,Productos!$A:$A,Productos!AP:AP,"Revisar"),"")</f>
        <v/>
      </c>
      <c r="AX670" s="179" t="str">
        <f t="array" ref="AX670">IF($F670&lt;&gt;"", XLOOKUP($F670,Productos!$A$2:$A1001,Productos!AQ$2:AQ1001,"")*$G670,"")</f>
        <v/>
      </c>
      <c r="AY670" s="179" t="str">
        <f t="array" ref="AY670">IF($F670&lt;&gt;"",XLOOKUP($F670,Productos!$A:$A,Productos!AR:AR,"Revisar"),"")</f>
        <v/>
      </c>
      <c r="AZ670" s="179" t="str">
        <f t="array" ref="AZ670">IF($F670&lt;&gt;"", XLOOKUP($F670,Productos!$A$2:$A1001,Productos!AS$2:AS1001,"")*$G670,"")</f>
        <v/>
      </c>
      <c r="BA670" s="179" t="str">
        <f t="array" ref="BA670">IF($F670&lt;&gt;"",XLOOKUP($F670,Productos!$A:$A,Productos!AT:AT,"Revisar"),"")</f>
        <v/>
      </c>
      <c r="BB670" s="179" t="str">
        <f t="array" ref="BB670">IF($F670&lt;&gt;"", XLOOKUP($F670,Productos!$A$2:$A1001,Productos!AU$2:AU1001,"")*$G670,"")</f>
        <v/>
      </c>
      <c r="BC670" s="179" t="str">
        <f t="array" ref="BC670">IF($F670&lt;&gt;"",XLOOKUP($F670,Productos!$A:$A,Productos!AV:AV,"Revisar"),"")</f>
        <v/>
      </c>
      <c r="BD670" s="179" t="str">
        <f t="array" ref="BD670">IF($F670&lt;&gt;"", XLOOKUP($F670,Productos!$A$2:$A1001,Productos!AW$2:AW1001,"")*$G670,"")</f>
        <v/>
      </c>
      <c r="BE670" s="179" t="str">
        <f t="array" ref="BE670">IF($F670&lt;&gt;"",XLOOKUP($F670,Productos!$A:$A,Productos!AX:AX,"Revisar"),"")</f>
        <v/>
      </c>
      <c r="BF670" s="179" t="str">
        <f t="array" ref="BF670">IF($F670&lt;&gt;"", XLOOKUP($F670,Productos!$A$2:$A1001,Productos!AY$2:AY1001,"")*$G670,"")</f>
        <v/>
      </c>
      <c r="BG670" s="179" t="str">
        <f t="array" ref="BG670">IF($F670&lt;&gt;"",XLOOKUP($F670,Productos!$A:$A,Productos!AZ:AZ,"Revisar"),"")</f>
        <v/>
      </c>
      <c r="BH670" s="179" t="str">
        <f t="array" ref="BH670">IF($F670&lt;&gt;"", XLOOKUP($F670,Productos!$A$2:$A1001,Productos!BA$2:BA1001,"")*$G670,"")</f>
        <v/>
      </c>
      <c r="BI670" s="179" t="str">
        <f t="array" ref="BI670">IF($F670&lt;&gt;"",XLOOKUP($F670,Productos!$A:$A,Productos!BB:BB,"Revisar"),"")</f>
        <v/>
      </c>
      <c r="BJ670" s="179" t="str">
        <f t="array" ref="BJ670">IF($F670&lt;&gt;"", XLOOKUP($F670,Productos!$A$2:$A1001,Productos!BC$2:BC1001,"")*$G670,"")</f>
        <v/>
      </c>
      <c r="BK670" s="179" t="str">
        <f t="array" ref="BK670">IF($F670&lt;&gt;"",XLOOKUP($F670,Productos!$A:$A,Productos!BD:BD,"Revisar"),"")</f>
        <v/>
      </c>
      <c r="BL670" s="179" t="str">
        <f t="array" ref="BL670">IF($F670&lt;&gt;"", XLOOKUP($F670,Productos!$A$2:$A1001,Productos!BE$2:BE1001,"")*$G670,"")</f>
        <v/>
      </c>
      <c r="BM670" s="179" t="str">
        <f t="array" ref="BM670">IF($F670&lt;&gt;"",XLOOKUP($F670,Productos!$A:$A,Productos!BF:BF,"Revisar"),"")</f>
        <v/>
      </c>
      <c r="BN670" s="179" t="str">
        <f t="array" ref="BN670">IF($F670&lt;&gt;"", XLOOKUP($F670,Productos!$A$2:$A1001,Productos!BG$2:BG1001,"")*$G670,"")</f>
        <v/>
      </c>
      <c r="BO670" s="179" t="str">
        <f t="array" ref="BO670">IF($F670&lt;&gt;"",XLOOKUP($F670,Productos!$A:$A,Productos!BH:BH,"Revisar"),"")</f>
        <v/>
      </c>
      <c r="BP670" s="179" t="str">
        <f t="array" ref="BP670">IF($F670&lt;&gt;"", XLOOKUP($F670,Productos!$A$2:$A1001,Productos!BI$2:BI1001,"")*$G670,"")</f>
        <v/>
      </c>
      <c r="BQ670" s="179" t="str">
        <f t="array" ref="BQ670">IF($F670&lt;&gt;"",XLOOKUP($F670,Productos!$A:$A,Productos!BJ:BJ,"Revisar"),"")</f>
        <v/>
      </c>
      <c r="BR670" s="179" t="str">
        <f t="array" ref="BR670">IF($F670&lt;&gt;"", XLOOKUP($F670,Productos!$A$2:$A1001,Productos!BK$2:BK1001,"")*$G670,"")</f>
        <v/>
      </c>
      <c r="BS670" s="179" t="str">
        <f t="array" ref="BS670">IF($F670&lt;&gt;"",XLOOKUP($F670,Productos!$A:$A,Productos!BL:BL,"Revisar"),"")</f>
        <v/>
      </c>
      <c r="BT670" s="179" t="str">
        <f t="array" ref="BT670">IF($F670&lt;&gt;"", XLOOKUP($F670,Productos!$A$2:$A1001,Productos!BM$2:BM1001,"")*$G670,"")</f>
        <v/>
      </c>
      <c r="BU670" s="179" t="str">
        <f t="array" ref="BU670">IF($F670&lt;&gt;"",XLOOKUP($F670,Productos!$A:$A,Productos!BN:BN,"Revisar"),"")</f>
        <v/>
      </c>
      <c r="BV670" s="179" t="str">
        <f t="array" ref="BV670">IF($F670&lt;&gt;"", XLOOKUP($F670,Productos!$A$2:$A1001,Productos!BO$2:BO1001,"")*$G670,"")</f>
        <v/>
      </c>
      <c r="BW670" s="179" t="str">
        <f t="array" ref="BW670">IF($F670&lt;&gt;"",XLOOKUP($F670,Productos!$A:$A,Productos!BP:BP,"Revisar"),"")</f>
        <v/>
      </c>
      <c r="BX670" s="179" t="str">
        <f t="array" ref="BX670">IF($F670&lt;&gt;"", XLOOKUP($F670,Productos!$A$2:$A1001,Productos!BQ$2:BQ1001,"")*$G670,"")</f>
        <v/>
      </c>
      <c r="BY670" s="179" t="str">
        <f t="array" ref="BY670">IF($F670&lt;&gt;"",XLOOKUP($F670,Productos!$A:$A,Productos!BR:BR,"Revisar"),"")</f>
        <v/>
      </c>
      <c r="BZ670" s="179" t="str">
        <f t="array" ref="BZ670">IF($F670&lt;&gt;"", XLOOKUP($F670,Productos!$A$2:$A1001,Productos!BS$2:BS1001,"")*$G670,"")</f>
        <v/>
      </c>
    </row>
    <row r="671">
      <c r="A671" s="188"/>
      <c r="B671" s="189"/>
      <c r="C671" s="190"/>
      <c r="D671" s="190"/>
      <c r="E671" s="191"/>
      <c r="F671" s="186"/>
      <c r="G671" s="192"/>
      <c r="H671" s="9"/>
      <c r="I671" s="179" t="str">
        <f t="array" ref="I671">IF($F671&lt;&gt;"",XLOOKUP($F671,Productos!$A:$A,Productos!B:B,"Revisar"),"")</f>
        <v/>
      </c>
      <c r="J671" s="179" t="str">
        <f t="array" ref="J671">IF($F671&lt;&gt;"", XLOOKUP($F671,Productos!$A$2:$A1001,Productos!C$2:C1001,"")*$G671,"")</f>
        <v/>
      </c>
      <c r="K671" s="179" t="str">
        <f t="array" ref="K671">IF($F671&lt;&gt;"",XLOOKUP($F671,Productos!$A:$A,Productos!D:D,"Revisar"),"")</f>
        <v/>
      </c>
      <c r="L671" s="179" t="str">
        <f t="array" ref="L671">IF($F671&lt;&gt;"", XLOOKUP($F671,Productos!$A$2:$A1001,Productos!E$2:E1001,"")*$G671,"")</f>
        <v/>
      </c>
      <c r="M671" s="179" t="str">
        <f t="array" ref="M671">IF($F671&lt;&gt;"",XLOOKUP($F671,Productos!$A:$A,Productos!F:F,"Revisar"),"")</f>
        <v/>
      </c>
      <c r="N671" s="179" t="str">
        <f t="array" ref="N671">IF($F671&lt;&gt;"", XLOOKUP($F671,Productos!$A$2:$A1001,Productos!G$2:G1001,"")*$G671,"")</f>
        <v/>
      </c>
      <c r="O671" s="179" t="str">
        <f t="array" ref="O671">IF($F671&lt;&gt;"",XLOOKUP($F671,Productos!$A:$A,Productos!H:H,"Revisar"),"")</f>
        <v/>
      </c>
      <c r="P671" s="179" t="str">
        <f t="array" ref="P671">IF($F671&lt;&gt;"", XLOOKUP($F671,Productos!$A$2:$A1001,Productos!I$2:I1001,"")*$G671,"")</f>
        <v/>
      </c>
      <c r="Q671" s="179" t="str">
        <f t="array" ref="Q671">IF($F671&lt;&gt;"",XLOOKUP($F671,Productos!$A:$A,Productos!J:J,"Revisar"),"")</f>
        <v/>
      </c>
      <c r="R671" s="179" t="str">
        <f t="array" ref="R671">IF($F671&lt;&gt;"", XLOOKUP($F671,Productos!$A$2:$A1001,Productos!K$2:K1001,"")*$G671,"")</f>
        <v/>
      </c>
      <c r="S671" s="179" t="str">
        <f t="array" ref="S671">IF($F671&lt;&gt;"",XLOOKUP($F671,Productos!$A:$A,Productos!L:L,"Revisar"),"")</f>
        <v/>
      </c>
      <c r="T671" s="179" t="str">
        <f t="array" ref="T671">IF($F671&lt;&gt;"", XLOOKUP($F671,Productos!$A$2:$A1001,Productos!M$2:M1001,"")*$G671,"")</f>
        <v/>
      </c>
      <c r="U671" s="179" t="str">
        <f t="array" ref="U671">IF($F671&lt;&gt;"",XLOOKUP($F671,Productos!$A:$A,Productos!N:N,"Revisar"),"")</f>
        <v/>
      </c>
      <c r="V671" s="179" t="str">
        <f t="array" ref="V671">IF($F671&lt;&gt;"", XLOOKUP($F671,Productos!$A$2:$A1001,Productos!O$2:O1001,"")*$G671,"")</f>
        <v/>
      </c>
      <c r="W671" s="179" t="str">
        <f t="array" ref="W671">IF($F671&lt;&gt;"",XLOOKUP($F671,Productos!$A:$A,Productos!P:P,"Revisar"),"")</f>
        <v/>
      </c>
      <c r="X671" s="179" t="str">
        <f t="array" ref="X671">IF($F671&lt;&gt;"", XLOOKUP($F671,Productos!$A$2:$A1001,Productos!Q$2:Q1001,"")*$G671,"")</f>
        <v/>
      </c>
      <c r="Y671" s="179" t="str">
        <f t="array" ref="Y671">IF($F671&lt;&gt;"",XLOOKUP($F671,Productos!$A:$A,Productos!R:R,"Revisar"),"")</f>
        <v/>
      </c>
      <c r="Z671" s="179" t="str">
        <f t="array" ref="Z671">IF($F671&lt;&gt;"", XLOOKUP($F671,Productos!$A$2:$A1001,Productos!S$2:S1001,"")*$G671,"")</f>
        <v/>
      </c>
      <c r="AA671" s="179" t="str">
        <f t="array" ref="AA671">IF($F671&lt;&gt;"",XLOOKUP($F671,Productos!$A:$A,Productos!T:T,"Revisar"),"")</f>
        <v/>
      </c>
      <c r="AB671" s="179" t="str">
        <f t="array" ref="AB671">IF($F671&lt;&gt;"", XLOOKUP($F671,Productos!$A$2:$A1001,Productos!U$2:U1001,"")*$G671,"")</f>
        <v/>
      </c>
      <c r="AC671" s="179" t="str">
        <f t="array" ref="AC671">IF($F671&lt;&gt;"",XLOOKUP($F671,Productos!$A:$A,Productos!V:V,"Revisar"),"")</f>
        <v/>
      </c>
      <c r="AD671" s="179" t="str">
        <f t="array" ref="AD671">IF($F671&lt;&gt;"", XLOOKUP($F671,Productos!$A$2:$A1001,Productos!W$2:W1001,"")*$G671,"")</f>
        <v/>
      </c>
      <c r="AE671" s="179" t="str">
        <f t="array" ref="AE671">IF($F671&lt;&gt;"",XLOOKUP($F671,Productos!$A:$A,Productos!X:X,"Revisar"),"")</f>
        <v/>
      </c>
      <c r="AF671" s="179" t="str">
        <f t="array" ref="AF671">IF($F671&lt;&gt;"", XLOOKUP($F671,Productos!$A$2:$A1001,Productos!Y$2:Y1001,"")*$G671,"")</f>
        <v/>
      </c>
      <c r="AG671" s="179" t="str">
        <f t="array" ref="AG671">IF($F671&lt;&gt;"",XLOOKUP($F671,Productos!$A:$A,Productos!Z:Z,"Revisar"),"")</f>
        <v/>
      </c>
      <c r="AH671" s="179" t="str">
        <f t="array" ref="AH671">IF($F671&lt;&gt;"", XLOOKUP($F671,Productos!$A$2:$A1001,Productos!AA$2:AA1001,"")*$G671,"")</f>
        <v/>
      </c>
      <c r="AI671" s="179" t="str">
        <f t="array" ref="AI671">IF($F671&lt;&gt;"",XLOOKUP($F671,Productos!$A:$A,Productos!AB:AB,"Revisar"),"")</f>
        <v/>
      </c>
      <c r="AJ671" s="179" t="str">
        <f t="array" ref="AJ671">IF($F671&lt;&gt;"", XLOOKUP($F671,Productos!$A$2:$A1001,Productos!AC$2:AC1001,"")*$G671,"")</f>
        <v/>
      </c>
      <c r="AK671" s="179" t="str">
        <f t="array" ref="AK671">IF($F671&lt;&gt;"",XLOOKUP($F671,Productos!$A:$A,Productos!AD:AD,"Revisar"),"")</f>
        <v/>
      </c>
      <c r="AL671" s="179" t="str">
        <f t="array" ref="AL671">IF($F671&lt;&gt;"", XLOOKUP($F671,Productos!$A$2:$A1001,Productos!AE$2:AE1001,"")*$G671,"")</f>
        <v/>
      </c>
      <c r="AM671" s="179" t="str">
        <f t="array" ref="AM671">IF($F671&lt;&gt;"",XLOOKUP($F671,Productos!$A:$A,Productos!AF:AF,"Revisar"),"")</f>
        <v/>
      </c>
      <c r="AN671" s="179" t="str">
        <f t="array" ref="AN671">IF($F671&lt;&gt;"", XLOOKUP($F671,Productos!$A$2:$A1001,Productos!AG$2:AG1001,"")*$G671,"")</f>
        <v/>
      </c>
      <c r="AO671" s="179" t="str">
        <f t="array" ref="AO671">IF($F671&lt;&gt;"",XLOOKUP($F671,Productos!$A:$A,Productos!AH:AH,"Revisar"),"")</f>
        <v/>
      </c>
      <c r="AP671" s="179" t="str">
        <f t="array" ref="AP671">IF($F671&lt;&gt;"", XLOOKUP($F671,Productos!$A$2:$A1001,Productos!AI$2:AI1001,"")*$G671,"")</f>
        <v/>
      </c>
      <c r="AQ671" s="179" t="str">
        <f t="array" ref="AQ671">IF($F671&lt;&gt;"",XLOOKUP($F671,Productos!$A:$A,Productos!AJ:AJ,"Revisar"),"")</f>
        <v/>
      </c>
      <c r="AR671" s="179" t="str">
        <f t="array" ref="AR671">IF($F671&lt;&gt;"", XLOOKUP($F671,Productos!$A$2:$A1001,Productos!AK$2:AK1001,"")*$G671,"")</f>
        <v/>
      </c>
      <c r="AS671" s="179" t="str">
        <f t="array" ref="AS671">IF($F671&lt;&gt;"",XLOOKUP($F671,Productos!$A:$A,Productos!AL:AL,"Revisar"),"")</f>
        <v/>
      </c>
      <c r="AT671" s="179" t="str">
        <f t="array" ref="AT671">IF($F671&lt;&gt;"", XLOOKUP($F671,Productos!$A$2:$A1001,Productos!AM$2:AM1001,"")*$G671,"")</f>
        <v/>
      </c>
      <c r="AU671" s="179" t="str">
        <f t="array" ref="AU671">IF($F671&lt;&gt;"",XLOOKUP($F671,Productos!$A:$A,Productos!AN:AN,"Revisar"),"")</f>
        <v/>
      </c>
      <c r="AV671" s="179" t="str">
        <f t="array" ref="AV671">IF($F671&lt;&gt;"", XLOOKUP($F671,Productos!$A$2:$A1001,Productos!AO$2:AO1001,"")*$G671,"")</f>
        <v/>
      </c>
      <c r="AW671" s="179" t="str">
        <f t="array" ref="AW671">IF($F671&lt;&gt;"",XLOOKUP($F671,Productos!$A:$A,Productos!AP:AP,"Revisar"),"")</f>
        <v/>
      </c>
      <c r="AX671" s="179" t="str">
        <f t="array" ref="AX671">IF($F671&lt;&gt;"", XLOOKUP($F671,Productos!$A$2:$A1001,Productos!AQ$2:AQ1001,"")*$G671,"")</f>
        <v/>
      </c>
      <c r="AY671" s="179" t="str">
        <f t="array" ref="AY671">IF($F671&lt;&gt;"",XLOOKUP($F671,Productos!$A:$A,Productos!AR:AR,"Revisar"),"")</f>
        <v/>
      </c>
      <c r="AZ671" s="179" t="str">
        <f t="array" ref="AZ671">IF($F671&lt;&gt;"", XLOOKUP($F671,Productos!$A$2:$A1001,Productos!AS$2:AS1001,"")*$G671,"")</f>
        <v/>
      </c>
      <c r="BA671" s="179" t="str">
        <f t="array" ref="BA671">IF($F671&lt;&gt;"",XLOOKUP($F671,Productos!$A:$A,Productos!AT:AT,"Revisar"),"")</f>
        <v/>
      </c>
      <c r="BB671" s="179" t="str">
        <f t="array" ref="BB671">IF($F671&lt;&gt;"", XLOOKUP($F671,Productos!$A$2:$A1001,Productos!AU$2:AU1001,"")*$G671,"")</f>
        <v/>
      </c>
      <c r="BC671" s="179" t="str">
        <f t="array" ref="BC671">IF($F671&lt;&gt;"",XLOOKUP($F671,Productos!$A:$A,Productos!AV:AV,"Revisar"),"")</f>
        <v/>
      </c>
      <c r="BD671" s="179" t="str">
        <f t="array" ref="BD671">IF($F671&lt;&gt;"", XLOOKUP($F671,Productos!$A$2:$A1001,Productos!AW$2:AW1001,"")*$G671,"")</f>
        <v/>
      </c>
      <c r="BE671" s="179" t="str">
        <f t="array" ref="BE671">IF($F671&lt;&gt;"",XLOOKUP($F671,Productos!$A:$A,Productos!AX:AX,"Revisar"),"")</f>
        <v/>
      </c>
      <c r="BF671" s="179" t="str">
        <f t="array" ref="BF671">IF($F671&lt;&gt;"", XLOOKUP($F671,Productos!$A$2:$A1001,Productos!AY$2:AY1001,"")*$G671,"")</f>
        <v/>
      </c>
      <c r="BG671" s="179" t="str">
        <f t="array" ref="BG671">IF($F671&lt;&gt;"",XLOOKUP($F671,Productos!$A:$A,Productos!AZ:AZ,"Revisar"),"")</f>
        <v/>
      </c>
      <c r="BH671" s="179" t="str">
        <f t="array" ref="BH671">IF($F671&lt;&gt;"", XLOOKUP($F671,Productos!$A$2:$A1001,Productos!BA$2:BA1001,"")*$G671,"")</f>
        <v/>
      </c>
      <c r="BI671" s="179" t="str">
        <f t="array" ref="BI671">IF($F671&lt;&gt;"",XLOOKUP($F671,Productos!$A:$A,Productos!BB:BB,"Revisar"),"")</f>
        <v/>
      </c>
      <c r="BJ671" s="179" t="str">
        <f t="array" ref="BJ671">IF($F671&lt;&gt;"", XLOOKUP($F671,Productos!$A$2:$A1001,Productos!BC$2:BC1001,"")*$G671,"")</f>
        <v/>
      </c>
      <c r="BK671" s="179" t="str">
        <f t="array" ref="BK671">IF($F671&lt;&gt;"",XLOOKUP($F671,Productos!$A:$A,Productos!BD:BD,"Revisar"),"")</f>
        <v/>
      </c>
      <c r="BL671" s="179" t="str">
        <f t="array" ref="BL671">IF($F671&lt;&gt;"", XLOOKUP($F671,Productos!$A$2:$A1001,Productos!BE$2:BE1001,"")*$G671,"")</f>
        <v/>
      </c>
      <c r="BM671" s="179" t="str">
        <f t="array" ref="BM671">IF($F671&lt;&gt;"",XLOOKUP($F671,Productos!$A:$A,Productos!BF:BF,"Revisar"),"")</f>
        <v/>
      </c>
      <c r="BN671" s="179" t="str">
        <f t="array" ref="BN671">IF($F671&lt;&gt;"", XLOOKUP($F671,Productos!$A$2:$A1001,Productos!BG$2:BG1001,"")*$G671,"")</f>
        <v/>
      </c>
      <c r="BO671" s="179" t="str">
        <f t="array" ref="BO671">IF($F671&lt;&gt;"",XLOOKUP($F671,Productos!$A:$A,Productos!BH:BH,"Revisar"),"")</f>
        <v/>
      </c>
      <c r="BP671" s="179" t="str">
        <f t="array" ref="BP671">IF($F671&lt;&gt;"", XLOOKUP($F671,Productos!$A$2:$A1001,Productos!BI$2:BI1001,"")*$G671,"")</f>
        <v/>
      </c>
      <c r="BQ671" s="179" t="str">
        <f t="array" ref="BQ671">IF($F671&lt;&gt;"",XLOOKUP($F671,Productos!$A:$A,Productos!BJ:BJ,"Revisar"),"")</f>
        <v/>
      </c>
      <c r="BR671" s="179" t="str">
        <f t="array" ref="BR671">IF($F671&lt;&gt;"", XLOOKUP($F671,Productos!$A$2:$A1001,Productos!BK$2:BK1001,"")*$G671,"")</f>
        <v/>
      </c>
      <c r="BS671" s="179" t="str">
        <f t="array" ref="BS671">IF($F671&lt;&gt;"",XLOOKUP($F671,Productos!$A:$A,Productos!BL:BL,"Revisar"),"")</f>
        <v/>
      </c>
      <c r="BT671" s="179" t="str">
        <f t="array" ref="BT671">IF($F671&lt;&gt;"", XLOOKUP($F671,Productos!$A$2:$A1001,Productos!BM$2:BM1001,"")*$G671,"")</f>
        <v/>
      </c>
      <c r="BU671" s="179" t="str">
        <f t="array" ref="BU671">IF($F671&lt;&gt;"",XLOOKUP($F671,Productos!$A:$A,Productos!BN:BN,"Revisar"),"")</f>
        <v/>
      </c>
      <c r="BV671" s="179" t="str">
        <f t="array" ref="BV671">IF($F671&lt;&gt;"", XLOOKUP($F671,Productos!$A$2:$A1001,Productos!BO$2:BO1001,"")*$G671,"")</f>
        <v/>
      </c>
      <c r="BW671" s="179" t="str">
        <f t="array" ref="BW671">IF($F671&lt;&gt;"",XLOOKUP($F671,Productos!$A:$A,Productos!BP:BP,"Revisar"),"")</f>
        <v/>
      </c>
      <c r="BX671" s="179" t="str">
        <f t="array" ref="BX671">IF($F671&lt;&gt;"", XLOOKUP($F671,Productos!$A$2:$A1001,Productos!BQ$2:BQ1001,"")*$G671,"")</f>
        <v/>
      </c>
      <c r="BY671" s="179" t="str">
        <f t="array" ref="BY671">IF($F671&lt;&gt;"",XLOOKUP($F671,Productos!$A:$A,Productos!BR:BR,"Revisar"),"")</f>
        <v/>
      </c>
      <c r="BZ671" s="179" t="str">
        <f t="array" ref="BZ671">IF($F671&lt;&gt;"", XLOOKUP($F671,Productos!$A$2:$A1001,Productos!BS$2:BS1001,"")*$G671,"")</f>
        <v/>
      </c>
    </row>
    <row r="672">
      <c r="A672" s="188"/>
      <c r="B672" s="189"/>
      <c r="C672" s="190"/>
      <c r="D672" s="190"/>
      <c r="E672" s="191"/>
      <c r="F672" s="186"/>
      <c r="G672" s="192"/>
      <c r="H672" s="9"/>
      <c r="I672" s="179" t="str">
        <f t="array" ref="I672">IF($F672&lt;&gt;"",XLOOKUP($F672,Productos!$A:$A,Productos!B:B,"Revisar"),"")</f>
        <v/>
      </c>
      <c r="J672" s="179" t="str">
        <f t="array" ref="J672">IF($F672&lt;&gt;"", XLOOKUP($F672,Productos!$A$2:$A1001,Productos!C$2:C1001,"")*$G672,"")</f>
        <v/>
      </c>
      <c r="K672" s="179" t="str">
        <f t="array" ref="K672">IF($F672&lt;&gt;"",XLOOKUP($F672,Productos!$A:$A,Productos!D:D,"Revisar"),"")</f>
        <v/>
      </c>
      <c r="L672" s="179" t="str">
        <f t="array" ref="L672">IF($F672&lt;&gt;"", XLOOKUP($F672,Productos!$A$2:$A1001,Productos!E$2:E1001,"")*$G672,"")</f>
        <v/>
      </c>
      <c r="M672" s="179" t="str">
        <f t="array" ref="M672">IF($F672&lt;&gt;"",XLOOKUP($F672,Productos!$A:$A,Productos!F:F,"Revisar"),"")</f>
        <v/>
      </c>
      <c r="N672" s="179" t="str">
        <f t="array" ref="N672">IF($F672&lt;&gt;"", XLOOKUP($F672,Productos!$A$2:$A1001,Productos!G$2:G1001,"")*$G672,"")</f>
        <v/>
      </c>
      <c r="O672" s="179" t="str">
        <f t="array" ref="O672">IF($F672&lt;&gt;"",XLOOKUP($F672,Productos!$A:$A,Productos!H:H,"Revisar"),"")</f>
        <v/>
      </c>
      <c r="P672" s="179" t="str">
        <f t="array" ref="P672">IF($F672&lt;&gt;"", XLOOKUP($F672,Productos!$A$2:$A1001,Productos!I$2:I1001,"")*$G672,"")</f>
        <v/>
      </c>
      <c r="Q672" s="179" t="str">
        <f t="array" ref="Q672">IF($F672&lt;&gt;"",XLOOKUP($F672,Productos!$A:$A,Productos!J:J,"Revisar"),"")</f>
        <v/>
      </c>
      <c r="R672" s="179" t="str">
        <f t="array" ref="R672">IF($F672&lt;&gt;"", XLOOKUP($F672,Productos!$A$2:$A1001,Productos!K$2:K1001,"")*$G672,"")</f>
        <v/>
      </c>
      <c r="S672" s="179" t="str">
        <f t="array" ref="S672">IF($F672&lt;&gt;"",XLOOKUP($F672,Productos!$A:$A,Productos!L:L,"Revisar"),"")</f>
        <v/>
      </c>
      <c r="T672" s="179" t="str">
        <f t="array" ref="T672">IF($F672&lt;&gt;"", XLOOKUP($F672,Productos!$A$2:$A1001,Productos!M$2:M1001,"")*$G672,"")</f>
        <v/>
      </c>
      <c r="U672" s="179" t="str">
        <f t="array" ref="U672">IF($F672&lt;&gt;"",XLOOKUP($F672,Productos!$A:$A,Productos!N:N,"Revisar"),"")</f>
        <v/>
      </c>
      <c r="V672" s="179" t="str">
        <f t="array" ref="V672">IF($F672&lt;&gt;"", XLOOKUP($F672,Productos!$A$2:$A1001,Productos!O$2:O1001,"")*$G672,"")</f>
        <v/>
      </c>
      <c r="W672" s="179" t="str">
        <f t="array" ref="W672">IF($F672&lt;&gt;"",XLOOKUP($F672,Productos!$A:$A,Productos!P:P,"Revisar"),"")</f>
        <v/>
      </c>
      <c r="X672" s="179" t="str">
        <f t="array" ref="X672">IF($F672&lt;&gt;"", XLOOKUP($F672,Productos!$A$2:$A1001,Productos!Q$2:Q1001,"")*$G672,"")</f>
        <v/>
      </c>
      <c r="Y672" s="179" t="str">
        <f t="array" ref="Y672">IF($F672&lt;&gt;"",XLOOKUP($F672,Productos!$A:$A,Productos!R:R,"Revisar"),"")</f>
        <v/>
      </c>
      <c r="Z672" s="179" t="str">
        <f t="array" ref="Z672">IF($F672&lt;&gt;"", XLOOKUP($F672,Productos!$A$2:$A1001,Productos!S$2:S1001,"")*$G672,"")</f>
        <v/>
      </c>
      <c r="AA672" s="179" t="str">
        <f t="array" ref="AA672">IF($F672&lt;&gt;"",XLOOKUP($F672,Productos!$A:$A,Productos!T:T,"Revisar"),"")</f>
        <v/>
      </c>
      <c r="AB672" s="179" t="str">
        <f t="array" ref="AB672">IF($F672&lt;&gt;"", XLOOKUP($F672,Productos!$A$2:$A1001,Productos!U$2:U1001,"")*$G672,"")</f>
        <v/>
      </c>
      <c r="AC672" s="179" t="str">
        <f t="array" ref="AC672">IF($F672&lt;&gt;"",XLOOKUP($F672,Productos!$A:$A,Productos!V:V,"Revisar"),"")</f>
        <v/>
      </c>
      <c r="AD672" s="179" t="str">
        <f t="array" ref="AD672">IF($F672&lt;&gt;"", XLOOKUP($F672,Productos!$A$2:$A1001,Productos!W$2:W1001,"")*$G672,"")</f>
        <v/>
      </c>
      <c r="AE672" s="179" t="str">
        <f t="array" ref="AE672">IF($F672&lt;&gt;"",XLOOKUP($F672,Productos!$A:$A,Productos!X:X,"Revisar"),"")</f>
        <v/>
      </c>
      <c r="AF672" s="179" t="str">
        <f t="array" ref="AF672">IF($F672&lt;&gt;"", XLOOKUP($F672,Productos!$A$2:$A1001,Productos!Y$2:Y1001,"")*$G672,"")</f>
        <v/>
      </c>
      <c r="AG672" s="179" t="str">
        <f t="array" ref="AG672">IF($F672&lt;&gt;"",XLOOKUP($F672,Productos!$A:$A,Productos!Z:Z,"Revisar"),"")</f>
        <v/>
      </c>
      <c r="AH672" s="179" t="str">
        <f t="array" ref="AH672">IF($F672&lt;&gt;"", XLOOKUP($F672,Productos!$A$2:$A1001,Productos!AA$2:AA1001,"")*$G672,"")</f>
        <v/>
      </c>
      <c r="AI672" s="179" t="str">
        <f t="array" ref="AI672">IF($F672&lt;&gt;"",XLOOKUP($F672,Productos!$A:$A,Productos!AB:AB,"Revisar"),"")</f>
        <v/>
      </c>
      <c r="AJ672" s="179" t="str">
        <f t="array" ref="AJ672">IF($F672&lt;&gt;"", XLOOKUP($F672,Productos!$A$2:$A1001,Productos!AC$2:AC1001,"")*$G672,"")</f>
        <v/>
      </c>
      <c r="AK672" s="179" t="str">
        <f t="array" ref="AK672">IF($F672&lt;&gt;"",XLOOKUP($F672,Productos!$A:$A,Productos!AD:AD,"Revisar"),"")</f>
        <v/>
      </c>
      <c r="AL672" s="179" t="str">
        <f t="array" ref="AL672">IF($F672&lt;&gt;"", XLOOKUP($F672,Productos!$A$2:$A1001,Productos!AE$2:AE1001,"")*$G672,"")</f>
        <v/>
      </c>
      <c r="AM672" s="179" t="str">
        <f t="array" ref="AM672">IF($F672&lt;&gt;"",XLOOKUP($F672,Productos!$A:$A,Productos!AF:AF,"Revisar"),"")</f>
        <v/>
      </c>
      <c r="AN672" s="179" t="str">
        <f t="array" ref="AN672">IF($F672&lt;&gt;"", XLOOKUP($F672,Productos!$A$2:$A1001,Productos!AG$2:AG1001,"")*$G672,"")</f>
        <v/>
      </c>
      <c r="AO672" s="179" t="str">
        <f t="array" ref="AO672">IF($F672&lt;&gt;"",XLOOKUP($F672,Productos!$A:$A,Productos!AH:AH,"Revisar"),"")</f>
        <v/>
      </c>
      <c r="AP672" s="179" t="str">
        <f t="array" ref="AP672">IF($F672&lt;&gt;"", XLOOKUP($F672,Productos!$A$2:$A1001,Productos!AI$2:AI1001,"")*$G672,"")</f>
        <v/>
      </c>
      <c r="AQ672" s="179" t="str">
        <f t="array" ref="AQ672">IF($F672&lt;&gt;"",XLOOKUP($F672,Productos!$A:$A,Productos!AJ:AJ,"Revisar"),"")</f>
        <v/>
      </c>
      <c r="AR672" s="179" t="str">
        <f t="array" ref="AR672">IF($F672&lt;&gt;"", XLOOKUP($F672,Productos!$A$2:$A1001,Productos!AK$2:AK1001,"")*$G672,"")</f>
        <v/>
      </c>
      <c r="AS672" s="179" t="str">
        <f t="array" ref="AS672">IF($F672&lt;&gt;"",XLOOKUP($F672,Productos!$A:$A,Productos!AL:AL,"Revisar"),"")</f>
        <v/>
      </c>
      <c r="AT672" s="179" t="str">
        <f t="array" ref="AT672">IF($F672&lt;&gt;"", XLOOKUP($F672,Productos!$A$2:$A1001,Productos!AM$2:AM1001,"")*$G672,"")</f>
        <v/>
      </c>
      <c r="AU672" s="179" t="str">
        <f t="array" ref="AU672">IF($F672&lt;&gt;"",XLOOKUP($F672,Productos!$A:$A,Productos!AN:AN,"Revisar"),"")</f>
        <v/>
      </c>
      <c r="AV672" s="179" t="str">
        <f t="array" ref="AV672">IF($F672&lt;&gt;"", XLOOKUP($F672,Productos!$A$2:$A1001,Productos!AO$2:AO1001,"")*$G672,"")</f>
        <v/>
      </c>
      <c r="AW672" s="179" t="str">
        <f t="array" ref="AW672">IF($F672&lt;&gt;"",XLOOKUP($F672,Productos!$A:$A,Productos!AP:AP,"Revisar"),"")</f>
        <v/>
      </c>
      <c r="AX672" s="179" t="str">
        <f t="array" ref="AX672">IF($F672&lt;&gt;"", XLOOKUP($F672,Productos!$A$2:$A1001,Productos!AQ$2:AQ1001,"")*$G672,"")</f>
        <v/>
      </c>
      <c r="AY672" s="179" t="str">
        <f t="array" ref="AY672">IF($F672&lt;&gt;"",XLOOKUP($F672,Productos!$A:$A,Productos!AR:AR,"Revisar"),"")</f>
        <v/>
      </c>
      <c r="AZ672" s="179" t="str">
        <f t="array" ref="AZ672">IF($F672&lt;&gt;"", XLOOKUP($F672,Productos!$A$2:$A1001,Productos!AS$2:AS1001,"")*$G672,"")</f>
        <v/>
      </c>
      <c r="BA672" s="179" t="str">
        <f t="array" ref="BA672">IF($F672&lt;&gt;"",XLOOKUP($F672,Productos!$A:$A,Productos!AT:AT,"Revisar"),"")</f>
        <v/>
      </c>
      <c r="BB672" s="179" t="str">
        <f t="array" ref="BB672">IF($F672&lt;&gt;"", XLOOKUP($F672,Productos!$A$2:$A1001,Productos!AU$2:AU1001,"")*$G672,"")</f>
        <v/>
      </c>
      <c r="BC672" s="179" t="str">
        <f t="array" ref="BC672">IF($F672&lt;&gt;"",XLOOKUP($F672,Productos!$A:$A,Productos!AV:AV,"Revisar"),"")</f>
        <v/>
      </c>
      <c r="BD672" s="179" t="str">
        <f t="array" ref="BD672">IF($F672&lt;&gt;"", XLOOKUP($F672,Productos!$A$2:$A1001,Productos!AW$2:AW1001,"")*$G672,"")</f>
        <v/>
      </c>
      <c r="BE672" s="179" t="str">
        <f t="array" ref="BE672">IF($F672&lt;&gt;"",XLOOKUP($F672,Productos!$A:$A,Productos!AX:AX,"Revisar"),"")</f>
        <v/>
      </c>
      <c r="BF672" s="179" t="str">
        <f t="array" ref="BF672">IF($F672&lt;&gt;"", XLOOKUP($F672,Productos!$A$2:$A1001,Productos!AY$2:AY1001,"")*$G672,"")</f>
        <v/>
      </c>
      <c r="BG672" s="179" t="str">
        <f t="array" ref="BG672">IF($F672&lt;&gt;"",XLOOKUP($F672,Productos!$A:$A,Productos!AZ:AZ,"Revisar"),"")</f>
        <v/>
      </c>
      <c r="BH672" s="179" t="str">
        <f t="array" ref="BH672">IF($F672&lt;&gt;"", XLOOKUP($F672,Productos!$A$2:$A1001,Productos!BA$2:BA1001,"")*$G672,"")</f>
        <v/>
      </c>
      <c r="BI672" s="179" t="str">
        <f t="array" ref="BI672">IF($F672&lt;&gt;"",XLOOKUP($F672,Productos!$A:$A,Productos!BB:BB,"Revisar"),"")</f>
        <v/>
      </c>
      <c r="BJ672" s="179" t="str">
        <f t="array" ref="BJ672">IF($F672&lt;&gt;"", XLOOKUP($F672,Productos!$A$2:$A1001,Productos!BC$2:BC1001,"")*$G672,"")</f>
        <v/>
      </c>
      <c r="BK672" s="179" t="str">
        <f t="array" ref="BK672">IF($F672&lt;&gt;"",XLOOKUP($F672,Productos!$A:$A,Productos!BD:BD,"Revisar"),"")</f>
        <v/>
      </c>
      <c r="BL672" s="179" t="str">
        <f t="array" ref="BL672">IF($F672&lt;&gt;"", XLOOKUP($F672,Productos!$A$2:$A1001,Productos!BE$2:BE1001,"")*$G672,"")</f>
        <v/>
      </c>
      <c r="BM672" s="179" t="str">
        <f t="array" ref="BM672">IF($F672&lt;&gt;"",XLOOKUP($F672,Productos!$A:$A,Productos!BF:BF,"Revisar"),"")</f>
        <v/>
      </c>
      <c r="BN672" s="179" t="str">
        <f t="array" ref="BN672">IF($F672&lt;&gt;"", XLOOKUP($F672,Productos!$A$2:$A1001,Productos!BG$2:BG1001,"")*$G672,"")</f>
        <v/>
      </c>
      <c r="BO672" s="179" t="str">
        <f t="array" ref="BO672">IF($F672&lt;&gt;"",XLOOKUP($F672,Productos!$A:$A,Productos!BH:BH,"Revisar"),"")</f>
        <v/>
      </c>
      <c r="BP672" s="179" t="str">
        <f t="array" ref="BP672">IF($F672&lt;&gt;"", XLOOKUP($F672,Productos!$A$2:$A1001,Productos!BI$2:BI1001,"")*$G672,"")</f>
        <v/>
      </c>
      <c r="BQ672" s="179" t="str">
        <f t="array" ref="BQ672">IF($F672&lt;&gt;"",XLOOKUP($F672,Productos!$A:$A,Productos!BJ:BJ,"Revisar"),"")</f>
        <v/>
      </c>
      <c r="BR672" s="179" t="str">
        <f t="array" ref="BR672">IF($F672&lt;&gt;"", XLOOKUP($F672,Productos!$A$2:$A1001,Productos!BK$2:BK1001,"")*$G672,"")</f>
        <v/>
      </c>
      <c r="BS672" s="179" t="str">
        <f t="array" ref="BS672">IF($F672&lt;&gt;"",XLOOKUP($F672,Productos!$A:$A,Productos!BL:BL,"Revisar"),"")</f>
        <v/>
      </c>
      <c r="BT672" s="179" t="str">
        <f t="array" ref="BT672">IF($F672&lt;&gt;"", XLOOKUP($F672,Productos!$A$2:$A1001,Productos!BM$2:BM1001,"")*$G672,"")</f>
        <v/>
      </c>
      <c r="BU672" s="179" t="str">
        <f t="array" ref="BU672">IF($F672&lt;&gt;"",XLOOKUP($F672,Productos!$A:$A,Productos!BN:BN,"Revisar"),"")</f>
        <v/>
      </c>
      <c r="BV672" s="179" t="str">
        <f t="array" ref="BV672">IF($F672&lt;&gt;"", XLOOKUP($F672,Productos!$A$2:$A1001,Productos!BO$2:BO1001,"")*$G672,"")</f>
        <v/>
      </c>
      <c r="BW672" s="179" t="str">
        <f t="array" ref="BW672">IF($F672&lt;&gt;"",XLOOKUP($F672,Productos!$A:$A,Productos!BP:BP,"Revisar"),"")</f>
        <v/>
      </c>
      <c r="BX672" s="179" t="str">
        <f t="array" ref="BX672">IF($F672&lt;&gt;"", XLOOKUP($F672,Productos!$A$2:$A1001,Productos!BQ$2:BQ1001,"")*$G672,"")</f>
        <v/>
      </c>
      <c r="BY672" s="179" t="str">
        <f t="array" ref="BY672">IF($F672&lt;&gt;"",XLOOKUP($F672,Productos!$A:$A,Productos!BR:BR,"Revisar"),"")</f>
        <v/>
      </c>
      <c r="BZ672" s="179" t="str">
        <f t="array" ref="BZ672">IF($F672&lt;&gt;"", XLOOKUP($F672,Productos!$A$2:$A1001,Productos!BS$2:BS1001,"")*$G672,"")</f>
        <v/>
      </c>
    </row>
    <row r="673">
      <c r="A673" s="188"/>
      <c r="B673" s="189"/>
      <c r="C673" s="190"/>
      <c r="D673" s="190"/>
      <c r="E673" s="191"/>
      <c r="F673" s="186"/>
      <c r="G673" s="192"/>
      <c r="H673" s="9"/>
      <c r="I673" s="179" t="str">
        <f t="array" ref="I673">IF($F673&lt;&gt;"",XLOOKUP($F673,Productos!$A:$A,Productos!B:B,"Revisar"),"")</f>
        <v/>
      </c>
      <c r="J673" s="179" t="str">
        <f t="array" ref="J673">IF($F673&lt;&gt;"", XLOOKUP($F673,Productos!$A$2:$A1001,Productos!C$2:C1001,"")*$G673,"")</f>
        <v/>
      </c>
      <c r="K673" s="179" t="str">
        <f t="array" ref="K673">IF($F673&lt;&gt;"",XLOOKUP($F673,Productos!$A:$A,Productos!D:D,"Revisar"),"")</f>
        <v/>
      </c>
      <c r="L673" s="179" t="str">
        <f t="array" ref="L673">IF($F673&lt;&gt;"", XLOOKUP($F673,Productos!$A$2:$A1001,Productos!E$2:E1001,"")*$G673,"")</f>
        <v/>
      </c>
      <c r="M673" s="179" t="str">
        <f t="array" ref="M673">IF($F673&lt;&gt;"",XLOOKUP($F673,Productos!$A:$A,Productos!F:F,"Revisar"),"")</f>
        <v/>
      </c>
      <c r="N673" s="179" t="str">
        <f t="array" ref="N673">IF($F673&lt;&gt;"", XLOOKUP($F673,Productos!$A$2:$A1001,Productos!G$2:G1001,"")*$G673,"")</f>
        <v/>
      </c>
      <c r="O673" s="179" t="str">
        <f t="array" ref="O673">IF($F673&lt;&gt;"",XLOOKUP($F673,Productos!$A:$A,Productos!H:H,"Revisar"),"")</f>
        <v/>
      </c>
      <c r="P673" s="179" t="str">
        <f t="array" ref="P673">IF($F673&lt;&gt;"", XLOOKUP($F673,Productos!$A$2:$A1001,Productos!I$2:I1001,"")*$G673,"")</f>
        <v/>
      </c>
      <c r="Q673" s="179" t="str">
        <f t="array" ref="Q673">IF($F673&lt;&gt;"",XLOOKUP($F673,Productos!$A:$A,Productos!J:J,"Revisar"),"")</f>
        <v/>
      </c>
      <c r="R673" s="179" t="str">
        <f t="array" ref="R673">IF($F673&lt;&gt;"", XLOOKUP($F673,Productos!$A$2:$A1001,Productos!K$2:K1001,"")*$G673,"")</f>
        <v/>
      </c>
      <c r="S673" s="179" t="str">
        <f t="array" ref="S673">IF($F673&lt;&gt;"",XLOOKUP($F673,Productos!$A:$A,Productos!L:L,"Revisar"),"")</f>
        <v/>
      </c>
      <c r="T673" s="179" t="str">
        <f t="array" ref="T673">IF($F673&lt;&gt;"", XLOOKUP($F673,Productos!$A$2:$A1001,Productos!M$2:M1001,"")*$G673,"")</f>
        <v/>
      </c>
      <c r="U673" s="179" t="str">
        <f t="array" ref="U673">IF($F673&lt;&gt;"",XLOOKUP($F673,Productos!$A:$A,Productos!N:N,"Revisar"),"")</f>
        <v/>
      </c>
      <c r="V673" s="179" t="str">
        <f t="array" ref="V673">IF($F673&lt;&gt;"", XLOOKUP($F673,Productos!$A$2:$A1001,Productos!O$2:O1001,"")*$G673,"")</f>
        <v/>
      </c>
      <c r="W673" s="179" t="str">
        <f t="array" ref="W673">IF($F673&lt;&gt;"",XLOOKUP($F673,Productos!$A:$A,Productos!P:P,"Revisar"),"")</f>
        <v/>
      </c>
      <c r="X673" s="179" t="str">
        <f t="array" ref="X673">IF($F673&lt;&gt;"", XLOOKUP($F673,Productos!$A$2:$A1001,Productos!Q$2:Q1001,"")*$G673,"")</f>
        <v/>
      </c>
      <c r="Y673" s="179" t="str">
        <f t="array" ref="Y673">IF($F673&lt;&gt;"",XLOOKUP($F673,Productos!$A:$A,Productos!R:R,"Revisar"),"")</f>
        <v/>
      </c>
      <c r="Z673" s="179" t="str">
        <f t="array" ref="Z673">IF($F673&lt;&gt;"", XLOOKUP($F673,Productos!$A$2:$A1001,Productos!S$2:S1001,"")*$G673,"")</f>
        <v/>
      </c>
      <c r="AA673" s="179" t="str">
        <f t="array" ref="AA673">IF($F673&lt;&gt;"",XLOOKUP($F673,Productos!$A:$A,Productos!T:T,"Revisar"),"")</f>
        <v/>
      </c>
      <c r="AB673" s="179" t="str">
        <f t="array" ref="AB673">IF($F673&lt;&gt;"", XLOOKUP($F673,Productos!$A$2:$A1001,Productos!U$2:U1001,"")*$G673,"")</f>
        <v/>
      </c>
      <c r="AC673" s="179" t="str">
        <f t="array" ref="AC673">IF($F673&lt;&gt;"",XLOOKUP($F673,Productos!$A:$A,Productos!V:V,"Revisar"),"")</f>
        <v/>
      </c>
      <c r="AD673" s="179" t="str">
        <f t="array" ref="AD673">IF($F673&lt;&gt;"", XLOOKUP($F673,Productos!$A$2:$A1001,Productos!W$2:W1001,"")*$G673,"")</f>
        <v/>
      </c>
      <c r="AE673" s="179" t="str">
        <f t="array" ref="AE673">IF($F673&lt;&gt;"",XLOOKUP($F673,Productos!$A:$A,Productos!X:X,"Revisar"),"")</f>
        <v/>
      </c>
      <c r="AF673" s="179" t="str">
        <f t="array" ref="AF673">IF($F673&lt;&gt;"", XLOOKUP($F673,Productos!$A$2:$A1001,Productos!Y$2:Y1001,"")*$G673,"")</f>
        <v/>
      </c>
      <c r="AG673" s="179" t="str">
        <f t="array" ref="AG673">IF($F673&lt;&gt;"",XLOOKUP($F673,Productos!$A:$A,Productos!Z:Z,"Revisar"),"")</f>
        <v/>
      </c>
      <c r="AH673" s="179" t="str">
        <f t="array" ref="AH673">IF($F673&lt;&gt;"", XLOOKUP($F673,Productos!$A$2:$A1001,Productos!AA$2:AA1001,"")*$G673,"")</f>
        <v/>
      </c>
      <c r="AI673" s="179" t="str">
        <f t="array" ref="AI673">IF($F673&lt;&gt;"",XLOOKUP($F673,Productos!$A:$A,Productos!AB:AB,"Revisar"),"")</f>
        <v/>
      </c>
      <c r="AJ673" s="179" t="str">
        <f t="array" ref="AJ673">IF($F673&lt;&gt;"", XLOOKUP($F673,Productos!$A$2:$A1001,Productos!AC$2:AC1001,"")*$G673,"")</f>
        <v/>
      </c>
      <c r="AK673" s="179" t="str">
        <f t="array" ref="AK673">IF($F673&lt;&gt;"",XLOOKUP($F673,Productos!$A:$A,Productos!AD:AD,"Revisar"),"")</f>
        <v/>
      </c>
      <c r="AL673" s="179" t="str">
        <f t="array" ref="AL673">IF($F673&lt;&gt;"", XLOOKUP($F673,Productos!$A$2:$A1001,Productos!AE$2:AE1001,"")*$G673,"")</f>
        <v/>
      </c>
      <c r="AM673" s="179" t="str">
        <f t="array" ref="AM673">IF($F673&lt;&gt;"",XLOOKUP($F673,Productos!$A:$A,Productos!AF:AF,"Revisar"),"")</f>
        <v/>
      </c>
      <c r="AN673" s="179" t="str">
        <f t="array" ref="AN673">IF($F673&lt;&gt;"", XLOOKUP($F673,Productos!$A$2:$A1001,Productos!AG$2:AG1001,"")*$G673,"")</f>
        <v/>
      </c>
      <c r="AO673" s="179" t="str">
        <f t="array" ref="AO673">IF($F673&lt;&gt;"",XLOOKUP($F673,Productos!$A:$A,Productos!AH:AH,"Revisar"),"")</f>
        <v/>
      </c>
      <c r="AP673" s="179" t="str">
        <f t="array" ref="AP673">IF($F673&lt;&gt;"", XLOOKUP($F673,Productos!$A$2:$A1001,Productos!AI$2:AI1001,"")*$G673,"")</f>
        <v/>
      </c>
      <c r="AQ673" s="179" t="str">
        <f t="array" ref="AQ673">IF($F673&lt;&gt;"",XLOOKUP($F673,Productos!$A:$A,Productos!AJ:AJ,"Revisar"),"")</f>
        <v/>
      </c>
      <c r="AR673" s="179" t="str">
        <f t="array" ref="AR673">IF($F673&lt;&gt;"", XLOOKUP($F673,Productos!$A$2:$A1001,Productos!AK$2:AK1001,"")*$G673,"")</f>
        <v/>
      </c>
      <c r="AS673" s="179" t="str">
        <f t="array" ref="AS673">IF($F673&lt;&gt;"",XLOOKUP($F673,Productos!$A:$A,Productos!AL:AL,"Revisar"),"")</f>
        <v/>
      </c>
      <c r="AT673" s="179" t="str">
        <f t="array" ref="AT673">IF($F673&lt;&gt;"", XLOOKUP($F673,Productos!$A$2:$A1001,Productos!AM$2:AM1001,"")*$G673,"")</f>
        <v/>
      </c>
      <c r="AU673" s="179" t="str">
        <f t="array" ref="AU673">IF($F673&lt;&gt;"",XLOOKUP($F673,Productos!$A:$A,Productos!AN:AN,"Revisar"),"")</f>
        <v/>
      </c>
      <c r="AV673" s="179" t="str">
        <f t="array" ref="AV673">IF($F673&lt;&gt;"", XLOOKUP($F673,Productos!$A$2:$A1001,Productos!AO$2:AO1001,"")*$G673,"")</f>
        <v/>
      </c>
      <c r="AW673" s="179" t="str">
        <f t="array" ref="AW673">IF($F673&lt;&gt;"",XLOOKUP($F673,Productos!$A:$A,Productos!AP:AP,"Revisar"),"")</f>
        <v/>
      </c>
      <c r="AX673" s="179" t="str">
        <f t="array" ref="AX673">IF($F673&lt;&gt;"", XLOOKUP($F673,Productos!$A$2:$A1001,Productos!AQ$2:AQ1001,"")*$G673,"")</f>
        <v/>
      </c>
      <c r="AY673" s="179" t="str">
        <f t="array" ref="AY673">IF($F673&lt;&gt;"",XLOOKUP($F673,Productos!$A:$A,Productos!AR:AR,"Revisar"),"")</f>
        <v/>
      </c>
      <c r="AZ673" s="179" t="str">
        <f t="array" ref="AZ673">IF($F673&lt;&gt;"", XLOOKUP($F673,Productos!$A$2:$A1001,Productos!AS$2:AS1001,"")*$G673,"")</f>
        <v/>
      </c>
      <c r="BA673" s="179" t="str">
        <f t="array" ref="BA673">IF($F673&lt;&gt;"",XLOOKUP($F673,Productos!$A:$A,Productos!AT:AT,"Revisar"),"")</f>
        <v/>
      </c>
      <c r="BB673" s="179" t="str">
        <f t="array" ref="BB673">IF($F673&lt;&gt;"", XLOOKUP($F673,Productos!$A$2:$A1001,Productos!AU$2:AU1001,"")*$G673,"")</f>
        <v/>
      </c>
      <c r="BC673" s="179" t="str">
        <f t="array" ref="BC673">IF($F673&lt;&gt;"",XLOOKUP($F673,Productos!$A:$A,Productos!AV:AV,"Revisar"),"")</f>
        <v/>
      </c>
      <c r="BD673" s="179" t="str">
        <f t="array" ref="BD673">IF($F673&lt;&gt;"", XLOOKUP($F673,Productos!$A$2:$A1001,Productos!AW$2:AW1001,"")*$G673,"")</f>
        <v/>
      </c>
      <c r="BE673" s="179" t="str">
        <f t="array" ref="BE673">IF($F673&lt;&gt;"",XLOOKUP($F673,Productos!$A:$A,Productos!AX:AX,"Revisar"),"")</f>
        <v/>
      </c>
      <c r="BF673" s="179" t="str">
        <f t="array" ref="BF673">IF($F673&lt;&gt;"", XLOOKUP($F673,Productos!$A$2:$A1001,Productos!AY$2:AY1001,"")*$G673,"")</f>
        <v/>
      </c>
      <c r="BG673" s="179" t="str">
        <f t="array" ref="BG673">IF($F673&lt;&gt;"",XLOOKUP($F673,Productos!$A:$A,Productos!AZ:AZ,"Revisar"),"")</f>
        <v/>
      </c>
      <c r="BH673" s="179" t="str">
        <f t="array" ref="BH673">IF($F673&lt;&gt;"", XLOOKUP($F673,Productos!$A$2:$A1001,Productos!BA$2:BA1001,"")*$G673,"")</f>
        <v/>
      </c>
      <c r="BI673" s="179" t="str">
        <f t="array" ref="BI673">IF($F673&lt;&gt;"",XLOOKUP($F673,Productos!$A:$A,Productos!BB:BB,"Revisar"),"")</f>
        <v/>
      </c>
      <c r="BJ673" s="179" t="str">
        <f t="array" ref="BJ673">IF($F673&lt;&gt;"", XLOOKUP($F673,Productos!$A$2:$A1001,Productos!BC$2:BC1001,"")*$G673,"")</f>
        <v/>
      </c>
      <c r="BK673" s="179" t="str">
        <f t="array" ref="BK673">IF($F673&lt;&gt;"",XLOOKUP($F673,Productos!$A:$A,Productos!BD:BD,"Revisar"),"")</f>
        <v/>
      </c>
      <c r="BL673" s="179" t="str">
        <f t="array" ref="BL673">IF($F673&lt;&gt;"", XLOOKUP($F673,Productos!$A$2:$A1001,Productos!BE$2:BE1001,"")*$G673,"")</f>
        <v/>
      </c>
      <c r="BM673" s="179" t="str">
        <f t="array" ref="BM673">IF($F673&lt;&gt;"",XLOOKUP($F673,Productos!$A:$A,Productos!BF:BF,"Revisar"),"")</f>
        <v/>
      </c>
      <c r="BN673" s="179" t="str">
        <f t="array" ref="BN673">IF($F673&lt;&gt;"", XLOOKUP($F673,Productos!$A$2:$A1001,Productos!BG$2:BG1001,"")*$G673,"")</f>
        <v/>
      </c>
      <c r="BO673" s="179" t="str">
        <f t="array" ref="BO673">IF($F673&lt;&gt;"",XLOOKUP($F673,Productos!$A:$A,Productos!BH:BH,"Revisar"),"")</f>
        <v/>
      </c>
      <c r="BP673" s="179" t="str">
        <f t="array" ref="BP673">IF($F673&lt;&gt;"", XLOOKUP($F673,Productos!$A$2:$A1001,Productos!BI$2:BI1001,"")*$G673,"")</f>
        <v/>
      </c>
      <c r="BQ673" s="179" t="str">
        <f t="array" ref="BQ673">IF($F673&lt;&gt;"",XLOOKUP($F673,Productos!$A:$A,Productos!BJ:BJ,"Revisar"),"")</f>
        <v/>
      </c>
      <c r="BR673" s="179" t="str">
        <f t="array" ref="BR673">IF($F673&lt;&gt;"", XLOOKUP($F673,Productos!$A$2:$A1001,Productos!BK$2:BK1001,"")*$G673,"")</f>
        <v/>
      </c>
      <c r="BS673" s="179" t="str">
        <f t="array" ref="BS673">IF($F673&lt;&gt;"",XLOOKUP($F673,Productos!$A:$A,Productos!BL:BL,"Revisar"),"")</f>
        <v/>
      </c>
      <c r="BT673" s="179" t="str">
        <f t="array" ref="BT673">IF($F673&lt;&gt;"", XLOOKUP($F673,Productos!$A$2:$A1001,Productos!BM$2:BM1001,"")*$G673,"")</f>
        <v/>
      </c>
      <c r="BU673" s="179" t="str">
        <f t="array" ref="BU673">IF($F673&lt;&gt;"",XLOOKUP($F673,Productos!$A:$A,Productos!BN:BN,"Revisar"),"")</f>
        <v/>
      </c>
      <c r="BV673" s="179" t="str">
        <f t="array" ref="BV673">IF($F673&lt;&gt;"", XLOOKUP($F673,Productos!$A$2:$A1001,Productos!BO$2:BO1001,"")*$G673,"")</f>
        <v/>
      </c>
      <c r="BW673" s="179" t="str">
        <f t="array" ref="BW673">IF($F673&lt;&gt;"",XLOOKUP($F673,Productos!$A:$A,Productos!BP:BP,"Revisar"),"")</f>
        <v/>
      </c>
      <c r="BX673" s="179" t="str">
        <f t="array" ref="BX673">IF($F673&lt;&gt;"", XLOOKUP($F673,Productos!$A$2:$A1001,Productos!BQ$2:BQ1001,"")*$G673,"")</f>
        <v/>
      </c>
      <c r="BY673" s="179" t="str">
        <f t="array" ref="BY673">IF($F673&lt;&gt;"",XLOOKUP($F673,Productos!$A:$A,Productos!BR:BR,"Revisar"),"")</f>
        <v/>
      </c>
      <c r="BZ673" s="179" t="str">
        <f t="array" ref="BZ673">IF($F673&lt;&gt;"", XLOOKUP($F673,Productos!$A$2:$A1001,Productos!BS$2:BS1001,"")*$G673,"")</f>
        <v/>
      </c>
    </row>
    <row r="674">
      <c r="A674" s="188"/>
      <c r="B674" s="189"/>
      <c r="C674" s="190"/>
      <c r="D674" s="190"/>
      <c r="E674" s="191"/>
      <c r="F674" s="186"/>
      <c r="G674" s="192"/>
      <c r="H674" s="9"/>
      <c r="I674" s="179" t="str">
        <f t="array" ref="I674">IF($F674&lt;&gt;"",XLOOKUP($F674,Productos!$A:$A,Productos!B:B,"Revisar"),"")</f>
        <v/>
      </c>
      <c r="J674" s="179" t="str">
        <f t="array" ref="J674">IF($F674&lt;&gt;"", XLOOKUP($F674,Productos!$A$2:$A1001,Productos!C$2:C1001,"")*$G674,"")</f>
        <v/>
      </c>
      <c r="K674" s="179" t="str">
        <f t="array" ref="K674">IF($F674&lt;&gt;"",XLOOKUP($F674,Productos!$A:$A,Productos!D:D,"Revisar"),"")</f>
        <v/>
      </c>
      <c r="L674" s="179" t="str">
        <f t="array" ref="L674">IF($F674&lt;&gt;"", XLOOKUP($F674,Productos!$A$2:$A1001,Productos!E$2:E1001,"")*$G674,"")</f>
        <v/>
      </c>
      <c r="M674" s="179" t="str">
        <f t="array" ref="M674">IF($F674&lt;&gt;"",XLOOKUP($F674,Productos!$A:$A,Productos!F:F,"Revisar"),"")</f>
        <v/>
      </c>
      <c r="N674" s="179" t="str">
        <f t="array" ref="N674">IF($F674&lt;&gt;"", XLOOKUP($F674,Productos!$A$2:$A1001,Productos!G$2:G1001,"")*$G674,"")</f>
        <v/>
      </c>
      <c r="O674" s="179" t="str">
        <f t="array" ref="O674">IF($F674&lt;&gt;"",XLOOKUP($F674,Productos!$A:$A,Productos!H:H,"Revisar"),"")</f>
        <v/>
      </c>
      <c r="P674" s="179" t="str">
        <f t="array" ref="P674">IF($F674&lt;&gt;"", XLOOKUP($F674,Productos!$A$2:$A1001,Productos!I$2:I1001,"")*$G674,"")</f>
        <v/>
      </c>
      <c r="Q674" s="179" t="str">
        <f t="array" ref="Q674">IF($F674&lt;&gt;"",XLOOKUP($F674,Productos!$A:$A,Productos!J:J,"Revisar"),"")</f>
        <v/>
      </c>
      <c r="R674" s="179" t="str">
        <f t="array" ref="R674">IF($F674&lt;&gt;"", XLOOKUP($F674,Productos!$A$2:$A1001,Productos!K$2:K1001,"")*$G674,"")</f>
        <v/>
      </c>
      <c r="S674" s="179" t="str">
        <f t="array" ref="S674">IF($F674&lt;&gt;"",XLOOKUP($F674,Productos!$A:$A,Productos!L:L,"Revisar"),"")</f>
        <v/>
      </c>
      <c r="T674" s="179" t="str">
        <f t="array" ref="T674">IF($F674&lt;&gt;"", XLOOKUP($F674,Productos!$A$2:$A1001,Productos!M$2:M1001,"")*$G674,"")</f>
        <v/>
      </c>
      <c r="U674" s="179" t="str">
        <f t="array" ref="U674">IF($F674&lt;&gt;"",XLOOKUP($F674,Productos!$A:$A,Productos!N:N,"Revisar"),"")</f>
        <v/>
      </c>
      <c r="V674" s="179" t="str">
        <f t="array" ref="V674">IF($F674&lt;&gt;"", XLOOKUP($F674,Productos!$A$2:$A1001,Productos!O$2:O1001,"")*$G674,"")</f>
        <v/>
      </c>
      <c r="W674" s="179" t="str">
        <f t="array" ref="W674">IF($F674&lt;&gt;"",XLOOKUP($F674,Productos!$A:$A,Productos!P:P,"Revisar"),"")</f>
        <v/>
      </c>
      <c r="X674" s="179" t="str">
        <f t="array" ref="X674">IF($F674&lt;&gt;"", XLOOKUP($F674,Productos!$A$2:$A1001,Productos!Q$2:Q1001,"")*$G674,"")</f>
        <v/>
      </c>
      <c r="Y674" s="179" t="str">
        <f t="array" ref="Y674">IF($F674&lt;&gt;"",XLOOKUP($F674,Productos!$A:$A,Productos!R:R,"Revisar"),"")</f>
        <v/>
      </c>
      <c r="Z674" s="179" t="str">
        <f t="array" ref="Z674">IF($F674&lt;&gt;"", XLOOKUP($F674,Productos!$A$2:$A1001,Productos!S$2:S1001,"")*$G674,"")</f>
        <v/>
      </c>
      <c r="AA674" s="179" t="str">
        <f t="array" ref="AA674">IF($F674&lt;&gt;"",XLOOKUP($F674,Productos!$A:$A,Productos!T:T,"Revisar"),"")</f>
        <v/>
      </c>
      <c r="AB674" s="179" t="str">
        <f t="array" ref="AB674">IF($F674&lt;&gt;"", XLOOKUP($F674,Productos!$A$2:$A1001,Productos!U$2:U1001,"")*$G674,"")</f>
        <v/>
      </c>
      <c r="AC674" s="179" t="str">
        <f t="array" ref="AC674">IF($F674&lt;&gt;"",XLOOKUP($F674,Productos!$A:$A,Productos!V:V,"Revisar"),"")</f>
        <v/>
      </c>
      <c r="AD674" s="179" t="str">
        <f t="array" ref="AD674">IF($F674&lt;&gt;"", XLOOKUP($F674,Productos!$A$2:$A1001,Productos!W$2:W1001,"")*$G674,"")</f>
        <v/>
      </c>
      <c r="AE674" s="179" t="str">
        <f t="array" ref="AE674">IF($F674&lt;&gt;"",XLOOKUP($F674,Productos!$A:$A,Productos!X:X,"Revisar"),"")</f>
        <v/>
      </c>
      <c r="AF674" s="179" t="str">
        <f t="array" ref="AF674">IF($F674&lt;&gt;"", XLOOKUP($F674,Productos!$A$2:$A1001,Productos!Y$2:Y1001,"")*$G674,"")</f>
        <v/>
      </c>
      <c r="AG674" s="179" t="str">
        <f t="array" ref="AG674">IF($F674&lt;&gt;"",XLOOKUP($F674,Productos!$A:$A,Productos!Z:Z,"Revisar"),"")</f>
        <v/>
      </c>
      <c r="AH674" s="179" t="str">
        <f t="array" ref="AH674">IF($F674&lt;&gt;"", XLOOKUP($F674,Productos!$A$2:$A1001,Productos!AA$2:AA1001,"")*$G674,"")</f>
        <v/>
      </c>
      <c r="AI674" s="179" t="str">
        <f t="array" ref="AI674">IF($F674&lt;&gt;"",XLOOKUP($F674,Productos!$A:$A,Productos!AB:AB,"Revisar"),"")</f>
        <v/>
      </c>
      <c r="AJ674" s="179" t="str">
        <f t="array" ref="AJ674">IF($F674&lt;&gt;"", XLOOKUP($F674,Productos!$A$2:$A1001,Productos!AC$2:AC1001,"")*$G674,"")</f>
        <v/>
      </c>
      <c r="AK674" s="179" t="str">
        <f t="array" ref="AK674">IF($F674&lt;&gt;"",XLOOKUP($F674,Productos!$A:$A,Productos!AD:AD,"Revisar"),"")</f>
        <v/>
      </c>
      <c r="AL674" s="179" t="str">
        <f t="array" ref="AL674">IF($F674&lt;&gt;"", XLOOKUP($F674,Productos!$A$2:$A1001,Productos!AE$2:AE1001,"")*$G674,"")</f>
        <v/>
      </c>
      <c r="AM674" s="179" t="str">
        <f t="array" ref="AM674">IF($F674&lt;&gt;"",XLOOKUP($F674,Productos!$A:$A,Productos!AF:AF,"Revisar"),"")</f>
        <v/>
      </c>
      <c r="AN674" s="179" t="str">
        <f t="array" ref="AN674">IF($F674&lt;&gt;"", XLOOKUP($F674,Productos!$A$2:$A1001,Productos!AG$2:AG1001,"")*$G674,"")</f>
        <v/>
      </c>
      <c r="AO674" s="179" t="str">
        <f t="array" ref="AO674">IF($F674&lt;&gt;"",XLOOKUP($F674,Productos!$A:$A,Productos!AH:AH,"Revisar"),"")</f>
        <v/>
      </c>
      <c r="AP674" s="179" t="str">
        <f t="array" ref="AP674">IF($F674&lt;&gt;"", XLOOKUP($F674,Productos!$A$2:$A1001,Productos!AI$2:AI1001,"")*$G674,"")</f>
        <v/>
      </c>
      <c r="AQ674" s="179" t="str">
        <f t="array" ref="AQ674">IF($F674&lt;&gt;"",XLOOKUP($F674,Productos!$A:$A,Productos!AJ:AJ,"Revisar"),"")</f>
        <v/>
      </c>
      <c r="AR674" s="179" t="str">
        <f t="array" ref="AR674">IF($F674&lt;&gt;"", XLOOKUP($F674,Productos!$A$2:$A1001,Productos!AK$2:AK1001,"")*$G674,"")</f>
        <v/>
      </c>
      <c r="AS674" s="179" t="str">
        <f t="array" ref="AS674">IF($F674&lt;&gt;"",XLOOKUP($F674,Productos!$A:$A,Productos!AL:AL,"Revisar"),"")</f>
        <v/>
      </c>
      <c r="AT674" s="179" t="str">
        <f t="array" ref="AT674">IF($F674&lt;&gt;"", XLOOKUP($F674,Productos!$A$2:$A1001,Productos!AM$2:AM1001,"")*$G674,"")</f>
        <v/>
      </c>
      <c r="AU674" s="179" t="str">
        <f t="array" ref="AU674">IF($F674&lt;&gt;"",XLOOKUP($F674,Productos!$A:$A,Productos!AN:AN,"Revisar"),"")</f>
        <v/>
      </c>
      <c r="AV674" s="179" t="str">
        <f t="array" ref="AV674">IF($F674&lt;&gt;"", XLOOKUP($F674,Productos!$A$2:$A1001,Productos!AO$2:AO1001,"")*$G674,"")</f>
        <v/>
      </c>
      <c r="AW674" s="179" t="str">
        <f t="array" ref="AW674">IF($F674&lt;&gt;"",XLOOKUP($F674,Productos!$A:$A,Productos!AP:AP,"Revisar"),"")</f>
        <v/>
      </c>
      <c r="AX674" s="179" t="str">
        <f t="array" ref="AX674">IF($F674&lt;&gt;"", XLOOKUP($F674,Productos!$A$2:$A1001,Productos!AQ$2:AQ1001,"")*$G674,"")</f>
        <v/>
      </c>
      <c r="AY674" s="179" t="str">
        <f t="array" ref="AY674">IF($F674&lt;&gt;"",XLOOKUP($F674,Productos!$A:$A,Productos!AR:AR,"Revisar"),"")</f>
        <v/>
      </c>
      <c r="AZ674" s="179" t="str">
        <f t="array" ref="AZ674">IF($F674&lt;&gt;"", XLOOKUP($F674,Productos!$A$2:$A1001,Productos!AS$2:AS1001,"")*$G674,"")</f>
        <v/>
      </c>
      <c r="BA674" s="179" t="str">
        <f t="array" ref="BA674">IF($F674&lt;&gt;"",XLOOKUP($F674,Productos!$A:$A,Productos!AT:AT,"Revisar"),"")</f>
        <v/>
      </c>
      <c r="BB674" s="179" t="str">
        <f t="array" ref="BB674">IF($F674&lt;&gt;"", XLOOKUP($F674,Productos!$A$2:$A1001,Productos!AU$2:AU1001,"")*$G674,"")</f>
        <v/>
      </c>
      <c r="BC674" s="179" t="str">
        <f t="array" ref="BC674">IF($F674&lt;&gt;"",XLOOKUP($F674,Productos!$A:$A,Productos!AV:AV,"Revisar"),"")</f>
        <v/>
      </c>
      <c r="BD674" s="179" t="str">
        <f t="array" ref="BD674">IF($F674&lt;&gt;"", XLOOKUP($F674,Productos!$A$2:$A1001,Productos!AW$2:AW1001,"")*$G674,"")</f>
        <v/>
      </c>
      <c r="BE674" s="179" t="str">
        <f t="array" ref="BE674">IF($F674&lt;&gt;"",XLOOKUP($F674,Productos!$A:$A,Productos!AX:AX,"Revisar"),"")</f>
        <v/>
      </c>
      <c r="BF674" s="179" t="str">
        <f t="array" ref="BF674">IF($F674&lt;&gt;"", XLOOKUP($F674,Productos!$A$2:$A1001,Productos!AY$2:AY1001,"")*$G674,"")</f>
        <v/>
      </c>
      <c r="BG674" s="179" t="str">
        <f t="array" ref="BG674">IF($F674&lt;&gt;"",XLOOKUP($F674,Productos!$A:$A,Productos!AZ:AZ,"Revisar"),"")</f>
        <v/>
      </c>
      <c r="BH674" s="179" t="str">
        <f t="array" ref="BH674">IF($F674&lt;&gt;"", XLOOKUP($F674,Productos!$A$2:$A1001,Productos!BA$2:BA1001,"")*$G674,"")</f>
        <v/>
      </c>
      <c r="BI674" s="179" t="str">
        <f t="array" ref="BI674">IF($F674&lt;&gt;"",XLOOKUP($F674,Productos!$A:$A,Productos!BB:BB,"Revisar"),"")</f>
        <v/>
      </c>
      <c r="BJ674" s="179" t="str">
        <f t="array" ref="BJ674">IF($F674&lt;&gt;"", XLOOKUP($F674,Productos!$A$2:$A1001,Productos!BC$2:BC1001,"")*$G674,"")</f>
        <v/>
      </c>
      <c r="BK674" s="179" t="str">
        <f t="array" ref="BK674">IF($F674&lt;&gt;"",XLOOKUP($F674,Productos!$A:$A,Productos!BD:BD,"Revisar"),"")</f>
        <v/>
      </c>
      <c r="BL674" s="179" t="str">
        <f t="array" ref="BL674">IF($F674&lt;&gt;"", XLOOKUP($F674,Productos!$A$2:$A1001,Productos!BE$2:BE1001,"")*$G674,"")</f>
        <v/>
      </c>
      <c r="BM674" s="179" t="str">
        <f t="array" ref="BM674">IF($F674&lt;&gt;"",XLOOKUP($F674,Productos!$A:$A,Productos!BF:BF,"Revisar"),"")</f>
        <v/>
      </c>
      <c r="BN674" s="179" t="str">
        <f t="array" ref="BN674">IF($F674&lt;&gt;"", XLOOKUP($F674,Productos!$A$2:$A1001,Productos!BG$2:BG1001,"")*$G674,"")</f>
        <v/>
      </c>
      <c r="BO674" s="179" t="str">
        <f t="array" ref="BO674">IF($F674&lt;&gt;"",XLOOKUP($F674,Productos!$A:$A,Productos!BH:BH,"Revisar"),"")</f>
        <v/>
      </c>
      <c r="BP674" s="179" t="str">
        <f t="array" ref="BP674">IF($F674&lt;&gt;"", XLOOKUP($F674,Productos!$A$2:$A1001,Productos!BI$2:BI1001,"")*$G674,"")</f>
        <v/>
      </c>
      <c r="BQ674" s="179" t="str">
        <f t="array" ref="BQ674">IF($F674&lt;&gt;"",XLOOKUP($F674,Productos!$A:$A,Productos!BJ:BJ,"Revisar"),"")</f>
        <v/>
      </c>
      <c r="BR674" s="179" t="str">
        <f t="array" ref="BR674">IF($F674&lt;&gt;"", XLOOKUP($F674,Productos!$A$2:$A1001,Productos!BK$2:BK1001,"")*$G674,"")</f>
        <v/>
      </c>
      <c r="BS674" s="179" t="str">
        <f t="array" ref="BS674">IF($F674&lt;&gt;"",XLOOKUP($F674,Productos!$A:$A,Productos!BL:BL,"Revisar"),"")</f>
        <v/>
      </c>
      <c r="BT674" s="179" t="str">
        <f t="array" ref="BT674">IF($F674&lt;&gt;"", XLOOKUP($F674,Productos!$A$2:$A1001,Productos!BM$2:BM1001,"")*$G674,"")</f>
        <v/>
      </c>
      <c r="BU674" s="179" t="str">
        <f t="array" ref="BU674">IF($F674&lt;&gt;"",XLOOKUP($F674,Productos!$A:$A,Productos!BN:BN,"Revisar"),"")</f>
        <v/>
      </c>
      <c r="BV674" s="179" t="str">
        <f t="array" ref="BV674">IF($F674&lt;&gt;"", XLOOKUP($F674,Productos!$A$2:$A1001,Productos!BO$2:BO1001,"")*$G674,"")</f>
        <v/>
      </c>
      <c r="BW674" s="179" t="str">
        <f t="array" ref="BW674">IF($F674&lt;&gt;"",XLOOKUP($F674,Productos!$A:$A,Productos!BP:BP,"Revisar"),"")</f>
        <v/>
      </c>
      <c r="BX674" s="179" t="str">
        <f t="array" ref="BX674">IF($F674&lt;&gt;"", XLOOKUP($F674,Productos!$A$2:$A1001,Productos!BQ$2:BQ1001,"")*$G674,"")</f>
        <v/>
      </c>
      <c r="BY674" s="179" t="str">
        <f t="array" ref="BY674">IF($F674&lt;&gt;"",XLOOKUP($F674,Productos!$A:$A,Productos!BR:BR,"Revisar"),"")</f>
        <v/>
      </c>
      <c r="BZ674" s="179" t="str">
        <f t="array" ref="BZ674">IF($F674&lt;&gt;"", XLOOKUP($F674,Productos!$A$2:$A1001,Productos!BS$2:BS1001,"")*$G674,"")</f>
        <v/>
      </c>
    </row>
    <row r="675">
      <c r="A675" s="188"/>
      <c r="B675" s="189"/>
      <c r="C675" s="190"/>
      <c r="D675" s="190"/>
      <c r="E675" s="191"/>
      <c r="F675" s="186"/>
      <c r="G675" s="192"/>
      <c r="H675" s="9"/>
      <c r="I675" s="179" t="str">
        <f t="array" ref="I675">IF($F675&lt;&gt;"",XLOOKUP($F675,Productos!$A:$A,Productos!B:B,"Revisar"),"")</f>
        <v/>
      </c>
      <c r="J675" s="179" t="str">
        <f t="array" ref="J675">IF($F675&lt;&gt;"", XLOOKUP($F675,Productos!$A$2:$A1001,Productos!C$2:C1001,"")*$G675,"")</f>
        <v/>
      </c>
      <c r="K675" s="179" t="str">
        <f t="array" ref="K675">IF($F675&lt;&gt;"",XLOOKUP($F675,Productos!$A:$A,Productos!D:D,"Revisar"),"")</f>
        <v/>
      </c>
      <c r="L675" s="179" t="str">
        <f t="array" ref="L675">IF($F675&lt;&gt;"", XLOOKUP($F675,Productos!$A$2:$A1001,Productos!E$2:E1001,"")*$G675,"")</f>
        <v/>
      </c>
      <c r="M675" s="179" t="str">
        <f t="array" ref="M675">IF($F675&lt;&gt;"",XLOOKUP($F675,Productos!$A:$A,Productos!F:F,"Revisar"),"")</f>
        <v/>
      </c>
      <c r="N675" s="179" t="str">
        <f t="array" ref="N675">IF($F675&lt;&gt;"", XLOOKUP($F675,Productos!$A$2:$A1001,Productos!G$2:G1001,"")*$G675,"")</f>
        <v/>
      </c>
      <c r="O675" s="179" t="str">
        <f t="array" ref="O675">IF($F675&lt;&gt;"",XLOOKUP($F675,Productos!$A:$A,Productos!H:H,"Revisar"),"")</f>
        <v/>
      </c>
      <c r="P675" s="179" t="str">
        <f t="array" ref="P675">IF($F675&lt;&gt;"", XLOOKUP($F675,Productos!$A$2:$A1001,Productos!I$2:I1001,"")*$G675,"")</f>
        <v/>
      </c>
      <c r="Q675" s="179" t="str">
        <f t="array" ref="Q675">IF($F675&lt;&gt;"",XLOOKUP($F675,Productos!$A:$A,Productos!J:J,"Revisar"),"")</f>
        <v/>
      </c>
      <c r="R675" s="179" t="str">
        <f t="array" ref="R675">IF($F675&lt;&gt;"", XLOOKUP($F675,Productos!$A$2:$A1001,Productos!K$2:K1001,"")*$G675,"")</f>
        <v/>
      </c>
      <c r="S675" s="179" t="str">
        <f t="array" ref="S675">IF($F675&lt;&gt;"",XLOOKUP($F675,Productos!$A:$A,Productos!L:L,"Revisar"),"")</f>
        <v/>
      </c>
      <c r="T675" s="179" t="str">
        <f t="array" ref="T675">IF($F675&lt;&gt;"", XLOOKUP($F675,Productos!$A$2:$A1001,Productos!M$2:M1001,"")*$G675,"")</f>
        <v/>
      </c>
      <c r="U675" s="179" t="str">
        <f t="array" ref="U675">IF($F675&lt;&gt;"",XLOOKUP($F675,Productos!$A:$A,Productos!N:N,"Revisar"),"")</f>
        <v/>
      </c>
      <c r="V675" s="179" t="str">
        <f t="array" ref="V675">IF($F675&lt;&gt;"", XLOOKUP($F675,Productos!$A$2:$A1001,Productos!O$2:O1001,"")*$G675,"")</f>
        <v/>
      </c>
      <c r="W675" s="179" t="str">
        <f t="array" ref="W675">IF($F675&lt;&gt;"",XLOOKUP($F675,Productos!$A:$A,Productos!P:P,"Revisar"),"")</f>
        <v/>
      </c>
      <c r="X675" s="179" t="str">
        <f t="array" ref="X675">IF($F675&lt;&gt;"", XLOOKUP($F675,Productos!$A$2:$A1001,Productos!Q$2:Q1001,"")*$G675,"")</f>
        <v/>
      </c>
      <c r="Y675" s="179" t="str">
        <f t="array" ref="Y675">IF($F675&lt;&gt;"",XLOOKUP($F675,Productos!$A:$A,Productos!R:R,"Revisar"),"")</f>
        <v/>
      </c>
      <c r="Z675" s="179" t="str">
        <f t="array" ref="Z675">IF($F675&lt;&gt;"", XLOOKUP($F675,Productos!$A$2:$A1001,Productos!S$2:S1001,"")*$G675,"")</f>
        <v/>
      </c>
      <c r="AA675" s="179" t="str">
        <f t="array" ref="AA675">IF($F675&lt;&gt;"",XLOOKUP($F675,Productos!$A:$A,Productos!T:T,"Revisar"),"")</f>
        <v/>
      </c>
      <c r="AB675" s="179" t="str">
        <f t="array" ref="AB675">IF($F675&lt;&gt;"", XLOOKUP($F675,Productos!$A$2:$A1001,Productos!U$2:U1001,"")*$G675,"")</f>
        <v/>
      </c>
      <c r="AC675" s="179" t="str">
        <f t="array" ref="AC675">IF($F675&lt;&gt;"",XLOOKUP($F675,Productos!$A:$A,Productos!V:V,"Revisar"),"")</f>
        <v/>
      </c>
      <c r="AD675" s="179" t="str">
        <f t="array" ref="AD675">IF($F675&lt;&gt;"", XLOOKUP($F675,Productos!$A$2:$A1001,Productos!W$2:W1001,"")*$G675,"")</f>
        <v/>
      </c>
      <c r="AE675" s="179" t="str">
        <f t="array" ref="AE675">IF($F675&lt;&gt;"",XLOOKUP($F675,Productos!$A:$A,Productos!X:X,"Revisar"),"")</f>
        <v/>
      </c>
      <c r="AF675" s="179" t="str">
        <f t="array" ref="AF675">IF($F675&lt;&gt;"", XLOOKUP($F675,Productos!$A$2:$A1001,Productos!Y$2:Y1001,"")*$G675,"")</f>
        <v/>
      </c>
      <c r="AG675" s="179" t="str">
        <f t="array" ref="AG675">IF($F675&lt;&gt;"",XLOOKUP($F675,Productos!$A:$A,Productos!Z:Z,"Revisar"),"")</f>
        <v/>
      </c>
      <c r="AH675" s="179" t="str">
        <f t="array" ref="AH675">IF($F675&lt;&gt;"", XLOOKUP($F675,Productos!$A$2:$A1001,Productos!AA$2:AA1001,"")*$G675,"")</f>
        <v/>
      </c>
      <c r="AI675" s="179" t="str">
        <f t="array" ref="AI675">IF($F675&lt;&gt;"",XLOOKUP($F675,Productos!$A:$A,Productos!AB:AB,"Revisar"),"")</f>
        <v/>
      </c>
      <c r="AJ675" s="179" t="str">
        <f t="array" ref="AJ675">IF($F675&lt;&gt;"", XLOOKUP($F675,Productos!$A$2:$A1001,Productos!AC$2:AC1001,"")*$G675,"")</f>
        <v/>
      </c>
      <c r="AK675" s="179" t="str">
        <f t="array" ref="AK675">IF($F675&lt;&gt;"",XLOOKUP($F675,Productos!$A:$A,Productos!AD:AD,"Revisar"),"")</f>
        <v/>
      </c>
      <c r="AL675" s="179" t="str">
        <f t="array" ref="AL675">IF($F675&lt;&gt;"", XLOOKUP($F675,Productos!$A$2:$A1001,Productos!AE$2:AE1001,"")*$G675,"")</f>
        <v/>
      </c>
      <c r="AM675" s="179" t="str">
        <f t="array" ref="AM675">IF($F675&lt;&gt;"",XLOOKUP($F675,Productos!$A:$A,Productos!AF:AF,"Revisar"),"")</f>
        <v/>
      </c>
      <c r="AN675" s="179" t="str">
        <f t="array" ref="AN675">IF($F675&lt;&gt;"", XLOOKUP($F675,Productos!$A$2:$A1001,Productos!AG$2:AG1001,"")*$G675,"")</f>
        <v/>
      </c>
      <c r="AO675" s="179" t="str">
        <f t="array" ref="AO675">IF($F675&lt;&gt;"",XLOOKUP($F675,Productos!$A:$A,Productos!AH:AH,"Revisar"),"")</f>
        <v/>
      </c>
      <c r="AP675" s="179" t="str">
        <f t="array" ref="AP675">IF($F675&lt;&gt;"", XLOOKUP($F675,Productos!$A$2:$A1001,Productos!AI$2:AI1001,"")*$G675,"")</f>
        <v/>
      </c>
      <c r="AQ675" s="179" t="str">
        <f t="array" ref="AQ675">IF($F675&lt;&gt;"",XLOOKUP($F675,Productos!$A:$A,Productos!AJ:AJ,"Revisar"),"")</f>
        <v/>
      </c>
      <c r="AR675" s="179" t="str">
        <f t="array" ref="AR675">IF($F675&lt;&gt;"", XLOOKUP($F675,Productos!$A$2:$A1001,Productos!AK$2:AK1001,"")*$G675,"")</f>
        <v/>
      </c>
      <c r="AS675" s="179" t="str">
        <f t="array" ref="AS675">IF($F675&lt;&gt;"",XLOOKUP($F675,Productos!$A:$A,Productos!AL:AL,"Revisar"),"")</f>
        <v/>
      </c>
      <c r="AT675" s="179" t="str">
        <f t="array" ref="AT675">IF($F675&lt;&gt;"", XLOOKUP($F675,Productos!$A$2:$A1001,Productos!AM$2:AM1001,"")*$G675,"")</f>
        <v/>
      </c>
      <c r="AU675" s="179" t="str">
        <f t="array" ref="AU675">IF($F675&lt;&gt;"",XLOOKUP($F675,Productos!$A:$A,Productos!AN:AN,"Revisar"),"")</f>
        <v/>
      </c>
      <c r="AV675" s="179" t="str">
        <f t="array" ref="AV675">IF($F675&lt;&gt;"", XLOOKUP($F675,Productos!$A$2:$A1001,Productos!AO$2:AO1001,"")*$G675,"")</f>
        <v/>
      </c>
      <c r="AW675" s="179" t="str">
        <f t="array" ref="AW675">IF($F675&lt;&gt;"",XLOOKUP($F675,Productos!$A:$A,Productos!AP:AP,"Revisar"),"")</f>
        <v/>
      </c>
      <c r="AX675" s="179" t="str">
        <f t="array" ref="AX675">IF($F675&lt;&gt;"", XLOOKUP($F675,Productos!$A$2:$A1001,Productos!AQ$2:AQ1001,"")*$G675,"")</f>
        <v/>
      </c>
      <c r="AY675" s="179" t="str">
        <f t="array" ref="AY675">IF($F675&lt;&gt;"",XLOOKUP($F675,Productos!$A:$A,Productos!AR:AR,"Revisar"),"")</f>
        <v/>
      </c>
      <c r="AZ675" s="179" t="str">
        <f t="array" ref="AZ675">IF($F675&lt;&gt;"", XLOOKUP($F675,Productos!$A$2:$A1001,Productos!AS$2:AS1001,"")*$G675,"")</f>
        <v/>
      </c>
      <c r="BA675" s="179" t="str">
        <f t="array" ref="BA675">IF($F675&lt;&gt;"",XLOOKUP($F675,Productos!$A:$A,Productos!AT:AT,"Revisar"),"")</f>
        <v/>
      </c>
      <c r="BB675" s="179" t="str">
        <f t="array" ref="BB675">IF($F675&lt;&gt;"", XLOOKUP($F675,Productos!$A$2:$A1001,Productos!AU$2:AU1001,"")*$G675,"")</f>
        <v/>
      </c>
      <c r="BC675" s="179" t="str">
        <f t="array" ref="BC675">IF($F675&lt;&gt;"",XLOOKUP($F675,Productos!$A:$A,Productos!AV:AV,"Revisar"),"")</f>
        <v/>
      </c>
      <c r="BD675" s="179" t="str">
        <f t="array" ref="BD675">IF($F675&lt;&gt;"", XLOOKUP($F675,Productos!$A$2:$A1001,Productos!AW$2:AW1001,"")*$G675,"")</f>
        <v/>
      </c>
      <c r="BE675" s="179" t="str">
        <f t="array" ref="BE675">IF($F675&lt;&gt;"",XLOOKUP($F675,Productos!$A:$A,Productos!AX:AX,"Revisar"),"")</f>
        <v/>
      </c>
      <c r="BF675" s="179" t="str">
        <f t="array" ref="BF675">IF($F675&lt;&gt;"", XLOOKUP($F675,Productos!$A$2:$A1001,Productos!AY$2:AY1001,"")*$G675,"")</f>
        <v/>
      </c>
      <c r="BG675" s="179" t="str">
        <f t="array" ref="BG675">IF($F675&lt;&gt;"",XLOOKUP($F675,Productos!$A:$A,Productos!AZ:AZ,"Revisar"),"")</f>
        <v/>
      </c>
      <c r="BH675" s="179" t="str">
        <f t="array" ref="BH675">IF($F675&lt;&gt;"", XLOOKUP($F675,Productos!$A$2:$A1001,Productos!BA$2:BA1001,"")*$G675,"")</f>
        <v/>
      </c>
      <c r="BI675" s="179" t="str">
        <f t="array" ref="BI675">IF($F675&lt;&gt;"",XLOOKUP($F675,Productos!$A:$A,Productos!BB:BB,"Revisar"),"")</f>
        <v/>
      </c>
      <c r="BJ675" s="179" t="str">
        <f t="array" ref="BJ675">IF($F675&lt;&gt;"", XLOOKUP($F675,Productos!$A$2:$A1001,Productos!BC$2:BC1001,"")*$G675,"")</f>
        <v/>
      </c>
      <c r="BK675" s="179" t="str">
        <f t="array" ref="BK675">IF($F675&lt;&gt;"",XLOOKUP($F675,Productos!$A:$A,Productos!BD:BD,"Revisar"),"")</f>
        <v/>
      </c>
      <c r="BL675" s="179" t="str">
        <f t="array" ref="BL675">IF($F675&lt;&gt;"", XLOOKUP($F675,Productos!$A$2:$A1001,Productos!BE$2:BE1001,"")*$G675,"")</f>
        <v/>
      </c>
      <c r="BM675" s="179" t="str">
        <f t="array" ref="BM675">IF($F675&lt;&gt;"",XLOOKUP($F675,Productos!$A:$A,Productos!BF:BF,"Revisar"),"")</f>
        <v/>
      </c>
      <c r="BN675" s="179" t="str">
        <f t="array" ref="BN675">IF($F675&lt;&gt;"", XLOOKUP($F675,Productos!$A$2:$A1001,Productos!BG$2:BG1001,"")*$G675,"")</f>
        <v/>
      </c>
      <c r="BO675" s="179" t="str">
        <f t="array" ref="BO675">IF($F675&lt;&gt;"",XLOOKUP($F675,Productos!$A:$A,Productos!BH:BH,"Revisar"),"")</f>
        <v/>
      </c>
      <c r="BP675" s="179" t="str">
        <f t="array" ref="BP675">IF($F675&lt;&gt;"", XLOOKUP($F675,Productos!$A$2:$A1001,Productos!BI$2:BI1001,"")*$G675,"")</f>
        <v/>
      </c>
      <c r="BQ675" s="179" t="str">
        <f t="array" ref="BQ675">IF($F675&lt;&gt;"",XLOOKUP($F675,Productos!$A:$A,Productos!BJ:BJ,"Revisar"),"")</f>
        <v/>
      </c>
      <c r="BR675" s="179" t="str">
        <f t="array" ref="BR675">IF($F675&lt;&gt;"", XLOOKUP($F675,Productos!$A$2:$A1001,Productos!BK$2:BK1001,"")*$G675,"")</f>
        <v/>
      </c>
      <c r="BS675" s="179" t="str">
        <f t="array" ref="BS675">IF($F675&lt;&gt;"",XLOOKUP($F675,Productos!$A:$A,Productos!BL:BL,"Revisar"),"")</f>
        <v/>
      </c>
      <c r="BT675" s="179" t="str">
        <f t="array" ref="BT675">IF($F675&lt;&gt;"", XLOOKUP($F675,Productos!$A$2:$A1001,Productos!BM$2:BM1001,"")*$G675,"")</f>
        <v/>
      </c>
      <c r="BU675" s="179" t="str">
        <f t="array" ref="BU675">IF($F675&lt;&gt;"",XLOOKUP($F675,Productos!$A:$A,Productos!BN:BN,"Revisar"),"")</f>
        <v/>
      </c>
      <c r="BV675" s="179" t="str">
        <f t="array" ref="BV675">IF($F675&lt;&gt;"", XLOOKUP($F675,Productos!$A$2:$A1001,Productos!BO$2:BO1001,"")*$G675,"")</f>
        <v/>
      </c>
      <c r="BW675" s="179" t="str">
        <f t="array" ref="BW675">IF($F675&lt;&gt;"",XLOOKUP($F675,Productos!$A:$A,Productos!BP:BP,"Revisar"),"")</f>
        <v/>
      </c>
      <c r="BX675" s="179" t="str">
        <f t="array" ref="BX675">IF($F675&lt;&gt;"", XLOOKUP($F675,Productos!$A$2:$A1001,Productos!BQ$2:BQ1001,"")*$G675,"")</f>
        <v/>
      </c>
      <c r="BY675" s="179" t="str">
        <f t="array" ref="BY675">IF($F675&lt;&gt;"",XLOOKUP($F675,Productos!$A:$A,Productos!BR:BR,"Revisar"),"")</f>
        <v/>
      </c>
      <c r="BZ675" s="179" t="str">
        <f t="array" ref="BZ675">IF($F675&lt;&gt;"", XLOOKUP($F675,Productos!$A$2:$A1001,Productos!BS$2:BS1001,"")*$G675,"")</f>
        <v/>
      </c>
    </row>
    <row r="676">
      <c r="A676" s="188"/>
      <c r="B676" s="189"/>
      <c r="C676" s="190"/>
      <c r="D676" s="190"/>
      <c r="E676" s="191"/>
      <c r="F676" s="186"/>
      <c r="G676" s="192"/>
      <c r="H676" s="9"/>
      <c r="I676" s="179" t="str">
        <f t="array" ref="I676">IF($F676&lt;&gt;"",XLOOKUP($F676,Productos!$A:$A,Productos!B:B,"Revisar"),"")</f>
        <v/>
      </c>
      <c r="J676" s="179" t="str">
        <f t="array" ref="J676">IF($F676&lt;&gt;"", XLOOKUP($F676,Productos!$A$2:$A1001,Productos!C$2:C1001,"")*$G676,"")</f>
        <v/>
      </c>
      <c r="K676" s="179" t="str">
        <f t="array" ref="K676">IF($F676&lt;&gt;"",XLOOKUP($F676,Productos!$A:$A,Productos!D:D,"Revisar"),"")</f>
        <v/>
      </c>
      <c r="L676" s="179" t="str">
        <f t="array" ref="L676">IF($F676&lt;&gt;"", XLOOKUP($F676,Productos!$A$2:$A1001,Productos!E$2:E1001,"")*$G676,"")</f>
        <v/>
      </c>
      <c r="M676" s="179" t="str">
        <f t="array" ref="M676">IF($F676&lt;&gt;"",XLOOKUP($F676,Productos!$A:$A,Productos!F:F,"Revisar"),"")</f>
        <v/>
      </c>
      <c r="N676" s="179" t="str">
        <f t="array" ref="N676">IF($F676&lt;&gt;"", XLOOKUP($F676,Productos!$A$2:$A1001,Productos!G$2:G1001,"")*$G676,"")</f>
        <v/>
      </c>
      <c r="O676" s="179" t="str">
        <f t="array" ref="O676">IF($F676&lt;&gt;"",XLOOKUP($F676,Productos!$A:$A,Productos!H:H,"Revisar"),"")</f>
        <v/>
      </c>
      <c r="P676" s="179" t="str">
        <f t="array" ref="P676">IF($F676&lt;&gt;"", XLOOKUP($F676,Productos!$A$2:$A1001,Productos!I$2:I1001,"")*$G676,"")</f>
        <v/>
      </c>
      <c r="Q676" s="179" t="str">
        <f t="array" ref="Q676">IF($F676&lt;&gt;"",XLOOKUP($F676,Productos!$A:$A,Productos!J:J,"Revisar"),"")</f>
        <v/>
      </c>
      <c r="R676" s="179" t="str">
        <f t="array" ref="R676">IF($F676&lt;&gt;"", XLOOKUP($F676,Productos!$A$2:$A1001,Productos!K$2:K1001,"")*$G676,"")</f>
        <v/>
      </c>
      <c r="S676" s="179" t="str">
        <f t="array" ref="S676">IF($F676&lt;&gt;"",XLOOKUP($F676,Productos!$A:$A,Productos!L:L,"Revisar"),"")</f>
        <v/>
      </c>
      <c r="T676" s="179" t="str">
        <f t="array" ref="T676">IF($F676&lt;&gt;"", XLOOKUP($F676,Productos!$A$2:$A1001,Productos!M$2:M1001,"")*$G676,"")</f>
        <v/>
      </c>
      <c r="U676" s="179" t="str">
        <f t="array" ref="U676">IF($F676&lt;&gt;"",XLOOKUP($F676,Productos!$A:$A,Productos!N:N,"Revisar"),"")</f>
        <v/>
      </c>
      <c r="V676" s="179" t="str">
        <f t="array" ref="V676">IF($F676&lt;&gt;"", XLOOKUP($F676,Productos!$A$2:$A1001,Productos!O$2:O1001,"")*$G676,"")</f>
        <v/>
      </c>
      <c r="W676" s="179" t="str">
        <f t="array" ref="W676">IF($F676&lt;&gt;"",XLOOKUP($F676,Productos!$A:$A,Productos!P:P,"Revisar"),"")</f>
        <v/>
      </c>
      <c r="X676" s="179" t="str">
        <f t="array" ref="X676">IF($F676&lt;&gt;"", XLOOKUP($F676,Productos!$A$2:$A1001,Productos!Q$2:Q1001,"")*$G676,"")</f>
        <v/>
      </c>
      <c r="Y676" s="179" t="str">
        <f t="array" ref="Y676">IF($F676&lt;&gt;"",XLOOKUP($F676,Productos!$A:$A,Productos!R:R,"Revisar"),"")</f>
        <v/>
      </c>
      <c r="Z676" s="179" t="str">
        <f t="array" ref="Z676">IF($F676&lt;&gt;"", XLOOKUP($F676,Productos!$A$2:$A1001,Productos!S$2:S1001,"")*$G676,"")</f>
        <v/>
      </c>
      <c r="AA676" s="179" t="str">
        <f t="array" ref="AA676">IF($F676&lt;&gt;"",XLOOKUP($F676,Productos!$A:$A,Productos!T:T,"Revisar"),"")</f>
        <v/>
      </c>
      <c r="AB676" s="179" t="str">
        <f t="array" ref="AB676">IF($F676&lt;&gt;"", XLOOKUP($F676,Productos!$A$2:$A1001,Productos!U$2:U1001,"")*$G676,"")</f>
        <v/>
      </c>
      <c r="AC676" s="179" t="str">
        <f t="array" ref="AC676">IF($F676&lt;&gt;"",XLOOKUP($F676,Productos!$A:$A,Productos!V:V,"Revisar"),"")</f>
        <v/>
      </c>
      <c r="AD676" s="179" t="str">
        <f t="array" ref="AD676">IF($F676&lt;&gt;"", XLOOKUP($F676,Productos!$A$2:$A1001,Productos!W$2:W1001,"")*$G676,"")</f>
        <v/>
      </c>
      <c r="AE676" s="179" t="str">
        <f t="array" ref="AE676">IF($F676&lt;&gt;"",XLOOKUP($F676,Productos!$A:$A,Productos!X:X,"Revisar"),"")</f>
        <v/>
      </c>
      <c r="AF676" s="179" t="str">
        <f t="array" ref="AF676">IF($F676&lt;&gt;"", XLOOKUP($F676,Productos!$A$2:$A1001,Productos!Y$2:Y1001,"")*$G676,"")</f>
        <v/>
      </c>
      <c r="AG676" s="179" t="str">
        <f t="array" ref="AG676">IF($F676&lt;&gt;"",XLOOKUP($F676,Productos!$A:$A,Productos!Z:Z,"Revisar"),"")</f>
        <v/>
      </c>
      <c r="AH676" s="179" t="str">
        <f t="array" ref="AH676">IF($F676&lt;&gt;"", XLOOKUP($F676,Productos!$A$2:$A1001,Productos!AA$2:AA1001,"")*$G676,"")</f>
        <v/>
      </c>
      <c r="AI676" s="179" t="str">
        <f t="array" ref="AI676">IF($F676&lt;&gt;"",XLOOKUP($F676,Productos!$A:$A,Productos!AB:AB,"Revisar"),"")</f>
        <v/>
      </c>
      <c r="AJ676" s="179" t="str">
        <f t="array" ref="AJ676">IF($F676&lt;&gt;"", XLOOKUP($F676,Productos!$A$2:$A1001,Productos!AC$2:AC1001,"")*$G676,"")</f>
        <v/>
      </c>
      <c r="AK676" s="179" t="str">
        <f t="array" ref="AK676">IF($F676&lt;&gt;"",XLOOKUP($F676,Productos!$A:$A,Productos!AD:AD,"Revisar"),"")</f>
        <v/>
      </c>
      <c r="AL676" s="179" t="str">
        <f t="array" ref="AL676">IF($F676&lt;&gt;"", XLOOKUP($F676,Productos!$A$2:$A1001,Productos!AE$2:AE1001,"")*$G676,"")</f>
        <v/>
      </c>
      <c r="AM676" s="179" t="str">
        <f t="array" ref="AM676">IF($F676&lt;&gt;"",XLOOKUP($F676,Productos!$A:$A,Productos!AF:AF,"Revisar"),"")</f>
        <v/>
      </c>
      <c r="AN676" s="179" t="str">
        <f t="array" ref="AN676">IF($F676&lt;&gt;"", XLOOKUP($F676,Productos!$A$2:$A1001,Productos!AG$2:AG1001,"")*$G676,"")</f>
        <v/>
      </c>
      <c r="AO676" s="179" t="str">
        <f t="array" ref="AO676">IF($F676&lt;&gt;"",XLOOKUP($F676,Productos!$A:$A,Productos!AH:AH,"Revisar"),"")</f>
        <v/>
      </c>
      <c r="AP676" s="179" t="str">
        <f t="array" ref="AP676">IF($F676&lt;&gt;"", XLOOKUP($F676,Productos!$A$2:$A1001,Productos!AI$2:AI1001,"")*$G676,"")</f>
        <v/>
      </c>
      <c r="AQ676" s="179" t="str">
        <f t="array" ref="AQ676">IF($F676&lt;&gt;"",XLOOKUP($F676,Productos!$A:$A,Productos!AJ:AJ,"Revisar"),"")</f>
        <v/>
      </c>
      <c r="AR676" s="179" t="str">
        <f t="array" ref="AR676">IF($F676&lt;&gt;"", XLOOKUP($F676,Productos!$A$2:$A1001,Productos!AK$2:AK1001,"")*$G676,"")</f>
        <v/>
      </c>
      <c r="AS676" s="179" t="str">
        <f t="array" ref="AS676">IF($F676&lt;&gt;"",XLOOKUP($F676,Productos!$A:$A,Productos!AL:AL,"Revisar"),"")</f>
        <v/>
      </c>
      <c r="AT676" s="179" t="str">
        <f t="array" ref="AT676">IF($F676&lt;&gt;"", XLOOKUP($F676,Productos!$A$2:$A1001,Productos!AM$2:AM1001,"")*$G676,"")</f>
        <v/>
      </c>
      <c r="AU676" s="179" t="str">
        <f t="array" ref="AU676">IF($F676&lt;&gt;"",XLOOKUP($F676,Productos!$A:$A,Productos!AN:AN,"Revisar"),"")</f>
        <v/>
      </c>
      <c r="AV676" s="179" t="str">
        <f t="array" ref="AV676">IF($F676&lt;&gt;"", XLOOKUP($F676,Productos!$A$2:$A1001,Productos!AO$2:AO1001,"")*$G676,"")</f>
        <v/>
      </c>
      <c r="AW676" s="179" t="str">
        <f t="array" ref="AW676">IF($F676&lt;&gt;"",XLOOKUP($F676,Productos!$A:$A,Productos!AP:AP,"Revisar"),"")</f>
        <v/>
      </c>
      <c r="AX676" s="179" t="str">
        <f t="array" ref="AX676">IF($F676&lt;&gt;"", XLOOKUP($F676,Productos!$A$2:$A1001,Productos!AQ$2:AQ1001,"")*$G676,"")</f>
        <v/>
      </c>
      <c r="AY676" s="179" t="str">
        <f t="array" ref="AY676">IF($F676&lt;&gt;"",XLOOKUP($F676,Productos!$A:$A,Productos!AR:AR,"Revisar"),"")</f>
        <v/>
      </c>
      <c r="AZ676" s="179" t="str">
        <f t="array" ref="AZ676">IF($F676&lt;&gt;"", XLOOKUP($F676,Productos!$A$2:$A1001,Productos!AS$2:AS1001,"")*$G676,"")</f>
        <v/>
      </c>
      <c r="BA676" s="179" t="str">
        <f t="array" ref="BA676">IF($F676&lt;&gt;"",XLOOKUP($F676,Productos!$A:$A,Productos!AT:AT,"Revisar"),"")</f>
        <v/>
      </c>
      <c r="BB676" s="179" t="str">
        <f t="array" ref="BB676">IF($F676&lt;&gt;"", XLOOKUP($F676,Productos!$A$2:$A1001,Productos!AU$2:AU1001,"")*$G676,"")</f>
        <v/>
      </c>
      <c r="BC676" s="179" t="str">
        <f t="array" ref="BC676">IF($F676&lt;&gt;"",XLOOKUP($F676,Productos!$A:$A,Productos!AV:AV,"Revisar"),"")</f>
        <v/>
      </c>
      <c r="BD676" s="179" t="str">
        <f t="array" ref="BD676">IF($F676&lt;&gt;"", XLOOKUP($F676,Productos!$A$2:$A1001,Productos!AW$2:AW1001,"")*$G676,"")</f>
        <v/>
      </c>
      <c r="BE676" s="179" t="str">
        <f t="array" ref="BE676">IF($F676&lt;&gt;"",XLOOKUP($F676,Productos!$A:$A,Productos!AX:AX,"Revisar"),"")</f>
        <v/>
      </c>
      <c r="BF676" s="179" t="str">
        <f t="array" ref="BF676">IF($F676&lt;&gt;"", XLOOKUP($F676,Productos!$A$2:$A1001,Productos!AY$2:AY1001,"")*$G676,"")</f>
        <v/>
      </c>
      <c r="BG676" s="179" t="str">
        <f t="array" ref="BG676">IF($F676&lt;&gt;"",XLOOKUP($F676,Productos!$A:$A,Productos!AZ:AZ,"Revisar"),"")</f>
        <v/>
      </c>
      <c r="BH676" s="179" t="str">
        <f t="array" ref="BH676">IF($F676&lt;&gt;"", XLOOKUP($F676,Productos!$A$2:$A1001,Productos!BA$2:BA1001,"")*$G676,"")</f>
        <v/>
      </c>
      <c r="BI676" s="179" t="str">
        <f t="array" ref="BI676">IF($F676&lt;&gt;"",XLOOKUP($F676,Productos!$A:$A,Productos!BB:BB,"Revisar"),"")</f>
        <v/>
      </c>
      <c r="BJ676" s="179" t="str">
        <f t="array" ref="BJ676">IF($F676&lt;&gt;"", XLOOKUP($F676,Productos!$A$2:$A1001,Productos!BC$2:BC1001,"")*$G676,"")</f>
        <v/>
      </c>
      <c r="BK676" s="179" t="str">
        <f t="array" ref="BK676">IF($F676&lt;&gt;"",XLOOKUP($F676,Productos!$A:$A,Productos!BD:BD,"Revisar"),"")</f>
        <v/>
      </c>
      <c r="BL676" s="179" t="str">
        <f t="array" ref="BL676">IF($F676&lt;&gt;"", XLOOKUP($F676,Productos!$A$2:$A1001,Productos!BE$2:BE1001,"")*$G676,"")</f>
        <v/>
      </c>
      <c r="BM676" s="179" t="str">
        <f t="array" ref="BM676">IF($F676&lt;&gt;"",XLOOKUP($F676,Productos!$A:$A,Productos!BF:BF,"Revisar"),"")</f>
        <v/>
      </c>
      <c r="BN676" s="179" t="str">
        <f t="array" ref="BN676">IF($F676&lt;&gt;"", XLOOKUP($F676,Productos!$A$2:$A1001,Productos!BG$2:BG1001,"")*$G676,"")</f>
        <v/>
      </c>
      <c r="BO676" s="179" t="str">
        <f t="array" ref="BO676">IF($F676&lt;&gt;"",XLOOKUP($F676,Productos!$A:$A,Productos!BH:BH,"Revisar"),"")</f>
        <v/>
      </c>
      <c r="BP676" s="179" t="str">
        <f t="array" ref="BP676">IF($F676&lt;&gt;"", XLOOKUP($F676,Productos!$A$2:$A1001,Productos!BI$2:BI1001,"")*$G676,"")</f>
        <v/>
      </c>
      <c r="BQ676" s="179" t="str">
        <f t="array" ref="BQ676">IF($F676&lt;&gt;"",XLOOKUP($F676,Productos!$A:$A,Productos!BJ:BJ,"Revisar"),"")</f>
        <v/>
      </c>
      <c r="BR676" s="179" t="str">
        <f t="array" ref="BR676">IF($F676&lt;&gt;"", XLOOKUP($F676,Productos!$A$2:$A1001,Productos!BK$2:BK1001,"")*$G676,"")</f>
        <v/>
      </c>
      <c r="BS676" s="179" t="str">
        <f t="array" ref="BS676">IF($F676&lt;&gt;"",XLOOKUP($F676,Productos!$A:$A,Productos!BL:BL,"Revisar"),"")</f>
        <v/>
      </c>
      <c r="BT676" s="179" t="str">
        <f t="array" ref="BT676">IF($F676&lt;&gt;"", XLOOKUP($F676,Productos!$A$2:$A1001,Productos!BM$2:BM1001,"")*$G676,"")</f>
        <v/>
      </c>
      <c r="BU676" s="179" t="str">
        <f t="array" ref="BU676">IF($F676&lt;&gt;"",XLOOKUP($F676,Productos!$A:$A,Productos!BN:BN,"Revisar"),"")</f>
        <v/>
      </c>
      <c r="BV676" s="179" t="str">
        <f t="array" ref="BV676">IF($F676&lt;&gt;"", XLOOKUP($F676,Productos!$A$2:$A1001,Productos!BO$2:BO1001,"")*$G676,"")</f>
        <v/>
      </c>
      <c r="BW676" s="179" t="str">
        <f t="array" ref="BW676">IF($F676&lt;&gt;"",XLOOKUP($F676,Productos!$A:$A,Productos!BP:BP,"Revisar"),"")</f>
        <v/>
      </c>
      <c r="BX676" s="179" t="str">
        <f t="array" ref="BX676">IF($F676&lt;&gt;"", XLOOKUP($F676,Productos!$A$2:$A1001,Productos!BQ$2:BQ1001,"")*$G676,"")</f>
        <v/>
      </c>
      <c r="BY676" s="179" t="str">
        <f t="array" ref="BY676">IF($F676&lt;&gt;"",XLOOKUP($F676,Productos!$A:$A,Productos!BR:BR,"Revisar"),"")</f>
        <v/>
      </c>
      <c r="BZ676" s="179" t="str">
        <f t="array" ref="BZ676">IF($F676&lt;&gt;"", XLOOKUP($F676,Productos!$A$2:$A1001,Productos!BS$2:BS1001,"")*$G676,"")</f>
        <v/>
      </c>
    </row>
    <row r="677">
      <c r="A677" s="188"/>
      <c r="B677" s="189"/>
      <c r="C677" s="190"/>
      <c r="D677" s="190"/>
      <c r="E677" s="191"/>
      <c r="F677" s="186"/>
      <c r="G677" s="192"/>
      <c r="H677" s="9"/>
      <c r="I677" s="179" t="str">
        <f t="array" ref="I677">IF($F677&lt;&gt;"",XLOOKUP($F677,Productos!$A:$A,Productos!B:B,"Revisar"),"")</f>
        <v/>
      </c>
      <c r="J677" s="179" t="str">
        <f t="array" ref="J677">IF($F677&lt;&gt;"", XLOOKUP($F677,Productos!$A$2:$A1001,Productos!C$2:C1001,"")*$G677,"")</f>
        <v/>
      </c>
      <c r="K677" s="179" t="str">
        <f t="array" ref="K677">IF($F677&lt;&gt;"",XLOOKUP($F677,Productos!$A:$A,Productos!D:D,"Revisar"),"")</f>
        <v/>
      </c>
      <c r="L677" s="179" t="str">
        <f t="array" ref="L677">IF($F677&lt;&gt;"", XLOOKUP($F677,Productos!$A$2:$A1001,Productos!E$2:E1001,"")*$G677,"")</f>
        <v/>
      </c>
      <c r="M677" s="179" t="str">
        <f t="array" ref="M677">IF($F677&lt;&gt;"",XLOOKUP($F677,Productos!$A:$A,Productos!F:F,"Revisar"),"")</f>
        <v/>
      </c>
      <c r="N677" s="179" t="str">
        <f t="array" ref="N677">IF($F677&lt;&gt;"", XLOOKUP($F677,Productos!$A$2:$A1001,Productos!G$2:G1001,"")*$G677,"")</f>
        <v/>
      </c>
      <c r="O677" s="179" t="str">
        <f t="array" ref="O677">IF($F677&lt;&gt;"",XLOOKUP($F677,Productos!$A:$A,Productos!H:H,"Revisar"),"")</f>
        <v/>
      </c>
      <c r="P677" s="179" t="str">
        <f t="array" ref="P677">IF($F677&lt;&gt;"", XLOOKUP($F677,Productos!$A$2:$A1001,Productos!I$2:I1001,"")*$G677,"")</f>
        <v/>
      </c>
      <c r="Q677" s="179" t="str">
        <f t="array" ref="Q677">IF($F677&lt;&gt;"",XLOOKUP($F677,Productos!$A:$A,Productos!J:J,"Revisar"),"")</f>
        <v/>
      </c>
      <c r="R677" s="179" t="str">
        <f t="array" ref="R677">IF($F677&lt;&gt;"", XLOOKUP($F677,Productos!$A$2:$A1001,Productos!K$2:K1001,"")*$G677,"")</f>
        <v/>
      </c>
      <c r="S677" s="179" t="str">
        <f t="array" ref="S677">IF($F677&lt;&gt;"",XLOOKUP($F677,Productos!$A:$A,Productos!L:L,"Revisar"),"")</f>
        <v/>
      </c>
      <c r="T677" s="179" t="str">
        <f t="array" ref="T677">IF($F677&lt;&gt;"", XLOOKUP($F677,Productos!$A$2:$A1001,Productos!M$2:M1001,"")*$G677,"")</f>
        <v/>
      </c>
      <c r="U677" s="179" t="str">
        <f t="array" ref="U677">IF($F677&lt;&gt;"",XLOOKUP($F677,Productos!$A:$A,Productos!N:N,"Revisar"),"")</f>
        <v/>
      </c>
      <c r="V677" s="179" t="str">
        <f t="array" ref="V677">IF($F677&lt;&gt;"", XLOOKUP($F677,Productos!$A$2:$A1001,Productos!O$2:O1001,"")*$G677,"")</f>
        <v/>
      </c>
      <c r="W677" s="179" t="str">
        <f t="array" ref="W677">IF($F677&lt;&gt;"",XLOOKUP($F677,Productos!$A:$A,Productos!P:P,"Revisar"),"")</f>
        <v/>
      </c>
      <c r="X677" s="179" t="str">
        <f t="array" ref="X677">IF($F677&lt;&gt;"", XLOOKUP($F677,Productos!$A$2:$A1001,Productos!Q$2:Q1001,"")*$G677,"")</f>
        <v/>
      </c>
      <c r="Y677" s="179" t="str">
        <f t="array" ref="Y677">IF($F677&lt;&gt;"",XLOOKUP($F677,Productos!$A:$A,Productos!R:R,"Revisar"),"")</f>
        <v/>
      </c>
      <c r="Z677" s="179" t="str">
        <f t="array" ref="Z677">IF($F677&lt;&gt;"", XLOOKUP($F677,Productos!$A$2:$A1001,Productos!S$2:S1001,"")*$G677,"")</f>
        <v/>
      </c>
      <c r="AA677" s="179" t="str">
        <f t="array" ref="AA677">IF($F677&lt;&gt;"",XLOOKUP($F677,Productos!$A:$A,Productos!T:T,"Revisar"),"")</f>
        <v/>
      </c>
      <c r="AB677" s="179" t="str">
        <f t="array" ref="AB677">IF($F677&lt;&gt;"", XLOOKUP($F677,Productos!$A$2:$A1001,Productos!U$2:U1001,"")*$G677,"")</f>
        <v/>
      </c>
      <c r="AC677" s="179" t="str">
        <f t="array" ref="AC677">IF($F677&lt;&gt;"",XLOOKUP($F677,Productos!$A:$A,Productos!V:V,"Revisar"),"")</f>
        <v/>
      </c>
      <c r="AD677" s="179" t="str">
        <f t="array" ref="AD677">IF($F677&lt;&gt;"", XLOOKUP($F677,Productos!$A$2:$A1001,Productos!W$2:W1001,"")*$G677,"")</f>
        <v/>
      </c>
      <c r="AE677" s="179" t="str">
        <f t="array" ref="AE677">IF($F677&lt;&gt;"",XLOOKUP($F677,Productos!$A:$A,Productos!X:X,"Revisar"),"")</f>
        <v/>
      </c>
      <c r="AF677" s="179" t="str">
        <f t="array" ref="AF677">IF($F677&lt;&gt;"", XLOOKUP($F677,Productos!$A$2:$A1001,Productos!Y$2:Y1001,"")*$G677,"")</f>
        <v/>
      </c>
      <c r="AG677" s="179" t="str">
        <f t="array" ref="AG677">IF($F677&lt;&gt;"",XLOOKUP($F677,Productos!$A:$A,Productos!Z:Z,"Revisar"),"")</f>
        <v/>
      </c>
      <c r="AH677" s="179" t="str">
        <f t="array" ref="AH677">IF($F677&lt;&gt;"", XLOOKUP($F677,Productos!$A$2:$A1001,Productos!AA$2:AA1001,"")*$G677,"")</f>
        <v/>
      </c>
      <c r="AI677" s="179" t="str">
        <f t="array" ref="AI677">IF($F677&lt;&gt;"",XLOOKUP($F677,Productos!$A:$A,Productos!AB:AB,"Revisar"),"")</f>
        <v/>
      </c>
      <c r="AJ677" s="179" t="str">
        <f t="array" ref="AJ677">IF($F677&lt;&gt;"", XLOOKUP($F677,Productos!$A$2:$A1001,Productos!AC$2:AC1001,"")*$G677,"")</f>
        <v/>
      </c>
      <c r="AK677" s="179" t="str">
        <f t="array" ref="AK677">IF($F677&lt;&gt;"",XLOOKUP($F677,Productos!$A:$A,Productos!AD:AD,"Revisar"),"")</f>
        <v/>
      </c>
      <c r="AL677" s="179" t="str">
        <f t="array" ref="AL677">IF($F677&lt;&gt;"", XLOOKUP($F677,Productos!$A$2:$A1001,Productos!AE$2:AE1001,"")*$G677,"")</f>
        <v/>
      </c>
      <c r="AM677" s="179" t="str">
        <f t="array" ref="AM677">IF($F677&lt;&gt;"",XLOOKUP($F677,Productos!$A:$A,Productos!AF:AF,"Revisar"),"")</f>
        <v/>
      </c>
      <c r="AN677" s="179" t="str">
        <f t="array" ref="AN677">IF($F677&lt;&gt;"", XLOOKUP($F677,Productos!$A$2:$A1001,Productos!AG$2:AG1001,"")*$G677,"")</f>
        <v/>
      </c>
      <c r="AO677" s="179" t="str">
        <f t="array" ref="AO677">IF($F677&lt;&gt;"",XLOOKUP($F677,Productos!$A:$A,Productos!AH:AH,"Revisar"),"")</f>
        <v/>
      </c>
      <c r="AP677" s="179" t="str">
        <f t="array" ref="AP677">IF($F677&lt;&gt;"", XLOOKUP($F677,Productos!$A$2:$A1001,Productos!AI$2:AI1001,"")*$G677,"")</f>
        <v/>
      </c>
      <c r="AQ677" s="179" t="str">
        <f t="array" ref="AQ677">IF($F677&lt;&gt;"",XLOOKUP($F677,Productos!$A:$A,Productos!AJ:AJ,"Revisar"),"")</f>
        <v/>
      </c>
      <c r="AR677" s="179" t="str">
        <f t="array" ref="AR677">IF($F677&lt;&gt;"", XLOOKUP($F677,Productos!$A$2:$A1001,Productos!AK$2:AK1001,"")*$G677,"")</f>
        <v/>
      </c>
      <c r="AS677" s="179" t="str">
        <f t="array" ref="AS677">IF($F677&lt;&gt;"",XLOOKUP($F677,Productos!$A:$A,Productos!AL:AL,"Revisar"),"")</f>
        <v/>
      </c>
      <c r="AT677" s="179" t="str">
        <f t="array" ref="AT677">IF($F677&lt;&gt;"", XLOOKUP($F677,Productos!$A$2:$A1001,Productos!AM$2:AM1001,"")*$G677,"")</f>
        <v/>
      </c>
      <c r="AU677" s="179" t="str">
        <f t="array" ref="AU677">IF($F677&lt;&gt;"",XLOOKUP($F677,Productos!$A:$A,Productos!AN:AN,"Revisar"),"")</f>
        <v/>
      </c>
      <c r="AV677" s="179" t="str">
        <f t="array" ref="AV677">IF($F677&lt;&gt;"", XLOOKUP($F677,Productos!$A$2:$A1001,Productos!AO$2:AO1001,"")*$G677,"")</f>
        <v/>
      </c>
      <c r="AW677" s="179" t="str">
        <f t="array" ref="AW677">IF($F677&lt;&gt;"",XLOOKUP($F677,Productos!$A:$A,Productos!AP:AP,"Revisar"),"")</f>
        <v/>
      </c>
      <c r="AX677" s="179" t="str">
        <f t="array" ref="AX677">IF($F677&lt;&gt;"", XLOOKUP($F677,Productos!$A$2:$A1001,Productos!AQ$2:AQ1001,"")*$G677,"")</f>
        <v/>
      </c>
      <c r="AY677" s="179" t="str">
        <f t="array" ref="AY677">IF($F677&lt;&gt;"",XLOOKUP($F677,Productos!$A:$A,Productos!AR:AR,"Revisar"),"")</f>
        <v/>
      </c>
      <c r="AZ677" s="179" t="str">
        <f t="array" ref="AZ677">IF($F677&lt;&gt;"", XLOOKUP($F677,Productos!$A$2:$A1001,Productos!AS$2:AS1001,"")*$G677,"")</f>
        <v/>
      </c>
      <c r="BA677" s="179" t="str">
        <f t="array" ref="BA677">IF($F677&lt;&gt;"",XLOOKUP($F677,Productos!$A:$A,Productos!AT:AT,"Revisar"),"")</f>
        <v/>
      </c>
      <c r="BB677" s="179" t="str">
        <f t="array" ref="BB677">IF($F677&lt;&gt;"", XLOOKUP($F677,Productos!$A$2:$A1001,Productos!AU$2:AU1001,"")*$G677,"")</f>
        <v/>
      </c>
      <c r="BC677" s="179" t="str">
        <f t="array" ref="BC677">IF($F677&lt;&gt;"",XLOOKUP($F677,Productos!$A:$A,Productos!AV:AV,"Revisar"),"")</f>
        <v/>
      </c>
      <c r="BD677" s="179" t="str">
        <f t="array" ref="BD677">IF($F677&lt;&gt;"", XLOOKUP($F677,Productos!$A$2:$A1001,Productos!AW$2:AW1001,"")*$G677,"")</f>
        <v/>
      </c>
      <c r="BE677" s="179" t="str">
        <f t="array" ref="BE677">IF($F677&lt;&gt;"",XLOOKUP($F677,Productos!$A:$A,Productos!AX:AX,"Revisar"),"")</f>
        <v/>
      </c>
      <c r="BF677" s="179" t="str">
        <f t="array" ref="BF677">IF($F677&lt;&gt;"", XLOOKUP($F677,Productos!$A$2:$A1001,Productos!AY$2:AY1001,"")*$G677,"")</f>
        <v/>
      </c>
      <c r="BG677" s="179" t="str">
        <f t="array" ref="BG677">IF($F677&lt;&gt;"",XLOOKUP($F677,Productos!$A:$A,Productos!AZ:AZ,"Revisar"),"")</f>
        <v/>
      </c>
      <c r="BH677" s="179" t="str">
        <f t="array" ref="BH677">IF($F677&lt;&gt;"", XLOOKUP($F677,Productos!$A$2:$A1001,Productos!BA$2:BA1001,"")*$G677,"")</f>
        <v/>
      </c>
      <c r="BI677" s="179" t="str">
        <f t="array" ref="BI677">IF($F677&lt;&gt;"",XLOOKUP($F677,Productos!$A:$A,Productos!BB:BB,"Revisar"),"")</f>
        <v/>
      </c>
      <c r="BJ677" s="179" t="str">
        <f t="array" ref="BJ677">IF($F677&lt;&gt;"", XLOOKUP($F677,Productos!$A$2:$A1001,Productos!BC$2:BC1001,"")*$G677,"")</f>
        <v/>
      </c>
      <c r="BK677" s="179" t="str">
        <f t="array" ref="BK677">IF($F677&lt;&gt;"",XLOOKUP($F677,Productos!$A:$A,Productos!BD:BD,"Revisar"),"")</f>
        <v/>
      </c>
      <c r="BL677" s="179" t="str">
        <f t="array" ref="BL677">IF($F677&lt;&gt;"", XLOOKUP($F677,Productos!$A$2:$A1001,Productos!BE$2:BE1001,"")*$G677,"")</f>
        <v/>
      </c>
      <c r="BM677" s="179" t="str">
        <f t="array" ref="BM677">IF($F677&lt;&gt;"",XLOOKUP($F677,Productos!$A:$A,Productos!BF:BF,"Revisar"),"")</f>
        <v/>
      </c>
      <c r="BN677" s="179" t="str">
        <f t="array" ref="BN677">IF($F677&lt;&gt;"", XLOOKUP($F677,Productos!$A$2:$A1001,Productos!BG$2:BG1001,"")*$G677,"")</f>
        <v/>
      </c>
      <c r="BO677" s="179" t="str">
        <f t="array" ref="BO677">IF($F677&lt;&gt;"",XLOOKUP($F677,Productos!$A:$A,Productos!BH:BH,"Revisar"),"")</f>
        <v/>
      </c>
      <c r="BP677" s="179" t="str">
        <f t="array" ref="BP677">IF($F677&lt;&gt;"", XLOOKUP($F677,Productos!$A$2:$A1001,Productos!BI$2:BI1001,"")*$G677,"")</f>
        <v/>
      </c>
      <c r="BQ677" s="179" t="str">
        <f t="array" ref="BQ677">IF($F677&lt;&gt;"",XLOOKUP($F677,Productos!$A:$A,Productos!BJ:BJ,"Revisar"),"")</f>
        <v/>
      </c>
      <c r="BR677" s="179" t="str">
        <f t="array" ref="BR677">IF($F677&lt;&gt;"", XLOOKUP($F677,Productos!$A$2:$A1001,Productos!BK$2:BK1001,"")*$G677,"")</f>
        <v/>
      </c>
      <c r="BS677" s="179" t="str">
        <f t="array" ref="BS677">IF($F677&lt;&gt;"",XLOOKUP($F677,Productos!$A:$A,Productos!BL:BL,"Revisar"),"")</f>
        <v/>
      </c>
      <c r="BT677" s="179" t="str">
        <f t="array" ref="BT677">IF($F677&lt;&gt;"", XLOOKUP($F677,Productos!$A$2:$A1001,Productos!BM$2:BM1001,"")*$G677,"")</f>
        <v/>
      </c>
      <c r="BU677" s="179" t="str">
        <f t="array" ref="BU677">IF($F677&lt;&gt;"",XLOOKUP($F677,Productos!$A:$A,Productos!BN:BN,"Revisar"),"")</f>
        <v/>
      </c>
      <c r="BV677" s="179" t="str">
        <f t="array" ref="BV677">IF($F677&lt;&gt;"", XLOOKUP($F677,Productos!$A$2:$A1001,Productos!BO$2:BO1001,"")*$G677,"")</f>
        <v/>
      </c>
      <c r="BW677" s="179" t="str">
        <f t="array" ref="BW677">IF($F677&lt;&gt;"",XLOOKUP($F677,Productos!$A:$A,Productos!BP:BP,"Revisar"),"")</f>
        <v/>
      </c>
      <c r="BX677" s="179" t="str">
        <f t="array" ref="BX677">IF($F677&lt;&gt;"", XLOOKUP($F677,Productos!$A$2:$A1001,Productos!BQ$2:BQ1001,"")*$G677,"")</f>
        <v/>
      </c>
      <c r="BY677" s="179" t="str">
        <f t="array" ref="BY677">IF($F677&lt;&gt;"",XLOOKUP($F677,Productos!$A:$A,Productos!BR:BR,"Revisar"),"")</f>
        <v/>
      </c>
      <c r="BZ677" s="179" t="str">
        <f t="array" ref="BZ677">IF($F677&lt;&gt;"", XLOOKUP($F677,Productos!$A$2:$A1001,Productos!BS$2:BS1001,"")*$G677,"")</f>
        <v/>
      </c>
    </row>
    <row r="678">
      <c r="A678" s="188"/>
      <c r="B678" s="189"/>
      <c r="C678" s="190"/>
      <c r="D678" s="190"/>
      <c r="E678" s="191"/>
      <c r="F678" s="186"/>
      <c r="G678" s="192"/>
      <c r="H678" s="9"/>
      <c r="I678" s="179" t="str">
        <f t="array" ref="I678">IF($F678&lt;&gt;"",XLOOKUP($F678,Productos!$A:$A,Productos!B:B,"Revisar"),"")</f>
        <v/>
      </c>
      <c r="J678" s="179" t="str">
        <f t="array" ref="J678">IF($F678&lt;&gt;"", XLOOKUP($F678,Productos!$A$2:$A1001,Productos!C$2:C1001,"")*$G678,"")</f>
        <v/>
      </c>
      <c r="K678" s="179" t="str">
        <f t="array" ref="K678">IF($F678&lt;&gt;"",XLOOKUP($F678,Productos!$A:$A,Productos!D:D,"Revisar"),"")</f>
        <v/>
      </c>
      <c r="L678" s="179" t="str">
        <f t="array" ref="L678">IF($F678&lt;&gt;"", XLOOKUP($F678,Productos!$A$2:$A1001,Productos!E$2:E1001,"")*$G678,"")</f>
        <v/>
      </c>
      <c r="M678" s="179" t="str">
        <f t="array" ref="M678">IF($F678&lt;&gt;"",XLOOKUP($F678,Productos!$A:$A,Productos!F:F,"Revisar"),"")</f>
        <v/>
      </c>
      <c r="N678" s="179" t="str">
        <f t="array" ref="N678">IF($F678&lt;&gt;"", XLOOKUP($F678,Productos!$A$2:$A1001,Productos!G$2:G1001,"")*$G678,"")</f>
        <v/>
      </c>
      <c r="O678" s="179" t="str">
        <f t="array" ref="O678">IF($F678&lt;&gt;"",XLOOKUP($F678,Productos!$A:$A,Productos!H:H,"Revisar"),"")</f>
        <v/>
      </c>
      <c r="P678" s="179" t="str">
        <f t="array" ref="P678">IF($F678&lt;&gt;"", XLOOKUP($F678,Productos!$A$2:$A1001,Productos!I$2:I1001,"")*$G678,"")</f>
        <v/>
      </c>
      <c r="Q678" s="179" t="str">
        <f t="array" ref="Q678">IF($F678&lt;&gt;"",XLOOKUP($F678,Productos!$A:$A,Productos!J:J,"Revisar"),"")</f>
        <v/>
      </c>
      <c r="R678" s="179" t="str">
        <f t="array" ref="R678">IF($F678&lt;&gt;"", XLOOKUP($F678,Productos!$A$2:$A1001,Productos!K$2:K1001,"")*$G678,"")</f>
        <v/>
      </c>
      <c r="S678" s="179" t="str">
        <f t="array" ref="S678">IF($F678&lt;&gt;"",XLOOKUP($F678,Productos!$A:$A,Productos!L:L,"Revisar"),"")</f>
        <v/>
      </c>
      <c r="T678" s="179" t="str">
        <f t="array" ref="T678">IF($F678&lt;&gt;"", XLOOKUP($F678,Productos!$A$2:$A1001,Productos!M$2:M1001,"")*$G678,"")</f>
        <v/>
      </c>
      <c r="U678" s="179" t="str">
        <f t="array" ref="U678">IF($F678&lt;&gt;"",XLOOKUP($F678,Productos!$A:$A,Productos!N:N,"Revisar"),"")</f>
        <v/>
      </c>
      <c r="V678" s="179" t="str">
        <f t="array" ref="V678">IF($F678&lt;&gt;"", XLOOKUP($F678,Productos!$A$2:$A1001,Productos!O$2:O1001,"")*$G678,"")</f>
        <v/>
      </c>
      <c r="W678" s="179" t="str">
        <f t="array" ref="W678">IF($F678&lt;&gt;"",XLOOKUP($F678,Productos!$A:$A,Productos!P:P,"Revisar"),"")</f>
        <v/>
      </c>
      <c r="X678" s="179" t="str">
        <f t="array" ref="X678">IF($F678&lt;&gt;"", XLOOKUP($F678,Productos!$A$2:$A1001,Productos!Q$2:Q1001,"")*$G678,"")</f>
        <v/>
      </c>
      <c r="Y678" s="179" t="str">
        <f t="array" ref="Y678">IF($F678&lt;&gt;"",XLOOKUP($F678,Productos!$A:$A,Productos!R:R,"Revisar"),"")</f>
        <v/>
      </c>
      <c r="Z678" s="179" t="str">
        <f t="array" ref="Z678">IF($F678&lt;&gt;"", XLOOKUP($F678,Productos!$A$2:$A1001,Productos!S$2:S1001,"")*$G678,"")</f>
        <v/>
      </c>
      <c r="AA678" s="179" t="str">
        <f t="array" ref="AA678">IF($F678&lt;&gt;"",XLOOKUP($F678,Productos!$A:$A,Productos!T:T,"Revisar"),"")</f>
        <v/>
      </c>
      <c r="AB678" s="179" t="str">
        <f t="array" ref="AB678">IF($F678&lt;&gt;"", XLOOKUP($F678,Productos!$A$2:$A1001,Productos!U$2:U1001,"")*$G678,"")</f>
        <v/>
      </c>
      <c r="AC678" s="179" t="str">
        <f t="array" ref="AC678">IF($F678&lt;&gt;"",XLOOKUP($F678,Productos!$A:$A,Productos!V:V,"Revisar"),"")</f>
        <v/>
      </c>
      <c r="AD678" s="179" t="str">
        <f t="array" ref="AD678">IF($F678&lt;&gt;"", XLOOKUP($F678,Productos!$A$2:$A1001,Productos!W$2:W1001,"")*$G678,"")</f>
        <v/>
      </c>
      <c r="AE678" s="179" t="str">
        <f t="array" ref="AE678">IF($F678&lt;&gt;"",XLOOKUP($F678,Productos!$A:$A,Productos!X:X,"Revisar"),"")</f>
        <v/>
      </c>
      <c r="AF678" s="179" t="str">
        <f t="array" ref="AF678">IF($F678&lt;&gt;"", XLOOKUP($F678,Productos!$A$2:$A1001,Productos!Y$2:Y1001,"")*$G678,"")</f>
        <v/>
      </c>
      <c r="AG678" s="179" t="str">
        <f t="array" ref="AG678">IF($F678&lt;&gt;"",XLOOKUP($F678,Productos!$A:$A,Productos!Z:Z,"Revisar"),"")</f>
        <v/>
      </c>
      <c r="AH678" s="179" t="str">
        <f t="array" ref="AH678">IF($F678&lt;&gt;"", XLOOKUP($F678,Productos!$A$2:$A1001,Productos!AA$2:AA1001,"")*$G678,"")</f>
        <v/>
      </c>
      <c r="AI678" s="179" t="str">
        <f t="array" ref="AI678">IF($F678&lt;&gt;"",XLOOKUP($F678,Productos!$A:$A,Productos!AB:AB,"Revisar"),"")</f>
        <v/>
      </c>
      <c r="AJ678" s="179" t="str">
        <f t="array" ref="AJ678">IF($F678&lt;&gt;"", XLOOKUP($F678,Productos!$A$2:$A1001,Productos!AC$2:AC1001,"")*$G678,"")</f>
        <v/>
      </c>
      <c r="AK678" s="179" t="str">
        <f t="array" ref="AK678">IF($F678&lt;&gt;"",XLOOKUP($F678,Productos!$A:$A,Productos!AD:AD,"Revisar"),"")</f>
        <v/>
      </c>
      <c r="AL678" s="179" t="str">
        <f t="array" ref="AL678">IF($F678&lt;&gt;"", XLOOKUP($F678,Productos!$A$2:$A1001,Productos!AE$2:AE1001,"")*$G678,"")</f>
        <v/>
      </c>
      <c r="AM678" s="179" t="str">
        <f t="array" ref="AM678">IF($F678&lt;&gt;"",XLOOKUP($F678,Productos!$A:$A,Productos!AF:AF,"Revisar"),"")</f>
        <v/>
      </c>
      <c r="AN678" s="179" t="str">
        <f t="array" ref="AN678">IF($F678&lt;&gt;"", XLOOKUP($F678,Productos!$A$2:$A1001,Productos!AG$2:AG1001,"")*$G678,"")</f>
        <v/>
      </c>
      <c r="AO678" s="179" t="str">
        <f t="array" ref="AO678">IF($F678&lt;&gt;"",XLOOKUP($F678,Productos!$A:$A,Productos!AH:AH,"Revisar"),"")</f>
        <v/>
      </c>
      <c r="AP678" s="179" t="str">
        <f t="array" ref="AP678">IF($F678&lt;&gt;"", XLOOKUP($F678,Productos!$A$2:$A1001,Productos!AI$2:AI1001,"")*$G678,"")</f>
        <v/>
      </c>
      <c r="AQ678" s="179" t="str">
        <f t="array" ref="AQ678">IF($F678&lt;&gt;"",XLOOKUP($F678,Productos!$A:$A,Productos!AJ:AJ,"Revisar"),"")</f>
        <v/>
      </c>
      <c r="AR678" s="179" t="str">
        <f t="array" ref="AR678">IF($F678&lt;&gt;"", XLOOKUP($F678,Productos!$A$2:$A1001,Productos!AK$2:AK1001,"")*$G678,"")</f>
        <v/>
      </c>
      <c r="AS678" s="179" t="str">
        <f t="array" ref="AS678">IF($F678&lt;&gt;"",XLOOKUP($F678,Productos!$A:$A,Productos!AL:AL,"Revisar"),"")</f>
        <v/>
      </c>
      <c r="AT678" s="179" t="str">
        <f t="array" ref="AT678">IF($F678&lt;&gt;"", XLOOKUP($F678,Productos!$A$2:$A1001,Productos!AM$2:AM1001,"")*$G678,"")</f>
        <v/>
      </c>
      <c r="AU678" s="179" t="str">
        <f t="array" ref="AU678">IF($F678&lt;&gt;"",XLOOKUP($F678,Productos!$A:$A,Productos!AN:AN,"Revisar"),"")</f>
        <v/>
      </c>
      <c r="AV678" s="179" t="str">
        <f t="array" ref="AV678">IF($F678&lt;&gt;"", XLOOKUP($F678,Productos!$A$2:$A1001,Productos!AO$2:AO1001,"")*$G678,"")</f>
        <v/>
      </c>
      <c r="AW678" s="179" t="str">
        <f t="array" ref="AW678">IF($F678&lt;&gt;"",XLOOKUP($F678,Productos!$A:$A,Productos!AP:AP,"Revisar"),"")</f>
        <v/>
      </c>
      <c r="AX678" s="179" t="str">
        <f t="array" ref="AX678">IF($F678&lt;&gt;"", XLOOKUP($F678,Productos!$A$2:$A1001,Productos!AQ$2:AQ1001,"")*$G678,"")</f>
        <v/>
      </c>
      <c r="AY678" s="179" t="str">
        <f t="array" ref="AY678">IF($F678&lt;&gt;"",XLOOKUP($F678,Productos!$A:$A,Productos!AR:AR,"Revisar"),"")</f>
        <v/>
      </c>
      <c r="AZ678" s="179" t="str">
        <f t="array" ref="AZ678">IF($F678&lt;&gt;"", XLOOKUP($F678,Productos!$A$2:$A1001,Productos!AS$2:AS1001,"")*$G678,"")</f>
        <v/>
      </c>
      <c r="BA678" s="179" t="str">
        <f t="array" ref="BA678">IF($F678&lt;&gt;"",XLOOKUP($F678,Productos!$A:$A,Productos!AT:AT,"Revisar"),"")</f>
        <v/>
      </c>
      <c r="BB678" s="179" t="str">
        <f t="array" ref="BB678">IF($F678&lt;&gt;"", XLOOKUP($F678,Productos!$A$2:$A1001,Productos!AU$2:AU1001,"")*$G678,"")</f>
        <v/>
      </c>
      <c r="BC678" s="179" t="str">
        <f t="array" ref="BC678">IF($F678&lt;&gt;"",XLOOKUP($F678,Productos!$A:$A,Productos!AV:AV,"Revisar"),"")</f>
        <v/>
      </c>
      <c r="BD678" s="179" t="str">
        <f t="array" ref="BD678">IF($F678&lt;&gt;"", XLOOKUP($F678,Productos!$A$2:$A1001,Productos!AW$2:AW1001,"")*$G678,"")</f>
        <v/>
      </c>
      <c r="BE678" s="179" t="str">
        <f t="array" ref="BE678">IF($F678&lt;&gt;"",XLOOKUP($F678,Productos!$A:$A,Productos!AX:AX,"Revisar"),"")</f>
        <v/>
      </c>
      <c r="BF678" s="179" t="str">
        <f t="array" ref="BF678">IF($F678&lt;&gt;"", XLOOKUP($F678,Productos!$A$2:$A1001,Productos!AY$2:AY1001,"")*$G678,"")</f>
        <v/>
      </c>
      <c r="BG678" s="179" t="str">
        <f t="array" ref="BG678">IF($F678&lt;&gt;"",XLOOKUP($F678,Productos!$A:$A,Productos!AZ:AZ,"Revisar"),"")</f>
        <v/>
      </c>
      <c r="BH678" s="179" t="str">
        <f t="array" ref="BH678">IF($F678&lt;&gt;"", XLOOKUP($F678,Productos!$A$2:$A1001,Productos!BA$2:BA1001,"")*$G678,"")</f>
        <v/>
      </c>
      <c r="BI678" s="179" t="str">
        <f t="array" ref="BI678">IF($F678&lt;&gt;"",XLOOKUP($F678,Productos!$A:$A,Productos!BB:BB,"Revisar"),"")</f>
        <v/>
      </c>
      <c r="BJ678" s="179" t="str">
        <f t="array" ref="BJ678">IF($F678&lt;&gt;"", XLOOKUP($F678,Productos!$A$2:$A1001,Productos!BC$2:BC1001,"")*$G678,"")</f>
        <v/>
      </c>
      <c r="BK678" s="179" t="str">
        <f t="array" ref="BK678">IF($F678&lt;&gt;"",XLOOKUP($F678,Productos!$A:$A,Productos!BD:BD,"Revisar"),"")</f>
        <v/>
      </c>
      <c r="BL678" s="179" t="str">
        <f t="array" ref="BL678">IF($F678&lt;&gt;"", XLOOKUP($F678,Productos!$A$2:$A1001,Productos!BE$2:BE1001,"")*$G678,"")</f>
        <v/>
      </c>
      <c r="BM678" s="179" t="str">
        <f t="array" ref="BM678">IF($F678&lt;&gt;"",XLOOKUP($F678,Productos!$A:$A,Productos!BF:BF,"Revisar"),"")</f>
        <v/>
      </c>
      <c r="BN678" s="179" t="str">
        <f t="array" ref="BN678">IF($F678&lt;&gt;"", XLOOKUP($F678,Productos!$A$2:$A1001,Productos!BG$2:BG1001,"")*$G678,"")</f>
        <v/>
      </c>
      <c r="BO678" s="179" t="str">
        <f t="array" ref="BO678">IF($F678&lt;&gt;"",XLOOKUP($F678,Productos!$A:$A,Productos!BH:BH,"Revisar"),"")</f>
        <v/>
      </c>
      <c r="BP678" s="179" t="str">
        <f t="array" ref="BP678">IF($F678&lt;&gt;"", XLOOKUP($F678,Productos!$A$2:$A1001,Productos!BI$2:BI1001,"")*$G678,"")</f>
        <v/>
      </c>
      <c r="BQ678" s="179" t="str">
        <f t="array" ref="BQ678">IF($F678&lt;&gt;"",XLOOKUP($F678,Productos!$A:$A,Productos!BJ:BJ,"Revisar"),"")</f>
        <v/>
      </c>
      <c r="BR678" s="179" t="str">
        <f t="array" ref="BR678">IF($F678&lt;&gt;"", XLOOKUP($F678,Productos!$A$2:$A1001,Productos!BK$2:BK1001,"")*$G678,"")</f>
        <v/>
      </c>
      <c r="BS678" s="179" t="str">
        <f t="array" ref="BS678">IF($F678&lt;&gt;"",XLOOKUP($F678,Productos!$A:$A,Productos!BL:BL,"Revisar"),"")</f>
        <v/>
      </c>
      <c r="BT678" s="179" t="str">
        <f t="array" ref="BT678">IF($F678&lt;&gt;"", XLOOKUP($F678,Productos!$A$2:$A1001,Productos!BM$2:BM1001,"")*$G678,"")</f>
        <v/>
      </c>
      <c r="BU678" s="179" t="str">
        <f t="array" ref="BU678">IF($F678&lt;&gt;"",XLOOKUP($F678,Productos!$A:$A,Productos!BN:BN,"Revisar"),"")</f>
        <v/>
      </c>
      <c r="BV678" s="179" t="str">
        <f t="array" ref="BV678">IF($F678&lt;&gt;"", XLOOKUP($F678,Productos!$A$2:$A1001,Productos!BO$2:BO1001,"")*$G678,"")</f>
        <v/>
      </c>
      <c r="BW678" s="179" t="str">
        <f t="array" ref="BW678">IF($F678&lt;&gt;"",XLOOKUP($F678,Productos!$A:$A,Productos!BP:BP,"Revisar"),"")</f>
        <v/>
      </c>
      <c r="BX678" s="179" t="str">
        <f t="array" ref="BX678">IF($F678&lt;&gt;"", XLOOKUP($F678,Productos!$A$2:$A1001,Productos!BQ$2:BQ1001,"")*$G678,"")</f>
        <v/>
      </c>
      <c r="BY678" s="179" t="str">
        <f t="array" ref="BY678">IF($F678&lt;&gt;"",XLOOKUP($F678,Productos!$A:$A,Productos!BR:BR,"Revisar"),"")</f>
        <v/>
      </c>
      <c r="BZ678" s="179" t="str">
        <f t="array" ref="BZ678">IF($F678&lt;&gt;"", XLOOKUP($F678,Productos!$A$2:$A1001,Productos!BS$2:BS1001,"")*$G678,"")</f>
        <v/>
      </c>
    </row>
    <row r="679">
      <c r="A679" s="188"/>
      <c r="B679" s="189"/>
      <c r="C679" s="190"/>
      <c r="D679" s="190"/>
      <c r="E679" s="191"/>
      <c r="F679" s="186"/>
      <c r="G679" s="192"/>
      <c r="H679" s="9"/>
      <c r="I679" s="179" t="str">
        <f t="array" ref="I679">IF($F679&lt;&gt;"",XLOOKUP($F679,Productos!$A:$A,Productos!B:B,"Revisar"),"")</f>
        <v/>
      </c>
      <c r="J679" s="179" t="str">
        <f t="array" ref="J679">IF($F679&lt;&gt;"", XLOOKUP($F679,Productos!$A$2:$A1001,Productos!C$2:C1001,"")*$G679,"")</f>
        <v/>
      </c>
      <c r="K679" s="179" t="str">
        <f t="array" ref="K679">IF($F679&lt;&gt;"",XLOOKUP($F679,Productos!$A:$A,Productos!D:D,"Revisar"),"")</f>
        <v/>
      </c>
      <c r="L679" s="179" t="str">
        <f t="array" ref="L679">IF($F679&lt;&gt;"", XLOOKUP($F679,Productos!$A$2:$A1001,Productos!E$2:E1001,"")*$G679,"")</f>
        <v/>
      </c>
      <c r="M679" s="179" t="str">
        <f t="array" ref="M679">IF($F679&lt;&gt;"",XLOOKUP($F679,Productos!$A:$A,Productos!F:F,"Revisar"),"")</f>
        <v/>
      </c>
      <c r="N679" s="179" t="str">
        <f t="array" ref="N679">IF($F679&lt;&gt;"", XLOOKUP($F679,Productos!$A$2:$A1001,Productos!G$2:G1001,"")*$G679,"")</f>
        <v/>
      </c>
      <c r="O679" s="179" t="str">
        <f t="array" ref="O679">IF($F679&lt;&gt;"",XLOOKUP($F679,Productos!$A:$A,Productos!H:H,"Revisar"),"")</f>
        <v/>
      </c>
      <c r="P679" s="179" t="str">
        <f t="array" ref="P679">IF($F679&lt;&gt;"", XLOOKUP($F679,Productos!$A$2:$A1001,Productos!I$2:I1001,"")*$G679,"")</f>
        <v/>
      </c>
      <c r="Q679" s="179" t="str">
        <f t="array" ref="Q679">IF($F679&lt;&gt;"",XLOOKUP($F679,Productos!$A:$A,Productos!J:J,"Revisar"),"")</f>
        <v/>
      </c>
      <c r="R679" s="179" t="str">
        <f t="array" ref="R679">IF($F679&lt;&gt;"", XLOOKUP($F679,Productos!$A$2:$A1001,Productos!K$2:K1001,"")*$G679,"")</f>
        <v/>
      </c>
      <c r="S679" s="179" t="str">
        <f t="array" ref="S679">IF($F679&lt;&gt;"",XLOOKUP($F679,Productos!$A:$A,Productos!L:L,"Revisar"),"")</f>
        <v/>
      </c>
      <c r="T679" s="179" t="str">
        <f t="array" ref="T679">IF($F679&lt;&gt;"", XLOOKUP($F679,Productos!$A$2:$A1001,Productos!M$2:M1001,"")*$G679,"")</f>
        <v/>
      </c>
      <c r="U679" s="179" t="str">
        <f t="array" ref="U679">IF($F679&lt;&gt;"",XLOOKUP($F679,Productos!$A:$A,Productos!N:N,"Revisar"),"")</f>
        <v/>
      </c>
      <c r="V679" s="179" t="str">
        <f t="array" ref="V679">IF($F679&lt;&gt;"", XLOOKUP($F679,Productos!$A$2:$A1001,Productos!O$2:O1001,"")*$G679,"")</f>
        <v/>
      </c>
      <c r="W679" s="179" t="str">
        <f t="array" ref="W679">IF($F679&lt;&gt;"",XLOOKUP($F679,Productos!$A:$A,Productos!P:P,"Revisar"),"")</f>
        <v/>
      </c>
      <c r="X679" s="179" t="str">
        <f t="array" ref="X679">IF($F679&lt;&gt;"", XLOOKUP($F679,Productos!$A$2:$A1001,Productos!Q$2:Q1001,"")*$G679,"")</f>
        <v/>
      </c>
      <c r="Y679" s="179" t="str">
        <f t="array" ref="Y679">IF($F679&lt;&gt;"",XLOOKUP($F679,Productos!$A:$A,Productos!R:R,"Revisar"),"")</f>
        <v/>
      </c>
      <c r="Z679" s="179" t="str">
        <f t="array" ref="Z679">IF($F679&lt;&gt;"", XLOOKUP($F679,Productos!$A$2:$A1001,Productos!S$2:S1001,"")*$G679,"")</f>
        <v/>
      </c>
      <c r="AA679" s="179" t="str">
        <f t="array" ref="AA679">IF($F679&lt;&gt;"",XLOOKUP($F679,Productos!$A:$A,Productos!T:T,"Revisar"),"")</f>
        <v/>
      </c>
      <c r="AB679" s="179" t="str">
        <f t="array" ref="AB679">IF($F679&lt;&gt;"", XLOOKUP($F679,Productos!$A$2:$A1001,Productos!U$2:U1001,"")*$G679,"")</f>
        <v/>
      </c>
      <c r="AC679" s="179" t="str">
        <f t="array" ref="AC679">IF($F679&lt;&gt;"",XLOOKUP($F679,Productos!$A:$A,Productos!V:V,"Revisar"),"")</f>
        <v/>
      </c>
      <c r="AD679" s="179" t="str">
        <f t="array" ref="AD679">IF($F679&lt;&gt;"", XLOOKUP($F679,Productos!$A$2:$A1001,Productos!W$2:W1001,"")*$G679,"")</f>
        <v/>
      </c>
      <c r="AE679" s="179" t="str">
        <f t="array" ref="AE679">IF($F679&lt;&gt;"",XLOOKUP($F679,Productos!$A:$A,Productos!X:X,"Revisar"),"")</f>
        <v/>
      </c>
      <c r="AF679" s="179" t="str">
        <f t="array" ref="AF679">IF($F679&lt;&gt;"", XLOOKUP($F679,Productos!$A$2:$A1001,Productos!Y$2:Y1001,"")*$G679,"")</f>
        <v/>
      </c>
      <c r="AG679" s="179" t="str">
        <f t="array" ref="AG679">IF($F679&lt;&gt;"",XLOOKUP($F679,Productos!$A:$A,Productos!Z:Z,"Revisar"),"")</f>
        <v/>
      </c>
      <c r="AH679" s="179" t="str">
        <f t="array" ref="AH679">IF($F679&lt;&gt;"", XLOOKUP($F679,Productos!$A$2:$A1001,Productos!AA$2:AA1001,"")*$G679,"")</f>
        <v/>
      </c>
      <c r="AI679" s="179" t="str">
        <f t="array" ref="AI679">IF($F679&lt;&gt;"",XLOOKUP($F679,Productos!$A:$A,Productos!AB:AB,"Revisar"),"")</f>
        <v/>
      </c>
      <c r="AJ679" s="179" t="str">
        <f t="array" ref="AJ679">IF($F679&lt;&gt;"", XLOOKUP($F679,Productos!$A$2:$A1001,Productos!AC$2:AC1001,"")*$G679,"")</f>
        <v/>
      </c>
      <c r="AK679" s="179" t="str">
        <f t="array" ref="AK679">IF($F679&lt;&gt;"",XLOOKUP($F679,Productos!$A:$A,Productos!AD:AD,"Revisar"),"")</f>
        <v/>
      </c>
      <c r="AL679" s="179" t="str">
        <f t="array" ref="AL679">IF($F679&lt;&gt;"", XLOOKUP($F679,Productos!$A$2:$A1001,Productos!AE$2:AE1001,"")*$G679,"")</f>
        <v/>
      </c>
      <c r="AM679" s="179" t="str">
        <f t="array" ref="AM679">IF($F679&lt;&gt;"",XLOOKUP($F679,Productos!$A:$A,Productos!AF:AF,"Revisar"),"")</f>
        <v/>
      </c>
      <c r="AN679" s="179" t="str">
        <f t="array" ref="AN679">IF($F679&lt;&gt;"", XLOOKUP($F679,Productos!$A$2:$A1001,Productos!AG$2:AG1001,"")*$G679,"")</f>
        <v/>
      </c>
      <c r="AO679" s="179" t="str">
        <f t="array" ref="AO679">IF($F679&lt;&gt;"",XLOOKUP($F679,Productos!$A:$A,Productos!AH:AH,"Revisar"),"")</f>
        <v/>
      </c>
      <c r="AP679" s="179" t="str">
        <f t="array" ref="AP679">IF($F679&lt;&gt;"", XLOOKUP($F679,Productos!$A$2:$A1001,Productos!AI$2:AI1001,"")*$G679,"")</f>
        <v/>
      </c>
      <c r="AQ679" s="179" t="str">
        <f t="array" ref="AQ679">IF($F679&lt;&gt;"",XLOOKUP($F679,Productos!$A:$A,Productos!AJ:AJ,"Revisar"),"")</f>
        <v/>
      </c>
      <c r="AR679" s="179" t="str">
        <f t="array" ref="AR679">IF($F679&lt;&gt;"", XLOOKUP($F679,Productos!$A$2:$A1001,Productos!AK$2:AK1001,"")*$G679,"")</f>
        <v/>
      </c>
      <c r="AS679" s="179" t="str">
        <f t="array" ref="AS679">IF($F679&lt;&gt;"",XLOOKUP($F679,Productos!$A:$A,Productos!AL:AL,"Revisar"),"")</f>
        <v/>
      </c>
      <c r="AT679" s="179" t="str">
        <f t="array" ref="AT679">IF($F679&lt;&gt;"", XLOOKUP($F679,Productos!$A$2:$A1001,Productos!AM$2:AM1001,"")*$G679,"")</f>
        <v/>
      </c>
      <c r="AU679" s="179" t="str">
        <f t="array" ref="AU679">IF($F679&lt;&gt;"",XLOOKUP($F679,Productos!$A:$A,Productos!AN:AN,"Revisar"),"")</f>
        <v/>
      </c>
      <c r="AV679" s="179" t="str">
        <f t="array" ref="AV679">IF($F679&lt;&gt;"", XLOOKUP($F679,Productos!$A$2:$A1001,Productos!AO$2:AO1001,"")*$G679,"")</f>
        <v/>
      </c>
      <c r="AW679" s="179" t="str">
        <f t="array" ref="AW679">IF($F679&lt;&gt;"",XLOOKUP($F679,Productos!$A:$A,Productos!AP:AP,"Revisar"),"")</f>
        <v/>
      </c>
      <c r="AX679" s="179" t="str">
        <f t="array" ref="AX679">IF($F679&lt;&gt;"", XLOOKUP($F679,Productos!$A$2:$A1001,Productos!AQ$2:AQ1001,"")*$G679,"")</f>
        <v/>
      </c>
      <c r="AY679" s="179" t="str">
        <f t="array" ref="AY679">IF($F679&lt;&gt;"",XLOOKUP($F679,Productos!$A:$A,Productos!AR:AR,"Revisar"),"")</f>
        <v/>
      </c>
      <c r="AZ679" s="179" t="str">
        <f t="array" ref="AZ679">IF($F679&lt;&gt;"", XLOOKUP($F679,Productos!$A$2:$A1001,Productos!AS$2:AS1001,"")*$G679,"")</f>
        <v/>
      </c>
      <c r="BA679" s="179" t="str">
        <f t="array" ref="BA679">IF($F679&lt;&gt;"",XLOOKUP($F679,Productos!$A:$A,Productos!AT:AT,"Revisar"),"")</f>
        <v/>
      </c>
      <c r="BB679" s="179" t="str">
        <f t="array" ref="BB679">IF($F679&lt;&gt;"", XLOOKUP($F679,Productos!$A$2:$A1001,Productos!AU$2:AU1001,"")*$G679,"")</f>
        <v/>
      </c>
      <c r="BC679" s="179" t="str">
        <f t="array" ref="BC679">IF($F679&lt;&gt;"",XLOOKUP($F679,Productos!$A:$A,Productos!AV:AV,"Revisar"),"")</f>
        <v/>
      </c>
      <c r="BD679" s="179" t="str">
        <f t="array" ref="BD679">IF($F679&lt;&gt;"", XLOOKUP($F679,Productos!$A$2:$A1001,Productos!AW$2:AW1001,"")*$G679,"")</f>
        <v/>
      </c>
      <c r="BE679" s="179" t="str">
        <f t="array" ref="BE679">IF($F679&lt;&gt;"",XLOOKUP($F679,Productos!$A:$A,Productos!AX:AX,"Revisar"),"")</f>
        <v/>
      </c>
      <c r="BF679" s="179" t="str">
        <f t="array" ref="BF679">IF($F679&lt;&gt;"", XLOOKUP($F679,Productos!$A$2:$A1001,Productos!AY$2:AY1001,"")*$G679,"")</f>
        <v/>
      </c>
      <c r="BG679" s="179" t="str">
        <f t="array" ref="BG679">IF($F679&lt;&gt;"",XLOOKUP($F679,Productos!$A:$A,Productos!AZ:AZ,"Revisar"),"")</f>
        <v/>
      </c>
      <c r="BH679" s="179" t="str">
        <f t="array" ref="BH679">IF($F679&lt;&gt;"", XLOOKUP($F679,Productos!$A$2:$A1001,Productos!BA$2:BA1001,"")*$G679,"")</f>
        <v/>
      </c>
      <c r="BI679" s="179" t="str">
        <f t="array" ref="BI679">IF($F679&lt;&gt;"",XLOOKUP($F679,Productos!$A:$A,Productos!BB:BB,"Revisar"),"")</f>
        <v/>
      </c>
      <c r="BJ679" s="179" t="str">
        <f t="array" ref="BJ679">IF($F679&lt;&gt;"", XLOOKUP($F679,Productos!$A$2:$A1001,Productos!BC$2:BC1001,"")*$G679,"")</f>
        <v/>
      </c>
      <c r="BK679" s="179" t="str">
        <f t="array" ref="BK679">IF($F679&lt;&gt;"",XLOOKUP($F679,Productos!$A:$A,Productos!BD:BD,"Revisar"),"")</f>
        <v/>
      </c>
      <c r="BL679" s="179" t="str">
        <f t="array" ref="BL679">IF($F679&lt;&gt;"", XLOOKUP($F679,Productos!$A$2:$A1001,Productos!BE$2:BE1001,"")*$G679,"")</f>
        <v/>
      </c>
      <c r="BM679" s="179" t="str">
        <f t="array" ref="BM679">IF($F679&lt;&gt;"",XLOOKUP($F679,Productos!$A:$A,Productos!BF:BF,"Revisar"),"")</f>
        <v/>
      </c>
      <c r="BN679" s="179" t="str">
        <f t="array" ref="BN679">IF($F679&lt;&gt;"", XLOOKUP($F679,Productos!$A$2:$A1001,Productos!BG$2:BG1001,"")*$G679,"")</f>
        <v/>
      </c>
      <c r="BO679" s="179" t="str">
        <f t="array" ref="BO679">IF($F679&lt;&gt;"",XLOOKUP($F679,Productos!$A:$A,Productos!BH:BH,"Revisar"),"")</f>
        <v/>
      </c>
      <c r="BP679" s="179" t="str">
        <f t="array" ref="BP679">IF($F679&lt;&gt;"", XLOOKUP($F679,Productos!$A$2:$A1001,Productos!BI$2:BI1001,"")*$G679,"")</f>
        <v/>
      </c>
      <c r="BQ679" s="179" t="str">
        <f t="array" ref="BQ679">IF($F679&lt;&gt;"",XLOOKUP($F679,Productos!$A:$A,Productos!BJ:BJ,"Revisar"),"")</f>
        <v/>
      </c>
      <c r="BR679" s="179" t="str">
        <f t="array" ref="BR679">IF($F679&lt;&gt;"", XLOOKUP($F679,Productos!$A$2:$A1001,Productos!BK$2:BK1001,"")*$G679,"")</f>
        <v/>
      </c>
      <c r="BS679" s="179" t="str">
        <f t="array" ref="BS679">IF($F679&lt;&gt;"",XLOOKUP($F679,Productos!$A:$A,Productos!BL:BL,"Revisar"),"")</f>
        <v/>
      </c>
      <c r="BT679" s="179" t="str">
        <f t="array" ref="BT679">IF($F679&lt;&gt;"", XLOOKUP($F679,Productos!$A$2:$A1001,Productos!BM$2:BM1001,"")*$G679,"")</f>
        <v/>
      </c>
      <c r="BU679" s="179" t="str">
        <f t="array" ref="BU679">IF($F679&lt;&gt;"",XLOOKUP($F679,Productos!$A:$A,Productos!BN:BN,"Revisar"),"")</f>
        <v/>
      </c>
      <c r="BV679" s="179" t="str">
        <f t="array" ref="BV679">IF($F679&lt;&gt;"", XLOOKUP($F679,Productos!$A$2:$A1001,Productos!BO$2:BO1001,"")*$G679,"")</f>
        <v/>
      </c>
      <c r="BW679" s="179" t="str">
        <f t="array" ref="BW679">IF($F679&lt;&gt;"",XLOOKUP($F679,Productos!$A:$A,Productos!BP:BP,"Revisar"),"")</f>
        <v/>
      </c>
      <c r="BX679" s="179" t="str">
        <f t="array" ref="BX679">IF($F679&lt;&gt;"", XLOOKUP($F679,Productos!$A$2:$A1001,Productos!BQ$2:BQ1001,"")*$G679,"")</f>
        <v/>
      </c>
      <c r="BY679" s="179" t="str">
        <f t="array" ref="BY679">IF($F679&lt;&gt;"",XLOOKUP($F679,Productos!$A:$A,Productos!BR:BR,"Revisar"),"")</f>
        <v/>
      </c>
      <c r="BZ679" s="179" t="str">
        <f t="array" ref="BZ679">IF($F679&lt;&gt;"", XLOOKUP($F679,Productos!$A$2:$A1001,Productos!BS$2:BS1001,"")*$G679,"")</f>
        <v/>
      </c>
    </row>
    <row r="680">
      <c r="A680" s="188"/>
      <c r="B680" s="189"/>
      <c r="C680" s="190"/>
      <c r="D680" s="190"/>
      <c r="E680" s="191"/>
      <c r="F680" s="186"/>
      <c r="G680" s="192"/>
      <c r="H680" s="9"/>
      <c r="I680" s="179" t="str">
        <f t="array" ref="I680">IF($F680&lt;&gt;"",XLOOKUP($F680,Productos!$A:$A,Productos!B:B,"Revisar"),"")</f>
        <v/>
      </c>
      <c r="J680" s="179" t="str">
        <f t="array" ref="J680">IF($F680&lt;&gt;"", XLOOKUP($F680,Productos!$A$2:$A1001,Productos!C$2:C1001,"")*$G680,"")</f>
        <v/>
      </c>
      <c r="K680" s="179" t="str">
        <f t="array" ref="K680">IF($F680&lt;&gt;"",XLOOKUP($F680,Productos!$A:$A,Productos!D:D,"Revisar"),"")</f>
        <v/>
      </c>
      <c r="L680" s="179" t="str">
        <f t="array" ref="L680">IF($F680&lt;&gt;"", XLOOKUP($F680,Productos!$A$2:$A1001,Productos!E$2:E1001,"")*$G680,"")</f>
        <v/>
      </c>
      <c r="M680" s="179" t="str">
        <f t="array" ref="M680">IF($F680&lt;&gt;"",XLOOKUP($F680,Productos!$A:$A,Productos!F:F,"Revisar"),"")</f>
        <v/>
      </c>
      <c r="N680" s="179" t="str">
        <f t="array" ref="N680">IF($F680&lt;&gt;"", XLOOKUP($F680,Productos!$A$2:$A1001,Productos!G$2:G1001,"")*$G680,"")</f>
        <v/>
      </c>
      <c r="O680" s="179" t="str">
        <f t="array" ref="O680">IF($F680&lt;&gt;"",XLOOKUP($F680,Productos!$A:$A,Productos!H:H,"Revisar"),"")</f>
        <v/>
      </c>
      <c r="P680" s="179" t="str">
        <f t="array" ref="P680">IF($F680&lt;&gt;"", XLOOKUP($F680,Productos!$A$2:$A1001,Productos!I$2:I1001,"")*$G680,"")</f>
        <v/>
      </c>
      <c r="Q680" s="179" t="str">
        <f t="array" ref="Q680">IF($F680&lt;&gt;"",XLOOKUP($F680,Productos!$A:$A,Productos!J:J,"Revisar"),"")</f>
        <v/>
      </c>
      <c r="R680" s="179" t="str">
        <f t="array" ref="R680">IF($F680&lt;&gt;"", XLOOKUP($F680,Productos!$A$2:$A1001,Productos!K$2:K1001,"")*$G680,"")</f>
        <v/>
      </c>
      <c r="S680" s="179" t="str">
        <f t="array" ref="S680">IF($F680&lt;&gt;"",XLOOKUP($F680,Productos!$A:$A,Productos!L:L,"Revisar"),"")</f>
        <v/>
      </c>
      <c r="T680" s="179" t="str">
        <f t="array" ref="T680">IF($F680&lt;&gt;"", XLOOKUP($F680,Productos!$A$2:$A1001,Productos!M$2:M1001,"")*$G680,"")</f>
        <v/>
      </c>
      <c r="U680" s="179" t="str">
        <f t="array" ref="U680">IF($F680&lt;&gt;"",XLOOKUP($F680,Productos!$A:$A,Productos!N:N,"Revisar"),"")</f>
        <v/>
      </c>
      <c r="V680" s="179" t="str">
        <f t="array" ref="V680">IF($F680&lt;&gt;"", XLOOKUP($F680,Productos!$A$2:$A1001,Productos!O$2:O1001,"")*$G680,"")</f>
        <v/>
      </c>
      <c r="W680" s="179" t="str">
        <f t="array" ref="W680">IF($F680&lt;&gt;"",XLOOKUP($F680,Productos!$A:$A,Productos!P:P,"Revisar"),"")</f>
        <v/>
      </c>
      <c r="X680" s="179" t="str">
        <f t="array" ref="X680">IF($F680&lt;&gt;"", XLOOKUP($F680,Productos!$A$2:$A1001,Productos!Q$2:Q1001,"")*$G680,"")</f>
        <v/>
      </c>
      <c r="Y680" s="179" t="str">
        <f t="array" ref="Y680">IF($F680&lt;&gt;"",XLOOKUP($F680,Productos!$A:$A,Productos!R:R,"Revisar"),"")</f>
        <v/>
      </c>
      <c r="Z680" s="179" t="str">
        <f t="array" ref="Z680">IF($F680&lt;&gt;"", XLOOKUP($F680,Productos!$A$2:$A1001,Productos!S$2:S1001,"")*$G680,"")</f>
        <v/>
      </c>
      <c r="AA680" s="179" t="str">
        <f t="array" ref="AA680">IF($F680&lt;&gt;"",XLOOKUP($F680,Productos!$A:$A,Productos!T:T,"Revisar"),"")</f>
        <v/>
      </c>
      <c r="AB680" s="179" t="str">
        <f t="array" ref="AB680">IF($F680&lt;&gt;"", XLOOKUP($F680,Productos!$A$2:$A1001,Productos!U$2:U1001,"")*$G680,"")</f>
        <v/>
      </c>
      <c r="AC680" s="179" t="str">
        <f t="array" ref="AC680">IF($F680&lt;&gt;"",XLOOKUP($F680,Productos!$A:$A,Productos!V:V,"Revisar"),"")</f>
        <v/>
      </c>
      <c r="AD680" s="179" t="str">
        <f t="array" ref="AD680">IF($F680&lt;&gt;"", XLOOKUP($F680,Productos!$A$2:$A1001,Productos!W$2:W1001,"")*$G680,"")</f>
        <v/>
      </c>
      <c r="AE680" s="179" t="str">
        <f t="array" ref="AE680">IF($F680&lt;&gt;"",XLOOKUP($F680,Productos!$A:$A,Productos!X:X,"Revisar"),"")</f>
        <v/>
      </c>
      <c r="AF680" s="179" t="str">
        <f t="array" ref="AF680">IF($F680&lt;&gt;"", XLOOKUP($F680,Productos!$A$2:$A1001,Productos!Y$2:Y1001,"")*$G680,"")</f>
        <v/>
      </c>
      <c r="AG680" s="179" t="str">
        <f t="array" ref="AG680">IF($F680&lt;&gt;"",XLOOKUP($F680,Productos!$A:$A,Productos!Z:Z,"Revisar"),"")</f>
        <v/>
      </c>
      <c r="AH680" s="179" t="str">
        <f t="array" ref="AH680">IF($F680&lt;&gt;"", XLOOKUP($F680,Productos!$A$2:$A1001,Productos!AA$2:AA1001,"")*$G680,"")</f>
        <v/>
      </c>
      <c r="AI680" s="179" t="str">
        <f t="array" ref="AI680">IF($F680&lt;&gt;"",XLOOKUP($F680,Productos!$A:$A,Productos!AB:AB,"Revisar"),"")</f>
        <v/>
      </c>
      <c r="AJ680" s="179" t="str">
        <f t="array" ref="AJ680">IF($F680&lt;&gt;"", XLOOKUP($F680,Productos!$A$2:$A1001,Productos!AC$2:AC1001,"")*$G680,"")</f>
        <v/>
      </c>
      <c r="AK680" s="179" t="str">
        <f t="array" ref="AK680">IF($F680&lt;&gt;"",XLOOKUP($F680,Productos!$A:$A,Productos!AD:AD,"Revisar"),"")</f>
        <v/>
      </c>
      <c r="AL680" s="179" t="str">
        <f t="array" ref="AL680">IF($F680&lt;&gt;"", XLOOKUP($F680,Productos!$A$2:$A1001,Productos!AE$2:AE1001,"")*$G680,"")</f>
        <v/>
      </c>
      <c r="AM680" s="179" t="str">
        <f t="array" ref="AM680">IF($F680&lt;&gt;"",XLOOKUP($F680,Productos!$A:$A,Productos!AF:AF,"Revisar"),"")</f>
        <v/>
      </c>
      <c r="AN680" s="179" t="str">
        <f t="array" ref="AN680">IF($F680&lt;&gt;"", XLOOKUP($F680,Productos!$A$2:$A1001,Productos!AG$2:AG1001,"")*$G680,"")</f>
        <v/>
      </c>
      <c r="AO680" s="179" t="str">
        <f t="array" ref="AO680">IF($F680&lt;&gt;"",XLOOKUP($F680,Productos!$A:$A,Productos!AH:AH,"Revisar"),"")</f>
        <v/>
      </c>
      <c r="AP680" s="179" t="str">
        <f t="array" ref="AP680">IF($F680&lt;&gt;"", XLOOKUP($F680,Productos!$A$2:$A1001,Productos!AI$2:AI1001,"")*$G680,"")</f>
        <v/>
      </c>
      <c r="AQ680" s="179" t="str">
        <f t="array" ref="AQ680">IF($F680&lt;&gt;"",XLOOKUP($F680,Productos!$A:$A,Productos!AJ:AJ,"Revisar"),"")</f>
        <v/>
      </c>
      <c r="AR680" s="179" t="str">
        <f t="array" ref="AR680">IF($F680&lt;&gt;"", XLOOKUP($F680,Productos!$A$2:$A1001,Productos!AK$2:AK1001,"")*$G680,"")</f>
        <v/>
      </c>
      <c r="AS680" s="179" t="str">
        <f t="array" ref="AS680">IF($F680&lt;&gt;"",XLOOKUP($F680,Productos!$A:$A,Productos!AL:AL,"Revisar"),"")</f>
        <v/>
      </c>
      <c r="AT680" s="179" t="str">
        <f t="array" ref="AT680">IF($F680&lt;&gt;"", XLOOKUP($F680,Productos!$A$2:$A1001,Productos!AM$2:AM1001,"")*$G680,"")</f>
        <v/>
      </c>
      <c r="AU680" s="179" t="str">
        <f t="array" ref="AU680">IF($F680&lt;&gt;"",XLOOKUP($F680,Productos!$A:$A,Productos!AN:AN,"Revisar"),"")</f>
        <v/>
      </c>
      <c r="AV680" s="179" t="str">
        <f t="array" ref="AV680">IF($F680&lt;&gt;"", XLOOKUP($F680,Productos!$A$2:$A1001,Productos!AO$2:AO1001,"")*$G680,"")</f>
        <v/>
      </c>
      <c r="AW680" s="179" t="str">
        <f t="array" ref="AW680">IF($F680&lt;&gt;"",XLOOKUP($F680,Productos!$A:$A,Productos!AP:AP,"Revisar"),"")</f>
        <v/>
      </c>
      <c r="AX680" s="179" t="str">
        <f t="array" ref="AX680">IF($F680&lt;&gt;"", XLOOKUP($F680,Productos!$A$2:$A1001,Productos!AQ$2:AQ1001,"")*$G680,"")</f>
        <v/>
      </c>
      <c r="AY680" s="179" t="str">
        <f t="array" ref="AY680">IF($F680&lt;&gt;"",XLOOKUP($F680,Productos!$A:$A,Productos!AR:AR,"Revisar"),"")</f>
        <v/>
      </c>
      <c r="AZ680" s="179" t="str">
        <f t="array" ref="AZ680">IF($F680&lt;&gt;"", XLOOKUP($F680,Productos!$A$2:$A1001,Productos!AS$2:AS1001,"")*$G680,"")</f>
        <v/>
      </c>
      <c r="BA680" s="179" t="str">
        <f t="array" ref="BA680">IF($F680&lt;&gt;"",XLOOKUP($F680,Productos!$A:$A,Productos!AT:AT,"Revisar"),"")</f>
        <v/>
      </c>
      <c r="BB680" s="179" t="str">
        <f t="array" ref="BB680">IF($F680&lt;&gt;"", XLOOKUP($F680,Productos!$A$2:$A1001,Productos!AU$2:AU1001,"")*$G680,"")</f>
        <v/>
      </c>
      <c r="BC680" s="179" t="str">
        <f t="array" ref="BC680">IF($F680&lt;&gt;"",XLOOKUP($F680,Productos!$A:$A,Productos!AV:AV,"Revisar"),"")</f>
        <v/>
      </c>
      <c r="BD680" s="179" t="str">
        <f t="array" ref="BD680">IF($F680&lt;&gt;"", XLOOKUP($F680,Productos!$A$2:$A1001,Productos!AW$2:AW1001,"")*$G680,"")</f>
        <v/>
      </c>
      <c r="BE680" s="179" t="str">
        <f t="array" ref="BE680">IF($F680&lt;&gt;"",XLOOKUP($F680,Productos!$A:$A,Productos!AX:AX,"Revisar"),"")</f>
        <v/>
      </c>
      <c r="BF680" s="179" t="str">
        <f t="array" ref="BF680">IF($F680&lt;&gt;"", XLOOKUP($F680,Productos!$A$2:$A1001,Productos!AY$2:AY1001,"")*$G680,"")</f>
        <v/>
      </c>
      <c r="BG680" s="179" t="str">
        <f t="array" ref="BG680">IF($F680&lt;&gt;"",XLOOKUP($F680,Productos!$A:$A,Productos!AZ:AZ,"Revisar"),"")</f>
        <v/>
      </c>
      <c r="BH680" s="179" t="str">
        <f t="array" ref="BH680">IF($F680&lt;&gt;"", XLOOKUP($F680,Productos!$A$2:$A1001,Productos!BA$2:BA1001,"")*$G680,"")</f>
        <v/>
      </c>
      <c r="BI680" s="179" t="str">
        <f t="array" ref="BI680">IF($F680&lt;&gt;"",XLOOKUP($F680,Productos!$A:$A,Productos!BB:BB,"Revisar"),"")</f>
        <v/>
      </c>
      <c r="BJ680" s="179" t="str">
        <f t="array" ref="BJ680">IF($F680&lt;&gt;"", XLOOKUP($F680,Productos!$A$2:$A1001,Productos!BC$2:BC1001,"")*$G680,"")</f>
        <v/>
      </c>
      <c r="BK680" s="179" t="str">
        <f t="array" ref="BK680">IF($F680&lt;&gt;"",XLOOKUP($F680,Productos!$A:$A,Productos!BD:BD,"Revisar"),"")</f>
        <v/>
      </c>
      <c r="BL680" s="179" t="str">
        <f t="array" ref="BL680">IF($F680&lt;&gt;"", XLOOKUP($F680,Productos!$A$2:$A1001,Productos!BE$2:BE1001,"")*$G680,"")</f>
        <v/>
      </c>
      <c r="BM680" s="179" t="str">
        <f t="array" ref="BM680">IF($F680&lt;&gt;"",XLOOKUP($F680,Productos!$A:$A,Productos!BF:BF,"Revisar"),"")</f>
        <v/>
      </c>
      <c r="BN680" s="179" t="str">
        <f t="array" ref="BN680">IF($F680&lt;&gt;"", XLOOKUP($F680,Productos!$A$2:$A1001,Productos!BG$2:BG1001,"")*$G680,"")</f>
        <v/>
      </c>
      <c r="BO680" s="179" t="str">
        <f t="array" ref="BO680">IF($F680&lt;&gt;"",XLOOKUP($F680,Productos!$A:$A,Productos!BH:BH,"Revisar"),"")</f>
        <v/>
      </c>
      <c r="BP680" s="179" t="str">
        <f t="array" ref="BP680">IF($F680&lt;&gt;"", XLOOKUP($F680,Productos!$A$2:$A1001,Productos!BI$2:BI1001,"")*$G680,"")</f>
        <v/>
      </c>
      <c r="BQ680" s="179" t="str">
        <f t="array" ref="BQ680">IF($F680&lt;&gt;"",XLOOKUP($F680,Productos!$A:$A,Productos!BJ:BJ,"Revisar"),"")</f>
        <v/>
      </c>
      <c r="BR680" s="179" t="str">
        <f t="array" ref="BR680">IF($F680&lt;&gt;"", XLOOKUP($F680,Productos!$A$2:$A1001,Productos!BK$2:BK1001,"")*$G680,"")</f>
        <v/>
      </c>
      <c r="BS680" s="179" t="str">
        <f t="array" ref="BS680">IF($F680&lt;&gt;"",XLOOKUP($F680,Productos!$A:$A,Productos!BL:BL,"Revisar"),"")</f>
        <v/>
      </c>
      <c r="BT680" s="179" t="str">
        <f t="array" ref="BT680">IF($F680&lt;&gt;"", XLOOKUP($F680,Productos!$A$2:$A1001,Productos!BM$2:BM1001,"")*$G680,"")</f>
        <v/>
      </c>
      <c r="BU680" s="179" t="str">
        <f t="array" ref="BU680">IF($F680&lt;&gt;"",XLOOKUP($F680,Productos!$A:$A,Productos!BN:BN,"Revisar"),"")</f>
        <v/>
      </c>
      <c r="BV680" s="179" t="str">
        <f t="array" ref="BV680">IF($F680&lt;&gt;"", XLOOKUP($F680,Productos!$A$2:$A1001,Productos!BO$2:BO1001,"")*$G680,"")</f>
        <v/>
      </c>
      <c r="BW680" s="179" t="str">
        <f t="array" ref="BW680">IF($F680&lt;&gt;"",XLOOKUP($F680,Productos!$A:$A,Productos!BP:BP,"Revisar"),"")</f>
        <v/>
      </c>
      <c r="BX680" s="179" t="str">
        <f t="array" ref="BX680">IF($F680&lt;&gt;"", XLOOKUP($F680,Productos!$A$2:$A1001,Productos!BQ$2:BQ1001,"")*$G680,"")</f>
        <v/>
      </c>
      <c r="BY680" s="179" t="str">
        <f t="array" ref="BY680">IF($F680&lt;&gt;"",XLOOKUP($F680,Productos!$A:$A,Productos!BR:BR,"Revisar"),"")</f>
        <v/>
      </c>
      <c r="BZ680" s="179" t="str">
        <f t="array" ref="BZ680">IF($F680&lt;&gt;"", XLOOKUP($F680,Productos!$A$2:$A1001,Productos!BS$2:BS1001,"")*$G680,"")</f>
        <v/>
      </c>
    </row>
    <row r="681">
      <c r="A681" s="188"/>
      <c r="B681" s="189"/>
      <c r="C681" s="190"/>
      <c r="D681" s="190"/>
      <c r="E681" s="191"/>
      <c r="F681" s="186"/>
      <c r="G681" s="192"/>
      <c r="H681" s="9"/>
      <c r="I681" s="179" t="str">
        <f t="array" ref="I681">IF($F681&lt;&gt;"",XLOOKUP($F681,Productos!$A:$A,Productos!B:B,"Revisar"),"")</f>
        <v/>
      </c>
      <c r="J681" s="179" t="str">
        <f t="array" ref="J681">IF($F681&lt;&gt;"", XLOOKUP($F681,Productos!$A$2:$A1001,Productos!C$2:C1001,"")*$G681,"")</f>
        <v/>
      </c>
      <c r="K681" s="179" t="str">
        <f t="array" ref="K681">IF($F681&lt;&gt;"",XLOOKUP($F681,Productos!$A:$A,Productos!D:D,"Revisar"),"")</f>
        <v/>
      </c>
      <c r="L681" s="179" t="str">
        <f t="array" ref="L681">IF($F681&lt;&gt;"", XLOOKUP($F681,Productos!$A$2:$A1001,Productos!E$2:E1001,"")*$G681,"")</f>
        <v/>
      </c>
      <c r="M681" s="179" t="str">
        <f t="array" ref="M681">IF($F681&lt;&gt;"",XLOOKUP($F681,Productos!$A:$A,Productos!F:F,"Revisar"),"")</f>
        <v/>
      </c>
      <c r="N681" s="179" t="str">
        <f t="array" ref="N681">IF($F681&lt;&gt;"", XLOOKUP($F681,Productos!$A$2:$A1001,Productos!G$2:G1001,"")*$G681,"")</f>
        <v/>
      </c>
      <c r="O681" s="179" t="str">
        <f t="array" ref="O681">IF($F681&lt;&gt;"",XLOOKUP($F681,Productos!$A:$A,Productos!H:H,"Revisar"),"")</f>
        <v/>
      </c>
      <c r="P681" s="179" t="str">
        <f t="array" ref="P681">IF($F681&lt;&gt;"", XLOOKUP($F681,Productos!$A$2:$A1001,Productos!I$2:I1001,"")*$G681,"")</f>
        <v/>
      </c>
      <c r="Q681" s="179" t="str">
        <f t="array" ref="Q681">IF($F681&lt;&gt;"",XLOOKUP($F681,Productos!$A:$A,Productos!J:J,"Revisar"),"")</f>
        <v/>
      </c>
      <c r="R681" s="179" t="str">
        <f t="array" ref="R681">IF($F681&lt;&gt;"", XLOOKUP($F681,Productos!$A$2:$A1001,Productos!K$2:K1001,"")*$G681,"")</f>
        <v/>
      </c>
      <c r="S681" s="179" t="str">
        <f t="array" ref="S681">IF($F681&lt;&gt;"",XLOOKUP($F681,Productos!$A:$A,Productos!L:L,"Revisar"),"")</f>
        <v/>
      </c>
      <c r="T681" s="179" t="str">
        <f t="array" ref="T681">IF($F681&lt;&gt;"", XLOOKUP($F681,Productos!$A$2:$A1001,Productos!M$2:M1001,"")*$G681,"")</f>
        <v/>
      </c>
      <c r="U681" s="179" t="str">
        <f t="array" ref="U681">IF($F681&lt;&gt;"",XLOOKUP($F681,Productos!$A:$A,Productos!N:N,"Revisar"),"")</f>
        <v/>
      </c>
      <c r="V681" s="179" t="str">
        <f t="array" ref="V681">IF($F681&lt;&gt;"", XLOOKUP($F681,Productos!$A$2:$A1001,Productos!O$2:O1001,"")*$G681,"")</f>
        <v/>
      </c>
      <c r="W681" s="179" t="str">
        <f t="array" ref="W681">IF($F681&lt;&gt;"",XLOOKUP($F681,Productos!$A:$A,Productos!P:P,"Revisar"),"")</f>
        <v/>
      </c>
      <c r="X681" s="179" t="str">
        <f t="array" ref="X681">IF($F681&lt;&gt;"", XLOOKUP($F681,Productos!$A$2:$A1001,Productos!Q$2:Q1001,"")*$G681,"")</f>
        <v/>
      </c>
      <c r="Y681" s="179" t="str">
        <f t="array" ref="Y681">IF($F681&lt;&gt;"",XLOOKUP($F681,Productos!$A:$A,Productos!R:R,"Revisar"),"")</f>
        <v/>
      </c>
      <c r="Z681" s="179" t="str">
        <f t="array" ref="Z681">IF($F681&lt;&gt;"", XLOOKUP($F681,Productos!$A$2:$A1001,Productos!S$2:S1001,"")*$G681,"")</f>
        <v/>
      </c>
      <c r="AA681" s="179" t="str">
        <f t="array" ref="AA681">IF($F681&lt;&gt;"",XLOOKUP($F681,Productos!$A:$A,Productos!T:T,"Revisar"),"")</f>
        <v/>
      </c>
      <c r="AB681" s="179" t="str">
        <f t="array" ref="AB681">IF($F681&lt;&gt;"", XLOOKUP($F681,Productos!$A$2:$A1001,Productos!U$2:U1001,"")*$G681,"")</f>
        <v/>
      </c>
      <c r="AC681" s="179" t="str">
        <f t="array" ref="AC681">IF($F681&lt;&gt;"",XLOOKUP($F681,Productos!$A:$A,Productos!V:V,"Revisar"),"")</f>
        <v/>
      </c>
      <c r="AD681" s="179" t="str">
        <f t="array" ref="AD681">IF($F681&lt;&gt;"", XLOOKUP($F681,Productos!$A$2:$A1001,Productos!W$2:W1001,"")*$G681,"")</f>
        <v/>
      </c>
      <c r="AE681" s="179" t="str">
        <f t="array" ref="AE681">IF($F681&lt;&gt;"",XLOOKUP($F681,Productos!$A:$A,Productos!X:X,"Revisar"),"")</f>
        <v/>
      </c>
      <c r="AF681" s="179" t="str">
        <f t="array" ref="AF681">IF($F681&lt;&gt;"", XLOOKUP($F681,Productos!$A$2:$A1001,Productos!Y$2:Y1001,"")*$G681,"")</f>
        <v/>
      </c>
      <c r="AG681" s="179" t="str">
        <f t="array" ref="AG681">IF($F681&lt;&gt;"",XLOOKUP($F681,Productos!$A:$A,Productos!Z:Z,"Revisar"),"")</f>
        <v/>
      </c>
      <c r="AH681" s="179" t="str">
        <f t="array" ref="AH681">IF($F681&lt;&gt;"", XLOOKUP($F681,Productos!$A$2:$A1001,Productos!AA$2:AA1001,"")*$G681,"")</f>
        <v/>
      </c>
      <c r="AI681" s="179" t="str">
        <f t="array" ref="AI681">IF($F681&lt;&gt;"",XLOOKUP($F681,Productos!$A:$A,Productos!AB:AB,"Revisar"),"")</f>
        <v/>
      </c>
      <c r="AJ681" s="179" t="str">
        <f t="array" ref="AJ681">IF($F681&lt;&gt;"", XLOOKUP($F681,Productos!$A$2:$A1001,Productos!AC$2:AC1001,"")*$G681,"")</f>
        <v/>
      </c>
      <c r="AK681" s="179" t="str">
        <f t="array" ref="AK681">IF($F681&lt;&gt;"",XLOOKUP($F681,Productos!$A:$A,Productos!AD:AD,"Revisar"),"")</f>
        <v/>
      </c>
      <c r="AL681" s="179" t="str">
        <f t="array" ref="AL681">IF($F681&lt;&gt;"", XLOOKUP($F681,Productos!$A$2:$A1001,Productos!AE$2:AE1001,"")*$G681,"")</f>
        <v/>
      </c>
      <c r="AM681" s="179" t="str">
        <f t="array" ref="AM681">IF($F681&lt;&gt;"",XLOOKUP($F681,Productos!$A:$A,Productos!AF:AF,"Revisar"),"")</f>
        <v/>
      </c>
      <c r="AN681" s="179" t="str">
        <f t="array" ref="AN681">IF($F681&lt;&gt;"", XLOOKUP($F681,Productos!$A$2:$A1001,Productos!AG$2:AG1001,"")*$G681,"")</f>
        <v/>
      </c>
      <c r="AO681" s="179" t="str">
        <f t="array" ref="AO681">IF($F681&lt;&gt;"",XLOOKUP($F681,Productos!$A:$A,Productos!AH:AH,"Revisar"),"")</f>
        <v/>
      </c>
      <c r="AP681" s="179" t="str">
        <f t="array" ref="AP681">IF($F681&lt;&gt;"", XLOOKUP($F681,Productos!$A$2:$A1001,Productos!AI$2:AI1001,"")*$G681,"")</f>
        <v/>
      </c>
      <c r="AQ681" s="179" t="str">
        <f t="array" ref="AQ681">IF($F681&lt;&gt;"",XLOOKUP($F681,Productos!$A:$A,Productos!AJ:AJ,"Revisar"),"")</f>
        <v/>
      </c>
      <c r="AR681" s="179" t="str">
        <f t="array" ref="AR681">IF($F681&lt;&gt;"", XLOOKUP($F681,Productos!$A$2:$A1001,Productos!AK$2:AK1001,"")*$G681,"")</f>
        <v/>
      </c>
      <c r="AS681" s="179" t="str">
        <f t="array" ref="AS681">IF($F681&lt;&gt;"",XLOOKUP($F681,Productos!$A:$A,Productos!AL:AL,"Revisar"),"")</f>
        <v/>
      </c>
      <c r="AT681" s="179" t="str">
        <f t="array" ref="AT681">IF($F681&lt;&gt;"", XLOOKUP($F681,Productos!$A$2:$A1001,Productos!AM$2:AM1001,"")*$G681,"")</f>
        <v/>
      </c>
      <c r="AU681" s="179" t="str">
        <f t="array" ref="AU681">IF($F681&lt;&gt;"",XLOOKUP($F681,Productos!$A:$A,Productos!AN:AN,"Revisar"),"")</f>
        <v/>
      </c>
      <c r="AV681" s="179" t="str">
        <f t="array" ref="AV681">IF($F681&lt;&gt;"", XLOOKUP($F681,Productos!$A$2:$A1001,Productos!AO$2:AO1001,"")*$G681,"")</f>
        <v/>
      </c>
      <c r="AW681" s="179" t="str">
        <f t="array" ref="AW681">IF($F681&lt;&gt;"",XLOOKUP($F681,Productos!$A:$A,Productos!AP:AP,"Revisar"),"")</f>
        <v/>
      </c>
      <c r="AX681" s="179" t="str">
        <f t="array" ref="AX681">IF($F681&lt;&gt;"", XLOOKUP($F681,Productos!$A$2:$A1001,Productos!AQ$2:AQ1001,"")*$G681,"")</f>
        <v/>
      </c>
      <c r="AY681" s="179" t="str">
        <f t="array" ref="AY681">IF($F681&lt;&gt;"",XLOOKUP($F681,Productos!$A:$A,Productos!AR:AR,"Revisar"),"")</f>
        <v/>
      </c>
      <c r="AZ681" s="179" t="str">
        <f t="array" ref="AZ681">IF($F681&lt;&gt;"", XLOOKUP($F681,Productos!$A$2:$A1001,Productos!AS$2:AS1001,"")*$G681,"")</f>
        <v/>
      </c>
      <c r="BA681" s="179" t="str">
        <f t="array" ref="BA681">IF($F681&lt;&gt;"",XLOOKUP($F681,Productos!$A:$A,Productos!AT:AT,"Revisar"),"")</f>
        <v/>
      </c>
      <c r="BB681" s="179" t="str">
        <f t="array" ref="BB681">IF($F681&lt;&gt;"", XLOOKUP($F681,Productos!$A$2:$A1001,Productos!AU$2:AU1001,"")*$G681,"")</f>
        <v/>
      </c>
      <c r="BC681" s="179" t="str">
        <f t="array" ref="BC681">IF($F681&lt;&gt;"",XLOOKUP($F681,Productos!$A:$A,Productos!AV:AV,"Revisar"),"")</f>
        <v/>
      </c>
      <c r="BD681" s="179" t="str">
        <f t="array" ref="BD681">IF($F681&lt;&gt;"", XLOOKUP($F681,Productos!$A$2:$A1001,Productos!AW$2:AW1001,"")*$G681,"")</f>
        <v/>
      </c>
      <c r="BE681" s="179" t="str">
        <f t="array" ref="BE681">IF($F681&lt;&gt;"",XLOOKUP($F681,Productos!$A:$A,Productos!AX:AX,"Revisar"),"")</f>
        <v/>
      </c>
      <c r="BF681" s="179" t="str">
        <f t="array" ref="BF681">IF($F681&lt;&gt;"", XLOOKUP($F681,Productos!$A$2:$A1001,Productos!AY$2:AY1001,"")*$G681,"")</f>
        <v/>
      </c>
      <c r="BG681" s="179" t="str">
        <f t="array" ref="BG681">IF($F681&lt;&gt;"",XLOOKUP($F681,Productos!$A:$A,Productos!AZ:AZ,"Revisar"),"")</f>
        <v/>
      </c>
      <c r="BH681" s="179" t="str">
        <f t="array" ref="BH681">IF($F681&lt;&gt;"", XLOOKUP($F681,Productos!$A$2:$A1001,Productos!BA$2:BA1001,"")*$G681,"")</f>
        <v/>
      </c>
      <c r="BI681" s="179" t="str">
        <f t="array" ref="BI681">IF($F681&lt;&gt;"",XLOOKUP($F681,Productos!$A:$A,Productos!BB:BB,"Revisar"),"")</f>
        <v/>
      </c>
      <c r="BJ681" s="179" t="str">
        <f t="array" ref="BJ681">IF($F681&lt;&gt;"", XLOOKUP($F681,Productos!$A$2:$A1001,Productos!BC$2:BC1001,"")*$G681,"")</f>
        <v/>
      </c>
      <c r="BK681" s="179" t="str">
        <f t="array" ref="BK681">IF($F681&lt;&gt;"",XLOOKUP($F681,Productos!$A:$A,Productos!BD:BD,"Revisar"),"")</f>
        <v/>
      </c>
      <c r="BL681" s="179" t="str">
        <f t="array" ref="BL681">IF($F681&lt;&gt;"", XLOOKUP($F681,Productos!$A$2:$A1001,Productos!BE$2:BE1001,"")*$G681,"")</f>
        <v/>
      </c>
      <c r="BM681" s="179" t="str">
        <f t="array" ref="BM681">IF($F681&lt;&gt;"",XLOOKUP($F681,Productos!$A:$A,Productos!BF:BF,"Revisar"),"")</f>
        <v/>
      </c>
      <c r="BN681" s="179" t="str">
        <f t="array" ref="BN681">IF($F681&lt;&gt;"", XLOOKUP($F681,Productos!$A$2:$A1001,Productos!BG$2:BG1001,"")*$G681,"")</f>
        <v/>
      </c>
      <c r="BO681" s="179" t="str">
        <f t="array" ref="BO681">IF($F681&lt;&gt;"",XLOOKUP($F681,Productos!$A:$A,Productos!BH:BH,"Revisar"),"")</f>
        <v/>
      </c>
      <c r="BP681" s="179" t="str">
        <f t="array" ref="BP681">IF($F681&lt;&gt;"", XLOOKUP($F681,Productos!$A$2:$A1001,Productos!BI$2:BI1001,"")*$G681,"")</f>
        <v/>
      </c>
      <c r="BQ681" s="179" t="str">
        <f t="array" ref="BQ681">IF($F681&lt;&gt;"",XLOOKUP($F681,Productos!$A:$A,Productos!BJ:BJ,"Revisar"),"")</f>
        <v/>
      </c>
      <c r="BR681" s="179" t="str">
        <f t="array" ref="BR681">IF($F681&lt;&gt;"", XLOOKUP($F681,Productos!$A$2:$A1001,Productos!BK$2:BK1001,"")*$G681,"")</f>
        <v/>
      </c>
      <c r="BS681" s="179" t="str">
        <f t="array" ref="BS681">IF($F681&lt;&gt;"",XLOOKUP($F681,Productos!$A:$A,Productos!BL:BL,"Revisar"),"")</f>
        <v/>
      </c>
      <c r="BT681" s="179" t="str">
        <f t="array" ref="BT681">IF($F681&lt;&gt;"", XLOOKUP($F681,Productos!$A$2:$A1001,Productos!BM$2:BM1001,"")*$G681,"")</f>
        <v/>
      </c>
      <c r="BU681" s="179" t="str">
        <f t="array" ref="BU681">IF($F681&lt;&gt;"",XLOOKUP($F681,Productos!$A:$A,Productos!BN:BN,"Revisar"),"")</f>
        <v/>
      </c>
      <c r="BV681" s="179" t="str">
        <f t="array" ref="BV681">IF($F681&lt;&gt;"", XLOOKUP($F681,Productos!$A$2:$A1001,Productos!BO$2:BO1001,"")*$G681,"")</f>
        <v/>
      </c>
      <c r="BW681" s="179" t="str">
        <f t="array" ref="BW681">IF($F681&lt;&gt;"",XLOOKUP($F681,Productos!$A:$A,Productos!BP:BP,"Revisar"),"")</f>
        <v/>
      </c>
      <c r="BX681" s="179" t="str">
        <f t="array" ref="BX681">IF($F681&lt;&gt;"", XLOOKUP($F681,Productos!$A$2:$A1001,Productos!BQ$2:BQ1001,"")*$G681,"")</f>
        <v/>
      </c>
      <c r="BY681" s="179" t="str">
        <f t="array" ref="BY681">IF($F681&lt;&gt;"",XLOOKUP($F681,Productos!$A:$A,Productos!BR:BR,"Revisar"),"")</f>
        <v/>
      </c>
      <c r="BZ681" s="179" t="str">
        <f t="array" ref="BZ681">IF($F681&lt;&gt;"", XLOOKUP($F681,Productos!$A$2:$A1001,Productos!BS$2:BS1001,"")*$G681,"")</f>
        <v/>
      </c>
    </row>
    <row r="682">
      <c r="A682" s="188"/>
      <c r="B682" s="189"/>
      <c r="C682" s="190"/>
      <c r="D682" s="190"/>
      <c r="E682" s="191"/>
      <c r="F682" s="186"/>
      <c r="G682" s="192"/>
      <c r="H682" s="9"/>
      <c r="I682" s="179" t="str">
        <f t="array" ref="I682">IF($F682&lt;&gt;"",XLOOKUP($F682,Productos!$A:$A,Productos!B:B,"Revisar"),"")</f>
        <v/>
      </c>
      <c r="J682" s="179" t="str">
        <f t="array" ref="J682">IF($F682&lt;&gt;"", XLOOKUP($F682,Productos!$A$2:$A1001,Productos!C$2:C1001,"")*$G682,"")</f>
        <v/>
      </c>
      <c r="K682" s="179" t="str">
        <f t="array" ref="K682">IF($F682&lt;&gt;"",XLOOKUP($F682,Productos!$A:$A,Productos!D:D,"Revisar"),"")</f>
        <v/>
      </c>
      <c r="L682" s="179" t="str">
        <f t="array" ref="L682">IF($F682&lt;&gt;"", XLOOKUP($F682,Productos!$A$2:$A1001,Productos!E$2:E1001,"")*$G682,"")</f>
        <v/>
      </c>
      <c r="M682" s="179" t="str">
        <f t="array" ref="M682">IF($F682&lt;&gt;"",XLOOKUP($F682,Productos!$A:$A,Productos!F:F,"Revisar"),"")</f>
        <v/>
      </c>
      <c r="N682" s="179" t="str">
        <f t="array" ref="N682">IF($F682&lt;&gt;"", XLOOKUP($F682,Productos!$A$2:$A1001,Productos!G$2:G1001,"")*$G682,"")</f>
        <v/>
      </c>
      <c r="O682" s="179" t="str">
        <f t="array" ref="O682">IF($F682&lt;&gt;"",XLOOKUP($F682,Productos!$A:$A,Productos!H:H,"Revisar"),"")</f>
        <v/>
      </c>
      <c r="P682" s="179" t="str">
        <f t="array" ref="P682">IF($F682&lt;&gt;"", XLOOKUP($F682,Productos!$A$2:$A1001,Productos!I$2:I1001,"")*$G682,"")</f>
        <v/>
      </c>
      <c r="Q682" s="179" t="str">
        <f t="array" ref="Q682">IF($F682&lt;&gt;"",XLOOKUP($F682,Productos!$A:$A,Productos!J:J,"Revisar"),"")</f>
        <v/>
      </c>
      <c r="R682" s="179" t="str">
        <f t="array" ref="R682">IF($F682&lt;&gt;"", XLOOKUP($F682,Productos!$A$2:$A1001,Productos!K$2:K1001,"")*$G682,"")</f>
        <v/>
      </c>
      <c r="S682" s="179" t="str">
        <f t="array" ref="S682">IF($F682&lt;&gt;"",XLOOKUP($F682,Productos!$A:$A,Productos!L:L,"Revisar"),"")</f>
        <v/>
      </c>
      <c r="T682" s="179" t="str">
        <f t="array" ref="T682">IF($F682&lt;&gt;"", XLOOKUP($F682,Productos!$A$2:$A1001,Productos!M$2:M1001,"")*$G682,"")</f>
        <v/>
      </c>
      <c r="U682" s="179" t="str">
        <f t="array" ref="U682">IF($F682&lt;&gt;"",XLOOKUP($F682,Productos!$A:$A,Productos!N:N,"Revisar"),"")</f>
        <v/>
      </c>
      <c r="V682" s="179" t="str">
        <f t="array" ref="V682">IF($F682&lt;&gt;"", XLOOKUP($F682,Productos!$A$2:$A1001,Productos!O$2:O1001,"")*$G682,"")</f>
        <v/>
      </c>
      <c r="W682" s="179" t="str">
        <f t="array" ref="W682">IF($F682&lt;&gt;"",XLOOKUP($F682,Productos!$A:$A,Productos!P:P,"Revisar"),"")</f>
        <v/>
      </c>
      <c r="X682" s="179" t="str">
        <f t="array" ref="X682">IF($F682&lt;&gt;"", XLOOKUP($F682,Productos!$A$2:$A1001,Productos!Q$2:Q1001,"")*$G682,"")</f>
        <v/>
      </c>
      <c r="Y682" s="179" t="str">
        <f t="array" ref="Y682">IF($F682&lt;&gt;"",XLOOKUP($F682,Productos!$A:$A,Productos!R:R,"Revisar"),"")</f>
        <v/>
      </c>
      <c r="Z682" s="179" t="str">
        <f t="array" ref="Z682">IF($F682&lt;&gt;"", XLOOKUP($F682,Productos!$A$2:$A1001,Productos!S$2:S1001,"")*$G682,"")</f>
        <v/>
      </c>
      <c r="AA682" s="179" t="str">
        <f t="array" ref="AA682">IF($F682&lt;&gt;"",XLOOKUP($F682,Productos!$A:$A,Productos!T:T,"Revisar"),"")</f>
        <v/>
      </c>
      <c r="AB682" s="179" t="str">
        <f t="array" ref="AB682">IF($F682&lt;&gt;"", XLOOKUP($F682,Productos!$A$2:$A1001,Productos!U$2:U1001,"")*$G682,"")</f>
        <v/>
      </c>
      <c r="AC682" s="179" t="str">
        <f t="array" ref="AC682">IF($F682&lt;&gt;"",XLOOKUP($F682,Productos!$A:$A,Productos!V:V,"Revisar"),"")</f>
        <v/>
      </c>
      <c r="AD682" s="179" t="str">
        <f t="array" ref="AD682">IF($F682&lt;&gt;"", XLOOKUP($F682,Productos!$A$2:$A1001,Productos!W$2:W1001,"")*$G682,"")</f>
        <v/>
      </c>
      <c r="AE682" s="179" t="str">
        <f t="array" ref="AE682">IF($F682&lt;&gt;"",XLOOKUP($F682,Productos!$A:$A,Productos!X:X,"Revisar"),"")</f>
        <v/>
      </c>
      <c r="AF682" s="179" t="str">
        <f t="array" ref="AF682">IF($F682&lt;&gt;"", XLOOKUP($F682,Productos!$A$2:$A1001,Productos!Y$2:Y1001,"")*$G682,"")</f>
        <v/>
      </c>
      <c r="AG682" s="179" t="str">
        <f t="array" ref="AG682">IF($F682&lt;&gt;"",XLOOKUP($F682,Productos!$A:$A,Productos!Z:Z,"Revisar"),"")</f>
        <v/>
      </c>
      <c r="AH682" s="179" t="str">
        <f t="array" ref="AH682">IF($F682&lt;&gt;"", XLOOKUP($F682,Productos!$A$2:$A1001,Productos!AA$2:AA1001,"")*$G682,"")</f>
        <v/>
      </c>
      <c r="AI682" s="179" t="str">
        <f t="array" ref="AI682">IF($F682&lt;&gt;"",XLOOKUP($F682,Productos!$A:$A,Productos!AB:AB,"Revisar"),"")</f>
        <v/>
      </c>
      <c r="AJ682" s="179" t="str">
        <f t="array" ref="AJ682">IF($F682&lt;&gt;"", XLOOKUP($F682,Productos!$A$2:$A1001,Productos!AC$2:AC1001,"")*$G682,"")</f>
        <v/>
      </c>
      <c r="AK682" s="179" t="str">
        <f t="array" ref="AK682">IF($F682&lt;&gt;"",XLOOKUP($F682,Productos!$A:$A,Productos!AD:AD,"Revisar"),"")</f>
        <v/>
      </c>
      <c r="AL682" s="179" t="str">
        <f t="array" ref="AL682">IF($F682&lt;&gt;"", XLOOKUP($F682,Productos!$A$2:$A1001,Productos!AE$2:AE1001,"")*$G682,"")</f>
        <v/>
      </c>
      <c r="AM682" s="179" t="str">
        <f t="array" ref="AM682">IF($F682&lt;&gt;"",XLOOKUP($F682,Productos!$A:$A,Productos!AF:AF,"Revisar"),"")</f>
        <v/>
      </c>
      <c r="AN682" s="179" t="str">
        <f t="array" ref="AN682">IF($F682&lt;&gt;"", XLOOKUP($F682,Productos!$A$2:$A1001,Productos!AG$2:AG1001,"")*$G682,"")</f>
        <v/>
      </c>
      <c r="AO682" s="179" t="str">
        <f t="array" ref="AO682">IF($F682&lt;&gt;"",XLOOKUP($F682,Productos!$A:$A,Productos!AH:AH,"Revisar"),"")</f>
        <v/>
      </c>
      <c r="AP682" s="179" t="str">
        <f t="array" ref="AP682">IF($F682&lt;&gt;"", XLOOKUP($F682,Productos!$A$2:$A1001,Productos!AI$2:AI1001,"")*$G682,"")</f>
        <v/>
      </c>
      <c r="AQ682" s="179" t="str">
        <f t="array" ref="AQ682">IF($F682&lt;&gt;"",XLOOKUP($F682,Productos!$A:$A,Productos!AJ:AJ,"Revisar"),"")</f>
        <v/>
      </c>
      <c r="AR682" s="179" t="str">
        <f t="array" ref="AR682">IF($F682&lt;&gt;"", XLOOKUP($F682,Productos!$A$2:$A1001,Productos!AK$2:AK1001,"")*$G682,"")</f>
        <v/>
      </c>
      <c r="AS682" s="179" t="str">
        <f t="array" ref="AS682">IF($F682&lt;&gt;"",XLOOKUP($F682,Productos!$A:$A,Productos!AL:AL,"Revisar"),"")</f>
        <v/>
      </c>
      <c r="AT682" s="179" t="str">
        <f t="array" ref="AT682">IF($F682&lt;&gt;"", XLOOKUP($F682,Productos!$A$2:$A1001,Productos!AM$2:AM1001,"")*$G682,"")</f>
        <v/>
      </c>
      <c r="AU682" s="179" t="str">
        <f t="array" ref="AU682">IF($F682&lt;&gt;"",XLOOKUP($F682,Productos!$A:$A,Productos!AN:AN,"Revisar"),"")</f>
        <v/>
      </c>
      <c r="AV682" s="179" t="str">
        <f t="array" ref="AV682">IF($F682&lt;&gt;"", XLOOKUP($F682,Productos!$A$2:$A1001,Productos!AO$2:AO1001,"")*$G682,"")</f>
        <v/>
      </c>
      <c r="AW682" s="179" t="str">
        <f t="array" ref="AW682">IF($F682&lt;&gt;"",XLOOKUP($F682,Productos!$A:$A,Productos!AP:AP,"Revisar"),"")</f>
        <v/>
      </c>
      <c r="AX682" s="179" t="str">
        <f t="array" ref="AX682">IF($F682&lt;&gt;"", XLOOKUP($F682,Productos!$A$2:$A1001,Productos!AQ$2:AQ1001,"")*$G682,"")</f>
        <v/>
      </c>
      <c r="AY682" s="179" t="str">
        <f t="array" ref="AY682">IF($F682&lt;&gt;"",XLOOKUP($F682,Productos!$A:$A,Productos!AR:AR,"Revisar"),"")</f>
        <v/>
      </c>
      <c r="AZ682" s="179" t="str">
        <f t="array" ref="AZ682">IF($F682&lt;&gt;"", XLOOKUP($F682,Productos!$A$2:$A1001,Productos!AS$2:AS1001,"")*$G682,"")</f>
        <v/>
      </c>
      <c r="BA682" s="179" t="str">
        <f t="array" ref="BA682">IF($F682&lt;&gt;"",XLOOKUP($F682,Productos!$A:$A,Productos!AT:AT,"Revisar"),"")</f>
        <v/>
      </c>
      <c r="BB682" s="179" t="str">
        <f t="array" ref="BB682">IF($F682&lt;&gt;"", XLOOKUP($F682,Productos!$A$2:$A1001,Productos!AU$2:AU1001,"")*$G682,"")</f>
        <v/>
      </c>
      <c r="BC682" s="179" t="str">
        <f t="array" ref="BC682">IF($F682&lt;&gt;"",XLOOKUP($F682,Productos!$A:$A,Productos!AV:AV,"Revisar"),"")</f>
        <v/>
      </c>
      <c r="BD682" s="179" t="str">
        <f t="array" ref="BD682">IF($F682&lt;&gt;"", XLOOKUP($F682,Productos!$A$2:$A1001,Productos!AW$2:AW1001,"")*$G682,"")</f>
        <v/>
      </c>
      <c r="BE682" s="179" t="str">
        <f t="array" ref="BE682">IF($F682&lt;&gt;"",XLOOKUP($F682,Productos!$A:$A,Productos!AX:AX,"Revisar"),"")</f>
        <v/>
      </c>
      <c r="BF682" s="179" t="str">
        <f t="array" ref="BF682">IF($F682&lt;&gt;"", XLOOKUP($F682,Productos!$A$2:$A1001,Productos!AY$2:AY1001,"")*$G682,"")</f>
        <v/>
      </c>
      <c r="BG682" s="179" t="str">
        <f t="array" ref="BG682">IF($F682&lt;&gt;"",XLOOKUP($F682,Productos!$A:$A,Productos!AZ:AZ,"Revisar"),"")</f>
        <v/>
      </c>
      <c r="BH682" s="179" t="str">
        <f t="array" ref="BH682">IF($F682&lt;&gt;"", XLOOKUP($F682,Productos!$A$2:$A1001,Productos!BA$2:BA1001,"")*$G682,"")</f>
        <v/>
      </c>
      <c r="BI682" s="179" t="str">
        <f t="array" ref="BI682">IF($F682&lt;&gt;"",XLOOKUP($F682,Productos!$A:$A,Productos!BB:BB,"Revisar"),"")</f>
        <v/>
      </c>
      <c r="BJ682" s="179" t="str">
        <f t="array" ref="BJ682">IF($F682&lt;&gt;"", XLOOKUP($F682,Productos!$A$2:$A1001,Productos!BC$2:BC1001,"")*$G682,"")</f>
        <v/>
      </c>
      <c r="BK682" s="179" t="str">
        <f t="array" ref="BK682">IF($F682&lt;&gt;"",XLOOKUP($F682,Productos!$A:$A,Productos!BD:BD,"Revisar"),"")</f>
        <v/>
      </c>
      <c r="BL682" s="179" t="str">
        <f t="array" ref="BL682">IF($F682&lt;&gt;"", XLOOKUP($F682,Productos!$A$2:$A1001,Productos!BE$2:BE1001,"")*$G682,"")</f>
        <v/>
      </c>
      <c r="BM682" s="179" t="str">
        <f t="array" ref="BM682">IF($F682&lt;&gt;"",XLOOKUP($F682,Productos!$A:$A,Productos!BF:BF,"Revisar"),"")</f>
        <v/>
      </c>
      <c r="BN682" s="179" t="str">
        <f t="array" ref="BN682">IF($F682&lt;&gt;"", XLOOKUP($F682,Productos!$A$2:$A1001,Productos!BG$2:BG1001,"")*$G682,"")</f>
        <v/>
      </c>
      <c r="BO682" s="179" t="str">
        <f t="array" ref="BO682">IF($F682&lt;&gt;"",XLOOKUP($F682,Productos!$A:$A,Productos!BH:BH,"Revisar"),"")</f>
        <v/>
      </c>
      <c r="BP682" s="179" t="str">
        <f t="array" ref="BP682">IF($F682&lt;&gt;"", XLOOKUP($F682,Productos!$A$2:$A1001,Productos!BI$2:BI1001,"")*$G682,"")</f>
        <v/>
      </c>
      <c r="BQ682" s="179" t="str">
        <f t="array" ref="BQ682">IF($F682&lt;&gt;"",XLOOKUP($F682,Productos!$A:$A,Productos!BJ:BJ,"Revisar"),"")</f>
        <v/>
      </c>
      <c r="BR682" s="179" t="str">
        <f t="array" ref="BR682">IF($F682&lt;&gt;"", XLOOKUP($F682,Productos!$A$2:$A1001,Productos!BK$2:BK1001,"")*$G682,"")</f>
        <v/>
      </c>
      <c r="BS682" s="179" t="str">
        <f t="array" ref="BS682">IF($F682&lt;&gt;"",XLOOKUP($F682,Productos!$A:$A,Productos!BL:BL,"Revisar"),"")</f>
        <v/>
      </c>
      <c r="BT682" s="179" t="str">
        <f t="array" ref="BT682">IF($F682&lt;&gt;"", XLOOKUP($F682,Productos!$A$2:$A1001,Productos!BM$2:BM1001,"")*$G682,"")</f>
        <v/>
      </c>
      <c r="BU682" s="179" t="str">
        <f t="array" ref="BU682">IF($F682&lt;&gt;"",XLOOKUP($F682,Productos!$A:$A,Productos!BN:BN,"Revisar"),"")</f>
        <v/>
      </c>
      <c r="BV682" s="179" t="str">
        <f t="array" ref="BV682">IF($F682&lt;&gt;"", XLOOKUP($F682,Productos!$A$2:$A1001,Productos!BO$2:BO1001,"")*$G682,"")</f>
        <v/>
      </c>
      <c r="BW682" s="179" t="str">
        <f t="array" ref="BW682">IF($F682&lt;&gt;"",XLOOKUP($F682,Productos!$A:$A,Productos!BP:BP,"Revisar"),"")</f>
        <v/>
      </c>
      <c r="BX682" s="179" t="str">
        <f t="array" ref="BX682">IF($F682&lt;&gt;"", XLOOKUP($F682,Productos!$A$2:$A1001,Productos!BQ$2:BQ1001,"")*$G682,"")</f>
        <v/>
      </c>
      <c r="BY682" s="179" t="str">
        <f t="array" ref="BY682">IF($F682&lt;&gt;"",XLOOKUP($F682,Productos!$A:$A,Productos!BR:BR,"Revisar"),"")</f>
        <v/>
      </c>
      <c r="BZ682" s="179" t="str">
        <f t="array" ref="BZ682">IF($F682&lt;&gt;"", XLOOKUP($F682,Productos!$A$2:$A1001,Productos!BS$2:BS1001,"")*$G682,"")</f>
        <v/>
      </c>
    </row>
    <row r="683">
      <c r="A683" s="188"/>
      <c r="B683" s="189"/>
      <c r="C683" s="190"/>
      <c r="D683" s="190"/>
      <c r="E683" s="191"/>
      <c r="F683" s="186"/>
      <c r="G683" s="192"/>
      <c r="H683" s="9"/>
      <c r="I683" s="179" t="str">
        <f t="array" ref="I683">IF($F683&lt;&gt;"",XLOOKUP($F683,Productos!$A:$A,Productos!B:B,"Revisar"),"")</f>
        <v/>
      </c>
      <c r="J683" s="179" t="str">
        <f t="array" ref="J683">IF($F683&lt;&gt;"", XLOOKUP($F683,Productos!$A$2:$A1001,Productos!C$2:C1001,"")*$G683,"")</f>
        <v/>
      </c>
      <c r="K683" s="179" t="str">
        <f t="array" ref="K683">IF($F683&lt;&gt;"",XLOOKUP($F683,Productos!$A:$A,Productos!D:D,"Revisar"),"")</f>
        <v/>
      </c>
      <c r="L683" s="179" t="str">
        <f t="array" ref="L683">IF($F683&lt;&gt;"", XLOOKUP($F683,Productos!$A$2:$A1001,Productos!E$2:E1001,"")*$G683,"")</f>
        <v/>
      </c>
      <c r="M683" s="179" t="str">
        <f t="array" ref="M683">IF($F683&lt;&gt;"",XLOOKUP($F683,Productos!$A:$A,Productos!F:F,"Revisar"),"")</f>
        <v/>
      </c>
      <c r="N683" s="179" t="str">
        <f t="array" ref="N683">IF($F683&lt;&gt;"", XLOOKUP($F683,Productos!$A$2:$A1001,Productos!G$2:G1001,"")*$G683,"")</f>
        <v/>
      </c>
      <c r="O683" s="179" t="str">
        <f t="array" ref="O683">IF($F683&lt;&gt;"",XLOOKUP($F683,Productos!$A:$A,Productos!H:H,"Revisar"),"")</f>
        <v/>
      </c>
      <c r="P683" s="179" t="str">
        <f t="array" ref="P683">IF($F683&lt;&gt;"", XLOOKUP($F683,Productos!$A$2:$A1001,Productos!I$2:I1001,"")*$G683,"")</f>
        <v/>
      </c>
      <c r="Q683" s="179" t="str">
        <f t="array" ref="Q683">IF($F683&lt;&gt;"",XLOOKUP($F683,Productos!$A:$A,Productos!J:J,"Revisar"),"")</f>
        <v/>
      </c>
      <c r="R683" s="179" t="str">
        <f t="array" ref="R683">IF($F683&lt;&gt;"", XLOOKUP($F683,Productos!$A$2:$A1001,Productos!K$2:K1001,"")*$G683,"")</f>
        <v/>
      </c>
      <c r="S683" s="179" t="str">
        <f t="array" ref="S683">IF($F683&lt;&gt;"",XLOOKUP($F683,Productos!$A:$A,Productos!L:L,"Revisar"),"")</f>
        <v/>
      </c>
      <c r="T683" s="179" t="str">
        <f t="array" ref="T683">IF($F683&lt;&gt;"", XLOOKUP($F683,Productos!$A$2:$A1001,Productos!M$2:M1001,"")*$G683,"")</f>
        <v/>
      </c>
      <c r="U683" s="179" t="str">
        <f t="array" ref="U683">IF($F683&lt;&gt;"",XLOOKUP($F683,Productos!$A:$A,Productos!N:N,"Revisar"),"")</f>
        <v/>
      </c>
      <c r="V683" s="179" t="str">
        <f t="array" ref="V683">IF($F683&lt;&gt;"", XLOOKUP($F683,Productos!$A$2:$A1001,Productos!O$2:O1001,"")*$G683,"")</f>
        <v/>
      </c>
      <c r="W683" s="179" t="str">
        <f t="array" ref="W683">IF($F683&lt;&gt;"",XLOOKUP($F683,Productos!$A:$A,Productos!P:P,"Revisar"),"")</f>
        <v/>
      </c>
      <c r="X683" s="179" t="str">
        <f t="array" ref="X683">IF($F683&lt;&gt;"", XLOOKUP($F683,Productos!$A$2:$A1001,Productos!Q$2:Q1001,"")*$G683,"")</f>
        <v/>
      </c>
      <c r="Y683" s="179" t="str">
        <f t="array" ref="Y683">IF($F683&lt;&gt;"",XLOOKUP($F683,Productos!$A:$A,Productos!R:R,"Revisar"),"")</f>
        <v/>
      </c>
      <c r="Z683" s="179" t="str">
        <f t="array" ref="Z683">IF($F683&lt;&gt;"", XLOOKUP($F683,Productos!$A$2:$A1001,Productos!S$2:S1001,"")*$G683,"")</f>
        <v/>
      </c>
      <c r="AA683" s="179" t="str">
        <f t="array" ref="AA683">IF($F683&lt;&gt;"",XLOOKUP($F683,Productos!$A:$A,Productos!T:T,"Revisar"),"")</f>
        <v/>
      </c>
      <c r="AB683" s="179" t="str">
        <f t="array" ref="AB683">IF($F683&lt;&gt;"", XLOOKUP($F683,Productos!$A$2:$A1001,Productos!U$2:U1001,"")*$G683,"")</f>
        <v/>
      </c>
      <c r="AC683" s="179" t="str">
        <f t="array" ref="AC683">IF($F683&lt;&gt;"",XLOOKUP($F683,Productos!$A:$A,Productos!V:V,"Revisar"),"")</f>
        <v/>
      </c>
      <c r="AD683" s="179" t="str">
        <f t="array" ref="AD683">IF($F683&lt;&gt;"", XLOOKUP($F683,Productos!$A$2:$A1001,Productos!W$2:W1001,"")*$G683,"")</f>
        <v/>
      </c>
      <c r="AE683" s="179" t="str">
        <f t="array" ref="AE683">IF($F683&lt;&gt;"",XLOOKUP($F683,Productos!$A:$A,Productos!X:X,"Revisar"),"")</f>
        <v/>
      </c>
      <c r="AF683" s="179" t="str">
        <f t="array" ref="AF683">IF($F683&lt;&gt;"", XLOOKUP($F683,Productos!$A$2:$A1001,Productos!Y$2:Y1001,"")*$G683,"")</f>
        <v/>
      </c>
      <c r="AG683" s="179" t="str">
        <f t="array" ref="AG683">IF($F683&lt;&gt;"",XLOOKUP($F683,Productos!$A:$A,Productos!Z:Z,"Revisar"),"")</f>
        <v/>
      </c>
      <c r="AH683" s="179" t="str">
        <f t="array" ref="AH683">IF($F683&lt;&gt;"", XLOOKUP($F683,Productos!$A$2:$A1001,Productos!AA$2:AA1001,"")*$G683,"")</f>
        <v/>
      </c>
      <c r="AI683" s="179" t="str">
        <f t="array" ref="AI683">IF($F683&lt;&gt;"",XLOOKUP($F683,Productos!$A:$A,Productos!AB:AB,"Revisar"),"")</f>
        <v/>
      </c>
      <c r="AJ683" s="179" t="str">
        <f t="array" ref="AJ683">IF($F683&lt;&gt;"", XLOOKUP($F683,Productos!$A$2:$A1001,Productos!AC$2:AC1001,"")*$G683,"")</f>
        <v/>
      </c>
      <c r="AK683" s="179" t="str">
        <f t="array" ref="AK683">IF($F683&lt;&gt;"",XLOOKUP($F683,Productos!$A:$A,Productos!AD:AD,"Revisar"),"")</f>
        <v/>
      </c>
      <c r="AL683" s="179" t="str">
        <f t="array" ref="AL683">IF($F683&lt;&gt;"", XLOOKUP($F683,Productos!$A$2:$A1001,Productos!AE$2:AE1001,"")*$G683,"")</f>
        <v/>
      </c>
      <c r="AM683" s="179" t="str">
        <f t="array" ref="AM683">IF($F683&lt;&gt;"",XLOOKUP($F683,Productos!$A:$A,Productos!AF:AF,"Revisar"),"")</f>
        <v/>
      </c>
      <c r="AN683" s="179" t="str">
        <f t="array" ref="AN683">IF($F683&lt;&gt;"", XLOOKUP($F683,Productos!$A$2:$A1001,Productos!AG$2:AG1001,"")*$G683,"")</f>
        <v/>
      </c>
      <c r="AO683" s="179" t="str">
        <f t="array" ref="AO683">IF($F683&lt;&gt;"",XLOOKUP($F683,Productos!$A:$A,Productos!AH:AH,"Revisar"),"")</f>
        <v/>
      </c>
      <c r="AP683" s="179" t="str">
        <f t="array" ref="AP683">IF($F683&lt;&gt;"", XLOOKUP($F683,Productos!$A$2:$A1001,Productos!AI$2:AI1001,"")*$G683,"")</f>
        <v/>
      </c>
      <c r="AQ683" s="179" t="str">
        <f t="array" ref="AQ683">IF($F683&lt;&gt;"",XLOOKUP($F683,Productos!$A:$A,Productos!AJ:AJ,"Revisar"),"")</f>
        <v/>
      </c>
      <c r="AR683" s="179" t="str">
        <f t="array" ref="AR683">IF($F683&lt;&gt;"", XLOOKUP($F683,Productos!$A$2:$A1001,Productos!AK$2:AK1001,"")*$G683,"")</f>
        <v/>
      </c>
      <c r="AS683" s="179" t="str">
        <f t="array" ref="AS683">IF($F683&lt;&gt;"",XLOOKUP($F683,Productos!$A:$A,Productos!AL:AL,"Revisar"),"")</f>
        <v/>
      </c>
      <c r="AT683" s="179" t="str">
        <f t="array" ref="AT683">IF($F683&lt;&gt;"", XLOOKUP($F683,Productos!$A$2:$A1001,Productos!AM$2:AM1001,"")*$G683,"")</f>
        <v/>
      </c>
      <c r="AU683" s="179" t="str">
        <f t="array" ref="AU683">IF($F683&lt;&gt;"",XLOOKUP($F683,Productos!$A:$A,Productos!AN:AN,"Revisar"),"")</f>
        <v/>
      </c>
      <c r="AV683" s="179" t="str">
        <f t="array" ref="AV683">IF($F683&lt;&gt;"", XLOOKUP($F683,Productos!$A$2:$A1001,Productos!AO$2:AO1001,"")*$G683,"")</f>
        <v/>
      </c>
      <c r="AW683" s="179" t="str">
        <f t="array" ref="AW683">IF($F683&lt;&gt;"",XLOOKUP($F683,Productos!$A:$A,Productos!AP:AP,"Revisar"),"")</f>
        <v/>
      </c>
      <c r="AX683" s="179" t="str">
        <f t="array" ref="AX683">IF($F683&lt;&gt;"", XLOOKUP($F683,Productos!$A$2:$A1001,Productos!AQ$2:AQ1001,"")*$G683,"")</f>
        <v/>
      </c>
      <c r="AY683" s="179" t="str">
        <f t="array" ref="AY683">IF($F683&lt;&gt;"",XLOOKUP($F683,Productos!$A:$A,Productos!AR:AR,"Revisar"),"")</f>
        <v/>
      </c>
      <c r="AZ683" s="179" t="str">
        <f t="array" ref="AZ683">IF($F683&lt;&gt;"", XLOOKUP($F683,Productos!$A$2:$A1001,Productos!AS$2:AS1001,"")*$G683,"")</f>
        <v/>
      </c>
      <c r="BA683" s="179" t="str">
        <f t="array" ref="BA683">IF($F683&lt;&gt;"",XLOOKUP($F683,Productos!$A:$A,Productos!AT:AT,"Revisar"),"")</f>
        <v/>
      </c>
      <c r="BB683" s="179" t="str">
        <f t="array" ref="BB683">IF($F683&lt;&gt;"", XLOOKUP($F683,Productos!$A$2:$A1001,Productos!AU$2:AU1001,"")*$G683,"")</f>
        <v/>
      </c>
      <c r="BC683" s="179" t="str">
        <f t="array" ref="BC683">IF($F683&lt;&gt;"",XLOOKUP($F683,Productos!$A:$A,Productos!AV:AV,"Revisar"),"")</f>
        <v/>
      </c>
      <c r="BD683" s="179" t="str">
        <f t="array" ref="BD683">IF($F683&lt;&gt;"", XLOOKUP($F683,Productos!$A$2:$A1001,Productos!AW$2:AW1001,"")*$G683,"")</f>
        <v/>
      </c>
      <c r="BE683" s="179" t="str">
        <f t="array" ref="BE683">IF($F683&lt;&gt;"",XLOOKUP($F683,Productos!$A:$A,Productos!AX:AX,"Revisar"),"")</f>
        <v/>
      </c>
      <c r="BF683" s="179" t="str">
        <f t="array" ref="BF683">IF($F683&lt;&gt;"", XLOOKUP($F683,Productos!$A$2:$A1001,Productos!AY$2:AY1001,"")*$G683,"")</f>
        <v/>
      </c>
      <c r="BG683" s="179" t="str">
        <f t="array" ref="BG683">IF($F683&lt;&gt;"",XLOOKUP($F683,Productos!$A:$A,Productos!AZ:AZ,"Revisar"),"")</f>
        <v/>
      </c>
      <c r="BH683" s="179" t="str">
        <f t="array" ref="BH683">IF($F683&lt;&gt;"", XLOOKUP($F683,Productos!$A$2:$A1001,Productos!BA$2:BA1001,"")*$G683,"")</f>
        <v/>
      </c>
      <c r="BI683" s="179" t="str">
        <f t="array" ref="BI683">IF($F683&lt;&gt;"",XLOOKUP($F683,Productos!$A:$A,Productos!BB:BB,"Revisar"),"")</f>
        <v/>
      </c>
      <c r="BJ683" s="179" t="str">
        <f t="array" ref="BJ683">IF($F683&lt;&gt;"", XLOOKUP($F683,Productos!$A$2:$A1001,Productos!BC$2:BC1001,"")*$G683,"")</f>
        <v/>
      </c>
      <c r="BK683" s="179" t="str">
        <f t="array" ref="BK683">IF($F683&lt;&gt;"",XLOOKUP($F683,Productos!$A:$A,Productos!BD:BD,"Revisar"),"")</f>
        <v/>
      </c>
      <c r="BL683" s="179" t="str">
        <f t="array" ref="BL683">IF($F683&lt;&gt;"", XLOOKUP($F683,Productos!$A$2:$A1001,Productos!BE$2:BE1001,"")*$G683,"")</f>
        <v/>
      </c>
      <c r="BM683" s="179" t="str">
        <f t="array" ref="BM683">IF($F683&lt;&gt;"",XLOOKUP($F683,Productos!$A:$A,Productos!BF:BF,"Revisar"),"")</f>
        <v/>
      </c>
      <c r="BN683" s="179" t="str">
        <f t="array" ref="BN683">IF($F683&lt;&gt;"", XLOOKUP($F683,Productos!$A$2:$A1001,Productos!BG$2:BG1001,"")*$G683,"")</f>
        <v/>
      </c>
      <c r="BO683" s="179" t="str">
        <f t="array" ref="BO683">IF($F683&lt;&gt;"",XLOOKUP($F683,Productos!$A:$A,Productos!BH:BH,"Revisar"),"")</f>
        <v/>
      </c>
      <c r="BP683" s="179" t="str">
        <f t="array" ref="BP683">IF($F683&lt;&gt;"", XLOOKUP($F683,Productos!$A$2:$A1001,Productos!BI$2:BI1001,"")*$G683,"")</f>
        <v/>
      </c>
      <c r="BQ683" s="179" t="str">
        <f t="array" ref="BQ683">IF($F683&lt;&gt;"",XLOOKUP($F683,Productos!$A:$A,Productos!BJ:BJ,"Revisar"),"")</f>
        <v/>
      </c>
      <c r="BR683" s="179" t="str">
        <f t="array" ref="BR683">IF($F683&lt;&gt;"", XLOOKUP($F683,Productos!$A$2:$A1001,Productos!BK$2:BK1001,"")*$G683,"")</f>
        <v/>
      </c>
      <c r="BS683" s="179" t="str">
        <f t="array" ref="BS683">IF($F683&lt;&gt;"",XLOOKUP($F683,Productos!$A:$A,Productos!BL:BL,"Revisar"),"")</f>
        <v/>
      </c>
      <c r="BT683" s="179" t="str">
        <f t="array" ref="BT683">IF($F683&lt;&gt;"", XLOOKUP($F683,Productos!$A$2:$A1001,Productos!BM$2:BM1001,"")*$G683,"")</f>
        <v/>
      </c>
      <c r="BU683" s="179" t="str">
        <f t="array" ref="BU683">IF($F683&lt;&gt;"",XLOOKUP($F683,Productos!$A:$A,Productos!BN:BN,"Revisar"),"")</f>
        <v/>
      </c>
      <c r="BV683" s="179" t="str">
        <f t="array" ref="BV683">IF($F683&lt;&gt;"", XLOOKUP($F683,Productos!$A$2:$A1001,Productos!BO$2:BO1001,"")*$G683,"")</f>
        <v/>
      </c>
      <c r="BW683" s="179" t="str">
        <f t="array" ref="BW683">IF($F683&lt;&gt;"",XLOOKUP($F683,Productos!$A:$A,Productos!BP:BP,"Revisar"),"")</f>
        <v/>
      </c>
      <c r="BX683" s="179" t="str">
        <f t="array" ref="BX683">IF($F683&lt;&gt;"", XLOOKUP($F683,Productos!$A$2:$A1001,Productos!BQ$2:BQ1001,"")*$G683,"")</f>
        <v/>
      </c>
      <c r="BY683" s="179" t="str">
        <f t="array" ref="BY683">IF($F683&lt;&gt;"",XLOOKUP($F683,Productos!$A:$A,Productos!BR:BR,"Revisar"),"")</f>
        <v/>
      </c>
      <c r="BZ683" s="179" t="str">
        <f t="array" ref="BZ683">IF($F683&lt;&gt;"", XLOOKUP($F683,Productos!$A$2:$A1001,Productos!BS$2:BS1001,"")*$G683,"")</f>
        <v/>
      </c>
    </row>
    <row r="684">
      <c r="A684" s="188"/>
      <c r="B684" s="189"/>
      <c r="C684" s="190"/>
      <c r="D684" s="190"/>
      <c r="E684" s="191"/>
      <c r="F684" s="186"/>
      <c r="G684" s="192"/>
      <c r="H684" s="9"/>
      <c r="I684" s="179" t="str">
        <f t="array" ref="I684">IF($F684&lt;&gt;"",XLOOKUP($F684,Productos!$A:$A,Productos!B:B,"Revisar"),"")</f>
        <v/>
      </c>
      <c r="J684" s="179" t="str">
        <f t="array" ref="J684">IF($F684&lt;&gt;"", XLOOKUP($F684,Productos!$A$2:$A1001,Productos!C$2:C1001,"")*$G684,"")</f>
        <v/>
      </c>
      <c r="K684" s="179" t="str">
        <f t="array" ref="K684">IF($F684&lt;&gt;"",XLOOKUP($F684,Productos!$A:$A,Productos!D:D,"Revisar"),"")</f>
        <v/>
      </c>
      <c r="L684" s="179" t="str">
        <f t="array" ref="L684">IF($F684&lt;&gt;"", XLOOKUP($F684,Productos!$A$2:$A1001,Productos!E$2:E1001,"")*$G684,"")</f>
        <v/>
      </c>
      <c r="M684" s="179" t="str">
        <f t="array" ref="M684">IF($F684&lt;&gt;"",XLOOKUP($F684,Productos!$A:$A,Productos!F:F,"Revisar"),"")</f>
        <v/>
      </c>
      <c r="N684" s="179" t="str">
        <f t="array" ref="N684">IF($F684&lt;&gt;"", XLOOKUP($F684,Productos!$A$2:$A1001,Productos!G$2:G1001,"")*$G684,"")</f>
        <v/>
      </c>
      <c r="O684" s="179" t="str">
        <f t="array" ref="O684">IF($F684&lt;&gt;"",XLOOKUP($F684,Productos!$A:$A,Productos!H:H,"Revisar"),"")</f>
        <v/>
      </c>
      <c r="P684" s="179" t="str">
        <f t="array" ref="P684">IF($F684&lt;&gt;"", XLOOKUP($F684,Productos!$A$2:$A1001,Productos!I$2:I1001,"")*$G684,"")</f>
        <v/>
      </c>
      <c r="Q684" s="179" t="str">
        <f t="array" ref="Q684">IF($F684&lt;&gt;"",XLOOKUP($F684,Productos!$A:$A,Productos!J:J,"Revisar"),"")</f>
        <v/>
      </c>
      <c r="R684" s="179" t="str">
        <f t="array" ref="R684">IF($F684&lt;&gt;"", XLOOKUP($F684,Productos!$A$2:$A1001,Productos!K$2:K1001,"")*$G684,"")</f>
        <v/>
      </c>
      <c r="S684" s="179" t="str">
        <f t="array" ref="S684">IF($F684&lt;&gt;"",XLOOKUP($F684,Productos!$A:$A,Productos!L:L,"Revisar"),"")</f>
        <v/>
      </c>
      <c r="T684" s="179" t="str">
        <f t="array" ref="T684">IF($F684&lt;&gt;"", XLOOKUP($F684,Productos!$A$2:$A1001,Productos!M$2:M1001,"")*$G684,"")</f>
        <v/>
      </c>
      <c r="U684" s="179" t="str">
        <f t="array" ref="U684">IF($F684&lt;&gt;"",XLOOKUP($F684,Productos!$A:$A,Productos!N:N,"Revisar"),"")</f>
        <v/>
      </c>
      <c r="V684" s="179" t="str">
        <f t="array" ref="V684">IF($F684&lt;&gt;"", XLOOKUP($F684,Productos!$A$2:$A1001,Productos!O$2:O1001,"")*$G684,"")</f>
        <v/>
      </c>
      <c r="W684" s="179" t="str">
        <f t="array" ref="W684">IF($F684&lt;&gt;"",XLOOKUP($F684,Productos!$A:$A,Productos!P:P,"Revisar"),"")</f>
        <v/>
      </c>
      <c r="X684" s="179" t="str">
        <f t="array" ref="X684">IF($F684&lt;&gt;"", XLOOKUP($F684,Productos!$A$2:$A1001,Productos!Q$2:Q1001,"")*$G684,"")</f>
        <v/>
      </c>
      <c r="Y684" s="179" t="str">
        <f t="array" ref="Y684">IF($F684&lt;&gt;"",XLOOKUP($F684,Productos!$A:$A,Productos!R:R,"Revisar"),"")</f>
        <v/>
      </c>
      <c r="Z684" s="179" t="str">
        <f t="array" ref="Z684">IF($F684&lt;&gt;"", XLOOKUP($F684,Productos!$A$2:$A1001,Productos!S$2:S1001,"")*$G684,"")</f>
        <v/>
      </c>
      <c r="AA684" s="179" t="str">
        <f t="array" ref="AA684">IF($F684&lt;&gt;"",XLOOKUP($F684,Productos!$A:$A,Productos!T:T,"Revisar"),"")</f>
        <v/>
      </c>
      <c r="AB684" s="179" t="str">
        <f t="array" ref="AB684">IF($F684&lt;&gt;"", XLOOKUP($F684,Productos!$A$2:$A1001,Productos!U$2:U1001,"")*$G684,"")</f>
        <v/>
      </c>
      <c r="AC684" s="179" t="str">
        <f t="array" ref="AC684">IF($F684&lt;&gt;"",XLOOKUP($F684,Productos!$A:$A,Productos!V:V,"Revisar"),"")</f>
        <v/>
      </c>
      <c r="AD684" s="179" t="str">
        <f t="array" ref="AD684">IF($F684&lt;&gt;"", XLOOKUP($F684,Productos!$A$2:$A1001,Productos!W$2:W1001,"")*$G684,"")</f>
        <v/>
      </c>
      <c r="AE684" s="179" t="str">
        <f t="array" ref="AE684">IF($F684&lt;&gt;"",XLOOKUP($F684,Productos!$A:$A,Productos!X:X,"Revisar"),"")</f>
        <v/>
      </c>
      <c r="AF684" s="179" t="str">
        <f t="array" ref="AF684">IF($F684&lt;&gt;"", XLOOKUP($F684,Productos!$A$2:$A1001,Productos!Y$2:Y1001,"")*$G684,"")</f>
        <v/>
      </c>
      <c r="AG684" s="179" t="str">
        <f t="array" ref="AG684">IF($F684&lt;&gt;"",XLOOKUP($F684,Productos!$A:$A,Productos!Z:Z,"Revisar"),"")</f>
        <v/>
      </c>
      <c r="AH684" s="179" t="str">
        <f t="array" ref="AH684">IF($F684&lt;&gt;"", XLOOKUP($F684,Productos!$A$2:$A1001,Productos!AA$2:AA1001,"")*$G684,"")</f>
        <v/>
      </c>
      <c r="AI684" s="179" t="str">
        <f t="array" ref="AI684">IF($F684&lt;&gt;"",XLOOKUP($F684,Productos!$A:$A,Productos!AB:AB,"Revisar"),"")</f>
        <v/>
      </c>
      <c r="AJ684" s="179" t="str">
        <f t="array" ref="AJ684">IF($F684&lt;&gt;"", XLOOKUP($F684,Productos!$A$2:$A1001,Productos!AC$2:AC1001,"")*$G684,"")</f>
        <v/>
      </c>
      <c r="AK684" s="179" t="str">
        <f t="array" ref="AK684">IF($F684&lt;&gt;"",XLOOKUP($F684,Productos!$A:$A,Productos!AD:AD,"Revisar"),"")</f>
        <v/>
      </c>
      <c r="AL684" s="179" t="str">
        <f t="array" ref="AL684">IF($F684&lt;&gt;"", XLOOKUP($F684,Productos!$A$2:$A1001,Productos!AE$2:AE1001,"")*$G684,"")</f>
        <v/>
      </c>
      <c r="AM684" s="179" t="str">
        <f t="array" ref="AM684">IF($F684&lt;&gt;"",XLOOKUP($F684,Productos!$A:$A,Productos!AF:AF,"Revisar"),"")</f>
        <v/>
      </c>
      <c r="AN684" s="179" t="str">
        <f t="array" ref="AN684">IF($F684&lt;&gt;"", XLOOKUP($F684,Productos!$A$2:$A1001,Productos!AG$2:AG1001,"")*$G684,"")</f>
        <v/>
      </c>
      <c r="AO684" s="179" t="str">
        <f t="array" ref="AO684">IF($F684&lt;&gt;"",XLOOKUP($F684,Productos!$A:$A,Productos!AH:AH,"Revisar"),"")</f>
        <v/>
      </c>
      <c r="AP684" s="179" t="str">
        <f t="array" ref="AP684">IF($F684&lt;&gt;"", XLOOKUP($F684,Productos!$A$2:$A1001,Productos!AI$2:AI1001,"")*$G684,"")</f>
        <v/>
      </c>
      <c r="AQ684" s="179" t="str">
        <f t="array" ref="AQ684">IF($F684&lt;&gt;"",XLOOKUP($F684,Productos!$A:$A,Productos!AJ:AJ,"Revisar"),"")</f>
        <v/>
      </c>
      <c r="AR684" s="179" t="str">
        <f t="array" ref="AR684">IF($F684&lt;&gt;"", XLOOKUP($F684,Productos!$A$2:$A1001,Productos!AK$2:AK1001,"")*$G684,"")</f>
        <v/>
      </c>
      <c r="AS684" s="179" t="str">
        <f t="array" ref="AS684">IF($F684&lt;&gt;"",XLOOKUP($F684,Productos!$A:$A,Productos!AL:AL,"Revisar"),"")</f>
        <v/>
      </c>
      <c r="AT684" s="179" t="str">
        <f t="array" ref="AT684">IF($F684&lt;&gt;"", XLOOKUP($F684,Productos!$A$2:$A1001,Productos!AM$2:AM1001,"")*$G684,"")</f>
        <v/>
      </c>
      <c r="AU684" s="179" t="str">
        <f t="array" ref="AU684">IF($F684&lt;&gt;"",XLOOKUP($F684,Productos!$A:$A,Productos!AN:AN,"Revisar"),"")</f>
        <v/>
      </c>
      <c r="AV684" s="179" t="str">
        <f t="array" ref="AV684">IF($F684&lt;&gt;"", XLOOKUP($F684,Productos!$A$2:$A1001,Productos!AO$2:AO1001,"")*$G684,"")</f>
        <v/>
      </c>
      <c r="AW684" s="179" t="str">
        <f t="array" ref="AW684">IF($F684&lt;&gt;"",XLOOKUP($F684,Productos!$A:$A,Productos!AP:AP,"Revisar"),"")</f>
        <v/>
      </c>
      <c r="AX684" s="179" t="str">
        <f t="array" ref="AX684">IF($F684&lt;&gt;"", XLOOKUP($F684,Productos!$A$2:$A1001,Productos!AQ$2:AQ1001,"")*$G684,"")</f>
        <v/>
      </c>
      <c r="AY684" s="179" t="str">
        <f t="array" ref="AY684">IF($F684&lt;&gt;"",XLOOKUP($F684,Productos!$A:$A,Productos!AR:AR,"Revisar"),"")</f>
        <v/>
      </c>
      <c r="AZ684" s="179" t="str">
        <f t="array" ref="AZ684">IF($F684&lt;&gt;"", XLOOKUP($F684,Productos!$A$2:$A1001,Productos!AS$2:AS1001,"")*$G684,"")</f>
        <v/>
      </c>
      <c r="BA684" s="179" t="str">
        <f t="array" ref="BA684">IF($F684&lt;&gt;"",XLOOKUP($F684,Productos!$A:$A,Productos!AT:AT,"Revisar"),"")</f>
        <v/>
      </c>
      <c r="BB684" s="179" t="str">
        <f t="array" ref="BB684">IF($F684&lt;&gt;"", XLOOKUP($F684,Productos!$A$2:$A1001,Productos!AU$2:AU1001,"")*$G684,"")</f>
        <v/>
      </c>
      <c r="BC684" s="179" t="str">
        <f t="array" ref="BC684">IF($F684&lt;&gt;"",XLOOKUP($F684,Productos!$A:$A,Productos!AV:AV,"Revisar"),"")</f>
        <v/>
      </c>
      <c r="BD684" s="179" t="str">
        <f t="array" ref="BD684">IF($F684&lt;&gt;"", XLOOKUP($F684,Productos!$A$2:$A1001,Productos!AW$2:AW1001,"")*$G684,"")</f>
        <v/>
      </c>
      <c r="BE684" s="179" t="str">
        <f t="array" ref="BE684">IF($F684&lt;&gt;"",XLOOKUP($F684,Productos!$A:$A,Productos!AX:AX,"Revisar"),"")</f>
        <v/>
      </c>
      <c r="BF684" s="179" t="str">
        <f t="array" ref="BF684">IF($F684&lt;&gt;"", XLOOKUP($F684,Productos!$A$2:$A1001,Productos!AY$2:AY1001,"")*$G684,"")</f>
        <v/>
      </c>
      <c r="BG684" s="179" t="str">
        <f t="array" ref="BG684">IF($F684&lt;&gt;"",XLOOKUP($F684,Productos!$A:$A,Productos!AZ:AZ,"Revisar"),"")</f>
        <v/>
      </c>
      <c r="BH684" s="179" t="str">
        <f t="array" ref="BH684">IF($F684&lt;&gt;"", XLOOKUP($F684,Productos!$A$2:$A1001,Productos!BA$2:BA1001,"")*$G684,"")</f>
        <v/>
      </c>
      <c r="BI684" s="179" t="str">
        <f t="array" ref="BI684">IF($F684&lt;&gt;"",XLOOKUP($F684,Productos!$A:$A,Productos!BB:BB,"Revisar"),"")</f>
        <v/>
      </c>
      <c r="BJ684" s="179" t="str">
        <f t="array" ref="BJ684">IF($F684&lt;&gt;"", XLOOKUP($F684,Productos!$A$2:$A1001,Productos!BC$2:BC1001,"")*$G684,"")</f>
        <v/>
      </c>
      <c r="BK684" s="179" t="str">
        <f t="array" ref="BK684">IF($F684&lt;&gt;"",XLOOKUP($F684,Productos!$A:$A,Productos!BD:BD,"Revisar"),"")</f>
        <v/>
      </c>
      <c r="BL684" s="179" t="str">
        <f t="array" ref="BL684">IF($F684&lt;&gt;"", XLOOKUP($F684,Productos!$A$2:$A1001,Productos!BE$2:BE1001,"")*$G684,"")</f>
        <v/>
      </c>
      <c r="BM684" s="179" t="str">
        <f t="array" ref="BM684">IF($F684&lt;&gt;"",XLOOKUP($F684,Productos!$A:$A,Productos!BF:BF,"Revisar"),"")</f>
        <v/>
      </c>
      <c r="BN684" s="179" t="str">
        <f t="array" ref="BN684">IF($F684&lt;&gt;"", XLOOKUP($F684,Productos!$A$2:$A1001,Productos!BG$2:BG1001,"")*$G684,"")</f>
        <v/>
      </c>
      <c r="BO684" s="179" t="str">
        <f t="array" ref="BO684">IF($F684&lt;&gt;"",XLOOKUP($F684,Productos!$A:$A,Productos!BH:BH,"Revisar"),"")</f>
        <v/>
      </c>
      <c r="BP684" s="179" t="str">
        <f t="array" ref="BP684">IF($F684&lt;&gt;"", XLOOKUP($F684,Productos!$A$2:$A1001,Productos!BI$2:BI1001,"")*$G684,"")</f>
        <v/>
      </c>
      <c r="BQ684" s="179" t="str">
        <f t="array" ref="BQ684">IF($F684&lt;&gt;"",XLOOKUP($F684,Productos!$A:$A,Productos!BJ:BJ,"Revisar"),"")</f>
        <v/>
      </c>
      <c r="BR684" s="179" t="str">
        <f t="array" ref="BR684">IF($F684&lt;&gt;"", XLOOKUP($F684,Productos!$A$2:$A1001,Productos!BK$2:BK1001,"")*$G684,"")</f>
        <v/>
      </c>
      <c r="BS684" s="179" t="str">
        <f t="array" ref="BS684">IF($F684&lt;&gt;"",XLOOKUP($F684,Productos!$A:$A,Productos!BL:BL,"Revisar"),"")</f>
        <v/>
      </c>
      <c r="BT684" s="179" t="str">
        <f t="array" ref="BT684">IF($F684&lt;&gt;"", XLOOKUP($F684,Productos!$A$2:$A1001,Productos!BM$2:BM1001,"")*$G684,"")</f>
        <v/>
      </c>
      <c r="BU684" s="179" t="str">
        <f t="array" ref="BU684">IF($F684&lt;&gt;"",XLOOKUP($F684,Productos!$A:$A,Productos!BN:BN,"Revisar"),"")</f>
        <v/>
      </c>
      <c r="BV684" s="179" t="str">
        <f t="array" ref="BV684">IF($F684&lt;&gt;"", XLOOKUP($F684,Productos!$A$2:$A1001,Productos!BO$2:BO1001,"")*$G684,"")</f>
        <v/>
      </c>
      <c r="BW684" s="179" t="str">
        <f t="array" ref="BW684">IF($F684&lt;&gt;"",XLOOKUP($F684,Productos!$A:$A,Productos!BP:BP,"Revisar"),"")</f>
        <v/>
      </c>
      <c r="BX684" s="179" t="str">
        <f t="array" ref="BX684">IF($F684&lt;&gt;"", XLOOKUP($F684,Productos!$A$2:$A1001,Productos!BQ$2:BQ1001,"")*$G684,"")</f>
        <v/>
      </c>
      <c r="BY684" s="179" t="str">
        <f t="array" ref="BY684">IF($F684&lt;&gt;"",XLOOKUP($F684,Productos!$A:$A,Productos!BR:BR,"Revisar"),"")</f>
        <v/>
      </c>
      <c r="BZ684" s="179" t="str">
        <f t="array" ref="BZ684">IF($F684&lt;&gt;"", XLOOKUP($F684,Productos!$A$2:$A1001,Productos!BS$2:BS1001,"")*$G684,"")</f>
        <v/>
      </c>
    </row>
    <row r="685">
      <c r="A685" s="188"/>
      <c r="B685" s="189"/>
      <c r="C685" s="190"/>
      <c r="D685" s="190"/>
      <c r="E685" s="191"/>
      <c r="F685" s="186"/>
      <c r="G685" s="192"/>
      <c r="H685" s="9"/>
      <c r="I685" s="179" t="str">
        <f t="array" ref="I685">IF($F685&lt;&gt;"",XLOOKUP($F685,Productos!$A:$A,Productos!B:B,"Revisar"),"")</f>
        <v/>
      </c>
      <c r="J685" s="179" t="str">
        <f t="array" ref="J685">IF($F685&lt;&gt;"", XLOOKUP($F685,Productos!$A$2:$A1001,Productos!C$2:C1001,"")*$G685,"")</f>
        <v/>
      </c>
      <c r="K685" s="179" t="str">
        <f t="array" ref="K685">IF($F685&lt;&gt;"",XLOOKUP($F685,Productos!$A:$A,Productos!D:D,"Revisar"),"")</f>
        <v/>
      </c>
      <c r="L685" s="179" t="str">
        <f t="array" ref="L685">IF($F685&lt;&gt;"", XLOOKUP($F685,Productos!$A$2:$A1001,Productos!E$2:E1001,"")*$G685,"")</f>
        <v/>
      </c>
      <c r="M685" s="179" t="str">
        <f t="array" ref="M685">IF($F685&lt;&gt;"",XLOOKUP($F685,Productos!$A:$A,Productos!F:F,"Revisar"),"")</f>
        <v/>
      </c>
      <c r="N685" s="179" t="str">
        <f t="array" ref="N685">IF($F685&lt;&gt;"", XLOOKUP($F685,Productos!$A$2:$A1001,Productos!G$2:G1001,"")*$G685,"")</f>
        <v/>
      </c>
      <c r="O685" s="179" t="str">
        <f t="array" ref="O685">IF($F685&lt;&gt;"",XLOOKUP($F685,Productos!$A:$A,Productos!H:H,"Revisar"),"")</f>
        <v/>
      </c>
      <c r="P685" s="179" t="str">
        <f t="array" ref="P685">IF($F685&lt;&gt;"", XLOOKUP($F685,Productos!$A$2:$A1001,Productos!I$2:I1001,"")*$G685,"")</f>
        <v/>
      </c>
      <c r="Q685" s="179" t="str">
        <f t="array" ref="Q685">IF($F685&lt;&gt;"",XLOOKUP($F685,Productos!$A:$A,Productos!J:J,"Revisar"),"")</f>
        <v/>
      </c>
      <c r="R685" s="179" t="str">
        <f t="array" ref="R685">IF($F685&lt;&gt;"", XLOOKUP($F685,Productos!$A$2:$A1001,Productos!K$2:K1001,"")*$G685,"")</f>
        <v/>
      </c>
      <c r="S685" s="179" t="str">
        <f t="array" ref="S685">IF($F685&lt;&gt;"",XLOOKUP($F685,Productos!$A:$A,Productos!L:L,"Revisar"),"")</f>
        <v/>
      </c>
      <c r="T685" s="179" t="str">
        <f t="array" ref="T685">IF($F685&lt;&gt;"", XLOOKUP($F685,Productos!$A$2:$A1001,Productos!M$2:M1001,"")*$G685,"")</f>
        <v/>
      </c>
      <c r="U685" s="179" t="str">
        <f t="array" ref="U685">IF($F685&lt;&gt;"",XLOOKUP($F685,Productos!$A:$A,Productos!N:N,"Revisar"),"")</f>
        <v/>
      </c>
      <c r="V685" s="179" t="str">
        <f t="array" ref="V685">IF($F685&lt;&gt;"", XLOOKUP($F685,Productos!$A$2:$A1001,Productos!O$2:O1001,"")*$G685,"")</f>
        <v/>
      </c>
      <c r="W685" s="179" t="str">
        <f t="array" ref="W685">IF($F685&lt;&gt;"",XLOOKUP($F685,Productos!$A:$A,Productos!P:P,"Revisar"),"")</f>
        <v/>
      </c>
      <c r="X685" s="179" t="str">
        <f t="array" ref="X685">IF($F685&lt;&gt;"", XLOOKUP($F685,Productos!$A$2:$A1001,Productos!Q$2:Q1001,"")*$G685,"")</f>
        <v/>
      </c>
      <c r="Y685" s="179" t="str">
        <f t="array" ref="Y685">IF($F685&lt;&gt;"",XLOOKUP($F685,Productos!$A:$A,Productos!R:R,"Revisar"),"")</f>
        <v/>
      </c>
      <c r="Z685" s="179" t="str">
        <f t="array" ref="Z685">IF($F685&lt;&gt;"", XLOOKUP($F685,Productos!$A$2:$A1001,Productos!S$2:S1001,"")*$G685,"")</f>
        <v/>
      </c>
      <c r="AA685" s="179" t="str">
        <f t="array" ref="AA685">IF($F685&lt;&gt;"",XLOOKUP($F685,Productos!$A:$A,Productos!T:T,"Revisar"),"")</f>
        <v/>
      </c>
      <c r="AB685" s="179" t="str">
        <f t="array" ref="AB685">IF($F685&lt;&gt;"", XLOOKUP($F685,Productos!$A$2:$A1001,Productos!U$2:U1001,"")*$G685,"")</f>
        <v/>
      </c>
      <c r="AC685" s="179" t="str">
        <f t="array" ref="AC685">IF($F685&lt;&gt;"",XLOOKUP($F685,Productos!$A:$A,Productos!V:V,"Revisar"),"")</f>
        <v/>
      </c>
      <c r="AD685" s="179" t="str">
        <f t="array" ref="AD685">IF($F685&lt;&gt;"", XLOOKUP($F685,Productos!$A$2:$A1001,Productos!W$2:W1001,"")*$G685,"")</f>
        <v/>
      </c>
      <c r="AE685" s="179" t="str">
        <f t="array" ref="AE685">IF($F685&lt;&gt;"",XLOOKUP($F685,Productos!$A:$A,Productos!X:X,"Revisar"),"")</f>
        <v/>
      </c>
      <c r="AF685" s="179" t="str">
        <f t="array" ref="AF685">IF($F685&lt;&gt;"", XLOOKUP($F685,Productos!$A$2:$A1001,Productos!Y$2:Y1001,"")*$G685,"")</f>
        <v/>
      </c>
      <c r="AG685" s="179" t="str">
        <f t="array" ref="AG685">IF($F685&lt;&gt;"",XLOOKUP($F685,Productos!$A:$A,Productos!Z:Z,"Revisar"),"")</f>
        <v/>
      </c>
      <c r="AH685" s="179" t="str">
        <f t="array" ref="AH685">IF($F685&lt;&gt;"", XLOOKUP($F685,Productos!$A$2:$A1001,Productos!AA$2:AA1001,"")*$G685,"")</f>
        <v/>
      </c>
      <c r="AI685" s="179" t="str">
        <f t="array" ref="AI685">IF($F685&lt;&gt;"",XLOOKUP($F685,Productos!$A:$A,Productos!AB:AB,"Revisar"),"")</f>
        <v/>
      </c>
      <c r="AJ685" s="179" t="str">
        <f t="array" ref="AJ685">IF($F685&lt;&gt;"", XLOOKUP($F685,Productos!$A$2:$A1001,Productos!AC$2:AC1001,"")*$G685,"")</f>
        <v/>
      </c>
      <c r="AK685" s="179" t="str">
        <f t="array" ref="AK685">IF($F685&lt;&gt;"",XLOOKUP($F685,Productos!$A:$A,Productos!AD:AD,"Revisar"),"")</f>
        <v/>
      </c>
      <c r="AL685" s="179" t="str">
        <f t="array" ref="AL685">IF($F685&lt;&gt;"", XLOOKUP($F685,Productos!$A$2:$A1001,Productos!AE$2:AE1001,"")*$G685,"")</f>
        <v/>
      </c>
      <c r="AM685" s="179" t="str">
        <f t="array" ref="AM685">IF($F685&lt;&gt;"",XLOOKUP($F685,Productos!$A:$A,Productos!AF:AF,"Revisar"),"")</f>
        <v/>
      </c>
      <c r="AN685" s="179" t="str">
        <f t="array" ref="AN685">IF($F685&lt;&gt;"", XLOOKUP($F685,Productos!$A$2:$A1001,Productos!AG$2:AG1001,"")*$G685,"")</f>
        <v/>
      </c>
      <c r="AO685" s="179" t="str">
        <f t="array" ref="AO685">IF($F685&lt;&gt;"",XLOOKUP($F685,Productos!$A:$A,Productos!AH:AH,"Revisar"),"")</f>
        <v/>
      </c>
      <c r="AP685" s="179" t="str">
        <f t="array" ref="AP685">IF($F685&lt;&gt;"", XLOOKUP($F685,Productos!$A$2:$A1001,Productos!AI$2:AI1001,"")*$G685,"")</f>
        <v/>
      </c>
      <c r="AQ685" s="179" t="str">
        <f t="array" ref="AQ685">IF($F685&lt;&gt;"",XLOOKUP($F685,Productos!$A:$A,Productos!AJ:AJ,"Revisar"),"")</f>
        <v/>
      </c>
      <c r="AR685" s="179" t="str">
        <f t="array" ref="AR685">IF($F685&lt;&gt;"", XLOOKUP($F685,Productos!$A$2:$A1001,Productos!AK$2:AK1001,"")*$G685,"")</f>
        <v/>
      </c>
      <c r="AS685" s="179" t="str">
        <f t="array" ref="AS685">IF($F685&lt;&gt;"",XLOOKUP($F685,Productos!$A:$A,Productos!AL:AL,"Revisar"),"")</f>
        <v/>
      </c>
      <c r="AT685" s="179" t="str">
        <f t="array" ref="AT685">IF($F685&lt;&gt;"", XLOOKUP($F685,Productos!$A$2:$A1001,Productos!AM$2:AM1001,"")*$G685,"")</f>
        <v/>
      </c>
      <c r="AU685" s="179" t="str">
        <f t="array" ref="AU685">IF($F685&lt;&gt;"",XLOOKUP($F685,Productos!$A:$A,Productos!AN:AN,"Revisar"),"")</f>
        <v/>
      </c>
      <c r="AV685" s="179" t="str">
        <f t="array" ref="AV685">IF($F685&lt;&gt;"", XLOOKUP($F685,Productos!$A$2:$A1001,Productos!AO$2:AO1001,"")*$G685,"")</f>
        <v/>
      </c>
      <c r="AW685" s="179" t="str">
        <f t="array" ref="AW685">IF($F685&lt;&gt;"",XLOOKUP($F685,Productos!$A:$A,Productos!AP:AP,"Revisar"),"")</f>
        <v/>
      </c>
      <c r="AX685" s="179" t="str">
        <f t="array" ref="AX685">IF($F685&lt;&gt;"", XLOOKUP($F685,Productos!$A$2:$A1001,Productos!AQ$2:AQ1001,"")*$G685,"")</f>
        <v/>
      </c>
      <c r="AY685" s="179" t="str">
        <f t="array" ref="AY685">IF($F685&lt;&gt;"",XLOOKUP($F685,Productos!$A:$A,Productos!AR:AR,"Revisar"),"")</f>
        <v/>
      </c>
      <c r="AZ685" s="179" t="str">
        <f t="array" ref="AZ685">IF($F685&lt;&gt;"", XLOOKUP($F685,Productos!$A$2:$A1001,Productos!AS$2:AS1001,"")*$G685,"")</f>
        <v/>
      </c>
      <c r="BA685" s="179" t="str">
        <f t="array" ref="BA685">IF($F685&lt;&gt;"",XLOOKUP($F685,Productos!$A:$A,Productos!AT:AT,"Revisar"),"")</f>
        <v/>
      </c>
      <c r="BB685" s="179" t="str">
        <f t="array" ref="BB685">IF($F685&lt;&gt;"", XLOOKUP($F685,Productos!$A$2:$A1001,Productos!AU$2:AU1001,"")*$G685,"")</f>
        <v/>
      </c>
      <c r="BC685" s="179" t="str">
        <f t="array" ref="BC685">IF($F685&lt;&gt;"",XLOOKUP($F685,Productos!$A:$A,Productos!AV:AV,"Revisar"),"")</f>
        <v/>
      </c>
      <c r="BD685" s="179" t="str">
        <f t="array" ref="BD685">IF($F685&lt;&gt;"", XLOOKUP($F685,Productos!$A$2:$A1001,Productos!AW$2:AW1001,"")*$G685,"")</f>
        <v/>
      </c>
      <c r="BE685" s="179" t="str">
        <f t="array" ref="BE685">IF($F685&lt;&gt;"",XLOOKUP($F685,Productos!$A:$A,Productos!AX:AX,"Revisar"),"")</f>
        <v/>
      </c>
      <c r="BF685" s="179" t="str">
        <f t="array" ref="BF685">IF($F685&lt;&gt;"", XLOOKUP($F685,Productos!$A$2:$A1001,Productos!AY$2:AY1001,"")*$G685,"")</f>
        <v/>
      </c>
      <c r="BG685" s="179" t="str">
        <f t="array" ref="BG685">IF($F685&lt;&gt;"",XLOOKUP($F685,Productos!$A:$A,Productos!AZ:AZ,"Revisar"),"")</f>
        <v/>
      </c>
      <c r="BH685" s="179" t="str">
        <f t="array" ref="BH685">IF($F685&lt;&gt;"", XLOOKUP($F685,Productos!$A$2:$A1001,Productos!BA$2:BA1001,"")*$G685,"")</f>
        <v/>
      </c>
      <c r="BI685" s="179" t="str">
        <f t="array" ref="BI685">IF($F685&lt;&gt;"",XLOOKUP($F685,Productos!$A:$A,Productos!BB:BB,"Revisar"),"")</f>
        <v/>
      </c>
      <c r="BJ685" s="179" t="str">
        <f t="array" ref="BJ685">IF($F685&lt;&gt;"", XLOOKUP($F685,Productos!$A$2:$A1001,Productos!BC$2:BC1001,"")*$G685,"")</f>
        <v/>
      </c>
      <c r="BK685" s="179" t="str">
        <f t="array" ref="BK685">IF($F685&lt;&gt;"",XLOOKUP($F685,Productos!$A:$A,Productos!BD:BD,"Revisar"),"")</f>
        <v/>
      </c>
      <c r="BL685" s="179" t="str">
        <f t="array" ref="BL685">IF($F685&lt;&gt;"", XLOOKUP($F685,Productos!$A$2:$A1001,Productos!BE$2:BE1001,"")*$G685,"")</f>
        <v/>
      </c>
      <c r="BM685" s="179" t="str">
        <f t="array" ref="BM685">IF($F685&lt;&gt;"",XLOOKUP($F685,Productos!$A:$A,Productos!BF:BF,"Revisar"),"")</f>
        <v/>
      </c>
      <c r="BN685" s="179" t="str">
        <f t="array" ref="BN685">IF($F685&lt;&gt;"", XLOOKUP($F685,Productos!$A$2:$A1001,Productos!BG$2:BG1001,"")*$G685,"")</f>
        <v/>
      </c>
      <c r="BO685" s="179" t="str">
        <f t="array" ref="BO685">IF($F685&lt;&gt;"",XLOOKUP($F685,Productos!$A:$A,Productos!BH:BH,"Revisar"),"")</f>
        <v/>
      </c>
      <c r="BP685" s="179" t="str">
        <f t="array" ref="BP685">IF($F685&lt;&gt;"", XLOOKUP($F685,Productos!$A$2:$A1001,Productos!BI$2:BI1001,"")*$G685,"")</f>
        <v/>
      </c>
      <c r="BQ685" s="179" t="str">
        <f t="array" ref="BQ685">IF($F685&lt;&gt;"",XLOOKUP($F685,Productos!$A:$A,Productos!BJ:BJ,"Revisar"),"")</f>
        <v/>
      </c>
      <c r="BR685" s="179" t="str">
        <f t="array" ref="BR685">IF($F685&lt;&gt;"", XLOOKUP($F685,Productos!$A$2:$A1001,Productos!BK$2:BK1001,"")*$G685,"")</f>
        <v/>
      </c>
      <c r="BS685" s="179" t="str">
        <f t="array" ref="BS685">IF($F685&lt;&gt;"",XLOOKUP($F685,Productos!$A:$A,Productos!BL:BL,"Revisar"),"")</f>
        <v/>
      </c>
      <c r="BT685" s="179" t="str">
        <f t="array" ref="BT685">IF($F685&lt;&gt;"", XLOOKUP($F685,Productos!$A$2:$A1001,Productos!BM$2:BM1001,"")*$G685,"")</f>
        <v/>
      </c>
      <c r="BU685" s="179" t="str">
        <f t="array" ref="BU685">IF($F685&lt;&gt;"",XLOOKUP($F685,Productos!$A:$A,Productos!BN:BN,"Revisar"),"")</f>
        <v/>
      </c>
      <c r="BV685" s="179" t="str">
        <f t="array" ref="BV685">IF($F685&lt;&gt;"", XLOOKUP($F685,Productos!$A$2:$A1001,Productos!BO$2:BO1001,"")*$G685,"")</f>
        <v/>
      </c>
      <c r="BW685" s="179" t="str">
        <f t="array" ref="BW685">IF($F685&lt;&gt;"",XLOOKUP($F685,Productos!$A:$A,Productos!BP:BP,"Revisar"),"")</f>
        <v/>
      </c>
      <c r="BX685" s="179" t="str">
        <f t="array" ref="BX685">IF($F685&lt;&gt;"", XLOOKUP($F685,Productos!$A$2:$A1001,Productos!BQ$2:BQ1001,"")*$G685,"")</f>
        <v/>
      </c>
      <c r="BY685" s="179" t="str">
        <f t="array" ref="BY685">IF($F685&lt;&gt;"",XLOOKUP($F685,Productos!$A:$A,Productos!BR:BR,"Revisar"),"")</f>
        <v/>
      </c>
      <c r="BZ685" s="179" t="str">
        <f t="array" ref="BZ685">IF($F685&lt;&gt;"", XLOOKUP($F685,Productos!$A$2:$A1001,Productos!BS$2:BS1001,"")*$G685,"")</f>
        <v/>
      </c>
    </row>
    <row r="686">
      <c r="A686" s="188"/>
      <c r="B686" s="189"/>
      <c r="C686" s="190"/>
      <c r="D686" s="190"/>
      <c r="E686" s="191"/>
      <c r="F686" s="186"/>
      <c r="G686" s="192"/>
      <c r="H686" s="9"/>
      <c r="I686" s="179" t="str">
        <f t="array" ref="I686">IF($F686&lt;&gt;"",XLOOKUP($F686,Productos!$A:$A,Productos!B:B,"Revisar"),"")</f>
        <v/>
      </c>
      <c r="J686" s="179" t="str">
        <f t="array" ref="J686">IF($F686&lt;&gt;"", XLOOKUP($F686,Productos!$A$2:$A1001,Productos!C$2:C1001,"")*$G686,"")</f>
        <v/>
      </c>
      <c r="K686" s="179" t="str">
        <f t="array" ref="K686">IF($F686&lt;&gt;"",XLOOKUP($F686,Productos!$A:$A,Productos!D:D,"Revisar"),"")</f>
        <v/>
      </c>
      <c r="L686" s="179" t="str">
        <f t="array" ref="L686">IF($F686&lt;&gt;"", XLOOKUP($F686,Productos!$A$2:$A1001,Productos!E$2:E1001,"")*$G686,"")</f>
        <v/>
      </c>
      <c r="M686" s="179" t="str">
        <f t="array" ref="M686">IF($F686&lt;&gt;"",XLOOKUP($F686,Productos!$A:$A,Productos!F:F,"Revisar"),"")</f>
        <v/>
      </c>
      <c r="N686" s="179" t="str">
        <f t="array" ref="N686">IF($F686&lt;&gt;"", XLOOKUP($F686,Productos!$A$2:$A1001,Productos!G$2:G1001,"")*$G686,"")</f>
        <v/>
      </c>
      <c r="O686" s="179" t="str">
        <f t="array" ref="O686">IF($F686&lt;&gt;"",XLOOKUP($F686,Productos!$A:$A,Productos!H:H,"Revisar"),"")</f>
        <v/>
      </c>
      <c r="P686" s="179" t="str">
        <f t="array" ref="P686">IF($F686&lt;&gt;"", XLOOKUP($F686,Productos!$A$2:$A1001,Productos!I$2:I1001,"")*$G686,"")</f>
        <v/>
      </c>
      <c r="Q686" s="179" t="str">
        <f t="array" ref="Q686">IF($F686&lt;&gt;"",XLOOKUP($F686,Productos!$A:$A,Productos!J:J,"Revisar"),"")</f>
        <v/>
      </c>
      <c r="R686" s="179" t="str">
        <f t="array" ref="R686">IF($F686&lt;&gt;"", XLOOKUP($F686,Productos!$A$2:$A1001,Productos!K$2:K1001,"")*$G686,"")</f>
        <v/>
      </c>
      <c r="S686" s="179" t="str">
        <f t="array" ref="S686">IF($F686&lt;&gt;"",XLOOKUP($F686,Productos!$A:$A,Productos!L:L,"Revisar"),"")</f>
        <v/>
      </c>
      <c r="T686" s="179" t="str">
        <f t="array" ref="T686">IF($F686&lt;&gt;"", XLOOKUP($F686,Productos!$A$2:$A1001,Productos!M$2:M1001,"")*$G686,"")</f>
        <v/>
      </c>
      <c r="U686" s="179" t="str">
        <f t="array" ref="U686">IF($F686&lt;&gt;"",XLOOKUP($F686,Productos!$A:$A,Productos!N:N,"Revisar"),"")</f>
        <v/>
      </c>
      <c r="V686" s="179" t="str">
        <f t="array" ref="V686">IF($F686&lt;&gt;"", XLOOKUP($F686,Productos!$A$2:$A1001,Productos!O$2:O1001,"")*$G686,"")</f>
        <v/>
      </c>
      <c r="W686" s="179" t="str">
        <f t="array" ref="W686">IF($F686&lt;&gt;"",XLOOKUP($F686,Productos!$A:$A,Productos!P:P,"Revisar"),"")</f>
        <v/>
      </c>
      <c r="X686" s="179" t="str">
        <f t="array" ref="X686">IF($F686&lt;&gt;"", XLOOKUP($F686,Productos!$A$2:$A1001,Productos!Q$2:Q1001,"")*$G686,"")</f>
        <v/>
      </c>
      <c r="Y686" s="179" t="str">
        <f t="array" ref="Y686">IF($F686&lt;&gt;"",XLOOKUP($F686,Productos!$A:$A,Productos!R:R,"Revisar"),"")</f>
        <v/>
      </c>
      <c r="Z686" s="179" t="str">
        <f t="array" ref="Z686">IF($F686&lt;&gt;"", XLOOKUP($F686,Productos!$A$2:$A1001,Productos!S$2:S1001,"")*$G686,"")</f>
        <v/>
      </c>
      <c r="AA686" s="179" t="str">
        <f t="array" ref="AA686">IF($F686&lt;&gt;"",XLOOKUP($F686,Productos!$A:$A,Productos!T:T,"Revisar"),"")</f>
        <v/>
      </c>
      <c r="AB686" s="179" t="str">
        <f t="array" ref="AB686">IF($F686&lt;&gt;"", XLOOKUP($F686,Productos!$A$2:$A1001,Productos!U$2:U1001,"")*$G686,"")</f>
        <v/>
      </c>
      <c r="AC686" s="179" t="str">
        <f t="array" ref="AC686">IF($F686&lt;&gt;"",XLOOKUP($F686,Productos!$A:$A,Productos!V:V,"Revisar"),"")</f>
        <v/>
      </c>
      <c r="AD686" s="179" t="str">
        <f t="array" ref="AD686">IF($F686&lt;&gt;"", XLOOKUP($F686,Productos!$A$2:$A1001,Productos!W$2:W1001,"")*$G686,"")</f>
        <v/>
      </c>
      <c r="AE686" s="179" t="str">
        <f t="array" ref="AE686">IF($F686&lt;&gt;"",XLOOKUP($F686,Productos!$A:$A,Productos!X:X,"Revisar"),"")</f>
        <v/>
      </c>
      <c r="AF686" s="179" t="str">
        <f t="array" ref="AF686">IF($F686&lt;&gt;"", XLOOKUP($F686,Productos!$A$2:$A1001,Productos!Y$2:Y1001,"")*$G686,"")</f>
        <v/>
      </c>
      <c r="AG686" s="179" t="str">
        <f t="array" ref="AG686">IF($F686&lt;&gt;"",XLOOKUP($F686,Productos!$A:$A,Productos!Z:Z,"Revisar"),"")</f>
        <v/>
      </c>
      <c r="AH686" s="179" t="str">
        <f t="array" ref="AH686">IF($F686&lt;&gt;"", XLOOKUP($F686,Productos!$A$2:$A1001,Productos!AA$2:AA1001,"")*$G686,"")</f>
        <v/>
      </c>
      <c r="AI686" s="179" t="str">
        <f t="array" ref="AI686">IF($F686&lt;&gt;"",XLOOKUP($F686,Productos!$A:$A,Productos!AB:AB,"Revisar"),"")</f>
        <v/>
      </c>
      <c r="AJ686" s="179" t="str">
        <f t="array" ref="AJ686">IF($F686&lt;&gt;"", XLOOKUP($F686,Productos!$A$2:$A1001,Productos!AC$2:AC1001,"")*$G686,"")</f>
        <v/>
      </c>
      <c r="AK686" s="179" t="str">
        <f t="array" ref="AK686">IF($F686&lt;&gt;"",XLOOKUP($F686,Productos!$A:$A,Productos!AD:AD,"Revisar"),"")</f>
        <v/>
      </c>
      <c r="AL686" s="179" t="str">
        <f t="array" ref="AL686">IF($F686&lt;&gt;"", XLOOKUP($F686,Productos!$A$2:$A1001,Productos!AE$2:AE1001,"")*$G686,"")</f>
        <v/>
      </c>
      <c r="AM686" s="179" t="str">
        <f t="array" ref="AM686">IF($F686&lt;&gt;"",XLOOKUP($F686,Productos!$A:$A,Productos!AF:AF,"Revisar"),"")</f>
        <v/>
      </c>
      <c r="AN686" s="179" t="str">
        <f t="array" ref="AN686">IF($F686&lt;&gt;"", XLOOKUP($F686,Productos!$A$2:$A1001,Productos!AG$2:AG1001,"")*$G686,"")</f>
        <v/>
      </c>
      <c r="AO686" s="179" t="str">
        <f t="array" ref="AO686">IF($F686&lt;&gt;"",XLOOKUP($F686,Productos!$A:$A,Productos!AH:AH,"Revisar"),"")</f>
        <v/>
      </c>
      <c r="AP686" s="179" t="str">
        <f t="array" ref="AP686">IF($F686&lt;&gt;"", XLOOKUP($F686,Productos!$A$2:$A1001,Productos!AI$2:AI1001,"")*$G686,"")</f>
        <v/>
      </c>
      <c r="AQ686" s="179" t="str">
        <f t="array" ref="AQ686">IF($F686&lt;&gt;"",XLOOKUP($F686,Productos!$A:$A,Productos!AJ:AJ,"Revisar"),"")</f>
        <v/>
      </c>
      <c r="AR686" s="179" t="str">
        <f t="array" ref="AR686">IF($F686&lt;&gt;"", XLOOKUP($F686,Productos!$A$2:$A1001,Productos!AK$2:AK1001,"")*$G686,"")</f>
        <v/>
      </c>
      <c r="AS686" s="179" t="str">
        <f t="array" ref="AS686">IF($F686&lt;&gt;"",XLOOKUP($F686,Productos!$A:$A,Productos!AL:AL,"Revisar"),"")</f>
        <v/>
      </c>
      <c r="AT686" s="179" t="str">
        <f t="array" ref="AT686">IF($F686&lt;&gt;"", XLOOKUP($F686,Productos!$A$2:$A1001,Productos!AM$2:AM1001,"")*$G686,"")</f>
        <v/>
      </c>
      <c r="AU686" s="179" t="str">
        <f t="array" ref="AU686">IF($F686&lt;&gt;"",XLOOKUP($F686,Productos!$A:$A,Productos!AN:AN,"Revisar"),"")</f>
        <v/>
      </c>
      <c r="AV686" s="179" t="str">
        <f t="array" ref="AV686">IF($F686&lt;&gt;"", XLOOKUP($F686,Productos!$A$2:$A1001,Productos!AO$2:AO1001,"")*$G686,"")</f>
        <v/>
      </c>
      <c r="AW686" s="179" t="str">
        <f t="array" ref="AW686">IF($F686&lt;&gt;"",XLOOKUP($F686,Productos!$A:$A,Productos!AP:AP,"Revisar"),"")</f>
        <v/>
      </c>
      <c r="AX686" s="179" t="str">
        <f t="array" ref="AX686">IF($F686&lt;&gt;"", XLOOKUP($F686,Productos!$A$2:$A1001,Productos!AQ$2:AQ1001,"")*$G686,"")</f>
        <v/>
      </c>
      <c r="AY686" s="179" t="str">
        <f t="array" ref="AY686">IF($F686&lt;&gt;"",XLOOKUP($F686,Productos!$A:$A,Productos!AR:AR,"Revisar"),"")</f>
        <v/>
      </c>
      <c r="AZ686" s="179" t="str">
        <f t="array" ref="AZ686">IF($F686&lt;&gt;"", XLOOKUP($F686,Productos!$A$2:$A1001,Productos!AS$2:AS1001,"")*$G686,"")</f>
        <v/>
      </c>
      <c r="BA686" s="179" t="str">
        <f t="array" ref="BA686">IF($F686&lt;&gt;"",XLOOKUP($F686,Productos!$A:$A,Productos!AT:AT,"Revisar"),"")</f>
        <v/>
      </c>
      <c r="BB686" s="179" t="str">
        <f t="array" ref="BB686">IF($F686&lt;&gt;"", XLOOKUP($F686,Productos!$A$2:$A1001,Productos!AU$2:AU1001,"")*$G686,"")</f>
        <v/>
      </c>
      <c r="BC686" s="179" t="str">
        <f t="array" ref="BC686">IF($F686&lt;&gt;"",XLOOKUP($F686,Productos!$A:$A,Productos!AV:AV,"Revisar"),"")</f>
        <v/>
      </c>
      <c r="BD686" s="179" t="str">
        <f t="array" ref="BD686">IF($F686&lt;&gt;"", XLOOKUP($F686,Productos!$A$2:$A1001,Productos!AW$2:AW1001,"")*$G686,"")</f>
        <v/>
      </c>
      <c r="BE686" s="179" t="str">
        <f t="array" ref="BE686">IF($F686&lt;&gt;"",XLOOKUP($F686,Productos!$A:$A,Productos!AX:AX,"Revisar"),"")</f>
        <v/>
      </c>
      <c r="BF686" s="179" t="str">
        <f t="array" ref="BF686">IF($F686&lt;&gt;"", XLOOKUP($F686,Productos!$A$2:$A1001,Productos!AY$2:AY1001,"")*$G686,"")</f>
        <v/>
      </c>
      <c r="BG686" s="179" t="str">
        <f t="array" ref="BG686">IF($F686&lt;&gt;"",XLOOKUP($F686,Productos!$A:$A,Productos!AZ:AZ,"Revisar"),"")</f>
        <v/>
      </c>
      <c r="BH686" s="179" t="str">
        <f t="array" ref="BH686">IF($F686&lt;&gt;"", XLOOKUP($F686,Productos!$A$2:$A1001,Productos!BA$2:BA1001,"")*$G686,"")</f>
        <v/>
      </c>
      <c r="BI686" s="179" t="str">
        <f t="array" ref="BI686">IF($F686&lt;&gt;"",XLOOKUP($F686,Productos!$A:$A,Productos!BB:BB,"Revisar"),"")</f>
        <v/>
      </c>
      <c r="BJ686" s="179" t="str">
        <f t="array" ref="BJ686">IF($F686&lt;&gt;"", XLOOKUP($F686,Productos!$A$2:$A1001,Productos!BC$2:BC1001,"")*$G686,"")</f>
        <v/>
      </c>
      <c r="BK686" s="179" t="str">
        <f t="array" ref="BK686">IF($F686&lt;&gt;"",XLOOKUP($F686,Productos!$A:$A,Productos!BD:BD,"Revisar"),"")</f>
        <v/>
      </c>
      <c r="BL686" s="179" t="str">
        <f t="array" ref="BL686">IF($F686&lt;&gt;"", XLOOKUP($F686,Productos!$A$2:$A1001,Productos!BE$2:BE1001,"")*$G686,"")</f>
        <v/>
      </c>
      <c r="BM686" s="179" t="str">
        <f t="array" ref="BM686">IF($F686&lt;&gt;"",XLOOKUP($F686,Productos!$A:$A,Productos!BF:BF,"Revisar"),"")</f>
        <v/>
      </c>
      <c r="BN686" s="179" t="str">
        <f t="array" ref="BN686">IF($F686&lt;&gt;"", XLOOKUP($F686,Productos!$A$2:$A1001,Productos!BG$2:BG1001,"")*$G686,"")</f>
        <v/>
      </c>
      <c r="BO686" s="179" t="str">
        <f t="array" ref="BO686">IF($F686&lt;&gt;"",XLOOKUP($F686,Productos!$A:$A,Productos!BH:BH,"Revisar"),"")</f>
        <v/>
      </c>
      <c r="BP686" s="179" t="str">
        <f t="array" ref="BP686">IF($F686&lt;&gt;"", XLOOKUP($F686,Productos!$A$2:$A1001,Productos!BI$2:BI1001,"")*$G686,"")</f>
        <v/>
      </c>
      <c r="BQ686" s="179" t="str">
        <f t="array" ref="BQ686">IF($F686&lt;&gt;"",XLOOKUP($F686,Productos!$A:$A,Productos!BJ:BJ,"Revisar"),"")</f>
        <v/>
      </c>
      <c r="BR686" s="179" t="str">
        <f t="array" ref="BR686">IF($F686&lt;&gt;"", XLOOKUP($F686,Productos!$A$2:$A1001,Productos!BK$2:BK1001,"")*$G686,"")</f>
        <v/>
      </c>
      <c r="BS686" s="179" t="str">
        <f t="array" ref="BS686">IF($F686&lt;&gt;"",XLOOKUP($F686,Productos!$A:$A,Productos!BL:BL,"Revisar"),"")</f>
        <v/>
      </c>
      <c r="BT686" s="179" t="str">
        <f t="array" ref="BT686">IF($F686&lt;&gt;"", XLOOKUP($F686,Productos!$A$2:$A1001,Productos!BM$2:BM1001,"")*$G686,"")</f>
        <v/>
      </c>
      <c r="BU686" s="179" t="str">
        <f t="array" ref="BU686">IF($F686&lt;&gt;"",XLOOKUP($F686,Productos!$A:$A,Productos!BN:BN,"Revisar"),"")</f>
        <v/>
      </c>
      <c r="BV686" s="179" t="str">
        <f t="array" ref="BV686">IF($F686&lt;&gt;"", XLOOKUP($F686,Productos!$A$2:$A1001,Productos!BO$2:BO1001,"")*$G686,"")</f>
        <v/>
      </c>
      <c r="BW686" s="179" t="str">
        <f t="array" ref="BW686">IF($F686&lt;&gt;"",XLOOKUP($F686,Productos!$A:$A,Productos!BP:BP,"Revisar"),"")</f>
        <v/>
      </c>
      <c r="BX686" s="179" t="str">
        <f t="array" ref="BX686">IF($F686&lt;&gt;"", XLOOKUP($F686,Productos!$A$2:$A1001,Productos!BQ$2:BQ1001,"")*$G686,"")</f>
        <v/>
      </c>
      <c r="BY686" s="179" t="str">
        <f t="array" ref="BY686">IF($F686&lt;&gt;"",XLOOKUP($F686,Productos!$A:$A,Productos!BR:BR,"Revisar"),"")</f>
        <v/>
      </c>
      <c r="BZ686" s="179" t="str">
        <f t="array" ref="BZ686">IF($F686&lt;&gt;"", XLOOKUP($F686,Productos!$A$2:$A1001,Productos!BS$2:BS1001,"")*$G686,"")</f>
        <v/>
      </c>
    </row>
    <row r="687">
      <c r="A687" s="188"/>
      <c r="B687" s="189"/>
      <c r="C687" s="190"/>
      <c r="D687" s="190"/>
      <c r="E687" s="191"/>
      <c r="F687" s="186"/>
      <c r="G687" s="192"/>
      <c r="H687" s="9"/>
      <c r="I687" s="179" t="str">
        <f t="array" ref="I687">IF($F687&lt;&gt;"",XLOOKUP($F687,Productos!$A:$A,Productos!B:B,"Revisar"),"")</f>
        <v/>
      </c>
      <c r="J687" s="179" t="str">
        <f t="array" ref="J687">IF($F687&lt;&gt;"", XLOOKUP($F687,Productos!$A$2:$A1001,Productos!C$2:C1001,"")*$G687,"")</f>
        <v/>
      </c>
      <c r="K687" s="179" t="str">
        <f t="array" ref="K687">IF($F687&lt;&gt;"",XLOOKUP($F687,Productos!$A:$A,Productos!D:D,"Revisar"),"")</f>
        <v/>
      </c>
      <c r="L687" s="179" t="str">
        <f t="array" ref="L687">IF($F687&lt;&gt;"", XLOOKUP($F687,Productos!$A$2:$A1001,Productos!E$2:E1001,"")*$G687,"")</f>
        <v/>
      </c>
      <c r="M687" s="179" t="str">
        <f t="array" ref="M687">IF($F687&lt;&gt;"",XLOOKUP($F687,Productos!$A:$A,Productos!F:F,"Revisar"),"")</f>
        <v/>
      </c>
      <c r="N687" s="179" t="str">
        <f t="array" ref="N687">IF($F687&lt;&gt;"", XLOOKUP($F687,Productos!$A$2:$A1001,Productos!G$2:G1001,"")*$G687,"")</f>
        <v/>
      </c>
      <c r="O687" s="179" t="str">
        <f t="array" ref="O687">IF($F687&lt;&gt;"",XLOOKUP($F687,Productos!$A:$A,Productos!H:H,"Revisar"),"")</f>
        <v/>
      </c>
      <c r="P687" s="179" t="str">
        <f t="array" ref="P687">IF($F687&lt;&gt;"", XLOOKUP($F687,Productos!$A$2:$A1001,Productos!I$2:I1001,"")*$G687,"")</f>
        <v/>
      </c>
      <c r="Q687" s="179" t="str">
        <f t="array" ref="Q687">IF($F687&lt;&gt;"",XLOOKUP($F687,Productos!$A:$A,Productos!J:J,"Revisar"),"")</f>
        <v/>
      </c>
      <c r="R687" s="179" t="str">
        <f t="array" ref="R687">IF($F687&lt;&gt;"", XLOOKUP($F687,Productos!$A$2:$A1001,Productos!K$2:K1001,"")*$G687,"")</f>
        <v/>
      </c>
      <c r="S687" s="179" t="str">
        <f t="array" ref="S687">IF($F687&lt;&gt;"",XLOOKUP($F687,Productos!$A:$A,Productos!L:L,"Revisar"),"")</f>
        <v/>
      </c>
      <c r="T687" s="179" t="str">
        <f t="array" ref="T687">IF($F687&lt;&gt;"", XLOOKUP($F687,Productos!$A$2:$A1001,Productos!M$2:M1001,"")*$G687,"")</f>
        <v/>
      </c>
      <c r="U687" s="179" t="str">
        <f t="array" ref="U687">IF($F687&lt;&gt;"",XLOOKUP($F687,Productos!$A:$A,Productos!N:N,"Revisar"),"")</f>
        <v/>
      </c>
      <c r="V687" s="179" t="str">
        <f t="array" ref="V687">IF($F687&lt;&gt;"", XLOOKUP($F687,Productos!$A$2:$A1001,Productos!O$2:O1001,"")*$G687,"")</f>
        <v/>
      </c>
      <c r="W687" s="179" t="str">
        <f t="array" ref="W687">IF($F687&lt;&gt;"",XLOOKUP($F687,Productos!$A:$A,Productos!P:P,"Revisar"),"")</f>
        <v/>
      </c>
      <c r="X687" s="179" t="str">
        <f t="array" ref="X687">IF($F687&lt;&gt;"", XLOOKUP($F687,Productos!$A$2:$A1001,Productos!Q$2:Q1001,"")*$G687,"")</f>
        <v/>
      </c>
      <c r="Y687" s="179" t="str">
        <f t="array" ref="Y687">IF($F687&lt;&gt;"",XLOOKUP($F687,Productos!$A:$A,Productos!R:R,"Revisar"),"")</f>
        <v/>
      </c>
      <c r="Z687" s="179" t="str">
        <f t="array" ref="Z687">IF($F687&lt;&gt;"", XLOOKUP($F687,Productos!$A$2:$A1001,Productos!S$2:S1001,"")*$G687,"")</f>
        <v/>
      </c>
      <c r="AA687" s="179" t="str">
        <f t="array" ref="AA687">IF($F687&lt;&gt;"",XLOOKUP($F687,Productos!$A:$A,Productos!T:T,"Revisar"),"")</f>
        <v/>
      </c>
      <c r="AB687" s="179" t="str">
        <f t="array" ref="AB687">IF($F687&lt;&gt;"", XLOOKUP($F687,Productos!$A$2:$A1001,Productos!U$2:U1001,"")*$G687,"")</f>
        <v/>
      </c>
      <c r="AC687" s="179" t="str">
        <f t="array" ref="AC687">IF($F687&lt;&gt;"",XLOOKUP($F687,Productos!$A:$A,Productos!V:V,"Revisar"),"")</f>
        <v/>
      </c>
      <c r="AD687" s="179" t="str">
        <f t="array" ref="AD687">IF($F687&lt;&gt;"", XLOOKUP($F687,Productos!$A$2:$A1001,Productos!W$2:W1001,"")*$G687,"")</f>
        <v/>
      </c>
      <c r="AE687" s="179" t="str">
        <f t="array" ref="AE687">IF($F687&lt;&gt;"",XLOOKUP($F687,Productos!$A:$A,Productos!X:X,"Revisar"),"")</f>
        <v/>
      </c>
      <c r="AF687" s="179" t="str">
        <f t="array" ref="AF687">IF($F687&lt;&gt;"", XLOOKUP($F687,Productos!$A$2:$A1001,Productos!Y$2:Y1001,"")*$G687,"")</f>
        <v/>
      </c>
      <c r="AG687" s="179" t="str">
        <f t="array" ref="AG687">IF($F687&lt;&gt;"",XLOOKUP($F687,Productos!$A:$A,Productos!Z:Z,"Revisar"),"")</f>
        <v/>
      </c>
      <c r="AH687" s="179" t="str">
        <f t="array" ref="AH687">IF($F687&lt;&gt;"", XLOOKUP($F687,Productos!$A$2:$A1001,Productos!AA$2:AA1001,"")*$G687,"")</f>
        <v/>
      </c>
      <c r="AI687" s="179" t="str">
        <f t="array" ref="AI687">IF($F687&lt;&gt;"",XLOOKUP($F687,Productos!$A:$A,Productos!AB:AB,"Revisar"),"")</f>
        <v/>
      </c>
      <c r="AJ687" s="179" t="str">
        <f t="array" ref="AJ687">IF($F687&lt;&gt;"", XLOOKUP($F687,Productos!$A$2:$A1001,Productos!AC$2:AC1001,"")*$G687,"")</f>
        <v/>
      </c>
      <c r="AK687" s="179" t="str">
        <f t="array" ref="AK687">IF($F687&lt;&gt;"",XLOOKUP($F687,Productos!$A:$A,Productos!AD:AD,"Revisar"),"")</f>
        <v/>
      </c>
      <c r="AL687" s="179" t="str">
        <f t="array" ref="AL687">IF($F687&lt;&gt;"", XLOOKUP($F687,Productos!$A$2:$A1001,Productos!AE$2:AE1001,"")*$G687,"")</f>
        <v/>
      </c>
      <c r="AM687" s="179" t="str">
        <f t="array" ref="AM687">IF($F687&lt;&gt;"",XLOOKUP($F687,Productos!$A:$A,Productos!AF:AF,"Revisar"),"")</f>
        <v/>
      </c>
      <c r="AN687" s="179" t="str">
        <f t="array" ref="AN687">IF($F687&lt;&gt;"", XLOOKUP($F687,Productos!$A$2:$A1001,Productos!AG$2:AG1001,"")*$G687,"")</f>
        <v/>
      </c>
      <c r="AO687" s="179" t="str">
        <f t="array" ref="AO687">IF($F687&lt;&gt;"",XLOOKUP($F687,Productos!$A:$A,Productos!AH:AH,"Revisar"),"")</f>
        <v/>
      </c>
      <c r="AP687" s="179" t="str">
        <f t="array" ref="AP687">IF($F687&lt;&gt;"", XLOOKUP($F687,Productos!$A$2:$A1001,Productos!AI$2:AI1001,"")*$G687,"")</f>
        <v/>
      </c>
      <c r="AQ687" s="179" t="str">
        <f t="array" ref="AQ687">IF($F687&lt;&gt;"",XLOOKUP($F687,Productos!$A:$A,Productos!AJ:AJ,"Revisar"),"")</f>
        <v/>
      </c>
      <c r="AR687" s="179" t="str">
        <f t="array" ref="AR687">IF($F687&lt;&gt;"", XLOOKUP($F687,Productos!$A$2:$A1001,Productos!AK$2:AK1001,"")*$G687,"")</f>
        <v/>
      </c>
      <c r="AS687" s="179" t="str">
        <f t="array" ref="AS687">IF($F687&lt;&gt;"",XLOOKUP($F687,Productos!$A:$A,Productos!AL:AL,"Revisar"),"")</f>
        <v/>
      </c>
      <c r="AT687" s="179" t="str">
        <f t="array" ref="AT687">IF($F687&lt;&gt;"", XLOOKUP($F687,Productos!$A$2:$A1001,Productos!AM$2:AM1001,"")*$G687,"")</f>
        <v/>
      </c>
      <c r="AU687" s="179" t="str">
        <f t="array" ref="AU687">IF($F687&lt;&gt;"",XLOOKUP($F687,Productos!$A:$A,Productos!AN:AN,"Revisar"),"")</f>
        <v/>
      </c>
      <c r="AV687" s="179" t="str">
        <f t="array" ref="AV687">IF($F687&lt;&gt;"", XLOOKUP($F687,Productos!$A$2:$A1001,Productos!AO$2:AO1001,"")*$G687,"")</f>
        <v/>
      </c>
      <c r="AW687" s="179" t="str">
        <f t="array" ref="AW687">IF($F687&lt;&gt;"",XLOOKUP($F687,Productos!$A:$A,Productos!AP:AP,"Revisar"),"")</f>
        <v/>
      </c>
      <c r="AX687" s="179" t="str">
        <f t="array" ref="AX687">IF($F687&lt;&gt;"", XLOOKUP($F687,Productos!$A$2:$A1001,Productos!AQ$2:AQ1001,"")*$G687,"")</f>
        <v/>
      </c>
      <c r="AY687" s="179" t="str">
        <f t="array" ref="AY687">IF($F687&lt;&gt;"",XLOOKUP($F687,Productos!$A:$A,Productos!AR:AR,"Revisar"),"")</f>
        <v/>
      </c>
      <c r="AZ687" s="179" t="str">
        <f t="array" ref="AZ687">IF($F687&lt;&gt;"", XLOOKUP($F687,Productos!$A$2:$A1001,Productos!AS$2:AS1001,"")*$G687,"")</f>
        <v/>
      </c>
      <c r="BA687" s="179" t="str">
        <f t="array" ref="BA687">IF($F687&lt;&gt;"",XLOOKUP($F687,Productos!$A:$A,Productos!AT:AT,"Revisar"),"")</f>
        <v/>
      </c>
      <c r="BB687" s="179" t="str">
        <f t="array" ref="BB687">IF($F687&lt;&gt;"", XLOOKUP($F687,Productos!$A$2:$A1001,Productos!AU$2:AU1001,"")*$G687,"")</f>
        <v/>
      </c>
      <c r="BC687" s="179" t="str">
        <f t="array" ref="BC687">IF($F687&lt;&gt;"",XLOOKUP($F687,Productos!$A:$A,Productos!AV:AV,"Revisar"),"")</f>
        <v/>
      </c>
      <c r="BD687" s="179" t="str">
        <f t="array" ref="BD687">IF($F687&lt;&gt;"", XLOOKUP($F687,Productos!$A$2:$A1001,Productos!AW$2:AW1001,"")*$G687,"")</f>
        <v/>
      </c>
      <c r="BE687" s="179" t="str">
        <f t="array" ref="BE687">IF($F687&lt;&gt;"",XLOOKUP($F687,Productos!$A:$A,Productos!AX:AX,"Revisar"),"")</f>
        <v/>
      </c>
      <c r="BF687" s="179" t="str">
        <f t="array" ref="BF687">IF($F687&lt;&gt;"", XLOOKUP($F687,Productos!$A$2:$A1001,Productos!AY$2:AY1001,"")*$G687,"")</f>
        <v/>
      </c>
      <c r="BG687" s="179" t="str">
        <f t="array" ref="BG687">IF($F687&lt;&gt;"",XLOOKUP($F687,Productos!$A:$A,Productos!AZ:AZ,"Revisar"),"")</f>
        <v/>
      </c>
      <c r="BH687" s="179" t="str">
        <f t="array" ref="BH687">IF($F687&lt;&gt;"", XLOOKUP($F687,Productos!$A$2:$A1001,Productos!BA$2:BA1001,"")*$G687,"")</f>
        <v/>
      </c>
      <c r="BI687" s="179" t="str">
        <f t="array" ref="BI687">IF($F687&lt;&gt;"",XLOOKUP($F687,Productos!$A:$A,Productos!BB:BB,"Revisar"),"")</f>
        <v/>
      </c>
      <c r="BJ687" s="179" t="str">
        <f t="array" ref="BJ687">IF($F687&lt;&gt;"", XLOOKUP($F687,Productos!$A$2:$A1001,Productos!BC$2:BC1001,"")*$G687,"")</f>
        <v/>
      </c>
      <c r="BK687" s="179" t="str">
        <f t="array" ref="BK687">IF($F687&lt;&gt;"",XLOOKUP($F687,Productos!$A:$A,Productos!BD:BD,"Revisar"),"")</f>
        <v/>
      </c>
      <c r="BL687" s="179" t="str">
        <f t="array" ref="BL687">IF($F687&lt;&gt;"", XLOOKUP($F687,Productos!$A$2:$A1001,Productos!BE$2:BE1001,"")*$G687,"")</f>
        <v/>
      </c>
      <c r="BM687" s="179" t="str">
        <f t="array" ref="BM687">IF($F687&lt;&gt;"",XLOOKUP($F687,Productos!$A:$A,Productos!BF:BF,"Revisar"),"")</f>
        <v/>
      </c>
      <c r="BN687" s="179" t="str">
        <f t="array" ref="BN687">IF($F687&lt;&gt;"", XLOOKUP($F687,Productos!$A$2:$A1001,Productos!BG$2:BG1001,"")*$G687,"")</f>
        <v/>
      </c>
      <c r="BO687" s="179" t="str">
        <f t="array" ref="BO687">IF($F687&lt;&gt;"",XLOOKUP($F687,Productos!$A:$A,Productos!BH:BH,"Revisar"),"")</f>
        <v/>
      </c>
      <c r="BP687" s="179" t="str">
        <f t="array" ref="BP687">IF($F687&lt;&gt;"", XLOOKUP($F687,Productos!$A$2:$A1001,Productos!BI$2:BI1001,"")*$G687,"")</f>
        <v/>
      </c>
      <c r="BQ687" s="179" t="str">
        <f t="array" ref="BQ687">IF($F687&lt;&gt;"",XLOOKUP($F687,Productos!$A:$A,Productos!BJ:BJ,"Revisar"),"")</f>
        <v/>
      </c>
      <c r="BR687" s="179" t="str">
        <f t="array" ref="BR687">IF($F687&lt;&gt;"", XLOOKUP($F687,Productos!$A$2:$A1001,Productos!BK$2:BK1001,"")*$G687,"")</f>
        <v/>
      </c>
      <c r="BS687" s="179" t="str">
        <f t="array" ref="BS687">IF($F687&lt;&gt;"",XLOOKUP($F687,Productos!$A:$A,Productos!BL:BL,"Revisar"),"")</f>
        <v/>
      </c>
      <c r="BT687" s="179" t="str">
        <f t="array" ref="BT687">IF($F687&lt;&gt;"", XLOOKUP($F687,Productos!$A$2:$A1001,Productos!BM$2:BM1001,"")*$G687,"")</f>
        <v/>
      </c>
      <c r="BU687" s="179" t="str">
        <f t="array" ref="BU687">IF($F687&lt;&gt;"",XLOOKUP($F687,Productos!$A:$A,Productos!BN:BN,"Revisar"),"")</f>
        <v/>
      </c>
      <c r="BV687" s="179" t="str">
        <f t="array" ref="BV687">IF($F687&lt;&gt;"", XLOOKUP($F687,Productos!$A$2:$A1001,Productos!BO$2:BO1001,"")*$G687,"")</f>
        <v/>
      </c>
      <c r="BW687" s="179" t="str">
        <f t="array" ref="BW687">IF($F687&lt;&gt;"",XLOOKUP($F687,Productos!$A:$A,Productos!BP:BP,"Revisar"),"")</f>
        <v/>
      </c>
      <c r="BX687" s="179" t="str">
        <f t="array" ref="BX687">IF($F687&lt;&gt;"", XLOOKUP($F687,Productos!$A$2:$A1001,Productos!BQ$2:BQ1001,"")*$G687,"")</f>
        <v/>
      </c>
      <c r="BY687" s="179" t="str">
        <f t="array" ref="BY687">IF($F687&lt;&gt;"",XLOOKUP($F687,Productos!$A:$A,Productos!BR:BR,"Revisar"),"")</f>
        <v/>
      </c>
      <c r="BZ687" s="179" t="str">
        <f t="array" ref="BZ687">IF($F687&lt;&gt;"", XLOOKUP($F687,Productos!$A$2:$A1001,Productos!BS$2:BS1001,"")*$G687,"")</f>
        <v/>
      </c>
    </row>
    <row r="688">
      <c r="A688" s="188"/>
      <c r="B688" s="189"/>
      <c r="C688" s="190"/>
      <c r="D688" s="190"/>
      <c r="E688" s="191"/>
      <c r="F688" s="186"/>
      <c r="G688" s="192"/>
      <c r="H688" s="9"/>
      <c r="I688" s="179" t="str">
        <f t="array" ref="I688">IF($F688&lt;&gt;"",XLOOKUP($F688,Productos!$A:$A,Productos!B:B,"Revisar"),"")</f>
        <v/>
      </c>
      <c r="J688" s="179" t="str">
        <f t="array" ref="J688">IF($F688&lt;&gt;"", XLOOKUP($F688,Productos!$A$2:$A1001,Productos!C$2:C1001,"")*$G688,"")</f>
        <v/>
      </c>
      <c r="K688" s="179" t="str">
        <f t="array" ref="K688">IF($F688&lt;&gt;"",XLOOKUP($F688,Productos!$A:$A,Productos!D:D,"Revisar"),"")</f>
        <v/>
      </c>
      <c r="L688" s="179" t="str">
        <f t="array" ref="L688">IF($F688&lt;&gt;"", XLOOKUP($F688,Productos!$A$2:$A1001,Productos!E$2:E1001,"")*$G688,"")</f>
        <v/>
      </c>
      <c r="M688" s="179" t="str">
        <f t="array" ref="M688">IF($F688&lt;&gt;"",XLOOKUP($F688,Productos!$A:$A,Productos!F:F,"Revisar"),"")</f>
        <v/>
      </c>
      <c r="N688" s="179" t="str">
        <f t="array" ref="N688">IF($F688&lt;&gt;"", XLOOKUP($F688,Productos!$A$2:$A1001,Productos!G$2:G1001,"")*$G688,"")</f>
        <v/>
      </c>
      <c r="O688" s="179" t="str">
        <f t="array" ref="O688">IF($F688&lt;&gt;"",XLOOKUP($F688,Productos!$A:$A,Productos!H:H,"Revisar"),"")</f>
        <v/>
      </c>
      <c r="P688" s="179" t="str">
        <f t="array" ref="P688">IF($F688&lt;&gt;"", XLOOKUP($F688,Productos!$A$2:$A1001,Productos!I$2:I1001,"")*$G688,"")</f>
        <v/>
      </c>
      <c r="Q688" s="179" t="str">
        <f t="array" ref="Q688">IF($F688&lt;&gt;"",XLOOKUP($F688,Productos!$A:$A,Productos!J:J,"Revisar"),"")</f>
        <v/>
      </c>
      <c r="R688" s="179" t="str">
        <f t="array" ref="R688">IF($F688&lt;&gt;"", XLOOKUP($F688,Productos!$A$2:$A1001,Productos!K$2:K1001,"")*$G688,"")</f>
        <v/>
      </c>
      <c r="S688" s="179" t="str">
        <f t="array" ref="S688">IF($F688&lt;&gt;"",XLOOKUP($F688,Productos!$A:$A,Productos!L:L,"Revisar"),"")</f>
        <v/>
      </c>
      <c r="T688" s="179" t="str">
        <f t="array" ref="T688">IF($F688&lt;&gt;"", XLOOKUP($F688,Productos!$A$2:$A1001,Productos!M$2:M1001,"")*$G688,"")</f>
        <v/>
      </c>
      <c r="U688" s="179" t="str">
        <f t="array" ref="U688">IF($F688&lt;&gt;"",XLOOKUP($F688,Productos!$A:$A,Productos!N:N,"Revisar"),"")</f>
        <v/>
      </c>
      <c r="V688" s="179" t="str">
        <f t="array" ref="V688">IF($F688&lt;&gt;"", XLOOKUP($F688,Productos!$A$2:$A1001,Productos!O$2:O1001,"")*$G688,"")</f>
        <v/>
      </c>
      <c r="W688" s="179" t="str">
        <f t="array" ref="W688">IF($F688&lt;&gt;"",XLOOKUP($F688,Productos!$A:$A,Productos!P:P,"Revisar"),"")</f>
        <v/>
      </c>
      <c r="X688" s="179" t="str">
        <f t="array" ref="X688">IF($F688&lt;&gt;"", XLOOKUP($F688,Productos!$A$2:$A1001,Productos!Q$2:Q1001,"")*$G688,"")</f>
        <v/>
      </c>
      <c r="Y688" s="179" t="str">
        <f t="array" ref="Y688">IF($F688&lt;&gt;"",XLOOKUP($F688,Productos!$A:$A,Productos!R:R,"Revisar"),"")</f>
        <v/>
      </c>
      <c r="Z688" s="179" t="str">
        <f t="array" ref="Z688">IF($F688&lt;&gt;"", XLOOKUP($F688,Productos!$A$2:$A1001,Productos!S$2:S1001,"")*$G688,"")</f>
        <v/>
      </c>
      <c r="AA688" s="179" t="str">
        <f t="array" ref="AA688">IF($F688&lt;&gt;"",XLOOKUP($F688,Productos!$A:$A,Productos!T:T,"Revisar"),"")</f>
        <v/>
      </c>
      <c r="AB688" s="179" t="str">
        <f t="array" ref="AB688">IF($F688&lt;&gt;"", XLOOKUP($F688,Productos!$A$2:$A1001,Productos!U$2:U1001,"")*$G688,"")</f>
        <v/>
      </c>
      <c r="AC688" s="179" t="str">
        <f t="array" ref="AC688">IF($F688&lt;&gt;"",XLOOKUP($F688,Productos!$A:$A,Productos!V:V,"Revisar"),"")</f>
        <v/>
      </c>
      <c r="AD688" s="179" t="str">
        <f t="array" ref="AD688">IF($F688&lt;&gt;"", XLOOKUP($F688,Productos!$A$2:$A1001,Productos!W$2:W1001,"")*$G688,"")</f>
        <v/>
      </c>
      <c r="AE688" s="179" t="str">
        <f t="array" ref="AE688">IF($F688&lt;&gt;"",XLOOKUP($F688,Productos!$A:$A,Productos!X:X,"Revisar"),"")</f>
        <v/>
      </c>
      <c r="AF688" s="179" t="str">
        <f t="array" ref="AF688">IF($F688&lt;&gt;"", XLOOKUP($F688,Productos!$A$2:$A1001,Productos!Y$2:Y1001,"")*$G688,"")</f>
        <v/>
      </c>
      <c r="AG688" s="179" t="str">
        <f t="array" ref="AG688">IF($F688&lt;&gt;"",XLOOKUP($F688,Productos!$A:$A,Productos!Z:Z,"Revisar"),"")</f>
        <v/>
      </c>
      <c r="AH688" s="179" t="str">
        <f t="array" ref="AH688">IF($F688&lt;&gt;"", XLOOKUP($F688,Productos!$A$2:$A1001,Productos!AA$2:AA1001,"")*$G688,"")</f>
        <v/>
      </c>
      <c r="AI688" s="179" t="str">
        <f t="array" ref="AI688">IF($F688&lt;&gt;"",XLOOKUP($F688,Productos!$A:$A,Productos!AB:AB,"Revisar"),"")</f>
        <v/>
      </c>
      <c r="AJ688" s="179" t="str">
        <f t="array" ref="AJ688">IF($F688&lt;&gt;"", XLOOKUP($F688,Productos!$A$2:$A1001,Productos!AC$2:AC1001,"")*$G688,"")</f>
        <v/>
      </c>
      <c r="AK688" s="179" t="str">
        <f t="array" ref="AK688">IF($F688&lt;&gt;"",XLOOKUP($F688,Productos!$A:$A,Productos!AD:AD,"Revisar"),"")</f>
        <v/>
      </c>
      <c r="AL688" s="179" t="str">
        <f t="array" ref="AL688">IF($F688&lt;&gt;"", XLOOKUP($F688,Productos!$A$2:$A1001,Productos!AE$2:AE1001,"")*$G688,"")</f>
        <v/>
      </c>
      <c r="AM688" s="179" t="str">
        <f t="array" ref="AM688">IF($F688&lt;&gt;"",XLOOKUP($F688,Productos!$A:$A,Productos!AF:AF,"Revisar"),"")</f>
        <v/>
      </c>
      <c r="AN688" s="179" t="str">
        <f t="array" ref="AN688">IF($F688&lt;&gt;"", XLOOKUP($F688,Productos!$A$2:$A1001,Productos!AG$2:AG1001,"")*$G688,"")</f>
        <v/>
      </c>
      <c r="AO688" s="179" t="str">
        <f t="array" ref="AO688">IF($F688&lt;&gt;"",XLOOKUP($F688,Productos!$A:$A,Productos!AH:AH,"Revisar"),"")</f>
        <v/>
      </c>
      <c r="AP688" s="179" t="str">
        <f t="array" ref="AP688">IF($F688&lt;&gt;"", XLOOKUP($F688,Productos!$A$2:$A1001,Productos!AI$2:AI1001,"")*$G688,"")</f>
        <v/>
      </c>
      <c r="AQ688" s="179" t="str">
        <f t="array" ref="AQ688">IF($F688&lt;&gt;"",XLOOKUP($F688,Productos!$A:$A,Productos!AJ:AJ,"Revisar"),"")</f>
        <v/>
      </c>
      <c r="AR688" s="179" t="str">
        <f t="array" ref="AR688">IF($F688&lt;&gt;"", XLOOKUP($F688,Productos!$A$2:$A1001,Productos!AK$2:AK1001,"")*$G688,"")</f>
        <v/>
      </c>
      <c r="AS688" s="179" t="str">
        <f t="array" ref="AS688">IF($F688&lt;&gt;"",XLOOKUP($F688,Productos!$A:$A,Productos!AL:AL,"Revisar"),"")</f>
        <v/>
      </c>
      <c r="AT688" s="179" t="str">
        <f t="array" ref="AT688">IF($F688&lt;&gt;"", XLOOKUP($F688,Productos!$A$2:$A1001,Productos!AM$2:AM1001,"")*$G688,"")</f>
        <v/>
      </c>
      <c r="AU688" s="179" t="str">
        <f t="array" ref="AU688">IF($F688&lt;&gt;"",XLOOKUP($F688,Productos!$A:$A,Productos!AN:AN,"Revisar"),"")</f>
        <v/>
      </c>
      <c r="AV688" s="179" t="str">
        <f t="array" ref="AV688">IF($F688&lt;&gt;"", XLOOKUP($F688,Productos!$A$2:$A1001,Productos!AO$2:AO1001,"")*$G688,"")</f>
        <v/>
      </c>
      <c r="AW688" s="179" t="str">
        <f t="array" ref="AW688">IF($F688&lt;&gt;"",XLOOKUP($F688,Productos!$A:$A,Productos!AP:AP,"Revisar"),"")</f>
        <v/>
      </c>
      <c r="AX688" s="179" t="str">
        <f t="array" ref="AX688">IF($F688&lt;&gt;"", XLOOKUP($F688,Productos!$A$2:$A1001,Productos!AQ$2:AQ1001,"")*$G688,"")</f>
        <v/>
      </c>
      <c r="AY688" s="179" t="str">
        <f t="array" ref="AY688">IF($F688&lt;&gt;"",XLOOKUP($F688,Productos!$A:$A,Productos!AR:AR,"Revisar"),"")</f>
        <v/>
      </c>
      <c r="AZ688" s="179" t="str">
        <f t="array" ref="AZ688">IF($F688&lt;&gt;"", XLOOKUP($F688,Productos!$A$2:$A1001,Productos!AS$2:AS1001,"")*$G688,"")</f>
        <v/>
      </c>
      <c r="BA688" s="179" t="str">
        <f t="array" ref="BA688">IF($F688&lt;&gt;"",XLOOKUP($F688,Productos!$A:$A,Productos!AT:AT,"Revisar"),"")</f>
        <v/>
      </c>
      <c r="BB688" s="179" t="str">
        <f t="array" ref="BB688">IF($F688&lt;&gt;"", XLOOKUP($F688,Productos!$A$2:$A1001,Productos!AU$2:AU1001,"")*$G688,"")</f>
        <v/>
      </c>
      <c r="BC688" s="179" t="str">
        <f t="array" ref="BC688">IF($F688&lt;&gt;"",XLOOKUP($F688,Productos!$A:$A,Productos!AV:AV,"Revisar"),"")</f>
        <v/>
      </c>
      <c r="BD688" s="179" t="str">
        <f t="array" ref="BD688">IF($F688&lt;&gt;"", XLOOKUP($F688,Productos!$A$2:$A1001,Productos!AW$2:AW1001,"")*$G688,"")</f>
        <v/>
      </c>
      <c r="BE688" s="179" t="str">
        <f t="array" ref="BE688">IF($F688&lt;&gt;"",XLOOKUP($F688,Productos!$A:$A,Productos!AX:AX,"Revisar"),"")</f>
        <v/>
      </c>
      <c r="BF688" s="179" t="str">
        <f t="array" ref="BF688">IF($F688&lt;&gt;"", XLOOKUP($F688,Productos!$A$2:$A1001,Productos!AY$2:AY1001,"")*$G688,"")</f>
        <v/>
      </c>
      <c r="BG688" s="179" t="str">
        <f t="array" ref="BG688">IF($F688&lt;&gt;"",XLOOKUP($F688,Productos!$A:$A,Productos!AZ:AZ,"Revisar"),"")</f>
        <v/>
      </c>
      <c r="BH688" s="179" t="str">
        <f t="array" ref="BH688">IF($F688&lt;&gt;"", XLOOKUP($F688,Productos!$A$2:$A1001,Productos!BA$2:BA1001,"")*$G688,"")</f>
        <v/>
      </c>
      <c r="BI688" s="179" t="str">
        <f t="array" ref="BI688">IF($F688&lt;&gt;"",XLOOKUP($F688,Productos!$A:$A,Productos!BB:BB,"Revisar"),"")</f>
        <v/>
      </c>
      <c r="BJ688" s="179" t="str">
        <f t="array" ref="BJ688">IF($F688&lt;&gt;"", XLOOKUP($F688,Productos!$A$2:$A1001,Productos!BC$2:BC1001,"")*$G688,"")</f>
        <v/>
      </c>
      <c r="BK688" s="179" t="str">
        <f t="array" ref="BK688">IF($F688&lt;&gt;"",XLOOKUP($F688,Productos!$A:$A,Productos!BD:BD,"Revisar"),"")</f>
        <v/>
      </c>
      <c r="BL688" s="179" t="str">
        <f t="array" ref="BL688">IF($F688&lt;&gt;"", XLOOKUP($F688,Productos!$A$2:$A1001,Productos!BE$2:BE1001,"")*$G688,"")</f>
        <v/>
      </c>
      <c r="BM688" s="179" t="str">
        <f t="array" ref="BM688">IF($F688&lt;&gt;"",XLOOKUP($F688,Productos!$A:$A,Productos!BF:BF,"Revisar"),"")</f>
        <v/>
      </c>
      <c r="BN688" s="179" t="str">
        <f t="array" ref="BN688">IF($F688&lt;&gt;"", XLOOKUP($F688,Productos!$A$2:$A1001,Productos!BG$2:BG1001,"")*$G688,"")</f>
        <v/>
      </c>
      <c r="BO688" s="179" t="str">
        <f t="array" ref="BO688">IF($F688&lt;&gt;"",XLOOKUP($F688,Productos!$A:$A,Productos!BH:BH,"Revisar"),"")</f>
        <v/>
      </c>
      <c r="BP688" s="179" t="str">
        <f t="array" ref="BP688">IF($F688&lt;&gt;"", XLOOKUP($F688,Productos!$A$2:$A1001,Productos!BI$2:BI1001,"")*$G688,"")</f>
        <v/>
      </c>
      <c r="BQ688" s="179" t="str">
        <f t="array" ref="BQ688">IF($F688&lt;&gt;"",XLOOKUP($F688,Productos!$A:$A,Productos!BJ:BJ,"Revisar"),"")</f>
        <v/>
      </c>
      <c r="BR688" s="179" t="str">
        <f t="array" ref="BR688">IF($F688&lt;&gt;"", XLOOKUP($F688,Productos!$A$2:$A1001,Productos!BK$2:BK1001,"")*$G688,"")</f>
        <v/>
      </c>
      <c r="BS688" s="179" t="str">
        <f t="array" ref="BS688">IF($F688&lt;&gt;"",XLOOKUP($F688,Productos!$A:$A,Productos!BL:BL,"Revisar"),"")</f>
        <v/>
      </c>
      <c r="BT688" s="179" t="str">
        <f t="array" ref="BT688">IF($F688&lt;&gt;"", XLOOKUP($F688,Productos!$A$2:$A1001,Productos!BM$2:BM1001,"")*$G688,"")</f>
        <v/>
      </c>
      <c r="BU688" s="179" t="str">
        <f t="array" ref="BU688">IF($F688&lt;&gt;"",XLOOKUP($F688,Productos!$A:$A,Productos!BN:BN,"Revisar"),"")</f>
        <v/>
      </c>
      <c r="BV688" s="179" t="str">
        <f t="array" ref="BV688">IF($F688&lt;&gt;"", XLOOKUP($F688,Productos!$A$2:$A1001,Productos!BO$2:BO1001,"")*$G688,"")</f>
        <v/>
      </c>
      <c r="BW688" s="179" t="str">
        <f t="array" ref="BW688">IF($F688&lt;&gt;"",XLOOKUP($F688,Productos!$A:$A,Productos!BP:BP,"Revisar"),"")</f>
        <v/>
      </c>
      <c r="BX688" s="179" t="str">
        <f t="array" ref="BX688">IF($F688&lt;&gt;"", XLOOKUP($F688,Productos!$A$2:$A1001,Productos!BQ$2:BQ1001,"")*$G688,"")</f>
        <v/>
      </c>
      <c r="BY688" s="179" t="str">
        <f t="array" ref="BY688">IF($F688&lt;&gt;"",XLOOKUP($F688,Productos!$A:$A,Productos!BR:BR,"Revisar"),"")</f>
        <v/>
      </c>
      <c r="BZ688" s="179" t="str">
        <f t="array" ref="BZ688">IF($F688&lt;&gt;"", XLOOKUP($F688,Productos!$A$2:$A1001,Productos!BS$2:BS1001,"")*$G688,"")</f>
        <v/>
      </c>
    </row>
    <row r="689">
      <c r="A689" s="188"/>
      <c r="B689" s="189"/>
      <c r="C689" s="190"/>
      <c r="D689" s="190"/>
      <c r="E689" s="191"/>
      <c r="F689" s="186"/>
      <c r="G689" s="192"/>
      <c r="H689" s="9"/>
      <c r="I689" s="179" t="str">
        <f t="array" ref="I689">IF($F689&lt;&gt;"",XLOOKUP($F689,Productos!$A:$A,Productos!B:B,"Revisar"),"")</f>
        <v/>
      </c>
      <c r="J689" s="179" t="str">
        <f t="array" ref="J689">IF($F689&lt;&gt;"", XLOOKUP($F689,Productos!$A$2:$A1001,Productos!C$2:C1001,"")*$G689,"")</f>
        <v/>
      </c>
      <c r="K689" s="179" t="str">
        <f t="array" ref="K689">IF($F689&lt;&gt;"",XLOOKUP($F689,Productos!$A:$A,Productos!D:D,"Revisar"),"")</f>
        <v/>
      </c>
      <c r="L689" s="179" t="str">
        <f t="array" ref="L689">IF($F689&lt;&gt;"", XLOOKUP($F689,Productos!$A$2:$A1001,Productos!E$2:E1001,"")*$G689,"")</f>
        <v/>
      </c>
      <c r="M689" s="179" t="str">
        <f t="array" ref="M689">IF($F689&lt;&gt;"",XLOOKUP($F689,Productos!$A:$A,Productos!F:F,"Revisar"),"")</f>
        <v/>
      </c>
      <c r="N689" s="179" t="str">
        <f t="array" ref="N689">IF($F689&lt;&gt;"", XLOOKUP($F689,Productos!$A$2:$A1001,Productos!G$2:G1001,"")*$G689,"")</f>
        <v/>
      </c>
      <c r="O689" s="179" t="str">
        <f t="array" ref="O689">IF($F689&lt;&gt;"",XLOOKUP($F689,Productos!$A:$A,Productos!H:H,"Revisar"),"")</f>
        <v/>
      </c>
      <c r="P689" s="179" t="str">
        <f t="array" ref="P689">IF($F689&lt;&gt;"", XLOOKUP($F689,Productos!$A$2:$A1001,Productos!I$2:I1001,"")*$G689,"")</f>
        <v/>
      </c>
      <c r="Q689" s="179" t="str">
        <f t="array" ref="Q689">IF($F689&lt;&gt;"",XLOOKUP($F689,Productos!$A:$A,Productos!J:J,"Revisar"),"")</f>
        <v/>
      </c>
      <c r="R689" s="179" t="str">
        <f t="array" ref="R689">IF($F689&lt;&gt;"", XLOOKUP($F689,Productos!$A$2:$A1001,Productos!K$2:K1001,"")*$G689,"")</f>
        <v/>
      </c>
      <c r="S689" s="179" t="str">
        <f t="array" ref="S689">IF($F689&lt;&gt;"",XLOOKUP($F689,Productos!$A:$A,Productos!L:L,"Revisar"),"")</f>
        <v/>
      </c>
      <c r="T689" s="179" t="str">
        <f t="array" ref="T689">IF($F689&lt;&gt;"", XLOOKUP($F689,Productos!$A$2:$A1001,Productos!M$2:M1001,"")*$G689,"")</f>
        <v/>
      </c>
      <c r="U689" s="179" t="str">
        <f t="array" ref="U689">IF($F689&lt;&gt;"",XLOOKUP($F689,Productos!$A:$A,Productos!N:N,"Revisar"),"")</f>
        <v/>
      </c>
      <c r="V689" s="179" t="str">
        <f t="array" ref="V689">IF($F689&lt;&gt;"", XLOOKUP($F689,Productos!$A$2:$A1001,Productos!O$2:O1001,"")*$G689,"")</f>
        <v/>
      </c>
      <c r="W689" s="179" t="str">
        <f t="array" ref="W689">IF($F689&lt;&gt;"",XLOOKUP($F689,Productos!$A:$A,Productos!P:P,"Revisar"),"")</f>
        <v/>
      </c>
      <c r="X689" s="179" t="str">
        <f t="array" ref="X689">IF($F689&lt;&gt;"", XLOOKUP($F689,Productos!$A$2:$A1001,Productos!Q$2:Q1001,"")*$G689,"")</f>
        <v/>
      </c>
      <c r="Y689" s="179" t="str">
        <f t="array" ref="Y689">IF($F689&lt;&gt;"",XLOOKUP($F689,Productos!$A:$A,Productos!R:R,"Revisar"),"")</f>
        <v/>
      </c>
      <c r="Z689" s="179" t="str">
        <f t="array" ref="Z689">IF($F689&lt;&gt;"", XLOOKUP($F689,Productos!$A$2:$A1001,Productos!S$2:S1001,"")*$G689,"")</f>
        <v/>
      </c>
      <c r="AA689" s="179" t="str">
        <f t="array" ref="AA689">IF($F689&lt;&gt;"",XLOOKUP($F689,Productos!$A:$A,Productos!T:T,"Revisar"),"")</f>
        <v/>
      </c>
      <c r="AB689" s="179" t="str">
        <f t="array" ref="AB689">IF($F689&lt;&gt;"", XLOOKUP($F689,Productos!$A$2:$A1001,Productos!U$2:U1001,"")*$G689,"")</f>
        <v/>
      </c>
      <c r="AC689" s="179" t="str">
        <f t="array" ref="AC689">IF($F689&lt;&gt;"",XLOOKUP($F689,Productos!$A:$A,Productos!V:V,"Revisar"),"")</f>
        <v/>
      </c>
      <c r="AD689" s="179" t="str">
        <f t="array" ref="AD689">IF($F689&lt;&gt;"", XLOOKUP($F689,Productos!$A$2:$A1001,Productos!W$2:W1001,"")*$G689,"")</f>
        <v/>
      </c>
      <c r="AE689" s="179" t="str">
        <f t="array" ref="AE689">IF($F689&lt;&gt;"",XLOOKUP($F689,Productos!$A:$A,Productos!X:X,"Revisar"),"")</f>
        <v/>
      </c>
      <c r="AF689" s="179" t="str">
        <f t="array" ref="AF689">IF($F689&lt;&gt;"", XLOOKUP($F689,Productos!$A$2:$A1001,Productos!Y$2:Y1001,"")*$G689,"")</f>
        <v/>
      </c>
      <c r="AG689" s="179" t="str">
        <f t="array" ref="AG689">IF($F689&lt;&gt;"",XLOOKUP($F689,Productos!$A:$A,Productos!Z:Z,"Revisar"),"")</f>
        <v/>
      </c>
      <c r="AH689" s="179" t="str">
        <f t="array" ref="AH689">IF($F689&lt;&gt;"", XLOOKUP($F689,Productos!$A$2:$A1001,Productos!AA$2:AA1001,"")*$G689,"")</f>
        <v/>
      </c>
      <c r="AI689" s="179" t="str">
        <f t="array" ref="AI689">IF($F689&lt;&gt;"",XLOOKUP($F689,Productos!$A:$A,Productos!AB:AB,"Revisar"),"")</f>
        <v/>
      </c>
      <c r="AJ689" s="179" t="str">
        <f t="array" ref="AJ689">IF($F689&lt;&gt;"", XLOOKUP($F689,Productos!$A$2:$A1001,Productos!AC$2:AC1001,"")*$G689,"")</f>
        <v/>
      </c>
      <c r="AK689" s="179" t="str">
        <f t="array" ref="AK689">IF($F689&lt;&gt;"",XLOOKUP($F689,Productos!$A:$A,Productos!AD:AD,"Revisar"),"")</f>
        <v/>
      </c>
      <c r="AL689" s="179" t="str">
        <f t="array" ref="AL689">IF($F689&lt;&gt;"", XLOOKUP($F689,Productos!$A$2:$A1001,Productos!AE$2:AE1001,"")*$G689,"")</f>
        <v/>
      </c>
      <c r="AM689" s="179" t="str">
        <f t="array" ref="AM689">IF($F689&lt;&gt;"",XLOOKUP($F689,Productos!$A:$A,Productos!AF:AF,"Revisar"),"")</f>
        <v/>
      </c>
      <c r="AN689" s="179" t="str">
        <f t="array" ref="AN689">IF($F689&lt;&gt;"", XLOOKUP($F689,Productos!$A$2:$A1001,Productos!AG$2:AG1001,"")*$G689,"")</f>
        <v/>
      </c>
      <c r="AO689" s="179" t="str">
        <f t="array" ref="AO689">IF($F689&lt;&gt;"",XLOOKUP($F689,Productos!$A:$A,Productos!AH:AH,"Revisar"),"")</f>
        <v/>
      </c>
      <c r="AP689" s="179" t="str">
        <f t="array" ref="AP689">IF($F689&lt;&gt;"", XLOOKUP($F689,Productos!$A$2:$A1001,Productos!AI$2:AI1001,"")*$G689,"")</f>
        <v/>
      </c>
      <c r="AQ689" s="179" t="str">
        <f t="array" ref="AQ689">IF($F689&lt;&gt;"",XLOOKUP($F689,Productos!$A:$A,Productos!AJ:AJ,"Revisar"),"")</f>
        <v/>
      </c>
      <c r="AR689" s="179" t="str">
        <f t="array" ref="AR689">IF($F689&lt;&gt;"", XLOOKUP($F689,Productos!$A$2:$A1001,Productos!AK$2:AK1001,"")*$G689,"")</f>
        <v/>
      </c>
      <c r="AS689" s="179" t="str">
        <f t="array" ref="AS689">IF($F689&lt;&gt;"",XLOOKUP($F689,Productos!$A:$A,Productos!AL:AL,"Revisar"),"")</f>
        <v/>
      </c>
      <c r="AT689" s="179" t="str">
        <f t="array" ref="AT689">IF($F689&lt;&gt;"", XLOOKUP($F689,Productos!$A$2:$A1001,Productos!AM$2:AM1001,"")*$G689,"")</f>
        <v/>
      </c>
      <c r="AU689" s="179" t="str">
        <f t="array" ref="AU689">IF($F689&lt;&gt;"",XLOOKUP($F689,Productos!$A:$A,Productos!AN:AN,"Revisar"),"")</f>
        <v/>
      </c>
      <c r="AV689" s="179" t="str">
        <f t="array" ref="AV689">IF($F689&lt;&gt;"", XLOOKUP($F689,Productos!$A$2:$A1001,Productos!AO$2:AO1001,"")*$G689,"")</f>
        <v/>
      </c>
      <c r="AW689" s="179" t="str">
        <f t="array" ref="AW689">IF($F689&lt;&gt;"",XLOOKUP($F689,Productos!$A:$A,Productos!AP:AP,"Revisar"),"")</f>
        <v/>
      </c>
      <c r="AX689" s="179" t="str">
        <f t="array" ref="AX689">IF($F689&lt;&gt;"", XLOOKUP($F689,Productos!$A$2:$A1001,Productos!AQ$2:AQ1001,"")*$G689,"")</f>
        <v/>
      </c>
      <c r="AY689" s="179" t="str">
        <f t="array" ref="AY689">IF($F689&lt;&gt;"",XLOOKUP($F689,Productos!$A:$A,Productos!AR:AR,"Revisar"),"")</f>
        <v/>
      </c>
      <c r="AZ689" s="179" t="str">
        <f t="array" ref="AZ689">IF($F689&lt;&gt;"", XLOOKUP($F689,Productos!$A$2:$A1001,Productos!AS$2:AS1001,"")*$G689,"")</f>
        <v/>
      </c>
      <c r="BA689" s="179" t="str">
        <f t="array" ref="BA689">IF($F689&lt;&gt;"",XLOOKUP($F689,Productos!$A:$A,Productos!AT:AT,"Revisar"),"")</f>
        <v/>
      </c>
      <c r="BB689" s="179" t="str">
        <f t="array" ref="BB689">IF($F689&lt;&gt;"", XLOOKUP($F689,Productos!$A$2:$A1001,Productos!AU$2:AU1001,"")*$G689,"")</f>
        <v/>
      </c>
      <c r="BC689" s="179" t="str">
        <f t="array" ref="BC689">IF($F689&lt;&gt;"",XLOOKUP($F689,Productos!$A:$A,Productos!AV:AV,"Revisar"),"")</f>
        <v/>
      </c>
      <c r="BD689" s="179" t="str">
        <f t="array" ref="BD689">IF($F689&lt;&gt;"", XLOOKUP($F689,Productos!$A$2:$A1001,Productos!AW$2:AW1001,"")*$G689,"")</f>
        <v/>
      </c>
      <c r="BE689" s="179" t="str">
        <f t="array" ref="BE689">IF($F689&lt;&gt;"",XLOOKUP($F689,Productos!$A:$A,Productos!AX:AX,"Revisar"),"")</f>
        <v/>
      </c>
      <c r="BF689" s="179" t="str">
        <f t="array" ref="BF689">IF($F689&lt;&gt;"", XLOOKUP($F689,Productos!$A$2:$A1001,Productos!AY$2:AY1001,"")*$G689,"")</f>
        <v/>
      </c>
      <c r="BG689" s="179" t="str">
        <f t="array" ref="BG689">IF($F689&lt;&gt;"",XLOOKUP($F689,Productos!$A:$A,Productos!AZ:AZ,"Revisar"),"")</f>
        <v/>
      </c>
      <c r="BH689" s="179" t="str">
        <f t="array" ref="BH689">IF($F689&lt;&gt;"", XLOOKUP($F689,Productos!$A$2:$A1001,Productos!BA$2:BA1001,"")*$G689,"")</f>
        <v/>
      </c>
      <c r="BI689" s="179" t="str">
        <f t="array" ref="BI689">IF($F689&lt;&gt;"",XLOOKUP($F689,Productos!$A:$A,Productos!BB:BB,"Revisar"),"")</f>
        <v/>
      </c>
      <c r="BJ689" s="179" t="str">
        <f t="array" ref="BJ689">IF($F689&lt;&gt;"", XLOOKUP($F689,Productos!$A$2:$A1001,Productos!BC$2:BC1001,"")*$G689,"")</f>
        <v/>
      </c>
      <c r="BK689" s="179" t="str">
        <f t="array" ref="BK689">IF($F689&lt;&gt;"",XLOOKUP($F689,Productos!$A:$A,Productos!BD:BD,"Revisar"),"")</f>
        <v/>
      </c>
      <c r="BL689" s="179" t="str">
        <f t="array" ref="BL689">IF($F689&lt;&gt;"", XLOOKUP($F689,Productos!$A$2:$A1001,Productos!BE$2:BE1001,"")*$G689,"")</f>
        <v/>
      </c>
      <c r="BM689" s="179" t="str">
        <f t="array" ref="BM689">IF($F689&lt;&gt;"",XLOOKUP($F689,Productos!$A:$A,Productos!BF:BF,"Revisar"),"")</f>
        <v/>
      </c>
      <c r="BN689" s="179" t="str">
        <f t="array" ref="BN689">IF($F689&lt;&gt;"", XLOOKUP($F689,Productos!$A$2:$A1001,Productos!BG$2:BG1001,"")*$G689,"")</f>
        <v/>
      </c>
      <c r="BO689" s="179" t="str">
        <f t="array" ref="BO689">IF($F689&lt;&gt;"",XLOOKUP($F689,Productos!$A:$A,Productos!BH:BH,"Revisar"),"")</f>
        <v/>
      </c>
      <c r="BP689" s="179" t="str">
        <f t="array" ref="BP689">IF($F689&lt;&gt;"", XLOOKUP($F689,Productos!$A$2:$A1001,Productos!BI$2:BI1001,"")*$G689,"")</f>
        <v/>
      </c>
      <c r="BQ689" s="179" t="str">
        <f t="array" ref="BQ689">IF($F689&lt;&gt;"",XLOOKUP($F689,Productos!$A:$A,Productos!BJ:BJ,"Revisar"),"")</f>
        <v/>
      </c>
      <c r="BR689" s="179" t="str">
        <f t="array" ref="BR689">IF($F689&lt;&gt;"", XLOOKUP($F689,Productos!$A$2:$A1001,Productos!BK$2:BK1001,"")*$G689,"")</f>
        <v/>
      </c>
      <c r="BS689" s="179" t="str">
        <f t="array" ref="BS689">IF($F689&lt;&gt;"",XLOOKUP($F689,Productos!$A:$A,Productos!BL:BL,"Revisar"),"")</f>
        <v/>
      </c>
      <c r="BT689" s="179" t="str">
        <f t="array" ref="BT689">IF($F689&lt;&gt;"", XLOOKUP($F689,Productos!$A$2:$A1001,Productos!BM$2:BM1001,"")*$G689,"")</f>
        <v/>
      </c>
      <c r="BU689" s="179" t="str">
        <f t="array" ref="BU689">IF($F689&lt;&gt;"",XLOOKUP($F689,Productos!$A:$A,Productos!BN:BN,"Revisar"),"")</f>
        <v/>
      </c>
      <c r="BV689" s="179" t="str">
        <f t="array" ref="BV689">IF($F689&lt;&gt;"", XLOOKUP($F689,Productos!$A$2:$A1001,Productos!BO$2:BO1001,"")*$G689,"")</f>
        <v/>
      </c>
      <c r="BW689" s="179" t="str">
        <f t="array" ref="BW689">IF($F689&lt;&gt;"",XLOOKUP($F689,Productos!$A:$A,Productos!BP:BP,"Revisar"),"")</f>
        <v/>
      </c>
      <c r="BX689" s="179" t="str">
        <f t="array" ref="BX689">IF($F689&lt;&gt;"", XLOOKUP($F689,Productos!$A$2:$A1001,Productos!BQ$2:BQ1001,"")*$G689,"")</f>
        <v/>
      </c>
      <c r="BY689" s="179" t="str">
        <f t="array" ref="BY689">IF($F689&lt;&gt;"",XLOOKUP($F689,Productos!$A:$A,Productos!BR:BR,"Revisar"),"")</f>
        <v/>
      </c>
      <c r="BZ689" s="179" t="str">
        <f t="array" ref="BZ689">IF($F689&lt;&gt;"", XLOOKUP($F689,Productos!$A$2:$A1001,Productos!BS$2:BS1001,"")*$G689,"")</f>
        <v/>
      </c>
    </row>
    <row r="690">
      <c r="A690" s="188"/>
      <c r="B690" s="189"/>
      <c r="C690" s="190"/>
      <c r="D690" s="190"/>
      <c r="E690" s="191"/>
      <c r="F690" s="186"/>
      <c r="G690" s="192"/>
      <c r="H690" s="9"/>
      <c r="I690" s="179" t="str">
        <f t="array" ref="I690">IF($F690&lt;&gt;"",XLOOKUP($F690,Productos!$A:$A,Productos!B:B,"Revisar"),"")</f>
        <v/>
      </c>
      <c r="J690" s="179" t="str">
        <f t="array" ref="J690">IF($F690&lt;&gt;"", XLOOKUP($F690,Productos!$A$2:$A1001,Productos!C$2:C1001,"")*$G690,"")</f>
        <v/>
      </c>
      <c r="K690" s="179" t="str">
        <f t="array" ref="K690">IF($F690&lt;&gt;"",XLOOKUP($F690,Productos!$A:$A,Productos!D:D,"Revisar"),"")</f>
        <v/>
      </c>
      <c r="L690" s="179" t="str">
        <f t="array" ref="L690">IF($F690&lt;&gt;"", XLOOKUP($F690,Productos!$A$2:$A1001,Productos!E$2:E1001,"")*$G690,"")</f>
        <v/>
      </c>
      <c r="M690" s="179" t="str">
        <f t="array" ref="M690">IF($F690&lt;&gt;"",XLOOKUP($F690,Productos!$A:$A,Productos!F:F,"Revisar"),"")</f>
        <v/>
      </c>
      <c r="N690" s="179" t="str">
        <f t="array" ref="N690">IF($F690&lt;&gt;"", XLOOKUP($F690,Productos!$A$2:$A1001,Productos!G$2:G1001,"")*$G690,"")</f>
        <v/>
      </c>
      <c r="O690" s="179" t="str">
        <f t="array" ref="O690">IF($F690&lt;&gt;"",XLOOKUP($F690,Productos!$A:$A,Productos!H:H,"Revisar"),"")</f>
        <v/>
      </c>
      <c r="P690" s="179" t="str">
        <f t="array" ref="P690">IF($F690&lt;&gt;"", XLOOKUP($F690,Productos!$A$2:$A1001,Productos!I$2:I1001,"")*$G690,"")</f>
        <v/>
      </c>
      <c r="Q690" s="179" t="str">
        <f t="array" ref="Q690">IF($F690&lt;&gt;"",XLOOKUP($F690,Productos!$A:$A,Productos!J:J,"Revisar"),"")</f>
        <v/>
      </c>
      <c r="R690" s="179" t="str">
        <f t="array" ref="R690">IF($F690&lt;&gt;"", XLOOKUP($F690,Productos!$A$2:$A1001,Productos!K$2:K1001,"")*$G690,"")</f>
        <v/>
      </c>
      <c r="S690" s="179" t="str">
        <f t="array" ref="S690">IF($F690&lt;&gt;"",XLOOKUP($F690,Productos!$A:$A,Productos!L:L,"Revisar"),"")</f>
        <v/>
      </c>
      <c r="T690" s="179" t="str">
        <f t="array" ref="T690">IF($F690&lt;&gt;"", XLOOKUP($F690,Productos!$A$2:$A1001,Productos!M$2:M1001,"")*$G690,"")</f>
        <v/>
      </c>
      <c r="U690" s="179" t="str">
        <f t="array" ref="U690">IF($F690&lt;&gt;"",XLOOKUP($F690,Productos!$A:$A,Productos!N:N,"Revisar"),"")</f>
        <v/>
      </c>
      <c r="V690" s="179" t="str">
        <f t="array" ref="V690">IF($F690&lt;&gt;"", XLOOKUP($F690,Productos!$A$2:$A1001,Productos!O$2:O1001,"")*$G690,"")</f>
        <v/>
      </c>
      <c r="W690" s="179" t="str">
        <f t="array" ref="W690">IF($F690&lt;&gt;"",XLOOKUP($F690,Productos!$A:$A,Productos!P:P,"Revisar"),"")</f>
        <v/>
      </c>
      <c r="X690" s="179" t="str">
        <f t="array" ref="X690">IF($F690&lt;&gt;"", XLOOKUP($F690,Productos!$A$2:$A1001,Productos!Q$2:Q1001,"")*$G690,"")</f>
        <v/>
      </c>
      <c r="Y690" s="179" t="str">
        <f t="array" ref="Y690">IF($F690&lt;&gt;"",XLOOKUP($F690,Productos!$A:$A,Productos!R:R,"Revisar"),"")</f>
        <v/>
      </c>
      <c r="Z690" s="179" t="str">
        <f t="array" ref="Z690">IF($F690&lt;&gt;"", XLOOKUP($F690,Productos!$A$2:$A1001,Productos!S$2:S1001,"")*$G690,"")</f>
        <v/>
      </c>
      <c r="AA690" s="179" t="str">
        <f t="array" ref="AA690">IF($F690&lt;&gt;"",XLOOKUP($F690,Productos!$A:$A,Productos!T:T,"Revisar"),"")</f>
        <v/>
      </c>
      <c r="AB690" s="179" t="str">
        <f t="array" ref="AB690">IF($F690&lt;&gt;"", XLOOKUP($F690,Productos!$A$2:$A1001,Productos!U$2:U1001,"")*$G690,"")</f>
        <v/>
      </c>
      <c r="AC690" s="179" t="str">
        <f t="array" ref="AC690">IF($F690&lt;&gt;"",XLOOKUP($F690,Productos!$A:$A,Productos!V:V,"Revisar"),"")</f>
        <v/>
      </c>
      <c r="AD690" s="179" t="str">
        <f t="array" ref="AD690">IF($F690&lt;&gt;"", XLOOKUP($F690,Productos!$A$2:$A1001,Productos!W$2:W1001,"")*$G690,"")</f>
        <v/>
      </c>
      <c r="AE690" s="179" t="str">
        <f t="array" ref="AE690">IF($F690&lt;&gt;"",XLOOKUP($F690,Productos!$A:$A,Productos!X:X,"Revisar"),"")</f>
        <v/>
      </c>
      <c r="AF690" s="179" t="str">
        <f t="array" ref="AF690">IF($F690&lt;&gt;"", XLOOKUP($F690,Productos!$A$2:$A1001,Productos!Y$2:Y1001,"")*$G690,"")</f>
        <v/>
      </c>
      <c r="AG690" s="179" t="str">
        <f t="array" ref="AG690">IF($F690&lt;&gt;"",XLOOKUP($F690,Productos!$A:$A,Productos!Z:Z,"Revisar"),"")</f>
        <v/>
      </c>
      <c r="AH690" s="179" t="str">
        <f t="array" ref="AH690">IF($F690&lt;&gt;"", XLOOKUP($F690,Productos!$A$2:$A1001,Productos!AA$2:AA1001,"")*$G690,"")</f>
        <v/>
      </c>
      <c r="AI690" s="179" t="str">
        <f t="array" ref="AI690">IF($F690&lt;&gt;"",XLOOKUP($F690,Productos!$A:$A,Productos!AB:AB,"Revisar"),"")</f>
        <v/>
      </c>
      <c r="AJ690" s="179" t="str">
        <f t="array" ref="AJ690">IF($F690&lt;&gt;"", XLOOKUP($F690,Productos!$A$2:$A1001,Productos!AC$2:AC1001,"")*$G690,"")</f>
        <v/>
      </c>
      <c r="AK690" s="179" t="str">
        <f t="array" ref="AK690">IF($F690&lt;&gt;"",XLOOKUP($F690,Productos!$A:$A,Productos!AD:AD,"Revisar"),"")</f>
        <v/>
      </c>
      <c r="AL690" s="179" t="str">
        <f t="array" ref="AL690">IF($F690&lt;&gt;"", XLOOKUP($F690,Productos!$A$2:$A1001,Productos!AE$2:AE1001,"")*$G690,"")</f>
        <v/>
      </c>
      <c r="AM690" s="179" t="str">
        <f t="array" ref="AM690">IF($F690&lt;&gt;"",XLOOKUP($F690,Productos!$A:$A,Productos!AF:AF,"Revisar"),"")</f>
        <v/>
      </c>
      <c r="AN690" s="179" t="str">
        <f t="array" ref="AN690">IF($F690&lt;&gt;"", XLOOKUP($F690,Productos!$A$2:$A1001,Productos!AG$2:AG1001,"")*$G690,"")</f>
        <v/>
      </c>
      <c r="AO690" s="179" t="str">
        <f t="array" ref="AO690">IF($F690&lt;&gt;"",XLOOKUP($F690,Productos!$A:$A,Productos!AH:AH,"Revisar"),"")</f>
        <v/>
      </c>
      <c r="AP690" s="179" t="str">
        <f t="array" ref="AP690">IF($F690&lt;&gt;"", XLOOKUP($F690,Productos!$A$2:$A1001,Productos!AI$2:AI1001,"")*$G690,"")</f>
        <v/>
      </c>
      <c r="AQ690" s="179" t="str">
        <f t="array" ref="AQ690">IF($F690&lt;&gt;"",XLOOKUP($F690,Productos!$A:$A,Productos!AJ:AJ,"Revisar"),"")</f>
        <v/>
      </c>
      <c r="AR690" s="179" t="str">
        <f t="array" ref="AR690">IF($F690&lt;&gt;"", XLOOKUP($F690,Productos!$A$2:$A1001,Productos!AK$2:AK1001,"")*$G690,"")</f>
        <v/>
      </c>
      <c r="AS690" s="179" t="str">
        <f t="array" ref="AS690">IF($F690&lt;&gt;"",XLOOKUP($F690,Productos!$A:$A,Productos!AL:AL,"Revisar"),"")</f>
        <v/>
      </c>
      <c r="AT690" s="179" t="str">
        <f t="array" ref="AT690">IF($F690&lt;&gt;"", XLOOKUP($F690,Productos!$A$2:$A1001,Productos!AM$2:AM1001,"")*$G690,"")</f>
        <v/>
      </c>
      <c r="AU690" s="179" t="str">
        <f t="array" ref="AU690">IF($F690&lt;&gt;"",XLOOKUP($F690,Productos!$A:$A,Productos!AN:AN,"Revisar"),"")</f>
        <v/>
      </c>
      <c r="AV690" s="179" t="str">
        <f t="array" ref="AV690">IF($F690&lt;&gt;"", XLOOKUP($F690,Productos!$A$2:$A1001,Productos!AO$2:AO1001,"")*$G690,"")</f>
        <v/>
      </c>
      <c r="AW690" s="179" t="str">
        <f t="array" ref="AW690">IF($F690&lt;&gt;"",XLOOKUP($F690,Productos!$A:$A,Productos!AP:AP,"Revisar"),"")</f>
        <v/>
      </c>
      <c r="AX690" s="179" t="str">
        <f t="array" ref="AX690">IF($F690&lt;&gt;"", XLOOKUP($F690,Productos!$A$2:$A1001,Productos!AQ$2:AQ1001,"")*$G690,"")</f>
        <v/>
      </c>
      <c r="AY690" s="179" t="str">
        <f t="array" ref="AY690">IF($F690&lt;&gt;"",XLOOKUP($F690,Productos!$A:$A,Productos!AR:AR,"Revisar"),"")</f>
        <v/>
      </c>
      <c r="AZ690" s="179" t="str">
        <f t="array" ref="AZ690">IF($F690&lt;&gt;"", XLOOKUP($F690,Productos!$A$2:$A1001,Productos!AS$2:AS1001,"")*$G690,"")</f>
        <v/>
      </c>
      <c r="BA690" s="179" t="str">
        <f t="array" ref="BA690">IF($F690&lt;&gt;"",XLOOKUP($F690,Productos!$A:$A,Productos!AT:AT,"Revisar"),"")</f>
        <v/>
      </c>
      <c r="BB690" s="179" t="str">
        <f t="array" ref="BB690">IF($F690&lt;&gt;"", XLOOKUP($F690,Productos!$A$2:$A1001,Productos!AU$2:AU1001,"")*$G690,"")</f>
        <v/>
      </c>
      <c r="BC690" s="179" t="str">
        <f t="array" ref="BC690">IF($F690&lt;&gt;"",XLOOKUP($F690,Productos!$A:$A,Productos!AV:AV,"Revisar"),"")</f>
        <v/>
      </c>
      <c r="BD690" s="179" t="str">
        <f t="array" ref="BD690">IF($F690&lt;&gt;"", XLOOKUP($F690,Productos!$A$2:$A1001,Productos!AW$2:AW1001,"")*$G690,"")</f>
        <v/>
      </c>
      <c r="BE690" s="179" t="str">
        <f t="array" ref="BE690">IF($F690&lt;&gt;"",XLOOKUP($F690,Productos!$A:$A,Productos!AX:AX,"Revisar"),"")</f>
        <v/>
      </c>
      <c r="BF690" s="179" t="str">
        <f t="array" ref="BF690">IF($F690&lt;&gt;"", XLOOKUP($F690,Productos!$A$2:$A1001,Productos!AY$2:AY1001,"")*$G690,"")</f>
        <v/>
      </c>
      <c r="BG690" s="179" t="str">
        <f t="array" ref="BG690">IF($F690&lt;&gt;"",XLOOKUP($F690,Productos!$A:$A,Productos!AZ:AZ,"Revisar"),"")</f>
        <v/>
      </c>
      <c r="BH690" s="179" t="str">
        <f t="array" ref="BH690">IF($F690&lt;&gt;"", XLOOKUP($F690,Productos!$A$2:$A1001,Productos!BA$2:BA1001,"")*$G690,"")</f>
        <v/>
      </c>
      <c r="BI690" s="179" t="str">
        <f t="array" ref="BI690">IF($F690&lt;&gt;"",XLOOKUP($F690,Productos!$A:$A,Productos!BB:BB,"Revisar"),"")</f>
        <v/>
      </c>
      <c r="BJ690" s="179" t="str">
        <f t="array" ref="BJ690">IF($F690&lt;&gt;"", XLOOKUP($F690,Productos!$A$2:$A1001,Productos!BC$2:BC1001,"")*$G690,"")</f>
        <v/>
      </c>
      <c r="BK690" s="179" t="str">
        <f t="array" ref="BK690">IF($F690&lt;&gt;"",XLOOKUP($F690,Productos!$A:$A,Productos!BD:BD,"Revisar"),"")</f>
        <v/>
      </c>
      <c r="BL690" s="179" t="str">
        <f t="array" ref="BL690">IF($F690&lt;&gt;"", XLOOKUP($F690,Productos!$A$2:$A1001,Productos!BE$2:BE1001,"")*$G690,"")</f>
        <v/>
      </c>
      <c r="BM690" s="179" t="str">
        <f t="array" ref="BM690">IF($F690&lt;&gt;"",XLOOKUP($F690,Productos!$A:$A,Productos!BF:BF,"Revisar"),"")</f>
        <v/>
      </c>
      <c r="BN690" s="179" t="str">
        <f t="array" ref="BN690">IF($F690&lt;&gt;"", XLOOKUP($F690,Productos!$A$2:$A1001,Productos!BG$2:BG1001,"")*$G690,"")</f>
        <v/>
      </c>
      <c r="BO690" s="179" t="str">
        <f t="array" ref="BO690">IF($F690&lt;&gt;"",XLOOKUP($F690,Productos!$A:$A,Productos!BH:BH,"Revisar"),"")</f>
        <v/>
      </c>
      <c r="BP690" s="179" t="str">
        <f t="array" ref="BP690">IF($F690&lt;&gt;"", XLOOKUP($F690,Productos!$A$2:$A1001,Productos!BI$2:BI1001,"")*$G690,"")</f>
        <v/>
      </c>
      <c r="BQ690" s="179" t="str">
        <f t="array" ref="BQ690">IF($F690&lt;&gt;"",XLOOKUP($F690,Productos!$A:$A,Productos!BJ:BJ,"Revisar"),"")</f>
        <v/>
      </c>
      <c r="BR690" s="179" t="str">
        <f t="array" ref="BR690">IF($F690&lt;&gt;"", XLOOKUP($F690,Productos!$A$2:$A1001,Productos!BK$2:BK1001,"")*$G690,"")</f>
        <v/>
      </c>
      <c r="BS690" s="179" t="str">
        <f t="array" ref="BS690">IF($F690&lt;&gt;"",XLOOKUP($F690,Productos!$A:$A,Productos!BL:BL,"Revisar"),"")</f>
        <v/>
      </c>
      <c r="BT690" s="179" t="str">
        <f t="array" ref="BT690">IF($F690&lt;&gt;"", XLOOKUP($F690,Productos!$A$2:$A1001,Productos!BM$2:BM1001,"")*$G690,"")</f>
        <v/>
      </c>
      <c r="BU690" s="179" t="str">
        <f t="array" ref="BU690">IF($F690&lt;&gt;"",XLOOKUP($F690,Productos!$A:$A,Productos!BN:BN,"Revisar"),"")</f>
        <v/>
      </c>
      <c r="BV690" s="179" t="str">
        <f t="array" ref="BV690">IF($F690&lt;&gt;"", XLOOKUP($F690,Productos!$A$2:$A1001,Productos!BO$2:BO1001,"")*$G690,"")</f>
        <v/>
      </c>
      <c r="BW690" s="179" t="str">
        <f t="array" ref="BW690">IF($F690&lt;&gt;"",XLOOKUP($F690,Productos!$A:$A,Productos!BP:BP,"Revisar"),"")</f>
        <v/>
      </c>
      <c r="BX690" s="179" t="str">
        <f t="array" ref="BX690">IF($F690&lt;&gt;"", XLOOKUP($F690,Productos!$A$2:$A1001,Productos!BQ$2:BQ1001,"")*$G690,"")</f>
        <v/>
      </c>
      <c r="BY690" s="179" t="str">
        <f t="array" ref="BY690">IF($F690&lt;&gt;"",XLOOKUP($F690,Productos!$A:$A,Productos!BR:BR,"Revisar"),"")</f>
        <v/>
      </c>
      <c r="BZ690" s="179" t="str">
        <f t="array" ref="BZ690">IF($F690&lt;&gt;"", XLOOKUP($F690,Productos!$A$2:$A1001,Productos!BS$2:BS1001,"")*$G690,"")</f>
        <v/>
      </c>
    </row>
    <row r="691">
      <c r="A691" s="188"/>
      <c r="B691" s="189"/>
      <c r="C691" s="190"/>
      <c r="D691" s="190"/>
      <c r="E691" s="191"/>
      <c r="F691" s="186"/>
      <c r="G691" s="192"/>
      <c r="H691" s="9"/>
      <c r="I691" s="179" t="str">
        <f t="array" ref="I691">IF($F691&lt;&gt;"",XLOOKUP($F691,Productos!$A:$A,Productos!B:B,"Revisar"),"")</f>
        <v/>
      </c>
      <c r="J691" s="179" t="str">
        <f t="array" ref="J691">IF($F691&lt;&gt;"", XLOOKUP($F691,Productos!$A$2:$A1001,Productos!C$2:C1001,"")*$G691,"")</f>
        <v/>
      </c>
      <c r="K691" s="179" t="str">
        <f t="array" ref="K691">IF($F691&lt;&gt;"",XLOOKUP($F691,Productos!$A:$A,Productos!D:D,"Revisar"),"")</f>
        <v/>
      </c>
      <c r="L691" s="179" t="str">
        <f t="array" ref="L691">IF($F691&lt;&gt;"", XLOOKUP($F691,Productos!$A$2:$A1001,Productos!E$2:E1001,"")*$G691,"")</f>
        <v/>
      </c>
      <c r="M691" s="179" t="str">
        <f t="array" ref="M691">IF($F691&lt;&gt;"",XLOOKUP($F691,Productos!$A:$A,Productos!F:F,"Revisar"),"")</f>
        <v/>
      </c>
      <c r="N691" s="179" t="str">
        <f t="array" ref="N691">IF($F691&lt;&gt;"", XLOOKUP($F691,Productos!$A$2:$A1001,Productos!G$2:G1001,"")*$G691,"")</f>
        <v/>
      </c>
      <c r="O691" s="179" t="str">
        <f t="array" ref="O691">IF($F691&lt;&gt;"",XLOOKUP($F691,Productos!$A:$A,Productos!H:H,"Revisar"),"")</f>
        <v/>
      </c>
      <c r="P691" s="179" t="str">
        <f t="array" ref="P691">IF($F691&lt;&gt;"", XLOOKUP($F691,Productos!$A$2:$A1001,Productos!I$2:I1001,"")*$G691,"")</f>
        <v/>
      </c>
      <c r="Q691" s="179" t="str">
        <f t="array" ref="Q691">IF($F691&lt;&gt;"",XLOOKUP($F691,Productos!$A:$A,Productos!J:J,"Revisar"),"")</f>
        <v/>
      </c>
      <c r="R691" s="179" t="str">
        <f t="array" ref="R691">IF($F691&lt;&gt;"", XLOOKUP($F691,Productos!$A$2:$A1001,Productos!K$2:K1001,"")*$G691,"")</f>
        <v/>
      </c>
      <c r="S691" s="179" t="str">
        <f t="array" ref="S691">IF($F691&lt;&gt;"",XLOOKUP($F691,Productos!$A:$A,Productos!L:L,"Revisar"),"")</f>
        <v/>
      </c>
      <c r="T691" s="179" t="str">
        <f t="array" ref="T691">IF($F691&lt;&gt;"", XLOOKUP($F691,Productos!$A$2:$A1001,Productos!M$2:M1001,"")*$G691,"")</f>
        <v/>
      </c>
      <c r="U691" s="179" t="str">
        <f t="array" ref="U691">IF($F691&lt;&gt;"",XLOOKUP($F691,Productos!$A:$A,Productos!N:N,"Revisar"),"")</f>
        <v/>
      </c>
      <c r="V691" s="179" t="str">
        <f t="array" ref="V691">IF($F691&lt;&gt;"", XLOOKUP($F691,Productos!$A$2:$A1001,Productos!O$2:O1001,"")*$G691,"")</f>
        <v/>
      </c>
      <c r="W691" s="179" t="str">
        <f t="array" ref="W691">IF($F691&lt;&gt;"",XLOOKUP($F691,Productos!$A:$A,Productos!P:P,"Revisar"),"")</f>
        <v/>
      </c>
      <c r="X691" s="179" t="str">
        <f t="array" ref="X691">IF($F691&lt;&gt;"", XLOOKUP($F691,Productos!$A$2:$A1001,Productos!Q$2:Q1001,"")*$G691,"")</f>
        <v/>
      </c>
      <c r="Y691" s="179" t="str">
        <f t="array" ref="Y691">IF($F691&lt;&gt;"",XLOOKUP($F691,Productos!$A:$A,Productos!R:R,"Revisar"),"")</f>
        <v/>
      </c>
      <c r="Z691" s="179" t="str">
        <f t="array" ref="Z691">IF($F691&lt;&gt;"", XLOOKUP($F691,Productos!$A$2:$A1001,Productos!S$2:S1001,"")*$G691,"")</f>
        <v/>
      </c>
      <c r="AA691" s="179" t="str">
        <f t="array" ref="AA691">IF($F691&lt;&gt;"",XLOOKUP($F691,Productos!$A:$A,Productos!T:T,"Revisar"),"")</f>
        <v/>
      </c>
      <c r="AB691" s="179" t="str">
        <f t="array" ref="AB691">IF($F691&lt;&gt;"", XLOOKUP($F691,Productos!$A$2:$A1001,Productos!U$2:U1001,"")*$G691,"")</f>
        <v/>
      </c>
      <c r="AC691" s="179" t="str">
        <f t="array" ref="AC691">IF($F691&lt;&gt;"",XLOOKUP($F691,Productos!$A:$A,Productos!V:V,"Revisar"),"")</f>
        <v/>
      </c>
      <c r="AD691" s="179" t="str">
        <f t="array" ref="AD691">IF($F691&lt;&gt;"", XLOOKUP($F691,Productos!$A$2:$A1001,Productos!W$2:W1001,"")*$G691,"")</f>
        <v/>
      </c>
      <c r="AE691" s="179" t="str">
        <f t="array" ref="AE691">IF($F691&lt;&gt;"",XLOOKUP($F691,Productos!$A:$A,Productos!X:X,"Revisar"),"")</f>
        <v/>
      </c>
      <c r="AF691" s="179" t="str">
        <f t="array" ref="AF691">IF($F691&lt;&gt;"", XLOOKUP($F691,Productos!$A$2:$A1001,Productos!Y$2:Y1001,"")*$G691,"")</f>
        <v/>
      </c>
      <c r="AG691" s="179" t="str">
        <f t="array" ref="AG691">IF($F691&lt;&gt;"",XLOOKUP($F691,Productos!$A:$A,Productos!Z:Z,"Revisar"),"")</f>
        <v/>
      </c>
      <c r="AH691" s="179" t="str">
        <f t="array" ref="AH691">IF($F691&lt;&gt;"", XLOOKUP($F691,Productos!$A$2:$A1001,Productos!AA$2:AA1001,"")*$G691,"")</f>
        <v/>
      </c>
      <c r="AI691" s="179" t="str">
        <f t="array" ref="AI691">IF($F691&lt;&gt;"",XLOOKUP($F691,Productos!$A:$A,Productos!AB:AB,"Revisar"),"")</f>
        <v/>
      </c>
      <c r="AJ691" s="179" t="str">
        <f t="array" ref="AJ691">IF($F691&lt;&gt;"", XLOOKUP($F691,Productos!$A$2:$A1001,Productos!AC$2:AC1001,"")*$G691,"")</f>
        <v/>
      </c>
      <c r="AK691" s="179" t="str">
        <f t="array" ref="AK691">IF($F691&lt;&gt;"",XLOOKUP($F691,Productos!$A:$A,Productos!AD:AD,"Revisar"),"")</f>
        <v/>
      </c>
      <c r="AL691" s="179" t="str">
        <f t="array" ref="AL691">IF($F691&lt;&gt;"", XLOOKUP($F691,Productos!$A$2:$A1001,Productos!AE$2:AE1001,"")*$G691,"")</f>
        <v/>
      </c>
      <c r="AM691" s="179" t="str">
        <f t="array" ref="AM691">IF($F691&lt;&gt;"",XLOOKUP($F691,Productos!$A:$A,Productos!AF:AF,"Revisar"),"")</f>
        <v/>
      </c>
      <c r="AN691" s="179" t="str">
        <f t="array" ref="AN691">IF($F691&lt;&gt;"", XLOOKUP($F691,Productos!$A$2:$A1001,Productos!AG$2:AG1001,"")*$G691,"")</f>
        <v/>
      </c>
      <c r="AO691" s="179" t="str">
        <f t="array" ref="AO691">IF($F691&lt;&gt;"",XLOOKUP($F691,Productos!$A:$A,Productos!AH:AH,"Revisar"),"")</f>
        <v/>
      </c>
      <c r="AP691" s="179" t="str">
        <f t="array" ref="AP691">IF($F691&lt;&gt;"", XLOOKUP($F691,Productos!$A$2:$A1001,Productos!AI$2:AI1001,"")*$G691,"")</f>
        <v/>
      </c>
      <c r="AQ691" s="179" t="str">
        <f t="array" ref="AQ691">IF($F691&lt;&gt;"",XLOOKUP($F691,Productos!$A:$A,Productos!AJ:AJ,"Revisar"),"")</f>
        <v/>
      </c>
      <c r="AR691" s="179" t="str">
        <f t="array" ref="AR691">IF($F691&lt;&gt;"", XLOOKUP($F691,Productos!$A$2:$A1001,Productos!AK$2:AK1001,"")*$G691,"")</f>
        <v/>
      </c>
      <c r="AS691" s="179" t="str">
        <f t="array" ref="AS691">IF($F691&lt;&gt;"",XLOOKUP($F691,Productos!$A:$A,Productos!AL:AL,"Revisar"),"")</f>
        <v/>
      </c>
      <c r="AT691" s="179" t="str">
        <f t="array" ref="AT691">IF($F691&lt;&gt;"", XLOOKUP($F691,Productos!$A$2:$A1001,Productos!AM$2:AM1001,"")*$G691,"")</f>
        <v/>
      </c>
      <c r="AU691" s="179" t="str">
        <f t="array" ref="AU691">IF($F691&lt;&gt;"",XLOOKUP($F691,Productos!$A:$A,Productos!AN:AN,"Revisar"),"")</f>
        <v/>
      </c>
      <c r="AV691" s="179" t="str">
        <f t="array" ref="AV691">IF($F691&lt;&gt;"", XLOOKUP($F691,Productos!$A$2:$A1001,Productos!AO$2:AO1001,"")*$G691,"")</f>
        <v/>
      </c>
      <c r="AW691" s="179" t="str">
        <f t="array" ref="AW691">IF($F691&lt;&gt;"",XLOOKUP($F691,Productos!$A:$A,Productos!AP:AP,"Revisar"),"")</f>
        <v/>
      </c>
      <c r="AX691" s="179" t="str">
        <f t="array" ref="AX691">IF($F691&lt;&gt;"", XLOOKUP($F691,Productos!$A$2:$A1001,Productos!AQ$2:AQ1001,"")*$G691,"")</f>
        <v/>
      </c>
      <c r="AY691" s="179" t="str">
        <f t="array" ref="AY691">IF($F691&lt;&gt;"",XLOOKUP($F691,Productos!$A:$A,Productos!AR:AR,"Revisar"),"")</f>
        <v/>
      </c>
      <c r="AZ691" s="179" t="str">
        <f t="array" ref="AZ691">IF($F691&lt;&gt;"", XLOOKUP($F691,Productos!$A$2:$A1001,Productos!AS$2:AS1001,"")*$G691,"")</f>
        <v/>
      </c>
      <c r="BA691" s="179" t="str">
        <f t="array" ref="BA691">IF($F691&lt;&gt;"",XLOOKUP($F691,Productos!$A:$A,Productos!AT:AT,"Revisar"),"")</f>
        <v/>
      </c>
      <c r="BB691" s="179" t="str">
        <f t="array" ref="BB691">IF($F691&lt;&gt;"", XLOOKUP($F691,Productos!$A$2:$A1001,Productos!AU$2:AU1001,"")*$G691,"")</f>
        <v/>
      </c>
      <c r="BC691" s="179" t="str">
        <f t="array" ref="BC691">IF($F691&lt;&gt;"",XLOOKUP($F691,Productos!$A:$A,Productos!AV:AV,"Revisar"),"")</f>
        <v/>
      </c>
      <c r="BD691" s="179" t="str">
        <f t="array" ref="BD691">IF($F691&lt;&gt;"", XLOOKUP($F691,Productos!$A$2:$A1001,Productos!AW$2:AW1001,"")*$G691,"")</f>
        <v/>
      </c>
      <c r="BE691" s="179" t="str">
        <f t="array" ref="BE691">IF($F691&lt;&gt;"",XLOOKUP($F691,Productos!$A:$A,Productos!AX:AX,"Revisar"),"")</f>
        <v/>
      </c>
      <c r="BF691" s="179" t="str">
        <f t="array" ref="BF691">IF($F691&lt;&gt;"", XLOOKUP($F691,Productos!$A$2:$A1001,Productos!AY$2:AY1001,"")*$G691,"")</f>
        <v/>
      </c>
      <c r="BG691" s="179" t="str">
        <f t="array" ref="BG691">IF($F691&lt;&gt;"",XLOOKUP($F691,Productos!$A:$A,Productos!AZ:AZ,"Revisar"),"")</f>
        <v/>
      </c>
      <c r="BH691" s="179" t="str">
        <f t="array" ref="BH691">IF($F691&lt;&gt;"", XLOOKUP($F691,Productos!$A$2:$A1001,Productos!BA$2:BA1001,"")*$G691,"")</f>
        <v/>
      </c>
      <c r="BI691" s="179" t="str">
        <f t="array" ref="BI691">IF($F691&lt;&gt;"",XLOOKUP($F691,Productos!$A:$A,Productos!BB:BB,"Revisar"),"")</f>
        <v/>
      </c>
      <c r="BJ691" s="179" t="str">
        <f t="array" ref="BJ691">IF($F691&lt;&gt;"", XLOOKUP($F691,Productos!$A$2:$A1001,Productos!BC$2:BC1001,"")*$G691,"")</f>
        <v/>
      </c>
      <c r="BK691" s="179" t="str">
        <f t="array" ref="BK691">IF($F691&lt;&gt;"",XLOOKUP($F691,Productos!$A:$A,Productos!BD:BD,"Revisar"),"")</f>
        <v/>
      </c>
      <c r="BL691" s="179" t="str">
        <f t="array" ref="BL691">IF($F691&lt;&gt;"", XLOOKUP($F691,Productos!$A$2:$A1001,Productos!BE$2:BE1001,"")*$G691,"")</f>
        <v/>
      </c>
      <c r="BM691" s="179" t="str">
        <f t="array" ref="BM691">IF($F691&lt;&gt;"",XLOOKUP($F691,Productos!$A:$A,Productos!BF:BF,"Revisar"),"")</f>
        <v/>
      </c>
      <c r="BN691" s="179" t="str">
        <f t="array" ref="BN691">IF($F691&lt;&gt;"", XLOOKUP($F691,Productos!$A$2:$A1001,Productos!BG$2:BG1001,"")*$G691,"")</f>
        <v/>
      </c>
      <c r="BO691" s="179" t="str">
        <f t="array" ref="BO691">IF($F691&lt;&gt;"",XLOOKUP($F691,Productos!$A:$A,Productos!BH:BH,"Revisar"),"")</f>
        <v/>
      </c>
      <c r="BP691" s="179" t="str">
        <f t="array" ref="BP691">IF($F691&lt;&gt;"", XLOOKUP($F691,Productos!$A$2:$A1001,Productos!BI$2:BI1001,"")*$G691,"")</f>
        <v/>
      </c>
      <c r="BQ691" s="179" t="str">
        <f t="array" ref="BQ691">IF($F691&lt;&gt;"",XLOOKUP($F691,Productos!$A:$A,Productos!BJ:BJ,"Revisar"),"")</f>
        <v/>
      </c>
      <c r="BR691" s="179" t="str">
        <f t="array" ref="BR691">IF($F691&lt;&gt;"", XLOOKUP($F691,Productos!$A$2:$A1001,Productos!BK$2:BK1001,"")*$G691,"")</f>
        <v/>
      </c>
      <c r="BS691" s="179" t="str">
        <f t="array" ref="BS691">IF($F691&lt;&gt;"",XLOOKUP($F691,Productos!$A:$A,Productos!BL:BL,"Revisar"),"")</f>
        <v/>
      </c>
      <c r="BT691" s="179" t="str">
        <f t="array" ref="BT691">IF($F691&lt;&gt;"", XLOOKUP($F691,Productos!$A$2:$A1001,Productos!BM$2:BM1001,"")*$G691,"")</f>
        <v/>
      </c>
      <c r="BU691" s="179" t="str">
        <f t="array" ref="BU691">IF($F691&lt;&gt;"",XLOOKUP($F691,Productos!$A:$A,Productos!BN:BN,"Revisar"),"")</f>
        <v/>
      </c>
      <c r="BV691" s="179" t="str">
        <f t="array" ref="BV691">IF($F691&lt;&gt;"", XLOOKUP($F691,Productos!$A$2:$A1001,Productos!BO$2:BO1001,"")*$G691,"")</f>
        <v/>
      </c>
      <c r="BW691" s="179" t="str">
        <f t="array" ref="BW691">IF($F691&lt;&gt;"",XLOOKUP($F691,Productos!$A:$A,Productos!BP:BP,"Revisar"),"")</f>
        <v/>
      </c>
      <c r="BX691" s="179" t="str">
        <f t="array" ref="BX691">IF($F691&lt;&gt;"", XLOOKUP($F691,Productos!$A$2:$A1001,Productos!BQ$2:BQ1001,"")*$G691,"")</f>
        <v/>
      </c>
      <c r="BY691" s="179" t="str">
        <f t="array" ref="BY691">IF($F691&lt;&gt;"",XLOOKUP($F691,Productos!$A:$A,Productos!BR:BR,"Revisar"),"")</f>
        <v/>
      </c>
      <c r="BZ691" s="179" t="str">
        <f t="array" ref="BZ691">IF($F691&lt;&gt;"", XLOOKUP($F691,Productos!$A$2:$A1001,Productos!BS$2:BS1001,"")*$G691,"")</f>
        <v/>
      </c>
    </row>
    <row r="692">
      <c r="A692" s="188"/>
      <c r="B692" s="189"/>
      <c r="C692" s="190"/>
      <c r="D692" s="190"/>
      <c r="E692" s="191"/>
      <c r="F692" s="186"/>
      <c r="G692" s="192"/>
      <c r="H692" s="9"/>
      <c r="I692" s="179" t="str">
        <f t="array" ref="I692">IF($F692&lt;&gt;"",XLOOKUP($F692,Productos!$A:$A,Productos!B:B,"Revisar"),"")</f>
        <v/>
      </c>
      <c r="J692" s="179" t="str">
        <f t="array" ref="J692">IF($F692&lt;&gt;"", XLOOKUP($F692,Productos!$A$2:$A1001,Productos!C$2:C1001,"")*$G692,"")</f>
        <v/>
      </c>
      <c r="K692" s="179" t="str">
        <f t="array" ref="K692">IF($F692&lt;&gt;"",XLOOKUP($F692,Productos!$A:$A,Productos!D:D,"Revisar"),"")</f>
        <v/>
      </c>
      <c r="L692" s="179" t="str">
        <f t="array" ref="L692">IF($F692&lt;&gt;"", XLOOKUP($F692,Productos!$A$2:$A1001,Productos!E$2:E1001,"")*$G692,"")</f>
        <v/>
      </c>
      <c r="M692" s="179" t="str">
        <f t="array" ref="M692">IF($F692&lt;&gt;"",XLOOKUP($F692,Productos!$A:$A,Productos!F:F,"Revisar"),"")</f>
        <v/>
      </c>
      <c r="N692" s="179" t="str">
        <f t="array" ref="N692">IF($F692&lt;&gt;"", XLOOKUP($F692,Productos!$A$2:$A1001,Productos!G$2:G1001,"")*$G692,"")</f>
        <v/>
      </c>
      <c r="O692" s="179" t="str">
        <f t="array" ref="O692">IF($F692&lt;&gt;"",XLOOKUP($F692,Productos!$A:$A,Productos!H:H,"Revisar"),"")</f>
        <v/>
      </c>
      <c r="P692" s="179" t="str">
        <f t="array" ref="P692">IF($F692&lt;&gt;"", XLOOKUP($F692,Productos!$A$2:$A1001,Productos!I$2:I1001,"")*$G692,"")</f>
        <v/>
      </c>
      <c r="Q692" s="179" t="str">
        <f t="array" ref="Q692">IF($F692&lt;&gt;"",XLOOKUP($F692,Productos!$A:$A,Productos!J:J,"Revisar"),"")</f>
        <v/>
      </c>
      <c r="R692" s="179" t="str">
        <f t="array" ref="R692">IF($F692&lt;&gt;"", XLOOKUP($F692,Productos!$A$2:$A1001,Productos!K$2:K1001,"")*$G692,"")</f>
        <v/>
      </c>
      <c r="S692" s="179" t="str">
        <f t="array" ref="S692">IF($F692&lt;&gt;"",XLOOKUP($F692,Productos!$A:$A,Productos!L:L,"Revisar"),"")</f>
        <v/>
      </c>
      <c r="T692" s="179" t="str">
        <f t="array" ref="T692">IF($F692&lt;&gt;"", XLOOKUP($F692,Productos!$A$2:$A1001,Productos!M$2:M1001,"")*$G692,"")</f>
        <v/>
      </c>
      <c r="U692" s="179" t="str">
        <f t="array" ref="U692">IF($F692&lt;&gt;"",XLOOKUP($F692,Productos!$A:$A,Productos!N:N,"Revisar"),"")</f>
        <v/>
      </c>
      <c r="V692" s="179" t="str">
        <f t="array" ref="V692">IF($F692&lt;&gt;"", XLOOKUP($F692,Productos!$A$2:$A1001,Productos!O$2:O1001,"")*$G692,"")</f>
        <v/>
      </c>
      <c r="W692" s="179" t="str">
        <f t="array" ref="W692">IF($F692&lt;&gt;"",XLOOKUP($F692,Productos!$A:$A,Productos!P:P,"Revisar"),"")</f>
        <v/>
      </c>
      <c r="X692" s="179" t="str">
        <f t="array" ref="X692">IF($F692&lt;&gt;"", XLOOKUP($F692,Productos!$A$2:$A1001,Productos!Q$2:Q1001,"")*$G692,"")</f>
        <v/>
      </c>
      <c r="Y692" s="179" t="str">
        <f t="array" ref="Y692">IF($F692&lt;&gt;"",XLOOKUP($F692,Productos!$A:$A,Productos!R:R,"Revisar"),"")</f>
        <v/>
      </c>
      <c r="Z692" s="179" t="str">
        <f t="array" ref="Z692">IF($F692&lt;&gt;"", XLOOKUP($F692,Productos!$A$2:$A1001,Productos!S$2:S1001,"")*$G692,"")</f>
        <v/>
      </c>
      <c r="AA692" s="179" t="str">
        <f t="array" ref="AA692">IF($F692&lt;&gt;"",XLOOKUP($F692,Productos!$A:$A,Productos!T:T,"Revisar"),"")</f>
        <v/>
      </c>
      <c r="AB692" s="179" t="str">
        <f t="array" ref="AB692">IF($F692&lt;&gt;"", XLOOKUP($F692,Productos!$A$2:$A1001,Productos!U$2:U1001,"")*$G692,"")</f>
        <v/>
      </c>
      <c r="AC692" s="179" t="str">
        <f t="array" ref="AC692">IF($F692&lt;&gt;"",XLOOKUP($F692,Productos!$A:$A,Productos!V:V,"Revisar"),"")</f>
        <v/>
      </c>
      <c r="AD692" s="179" t="str">
        <f t="array" ref="AD692">IF($F692&lt;&gt;"", XLOOKUP($F692,Productos!$A$2:$A1001,Productos!W$2:W1001,"")*$G692,"")</f>
        <v/>
      </c>
      <c r="AE692" s="179" t="str">
        <f t="array" ref="AE692">IF($F692&lt;&gt;"",XLOOKUP($F692,Productos!$A:$A,Productos!X:X,"Revisar"),"")</f>
        <v/>
      </c>
      <c r="AF692" s="179" t="str">
        <f t="array" ref="AF692">IF($F692&lt;&gt;"", XLOOKUP($F692,Productos!$A$2:$A1001,Productos!Y$2:Y1001,"")*$G692,"")</f>
        <v/>
      </c>
      <c r="AG692" s="179" t="str">
        <f t="array" ref="AG692">IF($F692&lt;&gt;"",XLOOKUP($F692,Productos!$A:$A,Productos!Z:Z,"Revisar"),"")</f>
        <v/>
      </c>
      <c r="AH692" s="179" t="str">
        <f t="array" ref="AH692">IF($F692&lt;&gt;"", XLOOKUP($F692,Productos!$A$2:$A1001,Productos!AA$2:AA1001,"")*$G692,"")</f>
        <v/>
      </c>
      <c r="AI692" s="179" t="str">
        <f t="array" ref="AI692">IF($F692&lt;&gt;"",XLOOKUP($F692,Productos!$A:$A,Productos!AB:AB,"Revisar"),"")</f>
        <v/>
      </c>
      <c r="AJ692" s="179" t="str">
        <f t="array" ref="AJ692">IF($F692&lt;&gt;"", XLOOKUP($F692,Productos!$A$2:$A1001,Productos!AC$2:AC1001,"")*$G692,"")</f>
        <v/>
      </c>
      <c r="AK692" s="179" t="str">
        <f t="array" ref="AK692">IF($F692&lt;&gt;"",XLOOKUP($F692,Productos!$A:$A,Productos!AD:AD,"Revisar"),"")</f>
        <v/>
      </c>
      <c r="AL692" s="179" t="str">
        <f t="array" ref="AL692">IF($F692&lt;&gt;"", XLOOKUP($F692,Productos!$A$2:$A1001,Productos!AE$2:AE1001,"")*$G692,"")</f>
        <v/>
      </c>
      <c r="AM692" s="179" t="str">
        <f t="array" ref="AM692">IF($F692&lt;&gt;"",XLOOKUP($F692,Productos!$A:$A,Productos!AF:AF,"Revisar"),"")</f>
        <v/>
      </c>
      <c r="AN692" s="179" t="str">
        <f t="array" ref="AN692">IF($F692&lt;&gt;"", XLOOKUP($F692,Productos!$A$2:$A1001,Productos!AG$2:AG1001,"")*$G692,"")</f>
        <v/>
      </c>
      <c r="AO692" s="179" t="str">
        <f t="array" ref="AO692">IF($F692&lt;&gt;"",XLOOKUP($F692,Productos!$A:$A,Productos!AH:AH,"Revisar"),"")</f>
        <v/>
      </c>
      <c r="AP692" s="179" t="str">
        <f t="array" ref="AP692">IF($F692&lt;&gt;"", XLOOKUP($F692,Productos!$A$2:$A1001,Productos!AI$2:AI1001,"")*$G692,"")</f>
        <v/>
      </c>
      <c r="AQ692" s="179" t="str">
        <f t="array" ref="AQ692">IF($F692&lt;&gt;"",XLOOKUP($F692,Productos!$A:$A,Productos!AJ:AJ,"Revisar"),"")</f>
        <v/>
      </c>
      <c r="AR692" s="179" t="str">
        <f t="array" ref="AR692">IF($F692&lt;&gt;"", XLOOKUP($F692,Productos!$A$2:$A1001,Productos!AK$2:AK1001,"")*$G692,"")</f>
        <v/>
      </c>
      <c r="AS692" s="179" t="str">
        <f t="array" ref="AS692">IF($F692&lt;&gt;"",XLOOKUP($F692,Productos!$A:$A,Productos!AL:AL,"Revisar"),"")</f>
        <v/>
      </c>
      <c r="AT692" s="179" t="str">
        <f t="array" ref="AT692">IF($F692&lt;&gt;"", XLOOKUP($F692,Productos!$A$2:$A1001,Productos!AM$2:AM1001,"")*$G692,"")</f>
        <v/>
      </c>
      <c r="AU692" s="179" t="str">
        <f t="array" ref="AU692">IF($F692&lt;&gt;"",XLOOKUP($F692,Productos!$A:$A,Productos!AN:AN,"Revisar"),"")</f>
        <v/>
      </c>
      <c r="AV692" s="179" t="str">
        <f t="array" ref="AV692">IF($F692&lt;&gt;"", XLOOKUP($F692,Productos!$A$2:$A1001,Productos!AO$2:AO1001,"")*$G692,"")</f>
        <v/>
      </c>
      <c r="AW692" s="179" t="str">
        <f t="array" ref="AW692">IF($F692&lt;&gt;"",XLOOKUP($F692,Productos!$A:$A,Productos!AP:AP,"Revisar"),"")</f>
        <v/>
      </c>
      <c r="AX692" s="179" t="str">
        <f t="array" ref="AX692">IF($F692&lt;&gt;"", XLOOKUP($F692,Productos!$A$2:$A1001,Productos!AQ$2:AQ1001,"")*$G692,"")</f>
        <v/>
      </c>
      <c r="AY692" s="179" t="str">
        <f t="array" ref="AY692">IF($F692&lt;&gt;"",XLOOKUP($F692,Productos!$A:$A,Productos!AR:AR,"Revisar"),"")</f>
        <v/>
      </c>
      <c r="AZ692" s="179" t="str">
        <f t="array" ref="AZ692">IF($F692&lt;&gt;"", XLOOKUP($F692,Productos!$A$2:$A1001,Productos!AS$2:AS1001,"")*$G692,"")</f>
        <v/>
      </c>
      <c r="BA692" s="179" t="str">
        <f t="array" ref="BA692">IF($F692&lt;&gt;"",XLOOKUP($F692,Productos!$A:$A,Productos!AT:AT,"Revisar"),"")</f>
        <v/>
      </c>
      <c r="BB692" s="179" t="str">
        <f t="array" ref="BB692">IF($F692&lt;&gt;"", XLOOKUP($F692,Productos!$A$2:$A1001,Productos!AU$2:AU1001,"")*$G692,"")</f>
        <v/>
      </c>
      <c r="BC692" s="179" t="str">
        <f t="array" ref="BC692">IF($F692&lt;&gt;"",XLOOKUP($F692,Productos!$A:$A,Productos!AV:AV,"Revisar"),"")</f>
        <v/>
      </c>
      <c r="BD692" s="179" t="str">
        <f t="array" ref="BD692">IF($F692&lt;&gt;"", XLOOKUP($F692,Productos!$A$2:$A1001,Productos!AW$2:AW1001,"")*$G692,"")</f>
        <v/>
      </c>
      <c r="BE692" s="179" t="str">
        <f t="array" ref="BE692">IF($F692&lt;&gt;"",XLOOKUP($F692,Productos!$A:$A,Productos!AX:AX,"Revisar"),"")</f>
        <v/>
      </c>
      <c r="BF692" s="179" t="str">
        <f t="array" ref="BF692">IF($F692&lt;&gt;"", XLOOKUP($F692,Productos!$A$2:$A1001,Productos!AY$2:AY1001,"")*$G692,"")</f>
        <v/>
      </c>
      <c r="BG692" s="179" t="str">
        <f t="array" ref="BG692">IF($F692&lt;&gt;"",XLOOKUP($F692,Productos!$A:$A,Productos!AZ:AZ,"Revisar"),"")</f>
        <v/>
      </c>
      <c r="BH692" s="179" t="str">
        <f t="array" ref="BH692">IF($F692&lt;&gt;"", XLOOKUP($F692,Productos!$A$2:$A1001,Productos!BA$2:BA1001,"")*$G692,"")</f>
        <v/>
      </c>
      <c r="BI692" s="179" t="str">
        <f t="array" ref="BI692">IF($F692&lt;&gt;"",XLOOKUP($F692,Productos!$A:$A,Productos!BB:BB,"Revisar"),"")</f>
        <v/>
      </c>
      <c r="BJ692" s="179" t="str">
        <f t="array" ref="BJ692">IF($F692&lt;&gt;"", XLOOKUP($F692,Productos!$A$2:$A1001,Productos!BC$2:BC1001,"")*$G692,"")</f>
        <v/>
      </c>
      <c r="BK692" s="179" t="str">
        <f t="array" ref="BK692">IF($F692&lt;&gt;"",XLOOKUP($F692,Productos!$A:$A,Productos!BD:BD,"Revisar"),"")</f>
        <v/>
      </c>
      <c r="BL692" s="179" t="str">
        <f t="array" ref="BL692">IF($F692&lt;&gt;"", XLOOKUP($F692,Productos!$A$2:$A1001,Productos!BE$2:BE1001,"")*$G692,"")</f>
        <v/>
      </c>
      <c r="BM692" s="179" t="str">
        <f t="array" ref="BM692">IF($F692&lt;&gt;"",XLOOKUP($F692,Productos!$A:$A,Productos!BF:BF,"Revisar"),"")</f>
        <v/>
      </c>
      <c r="BN692" s="179" t="str">
        <f t="array" ref="BN692">IF($F692&lt;&gt;"", XLOOKUP($F692,Productos!$A$2:$A1001,Productos!BG$2:BG1001,"")*$G692,"")</f>
        <v/>
      </c>
      <c r="BO692" s="179" t="str">
        <f t="array" ref="BO692">IF($F692&lt;&gt;"",XLOOKUP($F692,Productos!$A:$A,Productos!BH:BH,"Revisar"),"")</f>
        <v/>
      </c>
      <c r="BP692" s="179" t="str">
        <f t="array" ref="BP692">IF($F692&lt;&gt;"", XLOOKUP($F692,Productos!$A$2:$A1001,Productos!BI$2:BI1001,"")*$G692,"")</f>
        <v/>
      </c>
      <c r="BQ692" s="179" t="str">
        <f t="array" ref="BQ692">IF($F692&lt;&gt;"",XLOOKUP($F692,Productos!$A:$A,Productos!BJ:BJ,"Revisar"),"")</f>
        <v/>
      </c>
      <c r="BR692" s="179" t="str">
        <f t="array" ref="BR692">IF($F692&lt;&gt;"", XLOOKUP($F692,Productos!$A$2:$A1001,Productos!BK$2:BK1001,"")*$G692,"")</f>
        <v/>
      </c>
      <c r="BS692" s="179" t="str">
        <f t="array" ref="BS692">IF($F692&lt;&gt;"",XLOOKUP($F692,Productos!$A:$A,Productos!BL:BL,"Revisar"),"")</f>
        <v/>
      </c>
      <c r="BT692" s="179" t="str">
        <f t="array" ref="BT692">IF($F692&lt;&gt;"", XLOOKUP($F692,Productos!$A$2:$A1001,Productos!BM$2:BM1001,"")*$G692,"")</f>
        <v/>
      </c>
      <c r="BU692" s="179" t="str">
        <f t="array" ref="BU692">IF($F692&lt;&gt;"",XLOOKUP($F692,Productos!$A:$A,Productos!BN:BN,"Revisar"),"")</f>
        <v/>
      </c>
      <c r="BV692" s="179" t="str">
        <f t="array" ref="BV692">IF($F692&lt;&gt;"", XLOOKUP($F692,Productos!$A$2:$A1001,Productos!BO$2:BO1001,"")*$G692,"")</f>
        <v/>
      </c>
      <c r="BW692" s="179" t="str">
        <f t="array" ref="BW692">IF($F692&lt;&gt;"",XLOOKUP($F692,Productos!$A:$A,Productos!BP:BP,"Revisar"),"")</f>
        <v/>
      </c>
      <c r="BX692" s="179" t="str">
        <f t="array" ref="BX692">IF($F692&lt;&gt;"", XLOOKUP($F692,Productos!$A$2:$A1001,Productos!BQ$2:BQ1001,"")*$G692,"")</f>
        <v/>
      </c>
      <c r="BY692" s="179" t="str">
        <f t="array" ref="BY692">IF($F692&lt;&gt;"",XLOOKUP($F692,Productos!$A:$A,Productos!BR:BR,"Revisar"),"")</f>
        <v/>
      </c>
      <c r="BZ692" s="179" t="str">
        <f t="array" ref="BZ692">IF($F692&lt;&gt;"", XLOOKUP($F692,Productos!$A$2:$A1001,Productos!BS$2:BS1001,"")*$G692,"")</f>
        <v/>
      </c>
    </row>
    <row r="693">
      <c r="A693" s="188"/>
      <c r="B693" s="189"/>
      <c r="C693" s="190"/>
      <c r="D693" s="190"/>
      <c r="E693" s="191"/>
      <c r="F693" s="186"/>
      <c r="G693" s="192"/>
      <c r="H693" s="9"/>
      <c r="I693" s="179" t="str">
        <f t="array" ref="I693">IF($F693&lt;&gt;"",XLOOKUP($F693,Productos!$A:$A,Productos!B:B,"Revisar"),"")</f>
        <v/>
      </c>
      <c r="J693" s="179" t="str">
        <f t="array" ref="J693">IF($F693&lt;&gt;"", XLOOKUP($F693,Productos!$A$2:$A1001,Productos!C$2:C1001,"")*$G693,"")</f>
        <v/>
      </c>
      <c r="K693" s="179" t="str">
        <f t="array" ref="K693">IF($F693&lt;&gt;"",XLOOKUP($F693,Productos!$A:$A,Productos!D:D,"Revisar"),"")</f>
        <v/>
      </c>
      <c r="L693" s="179" t="str">
        <f t="array" ref="L693">IF($F693&lt;&gt;"", XLOOKUP($F693,Productos!$A$2:$A1001,Productos!E$2:E1001,"")*$G693,"")</f>
        <v/>
      </c>
      <c r="M693" s="179" t="str">
        <f t="array" ref="M693">IF($F693&lt;&gt;"",XLOOKUP($F693,Productos!$A:$A,Productos!F:F,"Revisar"),"")</f>
        <v/>
      </c>
      <c r="N693" s="179" t="str">
        <f t="array" ref="N693">IF($F693&lt;&gt;"", XLOOKUP($F693,Productos!$A$2:$A1001,Productos!G$2:G1001,"")*$G693,"")</f>
        <v/>
      </c>
      <c r="O693" s="179" t="str">
        <f t="array" ref="O693">IF($F693&lt;&gt;"",XLOOKUP($F693,Productos!$A:$A,Productos!H:H,"Revisar"),"")</f>
        <v/>
      </c>
      <c r="P693" s="179" t="str">
        <f t="array" ref="P693">IF($F693&lt;&gt;"", XLOOKUP($F693,Productos!$A$2:$A1001,Productos!I$2:I1001,"")*$G693,"")</f>
        <v/>
      </c>
      <c r="Q693" s="179" t="str">
        <f t="array" ref="Q693">IF($F693&lt;&gt;"",XLOOKUP($F693,Productos!$A:$A,Productos!J:J,"Revisar"),"")</f>
        <v/>
      </c>
      <c r="R693" s="179" t="str">
        <f t="array" ref="R693">IF($F693&lt;&gt;"", XLOOKUP($F693,Productos!$A$2:$A1001,Productos!K$2:K1001,"")*$G693,"")</f>
        <v/>
      </c>
      <c r="S693" s="179" t="str">
        <f t="array" ref="S693">IF($F693&lt;&gt;"",XLOOKUP($F693,Productos!$A:$A,Productos!L:L,"Revisar"),"")</f>
        <v/>
      </c>
      <c r="T693" s="179" t="str">
        <f t="array" ref="T693">IF($F693&lt;&gt;"", XLOOKUP($F693,Productos!$A$2:$A1001,Productos!M$2:M1001,"")*$G693,"")</f>
        <v/>
      </c>
      <c r="U693" s="179" t="str">
        <f t="array" ref="U693">IF($F693&lt;&gt;"",XLOOKUP($F693,Productos!$A:$A,Productos!N:N,"Revisar"),"")</f>
        <v/>
      </c>
      <c r="V693" s="179" t="str">
        <f t="array" ref="V693">IF($F693&lt;&gt;"", XLOOKUP($F693,Productos!$A$2:$A1001,Productos!O$2:O1001,"")*$G693,"")</f>
        <v/>
      </c>
      <c r="W693" s="179" t="str">
        <f t="array" ref="W693">IF($F693&lt;&gt;"",XLOOKUP($F693,Productos!$A:$A,Productos!P:P,"Revisar"),"")</f>
        <v/>
      </c>
      <c r="X693" s="179" t="str">
        <f t="array" ref="X693">IF($F693&lt;&gt;"", XLOOKUP($F693,Productos!$A$2:$A1001,Productos!Q$2:Q1001,"")*$G693,"")</f>
        <v/>
      </c>
      <c r="Y693" s="179" t="str">
        <f t="array" ref="Y693">IF($F693&lt;&gt;"",XLOOKUP($F693,Productos!$A:$A,Productos!R:R,"Revisar"),"")</f>
        <v/>
      </c>
      <c r="Z693" s="179" t="str">
        <f t="array" ref="Z693">IF($F693&lt;&gt;"", XLOOKUP($F693,Productos!$A$2:$A1001,Productos!S$2:S1001,"")*$G693,"")</f>
        <v/>
      </c>
      <c r="AA693" s="179" t="str">
        <f t="array" ref="AA693">IF($F693&lt;&gt;"",XLOOKUP($F693,Productos!$A:$A,Productos!T:T,"Revisar"),"")</f>
        <v/>
      </c>
      <c r="AB693" s="179" t="str">
        <f t="array" ref="AB693">IF($F693&lt;&gt;"", XLOOKUP($F693,Productos!$A$2:$A1001,Productos!U$2:U1001,"")*$G693,"")</f>
        <v/>
      </c>
      <c r="AC693" s="179" t="str">
        <f t="array" ref="AC693">IF($F693&lt;&gt;"",XLOOKUP($F693,Productos!$A:$A,Productos!V:V,"Revisar"),"")</f>
        <v/>
      </c>
      <c r="AD693" s="179" t="str">
        <f t="array" ref="AD693">IF($F693&lt;&gt;"", XLOOKUP($F693,Productos!$A$2:$A1001,Productos!W$2:W1001,"")*$G693,"")</f>
        <v/>
      </c>
      <c r="AE693" s="179" t="str">
        <f t="array" ref="AE693">IF($F693&lt;&gt;"",XLOOKUP($F693,Productos!$A:$A,Productos!X:X,"Revisar"),"")</f>
        <v/>
      </c>
      <c r="AF693" s="179" t="str">
        <f t="array" ref="AF693">IF($F693&lt;&gt;"", XLOOKUP($F693,Productos!$A$2:$A1001,Productos!Y$2:Y1001,"")*$G693,"")</f>
        <v/>
      </c>
      <c r="AG693" s="179" t="str">
        <f t="array" ref="AG693">IF($F693&lt;&gt;"",XLOOKUP($F693,Productos!$A:$A,Productos!Z:Z,"Revisar"),"")</f>
        <v/>
      </c>
      <c r="AH693" s="179" t="str">
        <f t="array" ref="AH693">IF($F693&lt;&gt;"", XLOOKUP($F693,Productos!$A$2:$A1001,Productos!AA$2:AA1001,"")*$G693,"")</f>
        <v/>
      </c>
      <c r="AI693" s="179" t="str">
        <f t="array" ref="AI693">IF($F693&lt;&gt;"",XLOOKUP($F693,Productos!$A:$A,Productos!AB:AB,"Revisar"),"")</f>
        <v/>
      </c>
      <c r="AJ693" s="179" t="str">
        <f t="array" ref="AJ693">IF($F693&lt;&gt;"", XLOOKUP($F693,Productos!$A$2:$A1001,Productos!AC$2:AC1001,"")*$G693,"")</f>
        <v/>
      </c>
      <c r="AK693" s="179" t="str">
        <f t="array" ref="AK693">IF($F693&lt;&gt;"",XLOOKUP($F693,Productos!$A:$A,Productos!AD:AD,"Revisar"),"")</f>
        <v/>
      </c>
      <c r="AL693" s="179" t="str">
        <f t="array" ref="AL693">IF($F693&lt;&gt;"", XLOOKUP($F693,Productos!$A$2:$A1001,Productos!AE$2:AE1001,"")*$G693,"")</f>
        <v/>
      </c>
      <c r="AM693" s="179" t="str">
        <f t="array" ref="AM693">IF($F693&lt;&gt;"",XLOOKUP($F693,Productos!$A:$A,Productos!AF:AF,"Revisar"),"")</f>
        <v/>
      </c>
      <c r="AN693" s="179" t="str">
        <f t="array" ref="AN693">IF($F693&lt;&gt;"", XLOOKUP($F693,Productos!$A$2:$A1001,Productos!AG$2:AG1001,"")*$G693,"")</f>
        <v/>
      </c>
      <c r="AO693" s="179" t="str">
        <f t="array" ref="AO693">IF($F693&lt;&gt;"",XLOOKUP($F693,Productos!$A:$A,Productos!AH:AH,"Revisar"),"")</f>
        <v/>
      </c>
      <c r="AP693" s="179" t="str">
        <f t="array" ref="AP693">IF($F693&lt;&gt;"", XLOOKUP($F693,Productos!$A$2:$A1001,Productos!AI$2:AI1001,"")*$G693,"")</f>
        <v/>
      </c>
      <c r="AQ693" s="179" t="str">
        <f t="array" ref="AQ693">IF($F693&lt;&gt;"",XLOOKUP($F693,Productos!$A:$A,Productos!AJ:AJ,"Revisar"),"")</f>
        <v/>
      </c>
      <c r="AR693" s="179" t="str">
        <f t="array" ref="AR693">IF($F693&lt;&gt;"", XLOOKUP($F693,Productos!$A$2:$A1001,Productos!AK$2:AK1001,"")*$G693,"")</f>
        <v/>
      </c>
      <c r="AS693" s="179" t="str">
        <f t="array" ref="AS693">IF($F693&lt;&gt;"",XLOOKUP($F693,Productos!$A:$A,Productos!AL:AL,"Revisar"),"")</f>
        <v/>
      </c>
      <c r="AT693" s="179" t="str">
        <f t="array" ref="AT693">IF($F693&lt;&gt;"", XLOOKUP($F693,Productos!$A$2:$A1001,Productos!AM$2:AM1001,"")*$G693,"")</f>
        <v/>
      </c>
      <c r="AU693" s="179" t="str">
        <f t="array" ref="AU693">IF($F693&lt;&gt;"",XLOOKUP($F693,Productos!$A:$A,Productos!AN:AN,"Revisar"),"")</f>
        <v/>
      </c>
      <c r="AV693" s="179" t="str">
        <f t="array" ref="AV693">IF($F693&lt;&gt;"", XLOOKUP($F693,Productos!$A$2:$A1001,Productos!AO$2:AO1001,"")*$G693,"")</f>
        <v/>
      </c>
      <c r="AW693" s="179" t="str">
        <f t="array" ref="AW693">IF($F693&lt;&gt;"",XLOOKUP($F693,Productos!$A:$A,Productos!AP:AP,"Revisar"),"")</f>
        <v/>
      </c>
      <c r="AX693" s="179" t="str">
        <f t="array" ref="AX693">IF($F693&lt;&gt;"", XLOOKUP($F693,Productos!$A$2:$A1001,Productos!AQ$2:AQ1001,"")*$G693,"")</f>
        <v/>
      </c>
      <c r="AY693" s="179" t="str">
        <f t="array" ref="AY693">IF($F693&lt;&gt;"",XLOOKUP($F693,Productos!$A:$A,Productos!AR:AR,"Revisar"),"")</f>
        <v/>
      </c>
      <c r="AZ693" s="179" t="str">
        <f t="array" ref="AZ693">IF($F693&lt;&gt;"", XLOOKUP($F693,Productos!$A$2:$A1001,Productos!AS$2:AS1001,"")*$G693,"")</f>
        <v/>
      </c>
      <c r="BA693" s="179" t="str">
        <f t="array" ref="BA693">IF($F693&lt;&gt;"",XLOOKUP($F693,Productos!$A:$A,Productos!AT:AT,"Revisar"),"")</f>
        <v/>
      </c>
      <c r="BB693" s="179" t="str">
        <f t="array" ref="BB693">IF($F693&lt;&gt;"", XLOOKUP($F693,Productos!$A$2:$A1001,Productos!AU$2:AU1001,"")*$G693,"")</f>
        <v/>
      </c>
      <c r="BC693" s="179" t="str">
        <f t="array" ref="BC693">IF($F693&lt;&gt;"",XLOOKUP($F693,Productos!$A:$A,Productos!AV:AV,"Revisar"),"")</f>
        <v/>
      </c>
      <c r="BD693" s="179" t="str">
        <f t="array" ref="BD693">IF($F693&lt;&gt;"", XLOOKUP($F693,Productos!$A$2:$A1001,Productos!AW$2:AW1001,"")*$G693,"")</f>
        <v/>
      </c>
      <c r="BE693" s="179" t="str">
        <f t="array" ref="BE693">IF($F693&lt;&gt;"",XLOOKUP($F693,Productos!$A:$A,Productos!AX:AX,"Revisar"),"")</f>
        <v/>
      </c>
      <c r="BF693" s="179" t="str">
        <f t="array" ref="BF693">IF($F693&lt;&gt;"", XLOOKUP($F693,Productos!$A$2:$A1001,Productos!AY$2:AY1001,"")*$G693,"")</f>
        <v/>
      </c>
      <c r="BG693" s="179" t="str">
        <f t="array" ref="BG693">IF($F693&lt;&gt;"",XLOOKUP($F693,Productos!$A:$A,Productos!AZ:AZ,"Revisar"),"")</f>
        <v/>
      </c>
      <c r="BH693" s="179" t="str">
        <f t="array" ref="BH693">IF($F693&lt;&gt;"", XLOOKUP($F693,Productos!$A$2:$A1001,Productos!BA$2:BA1001,"")*$G693,"")</f>
        <v/>
      </c>
      <c r="BI693" s="179" t="str">
        <f t="array" ref="BI693">IF($F693&lt;&gt;"",XLOOKUP($F693,Productos!$A:$A,Productos!BB:BB,"Revisar"),"")</f>
        <v/>
      </c>
      <c r="BJ693" s="179" t="str">
        <f t="array" ref="BJ693">IF($F693&lt;&gt;"", XLOOKUP($F693,Productos!$A$2:$A1001,Productos!BC$2:BC1001,"")*$G693,"")</f>
        <v/>
      </c>
      <c r="BK693" s="179" t="str">
        <f t="array" ref="BK693">IF($F693&lt;&gt;"",XLOOKUP($F693,Productos!$A:$A,Productos!BD:BD,"Revisar"),"")</f>
        <v/>
      </c>
      <c r="BL693" s="179" t="str">
        <f t="array" ref="BL693">IF($F693&lt;&gt;"", XLOOKUP($F693,Productos!$A$2:$A1001,Productos!BE$2:BE1001,"")*$G693,"")</f>
        <v/>
      </c>
      <c r="BM693" s="179" t="str">
        <f t="array" ref="BM693">IF($F693&lt;&gt;"",XLOOKUP($F693,Productos!$A:$A,Productos!BF:BF,"Revisar"),"")</f>
        <v/>
      </c>
      <c r="BN693" s="179" t="str">
        <f t="array" ref="BN693">IF($F693&lt;&gt;"", XLOOKUP($F693,Productos!$A$2:$A1001,Productos!BG$2:BG1001,"")*$G693,"")</f>
        <v/>
      </c>
      <c r="BO693" s="179" t="str">
        <f t="array" ref="BO693">IF($F693&lt;&gt;"",XLOOKUP($F693,Productos!$A:$A,Productos!BH:BH,"Revisar"),"")</f>
        <v/>
      </c>
      <c r="BP693" s="179" t="str">
        <f t="array" ref="BP693">IF($F693&lt;&gt;"", XLOOKUP($F693,Productos!$A$2:$A1001,Productos!BI$2:BI1001,"")*$G693,"")</f>
        <v/>
      </c>
      <c r="BQ693" s="179" t="str">
        <f t="array" ref="BQ693">IF($F693&lt;&gt;"",XLOOKUP($F693,Productos!$A:$A,Productos!BJ:BJ,"Revisar"),"")</f>
        <v/>
      </c>
      <c r="BR693" s="179" t="str">
        <f t="array" ref="BR693">IF($F693&lt;&gt;"", XLOOKUP($F693,Productos!$A$2:$A1001,Productos!BK$2:BK1001,"")*$G693,"")</f>
        <v/>
      </c>
      <c r="BS693" s="179" t="str">
        <f t="array" ref="BS693">IF($F693&lt;&gt;"",XLOOKUP($F693,Productos!$A:$A,Productos!BL:BL,"Revisar"),"")</f>
        <v/>
      </c>
      <c r="BT693" s="179" t="str">
        <f t="array" ref="BT693">IF($F693&lt;&gt;"", XLOOKUP($F693,Productos!$A$2:$A1001,Productos!BM$2:BM1001,"")*$G693,"")</f>
        <v/>
      </c>
      <c r="BU693" s="179" t="str">
        <f t="array" ref="BU693">IF($F693&lt;&gt;"",XLOOKUP($F693,Productos!$A:$A,Productos!BN:BN,"Revisar"),"")</f>
        <v/>
      </c>
      <c r="BV693" s="179" t="str">
        <f t="array" ref="BV693">IF($F693&lt;&gt;"", XLOOKUP($F693,Productos!$A$2:$A1001,Productos!BO$2:BO1001,"")*$G693,"")</f>
        <v/>
      </c>
      <c r="BW693" s="179" t="str">
        <f t="array" ref="BW693">IF($F693&lt;&gt;"",XLOOKUP($F693,Productos!$A:$A,Productos!BP:BP,"Revisar"),"")</f>
        <v/>
      </c>
      <c r="BX693" s="179" t="str">
        <f t="array" ref="BX693">IF($F693&lt;&gt;"", XLOOKUP($F693,Productos!$A$2:$A1001,Productos!BQ$2:BQ1001,"")*$G693,"")</f>
        <v/>
      </c>
      <c r="BY693" s="179" t="str">
        <f t="array" ref="BY693">IF($F693&lt;&gt;"",XLOOKUP($F693,Productos!$A:$A,Productos!BR:BR,"Revisar"),"")</f>
        <v/>
      </c>
      <c r="BZ693" s="179" t="str">
        <f t="array" ref="BZ693">IF($F693&lt;&gt;"", XLOOKUP($F693,Productos!$A$2:$A1001,Productos!BS$2:BS1001,"")*$G693,"")</f>
        <v/>
      </c>
    </row>
    <row r="694">
      <c r="A694" s="188"/>
      <c r="B694" s="189"/>
      <c r="C694" s="190"/>
      <c r="D694" s="190"/>
      <c r="E694" s="191"/>
      <c r="F694" s="186"/>
      <c r="G694" s="192"/>
      <c r="H694" s="9"/>
      <c r="I694" s="179" t="str">
        <f t="array" ref="I694">IF($F694&lt;&gt;"",XLOOKUP($F694,Productos!$A:$A,Productos!B:B,"Revisar"),"")</f>
        <v/>
      </c>
      <c r="J694" s="179" t="str">
        <f t="array" ref="J694">IF($F694&lt;&gt;"", XLOOKUP($F694,Productos!$A$2:$A1001,Productos!C$2:C1001,"")*$G694,"")</f>
        <v/>
      </c>
      <c r="K694" s="179" t="str">
        <f t="array" ref="K694">IF($F694&lt;&gt;"",XLOOKUP($F694,Productos!$A:$A,Productos!D:D,"Revisar"),"")</f>
        <v/>
      </c>
      <c r="L694" s="179" t="str">
        <f t="array" ref="L694">IF($F694&lt;&gt;"", XLOOKUP($F694,Productos!$A$2:$A1001,Productos!E$2:E1001,"")*$G694,"")</f>
        <v/>
      </c>
      <c r="M694" s="179" t="str">
        <f t="array" ref="M694">IF($F694&lt;&gt;"",XLOOKUP($F694,Productos!$A:$A,Productos!F:F,"Revisar"),"")</f>
        <v/>
      </c>
      <c r="N694" s="179" t="str">
        <f t="array" ref="N694">IF($F694&lt;&gt;"", XLOOKUP($F694,Productos!$A$2:$A1001,Productos!G$2:G1001,"")*$G694,"")</f>
        <v/>
      </c>
      <c r="O694" s="179" t="str">
        <f t="array" ref="O694">IF($F694&lt;&gt;"",XLOOKUP($F694,Productos!$A:$A,Productos!H:H,"Revisar"),"")</f>
        <v/>
      </c>
      <c r="P694" s="179" t="str">
        <f t="array" ref="P694">IF($F694&lt;&gt;"", XLOOKUP($F694,Productos!$A$2:$A1001,Productos!I$2:I1001,"")*$G694,"")</f>
        <v/>
      </c>
      <c r="Q694" s="179" t="str">
        <f t="array" ref="Q694">IF($F694&lt;&gt;"",XLOOKUP($F694,Productos!$A:$A,Productos!J:J,"Revisar"),"")</f>
        <v/>
      </c>
      <c r="R694" s="179" t="str">
        <f t="array" ref="R694">IF($F694&lt;&gt;"", XLOOKUP($F694,Productos!$A$2:$A1001,Productos!K$2:K1001,"")*$G694,"")</f>
        <v/>
      </c>
      <c r="S694" s="179" t="str">
        <f t="array" ref="S694">IF($F694&lt;&gt;"",XLOOKUP($F694,Productos!$A:$A,Productos!L:L,"Revisar"),"")</f>
        <v/>
      </c>
      <c r="T694" s="179" t="str">
        <f t="array" ref="T694">IF($F694&lt;&gt;"", XLOOKUP($F694,Productos!$A$2:$A1001,Productos!M$2:M1001,"")*$G694,"")</f>
        <v/>
      </c>
      <c r="U694" s="179" t="str">
        <f t="array" ref="U694">IF($F694&lt;&gt;"",XLOOKUP($F694,Productos!$A:$A,Productos!N:N,"Revisar"),"")</f>
        <v/>
      </c>
      <c r="V694" s="179" t="str">
        <f t="array" ref="V694">IF($F694&lt;&gt;"", XLOOKUP($F694,Productos!$A$2:$A1001,Productos!O$2:O1001,"")*$G694,"")</f>
        <v/>
      </c>
      <c r="W694" s="179" t="str">
        <f t="array" ref="W694">IF($F694&lt;&gt;"",XLOOKUP($F694,Productos!$A:$A,Productos!P:P,"Revisar"),"")</f>
        <v/>
      </c>
      <c r="X694" s="179" t="str">
        <f t="array" ref="X694">IF($F694&lt;&gt;"", XLOOKUP($F694,Productos!$A$2:$A1001,Productos!Q$2:Q1001,"")*$G694,"")</f>
        <v/>
      </c>
      <c r="Y694" s="179" t="str">
        <f t="array" ref="Y694">IF($F694&lt;&gt;"",XLOOKUP($F694,Productos!$A:$A,Productos!R:R,"Revisar"),"")</f>
        <v/>
      </c>
      <c r="Z694" s="179" t="str">
        <f t="array" ref="Z694">IF($F694&lt;&gt;"", XLOOKUP($F694,Productos!$A$2:$A1001,Productos!S$2:S1001,"")*$G694,"")</f>
        <v/>
      </c>
      <c r="AA694" s="179" t="str">
        <f t="array" ref="AA694">IF($F694&lt;&gt;"",XLOOKUP($F694,Productos!$A:$A,Productos!T:T,"Revisar"),"")</f>
        <v/>
      </c>
      <c r="AB694" s="179" t="str">
        <f t="array" ref="AB694">IF($F694&lt;&gt;"", XLOOKUP($F694,Productos!$A$2:$A1001,Productos!U$2:U1001,"")*$G694,"")</f>
        <v/>
      </c>
      <c r="AC694" s="179" t="str">
        <f t="array" ref="AC694">IF($F694&lt;&gt;"",XLOOKUP($F694,Productos!$A:$A,Productos!V:V,"Revisar"),"")</f>
        <v/>
      </c>
      <c r="AD694" s="179" t="str">
        <f t="array" ref="AD694">IF($F694&lt;&gt;"", XLOOKUP($F694,Productos!$A$2:$A1001,Productos!W$2:W1001,"")*$G694,"")</f>
        <v/>
      </c>
      <c r="AE694" s="179" t="str">
        <f t="array" ref="AE694">IF($F694&lt;&gt;"",XLOOKUP($F694,Productos!$A:$A,Productos!X:X,"Revisar"),"")</f>
        <v/>
      </c>
      <c r="AF694" s="179" t="str">
        <f t="array" ref="AF694">IF($F694&lt;&gt;"", XLOOKUP($F694,Productos!$A$2:$A1001,Productos!Y$2:Y1001,"")*$G694,"")</f>
        <v/>
      </c>
      <c r="AG694" s="179" t="str">
        <f t="array" ref="AG694">IF($F694&lt;&gt;"",XLOOKUP($F694,Productos!$A:$A,Productos!Z:Z,"Revisar"),"")</f>
        <v/>
      </c>
      <c r="AH694" s="179" t="str">
        <f t="array" ref="AH694">IF($F694&lt;&gt;"", XLOOKUP($F694,Productos!$A$2:$A1001,Productos!AA$2:AA1001,"")*$G694,"")</f>
        <v/>
      </c>
      <c r="AI694" s="179" t="str">
        <f t="array" ref="AI694">IF($F694&lt;&gt;"",XLOOKUP($F694,Productos!$A:$A,Productos!AB:AB,"Revisar"),"")</f>
        <v/>
      </c>
      <c r="AJ694" s="179" t="str">
        <f t="array" ref="AJ694">IF($F694&lt;&gt;"", XLOOKUP($F694,Productos!$A$2:$A1001,Productos!AC$2:AC1001,"")*$G694,"")</f>
        <v/>
      </c>
      <c r="AK694" s="179" t="str">
        <f t="array" ref="AK694">IF($F694&lt;&gt;"",XLOOKUP($F694,Productos!$A:$A,Productos!AD:AD,"Revisar"),"")</f>
        <v/>
      </c>
      <c r="AL694" s="179" t="str">
        <f t="array" ref="AL694">IF($F694&lt;&gt;"", XLOOKUP($F694,Productos!$A$2:$A1001,Productos!AE$2:AE1001,"")*$G694,"")</f>
        <v/>
      </c>
      <c r="AM694" s="179" t="str">
        <f t="array" ref="AM694">IF($F694&lt;&gt;"",XLOOKUP($F694,Productos!$A:$A,Productos!AF:AF,"Revisar"),"")</f>
        <v/>
      </c>
      <c r="AN694" s="179" t="str">
        <f t="array" ref="AN694">IF($F694&lt;&gt;"", XLOOKUP($F694,Productos!$A$2:$A1001,Productos!AG$2:AG1001,"")*$G694,"")</f>
        <v/>
      </c>
      <c r="AO694" s="179" t="str">
        <f t="array" ref="AO694">IF($F694&lt;&gt;"",XLOOKUP($F694,Productos!$A:$A,Productos!AH:AH,"Revisar"),"")</f>
        <v/>
      </c>
      <c r="AP694" s="179" t="str">
        <f t="array" ref="AP694">IF($F694&lt;&gt;"", XLOOKUP($F694,Productos!$A$2:$A1001,Productos!AI$2:AI1001,"")*$G694,"")</f>
        <v/>
      </c>
      <c r="AQ694" s="179" t="str">
        <f t="array" ref="AQ694">IF($F694&lt;&gt;"",XLOOKUP($F694,Productos!$A:$A,Productos!AJ:AJ,"Revisar"),"")</f>
        <v/>
      </c>
      <c r="AR694" s="179" t="str">
        <f t="array" ref="AR694">IF($F694&lt;&gt;"", XLOOKUP($F694,Productos!$A$2:$A1001,Productos!AK$2:AK1001,"")*$G694,"")</f>
        <v/>
      </c>
      <c r="AS694" s="179" t="str">
        <f t="array" ref="AS694">IF($F694&lt;&gt;"",XLOOKUP($F694,Productos!$A:$A,Productos!AL:AL,"Revisar"),"")</f>
        <v/>
      </c>
      <c r="AT694" s="179" t="str">
        <f t="array" ref="AT694">IF($F694&lt;&gt;"", XLOOKUP($F694,Productos!$A$2:$A1001,Productos!AM$2:AM1001,"")*$G694,"")</f>
        <v/>
      </c>
      <c r="AU694" s="179" t="str">
        <f t="array" ref="AU694">IF($F694&lt;&gt;"",XLOOKUP($F694,Productos!$A:$A,Productos!AN:AN,"Revisar"),"")</f>
        <v/>
      </c>
      <c r="AV694" s="179" t="str">
        <f t="array" ref="AV694">IF($F694&lt;&gt;"", XLOOKUP($F694,Productos!$A$2:$A1001,Productos!AO$2:AO1001,"")*$G694,"")</f>
        <v/>
      </c>
      <c r="AW694" s="179" t="str">
        <f t="array" ref="AW694">IF($F694&lt;&gt;"",XLOOKUP($F694,Productos!$A:$A,Productos!AP:AP,"Revisar"),"")</f>
        <v/>
      </c>
      <c r="AX694" s="179" t="str">
        <f t="array" ref="AX694">IF($F694&lt;&gt;"", XLOOKUP($F694,Productos!$A$2:$A1001,Productos!AQ$2:AQ1001,"")*$G694,"")</f>
        <v/>
      </c>
      <c r="AY694" s="179" t="str">
        <f t="array" ref="AY694">IF($F694&lt;&gt;"",XLOOKUP($F694,Productos!$A:$A,Productos!AR:AR,"Revisar"),"")</f>
        <v/>
      </c>
      <c r="AZ694" s="179" t="str">
        <f t="array" ref="AZ694">IF($F694&lt;&gt;"", XLOOKUP($F694,Productos!$A$2:$A1001,Productos!AS$2:AS1001,"")*$G694,"")</f>
        <v/>
      </c>
      <c r="BA694" s="179" t="str">
        <f t="array" ref="BA694">IF($F694&lt;&gt;"",XLOOKUP($F694,Productos!$A:$A,Productos!AT:AT,"Revisar"),"")</f>
        <v/>
      </c>
      <c r="BB694" s="179" t="str">
        <f t="array" ref="BB694">IF($F694&lt;&gt;"", XLOOKUP($F694,Productos!$A$2:$A1001,Productos!AU$2:AU1001,"")*$G694,"")</f>
        <v/>
      </c>
      <c r="BC694" s="179" t="str">
        <f t="array" ref="BC694">IF($F694&lt;&gt;"",XLOOKUP($F694,Productos!$A:$A,Productos!AV:AV,"Revisar"),"")</f>
        <v/>
      </c>
      <c r="BD694" s="179" t="str">
        <f t="array" ref="BD694">IF($F694&lt;&gt;"", XLOOKUP($F694,Productos!$A$2:$A1001,Productos!AW$2:AW1001,"")*$G694,"")</f>
        <v/>
      </c>
      <c r="BE694" s="179" t="str">
        <f t="array" ref="BE694">IF($F694&lt;&gt;"",XLOOKUP($F694,Productos!$A:$A,Productos!AX:AX,"Revisar"),"")</f>
        <v/>
      </c>
      <c r="BF694" s="179" t="str">
        <f t="array" ref="BF694">IF($F694&lt;&gt;"", XLOOKUP($F694,Productos!$A$2:$A1001,Productos!AY$2:AY1001,"")*$G694,"")</f>
        <v/>
      </c>
      <c r="BG694" s="179" t="str">
        <f t="array" ref="BG694">IF($F694&lt;&gt;"",XLOOKUP($F694,Productos!$A:$A,Productos!AZ:AZ,"Revisar"),"")</f>
        <v/>
      </c>
      <c r="BH694" s="179" t="str">
        <f t="array" ref="BH694">IF($F694&lt;&gt;"", XLOOKUP($F694,Productos!$A$2:$A1001,Productos!BA$2:BA1001,"")*$G694,"")</f>
        <v/>
      </c>
      <c r="BI694" s="179" t="str">
        <f t="array" ref="BI694">IF($F694&lt;&gt;"",XLOOKUP($F694,Productos!$A:$A,Productos!BB:BB,"Revisar"),"")</f>
        <v/>
      </c>
      <c r="BJ694" s="179" t="str">
        <f t="array" ref="BJ694">IF($F694&lt;&gt;"", XLOOKUP($F694,Productos!$A$2:$A1001,Productos!BC$2:BC1001,"")*$G694,"")</f>
        <v/>
      </c>
      <c r="BK694" s="179" t="str">
        <f t="array" ref="BK694">IF($F694&lt;&gt;"",XLOOKUP($F694,Productos!$A:$A,Productos!BD:BD,"Revisar"),"")</f>
        <v/>
      </c>
      <c r="BL694" s="179" t="str">
        <f t="array" ref="BL694">IF($F694&lt;&gt;"", XLOOKUP($F694,Productos!$A$2:$A1001,Productos!BE$2:BE1001,"")*$G694,"")</f>
        <v/>
      </c>
      <c r="BM694" s="179" t="str">
        <f t="array" ref="BM694">IF($F694&lt;&gt;"",XLOOKUP($F694,Productos!$A:$A,Productos!BF:BF,"Revisar"),"")</f>
        <v/>
      </c>
      <c r="BN694" s="179" t="str">
        <f t="array" ref="BN694">IF($F694&lt;&gt;"", XLOOKUP($F694,Productos!$A$2:$A1001,Productos!BG$2:BG1001,"")*$G694,"")</f>
        <v/>
      </c>
      <c r="BO694" s="179" t="str">
        <f t="array" ref="BO694">IF($F694&lt;&gt;"",XLOOKUP($F694,Productos!$A:$A,Productos!BH:BH,"Revisar"),"")</f>
        <v/>
      </c>
      <c r="BP694" s="179" t="str">
        <f t="array" ref="BP694">IF($F694&lt;&gt;"", XLOOKUP($F694,Productos!$A$2:$A1001,Productos!BI$2:BI1001,"")*$G694,"")</f>
        <v/>
      </c>
      <c r="BQ694" s="179" t="str">
        <f t="array" ref="BQ694">IF($F694&lt;&gt;"",XLOOKUP($F694,Productos!$A:$A,Productos!BJ:BJ,"Revisar"),"")</f>
        <v/>
      </c>
      <c r="BR694" s="179" t="str">
        <f t="array" ref="BR694">IF($F694&lt;&gt;"", XLOOKUP($F694,Productos!$A$2:$A1001,Productos!BK$2:BK1001,"")*$G694,"")</f>
        <v/>
      </c>
      <c r="BS694" s="179" t="str">
        <f t="array" ref="BS694">IF($F694&lt;&gt;"",XLOOKUP($F694,Productos!$A:$A,Productos!BL:BL,"Revisar"),"")</f>
        <v/>
      </c>
      <c r="BT694" s="179" t="str">
        <f t="array" ref="BT694">IF($F694&lt;&gt;"", XLOOKUP($F694,Productos!$A$2:$A1001,Productos!BM$2:BM1001,"")*$G694,"")</f>
        <v/>
      </c>
      <c r="BU694" s="179" t="str">
        <f t="array" ref="BU694">IF($F694&lt;&gt;"",XLOOKUP($F694,Productos!$A:$A,Productos!BN:BN,"Revisar"),"")</f>
        <v/>
      </c>
      <c r="BV694" s="179" t="str">
        <f t="array" ref="BV694">IF($F694&lt;&gt;"", XLOOKUP($F694,Productos!$A$2:$A1001,Productos!BO$2:BO1001,"")*$G694,"")</f>
        <v/>
      </c>
      <c r="BW694" s="179" t="str">
        <f t="array" ref="BW694">IF($F694&lt;&gt;"",XLOOKUP($F694,Productos!$A:$A,Productos!BP:BP,"Revisar"),"")</f>
        <v/>
      </c>
      <c r="BX694" s="179" t="str">
        <f t="array" ref="BX694">IF($F694&lt;&gt;"", XLOOKUP($F694,Productos!$A$2:$A1001,Productos!BQ$2:BQ1001,"")*$G694,"")</f>
        <v/>
      </c>
      <c r="BY694" s="179" t="str">
        <f t="array" ref="BY694">IF($F694&lt;&gt;"",XLOOKUP($F694,Productos!$A:$A,Productos!BR:BR,"Revisar"),"")</f>
        <v/>
      </c>
      <c r="BZ694" s="179" t="str">
        <f t="array" ref="BZ694">IF($F694&lt;&gt;"", XLOOKUP($F694,Productos!$A$2:$A1001,Productos!BS$2:BS1001,"")*$G694,"")</f>
        <v/>
      </c>
    </row>
    <row r="695">
      <c r="A695" s="188"/>
      <c r="B695" s="189"/>
      <c r="C695" s="190"/>
      <c r="D695" s="190"/>
      <c r="E695" s="191"/>
      <c r="F695" s="186"/>
      <c r="G695" s="192"/>
      <c r="H695" s="9"/>
      <c r="I695" s="179" t="str">
        <f t="array" ref="I695">IF($F695&lt;&gt;"",XLOOKUP($F695,Productos!$A:$A,Productos!B:B,"Revisar"),"")</f>
        <v/>
      </c>
      <c r="J695" s="179" t="str">
        <f t="array" ref="J695">IF($F695&lt;&gt;"", XLOOKUP($F695,Productos!$A$2:$A1001,Productos!C$2:C1001,"")*$G695,"")</f>
        <v/>
      </c>
      <c r="K695" s="179" t="str">
        <f t="array" ref="K695">IF($F695&lt;&gt;"",XLOOKUP($F695,Productos!$A:$A,Productos!D:D,"Revisar"),"")</f>
        <v/>
      </c>
      <c r="L695" s="179" t="str">
        <f t="array" ref="L695">IF($F695&lt;&gt;"", XLOOKUP($F695,Productos!$A$2:$A1001,Productos!E$2:E1001,"")*$G695,"")</f>
        <v/>
      </c>
      <c r="M695" s="179" t="str">
        <f t="array" ref="M695">IF($F695&lt;&gt;"",XLOOKUP($F695,Productos!$A:$A,Productos!F:F,"Revisar"),"")</f>
        <v/>
      </c>
      <c r="N695" s="179" t="str">
        <f t="array" ref="N695">IF($F695&lt;&gt;"", XLOOKUP($F695,Productos!$A$2:$A1001,Productos!G$2:G1001,"")*$G695,"")</f>
        <v/>
      </c>
      <c r="O695" s="179" t="str">
        <f t="array" ref="O695">IF($F695&lt;&gt;"",XLOOKUP($F695,Productos!$A:$A,Productos!H:H,"Revisar"),"")</f>
        <v/>
      </c>
      <c r="P695" s="179" t="str">
        <f t="array" ref="P695">IF($F695&lt;&gt;"", XLOOKUP($F695,Productos!$A$2:$A1001,Productos!I$2:I1001,"")*$G695,"")</f>
        <v/>
      </c>
      <c r="Q695" s="179" t="str">
        <f t="array" ref="Q695">IF($F695&lt;&gt;"",XLOOKUP($F695,Productos!$A:$A,Productos!J:J,"Revisar"),"")</f>
        <v/>
      </c>
      <c r="R695" s="179" t="str">
        <f t="array" ref="R695">IF($F695&lt;&gt;"", XLOOKUP($F695,Productos!$A$2:$A1001,Productos!K$2:K1001,"")*$G695,"")</f>
        <v/>
      </c>
      <c r="S695" s="179" t="str">
        <f t="array" ref="S695">IF($F695&lt;&gt;"",XLOOKUP($F695,Productos!$A:$A,Productos!L:L,"Revisar"),"")</f>
        <v/>
      </c>
      <c r="T695" s="179" t="str">
        <f t="array" ref="T695">IF($F695&lt;&gt;"", XLOOKUP($F695,Productos!$A$2:$A1001,Productos!M$2:M1001,"")*$G695,"")</f>
        <v/>
      </c>
      <c r="U695" s="179" t="str">
        <f t="array" ref="U695">IF($F695&lt;&gt;"",XLOOKUP($F695,Productos!$A:$A,Productos!N:N,"Revisar"),"")</f>
        <v/>
      </c>
      <c r="V695" s="179" t="str">
        <f t="array" ref="V695">IF($F695&lt;&gt;"", XLOOKUP($F695,Productos!$A$2:$A1001,Productos!O$2:O1001,"")*$G695,"")</f>
        <v/>
      </c>
      <c r="W695" s="179" t="str">
        <f t="array" ref="W695">IF($F695&lt;&gt;"",XLOOKUP($F695,Productos!$A:$A,Productos!P:P,"Revisar"),"")</f>
        <v/>
      </c>
      <c r="X695" s="179" t="str">
        <f t="array" ref="X695">IF($F695&lt;&gt;"", XLOOKUP($F695,Productos!$A$2:$A1001,Productos!Q$2:Q1001,"")*$G695,"")</f>
        <v/>
      </c>
      <c r="Y695" s="179" t="str">
        <f t="array" ref="Y695">IF($F695&lt;&gt;"",XLOOKUP($F695,Productos!$A:$A,Productos!R:R,"Revisar"),"")</f>
        <v/>
      </c>
      <c r="Z695" s="179" t="str">
        <f t="array" ref="Z695">IF($F695&lt;&gt;"", XLOOKUP($F695,Productos!$A$2:$A1001,Productos!S$2:S1001,"")*$G695,"")</f>
        <v/>
      </c>
      <c r="AA695" s="179" t="str">
        <f t="array" ref="AA695">IF($F695&lt;&gt;"",XLOOKUP($F695,Productos!$A:$A,Productos!T:T,"Revisar"),"")</f>
        <v/>
      </c>
      <c r="AB695" s="179" t="str">
        <f t="array" ref="AB695">IF($F695&lt;&gt;"", XLOOKUP($F695,Productos!$A$2:$A1001,Productos!U$2:U1001,"")*$G695,"")</f>
        <v/>
      </c>
      <c r="AC695" s="179" t="str">
        <f t="array" ref="AC695">IF($F695&lt;&gt;"",XLOOKUP($F695,Productos!$A:$A,Productos!V:V,"Revisar"),"")</f>
        <v/>
      </c>
      <c r="AD695" s="179" t="str">
        <f t="array" ref="AD695">IF($F695&lt;&gt;"", XLOOKUP($F695,Productos!$A$2:$A1001,Productos!W$2:W1001,"")*$G695,"")</f>
        <v/>
      </c>
      <c r="AE695" s="179" t="str">
        <f t="array" ref="AE695">IF($F695&lt;&gt;"",XLOOKUP($F695,Productos!$A:$A,Productos!X:X,"Revisar"),"")</f>
        <v/>
      </c>
      <c r="AF695" s="179" t="str">
        <f t="array" ref="AF695">IF($F695&lt;&gt;"", XLOOKUP($F695,Productos!$A$2:$A1001,Productos!Y$2:Y1001,"")*$G695,"")</f>
        <v/>
      </c>
      <c r="AG695" s="179" t="str">
        <f t="array" ref="AG695">IF($F695&lt;&gt;"",XLOOKUP($F695,Productos!$A:$A,Productos!Z:Z,"Revisar"),"")</f>
        <v/>
      </c>
      <c r="AH695" s="179" t="str">
        <f t="array" ref="AH695">IF($F695&lt;&gt;"", XLOOKUP($F695,Productos!$A$2:$A1001,Productos!AA$2:AA1001,"")*$G695,"")</f>
        <v/>
      </c>
      <c r="AI695" s="179" t="str">
        <f t="array" ref="AI695">IF($F695&lt;&gt;"",XLOOKUP($F695,Productos!$A:$A,Productos!AB:AB,"Revisar"),"")</f>
        <v/>
      </c>
      <c r="AJ695" s="179" t="str">
        <f t="array" ref="AJ695">IF($F695&lt;&gt;"", XLOOKUP($F695,Productos!$A$2:$A1001,Productos!AC$2:AC1001,"")*$G695,"")</f>
        <v/>
      </c>
      <c r="AK695" s="179" t="str">
        <f t="array" ref="AK695">IF($F695&lt;&gt;"",XLOOKUP($F695,Productos!$A:$A,Productos!AD:AD,"Revisar"),"")</f>
        <v/>
      </c>
      <c r="AL695" s="179" t="str">
        <f t="array" ref="AL695">IF($F695&lt;&gt;"", XLOOKUP($F695,Productos!$A$2:$A1001,Productos!AE$2:AE1001,"")*$G695,"")</f>
        <v/>
      </c>
      <c r="AM695" s="179" t="str">
        <f t="array" ref="AM695">IF($F695&lt;&gt;"",XLOOKUP($F695,Productos!$A:$A,Productos!AF:AF,"Revisar"),"")</f>
        <v/>
      </c>
      <c r="AN695" s="179" t="str">
        <f t="array" ref="AN695">IF($F695&lt;&gt;"", XLOOKUP($F695,Productos!$A$2:$A1001,Productos!AG$2:AG1001,"")*$G695,"")</f>
        <v/>
      </c>
      <c r="AO695" s="179" t="str">
        <f t="array" ref="AO695">IF($F695&lt;&gt;"",XLOOKUP($F695,Productos!$A:$A,Productos!AH:AH,"Revisar"),"")</f>
        <v/>
      </c>
      <c r="AP695" s="179" t="str">
        <f t="array" ref="AP695">IF($F695&lt;&gt;"", XLOOKUP($F695,Productos!$A$2:$A1001,Productos!AI$2:AI1001,"")*$G695,"")</f>
        <v/>
      </c>
      <c r="AQ695" s="179" t="str">
        <f t="array" ref="AQ695">IF($F695&lt;&gt;"",XLOOKUP($F695,Productos!$A:$A,Productos!AJ:AJ,"Revisar"),"")</f>
        <v/>
      </c>
      <c r="AR695" s="179" t="str">
        <f t="array" ref="AR695">IF($F695&lt;&gt;"", XLOOKUP($F695,Productos!$A$2:$A1001,Productos!AK$2:AK1001,"")*$G695,"")</f>
        <v/>
      </c>
      <c r="AS695" s="179" t="str">
        <f t="array" ref="AS695">IF($F695&lt;&gt;"",XLOOKUP($F695,Productos!$A:$A,Productos!AL:AL,"Revisar"),"")</f>
        <v/>
      </c>
      <c r="AT695" s="179" t="str">
        <f t="array" ref="AT695">IF($F695&lt;&gt;"", XLOOKUP($F695,Productos!$A$2:$A1001,Productos!AM$2:AM1001,"")*$G695,"")</f>
        <v/>
      </c>
      <c r="AU695" s="179" t="str">
        <f t="array" ref="AU695">IF($F695&lt;&gt;"",XLOOKUP($F695,Productos!$A:$A,Productos!AN:AN,"Revisar"),"")</f>
        <v/>
      </c>
      <c r="AV695" s="179" t="str">
        <f t="array" ref="AV695">IF($F695&lt;&gt;"", XLOOKUP($F695,Productos!$A$2:$A1001,Productos!AO$2:AO1001,"")*$G695,"")</f>
        <v/>
      </c>
      <c r="AW695" s="179" t="str">
        <f t="array" ref="AW695">IF($F695&lt;&gt;"",XLOOKUP($F695,Productos!$A:$A,Productos!AP:AP,"Revisar"),"")</f>
        <v/>
      </c>
      <c r="AX695" s="179" t="str">
        <f t="array" ref="AX695">IF($F695&lt;&gt;"", XLOOKUP($F695,Productos!$A$2:$A1001,Productos!AQ$2:AQ1001,"")*$G695,"")</f>
        <v/>
      </c>
      <c r="AY695" s="179" t="str">
        <f t="array" ref="AY695">IF($F695&lt;&gt;"",XLOOKUP($F695,Productos!$A:$A,Productos!AR:AR,"Revisar"),"")</f>
        <v/>
      </c>
      <c r="AZ695" s="179" t="str">
        <f t="array" ref="AZ695">IF($F695&lt;&gt;"", XLOOKUP($F695,Productos!$A$2:$A1001,Productos!AS$2:AS1001,"")*$G695,"")</f>
        <v/>
      </c>
      <c r="BA695" s="179" t="str">
        <f t="array" ref="BA695">IF($F695&lt;&gt;"",XLOOKUP($F695,Productos!$A:$A,Productos!AT:AT,"Revisar"),"")</f>
        <v/>
      </c>
      <c r="BB695" s="179" t="str">
        <f t="array" ref="BB695">IF($F695&lt;&gt;"", XLOOKUP($F695,Productos!$A$2:$A1001,Productos!AU$2:AU1001,"")*$G695,"")</f>
        <v/>
      </c>
      <c r="BC695" s="179" t="str">
        <f t="array" ref="BC695">IF($F695&lt;&gt;"",XLOOKUP($F695,Productos!$A:$A,Productos!AV:AV,"Revisar"),"")</f>
        <v/>
      </c>
      <c r="BD695" s="179" t="str">
        <f t="array" ref="BD695">IF($F695&lt;&gt;"", XLOOKUP($F695,Productos!$A$2:$A1001,Productos!AW$2:AW1001,"")*$G695,"")</f>
        <v/>
      </c>
      <c r="BE695" s="179" t="str">
        <f t="array" ref="BE695">IF($F695&lt;&gt;"",XLOOKUP($F695,Productos!$A:$A,Productos!AX:AX,"Revisar"),"")</f>
        <v/>
      </c>
      <c r="BF695" s="179" t="str">
        <f t="array" ref="BF695">IF($F695&lt;&gt;"", XLOOKUP($F695,Productos!$A$2:$A1001,Productos!AY$2:AY1001,"")*$G695,"")</f>
        <v/>
      </c>
      <c r="BG695" s="179" t="str">
        <f t="array" ref="BG695">IF($F695&lt;&gt;"",XLOOKUP($F695,Productos!$A:$A,Productos!AZ:AZ,"Revisar"),"")</f>
        <v/>
      </c>
      <c r="BH695" s="179" t="str">
        <f t="array" ref="BH695">IF($F695&lt;&gt;"", XLOOKUP($F695,Productos!$A$2:$A1001,Productos!BA$2:BA1001,"")*$G695,"")</f>
        <v/>
      </c>
      <c r="BI695" s="179" t="str">
        <f t="array" ref="BI695">IF($F695&lt;&gt;"",XLOOKUP($F695,Productos!$A:$A,Productos!BB:BB,"Revisar"),"")</f>
        <v/>
      </c>
      <c r="BJ695" s="179" t="str">
        <f t="array" ref="BJ695">IF($F695&lt;&gt;"", XLOOKUP($F695,Productos!$A$2:$A1001,Productos!BC$2:BC1001,"")*$G695,"")</f>
        <v/>
      </c>
      <c r="BK695" s="179" t="str">
        <f t="array" ref="BK695">IF($F695&lt;&gt;"",XLOOKUP($F695,Productos!$A:$A,Productos!BD:BD,"Revisar"),"")</f>
        <v/>
      </c>
      <c r="BL695" s="179" t="str">
        <f t="array" ref="BL695">IF($F695&lt;&gt;"", XLOOKUP($F695,Productos!$A$2:$A1001,Productos!BE$2:BE1001,"")*$G695,"")</f>
        <v/>
      </c>
      <c r="BM695" s="179" t="str">
        <f t="array" ref="BM695">IF($F695&lt;&gt;"",XLOOKUP($F695,Productos!$A:$A,Productos!BF:BF,"Revisar"),"")</f>
        <v/>
      </c>
      <c r="BN695" s="179" t="str">
        <f t="array" ref="BN695">IF($F695&lt;&gt;"", XLOOKUP($F695,Productos!$A$2:$A1001,Productos!BG$2:BG1001,"")*$G695,"")</f>
        <v/>
      </c>
      <c r="BO695" s="179" t="str">
        <f t="array" ref="BO695">IF($F695&lt;&gt;"",XLOOKUP($F695,Productos!$A:$A,Productos!BH:BH,"Revisar"),"")</f>
        <v/>
      </c>
      <c r="BP695" s="179" t="str">
        <f t="array" ref="BP695">IF($F695&lt;&gt;"", XLOOKUP($F695,Productos!$A$2:$A1001,Productos!BI$2:BI1001,"")*$G695,"")</f>
        <v/>
      </c>
      <c r="BQ695" s="179" t="str">
        <f t="array" ref="BQ695">IF($F695&lt;&gt;"",XLOOKUP($F695,Productos!$A:$A,Productos!BJ:BJ,"Revisar"),"")</f>
        <v/>
      </c>
      <c r="BR695" s="179" t="str">
        <f t="array" ref="BR695">IF($F695&lt;&gt;"", XLOOKUP($F695,Productos!$A$2:$A1001,Productos!BK$2:BK1001,"")*$G695,"")</f>
        <v/>
      </c>
      <c r="BS695" s="179" t="str">
        <f t="array" ref="BS695">IF($F695&lt;&gt;"",XLOOKUP($F695,Productos!$A:$A,Productos!BL:BL,"Revisar"),"")</f>
        <v/>
      </c>
      <c r="BT695" s="179" t="str">
        <f t="array" ref="BT695">IF($F695&lt;&gt;"", XLOOKUP($F695,Productos!$A$2:$A1001,Productos!BM$2:BM1001,"")*$G695,"")</f>
        <v/>
      </c>
      <c r="BU695" s="179" t="str">
        <f t="array" ref="BU695">IF($F695&lt;&gt;"",XLOOKUP($F695,Productos!$A:$A,Productos!BN:BN,"Revisar"),"")</f>
        <v/>
      </c>
      <c r="BV695" s="179" t="str">
        <f t="array" ref="BV695">IF($F695&lt;&gt;"", XLOOKUP($F695,Productos!$A$2:$A1001,Productos!BO$2:BO1001,"")*$G695,"")</f>
        <v/>
      </c>
      <c r="BW695" s="179" t="str">
        <f t="array" ref="BW695">IF($F695&lt;&gt;"",XLOOKUP($F695,Productos!$A:$A,Productos!BP:BP,"Revisar"),"")</f>
        <v/>
      </c>
      <c r="BX695" s="179" t="str">
        <f t="array" ref="BX695">IF($F695&lt;&gt;"", XLOOKUP($F695,Productos!$A$2:$A1001,Productos!BQ$2:BQ1001,"")*$G695,"")</f>
        <v/>
      </c>
      <c r="BY695" s="179" t="str">
        <f t="array" ref="BY695">IF($F695&lt;&gt;"",XLOOKUP($F695,Productos!$A:$A,Productos!BR:BR,"Revisar"),"")</f>
        <v/>
      </c>
      <c r="BZ695" s="179" t="str">
        <f t="array" ref="BZ695">IF($F695&lt;&gt;"", XLOOKUP($F695,Productos!$A$2:$A1001,Productos!BS$2:BS1001,"")*$G695,"")</f>
        <v/>
      </c>
    </row>
    <row r="696">
      <c r="A696" s="188"/>
      <c r="B696" s="189"/>
      <c r="C696" s="190"/>
      <c r="D696" s="190"/>
      <c r="E696" s="191"/>
      <c r="F696" s="186"/>
      <c r="G696" s="192"/>
      <c r="H696" s="9"/>
      <c r="I696" s="179" t="str">
        <f t="array" ref="I696">IF($F696&lt;&gt;"",XLOOKUP($F696,Productos!$A:$A,Productos!B:B,"Revisar"),"")</f>
        <v/>
      </c>
      <c r="J696" s="179" t="str">
        <f t="array" ref="J696">IF($F696&lt;&gt;"", XLOOKUP($F696,Productos!$A$2:$A1001,Productos!C$2:C1001,"")*$G696,"")</f>
        <v/>
      </c>
      <c r="K696" s="179" t="str">
        <f t="array" ref="K696">IF($F696&lt;&gt;"",XLOOKUP($F696,Productos!$A:$A,Productos!D:D,"Revisar"),"")</f>
        <v/>
      </c>
      <c r="L696" s="179" t="str">
        <f t="array" ref="L696">IF($F696&lt;&gt;"", XLOOKUP($F696,Productos!$A$2:$A1001,Productos!E$2:E1001,"")*$G696,"")</f>
        <v/>
      </c>
      <c r="M696" s="179" t="str">
        <f t="array" ref="M696">IF($F696&lt;&gt;"",XLOOKUP($F696,Productos!$A:$A,Productos!F:F,"Revisar"),"")</f>
        <v/>
      </c>
      <c r="N696" s="179" t="str">
        <f t="array" ref="N696">IF($F696&lt;&gt;"", XLOOKUP($F696,Productos!$A$2:$A1001,Productos!G$2:G1001,"")*$G696,"")</f>
        <v/>
      </c>
      <c r="O696" s="179" t="str">
        <f t="array" ref="O696">IF($F696&lt;&gt;"",XLOOKUP($F696,Productos!$A:$A,Productos!H:H,"Revisar"),"")</f>
        <v/>
      </c>
      <c r="P696" s="179" t="str">
        <f t="array" ref="P696">IF($F696&lt;&gt;"", XLOOKUP($F696,Productos!$A$2:$A1001,Productos!I$2:I1001,"")*$G696,"")</f>
        <v/>
      </c>
      <c r="Q696" s="179" t="str">
        <f t="array" ref="Q696">IF($F696&lt;&gt;"",XLOOKUP($F696,Productos!$A:$A,Productos!J:J,"Revisar"),"")</f>
        <v/>
      </c>
      <c r="R696" s="179" t="str">
        <f t="array" ref="R696">IF($F696&lt;&gt;"", XLOOKUP($F696,Productos!$A$2:$A1001,Productos!K$2:K1001,"")*$G696,"")</f>
        <v/>
      </c>
      <c r="S696" s="179" t="str">
        <f t="array" ref="S696">IF($F696&lt;&gt;"",XLOOKUP($F696,Productos!$A:$A,Productos!L:L,"Revisar"),"")</f>
        <v/>
      </c>
      <c r="T696" s="179" t="str">
        <f t="array" ref="T696">IF($F696&lt;&gt;"", XLOOKUP($F696,Productos!$A$2:$A1001,Productos!M$2:M1001,"")*$G696,"")</f>
        <v/>
      </c>
      <c r="U696" s="179" t="str">
        <f t="array" ref="U696">IF($F696&lt;&gt;"",XLOOKUP($F696,Productos!$A:$A,Productos!N:N,"Revisar"),"")</f>
        <v/>
      </c>
      <c r="V696" s="179" t="str">
        <f t="array" ref="V696">IF($F696&lt;&gt;"", XLOOKUP($F696,Productos!$A$2:$A1001,Productos!O$2:O1001,"")*$G696,"")</f>
        <v/>
      </c>
      <c r="W696" s="179" t="str">
        <f t="array" ref="W696">IF($F696&lt;&gt;"",XLOOKUP($F696,Productos!$A:$A,Productos!P:P,"Revisar"),"")</f>
        <v/>
      </c>
      <c r="X696" s="179" t="str">
        <f t="array" ref="X696">IF($F696&lt;&gt;"", XLOOKUP($F696,Productos!$A$2:$A1001,Productos!Q$2:Q1001,"")*$G696,"")</f>
        <v/>
      </c>
      <c r="Y696" s="179" t="str">
        <f t="array" ref="Y696">IF($F696&lt;&gt;"",XLOOKUP($F696,Productos!$A:$A,Productos!R:R,"Revisar"),"")</f>
        <v/>
      </c>
      <c r="Z696" s="179" t="str">
        <f t="array" ref="Z696">IF($F696&lt;&gt;"", XLOOKUP($F696,Productos!$A$2:$A1001,Productos!S$2:S1001,"")*$G696,"")</f>
        <v/>
      </c>
      <c r="AA696" s="179" t="str">
        <f t="array" ref="AA696">IF($F696&lt;&gt;"",XLOOKUP($F696,Productos!$A:$A,Productos!T:T,"Revisar"),"")</f>
        <v/>
      </c>
      <c r="AB696" s="179" t="str">
        <f t="array" ref="AB696">IF($F696&lt;&gt;"", XLOOKUP($F696,Productos!$A$2:$A1001,Productos!U$2:U1001,"")*$G696,"")</f>
        <v/>
      </c>
      <c r="AC696" s="179" t="str">
        <f t="array" ref="AC696">IF($F696&lt;&gt;"",XLOOKUP($F696,Productos!$A:$A,Productos!V:V,"Revisar"),"")</f>
        <v/>
      </c>
      <c r="AD696" s="179" t="str">
        <f t="array" ref="AD696">IF($F696&lt;&gt;"", XLOOKUP($F696,Productos!$A$2:$A1001,Productos!W$2:W1001,"")*$G696,"")</f>
        <v/>
      </c>
      <c r="AE696" s="179" t="str">
        <f t="array" ref="AE696">IF($F696&lt;&gt;"",XLOOKUP($F696,Productos!$A:$A,Productos!X:X,"Revisar"),"")</f>
        <v/>
      </c>
      <c r="AF696" s="179" t="str">
        <f t="array" ref="AF696">IF($F696&lt;&gt;"", XLOOKUP($F696,Productos!$A$2:$A1001,Productos!Y$2:Y1001,"")*$G696,"")</f>
        <v/>
      </c>
      <c r="AG696" s="179" t="str">
        <f t="array" ref="AG696">IF($F696&lt;&gt;"",XLOOKUP($F696,Productos!$A:$A,Productos!Z:Z,"Revisar"),"")</f>
        <v/>
      </c>
      <c r="AH696" s="179" t="str">
        <f t="array" ref="AH696">IF($F696&lt;&gt;"", XLOOKUP($F696,Productos!$A$2:$A1001,Productos!AA$2:AA1001,"")*$G696,"")</f>
        <v/>
      </c>
      <c r="AI696" s="179" t="str">
        <f t="array" ref="AI696">IF($F696&lt;&gt;"",XLOOKUP($F696,Productos!$A:$A,Productos!AB:AB,"Revisar"),"")</f>
        <v/>
      </c>
      <c r="AJ696" s="179" t="str">
        <f t="array" ref="AJ696">IF($F696&lt;&gt;"", XLOOKUP($F696,Productos!$A$2:$A1001,Productos!AC$2:AC1001,"")*$G696,"")</f>
        <v/>
      </c>
      <c r="AK696" s="179" t="str">
        <f t="array" ref="AK696">IF($F696&lt;&gt;"",XLOOKUP($F696,Productos!$A:$A,Productos!AD:AD,"Revisar"),"")</f>
        <v/>
      </c>
      <c r="AL696" s="179" t="str">
        <f t="array" ref="AL696">IF($F696&lt;&gt;"", XLOOKUP($F696,Productos!$A$2:$A1001,Productos!AE$2:AE1001,"")*$G696,"")</f>
        <v/>
      </c>
      <c r="AM696" s="179" t="str">
        <f t="array" ref="AM696">IF($F696&lt;&gt;"",XLOOKUP($F696,Productos!$A:$A,Productos!AF:AF,"Revisar"),"")</f>
        <v/>
      </c>
      <c r="AN696" s="179" t="str">
        <f t="array" ref="AN696">IF($F696&lt;&gt;"", XLOOKUP($F696,Productos!$A$2:$A1001,Productos!AG$2:AG1001,"")*$G696,"")</f>
        <v/>
      </c>
      <c r="AO696" s="179" t="str">
        <f t="array" ref="AO696">IF($F696&lt;&gt;"",XLOOKUP($F696,Productos!$A:$A,Productos!AH:AH,"Revisar"),"")</f>
        <v/>
      </c>
      <c r="AP696" s="179" t="str">
        <f t="array" ref="AP696">IF($F696&lt;&gt;"", XLOOKUP($F696,Productos!$A$2:$A1001,Productos!AI$2:AI1001,"")*$G696,"")</f>
        <v/>
      </c>
      <c r="AQ696" s="179" t="str">
        <f t="array" ref="AQ696">IF($F696&lt;&gt;"",XLOOKUP($F696,Productos!$A:$A,Productos!AJ:AJ,"Revisar"),"")</f>
        <v/>
      </c>
      <c r="AR696" s="179" t="str">
        <f t="array" ref="AR696">IF($F696&lt;&gt;"", XLOOKUP($F696,Productos!$A$2:$A1001,Productos!AK$2:AK1001,"")*$G696,"")</f>
        <v/>
      </c>
      <c r="AS696" s="179" t="str">
        <f t="array" ref="AS696">IF($F696&lt;&gt;"",XLOOKUP($F696,Productos!$A:$A,Productos!AL:AL,"Revisar"),"")</f>
        <v/>
      </c>
      <c r="AT696" s="179" t="str">
        <f t="array" ref="AT696">IF($F696&lt;&gt;"", XLOOKUP($F696,Productos!$A$2:$A1001,Productos!AM$2:AM1001,"")*$G696,"")</f>
        <v/>
      </c>
      <c r="AU696" s="179" t="str">
        <f t="array" ref="AU696">IF($F696&lt;&gt;"",XLOOKUP($F696,Productos!$A:$A,Productos!AN:AN,"Revisar"),"")</f>
        <v/>
      </c>
      <c r="AV696" s="179" t="str">
        <f t="array" ref="AV696">IF($F696&lt;&gt;"", XLOOKUP($F696,Productos!$A$2:$A1001,Productos!AO$2:AO1001,"")*$G696,"")</f>
        <v/>
      </c>
      <c r="AW696" s="179" t="str">
        <f t="array" ref="AW696">IF($F696&lt;&gt;"",XLOOKUP($F696,Productos!$A:$A,Productos!AP:AP,"Revisar"),"")</f>
        <v/>
      </c>
      <c r="AX696" s="179" t="str">
        <f t="array" ref="AX696">IF($F696&lt;&gt;"", XLOOKUP($F696,Productos!$A$2:$A1001,Productos!AQ$2:AQ1001,"")*$G696,"")</f>
        <v/>
      </c>
      <c r="AY696" s="179" t="str">
        <f t="array" ref="AY696">IF($F696&lt;&gt;"",XLOOKUP($F696,Productos!$A:$A,Productos!AR:AR,"Revisar"),"")</f>
        <v/>
      </c>
      <c r="AZ696" s="179" t="str">
        <f t="array" ref="AZ696">IF($F696&lt;&gt;"", XLOOKUP($F696,Productos!$A$2:$A1001,Productos!AS$2:AS1001,"")*$G696,"")</f>
        <v/>
      </c>
      <c r="BA696" s="179" t="str">
        <f t="array" ref="BA696">IF($F696&lt;&gt;"",XLOOKUP($F696,Productos!$A:$A,Productos!AT:AT,"Revisar"),"")</f>
        <v/>
      </c>
      <c r="BB696" s="179" t="str">
        <f t="array" ref="BB696">IF($F696&lt;&gt;"", XLOOKUP($F696,Productos!$A$2:$A1001,Productos!AU$2:AU1001,"")*$G696,"")</f>
        <v/>
      </c>
      <c r="BC696" s="179" t="str">
        <f t="array" ref="BC696">IF($F696&lt;&gt;"",XLOOKUP($F696,Productos!$A:$A,Productos!AV:AV,"Revisar"),"")</f>
        <v/>
      </c>
      <c r="BD696" s="179" t="str">
        <f t="array" ref="BD696">IF($F696&lt;&gt;"", XLOOKUP($F696,Productos!$A$2:$A1001,Productos!AW$2:AW1001,"")*$G696,"")</f>
        <v/>
      </c>
      <c r="BE696" s="179" t="str">
        <f t="array" ref="BE696">IF($F696&lt;&gt;"",XLOOKUP($F696,Productos!$A:$A,Productos!AX:AX,"Revisar"),"")</f>
        <v/>
      </c>
      <c r="BF696" s="179" t="str">
        <f t="array" ref="BF696">IF($F696&lt;&gt;"", XLOOKUP($F696,Productos!$A$2:$A1001,Productos!AY$2:AY1001,"")*$G696,"")</f>
        <v/>
      </c>
      <c r="BG696" s="179" t="str">
        <f t="array" ref="BG696">IF($F696&lt;&gt;"",XLOOKUP($F696,Productos!$A:$A,Productos!AZ:AZ,"Revisar"),"")</f>
        <v/>
      </c>
      <c r="BH696" s="179" t="str">
        <f t="array" ref="BH696">IF($F696&lt;&gt;"", XLOOKUP($F696,Productos!$A$2:$A1001,Productos!BA$2:BA1001,"")*$G696,"")</f>
        <v/>
      </c>
      <c r="BI696" s="179" t="str">
        <f t="array" ref="BI696">IF($F696&lt;&gt;"",XLOOKUP($F696,Productos!$A:$A,Productos!BB:BB,"Revisar"),"")</f>
        <v/>
      </c>
      <c r="BJ696" s="179" t="str">
        <f t="array" ref="BJ696">IF($F696&lt;&gt;"", XLOOKUP($F696,Productos!$A$2:$A1001,Productos!BC$2:BC1001,"")*$G696,"")</f>
        <v/>
      </c>
      <c r="BK696" s="179" t="str">
        <f t="array" ref="BK696">IF($F696&lt;&gt;"",XLOOKUP($F696,Productos!$A:$A,Productos!BD:BD,"Revisar"),"")</f>
        <v/>
      </c>
      <c r="BL696" s="179" t="str">
        <f t="array" ref="BL696">IF($F696&lt;&gt;"", XLOOKUP($F696,Productos!$A$2:$A1001,Productos!BE$2:BE1001,"")*$G696,"")</f>
        <v/>
      </c>
      <c r="BM696" s="179" t="str">
        <f t="array" ref="BM696">IF($F696&lt;&gt;"",XLOOKUP($F696,Productos!$A:$A,Productos!BF:BF,"Revisar"),"")</f>
        <v/>
      </c>
      <c r="BN696" s="179" t="str">
        <f t="array" ref="BN696">IF($F696&lt;&gt;"", XLOOKUP($F696,Productos!$A$2:$A1001,Productos!BG$2:BG1001,"")*$G696,"")</f>
        <v/>
      </c>
      <c r="BO696" s="179" t="str">
        <f t="array" ref="BO696">IF($F696&lt;&gt;"",XLOOKUP($F696,Productos!$A:$A,Productos!BH:BH,"Revisar"),"")</f>
        <v/>
      </c>
      <c r="BP696" s="179" t="str">
        <f t="array" ref="BP696">IF($F696&lt;&gt;"", XLOOKUP($F696,Productos!$A$2:$A1001,Productos!BI$2:BI1001,"")*$G696,"")</f>
        <v/>
      </c>
      <c r="BQ696" s="179" t="str">
        <f t="array" ref="BQ696">IF($F696&lt;&gt;"",XLOOKUP($F696,Productos!$A:$A,Productos!BJ:BJ,"Revisar"),"")</f>
        <v/>
      </c>
      <c r="BR696" s="179" t="str">
        <f t="array" ref="BR696">IF($F696&lt;&gt;"", XLOOKUP($F696,Productos!$A$2:$A1001,Productos!BK$2:BK1001,"")*$G696,"")</f>
        <v/>
      </c>
      <c r="BS696" s="179" t="str">
        <f t="array" ref="BS696">IF($F696&lt;&gt;"",XLOOKUP($F696,Productos!$A:$A,Productos!BL:BL,"Revisar"),"")</f>
        <v/>
      </c>
      <c r="BT696" s="179" t="str">
        <f t="array" ref="BT696">IF($F696&lt;&gt;"", XLOOKUP($F696,Productos!$A$2:$A1001,Productos!BM$2:BM1001,"")*$G696,"")</f>
        <v/>
      </c>
      <c r="BU696" s="179" t="str">
        <f t="array" ref="BU696">IF($F696&lt;&gt;"",XLOOKUP($F696,Productos!$A:$A,Productos!BN:BN,"Revisar"),"")</f>
        <v/>
      </c>
      <c r="BV696" s="179" t="str">
        <f t="array" ref="BV696">IF($F696&lt;&gt;"", XLOOKUP($F696,Productos!$A$2:$A1001,Productos!BO$2:BO1001,"")*$G696,"")</f>
        <v/>
      </c>
      <c r="BW696" s="179" t="str">
        <f t="array" ref="BW696">IF($F696&lt;&gt;"",XLOOKUP($F696,Productos!$A:$A,Productos!BP:BP,"Revisar"),"")</f>
        <v/>
      </c>
      <c r="BX696" s="179" t="str">
        <f t="array" ref="BX696">IF($F696&lt;&gt;"", XLOOKUP($F696,Productos!$A$2:$A1001,Productos!BQ$2:BQ1001,"")*$G696,"")</f>
        <v/>
      </c>
      <c r="BY696" s="179" t="str">
        <f t="array" ref="BY696">IF($F696&lt;&gt;"",XLOOKUP($F696,Productos!$A:$A,Productos!BR:BR,"Revisar"),"")</f>
        <v/>
      </c>
      <c r="BZ696" s="179" t="str">
        <f t="array" ref="BZ696">IF($F696&lt;&gt;"", XLOOKUP($F696,Productos!$A$2:$A1001,Productos!BS$2:BS1001,"")*$G696,"")</f>
        <v/>
      </c>
    </row>
    <row r="697">
      <c r="A697" s="188"/>
      <c r="B697" s="189"/>
      <c r="C697" s="190"/>
      <c r="D697" s="190"/>
      <c r="E697" s="191"/>
      <c r="F697" s="186"/>
      <c r="G697" s="192"/>
      <c r="H697" s="9"/>
      <c r="I697" s="179" t="str">
        <f t="array" ref="I697">IF($F697&lt;&gt;"",XLOOKUP($F697,Productos!$A:$A,Productos!B:B,"Revisar"),"")</f>
        <v/>
      </c>
      <c r="J697" s="179" t="str">
        <f t="array" ref="J697">IF($F697&lt;&gt;"", XLOOKUP($F697,Productos!$A$2:$A1001,Productos!C$2:C1001,"")*$G697,"")</f>
        <v/>
      </c>
      <c r="K697" s="179" t="str">
        <f t="array" ref="K697">IF($F697&lt;&gt;"",XLOOKUP($F697,Productos!$A:$A,Productos!D:D,"Revisar"),"")</f>
        <v/>
      </c>
      <c r="L697" s="179" t="str">
        <f t="array" ref="L697">IF($F697&lt;&gt;"", XLOOKUP($F697,Productos!$A$2:$A1001,Productos!E$2:E1001,"")*$G697,"")</f>
        <v/>
      </c>
      <c r="M697" s="179" t="str">
        <f t="array" ref="M697">IF($F697&lt;&gt;"",XLOOKUP($F697,Productos!$A:$A,Productos!F:F,"Revisar"),"")</f>
        <v/>
      </c>
      <c r="N697" s="179" t="str">
        <f t="array" ref="N697">IF($F697&lt;&gt;"", XLOOKUP($F697,Productos!$A$2:$A1001,Productos!G$2:G1001,"")*$G697,"")</f>
        <v/>
      </c>
      <c r="O697" s="179" t="str">
        <f t="array" ref="O697">IF($F697&lt;&gt;"",XLOOKUP($F697,Productos!$A:$A,Productos!H:H,"Revisar"),"")</f>
        <v/>
      </c>
      <c r="P697" s="179" t="str">
        <f t="array" ref="P697">IF($F697&lt;&gt;"", XLOOKUP($F697,Productos!$A$2:$A1001,Productos!I$2:I1001,"")*$G697,"")</f>
        <v/>
      </c>
      <c r="Q697" s="179" t="str">
        <f t="array" ref="Q697">IF($F697&lt;&gt;"",XLOOKUP($F697,Productos!$A:$A,Productos!J:J,"Revisar"),"")</f>
        <v/>
      </c>
      <c r="R697" s="179" t="str">
        <f t="array" ref="R697">IF($F697&lt;&gt;"", XLOOKUP($F697,Productos!$A$2:$A1001,Productos!K$2:K1001,"")*$G697,"")</f>
        <v/>
      </c>
      <c r="S697" s="179" t="str">
        <f t="array" ref="S697">IF($F697&lt;&gt;"",XLOOKUP($F697,Productos!$A:$A,Productos!L:L,"Revisar"),"")</f>
        <v/>
      </c>
      <c r="T697" s="179" t="str">
        <f t="array" ref="T697">IF($F697&lt;&gt;"", XLOOKUP($F697,Productos!$A$2:$A1001,Productos!M$2:M1001,"")*$G697,"")</f>
        <v/>
      </c>
      <c r="U697" s="179" t="str">
        <f t="array" ref="U697">IF($F697&lt;&gt;"",XLOOKUP($F697,Productos!$A:$A,Productos!N:N,"Revisar"),"")</f>
        <v/>
      </c>
      <c r="V697" s="179" t="str">
        <f t="array" ref="V697">IF($F697&lt;&gt;"", XLOOKUP($F697,Productos!$A$2:$A1001,Productos!O$2:O1001,"")*$G697,"")</f>
        <v/>
      </c>
      <c r="W697" s="179" t="str">
        <f t="array" ref="W697">IF($F697&lt;&gt;"",XLOOKUP($F697,Productos!$A:$A,Productos!P:P,"Revisar"),"")</f>
        <v/>
      </c>
      <c r="X697" s="179" t="str">
        <f t="array" ref="X697">IF($F697&lt;&gt;"", XLOOKUP($F697,Productos!$A$2:$A1001,Productos!Q$2:Q1001,"")*$G697,"")</f>
        <v/>
      </c>
      <c r="Y697" s="179" t="str">
        <f t="array" ref="Y697">IF($F697&lt;&gt;"",XLOOKUP($F697,Productos!$A:$A,Productos!R:R,"Revisar"),"")</f>
        <v/>
      </c>
      <c r="Z697" s="179" t="str">
        <f t="array" ref="Z697">IF($F697&lt;&gt;"", XLOOKUP($F697,Productos!$A$2:$A1001,Productos!S$2:S1001,"")*$G697,"")</f>
        <v/>
      </c>
      <c r="AA697" s="179" t="str">
        <f t="array" ref="AA697">IF($F697&lt;&gt;"",XLOOKUP($F697,Productos!$A:$A,Productos!T:T,"Revisar"),"")</f>
        <v/>
      </c>
      <c r="AB697" s="179" t="str">
        <f t="array" ref="AB697">IF($F697&lt;&gt;"", XLOOKUP($F697,Productos!$A$2:$A1001,Productos!U$2:U1001,"")*$G697,"")</f>
        <v/>
      </c>
      <c r="AC697" s="179" t="str">
        <f t="array" ref="AC697">IF($F697&lt;&gt;"",XLOOKUP($F697,Productos!$A:$A,Productos!V:V,"Revisar"),"")</f>
        <v/>
      </c>
      <c r="AD697" s="179" t="str">
        <f t="array" ref="AD697">IF($F697&lt;&gt;"", XLOOKUP($F697,Productos!$A$2:$A1001,Productos!W$2:W1001,"")*$G697,"")</f>
        <v/>
      </c>
      <c r="AE697" s="179" t="str">
        <f t="array" ref="AE697">IF($F697&lt;&gt;"",XLOOKUP($F697,Productos!$A:$A,Productos!X:X,"Revisar"),"")</f>
        <v/>
      </c>
      <c r="AF697" s="179" t="str">
        <f t="array" ref="AF697">IF($F697&lt;&gt;"", XLOOKUP($F697,Productos!$A$2:$A1001,Productos!Y$2:Y1001,"")*$G697,"")</f>
        <v/>
      </c>
      <c r="AG697" s="179" t="str">
        <f t="array" ref="AG697">IF($F697&lt;&gt;"",XLOOKUP($F697,Productos!$A:$A,Productos!Z:Z,"Revisar"),"")</f>
        <v/>
      </c>
      <c r="AH697" s="179" t="str">
        <f t="array" ref="AH697">IF($F697&lt;&gt;"", XLOOKUP($F697,Productos!$A$2:$A1001,Productos!AA$2:AA1001,"")*$G697,"")</f>
        <v/>
      </c>
      <c r="AI697" s="179" t="str">
        <f t="array" ref="AI697">IF($F697&lt;&gt;"",XLOOKUP($F697,Productos!$A:$A,Productos!AB:AB,"Revisar"),"")</f>
        <v/>
      </c>
      <c r="AJ697" s="179" t="str">
        <f t="array" ref="AJ697">IF($F697&lt;&gt;"", XLOOKUP($F697,Productos!$A$2:$A1001,Productos!AC$2:AC1001,"")*$G697,"")</f>
        <v/>
      </c>
      <c r="AK697" s="179" t="str">
        <f t="array" ref="AK697">IF($F697&lt;&gt;"",XLOOKUP($F697,Productos!$A:$A,Productos!AD:AD,"Revisar"),"")</f>
        <v/>
      </c>
      <c r="AL697" s="179" t="str">
        <f t="array" ref="AL697">IF($F697&lt;&gt;"", XLOOKUP($F697,Productos!$A$2:$A1001,Productos!AE$2:AE1001,"")*$G697,"")</f>
        <v/>
      </c>
      <c r="AM697" s="179" t="str">
        <f t="array" ref="AM697">IF($F697&lt;&gt;"",XLOOKUP($F697,Productos!$A:$A,Productos!AF:AF,"Revisar"),"")</f>
        <v/>
      </c>
      <c r="AN697" s="179" t="str">
        <f t="array" ref="AN697">IF($F697&lt;&gt;"", XLOOKUP($F697,Productos!$A$2:$A1001,Productos!AG$2:AG1001,"")*$G697,"")</f>
        <v/>
      </c>
      <c r="AO697" s="179" t="str">
        <f t="array" ref="AO697">IF($F697&lt;&gt;"",XLOOKUP($F697,Productos!$A:$A,Productos!AH:AH,"Revisar"),"")</f>
        <v/>
      </c>
      <c r="AP697" s="179" t="str">
        <f t="array" ref="AP697">IF($F697&lt;&gt;"", XLOOKUP($F697,Productos!$A$2:$A1001,Productos!AI$2:AI1001,"")*$G697,"")</f>
        <v/>
      </c>
      <c r="AQ697" s="179" t="str">
        <f t="array" ref="AQ697">IF($F697&lt;&gt;"",XLOOKUP($F697,Productos!$A:$A,Productos!AJ:AJ,"Revisar"),"")</f>
        <v/>
      </c>
      <c r="AR697" s="179" t="str">
        <f t="array" ref="AR697">IF($F697&lt;&gt;"", XLOOKUP($F697,Productos!$A$2:$A1001,Productos!AK$2:AK1001,"")*$G697,"")</f>
        <v/>
      </c>
      <c r="AS697" s="179" t="str">
        <f t="array" ref="AS697">IF($F697&lt;&gt;"",XLOOKUP($F697,Productos!$A:$A,Productos!AL:AL,"Revisar"),"")</f>
        <v/>
      </c>
      <c r="AT697" s="179" t="str">
        <f t="array" ref="AT697">IF($F697&lt;&gt;"", XLOOKUP($F697,Productos!$A$2:$A1001,Productos!AM$2:AM1001,"")*$G697,"")</f>
        <v/>
      </c>
      <c r="AU697" s="179" t="str">
        <f t="array" ref="AU697">IF($F697&lt;&gt;"",XLOOKUP($F697,Productos!$A:$A,Productos!AN:AN,"Revisar"),"")</f>
        <v/>
      </c>
      <c r="AV697" s="179" t="str">
        <f t="array" ref="AV697">IF($F697&lt;&gt;"", XLOOKUP($F697,Productos!$A$2:$A1001,Productos!AO$2:AO1001,"")*$G697,"")</f>
        <v/>
      </c>
      <c r="AW697" s="179" t="str">
        <f t="array" ref="AW697">IF($F697&lt;&gt;"",XLOOKUP($F697,Productos!$A:$A,Productos!AP:AP,"Revisar"),"")</f>
        <v/>
      </c>
      <c r="AX697" s="179" t="str">
        <f t="array" ref="AX697">IF($F697&lt;&gt;"", XLOOKUP($F697,Productos!$A$2:$A1001,Productos!AQ$2:AQ1001,"")*$G697,"")</f>
        <v/>
      </c>
      <c r="AY697" s="179" t="str">
        <f t="array" ref="AY697">IF($F697&lt;&gt;"",XLOOKUP($F697,Productos!$A:$A,Productos!AR:AR,"Revisar"),"")</f>
        <v/>
      </c>
      <c r="AZ697" s="179" t="str">
        <f t="array" ref="AZ697">IF($F697&lt;&gt;"", XLOOKUP($F697,Productos!$A$2:$A1001,Productos!AS$2:AS1001,"")*$G697,"")</f>
        <v/>
      </c>
      <c r="BA697" s="179" t="str">
        <f t="array" ref="BA697">IF($F697&lt;&gt;"",XLOOKUP($F697,Productos!$A:$A,Productos!AT:AT,"Revisar"),"")</f>
        <v/>
      </c>
      <c r="BB697" s="179" t="str">
        <f t="array" ref="BB697">IF($F697&lt;&gt;"", XLOOKUP($F697,Productos!$A$2:$A1001,Productos!AU$2:AU1001,"")*$G697,"")</f>
        <v/>
      </c>
      <c r="BC697" s="179" t="str">
        <f t="array" ref="BC697">IF($F697&lt;&gt;"",XLOOKUP($F697,Productos!$A:$A,Productos!AV:AV,"Revisar"),"")</f>
        <v/>
      </c>
      <c r="BD697" s="179" t="str">
        <f t="array" ref="BD697">IF($F697&lt;&gt;"", XLOOKUP($F697,Productos!$A$2:$A1001,Productos!AW$2:AW1001,"")*$G697,"")</f>
        <v/>
      </c>
      <c r="BE697" s="179" t="str">
        <f t="array" ref="BE697">IF($F697&lt;&gt;"",XLOOKUP($F697,Productos!$A:$A,Productos!AX:AX,"Revisar"),"")</f>
        <v/>
      </c>
      <c r="BF697" s="179" t="str">
        <f t="array" ref="BF697">IF($F697&lt;&gt;"", XLOOKUP($F697,Productos!$A$2:$A1001,Productos!AY$2:AY1001,"")*$G697,"")</f>
        <v/>
      </c>
      <c r="BG697" s="179" t="str">
        <f t="array" ref="BG697">IF($F697&lt;&gt;"",XLOOKUP($F697,Productos!$A:$A,Productos!AZ:AZ,"Revisar"),"")</f>
        <v/>
      </c>
      <c r="BH697" s="179" t="str">
        <f t="array" ref="BH697">IF($F697&lt;&gt;"", XLOOKUP($F697,Productos!$A$2:$A1001,Productos!BA$2:BA1001,"")*$G697,"")</f>
        <v/>
      </c>
      <c r="BI697" s="179" t="str">
        <f t="array" ref="BI697">IF($F697&lt;&gt;"",XLOOKUP($F697,Productos!$A:$A,Productos!BB:BB,"Revisar"),"")</f>
        <v/>
      </c>
      <c r="BJ697" s="179" t="str">
        <f t="array" ref="BJ697">IF($F697&lt;&gt;"", XLOOKUP($F697,Productos!$A$2:$A1001,Productos!BC$2:BC1001,"")*$G697,"")</f>
        <v/>
      </c>
      <c r="BK697" s="179" t="str">
        <f t="array" ref="BK697">IF($F697&lt;&gt;"",XLOOKUP($F697,Productos!$A:$A,Productos!BD:BD,"Revisar"),"")</f>
        <v/>
      </c>
      <c r="BL697" s="179" t="str">
        <f t="array" ref="BL697">IF($F697&lt;&gt;"", XLOOKUP($F697,Productos!$A$2:$A1001,Productos!BE$2:BE1001,"")*$G697,"")</f>
        <v/>
      </c>
      <c r="BM697" s="179" t="str">
        <f t="array" ref="BM697">IF($F697&lt;&gt;"",XLOOKUP($F697,Productos!$A:$A,Productos!BF:BF,"Revisar"),"")</f>
        <v/>
      </c>
      <c r="BN697" s="179" t="str">
        <f t="array" ref="BN697">IF($F697&lt;&gt;"", XLOOKUP($F697,Productos!$A$2:$A1001,Productos!BG$2:BG1001,"")*$G697,"")</f>
        <v/>
      </c>
      <c r="BO697" s="179" t="str">
        <f t="array" ref="BO697">IF($F697&lt;&gt;"",XLOOKUP($F697,Productos!$A:$A,Productos!BH:BH,"Revisar"),"")</f>
        <v/>
      </c>
      <c r="BP697" s="179" t="str">
        <f t="array" ref="BP697">IF($F697&lt;&gt;"", XLOOKUP($F697,Productos!$A$2:$A1001,Productos!BI$2:BI1001,"")*$G697,"")</f>
        <v/>
      </c>
      <c r="BQ697" s="179" t="str">
        <f t="array" ref="BQ697">IF($F697&lt;&gt;"",XLOOKUP($F697,Productos!$A:$A,Productos!BJ:BJ,"Revisar"),"")</f>
        <v/>
      </c>
      <c r="BR697" s="179" t="str">
        <f t="array" ref="BR697">IF($F697&lt;&gt;"", XLOOKUP($F697,Productos!$A$2:$A1001,Productos!BK$2:BK1001,"")*$G697,"")</f>
        <v/>
      </c>
      <c r="BS697" s="179" t="str">
        <f t="array" ref="BS697">IF($F697&lt;&gt;"",XLOOKUP($F697,Productos!$A:$A,Productos!BL:BL,"Revisar"),"")</f>
        <v/>
      </c>
      <c r="BT697" s="179" t="str">
        <f t="array" ref="BT697">IF($F697&lt;&gt;"", XLOOKUP($F697,Productos!$A$2:$A1001,Productos!BM$2:BM1001,"")*$G697,"")</f>
        <v/>
      </c>
      <c r="BU697" s="179" t="str">
        <f t="array" ref="BU697">IF($F697&lt;&gt;"",XLOOKUP($F697,Productos!$A:$A,Productos!BN:BN,"Revisar"),"")</f>
        <v/>
      </c>
      <c r="BV697" s="179" t="str">
        <f t="array" ref="BV697">IF($F697&lt;&gt;"", XLOOKUP($F697,Productos!$A$2:$A1001,Productos!BO$2:BO1001,"")*$G697,"")</f>
        <v/>
      </c>
      <c r="BW697" s="179" t="str">
        <f t="array" ref="BW697">IF($F697&lt;&gt;"",XLOOKUP($F697,Productos!$A:$A,Productos!BP:BP,"Revisar"),"")</f>
        <v/>
      </c>
      <c r="BX697" s="179" t="str">
        <f t="array" ref="BX697">IF($F697&lt;&gt;"", XLOOKUP($F697,Productos!$A$2:$A1001,Productos!BQ$2:BQ1001,"")*$G697,"")</f>
        <v/>
      </c>
      <c r="BY697" s="179" t="str">
        <f t="array" ref="BY697">IF($F697&lt;&gt;"",XLOOKUP($F697,Productos!$A:$A,Productos!BR:BR,"Revisar"),"")</f>
        <v/>
      </c>
      <c r="BZ697" s="179" t="str">
        <f t="array" ref="BZ697">IF($F697&lt;&gt;"", XLOOKUP($F697,Productos!$A$2:$A1001,Productos!BS$2:BS1001,"")*$G697,"")</f>
        <v/>
      </c>
    </row>
    <row r="698">
      <c r="A698" s="188"/>
      <c r="B698" s="189"/>
      <c r="C698" s="190"/>
      <c r="D698" s="190"/>
      <c r="E698" s="191"/>
      <c r="F698" s="186"/>
      <c r="G698" s="192"/>
      <c r="H698" s="9"/>
      <c r="I698" s="179" t="str">
        <f t="array" ref="I698">IF($F698&lt;&gt;"",XLOOKUP($F698,Productos!$A:$A,Productos!B:B,"Revisar"),"")</f>
        <v/>
      </c>
      <c r="J698" s="179" t="str">
        <f t="array" ref="J698">IF($F698&lt;&gt;"", XLOOKUP($F698,Productos!$A$2:$A1001,Productos!C$2:C1001,"")*$G698,"")</f>
        <v/>
      </c>
      <c r="K698" s="179" t="str">
        <f t="array" ref="K698">IF($F698&lt;&gt;"",XLOOKUP($F698,Productos!$A:$A,Productos!D:D,"Revisar"),"")</f>
        <v/>
      </c>
      <c r="L698" s="179" t="str">
        <f t="array" ref="L698">IF($F698&lt;&gt;"", XLOOKUP($F698,Productos!$A$2:$A1001,Productos!E$2:E1001,"")*$G698,"")</f>
        <v/>
      </c>
      <c r="M698" s="179" t="str">
        <f t="array" ref="M698">IF($F698&lt;&gt;"",XLOOKUP($F698,Productos!$A:$A,Productos!F:F,"Revisar"),"")</f>
        <v/>
      </c>
      <c r="N698" s="179" t="str">
        <f t="array" ref="N698">IF($F698&lt;&gt;"", XLOOKUP($F698,Productos!$A$2:$A1001,Productos!G$2:G1001,"")*$G698,"")</f>
        <v/>
      </c>
      <c r="O698" s="179" t="str">
        <f t="array" ref="O698">IF($F698&lt;&gt;"",XLOOKUP($F698,Productos!$A:$A,Productos!H:H,"Revisar"),"")</f>
        <v/>
      </c>
      <c r="P698" s="179" t="str">
        <f t="array" ref="P698">IF($F698&lt;&gt;"", XLOOKUP($F698,Productos!$A$2:$A1001,Productos!I$2:I1001,"")*$G698,"")</f>
        <v/>
      </c>
      <c r="Q698" s="179" t="str">
        <f t="array" ref="Q698">IF($F698&lt;&gt;"",XLOOKUP($F698,Productos!$A:$A,Productos!J:J,"Revisar"),"")</f>
        <v/>
      </c>
      <c r="R698" s="179" t="str">
        <f t="array" ref="R698">IF($F698&lt;&gt;"", XLOOKUP($F698,Productos!$A$2:$A1001,Productos!K$2:K1001,"")*$G698,"")</f>
        <v/>
      </c>
      <c r="S698" s="179" t="str">
        <f t="array" ref="S698">IF($F698&lt;&gt;"",XLOOKUP($F698,Productos!$A:$A,Productos!L:L,"Revisar"),"")</f>
        <v/>
      </c>
      <c r="T698" s="179" t="str">
        <f t="array" ref="T698">IF($F698&lt;&gt;"", XLOOKUP($F698,Productos!$A$2:$A1001,Productos!M$2:M1001,"")*$G698,"")</f>
        <v/>
      </c>
      <c r="U698" s="179" t="str">
        <f t="array" ref="U698">IF($F698&lt;&gt;"",XLOOKUP($F698,Productos!$A:$A,Productos!N:N,"Revisar"),"")</f>
        <v/>
      </c>
      <c r="V698" s="179" t="str">
        <f t="array" ref="V698">IF($F698&lt;&gt;"", XLOOKUP($F698,Productos!$A$2:$A1001,Productos!O$2:O1001,"")*$G698,"")</f>
        <v/>
      </c>
      <c r="W698" s="179" t="str">
        <f t="array" ref="W698">IF($F698&lt;&gt;"",XLOOKUP($F698,Productos!$A:$A,Productos!P:P,"Revisar"),"")</f>
        <v/>
      </c>
      <c r="X698" s="179" t="str">
        <f t="array" ref="X698">IF($F698&lt;&gt;"", XLOOKUP($F698,Productos!$A$2:$A1001,Productos!Q$2:Q1001,"")*$G698,"")</f>
        <v/>
      </c>
      <c r="Y698" s="179" t="str">
        <f t="array" ref="Y698">IF($F698&lt;&gt;"",XLOOKUP($F698,Productos!$A:$A,Productos!R:R,"Revisar"),"")</f>
        <v/>
      </c>
      <c r="Z698" s="179" t="str">
        <f t="array" ref="Z698">IF($F698&lt;&gt;"", XLOOKUP($F698,Productos!$A$2:$A1001,Productos!S$2:S1001,"")*$G698,"")</f>
        <v/>
      </c>
      <c r="AA698" s="179" t="str">
        <f t="array" ref="AA698">IF($F698&lt;&gt;"",XLOOKUP($F698,Productos!$A:$A,Productos!T:T,"Revisar"),"")</f>
        <v/>
      </c>
      <c r="AB698" s="179" t="str">
        <f t="array" ref="AB698">IF($F698&lt;&gt;"", XLOOKUP($F698,Productos!$A$2:$A1001,Productos!U$2:U1001,"")*$G698,"")</f>
        <v/>
      </c>
      <c r="AC698" s="179" t="str">
        <f t="array" ref="AC698">IF($F698&lt;&gt;"",XLOOKUP($F698,Productos!$A:$A,Productos!V:V,"Revisar"),"")</f>
        <v/>
      </c>
      <c r="AD698" s="179" t="str">
        <f t="array" ref="AD698">IF($F698&lt;&gt;"", XLOOKUP($F698,Productos!$A$2:$A1001,Productos!W$2:W1001,"")*$G698,"")</f>
        <v/>
      </c>
      <c r="AE698" s="179" t="str">
        <f t="array" ref="AE698">IF($F698&lt;&gt;"",XLOOKUP($F698,Productos!$A:$A,Productos!X:X,"Revisar"),"")</f>
        <v/>
      </c>
      <c r="AF698" s="179" t="str">
        <f t="array" ref="AF698">IF($F698&lt;&gt;"", XLOOKUP($F698,Productos!$A$2:$A1001,Productos!Y$2:Y1001,"")*$G698,"")</f>
        <v/>
      </c>
      <c r="AG698" s="179" t="str">
        <f t="array" ref="AG698">IF($F698&lt;&gt;"",XLOOKUP($F698,Productos!$A:$A,Productos!Z:Z,"Revisar"),"")</f>
        <v/>
      </c>
      <c r="AH698" s="179" t="str">
        <f t="array" ref="AH698">IF($F698&lt;&gt;"", XLOOKUP($F698,Productos!$A$2:$A1001,Productos!AA$2:AA1001,"")*$G698,"")</f>
        <v/>
      </c>
      <c r="AI698" s="179" t="str">
        <f t="array" ref="AI698">IF($F698&lt;&gt;"",XLOOKUP($F698,Productos!$A:$A,Productos!AB:AB,"Revisar"),"")</f>
        <v/>
      </c>
      <c r="AJ698" s="179" t="str">
        <f t="array" ref="AJ698">IF($F698&lt;&gt;"", XLOOKUP($F698,Productos!$A$2:$A1001,Productos!AC$2:AC1001,"")*$G698,"")</f>
        <v/>
      </c>
      <c r="AK698" s="179" t="str">
        <f t="array" ref="AK698">IF($F698&lt;&gt;"",XLOOKUP($F698,Productos!$A:$A,Productos!AD:AD,"Revisar"),"")</f>
        <v/>
      </c>
      <c r="AL698" s="179" t="str">
        <f t="array" ref="AL698">IF($F698&lt;&gt;"", XLOOKUP($F698,Productos!$A$2:$A1001,Productos!AE$2:AE1001,"")*$G698,"")</f>
        <v/>
      </c>
      <c r="AM698" s="179" t="str">
        <f t="array" ref="AM698">IF($F698&lt;&gt;"",XLOOKUP($F698,Productos!$A:$A,Productos!AF:AF,"Revisar"),"")</f>
        <v/>
      </c>
      <c r="AN698" s="179" t="str">
        <f t="array" ref="AN698">IF($F698&lt;&gt;"", XLOOKUP($F698,Productos!$A$2:$A1001,Productos!AG$2:AG1001,"")*$G698,"")</f>
        <v/>
      </c>
      <c r="AO698" s="179" t="str">
        <f t="array" ref="AO698">IF($F698&lt;&gt;"",XLOOKUP($F698,Productos!$A:$A,Productos!AH:AH,"Revisar"),"")</f>
        <v/>
      </c>
      <c r="AP698" s="179" t="str">
        <f t="array" ref="AP698">IF($F698&lt;&gt;"", XLOOKUP($F698,Productos!$A$2:$A1001,Productos!AI$2:AI1001,"")*$G698,"")</f>
        <v/>
      </c>
      <c r="AQ698" s="179" t="str">
        <f t="array" ref="AQ698">IF($F698&lt;&gt;"",XLOOKUP($F698,Productos!$A:$A,Productos!AJ:AJ,"Revisar"),"")</f>
        <v/>
      </c>
      <c r="AR698" s="179" t="str">
        <f t="array" ref="AR698">IF($F698&lt;&gt;"", XLOOKUP($F698,Productos!$A$2:$A1001,Productos!AK$2:AK1001,"")*$G698,"")</f>
        <v/>
      </c>
      <c r="AS698" s="179" t="str">
        <f t="array" ref="AS698">IF($F698&lt;&gt;"",XLOOKUP($F698,Productos!$A:$A,Productos!AL:AL,"Revisar"),"")</f>
        <v/>
      </c>
      <c r="AT698" s="179" t="str">
        <f t="array" ref="AT698">IF($F698&lt;&gt;"", XLOOKUP($F698,Productos!$A$2:$A1001,Productos!AM$2:AM1001,"")*$G698,"")</f>
        <v/>
      </c>
      <c r="AU698" s="179" t="str">
        <f t="array" ref="AU698">IF($F698&lt;&gt;"",XLOOKUP($F698,Productos!$A:$A,Productos!AN:AN,"Revisar"),"")</f>
        <v/>
      </c>
      <c r="AV698" s="179" t="str">
        <f t="array" ref="AV698">IF($F698&lt;&gt;"", XLOOKUP($F698,Productos!$A$2:$A1001,Productos!AO$2:AO1001,"")*$G698,"")</f>
        <v/>
      </c>
      <c r="AW698" s="179" t="str">
        <f t="array" ref="AW698">IF($F698&lt;&gt;"",XLOOKUP($F698,Productos!$A:$A,Productos!AP:AP,"Revisar"),"")</f>
        <v/>
      </c>
      <c r="AX698" s="179" t="str">
        <f t="array" ref="AX698">IF($F698&lt;&gt;"", XLOOKUP($F698,Productos!$A$2:$A1001,Productos!AQ$2:AQ1001,"")*$G698,"")</f>
        <v/>
      </c>
      <c r="AY698" s="179" t="str">
        <f t="array" ref="AY698">IF($F698&lt;&gt;"",XLOOKUP($F698,Productos!$A:$A,Productos!AR:AR,"Revisar"),"")</f>
        <v/>
      </c>
      <c r="AZ698" s="179" t="str">
        <f t="array" ref="AZ698">IF($F698&lt;&gt;"", XLOOKUP($F698,Productos!$A$2:$A1001,Productos!AS$2:AS1001,"")*$G698,"")</f>
        <v/>
      </c>
      <c r="BA698" s="179" t="str">
        <f t="array" ref="BA698">IF($F698&lt;&gt;"",XLOOKUP($F698,Productos!$A:$A,Productos!AT:AT,"Revisar"),"")</f>
        <v/>
      </c>
      <c r="BB698" s="179" t="str">
        <f t="array" ref="BB698">IF($F698&lt;&gt;"", XLOOKUP($F698,Productos!$A$2:$A1001,Productos!AU$2:AU1001,"")*$G698,"")</f>
        <v/>
      </c>
      <c r="BC698" s="179" t="str">
        <f t="array" ref="BC698">IF($F698&lt;&gt;"",XLOOKUP($F698,Productos!$A:$A,Productos!AV:AV,"Revisar"),"")</f>
        <v/>
      </c>
      <c r="BD698" s="179" t="str">
        <f t="array" ref="BD698">IF($F698&lt;&gt;"", XLOOKUP($F698,Productos!$A$2:$A1001,Productos!AW$2:AW1001,"")*$G698,"")</f>
        <v/>
      </c>
      <c r="BE698" s="179" t="str">
        <f t="array" ref="BE698">IF($F698&lt;&gt;"",XLOOKUP($F698,Productos!$A:$A,Productos!AX:AX,"Revisar"),"")</f>
        <v/>
      </c>
      <c r="BF698" s="179" t="str">
        <f t="array" ref="BF698">IF($F698&lt;&gt;"", XLOOKUP($F698,Productos!$A$2:$A1001,Productos!AY$2:AY1001,"")*$G698,"")</f>
        <v/>
      </c>
      <c r="BG698" s="179" t="str">
        <f t="array" ref="BG698">IF($F698&lt;&gt;"",XLOOKUP($F698,Productos!$A:$A,Productos!AZ:AZ,"Revisar"),"")</f>
        <v/>
      </c>
      <c r="BH698" s="179" t="str">
        <f t="array" ref="BH698">IF($F698&lt;&gt;"", XLOOKUP($F698,Productos!$A$2:$A1001,Productos!BA$2:BA1001,"")*$G698,"")</f>
        <v/>
      </c>
      <c r="BI698" s="179" t="str">
        <f t="array" ref="BI698">IF($F698&lt;&gt;"",XLOOKUP($F698,Productos!$A:$A,Productos!BB:BB,"Revisar"),"")</f>
        <v/>
      </c>
      <c r="BJ698" s="179" t="str">
        <f t="array" ref="BJ698">IF($F698&lt;&gt;"", XLOOKUP($F698,Productos!$A$2:$A1001,Productos!BC$2:BC1001,"")*$G698,"")</f>
        <v/>
      </c>
      <c r="BK698" s="179" t="str">
        <f t="array" ref="BK698">IF($F698&lt;&gt;"",XLOOKUP($F698,Productos!$A:$A,Productos!BD:BD,"Revisar"),"")</f>
        <v/>
      </c>
      <c r="BL698" s="179" t="str">
        <f t="array" ref="BL698">IF($F698&lt;&gt;"", XLOOKUP($F698,Productos!$A$2:$A1001,Productos!BE$2:BE1001,"")*$G698,"")</f>
        <v/>
      </c>
      <c r="BM698" s="179" t="str">
        <f t="array" ref="BM698">IF($F698&lt;&gt;"",XLOOKUP($F698,Productos!$A:$A,Productos!BF:BF,"Revisar"),"")</f>
        <v/>
      </c>
      <c r="BN698" s="179" t="str">
        <f t="array" ref="BN698">IF($F698&lt;&gt;"", XLOOKUP($F698,Productos!$A$2:$A1001,Productos!BG$2:BG1001,"")*$G698,"")</f>
        <v/>
      </c>
      <c r="BO698" s="179" t="str">
        <f t="array" ref="BO698">IF($F698&lt;&gt;"",XLOOKUP($F698,Productos!$A:$A,Productos!BH:BH,"Revisar"),"")</f>
        <v/>
      </c>
      <c r="BP698" s="179" t="str">
        <f t="array" ref="BP698">IF($F698&lt;&gt;"", XLOOKUP($F698,Productos!$A$2:$A1001,Productos!BI$2:BI1001,"")*$G698,"")</f>
        <v/>
      </c>
      <c r="BQ698" s="179" t="str">
        <f t="array" ref="BQ698">IF($F698&lt;&gt;"",XLOOKUP($F698,Productos!$A:$A,Productos!BJ:BJ,"Revisar"),"")</f>
        <v/>
      </c>
      <c r="BR698" s="179" t="str">
        <f t="array" ref="BR698">IF($F698&lt;&gt;"", XLOOKUP($F698,Productos!$A$2:$A1001,Productos!BK$2:BK1001,"")*$G698,"")</f>
        <v/>
      </c>
      <c r="BS698" s="179" t="str">
        <f t="array" ref="BS698">IF($F698&lt;&gt;"",XLOOKUP($F698,Productos!$A:$A,Productos!BL:BL,"Revisar"),"")</f>
        <v/>
      </c>
      <c r="BT698" s="179" t="str">
        <f t="array" ref="BT698">IF($F698&lt;&gt;"", XLOOKUP($F698,Productos!$A$2:$A1001,Productos!BM$2:BM1001,"")*$G698,"")</f>
        <v/>
      </c>
      <c r="BU698" s="179" t="str">
        <f t="array" ref="BU698">IF($F698&lt;&gt;"",XLOOKUP($F698,Productos!$A:$A,Productos!BN:BN,"Revisar"),"")</f>
        <v/>
      </c>
      <c r="BV698" s="179" t="str">
        <f t="array" ref="BV698">IF($F698&lt;&gt;"", XLOOKUP($F698,Productos!$A$2:$A1001,Productos!BO$2:BO1001,"")*$G698,"")</f>
        <v/>
      </c>
      <c r="BW698" s="179" t="str">
        <f t="array" ref="BW698">IF($F698&lt;&gt;"",XLOOKUP($F698,Productos!$A:$A,Productos!BP:BP,"Revisar"),"")</f>
        <v/>
      </c>
      <c r="BX698" s="179" t="str">
        <f t="array" ref="BX698">IF($F698&lt;&gt;"", XLOOKUP($F698,Productos!$A$2:$A1001,Productos!BQ$2:BQ1001,"")*$G698,"")</f>
        <v/>
      </c>
      <c r="BY698" s="179" t="str">
        <f t="array" ref="BY698">IF($F698&lt;&gt;"",XLOOKUP($F698,Productos!$A:$A,Productos!BR:BR,"Revisar"),"")</f>
        <v/>
      </c>
      <c r="BZ698" s="179" t="str">
        <f t="array" ref="BZ698">IF($F698&lt;&gt;"", XLOOKUP($F698,Productos!$A$2:$A1001,Productos!BS$2:BS1001,"")*$G698,"")</f>
        <v/>
      </c>
    </row>
    <row r="699">
      <c r="A699" s="188"/>
      <c r="B699" s="189"/>
      <c r="C699" s="190"/>
      <c r="D699" s="190"/>
      <c r="E699" s="191"/>
      <c r="F699" s="186"/>
      <c r="G699" s="192"/>
      <c r="H699" s="9"/>
      <c r="I699" s="179" t="str">
        <f t="array" ref="I699">IF($F699&lt;&gt;"",XLOOKUP($F699,Productos!$A:$A,Productos!B:B,"Revisar"),"")</f>
        <v/>
      </c>
      <c r="J699" s="179" t="str">
        <f t="array" ref="J699">IF($F699&lt;&gt;"", XLOOKUP($F699,Productos!$A$2:$A1001,Productos!C$2:C1001,"")*$G699,"")</f>
        <v/>
      </c>
      <c r="K699" s="179" t="str">
        <f t="array" ref="K699">IF($F699&lt;&gt;"",XLOOKUP($F699,Productos!$A:$A,Productos!D:D,"Revisar"),"")</f>
        <v/>
      </c>
      <c r="L699" s="179" t="str">
        <f t="array" ref="L699">IF($F699&lt;&gt;"", XLOOKUP($F699,Productos!$A$2:$A1001,Productos!E$2:E1001,"")*$G699,"")</f>
        <v/>
      </c>
      <c r="M699" s="179" t="str">
        <f t="array" ref="M699">IF($F699&lt;&gt;"",XLOOKUP($F699,Productos!$A:$A,Productos!F:F,"Revisar"),"")</f>
        <v/>
      </c>
      <c r="N699" s="179" t="str">
        <f t="array" ref="N699">IF($F699&lt;&gt;"", XLOOKUP($F699,Productos!$A$2:$A1001,Productos!G$2:G1001,"")*$G699,"")</f>
        <v/>
      </c>
      <c r="O699" s="179" t="str">
        <f t="array" ref="O699">IF($F699&lt;&gt;"",XLOOKUP($F699,Productos!$A:$A,Productos!H:H,"Revisar"),"")</f>
        <v/>
      </c>
      <c r="P699" s="179" t="str">
        <f t="array" ref="P699">IF($F699&lt;&gt;"", XLOOKUP($F699,Productos!$A$2:$A1001,Productos!I$2:I1001,"")*$G699,"")</f>
        <v/>
      </c>
      <c r="Q699" s="179" t="str">
        <f t="array" ref="Q699">IF($F699&lt;&gt;"",XLOOKUP($F699,Productos!$A:$A,Productos!J:J,"Revisar"),"")</f>
        <v/>
      </c>
      <c r="R699" s="179" t="str">
        <f t="array" ref="R699">IF($F699&lt;&gt;"", XLOOKUP($F699,Productos!$A$2:$A1001,Productos!K$2:K1001,"")*$G699,"")</f>
        <v/>
      </c>
      <c r="S699" s="179" t="str">
        <f t="array" ref="S699">IF($F699&lt;&gt;"",XLOOKUP($F699,Productos!$A:$A,Productos!L:L,"Revisar"),"")</f>
        <v/>
      </c>
      <c r="T699" s="179" t="str">
        <f t="array" ref="T699">IF($F699&lt;&gt;"", XLOOKUP($F699,Productos!$A$2:$A1001,Productos!M$2:M1001,"")*$G699,"")</f>
        <v/>
      </c>
      <c r="U699" s="179" t="str">
        <f t="array" ref="U699">IF($F699&lt;&gt;"",XLOOKUP($F699,Productos!$A:$A,Productos!N:N,"Revisar"),"")</f>
        <v/>
      </c>
      <c r="V699" s="179" t="str">
        <f t="array" ref="V699">IF($F699&lt;&gt;"", XLOOKUP($F699,Productos!$A$2:$A1001,Productos!O$2:O1001,"")*$G699,"")</f>
        <v/>
      </c>
      <c r="W699" s="179" t="str">
        <f t="array" ref="W699">IF($F699&lt;&gt;"",XLOOKUP($F699,Productos!$A:$A,Productos!P:P,"Revisar"),"")</f>
        <v/>
      </c>
      <c r="X699" s="179" t="str">
        <f t="array" ref="X699">IF($F699&lt;&gt;"", XLOOKUP($F699,Productos!$A$2:$A1001,Productos!Q$2:Q1001,"")*$G699,"")</f>
        <v/>
      </c>
      <c r="Y699" s="179" t="str">
        <f t="array" ref="Y699">IF($F699&lt;&gt;"",XLOOKUP($F699,Productos!$A:$A,Productos!R:R,"Revisar"),"")</f>
        <v/>
      </c>
      <c r="Z699" s="179" t="str">
        <f t="array" ref="Z699">IF($F699&lt;&gt;"", XLOOKUP($F699,Productos!$A$2:$A1001,Productos!S$2:S1001,"")*$G699,"")</f>
        <v/>
      </c>
      <c r="AA699" s="179" t="str">
        <f t="array" ref="AA699">IF($F699&lt;&gt;"",XLOOKUP($F699,Productos!$A:$A,Productos!T:T,"Revisar"),"")</f>
        <v/>
      </c>
      <c r="AB699" s="179" t="str">
        <f t="array" ref="AB699">IF($F699&lt;&gt;"", XLOOKUP($F699,Productos!$A$2:$A1001,Productos!U$2:U1001,"")*$G699,"")</f>
        <v/>
      </c>
      <c r="AC699" s="179" t="str">
        <f t="array" ref="AC699">IF($F699&lt;&gt;"",XLOOKUP($F699,Productos!$A:$A,Productos!V:V,"Revisar"),"")</f>
        <v/>
      </c>
      <c r="AD699" s="179" t="str">
        <f t="array" ref="AD699">IF($F699&lt;&gt;"", XLOOKUP($F699,Productos!$A$2:$A1001,Productos!W$2:W1001,"")*$G699,"")</f>
        <v/>
      </c>
      <c r="AE699" s="179" t="str">
        <f t="array" ref="AE699">IF($F699&lt;&gt;"",XLOOKUP($F699,Productos!$A:$A,Productos!X:X,"Revisar"),"")</f>
        <v/>
      </c>
      <c r="AF699" s="179" t="str">
        <f t="array" ref="AF699">IF($F699&lt;&gt;"", XLOOKUP($F699,Productos!$A$2:$A1001,Productos!Y$2:Y1001,"")*$G699,"")</f>
        <v/>
      </c>
      <c r="AG699" s="179" t="str">
        <f t="array" ref="AG699">IF($F699&lt;&gt;"",XLOOKUP($F699,Productos!$A:$A,Productos!Z:Z,"Revisar"),"")</f>
        <v/>
      </c>
      <c r="AH699" s="179" t="str">
        <f t="array" ref="AH699">IF($F699&lt;&gt;"", XLOOKUP($F699,Productos!$A$2:$A1001,Productos!AA$2:AA1001,"")*$G699,"")</f>
        <v/>
      </c>
      <c r="AI699" s="179" t="str">
        <f t="array" ref="AI699">IF($F699&lt;&gt;"",XLOOKUP($F699,Productos!$A:$A,Productos!AB:AB,"Revisar"),"")</f>
        <v/>
      </c>
      <c r="AJ699" s="179" t="str">
        <f t="array" ref="AJ699">IF($F699&lt;&gt;"", XLOOKUP($F699,Productos!$A$2:$A1001,Productos!AC$2:AC1001,"")*$G699,"")</f>
        <v/>
      </c>
      <c r="AK699" s="179" t="str">
        <f t="array" ref="AK699">IF($F699&lt;&gt;"",XLOOKUP($F699,Productos!$A:$A,Productos!AD:AD,"Revisar"),"")</f>
        <v/>
      </c>
      <c r="AL699" s="179" t="str">
        <f t="array" ref="AL699">IF($F699&lt;&gt;"", XLOOKUP($F699,Productos!$A$2:$A1001,Productos!AE$2:AE1001,"")*$G699,"")</f>
        <v/>
      </c>
      <c r="AM699" s="179" t="str">
        <f t="array" ref="AM699">IF($F699&lt;&gt;"",XLOOKUP($F699,Productos!$A:$A,Productos!AF:AF,"Revisar"),"")</f>
        <v/>
      </c>
      <c r="AN699" s="179" t="str">
        <f t="array" ref="AN699">IF($F699&lt;&gt;"", XLOOKUP($F699,Productos!$A$2:$A1001,Productos!AG$2:AG1001,"")*$G699,"")</f>
        <v/>
      </c>
      <c r="AO699" s="179" t="str">
        <f t="array" ref="AO699">IF($F699&lt;&gt;"",XLOOKUP($F699,Productos!$A:$A,Productos!AH:AH,"Revisar"),"")</f>
        <v/>
      </c>
      <c r="AP699" s="179" t="str">
        <f t="array" ref="AP699">IF($F699&lt;&gt;"", XLOOKUP($F699,Productos!$A$2:$A1001,Productos!AI$2:AI1001,"")*$G699,"")</f>
        <v/>
      </c>
      <c r="AQ699" s="179" t="str">
        <f t="array" ref="AQ699">IF($F699&lt;&gt;"",XLOOKUP($F699,Productos!$A:$A,Productos!AJ:AJ,"Revisar"),"")</f>
        <v/>
      </c>
      <c r="AR699" s="179" t="str">
        <f t="array" ref="AR699">IF($F699&lt;&gt;"", XLOOKUP($F699,Productos!$A$2:$A1001,Productos!AK$2:AK1001,"")*$G699,"")</f>
        <v/>
      </c>
      <c r="AS699" s="179" t="str">
        <f t="array" ref="AS699">IF($F699&lt;&gt;"",XLOOKUP($F699,Productos!$A:$A,Productos!AL:AL,"Revisar"),"")</f>
        <v/>
      </c>
      <c r="AT699" s="179" t="str">
        <f t="array" ref="AT699">IF($F699&lt;&gt;"", XLOOKUP($F699,Productos!$A$2:$A1001,Productos!AM$2:AM1001,"")*$G699,"")</f>
        <v/>
      </c>
      <c r="AU699" s="179" t="str">
        <f t="array" ref="AU699">IF($F699&lt;&gt;"",XLOOKUP($F699,Productos!$A:$A,Productos!AN:AN,"Revisar"),"")</f>
        <v/>
      </c>
      <c r="AV699" s="179" t="str">
        <f t="array" ref="AV699">IF($F699&lt;&gt;"", XLOOKUP($F699,Productos!$A$2:$A1001,Productos!AO$2:AO1001,"")*$G699,"")</f>
        <v/>
      </c>
      <c r="AW699" s="179" t="str">
        <f t="array" ref="AW699">IF($F699&lt;&gt;"",XLOOKUP($F699,Productos!$A:$A,Productos!AP:AP,"Revisar"),"")</f>
        <v/>
      </c>
      <c r="AX699" s="179" t="str">
        <f t="array" ref="AX699">IF($F699&lt;&gt;"", XLOOKUP($F699,Productos!$A$2:$A1001,Productos!AQ$2:AQ1001,"")*$G699,"")</f>
        <v/>
      </c>
      <c r="AY699" s="179" t="str">
        <f t="array" ref="AY699">IF($F699&lt;&gt;"",XLOOKUP($F699,Productos!$A:$A,Productos!AR:AR,"Revisar"),"")</f>
        <v/>
      </c>
      <c r="AZ699" s="179" t="str">
        <f t="array" ref="AZ699">IF($F699&lt;&gt;"", XLOOKUP($F699,Productos!$A$2:$A1001,Productos!AS$2:AS1001,"")*$G699,"")</f>
        <v/>
      </c>
      <c r="BA699" s="179" t="str">
        <f t="array" ref="BA699">IF($F699&lt;&gt;"",XLOOKUP($F699,Productos!$A:$A,Productos!AT:AT,"Revisar"),"")</f>
        <v/>
      </c>
      <c r="BB699" s="179" t="str">
        <f t="array" ref="BB699">IF($F699&lt;&gt;"", XLOOKUP($F699,Productos!$A$2:$A1001,Productos!AU$2:AU1001,"")*$G699,"")</f>
        <v/>
      </c>
      <c r="BC699" s="179" t="str">
        <f t="array" ref="BC699">IF($F699&lt;&gt;"",XLOOKUP($F699,Productos!$A:$A,Productos!AV:AV,"Revisar"),"")</f>
        <v/>
      </c>
      <c r="BD699" s="179" t="str">
        <f t="array" ref="BD699">IF($F699&lt;&gt;"", XLOOKUP($F699,Productos!$A$2:$A1001,Productos!AW$2:AW1001,"")*$G699,"")</f>
        <v/>
      </c>
      <c r="BE699" s="179" t="str">
        <f t="array" ref="BE699">IF($F699&lt;&gt;"",XLOOKUP($F699,Productos!$A:$A,Productos!AX:AX,"Revisar"),"")</f>
        <v/>
      </c>
      <c r="BF699" s="179" t="str">
        <f t="array" ref="BF699">IF($F699&lt;&gt;"", XLOOKUP($F699,Productos!$A$2:$A1001,Productos!AY$2:AY1001,"")*$G699,"")</f>
        <v/>
      </c>
      <c r="BG699" s="179" t="str">
        <f t="array" ref="BG699">IF($F699&lt;&gt;"",XLOOKUP($F699,Productos!$A:$A,Productos!AZ:AZ,"Revisar"),"")</f>
        <v/>
      </c>
      <c r="BH699" s="179" t="str">
        <f t="array" ref="BH699">IF($F699&lt;&gt;"", XLOOKUP($F699,Productos!$A$2:$A1001,Productos!BA$2:BA1001,"")*$G699,"")</f>
        <v/>
      </c>
      <c r="BI699" s="179" t="str">
        <f t="array" ref="BI699">IF($F699&lt;&gt;"",XLOOKUP($F699,Productos!$A:$A,Productos!BB:BB,"Revisar"),"")</f>
        <v/>
      </c>
      <c r="BJ699" s="179" t="str">
        <f t="array" ref="BJ699">IF($F699&lt;&gt;"", XLOOKUP($F699,Productos!$A$2:$A1001,Productos!BC$2:BC1001,"")*$G699,"")</f>
        <v/>
      </c>
      <c r="BK699" s="179" t="str">
        <f t="array" ref="BK699">IF($F699&lt;&gt;"",XLOOKUP($F699,Productos!$A:$A,Productos!BD:BD,"Revisar"),"")</f>
        <v/>
      </c>
      <c r="BL699" s="179" t="str">
        <f t="array" ref="BL699">IF($F699&lt;&gt;"", XLOOKUP($F699,Productos!$A$2:$A1001,Productos!BE$2:BE1001,"")*$G699,"")</f>
        <v/>
      </c>
      <c r="BM699" s="179" t="str">
        <f t="array" ref="BM699">IF($F699&lt;&gt;"",XLOOKUP($F699,Productos!$A:$A,Productos!BF:BF,"Revisar"),"")</f>
        <v/>
      </c>
      <c r="BN699" s="179" t="str">
        <f t="array" ref="BN699">IF($F699&lt;&gt;"", XLOOKUP($F699,Productos!$A$2:$A1001,Productos!BG$2:BG1001,"")*$G699,"")</f>
        <v/>
      </c>
      <c r="BO699" s="179" t="str">
        <f t="array" ref="BO699">IF($F699&lt;&gt;"",XLOOKUP($F699,Productos!$A:$A,Productos!BH:BH,"Revisar"),"")</f>
        <v/>
      </c>
      <c r="BP699" s="179" t="str">
        <f t="array" ref="BP699">IF($F699&lt;&gt;"", XLOOKUP($F699,Productos!$A$2:$A1001,Productos!BI$2:BI1001,"")*$G699,"")</f>
        <v/>
      </c>
      <c r="BQ699" s="179" t="str">
        <f t="array" ref="BQ699">IF($F699&lt;&gt;"",XLOOKUP($F699,Productos!$A:$A,Productos!BJ:BJ,"Revisar"),"")</f>
        <v/>
      </c>
      <c r="BR699" s="179" t="str">
        <f t="array" ref="BR699">IF($F699&lt;&gt;"", XLOOKUP($F699,Productos!$A$2:$A1001,Productos!BK$2:BK1001,"")*$G699,"")</f>
        <v/>
      </c>
      <c r="BS699" s="179" t="str">
        <f t="array" ref="BS699">IF($F699&lt;&gt;"",XLOOKUP($F699,Productos!$A:$A,Productos!BL:BL,"Revisar"),"")</f>
        <v/>
      </c>
      <c r="BT699" s="179" t="str">
        <f t="array" ref="BT699">IF($F699&lt;&gt;"", XLOOKUP($F699,Productos!$A$2:$A1001,Productos!BM$2:BM1001,"")*$G699,"")</f>
        <v/>
      </c>
      <c r="BU699" s="179" t="str">
        <f t="array" ref="BU699">IF($F699&lt;&gt;"",XLOOKUP($F699,Productos!$A:$A,Productos!BN:BN,"Revisar"),"")</f>
        <v/>
      </c>
      <c r="BV699" s="179" t="str">
        <f t="array" ref="BV699">IF($F699&lt;&gt;"", XLOOKUP($F699,Productos!$A$2:$A1001,Productos!BO$2:BO1001,"")*$G699,"")</f>
        <v/>
      </c>
      <c r="BW699" s="179" t="str">
        <f t="array" ref="BW699">IF($F699&lt;&gt;"",XLOOKUP($F699,Productos!$A:$A,Productos!BP:BP,"Revisar"),"")</f>
        <v/>
      </c>
      <c r="BX699" s="179" t="str">
        <f t="array" ref="BX699">IF($F699&lt;&gt;"", XLOOKUP($F699,Productos!$A$2:$A1001,Productos!BQ$2:BQ1001,"")*$G699,"")</f>
        <v/>
      </c>
      <c r="BY699" s="179" t="str">
        <f t="array" ref="BY699">IF($F699&lt;&gt;"",XLOOKUP($F699,Productos!$A:$A,Productos!BR:BR,"Revisar"),"")</f>
        <v/>
      </c>
      <c r="BZ699" s="179" t="str">
        <f t="array" ref="BZ699">IF($F699&lt;&gt;"", XLOOKUP($F699,Productos!$A$2:$A1001,Productos!BS$2:BS1001,"")*$G699,"")</f>
        <v/>
      </c>
    </row>
    <row r="700">
      <c r="A700" s="188"/>
      <c r="B700" s="189"/>
      <c r="C700" s="190"/>
      <c r="D700" s="190"/>
      <c r="E700" s="191"/>
      <c r="F700" s="186"/>
      <c r="G700" s="192"/>
      <c r="H700" s="9"/>
      <c r="I700" s="179" t="str">
        <f t="array" ref="I700">IF($F700&lt;&gt;"",XLOOKUP($F700,Productos!$A:$A,Productos!B:B,"Revisar"),"")</f>
        <v/>
      </c>
      <c r="J700" s="179" t="str">
        <f t="array" ref="J700">IF($F700&lt;&gt;"", XLOOKUP($F700,Productos!$A$2:$A1001,Productos!C$2:C1001,"")*$G700,"")</f>
        <v/>
      </c>
      <c r="K700" s="179" t="str">
        <f t="array" ref="K700">IF($F700&lt;&gt;"",XLOOKUP($F700,Productos!$A:$A,Productos!D:D,"Revisar"),"")</f>
        <v/>
      </c>
      <c r="L700" s="179" t="str">
        <f t="array" ref="L700">IF($F700&lt;&gt;"", XLOOKUP($F700,Productos!$A$2:$A1001,Productos!E$2:E1001,"")*$G700,"")</f>
        <v/>
      </c>
      <c r="M700" s="179" t="str">
        <f t="array" ref="M700">IF($F700&lt;&gt;"",XLOOKUP($F700,Productos!$A:$A,Productos!F:F,"Revisar"),"")</f>
        <v/>
      </c>
      <c r="N700" s="179" t="str">
        <f t="array" ref="N700">IF($F700&lt;&gt;"", XLOOKUP($F700,Productos!$A$2:$A1001,Productos!G$2:G1001,"")*$G700,"")</f>
        <v/>
      </c>
      <c r="O700" s="179" t="str">
        <f t="array" ref="O700">IF($F700&lt;&gt;"",XLOOKUP($F700,Productos!$A:$A,Productos!H:H,"Revisar"),"")</f>
        <v/>
      </c>
      <c r="P700" s="179" t="str">
        <f t="array" ref="P700">IF($F700&lt;&gt;"", XLOOKUP($F700,Productos!$A$2:$A1001,Productos!I$2:I1001,"")*$G700,"")</f>
        <v/>
      </c>
      <c r="Q700" s="179" t="str">
        <f t="array" ref="Q700">IF($F700&lt;&gt;"",XLOOKUP($F700,Productos!$A:$A,Productos!J:J,"Revisar"),"")</f>
        <v/>
      </c>
      <c r="R700" s="179" t="str">
        <f t="array" ref="R700">IF($F700&lt;&gt;"", XLOOKUP($F700,Productos!$A$2:$A1001,Productos!K$2:K1001,"")*$G700,"")</f>
        <v/>
      </c>
      <c r="S700" s="179" t="str">
        <f t="array" ref="S700">IF($F700&lt;&gt;"",XLOOKUP($F700,Productos!$A:$A,Productos!L:L,"Revisar"),"")</f>
        <v/>
      </c>
      <c r="T700" s="179" t="str">
        <f t="array" ref="T700">IF($F700&lt;&gt;"", XLOOKUP($F700,Productos!$A$2:$A1001,Productos!M$2:M1001,"")*$G700,"")</f>
        <v/>
      </c>
      <c r="U700" s="179" t="str">
        <f t="array" ref="U700">IF($F700&lt;&gt;"",XLOOKUP($F700,Productos!$A:$A,Productos!N:N,"Revisar"),"")</f>
        <v/>
      </c>
      <c r="V700" s="179" t="str">
        <f t="array" ref="V700">IF($F700&lt;&gt;"", XLOOKUP($F700,Productos!$A$2:$A1001,Productos!O$2:O1001,"")*$G700,"")</f>
        <v/>
      </c>
      <c r="W700" s="179" t="str">
        <f t="array" ref="W700">IF($F700&lt;&gt;"",XLOOKUP($F700,Productos!$A:$A,Productos!P:P,"Revisar"),"")</f>
        <v/>
      </c>
      <c r="X700" s="179" t="str">
        <f t="array" ref="X700">IF($F700&lt;&gt;"", XLOOKUP($F700,Productos!$A$2:$A1001,Productos!Q$2:Q1001,"")*$G700,"")</f>
        <v/>
      </c>
      <c r="Y700" s="179" t="str">
        <f t="array" ref="Y700">IF($F700&lt;&gt;"",XLOOKUP($F700,Productos!$A:$A,Productos!R:R,"Revisar"),"")</f>
        <v/>
      </c>
      <c r="Z700" s="179" t="str">
        <f t="array" ref="Z700">IF($F700&lt;&gt;"", XLOOKUP($F700,Productos!$A$2:$A1001,Productos!S$2:S1001,"")*$G700,"")</f>
        <v/>
      </c>
      <c r="AA700" s="179" t="str">
        <f t="array" ref="AA700">IF($F700&lt;&gt;"",XLOOKUP($F700,Productos!$A:$A,Productos!T:T,"Revisar"),"")</f>
        <v/>
      </c>
      <c r="AB700" s="179" t="str">
        <f t="array" ref="AB700">IF($F700&lt;&gt;"", XLOOKUP($F700,Productos!$A$2:$A1001,Productos!U$2:U1001,"")*$G700,"")</f>
        <v/>
      </c>
      <c r="AC700" s="179" t="str">
        <f t="array" ref="AC700">IF($F700&lt;&gt;"",XLOOKUP($F700,Productos!$A:$A,Productos!V:V,"Revisar"),"")</f>
        <v/>
      </c>
      <c r="AD700" s="179" t="str">
        <f t="array" ref="AD700">IF($F700&lt;&gt;"", XLOOKUP($F700,Productos!$A$2:$A1001,Productos!W$2:W1001,"")*$G700,"")</f>
        <v/>
      </c>
      <c r="AE700" s="179" t="str">
        <f t="array" ref="AE700">IF($F700&lt;&gt;"",XLOOKUP($F700,Productos!$A:$A,Productos!X:X,"Revisar"),"")</f>
        <v/>
      </c>
      <c r="AF700" s="179" t="str">
        <f t="array" ref="AF700">IF($F700&lt;&gt;"", XLOOKUP($F700,Productos!$A$2:$A1001,Productos!Y$2:Y1001,"")*$G700,"")</f>
        <v/>
      </c>
      <c r="AG700" s="179" t="str">
        <f t="array" ref="AG700">IF($F700&lt;&gt;"",XLOOKUP($F700,Productos!$A:$A,Productos!Z:Z,"Revisar"),"")</f>
        <v/>
      </c>
      <c r="AH700" s="179" t="str">
        <f t="array" ref="AH700">IF($F700&lt;&gt;"", XLOOKUP($F700,Productos!$A$2:$A1001,Productos!AA$2:AA1001,"")*$G700,"")</f>
        <v/>
      </c>
      <c r="AI700" s="179" t="str">
        <f t="array" ref="AI700">IF($F700&lt;&gt;"",XLOOKUP($F700,Productos!$A:$A,Productos!AB:AB,"Revisar"),"")</f>
        <v/>
      </c>
      <c r="AJ700" s="179" t="str">
        <f t="array" ref="AJ700">IF($F700&lt;&gt;"", XLOOKUP($F700,Productos!$A$2:$A1001,Productos!AC$2:AC1001,"")*$G700,"")</f>
        <v/>
      </c>
      <c r="AK700" s="179" t="str">
        <f t="array" ref="AK700">IF($F700&lt;&gt;"",XLOOKUP($F700,Productos!$A:$A,Productos!AD:AD,"Revisar"),"")</f>
        <v/>
      </c>
      <c r="AL700" s="179" t="str">
        <f t="array" ref="AL700">IF($F700&lt;&gt;"", XLOOKUP($F700,Productos!$A$2:$A1001,Productos!AE$2:AE1001,"")*$G700,"")</f>
        <v/>
      </c>
      <c r="AM700" s="179" t="str">
        <f t="array" ref="AM700">IF($F700&lt;&gt;"",XLOOKUP($F700,Productos!$A:$A,Productos!AF:AF,"Revisar"),"")</f>
        <v/>
      </c>
      <c r="AN700" s="179" t="str">
        <f t="array" ref="AN700">IF($F700&lt;&gt;"", XLOOKUP($F700,Productos!$A$2:$A1001,Productos!AG$2:AG1001,"")*$G700,"")</f>
        <v/>
      </c>
      <c r="AO700" s="179" t="str">
        <f t="array" ref="AO700">IF($F700&lt;&gt;"",XLOOKUP($F700,Productos!$A:$A,Productos!AH:AH,"Revisar"),"")</f>
        <v/>
      </c>
      <c r="AP700" s="179" t="str">
        <f t="array" ref="AP700">IF($F700&lt;&gt;"", XLOOKUP($F700,Productos!$A$2:$A1001,Productos!AI$2:AI1001,"")*$G700,"")</f>
        <v/>
      </c>
      <c r="AQ700" s="179" t="str">
        <f t="array" ref="AQ700">IF($F700&lt;&gt;"",XLOOKUP($F700,Productos!$A:$A,Productos!AJ:AJ,"Revisar"),"")</f>
        <v/>
      </c>
      <c r="AR700" s="179" t="str">
        <f t="array" ref="AR700">IF($F700&lt;&gt;"", XLOOKUP($F700,Productos!$A$2:$A1001,Productos!AK$2:AK1001,"")*$G700,"")</f>
        <v/>
      </c>
      <c r="AS700" s="179" t="str">
        <f t="array" ref="AS700">IF($F700&lt;&gt;"",XLOOKUP($F700,Productos!$A:$A,Productos!AL:AL,"Revisar"),"")</f>
        <v/>
      </c>
      <c r="AT700" s="179" t="str">
        <f t="array" ref="AT700">IF($F700&lt;&gt;"", XLOOKUP($F700,Productos!$A$2:$A1001,Productos!AM$2:AM1001,"")*$G700,"")</f>
        <v/>
      </c>
      <c r="AU700" s="179" t="str">
        <f t="array" ref="AU700">IF($F700&lt;&gt;"",XLOOKUP($F700,Productos!$A:$A,Productos!AN:AN,"Revisar"),"")</f>
        <v/>
      </c>
      <c r="AV700" s="179" t="str">
        <f t="array" ref="AV700">IF($F700&lt;&gt;"", XLOOKUP($F700,Productos!$A$2:$A1001,Productos!AO$2:AO1001,"")*$G700,"")</f>
        <v/>
      </c>
      <c r="AW700" s="179" t="str">
        <f t="array" ref="AW700">IF($F700&lt;&gt;"",XLOOKUP($F700,Productos!$A:$A,Productos!AP:AP,"Revisar"),"")</f>
        <v/>
      </c>
      <c r="AX700" s="179" t="str">
        <f t="array" ref="AX700">IF($F700&lt;&gt;"", XLOOKUP($F700,Productos!$A$2:$A1001,Productos!AQ$2:AQ1001,"")*$G700,"")</f>
        <v/>
      </c>
      <c r="AY700" s="179" t="str">
        <f t="array" ref="AY700">IF($F700&lt;&gt;"",XLOOKUP($F700,Productos!$A:$A,Productos!AR:AR,"Revisar"),"")</f>
        <v/>
      </c>
      <c r="AZ700" s="179" t="str">
        <f t="array" ref="AZ700">IF($F700&lt;&gt;"", XLOOKUP($F700,Productos!$A$2:$A1001,Productos!AS$2:AS1001,"")*$G700,"")</f>
        <v/>
      </c>
      <c r="BA700" s="179" t="str">
        <f t="array" ref="BA700">IF($F700&lt;&gt;"",XLOOKUP($F700,Productos!$A:$A,Productos!AT:AT,"Revisar"),"")</f>
        <v/>
      </c>
      <c r="BB700" s="179" t="str">
        <f t="array" ref="BB700">IF($F700&lt;&gt;"", XLOOKUP($F700,Productos!$A$2:$A1001,Productos!AU$2:AU1001,"")*$G700,"")</f>
        <v/>
      </c>
      <c r="BC700" s="179" t="str">
        <f t="array" ref="BC700">IF($F700&lt;&gt;"",XLOOKUP($F700,Productos!$A:$A,Productos!AV:AV,"Revisar"),"")</f>
        <v/>
      </c>
      <c r="BD700" s="179" t="str">
        <f t="array" ref="BD700">IF($F700&lt;&gt;"", XLOOKUP($F700,Productos!$A$2:$A1001,Productos!AW$2:AW1001,"")*$G700,"")</f>
        <v/>
      </c>
      <c r="BE700" s="179" t="str">
        <f t="array" ref="BE700">IF($F700&lt;&gt;"",XLOOKUP($F700,Productos!$A:$A,Productos!AX:AX,"Revisar"),"")</f>
        <v/>
      </c>
      <c r="BF700" s="179" t="str">
        <f t="array" ref="BF700">IF($F700&lt;&gt;"", XLOOKUP($F700,Productos!$A$2:$A1001,Productos!AY$2:AY1001,"")*$G700,"")</f>
        <v/>
      </c>
      <c r="BG700" s="179" t="str">
        <f t="array" ref="BG700">IF($F700&lt;&gt;"",XLOOKUP($F700,Productos!$A:$A,Productos!AZ:AZ,"Revisar"),"")</f>
        <v/>
      </c>
      <c r="BH700" s="179" t="str">
        <f t="array" ref="BH700">IF($F700&lt;&gt;"", XLOOKUP($F700,Productos!$A$2:$A1001,Productos!BA$2:BA1001,"")*$G700,"")</f>
        <v/>
      </c>
      <c r="BI700" s="179" t="str">
        <f t="array" ref="BI700">IF($F700&lt;&gt;"",XLOOKUP($F700,Productos!$A:$A,Productos!BB:BB,"Revisar"),"")</f>
        <v/>
      </c>
      <c r="BJ700" s="179" t="str">
        <f t="array" ref="BJ700">IF($F700&lt;&gt;"", XLOOKUP($F700,Productos!$A$2:$A1001,Productos!BC$2:BC1001,"")*$G700,"")</f>
        <v/>
      </c>
      <c r="BK700" s="179" t="str">
        <f t="array" ref="BK700">IF($F700&lt;&gt;"",XLOOKUP($F700,Productos!$A:$A,Productos!BD:BD,"Revisar"),"")</f>
        <v/>
      </c>
      <c r="BL700" s="179" t="str">
        <f t="array" ref="BL700">IF($F700&lt;&gt;"", XLOOKUP($F700,Productos!$A$2:$A1001,Productos!BE$2:BE1001,"")*$G700,"")</f>
        <v/>
      </c>
      <c r="BM700" s="179" t="str">
        <f t="array" ref="BM700">IF($F700&lt;&gt;"",XLOOKUP($F700,Productos!$A:$A,Productos!BF:BF,"Revisar"),"")</f>
        <v/>
      </c>
      <c r="BN700" s="179" t="str">
        <f t="array" ref="BN700">IF($F700&lt;&gt;"", XLOOKUP($F700,Productos!$A$2:$A1001,Productos!BG$2:BG1001,"")*$G700,"")</f>
        <v/>
      </c>
      <c r="BO700" s="179" t="str">
        <f t="array" ref="BO700">IF($F700&lt;&gt;"",XLOOKUP($F700,Productos!$A:$A,Productos!BH:BH,"Revisar"),"")</f>
        <v/>
      </c>
      <c r="BP700" s="179" t="str">
        <f t="array" ref="BP700">IF($F700&lt;&gt;"", XLOOKUP($F700,Productos!$A$2:$A1001,Productos!BI$2:BI1001,"")*$G700,"")</f>
        <v/>
      </c>
      <c r="BQ700" s="179" t="str">
        <f t="array" ref="BQ700">IF($F700&lt;&gt;"",XLOOKUP($F700,Productos!$A:$A,Productos!BJ:BJ,"Revisar"),"")</f>
        <v/>
      </c>
      <c r="BR700" s="179" t="str">
        <f t="array" ref="BR700">IF($F700&lt;&gt;"", XLOOKUP($F700,Productos!$A$2:$A1001,Productos!BK$2:BK1001,"")*$G700,"")</f>
        <v/>
      </c>
      <c r="BS700" s="179" t="str">
        <f t="array" ref="BS700">IF($F700&lt;&gt;"",XLOOKUP($F700,Productos!$A:$A,Productos!BL:BL,"Revisar"),"")</f>
        <v/>
      </c>
      <c r="BT700" s="179" t="str">
        <f t="array" ref="BT700">IF($F700&lt;&gt;"", XLOOKUP($F700,Productos!$A$2:$A1001,Productos!BM$2:BM1001,"")*$G700,"")</f>
        <v/>
      </c>
      <c r="BU700" s="179" t="str">
        <f t="array" ref="BU700">IF($F700&lt;&gt;"",XLOOKUP($F700,Productos!$A:$A,Productos!BN:BN,"Revisar"),"")</f>
        <v/>
      </c>
      <c r="BV700" s="179" t="str">
        <f t="array" ref="BV700">IF($F700&lt;&gt;"", XLOOKUP($F700,Productos!$A$2:$A1001,Productos!BO$2:BO1001,"")*$G700,"")</f>
        <v/>
      </c>
      <c r="BW700" s="179" t="str">
        <f t="array" ref="BW700">IF($F700&lt;&gt;"",XLOOKUP($F700,Productos!$A:$A,Productos!BP:BP,"Revisar"),"")</f>
        <v/>
      </c>
      <c r="BX700" s="179" t="str">
        <f t="array" ref="BX700">IF($F700&lt;&gt;"", XLOOKUP($F700,Productos!$A$2:$A1001,Productos!BQ$2:BQ1001,"")*$G700,"")</f>
        <v/>
      </c>
      <c r="BY700" s="179" t="str">
        <f t="array" ref="BY700">IF($F700&lt;&gt;"",XLOOKUP($F700,Productos!$A:$A,Productos!BR:BR,"Revisar"),"")</f>
        <v/>
      </c>
      <c r="BZ700" s="179" t="str">
        <f t="array" ref="BZ700">IF($F700&lt;&gt;"", XLOOKUP($F700,Productos!$A$2:$A1001,Productos!BS$2:BS1001,"")*$G700,"")</f>
        <v/>
      </c>
    </row>
    <row r="701">
      <c r="A701" s="188"/>
      <c r="B701" s="189"/>
      <c r="C701" s="190"/>
      <c r="D701" s="190"/>
      <c r="E701" s="191"/>
      <c r="F701" s="186"/>
      <c r="G701" s="192"/>
      <c r="H701" s="9"/>
      <c r="I701" s="179" t="str">
        <f t="array" ref="I701">IF($F701&lt;&gt;"",XLOOKUP($F701,Productos!$A:$A,Productos!B:B,"Revisar"),"")</f>
        <v/>
      </c>
      <c r="J701" s="179" t="str">
        <f t="array" ref="J701">IF($F701&lt;&gt;"", XLOOKUP($F701,Productos!$A$2:$A1001,Productos!C$2:C1001,"")*$G701,"")</f>
        <v/>
      </c>
      <c r="K701" s="179" t="str">
        <f t="array" ref="K701">IF($F701&lt;&gt;"",XLOOKUP($F701,Productos!$A:$A,Productos!D:D,"Revisar"),"")</f>
        <v/>
      </c>
      <c r="L701" s="179" t="str">
        <f t="array" ref="L701">IF($F701&lt;&gt;"", XLOOKUP($F701,Productos!$A$2:$A1001,Productos!E$2:E1001,"")*$G701,"")</f>
        <v/>
      </c>
      <c r="M701" s="179" t="str">
        <f t="array" ref="M701">IF($F701&lt;&gt;"",XLOOKUP($F701,Productos!$A:$A,Productos!F:F,"Revisar"),"")</f>
        <v/>
      </c>
      <c r="N701" s="179" t="str">
        <f t="array" ref="N701">IF($F701&lt;&gt;"", XLOOKUP($F701,Productos!$A$2:$A1001,Productos!G$2:G1001,"")*$G701,"")</f>
        <v/>
      </c>
      <c r="O701" s="179" t="str">
        <f t="array" ref="O701">IF($F701&lt;&gt;"",XLOOKUP($F701,Productos!$A:$A,Productos!H:H,"Revisar"),"")</f>
        <v/>
      </c>
      <c r="P701" s="179" t="str">
        <f t="array" ref="P701">IF($F701&lt;&gt;"", XLOOKUP($F701,Productos!$A$2:$A1001,Productos!I$2:I1001,"")*$G701,"")</f>
        <v/>
      </c>
      <c r="Q701" s="179" t="str">
        <f t="array" ref="Q701">IF($F701&lt;&gt;"",XLOOKUP($F701,Productos!$A:$A,Productos!J:J,"Revisar"),"")</f>
        <v/>
      </c>
      <c r="R701" s="179" t="str">
        <f t="array" ref="R701">IF($F701&lt;&gt;"", XLOOKUP($F701,Productos!$A$2:$A1001,Productos!K$2:K1001,"")*$G701,"")</f>
        <v/>
      </c>
      <c r="S701" s="179" t="str">
        <f t="array" ref="S701">IF($F701&lt;&gt;"",XLOOKUP($F701,Productos!$A:$A,Productos!L:L,"Revisar"),"")</f>
        <v/>
      </c>
      <c r="T701" s="179" t="str">
        <f t="array" ref="T701">IF($F701&lt;&gt;"", XLOOKUP($F701,Productos!$A$2:$A1001,Productos!M$2:M1001,"")*$G701,"")</f>
        <v/>
      </c>
      <c r="U701" s="179" t="str">
        <f t="array" ref="U701">IF($F701&lt;&gt;"",XLOOKUP($F701,Productos!$A:$A,Productos!N:N,"Revisar"),"")</f>
        <v/>
      </c>
      <c r="V701" s="179" t="str">
        <f t="array" ref="V701">IF($F701&lt;&gt;"", XLOOKUP($F701,Productos!$A$2:$A1001,Productos!O$2:O1001,"")*$G701,"")</f>
        <v/>
      </c>
      <c r="W701" s="179" t="str">
        <f t="array" ref="W701">IF($F701&lt;&gt;"",XLOOKUP($F701,Productos!$A:$A,Productos!P:P,"Revisar"),"")</f>
        <v/>
      </c>
      <c r="X701" s="179" t="str">
        <f t="array" ref="X701">IF($F701&lt;&gt;"", XLOOKUP($F701,Productos!$A$2:$A1001,Productos!Q$2:Q1001,"")*$G701,"")</f>
        <v/>
      </c>
      <c r="Y701" s="179" t="str">
        <f t="array" ref="Y701">IF($F701&lt;&gt;"",XLOOKUP($F701,Productos!$A:$A,Productos!R:R,"Revisar"),"")</f>
        <v/>
      </c>
      <c r="Z701" s="179" t="str">
        <f t="array" ref="Z701">IF($F701&lt;&gt;"", XLOOKUP($F701,Productos!$A$2:$A1001,Productos!S$2:S1001,"")*$G701,"")</f>
        <v/>
      </c>
      <c r="AA701" s="179" t="str">
        <f t="array" ref="AA701">IF($F701&lt;&gt;"",XLOOKUP($F701,Productos!$A:$A,Productos!T:T,"Revisar"),"")</f>
        <v/>
      </c>
      <c r="AB701" s="179" t="str">
        <f t="array" ref="AB701">IF($F701&lt;&gt;"", XLOOKUP($F701,Productos!$A$2:$A1001,Productos!U$2:U1001,"")*$G701,"")</f>
        <v/>
      </c>
      <c r="AC701" s="179" t="str">
        <f t="array" ref="AC701">IF($F701&lt;&gt;"",XLOOKUP($F701,Productos!$A:$A,Productos!V:V,"Revisar"),"")</f>
        <v/>
      </c>
      <c r="AD701" s="179" t="str">
        <f t="array" ref="AD701">IF($F701&lt;&gt;"", XLOOKUP($F701,Productos!$A$2:$A1001,Productos!W$2:W1001,"")*$G701,"")</f>
        <v/>
      </c>
      <c r="AE701" s="179" t="str">
        <f t="array" ref="AE701">IF($F701&lt;&gt;"",XLOOKUP($F701,Productos!$A:$A,Productos!X:X,"Revisar"),"")</f>
        <v/>
      </c>
      <c r="AF701" s="179" t="str">
        <f t="array" ref="AF701">IF($F701&lt;&gt;"", XLOOKUP($F701,Productos!$A$2:$A1001,Productos!Y$2:Y1001,"")*$G701,"")</f>
        <v/>
      </c>
      <c r="AG701" s="179" t="str">
        <f t="array" ref="AG701">IF($F701&lt;&gt;"",XLOOKUP($F701,Productos!$A:$A,Productos!Z:Z,"Revisar"),"")</f>
        <v/>
      </c>
      <c r="AH701" s="179" t="str">
        <f t="array" ref="AH701">IF($F701&lt;&gt;"", XLOOKUP($F701,Productos!$A$2:$A1001,Productos!AA$2:AA1001,"")*$G701,"")</f>
        <v/>
      </c>
      <c r="AI701" s="179" t="str">
        <f t="array" ref="AI701">IF($F701&lt;&gt;"",XLOOKUP($F701,Productos!$A:$A,Productos!AB:AB,"Revisar"),"")</f>
        <v/>
      </c>
      <c r="AJ701" s="179" t="str">
        <f t="array" ref="AJ701">IF($F701&lt;&gt;"", XLOOKUP($F701,Productos!$A$2:$A1001,Productos!AC$2:AC1001,"")*$G701,"")</f>
        <v/>
      </c>
      <c r="AK701" s="179" t="str">
        <f t="array" ref="AK701">IF($F701&lt;&gt;"",XLOOKUP($F701,Productos!$A:$A,Productos!AD:AD,"Revisar"),"")</f>
        <v/>
      </c>
      <c r="AL701" s="179" t="str">
        <f t="array" ref="AL701">IF($F701&lt;&gt;"", XLOOKUP($F701,Productos!$A$2:$A1001,Productos!AE$2:AE1001,"")*$G701,"")</f>
        <v/>
      </c>
      <c r="AM701" s="179" t="str">
        <f t="array" ref="AM701">IF($F701&lt;&gt;"",XLOOKUP($F701,Productos!$A:$A,Productos!AF:AF,"Revisar"),"")</f>
        <v/>
      </c>
      <c r="AN701" s="179" t="str">
        <f t="array" ref="AN701">IF($F701&lt;&gt;"", XLOOKUP($F701,Productos!$A$2:$A1001,Productos!AG$2:AG1001,"")*$G701,"")</f>
        <v/>
      </c>
      <c r="AO701" s="179" t="str">
        <f t="array" ref="AO701">IF($F701&lt;&gt;"",XLOOKUP($F701,Productos!$A:$A,Productos!AH:AH,"Revisar"),"")</f>
        <v/>
      </c>
      <c r="AP701" s="179" t="str">
        <f t="array" ref="AP701">IF($F701&lt;&gt;"", XLOOKUP($F701,Productos!$A$2:$A1001,Productos!AI$2:AI1001,"")*$G701,"")</f>
        <v/>
      </c>
      <c r="AQ701" s="179" t="str">
        <f t="array" ref="AQ701">IF($F701&lt;&gt;"",XLOOKUP($F701,Productos!$A:$A,Productos!AJ:AJ,"Revisar"),"")</f>
        <v/>
      </c>
      <c r="AR701" s="179" t="str">
        <f t="array" ref="AR701">IF($F701&lt;&gt;"", XLOOKUP($F701,Productos!$A$2:$A1001,Productos!AK$2:AK1001,"")*$G701,"")</f>
        <v/>
      </c>
      <c r="AS701" s="179" t="str">
        <f t="array" ref="AS701">IF($F701&lt;&gt;"",XLOOKUP($F701,Productos!$A:$A,Productos!AL:AL,"Revisar"),"")</f>
        <v/>
      </c>
      <c r="AT701" s="179" t="str">
        <f t="array" ref="AT701">IF($F701&lt;&gt;"", XLOOKUP($F701,Productos!$A$2:$A1001,Productos!AM$2:AM1001,"")*$G701,"")</f>
        <v/>
      </c>
      <c r="AU701" s="179" t="str">
        <f t="array" ref="AU701">IF($F701&lt;&gt;"",XLOOKUP($F701,Productos!$A:$A,Productos!AN:AN,"Revisar"),"")</f>
        <v/>
      </c>
      <c r="AV701" s="179" t="str">
        <f t="array" ref="AV701">IF($F701&lt;&gt;"", XLOOKUP($F701,Productos!$A$2:$A1001,Productos!AO$2:AO1001,"")*$G701,"")</f>
        <v/>
      </c>
      <c r="AW701" s="179" t="str">
        <f t="array" ref="AW701">IF($F701&lt;&gt;"",XLOOKUP($F701,Productos!$A:$A,Productos!AP:AP,"Revisar"),"")</f>
        <v/>
      </c>
      <c r="AX701" s="179" t="str">
        <f t="array" ref="AX701">IF($F701&lt;&gt;"", XLOOKUP($F701,Productos!$A$2:$A1001,Productos!AQ$2:AQ1001,"")*$G701,"")</f>
        <v/>
      </c>
      <c r="AY701" s="179" t="str">
        <f t="array" ref="AY701">IF($F701&lt;&gt;"",XLOOKUP($F701,Productos!$A:$A,Productos!AR:AR,"Revisar"),"")</f>
        <v/>
      </c>
      <c r="AZ701" s="179" t="str">
        <f t="array" ref="AZ701">IF($F701&lt;&gt;"", XLOOKUP($F701,Productos!$A$2:$A1001,Productos!AS$2:AS1001,"")*$G701,"")</f>
        <v/>
      </c>
      <c r="BA701" s="179" t="str">
        <f t="array" ref="BA701">IF($F701&lt;&gt;"",XLOOKUP($F701,Productos!$A:$A,Productos!AT:AT,"Revisar"),"")</f>
        <v/>
      </c>
      <c r="BB701" s="179" t="str">
        <f t="array" ref="BB701">IF($F701&lt;&gt;"", XLOOKUP($F701,Productos!$A$2:$A1001,Productos!AU$2:AU1001,"")*$G701,"")</f>
        <v/>
      </c>
      <c r="BC701" s="179" t="str">
        <f t="array" ref="BC701">IF($F701&lt;&gt;"",XLOOKUP($F701,Productos!$A:$A,Productos!AV:AV,"Revisar"),"")</f>
        <v/>
      </c>
      <c r="BD701" s="179" t="str">
        <f t="array" ref="BD701">IF($F701&lt;&gt;"", XLOOKUP($F701,Productos!$A$2:$A1001,Productos!AW$2:AW1001,"")*$G701,"")</f>
        <v/>
      </c>
      <c r="BE701" s="179" t="str">
        <f t="array" ref="BE701">IF($F701&lt;&gt;"",XLOOKUP($F701,Productos!$A:$A,Productos!AX:AX,"Revisar"),"")</f>
        <v/>
      </c>
      <c r="BF701" s="179" t="str">
        <f t="array" ref="BF701">IF($F701&lt;&gt;"", XLOOKUP($F701,Productos!$A$2:$A1001,Productos!AY$2:AY1001,"")*$G701,"")</f>
        <v/>
      </c>
      <c r="BG701" s="179" t="str">
        <f t="array" ref="BG701">IF($F701&lt;&gt;"",XLOOKUP($F701,Productos!$A:$A,Productos!AZ:AZ,"Revisar"),"")</f>
        <v/>
      </c>
      <c r="BH701" s="179" t="str">
        <f t="array" ref="BH701">IF($F701&lt;&gt;"", XLOOKUP($F701,Productos!$A$2:$A1001,Productos!BA$2:BA1001,"")*$G701,"")</f>
        <v/>
      </c>
      <c r="BI701" s="179" t="str">
        <f t="array" ref="BI701">IF($F701&lt;&gt;"",XLOOKUP($F701,Productos!$A:$A,Productos!BB:BB,"Revisar"),"")</f>
        <v/>
      </c>
      <c r="BJ701" s="179" t="str">
        <f t="array" ref="BJ701">IF($F701&lt;&gt;"", XLOOKUP($F701,Productos!$A$2:$A1001,Productos!BC$2:BC1001,"")*$G701,"")</f>
        <v/>
      </c>
      <c r="BK701" s="179" t="str">
        <f t="array" ref="BK701">IF($F701&lt;&gt;"",XLOOKUP($F701,Productos!$A:$A,Productos!BD:BD,"Revisar"),"")</f>
        <v/>
      </c>
      <c r="BL701" s="179" t="str">
        <f t="array" ref="BL701">IF($F701&lt;&gt;"", XLOOKUP($F701,Productos!$A$2:$A1001,Productos!BE$2:BE1001,"")*$G701,"")</f>
        <v/>
      </c>
      <c r="BM701" s="179" t="str">
        <f t="array" ref="BM701">IF($F701&lt;&gt;"",XLOOKUP($F701,Productos!$A:$A,Productos!BF:BF,"Revisar"),"")</f>
        <v/>
      </c>
      <c r="BN701" s="179" t="str">
        <f t="array" ref="BN701">IF($F701&lt;&gt;"", XLOOKUP($F701,Productos!$A$2:$A1001,Productos!BG$2:BG1001,"")*$G701,"")</f>
        <v/>
      </c>
      <c r="BO701" s="179" t="str">
        <f t="array" ref="BO701">IF($F701&lt;&gt;"",XLOOKUP($F701,Productos!$A:$A,Productos!BH:BH,"Revisar"),"")</f>
        <v/>
      </c>
      <c r="BP701" s="179" t="str">
        <f t="array" ref="BP701">IF($F701&lt;&gt;"", XLOOKUP($F701,Productos!$A$2:$A1001,Productos!BI$2:BI1001,"")*$G701,"")</f>
        <v/>
      </c>
      <c r="BQ701" s="179" t="str">
        <f t="array" ref="BQ701">IF($F701&lt;&gt;"",XLOOKUP($F701,Productos!$A:$A,Productos!BJ:BJ,"Revisar"),"")</f>
        <v/>
      </c>
      <c r="BR701" s="179" t="str">
        <f t="array" ref="BR701">IF($F701&lt;&gt;"", XLOOKUP($F701,Productos!$A$2:$A1001,Productos!BK$2:BK1001,"")*$G701,"")</f>
        <v/>
      </c>
      <c r="BS701" s="179" t="str">
        <f t="array" ref="BS701">IF($F701&lt;&gt;"",XLOOKUP($F701,Productos!$A:$A,Productos!BL:BL,"Revisar"),"")</f>
        <v/>
      </c>
      <c r="BT701" s="179" t="str">
        <f t="array" ref="BT701">IF($F701&lt;&gt;"", XLOOKUP($F701,Productos!$A$2:$A1001,Productos!BM$2:BM1001,"")*$G701,"")</f>
        <v/>
      </c>
      <c r="BU701" s="179" t="str">
        <f t="array" ref="BU701">IF($F701&lt;&gt;"",XLOOKUP($F701,Productos!$A:$A,Productos!BN:BN,"Revisar"),"")</f>
        <v/>
      </c>
      <c r="BV701" s="179" t="str">
        <f t="array" ref="BV701">IF($F701&lt;&gt;"", XLOOKUP($F701,Productos!$A$2:$A1001,Productos!BO$2:BO1001,"")*$G701,"")</f>
        <v/>
      </c>
      <c r="BW701" s="179" t="str">
        <f t="array" ref="BW701">IF($F701&lt;&gt;"",XLOOKUP($F701,Productos!$A:$A,Productos!BP:BP,"Revisar"),"")</f>
        <v/>
      </c>
      <c r="BX701" s="179" t="str">
        <f t="array" ref="BX701">IF($F701&lt;&gt;"", XLOOKUP($F701,Productos!$A$2:$A1001,Productos!BQ$2:BQ1001,"")*$G701,"")</f>
        <v/>
      </c>
      <c r="BY701" s="179" t="str">
        <f t="array" ref="BY701">IF($F701&lt;&gt;"",XLOOKUP($F701,Productos!$A:$A,Productos!BR:BR,"Revisar"),"")</f>
        <v/>
      </c>
      <c r="BZ701" s="179" t="str">
        <f t="array" ref="BZ701">IF($F701&lt;&gt;"", XLOOKUP($F701,Productos!$A$2:$A1001,Productos!BS$2:BS1001,"")*$G701,"")</f>
        <v/>
      </c>
    </row>
    <row r="702">
      <c r="A702" s="188"/>
      <c r="B702" s="189"/>
      <c r="C702" s="190"/>
      <c r="D702" s="190"/>
      <c r="E702" s="191"/>
      <c r="F702" s="186"/>
      <c r="G702" s="192"/>
      <c r="H702" s="9"/>
      <c r="I702" s="179" t="str">
        <f t="array" ref="I702">IF($F702&lt;&gt;"",XLOOKUP($F702,Productos!$A:$A,Productos!B:B,"Revisar"),"")</f>
        <v/>
      </c>
      <c r="J702" s="179" t="str">
        <f t="array" ref="J702">IF($F702&lt;&gt;"", XLOOKUP($F702,Productos!$A$2:$A1001,Productos!C$2:C1001,"")*$G702,"")</f>
        <v/>
      </c>
      <c r="K702" s="179" t="str">
        <f t="array" ref="K702">IF($F702&lt;&gt;"",XLOOKUP($F702,Productos!$A:$A,Productos!D:D,"Revisar"),"")</f>
        <v/>
      </c>
      <c r="L702" s="179" t="str">
        <f t="array" ref="L702">IF($F702&lt;&gt;"", XLOOKUP($F702,Productos!$A$2:$A1001,Productos!E$2:E1001,"")*$G702,"")</f>
        <v/>
      </c>
      <c r="M702" s="179" t="str">
        <f t="array" ref="M702">IF($F702&lt;&gt;"",XLOOKUP($F702,Productos!$A:$A,Productos!F:F,"Revisar"),"")</f>
        <v/>
      </c>
      <c r="N702" s="179" t="str">
        <f t="array" ref="N702">IF($F702&lt;&gt;"", XLOOKUP($F702,Productos!$A$2:$A1001,Productos!G$2:G1001,"")*$G702,"")</f>
        <v/>
      </c>
      <c r="O702" s="179" t="str">
        <f t="array" ref="O702">IF($F702&lt;&gt;"",XLOOKUP($F702,Productos!$A:$A,Productos!H:H,"Revisar"),"")</f>
        <v/>
      </c>
      <c r="P702" s="179" t="str">
        <f t="array" ref="P702">IF($F702&lt;&gt;"", XLOOKUP($F702,Productos!$A$2:$A1001,Productos!I$2:I1001,"")*$G702,"")</f>
        <v/>
      </c>
      <c r="Q702" s="179" t="str">
        <f t="array" ref="Q702">IF($F702&lt;&gt;"",XLOOKUP($F702,Productos!$A:$A,Productos!J:J,"Revisar"),"")</f>
        <v/>
      </c>
      <c r="R702" s="179" t="str">
        <f t="array" ref="R702">IF($F702&lt;&gt;"", XLOOKUP($F702,Productos!$A$2:$A1001,Productos!K$2:K1001,"")*$G702,"")</f>
        <v/>
      </c>
      <c r="S702" s="179" t="str">
        <f t="array" ref="S702">IF($F702&lt;&gt;"",XLOOKUP($F702,Productos!$A:$A,Productos!L:L,"Revisar"),"")</f>
        <v/>
      </c>
      <c r="T702" s="179" t="str">
        <f t="array" ref="T702">IF($F702&lt;&gt;"", XLOOKUP($F702,Productos!$A$2:$A1001,Productos!M$2:M1001,"")*$G702,"")</f>
        <v/>
      </c>
      <c r="U702" s="179" t="str">
        <f t="array" ref="U702">IF($F702&lt;&gt;"",XLOOKUP($F702,Productos!$A:$A,Productos!N:N,"Revisar"),"")</f>
        <v/>
      </c>
      <c r="V702" s="179" t="str">
        <f t="array" ref="V702">IF($F702&lt;&gt;"", XLOOKUP($F702,Productos!$A$2:$A1001,Productos!O$2:O1001,"")*$G702,"")</f>
        <v/>
      </c>
      <c r="W702" s="179" t="str">
        <f t="array" ref="W702">IF($F702&lt;&gt;"",XLOOKUP($F702,Productos!$A:$A,Productos!P:P,"Revisar"),"")</f>
        <v/>
      </c>
      <c r="X702" s="179" t="str">
        <f t="array" ref="X702">IF($F702&lt;&gt;"", XLOOKUP($F702,Productos!$A$2:$A1001,Productos!Q$2:Q1001,"")*$G702,"")</f>
        <v/>
      </c>
      <c r="Y702" s="179" t="str">
        <f t="array" ref="Y702">IF($F702&lt;&gt;"",XLOOKUP($F702,Productos!$A:$A,Productos!R:R,"Revisar"),"")</f>
        <v/>
      </c>
      <c r="Z702" s="179" t="str">
        <f t="array" ref="Z702">IF($F702&lt;&gt;"", XLOOKUP($F702,Productos!$A$2:$A1001,Productos!S$2:S1001,"")*$G702,"")</f>
        <v/>
      </c>
      <c r="AA702" s="179" t="str">
        <f t="array" ref="AA702">IF($F702&lt;&gt;"",XLOOKUP($F702,Productos!$A:$A,Productos!T:T,"Revisar"),"")</f>
        <v/>
      </c>
      <c r="AB702" s="179" t="str">
        <f t="array" ref="AB702">IF($F702&lt;&gt;"", XLOOKUP($F702,Productos!$A$2:$A1001,Productos!U$2:U1001,"")*$G702,"")</f>
        <v/>
      </c>
      <c r="AC702" s="179" t="str">
        <f t="array" ref="AC702">IF($F702&lt;&gt;"",XLOOKUP($F702,Productos!$A:$A,Productos!V:V,"Revisar"),"")</f>
        <v/>
      </c>
      <c r="AD702" s="179" t="str">
        <f t="array" ref="AD702">IF($F702&lt;&gt;"", XLOOKUP($F702,Productos!$A$2:$A1001,Productos!W$2:W1001,"")*$G702,"")</f>
        <v/>
      </c>
      <c r="AE702" s="179" t="str">
        <f t="array" ref="AE702">IF($F702&lt;&gt;"",XLOOKUP($F702,Productos!$A:$A,Productos!X:X,"Revisar"),"")</f>
        <v/>
      </c>
      <c r="AF702" s="179" t="str">
        <f t="array" ref="AF702">IF($F702&lt;&gt;"", XLOOKUP($F702,Productos!$A$2:$A1001,Productos!Y$2:Y1001,"")*$G702,"")</f>
        <v/>
      </c>
      <c r="AG702" s="179" t="str">
        <f t="array" ref="AG702">IF($F702&lt;&gt;"",XLOOKUP($F702,Productos!$A:$A,Productos!Z:Z,"Revisar"),"")</f>
        <v/>
      </c>
      <c r="AH702" s="179" t="str">
        <f t="array" ref="AH702">IF($F702&lt;&gt;"", XLOOKUP($F702,Productos!$A$2:$A1001,Productos!AA$2:AA1001,"")*$G702,"")</f>
        <v/>
      </c>
      <c r="AI702" s="179" t="str">
        <f t="array" ref="AI702">IF($F702&lt;&gt;"",XLOOKUP($F702,Productos!$A:$A,Productos!AB:AB,"Revisar"),"")</f>
        <v/>
      </c>
      <c r="AJ702" s="179" t="str">
        <f t="array" ref="AJ702">IF($F702&lt;&gt;"", XLOOKUP($F702,Productos!$A$2:$A1001,Productos!AC$2:AC1001,"")*$G702,"")</f>
        <v/>
      </c>
      <c r="AK702" s="179" t="str">
        <f t="array" ref="AK702">IF($F702&lt;&gt;"",XLOOKUP($F702,Productos!$A:$A,Productos!AD:AD,"Revisar"),"")</f>
        <v/>
      </c>
      <c r="AL702" s="179" t="str">
        <f t="array" ref="AL702">IF($F702&lt;&gt;"", XLOOKUP($F702,Productos!$A$2:$A1001,Productos!AE$2:AE1001,"")*$G702,"")</f>
        <v/>
      </c>
      <c r="AM702" s="179" t="str">
        <f t="array" ref="AM702">IF($F702&lt;&gt;"",XLOOKUP($F702,Productos!$A:$A,Productos!AF:AF,"Revisar"),"")</f>
        <v/>
      </c>
      <c r="AN702" s="179" t="str">
        <f t="array" ref="AN702">IF($F702&lt;&gt;"", XLOOKUP($F702,Productos!$A$2:$A1001,Productos!AG$2:AG1001,"")*$G702,"")</f>
        <v/>
      </c>
      <c r="AO702" s="179" t="str">
        <f t="array" ref="AO702">IF($F702&lt;&gt;"",XLOOKUP($F702,Productos!$A:$A,Productos!AH:AH,"Revisar"),"")</f>
        <v/>
      </c>
      <c r="AP702" s="179" t="str">
        <f t="array" ref="AP702">IF($F702&lt;&gt;"", XLOOKUP($F702,Productos!$A$2:$A1001,Productos!AI$2:AI1001,"")*$G702,"")</f>
        <v/>
      </c>
      <c r="AQ702" s="179" t="str">
        <f t="array" ref="AQ702">IF($F702&lt;&gt;"",XLOOKUP($F702,Productos!$A:$A,Productos!AJ:AJ,"Revisar"),"")</f>
        <v/>
      </c>
      <c r="AR702" s="179" t="str">
        <f t="array" ref="AR702">IF($F702&lt;&gt;"", XLOOKUP($F702,Productos!$A$2:$A1001,Productos!AK$2:AK1001,"")*$G702,"")</f>
        <v/>
      </c>
      <c r="AS702" s="179" t="str">
        <f t="array" ref="AS702">IF($F702&lt;&gt;"",XLOOKUP($F702,Productos!$A:$A,Productos!AL:AL,"Revisar"),"")</f>
        <v/>
      </c>
      <c r="AT702" s="179" t="str">
        <f t="array" ref="AT702">IF($F702&lt;&gt;"", XLOOKUP($F702,Productos!$A$2:$A1001,Productos!AM$2:AM1001,"")*$G702,"")</f>
        <v/>
      </c>
      <c r="AU702" s="179" t="str">
        <f t="array" ref="AU702">IF($F702&lt;&gt;"",XLOOKUP($F702,Productos!$A:$A,Productos!AN:AN,"Revisar"),"")</f>
        <v/>
      </c>
      <c r="AV702" s="179" t="str">
        <f t="array" ref="AV702">IF($F702&lt;&gt;"", XLOOKUP($F702,Productos!$A$2:$A1001,Productos!AO$2:AO1001,"")*$G702,"")</f>
        <v/>
      </c>
      <c r="AW702" s="179" t="str">
        <f t="array" ref="AW702">IF($F702&lt;&gt;"",XLOOKUP($F702,Productos!$A:$A,Productos!AP:AP,"Revisar"),"")</f>
        <v/>
      </c>
      <c r="AX702" s="179" t="str">
        <f t="array" ref="AX702">IF($F702&lt;&gt;"", XLOOKUP($F702,Productos!$A$2:$A1001,Productos!AQ$2:AQ1001,"")*$G702,"")</f>
        <v/>
      </c>
      <c r="AY702" s="179" t="str">
        <f t="array" ref="AY702">IF($F702&lt;&gt;"",XLOOKUP($F702,Productos!$A:$A,Productos!AR:AR,"Revisar"),"")</f>
        <v/>
      </c>
      <c r="AZ702" s="179" t="str">
        <f t="array" ref="AZ702">IF($F702&lt;&gt;"", XLOOKUP($F702,Productos!$A$2:$A1001,Productos!AS$2:AS1001,"")*$G702,"")</f>
        <v/>
      </c>
      <c r="BA702" s="179" t="str">
        <f t="array" ref="BA702">IF($F702&lt;&gt;"",XLOOKUP($F702,Productos!$A:$A,Productos!AT:AT,"Revisar"),"")</f>
        <v/>
      </c>
      <c r="BB702" s="179" t="str">
        <f t="array" ref="BB702">IF($F702&lt;&gt;"", XLOOKUP($F702,Productos!$A$2:$A1001,Productos!AU$2:AU1001,"")*$G702,"")</f>
        <v/>
      </c>
      <c r="BC702" s="179" t="str">
        <f t="array" ref="BC702">IF($F702&lt;&gt;"",XLOOKUP($F702,Productos!$A:$A,Productos!AV:AV,"Revisar"),"")</f>
        <v/>
      </c>
      <c r="BD702" s="179" t="str">
        <f t="array" ref="BD702">IF($F702&lt;&gt;"", XLOOKUP($F702,Productos!$A$2:$A1001,Productos!AW$2:AW1001,"")*$G702,"")</f>
        <v/>
      </c>
      <c r="BE702" s="179" t="str">
        <f t="array" ref="BE702">IF($F702&lt;&gt;"",XLOOKUP($F702,Productos!$A:$A,Productos!AX:AX,"Revisar"),"")</f>
        <v/>
      </c>
      <c r="BF702" s="179" t="str">
        <f t="array" ref="BF702">IF($F702&lt;&gt;"", XLOOKUP($F702,Productos!$A$2:$A1001,Productos!AY$2:AY1001,"")*$G702,"")</f>
        <v/>
      </c>
      <c r="BG702" s="179" t="str">
        <f t="array" ref="BG702">IF($F702&lt;&gt;"",XLOOKUP($F702,Productos!$A:$A,Productos!AZ:AZ,"Revisar"),"")</f>
        <v/>
      </c>
      <c r="BH702" s="179" t="str">
        <f t="array" ref="BH702">IF($F702&lt;&gt;"", XLOOKUP($F702,Productos!$A$2:$A1001,Productos!BA$2:BA1001,"")*$G702,"")</f>
        <v/>
      </c>
      <c r="BI702" s="179" t="str">
        <f t="array" ref="BI702">IF($F702&lt;&gt;"",XLOOKUP($F702,Productos!$A:$A,Productos!BB:BB,"Revisar"),"")</f>
        <v/>
      </c>
      <c r="BJ702" s="179" t="str">
        <f t="array" ref="BJ702">IF($F702&lt;&gt;"", XLOOKUP($F702,Productos!$A$2:$A1001,Productos!BC$2:BC1001,"")*$G702,"")</f>
        <v/>
      </c>
      <c r="BK702" s="179" t="str">
        <f t="array" ref="BK702">IF($F702&lt;&gt;"",XLOOKUP($F702,Productos!$A:$A,Productos!BD:BD,"Revisar"),"")</f>
        <v/>
      </c>
      <c r="BL702" s="179" t="str">
        <f t="array" ref="BL702">IF($F702&lt;&gt;"", XLOOKUP($F702,Productos!$A$2:$A1001,Productos!BE$2:BE1001,"")*$G702,"")</f>
        <v/>
      </c>
      <c r="BM702" s="179" t="str">
        <f t="array" ref="BM702">IF($F702&lt;&gt;"",XLOOKUP($F702,Productos!$A:$A,Productos!BF:BF,"Revisar"),"")</f>
        <v/>
      </c>
      <c r="BN702" s="179" t="str">
        <f t="array" ref="BN702">IF($F702&lt;&gt;"", XLOOKUP($F702,Productos!$A$2:$A1001,Productos!BG$2:BG1001,"")*$G702,"")</f>
        <v/>
      </c>
      <c r="BO702" s="179" t="str">
        <f t="array" ref="BO702">IF($F702&lt;&gt;"",XLOOKUP($F702,Productos!$A:$A,Productos!BH:BH,"Revisar"),"")</f>
        <v/>
      </c>
      <c r="BP702" s="179" t="str">
        <f t="array" ref="BP702">IF($F702&lt;&gt;"", XLOOKUP($F702,Productos!$A$2:$A1001,Productos!BI$2:BI1001,"")*$G702,"")</f>
        <v/>
      </c>
      <c r="BQ702" s="179" t="str">
        <f t="array" ref="BQ702">IF($F702&lt;&gt;"",XLOOKUP($F702,Productos!$A:$A,Productos!BJ:BJ,"Revisar"),"")</f>
        <v/>
      </c>
      <c r="BR702" s="179" t="str">
        <f t="array" ref="BR702">IF($F702&lt;&gt;"", XLOOKUP($F702,Productos!$A$2:$A1001,Productos!BK$2:BK1001,"")*$G702,"")</f>
        <v/>
      </c>
      <c r="BS702" s="179" t="str">
        <f t="array" ref="BS702">IF($F702&lt;&gt;"",XLOOKUP($F702,Productos!$A:$A,Productos!BL:BL,"Revisar"),"")</f>
        <v/>
      </c>
      <c r="BT702" s="179" t="str">
        <f t="array" ref="BT702">IF($F702&lt;&gt;"", XLOOKUP($F702,Productos!$A$2:$A1001,Productos!BM$2:BM1001,"")*$G702,"")</f>
        <v/>
      </c>
      <c r="BU702" s="179" t="str">
        <f t="array" ref="BU702">IF($F702&lt;&gt;"",XLOOKUP($F702,Productos!$A:$A,Productos!BN:BN,"Revisar"),"")</f>
        <v/>
      </c>
      <c r="BV702" s="179" t="str">
        <f t="array" ref="BV702">IF($F702&lt;&gt;"", XLOOKUP($F702,Productos!$A$2:$A1001,Productos!BO$2:BO1001,"")*$G702,"")</f>
        <v/>
      </c>
      <c r="BW702" s="179" t="str">
        <f t="array" ref="BW702">IF($F702&lt;&gt;"",XLOOKUP($F702,Productos!$A:$A,Productos!BP:BP,"Revisar"),"")</f>
        <v/>
      </c>
      <c r="BX702" s="179" t="str">
        <f t="array" ref="BX702">IF($F702&lt;&gt;"", XLOOKUP($F702,Productos!$A$2:$A1001,Productos!BQ$2:BQ1001,"")*$G702,"")</f>
        <v/>
      </c>
      <c r="BY702" s="179" t="str">
        <f t="array" ref="BY702">IF($F702&lt;&gt;"",XLOOKUP($F702,Productos!$A:$A,Productos!BR:BR,"Revisar"),"")</f>
        <v/>
      </c>
      <c r="BZ702" s="179" t="str">
        <f t="array" ref="BZ702">IF($F702&lt;&gt;"", XLOOKUP($F702,Productos!$A$2:$A1001,Productos!BS$2:BS1001,"")*$G702,"")</f>
        <v/>
      </c>
    </row>
    <row r="703">
      <c r="A703" s="188"/>
      <c r="B703" s="189"/>
      <c r="C703" s="190"/>
      <c r="D703" s="190"/>
      <c r="E703" s="191"/>
      <c r="F703" s="186"/>
      <c r="G703" s="192"/>
      <c r="H703" s="9"/>
      <c r="I703" s="179" t="str">
        <f t="array" ref="I703">IF($F703&lt;&gt;"",XLOOKUP($F703,Productos!$A:$A,Productos!B:B,"Revisar"),"")</f>
        <v/>
      </c>
      <c r="J703" s="179" t="str">
        <f t="array" ref="J703">IF($F703&lt;&gt;"", XLOOKUP($F703,Productos!$A$2:$A1001,Productos!C$2:C1001,"")*$G703,"")</f>
        <v/>
      </c>
      <c r="K703" s="179" t="str">
        <f t="array" ref="K703">IF($F703&lt;&gt;"",XLOOKUP($F703,Productos!$A:$A,Productos!D:D,"Revisar"),"")</f>
        <v/>
      </c>
      <c r="L703" s="179" t="str">
        <f t="array" ref="L703">IF($F703&lt;&gt;"", XLOOKUP($F703,Productos!$A$2:$A1001,Productos!E$2:E1001,"")*$G703,"")</f>
        <v/>
      </c>
      <c r="M703" s="179" t="str">
        <f t="array" ref="M703">IF($F703&lt;&gt;"",XLOOKUP($F703,Productos!$A:$A,Productos!F:F,"Revisar"),"")</f>
        <v/>
      </c>
      <c r="N703" s="179" t="str">
        <f t="array" ref="N703">IF($F703&lt;&gt;"", XLOOKUP($F703,Productos!$A$2:$A1001,Productos!G$2:G1001,"")*$G703,"")</f>
        <v/>
      </c>
      <c r="O703" s="179" t="str">
        <f t="array" ref="O703">IF($F703&lt;&gt;"",XLOOKUP($F703,Productos!$A:$A,Productos!H:H,"Revisar"),"")</f>
        <v/>
      </c>
      <c r="P703" s="179" t="str">
        <f t="array" ref="P703">IF($F703&lt;&gt;"", XLOOKUP($F703,Productos!$A$2:$A1001,Productos!I$2:I1001,"")*$G703,"")</f>
        <v/>
      </c>
      <c r="Q703" s="179" t="str">
        <f t="array" ref="Q703">IF($F703&lt;&gt;"",XLOOKUP($F703,Productos!$A:$A,Productos!J:J,"Revisar"),"")</f>
        <v/>
      </c>
      <c r="R703" s="179" t="str">
        <f t="array" ref="R703">IF($F703&lt;&gt;"", XLOOKUP($F703,Productos!$A$2:$A1001,Productos!K$2:K1001,"")*$G703,"")</f>
        <v/>
      </c>
      <c r="S703" s="179" t="str">
        <f t="array" ref="S703">IF($F703&lt;&gt;"",XLOOKUP($F703,Productos!$A:$A,Productos!L:L,"Revisar"),"")</f>
        <v/>
      </c>
      <c r="T703" s="179" t="str">
        <f t="array" ref="T703">IF($F703&lt;&gt;"", XLOOKUP($F703,Productos!$A$2:$A1001,Productos!M$2:M1001,"")*$G703,"")</f>
        <v/>
      </c>
      <c r="U703" s="179" t="str">
        <f t="array" ref="U703">IF($F703&lt;&gt;"",XLOOKUP($F703,Productos!$A:$A,Productos!N:N,"Revisar"),"")</f>
        <v/>
      </c>
      <c r="V703" s="179" t="str">
        <f t="array" ref="V703">IF($F703&lt;&gt;"", XLOOKUP($F703,Productos!$A$2:$A1001,Productos!O$2:O1001,"")*$G703,"")</f>
        <v/>
      </c>
      <c r="W703" s="179" t="str">
        <f t="array" ref="W703">IF($F703&lt;&gt;"",XLOOKUP($F703,Productos!$A:$A,Productos!P:P,"Revisar"),"")</f>
        <v/>
      </c>
      <c r="X703" s="179" t="str">
        <f t="array" ref="X703">IF($F703&lt;&gt;"", XLOOKUP($F703,Productos!$A$2:$A1001,Productos!Q$2:Q1001,"")*$G703,"")</f>
        <v/>
      </c>
      <c r="Y703" s="179" t="str">
        <f t="array" ref="Y703">IF($F703&lt;&gt;"",XLOOKUP($F703,Productos!$A:$A,Productos!R:R,"Revisar"),"")</f>
        <v/>
      </c>
      <c r="Z703" s="179" t="str">
        <f t="array" ref="Z703">IF($F703&lt;&gt;"", XLOOKUP($F703,Productos!$A$2:$A1001,Productos!S$2:S1001,"")*$G703,"")</f>
        <v/>
      </c>
      <c r="AA703" s="179" t="str">
        <f t="array" ref="AA703">IF($F703&lt;&gt;"",XLOOKUP($F703,Productos!$A:$A,Productos!T:T,"Revisar"),"")</f>
        <v/>
      </c>
      <c r="AB703" s="179" t="str">
        <f t="array" ref="AB703">IF($F703&lt;&gt;"", XLOOKUP($F703,Productos!$A$2:$A1001,Productos!U$2:U1001,"")*$G703,"")</f>
        <v/>
      </c>
      <c r="AC703" s="179" t="str">
        <f t="array" ref="AC703">IF($F703&lt;&gt;"",XLOOKUP($F703,Productos!$A:$A,Productos!V:V,"Revisar"),"")</f>
        <v/>
      </c>
      <c r="AD703" s="179" t="str">
        <f t="array" ref="AD703">IF($F703&lt;&gt;"", XLOOKUP($F703,Productos!$A$2:$A1001,Productos!W$2:W1001,"")*$G703,"")</f>
        <v/>
      </c>
      <c r="AE703" s="179" t="str">
        <f t="array" ref="AE703">IF($F703&lt;&gt;"",XLOOKUP($F703,Productos!$A:$A,Productos!X:X,"Revisar"),"")</f>
        <v/>
      </c>
      <c r="AF703" s="179" t="str">
        <f t="array" ref="AF703">IF($F703&lt;&gt;"", XLOOKUP($F703,Productos!$A$2:$A1001,Productos!Y$2:Y1001,"")*$G703,"")</f>
        <v/>
      </c>
      <c r="AG703" s="179" t="str">
        <f t="array" ref="AG703">IF($F703&lt;&gt;"",XLOOKUP($F703,Productos!$A:$A,Productos!Z:Z,"Revisar"),"")</f>
        <v/>
      </c>
      <c r="AH703" s="179" t="str">
        <f t="array" ref="AH703">IF($F703&lt;&gt;"", XLOOKUP($F703,Productos!$A$2:$A1001,Productos!AA$2:AA1001,"")*$G703,"")</f>
        <v/>
      </c>
      <c r="AI703" s="179" t="str">
        <f t="array" ref="AI703">IF($F703&lt;&gt;"",XLOOKUP($F703,Productos!$A:$A,Productos!AB:AB,"Revisar"),"")</f>
        <v/>
      </c>
      <c r="AJ703" s="179" t="str">
        <f t="array" ref="AJ703">IF($F703&lt;&gt;"", XLOOKUP($F703,Productos!$A$2:$A1001,Productos!AC$2:AC1001,"")*$G703,"")</f>
        <v/>
      </c>
      <c r="AK703" s="179" t="str">
        <f t="array" ref="AK703">IF($F703&lt;&gt;"",XLOOKUP($F703,Productos!$A:$A,Productos!AD:AD,"Revisar"),"")</f>
        <v/>
      </c>
      <c r="AL703" s="179" t="str">
        <f t="array" ref="AL703">IF($F703&lt;&gt;"", XLOOKUP($F703,Productos!$A$2:$A1001,Productos!AE$2:AE1001,"")*$G703,"")</f>
        <v/>
      </c>
      <c r="AM703" s="179" t="str">
        <f t="array" ref="AM703">IF($F703&lt;&gt;"",XLOOKUP($F703,Productos!$A:$A,Productos!AF:AF,"Revisar"),"")</f>
        <v/>
      </c>
      <c r="AN703" s="179" t="str">
        <f t="array" ref="AN703">IF($F703&lt;&gt;"", XLOOKUP($F703,Productos!$A$2:$A1001,Productos!AG$2:AG1001,"")*$G703,"")</f>
        <v/>
      </c>
      <c r="AO703" s="179" t="str">
        <f t="array" ref="AO703">IF($F703&lt;&gt;"",XLOOKUP($F703,Productos!$A:$A,Productos!AH:AH,"Revisar"),"")</f>
        <v/>
      </c>
      <c r="AP703" s="179" t="str">
        <f t="array" ref="AP703">IF($F703&lt;&gt;"", XLOOKUP($F703,Productos!$A$2:$A1001,Productos!AI$2:AI1001,"")*$G703,"")</f>
        <v/>
      </c>
      <c r="AQ703" s="179" t="str">
        <f t="array" ref="AQ703">IF($F703&lt;&gt;"",XLOOKUP($F703,Productos!$A:$A,Productos!AJ:AJ,"Revisar"),"")</f>
        <v/>
      </c>
      <c r="AR703" s="179" t="str">
        <f t="array" ref="AR703">IF($F703&lt;&gt;"", XLOOKUP($F703,Productos!$A$2:$A1001,Productos!AK$2:AK1001,"")*$G703,"")</f>
        <v/>
      </c>
      <c r="AS703" s="179" t="str">
        <f t="array" ref="AS703">IF($F703&lt;&gt;"",XLOOKUP($F703,Productos!$A:$A,Productos!AL:AL,"Revisar"),"")</f>
        <v/>
      </c>
      <c r="AT703" s="179" t="str">
        <f t="array" ref="AT703">IF($F703&lt;&gt;"", XLOOKUP($F703,Productos!$A$2:$A1001,Productos!AM$2:AM1001,"")*$G703,"")</f>
        <v/>
      </c>
      <c r="AU703" s="179" t="str">
        <f t="array" ref="AU703">IF($F703&lt;&gt;"",XLOOKUP($F703,Productos!$A:$A,Productos!AN:AN,"Revisar"),"")</f>
        <v/>
      </c>
      <c r="AV703" s="179" t="str">
        <f t="array" ref="AV703">IF($F703&lt;&gt;"", XLOOKUP($F703,Productos!$A$2:$A1001,Productos!AO$2:AO1001,"")*$G703,"")</f>
        <v/>
      </c>
      <c r="AW703" s="179" t="str">
        <f t="array" ref="AW703">IF($F703&lt;&gt;"",XLOOKUP($F703,Productos!$A:$A,Productos!AP:AP,"Revisar"),"")</f>
        <v/>
      </c>
      <c r="AX703" s="179" t="str">
        <f t="array" ref="AX703">IF($F703&lt;&gt;"", XLOOKUP($F703,Productos!$A$2:$A1001,Productos!AQ$2:AQ1001,"")*$G703,"")</f>
        <v/>
      </c>
      <c r="AY703" s="179" t="str">
        <f t="array" ref="AY703">IF($F703&lt;&gt;"",XLOOKUP($F703,Productos!$A:$A,Productos!AR:AR,"Revisar"),"")</f>
        <v/>
      </c>
      <c r="AZ703" s="179" t="str">
        <f t="array" ref="AZ703">IF($F703&lt;&gt;"", XLOOKUP($F703,Productos!$A$2:$A1001,Productos!AS$2:AS1001,"")*$G703,"")</f>
        <v/>
      </c>
      <c r="BA703" s="179" t="str">
        <f t="array" ref="BA703">IF($F703&lt;&gt;"",XLOOKUP($F703,Productos!$A:$A,Productos!AT:AT,"Revisar"),"")</f>
        <v/>
      </c>
      <c r="BB703" s="179" t="str">
        <f t="array" ref="BB703">IF($F703&lt;&gt;"", XLOOKUP($F703,Productos!$A$2:$A1001,Productos!AU$2:AU1001,"")*$G703,"")</f>
        <v/>
      </c>
      <c r="BC703" s="179" t="str">
        <f t="array" ref="BC703">IF($F703&lt;&gt;"",XLOOKUP($F703,Productos!$A:$A,Productos!AV:AV,"Revisar"),"")</f>
        <v/>
      </c>
      <c r="BD703" s="179" t="str">
        <f t="array" ref="BD703">IF($F703&lt;&gt;"", XLOOKUP($F703,Productos!$A$2:$A1001,Productos!AW$2:AW1001,"")*$G703,"")</f>
        <v/>
      </c>
      <c r="BE703" s="179" t="str">
        <f t="array" ref="BE703">IF($F703&lt;&gt;"",XLOOKUP($F703,Productos!$A:$A,Productos!AX:AX,"Revisar"),"")</f>
        <v/>
      </c>
      <c r="BF703" s="179" t="str">
        <f t="array" ref="BF703">IF($F703&lt;&gt;"", XLOOKUP($F703,Productos!$A$2:$A1001,Productos!AY$2:AY1001,"")*$G703,"")</f>
        <v/>
      </c>
      <c r="BG703" s="179" t="str">
        <f t="array" ref="BG703">IF($F703&lt;&gt;"",XLOOKUP($F703,Productos!$A:$A,Productos!AZ:AZ,"Revisar"),"")</f>
        <v/>
      </c>
      <c r="BH703" s="179" t="str">
        <f t="array" ref="BH703">IF($F703&lt;&gt;"", XLOOKUP($F703,Productos!$A$2:$A1001,Productos!BA$2:BA1001,"")*$G703,"")</f>
        <v/>
      </c>
      <c r="BI703" s="179" t="str">
        <f t="array" ref="BI703">IF($F703&lt;&gt;"",XLOOKUP($F703,Productos!$A:$A,Productos!BB:BB,"Revisar"),"")</f>
        <v/>
      </c>
      <c r="BJ703" s="179" t="str">
        <f t="array" ref="BJ703">IF($F703&lt;&gt;"", XLOOKUP($F703,Productos!$A$2:$A1001,Productos!BC$2:BC1001,"")*$G703,"")</f>
        <v/>
      </c>
      <c r="BK703" s="179" t="str">
        <f t="array" ref="BK703">IF($F703&lt;&gt;"",XLOOKUP($F703,Productos!$A:$A,Productos!BD:BD,"Revisar"),"")</f>
        <v/>
      </c>
      <c r="BL703" s="179" t="str">
        <f t="array" ref="BL703">IF($F703&lt;&gt;"", XLOOKUP($F703,Productos!$A$2:$A1001,Productos!BE$2:BE1001,"")*$G703,"")</f>
        <v/>
      </c>
      <c r="BM703" s="179" t="str">
        <f t="array" ref="BM703">IF($F703&lt;&gt;"",XLOOKUP($F703,Productos!$A:$A,Productos!BF:BF,"Revisar"),"")</f>
        <v/>
      </c>
      <c r="BN703" s="179" t="str">
        <f t="array" ref="BN703">IF($F703&lt;&gt;"", XLOOKUP($F703,Productos!$A$2:$A1001,Productos!BG$2:BG1001,"")*$G703,"")</f>
        <v/>
      </c>
      <c r="BO703" s="179" t="str">
        <f t="array" ref="BO703">IF($F703&lt;&gt;"",XLOOKUP($F703,Productos!$A:$A,Productos!BH:BH,"Revisar"),"")</f>
        <v/>
      </c>
      <c r="BP703" s="179" t="str">
        <f t="array" ref="BP703">IF($F703&lt;&gt;"", XLOOKUP($F703,Productos!$A$2:$A1001,Productos!BI$2:BI1001,"")*$G703,"")</f>
        <v/>
      </c>
      <c r="BQ703" s="179" t="str">
        <f t="array" ref="BQ703">IF($F703&lt;&gt;"",XLOOKUP($F703,Productos!$A:$A,Productos!BJ:BJ,"Revisar"),"")</f>
        <v/>
      </c>
      <c r="BR703" s="179" t="str">
        <f t="array" ref="BR703">IF($F703&lt;&gt;"", XLOOKUP($F703,Productos!$A$2:$A1001,Productos!BK$2:BK1001,"")*$G703,"")</f>
        <v/>
      </c>
      <c r="BS703" s="179" t="str">
        <f t="array" ref="BS703">IF($F703&lt;&gt;"",XLOOKUP($F703,Productos!$A:$A,Productos!BL:BL,"Revisar"),"")</f>
        <v/>
      </c>
      <c r="BT703" s="179" t="str">
        <f t="array" ref="BT703">IF($F703&lt;&gt;"", XLOOKUP($F703,Productos!$A$2:$A1001,Productos!BM$2:BM1001,"")*$G703,"")</f>
        <v/>
      </c>
      <c r="BU703" s="179" t="str">
        <f t="array" ref="BU703">IF($F703&lt;&gt;"",XLOOKUP($F703,Productos!$A:$A,Productos!BN:BN,"Revisar"),"")</f>
        <v/>
      </c>
      <c r="BV703" s="179" t="str">
        <f t="array" ref="BV703">IF($F703&lt;&gt;"", XLOOKUP($F703,Productos!$A$2:$A1001,Productos!BO$2:BO1001,"")*$G703,"")</f>
        <v/>
      </c>
      <c r="BW703" s="179" t="str">
        <f t="array" ref="BW703">IF($F703&lt;&gt;"",XLOOKUP($F703,Productos!$A:$A,Productos!BP:BP,"Revisar"),"")</f>
        <v/>
      </c>
      <c r="BX703" s="179" t="str">
        <f t="array" ref="BX703">IF($F703&lt;&gt;"", XLOOKUP($F703,Productos!$A$2:$A1001,Productos!BQ$2:BQ1001,"")*$G703,"")</f>
        <v/>
      </c>
      <c r="BY703" s="179" t="str">
        <f t="array" ref="BY703">IF($F703&lt;&gt;"",XLOOKUP($F703,Productos!$A:$A,Productos!BR:BR,"Revisar"),"")</f>
        <v/>
      </c>
      <c r="BZ703" s="179" t="str">
        <f t="array" ref="BZ703">IF($F703&lt;&gt;"", XLOOKUP($F703,Productos!$A$2:$A1001,Productos!BS$2:BS1001,"")*$G703,"")</f>
        <v/>
      </c>
    </row>
    <row r="704">
      <c r="A704" s="188"/>
      <c r="B704" s="189"/>
      <c r="C704" s="190"/>
      <c r="D704" s="190"/>
      <c r="E704" s="191"/>
      <c r="F704" s="186"/>
      <c r="G704" s="192"/>
      <c r="H704" s="9"/>
      <c r="I704" s="179" t="str">
        <f t="array" ref="I704">IF($F704&lt;&gt;"",XLOOKUP($F704,Productos!$A:$A,Productos!B:B,"Revisar"),"")</f>
        <v/>
      </c>
      <c r="J704" s="179" t="str">
        <f t="array" ref="J704">IF($F704&lt;&gt;"", XLOOKUP($F704,Productos!$A$2:$A1001,Productos!C$2:C1001,"")*$G704,"")</f>
        <v/>
      </c>
      <c r="K704" s="179" t="str">
        <f t="array" ref="K704">IF($F704&lt;&gt;"",XLOOKUP($F704,Productos!$A:$A,Productos!D:D,"Revisar"),"")</f>
        <v/>
      </c>
      <c r="L704" s="179" t="str">
        <f t="array" ref="L704">IF($F704&lt;&gt;"", XLOOKUP($F704,Productos!$A$2:$A1001,Productos!E$2:E1001,"")*$G704,"")</f>
        <v/>
      </c>
      <c r="M704" s="179" t="str">
        <f t="array" ref="M704">IF($F704&lt;&gt;"",XLOOKUP($F704,Productos!$A:$A,Productos!F:F,"Revisar"),"")</f>
        <v/>
      </c>
      <c r="N704" s="179" t="str">
        <f t="array" ref="N704">IF($F704&lt;&gt;"", XLOOKUP($F704,Productos!$A$2:$A1001,Productos!G$2:G1001,"")*$G704,"")</f>
        <v/>
      </c>
      <c r="O704" s="179" t="str">
        <f t="array" ref="O704">IF($F704&lt;&gt;"",XLOOKUP($F704,Productos!$A:$A,Productos!H:H,"Revisar"),"")</f>
        <v/>
      </c>
      <c r="P704" s="179" t="str">
        <f t="array" ref="P704">IF($F704&lt;&gt;"", XLOOKUP($F704,Productos!$A$2:$A1001,Productos!I$2:I1001,"")*$G704,"")</f>
        <v/>
      </c>
      <c r="Q704" s="179" t="str">
        <f t="array" ref="Q704">IF($F704&lt;&gt;"",XLOOKUP($F704,Productos!$A:$A,Productos!J:J,"Revisar"),"")</f>
        <v/>
      </c>
      <c r="R704" s="179" t="str">
        <f t="array" ref="R704">IF($F704&lt;&gt;"", XLOOKUP($F704,Productos!$A$2:$A1001,Productos!K$2:K1001,"")*$G704,"")</f>
        <v/>
      </c>
      <c r="S704" s="179" t="str">
        <f t="array" ref="S704">IF($F704&lt;&gt;"",XLOOKUP($F704,Productos!$A:$A,Productos!L:L,"Revisar"),"")</f>
        <v/>
      </c>
      <c r="T704" s="179" t="str">
        <f t="array" ref="T704">IF($F704&lt;&gt;"", XLOOKUP($F704,Productos!$A$2:$A1001,Productos!M$2:M1001,"")*$G704,"")</f>
        <v/>
      </c>
      <c r="U704" s="179" t="str">
        <f t="array" ref="U704">IF($F704&lt;&gt;"",XLOOKUP($F704,Productos!$A:$A,Productos!N:N,"Revisar"),"")</f>
        <v/>
      </c>
      <c r="V704" s="179" t="str">
        <f t="array" ref="V704">IF($F704&lt;&gt;"", XLOOKUP($F704,Productos!$A$2:$A1001,Productos!O$2:O1001,"")*$G704,"")</f>
        <v/>
      </c>
      <c r="W704" s="179" t="str">
        <f t="array" ref="W704">IF($F704&lt;&gt;"",XLOOKUP($F704,Productos!$A:$A,Productos!P:P,"Revisar"),"")</f>
        <v/>
      </c>
      <c r="X704" s="179" t="str">
        <f t="array" ref="X704">IF($F704&lt;&gt;"", XLOOKUP($F704,Productos!$A$2:$A1001,Productos!Q$2:Q1001,"")*$G704,"")</f>
        <v/>
      </c>
      <c r="Y704" s="179" t="str">
        <f t="array" ref="Y704">IF($F704&lt;&gt;"",XLOOKUP($F704,Productos!$A:$A,Productos!R:R,"Revisar"),"")</f>
        <v/>
      </c>
      <c r="Z704" s="179" t="str">
        <f t="array" ref="Z704">IF($F704&lt;&gt;"", XLOOKUP($F704,Productos!$A$2:$A1001,Productos!S$2:S1001,"")*$G704,"")</f>
        <v/>
      </c>
      <c r="AA704" s="179" t="str">
        <f t="array" ref="AA704">IF($F704&lt;&gt;"",XLOOKUP($F704,Productos!$A:$A,Productos!T:T,"Revisar"),"")</f>
        <v/>
      </c>
      <c r="AB704" s="179" t="str">
        <f t="array" ref="AB704">IF($F704&lt;&gt;"", XLOOKUP($F704,Productos!$A$2:$A1001,Productos!U$2:U1001,"")*$G704,"")</f>
        <v/>
      </c>
      <c r="AC704" s="179" t="str">
        <f t="array" ref="AC704">IF($F704&lt;&gt;"",XLOOKUP($F704,Productos!$A:$A,Productos!V:V,"Revisar"),"")</f>
        <v/>
      </c>
      <c r="AD704" s="179" t="str">
        <f t="array" ref="AD704">IF($F704&lt;&gt;"", XLOOKUP($F704,Productos!$A$2:$A1001,Productos!W$2:W1001,"")*$G704,"")</f>
        <v/>
      </c>
      <c r="AE704" s="179" t="str">
        <f t="array" ref="AE704">IF($F704&lt;&gt;"",XLOOKUP($F704,Productos!$A:$A,Productos!X:X,"Revisar"),"")</f>
        <v/>
      </c>
      <c r="AF704" s="179" t="str">
        <f t="array" ref="AF704">IF($F704&lt;&gt;"", XLOOKUP($F704,Productos!$A$2:$A1001,Productos!Y$2:Y1001,"")*$G704,"")</f>
        <v/>
      </c>
      <c r="AG704" s="179" t="str">
        <f t="array" ref="AG704">IF($F704&lt;&gt;"",XLOOKUP($F704,Productos!$A:$A,Productos!Z:Z,"Revisar"),"")</f>
        <v/>
      </c>
      <c r="AH704" s="179" t="str">
        <f t="array" ref="AH704">IF($F704&lt;&gt;"", XLOOKUP($F704,Productos!$A$2:$A1001,Productos!AA$2:AA1001,"")*$G704,"")</f>
        <v/>
      </c>
      <c r="AI704" s="179" t="str">
        <f t="array" ref="AI704">IF($F704&lt;&gt;"",XLOOKUP($F704,Productos!$A:$A,Productos!AB:AB,"Revisar"),"")</f>
        <v/>
      </c>
      <c r="AJ704" s="179" t="str">
        <f t="array" ref="AJ704">IF($F704&lt;&gt;"", XLOOKUP($F704,Productos!$A$2:$A1001,Productos!AC$2:AC1001,"")*$G704,"")</f>
        <v/>
      </c>
      <c r="AK704" s="179" t="str">
        <f t="array" ref="AK704">IF($F704&lt;&gt;"",XLOOKUP($F704,Productos!$A:$A,Productos!AD:AD,"Revisar"),"")</f>
        <v/>
      </c>
      <c r="AL704" s="179" t="str">
        <f t="array" ref="AL704">IF($F704&lt;&gt;"", XLOOKUP($F704,Productos!$A$2:$A1001,Productos!AE$2:AE1001,"")*$G704,"")</f>
        <v/>
      </c>
      <c r="AM704" s="179" t="str">
        <f t="array" ref="AM704">IF($F704&lt;&gt;"",XLOOKUP($F704,Productos!$A:$A,Productos!AF:AF,"Revisar"),"")</f>
        <v/>
      </c>
      <c r="AN704" s="179" t="str">
        <f t="array" ref="AN704">IF($F704&lt;&gt;"", XLOOKUP($F704,Productos!$A$2:$A1001,Productos!AG$2:AG1001,"")*$G704,"")</f>
        <v/>
      </c>
      <c r="AO704" s="179" t="str">
        <f t="array" ref="AO704">IF($F704&lt;&gt;"",XLOOKUP($F704,Productos!$A:$A,Productos!AH:AH,"Revisar"),"")</f>
        <v/>
      </c>
      <c r="AP704" s="179" t="str">
        <f t="array" ref="AP704">IF($F704&lt;&gt;"", XLOOKUP($F704,Productos!$A$2:$A1001,Productos!AI$2:AI1001,"")*$G704,"")</f>
        <v/>
      </c>
      <c r="AQ704" s="179" t="str">
        <f t="array" ref="AQ704">IF($F704&lt;&gt;"",XLOOKUP($F704,Productos!$A:$A,Productos!AJ:AJ,"Revisar"),"")</f>
        <v/>
      </c>
      <c r="AR704" s="179" t="str">
        <f t="array" ref="AR704">IF($F704&lt;&gt;"", XLOOKUP($F704,Productos!$A$2:$A1001,Productos!AK$2:AK1001,"")*$G704,"")</f>
        <v/>
      </c>
      <c r="AS704" s="179" t="str">
        <f t="array" ref="AS704">IF($F704&lt;&gt;"",XLOOKUP($F704,Productos!$A:$A,Productos!AL:AL,"Revisar"),"")</f>
        <v/>
      </c>
      <c r="AT704" s="179" t="str">
        <f t="array" ref="AT704">IF($F704&lt;&gt;"", XLOOKUP($F704,Productos!$A$2:$A1001,Productos!AM$2:AM1001,"")*$G704,"")</f>
        <v/>
      </c>
      <c r="AU704" s="179" t="str">
        <f t="array" ref="AU704">IF($F704&lt;&gt;"",XLOOKUP($F704,Productos!$A:$A,Productos!AN:AN,"Revisar"),"")</f>
        <v/>
      </c>
      <c r="AV704" s="179" t="str">
        <f t="array" ref="AV704">IF($F704&lt;&gt;"", XLOOKUP($F704,Productos!$A$2:$A1001,Productos!AO$2:AO1001,"")*$G704,"")</f>
        <v/>
      </c>
      <c r="AW704" s="179" t="str">
        <f t="array" ref="AW704">IF($F704&lt;&gt;"",XLOOKUP($F704,Productos!$A:$A,Productos!AP:AP,"Revisar"),"")</f>
        <v/>
      </c>
      <c r="AX704" s="179" t="str">
        <f t="array" ref="AX704">IF($F704&lt;&gt;"", XLOOKUP($F704,Productos!$A$2:$A1001,Productos!AQ$2:AQ1001,"")*$G704,"")</f>
        <v/>
      </c>
      <c r="AY704" s="179" t="str">
        <f t="array" ref="AY704">IF($F704&lt;&gt;"",XLOOKUP($F704,Productos!$A:$A,Productos!AR:AR,"Revisar"),"")</f>
        <v/>
      </c>
      <c r="AZ704" s="179" t="str">
        <f t="array" ref="AZ704">IF($F704&lt;&gt;"", XLOOKUP($F704,Productos!$A$2:$A1001,Productos!AS$2:AS1001,"")*$G704,"")</f>
        <v/>
      </c>
      <c r="BA704" s="179" t="str">
        <f t="array" ref="BA704">IF($F704&lt;&gt;"",XLOOKUP($F704,Productos!$A:$A,Productos!AT:AT,"Revisar"),"")</f>
        <v/>
      </c>
      <c r="BB704" s="179" t="str">
        <f t="array" ref="BB704">IF($F704&lt;&gt;"", XLOOKUP($F704,Productos!$A$2:$A1001,Productos!AU$2:AU1001,"")*$G704,"")</f>
        <v/>
      </c>
      <c r="BC704" s="179" t="str">
        <f t="array" ref="BC704">IF($F704&lt;&gt;"",XLOOKUP($F704,Productos!$A:$A,Productos!AV:AV,"Revisar"),"")</f>
        <v/>
      </c>
      <c r="BD704" s="179" t="str">
        <f t="array" ref="BD704">IF($F704&lt;&gt;"", XLOOKUP($F704,Productos!$A$2:$A1001,Productos!AW$2:AW1001,"")*$G704,"")</f>
        <v/>
      </c>
      <c r="BE704" s="179" t="str">
        <f t="array" ref="BE704">IF($F704&lt;&gt;"",XLOOKUP($F704,Productos!$A:$A,Productos!AX:AX,"Revisar"),"")</f>
        <v/>
      </c>
      <c r="BF704" s="179" t="str">
        <f t="array" ref="BF704">IF($F704&lt;&gt;"", XLOOKUP($F704,Productos!$A$2:$A1001,Productos!AY$2:AY1001,"")*$G704,"")</f>
        <v/>
      </c>
      <c r="BG704" s="179" t="str">
        <f t="array" ref="BG704">IF($F704&lt;&gt;"",XLOOKUP($F704,Productos!$A:$A,Productos!AZ:AZ,"Revisar"),"")</f>
        <v/>
      </c>
      <c r="BH704" s="179" t="str">
        <f t="array" ref="BH704">IF($F704&lt;&gt;"", XLOOKUP($F704,Productos!$A$2:$A1001,Productos!BA$2:BA1001,"")*$G704,"")</f>
        <v/>
      </c>
      <c r="BI704" s="179" t="str">
        <f t="array" ref="BI704">IF($F704&lt;&gt;"",XLOOKUP($F704,Productos!$A:$A,Productos!BB:BB,"Revisar"),"")</f>
        <v/>
      </c>
      <c r="BJ704" s="179" t="str">
        <f t="array" ref="BJ704">IF($F704&lt;&gt;"", XLOOKUP($F704,Productos!$A$2:$A1001,Productos!BC$2:BC1001,"")*$G704,"")</f>
        <v/>
      </c>
      <c r="BK704" s="179" t="str">
        <f t="array" ref="BK704">IF($F704&lt;&gt;"",XLOOKUP($F704,Productos!$A:$A,Productos!BD:BD,"Revisar"),"")</f>
        <v/>
      </c>
      <c r="BL704" s="179" t="str">
        <f t="array" ref="BL704">IF($F704&lt;&gt;"", XLOOKUP($F704,Productos!$A$2:$A1001,Productos!BE$2:BE1001,"")*$G704,"")</f>
        <v/>
      </c>
      <c r="BM704" s="179" t="str">
        <f t="array" ref="BM704">IF($F704&lt;&gt;"",XLOOKUP($F704,Productos!$A:$A,Productos!BF:BF,"Revisar"),"")</f>
        <v/>
      </c>
      <c r="BN704" s="179" t="str">
        <f t="array" ref="BN704">IF($F704&lt;&gt;"", XLOOKUP($F704,Productos!$A$2:$A1001,Productos!BG$2:BG1001,"")*$G704,"")</f>
        <v/>
      </c>
      <c r="BO704" s="179" t="str">
        <f t="array" ref="BO704">IF($F704&lt;&gt;"",XLOOKUP($F704,Productos!$A:$A,Productos!BH:BH,"Revisar"),"")</f>
        <v/>
      </c>
      <c r="BP704" s="179" t="str">
        <f t="array" ref="BP704">IF($F704&lt;&gt;"", XLOOKUP($F704,Productos!$A$2:$A1001,Productos!BI$2:BI1001,"")*$G704,"")</f>
        <v/>
      </c>
      <c r="BQ704" s="179" t="str">
        <f t="array" ref="BQ704">IF($F704&lt;&gt;"",XLOOKUP($F704,Productos!$A:$A,Productos!BJ:BJ,"Revisar"),"")</f>
        <v/>
      </c>
      <c r="BR704" s="179" t="str">
        <f t="array" ref="BR704">IF($F704&lt;&gt;"", XLOOKUP($F704,Productos!$A$2:$A1001,Productos!BK$2:BK1001,"")*$G704,"")</f>
        <v/>
      </c>
      <c r="BS704" s="179" t="str">
        <f t="array" ref="BS704">IF($F704&lt;&gt;"",XLOOKUP($F704,Productos!$A:$A,Productos!BL:BL,"Revisar"),"")</f>
        <v/>
      </c>
      <c r="BT704" s="179" t="str">
        <f t="array" ref="BT704">IF($F704&lt;&gt;"", XLOOKUP($F704,Productos!$A$2:$A1001,Productos!BM$2:BM1001,"")*$G704,"")</f>
        <v/>
      </c>
      <c r="BU704" s="179" t="str">
        <f t="array" ref="BU704">IF($F704&lt;&gt;"",XLOOKUP($F704,Productos!$A:$A,Productos!BN:BN,"Revisar"),"")</f>
        <v/>
      </c>
      <c r="BV704" s="179" t="str">
        <f t="array" ref="BV704">IF($F704&lt;&gt;"", XLOOKUP($F704,Productos!$A$2:$A1001,Productos!BO$2:BO1001,"")*$G704,"")</f>
        <v/>
      </c>
      <c r="BW704" s="179" t="str">
        <f t="array" ref="BW704">IF($F704&lt;&gt;"",XLOOKUP($F704,Productos!$A:$A,Productos!BP:BP,"Revisar"),"")</f>
        <v/>
      </c>
      <c r="BX704" s="179" t="str">
        <f t="array" ref="BX704">IF($F704&lt;&gt;"", XLOOKUP($F704,Productos!$A$2:$A1001,Productos!BQ$2:BQ1001,"")*$G704,"")</f>
        <v/>
      </c>
      <c r="BY704" s="179" t="str">
        <f t="array" ref="BY704">IF($F704&lt;&gt;"",XLOOKUP($F704,Productos!$A:$A,Productos!BR:BR,"Revisar"),"")</f>
        <v/>
      </c>
      <c r="BZ704" s="179" t="str">
        <f t="array" ref="BZ704">IF($F704&lt;&gt;"", XLOOKUP($F704,Productos!$A$2:$A1001,Productos!BS$2:BS1001,"")*$G704,"")</f>
        <v/>
      </c>
    </row>
    <row r="705">
      <c r="A705" s="188"/>
      <c r="B705" s="189"/>
      <c r="C705" s="190"/>
      <c r="D705" s="190"/>
      <c r="E705" s="191"/>
      <c r="F705" s="186"/>
      <c r="G705" s="192"/>
      <c r="H705" s="9"/>
      <c r="I705" s="179" t="str">
        <f t="array" ref="I705">IF($F705&lt;&gt;"",XLOOKUP($F705,Productos!$A:$A,Productos!B:B,"Revisar"),"")</f>
        <v/>
      </c>
      <c r="J705" s="179" t="str">
        <f t="array" ref="J705">IF($F705&lt;&gt;"", XLOOKUP($F705,Productos!$A$2:$A1001,Productos!C$2:C1001,"")*$G705,"")</f>
        <v/>
      </c>
      <c r="K705" s="179" t="str">
        <f t="array" ref="K705">IF($F705&lt;&gt;"",XLOOKUP($F705,Productos!$A:$A,Productos!D:D,"Revisar"),"")</f>
        <v/>
      </c>
      <c r="L705" s="179" t="str">
        <f t="array" ref="L705">IF($F705&lt;&gt;"", XLOOKUP($F705,Productos!$A$2:$A1001,Productos!E$2:E1001,"")*$G705,"")</f>
        <v/>
      </c>
      <c r="M705" s="179" t="str">
        <f t="array" ref="M705">IF($F705&lt;&gt;"",XLOOKUP($F705,Productos!$A:$A,Productos!F:F,"Revisar"),"")</f>
        <v/>
      </c>
      <c r="N705" s="179" t="str">
        <f t="array" ref="N705">IF($F705&lt;&gt;"", XLOOKUP($F705,Productos!$A$2:$A1001,Productos!G$2:G1001,"")*$G705,"")</f>
        <v/>
      </c>
      <c r="O705" s="179" t="str">
        <f t="array" ref="O705">IF($F705&lt;&gt;"",XLOOKUP($F705,Productos!$A:$A,Productos!H:H,"Revisar"),"")</f>
        <v/>
      </c>
      <c r="P705" s="179" t="str">
        <f t="array" ref="P705">IF($F705&lt;&gt;"", XLOOKUP($F705,Productos!$A$2:$A1001,Productos!I$2:I1001,"")*$G705,"")</f>
        <v/>
      </c>
      <c r="Q705" s="179" t="str">
        <f t="array" ref="Q705">IF($F705&lt;&gt;"",XLOOKUP($F705,Productos!$A:$A,Productos!J:J,"Revisar"),"")</f>
        <v/>
      </c>
      <c r="R705" s="179" t="str">
        <f t="array" ref="R705">IF($F705&lt;&gt;"", XLOOKUP($F705,Productos!$A$2:$A1001,Productos!K$2:K1001,"")*$G705,"")</f>
        <v/>
      </c>
      <c r="S705" s="179" t="str">
        <f t="array" ref="S705">IF($F705&lt;&gt;"",XLOOKUP($F705,Productos!$A:$A,Productos!L:L,"Revisar"),"")</f>
        <v/>
      </c>
      <c r="T705" s="179" t="str">
        <f t="array" ref="T705">IF($F705&lt;&gt;"", XLOOKUP($F705,Productos!$A$2:$A1001,Productos!M$2:M1001,"")*$G705,"")</f>
        <v/>
      </c>
      <c r="U705" s="179" t="str">
        <f t="array" ref="U705">IF($F705&lt;&gt;"",XLOOKUP($F705,Productos!$A:$A,Productos!N:N,"Revisar"),"")</f>
        <v/>
      </c>
      <c r="V705" s="179" t="str">
        <f t="array" ref="V705">IF($F705&lt;&gt;"", XLOOKUP($F705,Productos!$A$2:$A1001,Productos!O$2:O1001,"")*$G705,"")</f>
        <v/>
      </c>
      <c r="W705" s="179" t="str">
        <f t="array" ref="W705">IF($F705&lt;&gt;"",XLOOKUP($F705,Productos!$A:$A,Productos!P:P,"Revisar"),"")</f>
        <v/>
      </c>
      <c r="X705" s="179" t="str">
        <f t="array" ref="X705">IF($F705&lt;&gt;"", XLOOKUP($F705,Productos!$A$2:$A1001,Productos!Q$2:Q1001,"")*$G705,"")</f>
        <v/>
      </c>
      <c r="Y705" s="179" t="str">
        <f t="array" ref="Y705">IF($F705&lt;&gt;"",XLOOKUP($F705,Productos!$A:$A,Productos!R:R,"Revisar"),"")</f>
        <v/>
      </c>
      <c r="Z705" s="179" t="str">
        <f t="array" ref="Z705">IF($F705&lt;&gt;"", XLOOKUP($F705,Productos!$A$2:$A1001,Productos!S$2:S1001,"")*$G705,"")</f>
        <v/>
      </c>
      <c r="AA705" s="179" t="str">
        <f t="array" ref="AA705">IF($F705&lt;&gt;"",XLOOKUP($F705,Productos!$A:$A,Productos!T:T,"Revisar"),"")</f>
        <v/>
      </c>
      <c r="AB705" s="179" t="str">
        <f t="array" ref="AB705">IF($F705&lt;&gt;"", XLOOKUP($F705,Productos!$A$2:$A1001,Productos!U$2:U1001,"")*$G705,"")</f>
        <v/>
      </c>
      <c r="AC705" s="179" t="str">
        <f t="array" ref="AC705">IF($F705&lt;&gt;"",XLOOKUP($F705,Productos!$A:$A,Productos!V:V,"Revisar"),"")</f>
        <v/>
      </c>
      <c r="AD705" s="179" t="str">
        <f t="array" ref="AD705">IF($F705&lt;&gt;"", XLOOKUP($F705,Productos!$A$2:$A1001,Productos!W$2:W1001,"")*$G705,"")</f>
        <v/>
      </c>
      <c r="AE705" s="179" t="str">
        <f t="array" ref="AE705">IF($F705&lt;&gt;"",XLOOKUP($F705,Productos!$A:$A,Productos!X:X,"Revisar"),"")</f>
        <v/>
      </c>
      <c r="AF705" s="179" t="str">
        <f t="array" ref="AF705">IF($F705&lt;&gt;"", XLOOKUP($F705,Productos!$A$2:$A1001,Productos!Y$2:Y1001,"")*$G705,"")</f>
        <v/>
      </c>
      <c r="AG705" s="179" t="str">
        <f t="array" ref="AG705">IF($F705&lt;&gt;"",XLOOKUP($F705,Productos!$A:$A,Productos!Z:Z,"Revisar"),"")</f>
        <v/>
      </c>
      <c r="AH705" s="179" t="str">
        <f t="array" ref="AH705">IF($F705&lt;&gt;"", XLOOKUP($F705,Productos!$A$2:$A1001,Productos!AA$2:AA1001,"")*$G705,"")</f>
        <v/>
      </c>
      <c r="AI705" s="179" t="str">
        <f t="array" ref="AI705">IF($F705&lt;&gt;"",XLOOKUP($F705,Productos!$A:$A,Productos!AB:AB,"Revisar"),"")</f>
        <v/>
      </c>
      <c r="AJ705" s="179" t="str">
        <f t="array" ref="AJ705">IF($F705&lt;&gt;"", XLOOKUP($F705,Productos!$A$2:$A1001,Productos!AC$2:AC1001,"")*$G705,"")</f>
        <v/>
      </c>
      <c r="AK705" s="179" t="str">
        <f t="array" ref="AK705">IF($F705&lt;&gt;"",XLOOKUP($F705,Productos!$A:$A,Productos!AD:AD,"Revisar"),"")</f>
        <v/>
      </c>
      <c r="AL705" s="179" t="str">
        <f t="array" ref="AL705">IF($F705&lt;&gt;"", XLOOKUP($F705,Productos!$A$2:$A1001,Productos!AE$2:AE1001,"")*$G705,"")</f>
        <v/>
      </c>
      <c r="AM705" s="179" t="str">
        <f t="array" ref="AM705">IF($F705&lt;&gt;"",XLOOKUP($F705,Productos!$A:$A,Productos!AF:AF,"Revisar"),"")</f>
        <v/>
      </c>
      <c r="AN705" s="179" t="str">
        <f t="array" ref="AN705">IF($F705&lt;&gt;"", XLOOKUP($F705,Productos!$A$2:$A1001,Productos!AG$2:AG1001,"")*$G705,"")</f>
        <v/>
      </c>
      <c r="AO705" s="179" t="str">
        <f t="array" ref="AO705">IF($F705&lt;&gt;"",XLOOKUP($F705,Productos!$A:$A,Productos!AH:AH,"Revisar"),"")</f>
        <v/>
      </c>
      <c r="AP705" s="179" t="str">
        <f t="array" ref="AP705">IF($F705&lt;&gt;"", XLOOKUP($F705,Productos!$A$2:$A1001,Productos!AI$2:AI1001,"")*$G705,"")</f>
        <v/>
      </c>
      <c r="AQ705" s="179" t="str">
        <f t="array" ref="AQ705">IF($F705&lt;&gt;"",XLOOKUP($F705,Productos!$A:$A,Productos!AJ:AJ,"Revisar"),"")</f>
        <v/>
      </c>
      <c r="AR705" s="179" t="str">
        <f t="array" ref="AR705">IF($F705&lt;&gt;"", XLOOKUP($F705,Productos!$A$2:$A1001,Productos!AK$2:AK1001,"")*$G705,"")</f>
        <v/>
      </c>
      <c r="AS705" s="179" t="str">
        <f t="array" ref="AS705">IF($F705&lt;&gt;"",XLOOKUP($F705,Productos!$A:$A,Productos!AL:AL,"Revisar"),"")</f>
        <v/>
      </c>
      <c r="AT705" s="179" t="str">
        <f t="array" ref="AT705">IF($F705&lt;&gt;"", XLOOKUP($F705,Productos!$A$2:$A1001,Productos!AM$2:AM1001,"")*$G705,"")</f>
        <v/>
      </c>
      <c r="AU705" s="179" t="str">
        <f t="array" ref="AU705">IF($F705&lt;&gt;"",XLOOKUP($F705,Productos!$A:$A,Productos!AN:AN,"Revisar"),"")</f>
        <v/>
      </c>
      <c r="AV705" s="179" t="str">
        <f t="array" ref="AV705">IF($F705&lt;&gt;"", XLOOKUP($F705,Productos!$A$2:$A1001,Productos!AO$2:AO1001,"")*$G705,"")</f>
        <v/>
      </c>
      <c r="AW705" s="179" t="str">
        <f t="array" ref="AW705">IF($F705&lt;&gt;"",XLOOKUP($F705,Productos!$A:$A,Productos!AP:AP,"Revisar"),"")</f>
        <v/>
      </c>
      <c r="AX705" s="179" t="str">
        <f t="array" ref="AX705">IF($F705&lt;&gt;"", XLOOKUP($F705,Productos!$A$2:$A1001,Productos!AQ$2:AQ1001,"")*$G705,"")</f>
        <v/>
      </c>
      <c r="AY705" s="179" t="str">
        <f t="array" ref="AY705">IF($F705&lt;&gt;"",XLOOKUP($F705,Productos!$A:$A,Productos!AR:AR,"Revisar"),"")</f>
        <v/>
      </c>
      <c r="AZ705" s="179" t="str">
        <f t="array" ref="AZ705">IF($F705&lt;&gt;"", XLOOKUP($F705,Productos!$A$2:$A1001,Productos!AS$2:AS1001,"")*$G705,"")</f>
        <v/>
      </c>
      <c r="BA705" s="179" t="str">
        <f t="array" ref="BA705">IF($F705&lt;&gt;"",XLOOKUP($F705,Productos!$A:$A,Productos!AT:AT,"Revisar"),"")</f>
        <v/>
      </c>
      <c r="BB705" s="179" t="str">
        <f t="array" ref="BB705">IF($F705&lt;&gt;"", XLOOKUP($F705,Productos!$A$2:$A1001,Productos!AU$2:AU1001,"")*$G705,"")</f>
        <v/>
      </c>
      <c r="BC705" s="179" t="str">
        <f t="array" ref="BC705">IF($F705&lt;&gt;"",XLOOKUP($F705,Productos!$A:$A,Productos!AV:AV,"Revisar"),"")</f>
        <v/>
      </c>
      <c r="BD705" s="179" t="str">
        <f t="array" ref="BD705">IF($F705&lt;&gt;"", XLOOKUP($F705,Productos!$A$2:$A1001,Productos!AW$2:AW1001,"")*$G705,"")</f>
        <v/>
      </c>
      <c r="BE705" s="179" t="str">
        <f t="array" ref="BE705">IF($F705&lt;&gt;"",XLOOKUP($F705,Productos!$A:$A,Productos!AX:AX,"Revisar"),"")</f>
        <v/>
      </c>
      <c r="BF705" s="179" t="str">
        <f t="array" ref="BF705">IF($F705&lt;&gt;"", XLOOKUP($F705,Productos!$A$2:$A1001,Productos!AY$2:AY1001,"")*$G705,"")</f>
        <v/>
      </c>
      <c r="BG705" s="179" t="str">
        <f t="array" ref="BG705">IF($F705&lt;&gt;"",XLOOKUP($F705,Productos!$A:$A,Productos!AZ:AZ,"Revisar"),"")</f>
        <v/>
      </c>
      <c r="BH705" s="179" t="str">
        <f t="array" ref="BH705">IF($F705&lt;&gt;"", XLOOKUP($F705,Productos!$A$2:$A1001,Productos!BA$2:BA1001,"")*$G705,"")</f>
        <v/>
      </c>
      <c r="BI705" s="179" t="str">
        <f t="array" ref="BI705">IF($F705&lt;&gt;"",XLOOKUP($F705,Productos!$A:$A,Productos!BB:BB,"Revisar"),"")</f>
        <v/>
      </c>
      <c r="BJ705" s="179" t="str">
        <f t="array" ref="BJ705">IF($F705&lt;&gt;"", XLOOKUP($F705,Productos!$A$2:$A1001,Productos!BC$2:BC1001,"")*$G705,"")</f>
        <v/>
      </c>
      <c r="BK705" s="179" t="str">
        <f t="array" ref="BK705">IF($F705&lt;&gt;"",XLOOKUP($F705,Productos!$A:$A,Productos!BD:BD,"Revisar"),"")</f>
        <v/>
      </c>
      <c r="BL705" s="179" t="str">
        <f t="array" ref="BL705">IF($F705&lt;&gt;"", XLOOKUP($F705,Productos!$A$2:$A1001,Productos!BE$2:BE1001,"")*$G705,"")</f>
        <v/>
      </c>
      <c r="BM705" s="179" t="str">
        <f t="array" ref="BM705">IF($F705&lt;&gt;"",XLOOKUP($F705,Productos!$A:$A,Productos!BF:BF,"Revisar"),"")</f>
        <v/>
      </c>
      <c r="BN705" s="179" t="str">
        <f t="array" ref="BN705">IF($F705&lt;&gt;"", XLOOKUP($F705,Productos!$A$2:$A1001,Productos!BG$2:BG1001,"")*$G705,"")</f>
        <v/>
      </c>
      <c r="BO705" s="179" t="str">
        <f t="array" ref="BO705">IF($F705&lt;&gt;"",XLOOKUP($F705,Productos!$A:$A,Productos!BH:BH,"Revisar"),"")</f>
        <v/>
      </c>
      <c r="BP705" s="179" t="str">
        <f t="array" ref="BP705">IF($F705&lt;&gt;"", XLOOKUP($F705,Productos!$A$2:$A1001,Productos!BI$2:BI1001,"")*$G705,"")</f>
        <v/>
      </c>
      <c r="BQ705" s="179" t="str">
        <f t="array" ref="BQ705">IF($F705&lt;&gt;"",XLOOKUP($F705,Productos!$A:$A,Productos!BJ:BJ,"Revisar"),"")</f>
        <v/>
      </c>
      <c r="BR705" s="179" t="str">
        <f t="array" ref="BR705">IF($F705&lt;&gt;"", XLOOKUP($F705,Productos!$A$2:$A1001,Productos!BK$2:BK1001,"")*$G705,"")</f>
        <v/>
      </c>
      <c r="BS705" s="179" t="str">
        <f t="array" ref="BS705">IF($F705&lt;&gt;"",XLOOKUP($F705,Productos!$A:$A,Productos!BL:BL,"Revisar"),"")</f>
        <v/>
      </c>
      <c r="BT705" s="179" t="str">
        <f t="array" ref="BT705">IF($F705&lt;&gt;"", XLOOKUP($F705,Productos!$A$2:$A1001,Productos!BM$2:BM1001,"")*$G705,"")</f>
        <v/>
      </c>
      <c r="BU705" s="179" t="str">
        <f t="array" ref="BU705">IF($F705&lt;&gt;"",XLOOKUP($F705,Productos!$A:$A,Productos!BN:BN,"Revisar"),"")</f>
        <v/>
      </c>
      <c r="BV705" s="179" t="str">
        <f t="array" ref="BV705">IF($F705&lt;&gt;"", XLOOKUP($F705,Productos!$A$2:$A1001,Productos!BO$2:BO1001,"")*$G705,"")</f>
        <v/>
      </c>
      <c r="BW705" s="179" t="str">
        <f t="array" ref="BW705">IF($F705&lt;&gt;"",XLOOKUP($F705,Productos!$A:$A,Productos!BP:BP,"Revisar"),"")</f>
        <v/>
      </c>
      <c r="BX705" s="179" t="str">
        <f t="array" ref="BX705">IF($F705&lt;&gt;"", XLOOKUP($F705,Productos!$A$2:$A1001,Productos!BQ$2:BQ1001,"")*$G705,"")</f>
        <v/>
      </c>
      <c r="BY705" s="179" t="str">
        <f t="array" ref="BY705">IF($F705&lt;&gt;"",XLOOKUP($F705,Productos!$A:$A,Productos!BR:BR,"Revisar"),"")</f>
        <v/>
      </c>
      <c r="BZ705" s="179" t="str">
        <f t="array" ref="BZ705">IF($F705&lt;&gt;"", XLOOKUP($F705,Productos!$A$2:$A1001,Productos!BS$2:BS1001,"")*$G705,"")</f>
        <v/>
      </c>
    </row>
    <row r="706">
      <c r="A706" s="188"/>
      <c r="B706" s="189"/>
      <c r="C706" s="190"/>
      <c r="D706" s="190"/>
      <c r="E706" s="191"/>
      <c r="F706" s="186"/>
      <c r="G706" s="192"/>
      <c r="H706" s="9"/>
      <c r="I706" s="179" t="str">
        <f t="array" ref="I706">IF($F706&lt;&gt;"",XLOOKUP($F706,Productos!$A:$A,Productos!B:B,"Revisar"),"")</f>
        <v/>
      </c>
      <c r="J706" s="179" t="str">
        <f t="array" ref="J706">IF($F706&lt;&gt;"", XLOOKUP($F706,Productos!$A$2:$A1001,Productos!C$2:C1001,"")*$G706,"")</f>
        <v/>
      </c>
      <c r="K706" s="179" t="str">
        <f t="array" ref="K706">IF($F706&lt;&gt;"",XLOOKUP($F706,Productos!$A:$A,Productos!D:D,"Revisar"),"")</f>
        <v/>
      </c>
      <c r="L706" s="179" t="str">
        <f t="array" ref="L706">IF($F706&lt;&gt;"", XLOOKUP($F706,Productos!$A$2:$A1001,Productos!E$2:E1001,"")*$G706,"")</f>
        <v/>
      </c>
      <c r="M706" s="179" t="str">
        <f t="array" ref="M706">IF($F706&lt;&gt;"",XLOOKUP($F706,Productos!$A:$A,Productos!F:F,"Revisar"),"")</f>
        <v/>
      </c>
      <c r="N706" s="179" t="str">
        <f t="array" ref="N706">IF($F706&lt;&gt;"", XLOOKUP($F706,Productos!$A$2:$A1001,Productos!G$2:G1001,"")*$G706,"")</f>
        <v/>
      </c>
      <c r="O706" s="179" t="str">
        <f t="array" ref="O706">IF($F706&lt;&gt;"",XLOOKUP($F706,Productos!$A:$A,Productos!H:H,"Revisar"),"")</f>
        <v/>
      </c>
      <c r="P706" s="179" t="str">
        <f t="array" ref="P706">IF($F706&lt;&gt;"", XLOOKUP($F706,Productos!$A$2:$A1001,Productos!I$2:I1001,"")*$G706,"")</f>
        <v/>
      </c>
      <c r="Q706" s="179" t="str">
        <f t="array" ref="Q706">IF($F706&lt;&gt;"",XLOOKUP($F706,Productos!$A:$A,Productos!J:J,"Revisar"),"")</f>
        <v/>
      </c>
      <c r="R706" s="179" t="str">
        <f t="array" ref="R706">IF($F706&lt;&gt;"", XLOOKUP($F706,Productos!$A$2:$A1001,Productos!K$2:K1001,"")*$G706,"")</f>
        <v/>
      </c>
      <c r="S706" s="179" t="str">
        <f t="array" ref="S706">IF($F706&lt;&gt;"",XLOOKUP($F706,Productos!$A:$A,Productos!L:L,"Revisar"),"")</f>
        <v/>
      </c>
      <c r="T706" s="179" t="str">
        <f t="array" ref="T706">IF($F706&lt;&gt;"", XLOOKUP($F706,Productos!$A$2:$A1001,Productos!M$2:M1001,"")*$G706,"")</f>
        <v/>
      </c>
      <c r="U706" s="179" t="str">
        <f t="array" ref="U706">IF($F706&lt;&gt;"",XLOOKUP($F706,Productos!$A:$A,Productos!N:N,"Revisar"),"")</f>
        <v/>
      </c>
      <c r="V706" s="179" t="str">
        <f t="array" ref="V706">IF($F706&lt;&gt;"", XLOOKUP($F706,Productos!$A$2:$A1001,Productos!O$2:O1001,"")*$G706,"")</f>
        <v/>
      </c>
      <c r="W706" s="179" t="str">
        <f t="array" ref="W706">IF($F706&lt;&gt;"",XLOOKUP($F706,Productos!$A:$A,Productos!P:P,"Revisar"),"")</f>
        <v/>
      </c>
      <c r="X706" s="179" t="str">
        <f t="array" ref="X706">IF($F706&lt;&gt;"", XLOOKUP($F706,Productos!$A$2:$A1001,Productos!Q$2:Q1001,"")*$G706,"")</f>
        <v/>
      </c>
      <c r="Y706" s="179" t="str">
        <f t="array" ref="Y706">IF($F706&lt;&gt;"",XLOOKUP($F706,Productos!$A:$A,Productos!R:R,"Revisar"),"")</f>
        <v/>
      </c>
      <c r="Z706" s="179" t="str">
        <f t="array" ref="Z706">IF($F706&lt;&gt;"", XLOOKUP($F706,Productos!$A$2:$A1001,Productos!S$2:S1001,"")*$G706,"")</f>
        <v/>
      </c>
      <c r="AA706" s="179" t="str">
        <f t="array" ref="AA706">IF($F706&lt;&gt;"",XLOOKUP($F706,Productos!$A:$A,Productos!T:T,"Revisar"),"")</f>
        <v/>
      </c>
      <c r="AB706" s="179" t="str">
        <f t="array" ref="AB706">IF($F706&lt;&gt;"", XLOOKUP($F706,Productos!$A$2:$A1001,Productos!U$2:U1001,"")*$G706,"")</f>
        <v/>
      </c>
      <c r="AC706" s="179" t="str">
        <f t="array" ref="AC706">IF($F706&lt;&gt;"",XLOOKUP($F706,Productos!$A:$A,Productos!V:V,"Revisar"),"")</f>
        <v/>
      </c>
      <c r="AD706" s="179" t="str">
        <f t="array" ref="AD706">IF($F706&lt;&gt;"", XLOOKUP($F706,Productos!$A$2:$A1001,Productos!W$2:W1001,"")*$G706,"")</f>
        <v/>
      </c>
      <c r="AE706" s="179" t="str">
        <f t="array" ref="AE706">IF($F706&lt;&gt;"",XLOOKUP($F706,Productos!$A:$A,Productos!X:X,"Revisar"),"")</f>
        <v/>
      </c>
      <c r="AF706" s="179" t="str">
        <f t="array" ref="AF706">IF($F706&lt;&gt;"", XLOOKUP($F706,Productos!$A$2:$A1001,Productos!Y$2:Y1001,"")*$G706,"")</f>
        <v/>
      </c>
      <c r="AG706" s="179" t="str">
        <f t="array" ref="AG706">IF($F706&lt;&gt;"",XLOOKUP($F706,Productos!$A:$A,Productos!Z:Z,"Revisar"),"")</f>
        <v/>
      </c>
      <c r="AH706" s="179" t="str">
        <f t="array" ref="AH706">IF($F706&lt;&gt;"", XLOOKUP($F706,Productos!$A$2:$A1001,Productos!AA$2:AA1001,"")*$G706,"")</f>
        <v/>
      </c>
      <c r="AI706" s="179" t="str">
        <f t="array" ref="AI706">IF($F706&lt;&gt;"",XLOOKUP($F706,Productos!$A:$A,Productos!AB:AB,"Revisar"),"")</f>
        <v/>
      </c>
      <c r="AJ706" s="179" t="str">
        <f t="array" ref="AJ706">IF($F706&lt;&gt;"", XLOOKUP($F706,Productos!$A$2:$A1001,Productos!AC$2:AC1001,"")*$G706,"")</f>
        <v/>
      </c>
      <c r="AK706" s="179" t="str">
        <f t="array" ref="AK706">IF($F706&lt;&gt;"",XLOOKUP($F706,Productos!$A:$A,Productos!AD:AD,"Revisar"),"")</f>
        <v/>
      </c>
      <c r="AL706" s="179" t="str">
        <f t="array" ref="AL706">IF($F706&lt;&gt;"", XLOOKUP($F706,Productos!$A$2:$A1001,Productos!AE$2:AE1001,"")*$G706,"")</f>
        <v/>
      </c>
      <c r="AM706" s="179" t="str">
        <f t="array" ref="AM706">IF($F706&lt;&gt;"",XLOOKUP($F706,Productos!$A:$A,Productos!AF:AF,"Revisar"),"")</f>
        <v/>
      </c>
      <c r="AN706" s="179" t="str">
        <f t="array" ref="AN706">IF($F706&lt;&gt;"", XLOOKUP($F706,Productos!$A$2:$A1001,Productos!AG$2:AG1001,"")*$G706,"")</f>
        <v/>
      </c>
      <c r="AO706" s="179" t="str">
        <f t="array" ref="AO706">IF($F706&lt;&gt;"",XLOOKUP($F706,Productos!$A:$A,Productos!AH:AH,"Revisar"),"")</f>
        <v/>
      </c>
      <c r="AP706" s="179" t="str">
        <f t="array" ref="AP706">IF($F706&lt;&gt;"", XLOOKUP($F706,Productos!$A$2:$A1001,Productos!AI$2:AI1001,"")*$G706,"")</f>
        <v/>
      </c>
      <c r="AQ706" s="179" t="str">
        <f t="array" ref="AQ706">IF($F706&lt;&gt;"",XLOOKUP($F706,Productos!$A:$A,Productos!AJ:AJ,"Revisar"),"")</f>
        <v/>
      </c>
      <c r="AR706" s="179" t="str">
        <f t="array" ref="AR706">IF($F706&lt;&gt;"", XLOOKUP($F706,Productos!$A$2:$A1001,Productos!AK$2:AK1001,"")*$G706,"")</f>
        <v/>
      </c>
      <c r="AS706" s="179" t="str">
        <f t="array" ref="AS706">IF($F706&lt;&gt;"",XLOOKUP($F706,Productos!$A:$A,Productos!AL:AL,"Revisar"),"")</f>
        <v/>
      </c>
      <c r="AT706" s="179" t="str">
        <f t="array" ref="AT706">IF($F706&lt;&gt;"", XLOOKUP($F706,Productos!$A$2:$A1001,Productos!AM$2:AM1001,"")*$G706,"")</f>
        <v/>
      </c>
      <c r="AU706" s="179" t="str">
        <f t="array" ref="AU706">IF($F706&lt;&gt;"",XLOOKUP($F706,Productos!$A:$A,Productos!AN:AN,"Revisar"),"")</f>
        <v/>
      </c>
      <c r="AV706" s="179" t="str">
        <f t="array" ref="AV706">IF($F706&lt;&gt;"", XLOOKUP($F706,Productos!$A$2:$A1001,Productos!AO$2:AO1001,"")*$G706,"")</f>
        <v/>
      </c>
      <c r="AW706" s="179" t="str">
        <f t="array" ref="AW706">IF($F706&lt;&gt;"",XLOOKUP($F706,Productos!$A:$A,Productos!AP:AP,"Revisar"),"")</f>
        <v/>
      </c>
      <c r="AX706" s="179" t="str">
        <f t="array" ref="AX706">IF($F706&lt;&gt;"", XLOOKUP($F706,Productos!$A$2:$A1001,Productos!AQ$2:AQ1001,"")*$G706,"")</f>
        <v/>
      </c>
      <c r="AY706" s="179" t="str">
        <f t="array" ref="AY706">IF($F706&lt;&gt;"",XLOOKUP($F706,Productos!$A:$A,Productos!AR:AR,"Revisar"),"")</f>
        <v/>
      </c>
      <c r="AZ706" s="179" t="str">
        <f t="array" ref="AZ706">IF($F706&lt;&gt;"", XLOOKUP($F706,Productos!$A$2:$A1001,Productos!AS$2:AS1001,"")*$G706,"")</f>
        <v/>
      </c>
      <c r="BA706" s="179" t="str">
        <f t="array" ref="BA706">IF($F706&lt;&gt;"",XLOOKUP($F706,Productos!$A:$A,Productos!AT:AT,"Revisar"),"")</f>
        <v/>
      </c>
      <c r="BB706" s="179" t="str">
        <f t="array" ref="BB706">IF($F706&lt;&gt;"", XLOOKUP($F706,Productos!$A$2:$A1001,Productos!AU$2:AU1001,"")*$G706,"")</f>
        <v/>
      </c>
      <c r="BC706" s="179" t="str">
        <f t="array" ref="BC706">IF($F706&lt;&gt;"",XLOOKUP($F706,Productos!$A:$A,Productos!AV:AV,"Revisar"),"")</f>
        <v/>
      </c>
      <c r="BD706" s="179" t="str">
        <f t="array" ref="BD706">IF($F706&lt;&gt;"", XLOOKUP($F706,Productos!$A$2:$A1001,Productos!AW$2:AW1001,"")*$G706,"")</f>
        <v/>
      </c>
      <c r="BE706" s="179" t="str">
        <f t="array" ref="BE706">IF($F706&lt;&gt;"",XLOOKUP($F706,Productos!$A:$A,Productos!AX:AX,"Revisar"),"")</f>
        <v/>
      </c>
      <c r="BF706" s="179" t="str">
        <f t="array" ref="BF706">IF($F706&lt;&gt;"", XLOOKUP($F706,Productos!$A$2:$A1001,Productos!AY$2:AY1001,"")*$G706,"")</f>
        <v/>
      </c>
      <c r="BG706" s="179" t="str">
        <f t="array" ref="BG706">IF($F706&lt;&gt;"",XLOOKUP($F706,Productos!$A:$A,Productos!AZ:AZ,"Revisar"),"")</f>
        <v/>
      </c>
      <c r="BH706" s="179" t="str">
        <f t="array" ref="BH706">IF($F706&lt;&gt;"", XLOOKUP($F706,Productos!$A$2:$A1001,Productos!BA$2:BA1001,"")*$G706,"")</f>
        <v/>
      </c>
      <c r="BI706" s="179" t="str">
        <f t="array" ref="BI706">IF($F706&lt;&gt;"",XLOOKUP($F706,Productos!$A:$A,Productos!BB:BB,"Revisar"),"")</f>
        <v/>
      </c>
      <c r="BJ706" s="179" t="str">
        <f t="array" ref="BJ706">IF($F706&lt;&gt;"", XLOOKUP($F706,Productos!$A$2:$A1001,Productos!BC$2:BC1001,"")*$G706,"")</f>
        <v/>
      </c>
      <c r="BK706" s="179" t="str">
        <f t="array" ref="BK706">IF($F706&lt;&gt;"",XLOOKUP($F706,Productos!$A:$A,Productos!BD:BD,"Revisar"),"")</f>
        <v/>
      </c>
      <c r="BL706" s="179" t="str">
        <f t="array" ref="BL706">IF($F706&lt;&gt;"", XLOOKUP($F706,Productos!$A$2:$A1001,Productos!BE$2:BE1001,"")*$G706,"")</f>
        <v/>
      </c>
      <c r="BM706" s="179" t="str">
        <f t="array" ref="BM706">IF($F706&lt;&gt;"",XLOOKUP($F706,Productos!$A:$A,Productos!BF:BF,"Revisar"),"")</f>
        <v/>
      </c>
      <c r="BN706" s="179" t="str">
        <f t="array" ref="BN706">IF($F706&lt;&gt;"", XLOOKUP($F706,Productos!$A$2:$A1001,Productos!BG$2:BG1001,"")*$G706,"")</f>
        <v/>
      </c>
      <c r="BO706" s="179" t="str">
        <f t="array" ref="BO706">IF($F706&lt;&gt;"",XLOOKUP($F706,Productos!$A:$A,Productos!BH:BH,"Revisar"),"")</f>
        <v/>
      </c>
      <c r="BP706" s="179" t="str">
        <f t="array" ref="BP706">IF($F706&lt;&gt;"", XLOOKUP($F706,Productos!$A$2:$A1001,Productos!BI$2:BI1001,"")*$G706,"")</f>
        <v/>
      </c>
      <c r="BQ706" s="179" t="str">
        <f t="array" ref="BQ706">IF($F706&lt;&gt;"",XLOOKUP($F706,Productos!$A:$A,Productos!BJ:BJ,"Revisar"),"")</f>
        <v/>
      </c>
      <c r="BR706" s="179" t="str">
        <f t="array" ref="BR706">IF($F706&lt;&gt;"", XLOOKUP($F706,Productos!$A$2:$A1001,Productos!BK$2:BK1001,"")*$G706,"")</f>
        <v/>
      </c>
      <c r="BS706" s="179" t="str">
        <f t="array" ref="BS706">IF($F706&lt;&gt;"",XLOOKUP($F706,Productos!$A:$A,Productos!BL:BL,"Revisar"),"")</f>
        <v/>
      </c>
      <c r="BT706" s="179" t="str">
        <f t="array" ref="BT706">IF($F706&lt;&gt;"", XLOOKUP($F706,Productos!$A$2:$A1001,Productos!BM$2:BM1001,"")*$G706,"")</f>
        <v/>
      </c>
      <c r="BU706" s="179" t="str">
        <f t="array" ref="BU706">IF($F706&lt;&gt;"",XLOOKUP($F706,Productos!$A:$A,Productos!BN:BN,"Revisar"),"")</f>
        <v/>
      </c>
      <c r="BV706" s="179" t="str">
        <f t="array" ref="BV706">IF($F706&lt;&gt;"", XLOOKUP($F706,Productos!$A$2:$A1001,Productos!BO$2:BO1001,"")*$G706,"")</f>
        <v/>
      </c>
      <c r="BW706" s="179" t="str">
        <f t="array" ref="BW706">IF($F706&lt;&gt;"",XLOOKUP($F706,Productos!$A:$A,Productos!BP:BP,"Revisar"),"")</f>
        <v/>
      </c>
      <c r="BX706" s="179" t="str">
        <f t="array" ref="BX706">IF($F706&lt;&gt;"", XLOOKUP($F706,Productos!$A$2:$A1001,Productos!BQ$2:BQ1001,"")*$G706,"")</f>
        <v/>
      </c>
      <c r="BY706" s="179" t="str">
        <f t="array" ref="BY706">IF($F706&lt;&gt;"",XLOOKUP($F706,Productos!$A:$A,Productos!BR:BR,"Revisar"),"")</f>
        <v/>
      </c>
      <c r="BZ706" s="179" t="str">
        <f t="array" ref="BZ706">IF($F706&lt;&gt;"", XLOOKUP($F706,Productos!$A$2:$A1001,Productos!BS$2:BS1001,"")*$G706,"")</f>
        <v/>
      </c>
    </row>
    <row r="707">
      <c r="A707" s="188"/>
      <c r="B707" s="189"/>
      <c r="C707" s="190"/>
      <c r="D707" s="190"/>
      <c r="E707" s="191"/>
      <c r="F707" s="186"/>
      <c r="G707" s="192"/>
      <c r="H707" s="9"/>
      <c r="I707" s="179" t="str">
        <f t="array" ref="I707">IF($F707&lt;&gt;"",XLOOKUP($F707,Productos!$A:$A,Productos!B:B,"Revisar"),"")</f>
        <v/>
      </c>
      <c r="J707" s="179" t="str">
        <f t="array" ref="J707">IF($F707&lt;&gt;"", XLOOKUP($F707,Productos!$A$2:$A1001,Productos!C$2:C1001,"")*$G707,"")</f>
        <v/>
      </c>
      <c r="K707" s="179" t="str">
        <f t="array" ref="K707">IF($F707&lt;&gt;"",XLOOKUP($F707,Productos!$A:$A,Productos!D:D,"Revisar"),"")</f>
        <v/>
      </c>
      <c r="L707" s="179" t="str">
        <f t="array" ref="L707">IF($F707&lt;&gt;"", XLOOKUP($F707,Productos!$A$2:$A1001,Productos!E$2:E1001,"")*$G707,"")</f>
        <v/>
      </c>
      <c r="M707" s="179" t="str">
        <f t="array" ref="M707">IF($F707&lt;&gt;"",XLOOKUP($F707,Productos!$A:$A,Productos!F:F,"Revisar"),"")</f>
        <v/>
      </c>
      <c r="N707" s="179" t="str">
        <f t="array" ref="N707">IF($F707&lt;&gt;"", XLOOKUP($F707,Productos!$A$2:$A1001,Productos!G$2:G1001,"")*$G707,"")</f>
        <v/>
      </c>
      <c r="O707" s="179" t="str">
        <f t="array" ref="O707">IF($F707&lt;&gt;"",XLOOKUP($F707,Productos!$A:$A,Productos!H:H,"Revisar"),"")</f>
        <v/>
      </c>
      <c r="P707" s="179" t="str">
        <f t="array" ref="P707">IF($F707&lt;&gt;"", XLOOKUP($F707,Productos!$A$2:$A1001,Productos!I$2:I1001,"")*$G707,"")</f>
        <v/>
      </c>
      <c r="Q707" s="179" t="str">
        <f t="array" ref="Q707">IF($F707&lt;&gt;"",XLOOKUP($F707,Productos!$A:$A,Productos!J:J,"Revisar"),"")</f>
        <v/>
      </c>
      <c r="R707" s="179" t="str">
        <f t="array" ref="R707">IF($F707&lt;&gt;"", XLOOKUP($F707,Productos!$A$2:$A1001,Productos!K$2:K1001,"")*$G707,"")</f>
        <v/>
      </c>
      <c r="S707" s="179" t="str">
        <f t="array" ref="S707">IF($F707&lt;&gt;"",XLOOKUP($F707,Productos!$A:$A,Productos!L:L,"Revisar"),"")</f>
        <v/>
      </c>
      <c r="T707" s="179" t="str">
        <f t="array" ref="T707">IF($F707&lt;&gt;"", XLOOKUP($F707,Productos!$A$2:$A1001,Productos!M$2:M1001,"")*$G707,"")</f>
        <v/>
      </c>
      <c r="U707" s="179" t="str">
        <f t="array" ref="U707">IF($F707&lt;&gt;"",XLOOKUP($F707,Productos!$A:$A,Productos!N:N,"Revisar"),"")</f>
        <v/>
      </c>
      <c r="V707" s="179" t="str">
        <f t="array" ref="V707">IF($F707&lt;&gt;"", XLOOKUP($F707,Productos!$A$2:$A1001,Productos!O$2:O1001,"")*$G707,"")</f>
        <v/>
      </c>
      <c r="W707" s="179" t="str">
        <f t="array" ref="W707">IF($F707&lt;&gt;"",XLOOKUP($F707,Productos!$A:$A,Productos!P:P,"Revisar"),"")</f>
        <v/>
      </c>
      <c r="X707" s="179" t="str">
        <f t="array" ref="X707">IF($F707&lt;&gt;"", XLOOKUP($F707,Productos!$A$2:$A1001,Productos!Q$2:Q1001,"")*$G707,"")</f>
        <v/>
      </c>
      <c r="Y707" s="179" t="str">
        <f t="array" ref="Y707">IF($F707&lt;&gt;"",XLOOKUP($F707,Productos!$A:$A,Productos!R:R,"Revisar"),"")</f>
        <v/>
      </c>
      <c r="Z707" s="179" t="str">
        <f t="array" ref="Z707">IF($F707&lt;&gt;"", XLOOKUP($F707,Productos!$A$2:$A1001,Productos!S$2:S1001,"")*$G707,"")</f>
        <v/>
      </c>
      <c r="AA707" s="179" t="str">
        <f t="array" ref="AA707">IF($F707&lt;&gt;"",XLOOKUP($F707,Productos!$A:$A,Productos!T:T,"Revisar"),"")</f>
        <v/>
      </c>
      <c r="AB707" s="179" t="str">
        <f t="array" ref="AB707">IF($F707&lt;&gt;"", XLOOKUP($F707,Productos!$A$2:$A1001,Productos!U$2:U1001,"")*$G707,"")</f>
        <v/>
      </c>
      <c r="AC707" s="179" t="str">
        <f t="array" ref="AC707">IF($F707&lt;&gt;"",XLOOKUP($F707,Productos!$A:$A,Productos!V:V,"Revisar"),"")</f>
        <v/>
      </c>
      <c r="AD707" s="179" t="str">
        <f t="array" ref="AD707">IF($F707&lt;&gt;"", XLOOKUP($F707,Productos!$A$2:$A1001,Productos!W$2:W1001,"")*$G707,"")</f>
        <v/>
      </c>
      <c r="AE707" s="179" t="str">
        <f t="array" ref="AE707">IF($F707&lt;&gt;"",XLOOKUP($F707,Productos!$A:$A,Productos!X:X,"Revisar"),"")</f>
        <v/>
      </c>
      <c r="AF707" s="179" t="str">
        <f t="array" ref="AF707">IF($F707&lt;&gt;"", XLOOKUP($F707,Productos!$A$2:$A1001,Productos!Y$2:Y1001,"")*$G707,"")</f>
        <v/>
      </c>
      <c r="AG707" s="179" t="str">
        <f t="array" ref="AG707">IF($F707&lt;&gt;"",XLOOKUP($F707,Productos!$A:$A,Productos!Z:Z,"Revisar"),"")</f>
        <v/>
      </c>
      <c r="AH707" s="179" t="str">
        <f t="array" ref="AH707">IF($F707&lt;&gt;"", XLOOKUP($F707,Productos!$A$2:$A1001,Productos!AA$2:AA1001,"")*$G707,"")</f>
        <v/>
      </c>
      <c r="AI707" s="179" t="str">
        <f t="array" ref="AI707">IF($F707&lt;&gt;"",XLOOKUP($F707,Productos!$A:$A,Productos!AB:AB,"Revisar"),"")</f>
        <v/>
      </c>
      <c r="AJ707" s="179" t="str">
        <f t="array" ref="AJ707">IF($F707&lt;&gt;"", XLOOKUP($F707,Productos!$A$2:$A1001,Productos!AC$2:AC1001,"")*$G707,"")</f>
        <v/>
      </c>
      <c r="AK707" s="179" t="str">
        <f t="array" ref="AK707">IF($F707&lt;&gt;"",XLOOKUP($F707,Productos!$A:$A,Productos!AD:AD,"Revisar"),"")</f>
        <v/>
      </c>
      <c r="AL707" s="179" t="str">
        <f t="array" ref="AL707">IF($F707&lt;&gt;"", XLOOKUP($F707,Productos!$A$2:$A1001,Productos!AE$2:AE1001,"")*$G707,"")</f>
        <v/>
      </c>
      <c r="AM707" s="179" t="str">
        <f t="array" ref="AM707">IF($F707&lt;&gt;"",XLOOKUP($F707,Productos!$A:$A,Productos!AF:AF,"Revisar"),"")</f>
        <v/>
      </c>
      <c r="AN707" s="179" t="str">
        <f t="array" ref="AN707">IF($F707&lt;&gt;"", XLOOKUP($F707,Productos!$A$2:$A1001,Productos!AG$2:AG1001,"")*$G707,"")</f>
        <v/>
      </c>
      <c r="AO707" s="179" t="str">
        <f t="array" ref="AO707">IF($F707&lt;&gt;"",XLOOKUP($F707,Productos!$A:$A,Productos!AH:AH,"Revisar"),"")</f>
        <v/>
      </c>
      <c r="AP707" s="179" t="str">
        <f t="array" ref="AP707">IF($F707&lt;&gt;"", XLOOKUP($F707,Productos!$A$2:$A1001,Productos!AI$2:AI1001,"")*$G707,"")</f>
        <v/>
      </c>
      <c r="AQ707" s="179" t="str">
        <f t="array" ref="AQ707">IF($F707&lt;&gt;"",XLOOKUP($F707,Productos!$A:$A,Productos!AJ:AJ,"Revisar"),"")</f>
        <v/>
      </c>
      <c r="AR707" s="179" t="str">
        <f t="array" ref="AR707">IF($F707&lt;&gt;"", XLOOKUP($F707,Productos!$A$2:$A1001,Productos!AK$2:AK1001,"")*$G707,"")</f>
        <v/>
      </c>
      <c r="AS707" s="179" t="str">
        <f t="array" ref="AS707">IF($F707&lt;&gt;"",XLOOKUP($F707,Productos!$A:$A,Productos!AL:AL,"Revisar"),"")</f>
        <v/>
      </c>
      <c r="AT707" s="179" t="str">
        <f t="array" ref="AT707">IF($F707&lt;&gt;"", XLOOKUP($F707,Productos!$A$2:$A1001,Productos!AM$2:AM1001,"")*$G707,"")</f>
        <v/>
      </c>
      <c r="AU707" s="179" t="str">
        <f t="array" ref="AU707">IF($F707&lt;&gt;"",XLOOKUP($F707,Productos!$A:$A,Productos!AN:AN,"Revisar"),"")</f>
        <v/>
      </c>
      <c r="AV707" s="179" t="str">
        <f t="array" ref="AV707">IF($F707&lt;&gt;"", XLOOKUP($F707,Productos!$A$2:$A1001,Productos!AO$2:AO1001,"")*$G707,"")</f>
        <v/>
      </c>
      <c r="AW707" s="179" t="str">
        <f t="array" ref="AW707">IF($F707&lt;&gt;"",XLOOKUP($F707,Productos!$A:$A,Productos!AP:AP,"Revisar"),"")</f>
        <v/>
      </c>
      <c r="AX707" s="179" t="str">
        <f t="array" ref="AX707">IF($F707&lt;&gt;"", XLOOKUP($F707,Productos!$A$2:$A1001,Productos!AQ$2:AQ1001,"")*$G707,"")</f>
        <v/>
      </c>
      <c r="AY707" s="179" t="str">
        <f t="array" ref="AY707">IF($F707&lt;&gt;"",XLOOKUP($F707,Productos!$A:$A,Productos!AR:AR,"Revisar"),"")</f>
        <v/>
      </c>
      <c r="AZ707" s="179" t="str">
        <f t="array" ref="AZ707">IF($F707&lt;&gt;"", XLOOKUP($F707,Productos!$A$2:$A1001,Productos!AS$2:AS1001,"")*$G707,"")</f>
        <v/>
      </c>
      <c r="BA707" s="179" t="str">
        <f t="array" ref="BA707">IF($F707&lt;&gt;"",XLOOKUP($F707,Productos!$A:$A,Productos!AT:AT,"Revisar"),"")</f>
        <v/>
      </c>
      <c r="BB707" s="179" t="str">
        <f t="array" ref="BB707">IF($F707&lt;&gt;"", XLOOKUP($F707,Productos!$A$2:$A1001,Productos!AU$2:AU1001,"")*$G707,"")</f>
        <v/>
      </c>
      <c r="BC707" s="179" t="str">
        <f t="array" ref="BC707">IF($F707&lt;&gt;"",XLOOKUP($F707,Productos!$A:$A,Productos!AV:AV,"Revisar"),"")</f>
        <v/>
      </c>
      <c r="BD707" s="179" t="str">
        <f t="array" ref="BD707">IF($F707&lt;&gt;"", XLOOKUP($F707,Productos!$A$2:$A1001,Productos!AW$2:AW1001,"")*$G707,"")</f>
        <v/>
      </c>
      <c r="BE707" s="179" t="str">
        <f t="array" ref="BE707">IF($F707&lt;&gt;"",XLOOKUP($F707,Productos!$A:$A,Productos!AX:AX,"Revisar"),"")</f>
        <v/>
      </c>
      <c r="BF707" s="179" t="str">
        <f t="array" ref="BF707">IF($F707&lt;&gt;"", XLOOKUP($F707,Productos!$A$2:$A1001,Productos!AY$2:AY1001,"")*$G707,"")</f>
        <v/>
      </c>
      <c r="BG707" s="179" t="str">
        <f t="array" ref="BG707">IF($F707&lt;&gt;"",XLOOKUP($F707,Productos!$A:$A,Productos!AZ:AZ,"Revisar"),"")</f>
        <v/>
      </c>
      <c r="BH707" s="179" t="str">
        <f t="array" ref="BH707">IF($F707&lt;&gt;"", XLOOKUP($F707,Productos!$A$2:$A1001,Productos!BA$2:BA1001,"")*$G707,"")</f>
        <v/>
      </c>
      <c r="BI707" s="179" t="str">
        <f t="array" ref="BI707">IF($F707&lt;&gt;"",XLOOKUP($F707,Productos!$A:$A,Productos!BB:BB,"Revisar"),"")</f>
        <v/>
      </c>
      <c r="BJ707" s="179" t="str">
        <f t="array" ref="BJ707">IF($F707&lt;&gt;"", XLOOKUP($F707,Productos!$A$2:$A1001,Productos!BC$2:BC1001,"")*$G707,"")</f>
        <v/>
      </c>
      <c r="BK707" s="179" t="str">
        <f t="array" ref="BK707">IF($F707&lt;&gt;"",XLOOKUP($F707,Productos!$A:$A,Productos!BD:BD,"Revisar"),"")</f>
        <v/>
      </c>
      <c r="BL707" s="179" t="str">
        <f t="array" ref="BL707">IF($F707&lt;&gt;"", XLOOKUP($F707,Productos!$A$2:$A1001,Productos!BE$2:BE1001,"")*$G707,"")</f>
        <v/>
      </c>
      <c r="BM707" s="179" t="str">
        <f t="array" ref="BM707">IF($F707&lt;&gt;"",XLOOKUP($F707,Productos!$A:$A,Productos!BF:BF,"Revisar"),"")</f>
        <v/>
      </c>
      <c r="BN707" s="179" t="str">
        <f t="array" ref="BN707">IF($F707&lt;&gt;"", XLOOKUP($F707,Productos!$A$2:$A1001,Productos!BG$2:BG1001,"")*$G707,"")</f>
        <v/>
      </c>
      <c r="BO707" s="179" t="str">
        <f t="array" ref="BO707">IF($F707&lt;&gt;"",XLOOKUP($F707,Productos!$A:$A,Productos!BH:BH,"Revisar"),"")</f>
        <v/>
      </c>
      <c r="BP707" s="179" t="str">
        <f t="array" ref="BP707">IF($F707&lt;&gt;"", XLOOKUP($F707,Productos!$A$2:$A1001,Productos!BI$2:BI1001,"")*$G707,"")</f>
        <v/>
      </c>
      <c r="BQ707" s="179" t="str">
        <f t="array" ref="BQ707">IF($F707&lt;&gt;"",XLOOKUP($F707,Productos!$A:$A,Productos!BJ:BJ,"Revisar"),"")</f>
        <v/>
      </c>
      <c r="BR707" s="179" t="str">
        <f t="array" ref="BR707">IF($F707&lt;&gt;"", XLOOKUP($F707,Productos!$A$2:$A1001,Productos!BK$2:BK1001,"")*$G707,"")</f>
        <v/>
      </c>
      <c r="BS707" s="179" t="str">
        <f t="array" ref="BS707">IF($F707&lt;&gt;"",XLOOKUP($F707,Productos!$A:$A,Productos!BL:BL,"Revisar"),"")</f>
        <v/>
      </c>
      <c r="BT707" s="179" t="str">
        <f t="array" ref="BT707">IF($F707&lt;&gt;"", XLOOKUP($F707,Productos!$A$2:$A1001,Productos!BM$2:BM1001,"")*$G707,"")</f>
        <v/>
      </c>
      <c r="BU707" s="179" t="str">
        <f t="array" ref="BU707">IF($F707&lt;&gt;"",XLOOKUP($F707,Productos!$A:$A,Productos!BN:BN,"Revisar"),"")</f>
        <v/>
      </c>
      <c r="BV707" s="179" t="str">
        <f t="array" ref="BV707">IF($F707&lt;&gt;"", XLOOKUP($F707,Productos!$A$2:$A1001,Productos!BO$2:BO1001,"")*$G707,"")</f>
        <v/>
      </c>
      <c r="BW707" s="179" t="str">
        <f t="array" ref="BW707">IF($F707&lt;&gt;"",XLOOKUP($F707,Productos!$A:$A,Productos!BP:BP,"Revisar"),"")</f>
        <v/>
      </c>
      <c r="BX707" s="179" t="str">
        <f t="array" ref="BX707">IF($F707&lt;&gt;"", XLOOKUP($F707,Productos!$A$2:$A1001,Productos!BQ$2:BQ1001,"")*$G707,"")</f>
        <v/>
      </c>
      <c r="BY707" s="179" t="str">
        <f t="array" ref="BY707">IF($F707&lt;&gt;"",XLOOKUP($F707,Productos!$A:$A,Productos!BR:BR,"Revisar"),"")</f>
        <v/>
      </c>
      <c r="BZ707" s="179" t="str">
        <f t="array" ref="BZ707">IF($F707&lt;&gt;"", XLOOKUP($F707,Productos!$A$2:$A1001,Productos!BS$2:BS1001,"")*$G707,"")</f>
        <v/>
      </c>
    </row>
    <row r="708">
      <c r="A708" s="188"/>
      <c r="B708" s="189"/>
      <c r="C708" s="190"/>
      <c r="D708" s="190"/>
      <c r="E708" s="191"/>
      <c r="F708" s="186"/>
      <c r="G708" s="192"/>
      <c r="H708" s="9"/>
      <c r="I708" s="179" t="str">
        <f t="array" ref="I708">IF($F708&lt;&gt;"",XLOOKUP($F708,Productos!$A:$A,Productos!B:B,"Revisar"),"")</f>
        <v/>
      </c>
      <c r="J708" s="179" t="str">
        <f t="array" ref="J708">IF($F708&lt;&gt;"", XLOOKUP($F708,Productos!$A$2:$A1001,Productos!C$2:C1001,"")*$G708,"")</f>
        <v/>
      </c>
      <c r="K708" s="179" t="str">
        <f t="array" ref="K708">IF($F708&lt;&gt;"",XLOOKUP($F708,Productos!$A:$A,Productos!D:D,"Revisar"),"")</f>
        <v/>
      </c>
      <c r="L708" s="179" t="str">
        <f t="array" ref="L708">IF($F708&lt;&gt;"", XLOOKUP($F708,Productos!$A$2:$A1001,Productos!E$2:E1001,"")*$G708,"")</f>
        <v/>
      </c>
      <c r="M708" s="179" t="str">
        <f t="array" ref="M708">IF($F708&lt;&gt;"",XLOOKUP($F708,Productos!$A:$A,Productos!F:F,"Revisar"),"")</f>
        <v/>
      </c>
      <c r="N708" s="179" t="str">
        <f t="array" ref="N708">IF($F708&lt;&gt;"", XLOOKUP($F708,Productos!$A$2:$A1001,Productos!G$2:G1001,"")*$G708,"")</f>
        <v/>
      </c>
      <c r="O708" s="179" t="str">
        <f t="array" ref="O708">IF($F708&lt;&gt;"",XLOOKUP($F708,Productos!$A:$A,Productos!H:H,"Revisar"),"")</f>
        <v/>
      </c>
      <c r="P708" s="179" t="str">
        <f t="array" ref="P708">IF($F708&lt;&gt;"", XLOOKUP($F708,Productos!$A$2:$A1001,Productos!I$2:I1001,"")*$G708,"")</f>
        <v/>
      </c>
      <c r="Q708" s="179" t="str">
        <f t="array" ref="Q708">IF($F708&lt;&gt;"",XLOOKUP($F708,Productos!$A:$A,Productos!J:J,"Revisar"),"")</f>
        <v/>
      </c>
      <c r="R708" s="179" t="str">
        <f t="array" ref="R708">IF($F708&lt;&gt;"", XLOOKUP($F708,Productos!$A$2:$A1001,Productos!K$2:K1001,"")*$G708,"")</f>
        <v/>
      </c>
      <c r="S708" s="179" t="str">
        <f t="array" ref="S708">IF($F708&lt;&gt;"",XLOOKUP($F708,Productos!$A:$A,Productos!L:L,"Revisar"),"")</f>
        <v/>
      </c>
      <c r="T708" s="179" t="str">
        <f t="array" ref="T708">IF($F708&lt;&gt;"", XLOOKUP($F708,Productos!$A$2:$A1001,Productos!M$2:M1001,"")*$G708,"")</f>
        <v/>
      </c>
      <c r="U708" s="179" t="str">
        <f t="array" ref="U708">IF($F708&lt;&gt;"",XLOOKUP($F708,Productos!$A:$A,Productos!N:N,"Revisar"),"")</f>
        <v/>
      </c>
      <c r="V708" s="179" t="str">
        <f t="array" ref="V708">IF($F708&lt;&gt;"", XLOOKUP($F708,Productos!$A$2:$A1001,Productos!O$2:O1001,"")*$G708,"")</f>
        <v/>
      </c>
      <c r="W708" s="179" t="str">
        <f t="array" ref="W708">IF($F708&lt;&gt;"",XLOOKUP($F708,Productos!$A:$A,Productos!P:P,"Revisar"),"")</f>
        <v/>
      </c>
      <c r="X708" s="179" t="str">
        <f t="array" ref="X708">IF($F708&lt;&gt;"", XLOOKUP($F708,Productos!$A$2:$A1001,Productos!Q$2:Q1001,"")*$G708,"")</f>
        <v/>
      </c>
      <c r="Y708" s="179" t="str">
        <f t="array" ref="Y708">IF($F708&lt;&gt;"",XLOOKUP($F708,Productos!$A:$A,Productos!R:R,"Revisar"),"")</f>
        <v/>
      </c>
      <c r="Z708" s="179" t="str">
        <f t="array" ref="Z708">IF($F708&lt;&gt;"", XLOOKUP($F708,Productos!$A$2:$A1001,Productos!S$2:S1001,"")*$G708,"")</f>
        <v/>
      </c>
      <c r="AA708" s="179" t="str">
        <f t="array" ref="AA708">IF($F708&lt;&gt;"",XLOOKUP($F708,Productos!$A:$A,Productos!T:T,"Revisar"),"")</f>
        <v/>
      </c>
      <c r="AB708" s="179" t="str">
        <f t="array" ref="AB708">IF($F708&lt;&gt;"", XLOOKUP($F708,Productos!$A$2:$A1001,Productos!U$2:U1001,"")*$G708,"")</f>
        <v/>
      </c>
      <c r="AC708" s="179" t="str">
        <f t="array" ref="AC708">IF($F708&lt;&gt;"",XLOOKUP($F708,Productos!$A:$A,Productos!V:V,"Revisar"),"")</f>
        <v/>
      </c>
      <c r="AD708" s="179" t="str">
        <f t="array" ref="AD708">IF($F708&lt;&gt;"", XLOOKUP($F708,Productos!$A$2:$A1001,Productos!W$2:W1001,"")*$G708,"")</f>
        <v/>
      </c>
      <c r="AE708" s="179" t="str">
        <f t="array" ref="AE708">IF($F708&lt;&gt;"",XLOOKUP($F708,Productos!$A:$A,Productos!X:X,"Revisar"),"")</f>
        <v/>
      </c>
      <c r="AF708" s="179" t="str">
        <f t="array" ref="AF708">IF($F708&lt;&gt;"", XLOOKUP($F708,Productos!$A$2:$A1001,Productos!Y$2:Y1001,"")*$G708,"")</f>
        <v/>
      </c>
      <c r="AG708" s="179" t="str">
        <f t="array" ref="AG708">IF($F708&lt;&gt;"",XLOOKUP($F708,Productos!$A:$A,Productos!Z:Z,"Revisar"),"")</f>
        <v/>
      </c>
      <c r="AH708" s="179" t="str">
        <f t="array" ref="AH708">IF($F708&lt;&gt;"", XLOOKUP($F708,Productos!$A$2:$A1001,Productos!AA$2:AA1001,"")*$G708,"")</f>
        <v/>
      </c>
      <c r="AI708" s="179" t="str">
        <f t="array" ref="AI708">IF($F708&lt;&gt;"",XLOOKUP($F708,Productos!$A:$A,Productos!AB:AB,"Revisar"),"")</f>
        <v/>
      </c>
      <c r="AJ708" s="179" t="str">
        <f t="array" ref="AJ708">IF($F708&lt;&gt;"", XLOOKUP($F708,Productos!$A$2:$A1001,Productos!AC$2:AC1001,"")*$G708,"")</f>
        <v/>
      </c>
      <c r="AK708" s="179" t="str">
        <f t="array" ref="AK708">IF($F708&lt;&gt;"",XLOOKUP($F708,Productos!$A:$A,Productos!AD:AD,"Revisar"),"")</f>
        <v/>
      </c>
      <c r="AL708" s="179" t="str">
        <f t="array" ref="AL708">IF($F708&lt;&gt;"", XLOOKUP($F708,Productos!$A$2:$A1001,Productos!AE$2:AE1001,"")*$G708,"")</f>
        <v/>
      </c>
      <c r="AM708" s="179" t="str">
        <f t="array" ref="AM708">IF($F708&lt;&gt;"",XLOOKUP($F708,Productos!$A:$A,Productos!AF:AF,"Revisar"),"")</f>
        <v/>
      </c>
      <c r="AN708" s="179" t="str">
        <f t="array" ref="AN708">IF($F708&lt;&gt;"", XLOOKUP($F708,Productos!$A$2:$A1001,Productos!AG$2:AG1001,"")*$G708,"")</f>
        <v/>
      </c>
      <c r="AO708" s="179" t="str">
        <f t="array" ref="AO708">IF($F708&lt;&gt;"",XLOOKUP($F708,Productos!$A:$A,Productos!AH:AH,"Revisar"),"")</f>
        <v/>
      </c>
      <c r="AP708" s="179" t="str">
        <f t="array" ref="AP708">IF($F708&lt;&gt;"", XLOOKUP($F708,Productos!$A$2:$A1001,Productos!AI$2:AI1001,"")*$G708,"")</f>
        <v/>
      </c>
      <c r="AQ708" s="179" t="str">
        <f t="array" ref="AQ708">IF($F708&lt;&gt;"",XLOOKUP($F708,Productos!$A:$A,Productos!AJ:AJ,"Revisar"),"")</f>
        <v/>
      </c>
      <c r="AR708" s="179" t="str">
        <f t="array" ref="AR708">IF($F708&lt;&gt;"", XLOOKUP($F708,Productos!$A$2:$A1001,Productos!AK$2:AK1001,"")*$G708,"")</f>
        <v/>
      </c>
      <c r="AS708" s="179" t="str">
        <f t="array" ref="AS708">IF($F708&lt;&gt;"",XLOOKUP($F708,Productos!$A:$A,Productos!AL:AL,"Revisar"),"")</f>
        <v/>
      </c>
      <c r="AT708" s="179" t="str">
        <f t="array" ref="AT708">IF($F708&lt;&gt;"", XLOOKUP($F708,Productos!$A$2:$A1001,Productos!AM$2:AM1001,"")*$G708,"")</f>
        <v/>
      </c>
      <c r="AU708" s="179" t="str">
        <f t="array" ref="AU708">IF($F708&lt;&gt;"",XLOOKUP($F708,Productos!$A:$A,Productos!AN:AN,"Revisar"),"")</f>
        <v/>
      </c>
      <c r="AV708" s="179" t="str">
        <f t="array" ref="AV708">IF($F708&lt;&gt;"", XLOOKUP($F708,Productos!$A$2:$A1001,Productos!AO$2:AO1001,"")*$G708,"")</f>
        <v/>
      </c>
      <c r="AW708" s="179" t="str">
        <f t="array" ref="AW708">IF($F708&lt;&gt;"",XLOOKUP($F708,Productos!$A:$A,Productos!AP:AP,"Revisar"),"")</f>
        <v/>
      </c>
      <c r="AX708" s="179" t="str">
        <f t="array" ref="AX708">IF($F708&lt;&gt;"", XLOOKUP($F708,Productos!$A$2:$A1001,Productos!AQ$2:AQ1001,"")*$G708,"")</f>
        <v/>
      </c>
      <c r="AY708" s="179" t="str">
        <f t="array" ref="AY708">IF($F708&lt;&gt;"",XLOOKUP($F708,Productos!$A:$A,Productos!AR:AR,"Revisar"),"")</f>
        <v/>
      </c>
      <c r="AZ708" s="179" t="str">
        <f t="array" ref="AZ708">IF($F708&lt;&gt;"", XLOOKUP($F708,Productos!$A$2:$A1001,Productos!AS$2:AS1001,"")*$G708,"")</f>
        <v/>
      </c>
      <c r="BA708" s="179" t="str">
        <f t="array" ref="BA708">IF($F708&lt;&gt;"",XLOOKUP($F708,Productos!$A:$A,Productos!AT:AT,"Revisar"),"")</f>
        <v/>
      </c>
      <c r="BB708" s="179" t="str">
        <f t="array" ref="BB708">IF($F708&lt;&gt;"", XLOOKUP($F708,Productos!$A$2:$A1001,Productos!AU$2:AU1001,"")*$G708,"")</f>
        <v/>
      </c>
      <c r="BC708" s="179" t="str">
        <f t="array" ref="BC708">IF($F708&lt;&gt;"",XLOOKUP($F708,Productos!$A:$A,Productos!AV:AV,"Revisar"),"")</f>
        <v/>
      </c>
      <c r="BD708" s="179" t="str">
        <f t="array" ref="BD708">IF($F708&lt;&gt;"", XLOOKUP($F708,Productos!$A$2:$A1001,Productos!AW$2:AW1001,"")*$G708,"")</f>
        <v/>
      </c>
      <c r="BE708" s="179" t="str">
        <f t="array" ref="BE708">IF($F708&lt;&gt;"",XLOOKUP($F708,Productos!$A:$A,Productos!AX:AX,"Revisar"),"")</f>
        <v/>
      </c>
      <c r="BF708" s="179" t="str">
        <f t="array" ref="BF708">IF($F708&lt;&gt;"", XLOOKUP($F708,Productos!$A$2:$A1001,Productos!AY$2:AY1001,"")*$G708,"")</f>
        <v/>
      </c>
      <c r="BG708" s="179" t="str">
        <f t="array" ref="BG708">IF($F708&lt;&gt;"",XLOOKUP($F708,Productos!$A:$A,Productos!AZ:AZ,"Revisar"),"")</f>
        <v/>
      </c>
      <c r="BH708" s="179" t="str">
        <f t="array" ref="BH708">IF($F708&lt;&gt;"", XLOOKUP($F708,Productos!$A$2:$A1001,Productos!BA$2:BA1001,"")*$G708,"")</f>
        <v/>
      </c>
      <c r="BI708" s="179" t="str">
        <f t="array" ref="BI708">IF($F708&lt;&gt;"",XLOOKUP($F708,Productos!$A:$A,Productos!BB:BB,"Revisar"),"")</f>
        <v/>
      </c>
      <c r="BJ708" s="179" t="str">
        <f t="array" ref="BJ708">IF($F708&lt;&gt;"", XLOOKUP($F708,Productos!$A$2:$A1001,Productos!BC$2:BC1001,"")*$G708,"")</f>
        <v/>
      </c>
      <c r="BK708" s="179" t="str">
        <f t="array" ref="BK708">IF($F708&lt;&gt;"",XLOOKUP($F708,Productos!$A:$A,Productos!BD:BD,"Revisar"),"")</f>
        <v/>
      </c>
      <c r="BL708" s="179" t="str">
        <f t="array" ref="BL708">IF($F708&lt;&gt;"", XLOOKUP($F708,Productos!$A$2:$A1001,Productos!BE$2:BE1001,"")*$G708,"")</f>
        <v/>
      </c>
      <c r="BM708" s="179" t="str">
        <f t="array" ref="BM708">IF($F708&lt;&gt;"",XLOOKUP($F708,Productos!$A:$A,Productos!BF:BF,"Revisar"),"")</f>
        <v/>
      </c>
      <c r="BN708" s="179" t="str">
        <f t="array" ref="BN708">IF($F708&lt;&gt;"", XLOOKUP($F708,Productos!$A$2:$A1001,Productos!BG$2:BG1001,"")*$G708,"")</f>
        <v/>
      </c>
      <c r="BO708" s="179" t="str">
        <f t="array" ref="BO708">IF($F708&lt;&gt;"",XLOOKUP($F708,Productos!$A:$A,Productos!BH:BH,"Revisar"),"")</f>
        <v/>
      </c>
      <c r="BP708" s="179" t="str">
        <f t="array" ref="BP708">IF($F708&lt;&gt;"", XLOOKUP($F708,Productos!$A$2:$A1001,Productos!BI$2:BI1001,"")*$G708,"")</f>
        <v/>
      </c>
      <c r="BQ708" s="179" t="str">
        <f t="array" ref="BQ708">IF($F708&lt;&gt;"",XLOOKUP($F708,Productos!$A:$A,Productos!BJ:BJ,"Revisar"),"")</f>
        <v/>
      </c>
      <c r="BR708" s="179" t="str">
        <f t="array" ref="BR708">IF($F708&lt;&gt;"", XLOOKUP($F708,Productos!$A$2:$A1001,Productos!BK$2:BK1001,"")*$G708,"")</f>
        <v/>
      </c>
      <c r="BS708" s="179" t="str">
        <f t="array" ref="BS708">IF($F708&lt;&gt;"",XLOOKUP($F708,Productos!$A:$A,Productos!BL:BL,"Revisar"),"")</f>
        <v/>
      </c>
      <c r="BT708" s="179" t="str">
        <f t="array" ref="BT708">IF($F708&lt;&gt;"", XLOOKUP($F708,Productos!$A$2:$A1001,Productos!BM$2:BM1001,"")*$G708,"")</f>
        <v/>
      </c>
      <c r="BU708" s="179" t="str">
        <f t="array" ref="BU708">IF($F708&lt;&gt;"",XLOOKUP($F708,Productos!$A:$A,Productos!BN:BN,"Revisar"),"")</f>
        <v/>
      </c>
      <c r="BV708" s="179" t="str">
        <f t="array" ref="BV708">IF($F708&lt;&gt;"", XLOOKUP($F708,Productos!$A$2:$A1001,Productos!BO$2:BO1001,"")*$G708,"")</f>
        <v/>
      </c>
      <c r="BW708" s="179" t="str">
        <f t="array" ref="BW708">IF($F708&lt;&gt;"",XLOOKUP($F708,Productos!$A:$A,Productos!BP:BP,"Revisar"),"")</f>
        <v/>
      </c>
      <c r="BX708" s="179" t="str">
        <f t="array" ref="BX708">IF($F708&lt;&gt;"", XLOOKUP($F708,Productos!$A$2:$A1001,Productos!BQ$2:BQ1001,"")*$G708,"")</f>
        <v/>
      </c>
      <c r="BY708" s="179" t="str">
        <f t="array" ref="BY708">IF($F708&lt;&gt;"",XLOOKUP($F708,Productos!$A:$A,Productos!BR:BR,"Revisar"),"")</f>
        <v/>
      </c>
      <c r="BZ708" s="179" t="str">
        <f t="array" ref="BZ708">IF($F708&lt;&gt;"", XLOOKUP($F708,Productos!$A$2:$A1001,Productos!BS$2:BS1001,"")*$G708,"")</f>
        <v/>
      </c>
    </row>
    <row r="709">
      <c r="A709" s="188"/>
      <c r="B709" s="189"/>
      <c r="C709" s="190"/>
      <c r="D709" s="190"/>
      <c r="E709" s="191"/>
      <c r="F709" s="186"/>
      <c r="G709" s="192"/>
      <c r="H709" s="9"/>
      <c r="I709" s="179" t="str">
        <f t="array" ref="I709">IF($F709&lt;&gt;"",XLOOKUP($F709,Productos!$A:$A,Productos!B:B,"Revisar"),"")</f>
        <v/>
      </c>
      <c r="J709" s="179" t="str">
        <f t="array" ref="J709">IF($F709&lt;&gt;"", XLOOKUP($F709,Productos!$A$2:$A1001,Productos!C$2:C1001,"")*$G709,"")</f>
        <v/>
      </c>
      <c r="K709" s="179" t="str">
        <f t="array" ref="K709">IF($F709&lt;&gt;"",XLOOKUP($F709,Productos!$A:$A,Productos!D:D,"Revisar"),"")</f>
        <v/>
      </c>
      <c r="L709" s="179" t="str">
        <f t="array" ref="L709">IF($F709&lt;&gt;"", XLOOKUP($F709,Productos!$A$2:$A1001,Productos!E$2:E1001,"")*$G709,"")</f>
        <v/>
      </c>
      <c r="M709" s="179" t="str">
        <f t="array" ref="M709">IF($F709&lt;&gt;"",XLOOKUP($F709,Productos!$A:$A,Productos!F:F,"Revisar"),"")</f>
        <v/>
      </c>
      <c r="N709" s="179" t="str">
        <f t="array" ref="N709">IF($F709&lt;&gt;"", XLOOKUP($F709,Productos!$A$2:$A1001,Productos!G$2:G1001,"")*$G709,"")</f>
        <v/>
      </c>
      <c r="O709" s="179" t="str">
        <f t="array" ref="O709">IF($F709&lt;&gt;"",XLOOKUP($F709,Productos!$A:$A,Productos!H:H,"Revisar"),"")</f>
        <v/>
      </c>
      <c r="P709" s="179" t="str">
        <f t="array" ref="P709">IF($F709&lt;&gt;"", XLOOKUP($F709,Productos!$A$2:$A1001,Productos!I$2:I1001,"")*$G709,"")</f>
        <v/>
      </c>
      <c r="Q709" s="179" t="str">
        <f t="array" ref="Q709">IF($F709&lt;&gt;"",XLOOKUP($F709,Productos!$A:$A,Productos!J:J,"Revisar"),"")</f>
        <v/>
      </c>
      <c r="R709" s="179" t="str">
        <f t="array" ref="R709">IF($F709&lt;&gt;"", XLOOKUP($F709,Productos!$A$2:$A1001,Productos!K$2:K1001,"")*$G709,"")</f>
        <v/>
      </c>
      <c r="S709" s="179" t="str">
        <f t="array" ref="S709">IF($F709&lt;&gt;"",XLOOKUP($F709,Productos!$A:$A,Productos!L:L,"Revisar"),"")</f>
        <v/>
      </c>
      <c r="T709" s="179" t="str">
        <f t="array" ref="T709">IF($F709&lt;&gt;"", XLOOKUP($F709,Productos!$A$2:$A1001,Productos!M$2:M1001,"")*$G709,"")</f>
        <v/>
      </c>
      <c r="U709" s="179" t="str">
        <f t="array" ref="U709">IF($F709&lt;&gt;"",XLOOKUP($F709,Productos!$A:$A,Productos!N:N,"Revisar"),"")</f>
        <v/>
      </c>
      <c r="V709" s="179" t="str">
        <f t="array" ref="V709">IF($F709&lt;&gt;"", XLOOKUP($F709,Productos!$A$2:$A1001,Productos!O$2:O1001,"")*$G709,"")</f>
        <v/>
      </c>
      <c r="W709" s="179" t="str">
        <f t="array" ref="W709">IF($F709&lt;&gt;"",XLOOKUP($F709,Productos!$A:$A,Productos!P:P,"Revisar"),"")</f>
        <v/>
      </c>
      <c r="X709" s="179" t="str">
        <f t="array" ref="X709">IF($F709&lt;&gt;"", XLOOKUP($F709,Productos!$A$2:$A1001,Productos!Q$2:Q1001,"")*$G709,"")</f>
        <v/>
      </c>
      <c r="Y709" s="179" t="str">
        <f t="array" ref="Y709">IF($F709&lt;&gt;"",XLOOKUP($F709,Productos!$A:$A,Productos!R:R,"Revisar"),"")</f>
        <v/>
      </c>
      <c r="Z709" s="179" t="str">
        <f t="array" ref="Z709">IF($F709&lt;&gt;"", XLOOKUP($F709,Productos!$A$2:$A1001,Productos!S$2:S1001,"")*$G709,"")</f>
        <v/>
      </c>
      <c r="AA709" s="179" t="str">
        <f t="array" ref="AA709">IF($F709&lt;&gt;"",XLOOKUP($F709,Productos!$A:$A,Productos!T:T,"Revisar"),"")</f>
        <v/>
      </c>
      <c r="AB709" s="179" t="str">
        <f t="array" ref="AB709">IF($F709&lt;&gt;"", XLOOKUP($F709,Productos!$A$2:$A1001,Productos!U$2:U1001,"")*$G709,"")</f>
        <v/>
      </c>
      <c r="AC709" s="179" t="str">
        <f t="array" ref="AC709">IF($F709&lt;&gt;"",XLOOKUP($F709,Productos!$A:$A,Productos!V:V,"Revisar"),"")</f>
        <v/>
      </c>
      <c r="AD709" s="179" t="str">
        <f t="array" ref="AD709">IF($F709&lt;&gt;"", XLOOKUP($F709,Productos!$A$2:$A1001,Productos!W$2:W1001,"")*$G709,"")</f>
        <v/>
      </c>
      <c r="AE709" s="179" t="str">
        <f t="array" ref="AE709">IF($F709&lt;&gt;"",XLOOKUP($F709,Productos!$A:$A,Productos!X:X,"Revisar"),"")</f>
        <v/>
      </c>
      <c r="AF709" s="179" t="str">
        <f t="array" ref="AF709">IF($F709&lt;&gt;"", XLOOKUP($F709,Productos!$A$2:$A1001,Productos!Y$2:Y1001,"")*$G709,"")</f>
        <v/>
      </c>
      <c r="AG709" s="179" t="str">
        <f t="array" ref="AG709">IF($F709&lt;&gt;"",XLOOKUP($F709,Productos!$A:$A,Productos!Z:Z,"Revisar"),"")</f>
        <v/>
      </c>
      <c r="AH709" s="179" t="str">
        <f t="array" ref="AH709">IF($F709&lt;&gt;"", XLOOKUP($F709,Productos!$A$2:$A1001,Productos!AA$2:AA1001,"")*$G709,"")</f>
        <v/>
      </c>
      <c r="AI709" s="179" t="str">
        <f t="array" ref="AI709">IF($F709&lt;&gt;"",XLOOKUP($F709,Productos!$A:$A,Productos!AB:AB,"Revisar"),"")</f>
        <v/>
      </c>
      <c r="AJ709" s="179" t="str">
        <f t="array" ref="AJ709">IF($F709&lt;&gt;"", XLOOKUP($F709,Productos!$A$2:$A1001,Productos!AC$2:AC1001,"")*$G709,"")</f>
        <v/>
      </c>
      <c r="AK709" s="179" t="str">
        <f t="array" ref="AK709">IF($F709&lt;&gt;"",XLOOKUP($F709,Productos!$A:$A,Productos!AD:AD,"Revisar"),"")</f>
        <v/>
      </c>
      <c r="AL709" s="179" t="str">
        <f t="array" ref="AL709">IF($F709&lt;&gt;"", XLOOKUP($F709,Productos!$A$2:$A1001,Productos!AE$2:AE1001,"")*$G709,"")</f>
        <v/>
      </c>
      <c r="AM709" s="179" t="str">
        <f t="array" ref="AM709">IF($F709&lt;&gt;"",XLOOKUP($F709,Productos!$A:$A,Productos!AF:AF,"Revisar"),"")</f>
        <v/>
      </c>
      <c r="AN709" s="179" t="str">
        <f t="array" ref="AN709">IF($F709&lt;&gt;"", XLOOKUP($F709,Productos!$A$2:$A1001,Productos!AG$2:AG1001,"")*$G709,"")</f>
        <v/>
      </c>
      <c r="AO709" s="179" t="str">
        <f t="array" ref="AO709">IF($F709&lt;&gt;"",XLOOKUP($F709,Productos!$A:$A,Productos!AH:AH,"Revisar"),"")</f>
        <v/>
      </c>
      <c r="AP709" s="179" t="str">
        <f t="array" ref="AP709">IF($F709&lt;&gt;"", XLOOKUP($F709,Productos!$A$2:$A1001,Productos!AI$2:AI1001,"")*$G709,"")</f>
        <v/>
      </c>
      <c r="AQ709" s="179" t="str">
        <f t="array" ref="AQ709">IF($F709&lt;&gt;"",XLOOKUP($F709,Productos!$A:$A,Productos!AJ:AJ,"Revisar"),"")</f>
        <v/>
      </c>
      <c r="AR709" s="179" t="str">
        <f t="array" ref="AR709">IF($F709&lt;&gt;"", XLOOKUP($F709,Productos!$A$2:$A1001,Productos!AK$2:AK1001,"")*$G709,"")</f>
        <v/>
      </c>
      <c r="AS709" s="179" t="str">
        <f t="array" ref="AS709">IF($F709&lt;&gt;"",XLOOKUP($F709,Productos!$A:$A,Productos!AL:AL,"Revisar"),"")</f>
        <v/>
      </c>
      <c r="AT709" s="179" t="str">
        <f t="array" ref="AT709">IF($F709&lt;&gt;"", XLOOKUP($F709,Productos!$A$2:$A1001,Productos!AM$2:AM1001,"")*$G709,"")</f>
        <v/>
      </c>
      <c r="AU709" s="179" t="str">
        <f t="array" ref="AU709">IF($F709&lt;&gt;"",XLOOKUP($F709,Productos!$A:$A,Productos!AN:AN,"Revisar"),"")</f>
        <v/>
      </c>
      <c r="AV709" s="179" t="str">
        <f t="array" ref="AV709">IF($F709&lt;&gt;"", XLOOKUP($F709,Productos!$A$2:$A1001,Productos!AO$2:AO1001,"")*$G709,"")</f>
        <v/>
      </c>
      <c r="AW709" s="179" t="str">
        <f t="array" ref="AW709">IF($F709&lt;&gt;"",XLOOKUP($F709,Productos!$A:$A,Productos!AP:AP,"Revisar"),"")</f>
        <v/>
      </c>
      <c r="AX709" s="179" t="str">
        <f t="array" ref="AX709">IF($F709&lt;&gt;"", XLOOKUP($F709,Productos!$A$2:$A1001,Productos!AQ$2:AQ1001,"")*$G709,"")</f>
        <v/>
      </c>
      <c r="AY709" s="179" t="str">
        <f t="array" ref="AY709">IF($F709&lt;&gt;"",XLOOKUP($F709,Productos!$A:$A,Productos!AR:AR,"Revisar"),"")</f>
        <v/>
      </c>
      <c r="AZ709" s="179" t="str">
        <f t="array" ref="AZ709">IF($F709&lt;&gt;"", XLOOKUP($F709,Productos!$A$2:$A1001,Productos!AS$2:AS1001,"")*$G709,"")</f>
        <v/>
      </c>
      <c r="BA709" s="179" t="str">
        <f t="array" ref="BA709">IF($F709&lt;&gt;"",XLOOKUP($F709,Productos!$A:$A,Productos!AT:AT,"Revisar"),"")</f>
        <v/>
      </c>
      <c r="BB709" s="179" t="str">
        <f t="array" ref="BB709">IF($F709&lt;&gt;"", XLOOKUP($F709,Productos!$A$2:$A1001,Productos!AU$2:AU1001,"")*$G709,"")</f>
        <v/>
      </c>
      <c r="BC709" s="179" t="str">
        <f t="array" ref="BC709">IF($F709&lt;&gt;"",XLOOKUP($F709,Productos!$A:$A,Productos!AV:AV,"Revisar"),"")</f>
        <v/>
      </c>
      <c r="BD709" s="179" t="str">
        <f t="array" ref="BD709">IF($F709&lt;&gt;"", XLOOKUP($F709,Productos!$A$2:$A1001,Productos!AW$2:AW1001,"")*$G709,"")</f>
        <v/>
      </c>
      <c r="BE709" s="179" t="str">
        <f t="array" ref="BE709">IF($F709&lt;&gt;"",XLOOKUP($F709,Productos!$A:$A,Productos!AX:AX,"Revisar"),"")</f>
        <v/>
      </c>
      <c r="BF709" s="179" t="str">
        <f t="array" ref="BF709">IF($F709&lt;&gt;"", XLOOKUP($F709,Productos!$A$2:$A1001,Productos!AY$2:AY1001,"")*$G709,"")</f>
        <v/>
      </c>
      <c r="BG709" s="179" t="str">
        <f t="array" ref="BG709">IF($F709&lt;&gt;"",XLOOKUP($F709,Productos!$A:$A,Productos!AZ:AZ,"Revisar"),"")</f>
        <v/>
      </c>
      <c r="BH709" s="179" t="str">
        <f t="array" ref="BH709">IF($F709&lt;&gt;"", XLOOKUP($F709,Productos!$A$2:$A1001,Productos!BA$2:BA1001,"")*$G709,"")</f>
        <v/>
      </c>
      <c r="BI709" s="179" t="str">
        <f t="array" ref="BI709">IF($F709&lt;&gt;"",XLOOKUP($F709,Productos!$A:$A,Productos!BB:BB,"Revisar"),"")</f>
        <v/>
      </c>
      <c r="BJ709" s="179" t="str">
        <f t="array" ref="BJ709">IF($F709&lt;&gt;"", XLOOKUP($F709,Productos!$A$2:$A1001,Productos!BC$2:BC1001,"")*$G709,"")</f>
        <v/>
      </c>
      <c r="BK709" s="179" t="str">
        <f t="array" ref="BK709">IF($F709&lt;&gt;"",XLOOKUP($F709,Productos!$A:$A,Productos!BD:BD,"Revisar"),"")</f>
        <v/>
      </c>
      <c r="BL709" s="179" t="str">
        <f t="array" ref="BL709">IF($F709&lt;&gt;"", XLOOKUP($F709,Productos!$A$2:$A1001,Productos!BE$2:BE1001,"")*$G709,"")</f>
        <v/>
      </c>
      <c r="BM709" s="179" t="str">
        <f t="array" ref="BM709">IF($F709&lt;&gt;"",XLOOKUP($F709,Productos!$A:$A,Productos!BF:BF,"Revisar"),"")</f>
        <v/>
      </c>
      <c r="BN709" s="179" t="str">
        <f t="array" ref="BN709">IF($F709&lt;&gt;"", XLOOKUP($F709,Productos!$A$2:$A1001,Productos!BG$2:BG1001,"")*$G709,"")</f>
        <v/>
      </c>
      <c r="BO709" s="179" t="str">
        <f t="array" ref="BO709">IF($F709&lt;&gt;"",XLOOKUP($F709,Productos!$A:$A,Productos!BH:BH,"Revisar"),"")</f>
        <v/>
      </c>
      <c r="BP709" s="179" t="str">
        <f t="array" ref="BP709">IF($F709&lt;&gt;"", XLOOKUP($F709,Productos!$A$2:$A1001,Productos!BI$2:BI1001,"")*$G709,"")</f>
        <v/>
      </c>
      <c r="BQ709" s="179" t="str">
        <f t="array" ref="BQ709">IF($F709&lt;&gt;"",XLOOKUP($F709,Productos!$A:$A,Productos!BJ:BJ,"Revisar"),"")</f>
        <v/>
      </c>
      <c r="BR709" s="179" t="str">
        <f t="array" ref="BR709">IF($F709&lt;&gt;"", XLOOKUP($F709,Productos!$A$2:$A1001,Productos!BK$2:BK1001,"")*$G709,"")</f>
        <v/>
      </c>
      <c r="BS709" s="179" t="str">
        <f t="array" ref="BS709">IF($F709&lt;&gt;"",XLOOKUP($F709,Productos!$A:$A,Productos!BL:BL,"Revisar"),"")</f>
        <v/>
      </c>
      <c r="BT709" s="179" t="str">
        <f t="array" ref="BT709">IF($F709&lt;&gt;"", XLOOKUP($F709,Productos!$A$2:$A1001,Productos!BM$2:BM1001,"")*$G709,"")</f>
        <v/>
      </c>
      <c r="BU709" s="179" t="str">
        <f t="array" ref="BU709">IF($F709&lt;&gt;"",XLOOKUP($F709,Productos!$A:$A,Productos!BN:BN,"Revisar"),"")</f>
        <v/>
      </c>
      <c r="BV709" s="179" t="str">
        <f t="array" ref="BV709">IF($F709&lt;&gt;"", XLOOKUP($F709,Productos!$A$2:$A1001,Productos!BO$2:BO1001,"")*$G709,"")</f>
        <v/>
      </c>
      <c r="BW709" s="179" t="str">
        <f t="array" ref="BW709">IF($F709&lt;&gt;"",XLOOKUP($F709,Productos!$A:$A,Productos!BP:BP,"Revisar"),"")</f>
        <v/>
      </c>
      <c r="BX709" s="179" t="str">
        <f t="array" ref="BX709">IF($F709&lt;&gt;"", XLOOKUP($F709,Productos!$A$2:$A1001,Productos!BQ$2:BQ1001,"")*$G709,"")</f>
        <v/>
      </c>
      <c r="BY709" s="179" t="str">
        <f t="array" ref="BY709">IF($F709&lt;&gt;"",XLOOKUP($F709,Productos!$A:$A,Productos!BR:BR,"Revisar"),"")</f>
        <v/>
      </c>
      <c r="BZ709" s="179" t="str">
        <f t="array" ref="BZ709">IF($F709&lt;&gt;"", XLOOKUP($F709,Productos!$A$2:$A1001,Productos!BS$2:BS1001,"")*$G709,"")</f>
        <v/>
      </c>
    </row>
    <row r="710">
      <c r="A710" s="188"/>
      <c r="B710" s="189"/>
      <c r="C710" s="190"/>
      <c r="D710" s="190"/>
      <c r="E710" s="191"/>
      <c r="F710" s="186"/>
      <c r="G710" s="192"/>
      <c r="H710" s="9"/>
      <c r="I710" s="179" t="str">
        <f t="array" ref="I710">IF($F710&lt;&gt;"",XLOOKUP($F710,Productos!$A:$A,Productos!B:B,"Revisar"),"")</f>
        <v/>
      </c>
      <c r="J710" s="179" t="str">
        <f t="array" ref="J710">IF($F710&lt;&gt;"", XLOOKUP($F710,Productos!$A$2:$A1001,Productos!C$2:C1001,"")*$G710,"")</f>
        <v/>
      </c>
      <c r="K710" s="179" t="str">
        <f t="array" ref="K710">IF($F710&lt;&gt;"",XLOOKUP($F710,Productos!$A:$A,Productos!D:D,"Revisar"),"")</f>
        <v/>
      </c>
      <c r="L710" s="179" t="str">
        <f t="array" ref="L710">IF($F710&lt;&gt;"", XLOOKUP($F710,Productos!$A$2:$A1001,Productos!E$2:E1001,"")*$G710,"")</f>
        <v/>
      </c>
      <c r="M710" s="179" t="str">
        <f t="array" ref="M710">IF($F710&lt;&gt;"",XLOOKUP($F710,Productos!$A:$A,Productos!F:F,"Revisar"),"")</f>
        <v/>
      </c>
      <c r="N710" s="179" t="str">
        <f t="array" ref="N710">IF($F710&lt;&gt;"", XLOOKUP($F710,Productos!$A$2:$A1001,Productos!G$2:G1001,"")*$G710,"")</f>
        <v/>
      </c>
      <c r="O710" s="179" t="str">
        <f t="array" ref="O710">IF($F710&lt;&gt;"",XLOOKUP($F710,Productos!$A:$A,Productos!H:H,"Revisar"),"")</f>
        <v/>
      </c>
      <c r="P710" s="179" t="str">
        <f t="array" ref="P710">IF($F710&lt;&gt;"", XLOOKUP($F710,Productos!$A$2:$A1001,Productos!I$2:I1001,"")*$G710,"")</f>
        <v/>
      </c>
      <c r="Q710" s="179" t="str">
        <f t="array" ref="Q710">IF($F710&lt;&gt;"",XLOOKUP($F710,Productos!$A:$A,Productos!J:J,"Revisar"),"")</f>
        <v/>
      </c>
      <c r="R710" s="179" t="str">
        <f t="array" ref="R710">IF($F710&lt;&gt;"", XLOOKUP($F710,Productos!$A$2:$A1001,Productos!K$2:K1001,"")*$G710,"")</f>
        <v/>
      </c>
      <c r="S710" s="179" t="str">
        <f t="array" ref="S710">IF($F710&lt;&gt;"",XLOOKUP($F710,Productos!$A:$A,Productos!L:L,"Revisar"),"")</f>
        <v/>
      </c>
      <c r="T710" s="179" t="str">
        <f t="array" ref="T710">IF($F710&lt;&gt;"", XLOOKUP($F710,Productos!$A$2:$A1001,Productos!M$2:M1001,"")*$G710,"")</f>
        <v/>
      </c>
      <c r="U710" s="179" t="str">
        <f t="array" ref="U710">IF($F710&lt;&gt;"",XLOOKUP($F710,Productos!$A:$A,Productos!N:N,"Revisar"),"")</f>
        <v/>
      </c>
      <c r="V710" s="179" t="str">
        <f t="array" ref="V710">IF($F710&lt;&gt;"", XLOOKUP($F710,Productos!$A$2:$A1001,Productos!O$2:O1001,"")*$G710,"")</f>
        <v/>
      </c>
      <c r="W710" s="179" t="str">
        <f t="array" ref="W710">IF($F710&lt;&gt;"",XLOOKUP($F710,Productos!$A:$A,Productos!P:P,"Revisar"),"")</f>
        <v/>
      </c>
      <c r="X710" s="179" t="str">
        <f t="array" ref="X710">IF($F710&lt;&gt;"", XLOOKUP($F710,Productos!$A$2:$A1001,Productos!Q$2:Q1001,"")*$G710,"")</f>
        <v/>
      </c>
      <c r="Y710" s="179" t="str">
        <f t="array" ref="Y710">IF($F710&lt;&gt;"",XLOOKUP($F710,Productos!$A:$A,Productos!R:R,"Revisar"),"")</f>
        <v/>
      </c>
      <c r="Z710" s="179" t="str">
        <f t="array" ref="Z710">IF($F710&lt;&gt;"", XLOOKUP($F710,Productos!$A$2:$A1001,Productos!S$2:S1001,"")*$G710,"")</f>
        <v/>
      </c>
      <c r="AA710" s="179" t="str">
        <f t="array" ref="AA710">IF($F710&lt;&gt;"",XLOOKUP($F710,Productos!$A:$A,Productos!T:T,"Revisar"),"")</f>
        <v/>
      </c>
      <c r="AB710" s="179" t="str">
        <f t="array" ref="AB710">IF($F710&lt;&gt;"", XLOOKUP($F710,Productos!$A$2:$A1001,Productos!U$2:U1001,"")*$G710,"")</f>
        <v/>
      </c>
      <c r="AC710" s="179" t="str">
        <f t="array" ref="AC710">IF($F710&lt;&gt;"",XLOOKUP($F710,Productos!$A:$A,Productos!V:V,"Revisar"),"")</f>
        <v/>
      </c>
      <c r="AD710" s="179" t="str">
        <f t="array" ref="AD710">IF($F710&lt;&gt;"", XLOOKUP($F710,Productos!$A$2:$A1001,Productos!W$2:W1001,"")*$G710,"")</f>
        <v/>
      </c>
      <c r="AE710" s="179" t="str">
        <f t="array" ref="AE710">IF($F710&lt;&gt;"",XLOOKUP($F710,Productos!$A:$A,Productos!X:X,"Revisar"),"")</f>
        <v/>
      </c>
      <c r="AF710" s="179" t="str">
        <f t="array" ref="AF710">IF($F710&lt;&gt;"", XLOOKUP($F710,Productos!$A$2:$A1001,Productos!Y$2:Y1001,"")*$G710,"")</f>
        <v/>
      </c>
      <c r="AG710" s="179" t="str">
        <f t="array" ref="AG710">IF($F710&lt;&gt;"",XLOOKUP($F710,Productos!$A:$A,Productos!Z:Z,"Revisar"),"")</f>
        <v/>
      </c>
      <c r="AH710" s="179" t="str">
        <f t="array" ref="AH710">IF($F710&lt;&gt;"", XLOOKUP($F710,Productos!$A$2:$A1001,Productos!AA$2:AA1001,"")*$G710,"")</f>
        <v/>
      </c>
      <c r="AI710" s="179" t="str">
        <f t="array" ref="AI710">IF($F710&lt;&gt;"",XLOOKUP($F710,Productos!$A:$A,Productos!AB:AB,"Revisar"),"")</f>
        <v/>
      </c>
      <c r="AJ710" s="179" t="str">
        <f t="array" ref="AJ710">IF($F710&lt;&gt;"", XLOOKUP($F710,Productos!$A$2:$A1001,Productos!AC$2:AC1001,"")*$G710,"")</f>
        <v/>
      </c>
      <c r="AK710" s="179" t="str">
        <f t="array" ref="AK710">IF($F710&lt;&gt;"",XLOOKUP($F710,Productos!$A:$A,Productos!AD:AD,"Revisar"),"")</f>
        <v/>
      </c>
      <c r="AL710" s="179" t="str">
        <f t="array" ref="AL710">IF($F710&lt;&gt;"", XLOOKUP($F710,Productos!$A$2:$A1001,Productos!AE$2:AE1001,"")*$G710,"")</f>
        <v/>
      </c>
      <c r="AM710" s="179" t="str">
        <f t="array" ref="AM710">IF($F710&lt;&gt;"",XLOOKUP($F710,Productos!$A:$A,Productos!AF:AF,"Revisar"),"")</f>
        <v/>
      </c>
      <c r="AN710" s="179" t="str">
        <f t="array" ref="AN710">IF($F710&lt;&gt;"", XLOOKUP($F710,Productos!$A$2:$A1001,Productos!AG$2:AG1001,"")*$G710,"")</f>
        <v/>
      </c>
      <c r="AO710" s="179" t="str">
        <f t="array" ref="AO710">IF($F710&lt;&gt;"",XLOOKUP($F710,Productos!$A:$A,Productos!AH:AH,"Revisar"),"")</f>
        <v/>
      </c>
      <c r="AP710" s="179" t="str">
        <f t="array" ref="AP710">IF($F710&lt;&gt;"", XLOOKUP($F710,Productos!$A$2:$A1001,Productos!AI$2:AI1001,"")*$G710,"")</f>
        <v/>
      </c>
      <c r="AQ710" s="179" t="str">
        <f t="array" ref="AQ710">IF($F710&lt;&gt;"",XLOOKUP($F710,Productos!$A:$A,Productos!AJ:AJ,"Revisar"),"")</f>
        <v/>
      </c>
      <c r="AR710" s="179" t="str">
        <f t="array" ref="AR710">IF($F710&lt;&gt;"", XLOOKUP($F710,Productos!$A$2:$A1001,Productos!AK$2:AK1001,"")*$G710,"")</f>
        <v/>
      </c>
      <c r="AS710" s="179" t="str">
        <f t="array" ref="AS710">IF($F710&lt;&gt;"",XLOOKUP($F710,Productos!$A:$A,Productos!AL:AL,"Revisar"),"")</f>
        <v/>
      </c>
      <c r="AT710" s="179" t="str">
        <f t="array" ref="AT710">IF($F710&lt;&gt;"", XLOOKUP($F710,Productos!$A$2:$A1001,Productos!AM$2:AM1001,"")*$G710,"")</f>
        <v/>
      </c>
      <c r="AU710" s="179" t="str">
        <f t="array" ref="AU710">IF($F710&lt;&gt;"",XLOOKUP($F710,Productos!$A:$A,Productos!AN:AN,"Revisar"),"")</f>
        <v/>
      </c>
      <c r="AV710" s="179" t="str">
        <f t="array" ref="AV710">IF($F710&lt;&gt;"", XLOOKUP($F710,Productos!$A$2:$A1001,Productos!AO$2:AO1001,"")*$G710,"")</f>
        <v/>
      </c>
      <c r="AW710" s="179" t="str">
        <f t="array" ref="AW710">IF($F710&lt;&gt;"",XLOOKUP($F710,Productos!$A:$A,Productos!AP:AP,"Revisar"),"")</f>
        <v/>
      </c>
      <c r="AX710" s="179" t="str">
        <f t="array" ref="AX710">IF($F710&lt;&gt;"", XLOOKUP($F710,Productos!$A$2:$A1001,Productos!AQ$2:AQ1001,"")*$G710,"")</f>
        <v/>
      </c>
      <c r="AY710" s="179" t="str">
        <f t="array" ref="AY710">IF($F710&lt;&gt;"",XLOOKUP($F710,Productos!$A:$A,Productos!AR:AR,"Revisar"),"")</f>
        <v/>
      </c>
      <c r="AZ710" s="179" t="str">
        <f t="array" ref="AZ710">IF($F710&lt;&gt;"", XLOOKUP($F710,Productos!$A$2:$A1001,Productos!AS$2:AS1001,"")*$G710,"")</f>
        <v/>
      </c>
      <c r="BA710" s="179" t="str">
        <f t="array" ref="BA710">IF($F710&lt;&gt;"",XLOOKUP($F710,Productos!$A:$A,Productos!AT:AT,"Revisar"),"")</f>
        <v/>
      </c>
      <c r="BB710" s="179" t="str">
        <f t="array" ref="BB710">IF($F710&lt;&gt;"", XLOOKUP($F710,Productos!$A$2:$A1001,Productos!AU$2:AU1001,"")*$G710,"")</f>
        <v/>
      </c>
      <c r="BC710" s="179" t="str">
        <f t="array" ref="BC710">IF($F710&lt;&gt;"",XLOOKUP($F710,Productos!$A:$A,Productos!AV:AV,"Revisar"),"")</f>
        <v/>
      </c>
      <c r="BD710" s="179" t="str">
        <f t="array" ref="BD710">IF($F710&lt;&gt;"", XLOOKUP($F710,Productos!$A$2:$A1001,Productos!AW$2:AW1001,"")*$G710,"")</f>
        <v/>
      </c>
      <c r="BE710" s="179" t="str">
        <f t="array" ref="BE710">IF($F710&lt;&gt;"",XLOOKUP($F710,Productos!$A:$A,Productos!AX:AX,"Revisar"),"")</f>
        <v/>
      </c>
      <c r="BF710" s="179" t="str">
        <f t="array" ref="BF710">IF($F710&lt;&gt;"", XLOOKUP($F710,Productos!$A$2:$A1001,Productos!AY$2:AY1001,"")*$G710,"")</f>
        <v/>
      </c>
      <c r="BG710" s="179" t="str">
        <f t="array" ref="BG710">IF($F710&lt;&gt;"",XLOOKUP($F710,Productos!$A:$A,Productos!AZ:AZ,"Revisar"),"")</f>
        <v/>
      </c>
      <c r="BH710" s="179" t="str">
        <f t="array" ref="BH710">IF($F710&lt;&gt;"", XLOOKUP($F710,Productos!$A$2:$A1001,Productos!BA$2:BA1001,"")*$G710,"")</f>
        <v/>
      </c>
      <c r="BI710" s="179" t="str">
        <f t="array" ref="BI710">IF($F710&lt;&gt;"",XLOOKUP($F710,Productos!$A:$A,Productos!BB:BB,"Revisar"),"")</f>
        <v/>
      </c>
      <c r="BJ710" s="179" t="str">
        <f t="array" ref="BJ710">IF($F710&lt;&gt;"", XLOOKUP($F710,Productos!$A$2:$A1001,Productos!BC$2:BC1001,"")*$G710,"")</f>
        <v/>
      </c>
      <c r="BK710" s="179" t="str">
        <f t="array" ref="BK710">IF($F710&lt;&gt;"",XLOOKUP($F710,Productos!$A:$A,Productos!BD:BD,"Revisar"),"")</f>
        <v/>
      </c>
      <c r="BL710" s="179" t="str">
        <f t="array" ref="BL710">IF($F710&lt;&gt;"", XLOOKUP($F710,Productos!$A$2:$A1001,Productos!BE$2:BE1001,"")*$G710,"")</f>
        <v/>
      </c>
      <c r="BM710" s="179" t="str">
        <f t="array" ref="BM710">IF($F710&lt;&gt;"",XLOOKUP($F710,Productos!$A:$A,Productos!BF:BF,"Revisar"),"")</f>
        <v/>
      </c>
      <c r="BN710" s="179" t="str">
        <f t="array" ref="BN710">IF($F710&lt;&gt;"", XLOOKUP($F710,Productos!$A$2:$A1001,Productos!BG$2:BG1001,"")*$G710,"")</f>
        <v/>
      </c>
      <c r="BO710" s="179" t="str">
        <f t="array" ref="BO710">IF($F710&lt;&gt;"",XLOOKUP($F710,Productos!$A:$A,Productos!BH:BH,"Revisar"),"")</f>
        <v/>
      </c>
      <c r="BP710" s="179" t="str">
        <f t="array" ref="BP710">IF($F710&lt;&gt;"", XLOOKUP($F710,Productos!$A$2:$A1001,Productos!BI$2:BI1001,"")*$G710,"")</f>
        <v/>
      </c>
      <c r="BQ710" s="179" t="str">
        <f t="array" ref="BQ710">IF($F710&lt;&gt;"",XLOOKUP($F710,Productos!$A:$A,Productos!BJ:BJ,"Revisar"),"")</f>
        <v/>
      </c>
      <c r="BR710" s="179" t="str">
        <f t="array" ref="BR710">IF($F710&lt;&gt;"", XLOOKUP($F710,Productos!$A$2:$A1001,Productos!BK$2:BK1001,"")*$G710,"")</f>
        <v/>
      </c>
      <c r="BS710" s="179" t="str">
        <f t="array" ref="BS710">IF($F710&lt;&gt;"",XLOOKUP($F710,Productos!$A:$A,Productos!BL:BL,"Revisar"),"")</f>
        <v/>
      </c>
      <c r="BT710" s="179" t="str">
        <f t="array" ref="BT710">IF($F710&lt;&gt;"", XLOOKUP($F710,Productos!$A$2:$A1001,Productos!BM$2:BM1001,"")*$G710,"")</f>
        <v/>
      </c>
      <c r="BU710" s="179" t="str">
        <f t="array" ref="BU710">IF($F710&lt;&gt;"",XLOOKUP($F710,Productos!$A:$A,Productos!BN:BN,"Revisar"),"")</f>
        <v/>
      </c>
      <c r="BV710" s="179" t="str">
        <f t="array" ref="BV710">IF($F710&lt;&gt;"", XLOOKUP($F710,Productos!$A$2:$A1001,Productos!BO$2:BO1001,"")*$G710,"")</f>
        <v/>
      </c>
      <c r="BW710" s="179" t="str">
        <f t="array" ref="BW710">IF($F710&lt;&gt;"",XLOOKUP($F710,Productos!$A:$A,Productos!BP:BP,"Revisar"),"")</f>
        <v/>
      </c>
      <c r="BX710" s="179" t="str">
        <f t="array" ref="BX710">IF($F710&lt;&gt;"", XLOOKUP($F710,Productos!$A$2:$A1001,Productos!BQ$2:BQ1001,"")*$G710,"")</f>
        <v/>
      </c>
      <c r="BY710" s="179" t="str">
        <f t="array" ref="BY710">IF($F710&lt;&gt;"",XLOOKUP($F710,Productos!$A:$A,Productos!BR:BR,"Revisar"),"")</f>
        <v/>
      </c>
      <c r="BZ710" s="179" t="str">
        <f t="array" ref="BZ710">IF($F710&lt;&gt;"", XLOOKUP($F710,Productos!$A$2:$A1001,Productos!BS$2:BS1001,"")*$G710,"")</f>
        <v/>
      </c>
    </row>
    <row r="711">
      <c r="A711" s="188"/>
      <c r="B711" s="189"/>
      <c r="C711" s="190"/>
      <c r="D711" s="190"/>
      <c r="E711" s="191"/>
      <c r="F711" s="186"/>
      <c r="G711" s="192"/>
      <c r="H711" s="9"/>
      <c r="I711" s="179" t="str">
        <f t="array" ref="I711">IF($F711&lt;&gt;"",XLOOKUP($F711,Productos!$A:$A,Productos!B:B,"Revisar"),"")</f>
        <v/>
      </c>
      <c r="J711" s="179" t="str">
        <f t="array" ref="J711">IF($F711&lt;&gt;"", XLOOKUP($F711,Productos!$A$2:$A1001,Productos!C$2:C1001,"")*$G711,"")</f>
        <v/>
      </c>
      <c r="K711" s="179" t="str">
        <f t="array" ref="K711">IF($F711&lt;&gt;"",XLOOKUP($F711,Productos!$A:$A,Productos!D:D,"Revisar"),"")</f>
        <v/>
      </c>
      <c r="L711" s="179" t="str">
        <f t="array" ref="L711">IF($F711&lt;&gt;"", XLOOKUP($F711,Productos!$A$2:$A1001,Productos!E$2:E1001,"")*$G711,"")</f>
        <v/>
      </c>
      <c r="M711" s="179" t="str">
        <f t="array" ref="M711">IF($F711&lt;&gt;"",XLOOKUP($F711,Productos!$A:$A,Productos!F:F,"Revisar"),"")</f>
        <v/>
      </c>
      <c r="N711" s="179" t="str">
        <f t="array" ref="N711">IF($F711&lt;&gt;"", XLOOKUP($F711,Productos!$A$2:$A1001,Productos!G$2:G1001,"")*$G711,"")</f>
        <v/>
      </c>
      <c r="O711" s="179" t="str">
        <f t="array" ref="O711">IF($F711&lt;&gt;"",XLOOKUP($F711,Productos!$A:$A,Productos!H:H,"Revisar"),"")</f>
        <v/>
      </c>
      <c r="P711" s="179" t="str">
        <f t="array" ref="P711">IF($F711&lt;&gt;"", XLOOKUP($F711,Productos!$A$2:$A1001,Productos!I$2:I1001,"")*$G711,"")</f>
        <v/>
      </c>
      <c r="Q711" s="179" t="str">
        <f t="array" ref="Q711">IF($F711&lt;&gt;"",XLOOKUP($F711,Productos!$A:$A,Productos!J:J,"Revisar"),"")</f>
        <v/>
      </c>
      <c r="R711" s="179" t="str">
        <f t="array" ref="R711">IF($F711&lt;&gt;"", XLOOKUP($F711,Productos!$A$2:$A1001,Productos!K$2:K1001,"")*$G711,"")</f>
        <v/>
      </c>
      <c r="S711" s="179" t="str">
        <f t="array" ref="S711">IF($F711&lt;&gt;"",XLOOKUP($F711,Productos!$A:$A,Productos!L:L,"Revisar"),"")</f>
        <v/>
      </c>
      <c r="T711" s="179" t="str">
        <f t="array" ref="T711">IF($F711&lt;&gt;"", XLOOKUP($F711,Productos!$A$2:$A1001,Productos!M$2:M1001,"")*$G711,"")</f>
        <v/>
      </c>
      <c r="U711" s="179" t="str">
        <f t="array" ref="U711">IF($F711&lt;&gt;"",XLOOKUP($F711,Productos!$A:$A,Productos!N:N,"Revisar"),"")</f>
        <v/>
      </c>
      <c r="V711" s="179" t="str">
        <f t="array" ref="V711">IF($F711&lt;&gt;"", XLOOKUP($F711,Productos!$A$2:$A1001,Productos!O$2:O1001,"")*$G711,"")</f>
        <v/>
      </c>
      <c r="W711" s="179" t="str">
        <f t="array" ref="W711">IF($F711&lt;&gt;"",XLOOKUP($F711,Productos!$A:$A,Productos!P:P,"Revisar"),"")</f>
        <v/>
      </c>
      <c r="X711" s="179" t="str">
        <f t="array" ref="X711">IF($F711&lt;&gt;"", XLOOKUP($F711,Productos!$A$2:$A1001,Productos!Q$2:Q1001,"")*$G711,"")</f>
        <v/>
      </c>
      <c r="Y711" s="179" t="str">
        <f t="array" ref="Y711">IF($F711&lt;&gt;"",XLOOKUP($F711,Productos!$A:$A,Productos!R:R,"Revisar"),"")</f>
        <v/>
      </c>
      <c r="Z711" s="179" t="str">
        <f t="array" ref="Z711">IF($F711&lt;&gt;"", XLOOKUP($F711,Productos!$A$2:$A1001,Productos!S$2:S1001,"")*$G711,"")</f>
        <v/>
      </c>
      <c r="AA711" s="179" t="str">
        <f t="array" ref="AA711">IF($F711&lt;&gt;"",XLOOKUP($F711,Productos!$A:$A,Productos!T:T,"Revisar"),"")</f>
        <v/>
      </c>
      <c r="AB711" s="179" t="str">
        <f t="array" ref="AB711">IF($F711&lt;&gt;"", XLOOKUP($F711,Productos!$A$2:$A1001,Productos!U$2:U1001,"")*$G711,"")</f>
        <v/>
      </c>
      <c r="AC711" s="179" t="str">
        <f t="array" ref="AC711">IF($F711&lt;&gt;"",XLOOKUP($F711,Productos!$A:$A,Productos!V:V,"Revisar"),"")</f>
        <v/>
      </c>
      <c r="AD711" s="179" t="str">
        <f t="array" ref="AD711">IF($F711&lt;&gt;"", XLOOKUP($F711,Productos!$A$2:$A1001,Productos!W$2:W1001,"")*$G711,"")</f>
        <v/>
      </c>
      <c r="AE711" s="179" t="str">
        <f t="array" ref="AE711">IF($F711&lt;&gt;"",XLOOKUP($F711,Productos!$A:$A,Productos!X:X,"Revisar"),"")</f>
        <v/>
      </c>
      <c r="AF711" s="179" t="str">
        <f t="array" ref="AF711">IF($F711&lt;&gt;"", XLOOKUP($F711,Productos!$A$2:$A1001,Productos!Y$2:Y1001,"")*$G711,"")</f>
        <v/>
      </c>
      <c r="AG711" s="179" t="str">
        <f t="array" ref="AG711">IF($F711&lt;&gt;"",XLOOKUP($F711,Productos!$A:$A,Productos!Z:Z,"Revisar"),"")</f>
        <v/>
      </c>
      <c r="AH711" s="179" t="str">
        <f t="array" ref="AH711">IF($F711&lt;&gt;"", XLOOKUP($F711,Productos!$A$2:$A1001,Productos!AA$2:AA1001,"")*$G711,"")</f>
        <v/>
      </c>
      <c r="AI711" s="179" t="str">
        <f t="array" ref="AI711">IF($F711&lt;&gt;"",XLOOKUP($F711,Productos!$A:$A,Productos!AB:AB,"Revisar"),"")</f>
        <v/>
      </c>
      <c r="AJ711" s="179" t="str">
        <f t="array" ref="AJ711">IF($F711&lt;&gt;"", XLOOKUP($F711,Productos!$A$2:$A1001,Productos!AC$2:AC1001,"")*$G711,"")</f>
        <v/>
      </c>
      <c r="AK711" s="179" t="str">
        <f t="array" ref="AK711">IF($F711&lt;&gt;"",XLOOKUP($F711,Productos!$A:$A,Productos!AD:AD,"Revisar"),"")</f>
        <v/>
      </c>
      <c r="AL711" s="179" t="str">
        <f t="array" ref="AL711">IF($F711&lt;&gt;"", XLOOKUP($F711,Productos!$A$2:$A1001,Productos!AE$2:AE1001,"")*$G711,"")</f>
        <v/>
      </c>
      <c r="AM711" s="179" t="str">
        <f t="array" ref="AM711">IF($F711&lt;&gt;"",XLOOKUP($F711,Productos!$A:$A,Productos!AF:AF,"Revisar"),"")</f>
        <v/>
      </c>
      <c r="AN711" s="179" t="str">
        <f t="array" ref="AN711">IF($F711&lt;&gt;"", XLOOKUP($F711,Productos!$A$2:$A1001,Productos!AG$2:AG1001,"")*$G711,"")</f>
        <v/>
      </c>
      <c r="AO711" s="179" t="str">
        <f t="array" ref="AO711">IF($F711&lt;&gt;"",XLOOKUP($F711,Productos!$A:$A,Productos!AH:AH,"Revisar"),"")</f>
        <v/>
      </c>
      <c r="AP711" s="179" t="str">
        <f t="array" ref="AP711">IF($F711&lt;&gt;"", XLOOKUP($F711,Productos!$A$2:$A1001,Productos!AI$2:AI1001,"")*$G711,"")</f>
        <v/>
      </c>
      <c r="AQ711" s="179" t="str">
        <f t="array" ref="AQ711">IF($F711&lt;&gt;"",XLOOKUP($F711,Productos!$A:$A,Productos!AJ:AJ,"Revisar"),"")</f>
        <v/>
      </c>
      <c r="AR711" s="179" t="str">
        <f t="array" ref="AR711">IF($F711&lt;&gt;"", XLOOKUP($F711,Productos!$A$2:$A1001,Productos!AK$2:AK1001,"")*$G711,"")</f>
        <v/>
      </c>
      <c r="AS711" s="179" t="str">
        <f t="array" ref="AS711">IF($F711&lt;&gt;"",XLOOKUP($F711,Productos!$A:$A,Productos!AL:AL,"Revisar"),"")</f>
        <v/>
      </c>
      <c r="AT711" s="179" t="str">
        <f t="array" ref="AT711">IF($F711&lt;&gt;"", XLOOKUP($F711,Productos!$A$2:$A1001,Productos!AM$2:AM1001,"")*$G711,"")</f>
        <v/>
      </c>
      <c r="AU711" s="179" t="str">
        <f t="array" ref="AU711">IF($F711&lt;&gt;"",XLOOKUP($F711,Productos!$A:$A,Productos!AN:AN,"Revisar"),"")</f>
        <v/>
      </c>
      <c r="AV711" s="179" t="str">
        <f t="array" ref="AV711">IF($F711&lt;&gt;"", XLOOKUP($F711,Productos!$A$2:$A1001,Productos!AO$2:AO1001,"")*$G711,"")</f>
        <v/>
      </c>
      <c r="AW711" s="179" t="str">
        <f t="array" ref="AW711">IF($F711&lt;&gt;"",XLOOKUP($F711,Productos!$A:$A,Productos!AP:AP,"Revisar"),"")</f>
        <v/>
      </c>
      <c r="AX711" s="179" t="str">
        <f t="array" ref="AX711">IF($F711&lt;&gt;"", XLOOKUP($F711,Productos!$A$2:$A1001,Productos!AQ$2:AQ1001,"")*$G711,"")</f>
        <v/>
      </c>
      <c r="AY711" s="179" t="str">
        <f t="array" ref="AY711">IF($F711&lt;&gt;"",XLOOKUP($F711,Productos!$A:$A,Productos!AR:AR,"Revisar"),"")</f>
        <v/>
      </c>
      <c r="AZ711" s="179" t="str">
        <f t="array" ref="AZ711">IF($F711&lt;&gt;"", XLOOKUP($F711,Productos!$A$2:$A1001,Productos!AS$2:AS1001,"")*$G711,"")</f>
        <v/>
      </c>
      <c r="BA711" s="179" t="str">
        <f t="array" ref="BA711">IF($F711&lt;&gt;"",XLOOKUP($F711,Productos!$A:$A,Productos!AT:AT,"Revisar"),"")</f>
        <v/>
      </c>
      <c r="BB711" s="179" t="str">
        <f t="array" ref="BB711">IF($F711&lt;&gt;"", XLOOKUP($F711,Productos!$A$2:$A1001,Productos!AU$2:AU1001,"")*$G711,"")</f>
        <v/>
      </c>
      <c r="BC711" s="179" t="str">
        <f t="array" ref="BC711">IF($F711&lt;&gt;"",XLOOKUP($F711,Productos!$A:$A,Productos!AV:AV,"Revisar"),"")</f>
        <v/>
      </c>
      <c r="BD711" s="179" t="str">
        <f t="array" ref="BD711">IF($F711&lt;&gt;"", XLOOKUP($F711,Productos!$A$2:$A1001,Productos!AW$2:AW1001,"")*$G711,"")</f>
        <v/>
      </c>
      <c r="BE711" s="179" t="str">
        <f t="array" ref="BE711">IF($F711&lt;&gt;"",XLOOKUP($F711,Productos!$A:$A,Productos!AX:AX,"Revisar"),"")</f>
        <v/>
      </c>
      <c r="BF711" s="179" t="str">
        <f t="array" ref="BF711">IF($F711&lt;&gt;"", XLOOKUP($F711,Productos!$A$2:$A1001,Productos!AY$2:AY1001,"")*$G711,"")</f>
        <v/>
      </c>
      <c r="BG711" s="179" t="str">
        <f t="array" ref="BG711">IF($F711&lt;&gt;"",XLOOKUP($F711,Productos!$A:$A,Productos!AZ:AZ,"Revisar"),"")</f>
        <v/>
      </c>
      <c r="BH711" s="179" t="str">
        <f t="array" ref="BH711">IF($F711&lt;&gt;"", XLOOKUP($F711,Productos!$A$2:$A1001,Productos!BA$2:BA1001,"")*$G711,"")</f>
        <v/>
      </c>
      <c r="BI711" s="179" t="str">
        <f t="array" ref="BI711">IF($F711&lt;&gt;"",XLOOKUP($F711,Productos!$A:$A,Productos!BB:BB,"Revisar"),"")</f>
        <v/>
      </c>
      <c r="BJ711" s="179" t="str">
        <f t="array" ref="BJ711">IF($F711&lt;&gt;"", XLOOKUP($F711,Productos!$A$2:$A1001,Productos!BC$2:BC1001,"")*$G711,"")</f>
        <v/>
      </c>
      <c r="BK711" s="179" t="str">
        <f t="array" ref="BK711">IF($F711&lt;&gt;"",XLOOKUP($F711,Productos!$A:$A,Productos!BD:BD,"Revisar"),"")</f>
        <v/>
      </c>
      <c r="BL711" s="179" t="str">
        <f t="array" ref="BL711">IF($F711&lt;&gt;"", XLOOKUP($F711,Productos!$A$2:$A1001,Productos!BE$2:BE1001,"")*$G711,"")</f>
        <v/>
      </c>
      <c r="BM711" s="179" t="str">
        <f t="array" ref="BM711">IF($F711&lt;&gt;"",XLOOKUP($F711,Productos!$A:$A,Productos!BF:BF,"Revisar"),"")</f>
        <v/>
      </c>
      <c r="BN711" s="179" t="str">
        <f t="array" ref="BN711">IF($F711&lt;&gt;"", XLOOKUP($F711,Productos!$A$2:$A1001,Productos!BG$2:BG1001,"")*$G711,"")</f>
        <v/>
      </c>
      <c r="BO711" s="179" t="str">
        <f t="array" ref="BO711">IF($F711&lt;&gt;"",XLOOKUP($F711,Productos!$A:$A,Productos!BH:BH,"Revisar"),"")</f>
        <v/>
      </c>
      <c r="BP711" s="179" t="str">
        <f t="array" ref="BP711">IF($F711&lt;&gt;"", XLOOKUP($F711,Productos!$A$2:$A1001,Productos!BI$2:BI1001,"")*$G711,"")</f>
        <v/>
      </c>
      <c r="BQ711" s="179" t="str">
        <f t="array" ref="BQ711">IF($F711&lt;&gt;"",XLOOKUP($F711,Productos!$A:$A,Productos!BJ:BJ,"Revisar"),"")</f>
        <v/>
      </c>
      <c r="BR711" s="179" t="str">
        <f t="array" ref="BR711">IF($F711&lt;&gt;"", XLOOKUP($F711,Productos!$A$2:$A1001,Productos!BK$2:BK1001,"")*$G711,"")</f>
        <v/>
      </c>
      <c r="BS711" s="179" t="str">
        <f t="array" ref="BS711">IF($F711&lt;&gt;"",XLOOKUP($F711,Productos!$A:$A,Productos!BL:BL,"Revisar"),"")</f>
        <v/>
      </c>
      <c r="BT711" s="179" t="str">
        <f t="array" ref="BT711">IF($F711&lt;&gt;"", XLOOKUP($F711,Productos!$A$2:$A1001,Productos!BM$2:BM1001,"")*$G711,"")</f>
        <v/>
      </c>
      <c r="BU711" s="179" t="str">
        <f t="array" ref="BU711">IF($F711&lt;&gt;"",XLOOKUP($F711,Productos!$A:$A,Productos!BN:BN,"Revisar"),"")</f>
        <v/>
      </c>
      <c r="BV711" s="179" t="str">
        <f t="array" ref="BV711">IF($F711&lt;&gt;"", XLOOKUP($F711,Productos!$A$2:$A1001,Productos!BO$2:BO1001,"")*$G711,"")</f>
        <v/>
      </c>
      <c r="BW711" s="179" t="str">
        <f t="array" ref="BW711">IF($F711&lt;&gt;"",XLOOKUP($F711,Productos!$A:$A,Productos!BP:BP,"Revisar"),"")</f>
        <v/>
      </c>
      <c r="BX711" s="179" t="str">
        <f t="array" ref="BX711">IF($F711&lt;&gt;"", XLOOKUP($F711,Productos!$A$2:$A1001,Productos!BQ$2:BQ1001,"")*$G711,"")</f>
        <v/>
      </c>
      <c r="BY711" s="179" t="str">
        <f t="array" ref="BY711">IF($F711&lt;&gt;"",XLOOKUP($F711,Productos!$A:$A,Productos!BR:BR,"Revisar"),"")</f>
        <v/>
      </c>
      <c r="BZ711" s="179" t="str">
        <f t="array" ref="BZ711">IF($F711&lt;&gt;"", XLOOKUP($F711,Productos!$A$2:$A1001,Productos!BS$2:BS1001,"")*$G711,"")</f>
        <v/>
      </c>
    </row>
    <row r="712">
      <c r="A712" s="188"/>
      <c r="B712" s="189"/>
      <c r="C712" s="190"/>
      <c r="D712" s="190"/>
      <c r="E712" s="191"/>
      <c r="F712" s="186"/>
      <c r="G712" s="192"/>
      <c r="H712" s="9"/>
      <c r="I712" s="179" t="str">
        <f t="array" ref="I712">IF($F712&lt;&gt;"",XLOOKUP($F712,Productos!$A:$A,Productos!B:B,"Revisar"),"")</f>
        <v/>
      </c>
      <c r="J712" s="179" t="str">
        <f t="array" ref="J712">IF($F712&lt;&gt;"", XLOOKUP($F712,Productos!$A$2:$A1001,Productos!C$2:C1001,"")*$G712,"")</f>
        <v/>
      </c>
      <c r="K712" s="179" t="str">
        <f t="array" ref="K712">IF($F712&lt;&gt;"",XLOOKUP($F712,Productos!$A:$A,Productos!D:D,"Revisar"),"")</f>
        <v/>
      </c>
      <c r="L712" s="179" t="str">
        <f t="array" ref="L712">IF($F712&lt;&gt;"", XLOOKUP($F712,Productos!$A$2:$A1001,Productos!E$2:E1001,"")*$G712,"")</f>
        <v/>
      </c>
      <c r="M712" s="179" t="str">
        <f t="array" ref="M712">IF($F712&lt;&gt;"",XLOOKUP($F712,Productos!$A:$A,Productos!F:F,"Revisar"),"")</f>
        <v/>
      </c>
      <c r="N712" s="179" t="str">
        <f t="array" ref="N712">IF($F712&lt;&gt;"", XLOOKUP($F712,Productos!$A$2:$A1001,Productos!G$2:G1001,"")*$G712,"")</f>
        <v/>
      </c>
      <c r="O712" s="179" t="str">
        <f t="array" ref="O712">IF($F712&lt;&gt;"",XLOOKUP($F712,Productos!$A:$A,Productos!H:H,"Revisar"),"")</f>
        <v/>
      </c>
      <c r="P712" s="179" t="str">
        <f t="array" ref="P712">IF($F712&lt;&gt;"", XLOOKUP($F712,Productos!$A$2:$A1001,Productos!I$2:I1001,"")*$G712,"")</f>
        <v/>
      </c>
      <c r="Q712" s="179" t="str">
        <f t="array" ref="Q712">IF($F712&lt;&gt;"",XLOOKUP($F712,Productos!$A:$A,Productos!J:J,"Revisar"),"")</f>
        <v/>
      </c>
      <c r="R712" s="179" t="str">
        <f t="array" ref="R712">IF($F712&lt;&gt;"", XLOOKUP($F712,Productos!$A$2:$A1001,Productos!K$2:K1001,"")*$G712,"")</f>
        <v/>
      </c>
      <c r="S712" s="179" t="str">
        <f t="array" ref="S712">IF($F712&lt;&gt;"",XLOOKUP($F712,Productos!$A:$A,Productos!L:L,"Revisar"),"")</f>
        <v/>
      </c>
      <c r="T712" s="179" t="str">
        <f t="array" ref="T712">IF($F712&lt;&gt;"", XLOOKUP($F712,Productos!$A$2:$A1001,Productos!M$2:M1001,"")*$G712,"")</f>
        <v/>
      </c>
      <c r="U712" s="179" t="str">
        <f t="array" ref="U712">IF($F712&lt;&gt;"",XLOOKUP($F712,Productos!$A:$A,Productos!N:N,"Revisar"),"")</f>
        <v/>
      </c>
      <c r="V712" s="179" t="str">
        <f t="array" ref="V712">IF($F712&lt;&gt;"", XLOOKUP($F712,Productos!$A$2:$A1001,Productos!O$2:O1001,"")*$G712,"")</f>
        <v/>
      </c>
      <c r="W712" s="179" t="str">
        <f t="array" ref="W712">IF($F712&lt;&gt;"",XLOOKUP($F712,Productos!$A:$A,Productos!P:P,"Revisar"),"")</f>
        <v/>
      </c>
      <c r="X712" s="179" t="str">
        <f t="array" ref="X712">IF($F712&lt;&gt;"", XLOOKUP($F712,Productos!$A$2:$A1001,Productos!Q$2:Q1001,"")*$G712,"")</f>
        <v/>
      </c>
      <c r="Y712" s="179" t="str">
        <f t="array" ref="Y712">IF($F712&lt;&gt;"",XLOOKUP($F712,Productos!$A:$A,Productos!R:R,"Revisar"),"")</f>
        <v/>
      </c>
      <c r="Z712" s="179" t="str">
        <f t="array" ref="Z712">IF($F712&lt;&gt;"", XLOOKUP($F712,Productos!$A$2:$A1001,Productos!S$2:S1001,"")*$G712,"")</f>
        <v/>
      </c>
      <c r="AA712" s="179" t="str">
        <f t="array" ref="AA712">IF($F712&lt;&gt;"",XLOOKUP($F712,Productos!$A:$A,Productos!T:T,"Revisar"),"")</f>
        <v/>
      </c>
      <c r="AB712" s="179" t="str">
        <f t="array" ref="AB712">IF($F712&lt;&gt;"", XLOOKUP($F712,Productos!$A$2:$A1001,Productos!U$2:U1001,"")*$G712,"")</f>
        <v/>
      </c>
      <c r="AC712" s="179" t="str">
        <f t="array" ref="AC712">IF($F712&lt;&gt;"",XLOOKUP($F712,Productos!$A:$A,Productos!V:V,"Revisar"),"")</f>
        <v/>
      </c>
      <c r="AD712" s="179" t="str">
        <f t="array" ref="AD712">IF($F712&lt;&gt;"", XLOOKUP($F712,Productos!$A$2:$A1001,Productos!W$2:W1001,"")*$G712,"")</f>
        <v/>
      </c>
      <c r="AE712" s="179" t="str">
        <f t="array" ref="AE712">IF($F712&lt;&gt;"",XLOOKUP($F712,Productos!$A:$A,Productos!X:X,"Revisar"),"")</f>
        <v/>
      </c>
      <c r="AF712" s="179" t="str">
        <f t="array" ref="AF712">IF($F712&lt;&gt;"", XLOOKUP($F712,Productos!$A$2:$A1001,Productos!Y$2:Y1001,"")*$G712,"")</f>
        <v/>
      </c>
      <c r="AG712" s="179" t="str">
        <f t="array" ref="AG712">IF($F712&lt;&gt;"",XLOOKUP($F712,Productos!$A:$A,Productos!Z:Z,"Revisar"),"")</f>
        <v/>
      </c>
      <c r="AH712" s="179" t="str">
        <f t="array" ref="AH712">IF($F712&lt;&gt;"", XLOOKUP($F712,Productos!$A$2:$A1001,Productos!AA$2:AA1001,"")*$G712,"")</f>
        <v/>
      </c>
      <c r="AI712" s="179" t="str">
        <f t="array" ref="AI712">IF($F712&lt;&gt;"",XLOOKUP($F712,Productos!$A:$A,Productos!AB:AB,"Revisar"),"")</f>
        <v/>
      </c>
      <c r="AJ712" s="179" t="str">
        <f t="array" ref="AJ712">IF($F712&lt;&gt;"", XLOOKUP($F712,Productos!$A$2:$A1001,Productos!AC$2:AC1001,"")*$G712,"")</f>
        <v/>
      </c>
      <c r="AK712" s="179" t="str">
        <f t="array" ref="AK712">IF($F712&lt;&gt;"",XLOOKUP($F712,Productos!$A:$A,Productos!AD:AD,"Revisar"),"")</f>
        <v/>
      </c>
      <c r="AL712" s="179" t="str">
        <f t="array" ref="AL712">IF($F712&lt;&gt;"", XLOOKUP($F712,Productos!$A$2:$A1001,Productos!AE$2:AE1001,"")*$G712,"")</f>
        <v/>
      </c>
      <c r="AM712" s="179" t="str">
        <f t="array" ref="AM712">IF($F712&lt;&gt;"",XLOOKUP($F712,Productos!$A:$A,Productos!AF:AF,"Revisar"),"")</f>
        <v/>
      </c>
      <c r="AN712" s="179" t="str">
        <f t="array" ref="AN712">IF($F712&lt;&gt;"", XLOOKUP($F712,Productos!$A$2:$A1001,Productos!AG$2:AG1001,"")*$G712,"")</f>
        <v/>
      </c>
      <c r="AO712" s="179" t="str">
        <f t="array" ref="AO712">IF($F712&lt;&gt;"",XLOOKUP($F712,Productos!$A:$A,Productos!AH:AH,"Revisar"),"")</f>
        <v/>
      </c>
      <c r="AP712" s="179" t="str">
        <f t="array" ref="AP712">IF($F712&lt;&gt;"", XLOOKUP($F712,Productos!$A$2:$A1001,Productos!AI$2:AI1001,"")*$G712,"")</f>
        <v/>
      </c>
      <c r="AQ712" s="179" t="str">
        <f t="array" ref="AQ712">IF($F712&lt;&gt;"",XLOOKUP($F712,Productos!$A:$A,Productos!AJ:AJ,"Revisar"),"")</f>
        <v/>
      </c>
      <c r="AR712" s="179" t="str">
        <f t="array" ref="AR712">IF($F712&lt;&gt;"", XLOOKUP($F712,Productos!$A$2:$A1001,Productos!AK$2:AK1001,"")*$G712,"")</f>
        <v/>
      </c>
      <c r="AS712" s="179" t="str">
        <f t="array" ref="AS712">IF($F712&lt;&gt;"",XLOOKUP($F712,Productos!$A:$A,Productos!AL:AL,"Revisar"),"")</f>
        <v/>
      </c>
      <c r="AT712" s="179" t="str">
        <f t="array" ref="AT712">IF($F712&lt;&gt;"", XLOOKUP($F712,Productos!$A$2:$A1001,Productos!AM$2:AM1001,"")*$G712,"")</f>
        <v/>
      </c>
      <c r="AU712" s="179" t="str">
        <f t="array" ref="AU712">IF($F712&lt;&gt;"",XLOOKUP($F712,Productos!$A:$A,Productos!AN:AN,"Revisar"),"")</f>
        <v/>
      </c>
      <c r="AV712" s="179" t="str">
        <f t="array" ref="AV712">IF($F712&lt;&gt;"", XLOOKUP($F712,Productos!$A$2:$A1001,Productos!AO$2:AO1001,"")*$G712,"")</f>
        <v/>
      </c>
      <c r="AW712" s="179" t="str">
        <f t="array" ref="AW712">IF($F712&lt;&gt;"",XLOOKUP($F712,Productos!$A:$A,Productos!AP:AP,"Revisar"),"")</f>
        <v/>
      </c>
      <c r="AX712" s="179" t="str">
        <f t="array" ref="AX712">IF($F712&lt;&gt;"", XLOOKUP($F712,Productos!$A$2:$A1001,Productos!AQ$2:AQ1001,"")*$G712,"")</f>
        <v/>
      </c>
      <c r="AY712" s="179" t="str">
        <f t="array" ref="AY712">IF($F712&lt;&gt;"",XLOOKUP($F712,Productos!$A:$A,Productos!AR:AR,"Revisar"),"")</f>
        <v/>
      </c>
      <c r="AZ712" s="179" t="str">
        <f t="array" ref="AZ712">IF($F712&lt;&gt;"", XLOOKUP($F712,Productos!$A$2:$A1001,Productos!AS$2:AS1001,"")*$G712,"")</f>
        <v/>
      </c>
      <c r="BA712" s="179" t="str">
        <f t="array" ref="BA712">IF($F712&lt;&gt;"",XLOOKUP($F712,Productos!$A:$A,Productos!AT:AT,"Revisar"),"")</f>
        <v/>
      </c>
      <c r="BB712" s="179" t="str">
        <f t="array" ref="BB712">IF($F712&lt;&gt;"", XLOOKUP($F712,Productos!$A$2:$A1001,Productos!AU$2:AU1001,"")*$G712,"")</f>
        <v/>
      </c>
      <c r="BC712" s="179" t="str">
        <f t="array" ref="BC712">IF($F712&lt;&gt;"",XLOOKUP($F712,Productos!$A:$A,Productos!AV:AV,"Revisar"),"")</f>
        <v/>
      </c>
      <c r="BD712" s="179" t="str">
        <f t="array" ref="BD712">IF($F712&lt;&gt;"", XLOOKUP($F712,Productos!$A$2:$A1001,Productos!AW$2:AW1001,"")*$G712,"")</f>
        <v/>
      </c>
      <c r="BE712" s="179" t="str">
        <f t="array" ref="BE712">IF($F712&lt;&gt;"",XLOOKUP($F712,Productos!$A:$A,Productos!AX:AX,"Revisar"),"")</f>
        <v/>
      </c>
      <c r="BF712" s="179" t="str">
        <f t="array" ref="BF712">IF($F712&lt;&gt;"", XLOOKUP($F712,Productos!$A$2:$A1001,Productos!AY$2:AY1001,"")*$G712,"")</f>
        <v/>
      </c>
      <c r="BG712" s="179" t="str">
        <f t="array" ref="BG712">IF($F712&lt;&gt;"",XLOOKUP($F712,Productos!$A:$A,Productos!AZ:AZ,"Revisar"),"")</f>
        <v/>
      </c>
      <c r="BH712" s="179" t="str">
        <f t="array" ref="BH712">IF($F712&lt;&gt;"", XLOOKUP($F712,Productos!$A$2:$A1001,Productos!BA$2:BA1001,"")*$G712,"")</f>
        <v/>
      </c>
      <c r="BI712" s="179" t="str">
        <f t="array" ref="BI712">IF($F712&lt;&gt;"",XLOOKUP($F712,Productos!$A:$A,Productos!BB:BB,"Revisar"),"")</f>
        <v/>
      </c>
      <c r="BJ712" s="179" t="str">
        <f t="array" ref="BJ712">IF($F712&lt;&gt;"", XLOOKUP($F712,Productos!$A$2:$A1001,Productos!BC$2:BC1001,"")*$G712,"")</f>
        <v/>
      </c>
      <c r="BK712" s="179" t="str">
        <f t="array" ref="BK712">IF($F712&lt;&gt;"",XLOOKUP($F712,Productos!$A:$A,Productos!BD:BD,"Revisar"),"")</f>
        <v/>
      </c>
      <c r="BL712" s="179" t="str">
        <f t="array" ref="BL712">IF($F712&lt;&gt;"", XLOOKUP($F712,Productos!$A$2:$A1001,Productos!BE$2:BE1001,"")*$G712,"")</f>
        <v/>
      </c>
      <c r="BM712" s="179" t="str">
        <f t="array" ref="BM712">IF($F712&lt;&gt;"",XLOOKUP($F712,Productos!$A:$A,Productos!BF:BF,"Revisar"),"")</f>
        <v/>
      </c>
      <c r="BN712" s="179" t="str">
        <f t="array" ref="BN712">IF($F712&lt;&gt;"", XLOOKUP($F712,Productos!$A$2:$A1001,Productos!BG$2:BG1001,"")*$G712,"")</f>
        <v/>
      </c>
      <c r="BO712" s="179" t="str">
        <f t="array" ref="BO712">IF($F712&lt;&gt;"",XLOOKUP($F712,Productos!$A:$A,Productos!BH:BH,"Revisar"),"")</f>
        <v/>
      </c>
      <c r="BP712" s="179" t="str">
        <f t="array" ref="BP712">IF($F712&lt;&gt;"", XLOOKUP($F712,Productos!$A$2:$A1001,Productos!BI$2:BI1001,"")*$G712,"")</f>
        <v/>
      </c>
      <c r="BQ712" s="179" t="str">
        <f t="array" ref="BQ712">IF($F712&lt;&gt;"",XLOOKUP($F712,Productos!$A:$A,Productos!BJ:BJ,"Revisar"),"")</f>
        <v/>
      </c>
      <c r="BR712" s="179" t="str">
        <f t="array" ref="BR712">IF($F712&lt;&gt;"", XLOOKUP($F712,Productos!$A$2:$A1001,Productos!BK$2:BK1001,"")*$G712,"")</f>
        <v/>
      </c>
      <c r="BS712" s="179" t="str">
        <f t="array" ref="BS712">IF($F712&lt;&gt;"",XLOOKUP($F712,Productos!$A:$A,Productos!BL:BL,"Revisar"),"")</f>
        <v/>
      </c>
      <c r="BT712" s="179" t="str">
        <f t="array" ref="BT712">IF($F712&lt;&gt;"", XLOOKUP($F712,Productos!$A$2:$A1001,Productos!BM$2:BM1001,"")*$G712,"")</f>
        <v/>
      </c>
      <c r="BU712" s="179" t="str">
        <f t="array" ref="BU712">IF($F712&lt;&gt;"",XLOOKUP($F712,Productos!$A:$A,Productos!BN:BN,"Revisar"),"")</f>
        <v/>
      </c>
      <c r="BV712" s="179" t="str">
        <f t="array" ref="BV712">IF($F712&lt;&gt;"", XLOOKUP($F712,Productos!$A$2:$A1001,Productos!BO$2:BO1001,"")*$G712,"")</f>
        <v/>
      </c>
      <c r="BW712" s="179" t="str">
        <f t="array" ref="BW712">IF($F712&lt;&gt;"",XLOOKUP($F712,Productos!$A:$A,Productos!BP:BP,"Revisar"),"")</f>
        <v/>
      </c>
      <c r="BX712" s="179" t="str">
        <f t="array" ref="BX712">IF($F712&lt;&gt;"", XLOOKUP($F712,Productos!$A$2:$A1001,Productos!BQ$2:BQ1001,"")*$G712,"")</f>
        <v/>
      </c>
      <c r="BY712" s="179" t="str">
        <f t="array" ref="BY712">IF($F712&lt;&gt;"",XLOOKUP($F712,Productos!$A:$A,Productos!BR:BR,"Revisar"),"")</f>
        <v/>
      </c>
      <c r="BZ712" s="179" t="str">
        <f t="array" ref="BZ712">IF($F712&lt;&gt;"", XLOOKUP($F712,Productos!$A$2:$A1001,Productos!BS$2:BS1001,"")*$G712,"")</f>
        <v/>
      </c>
    </row>
    <row r="713">
      <c r="A713" s="188"/>
      <c r="B713" s="189"/>
      <c r="C713" s="190"/>
      <c r="D713" s="190"/>
      <c r="E713" s="191"/>
      <c r="F713" s="186"/>
      <c r="G713" s="192"/>
      <c r="H713" s="9"/>
      <c r="I713" s="179" t="str">
        <f t="array" ref="I713">IF($F713&lt;&gt;"",XLOOKUP($F713,Productos!$A:$A,Productos!B:B,"Revisar"),"")</f>
        <v/>
      </c>
      <c r="J713" s="179" t="str">
        <f t="array" ref="J713">IF($F713&lt;&gt;"", XLOOKUP($F713,Productos!$A$2:$A1001,Productos!C$2:C1001,"")*$G713,"")</f>
        <v/>
      </c>
      <c r="K713" s="179" t="str">
        <f t="array" ref="K713">IF($F713&lt;&gt;"",XLOOKUP($F713,Productos!$A:$A,Productos!D:D,"Revisar"),"")</f>
        <v/>
      </c>
      <c r="L713" s="179" t="str">
        <f t="array" ref="L713">IF($F713&lt;&gt;"", XLOOKUP($F713,Productos!$A$2:$A1001,Productos!E$2:E1001,"")*$G713,"")</f>
        <v/>
      </c>
      <c r="M713" s="179" t="str">
        <f t="array" ref="M713">IF($F713&lt;&gt;"",XLOOKUP($F713,Productos!$A:$A,Productos!F:F,"Revisar"),"")</f>
        <v/>
      </c>
      <c r="N713" s="179" t="str">
        <f t="array" ref="N713">IF($F713&lt;&gt;"", XLOOKUP($F713,Productos!$A$2:$A1001,Productos!G$2:G1001,"")*$G713,"")</f>
        <v/>
      </c>
      <c r="O713" s="179" t="str">
        <f t="array" ref="O713">IF($F713&lt;&gt;"",XLOOKUP($F713,Productos!$A:$A,Productos!H:H,"Revisar"),"")</f>
        <v/>
      </c>
      <c r="P713" s="179" t="str">
        <f t="array" ref="P713">IF($F713&lt;&gt;"", XLOOKUP($F713,Productos!$A$2:$A1001,Productos!I$2:I1001,"")*$G713,"")</f>
        <v/>
      </c>
      <c r="Q713" s="179" t="str">
        <f t="array" ref="Q713">IF($F713&lt;&gt;"",XLOOKUP($F713,Productos!$A:$A,Productos!J:J,"Revisar"),"")</f>
        <v/>
      </c>
      <c r="R713" s="179" t="str">
        <f t="array" ref="R713">IF($F713&lt;&gt;"", XLOOKUP($F713,Productos!$A$2:$A1001,Productos!K$2:K1001,"")*$G713,"")</f>
        <v/>
      </c>
      <c r="S713" s="179" t="str">
        <f t="array" ref="S713">IF($F713&lt;&gt;"",XLOOKUP($F713,Productos!$A:$A,Productos!L:L,"Revisar"),"")</f>
        <v/>
      </c>
      <c r="T713" s="179" t="str">
        <f t="array" ref="T713">IF($F713&lt;&gt;"", XLOOKUP($F713,Productos!$A$2:$A1001,Productos!M$2:M1001,"")*$G713,"")</f>
        <v/>
      </c>
      <c r="U713" s="179" t="str">
        <f t="array" ref="U713">IF($F713&lt;&gt;"",XLOOKUP($F713,Productos!$A:$A,Productos!N:N,"Revisar"),"")</f>
        <v/>
      </c>
      <c r="V713" s="179" t="str">
        <f t="array" ref="V713">IF($F713&lt;&gt;"", XLOOKUP($F713,Productos!$A$2:$A1001,Productos!O$2:O1001,"")*$G713,"")</f>
        <v/>
      </c>
      <c r="W713" s="179" t="str">
        <f t="array" ref="W713">IF($F713&lt;&gt;"",XLOOKUP($F713,Productos!$A:$A,Productos!P:P,"Revisar"),"")</f>
        <v/>
      </c>
      <c r="X713" s="179" t="str">
        <f t="array" ref="X713">IF($F713&lt;&gt;"", XLOOKUP($F713,Productos!$A$2:$A1001,Productos!Q$2:Q1001,"")*$G713,"")</f>
        <v/>
      </c>
      <c r="Y713" s="179" t="str">
        <f t="array" ref="Y713">IF($F713&lt;&gt;"",XLOOKUP($F713,Productos!$A:$A,Productos!R:R,"Revisar"),"")</f>
        <v/>
      </c>
      <c r="Z713" s="179" t="str">
        <f t="array" ref="Z713">IF($F713&lt;&gt;"", XLOOKUP($F713,Productos!$A$2:$A1001,Productos!S$2:S1001,"")*$G713,"")</f>
        <v/>
      </c>
      <c r="AA713" s="179" t="str">
        <f t="array" ref="AA713">IF($F713&lt;&gt;"",XLOOKUP($F713,Productos!$A:$A,Productos!T:T,"Revisar"),"")</f>
        <v/>
      </c>
      <c r="AB713" s="179" t="str">
        <f t="array" ref="AB713">IF($F713&lt;&gt;"", XLOOKUP($F713,Productos!$A$2:$A1001,Productos!U$2:U1001,"")*$G713,"")</f>
        <v/>
      </c>
      <c r="AC713" s="179" t="str">
        <f t="array" ref="AC713">IF($F713&lt;&gt;"",XLOOKUP($F713,Productos!$A:$A,Productos!V:V,"Revisar"),"")</f>
        <v/>
      </c>
      <c r="AD713" s="179" t="str">
        <f t="array" ref="AD713">IF($F713&lt;&gt;"", XLOOKUP($F713,Productos!$A$2:$A1001,Productos!W$2:W1001,"")*$G713,"")</f>
        <v/>
      </c>
      <c r="AE713" s="179" t="str">
        <f t="array" ref="AE713">IF($F713&lt;&gt;"",XLOOKUP($F713,Productos!$A:$A,Productos!X:X,"Revisar"),"")</f>
        <v/>
      </c>
      <c r="AF713" s="179" t="str">
        <f t="array" ref="AF713">IF($F713&lt;&gt;"", XLOOKUP($F713,Productos!$A$2:$A1001,Productos!Y$2:Y1001,"")*$G713,"")</f>
        <v/>
      </c>
      <c r="AG713" s="179" t="str">
        <f t="array" ref="AG713">IF($F713&lt;&gt;"",XLOOKUP($F713,Productos!$A:$A,Productos!Z:Z,"Revisar"),"")</f>
        <v/>
      </c>
      <c r="AH713" s="179" t="str">
        <f t="array" ref="AH713">IF($F713&lt;&gt;"", XLOOKUP($F713,Productos!$A$2:$A1001,Productos!AA$2:AA1001,"")*$G713,"")</f>
        <v/>
      </c>
      <c r="AI713" s="179" t="str">
        <f t="array" ref="AI713">IF($F713&lt;&gt;"",XLOOKUP($F713,Productos!$A:$A,Productos!AB:AB,"Revisar"),"")</f>
        <v/>
      </c>
      <c r="AJ713" s="179" t="str">
        <f t="array" ref="AJ713">IF($F713&lt;&gt;"", XLOOKUP($F713,Productos!$A$2:$A1001,Productos!AC$2:AC1001,"")*$G713,"")</f>
        <v/>
      </c>
      <c r="AK713" s="179" t="str">
        <f t="array" ref="AK713">IF($F713&lt;&gt;"",XLOOKUP($F713,Productos!$A:$A,Productos!AD:AD,"Revisar"),"")</f>
        <v/>
      </c>
      <c r="AL713" s="179" t="str">
        <f t="array" ref="AL713">IF($F713&lt;&gt;"", XLOOKUP($F713,Productos!$A$2:$A1001,Productos!AE$2:AE1001,"")*$G713,"")</f>
        <v/>
      </c>
      <c r="AM713" s="179" t="str">
        <f t="array" ref="AM713">IF($F713&lt;&gt;"",XLOOKUP($F713,Productos!$A:$A,Productos!AF:AF,"Revisar"),"")</f>
        <v/>
      </c>
      <c r="AN713" s="179" t="str">
        <f t="array" ref="AN713">IF($F713&lt;&gt;"", XLOOKUP($F713,Productos!$A$2:$A1001,Productos!AG$2:AG1001,"")*$G713,"")</f>
        <v/>
      </c>
      <c r="AO713" s="179" t="str">
        <f t="array" ref="AO713">IF($F713&lt;&gt;"",XLOOKUP($F713,Productos!$A:$A,Productos!AH:AH,"Revisar"),"")</f>
        <v/>
      </c>
      <c r="AP713" s="179" t="str">
        <f t="array" ref="AP713">IF($F713&lt;&gt;"", XLOOKUP($F713,Productos!$A$2:$A1001,Productos!AI$2:AI1001,"")*$G713,"")</f>
        <v/>
      </c>
      <c r="AQ713" s="179" t="str">
        <f t="array" ref="AQ713">IF($F713&lt;&gt;"",XLOOKUP($F713,Productos!$A:$A,Productos!AJ:AJ,"Revisar"),"")</f>
        <v/>
      </c>
      <c r="AR713" s="179" t="str">
        <f t="array" ref="AR713">IF($F713&lt;&gt;"", XLOOKUP($F713,Productos!$A$2:$A1001,Productos!AK$2:AK1001,"")*$G713,"")</f>
        <v/>
      </c>
      <c r="AS713" s="179" t="str">
        <f t="array" ref="AS713">IF($F713&lt;&gt;"",XLOOKUP($F713,Productos!$A:$A,Productos!AL:AL,"Revisar"),"")</f>
        <v/>
      </c>
      <c r="AT713" s="179" t="str">
        <f t="array" ref="AT713">IF($F713&lt;&gt;"", XLOOKUP($F713,Productos!$A$2:$A1001,Productos!AM$2:AM1001,"")*$G713,"")</f>
        <v/>
      </c>
      <c r="AU713" s="179" t="str">
        <f t="array" ref="AU713">IF($F713&lt;&gt;"",XLOOKUP($F713,Productos!$A:$A,Productos!AN:AN,"Revisar"),"")</f>
        <v/>
      </c>
      <c r="AV713" s="179" t="str">
        <f t="array" ref="AV713">IF($F713&lt;&gt;"", XLOOKUP($F713,Productos!$A$2:$A1001,Productos!AO$2:AO1001,"")*$G713,"")</f>
        <v/>
      </c>
      <c r="AW713" s="179" t="str">
        <f t="array" ref="AW713">IF($F713&lt;&gt;"",XLOOKUP($F713,Productos!$A:$A,Productos!AP:AP,"Revisar"),"")</f>
        <v/>
      </c>
      <c r="AX713" s="179" t="str">
        <f t="array" ref="AX713">IF($F713&lt;&gt;"", XLOOKUP($F713,Productos!$A$2:$A1001,Productos!AQ$2:AQ1001,"")*$G713,"")</f>
        <v/>
      </c>
      <c r="AY713" s="179" t="str">
        <f t="array" ref="AY713">IF($F713&lt;&gt;"",XLOOKUP($F713,Productos!$A:$A,Productos!AR:AR,"Revisar"),"")</f>
        <v/>
      </c>
      <c r="AZ713" s="179" t="str">
        <f t="array" ref="AZ713">IF($F713&lt;&gt;"", XLOOKUP($F713,Productos!$A$2:$A1001,Productos!AS$2:AS1001,"")*$G713,"")</f>
        <v/>
      </c>
      <c r="BA713" s="179" t="str">
        <f t="array" ref="BA713">IF($F713&lt;&gt;"",XLOOKUP($F713,Productos!$A:$A,Productos!AT:AT,"Revisar"),"")</f>
        <v/>
      </c>
      <c r="BB713" s="179" t="str">
        <f t="array" ref="BB713">IF($F713&lt;&gt;"", XLOOKUP($F713,Productos!$A$2:$A1001,Productos!AU$2:AU1001,"")*$G713,"")</f>
        <v/>
      </c>
      <c r="BC713" s="179" t="str">
        <f t="array" ref="BC713">IF($F713&lt;&gt;"",XLOOKUP($F713,Productos!$A:$A,Productos!AV:AV,"Revisar"),"")</f>
        <v/>
      </c>
      <c r="BD713" s="179" t="str">
        <f t="array" ref="BD713">IF($F713&lt;&gt;"", XLOOKUP($F713,Productos!$A$2:$A1001,Productos!AW$2:AW1001,"")*$G713,"")</f>
        <v/>
      </c>
      <c r="BE713" s="179" t="str">
        <f t="array" ref="BE713">IF($F713&lt;&gt;"",XLOOKUP($F713,Productos!$A:$A,Productos!AX:AX,"Revisar"),"")</f>
        <v/>
      </c>
      <c r="BF713" s="179" t="str">
        <f t="array" ref="BF713">IF($F713&lt;&gt;"", XLOOKUP($F713,Productos!$A$2:$A1001,Productos!AY$2:AY1001,"")*$G713,"")</f>
        <v/>
      </c>
      <c r="BG713" s="179" t="str">
        <f t="array" ref="BG713">IF($F713&lt;&gt;"",XLOOKUP($F713,Productos!$A:$A,Productos!AZ:AZ,"Revisar"),"")</f>
        <v/>
      </c>
      <c r="BH713" s="179" t="str">
        <f t="array" ref="BH713">IF($F713&lt;&gt;"", XLOOKUP($F713,Productos!$A$2:$A1001,Productos!BA$2:BA1001,"")*$G713,"")</f>
        <v/>
      </c>
      <c r="BI713" s="179" t="str">
        <f t="array" ref="BI713">IF($F713&lt;&gt;"",XLOOKUP($F713,Productos!$A:$A,Productos!BB:BB,"Revisar"),"")</f>
        <v/>
      </c>
      <c r="BJ713" s="179" t="str">
        <f t="array" ref="BJ713">IF($F713&lt;&gt;"", XLOOKUP($F713,Productos!$A$2:$A1001,Productos!BC$2:BC1001,"")*$G713,"")</f>
        <v/>
      </c>
      <c r="BK713" s="179" t="str">
        <f t="array" ref="BK713">IF($F713&lt;&gt;"",XLOOKUP($F713,Productos!$A:$A,Productos!BD:BD,"Revisar"),"")</f>
        <v/>
      </c>
      <c r="BL713" s="179" t="str">
        <f t="array" ref="BL713">IF($F713&lt;&gt;"", XLOOKUP($F713,Productos!$A$2:$A1001,Productos!BE$2:BE1001,"")*$G713,"")</f>
        <v/>
      </c>
      <c r="BM713" s="179" t="str">
        <f t="array" ref="BM713">IF($F713&lt;&gt;"",XLOOKUP($F713,Productos!$A:$A,Productos!BF:BF,"Revisar"),"")</f>
        <v/>
      </c>
      <c r="BN713" s="179" t="str">
        <f t="array" ref="BN713">IF($F713&lt;&gt;"", XLOOKUP($F713,Productos!$A$2:$A1001,Productos!BG$2:BG1001,"")*$G713,"")</f>
        <v/>
      </c>
      <c r="BO713" s="179" t="str">
        <f t="array" ref="BO713">IF($F713&lt;&gt;"",XLOOKUP($F713,Productos!$A:$A,Productos!BH:BH,"Revisar"),"")</f>
        <v/>
      </c>
      <c r="BP713" s="179" t="str">
        <f t="array" ref="BP713">IF($F713&lt;&gt;"", XLOOKUP($F713,Productos!$A$2:$A1001,Productos!BI$2:BI1001,"")*$G713,"")</f>
        <v/>
      </c>
      <c r="BQ713" s="179" t="str">
        <f t="array" ref="BQ713">IF($F713&lt;&gt;"",XLOOKUP($F713,Productos!$A:$A,Productos!BJ:BJ,"Revisar"),"")</f>
        <v/>
      </c>
      <c r="BR713" s="179" t="str">
        <f t="array" ref="BR713">IF($F713&lt;&gt;"", XLOOKUP($F713,Productos!$A$2:$A1001,Productos!BK$2:BK1001,"")*$G713,"")</f>
        <v/>
      </c>
      <c r="BS713" s="179" t="str">
        <f t="array" ref="BS713">IF($F713&lt;&gt;"",XLOOKUP($F713,Productos!$A:$A,Productos!BL:BL,"Revisar"),"")</f>
        <v/>
      </c>
      <c r="BT713" s="179" t="str">
        <f t="array" ref="BT713">IF($F713&lt;&gt;"", XLOOKUP($F713,Productos!$A$2:$A1001,Productos!BM$2:BM1001,"")*$G713,"")</f>
        <v/>
      </c>
      <c r="BU713" s="179" t="str">
        <f t="array" ref="BU713">IF($F713&lt;&gt;"",XLOOKUP($F713,Productos!$A:$A,Productos!BN:BN,"Revisar"),"")</f>
        <v/>
      </c>
      <c r="BV713" s="179" t="str">
        <f t="array" ref="BV713">IF($F713&lt;&gt;"", XLOOKUP($F713,Productos!$A$2:$A1001,Productos!BO$2:BO1001,"")*$G713,"")</f>
        <v/>
      </c>
      <c r="BW713" s="179" t="str">
        <f t="array" ref="BW713">IF($F713&lt;&gt;"",XLOOKUP($F713,Productos!$A:$A,Productos!BP:BP,"Revisar"),"")</f>
        <v/>
      </c>
      <c r="BX713" s="179" t="str">
        <f t="array" ref="BX713">IF($F713&lt;&gt;"", XLOOKUP($F713,Productos!$A$2:$A1001,Productos!BQ$2:BQ1001,"")*$G713,"")</f>
        <v/>
      </c>
      <c r="BY713" s="179" t="str">
        <f t="array" ref="BY713">IF($F713&lt;&gt;"",XLOOKUP($F713,Productos!$A:$A,Productos!BR:BR,"Revisar"),"")</f>
        <v/>
      </c>
      <c r="BZ713" s="179" t="str">
        <f t="array" ref="BZ713">IF($F713&lt;&gt;"", XLOOKUP($F713,Productos!$A$2:$A1001,Productos!BS$2:BS1001,"")*$G713,"")</f>
        <v/>
      </c>
    </row>
    <row r="714">
      <c r="A714" s="188"/>
      <c r="B714" s="189"/>
      <c r="C714" s="190"/>
      <c r="D714" s="190"/>
      <c r="E714" s="191"/>
      <c r="F714" s="186"/>
      <c r="G714" s="192"/>
      <c r="H714" s="9"/>
      <c r="I714" s="179" t="str">
        <f t="array" ref="I714">IF($F714&lt;&gt;"",XLOOKUP($F714,Productos!$A:$A,Productos!B:B,"Revisar"),"")</f>
        <v/>
      </c>
      <c r="J714" s="179" t="str">
        <f t="array" ref="J714">IF($F714&lt;&gt;"", XLOOKUP($F714,Productos!$A$2:$A1001,Productos!C$2:C1001,"")*$G714,"")</f>
        <v/>
      </c>
      <c r="K714" s="179" t="str">
        <f t="array" ref="K714">IF($F714&lt;&gt;"",XLOOKUP($F714,Productos!$A:$A,Productos!D:D,"Revisar"),"")</f>
        <v/>
      </c>
      <c r="L714" s="179" t="str">
        <f t="array" ref="L714">IF($F714&lt;&gt;"", XLOOKUP($F714,Productos!$A$2:$A1001,Productos!E$2:E1001,"")*$G714,"")</f>
        <v/>
      </c>
      <c r="M714" s="179" t="str">
        <f t="array" ref="M714">IF($F714&lt;&gt;"",XLOOKUP($F714,Productos!$A:$A,Productos!F:F,"Revisar"),"")</f>
        <v/>
      </c>
      <c r="N714" s="179" t="str">
        <f t="array" ref="N714">IF($F714&lt;&gt;"", XLOOKUP($F714,Productos!$A$2:$A1001,Productos!G$2:G1001,"")*$G714,"")</f>
        <v/>
      </c>
      <c r="O714" s="179" t="str">
        <f t="array" ref="O714">IF($F714&lt;&gt;"",XLOOKUP($F714,Productos!$A:$A,Productos!H:H,"Revisar"),"")</f>
        <v/>
      </c>
      <c r="P714" s="179" t="str">
        <f t="array" ref="P714">IF($F714&lt;&gt;"", XLOOKUP($F714,Productos!$A$2:$A1001,Productos!I$2:I1001,"")*$G714,"")</f>
        <v/>
      </c>
      <c r="Q714" s="179" t="str">
        <f t="array" ref="Q714">IF($F714&lt;&gt;"",XLOOKUP($F714,Productos!$A:$A,Productos!J:J,"Revisar"),"")</f>
        <v/>
      </c>
      <c r="R714" s="179" t="str">
        <f t="array" ref="R714">IF($F714&lt;&gt;"", XLOOKUP($F714,Productos!$A$2:$A1001,Productos!K$2:K1001,"")*$G714,"")</f>
        <v/>
      </c>
      <c r="S714" s="179" t="str">
        <f t="array" ref="S714">IF($F714&lt;&gt;"",XLOOKUP($F714,Productos!$A:$A,Productos!L:L,"Revisar"),"")</f>
        <v/>
      </c>
      <c r="T714" s="179" t="str">
        <f t="array" ref="T714">IF($F714&lt;&gt;"", XLOOKUP($F714,Productos!$A$2:$A1001,Productos!M$2:M1001,"")*$G714,"")</f>
        <v/>
      </c>
      <c r="U714" s="179" t="str">
        <f t="array" ref="U714">IF($F714&lt;&gt;"",XLOOKUP($F714,Productos!$A:$A,Productos!N:N,"Revisar"),"")</f>
        <v/>
      </c>
      <c r="V714" s="179" t="str">
        <f t="array" ref="V714">IF($F714&lt;&gt;"", XLOOKUP($F714,Productos!$A$2:$A1001,Productos!O$2:O1001,"")*$G714,"")</f>
        <v/>
      </c>
      <c r="W714" s="179" t="str">
        <f t="array" ref="W714">IF($F714&lt;&gt;"",XLOOKUP($F714,Productos!$A:$A,Productos!P:P,"Revisar"),"")</f>
        <v/>
      </c>
      <c r="X714" s="179" t="str">
        <f t="array" ref="X714">IF($F714&lt;&gt;"", XLOOKUP($F714,Productos!$A$2:$A1001,Productos!Q$2:Q1001,"")*$G714,"")</f>
        <v/>
      </c>
      <c r="Y714" s="179" t="str">
        <f t="array" ref="Y714">IF($F714&lt;&gt;"",XLOOKUP($F714,Productos!$A:$A,Productos!R:R,"Revisar"),"")</f>
        <v/>
      </c>
      <c r="Z714" s="179" t="str">
        <f t="array" ref="Z714">IF($F714&lt;&gt;"", XLOOKUP($F714,Productos!$A$2:$A1001,Productos!S$2:S1001,"")*$G714,"")</f>
        <v/>
      </c>
      <c r="AA714" s="179" t="str">
        <f t="array" ref="AA714">IF($F714&lt;&gt;"",XLOOKUP($F714,Productos!$A:$A,Productos!T:T,"Revisar"),"")</f>
        <v/>
      </c>
      <c r="AB714" s="179" t="str">
        <f t="array" ref="AB714">IF($F714&lt;&gt;"", XLOOKUP($F714,Productos!$A$2:$A1001,Productos!U$2:U1001,"")*$G714,"")</f>
        <v/>
      </c>
      <c r="AC714" s="179" t="str">
        <f t="array" ref="AC714">IF($F714&lt;&gt;"",XLOOKUP($F714,Productos!$A:$A,Productos!V:V,"Revisar"),"")</f>
        <v/>
      </c>
      <c r="AD714" s="179" t="str">
        <f t="array" ref="AD714">IF($F714&lt;&gt;"", XLOOKUP($F714,Productos!$A$2:$A1001,Productos!W$2:W1001,"")*$G714,"")</f>
        <v/>
      </c>
      <c r="AE714" s="179" t="str">
        <f t="array" ref="AE714">IF($F714&lt;&gt;"",XLOOKUP($F714,Productos!$A:$A,Productos!X:X,"Revisar"),"")</f>
        <v/>
      </c>
      <c r="AF714" s="179" t="str">
        <f t="array" ref="AF714">IF($F714&lt;&gt;"", XLOOKUP($F714,Productos!$A$2:$A1001,Productos!Y$2:Y1001,"")*$G714,"")</f>
        <v/>
      </c>
      <c r="AG714" s="179" t="str">
        <f t="array" ref="AG714">IF($F714&lt;&gt;"",XLOOKUP($F714,Productos!$A:$A,Productos!Z:Z,"Revisar"),"")</f>
        <v/>
      </c>
      <c r="AH714" s="179" t="str">
        <f t="array" ref="AH714">IF($F714&lt;&gt;"", XLOOKUP($F714,Productos!$A$2:$A1001,Productos!AA$2:AA1001,"")*$G714,"")</f>
        <v/>
      </c>
      <c r="AI714" s="179" t="str">
        <f t="array" ref="AI714">IF($F714&lt;&gt;"",XLOOKUP($F714,Productos!$A:$A,Productos!AB:AB,"Revisar"),"")</f>
        <v/>
      </c>
      <c r="AJ714" s="179" t="str">
        <f t="array" ref="AJ714">IF($F714&lt;&gt;"", XLOOKUP($F714,Productos!$A$2:$A1001,Productos!AC$2:AC1001,"")*$G714,"")</f>
        <v/>
      </c>
      <c r="AK714" s="179" t="str">
        <f t="array" ref="AK714">IF($F714&lt;&gt;"",XLOOKUP($F714,Productos!$A:$A,Productos!AD:AD,"Revisar"),"")</f>
        <v/>
      </c>
      <c r="AL714" s="179" t="str">
        <f t="array" ref="AL714">IF($F714&lt;&gt;"", XLOOKUP($F714,Productos!$A$2:$A1001,Productos!AE$2:AE1001,"")*$G714,"")</f>
        <v/>
      </c>
      <c r="AM714" s="179" t="str">
        <f t="array" ref="AM714">IF($F714&lt;&gt;"",XLOOKUP($F714,Productos!$A:$A,Productos!AF:AF,"Revisar"),"")</f>
        <v/>
      </c>
      <c r="AN714" s="179" t="str">
        <f t="array" ref="AN714">IF($F714&lt;&gt;"", XLOOKUP($F714,Productos!$A$2:$A1001,Productos!AG$2:AG1001,"")*$G714,"")</f>
        <v/>
      </c>
      <c r="AO714" s="179" t="str">
        <f t="array" ref="AO714">IF($F714&lt;&gt;"",XLOOKUP($F714,Productos!$A:$A,Productos!AH:AH,"Revisar"),"")</f>
        <v/>
      </c>
      <c r="AP714" s="179" t="str">
        <f t="array" ref="AP714">IF($F714&lt;&gt;"", XLOOKUP($F714,Productos!$A$2:$A1001,Productos!AI$2:AI1001,"")*$G714,"")</f>
        <v/>
      </c>
      <c r="AQ714" s="179" t="str">
        <f t="array" ref="AQ714">IF($F714&lt;&gt;"",XLOOKUP($F714,Productos!$A:$A,Productos!AJ:AJ,"Revisar"),"")</f>
        <v/>
      </c>
      <c r="AR714" s="179" t="str">
        <f t="array" ref="AR714">IF($F714&lt;&gt;"", XLOOKUP($F714,Productos!$A$2:$A1001,Productos!AK$2:AK1001,"")*$G714,"")</f>
        <v/>
      </c>
      <c r="AS714" s="179" t="str">
        <f t="array" ref="AS714">IF($F714&lt;&gt;"",XLOOKUP($F714,Productos!$A:$A,Productos!AL:AL,"Revisar"),"")</f>
        <v/>
      </c>
      <c r="AT714" s="179" t="str">
        <f t="array" ref="AT714">IF($F714&lt;&gt;"", XLOOKUP($F714,Productos!$A$2:$A1001,Productos!AM$2:AM1001,"")*$G714,"")</f>
        <v/>
      </c>
      <c r="AU714" s="179" t="str">
        <f t="array" ref="AU714">IF($F714&lt;&gt;"",XLOOKUP($F714,Productos!$A:$A,Productos!AN:AN,"Revisar"),"")</f>
        <v/>
      </c>
      <c r="AV714" s="179" t="str">
        <f t="array" ref="AV714">IF($F714&lt;&gt;"", XLOOKUP($F714,Productos!$A$2:$A1001,Productos!AO$2:AO1001,"")*$G714,"")</f>
        <v/>
      </c>
      <c r="AW714" s="179" t="str">
        <f t="array" ref="AW714">IF($F714&lt;&gt;"",XLOOKUP($F714,Productos!$A:$A,Productos!AP:AP,"Revisar"),"")</f>
        <v/>
      </c>
      <c r="AX714" s="179" t="str">
        <f t="array" ref="AX714">IF($F714&lt;&gt;"", XLOOKUP($F714,Productos!$A$2:$A1001,Productos!AQ$2:AQ1001,"")*$G714,"")</f>
        <v/>
      </c>
      <c r="AY714" s="179" t="str">
        <f t="array" ref="AY714">IF($F714&lt;&gt;"",XLOOKUP($F714,Productos!$A:$A,Productos!AR:AR,"Revisar"),"")</f>
        <v/>
      </c>
      <c r="AZ714" s="179" t="str">
        <f t="array" ref="AZ714">IF($F714&lt;&gt;"", XLOOKUP($F714,Productos!$A$2:$A1001,Productos!AS$2:AS1001,"")*$G714,"")</f>
        <v/>
      </c>
      <c r="BA714" s="179" t="str">
        <f t="array" ref="BA714">IF($F714&lt;&gt;"",XLOOKUP($F714,Productos!$A:$A,Productos!AT:AT,"Revisar"),"")</f>
        <v/>
      </c>
      <c r="BB714" s="179" t="str">
        <f t="array" ref="BB714">IF($F714&lt;&gt;"", XLOOKUP($F714,Productos!$A$2:$A1001,Productos!AU$2:AU1001,"")*$G714,"")</f>
        <v/>
      </c>
      <c r="BC714" s="179" t="str">
        <f t="array" ref="BC714">IF($F714&lt;&gt;"",XLOOKUP($F714,Productos!$A:$A,Productos!AV:AV,"Revisar"),"")</f>
        <v/>
      </c>
      <c r="BD714" s="179" t="str">
        <f t="array" ref="BD714">IF($F714&lt;&gt;"", XLOOKUP($F714,Productos!$A$2:$A1001,Productos!AW$2:AW1001,"")*$G714,"")</f>
        <v/>
      </c>
      <c r="BE714" s="179" t="str">
        <f t="array" ref="BE714">IF($F714&lt;&gt;"",XLOOKUP($F714,Productos!$A:$A,Productos!AX:AX,"Revisar"),"")</f>
        <v/>
      </c>
      <c r="BF714" s="179" t="str">
        <f t="array" ref="BF714">IF($F714&lt;&gt;"", XLOOKUP($F714,Productos!$A$2:$A1001,Productos!AY$2:AY1001,"")*$G714,"")</f>
        <v/>
      </c>
      <c r="BG714" s="179" t="str">
        <f t="array" ref="BG714">IF($F714&lt;&gt;"",XLOOKUP($F714,Productos!$A:$A,Productos!AZ:AZ,"Revisar"),"")</f>
        <v/>
      </c>
      <c r="BH714" s="179" t="str">
        <f t="array" ref="BH714">IF($F714&lt;&gt;"", XLOOKUP($F714,Productos!$A$2:$A1001,Productos!BA$2:BA1001,"")*$G714,"")</f>
        <v/>
      </c>
      <c r="BI714" s="179" t="str">
        <f t="array" ref="BI714">IF($F714&lt;&gt;"",XLOOKUP($F714,Productos!$A:$A,Productos!BB:BB,"Revisar"),"")</f>
        <v/>
      </c>
      <c r="BJ714" s="179" t="str">
        <f t="array" ref="BJ714">IF($F714&lt;&gt;"", XLOOKUP($F714,Productos!$A$2:$A1001,Productos!BC$2:BC1001,"")*$G714,"")</f>
        <v/>
      </c>
      <c r="BK714" s="179" t="str">
        <f t="array" ref="BK714">IF($F714&lt;&gt;"",XLOOKUP($F714,Productos!$A:$A,Productos!BD:BD,"Revisar"),"")</f>
        <v/>
      </c>
      <c r="BL714" s="179" t="str">
        <f t="array" ref="BL714">IF($F714&lt;&gt;"", XLOOKUP($F714,Productos!$A$2:$A1001,Productos!BE$2:BE1001,"")*$G714,"")</f>
        <v/>
      </c>
      <c r="BM714" s="179" t="str">
        <f t="array" ref="BM714">IF($F714&lt;&gt;"",XLOOKUP($F714,Productos!$A:$A,Productos!BF:BF,"Revisar"),"")</f>
        <v/>
      </c>
      <c r="BN714" s="179" t="str">
        <f t="array" ref="BN714">IF($F714&lt;&gt;"", XLOOKUP($F714,Productos!$A$2:$A1001,Productos!BG$2:BG1001,"")*$G714,"")</f>
        <v/>
      </c>
      <c r="BO714" s="179" t="str">
        <f t="array" ref="BO714">IF($F714&lt;&gt;"",XLOOKUP($F714,Productos!$A:$A,Productos!BH:BH,"Revisar"),"")</f>
        <v/>
      </c>
      <c r="BP714" s="179" t="str">
        <f t="array" ref="BP714">IF($F714&lt;&gt;"", XLOOKUP($F714,Productos!$A$2:$A1001,Productos!BI$2:BI1001,"")*$G714,"")</f>
        <v/>
      </c>
      <c r="BQ714" s="179" t="str">
        <f t="array" ref="BQ714">IF($F714&lt;&gt;"",XLOOKUP($F714,Productos!$A:$A,Productos!BJ:BJ,"Revisar"),"")</f>
        <v/>
      </c>
      <c r="BR714" s="179" t="str">
        <f t="array" ref="BR714">IF($F714&lt;&gt;"", XLOOKUP($F714,Productos!$A$2:$A1001,Productos!BK$2:BK1001,"")*$G714,"")</f>
        <v/>
      </c>
      <c r="BS714" s="179" t="str">
        <f t="array" ref="BS714">IF($F714&lt;&gt;"",XLOOKUP($F714,Productos!$A:$A,Productos!BL:BL,"Revisar"),"")</f>
        <v/>
      </c>
      <c r="BT714" s="179" t="str">
        <f t="array" ref="BT714">IF($F714&lt;&gt;"", XLOOKUP($F714,Productos!$A$2:$A1001,Productos!BM$2:BM1001,"")*$G714,"")</f>
        <v/>
      </c>
      <c r="BU714" s="179" t="str">
        <f t="array" ref="BU714">IF($F714&lt;&gt;"",XLOOKUP($F714,Productos!$A:$A,Productos!BN:BN,"Revisar"),"")</f>
        <v/>
      </c>
      <c r="BV714" s="179" t="str">
        <f t="array" ref="BV714">IF($F714&lt;&gt;"", XLOOKUP($F714,Productos!$A$2:$A1001,Productos!BO$2:BO1001,"")*$G714,"")</f>
        <v/>
      </c>
      <c r="BW714" s="179" t="str">
        <f t="array" ref="BW714">IF($F714&lt;&gt;"",XLOOKUP($F714,Productos!$A:$A,Productos!BP:BP,"Revisar"),"")</f>
        <v/>
      </c>
      <c r="BX714" s="179" t="str">
        <f t="array" ref="BX714">IF($F714&lt;&gt;"", XLOOKUP($F714,Productos!$A$2:$A1001,Productos!BQ$2:BQ1001,"")*$G714,"")</f>
        <v/>
      </c>
      <c r="BY714" s="179" t="str">
        <f t="array" ref="BY714">IF($F714&lt;&gt;"",XLOOKUP($F714,Productos!$A:$A,Productos!BR:BR,"Revisar"),"")</f>
        <v/>
      </c>
      <c r="BZ714" s="179" t="str">
        <f t="array" ref="BZ714">IF($F714&lt;&gt;"", XLOOKUP($F714,Productos!$A$2:$A1001,Productos!BS$2:BS1001,"")*$G714,"")</f>
        <v/>
      </c>
    </row>
    <row r="715">
      <c r="A715" s="188"/>
      <c r="B715" s="189"/>
      <c r="C715" s="190"/>
      <c r="D715" s="190"/>
      <c r="E715" s="191"/>
      <c r="F715" s="186"/>
      <c r="G715" s="192"/>
      <c r="H715" s="9"/>
      <c r="I715" s="179" t="str">
        <f t="array" ref="I715">IF($F715&lt;&gt;"",XLOOKUP($F715,Productos!$A:$A,Productos!B:B,"Revisar"),"")</f>
        <v/>
      </c>
      <c r="J715" s="179" t="str">
        <f t="array" ref="J715">IF($F715&lt;&gt;"", XLOOKUP($F715,Productos!$A$2:$A1001,Productos!C$2:C1001,"")*$G715,"")</f>
        <v/>
      </c>
      <c r="K715" s="179" t="str">
        <f t="array" ref="K715">IF($F715&lt;&gt;"",XLOOKUP($F715,Productos!$A:$A,Productos!D:D,"Revisar"),"")</f>
        <v/>
      </c>
      <c r="L715" s="179" t="str">
        <f t="array" ref="L715">IF($F715&lt;&gt;"", XLOOKUP($F715,Productos!$A$2:$A1001,Productos!E$2:E1001,"")*$G715,"")</f>
        <v/>
      </c>
      <c r="M715" s="179" t="str">
        <f t="array" ref="M715">IF($F715&lt;&gt;"",XLOOKUP($F715,Productos!$A:$A,Productos!F:F,"Revisar"),"")</f>
        <v/>
      </c>
      <c r="N715" s="179" t="str">
        <f t="array" ref="N715">IF($F715&lt;&gt;"", XLOOKUP($F715,Productos!$A$2:$A1001,Productos!G$2:G1001,"")*$G715,"")</f>
        <v/>
      </c>
      <c r="O715" s="179" t="str">
        <f t="array" ref="O715">IF($F715&lt;&gt;"",XLOOKUP($F715,Productos!$A:$A,Productos!H:H,"Revisar"),"")</f>
        <v/>
      </c>
      <c r="P715" s="179" t="str">
        <f t="array" ref="P715">IF($F715&lt;&gt;"", XLOOKUP($F715,Productos!$A$2:$A1001,Productos!I$2:I1001,"")*$G715,"")</f>
        <v/>
      </c>
      <c r="Q715" s="179" t="str">
        <f t="array" ref="Q715">IF($F715&lt;&gt;"",XLOOKUP($F715,Productos!$A:$A,Productos!J:J,"Revisar"),"")</f>
        <v/>
      </c>
      <c r="R715" s="179" t="str">
        <f t="array" ref="R715">IF($F715&lt;&gt;"", XLOOKUP($F715,Productos!$A$2:$A1001,Productos!K$2:K1001,"")*$G715,"")</f>
        <v/>
      </c>
      <c r="S715" s="179" t="str">
        <f t="array" ref="S715">IF($F715&lt;&gt;"",XLOOKUP($F715,Productos!$A:$A,Productos!L:L,"Revisar"),"")</f>
        <v/>
      </c>
      <c r="T715" s="179" t="str">
        <f t="array" ref="T715">IF($F715&lt;&gt;"", XLOOKUP($F715,Productos!$A$2:$A1001,Productos!M$2:M1001,"")*$G715,"")</f>
        <v/>
      </c>
      <c r="U715" s="179" t="str">
        <f t="array" ref="U715">IF($F715&lt;&gt;"",XLOOKUP($F715,Productos!$A:$A,Productos!N:N,"Revisar"),"")</f>
        <v/>
      </c>
      <c r="V715" s="179" t="str">
        <f t="array" ref="V715">IF($F715&lt;&gt;"", XLOOKUP($F715,Productos!$A$2:$A1001,Productos!O$2:O1001,"")*$G715,"")</f>
        <v/>
      </c>
      <c r="W715" s="179" t="str">
        <f t="array" ref="W715">IF($F715&lt;&gt;"",XLOOKUP($F715,Productos!$A:$A,Productos!P:P,"Revisar"),"")</f>
        <v/>
      </c>
      <c r="X715" s="179" t="str">
        <f t="array" ref="X715">IF($F715&lt;&gt;"", XLOOKUP($F715,Productos!$A$2:$A1001,Productos!Q$2:Q1001,"")*$G715,"")</f>
        <v/>
      </c>
      <c r="Y715" s="179" t="str">
        <f t="array" ref="Y715">IF($F715&lt;&gt;"",XLOOKUP($F715,Productos!$A:$A,Productos!R:R,"Revisar"),"")</f>
        <v/>
      </c>
      <c r="Z715" s="179" t="str">
        <f t="array" ref="Z715">IF($F715&lt;&gt;"", XLOOKUP($F715,Productos!$A$2:$A1001,Productos!S$2:S1001,"")*$G715,"")</f>
        <v/>
      </c>
      <c r="AA715" s="179" t="str">
        <f t="array" ref="AA715">IF($F715&lt;&gt;"",XLOOKUP($F715,Productos!$A:$A,Productos!T:T,"Revisar"),"")</f>
        <v/>
      </c>
      <c r="AB715" s="179" t="str">
        <f t="array" ref="AB715">IF($F715&lt;&gt;"", XLOOKUP($F715,Productos!$A$2:$A1001,Productos!U$2:U1001,"")*$G715,"")</f>
        <v/>
      </c>
      <c r="AC715" s="179" t="str">
        <f t="array" ref="AC715">IF($F715&lt;&gt;"",XLOOKUP($F715,Productos!$A:$A,Productos!V:V,"Revisar"),"")</f>
        <v/>
      </c>
      <c r="AD715" s="179" t="str">
        <f t="array" ref="AD715">IF($F715&lt;&gt;"", XLOOKUP($F715,Productos!$A$2:$A1001,Productos!W$2:W1001,"")*$G715,"")</f>
        <v/>
      </c>
      <c r="AE715" s="179" t="str">
        <f t="array" ref="AE715">IF($F715&lt;&gt;"",XLOOKUP($F715,Productos!$A:$A,Productos!X:X,"Revisar"),"")</f>
        <v/>
      </c>
      <c r="AF715" s="179" t="str">
        <f t="array" ref="AF715">IF($F715&lt;&gt;"", XLOOKUP($F715,Productos!$A$2:$A1001,Productos!Y$2:Y1001,"")*$G715,"")</f>
        <v/>
      </c>
      <c r="AG715" s="179" t="str">
        <f t="array" ref="AG715">IF($F715&lt;&gt;"",XLOOKUP($F715,Productos!$A:$A,Productos!Z:Z,"Revisar"),"")</f>
        <v/>
      </c>
      <c r="AH715" s="179" t="str">
        <f t="array" ref="AH715">IF($F715&lt;&gt;"", XLOOKUP($F715,Productos!$A$2:$A1001,Productos!AA$2:AA1001,"")*$G715,"")</f>
        <v/>
      </c>
      <c r="AI715" s="179" t="str">
        <f t="array" ref="AI715">IF($F715&lt;&gt;"",XLOOKUP($F715,Productos!$A:$A,Productos!AB:AB,"Revisar"),"")</f>
        <v/>
      </c>
      <c r="AJ715" s="179" t="str">
        <f t="array" ref="AJ715">IF($F715&lt;&gt;"", XLOOKUP($F715,Productos!$A$2:$A1001,Productos!AC$2:AC1001,"")*$G715,"")</f>
        <v/>
      </c>
      <c r="AK715" s="179" t="str">
        <f t="array" ref="AK715">IF($F715&lt;&gt;"",XLOOKUP($F715,Productos!$A:$A,Productos!AD:AD,"Revisar"),"")</f>
        <v/>
      </c>
      <c r="AL715" s="179" t="str">
        <f t="array" ref="AL715">IF($F715&lt;&gt;"", XLOOKUP($F715,Productos!$A$2:$A1001,Productos!AE$2:AE1001,"")*$G715,"")</f>
        <v/>
      </c>
      <c r="AM715" s="179" t="str">
        <f t="array" ref="AM715">IF($F715&lt;&gt;"",XLOOKUP($F715,Productos!$A:$A,Productos!AF:AF,"Revisar"),"")</f>
        <v/>
      </c>
      <c r="AN715" s="179" t="str">
        <f t="array" ref="AN715">IF($F715&lt;&gt;"", XLOOKUP($F715,Productos!$A$2:$A1001,Productos!AG$2:AG1001,"")*$G715,"")</f>
        <v/>
      </c>
      <c r="AO715" s="179" t="str">
        <f t="array" ref="AO715">IF($F715&lt;&gt;"",XLOOKUP($F715,Productos!$A:$A,Productos!AH:AH,"Revisar"),"")</f>
        <v/>
      </c>
      <c r="AP715" s="179" t="str">
        <f t="array" ref="AP715">IF($F715&lt;&gt;"", XLOOKUP($F715,Productos!$A$2:$A1001,Productos!AI$2:AI1001,"")*$G715,"")</f>
        <v/>
      </c>
      <c r="AQ715" s="179" t="str">
        <f t="array" ref="AQ715">IF($F715&lt;&gt;"",XLOOKUP($F715,Productos!$A:$A,Productos!AJ:AJ,"Revisar"),"")</f>
        <v/>
      </c>
      <c r="AR715" s="179" t="str">
        <f t="array" ref="AR715">IF($F715&lt;&gt;"", XLOOKUP($F715,Productos!$A$2:$A1001,Productos!AK$2:AK1001,"")*$G715,"")</f>
        <v/>
      </c>
      <c r="AS715" s="179" t="str">
        <f t="array" ref="AS715">IF($F715&lt;&gt;"",XLOOKUP($F715,Productos!$A:$A,Productos!AL:AL,"Revisar"),"")</f>
        <v/>
      </c>
      <c r="AT715" s="179" t="str">
        <f t="array" ref="AT715">IF($F715&lt;&gt;"", XLOOKUP($F715,Productos!$A$2:$A1001,Productos!AM$2:AM1001,"")*$G715,"")</f>
        <v/>
      </c>
      <c r="AU715" s="179" t="str">
        <f t="array" ref="AU715">IF($F715&lt;&gt;"",XLOOKUP($F715,Productos!$A:$A,Productos!AN:AN,"Revisar"),"")</f>
        <v/>
      </c>
      <c r="AV715" s="179" t="str">
        <f t="array" ref="AV715">IF($F715&lt;&gt;"", XLOOKUP($F715,Productos!$A$2:$A1001,Productos!AO$2:AO1001,"")*$G715,"")</f>
        <v/>
      </c>
      <c r="AW715" s="179" t="str">
        <f t="array" ref="AW715">IF($F715&lt;&gt;"",XLOOKUP($F715,Productos!$A:$A,Productos!AP:AP,"Revisar"),"")</f>
        <v/>
      </c>
      <c r="AX715" s="179" t="str">
        <f t="array" ref="AX715">IF($F715&lt;&gt;"", XLOOKUP($F715,Productos!$A$2:$A1001,Productos!AQ$2:AQ1001,"")*$G715,"")</f>
        <v/>
      </c>
      <c r="AY715" s="179" t="str">
        <f t="array" ref="AY715">IF($F715&lt;&gt;"",XLOOKUP($F715,Productos!$A:$A,Productos!AR:AR,"Revisar"),"")</f>
        <v/>
      </c>
      <c r="AZ715" s="179" t="str">
        <f t="array" ref="AZ715">IF($F715&lt;&gt;"", XLOOKUP($F715,Productos!$A$2:$A1001,Productos!AS$2:AS1001,"")*$G715,"")</f>
        <v/>
      </c>
      <c r="BA715" s="179" t="str">
        <f t="array" ref="BA715">IF($F715&lt;&gt;"",XLOOKUP($F715,Productos!$A:$A,Productos!AT:AT,"Revisar"),"")</f>
        <v/>
      </c>
      <c r="BB715" s="179" t="str">
        <f t="array" ref="BB715">IF($F715&lt;&gt;"", XLOOKUP($F715,Productos!$A$2:$A1001,Productos!AU$2:AU1001,"")*$G715,"")</f>
        <v/>
      </c>
      <c r="BC715" s="179" t="str">
        <f t="array" ref="BC715">IF($F715&lt;&gt;"",XLOOKUP($F715,Productos!$A:$A,Productos!AV:AV,"Revisar"),"")</f>
        <v/>
      </c>
      <c r="BD715" s="179" t="str">
        <f t="array" ref="BD715">IF($F715&lt;&gt;"", XLOOKUP($F715,Productos!$A$2:$A1001,Productos!AW$2:AW1001,"")*$G715,"")</f>
        <v/>
      </c>
      <c r="BE715" s="179" t="str">
        <f t="array" ref="BE715">IF($F715&lt;&gt;"",XLOOKUP($F715,Productos!$A:$A,Productos!AX:AX,"Revisar"),"")</f>
        <v/>
      </c>
      <c r="BF715" s="179" t="str">
        <f t="array" ref="BF715">IF($F715&lt;&gt;"", XLOOKUP($F715,Productos!$A$2:$A1001,Productos!AY$2:AY1001,"")*$G715,"")</f>
        <v/>
      </c>
      <c r="BG715" s="179" t="str">
        <f t="array" ref="BG715">IF($F715&lt;&gt;"",XLOOKUP($F715,Productos!$A:$A,Productos!AZ:AZ,"Revisar"),"")</f>
        <v/>
      </c>
      <c r="BH715" s="179" t="str">
        <f t="array" ref="BH715">IF($F715&lt;&gt;"", XLOOKUP($F715,Productos!$A$2:$A1001,Productos!BA$2:BA1001,"")*$G715,"")</f>
        <v/>
      </c>
      <c r="BI715" s="179" t="str">
        <f t="array" ref="BI715">IF($F715&lt;&gt;"",XLOOKUP($F715,Productos!$A:$A,Productos!BB:BB,"Revisar"),"")</f>
        <v/>
      </c>
      <c r="BJ715" s="179" t="str">
        <f t="array" ref="BJ715">IF($F715&lt;&gt;"", XLOOKUP($F715,Productos!$A$2:$A1001,Productos!BC$2:BC1001,"")*$G715,"")</f>
        <v/>
      </c>
      <c r="BK715" s="179" t="str">
        <f t="array" ref="BK715">IF($F715&lt;&gt;"",XLOOKUP($F715,Productos!$A:$A,Productos!BD:BD,"Revisar"),"")</f>
        <v/>
      </c>
      <c r="BL715" s="179" t="str">
        <f t="array" ref="BL715">IF($F715&lt;&gt;"", XLOOKUP($F715,Productos!$A$2:$A1001,Productos!BE$2:BE1001,"")*$G715,"")</f>
        <v/>
      </c>
      <c r="BM715" s="179" t="str">
        <f t="array" ref="BM715">IF($F715&lt;&gt;"",XLOOKUP($F715,Productos!$A:$A,Productos!BF:BF,"Revisar"),"")</f>
        <v/>
      </c>
      <c r="BN715" s="179" t="str">
        <f t="array" ref="BN715">IF($F715&lt;&gt;"", XLOOKUP($F715,Productos!$A$2:$A1001,Productos!BG$2:BG1001,"")*$G715,"")</f>
        <v/>
      </c>
      <c r="BO715" s="179" t="str">
        <f t="array" ref="BO715">IF($F715&lt;&gt;"",XLOOKUP($F715,Productos!$A:$A,Productos!BH:BH,"Revisar"),"")</f>
        <v/>
      </c>
      <c r="BP715" s="179" t="str">
        <f t="array" ref="BP715">IF($F715&lt;&gt;"", XLOOKUP($F715,Productos!$A$2:$A1001,Productos!BI$2:BI1001,"")*$G715,"")</f>
        <v/>
      </c>
      <c r="BQ715" s="179" t="str">
        <f t="array" ref="BQ715">IF($F715&lt;&gt;"",XLOOKUP($F715,Productos!$A:$A,Productos!BJ:BJ,"Revisar"),"")</f>
        <v/>
      </c>
      <c r="BR715" s="179" t="str">
        <f t="array" ref="BR715">IF($F715&lt;&gt;"", XLOOKUP($F715,Productos!$A$2:$A1001,Productos!BK$2:BK1001,"")*$G715,"")</f>
        <v/>
      </c>
      <c r="BS715" s="179" t="str">
        <f t="array" ref="BS715">IF($F715&lt;&gt;"",XLOOKUP($F715,Productos!$A:$A,Productos!BL:BL,"Revisar"),"")</f>
        <v/>
      </c>
      <c r="BT715" s="179" t="str">
        <f t="array" ref="BT715">IF($F715&lt;&gt;"", XLOOKUP($F715,Productos!$A$2:$A1001,Productos!BM$2:BM1001,"")*$G715,"")</f>
        <v/>
      </c>
      <c r="BU715" s="179" t="str">
        <f t="array" ref="BU715">IF($F715&lt;&gt;"",XLOOKUP($F715,Productos!$A:$A,Productos!BN:BN,"Revisar"),"")</f>
        <v/>
      </c>
      <c r="BV715" s="179" t="str">
        <f t="array" ref="BV715">IF($F715&lt;&gt;"", XLOOKUP($F715,Productos!$A$2:$A1001,Productos!BO$2:BO1001,"")*$G715,"")</f>
        <v/>
      </c>
      <c r="BW715" s="179" t="str">
        <f t="array" ref="BW715">IF($F715&lt;&gt;"",XLOOKUP($F715,Productos!$A:$A,Productos!BP:BP,"Revisar"),"")</f>
        <v/>
      </c>
      <c r="BX715" s="179" t="str">
        <f t="array" ref="BX715">IF($F715&lt;&gt;"", XLOOKUP($F715,Productos!$A$2:$A1001,Productos!BQ$2:BQ1001,"")*$G715,"")</f>
        <v/>
      </c>
      <c r="BY715" s="179" t="str">
        <f t="array" ref="BY715">IF($F715&lt;&gt;"",XLOOKUP($F715,Productos!$A:$A,Productos!BR:BR,"Revisar"),"")</f>
        <v/>
      </c>
      <c r="BZ715" s="179" t="str">
        <f t="array" ref="BZ715">IF($F715&lt;&gt;"", XLOOKUP($F715,Productos!$A$2:$A1001,Productos!BS$2:BS1001,"")*$G715,"")</f>
        <v/>
      </c>
    </row>
    <row r="716">
      <c r="A716" s="188"/>
      <c r="B716" s="189"/>
      <c r="C716" s="190"/>
      <c r="D716" s="190"/>
      <c r="E716" s="191"/>
      <c r="F716" s="186"/>
      <c r="G716" s="192"/>
      <c r="H716" s="9"/>
      <c r="I716" s="179" t="str">
        <f t="array" ref="I716">IF($F716&lt;&gt;"",XLOOKUP($F716,Productos!$A:$A,Productos!B:B,"Revisar"),"")</f>
        <v/>
      </c>
      <c r="J716" s="179" t="str">
        <f t="array" ref="J716">IF($F716&lt;&gt;"", XLOOKUP($F716,Productos!$A$2:$A1001,Productos!C$2:C1001,"")*$G716,"")</f>
        <v/>
      </c>
      <c r="K716" s="179" t="str">
        <f t="array" ref="K716">IF($F716&lt;&gt;"",XLOOKUP($F716,Productos!$A:$A,Productos!D:D,"Revisar"),"")</f>
        <v/>
      </c>
      <c r="L716" s="179" t="str">
        <f t="array" ref="L716">IF($F716&lt;&gt;"", XLOOKUP($F716,Productos!$A$2:$A1001,Productos!E$2:E1001,"")*$G716,"")</f>
        <v/>
      </c>
      <c r="M716" s="179" t="str">
        <f t="array" ref="M716">IF($F716&lt;&gt;"",XLOOKUP($F716,Productos!$A:$A,Productos!F:F,"Revisar"),"")</f>
        <v/>
      </c>
      <c r="N716" s="179" t="str">
        <f t="array" ref="N716">IF($F716&lt;&gt;"", XLOOKUP($F716,Productos!$A$2:$A1001,Productos!G$2:G1001,"")*$G716,"")</f>
        <v/>
      </c>
      <c r="O716" s="179" t="str">
        <f t="array" ref="O716">IF($F716&lt;&gt;"",XLOOKUP($F716,Productos!$A:$A,Productos!H:H,"Revisar"),"")</f>
        <v/>
      </c>
      <c r="P716" s="179" t="str">
        <f t="array" ref="P716">IF($F716&lt;&gt;"", XLOOKUP($F716,Productos!$A$2:$A1001,Productos!I$2:I1001,"")*$G716,"")</f>
        <v/>
      </c>
      <c r="Q716" s="179" t="str">
        <f t="array" ref="Q716">IF($F716&lt;&gt;"",XLOOKUP($F716,Productos!$A:$A,Productos!J:J,"Revisar"),"")</f>
        <v/>
      </c>
      <c r="R716" s="179" t="str">
        <f t="array" ref="R716">IF($F716&lt;&gt;"", XLOOKUP($F716,Productos!$A$2:$A1001,Productos!K$2:K1001,"")*$G716,"")</f>
        <v/>
      </c>
      <c r="S716" s="179" t="str">
        <f t="array" ref="S716">IF($F716&lt;&gt;"",XLOOKUP($F716,Productos!$A:$A,Productos!L:L,"Revisar"),"")</f>
        <v/>
      </c>
      <c r="T716" s="179" t="str">
        <f t="array" ref="T716">IF($F716&lt;&gt;"", XLOOKUP($F716,Productos!$A$2:$A1001,Productos!M$2:M1001,"")*$G716,"")</f>
        <v/>
      </c>
      <c r="U716" s="179" t="str">
        <f t="array" ref="U716">IF($F716&lt;&gt;"",XLOOKUP($F716,Productos!$A:$A,Productos!N:N,"Revisar"),"")</f>
        <v/>
      </c>
      <c r="V716" s="179" t="str">
        <f t="array" ref="V716">IF($F716&lt;&gt;"", XLOOKUP($F716,Productos!$A$2:$A1001,Productos!O$2:O1001,"")*$G716,"")</f>
        <v/>
      </c>
      <c r="W716" s="179" t="str">
        <f t="array" ref="W716">IF($F716&lt;&gt;"",XLOOKUP($F716,Productos!$A:$A,Productos!P:P,"Revisar"),"")</f>
        <v/>
      </c>
      <c r="X716" s="179" t="str">
        <f t="array" ref="X716">IF($F716&lt;&gt;"", XLOOKUP($F716,Productos!$A$2:$A1001,Productos!Q$2:Q1001,"")*$G716,"")</f>
        <v/>
      </c>
      <c r="Y716" s="179" t="str">
        <f t="array" ref="Y716">IF($F716&lt;&gt;"",XLOOKUP($F716,Productos!$A:$A,Productos!R:R,"Revisar"),"")</f>
        <v/>
      </c>
      <c r="Z716" s="179" t="str">
        <f t="array" ref="Z716">IF($F716&lt;&gt;"", XLOOKUP($F716,Productos!$A$2:$A1001,Productos!S$2:S1001,"")*$G716,"")</f>
        <v/>
      </c>
      <c r="AA716" s="179" t="str">
        <f t="array" ref="AA716">IF($F716&lt;&gt;"",XLOOKUP($F716,Productos!$A:$A,Productos!T:T,"Revisar"),"")</f>
        <v/>
      </c>
      <c r="AB716" s="179" t="str">
        <f t="array" ref="AB716">IF($F716&lt;&gt;"", XLOOKUP($F716,Productos!$A$2:$A1001,Productos!U$2:U1001,"")*$G716,"")</f>
        <v/>
      </c>
      <c r="AC716" s="179" t="str">
        <f t="array" ref="AC716">IF($F716&lt;&gt;"",XLOOKUP($F716,Productos!$A:$A,Productos!V:V,"Revisar"),"")</f>
        <v/>
      </c>
      <c r="AD716" s="179" t="str">
        <f t="array" ref="AD716">IF($F716&lt;&gt;"", XLOOKUP($F716,Productos!$A$2:$A1001,Productos!W$2:W1001,"")*$G716,"")</f>
        <v/>
      </c>
      <c r="AE716" s="179" t="str">
        <f t="array" ref="AE716">IF($F716&lt;&gt;"",XLOOKUP($F716,Productos!$A:$A,Productos!X:X,"Revisar"),"")</f>
        <v/>
      </c>
      <c r="AF716" s="179" t="str">
        <f t="array" ref="AF716">IF($F716&lt;&gt;"", XLOOKUP($F716,Productos!$A$2:$A1001,Productos!Y$2:Y1001,"")*$G716,"")</f>
        <v/>
      </c>
      <c r="AG716" s="179" t="str">
        <f t="array" ref="AG716">IF($F716&lt;&gt;"",XLOOKUP($F716,Productos!$A:$A,Productos!Z:Z,"Revisar"),"")</f>
        <v/>
      </c>
      <c r="AH716" s="179" t="str">
        <f t="array" ref="AH716">IF($F716&lt;&gt;"", XLOOKUP($F716,Productos!$A$2:$A1001,Productos!AA$2:AA1001,"")*$G716,"")</f>
        <v/>
      </c>
      <c r="AI716" s="179" t="str">
        <f t="array" ref="AI716">IF($F716&lt;&gt;"",XLOOKUP($F716,Productos!$A:$A,Productos!AB:AB,"Revisar"),"")</f>
        <v/>
      </c>
      <c r="AJ716" s="179" t="str">
        <f t="array" ref="AJ716">IF($F716&lt;&gt;"", XLOOKUP($F716,Productos!$A$2:$A1001,Productos!AC$2:AC1001,"")*$G716,"")</f>
        <v/>
      </c>
      <c r="AK716" s="179" t="str">
        <f t="array" ref="AK716">IF($F716&lt;&gt;"",XLOOKUP($F716,Productos!$A:$A,Productos!AD:AD,"Revisar"),"")</f>
        <v/>
      </c>
      <c r="AL716" s="179" t="str">
        <f t="array" ref="AL716">IF($F716&lt;&gt;"", XLOOKUP($F716,Productos!$A$2:$A1001,Productos!AE$2:AE1001,"")*$G716,"")</f>
        <v/>
      </c>
      <c r="AM716" s="179" t="str">
        <f t="array" ref="AM716">IF($F716&lt;&gt;"",XLOOKUP($F716,Productos!$A:$A,Productos!AF:AF,"Revisar"),"")</f>
        <v/>
      </c>
      <c r="AN716" s="179" t="str">
        <f t="array" ref="AN716">IF($F716&lt;&gt;"", XLOOKUP($F716,Productos!$A$2:$A1001,Productos!AG$2:AG1001,"")*$G716,"")</f>
        <v/>
      </c>
      <c r="AO716" s="179" t="str">
        <f t="array" ref="AO716">IF($F716&lt;&gt;"",XLOOKUP($F716,Productos!$A:$A,Productos!AH:AH,"Revisar"),"")</f>
        <v/>
      </c>
      <c r="AP716" s="179" t="str">
        <f t="array" ref="AP716">IF($F716&lt;&gt;"", XLOOKUP($F716,Productos!$A$2:$A1001,Productos!AI$2:AI1001,"")*$G716,"")</f>
        <v/>
      </c>
      <c r="AQ716" s="179" t="str">
        <f t="array" ref="AQ716">IF($F716&lt;&gt;"",XLOOKUP($F716,Productos!$A:$A,Productos!AJ:AJ,"Revisar"),"")</f>
        <v/>
      </c>
      <c r="AR716" s="179" t="str">
        <f t="array" ref="AR716">IF($F716&lt;&gt;"", XLOOKUP($F716,Productos!$A$2:$A1001,Productos!AK$2:AK1001,"")*$G716,"")</f>
        <v/>
      </c>
      <c r="AS716" s="179" t="str">
        <f t="array" ref="AS716">IF($F716&lt;&gt;"",XLOOKUP($F716,Productos!$A:$A,Productos!AL:AL,"Revisar"),"")</f>
        <v/>
      </c>
      <c r="AT716" s="179" t="str">
        <f t="array" ref="AT716">IF($F716&lt;&gt;"", XLOOKUP($F716,Productos!$A$2:$A1001,Productos!AM$2:AM1001,"")*$G716,"")</f>
        <v/>
      </c>
      <c r="AU716" s="179" t="str">
        <f t="array" ref="AU716">IF($F716&lt;&gt;"",XLOOKUP($F716,Productos!$A:$A,Productos!AN:AN,"Revisar"),"")</f>
        <v/>
      </c>
      <c r="AV716" s="179" t="str">
        <f t="array" ref="AV716">IF($F716&lt;&gt;"", XLOOKUP($F716,Productos!$A$2:$A1001,Productos!AO$2:AO1001,"")*$G716,"")</f>
        <v/>
      </c>
      <c r="AW716" s="179" t="str">
        <f t="array" ref="AW716">IF($F716&lt;&gt;"",XLOOKUP($F716,Productos!$A:$A,Productos!AP:AP,"Revisar"),"")</f>
        <v/>
      </c>
      <c r="AX716" s="179" t="str">
        <f t="array" ref="AX716">IF($F716&lt;&gt;"", XLOOKUP($F716,Productos!$A$2:$A1001,Productos!AQ$2:AQ1001,"")*$G716,"")</f>
        <v/>
      </c>
      <c r="AY716" s="179" t="str">
        <f t="array" ref="AY716">IF($F716&lt;&gt;"",XLOOKUP($F716,Productos!$A:$A,Productos!AR:AR,"Revisar"),"")</f>
        <v/>
      </c>
      <c r="AZ716" s="179" t="str">
        <f t="array" ref="AZ716">IF($F716&lt;&gt;"", XLOOKUP($F716,Productos!$A$2:$A1001,Productos!AS$2:AS1001,"")*$G716,"")</f>
        <v/>
      </c>
      <c r="BA716" s="179" t="str">
        <f t="array" ref="BA716">IF($F716&lt;&gt;"",XLOOKUP($F716,Productos!$A:$A,Productos!AT:AT,"Revisar"),"")</f>
        <v/>
      </c>
      <c r="BB716" s="179" t="str">
        <f t="array" ref="BB716">IF($F716&lt;&gt;"", XLOOKUP($F716,Productos!$A$2:$A1001,Productos!AU$2:AU1001,"")*$G716,"")</f>
        <v/>
      </c>
      <c r="BC716" s="179" t="str">
        <f t="array" ref="BC716">IF($F716&lt;&gt;"",XLOOKUP($F716,Productos!$A:$A,Productos!AV:AV,"Revisar"),"")</f>
        <v/>
      </c>
      <c r="BD716" s="179" t="str">
        <f t="array" ref="BD716">IF($F716&lt;&gt;"", XLOOKUP($F716,Productos!$A$2:$A1001,Productos!AW$2:AW1001,"")*$G716,"")</f>
        <v/>
      </c>
      <c r="BE716" s="179" t="str">
        <f t="array" ref="BE716">IF($F716&lt;&gt;"",XLOOKUP($F716,Productos!$A:$A,Productos!AX:AX,"Revisar"),"")</f>
        <v/>
      </c>
      <c r="BF716" s="179" t="str">
        <f t="array" ref="BF716">IF($F716&lt;&gt;"", XLOOKUP($F716,Productos!$A$2:$A1001,Productos!AY$2:AY1001,"")*$G716,"")</f>
        <v/>
      </c>
      <c r="BG716" s="179" t="str">
        <f t="array" ref="BG716">IF($F716&lt;&gt;"",XLOOKUP($F716,Productos!$A:$A,Productos!AZ:AZ,"Revisar"),"")</f>
        <v/>
      </c>
      <c r="BH716" s="179" t="str">
        <f t="array" ref="BH716">IF($F716&lt;&gt;"", XLOOKUP($F716,Productos!$A$2:$A1001,Productos!BA$2:BA1001,"")*$G716,"")</f>
        <v/>
      </c>
      <c r="BI716" s="179" t="str">
        <f t="array" ref="BI716">IF($F716&lt;&gt;"",XLOOKUP($F716,Productos!$A:$A,Productos!BB:BB,"Revisar"),"")</f>
        <v/>
      </c>
      <c r="BJ716" s="179" t="str">
        <f t="array" ref="BJ716">IF($F716&lt;&gt;"", XLOOKUP($F716,Productos!$A$2:$A1001,Productos!BC$2:BC1001,"")*$G716,"")</f>
        <v/>
      </c>
      <c r="BK716" s="179" t="str">
        <f t="array" ref="BK716">IF($F716&lt;&gt;"",XLOOKUP($F716,Productos!$A:$A,Productos!BD:BD,"Revisar"),"")</f>
        <v/>
      </c>
      <c r="BL716" s="179" t="str">
        <f t="array" ref="BL716">IF($F716&lt;&gt;"", XLOOKUP($F716,Productos!$A$2:$A1001,Productos!BE$2:BE1001,"")*$G716,"")</f>
        <v/>
      </c>
      <c r="BM716" s="179" t="str">
        <f t="array" ref="BM716">IF($F716&lt;&gt;"",XLOOKUP($F716,Productos!$A:$A,Productos!BF:BF,"Revisar"),"")</f>
        <v/>
      </c>
      <c r="BN716" s="179" t="str">
        <f t="array" ref="BN716">IF($F716&lt;&gt;"", XLOOKUP($F716,Productos!$A$2:$A1001,Productos!BG$2:BG1001,"")*$G716,"")</f>
        <v/>
      </c>
      <c r="BO716" s="179" t="str">
        <f t="array" ref="BO716">IF($F716&lt;&gt;"",XLOOKUP($F716,Productos!$A:$A,Productos!BH:BH,"Revisar"),"")</f>
        <v/>
      </c>
      <c r="BP716" s="179" t="str">
        <f t="array" ref="BP716">IF($F716&lt;&gt;"", XLOOKUP($F716,Productos!$A$2:$A1001,Productos!BI$2:BI1001,"")*$G716,"")</f>
        <v/>
      </c>
      <c r="BQ716" s="179" t="str">
        <f t="array" ref="BQ716">IF($F716&lt;&gt;"",XLOOKUP($F716,Productos!$A:$A,Productos!BJ:BJ,"Revisar"),"")</f>
        <v/>
      </c>
      <c r="BR716" s="179" t="str">
        <f t="array" ref="BR716">IF($F716&lt;&gt;"", XLOOKUP($F716,Productos!$A$2:$A1001,Productos!BK$2:BK1001,"")*$G716,"")</f>
        <v/>
      </c>
      <c r="BS716" s="179" t="str">
        <f t="array" ref="BS716">IF($F716&lt;&gt;"",XLOOKUP($F716,Productos!$A:$A,Productos!BL:BL,"Revisar"),"")</f>
        <v/>
      </c>
      <c r="BT716" s="179" t="str">
        <f t="array" ref="BT716">IF($F716&lt;&gt;"", XLOOKUP($F716,Productos!$A$2:$A1001,Productos!BM$2:BM1001,"")*$G716,"")</f>
        <v/>
      </c>
      <c r="BU716" s="179" t="str">
        <f t="array" ref="BU716">IF($F716&lt;&gt;"",XLOOKUP($F716,Productos!$A:$A,Productos!BN:BN,"Revisar"),"")</f>
        <v/>
      </c>
      <c r="BV716" s="179" t="str">
        <f t="array" ref="BV716">IF($F716&lt;&gt;"", XLOOKUP($F716,Productos!$A$2:$A1001,Productos!BO$2:BO1001,"")*$G716,"")</f>
        <v/>
      </c>
      <c r="BW716" s="179" t="str">
        <f t="array" ref="BW716">IF($F716&lt;&gt;"",XLOOKUP($F716,Productos!$A:$A,Productos!BP:BP,"Revisar"),"")</f>
        <v/>
      </c>
      <c r="BX716" s="179" t="str">
        <f t="array" ref="BX716">IF($F716&lt;&gt;"", XLOOKUP($F716,Productos!$A$2:$A1001,Productos!BQ$2:BQ1001,"")*$G716,"")</f>
        <v/>
      </c>
      <c r="BY716" s="179" t="str">
        <f t="array" ref="BY716">IF($F716&lt;&gt;"",XLOOKUP($F716,Productos!$A:$A,Productos!BR:BR,"Revisar"),"")</f>
        <v/>
      </c>
      <c r="BZ716" s="179" t="str">
        <f t="array" ref="BZ716">IF($F716&lt;&gt;"", XLOOKUP($F716,Productos!$A$2:$A1001,Productos!BS$2:BS1001,"")*$G716,"")</f>
        <v/>
      </c>
    </row>
    <row r="717">
      <c r="A717" s="188"/>
      <c r="B717" s="189"/>
      <c r="C717" s="190"/>
      <c r="D717" s="190"/>
      <c r="E717" s="191"/>
      <c r="F717" s="186"/>
      <c r="G717" s="192"/>
      <c r="H717" s="9"/>
      <c r="I717" s="179" t="str">
        <f t="array" ref="I717">IF($F717&lt;&gt;"",XLOOKUP($F717,Productos!$A:$A,Productos!B:B,"Revisar"),"")</f>
        <v/>
      </c>
      <c r="J717" s="179" t="str">
        <f t="array" ref="J717">IF($F717&lt;&gt;"", XLOOKUP($F717,Productos!$A$2:$A1001,Productos!C$2:C1001,"")*$G717,"")</f>
        <v/>
      </c>
      <c r="K717" s="179" t="str">
        <f t="array" ref="K717">IF($F717&lt;&gt;"",XLOOKUP($F717,Productos!$A:$A,Productos!D:D,"Revisar"),"")</f>
        <v/>
      </c>
      <c r="L717" s="179" t="str">
        <f t="array" ref="L717">IF($F717&lt;&gt;"", XLOOKUP($F717,Productos!$A$2:$A1001,Productos!E$2:E1001,"")*$G717,"")</f>
        <v/>
      </c>
      <c r="M717" s="179" t="str">
        <f t="array" ref="M717">IF($F717&lt;&gt;"",XLOOKUP($F717,Productos!$A:$A,Productos!F:F,"Revisar"),"")</f>
        <v/>
      </c>
      <c r="N717" s="179" t="str">
        <f t="array" ref="N717">IF($F717&lt;&gt;"", XLOOKUP($F717,Productos!$A$2:$A1001,Productos!G$2:G1001,"")*$G717,"")</f>
        <v/>
      </c>
      <c r="O717" s="179" t="str">
        <f t="array" ref="O717">IF($F717&lt;&gt;"",XLOOKUP($F717,Productos!$A:$A,Productos!H:H,"Revisar"),"")</f>
        <v/>
      </c>
      <c r="P717" s="179" t="str">
        <f t="array" ref="P717">IF($F717&lt;&gt;"", XLOOKUP($F717,Productos!$A$2:$A1001,Productos!I$2:I1001,"")*$G717,"")</f>
        <v/>
      </c>
      <c r="Q717" s="179" t="str">
        <f t="array" ref="Q717">IF($F717&lt;&gt;"",XLOOKUP($F717,Productos!$A:$A,Productos!J:J,"Revisar"),"")</f>
        <v/>
      </c>
      <c r="R717" s="179" t="str">
        <f t="array" ref="R717">IF($F717&lt;&gt;"", XLOOKUP($F717,Productos!$A$2:$A1001,Productos!K$2:K1001,"")*$G717,"")</f>
        <v/>
      </c>
      <c r="S717" s="179" t="str">
        <f t="array" ref="S717">IF($F717&lt;&gt;"",XLOOKUP($F717,Productos!$A:$A,Productos!L:L,"Revisar"),"")</f>
        <v/>
      </c>
      <c r="T717" s="179" t="str">
        <f t="array" ref="T717">IF($F717&lt;&gt;"", XLOOKUP($F717,Productos!$A$2:$A1001,Productos!M$2:M1001,"")*$G717,"")</f>
        <v/>
      </c>
      <c r="U717" s="179" t="str">
        <f t="array" ref="U717">IF($F717&lt;&gt;"",XLOOKUP($F717,Productos!$A:$A,Productos!N:N,"Revisar"),"")</f>
        <v/>
      </c>
      <c r="V717" s="179" t="str">
        <f t="array" ref="V717">IF($F717&lt;&gt;"", XLOOKUP($F717,Productos!$A$2:$A1001,Productos!O$2:O1001,"")*$G717,"")</f>
        <v/>
      </c>
      <c r="W717" s="179" t="str">
        <f t="array" ref="W717">IF($F717&lt;&gt;"",XLOOKUP($F717,Productos!$A:$A,Productos!P:P,"Revisar"),"")</f>
        <v/>
      </c>
      <c r="X717" s="179" t="str">
        <f t="array" ref="X717">IF($F717&lt;&gt;"", XLOOKUP($F717,Productos!$A$2:$A1001,Productos!Q$2:Q1001,"")*$G717,"")</f>
        <v/>
      </c>
      <c r="Y717" s="179" t="str">
        <f t="array" ref="Y717">IF($F717&lt;&gt;"",XLOOKUP($F717,Productos!$A:$A,Productos!R:R,"Revisar"),"")</f>
        <v/>
      </c>
      <c r="Z717" s="179" t="str">
        <f t="array" ref="Z717">IF($F717&lt;&gt;"", XLOOKUP($F717,Productos!$A$2:$A1001,Productos!S$2:S1001,"")*$G717,"")</f>
        <v/>
      </c>
      <c r="AA717" s="179" t="str">
        <f t="array" ref="AA717">IF($F717&lt;&gt;"",XLOOKUP($F717,Productos!$A:$A,Productos!T:T,"Revisar"),"")</f>
        <v/>
      </c>
      <c r="AB717" s="179" t="str">
        <f t="array" ref="AB717">IF($F717&lt;&gt;"", XLOOKUP($F717,Productos!$A$2:$A1001,Productos!U$2:U1001,"")*$G717,"")</f>
        <v/>
      </c>
      <c r="AC717" s="179" t="str">
        <f t="array" ref="AC717">IF($F717&lt;&gt;"",XLOOKUP($F717,Productos!$A:$A,Productos!V:V,"Revisar"),"")</f>
        <v/>
      </c>
      <c r="AD717" s="179" t="str">
        <f t="array" ref="AD717">IF($F717&lt;&gt;"", XLOOKUP($F717,Productos!$A$2:$A1001,Productos!W$2:W1001,"")*$G717,"")</f>
        <v/>
      </c>
      <c r="AE717" s="179" t="str">
        <f t="array" ref="AE717">IF($F717&lt;&gt;"",XLOOKUP($F717,Productos!$A:$A,Productos!X:X,"Revisar"),"")</f>
        <v/>
      </c>
      <c r="AF717" s="179" t="str">
        <f t="array" ref="AF717">IF($F717&lt;&gt;"", XLOOKUP($F717,Productos!$A$2:$A1001,Productos!Y$2:Y1001,"")*$G717,"")</f>
        <v/>
      </c>
      <c r="AG717" s="179" t="str">
        <f t="array" ref="AG717">IF($F717&lt;&gt;"",XLOOKUP($F717,Productos!$A:$A,Productos!Z:Z,"Revisar"),"")</f>
        <v/>
      </c>
      <c r="AH717" s="179" t="str">
        <f t="array" ref="AH717">IF($F717&lt;&gt;"", XLOOKUP($F717,Productos!$A$2:$A1001,Productos!AA$2:AA1001,"")*$G717,"")</f>
        <v/>
      </c>
      <c r="AI717" s="179" t="str">
        <f t="array" ref="AI717">IF($F717&lt;&gt;"",XLOOKUP($F717,Productos!$A:$A,Productos!AB:AB,"Revisar"),"")</f>
        <v/>
      </c>
      <c r="AJ717" s="179" t="str">
        <f t="array" ref="AJ717">IF($F717&lt;&gt;"", XLOOKUP($F717,Productos!$A$2:$A1001,Productos!AC$2:AC1001,"")*$G717,"")</f>
        <v/>
      </c>
      <c r="AK717" s="179" t="str">
        <f t="array" ref="AK717">IF($F717&lt;&gt;"",XLOOKUP($F717,Productos!$A:$A,Productos!AD:AD,"Revisar"),"")</f>
        <v/>
      </c>
      <c r="AL717" s="179" t="str">
        <f t="array" ref="AL717">IF($F717&lt;&gt;"", XLOOKUP($F717,Productos!$A$2:$A1001,Productos!AE$2:AE1001,"")*$G717,"")</f>
        <v/>
      </c>
      <c r="AM717" s="179" t="str">
        <f t="array" ref="AM717">IF($F717&lt;&gt;"",XLOOKUP($F717,Productos!$A:$A,Productos!AF:AF,"Revisar"),"")</f>
        <v/>
      </c>
      <c r="AN717" s="179" t="str">
        <f t="array" ref="AN717">IF($F717&lt;&gt;"", XLOOKUP($F717,Productos!$A$2:$A1001,Productos!AG$2:AG1001,"")*$G717,"")</f>
        <v/>
      </c>
      <c r="AO717" s="179" t="str">
        <f t="array" ref="AO717">IF($F717&lt;&gt;"",XLOOKUP($F717,Productos!$A:$A,Productos!AH:AH,"Revisar"),"")</f>
        <v/>
      </c>
      <c r="AP717" s="179" t="str">
        <f t="array" ref="AP717">IF($F717&lt;&gt;"", XLOOKUP($F717,Productos!$A$2:$A1001,Productos!AI$2:AI1001,"")*$G717,"")</f>
        <v/>
      </c>
      <c r="AQ717" s="179" t="str">
        <f t="array" ref="AQ717">IF($F717&lt;&gt;"",XLOOKUP($F717,Productos!$A:$A,Productos!AJ:AJ,"Revisar"),"")</f>
        <v/>
      </c>
      <c r="AR717" s="179" t="str">
        <f t="array" ref="AR717">IF($F717&lt;&gt;"", XLOOKUP($F717,Productos!$A$2:$A1001,Productos!AK$2:AK1001,"")*$G717,"")</f>
        <v/>
      </c>
      <c r="AS717" s="179" t="str">
        <f t="array" ref="AS717">IF($F717&lt;&gt;"",XLOOKUP($F717,Productos!$A:$A,Productos!AL:AL,"Revisar"),"")</f>
        <v/>
      </c>
      <c r="AT717" s="179" t="str">
        <f t="array" ref="AT717">IF($F717&lt;&gt;"", XLOOKUP($F717,Productos!$A$2:$A1001,Productos!AM$2:AM1001,"")*$G717,"")</f>
        <v/>
      </c>
      <c r="AU717" s="179" t="str">
        <f t="array" ref="AU717">IF($F717&lt;&gt;"",XLOOKUP($F717,Productos!$A:$A,Productos!AN:AN,"Revisar"),"")</f>
        <v/>
      </c>
      <c r="AV717" s="179" t="str">
        <f t="array" ref="AV717">IF($F717&lt;&gt;"", XLOOKUP($F717,Productos!$A$2:$A1001,Productos!AO$2:AO1001,"")*$G717,"")</f>
        <v/>
      </c>
      <c r="AW717" s="179" t="str">
        <f t="array" ref="AW717">IF($F717&lt;&gt;"",XLOOKUP($F717,Productos!$A:$A,Productos!AP:AP,"Revisar"),"")</f>
        <v/>
      </c>
      <c r="AX717" s="179" t="str">
        <f t="array" ref="AX717">IF($F717&lt;&gt;"", XLOOKUP($F717,Productos!$A$2:$A1001,Productos!AQ$2:AQ1001,"")*$G717,"")</f>
        <v/>
      </c>
      <c r="AY717" s="179" t="str">
        <f t="array" ref="AY717">IF($F717&lt;&gt;"",XLOOKUP($F717,Productos!$A:$A,Productos!AR:AR,"Revisar"),"")</f>
        <v/>
      </c>
      <c r="AZ717" s="179" t="str">
        <f t="array" ref="AZ717">IF($F717&lt;&gt;"", XLOOKUP($F717,Productos!$A$2:$A1001,Productos!AS$2:AS1001,"")*$G717,"")</f>
        <v/>
      </c>
      <c r="BA717" s="179" t="str">
        <f t="array" ref="BA717">IF($F717&lt;&gt;"",XLOOKUP($F717,Productos!$A:$A,Productos!AT:AT,"Revisar"),"")</f>
        <v/>
      </c>
      <c r="BB717" s="179" t="str">
        <f t="array" ref="BB717">IF($F717&lt;&gt;"", XLOOKUP($F717,Productos!$A$2:$A1001,Productos!AU$2:AU1001,"")*$G717,"")</f>
        <v/>
      </c>
      <c r="BC717" s="179" t="str">
        <f t="array" ref="BC717">IF($F717&lt;&gt;"",XLOOKUP($F717,Productos!$A:$A,Productos!AV:AV,"Revisar"),"")</f>
        <v/>
      </c>
      <c r="BD717" s="179" t="str">
        <f t="array" ref="BD717">IF($F717&lt;&gt;"", XLOOKUP($F717,Productos!$A$2:$A1001,Productos!AW$2:AW1001,"")*$G717,"")</f>
        <v/>
      </c>
      <c r="BE717" s="179" t="str">
        <f t="array" ref="BE717">IF($F717&lt;&gt;"",XLOOKUP($F717,Productos!$A:$A,Productos!AX:AX,"Revisar"),"")</f>
        <v/>
      </c>
      <c r="BF717" s="179" t="str">
        <f t="array" ref="BF717">IF($F717&lt;&gt;"", XLOOKUP($F717,Productos!$A$2:$A1001,Productos!AY$2:AY1001,"")*$G717,"")</f>
        <v/>
      </c>
      <c r="BG717" s="179" t="str">
        <f t="array" ref="BG717">IF($F717&lt;&gt;"",XLOOKUP($F717,Productos!$A:$A,Productos!AZ:AZ,"Revisar"),"")</f>
        <v/>
      </c>
      <c r="BH717" s="179" t="str">
        <f t="array" ref="BH717">IF($F717&lt;&gt;"", XLOOKUP($F717,Productos!$A$2:$A1001,Productos!BA$2:BA1001,"")*$G717,"")</f>
        <v/>
      </c>
      <c r="BI717" s="179" t="str">
        <f t="array" ref="BI717">IF($F717&lt;&gt;"",XLOOKUP($F717,Productos!$A:$A,Productos!BB:BB,"Revisar"),"")</f>
        <v/>
      </c>
      <c r="BJ717" s="179" t="str">
        <f t="array" ref="BJ717">IF($F717&lt;&gt;"", XLOOKUP($F717,Productos!$A$2:$A1001,Productos!BC$2:BC1001,"")*$G717,"")</f>
        <v/>
      </c>
      <c r="BK717" s="179" t="str">
        <f t="array" ref="BK717">IF($F717&lt;&gt;"",XLOOKUP($F717,Productos!$A:$A,Productos!BD:BD,"Revisar"),"")</f>
        <v/>
      </c>
      <c r="BL717" s="179" t="str">
        <f t="array" ref="BL717">IF($F717&lt;&gt;"", XLOOKUP($F717,Productos!$A$2:$A1001,Productos!BE$2:BE1001,"")*$G717,"")</f>
        <v/>
      </c>
      <c r="BM717" s="179" t="str">
        <f t="array" ref="BM717">IF($F717&lt;&gt;"",XLOOKUP($F717,Productos!$A:$A,Productos!BF:BF,"Revisar"),"")</f>
        <v/>
      </c>
      <c r="BN717" s="179" t="str">
        <f t="array" ref="BN717">IF($F717&lt;&gt;"", XLOOKUP($F717,Productos!$A$2:$A1001,Productos!BG$2:BG1001,"")*$G717,"")</f>
        <v/>
      </c>
      <c r="BO717" s="179" t="str">
        <f t="array" ref="BO717">IF($F717&lt;&gt;"",XLOOKUP($F717,Productos!$A:$A,Productos!BH:BH,"Revisar"),"")</f>
        <v/>
      </c>
      <c r="BP717" s="179" t="str">
        <f t="array" ref="BP717">IF($F717&lt;&gt;"", XLOOKUP($F717,Productos!$A$2:$A1001,Productos!BI$2:BI1001,"")*$G717,"")</f>
        <v/>
      </c>
      <c r="BQ717" s="179" t="str">
        <f t="array" ref="BQ717">IF($F717&lt;&gt;"",XLOOKUP($F717,Productos!$A:$A,Productos!BJ:BJ,"Revisar"),"")</f>
        <v/>
      </c>
      <c r="BR717" s="179" t="str">
        <f t="array" ref="BR717">IF($F717&lt;&gt;"", XLOOKUP($F717,Productos!$A$2:$A1001,Productos!BK$2:BK1001,"")*$G717,"")</f>
        <v/>
      </c>
      <c r="BS717" s="179" t="str">
        <f t="array" ref="BS717">IF($F717&lt;&gt;"",XLOOKUP($F717,Productos!$A:$A,Productos!BL:BL,"Revisar"),"")</f>
        <v/>
      </c>
      <c r="BT717" s="179" t="str">
        <f t="array" ref="BT717">IF($F717&lt;&gt;"", XLOOKUP($F717,Productos!$A$2:$A1001,Productos!BM$2:BM1001,"")*$G717,"")</f>
        <v/>
      </c>
      <c r="BU717" s="179" t="str">
        <f t="array" ref="BU717">IF($F717&lt;&gt;"",XLOOKUP($F717,Productos!$A:$A,Productos!BN:BN,"Revisar"),"")</f>
        <v/>
      </c>
      <c r="BV717" s="179" t="str">
        <f t="array" ref="BV717">IF($F717&lt;&gt;"", XLOOKUP($F717,Productos!$A$2:$A1001,Productos!BO$2:BO1001,"")*$G717,"")</f>
        <v/>
      </c>
      <c r="BW717" s="179" t="str">
        <f t="array" ref="BW717">IF($F717&lt;&gt;"",XLOOKUP($F717,Productos!$A:$A,Productos!BP:BP,"Revisar"),"")</f>
        <v/>
      </c>
      <c r="BX717" s="179" t="str">
        <f t="array" ref="BX717">IF($F717&lt;&gt;"", XLOOKUP($F717,Productos!$A$2:$A1001,Productos!BQ$2:BQ1001,"")*$G717,"")</f>
        <v/>
      </c>
      <c r="BY717" s="179" t="str">
        <f t="array" ref="BY717">IF($F717&lt;&gt;"",XLOOKUP($F717,Productos!$A:$A,Productos!BR:BR,"Revisar"),"")</f>
        <v/>
      </c>
      <c r="BZ717" s="179" t="str">
        <f t="array" ref="BZ717">IF($F717&lt;&gt;"", XLOOKUP($F717,Productos!$A$2:$A1001,Productos!BS$2:BS1001,"")*$G717,"")</f>
        <v/>
      </c>
    </row>
    <row r="718">
      <c r="A718" s="188"/>
      <c r="B718" s="189"/>
      <c r="C718" s="190"/>
      <c r="D718" s="190"/>
      <c r="E718" s="191"/>
      <c r="F718" s="186"/>
      <c r="G718" s="192"/>
      <c r="H718" s="9"/>
      <c r="I718" s="179" t="str">
        <f t="array" ref="I718">IF($F718&lt;&gt;"",XLOOKUP($F718,Productos!$A:$A,Productos!B:B,"Revisar"),"")</f>
        <v/>
      </c>
      <c r="J718" s="179" t="str">
        <f t="array" ref="J718">IF($F718&lt;&gt;"", XLOOKUP($F718,Productos!$A$2:$A1001,Productos!C$2:C1001,"")*$G718,"")</f>
        <v/>
      </c>
      <c r="K718" s="179" t="str">
        <f t="array" ref="K718">IF($F718&lt;&gt;"",XLOOKUP($F718,Productos!$A:$A,Productos!D:D,"Revisar"),"")</f>
        <v/>
      </c>
      <c r="L718" s="179" t="str">
        <f t="array" ref="L718">IF($F718&lt;&gt;"", XLOOKUP($F718,Productos!$A$2:$A1001,Productos!E$2:E1001,"")*$G718,"")</f>
        <v/>
      </c>
      <c r="M718" s="179" t="str">
        <f t="array" ref="M718">IF($F718&lt;&gt;"",XLOOKUP($F718,Productos!$A:$A,Productos!F:F,"Revisar"),"")</f>
        <v/>
      </c>
      <c r="N718" s="179" t="str">
        <f t="array" ref="N718">IF($F718&lt;&gt;"", XLOOKUP($F718,Productos!$A$2:$A1001,Productos!G$2:G1001,"")*$G718,"")</f>
        <v/>
      </c>
      <c r="O718" s="179" t="str">
        <f t="array" ref="O718">IF($F718&lt;&gt;"",XLOOKUP($F718,Productos!$A:$A,Productos!H:H,"Revisar"),"")</f>
        <v/>
      </c>
      <c r="P718" s="179" t="str">
        <f t="array" ref="P718">IF($F718&lt;&gt;"", XLOOKUP($F718,Productos!$A$2:$A1001,Productos!I$2:I1001,"")*$G718,"")</f>
        <v/>
      </c>
      <c r="Q718" s="179" t="str">
        <f t="array" ref="Q718">IF($F718&lt;&gt;"",XLOOKUP($F718,Productos!$A:$A,Productos!J:J,"Revisar"),"")</f>
        <v/>
      </c>
      <c r="R718" s="179" t="str">
        <f t="array" ref="R718">IF($F718&lt;&gt;"", XLOOKUP($F718,Productos!$A$2:$A1001,Productos!K$2:K1001,"")*$G718,"")</f>
        <v/>
      </c>
      <c r="S718" s="179" t="str">
        <f t="array" ref="S718">IF($F718&lt;&gt;"",XLOOKUP($F718,Productos!$A:$A,Productos!L:L,"Revisar"),"")</f>
        <v/>
      </c>
      <c r="T718" s="179" t="str">
        <f t="array" ref="T718">IF($F718&lt;&gt;"", XLOOKUP($F718,Productos!$A$2:$A1001,Productos!M$2:M1001,"")*$G718,"")</f>
        <v/>
      </c>
      <c r="U718" s="179" t="str">
        <f t="array" ref="U718">IF($F718&lt;&gt;"",XLOOKUP($F718,Productos!$A:$A,Productos!N:N,"Revisar"),"")</f>
        <v/>
      </c>
      <c r="V718" s="179" t="str">
        <f t="array" ref="V718">IF($F718&lt;&gt;"", XLOOKUP($F718,Productos!$A$2:$A1001,Productos!O$2:O1001,"")*$G718,"")</f>
        <v/>
      </c>
      <c r="W718" s="179" t="str">
        <f t="array" ref="W718">IF($F718&lt;&gt;"",XLOOKUP($F718,Productos!$A:$A,Productos!P:P,"Revisar"),"")</f>
        <v/>
      </c>
      <c r="X718" s="179" t="str">
        <f t="array" ref="X718">IF($F718&lt;&gt;"", XLOOKUP($F718,Productos!$A$2:$A1001,Productos!Q$2:Q1001,"")*$G718,"")</f>
        <v/>
      </c>
      <c r="Y718" s="179" t="str">
        <f t="array" ref="Y718">IF($F718&lt;&gt;"",XLOOKUP($F718,Productos!$A:$A,Productos!R:R,"Revisar"),"")</f>
        <v/>
      </c>
      <c r="Z718" s="179" t="str">
        <f t="array" ref="Z718">IF($F718&lt;&gt;"", XLOOKUP($F718,Productos!$A$2:$A1001,Productos!S$2:S1001,"")*$G718,"")</f>
        <v/>
      </c>
      <c r="AA718" s="179" t="str">
        <f t="array" ref="AA718">IF($F718&lt;&gt;"",XLOOKUP($F718,Productos!$A:$A,Productos!T:T,"Revisar"),"")</f>
        <v/>
      </c>
      <c r="AB718" s="179" t="str">
        <f t="array" ref="AB718">IF($F718&lt;&gt;"", XLOOKUP($F718,Productos!$A$2:$A1001,Productos!U$2:U1001,"")*$G718,"")</f>
        <v/>
      </c>
      <c r="AC718" s="179" t="str">
        <f t="array" ref="AC718">IF($F718&lt;&gt;"",XLOOKUP($F718,Productos!$A:$A,Productos!V:V,"Revisar"),"")</f>
        <v/>
      </c>
      <c r="AD718" s="179" t="str">
        <f t="array" ref="AD718">IF($F718&lt;&gt;"", XLOOKUP($F718,Productos!$A$2:$A1001,Productos!W$2:W1001,"")*$G718,"")</f>
        <v/>
      </c>
      <c r="AE718" s="179" t="str">
        <f t="array" ref="AE718">IF($F718&lt;&gt;"",XLOOKUP($F718,Productos!$A:$A,Productos!X:X,"Revisar"),"")</f>
        <v/>
      </c>
      <c r="AF718" s="179" t="str">
        <f t="array" ref="AF718">IF($F718&lt;&gt;"", XLOOKUP($F718,Productos!$A$2:$A1001,Productos!Y$2:Y1001,"")*$G718,"")</f>
        <v/>
      </c>
      <c r="AG718" s="179" t="str">
        <f t="array" ref="AG718">IF($F718&lt;&gt;"",XLOOKUP($F718,Productos!$A:$A,Productos!Z:Z,"Revisar"),"")</f>
        <v/>
      </c>
      <c r="AH718" s="179" t="str">
        <f t="array" ref="AH718">IF($F718&lt;&gt;"", XLOOKUP($F718,Productos!$A$2:$A1001,Productos!AA$2:AA1001,"")*$G718,"")</f>
        <v/>
      </c>
      <c r="AI718" s="179" t="str">
        <f t="array" ref="AI718">IF($F718&lt;&gt;"",XLOOKUP($F718,Productos!$A:$A,Productos!AB:AB,"Revisar"),"")</f>
        <v/>
      </c>
      <c r="AJ718" s="179" t="str">
        <f t="array" ref="AJ718">IF($F718&lt;&gt;"", XLOOKUP($F718,Productos!$A$2:$A1001,Productos!AC$2:AC1001,"")*$G718,"")</f>
        <v/>
      </c>
      <c r="AK718" s="179" t="str">
        <f t="array" ref="AK718">IF($F718&lt;&gt;"",XLOOKUP($F718,Productos!$A:$A,Productos!AD:AD,"Revisar"),"")</f>
        <v/>
      </c>
      <c r="AL718" s="179" t="str">
        <f t="array" ref="AL718">IF($F718&lt;&gt;"", XLOOKUP($F718,Productos!$A$2:$A1001,Productos!AE$2:AE1001,"")*$G718,"")</f>
        <v/>
      </c>
      <c r="AM718" s="179" t="str">
        <f t="array" ref="AM718">IF($F718&lt;&gt;"",XLOOKUP($F718,Productos!$A:$A,Productos!AF:AF,"Revisar"),"")</f>
        <v/>
      </c>
      <c r="AN718" s="179" t="str">
        <f t="array" ref="AN718">IF($F718&lt;&gt;"", XLOOKUP($F718,Productos!$A$2:$A1001,Productos!AG$2:AG1001,"")*$G718,"")</f>
        <v/>
      </c>
      <c r="AO718" s="179" t="str">
        <f t="array" ref="AO718">IF($F718&lt;&gt;"",XLOOKUP($F718,Productos!$A:$A,Productos!AH:AH,"Revisar"),"")</f>
        <v/>
      </c>
      <c r="AP718" s="179" t="str">
        <f t="array" ref="AP718">IF($F718&lt;&gt;"", XLOOKUP($F718,Productos!$A$2:$A1001,Productos!AI$2:AI1001,"")*$G718,"")</f>
        <v/>
      </c>
      <c r="AQ718" s="179" t="str">
        <f t="array" ref="AQ718">IF($F718&lt;&gt;"",XLOOKUP($F718,Productos!$A:$A,Productos!AJ:AJ,"Revisar"),"")</f>
        <v/>
      </c>
      <c r="AR718" s="179" t="str">
        <f t="array" ref="AR718">IF($F718&lt;&gt;"", XLOOKUP($F718,Productos!$A$2:$A1001,Productos!AK$2:AK1001,"")*$G718,"")</f>
        <v/>
      </c>
      <c r="AS718" s="179" t="str">
        <f t="array" ref="AS718">IF($F718&lt;&gt;"",XLOOKUP($F718,Productos!$A:$A,Productos!AL:AL,"Revisar"),"")</f>
        <v/>
      </c>
      <c r="AT718" s="179" t="str">
        <f t="array" ref="AT718">IF($F718&lt;&gt;"", XLOOKUP($F718,Productos!$A$2:$A1001,Productos!AM$2:AM1001,"")*$G718,"")</f>
        <v/>
      </c>
      <c r="AU718" s="179" t="str">
        <f t="array" ref="AU718">IF($F718&lt;&gt;"",XLOOKUP($F718,Productos!$A:$A,Productos!AN:AN,"Revisar"),"")</f>
        <v/>
      </c>
      <c r="AV718" s="179" t="str">
        <f t="array" ref="AV718">IF($F718&lt;&gt;"", XLOOKUP($F718,Productos!$A$2:$A1001,Productos!AO$2:AO1001,"")*$G718,"")</f>
        <v/>
      </c>
      <c r="AW718" s="179" t="str">
        <f t="array" ref="AW718">IF($F718&lt;&gt;"",XLOOKUP($F718,Productos!$A:$A,Productos!AP:AP,"Revisar"),"")</f>
        <v/>
      </c>
      <c r="AX718" s="179" t="str">
        <f t="array" ref="AX718">IF($F718&lt;&gt;"", XLOOKUP($F718,Productos!$A$2:$A1001,Productos!AQ$2:AQ1001,"")*$G718,"")</f>
        <v/>
      </c>
      <c r="AY718" s="179" t="str">
        <f t="array" ref="AY718">IF($F718&lt;&gt;"",XLOOKUP($F718,Productos!$A:$A,Productos!AR:AR,"Revisar"),"")</f>
        <v/>
      </c>
      <c r="AZ718" s="179" t="str">
        <f t="array" ref="AZ718">IF($F718&lt;&gt;"", XLOOKUP($F718,Productos!$A$2:$A1001,Productos!AS$2:AS1001,"")*$G718,"")</f>
        <v/>
      </c>
      <c r="BA718" s="179" t="str">
        <f t="array" ref="BA718">IF($F718&lt;&gt;"",XLOOKUP($F718,Productos!$A:$A,Productos!AT:AT,"Revisar"),"")</f>
        <v/>
      </c>
      <c r="BB718" s="179" t="str">
        <f t="array" ref="BB718">IF($F718&lt;&gt;"", XLOOKUP($F718,Productos!$A$2:$A1001,Productos!AU$2:AU1001,"")*$G718,"")</f>
        <v/>
      </c>
      <c r="BC718" s="179" t="str">
        <f t="array" ref="BC718">IF($F718&lt;&gt;"",XLOOKUP($F718,Productos!$A:$A,Productos!AV:AV,"Revisar"),"")</f>
        <v/>
      </c>
      <c r="BD718" s="179" t="str">
        <f t="array" ref="BD718">IF($F718&lt;&gt;"", XLOOKUP($F718,Productos!$A$2:$A1001,Productos!AW$2:AW1001,"")*$G718,"")</f>
        <v/>
      </c>
      <c r="BE718" s="179" t="str">
        <f t="array" ref="BE718">IF($F718&lt;&gt;"",XLOOKUP($F718,Productos!$A:$A,Productos!AX:AX,"Revisar"),"")</f>
        <v/>
      </c>
      <c r="BF718" s="179" t="str">
        <f t="array" ref="BF718">IF($F718&lt;&gt;"", XLOOKUP($F718,Productos!$A$2:$A1001,Productos!AY$2:AY1001,"")*$G718,"")</f>
        <v/>
      </c>
      <c r="BG718" s="179" t="str">
        <f t="array" ref="BG718">IF($F718&lt;&gt;"",XLOOKUP($F718,Productos!$A:$A,Productos!AZ:AZ,"Revisar"),"")</f>
        <v/>
      </c>
      <c r="BH718" s="179" t="str">
        <f t="array" ref="BH718">IF($F718&lt;&gt;"", XLOOKUP($F718,Productos!$A$2:$A1001,Productos!BA$2:BA1001,"")*$G718,"")</f>
        <v/>
      </c>
      <c r="BI718" s="179" t="str">
        <f t="array" ref="BI718">IF($F718&lt;&gt;"",XLOOKUP($F718,Productos!$A:$A,Productos!BB:BB,"Revisar"),"")</f>
        <v/>
      </c>
      <c r="BJ718" s="179" t="str">
        <f t="array" ref="BJ718">IF($F718&lt;&gt;"", XLOOKUP($F718,Productos!$A$2:$A1001,Productos!BC$2:BC1001,"")*$G718,"")</f>
        <v/>
      </c>
      <c r="BK718" s="179" t="str">
        <f t="array" ref="BK718">IF($F718&lt;&gt;"",XLOOKUP($F718,Productos!$A:$A,Productos!BD:BD,"Revisar"),"")</f>
        <v/>
      </c>
      <c r="BL718" s="179" t="str">
        <f t="array" ref="BL718">IF($F718&lt;&gt;"", XLOOKUP($F718,Productos!$A$2:$A1001,Productos!BE$2:BE1001,"")*$G718,"")</f>
        <v/>
      </c>
      <c r="BM718" s="179" t="str">
        <f t="array" ref="BM718">IF($F718&lt;&gt;"",XLOOKUP($F718,Productos!$A:$A,Productos!BF:BF,"Revisar"),"")</f>
        <v/>
      </c>
      <c r="BN718" s="179" t="str">
        <f t="array" ref="BN718">IF($F718&lt;&gt;"", XLOOKUP($F718,Productos!$A$2:$A1001,Productos!BG$2:BG1001,"")*$G718,"")</f>
        <v/>
      </c>
      <c r="BO718" s="179" t="str">
        <f t="array" ref="BO718">IF($F718&lt;&gt;"",XLOOKUP($F718,Productos!$A:$A,Productos!BH:BH,"Revisar"),"")</f>
        <v/>
      </c>
      <c r="BP718" s="179" t="str">
        <f t="array" ref="BP718">IF($F718&lt;&gt;"", XLOOKUP($F718,Productos!$A$2:$A1001,Productos!BI$2:BI1001,"")*$G718,"")</f>
        <v/>
      </c>
      <c r="BQ718" s="179" t="str">
        <f t="array" ref="BQ718">IF($F718&lt;&gt;"",XLOOKUP($F718,Productos!$A:$A,Productos!BJ:BJ,"Revisar"),"")</f>
        <v/>
      </c>
      <c r="BR718" s="179" t="str">
        <f t="array" ref="BR718">IF($F718&lt;&gt;"", XLOOKUP($F718,Productos!$A$2:$A1001,Productos!BK$2:BK1001,"")*$G718,"")</f>
        <v/>
      </c>
      <c r="BS718" s="179" t="str">
        <f t="array" ref="BS718">IF($F718&lt;&gt;"",XLOOKUP($F718,Productos!$A:$A,Productos!BL:BL,"Revisar"),"")</f>
        <v/>
      </c>
      <c r="BT718" s="179" t="str">
        <f t="array" ref="BT718">IF($F718&lt;&gt;"", XLOOKUP($F718,Productos!$A$2:$A1001,Productos!BM$2:BM1001,"")*$G718,"")</f>
        <v/>
      </c>
      <c r="BU718" s="179" t="str">
        <f t="array" ref="BU718">IF($F718&lt;&gt;"",XLOOKUP($F718,Productos!$A:$A,Productos!BN:BN,"Revisar"),"")</f>
        <v/>
      </c>
      <c r="BV718" s="179" t="str">
        <f t="array" ref="BV718">IF($F718&lt;&gt;"", XLOOKUP($F718,Productos!$A$2:$A1001,Productos!BO$2:BO1001,"")*$G718,"")</f>
        <v/>
      </c>
      <c r="BW718" s="179" t="str">
        <f t="array" ref="BW718">IF($F718&lt;&gt;"",XLOOKUP($F718,Productos!$A:$A,Productos!BP:BP,"Revisar"),"")</f>
        <v/>
      </c>
      <c r="BX718" s="179" t="str">
        <f t="array" ref="BX718">IF($F718&lt;&gt;"", XLOOKUP($F718,Productos!$A$2:$A1001,Productos!BQ$2:BQ1001,"")*$G718,"")</f>
        <v/>
      </c>
      <c r="BY718" s="179" t="str">
        <f t="array" ref="BY718">IF($F718&lt;&gt;"",XLOOKUP($F718,Productos!$A:$A,Productos!BR:BR,"Revisar"),"")</f>
        <v/>
      </c>
      <c r="BZ718" s="179" t="str">
        <f t="array" ref="BZ718">IF($F718&lt;&gt;"", XLOOKUP($F718,Productos!$A$2:$A1001,Productos!BS$2:BS1001,"")*$G718,"")</f>
        <v/>
      </c>
    </row>
    <row r="719">
      <c r="A719" s="188"/>
      <c r="B719" s="189"/>
      <c r="C719" s="190"/>
      <c r="D719" s="190"/>
      <c r="E719" s="191"/>
      <c r="F719" s="186"/>
      <c r="G719" s="192"/>
      <c r="H719" s="9"/>
      <c r="I719" s="179" t="str">
        <f t="array" ref="I719">IF($F719&lt;&gt;"",XLOOKUP($F719,Productos!$A:$A,Productos!B:B,"Revisar"),"")</f>
        <v/>
      </c>
      <c r="J719" s="179" t="str">
        <f t="array" ref="J719">IF($F719&lt;&gt;"", XLOOKUP($F719,Productos!$A$2:$A1001,Productos!C$2:C1001,"")*$G719,"")</f>
        <v/>
      </c>
      <c r="K719" s="179" t="str">
        <f t="array" ref="K719">IF($F719&lt;&gt;"",XLOOKUP($F719,Productos!$A:$A,Productos!D:D,"Revisar"),"")</f>
        <v/>
      </c>
      <c r="L719" s="179" t="str">
        <f t="array" ref="L719">IF($F719&lt;&gt;"", XLOOKUP($F719,Productos!$A$2:$A1001,Productos!E$2:E1001,"")*$G719,"")</f>
        <v/>
      </c>
      <c r="M719" s="179" t="str">
        <f t="array" ref="M719">IF($F719&lt;&gt;"",XLOOKUP($F719,Productos!$A:$A,Productos!F:F,"Revisar"),"")</f>
        <v/>
      </c>
      <c r="N719" s="179" t="str">
        <f t="array" ref="N719">IF($F719&lt;&gt;"", XLOOKUP($F719,Productos!$A$2:$A1001,Productos!G$2:G1001,"")*$G719,"")</f>
        <v/>
      </c>
      <c r="O719" s="179" t="str">
        <f t="array" ref="O719">IF($F719&lt;&gt;"",XLOOKUP($F719,Productos!$A:$A,Productos!H:H,"Revisar"),"")</f>
        <v/>
      </c>
      <c r="P719" s="179" t="str">
        <f t="array" ref="P719">IF($F719&lt;&gt;"", XLOOKUP($F719,Productos!$A$2:$A1001,Productos!I$2:I1001,"")*$G719,"")</f>
        <v/>
      </c>
      <c r="Q719" s="179" t="str">
        <f t="array" ref="Q719">IF($F719&lt;&gt;"",XLOOKUP($F719,Productos!$A:$A,Productos!J:J,"Revisar"),"")</f>
        <v/>
      </c>
      <c r="R719" s="179" t="str">
        <f t="array" ref="R719">IF($F719&lt;&gt;"", XLOOKUP($F719,Productos!$A$2:$A1001,Productos!K$2:K1001,"")*$G719,"")</f>
        <v/>
      </c>
      <c r="S719" s="179" t="str">
        <f t="array" ref="S719">IF($F719&lt;&gt;"",XLOOKUP($F719,Productos!$A:$A,Productos!L:L,"Revisar"),"")</f>
        <v/>
      </c>
      <c r="T719" s="179" t="str">
        <f t="array" ref="T719">IF($F719&lt;&gt;"", XLOOKUP($F719,Productos!$A$2:$A1001,Productos!M$2:M1001,"")*$G719,"")</f>
        <v/>
      </c>
      <c r="U719" s="179" t="str">
        <f t="array" ref="U719">IF($F719&lt;&gt;"",XLOOKUP($F719,Productos!$A:$A,Productos!N:N,"Revisar"),"")</f>
        <v/>
      </c>
      <c r="V719" s="179" t="str">
        <f t="array" ref="V719">IF($F719&lt;&gt;"", XLOOKUP($F719,Productos!$A$2:$A1001,Productos!O$2:O1001,"")*$G719,"")</f>
        <v/>
      </c>
      <c r="W719" s="179" t="str">
        <f t="array" ref="W719">IF($F719&lt;&gt;"",XLOOKUP($F719,Productos!$A:$A,Productos!P:P,"Revisar"),"")</f>
        <v/>
      </c>
      <c r="X719" s="179" t="str">
        <f t="array" ref="X719">IF($F719&lt;&gt;"", XLOOKUP($F719,Productos!$A$2:$A1001,Productos!Q$2:Q1001,"")*$G719,"")</f>
        <v/>
      </c>
      <c r="Y719" s="179" t="str">
        <f t="array" ref="Y719">IF($F719&lt;&gt;"",XLOOKUP($F719,Productos!$A:$A,Productos!R:R,"Revisar"),"")</f>
        <v/>
      </c>
      <c r="Z719" s="179" t="str">
        <f t="array" ref="Z719">IF($F719&lt;&gt;"", XLOOKUP($F719,Productos!$A$2:$A1001,Productos!S$2:S1001,"")*$G719,"")</f>
        <v/>
      </c>
      <c r="AA719" s="179" t="str">
        <f t="array" ref="AA719">IF($F719&lt;&gt;"",XLOOKUP($F719,Productos!$A:$A,Productos!T:T,"Revisar"),"")</f>
        <v/>
      </c>
      <c r="AB719" s="179" t="str">
        <f t="array" ref="AB719">IF($F719&lt;&gt;"", XLOOKUP($F719,Productos!$A$2:$A1001,Productos!U$2:U1001,"")*$G719,"")</f>
        <v/>
      </c>
      <c r="AC719" s="179" t="str">
        <f t="array" ref="AC719">IF($F719&lt;&gt;"",XLOOKUP($F719,Productos!$A:$A,Productos!V:V,"Revisar"),"")</f>
        <v/>
      </c>
      <c r="AD719" s="179" t="str">
        <f t="array" ref="AD719">IF($F719&lt;&gt;"", XLOOKUP($F719,Productos!$A$2:$A1001,Productos!W$2:W1001,"")*$G719,"")</f>
        <v/>
      </c>
      <c r="AE719" s="179" t="str">
        <f t="array" ref="AE719">IF($F719&lt;&gt;"",XLOOKUP($F719,Productos!$A:$A,Productos!X:X,"Revisar"),"")</f>
        <v/>
      </c>
      <c r="AF719" s="179" t="str">
        <f t="array" ref="AF719">IF($F719&lt;&gt;"", XLOOKUP($F719,Productos!$A$2:$A1001,Productos!Y$2:Y1001,"")*$G719,"")</f>
        <v/>
      </c>
      <c r="AG719" s="179" t="str">
        <f t="array" ref="AG719">IF($F719&lt;&gt;"",XLOOKUP($F719,Productos!$A:$A,Productos!Z:Z,"Revisar"),"")</f>
        <v/>
      </c>
      <c r="AH719" s="179" t="str">
        <f t="array" ref="AH719">IF($F719&lt;&gt;"", XLOOKUP($F719,Productos!$A$2:$A1001,Productos!AA$2:AA1001,"")*$G719,"")</f>
        <v/>
      </c>
      <c r="AI719" s="179" t="str">
        <f t="array" ref="AI719">IF($F719&lt;&gt;"",XLOOKUP($F719,Productos!$A:$A,Productos!AB:AB,"Revisar"),"")</f>
        <v/>
      </c>
      <c r="AJ719" s="179" t="str">
        <f t="array" ref="AJ719">IF($F719&lt;&gt;"", XLOOKUP($F719,Productos!$A$2:$A1001,Productos!AC$2:AC1001,"")*$G719,"")</f>
        <v/>
      </c>
      <c r="AK719" s="179" t="str">
        <f t="array" ref="AK719">IF($F719&lt;&gt;"",XLOOKUP($F719,Productos!$A:$A,Productos!AD:AD,"Revisar"),"")</f>
        <v/>
      </c>
      <c r="AL719" s="179" t="str">
        <f t="array" ref="AL719">IF($F719&lt;&gt;"", XLOOKUP($F719,Productos!$A$2:$A1001,Productos!AE$2:AE1001,"")*$G719,"")</f>
        <v/>
      </c>
      <c r="AM719" s="179" t="str">
        <f t="array" ref="AM719">IF($F719&lt;&gt;"",XLOOKUP($F719,Productos!$A:$A,Productos!AF:AF,"Revisar"),"")</f>
        <v/>
      </c>
      <c r="AN719" s="179" t="str">
        <f t="array" ref="AN719">IF($F719&lt;&gt;"", XLOOKUP($F719,Productos!$A$2:$A1001,Productos!AG$2:AG1001,"")*$G719,"")</f>
        <v/>
      </c>
      <c r="AO719" s="179" t="str">
        <f t="array" ref="AO719">IF($F719&lt;&gt;"",XLOOKUP($F719,Productos!$A:$A,Productos!AH:AH,"Revisar"),"")</f>
        <v/>
      </c>
      <c r="AP719" s="179" t="str">
        <f t="array" ref="AP719">IF($F719&lt;&gt;"", XLOOKUP($F719,Productos!$A$2:$A1001,Productos!AI$2:AI1001,"")*$G719,"")</f>
        <v/>
      </c>
      <c r="AQ719" s="179" t="str">
        <f t="array" ref="AQ719">IF($F719&lt;&gt;"",XLOOKUP($F719,Productos!$A:$A,Productos!AJ:AJ,"Revisar"),"")</f>
        <v/>
      </c>
      <c r="AR719" s="179" t="str">
        <f t="array" ref="AR719">IF($F719&lt;&gt;"", XLOOKUP($F719,Productos!$A$2:$A1001,Productos!AK$2:AK1001,"")*$G719,"")</f>
        <v/>
      </c>
      <c r="AS719" s="179" t="str">
        <f t="array" ref="AS719">IF($F719&lt;&gt;"",XLOOKUP($F719,Productos!$A:$A,Productos!AL:AL,"Revisar"),"")</f>
        <v/>
      </c>
      <c r="AT719" s="179" t="str">
        <f t="array" ref="AT719">IF($F719&lt;&gt;"", XLOOKUP($F719,Productos!$A$2:$A1001,Productos!AM$2:AM1001,"")*$G719,"")</f>
        <v/>
      </c>
      <c r="AU719" s="179" t="str">
        <f t="array" ref="AU719">IF($F719&lt;&gt;"",XLOOKUP($F719,Productos!$A:$A,Productos!AN:AN,"Revisar"),"")</f>
        <v/>
      </c>
      <c r="AV719" s="179" t="str">
        <f t="array" ref="AV719">IF($F719&lt;&gt;"", XLOOKUP($F719,Productos!$A$2:$A1001,Productos!AO$2:AO1001,"")*$G719,"")</f>
        <v/>
      </c>
      <c r="AW719" s="179" t="str">
        <f t="array" ref="AW719">IF($F719&lt;&gt;"",XLOOKUP($F719,Productos!$A:$A,Productos!AP:AP,"Revisar"),"")</f>
        <v/>
      </c>
      <c r="AX719" s="179" t="str">
        <f t="array" ref="AX719">IF($F719&lt;&gt;"", XLOOKUP($F719,Productos!$A$2:$A1001,Productos!AQ$2:AQ1001,"")*$G719,"")</f>
        <v/>
      </c>
      <c r="AY719" s="179" t="str">
        <f t="array" ref="AY719">IF($F719&lt;&gt;"",XLOOKUP($F719,Productos!$A:$A,Productos!AR:AR,"Revisar"),"")</f>
        <v/>
      </c>
      <c r="AZ719" s="179" t="str">
        <f t="array" ref="AZ719">IF($F719&lt;&gt;"", XLOOKUP($F719,Productos!$A$2:$A1001,Productos!AS$2:AS1001,"")*$G719,"")</f>
        <v/>
      </c>
      <c r="BA719" s="179" t="str">
        <f t="array" ref="BA719">IF($F719&lt;&gt;"",XLOOKUP($F719,Productos!$A:$A,Productos!AT:AT,"Revisar"),"")</f>
        <v/>
      </c>
      <c r="BB719" s="179" t="str">
        <f t="array" ref="BB719">IF($F719&lt;&gt;"", XLOOKUP($F719,Productos!$A$2:$A1001,Productos!AU$2:AU1001,"")*$G719,"")</f>
        <v/>
      </c>
      <c r="BC719" s="179" t="str">
        <f t="array" ref="BC719">IF($F719&lt;&gt;"",XLOOKUP($F719,Productos!$A:$A,Productos!AV:AV,"Revisar"),"")</f>
        <v/>
      </c>
      <c r="BD719" s="179" t="str">
        <f t="array" ref="BD719">IF($F719&lt;&gt;"", XLOOKUP($F719,Productos!$A$2:$A1001,Productos!AW$2:AW1001,"")*$G719,"")</f>
        <v/>
      </c>
      <c r="BE719" s="179" t="str">
        <f t="array" ref="BE719">IF($F719&lt;&gt;"",XLOOKUP($F719,Productos!$A:$A,Productos!AX:AX,"Revisar"),"")</f>
        <v/>
      </c>
      <c r="BF719" s="179" t="str">
        <f t="array" ref="BF719">IF($F719&lt;&gt;"", XLOOKUP($F719,Productos!$A$2:$A1001,Productos!AY$2:AY1001,"")*$G719,"")</f>
        <v/>
      </c>
      <c r="BG719" s="179" t="str">
        <f t="array" ref="BG719">IF($F719&lt;&gt;"",XLOOKUP($F719,Productos!$A:$A,Productos!AZ:AZ,"Revisar"),"")</f>
        <v/>
      </c>
      <c r="BH719" s="179" t="str">
        <f t="array" ref="BH719">IF($F719&lt;&gt;"", XLOOKUP($F719,Productos!$A$2:$A1001,Productos!BA$2:BA1001,"")*$G719,"")</f>
        <v/>
      </c>
      <c r="BI719" s="179" t="str">
        <f t="array" ref="BI719">IF($F719&lt;&gt;"",XLOOKUP($F719,Productos!$A:$A,Productos!BB:BB,"Revisar"),"")</f>
        <v/>
      </c>
      <c r="BJ719" s="179" t="str">
        <f t="array" ref="BJ719">IF($F719&lt;&gt;"", XLOOKUP($F719,Productos!$A$2:$A1001,Productos!BC$2:BC1001,"")*$G719,"")</f>
        <v/>
      </c>
      <c r="BK719" s="179" t="str">
        <f t="array" ref="BK719">IF($F719&lt;&gt;"",XLOOKUP($F719,Productos!$A:$A,Productos!BD:BD,"Revisar"),"")</f>
        <v/>
      </c>
      <c r="BL719" s="179" t="str">
        <f t="array" ref="BL719">IF($F719&lt;&gt;"", XLOOKUP($F719,Productos!$A$2:$A1001,Productos!BE$2:BE1001,"")*$G719,"")</f>
        <v/>
      </c>
      <c r="BM719" s="179" t="str">
        <f t="array" ref="BM719">IF($F719&lt;&gt;"",XLOOKUP($F719,Productos!$A:$A,Productos!BF:BF,"Revisar"),"")</f>
        <v/>
      </c>
      <c r="BN719" s="179" t="str">
        <f t="array" ref="BN719">IF($F719&lt;&gt;"", XLOOKUP($F719,Productos!$A$2:$A1001,Productos!BG$2:BG1001,"")*$G719,"")</f>
        <v/>
      </c>
      <c r="BO719" s="179" t="str">
        <f t="array" ref="BO719">IF($F719&lt;&gt;"",XLOOKUP($F719,Productos!$A:$A,Productos!BH:BH,"Revisar"),"")</f>
        <v/>
      </c>
      <c r="BP719" s="179" t="str">
        <f t="array" ref="BP719">IF($F719&lt;&gt;"", XLOOKUP($F719,Productos!$A$2:$A1001,Productos!BI$2:BI1001,"")*$G719,"")</f>
        <v/>
      </c>
      <c r="BQ719" s="179" t="str">
        <f t="array" ref="BQ719">IF($F719&lt;&gt;"",XLOOKUP($F719,Productos!$A:$A,Productos!BJ:BJ,"Revisar"),"")</f>
        <v/>
      </c>
      <c r="BR719" s="179" t="str">
        <f t="array" ref="BR719">IF($F719&lt;&gt;"", XLOOKUP($F719,Productos!$A$2:$A1001,Productos!BK$2:BK1001,"")*$G719,"")</f>
        <v/>
      </c>
      <c r="BS719" s="179" t="str">
        <f t="array" ref="BS719">IF($F719&lt;&gt;"",XLOOKUP($F719,Productos!$A:$A,Productos!BL:BL,"Revisar"),"")</f>
        <v/>
      </c>
      <c r="BT719" s="179" t="str">
        <f t="array" ref="BT719">IF($F719&lt;&gt;"", XLOOKUP($F719,Productos!$A$2:$A1001,Productos!BM$2:BM1001,"")*$G719,"")</f>
        <v/>
      </c>
      <c r="BU719" s="179" t="str">
        <f t="array" ref="BU719">IF($F719&lt;&gt;"",XLOOKUP($F719,Productos!$A:$A,Productos!BN:BN,"Revisar"),"")</f>
        <v/>
      </c>
      <c r="BV719" s="179" t="str">
        <f t="array" ref="BV719">IF($F719&lt;&gt;"", XLOOKUP($F719,Productos!$A$2:$A1001,Productos!BO$2:BO1001,"")*$G719,"")</f>
        <v/>
      </c>
      <c r="BW719" s="179" t="str">
        <f t="array" ref="BW719">IF($F719&lt;&gt;"",XLOOKUP($F719,Productos!$A:$A,Productos!BP:BP,"Revisar"),"")</f>
        <v/>
      </c>
      <c r="BX719" s="179" t="str">
        <f t="array" ref="BX719">IF($F719&lt;&gt;"", XLOOKUP($F719,Productos!$A$2:$A1001,Productos!BQ$2:BQ1001,"")*$G719,"")</f>
        <v/>
      </c>
      <c r="BY719" s="179" t="str">
        <f t="array" ref="BY719">IF($F719&lt;&gt;"",XLOOKUP($F719,Productos!$A:$A,Productos!BR:BR,"Revisar"),"")</f>
        <v/>
      </c>
      <c r="BZ719" s="179" t="str">
        <f t="array" ref="BZ719">IF($F719&lt;&gt;"", XLOOKUP($F719,Productos!$A$2:$A1001,Productos!BS$2:BS1001,"")*$G719,"")</f>
        <v/>
      </c>
    </row>
    <row r="720">
      <c r="A720" s="188"/>
      <c r="B720" s="189"/>
      <c r="C720" s="190"/>
      <c r="D720" s="190"/>
      <c r="E720" s="191"/>
      <c r="F720" s="186"/>
      <c r="G720" s="192"/>
      <c r="H720" s="9"/>
      <c r="I720" s="179" t="str">
        <f t="array" ref="I720">IF($F720&lt;&gt;"",XLOOKUP($F720,Productos!$A:$A,Productos!B:B,"Revisar"),"")</f>
        <v/>
      </c>
      <c r="J720" s="179" t="str">
        <f t="array" ref="J720">IF($F720&lt;&gt;"", XLOOKUP($F720,Productos!$A$2:$A1001,Productos!C$2:C1001,"")*$G720,"")</f>
        <v/>
      </c>
      <c r="K720" s="179" t="str">
        <f t="array" ref="K720">IF($F720&lt;&gt;"",XLOOKUP($F720,Productos!$A:$A,Productos!D:D,"Revisar"),"")</f>
        <v/>
      </c>
      <c r="L720" s="179" t="str">
        <f t="array" ref="L720">IF($F720&lt;&gt;"", XLOOKUP($F720,Productos!$A$2:$A1001,Productos!E$2:E1001,"")*$G720,"")</f>
        <v/>
      </c>
      <c r="M720" s="179" t="str">
        <f t="array" ref="M720">IF($F720&lt;&gt;"",XLOOKUP($F720,Productos!$A:$A,Productos!F:F,"Revisar"),"")</f>
        <v/>
      </c>
      <c r="N720" s="179" t="str">
        <f t="array" ref="N720">IF($F720&lt;&gt;"", XLOOKUP($F720,Productos!$A$2:$A1001,Productos!G$2:G1001,"")*$G720,"")</f>
        <v/>
      </c>
      <c r="O720" s="179" t="str">
        <f t="array" ref="O720">IF($F720&lt;&gt;"",XLOOKUP($F720,Productos!$A:$A,Productos!H:H,"Revisar"),"")</f>
        <v/>
      </c>
      <c r="P720" s="179" t="str">
        <f t="array" ref="P720">IF($F720&lt;&gt;"", XLOOKUP($F720,Productos!$A$2:$A1001,Productos!I$2:I1001,"")*$G720,"")</f>
        <v/>
      </c>
      <c r="Q720" s="179" t="str">
        <f t="array" ref="Q720">IF($F720&lt;&gt;"",XLOOKUP($F720,Productos!$A:$A,Productos!J:J,"Revisar"),"")</f>
        <v/>
      </c>
      <c r="R720" s="179" t="str">
        <f t="array" ref="R720">IF($F720&lt;&gt;"", XLOOKUP($F720,Productos!$A$2:$A1001,Productos!K$2:K1001,"")*$G720,"")</f>
        <v/>
      </c>
      <c r="S720" s="179" t="str">
        <f t="array" ref="S720">IF($F720&lt;&gt;"",XLOOKUP($F720,Productos!$A:$A,Productos!L:L,"Revisar"),"")</f>
        <v/>
      </c>
      <c r="T720" s="179" t="str">
        <f t="array" ref="T720">IF($F720&lt;&gt;"", XLOOKUP($F720,Productos!$A$2:$A1001,Productos!M$2:M1001,"")*$G720,"")</f>
        <v/>
      </c>
      <c r="U720" s="179" t="str">
        <f t="array" ref="U720">IF($F720&lt;&gt;"",XLOOKUP($F720,Productos!$A:$A,Productos!N:N,"Revisar"),"")</f>
        <v/>
      </c>
      <c r="V720" s="179" t="str">
        <f t="array" ref="V720">IF($F720&lt;&gt;"", XLOOKUP($F720,Productos!$A$2:$A1001,Productos!O$2:O1001,"")*$G720,"")</f>
        <v/>
      </c>
      <c r="W720" s="179" t="str">
        <f t="array" ref="W720">IF($F720&lt;&gt;"",XLOOKUP($F720,Productos!$A:$A,Productos!P:P,"Revisar"),"")</f>
        <v/>
      </c>
      <c r="X720" s="179" t="str">
        <f t="array" ref="X720">IF($F720&lt;&gt;"", XLOOKUP($F720,Productos!$A$2:$A1001,Productos!Q$2:Q1001,"")*$G720,"")</f>
        <v/>
      </c>
      <c r="Y720" s="179" t="str">
        <f t="array" ref="Y720">IF($F720&lt;&gt;"",XLOOKUP($F720,Productos!$A:$A,Productos!R:R,"Revisar"),"")</f>
        <v/>
      </c>
      <c r="Z720" s="179" t="str">
        <f t="array" ref="Z720">IF($F720&lt;&gt;"", XLOOKUP($F720,Productos!$A$2:$A1001,Productos!S$2:S1001,"")*$G720,"")</f>
        <v/>
      </c>
      <c r="AA720" s="179" t="str">
        <f t="array" ref="AA720">IF($F720&lt;&gt;"",XLOOKUP($F720,Productos!$A:$A,Productos!T:T,"Revisar"),"")</f>
        <v/>
      </c>
      <c r="AB720" s="179" t="str">
        <f t="array" ref="AB720">IF($F720&lt;&gt;"", XLOOKUP($F720,Productos!$A$2:$A1001,Productos!U$2:U1001,"")*$G720,"")</f>
        <v/>
      </c>
      <c r="AC720" s="179" t="str">
        <f t="array" ref="AC720">IF($F720&lt;&gt;"",XLOOKUP($F720,Productos!$A:$A,Productos!V:V,"Revisar"),"")</f>
        <v/>
      </c>
      <c r="AD720" s="179" t="str">
        <f t="array" ref="AD720">IF($F720&lt;&gt;"", XLOOKUP($F720,Productos!$A$2:$A1001,Productos!W$2:W1001,"")*$G720,"")</f>
        <v/>
      </c>
      <c r="AE720" s="179" t="str">
        <f t="array" ref="AE720">IF($F720&lt;&gt;"",XLOOKUP($F720,Productos!$A:$A,Productos!X:X,"Revisar"),"")</f>
        <v/>
      </c>
      <c r="AF720" s="179" t="str">
        <f t="array" ref="AF720">IF($F720&lt;&gt;"", XLOOKUP($F720,Productos!$A$2:$A1001,Productos!Y$2:Y1001,"")*$G720,"")</f>
        <v/>
      </c>
      <c r="AG720" s="179" t="str">
        <f t="array" ref="AG720">IF($F720&lt;&gt;"",XLOOKUP($F720,Productos!$A:$A,Productos!Z:Z,"Revisar"),"")</f>
        <v/>
      </c>
      <c r="AH720" s="179" t="str">
        <f t="array" ref="AH720">IF($F720&lt;&gt;"", XLOOKUP($F720,Productos!$A$2:$A1001,Productos!AA$2:AA1001,"")*$G720,"")</f>
        <v/>
      </c>
      <c r="AI720" s="179" t="str">
        <f t="array" ref="AI720">IF($F720&lt;&gt;"",XLOOKUP($F720,Productos!$A:$A,Productos!AB:AB,"Revisar"),"")</f>
        <v/>
      </c>
      <c r="AJ720" s="179" t="str">
        <f t="array" ref="AJ720">IF($F720&lt;&gt;"", XLOOKUP($F720,Productos!$A$2:$A1001,Productos!AC$2:AC1001,"")*$G720,"")</f>
        <v/>
      </c>
      <c r="AK720" s="179" t="str">
        <f t="array" ref="AK720">IF($F720&lt;&gt;"",XLOOKUP($F720,Productos!$A:$A,Productos!AD:AD,"Revisar"),"")</f>
        <v/>
      </c>
      <c r="AL720" s="179" t="str">
        <f t="array" ref="AL720">IF($F720&lt;&gt;"", XLOOKUP($F720,Productos!$A$2:$A1001,Productos!AE$2:AE1001,"")*$G720,"")</f>
        <v/>
      </c>
      <c r="AM720" s="179" t="str">
        <f t="array" ref="AM720">IF($F720&lt;&gt;"",XLOOKUP($F720,Productos!$A:$A,Productos!AF:AF,"Revisar"),"")</f>
        <v/>
      </c>
      <c r="AN720" s="179" t="str">
        <f t="array" ref="AN720">IF($F720&lt;&gt;"", XLOOKUP($F720,Productos!$A$2:$A1001,Productos!AG$2:AG1001,"")*$G720,"")</f>
        <v/>
      </c>
      <c r="AO720" s="179" t="str">
        <f t="array" ref="AO720">IF($F720&lt;&gt;"",XLOOKUP($F720,Productos!$A:$A,Productos!AH:AH,"Revisar"),"")</f>
        <v/>
      </c>
      <c r="AP720" s="179" t="str">
        <f t="array" ref="AP720">IF($F720&lt;&gt;"", XLOOKUP($F720,Productos!$A$2:$A1001,Productos!AI$2:AI1001,"")*$G720,"")</f>
        <v/>
      </c>
      <c r="AQ720" s="179" t="str">
        <f t="array" ref="AQ720">IF($F720&lt;&gt;"",XLOOKUP($F720,Productos!$A:$A,Productos!AJ:AJ,"Revisar"),"")</f>
        <v/>
      </c>
      <c r="AR720" s="179" t="str">
        <f t="array" ref="AR720">IF($F720&lt;&gt;"", XLOOKUP($F720,Productos!$A$2:$A1001,Productos!AK$2:AK1001,"")*$G720,"")</f>
        <v/>
      </c>
      <c r="AS720" s="179" t="str">
        <f t="array" ref="AS720">IF($F720&lt;&gt;"",XLOOKUP($F720,Productos!$A:$A,Productos!AL:AL,"Revisar"),"")</f>
        <v/>
      </c>
      <c r="AT720" s="179" t="str">
        <f t="array" ref="AT720">IF($F720&lt;&gt;"", XLOOKUP($F720,Productos!$A$2:$A1001,Productos!AM$2:AM1001,"")*$G720,"")</f>
        <v/>
      </c>
      <c r="AU720" s="179" t="str">
        <f t="array" ref="AU720">IF($F720&lt;&gt;"",XLOOKUP($F720,Productos!$A:$A,Productos!AN:AN,"Revisar"),"")</f>
        <v/>
      </c>
      <c r="AV720" s="179" t="str">
        <f t="array" ref="AV720">IF($F720&lt;&gt;"", XLOOKUP($F720,Productos!$A$2:$A1001,Productos!AO$2:AO1001,"")*$G720,"")</f>
        <v/>
      </c>
      <c r="AW720" s="179" t="str">
        <f t="array" ref="AW720">IF($F720&lt;&gt;"",XLOOKUP($F720,Productos!$A:$A,Productos!AP:AP,"Revisar"),"")</f>
        <v/>
      </c>
      <c r="AX720" s="179" t="str">
        <f t="array" ref="AX720">IF($F720&lt;&gt;"", XLOOKUP($F720,Productos!$A$2:$A1001,Productos!AQ$2:AQ1001,"")*$G720,"")</f>
        <v/>
      </c>
      <c r="AY720" s="179" t="str">
        <f t="array" ref="AY720">IF($F720&lt;&gt;"",XLOOKUP($F720,Productos!$A:$A,Productos!AR:AR,"Revisar"),"")</f>
        <v/>
      </c>
      <c r="AZ720" s="179" t="str">
        <f t="array" ref="AZ720">IF($F720&lt;&gt;"", XLOOKUP($F720,Productos!$A$2:$A1001,Productos!AS$2:AS1001,"")*$G720,"")</f>
        <v/>
      </c>
      <c r="BA720" s="179" t="str">
        <f t="array" ref="BA720">IF($F720&lt;&gt;"",XLOOKUP($F720,Productos!$A:$A,Productos!AT:AT,"Revisar"),"")</f>
        <v/>
      </c>
      <c r="BB720" s="179" t="str">
        <f t="array" ref="BB720">IF($F720&lt;&gt;"", XLOOKUP($F720,Productos!$A$2:$A1001,Productos!AU$2:AU1001,"")*$G720,"")</f>
        <v/>
      </c>
      <c r="BC720" s="179" t="str">
        <f t="array" ref="BC720">IF($F720&lt;&gt;"",XLOOKUP($F720,Productos!$A:$A,Productos!AV:AV,"Revisar"),"")</f>
        <v/>
      </c>
      <c r="BD720" s="179" t="str">
        <f t="array" ref="BD720">IF($F720&lt;&gt;"", XLOOKUP($F720,Productos!$A$2:$A1001,Productos!AW$2:AW1001,"")*$G720,"")</f>
        <v/>
      </c>
      <c r="BE720" s="179" t="str">
        <f t="array" ref="BE720">IF($F720&lt;&gt;"",XLOOKUP($F720,Productos!$A:$A,Productos!AX:AX,"Revisar"),"")</f>
        <v/>
      </c>
      <c r="BF720" s="179" t="str">
        <f t="array" ref="BF720">IF($F720&lt;&gt;"", XLOOKUP($F720,Productos!$A$2:$A1001,Productos!AY$2:AY1001,"")*$G720,"")</f>
        <v/>
      </c>
      <c r="BG720" s="179" t="str">
        <f t="array" ref="BG720">IF($F720&lt;&gt;"",XLOOKUP($F720,Productos!$A:$A,Productos!AZ:AZ,"Revisar"),"")</f>
        <v/>
      </c>
      <c r="BH720" s="179" t="str">
        <f t="array" ref="BH720">IF($F720&lt;&gt;"", XLOOKUP($F720,Productos!$A$2:$A1001,Productos!BA$2:BA1001,"")*$G720,"")</f>
        <v/>
      </c>
      <c r="BI720" s="179" t="str">
        <f t="array" ref="BI720">IF($F720&lt;&gt;"",XLOOKUP($F720,Productos!$A:$A,Productos!BB:BB,"Revisar"),"")</f>
        <v/>
      </c>
      <c r="BJ720" s="179" t="str">
        <f t="array" ref="BJ720">IF($F720&lt;&gt;"", XLOOKUP($F720,Productos!$A$2:$A1001,Productos!BC$2:BC1001,"")*$G720,"")</f>
        <v/>
      </c>
      <c r="BK720" s="179" t="str">
        <f t="array" ref="BK720">IF($F720&lt;&gt;"",XLOOKUP($F720,Productos!$A:$A,Productos!BD:BD,"Revisar"),"")</f>
        <v/>
      </c>
      <c r="BL720" s="179" t="str">
        <f t="array" ref="BL720">IF($F720&lt;&gt;"", XLOOKUP($F720,Productos!$A$2:$A1001,Productos!BE$2:BE1001,"")*$G720,"")</f>
        <v/>
      </c>
      <c r="BM720" s="179" t="str">
        <f t="array" ref="BM720">IF($F720&lt;&gt;"",XLOOKUP($F720,Productos!$A:$A,Productos!BF:BF,"Revisar"),"")</f>
        <v/>
      </c>
      <c r="BN720" s="179" t="str">
        <f t="array" ref="BN720">IF($F720&lt;&gt;"", XLOOKUP($F720,Productos!$A$2:$A1001,Productos!BG$2:BG1001,"")*$G720,"")</f>
        <v/>
      </c>
      <c r="BO720" s="179" t="str">
        <f t="array" ref="BO720">IF($F720&lt;&gt;"",XLOOKUP($F720,Productos!$A:$A,Productos!BH:BH,"Revisar"),"")</f>
        <v/>
      </c>
      <c r="BP720" s="179" t="str">
        <f t="array" ref="BP720">IF($F720&lt;&gt;"", XLOOKUP($F720,Productos!$A$2:$A1001,Productos!BI$2:BI1001,"")*$G720,"")</f>
        <v/>
      </c>
      <c r="BQ720" s="179" t="str">
        <f t="array" ref="BQ720">IF($F720&lt;&gt;"",XLOOKUP($F720,Productos!$A:$A,Productos!BJ:BJ,"Revisar"),"")</f>
        <v/>
      </c>
      <c r="BR720" s="179" t="str">
        <f t="array" ref="BR720">IF($F720&lt;&gt;"", XLOOKUP($F720,Productos!$A$2:$A1001,Productos!BK$2:BK1001,"")*$G720,"")</f>
        <v/>
      </c>
      <c r="BS720" s="179" t="str">
        <f t="array" ref="BS720">IF($F720&lt;&gt;"",XLOOKUP($F720,Productos!$A:$A,Productos!BL:BL,"Revisar"),"")</f>
        <v/>
      </c>
      <c r="BT720" s="179" t="str">
        <f t="array" ref="BT720">IF($F720&lt;&gt;"", XLOOKUP($F720,Productos!$A$2:$A1001,Productos!BM$2:BM1001,"")*$G720,"")</f>
        <v/>
      </c>
      <c r="BU720" s="179" t="str">
        <f t="array" ref="BU720">IF($F720&lt;&gt;"",XLOOKUP($F720,Productos!$A:$A,Productos!BN:BN,"Revisar"),"")</f>
        <v/>
      </c>
      <c r="BV720" s="179" t="str">
        <f t="array" ref="BV720">IF($F720&lt;&gt;"", XLOOKUP($F720,Productos!$A$2:$A1001,Productos!BO$2:BO1001,"")*$G720,"")</f>
        <v/>
      </c>
      <c r="BW720" s="179" t="str">
        <f t="array" ref="BW720">IF($F720&lt;&gt;"",XLOOKUP($F720,Productos!$A:$A,Productos!BP:BP,"Revisar"),"")</f>
        <v/>
      </c>
      <c r="BX720" s="179" t="str">
        <f t="array" ref="BX720">IF($F720&lt;&gt;"", XLOOKUP($F720,Productos!$A$2:$A1001,Productos!BQ$2:BQ1001,"")*$G720,"")</f>
        <v/>
      </c>
      <c r="BY720" s="179" t="str">
        <f t="array" ref="BY720">IF($F720&lt;&gt;"",XLOOKUP($F720,Productos!$A:$A,Productos!BR:BR,"Revisar"),"")</f>
        <v/>
      </c>
      <c r="BZ720" s="179" t="str">
        <f t="array" ref="BZ720">IF($F720&lt;&gt;"", XLOOKUP($F720,Productos!$A$2:$A1001,Productos!BS$2:BS1001,"")*$G720,"")</f>
        <v/>
      </c>
    </row>
    <row r="721">
      <c r="A721" s="188"/>
      <c r="B721" s="189"/>
      <c r="C721" s="190"/>
      <c r="D721" s="190"/>
      <c r="E721" s="191"/>
      <c r="F721" s="186"/>
      <c r="G721" s="192"/>
      <c r="H721" s="9"/>
      <c r="I721" s="179" t="str">
        <f t="array" ref="I721">IF($F721&lt;&gt;"",XLOOKUP($F721,Productos!$A:$A,Productos!B:B,"Revisar"),"")</f>
        <v/>
      </c>
      <c r="J721" s="179" t="str">
        <f t="array" ref="J721">IF($F721&lt;&gt;"", XLOOKUP($F721,Productos!$A$2:$A1001,Productos!C$2:C1001,"")*$G721,"")</f>
        <v/>
      </c>
      <c r="K721" s="179" t="str">
        <f t="array" ref="K721">IF($F721&lt;&gt;"",XLOOKUP($F721,Productos!$A:$A,Productos!D:D,"Revisar"),"")</f>
        <v/>
      </c>
      <c r="L721" s="179" t="str">
        <f t="array" ref="L721">IF($F721&lt;&gt;"", XLOOKUP($F721,Productos!$A$2:$A1001,Productos!E$2:E1001,"")*$G721,"")</f>
        <v/>
      </c>
      <c r="M721" s="179" t="str">
        <f t="array" ref="M721">IF($F721&lt;&gt;"",XLOOKUP($F721,Productos!$A:$A,Productos!F:F,"Revisar"),"")</f>
        <v/>
      </c>
      <c r="N721" s="179" t="str">
        <f t="array" ref="N721">IF($F721&lt;&gt;"", XLOOKUP($F721,Productos!$A$2:$A1001,Productos!G$2:G1001,"")*$G721,"")</f>
        <v/>
      </c>
      <c r="O721" s="179" t="str">
        <f t="array" ref="O721">IF($F721&lt;&gt;"",XLOOKUP($F721,Productos!$A:$A,Productos!H:H,"Revisar"),"")</f>
        <v/>
      </c>
      <c r="P721" s="179" t="str">
        <f t="array" ref="P721">IF($F721&lt;&gt;"", XLOOKUP($F721,Productos!$A$2:$A1001,Productos!I$2:I1001,"")*$G721,"")</f>
        <v/>
      </c>
      <c r="Q721" s="179" t="str">
        <f t="array" ref="Q721">IF($F721&lt;&gt;"",XLOOKUP($F721,Productos!$A:$A,Productos!J:J,"Revisar"),"")</f>
        <v/>
      </c>
      <c r="R721" s="179" t="str">
        <f t="array" ref="R721">IF($F721&lt;&gt;"", XLOOKUP($F721,Productos!$A$2:$A1001,Productos!K$2:K1001,"")*$G721,"")</f>
        <v/>
      </c>
      <c r="S721" s="179" t="str">
        <f t="array" ref="S721">IF($F721&lt;&gt;"",XLOOKUP($F721,Productos!$A:$A,Productos!L:L,"Revisar"),"")</f>
        <v/>
      </c>
      <c r="T721" s="179" t="str">
        <f t="array" ref="T721">IF($F721&lt;&gt;"", XLOOKUP($F721,Productos!$A$2:$A1001,Productos!M$2:M1001,"")*$G721,"")</f>
        <v/>
      </c>
      <c r="U721" s="179" t="str">
        <f t="array" ref="U721">IF($F721&lt;&gt;"",XLOOKUP($F721,Productos!$A:$A,Productos!N:N,"Revisar"),"")</f>
        <v/>
      </c>
      <c r="V721" s="179" t="str">
        <f t="array" ref="V721">IF($F721&lt;&gt;"", XLOOKUP($F721,Productos!$A$2:$A1001,Productos!O$2:O1001,"")*$G721,"")</f>
        <v/>
      </c>
      <c r="W721" s="179" t="str">
        <f t="array" ref="W721">IF($F721&lt;&gt;"",XLOOKUP($F721,Productos!$A:$A,Productos!P:P,"Revisar"),"")</f>
        <v/>
      </c>
      <c r="X721" s="179" t="str">
        <f t="array" ref="X721">IF($F721&lt;&gt;"", XLOOKUP($F721,Productos!$A$2:$A1001,Productos!Q$2:Q1001,"")*$G721,"")</f>
        <v/>
      </c>
      <c r="Y721" s="179" t="str">
        <f t="array" ref="Y721">IF($F721&lt;&gt;"",XLOOKUP($F721,Productos!$A:$A,Productos!R:R,"Revisar"),"")</f>
        <v/>
      </c>
      <c r="Z721" s="179" t="str">
        <f t="array" ref="Z721">IF($F721&lt;&gt;"", XLOOKUP($F721,Productos!$A$2:$A1001,Productos!S$2:S1001,"")*$G721,"")</f>
        <v/>
      </c>
      <c r="AA721" s="179" t="str">
        <f t="array" ref="AA721">IF($F721&lt;&gt;"",XLOOKUP($F721,Productos!$A:$A,Productos!T:T,"Revisar"),"")</f>
        <v/>
      </c>
      <c r="AB721" s="179" t="str">
        <f t="array" ref="AB721">IF($F721&lt;&gt;"", XLOOKUP($F721,Productos!$A$2:$A1001,Productos!U$2:U1001,"")*$G721,"")</f>
        <v/>
      </c>
      <c r="AC721" s="179" t="str">
        <f t="array" ref="AC721">IF($F721&lt;&gt;"",XLOOKUP($F721,Productos!$A:$A,Productos!V:V,"Revisar"),"")</f>
        <v/>
      </c>
      <c r="AD721" s="179" t="str">
        <f t="array" ref="AD721">IF($F721&lt;&gt;"", XLOOKUP($F721,Productos!$A$2:$A1001,Productos!W$2:W1001,"")*$G721,"")</f>
        <v/>
      </c>
      <c r="AE721" s="179" t="str">
        <f t="array" ref="AE721">IF($F721&lt;&gt;"",XLOOKUP($F721,Productos!$A:$A,Productos!X:X,"Revisar"),"")</f>
        <v/>
      </c>
      <c r="AF721" s="179" t="str">
        <f t="array" ref="AF721">IF($F721&lt;&gt;"", XLOOKUP($F721,Productos!$A$2:$A1001,Productos!Y$2:Y1001,"")*$G721,"")</f>
        <v/>
      </c>
      <c r="AG721" s="179" t="str">
        <f t="array" ref="AG721">IF($F721&lt;&gt;"",XLOOKUP($F721,Productos!$A:$A,Productos!Z:Z,"Revisar"),"")</f>
        <v/>
      </c>
      <c r="AH721" s="179" t="str">
        <f t="array" ref="AH721">IF($F721&lt;&gt;"", XLOOKUP($F721,Productos!$A$2:$A1001,Productos!AA$2:AA1001,"")*$G721,"")</f>
        <v/>
      </c>
      <c r="AI721" s="179" t="str">
        <f t="array" ref="AI721">IF($F721&lt;&gt;"",XLOOKUP($F721,Productos!$A:$A,Productos!AB:AB,"Revisar"),"")</f>
        <v/>
      </c>
      <c r="AJ721" s="179" t="str">
        <f t="array" ref="AJ721">IF($F721&lt;&gt;"", XLOOKUP($F721,Productos!$A$2:$A1001,Productos!AC$2:AC1001,"")*$G721,"")</f>
        <v/>
      </c>
      <c r="AK721" s="179" t="str">
        <f t="array" ref="AK721">IF($F721&lt;&gt;"",XLOOKUP($F721,Productos!$A:$A,Productos!AD:AD,"Revisar"),"")</f>
        <v/>
      </c>
      <c r="AL721" s="179" t="str">
        <f t="array" ref="AL721">IF($F721&lt;&gt;"", XLOOKUP($F721,Productos!$A$2:$A1001,Productos!AE$2:AE1001,"")*$G721,"")</f>
        <v/>
      </c>
      <c r="AM721" s="179" t="str">
        <f t="array" ref="AM721">IF($F721&lt;&gt;"",XLOOKUP($F721,Productos!$A:$A,Productos!AF:AF,"Revisar"),"")</f>
        <v/>
      </c>
      <c r="AN721" s="179" t="str">
        <f t="array" ref="AN721">IF($F721&lt;&gt;"", XLOOKUP($F721,Productos!$A$2:$A1001,Productos!AG$2:AG1001,"")*$G721,"")</f>
        <v/>
      </c>
      <c r="AO721" s="179" t="str">
        <f t="array" ref="AO721">IF($F721&lt;&gt;"",XLOOKUP($F721,Productos!$A:$A,Productos!AH:AH,"Revisar"),"")</f>
        <v/>
      </c>
      <c r="AP721" s="179" t="str">
        <f t="array" ref="AP721">IF($F721&lt;&gt;"", XLOOKUP($F721,Productos!$A$2:$A1001,Productos!AI$2:AI1001,"")*$G721,"")</f>
        <v/>
      </c>
      <c r="AQ721" s="179" t="str">
        <f t="array" ref="AQ721">IF($F721&lt;&gt;"",XLOOKUP($F721,Productos!$A:$A,Productos!AJ:AJ,"Revisar"),"")</f>
        <v/>
      </c>
      <c r="AR721" s="179" t="str">
        <f t="array" ref="AR721">IF($F721&lt;&gt;"", XLOOKUP($F721,Productos!$A$2:$A1001,Productos!AK$2:AK1001,"")*$G721,"")</f>
        <v/>
      </c>
      <c r="AS721" s="179" t="str">
        <f t="array" ref="AS721">IF($F721&lt;&gt;"",XLOOKUP($F721,Productos!$A:$A,Productos!AL:AL,"Revisar"),"")</f>
        <v/>
      </c>
      <c r="AT721" s="179" t="str">
        <f t="array" ref="AT721">IF($F721&lt;&gt;"", XLOOKUP($F721,Productos!$A$2:$A1001,Productos!AM$2:AM1001,"")*$G721,"")</f>
        <v/>
      </c>
      <c r="AU721" s="179" t="str">
        <f t="array" ref="AU721">IF($F721&lt;&gt;"",XLOOKUP($F721,Productos!$A:$A,Productos!AN:AN,"Revisar"),"")</f>
        <v/>
      </c>
      <c r="AV721" s="179" t="str">
        <f t="array" ref="AV721">IF($F721&lt;&gt;"", XLOOKUP($F721,Productos!$A$2:$A1001,Productos!AO$2:AO1001,"")*$G721,"")</f>
        <v/>
      </c>
      <c r="AW721" s="179" t="str">
        <f t="array" ref="AW721">IF($F721&lt;&gt;"",XLOOKUP($F721,Productos!$A:$A,Productos!AP:AP,"Revisar"),"")</f>
        <v/>
      </c>
      <c r="AX721" s="179" t="str">
        <f t="array" ref="AX721">IF($F721&lt;&gt;"", XLOOKUP($F721,Productos!$A$2:$A1001,Productos!AQ$2:AQ1001,"")*$G721,"")</f>
        <v/>
      </c>
      <c r="AY721" s="179" t="str">
        <f t="array" ref="AY721">IF($F721&lt;&gt;"",XLOOKUP($F721,Productos!$A:$A,Productos!AR:AR,"Revisar"),"")</f>
        <v/>
      </c>
      <c r="AZ721" s="179" t="str">
        <f t="array" ref="AZ721">IF($F721&lt;&gt;"", XLOOKUP($F721,Productos!$A$2:$A1001,Productos!AS$2:AS1001,"")*$G721,"")</f>
        <v/>
      </c>
      <c r="BA721" s="179" t="str">
        <f t="array" ref="BA721">IF($F721&lt;&gt;"",XLOOKUP($F721,Productos!$A:$A,Productos!AT:AT,"Revisar"),"")</f>
        <v/>
      </c>
      <c r="BB721" s="179" t="str">
        <f t="array" ref="BB721">IF($F721&lt;&gt;"", XLOOKUP($F721,Productos!$A$2:$A1001,Productos!AU$2:AU1001,"")*$G721,"")</f>
        <v/>
      </c>
      <c r="BC721" s="179" t="str">
        <f t="array" ref="BC721">IF($F721&lt;&gt;"",XLOOKUP($F721,Productos!$A:$A,Productos!AV:AV,"Revisar"),"")</f>
        <v/>
      </c>
      <c r="BD721" s="179" t="str">
        <f t="array" ref="BD721">IF($F721&lt;&gt;"", XLOOKUP($F721,Productos!$A$2:$A1001,Productos!AW$2:AW1001,"")*$G721,"")</f>
        <v/>
      </c>
      <c r="BE721" s="179" t="str">
        <f t="array" ref="BE721">IF($F721&lt;&gt;"",XLOOKUP($F721,Productos!$A:$A,Productos!AX:AX,"Revisar"),"")</f>
        <v/>
      </c>
      <c r="BF721" s="179" t="str">
        <f t="array" ref="BF721">IF($F721&lt;&gt;"", XLOOKUP($F721,Productos!$A$2:$A1001,Productos!AY$2:AY1001,"")*$G721,"")</f>
        <v/>
      </c>
      <c r="BG721" s="179" t="str">
        <f t="array" ref="BG721">IF($F721&lt;&gt;"",XLOOKUP($F721,Productos!$A:$A,Productos!AZ:AZ,"Revisar"),"")</f>
        <v/>
      </c>
      <c r="BH721" s="179" t="str">
        <f t="array" ref="BH721">IF($F721&lt;&gt;"", XLOOKUP($F721,Productos!$A$2:$A1001,Productos!BA$2:BA1001,"")*$G721,"")</f>
        <v/>
      </c>
      <c r="BI721" s="179" t="str">
        <f t="array" ref="BI721">IF($F721&lt;&gt;"",XLOOKUP($F721,Productos!$A:$A,Productos!BB:BB,"Revisar"),"")</f>
        <v/>
      </c>
      <c r="BJ721" s="179" t="str">
        <f t="array" ref="BJ721">IF($F721&lt;&gt;"", XLOOKUP($F721,Productos!$A$2:$A1001,Productos!BC$2:BC1001,"")*$G721,"")</f>
        <v/>
      </c>
      <c r="BK721" s="179" t="str">
        <f t="array" ref="BK721">IF($F721&lt;&gt;"",XLOOKUP($F721,Productos!$A:$A,Productos!BD:BD,"Revisar"),"")</f>
        <v/>
      </c>
      <c r="BL721" s="179" t="str">
        <f t="array" ref="BL721">IF($F721&lt;&gt;"", XLOOKUP($F721,Productos!$A$2:$A1001,Productos!BE$2:BE1001,"")*$G721,"")</f>
        <v/>
      </c>
      <c r="BM721" s="179" t="str">
        <f t="array" ref="BM721">IF($F721&lt;&gt;"",XLOOKUP($F721,Productos!$A:$A,Productos!BF:BF,"Revisar"),"")</f>
        <v/>
      </c>
      <c r="BN721" s="179" t="str">
        <f t="array" ref="BN721">IF($F721&lt;&gt;"", XLOOKUP($F721,Productos!$A$2:$A1001,Productos!BG$2:BG1001,"")*$G721,"")</f>
        <v/>
      </c>
      <c r="BO721" s="179" t="str">
        <f t="array" ref="BO721">IF($F721&lt;&gt;"",XLOOKUP($F721,Productos!$A:$A,Productos!BH:BH,"Revisar"),"")</f>
        <v/>
      </c>
      <c r="BP721" s="179" t="str">
        <f t="array" ref="BP721">IF($F721&lt;&gt;"", XLOOKUP($F721,Productos!$A$2:$A1001,Productos!BI$2:BI1001,"")*$G721,"")</f>
        <v/>
      </c>
      <c r="BQ721" s="179" t="str">
        <f t="array" ref="BQ721">IF($F721&lt;&gt;"",XLOOKUP($F721,Productos!$A:$A,Productos!BJ:BJ,"Revisar"),"")</f>
        <v/>
      </c>
      <c r="BR721" s="179" t="str">
        <f t="array" ref="BR721">IF($F721&lt;&gt;"", XLOOKUP($F721,Productos!$A$2:$A1001,Productos!BK$2:BK1001,"")*$G721,"")</f>
        <v/>
      </c>
      <c r="BS721" s="179" t="str">
        <f t="array" ref="BS721">IF($F721&lt;&gt;"",XLOOKUP($F721,Productos!$A:$A,Productos!BL:BL,"Revisar"),"")</f>
        <v/>
      </c>
      <c r="BT721" s="179" t="str">
        <f t="array" ref="BT721">IF($F721&lt;&gt;"", XLOOKUP($F721,Productos!$A$2:$A1001,Productos!BM$2:BM1001,"")*$G721,"")</f>
        <v/>
      </c>
      <c r="BU721" s="179" t="str">
        <f t="array" ref="BU721">IF($F721&lt;&gt;"",XLOOKUP($F721,Productos!$A:$A,Productos!BN:BN,"Revisar"),"")</f>
        <v/>
      </c>
      <c r="BV721" s="179" t="str">
        <f t="array" ref="BV721">IF($F721&lt;&gt;"", XLOOKUP($F721,Productos!$A$2:$A1001,Productos!BO$2:BO1001,"")*$G721,"")</f>
        <v/>
      </c>
      <c r="BW721" s="179" t="str">
        <f t="array" ref="BW721">IF($F721&lt;&gt;"",XLOOKUP($F721,Productos!$A:$A,Productos!BP:BP,"Revisar"),"")</f>
        <v/>
      </c>
      <c r="BX721" s="179" t="str">
        <f t="array" ref="BX721">IF($F721&lt;&gt;"", XLOOKUP($F721,Productos!$A$2:$A1001,Productos!BQ$2:BQ1001,"")*$G721,"")</f>
        <v/>
      </c>
      <c r="BY721" s="179" t="str">
        <f t="array" ref="BY721">IF($F721&lt;&gt;"",XLOOKUP($F721,Productos!$A:$A,Productos!BR:BR,"Revisar"),"")</f>
        <v/>
      </c>
      <c r="BZ721" s="179" t="str">
        <f t="array" ref="BZ721">IF($F721&lt;&gt;"", XLOOKUP($F721,Productos!$A$2:$A1001,Productos!BS$2:BS1001,"")*$G721,"")</f>
        <v/>
      </c>
    </row>
    <row r="722">
      <c r="A722" s="188"/>
      <c r="B722" s="189"/>
      <c r="C722" s="190"/>
      <c r="D722" s="190"/>
      <c r="E722" s="191"/>
      <c r="F722" s="186"/>
      <c r="G722" s="192"/>
      <c r="H722" s="9"/>
      <c r="I722" s="179" t="str">
        <f t="array" ref="I722">IF($F722&lt;&gt;"",XLOOKUP($F722,Productos!$A:$A,Productos!B:B,"Revisar"),"")</f>
        <v/>
      </c>
      <c r="J722" s="179" t="str">
        <f t="array" ref="J722">IF($F722&lt;&gt;"", XLOOKUP($F722,Productos!$A$2:$A1001,Productos!C$2:C1001,"")*$G722,"")</f>
        <v/>
      </c>
      <c r="K722" s="179" t="str">
        <f t="array" ref="K722">IF($F722&lt;&gt;"",XLOOKUP($F722,Productos!$A:$A,Productos!D:D,"Revisar"),"")</f>
        <v/>
      </c>
      <c r="L722" s="179" t="str">
        <f t="array" ref="L722">IF($F722&lt;&gt;"", XLOOKUP($F722,Productos!$A$2:$A1001,Productos!E$2:E1001,"")*$G722,"")</f>
        <v/>
      </c>
      <c r="M722" s="179" t="str">
        <f t="array" ref="M722">IF($F722&lt;&gt;"",XLOOKUP($F722,Productos!$A:$A,Productos!F:F,"Revisar"),"")</f>
        <v/>
      </c>
      <c r="N722" s="179" t="str">
        <f t="array" ref="N722">IF($F722&lt;&gt;"", XLOOKUP($F722,Productos!$A$2:$A1001,Productos!G$2:G1001,"")*$G722,"")</f>
        <v/>
      </c>
      <c r="O722" s="179" t="str">
        <f t="array" ref="O722">IF($F722&lt;&gt;"",XLOOKUP($F722,Productos!$A:$A,Productos!H:H,"Revisar"),"")</f>
        <v/>
      </c>
      <c r="P722" s="179" t="str">
        <f t="array" ref="P722">IF($F722&lt;&gt;"", XLOOKUP($F722,Productos!$A$2:$A1001,Productos!I$2:I1001,"")*$G722,"")</f>
        <v/>
      </c>
      <c r="Q722" s="179" t="str">
        <f t="array" ref="Q722">IF($F722&lt;&gt;"",XLOOKUP($F722,Productos!$A:$A,Productos!J:J,"Revisar"),"")</f>
        <v/>
      </c>
      <c r="R722" s="179" t="str">
        <f t="array" ref="R722">IF($F722&lt;&gt;"", XLOOKUP($F722,Productos!$A$2:$A1001,Productos!K$2:K1001,"")*$G722,"")</f>
        <v/>
      </c>
      <c r="S722" s="179" t="str">
        <f t="array" ref="S722">IF($F722&lt;&gt;"",XLOOKUP($F722,Productos!$A:$A,Productos!L:L,"Revisar"),"")</f>
        <v/>
      </c>
      <c r="T722" s="179" t="str">
        <f t="array" ref="T722">IF($F722&lt;&gt;"", XLOOKUP($F722,Productos!$A$2:$A1001,Productos!M$2:M1001,"")*$G722,"")</f>
        <v/>
      </c>
      <c r="U722" s="179" t="str">
        <f t="array" ref="U722">IF($F722&lt;&gt;"",XLOOKUP($F722,Productos!$A:$A,Productos!N:N,"Revisar"),"")</f>
        <v/>
      </c>
      <c r="V722" s="179" t="str">
        <f t="array" ref="V722">IF($F722&lt;&gt;"", XLOOKUP($F722,Productos!$A$2:$A1001,Productos!O$2:O1001,"")*$G722,"")</f>
        <v/>
      </c>
      <c r="W722" s="179" t="str">
        <f t="array" ref="W722">IF($F722&lt;&gt;"",XLOOKUP($F722,Productos!$A:$A,Productos!P:P,"Revisar"),"")</f>
        <v/>
      </c>
      <c r="X722" s="179" t="str">
        <f t="array" ref="X722">IF($F722&lt;&gt;"", XLOOKUP($F722,Productos!$A$2:$A1001,Productos!Q$2:Q1001,"")*$G722,"")</f>
        <v/>
      </c>
      <c r="Y722" s="179" t="str">
        <f t="array" ref="Y722">IF($F722&lt;&gt;"",XLOOKUP($F722,Productos!$A:$A,Productos!R:R,"Revisar"),"")</f>
        <v/>
      </c>
      <c r="Z722" s="179" t="str">
        <f t="array" ref="Z722">IF($F722&lt;&gt;"", XLOOKUP($F722,Productos!$A$2:$A1001,Productos!S$2:S1001,"")*$G722,"")</f>
        <v/>
      </c>
      <c r="AA722" s="179" t="str">
        <f t="array" ref="AA722">IF($F722&lt;&gt;"",XLOOKUP($F722,Productos!$A:$A,Productos!T:T,"Revisar"),"")</f>
        <v/>
      </c>
      <c r="AB722" s="179" t="str">
        <f t="array" ref="AB722">IF($F722&lt;&gt;"", XLOOKUP($F722,Productos!$A$2:$A1001,Productos!U$2:U1001,"")*$G722,"")</f>
        <v/>
      </c>
      <c r="AC722" s="179" t="str">
        <f t="array" ref="AC722">IF($F722&lt;&gt;"",XLOOKUP($F722,Productos!$A:$A,Productos!V:V,"Revisar"),"")</f>
        <v/>
      </c>
      <c r="AD722" s="179" t="str">
        <f t="array" ref="AD722">IF($F722&lt;&gt;"", XLOOKUP($F722,Productos!$A$2:$A1001,Productos!W$2:W1001,"")*$G722,"")</f>
        <v/>
      </c>
      <c r="AE722" s="179" t="str">
        <f t="array" ref="AE722">IF($F722&lt;&gt;"",XLOOKUP($F722,Productos!$A:$A,Productos!X:X,"Revisar"),"")</f>
        <v/>
      </c>
      <c r="AF722" s="179" t="str">
        <f t="array" ref="AF722">IF($F722&lt;&gt;"", XLOOKUP($F722,Productos!$A$2:$A1001,Productos!Y$2:Y1001,"")*$G722,"")</f>
        <v/>
      </c>
      <c r="AG722" s="179" t="str">
        <f t="array" ref="AG722">IF($F722&lt;&gt;"",XLOOKUP($F722,Productos!$A:$A,Productos!Z:Z,"Revisar"),"")</f>
        <v/>
      </c>
      <c r="AH722" s="179" t="str">
        <f t="array" ref="AH722">IF($F722&lt;&gt;"", XLOOKUP($F722,Productos!$A$2:$A1001,Productos!AA$2:AA1001,"")*$G722,"")</f>
        <v/>
      </c>
      <c r="AI722" s="179" t="str">
        <f t="array" ref="AI722">IF($F722&lt;&gt;"",XLOOKUP($F722,Productos!$A:$A,Productos!AB:AB,"Revisar"),"")</f>
        <v/>
      </c>
      <c r="AJ722" s="179" t="str">
        <f t="array" ref="AJ722">IF($F722&lt;&gt;"", XLOOKUP($F722,Productos!$A$2:$A1001,Productos!AC$2:AC1001,"")*$G722,"")</f>
        <v/>
      </c>
      <c r="AK722" s="179" t="str">
        <f t="array" ref="AK722">IF($F722&lt;&gt;"",XLOOKUP($F722,Productos!$A:$A,Productos!AD:AD,"Revisar"),"")</f>
        <v/>
      </c>
      <c r="AL722" s="179" t="str">
        <f t="array" ref="AL722">IF($F722&lt;&gt;"", XLOOKUP($F722,Productos!$A$2:$A1001,Productos!AE$2:AE1001,"")*$G722,"")</f>
        <v/>
      </c>
      <c r="AM722" s="179" t="str">
        <f t="array" ref="AM722">IF($F722&lt;&gt;"",XLOOKUP($F722,Productos!$A:$A,Productos!AF:AF,"Revisar"),"")</f>
        <v/>
      </c>
      <c r="AN722" s="179" t="str">
        <f t="array" ref="AN722">IF($F722&lt;&gt;"", XLOOKUP($F722,Productos!$A$2:$A1001,Productos!AG$2:AG1001,"")*$G722,"")</f>
        <v/>
      </c>
      <c r="AO722" s="179" t="str">
        <f t="array" ref="AO722">IF($F722&lt;&gt;"",XLOOKUP($F722,Productos!$A:$A,Productos!AH:AH,"Revisar"),"")</f>
        <v/>
      </c>
      <c r="AP722" s="179" t="str">
        <f t="array" ref="AP722">IF($F722&lt;&gt;"", XLOOKUP($F722,Productos!$A$2:$A1001,Productos!AI$2:AI1001,"")*$G722,"")</f>
        <v/>
      </c>
      <c r="AQ722" s="179" t="str">
        <f t="array" ref="AQ722">IF($F722&lt;&gt;"",XLOOKUP($F722,Productos!$A:$A,Productos!AJ:AJ,"Revisar"),"")</f>
        <v/>
      </c>
      <c r="AR722" s="179" t="str">
        <f t="array" ref="AR722">IF($F722&lt;&gt;"", XLOOKUP($F722,Productos!$A$2:$A1001,Productos!AK$2:AK1001,"")*$G722,"")</f>
        <v/>
      </c>
      <c r="AS722" s="179" t="str">
        <f t="array" ref="AS722">IF($F722&lt;&gt;"",XLOOKUP($F722,Productos!$A:$A,Productos!AL:AL,"Revisar"),"")</f>
        <v/>
      </c>
      <c r="AT722" s="179" t="str">
        <f t="array" ref="AT722">IF($F722&lt;&gt;"", XLOOKUP($F722,Productos!$A$2:$A1001,Productos!AM$2:AM1001,"")*$G722,"")</f>
        <v/>
      </c>
      <c r="AU722" s="179" t="str">
        <f t="array" ref="AU722">IF($F722&lt;&gt;"",XLOOKUP($F722,Productos!$A:$A,Productos!AN:AN,"Revisar"),"")</f>
        <v/>
      </c>
      <c r="AV722" s="179" t="str">
        <f t="array" ref="AV722">IF($F722&lt;&gt;"", XLOOKUP($F722,Productos!$A$2:$A1001,Productos!AO$2:AO1001,"")*$G722,"")</f>
        <v/>
      </c>
      <c r="AW722" s="179" t="str">
        <f t="array" ref="AW722">IF($F722&lt;&gt;"",XLOOKUP($F722,Productos!$A:$A,Productos!AP:AP,"Revisar"),"")</f>
        <v/>
      </c>
      <c r="AX722" s="179" t="str">
        <f t="array" ref="AX722">IF($F722&lt;&gt;"", XLOOKUP($F722,Productos!$A$2:$A1001,Productos!AQ$2:AQ1001,"")*$G722,"")</f>
        <v/>
      </c>
      <c r="AY722" s="179" t="str">
        <f t="array" ref="AY722">IF($F722&lt;&gt;"",XLOOKUP($F722,Productos!$A:$A,Productos!AR:AR,"Revisar"),"")</f>
        <v/>
      </c>
      <c r="AZ722" s="179" t="str">
        <f t="array" ref="AZ722">IF($F722&lt;&gt;"", XLOOKUP($F722,Productos!$A$2:$A1001,Productos!AS$2:AS1001,"")*$G722,"")</f>
        <v/>
      </c>
      <c r="BA722" s="179" t="str">
        <f t="array" ref="BA722">IF($F722&lt;&gt;"",XLOOKUP($F722,Productos!$A:$A,Productos!AT:AT,"Revisar"),"")</f>
        <v/>
      </c>
      <c r="BB722" s="179" t="str">
        <f t="array" ref="BB722">IF($F722&lt;&gt;"", XLOOKUP($F722,Productos!$A$2:$A1001,Productos!AU$2:AU1001,"")*$G722,"")</f>
        <v/>
      </c>
      <c r="BC722" s="179" t="str">
        <f t="array" ref="BC722">IF($F722&lt;&gt;"",XLOOKUP($F722,Productos!$A:$A,Productos!AV:AV,"Revisar"),"")</f>
        <v/>
      </c>
      <c r="BD722" s="179" t="str">
        <f t="array" ref="BD722">IF($F722&lt;&gt;"", XLOOKUP($F722,Productos!$A$2:$A1001,Productos!AW$2:AW1001,"")*$G722,"")</f>
        <v/>
      </c>
      <c r="BE722" s="179" t="str">
        <f t="array" ref="BE722">IF($F722&lt;&gt;"",XLOOKUP($F722,Productos!$A:$A,Productos!AX:AX,"Revisar"),"")</f>
        <v/>
      </c>
      <c r="BF722" s="179" t="str">
        <f t="array" ref="BF722">IF($F722&lt;&gt;"", XLOOKUP($F722,Productos!$A$2:$A1001,Productos!AY$2:AY1001,"")*$G722,"")</f>
        <v/>
      </c>
      <c r="BG722" s="179" t="str">
        <f t="array" ref="BG722">IF($F722&lt;&gt;"",XLOOKUP($F722,Productos!$A:$A,Productos!AZ:AZ,"Revisar"),"")</f>
        <v/>
      </c>
      <c r="BH722" s="179" t="str">
        <f t="array" ref="BH722">IF($F722&lt;&gt;"", XLOOKUP($F722,Productos!$A$2:$A1001,Productos!BA$2:BA1001,"")*$G722,"")</f>
        <v/>
      </c>
      <c r="BI722" s="179" t="str">
        <f t="array" ref="BI722">IF($F722&lt;&gt;"",XLOOKUP($F722,Productos!$A:$A,Productos!BB:BB,"Revisar"),"")</f>
        <v/>
      </c>
      <c r="BJ722" s="179" t="str">
        <f t="array" ref="BJ722">IF($F722&lt;&gt;"", XLOOKUP($F722,Productos!$A$2:$A1001,Productos!BC$2:BC1001,"")*$G722,"")</f>
        <v/>
      </c>
      <c r="BK722" s="179" t="str">
        <f t="array" ref="BK722">IF($F722&lt;&gt;"",XLOOKUP($F722,Productos!$A:$A,Productos!BD:BD,"Revisar"),"")</f>
        <v/>
      </c>
      <c r="BL722" s="179" t="str">
        <f t="array" ref="BL722">IF($F722&lt;&gt;"", XLOOKUP($F722,Productos!$A$2:$A1001,Productos!BE$2:BE1001,"")*$G722,"")</f>
        <v/>
      </c>
      <c r="BM722" s="179" t="str">
        <f t="array" ref="BM722">IF($F722&lt;&gt;"",XLOOKUP($F722,Productos!$A:$A,Productos!BF:BF,"Revisar"),"")</f>
        <v/>
      </c>
      <c r="BN722" s="179" t="str">
        <f t="array" ref="BN722">IF($F722&lt;&gt;"", XLOOKUP($F722,Productos!$A$2:$A1001,Productos!BG$2:BG1001,"")*$G722,"")</f>
        <v/>
      </c>
      <c r="BO722" s="179" t="str">
        <f t="array" ref="BO722">IF($F722&lt;&gt;"",XLOOKUP($F722,Productos!$A:$A,Productos!BH:BH,"Revisar"),"")</f>
        <v/>
      </c>
      <c r="BP722" s="179" t="str">
        <f t="array" ref="BP722">IF($F722&lt;&gt;"", XLOOKUP($F722,Productos!$A$2:$A1001,Productos!BI$2:BI1001,"")*$G722,"")</f>
        <v/>
      </c>
      <c r="BQ722" s="179" t="str">
        <f t="array" ref="BQ722">IF($F722&lt;&gt;"",XLOOKUP($F722,Productos!$A:$A,Productos!BJ:BJ,"Revisar"),"")</f>
        <v/>
      </c>
      <c r="BR722" s="179" t="str">
        <f t="array" ref="BR722">IF($F722&lt;&gt;"", XLOOKUP($F722,Productos!$A$2:$A1001,Productos!BK$2:BK1001,"")*$G722,"")</f>
        <v/>
      </c>
      <c r="BS722" s="179" t="str">
        <f t="array" ref="BS722">IF($F722&lt;&gt;"",XLOOKUP($F722,Productos!$A:$A,Productos!BL:BL,"Revisar"),"")</f>
        <v/>
      </c>
      <c r="BT722" s="179" t="str">
        <f t="array" ref="BT722">IF($F722&lt;&gt;"", XLOOKUP($F722,Productos!$A$2:$A1001,Productos!BM$2:BM1001,"")*$G722,"")</f>
        <v/>
      </c>
      <c r="BU722" s="179" t="str">
        <f t="array" ref="BU722">IF($F722&lt;&gt;"",XLOOKUP($F722,Productos!$A:$A,Productos!BN:BN,"Revisar"),"")</f>
        <v/>
      </c>
      <c r="BV722" s="179" t="str">
        <f t="array" ref="BV722">IF($F722&lt;&gt;"", XLOOKUP($F722,Productos!$A$2:$A1001,Productos!BO$2:BO1001,"")*$G722,"")</f>
        <v/>
      </c>
      <c r="BW722" s="179" t="str">
        <f t="array" ref="BW722">IF($F722&lt;&gt;"",XLOOKUP($F722,Productos!$A:$A,Productos!BP:BP,"Revisar"),"")</f>
        <v/>
      </c>
      <c r="BX722" s="179" t="str">
        <f t="array" ref="BX722">IF($F722&lt;&gt;"", XLOOKUP($F722,Productos!$A$2:$A1001,Productos!BQ$2:BQ1001,"")*$G722,"")</f>
        <v/>
      </c>
      <c r="BY722" s="179" t="str">
        <f t="array" ref="BY722">IF($F722&lt;&gt;"",XLOOKUP($F722,Productos!$A:$A,Productos!BR:BR,"Revisar"),"")</f>
        <v/>
      </c>
      <c r="BZ722" s="179" t="str">
        <f t="array" ref="BZ722">IF($F722&lt;&gt;"", XLOOKUP($F722,Productos!$A$2:$A1001,Productos!BS$2:BS1001,"")*$G722,"")</f>
        <v/>
      </c>
    </row>
    <row r="723">
      <c r="A723" s="188"/>
      <c r="B723" s="189"/>
      <c r="C723" s="190"/>
      <c r="D723" s="190"/>
      <c r="E723" s="191"/>
      <c r="F723" s="186"/>
      <c r="G723" s="192"/>
      <c r="H723" s="9"/>
      <c r="I723" s="179" t="str">
        <f t="array" ref="I723">IF($F723&lt;&gt;"",XLOOKUP($F723,Productos!$A:$A,Productos!B:B,"Revisar"),"")</f>
        <v/>
      </c>
      <c r="J723" s="179" t="str">
        <f t="array" ref="J723">IF($F723&lt;&gt;"", XLOOKUP($F723,Productos!$A$2:$A1001,Productos!C$2:C1001,"")*$G723,"")</f>
        <v/>
      </c>
      <c r="K723" s="179" t="str">
        <f t="array" ref="K723">IF($F723&lt;&gt;"",XLOOKUP($F723,Productos!$A:$A,Productos!D:D,"Revisar"),"")</f>
        <v/>
      </c>
      <c r="L723" s="179" t="str">
        <f t="array" ref="L723">IF($F723&lt;&gt;"", XLOOKUP($F723,Productos!$A$2:$A1001,Productos!E$2:E1001,"")*$G723,"")</f>
        <v/>
      </c>
      <c r="M723" s="179" t="str">
        <f t="array" ref="M723">IF($F723&lt;&gt;"",XLOOKUP($F723,Productos!$A:$A,Productos!F:F,"Revisar"),"")</f>
        <v/>
      </c>
      <c r="N723" s="179" t="str">
        <f t="array" ref="N723">IF($F723&lt;&gt;"", XLOOKUP($F723,Productos!$A$2:$A1001,Productos!G$2:G1001,"")*$G723,"")</f>
        <v/>
      </c>
      <c r="O723" s="179" t="str">
        <f t="array" ref="O723">IF($F723&lt;&gt;"",XLOOKUP($F723,Productos!$A:$A,Productos!H:H,"Revisar"),"")</f>
        <v/>
      </c>
      <c r="P723" s="179" t="str">
        <f t="array" ref="P723">IF($F723&lt;&gt;"", XLOOKUP($F723,Productos!$A$2:$A1001,Productos!I$2:I1001,"")*$G723,"")</f>
        <v/>
      </c>
      <c r="Q723" s="179" t="str">
        <f t="array" ref="Q723">IF($F723&lt;&gt;"",XLOOKUP($F723,Productos!$A:$A,Productos!J:J,"Revisar"),"")</f>
        <v/>
      </c>
      <c r="R723" s="179" t="str">
        <f t="array" ref="R723">IF($F723&lt;&gt;"", XLOOKUP($F723,Productos!$A$2:$A1001,Productos!K$2:K1001,"")*$G723,"")</f>
        <v/>
      </c>
      <c r="S723" s="179" t="str">
        <f t="array" ref="S723">IF($F723&lt;&gt;"",XLOOKUP($F723,Productos!$A:$A,Productos!L:L,"Revisar"),"")</f>
        <v/>
      </c>
      <c r="T723" s="179" t="str">
        <f t="array" ref="T723">IF($F723&lt;&gt;"", XLOOKUP($F723,Productos!$A$2:$A1001,Productos!M$2:M1001,"")*$G723,"")</f>
        <v/>
      </c>
      <c r="U723" s="179" t="str">
        <f t="array" ref="U723">IF($F723&lt;&gt;"",XLOOKUP($F723,Productos!$A:$A,Productos!N:N,"Revisar"),"")</f>
        <v/>
      </c>
      <c r="V723" s="179" t="str">
        <f t="array" ref="V723">IF($F723&lt;&gt;"", XLOOKUP($F723,Productos!$A$2:$A1001,Productos!O$2:O1001,"")*$G723,"")</f>
        <v/>
      </c>
      <c r="W723" s="179" t="str">
        <f t="array" ref="W723">IF($F723&lt;&gt;"",XLOOKUP($F723,Productos!$A:$A,Productos!P:P,"Revisar"),"")</f>
        <v/>
      </c>
      <c r="X723" s="179" t="str">
        <f t="array" ref="X723">IF($F723&lt;&gt;"", XLOOKUP($F723,Productos!$A$2:$A1001,Productos!Q$2:Q1001,"")*$G723,"")</f>
        <v/>
      </c>
      <c r="Y723" s="179" t="str">
        <f t="array" ref="Y723">IF($F723&lt;&gt;"",XLOOKUP($F723,Productos!$A:$A,Productos!R:R,"Revisar"),"")</f>
        <v/>
      </c>
      <c r="Z723" s="179" t="str">
        <f t="array" ref="Z723">IF($F723&lt;&gt;"", XLOOKUP($F723,Productos!$A$2:$A1001,Productos!S$2:S1001,"")*$G723,"")</f>
        <v/>
      </c>
      <c r="AA723" s="179" t="str">
        <f t="array" ref="AA723">IF($F723&lt;&gt;"",XLOOKUP($F723,Productos!$A:$A,Productos!T:T,"Revisar"),"")</f>
        <v/>
      </c>
      <c r="AB723" s="179" t="str">
        <f t="array" ref="AB723">IF($F723&lt;&gt;"", XLOOKUP($F723,Productos!$A$2:$A1001,Productos!U$2:U1001,"")*$G723,"")</f>
        <v/>
      </c>
      <c r="AC723" s="179" t="str">
        <f t="array" ref="AC723">IF($F723&lt;&gt;"",XLOOKUP($F723,Productos!$A:$A,Productos!V:V,"Revisar"),"")</f>
        <v/>
      </c>
      <c r="AD723" s="179" t="str">
        <f t="array" ref="AD723">IF($F723&lt;&gt;"", XLOOKUP($F723,Productos!$A$2:$A1001,Productos!W$2:W1001,"")*$G723,"")</f>
        <v/>
      </c>
      <c r="AE723" s="179" t="str">
        <f t="array" ref="AE723">IF($F723&lt;&gt;"",XLOOKUP($F723,Productos!$A:$A,Productos!X:X,"Revisar"),"")</f>
        <v/>
      </c>
      <c r="AF723" s="179" t="str">
        <f t="array" ref="AF723">IF($F723&lt;&gt;"", XLOOKUP($F723,Productos!$A$2:$A1001,Productos!Y$2:Y1001,"")*$G723,"")</f>
        <v/>
      </c>
      <c r="AG723" s="179" t="str">
        <f t="array" ref="AG723">IF($F723&lt;&gt;"",XLOOKUP($F723,Productos!$A:$A,Productos!Z:Z,"Revisar"),"")</f>
        <v/>
      </c>
      <c r="AH723" s="179" t="str">
        <f t="array" ref="AH723">IF($F723&lt;&gt;"", XLOOKUP($F723,Productos!$A$2:$A1001,Productos!AA$2:AA1001,"")*$G723,"")</f>
        <v/>
      </c>
      <c r="AI723" s="179" t="str">
        <f t="array" ref="AI723">IF($F723&lt;&gt;"",XLOOKUP($F723,Productos!$A:$A,Productos!AB:AB,"Revisar"),"")</f>
        <v/>
      </c>
      <c r="AJ723" s="179" t="str">
        <f t="array" ref="AJ723">IF($F723&lt;&gt;"", XLOOKUP($F723,Productos!$A$2:$A1001,Productos!AC$2:AC1001,"")*$G723,"")</f>
        <v/>
      </c>
      <c r="AK723" s="179" t="str">
        <f t="array" ref="AK723">IF($F723&lt;&gt;"",XLOOKUP($F723,Productos!$A:$A,Productos!AD:AD,"Revisar"),"")</f>
        <v/>
      </c>
      <c r="AL723" s="179" t="str">
        <f t="array" ref="AL723">IF($F723&lt;&gt;"", XLOOKUP($F723,Productos!$A$2:$A1001,Productos!AE$2:AE1001,"")*$G723,"")</f>
        <v/>
      </c>
      <c r="AM723" s="179" t="str">
        <f t="array" ref="AM723">IF($F723&lt;&gt;"",XLOOKUP($F723,Productos!$A:$A,Productos!AF:AF,"Revisar"),"")</f>
        <v/>
      </c>
      <c r="AN723" s="179" t="str">
        <f t="array" ref="AN723">IF($F723&lt;&gt;"", XLOOKUP($F723,Productos!$A$2:$A1001,Productos!AG$2:AG1001,"")*$G723,"")</f>
        <v/>
      </c>
      <c r="AO723" s="179" t="str">
        <f t="array" ref="AO723">IF($F723&lt;&gt;"",XLOOKUP($F723,Productos!$A:$A,Productos!AH:AH,"Revisar"),"")</f>
        <v/>
      </c>
      <c r="AP723" s="179" t="str">
        <f t="array" ref="AP723">IF($F723&lt;&gt;"", XLOOKUP($F723,Productos!$A$2:$A1001,Productos!AI$2:AI1001,"")*$G723,"")</f>
        <v/>
      </c>
      <c r="AQ723" s="179" t="str">
        <f t="array" ref="AQ723">IF($F723&lt;&gt;"",XLOOKUP($F723,Productos!$A:$A,Productos!AJ:AJ,"Revisar"),"")</f>
        <v/>
      </c>
      <c r="AR723" s="179" t="str">
        <f t="array" ref="AR723">IF($F723&lt;&gt;"", XLOOKUP($F723,Productos!$A$2:$A1001,Productos!AK$2:AK1001,"")*$G723,"")</f>
        <v/>
      </c>
      <c r="AS723" s="179" t="str">
        <f t="array" ref="AS723">IF($F723&lt;&gt;"",XLOOKUP($F723,Productos!$A:$A,Productos!AL:AL,"Revisar"),"")</f>
        <v/>
      </c>
      <c r="AT723" s="179" t="str">
        <f t="array" ref="AT723">IF($F723&lt;&gt;"", XLOOKUP($F723,Productos!$A$2:$A1001,Productos!AM$2:AM1001,"")*$G723,"")</f>
        <v/>
      </c>
      <c r="AU723" s="179" t="str">
        <f t="array" ref="AU723">IF($F723&lt;&gt;"",XLOOKUP($F723,Productos!$A:$A,Productos!AN:AN,"Revisar"),"")</f>
        <v/>
      </c>
      <c r="AV723" s="179" t="str">
        <f t="array" ref="AV723">IF($F723&lt;&gt;"", XLOOKUP($F723,Productos!$A$2:$A1001,Productos!AO$2:AO1001,"")*$G723,"")</f>
        <v/>
      </c>
      <c r="AW723" s="179" t="str">
        <f t="array" ref="AW723">IF($F723&lt;&gt;"",XLOOKUP($F723,Productos!$A:$A,Productos!AP:AP,"Revisar"),"")</f>
        <v/>
      </c>
      <c r="AX723" s="179" t="str">
        <f t="array" ref="AX723">IF($F723&lt;&gt;"", XLOOKUP($F723,Productos!$A$2:$A1001,Productos!AQ$2:AQ1001,"")*$G723,"")</f>
        <v/>
      </c>
      <c r="AY723" s="179" t="str">
        <f t="array" ref="AY723">IF($F723&lt;&gt;"",XLOOKUP($F723,Productos!$A:$A,Productos!AR:AR,"Revisar"),"")</f>
        <v/>
      </c>
      <c r="AZ723" s="179" t="str">
        <f t="array" ref="AZ723">IF($F723&lt;&gt;"", XLOOKUP($F723,Productos!$A$2:$A1001,Productos!AS$2:AS1001,"")*$G723,"")</f>
        <v/>
      </c>
      <c r="BA723" s="179" t="str">
        <f t="array" ref="BA723">IF($F723&lt;&gt;"",XLOOKUP($F723,Productos!$A:$A,Productos!AT:AT,"Revisar"),"")</f>
        <v/>
      </c>
      <c r="BB723" s="179" t="str">
        <f t="array" ref="BB723">IF($F723&lt;&gt;"", XLOOKUP($F723,Productos!$A$2:$A1001,Productos!AU$2:AU1001,"")*$G723,"")</f>
        <v/>
      </c>
      <c r="BC723" s="179" t="str">
        <f t="array" ref="BC723">IF($F723&lt;&gt;"",XLOOKUP($F723,Productos!$A:$A,Productos!AV:AV,"Revisar"),"")</f>
        <v/>
      </c>
      <c r="BD723" s="179" t="str">
        <f t="array" ref="BD723">IF($F723&lt;&gt;"", XLOOKUP($F723,Productos!$A$2:$A1001,Productos!AW$2:AW1001,"")*$G723,"")</f>
        <v/>
      </c>
      <c r="BE723" s="179" t="str">
        <f t="array" ref="BE723">IF($F723&lt;&gt;"",XLOOKUP($F723,Productos!$A:$A,Productos!AX:AX,"Revisar"),"")</f>
        <v/>
      </c>
      <c r="BF723" s="179" t="str">
        <f t="array" ref="BF723">IF($F723&lt;&gt;"", XLOOKUP($F723,Productos!$A$2:$A1001,Productos!AY$2:AY1001,"")*$G723,"")</f>
        <v/>
      </c>
      <c r="BG723" s="179" t="str">
        <f t="array" ref="BG723">IF($F723&lt;&gt;"",XLOOKUP($F723,Productos!$A:$A,Productos!AZ:AZ,"Revisar"),"")</f>
        <v/>
      </c>
      <c r="BH723" s="179" t="str">
        <f t="array" ref="BH723">IF($F723&lt;&gt;"", XLOOKUP($F723,Productos!$A$2:$A1001,Productos!BA$2:BA1001,"")*$G723,"")</f>
        <v/>
      </c>
      <c r="BI723" s="179" t="str">
        <f t="array" ref="BI723">IF($F723&lt;&gt;"",XLOOKUP($F723,Productos!$A:$A,Productos!BB:BB,"Revisar"),"")</f>
        <v/>
      </c>
      <c r="BJ723" s="179" t="str">
        <f t="array" ref="BJ723">IF($F723&lt;&gt;"", XLOOKUP($F723,Productos!$A$2:$A1001,Productos!BC$2:BC1001,"")*$G723,"")</f>
        <v/>
      </c>
      <c r="BK723" s="179" t="str">
        <f t="array" ref="BK723">IF($F723&lt;&gt;"",XLOOKUP($F723,Productos!$A:$A,Productos!BD:BD,"Revisar"),"")</f>
        <v/>
      </c>
      <c r="BL723" s="179" t="str">
        <f t="array" ref="BL723">IF($F723&lt;&gt;"", XLOOKUP($F723,Productos!$A$2:$A1001,Productos!BE$2:BE1001,"")*$G723,"")</f>
        <v/>
      </c>
      <c r="BM723" s="179" t="str">
        <f t="array" ref="BM723">IF($F723&lt;&gt;"",XLOOKUP($F723,Productos!$A:$A,Productos!BF:BF,"Revisar"),"")</f>
        <v/>
      </c>
      <c r="BN723" s="179" t="str">
        <f t="array" ref="BN723">IF($F723&lt;&gt;"", XLOOKUP($F723,Productos!$A$2:$A1001,Productos!BG$2:BG1001,"")*$G723,"")</f>
        <v/>
      </c>
      <c r="BO723" s="179" t="str">
        <f t="array" ref="BO723">IF($F723&lt;&gt;"",XLOOKUP($F723,Productos!$A:$A,Productos!BH:BH,"Revisar"),"")</f>
        <v/>
      </c>
      <c r="BP723" s="179" t="str">
        <f t="array" ref="BP723">IF($F723&lt;&gt;"", XLOOKUP($F723,Productos!$A$2:$A1001,Productos!BI$2:BI1001,"")*$G723,"")</f>
        <v/>
      </c>
      <c r="BQ723" s="179" t="str">
        <f t="array" ref="BQ723">IF($F723&lt;&gt;"",XLOOKUP($F723,Productos!$A:$A,Productos!BJ:BJ,"Revisar"),"")</f>
        <v/>
      </c>
      <c r="BR723" s="179" t="str">
        <f t="array" ref="BR723">IF($F723&lt;&gt;"", XLOOKUP($F723,Productos!$A$2:$A1001,Productos!BK$2:BK1001,"")*$G723,"")</f>
        <v/>
      </c>
      <c r="BS723" s="179" t="str">
        <f t="array" ref="BS723">IF($F723&lt;&gt;"",XLOOKUP($F723,Productos!$A:$A,Productos!BL:BL,"Revisar"),"")</f>
        <v/>
      </c>
      <c r="BT723" s="179" t="str">
        <f t="array" ref="BT723">IF($F723&lt;&gt;"", XLOOKUP($F723,Productos!$A$2:$A1001,Productos!BM$2:BM1001,"")*$G723,"")</f>
        <v/>
      </c>
      <c r="BU723" s="179" t="str">
        <f t="array" ref="BU723">IF($F723&lt;&gt;"",XLOOKUP($F723,Productos!$A:$A,Productos!BN:BN,"Revisar"),"")</f>
        <v/>
      </c>
      <c r="BV723" s="179" t="str">
        <f t="array" ref="BV723">IF($F723&lt;&gt;"", XLOOKUP($F723,Productos!$A$2:$A1001,Productos!BO$2:BO1001,"")*$G723,"")</f>
        <v/>
      </c>
      <c r="BW723" s="179" t="str">
        <f t="array" ref="BW723">IF($F723&lt;&gt;"",XLOOKUP($F723,Productos!$A:$A,Productos!BP:BP,"Revisar"),"")</f>
        <v/>
      </c>
      <c r="BX723" s="179" t="str">
        <f t="array" ref="BX723">IF($F723&lt;&gt;"", XLOOKUP($F723,Productos!$A$2:$A1001,Productos!BQ$2:BQ1001,"")*$G723,"")</f>
        <v/>
      </c>
      <c r="BY723" s="179" t="str">
        <f t="array" ref="BY723">IF($F723&lt;&gt;"",XLOOKUP($F723,Productos!$A:$A,Productos!BR:BR,"Revisar"),"")</f>
        <v/>
      </c>
      <c r="BZ723" s="179" t="str">
        <f t="array" ref="BZ723">IF($F723&lt;&gt;"", XLOOKUP($F723,Productos!$A$2:$A1001,Productos!BS$2:BS1001,"")*$G723,"")</f>
        <v/>
      </c>
    </row>
    <row r="724">
      <c r="A724" s="188"/>
      <c r="B724" s="189"/>
      <c r="C724" s="190"/>
      <c r="D724" s="190"/>
      <c r="E724" s="191"/>
      <c r="F724" s="186"/>
      <c r="G724" s="192"/>
      <c r="H724" s="9"/>
      <c r="I724" s="179" t="str">
        <f t="array" ref="I724">IF($F724&lt;&gt;"",XLOOKUP($F724,Productos!$A:$A,Productos!B:B,"Revisar"),"")</f>
        <v/>
      </c>
      <c r="J724" s="179" t="str">
        <f t="array" ref="J724">IF($F724&lt;&gt;"", XLOOKUP($F724,Productos!$A$2:$A1001,Productos!C$2:C1001,"")*$G724,"")</f>
        <v/>
      </c>
      <c r="K724" s="179" t="str">
        <f t="array" ref="K724">IF($F724&lt;&gt;"",XLOOKUP($F724,Productos!$A:$A,Productos!D:D,"Revisar"),"")</f>
        <v/>
      </c>
      <c r="L724" s="179" t="str">
        <f t="array" ref="L724">IF($F724&lt;&gt;"", XLOOKUP($F724,Productos!$A$2:$A1001,Productos!E$2:E1001,"")*$G724,"")</f>
        <v/>
      </c>
      <c r="M724" s="179" t="str">
        <f t="array" ref="M724">IF($F724&lt;&gt;"",XLOOKUP($F724,Productos!$A:$A,Productos!F:F,"Revisar"),"")</f>
        <v/>
      </c>
      <c r="N724" s="179" t="str">
        <f t="array" ref="N724">IF($F724&lt;&gt;"", XLOOKUP($F724,Productos!$A$2:$A1001,Productos!G$2:G1001,"")*$G724,"")</f>
        <v/>
      </c>
      <c r="O724" s="179" t="str">
        <f t="array" ref="O724">IF($F724&lt;&gt;"",XLOOKUP($F724,Productos!$A:$A,Productos!H:H,"Revisar"),"")</f>
        <v/>
      </c>
      <c r="P724" s="179" t="str">
        <f t="array" ref="P724">IF($F724&lt;&gt;"", XLOOKUP($F724,Productos!$A$2:$A1001,Productos!I$2:I1001,"")*$G724,"")</f>
        <v/>
      </c>
      <c r="Q724" s="179" t="str">
        <f t="array" ref="Q724">IF($F724&lt;&gt;"",XLOOKUP($F724,Productos!$A:$A,Productos!J:J,"Revisar"),"")</f>
        <v/>
      </c>
      <c r="R724" s="179" t="str">
        <f t="array" ref="R724">IF($F724&lt;&gt;"", XLOOKUP($F724,Productos!$A$2:$A1001,Productos!K$2:K1001,"")*$G724,"")</f>
        <v/>
      </c>
      <c r="S724" s="179" t="str">
        <f t="array" ref="S724">IF($F724&lt;&gt;"",XLOOKUP($F724,Productos!$A:$A,Productos!L:L,"Revisar"),"")</f>
        <v/>
      </c>
      <c r="T724" s="179" t="str">
        <f t="array" ref="T724">IF($F724&lt;&gt;"", XLOOKUP($F724,Productos!$A$2:$A1001,Productos!M$2:M1001,"")*$G724,"")</f>
        <v/>
      </c>
      <c r="U724" s="179" t="str">
        <f t="array" ref="U724">IF($F724&lt;&gt;"",XLOOKUP($F724,Productos!$A:$A,Productos!N:N,"Revisar"),"")</f>
        <v/>
      </c>
      <c r="V724" s="179" t="str">
        <f t="array" ref="V724">IF($F724&lt;&gt;"", XLOOKUP($F724,Productos!$A$2:$A1001,Productos!O$2:O1001,"")*$G724,"")</f>
        <v/>
      </c>
      <c r="W724" s="179" t="str">
        <f t="array" ref="W724">IF($F724&lt;&gt;"",XLOOKUP($F724,Productos!$A:$A,Productos!P:P,"Revisar"),"")</f>
        <v/>
      </c>
      <c r="X724" s="179" t="str">
        <f t="array" ref="X724">IF($F724&lt;&gt;"", XLOOKUP($F724,Productos!$A$2:$A1001,Productos!Q$2:Q1001,"")*$G724,"")</f>
        <v/>
      </c>
      <c r="Y724" s="179" t="str">
        <f t="array" ref="Y724">IF($F724&lt;&gt;"",XLOOKUP($F724,Productos!$A:$A,Productos!R:R,"Revisar"),"")</f>
        <v/>
      </c>
      <c r="Z724" s="179" t="str">
        <f t="array" ref="Z724">IF($F724&lt;&gt;"", XLOOKUP($F724,Productos!$A$2:$A1001,Productos!S$2:S1001,"")*$G724,"")</f>
        <v/>
      </c>
      <c r="AA724" s="179" t="str">
        <f t="array" ref="AA724">IF($F724&lt;&gt;"",XLOOKUP($F724,Productos!$A:$A,Productos!T:T,"Revisar"),"")</f>
        <v/>
      </c>
      <c r="AB724" s="179" t="str">
        <f t="array" ref="AB724">IF($F724&lt;&gt;"", XLOOKUP($F724,Productos!$A$2:$A1001,Productos!U$2:U1001,"")*$G724,"")</f>
        <v/>
      </c>
      <c r="AC724" s="179" t="str">
        <f t="array" ref="AC724">IF($F724&lt;&gt;"",XLOOKUP($F724,Productos!$A:$A,Productos!V:V,"Revisar"),"")</f>
        <v/>
      </c>
      <c r="AD724" s="179" t="str">
        <f t="array" ref="AD724">IF($F724&lt;&gt;"", XLOOKUP($F724,Productos!$A$2:$A1001,Productos!W$2:W1001,"")*$G724,"")</f>
        <v/>
      </c>
      <c r="AE724" s="179" t="str">
        <f t="array" ref="AE724">IF($F724&lt;&gt;"",XLOOKUP($F724,Productos!$A:$A,Productos!X:X,"Revisar"),"")</f>
        <v/>
      </c>
      <c r="AF724" s="179" t="str">
        <f t="array" ref="AF724">IF($F724&lt;&gt;"", XLOOKUP($F724,Productos!$A$2:$A1001,Productos!Y$2:Y1001,"")*$G724,"")</f>
        <v/>
      </c>
      <c r="AG724" s="179" t="str">
        <f t="array" ref="AG724">IF($F724&lt;&gt;"",XLOOKUP($F724,Productos!$A:$A,Productos!Z:Z,"Revisar"),"")</f>
        <v/>
      </c>
      <c r="AH724" s="179" t="str">
        <f t="array" ref="AH724">IF($F724&lt;&gt;"", XLOOKUP($F724,Productos!$A$2:$A1001,Productos!AA$2:AA1001,"")*$G724,"")</f>
        <v/>
      </c>
      <c r="AI724" s="179" t="str">
        <f t="array" ref="AI724">IF($F724&lt;&gt;"",XLOOKUP($F724,Productos!$A:$A,Productos!AB:AB,"Revisar"),"")</f>
        <v/>
      </c>
      <c r="AJ724" s="179" t="str">
        <f t="array" ref="AJ724">IF($F724&lt;&gt;"", XLOOKUP($F724,Productos!$A$2:$A1001,Productos!AC$2:AC1001,"")*$G724,"")</f>
        <v/>
      </c>
      <c r="AK724" s="179" t="str">
        <f t="array" ref="AK724">IF($F724&lt;&gt;"",XLOOKUP($F724,Productos!$A:$A,Productos!AD:AD,"Revisar"),"")</f>
        <v/>
      </c>
      <c r="AL724" s="179" t="str">
        <f t="array" ref="AL724">IF($F724&lt;&gt;"", XLOOKUP($F724,Productos!$A$2:$A1001,Productos!AE$2:AE1001,"")*$G724,"")</f>
        <v/>
      </c>
      <c r="AM724" s="179" t="str">
        <f t="array" ref="AM724">IF($F724&lt;&gt;"",XLOOKUP($F724,Productos!$A:$A,Productos!AF:AF,"Revisar"),"")</f>
        <v/>
      </c>
      <c r="AN724" s="179" t="str">
        <f t="array" ref="AN724">IF($F724&lt;&gt;"", XLOOKUP($F724,Productos!$A$2:$A1001,Productos!AG$2:AG1001,"")*$G724,"")</f>
        <v/>
      </c>
      <c r="AO724" s="179" t="str">
        <f t="array" ref="AO724">IF($F724&lt;&gt;"",XLOOKUP($F724,Productos!$A:$A,Productos!AH:AH,"Revisar"),"")</f>
        <v/>
      </c>
      <c r="AP724" s="179" t="str">
        <f t="array" ref="AP724">IF($F724&lt;&gt;"", XLOOKUP($F724,Productos!$A$2:$A1001,Productos!AI$2:AI1001,"")*$G724,"")</f>
        <v/>
      </c>
      <c r="AQ724" s="179" t="str">
        <f t="array" ref="AQ724">IF($F724&lt;&gt;"",XLOOKUP($F724,Productos!$A:$A,Productos!AJ:AJ,"Revisar"),"")</f>
        <v/>
      </c>
      <c r="AR724" s="179" t="str">
        <f t="array" ref="AR724">IF($F724&lt;&gt;"", XLOOKUP($F724,Productos!$A$2:$A1001,Productos!AK$2:AK1001,"")*$G724,"")</f>
        <v/>
      </c>
      <c r="AS724" s="179" t="str">
        <f t="array" ref="AS724">IF($F724&lt;&gt;"",XLOOKUP($F724,Productos!$A:$A,Productos!AL:AL,"Revisar"),"")</f>
        <v/>
      </c>
      <c r="AT724" s="179" t="str">
        <f t="array" ref="AT724">IF($F724&lt;&gt;"", XLOOKUP($F724,Productos!$A$2:$A1001,Productos!AM$2:AM1001,"")*$G724,"")</f>
        <v/>
      </c>
      <c r="AU724" s="179" t="str">
        <f t="array" ref="AU724">IF($F724&lt;&gt;"",XLOOKUP($F724,Productos!$A:$A,Productos!AN:AN,"Revisar"),"")</f>
        <v/>
      </c>
      <c r="AV724" s="179" t="str">
        <f t="array" ref="AV724">IF($F724&lt;&gt;"", XLOOKUP($F724,Productos!$A$2:$A1001,Productos!AO$2:AO1001,"")*$G724,"")</f>
        <v/>
      </c>
      <c r="AW724" s="179" t="str">
        <f t="array" ref="AW724">IF($F724&lt;&gt;"",XLOOKUP($F724,Productos!$A:$A,Productos!AP:AP,"Revisar"),"")</f>
        <v/>
      </c>
      <c r="AX724" s="179" t="str">
        <f t="array" ref="AX724">IF($F724&lt;&gt;"", XLOOKUP($F724,Productos!$A$2:$A1001,Productos!AQ$2:AQ1001,"")*$G724,"")</f>
        <v/>
      </c>
      <c r="AY724" s="179" t="str">
        <f t="array" ref="AY724">IF($F724&lt;&gt;"",XLOOKUP($F724,Productos!$A:$A,Productos!AR:AR,"Revisar"),"")</f>
        <v/>
      </c>
      <c r="AZ724" s="179" t="str">
        <f t="array" ref="AZ724">IF($F724&lt;&gt;"", XLOOKUP($F724,Productos!$A$2:$A1001,Productos!AS$2:AS1001,"")*$G724,"")</f>
        <v/>
      </c>
      <c r="BA724" s="179" t="str">
        <f t="array" ref="BA724">IF($F724&lt;&gt;"",XLOOKUP($F724,Productos!$A:$A,Productos!AT:AT,"Revisar"),"")</f>
        <v/>
      </c>
      <c r="BB724" s="179" t="str">
        <f t="array" ref="BB724">IF($F724&lt;&gt;"", XLOOKUP($F724,Productos!$A$2:$A1001,Productos!AU$2:AU1001,"")*$G724,"")</f>
        <v/>
      </c>
      <c r="BC724" s="179" t="str">
        <f t="array" ref="BC724">IF($F724&lt;&gt;"",XLOOKUP($F724,Productos!$A:$A,Productos!AV:AV,"Revisar"),"")</f>
        <v/>
      </c>
      <c r="BD724" s="179" t="str">
        <f t="array" ref="BD724">IF($F724&lt;&gt;"", XLOOKUP($F724,Productos!$A$2:$A1001,Productos!AW$2:AW1001,"")*$G724,"")</f>
        <v/>
      </c>
      <c r="BE724" s="179" t="str">
        <f t="array" ref="BE724">IF($F724&lt;&gt;"",XLOOKUP($F724,Productos!$A:$A,Productos!AX:AX,"Revisar"),"")</f>
        <v/>
      </c>
      <c r="BF724" s="179" t="str">
        <f t="array" ref="BF724">IF($F724&lt;&gt;"", XLOOKUP($F724,Productos!$A$2:$A1001,Productos!AY$2:AY1001,"")*$G724,"")</f>
        <v/>
      </c>
      <c r="BG724" s="179" t="str">
        <f t="array" ref="BG724">IF($F724&lt;&gt;"",XLOOKUP($F724,Productos!$A:$A,Productos!AZ:AZ,"Revisar"),"")</f>
        <v/>
      </c>
      <c r="BH724" s="179" t="str">
        <f t="array" ref="BH724">IF($F724&lt;&gt;"", XLOOKUP($F724,Productos!$A$2:$A1001,Productos!BA$2:BA1001,"")*$G724,"")</f>
        <v/>
      </c>
      <c r="BI724" s="179" t="str">
        <f t="array" ref="BI724">IF($F724&lt;&gt;"",XLOOKUP($F724,Productos!$A:$A,Productos!BB:BB,"Revisar"),"")</f>
        <v/>
      </c>
      <c r="BJ724" s="179" t="str">
        <f t="array" ref="BJ724">IF($F724&lt;&gt;"", XLOOKUP($F724,Productos!$A$2:$A1001,Productos!BC$2:BC1001,"")*$G724,"")</f>
        <v/>
      </c>
      <c r="BK724" s="179" t="str">
        <f t="array" ref="BK724">IF($F724&lt;&gt;"",XLOOKUP($F724,Productos!$A:$A,Productos!BD:BD,"Revisar"),"")</f>
        <v/>
      </c>
      <c r="BL724" s="179" t="str">
        <f t="array" ref="BL724">IF($F724&lt;&gt;"", XLOOKUP($F724,Productos!$A$2:$A1001,Productos!BE$2:BE1001,"")*$G724,"")</f>
        <v/>
      </c>
      <c r="BM724" s="179" t="str">
        <f t="array" ref="BM724">IF($F724&lt;&gt;"",XLOOKUP($F724,Productos!$A:$A,Productos!BF:BF,"Revisar"),"")</f>
        <v/>
      </c>
      <c r="BN724" s="179" t="str">
        <f t="array" ref="BN724">IF($F724&lt;&gt;"", XLOOKUP($F724,Productos!$A$2:$A1001,Productos!BG$2:BG1001,"")*$G724,"")</f>
        <v/>
      </c>
      <c r="BO724" s="179" t="str">
        <f t="array" ref="BO724">IF($F724&lt;&gt;"",XLOOKUP($F724,Productos!$A:$A,Productos!BH:BH,"Revisar"),"")</f>
        <v/>
      </c>
      <c r="BP724" s="179" t="str">
        <f t="array" ref="BP724">IF($F724&lt;&gt;"", XLOOKUP($F724,Productos!$A$2:$A1001,Productos!BI$2:BI1001,"")*$G724,"")</f>
        <v/>
      </c>
      <c r="BQ724" s="179" t="str">
        <f t="array" ref="BQ724">IF($F724&lt;&gt;"",XLOOKUP($F724,Productos!$A:$A,Productos!BJ:BJ,"Revisar"),"")</f>
        <v/>
      </c>
      <c r="BR724" s="179" t="str">
        <f t="array" ref="BR724">IF($F724&lt;&gt;"", XLOOKUP($F724,Productos!$A$2:$A1001,Productos!BK$2:BK1001,"")*$G724,"")</f>
        <v/>
      </c>
      <c r="BS724" s="179" t="str">
        <f t="array" ref="BS724">IF($F724&lt;&gt;"",XLOOKUP($F724,Productos!$A:$A,Productos!BL:BL,"Revisar"),"")</f>
        <v/>
      </c>
      <c r="BT724" s="179" t="str">
        <f t="array" ref="BT724">IF($F724&lt;&gt;"", XLOOKUP($F724,Productos!$A$2:$A1001,Productos!BM$2:BM1001,"")*$G724,"")</f>
        <v/>
      </c>
      <c r="BU724" s="179" t="str">
        <f t="array" ref="BU724">IF($F724&lt;&gt;"",XLOOKUP($F724,Productos!$A:$A,Productos!BN:BN,"Revisar"),"")</f>
        <v/>
      </c>
      <c r="BV724" s="179" t="str">
        <f t="array" ref="BV724">IF($F724&lt;&gt;"", XLOOKUP($F724,Productos!$A$2:$A1001,Productos!BO$2:BO1001,"")*$G724,"")</f>
        <v/>
      </c>
      <c r="BW724" s="179" t="str">
        <f t="array" ref="BW724">IF($F724&lt;&gt;"",XLOOKUP($F724,Productos!$A:$A,Productos!BP:BP,"Revisar"),"")</f>
        <v/>
      </c>
      <c r="BX724" s="179" t="str">
        <f t="array" ref="BX724">IF($F724&lt;&gt;"", XLOOKUP($F724,Productos!$A$2:$A1001,Productos!BQ$2:BQ1001,"")*$G724,"")</f>
        <v/>
      </c>
      <c r="BY724" s="179" t="str">
        <f t="array" ref="BY724">IF($F724&lt;&gt;"",XLOOKUP($F724,Productos!$A:$A,Productos!BR:BR,"Revisar"),"")</f>
        <v/>
      </c>
      <c r="BZ724" s="179" t="str">
        <f t="array" ref="BZ724">IF($F724&lt;&gt;"", XLOOKUP($F724,Productos!$A$2:$A1001,Productos!BS$2:BS1001,"")*$G724,"")</f>
        <v/>
      </c>
    </row>
    <row r="725">
      <c r="A725" s="188"/>
      <c r="B725" s="189"/>
      <c r="C725" s="190"/>
      <c r="D725" s="190"/>
      <c r="E725" s="191"/>
      <c r="F725" s="186"/>
      <c r="G725" s="192"/>
      <c r="H725" s="9"/>
      <c r="I725" s="179" t="str">
        <f t="array" ref="I725">IF($F725&lt;&gt;"",XLOOKUP($F725,Productos!$A:$A,Productos!B:B,"Revisar"),"")</f>
        <v/>
      </c>
      <c r="J725" s="179" t="str">
        <f t="array" ref="J725">IF($F725&lt;&gt;"", XLOOKUP($F725,Productos!$A$2:$A1001,Productos!C$2:C1001,"")*$G725,"")</f>
        <v/>
      </c>
      <c r="K725" s="179" t="str">
        <f t="array" ref="K725">IF($F725&lt;&gt;"",XLOOKUP($F725,Productos!$A:$A,Productos!D:D,"Revisar"),"")</f>
        <v/>
      </c>
      <c r="L725" s="179" t="str">
        <f t="array" ref="L725">IF($F725&lt;&gt;"", XLOOKUP($F725,Productos!$A$2:$A1001,Productos!E$2:E1001,"")*$G725,"")</f>
        <v/>
      </c>
      <c r="M725" s="179" t="str">
        <f t="array" ref="M725">IF($F725&lt;&gt;"",XLOOKUP($F725,Productos!$A:$A,Productos!F:F,"Revisar"),"")</f>
        <v/>
      </c>
      <c r="N725" s="179" t="str">
        <f t="array" ref="N725">IF($F725&lt;&gt;"", XLOOKUP($F725,Productos!$A$2:$A1001,Productos!G$2:G1001,"")*$G725,"")</f>
        <v/>
      </c>
      <c r="O725" s="179" t="str">
        <f t="array" ref="O725">IF($F725&lt;&gt;"",XLOOKUP($F725,Productos!$A:$A,Productos!H:H,"Revisar"),"")</f>
        <v/>
      </c>
      <c r="P725" s="179" t="str">
        <f t="array" ref="P725">IF($F725&lt;&gt;"", XLOOKUP($F725,Productos!$A$2:$A1001,Productos!I$2:I1001,"")*$G725,"")</f>
        <v/>
      </c>
      <c r="Q725" s="179" t="str">
        <f t="array" ref="Q725">IF($F725&lt;&gt;"",XLOOKUP($F725,Productos!$A:$A,Productos!J:J,"Revisar"),"")</f>
        <v/>
      </c>
      <c r="R725" s="179" t="str">
        <f t="array" ref="R725">IF($F725&lt;&gt;"", XLOOKUP($F725,Productos!$A$2:$A1001,Productos!K$2:K1001,"")*$G725,"")</f>
        <v/>
      </c>
      <c r="S725" s="179" t="str">
        <f t="array" ref="S725">IF($F725&lt;&gt;"",XLOOKUP($F725,Productos!$A:$A,Productos!L:L,"Revisar"),"")</f>
        <v/>
      </c>
      <c r="T725" s="179" t="str">
        <f t="array" ref="T725">IF($F725&lt;&gt;"", XLOOKUP($F725,Productos!$A$2:$A1001,Productos!M$2:M1001,"")*$G725,"")</f>
        <v/>
      </c>
      <c r="U725" s="179" t="str">
        <f t="array" ref="U725">IF($F725&lt;&gt;"",XLOOKUP($F725,Productos!$A:$A,Productos!N:N,"Revisar"),"")</f>
        <v/>
      </c>
      <c r="V725" s="179" t="str">
        <f t="array" ref="V725">IF($F725&lt;&gt;"", XLOOKUP($F725,Productos!$A$2:$A1001,Productos!O$2:O1001,"")*$G725,"")</f>
        <v/>
      </c>
      <c r="W725" s="179" t="str">
        <f t="array" ref="W725">IF($F725&lt;&gt;"",XLOOKUP($F725,Productos!$A:$A,Productos!P:P,"Revisar"),"")</f>
        <v/>
      </c>
      <c r="X725" s="179" t="str">
        <f t="array" ref="X725">IF($F725&lt;&gt;"", XLOOKUP($F725,Productos!$A$2:$A1001,Productos!Q$2:Q1001,"")*$G725,"")</f>
        <v/>
      </c>
      <c r="Y725" s="179" t="str">
        <f t="array" ref="Y725">IF($F725&lt;&gt;"",XLOOKUP($F725,Productos!$A:$A,Productos!R:R,"Revisar"),"")</f>
        <v/>
      </c>
      <c r="Z725" s="179" t="str">
        <f t="array" ref="Z725">IF($F725&lt;&gt;"", XLOOKUP($F725,Productos!$A$2:$A1001,Productos!S$2:S1001,"")*$G725,"")</f>
        <v/>
      </c>
      <c r="AA725" s="179" t="str">
        <f t="array" ref="AA725">IF($F725&lt;&gt;"",XLOOKUP($F725,Productos!$A:$A,Productos!T:T,"Revisar"),"")</f>
        <v/>
      </c>
      <c r="AB725" s="179" t="str">
        <f t="array" ref="AB725">IF($F725&lt;&gt;"", XLOOKUP($F725,Productos!$A$2:$A1001,Productos!U$2:U1001,"")*$G725,"")</f>
        <v/>
      </c>
      <c r="AC725" s="179" t="str">
        <f t="array" ref="AC725">IF($F725&lt;&gt;"",XLOOKUP($F725,Productos!$A:$A,Productos!V:V,"Revisar"),"")</f>
        <v/>
      </c>
      <c r="AD725" s="179" t="str">
        <f t="array" ref="AD725">IF($F725&lt;&gt;"", XLOOKUP($F725,Productos!$A$2:$A1001,Productos!W$2:W1001,"")*$G725,"")</f>
        <v/>
      </c>
      <c r="AE725" s="179" t="str">
        <f t="array" ref="AE725">IF($F725&lt;&gt;"",XLOOKUP($F725,Productos!$A:$A,Productos!X:X,"Revisar"),"")</f>
        <v/>
      </c>
      <c r="AF725" s="179" t="str">
        <f t="array" ref="AF725">IF($F725&lt;&gt;"", XLOOKUP($F725,Productos!$A$2:$A1001,Productos!Y$2:Y1001,"")*$G725,"")</f>
        <v/>
      </c>
      <c r="AG725" s="179" t="str">
        <f t="array" ref="AG725">IF($F725&lt;&gt;"",XLOOKUP($F725,Productos!$A:$A,Productos!Z:Z,"Revisar"),"")</f>
        <v/>
      </c>
      <c r="AH725" s="179" t="str">
        <f t="array" ref="AH725">IF($F725&lt;&gt;"", XLOOKUP($F725,Productos!$A$2:$A1001,Productos!AA$2:AA1001,"")*$G725,"")</f>
        <v/>
      </c>
      <c r="AI725" s="179" t="str">
        <f t="array" ref="AI725">IF($F725&lt;&gt;"",XLOOKUP($F725,Productos!$A:$A,Productos!AB:AB,"Revisar"),"")</f>
        <v/>
      </c>
      <c r="AJ725" s="179" t="str">
        <f t="array" ref="AJ725">IF($F725&lt;&gt;"", XLOOKUP($F725,Productos!$A$2:$A1001,Productos!AC$2:AC1001,"")*$G725,"")</f>
        <v/>
      </c>
      <c r="AK725" s="179" t="str">
        <f t="array" ref="AK725">IF($F725&lt;&gt;"",XLOOKUP($F725,Productos!$A:$A,Productos!AD:AD,"Revisar"),"")</f>
        <v/>
      </c>
      <c r="AL725" s="179" t="str">
        <f t="array" ref="AL725">IF($F725&lt;&gt;"", XLOOKUP($F725,Productos!$A$2:$A1001,Productos!AE$2:AE1001,"")*$G725,"")</f>
        <v/>
      </c>
      <c r="AM725" s="179" t="str">
        <f t="array" ref="AM725">IF($F725&lt;&gt;"",XLOOKUP($F725,Productos!$A:$A,Productos!AF:AF,"Revisar"),"")</f>
        <v/>
      </c>
      <c r="AN725" s="179" t="str">
        <f t="array" ref="AN725">IF($F725&lt;&gt;"", XLOOKUP($F725,Productos!$A$2:$A1001,Productos!AG$2:AG1001,"")*$G725,"")</f>
        <v/>
      </c>
      <c r="AO725" s="179" t="str">
        <f t="array" ref="AO725">IF($F725&lt;&gt;"",XLOOKUP($F725,Productos!$A:$A,Productos!AH:AH,"Revisar"),"")</f>
        <v/>
      </c>
      <c r="AP725" s="179" t="str">
        <f t="array" ref="AP725">IF($F725&lt;&gt;"", XLOOKUP($F725,Productos!$A$2:$A1001,Productos!AI$2:AI1001,"")*$G725,"")</f>
        <v/>
      </c>
      <c r="AQ725" s="179" t="str">
        <f t="array" ref="AQ725">IF($F725&lt;&gt;"",XLOOKUP($F725,Productos!$A:$A,Productos!AJ:AJ,"Revisar"),"")</f>
        <v/>
      </c>
      <c r="AR725" s="179" t="str">
        <f t="array" ref="AR725">IF($F725&lt;&gt;"", XLOOKUP($F725,Productos!$A$2:$A1001,Productos!AK$2:AK1001,"")*$G725,"")</f>
        <v/>
      </c>
      <c r="AS725" s="179" t="str">
        <f t="array" ref="AS725">IF($F725&lt;&gt;"",XLOOKUP($F725,Productos!$A:$A,Productos!AL:AL,"Revisar"),"")</f>
        <v/>
      </c>
      <c r="AT725" s="179" t="str">
        <f t="array" ref="AT725">IF($F725&lt;&gt;"", XLOOKUP($F725,Productos!$A$2:$A1001,Productos!AM$2:AM1001,"")*$G725,"")</f>
        <v/>
      </c>
      <c r="AU725" s="179" t="str">
        <f t="array" ref="AU725">IF($F725&lt;&gt;"",XLOOKUP($F725,Productos!$A:$A,Productos!AN:AN,"Revisar"),"")</f>
        <v/>
      </c>
      <c r="AV725" s="179" t="str">
        <f t="array" ref="AV725">IF($F725&lt;&gt;"", XLOOKUP($F725,Productos!$A$2:$A1001,Productos!AO$2:AO1001,"")*$G725,"")</f>
        <v/>
      </c>
      <c r="AW725" s="179" t="str">
        <f t="array" ref="AW725">IF($F725&lt;&gt;"",XLOOKUP($F725,Productos!$A:$A,Productos!AP:AP,"Revisar"),"")</f>
        <v/>
      </c>
      <c r="AX725" s="179" t="str">
        <f t="array" ref="AX725">IF($F725&lt;&gt;"", XLOOKUP($F725,Productos!$A$2:$A1001,Productos!AQ$2:AQ1001,"")*$G725,"")</f>
        <v/>
      </c>
      <c r="AY725" s="179" t="str">
        <f t="array" ref="AY725">IF($F725&lt;&gt;"",XLOOKUP($F725,Productos!$A:$A,Productos!AR:AR,"Revisar"),"")</f>
        <v/>
      </c>
      <c r="AZ725" s="179" t="str">
        <f t="array" ref="AZ725">IF($F725&lt;&gt;"", XLOOKUP($F725,Productos!$A$2:$A1001,Productos!AS$2:AS1001,"")*$G725,"")</f>
        <v/>
      </c>
      <c r="BA725" s="179" t="str">
        <f t="array" ref="BA725">IF($F725&lt;&gt;"",XLOOKUP($F725,Productos!$A:$A,Productos!AT:AT,"Revisar"),"")</f>
        <v/>
      </c>
      <c r="BB725" s="179" t="str">
        <f t="array" ref="BB725">IF($F725&lt;&gt;"", XLOOKUP($F725,Productos!$A$2:$A1001,Productos!AU$2:AU1001,"")*$G725,"")</f>
        <v/>
      </c>
      <c r="BC725" s="179" t="str">
        <f t="array" ref="BC725">IF($F725&lt;&gt;"",XLOOKUP($F725,Productos!$A:$A,Productos!AV:AV,"Revisar"),"")</f>
        <v/>
      </c>
      <c r="BD725" s="179" t="str">
        <f t="array" ref="BD725">IF($F725&lt;&gt;"", XLOOKUP($F725,Productos!$A$2:$A1001,Productos!AW$2:AW1001,"")*$G725,"")</f>
        <v/>
      </c>
      <c r="BE725" s="179" t="str">
        <f t="array" ref="BE725">IF($F725&lt;&gt;"",XLOOKUP($F725,Productos!$A:$A,Productos!AX:AX,"Revisar"),"")</f>
        <v/>
      </c>
      <c r="BF725" s="179" t="str">
        <f t="array" ref="BF725">IF($F725&lt;&gt;"", XLOOKUP($F725,Productos!$A$2:$A1001,Productos!AY$2:AY1001,"")*$G725,"")</f>
        <v/>
      </c>
      <c r="BG725" s="179" t="str">
        <f t="array" ref="BG725">IF($F725&lt;&gt;"",XLOOKUP($F725,Productos!$A:$A,Productos!AZ:AZ,"Revisar"),"")</f>
        <v/>
      </c>
      <c r="BH725" s="179" t="str">
        <f t="array" ref="BH725">IF($F725&lt;&gt;"", XLOOKUP($F725,Productos!$A$2:$A1001,Productos!BA$2:BA1001,"")*$G725,"")</f>
        <v/>
      </c>
      <c r="BI725" s="179" t="str">
        <f t="array" ref="BI725">IF($F725&lt;&gt;"",XLOOKUP($F725,Productos!$A:$A,Productos!BB:BB,"Revisar"),"")</f>
        <v/>
      </c>
      <c r="BJ725" s="179" t="str">
        <f t="array" ref="BJ725">IF($F725&lt;&gt;"", XLOOKUP($F725,Productos!$A$2:$A1001,Productos!BC$2:BC1001,"")*$G725,"")</f>
        <v/>
      </c>
      <c r="BK725" s="179" t="str">
        <f t="array" ref="BK725">IF($F725&lt;&gt;"",XLOOKUP($F725,Productos!$A:$A,Productos!BD:BD,"Revisar"),"")</f>
        <v/>
      </c>
      <c r="BL725" s="179" t="str">
        <f t="array" ref="BL725">IF($F725&lt;&gt;"", XLOOKUP($F725,Productos!$A$2:$A1001,Productos!BE$2:BE1001,"")*$G725,"")</f>
        <v/>
      </c>
      <c r="BM725" s="179" t="str">
        <f t="array" ref="BM725">IF($F725&lt;&gt;"",XLOOKUP($F725,Productos!$A:$A,Productos!BF:BF,"Revisar"),"")</f>
        <v/>
      </c>
      <c r="BN725" s="179" t="str">
        <f t="array" ref="BN725">IF($F725&lt;&gt;"", XLOOKUP($F725,Productos!$A$2:$A1001,Productos!BG$2:BG1001,"")*$G725,"")</f>
        <v/>
      </c>
      <c r="BO725" s="179" t="str">
        <f t="array" ref="BO725">IF($F725&lt;&gt;"",XLOOKUP($F725,Productos!$A:$A,Productos!BH:BH,"Revisar"),"")</f>
        <v/>
      </c>
      <c r="BP725" s="179" t="str">
        <f t="array" ref="BP725">IF($F725&lt;&gt;"", XLOOKUP($F725,Productos!$A$2:$A1001,Productos!BI$2:BI1001,"")*$G725,"")</f>
        <v/>
      </c>
      <c r="BQ725" s="179" t="str">
        <f t="array" ref="BQ725">IF($F725&lt;&gt;"",XLOOKUP($F725,Productos!$A:$A,Productos!BJ:BJ,"Revisar"),"")</f>
        <v/>
      </c>
      <c r="BR725" s="179" t="str">
        <f t="array" ref="BR725">IF($F725&lt;&gt;"", XLOOKUP($F725,Productos!$A$2:$A1001,Productos!BK$2:BK1001,"")*$G725,"")</f>
        <v/>
      </c>
      <c r="BS725" s="179" t="str">
        <f t="array" ref="BS725">IF($F725&lt;&gt;"",XLOOKUP($F725,Productos!$A:$A,Productos!BL:BL,"Revisar"),"")</f>
        <v/>
      </c>
      <c r="BT725" s="179" t="str">
        <f t="array" ref="BT725">IF($F725&lt;&gt;"", XLOOKUP($F725,Productos!$A$2:$A1001,Productos!BM$2:BM1001,"")*$G725,"")</f>
        <v/>
      </c>
      <c r="BU725" s="179" t="str">
        <f t="array" ref="BU725">IF($F725&lt;&gt;"",XLOOKUP($F725,Productos!$A:$A,Productos!BN:BN,"Revisar"),"")</f>
        <v/>
      </c>
      <c r="BV725" s="179" t="str">
        <f t="array" ref="BV725">IF($F725&lt;&gt;"", XLOOKUP($F725,Productos!$A$2:$A1001,Productos!BO$2:BO1001,"")*$G725,"")</f>
        <v/>
      </c>
      <c r="BW725" s="179" t="str">
        <f t="array" ref="BW725">IF($F725&lt;&gt;"",XLOOKUP($F725,Productos!$A:$A,Productos!BP:BP,"Revisar"),"")</f>
        <v/>
      </c>
      <c r="BX725" s="179" t="str">
        <f t="array" ref="BX725">IF($F725&lt;&gt;"", XLOOKUP($F725,Productos!$A$2:$A1001,Productos!BQ$2:BQ1001,"")*$G725,"")</f>
        <v/>
      </c>
      <c r="BY725" s="179" t="str">
        <f t="array" ref="BY725">IF($F725&lt;&gt;"",XLOOKUP($F725,Productos!$A:$A,Productos!BR:BR,"Revisar"),"")</f>
        <v/>
      </c>
      <c r="BZ725" s="179" t="str">
        <f t="array" ref="BZ725">IF($F725&lt;&gt;"", XLOOKUP($F725,Productos!$A$2:$A1001,Productos!BS$2:BS1001,"")*$G725,"")</f>
        <v/>
      </c>
    </row>
    <row r="726">
      <c r="A726" s="188"/>
      <c r="B726" s="189"/>
      <c r="C726" s="190"/>
      <c r="D726" s="190"/>
      <c r="E726" s="191"/>
      <c r="F726" s="186"/>
      <c r="G726" s="192"/>
      <c r="H726" s="9"/>
      <c r="I726" s="179" t="str">
        <f t="array" ref="I726">IF($F726&lt;&gt;"",XLOOKUP($F726,Productos!$A:$A,Productos!B:B,"Revisar"),"")</f>
        <v/>
      </c>
      <c r="J726" s="179" t="str">
        <f t="array" ref="J726">IF($F726&lt;&gt;"", XLOOKUP($F726,Productos!$A$2:$A1001,Productos!C$2:C1001,"")*$G726,"")</f>
        <v/>
      </c>
      <c r="K726" s="179" t="str">
        <f t="array" ref="K726">IF($F726&lt;&gt;"",XLOOKUP($F726,Productos!$A:$A,Productos!D:D,"Revisar"),"")</f>
        <v/>
      </c>
      <c r="L726" s="179" t="str">
        <f t="array" ref="L726">IF($F726&lt;&gt;"", XLOOKUP($F726,Productos!$A$2:$A1001,Productos!E$2:E1001,"")*$G726,"")</f>
        <v/>
      </c>
      <c r="M726" s="179" t="str">
        <f t="array" ref="M726">IF($F726&lt;&gt;"",XLOOKUP($F726,Productos!$A:$A,Productos!F:F,"Revisar"),"")</f>
        <v/>
      </c>
      <c r="N726" s="179" t="str">
        <f t="array" ref="N726">IF($F726&lt;&gt;"", XLOOKUP($F726,Productos!$A$2:$A1001,Productos!G$2:G1001,"")*$G726,"")</f>
        <v/>
      </c>
      <c r="O726" s="179" t="str">
        <f t="array" ref="O726">IF($F726&lt;&gt;"",XLOOKUP($F726,Productos!$A:$A,Productos!H:H,"Revisar"),"")</f>
        <v/>
      </c>
      <c r="P726" s="179" t="str">
        <f t="array" ref="P726">IF($F726&lt;&gt;"", XLOOKUP($F726,Productos!$A$2:$A1001,Productos!I$2:I1001,"")*$G726,"")</f>
        <v/>
      </c>
      <c r="Q726" s="179" t="str">
        <f t="array" ref="Q726">IF($F726&lt;&gt;"",XLOOKUP($F726,Productos!$A:$A,Productos!J:J,"Revisar"),"")</f>
        <v/>
      </c>
      <c r="R726" s="179" t="str">
        <f t="array" ref="R726">IF($F726&lt;&gt;"", XLOOKUP($F726,Productos!$A$2:$A1001,Productos!K$2:K1001,"")*$G726,"")</f>
        <v/>
      </c>
      <c r="S726" s="179" t="str">
        <f t="array" ref="S726">IF($F726&lt;&gt;"",XLOOKUP($F726,Productos!$A:$A,Productos!L:L,"Revisar"),"")</f>
        <v/>
      </c>
      <c r="T726" s="179" t="str">
        <f t="array" ref="T726">IF($F726&lt;&gt;"", XLOOKUP($F726,Productos!$A$2:$A1001,Productos!M$2:M1001,"")*$G726,"")</f>
        <v/>
      </c>
      <c r="U726" s="179" t="str">
        <f t="array" ref="U726">IF($F726&lt;&gt;"",XLOOKUP($F726,Productos!$A:$A,Productos!N:N,"Revisar"),"")</f>
        <v/>
      </c>
      <c r="V726" s="179" t="str">
        <f t="array" ref="V726">IF($F726&lt;&gt;"", XLOOKUP($F726,Productos!$A$2:$A1001,Productos!O$2:O1001,"")*$G726,"")</f>
        <v/>
      </c>
      <c r="W726" s="179" t="str">
        <f t="array" ref="W726">IF($F726&lt;&gt;"",XLOOKUP($F726,Productos!$A:$A,Productos!P:P,"Revisar"),"")</f>
        <v/>
      </c>
      <c r="X726" s="179" t="str">
        <f t="array" ref="X726">IF($F726&lt;&gt;"", XLOOKUP($F726,Productos!$A$2:$A1001,Productos!Q$2:Q1001,"")*$G726,"")</f>
        <v/>
      </c>
      <c r="Y726" s="179" t="str">
        <f t="array" ref="Y726">IF($F726&lt;&gt;"",XLOOKUP($F726,Productos!$A:$A,Productos!R:R,"Revisar"),"")</f>
        <v/>
      </c>
      <c r="Z726" s="179" t="str">
        <f t="array" ref="Z726">IF($F726&lt;&gt;"", XLOOKUP($F726,Productos!$A$2:$A1001,Productos!S$2:S1001,"")*$G726,"")</f>
        <v/>
      </c>
      <c r="AA726" s="179" t="str">
        <f t="array" ref="AA726">IF($F726&lt;&gt;"",XLOOKUP($F726,Productos!$A:$A,Productos!T:T,"Revisar"),"")</f>
        <v/>
      </c>
      <c r="AB726" s="179" t="str">
        <f t="array" ref="AB726">IF($F726&lt;&gt;"", XLOOKUP($F726,Productos!$A$2:$A1001,Productos!U$2:U1001,"")*$G726,"")</f>
        <v/>
      </c>
      <c r="AC726" s="179" t="str">
        <f t="array" ref="AC726">IF($F726&lt;&gt;"",XLOOKUP($F726,Productos!$A:$A,Productos!V:V,"Revisar"),"")</f>
        <v/>
      </c>
      <c r="AD726" s="179" t="str">
        <f t="array" ref="AD726">IF($F726&lt;&gt;"", XLOOKUP($F726,Productos!$A$2:$A1001,Productos!W$2:W1001,"")*$G726,"")</f>
        <v/>
      </c>
      <c r="AE726" s="179" t="str">
        <f t="array" ref="AE726">IF($F726&lt;&gt;"",XLOOKUP($F726,Productos!$A:$A,Productos!X:X,"Revisar"),"")</f>
        <v/>
      </c>
      <c r="AF726" s="179" t="str">
        <f t="array" ref="AF726">IF($F726&lt;&gt;"", XLOOKUP($F726,Productos!$A$2:$A1001,Productos!Y$2:Y1001,"")*$G726,"")</f>
        <v/>
      </c>
      <c r="AG726" s="179" t="str">
        <f t="array" ref="AG726">IF($F726&lt;&gt;"",XLOOKUP($F726,Productos!$A:$A,Productos!Z:Z,"Revisar"),"")</f>
        <v/>
      </c>
      <c r="AH726" s="179" t="str">
        <f t="array" ref="AH726">IF($F726&lt;&gt;"", XLOOKUP($F726,Productos!$A$2:$A1001,Productos!AA$2:AA1001,"")*$G726,"")</f>
        <v/>
      </c>
      <c r="AI726" s="179" t="str">
        <f t="array" ref="AI726">IF($F726&lt;&gt;"",XLOOKUP($F726,Productos!$A:$A,Productos!AB:AB,"Revisar"),"")</f>
        <v/>
      </c>
      <c r="AJ726" s="179" t="str">
        <f t="array" ref="AJ726">IF($F726&lt;&gt;"", XLOOKUP($F726,Productos!$A$2:$A1001,Productos!AC$2:AC1001,"")*$G726,"")</f>
        <v/>
      </c>
      <c r="AK726" s="179" t="str">
        <f t="array" ref="AK726">IF($F726&lt;&gt;"",XLOOKUP($F726,Productos!$A:$A,Productos!AD:AD,"Revisar"),"")</f>
        <v/>
      </c>
      <c r="AL726" s="179" t="str">
        <f t="array" ref="AL726">IF($F726&lt;&gt;"", XLOOKUP($F726,Productos!$A$2:$A1001,Productos!AE$2:AE1001,"")*$G726,"")</f>
        <v/>
      </c>
      <c r="AM726" s="179" t="str">
        <f t="array" ref="AM726">IF($F726&lt;&gt;"",XLOOKUP($F726,Productos!$A:$A,Productos!AF:AF,"Revisar"),"")</f>
        <v/>
      </c>
      <c r="AN726" s="179" t="str">
        <f t="array" ref="AN726">IF($F726&lt;&gt;"", XLOOKUP($F726,Productos!$A$2:$A1001,Productos!AG$2:AG1001,"")*$G726,"")</f>
        <v/>
      </c>
      <c r="AO726" s="179" t="str">
        <f t="array" ref="AO726">IF($F726&lt;&gt;"",XLOOKUP($F726,Productos!$A:$A,Productos!AH:AH,"Revisar"),"")</f>
        <v/>
      </c>
      <c r="AP726" s="179" t="str">
        <f t="array" ref="AP726">IF($F726&lt;&gt;"", XLOOKUP($F726,Productos!$A$2:$A1001,Productos!AI$2:AI1001,"")*$G726,"")</f>
        <v/>
      </c>
      <c r="AQ726" s="179" t="str">
        <f t="array" ref="AQ726">IF($F726&lt;&gt;"",XLOOKUP($F726,Productos!$A:$A,Productos!AJ:AJ,"Revisar"),"")</f>
        <v/>
      </c>
      <c r="AR726" s="179" t="str">
        <f t="array" ref="AR726">IF($F726&lt;&gt;"", XLOOKUP($F726,Productos!$A$2:$A1001,Productos!AK$2:AK1001,"")*$G726,"")</f>
        <v/>
      </c>
      <c r="AS726" s="179" t="str">
        <f t="array" ref="AS726">IF($F726&lt;&gt;"",XLOOKUP($F726,Productos!$A:$A,Productos!AL:AL,"Revisar"),"")</f>
        <v/>
      </c>
      <c r="AT726" s="179" t="str">
        <f t="array" ref="AT726">IF($F726&lt;&gt;"", XLOOKUP($F726,Productos!$A$2:$A1001,Productos!AM$2:AM1001,"")*$G726,"")</f>
        <v/>
      </c>
      <c r="AU726" s="179" t="str">
        <f t="array" ref="AU726">IF($F726&lt;&gt;"",XLOOKUP($F726,Productos!$A:$A,Productos!AN:AN,"Revisar"),"")</f>
        <v/>
      </c>
      <c r="AV726" s="179" t="str">
        <f t="array" ref="AV726">IF($F726&lt;&gt;"", XLOOKUP($F726,Productos!$A$2:$A1001,Productos!AO$2:AO1001,"")*$G726,"")</f>
        <v/>
      </c>
      <c r="AW726" s="179" t="str">
        <f t="array" ref="AW726">IF($F726&lt;&gt;"",XLOOKUP($F726,Productos!$A:$A,Productos!AP:AP,"Revisar"),"")</f>
        <v/>
      </c>
      <c r="AX726" s="179" t="str">
        <f t="array" ref="AX726">IF($F726&lt;&gt;"", XLOOKUP($F726,Productos!$A$2:$A1001,Productos!AQ$2:AQ1001,"")*$G726,"")</f>
        <v/>
      </c>
      <c r="AY726" s="179" t="str">
        <f t="array" ref="AY726">IF($F726&lt;&gt;"",XLOOKUP($F726,Productos!$A:$A,Productos!AR:AR,"Revisar"),"")</f>
        <v/>
      </c>
      <c r="AZ726" s="179" t="str">
        <f t="array" ref="AZ726">IF($F726&lt;&gt;"", XLOOKUP($F726,Productos!$A$2:$A1001,Productos!AS$2:AS1001,"")*$G726,"")</f>
        <v/>
      </c>
      <c r="BA726" s="179" t="str">
        <f t="array" ref="BA726">IF($F726&lt;&gt;"",XLOOKUP($F726,Productos!$A:$A,Productos!AT:AT,"Revisar"),"")</f>
        <v/>
      </c>
      <c r="BB726" s="179" t="str">
        <f t="array" ref="BB726">IF($F726&lt;&gt;"", XLOOKUP($F726,Productos!$A$2:$A1001,Productos!AU$2:AU1001,"")*$G726,"")</f>
        <v/>
      </c>
      <c r="BC726" s="179" t="str">
        <f t="array" ref="BC726">IF($F726&lt;&gt;"",XLOOKUP($F726,Productos!$A:$A,Productos!AV:AV,"Revisar"),"")</f>
        <v/>
      </c>
      <c r="BD726" s="179" t="str">
        <f t="array" ref="BD726">IF($F726&lt;&gt;"", XLOOKUP($F726,Productos!$A$2:$A1001,Productos!AW$2:AW1001,"")*$G726,"")</f>
        <v/>
      </c>
      <c r="BE726" s="179" t="str">
        <f t="array" ref="BE726">IF($F726&lt;&gt;"",XLOOKUP($F726,Productos!$A:$A,Productos!AX:AX,"Revisar"),"")</f>
        <v/>
      </c>
      <c r="BF726" s="179" t="str">
        <f t="array" ref="BF726">IF($F726&lt;&gt;"", XLOOKUP($F726,Productos!$A$2:$A1001,Productos!AY$2:AY1001,"")*$G726,"")</f>
        <v/>
      </c>
      <c r="BG726" s="179" t="str">
        <f t="array" ref="BG726">IF($F726&lt;&gt;"",XLOOKUP($F726,Productos!$A:$A,Productos!AZ:AZ,"Revisar"),"")</f>
        <v/>
      </c>
      <c r="BH726" s="179" t="str">
        <f t="array" ref="BH726">IF($F726&lt;&gt;"", XLOOKUP($F726,Productos!$A$2:$A1001,Productos!BA$2:BA1001,"")*$G726,"")</f>
        <v/>
      </c>
      <c r="BI726" s="179" t="str">
        <f t="array" ref="BI726">IF($F726&lt;&gt;"",XLOOKUP($F726,Productos!$A:$A,Productos!BB:BB,"Revisar"),"")</f>
        <v/>
      </c>
      <c r="BJ726" s="179" t="str">
        <f t="array" ref="BJ726">IF($F726&lt;&gt;"", XLOOKUP($F726,Productos!$A$2:$A1001,Productos!BC$2:BC1001,"")*$G726,"")</f>
        <v/>
      </c>
      <c r="BK726" s="179" t="str">
        <f t="array" ref="BK726">IF($F726&lt;&gt;"",XLOOKUP($F726,Productos!$A:$A,Productos!BD:BD,"Revisar"),"")</f>
        <v/>
      </c>
      <c r="BL726" s="179" t="str">
        <f t="array" ref="BL726">IF($F726&lt;&gt;"", XLOOKUP($F726,Productos!$A$2:$A1001,Productos!BE$2:BE1001,"")*$G726,"")</f>
        <v/>
      </c>
      <c r="BM726" s="179" t="str">
        <f t="array" ref="BM726">IF($F726&lt;&gt;"",XLOOKUP($F726,Productos!$A:$A,Productos!BF:BF,"Revisar"),"")</f>
        <v/>
      </c>
      <c r="BN726" s="179" t="str">
        <f t="array" ref="BN726">IF($F726&lt;&gt;"", XLOOKUP($F726,Productos!$A$2:$A1001,Productos!BG$2:BG1001,"")*$G726,"")</f>
        <v/>
      </c>
      <c r="BO726" s="179" t="str">
        <f t="array" ref="BO726">IF($F726&lt;&gt;"",XLOOKUP($F726,Productos!$A:$A,Productos!BH:BH,"Revisar"),"")</f>
        <v/>
      </c>
      <c r="BP726" s="179" t="str">
        <f t="array" ref="BP726">IF($F726&lt;&gt;"", XLOOKUP($F726,Productos!$A$2:$A1001,Productos!BI$2:BI1001,"")*$G726,"")</f>
        <v/>
      </c>
      <c r="BQ726" s="179" t="str">
        <f t="array" ref="BQ726">IF($F726&lt;&gt;"",XLOOKUP($F726,Productos!$A:$A,Productos!BJ:BJ,"Revisar"),"")</f>
        <v/>
      </c>
      <c r="BR726" s="179" t="str">
        <f t="array" ref="BR726">IF($F726&lt;&gt;"", XLOOKUP($F726,Productos!$A$2:$A1001,Productos!BK$2:BK1001,"")*$G726,"")</f>
        <v/>
      </c>
      <c r="BS726" s="179" t="str">
        <f t="array" ref="BS726">IF($F726&lt;&gt;"",XLOOKUP($F726,Productos!$A:$A,Productos!BL:BL,"Revisar"),"")</f>
        <v/>
      </c>
      <c r="BT726" s="179" t="str">
        <f t="array" ref="BT726">IF($F726&lt;&gt;"", XLOOKUP($F726,Productos!$A$2:$A1001,Productos!BM$2:BM1001,"")*$G726,"")</f>
        <v/>
      </c>
      <c r="BU726" s="179" t="str">
        <f t="array" ref="BU726">IF($F726&lt;&gt;"",XLOOKUP($F726,Productos!$A:$A,Productos!BN:BN,"Revisar"),"")</f>
        <v/>
      </c>
      <c r="BV726" s="179" t="str">
        <f t="array" ref="BV726">IF($F726&lt;&gt;"", XLOOKUP($F726,Productos!$A$2:$A1001,Productos!BO$2:BO1001,"")*$G726,"")</f>
        <v/>
      </c>
      <c r="BW726" s="179" t="str">
        <f t="array" ref="BW726">IF($F726&lt;&gt;"",XLOOKUP($F726,Productos!$A:$A,Productos!BP:BP,"Revisar"),"")</f>
        <v/>
      </c>
      <c r="BX726" s="179" t="str">
        <f t="array" ref="BX726">IF($F726&lt;&gt;"", XLOOKUP($F726,Productos!$A$2:$A1001,Productos!BQ$2:BQ1001,"")*$G726,"")</f>
        <v/>
      </c>
      <c r="BY726" s="179" t="str">
        <f t="array" ref="BY726">IF($F726&lt;&gt;"",XLOOKUP($F726,Productos!$A:$A,Productos!BR:BR,"Revisar"),"")</f>
        <v/>
      </c>
      <c r="BZ726" s="179" t="str">
        <f t="array" ref="BZ726">IF($F726&lt;&gt;"", XLOOKUP($F726,Productos!$A$2:$A1001,Productos!BS$2:BS1001,"")*$G726,"")</f>
        <v/>
      </c>
    </row>
    <row r="727">
      <c r="A727" s="188"/>
      <c r="B727" s="189"/>
      <c r="C727" s="190"/>
      <c r="D727" s="190"/>
      <c r="E727" s="191"/>
      <c r="F727" s="186"/>
      <c r="G727" s="192"/>
      <c r="H727" s="9"/>
      <c r="I727" s="179" t="str">
        <f t="array" ref="I727">IF($F727&lt;&gt;"",XLOOKUP($F727,Productos!$A:$A,Productos!B:B,"Revisar"),"")</f>
        <v/>
      </c>
      <c r="J727" s="179" t="str">
        <f t="array" ref="J727">IF($F727&lt;&gt;"", XLOOKUP($F727,Productos!$A$2:$A1001,Productos!C$2:C1001,"")*$G727,"")</f>
        <v/>
      </c>
      <c r="K727" s="179" t="str">
        <f t="array" ref="K727">IF($F727&lt;&gt;"",XLOOKUP($F727,Productos!$A:$A,Productos!D:D,"Revisar"),"")</f>
        <v/>
      </c>
      <c r="L727" s="179" t="str">
        <f t="array" ref="L727">IF($F727&lt;&gt;"", XLOOKUP($F727,Productos!$A$2:$A1001,Productos!E$2:E1001,"")*$G727,"")</f>
        <v/>
      </c>
      <c r="M727" s="179" t="str">
        <f t="array" ref="M727">IF($F727&lt;&gt;"",XLOOKUP($F727,Productos!$A:$A,Productos!F:F,"Revisar"),"")</f>
        <v/>
      </c>
      <c r="N727" s="179" t="str">
        <f t="array" ref="N727">IF($F727&lt;&gt;"", XLOOKUP($F727,Productos!$A$2:$A1001,Productos!G$2:G1001,"")*$G727,"")</f>
        <v/>
      </c>
      <c r="O727" s="179" t="str">
        <f t="array" ref="O727">IF($F727&lt;&gt;"",XLOOKUP($F727,Productos!$A:$A,Productos!H:H,"Revisar"),"")</f>
        <v/>
      </c>
      <c r="P727" s="179" t="str">
        <f t="array" ref="P727">IF($F727&lt;&gt;"", XLOOKUP($F727,Productos!$A$2:$A1001,Productos!I$2:I1001,"")*$G727,"")</f>
        <v/>
      </c>
      <c r="Q727" s="179" t="str">
        <f t="array" ref="Q727">IF($F727&lt;&gt;"",XLOOKUP($F727,Productos!$A:$A,Productos!J:J,"Revisar"),"")</f>
        <v/>
      </c>
      <c r="R727" s="179" t="str">
        <f t="array" ref="R727">IF($F727&lt;&gt;"", XLOOKUP($F727,Productos!$A$2:$A1001,Productos!K$2:K1001,"")*$G727,"")</f>
        <v/>
      </c>
      <c r="S727" s="179" t="str">
        <f t="array" ref="S727">IF($F727&lt;&gt;"",XLOOKUP($F727,Productos!$A:$A,Productos!L:L,"Revisar"),"")</f>
        <v/>
      </c>
      <c r="T727" s="179" t="str">
        <f t="array" ref="T727">IF($F727&lt;&gt;"", XLOOKUP($F727,Productos!$A$2:$A1001,Productos!M$2:M1001,"")*$G727,"")</f>
        <v/>
      </c>
      <c r="U727" s="179" t="str">
        <f t="array" ref="U727">IF($F727&lt;&gt;"",XLOOKUP($F727,Productos!$A:$A,Productos!N:N,"Revisar"),"")</f>
        <v/>
      </c>
      <c r="V727" s="179" t="str">
        <f t="array" ref="V727">IF($F727&lt;&gt;"", XLOOKUP($F727,Productos!$A$2:$A1001,Productos!O$2:O1001,"")*$G727,"")</f>
        <v/>
      </c>
      <c r="W727" s="179" t="str">
        <f t="array" ref="W727">IF($F727&lt;&gt;"",XLOOKUP($F727,Productos!$A:$A,Productos!P:P,"Revisar"),"")</f>
        <v/>
      </c>
      <c r="X727" s="179" t="str">
        <f t="array" ref="X727">IF($F727&lt;&gt;"", XLOOKUP($F727,Productos!$A$2:$A1001,Productos!Q$2:Q1001,"")*$G727,"")</f>
        <v/>
      </c>
      <c r="Y727" s="179" t="str">
        <f t="array" ref="Y727">IF($F727&lt;&gt;"",XLOOKUP($F727,Productos!$A:$A,Productos!R:R,"Revisar"),"")</f>
        <v/>
      </c>
      <c r="Z727" s="179" t="str">
        <f t="array" ref="Z727">IF($F727&lt;&gt;"", XLOOKUP($F727,Productos!$A$2:$A1001,Productos!S$2:S1001,"")*$G727,"")</f>
        <v/>
      </c>
      <c r="AA727" s="179" t="str">
        <f t="array" ref="AA727">IF($F727&lt;&gt;"",XLOOKUP($F727,Productos!$A:$A,Productos!T:T,"Revisar"),"")</f>
        <v/>
      </c>
      <c r="AB727" s="179" t="str">
        <f t="array" ref="AB727">IF($F727&lt;&gt;"", XLOOKUP($F727,Productos!$A$2:$A1001,Productos!U$2:U1001,"")*$G727,"")</f>
        <v/>
      </c>
      <c r="AC727" s="179" t="str">
        <f t="array" ref="AC727">IF($F727&lt;&gt;"",XLOOKUP($F727,Productos!$A:$A,Productos!V:V,"Revisar"),"")</f>
        <v/>
      </c>
      <c r="AD727" s="179" t="str">
        <f t="array" ref="AD727">IF($F727&lt;&gt;"", XLOOKUP($F727,Productos!$A$2:$A1001,Productos!W$2:W1001,"")*$G727,"")</f>
        <v/>
      </c>
      <c r="AE727" s="179" t="str">
        <f t="array" ref="AE727">IF($F727&lt;&gt;"",XLOOKUP($F727,Productos!$A:$A,Productos!X:X,"Revisar"),"")</f>
        <v/>
      </c>
      <c r="AF727" s="179" t="str">
        <f t="array" ref="AF727">IF($F727&lt;&gt;"", XLOOKUP($F727,Productos!$A$2:$A1001,Productos!Y$2:Y1001,"")*$G727,"")</f>
        <v/>
      </c>
      <c r="AG727" s="179" t="str">
        <f t="array" ref="AG727">IF($F727&lt;&gt;"",XLOOKUP($F727,Productos!$A:$A,Productos!Z:Z,"Revisar"),"")</f>
        <v/>
      </c>
      <c r="AH727" s="179" t="str">
        <f t="array" ref="AH727">IF($F727&lt;&gt;"", XLOOKUP($F727,Productos!$A$2:$A1001,Productos!AA$2:AA1001,"")*$G727,"")</f>
        <v/>
      </c>
      <c r="AI727" s="179" t="str">
        <f t="array" ref="AI727">IF($F727&lt;&gt;"",XLOOKUP($F727,Productos!$A:$A,Productos!AB:AB,"Revisar"),"")</f>
        <v/>
      </c>
      <c r="AJ727" s="179" t="str">
        <f t="array" ref="AJ727">IF($F727&lt;&gt;"", XLOOKUP($F727,Productos!$A$2:$A1001,Productos!AC$2:AC1001,"")*$G727,"")</f>
        <v/>
      </c>
      <c r="AK727" s="179" t="str">
        <f t="array" ref="AK727">IF($F727&lt;&gt;"",XLOOKUP($F727,Productos!$A:$A,Productos!AD:AD,"Revisar"),"")</f>
        <v/>
      </c>
      <c r="AL727" s="179" t="str">
        <f t="array" ref="AL727">IF($F727&lt;&gt;"", XLOOKUP($F727,Productos!$A$2:$A1001,Productos!AE$2:AE1001,"")*$G727,"")</f>
        <v/>
      </c>
      <c r="AM727" s="179" t="str">
        <f t="array" ref="AM727">IF($F727&lt;&gt;"",XLOOKUP($F727,Productos!$A:$A,Productos!AF:AF,"Revisar"),"")</f>
        <v/>
      </c>
      <c r="AN727" s="179" t="str">
        <f t="array" ref="AN727">IF($F727&lt;&gt;"", XLOOKUP($F727,Productos!$A$2:$A1001,Productos!AG$2:AG1001,"")*$G727,"")</f>
        <v/>
      </c>
      <c r="AO727" s="179" t="str">
        <f t="array" ref="AO727">IF($F727&lt;&gt;"",XLOOKUP($F727,Productos!$A:$A,Productos!AH:AH,"Revisar"),"")</f>
        <v/>
      </c>
      <c r="AP727" s="179" t="str">
        <f t="array" ref="AP727">IF($F727&lt;&gt;"", XLOOKUP($F727,Productos!$A$2:$A1001,Productos!AI$2:AI1001,"")*$G727,"")</f>
        <v/>
      </c>
      <c r="AQ727" s="179" t="str">
        <f t="array" ref="AQ727">IF($F727&lt;&gt;"",XLOOKUP($F727,Productos!$A:$A,Productos!AJ:AJ,"Revisar"),"")</f>
        <v/>
      </c>
      <c r="AR727" s="179" t="str">
        <f t="array" ref="AR727">IF($F727&lt;&gt;"", XLOOKUP($F727,Productos!$A$2:$A1001,Productos!AK$2:AK1001,"")*$G727,"")</f>
        <v/>
      </c>
      <c r="AS727" s="179" t="str">
        <f t="array" ref="AS727">IF($F727&lt;&gt;"",XLOOKUP($F727,Productos!$A:$A,Productos!AL:AL,"Revisar"),"")</f>
        <v/>
      </c>
      <c r="AT727" s="179" t="str">
        <f t="array" ref="AT727">IF($F727&lt;&gt;"", XLOOKUP($F727,Productos!$A$2:$A1001,Productos!AM$2:AM1001,"")*$G727,"")</f>
        <v/>
      </c>
      <c r="AU727" s="179" t="str">
        <f t="array" ref="AU727">IF($F727&lt;&gt;"",XLOOKUP($F727,Productos!$A:$A,Productos!AN:AN,"Revisar"),"")</f>
        <v/>
      </c>
      <c r="AV727" s="179" t="str">
        <f t="array" ref="AV727">IF($F727&lt;&gt;"", XLOOKUP($F727,Productos!$A$2:$A1001,Productos!AO$2:AO1001,"")*$G727,"")</f>
        <v/>
      </c>
      <c r="AW727" s="179" t="str">
        <f t="array" ref="AW727">IF($F727&lt;&gt;"",XLOOKUP($F727,Productos!$A:$A,Productos!AP:AP,"Revisar"),"")</f>
        <v/>
      </c>
      <c r="AX727" s="179" t="str">
        <f t="array" ref="AX727">IF($F727&lt;&gt;"", XLOOKUP($F727,Productos!$A$2:$A1001,Productos!AQ$2:AQ1001,"")*$G727,"")</f>
        <v/>
      </c>
      <c r="AY727" s="179" t="str">
        <f t="array" ref="AY727">IF($F727&lt;&gt;"",XLOOKUP($F727,Productos!$A:$A,Productos!AR:AR,"Revisar"),"")</f>
        <v/>
      </c>
      <c r="AZ727" s="179" t="str">
        <f t="array" ref="AZ727">IF($F727&lt;&gt;"", XLOOKUP($F727,Productos!$A$2:$A1001,Productos!AS$2:AS1001,"")*$G727,"")</f>
        <v/>
      </c>
      <c r="BA727" s="179" t="str">
        <f t="array" ref="BA727">IF($F727&lt;&gt;"",XLOOKUP($F727,Productos!$A:$A,Productos!AT:AT,"Revisar"),"")</f>
        <v/>
      </c>
      <c r="BB727" s="179" t="str">
        <f t="array" ref="BB727">IF($F727&lt;&gt;"", XLOOKUP($F727,Productos!$A$2:$A1001,Productos!AU$2:AU1001,"")*$G727,"")</f>
        <v/>
      </c>
      <c r="BC727" s="179" t="str">
        <f t="array" ref="BC727">IF($F727&lt;&gt;"",XLOOKUP($F727,Productos!$A:$A,Productos!AV:AV,"Revisar"),"")</f>
        <v/>
      </c>
      <c r="BD727" s="179" t="str">
        <f t="array" ref="BD727">IF($F727&lt;&gt;"", XLOOKUP($F727,Productos!$A$2:$A1001,Productos!AW$2:AW1001,"")*$G727,"")</f>
        <v/>
      </c>
      <c r="BE727" s="179" t="str">
        <f t="array" ref="BE727">IF($F727&lt;&gt;"",XLOOKUP($F727,Productos!$A:$A,Productos!AX:AX,"Revisar"),"")</f>
        <v/>
      </c>
      <c r="BF727" s="179" t="str">
        <f t="array" ref="BF727">IF($F727&lt;&gt;"", XLOOKUP($F727,Productos!$A$2:$A1001,Productos!AY$2:AY1001,"")*$G727,"")</f>
        <v/>
      </c>
      <c r="BG727" s="179" t="str">
        <f t="array" ref="BG727">IF($F727&lt;&gt;"",XLOOKUP($F727,Productos!$A:$A,Productos!AZ:AZ,"Revisar"),"")</f>
        <v/>
      </c>
      <c r="BH727" s="179" t="str">
        <f t="array" ref="BH727">IF($F727&lt;&gt;"", XLOOKUP($F727,Productos!$A$2:$A1001,Productos!BA$2:BA1001,"")*$G727,"")</f>
        <v/>
      </c>
      <c r="BI727" s="179" t="str">
        <f t="array" ref="BI727">IF($F727&lt;&gt;"",XLOOKUP($F727,Productos!$A:$A,Productos!BB:BB,"Revisar"),"")</f>
        <v/>
      </c>
      <c r="BJ727" s="179" t="str">
        <f t="array" ref="BJ727">IF($F727&lt;&gt;"", XLOOKUP($F727,Productos!$A$2:$A1001,Productos!BC$2:BC1001,"")*$G727,"")</f>
        <v/>
      </c>
      <c r="BK727" s="179" t="str">
        <f t="array" ref="BK727">IF($F727&lt;&gt;"",XLOOKUP($F727,Productos!$A:$A,Productos!BD:BD,"Revisar"),"")</f>
        <v/>
      </c>
      <c r="BL727" s="179" t="str">
        <f t="array" ref="BL727">IF($F727&lt;&gt;"", XLOOKUP($F727,Productos!$A$2:$A1001,Productos!BE$2:BE1001,"")*$G727,"")</f>
        <v/>
      </c>
      <c r="BM727" s="179" t="str">
        <f t="array" ref="BM727">IF($F727&lt;&gt;"",XLOOKUP($F727,Productos!$A:$A,Productos!BF:BF,"Revisar"),"")</f>
        <v/>
      </c>
      <c r="BN727" s="179" t="str">
        <f t="array" ref="BN727">IF($F727&lt;&gt;"", XLOOKUP($F727,Productos!$A$2:$A1001,Productos!BG$2:BG1001,"")*$G727,"")</f>
        <v/>
      </c>
      <c r="BO727" s="179" t="str">
        <f t="array" ref="BO727">IF($F727&lt;&gt;"",XLOOKUP($F727,Productos!$A:$A,Productos!BH:BH,"Revisar"),"")</f>
        <v/>
      </c>
      <c r="BP727" s="179" t="str">
        <f t="array" ref="BP727">IF($F727&lt;&gt;"", XLOOKUP($F727,Productos!$A$2:$A1001,Productos!BI$2:BI1001,"")*$G727,"")</f>
        <v/>
      </c>
      <c r="BQ727" s="179" t="str">
        <f t="array" ref="BQ727">IF($F727&lt;&gt;"",XLOOKUP($F727,Productos!$A:$A,Productos!BJ:BJ,"Revisar"),"")</f>
        <v/>
      </c>
      <c r="BR727" s="179" t="str">
        <f t="array" ref="BR727">IF($F727&lt;&gt;"", XLOOKUP($F727,Productos!$A$2:$A1001,Productos!BK$2:BK1001,"")*$G727,"")</f>
        <v/>
      </c>
      <c r="BS727" s="179" t="str">
        <f t="array" ref="BS727">IF($F727&lt;&gt;"",XLOOKUP($F727,Productos!$A:$A,Productos!BL:BL,"Revisar"),"")</f>
        <v/>
      </c>
      <c r="BT727" s="179" t="str">
        <f t="array" ref="BT727">IF($F727&lt;&gt;"", XLOOKUP($F727,Productos!$A$2:$A1001,Productos!BM$2:BM1001,"")*$G727,"")</f>
        <v/>
      </c>
      <c r="BU727" s="179" t="str">
        <f t="array" ref="BU727">IF($F727&lt;&gt;"",XLOOKUP($F727,Productos!$A:$A,Productos!BN:BN,"Revisar"),"")</f>
        <v/>
      </c>
      <c r="BV727" s="179" t="str">
        <f t="array" ref="BV727">IF($F727&lt;&gt;"", XLOOKUP($F727,Productos!$A$2:$A1001,Productos!BO$2:BO1001,"")*$G727,"")</f>
        <v/>
      </c>
      <c r="BW727" s="179" t="str">
        <f t="array" ref="BW727">IF($F727&lt;&gt;"",XLOOKUP($F727,Productos!$A:$A,Productos!BP:BP,"Revisar"),"")</f>
        <v/>
      </c>
      <c r="BX727" s="179" t="str">
        <f t="array" ref="BX727">IF($F727&lt;&gt;"", XLOOKUP($F727,Productos!$A$2:$A1001,Productos!BQ$2:BQ1001,"")*$G727,"")</f>
        <v/>
      </c>
      <c r="BY727" s="179" t="str">
        <f t="array" ref="BY727">IF($F727&lt;&gt;"",XLOOKUP($F727,Productos!$A:$A,Productos!BR:BR,"Revisar"),"")</f>
        <v/>
      </c>
      <c r="BZ727" s="179" t="str">
        <f t="array" ref="BZ727">IF($F727&lt;&gt;"", XLOOKUP($F727,Productos!$A$2:$A1001,Productos!BS$2:BS1001,"")*$G727,"")</f>
        <v/>
      </c>
    </row>
    <row r="728">
      <c r="A728" s="188"/>
      <c r="B728" s="189"/>
      <c r="C728" s="190"/>
      <c r="D728" s="190"/>
      <c r="E728" s="191"/>
      <c r="F728" s="186"/>
      <c r="G728" s="192"/>
      <c r="H728" s="9"/>
      <c r="I728" s="179" t="str">
        <f t="array" ref="I728">IF($F728&lt;&gt;"",XLOOKUP($F728,Productos!$A:$A,Productos!B:B,"Revisar"),"")</f>
        <v/>
      </c>
      <c r="J728" s="179" t="str">
        <f t="array" ref="J728">IF($F728&lt;&gt;"", XLOOKUP($F728,Productos!$A$2:$A1001,Productos!C$2:C1001,"")*$G728,"")</f>
        <v/>
      </c>
      <c r="K728" s="179" t="str">
        <f t="array" ref="K728">IF($F728&lt;&gt;"",XLOOKUP($F728,Productos!$A:$A,Productos!D:D,"Revisar"),"")</f>
        <v/>
      </c>
      <c r="L728" s="179" t="str">
        <f t="array" ref="L728">IF($F728&lt;&gt;"", XLOOKUP($F728,Productos!$A$2:$A1001,Productos!E$2:E1001,"")*$G728,"")</f>
        <v/>
      </c>
      <c r="M728" s="179" t="str">
        <f t="array" ref="M728">IF($F728&lt;&gt;"",XLOOKUP($F728,Productos!$A:$A,Productos!F:F,"Revisar"),"")</f>
        <v/>
      </c>
      <c r="N728" s="179" t="str">
        <f t="array" ref="N728">IF($F728&lt;&gt;"", XLOOKUP($F728,Productos!$A$2:$A1001,Productos!G$2:G1001,"")*$G728,"")</f>
        <v/>
      </c>
      <c r="O728" s="179" t="str">
        <f t="array" ref="O728">IF($F728&lt;&gt;"",XLOOKUP($F728,Productos!$A:$A,Productos!H:H,"Revisar"),"")</f>
        <v/>
      </c>
      <c r="P728" s="179" t="str">
        <f t="array" ref="P728">IF($F728&lt;&gt;"", XLOOKUP($F728,Productos!$A$2:$A1001,Productos!I$2:I1001,"")*$G728,"")</f>
        <v/>
      </c>
      <c r="Q728" s="179" t="str">
        <f t="array" ref="Q728">IF($F728&lt;&gt;"",XLOOKUP($F728,Productos!$A:$A,Productos!J:J,"Revisar"),"")</f>
        <v/>
      </c>
      <c r="R728" s="179" t="str">
        <f t="array" ref="R728">IF($F728&lt;&gt;"", XLOOKUP($F728,Productos!$A$2:$A1001,Productos!K$2:K1001,"")*$G728,"")</f>
        <v/>
      </c>
      <c r="S728" s="179" t="str">
        <f t="array" ref="S728">IF($F728&lt;&gt;"",XLOOKUP($F728,Productos!$A:$A,Productos!L:L,"Revisar"),"")</f>
        <v/>
      </c>
      <c r="T728" s="179" t="str">
        <f t="array" ref="T728">IF($F728&lt;&gt;"", XLOOKUP($F728,Productos!$A$2:$A1001,Productos!M$2:M1001,"")*$G728,"")</f>
        <v/>
      </c>
      <c r="U728" s="179" t="str">
        <f t="array" ref="U728">IF($F728&lt;&gt;"",XLOOKUP($F728,Productos!$A:$A,Productos!N:N,"Revisar"),"")</f>
        <v/>
      </c>
      <c r="V728" s="179" t="str">
        <f t="array" ref="V728">IF($F728&lt;&gt;"", XLOOKUP($F728,Productos!$A$2:$A1001,Productos!O$2:O1001,"")*$G728,"")</f>
        <v/>
      </c>
      <c r="W728" s="179" t="str">
        <f t="array" ref="W728">IF($F728&lt;&gt;"",XLOOKUP($F728,Productos!$A:$A,Productos!P:P,"Revisar"),"")</f>
        <v/>
      </c>
      <c r="X728" s="179" t="str">
        <f t="array" ref="X728">IF($F728&lt;&gt;"", XLOOKUP($F728,Productos!$A$2:$A1001,Productos!Q$2:Q1001,"")*$G728,"")</f>
        <v/>
      </c>
      <c r="Y728" s="179" t="str">
        <f t="array" ref="Y728">IF($F728&lt;&gt;"",XLOOKUP($F728,Productos!$A:$A,Productos!R:R,"Revisar"),"")</f>
        <v/>
      </c>
      <c r="Z728" s="179" t="str">
        <f t="array" ref="Z728">IF($F728&lt;&gt;"", XLOOKUP($F728,Productos!$A$2:$A1001,Productos!S$2:S1001,"")*$G728,"")</f>
        <v/>
      </c>
      <c r="AA728" s="179" t="str">
        <f t="array" ref="AA728">IF($F728&lt;&gt;"",XLOOKUP($F728,Productos!$A:$A,Productos!T:T,"Revisar"),"")</f>
        <v/>
      </c>
      <c r="AB728" s="179" t="str">
        <f t="array" ref="AB728">IF($F728&lt;&gt;"", XLOOKUP($F728,Productos!$A$2:$A1001,Productos!U$2:U1001,"")*$G728,"")</f>
        <v/>
      </c>
      <c r="AC728" s="179" t="str">
        <f t="array" ref="AC728">IF($F728&lt;&gt;"",XLOOKUP($F728,Productos!$A:$A,Productos!V:V,"Revisar"),"")</f>
        <v/>
      </c>
      <c r="AD728" s="179" t="str">
        <f t="array" ref="AD728">IF($F728&lt;&gt;"", XLOOKUP($F728,Productos!$A$2:$A1001,Productos!W$2:W1001,"")*$G728,"")</f>
        <v/>
      </c>
      <c r="AE728" s="179" t="str">
        <f t="array" ref="AE728">IF($F728&lt;&gt;"",XLOOKUP($F728,Productos!$A:$A,Productos!X:X,"Revisar"),"")</f>
        <v/>
      </c>
      <c r="AF728" s="179" t="str">
        <f t="array" ref="AF728">IF($F728&lt;&gt;"", XLOOKUP($F728,Productos!$A$2:$A1001,Productos!Y$2:Y1001,"")*$G728,"")</f>
        <v/>
      </c>
      <c r="AG728" s="179" t="str">
        <f t="array" ref="AG728">IF($F728&lt;&gt;"",XLOOKUP($F728,Productos!$A:$A,Productos!Z:Z,"Revisar"),"")</f>
        <v/>
      </c>
      <c r="AH728" s="179" t="str">
        <f t="array" ref="AH728">IF($F728&lt;&gt;"", XLOOKUP($F728,Productos!$A$2:$A1001,Productos!AA$2:AA1001,"")*$G728,"")</f>
        <v/>
      </c>
      <c r="AI728" s="179" t="str">
        <f t="array" ref="AI728">IF($F728&lt;&gt;"",XLOOKUP($F728,Productos!$A:$A,Productos!AB:AB,"Revisar"),"")</f>
        <v/>
      </c>
      <c r="AJ728" s="179" t="str">
        <f t="array" ref="AJ728">IF($F728&lt;&gt;"", XLOOKUP($F728,Productos!$A$2:$A1001,Productos!AC$2:AC1001,"")*$G728,"")</f>
        <v/>
      </c>
      <c r="AK728" s="179" t="str">
        <f t="array" ref="AK728">IF($F728&lt;&gt;"",XLOOKUP($F728,Productos!$A:$A,Productos!AD:AD,"Revisar"),"")</f>
        <v/>
      </c>
      <c r="AL728" s="179" t="str">
        <f t="array" ref="AL728">IF($F728&lt;&gt;"", XLOOKUP($F728,Productos!$A$2:$A1001,Productos!AE$2:AE1001,"")*$G728,"")</f>
        <v/>
      </c>
      <c r="AM728" s="179" t="str">
        <f t="array" ref="AM728">IF($F728&lt;&gt;"",XLOOKUP($F728,Productos!$A:$A,Productos!AF:AF,"Revisar"),"")</f>
        <v/>
      </c>
      <c r="AN728" s="179" t="str">
        <f t="array" ref="AN728">IF($F728&lt;&gt;"", XLOOKUP($F728,Productos!$A$2:$A1001,Productos!AG$2:AG1001,"")*$G728,"")</f>
        <v/>
      </c>
      <c r="AO728" s="179" t="str">
        <f t="array" ref="AO728">IF($F728&lt;&gt;"",XLOOKUP($F728,Productos!$A:$A,Productos!AH:AH,"Revisar"),"")</f>
        <v/>
      </c>
      <c r="AP728" s="179" t="str">
        <f t="array" ref="AP728">IF($F728&lt;&gt;"", XLOOKUP($F728,Productos!$A$2:$A1001,Productos!AI$2:AI1001,"")*$G728,"")</f>
        <v/>
      </c>
      <c r="AQ728" s="179" t="str">
        <f t="array" ref="AQ728">IF($F728&lt;&gt;"",XLOOKUP($F728,Productos!$A:$A,Productos!AJ:AJ,"Revisar"),"")</f>
        <v/>
      </c>
      <c r="AR728" s="179" t="str">
        <f t="array" ref="AR728">IF($F728&lt;&gt;"", XLOOKUP($F728,Productos!$A$2:$A1001,Productos!AK$2:AK1001,"")*$G728,"")</f>
        <v/>
      </c>
      <c r="AS728" s="179" t="str">
        <f t="array" ref="AS728">IF($F728&lt;&gt;"",XLOOKUP($F728,Productos!$A:$A,Productos!AL:AL,"Revisar"),"")</f>
        <v/>
      </c>
      <c r="AT728" s="179" t="str">
        <f t="array" ref="AT728">IF($F728&lt;&gt;"", XLOOKUP($F728,Productos!$A$2:$A1001,Productos!AM$2:AM1001,"")*$G728,"")</f>
        <v/>
      </c>
      <c r="AU728" s="179" t="str">
        <f t="array" ref="AU728">IF($F728&lt;&gt;"",XLOOKUP($F728,Productos!$A:$A,Productos!AN:AN,"Revisar"),"")</f>
        <v/>
      </c>
      <c r="AV728" s="179" t="str">
        <f t="array" ref="AV728">IF($F728&lt;&gt;"", XLOOKUP($F728,Productos!$A$2:$A1001,Productos!AO$2:AO1001,"")*$G728,"")</f>
        <v/>
      </c>
      <c r="AW728" s="179" t="str">
        <f t="array" ref="AW728">IF($F728&lt;&gt;"",XLOOKUP($F728,Productos!$A:$A,Productos!AP:AP,"Revisar"),"")</f>
        <v/>
      </c>
      <c r="AX728" s="179" t="str">
        <f t="array" ref="AX728">IF($F728&lt;&gt;"", XLOOKUP($F728,Productos!$A$2:$A1001,Productos!AQ$2:AQ1001,"")*$G728,"")</f>
        <v/>
      </c>
      <c r="AY728" s="179" t="str">
        <f t="array" ref="AY728">IF($F728&lt;&gt;"",XLOOKUP($F728,Productos!$A:$A,Productos!AR:AR,"Revisar"),"")</f>
        <v/>
      </c>
      <c r="AZ728" s="179" t="str">
        <f t="array" ref="AZ728">IF($F728&lt;&gt;"", XLOOKUP($F728,Productos!$A$2:$A1001,Productos!AS$2:AS1001,"")*$G728,"")</f>
        <v/>
      </c>
      <c r="BA728" s="179" t="str">
        <f t="array" ref="BA728">IF($F728&lt;&gt;"",XLOOKUP($F728,Productos!$A:$A,Productos!AT:AT,"Revisar"),"")</f>
        <v/>
      </c>
      <c r="BB728" s="179" t="str">
        <f t="array" ref="BB728">IF($F728&lt;&gt;"", XLOOKUP($F728,Productos!$A$2:$A1001,Productos!AU$2:AU1001,"")*$G728,"")</f>
        <v/>
      </c>
      <c r="BC728" s="179" t="str">
        <f t="array" ref="BC728">IF($F728&lt;&gt;"",XLOOKUP($F728,Productos!$A:$A,Productos!AV:AV,"Revisar"),"")</f>
        <v/>
      </c>
      <c r="BD728" s="179" t="str">
        <f t="array" ref="BD728">IF($F728&lt;&gt;"", XLOOKUP($F728,Productos!$A$2:$A1001,Productos!AW$2:AW1001,"")*$G728,"")</f>
        <v/>
      </c>
      <c r="BE728" s="179" t="str">
        <f t="array" ref="BE728">IF($F728&lt;&gt;"",XLOOKUP($F728,Productos!$A:$A,Productos!AX:AX,"Revisar"),"")</f>
        <v/>
      </c>
      <c r="BF728" s="179" t="str">
        <f t="array" ref="BF728">IF($F728&lt;&gt;"", XLOOKUP($F728,Productos!$A$2:$A1001,Productos!AY$2:AY1001,"")*$G728,"")</f>
        <v/>
      </c>
      <c r="BG728" s="179" t="str">
        <f t="array" ref="BG728">IF($F728&lt;&gt;"",XLOOKUP($F728,Productos!$A:$A,Productos!AZ:AZ,"Revisar"),"")</f>
        <v/>
      </c>
      <c r="BH728" s="179" t="str">
        <f t="array" ref="BH728">IF($F728&lt;&gt;"", XLOOKUP($F728,Productos!$A$2:$A1001,Productos!BA$2:BA1001,"")*$G728,"")</f>
        <v/>
      </c>
      <c r="BI728" s="179" t="str">
        <f t="array" ref="BI728">IF($F728&lt;&gt;"",XLOOKUP($F728,Productos!$A:$A,Productos!BB:BB,"Revisar"),"")</f>
        <v/>
      </c>
      <c r="BJ728" s="179" t="str">
        <f t="array" ref="BJ728">IF($F728&lt;&gt;"", XLOOKUP($F728,Productos!$A$2:$A1001,Productos!BC$2:BC1001,"")*$G728,"")</f>
        <v/>
      </c>
      <c r="BK728" s="179" t="str">
        <f t="array" ref="BK728">IF($F728&lt;&gt;"",XLOOKUP($F728,Productos!$A:$A,Productos!BD:BD,"Revisar"),"")</f>
        <v/>
      </c>
      <c r="BL728" s="179" t="str">
        <f t="array" ref="BL728">IF($F728&lt;&gt;"", XLOOKUP($F728,Productos!$A$2:$A1001,Productos!BE$2:BE1001,"")*$G728,"")</f>
        <v/>
      </c>
      <c r="BM728" s="179" t="str">
        <f t="array" ref="BM728">IF($F728&lt;&gt;"",XLOOKUP($F728,Productos!$A:$A,Productos!BF:BF,"Revisar"),"")</f>
        <v/>
      </c>
      <c r="BN728" s="179" t="str">
        <f t="array" ref="BN728">IF($F728&lt;&gt;"", XLOOKUP($F728,Productos!$A$2:$A1001,Productos!BG$2:BG1001,"")*$G728,"")</f>
        <v/>
      </c>
      <c r="BO728" s="179" t="str">
        <f t="array" ref="BO728">IF($F728&lt;&gt;"",XLOOKUP($F728,Productos!$A:$A,Productos!BH:BH,"Revisar"),"")</f>
        <v/>
      </c>
      <c r="BP728" s="179" t="str">
        <f t="array" ref="BP728">IF($F728&lt;&gt;"", XLOOKUP($F728,Productos!$A$2:$A1001,Productos!BI$2:BI1001,"")*$G728,"")</f>
        <v/>
      </c>
      <c r="BQ728" s="179" t="str">
        <f t="array" ref="BQ728">IF($F728&lt;&gt;"",XLOOKUP($F728,Productos!$A:$A,Productos!BJ:BJ,"Revisar"),"")</f>
        <v/>
      </c>
      <c r="BR728" s="179" t="str">
        <f t="array" ref="BR728">IF($F728&lt;&gt;"", XLOOKUP($F728,Productos!$A$2:$A1001,Productos!BK$2:BK1001,"")*$G728,"")</f>
        <v/>
      </c>
      <c r="BS728" s="179" t="str">
        <f t="array" ref="BS728">IF($F728&lt;&gt;"",XLOOKUP($F728,Productos!$A:$A,Productos!BL:BL,"Revisar"),"")</f>
        <v/>
      </c>
      <c r="BT728" s="179" t="str">
        <f t="array" ref="BT728">IF($F728&lt;&gt;"", XLOOKUP($F728,Productos!$A$2:$A1001,Productos!BM$2:BM1001,"")*$G728,"")</f>
        <v/>
      </c>
      <c r="BU728" s="179" t="str">
        <f t="array" ref="BU728">IF($F728&lt;&gt;"",XLOOKUP($F728,Productos!$A:$A,Productos!BN:BN,"Revisar"),"")</f>
        <v/>
      </c>
      <c r="BV728" s="179" t="str">
        <f t="array" ref="BV728">IF($F728&lt;&gt;"", XLOOKUP($F728,Productos!$A$2:$A1001,Productos!BO$2:BO1001,"")*$G728,"")</f>
        <v/>
      </c>
      <c r="BW728" s="179" t="str">
        <f t="array" ref="BW728">IF($F728&lt;&gt;"",XLOOKUP($F728,Productos!$A:$A,Productos!BP:BP,"Revisar"),"")</f>
        <v/>
      </c>
      <c r="BX728" s="179" t="str">
        <f t="array" ref="BX728">IF($F728&lt;&gt;"", XLOOKUP($F728,Productos!$A$2:$A1001,Productos!BQ$2:BQ1001,"")*$G728,"")</f>
        <v/>
      </c>
      <c r="BY728" s="179" t="str">
        <f t="array" ref="BY728">IF($F728&lt;&gt;"",XLOOKUP($F728,Productos!$A:$A,Productos!BR:BR,"Revisar"),"")</f>
        <v/>
      </c>
      <c r="BZ728" s="179" t="str">
        <f t="array" ref="BZ728">IF($F728&lt;&gt;"", XLOOKUP($F728,Productos!$A$2:$A1001,Productos!BS$2:BS1001,"")*$G728,"")</f>
        <v/>
      </c>
    </row>
    <row r="729">
      <c r="A729" s="188"/>
      <c r="B729" s="189"/>
      <c r="C729" s="190"/>
      <c r="D729" s="190"/>
      <c r="E729" s="191"/>
      <c r="F729" s="186"/>
      <c r="G729" s="192"/>
      <c r="H729" s="9"/>
      <c r="I729" s="179" t="str">
        <f t="array" ref="I729">IF($F729&lt;&gt;"",XLOOKUP($F729,Productos!$A:$A,Productos!B:B,"Revisar"),"")</f>
        <v/>
      </c>
      <c r="J729" s="179" t="str">
        <f t="array" ref="J729">IF($F729&lt;&gt;"", XLOOKUP($F729,Productos!$A$2:$A1001,Productos!C$2:C1001,"")*$G729,"")</f>
        <v/>
      </c>
      <c r="K729" s="179" t="str">
        <f t="array" ref="K729">IF($F729&lt;&gt;"",XLOOKUP($F729,Productos!$A:$A,Productos!D:D,"Revisar"),"")</f>
        <v/>
      </c>
      <c r="L729" s="179" t="str">
        <f t="array" ref="L729">IF($F729&lt;&gt;"", XLOOKUP($F729,Productos!$A$2:$A1001,Productos!E$2:E1001,"")*$G729,"")</f>
        <v/>
      </c>
      <c r="M729" s="179" t="str">
        <f t="array" ref="M729">IF($F729&lt;&gt;"",XLOOKUP($F729,Productos!$A:$A,Productos!F:F,"Revisar"),"")</f>
        <v/>
      </c>
      <c r="N729" s="179" t="str">
        <f t="array" ref="N729">IF($F729&lt;&gt;"", XLOOKUP($F729,Productos!$A$2:$A1001,Productos!G$2:G1001,"")*$G729,"")</f>
        <v/>
      </c>
      <c r="O729" s="179" t="str">
        <f t="array" ref="O729">IF($F729&lt;&gt;"",XLOOKUP($F729,Productos!$A:$A,Productos!H:H,"Revisar"),"")</f>
        <v/>
      </c>
      <c r="P729" s="179" t="str">
        <f t="array" ref="P729">IF($F729&lt;&gt;"", XLOOKUP($F729,Productos!$A$2:$A1001,Productos!I$2:I1001,"")*$G729,"")</f>
        <v/>
      </c>
      <c r="Q729" s="179" t="str">
        <f t="array" ref="Q729">IF($F729&lt;&gt;"",XLOOKUP($F729,Productos!$A:$A,Productos!J:J,"Revisar"),"")</f>
        <v/>
      </c>
      <c r="R729" s="179" t="str">
        <f t="array" ref="R729">IF($F729&lt;&gt;"", XLOOKUP($F729,Productos!$A$2:$A1001,Productos!K$2:K1001,"")*$G729,"")</f>
        <v/>
      </c>
      <c r="S729" s="179" t="str">
        <f t="array" ref="S729">IF($F729&lt;&gt;"",XLOOKUP($F729,Productos!$A:$A,Productos!L:L,"Revisar"),"")</f>
        <v/>
      </c>
      <c r="T729" s="179" t="str">
        <f t="array" ref="T729">IF($F729&lt;&gt;"", XLOOKUP($F729,Productos!$A$2:$A1001,Productos!M$2:M1001,"")*$G729,"")</f>
        <v/>
      </c>
      <c r="U729" s="179" t="str">
        <f t="array" ref="U729">IF($F729&lt;&gt;"",XLOOKUP($F729,Productos!$A:$A,Productos!N:N,"Revisar"),"")</f>
        <v/>
      </c>
      <c r="V729" s="179" t="str">
        <f t="array" ref="V729">IF($F729&lt;&gt;"", XLOOKUP($F729,Productos!$A$2:$A1001,Productos!O$2:O1001,"")*$G729,"")</f>
        <v/>
      </c>
      <c r="W729" s="179" t="str">
        <f t="array" ref="W729">IF($F729&lt;&gt;"",XLOOKUP($F729,Productos!$A:$A,Productos!P:P,"Revisar"),"")</f>
        <v/>
      </c>
      <c r="X729" s="179" t="str">
        <f t="array" ref="X729">IF($F729&lt;&gt;"", XLOOKUP($F729,Productos!$A$2:$A1001,Productos!Q$2:Q1001,"")*$G729,"")</f>
        <v/>
      </c>
      <c r="Y729" s="179" t="str">
        <f t="array" ref="Y729">IF($F729&lt;&gt;"",XLOOKUP($F729,Productos!$A:$A,Productos!R:R,"Revisar"),"")</f>
        <v/>
      </c>
      <c r="Z729" s="179" t="str">
        <f t="array" ref="Z729">IF($F729&lt;&gt;"", XLOOKUP($F729,Productos!$A$2:$A1001,Productos!S$2:S1001,"")*$G729,"")</f>
        <v/>
      </c>
      <c r="AA729" s="179" t="str">
        <f t="array" ref="AA729">IF($F729&lt;&gt;"",XLOOKUP($F729,Productos!$A:$A,Productos!T:T,"Revisar"),"")</f>
        <v/>
      </c>
      <c r="AB729" s="179" t="str">
        <f t="array" ref="AB729">IF($F729&lt;&gt;"", XLOOKUP($F729,Productos!$A$2:$A1001,Productos!U$2:U1001,"")*$G729,"")</f>
        <v/>
      </c>
      <c r="AC729" s="179" t="str">
        <f t="array" ref="AC729">IF($F729&lt;&gt;"",XLOOKUP($F729,Productos!$A:$A,Productos!V:V,"Revisar"),"")</f>
        <v/>
      </c>
      <c r="AD729" s="179" t="str">
        <f t="array" ref="AD729">IF($F729&lt;&gt;"", XLOOKUP($F729,Productos!$A$2:$A1001,Productos!W$2:W1001,"")*$G729,"")</f>
        <v/>
      </c>
      <c r="AE729" s="179" t="str">
        <f t="array" ref="AE729">IF($F729&lt;&gt;"",XLOOKUP($F729,Productos!$A:$A,Productos!X:X,"Revisar"),"")</f>
        <v/>
      </c>
      <c r="AF729" s="179" t="str">
        <f t="array" ref="AF729">IF($F729&lt;&gt;"", XLOOKUP($F729,Productos!$A$2:$A1001,Productos!Y$2:Y1001,"")*$G729,"")</f>
        <v/>
      </c>
      <c r="AG729" s="179" t="str">
        <f t="array" ref="AG729">IF($F729&lt;&gt;"",XLOOKUP($F729,Productos!$A:$A,Productos!Z:Z,"Revisar"),"")</f>
        <v/>
      </c>
      <c r="AH729" s="179" t="str">
        <f t="array" ref="AH729">IF($F729&lt;&gt;"", XLOOKUP($F729,Productos!$A$2:$A1001,Productos!AA$2:AA1001,"")*$G729,"")</f>
        <v/>
      </c>
      <c r="AI729" s="179" t="str">
        <f t="array" ref="AI729">IF($F729&lt;&gt;"",XLOOKUP($F729,Productos!$A:$A,Productos!AB:AB,"Revisar"),"")</f>
        <v/>
      </c>
      <c r="AJ729" s="179" t="str">
        <f t="array" ref="AJ729">IF($F729&lt;&gt;"", XLOOKUP($F729,Productos!$A$2:$A1001,Productos!AC$2:AC1001,"")*$G729,"")</f>
        <v/>
      </c>
      <c r="AK729" s="179" t="str">
        <f t="array" ref="AK729">IF($F729&lt;&gt;"",XLOOKUP($F729,Productos!$A:$A,Productos!AD:AD,"Revisar"),"")</f>
        <v/>
      </c>
      <c r="AL729" s="179" t="str">
        <f t="array" ref="AL729">IF($F729&lt;&gt;"", XLOOKUP($F729,Productos!$A$2:$A1001,Productos!AE$2:AE1001,"")*$G729,"")</f>
        <v/>
      </c>
      <c r="AM729" s="179" t="str">
        <f t="array" ref="AM729">IF($F729&lt;&gt;"",XLOOKUP($F729,Productos!$A:$A,Productos!AF:AF,"Revisar"),"")</f>
        <v/>
      </c>
      <c r="AN729" s="179" t="str">
        <f t="array" ref="AN729">IF($F729&lt;&gt;"", XLOOKUP($F729,Productos!$A$2:$A1001,Productos!AG$2:AG1001,"")*$G729,"")</f>
        <v/>
      </c>
      <c r="AO729" s="179" t="str">
        <f t="array" ref="AO729">IF($F729&lt;&gt;"",XLOOKUP($F729,Productos!$A:$A,Productos!AH:AH,"Revisar"),"")</f>
        <v/>
      </c>
      <c r="AP729" s="179" t="str">
        <f t="array" ref="AP729">IF($F729&lt;&gt;"", XLOOKUP($F729,Productos!$A$2:$A1001,Productos!AI$2:AI1001,"")*$G729,"")</f>
        <v/>
      </c>
      <c r="AQ729" s="179" t="str">
        <f t="array" ref="AQ729">IF($F729&lt;&gt;"",XLOOKUP($F729,Productos!$A:$A,Productos!AJ:AJ,"Revisar"),"")</f>
        <v/>
      </c>
      <c r="AR729" s="179" t="str">
        <f t="array" ref="AR729">IF($F729&lt;&gt;"", XLOOKUP($F729,Productos!$A$2:$A1001,Productos!AK$2:AK1001,"")*$G729,"")</f>
        <v/>
      </c>
      <c r="AS729" s="179" t="str">
        <f t="array" ref="AS729">IF($F729&lt;&gt;"",XLOOKUP($F729,Productos!$A:$A,Productos!AL:AL,"Revisar"),"")</f>
        <v/>
      </c>
      <c r="AT729" s="179" t="str">
        <f t="array" ref="AT729">IF($F729&lt;&gt;"", XLOOKUP($F729,Productos!$A$2:$A1001,Productos!AM$2:AM1001,"")*$G729,"")</f>
        <v/>
      </c>
      <c r="AU729" s="179" t="str">
        <f t="array" ref="AU729">IF($F729&lt;&gt;"",XLOOKUP($F729,Productos!$A:$A,Productos!AN:AN,"Revisar"),"")</f>
        <v/>
      </c>
      <c r="AV729" s="179" t="str">
        <f t="array" ref="AV729">IF($F729&lt;&gt;"", XLOOKUP($F729,Productos!$A$2:$A1001,Productos!AO$2:AO1001,"")*$G729,"")</f>
        <v/>
      </c>
      <c r="AW729" s="179" t="str">
        <f t="array" ref="AW729">IF($F729&lt;&gt;"",XLOOKUP($F729,Productos!$A:$A,Productos!AP:AP,"Revisar"),"")</f>
        <v/>
      </c>
      <c r="AX729" s="179" t="str">
        <f t="array" ref="AX729">IF($F729&lt;&gt;"", XLOOKUP($F729,Productos!$A$2:$A1001,Productos!AQ$2:AQ1001,"")*$G729,"")</f>
        <v/>
      </c>
      <c r="AY729" s="179" t="str">
        <f t="array" ref="AY729">IF($F729&lt;&gt;"",XLOOKUP($F729,Productos!$A:$A,Productos!AR:AR,"Revisar"),"")</f>
        <v/>
      </c>
      <c r="AZ729" s="179" t="str">
        <f t="array" ref="AZ729">IF($F729&lt;&gt;"", XLOOKUP($F729,Productos!$A$2:$A1001,Productos!AS$2:AS1001,"")*$G729,"")</f>
        <v/>
      </c>
      <c r="BA729" s="179" t="str">
        <f t="array" ref="BA729">IF($F729&lt;&gt;"",XLOOKUP($F729,Productos!$A:$A,Productos!AT:AT,"Revisar"),"")</f>
        <v/>
      </c>
      <c r="BB729" s="179" t="str">
        <f t="array" ref="BB729">IF($F729&lt;&gt;"", XLOOKUP($F729,Productos!$A$2:$A1001,Productos!AU$2:AU1001,"")*$G729,"")</f>
        <v/>
      </c>
      <c r="BC729" s="179" t="str">
        <f t="array" ref="BC729">IF($F729&lt;&gt;"",XLOOKUP($F729,Productos!$A:$A,Productos!AV:AV,"Revisar"),"")</f>
        <v/>
      </c>
      <c r="BD729" s="179" t="str">
        <f t="array" ref="BD729">IF($F729&lt;&gt;"", XLOOKUP($F729,Productos!$A$2:$A1001,Productos!AW$2:AW1001,"")*$G729,"")</f>
        <v/>
      </c>
      <c r="BE729" s="179" t="str">
        <f t="array" ref="BE729">IF($F729&lt;&gt;"",XLOOKUP($F729,Productos!$A:$A,Productos!AX:AX,"Revisar"),"")</f>
        <v/>
      </c>
      <c r="BF729" s="179" t="str">
        <f t="array" ref="BF729">IF($F729&lt;&gt;"", XLOOKUP($F729,Productos!$A$2:$A1001,Productos!AY$2:AY1001,"")*$G729,"")</f>
        <v/>
      </c>
      <c r="BG729" s="179" t="str">
        <f t="array" ref="BG729">IF($F729&lt;&gt;"",XLOOKUP($F729,Productos!$A:$A,Productos!AZ:AZ,"Revisar"),"")</f>
        <v/>
      </c>
      <c r="BH729" s="179" t="str">
        <f t="array" ref="BH729">IF($F729&lt;&gt;"", XLOOKUP($F729,Productos!$A$2:$A1001,Productos!BA$2:BA1001,"")*$G729,"")</f>
        <v/>
      </c>
      <c r="BI729" s="179" t="str">
        <f t="array" ref="BI729">IF($F729&lt;&gt;"",XLOOKUP($F729,Productos!$A:$A,Productos!BB:BB,"Revisar"),"")</f>
        <v/>
      </c>
      <c r="BJ729" s="179" t="str">
        <f t="array" ref="BJ729">IF($F729&lt;&gt;"", XLOOKUP($F729,Productos!$A$2:$A1001,Productos!BC$2:BC1001,"")*$G729,"")</f>
        <v/>
      </c>
      <c r="BK729" s="179" t="str">
        <f t="array" ref="BK729">IF($F729&lt;&gt;"",XLOOKUP($F729,Productos!$A:$A,Productos!BD:BD,"Revisar"),"")</f>
        <v/>
      </c>
      <c r="BL729" s="179" t="str">
        <f t="array" ref="BL729">IF($F729&lt;&gt;"", XLOOKUP($F729,Productos!$A$2:$A1001,Productos!BE$2:BE1001,"")*$G729,"")</f>
        <v/>
      </c>
      <c r="BM729" s="179" t="str">
        <f t="array" ref="BM729">IF($F729&lt;&gt;"",XLOOKUP($F729,Productos!$A:$A,Productos!BF:BF,"Revisar"),"")</f>
        <v/>
      </c>
      <c r="BN729" s="179" t="str">
        <f t="array" ref="BN729">IF($F729&lt;&gt;"", XLOOKUP($F729,Productos!$A$2:$A1001,Productos!BG$2:BG1001,"")*$G729,"")</f>
        <v/>
      </c>
      <c r="BO729" s="179" t="str">
        <f t="array" ref="BO729">IF($F729&lt;&gt;"",XLOOKUP($F729,Productos!$A:$A,Productos!BH:BH,"Revisar"),"")</f>
        <v/>
      </c>
      <c r="BP729" s="179" t="str">
        <f t="array" ref="BP729">IF($F729&lt;&gt;"", XLOOKUP($F729,Productos!$A$2:$A1001,Productos!BI$2:BI1001,"")*$G729,"")</f>
        <v/>
      </c>
      <c r="BQ729" s="179" t="str">
        <f t="array" ref="BQ729">IF($F729&lt;&gt;"",XLOOKUP($F729,Productos!$A:$A,Productos!BJ:BJ,"Revisar"),"")</f>
        <v/>
      </c>
      <c r="BR729" s="179" t="str">
        <f t="array" ref="BR729">IF($F729&lt;&gt;"", XLOOKUP($F729,Productos!$A$2:$A1001,Productos!BK$2:BK1001,"")*$G729,"")</f>
        <v/>
      </c>
      <c r="BS729" s="179" t="str">
        <f t="array" ref="BS729">IF($F729&lt;&gt;"",XLOOKUP($F729,Productos!$A:$A,Productos!BL:BL,"Revisar"),"")</f>
        <v/>
      </c>
      <c r="BT729" s="179" t="str">
        <f t="array" ref="BT729">IF($F729&lt;&gt;"", XLOOKUP($F729,Productos!$A$2:$A1001,Productos!BM$2:BM1001,"")*$G729,"")</f>
        <v/>
      </c>
      <c r="BU729" s="179" t="str">
        <f t="array" ref="BU729">IF($F729&lt;&gt;"",XLOOKUP($F729,Productos!$A:$A,Productos!BN:BN,"Revisar"),"")</f>
        <v/>
      </c>
      <c r="BV729" s="179" t="str">
        <f t="array" ref="BV729">IF($F729&lt;&gt;"", XLOOKUP($F729,Productos!$A$2:$A1001,Productos!BO$2:BO1001,"")*$G729,"")</f>
        <v/>
      </c>
      <c r="BW729" s="179" t="str">
        <f t="array" ref="BW729">IF($F729&lt;&gt;"",XLOOKUP($F729,Productos!$A:$A,Productos!BP:BP,"Revisar"),"")</f>
        <v/>
      </c>
      <c r="BX729" s="179" t="str">
        <f t="array" ref="BX729">IF($F729&lt;&gt;"", XLOOKUP($F729,Productos!$A$2:$A1001,Productos!BQ$2:BQ1001,"")*$G729,"")</f>
        <v/>
      </c>
      <c r="BY729" s="179" t="str">
        <f t="array" ref="BY729">IF($F729&lt;&gt;"",XLOOKUP($F729,Productos!$A:$A,Productos!BR:BR,"Revisar"),"")</f>
        <v/>
      </c>
      <c r="BZ729" s="179" t="str">
        <f t="array" ref="BZ729">IF($F729&lt;&gt;"", XLOOKUP($F729,Productos!$A$2:$A1001,Productos!BS$2:BS1001,"")*$G729,"")</f>
        <v/>
      </c>
    </row>
    <row r="730">
      <c r="A730" s="188"/>
      <c r="B730" s="189"/>
      <c r="C730" s="190"/>
      <c r="D730" s="190"/>
      <c r="E730" s="191"/>
      <c r="F730" s="186"/>
      <c r="G730" s="192"/>
      <c r="H730" s="9"/>
      <c r="I730" s="179" t="str">
        <f t="array" ref="I730">IF($F730&lt;&gt;"",XLOOKUP($F730,Productos!$A:$A,Productos!B:B,"Revisar"),"")</f>
        <v/>
      </c>
      <c r="J730" s="179" t="str">
        <f t="array" ref="J730">IF($F730&lt;&gt;"", XLOOKUP($F730,Productos!$A$2:$A1001,Productos!C$2:C1001,"")*$G730,"")</f>
        <v/>
      </c>
      <c r="K730" s="179" t="str">
        <f t="array" ref="K730">IF($F730&lt;&gt;"",XLOOKUP($F730,Productos!$A:$A,Productos!D:D,"Revisar"),"")</f>
        <v/>
      </c>
      <c r="L730" s="179" t="str">
        <f t="array" ref="L730">IF($F730&lt;&gt;"", XLOOKUP($F730,Productos!$A$2:$A1001,Productos!E$2:E1001,"")*$G730,"")</f>
        <v/>
      </c>
      <c r="M730" s="179" t="str">
        <f t="array" ref="M730">IF($F730&lt;&gt;"",XLOOKUP($F730,Productos!$A:$A,Productos!F:F,"Revisar"),"")</f>
        <v/>
      </c>
      <c r="N730" s="179" t="str">
        <f t="array" ref="N730">IF($F730&lt;&gt;"", XLOOKUP($F730,Productos!$A$2:$A1001,Productos!G$2:G1001,"")*$G730,"")</f>
        <v/>
      </c>
      <c r="O730" s="179" t="str">
        <f t="array" ref="O730">IF($F730&lt;&gt;"",XLOOKUP($F730,Productos!$A:$A,Productos!H:H,"Revisar"),"")</f>
        <v/>
      </c>
      <c r="P730" s="179" t="str">
        <f t="array" ref="P730">IF($F730&lt;&gt;"", XLOOKUP($F730,Productos!$A$2:$A1001,Productos!I$2:I1001,"")*$G730,"")</f>
        <v/>
      </c>
      <c r="Q730" s="179" t="str">
        <f t="array" ref="Q730">IF($F730&lt;&gt;"",XLOOKUP($F730,Productos!$A:$A,Productos!J:J,"Revisar"),"")</f>
        <v/>
      </c>
      <c r="R730" s="179" t="str">
        <f t="array" ref="R730">IF($F730&lt;&gt;"", XLOOKUP($F730,Productos!$A$2:$A1001,Productos!K$2:K1001,"")*$G730,"")</f>
        <v/>
      </c>
      <c r="S730" s="179" t="str">
        <f t="array" ref="S730">IF($F730&lt;&gt;"",XLOOKUP($F730,Productos!$A:$A,Productos!L:L,"Revisar"),"")</f>
        <v/>
      </c>
      <c r="T730" s="179" t="str">
        <f t="array" ref="T730">IF($F730&lt;&gt;"", XLOOKUP($F730,Productos!$A$2:$A1001,Productos!M$2:M1001,"")*$G730,"")</f>
        <v/>
      </c>
      <c r="U730" s="179" t="str">
        <f t="array" ref="U730">IF($F730&lt;&gt;"",XLOOKUP($F730,Productos!$A:$A,Productos!N:N,"Revisar"),"")</f>
        <v/>
      </c>
      <c r="V730" s="179" t="str">
        <f t="array" ref="V730">IF($F730&lt;&gt;"", XLOOKUP($F730,Productos!$A$2:$A1001,Productos!O$2:O1001,"")*$G730,"")</f>
        <v/>
      </c>
      <c r="W730" s="179" t="str">
        <f t="array" ref="W730">IF($F730&lt;&gt;"",XLOOKUP($F730,Productos!$A:$A,Productos!P:P,"Revisar"),"")</f>
        <v/>
      </c>
      <c r="X730" s="179" t="str">
        <f t="array" ref="X730">IF($F730&lt;&gt;"", XLOOKUP($F730,Productos!$A$2:$A1001,Productos!Q$2:Q1001,"")*$G730,"")</f>
        <v/>
      </c>
      <c r="Y730" s="179" t="str">
        <f t="array" ref="Y730">IF($F730&lt;&gt;"",XLOOKUP($F730,Productos!$A:$A,Productos!R:R,"Revisar"),"")</f>
        <v/>
      </c>
      <c r="Z730" s="179" t="str">
        <f t="array" ref="Z730">IF($F730&lt;&gt;"", XLOOKUP($F730,Productos!$A$2:$A1001,Productos!S$2:S1001,"")*$G730,"")</f>
        <v/>
      </c>
      <c r="AA730" s="179" t="str">
        <f t="array" ref="AA730">IF($F730&lt;&gt;"",XLOOKUP($F730,Productos!$A:$A,Productos!T:T,"Revisar"),"")</f>
        <v/>
      </c>
      <c r="AB730" s="179" t="str">
        <f t="array" ref="AB730">IF($F730&lt;&gt;"", XLOOKUP($F730,Productos!$A$2:$A1001,Productos!U$2:U1001,"")*$G730,"")</f>
        <v/>
      </c>
      <c r="AC730" s="179" t="str">
        <f t="array" ref="AC730">IF($F730&lt;&gt;"",XLOOKUP($F730,Productos!$A:$A,Productos!V:V,"Revisar"),"")</f>
        <v/>
      </c>
      <c r="AD730" s="179" t="str">
        <f t="array" ref="AD730">IF($F730&lt;&gt;"", XLOOKUP($F730,Productos!$A$2:$A1001,Productos!W$2:W1001,"")*$G730,"")</f>
        <v/>
      </c>
      <c r="AE730" s="179" t="str">
        <f t="array" ref="AE730">IF($F730&lt;&gt;"",XLOOKUP($F730,Productos!$A:$A,Productos!X:X,"Revisar"),"")</f>
        <v/>
      </c>
      <c r="AF730" s="179" t="str">
        <f t="array" ref="AF730">IF($F730&lt;&gt;"", XLOOKUP($F730,Productos!$A$2:$A1001,Productos!Y$2:Y1001,"")*$G730,"")</f>
        <v/>
      </c>
      <c r="AG730" s="179" t="str">
        <f t="array" ref="AG730">IF($F730&lt;&gt;"",XLOOKUP($F730,Productos!$A:$A,Productos!Z:Z,"Revisar"),"")</f>
        <v/>
      </c>
      <c r="AH730" s="179" t="str">
        <f t="array" ref="AH730">IF($F730&lt;&gt;"", XLOOKUP($F730,Productos!$A$2:$A1001,Productos!AA$2:AA1001,"")*$G730,"")</f>
        <v/>
      </c>
      <c r="AI730" s="179" t="str">
        <f t="array" ref="AI730">IF($F730&lt;&gt;"",XLOOKUP($F730,Productos!$A:$A,Productos!AB:AB,"Revisar"),"")</f>
        <v/>
      </c>
      <c r="AJ730" s="179" t="str">
        <f t="array" ref="AJ730">IF($F730&lt;&gt;"", XLOOKUP($F730,Productos!$A$2:$A1001,Productos!AC$2:AC1001,"")*$G730,"")</f>
        <v/>
      </c>
      <c r="AK730" s="179" t="str">
        <f t="array" ref="AK730">IF($F730&lt;&gt;"",XLOOKUP($F730,Productos!$A:$A,Productos!AD:AD,"Revisar"),"")</f>
        <v/>
      </c>
      <c r="AL730" s="179" t="str">
        <f t="array" ref="AL730">IF($F730&lt;&gt;"", XLOOKUP($F730,Productos!$A$2:$A1001,Productos!AE$2:AE1001,"")*$G730,"")</f>
        <v/>
      </c>
      <c r="AM730" s="179" t="str">
        <f t="array" ref="AM730">IF($F730&lt;&gt;"",XLOOKUP($F730,Productos!$A:$A,Productos!AF:AF,"Revisar"),"")</f>
        <v/>
      </c>
      <c r="AN730" s="179" t="str">
        <f t="array" ref="AN730">IF($F730&lt;&gt;"", XLOOKUP($F730,Productos!$A$2:$A1001,Productos!AG$2:AG1001,"")*$G730,"")</f>
        <v/>
      </c>
      <c r="AO730" s="179" t="str">
        <f t="array" ref="AO730">IF($F730&lt;&gt;"",XLOOKUP($F730,Productos!$A:$A,Productos!AH:AH,"Revisar"),"")</f>
        <v/>
      </c>
      <c r="AP730" s="179" t="str">
        <f t="array" ref="AP730">IF($F730&lt;&gt;"", XLOOKUP($F730,Productos!$A$2:$A1001,Productos!AI$2:AI1001,"")*$G730,"")</f>
        <v/>
      </c>
      <c r="AQ730" s="179" t="str">
        <f t="array" ref="AQ730">IF($F730&lt;&gt;"",XLOOKUP($F730,Productos!$A:$A,Productos!AJ:AJ,"Revisar"),"")</f>
        <v/>
      </c>
      <c r="AR730" s="179" t="str">
        <f t="array" ref="AR730">IF($F730&lt;&gt;"", XLOOKUP($F730,Productos!$A$2:$A1001,Productos!AK$2:AK1001,"")*$G730,"")</f>
        <v/>
      </c>
      <c r="AS730" s="179" t="str">
        <f t="array" ref="AS730">IF($F730&lt;&gt;"",XLOOKUP($F730,Productos!$A:$A,Productos!AL:AL,"Revisar"),"")</f>
        <v/>
      </c>
      <c r="AT730" s="179" t="str">
        <f t="array" ref="AT730">IF($F730&lt;&gt;"", XLOOKUP($F730,Productos!$A$2:$A1001,Productos!AM$2:AM1001,"")*$G730,"")</f>
        <v/>
      </c>
      <c r="AU730" s="179" t="str">
        <f t="array" ref="AU730">IF($F730&lt;&gt;"",XLOOKUP($F730,Productos!$A:$A,Productos!AN:AN,"Revisar"),"")</f>
        <v/>
      </c>
      <c r="AV730" s="179" t="str">
        <f t="array" ref="AV730">IF($F730&lt;&gt;"", XLOOKUP($F730,Productos!$A$2:$A1001,Productos!AO$2:AO1001,"")*$G730,"")</f>
        <v/>
      </c>
      <c r="AW730" s="179" t="str">
        <f t="array" ref="AW730">IF($F730&lt;&gt;"",XLOOKUP($F730,Productos!$A:$A,Productos!AP:AP,"Revisar"),"")</f>
        <v/>
      </c>
      <c r="AX730" s="179" t="str">
        <f t="array" ref="AX730">IF($F730&lt;&gt;"", XLOOKUP($F730,Productos!$A$2:$A1001,Productos!AQ$2:AQ1001,"")*$G730,"")</f>
        <v/>
      </c>
      <c r="AY730" s="179" t="str">
        <f t="array" ref="AY730">IF($F730&lt;&gt;"",XLOOKUP($F730,Productos!$A:$A,Productos!AR:AR,"Revisar"),"")</f>
        <v/>
      </c>
      <c r="AZ730" s="179" t="str">
        <f t="array" ref="AZ730">IF($F730&lt;&gt;"", XLOOKUP($F730,Productos!$A$2:$A1001,Productos!AS$2:AS1001,"")*$G730,"")</f>
        <v/>
      </c>
      <c r="BA730" s="179" t="str">
        <f t="array" ref="BA730">IF($F730&lt;&gt;"",XLOOKUP($F730,Productos!$A:$A,Productos!AT:AT,"Revisar"),"")</f>
        <v/>
      </c>
      <c r="BB730" s="179" t="str">
        <f t="array" ref="BB730">IF($F730&lt;&gt;"", XLOOKUP($F730,Productos!$A$2:$A1001,Productos!AU$2:AU1001,"")*$G730,"")</f>
        <v/>
      </c>
      <c r="BC730" s="179" t="str">
        <f t="array" ref="BC730">IF($F730&lt;&gt;"",XLOOKUP($F730,Productos!$A:$A,Productos!AV:AV,"Revisar"),"")</f>
        <v/>
      </c>
      <c r="BD730" s="179" t="str">
        <f t="array" ref="BD730">IF($F730&lt;&gt;"", XLOOKUP($F730,Productos!$A$2:$A1001,Productos!AW$2:AW1001,"")*$G730,"")</f>
        <v/>
      </c>
      <c r="BE730" s="179" t="str">
        <f t="array" ref="BE730">IF($F730&lt;&gt;"",XLOOKUP($F730,Productos!$A:$A,Productos!AX:AX,"Revisar"),"")</f>
        <v/>
      </c>
      <c r="BF730" s="179" t="str">
        <f t="array" ref="BF730">IF($F730&lt;&gt;"", XLOOKUP($F730,Productos!$A$2:$A1001,Productos!AY$2:AY1001,"")*$G730,"")</f>
        <v/>
      </c>
      <c r="BG730" s="179" t="str">
        <f t="array" ref="BG730">IF($F730&lt;&gt;"",XLOOKUP($F730,Productos!$A:$A,Productos!AZ:AZ,"Revisar"),"")</f>
        <v/>
      </c>
      <c r="BH730" s="179" t="str">
        <f t="array" ref="BH730">IF($F730&lt;&gt;"", XLOOKUP($F730,Productos!$A$2:$A1001,Productos!BA$2:BA1001,"")*$G730,"")</f>
        <v/>
      </c>
      <c r="BI730" s="179" t="str">
        <f t="array" ref="BI730">IF($F730&lt;&gt;"",XLOOKUP($F730,Productos!$A:$A,Productos!BB:BB,"Revisar"),"")</f>
        <v/>
      </c>
      <c r="BJ730" s="179" t="str">
        <f t="array" ref="BJ730">IF($F730&lt;&gt;"", XLOOKUP($F730,Productos!$A$2:$A1001,Productos!BC$2:BC1001,"")*$G730,"")</f>
        <v/>
      </c>
      <c r="BK730" s="179" t="str">
        <f t="array" ref="BK730">IF($F730&lt;&gt;"",XLOOKUP($F730,Productos!$A:$A,Productos!BD:BD,"Revisar"),"")</f>
        <v/>
      </c>
      <c r="BL730" s="179" t="str">
        <f t="array" ref="BL730">IF($F730&lt;&gt;"", XLOOKUP($F730,Productos!$A$2:$A1001,Productos!BE$2:BE1001,"")*$G730,"")</f>
        <v/>
      </c>
      <c r="BM730" s="179" t="str">
        <f t="array" ref="BM730">IF($F730&lt;&gt;"",XLOOKUP($F730,Productos!$A:$A,Productos!BF:BF,"Revisar"),"")</f>
        <v/>
      </c>
      <c r="BN730" s="179" t="str">
        <f t="array" ref="BN730">IF($F730&lt;&gt;"", XLOOKUP($F730,Productos!$A$2:$A1001,Productos!BG$2:BG1001,"")*$G730,"")</f>
        <v/>
      </c>
      <c r="BO730" s="179" t="str">
        <f t="array" ref="BO730">IF($F730&lt;&gt;"",XLOOKUP($F730,Productos!$A:$A,Productos!BH:BH,"Revisar"),"")</f>
        <v/>
      </c>
      <c r="BP730" s="179" t="str">
        <f t="array" ref="BP730">IF($F730&lt;&gt;"", XLOOKUP($F730,Productos!$A$2:$A1001,Productos!BI$2:BI1001,"")*$G730,"")</f>
        <v/>
      </c>
      <c r="BQ730" s="179" t="str">
        <f t="array" ref="BQ730">IF($F730&lt;&gt;"",XLOOKUP($F730,Productos!$A:$A,Productos!BJ:BJ,"Revisar"),"")</f>
        <v/>
      </c>
      <c r="BR730" s="179" t="str">
        <f t="array" ref="BR730">IF($F730&lt;&gt;"", XLOOKUP($F730,Productos!$A$2:$A1001,Productos!BK$2:BK1001,"")*$G730,"")</f>
        <v/>
      </c>
      <c r="BS730" s="179" t="str">
        <f t="array" ref="BS730">IF($F730&lt;&gt;"",XLOOKUP($F730,Productos!$A:$A,Productos!BL:BL,"Revisar"),"")</f>
        <v/>
      </c>
      <c r="BT730" s="179" t="str">
        <f t="array" ref="BT730">IF($F730&lt;&gt;"", XLOOKUP($F730,Productos!$A$2:$A1001,Productos!BM$2:BM1001,"")*$G730,"")</f>
        <v/>
      </c>
      <c r="BU730" s="179" t="str">
        <f t="array" ref="BU730">IF($F730&lt;&gt;"",XLOOKUP($F730,Productos!$A:$A,Productos!BN:BN,"Revisar"),"")</f>
        <v/>
      </c>
      <c r="BV730" s="179" t="str">
        <f t="array" ref="BV730">IF($F730&lt;&gt;"", XLOOKUP($F730,Productos!$A$2:$A1001,Productos!BO$2:BO1001,"")*$G730,"")</f>
        <v/>
      </c>
      <c r="BW730" s="179" t="str">
        <f t="array" ref="BW730">IF($F730&lt;&gt;"",XLOOKUP($F730,Productos!$A:$A,Productos!BP:BP,"Revisar"),"")</f>
        <v/>
      </c>
      <c r="BX730" s="179" t="str">
        <f t="array" ref="BX730">IF($F730&lt;&gt;"", XLOOKUP($F730,Productos!$A$2:$A1001,Productos!BQ$2:BQ1001,"")*$G730,"")</f>
        <v/>
      </c>
      <c r="BY730" s="179" t="str">
        <f t="array" ref="BY730">IF($F730&lt;&gt;"",XLOOKUP($F730,Productos!$A:$A,Productos!BR:BR,"Revisar"),"")</f>
        <v/>
      </c>
      <c r="BZ730" s="179" t="str">
        <f t="array" ref="BZ730">IF($F730&lt;&gt;"", XLOOKUP($F730,Productos!$A$2:$A1001,Productos!BS$2:BS1001,"")*$G730,"")</f>
        <v/>
      </c>
    </row>
    <row r="731">
      <c r="A731" s="188"/>
      <c r="B731" s="189"/>
      <c r="C731" s="190"/>
      <c r="D731" s="190"/>
      <c r="E731" s="191"/>
      <c r="F731" s="186"/>
      <c r="G731" s="192"/>
      <c r="H731" s="9"/>
      <c r="I731" s="179" t="str">
        <f t="array" ref="I731">IF($F731&lt;&gt;"",XLOOKUP($F731,Productos!$A:$A,Productos!B:B,"Revisar"),"")</f>
        <v/>
      </c>
      <c r="J731" s="179" t="str">
        <f t="array" ref="J731">IF($F731&lt;&gt;"", XLOOKUP($F731,Productos!$A$2:$A1001,Productos!C$2:C1001,"")*$G731,"")</f>
        <v/>
      </c>
      <c r="K731" s="179" t="str">
        <f t="array" ref="K731">IF($F731&lt;&gt;"",XLOOKUP($F731,Productos!$A:$A,Productos!D:D,"Revisar"),"")</f>
        <v/>
      </c>
      <c r="L731" s="179" t="str">
        <f t="array" ref="L731">IF($F731&lt;&gt;"", XLOOKUP($F731,Productos!$A$2:$A1001,Productos!E$2:E1001,"")*$G731,"")</f>
        <v/>
      </c>
      <c r="M731" s="179" t="str">
        <f t="array" ref="M731">IF($F731&lt;&gt;"",XLOOKUP($F731,Productos!$A:$A,Productos!F:F,"Revisar"),"")</f>
        <v/>
      </c>
      <c r="N731" s="179" t="str">
        <f t="array" ref="N731">IF($F731&lt;&gt;"", XLOOKUP($F731,Productos!$A$2:$A1001,Productos!G$2:G1001,"")*$G731,"")</f>
        <v/>
      </c>
      <c r="O731" s="179" t="str">
        <f t="array" ref="O731">IF($F731&lt;&gt;"",XLOOKUP($F731,Productos!$A:$A,Productos!H:H,"Revisar"),"")</f>
        <v/>
      </c>
      <c r="P731" s="179" t="str">
        <f t="array" ref="P731">IF($F731&lt;&gt;"", XLOOKUP($F731,Productos!$A$2:$A1001,Productos!I$2:I1001,"")*$G731,"")</f>
        <v/>
      </c>
      <c r="Q731" s="179" t="str">
        <f t="array" ref="Q731">IF($F731&lt;&gt;"",XLOOKUP($F731,Productos!$A:$A,Productos!J:J,"Revisar"),"")</f>
        <v/>
      </c>
      <c r="R731" s="179" t="str">
        <f t="array" ref="R731">IF($F731&lt;&gt;"", XLOOKUP($F731,Productos!$A$2:$A1001,Productos!K$2:K1001,"")*$G731,"")</f>
        <v/>
      </c>
      <c r="S731" s="179" t="str">
        <f t="array" ref="S731">IF($F731&lt;&gt;"",XLOOKUP($F731,Productos!$A:$A,Productos!L:L,"Revisar"),"")</f>
        <v/>
      </c>
      <c r="T731" s="179" t="str">
        <f t="array" ref="T731">IF($F731&lt;&gt;"", XLOOKUP($F731,Productos!$A$2:$A1001,Productos!M$2:M1001,"")*$G731,"")</f>
        <v/>
      </c>
      <c r="U731" s="179" t="str">
        <f t="array" ref="U731">IF($F731&lt;&gt;"",XLOOKUP($F731,Productos!$A:$A,Productos!N:N,"Revisar"),"")</f>
        <v/>
      </c>
      <c r="V731" s="179" t="str">
        <f t="array" ref="V731">IF($F731&lt;&gt;"", XLOOKUP($F731,Productos!$A$2:$A1001,Productos!O$2:O1001,"")*$G731,"")</f>
        <v/>
      </c>
      <c r="W731" s="179" t="str">
        <f t="array" ref="W731">IF($F731&lt;&gt;"",XLOOKUP($F731,Productos!$A:$A,Productos!P:P,"Revisar"),"")</f>
        <v/>
      </c>
      <c r="X731" s="179" t="str">
        <f t="array" ref="X731">IF($F731&lt;&gt;"", XLOOKUP($F731,Productos!$A$2:$A1001,Productos!Q$2:Q1001,"")*$G731,"")</f>
        <v/>
      </c>
      <c r="Y731" s="179" t="str">
        <f t="array" ref="Y731">IF($F731&lt;&gt;"",XLOOKUP($F731,Productos!$A:$A,Productos!R:R,"Revisar"),"")</f>
        <v/>
      </c>
      <c r="Z731" s="179" t="str">
        <f t="array" ref="Z731">IF($F731&lt;&gt;"", XLOOKUP($F731,Productos!$A$2:$A1001,Productos!S$2:S1001,"")*$G731,"")</f>
        <v/>
      </c>
      <c r="AA731" s="179" t="str">
        <f t="array" ref="AA731">IF($F731&lt;&gt;"",XLOOKUP($F731,Productos!$A:$A,Productos!T:T,"Revisar"),"")</f>
        <v/>
      </c>
      <c r="AB731" s="179" t="str">
        <f t="array" ref="AB731">IF($F731&lt;&gt;"", XLOOKUP($F731,Productos!$A$2:$A1001,Productos!U$2:U1001,"")*$G731,"")</f>
        <v/>
      </c>
      <c r="AC731" s="179" t="str">
        <f t="array" ref="AC731">IF($F731&lt;&gt;"",XLOOKUP($F731,Productos!$A:$A,Productos!V:V,"Revisar"),"")</f>
        <v/>
      </c>
      <c r="AD731" s="179" t="str">
        <f t="array" ref="AD731">IF($F731&lt;&gt;"", XLOOKUP($F731,Productos!$A$2:$A1001,Productos!W$2:W1001,"")*$G731,"")</f>
        <v/>
      </c>
      <c r="AE731" s="179" t="str">
        <f t="array" ref="AE731">IF($F731&lt;&gt;"",XLOOKUP($F731,Productos!$A:$A,Productos!X:X,"Revisar"),"")</f>
        <v/>
      </c>
      <c r="AF731" s="179" t="str">
        <f t="array" ref="AF731">IF($F731&lt;&gt;"", XLOOKUP($F731,Productos!$A$2:$A1001,Productos!Y$2:Y1001,"")*$G731,"")</f>
        <v/>
      </c>
      <c r="AG731" s="179" t="str">
        <f t="array" ref="AG731">IF($F731&lt;&gt;"",XLOOKUP($F731,Productos!$A:$A,Productos!Z:Z,"Revisar"),"")</f>
        <v/>
      </c>
      <c r="AH731" s="179" t="str">
        <f t="array" ref="AH731">IF($F731&lt;&gt;"", XLOOKUP($F731,Productos!$A$2:$A1001,Productos!AA$2:AA1001,"")*$G731,"")</f>
        <v/>
      </c>
      <c r="AI731" s="179" t="str">
        <f t="array" ref="AI731">IF($F731&lt;&gt;"",XLOOKUP($F731,Productos!$A:$A,Productos!AB:AB,"Revisar"),"")</f>
        <v/>
      </c>
      <c r="AJ731" s="179" t="str">
        <f t="array" ref="AJ731">IF($F731&lt;&gt;"", XLOOKUP($F731,Productos!$A$2:$A1001,Productos!AC$2:AC1001,"")*$G731,"")</f>
        <v/>
      </c>
      <c r="AK731" s="179" t="str">
        <f t="array" ref="AK731">IF($F731&lt;&gt;"",XLOOKUP($F731,Productos!$A:$A,Productos!AD:AD,"Revisar"),"")</f>
        <v/>
      </c>
      <c r="AL731" s="179" t="str">
        <f t="array" ref="AL731">IF($F731&lt;&gt;"", XLOOKUP($F731,Productos!$A$2:$A1001,Productos!AE$2:AE1001,"")*$G731,"")</f>
        <v/>
      </c>
      <c r="AM731" s="179" t="str">
        <f t="array" ref="AM731">IF($F731&lt;&gt;"",XLOOKUP($F731,Productos!$A:$A,Productos!AF:AF,"Revisar"),"")</f>
        <v/>
      </c>
      <c r="AN731" s="179" t="str">
        <f t="array" ref="AN731">IF($F731&lt;&gt;"", XLOOKUP($F731,Productos!$A$2:$A1001,Productos!AG$2:AG1001,"")*$G731,"")</f>
        <v/>
      </c>
      <c r="AO731" s="179" t="str">
        <f t="array" ref="AO731">IF($F731&lt;&gt;"",XLOOKUP($F731,Productos!$A:$A,Productos!AH:AH,"Revisar"),"")</f>
        <v/>
      </c>
      <c r="AP731" s="179" t="str">
        <f t="array" ref="AP731">IF($F731&lt;&gt;"", XLOOKUP($F731,Productos!$A$2:$A1001,Productos!AI$2:AI1001,"")*$G731,"")</f>
        <v/>
      </c>
      <c r="AQ731" s="179" t="str">
        <f t="array" ref="AQ731">IF($F731&lt;&gt;"",XLOOKUP($F731,Productos!$A:$A,Productos!AJ:AJ,"Revisar"),"")</f>
        <v/>
      </c>
      <c r="AR731" s="179" t="str">
        <f t="array" ref="AR731">IF($F731&lt;&gt;"", XLOOKUP($F731,Productos!$A$2:$A1001,Productos!AK$2:AK1001,"")*$G731,"")</f>
        <v/>
      </c>
      <c r="AS731" s="179" t="str">
        <f t="array" ref="AS731">IF($F731&lt;&gt;"",XLOOKUP($F731,Productos!$A:$A,Productos!AL:AL,"Revisar"),"")</f>
        <v/>
      </c>
      <c r="AT731" s="179" t="str">
        <f t="array" ref="AT731">IF($F731&lt;&gt;"", XLOOKUP($F731,Productos!$A$2:$A1001,Productos!AM$2:AM1001,"")*$G731,"")</f>
        <v/>
      </c>
      <c r="AU731" s="179" t="str">
        <f t="array" ref="AU731">IF($F731&lt;&gt;"",XLOOKUP($F731,Productos!$A:$A,Productos!AN:AN,"Revisar"),"")</f>
        <v/>
      </c>
      <c r="AV731" s="179" t="str">
        <f t="array" ref="AV731">IF($F731&lt;&gt;"", XLOOKUP($F731,Productos!$A$2:$A1001,Productos!AO$2:AO1001,"")*$G731,"")</f>
        <v/>
      </c>
      <c r="AW731" s="179" t="str">
        <f t="array" ref="AW731">IF($F731&lt;&gt;"",XLOOKUP($F731,Productos!$A:$A,Productos!AP:AP,"Revisar"),"")</f>
        <v/>
      </c>
      <c r="AX731" s="179" t="str">
        <f t="array" ref="AX731">IF($F731&lt;&gt;"", XLOOKUP($F731,Productos!$A$2:$A1001,Productos!AQ$2:AQ1001,"")*$G731,"")</f>
        <v/>
      </c>
      <c r="AY731" s="179" t="str">
        <f t="array" ref="AY731">IF($F731&lt;&gt;"",XLOOKUP($F731,Productos!$A:$A,Productos!AR:AR,"Revisar"),"")</f>
        <v/>
      </c>
      <c r="AZ731" s="179" t="str">
        <f t="array" ref="AZ731">IF($F731&lt;&gt;"", XLOOKUP($F731,Productos!$A$2:$A1001,Productos!AS$2:AS1001,"")*$G731,"")</f>
        <v/>
      </c>
      <c r="BA731" s="179" t="str">
        <f t="array" ref="BA731">IF($F731&lt;&gt;"",XLOOKUP($F731,Productos!$A:$A,Productos!AT:AT,"Revisar"),"")</f>
        <v/>
      </c>
      <c r="BB731" s="179" t="str">
        <f t="array" ref="BB731">IF($F731&lt;&gt;"", XLOOKUP($F731,Productos!$A$2:$A1001,Productos!AU$2:AU1001,"")*$G731,"")</f>
        <v/>
      </c>
      <c r="BC731" s="179" t="str">
        <f t="array" ref="BC731">IF($F731&lt;&gt;"",XLOOKUP($F731,Productos!$A:$A,Productos!AV:AV,"Revisar"),"")</f>
        <v/>
      </c>
      <c r="BD731" s="179" t="str">
        <f t="array" ref="BD731">IF($F731&lt;&gt;"", XLOOKUP($F731,Productos!$A$2:$A1001,Productos!AW$2:AW1001,"")*$G731,"")</f>
        <v/>
      </c>
      <c r="BE731" s="179" t="str">
        <f t="array" ref="BE731">IF($F731&lt;&gt;"",XLOOKUP($F731,Productos!$A:$A,Productos!AX:AX,"Revisar"),"")</f>
        <v/>
      </c>
      <c r="BF731" s="179" t="str">
        <f t="array" ref="BF731">IF($F731&lt;&gt;"", XLOOKUP($F731,Productos!$A$2:$A1001,Productos!AY$2:AY1001,"")*$G731,"")</f>
        <v/>
      </c>
      <c r="BG731" s="179" t="str">
        <f t="array" ref="BG731">IF($F731&lt;&gt;"",XLOOKUP($F731,Productos!$A:$A,Productos!AZ:AZ,"Revisar"),"")</f>
        <v/>
      </c>
      <c r="BH731" s="179" t="str">
        <f t="array" ref="BH731">IF($F731&lt;&gt;"", XLOOKUP($F731,Productos!$A$2:$A1001,Productos!BA$2:BA1001,"")*$G731,"")</f>
        <v/>
      </c>
      <c r="BI731" s="179" t="str">
        <f t="array" ref="BI731">IF($F731&lt;&gt;"",XLOOKUP($F731,Productos!$A:$A,Productos!BB:BB,"Revisar"),"")</f>
        <v/>
      </c>
      <c r="BJ731" s="179" t="str">
        <f t="array" ref="BJ731">IF($F731&lt;&gt;"", XLOOKUP($F731,Productos!$A$2:$A1001,Productos!BC$2:BC1001,"")*$G731,"")</f>
        <v/>
      </c>
      <c r="BK731" s="179" t="str">
        <f t="array" ref="BK731">IF($F731&lt;&gt;"",XLOOKUP($F731,Productos!$A:$A,Productos!BD:BD,"Revisar"),"")</f>
        <v/>
      </c>
      <c r="BL731" s="179" t="str">
        <f t="array" ref="BL731">IF($F731&lt;&gt;"", XLOOKUP($F731,Productos!$A$2:$A1001,Productos!BE$2:BE1001,"")*$G731,"")</f>
        <v/>
      </c>
      <c r="BM731" s="179" t="str">
        <f t="array" ref="BM731">IF($F731&lt;&gt;"",XLOOKUP($F731,Productos!$A:$A,Productos!BF:BF,"Revisar"),"")</f>
        <v/>
      </c>
      <c r="BN731" s="179" t="str">
        <f t="array" ref="BN731">IF($F731&lt;&gt;"", XLOOKUP($F731,Productos!$A$2:$A1001,Productos!BG$2:BG1001,"")*$G731,"")</f>
        <v/>
      </c>
      <c r="BO731" s="179" t="str">
        <f t="array" ref="BO731">IF($F731&lt;&gt;"",XLOOKUP($F731,Productos!$A:$A,Productos!BH:BH,"Revisar"),"")</f>
        <v/>
      </c>
      <c r="BP731" s="179" t="str">
        <f t="array" ref="BP731">IF($F731&lt;&gt;"", XLOOKUP($F731,Productos!$A$2:$A1001,Productos!BI$2:BI1001,"")*$G731,"")</f>
        <v/>
      </c>
      <c r="BQ731" s="179" t="str">
        <f t="array" ref="BQ731">IF($F731&lt;&gt;"",XLOOKUP($F731,Productos!$A:$A,Productos!BJ:BJ,"Revisar"),"")</f>
        <v/>
      </c>
      <c r="BR731" s="179" t="str">
        <f t="array" ref="BR731">IF($F731&lt;&gt;"", XLOOKUP($F731,Productos!$A$2:$A1001,Productos!BK$2:BK1001,"")*$G731,"")</f>
        <v/>
      </c>
      <c r="BS731" s="179" t="str">
        <f t="array" ref="BS731">IF($F731&lt;&gt;"",XLOOKUP($F731,Productos!$A:$A,Productos!BL:BL,"Revisar"),"")</f>
        <v/>
      </c>
      <c r="BT731" s="179" t="str">
        <f t="array" ref="BT731">IF($F731&lt;&gt;"", XLOOKUP($F731,Productos!$A$2:$A1001,Productos!BM$2:BM1001,"")*$G731,"")</f>
        <v/>
      </c>
      <c r="BU731" s="179" t="str">
        <f t="array" ref="BU731">IF($F731&lt;&gt;"",XLOOKUP($F731,Productos!$A:$A,Productos!BN:BN,"Revisar"),"")</f>
        <v/>
      </c>
      <c r="BV731" s="179" t="str">
        <f t="array" ref="BV731">IF($F731&lt;&gt;"", XLOOKUP($F731,Productos!$A$2:$A1001,Productos!BO$2:BO1001,"")*$G731,"")</f>
        <v/>
      </c>
      <c r="BW731" s="179" t="str">
        <f t="array" ref="BW731">IF($F731&lt;&gt;"",XLOOKUP($F731,Productos!$A:$A,Productos!BP:BP,"Revisar"),"")</f>
        <v/>
      </c>
      <c r="BX731" s="179" t="str">
        <f t="array" ref="BX731">IF($F731&lt;&gt;"", XLOOKUP($F731,Productos!$A$2:$A1001,Productos!BQ$2:BQ1001,"")*$G731,"")</f>
        <v/>
      </c>
      <c r="BY731" s="179" t="str">
        <f t="array" ref="BY731">IF($F731&lt;&gt;"",XLOOKUP($F731,Productos!$A:$A,Productos!BR:BR,"Revisar"),"")</f>
        <v/>
      </c>
      <c r="BZ731" s="179" t="str">
        <f t="array" ref="BZ731">IF($F731&lt;&gt;"", XLOOKUP($F731,Productos!$A$2:$A1001,Productos!BS$2:BS1001,"")*$G731,"")</f>
        <v/>
      </c>
    </row>
    <row r="732">
      <c r="A732" s="188"/>
      <c r="B732" s="189"/>
      <c r="C732" s="190"/>
      <c r="D732" s="190"/>
      <c r="E732" s="191"/>
      <c r="F732" s="186"/>
      <c r="G732" s="192"/>
      <c r="H732" s="9"/>
      <c r="I732" s="179" t="str">
        <f t="array" ref="I732">IF($F732&lt;&gt;"",XLOOKUP($F732,Productos!$A:$A,Productos!B:B,"Revisar"),"")</f>
        <v/>
      </c>
      <c r="J732" s="179" t="str">
        <f t="array" ref="J732">IF($F732&lt;&gt;"", XLOOKUP($F732,Productos!$A$2:$A1001,Productos!C$2:C1001,"")*$G732,"")</f>
        <v/>
      </c>
      <c r="K732" s="179" t="str">
        <f t="array" ref="K732">IF($F732&lt;&gt;"",XLOOKUP($F732,Productos!$A:$A,Productos!D:D,"Revisar"),"")</f>
        <v/>
      </c>
      <c r="L732" s="179" t="str">
        <f t="array" ref="L732">IF($F732&lt;&gt;"", XLOOKUP($F732,Productos!$A$2:$A1001,Productos!E$2:E1001,"")*$G732,"")</f>
        <v/>
      </c>
      <c r="M732" s="179" t="str">
        <f t="array" ref="M732">IF($F732&lt;&gt;"",XLOOKUP($F732,Productos!$A:$A,Productos!F:F,"Revisar"),"")</f>
        <v/>
      </c>
      <c r="N732" s="179" t="str">
        <f t="array" ref="N732">IF($F732&lt;&gt;"", XLOOKUP($F732,Productos!$A$2:$A1001,Productos!G$2:G1001,"")*$G732,"")</f>
        <v/>
      </c>
      <c r="O732" s="179" t="str">
        <f t="array" ref="O732">IF($F732&lt;&gt;"",XLOOKUP($F732,Productos!$A:$A,Productos!H:H,"Revisar"),"")</f>
        <v/>
      </c>
      <c r="P732" s="179" t="str">
        <f t="array" ref="P732">IF($F732&lt;&gt;"", XLOOKUP($F732,Productos!$A$2:$A1001,Productos!I$2:I1001,"")*$G732,"")</f>
        <v/>
      </c>
      <c r="Q732" s="179" t="str">
        <f t="array" ref="Q732">IF($F732&lt;&gt;"",XLOOKUP($F732,Productos!$A:$A,Productos!J:J,"Revisar"),"")</f>
        <v/>
      </c>
      <c r="R732" s="179" t="str">
        <f t="array" ref="R732">IF($F732&lt;&gt;"", XLOOKUP($F732,Productos!$A$2:$A1001,Productos!K$2:K1001,"")*$G732,"")</f>
        <v/>
      </c>
      <c r="S732" s="179" t="str">
        <f t="array" ref="S732">IF($F732&lt;&gt;"",XLOOKUP($F732,Productos!$A:$A,Productos!L:L,"Revisar"),"")</f>
        <v/>
      </c>
      <c r="T732" s="179" t="str">
        <f t="array" ref="T732">IF($F732&lt;&gt;"", XLOOKUP($F732,Productos!$A$2:$A1001,Productos!M$2:M1001,"")*$G732,"")</f>
        <v/>
      </c>
      <c r="U732" s="179" t="str">
        <f t="array" ref="U732">IF($F732&lt;&gt;"",XLOOKUP($F732,Productos!$A:$A,Productos!N:N,"Revisar"),"")</f>
        <v/>
      </c>
      <c r="V732" s="179" t="str">
        <f t="array" ref="V732">IF($F732&lt;&gt;"", XLOOKUP($F732,Productos!$A$2:$A1001,Productos!O$2:O1001,"")*$G732,"")</f>
        <v/>
      </c>
      <c r="W732" s="179" t="str">
        <f t="array" ref="W732">IF($F732&lt;&gt;"",XLOOKUP($F732,Productos!$A:$A,Productos!P:P,"Revisar"),"")</f>
        <v/>
      </c>
      <c r="X732" s="179" t="str">
        <f t="array" ref="X732">IF($F732&lt;&gt;"", XLOOKUP($F732,Productos!$A$2:$A1001,Productos!Q$2:Q1001,"")*$G732,"")</f>
        <v/>
      </c>
      <c r="Y732" s="179" t="str">
        <f t="array" ref="Y732">IF($F732&lt;&gt;"",XLOOKUP($F732,Productos!$A:$A,Productos!R:R,"Revisar"),"")</f>
        <v/>
      </c>
      <c r="Z732" s="179" t="str">
        <f t="array" ref="Z732">IF($F732&lt;&gt;"", XLOOKUP($F732,Productos!$A$2:$A1001,Productos!S$2:S1001,"")*$G732,"")</f>
        <v/>
      </c>
      <c r="AA732" s="179" t="str">
        <f t="array" ref="AA732">IF($F732&lt;&gt;"",XLOOKUP($F732,Productos!$A:$A,Productos!T:T,"Revisar"),"")</f>
        <v/>
      </c>
      <c r="AB732" s="179" t="str">
        <f t="array" ref="AB732">IF($F732&lt;&gt;"", XLOOKUP($F732,Productos!$A$2:$A1001,Productos!U$2:U1001,"")*$G732,"")</f>
        <v/>
      </c>
      <c r="AC732" s="179" t="str">
        <f t="array" ref="AC732">IF($F732&lt;&gt;"",XLOOKUP($F732,Productos!$A:$A,Productos!V:V,"Revisar"),"")</f>
        <v/>
      </c>
      <c r="AD732" s="179" t="str">
        <f t="array" ref="AD732">IF($F732&lt;&gt;"", XLOOKUP($F732,Productos!$A$2:$A1001,Productos!W$2:W1001,"")*$G732,"")</f>
        <v/>
      </c>
      <c r="AE732" s="179" t="str">
        <f t="array" ref="AE732">IF($F732&lt;&gt;"",XLOOKUP($F732,Productos!$A:$A,Productos!X:X,"Revisar"),"")</f>
        <v/>
      </c>
      <c r="AF732" s="179" t="str">
        <f t="array" ref="AF732">IF($F732&lt;&gt;"", XLOOKUP($F732,Productos!$A$2:$A1001,Productos!Y$2:Y1001,"")*$G732,"")</f>
        <v/>
      </c>
      <c r="AG732" s="179" t="str">
        <f t="array" ref="AG732">IF($F732&lt;&gt;"",XLOOKUP($F732,Productos!$A:$A,Productos!Z:Z,"Revisar"),"")</f>
        <v/>
      </c>
      <c r="AH732" s="179" t="str">
        <f t="array" ref="AH732">IF($F732&lt;&gt;"", XLOOKUP($F732,Productos!$A$2:$A1001,Productos!AA$2:AA1001,"")*$G732,"")</f>
        <v/>
      </c>
      <c r="AI732" s="179" t="str">
        <f t="array" ref="AI732">IF($F732&lt;&gt;"",XLOOKUP($F732,Productos!$A:$A,Productos!AB:AB,"Revisar"),"")</f>
        <v/>
      </c>
      <c r="AJ732" s="179" t="str">
        <f t="array" ref="AJ732">IF($F732&lt;&gt;"", XLOOKUP($F732,Productos!$A$2:$A1001,Productos!AC$2:AC1001,"")*$G732,"")</f>
        <v/>
      </c>
      <c r="AK732" s="179" t="str">
        <f t="array" ref="AK732">IF($F732&lt;&gt;"",XLOOKUP($F732,Productos!$A:$A,Productos!AD:AD,"Revisar"),"")</f>
        <v/>
      </c>
      <c r="AL732" s="179" t="str">
        <f t="array" ref="AL732">IF($F732&lt;&gt;"", XLOOKUP($F732,Productos!$A$2:$A1001,Productos!AE$2:AE1001,"")*$G732,"")</f>
        <v/>
      </c>
      <c r="AM732" s="179" t="str">
        <f t="array" ref="AM732">IF($F732&lt;&gt;"",XLOOKUP($F732,Productos!$A:$A,Productos!AF:AF,"Revisar"),"")</f>
        <v/>
      </c>
      <c r="AN732" s="179" t="str">
        <f t="array" ref="AN732">IF($F732&lt;&gt;"", XLOOKUP($F732,Productos!$A$2:$A1001,Productos!AG$2:AG1001,"")*$G732,"")</f>
        <v/>
      </c>
      <c r="AO732" s="179" t="str">
        <f t="array" ref="AO732">IF($F732&lt;&gt;"",XLOOKUP($F732,Productos!$A:$A,Productos!AH:AH,"Revisar"),"")</f>
        <v/>
      </c>
      <c r="AP732" s="179" t="str">
        <f t="array" ref="AP732">IF($F732&lt;&gt;"", XLOOKUP($F732,Productos!$A$2:$A1001,Productos!AI$2:AI1001,"")*$G732,"")</f>
        <v/>
      </c>
      <c r="AQ732" s="179" t="str">
        <f t="array" ref="AQ732">IF($F732&lt;&gt;"",XLOOKUP($F732,Productos!$A:$A,Productos!AJ:AJ,"Revisar"),"")</f>
        <v/>
      </c>
      <c r="AR732" s="179" t="str">
        <f t="array" ref="AR732">IF($F732&lt;&gt;"", XLOOKUP($F732,Productos!$A$2:$A1001,Productos!AK$2:AK1001,"")*$G732,"")</f>
        <v/>
      </c>
      <c r="AS732" s="179" t="str">
        <f t="array" ref="AS732">IF($F732&lt;&gt;"",XLOOKUP($F732,Productos!$A:$A,Productos!AL:AL,"Revisar"),"")</f>
        <v/>
      </c>
      <c r="AT732" s="179" t="str">
        <f t="array" ref="AT732">IF($F732&lt;&gt;"", XLOOKUP($F732,Productos!$A$2:$A1001,Productos!AM$2:AM1001,"")*$G732,"")</f>
        <v/>
      </c>
      <c r="AU732" s="179" t="str">
        <f t="array" ref="AU732">IF($F732&lt;&gt;"",XLOOKUP($F732,Productos!$A:$A,Productos!AN:AN,"Revisar"),"")</f>
        <v/>
      </c>
      <c r="AV732" s="179" t="str">
        <f t="array" ref="AV732">IF($F732&lt;&gt;"", XLOOKUP($F732,Productos!$A$2:$A1001,Productos!AO$2:AO1001,"")*$G732,"")</f>
        <v/>
      </c>
      <c r="AW732" s="179" t="str">
        <f t="array" ref="AW732">IF($F732&lt;&gt;"",XLOOKUP($F732,Productos!$A:$A,Productos!AP:AP,"Revisar"),"")</f>
        <v/>
      </c>
      <c r="AX732" s="179" t="str">
        <f t="array" ref="AX732">IF($F732&lt;&gt;"", XLOOKUP($F732,Productos!$A$2:$A1001,Productos!AQ$2:AQ1001,"")*$G732,"")</f>
        <v/>
      </c>
      <c r="AY732" s="179" t="str">
        <f t="array" ref="AY732">IF($F732&lt;&gt;"",XLOOKUP($F732,Productos!$A:$A,Productos!AR:AR,"Revisar"),"")</f>
        <v/>
      </c>
      <c r="AZ732" s="179" t="str">
        <f t="array" ref="AZ732">IF($F732&lt;&gt;"", XLOOKUP($F732,Productos!$A$2:$A1001,Productos!AS$2:AS1001,"")*$G732,"")</f>
        <v/>
      </c>
      <c r="BA732" s="179" t="str">
        <f t="array" ref="BA732">IF($F732&lt;&gt;"",XLOOKUP($F732,Productos!$A:$A,Productos!AT:AT,"Revisar"),"")</f>
        <v/>
      </c>
      <c r="BB732" s="179" t="str">
        <f t="array" ref="BB732">IF($F732&lt;&gt;"", XLOOKUP($F732,Productos!$A$2:$A1001,Productos!AU$2:AU1001,"")*$G732,"")</f>
        <v/>
      </c>
      <c r="BC732" s="179" t="str">
        <f t="array" ref="BC732">IF($F732&lt;&gt;"",XLOOKUP($F732,Productos!$A:$A,Productos!AV:AV,"Revisar"),"")</f>
        <v/>
      </c>
      <c r="BD732" s="179" t="str">
        <f t="array" ref="BD732">IF($F732&lt;&gt;"", XLOOKUP($F732,Productos!$A$2:$A1001,Productos!AW$2:AW1001,"")*$G732,"")</f>
        <v/>
      </c>
      <c r="BE732" s="179" t="str">
        <f t="array" ref="BE732">IF($F732&lt;&gt;"",XLOOKUP($F732,Productos!$A:$A,Productos!AX:AX,"Revisar"),"")</f>
        <v/>
      </c>
      <c r="BF732" s="179" t="str">
        <f t="array" ref="BF732">IF($F732&lt;&gt;"", XLOOKUP($F732,Productos!$A$2:$A1001,Productos!AY$2:AY1001,"")*$G732,"")</f>
        <v/>
      </c>
      <c r="BG732" s="179" t="str">
        <f t="array" ref="BG732">IF($F732&lt;&gt;"",XLOOKUP($F732,Productos!$A:$A,Productos!AZ:AZ,"Revisar"),"")</f>
        <v/>
      </c>
      <c r="BH732" s="179" t="str">
        <f t="array" ref="BH732">IF($F732&lt;&gt;"", XLOOKUP($F732,Productos!$A$2:$A1001,Productos!BA$2:BA1001,"")*$G732,"")</f>
        <v/>
      </c>
      <c r="BI732" s="179" t="str">
        <f t="array" ref="BI732">IF($F732&lt;&gt;"",XLOOKUP($F732,Productos!$A:$A,Productos!BB:BB,"Revisar"),"")</f>
        <v/>
      </c>
      <c r="BJ732" s="179" t="str">
        <f t="array" ref="BJ732">IF($F732&lt;&gt;"", XLOOKUP($F732,Productos!$A$2:$A1001,Productos!BC$2:BC1001,"")*$G732,"")</f>
        <v/>
      </c>
      <c r="BK732" s="179" t="str">
        <f t="array" ref="BK732">IF($F732&lt;&gt;"",XLOOKUP($F732,Productos!$A:$A,Productos!BD:BD,"Revisar"),"")</f>
        <v/>
      </c>
      <c r="BL732" s="179" t="str">
        <f t="array" ref="BL732">IF($F732&lt;&gt;"", XLOOKUP($F732,Productos!$A$2:$A1001,Productos!BE$2:BE1001,"")*$G732,"")</f>
        <v/>
      </c>
      <c r="BM732" s="179" t="str">
        <f t="array" ref="BM732">IF($F732&lt;&gt;"",XLOOKUP($F732,Productos!$A:$A,Productos!BF:BF,"Revisar"),"")</f>
        <v/>
      </c>
      <c r="BN732" s="179" t="str">
        <f t="array" ref="BN732">IF($F732&lt;&gt;"", XLOOKUP($F732,Productos!$A$2:$A1001,Productos!BG$2:BG1001,"")*$G732,"")</f>
        <v/>
      </c>
      <c r="BO732" s="179" t="str">
        <f t="array" ref="BO732">IF($F732&lt;&gt;"",XLOOKUP($F732,Productos!$A:$A,Productos!BH:BH,"Revisar"),"")</f>
        <v/>
      </c>
      <c r="BP732" s="179" t="str">
        <f t="array" ref="BP732">IF($F732&lt;&gt;"", XLOOKUP($F732,Productos!$A$2:$A1001,Productos!BI$2:BI1001,"")*$G732,"")</f>
        <v/>
      </c>
      <c r="BQ732" s="179" t="str">
        <f t="array" ref="BQ732">IF($F732&lt;&gt;"",XLOOKUP($F732,Productos!$A:$A,Productos!BJ:BJ,"Revisar"),"")</f>
        <v/>
      </c>
      <c r="BR732" s="179" t="str">
        <f t="array" ref="BR732">IF($F732&lt;&gt;"", XLOOKUP($F732,Productos!$A$2:$A1001,Productos!BK$2:BK1001,"")*$G732,"")</f>
        <v/>
      </c>
      <c r="BS732" s="179" t="str">
        <f t="array" ref="BS732">IF($F732&lt;&gt;"",XLOOKUP($F732,Productos!$A:$A,Productos!BL:BL,"Revisar"),"")</f>
        <v/>
      </c>
      <c r="BT732" s="179" t="str">
        <f t="array" ref="BT732">IF($F732&lt;&gt;"", XLOOKUP($F732,Productos!$A$2:$A1001,Productos!BM$2:BM1001,"")*$G732,"")</f>
        <v/>
      </c>
      <c r="BU732" s="179" t="str">
        <f t="array" ref="BU732">IF($F732&lt;&gt;"",XLOOKUP($F732,Productos!$A:$A,Productos!BN:BN,"Revisar"),"")</f>
        <v/>
      </c>
      <c r="BV732" s="179" t="str">
        <f t="array" ref="BV732">IF($F732&lt;&gt;"", XLOOKUP($F732,Productos!$A$2:$A1001,Productos!BO$2:BO1001,"")*$G732,"")</f>
        <v/>
      </c>
      <c r="BW732" s="179" t="str">
        <f t="array" ref="BW732">IF($F732&lt;&gt;"",XLOOKUP($F732,Productos!$A:$A,Productos!BP:BP,"Revisar"),"")</f>
        <v/>
      </c>
      <c r="BX732" s="179" t="str">
        <f t="array" ref="BX732">IF($F732&lt;&gt;"", XLOOKUP($F732,Productos!$A$2:$A1001,Productos!BQ$2:BQ1001,"")*$G732,"")</f>
        <v/>
      </c>
      <c r="BY732" s="179" t="str">
        <f t="array" ref="BY732">IF($F732&lt;&gt;"",XLOOKUP($F732,Productos!$A:$A,Productos!BR:BR,"Revisar"),"")</f>
        <v/>
      </c>
      <c r="BZ732" s="179" t="str">
        <f t="array" ref="BZ732">IF($F732&lt;&gt;"", XLOOKUP($F732,Productos!$A$2:$A1001,Productos!BS$2:BS1001,"")*$G732,"")</f>
        <v/>
      </c>
    </row>
    <row r="733">
      <c r="A733" s="188"/>
      <c r="B733" s="189"/>
      <c r="C733" s="190"/>
      <c r="D733" s="190"/>
      <c r="E733" s="191"/>
      <c r="F733" s="186"/>
      <c r="G733" s="192"/>
      <c r="H733" s="9"/>
      <c r="I733" s="179" t="str">
        <f t="array" ref="I733">IF($F733&lt;&gt;"",XLOOKUP($F733,Productos!$A:$A,Productos!B:B,"Revisar"),"")</f>
        <v/>
      </c>
      <c r="J733" s="179" t="str">
        <f t="array" ref="J733">IF($F733&lt;&gt;"", XLOOKUP($F733,Productos!$A$2:$A1001,Productos!C$2:C1001,"")*$G733,"")</f>
        <v/>
      </c>
      <c r="K733" s="179" t="str">
        <f t="array" ref="K733">IF($F733&lt;&gt;"",XLOOKUP($F733,Productos!$A:$A,Productos!D:D,"Revisar"),"")</f>
        <v/>
      </c>
      <c r="L733" s="179" t="str">
        <f t="array" ref="L733">IF($F733&lt;&gt;"", XLOOKUP($F733,Productos!$A$2:$A1001,Productos!E$2:E1001,"")*$G733,"")</f>
        <v/>
      </c>
      <c r="M733" s="179" t="str">
        <f t="array" ref="M733">IF($F733&lt;&gt;"",XLOOKUP($F733,Productos!$A:$A,Productos!F:F,"Revisar"),"")</f>
        <v/>
      </c>
      <c r="N733" s="179" t="str">
        <f t="array" ref="N733">IF($F733&lt;&gt;"", XLOOKUP($F733,Productos!$A$2:$A1001,Productos!G$2:G1001,"")*$G733,"")</f>
        <v/>
      </c>
      <c r="O733" s="179" t="str">
        <f t="array" ref="O733">IF($F733&lt;&gt;"",XLOOKUP($F733,Productos!$A:$A,Productos!H:H,"Revisar"),"")</f>
        <v/>
      </c>
      <c r="P733" s="179" t="str">
        <f t="array" ref="P733">IF($F733&lt;&gt;"", XLOOKUP($F733,Productos!$A$2:$A1001,Productos!I$2:I1001,"")*$G733,"")</f>
        <v/>
      </c>
      <c r="Q733" s="179" t="str">
        <f t="array" ref="Q733">IF($F733&lt;&gt;"",XLOOKUP($F733,Productos!$A:$A,Productos!J:J,"Revisar"),"")</f>
        <v/>
      </c>
      <c r="R733" s="179" t="str">
        <f t="array" ref="R733">IF($F733&lt;&gt;"", XLOOKUP($F733,Productos!$A$2:$A1001,Productos!K$2:K1001,"")*$G733,"")</f>
        <v/>
      </c>
      <c r="S733" s="179" t="str">
        <f t="array" ref="S733">IF($F733&lt;&gt;"",XLOOKUP($F733,Productos!$A:$A,Productos!L:L,"Revisar"),"")</f>
        <v/>
      </c>
      <c r="T733" s="179" t="str">
        <f t="array" ref="T733">IF($F733&lt;&gt;"", XLOOKUP($F733,Productos!$A$2:$A1001,Productos!M$2:M1001,"")*$G733,"")</f>
        <v/>
      </c>
      <c r="U733" s="179" t="str">
        <f t="array" ref="U733">IF($F733&lt;&gt;"",XLOOKUP($F733,Productos!$A:$A,Productos!N:N,"Revisar"),"")</f>
        <v/>
      </c>
      <c r="V733" s="179" t="str">
        <f t="array" ref="V733">IF($F733&lt;&gt;"", XLOOKUP($F733,Productos!$A$2:$A1001,Productos!O$2:O1001,"")*$G733,"")</f>
        <v/>
      </c>
      <c r="W733" s="179" t="str">
        <f t="array" ref="W733">IF($F733&lt;&gt;"",XLOOKUP($F733,Productos!$A:$A,Productos!P:P,"Revisar"),"")</f>
        <v/>
      </c>
      <c r="X733" s="179" t="str">
        <f t="array" ref="X733">IF($F733&lt;&gt;"", XLOOKUP($F733,Productos!$A$2:$A1001,Productos!Q$2:Q1001,"")*$G733,"")</f>
        <v/>
      </c>
      <c r="Y733" s="179" t="str">
        <f t="array" ref="Y733">IF($F733&lt;&gt;"",XLOOKUP($F733,Productos!$A:$A,Productos!R:R,"Revisar"),"")</f>
        <v/>
      </c>
      <c r="Z733" s="179" t="str">
        <f t="array" ref="Z733">IF($F733&lt;&gt;"", XLOOKUP($F733,Productos!$A$2:$A1001,Productos!S$2:S1001,"")*$G733,"")</f>
        <v/>
      </c>
      <c r="AA733" s="179" t="str">
        <f t="array" ref="AA733">IF($F733&lt;&gt;"",XLOOKUP($F733,Productos!$A:$A,Productos!T:T,"Revisar"),"")</f>
        <v/>
      </c>
      <c r="AB733" s="179" t="str">
        <f t="array" ref="AB733">IF($F733&lt;&gt;"", XLOOKUP($F733,Productos!$A$2:$A1001,Productos!U$2:U1001,"")*$G733,"")</f>
        <v/>
      </c>
      <c r="AC733" s="179" t="str">
        <f t="array" ref="AC733">IF($F733&lt;&gt;"",XLOOKUP($F733,Productos!$A:$A,Productos!V:V,"Revisar"),"")</f>
        <v/>
      </c>
      <c r="AD733" s="179" t="str">
        <f t="array" ref="AD733">IF($F733&lt;&gt;"", XLOOKUP($F733,Productos!$A$2:$A1001,Productos!W$2:W1001,"")*$G733,"")</f>
        <v/>
      </c>
      <c r="AE733" s="179" t="str">
        <f t="array" ref="AE733">IF($F733&lt;&gt;"",XLOOKUP($F733,Productos!$A:$A,Productos!X:X,"Revisar"),"")</f>
        <v/>
      </c>
      <c r="AF733" s="179" t="str">
        <f t="array" ref="AF733">IF($F733&lt;&gt;"", XLOOKUP($F733,Productos!$A$2:$A1001,Productos!Y$2:Y1001,"")*$G733,"")</f>
        <v/>
      </c>
      <c r="AG733" s="179" t="str">
        <f t="array" ref="AG733">IF($F733&lt;&gt;"",XLOOKUP($F733,Productos!$A:$A,Productos!Z:Z,"Revisar"),"")</f>
        <v/>
      </c>
      <c r="AH733" s="179" t="str">
        <f t="array" ref="AH733">IF($F733&lt;&gt;"", XLOOKUP($F733,Productos!$A$2:$A1001,Productos!AA$2:AA1001,"")*$G733,"")</f>
        <v/>
      </c>
      <c r="AI733" s="179" t="str">
        <f t="array" ref="AI733">IF($F733&lt;&gt;"",XLOOKUP($F733,Productos!$A:$A,Productos!AB:AB,"Revisar"),"")</f>
        <v/>
      </c>
      <c r="AJ733" s="179" t="str">
        <f t="array" ref="AJ733">IF($F733&lt;&gt;"", XLOOKUP($F733,Productos!$A$2:$A1001,Productos!AC$2:AC1001,"")*$G733,"")</f>
        <v/>
      </c>
      <c r="AK733" s="179" t="str">
        <f t="array" ref="AK733">IF($F733&lt;&gt;"",XLOOKUP($F733,Productos!$A:$A,Productos!AD:AD,"Revisar"),"")</f>
        <v/>
      </c>
      <c r="AL733" s="179" t="str">
        <f t="array" ref="AL733">IF($F733&lt;&gt;"", XLOOKUP($F733,Productos!$A$2:$A1001,Productos!AE$2:AE1001,"")*$G733,"")</f>
        <v/>
      </c>
      <c r="AM733" s="179" t="str">
        <f t="array" ref="AM733">IF($F733&lt;&gt;"",XLOOKUP($F733,Productos!$A:$A,Productos!AF:AF,"Revisar"),"")</f>
        <v/>
      </c>
      <c r="AN733" s="179" t="str">
        <f t="array" ref="AN733">IF($F733&lt;&gt;"", XLOOKUP($F733,Productos!$A$2:$A1001,Productos!AG$2:AG1001,"")*$G733,"")</f>
        <v/>
      </c>
      <c r="AO733" s="179" t="str">
        <f t="array" ref="AO733">IF($F733&lt;&gt;"",XLOOKUP($F733,Productos!$A:$A,Productos!AH:AH,"Revisar"),"")</f>
        <v/>
      </c>
      <c r="AP733" s="179" t="str">
        <f t="array" ref="AP733">IF($F733&lt;&gt;"", XLOOKUP($F733,Productos!$A$2:$A1001,Productos!AI$2:AI1001,"")*$G733,"")</f>
        <v/>
      </c>
      <c r="AQ733" s="179" t="str">
        <f t="array" ref="AQ733">IF($F733&lt;&gt;"",XLOOKUP($F733,Productos!$A:$A,Productos!AJ:AJ,"Revisar"),"")</f>
        <v/>
      </c>
      <c r="AR733" s="179" t="str">
        <f t="array" ref="AR733">IF($F733&lt;&gt;"", XLOOKUP($F733,Productos!$A$2:$A1001,Productos!AK$2:AK1001,"")*$G733,"")</f>
        <v/>
      </c>
      <c r="AS733" s="179" t="str">
        <f t="array" ref="AS733">IF($F733&lt;&gt;"",XLOOKUP($F733,Productos!$A:$A,Productos!AL:AL,"Revisar"),"")</f>
        <v/>
      </c>
      <c r="AT733" s="179" t="str">
        <f t="array" ref="AT733">IF($F733&lt;&gt;"", XLOOKUP($F733,Productos!$A$2:$A1001,Productos!AM$2:AM1001,"")*$G733,"")</f>
        <v/>
      </c>
      <c r="AU733" s="179" t="str">
        <f t="array" ref="AU733">IF($F733&lt;&gt;"",XLOOKUP($F733,Productos!$A:$A,Productos!AN:AN,"Revisar"),"")</f>
        <v/>
      </c>
      <c r="AV733" s="179" t="str">
        <f t="array" ref="AV733">IF($F733&lt;&gt;"", XLOOKUP($F733,Productos!$A$2:$A1001,Productos!AO$2:AO1001,"")*$G733,"")</f>
        <v/>
      </c>
      <c r="AW733" s="179" t="str">
        <f t="array" ref="AW733">IF($F733&lt;&gt;"",XLOOKUP($F733,Productos!$A:$A,Productos!AP:AP,"Revisar"),"")</f>
        <v/>
      </c>
      <c r="AX733" s="179" t="str">
        <f t="array" ref="AX733">IF($F733&lt;&gt;"", XLOOKUP($F733,Productos!$A$2:$A1001,Productos!AQ$2:AQ1001,"")*$G733,"")</f>
        <v/>
      </c>
      <c r="AY733" s="179" t="str">
        <f t="array" ref="AY733">IF($F733&lt;&gt;"",XLOOKUP($F733,Productos!$A:$A,Productos!AR:AR,"Revisar"),"")</f>
        <v/>
      </c>
      <c r="AZ733" s="179" t="str">
        <f t="array" ref="AZ733">IF($F733&lt;&gt;"", XLOOKUP($F733,Productos!$A$2:$A1001,Productos!AS$2:AS1001,"")*$G733,"")</f>
        <v/>
      </c>
      <c r="BA733" s="179" t="str">
        <f t="array" ref="BA733">IF($F733&lt;&gt;"",XLOOKUP($F733,Productos!$A:$A,Productos!AT:AT,"Revisar"),"")</f>
        <v/>
      </c>
      <c r="BB733" s="179" t="str">
        <f t="array" ref="BB733">IF($F733&lt;&gt;"", XLOOKUP($F733,Productos!$A$2:$A1001,Productos!AU$2:AU1001,"")*$G733,"")</f>
        <v/>
      </c>
      <c r="BC733" s="179" t="str">
        <f t="array" ref="BC733">IF($F733&lt;&gt;"",XLOOKUP($F733,Productos!$A:$A,Productos!AV:AV,"Revisar"),"")</f>
        <v/>
      </c>
      <c r="BD733" s="179" t="str">
        <f t="array" ref="BD733">IF($F733&lt;&gt;"", XLOOKUP($F733,Productos!$A$2:$A1001,Productos!AW$2:AW1001,"")*$G733,"")</f>
        <v/>
      </c>
      <c r="BE733" s="179" t="str">
        <f t="array" ref="BE733">IF($F733&lt;&gt;"",XLOOKUP($F733,Productos!$A:$A,Productos!AX:AX,"Revisar"),"")</f>
        <v/>
      </c>
      <c r="BF733" s="179" t="str">
        <f t="array" ref="BF733">IF($F733&lt;&gt;"", XLOOKUP($F733,Productos!$A$2:$A1001,Productos!AY$2:AY1001,"")*$G733,"")</f>
        <v/>
      </c>
      <c r="BG733" s="179" t="str">
        <f t="array" ref="BG733">IF($F733&lt;&gt;"",XLOOKUP($F733,Productos!$A:$A,Productos!AZ:AZ,"Revisar"),"")</f>
        <v/>
      </c>
      <c r="BH733" s="179" t="str">
        <f t="array" ref="BH733">IF($F733&lt;&gt;"", XLOOKUP($F733,Productos!$A$2:$A1001,Productos!BA$2:BA1001,"")*$G733,"")</f>
        <v/>
      </c>
      <c r="BI733" s="179" t="str">
        <f t="array" ref="BI733">IF($F733&lt;&gt;"",XLOOKUP($F733,Productos!$A:$A,Productos!BB:BB,"Revisar"),"")</f>
        <v/>
      </c>
      <c r="BJ733" s="179" t="str">
        <f t="array" ref="BJ733">IF($F733&lt;&gt;"", XLOOKUP($F733,Productos!$A$2:$A1001,Productos!BC$2:BC1001,"")*$G733,"")</f>
        <v/>
      </c>
      <c r="BK733" s="179" t="str">
        <f t="array" ref="BK733">IF($F733&lt;&gt;"",XLOOKUP($F733,Productos!$A:$A,Productos!BD:BD,"Revisar"),"")</f>
        <v/>
      </c>
      <c r="BL733" s="179" t="str">
        <f t="array" ref="BL733">IF($F733&lt;&gt;"", XLOOKUP($F733,Productos!$A$2:$A1001,Productos!BE$2:BE1001,"")*$G733,"")</f>
        <v/>
      </c>
      <c r="BM733" s="179" t="str">
        <f t="array" ref="BM733">IF($F733&lt;&gt;"",XLOOKUP($F733,Productos!$A:$A,Productos!BF:BF,"Revisar"),"")</f>
        <v/>
      </c>
      <c r="BN733" s="179" t="str">
        <f t="array" ref="BN733">IF($F733&lt;&gt;"", XLOOKUP($F733,Productos!$A$2:$A1001,Productos!BG$2:BG1001,"")*$G733,"")</f>
        <v/>
      </c>
      <c r="BO733" s="179" t="str">
        <f t="array" ref="BO733">IF($F733&lt;&gt;"",XLOOKUP($F733,Productos!$A:$A,Productos!BH:BH,"Revisar"),"")</f>
        <v/>
      </c>
      <c r="BP733" s="179" t="str">
        <f t="array" ref="BP733">IF($F733&lt;&gt;"", XLOOKUP($F733,Productos!$A$2:$A1001,Productos!BI$2:BI1001,"")*$G733,"")</f>
        <v/>
      </c>
      <c r="BQ733" s="179" t="str">
        <f t="array" ref="BQ733">IF($F733&lt;&gt;"",XLOOKUP($F733,Productos!$A:$A,Productos!BJ:BJ,"Revisar"),"")</f>
        <v/>
      </c>
      <c r="BR733" s="179" t="str">
        <f t="array" ref="BR733">IF($F733&lt;&gt;"", XLOOKUP($F733,Productos!$A$2:$A1001,Productos!BK$2:BK1001,"")*$G733,"")</f>
        <v/>
      </c>
      <c r="BS733" s="179" t="str">
        <f t="array" ref="BS733">IF($F733&lt;&gt;"",XLOOKUP($F733,Productos!$A:$A,Productos!BL:BL,"Revisar"),"")</f>
        <v/>
      </c>
      <c r="BT733" s="179" t="str">
        <f t="array" ref="BT733">IF($F733&lt;&gt;"", XLOOKUP($F733,Productos!$A$2:$A1001,Productos!BM$2:BM1001,"")*$G733,"")</f>
        <v/>
      </c>
      <c r="BU733" s="179" t="str">
        <f t="array" ref="BU733">IF($F733&lt;&gt;"",XLOOKUP($F733,Productos!$A:$A,Productos!BN:BN,"Revisar"),"")</f>
        <v/>
      </c>
      <c r="BV733" s="179" t="str">
        <f t="array" ref="BV733">IF($F733&lt;&gt;"", XLOOKUP($F733,Productos!$A$2:$A1001,Productos!BO$2:BO1001,"")*$G733,"")</f>
        <v/>
      </c>
      <c r="BW733" s="179" t="str">
        <f t="array" ref="BW733">IF($F733&lt;&gt;"",XLOOKUP($F733,Productos!$A:$A,Productos!BP:BP,"Revisar"),"")</f>
        <v/>
      </c>
      <c r="BX733" s="179" t="str">
        <f t="array" ref="BX733">IF($F733&lt;&gt;"", XLOOKUP($F733,Productos!$A$2:$A1001,Productos!BQ$2:BQ1001,"")*$G733,"")</f>
        <v/>
      </c>
      <c r="BY733" s="179" t="str">
        <f t="array" ref="BY733">IF($F733&lt;&gt;"",XLOOKUP($F733,Productos!$A:$A,Productos!BR:BR,"Revisar"),"")</f>
        <v/>
      </c>
      <c r="BZ733" s="179" t="str">
        <f t="array" ref="BZ733">IF($F733&lt;&gt;"", XLOOKUP($F733,Productos!$A$2:$A1001,Productos!BS$2:BS1001,"")*$G733,"")</f>
        <v/>
      </c>
    </row>
    <row r="734">
      <c r="A734" s="188"/>
      <c r="B734" s="189"/>
      <c r="C734" s="190"/>
      <c r="D734" s="190"/>
      <c r="E734" s="191"/>
      <c r="F734" s="186"/>
      <c r="G734" s="192"/>
      <c r="H734" s="9"/>
      <c r="I734" s="179" t="str">
        <f t="array" ref="I734">IF($F734&lt;&gt;"",XLOOKUP($F734,Productos!$A:$A,Productos!B:B,"Revisar"),"")</f>
        <v/>
      </c>
      <c r="J734" s="179" t="str">
        <f t="array" ref="J734">IF($F734&lt;&gt;"", XLOOKUP($F734,Productos!$A$2:$A1001,Productos!C$2:C1001,"")*$G734,"")</f>
        <v/>
      </c>
      <c r="K734" s="179" t="str">
        <f t="array" ref="K734">IF($F734&lt;&gt;"",XLOOKUP($F734,Productos!$A:$A,Productos!D:D,"Revisar"),"")</f>
        <v/>
      </c>
      <c r="L734" s="179" t="str">
        <f t="array" ref="L734">IF($F734&lt;&gt;"", XLOOKUP($F734,Productos!$A$2:$A1001,Productos!E$2:E1001,"")*$G734,"")</f>
        <v/>
      </c>
      <c r="M734" s="179" t="str">
        <f t="array" ref="M734">IF($F734&lt;&gt;"",XLOOKUP($F734,Productos!$A:$A,Productos!F:F,"Revisar"),"")</f>
        <v/>
      </c>
      <c r="N734" s="179" t="str">
        <f t="array" ref="N734">IF($F734&lt;&gt;"", XLOOKUP($F734,Productos!$A$2:$A1001,Productos!G$2:G1001,"")*$G734,"")</f>
        <v/>
      </c>
      <c r="O734" s="179" t="str">
        <f t="array" ref="O734">IF($F734&lt;&gt;"",XLOOKUP($F734,Productos!$A:$A,Productos!H:H,"Revisar"),"")</f>
        <v/>
      </c>
      <c r="P734" s="179" t="str">
        <f t="array" ref="P734">IF($F734&lt;&gt;"", XLOOKUP($F734,Productos!$A$2:$A1001,Productos!I$2:I1001,"")*$G734,"")</f>
        <v/>
      </c>
      <c r="Q734" s="179" t="str">
        <f t="array" ref="Q734">IF($F734&lt;&gt;"",XLOOKUP($F734,Productos!$A:$A,Productos!J:J,"Revisar"),"")</f>
        <v/>
      </c>
      <c r="R734" s="179" t="str">
        <f t="array" ref="R734">IF($F734&lt;&gt;"", XLOOKUP($F734,Productos!$A$2:$A1001,Productos!K$2:K1001,"")*$G734,"")</f>
        <v/>
      </c>
      <c r="S734" s="179" t="str">
        <f t="array" ref="S734">IF($F734&lt;&gt;"",XLOOKUP($F734,Productos!$A:$A,Productos!L:L,"Revisar"),"")</f>
        <v/>
      </c>
      <c r="T734" s="179" t="str">
        <f t="array" ref="T734">IF($F734&lt;&gt;"", XLOOKUP($F734,Productos!$A$2:$A1001,Productos!M$2:M1001,"")*$G734,"")</f>
        <v/>
      </c>
      <c r="U734" s="179" t="str">
        <f t="array" ref="U734">IF($F734&lt;&gt;"",XLOOKUP($F734,Productos!$A:$A,Productos!N:N,"Revisar"),"")</f>
        <v/>
      </c>
      <c r="V734" s="179" t="str">
        <f t="array" ref="V734">IF($F734&lt;&gt;"", XLOOKUP($F734,Productos!$A$2:$A1001,Productos!O$2:O1001,"")*$G734,"")</f>
        <v/>
      </c>
      <c r="W734" s="179" t="str">
        <f t="array" ref="W734">IF($F734&lt;&gt;"",XLOOKUP($F734,Productos!$A:$A,Productos!P:P,"Revisar"),"")</f>
        <v/>
      </c>
      <c r="X734" s="179" t="str">
        <f t="array" ref="X734">IF($F734&lt;&gt;"", XLOOKUP($F734,Productos!$A$2:$A1001,Productos!Q$2:Q1001,"")*$G734,"")</f>
        <v/>
      </c>
      <c r="Y734" s="179" t="str">
        <f t="array" ref="Y734">IF($F734&lt;&gt;"",XLOOKUP($F734,Productos!$A:$A,Productos!R:R,"Revisar"),"")</f>
        <v/>
      </c>
      <c r="Z734" s="179" t="str">
        <f t="array" ref="Z734">IF($F734&lt;&gt;"", XLOOKUP($F734,Productos!$A$2:$A1001,Productos!S$2:S1001,"")*$G734,"")</f>
        <v/>
      </c>
      <c r="AA734" s="179" t="str">
        <f t="array" ref="AA734">IF($F734&lt;&gt;"",XLOOKUP($F734,Productos!$A:$A,Productos!T:T,"Revisar"),"")</f>
        <v/>
      </c>
      <c r="AB734" s="179" t="str">
        <f t="array" ref="AB734">IF($F734&lt;&gt;"", XLOOKUP($F734,Productos!$A$2:$A1001,Productos!U$2:U1001,"")*$G734,"")</f>
        <v/>
      </c>
      <c r="AC734" s="179" t="str">
        <f t="array" ref="AC734">IF($F734&lt;&gt;"",XLOOKUP($F734,Productos!$A:$A,Productos!V:V,"Revisar"),"")</f>
        <v/>
      </c>
      <c r="AD734" s="179" t="str">
        <f t="array" ref="AD734">IF($F734&lt;&gt;"", XLOOKUP($F734,Productos!$A$2:$A1001,Productos!W$2:W1001,"")*$G734,"")</f>
        <v/>
      </c>
      <c r="AE734" s="179" t="str">
        <f t="array" ref="AE734">IF($F734&lt;&gt;"",XLOOKUP($F734,Productos!$A:$A,Productos!X:X,"Revisar"),"")</f>
        <v/>
      </c>
      <c r="AF734" s="179" t="str">
        <f t="array" ref="AF734">IF($F734&lt;&gt;"", XLOOKUP($F734,Productos!$A$2:$A1001,Productos!Y$2:Y1001,"")*$G734,"")</f>
        <v/>
      </c>
      <c r="AG734" s="179" t="str">
        <f t="array" ref="AG734">IF($F734&lt;&gt;"",XLOOKUP($F734,Productos!$A:$A,Productos!Z:Z,"Revisar"),"")</f>
        <v/>
      </c>
      <c r="AH734" s="179" t="str">
        <f t="array" ref="AH734">IF($F734&lt;&gt;"", XLOOKUP($F734,Productos!$A$2:$A1001,Productos!AA$2:AA1001,"")*$G734,"")</f>
        <v/>
      </c>
      <c r="AI734" s="179" t="str">
        <f t="array" ref="AI734">IF($F734&lt;&gt;"",XLOOKUP($F734,Productos!$A:$A,Productos!AB:AB,"Revisar"),"")</f>
        <v/>
      </c>
      <c r="AJ734" s="179" t="str">
        <f t="array" ref="AJ734">IF($F734&lt;&gt;"", XLOOKUP($F734,Productos!$A$2:$A1001,Productos!AC$2:AC1001,"")*$G734,"")</f>
        <v/>
      </c>
      <c r="AK734" s="179" t="str">
        <f t="array" ref="AK734">IF($F734&lt;&gt;"",XLOOKUP($F734,Productos!$A:$A,Productos!AD:AD,"Revisar"),"")</f>
        <v/>
      </c>
      <c r="AL734" s="179" t="str">
        <f t="array" ref="AL734">IF($F734&lt;&gt;"", XLOOKUP($F734,Productos!$A$2:$A1001,Productos!AE$2:AE1001,"")*$G734,"")</f>
        <v/>
      </c>
      <c r="AM734" s="179" t="str">
        <f t="array" ref="AM734">IF($F734&lt;&gt;"",XLOOKUP($F734,Productos!$A:$A,Productos!AF:AF,"Revisar"),"")</f>
        <v/>
      </c>
      <c r="AN734" s="179" t="str">
        <f t="array" ref="AN734">IF($F734&lt;&gt;"", XLOOKUP($F734,Productos!$A$2:$A1001,Productos!AG$2:AG1001,"")*$G734,"")</f>
        <v/>
      </c>
      <c r="AO734" s="179" t="str">
        <f t="array" ref="AO734">IF($F734&lt;&gt;"",XLOOKUP($F734,Productos!$A:$A,Productos!AH:AH,"Revisar"),"")</f>
        <v/>
      </c>
      <c r="AP734" s="179" t="str">
        <f t="array" ref="AP734">IF($F734&lt;&gt;"", XLOOKUP($F734,Productos!$A$2:$A1001,Productos!AI$2:AI1001,"")*$G734,"")</f>
        <v/>
      </c>
      <c r="AQ734" s="179" t="str">
        <f t="array" ref="AQ734">IF($F734&lt;&gt;"",XLOOKUP($F734,Productos!$A:$A,Productos!AJ:AJ,"Revisar"),"")</f>
        <v/>
      </c>
      <c r="AR734" s="179" t="str">
        <f t="array" ref="AR734">IF($F734&lt;&gt;"", XLOOKUP($F734,Productos!$A$2:$A1001,Productos!AK$2:AK1001,"")*$G734,"")</f>
        <v/>
      </c>
      <c r="AS734" s="179" t="str">
        <f t="array" ref="AS734">IF($F734&lt;&gt;"",XLOOKUP($F734,Productos!$A:$A,Productos!AL:AL,"Revisar"),"")</f>
        <v/>
      </c>
      <c r="AT734" s="179" t="str">
        <f t="array" ref="AT734">IF($F734&lt;&gt;"", XLOOKUP($F734,Productos!$A$2:$A1001,Productos!AM$2:AM1001,"")*$G734,"")</f>
        <v/>
      </c>
      <c r="AU734" s="179" t="str">
        <f t="array" ref="AU734">IF($F734&lt;&gt;"",XLOOKUP($F734,Productos!$A:$A,Productos!AN:AN,"Revisar"),"")</f>
        <v/>
      </c>
      <c r="AV734" s="179" t="str">
        <f t="array" ref="AV734">IF($F734&lt;&gt;"", XLOOKUP($F734,Productos!$A$2:$A1001,Productos!AO$2:AO1001,"")*$G734,"")</f>
        <v/>
      </c>
      <c r="AW734" s="179" t="str">
        <f t="array" ref="AW734">IF($F734&lt;&gt;"",XLOOKUP($F734,Productos!$A:$A,Productos!AP:AP,"Revisar"),"")</f>
        <v/>
      </c>
      <c r="AX734" s="179" t="str">
        <f t="array" ref="AX734">IF($F734&lt;&gt;"", XLOOKUP($F734,Productos!$A$2:$A1001,Productos!AQ$2:AQ1001,"")*$G734,"")</f>
        <v/>
      </c>
      <c r="AY734" s="179" t="str">
        <f t="array" ref="AY734">IF($F734&lt;&gt;"",XLOOKUP($F734,Productos!$A:$A,Productos!AR:AR,"Revisar"),"")</f>
        <v/>
      </c>
      <c r="AZ734" s="179" t="str">
        <f t="array" ref="AZ734">IF($F734&lt;&gt;"", XLOOKUP($F734,Productos!$A$2:$A1001,Productos!AS$2:AS1001,"")*$G734,"")</f>
        <v/>
      </c>
      <c r="BA734" s="179" t="str">
        <f t="array" ref="BA734">IF($F734&lt;&gt;"",XLOOKUP($F734,Productos!$A:$A,Productos!AT:AT,"Revisar"),"")</f>
        <v/>
      </c>
      <c r="BB734" s="179" t="str">
        <f t="array" ref="BB734">IF($F734&lt;&gt;"", XLOOKUP($F734,Productos!$A$2:$A1001,Productos!AU$2:AU1001,"")*$G734,"")</f>
        <v/>
      </c>
      <c r="BC734" s="179" t="str">
        <f t="array" ref="BC734">IF($F734&lt;&gt;"",XLOOKUP($F734,Productos!$A:$A,Productos!AV:AV,"Revisar"),"")</f>
        <v/>
      </c>
      <c r="BD734" s="179" t="str">
        <f t="array" ref="BD734">IF($F734&lt;&gt;"", XLOOKUP($F734,Productos!$A$2:$A1001,Productos!AW$2:AW1001,"")*$G734,"")</f>
        <v/>
      </c>
      <c r="BE734" s="179" t="str">
        <f t="array" ref="BE734">IF($F734&lt;&gt;"",XLOOKUP($F734,Productos!$A:$A,Productos!AX:AX,"Revisar"),"")</f>
        <v/>
      </c>
      <c r="BF734" s="179" t="str">
        <f t="array" ref="BF734">IF($F734&lt;&gt;"", XLOOKUP($F734,Productos!$A$2:$A1001,Productos!AY$2:AY1001,"")*$G734,"")</f>
        <v/>
      </c>
      <c r="BG734" s="179" t="str">
        <f t="array" ref="BG734">IF($F734&lt;&gt;"",XLOOKUP($F734,Productos!$A:$A,Productos!AZ:AZ,"Revisar"),"")</f>
        <v/>
      </c>
      <c r="BH734" s="179" t="str">
        <f t="array" ref="BH734">IF($F734&lt;&gt;"", XLOOKUP($F734,Productos!$A$2:$A1001,Productos!BA$2:BA1001,"")*$G734,"")</f>
        <v/>
      </c>
      <c r="BI734" s="179" t="str">
        <f t="array" ref="BI734">IF($F734&lt;&gt;"",XLOOKUP($F734,Productos!$A:$A,Productos!BB:BB,"Revisar"),"")</f>
        <v/>
      </c>
      <c r="BJ734" s="179" t="str">
        <f t="array" ref="BJ734">IF($F734&lt;&gt;"", XLOOKUP($F734,Productos!$A$2:$A1001,Productos!BC$2:BC1001,"")*$G734,"")</f>
        <v/>
      </c>
      <c r="BK734" s="179" t="str">
        <f t="array" ref="BK734">IF($F734&lt;&gt;"",XLOOKUP($F734,Productos!$A:$A,Productos!BD:BD,"Revisar"),"")</f>
        <v/>
      </c>
      <c r="BL734" s="179" t="str">
        <f t="array" ref="BL734">IF($F734&lt;&gt;"", XLOOKUP($F734,Productos!$A$2:$A1001,Productos!BE$2:BE1001,"")*$G734,"")</f>
        <v/>
      </c>
      <c r="BM734" s="179" t="str">
        <f t="array" ref="BM734">IF($F734&lt;&gt;"",XLOOKUP($F734,Productos!$A:$A,Productos!BF:BF,"Revisar"),"")</f>
        <v/>
      </c>
      <c r="BN734" s="179" t="str">
        <f t="array" ref="BN734">IF($F734&lt;&gt;"", XLOOKUP($F734,Productos!$A$2:$A1001,Productos!BG$2:BG1001,"")*$G734,"")</f>
        <v/>
      </c>
      <c r="BO734" s="179" t="str">
        <f t="array" ref="BO734">IF($F734&lt;&gt;"",XLOOKUP($F734,Productos!$A:$A,Productos!BH:BH,"Revisar"),"")</f>
        <v/>
      </c>
      <c r="BP734" s="179" t="str">
        <f t="array" ref="BP734">IF($F734&lt;&gt;"", XLOOKUP($F734,Productos!$A$2:$A1001,Productos!BI$2:BI1001,"")*$G734,"")</f>
        <v/>
      </c>
      <c r="BQ734" s="179" t="str">
        <f t="array" ref="BQ734">IF($F734&lt;&gt;"",XLOOKUP($F734,Productos!$A:$A,Productos!BJ:BJ,"Revisar"),"")</f>
        <v/>
      </c>
      <c r="BR734" s="179" t="str">
        <f t="array" ref="BR734">IF($F734&lt;&gt;"", XLOOKUP($F734,Productos!$A$2:$A1001,Productos!BK$2:BK1001,"")*$G734,"")</f>
        <v/>
      </c>
      <c r="BS734" s="179" t="str">
        <f t="array" ref="BS734">IF($F734&lt;&gt;"",XLOOKUP($F734,Productos!$A:$A,Productos!BL:BL,"Revisar"),"")</f>
        <v/>
      </c>
      <c r="BT734" s="179" t="str">
        <f t="array" ref="BT734">IF($F734&lt;&gt;"", XLOOKUP($F734,Productos!$A$2:$A1001,Productos!BM$2:BM1001,"")*$G734,"")</f>
        <v/>
      </c>
      <c r="BU734" s="179" t="str">
        <f t="array" ref="BU734">IF($F734&lt;&gt;"",XLOOKUP($F734,Productos!$A:$A,Productos!BN:BN,"Revisar"),"")</f>
        <v/>
      </c>
      <c r="BV734" s="179" t="str">
        <f t="array" ref="BV734">IF($F734&lt;&gt;"", XLOOKUP($F734,Productos!$A$2:$A1001,Productos!BO$2:BO1001,"")*$G734,"")</f>
        <v/>
      </c>
      <c r="BW734" s="179" t="str">
        <f t="array" ref="BW734">IF($F734&lt;&gt;"",XLOOKUP($F734,Productos!$A:$A,Productos!BP:BP,"Revisar"),"")</f>
        <v/>
      </c>
      <c r="BX734" s="179" t="str">
        <f t="array" ref="BX734">IF($F734&lt;&gt;"", XLOOKUP($F734,Productos!$A$2:$A1001,Productos!BQ$2:BQ1001,"")*$G734,"")</f>
        <v/>
      </c>
      <c r="BY734" s="179" t="str">
        <f t="array" ref="BY734">IF($F734&lt;&gt;"",XLOOKUP($F734,Productos!$A:$A,Productos!BR:BR,"Revisar"),"")</f>
        <v/>
      </c>
      <c r="BZ734" s="179" t="str">
        <f t="array" ref="BZ734">IF($F734&lt;&gt;"", XLOOKUP($F734,Productos!$A$2:$A1001,Productos!BS$2:BS1001,"")*$G734,"")</f>
        <v/>
      </c>
    </row>
    <row r="735">
      <c r="A735" s="188"/>
      <c r="B735" s="189"/>
      <c r="C735" s="190"/>
      <c r="D735" s="190"/>
      <c r="E735" s="191"/>
      <c r="F735" s="186"/>
      <c r="G735" s="192"/>
      <c r="H735" s="9"/>
      <c r="I735" s="179" t="str">
        <f t="array" ref="I735">IF($F735&lt;&gt;"",XLOOKUP($F735,Productos!$A:$A,Productos!B:B,"Revisar"),"")</f>
        <v/>
      </c>
      <c r="J735" s="179" t="str">
        <f t="array" ref="J735">IF($F735&lt;&gt;"", XLOOKUP($F735,Productos!$A$2:$A1001,Productos!C$2:C1001,"")*$G735,"")</f>
        <v/>
      </c>
      <c r="K735" s="179" t="str">
        <f t="array" ref="K735">IF($F735&lt;&gt;"",XLOOKUP($F735,Productos!$A:$A,Productos!D:D,"Revisar"),"")</f>
        <v/>
      </c>
      <c r="L735" s="179" t="str">
        <f t="array" ref="L735">IF($F735&lt;&gt;"", XLOOKUP($F735,Productos!$A$2:$A1001,Productos!E$2:E1001,"")*$G735,"")</f>
        <v/>
      </c>
      <c r="M735" s="179" t="str">
        <f t="array" ref="M735">IF($F735&lt;&gt;"",XLOOKUP($F735,Productos!$A:$A,Productos!F:F,"Revisar"),"")</f>
        <v/>
      </c>
      <c r="N735" s="179" t="str">
        <f t="array" ref="N735">IF($F735&lt;&gt;"", XLOOKUP($F735,Productos!$A$2:$A1001,Productos!G$2:G1001,"")*$G735,"")</f>
        <v/>
      </c>
      <c r="O735" s="179" t="str">
        <f t="array" ref="O735">IF($F735&lt;&gt;"",XLOOKUP($F735,Productos!$A:$A,Productos!H:H,"Revisar"),"")</f>
        <v/>
      </c>
      <c r="P735" s="179" t="str">
        <f t="array" ref="P735">IF($F735&lt;&gt;"", XLOOKUP($F735,Productos!$A$2:$A1001,Productos!I$2:I1001,"")*$G735,"")</f>
        <v/>
      </c>
      <c r="Q735" s="179" t="str">
        <f t="array" ref="Q735">IF($F735&lt;&gt;"",XLOOKUP($F735,Productos!$A:$A,Productos!J:J,"Revisar"),"")</f>
        <v/>
      </c>
      <c r="R735" s="179" t="str">
        <f t="array" ref="R735">IF($F735&lt;&gt;"", XLOOKUP($F735,Productos!$A$2:$A1001,Productos!K$2:K1001,"")*$G735,"")</f>
        <v/>
      </c>
      <c r="S735" s="179" t="str">
        <f t="array" ref="S735">IF($F735&lt;&gt;"",XLOOKUP($F735,Productos!$A:$A,Productos!L:L,"Revisar"),"")</f>
        <v/>
      </c>
      <c r="T735" s="179" t="str">
        <f t="array" ref="T735">IF($F735&lt;&gt;"", XLOOKUP($F735,Productos!$A$2:$A1001,Productos!M$2:M1001,"")*$G735,"")</f>
        <v/>
      </c>
      <c r="U735" s="179" t="str">
        <f t="array" ref="U735">IF($F735&lt;&gt;"",XLOOKUP($F735,Productos!$A:$A,Productos!N:N,"Revisar"),"")</f>
        <v/>
      </c>
      <c r="V735" s="179" t="str">
        <f t="array" ref="V735">IF($F735&lt;&gt;"", XLOOKUP($F735,Productos!$A$2:$A1001,Productos!O$2:O1001,"")*$G735,"")</f>
        <v/>
      </c>
      <c r="W735" s="179" t="str">
        <f t="array" ref="W735">IF($F735&lt;&gt;"",XLOOKUP($F735,Productos!$A:$A,Productos!P:P,"Revisar"),"")</f>
        <v/>
      </c>
      <c r="X735" s="179" t="str">
        <f t="array" ref="X735">IF($F735&lt;&gt;"", XLOOKUP($F735,Productos!$A$2:$A1001,Productos!Q$2:Q1001,"")*$G735,"")</f>
        <v/>
      </c>
      <c r="Y735" s="179" t="str">
        <f t="array" ref="Y735">IF($F735&lt;&gt;"",XLOOKUP($F735,Productos!$A:$A,Productos!R:R,"Revisar"),"")</f>
        <v/>
      </c>
      <c r="Z735" s="179" t="str">
        <f t="array" ref="Z735">IF($F735&lt;&gt;"", XLOOKUP($F735,Productos!$A$2:$A1001,Productos!S$2:S1001,"")*$G735,"")</f>
        <v/>
      </c>
      <c r="AA735" s="179" t="str">
        <f t="array" ref="AA735">IF($F735&lt;&gt;"",XLOOKUP($F735,Productos!$A:$A,Productos!T:T,"Revisar"),"")</f>
        <v/>
      </c>
      <c r="AB735" s="179" t="str">
        <f t="array" ref="AB735">IF($F735&lt;&gt;"", XLOOKUP($F735,Productos!$A$2:$A1001,Productos!U$2:U1001,"")*$G735,"")</f>
        <v/>
      </c>
      <c r="AC735" s="179" t="str">
        <f t="array" ref="AC735">IF($F735&lt;&gt;"",XLOOKUP($F735,Productos!$A:$A,Productos!V:V,"Revisar"),"")</f>
        <v/>
      </c>
      <c r="AD735" s="179" t="str">
        <f t="array" ref="AD735">IF($F735&lt;&gt;"", XLOOKUP($F735,Productos!$A$2:$A1001,Productos!W$2:W1001,"")*$G735,"")</f>
        <v/>
      </c>
      <c r="AE735" s="179" t="str">
        <f t="array" ref="AE735">IF($F735&lt;&gt;"",XLOOKUP($F735,Productos!$A:$A,Productos!X:X,"Revisar"),"")</f>
        <v/>
      </c>
      <c r="AF735" s="179" t="str">
        <f t="array" ref="AF735">IF($F735&lt;&gt;"", XLOOKUP($F735,Productos!$A$2:$A1001,Productos!Y$2:Y1001,"")*$G735,"")</f>
        <v/>
      </c>
      <c r="AG735" s="179" t="str">
        <f t="array" ref="AG735">IF($F735&lt;&gt;"",XLOOKUP($F735,Productos!$A:$A,Productos!Z:Z,"Revisar"),"")</f>
        <v/>
      </c>
      <c r="AH735" s="179" t="str">
        <f t="array" ref="AH735">IF($F735&lt;&gt;"", XLOOKUP($F735,Productos!$A$2:$A1001,Productos!AA$2:AA1001,"")*$G735,"")</f>
        <v/>
      </c>
      <c r="AI735" s="179" t="str">
        <f t="array" ref="AI735">IF($F735&lt;&gt;"",XLOOKUP($F735,Productos!$A:$A,Productos!AB:AB,"Revisar"),"")</f>
        <v/>
      </c>
      <c r="AJ735" s="179" t="str">
        <f t="array" ref="AJ735">IF($F735&lt;&gt;"", XLOOKUP($F735,Productos!$A$2:$A1001,Productos!AC$2:AC1001,"")*$G735,"")</f>
        <v/>
      </c>
      <c r="AK735" s="179" t="str">
        <f t="array" ref="AK735">IF($F735&lt;&gt;"",XLOOKUP($F735,Productos!$A:$A,Productos!AD:AD,"Revisar"),"")</f>
        <v/>
      </c>
      <c r="AL735" s="179" t="str">
        <f t="array" ref="AL735">IF($F735&lt;&gt;"", XLOOKUP($F735,Productos!$A$2:$A1001,Productos!AE$2:AE1001,"")*$G735,"")</f>
        <v/>
      </c>
      <c r="AM735" s="179" t="str">
        <f t="array" ref="AM735">IF($F735&lt;&gt;"",XLOOKUP($F735,Productos!$A:$A,Productos!AF:AF,"Revisar"),"")</f>
        <v/>
      </c>
      <c r="AN735" s="179" t="str">
        <f t="array" ref="AN735">IF($F735&lt;&gt;"", XLOOKUP($F735,Productos!$A$2:$A1001,Productos!AG$2:AG1001,"")*$G735,"")</f>
        <v/>
      </c>
      <c r="AO735" s="179" t="str">
        <f t="array" ref="AO735">IF($F735&lt;&gt;"",XLOOKUP($F735,Productos!$A:$A,Productos!AH:AH,"Revisar"),"")</f>
        <v/>
      </c>
      <c r="AP735" s="179" t="str">
        <f t="array" ref="AP735">IF($F735&lt;&gt;"", XLOOKUP($F735,Productos!$A$2:$A1001,Productos!AI$2:AI1001,"")*$G735,"")</f>
        <v/>
      </c>
      <c r="AQ735" s="179" t="str">
        <f t="array" ref="AQ735">IF($F735&lt;&gt;"",XLOOKUP($F735,Productos!$A:$A,Productos!AJ:AJ,"Revisar"),"")</f>
        <v/>
      </c>
      <c r="AR735" s="179" t="str">
        <f t="array" ref="AR735">IF($F735&lt;&gt;"", XLOOKUP($F735,Productos!$A$2:$A1001,Productos!AK$2:AK1001,"")*$G735,"")</f>
        <v/>
      </c>
      <c r="AS735" s="179" t="str">
        <f t="array" ref="AS735">IF($F735&lt;&gt;"",XLOOKUP($F735,Productos!$A:$A,Productos!AL:AL,"Revisar"),"")</f>
        <v/>
      </c>
      <c r="AT735" s="179" t="str">
        <f t="array" ref="AT735">IF($F735&lt;&gt;"", XLOOKUP($F735,Productos!$A$2:$A1001,Productos!AM$2:AM1001,"")*$G735,"")</f>
        <v/>
      </c>
      <c r="AU735" s="179" t="str">
        <f t="array" ref="AU735">IF($F735&lt;&gt;"",XLOOKUP($F735,Productos!$A:$A,Productos!AN:AN,"Revisar"),"")</f>
        <v/>
      </c>
      <c r="AV735" s="179" t="str">
        <f t="array" ref="AV735">IF($F735&lt;&gt;"", XLOOKUP($F735,Productos!$A$2:$A1001,Productos!AO$2:AO1001,"")*$G735,"")</f>
        <v/>
      </c>
      <c r="AW735" s="179" t="str">
        <f t="array" ref="AW735">IF($F735&lt;&gt;"",XLOOKUP($F735,Productos!$A:$A,Productos!AP:AP,"Revisar"),"")</f>
        <v/>
      </c>
      <c r="AX735" s="179" t="str">
        <f t="array" ref="AX735">IF($F735&lt;&gt;"", XLOOKUP($F735,Productos!$A$2:$A1001,Productos!AQ$2:AQ1001,"")*$G735,"")</f>
        <v/>
      </c>
      <c r="AY735" s="179" t="str">
        <f t="array" ref="AY735">IF($F735&lt;&gt;"",XLOOKUP($F735,Productos!$A:$A,Productos!AR:AR,"Revisar"),"")</f>
        <v/>
      </c>
      <c r="AZ735" s="179" t="str">
        <f t="array" ref="AZ735">IF($F735&lt;&gt;"", XLOOKUP($F735,Productos!$A$2:$A1001,Productos!AS$2:AS1001,"")*$G735,"")</f>
        <v/>
      </c>
      <c r="BA735" s="179" t="str">
        <f t="array" ref="BA735">IF($F735&lt;&gt;"",XLOOKUP($F735,Productos!$A:$A,Productos!AT:AT,"Revisar"),"")</f>
        <v/>
      </c>
      <c r="BB735" s="179" t="str">
        <f t="array" ref="BB735">IF($F735&lt;&gt;"", XLOOKUP($F735,Productos!$A$2:$A1001,Productos!AU$2:AU1001,"")*$G735,"")</f>
        <v/>
      </c>
      <c r="BC735" s="179" t="str">
        <f t="array" ref="BC735">IF($F735&lt;&gt;"",XLOOKUP($F735,Productos!$A:$A,Productos!AV:AV,"Revisar"),"")</f>
        <v/>
      </c>
      <c r="BD735" s="179" t="str">
        <f t="array" ref="BD735">IF($F735&lt;&gt;"", XLOOKUP($F735,Productos!$A$2:$A1001,Productos!AW$2:AW1001,"")*$G735,"")</f>
        <v/>
      </c>
      <c r="BE735" s="179" t="str">
        <f t="array" ref="BE735">IF($F735&lt;&gt;"",XLOOKUP($F735,Productos!$A:$A,Productos!AX:AX,"Revisar"),"")</f>
        <v/>
      </c>
      <c r="BF735" s="179" t="str">
        <f t="array" ref="BF735">IF($F735&lt;&gt;"", XLOOKUP($F735,Productos!$A$2:$A1001,Productos!AY$2:AY1001,"")*$G735,"")</f>
        <v/>
      </c>
      <c r="BG735" s="179" t="str">
        <f t="array" ref="BG735">IF($F735&lt;&gt;"",XLOOKUP($F735,Productos!$A:$A,Productos!AZ:AZ,"Revisar"),"")</f>
        <v/>
      </c>
      <c r="BH735" s="179" t="str">
        <f t="array" ref="BH735">IF($F735&lt;&gt;"", XLOOKUP($F735,Productos!$A$2:$A1001,Productos!BA$2:BA1001,"")*$G735,"")</f>
        <v/>
      </c>
      <c r="BI735" s="179" t="str">
        <f t="array" ref="BI735">IF($F735&lt;&gt;"",XLOOKUP($F735,Productos!$A:$A,Productos!BB:BB,"Revisar"),"")</f>
        <v/>
      </c>
      <c r="BJ735" s="179" t="str">
        <f t="array" ref="BJ735">IF($F735&lt;&gt;"", XLOOKUP($F735,Productos!$A$2:$A1001,Productos!BC$2:BC1001,"")*$G735,"")</f>
        <v/>
      </c>
      <c r="BK735" s="179" t="str">
        <f t="array" ref="BK735">IF($F735&lt;&gt;"",XLOOKUP($F735,Productos!$A:$A,Productos!BD:BD,"Revisar"),"")</f>
        <v/>
      </c>
      <c r="BL735" s="179" t="str">
        <f t="array" ref="BL735">IF($F735&lt;&gt;"", XLOOKUP($F735,Productos!$A$2:$A1001,Productos!BE$2:BE1001,"")*$G735,"")</f>
        <v/>
      </c>
      <c r="BM735" s="179" t="str">
        <f t="array" ref="BM735">IF($F735&lt;&gt;"",XLOOKUP($F735,Productos!$A:$A,Productos!BF:BF,"Revisar"),"")</f>
        <v/>
      </c>
      <c r="BN735" s="179" t="str">
        <f t="array" ref="BN735">IF($F735&lt;&gt;"", XLOOKUP($F735,Productos!$A$2:$A1001,Productos!BG$2:BG1001,"")*$G735,"")</f>
        <v/>
      </c>
      <c r="BO735" s="179" t="str">
        <f t="array" ref="BO735">IF($F735&lt;&gt;"",XLOOKUP($F735,Productos!$A:$A,Productos!BH:BH,"Revisar"),"")</f>
        <v/>
      </c>
      <c r="BP735" s="179" t="str">
        <f t="array" ref="BP735">IF($F735&lt;&gt;"", XLOOKUP($F735,Productos!$A$2:$A1001,Productos!BI$2:BI1001,"")*$G735,"")</f>
        <v/>
      </c>
      <c r="BQ735" s="179" t="str">
        <f t="array" ref="BQ735">IF($F735&lt;&gt;"",XLOOKUP($F735,Productos!$A:$A,Productos!BJ:BJ,"Revisar"),"")</f>
        <v/>
      </c>
      <c r="BR735" s="179" t="str">
        <f t="array" ref="BR735">IF($F735&lt;&gt;"", XLOOKUP($F735,Productos!$A$2:$A1001,Productos!BK$2:BK1001,"")*$G735,"")</f>
        <v/>
      </c>
      <c r="BS735" s="179" t="str">
        <f t="array" ref="BS735">IF($F735&lt;&gt;"",XLOOKUP($F735,Productos!$A:$A,Productos!BL:BL,"Revisar"),"")</f>
        <v/>
      </c>
      <c r="BT735" s="179" t="str">
        <f t="array" ref="BT735">IF($F735&lt;&gt;"", XLOOKUP($F735,Productos!$A$2:$A1001,Productos!BM$2:BM1001,"")*$G735,"")</f>
        <v/>
      </c>
      <c r="BU735" s="179" t="str">
        <f t="array" ref="BU735">IF($F735&lt;&gt;"",XLOOKUP($F735,Productos!$A:$A,Productos!BN:BN,"Revisar"),"")</f>
        <v/>
      </c>
      <c r="BV735" s="179" t="str">
        <f t="array" ref="BV735">IF($F735&lt;&gt;"", XLOOKUP($F735,Productos!$A$2:$A1001,Productos!BO$2:BO1001,"")*$G735,"")</f>
        <v/>
      </c>
      <c r="BW735" s="179" t="str">
        <f t="array" ref="BW735">IF($F735&lt;&gt;"",XLOOKUP($F735,Productos!$A:$A,Productos!BP:BP,"Revisar"),"")</f>
        <v/>
      </c>
      <c r="BX735" s="179" t="str">
        <f t="array" ref="BX735">IF($F735&lt;&gt;"", XLOOKUP($F735,Productos!$A$2:$A1001,Productos!BQ$2:BQ1001,"")*$G735,"")</f>
        <v/>
      </c>
      <c r="BY735" s="179" t="str">
        <f t="array" ref="BY735">IF($F735&lt;&gt;"",XLOOKUP($F735,Productos!$A:$A,Productos!BR:BR,"Revisar"),"")</f>
        <v/>
      </c>
      <c r="BZ735" s="179" t="str">
        <f t="array" ref="BZ735">IF($F735&lt;&gt;"", XLOOKUP($F735,Productos!$A$2:$A1001,Productos!BS$2:BS1001,"")*$G735,"")</f>
        <v/>
      </c>
    </row>
    <row r="736">
      <c r="A736" s="188"/>
      <c r="B736" s="189"/>
      <c r="C736" s="190"/>
      <c r="D736" s="190"/>
      <c r="E736" s="191"/>
      <c r="F736" s="186"/>
      <c r="G736" s="192"/>
      <c r="H736" s="9"/>
      <c r="I736" s="179" t="str">
        <f t="array" ref="I736">IF($F736&lt;&gt;"",XLOOKUP($F736,Productos!$A:$A,Productos!B:B,"Revisar"),"")</f>
        <v/>
      </c>
      <c r="J736" s="179" t="str">
        <f t="array" ref="J736">IF($F736&lt;&gt;"", XLOOKUP($F736,Productos!$A$2:$A1001,Productos!C$2:C1001,"")*$G736,"")</f>
        <v/>
      </c>
      <c r="K736" s="179" t="str">
        <f t="array" ref="K736">IF($F736&lt;&gt;"",XLOOKUP($F736,Productos!$A:$A,Productos!D:D,"Revisar"),"")</f>
        <v/>
      </c>
      <c r="L736" s="179" t="str">
        <f t="array" ref="L736">IF($F736&lt;&gt;"", XLOOKUP($F736,Productos!$A$2:$A1001,Productos!E$2:E1001,"")*$G736,"")</f>
        <v/>
      </c>
      <c r="M736" s="179" t="str">
        <f t="array" ref="M736">IF($F736&lt;&gt;"",XLOOKUP($F736,Productos!$A:$A,Productos!F:F,"Revisar"),"")</f>
        <v/>
      </c>
      <c r="N736" s="179" t="str">
        <f t="array" ref="N736">IF($F736&lt;&gt;"", XLOOKUP($F736,Productos!$A$2:$A1001,Productos!G$2:G1001,"")*$G736,"")</f>
        <v/>
      </c>
      <c r="O736" s="179" t="str">
        <f t="array" ref="O736">IF($F736&lt;&gt;"",XLOOKUP($F736,Productos!$A:$A,Productos!H:H,"Revisar"),"")</f>
        <v/>
      </c>
      <c r="P736" s="179" t="str">
        <f t="array" ref="P736">IF($F736&lt;&gt;"", XLOOKUP($F736,Productos!$A$2:$A1001,Productos!I$2:I1001,"")*$G736,"")</f>
        <v/>
      </c>
      <c r="Q736" s="179" t="str">
        <f t="array" ref="Q736">IF($F736&lt;&gt;"",XLOOKUP($F736,Productos!$A:$A,Productos!J:J,"Revisar"),"")</f>
        <v/>
      </c>
      <c r="R736" s="179" t="str">
        <f t="array" ref="R736">IF($F736&lt;&gt;"", XLOOKUP($F736,Productos!$A$2:$A1001,Productos!K$2:K1001,"")*$G736,"")</f>
        <v/>
      </c>
      <c r="S736" s="179" t="str">
        <f t="array" ref="S736">IF($F736&lt;&gt;"",XLOOKUP($F736,Productos!$A:$A,Productos!L:L,"Revisar"),"")</f>
        <v/>
      </c>
      <c r="T736" s="179" t="str">
        <f t="array" ref="T736">IF($F736&lt;&gt;"", XLOOKUP($F736,Productos!$A$2:$A1001,Productos!M$2:M1001,"")*$G736,"")</f>
        <v/>
      </c>
      <c r="U736" s="179" t="str">
        <f t="array" ref="U736">IF($F736&lt;&gt;"",XLOOKUP($F736,Productos!$A:$A,Productos!N:N,"Revisar"),"")</f>
        <v/>
      </c>
      <c r="V736" s="179" t="str">
        <f t="array" ref="V736">IF($F736&lt;&gt;"", XLOOKUP($F736,Productos!$A$2:$A1001,Productos!O$2:O1001,"")*$G736,"")</f>
        <v/>
      </c>
      <c r="W736" s="179" t="str">
        <f t="array" ref="W736">IF($F736&lt;&gt;"",XLOOKUP($F736,Productos!$A:$A,Productos!P:P,"Revisar"),"")</f>
        <v/>
      </c>
      <c r="X736" s="179" t="str">
        <f t="array" ref="X736">IF($F736&lt;&gt;"", XLOOKUP($F736,Productos!$A$2:$A1001,Productos!Q$2:Q1001,"")*$G736,"")</f>
        <v/>
      </c>
      <c r="Y736" s="179" t="str">
        <f t="array" ref="Y736">IF($F736&lt;&gt;"",XLOOKUP($F736,Productos!$A:$A,Productos!R:R,"Revisar"),"")</f>
        <v/>
      </c>
      <c r="Z736" s="179" t="str">
        <f t="array" ref="Z736">IF($F736&lt;&gt;"", XLOOKUP($F736,Productos!$A$2:$A1001,Productos!S$2:S1001,"")*$G736,"")</f>
        <v/>
      </c>
      <c r="AA736" s="179" t="str">
        <f t="array" ref="AA736">IF($F736&lt;&gt;"",XLOOKUP($F736,Productos!$A:$A,Productos!T:T,"Revisar"),"")</f>
        <v/>
      </c>
      <c r="AB736" s="179" t="str">
        <f t="array" ref="AB736">IF($F736&lt;&gt;"", XLOOKUP($F736,Productos!$A$2:$A1001,Productos!U$2:U1001,"")*$G736,"")</f>
        <v/>
      </c>
      <c r="AC736" s="179" t="str">
        <f t="array" ref="AC736">IF($F736&lt;&gt;"",XLOOKUP($F736,Productos!$A:$A,Productos!V:V,"Revisar"),"")</f>
        <v/>
      </c>
      <c r="AD736" s="179" t="str">
        <f t="array" ref="AD736">IF($F736&lt;&gt;"", XLOOKUP($F736,Productos!$A$2:$A1001,Productos!W$2:W1001,"")*$G736,"")</f>
        <v/>
      </c>
      <c r="AE736" s="179" t="str">
        <f t="array" ref="AE736">IF($F736&lt;&gt;"",XLOOKUP($F736,Productos!$A:$A,Productos!X:X,"Revisar"),"")</f>
        <v/>
      </c>
      <c r="AF736" s="179" t="str">
        <f t="array" ref="AF736">IF($F736&lt;&gt;"", XLOOKUP($F736,Productos!$A$2:$A1001,Productos!Y$2:Y1001,"")*$G736,"")</f>
        <v/>
      </c>
      <c r="AG736" s="179" t="str">
        <f t="array" ref="AG736">IF($F736&lt;&gt;"",XLOOKUP($F736,Productos!$A:$A,Productos!Z:Z,"Revisar"),"")</f>
        <v/>
      </c>
      <c r="AH736" s="179" t="str">
        <f t="array" ref="AH736">IF($F736&lt;&gt;"", XLOOKUP($F736,Productos!$A$2:$A1001,Productos!AA$2:AA1001,"")*$G736,"")</f>
        <v/>
      </c>
      <c r="AI736" s="179" t="str">
        <f t="array" ref="AI736">IF($F736&lt;&gt;"",XLOOKUP($F736,Productos!$A:$A,Productos!AB:AB,"Revisar"),"")</f>
        <v/>
      </c>
      <c r="AJ736" s="179" t="str">
        <f t="array" ref="AJ736">IF($F736&lt;&gt;"", XLOOKUP($F736,Productos!$A$2:$A1001,Productos!AC$2:AC1001,"")*$G736,"")</f>
        <v/>
      </c>
      <c r="AK736" s="179" t="str">
        <f t="array" ref="AK736">IF($F736&lt;&gt;"",XLOOKUP($F736,Productos!$A:$A,Productos!AD:AD,"Revisar"),"")</f>
        <v/>
      </c>
      <c r="AL736" s="179" t="str">
        <f t="array" ref="AL736">IF($F736&lt;&gt;"", XLOOKUP($F736,Productos!$A$2:$A1001,Productos!AE$2:AE1001,"")*$G736,"")</f>
        <v/>
      </c>
      <c r="AM736" s="179" t="str">
        <f t="array" ref="AM736">IF($F736&lt;&gt;"",XLOOKUP($F736,Productos!$A:$A,Productos!AF:AF,"Revisar"),"")</f>
        <v/>
      </c>
      <c r="AN736" s="179" t="str">
        <f t="array" ref="AN736">IF($F736&lt;&gt;"", XLOOKUP($F736,Productos!$A$2:$A1001,Productos!AG$2:AG1001,"")*$G736,"")</f>
        <v/>
      </c>
      <c r="AO736" s="179" t="str">
        <f t="array" ref="AO736">IF($F736&lt;&gt;"",XLOOKUP($F736,Productos!$A:$A,Productos!AH:AH,"Revisar"),"")</f>
        <v/>
      </c>
      <c r="AP736" s="179" t="str">
        <f t="array" ref="AP736">IF($F736&lt;&gt;"", XLOOKUP($F736,Productos!$A$2:$A1001,Productos!AI$2:AI1001,"")*$G736,"")</f>
        <v/>
      </c>
      <c r="AQ736" s="179" t="str">
        <f t="array" ref="AQ736">IF($F736&lt;&gt;"",XLOOKUP($F736,Productos!$A:$A,Productos!AJ:AJ,"Revisar"),"")</f>
        <v/>
      </c>
      <c r="AR736" s="179" t="str">
        <f t="array" ref="AR736">IF($F736&lt;&gt;"", XLOOKUP($F736,Productos!$A$2:$A1001,Productos!AK$2:AK1001,"")*$G736,"")</f>
        <v/>
      </c>
      <c r="AS736" s="179" t="str">
        <f t="array" ref="AS736">IF($F736&lt;&gt;"",XLOOKUP($F736,Productos!$A:$A,Productos!AL:AL,"Revisar"),"")</f>
        <v/>
      </c>
      <c r="AT736" s="179" t="str">
        <f t="array" ref="AT736">IF($F736&lt;&gt;"", XLOOKUP($F736,Productos!$A$2:$A1001,Productos!AM$2:AM1001,"")*$G736,"")</f>
        <v/>
      </c>
      <c r="AU736" s="179" t="str">
        <f t="array" ref="AU736">IF($F736&lt;&gt;"",XLOOKUP($F736,Productos!$A:$A,Productos!AN:AN,"Revisar"),"")</f>
        <v/>
      </c>
      <c r="AV736" s="179" t="str">
        <f t="array" ref="AV736">IF($F736&lt;&gt;"", XLOOKUP($F736,Productos!$A$2:$A1001,Productos!AO$2:AO1001,"")*$G736,"")</f>
        <v/>
      </c>
      <c r="AW736" s="179" t="str">
        <f t="array" ref="AW736">IF($F736&lt;&gt;"",XLOOKUP($F736,Productos!$A:$A,Productos!AP:AP,"Revisar"),"")</f>
        <v/>
      </c>
      <c r="AX736" s="179" t="str">
        <f t="array" ref="AX736">IF($F736&lt;&gt;"", XLOOKUP($F736,Productos!$A$2:$A1001,Productos!AQ$2:AQ1001,"")*$G736,"")</f>
        <v/>
      </c>
      <c r="AY736" s="179" t="str">
        <f t="array" ref="AY736">IF($F736&lt;&gt;"",XLOOKUP($F736,Productos!$A:$A,Productos!AR:AR,"Revisar"),"")</f>
        <v/>
      </c>
      <c r="AZ736" s="179" t="str">
        <f t="array" ref="AZ736">IF($F736&lt;&gt;"", XLOOKUP($F736,Productos!$A$2:$A1001,Productos!AS$2:AS1001,"")*$G736,"")</f>
        <v/>
      </c>
      <c r="BA736" s="179" t="str">
        <f t="array" ref="BA736">IF($F736&lt;&gt;"",XLOOKUP($F736,Productos!$A:$A,Productos!AT:AT,"Revisar"),"")</f>
        <v/>
      </c>
      <c r="BB736" s="179" t="str">
        <f t="array" ref="BB736">IF($F736&lt;&gt;"", XLOOKUP($F736,Productos!$A$2:$A1001,Productos!AU$2:AU1001,"")*$G736,"")</f>
        <v/>
      </c>
      <c r="BC736" s="179" t="str">
        <f t="array" ref="BC736">IF($F736&lt;&gt;"",XLOOKUP($F736,Productos!$A:$A,Productos!AV:AV,"Revisar"),"")</f>
        <v/>
      </c>
      <c r="BD736" s="179" t="str">
        <f t="array" ref="BD736">IF($F736&lt;&gt;"", XLOOKUP($F736,Productos!$A$2:$A1001,Productos!AW$2:AW1001,"")*$G736,"")</f>
        <v/>
      </c>
      <c r="BE736" s="179" t="str">
        <f t="array" ref="BE736">IF($F736&lt;&gt;"",XLOOKUP($F736,Productos!$A:$A,Productos!AX:AX,"Revisar"),"")</f>
        <v/>
      </c>
      <c r="BF736" s="179" t="str">
        <f t="array" ref="BF736">IF($F736&lt;&gt;"", XLOOKUP($F736,Productos!$A$2:$A1001,Productos!AY$2:AY1001,"")*$G736,"")</f>
        <v/>
      </c>
      <c r="BG736" s="179" t="str">
        <f t="array" ref="BG736">IF($F736&lt;&gt;"",XLOOKUP($F736,Productos!$A:$A,Productos!AZ:AZ,"Revisar"),"")</f>
        <v/>
      </c>
      <c r="BH736" s="179" t="str">
        <f t="array" ref="BH736">IF($F736&lt;&gt;"", XLOOKUP($F736,Productos!$A$2:$A1001,Productos!BA$2:BA1001,"")*$G736,"")</f>
        <v/>
      </c>
      <c r="BI736" s="179" t="str">
        <f t="array" ref="BI736">IF($F736&lt;&gt;"",XLOOKUP($F736,Productos!$A:$A,Productos!BB:BB,"Revisar"),"")</f>
        <v/>
      </c>
      <c r="BJ736" s="179" t="str">
        <f t="array" ref="BJ736">IF($F736&lt;&gt;"", XLOOKUP($F736,Productos!$A$2:$A1001,Productos!BC$2:BC1001,"")*$G736,"")</f>
        <v/>
      </c>
      <c r="BK736" s="179" t="str">
        <f t="array" ref="BK736">IF($F736&lt;&gt;"",XLOOKUP($F736,Productos!$A:$A,Productos!BD:BD,"Revisar"),"")</f>
        <v/>
      </c>
      <c r="BL736" s="179" t="str">
        <f t="array" ref="BL736">IF($F736&lt;&gt;"", XLOOKUP($F736,Productos!$A$2:$A1001,Productos!BE$2:BE1001,"")*$G736,"")</f>
        <v/>
      </c>
      <c r="BM736" s="179" t="str">
        <f t="array" ref="BM736">IF($F736&lt;&gt;"",XLOOKUP($F736,Productos!$A:$A,Productos!BF:BF,"Revisar"),"")</f>
        <v/>
      </c>
      <c r="BN736" s="179" t="str">
        <f t="array" ref="BN736">IF($F736&lt;&gt;"", XLOOKUP($F736,Productos!$A$2:$A1001,Productos!BG$2:BG1001,"")*$G736,"")</f>
        <v/>
      </c>
      <c r="BO736" s="179" t="str">
        <f t="array" ref="BO736">IF($F736&lt;&gt;"",XLOOKUP($F736,Productos!$A:$A,Productos!BH:BH,"Revisar"),"")</f>
        <v/>
      </c>
      <c r="BP736" s="179" t="str">
        <f t="array" ref="BP736">IF($F736&lt;&gt;"", XLOOKUP($F736,Productos!$A$2:$A1001,Productos!BI$2:BI1001,"")*$G736,"")</f>
        <v/>
      </c>
      <c r="BQ736" s="179" t="str">
        <f t="array" ref="BQ736">IF($F736&lt;&gt;"",XLOOKUP($F736,Productos!$A:$A,Productos!BJ:BJ,"Revisar"),"")</f>
        <v/>
      </c>
      <c r="BR736" s="179" t="str">
        <f t="array" ref="BR736">IF($F736&lt;&gt;"", XLOOKUP($F736,Productos!$A$2:$A1001,Productos!BK$2:BK1001,"")*$G736,"")</f>
        <v/>
      </c>
      <c r="BS736" s="179" t="str">
        <f t="array" ref="BS736">IF($F736&lt;&gt;"",XLOOKUP($F736,Productos!$A:$A,Productos!BL:BL,"Revisar"),"")</f>
        <v/>
      </c>
      <c r="BT736" s="179" t="str">
        <f t="array" ref="BT736">IF($F736&lt;&gt;"", XLOOKUP($F736,Productos!$A$2:$A1001,Productos!BM$2:BM1001,"")*$G736,"")</f>
        <v/>
      </c>
      <c r="BU736" s="179" t="str">
        <f t="array" ref="BU736">IF($F736&lt;&gt;"",XLOOKUP($F736,Productos!$A:$A,Productos!BN:BN,"Revisar"),"")</f>
        <v/>
      </c>
      <c r="BV736" s="179" t="str">
        <f t="array" ref="BV736">IF($F736&lt;&gt;"", XLOOKUP($F736,Productos!$A$2:$A1001,Productos!BO$2:BO1001,"")*$G736,"")</f>
        <v/>
      </c>
      <c r="BW736" s="179" t="str">
        <f t="array" ref="BW736">IF($F736&lt;&gt;"",XLOOKUP($F736,Productos!$A:$A,Productos!BP:BP,"Revisar"),"")</f>
        <v/>
      </c>
      <c r="BX736" s="179" t="str">
        <f t="array" ref="BX736">IF($F736&lt;&gt;"", XLOOKUP($F736,Productos!$A$2:$A1001,Productos!BQ$2:BQ1001,"")*$G736,"")</f>
        <v/>
      </c>
      <c r="BY736" s="179" t="str">
        <f t="array" ref="BY736">IF($F736&lt;&gt;"",XLOOKUP($F736,Productos!$A:$A,Productos!BR:BR,"Revisar"),"")</f>
        <v/>
      </c>
      <c r="BZ736" s="179" t="str">
        <f t="array" ref="BZ736">IF($F736&lt;&gt;"", XLOOKUP($F736,Productos!$A$2:$A1001,Productos!BS$2:BS1001,"")*$G736,"")</f>
        <v/>
      </c>
    </row>
    <row r="737">
      <c r="A737" s="188"/>
      <c r="B737" s="189"/>
      <c r="C737" s="190"/>
      <c r="D737" s="190"/>
      <c r="E737" s="191"/>
      <c r="F737" s="186"/>
      <c r="G737" s="192"/>
      <c r="H737" s="9"/>
      <c r="I737" s="179" t="str">
        <f t="array" ref="I737">IF($F737&lt;&gt;"",XLOOKUP($F737,Productos!$A:$A,Productos!B:B,"Revisar"),"")</f>
        <v/>
      </c>
      <c r="J737" s="179" t="str">
        <f t="array" ref="J737">IF($F737&lt;&gt;"", XLOOKUP($F737,Productos!$A$2:$A1001,Productos!C$2:C1001,"")*$G737,"")</f>
        <v/>
      </c>
      <c r="K737" s="179" t="str">
        <f t="array" ref="K737">IF($F737&lt;&gt;"",XLOOKUP($F737,Productos!$A:$A,Productos!D:D,"Revisar"),"")</f>
        <v/>
      </c>
      <c r="L737" s="179" t="str">
        <f t="array" ref="L737">IF($F737&lt;&gt;"", XLOOKUP($F737,Productos!$A$2:$A1001,Productos!E$2:E1001,"")*$G737,"")</f>
        <v/>
      </c>
      <c r="M737" s="179" t="str">
        <f t="array" ref="M737">IF($F737&lt;&gt;"",XLOOKUP($F737,Productos!$A:$A,Productos!F:F,"Revisar"),"")</f>
        <v/>
      </c>
      <c r="N737" s="179" t="str">
        <f t="array" ref="N737">IF($F737&lt;&gt;"", XLOOKUP($F737,Productos!$A$2:$A1001,Productos!G$2:G1001,"")*$G737,"")</f>
        <v/>
      </c>
      <c r="O737" s="179" t="str">
        <f t="array" ref="O737">IF($F737&lt;&gt;"",XLOOKUP($F737,Productos!$A:$A,Productos!H:H,"Revisar"),"")</f>
        <v/>
      </c>
      <c r="P737" s="179" t="str">
        <f t="array" ref="P737">IF($F737&lt;&gt;"", XLOOKUP($F737,Productos!$A$2:$A1001,Productos!I$2:I1001,"")*$G737,"")</f>
        <v/>
      </c>
      <c r="Q737" s="179" t="str">
        <f t="array" ref="Q737">IF($F737&lt;&gt;"",XLOOKUP($F737,Productos!$A:$A,Productos!J:J,"Revisar"),"")</f>
        <v/>
      </c>
      <c r="R737" s="179" t="str">
        <f t="array" ref="R737">IF($F737&lt;&gt;"", XLOOKUP($F737,Productos!$A$2:$A1001,Productos!K$2:K1001,"")*$G737,"")</f>
        <v/>
      </c>
      <c r="S737" s="179" t="str">
        <f t="array" ref="S737">IF($F737&lt;&gt;"",XLOOKUP($F737,Productos!$A:$A,Productos!L:L,"Revisar"),"")</f>
        <v/>
      </c>
      <c r="T737" s="179" t="str">
        <f t="array" ref="T737">IF($F737&lt;&gt;"", XLOOKUP($F737,Productos!$A$2:$A1001,Productos!M$2:M1001,"")*$G737,"")</f>
        <v/>
      </c>
      <c r="U737" s="179" t="str">
        <f t="array" ref="U737">IF($F737&lt;&gt;"",XLOOKUP($F737,Productos!$A:$A,Productos!N:N,"Revisar"),"")</f>
        <v/>
      </c>
      <c r="V737" s="179" t="str">
        <f t="array" ref="V737">IF($F737&lt;&gt;"", XLOOKUP($F737,Productos!$A$2:$A1001,Productos!O$2:O1001,"")*$G737,"")</f>
        <v/>
      </c>
      <c r="W737" s="179" t="str">
        <f t="array" ref="W737">IF($F737&lt;&gt;"",XLOOKUP($F737,Productos!$A:$A,Productos!P:P,"Revisar"),"")</f>
        <v/>
      </c>
      <c r="X737" s="179" t="str">
        <f t="array" ref="X737">IF($F737&lt;&gt;"", XLOOKUP($F737,Productos!$A$2:$A1001,Productos!Q$2:Q1001,"")*$G737,"")</f>
        <v/>
      </c>
      <c r="Y737" s="179" t="str">
        <f t="array" ref="Y737">IF($F737&lt;&gt;"",XLOOKUP($F737,Productos!$A:$A,Productos!R:R,"Revisar"),"")</f>
        <v/>
      </c>
      <c r="Z737" s="179" t="str">
        <f t="array" ref="Z737">IF($F737&lt;&gt;"", XLOOKUP($F737,Productos!$A$2:$A1001,Productos!S$2:S1001,"")*$G737,"")</f>
        <v/>
      </c>
      <c r="AA737" s="179" t="str">
        <f t="array" ref="AA737">IF($F737&lt;&gt;"",XLOOKUP($F737,Productos!$A:$A,Productos!T:T,"Revisar"),"")</f>
        <v/>
      </c>
      <c r="AB737" s="179" t="str">
        <f t="array" ref="AB737">IF($F737&lt;&gt;"", XLOOKUP($F737,Productos!$A$2:$A1001,Productos!U$2:U1001,"")*$G737,"")</f>
        <v/>
      </c>
      <c r="AC737" s="179" t="str">
        <f t="array" ref="AC737">IF($F737&lt;&gt;"",XLOOKUP($F737,Productos!$A:$A,Productos!V:V,"Revisar"),"")</f>
        <v/>
      </c>
      <c r="AD737" s="179" t="str">
        <f t="array" ref="AD737">IF($F737&lt;&gt;"", XLOOKUP($F737,Productos!$A$2:$A1001,Productos!W$2:W1001,"")*$G737,"")</f>
        <v/>
      </c>
      <c r="AE737" s="179" t="str">
        <f t="array" ref="AE737">IF($F737&lt;&gt;"",XLOOKUP($F737,Productos!$A:$A,Productos!X:X,"Revisar"),"")</f>
        <v/>
      </c>
      <c r="AF737" s="179" t="str">
        <f t="array" ref="AF737">IF($F737&lt;&gt;"", XLOOKUP($F737,Productos!$A$2:$A1001,Productos!Y$2:Y1001,"")*$G737,"")</f>
        <v/>
      </c>
      <c r="AG737" s="179" t="str">
        <f t="array" ref="AG737">IF($F737&lt;&gt;"",XLOOKUP($F737,Productos!$A:$A,Productos!Z:Z,"Revisar"),"")</f>
        <v/>
      </c>
      <c r="AH737" s="179" t="str">
        <f t="array" ref="AH737">IF($F737&lt;&gt;"", XLOOKUP($F737,Productos!$A$2:$A1001,Productos!AA$2:AA1001,"")*$G737,"")</f>
        <v/>
      </c>
      <c r="AI737" s="179" t="str">
        <f t="array" ref="AI737">IF($F737&lt;&gt;"",XLOOKUP($F737,Productos!$A:$A,Productos!AB:AB,"Revisar"),"")</f>
        <v/>
      </c>
      <c r="AJ737" s="179" t="str">
        <f t="array" ref="AJ737">IF($F737&lt;&gt;"", XLOOKUP($F737,Productos!$A$2:$A1001,Productos!AC$2:AC1001,"")*$G737,"")</f>
        <v/>
      </c>
      <c r="AK737" s="179" t="str">
        <f t="array" ref="AK737">IF($F737&lt;&gt;"",XLOOKUP($F737,Productos!$A:$A,Productos!AD:AD,"Revisar"),"")</f>
        <v/>
      </c>
      <c r="AL737" s="179" t="str">
        <f t="array" ref="AL737">IF($F737&lt;&gt;"", XLOOKUP($F737,Productos!$A$2:$A1001,Productos!AE$2:AE1001,"")*$G737,"")</f>
        <v/>
      </c>
      <c r="AM737" s="179" t="str">
        <f t="array" ref="AM737">IF($F737&lt;&gt;"",XLOOKUP($F737,Productos!$A:$A,Productos!AF:AF,"Revisar"),"")</f>
        <v/>
      </c>
      <c r="AN737" s="179" t="str">
        <f t="array" ref="AN737">IF($F737&lt;&gt;"", XLOOKUP($F737,Productos!$A$2:$A1001,Productos!AG$2:AG1001,"")*$G737,"")</f>
        <v/>
      </c>
      <c r="AO737" s="179" t="str">
        <f t="array" ref="AO737">IF($F737&lt;&gt;"",XLOOKUP($F737,Productos!$A:$A,Productos!AH:AH,"Revisar"),"")</f>
        <v/>
      </c>
      <c r="AP737" s="179" t="str">
        <f t="array" ref="AP737">IF($F737&lt;&gt;"", XLOOKUP($F737,Productos!$A$2:$A1001,Productos!AI$2:AI1001,"")*$G737,"")</f>
        <v/>
      </c>
      <c r="AQ737" s="179" t="str">
        <f t="array" ref="AQ737">IF($F737&lt;&gt;"",XLOOKUP($F737,Productos!$A:$A,Productos!AJ:AJ,"Revisar"),"")</f>
        <v/>
      </c>
      <c r="AR737" s="179" t="str">
        <f t="array" ref="AR737">IF($F737&lt;&gt;"", XLOOKUP($F737,Productos!$A$2:$A1001,Productos!AK$2:AK1001,"")*$G737,"")</f>
        <v/>
      </c>
      <c r="AS737" s="179" t="str">
        <f t="array" ref="AS737">IF($F737&lt;&gt;"",XLOOKUP($F737,Productos!$A:$A,Productos!AL:AL,"Revisar"),"")</f>
        <v/>
      </c>
      <c r="AT737" s="179" t="str">
        <f t="array" ref="AT737">IF($F737&lt;&gt;"", XLOOKUP($F737,Productos!$A$2:$A1001,Productos!AM$2:AM1001,"")*$G737,"")</f>
        <v/>
      </c>
      <c r="AU737" s="179" t="str">
        <f t="array" ref="AU737">IF($F737&lt;&gt;"",XLOOKUP($F737,Productos!$A:$A,Productos!AN:AN,"Revisar"),"")</f>
        <v/>
      </c>
      <c r="AV737" s="179" t="str">
        <f t="array" ref="AV737">IF($F737&lt;&gt;"", XLOOKUP($F737,Productos!$A$2:$A1001,Productos!AO$2:AO1001,"")*$G737,"")</f>
        <v/>
      </c>
      <c r="AW737" s="179" t="str">
        <f t="array" ref="AW737">IF($F737&lt;&gt;"",XLOOKUP($F737,Productos!$A:$A,Productos!AP:AP,"Revisar"),"")</f>
        <v/>
      </c>
      <c r="AX737" s="179" t="str">
        <f t="array" ref="AX737">IF($F737&lt;&gt;"", XLOOKUP($F737,Productos!$A$2:$A1001,Productos!AQ$2:AQ1001,"")*$G737,"")</f>
        <v/>
      </c>
      <c r="AY737" s="179" t="str">
        <f t="array" ref="AY737">IF($F737&lt;&gt;"",XLOOKUP($F737,Productos!$A:$A,Productos!AR:AR,"Revisar"),"")</f>
        <v/>
      </c>
      <c r="AZ737" s="179" t="str">
        <f t="array" ref="AZ737">IF($F737&lt;&gt;"", XLOOKUP($F737,Productos!$A$2:$A1001,Productos!AS$2:AS1001,"")*$G737,"")</f>
        <v/>
      </c>
      <c r="BA737" s="179" t="str">
        <f t="array" ref="BA737">IF($F737&lt;&gt;"",XLOOKUP($F737,Productos!$A:$A,Productos!AT:AT,"Revisar"),"")</f>
        <v/>
      </c>
      <c r="BB737" s="179" t="str">
        <f t="array" ref="BB737">IF($F737&lt;&gt;"", XLOOKUP($F737,Productos!$A$2:$A1001,Productos!AU$2:AU1001,"")*$G737,"")</f>
        <v/>
      </c>
      <c r="BC737" s="179" t="str">
        <f t="array" ref="BC737">IF($F737&lt;&gt;"",XLOOKUP($F737,Productos!$A:$A,Productos!AV:AV,"Revisar"),"")</f>
        <v/>
      </c>
      <c r="BD737" s="179" t="str">
        <f t="array" ref="BD737">IF($F737&lt;&gt;"", XLOOKUP($F737,Productos!$A$2:$A1001,Productos!AW$2:AW1001,"")*$G737,"")</f>
        <v/>
      </c>
      <c r="BE737" s="179" t="str">
        <f t="array" ref="BE737">IF($F737&lt;&gt;"",XLOOKUP($F737,Productos!$A:$A,Productos!AX:AX,"Revisar"),"")</f>
        <v/>
      </c>
      <c r="BF737" s="179" t="str">
        <f t="array" ref="BF737">IF($F737&lt;&gt;"", XLOOKUP($F737,Productos!$A$2:$A1001,Productos!AY$2:AY1001,"")*$G737,"")</f>
        <v/>
      </c>
      <c r="BG737" s="179" t="str">
        <f t="array" ref="BG737">IF($F737&lt;&gt;"",XLOOKUP($F737,Productos!$A:$A,Productos!AZ:AZ,"Revisar"),"")</f>
        <v/>
      </c>
      <c r="BH737" s="179" t="str">
        <f t="array" ref="BH737">IF($F737&lt;&gt;"", XLOOKUP($F737,Productos!$A$2:$A1001,Productos!BA$2:BA1001,"")*$G737,"")</f>
        <v/>
      </c>
      <c r="BI737" s="179" t="str">
        <f t="array" ref="BI737">IF($F737&lt;&gt;"",XLOOKUP($F737,Productos!$A:$A,Productos!BB:BB,"Revisar"),"")</f>
        <v/>
      </c>
      <c r="BJ737" s="179" t="str">
        <f t="array" ref="BJ737">IF($F737&lt;&gt;"", XLOOKUP($F737,Productos!$A$2:$A1001,Productos!BC$2:BC1001,"")*$G737,"")</f>
        <v/>
      </c>
      <c r="BK737" s="179" t="str">
        <f t="array" ref="BK737">IF($F737&lt;&gt;"",XLOOKUP($F737,Productos!$A:$A,Productos!BD:BD,"Revisar"),"")</f>
        <v/>
      </c>
      <c r="BL737" s="179" t="str">
        <f t="array" ref="BL737">IF($F737&lt;&gt;"", XLOOKUP($F737,Productos!$A$2:$A1001,Productos!BE$2:BE1001,"")*$G737,"")</f>
        <v/>
      </c>
      <c r="BM737" s="179" t="str">
        <f t="array" ref="BM737">IF($F737&lt;&gt;"",XLOOKUP($F737,Productos!$A:$A,Productos!BF:BF,"Revisar"),"")</f>
        <v/>
      </c>
      <c r="BN737" s="179" t="str">
        <f t="array" ref="BN737">IF($F737&lt;&gt;"", XLOOKUP($F737,Productos!$A$2:$A1001,Productos!BG$2:BG1001,"")*$G737,"")</f>
        <v/>
      </c>
      <c r="BO737" s="179" t="str">
        <f t="array" ref="BO737">IF($F737&lt;&gt;"",XLOOKUP($F737,Productos!$A:$A,Productos!BH:BH,"Revisar"),"")</f>
        <v/>
      </c>
      <c r="BP737" s="179" t="str">
        <f t="array" ref="BP737">IF($F737&lt;&gt;"", XLOOKUP($F737,Productos!$A$2:$A1001,Productos!BI$2:BI1001,"")*$G737,"")</f>
        <v/>
      </c>
      <c r="BQ737" s="179" t="str">
        <f t="array" ref="BQ737">IF($F737&lt;&gt;"",XLOOKUP($F737,Productos!$A:$A,Productos!BJ:BJ,"Revisar"),"")</f>
        <v/>
      </c>
      <c r="BR737" s="179" t="str">
        <f t="array" ref="BR737">IF($F737&lt;&gt;"", XLOOKUP($F737,Productos!$A$2:$A1001,Productos!BK$2:BK1001,"")*$G737,"")</f>
        <v/>
      </c>
      <c r="BS737" s="179" t="str">
        <f t="array" ref="BS737">IF($F737&lt;&gt;"",XLOOKUP($F737,Productos!$A:$A,Productos!BL:BL,"Revisar"),"")</f>
        <v/>
      </c>
      <c r="BT737" s="179" t="str">
        <f t="array" ref="BT737">IF($F737&lt;&gt;"", XLOOKUP($F737,Productos!$A$2:$A1001,Productos!BM$2:BM1001,"")*$G737,"")</f>
        <v/>
      </c>
      <c r="BU737" s="179" t="str">
        <f t="array" ref="BU737">IF($F737&lt;&gt;"",XLOOKUP($F737,Productos!$A:$A,Productos!BN:BN,"Revisar"),"")</f>
        <v/>
      </c>
      <c r="BV737" s="179" t="str">
        <f t="array" ref="BV737">IF($F737&lt;&gt;"", XLOOKUP($F737,Productos!$A$2:$A1001,Productos!BO$2:BO1001,"")*$G737,"")</f>
        <v/>
      </c>
      <c r="BW737" s="179" t="str">
        <f t="array" ref="BW737">IF($F737&lt;&gt;"",XLOOKUP($F737,Productos!$A:$A,Productos!BP:BP,"Revisar"),"")</f>
        <v/>
      </c>
      <c r="BX737" s="179" t="str">
        <f t="array" ref="BX737">IF($F737&lt;&gt;"", XLOOKUP($F737,Productos!$A$2:$A1001,Productos!BQ$2:BQ1001,"")*$G737,"")</f>
        <v/>
      </c>
      <c r="BY737" s="179" t="str">
        <f t="array" ref="BY737">IF($F737&lt;&gt;"",XLOOKUP($F737,Productos!$A:$A,Productos!BR:BR,"Revisar"),"")</f>
        <v/>
      </c>
      <c r="BZ737" s="179" t="str">
        <f t="array" ref="BZ737">IF($F737&lt;&gt;"", XLOOKUP($F737,Productos!$A$2:$A1001,Productos!BS$2:BS1001,"")*$G737,"")</f>
        <v/>
      </c>
    </row>
    <row r="738">
      <c r="A738" s="188"/>
      <c r="B738" s="189"/>
      <c r="C738" s="190"/>
      <c r="D738" s="190"/>
      <c r="E738" s="191"/>
      <c r="F738" s="186"/>
      <c r="G738" s="192"/>
      <c r="H738" s="9"/>
      <c r="I738" s="179" t="str">
        <f t="array" ref="I738">IF($F738&lt;&gt;"",XLOOKUP($F738,Productos!$A:$A,Productos!B:B,"Revisar"),"")</f>
        <v/>
      </c>
      <c r="J738" s="179" t="str">
        <f t="array" ref="J738">IF($F738&lt;&gt;"", XLOOKUP($F738,Productos!$A$2:$A1001,Productos!C$2:C1001,"")*$G738,"")</f>
        <v/>
      </c>
      <c r="K738" s="179" t="str">
        <f t="array" ref="K738">IF($F738&lt;&gt;"",XLOOKUP($F738,Productos!$A:$A,Productos!D:D,"Revisar"),"")</f>
        <v/>
      </c>
      <c r="L738" s="179" t="str">
        <f t="array" ref="L738">IF($F738&lt;&gt;"", XLOOKUP($F738,Productos!$A$2:$A1001,Productos!E$2:E1001,"")*$G738,"")</f>
        <v/>
      </c>
      <c r="M738" s="179" t="str">
        <f t="array" ref="M738">IF($F738&lt;&gt;"",XLOOKUP($F738,Productos!$A:$A,Productos!F:F,"Revisar"),"")</f>
        <v/>
      </c>
      <c r="N738" s="179" t="str">
        <f t="array" ref="N738">IF($F738&lt;&gt;"", XLOOKUP($F738,Productos!$A$2:$A1001,Productos!G$2:G1001,"")*$G738,"")</f>
        <v/>
      </c>
      <c r="O738" s="179" t="str">
        <f t="array" ref="O738">IF($F738&lt;&gt;"",XLOOKUP($F738,Productos!$A:$A,Productos!H:H,"Revisar"),"")</f>
        <v/>
      </c>
      <c r="P738" s="179" t="str">
        <f t="array" ref="P738">IF($F738&lt;&gt;"", XLOOKUP($F738,Productos!$A$2:$A1001,Productos!I$2:I1001,"")*$G738,"")</f>
        <v/>
      </c>
      <c r="Q738" s="179" t="str">
        <f t="array" ref="Q738">IF($F738&lt;&gt;"",XLOOKUP($F738,Productos!$A:$A,Productos!J:J,"Revisar"),"")</f>
        <v/>
      </c>
      <c r="R738" s="179" t="str">
        <f t="array" ref="R738">IF($F738&lt;&gt;"", XLOOKUP($F738,Productos!$A$2:$A1001,Productos!K$2:K1001,"")*$G738,"")</f>
        <v/>
      </c>
      <c r="S738" s="179" t="str">
        <f t="array" ref="S738">IF($F738&lt;&gt;"",XLOOKUP($F738,Productos!$A:$A,Productos!L:L,"Revisar"),"")</f>
        <v/>
      </c>
      <c r="T738" s="179" t="str">
        <f t="array" ref="T738">IF($F738&lt;&gt;"", XLOOKUP($F738,Productos!$A$2:$A1001,Productos!M$2:M1001,"")*$G738,"")</f>
        <v/>
      </c>
      <c r="U738" s="179" t="str">
        <f t="array" ref="U738">IF($F738&lt;&gt;"",XLOOKUP($F738,Productos!$A:$A,Productos!N:N,"Revisar"),"")</f>
        <v/>
      </c>
      <c r="V738" s="179" t="str">
        <f t="array" ref="V738">IF($F738&lt;&gt;"", XLOOKUP($F738,Productos!$A$2:$A1001,Productos!O$2:O1001,"")*$G738,"")</f>
        <v/>
      </c>
      <c r="W738" s="179" t="str">
        <f t="array" ref="W738">IF($F738&lt;&gt;"",XLOOKUP($F738,Productos!$A:$A,Productos!P:P,"Revisar"),"")</f>
        <v/>
      </c>
      <c r="X738" s="179" t="str">
        <f t="array" ref="X738">IF($F738&lt;&gt;"", XLOOKUP($F738,Productos!$A$2:$A1001,Productos!Q$2:Q1001,"")*$G738,"")</f>
        <v/>
      </c>
      <c r="Y738" s="179" t="str">
        <f t="array" ref="Y738">IF($F738&lt;&gt;"",XLOOKUP($F738,Productos!$A:$A,Productos!R:R,"Revisar"),"")</f>
        <v/>
      </c>
      <c r="Z738" s="179" t="str">
        <f t="array" ref="Z738">IF($F738&lt;&gt;"", XLOOKUP($F738,Productos!$A$2:$A1001,Productos!S$2:S1001,"")*$G738,"")</f>
        <v/>
      </c>
      <c r="AA738" s="179" t="str">
        <f t="array" ref="AA738">IF($F738&lt;&gt;"",XLOOKUP($F738,Productos!$A:$A,Productos!T:T,"Revisar"),"")</f>
        <v/>
      </c>
      <c r="AB738" s="179" t="str">
        <f t="array" ref="AB738">IF($F738&lt;&gt;"", XLOOKUP($F738,Productos!$A$2:$A1001,Productos!U$2:U1001,"")*$G738,"")</f>
        <v/>
      </c>
      <c r="AC738" s="179" t="str">
        <f t="array" ref="AC738">IF($F738&lt;&gt;"",XLOOKUP($F738,Productos!$A:$A,Productos!V:V,"Revisar"),"")</f>
        <v/>
      </c>
      <c r="AD738" s="179" t="str">
        <f t="array" ref="AD738">IF($F738&lt;&gt;"", XLOOKUP($F738,Productos!$A$2:$A1001,Productos!W$2:W1001,"")*$G738,"")</f>
        <v/>
      </c>
      <c r="AE738" s="179" t="str">
        <f t="array" ref="AE738">IF($F738&lt;&gt;"",XLOOKUP($F738,Productos!$A:$A,Productos!X:X,"Revisar"),"")</f>
        <v/>
      </c>
      <c r="AF738" s="179" t="str">
        <f t="array" ref="AF738">IF($F738&lt;&gt;"", XLOOKUP($F738,Productos!$A$2:$A1001,Productos!Y$2:Y1001,"")*$G738,"")</f>
        <v/>
      </c>
      <c r="AG738" s="179" t="str">
        <f t="array" ref="AG738">IF($F738&lt;&gt;"",XLOOKUP($F738,Productos!$A:$A,Productos!Z:Z,"Revisar"),"")</f>
        <v/>
      </c>
      <c r="AH738" s="179" t="str">
        <f t="array" ref="AH738">IF($F738&lt;&gt;"", XLOOKUP($F738,Productos!$A$2:$A1001,Productos!AA$2:AA1001,"")*$G738,"")</f>
        <v/>
      </c>
      <c r="AI738" s="179" t="str">
        <f t="array" ref="AI738">IF($F738&lt;&gt;"",XLOOKUP($F738,Productos!$A:$A,Productos!AB:AB,"Revisar"),"")</f>
        <v/>
      </c>
      <c r="AJ738" s="179" t="str">
        <f t="array" ref="AJ738">IF($F738&lt;&gt;"", XLOOKUP($F738,Productos!$A$2:$A1001,Productos!AC$2:AC1001,"")*$G738,"")</f>
        <v/>
      </c>
      <c r="AK738" s="179" t="str">
        <f t="array" ref="AK738">IF($F738&lt;&gt;"",XLOOKUP($F738,Productos!$A:$A,Productos!AD:AD,"Revisar"),"")</f>
        <v/>
      </c>
      <c r="AL738" s="179" t="str">
        <f t="array" ref="AL738">IF($F738&lt;&gt;"", XLOOKUP($F738,Productos!$A$2:$A1001,Productos!AE$2:AE1001,"")*$G738,"")</f>
        <v/>
      </c>
      <c r="AM738" s="179" t="str">
        <f t="array" ref="AM738">IF($F738&lt;&gt;"",XLOOKUP($F738,Productos!$A:$A,Productos!AF:AF,"Revisar"),"")</f>
        <v/>
      </c>
      <c r="AN738" s="179" t="str">
        <f t="array" ref="AN738">IF($F738&lt;&gt;"", XLOOKUP($F738,Productos!$A$2:$A1001,Productos!AG$2:AG1001,"")*$G738,"")</f>
        <v/>
      </c>
      <c r="AO738" s="179" t="str">
        <f t="array" ref="AO738">IF($F738&lt;&gt;"",XLOOKUP($F738,Productos!$A:$A,Productos!AH:AH,"Revisar"),"")</f>
        <v/>
      </c>
      <c r="AP738" s="179" t="str">
        <f t="array" ref="AP738">IF($F738&lt;&gt;"", XLOOKUP($F738,Productos!$A$2:$A1001,Productos!AI$2:AI1001,"")*$G738,"")</f>
        <v/>
      </c>
      <c r="AQ738" s="179" t="str">
        <f t="array" ref="AQ738">IF($F738&lt;&gt;"",XLOOKUP($F738,Productos!$A:$A,Productos!AJ:AJ,"Revisar"),"")</f>
        <v/>
      </c>
      <c r="AR738" s="179" t="str">
        <f t="array" ref="AR738">IF($F738&lt;&gt;"", XLOOKUP($F738,Productos!$A$2:$A1001,Productos!AK$2:AK1001,"")*$G738,"")</f>
        <v/>
      </c>
      <c r="AS738" s="179" t="str">
        <f t="array" ref="AS738">IF($F738&lt;&gt;"",XLOOKUP($F738,Productos!$A:$A,Productos!AL:AL,"Revisar"),"")</f>
        <v/>
      </c>
      <c r="AT738" s="179" t="str">
        <f t="array" ref="AT738">IF($F738&lt;&gt;"", XLOOKUP($F738,Productos!$A$2:$A1001,Productos!AM$2:AM1001,"")*$G738,"")</f>
        <v/>
      </c>
      <c r="AU738" s="179" t="str">
        <f t="array" ref="AU738">IF($F738&lt;&gt;"",XLOOKUP($F738,Productos!$A:$A,Productos!AN:AN,"Revisar"),"")</f>
        <v/>
      </c>
      <c r="AV738" s="179" t="str">
        <f t="array" ref="AV738">IF($F738&lt;&gt;"", XLOOKUP($F738,Productos!$A$2:$A1001,Productos!AO$2:AO1001,"")*$G738,"")</f>
        <v/>
      </c>
      <c r="AW738" s="179" t="str">
        <f t="array" ref="AW738">IF($F738&lt;&gt;"",XLOOKUP($F738,Productos!$A:$A,Productos!AP:AP,"Revisar"),"")</f>
        <v/>
      </c>
      <c r="AX738" s="179" t="str">
        <f t="array" ref="AX738">IF($F738&lt;&gt;"", XLOOKUP($F738,Productos!$A$2:$A1001,Productos!AQ$2:AQ1001,"")*$G738,"")</f>
        <v/>
      </c>
      <c r="AY738" s="179" t="str">
        <f t="array" ref="AY738">IF($F738&lt;&gt;"",XLOOKUP($F738,Productos!$A:$A,Productos!AR:AR,"Revisar"),"")</f>
        <v/>
      </c>
      <c r="AZ738" s="179" t="str">
        <f t="array" ref="AZ738">IF($F738&lt;&gt;"", XLOOKUP($F738,Productos!$A$2:$A1001,Productos!AS$2:AS1001,"")*$G738,"")</f>
        <v/>
      </c>
      <c r="BA738" s="179" t="str">
        <f t="array" ref="BA738">IF($F738&lt;&gt;"",XLOOKUP($F738,Productos!$A:$A,Productos!AT:AT,"Revisar"),"")</f>
        <v/>
      </c>
      <c r="BB738" s="179" t="str">
        <f t="array" ref="BB738">IF($F738&lt;&gt;"", XLOOKUP($F738,Productos!$A$2:$A1001,Productos!AU$2:AU1001,"")*$G738,"")</f>
        <v/>
      </c>
      <c r="BC738" s="179" t="str">
        <f t="array" ref="BC738">IF($F738&lt;&gt;"",XLOOKUP($F738,Productos!$A:$A,Productos!AV:AV,"Revisar"),"")</f>
        <v/>
      </c>
      <c r="BD738" s="179" t="str">
        <f t="array" ref="BD738">IF($F738&lt;&gt;"", XLOOKUP($F738,Productos!$A$2:$A1001,Productos!AW$2:AW1001,"")*$G738,"")</f>
        <v/>
      </c>
      <c r="BE738" s="179" t="str">
        <f t="array" ref="BE738">IF($F738&lt;&gt;"",XLOOKUP($F738,Productos!$A:$A,Productos!AX:AX,"Revisar"),"")</f>
        <v/>
      </c>
      <c r="BF738" s="179" t="str">
        <f t="array" ref="BF738">IF($F738&lt;&gt;"", XLOOKUP($F738,Productos!$A$2:$A1001,Productos!AY$2:AY1001,"")*$G738,"")</f>
        <v/>
      </c>
      <c r="BG738" s="179" t="str">
        <f t="array" ref="BG738">IF($F738&lt;&gt;"",XLOOKUP($F738,Productos!$A:$A,Productos!AZ:AZ,"Revisar"),"")</f>
        <v/>
      </c>
      <c r="BH738" s="179" t="str">
        <f t="array" ref="BH738">IF($F738&lt;&gt;"", XLOOKUP($F738,Productos!$A$2:$A1001,Productos!BA$2:BA1001,"")*$G738,"")</f>
        <v/>
      </c>
      <c r="BI738" s="179" t="str">
        <f t="array" ref="BI738">IF($F738&lt;&gt;"",XLOOKUP($F738,Productos!$A:$A,Productos!BB:BB,"Revisar"),"")</f>
        <v/>
      </c>
      <c r="BJ738" s="179" t="str">
        <f t="array" ref="BJ738">IF($F738&lt;&gt;"", XLOOKUP($F738,Productos!$A$2:$A1001,Productos!BC$2:BC1001,"")*$G738,"")</f>
        <v/>
      </c>
      <c r="BK738" s="179" t="str">
        <f t="array" ref="BK738">IF($F738&lt;&gt;"",XLOOKUP($F738,Productos!$A:$A,Productos!BD:BD,"Revisar"),"")</f>
        <v/>
      </c>
      <c r="BL738" s="179" t="str">
        <f t="array" ref="BL738">IF($F738&lt;&gt;"", XLOOKUP($F738,Productos!$A$2:$A1001,Productos!BE$2:BE1001,"")*$G738,"")</f>
        <v/>
      </c>
      <c r="BM738" s="179" t="str">
        <f t="array" ref="BM738">IF($F738&lt;&gt;"",XLOOKUP($F738,Productos!$A:$A,Productos!BF:BF,"Revisar"),"")</f>
        <v/>
      </c>
      <c r="BN738" s="179" t="str">
        <f t="array" ref="BN738">IF($F738&lt;&gt;"", XLOOKUP($F738,Productos!$A$2:$A1001,Productos!BG$2:BG1001,"")*$G738,"")</f>
        <v/>
      </c>
      <c r="BO738" s="179" t="str">
        <f t="array" ref="BO738">IF($F738&lt;&gt;"",XLOOKUP($F738,Productos!$A:$A,Productos!BH:BH,"Revisar"),"")</f>
        <v/>
      </c>
      <c r="BP738" s="179" t="str">
        <f t="array" ref="BP738">IF($F738&lt;&gt;"", XLOOKUP($F738,Productos!$A$2:$A1001,Productos!BI$2:BI1001,"")*$G738,"")</f>
        <v/>
      </c>
      <c r="BQ738" s="179" t="str">
        <f t="array" ref="BQ738">IF($F738&lt;&gt;"",XLOOKUP($F738,Productos!$A:$A,Productos!BJ:BJ,"Revisar"),"")</f>
        <v/>
      </c>
      <c r="BR738" s="179" t="str">
        <f t="array" ref="BR738">IF($F738&lt;&gt;"", XLOOKUP($F738,Productos!$A$2:$A1001,Productos!BK$2:BK1001,"")*$G738,"")</f>
        <v/>
      </c>
      <c r="BS738" s="179" t="str">
        <f t="array" ref="BS738">IF($F738&lt;&gt;"",XLOOKUP($F738,Productos!$A:$A,Productos!BL:BL,"Revisar"),"")</f>
        <v/>
      </c>
      <c r="BT738" s="179" t="str">
        <f t="array" ref="BT738">IF($F738&lt;&gt;"", XLOOKUP($F738,Productos!$A$2:$A1001,Productos!BM$2:BM1001,"")*$G738,"")</f>
        <v/>
      </c>
      <c r="BU738" s="179" t="str">
        <f t="array" ref="BU738">IF($F738&lt;&gt;"",XLOOKUP($F738,Productos!$A:$A,Productos!BN:BN,"Revisar"),"")</f>
        <v/>
      </c>
      <c r="BV738" s="179" t="str">
        <f t="array" ref="BV738">IF($F738&lt;&gt;"", XLOOKUP($F738,Productos!$A$2:$A1001,Productos!BO$2:BO1001,"")*$G738,"")</f>
        <v/>
      </c>
      <c r="BW738" s="179" t="str">
        <f t="array" ref="BW738">IF($F738&lt;&gt;"",XLOOKUP($F738,Productos!$A:$A,Productos!BP:BP,"Revisar"),"")</f>
        <v/>
      </c>
      <c r="BX738" s="179" t="str">
        <f t="array" ref="BX738">IF($F738&lt;&gt;"", XLOOKUP($F738,Productos!$A$2:$A1001,Productos!BQ$2:BQ1001,"")*$G738,"")</f>
        <v/>
      </c>
      <c r="BY738" s="179" t="str">
        <f t="array" ref="BY738">IF($F738&lt;&gt;"",XLOOKUP($F738,Productos!$A:$A,Productos!BR:BR,"Revisar"),"")</f>
        <v/>
      </c>
      <c r="BZ738" s="179" t="str">
        <f t="array" ref="BZ738">IF($F738&lt;&gt;"", XLOOKUP($F738,Productos!$A$2:$A1001,Productos!BS$2:BS1001,"")*$G738,"")</f>
        <v/>
      </c>
    </row>
    <row r="739">
      <c r="A739" s="188"/>
      <c r="B739" s="189"/>
      <c r="C739" s="190"/>
      <c r="D739" s="190"/>
      <c r="E739" s="191"/>
      <c r="F739" s="186"/>
      <c r="G739" s="192"/>
      <c r="H739" s="9"/>
      <c r="I739" s="179" t="str">
        <f t="array" ref="I739">IF($F739&lt;&gt;"",XLOOKUP($F739,Productos!$A:$A,Productos!B:B,"Revisar"),"")</f>
        <v/>
      </c>
      <c r="J739" s="179" t="str">
        <f t="array" ref="J739">IF($F739&lt;&gt;"", XLOOKUP($F739,Productos!$A$2:$A1001,Productos!C$2:C1001,"")*$G739,"")</f>
        <v/>
      </c>
      <c r="K739" s="179" t="str">
        <f t="array" ref="K739">IF($F739&lt;&gt;"",XLOOKUP($F739,Productos!$A:$A,Productos!D:D,"Revisar"),"")</f>
        <v/>
      </c>
      <c r="L739" s="179" t="str">
        <f t="array" ref="L739">IF($F739&lt;&gt;"", XLOOKUP($F739,Productos!$A$2:$A1001,Productos!E$2:E1001,"")*$G739,"")</f>
        <v/>
      </c>
      <c r="M739" s="179" t="str">
        <f t="array" ref="M739">IF($F739&lt;&gt;"",XLOOKUP($F739,Productos!$A:$A,Productos!F:F,"Revisar"),"")</f>
        <v/>
      </c>
      <c r="N739" s="179" t="str">
        <f t="array" ref="N739">IF($F739&lt;&gt;"", XLOOKUP($F739,Productos!$A$2:$A1001,Productos!G$2:G1001,"")*$G739,"")</f>
        <v/>
      </c>
      <c r="O739" s="179" t="str">
        <f t="array" ref="O739">IF($F739&lt;&gt;"",XLOOKUP($F739,Productos!$A:$A,Productos!H:H,"Revisar"),"")</f>
        <v/>
      </c>
      <c r="P739" s="179" t="str">
        <f t="array" ref="P739">IF($F739&lt;&gt;"", XLOOKUP($F739,Productos!$A$2:$A1001,Productos!I$2:I1001,"")*$G739,"")</f>
        <v/>
      </c>
      <c r="Q739" s="179" t="str">
        <f t="array" ref="Q739">IF($F739&lt;&gt;"",XLOOKUP($F739,Productos!$A:$A,Productos!J:J,"Revisar"),"")</f>
        <v/>
      </c>
      <c r="R739" s="179" t="str">
        <f t="array" ref="R739">IF($F739&lt;&gt;"", XLOOKUP($F739,Productos!$A$2:$A1001,Productos!K$2:K1001,"")*$G739,"")</f>
        <v/>
      </c>
      <c r="S739" s="179" t="str">
        <f t="array" ref="S739">IF($F739&lt;&gt;"",XLOOKUP($F739,Productos!$A:$A,Productos!L:L,"Revisar"),"")</f>
        <v/>
      </c>
      <c r="T739" s="179" t="str">
        <f t="array" ref="T739">IF($F739&lt;&gt;"", XLOOKUP($F739,Productos!$A$2:$A1001,Productos!M$2:M1001,"")*$G739,"")</f>
        <v/>
      </c>
      <c r="U739" s="179" t="str">
        <f t="array" ref="U739">IF($F739&lt;&gt;"",XLOOKUP($F739,Productos!$A:$A,Productos!N:N,"Revisar"),"")</f>
        <v/>
      </c>
      <c r="V739" s="179" t="str">
        <f t="array" ref="V739">IF($F739&lt;&gt;"", XLOOKUP($F739,Productos!$A$2:$A1001,Productos!O$2:O1001,"")*$G739,"")</f>
        <v/>
      </c>
      <c r="W739" s="179" t="str">
        <f t="array" ref="W739">IF($F739&lt;&gt;"",XLOOKUP($F739,Productos!$A:$A,Productos!P:P,"Revisar"),"")</f>
        <v/>
      </c>
      <c r="X739" s="179" t="str">
        <f t="array" ref="X739">IF($F739&lt;&gt;"", XLOOKUP($F739,Productos!$A$2:$A1001,Productos!Q$2:Q1001,"")*$G739,"")</f>
        <v/>
      </c>
      <c r="Y739" s="179" t="str">
        <f t="array" ref="Y739">IF($F739&lt;&gt;"",XLOOKUP($F739,Productos!$A:$A,Productos!R:R,"Revisar"),"")</f>
        <v/>
      </c>
      <c r="Z739" s="179" t="str">
        <f t="array" ref="Z739">IF($F739&lt;&gt;"", XLOOKUP($F739,Productos!$A$2:$A1001,Productos!S$2:S1001,"")*$G739,"")</f>
        <v/>
      </c>
      <c r="AA739" s="179" t="str">
        <f t="array" ref="AA739">IF($F739&lt;&gt;"",XLOOKUP($F739,Productos!$A:$A,Productos!T:T,"Revisar"),"")</f>
        <v/>
      </c>
      <c r="AB739" s="179" t="str">
        <f t="array" ref="AB739">IF($F739&lt;&gt;"", XLOOKUP($F739,Productos!$A$2:$A1001,Productos!U$2:U1001,"")*$G739,"")</f>
        <v/>
      </c>
      <c r="AC739" s="179" t="str">
        <f t="array" ref="AC739">IF($F739&lt;&gt;"",XLOOKUP($F739,Productos!$A:$A,Productos!V:V,"Revisar"),"")</f>
        <v/>
      </c>
      <c r="AD739" s="179" t="str">
        <f t="array" ref="AD739">IF($F739&lt;&gt;"", XLOOKUP($F739,Productos!$A$2:$A1001,Productos!W$2:W1001,"")*$G739,"")</f>
        <v/>
      </c>
      <c r="AE739" s="179" t="str">
        <f t="array" ref="AE739">IF($F739&lt;&gt;"",XLOOKUP($F739,Productos!$A:$A,Productos!X:X,"Revisar"),"")</f>
        <v/>
      </c>
      <c r="AF739" s="179" t="str">
        <f t="array" ref="AF739">IF($F739&lt;&gt;"", XLOOKUP($F739,Productos!$A$2:$A1001,Productos!Y$2:Y1001,"")*$G739,"")</f>
        <v/>
      </c>
      <c r="AG739" s="179" t="str">
        <f t="array" ref="AG739">IF($F739&lt;&gt;"",XLOOKUP($F739,Productos!$A:$A,Productos!Z:Z,"Revisar"),"")</f>
        <v/>
      </c>
      <c r="AH739" s="179" t="str">
        <f t="array" ref="AH739">IF($F739&lt;&gt;"", XLOOKUP($F739,Productos!$A$2:$A1001,Productos!AA$2:AA1001,"")*$G739,"")</f>
        <v/>
      </c>
      <c r="AI739" s="179" t="str">
        <f t="array" ref="AI739">IF($F739&lt;&gt;"",XLOOKUP($F739,Productos!$A:$A,Productos!AB:AB,"Revisar"),"")</f>
        <v/>
      </c>
      <c r="AJ739" s="179" t="str">
        <f t="array" ref="AJ739">IF($F739&lt;&gt;"", XLOOKUP($F739,Productos!$A$2:$A1001,Productos!AC$2:AC1001,"")*$G739,"")</f>
        <v/>
      </c>
      <c r="AK739" s="179" t="str">
        <f t="array" ref="AK739">IF($F739&lt;&gt;"",XLOOKUP($F739,Productos!$A:$A,Productos!AD:AD,"Revisar"),"")</f>
        <v/>
      </c>
      <c r="AL739" s="179" t="str">
        <f t="array" ref="AL739">IF($F739&lt;&gt;"", XLOOKUP($F739,Productos!$A$2:$A1001,Productos!AE$2:AE1001,"")*$G739,"")</f>
        <v/>
      </c>
      <c r="AM739" s="179" t="str">
        <f t="array" ref="AM739">IF($F739&lt;&gt;"",XLOOKUP($F739,Productos!$A:$A,Productos!AF:AF,"Revisar"),"")</f>
        <v/>
      </c>
      <c r="AN739" s="179" t="str">
        <f t="array" ref="AN739">IF($F739&lt;&gt;"", XLOOKUP($F739,Productos!$A$2:$A1001,Productos!AG$2:AG1001,"")*$G739,"")</f>
        <v/>
      </c>
      <c r="AO739" s="179" t="str">
        <f t="array" ref="AO739">IF($F739&lt;&gt;"",XLOOKUP($F739,Productos!$A:$A,Productos!AH:AH,"Revisar"),"")</f>
        <v/>
      </c>
      <c r="AP739" s="179" t="str">
        <f t="array" ref="AP739">IF($F739&lt;&gt;"", XLOOKUP($F739,Productos!$A$2:$A1001,Productos!AI$2:AI1001,"")*$G739,"")</f>
        <v/>
      </c>
      <c r="AQ739" s="179" t="str">
        <f t="array" ref="AQ739">IF($F739&lt;&gt;"",XLOOKUP($F739,Productos!$A:$A,Productos!AJ:AJ,"Revisar"),"")</f>
        <v/>
      </c>
      <c r="AR739" s="179" t="str">
        <f t="array" ref="AR739">IF($F739&lt;&gt;"", XLOOKUP($F739,Productos!$A$2:$A1001,Productos!AK$2:AK1001,"")*$G739,"")</f>
        <v/>
      </c>
      <c r="AS739" s="179" t="str">
        <f t="array" ref="AS739">IF($F739&lt;&gt;"",XLOOKUP($F739,Productos!$A:$A,Productos!AL:AL,"Revisar"),"")</f>
        <v/>
      </c>
      <c r="AT739" s="179" t="str">
        <f t="array" ref="AT739">IF($F739&lt;&gt;"", XLOOKUP($F739,Productos!$A$2:$A1001,Productos!AM$2:AM1001,"")*$G739,"")</f>
        <v/>
      </c>
      <c r="AU739" s="179" t="str">
        <f t="array" ref="AU739">IF($F739&lt;&gt;"",XLOOKUP($F739,Productos!$A:$A,Productos!AN:AN,"Revisar"),"")</f>
        <v/>
      </c>
      <c r="AV739" s="179" t="str">
        <f t="array" ref="AV739">IF($F739&lt;&gt;"", XLOOKUP($F739,Productos!$A$2:$A1001,Productos!AO$2:AO1001,"")*$G739,"")</f>
        <v/>
      </c>
      <c r="AW739" s="179" t="str">
        <f t="array" ref="AW739">IF($F739&lt;&gt;"",XLOOKUP($F739,Productos!$A:$A,Productos!AP:AP,"Revisar"),"")</f>
        <v/>
      </c>
      <c r="AX739" s="179" t="str">
        <f t="array" ref="AX739">IF($F739&lt;&gt;"", XLOOKUP($F739,Productos!$A$2:$A1001,Productos!AQ$2:AQ1001,"")*$G739,"")</f>
        <v/>
      </c>
      <c r="AY739" s="179" t="str">
        <f t="array" ref="AY739">IF($F739&lt;&gt;"",XLOOKUP($F739,Productos!$A:$A,Productos!AR:AR,"Revisar"),"")</f>
        <v/>
      </c>
      <c r="AZ739" s="179" t="str">
        <f t="array" ref="AZ739">IF($F739&lt;&gt;"", XLOOKUP($F739,Productos!$A$2:$A1001,Productos!AS$2:AS1001,"")*$G739,"")</f>
        <v/>
      </c>
      <c r="BA739" s="179" t="str">
        <f t="array" ref="BA739">IF($F739&lt;&gt;"",XLOOKUP($F739,Productos!$A:$A,Productos!AT:AT,"Revisar"),"")</f>
        <v/>
      </c>
      <c r="BB739" s="179" t="str">
        <f t="array" ref="BB739">IF($F739&lt;&gt;"", XLOOKUP($F739,Productos!$A$2:$A1001,Productos!AU$2:AU1001,"")*$G739,"")</f>
        <v/>
      </c>
      <c r="BC739" s="179" t="str">
        <f t="array" ref="BC739">IF($F739&lt;&gt;"",XLOOKUP($F739,Productos!$A:$A,Productos!AV:AV,"Revisar"),"")</f>
        <v/>
      </c>
      <c r="BD739" s="179" t="str">
        <f t="array" ref="BD739">IF($F739&lt;&gt;"", XLOOKUP($F739,Productos!$A$2:$A1001,Productos!AW$2:AW1001,"")*$G739,"")</f>
        <v/>
      </c>
      <c r="BE739" s="179" t="str">
        <f t="array" ref="BE739">IF($F739&lt;&gt;"",XLOOKUP($F739,Productos!$A:$A,Productos!AX:AX,"Revisar"),"")</f>
        <v/>
      </c>
      <c r="BF739" s="179" t="str">
        <f t="array" ref="BF739">IF($F739&lt;&gt;"", XLOOKUP($F739,Productos!$A$2:$A1001,Productos!AY$2:AY1001,"")*$G739,"")</f>
        <v/>
      </c>
      <c r="BG739" s="179" t="str">
        <f t="array" ref="BG739">IF($F739&lt;&gt;"",XLOOKUP($F739,Productos!$A:$A,Productos!AZ:AZ,"Revisar"),"")</f>
        <v/>
      </c>
      <c r="BH739" s="179" t="str">
        <f t="array" ref="BH739">IF($F739&lt;&gt;"", XLOOKUP($F739,Productos!$A$2:$A1001,Productos!BA$2:BA1001,"")*$G739,"")</f>
        <v/>
      </c>
      <c r="BI739" s="179" t="str">
        <f t="array" ref="BI739">IF($F739&lt;&gt;"",XLOOKUP($F739,Productos!$A:$A,Productos!BB:BB,"Revisar"),"")</f>
        <v/>
      </c>
      <c r="BJ739" s="179" t="str">
        <f t="array" ref="BJ739">IF($F739&lt;&gt;"", XLOOKUP($F739,Productos!$A$2:$A1001,Productos!BC$2:BC1001,"")*$G739,"")</f>
        <v/>
      </c>
      <c r="BK739" s="179" t="str">
        <f t="array" ref="BK739">IF($F739&lt;&gt;"",XLOOKUP($F739,Productos!$A:$A,Productos!BD:BD,"Revisar"),"")</f>
        <v/>
      </c>
      <c r="BL739" s="179" t="str">
        <f t="array" ref="BL739">IF($F739&lt;&gt;"", XLOOKUP($F739,Productos!$A$2:$A1001,Productos!BE$2:BE1001,"")*$G739,"")</f>
        <v/>
      </c>
      <c r="BM739" s="179" t="str">
        <f t="array" ref="BM739">IF($F739&lt;&gt;"",XLOOKUP($F739,Productos!$A:$A,Productos!BF:BF,"Revisar"),"")</f>
        <v/>
      </c>
      <c r="BN739" s="179" t="str">
        <f t="array" ref="BN739">IF($F739&lt;&gt;"", XLOOKUP($F739,Productos!$A$2:$A1001,Productos!BG$2:BG1001,"")*$G739,"")</f>
        <v/>
      </c>
      <c r="BO739" s="179" t="str">
        <f t="array" ref="BO739">IF($F739&lt;&gt;"",XLOOKUP($F739,Productos!$A:$A,Productos!BH:BH,"Revisar"),"")</f>
        <v/>
      </c>
      <c r="BP739" s="179" t="str">
        <f t="array" ref="BP739">IF($F739&lt;&gt;"", XLOOKUP($F739,Productos!$A$2:$A1001,Productos!BI$2:BI1001,"")*$G739,"")</f>
        <v/>
      </c>
      <c r="BQ739" s="179" t="str">
        <f t="array" ref="BQ739">IF($F739&lt;&gt;"",XLOOKUP($F739,Productos!$A:$A,Productos!BJ:BJ,"Revisar"),"")</f>
        <v/>
      </c>
      <c r="BR739" s="179" t="str">
        <f t="array" ref="BR739">IF($F739&lt;&gt;"", XLOOKUP($F739,Productos!$A$2:$A1001,Productos!BK$2:BK1001,"")*$G739,"")</f>
        <v/>
      </c>
      <c r="BS739" s="179" t="str">
        <f t="array" ref="BS739">IF($F739&lt;&gt;"",XLOOKUP($F739,Productos!$A:$A,Productos!BL:BL,"Revisar"),"")</f>
        <v/>
      </c>
      <c r="BT739" s="179" t="str">
        <f t="array" ref="BT739">IF($F739&lt;&gt;"", XLOOKUP($F739,Productos!$A$2:$A1001,Productos!BM$2:BM1001,"")*$G739,"")</f>
        <v/>
      </c>
      <c r="BU739" s="179" t="str">
        <f t="array" ref="BU739">IF($F739&lt;&gt;"",XLOOKUP($F739,Productos!$A:$A,Productos!BN:BN,"Revisar"),"")</f>
        <v/>
      </c>
      <c r="BV739" s="179" t="str">
        <f t="array" ref="BV739">IF($F739&lt;&gt;"", XLOOKUP($F739,Productos!$A$2:$A1001,Productos!BO$2:BO1001,"")*$G739,"")</f>
        <v/>
      </c>
      <c r="BW739" s="179" t="str">
        <f t="array" ref="BW739">IF($F739&lt;&gt;"",XLOOKUP($F739,Productos!$A:$A,Productos!BP:BP,"Revisar"),"")</f>
        <v/>
      </c>
      <c r="BX739" s="179" t="str">
        <f t="array" ref="BX739">IF($F739&lt;&gt;"", XLOOKUP($F739,Productos!$A$2:$A1001,Productos!BQ$2:BQ1001,"")*$G739,"")</f>
        <v/>
      </c>
      <c r="BY739" s="179" t="str">
        <f t="array" ref="BY739">IF($F739&lt;&gt;"",XLOOKUP($F739,Productos!$A:$A,Productos!BR:BR,"Revisar"),"")</f>
        <v/>
      </c>
      <c r="BZ739" s="179" t="str">
        <f t="array" ref="BZ739">IF($F739&lt;&gt;"", XLOOKUP($F739,Productos!$A$2:$A1001,Productos!BS$2:BS1001,"")*$G739,"")</f>
        <v/>
      </c>
    </row>
    <row r="740">
      <c r="A740" s="188"/>
      <c r="B740" s="189"/>
      <c r="C740" s="190"/>
      <c r="D740" s="190"/>
      <c r="E740" s="191"/>
      <c r="F740" s="186"/>
      <c r="G740" s="192"/>
      <c r="H740" s="9"/>
      <c r="I740" s="179" t="str">
        <f t="array" ref="I740">IF($F740&lt;&gt;"",XLOOKUP($F740,Productos!$A:$A,Productos!B:B,"Revisar"),"")</f>
        <v/>
      </c>
      <c r="J740" s="179" t="str">
        <f t="array" ref="J740">IF($F740&lt;&gt;"", XLOOKUP($F740,Productos!$A$2:$A1001,Productos!C$2:C1001,"")*$G740,"")</f>
        <v/>
      </c>
      <c r="K740" s="179" t="str">
        <f t="array" ref="K740">IF($F740&lt;&gt;"",XLOOKUP($F740,Productos!$A:$A,Productos!D:D,"Revisar"),"")</f>
        <v/>
      </c>
      <c r="L740" s="179" t="str">
        <f t="array" ref="L740">IF($F740&lt;&gt;"", XLOOKUP($F740,Productos!$A$2:$A1001,Productos!E$2:E1001,"")*$G740,"")</f>
        <v/>
      </c>
      <c r="M740" s="179" t="str">
        <f t="array" ref="M740">IF($F740&lt;&gt;"",XLOOKUP($F740,Productos!$A:$A,Productos!F:F,"Revisar"),"")</f>
        <v/>
      </c>
      <c r="N740" s="179" t="str">
        <f t="array" ref="N740">IF($F740&lt;&gt;"", XLOOKUP($F740,Productos!$A$2:$A1001,Productos!G$2:G1001,"")*$G740,"")</f>
        <v/>
      </c>
      <c r="O740" s="179" t="str">
        <f t="array" ref="O740">IF($F740&lt;&gt;"",XLOOKUP($F740,Productos!$A:$A,Productos!H:H,"Revisar"),"")</f>
        <v/>
      </c>
      <c r="P740" s="179" t="str">
        <f t="array" ref="P740">IF($F740&lt;&gt;"", XLOOKUP($F740,Productos!$A$2:$A1001,Productos!I$2:I1001,"")*$G740,"")</f>
        <v/>
      </c>
      <c r="Q740" s="179" t="str">
        <f t="array" ref="Q740">IF($F740&lt;&gt;"",XLOOKUP($F740,Productos!$A:$A,Productos!J:J,"Revisar"),"")</f>
        <v/>
      </c>
      <c r="R740" s="179" t="str">
        <f t="array" ref="R740">IF($F740&lt;&gt;"", XLOOKUP($F740,Productos!$A$2:$A1001,Productos!K$2:K1001,"")*$G740,"")</f>
        <v/>
      </c>
      <c r="S740" s="179" t="str">
        <f t="array" ref="S740">IF($F740&lt;&gt;"",XLOOKUP($F740,Productos!$A:$A,Productos!L:L,"Revisar"),"")</f>
        <v/>
      </c>
      <c r="T740" s="179" t="str">
        <f t="array" ref="T740">IF($F740&lt;&gt;"", XLOOKUP($F740,Productos!$A$2:$A1001,Productos!M$2:M1001,"")*$G740,"")</f>
        <v/>
      </c>
      <c r="U740" s="179" t="str">
        <f t="array" ref="U740">IF($F740&lt;&gt;"",XLOOKUP($F740,Productos!$A:$A,Productos!N:N,"Revisar"),"")</f>
        <v/>
      </c>
      <c r="V740" s="179" t="str">
        <f t="array" ref="V740">IF($F740&lt;&gt;"", XLOOKUP($F740,Productos!$A$2:$A1001,Productos!O$2:O1001,"")*$G740,"")</f>
        <v/>
      </c>
      <c r="W740" s="179" t="str">
        <f t="array" ref="W740">IF($F740&lt;&gt;"",XLOOKUP($F740,Productos!$A:$A,Productos!P:P,"Revisar"),"")</f>
        <v/>
      </c>
      <c r="X740" s="179" t="str">
        <f t="array" ref="X740">IF($F740&lt;&gt;"", XLOOKUP($F740,Productos!$A$2:$A1001,Productos!Q$2:Q1001,"")*$G740,"")</f>
        <v/>
      </c>
      <c r="Y740" s="179" t="str">
        <f t="array" ref="Y740">IF($F740&lt;&gt;"",XLOOKUP($F740,Productos!$A:$A,Productos!R:R,"Revisar"),"")</f>
        <v/>
      </c>
      <c r="Z740" s="179" t="str">
        <f t="array" ref="Z740">IF($F740&lt;&gt;"", XLOOKUP($F740,Productos!$A$2:$A1001,Productos!S$2:S1001,"")*$G740,"")</f>
        <v/>
      </c>
      <c r="AA740" s="179" t="str">
        <f t="array" ref="AA740">IF($F740&lt;&gt;"",XLOOKUP($F740,Productos!$A:$A,Productos!T:T,"Revisar"),"")</f>
        <v/>
      </c>
      <c r="AB740" s="179" t="str">
        <f t="array" ref="AB740">IF($F740&lt;&gt;"", XLOOKUP($F740,Productos!$A$2:$A1001,Productos!U$2:U1001,"")*$G740,"")</f>
        <v/>
      </c>
      <c r="AC740" s="179" t="str">
        <f t="array" ref="AC740">IF($F740&lt;&gt;"",XLOOKUP($F740,Productos!$A:$A,Productos!V:V,"Revisar"),"")</f>
        <v/>
      </c>
      <c r="AD740" s="179" t="str">
        <f t="array" ref="AD740">IF($F740&lt;&gt;"", XLOOKUP($F740,Productos!$A$2:$A1001,Productos!W$2:W1001,"")*$G740,"")</f>
        <v/>
      </c>
      <c r="AE740" s="179" t="str">
        <f t="array" ref="AE740">IF($F740&lt;&gt;"",XLOOKUP($F740,Productos!$A:$A,Productos!X:X,"Revisar"),"")</f>
        <v/>
      </c>
      <c r="AF740" s="179" t="str">
        <f t="array" ref="AF740">IF($F740&lt;&gt;"", XLOOKUP($F740,Productos!$A$2:$A1001,Productos!Y$2:Y1001,"")*$G740,"")</f>
        <v/>
      </c>
      <c r="AG740" s="179" t="str">
        <f t="array" ref="AG740">IF($F740&lt;&gt;"",XLOOKUP($F740,Productos!$A:$A,Productos!Z:Z,"Revisar"),"")</f>
        <v/>
      </c>
      <c r="AH740" s="179" t="str">
        <f t="array" ref="AH740">IF($F740&lt;&gt;"", XLOOKUP($F740,Productos!$A$2:$A1001,Productos!AA$2:AA1001,"")*$G740,"")</f>
        <v/>
      </c>
      <c r="AI740" s="179" t="str">
        <f t="array" ref="AI740">IF($F740&lt;&gt;"",XLOOKUP($F740,Productos!$A:$A,Productos!AB:AB,"Revisar"),"")</f>
        <v/>
      </c>
      <c r="AJ740" s="179" t="str">
        <f t="array" ref="AJ740">IF($F740&lt;&gt;"", XLOOKUP($F740,Productos!$A$2:$A1001,Productos!AC$2:AC1001,"")*$G740,"")</f>
        <v/>
      </c>
      <c r="AK740" s="179" t="str">
        <f t="array" ref="AK740">IF($F740&lt;&gt;"",XLOOKUP($F740,Productos!$A:$A,Productos!AD:AD,"Revisar"),"")</f>
        <v/>
      </c>
      <c r="AL740" s="179" t="str">
        <f t="array" ref="AL740">IF($F740&lt;&gt;"", XLOOKUP($F740,Productos!$A$2:$A1001,Productos!AE$2:AE1001,"")*$G740,"")</f>
        <v/>
      </c>
      <c r="AM740" s="179" t="str">
        <f t="array" ref="AM740">IF($F740&lt;&gt;"",XLOOKUP($F740,Productos!$A:$A,Productos!AF:AF,"Revisar"),"")</f>
        <v/>
      </c>
      <c r="AN740" s="179" t="str">
        <f t="array" ref="AN740">IF($F740&lt;&gt;"", XLOOKUP($F740,Productos!$A$2:$A1001,Productos!AG$2:AG1001,"")*$G740,"")</f>
        <v/>
      </c>
      <c r="AO740" s="179" t="str">
        <f t="array" ref="AO740">IF($F740&lt;&gt;"",XLOOKUP($F740,Productos!$A:$A,Productos!AH:AH,"Revisar"),"")</f>
        <v/>
      </c>
      <c r="AP740" s="179" t="str">
        <f t="array" ref="AP740">IF($F740&lt;&gt;"", XLOOKUP($F740,Productos!$A$2:$A1001,Productos!AI$2:AI1001,"")*$G740,"")</f>
        <v/>
      </c>
      <c r="AQ740" s="179" t="str">
        <f t="array" ref="AQ740">IF($F740&lt;&gt;"",XLOOKUP($F740,Productos!$A:$A,Productos!AJ:AJ,"Revisar"),"")</f>
        <v/>
      </c>
      <c r="AR740" s="179" t="str">
        <f t="array" ref="AR740">IF($F740&lt;&gt;"", XLOOKUP($F740,Productos!$A$2:$A1001,Productos!AK$2:AK1001,"")*$G740,"")</f>
        <v/>
      </c>
      <c r="AS740" s="179" t="str">
        <f t="array" ref="AS740">IF($F740&lt;&gt;"",XLOOKUP($F740,Productos!$A:$A,Productos!AL:AL,"Revisar"),"")</f>
        <v/>
      </c>
      <c r="AT740" s="179" t="str">
        <f t="array" ref="AT740">IF($F740&lt;&gt;"", XLOOKUP($F740,Productos!$A$2:$A1001,Productos!AM$2:AM1001,"")*$G740,"")</f>
        <v/>
      </c>
      <c r="AU740" s="179" t="str">
        <f t="array" ref="AU740">IF($F740&lt;&gt;"",XLOOKUP($F740,Productos!$A:$A,Productos!AN:AN,"Revisar"),"")</f>
        <v/>
      </c>
      <c r="AV740" s="179" t="str">
        <f t="array" ref="AV740">IF($F740&lt;&gt;"", XLOOKUP($F740,Productos!$A$2:$A1001,Productos!AO$2:AO1001,"")*$G740,"")</f>
        <v/>
      </c>
      <c r="AW740" s="179" t="str">
        <f t="array" ref="AW740">IF($F740&lt;&gt;"",XLOOKUP($F740,Productos!$A:$A,Productos!AP:AP,"Revisar"),"")</f>
        <v/>
      </c>
      <c r="AX740" s="179" t="str">
        <f t="array" ref="AX740">IF($F740&lt;&gt;"", XLOOKUP($F740,Productos!$A$2:$A1001,Productos!AQ$2:AQ1001,"")*$G740,"")</f>
        <v/>
      </c>
      <c r="AY740" s="179" t="str">
        <f t="array" ref="AY740">IF($F740&lt;&gt;"",XLOOKUP($F740,Productos!$A:$A,Productos!AR:AR,"Revisar"),"")</f>
        <v/>
      </c>
      <c r="AZ740" s="179" t="str">
        <f t="array" ref="AZ740">IF($F740&lt;&gt;"", XLOOKUP($F740,Productos!$A$2:$A1001,Productos!AS$2:AS1001,"")*$G740,"")</f>
        <v/>
      </c>
      <c r="BA740" s="179" t="str">
        <f t="array" ref="BA740">IF($F740&lt;&gt;"",XLOOKUP($F740,Productos!$A:$A,Productos!AT:AT,"Revisar"),"")</f>
        <v/>
      </c>
      <c r="BB740" s="179" t="str">
        <f t="array" ref="BB740">IF($F740&lt;&gt;"", XLOOKUP($F740,Productos!$A$2:$A1001,Productos!AU$2:AU1001,"")*$G740,"")</f>
        <v/>
      </c>
      <c r="BC740" s="179" t="str">
        <f t="array" ref="BC740">IF($F740&lt;&gt;"",XLOOKUP($F740,Productos!$A:$A,Productos!AV:AV,"Revisar"),"")</f>
        <v/>
      </c>
      <c r="BD740" s="179" t="str">
        <f t="array" ref="BD740">IF($F740&lt;&gt;"", XLOOKUP($F740,Productos!$A$2:$A1001,Productos!AW$2:AW1001,"")*$G740,"")</f>
        <v/>
      </c>
      <c r="BE740" s="179" t="str">
        <f t="array" ref="BE740">IF($F740&lt;&gt;"",XLOOKUP($F740,Productos!$A:$A,Productos!AX:AX,"Revisar"),"")</f>
        <v/>
      </c>
      <c r="BF740" s="179" t="str">
        <f t="array" ref="BF740">IF($F740&lt;&gt;"", XLOOKUP($F740,Productos!$A$2:$A1001,Productos!AY$2:AY1001,"")*$G740,"")</f>
        <v/>
      </c>
      <c r="BG740" s="179" t="str">
        <f t="array" ref="BG740">IF($F740&lt;&gt;"",XLOOKUP($F740,Productos!$A:$A,Productos!AZ:AZ,"Revisar"),"")</f>
        <v/>
      </c>
      <c r="BH740" s="179" t="str">
        <f t="array" ref="BH740">IF($F740&lt;&gt;"", XLOOKUP($F740,Productos!$A$2:$A1001,Productos!BA$2:BA1001,"")*$G740,"")</f>
        <v/>
      </c>
      <c r="BI740" s="179" t="str">
        <f t="array" ref="BI740">IF($F740&lt;&gt;"",XLOOKUP($F740,Productos!$A:$A,Productos!BB:BB,"Revisar"),"")</f>
        <v/>
      </c>
      <c r="BJ740" s="179" t="str">
        <f t="array" ref="BJ740">IF($F740&lt;&gt;"", XLOOKUP($F740,Productos!$A$2:$A1001,Productos!BC$2:BC1001,"")*$G740,"")</f>
        <v/>
      </c>
      <c r="BK740" s="179" t="str">
        <f t="array" ref="BK740">IF($F740&lt;&gt;"",XLOOKUP($F740,Productos!$A:$A,Productos!BD:BD,"Revisar"),"")</f>
        <v/>
      </c>
      <c r="BL740" s="179" t="str">
        <f t="array" ref="BL740">IF($F740&lt;&gt;"", XLOOKUP($F740,Productos!$A$2:$A1001,Productos!BE$2:BE1001,"")*$G740,"")</f>
        <v/>
      </c>
      <c r="BM740" s="179" t="str">
        <f t="array" ref="BM740">IF($F740&lt;&gt;"",XLOOKUP($F740,Productos!$A:$A,Productos!BF:BF,"Revisar"),"")</f>
        <v/>
      </c>
      <c r="BN740" s="179" t="str">
        <f t="array" ref="BN740">IF($F740&lt;&gt;"", XLOOKUP($F740,Productos!$A$2:$A1001,Productos!BG$2:BG1001,"")*$G740,"")</f>
        <v/>
      </c>
      <c r="BO740" s="179" t="str">
        <f t="array" ref="BO740">IF($F740&lt;&gt;"",XLOOKUP($F740,Productos!$A:$A,Productos!BH:BH,"Revisar"),"")</f>
        <v/>
      </c>
      <c r="BP740" s="179" t="str">
        <f t="array" ref="BP740">IF($F740&lt;&gt;"", XLOOKUP($F740,Productos!$A$2:$A1001,Productos!BI$2:BI1001,"")*$G740,"")</f>
        <v/>
      </c>
      <c r="BQ740" s="179" t="str">
        <f t="array" ref="BQ740">IF($F740&lt;&gt;"",XLOOKUP($F740,Productos!$A:$A,Productos!BJ:BJ,"Revisar"),"")</f>
        <v/>
      </c>
      <c r="BR740" s="179" t="str">
        <f t="array" ref="BR740">IF($F740&lt;&gt;"", XLOOKUP($F740,Productos!$A$2:$A1001,Productos!BK$2:BK1001,"")*$G740,"")</f>
        <v/>
      </c>
      <c r="BS740" s="179" t="str">
        <f t="array" ref="BS740">IF($F740&lt;&gt;"",XLOOKUP($F740,Productos!$A:$A,Productos!BL:BL,"Revisar"),"")</f>
        <v/>
      </c>
      <c r="BT740" s="179" t="str">
        <f t="array" ref="BT740">IF($F740&lt;&gt;"", XLOOKUP($F740,Productos!$A$2:$A1001,Productos!BM$2:BM1001,"")*$G740,"")</f>
        <v/>
      </c>
      <c r="BU740" s="179" t="str">
        <f t="array" ref="BU740">IF($F740&lt;&gt;"",XLOOKUP($F740,Productos!$A:$A,Productos!BN:BN,"Revisar"),"")</f>
        <v/>
      </c>
      <c r="BV740" s="179" t="str">
        <f t="array" ref="BV740">IF($F740&lt;&gt;"", XLOOKUP($F740,Productos!$A$2:$A1001,Productos!BO$2:BO1001,"")*$G740,"")</f>
        <v/>
      </c>
      <c r="BW740" s="179" t="str">
        <f t="array" ref="BW740">IF($F740&lt;&gt;"",XLOOKUP($F740,Productos!$A:$A,Productos!BP:BP,"Revisar"),"")</f>
        <v/>
      </c>
      <c r="BX740" s="179" t="str">
        <f t="array" ref="BX740">IF($F740&lt;&gt;"", XLOOKUP($F740,Productos!$A$2:$A1001,Productos!BQ$2:BQ1001,"")*$G740,"")</f>
        <v/>
      </c>
      <c r="BY740" s="179" t="str">
        <f t="array" ref="BY740">IF($F740&lt;&gt;"",XLOOKUP($F740,Productos!$A:$A,Productos!BR:BR,"Revisar"),"")</f>
        <v/>
      </c>
      <c r="BZ740" s="179" t="str">
        <f t="array" ref="BZ740">IF($F740&lt;&gt;"", XLOOKUP($F740,Productos!$A$2:$A1001,Productos!BS$2:BS1001,"")*$G740,"")</f>
        <v/>
      </c>
    </row>
    <row r="741">
      <c r="A741" s="188"/>
      <c r="B741" s="189"/>
      <c r="C741" s="190"/>
      <c r="D741" s="190"/>
      <c r="E741" s="191"/>
      <c r="F741" s="186"/>
      <c r="G741" s="192"/>
      <c r="H741" s="9"/>
      <c r="I741" s="179" t="str">
        <f t="array" ref="I741">IF($F741&lt;&gt;"",XLOOKUP($F741,Productos!$A:$A,Productos!B:B,"Revisar"),"")</f>
        <v/>
      </c>
      <c r="J741" s="179" t="str">
        <f t="array" ref="J741">IF($F741&lt;&gt;"", XLOOKUP($F741,Productos!$A$2:$A1001,Productos!C$2:C1001,"")*$G741,"")</f>
        <v/>
      </c>
      <c r="K741" s="179" t="str">
        <f t="array" ref="K741">IF($F741&lt;&gt;"",XLOOKUP($F741,Productos!$A:$A,Productos!D:D,"Revisar"),"")</f>
        <v/>
      </c>
      <c r="L741" s="179" t="str">
        <f t="array" ref="L741">IF($F741&lt;&gt;"", XLOOKUP($F741,Productos!$A$2:$A1001,Productos!E$2:E1001,"")*$G741,"")</f>
        <v/>
      </c>
      <c r="M741" s="179" t="str">
        <f t="array" ref="M741">IF($F741&lt;&gt;"",XLOOKUP($F741,Productos!$A:$A,Productos!F:F,"Revisar"),"")</f>
        <v/>
      </c>
      <c r="N741" s="179" t="str">
        <f t="array" ref="N741">IF($F741&lt;&gt;"", XLOOKUP($F741,Productos!$A$2:$A1001,Productos!G$2:G1001,"")*$G741,"")</f>
        <v/>
      </c>
      <c r="O741" s="179" t="str">
        <f t="array" ref="O741">IF($F741&lt;&gt;"",XLOOKUP($F741,Productos!$A:$A,Productos!H:H,"Revisar"),"")</f>
        <v/>
      </c>
      <c r="P741" s="179" t="str">
        <f t="array" ref="P741">IF($F741&lt;&gt;"", XLOOKUP($F741,Productos!$A$2:$A1001,Productos!I$2:I1001,"")*$G741,"")</f>
        <v/>
      </c>
      <c r="Q741" s="179" t="str">
        <f t="array" ref="Q741">IF($F741&lt;&gt;"",XLOOKUP($F741,Productos!$A:$A,Productos!J:J,"Revisar"),"")</f>
        <v/>
      </c>
      <c r="R741" s="179" t="str">
        <f t="array" ref="R741">IF($F741&lt;&gt;"", XLOOKUP($F741,Productos!$A$2:$A1001,Productos!K$2:K1001,"")*$G741,"")</f>
        <v/>
      </c>
      <c r="S741" s="179" t="str">
        <f t="array" ref="S741">IF($F741&lt;&gt;"",XLOOKUP($F741,Productos!$A:$A,Productos!L:L,"Revisar"),"")</f>
        <v/>
      </c>
      <c r="T741" s="179" t="str">
        <f t="array" ref="T741">IF($F741&lt;&gt;"", XLOOKUP($F741,Productos!$A$2:$A1001,Productos!M$2:M1001,"")*$G741,"")</f>
        <v/>
      </c>
      <c r="U741" s="179" t="str">
        <f t="array" ref="U741">IF($F741&lt;&gt;"",XLOOKUP($F741,Productos!$A:$A,Productos!N:N,"Revisar"),"")</f>
        <v/>
      </c>
      <c r="V741" s="179" t="str">
        <f t="array" ref="V741">IF($F741&lt;&gt;"", XLOOKUP($F741,Productos!$A$2:$A1001,Productos!O$2:O1001,"")*$G741,"")</f>
        <v/>
      </c>
      <c r="W741" s="179" t="str">
        <f t="array" ref="W741">IF($F741&lt;&gt;"",XLOOKUP($F741,Productos!$A:$A,Productos!P:P,"Revisar"),"")</f>
        <v/>
      </c>
      <c r="X741" s="179" t="str">
        <f t="array" ref="X741">IF($F741&lt;&gt;"", XLOOKUP($F741,Productos!$A$2:$A1001,Productos!Q$2:Q1001,"")*$G741,"")</f>
        <v/>
      </c>
      <c r="Y741" s="179" t="str">
        <f t="array" ref="Y741">IF($F741&lt;&gt;"",XLOOKUP($F741,Productos!$A:$A,Productos!R:R,"Revisar"),"")</f>
        <v/>
      </c>
      <c r="Z741" s="179" t="str">
        <f t="array" ref="Z741">IF($F741&lt;&gt;"", XLOOKUP($F741,Productos!$A$2:$A1001,Productos!S$2:S1001,"")*$G741,"")</f>
        <v/>
      </c>
      <c r="AA741" s="179" t="str">
        <f t="array" ref="AA741">IF($F741&lt;&gt;"",XLOOKUP($F741,Productos!$A:$A,Productos!T:T,"Revisar"),"")</f>
        <v/>
      </c>
      <c r="AB741" s="179" t="str">
        <f t="array" ref="AB741">IF($F741&lt;&gt;"", XLOOKUP($F741,Productos!$A$2:$A1001,Productos!U$2:U1001,"")*$G741,"")</f>
        <v/>
      </c>
      <c r="AC741" s="179" t="str">
        <f t="array" ref="AC741">IF($F741&lt;&gt;"",XLOOKUP($F741,Productos!$A:$A,Productos!V:V,"Revisar"),"")</f>
        <v/>
      </c>
      <c r="AD741" s="179" t="str">
        <f t="array" ref="AD741">IF($F741&lt;&gt;"", XLOOKUP($F741,Productos!$A$2:$A1001,Productos!W$2:W1001,"")*$G741,"")</f>
        <v/>
      </c>
      <c r="AE741" s="179" t="str">
        <f t="array" ref="AE741">IF($F741&lt;&gt;"",XLOOKUP($F741,Productos!$A:$A,Productos!X:X,"Revisar"),"")</f>
        <v/>
      </c>
      <c r="AF741" s="179" t="str">
        <f t="array" ref="AF741">IF($F741&lt;&gt;"", XLOOKUP($F741,Productos!$A$2:$A1001,Productos!Y$2:Y1001,"")*$G741,"")</f>
        <v/>
      </c>
      <c r="AG741" s="179" t="str">
        <f t="array" ref="AG741">IF($F741&lt;&gt;"",XLOOKUP($F741,Productos!$A:$A,Productos!Z:Z,"Revisar"),"")</f>
        <v/>
      </c>
      <c r="AH741" s="179" t="str">
        <f t="array" ref="AH741">IF($F741&lt;&gt;"", XLOOKUP($F741,Productos!$A$2:$A1001,Productos!AA$2:AA1001,"")*$G741,"")</f>
        <v/>
      </c>
      <c r="AI741" s="179" t="str">
        <f t="array" ref="AI741">IF($F741&lt;&gt;"",XLOOKUP($F741,Productos!$A:$A,Productos!AB:AB,"Revisar"),"")</f>
        <v/>
      </c>
      <c r="AJ741" s="179" t="str">
        <f t="array" ref="AJ741">IF($F741&lt;&gt;"", XLOOKUP($F741,Productos!$A$2:$A1001,Productos!AC$2:AC1001,"")*$G741,"")</f>
        <v/>
      </c>
      <c r="AK741" s="179" t="str">
        <f t="array" ref="AK741">IF($F741&lt;&gt;"",XLOOKUP($F741,Productos!$A:$A,Productos!AD:AD,"Revisar"),"")</f>
        <v/>
      </c>
      <c r="AL741" s="179" t="str">
        <f t="array" ref="AL741">IF($F741&lt;&gt;"", XLOOKUP($F741,Productos!$A$2:$A1001,Productos!AE$2:AE1001,"")*$G741,"")</f>
        <v/>
      </c>
      <c r="AM741" s="179" t="str">
        <f t="array" ref="AM741">IF($F741&lt;&gt;"",XLOOKUP($F741,Productos!$A:$A,Productos!AF:AF,"Revisar"),"")</f>
        <v/>
      </c>
      <c r="AN741" s="179" t="str">
        <f t="array" ref="AN741">IF($F741&lt;&gt;"", XLOOKUP($F741,Productos!$A$2:$A1001,Productos!AG$2:AG1001,"")*$G741,"")</f>
        <v/>
      </c>
      <c r="AO741" s="179" t="str">
        <f t="array" ref="AO741">IF($F741&lt;&gt;"",XLOOKUP($F741,Productos!$A:$A,Productos!AH:AH,"Revisar"),"")</f>
        <v/>
      </c>
      <c r="AP741" s="179" t="str">
        <f t="array" ref="AP741">IF($F741&lt;&gt;"", XLOOKUP($F741,Productos!$A$2:$A1001,Productos!AI$2:AI1001,"")*$G741,"")</f>
        <v/>
      </c>
      <c r="AQ741" s="179" t="str">
        <f t="array" ref="AQ741">IF($F741&lt;&gt;"",XLOOKUP($F741,Productos!$A:$A,Productos!AJ:AJ,"Revisar"),"")</f>
        <v/>
      </c>
      <c r="AR741" s="179" t="str">
        <f t="array" ref="AR741">IF($F741&lt;&gt;"", XLOOKUP($F741,Productos!$A$2:$A1001,Productos!AK$2:AK1001,"")*$G741,"")</f>
        <v/>
      </c>
      <c r="AS741" s="179" t="str">
        <f t="array" ref="AS741">IF($F741&lt;&gt;"",XLOOKUP($F741,Productos!$A:$A,Productos!AL:AL,"Revisar"),"")</f>
        <v/>
      </c>
      <c r="AT741" s="179" t="str">
        <f t="array" ref="AT741">IF($F741&lt;&gt;"", XLOOKUP($F741,Productos!$A$2:$A1001,Productos!AM$2:AM1001,"")*$G741,"")</f>
        <v/>
      </c>
      <c r="AU741" s="179" t="str">
        <f t="array" ref="AU741">IF($F741&lt;&gt;"",XLOOKUP($F741,Productos!$A:$A,Productos!AN:AN,"Revisar"),"")</f>
        <v/>
      </c>
      <c r="AV741" s="179" t="str">
        <f t="array" ref="AV741">IF($F741&lt;&gt;"", XLOOKUP($F741,Productos!$A$2:$A1001,Productos!AO$2:AO1001,"")*$G741,"")</f>
        <v/>
      </c>
      <c r="AW741" s="179" t="str">
        <f t="array" ref="AW741">IF($F741&lt;&gt;"",XLOOKUP($F741,Productos!$A:$A,Productos!AP:AP,"Revisar"),"")</f>
        <v/>
      </c>
      <c r="AX741" s="179" t="str">
        <f t="array" ref="AX741">IF($F741&lt;&gt;"", XLOOKUP($F741,Productos!$A$2:$A1001,Productos!AQ$2:AQ1001,"")*$G741,"")</f>
        <v/>
      </c>
      <c r="AY741" s="179" t="str">
        <f t="array" ref="AY741">IF($F741&lt;&gt;"",XLOOKUP($F741,Productos!$A:$A,Productos!AR:AR,"Revisar"),"")</f>
        <v/>
      </c>
      <c r="AZ741" s="179" t="str">
        <f t="array" ref="AZ741">IF($F741&lt;&gt;"", XLOOKUP($F741,Productos!$A$2:$A1001,Productos!AS$2:AS1001,"")*$G741,"")</f>
        <v/>
      </c>
      <c r="BA741" s="179" t="str">
        <f t="array" ref="BA741">IF($F741&lt;&gt;"",XLOOKUP($F741,Productos!$A:$A,Productos!AT:AT,"Revisar"),"")</f>
        <v/>
      </c>
      <c r="BB741" s="179" t="str">
        <f t="array" ref="BB741">IF($F741&lt;&gt;"", XLOOKUP($F741,Productos!$A$2:$A1001,Productos!AU$2:AU1001,"")*$G741,"")</f>
        <v/>
      </c>
      <c r="BC741" s="179" t="str">
        <f t="array" ref="BC741">IF($F741&lt;&gt;"",XLOOKUP($F741,Productos!$A:$A,Productos!AV:AV,"Revisar"),"")</f>
        <v/>
      </c>
      <c r="BD741" s="179" t="str">
        <f t="array" ref="BD741">IF($F741&lt;&gt;"", XLOOKUP($F741,Productos!$A$2:$A1001,Productos!AW$2:AW1001,"")*$G741,"")</f>
        <v/>
      </c>
      <c r="BE741" s="179" t="str">
        <f t="array" ref="BE741">IF($F741&lt;&gt;"",XLOOKUP($F741,Productos!$A:$A,Productos!AX:AX,"Revisar"),"")</f>
        <v/>
      </c>
      <c r="BF741" s="179" t="str">
        <f t="array" ref="BF741">IF($F741&lt;&gt;"", XLOOKUP($F741,Productos!$A$2:$A1001,Productos!AY$2:AY1001,"")*$G741,"")</f>
        <v/>
      </c>
      <c r="BG741" s="179" t="str">
        <f t="array" ref="BG741">IF($F741&lt;&gt;"",XLOOKUP($F741,Productos!$A:$A,Productos!AZ:AZ,"Revisar"),"")</f>
        <v/>
      </c>
      <c r="BH741" s="179" t="str">
        <f t="array" ref="BH741">IF($F741&lt;&gt;"", XLOOKUP($F741,Productos!$A$2:$A1001,Productos!BA$2:BA1001,"")*$G741,"")</f>
        <v/>
      </c>
      <c r="BI741" s="179" t="str">
        <f t="array" ref="BI741">IF($F741&lt;&gt;"",XLOOKUP($F741,Productos!$A:$A,Productos!BB:BB,"Revisar"),"")</f>
        <v/>
      </c>
      <c r="BJ741" s="179" t="str">
        <f t="array" ref="BJ741">IF($F741&lt;&gt;"", XLOOKUP($F741,Productos!$A$2:$A1001,Productos!BC$2:BC1001,"")*$G741,"")</f>
        <v/>
      </c>
      <c r="BK741" s="179" t="str">
        <f t="array" ref="BK741">IF($F741&lt;&gt;"",XLOOKUP($F741,Productos!$A:$A,Productos!BD:BD,"Revisar"),"")</f>
        <v/>
      </c>
      <c r="BL741" s="179" t="str">
        <f t="array" ref="BL741">IF($F741&lt;&gt;"", XLOOKUP($F741,Productos!$A$2:$A1001,Productos!BE$2:BE1001,"")*$G741,"")</f>
        <v/>
      </c>
      <c r="BM741" s="179" t="str">
        <f t="array" ref="BM741">IF($F741&lt;&gt;"",XLOOKUP($F741,Productos!$A:$A,Productos!BF:BF,"Revisar"),"")</f>
        <v/>
      </c>
      <c r="BN741" s="179" t="str">
        <f t="array" ref="BN741">IF($F741&lt;&gt;"", XLOOKUP($F741,Productos!$A$2:$A1001,Productos!BG$2:BG1001,"")*$G741,"")</f>
        <v/>
      </c>
      <c r="BO741" s="179" t="str">
        <f t="array" ref="BO741">IF($F741&lt;&gt;"",XLOOKUP($F741,Productos!$A:$A,Productos!BH:BH,"Revisar"),"")</f>
        <v/>
      </c>
      <c r="BP741" s="179" t="str">
        <f t="array" ref="BP741">IF($F741&lt;&gt;"", XLOOKUP($F741,Productos!$A$2:$A1001,Productos!BI$2:BI1001,"")*$G741,"")</f>
        <v/>
      </c>
      <c r="BQ741" s="179" t="str">
        <f t="array" ref="BQ741">IF($F741&lt;&gt;"",XLOOKUP($F741,Productos!$A:$A,Productos!BJ:BJ,"Revisar"),"")</f>
        <v/>
      </c>
      <c r="BR741" s="179" t="str">
        <f t="array" ref="BR741">IF($F741&lt;&gt;"", XLOOKUP($F741,Productos!$A$2:$A1001,Productos!BK$2:BK1001,"")*$G741,"")</f>
        <v/>
      </c>
      <c r="BS741" s="179" t="str">
        <f t="array" ref="BS741">IF($F741&lt;&gt;"",XLOOKUP($F741,Productos!$A:$A,Productos!BL:BL,"Revisar"),"")</f>
        <v/>
      </c>
      <c r="BT741" s="179" t="str">
        <f t="array" ref="BT741">IF($F741&lt;&gt;"", XLOOKUP($F741,Productos!$A$2:$A1001,Productos!BM$2:BM1001,"")*$G741,"")</f>
        <v/>
      </c>
      <c r="BU741" s="179" t="str">
        <f t="array" ref="BU741">IF($F741&lt;&gt;"",XLOOKUP($F741,Productos!$A:$A,Productos!BN:BN,"Revisar"),"")</f>
        <v/>
      </c>
      <c r="BV741" s="179" t="str">
        <f t="array" ref="BV741">IF($F741&lt;&gt;"", XLOOKUP($F741,Productos!$A$2:$A1001,Productos!BO$2:BO1001,"")*$G741,"")</f>
        <v/>
      </c>
      <c r="BW741" s="179" t="str">
        <f t="array" ref="BW741">IF($F741&lt;&gt;"",XLOOKUP($F741,Productos!$A:$A,Productos!BP:BP,"Revisar"),"")</f>
        <v/>
      </c>
      <c r="BX741" s="179" t="str">
        <f t="array" ref="BX741">IF($F741&lt;&gt;"", XLOOKUP($F741,Productos!$A$2:$A1001,Productos!BQ$2:BQ1001,"")*$G741,"")</f>
        <v/>
      </c>
      <c r="BY741" s="179" t="str">
        <f t="array" ref="BY741">IF($F741&lt;&gt;"",XLOOKUP($F741,Productos!$A:$A,Productos!BR:BR,"Revisar"),"")</f>
        <v/>
      </c>
      <c r="BZ741" s="179" t="str">
        <f t="array" ref="BZ741">IF($F741&lt;&gt;"", XLOOKUP($F741,Productos!$A$2:$A1001,Productos!BS$2:BS1001,"")*$G741,"")</f>
        <v/>
      </c>
    </row>
    <row r="742">
      <c r="A742" s="188"/>
      <c r="B742" s="189"/>
      <c r="C742" s="190"/>
      <c r="D742" s="190"/>
      <c r="E742" s="191"/>
      <c r="F742" s="186"/>
      <c r="G742" s="192"/>
      <c r="H742" s="9"/>
      <c r="I742" s="179" t="str">
        <f t="array" ref="I742">IF($F742&lt;&gt;"",XLOOKUP($F742,Productos!$A:$A,Productos!B:B,"Revisar"),"")</f>
        <v/>
      </c>
      <c r="J742" s="179" t="str">
        <f t="array" ref="J742">IF($F742&lt;&gt;"", XLOOKUP($F742,Productos!$A$2:$A1001,Productos!C$2:C1001,"")*$G742,"")</f>
        <v/>
      </c>
      <c r="K742" s="179" t="str">
        <f t="array" ref="K742">IF($F742&lt;&gt;"",XLOOKUP($F742,Productos!$A:$A,Productos!D:D,"Revisar"),"")</f>
        <v/>
      </c>
      <c r="L742" s="179" t="str">
        <f t="array" ref="L742">IF($F742&lt;&gt;"", XLOOKUP($F742,Productos!$A$2:$A1001,Productos!E$2:E1001,"")*$G742,"")</f>
        <v/>
      </c>
      <c r="M742" s="179" t="str">
        <f t="array" ref="M742">IF($F742&lt;&gt;"",XLOOKUP($F742,Productos!$A:$A,Productos!F:F,"Revisar"),"")</f>
        <v/>
      </c>
      <c r="N742" s="179" t="str">
        <f t="array" ref="N742">IF($F742&lt;&gt;"", XLOOKUP($F742,Productos!$A$2:$A1001,Productos!G$2:G1001,"")*$G742,"")</f>
        <v/>
      </c>
      <c r="O742" s="179" t="str">
        <f t="array" ref="O742">IF($F742&lt;&gt;"",XLOOKUP($F742,Productos!$A:$A,Productos!H:H,"Revisar"),"")</f>
        <v/>
      </c>
      <c r="P742" s="179" t="str">
        <f t="array" ref="P742">IF($F742&lt;&gt;"", XLOOKUP($F742,Productos!$A$2:$A1001,Productos!I$2:I1001,"")*$G742,"")</f>
        <v/>
      </c>
      <c r="Q742" s="179" t="str">
        <f t="array" ref="Q742">IF($F742&lt;&gt;"",XLOOKUP($F742,Productos!$A:$A,Productos!J:J,"Revisar"),"")</f>
        <v/>
      </c>
      <c r="R742" s="179" t="str">
        <f t="array" ref="R742">IF($F742&lt;&gt;"", XLOOKUP($F742,Productos!$A$2:$A1001,Productos!K$2:K1001,"")*$G742,"")</f>
        <v/>
      </c>
      <c r="S742" s="179" t="str">
        <f t="array" ref="S742">IF($F742&lt;&gt;"",XLOOKUP($F742,Productos!$A:$A,Productos!L:L,"Revisar"),"")</f>
        <v/>
      </c>
      <c r="T742" s="179" t="str">
        <f t="array" ref="T742">IF($F742&lt;&gt;"", XLOOKUP($F742,Productos!$A$2:$A1001,Productos!M$2:M1001,"")*$G742,"")</f>
        <v/>
      </c>
      <c r="U742" s="179" t="str">
        <f t="array" ref="U742">IF($F742&lt;&gt;"",XLOOKUP($F742,Productos!$A:$A,Productos!N:N,"Revisar"),"")</f>
        <v/>
      </c>
      <c r="V742" s="179" t="str">
        <f t="array" ref="V742">IF($F742&lt;&gt;"", XLOOKUP($F742,Productos!$A$2:$A1001,Productos!O$2:O1001,"")*$G742,"")</f>
        <v/>
      </c>
      <c r="W742" s="179" t="str">
        <f t="array" ref="W742">IF($F742&lt;&gt;"",XLOOKUP($F742,Productos!$A:$A,Productos!P:P,"Revisar"),"")</f>
        <v/>
      </c>
      <c r="X742" s="179" t="str">
        <f t="array" ref="X742">IF($F742&lt;&gt;"", XLOOKUP($F742,Productos!$A$2:$A1001,Productos!Q$2:Q1001,"")*$G742,"")</f>
        <v/>
      </c>
      <c r="Y742" s="179" t="str">
        <f t="array" ref="Y742">IF($F742&lt;&gt;"",XLOOKUP($F742,Productos!$A:$A,Productos!R:R,"Revisar"),"")</f>
        <v/>
      </c>
      <c r="Z742" s="179" t="str">
        <f t="array" ref="Z742">IF($F742&lt;&gt;"", XLOOKUP($F742,Productos!$A$2:$A1001,Productos!S$2:S1001,"")*$G742,"")</f>
        <v/>
      </c>
      <c r="AA742" s="179" t="str">
        <f t="array" ref="AA742">IF($F742&lt;&gt;"",XLOOKUP($F742,Productos!$A:$A,Productos!T:T,"Revisar"),"")</f>
        <v/>
      </c>
      <c r="AB742" s="179" t="str">
        <f t="array" ref="AB742">IF($F742&lt;&gt;"", XLOOKUP($F742,Productos!$A$2:$A1001,Productos!U$2:U1001,"")*$G742,"")</f>
        <v/>
      </c>
      <c r="AC742" s="179" t="str">
        <f t="array" ref="AC742">IF($F742&lt;&gt;"",XLOOKUP($F742,Productos!$A:$A,Productos!V:V,"Revisar"),"")</f>
        <v/>
      </c>
      <c r="AD742" s="179" t="str">
        <f t="array" ref="AD742">IF($F742&lt;&gt;"", XLOOKUP($F742,Productos!$A$2:$A1001,Productos!W$2:W1001,"")*$G742,"")</f>
        <v/>
      </c>
      <c r="AE742" s="179" t="str">
        <f t="array" ref="AE742">IF($F742&lt;&gt;"",XLOOKUP($F742,Productos!$A:$A,Productos!X:X,"Revisar"),"")</f>
        <v/>
      </c>
      <c r="AF742" s="179" t="str">
        <f t="array" ref="AF742">IF($F742&lt;&gt;"", XLOOKUP($F742,Productos!$A$2:$A1001,Productos!Y$2:Y1001,"")*$G742,"")</f>
        <v/>
      </c>
      <c r="AG742" s="179" t="str">
        <f t="array" ref="AG742">IF($F742&lt;&gt;"",XLOOKUP($F742,Productos!$A:$A,Productos!Z:Z,"Revisar"),"")</f>
        <v/>
      </c>
      <c r="AH742" s="179" t="str">
        <f t="array" ref="AH742">IF($F742&lt;&gt;"", XLOOKUP($F742,Productos!$A$2:$A1001,Productos!AA$2:AA1001,"")*$G742,"")</f>
        <v/>
      </c>
      <c r="AI742" s="179" t="str">
        <f t="array" ref="AI742">IF($F742&lt;&gt;"",XLOOKUP($F742,Productos!$A:$A,Productos!AB:AB,"Revisar"),"")</f>
        <v/>
      </c>
      <c r="AJ742" s="179" t="str">
        <f t="array" ref="AJ742">IF($F742&lt;&gt;"", XLOOKUP($F742,Productos!$A$2:$A1001,Productos!AC$2:AC1001,"")*$G742,"")</f>
        <v/>
      </c>
      <c r="AK742" s="179" t="str">
        <f t="array" ref="AK742">IF($F742&lt;&gt;"",XLOOKUP($F742,Productos!$A:$A,Productos!AD:AD,"Revisar"),"")</f>
        <v/>
      </c>
      <c r="AL742" s="179" t="str">
        <f t="array" ref="AL742">IF($F742&lt;&gt;"", XLOOKUP($F742,Productos!$A$2:$A1001,Productos!AE$2:AE1001,"")*$G742,"")</f>
        <v/>
      </c>
      <c r="AM742" s="179" t="str">
        <f t="array" ref="AM742">IF($F742&lt;&gt;"",XLOOKUP($F742,Productos!$A:$A,Productos!AF:AF,"Revisar"),"")</f>
        <v/>
      </c>
      <c r="AN742" s="179" t="str">
        <f t="array" ref="AN742">IF($F742&lt;&gt;"", XLOOKUP($F742,Productos!$A$2:$A1001,Productos!AG$2:AG1001,"")*$G742,"")</f>
        <v/>
      </c>
      <c r="AO742" s="179" t="str">
        <f t="array" ref="AO742">IF($F742&lt;&gt;"",XLOOKUP($F742,Productos!$A:$A,Productos!AH:AH,"Revisar"),"")</f>
        <v/>
      </c>
      <c r="AP742" s="179" t="str">
        <f t="array" ref="AP742">IF($F742&lt;&gt;"", XLOOKUP($F742,Productos!$A$2:$A1001,Productos!AI$2:AI1001,"")*$G742,"")</f>
        <v/>
      </c>
      <c r="AQ742" s="179" t="str">
        <f t="array" ref="AQ742">IF($F742&lt;&gt;"",XLOOKUP($F742,Productos!$A:$A,Productos!AJ:AJ,"Revisar"),"")</f>
        <v/>
      </c>
      <c r="AR742" s="179" t="str">
        <f t="array" ref="AR742">IF($F742&lt;&gt;"", XLOOKUP($F742,Productos!$A$2:$A1001,Productos!AK$2:AK1001,"")*$G742,"")</f>
        <v/>
      </c>
      <c r="AS742" s="179" t="str">
        <f t="array" ref="AS742">IF($F742&lt;&gt;"",XLOOKUP($F742,Productos!$A:$A,Productos!AL:AL,"Revisar"),"")</f>
        <v/>
      </c>
      <c r="AT742" s="179" t="str">
        <f t="array" ref="AT742">IF($F742&lt;&gt;"", XLOOKUP($F742,Productos!$A$2:$A1001,Productos!AM$2:AM1001,"")*$G742,"")</f>
        <v/>
      </c>
      <c r="AU742" s="179" t="str">
        <f t="array" ref="AU742">IF($F742&lt;&gt;"",XLOOKUP($F742,Productos!$A:$A,Productos!AN:AN,"Revisar"),"")</f>
        <v/>
      </c>
      <c r="AV742" s="179" t="str">
        <f t="array" ref="AV742">IF($F742&lt;&gt;"", XLOOKUP($F742,Productos!$A$2:$A1001,Productos!AO$2:AO1001,"")*$G742,"")</f>
        <v/>
      </c>
      <c r="AW742" s="179" t="str">
        <f t="array" ref="AW742">IF($F742&lt;&gt;"",XLOOKUP($F742,Productos!$A:$A,Productos!AP:AP,"Revisar"),"")</f>
        <v/>
      </c>
      <c r="AX742" s="179" t="str">
        <f t="array" ref="AX742">IF($F742&lt;&gt;"", XLOOKUP($F742,Productos!$A$2:$A1001,Productos!AQ$2:AQ1001,"")*$G742,"")</f>
        <v/>
      </c>
      <c r="AY742" s="179" t="str">
        <f t="array" ref="AY742">IF($F742&lt;&gt;"",XLOOKUP($F742,Productos!$A:$A,Productos!AR:AR,"Revisar"),"")</f>
        <v/>
      </c>
      <c r="AZ742" s="179" t="str">
        <f t="array" ref="AZ742">IF($F742&lt;&gt;"", XLOOKUP($F742,Productos!$A$2:$A1001,Productos!AS$2:AS1001,"")*$G742,"")</f>
        <v/>
      </c>
      <c r="BA742" s="179" t="str">
        <f t="array" ref="BA742">IF($F742&lt;&gt;"",XLOOKUP($F742,Productos!$A:$A,Productos!AT:AT,"Revisar"),"")</f>
        <v/>
      </c>
      <c r="BB742" s="179" t="str">
        <f t="array" ref="BB742">IF($F742&lt;&gt;"", XLOOKUP($F742,Productos!$A$2:$A1001,Productos!AU$2:AU1001,"")*$G742,"")</f>
        <v/>
      </c>
      <c r="BC742" s="179" t="str">
        <f t="array" ref="BC742">IF($F742&lt;&gt;"",XLOOKUP($F742,Productos!$A:$A,Productos!AV:AV,"Revisar"),"")</f>
        <v/>
      </c>
      <c r="BD742" s="179" t="str">
        <f t="array" ref="BD742">IF($F742&lt;&gt;"", XLOOKUP($F742,Productos!$A$2:$A1001,Productos!AW$2:AW1001,"")*$G742,"")</f>
        <v/>
      </c>
      <c r="BE742" s="179" t="str">
        <f t="array" ref="BE742">IF($F742&lt;&gt;"",XLOOKUP($F742,Productos!$A:$A,Productos!AX:AX,"Revisar"),"")</f>
        <v/>
      </c>
      <c r="BF742" s="179" t="str">
        <f t="array" ref="BF742">IF($F742&lt;&gt;"", XLOOKUP($F742,Productos!$A$2:$A1001,Productos!AY$2:AY1001,"")*$G742,"")</f>
        <v/>
      </c>
      <c r="BG742" s="179" t="str">
        <f t="array" ref="BG742">IF($F742&lt;&gt;"",XLOOKUP($F742,Productos!$A:$A,Productos!AZ:AZ,"Revisar"),"")</f>
        <v/>
      </c>
      <c r="BH742" s="179" t="str">
        <f t="array" ref="BH742">IF($F742&lt;&gt;"", XLOOKUP($F742,Productos!$A$2:$A1001,Productos!BA$2:BA1001,"")*$G742,"")</f>
        <v/>
      </c>
      <c r="BI742" s="179" t="str">
        <f t="array" ref="BI742">IF($F742&lt;&gt;"",XLOOKUP($F742,Productos!$A:$A,Productos!BB:BB,"Revisar"),"")</f>
        <v/>
      </c>
      <c r="BJ742" s="179" t="str">
        <f t="array" ref="BJ742">IF($F742&lt;&gt;"", XLOOKUP($F742,Productos!$A$2:$A1001,Productos!BC$2:BC1001,"")*$G742,"")</f>
        <v/>
      </c>
      <c r="BK742" s="179" t="str">
        <f t="array" ref="BK742">IF($F742&lt;&gt;"",XLOOKUP($F742,Productos!$A:$A,Productos!BD:BD,"Revisar"),"")</f>
        <v/>
      </c>
      <c r="BL742" s="179" t="str">
        <f t="array" ref="BL742">IF($F742&lt;&gt;"", XLOOKUP($F742,Productos!$A$2:$A1001,Productos!BE$2:BE1001,"")*$G742,"")</f>
        <v/>
      </c>
      <c r="BM742" s="179" t="str">
        <f t="array" ref="BM742">IF($F742&lt;&gt;"",XLOOKUP($F742,Productos!$A:$A,Productos!BF:BF,"Revisar"),"")</f>
        <v/>
      </c>
      <c r="BN742" s="179" t="str">
        <f t="array" ref="BN742">IF($F742&lt;&gt;"", XLOOKUP($F742,Productos!$A$2:$A1001,Productos!BG$2:BG1001,"")*$G742,"")</f>
        <v/>
      </c>
      <c r="BO742" s="179" t="str">
        <f t="array" ref="BO742">IF($F742&lt;&gt;"",XLOOKUP($F742,Productos!$A:$A,Productos!BH:BH,"Revisar"),"")</f>
        <v/>
      </c>
      <c r="BP742" s="179" t="str">
        <f t="array" ref="BP742">IF($F742&lt;&gt;"", XLOOKUP($F742,Productos!$A$2:$A1001,Productos!BI$2:BI1001,"")*$G742,"")</f>
        <v/>
      </c>
      <c r="BQ742" s="179" t="str">
        <f t="array" ref="BQ742">IF($F742&lt;&gt;"",XLOOKUP($F742,Productos!$A:$A,Productos!BJ:BJ,"Revisar"),"")</f>
        <v/>
      </c>
      <c r="BR742" s="179" t="str">
        <f t="array" ref="BR742">IF($F742&lt;&gt;"", XLOOKUP($F742,Productos!$A$2:$A1001,Productos!BK$2:BK1001,"")*$G742,"")</f>
        <v/>
      </c>
      <c r="BS742" s="179" t="str">
        <f t="array" ref="BS742">IF($F742&lt;&gt;"",XLOOKUP($F742,Productos!$A:$A,Productos!BL:BL,"Revisar"),"")</f>
        <v/>
      </c>
      <c r="BT742" s="179" t="str">
        <f t="array" ref="BT742">IF($F742&lt;&gt;"", XLOOKUP($F742,Productos!$A$2:$A1001,Productos!BM$2:BM1001,"")*$G742,"")</f>
        <v/>
      </c>
      <c r="BU742" s="179" t="str">
        <f t="array" ref="BU742">IF($F742&lt;&gt;"",XLOOKUP($F742,Productos!$A:$A,Productos!BN:BN,"Revisar"),"")</f>
        <v/>
      </c>
      <c r="BV742" s="179" t="str">
        <f t="array" ref="BV742">IF($F742&lt;&gt;"", XLOOKUP($F742,Productos!$A$2:$A1001,Productos!BO$2:BO1001,"")*$G742,"")</f>
        <v/>
      </c>
      <c r="BW742" s="179" t="str">
        <f t="array" ref="BW742">IF($F742&lt;&gt;"",XLOOKUP($F742,Productos!$A:$A,Productos!BP:BP,"Revisar"),"")</f>
        <v/>
      </c>
      <c r="BX742" s="179" t="str">
        <f t="array" ref="BX742">IF($F742&lt;&gt;"", XLOOKUP($F742,Productos!$A$2:$A1001,Productos!BQ$2:BQ1001,"")*$G742,"")</f>
        <v/>
      </c>
      <c r="BY742" s="179" t="str">
        <f t="array" ref="BY742">IF($F742&lt;&gt;"",XLOOKUP($F742,Productos!$A:$A,Productos!BR:BR,"Revisar"),"")</f>
        <v/>
      </c>
      <c r="BZ742" s="179" t="str">
        <f t="array" ref="BZ742">IF($F742&lt;&gt;"", XLOOKUP($F742,Productos!$A$2:$A1001,Productos!BS$2:BS1001,"")*$G742,"")</f>
        <v/>
      </c>
    </row>
    <row r="743">
      <c r="A743" s="188"/>
      <c r="B743" s="189"/>
      <c r="C743" s="190"/>
      <c r="D743" s="190"/>
      <c r="E743" s="191"/>
      <c r="F743" s="186"/>
      <c r="G743" s="192"/>
      <c r="H743" s="9"/>
      <c r="I743" s="179" t="str">
        <f t="array" ref="I743">IF($F743&lt;&gt;"",XLOOKUP($F743,Productos!$A:$A,Productos!B:B,"Revisar"),"")</f>
        <v/>
      </c>
      <c r="J743" s="179" t="str">
        <f t="array" ref="J743">IF($F743&lt;&gt;"", XLOOKUP($F743,Productos!$A$2:$A1001,Productos!C$2:C1001,"")*$G743,"")</f>
        <v/>
      </c>
      <c r="K743" s="179" t="str">
        <f t="array" ref="K743">IF($F743&lt;&gt;"",XLOOKUP($F743,Productos!$A:$A,Productos!D:D,"Revisar"),"")</f>
        <v/>
      </c>
      <c r="L743" s="179" t="str">
        <f t="array" ref="L743">IF($F743&lt;&gt;"", XLOOKUP($F743,Productos!$A$2:$A1001,Productos!E$2:E1001,"")*$G743,"")</f>
        <v/>
      </c>
      <c r="M743" s="179" t="str">
        <f t="array" ref="M743">IF($F743&lt;&gt;"",XLOOKUP($F743,Productos!$A:$A,Productos!F:F,"Revisar"),"")</f>
        <v/>
      </c>
      <c r="N743" s="179" t="str">
        <f t="array" ref="N743">IF($F743&lt;&gt;"", XLOOKUP($F743,Productos!$A$2:$A1001,Productos!G$2:G1001,"")*$G743,"")</f>
        <v/>
      </c>
      <c r="O743" s="179" t="str">
        <f t="array" ref="O743">IF($F743&lt;&gt;"",XLOOKUP($F743,Productos!$A:$A,Productos!H:H,"Revisar"),"")</f>
        <v/>
      </c>
      <c r="P743" s="179" t="str">
        <f t="array" ref="P743">IF($F743&lt;&gt;"", XLOOKUP($F743,Productos!$A$2:$A1001,Productos!I$2:I1001,"")*$G743,"")</f>
        <v/>
      </c>
      <c r="Q743" s="179" t="str">
        <f t="array" ref="Q743">IF($F743&lt;&gt;"",XLOOKUP($F743,Productos!$A:$A,Productos!J:J,"Revisar"),"")</f>
        <v/>
      </c>
      <c r="R743" s="179" t="str">
        <f t="array" ref="R743">IF($F743&lt;&gt;"", XLOOKUP($F743,Productos!$A$2:$A1001,Productos!K$2:K1001,"")*$G743,"")</f>
        <v/>
      </c>
      <c r="S743" s="179" t="str">
        <f t="array" ref="S743">IF($F743&lt;&gt;"",XLOOKUP($F743,Productos!$A:$A,Productos!L:L,"Revisar"),"")</f>
        <v/>
      </c>
      <c r="T743" s="179" t="str">
        <f t="array" ref="T743">IF($F743&lt;&gt;"", XLOOKUP($F743,Productos!$A$2:$A1001,Productos!M$2:M1001,"")*$G743,"")</f>
        <v/>
      </c>
      <c r="U743" s="179" t="str">
        <f t="array" ref="U743">IF($F743&lt;&gt;"",XLOOKUP($F743,Productos!$A:$A,Productos!N:N,"Revisar"),"")</f>
        <v/>
      </c>
      <c r="V743" s="179" t="str">
        <f t="array" ref="V743">IF($F743&lt;&gt;"", XLOOKUP($F743,Productos!$A$2:$A1001,Productos!O$2:O1001,"")*$G743,"")</f>
        <v/>
      </c>
      <c r="W743" s="179" t="str">
        <f t="array" ref="W743">IF($F743&lt;&gt;"",XLOOKUP($F743,Productos!$A:$A,Productos!P:P,"Revisar"),"")</f>
        <v/>
      </c>
      <c r="X743" s="179" t="str">
        <f t="array" ref="X743">IF($F743&lt;&gt;"", XLOOKUP($F743,Productos!$A$2:$A1001,Productos!Q$2:Q1001,"")*$G743,"")</f>
        <v/>
      </c>
      <c r="Y743" s="179" t="str">
        <f t="array" ref="Y743">IF($F743&lt;&gt;"",XLOOKUP($F743,Productos!$A:$A,Productos!R:R,"Revisar"),"")</f>
        <v/>
      </c>
      <c r="Z743" s="179" t="str">
        <f t="array" ref="Z743">IF($F743&lt;&gt;"", XLOOKUP($F743,Productos!$A$2:$A1001,Productos!S$2:S1001,"")*$G743,"")</f>
        <v/>
      </c>
      <c r="AA743" s="179" t="str">
        <f t="array" ref="AA743">IF($F743&lt;&gt;"",XLOOKUP($F743,Productos!$A:$A,Productos!T:T,"Revisar"),"")</f>
        <v/>
      </c>
      <c r="AB743" s="179" t="str">
        <f t="array" ref="AB743">IF($F743&lt;&gt;"", XLOOKUP($F743,Productos!$A$2:$A1001,Productos!U$2:U1001,"")*$G743,"")</f>
        <v/>
      </c>
      <c r="AC743" s="179" t="str">
        <f t="array" ref="AC743">IF($F743&lt;&gt;"",XLOOKUP($F743,Productos!$A:$A,Productos!V:V,"Revisar"),"")</f>
        <v/>
      </c>
      <c r="AD743" s="179" t="str">
        <f t="array" ref="AD743">IF($F743&lt;&gt;"", XLOOKUP($F743,Productos!$A$2:$A1001,Productos!W$2:W1001,"")*$G743,"")</f>
        <v/>
      </c>
      <c r="AE743" s="179" t="str">
        <f t="array" ref="AE743">IF($F743&lt;&gt;"",XLOOKUP($F743,Productos!$A:$A,Productos!X:X,"Revisar"),"")</f>
        <v/>
      </c>
      <c r="AF743" s="179" t="str">
        <f t="array" ref="AF743">IF($F743&lt;&gt;"", XLOOKUP($F743,Productos!$A$2:$A1001,Productos!Y$2:Y1001,"")*$G743,"")</f>
        <v/>
      </c>
      <c r="AG743" s="179" t="str">
        <f t="array" ref="AG743">IF($F743&lt;&gt;"",XLOOKUP($F743,Productos!$A:$A,Productos!Z:Z,"Revisar"),"")</f>
        <v/>
      </c>
      <c r="AH743" s="179" t="str">
        <f t="array" ref="AH743">IF($F743&lt;&gt;"", XLOOKUP($F743,Productos!$A$2:$A1001,Productos!AA$2:AA1001,"")*$G743,"")</f>
        <v/>
      </c>
      <c r="AI743" s="179" t="str">
        <f t="array" ref="AI743">IF($F743&lt;&gt;"",XLOOKUP($F743,Productos!$A:$A,Productos!AB:AB,"Revisar"),"")</f>
        <v/>
      </c>
      <c r="AJ743" s="179" t="str">
        <f t="array" ref="AJ743">IF($F743&lt;&gt;"", XLOOKUP($F743,Productos!$A$2:$A1001,Productos!AC$2:AC1001,"")*$G743,"")</f>
        <v/>
      </c>
      <c r="AK743" s="179" t="str">
        <f t="array" ref="AK743">IF($F743&lt;&gt;"",XLOOKUP($F743,Productos!$A:$A,Productos!AD:AD,"Revisar"),"")</f>
        <v/>
      </c>
      <c r="AL743" s="179" t="str">
        <f t="array" ref="AL743">IF($F743&lt;&gt;"", XLOOKUP($F743,Productos!$A$2:$A1001,Productos!AE$2:AE1001,"")*$G743,"")</f>
        <v/>
      </c>
      <c r="AM743" s="179" t="str">
        <f t="array" ref="AM743">IF($F743&lt;&gt;"",XLOOKUP($F743,Productos!$A:$A,Productos!AF:AF,"Revisar"),"")</f>
        <v/>
      </c>
      <c r="AN743" s="179" t="str">
        <f t="array" ref="AN743">IF($F743&lt;&gt;"", XLOOKUP($F743,Productos!$A$2:$A1001,Productos!AG$2:AG1001,"")*$G743,"")</f>
        <v/>
      </c>
      <c r="AO743" s="179" t="str">
        <f t="array" ref="AO743">IF($F743&lt;&gt;"",XLOOKUP($F743,Productos!$A:$A,Productos!AH:AH,"Revisar"),"")</f>
        <v/>
      </c>
      <c r="AP743" s="179" t="str">
        <f t="array" ref="AP743">IF($F743&lt;&gt;"", XLOOKUP($F743,Productos!$A$2:$A1001,Productos!AI$2:AI1001,"")*$G743,"")</f>
        <v/>
      </c>
      <c r="AQ743" s="179" t="str">
        <f t="array" ref="AQ743">IF($F743&lt;&gt;"",XLOOKUP($F743,Productos!$A:$A,Productos!AJ:AJ,"Revisar"),"")</f>
        <v/>
      </c>
      <c r="AR743" s="179" t="str">
        <f t="array" ref="AR743">IF($F743&lt;&gt;"", XLOOKUP($F743,Productos!$A$2:$A1001,Productos!AK$2:AK1001,"")*$G743,"")</f>
        <v/>
      </c>
      <c r="AS743" s="179" t="str">
        <f t="array" ref="AS743">IF($F743&lt;&gt;"",XLOOKUP($F743,Productos!$A:$A,Productos!AL:AL,"Revisar"),"")</f>
        <v/>
      </c>
      <c r="AT743" s="179" t="str">
        <f t="array" ref="AT743">IF($F743&lt;&gt;"", XLOOKUP($F743,Productos!$A$2:$A1001,Productos!AM$2:AM1001,"")*$G743,"")</f>
        <v/>
      </c>
      <c r="AU743" s="179" t="str">
        <f t="array" ref="AU743">IF($F743&lt;&gt;"",XLOOKUP($F743,Productos!$A:$A,Productos!AN:AN,"Revisar"),"")</f>
        <v/>
      </c>
      <c r="AV743" s="179" t="str">
        <f t="array" ref="AV743">IF($F743&lt;&gt;"", XLOOKUP($F743,Productos!$A$2:$A1001,Productos!AO$2:AO1001,"")*$G743,"")</f>
        <v/>
      </c>
      <c r="AW743" s="179" t="str">
        <f t="array" ref="AW743">IF($F743&lt;&gt;"",XLOOKUP($F743,Productos!$A:$A,Productos!AP:AP,"Revisar"),"")</f>
        <v/>
      </c>
      <c r="AX743" s="179" t="str">
        <f t="array" ref="AX743">IF($F743&lt;&gt;"", XLOOKUP($F743,Productos!$A$2:$A1001,Productos!AQ$2:AQ1001,"")*$G743,"")</f>
        <v/>
      </c>
      <c r="AY743" s="179" t="str">
        <f t="array" ref="AY743">IF($F743&lt;&gt;"",XLOOKUP($F743,Productos!$A:$A,Productos!AR:AR,"Revisar"),"")</f>
        <v/>
      </c>
      <c r="AZ743" s="179" t="str">
        <f t="array" ref="AZ743">IF($F743&lt;&gt;"", XLOOKUP($F743,Productos!$A$2:$A1001,Productos!AS$2:AS1001,"")*$G743,"")</f>
        <v/>
      </c>
      <c r="BA743" s="179" t="str">
        <f t="array" ref="BA743">IF($F743&lt;&gt;"",XLOOKUP($F743,Productos!$A:$A,Productos!AT:AT,"Revisar"),"")</f>
        <v/>
      </c>
      <c r="BB743" s="179" t="str">
        <f t="array" ref="BB743">IF($F743&lt;&gt;"", XLOOKUP($F743,Productos!$A$2:$A1001,Productos!AU$2:AU1001,"")*$G743,"")</f>
        <v/>
      </c>
      <c r="BC743" s="179" t="str">
        <f t="array" ref="BC743">IF($F743&lt;&gt;"",XLOOKUP($F743,Productos!$A:$A,Productos!AV:AV,"Revisar"),"")</f>
        <v/>
      </c>
      <c r="BD743" s="179" t="str">
        <f t="array" ref="BD743">IF($F743&lt;&gt;"", XLOOKUP($F743,Productos!$A$2:$A1001,Productos!AW$2:AW1001,"")*$G743,"")</f>
        <v/>
      </c>
      <c r="BE743" s="179" t="str">
        <f t="array" ref="BE743">IF($F743&lt;&gt;"",XLOOKUP($F743,Productos!$A:$A,Productos!AX:AX,"Revisar"),"")</f>
        <v/>
      </c>
      <c r="BF743" s="179" t="str">
        <f t="array" ref="BF743">IF($F743&lt;&gt;"", XLOOKUP($F743,Productos!$A$2:$A1001,Productos!AY$2:AY1001,"")*$G743,"")</f>
        <v/>
      </c>
      <c r="BG743" s="179" t="str">
        <f t="array" ref="BG743">IF($F743&lt;&gt;"",XLOOKUP($F743,Productos!$A:$A,Productos!AZ:AZ,"Revisar"),"")</f>
        <v/>
      </c>
      <c r="BH743" s="179" t="str">
        <f t="array" ref="BH743">IF($F743&lt;&gt;"", XLOOKUP($F743,Productos!$A$2:$A1001,Productos!BA$2:BA1001,"")*$G743,"")</f>
        <v/>
      </c>
      <c r="BI743" s="179" t="str">
        <f t="array" ref="BI743">IF($F743&lt;&gt;"",XLOOKUP($F743,Productos!$A:$A,Productos!BB:BB,"Revisar"),"")</f>
        <v/>
      </c>
      <c r="BJ743" s="179" t="str">
        <f t="array" ref="BJ743">IF($F743&lt;&gt;"", XLOOKUP($F743,Productos!$A$2:$A1001,Productos!BC$2:BC1001,"")*$G743,"")</f>
        <v/>
      </c>
      <c r="BK743" s="179" t="str">
        <f t="array" ref="BK743">IF($F743&lt;&gt;"",XLOOKUP($F743,Productos!$A:$A,Productos!BD:BD,"Revisar"),"")</f>
        <v/>
      </c>
      <c r="BL743" s="179" t="str">
        <f t="array" ref="BL743">IF($F743&lt;&gt;"", XLOOKUP($F743,Productos!$A$2:$A1001,Productos!BE$2:BE1001,"")*$G743,"")</f>
        <v/>
      </c>
      <c r="BM743" s="179" t="str">
        <f t="array" ref="BM743">IF($F743&lt;&gt;"",XLOOKUP($F743,Productos!$A:$A,Productos!BF:BF,"Revisar"),"")</f>
        <v/>
      </c>
      <c r="BN743" s="179" t="str">
        <f t="array" ref="BN743">IF($F743&lt;&gt;"", XLOOKUP($F743,Productos!$A$2:$A1001,Productos!BG$2:BG1001,"")*$G743,"")</f>
        <v/>
      </c>
      <c r="BO743" s="179" t="str">
        <f t="array" ref="BO743">IF($F743&lt;&gt;"",XLOOKUP($F743,Productos!$A:$A,Productos!BH:BH,"Revisar"),"")</f>
        <v/>
      </c>
      <c r="BP743" s="179" t="str">
        <f t="array" ref="BP743">IF($F743&lt;&gt;"", XLOOKUP($F743,Productos!$A$2:$A1001,Productos!BI$2:BI1001,"")*$G743,"")</f>
        <v/>
      </c>
      <c r="BQ743" s="179" t="str">
        <f t="array" ref="BQ743">IF($F743&lt;&gt;"",XLOOKUP($F743,Productos!$A:$A,Productos!BJ:BJ,"Revisar"),"")</f>
        <v/>
      </c>
      <c r="BR743" s="179" t="str">
        <f t="array" ref="BR743">IF($F743&lt;&gt;"", XLOOKUP($F743,Productos!$A$2:$A1001,Productos!BK$2:BK1001,"")*$G743,"")</f>
        <v/>
      </c>
      <c r="BS743" s="179" t="str">
        <f t="array" ref="BS743">IF($F743&lt;&gt;"",XLOOKUP($F743,Productos!$A:$A,Productos!BL:BL,"Revisar"),"")</f>
        <v/>
      </c>
      <c r="BT743" s="179" t="str">
        <f t="array" ref="BT743">IF($F743&lt;&gt;"", XLOOKUP($F743,Productos!$A$2:$A1001,Productos!BM$2:BM1001,"")*$G743,"")</f>
        <v/>
      </c>
      <c r="BU743" s="179" t="str">
        <f t="array" ref="BU743">IF($F743&lt;&gt;"",XLOOKUP($F743,Productos!$A:$A,Productos!BN:BN,"Revisar"),"")</f>
        <v/>
      </c>
      <c r="BV743" s="179" t="str">
        <f t="array" ref="BV743">IF($F743&lt;&gt;"", XLOOKUP($F743,Productos!$A$2:$A1001,Productos!BO$2:BO1001,"")*$G743,"")</f>
        <v/>
      </c>
      <c r="BW743" s="179" t="str">
        <f t="array" ref="BW743">IF($F743&lt;&gt;"",XLOOKUP($F743,Productos!$A:$A,Productos!BP:BP,"Revisar"),"")</f>
        <v/>
      </c>
      <c r="BX743" s="179" t="str">
        <f t="array" ref="BX743">IF($F743&lt;&gt;"", XLOOKUP($F743,Productos!$A$2:$A1001,Productos!BQ$2:BQ1001,"")*$G743,"")</f>
        <v/>
      </c>
      <c r="BY743" s="179" t="str">
        <f t="array" ref="BY743">IF($F743&lt;&gt;"",XLOOKUP($F743,Productos!$A:$A,Productos!BR:BR,"Revisar"),"")</f>
        <v/>
      </c>
      <c r="BZ743" s="179" t="str">
        <f t="array" ref="BZ743">IF($F743&lt;&gt;"", XLOOKUP($F743,Productos!$A$2:$A1001,Productos!BS$2:BS1001,"")*$G743,"")</f>
        <v/>
      </c>
    </row>
    <row r="744">
      <c r="A744" s="188"/>
      <c r="B744" s="189"/>
      <c r="C744" s="190"/>
      <c r="D744" s="190"/>
      <c r="E744" s="191"/>
      <c r="F744" s="186"/>
      <c r="G744" s="192"/>
      <c r="H744" s="9"/>
      <c r="I744" s="179" t="str">
        <f t="array" ref="I744">IF($F744&lt;&gt;"",XLOOKUP($F744,Productos!$A:$A,Productos!B:B,"Revisar"),"")</f>
        <v/>
      </c>
      <c r="J744" s="179" t="str">
        <f t="array" ref="J744">IF($F744&lt;&gt;"", XLOOKUP($F744,Productos!$A$2:$A1001,Productos!C$2:C1001,"")*$G744,"")</f>
        <v/>
      </c>
      <c r="K744" s="179" t="str">
        <f t="array" ref="K744">IF($F744&lt;&gt;"",XLOOKUP($F744,Productos!$A:$A,Productos!D:D,"Revisar"),"")</f>
        <v/>
      </c>
      <c r="L744" s="179" t="str">
        <f t="array" ref="L744">IF($F744&lt;&gt;"", XLOOKUP($F744,Productos!$A$2:$A1001,Productos!E$2:E1001,"")*$G744,"")</f>
        <v/>
      </c>
      <c r="M744" s="179" t="str">
        <f t="array" ref="M744">IF($F744&lt;&gt;"",XLOOKUP($F744,Productos!$A:$A,Productos!F:F,"Revisar"),"")</f>
        <v/>
      </c>
      <c r="N744" s="179" t="str">
        <f t="array" ref="N744">IF($F744&lt;&gt;"", XLOOKUP($F744,Productos!$A$2:$A1001,Productos!G$2:G1001,"")*$G744,"")</f>
        <v/>
      </c>
      <c r="O744" s="179" t="str">
        <f t="array" ref="O744">IF($F744&lt;&gt;"",XLOOKUP($F744,Productos!$A:$A,Productos!H:H,"Revisar"),"")</f>
        <v/>
      </c>
      <c r="P744" s="179" t="str">
        <f t="array" ref="P744">IF($F744&lt;&gt;"", XLOOKUP($F744,Productos!$A$2:$A1001,Productos!I$2:I1001,"")*$G744,"")</f>
        <v/>
      </c>
      <c r="Q744" s="179" t="str">
        <f t="array" ref="Q744">IF($F744&lt;&gt;"",XLOOKUP($F744,Productos!$A:$A,Productos!J:J,"Revisar"),"")</f>
        <v/>
      </c>
      <c r="R744" s="179" t="str">
        <f t="array" ref="R744">IF($F744&lt;&gt;"", XLOOKUP($F744,Productos!$A$2:$A1001,Productos!K$2:K1001,"")*$G744,"")</f>
        <v/>
      </c>
      <c r="S744" s="179" t="str">
        <f t="array" ref="S744">IF($F744&lt;&gt;"",XLOOKUP($F744,Productos!$A:$A,Productos!L:L,"Revisar"),"")</f>
        <v/>
      </c>
      <c r="T744" s="179" t="str">
        <f t="array" ref="T744">IF($F744&lt;&gt;"", XLOOKUP($F744,Productos!$A$2:$A1001,Productos!M$2:M1001,"")*$G744,"")</f>
        <v/>
      </c>
      <c r="U744" s="179" t="str">
        <f t="array" ref="U744">IF($F744&lt;&gt;"",XLOOKUP($F744,Productos!$A:$A,Productos!N:N,"Revisar"),"")</f>
        <v/>
      </c>
      <c r="V744" s="179" t="str">
        <f t="array" ref="V744">IF($F744&lt;&gt;"", XLOOKUP($F744,Productos!$A$2:$A1001,Productos!O$2:O1001,"")*$G744,"")</f>
        <v/>
      </c>
      <c r="W744" s="179" t="str">
        <f t="array" ref="W744">IF($F744&lt;&gt;"",XLOOKUP($F744,Productos!$A:$A,Productos!P:P,"Revisar"),"")</f>
        <v/>
      </c>
      <c r="X744" s="179" t="str">
        <f t="array" ref="X744">IF($F744&lt;&gt;"", XLOOKUP($F744,Productos!$A$2:$A1001,Productos!Q$2:Q1001,"")*$G744,"")</f>
        <v/>
      </c>
      <c r="Y744" s="179" t="str">
        <f t="array" ref="Y744">IF($F744&lt;&gt;"",XLOOKUP($F744,Productos!$A:$A,Productos!R:R,"Revisar"),"")</f>
        <v/>
      </c>
      <c r="Z744" s="179" t="str">
        <f t="array" ref="Z744">IF($F744&lt;&gt;"", XLOOKUP($F744,Productos!$A$2:$A1001,Productos!S$2:S1001,"")*$G744,"")</f>
        <v/>
      </c>
      <c r="AA744" s="179" t="str">
        <f t="array" ref="AA744">IF($F744&lt;&gt;"",XLOOKUP($F744,Productos!$A:$A,Productos!T:T,"Revisar"),"")</f>
        <v/>
      </c>
      <c r="AB744" s="179" t="str">
        <f t="array" ref="AB744">IF($F744&lt;&gt;"", XLOOKUP($F744,Productos!$A$2:$A1001,Productos!U$2:U1001,"")*$G744,"")</f>
        <v/>
      </c>
      <c r="AC744" s="179" t="str">
        <f t="array" ref="AC744">IF($F744&lt;&gt;"",XLOOKUP($F744,Productos!$A:$A,Productos!V:V,"Revisar"),"")</f>
        <v/>
      </c>
      <c r="AD744" s="179" t="str">
        <f t="array" ref="AD744">IF($F744&lt;&gt;"", XLOOKUP($F744,Productos!$A$2:$A1001,Productos!W$2:W1001,"")*$G744,"")</f>
        <v/>
      </c>
      <c r="AE744" s="179" t="str">
        <f t="array" ref="AE744">IF($F744&lt;&gt;"",XLOOKUP($F744,Productos!$A:$A,Productos!X:X,"Revisar"),"")</f>
        <v/>
      </c>
      <c r="AF744" s="179" t="str">
        <f t="array" ref="AF744">IF($F744&lt;&gt;"", XLOOKUP($F744,Productos!$A$2:$A1001,Productos!Y$2:Y1001,"")*$G744,"")</f>
        <v/>
      </c>
      <c r="AG744" s="179" t="str">
        <f t="array" ref="AG744">IF($F744&lt;&gt;"",XLOOKUP($F744,Productos!$A:$A,Productos!Z:Z,"Revisar"),"")</f>
        <v/>
      </c>
      <c r="AH744" s="179" t="str">
        <f t="array" ref="AH744">IF($F744&lt;&gt;"", XLOOKUP($F744,Productos!$A$2:$A1001,Productos!AA$2:AA1001,"")*$G744,"")</f>
        <v/>
      </c>
      <c r="AI744" s="179" t="str">
        <f t="array" ref="AI744">IF($F744&lt;&gt;"",XLOOKUP($F744,Productos!$A:$A,Productos!AB:AB,"Revisar"),"")</f>
        <v/>
      </c>
      <c r="AJ744" s="179" t="str">
        <f t="array" ref="AJ744">IF($F744&lt;&gt;"", XLOOKUP($F744,Productos!$A$2:$A1001,Productos!AC$2:AC1001,"")*$G744,"")</f>
        <v/>
      </c>
      <c r="AK744" s="179" t="str">
        <f t="array" ref="AK744">IF($F744&lt;&gt;"",XLOOKUP($F744,Productos!$A:$A,Productos!AD:AD,"Revisar"),"")</f>
        <v/>
      </c>
      <c r="AL744" s="179" t="str">
        <f t="array" ref="AL744">IF($F744&lt;&gt;"", XLOOKUP($F744,Productos!$A$2:$A1001,Productos!AE$2:AE1001,"")*$G744,"")</f>
        <v/>
      </c>
      <c r="AM744" s="179" t="str">
        <f t="array" ref="AM744">IF($F744&lt;&gt;"",XLOOKUP($F744,Productos!$A:$A,Productos!AF:AF,"Revisar"),"")</f>
        <v/>
      </c>
      <c r="AN744" s="179" t="str">
        <f t="array" ref="AN744">IF($F744&lt;&gt;"", XLOOKUP($F744,Productos!$A$2:$A1001,Productos!AG$2:AG1001,"")*$G744,"")</f>
        <v/>
      </c>
      <c r="AO744" s="179" t="str">
        <f t="array" ref="AO744">IF($F744&lt;&gt;"",XLOOKUP($F744,Productos!$A:$A,Productos!AH:AH,"Revisar"),"")</f>
        <v/>
      </c>
      <c r="AP744" s="179" t="str">
        <f t="array" ref="AP744">IF($F744&lt;&gt;"", XLOOKUP($F744,Productos!$A$2:$A1001,Productos!AI$2:AI1001,"")*$G744,"")</f>
        <v/>
      </c>
      <c r="AQ744" s="179" t="str">
        <f t="array" ref="AQ744">IF($F744&lt;&gt;"",XLOOKUP($F744,Productos!$A:$A,Productos!AJ:AJ,"Revisar"),"")</f>
        <v/>
      </c>
      <c r="AR744" s="179" t="str">
        <f t="array" ref="AR744">IF($F744&lt;&gt;"", XLOOKUP($F744,Productos!$A$2:$A1001,Productos!AK$2:AK1001,"")*$G744,"")</f>
        <v/>
      </c>
      <c r="AS744" s="179" t="str">
        <f t="array" ref="AS744">IF($F744&lt;&gt;"",XLOOKUP($F744,Productos!$A:$A,Productos!AL:AL,"Revisar"),"")</f>
        <v/>
      </c>
      <c r="AT744" s="179" t="str">
        <f t="array" ref="AT744">IF($F744&lt;&gt;"", XLOOKUP($F744,Productos!$A$2:$A1001,Productos!AM$2:AM1001,"")*$G744,"")</f>
        <v/>
      </c>
      <c r="AU744" s="179" t="str">
        <f t="array" ref="AU744">IF($F744&lt;&gt;"",XLOOKUP($F744,Productos!$A:$A,Productos!AN:AN,"Revisar"),"")</f>
        <v/>
      </c>
      <c r="AV744" s="179" t="str">
        <f t="array" ref="AV744">IF($F744&lt;&gt;"", XLOOKUP($F744,Productos!$A$2:$A1001,Productos!AO$2:AO1001,"")*$G744,"")</f>
        <v/>
      </c>
      <c r="AW744" s="179" t="str">
        <f t="array" ref="AW744">IF($F744&lt;&gt;"",XLOOKUP($F744,Productos!$A:$A,Productos!AP:AP,"Revisar"),"")</f>
        <v/>
      </c>
      <c r="AX744" s="179" t="str">
        <f t="array" ref="AX744">IF($F744&lt;&gt;"", XLOOKUP($F744,Productos!$A$2:$A1001,Productos!AQ$2:AQ1001,"")*$G744,"")</f>
        <v/>
      </c>
      <c r="AY744" s="179" t="str">
        <f t="array" ref="AY744">IF($F744&lt;&gt;"",XLOOKUP($F744,Productos!$A:$A,Productos!AR:AR,"Revisar"),"")</f>
        <v/>
      </c>
      <c r="AZ744" s="179" t="str">
        <f t="array" ref="AZ744">IF($F744&lt;&gt;"", XLOOKUP($F744,Productos!$A$2:$A1001,Productos!AS$2:AS1001,"")*$G744,"")</f>
        <v/>
      </c>
      <c r="BA744" s="179" t="str">
        <f t="array" ref="BA744">IF($F744&lt;&gt;"",XLOOKUP($F744,Productos!$A:$A,Productos!AT:AT,"Revisar"),"")</f>
        <v/>
      </c>
      <c r="BB744" s="179" t="str">
        <f t="array" ref="BB744">IF($F744&lt;&gt;"", XLOOKUP($F744,Productos!$A$2:$A1001,Productos!AU$2:AU1001,"")*$G744,"")</f>
        <v/>
      </c>
      <c r="BC744" s="179" t="str">
        <f t="array" ref="BC744">IF($F744&lt;&gt;"",XLOOKUP($F744,Productos!$A:$A,Productos!AV:AV,"Revisar"),"")</f>
        <v/>
      </c>
      <c r="BD744" s="179" t="str">
        <f t="array" ref="BD744">IF($F744&lt;&gt;"", XLOOKUP($F744,Productos!$A$2:$A1001,Productos!AW$2:AW1001,"")*$G744,"")</f>
        <v/>
      </c>
      <c r="BE744" s="179" t="str">
        <f t="array" ref="BE744">IF($F744&lt;&gt;"",XLOOKUP($F744,Productos!$A:$A,Productos!AX:AX,"Revisar"),"")</f>
        <v/>
      </c>
      <c r="BF744" s="179" t="str">
        <f t="array" ref="BF744">IF($F744&lt;&gt;"", XLOOKUP($F744,Productos!$A$2:$A1001,Productos!AY$2:AY1001,"")*$G744,"")</f>
        <v/>
      </c>
      <c r="BG744" s="179" t="str">
        <f t="array" ref="BG744">IF($F744&lt;&gt;"",XLOOKUP($F744,Productos!$A:$A,Productos!AZ:AZ,"Revisar"),"")</f>
        <v/>
      </c>
      <c r="BH744" s="179" t="str">
        <f t="array" ref="BH744">IF($F744&lt;&gt;"", XLOOKUP($F744,Productos!$A$2:$A1001,Productos!BA$2:BA1001,"")*$G744,"")</f>
        <v/>
      </c>
      <c r="BI744" s="179" t="str">
        <f t="array" ref="BI744">IF($F744&lt;&gt;"",XLOOKUP($F744,Productos!$A:$A,Productos!BB:BB,"Revisar"),"")</f>
        <v/>
      </c>
      <c r="BJ744" s="179" t="str">
        <f t="array" ref="BJ744">IF($F744&lt;&gt;"", XLOOKUP($F744,Productos!$A$2:$A1001,Productos!BC$2:BC1001,"")*$G744,"")</f>
        <v/>
      </c>
      <c r="BK744" s="179" t="str">
        <f t="array" ref="BK744">IF($F744&lt;&gt;"",XLOOKUP($F744,Productos!$A:$A,Productos!BD:BD,"Revisar"),"")</f>
        <v/>
      </c>
      <c r="BL744" s="179" t="str">
        <f t="array" ref="BL744">IF($F744&lt;&gt;"", XLOOKUP($F744,Productos!$A$2:$A1001,Productos!BE$2:BE1001,"")*$G744,"")</f>
        <v/>
      </c>
      <c r="BM744" s="179" t="str">
        <f t="array" ref="BM744">IF($F744&lt;&gt;"",XLOOKUP($F744,Productos!$A:$A,Productos!BF:BF,"Revisar"),"")</f>
        <v/>
      </c>
      <c r="BN744" s="179" t="str">
        <f t="array" ref="BN744">IF($F744&lt;&gt;"", XLOOKUP($F744,Productos!$A$2:$A1001,Productos!BG$2:BG1001,"")*$G744,"")</f>
        <v/>
      </c>
      <c r="BO744" s="179" t="str">
        <f t="array" ref="BO744">IF($F744&lt;&gt;"",XLOOKUP($F744,Productos!$A:$A,Productos!BH:BH,"Revisar"),"")</f>
        <v/>
      </c>
      <c r="BP744" s="179" t="str">
        <f t="array" ref="BP744">IF($F744&lt;&gt;"", XLOOKUP($F744,Productos!$A$2:$A1001,Productos!BI$2:BI1001,"")*$G744,"")</f>
        <v/>
      </c>
      <c r="BQ744" s="179" t="str">
        <f t="array" ref="BQ744">IF($F744&lt;&gt;"",XLOOKUP($F744,Productos!$A:$A,Productos!BJ:BJ,"Revisar"),"")</f>
        <v/>
      </c>
      <c r="BR744" s="179" t="str">
        <f t="array" ref="BR744">IF($F744&lt;&gt;"", XLOOKUP($F744,Productos!$A$2:$A1001,Productos!BK$2:BK1001,"")*$G744,"")</f>
        <v/>
      </c>
      <c r="BS744" s="179" t="str">
        <f t="array" ref="BS744">IF($F744&lt;&gt;"",XLOOKUP($F744,Productos!$A:$A,Productos!BL:BL,"Revisar"),"")</f>
        <v/>
      </c>
      <c r="BT744" s="179" t="str">
        <f t="array" ref="BT744">IF($F744&lt;&gt;"", XLOOKUP($F744,Productos!$A$2:$A1001,Productos!BM$2:BM1001,"")*$G744,"")</f>
        <v/>
      </c>
      <c r="BU744" s="179" t="str">
        <f t="array" ref="BU744">IF($F744&lt;&gt;"",XLOOKUP($F744,Productos!$A:$A,Productos!BN:BN,"Revisar"),"")</f>
        <v/>
      </c>
      <c r="BV744" s="179" t="str">
        <f t="array" ref="BV744">IF($F744&lt;&gt;"", XLOOKUP($F744,Productos!$A$2:$A1001,Productos!BO$2:BO1001,"")*$G744,"")</f>
        <v/>
      </c>
      <c r="BW744" s="179" t="str">
        <f t="array" ref="BW744">IF($F744&lt;&gt;"",XLOOKUP($F744,Productos!$A:$A,Productos!BP:BP,"Revisar"),"")</f>
        <v/>
      </c>
      <c r="BX744" s="179" t="str">
        <f t="array" ref="BX744">IF($F744&lt;&gt;"", XLOOKUP($F744,Productos!$A$2:$A1001,Productos!BQ$2:BQ1001,"")*$G744,"")</f>
        <v/>
      </c>
      <c r="BY744" s="179" t="str">
        <f t="array" ref="BY744">IF($F744&lt;&gt;"",XLOOKUP($F744,Productos!$A:$A,Productos!BR:BR,"Revisar"),"")</f>
        <v/>
      </c>
      <c r="BZ744" s="179" t="str">
        <f t="array" ref="BZ744">IF($F744&lt;&gt;"", XLOOKUP($F744,Productos!$A$2:$A1001,Productos!BS$2:BS1001,"")*$G744,"")</f>
        <v/>
      </c>
    </row>
    <row r="745">
      <c r="A745" s="188"/>
      <c r="B745" s="189"/>
      <c r="C745" s="190"/>
      <c r="D745" s="190"/>
      <c r="E745" s="191"/>
      <c r="F745" s="186"/>
      <c r="G745" s="192"/>
      <c r="H745" s="9"/>
      <c r="I745" s="179" t="str">
        <f t="array" ref="I745">IF($F745&lt;&gt;"",XLOOKUP($F745,Productos!$A:$A,Productos!B:B,"Revisar"),"")</f>
        <v/>
      </c>
      <c r="J745" s="179" t="str">
        <f t="array" ref="J745">IF($F745&lt;&gt;"", XLOOKUP($F745,Productos!$A$2:$A1001,Productos!C$2:C1001,"")*$G745,"")</f>
        <v/>
      </c>
      <c r="K745" s="179" t="str">
        <f t="array" ref="K745">IF($F745&lt;&gt;"",XLOOKUP($F745,Productos!$A:$A,Productos!D:D,"Revisar"),"")</f>
        <v/>
      </c>
      <c r="L745" s="179" t="str">
        <f t="array" ref="L745">IF($F745&lt;&gt;"", XLOOKUP($F745,Productos!$A$2:$A1001,Productos!E$2:E1001,"")*$G745,"")</f>
        <v/>
      </c>
      <c r="M745" s="179" t="str">
        <f t="array" ref="M745">IF($F745&lt;&gt;"",XLOOKUP($F745,Productos!$A:$A,Productos!F:F,"Revisar"),"")</f>
        <v/>
      </c>
      <c r="N745" s="179" t="str">
        <f t="array" ref="N745">IF($F745&lt;&gt;"", XLOOKUP($F745,Productos!$A$2:$A1001,Productos!G$2:G1001,"")*$G745,"")</f>
        <v/>
      </c>
      <c r="O745" s="179" t="str">
        <f t="array" ref="O745">IF($F745&lt;&gt;"",XLOOKUP($F745,Productos!$A:$A,Productos!H:H,"Revisar"),"")</f>
        <v/>
      </c>
      <c r="P745" s="179" t="str">
        <f t="array" ref="P745">IF($F745&lt;&gt;"", XLOOKUP($F745,Productos!$A$2:$A1001,Productos!I$2:I1001,"")*$G745,"")</f>
        <v/>
      </c>
      <c r="Q745" s="179" t="str">
        <f t="array" ref="Q745">IF($F745&lt;&gt;"",XLOOKUP($F745,Productos!$A:$A,Productos!J:J,"Revisar"),"")</f>
        <v/>
      </c>
      <c r="R745" s="179" t="str">
        <f t="array" ref="R745">IF($F745&lt;&gt;"", XLOOKUP($F745,Productos!$A$2:$A1001,Productos!K$2:K1001,"")*$G745,"")</f>
        <v/>
      </c>
      <c r="S745" s="179" t="str">
        <f t="array" ref="S745">IF($F745&lt;&gt;"",XLOOKUP($F745,Productos!$A:$A,Productos!L:L,"Revisar"),"")</f>
        <v/>
      </c>
      <c r="T745" s="179" t="str">
        <f t="array" ref="T745">IF($F745&lt;&gt;"", XLOOKUP($F745,Productos!$A$2:$A1001,Productos!M$2:M1001,"")*$G745,"")</f>
        <v/>
      </c>
      <c r="U745" s="179" t="str">
        <f t="array" ref="U745">IF($F745&lt;&gt;"",XLOOKUP($F745,Productos!$A:$A,Productos!N:N,"Revisar"),"")</f>
        <v/>
      </c>
      <c r="V745" s="179" t="str">
        <f t="array" ref="V745">IF($F745&lt;&gt;"", XLOOKUP($F745,Productos!$A$2:$A1001,Productos!O$2:O1001,"")*$G745,"")</f>
        <v/>
      </c>
      <c r="W745" s="179" t="str">
        <f t="array" ref="W745">IF($F745&lt;&gt;"",XLOOKUP($F745,Productos!$A:$A,Productos!P:P,"Revisar"),"")</f>
        <v/>
      </c>
      <c r="X745" s="179" t="str">
        <f t="array" ref="X745">IF($F745&lt;&gt;"", XLOOKUP($F745,Productos!$A$2:$A1001,Productos!Q$2:Q1001,"")*$G745,"")</f>
        <v/>
      </c>
      <c r="Y745" s="179" t="str">
        <f t="array" ref="Y745">IF($F745&lt;&gt;"",XLOOKUP($F745,Productos!$A:$A,Productos!R:R,"Revisar"),"")</f>
        <v/>
      </c>
      <c r="Z745" s="179" t="str">
        <f t="array" ref="Z745">IF($F745&lt;&gt;"", XLOOKUP($F745,Productos!$A$2:$A1001,Productos!S$2:S1001,"")*$G745,"")</f>
        <v/>
      </c>
      <c r="AA745" s="179" t="str">
        <f t="array" ref="AA745">IF($F745&lt;&gt;"",XLOOKUP($F745,Productos!$A:$A,Productos!T:T,"Revisar"),"")</f>
        <v/>
      </c>
      <c r="AB745" s="179" t="str">
        <f t="array" ref="AB745">IF($F745&lt;&gt;"", XLOOKUP($F745,Productos!$A$2:$A1001,Productos!U$2:U1001,"")*$G745,"")</f>
        <v/>
      </c>
      <c r="AC745" s="179" t="str">
        <f t="array" ref="AC745">IF($F745&lt;&gt;"",XLOOKUP($F745,Productos!$A:$A,Productos!V:V,"Revisar"),"")</f>
        <v/>
      </c>
      <c r="AD745" s="179" t="str">
        <f t="array" ref="AD745">IF($F745&lt;&gt;"", XLOOKUP($F745,Productos!$A$2:$A1001,Productos!W$2:W1001,"")*$G745,"")</f>
        <v/>
      </c>
      <c r="AE745" s="179" t="str">
        <f t="array" ref="AE745">IF($F745&lt;&gt;"",XLOOKUP($F745,Productos!$A:$A,Productos!X:X,"Revisar"),"")</f>
        <v/>
      </c>
      <c r="AF745" s="179" t="str">
        <f t="array" ref="AF745">IF($F745&lt;&gt;"", XLOOKUP($F745,Productos!$A$2:$A1001,Productos!Y$2:Y1001,"")*$G745,"")</f>
        <v/>
      </c>
      <c r="AG745" s="179" t="str">
        <f t="array" ref="AG745">IF($F745&lt;&gt;"",XLOOKUP($F745,Productos!$A:$A,Productos!Z:Z,"Revisar"),"")</f>
        <v/>
      </c>
      <c r="AH745" s="179" t="str">
        <f t="array" ref="AH745">IF($F745&lt;&gt;"", XLOOKUP($F745,Productos!$A$2:$A1001,Productos!AA$2:AA1001,"")*$G745,"")</f>
        <v/>
      </c>
      <c r="AI745" s="179" t="str">
        <f t="array" ref="AI745">IF($F745&lt;&gt;"",XLOOKUP($F745,Productos!$A:$A,Productos!AB:AB,"Revisar"),"")</f>
        <v/>
      </c>
      <c r="AJ745" s="179" t="str">
        <f t="array" ref="AJ745">IF($F745&lt;&gt;"", XLOOKUP($F745,Productos!$A$2:$A1001,Productos!AC$2:AC1001,"")*$G745,"")</f>
        <v/>
      </c>
      <c r="AK745" s="179" t="str">
        <f t="array" ref="AK745">IF($F745&lt;&gt;"",XLOOKUP($F745,Productos!$A:$A,Productos!AD:AD,"Revisar"),"")</f>
        <v/>
      </c>
      <c r="AL745" s="179" t="str">
        <f t="array" ref="AL745">IF($F745&lt;&gt;"", XLOOKUP($F745,Productos!$A$2:$A1001,Productos!AE$2:AE1001,"")*$G745,"")</f>
        <v/>
      </c>
      <c r="AM745" s="179" t="str">
        <f t="array" ref="AM745">IF($F745&lt;&gt;"",XLOOKUP($F745,Productos!$A:$A,Productos!AF:AF,"Revisar"),"")</f>
        <v/>
      </c>
      <c r="AN745" s="179" t="str">
        <f t="array" ref="AN745">IF($F745&lt;&gt;"", XLOOKUP($F745,Productos!$A$2:$A1001,Productos!AG$2:AG1001,"")*$G745,"")</f>
        <v/>
      </c>
      <c r="AO745" s="179" t="str">
        <f t="array" ref="AO745">IF($F745&lt;&gt;"",XLOOKUP($F745,Productos!$A:$A,Productos!AH:AH,"Revisar"),"")</f>
        <v/>
      </c>
      <c r="AP745" s="179" t="str">
        <f t="array" ref="AP745">IF($F745&lt;&gt;"", XLOOKUP($F745,Productos!$A$2:$A1001,Productos!AI$2:AI1001,"")*$G745,"")</f>
        <v/>
      </c>
      <c r="AQ745" s="179" t="str">
        <f t="array" ref="AQ745">IF($F745&lt;&gt;"",XLOOKUP($F745,Productos!$A:$A,Productos!AJ:AJ,"Revisar"),"")</f>
        <v/>
      </c>
      <c r="AR745" s="179" t="str">
        <f t="array" ref="AR745">IF($F745&lt;&gt;"", XLOOKUP($F745,Productos!$A$2:$A1001,Productos!AK$2:AK1001,"")*$G745,"")</f>
        <v/>
      </c>
      <c r="AS745" s="179" t="str">
        <f t="array" ref="AS745">IF($F745&lt;&gt;"",XLOOKUP($F745,Productos!$A:$A,Productos!AL:AL,"Revisar"),"")</f>
        <v/>
      </c>
      <c r="AT745" s="179" t="str">
        <f t="array" ref="AT745">IF($F745&lt;&gt;"", XLOOKUP($F745,Productos!$A$2:$A1001,Productos!AM$2:AM1001,"")*$G745,"")</f>
        <v/>
      </c>
      <c r="AU745" s="179" t="str">
        <f t="array" ref="AU745">IF($F745&lt;&gt;"",XLOOKUP($F745,Productos!$A:$A,Productos!AN:AN,"Revisar"),"")</f>
        <v/>
      </c>
      <c r="AV745" s="179" t="str">
        <f t="array" ref="AV745">IF($F745&lt;&gt;"", XLOOKUP($F745,Productos!$A$2:$A1001,Productos!AO$2:AO1001,"")*$G745,"")</f>
        <v/>
      </c>
      <c r="AW745" s="179" t="str">
        <f t="array" ref="AW745">IF($F745&lt;&gt;"",XLOOKUP($F745,Productos!$A:$A,Productos!AP:AP,"Revisar"),"")</f>
        <v/>
      </c>
      <c r="AX745" s="179" t="str">
        <f t="array" ref="AX745">IF($F745&lt;&gt;"", XLOOKUP($F745,Productos!$A$2:$A1001,Productos!AQ$2:AQ1001,"")*$G745,"")</f>
        <v/>
      </c>
      <c r="AY745" s="179" t="str">
        <f t="array" ref="AY745">IF($F745&lt;&gt;"",XLOOKUP($F745,Productos!$A:$A,Productos!AR:AR,"Revisar"),"")</f>
        <v/>
      </c>
      <c r="AZ745" s="179" t="str">
        <f t="array" ref="AZ745">IF($F745&lt;&gt;"", XLOOKUP($F745,Productos!$A$2:$A1001,Productos!AS$2:AS1001,"")*$G745,"")</f>
        <v/>
      </c>
      <c r="BA745" s="179" t="str">
        <f t="array" ref="BA745">IF($F745&lt;&gt;"",XLOOKUP($F745,Productos!$A:$A,Productos!AT:AT,"Revisar"),"")</f>
        <v/>
      </c>
      <c r="BB745" s="179" t="str">
        <f t="array" ref="BB745">IF($F745&lt;&gt;"", XLOOKUP($F745,Productos!$A$2:$A1001,Productos!AU$2:AU1001,"")*$G745,"")</f>
        <v/>
      </c>
      <c r="BC745" s="179" t="str">
        <f t="array" ref="BC745">IF($F745&lt;&gt;"",XLOOKUP($F745,Productos!$A:$A,Productos!AV:AV,"Revisar"),"")</f>
        <v/>
      </c>
      <c r="BD745" s="179" t="str">
        <f t="array" ref="BD745">IF($F745&lt;&gt;"", XLOOKUP($F745,Productos!$A$2:$A1001,Productos!AW$2:AW1001,"")*$G745,"")</f>
        <v/>
      </c>
      <c r="BE745" s="179" t="str">
        <f t="array" ref="BE745">IF($F745&lt;&gt;"",XLOOKUP($F745,Productos!$A:$A,Productos!AX:AX,"Revisar"),"")</f>
        <v/>
      </c>
      <c r="BF745" s="179" t="str">
        <f t="array" ref="BF745">IF($F745&lt;&gt;"", XLOOKUP($F745,Productos!$A$2:$A1001,Productos!AY$2:AY1001,"")*$G745,"")</f>
        <v/>
      </c>
      <c r="BG745" s="179" t="str">
        <f t="array" ref="BG745">IF($F745&lt;&gt;"",XLOOKUP($F745,Productos!$A:$A,Productos!AZ:AZ,"Revisar"),"")</f>
        <v/>
      </c>
      <c r="BH745" s="179" t="str">
        <f t="array" ref="BH745">IF($F745&lt;&gt;"", XLOOKUP($F745,Productos!$A$2:$A1001,Productos!BA$2:BA1001,"")*$G745,"")</f>
        <v/>
      </c>
      <c r="BI745" s="179" t="str">
        <f t="array" ref="BI745">IF($F745&lt;&gt;"",XLOOKUP($F745,Productos!$A:$A,Productos!BB:BB,"Revisar"),"")</f>
        <v/>
      </c>
      <c r="BJ745" s="179" t="str">
        <f t="array" ref="BJ745">IF($F745&lt;&gt;"", XLOOKUP($F745,Productos!$A$2:$A1001,Productos!BC$2:BC1001,"")*$G745,"")</f>
        <v/>
      </c>
      <c r="BK745" s="179" t="str">
        <f t="array" ref="BK745">IF($F745&lt;&gt;"",XLOOKUP($F745,Productos!$A:$A,Productos!BD:BD,"Revisar"),"")</f>
        <v/>
      </c>
      <c r="BL745" s="179" t="str">
        <f t="array" ref="BL745">IF($F745&lt;&gt;"", XLOOKUP($F745,Productos!$A$2:$A1001,Productos!BE$2:BE1001,"")*$G745,"")</f>
        <v/>
      </c>
      <c r="BM745" s="179" t="str">
        <f t="array" ref="BM745">IF($F745&lt;&gt;"",XLOOKUP($F745,Productos!$A:$A,Productos!BF:BF,"Revisar"),"")</f>
        <v/>
      </c>
      <c r="BN745" s="179" t="str">
        <f t="array" ref="BN745">IF($F745&lt;&gt;"", XLOOKUP($F745,Productos!$A$2:$A1001,Productos!BG$2:BG1001,"")*$G745,"")</f>
        <v/>
      </c>
      <c r="BO745" s="179" t="str">
        <f t="array" ref="BO745">IF($F745&lt;&gt;"",XLOOKUP($F745,Productos!$A:$A,Productos!BH:BH,"Revisar"),"")</f>
        <v/>
      </c>
      <c r="BP745" s="179" t="str">
        <f t="array" ref="BP745">IF($F745&lt;&gt;"", XLOOKUP($F745,Productos!$A$2:$A1001,Productos!BI$2:BI1001,"")*$G745,"")</f>
        <v/>
      </c>
      <c r="BQ745" s="179" t="str">
        <f t="array" ref="BQ745">IF($F745&lt;&gt;"",XLOOKUP($F745,Productos!$A:$A,Productos!BJ:BJ,"Revisar"),"")</f>
        <v/>
      </c>
      <c r="BR745" s="179" t="str">
        <f t="array" ref="BR745">IF($F745&lt;&gt;"", XLOOKUP($F745,Productos!$A$2:$A1001,Productos!BK$2:BK1001,"")*$G745,"")</f>
        <v/>
      </c>
      <c r="BS745" s="179" t="str">
        <f t="array" ref="BS745">IF($F745&lt;&gt;"",XLOOKUP($F745,Productos!$A:$A,Productos!BL:BL,"Revisar"),"")</f>
        <v/>
      </c>
      <c r="BT745" s="179" t="str">
        <f t="array" ref="BT745">IF($F745&lt;&gt;"", XLOOKUP($F745,Productos!$A$2:$A1001,Productos!BM$2:BM1001,"")*$G745,"")</f>
        <v/>
      </c>
      <c r="BU745" s="179" t="str">
        <f t="array" ref="BU745">IF($F745&lt;&gt;"",XLOOKUP($F745,Productos!$A:$A,Productos!BN:BN,"Revisar"),"")</f>
        <v/>
      </c>
      <c r="BV745" s="179" t="str">
        <f t="array" ref="BV745">IF($F745&lt;&gt;"", XLOOKUP($F745,Productos!$A$2:$A1001,Productos!BO$2:BO1001,"")*$G745,"")</f>
        <v/>
      </c>
      <c r="BW745" s="179" t="str">
        <f t="array" ref="BW745">IF($F745&lt;&gt;"",XLOOKUP($F745,Productos!$A:$A,Productos!BP:BP,"Revisar"),"")</f>
        <v/>
      </c>
      <c r="BX745" s="179" t="str">
        <f t="array" ref="BX745">IF($F745&lt;&gt;"", XLOOKUP($F745,Productos!$A$2:$A1001,Productos!BQ$2:BQ1001,"")*$G745,"")</f>
        <v/>
      </c>
      <c r="BY745" s="179" t="str">
        <f t="array" ref="BY745">IF($F745&lt;&gt;"",XLOOKUP($F745,Productos!$A:$A,Productos!BR:BR,"Revisar"),"")</f>
        <v/>
      </c>
      <c r="BZ745" s="179" t="str">
        <f t="array" ref="BZ745">IF($F745&lt;&gt;"", XLOOKUP($F745,Productos!$A$2:$A1001,Productos!BS$2:BS1001,"")*$G745,"")</f>
        <v/>
      </c>
    </row>
    <row r="746">
      <c r="A746" s="188"/>
      <c r="B746" s="189"/>
      <c r="C746" s="190"/>
      <c r="D746" s="190"/>
      <c r="E746" s="191"/>
      <c r="F746" s="186"/>
      <c r="G746" s="192"/>
      <c r="H746" s="9"/>
      <c r="I746" s="179" t="str">
        <f t="array" ref="I746">IF($F746&lt;&gt;"",XLOOKUP($F746,Productos!$A:$A,Productos!B:B,"Revisar"),"")</f>
        <v/>
      </c>
      <c r="J746" s="179" t="str">
        <f t="array" ref="J746">IF($F746&lt;&gt;"", XLOOKUP($F746,Productos!$A$2:$A1001,Productos!C$2:C1001,"")*$G746,"")</f>
        <v/>
      </c>
      <c r="K746" s="179" t="str">
        <f t="array" ref="K746">IF($F746&lt;&gt;"",XLOOKUP($F746,Productos!$A:$A,Productos!D:D,"Revisar"),"")</f>
        <v/>
      </c>
      <c r="L746" s="179" t="str">
        <f t="array" ref="L746">IF($F746&lt;&gt;"", XLOOKUP($F746,Productos!$A$2:$A1001,Productos!E$2:E1001,"")*$G746,"")</f>
        <v/>
      </c>
      <c r="M746" s="179" t="str">
        <f t="array" ref="M746">IF($F746&lt;&gt;"",XLOOKUP($F746,Productos!$A:$A,Productos!F:F,"Revisar"),"")</f>
        <v/>
      </c>
      <c r="N746" s="179" t="str">
        <f t="array" ref="N746">IF($F746&lt;&gt;"", XLOOKUP($F746,Productos!$A$2:$A1001,Productos!G$2:G1001,"")*$G746,"")</f>
        <v/>
      </c>
      <c r="O746" s="179" t="str">
        <f t="array" ref="O746">IF($F746&lt;&gt;"",XLOOKUP($F746,Productos!$A:$A,Productos!H:H,"Revisar"),"")</f>
        <v/>
      </c>
      <c r="P746" s="179" t="str">
        <f t="array" ref="P746">IF($F746&lt;&gt;"", XLOOKUP($F746,Productos!$A$2:$A1001,Productos!I$2:I1001,"")*$G746,"")</f>
        <v/>
      </c>
      <c r="Q746" s="179" t="str">
        <f t="array" ref="Q746">IF($F746&lt;&gt;"",XLOOKUP($F746,Productos!$A:$A,Productos!J:J,"Revisar"),"")</f>
        <v/>
      </c>
      <c r="R746" s="179" t="str">
        <f t="array" ref="R746">IF($F746&lt;&gt;"", XLOOKUP($F746,Productos!$A$2:$A1001,Productos!K$2:K1001,"")*$G746,"")</f>
        <v/>
      </c>
      <c r="S746" s="179" t="str">
        <f t="array" ref="S746">IF($F746&lt;&gt;"",XLOOKUP($F746,Productos!$A:$A,Productos!L:L,"Revisar"),"")</f>
        <v/>
      </c>
      <c r="T746" s="179" t="str">
        <f t="array" ref="T746">IF($F746&lt;&gt;"", XLOOKUP($F746,Productos!$A$2:$A1001,Productos!M$2:M1001,"")*$G746,"")</f>
        <v/>
      </c>
      <c r="U746" s="179" t="str">
        <f t="array" ref="U746">IF($F746&lt;&gt;"",XLOOKUP($F746,Productos!$A:$A,Productos!N:N,"Revisar"),"")</f>
        <v/>
      </c>
      <c r="V746" s="179" t="str">
        <f t="array" ref="V746">IF($F746&lt;&gt;"", XLOOKUP($F746,Productos!$A$2:$A1001,Productos!O$2:O1001,"")*$G746,"")</f>
        <v/>
      </c>
      <c r="W746" s="179" t="str">
        <f t="array" ref="W746">IF($F746&lt;&gt;"",XLOOKUP($F746,Productos!$A:$A,Productos!P:P,"Revisar"),"")</f>
        <v/>
      </c>
      <c r="X746" s="179" t="str">
        <f t="array" ref="X746">IF($F746&lt;&gt;"", XLOOKUP($F746,Productos!$A$2:$A1001,Productos!Q$2:Q1001,"")*$G746,"")</f>
        <v/>
      </c>
      <c r="Y746" s="179" t="str">
        <f t="array" ref="Y746">IF($F746&lt;&gt;"",XLOOKUP($F746,Productos!$A:$A,Productos!R:R,"Revisar"),"")</f>
        <v/>
      </c>
      <c r="Z746" s="179" t="str">
        <f t="array" ref="Z746">IF($F746&lt;&gt;"", XLOOKUP($F746,Productos!$A$2:$A1001,Productos!S$2:S1001,"")*$G746,"")</f>
        <v/>
      </c>
      <c r="AA746" s="179" t="str">
        <f t="array" ref="AA746">IF($F746&lt;&gt;"",XLOOKUP($F746,Productos!$A:$A,Productos!T:T,"Revisar"),"")</f>
        <v/>
      </c>
      <c r="AB746" s="179" t="str">
        <f t="array" ref="AB746">IF($F746&lt;&gt;"", XLOOKUP($F746,Productos!$A$2:$A1001,Productos!U$2:U1001,"")*$G746,"")</f>
        <v/>
      </c>
      <c r="AC746" s="179" t="str">
        <f t="array" ref="AC746">IF($F746&lt;&gt;"",XLOOKUP($F746,Productos!$A:$A,Productos!V:V,"Revisar"),"")</f>
        <v/>
      </c>
      <c r="AD746" s="179" t="str">
        <f t="array" ref="AD746">IF($F746&lt;&gt;"", XLOOKUP($F746,Productos!$A$2:$A1001,Productos!W$2:W1001,"")*$G746,"")</f>
        <v/>
      </c>
      <c r="AE746" s="179" t="str">
        <f t="array" ref="AE746">IF($F746&lt;&gt;"",XLOOKUP($F746,Productos!$A:$A,Productos!X:X,"Revisar"),"")</f>
        <v/>
      </c>
      <c r="AF746" s="179" t="str">
        <f t="array" ref="AF746">IF($F746&lt;&gt;"", XLOOKUP($F746,Productos!$A$2:$A1001,Productos!Y$2:Y1001,"")*$G746,"")</f>
        <v/>
      </c>
      <c r="AG746" s="179" t="str">
        <f t="array" ref="AG746">IF($F746&lt;&gt;"",XLOOKUP($F746,Productos!$A:$A,Productos!Z:Z,"Revisar"),"")</f>
        <v/>
      </c>
      <c r="AH746" s="179" t="str">
        <f t="array" ref="AH746">IF($F746&lt;&gt;"", XLOOKUP($F746,Productos!$A$2:$A1001,Productos!AA$2:AA1001,"")*$G746,"")</f>
        <v/>
      </c>
      <c r="AI746" s="179" t="str">
        <f t="array" ref="AI746">IF($F746&lt;&gt;"",XLOOKUP($F746,Productos!$A:$A,Productos!AB:AB,"Revisar"),"")</f>
        <v/>
      </c>
      <c r="AJ746" s="179" t="str">
        <f t="array" ref="AJ746">IF($F746&lt;&gt;"", XLOOKUP($F746,Productos!$A$2:$A1001,Productos!AC$2:AC1001,"")*$G746,"")</f>
        <v/>
      </c>
      <c r="AK746" s="179" t="str">
        <f t="array" ref="AK746">IF($F746&lt;&gt;"",XLOOKUP($F746,Productos!$A:$A,Productos!AD:AD,"Revisar"),"")</f>
        <v/>
      </c>
      <c r="AL746" s="179" t="str">
        <f t="array" ref="AL746">IF($F746&lt;&gt;"", XLOOKUP($F746,Productos!$A$2:$A1001,Productos!AE$2:AE1001,"")*$G746,"")</f>
        <v/>
      </c>
      <c r="AM746" s="179" t="str">
        <f t="array" ref="AM746">IF($F746&lt;&gt;"",XLOOKUP($F746,Productos!$A:$A,Productos!AF:AF,"Revisar"),"")</f>
        <v/>
      </c>
      <c r="AN746" s="179" t="str">
        <f t="array" ref="AN746">IF($F746&lt;&gt;"", XLOOKUP($F746,Productos!$A$2:$A1001,Productos!AG$2:AG1001,"")*$G746,"")</f>
        <v/>
      </c>
      <c r="AO746" s="179" t="str">
        <f t="array" ref="AO746">IF($F746&lt;&gt;"",XLOOKUP($F746,Productos!$A:$A,Productos!AH:AH,"Revisar"),"")</f>
        <v/>
      </c>
      <c r="AP746" s="179" t="str">
        <f t="array" ref="AP746">IF($F746&lt;&gt;"", XLOOKUP($F746,Productos!$A$2:$A1001,Productos!AI$2:AI1001,"")*$G746,"")</f>
        <v/>
      </c>
      <c r="AQ746" s="179" t="str">
        <f t="array" ref="AQ746">IF($F746&lt;&gt;"",XLOOKUP($F746,Productos!$A:$A,Productos!AJ:AJ,"Revisar"),"")</f>
        <v/>
      </c>
      <c r="AR746" s="179" t="str">
        <f t="array" ref="AR746">IF($F746&lt;&gt;"", XLOOKUP($F746,Productos!$A$2:$A1001,Productos!AK$2:AK1001,"")*$G746,"")</f>
        <v/>
      </c>
      <c r="AS746" s="179" t="str">
        <f t="array" ref="AS746">IF($F746&lt;&gt;"",XLOOKUP($F746,Productos!$A:$A,Productos!AL:AL,"Revisar"),"")</f>
        <v/>
      </c>
      <c r="AT746" s="179" t="str">
        <f t="array" ref="AT746">IF($F746&lt;&gt;"", XLOOKUP($F746,Productos!$A$2:$A1001,Productos!AM$2:AM1001,"")*$G746,"")</f>
        <v/>
      </c>
      <c r="AU746" s="179" t="str">
        <f t="array" ref="AU746">IF($F746&lt;&gt;"",XLOOKUP($F746,Productos!$A:$A,Productos!AN:AN,"Revisar"),"")</f>
        <v/>
      </c>
      <c r="AV746" s="179" t="str">
        <f t="array" ref="AV746">IF($F746&lt;&gt;"", XLOOKUP($F746,Productos!$A$2:$A1001,Productos!AO$2:AO1001,"")*$G746,"")</f>
        <v/>
      </c>
      <c r="AW746" s="179" t="str">
        <f t="array" ref="AW746">IF($F746&lt;&gt;"",XLOOKUP($F746,Productos!$A:$A,Productos!AP:AP,"Revisar"),"")</f>
        <v/>
      </c>
      <c r="AX746" s="179" t="str">
        <f t="array" ref="AX746">IF($F746&lt;&gt;"", XLOOKUP($F746,Productos!$A$2:$A1001,Productos!AQ$2:AQ1001,"")*$G746,"")</f>
        <v/>
      </c>
      <c r="AY746" s="179" t="str">
        <f t="array" ref="AY746">IF($F746&lt;&gt;"",XLOOKUP($F746,Productos!$A:$A,Productos!AR:AR,"Revisar"),"")</f>
        <v/>
      </c>
      <c r="AZ746" s="179" t="str">
        <f t="array" ref="AZ746">IF($F746&lt;&gt;"", XLOOKUP($F746,Productos!$A$2:$A1001,Productos!AS$2:AS1001,"")*$G746,"")</f>
        <v/>
      </c>
      <c r="BA746" s="179" t="str">
        <f t="array" ref="BA746">IF($F746&lt;&gt;"",XLOOKUP($F746,Productos!$A:$A,Productos!AT:AT,"Revisar"),"")</f>
        <v/>
      </c>
      <c r="BB746" s="179" t="str">
        <f t="array" ref="BB746">IF($F746&lt;&gt;"", XLOOKUP($F746,Productos!$A$2:$A1001,Productos!AU$2:AU1001,"")*$G746,"")</f>
        <v/>
      </c>
      <c r="BC746" s="179" t="str">
        <f t="array" ref="BC746">IF($F746&lt;&gt;"",XLOOKUP($F746,Productos!$A:$A,Productos!AV:AV,"Revisar"),"")</f>
        <v/>
      </c>
      <c r="BD746" s="179" t="str">
        <f t="array" ref="BD746">IF($F746&lt;&gt;"", XLOOKUP($F746,Productos!$A$2:$A1001,Productos!AW$2:AW1001,"")*$G746,"")</f>
        <v/>
      </c>
      <c r="BE746" s="179" t="str">
        <f t="array" ref="BE746">IF($F746&lt;&gt;"",XLOOKUP($F746,Productos!$A:$A,Productos!AX:AX,"Revisar"),"")</f>
        <v/>
      </c>
      <c r="BF746" s="179" t="str">
        <f t="array" ref="BF746">IF($F746&lt;&gt;"", XLOOKUP($F746,Productos!$A$2:$A1001,Productos!AY$2:AY1001,"")*$G746,"")</f>
        <v/>
      </c>
      <c r="BG746" s="179" t="str">
        <f t="array" ref="BG746">IF($F746&lt;&gt;"",XLOOKUP($F746,Productos!$A:$A,Productos!AZ:AZ,"Revisar"),"")</f>
        <v/>
      </c>
      <c r="BH746" s="179" t="str">
        <f t="array" ref="BH746">IF($F746&lt;&gt;"", XLOOKUP($F746,Productos!$A$2:$A1001,Productos!BA$2:BA1001,"")*$G746,"")</f>
        <v/>
      </c>
      <c r="BI746" s="179" t="str">
        <f t="array" ref="BI746">IF($F746&lt;&gt;"",XLOOKUP($F746,Productos!$A:$A,Productos!BB:BB,"Revisar"),"")</f>
        <v/>
      </c>
      <c r="BJ746" s="179" t="str">
        <f t="array" ref="BJ746">IF($F746&lt;&gt;"", XLOOKUP($F746,Productos!$A$2:$A1001,Productos!BC$2:BC1001,"")*$G746,"")</f>
        <v/>
      </c>
      <c r="BK746" s="179" t="str">
        <f t="array" ref="BK746">IF($F746&lt;&gt;"",XLOOKUP($F746,Productos!$A:$A,Productos!BD:BD,"Revisar"),"")</f>
        <v/>
      </c>
      <c r="BL746" s="179" t="str">
        <f t="array" ref="BL746">IF($F746&lt;&gt;"", XLOOKUP($F746,Productos!$A$2:$A1001,Productos!BE$2:BE1001,"")*$G746,"")</f>
        <v/>
      </c>
      <c r="BM746" s="179" t="str">
        <f t="array" ref="BM746">IF($F746&lt;&gt;"",XLOOKUP($F746,Productos!$A:$A,Productos!BF:BF,"Revisar"),"")</f>
        <v/>
      </c>
      <c r="BN746" s="179" t="str">
        <f t="array" ref="BN746">IF($F746&lt;&gt;"", XLOOKUP($F746,Productos!$A$2:$A1001,Productos!BG$2:BG1001,"")*$G746,"")</f>
        <v/>
      </c>
      <c r="BO746" s="179" t="str">
        <f t="array" ref="BO746">IF($F746&lt;&gt;"",XLOOKUP($F746,Productos!$A:$A,Productos!BH:BH,"Revisar"),"")</f>
        <v/>
      </c>
      <c r="BP746" s="179" t="str">
        <f t="array" ref="BP746">IF($F746&lt;&gt;"", XLOOKUP($F746,Productos!$A$2:$A1001,Productos!BI$2:BI1001,"")*$G746,"")</f>
        <v/>
      </c>
      <c r="BQ746" s="179" t="str">
        <f t="array" ref="BQ746">IF($F746&lt;&gt;"",XLOOKUP($F746,Productos!$A:$A,Productos!BJ:BJ,"Revisar"),"")</f>
        <v/>
      </c>
      <c r="BR746" s="179" t="str">
        <f t="array" ref="BR746">IF($F746&lt;&gt;"", XLOOKUP($F746,Productos!$A$2:$A1001,Productos!BK$2:BK1001,"")*$G746,"")</f>
        <v/>
      </c>
      <c r="BS746" s="179" t="str">
        <f t="array" ref="BS746">IF($F746&lt;&gt;"",XLOOKUP($F746,Productos!$A:$A,Productos!BL:BL,"Revisar"),"")</f>
        <v/>
      </c>
      <c r="BT746" s="179" t="str">
        <f t="array" ref="BT746">IF($F746&lt;&gt;"", XLOOKUP($F746,Productos!$A$2:$A1001,Productos!BM$2:BM1001,"")*$G746,"")</f>
        <v/>
      </c>
      <c r="BU746" s="179" t="str">
        <f t="array" ref="BU746">IF($F746&lt;&gt;"",XLOOKUP($F746,Productos!$A:$A,Productos!BN:BN,"Revisar"),"")</f>
        <v/>
      </c>
      <c r="BV746" s="179" t="str">
        <f t="array" ref="BV746">IF($F746&lt;&gt;"", XLOOKUP($F746,Productos!$A$2:$A1001,Productos!BO$2:BO1001,"")*$G746,"")</f>
        <v/>
      </c>
      <c r="BW746" s="179" t="str">
        <f t="array" ref="BW746">IF($F746&lt;&gt;"",XLOOKUP($F746,Productos!$A:$A,Productos!BP:BP,"Revisar"),"")</f>
        <v/>
      </c>
      <c r="BX746" s="179" t="str">
        <f t="array" ref="BX746">IF($F746&lt;&gt;"", XLOOKUP($F746,Productos!$A$2:$A1001,Productos!BQ$2:BQ1001,"")*$G746,"")</f>
        <v/>
      </c>
      <c r="BY746" s="179" t="str">
        <f t="array" ref="BY746">IF($F746&lt;&gt;"",XLOOKUP($F746,Productos!$A:$A,Productos!BR:BR,"Revisar"),"")</f>
        <v/>
      </c>
      <c r="BZ746" s="179" t="str">
        <f t="array" ref="BZ746">IF($F746&lt;&gt;"", XLOOKUP($F746,Productos!$A$2:$A1001,Productos!BS$2:BS1001,"")*$G746,"")</f>
        <v/>
      </c>
    </row>
    <row r="747">
      <c r="A747" s="188"/>
      <c r="B747" s="189"/>
      <c r="C747" s="190"/>
      <c r="D747" s="190"/>
      <c r="E747" s="191"/>
      <c r="F747" s="186"/>
      <c r="G747" s="192"/>
      <c r="H747" s="9"/>
      <c r="I747" s="179" t="str">
        <f t="array" ref="I747">IF($F747&lt;&gt;"",XLOOKUP($F747,Productos!$A:$A,Productos!B:B,"Revisar"),"")</f>
        <v/>
      </c>
      <c r="J747" s="179" t="str">
        <f t="array" ref="J747">IF($F747&lt;&gt;"", XLOOKUP($F747,Productos!$A$2:$A1001,Productos!C$2:C1001,"")*$G747,"")</f>
        <v/>
      </c>
      <c r="K747" s="179" t="str">
        <f t="array" ref="K747">IF($F747&lt;&gt;"",XLOOKUP($F747,Productos!$A:$A,Productos!D:D,"Revisar"),"")</f>
        <v/>
      </c>
      <c r="L747" s="179" t="str">
        <f t="array" ref="L747">IF($F747&lt;&gt;"", XLOOKUP($F747,Productos!$A$2:$A1001,Productos!E$2:E1001,"")*$G747,"")</f>
        <v/>
      </c>
      <c r="M747" s="179" t="str">
        <f t="array" ref="M747">IF($F747&lt;&gt;"",XLOOKUP($F747,Productos!$A:$A,Productos!F:F,"Revisar"),"")</f>
        <v/>
      </c>
      <c r="N747" s="179" t="str">
        <f t="array" ref="N747">IF($F747&lt;&gt;"", XLOOKUP($F747,Productos!$A$2:$A1001,Productos!G$2:G1001,"")*$G747,"")</f>
        <v/>
      </c>
      <c r="O747" s="179" t="str">
        <f t="array" ref="O747">IF($F747&lt;&gt;"",XLOOKUP($F747,Productos!$A:$A,Productos!H:H,"Revisar"),"")</f>
        <v/>
      </c>
      <c r="P747" s="179" t="str">
        <f t="array" ref="P747">IF($F747&lt;&gt;"", XLOOKUP($F747,Productos!$A$2:$A1001,Productos!I$2:I1001,"")*$G747,"")</f>
        <v/>
      </c>
      <c r="Q747" s="179" t="str">
        <f t="array" ref="Q747">IF($F747&lt;&gt;"",XLOOKUP($F747,Productos!$A:$A,Productos!J:J,"Revisar"),"")</f>
        <v/>
      </c>
      <c r="R747" s="179" t="str">
        <f t="array" ref="R747">IF($F747&lt;&gt;"", XLOOKUP($F747,Productos!$A$2:$A1001,Productos!K$2:K1001,"")*$G747,"")</f>
        <v/>
      </c>
      <c r="S747" s="179" t="str">
        <f t="array" ref="S747">IF($F747&lt;&gt;"",XLOOKUP($F747,Productos!$A:$A,Productos!L:L,"Revisar"),"")</f>
        <v/>
      </c>
      <c r="T747" s="179" t="str">
        <f t="array" ref="T747">IF($F747&lt;&gt;"", XLOOKUP($F747,Productos!$A$2:$A1001,Productos!M$2:M1001,"")*$G747,"")</f>
        <v/>
      </c>
      <c r="U747" s="179" t="str">
        <f t="array" ref="U747">IF($F747&lt;&gt;"",XLOOKUP($F747,Productos!$A:$A,Productos!N:N,"Revisar"),"")</f>
        <v/>
      </c>
      <c r="V747" s="179" t="str">
        <f t="array" ref="V747">IF($F747&lt;&gt;"", XLOOKUP($F747,Productos!$A$2:$A1001,Productos!O$2:O1001,"")*$G747,"")</f>
        <v/>
      </c>
      <c r="W747" s="179" t="str">
        <f t="array" ref="W747">IF($F747&lt;&gt;"",XLOOKUP($F747,Productos!$A:$A,Productos!P:P,"Revisar"),"")</f>
        <v/>
      </c>
      <c r="X747" s="179" t="str">
        <f t="array" ref="X747">IF($F747&lt;&gt;"", XLOOKUP($F747,Productos!$A$2:$A1001,Productos!Q$2:Q1001,"")*$G747,"")</f>
        <v/>
      </c>
      <c r="Y747" s="179" t="str">
        <f t="array" ref="Y747">IF($F747&lt;&gt;"",XLOOKUP($F747,Productos!$A:$A,Productos!R:R,"Revisar"),"")</f>
        <v/>
      </c>
      <c r="Z747" s="179" t="str">
        <f t="array" ref="Z747">IF($F747&lt;&gt;"", XLOOKUP($F747,Productos!$A$2:$A1001,Productos!S$2:S1001,"")*$G747,"")</f>
        <v/>
      </c>
      <c r="AA747" s="179" t="str">
        <f t="array" ref="AA747">IF($F747&lt;&gt;"",XLOOKUP($F747,Productos!$A:$A,Productos!T:T,"Revisar"),"")</f>
        <v/>
      </c>
      <c r="AB747" s="179" t="str">
        <f t="array" ref="AB747">IF($F747&lt;&gt;"", XLOOKUP($F747,Productos!$A$2:$A1001,Productos!U$2:U1001,"")*$G747,"")</f>
        <v/>
      </c>
      <c r="AC747" s="179" t="str">
        <f t="array" ref="AC747">IF($F747&lt;&gt;"",XLOOKUP($F747,Productos!$A:$A,Productos!V:V,"Revisar"),"")</f>
        <v/>
      </c>
      <c r="AD747" s="179" t="str">
        <f t="array" ref="AD747">IF($F747&lt;&gt;"", XLOOKUP($F747,Productos!$A$2:$A1001,Productos!W$2:W1001,"")*$G747,"")</f>
        <v/>
      </c>
      <c r="AE747" s="179" t="str">
        <f t="array" ref="AE747">IF($F747&lt;&gt;"",XLOOKUP($F747,Productos!$A:$A,Productos!X:X,"Revisar"),"")</f>
        <v/>
      </c>
      <c r="AF747" s="179" t="str">
        <f t="array" ref="AF747">IF($F747&lt;&gt;"", XLOOKUP($F747,Productos!$A$2:$A1001,Productos!Y$2:Y1001,"")*$G747,"")</f>
        <v/>
      </c>
      <c r="AG747" s="179" t="str">
        <f t="array" ref="AG747">IF($F747&lt;&gt;"",XLOOKUP($F747,Productos!$A:$A,Productos!Z:Z,"Revisar"),"")</f>
        <v/>
      </c>
      <c r="AH747" s="179" t="str">
        <f t="array" ref="AH747">IF($F747&lt;&gt;"", XLOOKUP($F747,Productos!$A$2:$A1001,Productos!AA$2:AA1001,"")*$G747,"")</f>
        <v/>
      </c>
      <c r="AI747" s="179" t="str">
        <f t="array" ref="AI747">IF($F747&lt;&gt;"",XLOOKUP($F747,Productos!$A:$A,Productos!AB:AB,"Revisar"),"")</f>
        <v/>
      </c>
      <c r="AJ747" s="179" t="str">
        <f t="array" ref="AJ747">IF($F747&lt;&gt;"", XLOOKUP($F747,Productos!$A$2:$A1001,Productos!AC$2:AC1001,"")*$G747,"")</f>
        <v/>
      </c>
      <c r="AK747" s="179" t="str">
        <f t="array" ref="AK747">IF($F747&lt;&gt;"",XLOOKUP($F747,Productos!$A:$A,Productos!AD:AD,"Revisar"),"")</f>
        <v/>
      </c>
      <c r="AL747" s="179" t="str">
        <f t="array" ref="AL747">IF($F747&lt;&gt;"", XLOOKUP($F747,Productos!$A$2:$A1001,Productos!AE$2:AE1001,"")*$G747,"")</f>
        <v/>
      </c>
      <c r="AM747" s="179" t="str">
        <f t="array" ref="AM747">IF($F747&lt;&gt;"",XLOOKUP($F747,Productos!$A:$A,Productos!AF:AF,"Revisar"),"")</f>
        <v/>
      </c>
      <c r="AN747" s="179" t="str">
        <f t="array" ref="AN747">IF($F747&lt;&gt;"", XLOOKUP($F747,Productos!$A$2:$A1001,Productos!AG$2:AG1001,"")*$G747,"")</f>
        <v/>
      </c>
      <c r="AO747" s="179" t="str">
        <f t="array" ref="AO747">IF($F747&lt;&gt;"",XLOOKUP($F747,Productos!$A:$A,Productos!AH:AH,"Revisar"),"")</f>
        <v/>
      </c>
      <c r="AP747" s="179" t="str">
        <f t="array" ref="AP747">IF($F747&lt;&gt;"", XLOOKUP($F747,Productos!$A$2:$A1001,Productos!AI$2:AI1001,"")*$G747,"")</f>
        <v/>
      </c>
      <c r="AQ747" s="179" t="str">
        <f t="array" ref="AQ747">IF($F747&lt;&gt;"",XLOOKUP($F747,Productos!$A:$A,Productos!AJ:AJ,"Revisar"),"")</f>
        <v/>
      </c>
      <c r="AR747" s="179" t="str">
        <f t="array" ref="AR747">IF($F747&lt;&gt;"", XLOOKUP($F747,Productos!$A$2:$A1001,Productos!AK$2:AK1001,"")*$G747,"")</f>
        <v/>
      </c>
      <c r="AS747" s="179" t="str">
        <f t="array" ref="AS747">IF($F747&lt;&gt;"",XLOOKUP($F747,Productos!$A:$A,Productos!AL:AL,"Revisar"),"")</f>
        <v/>
      </c>
      <c r="AT747" s="179" t="str">
        <f t="array" ref="AT747">IF($F747&lt;&gt;"", XLOOKUP($F747,Productos!$A$2:$A1001,Productos!AM$2:AM1001,"")*$G747,"")</f>
        <v/>
      </c>
      <c r="AU747" s="179" t="str">
        <f t="array" ref="AU747">IF($F747&lt;&gt;"",XLOOKUP($F747,Productos!$A:$A,Productos!AN:AN,"Revisar"),"")</f>
        <v/>
      </c>
      <c r="AV747" s="179" t="str">
        <f t="array" ref="AV747">IF($F747&lt;&gt;"", XLOOKUP($F747,Productos!$A$2:$A1001,Productos!AO$2:AO1001,"")*$G747,"")</f>
        <v/>
      </c>
      <c r="AW747" s="179" t="str">
        <f t="array" ref="AW747">IF($F747&lt;&gt;"",XLOOKUP($F747,Productos!$A:$A,Productos!AP:AP,"Revisar"),"")</f>
        <v/>
      </c>
      <c r="AX747" s="179" t="str">
        <f t="array" ref="AX747">IF($F747&lt;&gt;"", XLOOKUP($F747,Productos!$A$2:$A1001,Productos!AQ$2:AQ1001,"")*$G747,"")</f>
        <v/>
      </c>
      <c r="AY747" s="179" t="str">
        <f t="array" ref="AY747">IF($F747&lt;&gt;"",XLOOKUP($F747,Productos!$A:$A,Productos!AR:AR,"Revisar"),"")</f>
        <v/>
      </c>
      <c r="AZ747" s="179" t="str">
        <f t="array" ref="AZ747">IF($F747&lt;&gt;"", XLOOKUP($F747,Productos!$A$2:$A1001,Productos!AS$2:AS1001,"")*$G747,"")</f>
        <v/>
      </c>
      <c r="BA747" s="179" t="str">
        <f t="array" ref="BA747">IF($F747&lt;&gt;"",XLOOKUP($F747,Productos!$A:$A,Productos!AT:AT,"Revisar"),"")</f>
        <v/>
      </c>
      <c r="BB747" s="179" t="str">
        <f t="array" ref="BB747">IF($F747&lt;&gt;"", XLOOKUP($F747,Productos!$A$2:$A1001,Productos!AU$2:AU1001,"")*$G747,"")</f>
        <v/>
      </c>
      <c r="BC747" s="179" t="str">
        <f t="array" ref="BC747">IF($F747&lt;&gt;"",XLOOKUP($F747,Productos!$A:$A,Productos!AV:AV,"Revisar"),"")</f>
        <v/>
      </c>
      <c r="BD747" s="179" t="str">
        <f t="array" ref="BD747">IF($F747&lt;&gt;"", XLOOKUP($F747,Productos!$A$2:$A1001,Productos!AW$2:AW1001,"")*$G747,"")</f>
        <v/>
      </c>
      <c r="BE747" s="179" t="str">
        <f t="array" ref="BE747">IF($F747&lt;&gt;"",XLOOKUP($F747,Productos!$A:$A,Productos!AX:AX,"Revisar"),"")</f>
        <v/>
      </c>
      <c r="BF747" s="179" t="str">
        <f t="array" ref="BF747">IF($F747&lt;&gt;"", XLOOKUP($F747,Productos!$A$2:$A1001,Productos!AY$2:AY1001,"")*$G747,"")</f>
        <v/>
      </c>
      <c r="BG747" s="179" t="str">
        <f t="array" ref="BG747">IF($F747&lt;&gt;"",XLOOKUP($F747,Productos!$A:$A,Productos!AZ:AZ,"Revisar"),"")</f>
        <v/>
      </c>
      <c r="BH747" s="179" t="str">
        <f t="array" ref="BH747">IF($F747&lt;&gt;"", XLOOKUP($F747,Productos!$A$2:$A1001,Productos!BA$2:BA1001,"")*$G747,"")</f>
        <v/>
      </c>
      <c r="BI747" s="179" t="str">
        <f t="array" ref="BI747">IF($F747&lt;&gt;"",XLOOKUP($F747,Productos!$A:$A,Productos!BB:BB,"Revisar"),"")</f>
        <v/>
      </c>
      <c r="BJ747" s="179" t="str">
        <f t="array" ref="BJ747">IF($F747&lt;&gt;"", XLOOKUP($F747,Productos!$A$2:$A1001,Productos!BC$2:BC1001,"")*$G747,"")</f>
        <v/>
      </c>
      <c r="BK747" s="179" t="str">
        <f t="array" ref="BK747">IF($F747&lt;&gt;"",XLOOKUP($F747,Productos!$A:$A,Productos!BD:BD,"Revisar"),"")</f>
        <v/>
      </c>
      <c r="BL747" s="179" t="str">
        <f t="array" ref="BL747">IF($F747&lt;&gt;"", XLOOKUP($F747,Productos!$A$2:$A1001,Productos!BE$2:BE1001,"")*$G747,"")</f>
        <v/>
      </c>
      <c r="BM747" s="179" t="str">
        <f t="array" ref="BM747">IF($F747&lt;&gt;"",XLOOKUP($F747,Productos!$A:$A,Productos!BF:BF,"Revisar"),"")</f>
        <v/>
      </c>
      <c r="BN747" s="179" t="str">
        <f t="array" ref="BN747">IF($F747&lt;&gt;"", XLOOKUP($F747,Productos!$A$2:$A1001,Productos!BG$2:BG1001,"")*$G747,"")</f>
        <v/>
      </c>
      <c r="BO747" s="179" t="str">
        <f t="array" ref="BO747">IF($F747&lt;&gt;"",XLOOKUP($F747,Productos!$A:$A,Productos!BH:BH,"Revisar"),"")</f>
        <v/>
      </c>
      <c r="BP747" s="179" t="str">
        <f t="array" ref="BP747">IF($F747&lt;&gt;"", XLOOKUP($F747,Productos!$A$2:$A1001,Productos!BI$2:BI1001,"")*$G747,"")</f>
        <v/>
      </c>
      <c r="BQ747" s="179" t="str">
        <f t="array" ref="BQ747">IF($F747&lt;&gt;"",XLOOKUP($F747,Productos!$A:$A,Productos!BJ:BJ,"Revisar"),"")</f>
        <v/>
      </c>
      <c r="BR747" s="179" t="str">
        <f t="array" ref="BR747">IF($F747&lt;&gt;"", XLOOKUP($F747,Productos!$A$2:$A1001,Productos!BK$2:BK1001,"")*$G747,"")</f>
        <v/>
      </c>
      <c r="BS747" s="179" t="str">
        <f t="array" ref="BS747">IF($F747&lt;&gt;"",XLOOKUP($F747,Productos!$A:$A,Productos!BL:BL,"Revisar"),"")</f>
        <v/>
      </c>
      <c r="BT747" s="179" t="str">
        <f t="array" ref="BT747">IF($F747&lt;&gt;"", XLOOKUP($F747,Productos!$A$2:$A1001,Productos!BM$2:BM1001,"")*$G747,"")</f>
        <v/>
      </c>
      <c r="BU747" s="179" t="str">
        <f t="array" ref="BU747">IF($F747&lt;&gt;"",XLOOKUP($F747,Productos!$A:$A,Productos!BN:BN,"Revisar"),"")</f>
        <v/>
      </c>
      <c r="BV747" s="179" t="str">
        <f t="array" ref="BV747">IF($F747&lt;&gt;"", XLOOKUP($F747,Productos!$A$2:$A1001,Productos!BO$2:BO1001,"")*$G747,"")</f>
        <v/>
      </c>
      <c r="BW747" s="179" t="str">
        <f t="array" ref="BW747">IF($F747&lt;&gt;"",XLOOKUP($F747,Productos!$A:$A,Productos!BP:BP,"Revisar"),"")</f>
        <v/>
      </c>
      <c r="BX747" s="179" t="str">
        <f t="array" ref="BX747">IF($F747&lt;&gt;"", XLOOKUP($F747,Productos!$A$2:$A1001,Productos!BQ$2:BQ1001,"")*$G747,"")</f>
        <v/>
      </c>
      <c r="BY747" s="179" t="str">
        <f t="array" ref="BY747">IF($F747&lt;&gt;"",XLOOKUP($F747,Productos!$A:$A,Productos!BR:BR,"Revisar"),"")</f>
        <v/>
      </c>
      <c r="BZ747" s="179" t="str">
        <f t="array" ref="BZ747">IF($F747&lt;&gt;"", XLOOKUP($F747,Productos!$A$2:$A1001,Productos!BS$2:BS1001,"")*$G747,"")</f>
        <v/>
      </c>
    </row>
    <row r="748">
      <c r="A748" s="188"/>
      <c r="B748" s="189"/>
      <c r="C748" s="190"/>
      <c r="D748" s="190"/>
      <c r="E748" s="191"/>
      <c r="F748" s="186"/>
      <c r="G748" s="192"/>
      <c r="H748" s="9"/>
      <c r="I748" s="179" t="str">
        <f t="array" ref="I748">IF($F748&lt;&gt;"",XLOOKUP($F748,Productos!$A:$A,Productos!B:B,"Revisar"),"")</f>
        <v/>
      </c>
      <c r="J748" s="179" t="str">
        <f t="array" ref="J748">IF($F748&lt;&gt;"", XLOOKUP($F748,Productos!$A$2:$A1001,Productos!C$2:C1001,"")*$G748,"")</f>
        <v/>
      </c>
      <c r="K748" s="179" t="str">
        <f t="array" ref="K748">IF($F748&lt;&gt;"",XLOOKUP($F748,Productos!$A:$A,Productos!D:D,"Revisar"),"")</f>
        <v/>
      </c>
      <c r="L748" s="179" t="str">
        <f t="array" ref="L748">IF($F748&lt;&gt;"", XLOOKUP($F748,Productos!$A$2:$A1001,Productos!E$2:E1001,"")*$G748,"")</f>
        <v/>
      </c>
      <c r="M748" s="179" t="str">
        <f t="array" ref="M748">IF($F748&lt;&gt;"",XLOOKUP($F748,Productos!$A:$A,Productos!F:F,"Revisar"),"")</f>
        <v/>
      </c>
      <c r="N748" s="179" t="str">
        <f t="array" ref="N748">IF($F748&lt;&gt;"", XLOOKUP($F748,Productos!$A$2:$A1001,Productos!G$2:G1001,"")*$G748,"")</f>
        <v/>
      </c>
      <c r="O748" s="179" t="str">
        <f t="array" ref="O748">IF($F748&lt;&gt;"",XLOOKUP($F748,Productos!$A:$A,Productos!H:H,"Revisar"),"")</f>
        <v/>
      </c>
      <c r="P748" s="179" t="str">
        <f t="array" ref="P748">IF($F748&lt;&gt;"", XLOOKUP($F748,Productos!$A$2:$A1001,Productos!I$2:I1001,"")*$G748,"")</f>
        <v/>
      </c>
      <c r="Q748" s="179" t="str">
        <f t="array" ref="Q748">IF($F748&lt;&gt;"",XLOOKUP($F748,Productos!$A:$A,Productos!J:J,"Revisar"),"")</f>
        <v/>
      </c>
      <c r="R748" s="179" t="str">
        <f t="array" ref="R748">IF($F748&lt;&gt;"", XLOOKUP($F748,Productos!$A$2:$A1001,Productos!K$2:K1001,"")*$G748,"")</f>
        <v/>
      </c>
      <c r="S748" s="179" t="str">
        <f t="array" ref="S748">IF($F748&lt;&gt;"",XLOOKUP($F748,Productos!$A:$A,Productos!L:L,"Revisar"),"")</f>
        <v/>
      </c>
      <c r="T748" s="179" t="str">
        <f t="array" ref="T748">IF($F748&lt;&gt;"", XLOOKUP($F748,Productos!$A$2:$A1001,Productos!M$2:M1001,"")*$G748,"")</f>
        <v/>
      </c>
      <c r="U748" s="179" t="str">
        <f t="array" ref="U748">IF($F748&lt;&gt;"",XLOOKUP($F748,Productos!$A:$A,Productos!N:N,"Revisar"),"")</f>
        <v/>
      </c>
      <c r="V748" s="179" t="str">
        <f t="array" ref="V748">IF($F748&lt;&gt;"", XLOOKUP($F748,Productos!$A$2:$A1001,Productos!O$2:O1001,"")*$G748,"")</f>
        <v/>
      </c>
      <c r="W748" s="179" t="str">
        <f t="array" ref="W748">IF($F748&lt;&gt;"",XLOOKUP($F748,Productos!$A:$A,Productos!P:P,"Revisar"),"")</f>
        <v/>
      </c>
      <c r="X748" s="179" t="str">
        <f t="array" ref="X748">IF($F748&lt;&gt;"", XLOOKUP($F748,Productos!$A$2:$A1001,Productos!Q$2:Q1001,"")*$G748,"")</f>
        <v/>
      </c>
      <c r="Y748" s="179" t="str">
        <f t="array" ref="Y748">IF($F748&lt;&gt;"",XLOOKUP($F748,Productos!$A:$A,Productos!R:R,"Revisar"),"")</f>
        <v/>
      </c>
      <c r="Z748" s="179" t="str">
        <f t="array" ref="Z748">IF($F748&lt;&gt;"", XLOOKUP($F748,Productos!$A$2:$A1001,Productos!S$2:S1001,"")*$G748,"")</f>
        <v/>
      </c>
      <c r="AA748" s="179" t="str">
        <f t="array" ref="AA748">IF($F748&lt;&gt;"",XLOOKUP($F748,Productos!$A:$A,Productos!T:T,"Revisar"),"")</f>
        <v/>
      </c>
      <c r="AB748" s="179" t="str">
        <f t="array" ref="AB748">IF($F748&lt;&gt;"", XLOOKUP($F748,Productos!$A$2:$A1001,Productos!U$2:U1001,"")*$G748,"")</f>
        <v/>
      </c>
      <c r="AC748" s="179" t="str">
        <f t="array" ref="AC748">IF($F748&lt;&gt;"",XLOOKUP($F748,Productos!$A:$A,Productos!V:V,"Revisar"),"")</f>
        <v/>
      </c>
      <c r="AD748" s="179" t="str">
        <f t="array" ref="AD748">IF($F748&lt;&gt;"", XLOOKUP($F748,Productos!$A$2:$A1001,Productos!W$2:W1001,"")*$G748,"")</f>
        <v/>
      </c>
      <c r="AE748" s="179" t="str">
        <f t="array" ref="AE748">IF($F748&lt;&gt;"",XLOOKUP($F748,Productos!$A:$A,Productos!X:X,"Revisar"),"")</f>
        <v/>
      </c>
      <c r="AF748" s="179" t="str">
        <f t="array" ref="AF748">IF($F748&lt;&gt;"", XLOOKUP($F748,Productos!$A$2:$A1001,Productos!Y$2:Y1001,"")*$G748,"")</f>
        <v/>
      </c>
      <c r="AG748" s="179" t="str">
        <f t="array" ref="AG748">IF($F748&lt;&gt;"",XLOOKUP($F748,Productos!$A:$A,Productos!Z:Z,"Revisar"),"")</f>
        <v/>
      </c>
      <c r="AH748" s="179" t="str">
        <f t="array" ref="AH748">IF($F748&lt;&gt;"", XLOOKUP($F748,Productos!$A$2:$A1001,Productos!AA$2:AA1001,"")*$G748,"")</f>
        <v/>
      </c>
      <c r="AI748" s="179" t="str">
        <f t="array" ref="AI748">IF($F748&lt;&gt;"",XLOOKUP($F748,Productos!$A:$A,Productos!AB:AB,"Revisar"),"")</f>
        <v/>
      </c>
      <c r="AJ748" s="179" t="str">
        <f t="array" ref="AJ748">IF($F748&lt;&gt;"", XLOOKUP($F748,Productos!$A$2:$A1001,Productos!AC$2:AC1001,"")*$G748,"")</f>
        <v/>
      </c>
      <c r="AK748" s="179" t="str">
        <f t="array" ref="AK748">IF($F748&lt;&gt;"",XLOOKUP($F748,Productos!$A:$A,Productos!AD:AD,"Revisar"),"")</f>
        <v/>
      </c>
      <c r="AL748" s="179" t="str">
        <f t="array" ref="AL748">IF($F748&lt;&gt;"", XLOOKUP($F748,Productos!$A$2:$A1001,Productos!AE$2:AE1001,"")*$G748,"")</f>
        <v/>
      </c>
      <c r="AM748" s="179" t="str">
        <f t="array" ref="AM748">IF($F748&lt;&gt;"",XLOOKUP($F748,Productos!$A:$A,Productos!AF:AF,"Revisar"),"")</f>
        <v/>
      </c>
      <c r="AN748" s="179" t="str">
        <f t="array" ref="AN748">IF($F748&lt;&gt;"", XLOOKUP($F748,Productos!$A$2:$A1001,Productos!AG$2:AG1001,"")*$G748,"")</f>
        <v/>
      </c>
      <c r="AO748" s="179" t="str">
        <f t="array" ref="AO748">IF($F748&lt;&gt;"",XLOOKUP($F748,Productos!$A:$A,Productos!AH:AH,"Revisar"),"")</f>
        <v/>
      </c>
      <c r="AP748" s="179" t="str">
        <f t="array" ref="AP748">IF($F748&lt;&gt;"", XLOOKUP($F748,Productos!$A$2:$A1001,Productos!AI$2:AI1001,"")*$G748,"")</f>
        <v/>
      </c>
      <c r="AQ748" s="179" t="str">
        <f t="array" ref="AQ748">IF($F748&lt;&gt;"",XLOOKUP($F748,Productos!$A:$A,Productos!AJ:AJ,"Revisar"),"")</f>
        <v/>
      </c>
      <c r="AR748" s="179" t="str">
        <f t="array" ref="AR748">IF($F748&lt;&gt;"", XLOOKUP($F748,Productos!$A$2:$A1001,Productos!AK$2:AK1001,"")*$G748,"")</f>
        <v/>
      </c>
      <c r="AS748" s="179" t="str">
        <f t="array" ref="AS748">IF($F748&lt;&gt;"",XLOOKUP($F748,Productos!$A:$A,Productos!AL:AL,"Revisar"),"")</f>
        <v/>
      </c>
      <c r="AT748" s="179" t="str">
        <f t="array" ref="AT748">IF($F748&lt;&gt;"", XLOOKUP($F748,Productos!$A$2:$A1001,Productos!AM$2:AM1001,"")*$G748,"")</f>
        <v/>
      </c>
      <c r="AU748" s="179" t="str">
        <f t="array" ref="AU748">IF($F748&lt;&gt;"",XLOOKUP($F748,Productos!$A:$A,Productos!AN:AN,"Revisar"),"")</f>
        <v/>
      </c>
      <c r="AV748" s="179" t="str">
        <f t="array" ref="AV748">IF($F748&lt;&gt;"", XLOOKUP($F748,Productos!$A$2:$A1001,Productos!AO$2:AO1001,"")*$G748,"")</f>
        <v/>
      </c>
      <c r="AW748" s="179" t="str">
        <f t="array" ref="AW748">IF($F748&lt;&gt;"",XLOOKUP($F748,Productos!$A:$A,Productos!AP:AP,"Revisar"),"")</f>
        <v/>
      </c>
      <c r="AX748" s="179" t="str">
        <f t="array" ref="AX748">IF($F748&lt;&gt;"", XLOOKUP($F748,Productos!$A$2:$A1001,Productos!AQ$2:AQ1001,"")*$G748,"")</f>
        <v/>
      </c>
      <c r="AY748" s="179" t="str">
        <f t="array" ref="AY748">IF($F748&lt;&gt;"",XLOOKUP($F748,Productos!$A:$A,Productos!AR:AR,"Revisar"),"")</f>
        <v/>
      </c>
      <c r="AZ748" s="179" t="str">
        <f t="array" ref="AZ748">IF($F748&lt;&gt;"", XLOOKUP($F748,Productos!$A$2:$A1001,Productos!AS$2:AS1001,"")*$G748,"")</f>
        <v/>
      </c>
      <c r="BA748" s="179" t="str">
        <f t="array" ref="BA748">IF($F748&lt;&gt;"",XLOOKUP($F748,Productos!$A:$A,Productos!AT:AT,"Revisar"),"")</f>
        <v/>
      </c>
      <c r="BB748" s="179" t="str">
        <f t="array" ref="BB748">IF($F748&lt;&gt;"", XLOOKUP($F748,Productos!$A$2:$A1001,Productos!AU$2:AU1001,"")*$G748,"")</f>
        <v/>
      </c>
      <c r="BC748" s="179" t="str">
        <f t="array" ref="BC748">IF($F748&lt;&gt;"",XLOOKUP($F748,Productos!$A:$A,Productos!AV:AV,"Revisar"),"")</f>
        <v/>
      </c>
      <c r="BD748" s="179" t="str">
        <f t="array" ref="BD748">IF($F748&lt;&gt;"", XLOOKUP($F748,Productos!$A$2:$A1001,Productos!AW$2:AW1001,"")*$G748,"")</f>
        <v/>
      </c>
      <c r="BE748" s="179" t="str">
        <f t="array" ref="BE748">IF($F748&lt;&gt;"",XLOOKUP($F748,Productos!$A:$A,Productos!AX:AX,"Revisar"),"")</f>
        <v/>
      </c>
      <c r="BF748" s="179" t="str">
        <f t="array" ref="BF748">IF($F748&lt;&gt;"", XLOOKUP($F748,Productos!$A$2:$A1001,Productos!AY$2:AY1001,"")*$G748,"")</f>
        <v/>
      </c>
      <c r="BG748" s="179" t="str">
        <f t="array" ref="BG748">IF($F748&lt;&gt;"",XLOOKUP($F748,Productos!$A:$A,Productos!AZ:AZ,"Revisar"),"")</f>
        <v/>
      </c>
      <c r="BH748" s="179" t="str">
        <f t="array" ref="BH748">IF($F748&lt;&gt;"", XLOOKUP($F748,Productos!$A$2:$A1001,Productos!BA$2:BA1001,"")*$G748,"")</f>
        <v/>
      </c>
      <c r="BI748" s="179" t="str">
        <f t="array" ref="BI748">IF($F748&lt;&gt;"",XLOOKUP($F748,Productos!$A:$A,Productos!BB:BB,"Revisar"),"")</f>
        <v/>
      </c>
      <c r="BJ748" s="179" t="str">
        <f t="array" ref="BJ748">IF($F748&lt;&gt;"", XLOOKUP($F748,Productos!$A$2:$A1001,Productos!BC$2:BC1001,"")*$G748,"")</f>
        <v/>
      </c>
      <c r="BK748" s="179" t="str">
        <f t="array" ref="BK748">IF($F748&lt;&gt;"",XLOOKUP($F748,Productos!$A:$A,Productos!BD:BD,"Revisar"),"")</f>
        <v/>
      </c>
      <c r="BL748" s="179" t="str">
        <f t="array" ref="BL748">IF($F748&lt;&gt;"", XLOOKUP($F748,Productos!$A$2:$A1001,Productos!BE$2:BE1001,"")*$G748,"")</f>
        <v/>
      </c>
      <c r="BM748" s="179" t="str">
        <f t="array" ref="BM748">IF($F748&lt;&gt;"",XLOOKUP($F748,Productos!$A:$A,Productos!BF:BF,"Revisar"),"")</f>
        <v/>
      </c>
      <c r="BN748" s="179" t="str">
        <f t="array" ref="BN748">IF($F748&lt;&gt;"", XLOOKUP($F748,Productos!$A$2:$A1001,Productos!BG$2:BG1001,"")*$G748,"")</f>
        <v/>
      </c>
      <c r="BO748" s="179" t="str">
        <f t="array" ref="BO748">IF($F748&lt;&gt;"",XLOOKUP($F748,Productos!$A:$A,Productos!BH:BH,"Revisar"),"")</f>
        <v/>
      </c>
      <c r="BP748" s="179" t="str">
        <f t="array" ref="BP748">IF($F748&lt;&gt;"", XLOOKUP($F748,Productos!$A$2:$A1001,Productos!BI$2:BI1001,"")*$G748,"")</f>
        <v/>
      </c>
      <c r="BQ748" s="179" t="str">
        <f t="array" ref="BQ748">IF($F748&lt;&gt;"",XLOOKUP($F748,Productos!$A:$A,Productos!BJ:BJ,"Revisar"),"")</f>
        <v/>
      </c>
      <c r="BR748" s="179" t="str">
        <f t="array" ref="BR748">IF($F748&lt;&gt;"", XLOOKUP($F748,Productos!$A$2:$A1001,Productos!BK$2:BK1001,"")*$G748,"")</f>
        <v/>
      </c>
      <c r="BS748" s="179" t="str">
        <f t="array" ref="BS748">IF($F748&lt;&gt;"",XLOOKUP($F748,Productos!$A:$A,Productos!BL:BL,"Revisar"),"")</f>
        <v/>
      </c>
      <c r="BT748" s="179" t="str">
        <f t="array" ref="BT748">IF($F748&lt;&gt;"", XLOOKUP($F748,Productos!$A$2:$A1001,Productos!BM$2:BM1001,"")*$G748,"")</f>
        <v/>
      </c>
      <c r="BU748" s="179" t="str">
        <f t="array" ref="BU748">IF($F748&lt;&gt;"",XLOOKUP($F748,Productos!$A:$A,Productos!BN:BN,"Revisar"),"")</f>
        <v/>
      </c>
      <c r="BV748" s="179" t="str">
        <f t="array" ref="BV748">IF($F748&lt;&gt;"", XLOOKUP($F748,Productos!$A$2:$A1001,Productos!BO$2:BO1001,"")*$G748,"")</f>
        <v/>
      </c>
      <c r="BW748" s="179" t="str">
        <f t="array" ref="BW748">IF($F748&lt;&gt;"",XLOOKUP($F748,Productos!$A:$A,Productos!BP:BP,"Revisar"),"")</f>
        <v/>
      </c>
      <c r="BX748" s="179" t="str">
        <f t="array" ref="BX748">IF($F748&lt;&gt;"", XLOOKUP($F748,Productos!$A$2:$A1001,Productos!BQ$2:BQ1001,"")*$G748,"")</f>
        <v/>
      </c>
      <c r="BY748" s="179" t="str">
        <f t="array" ref="BY748">IF($F748&lt;&gt;"",XLOOKUP($F748,Productos!$A:$A,Productos!BR:BR,"Revisar"),"")</f>
        <v/>
      </c>
      <c r="BZ748" s="179" t="str">
        <f t="array" ref="BZ748">IF($F748&lt;&gt;"", XLOOKUP($F748,Productos!$A$2:$A1001,Productos!BS$2:BS1001,"")*$G748,"")</f>
        <v/>
      </c>
    </row>
    <row r="749">
      <c r="A749" s="188"/>
      <c r="B749" s="189"/>
      <c r="C749" s="190"/>
      <c r="D749" s="190"/>
      <c r="E749" s="191"/>
      <c r="F749" s="186"/>
      <c r="G749" s="192"/>
      <c r="H749" s="9"/>
      <c r="I749" s="179" t="str">
        <f t="array" ref="I749">IF($F749&lt;&gt;"",XLOOKUP($F749,Productos!$A:$A,Productos!B:B,"Revisar"),"")</f>
        <v/>
      </c>
      <c r="J749" s="179" t="str">
        <f t="array" ref="J749">IF($F749&lt;&gt;"", XLOOKUP($F749,Productos!$A$2:$A1001,Productos!C$2:C1001,"")*$G749,"")</f>
        <v/>
      </c>
      <c r="K749" s="179" t="str">
        <f t="array" ref="K749">IF($F749&lt;&gt;"",XLOOKUP($F749,Productos!$A:$A,Productos!D:D,"Revisar"),"")</f>
        <v/>
      </c>
      <c r="L749" s="179" t="str">
        <f t="array" ref="L749">IF($F749&lt;&gt;"", XLOOKUP($F749,Productos!$A$2:$A1001,Productos!E$2:E1001,"")*$G749,"")</f>
        <v/>
      </c>
      <c r="M749" s="179" t="str">
        <f t="array" ref="M749">IF($F749&lt;&gt;"",XLOOKUP($F749,Productos!$A:$A,Productos!F:F,"Revisar"),"")</f>
        <v/>
      </c>
      <c r="N749" s="179" t="str">
        <f t="array" ref="N749">IF($F749&lt;&gt;"", XLOOKUP($F749,Productos!$A$2:$A1001,Productos!G$2:G1001,"")*$G749,"")</f>
        <v/>
      </c>
      <c r="O749" s="179" t="str">
        <f t="array" ref="O749">IF($F749&lt;&gt;"",XLOOKUP($F749,Productos!$A:$A,Productos!H:H,"Revisar"),"")</f>
        <v/>
      </c>
      <c r="P749" s="179" t="str">
        <f t="array" ref="P749">IF($F749&lt;&gt;"", XLOOKUP($F749,Productos!$A$2:$A1001,Productos!I$2:I1001,"")*$G749,"")</f>
        <v/>
      </c>
      <c r="Q749" s="179" t="str">
        <f t="array" ref="Q749">IF($F749&lt;&gt;"",XLOOKUP($F749,Productos!$A:$A,Productos!J:J,"Revisar"),"")</f>
        <v/>
      </c>
      <c r="R749" s="179" t="str">
        <f t="array" ref="R749">IF($F749&lt;&gt;"", XLOOKUP($F749,Productos!$A$2:$A1001,Productos!K$2:K1001,"")*$G749,"")</f>
        <v/>
      </c>
      <c r="S749" s="179" t="str">
        <f t="array" ref="S749">IF($F749&lt;&gt;"",XLOOKUP($F749,Productos!$A:$A,Productos!L:L,"Revisar"),"")</f>
        <v/>
      </c>
      <c r="T749" s="179" t="str">
        <f t="array" ref="T749">IF($F749&lt;&gt;"", XLOOKUP($F749,Productos!$A$2:$A1001,Productos!M$2:M1001,"")*$G749,"")</f>
        <v/>
      </c>
      <c r="U749" s="179" t="str">
        <f t="array" ref="U749">IF($F749&lt;&gt;"",XLOOKUP($F749,Productos!$A:$A,Productos!N:N,"Revisar"),"")</f>
        <v/>
      </c>
      <c r="V749" s="179" t="str">
        <f t="array" ref="V749">IF($F749&lt;&gt;"", XLOOKUP($F749,Productos!$A$2:$A1001,Productos!O$2:O1001,"")*$G749,"")</f>
        <v/>
      </c>
      <c r="W749" s="179" t="str">
        <f t="array" ref="W749">IF($F749&lt;&gt;"",XLOOKUP($F749,Productos!$A:$A,Productos!P:P,"Revisar"),"")</f>
        <v/>
      </c>
      <c r="X749" s="179" t="str">
        <f t="array" ref="X749">IF($F749&lt;&gt;"", XLOOKUP($F749,Productos!$A$2:$A1001,Productos!Q$2:Q1001,"")*$G749,"")</f>
        <v/>
      </c>
      <c r="Y749" s="179" t="str">
        <f t="array" ref="Y749">IF($F749&lt;&gt;"",XLOOKUP($F749,Productos!$A:$A,Productos!R:R,"Revisar"),"")</f>
        <v/>
      </c>
      <c r="Z749" s="179" t="str">
        <f t="array" ref="Z749">IF($F749&lt;&gt;"", XLOOKUP($F749,Productos!$A$2:$A1001,Productos!S$2:S1001,"")*$G749,"")</f>
        <v/>
      </c>
      <c r="AA749" s="179" t="str">
        <f t="array" ref="AA749">IF($F749&lt;&gt;"",XLOOKUP($F749,Productos!$A:$A,Productos!T:T,"Revisar"),"")</f>
        <v/>
      </c>
      <c r="AB749" s="179" t="str">
        <f t="array" ref="AB749">IF($F749&lt;&gt;"", XLOOKUP($F749,Productos!$A$2:$A1001,Productos!U$2:U1001,"")*$G749,"")</f>
        <v/>
      </c>
      <c r="AC749" s="179" t="str">
        <f t="array" ref="AC749">IF($F749&lt;&gt;"",XLOOKUP($F749,Productos!$A:$A,Productos!V:V,"Revisar"),"")</f>
        <v/>
      </c>
      <c r="AD749" s="179" t="str">
        <f t="array" ref="AD749">IF($F749&lt;&gt;"", XLOOKUP($F749,Productos!$A$2:$A1001,Productos!W$2:W1001,"")*$G749,"")</f>
        <v/>
      </c>
      <c r="AE749" s="179" t="str">
        <f t="array" ref="AE749">IF($F749&lt;&gt;"",XLOOKUP($F749,Productos!$A:$A,Productos!X:X,"Revisar"),"")</f>
        <v/>
      </c>
      <c r="AF749" s="179" t="str">
        <f t="array" ref="AF749">IF($F749&lt;&gt;"", XLOOKUP($F749,Productos!$A$2:$A1001,Productos!Y$2:Y1001,"")*$G749,"")</f>
        <v/>
      </c>
      <c r="AG749" s="179" t="str">
        <f t="array" ref="AG749">IF($F749&lt;&gt;"",XLOOKUP($F749,Productos!$A:$A,Productos!Z:Z,"Revisar"),"")</f>
        <v/>
      </c>
      <c r="AH749" s="179" t="str">
        <f t="array" ref="AH749">IF($F749&lt;&gt;"", XLOOKUP($F749,Productos!$A$2:$A1001,Productos!AA$2:AA1001,"")*$G749,"")</f>
        <v/>
      </c>
      <c r="AI749" s="179" t="str">
        <f t="array" ref="AI749">IF($F749&lt;&gt;"",XLOOKUP($F749,Productos!$A:$A,Productos!AB:AB,"Revisar"),"")</f>
        <v/>
      </c>
      <c r="AJ749" s="179" t="str">
        <f t="array" ref="AJ749">IF($F749&lt;&gt;"", XLOOKUP($F749,Productos!$A$2:$A1001,Productos!AC$2:AC1001,"")*$G749,"")</f>
        <v/>
      </c>
      <c r="AK749" s="179" t="str">
        <f t="array" ref="AK749">IF($F749&lt;&gt;"",XLOOKUP($F749,Productos!$A:$A,Productos!AD:AD,"Revisar"),"")</f>
        <v/>
      </c>
      <c r="AL749" s="179" t="str">
        <f t="array" ref="AL749">IF($F749&lt;&gt;"", XLOOKUP($F749,Productos!$A$2:$A1001,Productos!AE$2:AE1001,"")*$G749,"")</f>
        <v/>
      </c>
      <c r="AM749" s="179" t="str">
        <f t="array" ref="AM749">IF($F749&lt;&gt;"",XLOOKUP($F749,Productos!$A:$A,Productos!AF:AF,"Revisar"),"")</f>
        <v/>
      </c>
      <c r="AN749" s="179" t="str">
        <f t="array" ref="AN749">IF($F749&lt;&gt;"", XLOOKUP($F749,Productos!$A$2:$A1001,Productos!AG$2:AG1001,"")*$G749,"")</f>
        <v/>
      </c>
      <c r="AO749" s="179" t="str">
        <f t="array" ref="AO749">IF($F749&lt;&gt;"",XLOOKUP($F749,Productos!$A:$A,Productos!AH:AH,"Revisar"),"")</f>
        <v/>
      </c>
      <c r="AP749" s="179" t="str">
        <f t="array" ref="AP749">IF($F749&lt;&gt;"", XLOOKUP($F749,Productos!$A$2:$A1001,Productos!AI$2:AI1001,"")*$G749,"")</f>
        <v/>
      </c>
      <c r="AQ749" s="179" t="str">
        <f t="array" ref="AQ749">IF($F749&lt;&gt;"",XLOOKUP($F749,Productos!$A:$A,Productos!AJ:AJ,"Revisar"),"")</f>
        <v/>
      </c>
      <c r="AR749" s="179" t="str">
        <f t="array" ref="AR749">IF($F749&lt;&gt;"", XLOOKUP($F749,Productos!$A$2:$A1001,Productos!AK$2:AK1001,"")*$G749,"")</f>
        <v/>
      </c>
      <c r="AS749" s="179" t="str">
        <f t="array" ref="AS749">IF($F749&lt;&gt;"",XLOOKUP($F749,Productos!$A:$A,Productos!AL:AL,"Revisar"),"")</f>
        <v/>
      </c>
      <c r="AT749" s="179" t="str">
        <f t="array" ref="AT749">IF($F749&lt;&gt;"", XLOOKUP($F749,Productos!$A$2:$A1001,Productos!AM$2:AM1001,"")*$G749,"")</f>
        <v/>
      </c>
      <c r="AU749" s="179" t="str">
        <f t="array" ref="AU749">IF($F749&lt;&gt;"",XLOOKUP($F749,Productos!$A:$A,Productos!AN:AN,"Revisar"),"")</f>
        <v/>
      </c>
      <c r="AV749" s="179" t="str">
        <f t="array" ref="AV749">IF($F749&lt;&gt;"", XLOOKUP($F749,Productos!$A$2:$A1001,Productos!AO$2:AO1001,"")*$G749,"")</f>
        <v/>
      </c>
      <c r="AW749" s="179" t="str">
        <f t="array" ref="AW749">IF($F749&lt;&gt;"",XLOOKUP($F749,Productos!$A:$A,Productos!AP:AP,"Revisar"),"")</f>
        <v/>
      </c>
      <c r="AX749" s="179" t="str">
        <f t="array" ref="AX749">IF($F749&lt;&gt;"", XLOOKUP($F749,Productos!$A$2:$A1001,Productos!AQ$2:AQ1001,"")*$G749,"")</f>
        <v/>
      </c>
      <c r="AY749" s="179" t="str">
        <f t="array" ref="AY749">IF($F749&lt;&gt;"",XLOOKUP($F749,Productos!$A:$A,Productos!AR:AR,"Revisar"),"")</f>
        <v/>
      </c>
      <c r="AZ749" s="179" t="str">
        <f t="array" ref="AZ749">IF($F749&lt;&gt;"", XLOOKUP($F749,Productos!$A$2:$A1001,Productos!AS$2:AS1001,"")*$G749,"")</f>
        <v/>
      </c>
      <c r="BA749" s="179" t="str">
        <f t="array" ref="BA749">IF($F749&lt;&gt;"",XLOOKUP($F749,Productos!$A:$A,Productos!AT:AT,"Revisar"),"")</f>
        <v/>
      </c>
      <c r="BB749" s="179" t="str">
        <f t="array" ref="BB749">IF($F749&lt;&gt;"", XLOOKUP($F749,Productos!$A$2:$A1001,Productos!AU$2:AU1001,"")*$G749,"")</f>
        <v/>
      </c>
      <c r="BC749" s="179" t="str">
        <f t="array" ref="BC749">IF($F749&lt;&gt;"",XLOOKUP($F749,Productos!$A:$A,Productos!AV:AV,"Revisar"),"")</f>
        <v/>
      </c>
      <c r="BD749" s="179" t="str">
        <f t="array" ref="BD749">IF($F749&lt;&gt;"", XLOOKUP($F749,Productos!$A$2:$A1001,Productos!AW$2:AW1001,"")*$G749,"")</f>
        <v/>
      </c>
      <c r="BE749" s="179" t="str">
        <f t="array" ref="BE749">IF($F749&lt;&gt;"",XLOOKUP($F749,Productos!$A:$A,Productos!AX:AX,"Revisar"),"")</f>
        <v/>
      </c>
      <c r="BF749" s="179" t="str">
        <f t="array" ref="BF749">IF($F749&lt;&gt;"", XLOOKUP($F749,Productos!$A$2:$A1001,Productos!AY$2:AY1001,"")*$G749,"")</f>
        <v/>
      </c>
      <c r="BG749" s="179" t="str">
        <f t="array" ref="BG749">IF($F749&lt;&gt;"",XLOOKUP($F749,Productos!$A:$A,Productos!AZ:AZ,"Revisar"),"")</f>
        <v/>
      </c>
      <c r="BH749" s="179" t="str">
        <f t="array" ref="BH749">IF($F749&lt;&gt;"", XLOOKUP($F749,Productos!$A$2:$A1001,Productos!BA$2:BA1001,"")*$G749,"")</f>
        <v/>
      </c>
      <c r="BI749" s="179" t="str">
        <f t="array" ref="BI749">IF($F749&lt;&gt;"",XLOOKUP($F749,Productos!$A:$A,Productos!BB:BB,"Revisar"),"")</f>
        <v/>
      </c>
      <c r="BJ749" s="179" t="str">
        <f t="array" ref="BJ749">IF($F749&lt;&gt;"", XLOOKUP($F749,Productos!$A$2:$A1001,Productos!BC$2:BC1001,"")*$G749,"")</f>
        <v/>
      </c>
      <c r="BK749" s="179" t="str">
        <f t="array" ref="BK749">IF($F749&lt;&gt;"",XLOOKUP($F749,Productos!$A:$A,Productos!BD:BD,"Revisar"),"")</f>
        <v/>
      </c>
      <c r="BL749" s="179" t="str">
        <f t="array" ref="BL749">IF($F749&lt;&gt;"", XLOOKUP($F749,Productos!$A$2:$A1001,Productos!BE$2:BE1001,"")*$G749,"")</f>
        <v/>
      </c>
      <c r="BM749" s="179" t="str">
        <f t="array" ref="BM749">IF($F749&lt;&gt;"",XLOOKUP($F749,Productos!$A:$A,Productos!BF:BF,"Revisar"),"")</f>
        <v/>
      </c>
      <c r="BN749" s="179" t="str">
        <f t="array" ref="BN749">IF($F749&lt;&gt;"", XLOOKUP($F749,Productos!$A$2:$A1001,Productos!BG$2:BG1001,"")*$G749,"")</f>
        <v/>
      </c>
      <c r="BO749" s="179" t="str">
        <f t="array" ref="BO749">IF($F749&lt;&gt;"",XLOOKUP($F749,Productos!$A:$A,Productos!BH:BH,"Revisar"),"")</f>
        <v/>
      </c>
      <c r="BP749" s="179" t="str">
        <f t="array" ref="BP749">IF($F749&lt;&gt;"", XLOOKUP($F749,Productos!$A$2:$A1001,Productos!BI$2:BI1001,"")*$G749,"")</f>
        <v/>
      </c>
      <c r="BQ749" s="179" t="str">
        <f t="array" ref="BQ749">IF($F749&lt;&gt;"",XLOOKUP($F749,Productos!$A:$A,Productos!BJ:BJ,"Revisar"),"")</f>
        <v/>
      </c>
      <c r="BR749" s="179" t="str">
        <f t="array" ref="BR749">IF($F749&lt;&gt;"", XLOOKUP($F749,Productos!$A$2:$A1001,Productos!BK$2:BK1001,"")*$G749,"")</f>
        <v/>
      </c>
      <c r="BS749" s="179" t="str">
        <f t="array" ref="BS749">IF($F749&lt;&gt;"",XLOOKUP($F749,Productos!$A:$A,Productos!BL:BL,"Revisar"),"")</f>
        <v/>
      </c>
      <c r="BT749" s="179" t="str">
        <f t="array" ref="BT749">IF($F749&lt;&gt;"", XLOOKUP($F749,Productos!$A$2:$A1001,Productos!BM$2:BM1001,"")*$G749,"")</f>
        <v/>
      </c>
      <c r="BU749" s="179" t="str">
        <f t="array" ref="BU749">IF($F749&lt;&gt;"",XLOOKUP($F749,Productos!$A:$A,Productos!BN:BN,"Revisar"),"")</f>
        <v/>
      </c>
      <c r="BV749" s="179" t="str">
        <f t="array" ref="BV749">IF($F749&lt;&gt;"", XLOOKUP($F749,Productos!$A$2:$A1001,Productos!BO$2:BO1001,"")*$G749,"")</f>
        <v/>
      </c>
      <c r="BW749" s="179" t="str">
        <f t="array" ref="BW749">IF($F749&lt;&gt;"",XLOOKUP($F749,Productos!$A:$A,Productos!BP:BP,"Revisar"),"")</f>
        <v/>
      </c>
      <c r="BX749" s="179" t="str">
        <f t="array" ref="BX749">IF($F749&lt;&gt;"", XLOOKUP($F749,Productos!$A$2:$A1001,Productos!BQ$2:BQ1001,"")*$G749,"")</f>
        <v/>
      </c>
      <c r="BY749" s="179" t="str">
        <f t="array" ref="BY749">IF($F749&lt;&gt;"",XLOOKUP($F749,Productos!$A:$A,Productos!BR:BR,"Revisar"),"")</f>
        <v/>
      </c>
      <c r="BZ749" s="179" t="str">
        <f t="array" ref="BZ749">IF($F749&lt;&gt;"", XLOOKUP($F749,Productos!$A$2:$A1001,Productos!BS$2:BS1001,"")*$G749,"")</f>
        <v/>
      </c>
    </row>
    <row r="750">
      <c r="A750" s="188"/>
      <c r="B750" s="189"/>
      <c r="C750" s="190"/>
      <c r="D750" s="190"/>
      <c r="E750" s="191"/>
      <c r="F750" s="186"/>
      <c r="G750" s="192"/>
      <c r="H750" s="9"/>
      <c r="I750" s="179" t="str">
        <f t="array" ref="I750">IF($F750&lt;&gt;"",XLOOKUP($F750,Productos!$A:$A,Productos!B:B,"Revisar"),"")</f>
        <v/>
      </c>
      <c r="J750" s="179" t="str">
        <f t="array" ref="J750">IF($F750&lt;&gt;"", XLOOKUP($F750,Productos!$A$2:$A1001,Productos!C$2:C1001,"")*$G750,"")</f>
        <v/>
      </c>
      <c r="K750" s="179" t="str">
        <f t="array" ref="K750">IF($F750&lt;&gt;"",XLOOKUP($F750,Productos!$A:$A,Productos!D:D,"Revisar"),"")</f>
        <v/>
      </c>
      <c r="L750" s="179" t="str">
        <f t="array" ref="L750">IF($F750&lt;&gt;"", XLOOKUP($F750,Productos!$A$2:$A1001,Productos!E$2:E1001,"")*$G750,"")</f>
        <v/>
      </c>
      <c r="M750" s="179" t="str">
        <f t="array" ref="M750">IF($F750&lt;&gt;"",XLOOKUP($F750,Productos!$A:$A,Productos!F:F,"Revisar"),"")</f>
        <v/>
      </c>
      <c r="N750" s="179" t="str">
        <f t="array" ref="N750">IF($F750&lt;&gt;"", XLOOKUP($F750,Productos!$A$2:$A1001,Productos!G$2:G1001,"")*$G750,"")</f>
        <v/>
      </c>
      <c r="O750" s="179" t="str">
        <f t="array" ref="O750">IF($F750&lt;&gt;"",XLOOKUP($F750,Productos!$A:$A,Productos!H:H,"Revisar"),"")</f>
        <v/>
      </c>
      <c r="P750" s="179" t="str">
        <f t="array" ref="P750">IF($F750&lt;&gt;"", XLOOKUP($F750,Productos!$A$2:$A1001,Productos!I$2:I1001,"")*$G750,"")</f>
        <v/>
      </c>
      <c r="Q750" s="179" t="str">
        <f t="array" ref="Q750">IF($F750&lt;&gt;"",XLOOKUP($F750,Productos!$A:$A,Productos!J:J,"Revisar"),"")</f>
        <v/>
      </c>
      <c r="R750" s="179" t="str">
        <f t="array" ref="R750">IF($F750&lt;&gt;"", XLOOKUP($F750,Productos!$A$2:$A1001,Productos!K$2:K1001,"")*$G750,"")</f>
        <v/>
      </c>
      <c r="S750" s="179" t="str">
        <f t="array" ref="S750">IF($F750&lt;&gt;"",XLOOKUP($F750,Productos!$A:$A,Productos!L:L,"Revisar"),"")</f>
        <v/>
      </c>
      <c r="T750" s="179" t="str">
        <f t="array" ref="T750">IF($F750&lt;&gt;"", XLOOKUP($F750,Productos!$A$2:$A1001,Productos!M$2:M1001,"")*$G750,"")</f>
        <v/>
      </c>
      <c r="U750" s="179" t="str">
        <f t="array" ref="U750">IF($F750&lt;&gt;"",XLOOKUP($F750,Productos!$A:$A,Productos!N:N,"Revisar"),"")</f>
        <v/>
      </c>
      <c r="V750" s="179" t="str">
        <f t="array" ref="V750">IF($F750&lt;&gt;"", XLOOKUP($F750,Productos!$A$2:$A1001,Productos!O$2:O1001,"")*$G750,"")</f>
        <v/>
      </c>
      <c r="W750" s="179" t="str">
        <f t="array" ref="W750">IF($F750&lt;&gt;"",XLOOKUP($F750,Productos!$A:$A,Productos!P:P,"Revisar"),"")</f>
        <v/>
      </c>
      <c r="X750" s="179" t="str">
        <f t="array" ref="X750">IF($F750&lt;&gt;"", XLOOKUP($F750,Productos!$A$2:$A1001,Productos!Q$2:Q1001,"")*$G750,"")</f>
        <v/>
      </c>
      <c r="Y750" s="179" t="str">
        <f t="array" ref="Y750">IF($F750&lt;&gt;"",XLOOKUP($F750,Productos!$A:$A,Productos!R:R,"Revisar"),"")</f>
        <v/>
      </c>
      <c r="Z750" s="179" t="str">
        <f t="array" ref="Z750">IF($F750&lt;&gt;"", XLOOKUP($F750,Productos!$A$2:$A1001,Productos!S$2:S1001,"")*$G750,"")</f>
        <v/>
      </c>
      <c r="AA750" s="179" t="str">
        <f t="array" ref="AA750">IF($F750&lt;&gt;"",XLOOKUP($F750,Productos!$A:$A,Productos!T:T,"Revisar"),"")</f>
        <v/>
      </c>
      <c r="AB750" s="179" t="str">
        <f t="array" ref="AB750">IF($F750&lt;&gt;"", XLOOKUP($F750,Productos!$A$2:$A1001,Productos!U$2:U1001,"")*$G750,"")</f>
        <v/>
      </c>
      <c r="AC750" s="179" t="str">
        <f t="array" ref="AC750">IF($F750&lt;&gt;"",XLOOKUP($F750,Productos!$A:$A,Productos!V:V,"Revisar"),"")</f>
        <v/>
      </c>
      <c r="AD750" s="179" t="str">
        <f t="array" ref="AD750">IF($F750&lt;&gt;"", XLOOKUP($F750,Productos!$A$2:$A1001,Productos!W$2:W1001,"")*$G750,"")</f>
        <v/>
      </c>
      <c r="AE750" s="179" t="str">
        <f t="array" ref="AE750">IF($F750&lt;&gt;"",XLOOKUP($F750,Productos!$A:$A,Productos!X:X,"Revisar"),"")</f>
        <v/>
      </c>
      <c r="AF750" s="179" t="str">
        <f t="array" ref="AF750">IF($F750&lt;&gt;"", XLOOKUP($F750,Productos!$A$2:$A1001,Productos!Y$2:Y1001,"")*$G750,"")</f>
        <v/>
      </c>
      <c r="AG750" s="179" t="str">
        <f t="array" ref="AG750">IF($F750&lt;&gt;"",XLOOKUP($F750,Productos!$A:$A,Productos!Z:Z,"Revisar"),"")</f>
        <v/>
      </c>
      <c r="AH750" s="179" t="str">
        <f t="array" ref="AH750">IF($F750&lt;&gt;"", XLOOKUP($F750,Productos!$A$2:$A1001,Productos!AA$2:AA1001,"")*$G750,"")</f>
        <v/>
      </c>
      <c r="AI750" s="179" t="str">
        <f t="array" ref="AI750">IF($F750&lt;&gt;"",XLOOKUP($F750,Productos!$A:$A,Productos!AB:AB,"Revisar"),"")</f>
        <v/>
      </c>
      <c r="AJ750" s="179" t="str">
        <f t="array" ref="AJ750">IF($F750&lt;&gt;"", XLOOKUP($F750,Productos!$A$2:$A1001,Productos!AC$2:AC1001,"")*$G750,"")</f>
        <v/>
      </c>
      <c r="AK750" s="179" t="str">
        <f t="array" ref="AK750">IF($F750&lt;&gt;"",XLOOKUP($F750,Productos!$A:$A,Productos!AD:AD,"Revisar"),"")</f>
        <v/>
      </c>
      <c r="AL750" s="179" t="str">
        <f t="array" ref="AL750">IF($F750&lt;&gt;"", XLOOKUP($F750,Productos!$A$2:$A1001,Productos!AE$2:AE1001,"")*$G750,"")</f>
        <v/>
      </c>
      <c r="AM750" s="179" t="str">
        <f t="array" ref="AM750">IF($F750&lt;&gt;"",XLOOKUP($F750,Productos!$A:$A,Productos!AF:AF,"Revisar"),"")</f>
        <v/>
      </c>
      <c r="AN750" s="179" t="str">
        <f t="array" ref="AN750">IF($F750&lt;&gt;"", XLOOKUP($F750,Productos!$A$2:$A1001,Productos!AG$2:AG1001,"")*$G750,"")</f>
        <v/>
      </c>
      <c r="AO750" s="179" t="str">
        <f t="array" ref="AO750">IF($F750&lt;&gt;"",XLOOKUP($F750,Productos!$A:$A,Productos!AH:AH,"Revisar"),"")</f>
        <v/>
      </c>
      <c r="AP750" s="179" t="str">
        <f t="array" ref="AP750">IF($F750&lt;&gt;"", XLOOKUP($F750,Productos!$A$2:$A1001,Productos!AI$2:AI1001,"")*$G750,"")</f>
        <v/>
      </c>
      <c r="AQ750" s="179" t="str">
        <f t="array" ref="AQ750">IF($F750&lt;&gt;"",XLOOKUP($F750,Productos!$A:$A,Productos!AJ:AJ,"Revisar"),"")</f>
        <v/>
      </c>
      <c r="AR750" s="179" t="str">
        <f t="array" ref="AR750">IF($F750&lt;&gt;"", XLOOKUP($F750,Productos!$A$2:$A1001,Productos!AK$2:AK1001,"")*$G750,"")</f>
        <v/>
      </c>
      <c r="AS750" s="179" t="str">
        <f t="array" ref="AS750">IF($F750&lt;&gt;"",XLOOKUP($F750,Productos!$A:$A,Productos!AL:AL,"Revisar"),"")</f>
        <v/>
      </c>
      <c r="AT750" s="179" t="str">
        <f t="array" ref="AT750">IF($F750&lt;&gt;"", XLOOKUP($F750,Productos!$A$2:$A1001,Productos!AM$2:AM1001,"")*$G750,"")</f>
        <v/>
      </c>
      <c r="AU750" s="179" t="str">
        <f t="array" ref="AU750">IF($F750&lt;&gt;"",XLOOKUP($F750,Productos!$A:$A,Productos!AN:AN,"Revisar"),"")</f>
        <v/>
      </c>
      <c r="AV750" s="179" t="str">
        <f t="array" ref="AV750">IF($F750&lt;&gt;"", XLOOKUP($F750,Productos!$A$2:$A1001,Productos!AO$2:AO1001,"")*$G750,"")</f>
        <v/>
      </c>
      <c r="AW750" s="179" t="str">
        <f t="array" ref="AW750">IF($F750&lt;&gt;"",XLOOKUP($F750,Productos!$A:$A,Productos!AP:AP,"Revisar"),"")</f>
        <v/>
      </c>
      <c r="AX750" s="179" t="str">
        <f t="array" ref="AX750">IF($F750&lt;&gt;"", XLOOKUP($F750,Productos!$A$2:$A1001,Productos!AQ$2:AQ1001,"")*$G750,"")</f>
        <v/>
      </c>
      <c r="AY750" s="179" t="str">
        <f t="array" ref="AY750">IF($F750&lt;&gt;"",XLOOKUP($F750,Productos!$A:$A,Productos!AR:AR,"Revisar"),"")</f>
        <v/>
      </c>
      <c r="AZ750" s="179" t="str">
        <f t="array" ref="AZ750">IF($F750&lt;&gt;"", XLOOKUP($F750,Productos!$A$2:$A1001,Productos!AS$2:AS1001,"")*$G750,"")</f>
        <v/>
      </c>
      <c r="BA750" s="179" t="str">
        <f t="array" ref="BA750">IF($F750&lt;&gt;"",XLOOKUP($F750,Productos!$A:$A,Productos!AT:AT,"Revisar"),"")</f>
        <v/>
      </c>
      <c r="BB750" s="179" t="str">
        <f t="array" ref="BB750">IF($F750&lt;&gt;"", XLOOKUP($F750,Productos!$A$2:$A1001,Productos!AU$2:AU1001,"")*$G750,"")</f>
        <v/>
      </c>
      <c r="BC750" s="179" t="str">
        <f t="array" ref="BC750">IF($F750&lt;&gt;"",XLOOKUP($F750,Productos!$A:$A,Productos!AV:AV,"Revisar"),"")</f>
        <v/>
      </c>
      <c r="BD750" s="179" t="str">
        <f t="array" ref="BD750">IF($F750&lt;&gt;"", XLOOKUP($F750,Productos!$A$2:$A1001,Productos!AW$2:AW1001,"")*$G750,"")</f>
        <v/>
      </c>
      <c r="BE750" s="179" t="str">
        <f t="array" ref="BE750">IF($F750&lt;&gt;"",XLOOKUP($F750,Productos!$A:$A,Productos!AX:AX,"Revisar"),"")</f>
        <v/>
      </c>
      <c r="BF750" s="179" t="str">
        <f t="array" ref="BF750">IF($F750&lt;&gt;"", XLOOKUP($F750,Productos!$A$2:$A1001,Productos!AY$2:AY1001,"")*$G750,"")</f>
        <v/>
      </c>
      <c r="BG750" s="179" t="str">
        <f t="array" ref="BG750">IF($F750&lt;&gt;"",XLOOKUP($F750,Productos!$A:$A,Productos!AZ:AZ,"Revisar"),"")</f>
        <v/>
      </c>
      <c r="BH750" s="179" t="str">
        <f t="array" ref="BH750">IF($F750&lt;&gt;"", XLOOKUP($F750,Productos!$A$2:$A1001,Productos!BA$2:BA1001,"")*$G750,"")</f>
        <v/>
      </c>
      <c r="BI750" s="179" t="str">
        <f t="array" ref="BI750">IF($F750&lt;&gt;"",XLOOKUP($F750,Productos!$A:$A,Productos!BB:BB,"Revisar"),"")</f>
        <v/>
      </c>
      <c r="BJ750" s="179" t="str">
        <f t="array" ref="BJ750">IF($F750&lt;&gt;"", XLOOKUP($F750,Productos!$A$2:$A1001,Productos!BC$2:BC1001,"")*$G750,"")</f>
        <v/>
      </c>
      <c r="BK750" s="179" t="str">
        <f t="array" ref="BK750">IF($F750&lt;&gt;"",XLOOKUP($F750,Productos!$A:$A,Productos!BD:BD,"Revisar"),"")</f>
        <v/>
      </c>
      <c r="BL750" s="179" t="str">
        <f t="array" ref="BL750">IF($F750&lt;&gt;"", XLOOKUP($F750,Productos!$A$2:$A1001,Productos!BE$2:BE1001,"")*$G750,"")</f>
        <v/>
      </c>
      <c r="BM750" s="179" t="str">
        <f t="array" ref="BM750">IF($F750&lt;&gt;"",XLOOKUP($F750,Productos!$A:$A,Productos!BF:BF,"Revisar"),"")</f>
        <v/>
      </c>
      <c r="BN750" s="179" t="str">
        <f t="array" ref="BN750">IF($F750&lt;&gt;"", XLOOKUP($F750,Productos!$A$2:$A1001,Productos!BG$2:BG1001,"")*$G750,"")</f>
        <v/>
      </c>
      <c r="BO750" s="179" t="str">
        <f t="array" ref="BO750">IF($F750&lt;&gt;"",XLOOKUP($F750,Productos!$A:$A,Productos!BH:BH,"Revisar"),"")</f>
        <v/>
      </c>
      <c r="BP750" s="179" t="str">
        <f t="array" ref="BP750">IF($F750&lt;&gt;"", XLOOKUP($F750,Productos!$A$2:$A1001,Productos!BI$2:BI1001,"")*$G750,"")</f>
        <v/>
      </c>
      <c r="BQ750" s="179" t="str">
        <f t="array" ref="BQ750">IF($F750&lt;&gt;"",XLOOKUP($F750,Productos!$A:$A,Productos!BJ:BJ,"Revisar"),"")</f>
        <v/>
      </c>
      <c r="BR750" s="179" t="str">
        <f t="array" ref="BR750">IF($F750&lt;&gt;"", XLOOKUP($F750,Productos!$A$2:$A1001,Productos!BK$2:BK1001,"")*$G750,"")</f>
        <v/>
      </c>
      <c r="BS750" s="179" t="str">
        <f t="array" ref="BS750">IF($F750&lt;&gt;"",XLOOKUP($F750,Productos!$A:$A,Productos!BL:BL,"Revisar"),"")</f>
        <v/>
      </c>
      <c r="BT750" s="179" t="str">
        <f t="array" ref="BT750">IF($F750&lt;&gt;"", XLOOKUP($F750,Productos!$A$2:$A1001,Productos!BM$2:BM1001,"")*$G750,"")</f>
        <v/>
      </c>
      <c r="BU750" s="179" t="str">
        <f t="array" ref="BU750">IF($F750&lt;&gt;"",XLOOKUP($F750,Productos!$A:$A,Productos!BN:BN,"Revisar"),"")</f>
        <v/>
      </c>
      <c r="BV750" s="179" t="str">
        <f t="array" ref="BV750">IF($F750&lt;&gt;"", XLOOKUP($F750,Productos!$A$2:$A1001,Productos!BO$2:BO1001,"")*$G750,"")</f>
        <v/>
      </c>
      <c r="BW750" s="179" t="str">
        <f t="array" ref="BW750">IF($F750&lt;&gt;"",XLOOKUP($F750,Productos!$A:$A,Productos!BP:BP,"Revisar"),"")</f>
        <v/>
      </c>
      <c r="BX750" s="179" t="str">
        <f t="array" ref="BX750">IF($F750&lt;&gt;"", XLOOKUP($F750,Productos!$A$2:$A1001,Productos!BQ$2:BQ1001,"")*$G750,"")</f>
        <v/>
      </c>
      <c r="BY750" s="179" t="str">
        <f t="array" ref="BY750">IF($F750&lt;&gt;"",XLOOKUP($F750,Productos!$A:$A,Productos!BR:BR,"Revisar"),"")</f>
        <v/>
      </c>
      <c r="BZ750" s="179" t="str">
        <f t="array" ref="BZ750">IF($F750&lt;&gt;"", XLOOKUP($F750,Productos!$A$2:$A1001,Productos!BS$2:BS1001,"")*$G750,"")</f>
        <v/>
      </c>
    </row>
    <row r="751">
      <c r="A751" s="188"/>
      <c r="B751" s="189"/>
      <c r="C751" s="190"/>
      <c r="D751" s="190"/>
      <c r="E751" s="191"/>
      <c r="F751" s="186"/>
      <c r="G751" s="192"/>
      <c r="H751" s="9"/>
      <c r="I751" s="179" t="str">
        <f t="array" ref="I751">IF($F751&lt;&gt;"",XLOOKUP($F751,Productos!$A:$A,Productos!B:B,"Revisar"),"")</f>
        <v/>
      </c>
      <c r="J751" s="179" t="str">
        <f t="array" ref="J751">IF($F751&lt;&gt;"", XLOOKUP($F751,Productos!$A$2:$A1001,Productos!C$2:C1001,"")*$G751,"")</f>
        <v/>
      </c>
      <c r="K751" s="179" t="str">
        <f t="array" ref="K751">IF($F751&lt;&gt;"",XLOOKUP($F751,Productos!$A:$A,Productos!D:D,"Revisar"),"")</f>
        <v/>
      </c>
      <c r="L751" s="179" t="str">
        <f t="array" ref="L751">IF($F751&lt;&gt;"", XLOOKUP($F751,Productos!$A$2:$A1001,Productos!E$2:E1001,"")*$G751,"")</f>
        <v/>
      </c>
      <c r="M751" s="179" t="str">
        <f t="array" ref="M751">IF($F751&lt;&gt;"",XLOOKUP($F751,Productos!$A:$A,Productos!F:F,"Revisar"),"")</f>
        <v/>
      </c>
      <c r="N751" s="179" t="str">
        <f t="array" ref="N751">IF($F751&lt;&gt;"", XLOOKUP($F751,Productos!$A$2:$A1001,Productos!G$2:G1001,"")*$G751,"")</f>
        <v/>
      </c>
      <c r="O751" s="179" t="str">
        <f t="array" ref="O751">IF($F751&lt;&gt;"",XLOOKUP($F751,Productos!$A:$A,Productos!H:H,"Revisar"),"")</f>
        <v/>
      </c>
      <c r="P751" s="179" t="str">
        <f t="array" ref="P751">IF($F751&lt;&gt;"", XLOOKUP($F751,Productos!$A$2:$A1001,Productos!I$2:I1001,"")*$G751,"")</f>
        <v/>
      </c>
      <c r="Q751" s="179" t="str">
        <f t="array" ref="Q751">IF($F751&lt;&gt;"",XLOOKUP($F751,Productos!$A:$A,Productos!J:J,"Revisar"),"")</f>
        <v/>
      </c>
      <c r="R751" s="179" t="str">
        <f t="array" ref="R751">IF($F751&lt;&gt;"", XLOOKUP($F751,Productos!$A$2:$A1001,Productos!K$2:K1001,"")*$G751,"")</f>
        <v/>
      </c>
      <c r="S751" s="179" t="str">
        <f t="array" ref="S751">IF($F751&lt;&gt;"",XLOOKUP($F751,Productos!$A:$A,Productos!L:L,"Revisar"),"")</f>
        <v/>
      </c>
      <c r="T751" s="179" t="str">
        <f t="array" ref="T751">IF($F751&lt;&gt;"", XLOOKUP($F751,Productos!$A$2:$A1001,Productos!M$2:M1001,"")*$G751,"")</f>
        <v/>
      </c>
      <c r="U751" s="179" t="str">
        <f t="array" ref="U751">IF($F751&lt;&gt;"",XLOOKUP($F751,Productos!$A:$A,Productos!N:N,"Revisar"),"")</f>
        <v/>
      </c>
      <c r="V751" s="179" t="str">
        <f t="array" ref="V751">IF($F751&lt;&gt;"", XLOOKUP($F751,Productos!$A$2:$A1001,Productos!O$2:O1001,"")*$G751,"")</f>
        <v/>
      </c>
      <c r="W751" s="179" t="str">
        <f t="array" ref="W751">IF($F751&lt;&gt;"",XLOOKUP($F751,Productos!$A:$A,Productos!P:P,"Revisar"),"")</f>
        <v/>
      </c>
      <c r="X751" s="179" t="str">
        <f t="array" ref="X751">IF($F751&lt;&gt;"", XLOOKUP($F751,Productos!$A$2:$A1001,Productos!Q$2:Q1001,"")*$G751,"")</f>
        <v/>
      </c>
      <c r="Y751" s="179" t="str">
        <f t="array" ref="Y751">IF($F751&lt;&gt;"",XLOOKUP($F751,Productos!$A:$A,Productos!R:R,"Revisar"),"")</f>
        <v/>
      </c>
      <c r="Z751" s="179" t="str">
        <f t="array" ref="Z751">IF($F751&lt;&gt;"", XLOOKUP($F751,Productos!$A$2:$A1001,Productos!S$2:S1001,"")*$G751,"")</f>
        <v/>
      </c>
      <c r="AA751" s="179" t="str">
        <f t="array" ref="AA751">IF($F751&lt;&gt;"",XLOOKUP($F751,Productos!$A:$A,Productos!T:T,"Revisar"),"")</f>
        <v/>
      </c>
      <c r="AB751" s="179" t="str">
        <f t="array" ref="AB751">IF($F751&lt;&gt;"", XLOOKUP($F751,Productos!$A$2:$A1001,Productos!U$2:U1001,"")*$G751,"")</f>
        <v/>
      </c>
      <c r="AC751" s="179" t="str">
        <f t="array" ref="AC751">IF($F751&lt;&gt;"",XLOOKUP($F751,Productos!$A:$A,Productos!V:V,"Revisar"),"")</f>
        <v/>
      </c>
      <c r="AD751" s="179" t="str">
        <f t="array" ref="AD751">IF($F751&lt;&gt;"", XLOOKUP($F751,Productos!$A$2:$A1001,Productos!W$2:W1001,"")*$G751,"")</f>
        <v/>
      </c>
      <c r="AE751" s="179" t="str">
        <f t="array" ref="AE751">IF($F751&lt;&gt;"",XLOOKUP($F751,Productos!$A:$A,Productos!X:X,"Revisar"),"")</f>
        <v/>
      </c>
      <c r="AF751" s="179" t="str">
        <f t="array" ref="AF751">IF($F751&lt;&gt;"", XLOOKUP($F751,Productos!$A$2:$A1001,Productos!Y$2:Y1001,"")*$G751,"")</f>
        <v/>
      </c>
      <c r="AG751" s="179" t="str">
        <f t="array" ref="AG751">IF($F751&lt;&gt;"",XLOOKUP($F751,Productos!$A:$A,Productos!Z:Z,"Revisar"),"")</f>
        <v/>
      </c>
      <c r="AH751" s="179" t="str">
        <f t="array" ref="AH751">IF($F751&lt;&gt;"", XLOOKUP($F751,Productos!$A$2:$A1001,Productos!AA$2:AA1001,"")*$G751,"")</f>
        <v/>
      </c>
      <c r="AI751" s="179" t="str">
        <f t="array" ref="AI751">IF($F751&lt;&gt;"",XLOOKUP($F751,Productos!$A:$A,Productos!AB:AB,"Revisar"),"")</f>
        <v/>
      </c>
      <c r="AJ751" s="179" t="str">
        <f t="array" ref="AJ751">IF($F751&lt;&gt;"", XLOOKUP($F751,Productos!$A$2:$A1001,Productos!AC$2:AC1001,"")*$G751,"")</f>
        <v/>
      </c>
      <c r="AK751" s="179" t="str">
        <f t="array" ref="AK751">IF($F751&lt;&gt;"",XLOOKUP($F751,Productos!$A:$A,Productos!AD:AD,"Revisar"),"")</f>
        <v/>
      </c>
      <c r="AL751" s="179" t="str">
        <f t="array" ref="AL751">IF($F751&lt;&gt;"", XLOOKUP($F751,Productos!$A$2:$A1001,Productos!AE$2:AE1001,"")*$G751,"")</f>
        <v/>
      </c>
      <c r="AM751" s="179" t="str">
        <f t="array" ref="AM751">IF($F751&lt;&gt;"",XLOOKUP($F751,Productos!$A:$A,Productos!AF:AF,"Revisar"),"")</f>
        <v/>
      </c>
      <c r="AN751" s="179" t="str">
        <f t="array" ref="AN751">IF($F751&lt;&gt;"", XLOOKUP($F751,Productos!$A$2:$A1001,Productos!AG$2:AG1001,"")*$G751,"")</f>
        <v/>
      </c>
      <c r="AO751" s="179" t="str">
        <f t="array" ref="AO751">IF($F751&lt;&gt;"",XLOOKUP($F751,Productos!$A:$A,Productos!AH:AH,"Revisar"),"")</f>
        <v/>
      </c>
      <c r="AP751" s="179" t="str">
        <f t="array" ref="AP751">IF($F751&lt;&gt;"", XLOOKUP($F751,Productos!$A$2:$A1001,Productos!AI$2:AI1001,"")*$G751,"")</f>
        <v/>
      </c>
      <c r="AQ751" s="179" t="str">
        <f t="array" ref="AQ751">IF($F751&lt;&gt;"",XLOOKUP($F751,Productos!$A:$A,Productos!AJ:AJ,"Revisar"),"")</f>
        <v/>
      </c>
      <c r="AR751" s="179" t="str">
        <f t="array" ref="AR751">IF($F751&lt;&gt;"", XLOOKUP($F751,Productos!$A$2:$A1001,Productos!AK$2:AK1001,"")*$G751,"")</f>
        <v/>
      </c>
      <c r="AS751" s="179" t="str">
        <f t="array" ref="AS751">IF($F751&lt;&gt;"",XLOOKUP($F751,Productos!$A:$A,Productos!AL:AL,"Revisar"),"")</f>
        <v/>
      </c>
      <c r="AT751" s="179" t="str">
        <f t="array" ref="AT751">IF($F751&lt;&gt;"", XLOOKUP($F751,Productos!$A$2:$A1001,Productos!AM$2:AM1001,"")*$G751,"")</f>
        <v/>
      </c>
      <c r="AU751" s="179" t="str">
        <f t="array" ref="AU751">IF($F751&lt;&gt;"",XLOOKUP($F751,Productos!$A:$A,Productos!AN:AN,"Revisar"),"")</f>
        <v/>
      </c>
      <c r="AV751" s="179" t="str">
        <f t="array" ref="AV751">IF($F751&lt;&gt;"", XLOOKUP($F751,Productos!$A$2:$A1001,Productos!AO$2:AO1001,"")*$G751,"")</f>
        <v/>
      </c>
      <c r="AW751" s="179" t="str">
        <f t="array" ref="AW751">IF($F751&lt;&gt;"",XLOOKUP($F751,Productos!$A:$A,Productos!AP:AP,"Revisar"),"")</f>
        <v/>
      </c>
      <c r="AX751" s="179" t="str">
        <f t="array" ref="AX751">IF($F751&lt;&gt;"", XLOOKUP($F751,Productos!$A$2:$A1001,Productos!AQ$2:AQ1001,"")*$G751,"")</f>
        <v/>
      </c>
      <c r="AY751" s="179" t="str">
        <f t="array" ref="AY751">IF($F751&lt;&gt;"",XLOOKUP($F751,Productos!$A:$A,Productos!AR:AR,"Revisar"),"")</f>
        <v/>
      </c>
      <c r="AZ751" s="179" t="str">
        <f t="array" ref="AZ751">IF($F751&lt;&gt;"", XLOOKUP($F751,Productos!$A$2:$A1001,Productos!AS$2:AS1001,"")*$G751,"")</f>
        <v/>
      </c>
      <c r="BA751" s="179" t="str">
        <f t="array" ref="BA751">IF($F751&lt;&gt;"",XLOOKUP($F751,Productos!$A:$A,Productos!AT:AT,"Revisar"),"")</f>
        <v/>
      </c>
      <c r="BB751" s="179" t="str">
        <f t="array" ref="BB751">IF($F751&lt;&gt;"", XLOOKUP($F751,Productos!$A$2:$A1001,Productos!AU$2:AU1001,"")*$G751,"")</f>
        <v/>
      </c>
      <c r="BC751" s="179" t="str">
        <f t="array" ref="BC751">IF($F751&lt;&gt;"",XLOOKUP($F751,Productos!$A:$A,Productos!AV:AV,"Revisar"),"")</f>
        <v/>
      </c>
      <c r="BD751" s="179" t="str">
        <f t="array" ref="BD751">IF($F751&lt;&gt;"", XLOOKUP($F751,Productos!$A$2:$A1001,Productos!AW$2:AW1001,"")*$G751,"")</f>
        <v/>
      </c>
      <c r="BE751" s="179" t="str">
        <f t="array" ref="BE751">IF($F751&lt;&gt;"",XLOOKUP($F751,Productos!$A:$A,Productos!AX:AX,"Revisar"),"")</f>
        <v/>
      </c>
      <c r="BF751" s="179" t="str">
        <f t="array" ref="BF751">IF($F751&lt;&gt;"", XLOOKUP($F751,Productos!$A$2:$A1001,Productos!AY$2:AY1001,"")*$G751,"")</f>
        <v/>
      </c>
      <c r="BG751" s="179" t="str">
        <f t="array" ref="BG751">IF($F751&lt;&gt;"",XLOOKUP($F751,Productos!$A:$A,Productos!AZ:AZ,"Revisar"),"")</f>
        <v/>
      </c>
      <c r="BH751" s="179" t="str">
        <f t="array" ref="BH751">IF($F751&lt;&gt;"", XLOOKUP($F751,Productos!$A$2:$A1001,Productos!BA$2:BA1001,"")*$G751,"")</f>
        <v/>
      </c>
      <c r="BI751" s="179" t="str">
        <f t="array" ref="BI751">IF($F751&lt;&gt;"",XLOOKUP($F751,Productos!$A:$A,Productos!BB:BB,"Revisar"),"")</f>
        <v/>
      </c>
      <c r="BJ751" s="179" t="str">
        <f t="array" ref="BJ751">IF($F751&lt;&gt;"", XLOOKUP($F751,Productos!$A$2:$A1001,Productos!BC$2:BC1001,"")*$G751,"")</f>
        <v/>
      </c>
      <c r="BK751" s="179" t="str">
        <f t="array" ref="BK751">IF($F751&lt;&gt;"",XLOOKUP($F751,Productos!$A:$A,Productos!BD:BD,"Revisar"),"")</f>
        <v/>
      </c>
      <c r="BL751" s="179" t="str">
        <f t="array" ref="BL751">IF($F751&lt;&gt;"", XLOOKUP($F751,Productos!$A$2:$A1001,Productos!BE$2:BE1001,"")*$G751,"")</f>
        <v/>
      </c>
      <c r="BM751" s="179" t="str">
        <f t="array" ref="BM751">IF($F751&lt;&gt;"",XLOOKUP($F751,Productos!$A:$A,Productos!BF:BF,"Revisar"),"")</f>
        <v/>
      </c>
      <c r="BN751" s="179" t="str">
        <f t="array" ref="BN751">IF($F751&lt;&gt;"", XLOOKUP($F751,Productos!$A$2:$A1001,Productos!BG$2:BG1001,"")*$G751,"")</f>
        <v/>
      </c>
      <c r="BO751" s="179" t="str">
        <f t="array" ref="BO751">IF($F751&lt;&gt;"",XLOOKUP($F751,Productos!$A:$A,Productos!BH:BH,"Revisar"),"")</f>
        <v/>
      </c>
      <c r="BP751" s="179" t="str">
        <f t="array" ref="BP751">IF($F751&lt;&gt;"", XLOOKUP($F751,Productos!$A$2:$A1001,Productos!BI$2:BI1001,"")*$G751,"")</f>
        <v/>
      </c>
      <c r="BQ751" s="179" t="str">
        <f t="array" ref="BQ751">IF($F751&lt;&gt;"",XLOOKUP($F751,Productos!$A:$A,Productos!BJ:BJ,"Revisar"),"")</f>
        <v/>
      </c>
      <c r="BR751" s="179" t="str">
        <f t="array" ref="BR751">IF($F751&lt;&gt;"", XLOOKUP($F751,Productos!$A$2:$A1001,Productos!BK$2:BK1001,"")*$G751,"")</f>
        <v/>
      </c>
      <c r="BS751" s="179" t="str">
        <f t="array" ref="BS751">IF($F751&lt;&gt;"",XLOOKUP($F751,Productos!$A:$A,Productos!BL:BL,"Revisar"),"")</f>
        <v/>
      </c>
      <c r="BT751" s="179" t="str">
        <f t="array" ref="BT751">IF($F751&lt;&gt;"", XLOOKUP($F751,Productos!$A$2:$A1001,Productos!BM$2:BM1001,"")*$G751,"")</f>
        <v/>
      </c>
      <c r="BU751" s="179" t="str">
        <f t="array" ref="BU751">IF($F751&lt;&gt;"",XLOOKUP($F751,Productos!$A:$A,Productos!BN:BN,"Revisar"),"")</f>
        <v/>
      </c>
      <c r="BV751" s="179" t="str">
        <f t="array" ref="BV751">IF($F751&lt;&gt;"", XLOOKUP($F751,Productos!$A$2:$A1001,Productos!BO$2:BO1001,"")*$G751,"")</f>
        <v/>
      </c>
      <c r="BW751" s="179" t="str">
        <f t="array" ref="BW751">IF($F751&lt;&gt;"",XLOOKUP($F751,Productos!$A:$A,Productos!BP:BP,"Revisar"),"")</f>
        <v/>
      </c>
      <c r="BX751" s="179" t="str">
        <f t="array" ref="BX751">IF($F751&lt;&gt;"", XLOOKUP($F751,Productos!$A$2:$A1001,Productos!BQ$2:BQ1001,"")*$G751,"")</f>
        <v/>
      </c>
      <c r="BY751" s="179" t="str">
        <f t="array" ref="BY751">IF($F751&lt;&gt;"",XLOOKUP($F751,Productos!$A:$A,Productos!BR:BR,"Revisar"),"")</f>
        <v/>
      </c>
      <c r="BZ751" s="179" t="str">
        <f t="array" ref="BZ751">IF($F751&lt;&gt;"", XLOOKUP($F751,Productos!$A$2:$A1001,Productos!BS$2:BS1001,"")*$G751,"")</f>
        <v/>
      </c>
    </row>
    <row r="752">
      <c r="A752" s="188"/>
      <c r="B752" s="189"/>
      <c r="C752" s="190"/>
      <c r="D752" s="190"/>
      <c r="E752" s="191"/>
      <c r="F752" s="186"/>
      <c r="G752" s="192"/>
      <c r="H752" s="9"/>
      <c r="I752" s="179" t="str">
        <f t="array" ref="I752">IF($F752&lt;&gt;"",XLOOKUP($F752,Productos!$A:$A,Productos!B:B,"Revisar"),"")</f>
        <v/>
      </c>
      <c r="J752" s="179" t="str">
        <f t="array" ref="J752">IF($F752&lt;&gt;"", XLOOKUP($F752,Productos!$A$2:$A1001,Productos!C$2:C1001,"")*$G752,"")</f>
        <v/>
      </c>
      <c r="K752" s="179" t="str">
        <f t="array" ref="K752">IF($F752&lt;&gt;"",XLOOKUP($F752,Productos!$A:$A,Productos!D:D,"Revisar"),"")</f>
        <v/>
      </c>
      <c r="L752" s="179" t="str">
        <f t="array" ref="L752">IF($F752&lt;&gt;"", XLOOKUP($F752,Productos!$A$2:$A1001,Productos!E$2:E1001,"")*$G752,"")</f>
        <v/>
      </c>
      <c r="M752" s="179" t="str">
        <f t="array" ref="M752">IF($F752&lt;&gt;"",XLOOKUP($F752,Productos!$A:$A,Productos!F:F,"Revisar"),"")</f>
        <v/>
      </c>
      <c r="N752" s="179" t="str">
        <f t="array" ref="N752">IF($F752&lt;&gt;"", XLOOKUP($F752,Productos!$A$2:$A1001,Productos!G$2:G1001,"")*$G752,"")</f>
        <v/>
      </c>
      <c r="O752" s="179" t="str">
        <f t="array" ref="O752">IF($F752&lt;&gt;"",XLOOKUP($F752,Productos!$A:$A,Productos!H:H,"Revisar"),"")</f>
        <v/>
      </c>
      <c r="P752" s="179" t="str">
        <f t="array" ref="P752">IF($F752&lt;&gt;"", XLOOKUP($F752,Productos!$A$2:$A1001,Productos!I$2:I1001,"")*$G752,"")</f>
        <v/>
      </c>
      <c r="Q752" s="179" t="str">
        <f t="array" ref="Q752">IF($F752&lt;&gt;"",XLOOKUP($F752,Productos!$A:$A,Productos!J:J,"Revisar"),"")</f>
        <v/>
      </c>
      <c r="R752" s="179" t="str">
        <f t="array" ref="R752">IF($F752&lt;&gt;"", XLOOKUP($F752,Productos!$A$2:$A1001,Productos!K$2:K1001,"")*$G752,"")</f>
        <v/>
      </c>
      <c r="S752" s="179" t="str">
        <f t="array" ref="S752">IF($F752&lt;&gt;"",XLOOKUP($F752,Productos!$A:$A,Productos!L:L,"Revisar"),"")</f>
        <v/>
      </c>
      <c r="T752" s="179" t="str">
        <f t="array" ref="T752">IF($F752&lt;&gt;"", XLOOKUP($F752,Productos!$A$2:$A1001,Productos!M$2:M1001,"")*$G752,"")</f>
        <v/>
      </c>
      <c r="U752" s="179" t="str">
        <f t="array" ref="U752">IF($F752&lt;&gt;"",XLOOKUP($F752,Productos!$A:$A,Productos!N:N,"Revisar"),"")</f>
        <v/>
      </c>
      <c r="V752" s="179" t="str">
        <f t="array" ref="V752">IF($F752&lt;&gt;"", XLOOKUP($F752,Productos!$A$2:$A1001,Productos!O$2:O1001,"")*$G752,"")</f>
        <v/>
      </c>
      <c r="W752" s="179" t="str">
        <f t="array" ref="W752">IF($F752&lt;&gt;"",XLOOKUP($F752,Productos!$A:$A,Productos!P:P,"Revisar"),"")</f>
        <v/>
      </c>
      <c r="X752" s="179" t="str">
        <f t="array" ref="X752">IF($F752&lt;&gt;"", XLOOKUP($F752,Productos!$A$2:$A1001,Productos!Q$2:Q1001,"")*$G752,"")</f>
        <v/>
      </c>
      <c r="Y752" s="179" t="str">
        <f t="array" ref="Y752">IF($F752&lt;&gt;"",XLOOKUP($F752,Productos!$A:$A,Productos!R:R,"Revisar"),"")</f>
        <v/>
      </c>
      <c r="Z752" s="179" t="str">
        <f t="array" ref="Z752">IF($F752&lt;&gt;"", XLOOKUP($F752,Productos!$A$2:$A1001,Productos!S$2:S1001,"")*$G752,"")</f>
        <v/>
      </c>
      <c r="AA752" s="179" t="str">
        <f t="array" ref="AA752">IF($F752&lt;&gt;"",XLOOKUP($F752,Productos!$A:$A,Productos!T:T,"Revisar"),"")</f>
        <v/>
      </c>
      <c r="AB752" s="179" t="str">
        <f t="array" ref="AB752">IF($F752&lt;&gt;"", XLOOKUP($F752,Productos!$A$2:$A1001,Productos!U$2:U1001,"")*$G752,"")</f>
        <v/>
      </c>
      <c r="AC752" s="179" t="str">
        <f t="array" ref="AC752">IF($F752&lt;&gt;"",XLOOKUP($F752,Productos!$A:$A,Productos!V:V,"Revisar"),"")</f>
        <v/>
      </c>
      <c r="AD752" s="179" t="str">
        <f t="array" ref="AD752">IF($F752&lt;&gt;"", XLOOKUP($F752,Productos!$A$2:$A1001,Productos!W$2:W1001,"")*$G752,"")</f>
        <v/>
      </c>
      <c r="AE752" s="179" t="str">
        <f t="array" ref="AE752">IF($F752&lt;&gt;"",XLOOKUP($F752,Productos!$A:$A,Productos!X:X,"Revisar"),"")</f>
        <v/>
      </c>
      <c r="AF752" s="179" t="str">
        <f t="array" ref="AF752">IF($F752&lt;&gt;"", XLOOKUP($F752,Productos!$A$2:$A1001,Productos!Y$2:Y1001,"")*$G752,"")</f>
        <v/>
      </c>
      <c r="AG752" s="179" t="str">
        <f t="array" ref="AG752">IF($F752&lt;&gt;"",XLOOKUP($F752,Productos!$A:$A,Productos!Z:Z,"Revisar"),"")</f>
        <v/>
      </c>
      <c r="AH752" s="179" t="str">
        <f t="array" ref="AH752">IF($F752&lt;&gt;"", XLOOKUP($F752,Productos!$A$2:$A1001,Productos!AA$2:AA1001,"")*$G752,"")</f>
        <v/>
      </c>
      <c r="AI752" s="179" t="str">
        <f t="array" ref="AI752">IF($F752&lt;&gt;"",XLOOKUP($F752,Productos!$A:$A,Productos!AB:AB,"Revisar"),"")</f>
        <v/>
      </c>
      <c r="AJ752" s="179" t="str">
        <f t="array" ref="AJ752">IF($F752&lt;&gt;"", XLOOKUP($F752,Productos!$A$2:$A1001,Productos!AC$2:AC1001,"")*$G752,"")</f>
        <v/>
      </c>
      <c r="AK752" s="179" t="str">
        <f t="array" ref="AK752">IF($F752&lt;&gt;"",XLOOKUP($F752,Productos!$A:$A,Productos!AD:AD,"Revisar"),"")</f>
        <v/>
      </c>
      <c r="AL752" s="179" t="str">
        <f t="array" ref="AL752">IF($F752&lt;&gt;"", XLOOKUP($F752,Productos!$A$2:$A1001,Productos!AE$2:AE1001,"")*$G752,"")</f>
        <v/>
      </c>
      <c r="AM752" s="179" t="str">
        <f t="array" ref="AM752">IF($F752&lt;&gt;"",XLOOKUP($F752,Productos!$A:$A,Productos!AF:AF,"Revisar"),"")</f>
        <v/>
      </c>
      <c r="AN752" s="179" t="str">
        <f t="array" ref="AN752">IF($F752&lt;&gt;"", XLOOKUP($F752,Productos!$A$2:$A1001,Productos!AG$2:AG1001,"")*$G752,"")</f>
        <v/>
      </c>
      <c r="AO752" s="179" t="str">
        <f t="array" ref="AO752">IF($F752&lt;&gt;"",XLOOKUP($F752,Productos!$A:$A,Productos!AH:AH,"Revisar"),"")</f>
        <v/>
      </c>
      <c r="AP752" s="179" t="str">
        <f t="array" ref="AP752">IF($F752&lt;&gt;"", XLOOKUP($F752,Productos!$A$2:$A1001,Productos!AI$2:AI1001,"")*$G752,"")</f>
        <v/>
      </c>
      <c r="AQ752" s="179" t="str">
        <f t="array" ref="AQ752">IF($F752&lt;&gt;"",XLOOKUP($F752,Productos!$A:$A,Productos!AJ:AJ,"Revisar"),"")</f>
        <v/>
      </c>
      <c r="AR752" s="179" t="str">
        <f t="array" ref="AR752">IF($F752&lt;&gt;"", XLOOKUP($F752,Productos!$A$2:$A1001,Productos!AK$2:AK1001,"")*$G752,"")</f>
        <v/>
      </c>
      <c r="AS752" s="179" t="str">
        <f t="array" ref="AS752">IF($F752&lt;&gt;"",XLOOKUP($F752,Productos!$A:$A,Productos!AL:AL,"Revisar"),"")</f>
        <v/>
      </c>
      <c r="AT752" s="179" t="str">
        <f t="array" ref="AT752">IF($F752&lt;&gt;"", XLOOKUP($F752,Productos!$A$2:$A1001,Productos!AM$2:AM1001,"")*$G752,"")</f>
        <v/>
      </c>
      <c r="AU752" s="179" t="str">
        <f t="array" ref="AU752">IF($F752&lt;&gt;"",XLOOKUP($F752,Productos!$A:$A,Productos!AN:AN,"Revisar"),"")</f>
        <v/>
      </c>
      <c r="AV752" s="179" t="str">
        <f t="array" ref="AV752">IF($F752&lt;&gt;"", XLOOKUP($F752,Productos!$A$2:$A1001,Productos!AO$2:AO1001,"")*$G752,"")</f>
        <v/>
      </c>
      <c r="AW752" s="179" t="str">
        <f t="array" ref="AW752">IF($F752&lt;&gt;"",XLOOKUP($F752,Productos!$A:$A,Productos!AP:AP,"Revisar"),"")</f>
        <v/>
      </c>
      <c r="AX752" s="179" t="str">
        <f t="array" ref="AX752">IF($F752&lt;&gt;"", XLOOKUP($F752,Productos!$A$2:$A1001,Productos!AQ$2:AQ1001,"")*$G752,"")</f>
        <v/>
      </c>
      <c r="AY752" s="179" t="str">
        <f t="array" ref="AY752">IF($F752&lt;&gt;"",XLOOKUP($F752,Productos!$A:$A,Productos!AR:AR,"Revisar"),"")</f>
        <v/>
      </c>
      <c r="AZ752" s="179" t="str">
        <f t="array" ref="AZ752">IF($F752&lt;&gt;"", XLOOKUP($F752,Productos!$A$2:$A1001,Productos!AS$2:AS1001,"")*$G752,"")</f>
        <v/>
      </c>
      <c r="BA752" s="179" t="str">
        <f t="array" ref="BA752">IF($F752&lt;&gt;"",XLOOKUP($F752,Productos!$A:$A,Productos!AT:AT,"Revisar"),"")</f>
        <v/>
      </c>
      <c r="BB752" s="179" t="str">
        <f t="array" ref="BB752">IF($F752&lt;&gt;"", XLOOKUP($F752,Productos!$A$2:$A1001,Productos!AU$2:AU1001,"")*$G752,"")</f>
        <v/>
      </c>
      <c r="BC752" s="179" t="str">
        <f t="array" ref="BC752">IF($F752&lt;&gt;"",XLOOKUP($F752,Productos!$A:$A,Productos!AV:AV,"Revisar"),"")</f>
        <v/>
      </c>
      <c r="BD752" s="179" t="str">
        <f t="array" ref="BD752">IF($F752&lt;&gt;"", XLOOKUP($F752,Productos!$A$2:$A1001,Productos!AW$2:AW1001,"")*$G752,"")</f>
        <v/>
      </c>
      <c r="BE752" s="179" t="str">
        <f t="array" ref="BE752">IF($F752&lt;&gt;"",XLOOKUP($F752,Productos!$A:$A,Productos!AX:AX,"Revisar"),"")</f>
        <v/>
      </c>
      <c r="BF752" s="179" t="str">
        <f t="array" ref="BF752">IF($F752&lt;&gt;"", XLOOKUP($F752,Productos!$A$2:$A1001,Productos!AY$2:AY1001,"")*$G752,"")</f>
        <v/>
      </c>
      <c r="BG752" s="179" t="str">
        <f t="array" ref="BG752">IF($F752&lt;&gt;"",XLOOKUP($F752,Productos!$A:$A,Productos!AZ:AZ,"Revisar"),"")</f>
        <v/>
      </c>
      <c r="BH752" s="179" t="str">
        <f t="array" ref="BH752">IF($F752&lt;&gt;"", XLOOKUP($F752,Productos!$A$2:$A1001,Productos!BA$2:BA1001,"")*$G752,"")</f>
        <v/>
      </c>
      <c r="BI752" s="179" t="str">
        <f t="array" ref="BI752">IF($F752&lt;&gt;"",XLOOKUP($F752,Productos!$A:$A,Productos!BB:BB,"Revisar"),"")</f>
        <v/>
      </c>
      <c r="BJ752" s="179" t="str">
        <f t="array" ref="BJ752">IF($F752&lt;&gt;"", XLOOKUP($F752,Productos!$A$2:$A1001,Productos!BC$2:BC1001,"")*$G752,"")</f>
        <v/>
      </c>
      <c r="BK752" s="179" t="str">
        <f t="array" ref="BK752">IF($F752&lt;&gt;"",XLOOKUP($F752,Productos!$A:$A,Productos!BD:BD,"Revisar"),"")</f>
        <v/>
      </c>
      <c r="BL752" s="179" t="str">
        <f t="array" ref="BL752">IF($F752&lt;&gt;"", XLOOKUP($F752,Productos!$A$2:$A1001,Productos!BE$2:BE1001,"")*$G752,"")</f>
        <v/>
      </c>
      <c r="BM752" s="179" t="str">
        <f t="array" ref="BM752">IF($F752&lt;&gt;"",XLOOKUP($F752,Productos!$A:$A,Productos!BF:BF,"Revisar"),"")</f>
        <v/>
      </c>
      <c r="BN752" s="179" t="str">
        <f t="array" ref="BN752">IF($F752&lt;&gt;"", XLOOKUP($F752,Productos!$A$2:$A1001,Productos!BG$2:BG1001,"")*$G752,"")</f>
        <v/>
      </c>
      <c r="BO752" s="179" t="str">
        <f t="array" ref="BO752">IF($F752&lt;&gt;"",XLOOKUP($F752,Productos!$A:$A,Productos!BH:BH,"Revisar"),"")</f>
        <v/>
      </c>
      <c r="BP752" s="179" t="str">
        <f t="array" ref="BP752">IF($F752&lt;&gt;"", XLOOKUP($F752,Productos!$A$2:$A1001,Productos!BI$2:BI1001,"")*$G752,"")</f>
        <v/>
      </c>
      <c r="BQ752" s="179" t="str">
        <f t="array" ref="BQ752">IF($F752&lt;&gt;"",XLOOKUP($F752,Productos!$A:$A,Productos!BJ:BJ,"Revisar"),"")</f>
        <v/>
      </c>
      <c r="BR752" s="179" t="str">
        <f t="array" ref="BR752">IF($F752&lt;&gt;"", XLOOKUP($F752,Productos!$A$2:$A1001,Productos!BK$2:BK1001,"")*$G752,"")</f>
        <v/>
      </c>
      <c r="BS752" s="179" t="str">
        <f t="array" ref="BS752">IF($F752&lt;&gt;"",XLOOKUP($F752,Productos!$A:$A,Productos!BL:BL,"Revisar"),"")</f>
        <v/>
      </c>
      <c r="BT752" s="179" t="str">
        <f t="array" ref="BT752">IF($F752&lt;&gt;"", XLOOKUP($F752,Productos!$A$2:$A1001,Productos!BM$2:BM1001,"")*$G752,"")</f>
        <v/>
      </c>
      <c r="BU752" s="179" t="str">
        <f t="array" ref="BU752">IF($F752&lt;&gt;"",XLOOKUP($F752,Productos!$A:$A,Productos!BN:BN,"Revisar"),"")</f>
        <v/>
      </c>
      <c r="BV752" s="179" t="str">
        <f t="array" ref="BV752">IF($F752&lt;&gt;"", XLOOKUP($F752,Productos!$A$2:$A1001,Productos!BO$2:BO1001,"")*$G752,"")</f>
        <v/>
      </c>
      <c r="BW752" s="179" t="str">
        <f t="array" ref="BW752">IF($F752&lt;&gt;"",XLOOKUP($F752,Productos!$A:$A,Productos!BP:BP,"Revisar"),"")</f>
        <v/>
      </c>
      <c r="BX752" s="179" t="str">
        <f t="array" ref="BX752">IF($F752&lt;&gt;"", XLOOKUP($F752,Productos!$A$2:$A1001,Productos!BQ$2:BQ1001,"")*$G752,"")</f>
        <v/>
      </c>
      <c r="BY752" s="179" t="str">
        <f t="array" ref="BY752">IF($F752&lt;&gt;"",XLOOKUP($F752,Productos!$A:$A,Productos!BR:BR,"Revisar"),"")</f>
        <v/>
      </c>
      <c r="BZ752" s="179" t="str">
        <f t="array" ref="BZ752">IF($F752&lt;&gt;"", XLOOKUP($F752,Productos!$A$2:$A1001,Productos!BS$2:BS1001,"")*$G752,"")</f>
        <v/>
      </c>
    </row>
    <row r="753">
      <c r="A753" s="188"/>
      <c r="B753" s="189"/>
      <c r="C753" s="190"/>
      <c r="D753" s="190"/>
      <c r="E753" s="191"/>
      <c r="F753" s="186"/>
      <c r="G753" s="192"/>
      <c r="H753" s="9"/>
      <c r="I753" s="179" t="str">
        <f t="array" ref="I753">IF($F753&lt;&gt;"",XLOOKUP($F753,Productos!$A:$A,Productos!B:B,"Revisar"),"")</f>
        <v/>
      </c>
      <c r="J753" s="179" t="str">
        <f t="array" ref="J753">IF($F753&lt;&gt;"", XLOOKUP($F753,Productos!$A$2:$A1001,Productos!C$2:C1001,"")*$G753,"")</f>
        <v/>
      </c>
      <c r="K753" s="179" t="str">
        <f t="array" ref="K753">IF($F753&lt;&gt;"",XLOOKUP($F753,Productos!$A:$A,Productos!D:D,"Revisar"),"")</f>
        <v/>
      </c>
      <c r="L753" s="179" t="str">
        <f t="array" ref="L753">IF($F753&lt;&gt;"", XLOOKUP($F753,Productos!$A$2:$A1001,Productos!E$2:E1001,"")*$G753,"")</f>
        <v/>
      </c>
      <c r="M753" s="179" t="str">
        <f t="array" ref="M753">IF($F753&lt;&gt;"",XLOOKUP($F753,Productos!$A:$A,Productos!F:F,"Revisar"),"")</f>
        <v/>
      </c>
      <c r="N753" s="179" t="str">
        <f t="array" ref="N753">IF($F753&lt;&gt;"", XLOOKUP($F753,Productos!$A$2:$A1001,Productos!G$2:G1001,"")*$G753,"")</f>
        <v/>
      </c>
      <c r="O753" s="179" t="str">
        <f t="array" ref="O753">IF($F753&lt;&gt;"",XLOOKUP($F753,Productos!$A:$A,Productos!H:H,"Revisar"),"")</f>
        <v/>
      </c>
      <c r="P753" s="179" t="str">
        <f t="array" ref="P753">IF($F753&lt;&gt;"", XLOOKUP($F753,Productos!$A$2:$A1001,Productos!I$2:I1001,"")*$G753,"")</f>
        <v/>
      </c>
      <c r="Q753" s="179" t="str">
        <f t="array" ref="Q753">IF($F753&lt;&gt;"",XLOOKUP($F753,Productos!$A:$A,Productos!J:J,"Revisar"),"")</f>
        <v/>
      </c>
      <c r="R753" s="179" t="str">
        <f t="array" ref="R753">IF($F753&lt;&gt;"", XLOOKUP($F753,Productos!$A$2:$A1001,Productos!K$2:K1001,"")*$G753,"")</f>
        <v/>
      </c>
      <c r="S753" s="179" t="str">
        <f t="array" ref="S753">IF($F753&lt;&gt;"",XLOOKUP($F753,Productos!$A:$A,Productos!L:L,"Revisar"),"")</f>
        <v/>
      </c>
      <c r="T753" s="179" t="str">
        <f t="array" ref="T753">IF($F753&lt;&gt;"", XLOOKUP($F753,Productos!$A$2:$A1001,Productos!M$2:M1001,"")*$G753,"")</f>
        <v/>
      </c>
      <c r="U753" s="179" t="str">
        <f t="array" ref="U753">IF($F753&lt;&gt;"",XLOOKUP($F753,Productos!$A:$A,Productos!N:N,"Revisar"),"")</f>
        <v/>
      </c>
      <c r="V753" s="179" t="str">
        <f t="array" ref="V753">IF($F753&lt;&gt;"", XLOOKUP($F753,Productos!$A$2:$A1001,Productos!O$2:O1001,"")*$G753,"")</f>
        <v/>
      </c>
      <c r="W753" s="179" t="str">
        <f t="array" ref="W753">IF($F753&lt;&gt;"",XLOOKUP($F753,Productos!$A:$A,Productos!P:P,"Revisar"),"")</f>
        <v/>
      </c>
      <c r="X753" s="179" t="str">
        <f t="array" ref="X753">IF($F753&lt;&gt;"", XLOOKUP($F753,Productos!$A$2:$A1001,Productos!Q$2:Q1001,"")*$G753,"")</f>
        <v/>
      </c>
      <c r="Y753" s="179" t="str">
        <f t="array" ref="Y753">IF($F753&lt;&gt;"",XLOOKUP($F753,Productos!$A:$A,Productos!R:R,"Revisar"),"")</f>
        <v/>
      </c>
      <c r="Z753" s="179" t="str">
        <f t="array" ref="Z753">IF($F753&lt;&gt;"", XLOOKUP($F753,Productos!$A$2:$A1001,Productos!S$2:S1001,"")*$G753,"")</f>
        <v/>
      </c>
      <c r="AA753" s="179" t="str">
        <f t="array" ref="AA753">IF($F753&lt;&gt;"",XLOOKUP($F753,Productos!$A:$A,Productos!T:T,"Revisar"),"")</f>
        <v/>
      </c>
      <c r="AB753" s="179" t="str">
        <f t="array" ref="AB753">IF($F753&lt;&gt;"", XLOOKUP($F753,Productos!$A$2:$A1001,Productos!U$2:U1001,"")*$G753,"")</f>
        <v/>
      </c>
      <c r="AC753" s="179" t="str">
        <f t="array" ref="AC753">IF($F753&lt;&gt;"",XLOOKUP($F753,Productos!$A:$A,Productos!V:V,"Revisar"),"")</f>
        <v/>
      </c>
      <c r="AD753" s="179" t="str">
        <f t="array" ref="AD753">IF($F753&lt;&gt;"", XLOOKUP($F753,Productos!$A$2:$A1001,Productos!W$2:W1001,"")*$G753,"")</f>
        <v/>
      </c>
      <c r="AE753" s="179" t="str">
        <f t="array" ref="AE753">IF($F753&lt;&gt;"",XLOOKUP($F753,Productos!$A:$A,Productos!X:X,"Revisar"),"")</f>
        <v/>
      </c>
      <c r="AF753" s="179" t="str">
        <f t="array" ref="AF753">IF($F753&lt;&gt;"", XLOOKUP($F753,Productos!$A$2:$A1001,Productos!Y$2:Y1001,"")*$G753,"")</f>
        <v/>
      </c>
      <c r="AG753" s="179" t="str">
        <f t="array" ref="AG753">IF($F753&lt;&gt;"",XLOOKUP($F753,Productos!$A:$A,Productos!Z:Z,"Revisar"),"")</f>
        <v/>
      </c>
      <c r="AH753" s="179" t="str">
        <f t="array" ref="AH753">IF($F753&lt;&gt;"", XLOOKUP($F753,Productos!$A$2:$A1001,Productos!AA$2:AA1001,"")*$G753,"")</f>
        <v/>
      </c>
      <c r="AI753" s="179" t="str">
        <f t="array" ref="AI753">IF($F753&lt;&gt;"",XLOOKUP($F753,Productos!$A:$A,Productos!AB:AB,"Revisar"),"")</f>
        <v/>
      </c>
      <c r="AJ753" s="179" t="str">
        <f t="array" ref="AJ753">IF($F753&lt;&gt;"", XLOOKUP($F753,Productos!$A$2:$A1001,Productos!AC$2:AC1001,"")*$G753,"")</f>
        <v/>
      </c>
      <c r="AK753" s="179" t="str">
        <f t="array" ref="AK753">IF($F753&lt;&gt;"",XLOOKUP($F753,Productos!$A:$A,Productos!AD:AD,"Revisar"),"")</f>
        <v/>
      </c>
      <c r="AL753" s="179" t="str">
        <f t="array" ref="AL753">IF($F753&lt;&gt;"", XLOOKUP($F753,Productos!$A$2:$A1001,Productos!AE$2:AE1001,"")*$G753,"")</f>
        <v/>
      </c>
      <c r="AM753" s="179" t="str">
        <f t="array" ref="AM753">IF($F753&lt;&gt;"",XLOOKUP($F753,Productos!$A:$A,Productos!AF:AF,"Revisar"),"")</f>
        <v/>
      </c>
      <c r="AN753" s="179" t="str">
        <f t="array" ref="AN753">IF($F753&lt;&gt;"", XLOOKUP($F753,Productos!$A$2:$A1001,Productos!AG$2:AG1001,"")*$G753,"")</f>
        <v/>
      </c>
      <c r="AO753" s="179" t="str">
        <f t="array" ref="AO753">IF($F753&lt;&gt;"",XLOOKUP($F753,Productos!$A:$A,Productos!AH:AH,"Revisar"),"")</f>
        <v/>
      </c>
      <c r="AP753" s="179" t="str">
        <f t="array" ref="AP753">IF($F753&lt;&gt;"", XLOOKUP($F753,Productos!$A$2:$A1001,Productos!AI$2:AI1001,"")*$G753,"")</f>
        <v/>
      </c>
      <c r="AQ753" s="179" t="str">
        <f t="array" ref="AQ753">IF($F753&lt;&gt;"",XLOOKUP($F753,Productos!$A:$A,Productos!AJ:AJ,"Revisar"),"")</f>
        <v/>
      </c>
      <c r="AR753" s="179" t="str">
        <f t="array" ref="AR753">IF($F753&lt;&gt;"", XLOOKUP($F753,Productos!$A$2:$A1001,Productos!AK$2:AK1001,"")*$G753,"")</f>
        <v/>
      </c>
      <c r="AS753" s="179" t="str">
        <f t="array" ref="AS753">IF($F753&lt;&gt;"",XLOOKUP($F753,Productos!$A:$A,Productos!AL:AL,"Revisar"),"")</f>
        <v/>
      </c>
      <c r="AT753" s="179" t="str">
        <f t="array" ref="AT753">IF($F753&lt;&gt;"", XLOOKUP($F753,Productos!$A$2:$A1001,Productos!AM$2:AM1001,"")*$G753,"")</f>
        <v/>
      </c>
      <c r="AU753" s="179" t="str">
        <f t="array" ref="AU753">IF($F753&lt;&gt;"",XLOOKUP($F753,Productos!$A:$A,Productos!AN:AN,"Revisar"),"")</f>
        <v/>
      </c>
      <c r="AV753" s="179" t="str">
        <f t="array" ref="AV753">IF($F753&lt;&gt;"", XLOOKUP($F753,Productos!$A$2:$A1001,Productos!AO$2:AO1001,"")*$G753,"")</f>
        <v/>
      </c>
      <c r="AW753" s="179" t="str">
        <f t="array" ref="AW753">IF($F753&lt;&gt;"",XLOOKUP($F753,Productos!$A:$A,Productos!AP:AP,"Revisar"),"")</f>
        <v/>
      </c>
      <c r="AX753" s="179" t="str">
        <f t="array" ref="AX753">IF($F753&lt;&gt;"", XLOOKUP($F753,Productos!$A$2:$A1001,Productos!AQ$2:AQ1001,"")*$G753,"")</f>
        <v/>
      </c>
      <c r="AY753" s="179" t="str">
        <f t="array" ref="AY753">IF($F753&lt;&gt;"",XLOOKUP($F753,Productos!$A:$A,Productos!AR:AR,"Revisar"),"")</f>
        <v/>
      </c>
      <c r="AZ753" s="179" t="str">
        <f t="array" ref="AZ753">IF($F753&lt;&gt;"", XLOOKUP($F753,Productos!$A$2:$A1001,Productos!AS$2:AS1001,"")*$G753,"")</f>
        <v/>
      </c>
      <c r="BA753" s="179" t="str">
        <f t="array" ref="BA753">IF($F753&lt;&gt;"",XLOOKUP($F753,Productos!$A:$A,Productos!AT:AT,"Revisar"),"")</f>
        <v/>
      </c>
      <c r="BB753" s="179" t="str">
        <f t="array" ref="BB753">IF($F753&lt;&gt;"", XLOOKUP($F753,Productos!$A$2:$A1001,Productos!AU$2:AU1001,"")*$G753,"")</f>
        <v/>
      </c>
      <c r="BC753" s="179" t="str">
        <f t="array" ref="BC753">IF($F753&lt;&gt;"",XLOOKUP($F753,Productos!$A:$A,Productos!AV:AV,"Revisar"),"")</f>
        <v/>
      </c>
      <c r="BD753" s="179" t="str">
        <f t="array" ref="BD753">IF($F753&lt;&gt;"", XLOOKUP($F753,Productos!$A$2:$A1001,Productos!AW$2:AW1001,"")*$G753,"")</f>
        <v/>
      </c>
      <c r="BE753" s="179" t="str">
        <f t="array" ref="BE753">IF($F753&lt;&gt;"",XLOOKUP($F753,Productos!$A:$A,Productos!AX:AX,"Revisar"),"")</f>
        <v/>
      </c>
      <c r="BF753" s="179" t="str">
        <f t="array" ref="BF753">IF($F753&lt;&gt;"", XLOOKUP($F753,Productos!$A$2:$A1001,Productos!AY$2:AY1001,"")*$G753,"")</f>
        <v/>
      </c>
      <c r="BG753" s="179" t="str">
        <f t="array" ref="BG753">IF($F753&lt;&gt;"",XLOOKUP($F753,Productos!$A:$A,Productos!AZ:AZ,"Revisar"),"")</f>
        <v/>
      </c>
      <c r="BH753" s="179" t="str">
        <f t="array" ref="BH753">IF($F753&lt;&gt;"", XLOOKUP($F753,Productos!$A$2:$A1001,Productos!BA$2:BA1001,"")*$G753,"")</f>
        <v/>
      </c>
      <c r="BI753" s="179" t="str">
        <f t="array" ref="BI753">IF($F753&lt;&gt;"",XLOOKUP($F753,Productos!$A:$A,Productos!BB:BB,"Revisar"),"")</f>
        <v/>
      </c>
      <c r="BJ753" s="179" t="str">
        <f t="array" ref="BJ753">IF($F753&lt;&gt;"", XLOOKUP($F753,Productos!$A$2:$A1001,Productos!BC$2:BC1001,"")*$G753,"")</f>
        <v/>
      </c>
      <c r="BK753" s="179" t="str">
        <f t="array" ref="BK753">IF($F753&lt;&gt;"",XLOOKUP($F753,Productos!$A:$A,Productos!BD:BD,"Revisar"),"")</f>
        <v/>
      </c>
      <c r="BL753" s="179" t="str">
        <f t="array" ref="BL753">IF($F753&lt;&gt;"", XLOOKUP($F753,Productos!$A$2:$A1001,Productos!BE$2:BE1001,"")*$G753,"")</f>
        <v/>
      </c>
      <c r="BM753" s="179" t="str">
        <f t="array" ref="BM753">IF($F753&lt;&gt;"",XLOOKUP($F753,Productos!$A:$A,Productos!BF:BF,"Revisar"),"")</f>
        <v/>
      </c>
      <c r="BN753" s="179" t="str">
        <f t="array" ref="BN753">IF($F753&lt;&gt;"", XLOOKUP($F753,Productos!$A$2:$A1001,Productos!BG$2:BG1001,"")*$G753,"")</f>
        <v/>
      </c>
      <c r="BO753" s="179" t="str">
        <f t="array" ref="BO753">IF($F753&lt;&gt;"",XLOOKUP($F753,Productos!$A:$A,Productos!BH:BH,"Revisar"),"")</f>
        <v/>
      </c>
      <c r="BP753" s="179" t="str">
        <f t="array" ref="BP753">IF($F753&lt;&gt;"", XLOOKUP($F753,Productos!$A$2:$A1001,Productos!BI$2:BI1001,"")*$G753,"")</f>
        <v/>
      </c>
      <c r="BQ753" s="179" t="str">
        <f t="array" ref="BQ753">IF($F753&lt;&gt;"",XLOOKUP($F753,Productos!$A:$A,Productos!BJ:BJ,"Revisar"),"")</f>
        <v/>
      </c>
      <c r="BR753" s="179" t="str">
        <f t="array" ref="BR753">IF($F753&lt;&gt;"", XLOOKUP($F753,Productos!$A$2:$A1001,Productos!BK$2:BK1001,"")*$G753,"")</f>
        <v/>
      </c>
      <c r="BS753" s="179" t="str">
        <f t="array" ref="BS753">IF($F753&lt;&gt;"",XLOOKUP($F753,Productos!$A:$A,Productos!BL:BL,"Revisar"),"")</f>
        <v/>
      </c>
      <c r="BT753" s="179" t="str">
        <f t="array" ref="BT753">IF($F753&lt;&gt;"", XLOOKUP($F753,Productos!$A$2:$A1001,Productos!BM$2:BM1001,"")*$G753,"")</f>
        <v/>
      </c>
      <c r="BU753" s="179" t="str">
        <f t="array" ref="BU753">IF($F753&lt;&gt;"",XLOOKUP($F753,Productos!$A:$A,Productos!BN:BN,"Revisar"),"")</f>
        <v/>
      </c>
      <c r="BV753" s="179" t="str">
        <f t="array" ref="BV753">IF($F753&lt;&gt;"", XLOOKUP($F753,Productos!$A$2:$A1001,Productos!BO$2:BO1001,"")*$G753,"")</f>
        <v/>
      </c>
      <c r="BW753" s="179" t="str">
        <f t="array" ref="BW753">IF($F753&lt;&gt;"",XLOOKUP($F753,Productos!$A:$A,Productos!BP:BP,"Revisar"),"")</f>
        <v/>
      </c>
      <c r="BX753" s="179" t="str">
        <f t="array" ref="BX753">IF($F753&lt;&gt;"", XLOOKUP($F753,Productos!$A$2:$A1001,Productos!BQ$2:BQ1001,"")*$G753,"")</f>
        <v/>
      </c>
      <c r="BY753" s="179" t="str">
        <f t="array" ref="BY753">IF($F753&lt;&gt;"",XLOOKUP($F753,Productos!$A:$A,Productos!BR:BR,"Revisar"),"")</f>
        <v/>
      </c>
      <c r="BZ753" s="179" t="str">
        <f t="array" ref="BZ753">IF($F753&lt;&gt;"", XLOOKUP($F753,Productos!$A$2:$A1001,Productos!BS$2:BS1001,"")*$G753,"")</f>
        <v/>
      </c>
    </row>
    <row r="754">
      <c r="A754" s="188"/>
      <c r="B754" s="189"/>
      <c r="C754" s="190"/>
      <c r="D754" s="190"/>
      <c r="E754" s="191"/>
      <c r="F754" s="186"/>
      <c r="G754" s="192"/>
      <c r="H754" s="9"/>
      <c r="I754" s="179" t="str">
        <f t="array" ref="I754">IF($F754&lt;&gt;"",XLOOKUP($F754,Productos!$A:$A,Productos!B:B,"Revisar"),"")</f>
        <v/>
      </c>
      <c r="J754" s="179" t="str">
        <f t="array" ref="J754">IF($F754&lt;&gt;"", XLOOKUP($F754,Productos!$A$2:$A1001,Productos!C$2:C1001,"")*$G754,"")</f>
        <v/>
      </c>
      <c r="K754" s="179" t="str">
        <f t="array" ref="K754">IF($F754&lt;&gt;"",XLOOKUP($F754,Productos!$A:$A,Productos!D:D,"Revisar"),"")</f>
        <v/>
      </c>
      <c r="L754" s="179" t="str">
        <f t="array" ref="L754">IF($F754&lt;&gt;"", XLOOKUP($F754,Productos!$A$2:$A1001,Productos!E$2:E1001,"")*$G754,"")</f>
        <v/>
      </c>
      <c r="M754" s="179" t="str">
        <f t="array" ref="M754">IF($F754&lt;&gt;"",XLOOKUP($F754,Productos!$A:$A,Productos!F:F,"Revisar"),"")</f>
        <v/>
      </c>
      <c r="N754" s="179" t="str">
        <f t="array" ref="N754">IF($F754&lt;&gt;"", XLOOKUP($F754,Productos!$A$2:$A1001,Productos!G$2:G1001,"")*$G754,"")</f>
        <v/>
      </c>
      <c r="O754" s="179" t="str">
        <f t="array" ref="O754">IF($F754&lt;&gt;"",XLOOKUP($F754,Productos!$A:$A,Productos!H:H,"Revisar"),"")</f>
        <v/>
      </c>
      <c r="P754" s="179" t="str">
        <f t="array" ref="P754">IF($F754&lt;&gt;"", XLOOKUP($F754,Productos!$A$2:$A1001,Productos!I$2:I1001,"")*$G754,"")</f>
        <v/>
      </c>
      <c r="Q754" s="179" t="str">
        <f t="array" ref="Q754">IF($F754&lt;&gt;"",XLOOKUP($F754,Productos!$A:$A,Productos!J:J,"Revisar"),"")</f>
        <v/>
      </c>
      <c r="R754" s="179" t="str">
        <f t="array" ref="R754">IF($F754&lt;&gt;"", XLOOKUP($F754,Productos!$A$2:$A1001,Productos!K$2:K1001,"")*$G754,"")</f>
        <v/>
      </c>
      <c r="S754" s="179" t="str">
        <f t="array" ref="S754">IF($F754&lt;&gt;"",XLOOKUP($F754,Productos!$A:$A,Productos!L:L,"Revisar"),"")</f>
        <v/>
      </c>
      <c r="T754" s="179" t="str">
        <f t="array" ref="T754">IF($F754&lt;&gt;"", XLOOKUP($F754,Productos!$A$2:$A1001,Productos!M$2:M1001,"")*$G754,"")</f>
        <v/>
      </c>
      <c r="U754" s="179" t="str">
        <f t="array" ref="U754">IF($F754&lt;&gt;"",XLOOKUP($F754,Productos!$A:$A,Productos!N:N,"Revisar"),"")</f>
        <v/>
      </c>
      <c r="V754" s="179" t="str">
        <f t="array" ref="V754">IF($F754&lt;&gt;"", XLOOKUP($F754,Productos!$A$2:$A1001,Productos!O$2:O1001,"")*$G754,"")</f>
        <v/>
      </c>
      <c r="W754" s="179" t="str">
        <f t="array" ref="W754">IF($F754&lt;&gt;"",XLOOKUP($F754,Productos!$A:$A,Productos!P:P,"Revisar"),"")</f>
        <v/>
      </c>
      <c r="X754" s="179" t="str">
        <f t="array" ref="X754">IF($F754&lt;&gt;"", XLOOKUP($F754,Productos!$A$2:$A1001,Productos!Q$2:Q1001,"")*$G754,"")</f>
        <v/>
      </c>
      <c r="Y754" s="179" t="str">
        <f t="array" ref="Y754">IF($F754&lt;&gt;"",XLOOKUP($F754,Productos!$A:$A,Productos!R:R,"Revisar"),"")</f>
        <v/>
      </c>
      <c r="Z754" s="179" t="str">
        <f t="array" ref="Z754">IF($F754&lt;&gt;"", XLOOKUP($F754,Productos!$A$2:$A1001,Productos!S$2:S1001,"")*$G754,"")</f>
        <v/>
      </c>
      <c r="AA754" s="179" t="str">
        <f t="array" ref="AA754">IF($F754&lt;&gt;"",XLOOKUP($F754,Productos!$A:$A,Productos!T:T,"Revisar"),"")</f>
        <v/>
      </c>
      <c r="AB754" s="179" t="str">
        <f t="array" ref="AB754">IF($F754&lt;&gt;"", XLOOKUP($F754,Productos!$A$2:$A1001,Productos!U$2:U1001,"")*$G754,"")</f>
        <v/>
      </c>
      <c r="AC754" s="179" t="str">
        <f t="array" ref="AC754">IF($F754&lt;&gt;"",XLOOKUP($F754,Productos!$A:$A,Productos!V:V,"Revisar"),"")</f>
        <v/>
      </c>
      <c r="AD754" s="179" t="str">
        <f t="array" ref="AD754">IF($F754&lt;&gt;"", XLOOKUP($F754,Productos!$A$2:$A1001,Productos!W$2:W1001,"")*$G754,"")</f>
        <v/>
      </c>
      <c r="AE754" s="179" t="str">
        <f t="array" ref="AE754">IF($F754&lt;&gt;"",XLOOKUP($F754,Productos!$A:$A,Productos!X:X,"Revisar"),"")</f>
        <v/>
      </c>
      <c r="AF754" s="179" t="str">
        <f t="array" ref="AF754">IF($F754&lt;&gt;"", XLOOKUP($F754,Productos!$A$2:$A1001,Productos!Y$2:Y1001,"")*$G754,"")</f>
        <v/>
      </c>
      <c r="AG754" s="179" t="str">
        <f t="array" ref="AG754">IF($F754&lt;&gt;"",XLOOKUP($F754,Productos!$A:$A,Productos!Z:Z,"Revisar"),"")</f>
        <v/>
      </c>
      <c r="AH754" s="179" t="str">
        <f t="array" ref="AH754">IF($F754&lt;&gt;"", XLOOKUP($F754,Productos!$A$2:$A1001,Productos!AA$2:AA1001,"")*$G754,"")</f>
        <v/>
      </c>
      <c r="AI754" s="179" t="str">
        <f t="array" ref="AI754">IF($F754&lt;&gt;"",XLOOKUP($F754,Productos!$A:$A,Productos!AB:AB,"Revisar"),"")</f>
        <v/>
      </c>
      <c r="AJ754" s="179" t="str">
        <f t="array" ref="AJ754">IF($F754&lt;&gt;"", XLOOKUP($F754,Productos!$A$2:$A1001,Productos!AC$2:AC1001,"")*$G754,"")</f>
        <v/>
      </c>
      <c r="AK754" s="179" t="str">
        <f t="array" ref="AK754">IF($F754&lt;&gt;"",XLOOKUP($F754,Productos!$A:$A,Productos!AD:AD,"Revisar"),"")</f>
        <v/>
      </c>
      <c r="AL754" s="179" t="str">
        <f t="array" ref="AL754">IF($F754&lt;&gt;"", XLOOKUP($F754,Productos!$A$2:$A1001,Productos!AE$2:AE1001,"")*$G754,"")</f>
        <v/>
      </c>
      <c r="AM754" s="179" t="str">
        <f t="array" ref="AM754">IF($F754&lt;&gt;"",XLOOKUP($F754,Productos!$A:$A,Productos!AF:AF,"Revisar"),"")</f>
        <v/>
      </c>
      <c r="AN754" s="179" t="str">
        <f t="array" ref="AN754">IF($F754&lt;&gt;"", XLOOKUP($F754,Productos!$A$2:$A1001,Productos!AG$2:AG1001,"")*$G754,"")</f>
        <v/>
      </c>
      <c r="AO754" s="179" t="str">
        <f t="array" ref="AO754">IF($F754&lt;&gt;"",XLOOKUP($F754,Productos!$A:$A,Productos!AH:AH,"Revisar"),"")</f>
        <v/>
      </c>
      <c r="AP754" s="179" t="str">
        <f t="array" ref="AP754">IF($F754&lt;&gt;"", XLOOKUP($F754,Productos!$A$2:$A1001,Productos!AI$2:AI1001,"")*$G754,"")</f>
        <v/>
      </c>
      <c r="AQ754" s="179" t="str">
        <f t="array" ref="AQ754">IF($F754&lt;&gt;"",XLOOKUP($F754,Productos!$A:$A,Productos!AJ:AJ,"Revisar"),"")</f>
        <v/>
      </c>
      <c r="AR754" s="179" t="str">
        <f t="array" ref="AR754">IF($F754&lt;&gt;"", XLOOKUP($F754,Productos!$A$2:$A1001,Productos!AK$2:AK1001,"")*$G754,"")</f>
        <v/>
      </c>
      <c r="AS754" s="179" t="str">
        <f t="array" ref="AS754">IF($F754&lt;&gt;"",XLOOKUP($F754,Productos!$A:$A,Productos!AL:AL,"Revisar"),"")</f>
        <v/>
      </c>
      <c r="AT754" s="179" t="str">
        <f t="array" ref="AT754">IF($F754&lt;&gt;"", XLOOKUP($F754,Productos!$A$2:$A1001,Productos!AM$2:AM1001,"")*$G754,"")</f>
        <v/>
      </c>
      <c r="AU754" s="179" t="str">
        <f t="array" ref="AU754">IF($F754&lt;&gt;"",XLOOKUP($F754,Productos!$A:$A,Productos!AN:AN,"Revisar"),"")</f>
        <v/>
      </c>
      <c r="AV754" s="179" t="str">
        <f t="array" ref="AV754">IF($F754&lt;&gt;"", XLOOKUP($F754,Productos!$A$2:$A1001,Productos!AO$2:AO1001,"")*$G754,"")</f>
        <v/>
      </c>
      <c r="AW754" s="179" t="str">
        <f t="array" ref="AW754">IF($F754&lt;&gt;"",XLOOKUP($F754,Productos!$A:$A,Productos!AP:AP,"Revisar"),"")</f>
        <v/>
      </c>
      <c r="AX754" s="179" t="str">
        <f t="array" ref="AX754">IF($F754&lt;&gt;"", XLOOKUP($F754,Productos!$A$2:$A1001,Productos!AQ$2:AQ1001,"")*$G754,"")</f>
        <v/>
      </c>
      <c r="AY754" s="179" t="str">
        <f t="array" ref="AY754">IF($F754&lt;&gt;"",XLOOKUP($F754,Productos!$A:$A,Productos!AR:AR,"Revisar"),"")</f>
        <v/>
      </c>
      <c r="AZ754" s="179" t="str">
        <f t="array" ref="AZ754">IF($F754&lt;&gt;"", XLOOKUP($F754,Productos!$A$2:$A1001,Productos!AS$2:AS1001,"")*$G754,"")</f>
        <v/>
      </c>
      <c r="BA754" s="179" t="str">
        <f t="array" ref="BA754">IF($F754&lt;&gt;"",XLOOKUP($F754,Productos!$A:$A,Productos!AT:AT,"Revisar"),"")</f>
        <v/>
      </c>
      <c r="BB754" s="179" t="str">
        <f t="array" ref="BB754">IF($F754&lt;&gt;"", XLOOKUP($F754,Productos!$A$2:$A1001,Productos!AU$2:AU1001,"")*$G754,"")</f>
        <v/>
      </c>
      <c r="BC754" s="179" t="str">
        <f t="array" ref="BC754">IF($F754&lt;&gt;"",XLOOKUP($F754,Productos!$A:$A,Productos!AV:AV,"Revisar"),"")</f>
        <v/>
      </c>
      <c r="BD754" s="179" t="str">
        <f t="array" ref="BD754">IF($F754&lt;&gt;"", XLOOKUP($F754,Productos!$A$2:$A1001,Productos!AW$2:AW1001,"")*$G754,"")</f>
        <v/>
      </c>
      <c r="BE754" s="179" t="str">
        <f t="array" ref="BE754">IF($F754&lt;&gt;"",XLOOKUP($F754,Productos!$A:$A,Productos!AX:AX,"Revisar"),"")</f>
        <v/>
      </c>
      <c r="BF754" s="179" t="str">
        <f t="array" ref="BF754">IF($F754&lt;&gt;"", XLOOKUP($F754,Productos!$A$2:$A1001,Productos!AY$2:AY1001,"")*$G754,"")</f>
        <v/>
      </c>
      <c r="BG754" s="179" t="str">
        <f t="array" ref="BG754">IF($F754&lt;&gt;"",XLOOKUP($F754,Productos!$A:$A,Productos!AZ:AZ,"Revisar"),"")</f>
        <v/>
      </c>
      <c r="BH754" s="179" t="str">
        <f t="array" ref="BH754">IF($F754&lt;&gt;"", XLOOKUP($F754,Productos!$A$2:$A1001,Productos!BA$2:BA1001,"")*$G754,"")</f>
        <v/>
      </c>
      <c r="BI754" s="179" t="str">
        <f t="array" ref="BI754">IF($F754&lt;&gt;"",XLOOKUP($F754,Productos!$A:$A,Productos!BB:BB,"Revisar"),"")</f>
        <v/>
      </c>
      <c r="BJ754" s="179" t="str">
        <f t="array" ref="BJ754">IF($F754&lt;&gt;"", XLOOKUP($F754,Productos!$A$2:$A1001,Productos!BC$2:BC1001,"")*$G754,"")</f>
        <v/>
      </c>
      <c r="BK754" s="179" t="str">
        <f t="array" ref="BK754">IF($F754&lt;&gt;"",XLOOKUP($F754,Productos!$A:$A,Productos!BD:BD,"Revisar"),"")</f>
        <v/>
      </c>
      <c r="BL754" s="179" t="str">
        <f t="array" ref="BL754">IF($F754&lt;&gt;"", XLOOKUP($F754,Productos!$A$2:$A1001,Productos!BE$2:BE1001,"")*$G754,"")</f>
        <v/>
      </c>
      <c r="BM754" s="179" t="str">
        <f t="array" ref="BM754">IF($F754&lt;&gt;"",XLOOKUP($F754,Productos!$A:$A,Productos!BF:BF,"Revisar"),"")</f>
        <v/>
      </c>
      <c r="BN754" s="179" t="str">
        <f t="array" ref="BN754">IF($F754&lt;&gt;"", XLOOKUP($F754,Productos!$A$2:$A1001,Productos!BG$2:BG1001,"")*$G754,"")</f>
        <v/>
      </c>
      <c r="BO754" s="179" t="str">
        <f t="array" ref="BO754">IF($F754&lt;&gt;"",XLOOKUP($F754,Productos!$A:$A,Productos!BH:BH,"Revisar"),"")</f>
        <v/>
      </c>
      <c r="BP754" s="179" t="str">
        <f t="array" ref="BP754">IF($F754&lt;&gt;"", XLOOKUP($F754,Productos!$A$2:$A1001,Productos!BI$2:BI1001,"")*$G754,"")</f>
        <v/>
      </c>
      <c r="BQ754" s="179" t="str">
        <f t="array" ref="BQ754">IF($F754&lt;&gt;"",XLOOKUP($F754,Productos!$A:$A,Productos!BJ:BJ,"Revisar"),"")</f>
        <v/>
      </c>
      <c r="BR754" s="179" t="str">
        <f t="array" ref="BR754">IF($F754&lt;&gt;"", XLOOKUP($F754,Productos!$A$2:$A1001,Productos!BK$2:BK1001,"")*$G754,"")</f>
        <v/>
      </c>
      <c r="BS754" s="179" t="str">
        <f t="array" ref="BS754">IF($F754&lt;&gt;"",XLOOKUP($F754,Productos!$A:$A,Productos!BL:BL,"Revisar"),"")</f>
        <v/>
      </c>
      <c r="BT754" s="179" t="str">
        <f t="array" ref="BT754">IF($F754&lt;&gt;"", XLOOKUP($F754,Productos!$A$2:$A1001,Productos!BM$2:BM1001,"")*$G754,"")</f>
        <v/>
      </c>
      <c r="BU754" s="179" t="str">
        <f t="array" ref="BU754">IF($F754&lt;&gt;"",XLOOKUP($F754,Productos!$A:$A,Productos!BN:BN,"Revisar"),"")</f>
        <v/>
      </c>
      <c r="BV754" s="179" t="str">
        <f t="array" ref="BV754">IF($F754&lt;&gt;"", XLOOKUP($F754,Productos!$A$2:$A1001,Productos!BO$2:BO1001,"")*$G754,"")</f>
        <v/>
      </c>
      <c r="BW754" s="179" t="str">
        <f t="array" ref="BW754">IF($F754&lt;&gt;"",XLOOKUP($F754,Productos!$A:$A,Productos!BP:BP,"Revisar"),"")</f>
        <v/>
      </c>
      <c r="BX754" s="179" t="str">
        <f t="array" ref="BX754">IF($F754&lt;&gt;"", XLOOKUP($F754,Productos!$A$2:$A1001,Productos!BQ$2:BQ1001,"")*$G754,"")</f>
        <v/>
      </c>
      <c r="BY754" s="179" t="str">
        <f t="array" ref="BY754">IF($F754&lt;&gt;"",XLOOKUP($F754,Productos!$A:$A,Productos!BR:BR,"Revisar"),"")</f>
        <v/>
      </c>
      <c r="BZ754" s="179" t="str">
        <f t="array" ref="BZ754">IF($F754&lt;&gt;"", XLOOKUP($F754,Productos!$A$2:$A1001,Productos!BS$2:BS1001,"")*$G754,"")</f>
        <v/>
      </c>
    </row>
    <row r="755">
      <c r="A755" s="188"/>
      <c r="B755" s="189"/>
      <c r="C755" s="190"/>
      <c r="D755" s="190"/>
      <c r="E755" s="191"/>
      <c r="F755" s="186"/>
      <c r="G755" s="192"/>
      <c r="H755" s="9"/>
      <c r="I755" s="179" t="str">
        <f t="array" ref="I755">IF($F755&lt;&gt;"",XLOOKUP($F755,Productos!$A:$A,Productos!B:B,"Revisar"),"")</f>
        <v/>
      </c>
      <c r="J755" s="179" t="str">
        <f t="array" ref="J755">IF($F755&lt;&gt;"", XLOOKUP($F755,Productos!$A$2:$A1001,Productos!C$2:C1001,"")*$G755,"")</f>
        <v/>
      </c>
      <c r="K755" s="179" t="str">
        <f t="array" ref="K755">IF($F755&lt;&gt;"",XLOOKUP($F755,Productos!$A:$A,Productos!D:D,"Revisar"),"")</f>
        <v/>
      </c>
      <c r="L755" s="179" t="str">
        <f t="array" ref="L755">IF($F755&lt;&gt;"", XLOOKUP($F755,Productos!$A$2:$A1001,Productos!E$2:E1001,"")*$G755,"")</f>
        <v/>
      </c>
      <c r="M755" s="179" t="str">
        <f t="array" ref="M755">IF($F755&lt;&gt;"",XLOOKUP($F755,Productos!$A:$A,Productos!F:F,"Revisar"),"")</f>
        <v/>
      </c>
      <c r="N755" s="179" t="str">
        <f t="array" ref="N755">IF($F755&lt;&gt;"", XLOOKUP($F755,Productos!$A$2:$A1001,Productos!G$2:G1001,"")*$G755,"")</f>
        <v/>
      </c>
      <c r="O755" s="179" t="str">
        <f t="array" ref="O755">IF($F755&lt;&gt;"",XLOOKUP($F755,Productos!$A:$A,Productos!H:H,"Revisar"),"")</f>
        <v/>
      </c>
      <c r="P755" s="179" t="str">
        <f t="array" ref="P755">IF($F755&lt;&gt;"", XLOOKUP($F755,Productos!$A$2:$A1001,Productos!I$2:I1001,"")*$G755,"")</f>
        <v/>
      </c>
      <c r="Q755" s="179" t="str">
        <f t="array" ref="Q755">IF($F755&lt;&gt;"",XLOOKUP($F755,Productos!$A:$A,Productos!J:J,"Revisar"),"")</f>
        <v/>
      </c>
      <c r="R755" s="179" t="str">
        <f t="array" ref="R755">IF($F755&lt;&gt;"", XLOOKUP($F755,Productos!$A$2:$A1001,Productos!K$2:K1001,"")*$G755,"")</f>
        <v/>
      </c>
      <c r="S755" s="179" t="str">
        <f t="array" ref="S755">IF($F755&lt;&gt;"",XLOOKUP($F755,Productos!$A:$A,Productos!L:L,"Revisar"),"")</f>
        <v/>
      </c>
      <c r="T755" s="179" t="str">
        <f t="array" ref="T755">IF($F755&lt;&gt;"", XLOOKUP($F755,Productos!$A$2:$A1001,Productos!M$2:M1001,"")*$G755,"")</f>
        <v/>
      </c>
      <c r="U755" s="179" t="str">
        <f t="array" ref="U755">IF($F755&lt;&gt;"",XLOOKUP($F755,Productos!$A:$A,Productos!N:N,"Revisar"),"")</f>
        <v/>
      </c>
      <c r="V755" s="179" t="str">
        <f t="array" ref="V755">IF($F755&lt;&gt;"", XLOOKUP($F755,Productos!$A$2:$A1001,Productos!O$2:O1001,"")*$G755,"")</f>
        <v/>
      </c>
      <c r="W755" s="179" t="str">
        <f t="array" ref="W755">IF($F755&lt;&gt;"",XLOOKUP($F755,Productos!$A:$A,Productos!P:P,"Revisar"),"")</f>
        <v/>
      </c>
      <c r="X755" s="179" t="str">
        <f t="array" ref="X755">IF($F755&lt;&gt;"", XLOOKUP($F755,Productos!$A$2:$A1001,Productos!Q$2:Q1001,"")*$G755,"")</f>
        <v/>
      </c>
      <c r="Y755" s="179" t="str">
        <f t="array" ref="Y755">IF($F755&lt;&gt;"",XLOOKUP($F755,Productos!$A:$A,Productos!R:R,"Revisar"),"")</f>
        <v/>
      </c>
      <c r="Z755" s="179" t="str">
        <f t="array" ref="Z755">IF($F755&lt;&gt;"", XLOOKUP($F755,Productos!$A$2:$A1001,Productos!S$2:S1001,"")*$G755,"")</f>
        <v/>
      </c>
      <c r="AA755" s="179" t="str">
        <f t="array" ref="AA755">IF($F755&lt;&gt;"",XLOOKUP($F755,Productos!$A:$A,Productos!T:T,"Revisar"),"")</f>
        <v/>
      </c>
      <c r="AB755" s="179" t="str">
        <f t="array" ref="AB755">IF($F755&lt;&gt;"", XLOOKUP($F755,Productos!$A$2:$A1001,Productos!U$2:U1001,"")*$G755,"")</f>
        <v/>
      </c>
      <c r="AC755" s="179" t="str">
        <f t="array" ref="AC755">IF($F755&lt;&gt;"",XLOOKUP($F755,Productos!$A:$A,Productos!V:V,"Revisar"),"")</f>
        <v/>
      </c>
      <c r="AD755" s="179" t="str">
        <f t="array" ref="AD755">IF($F755&lt;&gt;"", XLOOKUP($F755,Productos!$A$2:$A1001,Productos!W$2:W1001,"")*$G755,"")</f>
        <v/>
      </c>
      <c r="AE755" s="179" t="str">
        <f t="array" ref="AE755">IF($F755&lt;&gt;"",XLOOKUP($F755,Productos!$A:$A,Productos!X:X,"Revisar"),"")</f>
        <v/>
      </c>
      <c r="AF755" s="179" t="str">
        <f t="array" ref="AF755">IF($F755&lt;&gt;"", XLOOKUP($F755,Productos!$A$2:$A1001,Productos!Y$2:Y1001,"")*$G755,"")</f>
        <v/>
      </c>
      <c r="AG755" s="179" t="str">
        <f t="array" ref="AG755">IF($F755&lt;&gt;"",XLOOKUP($F755,Productos!$A:$A,Productos!Z:Z,"Revisar"),"")</f>
        <v/>
      </c>
      <c r="AH755" s="179" t="str">
        <f t="array" ref="AH755">IF($F755&lt;&gt;"", XLOOKUP($F755,Productos!$A$2:$A1001,Productos!AA$2:AA1001,"")*$G755,"")</f>
        <v/>
      </c>
      <c r="AI755" s="179" t="str">
        <f t="array" ref="AI755">IF($F755&lt;&gt;"",XLOOKUP($F755,Productos!$A:$A,Productos!AB:AB,"Revisar"),"")</f>
        <v/>
      </c>
      <c r="AJ755" s="179" t="str">
        <f t="array" ref="AJ755">IF($F755&lt;&gt;"", XLOOKUP($F755,Productos!$A$2:$A1001,Productos!AC$2:AC1001,"")*$G755,"")</f>
        <v/>
      </c>
      <c r="AK755" s="179" t="str">
        <f t="array" ref="AK755">IF($F755&lt;&gt;"",XLOOKUP($F755,Productos!$A:$A,Productos!AD:AD,"Revisar"),"")</f>
        <v/>
      </c>
      <c r="AL755" s="179" t="str">
        <f t="array" ref="AL755">IF($F755&lt;&gt;"", XLOOKUP($F755,Productos!$A$2:$A1001,Productos!AE$2:AE1001,"")*$G755,"")</f>
        <v/>
      </c>
      <c r="AM755" s="179" t="str">
        <f t="array" ref="AM755">IF($F755&lt;&gt;"",XLOOKUP($F755,Productos!$A:$A,Productos!AF:AF,"Revisar"),"")</f>
        <v/>
      </c>
      <c r="AN755" s="179" t="str">
        <f t="array" ref="AN755">IF($F755&lt;&gt;"", XLOOKUP($F755,Productos!$A$2:$A1001,Productos!AG$2:AG1001,"")*$G755,"")</f>
        <v/>
      </c>
      <c r="AO755" s="179" t="str">
        <f t="array" ref="AO755">IF($F755&lt;&gt;"",XLOOKUP($F755,Productos!$A:$A,Productos!AH:AH,"Revisar"),"")</f>
        <v/>
      </c>
      <c r="AP755" s="179" t="str">
        <f t="array" ref="AP755">IF($F755&lt;&gt;"", XLOOKUP($F755,Productos!$A$2:$A1001,Productos!AI$2:AI1001,"")*$G755,"")</f>
        <v/>
      </c>
      <c r="AQ755" s="179" t="str">
        <f t="array" ref="AQ755">IF($F755&lt;&gt;"",XLOOKUP($F755,Productos!$A:$A,Productos!AJ:AJ,"Revisar"),"")</f>
        <v/>
      </c>
      <c r="AR755" s="179" t="str">
        <f t="array" ref="AR755">IF($F755&lt;&gt;"", XLOOKUP($F755,Productos!$A$2:$A1001,Productos!AK$2:AK1001,"")*$G755,"")</f>
        <v/>
      </c>
      <c r="AS755" s="179" t="str">
        <f t="array" ref="AS755">IF($F755&lt;&gt;"",XLOOKUP($F755,Productos!$A:$A,Productos!AL:AL,"Revisar"),"")</f>
        <v/>
      </c>
      <c r="AT755" s="179" t="str">
        <f t="array" ref="AT755">IF($F755&lt;&gt;"", XLOOKUP($F755,Productos!$A$2:$A1001,Productos!AM$2:AM1001,"")*$G755,"")</f>
        <v/>
      </c>
      <c r="AU755" s="179" t="str">
        <f t="array" ref="AU755">IF($F755&lt;&gt;"",XLOOKUP($F755,Productos!$A:$A,Productos!AN:AN,"Revisar"),"")</f>
        <v/>
      </c>
      <c r="AV755" s="179" t="str">
        <f t="array" ref="AV755">IF($F755&lt;&gt;"", XLOOKUP($F755,Productos!$A$2:$A1001,Productos!AO$2:AO1001,"")*$G755,"")</f>
        <v/>
      </c>
      <c r="AW755" s="179" t="str">
        <f t="array" ref="AW755">IF($F755&lt;&gt;"",XLOOKUP($F755,Productos!$A:$A,Productos!AP:AP,"Revisar"),"")</f>
        <v/>
      </c>
      <c r="AX755" s="179" t="str">
        <f t="array" ref="AX755">IF($F755&lt;&gt;"", XLOOKUP($F755,Productos!$A$2:$A1001,Productos!AQ$2:AQ1001,"")*$G755,"")</f>
        <v/>
      </c>
      <c r="AY755" s="179" t="str">
        <f t="array" ref="AY755">IF($F755&lt;&gt;"",XLOOKUP($F755,Productos!$A:$A,Productos!AR:AR,"Revisar"),"")</f>
        <v/>
      </c>
      <c r="AZ755" s="179" t="str">
        <f t="array" ref="AZ755">IF($F755&lt;&gt;"", XLOOKUP($F755,Productos!$A$2:$A1001,Productos!AS$2:AS1001,"")*$G755,"")</f>
        <v/>
      </c>
      <c r="BA755" s="179" t="str">
        <f t="array" ref="BA755">IF($F755&lt;&gt;"",XLOOKUP($F755,Productos!$A:$A,Productos!AT:AT,"Revisar"),"")</f>
        <v/>
      </c>
      <c r="BB755" s="179" t="str">
        <f t="array" ref="BB755">IF($F755&lt;&gt;"", XLOOKUP($F755,Productos!$A$2:$A1001,Productos!AU$2:AU1001,"")*$G755,"")</f>
        <v/>
      </c>
      <c r="BC755" s="179" t="str">
        <f t="array" ref="BC755">IF($F755&lt;&gt;"",XLOOKUP($F755,Productos!$A:$A,Productos!AV:AV,"Revisar"),"")</f>
        <v/>
      </c>
      <c r="BD755" s="179" t="str">
        <f t="array" ref="BD755">IF($F755&lt;&gt;"", XLOOKUP($F755,Productos!$A$2:$A1001,Productos!AW$2:AW1001,"")*$G755,"")</f>
        <v/>
      </c>
      <c r="BE755" s="179" t="str">
        <f t="array" ref="BE755">IF($F755&lt;&gt;"",XLOOKUP($F755,Productos!$A:$A,Productos!AX:AX,"Revisar"),"")</f>
        <v/>
      </c>
      <c r="BF755" s="179" t="str">
        <f t="array" ref="BF755">IF($F755&lt;&gt;"", XLOOKUP($F755,Productos!$A$2:$A1001,Productos!AY$2:AY1001,"")*$G755,"")</f>
        <v/>
      </c>
      <c r="BG755" s="179" t="str">
        <f t="array" ref="BG755">IF($F755&lt;&gt;"",XLOOKUP($F755,Productos!$A:$A,Productos!AZ:AZ,"Revisar"),"")</f>
        <v/>
      </c>
      <c r="BH755" s="179" t="str">
        <f t="array" ref="BH755">IF($F755&lt;&gt;"", XLOOKUP($F755,Productos!$A$2:$A1001,Productos!BA$2:BA1001,"")*$G755,"")</f>
        <v/>
      </c>
      <c r="BI755" s="179" t="str">
        <f t="array" ref="BI755">IF($F755&lt;&gt;"",XLOOKUP($F755,Productos!$A:$A,Productos!BB:BB,"Revisar"),"")</f>
        <v/>
      </c>
      <c r="BJ755" s="179" t="str">
        <f t="array" ref="BJ755">IF($F755&lt;&gt;"", XLOOKUP($F755,Productos!$A$2:$A1001,Productos!BC$2:BC1001,"")*$G755,"")</f>
        <v/>
      </c>
      <c r="BK755" s="179" t="str">
        <f t="array" ref="BK755">IF($F755&lt;&gt;"",XLOOKUP($F755,Productos!$A:$A,Productos!BD:BD,"Revisar"),"")</f>
        <v/>
      </c>
      <c r="BL755" s="179" t="str">
        <f t="array" ref="BL755">IF($F755&lt;&gt;"", XLOOKUP($F755,Productos!$A$2:$A1001,Productos!BE$2:BE1001,"")*$G755,"")</f>
        <v/>
      </c>
      <c r="BM755" s="179" t="str">
        <f t="array" ref="BM755">IF($F755&lt;&gt;"",XLOOKUP($F755,Productos!$A:$A,Productos!BF:BF,"Revisar"),"")</f>
        <v/>
      </c>
      <c r="BN755" s="179" t="str">
        <f t="array" ref="BN755">IF($F755&lt;&gt;"", XLOOKUP($F755,Productos!$A$2:$A1001,Productos!BG$2:BG1001,"")*$G755,"")</f>
        <v/>
      </c>
      <c r="BO755" s="179" t="str">
        <f t="array" ref="BO755">IF($F755&lt;&gt;"",XLOOKUP($F755,Productos!$A:$A,Productos!BH:BH,"Revisar"),"")</f>
        <v/>
      </c>
      <c r="BP755" s="179" t="str">
        <f t="array" ref="BP755">IF($F755&lt;&gt;"", XLOOKUP($F755,Productos!$A$2:$A1001,Productos!BI$2:BI1001,"")*$G755,"")</f>
        <v/>
      </c>
      <c r="BQ755" s="179" t="str">
        <f t="array" ref="BQ755">IF($F755&lt;&gt;"",XLOOKUP($F755,Productos!$A:$A,Productos!BJ:BJ,"Revisar"),"")</f>
        <v/>
      </c>
      <c r="BR755" s="179" t="str">
        <f t="array" ref="BR755">IF($F755&lt;&gt;"", XLOOKUP($F755,Productos!$A$2:$A1001,Productos!BK$2:BK1001,"")*$G755,"")</f>
        <v/>
      </c>
      <c r="BS755" s="179" t="str">
        <f t="array" ref="BS755">IF($F755&lt;&gt;"",XLOOKUP($F755,Productos!$A:$A,Productos!BL:BL,"Revisar"),"")</f>
        <v/>
      </c>
      <c r="BT755" s="179" t="str">
        <f t="array" ref="BT755">IF($F755&lt;&gt;"", XLOOKUP($F755,Productos!$A$2:$A1001,Productos!BM$2:BM1001,"")*$G755,"")</f>
        <v/>
      </c>
      <c r="BU755" s="179" t="str">
        <f t="array" ref="BU755">IF($F755&lt;&gt;"",XLOOKUP($F755,Productos!$A:$A,Productos!BN:BN,"Revisar"),"")</f>
        <v/>
      </c>
      <c r="BV755" s="179" t="str">
        <f t="array" ref="BV755">IF($F755&lt;&gt;"", XLOOKUP($F755,Productos!$A$2:$A1001,Productos!BO$2:BO1001,"")*$G755,"")</f>
        <v/>
      </c>
      <c r="BW755" s="179" t="str">
        <f t="array" ref="BW755">IF($F755&lt;&gt;"",XLOOKUP($F755,Productos!$A:$A,Productos!BP:BP,"Revisar"),"")</f>
        <v/>
      </c>
      <c r="BX755" s="179" t="str">
        <f t="array" ref="BX755">IF($F755&lt;&gt;"", XLOOKUP($F755,Productos!$A$2:$A1001,Productos!BQ$2:BQ1001,"")*$G755,"")</f>
        <v/>
      </c>
      <c r="BY755" s="179" t="str">
        <f t="array" ref="BY755">IF($F755&lt;&gt;"",XLOOKUP($F755,Productos!$A:$A,Productos!BR:BR,"Revisar"),"")</f>
        <v/>
      </c>
      <c r="BZ755" s="179" t="str">
        <f t="array" ref="BZ755">IF($F755&lt;&gt;"", XLOOKUP($F755,Productos!$A$2:$A1001,Productos!BS$2:BS1001,"")*$G755,"")</f>
        <v/>
      </c>
    </row>
    <row r="756">
      <c r="A756" s="188"/>
      <c r="B756" s="189"/>
      <c r="C756" s="190"/>
      <c r="D756" s="190"/>
      <c r="E756" s="191"/>
      <c r="F756" s="186"/>
      <c r="G756" s="192"/>
      <c r="H756" s="9"/>
      <c r="I756" s="179" t="str">
        <f t="array" ref="I756">IF($F756&lt;&gt;"",XLOOKUP($F756,Productos!$A:$A,Productos!B:B,"Revisar"),"")</f>
        <v/>
      </c>
      <c r="J756" s="179" t="str">
        <f t="array" ref="J756">IF($F756&lt;&gt;"", XLOOKUP($F756,Productos!$A$2:$A1001,Productos!C$2:C1001,"")*$G756,"")</f>
        <v/>
      </c>
      <c r="K756" s="179" t="str">
        <f t="array" ref="K756">IF($F756&lt;&gt;"",XLOOKUP($F756,Productos!$A:$A,Productos!D:D,"Revisar"),"")</f>
        <v/>
      </c>
      <c r="L756" s="179" t="str">
        <f t="array" ref="L756">IF($F756&lt;&gt;"", XLOOKUP($F756,Productos!$A$2:$A1001,Productos!E$2:E1001,"")*$G756,"")</f>
        <v/>
      </c>
      <c r="M756" s="179" t="str">
        <f t="array" ref="M756">IF($F756&lt;&gt;"",XLOOKUP($F756,Productos!$A:$A,Productos!F:F,"Revisar"),"")</f>
        <v/>
      </c>
      <c r="N756" s="179" t="str">
        <f t="array" ref="N756">IF($F756&lt;&gt;"", XLOOKUP($F756,Productos!$A$2:$A1001,Productos!G$2:G1001,"")*$G756,"")</f>
        <v/>
      </c>
      <c r="O756" s="179" t="str">
        <f t="array" ref="O756">IF($F756&lt;&gt;"",XLOOKUP($F756,Productos!$A:$A,Productos!H:H,"Revisar"),"")</f>
        <v/>
      </c>
      <c r="P756" s="179" t="str">
        <f t="array" ref="P756">IF($F756&lt;&gt;"", XLOOKUP($F756,Productos!$A$2:$A1001,Productos!I$2:I1001,"")*$G756,"")</f>
        <v/>
      </c>
      <c r="Q756" s="179" t="str">
        <f t="array" ref="Q756">IF($F756&lt;&gt;"",XLOOKUP($F756,Productos!$A:$A,Productos!J:J,"Revisar"),"")</f>
        <v/>
      </c>
      <c r="R756" s="179" t="str">
        <f t="array" ref="R756">IF($F756&lt;&gt;"", XLOOKUP($F756,Productos!$A$2:$A1001,Productos!K$2:K1001,"")*$G756,"")</f>
        <v/>
      </c>
      <c r="S756" s="179" t="str">
        <f t="array" ref="S756">IF($F756&lt;&gt;"",XLOOKUP($F756,Productos!$A:$A,Productos!L:L,"Revisar"),"")</f>
        <v/>
      </c>
      <c r="T756" s="179" t="str">
        <f t="array" ref="T756">IF($F756&lt;&gt;"", XLOOKUP($F756,Productos!$A$2:$A1001,Productos!M$2:M1001,"")*$G756,"")</f>
        <v/>
      </c>
      <c r="U756" s="179" t="str">
        <f t="array" ref="U756">IF($F756&lt;&gt;"",XLOOKUP($F756,Productos!$A:$A,Productos!N:N,"Revisar"),"")</f>
        <v/>
      </c>
      <c r="V756" s="179" t="str">
        <f t="array" ref="V756">IF($F756&lt;&gt;"", XLOOKUP($F756,Productos!$A$2:$A1001,Productos!O$2:O1001,"")*$G756,"")</f>
        <v/>
      </c>
      <c r="W756" s="179" t="str">
        <f t="array" ref="W756">IF($F756&lt;&gt;"",XLOOKUP($F756,Productos!$A:$A,Productos!P:P,"Revisar"),"")</f>
        <v/>
      </c>
      <c r="X756" s="179" t="str">
        <f t="array" ref="X756">IF($F756&lt;&gt;"", XLOOKUP($F756,Productos!$A$2:$A1001,Productos!Q$2:Q1001,"")*$G756,"")</f>
        <v/>
      </c>
      <c r="Y756" s="179" t="str">
        <f t="array" ref="Y756">IF($F756&lt;&gt;"",XLOOKUP($F756,Productos!$A:$A,Productos!R:R,"Revisar"),"")</f>
        <v/>
      </c>
      <c r="Z756" s="179" t="str">
        <f t="array" ref="Z756">IF($F756&lt;&gt;"", XLOOKUP($F756,Productos!$A$2:$A1001,Productos!S$2:S1001,"")*$G756,"")</f>
        <v/>
      </c>
      <c r="AA756" s="179" t="str">
        <f t="array" ref="AA756">IF($F756&lt;&gt;"",XLOOKUP($F756,Productos!$A:$A,Productos!T:T,"Revisar"),"")</f>
        <v/>
      </c>
      <c r="AB756" s="179" t="str">
        <f t="array" ref="AB756">IF($F756&lt;&gt;"", XLOOKUP($F756,Productos!$A$2:$A1001,Productos!U$2:U1001,"")*$G756,"")</f>
        <v/>
      </c>
      <c r="AC756" s="179" t="str">
        <f t="array" ref="AC756">IF($F756&lt;&gt;"",XLOOKUP($F756,Productos!$A:$A,Productos!V:V,"Revisar"),"")</f>
        <v/>
      </c>
      <c r="AD756" s="179" t="str">
        <f t="array" ref="AD756">IF($F756&lt;&gt;"", XLOOKUP($F756,Productos!$A$2:$A1001,Productos!W$2:W1001,"")*$G756,"")</f>
        <v/>
      </c>
      <c r="AE756" s="179" t="str">
        <f t="array" ref="AE756">IF($F756&lt;&gt;"",XLOOKUP($F756,Productos!$A:$A,Productos!X:X,"Revisar"),"")</f>
        <v/>
      </c>
      <c r="AF756" s="179" t="str">
        <f t="array" ref="AF756">IF($F756&lt;&gt;"", XLOOKUP($F756,Productos!$A$2:$A1001,Productos!Y$2:Y1001,"")*$G756,"")</f>
        <v/>
      </c>
      <c r="AG756" s="179" t="str">
        <f t="array" ref="AG756">IF($F756&lt;&gt;"",XLOOKUP($F756,Productos!$A:$A,Productos!Z:Z,"Revisar"),"")</f>
        <v/>
      </c>
      <c r="AH756" s="179" t="str">
        <f t="array" ref="AH756">IF($F756&lt;&gt;"", XLOOKUP($F756,Productos!$A$2:$A1001,Productos!AA$2:AA1001,"")*$G756,"")</f>
        <v/>
      </c>
      <c r="AI756" s="179" t="str">
        <f t="array" ref="AI756">IF($F756&lt;&gt;"",XLOOKUP($F756,Productos!$A:$A,Productos!AB:AB,"Revisar"),"")</f>
        <v/>
      </c>
      <c r="AJ756" s="179" t="str">
        <f t="array" ref="AJ756">IF($F756&lt;&gt;"", XLOOKUP($F756,Productos!$A$2:$A1001,Productos!AC$2:AC1001,"")*$G756,"")</f>
        <v/>
      </c>
      <c r="AK756" s="179" t="str">
        <f t="array" ref="AK756">IF($F756&lt;&gt;"",XLOOKUP($F756,Productos!$A:$A,Productos!AD:AD,"Revisar"),"")</f>
        <v/>
      </c>
      <c r="AL756" s="179" t="str">
        <f t="array" ref="AL756">IF($F756&lt;&gt;"", XLOOKUP($F756,Productos!$A$2:$A1001,Productos!AE$2:AE1001,"")*$G756,"")</f>
        <v/>
      </c>
      <c r="AM756" s="179" t="str">
        <f t="array" ref="AM756">IF($F756&lt;&gt;"",XLOOKUP($F756,Productos!$A:$A,Productos!AF:AF,"Revisar"),"")</f>
        <v/>
      </c>
      <c r="AN756" s="179" t="str">
        <f t="array" ref="AN756">IF($F756&lt;&gt;"", XLOOKUP($F756,Productos!$A$2:$A1001,Productos!AG$2:AG1001,"")*$G756,"")</f>
        <v/>
      </c>
      <c r="AO756" s="179" t="str">
        <f t="array" ref="AO756">IF($F756&lt;&gt;"",XLOOKUP($F756,Productos!$A:$A,Productos!AH:AH,"Revisar"),"")</f>
        <v/>
      </c>
      <c r="AP756" s="179" t="str">
        <f t="array" ref="AP756">IF($F756&lt;&gt;"", XLOOKUP($F756,Productos!$A$2:$A1001,Productos!AI$2:AI1001,"")*$G756,"")</f>
        <v/>
      </c>
      <c r="AQ756" s="179" t="str">
        <f t="array" ref="AQ756">IF($F756&lt;&gt;"",XLOOKUP($F756,Productos!$A:$A,Productos!AJ:AJ,"Revisar"),"")</f>
        <v/>
      </c>
      <c r="AR756" s="179" t="str">
        <f t="array" ref="AR756">IF($F756&lt;&gt;"", XLOOKUP($F756,Productos!$A$2:$A1001,Productos!AK$2:AK1001,"")*$G756,"")</f>
        <v/>
      </c>
      <c r="AS756" s="179" t="str">
        <f t="array" ref="AS756">IF($F756&lt;&gt;"",XLOOKUP($F756,Productos!$A:$A,Productos!AL:AL,"Revisar"),"")</f>
        <v/>
      </c>
      <c r="AT756" s="179" t="str">
        <f t="array" ref="AT756">IF($F756&lt;&gt;"", XLOOKUP($F756,Productos!$A$2:$A1001,Productos!AM$2:AM1001,"")*$G756,"")</f>
        <v/>
      </c>
      <c r="AU756" s="179" t="str">
        <f t="array" ref="AU756">IF($F756&lt;&gt;"",XLOOKUP($F756,Productos!$A:$A,Productos!AN:AN,"Revisar"),"")</f>
        <v/>
      </c>
      <c r="AV756" s="179" t="str">
        <f t="array" ref="AV756">IF($F756&lt;&gt;"", XLOOKUP($F756,Productos!$A$2:$A1001,Productos!AO$2:AO1001,"")*$G756,"")</f>
        <v/>
      </c>
      <c r="AW756" s="179" t="str">
        <f t="array" ref="AW756">IF($F756&lt;&gt;"",XLOOKUP($F756,Productos!$A:$A,Productos!AP:AP,"Revisar"),"")</f>
        <v/>
      </c>
      <c r="AX756" s="179" t="str">
        <f t="array" ref="AX756">IF($F756&lt;&gt;"", XLOOKUP($F756,Productos!$A$2:$A1001,Productos!AQ$2:AQ1001,"")*$G756,"")</f>
        <v/>
      </c>
      <c r="AY756" s="179" t="str">
        <f t="array" ref="AY756">IF($F756&lt;&gt;"",XLOOKUP($F756,Productos!$A:$A,Productos!AR:AR,"Revisar"),"")</f>
        <v/>
      </c>
      <c r="AZ756" s="179" t="str">
        <f t="array" ref="AZ756">IF($F756&lt;&gt;"", XLOOKUP($F756,Productos!$A$2:$A1001,Productos!AS$2:AS1001,"")*$G756,"")</f>
        <v/>
      </c>
      <c r="BA756" s="179" t="str">
        <f t="array" ref="BA756">IF($F756&lt;&gt;"",XLOOKUP($F756,Productos!$A:$A,Productos!AT:AT,"Revisar"),"")</f>
        <v/>
      </c>
      <c r="BB756" s="179" t="str">
        <f t="array" ref="BB756">IF($F756&lt;&gt;"", XLOOKUP($F756,Productos!$A$2:$A1001,Productos!AU$2:AU1001,"")*$G756,"")</f>
        <v/>
      </c>
      <c r="BC756" s="179" t="str">
        <f t="array" ref="BC756">IF($F756&lt;&gt;"",XLOOKUP($F756,Productos!$A:$A,Productos!AV:AV,"Revisar"),"")</f>
        <v/>
      </c>
      <c r="BD756" s="179" t="str">
        <f t="array" ref="BD756">IF($F756&lt;&gt;"", XLOOKUP($F756,Productos!$A$2:$A1001,Productos!AW$2:AW1001,"")*$G756,"")</f>
        <v/>
      </c>
      <c r="BE756" s="179" t="str">
        <f t="array" ref="BE756">IF($F756&lt;&gt;"",XLOOKUP($F756,Productos!$A:$A,Productos!AX:AX,"Revisar"),"")</f>
        <v/>
      </c>
      <c r="BF756" s="179" t="str">
        <f t="array" ref="BF756">IF($F756&lt;&gt;"", XLOOKUP($F756,Productos!$A$2:$A1001,Productos!AY$2:AY1001,"")*$G756,"")</f>
        <v/>
      </c>
      <c r="BG756" s="179" t="str">
        <f t="array" ref="BG756">IF($F756&lt;&gt;"",XLOOKUP($F756,Productos!$A:$A,Productos!AZ:AZ,"Revisar"),"")</f>
        <v/>
      </c>
      <c r="BH756" s="179" t="str">
        <f t="array" ref="BH756">IF($F756&lt;&gt;"", XLOOKUP($F756,Productos!$A$2:$A1001,Productos!BA$2:BA1001,"")*$G756,"")</f>
        <v/>
      </c>
      <c r="BI756" s="179" t="str">
        <f t="array" ref="BI756">IF($F756&lt;&gt;"",XLOOKUP($F756,Productos!$A:$A,Productos!BB:BB,"Revisar"),"")</f>
        <v/>
      </c>
      <c r="BJ756" s="179" t="str">
        <f t="array" ref="BJ756">IF($F756&lt;&gt;"", XLOOKUP($F756,Productos!$A$2:$A1001,Productos!BC$2:BC1001,"")*$G756,"")</f>
        <v/>
      </c>
      <c r="BK756" s="179" t="str">
        <f t="array" ref="BK756">IF($F756&lt;&gt;"",XLOOKUP($F756,Productos!$A:$A,Productos!BD:BD,"Revisar"),"")</f>
        <v/>
      </c>
      <c r="BL756" s="179" t="str">
        <f t="array" ref="BL756">IF($F756&lt;&gt;"", XLOOKUP($F756,Productos!$A$2:$A1001,Productos!BE$2:BE1001,"")*$G756,"")</f>
        <v/>
      </c>
      <c r="BM756" s="179" t="str">
        <f t="array" ref="BM756">IF($F756&lt;&gt;"",XLOOKUP($F756,Productos!$A:$A,Productos!BF:BF,"Revisar"),"")</f>
        <v/>
      </c>
      <c r="BN756" s="179" t="str">
        <f t="array" ref="BN756">IF($F756&lt;&gt;"", XLOOKUP($F756,Productos!$A$2:$A1001,Productos!BG$2:BG1001,"")*$G756,"")</f>
        <v/>
      </c>
      <c r="BO756" s="179" t="str">
        <f t="array" ref="BO756">IF($F756&lt;&gt;"",XLOOKUP($F756,Productos!$A:$A,Productos!BH:BH,"Revisar"),"")</f>
        <v/>
      </c>
      <c r="BP756" s="179" t="str">
        <f t="array" ref="BP756">IF($F756&lt;&gt;"", XLOOKUP($F756,Productos!$A$2:$A1001,Productos!BI$2:BI1001,"")*$G756,"")</f>
        <v/>
      </c>
      <c r="BQ756" s="179" t="str">
        <f t="array" ref="BQ756">IF($F756&lt;&gt;"",XLOOKUP($F756,Productos!$A:$A,Productos!BJ:BJ,"Revisar"),"")</f>
        <v/>
      </c>
      <c r="BR756" s="179" t="str">
        <f t="array" ref="BR756">IF($F756&lt;&gt;"", XLOOKUP($F756,Productos!$A$2:$A1001,Productos!BK$2:BK1001,"")*$G756,"")</f>
        <v/>
      </c>
      <c r="BS756" s="179" t="str">
        <f t="array" ref="BS756">IF($F756&lt;&gt;"",XLOOKUP($F756,Productos!$A:$A,Productos!BL:BL,"Revisar"),"")</f>
        <v/>
      </c>
      <c r="BT756" s="179" t="str">
        <f t="array" ref="BT756">IF($F756&lt;&gt;"", XLOOKUP($F756,Productos!$A$2:$A1001,Productos!BM$2:BM1001,"")*$G756,"")</f>
        <v/>
      </c>
      <c r="BU756" s="179" t="str">
        <f t="array" ref="BU756">IF($F756&lt;&gt;"",XLOOKUP($F756,Productos!$A:$A,Productos!BN:BN,"Revisar"),"")</f>
        <v/>
      </c>
      <c r="BV756" s="179" t="str">
        <f t="array" ref="BV756">IF($F756&lt;&gt;"", XLOOKUP($F756,Productos!$A$2:$A1001,Productos!BO$2:BO1001,"")*$G756,"")</f>
        <v/>
      </c>
      <c r="BW756" s="179" t="str">
        <f t="array" ref="BW756">IF($F756&lt;&gt;"",XLOOKUP($F756,Productos!$A:$A,Productos!BP:BP,"Revisar"),"")</f>
        <v/>
      </c>
      <c r="BX756" s="179" t="str">
        <f t="array" ref="BX756">IF($F756&lt;&gt;"", XLOOKUP($F756,Productos!$A$2:$A1001,Productos!BQ$2:BQ1001,"")*$G756,"")</f>
        <v/>
      </c>
      <c r="BY756" s="179" t="str">
        <f t="array" ref="BY756">IF($F756&lt;&gt;"",XLOOKUP($F756,Productos!$A:$A,Productos!BR:BR,"Revisar"),"")</f>
        <v/>
      </c>
      <c r="BZ756" s="179" t="str">
        <f t="array" ref="BZ756">IF($F756&lt;&gt;"", XLOOKUP($F756,Productos!$A$2:$A1001,Productos!BS$2:BS1001,"")*$G756,"")</f>
        <v/>
      </c>
    </row>
    <row r="757">
      <c r="A757" s="188"/>
      <c r="B757" s="189"/>
      <c r="C757" s="190"/>
      <c r="D757" s="190"/>
      <c r="E757" s="191"/>
      <c r="F757" s="186"/>
      <c r="G757" s="192"/>
      <c r="H757" s="9"/>
      <c r="I757" s="179" t="str">
        <f t="array" ref="I757">IF($F757&lt;&gt;"",XLOOKUP($F757,Productos!$A:$A,Productos!B:B,"Revisar"),"")</f>
        <v/>
      </c>
      <c r="J757" s="179" t="str">
        <f t="array" ref="J757">IF($F757&lt;&gt;"", XLOOKUP($F757,Productos!$A$2:$A1001,Productos!C$2:C1001,"")*$G757,"")</f>
        <v/>
      </c>
      <c r="K757" s="179" t="str">
        <f t="array" ref="K757">IF($F757&lt;&gt;"",XLOOKUP($F757,Productos!$A:$A,Productos!D:D,"Revisar"),"")</f>
        <v/>
      </c>
      <c r="L757" s="179" t="str">
        <f t="array" ref="L757">IF($F757&lt;&gt;"", XLOOKUP($F757,Productos!$A$2:$A1001,Productos!E$2:E1001,"")*$G757,"")</f>
        <v/>
      </c>
      <c r="M757" s="179" t="str">
        <f t="array" ref="M757">IF($F757&lt;&gt;"",XLOOKUP($F757,Productos!$A:$A,Productos!F:F,"Revisar"),"")</f>
        <v/>
      </c>
      <c r="N757" s="179" t="str">
        <f t="array" ref="N757">IF($F757&lt;&gt;"", XLOOKUP($F757,Productos!$A$2:$A1001,Productos!G$2:G1001,"")*$G757,"")</f>
        <v/>
      </c>
      <c r="O757" s="179" t="str">
        <f t="array" ref="O757">IF($F757&lt;&gt;"",XLOOKUP($F757,Productos!$A:$A,Productos!H:H,"Revisar"),"")</f>
        <v/>
      </c>
      <c r="P757" s="179" t="str">
        <f t="array" ref="P757">IF($F757&lt;&gt;"", XLOOKUP($F757,Productos!$A$2:$A1001,Productos!I$2:I1001,"")*$G757,"")</f>
        <v/>
      </c>
      <c r="Q757" s="179" t="str">
        <f t="array" ref="Q757">IF($F757&lt;&gt;"",XLOOKUP($F757,Productos!$A:$A,Productos!J:J,"Revisar"),"")</f>
        <v/>
      </c>
      <c r="R757" s="179" t="str">
        <f t="array" ref="R757">IF($F757&lt;&gt;"", XLOOKUP($F757,Productos!$A$2:$A1001,Productos!K$2:K1001,"")*$G757,"")</f>
        <v/>
      </c>
      <c r="S757" s="179" t="str">
        <f t="array" ref="S757">IF($F757&lt;&gt;"",XLOOKUP($F757,Productos!$A:$A,Productos!L:L,"Revisar"),"")</f>
        <v/>
      </c>
      <c r="T757" s="179" t="str">
        <f t="array" ref="T757">IF($F757&lt;&gt;"", XLOOKUP($F757,Productos!$A$2:$A1001,Productos!M$2:M1001,"")*$G757,"")</f>
        <v/>
      </c>
      <c r="U757" s="179" t="str">
        <f t="array" ref="U757">IF($F757&lt;&gt;"",XLOOKUP($F757,Productos!$A:$A,Productos!N:N,"Revisar"),"")</f>
        <v/>
      </c>
      <c r="V757" s="179" t="str">
        <f t="array" ref="V757">IF($F757&lt;&gt;"", XLOOKUP($F757,Productos!$A$2:$A1001,Productos!O$2:O1001,"")*$G757,"")</f>
        <v/>
      </c>
      <c r="W757" s="179" t="str">
        <f t="array" ref="W757">IF($F757&lt;&gt;"",XLOOKUP($F757,Productos!$A:$A,Productos!P:P,"Revisar"),"")</f>
        <v/>
      </c>
      <c r="X757" s="179" t="str">
        <f t="array" ref="X757">IF($F757&lt;&gt;"", XLOOKUP($F757,Productos!$A$2:$A1001,Productos!Q$2:Q1001,"")*$G757,"")</f>
        <v/>
      </c>
      <c r="Y757" s="179" t="str">
        <f t="array" ref="Y757">IF($F757&lt;&gt;"",XLOOKUP($F757,Productos!$A:$A,Productos!R:R,"Revisar"),"")</f>
        <v/>
      </c>
      <c r="Z757" s="179" t="str">
        <f t="array" ref="Z757">IF($F757&lt;&gt;"", XLOOKUP($F757,Productos!$A$2:$A1001,Productos!S$2:S1001,"")*$G757,"")</f>
        <v/>
      </c>
      <c r="AA757" s="179" t="str">
        <f t="array" ref="AA757">IF($F757&lt;&gt;"",XLOOKUP($F757,Productos!$A:$A,Productos!T:T,"Revisar"),"")</f>
        <v/>
      </c>
      <c r="AB757" s="179" t="str">
        <f t="array" ref="AB757">IF($F757&lt;&gt;"", XLOOKUP($F757,Productos!$A$2:$A1001,Productos!U$2:U1001,"")*$G757,"")</f>
        <v/>
      </c>
      <c r="AC757" s="179" t="str">
        <f t="array" ref="AC757">IF($F757&lt;&gt;"",XLOOKUP($F757,Productos!$A:$A,Productos!V:V,"Revisar"),"")</f>
        <v/>
      </c>
      <c r="AD757" s="179" t="str">
        <f t="array" ref="AD757">IF($F757&lt;&gt;"", XLOOKUP($F757,Productos!$A$2:$A1001,Productos!W$2:W1001,"")*$G757,"")</f>
        <v/>
      </c>
      <c r="AE757" s="179" t="str">
        <f t="array" ref="AE757">IF($F757&lt;&gt;"",XLOOKUP($F757,Productos!$A:$A,Productos!X:X,"Revisar"),"")</f>
        <v/>
      </c>
      <c r="AF757" s="179" t="str">
        <f t="array" ref="AF757">IF($F757&lt;&gt;"", XLOOKUP($F757,Productos!$A$2:$A1001,Productos!Y$2:Y1001,"")*$G757,"")</f>
        <v/>
      </c>
      <c r="AG757" s="179" t="str">
        <f t="array" ref="AG757">IF($F757&lt;&gt;"",XLOOKUP($F757,Productos!$A:$A,Productos!Z:Z,"Revisar"),"")</f>
        <v/>
      </c>
      <c r="AH757" s="179" t="str">
        <f t="array" ref="AH757">IF($F757&lt;&gt;"", XLOOKUP($F757,Productos!$A$2:$A1001,Productos!AA$2:AA1001,"")*$G757,"")</f>
        <v/>
      </c>
      <c r="AI757" s="179" t="str">
        <f t="array" ref="AI757">IF($F757&lt;&gt;"",XLOOKUP($F757,Productos!$A:$A,Productos!AB:AB,"Revisar"),"")</f>
        <v/>
      </c>
      <c r="AJ757" s="179" t="str">
        <f t="array" ref="AJ757">IF($F757&lt;&gt;"", XLOOKUP($F757,Productos!$A$2:$A1001,Productos!AC$2:AC1001,"")*$G757,"")</f>
        <v/>
      </c>
      <c r="AK757" s="179" t="str">
        <f t="array" ref="AK757">IF($F757&lt;&gt;"",XLOOKUP($F757,Productos!$A:$A,Productos!AD:AD,"Revisar"),"")</f>
        <v/>
      </c>
      <c r="AL757" s="179" t="str">
        <f t="array" ref="AL757">IF($F757&lt;&gt;"", XLOOKUP($F757,Productos!$A$2:$A1001,Productos!AE$2:AE1001,"")*$G757,"")</f>
        <v/>
      </c>
      <c r="AM757" s="179" t="str">
        <f t="array" ref="AM757">IF($F757&lt;&gt;"",XLOOKUP($F757,Productos!$A:$A,Productos!AF:AF,"Revisar"),"")</f>
        <v/>
      </c>
      <c r="AN757" s="179" t="str">
        <f t="array" ref="AN757">IF($F757&lt;&gt;"", XLOOKUP($F757,Productos!$A$2:$A1001,Productos!AG$2:AG1001,"")*$G757,"")</f>
        <v/>
      </c>
      <c r="AO757" s="179" t="str">
        <f t="array" ref="AO757">IF($F757&lt;&gt;"",XLOOKUP($F757,Productos!$A:$A,Productos!AH:AH,"Revisar"),"")</f>
        <v/>
      </c>
      <c r="AP757" s="179" t="str">
        <f t="array" ref="AP757">IF($F757&lt;&gt;"", XLOOKUP($F757,Productos!$A$2:$A1001,Productos!AI$2:AI1001,"")*$G757,"")</f>
        <v/>
      </c>
      <c r="AQ757" s="179" t="str">
        <f t="array" ref="AQ757">IF($F757&lt;&gt;"",XLOOKUP($F757,Productos!$A:$A,Productos!AJ:AJ,"Revisar"),"")</f>
        <v/>
      </c>
      <c r="AR757" s="179" t="str">
        <f t="array" ref="AR757">IF($F757&lt;&gt;"", XLOOKUP($F757,Productos!$A$2:$A1001,Productos!AK$2:AK1001,"")*$G757,"")</f>
        <v/>
      </c>
      <c r="AS757" s="179" t="str">
        <f t="array" ref="AS757">IF($F757&lt;&gt;"",XLOOKUP($F757,Productos!$A:$A,Productos!AL:AL,"Revisar"),"")</f>
        <v/>
      </c>
      <c r="AT757" s="179" t="str">
        <f t="array" ref="AT757">IF($F757&lt;&gt;"", XLOOKUP($F757,Productos!$A$2:$A1001,Productos!AM$2:AM1001,"")*$G757,"")</f>
        <v/>
      </c>
      <c r="AU757" s="179" t="str">
        <f t="array" ref="AU757">IF($F757&lt;&gt;"",XLOOKUP($F757,Productos!$A:$A,Productos!AN:AN,"Revisar"),"")</f>
        <v/>
      </c>
      <c r="AV757" s="179" t="str">
        <f t="array" ref="AV757">IF($F757&lt;&gt;"", XLOOKUP($F757,Productos!$A$2:$A1001,Productos!AO$2:AO1001,"")*$G757,"")</f>
        <v/>
      </c>
      <c r="AW757" s="179" t="str">
        <f t="array" ref="AW757">IF($F757&lt;&gt;"",XLOOKUP($F757,Productos!$A:$A,Productos!AP:AP,"Revisar"),"")</f>
        <v/>
      </c>
      <c r="AX757" s="179" t="str">
        <f t="array" ref="AX757">IF($F757&lt;&gt;"", XLOOKUP($F757,Productos!$A$2:$A1001,Productos!AQ$2:AQ1001,"")*$G757,"")</f>
        <v/>
      </c>
      <c r="AY757" s="179" t="str">
        <f t="array" ref="AY757">IF($F757&lt;&gt;"",XLOOKUP($F757,Productos!$A:$A,Productos!AR:AR,"Revisar"),"")</f>
        <v/>
      </c>
      <c r="AZ757" s="179" t="str">
        <f t="array" ref="AZ757">IF($F757&lt;&gt;"", XLOOKUP($F757,Productos!$A$2:$A1001,Productos!AS$2:AS1001,"")*$G757,"")</f>
        <v/>
      </c>
      <c r="BA757" s="179" t="str">
        <f t="array" ref="BA757">IF($F757&lt;&gt;"",XLOOKUP($F757,Productos!$A:$A,Productos!AT:AT,"Revisar"),"")</f>
        <v/>
      </c>
      <c r="BB757" s="179" t="str">
        <f t="array" ref="BB757">IF($F757&lt;&gt;"", XLOOKUP($F757,Productos!$A$2:$A1001,Productos!AU$2:AU1001,"")*$G757,"")</f>
        <v/>
      </c>
      <c r="BC757" s="179" t="str">
        <f t="array" ref="BC757">IF($F757&lt;&gt;"",XLOOKUP($F757,Productos!$A:$A,Productos!AV:AV,"Revisar"),"")</f>
        <v/>
      </c>
      <c r="BD757" s="179" t="str">
        <f t="array" ref="BD757">IF($F757&lt;&gt;"", XLOOKUP($F757,Productos!$A$2:$A1001,Productos!AW$2:AW1001,"")*$G757,"")</f>
        <v/>
      </c>
      <c r="BE757" s="179" t="str">
        <f t="array" ref="BE757">IF($F757&lt;&gt;"",XLOOKUP($F757,Productos!$A:$A,Productos!AX:AX,"Revisar"),"")</f>
        <v/>
      </c>
      <c r="BF757" s="179" t="str">
        <f t="array" ref="BF757">IF($F757&lt;&gt;"", XLOOKUP($F757,Productos!$A$2:$A1001,Productos!AY$2:AY1001,"")*$G757,"")</f>
        <v/>
      </c>
      <c r="BG757" s="179" t="str">
        <f t="array" ref="BG757">IF($F757&lt;&gt;"",XLOOKUP($F757,Productos!$A:$A,Productos!AZ:AZ,"Revisar"),"")</f>
        <v/>
      </c>
      <c r="BH757" s="179" t="str">
        <f t="array" ref="BH757">IF($F757&lt;&gt;"", XLOOKUP($F757,Productos!$A$2:$A1001,Productos!BA$2:BA1001,"")*$G757,"")</f>
        <v/>
      </c>
      <c r="BI757" s="179" t="str">
        <f t="array" ref="BI757">IF($F757&lt;&gt;"",XLOOKUP($F757,Productos!$A:$A,Productos!BB:BB,"Revisar"),"")</f>
        <v/>
      </c>
      <c r="BJ757" s="179" t="str">
        <f t="array" ref="BJ757">IF($F757&lt;&gt;"", XLOOKUP($F757,Productos!$A$2:$A1001,Productos!BC$2:BC1001,"")*$G757,"")</f>
        <v/>
      </c>
      <c r="BK757" s="179" t="str">
        <f t="array" ref="BK757">IF($F757&lt;&gt;"",XLOOKUP($F757,Productos!$A:$A,Productos!BD:BD,"Revisar"),"")</f>
        <v/>
      </c>
      <c r="BL757" s="179" t="str">
        <f t="array" ref="BL757">IF($F757&lt;&gt;"", XLOOKUP($F757,Productos!$A$2:$A1001,Productos!BE$2:BE1001,"")*$G757,"")</f>
        <v/>
      </c>
      <c r="BM757" s="179" t="str">
        <f t="array" ref="BM757">IF($F757&lt;&gt;"",XLOOKUP($F757,Productos!$A:$A,Productos!BF:BF,"Revisar"),"")</f>
        <v/>
      </c>
      <c r="BN757" s="179" t="str">
        <f t="array" ref="BN757">IF($F757&lt;&gt;"", XLOOKUP($F757,Productos!$A$2:$A1001,Productos!BG$2:BG1001,"")*$G757,"")</f>
        <v/>
      </c>
      <c r="BO757" s="179" t="str">
        <f t="array" ref="BO757">IF($F757&lt;&gt;"",XLOOKUP($F757,Productos!$A:$A,Productos!BH:BH,"Revisar"),"")</f>
        <v/>
      </c>
      <c r="BP757" s="179" t="str">
        <f t="array" ref="BP757">IF($F757&lt;&gt;"", XLOOKUP($F757,Productos!$A$2:$A1001,Productos!BI$2:BI1001,"")*$G757,"")</f>
        <v/>
      </c>
      <c r="BQ757" s="179" t="str">
        <f t="array" ref="BQ757">IF($F757&lt;&gt;"",XLOOKUP($F757,Productos!$A:$A,Productos!BJ:BJ,"Revisar"),"")</f>
        <v/>
      </c>
      <c r="BR757" s="179" t="str">
        <f t="array" ref="BR757">IF($F757&lt;&gt;"", XLOOKUP($F757,Productos!$A$2:$A1001,Productos!BK$2:BK1001,"")*$G757,"")</f>
        <v/>
      </c>
      <c r="BS757" s="179" t="str">
        <f t="array" ref="BS757">IF($F757&lt;&gt;"",XLOOKUP($F757,Productos!$A:$A,Productos!BL:BL,"Revisar"),"")</f>
        <v/>
      </c>
      <c r="BT757" s="179" t="str">
        <f t="array" ref="BT757">IF($F757&lt;&gt;"", XLOOKUP($F757,Productos!$A$2:$A1001,Productos!BM$2:BM1001,"")*$G757,"")</f>
        <v/>
      </c>
      <c r="BU757" s="179" t="str">
        <f t="array" ref="BU757">IF($F757&lt;&gt;"",XLOOKUP($F757,Productos!$A:$A,Productos!BN:BN,"Revisar"),"")</f>
        <v/>
      </c>
      <c r="BV757" s="179" t="str">
        <f t="array" ref="BV757">IF($F757&lt;&gt;"", XLOOKUP($F757,Productos!$A$2:$A1001,Productos!BO$2:BO1001,"")*$G757,"")</f>
        <v/>
      </c>
      <c r="BW757" s="179" t="str">
        <f t="array" ref="BW757">IF($F757&lt;&gt;"",XLOOKUP($F757,Productos!$A:$A,Productos!BP:BP,"Revisar"),"")</f>
        <v/>
      </c>
      <c r="BX757" s="179" t="str">
        <f t="array" ref="BX757">IF($F757&lt;&gt;"", XLOOKUP($F757,Productos!$A$2:$A1001,Productos!BQ$2:BQ1001,"")*$G757,"")</f>
        <v/>
      </c>
      <c r="BY757" s="179" t="str">
        <f t="array" ref="BY757">IF($F757&lt;&gt;"",XLOOKUP($F757,Productos!$A:$A,Productos!BR:BR,"Revisar"),"")</f>
        <v/>
      </c>
      <c r="BZ757" s="179" t="str">
        <f t="array" ref="BZ757">IF($F757&lt;&gt;"", XLOOKUP($F757,Productos!$A$2:$A1001,Productos!BS$2:BS1001,"")*$G757,"")</f>
        <v/>
      </c>
    </row>
    <row r="758">
      <c r="A758" s="188"/>
      <c r="B758" s="189"/>
      <c r="C758" s="190"/>
      <c r="D758" s="190"/>
      <c r="E758" s="191"/>
      <c r="F758" s="186"/>
      <c r="G758" s="192"/>
      <c r="H758" s="9"/>
      <c r="I758" s="179" t="str">
        <f t="array" ref="I758">IF($F758&lt;&gt;"",XLOOKUP($F758,Productos!$A:$A,Productos!B:B,"Revisar"),"")</f>
        <v/>
      </c>
      <c r="J758" s="179" t="str">
        <f t="array" ref="J758">IF($F758&lt;&gt;"", XLOOKUP($F758,Productos!$A$2:$A1001,Productos!C$2:C1001,"")*$G758,"")</f>
        <v/>
      </c>
      <c r="K758" s="179" t="str">
        <f t="array" ref="K758">IF($F758&lt;&gt;"",XLOOKUP($F758,Productos!$A:$A,Productos!D:D,"Revisar"),"")</f>
        <v/>
      </c>
      <c r="L758" s="179" t="str">
        <f t="array" ref="L758">IF($F758&lt;&gt;"", XLOOKUP($F758,Productos!$A$2:$A1001,Productos!E$2:E1001,"")*$G758,"")</f>
        <v/>
      </c>
      <c r="M758" s="179" t="str">
        <f t="array" ref="M758">IF($F758&lt;&gt;"",XLOOKUP($F758,Productos!$A:$A,Productos!F:F,"Revisar"),"")</f>
        <v/>
      </c>
      <c r="N758" s="179" t="str">
        <f t="array" ref="N758">IF($F758&lt;&gt;"", XLOOKUP($F758,Productos!$A$2:$A1001,Productos!G$2:G1001,"")*$G758,"")</f>
        <v/>
      </c>
      <c r="O758" s="179" t="str">
        <f t="array" ref="O758">IF($F758&lt;&gt;"",XLOOKUP($F758,Productos!$A:$A,Productos!H:H,"Revisar"),"")</f>
        <v/>
      </c>
      <c r="P758" s="179" t="str">
        <f t="array" ref="P758">IF($F758&lt;&gt;"", XLOOKUP($F758,Productos!$A$2:$A1001,Productos!I$2:I1001,"")*$G758,"")</f>
        <v/>
      </c>
      <c r="Q758" s="179" t="str">
        <f t="array" ref="Q758">IF($F758&lt;&gt;"",XLOOKUP($F758,Productos!$A:$A,Productos!J:J,"Revisar"),"")</f>
        <v/>
      </c>
      <c r="R758" s="179" t="str">
        <f t="array" ref="R758">IF($F758&lt;&gt;"", XLOOKUP($F758,Productos!$A$2:$A1001,Productos!K$2:K1001,"")*$G758,"")</f>
        <v/>
      </c>
      <c r="S758" s="179" t="str">
        <f t="array" ref="S758">IF($F758&lt;&gt;"",XLOOKUP($F758,Productos!$A:$A,Productos!L:L,"Revisar"),"")</f>
        <v/>
      </c>
      <c r="T758" s="179" t="str">
        <f t="array" ref="T758">IF($F758&lt;&gt;"", XLOOKUP($F758,Productos!$A$2:$A1001,Productos!M$2:M1001,"")*$G758,"")</f>
        <v/>
      </c>
      <c r="U758" s="179" t="str">
        <f t="array" ref="U758">IF($F758&lt;&gt;"",XLOOKUP($F758,Productos!$A:$A,Productos!N:N,"Revisar"),"")</f>
        <v/>
      </c>
      <c r="V758" s="179" t="str">
        <f t="array" ref="V758">IF($F758&lt;&gt;"", XLOOKUP($F758,Productos!$A$2:$A1001,Productos!O$2:O1001,"")*$G758,"")</f>
        <v/>
      </c>
      <c r="W758" s="179" t="str">
        <f t="array" ref="W758">IF($F758&lt;&gt;"",XLOOKUP($F758,Productos!$A:$A,Productos!P:P,"Revisar"),"")</f>
        <v/>
      </c>
      <c r="X758" s="179" t="str">
        <f t="array" ref="X758">IF($F758&lt;&gt;"", XLOOKUP($F758,Productos!$A$2:$A1001,Productos!Q$2:Q1001,"")*$G758,"")</f>
        <v/>
      </c>
      <c r="Y758" s="179" t="str">
        <f t="array" ref="Y758">IF($F758&lt;&gt;"",XLOOKUP($F758,Productos!$A:$A,Productos!R:R,"Revisar"),"")</f>
        <v/>
      </c>
      <c r="Z758" s="179" t="str">
        <f t="array" ref="Z758">IF($F758&lt;&gt;"", XLOOKUP($F758,Productos!$A$2:$A1001,Productos!S$2:S1001,"")*$G758,"")</f>
        <v/>
      </c>
      <c r="AA758" s="179" t="str">
        <f t="array" ref="AA758">IF($F758&lt;&gt;"",XLOOKUP($F758,Productos!$A:$A,Productos!T:T,"Revisar"),"")</f>
        <v/>
      </c>
      <c r="AB758" s="179" t="str">
        <f t="array" ref="AB758">IF($F758&lt;&gt;"", XLOOKUP($F758,Productos!$A$2:$A1001,Productos!U$2:U1001,"")*$G758,"")</f>
        <v/>
      </c>
      <c r="AC758" s="179" t="str">
        <f t="array" ref="AC758">IF($F758&lt;&gt;"",XLOOKUP($F758,Productos!$A:$A,Productos!V:V,"Revisar"),"")</f>
        <v/>
      </c>
      <c r="AD758" s="179" t="str">
        <f t="array" ref="AD758">IF($F758&lt;&gt;"", XLOOKUP($F758,Productos!$A$2:$A1001,Productos!W$2:W1001,"")*$G758,"")</f>
        <v/>
      </c>
      <c r="AE758" s="179" t="str">
        <f t="array" ref="AE758">IF($F758&lt;&gt;"",XLOOKUP($F758,Productos!$A:$A,Productos!X:X,"Revisar"),"")</f>
        <v/>
      </c>
      <c r="AF758" s="179" t="str">
        <f t="array" ref="AF758">IF($F758&lt;&gt;"", XLOOKUP($F758,Productos!$A$2:$A1001,Productos!Y$2:Y1001,"")*$G758,"")</f>
        <v/>
      </c>
      <c r="AG758" s="179" t="str">
        <f t="array" ref="AG758">IF($F758&lt;&gt;"",XLOOKUP($F758,Productos!$A:$A,Productos!Z:Z,"Revisar"),"")</f>
        <v/>
      </c>
      <c r="AH758" s="179" t="str">
        <f t="array" ref="AH758">IF($F758&lt;&gt;"", XLOOKUP($F758,Productos!$A$2:$A1001,Productos!AA$2:AA1001,"")*$G758,"")</f>
        <v/>
      </c>
      <c r="AI758" s="179" t="str">
        <f t="array" ref="AI758">IF($F758&lt;&gt;"",XLOOKUP($F758,Productos!$A:$A,Productos!AB:AB,"Revisar"),"")</f>
        <v/>
      </c>
      <c r="AJ758" s="179" t="str">
        <f t="array" ref="AJ758">IF($F758&lt;&gt;"", XLOOKUP($F758,Productos!$A$2:$A1001,Productos!AC$2:AC1001,"")*$G758,"")</f>
        <v/>
      </c>
      <c r="AK758" s="179" t="str">
        <f t="array" ref="AK758">IF($F758&lt;&gt;"",XLOOKUP($F758,Productos!$A:$A,Productos!AD:AD,"Revisar"),"")</f>
        <v/>
      </c>
      <c r="AL758" s="179" t="str">
        <f t="array" ref="AL758">IF($F758&lt;&gt;"", XLOOKUP($F758,Productos!$A$2:$A1001,Productos!AE$2:AE1001,"")*$G758,"")</f>
        <v/>
      </c>
      <c r="AM758" s="179" t="str">
        <f t="array" ref="AM758">IF($F758&lt;&gt;"",XLOOKUP($F758,Productos!$A:$A,Productos!AF:AF,"Revisar"),"")</f>
        <v/>
      </c>
      <c r="AN758" s="179" t="str">
        <f t="array" ref="AN758">IF($F758&lt;&gt;"", XLOOKUP($F758,Productos!$A$2:$A1001,Productos!AG$2:AG1001,"")*$G758,"")</f>
        <v/>
      </c>
      <c r="AO758" s="179" t="str">
        <f t="array" ref="AO758">IF($F758&lt;&gt;"",XLOOKUP($F758,Productos!$A:$A,Productos!AH:AH,"Revisar"),"")</f>
        <v/>
      </c>
      <c r="AP758" s="179" t="str">
        <f t="array" ref="AP758">IF($F758&lt;&gt;"", XLOOKUP($F758,Productos!$A$2:$A1001,Productos!AI$2:AI1001,"")*$G758,"")</f>
        <v/>
      </c>
      <c r="AQ758" s="179" t="str">
        <f t="array" ref="AQ758">IF($F758&lt;&gt;"",XLOOKUP($F758,Productos!$A:$A,Productos!AJ:AJ,"Revisar"),"")</f>
        <v/>
      </c>
      <c r="AR758" s="179" t="str">
        <f t="array" ref="AR758">IF($F758&lt;&gt;"", XLOOKUP($F758,Productos!$A$2:$A1001,Productos!AK$2:AK1001,"")*$G758,"")</f>
        <v/>
      </c>
      <c r="AS758" s="179" t="str">
        <f t="array" ref="AS758">IF($F758&lt;&gt;"",XLOOKUP($F758,Productos!$A:$A,Productos!AL:AL,"Revisar"),"")</f>
        <v/>
      </c>
      <c r="AT758" s="179" t="str">
        <f t="array" ref="AT758">IF($F758&lt;&gt;"", XLOOKUP($F758,Productos!$A$2:$A1001,Productos!AM$2:AM1001,"")*$G758,"")</f>
        <v/>
      </c>
      <c r="AU758" s="179" t="str">
        <f t="array" ref="AU758">IF($F758&lt;&gt;"",XLOOKUP($F758,Productos!$A:$A,Productos!AN:AN,"Revisar"),"")</f>
        <v/>
      </c>
      <c r="AV758" s="179" t="str">
        <f t="array" ref="AV758">IF($F758&lt;&gt;"", XLOOKUP($F758,Productos!$A$2:$A1001,Productos!AO$2:AO1001,"")*$G758,"")</f>
        <v/>
      </c>
      <c r="AW758" s="179" t="str">
        <f t="array" ref="AW758">IF($F758&lt;&gt;"",XLOOKUP($F758,Productos!$A:$A,Productos!AP:AP,"Revisar"),"")</f>
        <v/>
      </c>
      <c r="AX758" s="179" t="str">
        <f t="array" ref="AX758">IF($F758&lt;&gt;"", XLOOKUP($F758,Productos!$A$2:$A1001,Productos!AQ$2:AQ1001,"")*$G758,"")</f>
        <v/>
      </c>
      <c r="AY758" s="179" t="str">
        <f t="array" ref="AY758">IF($F758&lt;&gt;"",XLOOKUP($F758,Productos!$A:$A,Productos!AR:AR,"Revisar"),"")</f>
        <v/>
      </c>
      <c r="AZ758" s="179" t="str">
        <f t="array" ref="AZ758">IF($F758&lt;&gt;"", XLOOKUP($F758,Productos!$A$2:$A1001,Productos!AS$2:AS1001,"")*$G758,"")</f>
        <v/>
      </c>
      <c r="BA758" s="179" t="str">
        <f t="array" ref="BA758">IF($F758&lt;&gt;"",XLOOKUP($F758,Productos!$A:$A,Productos!AT:AT,"Revisar"),"")</f>
        <v/>
      </c>
      <c r="BB758" s="179" t="str">
        <f t="array" ref="BB758">IF($F758&lt;&gt;"", XLOOKUP($F758,Productos!$A$2:$A1001,Productos!AU$2:AU1001,"")*$G758,"")</f>
        <v/>
      </c>
      <c r="BC758" s="179" t="str">
        <f t="array" ref="BC758">IF($F758&lt;&gt;"",XLOOKUP($F758,Productos!$A:$A,Productos!AV:AV,"Revisar"),"")</f>
        <v/>
      </c>
      <c r="BD758" s="179" t="str">
        <f t="array" ref="BD758">IF($F758&lt;&gt;"", XLOOKUP($F758,Productos!$A$2:$A1001,Productos!AW$2:AW1001,"")*$G758,"")</f>
        <v/>
      </c>
      <c r="BE758" s="179" t="str">
        <f t="array" ref="BE758">IF($F758&lt;&gt;"",XLOOKUP($F758,Productos!$A:$A,Productos!AX:AX,"Revisar"),"")</f>
        <v/>
      </c>
      <c r="BF758" s="179" t="str">
        <f t="array" ref="BF758">IF($F758&lt;&gt;"", XLOOKUP($F758,Productos!$A$2:$A1001,Productos!AY$2:AY1001,"")*$G758,"")</f>
        <v/>
      </c>
      <c r="BG758" s="179" t="str">
        <f t="array" ref="BG758">IF($F758&lt;&gt;"",XLOOKUP($F758,Productos!$A:$A,Productos!AZ:AZ,"Revisar"),"")</f>
        <v/>
      </c>
      <c r="BH758" s="179" t="str">
        <f t="array" ref="BH758">IF($F758&lt;&gt;"", XLOOKUP($F758,Productos!$A$2:$A1001,Productos!BA$2:BA1001,"")*$G758,"")</f>
        <v/>
      </c>
      <c r="BI758" s="179" t="str">
        <f t="array" ref="BI758">IF($F758&lt;&gt;"",XLOOKUP($F758,Productos!$A:$A,Productos!BB:BB,"Revisar"),"")</f>
        <v/>
      </c>
      <c r="BJ758" s="179" t="str">
        <f t="array" ref="BJ758">IF($F758&lt;&gt;"", XLOOKUP($F758,Productos!$A$2:$A1001,Productos!BC$2:BC1001,"")*$G758,"")</f>
        <v/>
      </c>
      <c r="BK758" s="179" t="str">
        <f t="array" ref="BK758">IF($F758&lt;&gt;"",XLOOKUP($F758,Productos!$A:$A,Productos!BD:BD,"Revisar"),"")</f>
        <v/>
      </c>
      <c r="BL758" s="179" t="str">
        <f t="array" ref="BL758">IF($F758&lt;&gt;"", XLOOKUP($F758,Productos!$A$2:$A1001,Productos!BE$2:BE1001,"")*$G758,"")</f>
        <v/>
      </c>
      <c r="BM758" s="179" t="str">
        <f t="array" ref="BM758">IF($F758&lt;&gt;"",XLOOKUP($F758,Productos!$A:$A,Productos!BF:BF,"Revisar"),"")</f>
        <v/>
      </c>
      <c r="BN758" s="179" t="str">
        <f t="array" ref="BN758">IF($F758&lt;&gt;"", XLOOKUP($F758,Productos!$A$2:$A1001,Productos!BG$2:BG1001,"")*$G758,"")</f>
        <v/>
      </c>
      <c r="BO758" s="179" t="str">
        <f t="array" ref="BO758">IF($F758&lt;&gt;"",XLOOKUP($F758,Productos!$A:$A,Productos!BH:BH,"Revisar"),"")</f>
        <v/>
      </c>
      <c r="BP758" s="179" t="str">
        <f t="array" ref="BP758">IF($F758&lt;&gt;"", XLOOKUP($F758,Productos!$A$2:$A1001,Productos!BI$2:BI1001,"")*$G758,"")</f>
        <v/>
      </c>
      <c r="BQ758" s="179" t="str">
        <f t="array" ref="BQ758">IF($F758&lt;&gt;"",XLOOKUP($F758,Productos!$A:$A,Productos!BJ:BJ,"Revisar"),"")</f>
        <v/>
      </c>
      <c r="BR758" s="179" t="str">
        <f t="array" ref="BR758">IF($F758&lt;&gt;"", XLOOKUP($F758,Productos!$A$2:$A1001,Productos!BK$2:BK1001,"")*$G758,"")</f>
        <v/>
      </c>
      <c r="BS758" s="179" t="str">
        <f t="array" ref="BS758">IF($F758&lt;&gt;"",XLOOKUP($F758,Productos!$A:$A,Productos!BL:BL,"Revisar"),"")</f>
        <v/>
      </c>
      <c r="BT758" s="179" t="str">
        <f t="array" ref="BT758">IF($F758&lt;&gt;"", XLOOKUP($F758,Productos!$A$2:$A1001,Productos!BM$2:BM1001,"")*$G758,"")</f>
        <v/>
      </c>
      <c r="BU758" s="179" t="str">
        <f t="array" ref="BU758">IF($F758&lt;&gt;"",XLOOKUP($F758,Productos!$A:$A,Productos!BN:BN,"Revisar"),"")</f>
        <v/>
      </c>
      <c r="BV758" s="179" t="str">
        <f t="array" ref="BV758">IF($F758&lt;&gt;"", XLOOKUP($F758,Productos!$A$2:$A1001,Productos!BO$2:BO1001,"")*$G758,"")</f>
        <v/>
      </c>
      <c r="BW758" s="179" t="str">
        <f t="array" ref="BW758">IF($F758&lt;&gt;"",XLOOKUP($F758,Productos!$A:$A,Productos!BP:BP,"Revisar"),"")</f>
        <v/>
      </c>
      <c r="BX758" s="179" t="str">
        <f t="array" ref="BX758">IF($F758&lt;&gt;"", XLOOKUP($F758,Productos!$A$2:$A1001,Productos!BQ$2:BQ1001,"")*$G758,"")</f>
        <v/>
      </c>
      <c r="BY758" s="179" t="str">
        <f t="array" ref="BY758">IF($F758&lt;&gt;"",XLOOKUP($F758,Productos!$A:$A,Productos!BR:BR,"Revisar"),"")</f>
        <v/>
      </c>
      <c r="BZ758" s="179" t="str">
        <f t="array" ref="BZ758">IF($F758&lt;&gt;"", XLOOKUP($F758,Productos!$A$2:$A1001,Productos!BS$2:BS1001,"")*$G758,"")</f>
        <v/>
      </c>
    </row>
    <row r="759">
      <c r="A759" s="188"/>
      <c r="B759" s="189"/>
      <c r="C759" s="190"/>
      <c r="D759" s="190"/>
      <c r="E759" s="191"/>
      <c r="F759" s="186"/>
      <c r="G759" s="192"/>
      <c r="H759" s="9"/>
      <c r="I759" s="179" t="str">
        <f t="array" ref="I759">IF($F759&lt;&gt;"",XLOOKUP($F759,Productos!$A:$A,Productos!B:B,"Revisar"),"")</f>
        <v/>
      </c>
      <c r="J759" s="179" t="str">
        <f t="array" ref="J759">IF($F759&lt;&gt;"", XLOOKUP($F759,Productos!$A$2:$A1001,Productos!C$2:C1001,"")*$G759,"")</f>
        <v/>
      </c>
      <c r="K759" s="179" t="str">
        <f t="array" ref="K759">IF($F759&lt;&gt;"",XLOOKUP($F759,Productos!$A:$A,Productos!D:D,"Revisar"),"")</f>
        <v/>
      </c>
      <c r="L759" s="179" t="str">
        <f t="array" ref="L759">IF($F759&lt;&gt;"", XLOOKUP($F759,Productos!$A$2:$A1001,Productos!E$2:E1001,"")*$G759,"")</f>
        <v/>
      </c>
      <c r="M759" s="179" t="str">
        <f t="array" ref="M759">IF($F759&lt;&gt;"",XLOOKUP($F759,Productos!$A:$A,Productos!F:F,"Revisar"),"")</f>
        <v/>
      </c>
      <c r="N759" s="179" t="str">
        <f t="array" ref="N759">IF($F759&lt;&gt;"", XLOOKUP($F759,Productos!$A$2:$A1001,Productos!G$2:G1001,"")*$G759,"")</f>
        <v/>
      </c>
      <c r="O759" s="179" t="str">
        <f t="array" ref="O759">IF($F759&lt;&gt;"",XLOOKUP($F759,Productos!$A:$A,Productos!H:H,"Revisar"),"")</f>
        <v/>
      </c>
      <c r="P759" s="179" t="str">
        <f t="array" ref="P759">IF($F759&lt;&gt;"", XLOOKUP($F759,Productos!$A$2:$A1001,Productos!I$2:I1001,"")*$G759,"")</f>
        <v/>
      </c>
      <c r="Q759" s="179" t="str">
        <f t="array" ref="Q759">IF($F759&lt;&gt;"",XLOOKUP($F759,Productos!$A:$A,Productos!J:J,"Revisar"),"")</f>
        <v/>
      </c>
      <c r="R759" s="179" t="str">
        <f t="array" ref="R759">IF($F759&lt;&gt;"", XLOOKUP($F759,Productos!$A$2:$A1001,Productos!K$2:K1001,"")*$G759,"")</f>
        <v/>
      </c>
      <c r="S759" s="179" t="str">
        <f t="array" ref="S759">IF($F759&lt;&gt;"",XLOOKUP($F759,Productos!$A:$A,Productos!L:L,"Revisar"),"")</f>
        <v/>
      </c>
      <c r="T759" s="179" t="str">
        <f t="array" ref="T759">IF($F759&lt;&gt;"", XLOOKUP($F759,Productos!$A$2:$A1001,Productos!M$2:M1001,"")*$G759,"")</f>
        <v/>
      </c>
      <c r="U759" s="179" t="str">
        <f t="array" ref="U759">IF($F759&lt;&gt;"",XLOOKUP($F759,Productos!$A:$A,Productos!N:N,"Revisar"),"")</f>
        <v/>
      </c>
      <c r="V759" s="179" t="str">
        <f t="array" ref="V759">IF($F759&lt;&gt;"", XLOOKUP($F759,Productos!$A$2:$A1001,Productos!O$2:O1001,"")*$G759,"")</f>
        <v/>
      </c>
      <c r="W759" s="179" t="str">
        <f t="array" ref="W759">IF($F759&lt;&gt;"",XLOOKUP($F759,Productos!$A:$A,Productos!P:P,"Revisar"),"")</f>
        <v/>
      </c>
      <c r="X759" s="179" t="str">
        <f t="array" ref="X759">IF($F759&lt;&gt;"", XLOOKUP($F759,Productos!$A$2:$A1001,Productos!Q$2:Q1001,"")*$G759,"")</f>
        <v/>
      </c>
      <c r="Y759" s="179" t="str">
        <f t="array" ref="Y759">IF($F759&lt;&gt;"",XLOOKUP($F759,Productos!$A:$A,Productos!R:R,"Revisar"),"")</f>
        <v/>
      </c>
      <c r="Z759" s="179" t="str">
        <f t="array" ref="Z759">IF($F759&lt;&gt;"", XLOOKUP($F759,Productos!$A$2:$A1001,Productos!S$2:S1001,"")*$G759,"")</f>
        <v/>
      </c>
      <c r="AA759" s="179" t="str">
        <f t="array" ref="AA759">IF($F759&lt;&gt;"",XLOOKUP($F759,Productos!$A:$A,Productos!T:T,"Revisar"),"")</f>
        <v/>
      </c>
      <c r="AB759" s="179" t="str">
        <f t="array" ref="AB759">IF($F759&lt;&gt;"", XLOOKUP($F759,Productos!$A$2:$A1001,Productos!U$2:U1001,"")*$G759,"")</f>
        <v/>
      </c>
      <c r="AC759" s="179" t="str">
        <f t="array" ref="AC759">IF($F759&lt;&gt;"",XLOOKUP($F759,Productos!$A:$A,Productos!V:V,"Revisar"),"")</f>
        <v/>
      </c>
      <c r="AD759" s="179" t="str">
        <f t="array" ref="AD759">IF($F759&lt;&gt;"", XLOOKUP($F759,Productos!$A$2:$A1001,Productos!W$2:W1001,"")*$G759,"")</f>
        <v/>
      </c>
      <c r="AE759" s="179" t="str">
        <f t="array" ref="AE759">IF($F759&lt;&gt;"",XLOOKUP($F759,Productos!$A:$A,Productos!X:X,"Revisar"),"")</f>
        <v/>
      </c>
      <c r="AF759" s="179" t="str">
        <f t="array" ref="AF759">IF($F759&lt;&gt;"", XLOOKUP($F759,Productos!$A$2:$A1001,Productos!Y$2:Y1001,"")*$G759,"")</f>
        <v/>
      </c>
      <c r="AG759" s="179" t="str">
        <f t="array" ref="AG759">IF($F759&lt;&gt;"",XLOOKUP($F759,Productos!$A:$A,Productos!Z:Z,"Revisar"),"")</f>
        <v/>
      </c>
      <c r="AH759" s="179" t="str">
        <f t="array" ref="AH759">IF($F759&lt;&gt;"", XLOOKUP($F759,Productos!$A$2:$A1001,Productos!AA$2:AA1001,"")*$G759,"")</f>
        <v/>
      </c>
      <c r="AI759" s="179" t="str">
        <f t="array" ref="AI759">IF($F759&lt;&gt;"",XLOOKUP($F759,Productos!$A:$A,Productos!AB:AB,"Revisar"),"")</f>
        <v/>
      </c>
      <c r="AJ759" s="179" t="str">
        <f t="array" ref="AJ759">IF($F759&lt;&gt;"", XLOOKUP($F759,Productos!$A$2:$A1001,Productos!AC$2:AC1001,"")*$G759,"")</f>
        <v/>
      </c>
      <c r="AK759" s="179" t="str">
        <f t="array" ref="AK759">IF($F759&lt;&gt;"",XLOOKUP($F759,Productos!$A:$A,Productos!AD:AD,"Revisar"),"")</f>
        <v/>
      </c>
      <c r="AL759" s="179" t="str">
        <f t="array" ref="AL759">IF($F759&lt;&gt;"", XLOOKUP($F759,Productos!$A$2:$A1001,Productos!AE$2:AE1001,"")*$G759,"")</f>
        <v/>
      </c>
      <c r="AM759" s="179" t="str">
        <f t="array" ref="AM759">IF($F759&lt;&gt;"",XLOOKUP($F759,Productos!$A:$A,Productos!AF:AF,"Revisar"),"")</f>
        <v/>
      </c>
      <c r="AN759" s="179" t="str">
        <f t="array" ref="AN759">IF($F759&lt;&gt;"", XLOOKUP($F759,Productos!$A$2:$A1001,Productos!AG$2:AG1001,"")*$G759,"")</f>
        <v/>
      </c>
      <c r="AO759" s="179" t="str">
        <f t="array" ref="AO759">IF($F759&lt;&gt;"",XLOOKUP($F759,Productos!$A:$A,Productos!AH:AH,"Revisar"),"")</f>
        <v/>
      </c>
      <c r="AP759" s="179" t="str">
        <f t="array" ref="AP759">IF($F759&lt;&gt;"", XLOOKUP($F759,Productos!$A$2:$A1001,Productos!AI$2:AI1001,"")*$G759,"")</f>
        <v/>
      </c>
      <c r="AQ759" s="179" t="str">
        <f t="array" ref="AQ759">IF($F759&lt;&gt;"",XLOOKUP($F759,Productos!$A:$A,Productos!AJ:AJ,"Revisar"),"")</f>
        <v/>
      </c>
      <c r="AR759" s="179" t="str">
        <f t="array" ref="AR759">IF($F759&lt;&gt;"", XLOOKUP($F759,Productos!$A$2:$A1001,Productos!AK$2:AK1001,"")*$G759,"")</f>
        <v/>
      </c>
      <c r="AS759" s="179" t="str">
        <f t="array" ref="AS759">IF($F759&lt;&gt;"",XLOOKUP($F759,Productos!$A:$A,Productos!AL:AL,"Revisar"),"")</f>
        <v/>
      </c>
      <c r="AT759" s="179" t="str">
        <f t="array" ref="AT759">IF($F759&lt;&gt;"", XLOOKUP($F759,Productos!$A$2:$A1001,Productos!AM$2:AM1001,"")*$G759,"")</f>
        <v/>
      </c>
      <c r="AU759" s="179" t="str">
        <f t="array" ref="AU759">IF($F759&lt;&gt;"",XLOOKUP($F759,Productos!$A:$A,Productos!AN:AN,"Revisar"),"")</f>
        <v/>
      </c>
      <c r="AV759" s="179" t="str">
        <f t="array" ref="AV759">IF($F759&lt;&gt;"", XLOOKUP($F759,Productos!$A$2:$A1001,Productos!AO$2:AO1001,"")*$G759,"")</f>
        <v/>
      </c>
      <c r="AW759" s="179" t="str">
        <f t="array" ref="AW759">IF($F759&lt;&gt;"",XLOOKUP($F759,Productos!$A:$A,Productos!AP:AP,"Revisar"),"")</f>
        <v/>
      </c>
      <c r="AX759" s="179" t="str">
        <f t="array" ref="AX759">IF($F759&lt;&gt;"", XLOOKUP($F759,Productos!$A$2:$A1001,Productos!AQ$2:AQ1001,"")*$G759,"")</f>
        <v/>
      </c>
      <c r="AY759" s="179" t="str">
        <f t="array" ref="AY759">IF($F759&lt;&gt;"",XLOOKUP($F759,Productos!$A:$A,Productos!AR:AR,"Revisar"),"")</f>
        <v/>
      </c>
      <c r="AZ759" s="179" t="str">
        <f t="array" ref="AZ759">IF($F759&lt;&gt;"", XLOOKUP($F759,Productos!$A$2:$A1001,Productos!AS$2:AS1001,"")*$G759,"")</f>
        <v/>
      </c>
      <c r="BA759" s="179" t="str">
        <f t="array" ref="BA759">IF($F759&lt;&gt;"",XLOOKUP($F759,Productos!$A:$A,Productos!AT:AT,"Revisar"),"")</f>
        <v/>
      </c>
      <c r="BB759" s="179" t="str">
        <f t="array" ref="BB759">IF($F759&lt;&gt;"", XLOOKUP($F759,Productos!$A$2:$A1001,Productos!AU$2:AU1001,"")*$G759,"")</f>
        <v/>
      </c>
      <c r="BC759" s="179" t="str">
        <f t="array" ref="BC759">IF($F759&lt;&gt;"",XLOOKUP($F759,Productos!$A:$A,Productos!AV:AV,"Revisar"),"")</f>
        <v/>
      </c>
      <c r="BD759" s="179" t="str">
        <f t="array" ref="BD759">IF($F759&lt;&gt;"", XLOOKUP($F759,Productos!$A$2:$A1001,Productos!AW$2:AW1001,"")*$G759,"")</f>
        <v/>
      </c>
      <c r="BE759" s="179" t="str">
        <f t="array" ref="BE759">IF($F759&lt;&gt;"",XLOOKUP($F759,Productos!$A:$A,Productos!AX:AX,"Revisar"),"")</f>
        <v/>
      </c>
      <c r="BF759" s="179" t="str">
        <f t="array" ref="BF759">IF($F759&lt;&gt;"", XLOOKUP($F759,Productos!$A$2:$A1001,Productos!AY$2:AY1001,"")*$G759,"")</f>
        <v/>
      </c>
      <c r="BG759" s="179" t="str">
        <f t="array" ref="BG759">IF($F759&lt;&gt;"",XLOOKUP($F759,Productos!$A:$A,Productos!AZ:AZ,"Revisar"),"")</f>
        <v/>
      </c>
      <c r="BH759" s="179" t="str">
        <f t="array" ref="BH759">IF($F759&lt;&gt;"", XLOOKUP($F759,Productos!$A$2:$A1001,Productos!BA$2:BA1001,"")*$G759,"")</f>
        <v/>
      </c>
      <c r="BI759" s="179" t="str">
        <f t="array" ref="BI759">IF($F759&lt;&gt;"",XLOOKUP($F759,Productos!$A:$A,Productos!BB:BB,"Revisar"),"")</f>
        <v/>
      </c>
      <c r="BJ759" s="179" t="str">
        <f t="array" ref="BJ759">IF($F759&lt;&gt;"", XLOOKUP($F759,Productos!$A$2:$A1001,Productos!BC$2:BC1001,"")*$G759,"")</f>
        <v/>
      </c>
      <c r="BK759" s="179" t="str">
        <f t="array" ref="BK759">IF($F759&lt;&gt;"",XLOOKUP($F759,Productos!$A:$A,Productos!BD:BD,"Revisar"),"")</f>
        <v/>
      </c>
      <c r="BL759" s="179" t="str">
        <f t="array" ref="BL759">IF($F759&lt;&gt;"", XLOOKUP($F759,Productos!$A$2:$A1001,Productos!BE$2:BE1001,"")*$G759,"")</f>
        <v/>
      </c>
      <c r="BM759" s="179" t="str">
        <f t="array" ref="BM759">IF($F759&lt;&gt;"",XLOOKUP($F759,Productos!$A:$A,Productos!BF:BF,"Revisar"),"")</f>
        <v/>
      </c>
      <c r="BN759" s="179" t="str">
        <f t="array" ref="BN759">IF($F759&lt;&gt;"", XLOOKUP($F759,Productos!$A$2:$A1001,Productos!BG$2:BG1001,"")*$G759,"")</f>
        <v/>
      </c>
      <c r="BO759" s="179" t="str">
        <f t="array" ref="BO759">IF($F759&lt;&gt;"",XLOOKUP($F759,Productos!$A:$A,Productos!BH:BH,"Revisar"),"")</f>
        <v/>
      </c>
      <c r="BP759" s="179" t="str">
        <f t="array" ref="BP759">IF($F759&lt;&gt;"", XLOOKUP($F759,Productos!$A$2:$A1001,Productos!BI$2:BI1001,"")*$G759,"")</f>
        <v/>
      </c>
      <c r="BQ759" s="179" t="str">
        <f t="array" ref="BQ759">IF($F759&lt;&gt;"",XLOOKUP($F759,Productos!$A:$A,Productos!BJ:BJ,"Revisar"),"")</f>
        <v/>
      </c>
      <c r="BR759" s="179" t="str">
        <f t="array" ref="BR759">IF($F759&lt;&gt;"", XLOOKUP($F759,Productos!$A$2:$A1001,Productos!BK$2:BK1001,"")*$G759,"")</f>
        <v/>
      </c>
      <c r="BS759" s="179" t="str">
        <f t="array" ref="BS759">IF($F759&lt;&gt;"",XLOOKUP($F759,Productos!$A:$A,Productos!BL:BL,"Revisar"),"")</f>
        <v/>
      </c>
      <c r="BT759" s="179" t="str">
        <f t="array" ref="BT759">IF($F759&lt;&gt;"", XLOOKUP($F759,Productos!$A$2:$A1001,Productos!BM$2:BM1001,"")*$G759,"")</f>
        <v/>
      </c>
      <c r="BU759" s="179" t="str">
        <f t="array" ref="BU759">IF($F759&lt;&gt;"",XLOOKUP($F759,Productos!$A:$A,Productos!BN:BN,"Revisar"),"")</f>
        <v/>
      </c>
      <c r="BV759" s="179" t="str">
        <f t="array" ref="BV759">IF($F759&lt;&gt;"", XLOOKUP($F759,Productos!$A$2:$A1001,Productos!BO$2:BO1001,"")*$G759,"")</f>
        <v/>
      </c>
      <c r="BW759" s="179" t="str">
        <f t="array" ref="BW759">IF($F759&lt;&gt;"",XLOOKUP($F759,Productos!$A:$A,Productos!BP:BP,"Revisar"),"")</f>
        <v/>
      </c>
      <c r="BX759" s="179" t="str">
        <f t="array" ref="BX759">IF($F759&lt;&gt;"", XLOOKUP($F759,Productos!$A$2:$A1001,Productos!BQ$2:BQ1001,"")*$G759,"")</f>
        <v/>
      </c>
      <c r="BY759" s="179" t="str">
        <f t="array" ref="BY759">IF($F759&lt;&gt;"",XLOOKUP($F759,Productos!$A:$A,Productos!BR:BR,"Revisar"),"")</f>
        <v/>
      </c>
      <c r="BZ759" s="179" t="str">
        <f t="array" ref="BZ759">IF($F759&lt;&gt;"", XLOOKUP($F759,Productos!$A$2:$A1001,Productos!BS$2:BS1001,"")*$G759,"")</f>
        <v/>
      </c>
    </row>
    <row r="760">
      <c r="A760" s="188"/>
      <c r="B760" s="189"/>
      <c r="C760" s="190"/>
      <c r="D760" s="190"/>
      <c r="E760" s="191"/>
      <c r="F760" s="186"/>
      <c r="G760" s="192"/>
      <c r="H760" s="9"/>
      <c r="I760" s="179" t="str">
        <f t="array" ref="I760">IF($F760&lt;&gt;"",XLOOKUP($F760,Productos!$A:$A,Productos!B:B,"Revisar"),"")</f>
        <v/>
      </c>
      <c r="J760" s="179" t="str">
        <f t="array" ref="J760">IF($F760&lt;&gt;"", XLOOKUP($F760,Productos!$A$2:$A1001,Productos!C$2:C1001,"")*$G760,"")</f>
        <v/>
      </c>
      <c r="K760" s="179" t="str">
        <f t="array" ref="K760">IF($F760&lt;&gt;"",XLOOKUP($F760,Productos!$A:$A,Productos!D:D,"Revisar"),"")</f>
        <v/>
      </c>
      <c r="L760" s="179" t="str">
        <f t="array" ref="L760">IF($F760&lt;&gt;"", XLOOKUP($F760,Productos!$A$2:$A1001,Productos!E$2:E1001,"")*$G760,"")</f>
        <v/>
      </c>
      <c r="M760" s="179" t="str">
        <f t="array" ref="M760">IF($F760&lt;&gt;"",XLOOKUP($F760,Productos!$A:$A,Productos!F:F,"Revisar"),"")</f>
        <v/>
      </c>
      <c r="N760" s="179" t="str">
        <f t="array" ref="N760">IF($F760&lt;&gt;"", XLOOKUP($F760,Productos!$A$2:$A1001,Productos!G$2:G1001,"")*$G760,"")</f>
        <v/>
      </c>
      <c r="O760" s="179" t="str">
        <f t="array" ref="O760">IF($F760&lt;&gt;"",XLOOKUP($F760,Productos!$A:$A,Productos!H:H,"Revisar"),"")</f>
        <v/>
      </c>
      <c r="P760" s="179" t="str">
        <f t="array" ref="P760">IF($F760&lt;&gt;"", XLOOKUP($F760,Productos!$A$2:$A1001,Productos!I$2:I1001,"")*$G760,"")</f>
        <v/>
      </c>
      <c r="Q760" s="179" t="str">
        <f t="array" ref="Q760">IF($F760&lt;&gt;"",XLOOKUP($F760,Productos!$A:$A,Productos!J:J,"Revisar"),"")</f>
        <v/>
      </c>
      <c r="R760" s="179" t="str">
        <f t="array" ref="R760">IF($F760&lt;&gt;"", XLOOKUP($F760,Productos!$A$2:$A1001,Productos!K$2:K1001,"")*$G760,"")</f>
        <v/>
      </c>
      <c r="S760" s="179" t="str">
        <f t="array" ref="S760">IF($F760&lt;&gt;"",XLOOKUP($F760,Productos!$A:$A,Productos!L:L,"Revisar"),"")</f>
        <v/>
      </c>
      <c r="T760" s="179" t="str">
        <f t="array" ref="T760">IF($F760&lt;&gt;"", XLOOKUP($F760,Productos!$A$2:$A1001,Productos!M$2:M1001,"")*$G760,"")</f>
        <v/>
      </c>
      <c r="U760" s="179" t="str">
        <f t="array" ref="U760">IF($F760&lt;&gt;"",XLOOKUP($F760,Productos!$A:$A,Productos!N:N,"Revisar"),"")</f>
        <v/>
      </c>
      <c r="V760" s="179" t="str">
        <f t="array" ref="V760">IF($F760&lt;&gt;"", XLOOKUP($F760,Productos!$A$2:$A1001,Productos!O$2:O1001,"")*$G760,"")</f>
        <v/>
      </c>
      <c r="W760" s="179" t="str">
        <f t="array" ref="W760">IF($F760&lt;&gt;"",XLOOKUP($F760,Productos!$A:$A,Productos!P:P,"Revisar"),"")</f>
        <v/>
      </c>
      <c r="X760" s="179" t="str">
        <f t="array" ref="X760">IF($F760&lt;&gt;"", XLOOKUP($F760,Productos!$A$2:$A1001,Productos!Q$2:Q1001,"")*$G760,"")</f>
        <v/>
      </c>
      <c r="Y760" s="179" t="str">
        <f t="array" ref="Y760">IF($F760&lt;&gt;"",XLOOKUP($F760,Productos!$A:$A,Productos!R:R,"Revisar"),"")</f>
        <v/>
      </c>
      <c r="Z760" s="179" t="str">
        <f t="array" ref="Z760">IF($F760&lt;&gt;"", XLOOKUP($F760,Productos!$A$2:$A1001,Productos!S$2:S1001,"")*$G760,"")</f>
        <v/>
      </c>
      <c r="AA760" s="179" t="str">
        <f t="array" ref="AA760">IF($F760&lt;&gt;"",XLOOKUP($F760,Productos!$A:$A,Productos!T:T,"Revisar"),"")</f>
        <v/>
      </c>
      <c r="AB760" s="179" t="str">
        <f t="array" ref="AB760">IF($F760&lt;&gt;"", XLOOKUP($F760,Productos!$A$2:$A1001,Productos!U$2:U1001,"")*$G760,"")</f>
        <v/>
      </c>
      <c r="AC760" s="179" t="str">
        <f t="array" ref="AC760">IF($F760&lt;&gt;"",XLOOKUP($F760,Productos!$A:$A,Productos!V:V,"Revisar"),"")</f>
        <v/>
      </c>
      <c r="AD760" s="179" t="str">
        <f t="array" ref="AD760">IF($F760&lt;&gt;"", XLOOKUP($F760,Productos!$A$2:$A1001,Productos!W$2:W1001,"")*$G760,"")</f>
        <v/>
      </c>
      <c r="AE760" s="179" t="str">
        <f t="array" ref="AE760">IF($F760&lt;&gt;"",XLOOKUP($F760,Productos!$A:$A,Productos!X:X,"Revisar"),"")</f>
        <v/>
      </c>
      <c r="AF760" s="179" t="str">
        <f t="array" ref="AF760">IF($F760&lt;&gt;"", XLOOKUP($F760,Productos!$A$2:$A1001,Productos!Y$2:Y1001,"")*$G760,"")</f>
        <v/>
      </c>
      <c r="AG760" s="179" t="str">
        <f t="array" ref="AG760">IF($F760&lt;&gt;"",XLOOKUP($F760,Productos!$A:$A,Productos!Z:Z,"Revisar"),"")</f>
        <v/>
      </c>
      <c r="AH760" s="179" t="str">
        <f t="array" ref="AH760">IF($F760&lt;&gt;"", XLOOKUP($F760,Productos!$A$2:$A1001,Productos!AA$2:AA1001,"")*$G760,"")</f>
        <v/>
      </c>
      <c r="AI760" s="179" t="str">
        <f t="array" ref="AI760">IF($F760&lt;&gt;"",XLOOKUP($F760,Productos!$A:$A,Productos!AB:AB,"Revisar"),"")</f>
        <v/>
      </c>
      <c r="AJ760" s="179" t="str">
        <f t="array" ref="AJ760">IF($F760&lt;&gt;"", XLOOKUP($F760,Productos!$A$2:$A1001,Productos!AC$2:AC1001,"")*$G760,"")</f>
        <v/>
      </c>
      <c r="AK760" s="179" t="str">
        <f t="array" ref="AK760">IF($F760&lt;&gt;"",XLOOKUP($F760,Productos!$A:$A,Productos!AD:AD,"Revisar"),"")</f>
        <v/>
      </c>
      <c r="AL760" s="179" t="str">
        <f t="array" ref="AL760">IF($F760&lt;&gt;"", XLOOKUP($F760,Productos!$A$2:$A1001,Productos!AE$2:AE1001,"")*$G760,"")</f>
        <v/>
      </c>
      <c r="AM760" s="179" t="str">
        <f t="array" ref="AM760">IF($F760&lt;&gt;"",XLOOKUP($F760,Productos!$A:$A,Productos!AF:AF,"Revisar"),"")</f>
        <v/>
      </c>
      <c r="AN760" s="179" t="str">
        <f t="array" ref="AN760">IF($F760&lt;&gt;"", XLOOKUP($F760,Productos!$A$2:$A1001,Productos!AG$2:AG1001,"")*$G760,"")</f>
        <v/>
      </c>
      <c r="AO760" s="179" t="str">
        <f t="array" ref="AO760">IF($F760&lt;&gt;"",XLOOKUP($F760,Productos!$A:$A,Productos!AH:AH,"Revisar"),"")</f>
        <v/>
      </c>
      <c r="AP760" s="179" t="str">
        <f t="array" ref="AP760">IF($F760&lt;&gt;"", XLOOKUP($F760,Productos!$A$2:$A1001,Productos!AI$2:AI1001,"")*$G760,"")</f>
        <v/>
      </c>
      <c r="AQ760" s="179" t="str">
        <f t="array" ref="AQ760">IF($F760&lt;&gt;"",XLOOKUP($F760,Productos!$A:$A,Productos!AJ:AJ,"Revisar"),"")</f>
        <v/>
      </c>
      <c r="AR760" s="179" t="str">
        <f t="array" ref="AR760">IF($F760&lt;&gt;"", XLOOKUP($F760,Productos!$A$2:$A1001,Productos!AK$2:AK1001,"")*$G760,"")</f>
        <v/>
      </c>
      <c r="AS760" s="179" t="str">
        <f t="array" ref="AS760">IF($F760&lt;&gt;"",XLOOKUP($F760,Productos!$A:$A,Productos!AL:AL,"Revisar"),"")</f>
        <v/>
      </c>
      <c r="AT760" s="179" t="str">
        <f t="array" ref="AT760">IF($F760&lt;&gt;"", XLOOKUP($F760,Productos!$A$2:$A1001,Productos!AM$2:AM1001,"")*$G760,"")</f>
        <v/>
      </c>
      <c r="AU760" s="179" t="str">
        <f t="array" ref="AU760">IF($F760&lt;&gt;"",XLOOKUP($F760,Productos!$A:$A,Productos!AN:AN,"Revisar"),"")</f>
        <v/>
      </c>
      <c r="AV760" s="179" t="str">
        <f t="array" ref="AV760">IF($F760&lt;&gt;"", XLOOKUP($F760,Productos!$A$2:$A1001,Productos!AO$2:AO1001,"")*$G760,"")</f>
        <v/>
      </c>
      <c r="AW760" s="179" t="str">
        <f t="array" ref="AW760">IF($F760&lt;&gt;"",XLOOKUP($F760,Productos!$A:$A,Productos!AP:AP,"Revisar"),"")</f>
        <v/>
      </c>
      <c r="AX760" s="179" t="str">
        <f t="array" ref="AX760">IF($F760&lt;&gt;"", XLOOKUP($F760,Productos!$A$2:$A1001,Productos!AQ$2:AQ1001,"")*$G760,"")</f>
        <v/>
      </c>
      <c r="AY760" s="179" t="str">
        <f t="array" ref="AY760">IF($F760&lt;&gt;"",XLOOKUP($F760,Productos!$A:$A,Productos!AR:AR,"Revisar"),"")</f>
        <v/>
      </c>
      <c r="AZ760" s="179" t="str">
        <f t="array" ref="AZ760">IF($F760&lt;&gt;"", XLOOKUP($F760,Productos!$A$2:$A1001,Productos!AS$2:AS1001,"")*$G760,"")</f>
        <v/>
      </c>
      <c r="BA760" s="179" t="str">
        <f t="array" ref="BA760">IF($F760&lt;&gt;"",XLOOKUP($F760,Productos!$A:$A,Productos!AT:AT,"Revisar"),"")</f>
        <v/>
      </c>
      <c r="BB760" s="179" t="str">
        <f t="array" ref="BB760">IF($F760&lt;&gt;"", XLOOKUP($F760,Productos!$A$2:$A1001,Productos!AU$2:AU1001,"")*$G760,"")</f>
        <v/>
      </c>
      <c r="BC760" s="179" t="str">
        <f t="array" ref="BC760">IF($F760&lt;&gt;"",XLOOKUP($F760,Productos!$A:$A,Productos!AV:AV,"Revisar"),"")</f>
        <v/>
      </c>
      <c r="BD760" s="179" t="str">
        <f t="array" ref="BD760">IF($F760&lt;&gt;"", XLOOKUP($F760,Productos!$A$2:$A1001,Productos!AW$2:AW1001,"")*$G760,"")</f>
        <v/>
      </c>
      <c r="BE760" s="179" t="str">
        <f t="array" ref="BE760">IF($F760&lt;&gt;"",XLOOKUP($F760,Productos!$A:$A,Productos!AX:AX,"Revisar"),"")</f>
        <v/>
      </c>
      <c r="BF760" s="179" t="str">
        <f t="array" ref="BF760">IF($F760&lt;&gt;"", XLOOKUP($F760,Productos!$A$2:$A1001,Productos!AY$2:AY1001,"")*$G760,"")</f>
        <v/>
      </c>
      <c r="BG760" s="179" t="str">
        <f t="array" ref="BG760">IF($F760&lt;&gt;"",XLOOKUP($F760,Productos!$A:$A,Productos!AZ:AZ,"Revisar"),"")</f>
        <v/>
      </c>
      <c r="BH760" s="179" t="str">
        <f t="array" ref="BH760">IF($F760&lt;&gt;"", XLOOKUP($F760,Productos!$A$2:$A1001,Productos!BA$2:BA1001,"")*$G760,"")</f>
        <v/>
      </c>
      <c r="BI760" s="179" t="str">
        <f t="array" ref="BI760">IF($F760&lt;&gt;"",XLOOKUP($F760,Productos!$A:$A,Productos!BB:BB,"Revisar"),"")</f>
        <v/>
      </c>
      <c r="BJ760" s="179" t="str">
        <f t="array" ref="BJ760">IF($F760&lt;&gt;"", XLOOKUP($F760,Productos!$A$2:$A1001,Productos!BC$2:BC1001,"")*$G760,"")</f>
        <v/>
      </c>
      <c r="BK760" s="179" t="str">
        <f t="array" ref="BK760">IF($F760&lt;&gt;"",XLOOKUP($F760,Productos!$A:$A,Productos!BD:BD,"Revisar"),"")</f>
        <v/>
      </c>
      <c r="BL760" s="179" t="str">
        <f t="array" ref="BL760">IF($F760&lt;&gt;"", XLOOKUP($F760,Productos!$A$2:$A1001,Productos!BE$2:BE1001,"")*$G760,"")</f>
        <v/>
      </c>
      <c r="BM760" s="179" t="str">
        <f t="array" ref="BM760">IF($F760&lt;&gt;"",XLOOKUP($F760,Productos!$A:$A,Productos!BF:BF,"Revisar"),"")</f>
        <v/>
      </c>
      <c r="BN760" s="179" t="str">
        <f t="array" ref="BN760">IF($F760&lt;&gt;"", XLOOKUP($F760,Productos!$A$2:$A1001,Productos!BG$2:BG1001,"")*$G760,"")</f>
        <v/>
      </c>
      <c r="BO760" s="179" t="str">
        <f t="array" ref="BO760">IF($F760&lt;&gt;"",XLOOKUP($F760,Productos!$A:$A,Productos!BH:BH,"Revisar"),"")</f>
        <v/>
      </c>
      <c r="BP760" s="179" t="str">
        <f t="array" ref="BP760">IF($F760&lt;&gt;"", XLOOKUP($F760,Productos!$A$2:$A1001,Productos!BI$2:BI1001,"")*$G760,"")</f>
        <v/>
      </c>
      <c r="BQ760" s="179" t="str">
        <f t="array" ref="BQ760">IF($F760&lt;&gt;"",XLOOKUP($F760,Productos!$A:$A,Productos!BJ:BJ,"Revisar"),"")</f>
        <v/>
      </c>
      <c r="BR760" s="179" t="str">
        <f t="array" ref="BR760">IF($F760&lt;&gt;"", XLOOKUP($F760,Productos!$A$2:$A1001,Productos!BK$2:BK1001,"")*$G760,"")</f>
        <v/>
      </c>
      <c r="BS760" s="179" t="str">
        <f t="array" ref="BS760">IF($F760&lt;&gt;"",XLOOKUP($F760,Productos!$A:$A,Productos!BL:BL,"Revisar"),"")</f>
        <v/>
      </c>
      <c r="BT760" s="179" t="str">
        <f t="array" ref="BT760">IF($F760&lt;&gt;"", XLOOKUP($F760,Productos!$A$2:$A1001,Productos!BM$2:BM1001,"")*$G760,"")</f>
        <v/>
      </c>
      <c r="BU760" s="179" t="str">
        <f t="array" ref="BU760">IF($F760&lt;&gt;"",XLOOKUP($F760,Productos!$A:$A,Productos!BN:BN,"Revisar"),"")</f>
        <v/>
      </c>
      <c r="BV760" s="179" t="str">
        <f t="array" ref="BV760">IF($F760&lt;&gt;"", XLOOKUP($F760,Productos!$A$2:$A1001,Productos!BO$2:BO1001,"")*$G760,"")</f>
        <v/>
      </c>
      <c r="BW760" s="179" t="str">
        <f t="array" ref="BW760">IF($F760&lt;&gt;"",XLOOKUP($F760,Productos!$A:$A,Productos!BP:BP,"Revisar"),"")</f>
        <v/>
      </c>
      <c r="BX760" s="179" t="str">
        <f t="array" ref="BX760">IF($F760&lt;&gt;"", XLOOKUP($F760,Productos!$A$2:$A1001,Productos!BQ$2:BQ1001,"")*$G760,"")</f>
        <v/>
      </c>
      <c r="BY760" s="179" t="str">
        <f t="array" ref="BY760">IF($F760&lt;&gt;"",XLOOKUP($F760,Productos!$A:$A,Productos!BR:BR,"Revisar"),"")</f>
        <v/>
      </c>
      <c r="BZ760" s="179" t="str">
        <f t="array" ref="BZ760">IF($F760&lt;&gt;"", XLOOKUP($F760,Productos!$A$2:$A1001,Productos!BS$2:BS1001,"")*$G760,"")</f>
        <v/>
      </c>
    </row>
    <row r="761">
      <c r="A761" s="188"/>
      <c r="B761" s="189"/>
      <c r="C761" s="190"/>
      <c r="D761" s="190"/>
      <c r="E761" s="191"/>
      <c r="F761" s="186"/>
      <c r="G761" s="192"/>
      <c r="H761" s="9"/>
      <c r="I761" s="179" t="str">
        <f t="array" ref="I761">IF($F761&lt;&gt;"",XLOOKUP($F761,Productos!$A:$A,Productos!B:B,"Revisar"),"")</f>
        <v/>
      </c>
      <c r="J761" s="179" t="str">
        <f t="array" ref="J761">IF($F761&lt;&gt;"", XLOOKUP($F761,Productos!$A$2:$A1001,Productos!C$2:C1001,"")*$G761,"")</f>
        <v/>
      </c>
      <c r="K761" s="179" t="str">
        <f t="array" ref="K761">IF($F761&lt;&gt;"",XLOOKUP($F761,Productos!$A:$A,Productos!D:D,"Revisar"),"")</f>
        <v/>
      </c>
      <c r="L761" s="179" t="str">
        <f t="array" ref="L761">IF($F761&lt;&gt;"", XLOOKUP($F761,Productos!$A$2:$A1001,Productos!E$2:E1001,"")*$G761,"")</f>
        <v/>
      </c>
      <c r="M761" s="179" t="str">
        <f t="array" ref="M761">IF($F761&lt;&gt;"",XLOOKUP($F761,Productos!$A:$A,Productos!F:F,"Revisar"),"")</f>
        <v/>
      </c>
      <c r="N761" s="179" t="str">
        <f t="array" ref="N761">IF($F761&lt;&gt;"", XLOOKUP($F761,Productos!$A$2:$A1001,Productos!G$2:G1001,"")*$G761,"")</f>
        <v/>
      </c>
      <c r="O761" s="179" t="str">
        <f t="array" ref="O761">IF($F761&lt;&gt;"",XLOOKUP($F761,Productos!$A:$A,Productos!H:H,"Revisar"),"")</f>
        <v/>
      </c>
      <c r="P761" s="179" t="str">
        <f t="array" ref="P761">IF($F761&lt;&gt;"", XLOOKUP($F761,Productos!$A$2:$A1001,Productos!I$2:I1001,"")*$G761,"")</f>
        <v/>
      </c>
      <c r="Q761" s="179" t="str">
        <f t="array" ref="Q761">IF($F761&lt;&gt;"",XLOOKUP($F761,Productos!$A:$A,Productos!J:J,"Revisar"),"")</f>
        <v/>
      </c>
      <c r="R761" s="179" t="str">
        <f t="array" ref="R761">IF($F761&lt;&gt;"", XLOOKUP($F761,Productos!$A$2:$A1001,Productos!K$2:K1001,"")*$G761,"")</f>
        <v/>
      </c>
      <c r="S761" s="179" t="str">
        <f t="array" ref="S761">IF($F761&lt;&gt;"",XLOOKUP($F761,Productos!$A:$A,Productos!L:L,"Revisar"),"")</f>
        <v/>
      </c>
      <c r="T761" s="179" t="str">
        <f t="array" ref="T761">IF($F761&lt;&gt;"", XLOOKUP($F761,Productos!$A$2:$A1001,Productos!M$2:M1001,"")*$G761,"")</f>
        <v/>
      </c>
      <c r="U761" s="179" t="str">
        <f t="array" ref="U761">IF($F761&lt;&gt;"",XLOOKUP($F761,Productos!$A:$A,Productos!N:N,"Revisar"),"")</f>
        <v/>
      </c>
      <c r="V761" s="179" t="str">
        <f t="array" ref="V761">IF($F761&lt;&gt;"", XLOOKUP($F761,Productos!$A$2:$A1001,Productos!O$2:O1001,"")*$G761,"")</f>
        <v/>
      </c>
      <c r="W761" s="179" t="str">
        <f t="array" ref="W761">IF($F761&lt;&gt;"",XLOOKUP($F761,Productos!$A:$A,Productos!P:P,"Revisar"),"")</f>
        <v/>
      </c>
      <c r="X761" s="179" t="str">
        <f t="array" ref="X761">IF($F761&lt;&gt;"", XLOOKUP($F761,Productos!$A$2:$A1001,Productos!Q$2:Q1001,"")*$G761,"")</f>
        <v/>
      </c>
      <c r="Y761" s="179" t="str">
        <f t="array" ref="Y761">IF($F761&lt;&gt;"",XLOOKUP($F761,Productos!$A:$A,Productos!R:R,"Revisar"),"")</f>
        <v/>
      </c>
      <c r="Z761" s="179" t="str">
        <f t="array" ref="Z761">IF($F761&lt;&gt;"", XLOOKUP($F761,Productos!$A$2:$A1001,Productos!S$2:S1001,"")*$G761,"")</f>
        <v/>
      </c>
      <c r="AA761" s="179" t="str">
        <f t="array" ref="AA761">IF($F761&lt;&gt;"",XLOOKUP($F761,Productos!$A:$A,Productos!T:T,"Revisar"),"")</f>
        <v/>
      </c>
      <c r="AB761" s="179" t="str">
        <f t="array" ref="AB761">IF($F761&lt;&gt;"", XLOOKUP($F761,Productos!$A$2:$A1001,Productos!U$2:U1001,"")*$G761,"")</f>
        <v/>
      </c>
      <c r="AC761" s="179" t="str">
        <f t="array" ref="AC761">IF($F761&lt;&gt;"",XLOOKUP($F761,Productos!$A:$A,Productos!V:V,"Revisar"),"")</f>
        <v/>
      </c>
      <c r="AD761" s="179" t="str">
        <f t="array" ref="AD761">IF($F761&lt;&gt;"", XLOOKUP($F761,Productos!$A$2:$A1001,Productos!W$2:W1001,"")*$G761,"")</f>
        <v/>
      </c>
      <c r="AE761" s="179" t="str">
        <f t="array" ref="AE761">IF($F761&lt;&gt;"",XLOOKUP($F761,Productos!$A:$A,Productos!X:X,"Revisar"),"")</f>
        <v/>
      </c>
      <c r="AF761" s="179" t="str">
        <f t="array" ref="AF761">IF($F761&lt;&gt;"", XLOOKUP($F761,Productos!$A$2:$A1001,Productos!Y$2:Y1001,"")*$G761,"")</f>
        <v/>
      </c>
      <c r="AG761" s="179" t="str">
        <f t="array" ref="AG761">IF($F761&lt;&gt;"",XLOOKUP($F761,Productos!$A:$A,Productos!Z:Z,"Revisar"),"")</f>
        <v/>
      </c>
      <c r="AH761" s="179" t="str">
        <f t="array" ref="AH761">IF($F761&lt;&gt;"", XLOOKUP($F761,Productos!$A$2:$A1001,Productos!AA$2:AA1001,"")*$G761,"")</f>
        <v/>
      </c>
      <c r="AI761" s="179" t="str">
        <f t="array" ref="AI761">IF($F761&lt;&gt;"",XLOOKUP($F761,Productos!$A:$A,Productos!AB:AB,"Revisar"),"")</f>
        <v/>
      </c>
      <c r="AJ761" s="179" t="str">
        <f t="array" ref="AJ761">IF($F761&lt;&gt;"", XLOOKUP($F761,Productos!$A$2:$A1001,Productos!AC$2:AC1001,"")*$G761,"")</f>
        <v/>
      </c>
      <c r="AK761" s="179" t="str">
        <f t="array" ref="AK761">IF($F761&lt;&gt;"",XLOOKUP($F761,Productos!$A:$A,Productos!AD:AD,"Revisar"),"")</f>
        <v/>
      </c>
      <c r="AL761" s="179" t="str">
        <f t="array" ref="AL761">IF($F761&lt;&gt;"", XLOOKUP($F761,Productos!$A$2:$A1001,Productos!AE$2:AE1001,"")*$G761,"")</f>
        <v/>
      </c>
      <c r="AM761" s="179" t="str">
        <f t="array" ref="AM761">IF($F761&lt;&gt;"",XLOOKUP($F761,Productos!$A:$A,Productos!AF:AF,"Revisar"),"")</f>
        <v/>
      </c>
      <c r="AN761" s="179" t="str">
        <f t="array" ref="AN761">IF($F761&lt;&gt;"", XLOOKUP($F761,Productos!$A$2:$A1001,Productos!AG$2:AG1001,"")*$G761,"")</f>
        <v/>
      </c>
      <c r="AO761" s="179" t="str">
        <f t="array" ref="AO761">IF($F761&lt;&gt;"",XLOOKUP($F761,Productos!$A:$A,Productos!AH:AH,"Revisar"),"")</f>
        <v/>
      </c>
      <c r="AP761" s="179" t="str">
        <f t="array" ref="AP761">IF($F761&lt;&gt;"", XLOOKUP($F761,Productos!$A$2:$A1001,Productos!AI$2:AI1001,"")*$G761,"")</f>
        <v/>
      </c>
      <c r="AQ761" s="179" t="str">
        <f t="array" ref="AQ761">IF($F761&lt;&gt;"",XLOOKUP($F761,Productos!$A:$A,Productos!AJ:AJ,"Revisar"),"")</f>
        <v/>
      </c>
      <c r="AR761" s="179" t="str">
        <f t="array" ref="AR761">IF($F761&lt;&gt;"", XLOOKUP($F761,Productos!$A$2:$A1001,Productos!AK$2:AK1001,"")*$G761,"")</f>
        <v/>
      </c>
      <c r="AS761" s="179" t="str">
        <f t="array" ref="AS761">IF($F761&lt;&gt;"",XLOOKUP($F761,Productos!$A:$A,Productos!AL:AL,"Revisar"),"")</f>
        <v/>
      </c>
      <c r="AT761" s="179" t="str">
        <f t="array" ref="AT761">IF($F761&lt;&gt;"", XLOOKUP($F761,Productos!$A$2:$A1001,Productos!AM$2:AM1001,"")*$G761,"")</f>
        <v/>
      </c>
      <c r="AU761" s="179" t="str">
        <f t="array" ref="AU761">IF($F761&lt;&gt;"",XLOOKUP($F761,Productos!$A:$A,Productos!AN:AN,"Revisar"),"")</f>
        <v/>
      </c>
      <c r="AV761" s="179" t="str">
        <f t="array" ref="AV761">IF($F761&lt;&gt;"", XLOOKUP($F761,Productos!$A$2:$A1001,Productos!AO$2:AO1001,"")*$G761,"")</f>
        <v/>
      </c>
      <c r="AW761" s="179" t="str">
        <f t="array" ref="AW761">IF($F761&lt;&gt;"",XLOOKUP($F761,Productos!$A:$A,Productos!AP:AP,"Revisar"),"")</f>
        <v/>
      </c>
      <c r="AX761" s="179" t="str">
        <f t="array" ref="AX761">IF($F761&lt;&gt;"", XLOOKUP($F761,Productos!$A$2:$A1001,Productos!AQ$2:AQ1001,"")*$G761,"")</f>
        <v/>
      </c>
      <c r="AY761" s="179" t="str">
        <f t="array" ref="AY761">IF($F761&lt;&gt;"",XLOOKUP($F761,Productos!$A:$A,Productos!AR:AR,"Revisar"),"")</f>
        <v/>
      </c>
      <c r="AZ761" s="179" t="str">
        <f t="array" ref="AZ761">IF($F761&lt;&gt;"", XLOOKUP($F761,Productos!$A$2:$A1001,Productos!AS$2:AS1001,"")*$G761,"")</f>
        <v/>
      </c>
      <c r="BA761" s="179" t="str">
        <f t="array" ref="BA761">IF($F761&lt;&gt;"",XLOOKUP($F761,Productos!$A:$A,Productos!AT:AT,"Revisar"),"")</f>
        <v/>
      </c>
      <c r="BB761" s="179" t="str">
        <f t="array" ref="BB761">IF($F761&lt;&gt;"", XLOOKUP($F761,Productos!$A$2:$A1001,Productos!AU$2:AU1001,"")*$G761,"")</f>
        <v/>
      </c>
      <c r="BC761" s="179" t="str">
        <f t="array" ref="BC761">IF($F761&lt;&gt;"",XLOOKUP($F761,Productos!$A:$A,Productos!AV:AV,"Revisar"),"")</f>
        <v/>
      </c>
      <c r="BD761" s="179" t="str">
        <f t="array" ref="BD761">IF($F761&lt;&gt;"", XLOOKUP($F761,Productos!$A$2:$A1001,Productos!AW$2:AW1001,"")*$G761,"")</f>
        <v/>
      </c>
      <c r="BE761" s="179" t="str">
        <f t="array" ref="BE761">IF($F761&lt;&gt;"",XLOOKUP($F761,Productos!$A:$A,Productos!AX:AX,"Revisar"),"")</f>
        <v/>
      </c>
      <c r="BF761" s="179" t="str">
        <f t="array" ref="BF761">IF($F761&lt;&gt;"", XLOOKUP($F761,Productos!$A$2:$A1001,Productos!AY$2:AY1001,"")*$G761,"")</f>
        <v/>
      </c>
      <c r="BG761" s="179" t="str">
        <f t="array" ref="BG761">IF($F761&lt;&gt;"",XLOOKUP($F761,Productos!$A:$A,Productos!AZ:AZ,"Revisar"),"")</f>
        <v/>
      </c>
      <c r="BH761" s="179" t="str">
        <f t="array" ref="BH761">IF($F761&lt;&gt;"", XLOOKUP($F761,Productos!$A$2:$A1001,Productos!BA$2:BA1001,"")*$G761,"")</f>
        <v/>
      </c>
      <c r="BI761" s="179" t="str">
        <f t="array" ref="BI761">IF($F761&lt;&gt;"",XLOOKUP($F761,Productos!$A:$A,Productos!BB:BB,"Revisar"),"")</f>
        <v/>
      </c>
      <c r="BJ761" s="179" t="str">
        <f t="array" ref="BJ761">IF($F761&lt;&gt;"", XLOOKUP($F761,Productos!$A$2:$A1001,Productos!BC$2:BC1001,"")*$G761,"")</f>
        <v/>
      </c>
      <c r="BK761" s="179" t="str">
        <f t="array" ref="BK761">IF($F761&lt;&gt;"",XLOOKUP($F761,Productos!$A:$A,Productos!BD:BD,"Revisar"),"")</f>
        <v/>
      </c>
      <c r="BL761" s="179" t="str">
        <f t="array" ref="BL761">IF($F761&lt;&gt;"", XLOOKUP($F761,Productos!$A$2:$A1001,Productos!BE$2:BE1001,"")*$G761,"")</f>
        <v/>
      </c>
      <c r="BM761" s="179" t="str">
        <f t="array" ref="BM761">IF($F761&lt;&gt;"",XLOOKUP($F761,Productos!$A:$A,Productos!BF:BF,"Revisar"),"")</f>
        <v/>
      </c>
      <c r="BN761" s="179" t="str">
        <f t="array" ref="BN761">IF($F761&lt;&gt;"", XLOOKUP($F761,Productos!$A$2:$A1001,Productos!BG$2:BG1001,"")*$G761,"")</f>
        <v/>
      </c>
      <c r="BO761" s="179" t="str">
        <f t="array" ref="BO761">IF($F761&lt;&gt;"",XLOOKUP($F761,Productos!$A:$A,Productos!BH:BH,"Revisar"),"")</f>
        <v/>
      </c>
      <c r="BP761" s="179" t="str">
        <f t="array" ref="BP761">IF($F761&lt;&gt;"", XLOOKUP($F761,Productos!$A$2:$A1001,Productos!BI$2:BI1001,"")*$G761,"")</f>
        <v/>
      </c>
      <c r="BQ761" s="179" t="str">
        <f t="array" ref="BQ761">IF($F761&lt;&gt;"",XLOOKUP($F761,Productos!$A:$A,Productos!BJ:BJ,"Revisar"),"")</f>
        <v/>
      </c>
      <c r="BR761" s="179" t="str">
        <f t="array" ref="BR761">IF($F761&lt;&gt;"", XLOOKUP($F761,Productos!$A$2:$A1001,Productos!BK$2:BK1001,"")*$G761,"")</f>
        <v/>
      </c>
      <c r="BS761" s="179" t="str">
        <f t="array" ref="BS761">IF($F761&lt;&gt;"",XLOOKUP($F761,Productos!$A:$A,Productos!BL:BL,"Revisar"),"")</f>
        <v/>
      </c>
      <c r="BT761" s="179" t="str">
        <f t="array" ref="BT761">IF($F761&lt;&gt;"", XLOOKUP($F761,Productos!$A$2:$A1001,Productos!BM$2:BM1001,"")*$G761,"")</f>
        <v/>
      </c>
      <c r="BU761" s="179" t="str">
        <f t="array" ref="BU761">IF($F761&lt;&gt;"",XLOOKUP($F761,Productos!$A:$A,Productos!BN:BN,"Revisar"),"")</f>
        <v/>
      </c>
      <c r="BV761" s="179" t="str">
        <f t="array" ref="BV761">IF($F761&lt;&gt;"", XLOOKUP($F761,Productos!$A$2:$A1001,Productos!BO$2:BO1001,"")*$G761,"")</f>
        <v/>
      </c>
      <c r="BW761" s="179" t="str">
        <f t="array" ref="BW761">IF($F761&lt;&gt;"",XLOOKUP($F761,Productos!$A:$A,Productos!BP:BP,"Revisar"),"")</f>
        <v/>
      </c>
      <c r="BX761" s="179" t="str">
        <f t="array" ref="BX761">IF($F761&lt;&gt;"", XLOOKUP($F761,Productos!$A$2:$A1001,Productos!BQ$2:BQ1001,"")*$G761,"")</f>
        <v/>
      </c>
      <c r="BY761" s="179" t="str">
        <f t="array" ref="BY761">IF($F761&lt;&gt;"",XLOOKUP($F761,Productos!$A:$A,Productos!BR:BR,"Revisar"),"")</f>
        <v/>
      </c>
      <c r="BZ761" s="179" t="str">
        <f t="array" ref="BZ761">IF($F761&lt;&gt;"", XLOOKUP($F761,Productos!$A$2:$A1001,Productos!BS$2:BS1001,"")*$G761,"")</f>
        <v/>
      </c>
    </row>
    <row r="762">
      <c r="A762" s="188"/>
      <c r="B762" s="189"/>
      <c r="C762" s="190"/>
      <c r="D762" s="190"/>
      <c r="E762" s="191"/>
      <c r="F762" s="186"/>
      <c r="G762" s="192"/>
      <c r="H762" s="9"/>
      <c r="I762" s="179" t="str">
        <f t="array" ref="I762">IF($F762&lt;&gt;"",XLOOKUP($F762,Productos!$A:$A,Productos!B:B,"Revisar"),"")</f>
        <v/>
      </c>
      <c r="J762" s="179" t="str">
        <f t="array" ref="J762">IF($F762&lt;&gt;"", XLOOKUP($F762,Productos!$A$2:$A1001,Productos!C$2:C1001,"")*$G762,"")</f>
        <v/>
      </c>
      <c r="K762" s="179" t="str">
        <f t="array" ref="K762">IF($F762&lt;&gt;"",XLOOKUP($F762,Productos!$A:$A,Productos!D:D,"Revisar"),"")</f>
        <v/>
      </c>
      <c r="L762" s="179" t="str">
        <f t="array" ref="L762">IF($F762&lt;&gt;"", XLOOKUP($F762,Productos!$A$2:$A1001,Productos!E$2:E1001,"")*$G762,"")</f>
        <v/>
      </c>
      <c r="M762" s="179" t="str">
        <f t="array" ref="M762">IF($F762&lt;&gt;"",XLOOKUP($F762,Productos!$A:$A,Productos!F:F,"Revisar"),"")</f>
        <v/>
      </c>
      <c r="N762" s="179" t="str">
        <f t="array" ref="N762">IF($F762&lt;&gt;"", XLOOKUP($F762,Productos!$A$2:$A1001,Productos!G$2:G1001,"")*$G762,"")</f>
        <v/>
      </c>
      <c r="O762" s="179" t="str">
        <f t="array" ref="O762">IF($F762&lt;&gt;"",XLOOKUP($F762,Productos!$A:$A,Productos!H:H,"Revisar"),"")</f>
        <v/>
      </c>
      <c r="P762" s="179" t="str">
        <f t="array" ref="P762">IF($F762&lt;&gt;"", XLOOKUP($F762,Productos!$A$2:$A1001,Productos!I$2:I1001,"")*$G762,"")</f>
        <v/>
      </c>
      <c r="Q762" s="179" t="str">
        <f t="array" ref="Q762">IF($F762&lt;&gt;"",XLOOKUP($F762,Productos!$A:$A,Productos!J:J,"Revisar"),"")</f>
        <v/>
      </c>
      <c r="R762" s="179" t="str">
        <f t="array" ref="R762">IF($F762&lt;&gt;"", XLOOKUP($F762,Productos!$A$2:$A1001,Productos!K$2:K1001,"")*$G762,"")</f>
        <v/>
      </c>
      <c r="S762" s="179" t="str">
        <f t="array" ref="S762">IF($F762&lt;&gt;"",XLOOKUP($F762,Productos!$A:$A,Productos!L:L,"Revisar"),"")</f>
        <v/>
      </c>
      <c r="T762" s="179" t="str">
        <f t="array" ref="T762">IF($F762&lt;&gt;"", XLOOKUP($F762,Productos!$A$2:$A1001,Productos!M$2:M1001,"")*$G762,"")</f>
        <v/>
      </c>
      <c r="U762" s="179" t="str">
        <f t="array" ref="U762">IF($F762&lt;&gt;"",XLOOKUP($F762,Productos!$A:$A,Productos!N:N,"Revisar"),"")</f>
        <v/>
      </c>
      <c r="V762" s="179" t="str">
        <f t="array" ref="V762">IF($F762&lt;&gt;"", XLOOKUP($F762,Productos!$A$2:$A1001,Productos!O$2:O1001,"")*$G762,"")</f>
        <v/>
      </c>
      <c r="W762" s="179" t="str">
        <f t="array" ref="W762">IF($F762&lt;&gt;"",XLOOKUP($F762,Productos!$A:$A,Productos!P:P,"Revisar"),"")</f>
        <v/>
      </c>
      <c r="X762" s="179" t="str">
        <f t="array" ref="X762">IF($F762&lt;&gt;"", XLOOKUP($F762,Productos!$A$2:$A1001,Productos!Q$2:Q1001,"")*$G762,"")</f>
        <v/>
      </c>
      <c r="Y762" s="179" t="str">
        <f t="array" ref="Y762">IF($F762&lt;&gt;"",XLOOKUP($F762,Productos!$A:$A,Productos!R:R,"Revisar"),"")</f>
        <v/>
      </c>
      <c r="Z762" s="179" t="str">
        <f t="array" ref="Z762">IF($F762&lt;&gt;"", XLOOKUP($F762,Productos!$A$2:$A1001,Productos!S$2:S1001,"")*$G762,"")</f>
        <v/>
      </c>
      <c r="AA762" s="179" t="str">
        <f t="array" ref="AA762">IF($F762&lt;&gt;"",XLOOKUP($F762,Productos!$A:$A,Productos!T:T,"Revisar"),"")</f>
        <v/>
      </c>
      <c r="AB762" s="179" t="str">
        <f t="array" ref="AB762">IF($F762&lt;&gt;"", XLOOKUP($F762,Productos!$A$2:$A1001,Productos!U$2:U1001,"")*$G762,"")</f>
        <v/>
      </c>
      <c r="AC762" s="179" t="str">
        <f t="array" ref="AC762">IF($F762&lt;&gt;"",XLOOKUP($F762,Productos!$A:$A,Productos!V:V,"Revisar"),"")</f>
        <v/>
      </c>
      <c r="AD762" s="179" t="str">
        <f t="array" ref="AD762">IF($F762&lt;&gt;"", XLOOKUP($F762,Productos!$A$2:$A1001,Productos!W$2:W1001,"")*$G762,"")</f>
        <v/>
      </c>
      <c r="AE762" s="179" t="str">
        <f t="array" ref="AE762">IF($F762&lt;&gt;"",XLOOKUP($F762,Productos!$A:$A,Productos!X:X,"Revisar"),"")</f>
        <v/>
      </c>
      <c r="AF762" s="179" t="str">
        <f t="array" ref="AF762">IF($F762&lt;&gt;"", XLOOKUP($F762,Productos!$A$2:$A1001,Productos!Y$2:Y1001,"")*$G762,"")</f>
        <v/>
      </c>
      <c r="AG762" s="179" t="str">
        <f t="array" ref="AG762">IF($F762&lt;&gt;"",XLOOKUP($F762,Productos!$A:$A,Productos!Z:Z,"Revisar"),"")</f>
        <v/>
      </c>
      <c r="AH762" s="179" t="str">
        <f t="array" ref="AH762">IF($F762&lt;&gt;"", XLOOKUP($F762,Productos!$A$2:$A1001,Productos!AA$2:AA1001,"")*$G762,"")</f>
        <v/>
      </c>
      <c r="AI762" s="179" t="str">
        <f t="array" ref="AI762">IF($F762&lt;&gt;"",XLOOKUP($F762,Productos!$A:$A,Productos!AB:AB,"Revisar"),"")</f>
        <v/>
      </c>
      <c r="AJ762" s="179" t="str">
        <f t="array" ref="AJ762">IF($F762&lt;&gt;"", XLOOKUP($F762,Productos!$A$2:$A1001,Productos!AC$2:AC1001,"")*$G762,"")</f>
        <v/>
      </c>
      <c r="AK762" s="179" t="str">
        <f t="array" ref="AK762">IF($F762&lt;&gt;"",XLOOKUP($F762,Productos!$A:$A,Productos!AD:AD,"Revisar"),"")</f>
        <v/>
      </c>
      <c r="AL762" s="179" t="str">
        <f t="array" ref="AL762">IF($F762&lt;&gt;"", XLOOKUP($F762,Productos!$A$2:$A1001,Productos!AE$2:AE1001,"")*$G762,"")</f>
        <v/>
      </c>
      <c r="AM762" s="179" t="str">
        <f t="array" ref="AM762">IF($F762&lt;&gt;"",XLOOKUP($F762,Productos!$A:$A,Productos!AF:AF,"Revisar"),"")</f>
        <v/>
      </c>
      <c r="AN762" s="179" t="str">
        <f t="array" ref="AN762">IF($F762&lt;&gt;"", XLOOKUP($F762,Productos!$A$2:$A1001,Productos!AG$2:AG1001,"")*$G762,"")</f>
        <v/>
      </c>
      <c r="AO762" s="179" t="str">
        <f t="array" ref="AO762">IF($F762&lt;&gt;"",XLOOKUP($F762,Productos!$A:$A,Productos!AH:AH,"Revisar"),"")</f>
        <v/>
      </c>
      <c r="AP762" s="179" t="str">
        <f t="array" ref="AP762">IF($F762&lt;&gt;"", XLOOKUP($F762,Productos!$A$2:$A1001,Productos!AI$2:AI1001,"")*$G762,"")</f>
        <v/>
      </c>
      <c r="AQ762" s="179" t="str">
        <f t="array" ref="AQ762">IF($F762&lt;&gt;"",XLOOKUP($F762,Productos!$A:$A,Productos!AJ:AJ,"Revisar"),"")</f>
        <v/>
      </c>
      <c r="AR762" s="179" t="str">
        <f t="array" ref="AR762">IF($F762&lt;&gt;"", XLOOKUP($F762,Productos!$A$2:$A1001,Productos!AK$2:AK1001,"")*$G762,"")</f>
        <v/>
      </c>
      <c r="AS762" s="179" t="str">
        <f t="array" ref="AS762">IF($F762&lt;&gt;"",XLOOKUP($F762,Productos!$A:$A,Productos!AL:AL,"Revisar"),"")</f>
        <v/>
      </c>
      <c r="AT762" s="179" t="str">
        <f t="array" ref="AT762">IF($F762&lt;&gt;"", XLOOKUP($F762,Productos!$A$2:$A1001,Productos!AM$2:AM1001,"")*$G762,"")</f>
        <v/>
      </c>
      <c r="AU762" s="179" t="str">
        <f t="array" ref="AU762">IF($F762&lt;&gt;"",XLOOKUP($F762,Productos!$A:$A,Productos!AN:AN,"Revisar"),"")</f>
        <v/>
      </c>
      <c r="AV762" s="179" t="str">
        <f t="array" ref="AV762">IF($F762&lt;&gt;"", XLOOKUP($F762,Productos!$A$2:$A1001,Productos!AO$2:AO1001,"")*$G762,"")</f>
        <v/>
      </c>
      <c r="AW762" s="179" t="str">
        <f t="array" ref="AW762">IF($F762&lt;&gt;"",XLOOKUP($F762,Productos!$A:$A,Productos!AP:AP,"Revisar"),"")</f>
        <v/>
      </c>
      <c r="AX762" s="179" t="str">
        <f t="array" ref="AX762">IF($F762&lt;&gt;"", XLOOKUP($F762,Productos!$A$2:$A1001,Productos!AQ$2:AQ1001,"")*$G762,"")</f>
        <v/>
      </c>
      <c r="AY762" s="179" t="str">
        <f t="array" ref="AY762">IF($F762&lt;&gt;"",XLOOKUP($F762,Productos!$A:$A,Productos!AR:AR,"Revisar"),"")</f>
        <v/>
      </c>
      <c r="AZ762" s="179" t="str">
        <f t="array" ref="AZ762">IF($F762&lt;&gt;"", XLOOKUP($F762,Productos!$A$2:$A1001,Productos!AS$2:AS1001,"")*$G762,"")</f>
        <v/>
      </c>
      <c r="BA762" s="179" t="str">
        <f t="array" ref="BA762">IF($F762&lt;&gt;"",XLOOKUP($F762,Productos!$A:$A,Productos!AT:AT,"Revisar"),"")</f>
        <v/>
      </c>
      <c r="BB762" s="179" t="str">
        <f t="array" ref="BB762">IF($F762&lt;&gt;"", XLOOKUP($F762,Productos!$A$2:$A1001,Productos!AU$2:AU1001,"")*$G762,"")</f>
        <v/>
      </c>
      <c r="BC762" s="179" t="str">
        <f t="array" ref="BC762">IF($F762&lt;&gt;"",XLOOKUP($F762,Productos!$A:$A,Productos!AV:AV,"Revisar"),"")</f>
        <v/>
      </c>
      <c r="BD762" s="179" t="str">
        <f t="array" ref="BD762">IF($F762&lt;&gt;"", XLOOKUP($F762,Productos!$A$2:$A1001,Productos!AW$2:AW1001,"")*$G762,"")</f>
        <v/>
      </c>
      <c r="BE762" s="179" t="str">
        <f t="array" ref="BE762">IF($F762&lt;&gt;"",XLOOKUP($F762,Productos!$A:$A,Productos!AX:AX,"Revisar"),"")</f>
        <v/>
      </c>
      <c r="BF762" s="179" t="str">
        <f t="array" ref="BF762">IF($F762&lt;&gt;"", XLOOKUP($F762,Productos!$A$2:$A1001,Productos!AY$2:AY1001,"")*$G762,"")</f>
        <v/>
      </c>
      <c r="BG762" s="179" t="str">
        <f t="array" ref="BG762">IF($F762&lt;&gt;"",XLOOKUP($F762,Productos!$A:$A,Productos!AZ:AZ,"Revisar"),"")</f>
        <v/>
      </c>
      <c r="BH762" s="179" t="str">
        <f t="array" ref="BH762">IF($F762&lt;&gt;"", XLOOKUP($F762,Productos!$A$2:$A1001,Productos!BA$2:BA1001,"")*$G762,"")</f>
        <v/>
      </c>
      <c r="BI762" s="179" t="str">
        <f t="array" ref="BI762">IF($F762&lt;&gt;"",XLOOKUP($F762,Productos!$A:$A,Productos!BB:BB,"Revisar"),"")</f>
        <v/>
      </c>
      <c r="BJ762" s="179" t="str">
        <f t="array" ref="BJ762">IF($F762&lt;&gt;"", XLOOKUP($F762,Productos!$A$2:$A1001,Productos!BC$2:BC1001,"")*$G762,"")</f>
        <v/>
      </c>
      <c r="BK762" s="179" t="str">
        <f t="array" ref="BK762">IF($F762&lt;&gt;"",XLOOKUP($F762,Productos!$A:$A,Productos!BD:BD,"Revisar"),"")</f>
        <v/>
      </c>
      <c r="BL762" s="179" t="str">
        <f t="array" ref="BL762">IF($F762&lt;&gt;"", XLOOKUP($F762,Productos!$A$2:$A1001,Productos!BE$2:BE1001,"")*$G762,"")</f>
        <v/>
      </c>
      <c r="BM762" s="179" t="str">
        <f t="array" ref="BM762">IF($F762&lt;&gt;"",XLOOKUP($F762,Productos!$A:$A,Productos!BF:BF,"Revisar"),"")</f>
        <v/>
      </c>
      <c r="BN762" s="179" t="str">
        <f t="array" ref="BN762">IF($F762&lt;&gt;"", XLOOKUP($F762,Productos!$A$2:$A1001,Productos!BG$2:BG1001,"")*$G762,"")</f>
        <v/>
      </c>
      <c r="BO762" s="179" t="str">
        <f t="array" ref="BO762">IF($F762&lt;&gt;"",XLOOKUP($F762,Productos!$A:$A,Productos!BH:BH,"Revisar"),"")</f>
        <v/>
      </c>
      <c r="BP762" s="179" t="str">
        <f t="array" ref="BP762">IF($F762&lt;&gt;"", XLOOKUP($F762,Productos!$A$2:$A1001,Productos!BI$2:BI1001,"")*$G762,"")</f>
        <v/>
      </c>
      <c r="BQ762" s="179" t="str">
        <f t="array" ref="BQ762">IF($F762&lt;&gt;"",XLOOKUP($F762,Productos!$A:$A,Productos!BJ:BJ,"Revisar"),"")</f>
        <v/>
      </c>
      <c r="BR762" s="179" t="str">
        <f t="array" ref="BR762">IF($F762&lt;&gt;"", XLOOKUP($F762,Productos!$A$2:$A1001,Productos!BK$2:BK1001,"")*$G762,"")</f>
        <v/>
      </c>
      <c r="BS762" s="179" t="str">
        <f t="array" ref="BS762">IF($F762&lt;&gt;"",XLOOKUP($F762,Productos!$A:$A,Productos!BL:BL,"Revisar"),"")</f>
        <v/>
      </c>
      <c r="BT762" s="179" t="str">
        <f t="array" ref="BT762">IF($F762&lt;&gt;"", XLOOKUP($F762,Productos!$A$2:$A1001,Productos!BM$2:BM1001,"")*$G762,"")</f>
        <v/>
      </c>
      <c r="BU762" s="179" t="str">
        <f t="array" ref="BU762">IF($F762&lt;&gt;"",XLOOKUP($F762,Productos!$A:$A,Productos!BN:BN,"Revisar"),"")</f>
        <v/>
      </c>
      <c r="BV762" s="179" t="str">
        <f t="array" ref="BV762">IF($F762&lt;&gt;"", XLOOKUP($F762,Productos!$A$2:$A1001,Productos!BO$2:BO1001,"")*$G762,"")</f>
        <v/>
      </c>
      <c r="BW762" s="179" t="str">
        <f t="array" ref="BW762">IF($F762&lt;&gt;"",XLOOKUP($F762,Productos!$A:$A,Productos!BP:BP,"Revisar"),"")</f>
        <v/>
      </c>
      <c r="BX762" s="179" t="str">
        <f t="array" ref="BX762">IF($F762&lt;&gt;"", XLOOKUP($F762,Productos!$A$2:$A1001,Productos!BQ$2:BQ1001,"")*$G762,"")</f>
        <v/>
      </c>
      <c r="BY762" s="179" t="str">
        <f t="array" ref="BY762">IF($F762&lt;&gt;"",XLOOKUP($F762,Productos!$A:$A,Productos!BR:BR,"Revisar"),"")</f>
        <v/>
      </c>
      <c r="BZ762" s="179" t="str">
        <f t="array" ref="BZ762">IF($F762&lt;&gt;"", XLOOKUP($F762,Productos!$A$2:$A1001,Productos!BS$2:BS1001,"")*$G762,"")</f>
        <v/>
      </c>
    </row>
    <row r="763">
      <c r="A763" s="188"/>
      <c r="B763" s="189"/>
      <c r="C763" s="190"/>
      <c r="D763" s="190"/>
      <c r="E763" s="191"/>
      <c r="F763" s="186"/>
      <c r="G763" s="192"/>
      <c r="H763" s="9"/>
      <c r="I763" s="179" t="str">
        <f t="array" ref="I763">IF($F763&lt;&gt;"",XLOOKUP($F763,Productos!$A:$A,Productos!B:B,"Revisar"),"")</f>
        <v/>
      </c>
      <c r="J763" s="179" t="str">
        <f t="array" ref="J763">IF($F763&lt;&gt;"", XLOOKUP($F763,Productos!$A$2:$A1001,Productos!C$2:C1001,"")*$G763,"")</f>
        <v/>
      </c>
      <c r="K763" s="179" t="str">
        <f t="array" ref="K763">IF($F763&lt;&gt;"",XLOOKUP($F763,Productos!$A:$A,Productos!D:D,"Revisar"),"")</f>
        <v/>
      </c>
      <c r="L763" s="179" t="str">
        <f t="array" ref="L763">IF($F763&lt;&gt;"", XLOOKUP($F763,Productos!$A$2:$A1001,Productos!E$2:E1001,"")*$G763,"")</f>
        <v/>
      </c>
      <c r="M763" s="179" t="str">
        <f t="array" ref="M763">IF($F763&lt;&gt;"",XLOOKUP($F763,Productos!$A:$A,Productos!F:F,"Revisar"),"")</f>
        <v/>
      </c>
      <c r="N763" s="179" t="str">
        <f t="array" ref="N763">IF($F763&lt;&gt;"", XLOOKUP($F763,Productos!$A$2:$A1001,Productos!G$2:G1001,"")*$G763,"")</f>
        <v/>
      </c>
      <c r="O763" s="179" t="str">
        <f t="array" ref="O763">IF($F763&lt;&gt;"",XLOOKUP($F763,Productos!$A:$A,Productos!H:H,"Revisar"),"")</f>
        <v/>
      </c>
      <c r="P763" s="179" t="str">
        <f t="array" ref="P763">IF($F763&lt;&gt;"", XLOOKUP($F763,Productos!$A$2:$A1001,Productos!I$2:I1001,"")*$G763,"")</f>
        <v/>
      </c>
      <c r="Q763" s="179" t="str">
        <f t="array" ref="Q763">IF($F763&lt;&gt;"",XLOOKUP($F763,Productos!$A:$A,Productos!J:J,"Revisar"),"")</f>
        <v/>
      </c>
      <c r="R763" s="179" t="str">
        <f t="array" ref="R763">IF($F763&lt;&gt;"", XLOOKUP($F763,Productos!$A$2:$A1001,Productos!K$2:K1001,"")*$G763,"")</f>
        <v/>
      </c>
      <c r="S763" s="179" t="str">
        <f t="array" ref="S763">IF($F763&lt;&gt;"",XLOOKUP($F763,Productos!$A:$A,Productos!L:L,"Revisar"),"")</f>
        <v/>
      </c>
      <c r="T763" s="179" t="str">
        <f t="array" ref="T763">IF($F763&lt;&gt;"", XLOOKUP($F763,Productos!$A$2:$A1001,Productos!M$2:M1001,"")*$G763,"")</f>
        <v/>
      </c>
      <c r="U763" s="179" t="str">
        <f t="array" ref="U763">IF($F763&lt;&gt;"",XLOOKUP($F763,Productos!$A:$A,Productos!N:N,"Revisar"),"")</f>
        <v/>
      </c>
      <c r="V763" s="179" t="str">
        <f t="array" ref="V763">IF($F763&lt;&gt;"", XLOOKUP($F763,Productos!$A$2:$A1001,Productos!O$2:O1001,"")*$G763,"")</f>
        <v/>
      </c>
      <c r="W763" s="179" t="str">
        <f t="array" ref="W763">IF($F763&lt;&gt;"",XLOOKUP($F763,Productos!$A:$A,Productos!P:P,"Revisar"),"")</f>
        <v/>
      </c>
      <c r="X763" s="179" t="str">
        <f t="array" ref="X763">IF($F763&lt;&gt;"", XLOOKUP($F763,Productos!$A$2:$A1001,Productos!Q$2:Q1001,"")*$G763,"")</f>
        <v/>
      </c>
      <c r="Y763" s="179" t="str">
        <f t="array" ref="Y763">IF($F763&lt;&gt;"",XLOOKUP($F763,Productos!$A:$A,Productos!R:R,"Revisar"),"")</f>
        <v/>
      </c>
      <c r="Z763" s="179" t="str">
        <f t="array" ref="Z763">IF($F763&lt;&gt;"", XLOOKUP($F763,Productos!$A$2:$A1001,Productos!S$2:S1001,"")*$G763,"")</f>
        <v/>
      </c>
      <c r="AA763" s="179" t="str">
        <f t="array" ref="AA763">IF($F763&lt;&gt;"",XLOOKUP($F763,Productos!$A:$A,Productos!T:T,"Revisar"),"")</f>
        <v/>
      </c>
      <c r="AB763" s="179" t="str">
        <f t="array" ref="AB763">IF($F763&lt;&gt;"", XLOOKUP($F763,Productos!$A$2:$A1001,Productos!U$2:U1001,"")*$G763,"")</f>
        <v/>
      </c>
      <c r="AC763" s="179" t="str">
        <f t="array" ref="AC763">IF($F763&lt;&gt;"",XLOOKUP($F763,Productos!$A:$A,Productos!V:V,"Revisar"),"")</f>
        <v/>
      </c>
      <c r="AD763" s="179" t="str">
        <f t="array" ref="AD763">IF($F763&lt;&gt;"", XLOOKUP($F763,Productos!$A$2:$A1001,Productos!W$2:W1001,"")*$G763,"")</f>
        <v/>
      </c>
      <c r="AE763" s="179" t="str">
        <f t="array" ref="AE763">IF($F763&lt;&gt;"",XLOOKUP($F763,Productos!$A:$A,Productos!X:X,"Revisar"),"")</f>
        <v/>
      </c>
      <c r="AF763" s="179" t="str">
        <f t="array" ref="AF763">IF($F763&lt;&gt;"", XLOOKUP($F763,Productos!$A$2:$A1001,Productos!Y$2:Y1001,"")*$G763,"")</f>
        <v/>
      </c>
      <c r="AG763" s="179" t="str">
        <f t="array" ref="AG763">IF($F763&lt;&gt;"",XLOOKUP($F763,Productos!$A:$A,Productos!Z:Z,"Revisar"),"")</f>
        <v/>
      </c>
      <c r="AH763" s="179" t="str">
        <f t="array" ref="AH763">IF($F763&lt;&gt;"", XLOOKUP($F763,Productos!$A$2:$A1001,Productos!AA$2:AA1001,"")*$G763,"")</f>
        <v/>
      </c>
      <c r="AI763" s="179" t="str">
        <f t="array" ref="AI763">IF($F763&lt;&gt;"",XLOOKUP($F763,Productos!$A:$A,Productos!AB:AB,"Revisar"),"")</f>
        <v/>
      </c>
      <c r="AJ763" s="179" t="str">
        <f t="array" ref="AJ763">IF($F763&lt;&gt;"", XLOOKUP($F763,Productos!$A$2:$A1001,Productos!AC$2:AC1001,"")*$G763,"")</f>
        <v/>
      </c>
      <c r="AK763" s="179" t="str">
        <f t="array" ref="AK763">IF($F763&lt;&gt;"",XLOOKUP($F763,Productos!$A:$A,Productos!AD:AD,"Revisar"),"")</f>
        <v/>
      </c>
      <c r="AL763" s="179" t="str">
        <f t="array" ref="AL763">IF($F763&lt;&gt;"", XLOOKUP($F763,Productos!$A$2:$A1001,Productos!AE$2:AE1001,"")*$G763,"")</f>
        <v/>
      </c>
      <c r="AM763" s="179" t="str">
        <f t="array" ref="AM763">IF($F763&lt;&gt;"",XLOOKUP($F763,Productos!$A:$A,Productos!AF:AF,"Revisar"),"")</f>
        <v/>
      </c>
      <c r="AN763" s="179" t="str">
        <f t="array" ref="AN763">IF($F763&lt;&gt;"", XLOOKUP($F763,Productos!$A$2:$A1001,Productos!AG$2:AG1001,"")*$G763,"")</f>
        <v/>
      </c>
      <c r="AO763" s="179" t="str">
        <f t="array" ref="AO763">IF($F763&lt;&gt;"",XLOOKUP($F763,Productos!$A:$A,Productos!AH:AH,"Revisar"),"")</f>
        <v/>
      </c>
      <c r="AP763" s="179" t="str">
        <f t="array" ref="AP763">IF($F763&lt;&gt;"", XLOOKUP($F763,Productos!$A$2:$A1001,Productos!AI$2:AI1001,"")*$G763,"")</f>
        <v/>
      </c>
      <c r="AQ763" s="179" t="str">
        <f t="array" ref="AQ763">IF($F763&lt;&gt;"",XLOOKUP($F763,Productos!$A:$A,Productos!AJ:AJ,"Revisar"),"")</f>
        <v/>
      </c>
      <c r="AR763" s="179" t="str">
        <f t="array" ref="AR763">IF($F763&lt;&gt;"", XLOOKUP($F763,Productos!$A$2:$A1001,Productos!AK$2:AK1001,"")*$G763,"")</f>
        <v/>
      </c>
      <c r="AS763" s="179" t="str">
        <f t="array" ref="AS763">IF($F763&lt;&gt;"",XLOOKUP($F763,Productos!$A:$A,Productos!AL:AL,"Revisar"),"")</f>
        <v/>
      </c>
      <c r="AT763" s="179" t="str">
        <f t="array" ref="AT763">IF($F763&lt;&gt;"", XLOOKUP($F763,Productos!$A$2:$A1001,Productos!AM$2:AM1001,"")*$G763,"")</f>
        <v/>
      </c>
      <c r="AU763" s="179" t="str">
        <f t="array" ref="AU763">IF($F763&lt;&gt;"",XLOOKUP($F763,Productos!$A:$A,Productos!AN:AN,"Revisar"),"")</f>
        <v/>
      </c>
      <c r="AV763" s="179" t="str">
        <f t="array" ref="AV763">IF($F763&lt;&gt;"", XLOOKUP($F763,Productos!$A$2:$A1001,Productos!AO$2:AO1001,"")*$G763,"")</f>
        <v/>
      </c>
      <c r="AW763" s="179" t="str">
        <f t="array" ref="AW763">IF($F763&lt;&gt;"",XLOOKUP($F763,Productos!$A:$A,Productos!AP:AP,"Revisar"),"")</f>
        <v/>
      </c>
      <c r="AX763" s="179" t="str">
        <f t="array" ref="AX763">IF($F763&lt;&gt;"", XLOOKUP($F763,Productos!$A$2:$A1001,Productos!AQ$2:AQ1001,"")*$G763,"")</f>
        <v/>
      </c>
      <c r="AY763" s="179" t="str">
        <f t="array" ref="AY763">IF($F763&lt;&gt;"",XLOOKUP($F763,Productos!$A:$A,Productos!AR:AR,"Revisar"),"")</f>
        <v/>
      </c>
      <c r="AZ763" s="179" t="str">
        <f t="array" ref="AZ763">IF($F763&lt;&gt;"", XLOOKUP($F763,Productos!$A$2:$A1001,Productos!AS$2:AS1001,"")*$G763,"")</f>
        <v/>
      </c>
      <c r="BA763" s="179" t="str">
        <f t="array" ref="BA763">IF($F763&lt;&gt;"",XLOOKUP($F763,Productos!$A:$A,Productos!AT:AT,"Revisar"),"")</f>
        <v/>
      </c>
      <c r="BB763" s="179" t="str">
        <f t="array" ref="BB763">IF($F763&lt;&gt;"", XLOOKUP($F763,Productos!$A$2:$A1001,Productos!AU$2:AU1001,"")*$G763,"")</f>
        <v/>
      </c>
      <c r="BC763" s="179" t="str">
        <f t="array" ref="BC763">IF($F763&lt;&gt;"",XLOOKUP($F763,Productos!$A:$A,Productos!AV:AV,"Revisar"),"")</f>
        <v/>
      </c>
      <c r="BD763" s="179" t="str">
        <f t="array" ref="BD763">IF($F763&lt;&gt;"", XLOOKUP($F763,Productos!$A$2:$A1001,Productos!AW$2:AW1001,"")*$G763,"")</f>
        <v/>
      </c>
      <c r="BE763" s="179" t="str">
        <f t="array" ref="BE763">IF($F763&lt;&gt;"",XLOOKUP($F763,Productos!$A:$A,Productos!AX:AX,"Revisar"),"")</f>
        <v/>
      </c>
      <c r="BF763" s="179" t="str">
        <f t="array" ref="BF763">IF($F763&lt;&gt;"", XLOOKUP($F763,Productos!$A$2:$A1001,Productos!AY$2:AY1001,"")*$G763,"")</f>
        <v/>
      </c>
      <c r="BG763" s="179" t="str">
        <f t="array" ref="BG763">IF($F763&lt;&gt;"",XLOOKUP($F763,Productos!$A:$A,Productos!AZ:AZ,"Revisar"),"")</f>
        <v/>
      </c>
      <c r="BH763" s="179" t="str">
        <f t="array" ref="BH763">IF($F763&lt;&gt;"", XLOOKUP($F763,Productos!$A$2:$A1001,Productos!BA$2:BA1001,"")*$G763,"")</f>
        <v/>
      </c>
      <c r="BI763" s="179" t="str">
        <f t="array" ref="BI763">IF($F763&lt;&gt;"",XLOOKUP($F763,Productos!$A:$A,Productos!BB:BB,"Revisar"),"")</f>
        <v/>
      </c>
      <c r="BJ763" s="179" t="str">
        <f t="array" ref="BJ763">IF($F763&lt;&gt;"", XLOOKUP($F763,Productos!$A$2:$A1001,Productos!BC$2:BC1001,"")*$G763,"")</f>
        <v/>
      </c>
      <c r="BK763" s="179" t="str">
        <f t="array" ref="BK763">IF($F763&lt;&gt;"",XLOOKUP($F763,Productos!$A:$A,Productos!BD:BD,"Revisar"),"")</f>
        <v/>
      </c>
      <c r="BL763" s="179" t="str">
        <f t="array" ref="BL763">IF($F763&lt;&gt;"", XLOOKUP($F763,Productos!$A$2:$A1001,Productos!BE$2:BE1001,"")*$G763,"")</f>
        <v/>
      </c>
      <c r="BM763" s="179" t="str">
        <f t="array" ref="BM763">IF($F763&lt;&gt;"",XLOOKUP($F763,Productos!$A:$A,Productos!BF:BF,"Revisar"),"")</f>
        <v/>
      </c>
      <c r="BN763" s="179" t="str">
        <f t="array" ref="BN763">IF($F763&lt;&gt;"", XLOOKUP($F763,Productos!$A$2:$A1001,Productos!BG$2:BG1001,"")*$G763,"")</f>
        <v/>
      </c>
      <c r="BO763" s="179" t="str">
        <f t="array" ref="BO763">IF($F763&lt;&gt;"",XLOOKUP($F763,Productos!$A:$A,Productos!BH:BH,"Revisar"),"")</f>
        <v/>
      </c>
      <c r="BP763" s="179" t="str">
        <f t="array" ref="BP763">IF($F763&lt;&gt;"", XLOOKUP($F763,Productos!$A$2:$A1001,Productos!BI$2:BI1001,"")*$G763,"")</f>
        <v/>
      </c>
      <c r="BQ763" s="179" t="str">
        <f t="array" ref="BQ763">IF($F763&lt;&gt;"",XLOOKUP($F763,Productos!$A:$A,Productos!BJ:BJ,"Revisar"),"")</f>
        <v/>
      </c>
      <c r="BR763" s="179" t="str">
        <f t="array" ref="BR763">IF($F763&lt;&gt;"", XLOOKUP($F763,Productos!$A$2:$A1001,Productos!BK$2:BK1001,"")*$G763,"")</f>
        <v/>
      </c>
      <c r="BS763" s="179" t="str">
        <f t="array" ref="BS763">IF($F763&lt;&gt;"",XLOOKUP($F763,Productos!$A:$A,Productos!BL:BL,"Revisar"),"")</f>
        <v/>
      </c>
      <c r="BT763" s="179" t="str">
        <f t="array" ref="BT763">IF($F763&lt;&gt;"", XLOOKUP($F763,Productos!$A$2:$A1001,Productos!BM$2:BM1001,"")*$G763,"")</f>
        <v/>
      </c>
      <c r="BU763" s="179" t="str">
        <f t="array" ref="BU763">IF($F763&lt;&gt;"",XLOOKUP($F763,Productos!$A:$A,Productos!BN:BN,"Revisar"),"")</f>
        <v/>
      </c>
      <c r="BV763" s="179" t="str">
        <f t="array" ref="BV763">IF($F763&lt;&gt;"", XLOOKUP($F763,Productos!$A$2:$A1001,Productos!BO$2:BO1001,"")*$G763,"")</f>
        <v/>
      </c>
      <c r="BW763" s="179" t="str">
        <f t="array" ref="BW763">IF($F763&lt;&gt;"",XLOOKUP($F763,Productos!$A:$A,Productos!BP:BP,"Revisar"),"")</f>
        <v/>
      </c>
      <c r="BX763" s="179" t="str">
        <f t="array" ref="BX763">IF($F763&lt;&gt;"", XLOOKUP($F763,Productos!$A$2:$A1001,Productos!BQ$2:BQ1001,"")*$G763,"")</f>
        <v/>
      </c>
      <c r="BY763" s="179" t="str">
        <f t="array" ref="BY763">IF($F763&lt;&gt;"",XLOOKUP($F763,Productos!$A:$A,Productos!BR:BR,"Revisar"),"")</f>
        <v/>
      </c>
      <c r="BZ763" s="179" t="str">
        <f t="array" ref="BZ763">IF($F763&lt;&gt;"", XLOOKUP($F763,Productos!$A$2:$A1001,Productos!BS$2:BS1001,"")*$G763,"")</f>
        <v/>
      </c>
    </row>
    <row r="764">
      <c r="A764" s="188"/>
      <c r="B764" s="189"/>
      <c r="C764" s="190"/>
      <c r="D764" s="190"/>
      <c r="E764" s="191"/>
      <c r="F764" s="186"/>
      <c r="G764" s="192"/>
      <c r="H764" s="9"/>
      <c r="I764" s="179" t="str">
        <f t="array" ref="I764">IF($F764&lt;&gt;"",XLOOKUP($F764,Productos!$A:$A,Productos!B:B,"Revisar"),"")</f>
        <v/>
      </c>
      <c r="J764" s="179" t="str">
        <f t="array" ref="J764">IF($F764&lt;&gt;"", XLOOKUP($F764,Productos!$A$2:$A1001,Productos!C$2:C1001,"")*$G764,"")</f>
        <v/>
      </c>
      <c r="K764" s="179" t="str">
        <f t="array" ref="K764">IF($F764&lt;&gt;"",XLOOKUP($F764,Productos!$A:$A,Productos!D:D,"Revisar"),"")</f>
        <v/>
      </c>
      <c r="L764" s="179" t="str">
        <f t="array" ref="L764">IF($F764&lt;&gt;"", XLOOKUP($F764,Productos!$A$2:$A1001,Productos!E$2:E1001,"")*$G764,"")</f>
        <v/>
      </c>
      <c r="M764" s="179" t="str">
        <f t="array" ref="M764">IF($F764&lt;&gt;"",XLOOKUP($F764,Productos!$A:$A,Productos!F:F,"Revisar"),"")</f>
        <v/>
      </c>
      <c r="N764" s="179" t="str">
        <f t="array" ref="N764">IF($F764&lt;&gt;"", XLOOKUP($F764,Productos!$A$2:$A1001,Productos!G$2:G1001,"")*$G764,"")</f>
        <v/>
      </c>
      <c r="O764" s="179" t="str">
        <f t="array" ref="O764">IF($F764&lt;&gt;"",XLOOKUP($F764,Productos!$A:$A,Productos!H:H,"Revisar"),"")</f>
        <v/>
      </c>
      <c r="P764" s="179" t="str">
        <f t="array" ref="P764">IF($F764&lt;&gt;"", XLOOKUP($F764,Productos!$A$2:$A1001,Productos!I$2:I1001,"")*$G764,"")</f>
        <v/>
      </c>
      <c r="Q764" s="179" t="str">
        <f t="array" ref="Q764">IF($F764&lt;&gt;"",XLOOKUP($F764,Productos!$A:$A,Productos!J:J,"Revisar"),"")</f>
        <v/>
      </c>
      <c r="R764" s="179" t="str">
        <f t="array" ref="R764">IF($F764&lt;&gt;"", XLOOKUP($F764,Productos!$A$2:$A1001,Productos!K$2:K1001,"")*$G764,"")</f>
        <v/>
      </c>
      <c r="S764" s="179" t="str">
        <f t="array" ref="S764">IF($F764&lt;&gt;"",XLOOKUP($F764,Productos!$A:$A,Productos!L:L,"Revisar"),"")</f>
        <v/>
      </c>
      <c r="T764" s="179" t="str">
        <f t="array" ref="T764">IF($F764&lt;&gt;"", XLOOKUP($F764,Productos!$A$2:$A1001,Productos!M$2:M1001,"")*$G764,"")</f>
        <v/>
      </c>
      <c r="U764" s="179" t="str">
        <f t="array" ref="U764">IF($F764&lt;&gt;"",XLOOKUP($F764,Productos!$A:$A,Productos!N:N,"Revisar"),"")</f>
        <v/>
      </c>
      <c r="V764" s="179" t="str">
        <f t="array" ref="V764">IF($F764&lt;&gt;"", XLOOKUP($F764,Productos!$A$2:$A1001,Productos!O$2:O1001,"")*$G764,"")</f>
        <v/>
      </c>
      <c r="W764" s="179" t="str">
        <f t="array" ref="W764">IF($F764&lt;&gt;"",XLOOKUP($F764,Productos!$A:$A,Productos!P:P,"Revisar"),"")</f>
        <v/>
      </c>
      <c r="X764" s="179" t="str">
        <f t="array" ref="X764">IF($F764&lt;&gt;"", XLOOKUP($F764,Productos!$A$2:$A1001,Productos!Q$2:Q1001,"")*$G764,"")</f>
        <v/>
      </c>
      <c r="Y764" s="179" t="str">
        <f t="array" ref="Y764">IF($F764&lt;&gt;"",XLOOKUP($F764,Productos!$A:$A,Productos!R:R,"Revisar"),"")</f>
        <v/>
      </c>
      <c r="Z764" s="179" t="str">
        <f t="array" ref="Z764">IF($F764&lt;&gt;"", XLOOKUP($F764,Productos!$A$2:$A1001,Productos!S$2:S1001,"")*$G764,"")</f>
        <v/>
      </c>
      <c r="AA764" s="179" t="str">
        <f t="array" ref="AA764">IF($F764&lt;&gt;"",XLOOKUP($F764,Productos!$A:$A,Productos!T:T,"Revisar"),"")</f>
        <v/>
      </c>
      <c r="AB764" s="179" t="str">
        <f t="array" ref="AB764">IF($F764&lt;&gt;"", XLOOKUP($F764,Productos!$A$2:$A1001,Productos!U$2:U1001,"")*$G764,"")</f>
        <v/>
      </c>
      <c r="AC764" s="179" t="str">
        <f t="array" ref="AC764">IF($F764&lt;&gt;"",XLOOKUP($F764,Productos!$A:$A,Productos!V:V,"Revisar"),"")</f>
        <v/>
      </c>
      <c r="AD764" s="179" t="str">
        <f t="array" ref="AD764">IF($F764&lt;&gt;"", XLOOKUP($F764,Productos!$A$2:$A1001,Productos!W$2:W1001,"")*$G764,"")</f>
        <v/>
      </c>
      <c r="AE764" s="179" t="str">
        <f t="array" ref="AE764">IF($F764&lt;&gt;"",XLOOKUP($F764,Productos!$A:$A,Productos!X:X,"Revisar"),"")</f>
        <v/>
      </c>
      <c r="AF764" s="179" t="str">
        <f t="array" ref="AF764">IF($F764&lt;&gt;"", XLOOKUP($F764,Productos!$A$2:$A1001,Productos!Y$2:Y1001,"")*$G764,"")</f>
        <v/>
      </c>
      <c r="AG764" s="179" t="str">
        <f t="array" ref="AG764">IF($F764&lt;&gt;"",XLOOKUP($F764,Productos!$A:$A,Productos!Z:Z,"Revisar"),"")</f>
        <v/>
      </c>
      <c r="AH764" s="179" t="str">
        <f t="array" ref="AH764">IF($F764&lt;&gt;"", XLOOKUP($F764,Productos!$A$2:$A1001,Productos!AA$2:AA1001,"")*$G764,"")</f>
        <v/>
      </c>
      <c r="AI764" s="179" t="str">
        <f t="array" ref="AI764">IF($F764&lt;&gt;"",XLOOKUP($F764,Productos!$A:$A,Productos!AB:AB,"Revisar"),"")</f>
        <v/>
      </c>
      <c r="AJ764" s="179" t="str">
        <f t="array" ref="AJ764">IF($F764&lt;&gt;"", XLOOKUP($F764,Productos!$A$2:$A1001,Productos!AC$2:AC1001,"")*$G764,"")</f>
        <v/>
      </c>
      <c r="AK764" s="179" t="str">
        <f t="array" ref="AK764">IF($F764&lt;&gt;"",XLOOKUP($F764,Productos!$A:$A,Productos!AD:AD,"Revisar"),"")</f>
        <v/>
      </c>
      <c r="AL764" s="179" t="str">
        <f t="array" ref="AL764">IF($F764&lt;&gt;"", XLOOKUP($F764,Productos!$A$2:$A1001,Productos!AE$2:AE1001,"")*$G764,"")</f>
        <v/>
      </c>
      <c r="AM764" s="179" t="str">
        <f t="array" ref="AM764">IF($F764&lt;&gt;"",XLOOKUP($F764,Productos!$A:$A,Productos!AF:AF,"Revisar"),"")</f>
        <v/>
      </c>
      <c r="AN764" s="179" t="str">
        <f t="array" ref="AN764">IF($F764&lt;&gt;"", XLOOKUP($F764,Productos!$A$2:$A1001,Productos!AG$2:AG1001,"")*$G764,"")</f>
        <v/>
      </c>
      <c r="AO764" s="179" t="str">
        <f t="array" ref="AO764">IF($F764&lt;&gt;"",XLOOKUP($F764,Productos!$A:$A,Productos!AH:AH,"Revisar"),"")</f>
        <v/>
      </c>
      <c r="AP764" s="179" t="str">
        <f t="array" ref="AP764">IF($F764&lt;&gt;"", XLOOKUP($F764,Productos!$A$2:$A1001,Productos!AI$2:AI1001,"")*$G764,"")</f>
        <v/>
      </c>
      <c r="AQ764" s="179" t="str">
        <f t="array" ref="AQ764">IF($F764&lt;&gt;"",XLOOKUP($F764,Productos!$A:$A,Productos!AJ:AJ,"Revisar"),"")</f>
        <v/>
      </c>
      <c r="AR764" s="179" t="str">
        <f t="array" ref="AR764">IF($F764&lt;&gt;"", XLOOKUP($F764,Productos!$A$2:$A1001,Productos!AK$2:AK1001,"")*$G764,"")</f>
        <v/>
      </c>
      <c r="AS764" s="179" t="str">
        <f t="array" ref="AS764">IF($F764&lt;&gt;"",XLOOKUP($F764,Productos!$A:$A,Productos!AL:AL,"Revisar"),"")</f>
        <v/>
      </c>
      <c r="AT764" s="179" t="str">
        <f t="array" ref="AT764">IF($F764&lt;&gt;"", XLOOKUP($F764,Productos!$A$2:$A1001,Productos!AM$2:AM1001,"")*$G764,"")</f>
        <v/>
      </c>
      <c r="AU764" s="179" t="str">
        <f t="array" ref="AU764">IF($F764&lt;&gt;"",XLOOKUP($F764,Productos!$A:$A,Productos!AN:AN,"Revisar"),"")</f>
        <v/>
      </c>
      <c r="AV764" s="179" t="str">
        <f t="array" ref="AV764">IF($F764&lt;&gt;"", XLOOKUP($F764,Productos!$A$2:$A1001,Productos!AO$2:AO1001,"")*$G764,"")</f>
        <v/>
      </c>
      <c r="AW764" s="179" t="str">
        <f t="array" ref="AW764">IF($F764&lt;&gt;"",XLOOKUP($F764,Productos!$A:$A,Productos!AP:AP,"Revisar"),"")</f>
        <v/>
      </c>
      <c r="AX764" s="179" t="str">
        <f t="array" ref="AX764">IF($F764&lt;&gt;"", XLOOKUP($F764,Productos!$A$2:$A1001,Productos!AQ$2:AQ1001,"")*$G764,"")</f>
        <v/>
      </c>
      <c r="AY764" s="179" t="str">
        <f t="array" ref="AY764">IF($F764&lt;&gt;"",XLOOKUP($F764,Productos!$A:$A,Productos!AR:AR,"Revisar"),"")</f>
        <v/>
      </c>
      <c r="AZ764" s="179" t="str">
        <f t="array" ref="AZ764">IF($F764&lt;&gt;"", XLOOKUP($F764,Productos!$A$2:$A1001,Productos!AS$2:AS1001,"")*$G764,"")</f>
        <v/>
      </c>
      <c r="BA764" s="179" t="str">
        <f t="array" ref="BA764">IF($F764&lt;&gt;"",XLOOKUP($F764,Productos!$A:$A,Productos!AT:AT,"Revisar"),"")</f>
        <v/>
      </c>
      <c r="BB764" s="179" t="str">
        <f t="array" ref="BB764">IF($F764&lt;&gt;"", XLOOKUP($F764,Productos!$A$2:$A1001,Productos!AU$2:AU1001,"")*$G764,"")</f>
        <v/>
      </c>
      <c r="BC764" s="179" t="str">
        <f t="array" ref="BC764">IF($F764&lt;&gt;"",XLOOKUP($F764,Productos!$A:$A,Productos!AV:AV,"Revisar"),"")</f>
        <v/>
      </c>
      <c r="BD764" s="179" t="str">
        <f t="array" ref="BD764">IF($F764&lt;&gt;"", XLOOKUP($F764,Productos!$A$2:$A1001,Productos!AW$2:AW1001,"")*$G764,"")</f>
        <v/>
      </c>
      <c r="BE764" s="179" t="str">
        <f t="array" ref="BE764">IF($F764&lt;&gt;"",XLOOKUP($F764,Productos!$A:$A,Productos!AX:AX,"Revisar"),"")</f>
        <v/>
      </c>
      <c r="BF764" s="179" t="str">
        <f t="array" ref="BF764">IF($F764&lt;&gt;"", XLOOKUP($F764,Productos!$A$2:$A1001,Productos!AY$2:AY1001,"")*$G764,"")</f>
        <v/>
      </c>
      <c r="BG764" s="179" t="str">
        <f t="array" ref="BG764">IF($F764&lt;&gt;"",XLOOKUP($F764,Productos!$A:$A,Productos!AZ:AZ,"Revisar"),"")</f>
        <v/>
      </c>
      <c r="BH764" s="179" t="str">
        <f t="array" ref="BH764">IF($F764&lt;&gt;"", XLOOKUP($F764,Productos!$A$2:$A1001,Productos!BA$2:BA1001,"")*$G764,"")</f>
        <v/>
      </c>
      <c r="BI764" s="179" t="str">
        <f t="array" ref="BI764">IF($F764&lt;&gt;"",XLOOKUP($F764,Productos!$A:$A,Productos!BB:BB,"Revisar"),"")</f>
        <v/>
      </c>
      <c r="BJ764" s="179" t="str">
        <f t="array" ref="BJ764">IF($F764&lt;&gt;"", XLOOKUP($F764,Productos!$A$2:$A1001,Productos!BC$2:BC1001,"")*$G764,"")</f>
        <v/>
      </c>
      <c r="BK764" s="179" t="str">
        <f t="array" ref="BK764">IF($F764&lt;&gt;"",XLOOKUP($F764,Productos!$A:$A,Productos!BD:BD,"Revisar"),"")</f>
        <v/>
      </c>
      <c r="BL764" s="179" t="str">
        <f t="array" ref="BL764">IF($F764&lt;&gt;"", XLOOKUP($F764,Productos!$A$2:$A1001,Productos!BE$2:BE1001,"")*$G764,"")</f>
        <v/>
      </c>
      <c r="BM764" s="179" t="str">
        <f t="array" ref="BM764">IF($F764&lt;&gt;"",XLOOKUP($F764,Productos!$A:$A,Productos!BF:BF,"Revisar"),"")</f>
        <v/>
      </c>
      <c r="BN764" s="179" t="str">
        <f t="array" ref="BN764">IF($F764&lt;&gt;"", XLOOKUP($F764,Productos!$A$2:$A1001,Productos!BG$2:BG1001,"")*$G764,"")</f>
        <v/>
      </c>
      <c r="BO764" s="179" t="str">
        <f t="array" ref="BO764">IF($F764&lt;&gt;"",XLOOKUP($F764,Productos!$A:$A,Productos!BH:BH,"Revisar"),"")</f>
        <v/>
      </c>
      <c r="BP764" s="179" t="str">
        <f t="array" ref="BP764">IF($F764&lt;&gt;"", XLOOKUP($F764,Productos!$A$2:$A1001,Productos!BI$2:BI1001,"")*$G764,"")</f>
        <v/>
      </c>
      <c r="BQ764" s="179" t="str">
        <f t="array" ref="BQ764">IF($F764&lt;&gt;"",XLOOKUP($F764,Productos!$A:$A,Productos!BJ:BJ,"Revisar"),"")</f>
        <v/>
      </c>
      <c r="BR764" s="179" t="str">
        <f t="array" ref="BR764">IF($F764&lt;&gt;"", XLOOKUP($F764,Productos!$A$2:$A1001,Productos!BK$2:BK1001,"")*$G764,"")</f>
        <v/>
      </c>
      <c r="BS764" s="179" t="str">
        <f t="array" ref="BS764">IF($F764&lt;&gt;"",XLOOKUP($F764,Productos!$A:$A,Productos!BL:BL,"Revisar"),"")</f>
        <v/>
      </c>
      <c r="BT764" s="179" t="str">
        <f t="array" ref="BT764">IF($F764&lt;&gt;"", XLOOKUP($F764,Productos!$A$2:$A1001,Productos!BM$2:BM1001,"")*$G764,"")</f>
        <v/>
      </c>
      <c r="BU764" s="179" t="str">
        <f t="array" ref="BU764">IF($F764&lt;&gt;"",XLOOKUP($F764,Productos!$A:$A,Productos!BN:BN,"Revisar"),"")</f>
        <v/>
      </c>
      <c r="BV764" s="179" t="str">
        <f t="array" ref="BV764">IF($F764&lt;&gt;"", XLOOKUP($F764,Productos!$A$2:$A1001,Productos!BO$2:BO1001,"")*$G764,"")</f>
        <v/>
      </c>
      <c r="BW764" s="179" t="str">
        <f t="array" ref="BW764">IF($F764&lt;&gt;"",XLOOKUP($F764,Productos!$A:$A,Productos!BP:BP,"Revisar"),"")</f>
        <v/>
      </c>
      <c r="BX764" s="179" t="str">
        <f t="array" ref="BX764">IF($F764&lt;&gt;"", XLOOKUP($F764,Productos!$A$2:$A1001,Productos!BQ$2:BQ1001,"")*$G764,"")</f>
        <v/>
      </c>
      <c r="BY764" s="179" t="str">
        <f t="array" ref="BY764">IF($F764&lt;&gt;"",XLOOKUP($F764,Productos!$A:$A,Productos!BR:BR,"Revisar"),"")</f>
        <v/>
      </c>
      <c r="BZ764" s="179" t="str">
        <f t="array" ref="BZ764">IF($F764&lt;&gt;"", XLOOKUP($F764,Productos!$A$2:$A1001,Productos!BS$2:BS1001,"")*$G764,"")</f>
        <v/>
      </c>
    </row>
    <row r="765">
      <c r="A765" s="188"/>
      <c r="B765" s="189"/>
      <c r="C765" s="190"/>
      <c r="D765" s="190"/>
      <c r="E765" s="191"/>
      <c r="F765" s="186"/>
      <c r="G765" s="192"/>
      <c r="H765" s="9"/>
      <c r="I765" s="179" t="str">
        <f t="array" ref="I765">IF($F765&lt;&gt;"",XLOOKUP($F765,Productos!$A:$A,Productos!B:B,"Revisar"),"")</f>
        <v/>
      </c>
      <c r="J765" s="179" t="str">
        <f t="array" ref="J765">IF($F765&lt;&gt;"", XLOOKUP($F765,Productos!$A$2:$A1001,Productos!C$2:C1001,"")*$G765,"")</f>
        <v/>
      </c>
      <c r="K765" s="179" t="str">
        <f t="array" ref="K765">IF($F765&lt;&gt;"",XLOOKUP($F765,Productos!$A:$A,Productos!D:D,"Revisar"),"")</f>
        <v/>
      </c>
      <c r="L765" s="179" t="str">
        <f t="array" ref="L765">IF($F765&lt;&gt;"", XLOOKUP($F765,Productos!$A$2:$A1001,Productos!E$2:E1001,"")*$G765,"")</f>
        <v/>
      </c>
      <c r="M765" s="179" t="str">
        <f t="array" ref="M765">IF($F765&lt;&gt;"",XLOOKUP($F765,Productos!$A:$A,Productos!F:F,"Revisar"),"")</f>
        <v/>
      </c>
      <c r="N765" s="179" t="str">
        <f t="array" ref="N765">IF($F765&lt;&gt;"", XLOOKUP($F765,Productos!$A$2:$A1001,Productos!G$2:G1001,"")*$G765,"")</f>
        <v/>
      </c>
      <c r="O765" s="179" t="str">
        <f t="array" ref="O765">IF($F765&lt;&gt;"",XLOOKUP($F765,Productos!$A:$A,Productos!H:H,"Revisar"),"")</f>
        <v/>
      </c>
      <c r="P765" s="179" t="str">
        <f t="array" ref="P765">IF($F765&lt;&gt;"", XLOOKUP($F765,Productos!$A$2:$A1001,Productos!I$2:I1001,"")*$G765,"")</f>
        <v/>
      </c>
      <c r="Q765" s="179" t="str">
        <f t="array" ref="Q765">IF($F765&lt;&gt;"",XLOOKUP($F765,Productos!$A:$A,Productos!J:J,"Revisar"),"")</f>
        <v/>
      </c>
      <c r="R765" s="179" t="str">
        <f t="array" ref="R765">IF($F765&lt;&gt;"", XLOOKUP($F765,Productos!$A$2:$A1001,Productos!K$2:K1001,"")*$G765,"")</f>
        <v/>
      </c>
      <c r="S765" s="179" t="str">
        <f t="array" ref="S765">IF($F765&lt;&gt;"",XLOOKUP($F765,Productos!$A:$A,Productos!L:L,"Revisar"),"")</f>
        <v/>
      </c>
      <c r="T765" s="179" t="str">
        <f t="array" ref="T765">IF($F765&lt;&gt;"", XLOOKUP($F765,Productos!$A$2:$A1001,Productos!M$2:M1001,"")*$G765,"")</f>
        <v/>
      </c>
      <c r="U765" s="179" t="str">
        <f t="array" ref="U765">IF($F765&lt;&gt;"",XLOOKUP($F765,Productos!$A:$A,Productos!N:N,"Revisar"),"")</f>
        <v/>
      </c>
      <c r="V765" s="179" t="str">
        <f t="array" ref="V765">IF($F765&lt;&gt;"", XLOOKUP($F765,Productos!$A$2:$A1001,Productos!O$2:O1001,"")*$G765,"")</f>
        <v/>
      </c>
      <c r="W765" s="179" t="str">
        <f t="array" ref="W765">IF($F765&lt;&gt;"",XLOOKUP($F765,Productos!$A:$A,Productos!P:P,"Revisar"),"")</f>
        <v/>
      </c>
      <c r="X765" s="179" t="str">
        <f t="array" ref="X765">IF($F765&lt;&gt;"", XLOOKUP($F765,Productos!$A$2:$A1001,Productos!Q$2:Q1001,"")*$G765,"")</f>
        <v/>
      </c>
      <c r="Y765" s="179" t="str">
        <f t="array" ref="Y765">IF($F765&lt;&gt;"",XLOOKUP($F765,Productos!$A:$A,Productos!R:R,"Revisar"),"")</f>
        <v/>
      </c>
      <c r="Z765" s="179" t="str">
        <f t="array" ref="Z765">IF($F765&lt;&gt;"", XLOOKUP($F765,Productos!$A$2:$A1001,Productos!S$2:S1001,"")*$G765,"")</f>
        <v/>
      </c>
      <c r="AA765" s="179" t="str">
        <f t="array" ref="AA765">IF($F765&lt;&gt;"",XLOOKUP($F765,Productos!$A:$A,Productos!T:T,"Revisar"),"")</f>
        <v/>
      </c>
      <c r="AB765" s="179" t="str">
        <f t="array" ref="AB765">IF($F765&lt;&gt;"", XLOOKUP($F765,Productos!$A$2:$A1001,Productos!U$2:U1001,"")*$G765,"")</f>
        <v/>
      </c>
      <c r="AC765" s="179" t="str">
        <f t="array" ref="AC765">IF($F765&lt;&gt;"",XLOOKUP($F765,Productos!$A:$A,Productos!V:V,"Revisar"),"")</f>
        <v/>
      </c>
      <c r="AD765" s="179" t="str">
        <f t="array" ref="AD765">IF($F765&lt;&gt;"", XLOOKUP($F765,Productos!$A$2:$A1001,Productos!W$2:W1001,"")*$G765,"")</f>
        <v/>
      </c>
      <c r="AE765" s="179" t="str">
        <f t="array" ref="AE765">IF($F765&lt;&gt;"",XLOOKUP($F765,Productos!$A:$A,Productos!X:X,"Revisar"),"")</f>
        <v/>
      </c>
      <c r="AF765" s="179" t="str">
        <f t="array" ref="AF765">IF($F765&lt;&gt;"", XLOOKUP($F765,Productos!$A$2:$A1001,Productos!Y$2:Y1001,"")*$G765,"")</f>
        <v/>
      </c>
      <c r="AG765" s="179" t="str">
        <f t="array" ref="AG765">IF($F765&lt;&gt;"",XLOOKUP($F765,Productos!$A:$A,Productos!Z:Z,"Revisar"),"")</f>
        <v/>
      </c>
      <c r="AH765" s="179" t="str">
        <f t="array" ref="AH765">IF($F765&lt;&gt;"", XLOOKUP($F765,Productos!$A$2:$A1001,Productos!AA$2:AA1001,"")*$G765,"")</f>
        <v/>
      </c>
      <c r="AI765" s="179" t="str">
        <f t="array" ref="AI765">IF($F765&lt;&gt;"",XLOOKUP($F765,Productos!$A:$A,Productos!AB:AB,"Revisar"),"")</f>
        <v/>
      </c>
      <c r="AJ765" s="179" t="str">
        <f t="array" ref="AJ765">IF($F765&lt;&gt;"", XLOOKUP($F765,Productos!$A$2:$A1001,Productos!AC$2:AC1001,"")*$G765,"")</f>
        <v/>
      </c>
      <c r="AK765" s="179" t="str">
        <f t="array" ref="AK765">IF($F765&lt;&gt;"",XLOOKUP($F765,Productos!$A:$A,Productos!AD:AD,"Revisar"),"")</f>
        <v/>
      </c>
      <c r="AL765" s="179" t="str">
        <f t="array" ref="AL765">IF($F765&lt;&gt;"", XLOOKUP($F765,Productos!$A$2:$A1001,Productos!AE$2:AE1001,"")*$G765,"")</f>
        <v/>
      </c>
      <c r="AM765" s="179" t="str">
        <f t="array" ref="AM765">IF($F765&lt;&gt;"",XLOOKUP($F765,Productos!$A:$A,Productos!AF:AF,"Revisar"),"")</f>
        <v/>
      </c>
      <c r="AN765" s="179" t="str">
        <f t="array" ref="AN765">IF($F765&lt;&gt;"", XLOOKUP($F765,Productos!$A$2:$A1001,Productos!AG$2:AG1001,"")*$G765,"")</f>
        <v/>
      </c>
      <c r="AO765" s="179" t="str">
        <f t="array" ref="AO765">IF($F765&lt;&gt;"",XLOOKUP($F765,Productos!$A:$A,Productos!AH:AH,"Revisar"),"")</f>
        <v/>
      </c>
      <c r="AP765" s="179" t="str">
        <f t="array" ref="AP765">IF($F765&lt;&gt;"", XLOOKUP($F765,Productos!$A$2:$A1001,Productos!AI$2:AI1001,"")*$G765,"")</f>
        <v/>
      </c>
      <c r="AQ765" s="179" t="str">
        <f t="array" ref="AQ765">IF($F765&lt;&gt;"",XLOOKUP($F765,Productos!$A:$A,Productos!AJ:AJ,"Revisar"),"")</f>
        <v/>
      </c>
      <c r="AR765" s="179" t="str">
        <f t="array" ref="AR765">IF($F765&lt;&gt;"", XLOOKUP($F765,Productos!$A$2:$A1001,Productos!AK$2:AK1001,"")*$G765,"")</f>
        <v/>
      </c>
      <c r="AS765" s="179" t="str">
        <f t="array" ref="AS765">IF($F765&lt;&gt;"",XLOOKUP($F765,Productos!$A:$A,Productos!AL:AL,"Revisar"),"")</f>
        <v/>
      </c>
      <c r="AT765" s="179" t="str">
        <f t="array" ref="AT765">IF($F765&lt;&gt;"", XLOOKUP($F765,Productos!$A$2:$A1001,Productos!AM$2:AM1001,"")*$G765,"")</f>
        <v/>
      </c>
      <c r="AU765" s="179" t="str">
        <f t="array" ref="AU765">IF($F765&lt;&gt;"",XLOOKUP($F765,Productos!$A:$A,Productos!AN:AN,"Revisar"),"")</f>
        <v/>
      </c>
      <c r="AV765" s="179" t="str">
        <f t="array" ref="AV765">IF($F765&lt;&gt;"", XLOOKUP($F765,Productos!$A$2:$A1001,Productos!AO$2:AO1001,"")*$G765,"")</f>
        <v/>
      </c>
      <c r="AW765" s="179" t="str">
        <f t="array" ref="AW765">IF($F765&lt;&gt;"",XLOOKUP($F765,Productos!$A:$A,Productos!AP:AP,"Revisar"),"")</f>
        <v/>
      </c>
      <c r="AX765" s="179" t="str">
        <f t="array" ref="AX765">IF($F765&lt;&gt;"", XLOOKUP($F765,Productos!$A$2:$A1001,Productos!AQ$2:AQ1001,"")*$G765,"")</f>
        <v/>
      </c>
      <c r="AY765" s="179" t="str">
        <f t="array" ref="AY765">IF($F765&lt;&gt;"",XLOOKUP($F765,Productos!$A:$A,Productos!AR:AR,"Revisar"),"")</f>
        <v/>
      </c>
      <c r="AZ765" s="179" t="str">
        <f t="array" ref="AZ765">IF($F765&lt;&gt;"", XLOOKUP($F765,Productos!$A$2:$A1001,Productos!AS$2:AS1001,"")*$G765,"")</f>
        <v/>
      </c>
      <c r="BA765" s="179" t="str">
        <f t="array" ref="BA765">IF($F765&lt;&gt;"",XLOOKUP($F765,Productos!$A:$A,Productos!AT:AT,"Revisar"),"")</f>
        <v/>
      </c>
      <c r="BB765" s="179" t="str">
        <f t="array" ref="BB765">IF($F765&lt;&gt;"", XLOOKUP($F765,Productos!$A$2:$A1001,Productos!AU$2:AU1001,"")*$G765,"")</f>
        <v/>
      </c>
      <c r="BC765" s="179" t="str">
        <f t="array" ref="BC765">IF($F765&lt;&gt;"",XLOOKUP($F765,Productos!$A:$A,Productos!AV:AV,"Revisar"),"")</f>
        <v/>
      </c>
      <c r="BD765" s="179" t="str">
        <f t="array" ref="BD765">IF($F765&lt;&gt;"", XLOOKUP($F765,Productos!$A$2:$A1001,Productos!AW$2:AW1001,"")*$G765,"")</f>
        <v/>
      </c>
      <c r="BE765" s="179" t="str">
        <f t="array" ref="BE765">IF($F765&lt;&gt;"",XLOOKUP($F765,Productos!$A:$A,Productos!AX:AX,"Revisar"),"")</f>
        <v/>
      </c>
      <c r="BF765" s="179" t="str">
        <f t="array" ref="BF765">IF($F765&lt;&gt;"", XLOOKUP($F765,Productos!$A$2:$A1001,Productos!AY$2:AY1001,"")*$G765,"")</f>
        <v/>
      </c>
      <c r="BG765" s="179" t="str">
        <f t="array" ref="BG765">IF($F765&lt;&gt;"",XLOOKUP($F765,Productos!$A:$A,Productos!AZ:AZ,"Revisar"),"")</f>
        <v/>
      </c>
      <c r="BH765" s="179" t="str">
        <f t="array" ref="BH765">IF($F765&lt;&gt;"", XLOOKUP($F765,Productos!$A$2:$A1001,Productos!BA$2:BA1001,"")*$G765,"")</f>
        <v/>
      </c>
      <c r="BI765" s="179" t="str">
        <f t="array" ref="BI765">IF($F765&lt;&gt;"",XLOOKUP($F765,Productos!$A:$A,Productos!BB:BB,"Revisar"),"")</f>
        <v/>
      </c>
      <c r="BJ765" s="179" t="str">
        <f t="array" ref="BJ765">IF($F765&lt;&gt;"", XLOOKUP($F765,Productos!$A$2:$A1001,Productos!BC$2:BC1001,"")*$G765,"")</f>
        <v/>
      </c>
      <c r="BK765" s="179" t="str">
        <f t="array" ref="BK765">IF($F765&lt;&gt;"",XLOOKUP($F765,Productos!$A:$A,Productos!BD:BD,"Revisar"),"")</f>
        <v/>
      </c>
      <c r="BL765" s="179" t="str">
        <f t="array" ref="BL765">IF($F765&lt;&gt;"", XLOOKUP($F765,Productos!$A$2:$A1001,Productos!BE$2:BE1001,"")*$G765,"")</f>
        <v/>
      </c>
      <c r="BM765" s="179" t="str">
        <f t="array" ref="BM765">IF($F765&lt;&gt;"",XLOOKUP($F765,Productos!$A:$A,Productos!BF:BF,"Revisar"),"")</f>
        <v/>
      </c>
      <c r="BN765" s="179" t="str">
        <f t="array" ref="BN765">IF($F765&lt;&gt;"", XLOOKUP($F765,Productos!$A$2:$A1001,Productos!BG$2:BG1001,"")*$G765,"")</f>
        <v/>
      </c>
      <c r="BO765" s="179" t="str">
        <f t="array" ref="BO765">IF($F765&lt;&gt;"",XLOOKUP($F765,Productos!$A:$A,Productos!BH:BH,"Revisar"),"")</f>
        <v/>
      </c>
      <c r="BP765" s="179" t="str">
        <f t="array" ref="BP765">IF($F765&lt;&gt;"", XLOOKUP($F765,Productos!$A$2:$A1001,Productos!BI$2:BI1001,"")*$G765,"")</f>
        <v/>
      </c>
      <c r="BQ765" s="179" t="str">
        <f t="array" ref="BQ765">IF($F765&lt;&gt;"",XLOOKUP($F765,Productos!$A:$A,Productos!BJ:BJ,"Revisar"),"")</f>
        <v/>
      </c>
      <c r="BR765" s="179" t="str">
        <f t="array" ref="BR765">IF($F765&lt;&gt;"", XLOOKUP($F765,Productos!$A$2:$A1001,Productos!BK$2:BK1001,"")*$G765,"")</f>
        <v/>
      </c>
      <c r="BS765" s="179" t="str">
        <f t="array" ref="BS765">IF($F765&lt;&gt;"",XLOOKUP($F765,Productos!$A:$A,Productos!BL:BL,"Revisar"),"")</f>
        <v/>
      </c>
      <c r="BT765" s="179" t="str">
        <f t="array" ref="BT765">IF($F765&lt;&gt;"", XLOOKUP($F765,Productos!$A$2:$A1001,Productos!BM$2:BM1001,"")*$G765,"")</f>
        <v/>
      </c>
      <c r="BU765" s="179" t="str">
        <f t="array" ref="BU765">IF($F765&lt;&gt;"",XLOOKUP($F765,Productos!$A:$A,Productos!BN:BN,"Revisar"),"")</f>
        <v/>
      </c>
      <c r="BV765" s="179" t="str">
        <f t="array" ref="BV765">IF($F765&lt;&gt;"", XLOOKUP($F765,Productos!$A$2:$A1001,Productos!BO$2:BO1001,"")*$G765,"")</f>
        <v/>
      </c>
      <c r="BW765" s="179" t="str">
        <f t="array" ref="BW765">IF($F765&lt;&gt;"",XLOOKUP($F765,Productos!$A:$A,Productos!BP:BP,"Revisar"),"")</f>
        <v/>
      </c>
      <c r="BX765" s="179" t="str">
        <f t="array" ref="BX765">IF($F765&lt;&gt;"", XLOOKUP($F765,Productos!$A$2:$A1001,Productos!BQ$2:BQ1001,"")*$G765,"")</f>
        <v/>
      </c>
      <c r="BY765" s="179" t="str">
        <f t="array" ref="BY765">IF($F765&lt;&gt;"",XLOOKUP($F765,Productos!$A:$A,Productos!BR:BR,"Revisar"),"")</f>
        <v/>
      </c>
      <c r="BZ765" s="179" t="str">
        <f t="array" ref="BZ765">IF($F765&lt;&gt;"", XLOOKUP($F765,Productos!$A$2:$A1001,Productos!BS$2:BS1001,"")*$G765,"")</f>
        <v/>
      </c>
    </row>
    <row r="766">
      <c r="A766" s="188"/>
      <c r="B766" s="189"/>
      <c r="C766" s="190"/>
      <c r="D766" s="190"/>
      <c r="E766" s="191"/>
      <c r="F766" s="186"/>
      <c r="G766" s="192"/>
      <c r="H766" s="9"/>
      <c r="I766" s="179" t="str">
        <f t="array" ref="I766">IF($F766&lt;&gt;"",XLOOKUP($F766,Productos!$A:$A,Productos!B:B,"Revisar"),"")</f>
        <v/>
      </c>
      <c r="J766" s="179" t="str">
        <f t="array" ref="J766">IF($F766&lt;&gt;"", XLOOKUP($F766,Productos!$A$2:$A1001,Productos!C$2:C1001,"")*$G766,"")</f>
        <v/>
      </c>
      <c r="K766" s="179" t="str">
        <f t="array" ref="K766">IF($F766&lt;&gt;"",XLOOKUP($F766,Productos!$A:$A,Productos!D:D,"Revisar"),"")</f>
        <v/>
      </c>
      <c r="L766" s="179" t="str">
        <f t="array" ref="L766">IF($F766&lt;&gt;"", XLOOKUP($F766,Productos!$A$2:$A1001,Productos!E$2:E1001,"")*$G766,"")</f>
        <v/>
      </c>
      <c r="M766" s="179" t="str">
        <f t="array" ref="M766">IF($F766&lt;&gt;"",XLOOKUP($F766,Productos!$A:$A,Productos!F:F,"Revisar"),"")</f>
        <v/>
      </c>
      <c r="N766" s="179" t="str">
        <f t="array" ref="N766">IF($F766&lt;&gt;"", XLOOKUP($F766,Productos!$A$2:$A1001,Productos!G$2:G1001,"")*$G766,"")</f>
        <v/>
      </c>
      <c r="O766" s="179" t="str">
        <f t="array" ref="O766">IF($F766&lt;&gt;"",XLOOKUP($F766,Productos!$A:$A,Productos!H:H,"Revisar"),"")</f>
        <v/>
      </c>
      <c r="P766" s="179" t="str">
        <f t="array" ref="P766">IF($F766&lt;&gt;"", XLOOKUP($F766,Productos!$A$2:$A1001,Productos!I$2:I1001,"")*$G766,"")</f>
        <v/>
      </c>
      <c r="Q766" s="179" t="str">
        <f t="array" ref="Q766">IF($F766&lt;&gt;"",XLOOKUP($F766,Productos!$A:$A,Productos!J:J,"Revisar"),"")</f>
        <v/>
      </c>
      <c r="R766" s="179" t="str">
        <f t="array" ref="R766">IF($F766&lt;&gt;"", XLOOKUP($F766,Productos!$A$2:$A1001,Productos!K$2:K1001,"")*$G766,"")</f>
        <v/>
      </c>
      <c r="S766" s="179" t="str">
        <f t="array" ref="S766">IF($F766&lt;&gt;"",XLOOKUP($F766,Productos!$A:$A,Productos!L:L,"Revisar"),"")</f>
        <v/>
      </c>
      <c r="T766" s="179" t="str">
        <f t="array" ref="T766">IF($F766&lt;&gt;"", XLOOKUP($F766,Productos!$A$2:$A1001,Productos!M$2:M1001,"")*$G766,"")</f>
        <v/>
      </c>
      <c r="U766" s="179" t="str">
        <f t="array" ref="U766">IF($F766&lt;&gt;"",XLOOKUP($F766,Productos!$A:$A,Productos!N:N,"Revisar"),"")</f>
        <v/>
      </c>
      <c r="V766" s="179" t="str">
        <f t="array" ref="V766">IF($F766&lt;&gt;"", XLOOKUP($F766,Productos!$A$2:$A1001,Productos!O$2:O1001,"")*$G766,"")</f>
        <v/>
      </c>
      <c r="W766" s="179" t="str">
        <f t="array" ref="W766">IF($F766&lt;&gt;"",XLOOKUP($F766,Productos!$A:$A,Productos!P:P,"Revisar"),"")</f>
        <v/>
      </c>
      <c r="X766" s="179" t="str">
        <f t="array" ref="X766">IF($F766&lt;&gt;"", XLOOKUP($F766,Productos!$A$2:$A1001,Productos!Q$2:Q1001,"")*$G766,"")</f>
        <v/>
      </c>
      <c r="Y766" s="179" t="str">
        <f t="array" ref="Y766">IF($F766&lt;&gt;"",XLOOKUP($F766,Productos!$A:$A,Productos!R:R,"Revisar"),"")</f>
        <v/>
      </c>
      <c r="Z766" s="179" t="str">
        <f t="array" ref="Z766">IF($F766&lt;&gt;"", XLOOKUP($F766,Productos!$A$2:$A1001,Productos!S$2:S1001,"")*$G766,"")</f>
        <v/>
      </c>
      <c r="AA766" s="179" t="str">
        <f t="array" ref="AA766">IF($F766&lt;&gt;"",XLOOKUP($F766,Productos!$A:$A,Productos!T:T,"Revisar"),"")</f>
        <v/>
      </c>
      <c r="AB766" s="179" t="str">
        <f t="array" ref="AB766">IF($F766&lt;&gt;"", XLOOKUP($F766,Productos!$A$2:$A1001,Productos!U$2:U1001,"")*$G766,"")</f>
        <v/>
      </c>
      <c r="AC766" s="179" t="str">
        <f t="array" ref="AC766">IF($F766&lt;&gt;"",XLOOKUP($F766,Productos!$A:$A,Productos!V:V,"Revisar"),"")</f>
        <v/>
      </c>
      <c r="AD766" s="179" t="str">
        <f t="array" ref="AD766">IF($F766&lt;&gt;"", XLOOKUP($F766,Productos!$A$2:$A1001,Productos!W$2:W1001,"")*$G766,"")</f>
        <v/>
      </c>
      <c r="AE766" s="179" t="str">
        <f t="array" ref="AE766">IF($F766&lt;&gt;"",XLOOKUP($F766,Productos!$A:$A,Productos!X:X,"Revisar"),"")</f>
        <v/>
      </c>
      <c r="AF766" s="179" t="str">
        <f t="array" ref="AF766">IF($F766&lt;&gt;"", XLOOKUP($F766,Productos!$A$2:$A1001,Productos!Y$2:Y1001,"")*$G766,"")</f>
        <v/>
      </c>
      <c r="AG766" s="179" t="str">
        <f t="array" ref="AG766">IF($F766&lt;&gt;"",XLOOKUP($F766,Productos!$A:$A,Productos!Z:Z,"Revisar"),"")</f>
        <v/>
      </c>
      <c r="AH766" s="179" t="str">
        <f t="array" ref="AH766">IF($F766&lt;&gt;"", XLOOKUP($F766,Productos!$A$2:$A1001,Productos!AA$2:AA1001,"")*$G766,"")</f>
        <v/>
      </c>
      <c r="AI766" s="179" t="str">
        <f t="array" ref="AI766">IF($F766&lt;&gt;"",XLOOKUP($F766,Productos!$A:$A,Productos!AB:AB,"Revisar"),"")</f>
        <v/>
      </c>
      <c r="AJ766" s="179" t="str">
        <f t="array" ref="AJ766">IF($F766&lt;&gt;"", XLOOKUP($F766,Productos!$A$2:$A1001,Productos!AC$2:AC1001,"")*$G766,"")</f>
        <v/>
      </c>
      <c r="AK766" s="179" t="str">
        <f t="array" ref="AK766">IF($F766&lt;&gt;"",XLOOKUP($F766,Productos!$A:$A,Productos!AD:AD,"Revisar"),"")</f>
        <v/>
      </c>
      <c r="AL766" s="179" t="str">
        <f t="array" ref="AL766">IF($F766&lt;&gt;"", XLOOKUP($F766,Productos!$A$2:$A1001,Productos!AE$2:AE1001,"")*$G766,"")</f>
        <v/>
      </c>
      <c r="AM766" s="179" t="str">
        <f t="array" ref="AM766">IF($F766&lt;&gt;"",XLOOKUP($F766,Productos!$A:$A,Productos!AF:AF,"Revisar"),"")</f>
        <v/>
      </c>
      <c r="AN766" s="179" t="str">
        <f t="array" ref="AN766">IF($F766&lt;&gt;"", XLOOKUP($F766,Productos!$A$2:$A1001,Productos!AG$2:AG1001,"")*$G766,"")</f>
        <v/>
      </c>
      <c r="AO766" s="179" t="str">
        <f t="array" ref="AO766">IF($F766&lt;&gt;"",XLOOKUP($F766,Productos!$A:$A,Productos!AH:AH,"Revisar"),"")</f>
        <v/>
      </c>
      <c r="AP766" s="179" t="str">
        <f t="array" ref="AP766">IF($F766&lt;&gt;"", XLOOKUP($F766,Productos!$A$2:$A1001,Productos!AI$2:AI1001,"")*$G766,"")</f>
        <v/>
      </c>
      <c r="AQ766" s="179" t="str">
        <f t="array" ref="AQ766">IF($F766&lt;&gt;"",XLOOKUP($F766,Productos!$A:$A,Productos!AJ:AJ,"Revisar"),"")</f>
        <v/>
      </c>
      <c r="AR766" s="179" t="str">
        <f t="array" ref="AR766">IF($F766&lt;&gt;"", XLOOKUP($F766,Productos!$A$2:$A1001,Productos!AK$2:AK1001,"")*$G766,"")</f>
        <v/>
      </c>
      <c r="AS766" s="179" t="str">
        <f t="array" ref="AS766">IF($F766&lt;&gt;"",XLOOKUP($F766,Productos!$A:$A,Productos!AL:AL,"Revisar"),"")</f>
        <v/>
      </c>
      <c r="AT766" s="179" t="str">
        <f t="array" ref="AT766">IF($F766&lt;&gt;"", XLOOKUP($F766,Productos!$A$2:$A1001,Productos!AM$2:AM1001,"")*$G766,"")</f>
        <v/>
      </c>
      <c r="AU766" s="179" t="str">
        <f t="array" ref="AU766">IF($F766&lt;&gt;"",XLOOKUP($F766,Productos!$A:$A,Productos!AN:AN,"Revisar"),"")</f>
        <v/>
      </c>
      <c r="AV766" s="179" t="str">
        <f t="array" ref="AV766">IF($F766&lt;&gt;"", XLOOKUP($F766,Productos!$A$2:$A1001,Productos!AO$2:AO1001,"")*$G766,"")</f>
        <v/>
      </c>
      <c r="AW766" s="179" t="str">
        <f t="array" ref="AW766">IF($F766&lt;&gt;"",XLOOKUP($F766,Productos!$A:$A,Productos!AP:AP,"Revisar"),"")</f>
        <v/>
      </c>
      <c r="AX766" s="179" t="str">
        <f t="array" ref="AX766">IF($F766&lt;&gt;"", XLOOKUP($F766,Productos!$A$2:$A1001,Productos!AQ$2:AQ1001,"")*$G766,"")</f>
        <v/>
      </c>
      <c r="AY766" s="179" t="str">
        <f t="array" ref="AY766">IF($F766&lt;&gt;"",XLOOKUP($F766,Productos!$A:$A,Productos!AR:AR,"Revisar"),"")</f>
        <v/>
      </c>
      <c r="AZ766" s="179" t="str">
        <f t="array" ref="AZ766">IF($F766&lt;&gt;"", XLOOKUP($F766,Productos!$A$2:$A1001,Productos!AS$2:AS1001,"")*$G766,"")</f>
        <v/>
      </c>
      <c r="BA766" s="179" t="str">
        <f t="array" ref="BA766">IF($F766&lt;&gt;"",XLOOKUP($F766,Productos!$A:$A,Productos!AT:AT,"Revisar"),"")</f>
        <v/>
      </c>
      <c r="BB766" s="179" t="str">
        <f t="array" ref="BB766">IF($F766&lt;&gt;"", XLOOKUP($F766,Productos!$A$2:$A1001,Productos!AU$2:AU1001,"")*$G766,"")</f>
        <v/>
      </c>
      <c r="BC766" s="179" t="str">
        <f t="array" ref="BC766">IF($F766&lt;&gt;"",XLOOKUP($F766,Productos!$A:$A,Productos!AV:AV,"Revisar"),"")</f>
        <v/>
      </c>
      <c r="BD766" s="179" t="str">
        <f t="array" ref="BD766">IF($F766&lt;&gt;"", XLOOKUP($F766,Productos!$A$2:$A1001,Productos!AW$2:AW1001,"")*$G766,"")</f>
        <v/>
      </c>
      <c r="BE766" s="179" t="str">
        <f t="array" ref="BE766">IF($F766&lt;&gt;"",XLOOKUP($F766,Productos!$A:$A,Productos!AX:AX,"Revisar"),"")</f>
        <v/>
      </c>
      <c r="BF766" s="179" t="str">
        <f t="array" ref="BF766">IF($F766&lt;&gt;"", XLOOKUP($F766,Productos!$A$2:$A1001,Productos!AY$2:AY1001,"")*$G766,"")</f>
        <v/>
      </c>
      <c r="BG766" s="179" t="str">
        <f t="array" ref="BG766">IF($F766&lt;&gt;"",XLOOKUP($F766,Productos!$A:$A,Productos!AZ:AZ,"Revisar"),"")</f>
        <v/>
      </c>
      <c r="BH766" s="179" t="str">
        <f t="array" ref="BH766">IF($F766&lt;&gt;"", XLOOKUP($F766,Productos!$A$2:$A1001,Productos!BA$2:BA1001,"")*$G766,"")</f>
        <v/>
      </c>
      <c r="BI766" s="179" t="str">
        <f t="array" ref="BI766">IF($F766&lt;&gt;"",XLOOKUP($F766,Productos!$A:$A,Productos!BB:BB,"Revisar"),"")</f>
        <v/>
      </c>
      <c r="BJ766" s="179" t="str">
        <f t="array" ref="BJ766">IF($F766&lt;&gt;"", XLOOKUP($F766,Productos!$A$2:$A1001,Productos!BC$2:BC1001,"")*$G766,"")</f>
        <v/>
      </c>
      <c r="BK766" s="179" t="str">
        <f t="array" ref="BK766">IF($F766&lt;&gt;"",XLOOKUP($F766,Productos!$A:$A,Productos!BD:BD,"Revisar"),"")</f>
        <v/>
      </c>
      <c r="BL766" s="179" t="str">
        <f t="array" ref="BL766">IF($F766&lt;&gt;"", XLOOKUP($F766,Productos!$A$2:$A1001,Productos!BE$2:BE1001,"")*$G766,"")</f>
        <v/>
      </c>
      <c r="BM766" s="179" t="str">
        <f t="array" ref="BM766">IF($F766&lt;&gt;"",XLOOKUP($F766,Productos!$A:$A,Productos!BF:BF,"Revisar"),"")</f>
        <v/>
      </c>
      <c r="BN766" s="179" t="str">
        <f t="array" ref="BN766">IF($F766&lt;&gt;"", XLOOKUP($F766,Productos!$A$2:$A1001,Productos!BG$2:BG1001,"")*$G766,"")</f>
        <v/>
      </c>
      <c r="BO766" s="179" t="str">
        <f t="array" ref="BO766">IF($F766&lt;&gt;"",XLOOKUP($F766,Productos!$A:$A,Productos!BH:BH,"Revisar"),"")</f>
        <v/>
      </c>
      <c r="BP766" s="179" t="str">
        <f t="array" ref="BP766">IF($F766&lt;&gt;"", XLOOKUP($F766,Productos!$A$2:$A1001,Productos!BI$2:BI1001,"")*$G766,"")</f>
        <v/>
      </c>
      <c r="BQ766" s="179" t="str">
        <f t="array" ref="BQ766">IF($F766&lt;&gt;"",XLOOKUP($F766,Productos!$A:$A,Productos!BJ:BJ,"Revisar"),"")</f>
        <v/>
      </c>
      <c r="BR766" s="179" t="str">
        <f t="array" ref="BR766">IF($F766&lt;&gt;"", XLOOKUP($F766,Productos!$A$2:$A1001,Productos!BK$2:BK1001,"")*$G766,"")</f>
        <v/>
      </c>
      <c r="BS766" s="179" t="str">
        <f t="array" ref="BS766">IF($F766&lt;&gt;"",XLOOKUP($F766,Productos!$A:$A,Productos!BL:BL,"Revisar"),"")</f>
        <v/>
      </c>
      <c r="BT766" s="179" t="str">
        <f t="array" ref="BT766">IF($F766&lt;&gt;"", XLOOKUP($F766,Productos!$A$2:$A1001,Productos!BM$2:BM1001,"")*$G766,"")</f>
        <v/>
      </c>
      <c r="BU766" s="179" t="str">
        <f t="array" ref="BU766">IF($F766&lt;&gt;"",XLOOKUP($F766,Productos!$A:$A,Productos!BN:BN,"Revisar"),"")</f>
        <v/>
      </c>
      <c r="BV766" s="179" t="str">
        <f t="array" ref="BV766">IF($F766&lt;&gt;"", XLOOKUP($F766,Productos!$A$2:$A1001,Productos!BO$2:BO1001,"")*$G766,"")</f>
        <v/>
      </c>
      <c r="BW766" s="179" t="str">
        <f t="array" ref="BW766">IF($F766&lt;&gt;"",XLOOKUP($F766,Productos!$A:$A,Productos!BP:BP,"Revisar"),"")</f>
        <v/>
      </c>
      <c r="BX766" s="179" t="str">
        <f t="array" ref="BX766">IF($F766&lt;&gt;"", XLOOKUP($F766,Productos!$A$2:$A1001,Productos!BQ$2:BQ1001,"")*$G766,"")</f>
        <v/>
      </c>
      <c r="BY766" s="179" t="str">
        <f t="array" ref="BY766">IF($F766&lt;&gt;"",XLOOKUP($F766,Productos!$A:$A,Productos!BR:BR,"Revisar"),"")</f>
        <v/>
      </c>
      <c r="BZ766" s="179" t="str">
        <f t="array" ref="BZ766">IF($F766&lt;&gt;"", XLOOKUP($F766,Productos!$A$2:$A1001,Productos!BS$2:BS1001,"")*$G766,"")</f>
        <v/>
      </c>
    </row>
    <row r="767">
      <c r="A767" s="188"/>
      <c r="B767" s="189"/>
      <c r="C767" s="190"/>
      <c r="D767" s="190"/>
      <c r="E767" s="191"/>
      <c r="F767" s="186"/>
      <c r="G767" s="192"/>
      <c r="H767" s="9"/>
      <c r="I767" s="179" t="str">
        <f t="array" ref="I767">IF($F767&lt;&gt;"",XLOOKUP($F767,Productos!$A:$A,Productos!B:B,"Revisar"),"")</f>
        <v/>
      </c>
      <c r="J767" s="179" t="str">
        <f t="array" ref="J767">IF($F767&lt;&gt;"", XLOOKUP($F767,Productos!$A$2:$A1001,Productos!C$2:C1001,"")*$G767,"")</f>
        <v/>
      </c>
      <c r="K767" s="179" t="str">
        <f t="array" ref="K767">IF($F767&lt;&gt;"",XLOOKUP($F767,Productos!$A:$A,Productos!D:D,"Revisar"),"")</f>
        <v/>
      </c>
      <c r="L767" s="179" t="str">
        <f t="array" ref="L767">IF($F767&lt;&gt;"", XLOOKUP($F767,Productos!$A$2:$A1001,Productos!E$2:E1001,"")*$G767,"")</f>
        <v/>
      </c>
      <c r="M767" s="179" t="str">
        <f t="array" ref="M767">IF($F767&lt;&gt;"",XLOOKUP($F767,Productos!$A:$A,Productos!F:F,"Revisar"),"")</f>
        <v/>
      </c>
      <c r="N767" s="179" t="str">
        <f t="array" ref="N767">IF($F767&lt;&gt;"", XLOOKUP($F767,Productos!$A$2:$A1001,Productos!G$2:G1001,"")*$G767,"")</f>
        <v/>
      </c>
      <c r="O767" s="179" t="str">
        <f t="array" ref="O767">IF($F767&lt;&gt;"",XLOOKUP($F767,Productos!$A:$A,Productos!H:H,"Revisar"),"")</f>
        <v/>
      </c>
      <c r="P767" s="179" t="str">
        <f t="array" ref="P767">IF($F767&lt;&gt;"", XLOOKUP($F767,Productos!$A$2:$A1001,Productos!I$2:I1001,"")*$G767,"")</f>
        <v/>
      </c>
      <c r="Q767" s="179" t="str">
        <f t="array" ref="Q767">IF($F767&lt;&gt;"",XLOOKUP($F767,Productos!$A:$A,Productos!J:J,"Revisar"),"")</f>
        <v/>
      </c>
      <c r="R767" s="179" t="str">
        <f t="array" ref="R767">IF($F767&lt;&gt;"", XLOOKUP($F767,Productos!$A$2:$A1001,Productos!K$2:K1001,"")*$G767,"")</f>
        <v/>
      </c>
      <c r="S767" s="179" t="str">
        <f t="array" ref="S767">IF($F767&lt;&gt;"",XLOOKUP($F767,Productos!$A:$A,Productos!L:L,"Revisar"),"")</f>
        <v/>
      </c>
      <c r="T767" s="179" t="str">
        <f t="array" ref="T767">IF($F767&lt;&gt;"", XLOOKUP($F767,Productos!$A$2:$A1001,Productos!M$2:M1001,"")*$G767,"")</f>
        <v/>
      </c>
      <c r="U767" s="179" t="str">
        <f t="array" ref="U767">IF($F767&lt;&gt;"",XLOOKUP($F767,Productos!$A:$A,Productos!N:N,"Revisar"),"")</f>
        <v/>
      </c>
      <c r="V767" s="179" t="str">
        <f t="array" ref="V767">IF($F767&lt;&gt;"", XLOOKUP($F767,Productos!$A$2:$A1001,Productos!O$2:O1001,"")*$G767,"")</f>
        <v/>
      </c>
      <c r="W767" s="179" t="str">
        <f t="array" ref="W767">IF($F767&lt;&gt;"",XLOOKUP($F767,Productos!$A:$A,Productos!P:P,"Revisar"),"")</f>
        <v/>
      </c>
      <c r="X767" s="179" t="str">
        <f t="array" ref="X767">IF($F767&lt;&gt;"", XLOOKUP($F767,Productos!$A$2:$A1001,Productos!Q$2:Q1001,"")*$G767,"")</f>
        <v/>
      </c>
      <c r="Y767" s="179" t="str">
        <f t="array" ref="Y767">IF($F767&lt;&gt;"",XLOOKUP($F767,Productos!$A:$A,Productos!R:R,"Revisar"),"")</f>
        <v/>
      </c>
      <c r="Z767" s="179" t="str">
        <f t="array" ref="Z767">IF($F767&lt;&gt;"", XLOOKUP($F767,Productos!$A$2:$A1001,Productos!S$2:S1001,"")*$G767,"")</f>
        <v/>
      </c>
      <c r="AA767" s="179" t="str">
        <f t="array" ref="AA767">IF($F767&lt;&gt;"",XLOOKUP($F767,Productos!$A:$A,Productos!T:T,"Revisar"),"")</f>
        <v/>
      </c>
      <c r="AB767" s="179" t="str">
        <f t="array" ref="AB767">IF($F767&lt;&gt;"", XLOOKUP($F767,Productos!$A$2:$A1001,Productos!U$2:U1001,"")*$G767,"")</f>
        <v/>
      </c>
      <c r="AC767" s="179" t="str">
        <f t="array" ref="AC767">IF($F767&lt;&gt;"",XLOOKUP($F767,Productos!$A:$A,Productos!V:V,"Revisar"),"")</f>
        <v/>
      </c>
      <c r="AD767" s="179" t="str">
        <f t="array" ref="AD767">IF($F767&lt;&gt;"", XLOOKUP($F767,Productos!$A$2:$A1001,Productos!W$2:W1001,"")*$G767,"")</f>
        <v/>
      </c>
      <c r="AE767" s="179" t="str">
        <f t="array" ref="AE767">IF($F767&lt;&gt;"",XLOOKUP($F767,Productos!$A:$A,Productos!X:X,"Revisar"),"")</f>
        <v/>
      </c>
      <c r="AF767" s="179" t="str">
        <f t="array" ref="AF767">IF($F767&lt;&gt;"", XLOOKUP($F767,Productos!$A$2:$A1001,Productos!Y$2:Y1001,"")*$G767,"")</f>
        <v/>
      </c>
      <c r="AG767" s="179" t="str">
        <f t="array" ref="AG767">IF($F767&lt;&gt;"",XLOOKUP($F767,Productos!$A:$A,Productos!Z:Z,"Revisar"),"")</f>
        <v/>
      </c>
      <c r="AH767" s="179" t="str">
        <f t="array" ref="AH767">IF($F767&lt;&gt;"", XLOOKUP($F767,Productos!$A$2:$A1001,Productos!AA$2:AA1001,"")*$G767,"")</f>
        <v/>
      </c>
      <c r="AI767" s="179" t="str">
        <f t="array" ref="AI767">IF($F767&lt;&gt;"",XLOOKUP($F767,Productos!$A:$A,Productos!AB:AB,"Revisar"),"")</f>
        <v/>
      </c>
      <c r="AJ767" s="179" t="str">
        <f t="array" ref="AJ767">IF($F767&lt;&gt;"", XLOOKUP($F767,Productos!$A$2:$A1001,Productos!AC$2:AC1001,"")*$G767,"")</f>
        <v/>
      </c>
      <c r="AK767" s="179" t="str">
        <f t="array" ref="AK767">IF($F767&lt;&gt;"",XLOOKUP($F767,Productos!$A:$A,Productos!AD:AD,"Revisar"),"")</f>
        <v/>
      </c>
      <c r="AL767" s="179" t="str">
        <f t="array" ref="AL767">IF($F767&lt;&gt;"", XLOOKUP($F767,Productos!$A$2:$A1001,Productos!AE$2:AE1001,"")*$G767,"")</f>
        <v/>
      </c>
      <c r="AM767" s="179" t="str">
        <f t="array" ref="AM767">IF($F767&lt;&gt;"",XLOOKUP($F767,Productos!$A:$A,Productos!AF:AF,"Revisar"),"")</f>
        <v/>
      </c>
      <c r="AN767" s="179" t="str">
        <f t="array" ref="AN767">IF($F767&lt;&gt;"", XLOOKUP($F767,Productos!$A$2:$A1001,Productos!AG$2:AG1001,"")*$G767,"")</f>
        <v/>
      </c>
      <c r="AO767" s="179" t="str">
        <f t="array" ref="AO767">IF($F767&lt;&gt;"",XLOOKUP($F767,Productos!$A:$A,Productos!AH:AH,"Revisar"),"")</f>
        <v/>
      </c>
      <c r="AP767" s="179" t="str">
        <f t="array" ref="AP767">IF($F767&lt;&gt;"", XLOOKUP($F767,Productos!$A$2:$A1001,Productos!AI$2:AI1001,"")*$G767,"")</f>
        <v/>
      </c>
      <c r="AQ767" s="179" t="str">
        <f t="array" ref="AQ767">IF($F767&lt;&gt;"",XLOOKUP($F767,Productos!$A:$A,Productos!AJ:AJ,"Revisar"),"")</f>
        <v/>
      </c>
      <c r="AR767" s="179" t="str">
        <f t="array" ref="AR767">IF($F767&lt;&gt;"", XLOOKUP($F767,Productos!$A$2:$A1001,Productos!AK$2:AK1001,"")*$G767,"")</f>
        <v/>
      </c>
      <c r="AS767" s="179" t="str">
        <f t="array" ref="AS767">IF($F767&lt;&gt;"",XLOOKUP($F767,Productos!$A:$A,Productos!AL:AL,"Revisar"),"")</f>
        <v/>
      </c>
      <c r="AT767" s="179" t="str">
        <f t="array" ref="AT767">IF($F767&lt;&gt;"", XLOOKUP($F767,Productos!$A$2:$A1001,Productos!AM$2:AM1001,"")*$G767,"")</f>
        <v/>
      </c>
      <c r="AU767" s="179" t="str">
        <f t="array" ref="AU767">IF($F767&lt;&gt;"",XLOOKUP($F767,Productos!$A:$A,Productos!AN:AN,"Revisar"),"")</f>
        <v/>
      </c>
      <c r="AV767" s="179" t="str">
        <f t="array" ref="AV767">IF($F767&lt;&gt;"", XLOOKUP($F767,Productos!$A$2:$A1001,Productos!AO$2:AO1001,"")*$G767,"")</f>
        <v/>
      </c>
      <c r="AW767" s="179" t="str">
        <f t="array" ref="AW767">IF($F767&lt;&gt;"",XLOOKUP($F767,Productos!$A:$A,Productos!AP:AP,"Revisar"),"")</f>
        <v/>
      </c>
      <c r="AX767" s="179" t="str">
        <f t="array" ref="AX767">IF($F767&lt;&gt;"", XLOOKUP($F767,Productos!$A$2:$A1001,Productos!AQ$2:AQ1001,"")*$G767,"")</f>
        <v/>
      </c>
      <c r="AY767" s="179" t="str">
        <f t="array" ref="AY767">IF($F767&lt;&gt;"",XLOOKUP($F767,Productos!$A:$A,Productos!AR:AR,"Revisar"),"")</f>
        <v/>
      </c>
      <c r="AZ767" s="179" t="str">
        <f t="array" ref="AZ767">IF($F767&lt;&gt;"", XLOOKUP($F767,Productos!$A$2:$A1001,Productos!AS$2:AS1001,"")*$G767,"")</f>
        <v/>
      </c>
      <c r="BA767" s="179" t="str">
        <f t="array" ref="BA767">IF($F767&lt;&gt;"",XLOOKUP($F767,Productos!$A:$A,Productos!AT:AT,"Revisar"),"")</f>
        <v/>
      </c>
      <c r="BB767" s="179" t="str">
        <f t="array" ref="BB767">IF($F767&lt;&gt;"", XLOOKUP($F767,Productos!$A$2:$A1001,Productos!AU$2:AU1001,"")*$G767,"")</f>
        <v/>
      </c>
      <c r="BC767" s="179" t="str">
        <f t="array" ref="BC767">IF($F767&lt;&gt;"",XLOOKUP($F767,Productos!$A:$A,Productos!AV:AV,"Revisar"),"")</f>
        <v/>
      </c>
      <c r="BD767" s="179" t="str">
        <f t="array" ref="BD767">IF($F767&lt;&gt;"", XLOOKUP($F767,Productos!$A$2:$A1001,Productos!AW$2:AW1001,"")*$G767,"")</f>
        <v/>
      </c>
      <c r="BE767" s="179" t="str">
        <f t="array" ref="BE767">IF($F767&lt;&gt;"",XLOOKUP($F767,Productos!$A:$A,Productos!AX:AX,"Revisar"),"")</f>
        <v/>
      </c>
      <c r="BF767" s="179" t="str">
        <f t="array" ref="BF767">IF($F767&lt;&gt;"", XLOOKUP($F767,Productos!$A$2:$A1001,Productos!AY$2:AY1001,"")*$G767,"")</f>
        <v/>
      </c>
      <c r="BG767" s="179" t="str">
        <f t="array" ref="BG767">IF($F767&lt;&gt;"",XLOOKUP($F767,Productos!$A:$A,Productos!AZ:AZ,"Revisar"),"")</f>
        <v/>
      </c>
      <c r="BH767" s="179" t="str">
        <f t="array" ref="BH767">IF($F767&lt;&gt;"", XLOOKUP($F767,Productos!$A$2:$A1001,Productos!BA$2:BA1001,"")*$G767,"")</f>
        <v/>
      </c>
      <c r="BI767" s="179" t="str">
        <f t="array" ref="BI767">IF($F767&lt;&gt;"",XLOOKUP($F767,Productos!$A:$A,Productos!BB:BB,"Revisar"),"")</f>
        <v/>
      </c>
      <c r="BJ767" s="179" t="str">
        <f t="array" ref="BJ767">IF($F767&lt;&gt;"", XLOOKUP($F767,Productos!$A$2:$A1001,Productos!BC$2:BC1001,"")*$G767,"")</f>
        <v/>
      </c>
      <c r="BK767" s="179" t="str">
        <f t="array" ref="BK767">IF($F767&lt;&gt;"",XLOOKUP($F767,Productos!$A:$A,Productos!BD:BD,"Revisar"),"")</f>
        <v/>
      </c>
      <c r="BL767" s="179" t="str">
        <f t="array" ref="BL767">IF($F767&lt;&gt;"", XLOOKUP($F767,Productos!$A$2:$A1001,Productos!BE$2:BE1001,"")*$G767,"")</f>
        <v/>
      </c>
      <c r="BM767" s="179" t="str">
        <f t="array" ref="BM767">IF($F767&lt;&gt;"",XLOOKUP($F767,Productos!$A:$A,Productos!BF:BF,"Revisar"),"")</f>
        <v/>
      </c>
      <c r="BN767" s="179" t="str">
        <f t="array" ref="BN767">IF($F767&lt;&gt;"", XLOOKUP($F767,Productos!$A$2:$A1001,Productos!BG$2:BG1001,"")*$G767,"")</f>
        <v/>
      </c>
      <c r="BO767" s="179" t="str">
        <f t="array" ref="BO767">IF($F767&lt;&gt;"",XLOOKUP($F767,Productos!$A:$A,Productos!BH:BH,"Revisar"),"")</f>
        <v/>
      </c>
      <c r="BP767" s="179" t="str">
        <f t="array" ref="BP767">IF($F767&lt;&gt;"", XLOOKUP($F767,Productos!$A$2:$A1001,Productos!BI$2:BI1001,"")*$G767,"")</f>
        <v/>
      </c>
      <c r="BQ767" s="179" t="str">
        <f t="array" ref="BQ767">IF($F767&lt;&gt;"",XLOOKUP($F767,Productos!$A:$A,Productos!BJ:BJ,"Revisar"),"")</f>
        <v/>
      </c>
      <c r="BR767" s="179" t="str">
        <f t="array" ref="BR767">IF($F767&lt;&gt;"", XLOOKUP($F767,Productos!$A$2:$A1001,Productos!BK$2:BK1001,"")*$G767,"")</f>
        <v/>
      </c>
      <c r="BS767" s="179" t="str">
        <f t="array" ref="BS767">IF($F767&lt;&gt;"",XLOOKUP($F767,Productos!$A:$A,Productos!BL:BL,"Revisar"),"")</f>
        <v/>
      </c>
      <c r="BT767" s="179" t="str">
        <f t="array" ref="BT767">IF($F767&lt;&gt;"", XLOOKUP($F767,Productos!$A$2:$A1001,Productos!BM$2:BM1001,"")*$G767,"")</f>
        <v/>
      </c>
      <c r="BU767" s="179" t="str">
        <f t="array" ref="BU767">IF($F767&lt;&gt;"",XLOOKUP($F767,Productos!$A:$A,Productos!BN:BN,"Revisar"),"")</f>
        <v/>
      </c>
      <c r="BV767" s="179" t="str">
        <f t="array" ref="BV767">IF($F767&lt;&gt;"", XLOOKUP($F767,Productos!$A$2:$A1001,Productos!BO$2:BO1001,"")*$G767,"")</f>
        <v/>
      </c>
      <c r="BW767" s="179" t="str">
        <f t="array" ref="BW767">IF($F767&lt;&gt;"",XLOOKUP($F767,Productos!$A:$A,Productos!BP:BP,"Revisar"),"")</f>
        <v/>
      </c>
      <c r="BX767" s="179" t="str">
        <f t="array" ref="BX767">IF($F767&lt;&gt;"", XLOOKUP($F767,Productos!$A$2:$A1001,Productos!BQ$2:BQ1001,"")*$G767,"")</f>
        <v/>
      </c>
      <c r="BY767" s="179" t="str">
        <f t="array" ref="BY767">IF($F767&lt;&gt;"",XLOOKUP($F767,Productos!$A:$A,Productos!BR:BR,"Revisar"),"")</f>
        <v/>
      </c>
      <c r="BZ767" s="179" t="str">
        <f t="array" ref="BZ767">IF($F767&lt;&gt;"", XLOOKUP($F767,Productos!$A$2:$A1001,Productos!BS$2:BS1001,"")*$G767,"")</f>
        <v/>
      </c>
    </row>
    <row r="768">
      <c r="A768" s="188"/>
      <c r="B768" s="189"/>
      <c r="C768" s="190"/>
      <c r="D768" s="190"/>
      <c r="E768" s="191"/>
      <c r="F768" s="186"/>
      <c r="G768" s="192"/>
      <c r="H768" s="9"/>
      <c r="I768" s="179" t="str">
        <f t="array" ref="I768">IF($F768&lt;&gt;"",XLOOKUP($F768,Productos!$A:$A,Productos!B:B,"Revisar"),"")</f>
        <v/>
      </c>
      <c r="J768" s="179" t="str">
        <f t="array" ref="J768">IF($F768&lt;&gt;"", XLOOKUP($F768,Productos!$A$2:$A1001,Productos!C$2:C1001,"")*$G768,"")</f>
        <v/>
      </c>
      <c r="K768" s="179" t="str">
        <f t="array" ref="K768">IF($F768&lt;&gt;"",XLOOKUP($F768,Productos!$A:$A,Productos!D:D,"Revisar"),"")</f>
        <v/>
      </c>
      <c r="L768" s="179" t="str">
        <f t="array" ref="L768">IF($F768&lt;&gt;"", XLOOKUP($F768,Productos!$A$2:$A1001,Productos!E$2:E1001,"")*$G768,"")</f>
        <v/>
      </c>
      <c r="M768" s="179" t="str">
        <f t="array" ref="M768">IF($F768&lt;&gt;"",XLOOKUP($F768,Productos!$A:$A,Productos!F:F,"Revisar"),"")</f>
        <v/>
      </c>
      <c r="N768" s="179" t="str">
        <f t="array" ref="N768">IF($F768&lt;&gt;"", XLOOKUP($F768,Productos!$A$2:$A1001,Productos!G$2:G1001,"")*$G768,"")</f>
        <v/>
      </c>
      <c r="O768" s="179" t="str">
        <f t="array" ref="O768">IF($F768&lt;&gt;"",XLOOKUP($F768,Productos!$A:$A,Productos!H:H,"Revisar"),"")</f>
        <v/>
      </c>
      <c r="P768" s="179" t="str">
        <f t="array" ref="P768">IF($F768&lt;&gt;"", XLOOKUP($F768,Productos!$A$2:$A1001,Productos!I$2:I1001,"")*$G768,"")</f>
        <v/>
      </c>
      <c r="Q768" s="179" t="str">
        <f t="array" ref="Q768">IF($F768&lt;&gt;"",XLOOKUP($F768,Productos!$A:$A,Productos!J:J,"Revisar"),"")</f>
        <v/>
      </c>
      <c r="R768" s="179" t="str">
        <f t="array" ref="R768">IF($F768&lt;&gt;"", XLOOKUP($F768,Productos!$A$2:$A1001,Productos!K$2:K1001,"")*$G768,"")</f>
        <v/>
      </c>
      <c r="S768" s="179" t="str">
        <f t="array" ref="S768">IF($F768&lt;&gt;"",XLOOKUP($F768,Productos!$A:$A,Productos!L:L,"Revisar"),"")</f>
        <v/>
      </c>
      <c r="T768" s="179" t="str">
        <f t="array" ref="T768">IF($F768&lt;&gt;"", XLOOKUP($F768,Productos!$A$2:$A1001,Productos!M$2:M1001,"")*$G768,"")</f>
        <v/>
      </c>
      <c r="U768" s="179" t="str">
        <f t="array" ref="U768">IF($F768&lt;&gt;"",XLOOKUP($F768,Productos!$A:$A,Productos!N:N,"Revisar"),"")</f>
        <v/>
      </c>
      <c r="V768" s="179" t="str">
        <f t="array" ref="V768">IF($F768&lt;&gt;"", XLOOKUP($F768,Productos!$A$2:$A1001,Productos!O$2:O1001,"")*$G768,"")</f>
        <v/>
      </c>
      <c r="W768" s="179" t="str">
        <f t="array" ref="W768">IF($F768&lt;&gt;"",XLOOKUP($F768,Productos!$A:$A,Productos!P:P,"Revisar"),"")</f>
        <v/>
      </c>
      <c r="X768" s="179" t="str">
        <f t="array" ref="X768">IF($F768&lt;&gt;"", XLOOKUP($F768,Productos!$A$2:$A1001,Productos!Q$2:Q1001,"")*$G768,"")</f>
        <v/>
      </c>
      <c r="Y768" s="179" t="str">
        <f t="array" ref="Y768">IF($F768&lt;&gt;"",XLOOKUP($F768,Productos!$A:$A,Productos!R:R,"Revisar"),"")</f>
        <v/>
      </c>
      <c r="Z768" s="179" t="str">
        <f t="array" ref="Z768">IF($F768&lt;&gt;"", XLOOKUP($F768,Productos!$A$2:$A1001,Productos!S$2:S1001,"")*$G768,"")</f>
        <v/>
      </c>
      <c r="AA768" s="179" t="str">
        <f t="array" ref="AA768">IF($F768&lt;&gt;"",XLOOKUP($F768,Productos!$A:$A,Productos!T:T,"Revisar"),"")</f>
        <v/>
      </c>
      <c r="AB768" s="179" t="str">
        <f t="array" ref="AB768">IF($F768&lt;&gt;"", XLOOKUP($F768,Productos!$A$2:$A1001,Productos!U$2:U1001,"")*$G768,"")</f>
        <v/>
      </c>
      <c r="AC768" s="179" t="str">
        <f t="array" ref="AC768">IF($F768&lt;&gt;"",XLOOKUP($F768,Productos!$A:$A,Productos!V:V,"Revisar"),"")</f>
        <v/>
      </c>
      <c r="AD768" s="179" t="str">
        <f t="array" ref="AD768">IF($F768&lt;&gt;"", XLOOKUP($F768,Productos!$A$2:$A1001,Productos!W$2:W1001,"")*$G768,"")</f>
        <v/>
      </c>
      <c r="AE768" s="179" t="str">
        <f t="array" ref="AE768">IF($F768&lt;&gt;"",XLOOKUP($F768,Productos!$A:$A,Productos!X:X,"Revisar"),"")</f>
        <v/>
      </c>
      <c r="AF768" s="179" t="str">
        <f t="array" ref="AF768">IF($F768&lt;&gt;"", XLOOKUP($F768,Productos!$A$2:$A1001,Productos!Y$2:Y1001,"")*$G768,"")</f>
        <v/>
      </c>
      <c r="AG768" s="179" t="str">
        <f t="array" ref="AG768">IF($F768&lt;&gt;"",XLOOKUP($F768,Productos!$A:$A,Productos!Z:Z,"Revisar"),"")</f>
        <v/>
      </c>
      <c r="AH768" s="179" t="str">
        <f t="array" ref="AH768">IF($F768&lt;&gt;"", XLOOKUP($F768,Productos!$A$2:$A1001,Productos!AA$2:AA1001,"")*$G768,"")</f>
        <v/>
      </c>
      <c r="AI768" s="179" t="str">
        <f t="array" ref="AI768">IF($F768&lt;&gt;"",XLOOKUP($F768,Productos!$A:$A,Productos!AB:AB,"Revisar"),"")</f>
        <v/>
      </c>
      <c r="AJ768" s="179" t="str">
        <f t="array" ref="AJ768">IF($F768&lt;&gt;"", XLOOKUP($F768,Productos!$A$2:$A1001,Productos!AC$2:AC1001,"")*$G768,"")</f>
        <v/>
      </c>
      <c r="AK768" s="179" t="str">
        <f t="array" ref="AK768">IF($F768&lt;&gt;"",XLOOKUP($F768,Productos!$A:$A,Productos!AD:AD,"Revisar"),"")</f>
        <v/>
      </c>
      <c r="AL768" s="179" t="str">
        <f t="array" ref="AL768">IF($F768&lt;&gt;"", XLOOKUP($F768,Productos!$A$2:$A1001,Productos!AE$2:AE1001,"")*$G768,"")</f>
        <v/>
      </c>
      <c r="AM768" s="179" t="str">
        <f t="array" ref="AM768">IF($F768&lt;&gt;"",XLOOKUP($F768,Productos!$A:$A,Productos!AF:AF,"Revisar"),"")</f>
        <v/>
      </c>
      <c r="AN768" s="179" t="str">
        <f t="array" ref="AN768">IF($F768&lt;&gt;"", XLOOKUP($F768,Productos!$A$2:$A1001,Productos!AG$2:AG1001,"")*$G768,"")</f>
        <v/>
      </c>
      <c r="AO768" s="179" t="str">
        <f t="array" ref="AO768">IF($F768&lt;&gt;"",XLOOKUP($F768,Productos!$A:$A,Productos!AH:AH,"Revisar"),"")</f>
        <v/>
      </c>
      <c r="AP768" s="179" t="str">
        <f t="array" ref="AP768">IF($F768&lt;&gt;"", XLOOKUP($F768,Productos!$A$2:$A1001,Productos!AI$2:AI1001,"")*$G768,"")</f>
        <v/>
      </c>
      <c r="AQ768" s="179" t="str">
        <f t="array" ref="AQ768">IF($F768&lt;&gt;"",XLOOKUP($F768,Productos!$A:$A,Productos!AJ:AJ,"Revisar"),"")</f>
        <v/>
      </c>
      <c r="AR768" s="179" t="str">
        <f t="array" ref="AR768">IF($F768&lt;&gt;"", XLOOKUP($F768,Productos!$A$2:$A1001,Productos!AK$2:AK1001,"")*$G768,"")</f>
        <v/>
      </c>
      <c r="AS768" s="179" t="str">
        <f t="array" ref="AS768">IF($F768&lt;&gt;"",XLOOKUP($F768,Productos!$A:$A,Productos!AL:AL,"Revisar"),"")</f>
        <v/>
      </c>
      <c r="AT768" s="179" t="str">
        <f t="array" ref="AT768">IF($F768&lt;&gt;"", XLOOKUP($F768,Productos!$A$2:$A1001,Productos!AM$2:AM1001,"")*$G768,"")</f>
        <v/>
      </c>
      <c r="AU768" s="179" t="str">
        <f t="array" ref="AU768">IF($F768&lt;&gt;"",XLOOKUP($F768,Productos!$A:$A,Productos!AN:AN,"Revisar"),"")</f>
        <v/>
      </c>
      <c r="AV768" s="179" t="str">
        <f t="array" ref="AV768">IF($F768&lt;&gt;"", XLOOKUP($F768,Productos!$A$2:$A1001,Productos!AO$2:AO1001,"")*$G768,"")</f>
        <v/>
      </c>
      <c r="AW768" s="179" t="str">
        <f t="array" ref="AW768">IF($F768&lt;&gt;"",XLOOKUP($F768,Productos!$A:$A,Productos!AP:AP,"Revisar"),"")</f>
        <v/>
      </c>
      <c r="AX768" s="179" t="str">
        <f t="array" ref="AX768">IF($F768&lt;&gt;"", XLOOKUP($F768,Productos!$A$2:$A1001,Productos!AQ$2:AQ1001,"")*$G768,"")</f>
        <v/>
      </c>
      <c r="AY768" s="179" t="str">
        <f t="array" ref="AY768">IF($F768&lt;&gt;"",XLOOKUP($F768,Productos!$A:$A,Productos!AR:AR,"Revisar"),"")</f>
        <v/>
      </c>
      <c r="AZ768" s="179" t="str">
        <f t="array" ref="AZ768">IF($F768&lt;&gt;"", XLOOKUP($F768,Productos!$A$2:$A1001,Productos!AS$2:AS1001,"")*$G768,"")</f>
        <v/>
      </c>
      <c r="BA768" s="179" t="str">
        <f t="array" ref="BA768">IF($F768&lt;&gt;"",XLOOKUP($F768,Productos!$A:$A,Productos!AT:AT,"Revisar"),"")</f>
        <v/>
      </c>
      <c r="BB768" s="179" t="str">
        <f t="array" ref="BB768">IF($F768&lt;&gt;"", XLOOKUP($F768,Productos!$A$2:$A1001,Productos!AU$2:AU1001,"")*$G768,"")</f>
        <v/>
      </c>
      <c r="BC768" s="179" t="str">
        <f t="array" ref="BC768">IF($F768&lt;&gt;"",XLOOKUP($F768,Productos!$A:$A,Productos!AV:AV,"Revisar"),"")</f>
        <v/>
      </c>
      <c r="BD768" s="179" t="str">
        <f t="array" ref="BD768">IF($F768&lt;&gt;"", XLOOKUP($F768,Productos!$A$2:$A1001,Productos!AW$2:AW1001,"")*$G768,"")</f>
        <v/>
      </c>
      <c r="BE768" s="179" t="str">
        <f t="array" ref="BE768">IF($F768&lt;&gt;"",XLOOKUP($F768,Productos!$A:$A,Productos!AX:AX,"Revisar"),"")</f>
        <v/>
      </c>
      <c r="BF768" s="179" t="str">
        <f t="array" ref="BF768">IF($F768&lt;&gt;"", XLOOKUP($F768,Productos!$A$2:$A1001,Productos!AY$2:AY1001,"")*$G768,"")</f>
        <v/>
      </c>
      <c r="BG768" s="179" t="str">
        <f t="array" ref="BG768">IF($F768&lt;&gt;"",XLOOKUP($F768,Productos!$A:$A,Productos!AZ:AZ,"Revisar"),"")</f>
        <v/>
      </c>
      <c r="BH768" s="179" t="str">
        <f t="array" ref="BH768">IF($F768&lt;&gt;"", XLOOKUP($F768,Productos!$A$2:$A1001,Productos!BA$2:BA1001,"")*$G768,"")</f>
        <v/>
      </c>
      <c r="BI768" s="179" t="str">
        <f t="array" ref="BI768">IF($F768&lt;&gt;"",XLOOKUP($F768,Productos!$A:$A,Productos!BB:BB,"Revisar"),"")</f>
        <v/>
      </c>
      <c r="BJ768" s="179" t="str">
        <f t="array" ref="BJ768">IF($F768&lt;&gt;"", XLOOKUP($F768,Productos!$A$2:$A1001,Productos!BC$2:BC1001,"")*$G768,"")</f>
        <v/>
      </c>
      <c r="BK768" s="179" t="str">
        <f t="array" ref="BK768">IF($F768&lt;&gt;"",XLOOKUP($F768,Productos!$A:$A,Productos!BD:BD,"Revisar"),"")</f>
        <v/>
      </c>
      <c r="BL768" s="179" t="str">
        <f t="array" ref="BL768">IF($F768&lt;&gt;"", XLOOKUP($F768,Productos!$A$2:$A1001,Productos!BE$2:BE1001,"")*$G768,"")</f>
        <v/>
      </c>
      <c r="BM768" s="179" t="str">
        <f t="array" ref="BM768">IF($F768&lt;&gt;"",XLOOKUP($F768,Productos!$A:$A,Productos!BF:BF,"Revisar"),"")</f>
        <v/>
      </c>
      <c r="BN768" s="179" t="str">
        <f t="array" ref="BN768">IF($F768&lt;&gt;"", XLOOKUP($F768,Productos!$A$2:$A1001,Productos!BG$2:BG1001,"")*$G768,"")</f>
        <v/>
      </c>
      <c r="BO768" s="179" t="str">
        <f t="array" ref="BO768">IF($F768&lt;&gt;"",XLOOKUP($F768,Productos!$A:$A,Productos!BH:BH,"Revisar"),"")</f>
        <v/>
      </c>
      <c r="BP768" s="179" t="str">
        <f t="array" ref="BP768">IF($F768&lt;&gt;"", XLOOKUP($F768,Productos!$A$2:$A1001,Productos!BI$2:BI1001,"")*$G768,"")</f>
        <v/>
      </c>
      <c r="BQ768" s="179" t="str">
        <f t="array" ref="BQ768">IF($F768&lt;&gt;"",XLOOKUP($F768,Productos!$A:$A,Productos!BJ:BJ,"Revisar"),"")</f>
        <v/>
      </c>
      <c r="BR768" s="179" t="str">
        <f t="array" ref="BR768">IF($F768&lt;&gt;"", XLOOKUP($F768,Productos!$A$2:$A1001,Productos!BK$2:BK1001,"")*$G768,"")</f>
        <v/>
      </c>
      <c r="BS768" s="179" t="str">
        <f t="array" ref="BS768">IF($F768&lt;&gt;"",XLOOKUP($F768,Productos!$A:$A,Productos!BL:BL,"Revisar"),"")</f>
        <v/>
      </c>
      <c r="BT768" s="179" t="str">
        <f t="array" ref="BT768">IF($F768&lt;&gt;"", XLOOKUP($F768,Productos!$A$2:$A1001,Productos!BM$2:BM1001,"")*$G768,"")</f>
        <v/>
      </c>
      <c r="BU768" s="179" t="str">
        <f t="array" ref="BU768">IF($F768&lt;&gt;"",XLOOKUP($F768,Productos!$A:$A,Productos!BN:BN,"Revisar"),"")</f>
        <v/>
      </c>
      <c r="BV768" s="179" t="str">
        <f t="array" ref="BV768">IF($F768&lt;&gt;"", XLOOKUP($F768,Productos!$A$2:$A1001,Productos!BO$2:BO1001,"")*$G768,"")</f>
        <v/>
      </c>
      <c r="BW768" s="179" t="str">
        <f t="array" ref="BW768">IF($F768&lt;&gt;"",XLOOKUP($F768,Productos!$A:$A,Productos!BP:BP,"Revisar"),"")</f>
        <v/>
      </c>
      <c r="BX768" s="179" t="str">
        <f t="array" ref="BX768">IF($F768&lt;&gt;"", XLOOKUP($F768,Productos!$A$2:$A1001,Productos!BQ$2:BQ1001,"")*$G768,"")</f>
        <v/>
      </c>
      <c r="BY768" s="179" t="str">
        <f t="array" ref="BY768">IF($F768&lt;&gt;"",XLOOKUP($F768,Productos!$A:$A,Productos!BR:BR,"Revisar"),"")</f>
        <v/>
      </c>
      <c r="BZ768" s="179" t="str">
        <f t="array" ref="BZ768">IF($F768&lt;&gt;"", XLOOKUP($F768,Productos!$A$2:$A1001,Productos!BS$2:BS1001,"")*$G768,"")</f>
        <v/>
      </c>
    </row>
    <row r="769">
      <c r="A769" s="188"/>
      <c r="B769" s="189"/>
      <c r="C769" s="190"/>
      <c r="D769" s="190"/>
      <c r="E769" s="191"/>
      <c r="F769" s="186"/>
      <c r="G769" s="192"/>
      <c r="H769" s="9"/>
      <c r="I769" s="179" t="str">
        <f t="array" ref="I769">IF($F769&lt;&gt;"",XLOOKUP($F769,Productos!$A:$A,Productos!B:B,"Revisar"),"")</f>
        <v/>
      </c>
      <c r="J769" s="179" t="str">
        <f t="array" ref="J769">IF($F769&lt;&gt;"", XLOOKUP($F769,Productos!$A$2:$A1001,Productos!C$2:C1001,"")*$G769,"")</f>
        <v/>
      </c>
      <c r="K769" s="179" t="str">
        <f t="array" ref="K769">IF($F769&lt;&gt;"",XLOOKUP($F769,Productos!$A:$A,Productos!D:D,"Revisar"),"")</f>
        <v/>
      </c>
      <c r="L769" s="179" t="str">
        <f t="array" ref="L769">IF($F769&lt;&gt;"", XLOOKUP($F769,Productos!$A$2:$A1001,Productos!E$2:E1001,"")*$G769,"")</f>
        <v/>
      </c>
      <c r="M769" s="179" t="str">
        <f t="array" ref="M769">IF($F769&lt;&gt;"",XLOOKUP($F769,Productos!$A:$A,Productos!F:F,"Revisar"),"")</f>
        <v/>
      </c>
      <c r="N769" s="179" t="str">
        <f t="array" ref="N769">IF($F769&lt;&gt;"", XLOOKUP($F769,Productos!$A$2:$A1001,Productos!G$2:G1001,"")*$G769,"")</f>
        <v/>
      </c>
      <c r="O769" s="179" t="str">
        <f t="array" ref="O769">IF($F769&lt;&gt;"",XLOOKUP($F769,Productos!$A:$A,Productos!H:H,"Revisar"),"")</f>
        <v/>
      </c>
      <c r="P769" s="179" t="str">
        <f t="array" ref="P769">IF($F769&lt;&gt;"", XLOOKUP($F769,Productos!$A$2:$A1001,Productos!I$2:I1001,"")*$G769,"")</f>
        <v/>
      </c>
      <c r="Q769" s="179" t="str">
        <f t="array" ref="Q769">IF($F769&lt;&gt;"",XLOOKUP($F769,Productos!$A:$A,Productos!J:J,"Revisar"),"")</f>
        <v/>
      </c>
      <c r="R769" s="179" t="str">
        <f t="array" ref="R769">IF($F769&lt;&gt;"", XLOOKUP($F769,Productos!$A$2:$A1001,Productos!K$2:K1001,"")*$G769,"")</f>
        <v/>
      </c>
      <c r="S769" s="179" t="str">
        <f t="array" ref="S769">IF($F769&lt;&gt;"",XLOOKUP($F769,Productos!$A:$A,Productos!L:L,"Revisar"),"")</f>
        <v/>
      </c>
      <c r="T769" s="179" t="str">
        <f t="array" ref="T769">IF($F769&lt;&gt;"", XLOOKUP($F769,Productos!$A$2:$A1001,Productos!M$2:M1001,"")*$G769,"")</f>
        <v/>
      </c>
      <c r="U769" s="179" t="str">
        <f t="array" ref="U769">IF($F769&lt;&gt;"",XLOOKUP($F769,Productos!$A:$A,Productos!N:N,"Revisar"),"")</f>
        <v/>
      </c>
      <c r="V769" s="179" t="str">
        <f t="array" ref="V769">IF($F769&lt;&gt;"", XLOOKUP($F769,Productos!$A$2:$A1001,Productos!O$2:O1001,"")*$G769,"")</f>
        <v/>
      </c>
      <c r="W769" s="179" t="str">
        <f t="array" ref="W769">IF($F769&lt;&gt;"",XLOOKUP($F769,Productos!$A:$A,Productos!P:P,"Revisar"),"")</f>
        <v/>
      </c>
      <c r="X769" s="179" t="str">
        <f t="array" ref="X769">IF($F769&lt;&gt;"", XLOOKUP($F769,Productos!$A$2:$A1001,Productos!Q$2:Q1001,"")*$G769,"")</f>
        <v/>
      </c>
      <c r="Y769" s="179" t="str">
        <f t="array" ref="Y769">IF($F769&lt;&gt;"",XLOOKUP($F769,Productos!$A:$A,Productos!R:R,"Revisar"),"")</f>
        <v/>
      </c>
      <c r="Z769" s="179" t="str">
        <f t="array" ref="Z769">IF($F769&lt;&gt;"", XLOOKUP($F769,Productos!$A$2:$A1001,Productos!S$2:S1001,"")*$G769,"")</f>
        <v/>
      </c>
      <c r="AA769" s="179" t="str">
        <f t="array" ref="AA769">IF($F769&lt;&gt;"",XLOOKUP($F769,Productos!$A:$A,Productos!T:T,"Revisar"),"")</f>
        <v/>
      </c>
      <c r="AB769" s="179" t="str">
        <f t="array" ref="AB769">IF($F769&lt;&gt;"", XLOOKUP($F769,Productos!$A$2:$A1001,Productos!U$2:U1001,"")*$G769,"")</f>
        <v/>
      </c>
      <c r="AC769" s="179" t="str">
        <f t="array" ref="AC769">IF($F769&lt;&gt;"",XLOOKUP($F769,Productos!$A:$A,Productos!V:V,"Revisar"),"")</f>
        <v/>
      </c>
      <c r="AD769" s="179" t="str">
        <f t="array" ref="AD769">IF($F769&lt;&gt;"", XLOOKUP($F769,Productos!$A$2:$A1001,Productos!W$2:W1001,"")*$G769,"")</f>
        <v/>
      </c>
      <c r="AE769" s="179" t="str">
        <f t="array" ref="AE769">IF($F769&lt;&gt;"",XLOOKUP($F769,Productos!$A:$A,Productos!X:X,"Revisar"),"")</f>
        <v/>
      </c>
      <c r="AF769" s="179" t="str">
        <f t="array" ref="AF769">IF($F769&lt;&gt;"", XLOOKUP($F769,Productos!$A$2:$A1001,Productos!Y$2:Y1001,"")*$G769,"")</f>
        <v/>
      </c>
      <c r="AG769" s="179" t="str">
        <f t="array" ref="AG769">IF($F769&lt;&gt;"",XLOOKUP($F769,Productos!$A:$A,Productos!Z:Z,"Revisar"),"")</f>
        <v/>
      </c>
      <c r="AH769" s="179" t="str">
        <f t="array" ref="AH769">IF($F769&lt;&gt;"", XLOOKUP($F769,Productos!$A$2:$A1001,Productos!AA$2:AA1001,"")*$G769,"")</f>
        <v/>
      </c>
      <c r="AI769" s="179" t="str">
        <f t="array" ref="AI769">IF($F769&lt;&gt;"",XLOOKUP($F769,Productos!$A:$A,Productos!AB:AB,"Revisar"),"")</f>
        <v/>
      </c>
      <c r="AJ769" s="179" t="str">
        <f t="array" ref="AJ769">IF($F769&lt;&gt;"", XLOOKUP($F769,Productos!$A$2:$A1001,Productos!AC$2:AC1001,"")*$G769,"")</f>
        <v/>
      </c>
      <c r="AK769" s="179" t="str">
        <f t="array" ref="AK769">IF($F769&lt;&gt;"",XLOOKUP($F769,Productos!$A:$A,Productos!AD:AD,"Revisar"),"")</f>
        <v/>
      </c>
      <c r="AL769" s="179" t="str">
        <f t="array" ref="AL769">IF($F769&lt;&gt;"", XLOOKUP($F769,Productos!$A$2:$A1001,Productos!AE$2:AE1001,"")*$G769,"")</f>
        <v/>
      </c>
      <c r="AM769" s="179" t="str">
        <f t="array" ref="AM769">IF($F769&lt;&gt;"",XLOOKUP($F769,Productos!$A:$A,Productos!AF:AF,"Revisar"),"")</f>
        <v/>
      </c>
      <c r="AN769" s="179" t="str">
        <f t="array" ref="AN769">IF($F769&lt;&gt;"", XLOOKUP($F769,Productos!$A$2:$A1001,Productos!AG$2:AG1001,"")*$G769,"")</f>
        <v/>
      </c>
      <c r="AO769" s="179" t="str">
        <f t="array" ref="AO769">IF($F769&lt;&gt;"",XLOOKUP($F769,Productos!$A:$A,Productos!AH:AH,"Revisar"),"")</f>
        <v/>
      </c>
      <c r="AP769" s="179" t="str">
        <f t="array" ref="AP769">IF($F769&lt;&gt;"", XLOOKUP($F769,Productos!$A$2:$A1001,Productos!AI$2:AI1001,"")*$G769,"")</f>
        <v/>
      </c>
      <c r="AQ769" s="179" t="str">
        <f t="array" ref="AQ769">IF($F769&lt;&gt;"",XLOOKUP($F769,Productos!$A:$A,Productos!AJ:AJ,"Revisar"),"")</f>
        <v/>
      </c>
      <c r="AR769" s="179" t="str">
        <f t="array" ref="AR769">IF($F769&lt;&gt;"", XLOOKUP($F769,Productos!$A$2:$A1001,Productos!AK$2:AK1001,"")*$G769,"")</f>
        <v/>
      </c>
      <c r="AS769" s="179" t="str">
        <f t="array" ref="AS769">IF($F769&lt;&gt;"",XLOOKUP($F769,Productos!$A:$A,Productos!AL:AL,"Revisar"),"")</f>
        <v/>
      </c>
      <c r="AT769" s="179" t="str">
        <f t="array" ref="AT769">IF($F769&lt;&gt;"", XLOOKUP($F769,Productos!$A$2:$A1001,Productos!AM$2:AM1001,"")*$G769,"")</f>
        <v/>
      </c>
      <c r="AU769" s="179" t="str">
        <f t="array" ref="AU769">IF($F769&lt;&gt;"",XLOOKUP($F769,Productos!$A:$A,Productos!AN:AN,"Revisar"),"")</f>
        <v/>
      </c>
      <c r="AV769" s="179" t="str">
        <f t="array" ref="AV769">IF($F769&lt;&gt;"", XLOOKUP($F769,Productos!$A$2:$A1001,Productos!AO$2:AO1001,"")*$G769,"")</f>
        <v/>
      </c>
      <c r="AW769" s="179" t="str">
        <f t="array" ref="AW769">IF($F769&lt;&gt;"",XLOOKUP($F769,Productos!$A:$A,Productos!AP:AP,"Revisar"),"")</f>
        <v/>
      </c>
      <c r="AX769" s="179" t="str">
        <f t="array" ref="AX769">IF($F769&lt;&gt;"", XLOOKUP($F769,Productos!$A$2:$A1001,Productos!AQ$2:AQ1001,"")*$G769,"")</f>
        <v/>
      </c>
      <c r="AY769" s="179" t="str">
        <f t="array" ref="AY769">IF($F769&lt;&gt;"",XLOOKUP($F769,Productos!$A:$A,Productos!AR:AR,"Revisar"),"")</f>
        <v/>
      </c>
      <c r="AZ769" s="179" t="str">
        <f t="array" ref="AZ769">IF($F769&lt;&gt;"", XLOOKUP($F769,Productos!$A$2:$A1001,Productos!AS$2:AS1001,"")*$G769,"")</f>
        <v/>
      </c>
      <c r="BA769" s="179" t="str">
        <f t="array" ref="BA769">IF($F769&lt;&gt;"",XLOOKUP($F769,Productos!$A:$A,Productos!AT:AT,"Revisar"),"")</f>
        <v/>
      </c>
      <c r="BB769" s="179" t="str">
        <f t="array" ref="BB769">IF($F769&lt;&gt;"", XLOOKUP($F769,Productos!$A$2:$A1001,Productos!AU$2:AU1001,"")*$G769,"")</f>
        <v/>
      </c>
      <c r="BC769" s="179" t="str">
        <f t="array" ref="BC769">IF($F769&lt;&gt;"",XLOOKUP($F769,Productos!$A:$A,Productos!AV:AV,"Revisar"),"")</f>
        <v/>
      </c>
      <c r="BD769" s="179" t="str">
        <f t="array" ref="BD769">IF($F769&lt;&gt;"", XLOOKUP($F769,Productos!$A$2:$A1001,Productos!AW$2:AW1001,"")*$G769,"")</f>
        <v/>
      </c>
      <c r="BE769" s="179" t="str">
        <f t="array" ref="BE769">IF($F769&lt;&gt;"",XLOOKUP($F769,Productos!$A:$A,Productos!AX:AX,"Revisar"),"")</f>
        <v/>
      </c>
      <c r="BF769" s="179" t="str">
        <f t="array" ref="BF769">IF($F769&lt;&gt;"", XLOOKUP($F769,Productos!$A$2:$A1001,Productos!AY$2:AY1001,"")*$G769,"")</f>
        <v/>
      </c>
      <c r="BG769" s="179" t="str">
        <f t="array" ref="BG769">IF($F769&lt;&gt;"",XLOOKUP($F769,Productos!$A:$A,Productos!AZ:AZ,"Revisar"),"")</f>
        <v/>
      </c>
      <c r="BH769" s="179" t="str">
        <f t="array" ref="BH769">IF($F769&lt;&gt;"", XLOOKUP($F769,Productos!$A$2:$A1001,Productos!BA$2:BA1001,"")*$G769,"")</f>
        <v/>
      </c>
      <c r="BI769" s="179" t="str">
        <f t="array" ref="BI769">IF($F769&lt;&gt;"",XLOOKUP($F769,Productos!$A:$A,Productos!BB:BB,"Revisar"),"")</f>
        <v/>
      </c>
      <c r="BJ769" s="179" t="str">
        <f t="array" ref="BJ769">IF($F769&lt;&gt;"", XLOOKUP($F769,Productos!$A$2:$A1001,Productos!BC$2:BC1001,"")*$G769,"")</f>
        <v/>
      </c>
      <c r="BK769" s="179" t="str">
        <f t="array" ref="BK769">IF($F769&lt;&gt;"",XLOOKUP($F769,Productos!$A:$A,Productos!BD:BD,"Revisar"),"")</f>
        <v/>
      </c>
      <c r="BL769" s="179" t="str">
        <f t="array" ref="BL769">IF($F769&lt;&gt;"", XLOOKUP($F769,Productos!$A$2:$A1001,Productos!BE$2:BE1001,"")*$G769,"")</f>
        <v/>
      </c>
      <c r="BM769" s="179" t="str">
        <f t="array" ref="BM769">IF($F769&lt;&gt;"",XLOOKUP($F769,Productos!$A:$A,Productos!BF:BF,"Revisar"),"")</f>
        <v/>
      </c>
      <c r="BN769" s="179" t="str">
        <f t="array" ref="BN769">IF($F769&lt;&gt;"", XLOOKUP($F769,Productos!$A$2:$A1001,Productos!BG$2:BG1001,"")*$G769,"")</f>
        <v/>
      </c>
      <c r="BO769" s="179" t="str">
        <f t="array" ref="BO769">IF($F769&lt;&gt;"",XLOOKUP($F769,Productos!$A:$A,Productos!BH:BH,"Revisar"),"")</f>
        <v/>
      </c>
      <c r="BP769" s="179" t="str">
        <f t="array" ref="BP769">IF($F769&lt;&gt;"", XLOOKUP($F769,Productos!$A$2:$A1001,Productos!BI$2:BI1001,"")*$G769,"")</f>
        <v/>
      </c>
      <c r="BQ769" s="179" t="str">
        <f t="array" ref="BQ769">IF($F769&lt;&gt;"",XLOOKUP($F769,Productos!$A:$A,Productos!BJ:BJ,"Revisar"),"")</f>
        <v/>
      </c>
      <c r="BR769" s="179" t="str">
        <f t="array" ref="BR769">IF($F769&lt;&gt;"", XLOOKUP($F769,Productos!$A$2:$A1001,Productos!BK$2:BK1001,"")*$G769,"")</f>
        <v/>
      </c>
      <c r="BS769" s="179" t="str">
        <f t="array" ref="BS769">IF($F769&lt;&gt;"",XLOOKUP($F769,Productos!$A:$A,Productos!BL:BL,"Revisar"),"")</f>
        <v/>
      </c>
      <c r="BT769" s="179" t="str">
        <f t="array" ref="BT769">IF($F769&lt;&gt;"", XLOOKUP($F769,Productos!$A$2:$A1001,Productos!BM$2:BM1001,"")*$G769,"")</f>
        <v/>
      </c>
      <c r="BU769" s="179" t="str">
        <f t="array" ref="BU769">IF($F769&lt;&gt;"",XLOOKUP($F769,Productos!$A:$A,Productos!BN:BN,"Revisar"),"")</f>
        <v/>
      </c>
      <c r="BV769" s="179" t="str">
        <f t="array" ref="BV769">IF($F769&lt;&gt;"", XLOOKUP($F769,Productos!$A$2:$A1001,Productos!BO$2:BO1001,"")*$G769,"")</f>
        <v/>
      </c>
      <c r="BW769" s="179" t="str">
        <f t="array" ref="BW769">IF($F769&lt;&gt;"",XLOOKUP($F769,Productos!$A:$A,Productos!BP:BP,"Revisar"),"")</f>
        <v/>
      </c>
      <c r="BX769" s="179" t="str">
        <f t="array" ref="BX769">IF($F769&lt;&gt;"", XLOOKUP($F769,Productos!$A$2:$A1001,Productos!BQ$2:BQ1001,"")*$G769,"")</f>
        <v/>
      </c>
      <c r="BY769" s="179" t="str">
        <f t="array" ref="BY769">IF($F769&lt;&gt;"",XLOOKUP($F769,Productos!$A:$A,Productos!BR:BR,"Revisar"),"")</f>
        <v/>
      </c>
      <c r="BZ769" s="179" t="str">
        <f t="array" ref="BZ769">IF($F769&lt;&gt;"", XLOOKUP($F769,Productos!$A$2:$A1001,Productos!BS$2:BS1001,"")*$G769,"")</f>
        <v/>
      </c>
    </row>
    <row r="770">
      <c r="A770" s="188"/>
      <c r="B770" s="189"/>
      <c r="C770" s="190"/>
      <c r="D770" s="190"/>
      <c r="E770" s="191"/>
      <c r="F770" s="186"/>
      <c r="G770" s="192"/>
      <c r="H770" s="9"/>
      <c r="I770" s="179" t="str">
        <f t="array" ref="I770">IF($F770&lt;&gt;"",XLOOKUP($F770,Productos!$A:$A,Productos!B:B,"Revisar"),"")</f>
        <v/>
      </c>
      <c r="J770" s="179" t="str">
        <f t="array" ref="J770">IF($F770&lt;&gt;"", XLOOKUP($F770,Productos!$A$2:$A1001,Productos!C$2:C1001,"")*$G770,"")</f>
        <v/>
      </c>
      <c r="K770" s="179" t="str">
        <f t="array" ref="K770">IF($F770&lt;&gt;"",XLOOKUP($F770,Productos!$A:$A,Productos!D:D,"Revisar"),"")</f>
        <v/>
      </c>
      <c r="L770" s="179" t="str">
        <f t="array" ref="L770">IF($F770&lt;&gt;"", XLOOKUP($F770,Productos!$A$2:$A1001,Productos!E$2:E1001,"")*$G770,"")</f>
        <v/>
      </c>
      <c r="M770" s="179" t="str">
        <f t="array" ref="M770">IF($F770&lt;&gt;"",XLOOKUP($F770,Productos!$A:$A,Productos!F:F,"Revisar"),"")</f>
        <v/>
      </c>
      <c r="N770" s="179" t="str">
        <f t="array" ref="N770">IF($F770&lt;&gt;"", XLOOKUP($F770,Productos!$A$2:$A1001,Productos!G$2:G1001,"")*$G770,"")</f>
        <v/>
      </c>
      <c r="O770" s="179" t="str">
        <f t="array" ref="O770">IF($F770&lt;&gt;"",XLOOKUP($F770,Productos!$A:$A,Productos!H:H,"Revisar"),"")</f>
        <v/>
      </c>
      <c r="P770" s="179" t="str">
        <f t="array" ref="P770">IF($F770&lt;&gt;"", XLOOKUP($F770,Productos!$A$2:$A1001,Productos!I$2:I1001,"")*$G770,"")</f>
        <v/>
      </c>
      <c r="Q770" s="179" t="str">
        <f t="array" ref="Q770">IF($F770&lt;&gt;"",XLOOKUP($F770,Productos!$A:$A,Productos!J:J,"Revisar"),"")</f>
        <v/>
      </c>
      <c r="R770" s="179" t="str">
        <f t="array" ref="R770">IF($F770&lt;&gt;"", XLOOKUP($F770,Productos!$A$2:$A1001,Productos!K$2:K1001,"")*$G770,"")</f>
        <v/>
      </c>
      <c r="S770" s="179" t="str">
        <f t="array" ref="S770">IF($F770&lt;&gt;"",XLOOKUP($F770,Productos!$A:$A,Productos!L:L,"Revisar"),"")</f>
        <v/>
      </c>
      <c r="T770" s="179" t="str">
        <f t="array" ref="T770">IF($F770&lt;&gt;"", XLOOKUP($F770,Productos!$A$2:$A1001,Productos!M$2:M1001,"")*$G770,"")</f>
        <v/>
      </c>
      <c r="U770" s="179" t="str">
        <f t="array" ref="U770">IF($F770&lt;&gt;"",XLOOKUP($F770,Productos!$A:$A,Productos!N:N,"Revisar"),"")</f>
        <v/>
      </c>
      <c r="V770" s="179" t="str">
        <f t="array" ref="V770">IF($F770&lt;&gt;"", XLOOKUP($F770,Productos!$A$2:$A1001,Productos!O$2:O1001,"")*$G770,"")</f>
        <v/>
      </c>
      <c r="W770" s="179" t="str">
        <f t="array" ref="W770">IF($F770&lt;&gt;"",XLOOKUP($F770,Productos!$A:$A,Productos!P:P,"Revisar"),"")</f>
        <v/>
      </c>
      <c r="X770" s="179" t="str">
        <f t="array" ref="X770">IF($F770&lt;&gt;"", XLOOKUP($F770,Productos!$A$2:$A1001,Productos!Q$2:Q1001,"")*$G770,"")</f>
        <v/>
      </c>
      <c r="Y770" s="179" t="str">
        <f t="array" ref="Y770">IF($F770&lt;&gt;"",XLOOKUP($F770,Productos!$A:$A,Productos!R:R,"Revisar"),"")</f>
        <v/>
      </c>
      <c r="Z770" s="179" t="str">
        <f t="array" ref="Z770">IF($F770&lt;&gt;"", XLOOKUP($F770,Productos!$A$2:$A1001,Productos!S$2:S1001,"")*$G770,"")</f>
        <v/>
      </c>
      <c r="AA770" s="179" t="str">
        <f t="array" ref="AA770">IF($F770&lt;&gt;"",XLOOKUP($F770,Productos!$A:$A,Productos!T:T,"Revisar"),"")</f>
        <v/>
      </c>
      <c r="AB770" s="179" t="str">
        <f t="array" ref="AB770">IF($F770&lt;&gt;"", XLOOKUP($F770,Productos!$A$2:$A1001,Productos!U$2:U1001,"")*$G770,"")</f>
        <v/>
      </c>
      <c r="AC770" s="179" t="str">
        <f t="array" ref="AC770">IF($F770&lt;&gt;"",XLOOKUP($F770,Productos!$A:$A,Productos!V:V,"Revisar"),"")</f>
        <v/>
      </c>
      <c r="AD770" s="179" t="str">
        <f t="array" ref="AD770">IF($F770&lt;&gt;"", XLOOKUP($F770,Productos!$A$2:$A1001,Productos!W$2:W1001,"")*$G770,"")</f>
        <v/>
      </c>
      <c r="AE770" s="179" t="str">
        <f t="array" ref="AE770">IF($F770&lt;&gt;"",XLOOKUP($F770,Productos!$A:$A,Productos!X:X,"Revisar"),"")</f>
        <v/>
      </c>
      <c r="AF770" s="179" t="str">
        <f t="array" ref="AF770">IF($F770&lt;&gt;"", XLOOKUP($F770,Productos!$A$2:$A1001,Productos!Y$2:Y1001,"")*$G770,"")</f>
        <v/>
      </c>
      <c r="AG770" s="179" t="str">
        <f t="array" ref="AG770">IF($F770&lt;&gt;"",XLOOKUP($F770,Productos!$A:$A,Productos!Z:Z,"Revisar"),"")</f>
        <v/>
      </c>
      <c r="AH770" s="179" t="str">
        <f t="array" ref="AH770">IF($F770&lt;&gt;"", XLOOKUP($F770,Productos!$A$2:$A1001,Productos!AA$2:AA1001,"")*$G770,"")</f>
        <v/>
      </c>
      <c r="AI770" s="179" t="str">
        <f t="array" ref="AI770">IF($F770&lt;&gt;"",XLOOKUP($F770,Productos!$A:$A,Productos!AB:AB,"Revisar"),"")</f>
        <v/>
      </c>
      <c r="AJ770" s="179" t="str">
        <f t="array" ref="AJ770">IF($F770&lt;&gt;"", XLOOKUP($F770,Productos!$A$2:$A1001,Productos!AC$2:AC1001,"")*$G770,"")</f>
        <v/>
      </c>
      <c r="AK770" s="179" t="str">
        <f t="array" ref="AK770">IF($F770&lt;&gt;"",XLOOKUP($F770,Productos!$A:$A,Productos!AD:AD,"Revisar"),"")</f>
        <v/>
      </c>
      <c r="AL770" s="179" t="str">
        <f t="array" ref="AL770">IF($F770&lt;&gt;"", XLOOKUP($F770,Productos!$A$2:$A1001,Productos!AE$2:AE1001,"")*$G770,"")</f>
        <v/>
      </c>
      <c r="AM770" s="179" t="str">
        <f t="array" ref="AM770">IF($F770&lt;&gt;"",XLOOKUP($F770,Productos!$A:$A,Productos!AF:AF,"Revisar"),"")</f>
        <v/>
      </c>
      <c r="AN770" s="179" t="str">
        <f t="array" ref="AN770">IF($F770&lt;&gt;"", XLOOKUP($F770,Productos!$A$2:$A1001,Productos!AG$2:AG1001,"")*$G770,"")</f>
        <v/>
      </c>
      <c r="AO770" s="179" t="str">
        <f t="array" ref="AO770">IF($F770&lt;&gt;"",XLOOKUP($F770,Productos!$A:$A,Productos!AH:AH,"Revisar"),"")</f>
        <v/>
      </c>
      <c r="AP770" s="179" t="str">
        <f t="array" ref="AP770">IF($F770&lt;&gt;"", XLOOKUP($F770,Productos!$A$2:$A1001,Productos!AI$2:AI1001,"")*$G770,"")</f>
        <v/>
      </c>
      <c r="AQ770" s="179" t="str">
        <f t="array" ref="AQ770">IF($F770&lt;&gt;"",XLOOKUP($F770,Productos!$A:$A,Productos!AJ:AJ,"Revisar"),"")</f>
        <v/>
      </c>
      <c r="AR770" s="179" t="str">
        <f t="array" ref="AR770">IF($F770&lt;&gt;"", XLOOKUP($F770,Productos!$A$2:$A1001,Productos!AK$2:AK1001,"")*$G770,"")</f>
        <v/>
      </c>
      <c r="AS770" s="179" t="str">
        <f t="array" ref="AS770">IF($F770&lt;&gt;"",XLOOKUP($F770,Productos!$A:$A,Productos!AL:AL,"Revisar"),"")</f>
        <v/>
      </c>
      <c r="AT770" s="179" t="str">
        <f t="array" ref="AT770">IF($F770&lt;&gt;"", XLOOKUP($F770,Productos!$A$2:$A1001,Productos!AM$2:AM1001,"")*$G770,"")</f>
        <v/>
      </c>
      <c r="AU770" s="179" t="str">
        <f t="array" ref="AU770">IF($F770&lt;&gt;"",XLOOKUP($F770,Productos!$A:$A,Productos!AN:AN,"Revisar"),"")</f>
        <v/>
      </c>
      <c r="AV770" s="179" t="str">
        <f t="array" ref="AV770">IF($F770&lt;&gt;"", XLOOKUP($F770,Productos!$A$2:$A1001,Productos!AO$2:AO1001,"")*$G770,"")</f>
        <v/>
      </c>
      <c r="AW770" s="179" t="str">
        <f t="array" ref="AW770">IF($F770&lt;&gt;"",XLOOKUP($F770,Productos!$A:$A,Productos!AP:AP,"Revisar"),"")</f>
        <v/>
      </c>
      <c r="AX770" s="179" t="str">
        <f t="array" ref="AX770">IF($F770&lt;&gt;"", XLOOKUP($F770,Productos!$A$2:$A1001,Productos!AQ$2:AQ1001,"")*$G770,"")</f>
        <v/>
      </c>
      <c r="AY770" s="179" t="str">
        <f t="array" ref="AY770">IF($F770&lt;&gt;"",XLOOKUP($F770,Productos!$A:$A,Productos!AR:AR,"Revisar"),"")</f>
        <v/>
      </c>
      <c r="AZ770" s="179" t="str">
        <f t="array" ref="AZ770">IF($F770&lt;&gt;"", XLOOKUP($F770,Productos!$A$2:$A1001,Productos!AS$2:AS1001,"")*$G770,"")</f>
        <v/>
      </c>
      <c r="BA770" s="179" t="str">
        <f t="array" ref="BA770">IF($F770&lt;&gt;"",XLOOKUP($F770,Productos!$A:$A,Productos!AT:AT,"Revisar"),"")</f>
        <v/>
      </c>
      <c r="BB770" s="179" t="str">
        <f t="array" ref="BB770">IF($F770&lt;&gt;"", XLOOKUP($F770,Productos!$A$2:$A1001,Productos!AU$2:AU1001,"")*$G770,"")</f>
        <v/>
      </c>
      <c r="BC770" s="179" t="str">
        <f t="array" ref="BC770">IF($F770&lt;&gt;"",XLOOKUP($F770,Productos!$A:$A,Productos!AV:AV,"Revisar"),"")</f>
        <v/>
      </c>
      <c r="BD770" s="179" t="str">
        <f t="array" ref="BD770">IF($F770&lt;&gt;"", XLOOKUP($F770,Productos!$A$2:$A1001,Productos!AW$2:AW1001,"")*$G770,"")</f>
        <v/>
      </c>
      <c r="BE770" s="179" t="str">
        <f t="array" ref="BE770">IF($F770&lt;&gt;"",XLOOKUP($F770,Productos!$A:$A,Productos!AX:AX,"Revisar"),"")</f>
        <v/>
      </c>
      <c r="BF770" s="179" t="str">
        <f t="array" ref="BF770">IF($F770&lt;&gt;"", XLOOKUP($F770,Productos!$A$2:$A1001,Productos!AY$2:AY1001,"")*$G770,"")</f>
        <v/>
      </c>
      <c r="BG770" s="179" t="str">
        <f t="array" ref="BG770">IF($F770&lt;&gt;"",XLOOKUP($F770,Productos!$A:$A,Productos!AZ:AZ,"Revisar"),"")</f>
        <v/>
      </c>
      <c r="BH770" s="179" t="str">
        <f t="array" ref="BH770">IF($F770&lt;&gt;"", XLOOKUP($F770,Productos!$A$2:$A1001,Productos!BA$2:BA1001,"")*$G770,"")</f>
        <v/>
      </c>
      <c r="BI770" s="179" t="str">
        <f t="array" ref="BI770">IF($F770&lt;&gt;"",XLOOKUP($F770,Productos!$A:$A,Productos!BB:BB,"Revisar"),"")</f>
        <v/>
      </c>
      <c r="BJ770" s="179" t="str">
        <f t="array" ref="BJ770">IF($F770&lt;&gt;"", XLOOKUP($F770,Productos!$A$2:$A1001,Productos!BC$2:BC1001,"")*$G770,"")</f>
        <v/>
      </c>
      <c r="BK770" s="179" t="str">
        <f t="array" ref="BK770">IF($F770&lt;&gt;"",XLOOKUP($F770,Productos!$A:$A,Productos!BD:BD,"Revisar"),"")</f>
        <v/>
      </c>
      <c r="BL770" s="179" t="str">
        <f t="array" ref="BL770">IF($F770&lt;&gt;"", XLOOKUP($F770,Productos!$A$2:$A1001,Productos!BE$2:BE1001,"")*$G770,"")</f>
        <v/>
      </c>
      <c r="BM770" s="179" t="str">
        <f t="array" ref="BM770">IF($F770&lt;&gt;"",XLOOKUP($F770,Productos!$A:$A,Productos!BF:BF,"Revisar"),"")</f>
        <v/>
      </c>
      <c r="BN770" s="179" t="str">
        <f t="array" ref="BN770">IF($F770&lt;&gt;"", XLOOKUP($F770,Productos!$A$2:$A1001,Productos!BG$2:BG1001,"")*$G770,"")</f>
        <v/>
      </c>
      <c r="BO770" s="179" t="str">
        <f t="array" ref="BO770">IF($F770&lt;&gt;"",XLOOKUP($F770,Productos!$A:$A,Productos!BH:BH,"Revisar"),"")</f>
        <v/>
      </c>
      <c r="BP770" s="179" t="str">
        <f t="array" ref="BP770">IF($F770&lt;&gt;"", XLOOKUP($F770,Productos!$A$2:$A1001,Productos!BI$2:BI1001,"")*$G770,"")</f>
        <v/>
      </c>
      <c r="BQ770" s="179" t="str">
        <f t="array" ref="BQ770">IF($F770&lt;&gt;"",XLOOKUP($F770,Productos!$A:$A,Productos!BJ:BJ,"Revisar"),"")</f>
        <v/>
      </c>
      <c r="BR770" s="179" t="str">
        <f t="array" ref="BR770">IF($F770&lt;&gt;"", XLOOKUP($F770,Productos!$A$2:$A1001,Productos!BK$2:BK1001,"")*$G770,"")</f>
        <v/>
      </c>
      <c r="BS770" s="179" t="str">
        <f t="array" ref="BS770">IF($F770&lt;&gt;"",XLOOKUP($F770,Productos!$A:$A,Productos!BL:BL,"Revisar"),"")</f>
        <v/>
      </c>
      <c r="BT770" s="179" t="str">
        <f t="array" ref="BT770">IF($F770&lt;&gt;"", XLOOKUP($F770,Productos!$A$2:$A1001,Productos!BM$2:BM1001,"")*$G770,"")</f>
        <v/>
      </c>
      <c r="BU770" s="179" t="str">
        <f t="array" ref="BU770">IF($F770&lt;&gt;"",XLOOKUP($F770,Productos!$A:$A,Productos!BN:BN,"Revisar"),"")</f>
        <v/>
      </c>
      <c r="BV770" s="179" t="str">
        <f t="array" ref="BV770">IF($F770&lt;&gt;"", XLOOKUP($F770,Productos!$A$2:$A1001,Productos!BO$2:BO1001,"")*$G770,"")</f>
        <v/>
      </c>
      <c r="BW770" s="179" t="str">
        <f t="array" ref="BW770">IF($F770&lt;&gt;"",XLOOKUP($F770,Productos!$A:$A,Productos!BP:BP,"Revisar"),"")</f>
        <v/>
      </c>
      <c r="BX770" s="179" t="str">
        <f t="array" ref="BX770">IF($F770&lt;&gt;"", XLOOKUP($F770,Productos!$A$2:$A1001,Productos!BQ$2:BQ1001,"")*$G770,"")</f>
        <v/>
      </c>
      <c r="BY770" s="179" t="str">
        <f t="array" ref="BY770">IF($F770&lt;&gt;"",XLOOKUP($F770,Productos!$A:$A,Productos!BR:BR,"Revisar"),"")</f>
        <v/>
      </c>
      <c r="BZ770" s="179" t="str">
        <f t="array" ref="BZ770">IF($F770&lt;&gt;"", XLOOKUP($F770,Productos!$A$2:$A1001,Productos!BS$2:BS1001,"")*$G770,"")</f>
        <v/>
      </c>
    </row>
    <row r="771">
      <c r="A771" s="188"/>
      <c r="B771" s="189"/>
      <c r="C771" s="190"/>
      <c r="D771" s="190"/>
      <c r="E771" s="191"/>
      <c r="F771" s="186"/>
      <c r="G771" s="192"/>
      <c r="H771" s="9"/>
      <c r="I771" s="179" t="str">
        <f t="array" ref="I771">IF($F771&lt;&gt;"",XLOOKUP($F771,Productos!$A:$A,Productos!B:B,"Revisar"),"")</f>
        <v/>
      </c>
      <c r="J771" s="179" t="str">
        <f t="array" ref="J771">IF($F771&lt;&gt;"", XLOOKUP($F771,Productos!$A$2:$A1001,Productos!C$2:C1001,"")*$G771,"")</f>
        <v/>
      </c>
      <c r="K771" s="179" t="str">
        <f t="array" ref="K771">IF($F771&lt;&gt;"",XLOOKUP($F771,Productos!$A:$A,Productos!D:D,"Revisar"),"")</f>
        <v/>
      </c>
      <c r="L771" s="179" t="str">
        <f t="array" ref="L771">IF($F771&lt;&gt;"", XLOOKUP($F771,Productos!$A$2:$A1001,Productos!E$2:E1001,"")*$G771,"")</f>
        <v/>
      </c>
      <c r="M771" s="179" t="str">
        <f t="array" ref="M771">IF($F771&lt;&gt;"",XLOOKUP($F771,Productos!$A:$A,Productos!F:F,"Revisar"),"")</f>
        <v/>
      </c>
      <c r="N771" s="179" t="str">
        <f t="array" ref="N771">IF($F771&lt;&gt;"", XLOOKUP($F771,Productos!$A$2:$A1001,Productos!G$2:G1001,"")*$G771,"")</f>
        <v/>
      </c>
      <c r="O771" s="179" t="str">
        <f t="array" ref="O771">IF($F771&lt;&gt;"",XLOOKUP($F771,Productos!$A:$A,Productos!H:H,"Revisar"),"")</f>
        <v/>
      </c>
      <c r="P771" s="179" t="str">
        <f t="array" ref="P771">IF($F771&lt;&gt;"", XLOOKUP($F771,Productos!$A$2:$A1001,Productos!I$2:I1001,"")*$G771,"")</f>
        <v/>
      </c>
      <c r="Q771" s="179" t="str">
        <f t="array" ref="Q771">IF($F771&lt;&gt;"",XLOOKUP($F771,Productos!$A:$A,Productos!J:J,"Revisar"),"")</f>
        <v/>
      </c>
      <c r="R771" s="179" t="str">
        <f t="array" ref="R771">IF($F771&lt;&gt;"", XLOOKUP($F771,Productos!$A$2:$A1001,Productos!K$2:K1001,"")*$G771,"")</f>
        <v/>
      </c>
      <c r="S771" s="179" t="str">
        <f t="array" ref="S771">IF($F771&lt;&gt;"",XLOOKUP($F771,Productos!$A:$A,Productos!L:L,"Revisar"),"")</f>
        <v/>
      </c>
      <c r="T771" s="179" t="str">
        <f t="array" ref="T771">IF($F771&lt;&gt;"", XLOOKUP($F771,Productos!$A$2:$A1001,Productos!M$2:M1001,"")*$G771,"")</f>
        <v/>
      </c>
      <c r="U771" s="179" t="str">
        <f t="array" ref="U771">IF($F771&lt;&gt;"",XLOOKUP($F771,Productos!$A:$A,Productos!N:N,"Revisar"),"")</f>
        <v/>
      </c>
      <c r="V771" s="179" t="str">
        <f t="array" ref="V771">IF($F771&lt;&gt;"", XLOOKUP($F771,Productos!$A$2:$A1001,Productos!O$2:O1001,"")*$G771,"")</f>
        <v/>
      </c>
      <c r="W771" s="179" t="str">
        <f t="array" ref="W771">IF($F771&lt;&gt;"",XLOOKUP($F771,Productos!$A:$A,Productos!P:P,"Revisar"),"")</f>
        <v/>
      </c>
      <c r="X771" s="179" t="str">
        <f t="array" ref="X771">IF($F771&lt;&gt;"", XLOOKUP($F771,Productos!$A$2:$A1001,Productos!Q$2:Q1001,"")*$G771,"")</f>
        <v/>
      </c>
      <c r="Y771" s="179" t="str">
        <f t="array" ref="Y771">IF($F771&lt;&gt;"",XLOOKUP($F771,Productos!$A:$A,Productos!R:R,"Revisar"),"")</f>
        <v/>
      </c>
      <c r="Z771" s="179" t="str">
        <f t="array" ref="Z771">IF($F771&lt;&gt;"", XLOOKUP($F771,Productos!$A$2:$A1001,Productos!S$2:S1001,"")*$G771,"")</f>
        <v/>
      </c>
      <c r="AA771" s="179" t="str">
        <f t="array" ref="AA771">IF($F771&lt;&gt;"",XLOOKUP($F771,Productos!$A:$A,Productos!T:T,"Revisar"),"")</f>
        <v/>
      </c>
      <c r="AB771" s="179" t="str">
        <f t="array" ref="AB771">IF($F771&lt;&gt;"", XLOOKUP($F771,Productos!$A$2:$A1001,Productos!U$2:U1001,"")*$G771,"")</f>
        <v/>
      </c>
      <c r="AC771" s="179" t="str">
        <f t="array" ref="AC771">IF($F771&lt;&gt;"",XLOOKUP($F771,Productos!$A:$A,Productos!V:V,"Revisar"),"")</f>
        <v/>
      </c>
      <c r="AD771" s="179" t="str">
        <f t="array" ref="AD771">IF($F771&lt;&gt;"", XLOOKUP($F771,Productos!$A$2:$A1001,Productos!W$2:W1001,"")*$G771,"")</f>
        <v/>
      </c>
      <c r="AE771" s="179" t="str">
        <f t="array" ref="AE771">IF($F771&lt;&gt;"",XLOOKUP($F771,Productos!$A:$A,Productos!X:X,"Revisar"),"")</f>
        <v/>
      </c>
      <c r="AF771" s="179" t="str">
        <f t="array" ref="AF771">IF($F771&lt;&gt;"", XLOOKUP($F771,Productos!$A$2:$A1001,Productos!Y$2:Y1001,"")*$G771,"")</f>
        <v/>
      </c>
      <c r="AG771" s="179" t="str">
        <f t="array" ref="AG771">IF($F771&lt;&gt;"",XLOOKUP($F771,Productos!$A:$A,Productos!Z:Z,"Revisar"),"")</f>
        <v/>
      </c>
      <c r="AH771" s="179" t="str">
        <f t="array" ref="AH771">IF($F771&lt;&gt;"", XLOOKUP($F771,Productos!$A$2:$A1001,Productos!AA$2:AA1001,"")*$G771,"")</f>
        <v/>
      </c>
      <c r="AI771" s="179" t="str">
        <f t="array" ref="AI771">IF($F771&lt;&gt;"",XLOOKUP($F771,Productos!$A:$A,Productos!AB:AB,"Revisar"),"")</f>
        <v/>
      </c>
      <c r="AJ771" s="179" t="str">
        <f t="array" ref="AJ771">IF($F771&lt;&gt;"", XLOOKUP($F771,Productos!$A$2:$A1001,Productos!AC$2:AC1001,"")*$G771,"")</f>
        <v/>
      </c>
      <c r="AK771" s="179" t="str">
        <f t="array" ref="AK771">IF($F771&lt;&gt;"",XLOOKUP($F771,Productos!$A:$A,Productos!AD:AD,"Revisar"),"")</f>
        <v/>
      </c>
      <c r="AL771" s="179" t="str">
        <f t="array" ref="AL771">IF($F771&lt;&gt;"", XLOOKUP($F771,Productos!$A$2:$A1001,Productos!AE$2:AE1001,"")*$G771,"")</f>
        <v/>
      </c>
      <c r="AM771" s="179" t="str">
        <f t="array" ref="AM771">IF($F771&lt;&gt;"",XLOOKUP($F771,Productos!$A:$A,Productos!AF:AF,"Revisar"),"")</f>
        <v/>
      </c>
      <c r="AN771" s="179" t="str">
        <f t="array" ref="AN771">IF($F771&lt;&gt;"", XLOOKUP($F771,Productos!$A$2:$A1001,Productos!AG$2:AG1001,"")*$G771,"")</f>
        <v/>
      </c>
      <c r="AO771" s="179" t="str">
        <f t="array" ref="AO771">IF($F771&lt;&gt;"",XLOOKUP($F771,Productos!$A:$A,Productos!AH:AH,"Revisar"),"")</f>
        <v/>
      </c>
      <c r="AP771" s="179" t="str">
        <f t="array" ref="AP771">IF($F771&lt;&gt;"", XLOOKUP($F771,Productos!$A$2:$A1001,Productos!AI$2:AI1001,"")*$G771,"")</f>
        <v/>
      </c>
      <c r="AQ771" s="179" t="str">
        <f t="array" ref="AQ771">IF($F771&lt;&gt;"",XLOOKUP($F771,Productos!$A:$A,Productos!AJ:AJ,"Revisar"),"")</f>
        <v/>
      </c>
      <c r="AR771" s="179" t="str">
        <f t="array" ref="AR771">IF($F771&lt;&gt;"", XLOOKUP($F771,Productos!$A$2:$A1001,Productos!AK$2:AK1001,"")*$G771,"")</f>
        <v/>
      </c>
      <c r="AS771" s="179" t="str">
        <f t="array" ref="AS771">IF($F771&lt;&gt;"",XLOOKUP($F771,Productos!$A:$A,Productos!AL:AL,"Revisar"),"")</f>
        <v/>
      </c>
      <c r="AT771" s="179" t="str">
        <f t="array" ref="AT771">IF($F771&lt;&gt;"", XLOOKUP($F771,Productos!$A$2:$A1001,Productos!AM$2:AM1001,"")*$G771,"")</f>
        <v/>
      </c>
      <c r="AU771" s="179" t="str">
        <f t="array" ref="AU771">IF($F771&lt;&gt;"",XLOOKUP($F771,Productos!$A:$A,Productos!AN:AN,"Revisar"),"")</f>
        <v/>
      </c>
      <c r="AV771" s="179" t="str">
        <f t="array" ref="AV771">IF($F771&lt;&gt;"", XLOOKUP($F771,Productos!$A$2:$A1001,Productos!AO$2:AO1001,"")*$G771,"")</f>
        <v/>
      </c>
      <c r="AW771" s="179" t="str">
        <f t="array" ref="AW771">IF($F771&lt;&gt;"",XLOOKUP($F771,Productos!$A:$A,Productos!AP:AP,"Revisar"),"")</f>
        <v/>
      </c>
      <c r="AX771" s="179" t="str">
        <f t="array" ref="AX771">IF($F771&lt;&gt;"", XLOOKUP($F771,Productos!$A$2:$A1001,Productos!AQ$2:AQ1001,"")*$G771,"")</f>
        <v/>
      </c>
      <c r="AY771" s="179" t="str">
        <f t="array" ref="AY771">IF($F771&lt;&gt;"",XLOOKUP($F771,Productos!$A:$A,Productos!AR:AR,"Revisar"),"")</f>
        <v/>
      </c>
      <c r="AZ771" s="179" t="str">
        <f t="array" ref="AZ771">IF($F771&lt;&gt;"", XLOOKUP($F771,Productos!$A$2:$A1001,Productos!AS$2:AS1001,"")*$G771,"")</f>
        <v/>
      </c>
      <c r="BA771" s="179" t="str">
        <f t="array" ref="BA771">IF($F771&lt;&gt;"",XLOOKUP($F771,Productos!$A:$A,Productos!AT:AT,"Revisar"),"")</f>
        <v/>
      </c>
      <c r="BB771" s="179" t="str">
        <f t="array" ref="BB771">IF($F771&lt;&gt;"", XLOOKUP($F771,Productos!$A$2:$A1001,Productos!AU$2:AU1001,"")*$G771,"")</f>
        <v/>
      </c>
      <c r="BC771" s="179" t="str">
        <f t="array" ref="BC771">IF($F771&lt;&gt;"",XLOOKUP($F771,Productos!$A:$A,Productos!AV:AV,"Revisar"),"")</f>
        <v/>
      </c>
      <c r="BD771" s="179" t="str">
        <f t="array" ref="BD771">IF($F771&lt;&gt;"", XLOOKUP($F771,Productos!$A$2:$A1001,Productos!AW$2:AW1001,"")*$G771,"")</f>
        <v/>
      </c>
      <c r="BE771" s="179" t="str">
        <f t="array" ref="BE771">IF($F771&lt;&gt;"",XLOOKUP($F771,Productos!$A:$A,Productos!AX:AX,"Revisar"),"")</f>
        <v/>
      </c>
      <c r="BF771" s="179" t="str">
        <f t="array" ref="BF771">IF($F771&lt;&gt;"", XLOOKUP($F771,Productos!$A$2:$A1001,Productos!AY$2:AY1001,"")*$G771,"")</f>
        <v/>
      </c>
      <c r="BG771" s="179" t="str">
        <f t="array" ref="BG771">IF($F771&lt;&gt;"",XLOOKUP($F771,Productos!$A:$A,Productos!AZ:AZ,"Revisar"),"")</f>
        <v/>
      </c>
      <c r="BH771" s="179" t="str">
        <f t="array" ref="BH771">IF($F771&lt;&gt;"", XLOOKUP($F771,Productos!$A$2:$A1001,Productos!BA$2:BA1001,"")*$G771,"")</f>
        <v/>
      </c>
      <c r="BI771" s="179" t="str">
        <f t="array" ref="BI771">IF($F771&lt;&gt;"",XLOOKUP($F771,Productos!$A:$A,Productos!BB:BB,"Revisar"),"")</f>
        <v/>
      </c>
      <c r="BJ771" s="179" t="str">
        <f t="array" ref="BJ771">IF($F771&lt;&gt;"", XLOOKUP($F771,Productos!$A$2:$A1001,Productos!BC$2:BC1001,"")*$G771,"")</f>
        <v/>
      </c>
      <c r="BK771" s="179" t="str">
        <f t="array" ref="BK771">IF($F771&lt;&gt;"",XLOOKUP($F771,Productos!$A:$A,Productos!BD:BD,"Revisar"),"")</f>
        <v/>
      </c>
      <c r="BL771" s="179" t="str">
        <f t="array" ref="BL771">IF($F771&lt;&gt;"", XLOOKUP($F771,Productos!$A$2:$A1001,Productos!BE$2:BE1001,"")*$G771,"")</f>
        <v/>
      </c>
      <c r="BM771" s="179" t="str">
        <f t="array" ref="BM771">IF($F771&lt;&gt;"",XLOOKUP($F771,Productos!$A:$A,Productos!BF:BF,"Revisar"),"")</f>
        <v/>
      </c>
      <c r="BN771" s="179" t="str">
        <f t="array" ref="BN771">IF($F771&lt;&gt;"", XLOOKUP($F771,Productos!$A$2:$A1001,Productos!BG$2:BG1001,"")*$G771,"")</f>
        <v/>
      </c>
      <c r="BO771" s="179" t="str">
        <f t="array" ref="BO771">IF($F771&lt;&gt;"",XLOOKUP($F771,Productos!$A:$A,Productos!BH:BH,"Revisar"),"")</f>
        <v/>
      </c>
      <c r="BP771" s="179" t="str">
        <f t="array" ref="BP771">IF($F771&lt;&gt;"", XLOOKUP($F771,Productos!$A$2:$A1001,Productos!BI$2:BI1001,"")*$G771,"")</f>
        <v/>
      </c>
      <c r="BQ771" s="179" t="str">
        <f t="array" ref="BQ771">IF($F771&lt;&gt;"",XLOOKUP($F771,Productos!$A:$A,Productos!BJ:BJ,"Revisar"),"")</f>
        <v/>
      </c>
      <c r="BR771" s="179" t="str">
        <f t="array" ref="BR771">IF($F771&lt;&gt;"", XLOOKUP($F771,Productos!$A$2:$A1001,Productos!BK$2:BK1001,"")*$G771,"")</f>
        <v/>
      </c>
      <c r="BS771" s="179" t="str">
        <f t="array" ref="BS771">IF($F771&lt;&gt;"",XLOOKUP($F771,Productos!$A:$A,Productos!BL:BL,"Revisar"),"")</f>
        <v/>
      </c>
      <c r="BT771" s="179" t="str">
        <f t="array" ref="BT771">IF($F771&lt;&gt;"", XLOOKUP($F771,Productos!$A$2:$A1001,Productos!BM$2:BM1001,"")*$G771,"")</f>
        <v/>
      </c>
      <c r="BU771" s="179" t="str">
        <f t="array" ref="BU771">IF($F771&lt;&gt;"",XLOOKUP($F771,Productos!$A:$A,Productos!BN:BN,"Revisar"),"")</f>
        <v/>
      </c>
      <c r="BV771" s="179" t="str">
        <f t="array" ref="BV771">IF($F771&lt;&gt;"", XLOOKUP($F771,Productos!$A$2:$A1001,Productos!BO$2:BO1001,"")*$G771,"")</f>
        <v/>
      </c>
      <c r="BW771" s="179" t="str">
        <f t="array" ref="BW771">IF($F771&lt;&gt;"",XLOOKUP($F771,Productos!$A:$A,Productos!BP:BP,"Revisar"),"")</f>
        <v/>
      </c>
      <c r="BX771" s="179" t="str">
        <f t="array" ref="BX771">IF($F771&lt;&gt;"", XLOOKUP($F771,Productos!$A$2:$A1001,Productos!BQ$2:BQ1001,"")*$G771,"")</f>
        <v/>
      </c>
      <c r="BY771" s="179" t="str">
        <f t="array" ref="BY771">IF($F771&lt;&gt;"",XLOOKUP($F771,Productos!$A:$A,Productos!BR:BR,"Revisar"),"")</f>
        <v/>
      </c>
      <c r="BZ771" s="179" t="str">
        <f t="array" ref="BZ771">IF($F771&lt;&gt;"", XLOOKUP($F771,Productos!$A$2:$A1001,Productos!BS$2:BS1001,"")*$G771,"")</f>
        <v/>
      </c>
    </row>
    <row r="772">
      <c r="A772" s="188"/>
      <c r="B772" s="189"/>
      <c r="C772" s="190"/>
      <c r="D772" s="190"/>
      <c r="E772" s="191"/>
      <c r="F772" s="186"/>
      <c r="G772" s="192"/>
      <c r="H772" s="9"/>
      <c r="I772" s="179" t="str">
        <f t="array" ref="I772">IF($F772&lt;&gt;"",XLOOKUP($F772,Productos!$A:$A,Productos!B:B,"Revisar"),"")</f>
        <v/>
      </c>
      <c r="J772" s="179" t="str">
        <f t="array" ref="J772">IF($F772&lt;&gt;"", XLOOKUP($F772,Productos!$A$2:$A1001,Productos!C$2:C1001,"")*$G772,"")</f>
        <v/>
      </c>
      <c r="K772" s="179" t="str">
        <f t="array" ref="K772">IF($F772&lt;&gt;"",XLOOKUP($F772,Productos!$A:$A,Productos!D:D,"Revisar"),"")</f>
        <v/>
      </c>
      <c r="L772" s="179" t="str">
        <f t="array" ref="L772">IF($F772&lt;&gt;"", XLOOKUP($F772,Productos!$A$2:$A1001,Productos!E$2:E1001,"")*$G772,"")</f>
        <v/>
      </c>
      <c r="M772" s="179" t="str">
        <f t="array" ref="M772">IF($F772&lt;&gt;"",XLOOKUP($F772,Productos!$A:$A,Productos!F:F,"Revisar"),"")</f>
        <v/>
      </c>
      <c r="N772" s="179" t="str">
        <f t="array" ref="N772">IF($F772&lt;&gt;"", XLOOKUP($F772,Productos!$A$2:$A1001,Productos!G$2:G1001,"")*$G772,"")</f>
        <v/>
      </c>
      <c r="O772" s="179" t="str">
        <f t="array" ref="O772">IF($F772&lt;&gt;"",XLOOKUP($F772,Productos!$A:$A,Productos!H:H,"Revisar"),"")</f>
        <v/>
      </c>
      <c r="P772" s="179" t="str">
        <f t="array" ref="P772">IF($F772&lt;&gt;"", XLOOKUP($F772,Productos!$A$2:$A1001,Productos!I$2:I1001,"")*$G772,"")</f>
        <v/>
      </c>
      <c r="Q772" s="179" t="str">
        <f t="array" ref="Q772">IF($F772&lt;&gt;"",XLOOKUP($F772,Productos!$A:$A,Productos!J:J,"Revisar"),"")</f>
        <v/>
      </c>
      <c r="R772" s="179" t="str">
        <f t="array" ref="R772">IF($F772&lt;&gt;"", XLOOKUP($F772,Productos!$A$2:$A1001,Productos!K$2:K1001,"")*$G772,"")</f>
        <v/>
      </c>
      <c r="S772" s="179" t="str">
        <f t="array" ref="S772">IF($F772&lt;&gt;"",XLOOKUP($F772,Productos!$A:$A,Productos!L:L,"Revisar"),"")</f>
        <v/>
      </c>
      <c r="T772" s="179" t="str">
        <f t="array" ref="T772">IF($F772&lt;&gt;"", XLOOKUP($F772,Productos!$A$2:$A1001,Productos!M$2:M1001,"")*$G772,"")</f>
        <v/>
      </c>
      <c r="U772" s="179" t="str">
        <f t="array" ref="U772">IF($F772&lt;&gt;"",XLOOKUP($F772,Productos!$A:$A,Productos!N:N,"Revisar"),"")</f>
        <v/>
      </c>
      <c r="V772" s="179" t="str">
        <f t="array" ref="V772">IF($F772&lt;&gt;"", XLOOKUP($F772,Productos!$A$2:$A1001,Productos!O$2:O1001,"")*$G772,"")</f>
        <v/>
      </c>
      <c r="W772" s="179" t="str">
        <f t="array" ref="W772">IF($F772&lt;&gt;"",XLOOKUP($F772,Productos!$A:$A,Productos!P:P,"Revisar"),"")</f>
        <v/>
      </c>
      <c r="X772" s="179" t="str">
        <f t="array" ref="X772">IF($F772&lt;&gt;"", XLOOKUP($F772,Productos!$A$2:$A1001,Productos!Q$2:Q1001,"")*$G772,"")</f>
        <v/>
      </c>
      <c r="Y772" s="179" t="str">
        <f t="array" ref="Y772">IF($F772&lt;&gt;"",XLOOKUP($F772,Productos!$A:$A,Productos!R:R,"Revisar"),"")</f>
        <v/>
      </c>
      <c r="Z772" s="179" t="str">
        <f t="array" ref="Z772">IF($F772&lt;&gt;"", XLOOKUP($F772,Productos!$A$2:$A1001,Productos!S$2:S1001,"")*$G772,"")</f>
        <v/>
      </c>
      <c r="AA772" s="179" t="str">
        <f t="array" ref="AA772">IF($F772&lt;&gt;"",XLOOKUP($F772,Productos!$A:$A,Productos!T:T,"Revisar"),"")</f>
        <v/>
      </c>
      <c r="AB772" s="179" t="str">
        <f t="array" ref="AB772">IF($F772&lt;&gt;"", XLOOKUP($F772,Productos!$A$2:$A1001,Productos!U$2:U1001,"")*$G772,"")</f>
        <v/>
      </c>
      <c r="AC772" s="179" t="str">
        <f t="array" ref="AC772">IF($F772&lt;&gt;"",XLOOKUP($F772,Productos!$A:$A,Productos!V:V,"Revisar"),"")</f>
        <v/>
      </c>
      <c r="AD772" s="179" t="str">
        <f t="array" ref="AD772">IF($F772&lt;&gt;"", XLOOKUP($F772,Productos!$A$2:$A1001,Productos!W$2:W1001,"")*$G772,"")</f>
        <v/>
      </c>
      <c r="AE772" s="179" t="str">
        <f t="array" ref="AE772">IF($F772&lt;&gt;"",XLOOKUP($F772,Productos!$A:$A,Productos!X:X,"Revisar"),"")</f>
        <v/>
      </c>
      <c r="AF772" s="179" t="str">
        <f t="array" ref="AF772">IF($F772&lt;&gt;"", XLOOKUP($F772,Productos!$A$2:$A1001,Productos!Y$2:Y1001,"")*$G772,"")</f>
        <v/>
      </c>
      <c r="AG772" s="179" t="str">
        <f t="array" ref="AG772">IF($F772&lt;&gt;"",XLOOKUP($F772,Productos!$A:$A,Productos!Z:Z,"Revisar"),"")</f>
        <v/>
      </c>
      <c r="AH772" s="179" t="str">
        <f t="array" ref="AH772">IF($F772&lt;&gt;"", XLOOKUP($F772,Productos!$A$2:$A1001,Productos!AA$2:AA1001,"")*$G772,"")</f>
        <v/>
      </c>
      <c r="AI772" s="179" t="str">
        <f t="array" ref="AI772">IF($F772&lt;&gt;"",XLOOKUP($F772,Productos!$A:$A,Productos!AB:AB,"Revisar"),"")</f>
        <v/>
      </c>
      <c r="AJ772" s="179" t="str">
        <f t="array" ref="AJ772">IF($F772&lt;&gt;"", XLOOKUP($F772,Productos!$A$2:$A1001,Productos!AC$2:AC1001,"")*$G772,"")</f>
        <v/>
      </c>
      <c r="AK772" s="179" t="str">
        <f t="array" ref="AK772">IF($F772&lt;&gt;"",XLOOKUP($F772,Productos!$A:$A,Productos!AD:AD,"Revisar"),"")</f>
        <v/>
      </c>
      <c r="AL772" s="179" t="str">
        <f t="array" ref="AL772">IF($F772&lt;&gt;"", XLOOKUP($F772,Productos!$A$2:$A1001,Productos!AE$2:AE1001,"")*$G772,"")</f>
        <v/>
      </c>
      <c r="AM772" s="179" t="str">
        <f t="array" ref="AM772">IF($F772&lt;&gt;"",XLOOKUP($F772,Productos!$A:$A,Productos!AF:AF,"Revisar"),"")</f>
        <v/>
      </c>
      <c r="AN772" s="179" t="str">
        <f t="array" ref="AN772">IF($F772&lt;&gt;"", XLOOKUP($F772,Productos!$A$2:$A1001,Productos!AG$2:AG1001,"")*$G772,"")</f>
        <v/>
      </c>
      <c r="AO772" s="179" t="str">
        <f t="array" ref="AO772">IF($F772&lt;&gt;"",XLOOKUP($F772,Productos!$A:$A,Productos!AH:AH,"Revisar"),"")</f>
        <v/>
      </c>
      <c r="AP772" s="179" t="str">
        <f t="array" ref="AP772">IF($F772&lt;&gt;"", XLOOKUP($F772,Productos!$A$2:$A1001,Productos!AI$2:AI1001,"")*$G772,"")</f>
        <v/>
      </c>
      <c r="AQ772" s="179" t="str">
        <f t="array" ref="AQ772">IF($F772&lt;&gt;"",XLOOKUP($F772,Productos!$A:$A,Productos!AJ:AJ,"Revisar"),"")</f>
        <v/>
      </c>
      <c r="AR772" s="179" t="str">
        <f t="array" ref="AR772">IF($F772&lt;&gt;"", XLOOKUP($F772,Productos!$A$2:$A1001,Productos!AK$2:AK1001,"")*$G772,"")</f>
        <v/>
      </c>
      <c r="AS772" s="179" t="str">
        <f t="array" ref="AS772">IF($F772&lt;&gt;"",XLOOKUP($F772,Productos!$A:$A,Productos!AL:AL,"Revisar"),"")</f>
        <v/>
      </c>
      <c r="AT772" s="179" t="str">
        <f t="array" ref="AT772">IF($F772&lt;&gt;"", XLOOKUP($F772,Productos!$A$2:$A1001,Productos!AM$2:AM1001,"")*$G772,"")</f>
        <v/>
      </c>
      <c r="AU772" s="179" t="str">
        <f t="array" ref="AU772">IF($F772&lt;&gt;"",XLOOKUP($F772,Productos!$A:$A,Productos!AN:AN,"Revisar"),"")</f>
        <v/>
      </c>
      <c r="AV772" s="179" t="str">
        <f t="array" ref="AV772">IF($F772&lt;&gt;"", XLOOKUP($F772,Productos!$A$2:$A1001,Productos!AO$2:AO1001,"")*$G772,"")</f>
        <v/>
      </c>
      <c r="AW772" s="179" t="str">
        <f t="array" ref="AW772">IF($F772&lt;&gt;"",XLOOKUP($F772,Productos!$A:$A,Productos!AP:AP,"Revisar"),"")</f>
        <v/>
      </c>
      <c r="AX772" s="179" t="str">
        <f t="array" ref="AX772">IF($F772&lt;&gt;"", XLOOKUP($F772,Productos!$A$2:$A1001,Productos!AQ$2:AQ1001,"")*$G772,"")</f>
        <v/>
      </c>
      <c r="AY772" s="179" t="str">
        <f t="array" ref="AY772">IF($F772&lt;&gt;"",XLOOKUP($F772,Productos!$A:$A,Productos!AR:AR,"Revisar"),"")</f>
        <v/>
      </c>
      <c r="AZ772" s="179" t="str">
        <f t="array" ref="AZ772">IF($F772&lt;&gt;"", XLOOKUP($F772,Productos!$A$2:$A1001,Productos!AS$2:AS1001,"")*$G772,"")</f>
        <v/>
      </c>
      <c r="BA772" s="179" t="str">
        <f t="array" ref="BA772">IF($F772&lt;&gt;"",XLOOKUP($F772,Productos!$A:$A,Productos!AT:AT,"Revisar"),"")</f>
        <v/>
      </c>
      <c r="BB772" s="179" t="str">
        <f t="array" ref="BB772">IF($F772&lt;&gt;"", XLOOKUP($F772,Productos!$A$2:$A1001,Productos!AU$2:AU1001,"")*$G772,"")</f>
        <v/>
      </c>
      <c r="BC772" s="179" t="str">
        <f t="array" ref="BC772">IF($F772&lt;&gt;"",XLOOKUP($F772,Productos!$A:$A,Productos!AV:AV,"Revisar"),"")</f>
        <v/>
      </c>
      <c r="BD772" s="179" t="str">
        <f t="array" ref="BD772">IF($F772&lt;&gt;"", XLOOKUP($F772,Productos!$A$2:$A1001,Productos!AW$2:AW1001,"")*$G772,"")</f>
        <v/>
      </c>
      <c r="BE772" s="179" t="str">
        <f t="array" ref="BE772">IF($F772&lt;&gt;"",XLOOKUP($F772,Productos!$A:$A,Productos!AX:AX,"Revisar"),"")</f>
        <v/>
      </c>
      <c r="BF772" s="179" t="str">
        <f t="array" ref="BF772">IF($F772&lt;&gt;"", XLOOKUP($F772,Productos!$A$2:$A1001,Productos!AY$2:AY1001,"")*$G772,"")</f>
        <v/>
      </c>
      <c r="BG772" s="179" t="str">
        <f t="array" ref="BG772">IF($F772&lt;&gt;"",XLOOKUP($F772,Productos!$A:$A,Productos!AZ:AZ,"Revisar"),"")</f>
        <v/>
      </c>
      <c r="BH772" s="179" t="str">
        <f t="array" ref="BH772">IF($F772&lt;&gt;"", XLOOKUP($F772,Productos!$A$2:$A1001,Productos!BA$2:BA1001,"")*$G772,"")</f>
        <v/>
      </c>
      <c r="BI772" s="179" t="str">
        <f t="array" ref="BI772">IF($F772&lt;&gt;"",XLOOKUP($F772,Productos!$A:$A,Productos!BB:BB,"Revisar"),"")</f>
        <v/>
      </c>
      <c r="BJ772" s="179" t="str">
        <f t="array" ref="BJ772">IF($F772&lt;&gt;"", XLOOKUP($F772,Productos!$A$2:$A1001,Productos!BC$2:BC1001,"")*$G772,"")</f>
        <v/>
      </c>
      <c r="BK772" s="179" t="str">
        <f t="array" ref="BK772">IF($F772&lt;&gt;"",XLOOKUP($F772,Productos!$A:$A,Productos!BD:BD,"Revisar"),"")</f>
        <v/>
      </c>
      <c r="BL772" s="179" t="str">
        <f t="array" ref="BL772">IF($F772&lt;&gt;"", XLOOKUP($F772,Productos!$A$2:$A1001,Productos!BE$2:BE1001,"")*$G772,"")</f>
        <v/>
      </c>
      <c r="BM772" s="179" t="str">
        <f t="array" ref="BM772">IF($F772&lt;&gt;"",XLOOKUP($F772,Productos!$A:$A,Productos!BF:BF,"Revisar"),"")</f>
        <v/>
      </c>
      <c r="BN772" s="179" t="str">
        <f t="array" ref="BN772">IF($F772&lt;&gt;"", XLOOKUP($F772,Productos!$A$2:$A1001,Productos!BG$2:BG1001,"")*$G772,"")</f>
        <v/>
      </c>
      <c r="BO772" s="179" t="str">
        <f t="array" ref="BO772">IF($F772&lt;&gt;"",XLOOKUP($F772,Productos!$A:$A,Productos!BH:BH,"Revisar"),"")</f>
        <v/>
      </c>
      <c r="BP772" s="179" t="str">
        <f t="array" ref="BP772">IF($F772&lt;&gt;"", XLOOKUP($F772,Productos!$A$2:$A1001,Productos!BI$2:BI1001,"")*$G772,"")</f>
        <v/>
      </c>
      <c r="BQ772" s="179" t="str">
        <f t="array" ref="BQ772">IF($F772&lt;&gt;"",XLOOKUP($F772,Productos!$A:$A,Productos!BJ:BJ,"Revisar"),"")</f>
        <v/>
      </c>
      <c r="BR772" s="179" t="str">
        <f t="array" ref="BR772">IF($F772&lt;&gt;"", XLOOKUP($F772,Productos!$A$2:$A1001,Productos!BK$2:BK1001,"")*$G772,"")</f>
        <v/>
      </c>
      <c r="BS772" s="179" t="str">
        <f t="array" ref="BS772">IF($F772&lt;&gt;"",XLOOKUP($F772,Productos!$A:$A,Productos!BL:BL,"Revisar"),"")</f>
        <v/>
      </c>
      <c r="BT772" s="179" t="str">
        <f t="array" ref="BT772">IF($F772&lt;&gt;"", XLOOKUP($F772,Productos!$A$2:$A1001,Productos!BM$2:BM1001,"")*$G772,"")</f>
        <v/>
      </c>
      <c r="BU772" s="179" t="str">
        <f t="array" ref="BU772">IF($F772&lt;&gt;"",XLOOKUP($F772,Productos!$A:$A,Productos!BN:BN,"Revisar"),"")</f>
        <v/>
      </c>
      <c r="BV772" s="179" t="str">
        <f t="array" ref="BV772">IF($F772&lt;&gt;"", XLOOKUP($F772,Productos!$A$2:$A1001,Productos!BO$2:BO1001,"")*$G772,"")</f>
        <v/>
      </c>
      <c r="BW772" s="179" t="str">
        <f t="array" ref="BW772">IF($F772&lt;&gt;"",XLOOKUP($F772,Productos!$A:$A,Productos!BP:BP,"Revisar"),"")</f>
        <v/>
      </c>
      <c r="BX772" s="179" t="str">
        <f t="array" ref="BX772">IF($F772&lt;&gt;"", XLOOKUP($F772,Productos!$A$2:$A1001,Productos!BQ$2:BQ1001,"")*$G772,"")</f>
        <v/>
      </c>
      <c r="BY772" s="179" t="str">
        <f t="array" ref="BY772">IF($F772&lt;&gt;"",XLOOKUP($F772,Productos!$A:$A,Productos!BR:BR,"Revisar"),"")</f>
        <v/>
      </c>
      <c r="BZ772" s="179" t="str">
        <f t="array" ref="BZ772">IF($F772&lt;&gt;"", XLOOKUP($F772,Productos!$A$2:$A1001,Productos!BS$2:BS1001,"")*$G772,"")</f>
        <v/>
      </c>
    </row>
    <row r="773">
      <c r="A773" s="188"/>
      <c r="B773" s="189"/>
      <c r="C773" s="190"/>
      <c r="D773" s="190"/>
      <c r="E773" s="191"/>
      <c r="F773" s="186"/>
      <c r="G773" s="192"/>
      <c r="H773" s="9"/>
      <c r="I773" s="179" t="str">
        <f t="array" ref="I773">IF($F773&lt;&gt;"",XLOOKUP($F773,Productos!$A:$A,Productos!B:B,"Revisar"),"")</f>
        <v/>
      </c>
      <c r="J773" s="179" t="str">
        <f t="array" ref="J773">IF($F773&lt;&gt;"", XLOOKUP($F773,Productos!$A$2:$A1001,Productos!C$2:C1001,"")*$G773,"")</f>
        <v/>
      </c>
      <c r="K773" s="179" t="str">
        <f t="array" ref="K773">IF($F773&lt;&gt;"",XLOOKUP($F773,Productos!$A:$A,Productos!D:D,"Revisar"),"")</f>
        <v/>
      </c>
      <c r="L773" s="179" t="str">
        <f t="array" ref="L773">IF($F773&lt;&gt;"", XLOOKUP($F773,Productos!$A$2:$A1001,Productos!E$2:E1001,"")*$G773,"")</f>
        <v/>
      </c>
      <c r="M773" s="179" t="str">
        <f t="array" ref="M773">IF($F773&lt;&gt;"",XLOOKUP($F773,Productos!$A:$A,Productos!F:F,"Revisar"),"")</f>
        <v/>
      </c>
      <c r="N773" s="179" t="str">
        <f t="array" ref="N773">IF($F773&lt;&gt;"", XLOOKUP($F773,Productos!$A$2:$A1001,Productos!G$2:G1001,"")*$G773,"")</f>
        <v/>
      </c>
      <c r="O773" s="179" t="str">
        <f t="array" ref="O773">IF($F773&lt;&gt;"",XLOOKUP($F773,Productos!$A:$A,Productos!H:H,"Revisar"),"")</f>
        <v/>
      </c>
      <c r="P773" s="179" t="str">
        <f t="array" ref="P773">IF($F773&lt;&gt;"", XLOOKUP($F773,Productos!$A$2:$A1001,Productos!I$2:I1001,"")*$G773,"")</f>
        <v/>
      </c>
      <c r="Q773" s="179" t="str">
        <f t="array" ref="Q773">IF($F773&lt;&gt;"",XLOOKUP($F773,Productos!$A:$A,Productos!J:J,"Revisar"),"")</f>
        <v/>
      </c>
      <c r="R773" s="179" t="str">
        <f t="array" ref="R773">IF($F773&lt;&gt;"", XLOOKUP($F773,Productos!$A$2:$A1001,Productos!K$2:K1001,"")*$G773,"")</f>
        <v/>
      </c>
      <c r="S773" s="179" t="str">
        <f t="array" ref="S773">IF($F773&lt;&gt;"",XLOOKUP($F773,Productos!$A:$A,Productos!L:L,"Revisar"),"")</f>
        <v/>
      </c>
      <c r="T773" s="179" t="str">
        <f t="array" ref="T773">IF($F773&lt;&gt;"", XLOOKUP($F773,Productos!$A$2:$A1001,Productos!M$2:M1001,"")*$G773,"")</f>
        <v/>
      </c>
      <c r="U773" s="179" t="str">
        <f t="array" ref="U773">IF($F773&lt;&gt;"",XLOOKUP($F773,Productos!$A:$A,Productos!N:N,"Revisar"),"")</f>
        <v/>
      </c>
      <c r="V773" s="179" t="str">
        <f t="array" ref="V773">IF($F773&lt;&gt;"", XLOOKUP($F773,Productos!$A$2:$A1001,Productos!O$2:O1001,"")*$G773,"")</f>
        <v/>
      </c>
      <c r="W773" s="179" t="str">
        <f t="array" ref="W773">IF($F773&lt;&gt;"",XLOOKUP($F773,Productos!$A:$A,Productos!P:P,"Revisar"),"")</f>
        <v/>
      </c>
      <c r="X773" s="179" t="str">
        <f t="array" ref="X773">IF($F773&lt;&gt;"", XLOOKUP($F773,Productos!$A$2:$A1001,Productos!Q$2:Q1001,"")*$G773,"")</f>
        <v/>
      </c>
      <c r="Y773" s="179" t="str">
        <f t="array" ref="Y773">IF($F773&lt;&gt;"",XLOOKUP($F773,Productos!$A:$A,Productos!R:R,"Revisar"),"")</f>
        <v/>
      </c>
      <c r="Z773" s="179" t="str">
        <f t="array" ref="Z773">IF($F773&lt;&gt;"", XLOOKUP($F773,Productos!$A$2:$A1001,Productos!S$2:S1001,"")*$G773,"")</f>
        <v/>
      </c>
      <c r="AA773" s="179" t="str">
        <f t="array" ref="AA773">IF($F773&lt;&gt;"",XLOOKUP($F773,Productos!$A:$A,Productos!T:T,"Revisar"),"")</f>
        <v/>
      </c>
      <c r="AB773" s="179" t="str">
        <f t="array" ref="AB773">IF($F773&lt;&gt;"", XLOOKUP($F773,Productos!$A$2:$A1001,Productos!U$2:U1001,"")*$G773,"")</f>
        <v/>
      </c>
      <c r="AC773" s="179" t="str">
        <f t="array" ref="AC773">IF($F773&lt;&gt;"",XLOOKUP($F773,Productos!$A:$A,Productos!V:V,"Revisar"),"")</f>
        <v/>
      </c>
      <c r="AD773" s="179" t="str">
        <f t="array" ref="AD773">IF($F773&lt;&gt;"", XLOOKUP($F773,Productos!$A$2:$A1001,Productos!W$2:W1001,"")*$G773,"")</f>
        <v/>
      </c>
      <c r="AE773" s="179" t="str">
        <f t="array" ref="AE773">IF($F773&lt;&gt;"",XLOOKUP($F773,Productos!$A:$A,Productos!X:X,"Revisar"),"")</f>
        <v/>
      </c>
      <c r="AF773" s="179" t="str">
        <f t="array" ref="AF773">IF($F773&lt;&gt;"", XLOOKUP($F773,Productos!$A$2:$A1001,Productos!Y$2:Y1001,"")*$G773,"")</f>
        <v/>
      </c>
      <c r="AG773" s="179" t="str">
        <f t="array" ref="AG773">IF($F773&lt;&gt;"",XLOOKUP($F773,Productos!$A:$A,Productos!Z:Z,"Revisar"),"")</f>
        <v/>
      </c>
      <c r="AH773" s="179" t="str">
        <f t="array" ref="AH773">IF($F773&lt;&gt;"", XLOOKUP($F773,Productos!$A$2:$A1001,Productos!AA$2:AA1001,"")*$G773,"")</f>
        <v/>
      </c>
      <c r="AI773" s="179" t="str">
        <f t="array" ref="AI773">IF($F773&lt;&gt;"",XLOOKUP($F773,Productos!$A:$A,Productos!AB:AB,"Revisar"),"")</f>
        <v/>
      </c>
      <c r="AJ773" s="179" t="str">
        <f t="array" ref="AJ773">IF($F773&lt;&gt;"", XLOOKUP($F773,Productos!$A$2:$A1001,Productos!AC$2:AC1001,"")*$G773,"")</f>
        <v/>
      </c>
      <c r="AK773" s="179" t="str">
        <f t="array" ref="AK773">IF($F773&lt;&gt;"",XLOOKUP($F773,Productos!$A:$A,Productos!AD:AD,"Revisar"),"")</f>
        <v/>
      </c>
      <c r="AL773" s="179" t="str">
        <f t="array" ref="AL773">IF($F773&lt;&gt;"", XLOOKUP($F773,Productos!$A$2:$A1001,Productos!AE$2:AE1001,"")*$G773,"")</f>
        <v/>
      </c>
      <c r="AM773" s="179" t="str">
        <f t="array" ref="AM773">IF($F773&lt;&gt;"",XLOOKUP($F773,Productos!$A:$A,Productos!AF:AF,"Revisar"),"")</f>
        <v/>
      </c>
      <c r="AN773" s="179" t="str">
        <f t="array" ref="AN773">IF($F773&lt;&gt;"", XLOOKUP($F773,Productos!$A$2:$A1001,Productos!AG$2:AG1001,"")*$G773,"")</f>
        <v/>
      </c>
      <c r="AO773" s="179" t="str">
        <f t="array" ref="AO773">IF($F773&lt;&gt;"",XLOOKUP($F773,Productos!$A:$A,Productos!AH:AH,"Revisar"),"")</f>
        <v/>
      </c>
      <c r="AP773" s="179" t="str">
        <f t="array" ref="AP773">IF($F773&lt;&gt;"", XLOOKUP($F773,Productos!$A$2:$A1001,Productos!AI$2:AI1001,"")*$G773,"")</f>
        <v/>
      </c>
      <c r="AQ773" s="179" t="str">
        <f t="array" ref="AQ773">IF($F773&lt;&gt;"",XLOOKUP($F773,Productos!$A:$A,Productos!AJ:AJ,"Revisar"),"")</f>
        <v/>
      </c>
      <c r="AR773" s="179" t="str">
        <f t="array" ref="AR773">IF($F773&lt;&gt;"", XLOOKUP($F773,Productos!$A$2:$A1001,Productos!AK$2:AK1001,"")*$G773,"")</f>
        <v/>
      </c>
      <c r="AS773" s="179" t="str">
        <f t="array" ref="AS773">IF($F773&lt;&gt;"",XLOOKUP($F773,Productos!$A:$A,Productos!AL:AL,"Revisar"),"")</f>
        <v/>
      </c>
      <c r="AT773" s="179" t="str">
        <f t="array" ref="AT773">IF($F773&lt;&gt;"", XLOOKUP($F773,Productos!$A$2:$A1001,Productos!AM$2:AM1001,"")*$G773,"")</f>
        <v/>
      </c>
      <c r="AU773" s="179" t="str">
        <f t="array" ref="AU773">IF($F773&lt;&gt;"",XLOOKUP($F773,Productos!$A:$A,Productos!AN:AN,"Revisar"),"")</f>
        <v/>
      </c>
      <c r="AV773" s="179" t="str">
        <f t="array" ref="AV773">IF($F773&lt;&gt;"", XLOOKUP($F773,Productos!$A$2:$A1001,Productos!AO$2:AO1001,"")*$G773,"")</f>
        <v/>
      </c>
      <c r="AW773" s="179" t="str">
        <f t="array" ref="AW773">IF($F773&lt;&gt;"",XLOOKUP($F773,Productos!$A:$A,Productos!AP:AP,"Revisar"),"")</f>
        <v/>
      </c>
      <c r="AX773" s="179" t="str">
        <f t="array" ref="AX773">IF($F773&lt;&gt;"", XLOOKUP($F773,Productos!$A$2:$A1001,Productos!AQ$2:AQ1001,"")*$G773,"")</f>
        <v/>
      </c>
      <c r="AY773" s="179" t="str">
        <f t="array" ref="AY773">IF($F773&lt;&gt;"",XLOOKUP($F773,Productos!$A:$A,Productos!AR:AR,"Revisar"),"")</f>
        <v/>
      </c>
      <c r="AZ773" s="179" t="str">
        <f t="array" ref="AZ773">IF($F773&lt;&gt;"", XLOOKUP($F773,Productos!$A$2:$A1001,Productos!AS$2:AS1001,"")*$G773,"")</f>
        <v/>
      </c>
      <c r="BA773" s="179" t="str">
        <f t="array" ref="BA773">IF($F773&lt;&gt;"",XLOOKUP($F773,Productos!$A:$A,Productos!AT:AT,"Revisar"),"")</f>
        <v/>
      </c>
      <c r="BB773" s="179" t="str">
        <f t="array" ref="BB773">IF($F773&lt;&gt;"", XLOOKUP($F773,Productos!$A$2:$A1001,Productos!AU$2:AU1001,"")*$G773,"")</f>
        <v/>
      </c>
      <c r="BC773" s="179" t="str">
        <f t="array" ref="BC773">IF($F773&lt;&gt;"",XLOOKUP($F773,Productos!$A:$A,Productos!AV:AV,"Revisar"),"")</f>
        <v/>
      </c>
      <c r="BD773" s="179" t="str">
        <f t="array" ref="BD773">IF($F773&lt;&gt;"", XLOOKUP($F773,Productos!$A$2:$A1001,Productos!AW$2:AW1001,"")*$G773,"")</f>
        <v/>
      </c>
      <c r="BE773" s="179" t="str">
        <f t="array" ref="BE773">IF($F773&lt;&gt;"",XLOOKUP($F773,Productos!$A:$A,Productos!AX:AX,"Revisar"),"")</f>
        <v/>
      </c>
      <c r="BF773" s="179" t="str">
        <f t="array" ref="BF773">IF($F773&lt;&gt;"", XLOOKUP($F773,Productos!$A$2:$A1001,Productos!AY$2:AY1001,"")*$G773,"")</f>
        <v/>
      </c>
      <c r="BG773" s="179" t="str">
        <f t="array" ref="BG773">IF($F773&lt;&gt;"",XLOOKUP($F773,Productos!$A:$A,Productos!AZ:AZ,"Revisar"),"")</f>
        <v/>
      </c>
      <c r="BH773" s="179" t="str">
        <f t="array" ref="BH773">IF($F773&lt;&gt;"", XLOOKUP($F773,Productos!$A$2:$A1001,Productos!BA$2:BA1001,"")*$G773,"")</f>
        <v/>
      </c>
      <c r="BI773" s="179" t="str">
        <f t="array" ref="BI773">IF($F773&lt;&gt;"",XLOOKUP($F773,Productos!$A:$A,Productos!BB:BB,"Revisar"),"")</f>
        <v/>
      </c>
      <c r="BJ773" s="179" t="str">
        <f t="array" ref="BJ773">IF($F773&lt;&gt;"", XLOOKUP($F773,Productos!$A$2:$A1001,Productos!BC$2:BC1001,"")*$G773,"")</f>
        <v/>
      </c>
      <c r="BK773" s="179" t="str">
        <f t="array" ref="BK773">IF($F773&lt;&gt;"",XLOOKUP($F773,Productos!$A:$A,Productos!BD:BD,"Revisar"),"")</f>
        <v/>
      </c>
      <c r="BL773" s="179" t="str">
        <f t="array" ref="BL773">IF($F773&lt;&gt;"", XLOOKUP($F773,Productos!$A$2:$A1001,Productos!BE$2:BE1001,"")*$G773,"")</f>
        <v/>
      </c>
      <c r="BM773" s="179" t="str">
        <f t="array" ref="BM773">IF($F773&lt;&gt;"",XLOOKUP($F773,Productos!$A:$A,Productos!BF:BF,"Revisar"),"")</f>
        <v/>
      </c>
      <c r="BN773" s="179" t="str">
        <f t="array" ref="BN773">IF($F773&lt;&gt;"", XLOOKUP($F773,Productos!$A$2:$A1001,Productos!BG$2:BG1001,"")*$G773,"")</f>
        <v/>
      </c>
      <c r="BO773" s="179" t="str">
        <f t="array" ref="BO773">IF($F773&lt;&gt;"",XLOOKUP($F773,Productos!$A:$A,Productos!BH:BH,"Revisar"),"")</f>
        <v/>
      </c>
      <c r="BP773" s="179" t="str">
        <f t="array" ref="BP773">IF($F773&lt;&gt;"", XLOOKUP($F773,Productos!$A$2:$A1001,Productos!BI$2:BI1001,"")*$G773,"")</f>
        <v/>
      </c>
      <c r="BQ773" s="179" t="str">
        <f t="array" ref="BQ773">IF($F773&lt;&gt;"",XLOOKUP($F773,Productos!$A:$A,Productos!BJ:BJ,"Revisar"),"")</f>
        <v/>
      </c>
      <c r="BR773" s="179" t="str">
        <f t="array" ref="BR773">IF($F773&lt;&gt;"", XLOOKUP($F773,Productos!$A$2:$A1001,Productos!BK$2:BK1001,"")*$G773,"")</f>
        <v/>
      </c>
      <c r="BS773" s="179" t="str">
        <f t="array" ref="BS773">IF($F773&lt;&gt;"",XLOOKUP($F773,Productos!$A:$A,Productos!BL:BL,"Revisar"),"")</f>
        <v/>
      </c>
      <c r="BT773" s="179" t="str">
        <f t="array" ref="BT773">IF($F773&lt;&gt;"", XLOOKUP($F773,Productos!$A$2:$A1001,Productos!BM$2:BM1001,"")*$G773,"")</f>
        <v/>
      </c>
      <c r="BU773" s="179" t="str">
        <f t="array" ref="BU773">IF($F773&lt;&gt;"",XLOOKUP($F773,Productos!$A:$A,Productos!BN:BN,"Revisar"),"")</f>
        <v/>
      </c>
      <c r="BV773" s="179" t="str">
        <f t="array" ref="BV773">IF($F773&lt;&gt;"", XLOOKUP($F773,Productos!$A$2:$A1001,Productos!BO$2:BO1001,"")*$G773,"")</f>
        <v/>
      </c>
      <c r="BW773" s="179" t="str">
        <f t="array" ref="BW773">IF($F773&lt;&gt;"",XLOOKUP($F773,Productos!$A:$A,Productos!BP:BP,"Revisar"),"")</f>
        <v/>
      </c>
      <c r="BX773" s="179" t="str">
        <f t="array" ref="BX773">IF($F773&lt;&gt;"", XLOOKUP($F773,Productos!$A$2:$A1001,Productos!BQ$2:BQ1001,"")*$G773,"")</f>
        <v/>
      </c>
      <c r="BY773" s="179" t="str">
        <f t="array" ref="BY773">IF($F773&lt;&gt;"",XLOOKUP($F773,Productos!$A:$A,Productos!BR:BR,"Revisar"),"")</f>
        <v/>
      </c>
      <c r="BZ773" s="179" t="str">
        <f t="array" ref="BZ773">IF($F773&lt;&gt;"", XLOOKUP($F773,Productos!$A$2:$A1001,Productos!BS$2:BS1001,"")*$G773,"")</f>
        <v/>
      </c>
    </row>
    <row r="774">
      <c r="A774" s="188"/>
      <c r="B774" s="189"/>
      <c r="C774" s="190"/>
      <c r="D774" s="190"/>
      <c r="E774" s="191"/>
      <c r="F774" s="186"/>
      <c r="G774" s="192"/>
      <c r="H774" s="9"/>
      <c r="I774" s="179" t="str">
        <f t="array" ref="I774">IF($F774&lt;&gt;"",XLOOKUP($F774,Productos!$A:$A,Productos!B:B,"Revisar"),"")</f>
        <v/>
      </c>
      <c r="J774" s="179" t="str">
        <f t="array" ref="J774">IF($F774&lt;&gt;"", XLOOKUP($F774,Productos!$A$2:$A1001,Productos!C$2:C1001,"")*$G774,"")</f>
        <v/>
      </c>
      <c r="K774" s="179" t="str">
        <f t="array" ref="K774">IF($F774&lt;&gt;"",XLOOKUP($F774,Productos!$A:$A,Productos!D:D,"Revisar"),"")</f>
        <v/>
      </c>
      <c r="L774" s="179" t="str">
        <f t="array" ref="L774">IF($F774&lt;&gt;"", XLOOKUP($F774,Productos!$A$2:$A1001,Productos!E$2:E1001,"")*$G774,"")</f>
        <v/>
      </c>
      <c r="M774" s="179" t="str">
        <f t="array" ref="M774">IF($F774&lt;&gt;"",XLOOKUP($F774,Productos!$A:$A,Productos!F:F,"Revisar"),"")</f>
        <v/>
      </c>
      <c r="N774" s="179" t="str">
        <f t="array" ref="N774">IF($F774&lt;&gt;"", XLOOKUP($F774,Productos!$A$2:$A1001,Productos!G$2:G1001,"")*$G774,"")</f>
        <v/>
      </c>
      <c r="O774" s="179" t="str">
        <f t="array" ref="O774">IF($F774&lt;&gt;"",XLOOKUP($F774,Productos!$A:$A,Productos!H:H,"Revisar"),"")</f>
        <v/>
      </c>
      <c r="P774" s="179" t="str">
        <f t="array" ref="P774">IF($F774&lt;&gt;"", XLOOKUP($F774,Productos!$A$2:$A1001,Productos!I$2:I1001,"")*$G774,"")</f>
        <v/>
      </c>
      <c r="Q774" s="179" t="str">
        <f t="array" ref="Q774">IF($F774&lt;&gt;"",XLOOKUP($F774,Productos!$A:$A,Productos!J:J,"Revisar"),"")</f>
        <v/>
      </c>
      <c r="R774" s="179" t="str">
        <f t="array" ref="R774">IF($F774&lt;&gt;"", XLOOKUP($F774,Productos!$A$2:$A1001,Productos!K$2:K1001,"")*$G774,"")</f>
        <v/>
      </c>
      <c r="S774" s="179" t="str">
        <f t="array" ref="S774">IF($F774&lt;&gt;"",XLOOKUP($F774,Productos!$A:$A,Productos!L:L,"Revisar"),"")</f>
        <v/>
      </c>
      <c r="T774" s="179" t="str">
        <f t="array" ref="T774">IF($F774&lt;&gt;"", XLOOKUP($F774,Productos!$A$2:$A1001,Productos!M$2:M1001,"")*$G774,"")</f>
        <v/>
      </c>
      <c r="U774" s="179" t="str">
        <f t="array" ref="U774">IF($F774&lt;&gt;"",XLOOKUP($F774,Productos!$A:$A,Productos!N:N,"Revisar"),"")</f>
        <v/>
      </c>
      <c r="V774" s="179" t="str">
        <f t="array" ref="V774">IF($F774&lt;&gt;"", XLOOKUP($F774,Productos!$A$2:$A1001,Productos!O$2:O1001,"")*$G774,"")</f>
        <v/>
      </c>
      <c r="W774" s="179" t="str">
        <f t="array" ref="W774">IF($F774&lt;&gt;"",XLOOKUP($F774,Productos!$A:$A,Productos!P:P,"Revisar"),"")</f>
        <v/>
      </c>
      <c r="X774" s="179" t="str">
        <f t="array" ref="X774">IF($F774&lt;&gt;"", XLOOKUP($F774,Productos!$A$2:$A1001,Productos!Q$2:Q1001,"")*$G774,"")</f>
        <v/>
      </c>
      <c r="Y774" s="179" t="str">
        <f t="array" ref="Y774">IF($F774&lt;&gt;"",XLOOKUP($F774,Productos!$A:$A,Productos!R:R,"Revisar"),"")</f>
        <v/>
      </c>
      <c r="Z774" s="179" t="str">
        <f t="array" ref="Z774">IF($F774&lt;&gt;"", XLOOKUP($F774,Productos!$A$2:$A1001,Productos!S$2:S1001,"")*$G774,"")</f>
        <v/>
      </c>
      <c r="AA774" s="179" t="str">
        <f t="array" ref="AA774">IF($F774&lt;&gt;"",XLOOKUP($F774,Productos!$A:$A,Productos!T:T,"Revisar"),"")</f>
        <v/>
      </c>
      <c r="AB774" s="179" t="str">
        <f t="array" ref="AB774">IF($F774&lt;&gt;"", XLOOKUP($F774,Productos!$A$2:$A1001,Productos!U$2:U1001,"")*$G774,"")</f>
        <v/>
      </c>
      <c r="AC774" s="179" t="str">
        <f t="array" ref="AC774">IF($F774&lt;&gt;"",XLOOKUP($F774,Productos!$A:$A,Productos!V:V,"Revisar"),"")</f>
        <v/>
      </c>
      <c r="AD774" s="179" t="str">
        <f t="array" ref="AD774">IF($F774&lt;&gt;"", XLOOKUP($F774,Productos!$A$2:$A1001,Productos!W$2:W1001,"")*$G774,"")</f>
        <v/>
      </c>
      <c r="AE774" s="179" t="str">
        <f t="array" ref="AE774">IF($F774&lt;&gt;"",XLOOKUP($F774,Productos!$A:$A,Productos!X:X,"Revisar"),"")</f>
        <v/>
      </c>
      <c r="AF774" s="179" t="str">
        <f t="array" ref="AF774">IF($F774&lt;&gt;"", XLOOKUP($F774,Productos!$A$2:$A1001,Productos!Y$2:Y1001,"")*$G774,"")</f>
        <v/>
      </c>
      <c r="AG774" s="179" t="str">
        <f t="array" ref="AG774">IF($F774&lt;&gt;"",XLOOKUP($F774,Productos!$A:$A,Productos!Z:Z,"Revisar"),"")</f>
        <v/>
      </c>
      <c r="AH774" s="179" t="str">
        <f t="array" ref="AH774">IF($F774&lt;&gt;"", XLOOKUP($F774,Productos!$A$2:$A1001,Productos!AA$2:AA1001,"")*$G774,"")</f>
        <v/>
      </c>
      <c r="AI774" s="179" t="str">
        <f t="array" ref="AI774">IF($F774&lt;&gt;"",XLOOKUP($F774,Productos!$A:$A,Productos!AB:AB,"Revisar"),"")</f>
        <v/>
      </c>
      <c r="AJ774" s="179" t="str">
        <f t="array" ref="AJ774">IF($F774&lt;&gt;"", XLOOKUP($F774,Productos!$A$2:$A1001,Productos!AC$2:AC1001,"")*$G774,"")</f>
        <v/>
      </c>
      <c r="AK774" s="179" t="str">
        <f t="array" ref="AK774">IF($F774&lt;&gt;"",XLOOKUP($F774,Productos!$A:$A,Productos!AD:AD,"Revisar"),"")</f>
        <v/>
      </c>
      <c r="AL774" s="179" t="str">
        <f t="array" ref="AL774">IF($F774&lt;&gt;"", XLOOKUP($F774,Productos!$A$2:$A1001,Productos!AE$2:AE1001,"")*$G774,"")</f>
        <v/>
      </c>
      <c r="AM774" s="179" t="str">
        <f t="array" ref="AM774">IF($F774&lt;&gt;"",XLOOKUP($F774,Productos!$A:$A,Productos!AF:AF,"Revisar"),"")</f>
        <v/>
      </c>
      <c r="AN774" s="179" t="str">
        <f t="array" ref="AN774">IF($F774&lt;&gt;"", XLOOKUP($F774,Productos!$A$2:$A1001,Productos!AG$2:AG1001,"")*$G774,"")</f>
        <v/>
      </c>
      <c r="AO774" s="179" t="str">
        <f t="array" ref="AO774">IF($F774&lt;&gt;"",XLOOKUP($F774,Productos!$A:$A,Productos!AH:AH,"Revisar"),"")</f>
        <v/>
      </c>
      <c r="AP774" s="179" t="str">
        <f t="array" ref="AP774">IF($F774&lt;&gt;"", XLOOKUP($F774,Productos!$A$2:$A1001,Productos!AI$2:AI1001,"")*$G774,"")</f>
        <v/>
      </c>
      <c r="AQ774" s="179" t="str">
        <f t="array" ref="AQ774">IF($F774&lt;&gt;"",XLOOKUP($F774,Productos!$A:$A,Productos!AJ:AJ,"Revisar"),"")</f>
        <v/>
      </c>
      <c r="AR774" s="179" t="str">
        <f t="array" ref="AR774">IF($F774&lt;&gt;"", XLOOKUP($F774,Productos!$A$2:$A1001,Productos!AK$2:AK1001,"")*$G774,"")</f>
        <v/>
      </c>
      <c r="AS774" s="179" t="str">
        <f t="array" ref="AS774">IF($F774&lt;&gt;"",XLOOKUP($F774,Productos!$A:$A,Productos!AL:AL,"Revisar"),"")</f>
        <v/>
      </c>
      <c r="AT774" s="179" t="str">
        <f t="array" ref="AT774">IF($F774&lt;&gt;"", XLOOKUP($F774,Productos!$A$2:$A1001,Productos!AM$2:AM1001,"")*$G774,"")</f>
        <v/>
      </c>
      <c r="AU774" s="179" t="str">
        <f t="array" ref="AU774">IF($F774&lt;&gt;"",XLOOKUP($F774,Productos!$A:$A,Productos!AN:AN,"Revisar"),"")</f>
        <v/>
      </c>
      <c r="AV774" s="179" t="str">
        <f t="array" ref="AV774">IF($F774&lt;&gt;"", XLOOKUP($F774,Productos!$A$2:$A1001,Productos!AO$2:AO1001,"")*$G774,"")</f>
        <v/>
      </c>
      <c r="AW774" s="179" t="str">
        <f t="array" ref="AW774">IF($F774&lt;&gt;"",XLOOKUP($F774,Productos!$A:$A,Productos!AP:AP,"Revisar"),"")</f>
        <v/>
      </c>
      <c r="AX774" s="179" t="str">
        <f t="array" ref="AX774">IF($F774&lt;&gt;"", XLOOKUP($F774,Productos!$A$2:$A1001,Productos!AQ$2:AQ1001,"")*$G774,"")</f>
        <v/>
      </c>
      <c r="AY774" s="179" t="str">
        <f t="array" ref="AY774">IF($F774&lt;&gt;"",XLOOKUP($F774,Productos!$A:$A,Productos!AR:AR,"Revisar"),"")</f>
        <v/>
      </c>
      <c r="AZ774" s="179" t="str">
        <f t="array" ref="AZ774">IF($F774&lt;&gt;"", XLOOKUP($F774,Productos!$A$2:$A1001,Productos!AS$2:AS1001,"")*$G774,"")</f>
        <v/>
      </c>
      <c r="BA774" s="179" t="str">
        <f t="array" ref="BA774">IF($F774&lt;&gt;"",XLOOKUP($F774,Productos!$A:$A,Productos!AT:AT,"Revisar"),"")</f>
        <v/>
      </c>
      <c r="BB774" s="179" t="str">
        <f t="array" ref="BB774">IF($F774&lt;&gt;"", XLOOKUP($F774,Productos!$A$2:$A1001,Productos!AU$2:AU1001,"")*$G774,"")</f>
        <v/>
      </c>
      <c r="BC774" s="179" t="str">
        <f t="array" ref="BC774">IF($F774&lt;&gt;"",XLOOKUP($F774,Productos!$A:$A,Productos!AV:AV,"Revisar"),"")</f>
        <v/>
      </c>
      <c r="BD774" s="179" t="str">
        <f t="array" ref="BD774">IF($F774&lt;&gt;"", XLOOKUP($F774,Productos!$A$2:$A1001,Productos!AW$2:AW1001,"")*$G774,"")</f>
        <v/>
      </c>
      <c r="BE774" s="179" t="str">
        <f t="array" ref="BE774">IF($F774&lt;&gt;"",XLOOKUP($F774,Productos!$A:$A,Productos!AX:AX,"Revisar"),"")</f>
        <v/>
      </c>
      <c r="BF774" s="179" t="str">
        <f t="array" ref="BF774">IF($F774&lt;&gt;"", XLOOKUP($F774,Productos!$A$2:$A1001,Productos!AY$2:AY1001,"")*$G774,"")</f>
        <v/>
      </c>
      <c r="BG774" s="179" t="str">
        <f t="array" ref="BG774">IF($F774&lt;&gt;"",XLOOKUP($F774,Productos!$A:$A,Productos!AZ:AZ,"Revisar"),"")</f>
        <v/>
      </c>
      <c r="BH774" s="179" t="str">
        <f t="array" ref="BH774">IF($F774&lt;&gt;"", XLOOKUP($F774,Productos!$A$2:$A1001,Productos!BA$2:BA1001,"")*$G774,"")</f>
        <v/>
      </c>
      <c r="BI774" s="179" t="str">
        <f t="array" ref="BI774">IF($F774&lt;&gt;"",XLOOKUP($F774,Productos!$A:$A,Productos!BB:BB,"Revisar"),"")</f>
        <v/>
      </c>
      <c r="BJ774" s="179" t="str">
        <f t="array" ref="BJ774">IF($F774&lt;&gt;"", XLOOKUP($F774,Productos!$A$2:$A1001,Productos!BC$2:BC1001,"")*$G774,"")</f>
        <v/>
      </c>
      <c r="BK774" s="179" t="str">
        <f t="array" ref="BK774">IF($F774&lt;&gt;"",XLOOKUP($F774,Productos!$A:$A,Productos!BD:BD,"Revisar"),"")</f>
        <v/>
      </c>
      <c r="BL774" s="179" t="str">
        <f t="array" ref="BL774">IF($F774&lt;&gt;"", XLOOKUP($F774,Productos!$A$2:$A1001,Productos!BE$2:BE1001,"")*$G774,"")</f>
        <v/>
      </c>
      <c r="BM774" s="179" t="str">
        <f t="array" ref="BM774">IF($F774&lt;&gt;"",XLOOKUP($F774,Productos!$A:$A,Productos!BF:BF,"Revisar"),"")</f>
        <v/>
      </c>
      <c r="BN774" s="179" t="str">
        <f t="array" ref="BN774">IF($F774&lt;&gt;"", XLOOKUP($F774,Productos!$A$2:$A1001,Productos!BG$2:BG1001,"")*$G774,"")</f>
        <v/>
      </c>
      <c r="BO774" s="179" t="str">
        <f t="array" ref="BO774">IF($F774&lt;&gt;"",XLOOKUP($F774,Productos!$A:$A,Productos!BH:BH,"Revisar"),"")</f>
        <v/>
      </c>
      <c r="BP774" s="179" t="str">
        <f t="array" ref="BP774">IF($F774&lt;&gt;"", XLOOKUP($F774,Productos!$A$2:$A1001,Productos!BI$2:BI1001,"")*$G774,"")</f>
        <v/>
      </c>
      <c r="BQ774" s="179" t="str">
        <f t="array" ref="BQ774">IF($F774&lt;&gt;"",XLOOKUP($F774,Productos!$A:$A,Productos!BJ:BJ,"Revisar"),"")</f>
        <v/>
      </c>
      <c r="BR774" s="179" t="str">
        <f t="array" ref="BR774">IF($F774&lt;&gt;"", XLOOKUP($F774,Productos!$A$2:$A1001,Productos!BK$2:BK1001,"")*$G774,"")</f>
        <v/>
      </c>
      <c r="BS774" s="179" t="str">
        <f t="array" ref="BS774">IF($F774&lt;&gt;"",XLOOKUP($F774,Productos!$A:$A,Productos!BL:BL,"Revisar"),"")</f>
        <v/>
      </c>
      <c r="BT774" s="179" t="str">
        <f t="array" ref="BT774">IF($F774&lt;&gt;"", XLOOKUP($F774,Productos!$A$2:$A1001,Productos!BM$2:BM1001,"")*$G774,"")</f>
        <v/>
      </c>
      <c r="BU774" s="179" t="str">
        <f t="array" ref="BU774">IF($F774&lt;&gt;"",XLOOKUP($F774,Productos!$A:$A,Productos!BN:BN,"Revisar"),"")</f>
        <v/>
      </c>
      <c r="BV774" s="179" t="str">
        <f t="array" ref="BV774">IF($F774&lt;&gt;"", XLOOKUP($F774,Productos!$A$2:$A1001,Productos!BO$2:BO1001,"")*$G774,"")</f>
        <v/>
      </c>
      <c r="BW774" s="179" t="str">
        <f t="array" ref="BW774">IF($F774&lt;&gt;"",XLOOKUP($F774,Productos!$A:$A,Productos!BP:BP,"Revisar"),"")</f>
        <v/>
      </c>
      <c r="BX774" s="179" t="str">
        <f t="array" ref="BX774">IF($F774&lt;&gt;"", XLOOKUP($F774,Productos!$A$2:$A1001,Productos!BQ$2:BQ1001,"")*$G774,"")</f>
        <v/>
      </c>
      <c r="BY774" s="179" t="str">
        <f t="array" ref="BY774">IF($F774&lt;&gt;"",XLOOKUP($F774,Productos!$A:$A,Productos!BR:BR,"Revisar"),"")</f>
        <v/>
      </c>
      <c r="BZ774" s="179" t="str">
        <f t="array" ref="BZ774">IF($F774&lt;&gt;"", XLOOKUP($F774,Productos!$A$2:$A1001,Productos!BS$2:BS1001,"")*$G774,"")</f>
        <v/>
      </c>
    </row>
    <row r="775">
      <c r="A775" s="188"/>
      <c r="B775" s="189"/>
      <c r="C775" s="190"/>
      <c r="D775" s="190"/>
      <c r="E775" s="191"/>
      <c r="F775" s="186"/>
      <c r="G775" s="192"/>
      <c r="H775" s="9"/>
      <c r="I775" s="179" t="str">
        <f t="array" ref="I775">IF($F775&lt;&gt;"",XLOOKUP($F775,Productos!$A:$A,Productos!B:B,"Revisar"),"")</f>
        <v/>
      </c>
      <c r="J775" s="179" t="str">
        <f t="array" ref="J775">IF($F775&lt;&gt;"", XLOOKUP($F775,Productos!$A$2:$A1001,Productos!C$2:C1001,"")*$G775,"")</f>
        <v/>
      </c>
      <c r="K775" s="179" t="str">
        <f t="array" ref="K775">IF($F775&lt;&gt;"",XLOOKUP($F775,Productos!$A:$A,Productos!D:D,"Revisar"),"")</f>
        <v/>
      </c>
      <c r="L775" s="179" t="str">
        <f t="array" ref="L775">IF($F775&lt;&gt;"", XLOOKUP($F775,Productos!$A$2:$A1001,Productos!E$2:E1001,"")*$G775,"")</f>
        <v/>
      </c>
      <c r="M775" s="179" t="str">
        <f t="array" ref="M775">IF($F775&lt;&gt;"",XLOOKUP($F775,Productos!$A:$A,Productos!F:F,"Revisar"),"")</f>
        <v/>
      </c>
      <c r="N775" s="179" t="str">
        <f t="array" ref="N775">IF($F775&lt;&gt;"", XLOOKUP($F775,Productos!$A$2:$A1001,Productos!G$2:G1001,"")*$G775,"")</f>
        <v/>
      </c>
      <c r="O775" s="179" t="str">
        <f t="array" ref="O775">IF($F775&lt;&gt;"",XLOOKUP($F775,Productos!$A:$A,Productos!H:H,"Revisar"),"")</f>
        <v/>
      </c>
      <c r="P775" s="179" t="str">
        <f t="array" ref="P775">IF($F775&lt;&gt;"", XLOOKUP($F775,Productos!$A$2:$A1001,Productos!I$2:I1001,"")*$G775,"")</f>
        <v/>
      </c>
      <c r="Q775" s="179" t="str">
        <f t="array" ref="Q775">IF($F775&lt;&gt;"",XLOOKUP($F775,Productos!$A:$A,Productos!J:J,"Revisar"),"")</f>
        <v/>
      </c>
      <c r="R775" s="179" t="str">
        <f t="array" ref="R775">IF($F775&lt;&gt;"", XLOOKUP($F775,Productos!$A$2:$A1001,Productos!K$2:K1001,"")*$G775,"")</f>
        <v/>
      </c>
      <c r="S775" s="179" t="str">
        <f t="array" ref="S775">IF($F775&lt;&gt;"",XLOOKUP($F775,Productos!$A:$A,Productos!L:L,"Revisar"),"")</f>
        <v/>
      </c>
      <c r="T775" s="179" t="str">
        <f t="array" ref="T775">IF($F775&lt;&gt;"", XLOOKUP($F775,Productos!$A$2:$A1001,Productos!M$2:M1001,"")*$G775,"")</f>
        <v/>
      </c>
      <c r="U775" s="179" t="str">
        <f t="array" ref="U775">IF($F775&lt;&gt;"",XLOOKUP($F775,Productos!$A:$A,Productos!N:N,"Revisar"),"")</f>
        <v/>
      </c>
      <c r="V775" s="179" t="str">
        <f t="array" ref="V775">IF($F775&lt;&gt;"", XLOOKUP($F775,Productos!$A$2:$A1001,Productos!O$2:O1001,"")*$G775,"")</f>
        <v/>
      </c>
      <c r="W775" s="179" t="str">
        <f t="array" ref="W775">IF($F775&lt;&gt;"",XLOOKUP($F775,Productos!$A:$A,Productos!P:P,"Revisar"),"")</f>
        <v/>
      </c>
      <c r="X775" s="179" t="str">
        <f t="array" ref="X775">IF($F775&lt;&gt;"", XLOOKUP($F775,Productos!$A$2:$A1001,Productos!Q$2:Q1001,"")*$G775,"")</f>
        <v/>
      </c>
      <c r="Y775" s="179" t="str">
        <f t="array" ref="Y775">IF($F775&lt;&gt;"",XLOOKUP($F775,Productos!$A:$A,Productos!R:R,"Revisar"),"")</f>
        <v/>
      </c>
      <c r="Z775" s="179" t="str">
        <f t="array" ref="Z775">IF($F775&lt;&gt;"", XLOOKUP($F775,Productos!$A$2:$A1001,Productos!S$2:S1001,"")*$G775,"")</f>
        <v/>
      </c>
      <c r="AA775" s="179" t="str">
        <f t="array" ref="AA775">IF($F775&lt;&gt;"",XLOOKUP($F775,Productos!$A:$A,Productos!T:T,"Revisar"),"")</f>
        <v/>
      </c>
      <c r="AB775" s="179" t="str">
        <f t="array" ref="AB775">IF($F775&lt;&gt;"", XLOOKUP($F775,Productos!$A$2:$A1001,Productos!U$2:U1001,"")*$G775,"")</f>
        <v/>
      </c>
      <c r="AC775" s="179" t="str">
        <f t="array" ref="AC775">IF($F775&lt;&gt;"",XLOOKUP($F775,Productos!$A:$A,Productos!V:V,"Revisar"),"")</f>
        <v/>
      </c>
      <c r="AD775" s="179" t="str">
        <f t="array" ref="AD775">IF($F775&lt;&gt;"", XLOOKUP($F775,Productos!$A$2:$A1001,Productos!W$2:W1001,"")*$G775,"")</f>
        <v/>
      </c>
      <c r="AE775" s="179" t="str">
        <f t="array" ref="AE775">IF($F775&lt;&gt;"",XLOOKUP($F775,Productos!$A:$A,Productos!X:X,"Revisar"),"")</f>
        <v/>
      </c>
      <c r="AF775" s="179" t="str">
        <f t="array" ref="AF775">IF($F775&lt;&gt;"", XLOOKUP($F775,Productos!$A$2:$A1001,Productos!Y$2:Y1001,"")*$G775,"")</f>
        <v/>
      </c>
      <c r="AG775" s="179" t="str">
        <f t="array" ref="AG775">IF($F775&lt;&gt;"",XLOOKUP($F775,Productos!$A:$A,Productos!Z:Z,"Revisar"),"")</f>
        <v/>
      </c>
      <c r="AH775" s="179" t="str">
        <f t="array" ref="AH775">IF($F775&lt;&gt;"", XLOOKUP($F775,Productos!$A$2:$A1001,Productos!AA$2:AA1001,"")*$G775,"")</f>
        <v/>
      </c>
      <c r="AI775" s="179" t="str">
        <f t="array" ref="AI775">IF($F775&lt;&gt;"",XLOOKUP($F775,Productos!$A:$A,Productos!AB:AB,"Revisar"),"")</f>
        <v/>
      </c>
      <c r="AJ775" s="179" t="str">
        <f t="array" ref="AJ775">IF($F775&lt;&gt;"", XLOOKUP($F775,Productos!$A$2:$A1001,Productos!AC$2:AC1001,"")*$G775,"")</f>
        <v/>
      </c>
      <c r="AK775" s="179" t="str">
        <f t="array" ref="AK775">IF($F775&lt;&gt;"",XLOOKUP($F775,Productos!$A:$A,Productos!AD:AD,"Revisar"),"")</f>
        <v/>
      </c>
      <c r="AL775" s="179" t="str">
        <f t="array" ref="AL775">IF($F775&lt;&gt;"", XLOOKUP($F775,Productos!$A$2:$A1001,Productos!AE$2:AE1001,"")*$G775,"")</f>
        <v/>
      </c>
      <c r="AM775" s="179" t="str">
        <f t="array" ref="AM775">IF($F775&lt;&gt;"",XLOOKUP($F775,Productos!$A:$A,Productos!AF:AF,"Revisar"),"")</f>
        <v/>
      </c>
      <c r="AN775" s="179" t="str">
        <f t="array" ref="AN775">IF($F775&lt;&gt;"", XLOOKUP($F775,Productos!$A$2:$A1001,Productos!AG$2:AG1001,"")*$G775,"")</f>
        <v/>
      </c>
      <c r="AO775" s="179" t="str">
        <f t="array" ref="AO775">IF($F775&lt;&gt;"",XLOOKUP($F775,Productos!$A:$A,Productos!AH:AH,"Revisar"),"")</f>
        <v/>
      </c>
      <c r="AP775" s="179" t="str">
        <f t="array" ref="AP775">IF($F775&lt;&gt;"", XLOOKUP($F775,Productos!$A$2:$A1001,Productos!AI$2:AI1001,"")*$G775,"")</f>
        <v/>
      </c>
      <c r="AQ775" s="179" t="str">
        <f t="array" ref="AQ775">IF($F775&lt;&gt;"",XLOOKUP($F775,Productos!$A:$A,Productos!AJ:AJ,"Revisar"),"")</f>
        <v/>
      </c>
      <c r="AR775" s="179" t="str">
        <f t="array" ref="AR775">IF($F775&lt;&gt;"", XLOOKUP($F775,Productos!$A$2:$A1001,Productos!AK$2:AK1001,"")*$G775,"")</f>
        <v/>
      </c>
      <c r="AS775" s="179" t="str">
        <f t="array" ref="AS775">IF($F775&lt;&gt;"",XLOOKUP($F775,Productos!$A:$A,Productos!AL:AL,"Revisar"),"")</f>
        <v/>
      </c>
      <c r="AT775" s="179" t="str">
        <f t="array" ref="AT775">IF($F775&lt;&gt;"", XLOOKUP($F775,Productos!$A$2:$A1001,Productos!AM$2:AM1001,"")*$G775,"")</f>
        <v/>
      </c>
      <c r="AU775" s="179" t="str">
        <f t="array" ref="AU775">IF($F775&lt;&gt;"",XLOOKUP($F775,Productos!$A:$A,Productos!AN:AN,"Revisar"),"")</f>
        <v/>
      </c>
      <c r="AV775" s="179" t="str">
        <f t="array" ref="AV775">IF($F775&lt;&gt;"", XLOOKUP($F775,Productos!$A$2:$A1001,Productos!AO$2:AO1001,"")*$G775,"")</f>
        <v/>
      </c>
      <c r="AW775" s="179" t="str">
        <f t="array" ref="AW775">IF($F775&lt;&gt;"",XLOOKUP($F775,Productos!$A:$A,Productos!AP:AP,"Revisar"),"")</f>
        <v/>
      </c>
      <c r="AX775" s="179" t="str">
        <f t="array" ref="AX775">IF($F775&lt;&gt;"", XLOOKUP($F775,Productos!$A$2:$A1001,Productos!AQ$2:AQ1001,"")*$G775,"")</f>
        <v/>
      </c>
      <c r="AY775" s="179" t="str">
        <f t="array" ref="AY775">IF($F775&lt;&gt;"",XLOOKUP($F775,Productos!$A:$A,Productos!AR:AR,"Revisar"),"")</f>
        <v/>
      </c>
      <c r="AZ775" s="179" t="str">
        <f t="array" ref="AZ775">IF($F775&lt;&gt;"", XLOOKUP($F775,Productos!$A$2:$A1001,Productos!AS$2:AS1001,"")*$G775,"")</f>
        <v/>
      </c>
      <c r="BA775" s="179" t="str">
        <f t="array" ref="BA775">IF($F775&lt;&gt;"",XLOOKUP($F775,Productos!$A:$A,Productos!AT:AT,"Revisar"),"")</f>
        <v/>
      </c>
      <c r="BB775" s="179" t="str">
        <f t="array" ref="BB775">IF($F775&lt;&gt;"", XLOOKUP($F775,Productos!$A$2:$A1001,Productos!AU$2:AU1001,"")*$G775,"")</f>
        <v/>
      </c>
      <c r="BC775" s="179" t="str">
        <f t="array" ref="BC775">IF($F775&lt;&gt;"",XLOOKUP($F775,Productos!$A:$A,Productos!AV:AV,"Revisar"),"")</f>
        <v/>
      </c>
      <c r="BD775" s="179" t="str">
        <f t="array" ref="BD775">IF($F775&lt;&gt;"", XLOOKUP($F775,Productos!$A$2:$A1001,Productos!AW$2:AW1001,"")*$G775,"")</f>
        <v/>
      </c>
      <c r="BE775" s="179" t="str">
        <f t="array" ref="BE775">IF($F775&lt;&gt;"",XLOOKUP($F775,Productos!$A:$A,Productos!AX:AX,"Revisar"),"")</f>
        <v/>
      </c>
      <c r="BF775" s="179" t="str">
        <f t="array" ref="BF775">IF($F775&lt;&gt;"", XLOOKUP($F775,Productos!$A$2:$A1001,Productos!AY$2:AY1001,"")*$G775,"")</f>
        <v/>
      </c>
      <c r="BG775" s="179" t="str">
        <f t="array" ref="BG775">IF($F775&lt;&gt;"",XLOOKUP($F775,Productos!$A:$A,Productos!AZ:AZ,"Revisar"),"")</f>
        <v/>
      </c>
      <c r="BH775" s="179" t="str">
        <f t="array" ref="BH775">IF($F775&lt;&gt;"", XLOOKUP($F775,Productos!$A$2:$A1001,Productos!BA$2:BA1001,"")*$G775,"")</f>
        <v/>
      </c>
      <c r="BI775" s="179" t="str">
        <f t="array" ref="BI775">IF($F775&lt;&gt;"",XLOOKUP($F775,Productos!$A:$A,Productos!BB:BB,"Revisar"),"")</f>
        <v/>
      </c>
      <c r="BJ775" s="179" t="str">
        <f t="array" ref="BJ775">IF($F775&lt;&gt;"", XLOOKUP($F775,Productos!$A$2:$A1001,Productos!BC$2:BC1001,"")*$G775,"")</f>
        <v/>
      </c>
      <c r="BK775" s="179" t="str">
        <f t="array" ref="BK775">IF($F775&lt;&gt;"",XLOOKUP($F775,Productos!$A:$A,Productos!BD:BD,"Revisar"),"")</f>
        <v/>
      </c>
      <c r="BL775" s="179" t="str">
        <f t="array" ref="BL775">IF($F775&lt;&gt;"", XLOOKUP($F775,Productos!$A$2:$A1001,Productos!BE$2:BE1001,"")*$G775,"")</f>
        <v/>
      </c>
      <c r="BM775" s="179" t="str">
        <f t="array" ref="BM775">IF($F775&lt;&gt;"",XLOOKUP($F775,Productos!$A:$A,Productos!BF:BF,"Revisar"),"")</f>
        <v/>
      </c>
      <c r="BN775" s="179" t="str">
        <f t="array" ref="BN775">IF($F775&lt;&gt;"", XLOOKUP($F775,Productos!$A$2:$A1001,Productos!BG$2:BG1001,"")*$G775,"")</f>
        <v/>
      </c>
      <c r="BO775" s="179" t="str">
        <f t="array" ref="BO775">IF($F775&lt;&gt;"",XLOOKUP($F775,Productos!$A:$A,Productos!BH:BH,"Revisar"),"")</f>
        <v/>
      </c>
      <c r="BP775" s="179" t="str">
        <f t="array" ref="BP775">IF($F775&lt;&gt;"", XLOOKUP($F775,Productos!$A$2:$A1001,Productos!BI$2:BI1001,"")*$G775,"")</f>
        <v/>
      </c>
      <c r="BQ775" s="179" t="str">
        <f t="array" ref="BQ775">IF($F775&lt;&gt;"",XLOOKUP($F775,Productos!$A:$A,Productos!BJ:BJ,"Revisar"),"")</f>
        <v/>
      </c>
      <c r="BR775" s="179" t="str">
        <f t="array" ref="BR775">IF($F775&lt;&gt;"", XLOOKUP($F775,Productos!$A$2:$A1001,Productos!BK$2:BK1001,"")*$G775,"")</f>
        <v/>
      </c>
      <c r="BS775" s="179" t="str">
        <f t="array" ref="BS775">IF($F775&lt;&gt;"",XLOOKUP($F775,Productos!$A:$A,Productos!BL:BL,"Revisar"),"")</f>
        <v/>
      </c>
      <c r="BT775" s="179" t="str">
        <f t="array" ref="BT775">IF($F775&lt;&gt;"", XLOOKUP($F775,Productos!$A$2:$A1001,Productos!BM$2:BM1001,"")*$G775,"")</f>
        <v/>
      </c>
      <c r="BU775" s="179" t="str">
        <f t="array" ref="BU775">IF($F775&lt;&gt;"",XLOOKUP($F775,Productos!$A:$A,Productos!BN:BN,"Revisar"),"")</f>
        <v/>
      </c>
      <c r="BV775" s="179" t="str">
        <f t="array" ref="BV775">IF($F775&lt;&gt;"", XLOOKUP($F775,Productos!$A$2:$A1001,Productos!BO$2:BO1001,"")*$G775,"")</f>
        <v/>
      </c>
      <c r="BW775" s="179" t="str">
        <f t="array" ref="BW775">IF($F775&lt;&gt;"",XLOOKUP($F775,Productos!$A:$A,Productos!BP:BP,"Revisar"),"")</f>
        <v/>
      </c>
      <c r="BX775" s="179" t="str">
        <f t="array" ref="BX775">IF($F775&lt;&gt;"", XLOOKUP($F775,Productos!$A$2:$A1001,Productos!BQ$2:BQ1001,"")*$G775,"")</f>
        <v/>
      </c>
      <c r="BY775" s="179" t="str">
        <f t="array" ref="BY775">IF($F775&lt;&gt;"",XLOOKUP($F775,Productos!$A:$A,Productos!BR:BR,"Revisar"),"")</f>
        <v/>
      </c>
      <c r="BZ775" s="179" t="str">
        <f t="array" ref="BZ775">IF($F775&lt;&gt;"", XLOOKUP($F775,Productos!$A$2:$A1001,Productos!BS$2:BS1001,"")*$G775,"")</f>
        <v/>
      </c>
    </row>
    <row r="776">
      <c r="A776" s="188"/>
      <c r="B776" s="189"/>
      <c r="C776" s="190"/>
      <c r="D776" s="190"/>
      <c r="E776" s="191"/>
      <c r="F776" s="186"/>
      <c r="G776" s="192"/>
      <c r="H776" s="9"/>
      <c r="I776" s="179" t="str">
        <f t="array" ref="I776">IF($F776&lt;&gt;"",XLOOKUP($F776,Productos!$A:$A,Productos!B:B,"Revisar"),"")</f>
        <v/>
      </c>
      <c r="J776" s="179" t="str">
        <f t="array" ref="J776">IF($F776&lt;&gt;"", XLOOKUP($F776,Productos!$A$2:$A1001,Productos!C$2:C1001,"")*$G776,"")</f>
        <v/>
      </c>
      <c r="K776" s="179" t="str">
        <f t="array" ref="K776">IF($F776&lt;&gt;"",XLOOKUP($F776,Productos!$A:$A,Productos!D:D,"Revisar"),"")</f>
        <v/>
      </c>
      <c r="L776" s="179" t="str">
        <f t="array" ref="L776">IF($F776&lt;&gt;"", XLOOKUP($F776,Productos!$A$2:$A1001,Productos!E$2:E1001,"")*$G776,"")</f>
        <v/>
      </c>
      <c r="M776" s="179" t="str">
        <f t="array" ref="M776">IF($F776&lt;&gt;"",XLOOKUP($F776,Productos!$A:$A,Productos!F:F,"Revisar"),"")</f>
        <v/>
      </c>
      <c r="N776" s="179" t="str">
        <f t="array" ref="N776">IF($F776&lt;&gt;"", XLOOKUP($F776,Productos!$A$2:$A1001,Productos!G$2:G1001,"")*$G776,"")</f>
        <v/>
      </c>
      <c r="O776" s="179" t="str">
        <f t="array" ref="O776">IF($F776&lt;&gt;"",XLOOKUP($F776,Productos!$A:$A,Productos!H:H,"Revisar"),"")</f>
        <v/>
      </c>
      <c r="P776" s="179" t="str">
        <f t="array" ref="P776">IF($F776&lt;&gt;"", XLOOKUP($F776,Productos!$A$2:$A1001,Productos!I$2:I1001,"")*$G776,"")</f>
        <v/>
      </c>
      <c r="Q776" s="179" t="str">
        <f t="array" ref="Q776">IF($F776&lt;&gt;"",XLOOKUP($F776,Productos!$A:$A,Productos!J:J,"Revisar"),"")</f>
        <v/>
      </c>
      <c r="R776" s="179" t="str">
        <f t="array" ref="R776">IF($F776&lt;&gt;"", XLOOKUP($F776,Productos!$A$2:$A1001,Productos!K$2:K1001,"")*$G776,"")</f>
        <v/>
      </c>
      <c r="S776" s="179" t="str">
        <f t="array" ref="S776">IF($F776&lt;&gt;"",XLOOKUP($F776,Productos!$A:$A,Productos!L:L,"Revisar"),"")</f>
        <v/>
      </c>
      <c r="T776" s="179" t="str">
        <f t="array" ref="T776">IF($F776&lt;&gt;"", XLOOKUP($F776,Productos!$A$2:$A1001,Productos!M$2:M1001,"")*$G776,"")</f>
        <v/>
      </c>
      <c r="U776" s="179" t="str">
        <f t="array" ref="U776">IF($F776&lt;&gt;"",XLOOKUP($F776,Productos!$A:$A,Productos!N:N,"Revisar"),"")</f>
        <v/>
      </c>
      <c r="V776" s="179" t="str">
        <f t="array" ref="V776">IF($F776&lt;&gt;"", XLOOKUP($F776,Productos!$A$2:$A1001,Productos!O$2:O1001,"")*$G776,"")</f>
        <v/>
      </c>
      <c r="W776" s="179" t="str">
        <f t="array" ref="W776">IF($F776&lt;&gt;"",XLOOKUP($F776,Productos!$A:$A,Productos!P:P,"Revisar"),"")</f>
        <v/>
      </c>
      <c r="X776" s="179" t="str">
        <f t="array" ref="X776">IF($F776&lt;&gt;"", XLOOKUP($F776,Productos!$A$2:$A1001,Productos!Q$2:Q1001,"")*$G776,"")</f>
        <v/>
      </c>
      <c r="Y776" s="179" t="str">
        <f t="array" ref="Y776">IF($F776&lt;&gt;"",XLOOKUP($F776,Productos!$A:$A,Productos!R:R,"Revisar"),"")</f>
        <v/>
      </c>
      <c r="Z776" s="179" t="str">
        <f t="array" ref="Z776">IF($F776&lt;&gt;"", XLOOKUP($F776,Productos!$A$2:$A1001,Productos!S$2:S1001,"")*$G776,"")</f>
        <v/>
      </c>
      <c r="AA776" s="179" t="str">
        <f t="array" ref="AA776">IF($F776&lt;&gt;"",XLOOKUP($F776,Productos!$A:$A,Productos!T:T,"Revisar"),"")</f>
        <v/>
      </c>
      <c r="AB776" s="179" t="str">
        <f t="array" ref="AB776">IF($F776&lt;&gt;"", XLOOKUP($F776,Productos!$A$2:$A1001,Productos!U$2:U1001,"")*$G776,"")</f>
        <v/>
      </c>
      <c r="AC776" s="179" t="str">
        <f t="array" ref="AC776">IF($F776&lt;&gt;"",XLOOKUP($F776,Productos!$A:$A,Productos!V:V,"Revisar"),"")</f>
        <v/>
      </c>
      <c r="AD776" s="179" t="str">
        <f t="array" ref="AD776">IF($F776&lt;&gt;"", XLOOKUP($F776,Productos!$A$2:$A1001,Productos!W$2:W1001,"")*$G776,"")</f>
        <v/>
      </c>
      <c r="AE776" s="179" t="str">
        <f t="array" ref="AE776">IF($F776&lt;&gt;"",XLOOKUP($F776,Productos!$A:$A,Productos!X:X,"Revisar"),"")</f>
        <v/>
      </c>
      <c r="AF776" s="179" t="str">
        <f t="array" ref="AF776">IF($F776&lt;&gt;"", XLOOKUP($F776,Productos!$A$2:$A1001,Productos!Y$2:Y1001,"")*$G776,"")</f>
        <v/>
      </c>
      <c r="AG776" s="179" t="str">
        <f t="array" ref="AG776">IF($F776&lt;&gt;"",XLOOKUP($F776,Productos!$A:$A,Productos!Z:Z,"Revisar"),"")</f>
        <v/>
      </c>
      <c r="AH776" s="179" t="str">
        <f t="array" ref="AH776">IF($F776&lt;&gt;"", XLOOKUP($F776,Productos!$A$2:$A1001,Productos!AA$2:AA1001,"")*$G776,"")</f>
        <v/>
      </c>
      <c r="AI776" s="179" t="str">
        <f t="array" ref="AI776">IF($F776&lt;&gt;"",XLOOKUP($F776,Productos!$A:$A,Productos!AB:AB,"Revisar"),"")</f>
        <v/>
      </c>
      <c r="AJ776" s="179" t="str">
        <f t="array" ref="AJ776">IF($F776&lt;&gt;"", XLOOKUP($F776,Productos!$A$2:$A1001,Productos!AC$2:AC1001,"")*$G776,"")</f>
        <v/>
      </c>
      <c r="AK776" s="179" t="str">
        <f t="array" ref="AK776">IF($F776&lt;&gt;"",XLOOKUP($F776,Productos!$A:$A,Productos!AD:AD,"Revisar"),"")</f>
        <v/>
      </c>
      <c r="AL776" s="179" t="str">
        <f t="array" ref="AL776">IF($F776&lt;&gt;"", XLOOKUP($F776,Productos!$A$2:$A1001,Productos!AE$2:AE1001,"")*$G776,"")</f>
        <v/>
      </c>
      <c r="AM776" s="179" t="str">
        <f t="array" ref="AM776">IF($F776&lt;&gt;"",XLOOKUP($F776,Productos!$A:$A,Productos!AF:AF,"Revisar"),"")</f>
        <v/>
      </c>
      <c r="AN776" s="179" t="str">
        <f t="array" ref="AN776">IF($F776&lt;&gt;"", XLOOKUP($F776,Productos!$A$2:$A1001,Productos!AG$2:AG1001,"")*$G776,"")</f>
        <v/>
      </c>
      <c r="AO776" s="179" t="str">
        <f t="array" ref="AO776">IF($F776&lt;&gt;"",XLOOKUP($F776,Productos!$A:$A,Productos!AH:AH,"Revisar"),"")</f>
        <v/>
      </c>
      <c r="AP776" s="179" t="str">
        <f t="array" ref="AP776">IF($F776&lt;&gt;"", XLOOKUP($F776,Productos!$A$2:$A1001,Productos!AI$2:AI1001,"")*$G776,"")</f>
        <v/>
      </c>
      <c r="AQ776" s="179" t="str">
        <f t="array" ref="AQ776">IF($F776&lt;&gt;"",XLOOKUP($F776,Productos!$A:$A,Productos!AJ:AJ,"Revisar"),"")</f>
        <v/>
      </c>
      <c r="AR776" s="179" t="str">
        <f t="array" ref="AR776">IF($F776&lt;&gt;"", XLOOKUP($F776,Productos!$A$2:$A1001,Productos!AK$2:AK1001,"")*$G776,"")</f>
        <v/>
      </c>
      <c r="AS776" s="179" t="str">
        <f t="array" ref="AS776">IF($F776&lt;&gt;"",XLOOKUP($F776,Productos!$A:$A,Productos!AL:AL,"Revisar"),"")</f>
        <v/>
      </c>
      <c r="AT776" s="179" t="str">
        <f t="array" ref="AT776">IF($F776&lt;&gt;"", XLOOKUP($F776,Productos!$A$2:$A1001,Productos!AM$2:AM1001,"")*$G776,"")</f>
        <v/>
      </c>
      <c r="AU776" s="179" t="str">
        <f t="array" ref="AU776">IF($F776&lt;&gt;"",XLOOKUP($F776,Productos!$A:$A,Productos!AN:AN,"Revisar"),"")</f>
        <v/>
      </c>
      <c r="AV776" s="179" t="str">
        <f t="array" ref="AV776">IF($F776&lt;&gt;"", XLOOKUP($F776,Productos!$A$2:$A1001,Productos!AO$2:AO1001,"")*$G776,"")</f>
        <v/>
      </c>
      <c r="AW776" s="179" t="str">
        <f t="array" ref="AW776">IF($F776&lt;&gt;"",XLOOKUP($F776,Productos!$A:$A,Productos!AP:AP,"Revisar"),"")</f>
        <v/>
      </c>
      <c r="AX776" s="179" t="str">
        <f t="array" ref="AX776">IF($F776&lt;&gt;"", XLOOKUP($F776,Productos!$A$2:$A1001,Productos!AQ$2:AQ1001,"")*$G776,"")</f>
        <v/>
      </c>
      <c r="AY776" s="179" t="str">
        <f t="array" ref="AY776">IF($F776&lt;&gt;"",XLOOKUP($F776,Productos!$A:$A,Productos!AR:AR,"Revisar"),"")</f>
        <v/>
      </c>
      <c r="AZ776" s="179" t="str">
        <f t="array" ref="AZ776">IF($F776&lt;&gt;"", XLOOKUP($F776,Productos!$A$2:$A1001,Productos!AS$2:AS1001,"")*$G776,"")</f>
        <v/>
      </c>
      <c r="BA776" s="179" t="str">
        <f t="array" ref="BA776">IF($F776&lt;&gt;"",XLOOKUP($F776,Productos!$A:$A,Productos!AT:AT,"Revisar"),"")</f>
        <v/>
      </c>
      <c r="BB776" s="179" t="str">
        <f t="array" ref="BB776">IF($F776&lt;&gt;"", XLOOKUP($F776,Productos!$A$2:$A1001,Productos!AU$2:AU1001,"")*$G776,"")</f>
        <v/>
      </c>
      <c r="BC776" s="179" t="str">
        <f t="array" ref="BC776">IF($F776&lt;&gt;"",XLOOKUP($F776,Productos!$A:$A,Productos!AV:AV,"Revisar"),"")</f>
        <v/>
      </c>
      <c r="BD776" s="179" t="str">
        <f t="array" ref="BD776">IF($F776&lt;&gt;"", XLOOKUP($F776,Productos!$A$2:$A1001,Productos!AW$2:AW1001,"")*$G776,"")</f>
        <v/>
      </c>
      <c r="BE776" s="179" t="str">
        <f t="array" ref="BE776">IF($F776&lt;&gt;"",XLOOKUP($F776,Productos!$A:$A,Productos!AX:AX,"Revisar"),"")</f>
        <v/>
      </c>
      <c r="BF776" s="179" t="str">
        <f t="array" ref="BF776">IF($F776&lt;&gt;"", XLOOKUP($F776,Productos!$A$2:$A1001,Productos!AY$2:AY1001,"")*$G776,"")</f>
        <v/>
      </c>
      <c r="BG776" s="179" t="str">
        <f t="array" ref="BG776">IF($F776&lt;&gt;"",XLOOKUP($F776,Productos!$A:$A,Productos!AZ:AZ,"Revisar"),"")</f>
        <v/>
      </c>
      <c r="BH776" s="179" t="str">
        <f t="array" ref="BH776">IF($F776&lt;&gt;"", XLOOKUP($F776,Productos!$A$2:$A1001,Productos!BA$2:BA1001,"")*$G776,"")</f>
        <v/>
      </c>
      <c r="BI776" s="179" t="str">
        <f t="array" ref="BI776">IF($F776&lt;&gt;"",XLOOKUP($F776,Productos!$A:$A,Productos!BB:BB,"Revisar"),"")</f>
        <v/>
      </c>
      <c r="BJ776" s="179" t="str">
        <f t="array" ref="BJ776">IF($F776&lt;&gt;"", XLOOKUP($F776,Productos!$A$2:$A1001,Productos!BC$2:BC1001,"")*$G776,"")</f>
        <v/>
      </c>
      <c r="BK776" s="179" t="str">
        <f t="array" ref="BK776">IF($F776&lt;&gt;"",XLOOKUP($F776,Productos!$A:$A,Productos!BD:BD,"Revisar"),"")</f>
        <v/>
      </c>
      <c r="BL776" s="179" t="str">
        <f t="array" ref="BL776">IF($F776&lt;&gt;"", XLOOKUP($F776,Productos!$A$2:$A1001,Productos!BE$2:BE1001,"")*$G776,"")</f>
        <v/>
      </c>
      <c r="BM776" s="179" t="str">
        <f t="array" ref="BM776">IF($F776&lt;&gt;"",XLOOKUP($F776,Productos!$A:$A,Productos!BF:BF,"Revisar"),"")</f>
        <v/>
      </c>
      <c r="BN776" s="179" t="str">
        <f t="array" ref="BN776">IF($F776&lt;&gt;"", XLOOKUP($F776,Productos!$A$2:$A1001,Productos!BG$2:BG1001,"")*$G776,"")</f>
        <v/>
      </c>
      <c r="BO776" s="179" t="str">
        <f t="array" ref="BO776">IF($F776&lt;&gt;"",XLOOKUP($F776,Productos!$A:$A,Productos!BH:BH,"Revisar"),"")</f>
        <v/>
      </c>
      <c r="BP776" s="179" t="str">
        <f t="array" ref="BP776">IF($F776&lt;&gt;"", XLOOKUP($F776,Productos!$A$2:$A1001,Productos!BI$2:BI1001,"")*$G776,"")</f>
        <v/>
      </c>
      <c r="BQ776" s="179" t="str">
        <f t="array" ref="BQ776">IF($F776&lt;&gt;"",XLOOKUP($F776,Productos!$A:$A,Productos!BJ:BJ,"Revisar"),"")</f>
        <v/>
      </c>
      <c r="BR776" s="179" t="str">
        <f t="array" ref="BR776">IF($F776&lt;&gt;"", XLOOKUP($F776,Productos!$A$2:$A1001,Productos!BK$2:BK1001,"")*$G776,"")</f>
        <v/>
      </c>
      <c r="BS776" s="179" t="str">
        <f t="array" ref="BS776">IF($F776&lt;&gt;"",XLOOKUP($F776,Productos!$A:$A,Productos!BL:BL,"Revisar"),"")</f>
        <v/>
      </c>
      <c r="BT776" s="179" t="str">
        <f t="array" ref="BT776">IF($F776&lt;&gt;"", XLOOKUP($F776,Productos!$A$2:$A1001,Productos!BM$2:BM1001,"")*$G776,"")</f>
        <v/>
      </c>
      <c r="BU776" s="179" t="str">
        <f t="array" ref="BU776">IF($F776&lt;&gt;"",XLOOKUP($F776,Productos!$A:$A,Productos!BN:BN,"Revisar"),"")</f>
        <v/>
      </c>
      <c r="BV776" s="179" t="str">
        <f t="array" ref="BV776">IF($F776&lt;&gt;"", XLOOKUP($F776,Productos!$A$2:$A1001,Productos!BO$2:BO1001,"")*$G776,"")</f>
        <v/>
      </c>
      <c r="BW776" s="179" t="str">
        <f t="array" ref="BW776">IF($F776&lt;&gt;"",XLOOKUP($F776,Productos!$A:$A,Productos!BP:BP,"Revisar"),"")</f>
        <v/>
      </c>
      <c r="BX776" s="179" t="str">
        <f t="array" ref="BX776">IF($F776&lt;&gt;"", XLOOKUP($F776,Productos!$A$2:$A1001,Productos!BQ$2:BQ1001,"")*$G776,"")</f>
        <v/>
      </c>
      <c r="BY776" s="179" t="str">
        <f t="array" ref="BY776">IF($F776&lt;&gt;"",XLOOKUP($F776,Productos!$A:$A,Productos!BR:BR,"Revisar"),"")</f>
        <v/>
      </c>
      <c r="BZ776" s="179" t="str">
        <f t="array" ref="BZ776">IF($F776&lt;&gt;"", XLOOKUP($F776,Productos!$A$2:$A1001,Productos!BS$2:BS1001,"")*$G776,"")</f>
        <v/>
      </c>
    </row>
    <row r="777">
      <c r="A777" s="188"/>
      <c r="B777" s="189"/>
      <c r="C777" s="190"/>
      <c r="D777" s="190"/>
      <c r="E777" s="191"/>
      <c r="F777" s="186"/>
      <c r="G777" s="192"/>
      <c r="H777" s="9"/>
      <c r="I777" s="179" t="str">
        <f t="array" ref="I777">IF($F777&lt;&gt;"",XLOOKUP($F777,Productos!$A:$A,Productos!B:B,"Revisar"),"")</f>
        <v/>
      </c>
      <c r="J777" s="179" t="str">
        <f t="array" ref="J777">IF($F777&lt;&gt;"", XLOOKUP($F777,Productos!$A$2:$A1001,Productos!C$2:C1001,"")*$G777,"")</f>
        <v/>
      </c>
      <c r="K777" s="179" t="str">
        <f t="array" ref="K777">IF($F777&lt;&gt;"",XLOOKUP($F777,Productos!$A:$A,Productos!D:D,"Revisar"),"")</f>
        <v/>
      </c>
      <c r="L777" s="179" t="str">
        <f t="array" ref="L777">IF($F777&lt;&gt;"", XLOOKUP($F777,Productos!$A$2:$A1001,Productos!E$2:E1001,"")*$G777,"")</f>
        <v/>
      </c>
      <c r="M777" s="179" t="str">
        <f t="array" ref="M777">IF($F777&lt;&gt;"",XLOOKUP($F777,Productos!$A:$A,Productos!F:F,"Revisar"),"")</f>
        <v/>
      </c>
      <c r="N777" s="179" t="str">
        <f t="array" ref="N777">IF($F777&lt;&gt;"", XLOOKUP($F777,Productos!$A$2:$A1001,Productos!G$2:G1001,"")*$G777,"")</f>
        <v/>
      </c>
      <c r="O777" s="179" t="str">
        <f t="array" ref="O777">IF($F777&lt;&gt;"",XLOOKUP($F777,Productos!$A:$A,Productos!H:H,"Revisar"),"")</f>
        <v/>
      </c>
      <c r="P777" s="179" t="str">
        <f t="array" ref="P777">IF($F777&lt;&gt;"", XLOOKUP($F777,Productos!$A$2:$A1001,Productos!I$2:I1001,"")*$G777,"")</f>
        <v/>
      </c>
      <c r="Q777" s="179" t="str">
        <f t="array" ref="Q777">IF($F777&lt;&gt;"",XLOOKUP($F777,Productos!$A:$A,Productos!J:J,"Revisar"),"")</f>
        <v/>
      </c>
      <c r="R777" s="179" t="str">
        <f t="array" ref="R777">IF($F777&lt;&gt;"", XLOOKUP($F777,Productos!$A$2:$A1001,Productos!K$2:K1001,"")*$G777,"")</f>
        <v/>
      </c>
      <c r="S777" s="179" t="str">
        <f t="array" ref="S777">IF($F777&lt;&gt;"",XLOOKUP($F777,Productos!$A:$A,Productos!L:L,"Revisar"),"")</f>
        <v/>
      </c>
      <c r="T777" s="179" t="str">
        <f t="array" ref="T777">IF($F777&lt;&gt;"", XLOOKUP($F777,Productos!$A$2:$A1001,Productos!M$2:M1001,"")*$G777,"")</f>
        <v/>
      </c>
      <c r="U777" s="179" t="str">
        <f t="array" ref="U777">IF($F777&lt;&gt;"",XLOOKUP($F777,Productos!$A:$A,Productos!N:N,"Revisar"),"")</f>
        <v/>
      </c>
      <c r="V777" s="179" t="str">
        <f t="array" ref="V777">IF($F777&lt;&gt;"", XLOOKUP($F777,Productos!$A$2:$A1001,Productos!O$2:O1001,"")*$G777,"")</f>
        <v/>
      </c>
      <c r="W777" s="179" t="str">
        <f t="array" ref="W777">IF($F777&lt;&gt;"",XLOOKUP($F777,Productos!$A:$A,Productos!P:P,"Revisar"),"")</f>
        <v/>
      </c>
      <c r="X777" s="179" t="str">
        <f t="array" ref="X777">IF($F777&lt;&gt;"", XLOOKUP($F777,Productos!$A$2:$A1001,Productos!Q$2:Q1001,"")*$G777,"")</f>
        <v/>
      </c>
      <c r="Y777" s="179" t="str">
        <f t="array" ref="Y777">IF($F777&lt;&gt;"",XLOOKUP($F777,Productos!$A:$A,Productos!R:R,"Revisar"),"")</f>
        <v/>
      </c>
      <c r="Z777" s="179" t="str">
        <f t="array" ref="Z777">IF($F777&lt;&gt;"", XLOOKUP($F777,Productos!$A$2:$A1001,Productos!S$2:S1001,"")*$G777,"")</f>
        <v/>
      </c>
      <c r="AA777" s="179" t="str">
        <f t="array" ref="AA777">IF($F777&lt;&gt;"",XLOOKUP($F777,Productos!$A:$A,Productos!T:T,"Revisar"),"")</f>
        <v/>
      </c>
      <c r="AB777" s="179" t="str">
        <f t="array" ref="AB777">IF($F777&lt;&gt;"", XLOOKUP($F777,Productos!$A$2:$A1001,Productos!U$2:U1001,"")*$G777,"")</f>
        <v/>
      </c>
      <c r="AC777" s="179" t="str">
        <f t="array" ref="AC777">IF($F777&lt;&gt;"",XLOOKUP($F777,Productos!$A:$A,Productos!V:V,"Revisar"),"")</f>
        <v/>
      </c>
      <c r="AD777" s="179" t="str">
        <f t="array" ref="AD777">IF($F777&lt;&gt;"", XLOOKUP($F777,Productos!$A$2:$A1001,Productos!W$2:W1001,"")*$G777,"")</f>
        <v/>
      </c>
      <c r="AE777" s="179" t="str">
        <f t="array" ref="AE777">IF($F777&lt;&gt;"",XLOOKUP($F777,Productos!$A:$A,Productos!X:X,"Revisar"),"")</f>
        <v/>
      </c>
      <c r="AF777" s="179" t="str">
        <f t="array" ref="AF777">IF($F777&lt;&gt;"", XLOOKUP($F777,Productos!$A$2:$A1001,Productos!Y$2:Y1001,"")*$G777,"")</f>
        <v/>
      </c>
      <c r="AG777" s="179" t="str">
        <f t="array" ref="AG777">IF($F777&lt;&gt;"",XLOOKUP($F777,Productos!$A:$A,Productos!Z:Z,"Revisar"),"")</f>
        <v/>
      </c>
      <c r="AH777" s="179" t="str">
        <f t="array" ref="AH777">IF($F777&lt;&gt;"", XLOOKUP($F777,Productos!$A$2:$A1001,Productos!AA$2:AA1001,"")*$G777,"")</f>
        <v/>
      </c>
      <c r="AI777" s="179" t="str">
        <f t="array" ref="AI777">IF($F777&lt;&gt;"",XLOOKUP($F777,Productos!$A:$A,Productos!AB:AB,"Revisar"),"")</f>
        <v/>
      </c>
      <c r="AJ777" s="179" t="str">
        <f t="array" ref="AJ777">IF($F777&lt;&gt;"", XLOOKUP($F777,Productos!$A$2:$A1001,Productos!AC$2:AC1001,"")*$G777,"")</f>
        <v/>
      </c>
      <c r="AK777" s="179" t="str">
        <f t="array" ref="AK777">IF($F777&lt;&gt;"",XLOOKUP($F777,Productos!$A:$A,Productos!AD:AD,"Revisar"),"")</f>
        <v/>
      </c>
      <c r="AL777" s="179" t="str">
        <f t="array" ref="AL777">IF($F777&lt;&gt;"", XLOOKUP($F777,Productos!$A$2:$A1001,Productos!AE$2:AE1001,"")*$G777,"")</f>
        <v/>
      </c>
      <c r="AM777" s="179" t="str">
        <f t="array" ref="AM777">IF($F777&lt;&gt;"",XLOOKUP($F777,Productos!$A:$A,Productos!AF:AF,"Revisar"),"")</f>
        <v/>
      </c>
      <c r="AN777" s="179" t="str">
        <f t="array" ref="AN777">IF($F777&lt;&gt;"", XLOOKUP($F777,Productos!$A$2:$A1001,Productos!AG$2:AG1001,"")*$G777,"")</f>
        <v/>
      </c>
      <c r="AO777" s="179" t="str">
        <f t="array" ref="AO777">IF($F777&lt;&gt;"",XLOOKUP($F777,Productos!$A:$A,Productos!AH:AH,"Revisar"),"")</f>
        <v/>
      </c>
      <c r="AP777" s="179" t="str">
        <f t="array" ref="AP777">IF($F777&lt;&gt;"", XLOOKUP($F777,Productos!$A$2:$A1001,Productos!AI$2:AI1001,"")*$G777,"")</f>
        <v/>
      </c>
      <c r="AQ777" s="179" t="str">
        <f t="array" ref="AQ777">IF($F777&lt;&gt;"",XLOOKUP($F777,Productos!$A:$A,Productos!AJ:AJ,"Revisar"),"")</f>
        <v/>
      </c>
      <c r="AR777" s="179" t="str">
        <f t="array" ref="AR777">IF($F777&lt;&gt;"", XLOOKUP($F777,Productos!$A$2:$A1001,Productos!AK$2:AK1001,"")*$G777,"")</f>
        <v/>
      </c>
      <c r="AS777" s="179" t="str">
        <f t="array" ref="AS777">IF($F777&lt;&gt;"",XLOOKUP($F777,Productos!$A:$A,Productos!AL:AL,"Revisar"),"")</f>
        <v/>
      </c>
      <c r="AT777" s="179" t="str">
        <f t="array" ref="AT777">IF($F777&lt;&gt;"", XLOOKUP($F777,Productos!$A$2:$A1001,Productos!AM$2:AM1001,"")*$G777,"")</f>
        <v/>
      </c>
      <c r="AU777" s="179" t="str">
        <f t="array" ref="AU777">IF($F777&lt;&gt;"",XLOOKUP($F777,Productos!$A:$A,Productos!AN:AN,"Revisar"),"")</f>
        <v/>
      </c>
      <c r="AV777" s="179" t="str">
        <f t="array" ref="AV777">IF($F777&lt;&gt;"", XLOOKUP($F777,Productos!$A$2:$A1001,Productos!AO$2:AO1001,"")*$G777,"")</f>
        <v/>
      </c>
      <c r="AW777" s="179" t="str">
        <f t="array" ref="AW777">IF($F777&lt;&gt;"",XLOOKUP($F777,Productos!$A:$A,Productos!AP:AP,"Revisar"),"")</f>
        <v/>
      </c>
      <c r="AX777" s="179" t="str">
        <f t="array" ref="AX777">IF($F777&lt;&gt;"", XLOOKUP($F777,Productos!$A$2:$A1001,Productos!AQ$2:AQ1001,"")*$G777,"")</f>
        <v/>
      </c>
      <c r="AY777" s="179" t="str">
        <f t="array" ref="AY777">IF($F777&lt;&gt;"",XLOOKUP($F777,Productos!$A:$A,Productos!AR:AR,"Revisar"),"")</f>
        <v/>
      </c>
      <c r="AZ777" s="179" t="str">
        <f t="array" ref="AZ777">IF($F777&lt;&gt;"", XLOOKUP($F777,Productos!$A$2:$A1001,Productos!AS$2:AS1001,"")*$G777,"")</f>
        <v/>
      </c>
      <c r="BA777" s="179" t="str">
        <f t="array" ref="BA777">IF($F777&lt;&gt;"",XLOOKUP($F777,Productos!$A:$A,Productos!AT:AT,"Revisar"),"")</f>
        <v/>
      </c>
      <c r="BB777" s="179" t="str">
        <f t="array" ref="BB777">IF($F777&lt;&gt;"", XLOOKUP($F777,Productos!$A$2:$A1001,Productos!AU$2:AU1001,"")*$G777,"")</f>
        <v/>
      </c>
      <c r="BC777" s="179" t="str">
        <f t="array" ref="BC777">IF($F777&lt;&gt;"",XLOOKUP($F777,Productos!$A:$A,Productos!AV:AV,"Revisar"),"")</f>
        <v/>
      </c>
      <c r="BD777" s="179" t="str">
        <f t="array" ref="BD777">IF($F777&lt;&gt;"", XLOOKUP($F777,Productos!$A$2:$A1001,Productos!AW$2:AW1001,"")*$G777,"")</f>
        <v/>
      </c>
      <c r="BE777" s="179" t="str">
        <f t="array" ref="BE777">IF($F777&lt;&gt;"",XLOOKUP($F777,Productos!$A:$A,Productos!AX:AX,"Revisar"),"")</f>
        <v/>
      </c>
      <c r="BF777" s="179" t="str">
        <f t="array" ref="BF777">IF($F777&lt;&gt;"", XLOOKUP($F777,Productos!$A$2:$A1001,Productos!AY$2:AY1001,"")*$G777,"")</f>
        <v/>
      </c>
      <c r="BG777" s="179" t="str">
        <f t="array" ref="BG777">IF($F777&lt;&gt;"",XLOOKUP($F777,Productos!$A:$A,Productos!AZ:AZ,"Revisar"),"")</f>
        <v/>
      </c>
      <c r="BH777" s="179" t="str">
        <f t="array" ref="BH777">IF($F777&lt;&gt;"", XLOOKUP($F777,Productos!$A$2:$A1001,Productos!BA$2:BA1001,"")*$G777,"")</f>
        <v/>
      </c>
      <c r="BI777" s="179" t="str">
        <f t="array" ref="BI777">IF($F777&lt;&gt;"",XLOOKUP($F777,Productos!$A:$A,Productos!BB:BB,"Revisar"),"")</f>
        <v/>
      </c>
      <c r="BJ777" s="179" t="str">
        <f t="array" ref="BJ777">IF($F777&lt;&gt;"", XLOOKUP($F777,Productos!$A$2:$A1001,Productos!BC$2:BC1001,"")*$G777,"")</f>
        <v/>
      </c>
      <c r="BK777" s="179" t="str">
        <f t="array" ref="BK777">IF($F777&lt;&gt;"",XLOOKUP($F777,Productos!$A:$A,Productos!BD:BD,"Revisar"),"")</f>
        <v/>
      </c>
      <c r="BL777" s="179" t="str">
        <f t="array" ref="BL777">IF($F777&lt;&gt;"", XLOOKUP($F777,Productos!$A$2:$A1001,Productos!BE$2:BE1001,"")*$G777,"")</f>
        <v/>
      </c>
      <c r="BM777" s="179" t="str">
        <f t="array" ref="BM777">IF($F777&lt;&gt;"",XLOOKUP($F777,Productos!$A:$A,Productos!BF:BF,"Revisar"),"")</f>
        <v/>
      </c>
      <c r="BN777" s="179" t="str">
        <f t="array" ref="BN777">IF($F777&lt;&gt;"", XLOOKUP($F777,Productos!$A$2:$A1001,Productos!BG$2:BG1001,"")*$G777,"")</f>
        <v/>
      </c>
      <c r="BO777" s="179" t="str">
        <f t="array" ref="BO777">IF($F777&lt;&gt;"",XLOOKUP($F777,Productos!$A:$A,Productos!BH:BH,"Revisar"),"")</f>
        <v/>
      </c>
      <c r="BP777" s="179" t="str">
        <f t="array" ref="BP777">IF($F777&lt;&gt;"", XLOOKUP($F777,Productos!$A$2:$A1001,Productos!BI$2:BI1001,"")*$G777,"")</f>
        <v/>
      </c>
      <c r="BQ777" s="179" t="str">
        <f t="array" ref="BQ777">IF($F777&lt;&gt;"",XLOOKUP($F777,Productos!$A:$A,Productos!BJ:BJ,"Revisar"),"")</f>
        <v/>
      </c>
      <c r="BR777" s="179" t="str">
        <f t="array" ref="BR777">IF($F777&lt;&gt;"", XLOOKUP($F777,Productos!$A$2:$A1001,Productos!BK$2:BK1001,"")*$G777,"")</f>
        <v/>
      </c>
      <c r="BS777" s="179" t="str">
        <f t="array" ref="BS777">IF($F777&lt;&gt;"",XLOOKUP($F777,Productos!$A:$A,Productos!BL:BL,"Revisar"),"")</f>
        <v/>
      </c>
      <c r="BT777" s="179" t="str">
        <f t="array" ref="BT777">IF($F777&lt;&gt;"", XLOOKUP($F777,Productos!$A$2:$A1001,Productos!BM$2:BM1001,"")*$G777,"")</f>
        <v/>
      </c>
      <c r="BU777" s="179" t="str">
        <f t="array" ref="BU777">IF($F777&lt;&gt;"",XLOOKUP($F777,Productos!$A:$A,Productos!BN:BN,"Revisar"),"")</f>
        <v/>
      </c>
      <c r="BV777" s="179" t="str">
        <f t="array" ref="BV777">IF($F777&lt;&gt;"", XLOOKUP($F777,Productos!$A$2:$A1001,Productos!BO$2:BO1001,"")*$G777,"")</f>
        <v/>
      </c>
      <c r="BW777" s="179" t="str">
        <f t="array" ref="BW777">IF($F777&lt;&gt;"",XLOOKUP($F777,Productos!$A:$A,Productos!BP:BP,"Revisar"),"")</f>
        <v/>
      </c>
      <c r="BX777" s="179" t="str">
        <f t="array" ref="BX777">IF($F777&lt;&gt;"", XLOOKUP($F777,Productos!$A$2:$A1001,Productos!BQ$2:BQ1001,"")*$G777,"")</f>
        <v/>
      </c>
      <c r="BY777" s="179" t="str">
        <f t="array" ref="BY777">IF($F777&lt;&gt;"",XLOOKUP($F777,Productos!$A:$A,Productos!BR:BR,"Revisar"),"")</f>
        <v/>
      </c>
      <c r="BZ777" s="179" t="str">
        <f t="array" ref="BZ777">IF($F777&lt;&gt;"", XLOOKUP($F777,Productos!$A$2:$A1001,Productos!BS$2:BS1001,"")*$G777,"")</f>
        <v/>
      </c>
    </row>
    <row r="778">
      <c r="A778" s="188"/>
      <c r="B778" s="189"/>
      <c r="C778" s="190"/>
      <c r="D778" s="190"/>
      <c r="E778" s="191"/>
      <c r="F778" s="186"/>
      <c r="G778" s="192"/>
      <c r="H778" s="9"/>
      <c r="I778" s="179" t="str">
        <f t="array" ref="I778">IF($F778&lt;&gt;"",XLOOKUP($F778,Productos!$A:$A,Productos!B:B,"Revisar"),"")</f>
        <v/>
      </c>
      <c r="J778" s="179" t="str">
        <f t="array" ref="J778">IF($F778&lt;&gt;"", XLOOKUP($F778,Productos!$A$2:$A1001,Productos!C$2:C1001,"")*$G778,"")</f>
        <v/>
      </c>
      <c r="K778" s="179" t="str">
        <f t="array" ref="K778">IF($F778&lt;&gt;"",XLOOKUP($F778,Productos!$A:$A,Productos!D:D,"Revisar"),"")</f>
        <v/>
      </c>
      <c r="L778" s="179" t="str">
        <f t="array" ref="L778">IF($F778&lt;&gt;"", XLOOKUP($F778,Productos!$A$2:$A1001,Productos!E$2:E1001,"")*$G778,"")</f>
        <v/>
      </c>
      <c r="M778" s="179" t="str">
        <f t="array" ref="M778">IF($F778&lt;&gt;"",XLOOKUP($F778,Productos!$A:$A,Productos!F:F,"Revisar"),"")</f>
        <v/>
      </c>
      <c r="N778" s="179" t="str">
        <f t="array" ref="N778">IF($F778&lt;&gt;"", XLOOKUP($F778,Productos!$A$2:$A1001,Productos!G$2:G1001,"")*$G778,"")</f>
        <v/>
      </c>
      <c r="O778" s="179" t="str">
        <f t="array" ref="O778">IF($F778&lt;&gt;"",XLOOKUP($F778,Productos!$A:$A,Productos!H:H,"Revisar"),"")</f>
        <v/>
      </c>
      <c r="P778" s="179" t="str">
        <f t="array" ref="P778">IF($F778&lt;&gt;"", XLOOKUP($F778,Productos!$A$2:$A1001,Productos!I$2:I1001,"")*$G778,"")</f>
        <v/>
      </c>
      <c r="Q778" s="179" t="str">
        <f t="array" ref="Q778">IF($F778&lt;&gt;"",XLOOKUP($F778,Productos!$A:$A,Productos!J:J,"Revisar"),"")</f>
        <v/>
      </c>
      <c r="R778" s="179" t="str">
        <f t="array" ref="R778">IF($F778&lt;&gt;"", XLOOKUP($F778,Productos!$A$2:$A1001,Productos!K$2:K1001,"")*$G778,"")</f>
        <v/>
      </c>
      <c r="S778" s="179" t="str">
        <f t="array" ref="S778">IF($F778&lt;&gt;"",XLOOKUP($F778,Productos!$A:$A,Productos!L:L,"Revisar"),"")</f>
        <v/>
      </c>
      <c r="T778" s="179" t="str">
        <f t="array" ref="T778">IF($F778&lt;&gt;"", XLOOKUP($F778,Productos!$A$2:$A1001,Productos!M$2:M1001,"")*$G778,"")</f>
        <v/>
      </c>
      <c r="U778" s="179" t="str">
        <f t="array" ref="U778">IF($F778&lt;&gt;"",XLOOKUP($F778,Productos!$A:$A,Productos!N:N,"Revisar"),"")</f>
        <v/>
      </c>
      <c r="V778" s="179" t="str">
        <f t="array" ref="V778">IF($F778&lt;&gt;"", XLOOKUP($F778,Productos!$A$2:$A1001,Productos!O$2:O1001,"")*$G778,"")</f>
        <v/>
      </c>
      <c r="W778" s="179" t="str">
        <f t="array" ref="W778">IF($F778&lt;&gt;"",XLOOKUP($F778,Productos!$A:$A,Productos!P:P,"Revisar"),"")</f>
        <v/>
      </c>
      <c r="X778" s="179" t="str">
        <f t="array" ref="X778">IF($F778&lt;&gt;"", XLOOKUP($F778,Productos!$A$2:$A1001,Productos!Q$2:Q1001,"")*$G778,"")</f>
        <v/>
      </c>
      <c r="Y778" s="179" t="str">
        <f t="array" ref="Y778">IF($F778&lt;&gt;"",XLOOKUP($F778,Productos!$A:$A,Productos!R:R,"Revisar"),"")</f>
        <v/>
      </c>
      <c r="Z778" s="179" t="str">
        <f t="array" ref="Z778">IF($F778&lt;&gt;"", XLOOKUP($F778,Productos!$A$2:$A1001,Productos!S$2:S1001,"")*$G778,"")</f>
        <v/>
      </c>
      <c r="AA778" s="179" t="str">
        <f t="array" ref="AA778">IF($F778&lt;&gt;"",XLOOKUP($F778,Productos!$A:$A,Productos!T:T,"Revisar"),"")</f>
        <v/>
      </c>
      <c r="AB778" s="179" t="str">
        <f t="array" ref="AB778">IF($F778&lt;&gt;"", XLOOKUP($F778,Productos!$A$2:$A1001,Productos!U$2:U1001,"")*$G778,"")</f>
        <v/>
      </c>
      <c r="AC778" s="179" t="str">
        <f t="array" ref="AC778">IF($F778&lt;&gt;"",XLOOKUP($F778,Productos!$A:$A,Productos!V:V,"Revisar"),"")</f>
        <v/>
      </c>
      <c r="AD778" s="179" t="str">
        <f t="array" ref="AD778">IF($F778&lt;&gt;"", XLOOKUP($F778,Productos!$A$2:$A1001,Productos!W$2:W1001,"")*$G778,"")</f>
        <v/>
      </c>
      <c r="AE778" s="179" t="str">
        <f t="array" ref="AE778">IF($F778&lt;&gt;"",XLOOKUP($F778,Productos!$A:$A,Productos!X:X,"Revisar"),"")</f>
        <v/>
      </c>
      <c r="AF778" s="179" t="str">
        <f t="array" ref="AF778">IF($F778&lt;&gt;"", XLOOKUP($F778,Productos!$A$2:$A1001,Productos!Y$2:Y1001,"")*$G778,"")</f>
        <v/>
      </c>
      <c r="AG778" s="179" t="str">
        <f t="array" ref="AG778">IF($F778&lt;&gt;"",XLOOKUP($F778,Productos!$A:$A,Productos!Z:Z,"Revisar"),"")</f>
        <v/>
      </c>
      <c r="AH778" s="179" t="str">
        <f t="array" ref="AH778">IF($F778&lt;&gt;"", XLOOKUP($F778,Productos!$A$2:$A1001,Productos!AA$2:AA1001,"")*$G778,"")</f>
        <v/>
      </c>
      <c r="AI778" s="179" t="str">
        <f t="array" ref="AI778">IF($F778&lt;&gt;"",XLOOKUP($F778,Productos!$A:$A,Productos!AB:AB,"Revisar"),"")</f>
        <v/>
      </c>
      <c r="AJ778" s="179" t="str">
        <f t="array" ref="AJ778">IF($F778&lt;&gt;"", XLOOKUP($F778,Productos!$A$2:$A1001,Productos!AC$2:AC1001,"")*$G778,"")</f>
        <v/>
      </c>
      <c r="AK778" s="179" t="str">
        <f t="array" ref="AK778">IF($F778&lt;&gt;"",XLOOKUP($F778,Productos!$A:$A,Productos!AD:AD,"Revisar"),"")</f>
        <v/>
      </c>
      <c r="AL778" s="179" t="str">
        <f t="array" ref="AL778">IF($F778&lt;&gt;"", XLOOKUP($F778,Productos!$A$2:$A1001,Productos!AE$2:AE1001,"")*$G778,"")</f>
        <v/>
      </c>
      <c r="AM778" s="179" t="str">
        <f t="array" ref="AM778">IF($F778&lt;&gt;"",XLOOKUP($F778,Productos!$A:$A,Productos!AF:AF,"Revisar"),"")</f>
        <v/>
      </c>
      <c r="AN778" s="179" t="str">
        <f t="array" ref="AN778">IF($F778&lt;&gt;"", XLOOKUP($F778,Productos!$A$2:$A1001,Productos!AG$2:AG1001,"")*$G778,"")</f>
        <v/>
      </c>
      <c r="AO778" s="179" t="str">
        <f t="array" ref="AO778">IF($F778&lt;&gt;"",XLOOKUP($F778,Productos!$A:$A,Productos!AH:AH,"Revisar"),"")</f>
        <v/>
      </c>
      <c r="AP778" s="179" t="str">
        <f t="array" ref="AP778">IF($F778&lt;&gt;"", XLOOKUP($F778,Productos!$A$2:$A1001,Productos!AI$2:AI1001,"")*$G778,"")</f>
        <v/>
      </c>
      <c r="AQ778" s="179" t="str">
        <f t="array" ref="AQ778">IF($F778&lt;&gt;"",XLOOKUP($F778,Productos!$A:$A,Productos!AJ:AJ,"Revisar"),"")</f>
        <v/>
      </c>
      <c r="AR778" s="179" t="str">
        <f t="array" ref="AR778">IF($F778&lt;&gt;"", XLOOKUP($F778,Productos!$A$2:$A1001,Productos!AK$2:AK1001,"")*$G778,"")</f>
        <v/>
      </c>
      <c r="AS778" s="179" t="str">
        <f t="array" ref="AS778">IF($F778&lt;&gt;"",XLOOKUP($F778,Productos!$A:$A,Productos!AL:AL,"Revisar"),"")</f>
        <v/>
      </c>
      <c r="AT778" s="179" t="str">
        <f t="array" ref="AT778">IF($F778&lt;&gt;"", XLOOKUP($F778,Productos!$A$2:$A1001,Productos!AM$2:AM1001,"")*$G778,"")</f>
        <v/>
      </c>
      <c r="AU778" s="179" t="str">
        <f t="array" ref="AU778">IF($F778&lt;&gt;"",XLOOKUP($F778,Productos!$A:$A,Productos!AN:AN,"Revisar"),"")</f>
        <v/>
      </c>
      <c r="AV778" s="179" t="str">
        <f t="array" ref="AV778">IF($F778&lt;&gt;"", XLOOKUP($F778,Productos!$A$2:$A1001,Productos!AO$2:AO1001,"")*$G778,"")</f>
        <v/>
      </c>
      <c r="AW778" s="179" t="str">
        <f t="array" ref="AW778">IF($F778&lt;&gt;"",XLOOKUP($F778,Productos!$A:$A,Productos!AP:AP,"Revisar"),"")</f>
        <v/>
      </c>
      <c r="AX778" s="179" t="str">
        <f t="array" ref="AX778">IF($F778&lt;&gt;"", XLOOKUP($F778,Productos!$A$2:$A1001,Productos!AQ$2:AQ1001,"")*$G778,"")</f>
        <v/>
      </c>
      <c r="AY778" s="179" t="str">
        <f t="array" ref="AY778">IF($F778&lt;&gt;"",XLOOKUP($F778,Productos!$A:$A,Productos!AR:AR,"Revisar"),"")</f>
        <v/>
      </c>
      <c r="AZ778" s="179" t="str">
        <f t="array" ref="AZ778">IF($F778&lt;&gt;"", XLOOKUP($F778,Productos!$A$2:$A1001,Productos!AS$2:AS1001,"")*$G778,"")</f>
        <v/>
      </c>
      <c r="BA778" s="179" t="str">
        <f t="array" ref="BA778">IF($F778&lt;&gt;"",XLOOKUP($F778,Productos!$A:$A,Productos!AT:AT,"Revisar"),"")</f>
        <v/>
      </c>
      <c r="BB778" s="179" t="str">
        <f t="array" ref="BB778">IF($F778&lt;&gt;"", XLOOKUP($F778,Productos!$A$2:$A1001,Productos!AU$2:AU1001,"")*$G778,"")</f>
        <v/>
      </c>
      <c r="BC778" s="179" t="str">
        <f t="array" ref="BC778">IF($F778&lt;&gt;"",XLOOKUP($F778,Productos!$A:$A,Productos!AV:AV,"Revisar"),"")</f>
        <v/>
      </c>
      <c r="BD778" s="179" t="str">
        <f t="array" ref="BD778">IF($F778&lt;&gt;"", XLOOKUP($F778,Productos!$A$2:$A1001,Productos!AW$2:AW1001,"")*$G778,"")</f>
        <v/>
      </c>
      <c r="BE778" s="179" t="str">
        <f t="array" ref="BE778">IF($F778&lt;&gt;"",XLOOKUP($F778,Productos!$A:$A,Productos!AX:AX,"Revisar"),"")</f>
        <v/>
      </c>
      <c r="BF778" s="179" t="str">
        <f t="array" ref="BF778">IF($F778&lt;&gt;"", XLOOKUP($F778,Productos!$A$2:$A1001,Productos!AY$2:AY1001,"")*$G778,"")</f>
        <v/>
      </c>
      <c r="BG778" s="179" t="str">
        <f t="array" ref="BG778">IF($F778&lt;&gt;"",XLOOKUP($F778,Productos!$A:$A,Productos!AZ:AZ,"Revisar"),"")</f>
        <v/>
      </c>
      <c r="BH778" s="179" t="str">
        <f t="array" ref="BH778">IF($F778&lt;&gt;"", XLOOKUP($F778,Productos!$A$2:$A1001,Productos!BA$2:BA1001,"")*$G778,"")</f>
        <v/>
      </c>
      <c r="BI778" s="179" t="str">
        <f t="array" ref="BI778">IF($F778&lt;&gt;"",XLOOKUP($F778,Productos!$A:$A,Productos!BB:BB,"Revisar"),"")</f>
        <v/>
      </c>
      <c r="BJ778" s="179" t="str">
        <f t="array" ref="BJ778">IF($F778&lt;&gt;"", XLOOKUP($F778,Productos!$A$2:$A1001,Productos!BC$2:BC1001,"")*$G778,"")</f>
        <v/>
      </c>
      <c r="BK778" s="179" t="str">
        <f t="array" ref="BK778">IF($F778&lt;&gt;"",XLOOKUP($F778,Productos!$A:$A,Productos!BD:BD,"Revisar"),"")</f>
        <v/>
      </c>
      <c r="BL778" s="179" t="str">
        <f t="array" ref="BL778">IF($F778&lt;&gt;"", XLOOKUP($F778,Productos!$A$2:$A1001,Productos!BE$2:BE1001,"")*$G778,"")</f>
        <v/>
      </c>
      <c r="BM778" s="179" t="str">
        <f t="array" ref="BM778">IF($F778&lt;&gt;"",XLOOKUP($F778,Productos!$A:$A,Productos!BF:BF,"Revisar"),"")</f>
        <v/>
      </c>
      <c r="BN778" s="179" t="str">
        <f t="array" ref="BN778">IF($F778&lt;&gt;"", XLOOKUP($F778,Productos!$A$2:$A1001,Productos!BG$2:BG1001,"")*$G778,"")</f>
        <v/>
      </c>
      <c r="BO778" s="179" t="str">
        <f t="array" ref="BO778">IF($F778&lt;&gt;"",XLOOKUP($F778,Productos!$A:$A,Productos!BH:BH,"Revisar"),"")</f>
        <v/>
      </c>
      <c r="BP778" s="179" t="str">
        <f t="array" ref="BP778">IF($F778&lt;&gt;"", XLOOKUP($F778,Productos!$A$2:$A1001,Productos!BI$2:BI1001,"")*$G778,"")</f>
        <v/>
      </c>
      <c r="BQ778" s="179" t="str">
        <f t="array" ref="BQ778">IF($F778&lt;&gt;"",XLOOKUP($F778,Productos!$A:$A,Productos!BJ:BJ,"Revisar"),"")</f>
        <v/>
      </c>
      <c r="BR778" s="179" t="str">
        <f t="array" ref="BR778">IF($F778&lt;&gt;"", XLOOKUP($F778,Productos!$A$2:$A1001,Productos!BK$2:BK1001,"")*$G778,"")</f>
        <v/>
      </c>
      <c r="BS778" s="179" t="str">
        <f t="array" ref="BS778">IF($F778&lt;&gt;"",XLOOKUP($F778,Productos!$A:$A,Productos!BL:BL,"Revisar"),"")</f>
        <v/>
      </c>
      <c r="BT778" s="179" t="str">
        <f t="array" ref="BT778">IF($F778&lt;&gt;"", XLOOKUP($F778,Productos!$A$2:$A1001,Productos!BM$2:BM1001,"")*$G778,"")</f>
        <v/>
      </c>
      <c r="BU778" s="179" t="str">
        <f t="array" ref="BU778">IF($F778&lt;&gt;"",XLOOKUP($F778,Productos!$A:$A,Productos!BN:BN,"Revisar"),"")</f>
        <v/>
      </c>
      <c r="BV778" s="179" t="str">
        <f t="array" ref="BV778">IF($F778&lt;&gt;"", XLOOKUP($F778,Productos!$A$2:$A1001,Productos!BO$2:BO1001,"")*$G778,"")</f>
        <v/>
      </c>
      <c r="BW778" s="179" t="str">
        <f t="array" ref="BW778">IF($F778&lt;&gt;"",XLOOKUP($F778,Productos!$A:$A,Productos!BP:BP,"Revisar"),"")</f>
        <v/>
      </c>
      <c r="BX778" s="179" t="str">
        <f t="array" ref="BX778">IF($F778&lt;&gt;"", XLOOKUP($F778,Productos!$A$2:$A1001,Productos!BQ$2:BQ1001,"")*$G778,"")</f>
        <v/>
      </c>
      <c r="BY778" s="179" t="str">
        <f t="array" ref="BY778">IF($F778&lt;&gt;"",XLOOKUP($F778,Productos!$A:$A,Productos!BR:BR,"Revisar"),"")</f>
        <v/>
      </c>
      <c r="BZ778" s="179" t="str">
        <f t="array" ref="BZ778">IF($F778&lt;&gt;"", XLOOKUP($F778,Productos!$A$2:$A1001,Productos!BS$2:BS1001,"")*$G778,"")</f>
        <v/>
      </c>
    </row>
    <row r="779">
      <c r="A779" s="188"/>
      <c r="B779" s="189"/>
      <c r="C779" s="190"/>
      <c r="D779" s="190"/>
      <c r="E779" s="191"/>
      <c r="F779" s="186"/>
      <c r="G779" s="192"/>
      <c r="H779" s="9"/>
      <c r="I779" s="179" t="str">
        <f t="array" ref="I779">IF($F779&lt;&gt;"",XLOOKUP($F779,Productos!$A:$A,Productos!B:B,"Revisar"),"")</f>
        <v/>
      </c>
      <c r="J779" s="179" t="str">
        <f t="array" ref="J779">IF($F779&lt;&gt;"", XLOOKUP($F779,Productos!$A$2:$A1001,Productos!C$2:C1001,"")*$G779,"")</f>
        <v/>
      </c>
      <c r="K779" s="179" t="str">
        <f t="array" ref="K779">IF($F779&lt;&gt;"",XLOOKUP($F779,Productos!$A:$A,Productos!D:D,"Revisar"),"")</f>
        <v/>
      </c>
      <c r="L779" s="179" t="str">
        <f t="array" ref="L779">IF($F779&lt;&gt;"", XLOOKUP($F779,Productos!$A$2:$A1001,Productos!E$2:E1001,"")*$G779,"")</f>
        <v/>
      </c>
      <c r="M779" s="179" t="str">
        <f t="array" ref="M779">IF($F779&lt;&gt;"",XLOOKUP($F779,Productos!$A:$A,Productos!F:F,"Revisar"),"")</f>
        <v/>
      </c>
      <c r="N779" s="179" t="str">
        <f t="array" ref="N779">IF($F779&lt;&gt;"", XLOOKUP($F779,Productos!$A$2:$A1001,Productos!G$2:G1001,"")*$G779,"")</f>
        <v/>
      </c>
      <c r="O779" s="179" t="str">
        <f t="array" ref="O779">IF($F779&lt;&gt;"",XLOOKUP($F779,Productos!$A:$A,Productos!H:H,"Revisar"),"")</f>
        <v/>
      </c>
      <c r="P779" s="179" t="str">
        <f t="array" ref="P779">IF($F779&lt;&gt;"", XLOOKUP($F779,Productos!$A$2:$A1001,Productos!I$2:I1001,"")*$G779,"")</f>
        <v/>
      </c>
      <c r="Q779" s="179" t="str">
        <f t="array" ref="Q779">IF($F779&lt;&gt;"",XLOOKUP($F779,Productos!$A:$A,Productos!J:J,"Revisar"),"")</f>
        <v/>
      </c>
      <c r="R779" s="179" t="str">
        <f t="array" ref="R779">IF($F779&lt;&gt;"", XLOOKUP($F779,Productos!$A$2:$A1001,Productos!K$2:K1001,"")*$G779,"")</f>
        <v/>
      </c>
      <c r="S779" s="179" t="str">
        <f t="array" ref="S779">IF($F779&lt;&gt;"",XLOOKUP($F779,Productos!$A:$A,Productos!L:L,"Revisar"),"")</f>
        <v/>
      </c>
      <c r="T779" s="179" t="str">
        <f t="array" ref="T779">IF($F779&lt;&gt;"", XLOOKUP($F779,Productos!$A$2:$A1001,Productos!M$2:M1001,"")*$G779,"")</f>
        <v/>
      </c>
      <c r="U779" s="179" t="str">
        <f t="array" ref="U779">IF($F779&lt;&gt;"",XLOOKUP($F779,Productos!$A:$A,Productos!N:N,"Revisar"),"")</f>
        <v/>
      </c>
      <c r="V779" s="179" t="str">
        <f t="array" ref="V779">IF($F779&lt;&gt;"", XLOOKUP($F779,Productos!$A$2:$A1001,Productos!O$2:O1001,"")*$G779,"")</f>
        <v/>
      </c>
      <c r="W779" s="179" t="str">
        <f t="array" ref="W779">IF($F779&lt;&gt;"",XLOOKUP($F779,Productos!$A:$A,Productos!P:P,"Revisar"),"")</f>
        <v/>
      </c>
      <c r="X779" s="179" t="str">
        <f t="array" ref="X779">IF($F779&lt;&gt;"", XLOOKUP($F779,Productos!$A$2:$A1001,Productos!Q$2:Q1001,"")*$G779,"")</f>
        <v/>
      </c>
      <c r="Y779" s="179" t="str">
        <f t="array" ref="Y779">IF($F779&lt;&gt;"",XLOOKUP($F779,Productos!$A:$A,Productos!R:R,"Revisar"),"")</f>
        <v/>
      </c>
      <c r="Z779" s="179" t="str">
        <f t="array" ref="Z779">IF($F779&lt;&gt;"", XLOOKUP($F779,Productos!$A$2:$A1001,Productos!S$2:S1001,"")*$G779,"")</f>
        <v/>
      </c>
      <c r="AA779" s="179" t="str">
        <f t="array" ref="AA779">IF($F779&lt;&gt;"",XLOOKUP($F779,Productos!$A:$A,Productos!T:T,"Revisar"),"")</f>
        <v/>
      </c>
      <c r="AB779" s="179" t="str">
        <f t="array" ref="AB779">IF($F779&lt;&gt;"", XLOOKUP($F779,Productos!$A$2:$A1001,Productos!U$2:U1001,"")*$G779,"")</f>
        <v/>
      </c>
      <c r="AC779" s="179" t="str">
        <f t="array" ref="AC779">IF($F779&lt;&gt;"",XLOOKUP($F779,Productos!$A:$A,Productos!V:V,"Revisar"),"")</f>
        <v/>
      </c>
      <c r="AD779" s="179" t="str">
        <f t="array" ref="AD779">IF($F779&lt;&gt;"", XLOOKUP($F779,Productos!$A$2:$A1001,Productos!W$2:W1001,"")*$G779,"")</f>
        <v/>
      </c>
      <c r="AE779" s="179" t="str">
        <f t="array" ref="AE779">IF($F779&lt;&gt;"",XLOOKUP($F779,Productos!$A:$A,Productos!X:X,"Revisar"),"")</f>
        <v/>
      </c>
      <c r="AF779" s="179" t="str">
        <f t="array" ref="AF779">IF($F779&lt;&gt;"", XLOOKUP($F779,Productos!$A$2:$A1001,Productos!Y$2:Y1001,"")*$G779,"")</f>
        <v/>
      </c>
      <c r="AG779" s="179" t="str">
        <f t="array" ref="AG779">IF($F779&lt;&gt;"",XLOOKUP($F779,Productos!$A:$A,Productos!Z:Z,"Revisar"),"")</f>
        <v/>
      </c>
      <c r="AH779" s="179" t="str">
        <f t="array" ref="AH779">IF($F779&lt;&gt;"", XLOOKUP($F779,Productos!$A$2:$A1001,Productos!AA$2:AA1001,"")*$G779,"")</f>
        <v/>
      </c>
      <c r="AI779" s="179" t="str">
        <f t="array" ref="AI779">IF($F779&lt;&gt;"",XLOOKUP($F779,Productos!$A:$A,Productos!AB:AB,"Revisar"),"")</f>
        <v/>
      </c>
      <c r="AJ779" s="179" t="str">
        <f t="array" ref="AJ779">IF($F779&lt;&gt;"", XLOOKUP($F779,Productos!$A$2:$A1001,Productos!AC$2:AC1001,"")*$G779,"")</f>
        <v/>
      </c>
      <c r="AK779" s="179" t="str">
        <f t="array" ref="AK779">IF($F779&lt;&gt;"",XLOOKUP($F779,Productos!$A:$A,Productos!AD:AD,"Revisar"),"")</f>
        <v/>
      </c>
      <c r="AL779" s="179" t="str">
        <f t="array" ref="AL779">IF($F779&lt;&gt;"", XLOOKUP($F779,Productos!$A$2:$A1001,Productos!AE$2:AE1001,"")*$G779,"")</f>
        <v/>
      </c>
      <c r="AM779" s="179" t="str">
        <f t="array" ref="AM779">IF($F779&lt;&gt;"",XLOOKUP($F779,Productos!$A:$A,Productos!AF:AF,"Revisar"),"")</f>
        <v/>
      </c>
      <c r="AN779" s="179" t="str">
        <f t="array" ref="AN779">IF($F779&lt;&gt;"", XLOOKUP($F779,Productos!$A$2:$A1001,Productos!AG$2:AG1001,"")*$G779,"")</f>
        <v/>
      </c>
      <c r="AO779" s="179" t="str">
        <f t="array" ref="AO779">IF($F779&lt;&gt;"",XLOOKUP($F779,Productos!$A:$A,Productos!AH:AH,"Revisar"),"")</f>
        <v/>
      </c>
      <c r="AP779" s="179" t="str">
        <f t="array" ref="AP779">IF($F779&lt;&gt;"", XLOOKUP($F779,Productos!$A$2:$A1001,Productos!AI$2:AI1001,"")*$G779,"")</f>
        <v/>
      </c>
      <c r="AQ779" s="179" t="str">
        <f t="array" ref="AQ779">IF($F779&lt;&gt;"",XLOOKUP($F779,Productos!$A:$A,Productos!AJ:AJ,"Revisar"),"")</f>
        <v/>
      </c>
      <c r="AR779" s="179" t="str">
        <f t="array" ref="AR779">IF($F779&lt;&gt;"", XLOOKUP($F779,Productos!$A$2:$A1001,Productos!AK$2:AK1001,"")*$G779,"")</f>
        <v/>
      </c>
      <c r="AS779" s="179" t="str">
        <f t="array" ref="AS779">IF($F779&lt;&gt;"",XLOOKUP($F779,Productos!$A:$A,Productos!AL:AL,"Revisar"),"")</f>
        <v/>
      </c>
      <c r="AT779" s="179" t="str">
        <f t="array" ref="AT779">IF($F779&lt;&gt;"", XLOOKUP($F779,Productos!$A$2:$A1001,Productos!AM$2:AM1001,"")*$G779,"")</f>
        <v/>
      </c>
      <c r="AU779" s="179" t="str">
        <f t="array" ref="AU779">IF($F779&lt;&gt;"",XLOOKUP($F779,Productos!$A:$A,Productos!AN:AN,"Revisar"),"")</f>
        <v/>
      </c>
      <c r="AV779" s="179" t="str">
        <f t="array" ref="AV779">IF($F779&lt;&gt;"", XLOOKUP($F779,Productos!$A$2:$A1001,Productos!AO$2:AO1001,"")*$G779,"")</f>
        <v/>
      </c>
      <c r="AW779" s="179" t="str">
        <f t="array" ref="AW779">IF($F779&lt;&gt;"",XLOOKUP($F779,Productos!$A:$A,Productos!AP:AP,"Revisar"),"")</f>
        <v/>
      </c>
      <c r="AX779" s="179" t="str">
        <f t="array" ref="AX779">IF($F779&lt;&gt;"", XLOOKUP($F779,Productos!$A$2:$A1001,Productos!AQ$2:AQ1001,"")*$G779,"")</f>
        <v/>
      </c>
      <c r="AY779" s="179" t="str">
        <f t="array" ref="AY779">IF($F779&lt;&gt;"",XLOOKUP($F779,Productos!$A:$A,Productos!AR:AR,"Revisar"),"")</f>
        <v/>
      </c>
      <c r="AZ779" s="179" t="str">
        <f t="array" ref="AZ779">IF($F779&lt;&gt;"", XLOOKUP($F779,Productos!$A$2:$A1001,Productos!AS$2:AS1001,"")*$G779,"")</f>
        <v/>
      </c>
      <c r="BA779" s="179" t="str">
        <f t="array" ref="BA779">IF($F779&lt;&gt;"",XLOOKUP($F779,Productos!$A:$A,Productos!AT:AT,"Revisar"),"")</f>
        <v/>
      </c>
      <c r="BB779" s="179" t="str">
        <f t="array" ref="BB779">IF($F779&lt;&gt;"", XLOOKUP($F779,Productos!$A$2:$A1001,Productos!AU$2:AU1001,"")*$G779,"")</f>
        <v/>
      </c>
      <c r="BC779" s="179" t="str">
        <f t="array" ref="BC779">IF($F779&lt;&gt;"",XLOOKUP($F779,Productos!$A:$A,Productos!AV:AV,"Revisar"),"")</f>
        <v/>
      </c>
      <c r="BD779" s="179" t="str">
        <f t="array" ref="BD779">IF($F779&lt;&gt;"", XLOOKUP($F779,Productos!$A$2:$A1001,Productos!AW$2:AW1001,"")*$G779,"")</f>
        <v/>
      </c>
      <c r="BE779" s="179" t="str">
        <f t="array" ref="BE779">IF($F779&lt;&gt;"",XLOOKUP($F779,Productos!$A:$A,Productos!AX:AX,"Revisar"),"")</f>
        <v/>
      </c>
      <c r="BF779" s="179" t="str">
        <f t="array" ref="BF779">IF($F779&lt;&gt;"", XLOOKUP($F779,Productos!$A$2:$A1001,Productos!AY$2:AY1001,"")*$G779,"")</f>
        <v/>
      </c>
      <c r="BG779" s="179" t="str">
        <f t="array" ref="BG779">IF($F779&lt;&gt;"",XLOOKUP($F779,Productos!$A:$A,Productos!AZ:AZ,"Revisar"),"")</f>
        <v/>
      </c>
      <c r="BH779" s="179" t="str">
        <f t="array" ref="BH779">IF($F779&lt;&gt;"", XLOOKUP($F779,Productos!$A$2:$A1001,Productos!BA$2:BA1001,"")*$G779,"")</f>
        <v/>
      </c>
      <c r="BI779" s="179" t="str">
        <f t="array" ref="BI779">IF($F779&lt;&gt;"",XLOOKUP($F779,Productos!$A:$A,Productos!BB:BB,"Revisar"),"")</f>
        <v/>
      </c>
      <c r="BJ779" s="179" t="str">
        <f t="array" ref="BJ779">IF($F779&lt;&gt;"", XLOOKUP($F779,Productos!$A$2:$A1001,Productos!BC$2:BC1001,"")*$G779,"")</f>
        <v/>
      </c>
      <c r="BK779" s="179" t="str">
        <f t="array" ref="BK779">IF($F779&lt;&gt;"",XLOOKUP($F779,Productos!$A:$A,Productos!BD:BD,"Revisar"),"")</f>
        <v/>
      </c>
      <c r="BL779" s="179" t="str">
        <f t="array" ref="BL779">IF($F779&lt;&gt;"", XLOOKUP($F779,Productos!$A$2:$A1001,Productos!BE$2:BE1001,"")*$G779,"")</f>
        <v/>
      </c>
      <c r="BM779" s="179" t="str">
        <f t="array" ref="BM779">IF($F779&lt;&gt;"",XLOOKUP($F779,Productos!$A:$A,Productos!BF:BF,"Revisar"),"")</f>
        <v/>
      </c>
      <c r="BN779" s="179" t="str">
        <f t="array" ref="BN779">IF($F779&lt;&gt;"", XLOOKUP($F779,Productos!$A$2:$A1001,Productos!BG$2:BG1001,"")*$G779,"")</f>
        <v/>
      </c>
      <c r="BO779" s="179" t="str">
        <f t="array" ref="BO779">IF($F779&lt;&gt;"",XLOOKUP($F779,Productos!$A:$A,Productos!BH:BH,"Revisar"),"")</f>
        <v/>
      </c>
      <c r="BP779" s="179" t="str">
        <f t="array" ref="BP779">IF($F779&lt;&gt;"", XLOOKUP($F779,Productos!$A$2:$A1001,Productos!BI$2:BI1001,"")*$G779,"")</f>
        <v/>
      </c>
      <c r="BQ779" s="179" t="str">
        <f t="array" ref="BQ779">IF($F779&lt;&gt;"",XLOOKUP($F779,Productos!$A:$A,Productos!BJ:BJ,"Revisar"),"")</f>
        <v/>
      </c>
      <c r="BR779" s="179" t="str">
        <f t="array" ref="BR779">IF($F779&lt;&gt;"", XLOOKUP($F779,Productos!$A$2:$A1001,Productos!BK$2:BK1001,"")*$G779,"")</f>
        <v/>
      </c>
      <c r="BS779" s="179" t="str">
        <f t="array" ref="BS779">IF($F779&lt;&gt;"",XLOOKUP($F779,Productos!$A:$A,Productos!BL:BL,"Revisar"),"")</f>
        <v/>
      </c>
      <c r="BT779" s="179" t="str">
        <f t="array" ref="BT779">IF($F779&lt;&gt;"", XLOOKUP($F779,Productos!$A$2:$A1001,Productos!BM$2:BM1001,"")*$G779,"")</f>
        <v/>
      </c>
      <c r="BU779" s="179" t="str">
        <f t="array" ref="BU779">IF($F779&lt;&gt;"",XLOOKUP($F779,Productos!$A:$A,Productos!BN:BN,"Revisar"),"")</f>
        <v/>
      </c>
      <c r="BV779" s="179" t="str">
        <f t="array" ref="BV779">IF($F779&lt;&gt;"", XLOOKUP($F779,Productos!$A$2:$A1001,Productos!BO$2:BO1001,"")*$G779,"")</f>
        <v/>
      </c>
      <c r="BW779" s="179" t="str">
        <f t="array" ref="BW779">IF($F779&lt;&gt;"",XLOOKUP($F779,Productos!$A:$A,Productos!BP:BP,"Revisar"),"")</f>
        <v/>
      </c>
      <c r="BX779" s="179" t="str">
        <f t="array" ref="BX779">IF($F779&lt;&gt;"", XLOOKUP($F779,Productos!$A$2:$A1001,Productos!BQ$2:BQ1001,"")*$G779,"")</f>
        <v/>
      </c>
      <c r="BY779" s="179" t="str">
        <f t="array" ref="BY779">IF($F779&lt;&gt;"",XLOOKUP($F779,Productos!$A:$A,Productos!BR:BR,"Revisar"),"")</f>
        <v/>
      </c>
      <c r="BZ779" s="179" t="str">
        <f t="array" ref="BZ779">IF($F779&lt;&gt;"", XLOOKUP($F779,Productos!$A$2:$A1001,Productos!BS$2:BS1001,"")*$G779,"")</f>
        <v/>
      </c>
    </row>
    <row r="780">
      <c r="A780" s="188"/>
      <c r="B780" s="189"/>
      <c r="C780" s="190"/>
      <c r="D780" s="190"/>
      <c r="E780" s="191"/>
      <c r="F780" s="186"/>
      <c r="G780" s="192"/>
      <c r="H780" s="9"/>
      <c r="I780" s="179" t="str">
        <f t="array" ref="I780">IF($F780&lt;&gt;"",XLOOKUP($F780,Productos!$A:$A,Productos!B:B,"Revisar"),"")</f>
        <v/>
      </c>
      <c r="J780" s="179" t="str">
        <f t="array" ref="J780">IF($F780&lt;&gt;"", XLOOKUP($F780,Productos!$A$2:$A1001,Productos!C$2:C1001,"")*$G780,"")</f>
        <v/>
      </c>
      <c r="K780" s="179" t="str">
        <f t="array" ref="K780">IF($F780&lt;&gt;"",XLOOKUP($F780,Productos!$A:$A,Productos!D:D,"Revisar"),"")</f>
        <v/>
      </c>
      <c r="L780" s="179" t="str">
        <f t="array" ref="L780">IF($F780&lt;&gt;"", XLOOKUP($F780,Productos!$A$2:$A1001,Productos!E$2:E1001,"")*$G780,"")</f>
        <v/>
      </c>
      <c r="M780" s="179" t="str">
        <f t="array" ref="M780">IF($F780&lt;&gt;"",XLOOKUP($F780,Productos!$A:$A,Productos!F:F,"Revisar"),"")</f>
        <v/>
      </c>
      <c r="N780" s="179" t="str">
        <f t="array" ref="N780">IF($F780&lt;&gt;"", XLOOKUP($F780,Productos!$A$2:$A1001,Productos!G$2:G1001,"")*$G780,"")</f>
        <v/>
      </c>
      <c r="O780" s="179" t="str">
        <f t="array" ref="O780">IF($F780&lt;&gt;"",XLOOKUP($F780,Productos!$A:$A,Productos!H:H,"Revisar"),"")</f>
        <v/>
      </c>
      <c r="P780" s="179" t="str">
        <f t="array" ref="P780">IF($F780&lt;&gt;"", XLOOKUP($F780,Productos!$A$2:$A1001,Productos!I$2:I1001,"")*$G780,"")</f>
        <v/>
      </c>
      <c r="Q780" s="179" t="str">
        <f t="array" ref="Q780">IF($F780&lt;&gt;"",XLOOKUP($F780,Productos!$A:$A,Productos!J:J,"Revisar"),"")</f>
        <v/>
      </c>
      <c r="R780" s="179" t="str">
        <f t="array" ref="R780">IF($F780&lt;&gt;"", XLOOKUP($F780,Productos!$A$2:$A1001,Productos!K$2:K1001,"")*$G780,"")</f>
        <v/>
      </c>
      <c r="S780" s="179" t="str">
        <f t="array" ref="S780">IF($F780&lt;&gt;"",XLOOKUP($F780,Productos!$A:$A,Productos!L:L,"Revisar"),"")</f>
        <v/>
      </c>
      <c r="T780" s="179" t="str">
        <f t="array" ref="T780">IF($F780&lt;&gt;"", XLOOKUP($F780,Productos!$A$2:$A1001,Productos!M$2:M1001,"")*$G780,"")</f>
        <v/>
      </c>
      <c r="U780" s="179" t="str">
        <f t="array" ref="U780">IF($F780&lt;&gt;"",XLOOKUP($F780,Productos!$A:$A,Productos!N:N,"Revisar"),"")</f>
        <v/>
      </c>
      <c r="V780" s="179" t="str">
        <f t="array" ref="V780">IF($F780&lt;&gt;"", XLOOKUP($F780,Productos!$A$2:$A1001,Productos!O$2:O1001,"")*$G780,"")</f>
        <v/>
      </c>
      <c r="W780" s="179" t="str">
        <f t="array" ref="W780">IF($F780&lt;&gt;"",XLOOKUP($F780,Productos!$A:$A,Productos!P:P,"Revisar"),"")</f>
        <v/>
      </c>
      <c r="X780" s="179" t="str">
        <f t="array" ref="X780">IF($F780&lt;&gt;"", XLOOKUP($F780,Productos!$A$2:$A1001,Productos!Q$2:Q1001,"")*$G780,"")</f>
        <v/>
      </c>
      <c r="Y780" s="179" t="str">
        <f t="array" ref="Y780">IF($F780&lt;&gt;"",XLOOKUP($F780,Productos!$A:$A,Productos!R:R,"Revisar"),"")</f>
        <v/>
      </c>
      <c r="Z780" s="179" t="str">
        <f t="array" ref="Z780">IF($F780&lt;&gt;"", XLOOKUP($F780,Productos!$A$2:$A1001,Productos!S$2:S1001,"")*$G780,"")</f>
        <v/>
      </c>
      <c r="AA780" s="179" t="str">
        <f t="array" ref="AA780">IF($F780&lt;&gt;"",XLOOKUP($F780,Productos!$A:$A,Productos!T:T,"Revisar"),"")</f>
        <v/>
      </c>
      <c r="AB780" s="179" t="str">
        <f t="array" ref="AB780">IF($F780&lt;&gt;"", XLOOKUP($F780,Productos!$A$2:$A1001,Productos!U$2:U1001,"")*$G780,"")</f>
        <v/>
      </c>
      <c r="AC780" s="179" t="str">
        <f t="array" ref="AC780">IF($F780&lt;&gt;"",XLOOKUP($F780,Productos!$A:$A,Productos!V:V,"Revisar"),"")</f>
        <v/>
      </c>
      <c r="AD780" s="179" t="str">
        <f t="array" ref="AD780">IF($F780&lt;&gt;"", XLOOKUP($F780,Productos!$A$2:$A1001,Productos!W$2:W1001,"")*$G780,"")</f>
        <v/>
      </c>
      <c r="AE780" s="179" t="str">
        <f t="array" ref="AE780">IF($F780&lt;&gt;"",XLOOKUP($F780,Productos!$A:$A,Productos!X:X,"Revisar"),"")</f>
        <v/>
      </c>
      <c r="AF780" s="179" t="str">
        <f t="array" ref="AF780">IF($F780&lt;&gt;"", XLOOKUP($F780,Productos!$A$2:$A1001,Productos!Y$2:Y1001,"")*$G780,"")</f>
        <v/>
      </c>
      <c r="AG780" s="179" t="str">
        <f t="array" ref="AG780">IF($F780&lt;&gt;"",XLOOKUP($F780,Productos!$A:$A,Productos!Z:Z,"Revisar"),"")</f>
        <v/>
      </c>
      <c r="AH780" s="179" t="str">
        <f t="array" ref="AH780">IF($F780&lt;&gt;"", XLOOKUP($F780,Productos!$A$2:$A1001,Productos!AA$2:AA1001,"")*$G780,"")</f>
        <v/>
      </c>
      <c r="AI780" s="179" t="str">
        <f t="array" ref="AI780">IF($F780&lt;&gt;"",XLOOKUP($F780,Productos!$A:$A,Productos!AB:AB,"Revisar"),"")</f>
        <v/>
      </c>
      <c r="AJ780" s="179" t="str">
        <f t="array" ref="AJ780">IF($F780&lt;&gt;"", XLOOKUP($F780,Productos!$A$2:$A1001,Productos!AC$2:AC1001,"")*$G780,"")</f>
        <v/>
      </c>
      <c r="AK780" s="179" t="str">
        <f t="array" ref="AK780">IF($F780&lt;&gt;"",XLOOKUP($F780,Productos!$A:$A,Productos!AD:AD,"Revisar"),"")</f>
        <v/>
      </c>
      <c r="AL780" s="179" t="str">
        <f t="array" ref="AL780">IF($F780&lt;&gt;"", XLOOKUP($F780,Productos!$A$2:$A1001,Productos!AE$2:AE1001,"")*$G780,"")</f>
        <v/>
      </c>
      <c r="AM780" s="179" t="str">
        <f t="array" ref="AM780">IF($F780&lt;&gt;"",XLOOKUP($F780,Productos!$A:$A,Productos!AF:AF,"Revisar"),"")</f>
        <v/>
      </c>
      <c r="AN780" s="179" t="str">
        <f t="array" ref="AN780">IF($F780&lt;&gt;"", XLOOKUP($F780,Productos!$A$2:$A1001,Productos!AG$2:AG1001,"")*$G780,"")</f>
        <v/>
      </c>
      <c r="AO780" s="179" t="str">
        <f t="array" ref="AO780">IF($F780&lt;&gt;"",XLOOKUP($F780,Productos!$A:$A,Productos!AH:AH,"Revisar"),"")</f>
        <v/>
      </c>
      <c r="AP780" s="179" t="str">
        <f t="array" ref="AP780">IF($F780&lt;&gt;"", XLOOKUP($F780,Productos!$A$2:$A1001,Productos!AI$2:AI1001,"")*$G780,"")</f>
        <v/>
      </c>
      <c r="AQ780" s="179" t="str">
        <f t="array" ref="AQ780">IF($F780&lt;&gt;"",XLOOKUP($F780,Productos!$A:$A,Productos!AJ:AJ,"Revisar"),"")</f>
        <v/>
      </c>
      <c r="AR780" s="179" t="str">
        <f t="array" ref="AR780">IF($F780&lt;&gt;"", XLOOKUP($F780,Productos!$A$2:$A1001,Productos!AK$2:AK1001,"")*$G780,"")</f>
        <v/>
      </c>
      <c r="AS780" s="179" t="str">
        <f t="array" ref="AS780">IF($F780&lt;&gt;"",XLOOKUP($F780,Productos!$A:$A,Productos!AL:AL,"Revisar"),"")</f>
        <v/>
      </c>
      <c r="AT780" s="179" t="str">
        <f t="array" ref="AT780">IF($F780&lt;&gt;"", XLOOKUP($F780,Productos!$A$2:$A1001,Productos!AM$2:AM1001,"")*$G780,"")</f>
        <v/>
      </c>
      <c r="AU780" s="179" t="str">
        <f t="array" ref="AU780">IF($F780&lt;&gt;"",XLOOKUP($F780,Productos!$A:$A,Productos!AN:AN,"Revisar"),"")</f>
        <v/>
      </c>
      <c r="AV780" s="179" t="str">
        <f t="array" ref="AV780">IF($F780&lt;&gt;"", XLOOKUP($F780,Productos!$A$2:$A1001,Productos!AO$2:AO1001,"")*$G780,"")</f>
        <v/>
      </c>
      <c r="AW780" s="179" t="str">
        <f t="array" ref="AW780">IF($F780&lt;&gt;"",XLOOKUP($F780,Productos!$A:$A,Productos!AP:AP,"Revisar"),"")</f>
        <v/>
      </c>
      <c r="AX780" s="179" t="str">
        <f t="array" ref="AX780">IF($F780&lt;&gt;"", XLOOKUP($F780,Productos!$A$2:$A1001,Productos!AQ$2:AQ1001,"")*$G780,"")</f>
        <v/>
      </c>
      <c r="AY780" s="179" t="str">
        <f t="array" ref="AY780">IF($F780&lt;&gt;"",XLOOKUP($F780,Productos!$A:$A,Productos!AR:AR,"Revisar"),"")</f>
        <v/>
      </c>
      <c r="AZ780" s="179" t="str">
        <f t="array" ref="AZ780">IF($F780&lt;&gt;"", XLOOKUP($F780,Productos!$A$2:$A1001,Productos!AS$2:AS1001,"")*$G780,"")</f>
        <v/>
      </c>
      <c r="BA780" s="179" t="str">
        <f t="array" ref="BA780">IF($F780&lt;&gt;"",XLOOKUP($F780,Productos!$A:$A,Productos!AT:AT,"Revisar"),"")</f>
        <v/>
      </c>
      <c r="BB780" s="179" t="str">
        <f t="array" ref="BB780">IF($F780&lt;&gt;"", XLOOKUP($F780,Productos!$A$2:$A1001,Productos!AU$2:AU1001,"")*$G780,"")</f>
        <v/>
      </c>
      <c r="BC780" s="179" t="str">
        <f t="array" ref="BC780">IF($F780&lt;&gt;"",XLOOKUP($F780,Productos!$A:$A,Productos!AV:AV,"Revisar"),"")</f>
        <v/>
      </c>
      <c r="BD780" s="179" t="str">
        <f t="array" ref="BD780">IF($F780&lt;&gt;"", XLOOKUP($F780,Productos!$A$2:$A1001,Productos!AW$2:AW1001,"")*$G780,"")</f>
        <v/>
      </c>
      <c r="BE780" s="179" t="str">
        <f t="array" ref="BE780">IF($F780&lt;&gt;"",XLOOKUP($F780,Productos!$A:$A,Productos!AX:AX,"Revisar"),"")</f>
        <v/>
      </c>
      <c r="BF780" s="179" t="str">
        <f t="array" ref="BF780">IF($F780&lt;&gt;"", XLOOKUP($F780,Productos!$A$2:$A1001,Productos!AY$2:AY1001,"")*$G780,"")</f>
        <v/>
      </c>
      <c r="BG780" s="179" t="str">
        <f t="array" ref="BG780">IF($F780&lt;&gt;"",XLOOKUP($F780,Productos!$A:$A,Productos!AZ:AZ,"Revisar"),"")</f>
        <v/>
      </c>
      <c r="BH780" s="179" t="str">
        <f t="array" ref="BH780">IF($F780&lt;&gt;"", XLOOKUP($F780,Productos!$A$2:$A1001,Productos!BA$2:BA1001,"")*$G780,"")</f>
        <v/>
      </c>
      <c r="BI780" s="179" t="str">
        <f t="array" ref="BI780">IF($F780&lt;&gt;"",XLOOKUP($F780,Productos!$A:$A,Productos!BB:BB,"Revisar"),"")</f>
        <v/>
      </c>
      <c r="BJ780" s="179" t="str">
        <f t="array" ref="BJ780">IF($F780&lt;&gt;"", XLOOKUP($F780,Productos!$A$2:$A1001,Productos!BC$2:BC1001,"")*$G780,"")</f>
        <v/>
      </c>
      <c r="BK780" s="179" t="str">
        <f t="array" ref="BK780">IF($F780&lt;&gt;"",XLOOKUP($F780,Productos!$A:$A,Productos!BD:BD,"Revisar"),"")</f>
        <v/>
      </c>
      <c r="BL780" s="179" t="str">
        <f t="array" ref="BL780">IF($F780&lt;&gt;"", XLOOKUP($F780,Productos!$A$2:$A1001,Productos!BE$2:BE1001,"")*$G780,"")</f>
        <v/>
      </c>
      <c r="BM780" s="179" t="str">
        <f t="array" ref="BM780">IF($F780&lt;&gt;"",XLOOKUP($F780,Productos!$A:$A,Productos!BF:BF,"Revisar"),"")</f>
        <v/>
      </c>
      <c r="BN780" s="179" t="str">
        <f t="array" ref="BN780">IF($F780&lt;&gt;"", XLOOKUP($F780,Productos!$A$2:$A1001,Productos!BG$2:BG1001,"")*$G780,"")</f>
        <v/>
      </c>
      <c r="BO780" s="179" t="str">
        <f t="array" ref="BO780">IF($F780&lt;&gt;"",XLOOKUP($F780,Productos!$A:$A,Productos!BH:BH,"Revisar"),"")</f>
        <v/>
      </c>
      <c r="BP780" s="179" t="str">
        <f t="array" ref="BP780">IF($F780&lt;&gt;"", XLOOKUP($F780,Productos!$A$2:$A1001,Productos!BI$2:BI1001,"")*$G780,"")</f>
        <v/>
      </c>
      <c r="BQ780" s="179" t="str">
        <f t="array" ref="BQ780">IF($F780&lt;&gt;"",XLOOKUP($F780,Productos!$A:$A,Productos!BJ:BJ,"Revisar"),"")</f>
        <v/>
      </c>
      <c r="BR780" s="179" t="str">
        <f t="array" ref="BR780">IF($F780&lt;&gt;"", XLOOKUP($F780,Productos!$A$2:$A1001,Productos!BK$2:BK1001,"")*$G780,"")</f>
        <v/>
      </c>
      <c r="BS780" s="179" t="str">
        <f t="array" ref="BS780">IF($F780&lt;&gt;"",XLOOKUP($F780,Productos!$A:$A,Productos!BL:BL,"Revisar"),"")</f>
        <v/>
      </c>
      <c r="BT780" s="179" t="str">
        <f t="array" ref="BT780">IF($F780&lt;&gt;"", XLOOKUP($F780,Productos!$A$2:$A1001,Productos!BM$2:BM1001,"")*$G780,"")</f>
        <v/>
      </c>
      <c r="BU780" s="179" t="str">
        <f t="array" ref="BU780">IF($F780&lt;&gt;"",XLOOKUP($F780,Productos!$A:$A,Productos!BN:BN,"Revisar"),"")</f>
        <v/>
      </c>
      <c r="BV780" s="179" t="str">
        <f t="array" ref="BV780">IF($F780&lt;&gt;"", XLOOKUP($F780,Productos!$A$2:$A1001,Productos!BO$2:BO1001,"")*$G780,"")</f>
        <v/>
      </c>
      <c r="BW780" s="179" t="str">
        <f t="array" ref="BW780">IF($F780&lt;&gt;"",XLOOKUP($F780,Productos!$A:$A,Productos!BP:BP,"Revisar"),"")</f>
        <v/>
      </c>
      <c r="BX780" s="179" t="str">
        <f t="array" ref="BX780">IF($F780&lt;&gt;"", XLOOKUP($F780,Productos!$A$2:$A1001,Productos!BQ$2:BQ1001,"")*$G780,"")</f>
        <v/>
      </c>
      <c r="BY780" s="179" t="str">
        <f t="array" ref="BY780">IF($F780&lt;&gt;"",XLOOKUP($F780,Productos!$A:$A,Productos!BR:BR,"Revisar"),"")</f>
        <v/>
      </c>
      <c r="BZ780" s="179" t="str">
        <f t="array" ref="BZ780">IF($F780&lt;&gt;"", XLOOKUP($F780,Productos!$A$2:$A1001,Productos!BS$2:BS1001,"")*$G780,"")</f>
        <v/>
      </c>
    </row>
    <row r="781">
      <c r="A781" s="188"/>
      <c r="B781" s="189"/>
      <c r="C781" s="190"/>
      <c r="D781" s="190"/>
      <c r="E781" s="191"/>
      <c r="F781" s="186"/>
      <c r="G781" s="192"/>
      <c r="H781" s="9"/>
      <c r="I781" s="179" t="str">
        <f t="array" ref="I781">IF($F781&lt;&gt;"",XLOOKUP($F781,Productos!$A:$A,Productos!B:B,"Revisar"),"")</f>
        <v/>
      </c>
      <c r="J781" s="179" t="str">
        <f t="array" ref="J781">IF($F781&lt;&gt;"", XLOOKUP($F781,Productos!$A$2:$A1001,Productos!C$2:C1001,"")*$G781,"")</f>
        <v/>
      </c>
      <c r="K781" s="179" t="str">
        <f t="array" ref="K781">IF($F781&lt;&gt;"",XLOOKUP($F781,Productos!$A:$A,Productos!D:D,"Revisar"),"")</f>
        <v/>
      </c>
      <c r="L781" s="179" t="str">
        <f t="array" ref="L781">IF($F781&lt;&gt;"", XLOOKUP($F781,Productos!$A$2:$A1001,Productos!E$2:E1001,"")*$G781,"")</f>
        <v/>
      </c>
      <c r="M781" s="179" t="str">
        <f t="array" ref="M781">IF($F781&lt;&gt;"",XLOOKUP($F781,Productos!$A:$A,Productos!F:F,"Revisar"),"")</f>
        <v/>
      </c>
      <c r="N781" s="179" t="str">
        <f t="array" ref="N781">IF($F781&lt;&gt;"", XLOOKUP($F781,Productos!$A$2:$A1001,Productos!G$2:G1001,"")*$G781,"")</f>
        <v/>
      </c>
      <c r="O781" s="179" t="str">
        <f t="array" ref="O781">IF($F781&lt;&gt;"",XLOOKUP($F781,Productos!$A:$A,Productos!H:H,"Revisar"),"")</f>
        <v/>
      </c>
      <c r="P781" s="179" t="str">
        <f t="array" ref="P781">IF($F781&lt;&gt;"", XLOOKUP($F781,Productos!$A$2:$A1001,Productos!I$2:I1001,"")*$G781,"")</f>
        <v/>
      </c>
      <c r="Q781" s="179" t="str">
        <f t="array" ref="Q781">IF($F781&lt;&gt;"",XLOOKUP($F781,Productos!$A:$A,Productos!J:J,"Revisar"),"")</f>
        <v/>
      </c>
      <c r="R781" s="179" t="str">
        <f t="array" ref="R781">IF($F781&lt;&gt;"", XLOOKUP($F781,Productos!$A$2:$A1001,Productos!K$2:K1001,"")*$G781,"")</f>
        <v/>
      </c>
      <c r="S781" s="179" t="str">
        <f t="array" ref="S781">IF($F781&lt;&gt;"",XLOOKUP($F781,Productos!$A:$A,Productos!L:L,"Revisar"),"")</f>
        <v/>
      </c>
      <c r="T781" s="179" t="str">
        <f t="array" ref="T781">IF($F781&lt;&gt;"", XLOOKUP($F781,Productos!$A$2:$A1001,Productos!M$2:M1001,"")*$G781,"")</f>
        <v/>
      </c>
      <c r="U781" s="179" t="str">
        <f t="array" ref="U781">IF($F781&lt;&gt;"",XLOOKUP($F781,Productos!$A:$A,Productos!N:N,"Revisar"),"")</f>
        <v/>
      </c>
      <c r="V781" s="179" t="str">
        <f t="array" ref="V781">IF($F781&lt;&gt;"", XLOOKUP($F781,Productos!$A$2:$A1001,Productos!O$2:O1001,"")*$G781,"")</f>
        <v/>
      </c>
      <c r="W781" s="179" t="str">
        <f t="array" ref="W781">IF($F781&lt;&gt;"",XLOOKUP($F781,Productos!$A:$A,Productos!P:P,"Revisar"),"")</f>
        <v/>
      </c>
      <c r="X781" s="179" t="str">
        <f t="array" ref="X781">IF($F781&lt;&gt;"", XLOOKUP($F781,Productos!$A$2:$A1001,Productos!Q$2:Q1001,"")*$G781,"")</f>
        <v/>
      </c>
      <c r="Y781" s="179" t="str">
        <f t="array" ref="Y781">IF($F781&lt;&gt;"",XLOOKUP($F781,Productos!$A:$A,Productos!R:R,"Revisar"),"")</f>
        <v/>
      </c>
      <c r="Z781" s="179" t="str">
        <f t="array" ref="Z781">IF($F781&lt;&gt;"", XLOOKUP($F781,Productos!$A$2:$A1001,Productos!S$2:S1001,"")*$G781,"")</f>
        <v/>
      </c>
      <c r="AA781" s="179" t="str">
        <f t="array" ref="AA781">IF($F781&lt;&gt;"",XLOOKUP($F781,Productos!$A:$A,Productos!T:T,"Revisar"),"")</f>
        <v/>
      </c>
      <c r="AB781" s="179" t="str">
        <f t="array" ref="AB781">IF($F781&lt;&gt;"", XLOOKUP($F781,Productos!$A$2:$A1001,Productos!U$2:U1001,"")*$G781,"")</f>
        <v/>
      </c>
      <c r="AC781" s="179" t="str">
        <f t="array" ref="AC781">IF($F781&lt;&gt;"",XLOOKUP($F781,Productos!$A:$A,Productos!V:V,"Revisar"),"")</f>
        <v/>
      </c>
      <c r="AD781" s="179" t="str">
        <f t="array" ref="AD781">IF($F781&lt;&gt;"", XLOOKUP($F781,Productos!$A$2:$A1001,Productos!W$2:W1001,"")*$G781,"")</f>
        <v/>
      </c>
      <c r="AE781" s="179" t="str">
        <f t="array" ref="AE781">IF($F781&lt;&gt;"",XLOOKUP($F781,Productos!$A:$A,Productos!X:X,"Revisar"),"")</f>
        <v/>
      </c>
      <c r="AF781" s="179" t="str">
        <f t="array" ref="AF781">IF($F781&lt;&gt;"", XLOOKUP($F781,Productos!$A$2:$A1001,Productos!Y$2:Y1001,"")*$G781,"")</f>
        <v/>
      </c>
      <c r="AG781" s="179" t="str">
        <f t="array" ref="AG781">IF($F781&lt;&gt;"",XLOOKUP($F781,Productos!$A:$A,Productos!Z:Z,"Revisar"),"")</f>
        <v/>
      </c>
      <c r="AH781" s="179" t="str">
        <f t="array" ref="AH781">IF($F781&lt;&gt;"", XLOOKUP($F781,Productos!$A$2:$A1001,Productos!AA$2:AA1001,"")*$G781,"")</f>
        <v/>
      </c>
      <c r="AI781" s="179" t="str">
        <f t="array" ref="AI781">IF($F781&lt;&gt;"",XLOOKUP($F781,Productos!$A:$A,Productos!AB:AB,"Revisar"),"")</f>
        <v/>
      </c>
      <c r="AJ781" s="179" t="str">
        <f t="array" ref="AJ781">IF($F781&lt;&gt;"", XLOOKUP($F781,Productos!$A$2:$A1001,Productos!AC$2:AC1001,"")*$G781,"")</f>
        <v/>
      </c>
      <c r="AK781" s="179" t="str">
        <f t="array" ref="AK781">IF($F781&lt;&gt;"",XLOOKUP($F781,Productos!$A:$A,Productos!AD:AD,"Revisar"),"")</f>
        <v/>
      </c>
      <c r="AL781" s="179" t="str">
        <f t="array" ref="AL781">IF($F781&lt;&gt;"", XLOOKUP($F781,Productos!$A$2:$A1001,Productos!AE$2:AE1001,"")*$G781,"")</f>
        <v/>
      </c>
      <c r="AM781" s="179" t="str">
        <f t="array" ref="AM781">IF($F781&lt;&gt;"",XLOOKUP($F781,Productos!$A:$A,Productos!AF:AF,"Revisar"),"")</f>
        <v/>
      </c>
      <c r="AN781" s="179" t="str">
        <f t="array" ref="AN781">IF($F781&lt;&gt;"", XLOOKUP($F781,Productos!$A$2:$A1001,Productos!AG$2:AG1001,"")*$G781,"")</f>
        <v/>
      </c>
      <c r="AO781" s="179" t="str">
        <f t="array" ref="AO781">IF($F781&lt;&gt;"",XLOOKUP($F781,Productos!$A:$A,Productos!AH:AH,"Revisar"),"")</f>
        <v/>
      </c>
      <c r="AP781" s="179" t="str">
        <f t="array" ref="AP781">IF($F781&lt;&gt;"", XLOOKUP($F781,Productos!$A$2:$A1001,Productos!AI$2:AI1001,"")*$G781,"")</f>
        <v/>
      </c>
      <c r="AQ781" s="179" t="str">
        <f t="array" ref="AQ781">IF($F781&lt;&gt;"",XLOOKUP($F781,Productos!$A:$A,Productos!AJ:AJ,"Revisar"),"")</f>
        <v/>
      </c>
      <c r="AR781" s="179" t="str">
        <f t="array" ref="AR781">IF($F781&lt;&gt;"", XLOOKUP($F781,Productos!$A$2:$A1001,Productos!AK$2:AK1001,"")*$G781,"")</f>
        <v/>
      </c>
      <c r="AS781" s="179" t="str">
        <f t="array" ref="AS781">IF($F781&lt;&gt;"",XLOOKUP($F781,Productos!$A:$A,Productos!AL:AL,"Revisar"),"")</f>
        <v/>
      </c>
      <c r="AT781" s="179" t="str">
        <f t="array" ref="AT781">IF($F781&lt;&gt;"", XLOOKUP($F781,Productos!$A$2:$A1001,Productos!AM$2:AM1001,"")*$G781,"")</f>
        <v/>
      </c>
      <c r="AU781" s="179" t="str">
        <f t="array" ref="AU781">IF($F781&lt;&gt;"",XLOOKUP($F781,Productos!$A:$A,Productos!AN:AN,"Revisar"),"")</f>
        <v/>
      </c>
      <c r="AV781" s="179" t="str">
        <f t="array" ref="AV781">IF($F781&lt;&gt;"", XLOOKUP($F781,Productos!$A$2:$A1001,Productos!AO$2:AO1001,"")*$G781,"")</f>
        <v/>
      </c>
      <c r="AW781" s="179" t="str">
        <f t="array" ref="AW781">IF($F781&lt;&gt;"",XLOOKUP($F781,Productos!$A:$A,Productos!AP:AP,"Revisar"),"")</f>
        <v/>
      </c>
      <c r="AX781" s="179" t="str">
        <f t="array" ref="AX781">IF($F781&lt;&gt;"", XLOOKUP($F781,Productos!$A$2:$A1001,Productos!AQ$2:AQ1001,"")*$G781,"")</f>
        <v/>
      </c>
      <c r="AY781" s="179" t="str">
        <f t="array" ref="AY781">IF($F781&lt;&gt;"",XLOOKUP($F781,Productos!$A:$A,Productos!AR:AR,"Revisar"),"")</f>
        <v/>
      </c>
      <c r="AZ781" s="179" t="str">
        <f t="array" ref="AZ781">IF($F781&lt;&gt;"", XLOOKUP($F781,Productos!$A$2:$A1001,Productos!AS$2:AS1001,"")*$G781,"")</f>
        <v/>
      </c>
      <c r="BA781" s="179" t="str">
        <f t="array" ref="BA781">IF($F781&lt;&gt;"",XLOOKUP($F781,Productos!$A:$A,Productos!AT:AT,"Revisar"),"")</f>
        <v/>
      </c>
      <c r="BB781" s="179" t="str">
        <f t="array" ref="BB781">IF($F781&lt;&gt;"", XLOOKUP($F781,Productos!$A$2:$A1001,Productos!AU$2:AU1001,"")*$G781,"")</f>
        <v/>
      </c>
      <c r="BC781" s="179" t="str">
        <f t="array" ref="BC781">IF($F781&lt;&gt;"",XLOOKUP($F781,Productos!$A:$A,Productos!AV:AV,"Revisar"),"")</f>
        <v/>
      </c>
      <c r="BD781" s="179" t="str">
        <f t="array" ref="BD781">IF($F781&lt;&gt;"", XLOOKUP($F781,Productos!$A$2:$A1001,Productos!AW$2:AW1001,"")*$G781,"")</f>
        <v/>
      </c>
      <c r="BE781" s="179" t="str">
        <f t="array" ref="BE781">IF($F781&lt;&gt;"",XLOOKUP($F781,Productos!$A:$A,Productos!AX:AX,"Revisar"),"")</f>
        <v/>
      </c>
      <c r="BF781" s="179" t="str">
        <f t="array" ref="BF781">IF($F781&lt;&gt;"", XLOOKUP($F781,Productos!$A$2:$A1001,Productos!AY$2:AY1001,"")*$G781,"")</f>
        <v/>
      </c>
      <c r="BG781" s="179" t="str">
        <f t="array" ref="BG781">IF($F781&lt;&gt;"",XLOOKUP($F781,Productos!$A:$A,Productos!AZ:AZ,"Revisar"),"")</f>
        <v/>
      </c>
      <c r="BH781" s="179" t="str">
        <f t="array" ref="BH781">IF($F781&lt;&gt;"", XLOOKUP($F781,Productos!$A$2:$A1001,Productos!BA$2:BA1001,"")*$G781,"")</f>
        <v/>
      </c>
      <c r="BI781" s="179" t="str">
        <f t="array" ref="BI781">IF($F781&lt;&gt;"",XLOOKUP($F781,Productos!$A:$A,Productos!BB:BB,"Revisar"),"")</f>
        <v/>
      </c>
      <c r="BJ781" s="179" t="str">
        <f t="array" ref="BJ781">IF($F781&lt;&gt;"", XLOOKUP($F781,Productos!$A$2:$A1001,Productos!BC$2:BC1001,"")*$G781,"")</f>
        <v/>
      </c>
      <c r="BK781" s="179" t="str">
        <f t="array" ref="BK781">IF($F781&lt;&gt;"",XLOOKUP($F781,Productos!$A:$A,Productos!BD:BD,"Revisar"),"")</f>
        <v/>
      </c>
      <c r="BL781" s="179" t="str">
        <f t="array" ref="BL781">IF($F781&lt;&gt;"", XLOOKUP($F781,Productos!$A$2:$A1001,Productos!BE$2:BE1001,"")*$G781,"")</f>
        <v/>
      </c>
      <c r="BM781" s="179" t="str">
        <f t="array" ref="BM781">IF($F781&lt;&gt;"",XLOOKUP($F781,Productos!$A:$A,Productos!BF:BF,"Revisar"),"")</f>
        <v/>
      </c>
      <c r="BN781" s="179" t="str">
        <f t="array" ref="BN781">IF($F781&lt;&gt;"", XLOOKUP($F781,Productos!$A$2:$A1001,Productos!BG$2:BG1001,"")*$G781,"")</f>
        <v/>
      </c>
      <c r="BO781" s="179" t="str">
        <f t="array" ref="BO781">IF($F781&lt;&gt;"",XLOOKUP($F781,Productos!$A:$A,Productos!BH:BH,"Revisar"),"")</f>
        <v/>
      </c>
      <c r="BP781" s="179" t="str">
        <f t="array" ref="BP781">IF($F781&lt;&gt;"", XLOOKUP($F781,Productos!$A$2:$A1001,Productos!BI$2:BI1001,"")*$G781,"")</f>
        <v/>
      </c>
      <c r="BQ781" s="179" t="str">
        <f t="array" ref="BQ781">IF($F781&lt;&gt;"",XLOOKUP($F781,Productos!$A:$A,Productos!BJ:BJ,"Revisar"),"")</f>
        <v/>
      </c>
      <c r="BR781" s="179" t="str">
        <f t="array" ref="BR781">IF($F781&lt;&gt;"", XLOOKUP($F781,Productos!$A$2:$A1001,Productos!BK$2:BK1001,"")*$G781,"")</f>
        <v/>
      </c>
      <c r="BS781" s="179" t="str">
        <f t="array" ref="BS781">IF($F781&lt;&gt;"",XLOOKUP($F781,Productos!$A:$A,Productos!BL:BL,"Revisar"),"")</f>
        <v/>
      </c>
      <c r="BT781" s="179" t="str">
        <f t="array" ref="BT781">IF($F781&lt;&gt;"", XLOOKUP($F781,Productos!$A$2:$A1001,Productos!BM$2:BM1001,"")*$G781,"")</f>
        <v/>
      </c>
      <c r="BU781" s="179" t="str">
        <f t="array" ref="BU781">IF($F781&lt;&gt;"",XLOOKUP($F781,Productos!$A:$A,Productos!BN:BN,"Revisar"),"")</f>
        <v/>
      </c>
      <c r="BV781" s="179" t="str">
        <f t="array" ref="BV781">IF($F781&lt;&gt;"", XLOOKUP($F781,Productos!$A$2:$A1001,Productos!BO$2:BO1001,"")*$G781,"")</f>
        <v/>
      </c>
      <c r="BW781" s="179" t="str">
        <f t="array" ref="BW781">IF($F781&lt;&gt;"",XLOOKUP($F781,Productos!$A:$A,Productos!BP:BP,"Revisar"),"")</f>
        <v/>
      </c>
      <c r="BX781" s="179" t="str">
        <f t="array" ref="BX781">IF($F781&lt;&gt;"", XLOOKUP($F781,Productos!$A$2:$A1001,Productos!BQ$2:BQ1001,"")*$G781,"")</f>
        <v/>
      </c>
      <c r="BY781" s="179" t="str">
        <f t="array" ref="BY781">IF($F781&lt;&gt;"",XLOOKUP($F781,Productos!$A:$A,Productos!BR:BR,"Revisar"),"")</f>
        <v/>
      </c>
      <c r="BZ781" s="179" t="str">
        <f t="array" ref="BZ781">IF($F781&lt;&gt;"", XLOOKUP($F781,Productos!$A$2:$A1001,Productos!BS$2:BS1001,"")*$G781,"")</f>
        <v/>
      </c>
    </row>
    <row r="782">
      <c r="A782" s="188"/>
      <c r="B782" s="189"/>
      <c r="C782" s="190"/>
      <c r="D782" s="190"/>
      <c r="E782" s="191"/>
      <c r="F782" s="186"/>
      <c r="G782" s="192"/>
      <c r="H782" s="9"/>
      <c r="I782" s="179" t="str">
        <f t="array" ref="I782">IF($F782&lt;&gt;"",XLOOKUP($F782,Productos!$A:$A,Productos!B:B,"Revisar"),"")</f>
        <v/>
      </c>
      <c r="J782" s="179" t="str">
        <f t="array" ref="J782">IF($F782&lt;&gt;"", XLOOKUP($F782,Productos!$A$2:$A1001,Productos!C$2:C1001,"")*$G782,"")</f>
        <v/>
      </c>
      <c r="K782" s="179" t="str">
        <f t="array" ref="K782">IF($F782&lt;&gt;"",XLOOKUP($F782,Productos!$A:$A,Productos!D:D,"Revisar"),"")</f>
        <v/>
      </c>
      <c r="L782" s="179" t="str">
        <f t="array" ref="L782">IF($F782&lt;&gt;"", XLOOKUP($F782,Productos!$A$2:$A1001,Productos!E$2:E1001,"")*$G782,"")</f>
        <v/>
      </c>
      <c r="M782" s="179" t="str">
        <f t="array" ref="M782">IF($F782&lt;&gt;"",XLOOKUP($F782,Productos!$A:$A,Productos!F:F,"Revisar"),"")</f>
        <v/>
      </c>
      <c r="N782" s="179" t="str">
        <f t="array" ref="N782">IF($F782&lt;&gt;"", XLOOKUP($F782,Productos!$A$2:$A1001,Productos!G$2:G1001,"")*$G782,"")</f>
        <v/>
      </c>
      <c r="O782" s="179" t="str">
        <f t="array" ref="O782">IF($F782&lt;&gt;"",XLOOKUP($F782,Productos!$A:$A,Productos!H:H,"Revisar"),"")</f>
        <v/>
      </c>
      <c r="P782" s="179" t="str">
        <f t="array" ref="P782">IF($F782&lt;&gt;"", XLOOKUP($F782,Productos!$A$2:$A1001,Productos!I$2:I1001,"")*$G782,"")</f>
        <v/>
      </c>
      <c r="Q782" s="179" t="str">
        <f t="array" ref="Q782">IF($F782&lt;&gt;"",XLOOKUP($F782,Productos!$A:$A,Productos!J:J,"Revisar"),"")</f>
        <v/>
      </c>
      <c r="R782" s="179" t="str">
        <f t="array" ref="R782">IF($F782&lt;&gt;"", XLOOKUP($F782,Productos!$A$2:$A1001,Productos!K$2:K1001,"")*$G782,"")</f>
        <v/>
      </c>
      <c r="S782" s="179" t="str">
        <f t="array" ref="S782">IF($F782&lt;&gt;"",XLOOKUP($F782,Productos!$A:$A,Productos!L:L,"Revisar"),"")</f>
        <v/>
      </c>
      <c r="T782" s="179" t="str">
        <f t="array" ref="T782">IF($F782&lt;&gt;"", XLOOKUP($F782,Productos!$A$2:$A1001,Productos!M$2:M1001,"")*$G782,"")</f>
        <v/>
      </c>
      <c r="U782" s="179" t="str">
        <f t="array" ref="U782">IF($F782&lt;&gt;"",XLOOKUP($F782,Productos!$A:$A,Productos!N:N,"Revisar"),"")</f>
        <v/>
      </c>
      <c r="V782" s="179" t="str">
        <f t="array" ref="V782">IF($F782&lt;&gt;"", XLOOKUP($F782,Productos!$A$2:$A1001,Productos!O$2:O1001,"")*$G782,"")</f>
        <v/>
      </c>
      <c r="W782" s="179" t="str">
        <f t="array" ref="W782">IF($F782&lt;&gt;"",XLOOKUP($F782,Productos!$A:$A,Productos!P:P,"Revisar"),"")</f>
        <v/>
      </c>
      <c r="X782" s="179" t="str">
        <f t="array" ref="X782">IF($F782&lt;&gt;"", XLOOKUP($F782,Productos!$A$2:$A1001,Productos!Q$2:Q1001,"")*$G782,"")</f>
        <v/>
      </c>
      <c r="Y782" s="179" t="str">
        <f t="array" ref="Y782">IF($F782&lt;&gt;"",XLOOKUP($F782,Productos!$A:$A,Productos!R:R,"Revisar"),"")</f>
        <v/>
      </c>
      <c r="Z782" s="179" t="str">
        <f t="array" ref="Z782">IF($F782&lt;&gt;"", XLOOKUP($F782,Productos!$A$2:$A1001,Productos!S$2:S1001,"")*$G782,"")</f>
        <v/>
      </c>
      <c r="AA782" s="179" t="str">
        <f t="array" ref="AA782">IF($F782&lt;&gt;"",XLOOKUP($F782,Productos!$A:$A,Productos!T:T,"Revisar"),"")</f>
        <v/>
      </c>
      <c r="AB782" s="179" t="str">
        <f t="array" ref="AB782">IF($F782&lt;&gt;"", XLOOKUP($F782,Productos!$A$2:$A1001,Productos!U$2:U1001,"")*$G782,"")</f>
        <v/>
      </c>
      <c r="AC782" s="179" t="str">
        <f t="array" ref="AC782">IF($F782&lt;&gt;"",XLOOKUP($F782,Productos!$A:$A,Productos!V:V,"Revisar"),"")</f>
        <v/>
      </c>
      <c r="AD782" s="179" t="str">
        <f t="array" ref="AD782">IF($F782&lt;&gt;"", XLOOKUP($F782,Productos!$A$2:$A1001,Productos!W$2:W1001,"")*$G782,"")</f>
        <v/>
      </c>
      <c r="AE782" s="179" t="str">
        <f t="array" ref="AE782">IF($F782&lt;&gt;"",XLOOKUP($F782,Productos!$A:$A,Productos!X:X,"Revisar"),"")</f>
        <v/>
      </c>
      <c r="AF782" s="179" t="str">
        <f t="array" ref="AF782">IF($F782&lt;&gt;"", XLOOKUP($F782,Productos!$A$2:$A1001,Productos!Y$2:Y1001,"")*$G782,"")</f>
        <v/>
      </c>
      <c r="AG782" s="179" t="str">
        <f t="array" ref="AG782">IF($F782&lt;&gt;"",XLOOKUP($F782,Productos!$A:$A,Productos!Z:Z,"Revisar"),"")</f>
        <v/>
      </c>
      <c r="AH782" s="179" t="str">
        <f t="array" ref="AH782">IF($F782&lt;&gt;"", XLOOKUP($F782,Productos!$A$2:$A1001,Productos!AA$2:AA1001,"")*$G782,"")</f>
        <v/>
      </c>
      <c r="AI782" s="179" t="str">
        <f t="array" ref="AI782">IF($F782&lt;&gt;"",XLOOKUP($F782,Productos!$A:$A,Productos!AB:AB,"Revisar"),"")</f>
        <v/>
      </c>
      <c r="AJ782" s="179" t="str">
        <f t="array" ref="AJ782">IF($F782&lt;&gt;"", XLOOKUP($F782,Productos!$A$2:$A1001,Productos!AC$2:AC1001,"")*$G782,"")</f>
        <v/>
      </c>
      <c r="AK782" s="179" t="str">
        <f t="array" ref="AK782">IF($F782&lt;&gt;"",XLOOKUP($F782,Productos!$A:$A,Productos!AD:AD,"Revisar"),"")</f>
        <v/>
      </c>
      <c r="AL782" s="179" t="str">
        <f t="array" ref="AL782">IF($F782&lt;&gt;"", XLOOKUP($F782,Productos!$A$2:$A1001,Productos!AE$2:AE1001,"")*$G782,"")</f>
        <v/>
      </c>
      <c r="AM782" s="179" t="str">
        <f t="array" ref="AM782">IF($F782&lt;&gt;"",XLOOKUP($F782,Productos!$A:$A,Productos!AF:AF,"Revisar"),"")</f>
        <v/>
      </c>
      <c r="AN782" s="179" t="str">
        <f t="array" ref="AN782">IF($F782&lt;&gt;"", XLOOKUP($F782,Productos!$A$2:$A1001,Productos!AG$2:AG1001,"")*$G782,"")</f>
        <v/>
      </c>
      <c r="AO782" s="179" t="str">
        <f t="array" ref="AO782">IF($F782&lt;&gt;"",XLOOKUP($F782,Productos!$A:$A,Productos!AH:AH,"Revisar"),"")</f>
        <v/>
      </c>
      <c r="AP782" s="179" t="str">
        <f t="array" ref="AP782">IF($F782&lt;&gt;"", XLOOKUP($F782,Productos!$A$2:$A1001,Productos!AI$2:AI1001,"")*$G782,"")</f>
        <v/>
      </c>
      <c r="AQ782" s="179" t="str">
        <f t="array" ref="AQ782">IF($F782&lt;&gt;"",XLOOKUP($F782,Productos!$A:$A,Productos!AJ:AJ,"Revisar"),"")</f>
        <v/>
      </c>
      <c r="AR782" s="179" t="str">
        <f t="array" ref="AR782">IF($F782&lt;&gt;"", XLOOKUP($F782,Productos!$A$2:$A1001,Productos!AK$2:AK1001,"")*$G782,"")</f>
        <v/>
      </c>
      <c r="AS782" s="179" t="str">
        <f t="array" ref="AS782">IF($F782&lt;&gt;"",XLOOKUP($F782,Productos!$A:$A,Productos!AL:AL,"Revisar"),"")</f>
        <v/>
      </c>
      <c r="AT782" s="179" t="str">
        <f t="array" ref="AT782">IF($F782&lt;&gt;"", XLOOKUP($F782,Productos!$A$2:$A1001,Productos!AM$2:AM1001,"")*$G782,"")</f>
        <v/>
      </c>
      <c r="AU782" s="179" t="str">
        <f t="array" ref="AU782">IF($F782&lt;&gt;"",XLOOKUP($F782,Productos!$A:$A,Productos!AN:AN,"Revisar"),"")</f>
        <v/>
      </c>
      <c r="AV782" s="179" t="str">
        <f t="array" ref="AV782">IF($F782&lt;&gt;"", XLOOKUP($F782,Productos!$A$2:$A1001,Productos!AO$2:AO1001,"")*$G782,"")</f>
        <v/>
      </c>
      <c r="AW782" s="179" t="str">
        <f t="array" ref="AW782">IF($F782&lt;&gt;"",XLOOKUP($F782,Productos!$A:$A,Productos!AP:AP,"Revisar"),"")</f>
        <v/>
      </c>
      <c r="AX782" s="179" t="str">
        <f t="array" ref="AX782">IF($F782&lt;&gt;"", XLOOKUP($F782,Productos!$A$2:$A1001,Productos!AQ$2:AQ1001,"")*$G782,"")</f>
        <v/>
      </c>
      <c r="AY782" s="179" t="str">
        <f t="array" ref="AY782">IF($F782&lt;&gt;"",XLOOKUP($F782,Productos!$A:$A,Productos!AR:AR,"Revisar"),"")</f>
        <v/>
      </c>
      <c r="AZ782" s="179" t="str">
        <f t="array" ref="AZ782">IF($F782&lt;&gt;"", XLOOKUP($F782,Productos!$A$2:$A1001,Productos!AS$2:AS1001,"")*$G782,"")</f>
        <v/>
      </c>
      <c r="BA782" s="179" t="str">
        <f t="array" ref="BA782">IF($F782&lt;&gt;"",XLOOKUP($F782,Productos!$A:$A,Productos!AT:AT,"Revisar"),"")</f>
        <v/>
      </c>
      <c r="BB782" s="179" t="str">
        <f t="array" ref="BB782">IF($F782&lt;&gt;"", XLOOKUP($F782,Productos!$A$2:$A1001,Productos!AU$2:AU1001,"")*$G782,"")</f>
        <v/>
      </c>
      <c r="BC782" s="179" t="str">
        <f t="array" ref="BC782">IF($F782&lt;&gt;"",XLOOKUP($F782,Productos!$A:$A,Productos!AV:AV,"Revisar"),"")</f>
        <v/>
      </c>
      <c r="BD782" s="179" t="str">
        <f t="array" ref="BD782">IF($F782&lt;&gt;"", XLOOKUP($F782,Productos!$A$2:$A1001,Productos!AW$2:AW1001,"")*$G782,"")</f>
        <v/>
      </c>
      <c r="BE782" s="179" t="str">
        <f t="array" ref="BE782">IF($F782&lt;&gt;"",XLOOKUP($F782,Productos!$A:$A,Productos!AX:AX,"Revisar"),"")</f>
        <v/>
      </c>
      <c r="BF782" s="179" t="str">
        <f t="array" ref="BF782">IF($F782&lt;&gt;"", XLOOKUP($F782,Productos!$A$2:$A1001,Productos!AY$2:AY1001,"")*$G782,"")</f>
        <v/>
      </c>
      <c r="BG782" s="179" t="str">
        <f t="array" ref="BG782">IF($F782&lt;&gt;"",XLOOKUP($F782,Productos!$A:$A,Productos!AZ:AZ,"Revisar"),"")</f>
        <v/>
      </c>
      <c r="BH782" s="179" t="str">
        <f t="array" ref="BH782">IF($F782&lt;&gt;"", XLOOKUP($F782,Productos!$A$2:$A1001,Productos!BA$2:BA1001,"")*$G782,"")</f>
        <v/>
      </c>
      <c r="BI782" s="179" t="str">
        <f t="array" ref="BI782">IF($F782&lt;&gt;"",XLOOKUP($F782,Productos!$A:$A,Productos!BB:BB,"Revisar"),"")</f>
        <v/>
      </c>
      <c r="BJ782" s="179" t="str">
        <f t="array" ref="BJ782">IF($F782&lt;&gt;"", XLOOKUP($F782,Productos!$A$2:$A1001,Productos!BC$2:BC1001,"")*$G782,"")</f>
        <v/>
      </c>
      <c r="BK782" s="179" t="str">
        <f t="array" ref="BK782">IF($F782&lt;&gt;"",XLOOKUP($F782,Productos!$A:$A,Productos!BD:BD,"Revisar"),"")</f>
        <v/>
      </c>
      <c r="BL782" s="179" t="str">
        <f t="array" ref="BL782">IF($F782&lt;&gt;"", XLOOKUP($F782,Productos!$A$2:$A1001,Productos!BE$2:BE1001,"")*$G782,"")</f>
        <v/>
      </c>
      <c r="BM782" s="179" t="str">
        <f t="array" ref="BM782">IF($F782&lt;&gt;"",XLOOKUP($F782,Productos!$A:$A,Productos!BF:BF,"Revisar"),"")</f>
        <v/>
      </c>
      <c r="BN782" s="179" t="str">
        <f t="array" ref="BN782">IF($F782&lt;&gt;"", XLOOKUP($F782,Productos!$A$2:$A1001,Productos!BG$2:BG1001,"")*$G782,"")</f>
        <v/>
      </c>
      <c r="BO782" s="179" t="str">
        <f t="array" ref="BO782">IF($F782&lt;&gt;"",XLOOKUP($F782,Productos!$A:$A,Productos!BH:BH,"Revisar"),"")</f>
        <v/>
      </c>
      <c r="BP782" s="179" t="str">
        <f t="array" ref="BP782">IF($F782&lt;&gt;"", XLOOKUP($F782,Productos!$A$2:$A1001,Productos!BI$2:BI1001,"")*$G782,"")</f>
        <v/>
      </c>
      <c r="BQ782" s="179" t="str">
        <f t="array" ref="BQ782">IF($F782&lt;&gt;"",XLOOKUP($F782,Productos!$A:$A,Productos!BJ:BJ,"Revisar"),"")</f>
        <v/>
      </c>
      <c r="BR782" s="179" t="str">
        <f t="array" ref="BR782">IF($F782&lt;&gt;"", XLOOKUP($F782,Productos!$A$2:$A1001,Productos!BK$2:BK1001,"")*$G782,"")</f>
        <v/>
      </c>
      <c r="BS782" s="179" t="str">
        <f t="array" ref="BS782">IF($F782&lt;&gt;"",XLOOKUP($F782,Productos!$A:$A,Productos!BL:BL,"Revisar"),"")</f>
        <v/>
      </c>
      <c r="BT782" s="179" t="str">
        <f t="array" ref="BT782">IF($F782&lt;&gt;"", XLOOKUP($F782,Productos!$A$2:$A1001,Productos!BM$2:BM1001,"")*$G782,"")</f>
        <v/>
      </c>
      <c r="BU782" s="179" t="str">
        <f t="array" ref="BU782">IF($F782&lt;&gt;"",XLOOKUP($F782,Productos!$A:$A,Productos!BN:BN,"Revisar"),"")</f>
        <v/>
      </c>
      <c r="BV782" s="179" t="str">
        <f t="array" ref="BV782">IF($F782&lt;&gt;"", XLOOKUP($F782,Productos!$A$2:$A1001,Productos!BO$2:BO1001,"")*$G782,"")</f>
        <v/>
      </c>
      <c r="BW782" s="179" t="str">
        <f t="array" ref="BW782">IF($F782&lt;&gt;"",XLOOKUP($F782,Productos!$A:$A,Productos!BP:BP,"Revisar"),"")</f>
        <v/>
      </c>
      <c r="BX782" s="179" t="str">
        <f t="array" ref="BX782">IF($F782&lt;&gt;"", XLOOKUP($F782,Productos!$A$2:$A1001,Productos!BQ$2:BQ1001,"")*$G782,"")</f>
        <v/>
      </c>
      <c r="BY782" s="179" t="str">
        <f t="array" ref="BY782">IF($F782&lt;&gt;"",XLOOKUP($F782,Productos!$A:$A,Productos!BR:BR,"Revisar"),"")</f>
        <v/>
      </c>
      <c r="BZ782" s="179" t="str">
        <f t="array" ref="BZ782">IF($F782&lt;&gt;"", XLOOKUP($F782,Productos!$A$2:$A1001,Productos!BS$2:BS1001,"")*$G782,"")</f>
        <v/>
      </c>
    </row>
    <row r="783">
      <c r="A783" s="188"/>
      <c r="B783" s="189"/>
      <c r="C783" s="190"/>
      <c r="D783" s="190"/>
      <c r="E783" s="191"/>
      <c r="F783" s="186"/>
      <c r="G783" s="192"/>
      <c r="H783" s="9"/>
      <c r="I783" s="179" t="str">
        <f t="array" ref="I783">IF($F783&lt;&gt;"",XLOOKUP($F783,Productos!$A:$A,Productos!B:B,"Revisar"),"")</f>
        <v/>
      </c>
      <c r="J783" s="179" t="str">
        <f t="array" ref="J783">IF($F783&lt;&gt;"", XLOOKUP($F783,Productos!$A$2:$A1001,Productos!C$2:C1001,"")*$G783,"")</f>
        <v/>
      </c>
      <c r="K783" s="179" t="str">
        <f t="array" ref="K783">IF($F783&lt;&gt;"",XLOOKUP($F783,Productos!$A:$A,Productos!D:D,"Revisar"),"")</f>
        <v/>
      </c>
      <c r="L783" s="179" t="str">
        <f t="array" ref="L783">IF($F783&lt;&gt;"", XLOOKUP($F783,Productos!$A$2:$A1001,Productos!E$2:E1001,"")*$G783,"")</f>
        <v/>
      </c>
      <c r="M783" s="179" t="str">
        <f t="array" ref="M783">IF($F783&lt;&gt;"",XLOOKUP($F783,Productos!$A:$A,Productos!F:F,"Revisar"),"")</f>
        <v/>
      </c>
      <c r="N783" s="179" t="str">
        <f t="array" ref="N783">IF($F783&lt;&gt;"", XLOOKUP($F783,Productos!$A$2:$A1001,Productos!G$2:G1001,"")*$G783,"")</f>
        <v/>
      </c>
      <c r="O783" s="179" t="str">
        <f t="array" ref="O783">IF($F783&lt;&gt;"",XLOOKUP($F783,Productos!$A:$A,Productos!H:H,"Revisar"),"")</f>
        <v/>
      </c>
      <c r="P783" s="179" t="str">
        <f t="array" ref="P783">IF($F783&lt;&gt;"", XLOOKUP($F783,Productos!$A$2:$A1001,Productos!I$2:I1001,"")*$G783,"")</f>
        <v/>
      </c>
      <c r="Q783" s="179" t="str">
        <f t="array" ref="Q783">IF($F783&lt;&gt;"",XLOOKUP($F783,Productos!$A:$A,Productos!J:J,"Revisar"),"")</f>
        <v/>
      </c>
      <c r="R783" s="179" t="str">
        <f t="array" ref="R783">IF($F783&lt;&gt;"", XLOOKUP($F783,Productos!$A$2:$A1001,Productos!K$2:K1001,"")*$G783,"")</f>
        <v/>
      </c>
      <c r="S783" s="179" t="str">
        <f t="array" ref="S783">IF($F783&lt;&gt;"",XLOOKUP($F783,Productos!$A:$A,Productos!L:L,"Revisar"),"")</f>
        <v/>
      </c>
      <c r="T783" s="179" t="str">
        <f t="array" ref="T783">IF($F783&lt;&gt;"", XLOOKUP($F783,Productos!$A$2:$A1001,Productos!M$2:M1001,"")*$G783,"")</f>
        <v/>
      </c>
      <c r="U783" s="179" t="str">
        <f t="array" ref="U783">IF($F783&lt;&gt;"",XLOOKUP($F783,Productos!$A:$A,Productos!N:N,"Revisar"),"")</f>
        <v/>
      </c>
      <c r="V783" s="179" t="str">
        <f t="array" ref="V783">IF($F783&lt;&gt;"", XLOOKUP($F783,Productos!$A$2:$A1001,Productos!O$2:O1001,"")*$G783,"")</f>
        <v/>
      </c>
      <c r="W783" s="179" t="str">
        <f t="array" ref="W783">IF($F783&lt;&gt;"",XLOOKUP($F783,Productos!$A:$A,Productos!P:P,"Revisar"),"")</f>
        <v/>
      </c>
      <c r="X783" s="179" t="str">
        <f t="array" ref="X783">IF($F783&lt;&gt;"", XLOOKUP($F783,Productos!$A$2:$A1001,Productos!Q$2:Q1001,"")*$G783,"")</f>
        <v/>
      </c>
      <c r="Y783" s="179" t="str">
        <f t="array" ref="Y783">IF($F783&lt;&gt;"",XLOOKUP($F783,Productos!$A:$A,Productos!R:R,"Revisar"),"")</f>
        <v/>
      </c>
      <c r="Z783" s="179" t="str">
        <f t="array" ref="Z783">IF($F783&lt;&gt;"", XLOOKUP($F783,Productos!$A$2:$A1001,Productos!S$2:S1001,"")*$G783,"")</f>
        <v/>
      </c>
      <c r="AA783" s="179" t="str">
        <f t="array" ref="AA783">IF($F783&lt;&gt;"",XLOOKUP($F783,Productos!$A:$A,Productos!T:T,"Revisar"),"")</f>
        <v/>
      </c>
      <c r="AB783" s="179" t="str">
        <f t="array" ref="AB783">IF($F783&lt;&gt;"", XLOOKUP($F783,Productos!$A$2:$A1001,Productos!U$2:U1001,"")*$G783,"")</f>
        <v/>
      </c>
      <c r="AC783" s="179" t="str">
        <f t="array" ref="AC783">IF($F783&lt;&gt;"",XLOOKUP($F783,Productos!$A:$A,Productos!V:V,"Revisar"),"")</f>
        <v/>
      </c>
      <c r="AD783" s="179" t="str">
        <f t="array" ref="AD783">IF($F783&lt;&gt;"", XLOOKUP($F783,Productos!$A$2:$A1001,Productos!W$2:W1001,"")*$G783,"")</f>
        <v/>
      </c>
      <c r="AE783" s="179" t="str">
        <f t="array" ref="AE783">IF($F783&lt;&gt;"",XLOOKUP($F783,Productos!$A:$A,Productos!X:X,"Revisar"),"")</f>
        <v/>
      </c>
      <c r="AF783" s="179" t="str">
        <f t="array" ref="AF783">IF($F783&lt;&gt;"", XLOOKUP($F783,Productos!$A$2:$A1001,Productos!Y$2:Y1001,"")*$G783,"")</f>
        <v/>
      </c>
      <c r="AG783" s="179" t="str">
        <f t="array" ref="AG783">IF($F783&lt;&gt;"",XLOOKUP($F783,Productos!$A:$A,Productos!Z:Z,"Revisar"),"")</f>
        <v/>
      </c>
      <c r="AH783" s="179" t="str">
        <f t="array" ref="AH783">IF($F783&lt;&gt;"", XLOOKUP($F783,Productos!$A$2:$A1001,Productos!AA$2:AA1001,"")*$G783,"")</f>
        <v/>
      </c>
      <c r="AI783" s="179" t="str">
        <f t="array" ref="AI783">IF($F783&lt;&gt;"",XLOOKUP($F783,Productos!$A:$A,Productos!AB:AB,"Revisar"),"")</f>
        <v/>
      </c>
      <c r="AJ783" s="179" t="str">
        <f t="array" ref="AJ783">IF($F783&lt;&gt;"", XLOOKUP($F783,Productos!$A$2:$A1001,Productos!AC$2:AC1001,"")*$G783,"")</f>
        <v/>
      </c>
      <c r="AK783" s="179" t="str">
        <f t="array" ref="AK783">IF($F783&lt;&gt;"",XLOOKUP($F783,Productos!$A:$A,Productos!AD:AD,"Revisar"),"")</f>
        <v/>
      </c>
      <c r="AL783" s="179" t="str">
        <f t="array" ref="AL783">IF($F783&lt;&gt;"", XLOOKUP($F783,Productos!$A$2:$A1001,Productos!AE$2:AE1001,"")*$G783,"")</f>
        <v/>
      </c>
      <c r="AM783" s="179" t="str">
        <f t="array" ref="AM783">IF($F783&lt;&gt;"",XLOOKUP($F783,Productos!$A:$A,Productos!AF:AF,"Revisar"),"")</f>
        <v/>
      </c>
      <c r="AN783" s="179" t="str">
        <f t="array" ref="AN783">IF($F783&lt;&gt;"", XLOOKUP($F783,Productos!$A$2:$A1001,Productos!AG$2:AG1001,"")*$G783,"")</f>
        <v/>
      </c>
      <c r="AO783" s="179" t="str">
        <f t="array" ref="AO783">IF($F783&lt;&gt;"",XLOOKUP($F783,Productos!$A:$A,Productos!AH:AH,"Revisar"),"")</f>
        <v/>
      </c>
      <c r="AP783" s="179" t="str">
        <f t="array" ref="AP783">IF($F783&lt;&gt;"", XLOOKUP($F783,Productos!$A$2:$A1001,Productos!AI$2:AI1001,"")*$G783,"")</f>
        <v/>
      </c>
      <c r="AQ783" s="179" t="str">
        <f t="array" ref="AQ783">IF($F783&lt;&gt;"",XLOOKUP($F783,Productos!$A:$A,Productos!AJ:AJ,"Revisar"),"")</f>
        <v/>
      </c>
      <c r="AR783" s="179" t="str">
        <f t="array" ref="AR783">IF($F783&lt;&gt;"", XLOOKUP($F783,Productos!$A$2:$A1001,Productos!AK$2:AK1001,"")*$G783,"")</f>
        <v/>
      </c>
      <c r="AS783" s="179" t="str">
        <f t="array" ref="AS783">IF($F783&lt;&gt;"",XLOOKUP($F783,Productos!$A:$A,Productos!AL:AL,"Revisar"),"")</f>
        <v/>
      </c>
      <c r="AT783" s="179" t="str">
        <f t="array" ref="AT783">IF($F783&lt;&gt;"", XLOOKUP($F783,Productos!$A$2:$A1001,Productos!AM$2:AM1001,"")*$G783,"")</f>
        <v/>
      </c>
      <c r="AU783" s="179" t="str">
        <f t="array" ref="AU783">IF($F783&lt;&gt;"",XLOOKUP($F783,Productos!$A:$A,Productos!AN:AN,"Revisar"),"")</f>
        <v/>
      </c>
      <c r="AV783" s="179" t="str">
        <f t="array" ref="AV783">IF($F783&lt;&gt;"", XLOOKUP($F783,Productos!$A$2:$A1001,Productos!AO$2:AO1001,"")*$G783,"")</f>
        <v/>
      </c>
      <c r="AW783" s="179" t="str">
        <f t="array" ref="AW783">IF($F783&lt;&gt;"",XLOOKUP($F783,Productos!$A:$A,Productos!AP:AP,"Revisar"),"")</f>
        <v/>
      </c>
      <c r="AX783" s="179" t="str">
        <f t="array" ref="AX783">IF($F783&lt;&gt;"", XLOOKUP($F783,Productos!$A$2:$A1001,Productos!AQ$2:AQ1001,"")*$G783,"")</f>
        <v/>
      </c>
      <c r="AY783" s="179" t="str">
        <f t="array" ref="AY783">IF($F783&lt;&gt;"",XLOOKUP($F783,Productos!$A:$A,Productos!AR:AR,"Revisar"),"")</f>
        <v/>
      </c>
      <c r="AZ783" s="179" t="str">
        <f t="array" ref="AZ783">IF($F783&lt;&gt;"", XLOOKUP($F783,Productos!$A$2:$A1001,Productos!AS$2:AS1001,"")*$G783,"")</f>
        <v/>
      </c>
      <c r="BA783" s="179" t="str">
        <f t="array" ref="BA783">IF($F783&lt;&gt;"",XLOOKUP($F783,Productos!$A:$A,Productos!AT:AT,"Revisar"),"")</f>
        <v/>
      </c>
      <c r="BB783" s="179" t="str">
        <f t="array" ref="BB783">IF($F783&lt;&gt;"", XLOOKUP($F783,Productos!$A$2:$A1001,Productos!AU$2:AU1001,"")*$G783,"")</f>
        <v/>
      </c>
      <c r="BC783" s="179" t="str">
        <f t="array" ref="BC783">IF($F783&lt;&gt;"",XLOOKUP($F783,Productos!$A:$A,Productos!AV:AV,"Revisar"),"")</f>
        <v/>
      </c>
      <c r="BD783" s="179" t="str">
        <f t="array" ref="BD783">IF($F783&lt;&gt;"", XLOOKUP($F783,Productos!$A$2:$A1001,Productos!AW$2:AW1001,"")*$G783,"")</f>
        <v/>
      </c>
      <c r="BE783" s="179" t="str">
        <f t="array" ref="BE783">IF($F783&lt;&gt;"",XLOOKUP($F783,Productos!$A:$A,Productos!AX:AX,"Revisar"),"")</f>
        <v/>
      </c>
      <c r="BF783" s="179" t="str">
        <f t="array" ref="BF783">IF($F783&lt;&gt;"", XLOOKUP($F783,Productos!$A$2:$A1001,Productos!AY$2:AY1001,"")*$G783,"")</f>
        <v/>
      </c>
      <c r="BG783" s="179" t="str">
        <f t="array" ref="BG783">IF($F783&lt;&gt;"",XLOOKUP($F783,Productos!$A:$A,Productos!AZ:AZ,"Revisar"),"")</f>
        <v/>
      </c>
      <c r="BH783" s="179" t="str">
        <f t="array" ref="BH783">IF($F783&lt;&gt;"", XLOOKUP($F783,Productos!$A$2:$A1001,Productos!BA$2:BA1001,"")*$G783,"")</f>
        <v/>
      </c>
      <c r="BI783" s="179" t="str">
        <f t="array" ref="BI783">IF($F783&lt;&gt;"",XLOOKUP($F783,Productos!$A:$A,Productos!BB:BB,"Revisar"),"")</f>
        <v/>
      </c>
      <c r="BJ783" s="179" t="str">
        <f t="array" ref="BJ783">IF($F783&lt;&gt;"", XLOOKUP($F783,Productos!$A$2:$A1001,Productos!BC$2:BC1001,"")*$G783,"")</f>
        <v/>
      </c>
      <c r="BK783" s="179" t="str">
        <f t="array" ref="BK783">IF($F783&lt;&gt;"",XLOOKUP($F783,Productos!$A:$A,Productos!BD:BD,"Revisar"),"")</f>
        <v/>
      </c>
      <c r="BL783" s="179" t="str">
        <f t="array" ref="BL783">IF($F783&lt;&gt;"", XLOOKUP($F783,Productos!$A$2:$A1001,Productos!BE$2:BE1001,"")*$G783,"")</f>
        <v/>
      </c>
      <c r="BM783" s="179" t="str">
        <f t="array" ref="BM783">IF($F783&lt;&gt;"",XLOOKUP($F783,Productos!$A:$A,Productos!BF:BF,"Revisar"),"")</f>
        <v/>
      </c>
      <c r="BN783" s="179" t="str">
        <f t="array" ref="BN783">IF($F783&lt;&gt;"", XLOOKUP($F783,Productos!$A$2:$A1001,Productos!BG$2:BG1001,"")*$G783,"")</f>
        <v/>
      </c>
      <c r="BO783" s="179" t="str">
        <f t="array" ref="BO783">IF($F783&lt;&gt;"",XLOOKUP($F783,Productos!$A:$A,Productos!BH:BH,"Revisar"),"")</f>
        <v/>
      </c>
      <c r="BP783" s="179" t="str">
        <f t="array" ref="BP783">IF($F783&lt;&gt;"", XLOOKUP($F783,Productos!$A$2:$A1001,Productos!BI$2:BI1001,"")*$G783,"")</f>
        <v/>
      </c>
      <c r="BQ783" s="179" t="str">
        <f t="array" ref="BQ783">IF($F783&lt;&gt;"",XLOOKUP($F783,Productos!$A:$A,Productos!BJ:BJ,"Revisar"),"")</f>
        <v/>
      </c>
      <c r="BR783" s="179" t="str">
        <f t="array" ref="BR783">IF($F783&lt;&gt;"", XLOOKUP($F783,Productos!$A$2:$A1001,Productos!BK$2:BK1001,"")*$G783,"")</f>
        <v/>
      </c>
      <c r="BS783" s="179" t="str">
        <f t="array" ref="BS783">IF($F783&lt;&gt;"",XLOOKUP($F783,Productos!$A:$A,Productos!BL:BL,"Revisar"),"")</f>
        <v/>
      </c>
      <c r="BT783" s="179" t="str">
        <f t="array" ref="BT783">IF($F783&lt;&gt;"", XLOOKUP($F783,Productos!$A$2:$A1001,Productos!BM$2:BM1001,"")*$G783,"")</f>
        <v/>
      </c>
      <c r="BU783" s="179" t="str">
        <f t="array" ref="BU783">IF($F783&lt;&gt;"",XLOOKUP($F783,Productos!$A:$A,Productos!BN:BN,"Revisar"),"")</f>
        <v/>
      </c>
      <c r="BV783" s="179" t="str">
        <f t="array" ref="BV783">IF($F783&lt;&gt;"", XLOOKUP($F783,Productos!$A$2:$A1001,Productos!BO$2:BO1001,"")*$G783,"")</f>
        <v/>
      </c>
      <c r="BW783" s="179" t="str">
        <f t="array" ref="BW783">IF($F783&lt;&gt;"",XLOOKUP($F783,Productos!$A:$A,Productos!BP:BP,"Revisar"),"")</f>
        <v/>
      </c>
      <c r="BX783" s="179" t="str">
        <f t="array" ref="BX783">IF($F783&lt;&gt;"", XLOOKUP($F783,Productos!$A$2:$A1001,Productos!BQ$2:BQ1001,"")*$G783,"")</f>
        <v/>
      </c>
      <c r="BY783" s="179" t="str">
        <f t="array" ref="BY783">IF($F783&lt;&gt;"",XLOOKUP($F783,Productos!$A:$A,Productos!BR:BR,"Revisar"),"")</f>
        <v/>
      </c>
      <c r="BZ783" s="179" t="str">
        <f t="array" ref="BZ783">IF($F783&lt;&gt;"", XLOOKUP($F783,Productos!$A$2:$A1001,Productos!BS$2:BS1001,"")*$G783,"")</f>
        <v/>
      </c>
    </row>
    <row r="784">
      <c r="A784" s="188"/>
      <c r="B784" s="189"/>
      <c r="C784" s="190"/>
      <c r="D784" s="190"/>
      <c r="E784" s="191"/>
      <c r="F784" s="186"/>
      <c r="G784" s="192"/>
      <c r="H784" s="9"/>
      <c r="I784" s="179" t="str">
        <f t="array" ref="I784">IF($F784&lt;&gt;"",XLOOKUP($F784,Productos!$A:$A,Productos!B:B,"Revisar"),"")</f>
        <v/>
      </c>
      <c r="J784" s="179" t="str">
        <f t="array" ref="J784">IF($F784&lt;&gt;"", XLOOKUP($F784,Productos!$A$2:$A1001,Productos!C$2:C1001,"")*$G784,"")</f>
        <v/>
      </c>
      <c r="K784" s="179" t="str">
        <f t="array" ref="K784">IF($F784&lt;&gt;"",XLOOKUP($F784,Productos!$A:$A,Productos!D:D,"Revisar"),"")</f>
        <v/>
      </c>
      <c r="L784" s="179" t="str">
        <f t="array" ref="L784">IF($F784&lt;&gt;"", XLOOKUP($F784,Productos!$A$2:$A1001,Productos!E$2:E1001,"")*$G784,"")</f>
        <v/>
      </c>
      <c r="M784" s="179" t="str">
        <f t="array" ref="M784">IF($F784&lt;&gt;"",XLOOKUP($F784,Productos!$A:$A,Productos!F:F,"Revisar"),"")</f>
        <v/>
      </c>
      <c r="N784" s="179" t="str">
        <f t="array" ref="N784">IF($F784&lt;&gt;"", XLOOKUP($F784,Productos!$A$2:$A1001,Productos!G$2:G1001,"")*$G784,"")</f>
        <v/>
      </c>
      <c r="O784" s="179" t="str">
        <f t="array" ref="O784">IF($F784&lt;&gt;"",XLOOKUP($F784,Productos!$A:$A,Productos!H:H,"Revisar"),"")</f>
        <v/>
      </c>
      <c r="P784" s="179" t="str">
        <f t="array" ref="P784">IF($F784&lt;&gt;"", XLOOKUP($F784,Productos!$A$2:$A1001,Productos!I$2:I1001,"")*$G784,"")</f>
        <v/>
      </c>
      <c r="Q784" s="179" t="str">
        <f t="array" ref="Q784">IF($F784&lt;&gt;"",XLOOKUP($F784,Productos!$A:$A,Productos!J:J,"Revisar"),"")</f>
        <v/>
      </c>
      <c r="R784" s="179" t="str">
        <f t="array" ref="R784">IF($F784&lt;&gt;"", XLOOKUP($F784,Productos!$A$2:$A1001,Productos!K$2:K1001,"")*$G784,"")</f>
        <v/>
      </c>
      <c r="S784" s="179" t="str">
        <f t="array" ref="S784">IF($F784&lt;&gt;"",XLOOKUP($F784,Productos!$A:$A,Productos!L:L,"Revisar"),"")</f>
        <v/>
      </c>
      <c r="T784" s="179" t="str">
        <f t="array" ref="T784">IF($F784&lt;&gt;"", XLOOKUP($F784,Productos!$A$2:$A1001,Productos!M$2:M1001,"")*$G784,"")</f>
        <v/>
      </c>
      <c r="U784" s="179" t="str">
        <f t="array" ref="U784">IF($F784&lt;&gt;"",XLOOKUP($F784,Productos!$A:$A,Productos!N:N,"Revisar"),"")</f>
        <v/>
      </c>
      <c r="V784" s="179" t="str">
        <f t="array" ref="V784">IF($F784&lt;&gt;"", XLOOKUP($F784,Productos!$A$2:$A1001,Productos!O$2:O1001,"")*$G784,"")</f>
        <v/>
      </c>
      <c r="W784" s="179" t="str">
        <f t="array" ref="W784">IF($F784&lt;&gt;"",XLOOKUP($F784,Productos!$A:$A,Productos!P:P,"Revisar"),"")</f>
        <v/>
      </c>
      <c r="X784" s="179" t="str">
        <f t="array" ref="X784">IF($F784&lt;&gt;"", XLOOKUP($F784,Productos!$A$2:$A1001,Productos!Q$2:Q1001,"")*$G784,"")</f>
        <v/>
      </c>
      <c r="Y784" s="179" t="str">
        <f t="array" ref="Y784">IF($F784&lt;&gt;"",XLOOKUP($F784,Productos!$A:$A,Productos!R:R,"Revisar"),"")</f>
        <v/>
      </c>
      <c r="Z784" s="179" t="str">
        <f t="array" ref="Z784">IF($F784&lt;&gt;"", XLOOKUP($F784,Productos!$A$2:$A1001,Productos!S$2:S1001,"")*$G784,"")</f>
        <v/>
      </c>
      <c r="AA784" s="179" t="str">
        <f t="array" ref="AA784">IF($F784&lt;&gt;"",XLOOKUP($F784,Productos!$A:$A,Productos!T:T,"Revisar"),"")</f>
        <v/>
      </c>
      <c r="AB784" s="179" t="str">
        <f t="array" ref="AB784">IF($F784&lt;&gt;"", XLOOKUP($F784,Productos!$A$2:$A1001,Productos!U$2:U1001,"")*$G784,"")</f>
        <v/>
      </c>
      <c r="AC784" s="179" t="str">
        <f t="array" ref="AC784">IF($F784&lt;&gt;"",XLOOKUP($F784,Productos!$A:$A,Productos!V:V,"Revisar"),"")</f>
        <v/>
      </c>
      <c r="AD784" s="179" t="str">
        <f t="array" ref="AD784">IF($F784&lt;&gt;"", XLOOKUP($F784,Productos!$A$2:$A1001,Productos!W$2:W1001,"")*$G784,"")</f>
        <v/>
      </c>
      <c r="AE784" s="179" t="str">
        <f t="array" ref="AE784">IF($F784&lt;&gt;"",XLOOKUP($F784,Productos!$A:$A,Productos!X:X,"Revisar"),"")</f>
        <v/>
      </c>
      <c r="AF784" s="179" t="str">
        <f t="array" ref="AF784">IF($F784&lt;&gt;"", XLOOKUP($F784,Productos!$A$2:$A1001,Productos!Y$2:Y1001,"")*$G784,"")</f>
        <v/>
      </c>
      <c r="AG784" s="179" t="str">
        <f t="array" ref="AG784">IF($F784&lt;&gt;"",XLOOKUP($F784,Productos!$A:$A,Productos!Z:Z,"Revisar"),"")</f>
        <v/>
      </c>
      <c r="AH784" s="179" t="str">
        <f t="array" ref="AH784">IF($F784&lt;&gt;"", XLOOKUP($F784,Productos!$A$2:$A1001,Productos!AA$2:AA1001,"")*$G784,"")</f>
        <v/>
      </c>
      <c r="AI784" s="179" t="str">
        <f t="array" ref="AI784">IF($F784&lt;&gt;"",XLOOKUP($F784,Productos!$A:$A,Productos!AB:AB,"Revisar"),"")</f>
        <v/>
      </c>
      <c r="AJ784" s="179" t="str">
        <f t="array" ref="AJ784">IF($F784&lt;&gt;"", XLOOKUP($F784,Productos!$A$2:$A1001,Productos!AC$2:AC1001,"")*$G784,"")</f>
        <v/>
      </c>
      <c r="AK784" s="179" t="str">
        <f t="array" ref="AK784">IF($F784&lt;&gt;"",XLOOKUP($F784,Productos!$A:$A,Productos!AD:AD,"Revisar"),"")</f>
        <v/>
      </c>
      <c r="AL784" s="179" t="str">
        <f t="array" ref="AL784">IF($F784&lt;&gt;"", XLOOKUP($F784,Productos!$A$2:$A1001,Productos!AE$2:AE1001,"")*$G784,"")</f>
        <v/>
      </c>
      <c r="AM784" s="179" t="str">
        <f t="array" ref="AM784">IF($F784&lt;&gt;"",XLOOKUP($F784,Productos!$A:$A,Productos!AF:AF,"Revisar"),"")</f>
        <v/>
      </c>
      <c r="AN784" s="179" t="str">
        <f t="array" ref="AN784">IF($F784&lt;&gt;"", XLOOKUP($F784,Productos!$A$2:$A1001,Productos!AG$2:AG1001,"")*$G784,"")</f>
        <v/>
      </c>
      <c r="AO784" s="179" t="str">
        <f t="array" ref="AO784">IF($F784&lt;&gt;"",XLOOKUP($F784,Productos!$A:$A,Productos!AH:AH,"Revisar"),"")</f>
        <v/>
      </c>
      <c r="AP784" s="179" t="str">
        <f t="array" ref="AP784">IF($F784&lt;&gt;"", XLOOKUP($F784,Productos!$A$2:$A1001,Productos!AI$2:AI1001,"")*$G784,"")</f>
        <v/>
      </c>
      <c r="AQ784" s="179" t="str">
        <f t="array" ref="AQ784">IF($F784&lt;&gt;"",XLOOKUP($F784,Productos!$A:$A,Productos!AJ:AJ,"Revisar"),"")</f>
        <v/>
      </c>
      <c r="AR784" s="179" t="str">
        <f t="array" ref="AR784">IF($F784&lt;&gt;"", XLOOKUP($F784,Productos!$A$2:$A1001,Productos!AK$2:AK1001,"")*$G784,"")</f>
        <v/>
      </c>
      <c r="AS784" s="179" t="str">
        <f t="array" ref="AS784">IF($F784&lt;&gt;"",XLOOKUP($F784,Productos!$A:$A,Productos!AL:AL,"Revisar"),"")</f>
        <v/>
      </c>
      <c r="AT784" s="179" t="str">
        <f t="array" ref="AT784">IF($F784&lt;&gt;"", XLOOKUP($F784,Productos!$A$2:$A1001,Productos!AM$2:AM1001,"")*$G784,"")</f>
        <v/>
      </c>
      <c r="AU784" s="179" t="str">
        <f t="array" ref="AU784">IF($F784&lt;&gt;"",XLOOKUP($F784,Productos!$A:$A,Productos!AN:AN,"Revisar"),"")</f>
        <v/>
      </c>
      <c r="AV784" s="179" t="str">
        <f t="array" ref="AV784">IF($F784&lt;&gt;"", XLOOKUP($F784,Productos!$A$2:$A1001,Productos!AO$2:AO1001,"")*$G784,"")</f>
        <v/>
      </c>
      <c r="AW784" s="179" t="str">
        <f t="array" ref="AW784">IF($F784&lt;&gt;"",XLOOKUP($F784,Productos!$A:$A,Productos!AP:AP,"Revisar"),"")</f>
        <v/>
      </c>
      <c r="AX784" s="179" t="str">
        <f t="array" ref="AX784">IF($F784&lt;&gt;"", XLOOKUP($F784,Productos!$A$2:$A1001,Productos!AQ$2:AQ1001,"")*$G784,"")</f>
        <v/>
      </c>
      <c r="AY784" s="179" t="str">
        <f t="array" ref="AY784">IF($F784&lt;&gt;"",XLOOKUP($F784,Productos!$A:$A,Productos!AR:AR,"Revisar"),"")</f>
        <v/>
      </c>
      <c r="AZ784" s="179" t="str">
        <f t="array" ref="AZ784">IF($F784&lt;&gt;"", XLOOKUP($F784,Productos!$A$2:$A1001,Productos!AS$2:AS1001,"")*$G784,"")</f>
        <v/>
      </c>
      <c r="BA784" s="179" t="str">
        <f t="array" ref="BA784">IF($F784&lt;&gt;"",XLOOKUP($F784,Productos!$A:$A,Productos!AT:AT,"Revisar"),"")</f>
        <v/>
      </c>
      <c r="BB784" s="179" t="str">
        <f t="array" ref="BB784">IF($F784&lt;&gt;"", XLOOKUP($F784,Productos!$A$2:$A1001,Productos!AU$2:AU1001,"")*$G784,"")</f>
        <v/>
      </c>
      <c r="BC784" s="179" t="str">
        <f t="array" ref="BC784">IF($F784&lt;&gt;"",XLOOKUP($F784,Productos!$A:$A,Productos!AV:AV,"Revisar"),"")</f>
        <v/>
      </c>
      <c r="BD784" s="179" t="str">
        <f t="array" ref="BD784">IF($F784&lt;&gt;"", XLOOKUP($F784,Productos!$A$2:$A1001,Productos!AW$2:AW1001,"")*$G784,"")</f>
        <v/>
      </c>
      <c r="BE784" s="179" t="str">
        <f t="array" ref="BE784">IF($F784&lt;&gt;"",XLOOKUP($F784,Productos!$A:$A,Productos!AX:AX,"Revisar"),"")</f>
        <v/>
      </c>
      <c r="BF784" s="179" t="str">
        <f t="array" ref="BF784">IF($F784&lt;&gt;"", XLOOKUP($F784,Productos!$A$2:$A1001,Productos!AY$2:AY1001,"")*$G784,"")</f>
        <v/>
      </c>
      <c r="BG784" s="179" t="str">
        <f t="array" ref="BG784">IF($F784&lt;&gt;"",XLOOKUP($F784,Productos!$A:$A,Productos!AZ:AZ,"Revisar"),"")</f>
        <v/>
      </c>
      <c r="BH784" s="179" t="str">
        <f t="array" ref="BH784">IF($F784&lt;&gt;"", XLOOKUP($F784,Productos!$A$2:$A1001,Productos!BA$2:BA1001,"")*$G784,"")</f>
        <v/>
      </c>
      <c r="BI784" s="179" t="str">
        <f t="array" ref="BI784">IF($F784&lt;&gt;"",XLOOKUP($F784,Productos!$A:$A,Productos!BB:BB,"Revisar"),"")</f>
        <v/>
      </c>
      <c r="BJ784" s="179" t="str">
        <f t="array" ref="BJ784">IF($F784&lt;&gt;"", XLOOKUP($F784,Productos!$A$2:$A1001,Productos!BC$2:BC1001,"")*$G784,"")</f>
        <v/>
      </c>
      <c r="BK784" s="179" t="str">
        <f t="array" ref="BK784">IF($F784&lt;&gt;"",XLOOKUP($F784,Productos!$A:$A,Productos!BD:BD,"Revisar"),"")</f>
        <v/>
      </c>
      <c r="BL784" s="179" t="str">
        <f t="array" ref="BL784">IF($F784&lt;&gt;"", XLOOKUP($F784,Productos!$A$2:$A1001,Productos!BE$2:BE1001,"")*$G784,"")</f>
        <v/>
      </c>
      <c r="BM784" s="179" t="str">
        <f t="array" ref="BM784">IF($F784&lt;&gt;"",XLOOKUP($F784,Productos!$A:$A,Productos!BF:BF,"Revisar"),"")</f>
        <v/>
      </c>
      <c r="BN784" s="179" t="str">
        <f t="array" ref="BN784">IF($F784&lt;&gt;"", XLOOKUP($F784,Productos!$A$2:$A1001,Productos!BG$2:BG1001,"")*$G784,"")</f>
        <v/>
      </c>
      <c r="BO784" s="179" t="str">
        <f t="array" ref="BO784">IF($F784&lt;&gt;"",XLOOKUP($F784,Productos!$A:$A,Productos!BH:BH,"Revisar"),"")</f>
        <v/>
      </c>
      <c r="BP784" s="179" t="str">
        <f t="array" ref="BP784">IF($F784&lt;&gt;"", XLOOKUP($F784,Productos!$A$2:$A1001,Productos!BI$2:BI1001,"")*$G784,"")</f>
        <v/>
      </c>
      <c r="BQ784" s="179" t="str">
        <f t="array" ref="BQ784">IF($F784&lt;&gt;"",XLOOKUP($F784,Productos!$A:$A,Productos!BJ:BJ,"Revisar"),"")</f>
        <v/>
      </c>
      <c r="BR784" s="179" t="str">
        <f t="array" ref="BR784">IF($F784&lt;&gt;"", XLOOKUP($F784,Productos!$A$2:$A1001,Productos!BK$2:BK1001,"")*$G784,"")</f>
        <v/>
      </c>
      <c r="BS784" s="179" t="str">
        <f t="array" ref="BS784">IF($F784&lt;&gt;"",XLOOKUP($F784,Productos!$A:$A,Productos!BL:BL,"Revisar"),"")</f>
        <v/>
      </c>
      <c r="BT784" s="179" t="str">
        <f t="array" ref="BT784">IF($F784&lt;&gt;"", XLOOKUP($F784,Productos!$A$2:$A1001,Productos!BM$2:BM1001,"")*$G784,"")</f>
        <v/>
      </c>
      <c r="BU784" s="179" t="str">
        <f t="array" ref="BU784">IF($F784&lt;&gt;"",XLOOKUP($F784,Productos!$A:$A,Productos!BN:BN,"Revisar"),"")</f>
        <v/>
      </c>
      <c r="BV784" s="179" t="str">
        <f t="array" ref="BV784">IF($F784&lt;&gt;"", XLOOKUP($F784,Productos!$A$2:$A1001,Productos!BO$2:BO1001,"")*$G784,"")</f>
        <v/>
      </c>
      <c r="BW784" s="179" t="str">
        <f t="array" ref="BW784">IF($F784&lt;&gt;"",XLOOKUP($F784,Productos!$A:$A,Productos!BP:BP,"Revisar"),"")</f>
        <v/>
      </c>
      <c r="BX784" s="179" t="str">
        <f t="array" ref="BX784">IF($F784&lt;&gt;"", XLOOKUP($F784,Productos!$A$2:$A1001,Productos!BQ$2:BQ1001,"")*$G784,"")</f>
        <v/>
      </c>
      <c r="BY784" s="179" t="str">
        <f t="array" ref="BY784">IF($F784&lt;&gt;"",XLOOKUP($F784,Productos!$A:$A,Productos!BR:BR,"Revisar"),"")</f>
        <v/>
      </c>
      <c r="BZ784" s="179" t="str">
        <f t="array" ref="BZ784">IF($F784&lt;&gt;"", XLOOKUP($F784,Productos!$A$2:$A1001,Productos!BS$2:BS1001,"")*$G784,"")</f>
        <v/>
      </c>
    </row>
    <row r="785">
      <c r="A785" s="188"/>
      <c r="B785" s="189"/>
      <c r="C785" s="190"/>
      <c r="D785" s="190"/>
      <c r="E785" s="191"/>
      <c r="F785" s="186"/>
      <c r="G785" s="192"/>
      <c r="H785" s="9"/>
      <c r="I785" s="179" t="str">
        <f t="array" ref="I785">IF($F785&lt;&gt;"",XLOOKUP($F785,Productos!$A:$A,Productos!B:B,"Revisar"),"")</f>
        <v/>
      </c>
      <c r="J785" s="179" t="str">
        <f t="array" ref="J785">IF($F785&lt;&gt;"", XLOOKUP($F785,Productos!$A$2:$A1001,Productos!C$2:C1001,"")*$G785,"")</f>
        <v/>
      </c>
      <c r="K785" s="179" t="str">
        <f t="array" ref="K785">IF($F785&lt;&gt;"",XLOOKUP($F785,Productos!$A:$A,Productos!D:D,"Revisar"),"")</f>
        <v/>
      </c>
      <c r="L785" s="179" t="str">
        <f t="array" ref="L785">IF($F785&lt;&gt;"", XLOOKUP($F785,Productos!$A$2:$A1001,Productos!E$2:E1001,"")*$G785,"")</f>
        <v/>
      </c>
      <c r="M785" s="179" t="str">
        <f t="array" ref="M785">IF($F785&lt;&gt;"",XLOOKUP($F785,Productos!$A:$A,Productos!F:F,"Revisar"),"")</f>
        <v/>
      </c>
      <c r="N785" s="179" t="str">
        <f t="array" ref="N785">IF($F785&lt;&gt;"", XLOOKUP($F785,Productos!$A$2:$A1001,Productos!G$2:G1001,"")*$G785,"")</f>
        <v/>
      </c>
      <c r="O785" s="179" t="str">
        <f t="array" ref="O785">IF($F785&lt;&gt;"",XLOOKUP($F785,Productos!$A:$A,Productos!H:H,"Revisar"),"")</f>
        <v/>
      </c>
      <c r="P785" s="179" t="str">
        <f t="array" ref="P785">IF($F785&lt;&gt;"", XLOOKUP($F785,Productos!$A$2:$A1001,Productos!I$2:I1001,"")*$G785,"")</f>
        <v/>
      </c>
      <c r="Q785" s="179" t="str">
        <f t="array" ref="Q785">IF($F785&lt;&gt;"",XLOOKUP($F785,Productos!$A:$A,Productos!J:J,"Revisar"),"")</f>
        <v/>
      </c>
      <c r="R785" s="179" t="str">
        <f t="array" ref="R785">IF($F785&lt;&gt;"", XLOOKUP($F785,Productos!$A$2:$A1001,Productos!K$2:K1001,"")*$G785,"")</f>
        <v/>
      </c>
      <c r="S785" s="179" t="str">
        <f t="array" ref="S785">IF($F785&lt;&gt;"",XLOOKUP($F785,Productos!$A:$A,Productos!L:L,"Revisar"),"")</f>
        <v/>
      </c>
      <c r="T785" s="179" t="str">
        <f t="array" ref="T785">IF($F785&lt;&gt;"", XLOOKUP($F785,Productos!$A$2:$A1001,Productos!M$2:M1001,"")*$G785,"")</f>
        <v/>
      </c>
      <c r="U785" s="179" t="str">
        <f t="array" ref="U785">IF($F785&lt;&gt;"",XLOOKUP($F785,Productos!$A:$A,Productos!N:N,"Revisar"),"")</f>
        <v/>
      </c>
      <c r="V785" s="179" t="str">
        <f t="array" ref="V785">IF($F785&lt;&gt;"", XLOOKUP($F785,Productos!$A$2:$A1001,Productos!O$2:O1001,"")*$G785,"")</f>
        <v/>
      </c>
      <c r="W785" s="179" t="str">
        <f t="array" ref="W785">IF($F785&lt;&gt;"",XLOOKUP($F785,Productos!$A:$A,Productos!P:P,"Revisar"),"")</f>
        <v/>
      </c>
      <c r="X785" s="179" t="str">
        <f t="array" ref="X785">IF($F785&lt;&gt;"", XLOOKUP($F785,Productos!$A$2:$A1001,Productos!Q$2:Q1001,"")*$G785,"")</f>
        <v/>
      </c>
      <c r="Y785" s="179" t="str">
        <f t="array" ref="Y785">IF($F785&lt;&gt;"",XLOOKUP($F785,Productos!$A:$A,Productos!R:R,"Revisar"),"")</f>
        <v/>
      </c>
      <c r="Z785" s="179" t="str">
        <f t="array" ref="Z785">IF($F785&lt;&gt;"", XLOOKUP($F785,Productos!$A$2:$A1001,Productos!S$2:S1001,"")*$G785,"")</f>
        <v/>
      </c>
      <c r="AA785" s="179" t="str">
        <f t="array" ref="AA785">IF($F785&lt;&gt;"",XLOOKUP($F785,Productos!$A:$A,Productos!T:T,"Revisar"),"")</f>
        <v/>
      </c>
      <c r="AB785" s="179" t="str">
        <f t="array" ref="AB785">IF($F785&lt;&gt;"", XLOOKUP($F785,Productos!$A$2:$A1001,Productos!U$2:U1001,"")*$G785,"")</f>
        <v/>
      </c>
      <c r="AC785" s="179" t="str">
        <f t="array" ref="AC785">IF($F785&lt;&gt;"",XLOOKUP($F785,Productos!$A:$A,Productos!V:V,"Revisar"),"")</f>
        <v/>
      </c>
      <c r="AD785" s="179" t="str">
        <f t="array" ref="AD785">IF($F785&lt;&gt;"", XLOOKUP($F785,Productos!$A$2:$A1001,Productos!W$2:W1001,"")*$G785,"")</f>
        <v/>
      </c>
      <c r="AE785" s="179" t="str">
        <f t="array" ref="AE785">IF($F785&lt;&gt;"",XLOOKUP($F785,Productos!$A:$A,Productos!X:X,"Revisar"),"")</f>
        <v/>
      </c>
      <c r="AF785" s="179" t="str">
        <f t="array" ref="AF785">IF($F785&lt;&gt;"", XLOOKUP($F785,Productos!$A$2:$A1001,Productos!Y$2:Y1001,"")*$G785,"")</f>
        <v/>
      </c>
      <c r="AG785" s="179" t="str">
        <f t="array" ref="AG785">IF($F785&lt;&gt;"",XLOOKUP($F785,Productos!$A:$A,Productos!Z:Z,"Revisar"),"")</f>
        <v/>
      </c>
      <c r="AH785" s="179" t="str">
        <f t="array" ref="AH785">IF($F785&lt;&gt;"", XLOOKUP($F785,Productos!$A$2:$A1001,Productos!AA$2:AA1001,"")*$G785,"")</f>
        <v/>
      </c>
      <c r="AI785" s="179" t="str">
        <f t="array" ref="AI785">IF($F785&lt;&gt;"",XLOOKUP($F785,Productos!$A:$A,Productos!AB:AB,"Revisar"),"")</f>
        <v/>
      </c>
      <c r="AJ785" s="179" t="str">
        <f t="array" ref="AJ785">IF($F785&lt;&gt;"", XLOOKUP($F785,Productos!$A$2:$A1001,Productos!AC$2:AC1001,"")*$G785,"")</f>
        <v/>
      </c>
      <c r="AK785" s="179" t="str">
        <f t="array" ref="AK785">IF($F785&lt;&gt;"",XLOOKUP($F785,Productos!$A:$A,Productos!AD:AD,"Revisar"),"")</f>
        <v/>
      </c>
      <c r="AL785" s="179" t="str">
        <f t="array" ref="AL785">IF($F785&lt;&gt;"", XLOOKUP($F785,Productos!$A$2:$A1001,Productos!AE$2:AE1001,"")*$G785,"")</f>
        <v/>
      </c>
      <c r="AM785" s="179" t="str">
        <f t="array" ref="AM785">IF($F785&lt;&gt;"",XLOOKUP($F785,Productos!$A:$A,Productos!AF:AF,"Revisar"),"")</f>
        <v/>
      </c>
      <c r="AN785" s="179" t="str">
        <f t="array" ref="AN785">IF($F785&lt;&gt;"", XLOOKUP($F785,Productos!$A$2:$A1001,Productos!AG$2:AG1001,"")*$G785,"")</f>
        <v/>
      </c>
      <c r="AO785" s="179" t="str">
        <f t="array" ref="AO785">IF($F785&lt;&gt;"",XLOOKUP($F785,Productos!$A:$A,Productos!AH:AH,"Revisar"),"")</f>
        <v/>
      </c>
      <c r="AP785" s="179" t="str">
        <f t="array" ref="AP785">IF($F785&lt;&gt;"", XLOOKUP($F785,Productos!$A$2:$A1001,Productos!AI$2:AI1001,"")*$G785,"")</f>
        <v/>
      </c>
      <c r="AQ785" s="179" t="str">
        <f t="array" ref="AQ785">IF($F785&lt;&gt;"",XLOOKUP($F785,Productos!$A:$A,Productos!AJ:AJ,"Revisar"),"")</f>
        <v/>
      </c>
      <c r="AR785" s="179" t="str">
        <f t="array" ref="AR785">IF($F785&lt;&gt;"", XLOOKUP($F785,Productos!$A$2:$A1001,Productos!AK$2:AK1001,"")*$G785,"")</f>
        <v/>
      </c>
      <c r="AS785" s="179" t="str">
        <f t="array" ref="AS785">IF($F785&lt;&gt;"",XLOOKUP($F785,Productos!$A:$A,Productos!AL:AL,"Revisar"),"")</f>
        <v/>
      </c>
      <c r="AT785" s="179" t="str">
        <f t="array" ref="AT785">IF($F785&lt;&gt;"", XLOOKUP($F785,Productos!$A$2:$A1001,Productos!AM$2:AM1001,"")*$G785,"")</f>
        <v/>
      </c>
      <c r="AU785" s="179" t="str">
        <f t="array" ref="AU785">IF($F785&lt;&gt;"",XLOOKUP($F785,Productos!$A:$A,Productos!AN:AN,"Revisar"),"")</f>
        <v/>
      </c>
      <c r="AV785" s="179" t="str">
        <f t="array" ref="AV785">IF($F785&lt;&gt;"", XLOOKUP($F785,Productos!$A$2:$A1001,Productos!AO$2:AO1001,"")*$G785,"")</f>
        <v/>
      </c>
      <c r="AW785" s="179" t="str">
        <f t="array" ref="AW785">IF($F785&lt;&gt;"",XLOOKUP($F785,Productos!$A:$A,Productos!AP:AP,"Revisar"),"")</f>
        <v/>
      </c>
      <c r="AX785" s="179" t="str">
        <f t="array" ref="AX785">IF($F785&lt;&gt;"", XLOOKUP($F785,Productos!$A$2:$A1001,Productos!AQ$2:AQ1001,"")*$G785,"")</f>
        <v/>
      </c>
      <c r="AY785" s="179" t="str">
        <f t="array" ref="AY785">IF($F785&lt;&gt;"",XLOOKUP($F785,Productos!$A:$A,Productos!AR:AR,"Revisar"),"")</f>
        <v/>
      </c>
      <c r="AZ785" s="179" t="str">
        <f t="array" ref="AZ785">IF($F785&lt;&gt;"", XLOOKUP($F785,Productos!$A$2:$A1001,Productos!AS$2:AS1001,"")*$G785,"")</f>
        <v/>
      </c>
      <c r="BA785" s="179" t="str">
        <f t="array" ref="BA785">IF($F785&lt;&gt;"",XLOOKUP($F785,Productos!$A:$A,Productos!AT:AT,"Revisar"),"")</f>
        <v/>
      </c>
      <c r="BB785" s="179" t="str">
        <f t="array" ref="BB785">IF($F785&lt;&gt;"", XLOOKUP($F785,Productos!$A$2:$A1001,Productos!AU$2:AU1001,"")*$G785,"")</f>
        <v/>
      </c>
      <c r="BC785" s="179" t="str">
        <f t="array" ref="BC785">IF($F785&lt;&gt;"",XLOOKUP($F785,Productos!$A:$A,Productos!AV:AV,"Revisar"),"")</f>
        <v/>
      </c>
      <c r="BD785" s="179" t="str">
        <f t="array" ref="BD785">IF($F785&lt;&gt;"", XLOOKUP($F785,Productos!$A$2:$A1001,Productos!AW$2:AW1001,"")*$G785,"")</f>
        <v/>
      </c>
      <c r="BE785" s="179" t="str">
        <f t="array" ref="BE785">IF($F785&lt;&gt;"",XLOOKUP($F785,Productos!$A:$A,Productos!AX:AX,"Revisar"),"")</f>
        <v/>
      </c>
      <c r="BF785" s="179" t="str">
        <f t="array" ref="BF785">IF($F785&lt;&gt;"", XLOOKUP($F785,Productos!$A$2:$A1001,Productos!AY$2:AY1001,"")*$G785,"")</f>
        <v/>
      </c>
      <c r="BG785" s="179" t="str">
        <f t="array" ref="BG785">IF($F785&lt;&gt;"",XLOOKUP($F785,Productos!$A:$A,Productos!AZ:AZ,"Revisar"),"")</f>
        <v/>
      </c>
      <c r="BH785" s="179" t="str">
        <f t="array" ref="BH785">IF($F785&lt;&gt;"", XLOOKUP($F785,Productos!$A$2:$A1001,Productos!BA$2:BA1001,"")*$G785,"")</f>
        <v/>
      </c>
      <c r="BI785" s="179" t="str">
        <f t="array" ref="BI785">IF($F785&lt;&gt;"",XLOOKUP($F785,Productos!$A:$A,Productos!BB:BB,"Revisar"),"")</f>
        <v/>
      </c>
      <c r="BJ785" s="179" t="str">
        <f t="array" ref="BJ785">IF($F785&lt;&gt;"", XLOOKUP($F785,Productos!$A$2:$A1001,Productos!BC$2:BC1001,"")*$G785,"")</f>
        <v/>
      </c>
      <c r="BK785" s="179" t="str">
        <f t="array" ref="BK785">IF($F785&lt;&gt;"",XLOOKUP($F785,Productos!$A:$A,Productos!BD:BD,"Revisar"),"")</f>
        <v/>
      </c>
      <c r="BL785" s="179" t="str">
        <f t="array" ref="BL785">IF($F785&lt;&gt;"", XLOOKUP($F785,Productos!$A$2:$A1001,Productos!BE$2:BE1001,"")*$G785,"")</f>
        <v/>
      </c>
      <c r="BM785" s="179" t="str">
        <f t="array" ref="BM785">IF($F785&lt;&gt;"",XLOOKUP($F785,Productos!$A:$A,Productos!BF:BF,"Revisar"),"")</f>
        <v/>
      </c>
      <c r="BN785" s="179" t="str">
        <f t="array" ref="BN785">IF($F785&lt;&gt;"", XLOOKUP($F785,Productos!$A$2:$A1001,Productos!BG$2:BG1001,"")*$G785,"")</f>
        <v/>
      </c>
      <c r="BO785" s="179" t="str">
        <f t="array" ref="BO785">IF($F785&lt;&gt;"",XLOOKUP($F785,Productos!$A:$A,Productos!BH:BH,"Revisar"),"")</f>
        <v/>
      </c>
      <c r="BP785" s="179" t="str">
        <f t="array" ref="BP785">IF($F785&lt;&gt;"", XLOOKUP($F785,Productos!$A$2:$A1001,Productos!BI$2:BI1001,"")*$G785,"")</f>
        <v/>
      </c>
      <c r="BQ785" s="179" t="str">
        <f t="array" ref="BQ785">IF($F785&lt;&gt;"",XLOOKUP($F785,Productos!$A:$A,Productos!BJ:BJ,"Revisar"),"")</f>
        <v/>
      </c>
      <c r="BR785" s="179" t="str">
        <f t="array" ref="BR785">IF($F785&lt;&gt;"", XLOOKUP($F785,Productos!$A$2:$A1001,Productos!BK$2:BK1001,"")*$G785,"")</f>
        <v/>
      </c>
      <c r="BS785" s="179" t="str">
        <f t="array" ref="BS785">IF($F785&lt;&gt;"",XLOOKUP($F785,Productos!$A:$A,Productos!BL:BL,"Revisar"),"")</f>
        <v/>
      </c>
      <c r="BT785" s="179" t="str">
        <f t="array" ref="BT785">IF($F785&lt;&gt;"", XLOOKUP($F785,Productos!$A$2:$A1001,Productos!BM$2:BM1001,"")*$G785,"")</f>
        <v/>
      </c>
      <c r="BU785" s="179" t="str">
        <f t="array" ref="BU785">IF($F785&lt;&gt;"",XLOOKUP($F785,Productos!$A:$A,Productos!BN:BN,"Revisar"),"")</f>
        <v/>
      </c>
      <c r="BV785" s="179" t="str">
        <f t="array" ref="BV785">IF($F785&lt;&gt;"", XLOOKUP($F785,Productos!$A$2:$A1001,Productos!BO$2:BO1001,"")*$G785,"")</f>
        <v/>
      </c>
      <c r="BW785" s="179" t="str">
        <f t="array" ref="BW785">IF($F785&lt;&gt;"",XLOOKUP($F785,Productos!$A:$A,Productos!BP:BP,"Revisar"),"")</f>
        <v/>
      </c>
      <c r="BX785" s="179" t="str">
        <f t="array" ref="BX785">IF($F785&lt;&gt;"", XLOOKUP($F785,Productos!$A$2:$A1001,Productos!BQ$2:BQ1001,"")*$G785,"")</f>
        <v/>
      </c>
      <c r="BY785" s="179" t="str">
        <f t="array" ref="BY785">IF($F785&lt;&gt;"",XLOOKUP($F785,Productos!$A:$A,Productos!BR:BR,"Revisar"),"")</f>
        <v/>
      </c>
      <c r="BZ785" s="179" t="str">
        <f t="array" ref="BZ785">IF($F785&lt;&gt;"", XLOOKUP($F785,Productos!$A$2:$A1001,Productos!BS$2:BS1001,"")*$G785,"")</f>
        <v/>
      </c>
    </row>
    <row r="786">
      <c r="A786" s="188"/>
      <c r="B786" s="189"/>
      <c r="C786" s="190"/>
      <c r="D786" s="190"/>
      <c r="E786" s="191"/>
      <c r="F786" s="186"/>
      <c r="G786" s="192"/>
      <c r="H786" s="9"/>
      <c r="I786" s="179" t="str">
        <f t="array" ref="I786">IF($F786&lt;&gt;"",XLOOKUP($F786,Productos!$A:$A,Productos!B:B,"Revisar"),"")</f>
        <v/>
      </c>
      <c r="J786" s="179" t="str">
        <f t="array" ref="J786">IF($F786&lt;&gt;"", XLOOKUP($F786,Productos!$A$2:$A1001,Productos!C$2:C1001,"")*$G786,"")</f>
        <v/>
      </c>
      <c r="K786" s="179" t="str">
        <f t="array" ref="K786">IF($F786&lt;&gt;"",XLOOKUP($F786,Productos!$A:$A,Productos!D:D,"Revisar"),"")</f>
        <v/>
      </c>
      <c r="L786" s="179" t="str">
        <f t="array" ref="L786">IF($F786&lt;&gt;"", XLOOKUP($F786,Productos!$A$2:$A1001,Productos!E$2:E1001,"")*$G786,"")</f>
        <v/>
      </c>
      <c r="M786" s="179" t="str">
        <f t="array" ref="M786">IF($F786&lt;&gt;"",XLOOKUP($F786,Productos!$A:$A,Productos!F:F,"Revisar"),"")</f>
        <v/>
      </c>
      <c r="N786" s="179" t="str">
        <f t="array" ref="N786">IF($F786&lt;&gt;"", XLOOKUP($F786,Productos!$A$2:$A1001,Productos!G$2:G1001,"")*$G786,"")</f>
        <v/>
      </c>
      <c r="O786" s="179" t="str">
        <f t="array" ref="O786">IF($F786&lt;&gt;"",XLOOKUP($F786,Productos!$A:$A,Productos!H:H,"Revisar"),"")</f>
        <v/>
      </c>
      <c r="P786" s="179" t="str">
        <f t="array" ref="P786">IF($F786&lt;&gt;"", XLOOKUP($F786,Productos!$A$2:$A1001,Productos!I$2:I1001,"")*$G786,"")</f>
        <v/>
      </c>
      <c r="Q786" s="179" t="str">
        <f t="array" ref="Q786">IF($F786&lt;&gt;"",XLOOKUP($F786,Productos!$A:$A,Productos!J:J,"Revisar"),"")</f>
        <v/>
      </c>
      <c r="R786" s="179" t="str">
        <f t="array" ref="R786">IF($F786&lt;&gt;"", XLOOKUP($F786,Productos!$A$2:$A1001,Productos!K$2:K1001,"")*$G786,"")</f>
        <v/>
      </c>
      <c r="S786" s="179" t="str">
        <f t="array" ref="S786">IF($F786&lt;&gt;"",XLOOKUP($F786,Productos!$A:$A,Productos!L:L,"Revisar"),"")</f>
        <v/>
      </c>
      <c r="T786" s="179" t="str">
        <f t="array" ref="T786">IF($F786&lt;&gt;"", XLOOKUP($F786,Productos!$A$2:$A1001,Productos!M$2:M1001,"")*$G786,"")</f>
        <v/>
      </c>
      <c r="U786" s="179" t="str">
        <f t="array" ref="U786">IF($F786&lt;&gt;"",XLOOKUP($F786,Productos!$A:$A,Productos!N:N,"Revisar"),"")</f>
        <v/>
      </c>
      <c r="V786" s="179" t="str">
        <f t="array" ref="V786">IF($F786&lt;&gt;"", XLOOKUP($F786,Productos!$A$2:$A1001,Productos!O$2:O1001,"")*$G786,"")</f>
        <v/>
      </c>
      <c r="W786" s="179" t="str">
        <f t="array" ref="W786">IF($F786&lt;&gt;"",XLOOKUP($F786,Productos!$A:$A,Productos!P:P,"Revisar"),"")</f>
        <v/>
      </c>
      <c r="X786" s="179" t="str">
        <f t="array" ref="X786">IF($F786&lt;&gt;"", XLOOKUP($F786,Productos!$A$2:$A1001,Productos!Q$2:Q1001,"")*$G786,"")</f>
        <v/>
      </c>
      <c r="Y786" s="179" t="str">
        <f t="array" ref="Y786">IF($F786&lt;&gt;"",XLOOKUP($F786,Productos!$A:$A,Productos!R:R,"Revisar"),"")</f>
        <v/>
      </c>
      <c r="Z786" s="179" t="str">
        <f t="array" ref="Z786">IF($F786&lt;&gt;"", XLOOKUP($F786,Productos!$A$2:$A1001,Productos!S$2:S1001,"")*$G786,"")</f>
        <v/>
      </c>
      <c r="AA786" s="179" t="str">
        <f t="array" ref="AA786">IF($F786&lt;&gt;"",XLOOKUP($F786,Productos!$A:$A,Productos!T:T,"Revisar"),"")</f>
        <v/>
      </c>
      <c r="AB786" s="179" t="str">
        <f t="array" ref="AB786">IF($F786&lt;&gt;"", XLOOKUP($F786,Productos!$A$2:$A1001,Productos!U$2:U1001,"")*$G786,"")</f>
        <v/>
      </c>
      <c r="AC786" s="179" t="str">
        <f t="array" ref="AC786">IF($F786&lt;&gt;"",XLOOKUP($F786,Productos!$A:$A,Productos!V:V,"Revisar"),"")</f>
        <v/>
      </c>
      <c r="AD786" s="179" t="str">
        <f t="array" ref="AD786">IF($F786&lt;&gt;"", XLOOKUP($F786,Productos!$A$2:$A1001,Productos!W$2:W1001,"")*$G786,"")</f>
        <v/>
      </c>
      <c r="AE786" s="179" t="str">
        <f t="array" ref="AE786">IF($F786&lt;&gt;"",XLOOKUP($F786,Productos!$A:$A,Productos!X:X,"Revisar"),"")</f>
        <v/>
      </c>
      <c r="AF786" s="179" t="str">
        <f t="array" ref="AF786">IF($F786&lt;&gt;"", XLOOKUP($F786,Productos!$A$2:$A1001,Productos!Y$2:Y1001,"")*$G786,"")</f>
        <v/>
      </c>
      <c r="AG786" s="179" t="str">
        <f t="array" ref="AG786">IF($F786&lt;&gt;"",XLOOKUP($F786,Productos!$A:$A,Productos!Z:Z,"Revisar"),"")</f>
        <v/>
      </c>
      <c r="AH786" s="179" t="str">
        <f t="array" ref="AH786">IF($F786&lt;&gt;"", XLOOKUP($F786,Productos!$A$2:$A1001,Productos!AA$2:AA1001,"")*$G786,"")</f>
        <v/>
      </c>
      <c r="AI786" s="179" t="str">
        <f t="array" ref="AI786">IF($F786&lt;&gt;"",XLOOKUP($F786,Productos!$A:$A,Productos!AB:AB,"Revisar"),"")</f>
        <v/>
      </c>
      <c r="AJ786" s="179" t="str">
        <f t="array" ref="AJ786">IF($F786&lt;&gt;"", XLOOKUP($F786,Productos!$A$2:$A1001,Productos!AC$2:AC1001,"")*$G786,"")</f>
        <v/>
      </c>
      <c r="AK786" s="179" t="str">
        <f t="array" ref="AK786">IF($F786&lt;&gt;"",XLOOKUP($F786,Productos!$A:$A,Productos!AD:AD,"Revisar"),"")</f>
        <v/>
      </c>
      <c r="AL786" s="179" t="str">
        <f t="array" ref="AL786">IF($F786&lt;&gt;"", XLOOKUP($F786,Productos!$A$2:$A1001,Productos!AE$2:AE1001,"")*$G786,"")</f>
        <v/>
      </c>
      <c r="AM786" s="179" t="str">
        <f t="array" ref="AM786">IF($F786&lt;&gt;"",XLOOKUP($F786,Productos!$A:$A,Productos!AF:AF,"Revisar"),"")</f>
        <v/>
      </c>
      <c r="AN786" s="179" t="str">
        <f t="array" ref="AN786">IF($F786&lt;&gt;"", XLOOKUP($F786,Productos!$A$2:$A1001,Productos!AG$2:AG1001,"")*$G786,"")</f>
        <v/>
      </c>
      <c r="AO786" s="179" t="str">
        <f t="array" ref="AO786">IF($F786&lt;&gt;"",XLOOKUP($F786,Productos!$A:$A,Productos!AH:AH,"Revisar"),"")</f>
        <v/>
      </c>
      <c r="AP786" s="179" t="str">
        <f t="array" ref="AP786">IF($F786&lt;&gt;"", XLOOKUP($F786,Productos!$A$2:$A1001,Productos!AI$2:AI1001,"")*$G786,"")</f>
        <v/>
      </c>
      <c r="AQ786" s="179" t="str">
        <f t="array" ref="AQ786">IF($F786&lt;&gt;"",XLOOKUP($F786,Productos!$A:$A,Productos!AJ:AJ,"Revisar"),"")</f>
        <v/>
      </c>
      <c r="AR786" s="179" t="str">
        <f t="array" ref="AR786">IF($F786&lt;&gt;"", XLOOKUP($F786,Productos!$A$2:$A1001,Productos!AK$2:AK1001,"")*$G786,"")</f>
        <v/>
      </c>
      <c r="AS786" s="179" t="str">
        <f t="array" ref="AS786">IF($F786&lt;&gt;"",XLOOKUP($F786,Productos!$A:$A,Productos!AL:AL,"Revisar"),"")</f>
        <v/>
      </c>
      <c r="AT786" s="179" t="str">
        <f t="array" ref="AT786">IF($F786&lt;&gt;"", XLOOKUP($F786,Productos!$A$2:$A1001,Productos!AM$2:AM1001,"")*$G786,"")</f>
        <v/>
      </c>
      <c r="AU786" s="179" t="str">
        <f t="array" ref="AU786">IF($F786&lt;&gt;"",XLOOKUP($F786,Productos!$A:$A,Productos!AN:AN,"Revisar"),"")</f>
        <v/>
      </c>
      <c r="AV786" s="179" t="str">
        <f t="array" ref="AV786">IF($F786&lt;&gt;"", XLOOKUP($F786,Productos!$A$2:$A1001,Productos!AO$2:AO1001,"")*$G786,"")</f>
        <v/>
      </c>
      <c r="AW786" s="179" t="str">
        <f t="array" ref="AW786">IF($F786&lt;&gt;"",XLOOKUP($F786,Productos!$A:$A,Productos!AP:AP,"Revisar"),"")</f>
        <v/>
      </c>
      <c r="AX786" s="179" t="str">
        <f t="array" ref="AX786">IF($F786&lt;&gt;"", XLOOKUP($F786,Productos!$A$2:$A1001,Productos!AQ$2:AQ1001,"")*$G786,"")</f>
        <v/>
      </c>
      <c r="AY786" s="179" t="str">
        <f t="array" ref="AY786">IF($F786&lt;&gt;"",XLOOKUP($F786,Productos!$A:$A,Productos!AR:AR,"Revisar"),"")</f>
        <v/>
      </c>
      <c r="AZ786" s="179" t="str">
        <f t="array" ref="AZ786">IF($F786&lt;&gt;"", XLOOKUP($F786,Productos!$A$2:$A1001,Productos!AS$2:AS1001,"")*$G786,"")</f>
        <v/>
      </c>
      <c r="BA786" s="179" t="str">
        <f t="array" ref="BA786">IF($F786&lt;&gt;"",XLOOKUP($F786,Productos!$A:$A,Productos!AT:AT,"Revisar"),"")</f>
        <v/>
      </c>
      <c r="BB786" s="179" t="str">
        <f t="array" ref="BB786">IF($F786&lt;&gt;"", XLOOKUP($F786,Productos!$A$2:$A1001,Productos!AU$2:AU1001,"")*$G786,"")</f>
        <v/>
      </c>
      <c r="BC786" s="179" t="str">
        <f t="array" ref="BC786">IF($F786&lt;&gt;"",XLOOKUP($F786,Productos!$A:$A,Productos!AV:AV,"Revisar"),"")</f>
        <v/>
      </c>
      <c r="BD786" s="179" t="str">
        <f t="array" ref="BD786">IF($F786&lt;&gt;"", XLOOKUP($F786,Productos!$A$2:$A1001,Productos!AW$2:AW1001,"")*$G786,"")</f>
        <v/>
      </c>
      <c r="BE786" s="179" t="str">
        <f t="array" ref="BE786">IF($F786&lt;&gt;"",XLOOKUP($F786,Productos!$A:$A,Productos!AX:AX,"Revisar"),"")</f>
        <v/>
      </c>
      <c r="BF786" s="179" t="str">
        <f t="array" ref="BF786">IF($F786&lt;&gt;"", XLOOKUP($F786,Productos!$A$2:$A1001,Productos!AY$2:AY1001,"")*$G786,"")</f>
        <v/>
      </c>
      <c r="BG786" s="179" t="str">
        <f t="array" ref="BG786">IF($F786&lt;&gt;"",XLOOKUP($F786,Productos!$A:$A,Productos!AZ:AZ,"Revisar"),"")</f>
        <v/>
      </c>
      <c r="BH786" s="179" t="str">
        <f t="array" ref="BH786">IF($F786&lt;&gt;"", XLOOKUP($F786,Productos!$A$2:$A1001,Productos!BA$2:BA1001,"")*$G786,"")</f>
        <v/>
      </c>
      <c r="BI786" s="179" t="str">
        <f t="array" ref="BI786">IF($F786&lt;&gt;"",XLOOKUP($F786,Productos!$A:$A,Productos!BB:BB,"Revisar"),"")</f>
        <v/>
      </c>
      <c r="BJ786" s="179" t="str">
        <f t="array" ref="BJ786">IF($F786&lt;&gt;"", XLOOKUP($F786,Productos!$A$2:$A1001,Productos!BC$2:BC1001,"")*$G786,"")</f>
        <v/>
      </c>
      <c r="BK786" s="179" t="str">
        <f t="array" ref="BK786">IF($F786&lt;&gt;"",XLOOKUP($F786,Productos!$A:$A,Productos!BD:BD,"Revisar"),"")</f>
        <v/>
      </c>
      <c r="BL786" s="179" t="str">
        <f t="array" ref="BL786">IF($F786&lt;&gt;"", XLOOKUP($F786,Productos!$A$2:$A1001,Productos!BE$2:BE1001,"")*$G786,"")</f>
        <v/>
      </c>
      <c r="BM786" s="179" t="str">
        <f t="array" ref="BM786">IF($F786&lt;&gt;"",XLOOKUP($F786,Productos!$A:$A,Productos!BF:BF,"Revisar"),"")</f>
        <v/>
      </c>
      <c r="BN786" s="179" t="str">
        <f t="array" ref="BN786">IF($F786&lt;&gt;"", XLOOKUP($F786,Productos!$A$2:$A1001,Productos!BG$2:BG1001,"")*$G786,"")</f>
        <v/>
      </c>
      <c r="BO786" s="179" t="str">
        <f t="array" ref="BO786">IF($F786&lt;&gt;"",XLOOKUP($F786,Productos!$A:$A,Productos!BH:BH,"Revisar"),"")</f>
        <v/>
      </c>
      <c r="BP786" s="179" t="str">
        <f t="array" ref="BP786">IF($F786&lt;&gt;"", XLOOKUP($F786,Productos!$A$2:$A1001,Productos!BI$2:BI1001,"")*$G786,"")</f>
        <v/>
      </c>
      <c r="BQ786" s="179" t="str">
        <f t="array" ref="BQ786">IF($F786&lt;&gt;"",XLOOKUP($F786,Productos!$A:$A,Productos!BJ:BJ,"Revisar"),"")</f>
        <v/>
      </c>
      <c r="BR786" s="179" t="str">
        <f t="array" ref="BR786">IF($F786&lt;&gt;"", XLOOKUP($F786,Productos!$A$2:$A1001,Productos!BK$2:BK1001,"")*$G786,"")</f>
        <v/>
      </c>
      <c r="BS786" s="179" t="str">
        <f t="array" ref="BS786">IF($F786&lt;&gt;"",XLOOKUP($F786,Productos!$A:$A,Productos!BL:BL,"Revisar"),"")</f>
        <v/>
      </c>
      <c r="BT786" s="179" t="str">
        <f t="array" ref="BT786">IF($F786&lt;&gt;"", XLOOKUP($F786,Productos!$A$2:$A1001,Productos!BM$2:BM1001,"")*$G786,"")</f>
        <v/>
      </c>
      <c r="BU786" s="179" t="str">
        <f t="array" ref="BU786">IF($F786&lt;&gt;"",XLOOKUP($F786,Productos!$A:$A,Productos!BN:BN,"Revisar"),"")</f>
        <v/>
      </c>
      <c r="BV786" s="179" t="str">
        <f t="array" ref="BV786">IF($F786&lt;&gt;"", XLOOKUP($F786,Productos!$A$2:$A1001,Productos!BO$2:BO1001,"")*$G786,"")</f>
        <v/>
      </c>
      <c r="BW786" s="179" t="str">
        <f t="array" ref="BW786">IF($F786&lt;&gt;"",XLOOKUP($F786,Productos!$A:$A,Productos!BP:BP,"Revisar"),"")</f>
        <v/>
      </c>
      <c r="BX786" s="179" t="str">
        <f t="array" ref="BX786">IF($F786&lt;&gt;"", XLOOKUP($F786,Productos!$A$2:$A1001,Productos!BQ$2:BQ1001,"")*$G786,"")</f>
        <v/>
      </c>
      <c r="BY786" s="179" t="str">
        <f t="array" ref="BY786">IF($F786&lt;&gt;"",XLOOKUP($F786,Productos!$A:$A,Productos!BR:BR,"Revisar"),"")</f>
        <v/>
      </c>
      <c r="BZ786" s="179" t="str">
        <f t="array" ref="BZ786">IF($F786&lt;&gt;"", XLOOKUP($F786,Productos!$A$2:$A1001,Productos!BS$2:BS1001,"")*$G786,"")</f>
        <v/>
      </c>
    </row>
    <row r="787">
      <c r="A787" s="188"/>
      <c r="B787" s="189"/>
      <c r="C787" s="190"/>
      <c r="D787" s="190"/>
      <c r="E787" s="191"/>
      <c r="F787" s="186"/>
      <c r="G787" s="192"/>
      <c r="H787" s="9"/>
      <c r="I787" s="179" t="str">
        <f t="array" ref="I787">IF($F787&lt;&gt;"",XLOOKUP($F787,Productos!$A:$A,Productos!B:B,"Revisar"),"")</f>
        <v/>
      </c>
      <c r="J787" s="179" t="str">
        <f t="array" ref="J787">IF($F787&lt;&gt;"", XLOOKUP($F787,Productos!$A$2:$A1001,Productos!C$2:C1001,"")*$G787,"")</f>
        <v/>
      </c>
      <c r="K787" s="179" t="str">
        <f t="array" ref="K787">IF($F787&lt;&gt;"",XLOOKUP($F787,Productos!$A:$A,Productos!D:D,"Revisar"),"")</f>
        <v/>
      </c>
      <c r="L787" s="179" t="str">
        <f t="array" ref="L787">IF($F787&lt;&gt;"", XLOOKUP($F787,Productos!$A$2:$A1001,Productos!E$2:E1001,"")*$G787,"")</f>
        <v/>
      </c>
      <c r="M787" s="179" t="str">
        <f t="array" ref="M787">IF($F787&lt;&gt;"",XLOOKUP($F787,Productos!$A:$A,Productos!F:F,"Revisar"),"")</f>
        <v/>
      </c>
      <c r="N787" s="179" t="str">
        <f t="array" ref="N787">IF($F787&lt;&gt;"", XLOOKUP($F787,Productos!$A$2:$A1001,Productos!G$2:G1001,"")*$G787,"")</f>
        <v/>
      </c>
      <c r="O787" s="179" t="str">
        <f t="array" ref="O787">IF($F787&lt;&gt;"",XLOOKUP($F787,Productos!$A:$A,Productos!H:H,"Revisar"),"")</f>
        <v/>
      </c>
      <c r="P787" s="179" t="str">
        <f t="array" ref="P787">IF($F787&lt;&gt;"", XLOOKUP($F787,Productos!$A$2:$A1001,Productos!I$2:I1001,"")*$G787,"")</f>
        <v/>
      </c>
      <c r="Q787" s="179" t="str">
        <f t="array" ref="Q787">IF($F787&lt;&gt;"",XLOOKUP($F787,Productos!$A:$A,Productos!J:J,"Revisar"),"")</f>
        <v/>
      </c>
      <c r="R787" s="179" t="str">
        <f t="array" ref="R787">IF($F787&lt;&gt;"", XLOOKUP($F787,Productos!$A$2:$A1001,Productos!K$2:K1001,"")*$G787,"")</f>
        <v/>
      </c>
      <c r="S787" s="179" t="str">
        <f t="array" ref="S787">IF($F787&lt;&gt;"",XLOOKUP($F787,Productos!$A:$A,Productos!L:L,"Revisar"),"")</f>
        <v/>
      </c>
      <c r="T787" s="179" t="str">
        <f t="array" ref="T787">IF($F787&lt;&gt;"", XLOOKUP($F787,Productos!$A$2:$A1001,Productos!M$2:M1001,"")*$G787,"")</f>
        <v/>
      </c>
      <c r="U787" s="179" t="str">
        <f t="array" ref="U787">IF($F787&lt;&gt;"",XLOOKUP($F787,Productos!$A:$A,Productos!N:N,"Revisar"),"")</f>
        <v/>
      </c>
      <c r="V787" s="179" t="str">
        <f t="array" ref="V787">IF($F787&lt;&gt;"", XLOOKUP($F787,Productos!$A$2:$A1001,Productos!O$2:O1001,"")*$G787,"")</f>
        <v/>
      </c>
      <c r="W787" s="179" t="str">
        <f t="array" ref="W787">IF($F787&lt;&gt;"",XLOOKUP($F787,Productos!$A:$A,Productos!P:P,"Revisar"),"")</f>
        <v/>
      </c>
      <c r="X787" s="179" t="str">
        <f t="array" ref="X787">IF($F787&lt;&gt;"", XLOOKUP($F787,Productos!$A$2:$A1001,Productos!Q$2:Q1001,"")*$G787,"")</f>
        <v/>
      </c>
      <c r="Y787" s="179" t="str">
        <f t="array" ref="Y787">IF($F787&lt;&gt;"",XLOOKUP($F787,Productos!$A:$A,Productos!R:R,"Revisar"),"")</f>
        <v/>
      </c>
      <c r="Z787" s="179" t="str">
        <f t="array" ref="Z787">IF($F787&lt;&gt;"", XLOOKUP($F787,Productos!$A$2:$A1001,Productos!S$2:S1001,"")*$G787,"")</f>
        <v/>
      </c>
      <c r="AA787" s="179" t="str">
        <f t="array" ref="AA787">IF($F787&lt;&gt;"",XLOOKUP($F787,Productos!$A:$A,Productos!T:T,"Revisar"),"")</f>
        <v/>
      </c>
      <c r="AB787" s="179" t="str">
        <f t="array" ref="AB787">IF($F787&lt;&gt;"", XLOOKUP($F787,Productos!$A$2:$A1001,Productos!U$2:U1001,"")*$G787,"")</f>
        <v/>
      </c>
      <c r="AC787" s="179" t="str">
        <f t="array" ref="AC787">IF($F787&lt;&gt;"",XLOOKUP($F787,Productos!$A:$A,Productos!V:V,"Revisar"),"")</f>
        <v/>
      </c>
      <c r="AD787" s="179" t="str">
        <f t="array" ref="AD787">IF($F787&lt;&gt;"", XLOOKUP($F787,Productos!$A$2:$A1001,Productos!W$2:W1001,"")*$G787,"")</f>
        <v/>
      </c>
      <c r="AE787" s="179" t="str">
        <f t="array" ref="AE787">IF($F787&lt;&gt;"",XLOOKUP($F787,Productos!$A:$A,Productos!X:X,"Revisar"),"")</f>
        <v/>
      </c>
      <c r="AF787" s="179" t="str">
        <f t="array" ref="AF787">IF($F787&lt;&gt;"", XLOOKUP($F787,Productos!$A$2:$A1001,Productos!Y$2:Y1001,"")*$G787,"")</f>
        <v/>
      </c>
      <c r="AG787" s="179" t="str">
        <f t="array" ref="AG787">IF($F787&lt;&gt;"",XLOOKUP($F787,Productos!$A:$A,Productos!Z:Z,"Revisar"),"")</f>
        <v/>
      </c>
      <c r="AH787" s="179" t="str">
        <f t="array" ref="AH787">IF($F787&lt;&gt;"", XLOOKUP($F787,Productos!$A$2:$A1001,Productos!AA$2:AA1001,"")*$G787,"")</f>
        <v/>
      </c>
      <c r="AI787" s="179" t="str">
        <f t="array" ref="AI787">IF($F787&lt;&gt;"",XLOOKUP($F787,Productos!$A:$A,Productos!AB:AB,"Revisar"),"")</f>
        <v/>
      </c>
      <c r="AJ787" s="179" t="str">
        <f t="array" ref="AJ787">IF($F787&lt;&gt;"", XLOOKUP($F787,Productos!$A$2:$A1001,Productos!AC$2:AC1001,"")*$G787,"")</f>
        <v/>
      </c>
      <c r="AK787" s="179" t="str">
        <f t="array" ref="AK787">IF($F787&lt;&gt;"",XLOOKUP($F787,Productos!$A:$A,Productos!AD:AD,"Revisar"),"")</f>
        <v/>
      </c>
      <c r="AL787" s="179" t="str">
        <f t="array" ref="AL787">IF($F787&lt;&gt;"", XLOOKUP($F787,Productos!$A$2:$A1001,Productos!AE$2:AE1001,"")*$G787,"")</f>
        <v/>
      </c>
      <c r="AM787" s="179" t="str">
        <f t="array" ref="AM787">IF($F787&lt;&gt;"",XLOOKUP($F787,Productos!$A:$A,Productos!AF:AF,"Revisar"),"")</f>
        <v/>
      </c>
      <c r="AN787" s="179" t="str">
        <f t="array" ref="AN787">IF($F787&lt;&gt;"", XLOOKUP($F787,Productos!$A$2:$A1001,Productos!AG$2:AG1001,"")*$G787,"")</f>
        <v/>
      </c>
      <c r="AO787" s="179" t="str">
        <f t="array" ref="AO787">IF($F787&lt;&gt;"",XLOOKUP($F787,Productos!$A:$A,Productos!AH:AH,"Revisar"),"")</f>
        <v/>
      </c>
      <c r="AP787" s="179" t="str">
        <f t="array" ref="AP787">IF($F787&lt;&gt;"", XLOOKUP($F787,Productos!$A$2:$A1001,Productos!AI$2:AI1001,"")*$G787,"")</f>
        <v/>
      </c>
      <c r="AQ787" s="179" t="str">
        <f t="array" ref="AQ787">IF($F787&lt;&gt;"",XLOOKUP($F787,Productos!$A:$A,Productos!AJ:AJ,"Revisar"),"")</f>
        <v/>
      </c>
      <c r="AR787" s="179" t="str">
        <f t="array" ref="AR787">IF($F787&lt;&gt;"", XLOOKUP($F787,Productos!$A$2:$A1001,Productos!AK$2:AK1001,"")*$G787,"")</f>
        <v/>
      </c>
      <c r="AS787" s="179" t="str">
        <f t="array" ref="AS787">IF($F787&lt;&gt;"",XLOOKUP($F787,Productos!$A:$A,Productos!AL:AL,"Revisar"),"")</f>
        <v/>
      </c>
      <c r="AT787" s="179" t="str">
        <f t="array" ref="AT787">IF($F787&lt;&gt;"", XLOOKUP($F787,Productos!$A$2:$A1001,Productos!AM$2:AM1001,"")*$G787,"")</f>
        <v/>
      </c>
      <c r="AU787" s="179" t="str">
        <f t="array" ref="AU787">IF($F787&lt;&gt;"",XLOOKUP($F787,Productos!$A:$A,Productos!AN:AN,"Revisar"),"")</f>
        <v/>
      </c>
      <c r="AV787" s="179" t="str">
        <f t="array" ref="AV787">IF($F787&lt;&gt;"", XLOOKUP($F787,Productos!$A$2:$A1001,Productos!AO$2:AO1001,"")*$G787,"")</f>
        <v/>
      </c>
      <c r="AW787" s="179" t="str">
        <f t="array" ref="AW787">IF($F787&lt;&gt;"",XLOOKUP($F787,Productos!$A:$A,Productos!AP:AP,"Revisar"),"")</f>
        <v/>
      </c>
      <c r="AX787" s="179" t="str">
        <f t="array" ref="AX787">IF($F787&lt;&gt;"", XLOOKUP($F787,Productos!$A$2:$A1001,Productos!AQ$2:AQ1001,"")*$G787,"")</f>
        <v/>
      </c>
      <c r="AY787" s="179" t="str">
        <f t="array" ref="AY787">IF($F787&lt;&gt;"",XLOOKUP($F787,Productos!$A:$A,Productos!AR:AR,"Revisar"),"")</f>
        <v/>
      </c>
      <c r="AZ787" s="179" t="str">
        <f t="array" ref="AZ787">IF($F787&lt;&gt;"", XLOOKUP($F787,Productos!$A$2:$A1001,Productos!AS$2:AS1001,"")*$G787,"")</f>
        <v/>
      </c>
      <c r="BA787" s="179" t="str">
        <f t="array" ref="BA787">IF($F787&lt;&gt;"",XLOOKUP($F787,Productos!$A:$A,Productos!AT:AT,"Revisar"),"")</f>
        <v/>
      </c>
      <c r="BB787" s="179" t="str">
        <f t="array" ref="BB787">IF($F787&lt;&gt;"", XLOOKUP($F787,Productos!$A$2:$A1001,Productos!AU$2:AU1001,"")*$G787,"")</f>
        <v/>
      </c>
      <c r="BC787" s="179" t="str">
        <f t="array" ref="BC787">IF($F787&lt;&gt;"",XLOOKUP($F787,Productos!$A:$A,Productos!AV:AV,"Revisar"),"")</f>
        <v/>
      </c>
      <c r="BD787" s="179" t="str">
        <f t="array" ref="BD787">IF($F787&lt;&gt;"", XLOOKUP($F787,Productos!$A$2:$A1001,Productos!AW$2:AW1001,"")*$G787,"")</f>
        <v/>
      </c>
      <c r="BE787" s="179" t="str">
        <f t="array" ref="BE787">IF($F787&lt;&gt;"",XLOOKUP($F787,Productos!$A:$A,Productos!AX:AX,"Revisar"),"")</f>
        <v/>
      </c>
      <c r="BF787" s="179" t="str">
        <f t="array" ref="BF787">IF($F787&lt;&gt;"", XLOOKUP($F787,Productos!$A$2:$A1001,Productos!AY$2:AY1001,"")*$G787,"")</f>
        <v/>
      </c>
      <c r="BG787" s="179" t="str">
        <f t="array" ref="BG787">IF($F787&lt;&gt;"",XLOOKUP($F787,Productos!$A:$A,Productos!AZ:AZ,"Revisar"),"")</f>
        <v/>
      </c>
      <c r="BH787" s="179" t="str">
        <f t="array" ref="BH787">IF($F787&lt;&gt;"", XLOOKUP($F787,Productos!$A$2:$A1001,Productos!BA$2:BA1001,"")*$G787,"")</f>
        <v/>
      </c>
      <c r="BI787" s="179" t="str">
        <f t="array" ref="BI787">IF($F787&lt;&gt;"",XLOOKUP($F787,Productos!$A:$A,Productos!BB:BB,"Revisar"),"")</f>
        <v/>
      </c>
      <c r="BJ787" s="179" t="str">
        <f t="array" ref="BJ787">IF($F787&lt;&gt;"", XLOOKUP($F787,Productos!$A$2:$A1001,Productos!BC$2:BC1001,"")*$G787,"")</f>
        <v/>
      </c>
      <c r="BK787" s="179" t="str">
        <f t="array" ref="BK787">IF($F787&lt;&gt;"",XLOOKUP($F787,Productos!$A:$A,Productos!BD:BD,"Revisar"),"")</f>
        <v/>
      </c>
      <c r="BL787" s="179" t="str">
        <f t="array" ref="BL787">IF($F787&lt;&gt;"", XLOOKUP($F787,Productos!$A$2:$A1001,Productos!BE$2:BE1001,"")*$G787,"")</f>
        <v/>
      </c>
      <c r="BM787" s="179" t="str">
        <f t="array" ref="BM787">IF($F787&lt;&gt;"",XLOOKUP($F787,Productos!$A:$A,Productos!BF:BF,"Revisar"),"")</f>
        <v/>
      </c>
      <c r="BN787" s="179" t="str">
        <f t="array" ref="BN787">IF($F787&lt;&gt;"", XLOOKUP($F787,Productos!$A$2:$A1001,Productos!BG$2:BG1001,"")*$G787,"")</f>
        <v/>
      </c>
      <c r="BO787" s="179" t="str">
        <f t="array" ref="BO787">IF($F787&lt;&gt;"",XLOOKUP($F787,Productos!$A:$A,Productos!BH:BH,"Revisar"),"")</f>
        <v/>
      </c>
      <c r="BP787" s="179" t="str">
        <f t="array" ref="BP787">IF($F787&lt;&gt;"", XLOOKUP($F787,Productos!$A$2:$A1001,Productos!BI$2:BI1001,"")*$G787,"")</f>
        <v/>
      </c>
      <c r="BQ787" s="179" t="str">
        <f t="array" ref="BQ787">IF($F787&lt;&gt;"",XLOOKUP($F787,Productos!$A:$A,Productos!BJ:BJ,"Revisar"),"")</f>
        <v/>
      </c>
      <c r="BR787" s="179" t="str">
        <f t="array" ref="BR787">IF($F787&lt;&gt;"", XLOOKUP($F787,Productos!$A$2:$A1001,Productos!BK$2:BK1001,"")*$G787,"")</f>
        <v/>
      </c>
      <c r="BS787" s="179" t="str">
        <f t="array" ref="BS787">IF($F787&lt;&gt;"",XLOOKUP($F787,Productos!$A:$A,Productos!BL:BL,"Revisar"),"")</f>
        <v/>
      </c>
      <c r="BT787" s="179" t="str">
        <f t="array" ref="BT787">IF($F787&lt;&gt;"", XLOOKUP($F787,Productos!$A$2:$A1001,Productos!BM$2:BM1001,"")*$G787,"")</f>
        <v/>
      </c>
      <c r="BU787" s="179" t="str">
        <f t="array" ref="BU787">IF($F787&lt;&gt;"",XLOOKUP($F787,Productos!$A:$A,Productos!BN:BN,"Revisar"),"")</f>
        <v/>
      </c>
      <c r="BV787" s="179" t="str">
        <f t="array" ref="BV787">IF($F787&lt;&gt;"", XLOOKUP($F787,Productos!$A$2:$A1001,Productos!BO$2:BO1001,"")*$G787,"")</f>
        <v/>
      </c>
      <c r="BW787" s="179" t="str">
        <f t="array" ref="BW787">IF($F787&lt;&gt;"",XLOOKUP($F787,Productos!$A:$A,Productos!BP:BP,"Revisar"),"")</f>
        <v/>
      </c>
      <c r="BX787" s="179" t="str">
        <f t="array" ref="BX787">IF($F787&lt;&gt;"", XLOOKUP($F787,Productos!$A$2:$A1001,Productos!BQ$2:BQ1001,"")*$G787,"")</f>
        <v/>
      </c>
      <c r="BY787" s="179" t="str">
        <f t="array" ref="BY787">IF($F787&lt;&gt;"",XLOOKUP($F787,Productos!$A:$A,Productos!BR:BR,"Revisar"),"")</f>
        <v/>
      </c>
      <c r="BZ787" s="179" t="str">
        <f t="array" ref="BZ787">IF($F787&lt;&gt;"", XLOOKUP($F787,Productos!$A$2:$A1001,Productos!BS$2:BS1001,"")*$G787,"")</f>
        <v/>
      </c>
    </row>
    <row r="788">
      <c r="A788" s="188"/>
      <c r="B788" s="189"/>
      <c r="C788" s="190"/>
      <c r="D788" s="190"/>
      <c r="E788" s="191"/>
      <c r="F788" s="186"/>
      <c r="G788" s="192"/>
      <c r="H788" s="9"/>
      <c r="I788" s="179" t="str">
        <f t="array" ref="I788">IF($F788&lt;&gt;"",XLOOKUP($F788,Productos!$A:$A,Productos!B:B,"Revisar"),"")</f>
        <v/>
      </c>
      <c r="J788" s="179" t="str">
        <f t="array" ref="J788">IF($F788&lt;&gt;"", XLOOKUP($F788,Productos!$A$2:$A1001,Productos!C$2:C1001,"")*$G788,"")</f>
        <v/>
      </c>
      <c r="K788" s="179" t="str">
        <f t="array" ref="K788">IF($F788&lt;&gt;"",XLOOKUP($F788,Productos!$A:$A,Productos!D:D,"Revisar"),"")</f>
        <v/>
      </c>
      <c r="L788" s="179" t="str">
        <f t="array" ref="L788">IF($F788&lt;&gt;"", XLOOKUP($F788,Productos!$A$2:$A1001,Productos!E$2:E1001,"")*$G788,"")</f>
        <v/>
      </c>
      <c r="M788" s="179" t="str">
        <f t="array" ref="M788">IF($F788&lt;&gt;"",XLOOKUP($F788,Productos!$A:$A,Productos!F:F,"Revisar"),"")</f>
        <v/>
      </c>
      <c r="N788" s="179" t="str">
        <f t="array" ref="N788">IF($F788&lt;&gt;"", XLOOKUP($F788,Productos!$A$2:$A1001,Productos!G$2:G1001,"")*$G788,"")</f>
        <v/>
      </c>
      <c r="O788" s="179" t="str">
        <f t="array" ref="O788">IF($F788&lt;&gt;"",XLOOKUP($F788,Productos!$A:$A,Productos!H:H,"Revisar"),"")</f>
        <v/>
      </c>
      <c r="P788" s="179" t="str">
        <f t="array" ref="P788">IF($F788&lt;&gt;"", XLOOKUP($F788,Productos!$A$2:$A1001,Productos!I$2:I1001,"")*$G788,"")</f>
        <v/>
      </c>
      <c r="Q788" s="179" t="str">
        <f t="array" ref="Q788">IF($F788&lt;&gt;"",XLOOKUP($F788,Productos!$A:$A,Productos!J:J,"Revisar"),"")</f>
        <v/>
      </c>
      <c r="R788" s="179" t="str">
        <f t="array" ref="R788">IF($F788&lt;&gt;"", XLOOKUP($F788,Productos!$A$2:$A1001,Productos!K$2:K1001,"")*$G788,"")</f>
        <v/>
      </c>
      <c r="S788" s="179" t="str">
        <f t="array" ref="S788">IF($F788&lt;&gt;"",XLOOKUP($F788,Productos!$A:$A,Productos!L:L,"Revisar"),"")</f>
        <v/>
      </c>
      <c r="T788" s="179" t="str">
        <f t="array" ref="T788">IF($F788&lt;&gt;"", XLOOKUP($F788,Productos!$A$2:$A1001,Productos!M$2:M1001,"")*$G788,"")</f>
        <v/>
      </c>
      <c r="U788" s="179" t="str">
        <f t="array" ref="U788">IF($F788&lt;&gt;"",XLOOKUP($F788,Productos!$A:$A,Productos!N:N,"Revisar"),"")</f>
        <v/>
      </c>
      <c r="V788" s="179" t="str">
        <f t="array" ref="V788">IF($F788&lt;&gt;"", XLOOKUP($F788,Productos!$A$2:$A1001,Productos!O$2:O1001,"")*$G788,"")</f>
        <v/>
      </c>
      <c r="W788" s="179" t="str">
        <f t="array" ref="W788">IF($F788&lt;&gt;"",XLOOKUP($F788,Productos!$A:$A,Productos!P:P,"Revisar"),"")</f>
        <v/>
      </c>
      <c r="X788" s="179" t="str">
        <f t="array" ref="X788">IF($F788&lt;&gt;"", XLOOKUP($F788,Productos!$A$2:$A1001,Productos!Q$2:Q1001,"")*$G788,"")</f>
        <v/>
      </c>
      <c r="Y788" s="179" t="str">
        <f t="array" ref="Y788">IF($F788&lt;&gt;"",XLOOKUP($F788,Productos!$A:$A,Productos!R:R,"Revisar"),"")</f>
        <v/>
      </c>
      <c r="Z788" s="179" t="str">
        <f t="array" ref="Z788">IF($F788&lt;&gt;"", XLOOKUP($F788,Productos!$A$2:$A1001,Productos!S$2:S1001,"")*$G788,"")</f>
        <v/>
      </c>
      <c r="AA788" s="179" t="str">
        <f t="array" ref="AA788">IF($F788&lt;&gt;"",XLOOKUP($F788,Productos!$A:$A,Productos!T:T,"Revisar"),"")</f>
        <v/>
      </c>
      <c r="AB788" s="179" t="str">
        <f t="array" ref="AB788">IF($F788&lt;&gt;"", XLOOKUP($F788,Productos!$A$2:$A1001,Productos!U$2:U1001,"")*$G788,"")</f>
        <v/>
      </c>
      <c r="AC788" s="179" t="str">
        <f t="array" ref="AC788">IF($F788&lt;&gt;"",XLOOKUP($F788,Productos!$A:$A,Productos!V:V,"Revisar"),"")</f>
        <v/>
      </c>
      <c r="AD788" s="179" t="str">
        <f t="array" ref="AD788">IF($F788&lt;&gt;"", XLOOKUP($F788,Productos!$A$2:$A1001,Productos!W$2:W1001,"")*$G788,"")</f>
        <v/>
      </c>
      <c r="AE788" s="179" t="str">
        <f t="array" ref="AE788">IF($F788&lt;&gt;"",XLOOKUP($F788,Productos!$A:$A,Productos!X:X,"Revisar"),"")</f>
        <v/>
      </c>
      <c r="AF788" s="179" t="str">
        <f t="array" ref="AF788">IF($F788&lt;&gt;"", XLOOKUP($F788,Productos!$A$2:$A1001,Productos!Y$2:Y1001,"")*$G788,"")</f>
        <v/>
      </c>
      <c r="AG788" s="179" t="str">
        <f t="array" ref="AG788">IF($F788&lt;&gt;"",XLOOKUP($F788,Productos!$A:$A,Productos!Z:Z,"Revisar"),"")</f>
        <v/>
      </c>
      <c r="AH788" s="179" t="str">
        <f t="array" ref="AH788">IF($F788&lt;&gt;"", XLOOKUP($F788,Productos!$A$2:$A1001,Productos!AA$2:AA1001,"")*$G788,"")</f>
        <v/>
      </c>
      <c r="AI788" s="179" t="str">
        <f t="array" ref="AI788">IF($F788&lt;&gt;"",XLOOKUP($F788,Productos!$A:$A,Productos!AB:AB,"Revisar"),"")</f>
        <v/>
      </c>
      <c r="AJ788" s="179" t="str">
        <f t="array" ref="AJ788">IF($F788&lt;&gt;"", XLOOKUP($F788,Productos!$A$2:$A1001,Productos!AC$2:AC1001,"")*$G788,"")</f>
        <v/>
      </c>
      <c r="AK788" s="179" t="str">
        <f t="array" ref="AK788">IF($F788&lt;&gt;"",XLOOKUP($F788,Productos!$A:$A,Productos!AD:AD,"Revisar"),"")</f>
        <v/>
      </c>
      <c r="AL788" s="179" t="str">
        <f t="array" ref="AL788">IF($F788&lt;&gt;"", XLOOKUP($F788,Productos!$A$2:$A1001,Productos!AE$2:AE1001,"")*$G788,"")</f>
        <v/>
      </c>
      <c r="AM788" s="179" t="str">
        <f t="array" ref="AM788">IF($F788&lt;&gt;"",XLOOKUP($F788,Productos!$A:$A,Productos!AF:AF,"Revisar"),"")</f>
        <v/>
      </c>
      <c r="AN788" s="179" t="str">
        <f t="array" ref="AN788">IF($F788&lt;&gt;"", XLOOKUP($F788,Productos!$A$2:$A1001,Productos!AG$2:AG1001,"")*$G788,"")</f>
        <v/>
      </c>
      <c r="AO788" s="179" t="str">
        <f t="array" ref="AO788">IF($F788&lt;&gt;"",XLOOKUP($F788,Productos!$A:$A,Productos!AH:AH,"Revisar"),"")</f>
        <v/>
      </c>
      <c r="AP788" s="179" t="str">
        <f t="array" ref="AP788">IF($F788&lt;&gt;"", XLOOKUP($F788,Productos!$A$2:$A1001,Productos!AI$2:AI1001,"")*$G788,"")</f>
        <v/>
      </c>
      <c r="AQ788" s="179" t="str">
        <f t="array" ref="AQ788">IF($F788&lt;&gt;"",XLOOKUP($F788,Productos!$A:$A,Productos!AJ:AJ,"Revisar"),"")</f>
        <v/>
      </c>
      <c r="AR788" s="179" t="str">
        <f t="array" ref="AR788">IF($F788&lt;&gt;"", XLOOKUP($F788,Productos!$A$2:$A1001,Productos!AK$2:AK1001,"")*$G788,"")</f>
        <v/>
      </c>
      <c r="AS788" s="179" t="str">
        <f t="array" ref="AS788">IF($F788&lt;&gt;"",XLOOKUP($F788,Productos!$A:$A,Productos!AL:AL,"Revisar"),"")</f>
        <v/>
      </c>
      <c r="AT788" s="179" t="str">
        <f t="array" ref="AT788">IF($F788&lt;&gt;"", XLOOKUP($F788,Productos!$A$2:$A1001,Productos!AM$2:AM1001,"")*$G788,"")</f>
        <v/>
      </c>
      <c r="AU788" s="179" t="str">
        <f t="array" ref="AU788">IF($F788&lt;&gt;"",XLOOKUP($F788,Productos!$A:$A,Productos!AN:AN,"Revisar"),"")</f>
        <v/>
      </c>
      <c r="AV788" s="179" t="str">
        <f t="array" ref="AV788">IF($F788&lt;&gt;"", XLOOKUP($F788,Productos!$A$2:$A1001,Productos!AO$2:AO1001,"")*$G788,"")</f>
        <v/>
      </c>
      <c r="AW788" s="179" t="str">
        <f t="array" ref="AW788">IF($F788&lt;&gt;"",XLOOKUP($F788,Productos!$A:$A,Productos!AP:AP,"Revisar"),"")</f>
        <v/>
      </c>
      <c r="AX788" s="179" t="str">
        <f t="array" ref="AX788">IF($F788&lt;&gt;"", XLOOKUP($F788,Productos!$A$2:$A1001,Productos!AQ$2:AQ1001,"")*$G788,"")</f>
        <v/>
      </c>
      <c r="AY788" s="179" t="str">
        <f t="array" ref="AY788">IF($F788&lt;&gt;"",XLOOKUP($F788,Productos!$A:$A,Productos!AR:AR,"Revisar"),"")</f>
        <v/>
      </c>
      <c r="AZ788" s="179" t="str">
        <f t="array" ref="AZ788">IF($F788&lt;&gt;"", XLOOKUP($F788,Productos!$A$2:$A1001,Productos!AS$2:AS1001,"")*$G788,"")</f>
        <v/>
      </c>
      <c r="BA788" s="179" t="str">
        <f t="array" ref="BA788">IF($F788&lt;&gt;"",XLOOKUP($F788,Productos!$A:$A,Productos!AT:AT,"Revisar"),"")</f>
        <v/>
      </c>
      <c r="BB788" s="179" t="str">
        <f t="array" ref="BB788">IF($F788&lt;&gt;"", XLOOKUP($F788,Productos!$A$2:$A1001,Productos!AU$2:AU1001,"")*$G788,"")</f>
        <v/>
      </c>
      <c r="BC788" s="179" t="str">
        <f t="array" ref="BC788">IF($F788&lt;&gt;"",XLOOKUP($F788,Productos!$A:$A,Productos!AV:AV,"Revisar"),"")</f>
        <v/>
      </c>
      <c r="BD788" s="179" t="str">
        <f t="array" ref="BD788">IF($F788&lt;&gt;"", XLOOKUP($F788,Productos!$A$2:$A1001,Productos!AW$2:AW1001,"")*$G788,"")</f>
        <v/>
      </c>
      <c r="BE788" s="179" t="str">
        <f t="array" ref="BE788">IF($F788&lt;&gt;"",XLOOKUP($F788,Productos!$A:$A,Productos!AX:AX,"Revisar"),"")</f>
        <v/>
      </c>
      <c r="BF788" s="179" t="str">
        <f t="array" ref="BF788">IF($F788&lt;&gt;"", XLOOKUP($F788,Productos!$A$2:$A1001,Productos!AY$2:AY1001,"")*$G788,"")</f>
        <v/>
      </c>
      <c r="BG788" s="179" t="str">
        <f t="array" ref="BG788">IF($F788&lt;&gt;"",XLOOKUP($F788,Productos!$A:$A,Productos!AZ:AZ,"Revisar"),"")</f>
        <v/>
      </c>
      <c r="BH788" s="179" t="str">
        <f t="array" ref="BH788">IF($F788&lt;&gt;"", XLOOKUP($F788,Productos!$A$2:$A1001,Productos!BA$2:BA1001,"")*$G788,"")</f>
        <v/>
      </c>
      <c r="BI788" s="179" t="str">
        <f t="array" ref="BI788">IF($F788&lt;&gt;"",XLOOKUP($F788,Productos!$A:$A,Productos!BB:BB,"Revisar"),"")</f>
        <v/>
      </c>
      <c r="BJ788" s="179" t="str">
        <f t="array" ref="BJ788">IF($F788&lt;&gt;"", XLOOKUP($F788,Productos!$A$2:$A1001,Productos!BC$2:BC1001,"")*$G788,"")</f>
        <v/>
      </c>
      <c r="BK788" s="179" t="str">
        <f t="array" ref="BK788">IF($F788&lt;&gt;"",XLOOKUP($F788,Productos!$A:$A,Productos!BD:BD,"Revisar"),"")</f>
        <v/>
      </c>
      <c r="BL788" s="179" t="str">
        <f t="array" ref="BL788">IF($F788&lt;&gt;"", XLOOKUP($F788,Productos!$A$2:$A1001,Productos!BE$2:BE1001,"")*$G788,"")</f>
        <v/>
      </c>
      <c r="BM788" s="179" t="str">
        <f t="array" ref="BM788">IF($F788&lt;&gt;"",XLOOKUP($F788,Productos!$A:$A,Productos!BF:BF,"Revisar"),"")</f>
        <v/>
      </c>
      <c r="BN788" s="179" t="str">
        <f t="array" ref="BN788">IF($F788&lt;&gt;"", XLOOKUP($F788,Productos!$A$2:$A1001,Productos!BG$2:BG1001,"")*$G788,"")</f>
        <v/>
      </c>
      <c r="BO788" s="179" t="str">
        <f t="array" ref="BO788">IF($F788&lt;&gt;"",XLOOKUP($F788,Productos!$A:$A,Productos!BH:BH,"Revisar"),"")</f>
        <v/>
      </c>
      <c r="BP788" s="179" t="str">
        <f t="array" ref="BP788">IF($F788&lt;&gt;"", XLOOKUP($F788,Productos!$A$2:$A1001,Productos!BI$2:BI1001,"")*$G788,"")</f>
        <v/>
      </c>
      <c r="BQ788" s="179" t="str">
        <f t="array" ref="BQ788">IF($F788&lt;&gt;"",XLOOKUP($F788,Productos!$A:$A,Productos!BJ:BJ,"Revisar"),"")</f>
        <v/>
      </c>
      <c r="BR788" s="179" t="str">
        <f t="array" ref="BR788">IF($F788&lt;&gt;"", XLOOKUP($F788,Productos!$A$2:$A1001,Productos!BK$2:BK1001,"")*$G788,"")</f>
        <v/>
      </c>
      <c r="BS788" s="179" t="str">
        <f t="array" ref="BS788">IF($F788&lt;&gt;"",XLOOKUP($F788,Productos!$A:$A,Productos!BL:BL,"Revisar"),"")</f>
        <v/>
      </c>
      <c r="BT788" s="179" t="str">
        <f t="array" ref="BT788">IF($F788&lt;&gt;"", XLOOKUP($F788,Productos!$A$2:$A1001,Productos!BM$2:BM1001,"")*$G788,"")</f>
        <v/>
      </c>
      <c r="BU788" s="179" t="str">
        <f t="array" ref="BU788">IF($F788&lt;&gt;"",XLOOKUP($F788,Productos!$A:$A,Productos!BN:BN,"Revisar"),"")</f>
        <v/>
      </c>
      <c r="BV788" s="179" t="str">
        <f t="array" ref="BV788">IF($F788&lt;&gt;"", XLOOKUP($F788,Productos!$A$2:$A1001,Productos!BO$2:BO1001,"")*$G788,"")</f>
        <v/>
      </c>
      <c r="BW788" s="179" t="str">
        <f t="array" ref="BW788">IF($F788&lt;&gt;"",XLOOKUP($F788,Productos!$A:$A,Productos!BP:BP,"Revisar"),"")</f>
        <v/>
      </c>
      <c r="BX788" s="179" t="str">
        <f t="array" ref="BX788">IF($F788&lt;&gt;"", XLOOKUP($F788,Productos!$A$2:$A1001,Productos!BQ$2:BQ1001,"")*$G788,"")</f>
        <v/>
      </c>
      <c r="BY788" s="179" t="str">
        <f t="array" ref="BY788">IF($F788&lt;&gt;"",XLOOKUP($F788,Productos!$A:$A,Productos!BR:BR,"Revisar"),"")</f>
        <v/>
      </c>
      <c r="BZ788" s="179" t="str">
        <f t="array" ref="BZ788">IF($F788&lt;&gt;"", XLOOKUP($F788,Productos!$A$2:$A1001,Productos!BS$2:BS1001,"")*$G788,"")</f>
        <v/>
      </c>
    </row>
    <row r="789">
      <c r="A789" s="188"/>
      <c r="B789" s="189"/>
      <c r="C789" s="190"/>
      <c r="D789" s="190"/>
      <c r="E789" s="191"/>
      <c r="F789" s="186"/>
      <c r="G789" s="192"/>
      <c r="H789" s="9"/>
      <c r="I789" s="179" t="str">
        <f t="array" ref="I789">IF($F789&lt;&gt;"",XLOOKUP($F789,Productos!$A:$A,Productos!B:B,"Revisar"),"")</f>
        <v/>
      </c>
      <c r="J789" s="179" t="str">
        <f t="array" ref="J789">IF($F789&lt;&gt;"", XLOOKUP($F789,Productos!$A$2:$A1001,Productos!C$2:C1001,"")*$G789,"")</f>
        <v/>
      </c>
      <c r="K789" s="179" t="str">
        <f t="array" ref="K789">IF($F789&lt;&gt;"",XLOOKUP($F789,Productos!$A:$A,Productos!D:D,"Revisar"),"")</f>
        <v/>
      </c>
      <c r="L789" s="179" t="str">
        <f t="array" ref="L789">IF($F789&lt;&gt;"", XLOOKUP($F789,Productos!$A$2:$A1001,Productos!E$2:E1001,"")*$G789,"")</f>
        <v/>
      </c>
      <c r="M789" s="179" t="str">
        <f t="array" ref="M789">IF($F789&lt;&gt;"",XLOOKUP($F789,Productos!$A:$A,Productos!F:F,"Revisar"),"")</f>
        <v/>
      </c>
      <c r="N789" s="179" t="str">
        <f t="array" ref="N789">IF($F789&lt;&gt;"", XLOOKUP($F789,Productos!$A$2:$A1001,Productos!G$2:G1001,"")*$G789,"")</f>
        <v/>
      </c>
      <c r="O789" s="179" t="str">
        <f t="array" ref="O789">IF($F789&lt;&gt;"",XLOOKUP($F789,Productos!$A:$A,Productos!H:H,"Revisar"),"")</f>
        <v/>
      </c>
      <c r="P789" s="179" t="str">
        <f t="array" ref="P789">IF($F789&lt;&gt;"", XLOOKUP($F789,Productos!$A$2:$A1001,Productos!I$2:I1001,"")*$G789,"")</f>
        <v/>
      </c>
      <c r="Q789" s="179" t="str">
        <f t="array" ref="Q789">IF($F789&lt;&gt;"",XLOOKUP($F789,Productos!$A:$A,Productos!J:J,"Revisar"),"")</f>
        <v/>
      </c>
      <c r="R789" s="179" t="str">
        <f t="array" ref="R789">IF($F789&lt;&gt;"", XLOOKUP($F789,Productos!$A$2:$A1001,Productos!K$2:K1001,"")*$G789,"")</f>
        <v/>
      </c>
      <c r="S789" s="179" t="str">
        <f t="array" ref="S789">IF($F789&lt;&gt;"",XLOOKUP($F789,Productos!$A:$A,Productos!L:L,"Revisar"),"")</f>
        <v/>
      </c>
      <c r="T789" s="179" t="str">
        <f t="array" ref="T789">IF($F789&lt;&gt;"", XLOOKUP($F789,Productos!$A$2:$A1001,Productos!M$2:M1001,"")*$G789,"")</f>
        <v/>
      </c>
      <c r="U789" s="179" t="str">
        <f t="array" ref="U789">IF($F789&lt;&gt;"",XLOOKUP($F789,Productos!$A:$A,Productos!N:N,"Revisar"),"")</f>
        <v/>
      </c>
      <c r="V789" s="179" t="str">
        <f t="array" ref="V789">IF($F789&lt;&gt;"", XLOOKUP($F789,Productos!$A$2:$A1001,Productos!O$2:O1001,"")*$G789,"")</f>
        <v/>
      </c>
      <c r="W789" s="179" t="str">
        <f t="array" ref="W789">IF($F789&lt;&gt;"",XLOOKUP($F789,Productos!$A:$A,Productos!P:P,"Revisar"),"")</f>
        <v/>
      </c>
      <c r="X789" s="179" t="str">
        <f t="array" ref="X789">IF($F789&lt;&gt;"", XLOOKUP($F789,Productos!$A$2:$A1001,Productos!Q$2:Q1001,"")*$G789,"")</f>
        <v/>
      </c>
      <c r="Y789" s="179" t="str">
        <f t="array" ref="Y789">IF($F789&lt;&gt;"",XLOOKUP($F789,Productos!$A:$A,Productos!R:R,"Revisar"),"")</f>
        <v/>
      </c>
      <c r="Z789" s="179" t="str">
        <f t="array" ref="Z789">IF($F789&lt;&gt;"", XLOOKUP($F789,Productos!$A$2:$A1001,Productos!S$2:S1001,"")*$G789,"")</f>
        <v/>
      </c>
      <c r="AA789" s="179" t="str">
        <f t="array" ref="AA789">IF($F789&lt;&gt;"",XLOOKUP($F789,Productos!$A:$A,Productos!T:T,"Revisar"),"")</f>
        <v/>
      </c>
      <c r="AB789" s="179" t="str">
        <f t="array" ref="AB789">IF($F789&lt;&gt;"", XLOOKUP($F789,Productos!$A$2:$A1001,Productos!U$2:U1001,"")*$G789,"")</f>
        <v/>
      </c>
      <c r="AC789" s="179" t="str">
        <f t="array" ref="AC789">IF($F789&lt;&gt;"",XLOOKUP($F789,Productos!$A:$A,Productos!V:V,"Revisar"),"")</f>
        <v/>
      </c>
      <c r="AD789" s="179" t="str">
        <f t="array" ref="AD789">IF($F789&lt;&gt;"", XLOOKUP($F789,Productos!$A$2:$A1001,Productos!W$2:W1001,"")*$G789,"")</f>
        <v/>
      </c>
      <c r="AE789" s="179" t="str">
        <f t="array" ref="AE789">IF($F789&lt;&gt;"",XLOOKUP($F789,Productos!$A:$A,Productos!X:X,"Revisar"),"")</f>
        <v/>
      </c>
      <c r="AF789" s="179" t="str">
        <f t="array" ref="AF789">IF($F789&lt;&gt;"", XLOOKUP($F789,Productos!$A$2:$A1001,Productos!Y$2:Y1001,"")*$G789,"")</f>
        <v/>
      </c>
      <c r="AG789" s="179" t="str">
        <f t="array" ref="AG789">IF($F789&lt;&gt;"",XLOOKUP($F789,Productos!$A:$A,Productos!Z:Z,"Revisar"),"")</f>
        <v/>
      </c>
      <c r="AH789" s="179" t="str">
        <f t="array" ref="AH789">IF($F789&lt;&gt;"", XLOOKUP($F789,Productos!$A$2:$A1001,Productos!AA$2:AA1001,"")*$G789,"")</f>
        <v/>
      </c>
      <c r="AI789" s="179" t="str">
        <f t="array" ref="AI789">IF($F789&lt;&gt;"",XLOOKUP($F789,Productos!$A:$A,Productos!AB:AB,"Revisar"),"")</f>
        <v/>
      </c>
      <c r="AJ789" s="179" t="str">
        <f t="array" ref="AJ789">IF($F789&lt;&gt;"", XLOOKUP($F789,Productos!$A$2:$A1001,Productos!AC$2:AC1001,"")*$G789,"")</f>
        <v/>
      </c>
      <c r="AK789" s="179" t="str">
        <f t="array" ref="AK789">IF($F789&lt;&gt;"",XLOOKUP($F789,Productos!$A:$A,Productos!AD:AD,"Revisar"),"")</f>
        <v/>
      </c>
      <c r="AL789" s="179" t="str">
        <f t="array" ref="AL789">IF($F789&lt;&gt;"", XLOOKUP($F789,Productos!$A$2:$A1001,Productos!AE$2:AE1001,"")*$G789,"")</f>
        <v/>
      </c>
      <c r="AM789" s="179" t="str">
        <f t="array" ref="AM789">IF($F789&lt;&gt;"",XLOOKUP($F789,Productos!$A:$A,Productos!AF:AF,"Revisar"),"")</f>
        <v/>
      </c>
      <c r="AN789" s="179" t="str">
        <f t="array" ref="AN789">IF($F789&lt;&gt;"", XLOOKUP($F789,Productos!$A$2:$A1001,Productos!AG$2:AG1001,"")*$G789,"")</f>
        <v/>
      </c>
      <c r="AO789" s="179" t="str">
        <f t="array" ref="AO789">IF($F789&lt;&gt;"",XLOOKUP($F789,Productos!$A:$A,Productos!AH:AH,"Revisar"),"")</f>
        <v/>
      </c>
      <c r="AP789" s="179" t="str">
        <f t="array" ref="AP789">IF($F789&lt;&gt;"", XLOOKUP($F789,Productos!$A$2:$A1001,Productos!AI$2:AI1001,"")*$G789,"")</f>
        <v/>
      </c>
      <c r="AQ789" s="179" t="str">
        <f t="array" ref="AQ789">IF($F789&lt;&gt;"",XLOOKUP($F789,Productos!$A:$A,Productos!AJ:AJ,"Revisar"),"")</f>
        <v/>
      </c>
      <c r="AR789" s="179" t="str">
        <f t="array" ref="AR789">IF($F789&lt;&gt;"", XLOOKUP($F789,Productos!$A$2:$A1001,Productos!AK$2:AK1001,"")*$G789,"")</f>
        <v/>
      </c>
      <c r="AS789" s="179" t="str">
        <f t="array" ref="AS789">IF($F789&lt;&gt;"",XLOOKUP($F789,Productos!$A:$A,Productos!AL:AL,"Revisar"),"")</f>
        <v/>
      </c>
      <c r="AT789" s="179" t="str">
        <f t="array" ref="AT789">IF($F789&lt;&gt;"", XLOOKUP($F789,Productos!$A$2:$A1001,Productos!AM$2:AM1001,"")*$G789,"")</f>
        <v/>
      </c>
      <c r="AU789" s="179" t="str">
        <f t="array" ref="AU789">IF($F789&lt;&gt;"",XLOOKUP($F789,Productos!$A:$A,Productos!AN:AN,"Revisar"),"")</f>
        <v/>
      </c>
      <c r="AV789" s="179" t="str">
        <f t="array" ref="AV789">IF($F789&lt;&gt;"", XLOOKUP($F789,Productos!$A$2:$A1001,Productos!AO$2:AO1001,"")*$G789,"")</f>
        <v/>
      </c>
      <c r="AW789" s="179" t="str">
        <f t="array" ref="AW789">IF($F789&lt;&gt;"",XLOOKUP($F789,Productos!$A:$A,Productos!AP:AP,"Revisar"),"")</f>
        <v/>
      </c>
      <c r="AX789" s="179" t="str">
        <f t="array" ref="AX789">IF($F789&lt;&gt;"", XLOOKUP($F789,Productos!$A$2:$A1001,Productos!AQ$2:AQ1001,"")*$G789,"")</f>
        <v/>
      </c>
      <c r="AY789" s="179" t="str">
        <f t="array" ref="AY789">IF($F789&lt;&gt;"",XLOOKUP($F789,Productos!$A:$A,Productos!AR:AR,"Revisar"),"")</f>
        <v/>
      </c>
      <c r="AZ789" s="179" t="str">
        <f t="array" ref="AZ789">IF($F789&lt;&gt;"", XLOOKUP($F789,Productos!$A$2:$A1001,Productos!AS$2:AS1001,"")*$G789,"")</f>
        <v/>
      </c>
      <c r="BA789" s="179" t="str">
        <f t="array" ref="BA789">IF($F789&lt;&gt;"",XLOOKUP($F789,Productos!$A:$A,Productos!AT:AT,"Revisar"),"")</f>
        <v/>
      </c>
      <c r="BB789" s="179" t="str">
        <f t="array" ref="BB789">IF($F789&lt;&gt;"", XLOOKUP($F789,Productos!$A$2:$A1001,Productos!AU$2:AU1001,"")*$G789,"")</f>
        <v/>
      </c>
      <c r="BC789" s="179" t="str">
        <f t="array" ref="BC789">IF($F789&lt;&gt;"",XLOOKUP($F789,Productos!$A:$A,Productos!AV:AV,"Revisar"),"")</f>
        <v/>
      </c>
      <c r="BD789" s="179" t="str">
        <f t="array" ref="BD789">IF($F789&lt;&gt;"", XLOOKUP($F789,Productos!$A$2:$A1001,Productos!AW$2:AW1001,"")*$G789,"")</f>
        <v/>
      </c>
      <c r="BE789" s="179" t="str">
        <f t="array" ref="BE789">IF($F789&lt;&gt;"",XLOOKUP($F789,Productos!$A:$A,Productos!AX:AX,"Revisar"),"")</f>
        <v/>
      </c>
      <c r="BF789" s="179" t="str">
        <f t="array" ref="BF789">IF($F789&lt;&gt;"", XLOOKUP($F789,Productos!$A$2:$A1001,Productos!AY$2:AY1001,"")*$G789,"")</f>
        <v/>
      </c>
      <c r="BG789" s="179" t="str">
        <f t="array" ref="BG789">IF($F789&lt;&gt;"",XLOOKUP($F789,Productos!$A:$A,Productos!AZ:AZ,"Revisar"),"")</f>
        <v/>
      </c>
      <c r="BH789" s="179" t="str">
        <f t="array" ref="BH789">IF($F789&lt;&gt;"", XLOOKUP($F789,Productos!$A$2:$A1001,Productos!BA$2:BA1001,"")*$G789,"")</f>
        <v/>
      </c>
      <c r="BI789" s="179" t="str">
        <f t="array" ref="BI789">IF($F789&lt;&gt;"",XLOOKUP($F789,Productos!$A:$A,Productos!BB:BB,"Revisar"),"")</f>
        <v/>
      </c>
      <c r="BJ789" s="179" t="str">
        <f t="array" ref="BJ789">IF($F789&lt;&gt;"", XLOOKUP($F789,Productos!$A$2:$A1001,Productos!BC$2:BC1001,"")*$G789,"")</f>
        <v/>
      </c>
      <c r="BK789" s="179" t="str">
        <f t="array" ref="BK789">IF($F789&lt;&gt;"",XLOOKUP($F789,Productos!$A:$A,Productos!BD:BD,"Revisar"),"")</f>
        <v/>
      </c>
      <c r="BL789" s="179" t="str">
        <f t="array" ref="BL789">IF($F789&lt;&gt;"", XLOOKUP($F789,Productos!$A$2:$A1001,Productos!BE$2:BE1001,"")*$G789,"")</f>
        <v/>
      </c>
      <c r="BM789" s="179" t="str">
        <f t="array" ref="BM789">IF($F789&lt;&gt;"",XLOOKUP($F789,Productos!$A:$A,Productos!BF:BF,"Revisar"),"")</f>
        <v/>
      </c>
      <c r="BN789" s="179" t="str">
        <f t="array" ref="BN789">IF($F789&lt;&gt;"", XLOOKUP($F789,Productos!$A$2:$A1001,Productos!BG$2:BG1001,"")*$G789,"")</f>
        <v/>
      </c>
      <c r="BO789" s="179" t="str">
        <f t="array" ref="BO789">IF($F789&lt;&gt;"",XLOOKUP($F789,Productos!$A:$A,Productos!BH:BH,"Revisar"),"")</f>
        <v/>
      </c>
      <c r="BP789" s="179" t="str">
        <f t="array" ref="BP789">IF($F789&lt;&gt;"", XLOOKUP($F789,Productos!$A$2:$A1001,Productos!BI$2:BI1001,"")*$G789,"")</f>
        <v/>
      </c>
      <c r="BQ789" s="179" t="str">
        <f t="array" ref="BQ789">IF($F789&lt;&gt;"",XLOOKUP($F789,Productos!$A:$A,Productos!BJ:BJ,"Revisar"),"")</f>
        <v/>
      </c>
      <c r="BR789" s="179" t="str">
        <f t="array" ref="BR789">IF($F789&lt;&gt;"", XLOOKUP($F789,Productos!$A$2:$A1001,Productos!BK$2:BK1001,"")*$G789,"")</f>
        <v/>
      </c>
      <c r="BS789" s="179" t="str">
        <f t="array" ref="BS789">IF($F789&lt;&gt;"",XLOOKUP($F789,Productos!$A:$A,Productos!BL:BL,"Revisar"),"")</f>
        <v/>
      </c>
      <c r="BT789" s="179" t="str">
        <f t="array" ref="BT789">IF($F789&lt;&gt;"", XLOOKUP($F789,Productos!$A$2:$A1001,Productos!BM$2:BM1001,"")*$G789,"")</f>
        <v/>
      </c>
      <c r="BU789" s="179" t="str">
        <f t="array" ref="BU789">IF($F789&lt;&gt;"",XLOOKUP($F789,Productos!$A:$A,Productos!BN:BN,"Revisar"),"")</f>
        <v/>
      </c>
      <c r="BV789" s="179" t="str">
        <f t="array" ref="BV789">IF($F789&lt;&gt;"", XLOOKUP($F789,Productos!$A$2:$A1001,Productos!BO$2:BO1001,"")*$G789,"")</f>
        <v/>
      </c>
      <c r="BW789" s="179" t="str">
        <f t="array" ref="BW789">IF($F789&lt;&gt;"",XLOOKUP($F789,Productos!$A:$A,Productos!BP:BP,"Revisar"),"")</f>
        <v/>
      </c>
      <c r="BX789" s="179" t="str">
        <f t="array" ref="BX789">IF($F789&lt;&gt;"", XLOOKUP($F789,Productos!$A$2:$A1001,Productos!BQ$2:BQ1001,"")*$G789,"")</f>
        <v/>
      </c>
      <c r="BY789" s="179" t="str">
        <f t="array" ref="BY789">IF($F789&lt;&gt;"",XLOOKUP($F789,Productos!$A:$A,Productos!BR:BR,"Revisar"),"")</f>
        <v/>
      </c>
      <c r="BZ789" s="179" t="str">
        <f t="array" ref="BZ789">IF($F789&lt;&gt;"", XLOOKUP($F789,Productos!$A$2:$A1001,Productos!BS$2:BS1001,"")*$G789,"")</f>
        <v/>
      </c>
    </row>
    <row r="790">
      <c r="A790" s="188"/>
      <c r="B790" s="189"/>
      <c r="C790" s="190"/>
      <c r="D790" s="190"/>
      <c r="E790" s="191"/>
      <c r="F790" s="186"/>
      <c r="G790" s="192"/>
      <c r="H790" s="9"/>
      <c r="I790" s="179" t="str">
        <f t="array" ref="I790">IF($F790&lt;&gt;"",XLOOKUP($F790,Productos!$A:$A,Productos!B:B,"Revisar"),"")</f>
        <v/>
      </c>
      <c r="J790" s="179" t="str">
        <f t="array" ref="J790">IF($F790&lt;&gt;"", XLOOKUP($F790,Productos!$A$2:$A1001,Productos!C$2:C1001,"")*$G790,"")</f>
        <v/>
      </c>
      <c r="K790" s="179" t="str">
        <f t="array" ref="K790">IF($F790&lt;&gt;"",XLOOKUP($F790,Productos!$A:$A,Productos!D:D,"Revisar"),"")</f>
        <v/>
      </c>
      <c r="L790" s="179" t="str">
        <f t="array" ref="L790">IF($F790&lt;&gt;"", XLOOKUP($F790,Productos!$A$2:$A1001,Productos!E$2:E1001,"")*$G790,"")</f>
        <v/>
      </c>
      <c r="M790" s="179" t="str">
        <f t="array" ref="M790">IF($F790&lt;&gt;"",XLOOKUP($F790,Productos!$A:$A,Productos!F:F,"Revisar"),"")</f>
        <v/>
      </c>
      <c r="N790" s="179" t="str">
        <f t="array" ref="N790">IF($F790&lt;&gt;"", XLOOKUP($F790,Productos!$A$2:$A1001,Productos!G$2:G1001,"")*$G790,"")</f>
        <v/>
      </c>
      <c r="O790" s="179" t="str">
        <f t="array" ref="O790">IF($F790&lt;&gt;"",XLOOKUP($F790,Productos!$A:$A,Productos!H:H,"Revisar"),"")</f>
        <v/>
      </c>
      <c r="P790" s="179" t="str">
        <f t="array" ref="P790">IF($F790&lt;&gt;"", XLOOKUP($F790,Productos!$A$2:$A1001,Productos!I$2:I1001,"")*$G790,"")</f>
        <v/>
      </c>
      <c r="Q790" s="179" t="str">
        <f t="array" ref="Q790">IF($F790&lt;&gt;"",XLOOKUP($F790,Productos!$A:$A,Productos!J:J,"Revisar"),"")</f>
        <v/>
      </c>
      <c r="R790" s="179" t="str">
        <f t="array" ref="R790">IF($F790&lt;&gt;"", XLOOKUP($F790,Productos!$A$2:$A1001,Productos!K$2:K1001,"")*$G790,"")</f>
        <v/>
      </c>
      <c r="S790" s="179" t="str">
        <f t="array" ref="S790">IF($F790&lt;&gt;"",XLOOKUP($F790,Productos!$A:$A,Productos!L:L,"Revisar"),"")</f>
        <v/>
      </c>
      <c r="T790" s="179" t="str">
        <f t="array" ref="T790">IF($F790&lt;&gt;"", XLOOKUP($F790,Productos!$A$2:$A1001,Productos!M$2:M1001,"")*$G790,"")</f>
        <v/>
      </c>
      <c r="U790" s="179" t="str">
        <f t="array" ref="U790">IF($F790&lt;&gt;"",XLOOKUP($F790,Productos!$A:$A,Productos!N:N,"Revisar"),"")</f>
        <v/>
      </c>
      <c r="V790" s="179" t="str">
        <f t="array" ref="V790">IF($F790&lt;&gt;"", XLOOKUP($F790,Productos!$A$2:$A1001,Productos!O$2:O1001,"")*$G790,"")</f>
        <v/>
      </c>
      <c r="W790" s="179" t="str">
        <f t="array" ref="W790">IF($F790&lt;&gt;"",XLOOKUP($F790,Productos!$A:$A,Productos!P:P,"Revisar"),"")</f>
        <v/>
      </c>
      <c r="X790" s="179" t="str">
        <f t="array" ref="X790">IF($F790&lt;&gt;"", XLOOKUP($F790,Productos!$A$2:$A1001,Productos!Q$2:Q1001,"")*$G790,"")</f>
        <v/>
      </c>
      <c r="Y790" s="179" t="str">
        <f t="array" ref="Y790">IF($F790&lt;&gt;"",XLOOKUP($F790,Productos!$A:$A,Productos!R:R,"Revisar"),"")</f>
        <v/>
      </c>
      <c r="Z790" s="179" t="str">
        <f t="array" ref="Z790">IF($F790&lt;&gt;"", XLOOKUP($F790,Productos!$A$2:$A1001,Productos!S$2:S1001,"")*$G790,"")</f>
        <v/>
      </c>
      <c r="AA790" s="179" t="str">
        <f t="array" ref="AA790">IF($F790&lt;&gt;"",XLOOKUP($F790,Productos!$A:$A,Productos!T:T,"Revisar"),"")</f>
        <v/>
      </c>
      <c r="AB790" s="179" t="str">
        <f t="array" ref="AB790">IF($F790&lt;&gt;"", XLOOKUP($F790,Productos!$A$2:$A1001,Productos!U$2:U1001,"")*$G790,"")</f>
        <v/>
      </c>
      <c r="AC790" s="179" t="str">
        <f t="array" ref="AC790">IF($F790&lt;&gt;"",XLOOKUP($F790,Productos!$A:$A,Productos!V:V,"Revisar"),"")</f>
        <v/>
      </c>
      <c r="AD790" s="179" t="str">
        <f t="array" ref="AD790">IF($F790&lt;&gt;"", XLOOKUP($F790,Productos!$A$2:$A1001,Productos!W$2:W1001,"")*$G790,"")</f>
        <v/>
      </c>
      <c r="AE790" s="179" t="str">
        <f t="array" ref="AE790">IF($F790&lt;&gt;"",XLOOKUP($F790,Productos!$A:$A,Productos!X:X,"Revisar"),"")</f>
        <v/>
      </c>
      <c r="AF790" s="179" t="str">
        <f t="array" ref="AF790">IF($F790&lt;&gt;"", XLOOKUP($F790,Productos!$A$2:$A1001,Productos!Y$2:Y1001,"")*$G790,"")</f>
        <v/>
      </c>
      <c r="AG790" s="179" t="str">
        <f t="array" ref="AG790">IF($F790&lt;&gt;"",XLOOKUP($F790,Productos!$A:$A,Productos!Z:Z,"Revisar"),"")</f>
        <v/>
      </c>
      <c r="AH790" s="179" t="str">
        <f t="array" ref="AH790">IF($F790&lt;&gt;"", XLOOKUP($F790,Productos!$A$2:$A1001,Productos!AA$2:AA1001,"")*$G790,"")</f>
        <v/>
      </c>
      <c r="AI790" s="179" t="str">
        <f t="array" ref="AI790">IF($F790&lt;&gt;"",XLOOKUP($F790,Productos!$A:$A,Productos!AB:AB,"Revisar"),"")</f>
        <v/>
      </c>
      <c r="AJ790" s="179" t="str">
        <f t="array" ref="AJ790">IF($F790&lt;&gt;"", XLOOKUP($F790,Productos!$A$2:$A1001,Productos!AC$2:AC1001,"")*$G790,"")</f>
        <v/>
      </c>
      <c r="AK790" s="179" t="str">
        <f t="array" ref="AK790">IF($F790&lt;&gt;"",XLOOKUP($F790,Productos!$A:$A,Productos!AD:AD,"Revisar"),"")</f>
        <v/>
      </c>
      <c r="AL790" s="179" t="str">
        <f t="array" ref="AL790">IF($F790&lt;&gt;"", XLOOKUP($F790,Productos!$A$2:$A1001,Productos!AE$2:AE1001,"")*$G790,"")</f>
        <v/>
      </c>
      <c r="AM790" s="179" t="str">
        <f t="array" ref="AM790">IF($F790&lt;&gt;"",XLOOKUP($F790,Productos!$A:$A,Productos!AF:AF,"Revisar"),"")</f>
        <v/>
      </c>
      <c r="AN790" s="179" t="str">
        <f t="array" ref="AN790">IF($F790&lt;&gt;"", XLOOKUP($F790,Productos!$A$2:$A1001,Productos!AG$2:AG1001,"")*$G790,"")</f>
        <v/>
      </c>
      <c r="AO790" s="179" t="str">
        <f t="array" ref="AO790">IF($F790&lt;&gt;"",XLOOKUP($F790,Productos!$A:$A,Productos!AH:AH,"Revisar"),"")</f>
        <v/>
      </c>
      <c r="AP790" s="179" t="str">
        <f t="array" ref="AP790">IF($F790&lt;&gt;"", XLOOKUP($F790,Productos!$A$2:$A1001,Productos!AI$2:AI1001,"")*$G790,"")</f>
        <v/>
      </c>
      <c r="AQ790" s="179" t="str">
        <f t="array" ref="AQ790">IF($F790&lt;&gt;"",XLOOKUP($F790,Productos!$A:$A,Productos!AJ:AJ,"Revisar"),"")</f>
        <v/>
      </c>
      <c r="AR790" s="179" t="str">
        <f t="array" ref="AR790">IF($F790&lt;&gt;"", XLOOKUP($F790,Productos!$A$2:$A1001,Productos!AK$2:AK1001,"")*$G790,"")</f>
        <v/>
      </c>
      <c r="AS790" s="179" t="str">
        <f t="array" ref="AS790">IF($F790&lt;&gt;"",XLOOKUP($F790,Productos!$A:$A,Productos!AL:AL,"Revisar"),"")</f>
        <v/>
      </c>
      <c r="AT790" s="179" t="str">
        <f t="array" ref="AT790">IF($F790&lt;&gt;"", XLOOKUP($F790,Productos!$A$2:$A1001,Productos!AM$2:AM1001,"")*$G790,"")</f>
        <v/>
      </c>
      <c r="AU790" s="179" t="str">
        <f t="array" ref="AU790">IF($F790&lt;&gt;"",XLOOKUP($F790,Productos!$A:$A,Productos!AN:AN,"Revisar"),"")</f>
        <v/>
      </c>
      <c r="AV790" s="179" t="str">
        <f t="array" ref="AV790">IF($F790&lt;&gt;"", XLOOKUP($F790,Productos!$A$2:$A1001,Productos!AO$2:AO1001,"")*$G790,"")</f>
        <v/>
      </c>
      <c r="AW790" s="179" t="str">
        <f t="array" ref="AW790">IF($F790&lt;&gt;"",XLOOKUP($F790,Productos!$A:$A,Productos!AP:AP,"Revisar"),"")</f>
        <v/>
      </c>
      <c r="AX790" s="179" t="str">
        <f t="array" ref="AX790">IF($F790&lt;&gt;"", XLOOKUP($F790,Productos!$A$2:$A1001,Productos!AQ$2:AQ1001,"")*$G790,"")</f>
        <v/>
      </c>
      <c r="AY790" s="179" t="str">
        <f t="array" ref="AY790">IF($F790&lt;&gt;"",XLOOKUP($F790,Productos!$A:$A,Productos!AR:AR,"Revisar"),"")</f>
        <v/>
      </c>
      <c r="AZ790" s="179" t="str">
        <f t="array" ref="AZ790">IF($F790&lt;&gt;"", XLOOKUP($F790,Productos!$A$2:$A1001,Productos!AS$2:AS1001,"")*$G790,"")</f>
        <v/>
      </c>
      <c r="BA790" s="179" t="str">
        <f t="array" ref="BA790">IF($F790&lt;&gt;"",XLOOKUP($F790,Productos!$A:$A,Productos!AT:AT,"Revisar"),"")</f>
        <v/>
      </c>
      <c r="BB790" s="179" t="str">
        <f t="array" ref="BB790">IF($F790&lt;&gt;"", XLOOKUP($F790,Productos!$A$2:$A1001,Productos!AU$2:AU1001,"")*$G790,"")</f>
        <v/>
      </c>
      <c r="BC790" s="179" t="str">
        <f t="array" ref="BC790">IF($F790&lt;&gt;"",XLOOKUP($F790,Productos!$A:$A,Productos!AV:AV,"Revisar"),"")</f>
        <v/>
      </c>
      <c r="BD790" s="179" t="str">
        <f t="array" ref="BD790">IF($F790&lt;&gt;"", XLOOKUP($F790,Productos!$A$2:$A1001,Productos!AW$2:AW1001,"")*$G790,"")</f>
        <v/>
      </c>
      <c r="BE790" s="179" t="str">
        <f t="array" ref="BE790">IF($F790&lt;&gt;"",XLOOKUP($F790,Productos!$A:$A,Productos!AX:AX,"Revisar"),"")</f>
        <v/>
      </c>
      <c r="BF790" s="179" t="str">
        <f t="array" ref="BF790">IF($F790&lt;&gt;"", XLOOKUP($F790,Productos!$A$2:$A1001,Productos!AY$2:AY1001,"")*$G790,"")</f>
        <v/>
      </c>
      <c r="BG790" s="179" t="str">
        <f t="array" ref="BG790">IF($F790&lt;&gt;"",XLOOKUP($F790,Productos!$A:$A,Productos!AZ:AZ,"Revisar"),"")</f>
        <v/>
      </c>
      <c r="BH790" s="179" t="str">
        <f t="array" ref="BH790">IF($F790&lt;&gt;"", XLOOKUP($F790,Productos!$A$2:$A1001,Productos!BA$2:BA1001,"")*$G790,"")</f>
        <v/>
      </c>
      <c r="BI790" s="179" t="str">
        <f t="array" ref="BI790">IF($F790&lt;&gt;"",XLOOKUP($F790,Productos!$A:$A,Productos!BB:BB,"Revisar"),"")</f>
        <v/>
      </c>
      <c r="BJ790" s="179" t="str">
        <f t="array" ref="BJ790">IF($F790&lt;&gt;"", XLOOKUP($F790,Productos!$A$2:$A1001,Productos!BC$2:BC1001,"")*$G790,"")</f>
        <v/>
      </c>
      <c r="BK790" s="179" t="str">
        <f t="array" ref="BK790">IF($F790&lt;&gt;"",XLOOKUP($F790,Productos!$A:$A,Productos!BD:BD,"Revisar"),"")</f>
        <v/>
      </c>
      <c r="BL790" s="179" t="str">
        <f t="array" ref="BL790">IF($F790&lt;&gt;"", XLOOKUP($F790,Productos!$A$2:$A1001,Productos!BE$2:BE1001,"")*$G790,"")</f>
        <v/>
      </c>
      <c r="BM790" s="179" t="str">
        <f t="array" ref="BM790">IF($F790&lt;&gt;"",XLOOKUP($F790,Productos!$A:$A,Productos!BF:BF,"Revisar"),"")</f>
        <v/>
      </c>
      <c r="BN790" s="179" t="str">
        <f t="array" ref="BN790">IF($F790&lt;&gt;"", XLOOKUP($F790,Productos!$A$2:$A1001,Productos!BG$2:BG1001,"")*$G790,"")</f>
        <v/>
      </c>
      <c r="BO790" s="179" t="str">
        <f t="array" ref="BO790">IF($F790&lt;&gt;"",XLOOKUP($F790,Productos!$A:$A,Productos!BH:BH,"Revisar"),"")</f>
        <v/>
      </c>
      <c r="BP790" s="179" t="str">
        <f t="array" ref="BP790">IF($F790&lt;&gt;"", XLOOKUP($F790,Productos!$A$2:$A1001,Productos!BI$2:BI1001,"")*$G790,"")</f>
        <v/>
      </c>
      <c r="BQ790" s="179" t="str">
        <f t="array" ref="BQ790">IF($F790&lt;&gt;"",XLOOKUP($F790,Productos!$A:$A,Productos!BJ:BJ,"Revisar"),"")</f>
        <v/>
      </c>
      <c r="BR790" s="179" t="str">
        <f t="array" ref="BR790">IF($F790&lt;&gt;"", XLOOKUP($F790,Productos!$A$2:$A1001,Productos!BK$2:BK1001,"")*$G790,"")</f>
        <v/>
      </c>
      <c r="BS790" s="179" t="str">
        <f t="array" ref="BS790">IF($F790&lt;&gt;"",XLOOKUP($F790,Productos!$A:$A,Productos!BL:BL,"Revisar"),"")</f>
        <v/>
      </c>
      <c r="BT790" s="179" t="str">
        <f t="array" ref="BT790">IF($F790&lt;&gt;"", XLOOKUP($F790,Productos!$A$2:$A1001,Productos!BM$2:BM1001,"")*$G790,"")</f>
        <v/>
      </c>
      <c r="BU790" s="179" t="str">
        <f t="array" ref="BU790">IF($F790&lt;&gt;"",XLOOKUP($F790,Productos!$A:$A,Productos!BN:BN,"Revisar"),"")</f>
        <v/>
      </c>
      <c r="BV790" s="179" t="str">
        <f t="array" ref="BV790">IF($F790&lt;&gt;"", XLOOKUP($F790,Productos!$A$2:$A1001,Productos!BO$2:BO1001,"")*$G790,"")</f>
        <v/>
      </c>
      <c r="BW790" s="179" t="str">
        <f t="array" ref="BW790">IF($F790&lt;&gt;"",XLOOKUP($F790,Productos!$A:$A,Productos!BP:BP,"Revisar"),"")</f>
        <v/>
      </c>
      <c r="BX790" s="179" t="str">
        <f t="array" ref="BX790">IF($F790&lt;&gt;"", XLOOKUP($F790,Productos!$A$2:$A1001,Productos!BQ$2:BQ1001,"")*$G790,"")</f>
        <v/>
      </c>
      <c r="BY790" s="179" t="str">
        <f t="array" ref="BY790">IF($F790&lt;&gt;"",XLOOKUP($F790,Productos!$A:$A,Productos!BR:BR,"Revisar"),"")</f>
        <v/>
      </c>
      <c r="BZ790" s="179" t="str">
        <f t="array" ref="BZ790">IF($F790&lt;&gt;"", XLOOKUP($F790,Productos!$A$2:$A1001,Productos!BS$2:BS1001,"")*$G790,"")</f>
        <v/>
      </c>
    </row>
    <row r="791">
      <c r="A791" s="188"/>
      <c r="B791" s="189"/>
      <c r="C791" s="190"/>
      <c r="D791" s="190"/>
      <c r="E791" s="191"/>
      <c r="F791" s="186"/>
      <c r="G791" s="192"/>
      <c r="H791" s="9"/>
      <c r="I791" s="179" t="str">
        <f t="array" ref="I791">IF($F791&lt;&gt;"",XLOOKUP($F791,Productos!$A:$A,Productos!B:B,"Revisar"),"")</f>
        <v/>
      </c>
      <c r="J791" s="179" t="str">
        <f t="array" ref="J791">IF($F791&lt;&gt;"", XLOOKUP($F791,Productos!$A$2:$A1001,Productos!C$2:C1001,"")*$G791,"")</f>
        <v/>
      </c>
      <c r="K791" s="179" t="str">
        <f t="array" ref="K791">IF($F791&lt;&gt;"",XLOOKUP($F791,Productos!$A:$A,Productos!D:D,"Revisar"),"")</f>
        <v/>
      </c>
      <c r="L791" s="179" t="str">
        <f t="array" ref="L791">IF($F791&lt;&gt;"", XLOOKUP($F791,Productos!$A$2:$A1001,Productos!E$2:E1001,"")*$G791,"")</f>
        <v/>
      </c>
      <c r="M791" s="179" t="str">
        <f t="array" ref="M791">IF($F791&lt;&gt;"",XLOOKUP($F791,Productos!$A:$A,Productos!F:F,"Revisar"),"")</f>
        <v/>
      </c>
      <c r="N791" s="179" t="str">
        <f t="array" ref="N791">IF($F791&lt;&gt;"", XLOOKUP($F791,Productos!$A$2:$A1001,Productos!G$2:G1001,"")*$G791,"")</f>
        <v/>
      </c>
      <c r="O791" s="179" t="str">
        <f t="array" ref="O791">IF($F791&lt;&gt;"",XLOOKUP($F791,Productos!$A:$A,Productos!H:H,"Revisar"),"")</f>
        <v/>
      </c>
      <c r="P791" s="179" t="str">
        <f t="array" ref="P791">IF($F791&lt;&gt;"", XLOOKUP($F791,Productos!$A$2:$A1001,Productos!I$2:I1001,"")*$G791,"")</f>
        <v/>
      </c>
      <c r="Q791" s="179" t="str">
        <f t="array" ref="Q791">IF($F791&lt;&gt;"",XLOOKUP($F791,Productos!$A:$A,Productos!J:J,"Revisar"),"")</f>
        <v/>
      </c>
      <c r="R791" s="179" t="str">
        <f t="array" ref="R791">IF($F791&lt;&gt;"", XLOOKUP($F791,Productos!$A$2:$A1001,Productos!K$2:K1001,"")*$G791,"")</f>
        <v/>
      </c>
      <c r="S791" s="179" t="str">
        <f t="array" ref="S791">IF($F791&lt;&gt;"",XLOOKUP($F791,Productos!$A:$A,Productos!L:L,"Revisar"),"")</f>
        <v/>
      </c>
      <c r="T791" s="179" t="str">
        <f t="array" ref="T791">IF($F791&lt;&gt;"", XLOOKUP($F791,Productos!$A$2:$A1001,Productos!M$2:M1001,"")*$G791,"")</f>
        <v/>
      </c>
      <c r="U791" s="179" t="str">
        <f t="array" ref="U791">IF($F791&lt;&gt;"",XLOOKUP($F791,Productos!$A:$A,Productos!N:N,"Revisar"),"")</f>
        <v/>
      </c>
      <c r="V791" s="179" t="str">
        <f t="array" ref="V791">IF($F791&lt;&gt;"", XLOOKUP($F791,Productos!$A$2:$A1001,Productos!O$2:O1001,"")*$G791,"")</f>
        <v/>
      </c>
      <c r="W791" s="179" t="str">
        <f t="array" ref="W791">IF($F791&lt;&gt;"",XLOOKUP($F791,Productos!$A:$A,Productos!P:P,"Revisar"),"")</f>
        <v/>
      </c>
      <c r="X791" s="179" t="str">
        <f t="array" ref="X791">IF($F791&lt;&gt;"", XLOOKUP($F791,Productos!$A$2:$A1001,Productos!Q$2:Q1001,"")*$G791,"")</f>
        <v/>
      </c>
      <c r="Y791" s="179" t="str">
        <f t="array" ref="Y791">IF($F791&lt;&gt;"",XLOOKUP($F791,Productos!$A:$A,Productos!R:R,"Revisar"),"")</f>
        <v/>
      </c>
      <c r="Z791" s="179" t="str">
        <f t="array" ref="Z791">IF($F791&lt;&gt;"", XLOOKUP($F791,Productos!$A$2:$A1001,Productos!S$2:S1001,"")*$G791,"")</f>
        <v/>
      </c>
      <c r="AA791" s="179" t="str">
        <f t="array" ref="AA791">IF($F791&lt;&gt;"",XLOOKUP($F791,Productos!$A:$A,Productos!T:T,"Revisar"),"")</f>
        <v/>
      </c>
      <c r="AB791" s="179" t="str">
        <f t="array" ref="AB791">IF($F791&lt;&gt;"", XLOOKUP($F791,Productos!$A$2:$A1001,Productos!U$2:U1001,"")*$G791,"")</f>
        <v/>
      </c>
      <c r="AC791" s="179" t="str">
        <f t="array" ref="AC791">IF($F791&lt;&gt;"",XLOOKUP($F791,Productos!$A:$A,Productos!V:V,"Revisar"),"")</f>
        <v/>
      </c>
      <c r="AD791" s="179" t="str">
        <f t="array" ref="AD791">IF($F791&lt;&gt;"", XLOOKUP($F791,Productos!$A$2:$A1001,Productos!W$2:W1001,"")*$G791,"")</f>
        <v/>
      </c>
      <c r="AE791" s="179" t="str">
        <f t="array" ref="AE791">IF($F791&lt;&gt;"",XLOOKUP($F791,Productos!$A:$A,Productos!X:X,"Revisar"),"")</f>
        <v/>
      </c>
      <c r="AF791" s="179" t="str">
        <f t="array" ref="AF791">IF($F791&lt;&gt;"", XLOOKUP($F791,Productos!$A$2:$A1001,Productos!Y$2:Y1001,"")*$G791,"")</f>
        <v/>
      </c>
      <c r="AG791" s="179" t="str">
        <f t="array" ref="AG791">IF($F791&lt;&gt;"",XLOOKUP($F791,Productos!$A:$A,Productos!Z:Z,"Revisar"),"")</f>
        <v/>
      </c>
      <c r="AH791" s="179" t="str">
        <f t="array" ref="AH791">IF($F791&lt;&gt;"", XLOOKUP($F791,Productos!$A$2:$A1001,Productos!AA$2:AA1001,"")*$G791,"")</f>
        <v/>
      </c>
      <c r="AI791" s="179" t="str">
        <f t="array" ref="AI791">IF($F791&lt;&gt;"",XLOOKUP($F791,Productos!$A:$A,Productos!AB:AB,"Revisar"),"")</f>
        <v/>
      </c>
      <c r="AJ791" s="179" t="str">
        <f t="array" ref="AJ791">IF($F791&lt;&gt;"", XLOOKUP($F791,Productos!$A$2:$A1001,Productos!AC$2:AC1001,"")*$G791,"")</f>
        <v/>
      </c>
      <c r="AK791" s="179" t="str">
        <f t="array" ref="AK791">IF($F791&lt;&gt;"",XLOOKUP($F791,Productos!$A:$A,Productos!AD:AD,"Revisar"),"")</f>
        <v/>
      </c>
      <c r="AL791" s="179" t="str">
        <f t="array" ref="AL791">IF($F791&lt;&gt;"", XLOOKUP($F791,Productos!$A$2:$A1001,Productos!AE$2:AE1001,"")*$G791,"")</f>
        <v/>
      </c>
      <c r="AM791" s="179" t="str">
        <f t="array" ref="AM791">IF($F791&lt;&gt;"",XLOOKUP($F791,Productos!$A:$A,Productos!AF:AF,"Revisar"),"")</f>
        <v/>
      </c>
      <c r="AN791" s="179" t="str">
        <f t="array" ref="AN791">IF($F791&lt;&gt;"", XLOOKUP($F791,Productos!$A$2:$A1001,Productos!AG$2:AG1001,"")*$G791,"")</f>
        <v/>
      </c>
      <c r="AO791" s="179" t="str">
        <f t="array" ref="AO791">IF($F791&lt;&gt;"",XLOOKUP($F791,Productos!$A:$A,Productos!AH:AH,"Revisar"),"")</f>
        <v/>
      </c>
      <c r="AP791" s="179" t="str">
        <f t="array" ref="AP791">IF($F791&lt;&gt;"", XLOOKUP($F791,Productos!$A$2:$A1001,Productos!AI$2:AI1001,"")*$G791,"")</f>
        <v/>
      </c>
      <c r="AQ791" s="179" t="str">
        <f t="array" ref="AQ791">IF($F791&lt;&gt;"",XLOOKUP($F791,Productos!$A:$A,Productos!AJ:AJ,"Revisar"),"")</f>
        <v/>
      </c>
      <c r="AR791" s="179" t="str">
        <f t="array" ref="AR791">IF($F791&lt;&gt;"", XLOOKUP($F791,Productos!$A$2:$A1001,Productos!AK$2:AK1001,"")*$G791,"")</f>
        <v/>
      </c>
      <c r="AS791" s="179" t="str">
        <f t="array" ref="AS791">IF($F791&lt;&gt;"",XLOOKUP($F791,Productos!$A:$A,Productos!AL:AL,"Revisar"),"")</f>
        <v/>
      </c>
      <c r="AT791" s="179" t="str">
        <f t="array" ref="AT791">IF($F791&lt;&gt;"", XLOOKUP($F791,Productos!$A$2:$A1001,Productos!AM$2:AM1001,"")*$G791,"")</f>
        <v/>
      </c>
      <c r="AU791" s="179" t="str">
        <f t="array" ref="AU791">IF($F791&lt;&gt;"",XLOOKUP($F791,Productos!$A:$A,Productos!AN:AN,"Revisar"),"")</f>
        <v/>
      </c>
      <c r="AV791" s="179" t="str">
        <f t="array" ref="AV791">IF($F791&lt;&gt;"", XLOOKUP($F791,Productos!$A$2:$A1001,Productos!AO$2:AO1001,"")*$G791,"")</f>
        <v/>
      </c>
      <c r="AW791" s="179" t="str">
        <f t="array" ref="AW791">IF($F791&lt;&gt;"",XLOOKUP($F791,Productos!$A:$A,Productos!AP:AP,"Revisar"),"")</f>
        <v/>
      </c>
      <c r="AX791" s="179" t="str">
        <f t="array" ref="AX791">IF($F791&lt;&gt;"", XLOOKUP($F791,Productos!$A$2:$A1001,Productos!AQ$2:AQ1001,"")*$G791,"")</f>
        <v/>
      </c>
      <c r="AY791" s="179" t="str">
        <f t="array" ref="AY791">IF($F791&lt;&gt;"",XLOOKUP($F791,Productos!$A:$A,Productos!AR:AR,"Revisar"),"")</f>
        <v/>
      </c>
      <c r="AZ791" s="179" t="str">
        <f t="array" ref="AZ791">IF($F791&lt;&gt;"", XLOOKUP($F791,Productos!$A$2:$A1001,Productos!AS$2:AS1001,"")*$G791,"")</f>
        <v/>
      </c>
      <c r="BA791" s="179" t="str">
        <f t="array" ref="BA791">IF($F791&lt;&gt;"",XLOOKUP($F791,Productos!$A:$A,Productos!AT:AT,"Revisar"),"")</f>
        <v/>
      </c>
      <c r="BB791" s="179" t="str">
        <f t="array" ref="BB791">IF($F791&lt;&gt;"", XLOOKUP($F791,Productos!$A$2:$A1001,Productos!AU$2:AU1001,"")*$G791,"")</f>
        <v/>
      </c>
      <c r="BC791" s="179" t="str">
        <f t="array" ref="BC791">IF($F791&lt;&gt;"",XLOOKUP($F791,Productos!$A:$A,Productos!AV:AV,"Revisar"),"")</f>
        <v/>
      </c>
      <c r="BD791" s="179" t="str">
        <f t="array" ref="BD791">IF($F791&lt;&gt;"", XLOOKUP($F791,Productos!$A$2:$A1001,Productos!AW$2:AW1001,"")*$G791,"")</f>
        <v/>
      </c>
      <c r="BE791" s="179" t="str">
        <f t="array" ref="BE791">IF($F791&lt;&gt;"",XLOOKUP($F791,Productos!$A:$A,Productos!AX:AX,"Revisar"),"")</f>
        <v/>
      </c>
      <c r="BF791" s="179" t="str">
        <f t="array" ref="BF791">IF($F791&lt;&gt;"", XLOOKUP($F791,Productos!$A$2:$A1001,Productos!AY$2:AY1001,"")*$G791,"")</f>
        <v/>
      </c>
      <c r="BG791" s="179" t="str">
        <f t="array" ref="BG791">IF($F791&lt;&gt;"",XLOOKUP($F791,Productos!$A:$A,Productos!AZ:AZ,"Revisar"),"")</f>
        <v/>
      </c>
      <c r="BH791" s="179" t="str">
        <f t="array" ref="BH791">IF($F791&lt;&gt;"", XLOOKUP($F791,Productos!$A$2:$A1001,Productos!BA$2:BA1001,"")*$G791,"")</f>
        <v/>
      </c>
      <c r="BI791" s="179" t="str">
        <f t="array" ref="BI791">IF($F791&lt;&gt;"",XLOOKUP($F791,Productos!$A:$A,Productos!BB:BB,"Revisar"),"")</f>
        <v/>
      </c>
      <c r="BJ791" s="179" t="str">
        <f t="array" ref="BJ791">IF($F791&lt;&gt;"", XLOOKUP($F791,Productos!$A$2:$A1001,Productos!BC$2:BC1001,"")*$G791,"")</f>
        <v/>
      </c>
      <c r="BK791" s="179" t="str">
        <f t="array" ref="BK791">IF($F791&lt;&gt;"",XLOOKUP($F791,Productos!$A:$A,Productos!BD:BD,"Revisar"),"")</f>
        <v/>
      </c>
      <c r="BL791" s="179" t="str">
        <f t="array" ref="BL791">IF($F791&lt;&gt;"", XLOOKUP($F791,Productos!$A$2:$A1001,Productos!BE$2:BE1001,"")*$G791,"")</f>
        <v/>
      </c>
      <c r="BM791" s="179" t="str">
        <f t="array" ref="BM791">IF($F791&lt;&gt;"",XLOOKUP($F791,Productos!$A:$A,Productos!BF:BF,"Revisar"),"")</f>
        <v/>
      </c>
      <c r="BN791" s="179" t="str">
        <f t="array" ref="BN791">IF($F791&lt;&gt;"", XLOOKUP($F791,Productos!$A$2:$A1001,Productos!BG$2:BG1001,"")*$G791,"")</f>
        <v/>
      </c>
      <c r="BO791" s="179" t="str">
        <f t="array" ref="BO791">IF($F791&lt;&gt;"",XLOOKUP($F791,Productos!$A:$A,Productos!BH:BH,"Revisar"),"")</f>
        <v/>
      </c>
      <c r="BP791" s="179" t="str">
        <f t="array" ref="BP791">IF($F791&lt;&gt;"", XLOOKUP($F791,Productos!$A$2:$A1001,Productos!BI$2:BI1001,"")*$G791,"")</f>
        <v/>
      </c>
      <c r="BQ791" s="179" t="str">
        <f t="array" ref="BQ791">IF($F791&lt;&gt;"",XLOOKUP($F791,Productos!$A:$A,Productos!BJ:BJ,"Revisar"),"")</f>
        <v/>
      </c>
      <c r="BR791" s="179" t="str">
        <f t="array" ref="BR791">IF($F791&lt;&gt;"", XLOOKUP($F791,Productos!$A$2:$A1001,Productos!BK$2:BK1001,"")*$G791,"")</f>
        <v/>
      </c>
      <c r="BS791" s="179" t="str">
        <f t="array" ref="BS791">IF($F791&lt;&gt;"",XLOOKUP($F791,Productos!$A:$A,Productos!BL:BL,"Revisar"),"")</f>
        <v/>
      </c>
      <c r="BT791" s="179" t="str">
        <f t="array" ref="BT791">IF($F791&lt;&gt;"", XLOOKUP($F791,Productos!$A$2:$A1001,Productos!BM$2:BM1001,"")*$G791,"")</f>
        <v/>
      </c>
      <c r="BU791" s="179" t="str">
        <f t="array" ref="BU791">IF($F791&lt;&gt;"",XLOOKUP($F791,Productos!$A:$A,Productos!BN:BN,"Revisar"),"")</f>
        <v/>
      </c>
      <c r="BV791" s="179" t="str">
        <f t="array" ref="BV791">IF($F791&lt;&gt;"", XLOOKUP($F791,Productos!$A$2:$A1001,Productos!BO$2:BO1001,"")*$G791,"")</f>
        <v/>
      </c>
      <c r="BW791" s="179" t="str">
        <f t="array" ref="BW791">IF($F791&lt;&gt;"",XLOOKUP($F791,Productos!$A:$A,Productos!BP:BP,"Revisar"),"")</f>
        <v/>
      </c>
      <c r="BX791" s="179" t="str">
        <f t="array" ref="BX791">IF($F791&lt;&gt;"", XLOOKUP($F791,Productos!$A$2:$A1001,Productos!BQ$2:BQ1001,"")*$G791,"")</f>
        <v/>
      </c>
      <c r="BY791" s="179" t="str">
        <f t="array" ref="BY791">IF($F791&lt;&gt;"",XLOOKUP($F791,Productos!$A:$A,Productos!BR:BR,"Revisar"),"")</f>
        <v/>
      </c>
      <c r="BZ791" s="179" t="str">
        <f t="array" ref="BZ791">IF($F791&lt;&gt;"", XLOOKUP($F791,Productos!$A$2:$A1001,Productos!BS$2:BS1001,"")*$G791,"")</f>
        <v/>
      </c>
    </row>
    <row r="792">
      <c r="A792" s="188"/>
      <c r="B792" s="189"/>
      <c r="C792" s="190"/>
      <c r="D792" s="190"/>
      <c r="E792" s="191"/>
      <c r="F792" s="186"/>
      <c r="G792" s="192"/>
      <c r="H792" s="9"/>
      <c r="I792" s="179" t="str">
        <f t="array" ref="I792">IF($F792&lt;&gt;"",XLOOKUP($F792,Productos!$A:$A,Productos!B:B,"Revisar"),"")</f>
        <v/>
      </c>
      <c r="J792" s="179" t="str">
        <f t="array" ref="J792">IF($F792&lt;&gt;"", XLOOKUP($F792,Productos!$A$2:$A1001,Productos!C$2:C1001,"")*$G792,"")</f>
        <v/>
      </c>
      <c r="K792" s="179" t="str">
        <f t="array" ref="K792">IF($F792&lt;&gt;"",XLOOKUP($F792,Productos!$A:$A,Productos!D:D,"Revisar"),"")</f>
        <v/>
      </c>
      <c r="L792" s="179" t="str">
        <f t="array" ref="L792">IF($F792&lt;&gt;"", XLOOKUP($F792,Productos!$A$2:$A1001,Productos!E$2:E1001,"")*$G792,"")</f>
        <v/>
      </c>
      <c r="M792" s="179" t="str">
        <f t="array" ref="M792">IF($F792&lt;&gt;"",XLOOKUP($F792,Productos!$A:$A,Productos!F:F,"Revisar"),"")</f>
        <v/>
      </c>
      <c r="N792" s="179" t="str">
        <f t="array" ref="N792">IF($F792&lt;&gt;"", XLOOKUP($F792,Productos!$A$2:$A1001,Productos!G$2:G1001,"")*$G792,"")</f>
        <v/>
      </c>
      <c r="O792" s="179" t="str">
        <f t="array" ref="O792">IF($F792&lt;&gt;"",XLOOKUP($F792,Productos!$A:$A,Productos!H:H,"Revisar"),"")</f>
        <v/>
      </c>
      <c r="P792" s="179" t="str">
        <f t="array" ref="P792">IF($F792&lt;&gt;"", XLOOKUP($F792,Productos!$A$2:$A1001,Productos!I$2:I1001,"")*$G792,"")</f>
        <v/>
      </c>
      <c r="Q792" s="179" t="str">
        <f t="array" ref="Q792">IF($F792&lt;&gt;"",XLOOKUP($F792,Productos!$A:$A,Productos!J:J,"Revisar"),"")</f>
        <v/>
      </c>
      <c r="R792" s="179" t="str">
        <f t="array" ref="R792">IF($F792&lt;&gt;"", XLOOKUP($F792,Productos!$A$2:$A1001,Productos!K$2:K1001,"")*$G792,"")</f>
        <v/>
      </c>
      <c r="S792" s="179" t="str">
        <f t="array" ref="S792">IF($F792&lt;&gt;"",XLOOKUP($F792,Productos!$A:$A,Productos!L:L,"Revisar"),"")</f>
        <v/>
      </c>
      <c r="T792" s="179" t="str">
        <f t="array" ref="T792">IF($F792&lt;&gt;"", XLOOKUP($F792,Productos!$A$2:$A1001,Productos!M$2:M1001,"")*$G792,"")</f>
        <v/>
      </c>
      <c r="U792" s="179" t="str">
        <f t="array" ref="U792">IF($F792&lt;&gt;"",XLOOKUP($F792,Productos!$A:$A,Productos!N:N,"Revisar"),"")</f>
        <v/>
      </c>
      <c r="V792" s="179" t="str">
        <f t="array" ref="V792">IF($F792&lt;&gt;"", XLOOKUP($F792,Productos!$A$2:$A1001,Productos!O$2:O1001,"")*$G792,"")</f>
        <v/>
      </c>
      <c r="W792" s="179" t="str">
        <f t="array" ref="W792">IF($F792&lt;&gt;"",XLOOKUP($F792,Productos!$A:$A,Productos!P:P,"Revisar"),"")</f>
        <v/>
      </c>
      <c r="X792" s="179" t="str">
        <f t="array" ref="X792">IF($F792&lt;&gt;"", XLOOKUP($F792,Productos!$A$2:$A1001,Productos!Q$2:Q1001,"")*$G792,"")</f>
        <v/>
      </c>
      <c r="Y792" s="179" t="str">
        <f t="array" ref="Y792">IF($F792&lt;&gt;"",XLOOKUP($F792,Productos!$A:$A,Productos!R:R,"Revisar"),"")</f>
        <v/>
      </c>
      <c r="Z792" s="179" t="str">
        <f t="array" ref="Z792">IF($F792&lt;&gt;"", XLOOKUP($F792,Productos!$A$2:$A1001,Productos!S$2:S1001,"")*$G792,"")</f>
        <v/>
      </c>
      <c r="AA792" s="179" t="str">
        <f t="array" ref="AA792">IF($F792&lt;&gt;"",XLOOKUP($F792,Productos!$A:$A,Productos!T:T,"Revisar"),"")</f>
        <v/>
      </c>
      <c r="AB792" s="179" t="str">
        <f t="array" ref="AB792">IF($F792&lt;&gt;"", XLOOKUP($F792,Productos!$A$2:$A1001,Productos!U$2:U1001,"")*$G792,"")</f>
        <v/>
      </c>
      <c r="AC792" s="179" t="str">
        <f t="array" ref="AC792">IF($F792&lt;&gt;"",XLOOKUP($F792,Productos!$A:$A,Productos!V:V,"Revisar"),"")</f>
        <v/>
      </c>
      <c r="AD792" s="179" t="str">
        <f t="array" ref="AD792">IF($F792&lt;&gt;"", XLOOKUP($F792,Productos!$A$2:$A1001,Productos!W$2:W1001,"")*$G792,"")</f>
        <v/>
      </c>
      <c r="AE792" s="179" t="str">
        <f t="array" ref="AE792">IF($F792&lt;&gt;"",XLOOKUP($F792,Productos!$A:$A,Productos!X:X,"Revisar"),"")</f>
        <v/>
      </c>
      <c r="AF792" s="179" t="str">
        <f t="array" ref="AF792">IF($F792&lt;&gt;"", XLOOKUP($F792,Productos!$A$2:$A1001,Productos!Y$2:Y1001,"")*$G792,"")</f>
        <v/>
      </c>
      <c r="AG792" s="179" t="str">
        <f t="array" ref="AG792">IF($F792&lt;&gt;"",XLOOKUP($F792,Productos!$A:$A,Productos!Z:Z,"Revisar"),"")</f>
        <v/>
      </c>
      <c r="AH792" s="179" t="str">
        <f t="array" ref="AH792">IF($F792&lt;&gt;"", XLOOKUP($F792,Productos!$A$2:$A1001,Productos!AA$2:AA1001,"")*$G792,"")</f>
        <v/>
      </c>
      <c r="AI792" s="179" t="str">
        <f t="array" ref="AI792">IF($F792&lt;&gt;"",XLOOKUP($F792,Productos!$A:$A,Productos!AB:AB,"Revisar"),"")</f>
        <v/>
      </c>
      <c r="AJ792" s="179" t="str">
        <f t="array" ref="AJ792">IF($F792&lt;&gt;"", XLOOKUP($F792,Productos!$A$2:$A1001,Productos!AC$2:AC1001,"")*$G792,"")</f>
        <v/>
      </c>
      <c r="AK792" s="179" t="str">
        <f t="array" ref="AK792">IF($F792&lt;&gt;"",XLOOKUP($F792,Productos!$A:$A,Productos!AD:AD,"Revisar"),"")</f>
        <v/>
      </c>
      <c r="AL792" s="179" t="str">
        <f t="array" ref="AL792">IF($F792&lt;&gt;"", XLOOKUP($F792,Productos!$A$2:$A1001,Productos!AE$2:AE1001,"")*$G792,"")</f>
        <v/>
      </c>
      <c r="AM792" s="179" t="str">
        <f t="array" ref="AM792">IF($F792&lt;&gt;"",XLOOKUP($F792,Productos!$A:$A,Productos!AF:AF,"Revisar"),"")</f>
        <v/>
      </c>
      <c r="AN792" s="179" t="str">
        <f t="array" ref="AN792">IF($F792&lt;&gt;"", XLOOKUP($F792,Productos!$A$2:$A1001,Productos!AG$2:AG1001,"")*$G792,"")</f>
        <v/>
      </c>
      <c r="AO792" s="179" t="str">
        <f t="array" ref="AO792">IF($F792&lt;&gt;"",XLOOKUP($F792,Productos!$A:$A,Productos!AH:AH,"Revisar"),"")</f>
        <v/>
      </c>
      <c r="AP792" s="179" t="str">
        <f t="array" ref="AP792">IF($F792&lt;&gt;"", XLOOKUP($F792,Productos!$A$2:$A1001,Productos!AI$2:AI1001,"")*$G792,"")</f>
        <v/>
      </c>
      <c r="AQ792" s="179" t="str">
        <f t="array" ref="AQ792">IF($F792&lt;&gt;"",XLOOKUP($F792,Productos!$A:$A,Productos!AJ:AJ,"Revisar"),"")</f>
        <v/>
      </c>
      <c r="AR792" s="179" t="str">
        <f t="array" ref="AR792">IF($F792&lt;&gt;"", XLOOKUP($F792,Productos!$A$2:$A1001,Productos!AK$2:AK1001,"")*$G792,"")</f>
        <v/>
      </c>
      <c r="AS792" s="179" t="str">
        <f t="array" ref="AS792">IF($F792&lt;&gt;"",XLOOKUP($F792,Productos!$A:$A,Productos!AL:AL,"Revisar"),"")</f>
        <v/>
      </c>
      <c r="AT792" s="179" t="str">
        <f t="array" ref="AT792">IF($F792&lt;&gt;"", XLOOKUP($F792,Productos!$A$2:$A1001,Productos!AM$2:AM1001,"")*$G792,"")</f>
        <v/>
      </c>
      <c r="AU792" s="179" t="str">
        <f t="array" ref="AU792">IF($F792&lt;&gt;"",XLOOKUP($F792,Productos!$A:$A,Productos!AN:AN,"Revisar"),"")</f>
        <v/>
      </c>
      <c r="AV792" s="179" t="str">
        <f t="array" ref="AV792">IF($F792&lt;&gt;"", XLOOKUP($F792,Productos!$A$2:$A1001,Productos!AO$2:AO1001,"")*$G792,"")</f>
        <v/>
      </c>
      <c r="AW792" s="179" t="str">
        <f t="array" ref="AW792">IF($F792&lt;&gt;"",XLOOKUP($F792,Productos!$A:$A,Productos!AP:AP,"Revisar"),"")</f>
        <v/>
      </c>
      <c r="AX792" s="179" t="str">
        <f t="array" ref="AX792">IF($F792&lt;&gt;"", XLOOKUP($F792,Productos!$A$2:$A1001,Productos!AQ$2:AQ1001,"")*$G792,"")</f>
        <v/>
      </c>
      <c r="AY792" s="179" t="str">
        <f t="array" ref="AY792">IF($F792&lt;&gt;"",XLOOKUP($F792,Productos!$A:$A,Productos!AR:AR,"Revisar"),"")</f>
        <v/>
      </c>
      <c r="AZ792" s="179" t="str">
        <f t="array" ref="AZ792">IF($F792&lt;&gt;"", XLOOKUP($F792,Productos!$A$2:$A1001,Productos!AS$2:AS1001,"")*$G792,"")</f>
        <v/>
      </c>
      <c r="BA792" s="179" t="str">
        <f t="array" ref="BA792">IF($F792&lt;&gt;"",XLOOKUP($F792,Productos!$A:$A,Productos!AT:AT,"Revisar"),"")</f>
        <v/>
      </c>
      <c r="BB792" s="179" t="str">
        <f t="array" ref="BB792">IF($F792&lt;&gt;"", XLOOKUP($F792,Productos!$A$2:$A1001,Productos!AU$2:AU1001,"")*$G792,"")</f>
        <v/>
      </c>
      <c r="BC792" s="179" t="str">
        <f t="array" ref="BC792">IF($F792&lt;&gt;"",XLOOKUP($F792,Productos!$A:$A,Productos!AV:AV,"Revisar"),"")</f>
        <v/>
      </c>
      <c r="BD792" s="179" t="str">
        <f t="array" ref="BD792">IF($F792&lt;&gt;"", XLOOKUP($F792,Productos!$A$2:$A1001,Productos!AW$2:AW1001,"")*$G792,"")</f>
        <v/>
      </c>
      <c r="BE792" s="179" t="str">
        <f t="array" ref="BE792">IF($F792&lt;&gt;"",XLOOKUP($F792,Productos!$A:$A,Productos!AX:AX,"Revisar"),"")</f>
        <v/>
      </c>
      <c r="BF792" s="179" t="str">
        <f t="array" ref="BF792">IF($F792&lt;&gt;"", XLOOKUP($F792,Productos!$A$2:$A1001,Productos!AY$2:AY1001,"")*$G792,"")</f>
        <v/>
      </c>
      <c r="BG792" s="179" t="str">
        <f t="array" ref="BG792">IF($F792&lt;&gt;"",XLOOKUP($F792,Productos!$A:$A,Productos!AZ:AZ,"Revisar"),"")</f>
        <v/>
      </c>
      <c r="BH792" s="179" t="str">
        <f t="array" ref="BH792">IF($F792&lt;&gt;"", XLOOKUP($F792,Productos!$A$2:$A1001,Productos!BA$2:BA1001,"")*$G792,"")</f>
        <v/>
      </c>
      <c r="BI792" s="179" t="str">
        <f t="array" ref="BI792">IF($F792&lt;&gt;"",XLOOKUP($F792,Productos!$A:$A,Productos!BB:BB,"Revisar"),"")</f>
        <v/>
      </c>
      <c r="BJ792" s="179" t="str">
        <f t="array" ref="BJ792">IF($F792&lt;&gt;"", XLOOKUP($F792,Productos!$A$2:$A1001,Productos!BC$2:BC1001,"")*$G792,"")</f>
        <v/>
      </c>
      <c r="BK792" s="179" t="str">
        <f t="array" ref="BK792">IF($F792&lt;&gt;"",XLOOKUP($F792,Productos!$A:$A,Productos!BD:BD,"Revisar"),"")</f>
        <v/>
      </c>
      <c r="BL792" s="179" t="str">
        <f t="array" ref="BL792">IF($F792&lt;&gt;"", XLOOKUP($F792,Productos!$A$2:$A1001,Productos!BE$2:BE1001,"")*$G792,"")</f>
        <v/>
      </c>
      <c r="BM792" s="179" t="str">
        <f t="array" ref="BM792">IF($F792&lt;&gt;"",XLOOKUP($F792,Productos!$A:$A,Productos!BF:BF,"Revisar"),"")</f>
        <v/>
      </c>
      <c r="BN792" s="179" t="str">
        <f t="array" ref="BN792">IF($F792&lt;&gt;"", XLOOKUP($F792,Productos!$A$2:$A1001,Productos!BG$2:BG1001,"")*$G792,"")</f>
        <v/>
      </c>
      <c r="BO792" s="179" t="str">
        <f t="array" ref="BO792">IF($F792&lt;&gt;"",XLOOKUP($F792,Productos!$A:$A,Productos!BH:BH,"Revisar"),"")</f>
        <v/>
      </c>
      <c r="BP792" s="179" t="str">
        <f t="array" ref="BP792">IF($F792&lt;&gt;"", XLOOKUP($F792,Productos!$A$2:$A1001,Productos!BI$2:BI1001,"")*$G792,"")</f>
        <v/>
      </c>
      <c r="BQ792" s="179" t="str">
        <f t="array" ref="BQ792">IF($F792&lt;&gt;"",XLOOKUP($F792,Productos!$A:$A,Productos!BJ:BJ,"Revisar"),"")</f>
        <v/>
      </c>
      <c r="BR792" s="179" t="str">
        <f t="array" ref="BR792">IF($F792&lt;&gt;"", XLOOKUP($F792,Productos!$A$2:$A1001,Productos!BK$2:BK1001,"")*$G792,"")</f>
        <v/>
      </c>
      <c r="BS792" s="179" t="str">
        <f t="array" ref="BS792">IF($F792&lt;&gt;"",XLOOKUP($F792,Productos!$A:$A,Productos!BL:BL,"Revisar"),"")</f>
        <v/>
      </c>
      <c r="BT792" s="179" t="str">
        <f t="array" ref="BT792">IF($F792&lt;&gt;"", XLOOKUP($F792,Productos!$A$2:$A1001,Productos!BM$2:BM1001,"")*$G792,"")</f>
        <v/>
      </c>
      <c r="BU792" s="179" t="str">
        <f t="array" ref="BU792">IF($F792&lt;&gt;"",XLOOKUP($F792,Productos!$A:$A,Productos!BN:BN,"Revisar"),"")</f>
        <v/>
      </c>
      <c r="BV792" s="179" t="str">
        <f t="array" ref="BV792">IF($F792&lt;&gt;"", XLOOKUP($F792,Productos!$A$2:$A1001,Productos!BO$2:BO1001,"")*$G792,"")</f>
        <v/>
      </c>
      <c r="BW792" s="179" t="str">
        <f t="array" ref="BW792">IF($F792&lt;&gt;"",XLOOKUP($F792,Productos!$A:$A,Productos!BP:BP,"Revisar"),"")</f>
        <v/>
      </c>
      <c r="BX792" s="179" t="str">
        <f t="array" ref="BX792">IF($F792&lt;&gt;"", XLOOKUP($F792,Productos!$A$2:$A1001,Productos!BQ$2:BQ1001,"")*$G792,"")</f>
        <v/>
      </c>
      <c r="BY792" s="179" t="str">
        <f t="array" ref="BY792">IF($F792&lt;&gt;"",XLOOKUP($F792,Productos!$A:$A,Productos!BR:BR,"Revisar"),"")</f>
        <v/>
      </c>
      <c r="BZ792" s="179" t="str">
        <f t="array" ref="BZ792">IF($F792&lt;&gt;"", XLOOKUP($F792,Productos!$A$2:$A1001,Productos!BS$2:BS1001,"")*$G792,"")</f>
        <v/>
      </c>
    </row>
    <row r="793">
      <c r="A793" s="188"/>
      <c r="B793" s="189"/>
      <c r="C793" s="190"/>
      <c r="D793" s="190"/>
      <c r="E793" s="191"/>
      <c r="F793" s="186"/>
      <c r="G793" s="192"/>
      <c r="H793" s="9"/>
      <c r="I793" s="179" t="str">
        <f t="array" ref="I793">IF($F793&lt;&gt;"",XLOOKUP($F793,Productos!$A:$A,Productos!B:B,"Revisar"),"")</f>
        <v/>
      </c>
      <c r="J793" s="179" t="str">
        <f t="array" ref="J793">IF($F793&lt;&gt;"", XLOOKUP($F793,Productos!$A$2:$A1001,Productos!C$2:C1001,"")*$G793,"")</f>
        <v/>
      </c>
      <c r="K793" s="179" t="str">
        <f t="array" ref="K793">IF($F793&lt;&gt;"",XLOOKUP($F793,Productos!$A:$A,Productos!D:D,"Revisar"),"")</f>
        <v/>
      </c>
      <c r="L793" s="179" t="str">
        <f t="array" ref="L793">IF($F793&lt;&gt;"", XLOOKUP($F793,Productos!$A$2:$A1001,Productos!E$2:E1001,"")*$G793,"")</f>
        <v/>
      </c>
      <c r="M793" s="179" t="str">
        <f t="array" ref="M793">IF($F793&lt;&gt;"",XLOOKUP($F793,Productos!$A:$A,Productos!F:F,"Revisar"),"")</f>
        <v/>
      </c>
      <c r="N793" s="179" t="str">
        <f t="array" ref="N793">IF($F793&lt;&gt;"", XLOOKUP($F793,Productos!$A$2:$A1001,Productos!G$2:G1001,"")*$G793,"")</f>
        <v/>
      </c>
      <c r="O793" s="179" t="str">
        <f t="array" ref="O793">IF($F793&lt;&gt;"",XLOOKUP($F793,Productos!$A:$A,Productos!H:H,"Revisar"),"")</f>
        <v/>
      </c>
      <c r="P793" s="179" t="str">
        <f t="array" ref="P793">IF($F793&lt;&gt;"", XLOOKUP($F793,Productos!$A$2:$A1001,Productos!I$2:I1001,"")*$G793,"")</f>
        <v/>
      </c>
      <c r="Q793" s="179" t="str">
        <f t="array" ref="Q793">IF($F793&lt;&gt;"",XLOOKUP($F793,Productos!$A:$A,Productos!J:J,"Revisar"),"")</f>
        <v/>
      </c>
      <c r="R793" s="179" t="str">
        <f t="array" ref="R793">IF($F793&lt;&gt;"", XLOOKUP($F793,Productos!$A$2:$A1001,Productos!K$2:K1001,"")*$G793,"")</f>
        <v/>
      </c>
      <c r="S793" s="179" t="str">
        <f t="array" ref="S793">IF($F793&lt;&gt;"",XLOOKUP($F793,Productos!$A:$A,Productos!L:L,"Revisar"),"")</f>
        <v/>
      </c>
      <c r="T793" s="179" t="str">
        <f t="array" ref="T793">IF($F793&lt;&gt;"", XLOOKUP($F793,Productos!$A$2:$A1001,Productos!M$2:M1001,"")*$G793,"")</f>
        <v/>
      </c>
      <c r="U793" s="179" t="str">
        <f t="array" ref="U793">IF($F793&lt;&gt;"",XLOOKUP($F793,Productos!$A:$A,Productos!N:N,"Revisar"),"")</f>
        <v/>
      </c>
      <c r="V793" s="179" t="str">
        <f t="array" ref="V793">IF($F793&lt;&gt;"", XLOOKUP($F793,Productos!$A$2:$A1001,Productos!O$2:O1001,"")*$G793,"")</f>
        <v/>
      </c>
      <c r="W793" s="179" t="str">
        <f t="array" ref="W793">IF($F793&lt;&gt;"",XLOOKUP($F793,Productos!$A:$A,Productos!P:P,"Revisar"),"")</f>
        <v/>
      </c>
      <c r="X793" s="179" t="str">
        <f t="array" ref="X793">IF($F793&lt;&gt;"", XLOOKUP($F793,Productos!$A$2:$A1001,Productos!Q$2:Q1001,"")*$G793,"")</f>
        <v/>
      </c>
      <c r="Y793" s="179" t="str">
        <f t="array" ref="Y793">IF($F793&lt;&gt;"",XLOOKUP($F793,Productos!$A:$A,Productos!R:R,"Revisar"),"")</f>
        <v/>
      </c>
      <c r="Z793" s="179" t="str">
        <f t="array" ref="Z793">IF($F793&lt;&gt;"", XLOOKUP($F793,Productos!$A$2:$A1001,Productos!S$2:S1001,"")*$G793,"")</f>
        <v/>
      </c>
      <c r="AA793" s="179" t="str">
        <f t="array" ref="AA793">IF($F793&lt;&gt;"",XLOOKUP($F793,Productos!$A:$A,Productos!T:T,"Revisar"),"")</f>
        <v/>
      </c>
      <c r="AB793" s="179" t="str">
        <f t="array" ref="AB793">IF($F793&lt;&gt;"", XLOOKUP($F793,Productos!$A$2:$A1001,Productos!U$2:U1001,"")*$G793,"")</f>
        <v/>
      </c>
      <c r="AC793" s="179" t="str">
        <f t="array" ref="AC793">IF($F793&lt;&gt;"",XLOOKUP($F793,Productos!$A:$A,Productos!V:V,"Revisar"),"")</f>
        <v/>
      </c>
      <c r="AD793" s="179" t="str">
        <f t="array" ref="AD793">IF($F793&lt;&gt;"", XLOOKUP($F793,Productos!$A$2:$A1001,Productos!W$2:W1001,"")*$G793,"")</f>
        <v/>
      </c>
      <c r="AE793" s="179" t="str">
        <f t="array" ref="AE793">IF($F793&lt;&gt;"",XLOOKUP($F793,Productos!$A:$A,Productos!X:X,"Revisar"),"")</f>
        <v/>
      </c>
      <c r="AF793" s="179" t="str">
        <f t="array" ref="AF793">IF($F793&lt;&gt;"", XLOOKUP($F793,Productos!$A$2:$A1001,Productos!Y$2:Y1001,"")*$G793,"")</f>
        <v/>
      </c>
      <c r="AG793" s="179" t="str">
        <f t="array" ref="AG793">IF($F793&lt;&gt;"",XLOOKUP($F793,Productos!$A:$A,Productos!Z:Z,"Revisar"),"")</f>
        <v/>
      </c>
      <c r="AH793" s="179" t="str">
        <f t="array" ref="AH793">IF($F793&lt;&gt;"", XLOOKUP($F793,Productos!$A$2:$A1001,Productos!AA$2:AA1001,"")*$G793,"")</f>
        <v/>
      </c>
      <c r="AI793" s="179" t="str">
        <f t="array" ref="AI793">IF($F793&lt;&gt;"",XLOOKUP($F793,Productos!$A:$A,Productos!AB:AB,"Revisar"),"")</f>
        <v/>
      </c>
      <c r="AJ793" s="179" t="str">
        <f t="array" ref="AJ793">IF($F793&lt;&gt;"", XLOOKUP($F793,Productos!$A$2:$A1001,Productos!AC$2:AC1001,"")*$G793,"")</f>
        <v/>
      </c>
      <c r="AK793" s="179" t="str">
        <f t="array" ref="AK793">IF($F793&lt;&gt;"",XLOOKUP($F793,Productos!$A:$A,Productos!AD:AD,"Revisar"),"")</f>
        <v/>
      </c>
      <c r="AL793" s="179" t="str">
        <f t="array" ref="AL793">IF($F793&lt;&gt;"", XLOOKUP($F793,Productos!$A$2:$A1001,Productos!AE$2:AE1001,"")*$G793,"")</f>
        <v/>
      </c>
      <c r="AM793" s="179" t="str">
        <f t="array" ref="AM793">IF($F793&lt;&gt;"",XLOOKUP($F793,Productos!$A:$A,Productos!AF:AF,"Revisar"),"")</f>
        <v/>
      </c>
      <c r="AN793" s="179" t="str">
        <f t="array" ref="AN793">IF($F793&lt;&gt;"", XLOOKUP($F793,Productos!$A$2:$A1001,Productos!AG$2:AG1001,"")*$G793,"")</f>
        <v/>
      </c>
      <c r="AO793" s="179" t="str">
        <f t="array" ref="AO793">IF($F793&lt;&gt;"",XLOOKUP($F793,Productos!$A:$A,Productos!AH:AH,"Revisar"),"")</f>
        <v/>
      </c>
      <c r="AP793" s="179" t="str">
        <f t="array" ref="AP793">IF($F793&lt;&gt;"", XLOOKUP($F793,Productos!$A$2:$A1001,Productos!AI$2:AI1001,"")*$G793,"")</f>
        <v/>
      </c>
      <c r="AQ793" s="179" t="str">
        <f t="array" ref="AQ793">IF($F793&lt;&gt;"",XLOOKUP($F793,Productos!$A:$A,Productos!AJ:AJ,"Revisar"),"")</f>
        <v/>
      </c>
      <c r="AR793" s="179" t="str">
        <f t="array" ref="AR793">IF($F793&lt;&gt;"", XLOOKUP($F793,Productos!$A$2:$A1001,Productos!AK$2:AK1001,"")*$G793,"")</f>
        <v/>
      </c>
      <c r="AS793" s="179" t="str">
        <f t="array" ref="AS793">IF($F793&lt;&gt;"",XLOOKUP($F793,Productos!$A:$A,Productos!AL:AL,"Revisar"),"")</f>
        <v/>
      </c>
      <c r="AT793" s="179" t="str">
        <f t="array" ref="AT793">IF($F793&lt;&gt;"", XLOOKUP($F793,Productos!$A$2:$A1001,Productos!AM$2:AM1001,"")*$G793,"")</f>
        <v/>
      </c>
      <c r="AU793" s="179" t="str">
        <f t="array" ref="AU793">IF($F793&lt;&gt;"",XLOOKUP($F793,Productos!$A:$A,Productos!AN:AN,"Revisar"),"")</f>
        <v/>
      </c>
      <c r="AV793" s="179" t="str">
        <f t="array" ref="AV793">IF($F793&lt;&gt;"", XLOOKUP($F793,Productos!$A$2:$A1001,Productos!AO$2:AO1001,"")*$G793,"")</f>
        <v/>
      </c>
      <c r="AW793" s="179" t="str">
        <f t="array" ref="AW793">IF($F793&lt;&gt;"",XLOOKUP($F793,Productos!$A:$A,Productos!AP:AP,"Revisar"),"")</f>
        <v/>
      </c>
      <c r="AX793" s="179" t="str">
        <f t="array" ref="AX793">IF($F793&lt;&gt;"", XLOOKUP($F793,Productos!$A$2:$A1001,Productos!AQ$2:AQ1001,"")*$G793,"")</f>
        <v/>
      </c>
      <c r="AY793" s="179" t="str">
        <f t="array" ref="AY793">IF($F793&lt;&gt;"",XLOOKUP($F793,Productos!$A:$A,Productos!AR:AR,"Revisar"),"")</f>
        <v/>
      </c>
      <c r="AZ793" s="179" t="str">
        <f t="array" ref="AZ793">IF($F793&lt;&gt;"", XLOOKUP($F793,Productos!$A$2:$A1001,Productos!AS$2:AS1001,"")*$G793,"")</f>
        <v/>
      </c>
      <c r="BA793" s="179" t="str">
        <f t="array" ref="BA793">IF($F793&lt;&gt;"",XLOOKUP($F793,Productos!$A:$A,Productos!AT:AT,"Revisar"),"")</f>
        <v/>
      </c>
      <c r="BB793" s="179" t="str">
        <f t="array" ref="BB793">IF($F793&lt;&gt;"", XLOOKUP($F793,Productos!$A$2:$A1001,Productos!AU$2:AU1001,"")*$G793,"")</f>
        <v/>
      </c>
      <c r="BC793" s="179" t="str">
        <f t="array" ref="BC793">IF($F793&lt;&gt;"",XLOOKUP($F793,Productos!$A:$A,Productos!AV:AV,"Revisar"),"")</f>
        <v/>
      </c>
      <c r="BD793" s="179" t="str">
        <f t="array" ref="BD793">IF($F793&lt;&gt;"", XLOOKUP($F793,Productos!$A$2:$A1001,Productos!AW$2:AW1001,"")*$G793,"")</f>
        <v/>
      </c>
      <c r="BE793" s="179" t="str">
        <f t="array" ref="BE793">IF($F793&lt;&gt;"",XLOOKUP($F793,Productos!$A:$A,Productos!AX:AX,"Revisar"),"")</f>
        <v/>
      </c>
      <c r="BF793" s="179" t="str">
        <f t="array" ref="BF793">IF($F793&lt;&gt;"", XLOOKUP($F793,Productos!$A$2:$A1001,Productos!AY$2:AY1001,"")*$G793,"")</f>
        <v/>
      </c>
      <c r="BG793" s="179" t="str">
        <f t="array" ref="BG793">IF($F793&lt;&gt;"",XLOOKUP($F793,Productos!$A:$A,Productos!AZ:AZ,"Revisar"),"")</f>
        <v/>
      </c>
      <c r="BH793" s="179" t="str">
        <f t="array" ref="BH793">IF($F793&lt;&gt;"", XLOOKUP($F793,Productos!$A$2:$A1001,Productos!BA$2:BA1001,"")*$G793,"")</f>
        <v/>
      </c>
      <c r="BI793" s="179" t="str">
        <f t="array" ref="BI793">IF($F793&lt;&gt;"",XLOOKUP($F793,Productos!$A:$A,Productos!BB:BB,"Revisar"),"")</f>
        <v/>
      </c>
      <c r="BJ793" s="179" t="str">
        <f t="array" ref="BJ793">IF($F793&lt;&gt;"", XLOOKUP($F793,Productos!$A$2:$A1001,Productos!BC$2:BC1001,"")*$G793,"")</f>
        <v/>
      </c>
      <c r="BK793" s="179" t="str">
        <f t="array" ref="BK793">IF($F793&lt;&gt;"",XLOOKUP($F793,Productos!$A:$A,Productos!BD:BD,"Revisar"),"")</f>
        <v/>
      </c>
      <c r="BL793" s="179" t="str">
        <f t="array" ref="BL793">IF($F793&lt;&gt;"", XLOOKUP($F793,Productos!$A$2:$A1001,Productos!BE$2:BE1001,"")*$G793,"")</f>
        <v/>
      </c>
      <c r="BM793" s="179" t="str">
        <f t="array" ref="BM793">IF($F793&lt;&gt;"",XLOOKUP($F793,Productos!$A:$A,Productos!BF:BF,"Revisar"),"")</f>
        <v/>
      </c>
      <c r="BN793" s="179" t="str">
        <f t="array" ref="BN793">IF($F793&lt;&gt;"", XLOOKUP($F793,Productos!$A$2:$A1001,Productos!BG$2:BG1001,"")*$G793,"")</f>
        <v/>
      </c>
      <c r="BO793" s="179" t="str">
        <f t="array" ref="BO793">IF($F793&lt;&gt;"",XLOOKUP($F793,Productos!$A:$A,Productos!BH:BH,"Revisar"),"")</f>
        <v/>
      </c>
      <c r="BP793" s="179" t="str">
        <f t="array" ref="BP793">IF($F793&lt;&gt;"", XLOOKUP($F793,Productos!$A$2:$A1001,Productos!BI$2:BI1001,"")*$G793,"")</f>
        <v/>
      </c>
      <c r="BQ793" s="179" t="str">
        <f t="array" ref="BQ793">IF($F793&lt;&gt;"",XLOOKUP($F793,Productos!$A:$A,Productos!BJ:BJ,"Revisar"),"")</f>
        <v/>
      </c>
      <c r="BR793" s="179" t="str">
        <f t="array" ref="BR793">IF($F793&lt;&gt;"", XLOOKUP($F793,Productos!$A$2:$A1001,Productos!BK$2:BK1001,"")*$G793,"")</f>
        <v/>
      </c>
      <c r="BS793" s="179" t="str">
        <f t="array" ref="BS793">IF($F793&lt;&gt;"",XLOOKUP($F793,Productos!$A:$A,Productos!BL:BL,"Revisar"),"")</f>
        <v/>
      </c>
      <c r="BT793" s="179" t="str">
        <f t="array" ref="BT793">IF($F793&lt;&gt;"", XLOOKUP($F793,Productos!$A$2:$A1001,Productos!BM$2:BM1001,"")*$G793,"")</f>
        <v/>
      </c>
      <c r="BU793" s="179" t="str">
        <f t="array" ref="BU793">IF($F793&lt;&gt;"",XLOOKUP($F793,Productos!$A:$A,Productos!BN:BN,"Revisar"),"")</f>
        <v/>
      </c>
      <c r="BV793" s="179" t="str">
        <f t="array" ref="BV793">IF($F793&lt;&gt;"", XLOOKUP($F793,Productos!$A$2:$A1001,Productos!BO$2:BO1001,"")*$G793,"")</f>
        <v/>
      </c>
      <c r="BW793" s="179" t="str">
        <f t="array" ref="BW793">IF($F793&lt;&gt;"",XLOOKUP($F793,Productos!$A:$A,Productos!BP:BP,"Revisar"),"")</f>
        <v/>
      </c>
      <c r="BX793" s="179" t="str">
        <f t="array" ref="BX793">IF($F793&lt;&gt;"", XLOOKUP($F793,Productos!$A$2:$A1001,Productos!BQ$2:BQ1001,"")*$G793,"")</f>
        <v/>
      </c>
      <c r="BY793" s="179" t="str">
        <f t="array" ref="BY793">IF($F793&lt;&gt;"",XLOOKUP($F793,Productos!$A:$A,Productos!BR:BR,"Revisar"),"")</f>
        <v/>
      </c>
      <c r="BZ793" s="179" t="str">
        <f t="array" ref="BZ793">IF($F793&lt;&gt;"", XLOOKUP($F793,Productos!$A$2:$A1001,Productos!BS$2:BS1001,"")*$G793,"")</f>
        <v/>
      </c>
    </row>
    <row r="794">
      <c r="A794" s="188"/>
      <c r="B794" s="189"/>
      <c r="C794" s="190"/>
      <c r="D794" s="190"/>
      <c r="E794" s="191"/>
      <c r="F794" s="186"/>
      <c r="G794" s="192"/>
      <c r="H794" s="9"/>
      <c r="I794" s="179" t="str">
        <f t="array" ref="I794">IF($F794&lt;&gt;"",XLOOKUP($F794,Productos!$A:$A,Productos!B:B,"Revisar"),"")</f>
        <v/>
      </c>
      <c r="J794" s="179" t="str">
        <f t="array" ref="J794">IF($F794&lt;&gt;"", XLOOKUP($F794,Productos!$A$2:$A1001,Productos!C$2:C1001,"")*$G794,"")</f>
        <v/>
      </c>
      <c r="K794" s="179" t="str">
        <f t="array" ref="K794">IF($F794&lt;&gt;"",XLOOKUP($F794,Productos!$A:$A,Productos!D:D,"Revisar"),"")</f>
        <v/>
      </c>
      <c r="L794" s="179" t="str">
        <f t="array" ref="L794">IF($F794&lt;&gt;"", XLOOKUP($F794,Productos!$A$2:$A1001,Productos!E$2:E1001,"")*$G794,"")</f>
        <v/>
      </c>
      <c r="M794" s="179" t="str">
        <f t="array" ref="M794">IF($F794&lt;&gt;"",XLOOKUP($F794,Productos!$A:$A,Productos!F:F,"Revisar"),"")</f>
        <v/>
      </c>
      <c r="N794" s="179" t="str">
        <f t="array" ref="N794">IF($F794&lt;&gt;"", XLOOKUP($F794,Productos!$A$2:$A1001,Productos!G$2:G1001,"")*$G794,"")</f>
        <v/>
      </c>
      <c r="O794" s="179" t="str">
        <f t="array" ref="O794">IF($F794&lt;&gt;"",XLOOKUP($F794,Productos!$A:$A,Productos!H:H,"Revisar"),"")</f>
        <v/>
      </c>
      <c r="P794" s="179" t="str">
        <f t="array" ref="P794">IF($F794&lt;&gt;"", XLOOKUP($F794,Productos!$A$2:$A1001,Productos!I$2:I1001,"")*$G794,"")</f>
        <v/>
      </c>
      <c r="Q794" s="179" t="str">
        <f t="array" ref="Q794">IF($F794&lt;&gt;"",XLOOKUP($F794,Productos!$A:$A,Productos!J:J,"Revisar"),"")</f>
        <v/>
      </c>
      <c r="R794" s="179" t="str">
        <f t="array" ref="R794">IF($F794&lt;&gt;"", XLOOKUP($F794,Productos!$A$2:$A1001,Productos!K$2:K1001,"")*$G794,"")</f>
        <v/>
      </c>
      <c r="S794" s="179" t="str">
        <f t="array" ref="S794">IF($F794&lt;&gt;"",XLOOKUP($F794,Productos!$A:$A,Productos!L:L,"Revisar"),"")</f>
        <v/>
      </c>
      <c r="T794" s="179" t="str">
        <f t="array" ref="T794">IF($F794&lt;&gt;"", XLOOKUP($F794,Productos!$A$2:$A1001,Productos!M$2:M1001,"")*$G794,"")</f>
        <v/>
      </c>
      <c r="U794" s="179" t="str">
        <f t="array" ref="U794">IF($F794&lt;&gt;"",XLOOKUP($F794,Productos!$A:$A,Productos!N:N,"Revisar"),"")</f>
        <v/>
      </c>
      <c r="V794" s="179" t="str">
        <f t="array" ref="V794">IF($F794&lt;&gt;"", XLOOKUP($F794,Productos!$A$2:$A1001,Productos!O$2:O1001,"")*$G794,"")</f>
        <v/>
      </c>
      <c r="W794" s="179" t="str">
        <f t="array" ref="W794">IF($F794&lt;&gt;"",XLOOKUP($F794,Productos!$A:$A,Productos!P:P,"Revisar"),"")</f>
        <v/>
      </c>
      <c r="X794" s="179" t="str">
        <f t="array" ref="X794">IF($F794&lt;&gt;"", XLOOKUP($F794,Productos!$A$2:$A1001,Productos!Q$2:Q1001,"")*$G794,"")</f>
        <v/>
      </c>
      <c r="Y794" s="179" t="str">
        <f t="array" ref="Y794">IF($F794&lt;&gt;"",XLOOKUP($F794,Productos!$A:$A,Productos!R:R,"Revisar"),"")</f>
        <v/>
      </c>
      <c r="Z794" s="179" t="str">
        <f t="array" ref="Z794">IF($F794&lt;&gt;"", XLOOKUP($F794,Productos!$A$2:$A1001,Productos!S$2:S1001,"")*$G794,"")</f>
        <v/>
      </c>
      <c r="AA794" s="179" t="str">
        <f t="array" ref="AA794">IF($F794&lt;&gt;"",XLOOKUP($F794,Productos!$A:$A,Productos!T:T,"Revisar"),"")</f>
        <v/>
      </c>
      <c r="AB794" s="179" t="str">
        <f t="array" ref="AB794">IF($F794&lt;&gt;"", XLOOKUP($F794,Productos!$A$2:$A1001,Productos!U$2:U1001,"")*$G794,"")</f>
        <v/>
      </c>
      <c r="AC794" s="179" t="str">
        <f t="array" ref="AC794">IF($F794&lt;&gt;"",XLOOKUP($F794,Productos!$A:$A,Productos!V:V,"Revisar"),"")</f>
        <v/>
      </c>
      <c r="AD794" s="179" t="str">
        <f t="array" ref="AD794">IF($F794&lt;&gt;"", XLOOKUP($F794,Productos!$A$2:$A1001,Productos!W$2:W1001,"")*$G794,"")</f>
        <v/>
      </c>
      <c r="AE794" s="179" t="str">
        <f t="array" ref="AE794">IF($F794&lt;&gt;"",XLOOKUP($F794,Productos!$A:$A,Productos!X:X,"Revisar"),"")</f>
        <v/>
      </c>
      <c r="AF794" s="179" t="str">
        <f t="array" ref="AF794">IF($F794&lt;&gt;"", XLOOKUP($F794,Productos!$A$2:$A1001,Productos!Y$2:Y1001,"")*$G794,"")</f>
        <v/>
      </c>
      <c r="AG794" s="179" t="str">
        <f t="array" ref="AG794">IF($F794&lt;&gt;"",XLOOKUP($F794,Productos!$A:$A,Productos!Z:Z,"Revisar"),"")</f>
        <v/>
      </c>
      <c r="AH794" s="179" t="str">
        <f t="array" ref="AH794">IF($F794&lt;&gt;"", XLOOKUP($F794,Productos!$A$2:$A1001,Productos!AA$2:AA1001,"")*$G794,"")</f>
        <v/>
      </c>
      <c r="AI794" s="179" t="str">
        <f t="array" ref="AI794">IF($F794&lt;&gt;"",XLOOKUP($F794,Productos!$A:$A,Productos!AB:AB,"Revisar"),"")</f>
        <v/>
      </c>
      <c r="AJ794" s="179" t="str">
        <f t="array" ref="AJ794">IF($F794&lt;&gt;"", XLOOKUP($F794,Productos!$A$2:$A1001,Productos!AC$2:AC1001,"")*$G794,"")</f>
        <v/>
      </c>
      <c r="AK794" s="179" t="str">
        <f t="array" ref="AK794">IF($F794&lt;&gt;"",XLOOKUP($F794,Productos!$A:$A,Productos!AD:AD,"Revisar"),"")</f>
        <v/>
      </c>
      <c r="AL794" s="179" t="str">
        <f t="array" ref="AL794">IF($F794&lt;&gt;"", XLOOKUP($F794,Productos!$A$2:$A1001,Productos!AE$2:AE1001,"")*$G794,"")</f>
        <v/>
      </c>
      <c r="AM794" s="179" t="str">
        <f t="array" ref="AM794">IF($F794&lt;&gt;"",XLOOKUP($F794,Productos!$A:$A,Productos!AF:AF,"Revisar"),"")</f>
        <v/>
      </c>
      <c r="AN794" s="179" t="str">
        <f t="array" ref="AN794">IF($F794&lt;&gt;"", XLOOKUP($F794,Productos!$A$2:$A1001,Productos!AG$2:AG1001,"")*$G794,"")</f>
        <v/>
      </c>
      <c r="AO794" s="179" t="str">
        <f t="array" ref="AO794">IF($F794&lt;&gt;"",XLOOKUP($F794,Productos!$A:$A,Productos!AH:AH,"Revisar"),"")</f>
        <v/>
      </c>
      <c r="AP794" s="179" t="str">
        <f t="array" ref="AP794">IF($F794&lt;&gt;"", XLOOKUP($F794,Productos!$A$2:$A1001,Productos!AI$2:AI1001,"")*$G794,"")</f>
        <v/>
      </c>
      <c r="AQ794" s="179" t="str">
        <f t="array" ref="AQ794">IF($F794&lt;&gt;"",XLOOKUP($F794,Productos!$A:$A,Productos!AJ:AJ,"Revisar"),"")</f>
        <v/>
      </c>
      <c r="AR794" s="179" t="str">
        <f t="array" ref="AR794">IF($F794&lt;&gt;"", XLOOKUP($F794,Productos!$A$2:$A1001,Productos!AK$2:AK1001,"")*$G794,"")</f>
        <v/>
      </c>
      <c r="AS794" s="179" t="str">
        <f t="array" ref="AS794">IF($F794&lt;&gt;"",XLOOKUP($F794,Productos!$A:$A,Productos!AL:AL,"Revisar"),"")</f>
        <v/>
      </c>
      <c r="AT794" s="179" t="str">
        <f t="array" ref="AT794">IF($F794&lt;&gt;"", XLOOKUP($F794,Productos!$A$2:$A1001,Productos!AM$2:AM1001,"")*$G794,"")</f>
        <v/>
      </c>
      <c r="AU794" s="179" t="str">
        <f t="array" ref="AU794">IF($F794&lt;&gt;"",XLOOKUP($F794,Productos!$A:$A,Productos!AN:AN,"Revisar"),"")</f>
        <v/>
      </c>
      <c r="AV794" s="179" t="str">
        <f t="array" ref="AV794">IF($F794&lt;&gt;"", XLOOKUP($F794,Productos!$A$2:$A1001,Productos!AO$2:AO1001,"")*$G794,"")</f>
        <v/>
      </c>
      <c r="AW794" s="179" t="str">
        <f t="array" ref="AW794">IF($F794&lt;&gt;"",XLOOKUP($F794,Productos!$A:$A,Productos!AP:AP,"Revisar"),"")</f>
        <v/>
      </c>
      <c r="AX794" s="179" t="str">
        <f t="array" ref="AX794">IF($F794&lt;&gt;"", XLOOKUP($F794,Productos!$A$2:$A1001,Productos!AQ$2:AQ1001,"")*$G794,"")</f>
        <v/>
      </c>
      <c r="AY794" s="179" t="str">
        <f t="array" ref="AY794">IF($F794&lt;&gt;"",XLOOKUP($F794,Productos!$A:$A,Productos!AR:AR,"Revisar"),"")</f>
        <v/>
      </c>
      <c r="AZ794" s="179" t="str">
        <f t="array" ref="AZ794">IF($F794&lt;&gt;"", XLOOKUP($F794,Productos!$A$2:$A1001,Productos!AS$2:AS1001,"")*$G794,"")</f>
        <v/>
      </c>
      <c r="BA794" s="179" t="str">
        <f t="array" ref="BA794">IF($F794&lt;&gt;"",XLOOKUP($F794,Productos!$A:$A,Productos!AT:AT,"Revisar"),"")</f>
        <v/>
      </c>
      <c r="BB794" s="179" t="str">
        <f t="array" ref="BB794">IF($F794&lt;&gt;"", XLOOKUP($F794,Productos!$A$2:$A1001,Productos!AU$2:AU1001,"")*$G794,"")</f>
        <v/>
      </c>
      <c r="BC794" s="179" t="str">
        <f t="array" ref="BC794">IF($F794&lt;&gt;"",XLOOKUP($F794,Productos!$A:$A,Productos!AV:AV,"Revisar"),"")</f>
        <v/>
      </c>
      <c r="BD794" s="179" t="str">
        <f t="array" ref="BD794">IF($F794&lt;&gt;"", XLOOKUP($F794,Productos!$A$2:$A1001,Productos!AW$2:AW1001,"")*$G794,"")</f>
        <v/>
      </c>
      <c r="BE794" s="179" t="str">
        <f t="array" ref="BE794">IF($F794&lt;&gt;"",XLOOKUP($F794,Productos!$A:$A,Productos!AX:AX,"Revisar"),"")</f>
        <v/>
      </c>
      <c r="BF794" s="179" t="str">
        <f t="array" ref="BF794">IF($F794&lt;&gt;"", XLOOKUP($F794,Productos!$A$2:$A1001,Productos!AY$2:AY1001,"")*$G794,"")</f>
        <v/>
      </c>
      <c r="BG794" s="179" t="str">
        <f t="array" ref="BG794">IF($F794&lt;&gt;"",XLOOKUP($F794,Productos!$A:$A,Productos!AZ:AZ,"Revisar"),"")</f>
        <v/>
      </c>
      <c r="BH794" s="179" t="str">
        <f t="array" ref="BH794">IF($F794&lt;&gt;"", XLOOKUP($F794,Productos!$A$2:$A1001,Productos!BA$2:BA1001,"")*$G794,"")</f>
        <v/>
      </c>
      <c r="BI794" s="179" t="str">
        <f t="array" ref="BI794">IF($F794&lt;&gt;"",XLOOKUP($F794,Productos!$A:$A,Productos!BB:BB,"Revisar"),"")</f>
        <v/>
      </c>
      <c r="BJ794" s="179" t="str">
        <f t="array" ref="BJ794">IF($F794&lt;&gt;"", XLOOKUP($F794,Productos!$A$2:$A1001,Productos!BC$2:BC1001,"")*$G794,"")</f>
        <v/>
      </c>
      <c r="BK794" s="179" t="str">
        <f t="array" ref="BK794">IF($F794&lt;&gt;"",XLOOKUP($F794,Productos!$A:$A,Productos!BD:BD,"Revisar"),"")</f>
        <v/>
      </c>
      <c r="BL794" s="179" t="str">
        <f t="array" ref="BL794">IF($F794&lt;&gt;"", XLOOKUP($F794,Productos!$A$2:$A1001,Productos!BE$2:BE1001,"")*$G794,"")</f>
        <v/>
      </c>
      <c r="BM794" s="179" t="str">
        <f t="array" ref="BM794">IF($F794&lt;&gt;"",XLOOKUP($F794,Productos!$A:$A,Productos!BF:BF,"Revisar"),"")</f>
        <v/>
      </c>
      <c r="BN794" s="179" t="str">
        <f t="array" ref="BN794">IF($F794&lt;&gt;"", XLOOKUP($F794,Productos!$A$2:$A1001,Productos!BG$2:BG1001,"")*$G794,"")</f>
        <v/>
      </c>
      <c r="BO794" s="179" t="str">
        <f t="array" ref="BO794">IF($F794&lt;&gt;"",XLOOKUP($F794,Productos!$A:$A,Productos!BH:BH,"Revisar"),"")</f>
        <v/>
      </c>
      <c r="BP794" s="179" t="str">
        <f t="array" ref="BP794">IF($F794&lt;&gt;"", XLOOKUP($F794,Productos!$A$2:$A1001,Productos!BI$2:BI1001,"")*$G794,"")</f>
        <v/>
      </c>
      <c r="BQ794" s="179" t="str">
        <f t="array" ref="BQ794">IF($F794&lt;&gt;"",XLOOKUP($F794,Productos!$A:$A,Productos!BJ:BJ,"Revisar"),"")</f>
        <v/>
      </c>
      <c r="BR794" s="179" t="str">
        <f t="array" ref="BR794">IF($F794&lt;&gt;"", XLOOKUP($F794,Productos!$A$2:$A1001,Productos!BK$2:BK1001,"")*$G794,"")</f>
        <v/>
      </c>
      <c r="BS794" s="179" t="str">
        <f t="array" ref="BS794">IF($F794&lt;&gt;"",XLOOKUP($F794,Productos!$A:$A,Productos!BL:BL,"Revisar"),"")</f>
        <v/>
      </c>
      <c r="BT794" s="179" t="str">
        <f t="array" ref="BT794">IF($F794&lt;&gt;"", XLOOKUP($F794,Productos!$A$2:$A1001,Productos!BM$2:BM1001,"")*$G794,"")</f>
        <v/>
      </c>
      <c r="BU794" s="179" t="str">
        <f t="array" ref="BU794">IF($F794&lt;&gt;"",XLOOKUP($F794,Productos!$A:$A,Productos!BN:BN,"Revisar"),"")</f>
        <v/>
      </c>
      <c r="BV794" s="179" t="str">
        <f t="array" ref="BV794">IF($F794&lt;&gt;"", XLOOKUP($F794,Productos!$A$2:$A1001,Productos!BO$2:BO1001,"")*$G794,"")</f>
        <v/>
      </c>
      <c r="BW794" s="179" t="str">
        <f t="array" ref="BW794">IF($F794&lt;&gt;"",XLOOKUP($F794,Productos!$A:$A,Productos!BP:BP,"Revisar"),"")</f>
        <v/>
      </c>
      <c r="BX794" s="179" t="str">
        <f t="array" ref="BX794">IF($F794&lt;&gt;"", XLOOKUP($F794,Productos!$A$2:$A1001,Productos!BQ$2:BQ1001,"")*$G794,"")</f>
        <v/>
      </c>
      <c r="BY794" s="179" t="str">
        <f t="array" ref="BY794">IF($F794&lt;&gt;"",XLOOKUP($F794,Productos!$A:$A,Productos!BR:BR,"Revisar"),"")</f>
        <v/>
      </c>
      <c r="BZ794" s="179" t="str">
        <f t="array" ref="BZ794">IF($F794&lt;&gt;"", XLOOKUP($F794,Productos!$A$2:$A1001,Productos!BS$2:BS1001,"")*$G794,"")</f>
        <v/>
      </c>
    </row>
    <row r="795">
      <c r="A795" s="188"/>
      <c r="B795" s="189"/>
      <c r="C795" s="190"/>
      <c r="D795" s="190"/>
      <c r="E795" s="191"/>
      <c r="F795" s="186"/>
      <c r="G795" s="192"/>
      <c r="H795" s="9"/>
      <c r="I795" s="179" t="str">
        <f t="array" ref="I795">IF($F795&lt;&gt;"",XLOOKUP($F795,Productos!$A:$A,Productos!B:B,"Revisar"),"")</f>
        <v/>
      </c>
      <c r="J795" s="179" t="str">
        <f t="array" ref="J795">IF($F795&lt;&gt;"", XLOOKUP($F795,Productos!$A$2:$A1001,Productos!C$2:C1001,"")*$G795,"")</f>
        <v/>
      </c>
      <c r="K795" s="179" t="str">
        <f t="array" ref="K795">IF($F795&lt;&gt;"",XLOOKUP($F795,Productos!$A:$A,Productos!D:D,"Revisar"),"")</f>
        <v/>
      </c>
      <c r="L795" s="179" t="str">
        <f t="array" ref="L795">IF($F795&lt;&gt;"", XLOOKUP($F795,Productos!$A$2:$A1001,Productos!E$2:E1001,"")*$G795,"")</f>
        <v/>
      </c>
      <c r="M795" s="179" t="str">
        <f t="array" ref="M795">IF($F795&lt;&gt;"",XLOOKUP($F795,Productos!$A:$A,Productos!F:F,"Revisar"),"")</f>
        <v/>
      </c>
      <c r="N795" s="179" t="str">
        <f t="array" ref="N795">IF($F795&lt;&gt;"", XLOOKUP($F795,Productos!$A$2:$A1001,Productos!G$2:G1001,"")*$G795,"")</f>
        <v/>
      </c>
      <c r="O795" s="179" t="str">
        <f t="array" ref="O795">IF($F795&lt;&gt;"",XLOOKUP($F795,Productos!$A:$A,Productos!H:H,"Revisar"),"")</f>
        <v/>
      </c>
      <c r="P795" s="179" t="str">
        <f t="array" ref="P795">IF($F795&lt;&gt;"", XLOOKUP($F795,Productos!$A$2:$A1001,Productos!I$2:I1001,"")*$G795,"")</f>
        <v/>
      </c>
      <c r="Q795" s="179" t="str">
        <f t="array" ref="Q795">IF($F795&lt;&gt;"",XLOOKUP($F795,Productos!$A:$A,Productos!J:J,"Revisar"),"")</f>
        <v/>
      </c>
      <c r="R795" s="179" t="str">
        <f t="array" ref="R795">IF($F795&lt;&gt;"", XLOOKUP($F795,Productos!$A$2:$A1001,Productos!K$2:K1001,"")*$G795,"")</f>
        <v/>
      </c>
      <c r="S795" s="179" t="str">
        <f t="array" ref="S795">IF($F795&lt;&gt;"",XLOOKUP($F795,Productos!$A:$A,Productos!L:L,"Revisar"),"")</f>
        <v/>
      </c>
      <c r="T795" s="179" t="str">
        <f t="array" ref="T795">IF($F795&lt;&gt;"", XLOOKUP($F795,Productos!$A$2:$A1001,Productos!M$2:M1001,"")*$G795,"")</f>
        <v/>
      </c>
      <c r="U795" s="179" t="str">
        <f t="array" ref="U795">IF($F795&lt;&gt;"",XLOOKUP($F795,Productos!$A:$A,Productos!N:N,"Revisar"),"")</f>
        <v/>
      </c>
      <c r="V795" s="179" t="str">
        <f t="array" ref="V795">IF($F795&lt;&gt;"", XLOOKUP($F795,Productos!$A$2:$A1001,Productos!O$2:O1001,"")*$G795,"")</f>
        <v/>
      </c>
      <c r="W795" s="179" t="str">
        <f t="array" ref="W795">IF($F795&lt;&gt;"",XLOOKUP($F795,Productos!$A:$A,Productos!P:P,"Revisar"),"")</f>
        <v/>
      </c>
      <c r="X795" s="179" t="str">
        <f t="array" ref="X795">IF($F795&lt;&gt;"", XLOOKUP($F795,Productos!$A$2:$A1001,Productos!Q$2:Q1001,"")*$G795,"")</f>
        <v/>
      </c>
      <c r="Y795" s="179" t="str">
        <f t="array" ref="Y795">IF($F795&lt;&gt;"",XLOOKUP($F795,Productos!$A:$A,Productos!R:R,"Revisar"),"")</f>
        <v/>
      </c>
      <c r="Z795" s="179" t="str">
        <f t="array" ref="Z795">IF($F795&lt;&gt;"", XLOOKUP($F795,Productos!$A$2:$A1001,Productos!S$2:S1001,"")*$G795,"")</f>
        <v/>
      </c>
      <c r="AA795" s="179" t="str">
        <f t="array" ref="AA795">IF($F795&lt;&gt;"",XLOOKUP($F795,Productos!$A:$A,Productos!T:T,"Revisar"),"")</f>
        <v/>
      </c>
      <c r="AB795" s="179" t="str">
        <f t="array" ref="AB795">IF($F795&lt;&gt;"", XLOOKUP($F795,Productos!$A$2:$A1001,Productos!U$2:U1001,"")*$G795,"")</f>
        <v/>
      </c>
      <c r="AC795" s="179" t="str">
        <f t="array" ref="AC795">IF($F795&lt;&gt;"",XLOOKUP($F795,Productos!$A:$A,Productos!V:V,"Revisar"),"")</f>
        <v/>
      </c>
      <c r="AD795" s="179" t="str">
        <f t="array" ref="AD795">IF($F795&lt;&gt;"", XLOOKUP($F795,Productos!$A$2:$A1001,Productos!W$2:W1001,"")*$G795,"")</f>
        <v/>
      </c>
      <c r="AE795" s="179" t="str">
        <f t="array" ref="AE795">IF($F795&lt;&gt;"",XLOOKUP($F795,Productos!$A:$A,Productos!X:X,"Revisar"),"")</f>
        <v/>
      </c>
      <c r="AF795" s="179" t="str">
        <f t="array" ref="AF795">IF($F795&lt;&gt;"", XLOOKUP($F795,Productos!$A$2:$A1001,Productos!Y$2:Y1001,"")*$G795,"")</f>
        <v/>
      </c>
      <c r="AG795" s="179" t="str">
        <f t="array" ref="AG795">IF($F795&lt;&gt;"",XLOOKUP($F795,Productos!$A:$A,Productos!Z:Z,"Revisar"),"")</f>
        <v/>
      </c>
      <c r="AH795" s="179" t="str">
        <f t="array" ref="AH795">IF($F795&lt;&gt;"", XLOOKUP($F795,Productos!$A$2:$A1001,Productos!AA$2:AA1001,"")*$G795,"")</f>
        <v/>
      </c>
      <c r="AI795" s="179" t="str">
        <f t="array" ref="AI795">IF($F795&lt;&gt;"",XLOOKUP($F795,Productos!$A:$A,Productos!AB:AB,"Revisar"),"")</f>
        <v/>
      </c>
      <c r="AJ795" s="179" t="str">
        <f t="array" ref="AJ795">IF($F795&lt;&gt;"", XLOOKUP($F795,Productos!$A$2:$A1001,Productos!AC$2:AC1001,"")*$G795,"")</f>
        <v/>
      </c>
      <c r="AK795" s="179" t="str">
        <f t="array" ref="AK795">IF($F795&lt;&gt;"",XLOOKUP($F795,Productos!$A:$A,Productos!AD:AD,"Revisar"),"")</f>
        <v/>
      </c>
      <c r="AL795" s="179" t="str">
        <f t="array" ref="AL795">IF($F795&lt;&gt;"", XLOOKUP($F795,Productos!$A$2:$A1001,Productos!AE$2:AE1001,"")*$G795,"")</f>
        <v/>
      </c>
      <c r="AM795" s="179" t="str">
        <f t="array" ref="AM795">IF($F795&lt;&gt;"",XLOOKUP($F795,Productos!$A:$A,Productos!AF:AF,"Revisar"),"")</f>
        <v/>
      </c>
      <c r="AN795" s="179" t="str">
        <f t="array" ref="AN795">IF($F795&lt;&gt;"", XLOOKUP($F795,Productos!$A$2:$A1001,Productos!AG$2:AG1001,"")*$G795,"")</f>
        <v/>
      </c>
      <c r="AO795" s="179" t="str">
        <f t="array" ref="AO795">IF($F795&lt;&gt;"",XLOOKUP($F795,Productos!$A:$A,Productos!AH:AH,"Revisar"),"")</f>
        <v/>
      </c>
      <c r="AP795" s="179" t="str">
        <f t="array" ref="AP795">IF($F795&lt;&gt;"", XLOOKUP($F795,Productos!$A$2:$A1001,Productos!AI$2:AI1001,"")*$G795,"")</f>
        <v/>
      </c>
      <c r="AQ795" s="179" t="str">
        <f t="array" ref="AQ795">IF($F795&lt;&gt;"",XLOOKUP($F795,Productos!$A:$A,Productos!AJ:AJ,"Revisar"),"")</f>
        <v/>
      </c>
      <c r="AR795" s="179" t="str">
        <f t="array" ref="AR795">IF($F795&lt;&gt;"", XLOOKUP($F795,Productos!$A$2:$A1001,Productos!AK$2:AK1001,"")*$G795,"")</f>
        <v/>
      </c>
      <c r="AS795" s="179" t="str">
        <f t="array" ref="AS795">IF($F795&lt;&gt;"",XLOOKUP($F795,Productos!$A:$A,Productos!AL:AL,"Revisar"),"")</f>
        <v/>
      </c>
      <c r="AT795" s="179" t="str">
        <f t="array" ref="AT795">IF($F795&lt;&gt;"", XLOOKUP($F795,Productos!$A$2:$A1001,Productos!AM$2:AM1001,"")*$G795,"")</f>
        <v/>
      </c>
      <c r="AU795" s="179" t="str">
        <f t="array" ref="AU795">IF($F795&lt;&gt;"",XLOOKUP($F795,Productos!$A:$A,Productos!AN:AN,"Revisar"),"")</f>
        <v/>
      </c>
      <c r="AV795" s="179" t="str">
        <f t="array" ref="AV795">IF($F795&lt;&gt;"", XLOOKUP($F795,Productos!$A$2:$A1001,Productos!AO$2:AO1001,"")*$G795,"")</f>
        <v/>
      </c>
      <c r="AW795" s="179" t="str">
        <f t="array" ref="AW795">IF($F795&lt;&gt;"",XLOOKUP($F795,Productos!$A:$A,Productos!AP:AP,"Revisar"),"")</f>
        <v/>
      </c>
      <c r="AX795" s="179" t="str">
        <f t="array" ref="AX795">IF($F795&lt;&gt;"", XLOOKUP($F795,Productos!$A$2:$A1001,Productos!AQ$2:AQ1001,"")*$G795,"")</f>
        <v/>
      </c>
      <c r="AY795" s="179" t="str">
        <f t="array" ref="AY795">IF($F795&lt;&gt;"",XLOOKUP($F795,Productos!$A:$A,Productos!AR:AR,"Revisar"),"")</f>
        <v/>
      </c>
      <c r="AZ795" s="179" t="str">
        <f t="array" ref="AZ795">IF($F795&lt;&gt;"", XLOOKUP($F795,Productos!$A$2:$A1001,Productos!AS$2:AS1001,"")*$G795,"")</f>
        <v/>
      </c>
      <c r="BA795" s="179" t="str">
        <f t="array" ref="BA795">IF($F795&lt;&gt;"",XLOOKUP($F795,Productos!$A:$A,Productos!AT:AT,"Revisar"),"")</f>
        <v/>
      </c>
      <c r="BB795" s="179" t="str">
        <f t="array" ref="BB795">IF($F795&lt;&gt;"", XLOOKUP($F795,Productos!$A$2:$A1001,Productos!AU$2:AU1001,"")*$G795,"")</f>
        <v/>
      </c>
      <c r="BC795" s="179" t="str">
        <f t="array" ref="BC795">IF($F795&lt;&gt;"",XLOOKUP($F795,Productos!$A:$A,Productos!AV:AV,"Revisar"),"")</f>
        <v/>
      </c>
      <c r="BD795" s="179" t="str">
        <f t="array" ref="BD795">IF($F795&lt;&gt;"", XLOOKUP($F795,Productos!$A$2:$A1001,Productos!AW$2:AW1001,"")*$G795,"")</f>
        <v/>
      </c>
      <c r="BE795" s="179" t="str">
        <f t="array" ref="BE795">IF($F795&lt;&gt;"",XLOOKUP($F795,Productos!$A:$A,Productos!AX:AX,"Revisar"),"")</f>
        <v/>
      </c>
      <c r="BF795" s="179" t="str">
        <f t="array" ref="BF795">IF($F795&lt;&gt;"", XLOOKUP($F795,Productos!$A$2:$A1001,Productos!AY$2:AY1001,"")*$G795,"")</f>
        <v/>
      </c>
      <c r="BG795" s="179" t="str">
        <f t="array" ref="BG795">IF($F795&lt;&gt;"",XLOOKUP($F795,Productos!$A:$A,Productos!AZ:AZ,"Revisar"),"")</f>
        <v/>
      </c>
      <c r="BH795" s="179" t="str">
        <f t="array" ref="BH795">IF($F795&lt;&gt;"", XLOOKUP($F795,Productos!$A$2:$A1001,Productos!BA$2:BA1001,"")*$G795,"")</f>
        <v/>
      </c>
      <c r="BI795" s="179" t="str">
        <f t="array" ref="BI795">IF($F795&lt;&gt;"",XLOOKUP($F795,Productos!$A:$A,Productos!BB:BB,"Revisar"),"")</f>
        <v/>
      </c>
      <c r="BJ795" s="179" t="str">
        <f t="array" ref="BJ795">IF($F795&lt;&gt;"", XLOOKUP($F795,Productos!$A$2:$A1001,Productos!BC$2:BC1001,"")*$G795,"")</f>
        <v/>
      </c>
      <c r="BK795" s="179" t="str">
        <f t="array" ref="BK795">IF($F795&lt;&gt;"",XLOOKUP($F795,Productos!$A:$A,Productos!BD:BD,"Revisar"),"")</f>
        <v/>
      </c>
      <c r="BL795" s="179" t="str">
        <f t="array" ref="BL795">IF($F795&lt;&gt;"", XLOOKUP($F795,Productos!$A$2:$A1001,Productos!BE$2:BE1001,"")*$G795,"")</f>
        <v/>
      </c>
      <c r="BM795" s="179" t="str">
        <f t="array" ref="BM795">IF($F795&lt;&gt;"",XLOOKUP($F795,Productos!$A:$A,Productos!BF:BF,"Revisar"),"")</f>
        <v/>
      </c>
      <c r="BN795" s="179" t="str">
        <f t="array" ref="BN795">IF($F795&lt;&gt;"", XLOOKUP($F795,Productos!$A$2:$A1001,Productos!BG$2:BG1001,"")*$G795,"")</f>
        <v/>
      </c>
      <c r="BO795" s="179" t="str">
        <f t="array" ref="BO795">IF($F795&lt;&gt;"",XLOOKUP($F795,Productos!$A:$A,Productos!BH:BH,"Revisar"),"")</f>
        <v/>
      </c>
      <c r="BP795" s="179" t="str">
        <f t="array" ref="BP795">IF($F795&lt;&gt;"", XLOOKUP($F795,Productos!$A$2:$A1001,Productos!BI$2:BI1001,"")*$G795,"")</f>
        <v/>
      </c>
      <c r="BQ795" s="179" t="str">
        <f t="array" ref="BQ795">IF($F795&lt;&gt;"",XLOOKUP($F795,Productos!$A:$A,Productos!BJ:BJ,"Revisar"),"")</f>
        <v/>
      </c>
      <c r="BR795" s="179" t="str">
        <f t="array" ref="BR795">IF($F795&lt;&gt;"", XLOOKUP($F795,Productos!$A$2:$A1001,Productos!BK$2:BK1001,"")*$G795,"")</f>
        <v/>
      </c>
      <c r="BS795" s="179" t="str">
        <f t="array" ref="BS795">IF($F795&lt;&gt;"",XLOOKUP($F795,Productos!$A:$A,Productos!BL:BL,"Revisar"),"")</f>
        <v/>
      </c>
      <c r="BT795" s="179" t="str">
        <f t="array" ref="BT795">IF($F795&lt;&gt;"", XLOOKUP($F795,Productos!$A$2:$A1001,Productos!BM$2:BM1001,"")*$G795,"")</f>
        <v/>
      </c>
      <c r="BU795" s="179" t="str">
        <f t="array" ref="BU795">IF($F795&lt;&gt;"",XLOOKUP($F795,Productos!$A:$A,Productos!BN:BN,"Revisar"),"")</f>
        <v/>
      </c>
      <c r="BV795" s="179" t="str">
        <f t="array" ref="BV795">IF($F795&lt;&gt;"", XLOOKUP($F795,Productos!$A$2:$A1001,Productos!BO$2:BO1001,"")*$G795,"")</f>
        <v/>
      </c>
      <c r="BW795" s="179" t="str">
        <f t="array" ref="BW795">IF($F795&lt;&gt;"",XLOOKUP($F795,Productos!$A:$A,Productos!BP:BP,"Revisar"),"")</f>
        <v/>
      </c>
      <c r="BX795" s="179" t="str">
        <f t="array" ref="BX795">IF($F795&lt;&gt;"", XLOOKUP($F795,Productos!$A$2:$A1001,Productos!BQ$2:BQ1001,"")*$G795,"")</f>
        <v/>
      </c>
      <c r="BY795" s="179" t="str">
        <f t="array" ref="BY795">IF($F795&lt;&gt;"",XLOOKUP($F795,Productos!$A:$A,Productos!BR:BR,"Revisar"),"")</f>
        <v/>
      </c>
      <c r="BZ795" s="179" t="str">
        <f t="array" ref="BZ795">IF($F795&lt;&gt;"", XLOOKUP($F795,Productos!$A$2:$A1001,Productos!BS$2:BS1001,"")*$G795,"")</f>
        <v/>
      </c>
    </row>
    <row r="796">
      <c r="A796" s="188"/>
      <c r="B796" s="189"/>
      <c r="C796" s="190"/>
      <c r="D796" s="190"/>
      <c r="E796" s="191"/>
      <c r="F796" s="186"/>
      <c r="G796" s="192"/>
      <c r="H796" s="9"/>
      <c r="I796" s="179" t="str">
        <f t="array" ref="I796">IF($F796&lt;&gt;"",XLOOKUP($F796,Productos!$A:$A,Productos!B:B,"Revisar"),"")</f>
        <v/>
      </c>
      <c r="J796" s="179" t="str">
        <f t="array" ref="J796">IF($F796&lt;&gt;"", XLOOKUP($F796,Productos!$A$2:$A1001,Productos!C$2:C1001,"")*$G796,"")</f>
        <v/>
      </c>
      <c r="K796" s="179" t="str">
        <f t="array" ref="K796">IF($F796&lt;&gt;"",XLOOKUP($F796,Productos!$A:$A,Productos!D:D,"Revisar"),"")</f>
        <v/>
      </c>
      <c r="L796" s="179" t="str">
        <f t="array" ref="L796">IF($F796&lt;&gt;"", XLOOKUP($F796,Productos!$A$2:$A1001,Productos!E$2:E1001,"")*$G796,"")</f>
        <v/>
      </c>
      <c r="M796" s="179" t="str">
        <f t="array" ref="M796">IF($F796&lt;&gt;"",XLOOKUP($F796,Productos!$A:$A,Productos!F:F,"Revisar"),"")</f>
        <v/>
      </c>
      <c r="N796" s="179" t="str">
        <f t="array" ref="N796">IF($F796&lt;&gt;"", XLOOKUP($F796,Productos!$A$2:$A1001,Productos!G$2:G1001,"")*$G796,"")</f>
        <v/>
      </c>
      <c r="O796" s="179" t="str">
        <f t="array" ref="O796">IF($F796&lt;&gt;"",XLOOKUP($F796,Productos!$A:$A,Productos!H:H,"Revisar"),"")</f>
        <v/>
      </c>
      <c r="P796" s="179" t="str">
        <f t="array" ref="P796">IF($F796&lt;&gt;"", XLOOKUP($F796,Productos!$A$2:$A1001,Productos!I$2:I1001,"")*$G796,"")</f>
        <v/>
      </c>
      <c r="Q796" s="179" t="str">
        <f t="array" ref="Q796">IF($F796&lt;&gt;"",XLOOKUP($F796,Productos!$A:$A,Productos!J:J,"Revisar"),"")</f>
        <v/>
      </c>
      <c r="R796" s="179" t="str">
        <f t="array" ref="R796">IF($F796&lt;&gt;"", XLOOKUP($F796,Productos!$A$2:$A1001,Productos!K$2:K1001,"")*$G796,"")</f>
        <v/>
      </c>
      <c r="S796" s="179" t="str">
        <f t="array" ref="S796">IF($F796&lt;&gt;"",XLOOKUP($F796,Productos!$A:$A,Productos!L:L,"Revisar"),"")</f>
        <v/>
      </c>
      <c r="T796" s="179" t="str">
        <f t="array" ref="T796">IF($F796&lt;&gt;"", XLOOKUP($F796,Productos!$A$2:$A1001,Productos!M$2:M1001,"")*$G796,"")</f>
        <v/>
      </c>
      <c r="U796" s="179" t="str">
        <f t="array" ref="U796">IF($F796&lt;&gt;"",XLOOKUP($F796,Productos!$A:$A,Productos!N:N,"Revisar"),"")</f>
        <v/>
      </c>
      <c r="V796" s="179" t="str">
        <f t="array" ref="V796">IF($F796&lt;&gt;"", XLOOKUP($F796,Productos!$A$2:$A1001,Productos!O$2:O1001,"")*$G796,"")</f>
        <v/>
      </c>
      <c r="W796" s="179" t="str">
        <f t="array" ref="W796">IF($F796&lt;&gt;"",XLOOKUP($F796,Productos!$A:$A,Productos!P:P,"Revisar"),"")</f>
        <v/>
      </c>
      <c r="X796" s="179" t="str">
        <f t="array" ref="X796">IF($F796&lt;&gt;"", XLOOKUP($F796,Productos!$A$2:$A1001,Productos!Q$2:Q1001,"")*$G796,"")</f>
        <v/>
      </c>
      <c r="Y796" s="179" t="str">
        <f t="array" ref="Y796">IF($F796&lt;&gt;"",XLOOKUP($F796,Productos!$A:$A,Productos!R:R,"Revisar"),"")</f>
        <v/>
      </c>
      <c r="Z796" s="179" t="str">
        <f t="array" ref="Z796">IF($F796&lt;&gt;"", XLOOKUP($F796,Productos!$A$2:$A1001,Productos!S$2:S1001,"")*$G796,"")</f>
        <v/>
      </c>
      <c r="AA796" s="179" t="str">
        <f t="array" ref="AA796">IF($F796&lt;&gt;"",XLOOKUP($F796,Productos!$A:$A,Productos!T:T,"Revisar"),"")</f>
        <v/>
      </c>
      <c r="AB796" s="179" t="str">
        <f t="array" ref="AB796">IF($F796&lt;&gt;"", XLOOKUP($F796,Productos!$A$2:$A1001,Productos!U$2:U1001,"")*$G796,"")</f>
        <v/>
      </c>
      <c r="AC796" s="179" t="str">
        <f t="array" ref="AC796">IF($F796&lt;&gt;"",XLOOKUP($F796,Productos!$A:$A,Productos!V:V,"Revisar"),"")</f>
        <v/>
      </c>
      <c r="AD796" s="179" t="str">
        <f t="array" ref="AD796">IF($F796&lt;&gt;"", XLOOKUP($F796,Productos!$A$2:$A1001,Productos!W$2:W1001,"")*$G796,"")</f>
        <v/>
      </c>
      <c r="AE796" s="179" t="str">
        <f t="array" ref="AE796">IF($F796&lt;&gt;"",XLOOKUP($F796,Productos!$A:$A,Productos!X:X,"Revisar"),"")</f>
        <v/>
      </c>
      <c r="AF796" s="179" t="str">
        <f t="array" ref="AF796">IF($F796&lt;&gt;"", XLOOKUP($F796,Productos!$A$2:$A1001,Productos!Y$2:Y1001,"")*$G796,"")</f>
        <v/>
      </c>
      <c r="AG796" s="179" t="str">
        <f t="array" ref="AG796">IF($F796&lt;&gt;"",XLOOKUP($F796,Productos!$A:$A,Productos!Z:Z,"Revisar"),"")</f>
        <v/>
      </c>
      <c r="AH796" s="179" t="str">
        <f t="array" ref="AH796">IF($F796&lt;&gt;"", XLOOKUP($F796,Productos!$A$2:$A1001,Productos!AA$2:AA1001,"")*$G796,"")</f>
        <v/>
      </c>
      <c r="AI796" s="179" t="str">
        <f t="array" ref="AI796">IF($F796&lt;&gt;"",XLOOKUP($F796,Productos!$A:$A,Productos!AB:AB,"Revisar"),"")</f>
        <v/>
      </c>
      <c r="AJ796" s="179" t="str">
        <f t="array" ref="AJ796">IF($F796&lt;&gt;"", XLOOKUP($F796,Productos!$A$2:$A1001,Productos!AC$2:AC1001,"")*$G796,"")</f>
        <v/>
      </c>
      <c r="AK796" s="179" t="str">
        <f t="array" ref="AK796">IF($F796&lt;&gt;"",XLOOKUP($F796,Productos!$A:$A,Productos!AD:AD,"Revisar"),"")</f>
        <v/>
      </c>
      <c r="AL796" s="179" t="str">
        <f t="array" ref="AL796">IF($F796&lt;&gt;"", XLOOKUP($F796,Productos!$A$2:$A1001,Productos!AE$2:AE1001,"")*$G796,"")</f>
        <v/>
      </c>
      <c r="AM796" s="179" t="str">
        <f t="array" ref="AM796">IF($F796&lt;&gt;"",XLOOKUP($F796,Productos!$A:$A,Productos!AF:AF,"Revisar"),"")</f>
        <v/>
      </c>
      <c r="AN796" s="179" t="str">
        <f t="array" ref="AN796">IF($F796&lt;&gt;"", XLOOKUP($F796,Productos!$A$2:$A1001,Productos!AG$2:AG1001,"")*$G796,"")</f>
        <v/>
      </c>
      <c r="AO796" s="179" t="str">
        <f t="array" ref="AO796">IF($F796&lt;&gt;"",XLOOKUP($F796,Productos!$A:$A,Productos!AH:AH,"Revisar"),"")</f>
        <v/>
      </c>
      <c r="AP796" s="179" t="str">
        <f t="array" ref="AP796">IF($F796&lt;&gt;"", XLOOKUP($F796,Productos!$A$2:$A1001,Productos!AI$2:AI1001,"")*$G796,"")</f>
        <v/>
      </c>
      <c r="AQ796" s="179" t="str">
        <f t="array" ref="AQ796">IF($F796&lt;&gt;"",XLOOKUP($F796,Productos!$A:$A,Productos!AJ:AJ,"Revisar"),"")</f>
        <v/>
      </c>
      <c r="AR796" s="179" t="str">
        <f t="array" ref="AR796">IF($F796&lt;&gt;"", XLOOKUP($F796,Productos!$A$2:$A1001,Productos!AK$2:AK1001,"")*$G796,"")</f>
        <v/>
      </c>
      <c r="AS796" s="179" t="str">
        <f t="array" ref="AS796">IF($F796&lt;&gt;"",XLOOKUP($F796,Productos!$A:$A,Productos!AL:AL,"Revisar"),"")</f>
        <v/>
      </c>
      <c r="AT796" s="179" t="str">
        <f t="array" ref="AT796">IF($F796&lt;&gt;"", XLOOKUP($F796,Productos!$A$2:$A1001,Productos!AM$2:AM1001,"")*$G796,"")</f>
        <v/>
      </c>
      <c r="AU796" s="179" t="str">
        <f t="array" ref="AU796">IF($F796&lt;&gt;"",XLOOKUP($F796,Productos!$A:$A,Productos!AN:AN,"Revisar"),"")</f>
        <v/>
      </c>
      <c r="AV796" s="179" t="str">
        <f t="array" ref="AV796">IF($F796&lt;&gt;"", XLOOKUP($F796,Productos!$A$2:$A1001,Productos!AO$2:AO1001,"")*$G796,"")</f>
        <v/>
      </c>
      <c r="AW796" s="179" t="str">
        <f t="array" ref="AW796">IF($F796&lt;&gt;"",XLOOKUP($F796,Productos!$A:$A,Productos!AP:AP,"Revisar"),"")</f>
        <v/>
      </c>
      <c r="AX796" s="179" t="str">
        <f t="array" ref="AX796">IF($F796&lt;&gt;"", XLOOKUP($F796,Productos!$A$2:$A1001,Productos!AQ$2:AQ1001,"")*$G796,"")</f>
        <v/>
      </c>
      <c r="AY796" s="179" t="str">
        <f t="array" ref="AY796">IF($F796&lt;&gt;"",XLOOKUP($F796,Productos!$A:$A,Productos!AR:AR,"Revisar"),"")</f>
        <v/>
      </c>
      <c r="AZ796" s="179" t="str">
        <f t="array" ref="AZ796">IF($F796&lt;&gt;"", XLOOKUP($F796,Productos!$A$2:$A1001,Productos!AS$2:AS1001,"")*$G796,"")</f>
        <v/>
      </c>
      <c r="BA796" s="179" t="str">
        <f t="array" ref="BA796">IF($F796&lt;&gt;"",XLOOKUP($F796,Productos!$A:$A,Productos!AT:AT,"Revisar"),"")</f>
        <v/>
      </c>
      <c r="BB796" s="179" t="str">
        <f t="array" ref="BB796">IF($F796&lt;&gt;"", XLOOKUP($F796,Productos!$A$2:$A1001,Productos!AU$2:AU1001,"")*$G796,"")</f>
        <v/>
      </c>
      <c r="BC796" s="179" t="str">
        <f t="array" ref="BC796">IF($F796&lt;&gt;"",XLOOKUP($F796,Productos!$A:$A,Productos!AV:AV,"Revisar"),"")</f>
        <v/>
      </c>
      <c r="BD796" s="179" t="str">
        <f t="array" ref="BD796">IF($F796&lt;&gt;"", XLOOKUP($F796,Productos!$A$2:$A1001,Productos!AW$2:AW1001,"")*$G796,"")</f>
        <v/>
      </c>
      <c r="BE796" s="179" t="str">
        <f t="array" ref="BE796">IF($F796&lt;&gt;"",XLOOKUP($F796,Productos!$A:$A,Productos!AX:AX,"Revisar"),"")</f>
        <v/>
      </c>
      <c r="BF796" s="179" t="str">
        <f t="array" ref="BF796">IF($F796&lt;&gt;"", XLOOKUP($F796,Productos!$A$2:$A1001,Productos!AY$2:AY1001,"")*$G796,"")</f>
        <v/>
      </c>
      <c r="BG796" s="179" t="str">
        <f t="array" ref="BG796">IF($F796&lt;&gt;"",XLOOKUP($F796,Productos!$A:$A,Productos!AZ:AZ,"Revisar"),"")</f>
        <v/>
      </c>
      <c r="BH796" s="179" t="str">
        <f t="array" ref="BH796">IF($F796&lt;&gt;"", XLOOKUP($F796,Productos!$A$2:$A1001,Productos!BA$2:BA1001,"")*$G796,"")</f>
        <v/>
      </c>
      <c r="BI796" s="179" t="str">
        <f t="array" ref="BI796">IF($F796&lt;&gt;"",XLOOKUP($F796,Productos!$A:$A,Productos!BB:BB,"Revisar"),"")</f>
        <v/>
      </c>
      <c r="BJ796" s="179" t="str">
        <f t="array" ref="BJ796">IF($F796&lt;&gt;"", XLOOKUP($F796,Productos!$A$2:$A1001,Productos!BC$2:BC1001,"")*$G796,"")</f>
        <v/>
      </c>
      <c r="BK796" s="179" t="str">
        <f t="array" ref="BK796">IF($F796&lt;&gt;"",XLOOKUP($F796,Productos!$A:$A,Productos!BD:BD,"Revisar"),"")</f>
        <v/>
      </c>
      <c r="BL796" s="179" t="str">
        <f t="array" ref="BL796">IF($F796&lt;&gt;"", XLOOKUP($F796,Productos!$A$2:$A1001,Productos!BE$2:BE1001,"")*$G796,"")</f>
        <v/>
      </c>
      <c r="BM796" s="179" t="str">
        <f t="array" ref="BM796">IF($F796&lt;&gt;"",XLOOKUP($F796,Productos!$A:$A,Productos!BF:BF,"Revisar"),"")</f>
        <v/>
      </c>
      <c r="BN796" s="179" t="str">
        <f t="array" ref="BN796">IF($F796&lt;&gt;"", XLOOKUP($F796,Productos!$A$2:$A1001,Productos!BG$2:BG1001,"")*$G796,"")</f>
        <v/>
      </c>
      <c r="BO796" s="179" t="str">
        <f t="array" ref="BO796">IF($F796&lt;&gt;"",XLOOKUP($F796,Productos!$A:$A,Productos!BH:BH,"Revisar"),"")</f>
        <v/>
      </c>
      <c r="BP796" s="179" t="str">
        <f t="array" ref="BP796">IF($F796&lt;&gt;"", XLOOKUP($F796,Productos!$A$2:$A1001,Productos!BI$2:BI1001,"")*$G796,"")</f>
        <v/>
      </c>
      <c r="BQ796" s="179" t="str">
        <f t="array" ref="BQ796">IF($F796&lt;&gt;"",XLOOKUP($F796,Productos!$A:$A,Productos!BJ:BJ,"Revisar"),"")</f>
        <v/>
      </c>
      <c r="BR796" s="179" t="str">
        <f t="array" ref="BR796">IF($F796&lt;&gt;"", XLOOKUP($F796,Productos!$A$2:$A1001,Productos!BK$2:BK1001,"")*$G796,"")</f>
        <v/>
      </c>
      <c r="BS796" s="179" t="str">
        <f t="array" ref="BS796">IF($F796&lt;&gt;"",XLOOKUP($F796,Productos!$A:$A,Productos!BL:BL,"Revisar"),"")</f>
        <v/>
      </c>
      <c r="BT796" s="179" t="str">
        <f t="array" ref="BT796">IF($F796&lt;&gt;"", XLOOKUP($F796,Productos!$A$2:$A1001,Productos!BM$2:BM1001,"")*$G796,"")</f>
        <v/>
      </c>
      <c r="BU796" s="179" t="str">
        <f t="array" ref="BU796">IF($F796&lt;&gt;"",XLOOKUP($F796,Productos!$A:$A,Productos!BN:BN,"Revisar"),"")</f>
        <v/>
      </c>
      <c r="BV796" s="179" t="str">
        <f t="array" ref="BV796">IF($F796&lt;&gt;"", XLOOKUP($F796,Productos!$A$2:$A1001,Productos!BO$2:BO1001,"")*$G796,"")</f>
        <v/>
      </c>
      <c r="BW796" s="179" t="str">
        <f t="array" ref="BW796">IF($F796&lt;&gt;"",XLOOKUP($F796,Productos!$A:$A,Productos!BP:BP,"Revisar"),"")</f>
        <v/>
      </c>
      <c r="BX796" s="179" t="str">
        <f t="array" ref="BX796">IF($F796&lt;&gt;"", XLOOKUP($F796,Productos!$A$2:$A1001,Productos!BQ$2:BQ1001,"")*$G796,"")</f>
        <v/>
      </c>
      <c r="BY796" s="179" t="str">
        <f t="array" ref="BY796">IF($F796&lt;&gt;"",XLOOKUP($F796,Productos!$A:$A,Productos!BR:BR,"Revisar"),"")</f>
        <v/>
      </c>
      <c r="BZ796" s="179" t="str">
        <f t="array" ref="BZ796">IF($F796&lt;&gt;"", XLOOKUP($F796,Productos!$A$2:$A1001,Productos!BS$2:BS1001,"")*$G796,"")</f>
        <v/>
      </c>
    </row>
    <row r="797">
      <c r="A797" s="188"/>
      <c r="B797" s="189"/>
      <c r="C797" s="190"/>
      <c r="D797" s="190"/>
      <c r="E797" s="191"/>
      <c r="F797" s="186"/>
      <c r="G797" s="192"/>
      <c r="H797" s="9"/>
      <c r="I797" s="179" t="str">
        <f t="array" ref="I797">IF($F797&lt;&gt;"",XLOOKUP($F797,Productos!$A:$A,Productos!B:B,"Revisar"),"")</f>
        <v/>
      </c>
      <c r="J797" s="179" t="str">
        <f t="array" ref="J797">IF($F797&lt;&gt;"", XLOOKUP($F797,Productos!$A$2:$A1001,Productos!C$2:C1001,"")*$G797,"")</f>
        <v/>
      </c>
      <c r="K797" s="179" t="str">
        <f t="array" ref="K797">IF($F797&lt;&gt;"",XLOOKUP($F797,Productos!$A:$A,Productos!D:D,"Revisar"),"")</f>
        <v/>
      </c>
      <c r="L797" s="179" t="str">
        <f t="array" ref="L797">IF($F797&lt;&gt;"", XLOOKUP($F797,Productos!$A$2:$A1001,Productos!E$2:E1001,"")*$G797,"")</f>
        <v/>
      </c>
      <c r="M797" s="179" t="str">
        <f t="array" ref="M797">IF($F797&lt;&gt;"",XLOOKUP($F797,Productos!$A:$A,Productos!F:F,"Revisar"),"")</f>
        <v/>
      </c>
      <c r="N797" s="179" t="str">
        <f t="array" ref="N797">IF($F797&lt;&gt;"", XLOOKUP($F797,Productos!$A$2:$A1001,Productos!G$2:G1001,"")*$G797,"")</f>
        <v/>
      </c>
      <c r="O797" s="179" t="str">
        <f t="array" ref="O797">IF($F797&lt;&gt;"",XLOOKUP($F797,Productos!$A:$A,Productos!H:H,"Revisar"),"")</f>
        <v/>
      </c>
      <c r="P797" s="179" t="str">
        <f t="array" ref="P797">IF($F797&lt;&gt;"", XLOOKUP($F797,Productos!$A$2:$A1001,Productos!I$2:I1001,"")*$G797,"")</f>
        <v/>
      </c>
      <c r="Q797" s="179" t="str">
        <f t="array" ref="Q797">IF($F797&lt;&gt;"",XLOOKUP($F797,Productos!$A:$A,Productos!J:J,"Revisar"),"")</f>
        <v/>
      </c>
      <c r="R797" s="179" t="str">
        <f t="array" ref="R797">IF($F797&lt;&gt;"", XLOOKUP($F797,Productos!$A$2:$A1001,Productos!K$2:K1001,"")*$G797,"")</f>
        <v/>
      </c>
      <c r="S797" s="179" t="str">
        <f t="array" ref="S797">IF($F797&lt;&gt;"",XLOOKUP($F797,Productos!$A:$A,Productos!L:L,"Revisar"),"")</f>
        <v/>
      </c>
      <c r="T797" s="179" t="str">
        <f t="array" ref="T797">IF($F797&lt;&gt;"", XLOOKUP($F797,Productos!$A$2:$A1001,Productos!M$2:M1001,"")*$G797,"")</f>
        <v/>
      </c>
      <c r="U797" s="179" t="str">
        <f t="array" ref="U797">IF($F797&lt;&gt;"",XLOOKUP($F797,Productos!$A:$A,Productos!N:N,"Revisar"),"")</f>
        <v/>
      </c>
      <c r="V797" s="179" t="str">
        <f t="array" ref="V797">IF($F797&lt;&gt;"", XLOOKUP($F797,Productos!$A$2:$A1001,Productos!O$2:O1001,"")*$G797,"")</f>
        <v/>
      </c>
      <c r="W797" s="179" t="str">
        <f t="array" ref="W797">IF($F797&lt;&gt;"",XLOOKUP($F797,Productos!$A:$A,Productos!P:P,"Revisar"),"")</f>
        <v/>
      </c>
      <c r="X797" s="179" t="str">
        <f t="array" ref="X797">IF($F797&lt;&gt;"", XLOOKUP($F797,Productos!$A$2:$A1001,Productos!Q$2:Q1001,"")*$G797,"")</f>
        <v/>
      </c>
      <c r="Y797" s="179" t="str">
        <f t="array" ref="Y797">IF($F797&lt;&gt;"",XLOOKUP($F797,Productos!$A:$A,Productos!R:R,"Revisar"),"")</f>
        <v/>
      </c>
      <c r="Z797" s="179" t="str">
        <f t="array" ref="Z797">IF($F797&lt;&gt;"", XLOOKUP($F797,Productos!$A$2:$A1001,Productos!S$2:S1001,"")*$G797,"")</f>
        <v/>
      </c>
      <c r="AA797" s="179" t="str">
        <f t="array" ref="AA797">IF($F797&lt;&gt;"",XLOOKUP($F797,Productos!$A:$A,Productos!T:T,"Revisar"),"")</f>
        <v/>
      </c>
      <c r="AB797" s="179" t="str">
        <f t="array" ref="AB797">IF($F797&lt;&gt;"", XLOOKUP($F797,Productos!$A$2:$A1001,Productos!U$2:U1001,"")*$G797,"")</f>
        <v/>
      </c>
      <c r="AC797" s="179" t="str">
        <f t="array" ref="AC797">IF($F797&lt;&gt;"",XLOOKUP($F797,Productos!$A:$A,Productos!V:V,"Revisar"),"")</f>
        <v/>
      </c>
      <c r="AD797" s="179" t="str">
        <f t="array" ref="AD797">IF($F797&lt;&gt;"", XLOOKUP($F797,Productos!$A$2:$A1001,Productos!W$2:W1001,"")*$G797,"")</f>
        <v/>
      </c>
      <c r="AE797" s="179" t="str">
        <f t="array" ref="AE797">IF($F797&lt;&gt;"",XLOOKUP($F797,Productos!$A:$A,Productos!X:X,"Revisar"),"")</f>
        <v/>
      </c>
      <c r="AF797" s="179" t="str">
        <f t="array" ref="AF797">IF($F797&lt;&gt;"", XLOOKUP($F797,Productos!$A$2:$A1001,Productos!Y$2:Y1001,"")*$G797,"")</f>
        <v/>
      </c>
      <c r="AG797" s="179" t="str">
        <f t="array" ref="AG797">IF($F797&lt;&gt;"",XLOOKUP($F797,Productos!$A:$A,Productos!Z:Z,"Revisar"),"")</f>
        <v/>
      </c>
      <c r="AH797" s="179" t="str">
        <f t="array" ref="AH797">IF($F797&lt;&gt;"", XLOOKUP($F797,Productos!$A$2:$A1001,Productos!AA$2:AA1001,"")*$G797,"")</f>
        <v/>
      </c>
      <c r="AI797" s="179" t="str">
        <f t="array" ref="AI797">IF($F797&lt;&gt;"",XLOOKUP($F797,Productos!$A:$A,Productos!AB:AB,"Revisar"),"")</f>
        <v/>
      </c>
      <c r="AJ797" s="179" t="str">
        <f t="array" ref="AJ797">IF($F797&lt;&gt;"", XLOOKUP($F797,Productos!$A$2:$A1001,Productos!AC$2:AC1001,"")*$G797,"")</f>
        <v/>
      </c>
      <c r="AK797" s="179" t="str">
        <f t="array" ref="AK797">IF($F797&lt;&gt;"",XLOOKUP($F797,Productos!$A:$A,Productos!AD:AD,"Revisar"),"")</f>
        <v/>
      </c>
      <c r="AL797" s="179" t="str">
        <f t="array" ref="AL797">IF($F797&lt;&gt;"", XLOOKUP($F797,Productos!$A$2:$A1001,Productos!AE$2:AE1001,"")*$G797,"")</f>
        <v/>
      </c>
      <c r="AM797" s="179" t="str">
        <f t="array" ref="AM797">IF($F797&lt;&gt;"",XLOOKUP($F797,Productos!$A:$A,Productos!AF:AF,"Revisar"),"")</f>
        <v/>
      </c>
      <c r="AN797" s="179" t="str">
        <f t="array" ref="AN797">IF($F797&lt;&gt;"", XLOOKUP($F797,Productos!$A$2:$A1001,Productos!AG$2:AG1001,"")*$G797,"")</f>
        <v/>
      </c>
      <c r="AO797" s="179" t="str">
        <f t="array" ref="AO797">IF($F797&lt;&gt;"",XLOOKUP($F797,Productos!$A:$A,Productos!AH:AH,"Revisar"),"")</f>
        <v/>
      </c>
      <c r="AP797" s="179" t="str">
        <f t="array" ref="AP797">IF($F797&lt;&gt;"", XLOOKUP($F797,Productos!$A$2:$A1001,Productos!AI$2:AI1001,"")*$G797,"")</f>
        <v/>
      </c>
      <c r="AQ797" s="179" t="str">
        <f t="array" ref="AQ797">IF($F797&lt;&gt;"",XLOOKUP($F797,Productos!$A:$A,Productos!AJ:AJ,"Revisar"),"")</f>
        <v/>
      </c>
      <c r="AR797" s="179" t="str">
        <f t="array" ref="AR797">IF($F797&lt;&gt;"", XLOOKUP($F797,Productos!$A$2:$A1001,Productos!AK$2:AK1001,"")*$G797,"")</f>
        <v/>
      </c>
      <c r="AS797" s="179" t="str">
        <f t="array" ref="AS797">IF($F797&lt;&gt;"",XLOOKUP($F797,Productos!$A:$A,Productos!AL:AL,"Revisar"),"")</f>
        <v/>
      </c>
      <c r="AT797" s="179" t="str">
        <f t="array" ref="AT797">IF($F797&lt;&gt;"", XLOOKUP($F797,Productos!$A$2:$A1001,Productos!AM$2:AM1001,"")*$G797,"")</f>
        <v/>
      </c>
      <c r="AU797" s="179" t="str">
        <f t="array" ref="AU797">IF($F797&lt;&gt;"",XLOOKUP($F797,Productos!$A:$A,Productos!AN:AN,"Revisar"),"")</f>
        <v/>
      </c>
      <c r="AV797" s="179" t="str">
        <f t="array" ref="AV797">IF($F797&lt;&gt;"", XLOOKUP($F797,Productos!$A$2:$A1001,Productos!AO$2:AO1001,"")*$G797,"")</f>
        <v/>
      </c>
      <c r="AW797" s="179" t="str">
        <f t="array" ref="AW797">IF($F797&lt;&gt;"",XLOOKUP($F797,Productos!$A:$A,Productos!AP:AP,"Revisar"),"")</f>
        <v/>
      </c>
      <c r="AX797" s="179" t="str">
        <f t="array" ref="AX797">IF($F797&lt;&gt;"", XLOOKUP($F797,Productos!$A$2:$A1001,Productos!AQ$2:AQ1001,"")*$G797,"")</f>
        <v/>
      </c>
      <c r="AY797" s="179" t="str">
        <f t="array" ref="AY797">IF($F797&lt;&gt;"",XLOOKUP($F797,Productos!$A:$A,Productos!AR:AR,"Revisar"),"")</f>
        <v/>
      </c>
      <c r="AZ797" s="179" t="str">
        <f t="array" ref="AZ797">IF($F797&lt;&gt;"", XLOOKUP($F797,Productos!$A$2:$A1001,Productos!AS$2:AS1001,"")*$G797,"")</f>
        <v/>
      </c>
      <c r="BA797" s="179" t="str">
        <f t="array" ref="BA797">IF($F797&lt;&gt;"",XLOOKUP($F797,Productos!$A:$A,Productos!AT:AT,"Revisar"),"")</f>
        <v/>
      </c>
      <c r="BB797" s="179" t="str">
        <f t="array" ref="BB797">IF($F797&lt;&gt;"", XLOOKUP($F797,Productos!$A$2:$A1001,Productos!AU$2:AU1001,"")*$G797,"")</f>
        <v/>
      </c>
      <c r="BC797" s="179" t="str">
        <f t="array" ref="BC797">IF($F797&lt;&gt;"",XLOOKUP($F797,Productos!$A:$A,Productos!AV:AV,"Revisar"),"")</f>
        <v/>
      </c>
      <c r="BD797" s="179" t="str">
        <f t="array" ref="BD797">IF($F797&lt;&gt;"", XLOOKUP($F797,Productos!$A$2:$A1001,Productos!AW$2:AW1001,"")*$G797,"")</f>
        <v/>
      </c>
      <c r="BE797" s="179" t="str">
        <f t="array" ref="BE797">IF($F797&lt;&gt;"",XLOOKUP($F797,Productos!$A:$A,Productos!AX:AX,"Revisar"),"")</f>
        <v/>
      </c>
      <c r="BF797" s="179" t="str">
        <f t="array" ref="BF797">IF($F797&lt;&gt;"", XLOOKUP($F797,Productos!$A$2:$A1001,Productos!AY$2:AY1001,"")*$G797,"")</f>
        <v/>
      </c>
      <c r="BG797" s="179" t="str">
        <f t="array" ref="BG797">IF($F797&lt;&gt;"",XLOOKUP($F797,Productos!$A:$A,Productos!AZ:AZ,"Revisar"),"")</f>
        <v/>
      </c>
      <c r="BH797" s="179" t="str">
        <f t="array" ref="BH797">IF($F797&lt;&gt;"", XLOOKUP($F797,Productos!$A$2:$A1001,Productos!BA$2:BA1001,"")*$G797,"")</f>
        <v/>
      </c>
      <c r="BI797" s="179" t="str">
        <f t="array" ref="BI797">IF($F797&lt;&gt;"",XLOOKUP($F797,Productos!$A:$A,Productos!BB:BB,"Revisar"),"")</f>
        <v/>
      </c>
      <c r="BJ797" s="179" t="str">
        <f t="array" ref="BJ797">IF($F797&lt;&gt;"", XLOOKUP($F797,Productos!$A$2:$A1001,Productos!BC$2:BC1001,"")*$G797,"")</f>
        <v/>
      </c>
      <c r="BK797" s="179" t="str">
        <f t="array" ref="BK797">IF($F797&lt;&gt;"",XLOOKUP($F797,Productos!$A:$A,Productos!BD:BD,"Revisar"),"")</f>
        <v/>
      </c>
      <c r="BL797" s="179" t="str">
        <f t="array" ref="BL797">IF($F797&lt;&gt;"", XLOOKUP($F797,Productos!$A$2:$A1001,Productos!BE$2:BE1001,"")*$G797,"")</f>
        <v/>
      </c>
      <c r="BM797" s="179" t="str">
        <f t="array" ref="BM797">IF($F797&lt;&gt;"",XLOOKUP($F797,Productos!$A:$A,Productos!BF:BF,"Revisar"),"")</f>
        <v/>
      </c>
      <c r="BN797" s="179" t="str">
        <f t="array" ref="BN797">IF($F797&lt;&gt;"", XLOOKUP($F797,Productos!$A$2:$A1001,Productos!BG$2:BG1001,"")*$G797,"")</f>
        <v/>
      </c>
      <c r="BO797" s="179" t="str">
        <f t="array" ref="BO797">IF($F797&lt;&gt;"",XLOOKUP($F797,Productos!$A:$A,Productos!BH:BH,"Revisar"),"")</f>
        <v/>
      </c>
      <c r="BP797" s="179" t="str">
        <f t="array" ref="BP797">IF($F797&lt;&gt;"", XLOOKUP($F797,Productos!$A$2:$A1001,Productos!BI$2:BI1001,"")*$G797,"")</f>
        <v/>
      </c>
      <c r="BQ797" s="179" t="str">
        <f t="array" ref="BQ797">IF($F797&lt;&gt;"",XLOOKUP($F797,Productos!$A:$A,Productos!BJ:BJ,"Revisar"),"")</f>
        <v/>
      </c>
      <c r="BR797" s="179" t="str">
        <f t="array" ref="BR797">IF($F797&lt;&gt;"", XLOOKUP($F797,Productos!$A$2:$A1001,Productos!BK$2:BK1001,"")*$G797,"")</f>
        <v/>
      </c>
      <c r="BS797" s="179" t="str">
        <f t="array" ref="BS797">IF($F797&lt;&gt;"",XLOOKUP($F797,Productos!$A:$A,Productos!BL:BL,"Revisar"),"")</f>
        <v/>
      </c>
      <c r="BT797" s="179" t="str">
        <f t="array" ref="BT797">IF($F797&lt;&gt;"", XLOOKUP($F797,Productos!$A$2:$A1001,Productos!BM$2:BM1001,"")*$G797,"")</f>
        <v/>
      </c>
      <c r="BU797" s="179" t="str">
        <f t="array" ref="BU797">IF($F797&lt;&gt;"",XLOOKUP($F797,Productos!$A:$A,Productos!BN:BN,"Revisar"),"")</f>
        <v/>
      </c>
      <c r="BV797" s="179" t="str">
        <f t="array" ref="BV797">IF($F797&lt;&gt;"", XLOOKUP($F797,Productos!$A$2:$A1001,Productos!BO$2:BO1001,"")*$G797,"")</f>
        <v/>
      </c>
      <c r="BW797" s="179" t="str">
        <f t="array" ref="BW797">IF($F797&lt;&gt;"",XLOOKUP($F797,Productos!$A:$A,Productos!BP:BP,"Revisar"),"")</f>
        <v/>
      </c>
      <c r="BX797" s="179" t="str">
        <f t="array" ref="BX797">IF($F797&lt;&gt;"", XLOOKUP($F797,Productos!$A$2:$A1001,Productos!BQ$2:BQ1001,"")*$G797,"")</f>
        <v/>
      </c>
      <c r="BY797" s="179" t="str">
        <f t="array" ref="BY797">IF($F797&lt;&gt;"",XLOOKUP($F797,Productos!$A:$A,Productos!BR:BR,"Revisar"),"")</f>
        <v/>
      </c>
      <c r="BZ797" s="179" t="str">
        <f t="array" ref="BZ797">IF($F797&lt;&gt;"", XLOOKUP($F797,Productos!$A$2:$A1001,Productos!BS$2:BS1001,"")*$G797,"")</f>
        <v/>
      </c>
    </row>
    <row r="798">
      <c r="A798" s="188"/>
      <c r="B798" s="189"/>
      <c r="C798" s="190"/>
      <c r="D798" s="190"/>
      <c r="E798" s="191"/>
      <c r="F798" s="186"/>
      <c r="G798" s="192"/>
      <c r="H798" s="9"/>
      <c r="I798" s="179" t="str">
        <f t="array" ref="I798">IF($F798&lt;&gt;"",XLOOKUP($F798,Productos!$A:$A,Productos!B:B,"Revisar"),"")</f>
        <v/>
      </c>
      <c r="J798" s="179" t="str">
        <f t="array" ref="J798">IF($F798&lt;&gt;"", XLOOKUP($F798,Productos!$A$2:$A1001,Productos!C$2:C1001,"")*$G798,"")</f>
        <v/>
      </c>
      <c r="K798" s="179" t="str">
        <f t="array" ref="K798">IF($F798&lt;&gt;"",XLOOKUP($F798,Productos!$A:$A,Productos!D:D,"Revisar"),"")</f>
        <v/>
      </c>
      <c r="L798" s="179" t="str">
        <f t="array" ref="L798">IF($F798&lt;&gt;"", XLOOKUP($F798,Productos!$A$2:$A1001,Productos!E$2:E1001,"")*$G798,"")</f>
        <v/>
      </c>
      <c r="M798" s="179" t="str">
        <f t="array" ref="M798">IF($F798&lt;&gt;"",XLOOKUP($F798,Productos!$A:$A,Productos!F:F,"Revisar"),"")</f>
        <v/>
      </c>
      <c r="N798" s="179" t="str">
        <f t="array" ref="N798">IF($F798&lt;&gt;"", XLOOKUP($F798,Productos!$A$2:$A1001,Productos!G$2:G1001,"")*$G798,"")</f>
        <v/>
      </c>
      <c r="O798" s="179" t="str">
        <f t="array" ref="O798">IF($F798&lt;&gt;"",XLOOKUP($F798,Productos!$A:$A,Productos!H:H,"Revisar"),"")</f>
        <v/>
      </c>
      <c r="P798" s="179" t="str">
        <f t="array" ref="P798">IF($F798&lt;&gt;"", XLOOKUP($F798,Productos!$A$2:$A1001,Productos!I$2:I1001,"")*$G798,"")</f>
        <v/>
      </c>
      <c r="Q798" s="179" t="str">
        <f t="array" ref="Q798">IF($F798&lt;&gt;"",XLOOKUP($F798,Productos!$A:$A,Productos!J:J,"Revisar"),"")</f>
        <v/>
      </c>
      <c r="R798" s="179" t="str">
        <f t="array" ref="R798">IF($F798&lt;&gt;"", XLOOKUP($F798,Productos!$A$2:$A1001,Productos!K$2:K1001,"")*$G798,"")</f>
        <v/>
      </c>
      <c r="S798" s="179" t="str">
        <f t="array" ref="S798">IF($F798&lt;&gt;"",XLOOKUP($F798,Productos!$A:$A,Productos!L:L,"Revisar"),"")</f>
        <v/>
      </c>
      <c r="T798" s="179" t="str">
        <f t="array" ref="T798">IF($F798&lt;&gt;"", XLOOKUP($F798,Productos!$A$2:$A1001,Productos!M$2:M1001,"")*$G798,"")</f>
        <v/>
      </c>
      <c r="U798" s="179" t="str">
        <f t="array" ref="U798">IF($F798&lt;&gt;"",XLOOKUP($F798,Productos!$A:$A,Productos!N:N,"Revisar"),"")</f>
        <v/>
      </c>
      <c r="V798" s="179" t="str">
        <f t="array" ref="V798">IF($F798&lt;&gt;"", XLOOKUP($F798,Productos!$A$2:$A1001,Productos!O$2:O1001,"")*$G798,"")</f>
        <v/>
      </c>
      <c r="W798" s="179" t="str">
        <f t="array" ref="W798">IF($F798&lt;&gt;"",XLOOKUP($F798,Productos!$A:$A,Productos!P:P,"Revisar"),"")</f>
        <v/>
      </c>
      <c r="X798" s="179" t="str">
        <f t="array" ref="X798">IF($F798&lt;&gt;"", XLOOKUP($F798,Productos!$A$2:$A1001,Productos!Q$2:Q1001,"")*$G798,"")</f>
        <v/>
      </c>
      <c r="Y798" s="179" t="str">
        <f t="array" ref="Y798">IF($F798&lt;&gt;"",XLOOKUP($F798,Productos!$A:$A,Productos!R:R,"Revisar"),"")</f>
        <v/>
      </c>
      <c r="Z798" s="179" t="str">
        <f t="array" ref="Z798">IF($F798&lt;&gt;"", XLOOKUP($F798,Productos!$A$2:$A1001,Productos!S$2:S1001,"")*$G798,"")</f>
        <v/>
      </c>
      <c r="AA798" s="179" t="str">
        <f t="array" ref="AA798">IF($F798&lt;&gt;"",XLOOKUP($F798,Productos!$A:$A,Productos!T:T,"Revisar"),"")</f>
        <v/>
      </c>
      <c r="AB798" s="179" t="str">
        <f t="array" ref="AB798">IF($F798&lt;&gt;"", XLOOKUP($F798,Productos!$A$2:$A1001,Productos!U$2:U1001,"")*$G798,"")</f>
        <v/>
      </c>
      <c r="AC798" s="179" t="str">
        <f t="array" ref="AC798">IF($F798&lt;&gt;"",XLOOKUP($F798,Productos!$A:$A,Productos!V:V,"Revisar"),"")</f>
        <v/>
      </c>
      <c r="AD798" s="179" t="str">
        <f t="array" ref="AD798">IF($F798&lt;&gt;"", XLOOKUP($F798,Productos!$A$2:$A1001,Productos!W$2:W1001,"")*$G798,"")</f>
        <v/>
      </c>
      <c r="AE798" s="179" t="str">
        <f t="array" ref="AE798">IF($F798&lt;&gt;"",XLOOKUP($F798,Productos!$A:$A,Productos!X:X,"Revisar"),"")</f>
        <v/>
      </c>
      <c r="AF798" s="179" t="str">
        <f t="array" ref="AF798">IF($F798&lt;&gt;"", XLOOKUP($F798,Productos!$A$2:$A1001,Productos!Y$2:Y1001,"")*$G798,"")</f>
        <v/>
      </c>
      <c r="AG798" s="179" t="str">
        <f t="array" ref="AG798">IF($F798&lt;&gt;"",XLOOKUP($F798,Productos!$A:$A,Productos!Z:Z,"Revisar"),"")</f>
        <v/>
      </c>
      <c r="AH798" s="179" t="str">
        <f t="array" ref="AH798">IF($F798&lt;&gt;"", XLOOKUP($F798,Productos!$A$2:$A1001,Productos!AA$2:AA1001,"")*$G798,"")</f>
        <v/>
      </c>
      <c r="AI798" s="179" t="str">
        <f t="array" ref="AI798">IF($F798&lt;&gt;"",XLOOKUP($F798,Productos!$A:$A,Productos!AB:AB,"Revisar"),"")</f>
        <v/>
      </c>
      <c r="AJ798" s="179" t="str">
        <f t="array" ref="AJ798">IF($F798&lt;&gt;"", XLOOKUP($F798,Productos!$A$2:$A1001,Productos!AC$2:AC1001,"")*$G798,"")</f>
        <v/>
      </c>
      <c r="AK798" s="179" t="str">
        <f t="array" ref="AK798">IF($F798&lt;&gt;"",XLOOKUP($F798,Productos!$A:$A,Productos!AD:AD,"Revisar"),"")</f>
        <v/>
      </c>
      <c r="AL798" s="179" t="str">
        <f t="array" ref="AL798">IF($F798&lt;&gt;"", XLOOKUP($F798,Productos!$A$2:$A1001,Productos!AE$2:AE1001,"")*$G798,"")</f>
        <v/>
      </c>
      <c r="AM798" s="179" t="str">
        <f t="array" ref="AM798">IF($F798&lt;&gt;"",XLOOKUP($F798,Productos!$A:$A,Productos!AF:AF,"Revisar"),"")</f>
        <v/>
      </c>
      <c r="AN798" s="179" t="str">
        <f t="array" ref="AN798">IF($F798&lt;&gt;"", XLOOKUP($F798,Productos!$A$2:$A1001,Productos!AG$2:AG1001,"")*$G798,"")</f>
        <v/>
      </c>
      <c r="AO798" s="179" t="str">
        <f t="array" ref="AO798">IF($F798&lt;&gt;"",XLOOKUP($F798,Productos!$A:$A,Productos!AH:AH,"Revisar"),"")</f>
        <v/>
      </c>
      <c r="AP798" s="179" t="str">
        <f t="array" ref="AP798">IF($F798&lt;&gt;"", XLOOKUP($F798,Productos!$A$2:$A1001,Productos!AI$2:AI1001,"")*$G798,"")</f>
        <v/>
      </c>
      <c r="AQ798" s="179" t="str">
        <f t="array" ref="AQ798">IF($F798&lt;&gt;"",XLOOKUP($F798,Productos!$A:$A,Productos!AJ:AJ,"Revisar"),"")</f>
        <v/>
      </c>
      <c r="AR798" s="179" t="str">
        <f t="array" ref="AR798">IF($F798&lt;&gt;"", XLOOKUP($F798,Productos!$A$2:$A1001,Productos!AK$2:AK1001,"")*$G798,"")</f>
        <v/>
      </c>
      <c r="AS798" s="179" t="str">
        <f t="array" ref="AS798">IF($F798&lt;&gt;"",XLOOKUP($F798,Productos!$A:$A,Productos!AL:AL,"Revisar"),"")</f>
        <v/>
      </c>
      <c r="AT798" s="179" t="str">
        <f t="array" ref="AT798">IF($F798&lt;&gt;"", XLOOKUP($F798,Productos!$A$2:$A1001,Productos!AM$2:AM1001,"")*$G798,"")</f>
        <v/>
      </c>
      <c r="AU798" s="179" t="str">
        <f t="array" ref="AU798">IF($F798&lt;&gt;"",XLOOKUP($F798,Productos!$A:$A,Productos!AN:AN,"Revisar"),"")</f>
        <v/>
      </c>
      <c r="AV798" s="179" t="str">
        <f t="array" ref="AV798">IF($F798&lt;&gt;"", XLOOKUP($F798,Productos!$A$2:$A1001,Productos!AO$2:AO1001,"")*$G798,"")</f>
        <v/>
      </c>
      <c r="AW798" s="179" t="str">
        <f t="array" ref="AW798">IF($F798&lt;&gt;"",XLOOKUP($F798,Productos!$A:$A,Productos!AP:AP,"Revisar"),"")</f>
        <v/>
      </c>
      <c r="AX798" s="179" t="str">
        <f t="array" ref="AX798">IF($F798&lt;&gt;"", XLOOKUP($F798,Productos!$A$2:$A1001,Productos!AQ$2:AQ1001,"")*$G798,"")</f>
        <v/>
      </c>
      <c r="AY798" s="179" t="str">
        <f t="array" ref="AY798">IF($F798&lt;&gt;"",XLOOKUP($F798,Productos!$A:$A,Productos!AR:AR,"Revisar"),"")</f>
        <v/>
      </c>
      <c r="AZ798" s="179" t="str">
        <f t="array" ref="AZ798">IF($F798&lt;&gt;"", XLOOKUP($F798,Productos!$A$2:$A1001,Productos!AS$2:AS1001,"")*$G798,"")</f>
        <v/>
      </c>
      <c r="BA798" s="179" t="str">
        <f t="array" ref="BA798">IF($F798&lt;&gt;"",XLOOKUP($F798,Productos!$A:$A,Productos!AT:AT,"Revisar"),"")</f>
        <v/>
      </c>
      <c r="BB798" s="179" t="str">
        <f t="array" ref="BB798">IF($F798&lt;&gt;"", XLOOKUP($F798,Productos!$A$2:$A1001,Productos!AU$2:AU1001,"")*$G798,"")</f>
        <v/>
      </c>
      <c r="BC798" s="179" t="str">
        <f t="array" ref="BC798">IF($F798&lt;&gt;"",XLOOKUP($F798,Productos!$A:$A,Productos!AV:AV,"Revisar"),"")</f>
        <v/>
      </c>
      <c r="BD798" s="179" t="str">
        <f t="array" ref="BD798">IF($F798&lt;&gt;"", XLOOKUP($F798,Productos!$A$2:$A1001,Productos!AW$2:AW1001,"")*$G798,"")</f>
        <v/>
      </c>
      <c r="BE798" s="179" t="str">
        <f t="array" ref="BE798">IF($F798&lt;&gt;"",XLOOKUP($F798,Productos!$A:$A,Productos!AX:AX,"Revisar"),"")</f>
        <v/>
      </c>
      <c r="BF798" s="179" t="str">
        <f t="array" ref="BF798">IF($F798&lt;&gt;"", XLOOKUP($F798,Productos!$A$2:$A1001,Productos!AY$2:AY1001,"")*$G798,"")</f>
        <v/>
      </c>
      <c r="BG798" s="179" t="str">
        <f t="array" ref="BG798">IF($F798&lt;&gt;"",XLOOKUP($F798,Productos!$A:$A,Productos!AZ:AZ,"Revisar"),"")</f>
        <v/>
      </c>
      <c r="BH798" s="179" t="str">
        <f t="array" ref="BH798">IF($F798&lt;&gt;"", XLOOKUP($F798,Productos!$A$2:$A1001,Productos!BA$2:BA1001,"")*$G798,"")</f>
        <v/>
      </c>
      <c r="BI798" s="179" t="str">
        <f t="array" ref="BI798">IF($F798&lt;&gt;"",XLOOKUP($F798,Productos!$A:$A,Productos!BB:BB,"Revisar"),"")</f>
        <v/>
      </c>
      <c r="BJ798" s="179" t="str">
        <f t="array" ref="BJ798">IF($F798&lt;&gt;"", XLOOKUP($F798,Productos!$A$2:$A1001,Productos!BC$2:BC1001,"")*$G798,"")</f>
        <v/>
      </c>
      <c r="BK798" s="179" t="str">
        <f t="array" ref="BK798">IF($F798&lt;&gt;"",XLOOKUP($F798,Productos!$A:$A,Productos!BD:BD,"Revisar"),"")</f>
        <v/>
      </c>
      <c r="BL798" s="179" t="str">
        <f t="array" ref="BL798">IF($F798&lt;&gt;"", XLOOKUP($F798,Productos!$A$2:$A1001,Productos!BE$2:BE1001,"")*$G798,"")</f>
        <v/>
      </c>
      <c r="BM798" s="179" t="str">
        <f t="array" ref="BM798">IF($F798&lt;&gt;"",XLOOKUP($F798,Productos!$A:$A,Productos!BF:BF,"Revisar"),"")</f>
        <v/>
      </c>
      <c r="BN798" s="179" t="str">
        <f t="array" ref="BN798">IF($F798&lt;&gt;"", XLOOKUP($F798,Productos!$A$2:$A1001,Productos!BG$2:BG1001,"")*$G798,"")</f>
        <v/>
      </c>
      <c r="BO798" s="179" t="str">
        <f t="array" ref="BO798">IF($F798&lt;&gt;"",XLOOKUP($F798,Productos!$A:$A,Productos!BH:BH,"Revisar"),"")</f>
        <v/>
      </c>
      <c r="BP798" s="179" t="str">
        <f t="array" ref="BP798">IF($F798&lt;&gt;"", XLOOKUP($F798,Productos!$A$2:$A1001,Productos!BI$2:BI1001,"")*$G798,"")</f>
        <v/>
      </c>
      <c r="BQ798" s="179" t="str">
        <f t="array" ref="BQ798">IF($F798&lt;&gt;"",XLOOKUP($F798,Productos!$A:$A,Productos!BJ:BJ,"Revisar"),"")</f>
        <v/>
      </c>
      <c r="BR798" s="179" t="str">
        <f t="array" ref="BR798">IF($F798&lt;&gt;"", XLOOKUP($F798,Productos!$A$2:$A1001,Productos!BK$2:BK1001,"")*$G798,"")</f>
        <v/>
      </c>
      <c r="BS798" s="179" t="str">
        <f t="array" ref="BS798">IF($F798&lt;&gt;"",XLOOKUP($F798,Productos!$A:$A,Productos!BL:BL,"Revisar"),"")</f>
        <v/>
      </c>
      <c r="BT798" s="179" t="str">
        <f t="array" ref="BT798">IF($F798&lt;&gt;"", XLOOKUP($F798,Productos!$A$2:$A1001,Productos!BM$2:BM1001,"")*$G798,"")</f>
        <v/>
      </c>
      <c r="BU798" s="179" t="str">
        <f t="array" ref="BU798">IF($F798&lt;&gt;"",XLOOKUP($F798,Productos!$A:$A,Productos!BN:BN,"Revisar"),"")</f>
        <v/>
      </c>
      <c r="BV798" s="179" t="str">
        <f t="array" ref="BV798">IF($F798&lt;&gt;"", XLOOKUP($F798,Productos!$A$2:$A1001,Productos!BO$2:BO1001,"")*$G798,"")</f>
        <v/>
      </c>
      <c r="BW798" s="179" t="str">
        <f t="array" ref="BW798">IF($F798&lt;&gt;"",XLOOKUP($F798,Productos!$A:$A,Productos!BP:BP,"Revisar"),"")</f>
        <v/>
      </c>
      <c r="BX798" s="179" t="str">
        <f t="array" ref="BX798">IF($F798&lt;&gt;"", XLOOKUP($F798,Productos!$A$2:$A1001,Productos!BQ$2:BQ1001,"")*$G798,"")</f>
        <v/>
      </c>
      <c r="BY798" s="179" t="str">
        <f t="array" ref="BY798">IF($F798&lt;&gt;"",XLOOKUP($F798,Productos!$A:$A,Productos!BR:BR,"Revisar"),"")</f>
        <v/>
      </c>
      <c r="BZ798" s="179" t="str">
        <f t="array" ref="BZ798">IF($F798&lt;&gt;"", XLOOKUP($F798,Productos!$A$2:$A1001,Productos!BS$2:BS1001,"")*$G798,"")</f>
        <v/>
      </c>
    </row>
    <row r="799">
      <c r="A799" s="188"/>
      <c r="B799" s="189"/>
      <c r="C799" s="190"/>
      <c r="D799" s="190"/>
      <c r="E799" s="191"/>
      <c r="F799" s="186"/>
      <c r="G799" s="192"/>
      <c r="H799" s="9"/>
      <c r="I799" s="179" t="str">
        <f t="array" ref="I799">IF($F799&lt;&gt;"",XLOOKUP($F799,Productos!$A:$A,Productos!B:B,"Revisar"),"")</f>
        <v/>
      </c>
      <c r="J799" s="179" t="str">
        <f t="array" ref="J799">IF($F799&lt;&gt;"", XLOOKUP($F799,Productos!$A$2:$A1001,Productos!C$2:C1001,"")*$G799,"")</f>
        <v/>
      </c>
      <c r="K799" s="179" t="str">
        <f t="array" ref="K799">IF($F799&lt;&gt;"",XLOOKUP($F799,Productos!$A:$A,Productos!D:D,"Revisar"),"")</f>
        <v/>
      </c>
      <c r="L799" s="179" t="str">
        <f t="array" ref="L799">IF($F799&lt;&gt;"", XLOOKUP($F799,Productos!$A$2:$A1001,Productos!E$2:E1001,"")*$G799,"")</f>
        <v/>
      </c>
      <c r="M799" s="179" t="str">
        <f t="array" ref="M799">IF($F799&lt;&gt;"",XLOOKUP($F799,Productos!$A:$A,Productos!F:F,"Revisar"),"")</f>
        <v/>
      </c>
      <c r="N799" s="179" t="str">
        <f t="array" ref="N799">IF($F799&lt;&gt;"", XLOOKUP($F799,Productos!$A$2:$A1001,Productos!G$2:G1001,"")*$G799,"")</f>
        <v/>
      </c>
      <c r="O799" s="179" t="str">
        <f t="array" ref="O799">IF($F799&lt;&gt;"",XLOOKUP($F799,Productos!$A:$A,Productos!H:H,"Revisar"),"")</f>
        <v/>
      </c>
      <c r="P799" s="179" t="str">
        <f t="array" ref="P799">IF($F799&lt;&gt;"", XLOOKUP($F799,Productos!$A$2:$A1001,Productos!I$2:I1001,"")*$G799,"")</f>
        <v/>
      </c>
      <c r="Q799" s="179" t="str">
        <f t="array" ref="Q799">IF($F799&lt;&gt;"",XLOOKUP($F799,Productos!$A:$A,Productos!J:J,"Revisar"),"")</f>
        <v/>
      </c>
      <c r="R799" s="179" t="str">
        <f t="array" ref="R799">IF($F799&lt;&gt;"", XLOOKUP($F799,Productos!$A$2:$A1001,Productos!K$2:K1001,"")*$G799,"")</f>
        <v/>
      </c>
      <c r="S799" s="179" t="str">
        <f t="array" ref="S799">IF($F799&lt;&gt;"",XLOOKUP($F799,Productos!$A:$A,Productos!L:L,"Revisar"),"")</f>
        <v/>
      </c>
      <c r="T799" s="179" t="str">
        <f t="array" ref="T799">IF($F799&lt;&gt;"", XLOOKUP($F799,Productos!$A$2:$A1001,Productos!M$2:M1001,"")*$G799,"")</f>
        <v/>
      </c>
      <c r="U799" s="179" t="str">
        <f t="array" ref="U799">IF($F799&lt;&gt;"",XLOOKUP($F799,Productos!$A:$A,Productos!N:N,"Revisar"),"")</f>
        <v/>
      </c>
      <c r="V799" s="179" t="str">
        <f t="array" ref="V799">IF($F799&lt;&gt;"", XLOOKUP($F799,Productos!$A$2:$A1001,Productos!O$2:O1001,"")*$G799,"")</f>
        <v/>
      </c>
      <c r="W799" s="179" t="str">
        <f t="array" ref="W799">IF($F799&lt;&gt;"",XLOOKUP($F799,Productos!$A:$A,Productos!P:P,"Revisar"),"")</f>
        <v/>
      </c>
      <c r="X799" s="179" t="str">
        <f t="array" ref="X799">IF($F799&lt;&gt;"", XLOOKUP($F799,Productos!$A$2:$A1001,Productos!Q$2:Q1001,"")*$G799,"")</f>
        <v/>
      </c>
      <c r="Y799" s="179" t="str">
        <f t="array" ref="Y799">IF($F799&lt;&gt;"",XLOOKUP($F799,Productos!$A:$A,Productos!R:R,"Revisar"),"")</f>
        <v/>
      </c>
      <c r="Z799" s="179" t="str">
        <f t="array" ref="Z799">IF($F799&lt;&gt;"", XLOOKUP($F799,Productos!$A$2:$A1001,Productos!S$2:S1001,"")*$G799,"")</f>
        <v/>
      </c>
      <c r="AA799" s="179" t="str">
        <f t="array" ref="AA799">IF($F799&lt;&gt;"",XLOOKUP($F799,Productos!$A:$A,Productos!T:T,"Revisar"),"")</f>
        <v/>
      </c>
      <c r="AB799" s="179" t="str">
        <f t="array" ref="AB799">IF($F799&lt;&gt;"", XLOOKUP($F799,Productos!$A$2:$A1001,Productos!U$2:U1001,"")*$G799,"")</f>
        <v/>
      </c>
      <c r="AC799" s="179" t="str">
        <f t="array" ref="AC799">IF($F799&lt;&gt;"",XLOOKUP($F799,Productos!$A:$A,Productos!V:V,"Revisar"),"")</f>
        <v/>
      </c>
      <c r="AD799" s="179" t="str">
        <f t="array" ref="AD799">IF($F799&lt;&gt;"", XLOOKUP($F799,Productos!$A$2:$A1001,Productos!W$2:W1001,"")*$G799,"")</f>
        <v/>
      </c>
      <c r="AE799" s="179" t="str">
        <f t="array" ref="AE799">IF($F799&lt;&gt;"",XLOOKUP($F799,Productos!$A:$A,Productos!X:X,"Revisar"),"")</f>
        <v/>
      </c>
      <c r="AF799" s="179" t="str">
        <f t="array" ref="AF799">IF($F799&lt;&gt;"", XLOOKUP($F799,Productos!$A$2:$A1001,Productos!Y$2:Y1001,"")*$G799,"")</f>
        <v/>
      </c>
      <c r="AG799" s="179" t="str">
        <f t="array" ref="AG799">IF($F799&lt;&gt;"",XLOOKUP($F799,Productos!$A:$A,Productos!Z:Z,"Revisar"),"")</f>
        <v/>
      </c>
      <c r="AH799" s="179" t="str">
        <f t="array" ref="AH799">IF($F799&lt;&gt;"", XLOOKUP($F799,Productos!$A$2:$A1001,Productos!AA$2:AA1001,"")*$G799,"")</f>
        <v/>
      </c>
      <c r="AI799" s="179" t="str">
        <f t="array" ref="AI799">IF($F799&lt;&gt;"",XLOOKUP($F799,Productos!$A:$A,Productos!AB:AB,"Revisar"),"")</f>
        <v/>
      </c>
      <c r="AJ799" s="179" t="str">
        <f t="array" ref="AJ799">IF($F799&lt;&gt;"", XLOOKUP($F799,Productos!$A$2:$A1001,Productos!AC$2:AC1001,"")*$G799,"")</f>
        <v/>
      </c>
      <c r="AK799" s="179" t="str">
        <f t="array" ref="AK799">IF($F799&lt;&gt;"",XLOOKUP($F799,Productos!$A:$A,Productos!AD:AD,"Revisar"),"")</f>
        <v/>
      </c>
      <c r="AL799" s="179" t="str">
        <f t="array" ref="AL799">IF($F799&lt;&gt;"", XLOOKUP($F799,Productos!$A$2:$A1001,Productos!AE$2:AE1001,"")*$G799,"")</f>
        <v/>
      </c>
      <c r="AM799" s="179" t="str">
        <f t="array" ref="AM799">IF($F799&lt;&gt;"",XLOOKUP($F799,Productos!$A:$A,Productos!AF:AF,"Revisar"),"")</f>
        <v/>
      </c>
      <c r="AN799" s="179" t="str">
        <f t="array" ref="AN799">IF($F799&lt;&gt;"", XLOOKUP($F799,Productos!$A$2:$A1001,Productos!AG$2:AG1001,"")*$G799,"")</f>
        <v/>
      </c>
      <c r="AO799" s="179" t="str">
        <f t="array" ref="AO799">IF($F799&lt;&gt;"",XLOOKUP($F799,Productos!$A:$A,Productos!AH:AH,"Revisar"),"")</f>
        <v/>
      </c>
      <c r="AP799" s="179" t="str">
        <f t="array" ref="AP799">IF($F799&lt;&gt;"", XLOOKUP($F799,Productos!$A$2:$A1001,Productos!AI$2:AI1001,"")*$G799,"")</f>
        <v/>
      </c>
      <c r="AQ799" s="179" t="str">
        <f t="array" ref="AQ799">IF($F799&lt;&gt;"",XLOOKUP($F799,Productos!$A:$A,Productos!AJ:AJ,"Revisar"),"")</f>
        <v/>
      </c>
      <c r="AR799" s="179" t="str">
        <f t="array" ref="AR799">IF($F799&lt;&gt;"", XLOOKUP($F799,Productos!$A$2:$A1001,Productos!AK$2:AK1001,"")*$G799,"")</f>
        <v/>
      </c>
      <c r="AS799" s="179" t="str">
        <f t="array" ref="AS799">IF($F799&lt;&gt;"",XLOOKUP($F799,Productos!$A:$A,Productos!AL:AL,"Revisar"),"")</f>
        <v/>
      </c>
      <c r="AT799" s="179" t="str">
        <f t="array" ref="AT799">IF($F799&lt;&gt;"", XLOOKUP($F799,Productos!$A$2:$A1001,Productos!AM$2:AM1001,"")*$G799,"")</f>
        <v/>
      </c>
      <c r="AU799" s="179" t="str">
        <f t="array" ref="AU799">IF($F799&lt;&gt;"",XLOOKUP($F799,Productos!$A:$A,Productos!AN:AN,"Revisar"),"")</f>
        <v/>
      </c>
      <c r="AV799" s="179" t="str">
        <f t="array" ref="AV799">IF($F799&lt;&gt;"", XLOOKUP($F799,Productos!$A$2:$A1001,Productos!AO$2:AO1001,"")*$G799,"")</f>
        <v/>
      </c>
      <c r="AW799" s="179" t="str">
        <f t="array" ref="AW799">IF($F799&lt;&gt;"",XLOOKUP($F799,Productos!$A:$A,Productos!AP:AP,"Revisar"),"")</f>
        <v/>
      </c>
      <c r="AX799" s="179" t="str">
        <f t="array" ref="AX799">IF($F799&lt;&gt;"", XLOOKUP($F799,Productos!$A$2:$A1001,Productos!AQ$2:AQ1001,"")*$G799,"")</f>
        <v/>
      </c>
      <c r="AY799" s="179" t="str">
        <f t="array" ref="AY799">IF($F799&lt;&gt;"",XLOOKUP($F799,Productos!$A:$A,Productos!AR:AR,"Revisar"),"")</f>
        <v/>
      </c>
      <c r="AZ799" s="179" t="str">
        <f t="array" ref="AZ799">IF($F799&lt;&gt;"", XLOOKUP($F799,Productos!$A$2:$A1001,Productos!AS$2:AS1001,"")*$G799,"")</f>
        <v/>
      </c>
      <c r="BA799" s="179" t="str">
        <f t="array" ref="BA799">IF($F799&lt;&gt;"",XLOOKUP($F799,Productos!$A:$A,Productos!AT:AT,"Revisar"),"")</f>
        <v/>
      </c>
      <c r="BB799" s="179" t="str">
        <f t="array" ref="BB799">IF($F799&lt;&gt;"", XLOOKUP($F799,Productos!$A$2:$A1001,Productos!AU$2:AU1001,"")*$G799,"")</f>
        <v/>
      </c>
      <c r="BC799" s="179" t="str">
        <f t="array" ref="BC799">IF($F799&lt;&gt;"",XLOOKUP($F799,Productos!$A:$A,Productos!AV:AV,"Revisar"),"")</f>
        <v/>
      </c>
      <c r="BD799" s="179" t="str">
        <f t="array" ref="BD799">IF($F799&lt;&gt;"", XLOOKUP($F799,Productos!$A$2:$A1001,Productos!AW$2:AW1001,"")*$G799,"")</f>
        <v/>
      </c>
      <c r="BE799" s="179" t="str">
        <f t="array" ref="BE799">IF($F799&lt;&gt;"",XLOOKUP($F799,Productos!$A:$A,Productos!AX:AX,"Revisar"),"")</f>
        <v/>
      </c>
      <c r="BF799" s="179" t="str">
        <f t="array" ref="BF799">IF($F799&lt;&gt;"", XLOOKUP($F799,Productos!$A$2:$A1001,Productos!AY$2:AY1001,"")*$G799,"")</f>
        <v/>
      </c>
      <c r="BG799" s="179" t="str">
        <f t="array" ref="BG799">IF($F799&lt;&gt;"",XLOOKUP($F799,Productos!$A:$A,Productos!AZ:AZ,"Revisar"),"")</f>
        <v/>
      </c>
      <c r="BH799" s="179" t="str">
        <f t="array" ref="BH799">IF($F799&lt;&gt;"", XLOOKUP($F799,Productos!$A$2:$A1001,Productos!BA$2:BA1001,"")*$G799,"")</f>
        <v/>
      </c>
      <c r="BI799" s="179" t="str">
        <f t="array" ref="BI799">IF($F799&lt;&gt;"",XLOOKUP($F799,Productos!$A:$A,Productos!BB:BB,"Revisar"),"")</f>
        <v/>
      </c>
      <c r="BJ799" s="179" t="str">
        <f t="array" ref="BJ799">IF($F799&lt;&gt;"", XLOOKUP($F799,Productos!$A$2:$A1001,Productos!BC$2:BC1001,"")*$G799,"")</f>
        <v/>
      </c>
      <c r="BK799" s="179" t="str">
        <f t="array" ref="BK799">IF($F799&lt;&gt;"",XLOOKUP($F799,Productos!$A:$A,Productos!BD:BD,"Revisar"),"")</f>
        <v/>
      </c>
      <c r="BL799" s="179" t="str">
        <f t="array" ref="BL799">IF($F799&lt;&gt;"", XLOOKUP($F799,Productos!$A$2:$A1001,Productos!BE$2:BE1001,"")*$G799,"")</f>
        <v/>
      </c>
      <c r="BM799" s="179" t="str">
        <f t="array" ref="BM799">IF($F799&lt;&gt;"",XLOOKUP($F799,Productos!$A:$A,Productos!BF:BF,"Revisar"),"")</f>
        <v/>
      </c>
      <c r="BN799" s="179" t="str">
        <f t="array" ref="BN799">IF($F799&lt;&gt;"", XLOOKUP($F799,Productos!$A$2:$A1001,Productos!BG$2:BG1001,"")*$G799,"")</f>
        <v/>
      </c>
      <c r="BO799" s="179" t="str">
        <f t="array" ref="BO799">IF($F799&lt;&gt;"",XLOOKUP($F799,Productos!$A:$A,Productos!BH:BH,"Revisar"),"")</f>
        <v/>
      </c>
      <c r="BP799" s="179" t="str">
        <f t="array" ref="BP799">IF($F799&lt;&gt;"", XLOOKUP($F799,Productos!$A$2:$A1001,Productos!BI$2:BI1001,"")*$G799,"")</f>
        <v/>
      </c>
      <c r="BQ799" s="179" t="str">
        <f t="array" ref="BQ799">IF($F799&lt;&gt;"",XLOOKUP($F799,Productos!$A:$A,Productos!BJ:BJ,"Revisar"),"")</f>
        <v/>
      </c>
      <c r="BR799" s="179" t="str">
        <f t="array" ref="BR799">IF($F799&lt;&gt;"", XLOOKUP($F799,Productos!$A$2:$A1001,Productos!BK$2:BK1001,"")*$G799,"")</f>
        <v/>
      </c>
      <c r="BS799" s="179" t="str">
        <f t="array" ref="BS799">IF($F799&lt;&gt;"",XLOOKUP($F799,Productos!$A:$A,Productos!BL:BL,"Revisar"),"")</f>
        <v/>
      </c>
      <c r="BT799" s="179" t="str">
        <f t="array" ref="BT799">IF($F799&lt;&gt;"", XLOOKUP($F799,Productos!$A$2:$A1001,Productos!BM$2:BM1001,"")*$G799,"")</f>
        <v/>
      </c>
      <c r="BU799" s="179" t="str">
        <f t="array" ref="BU799">IF($F799&lt;&gt;"",XLOOKUP($F799,Productos!$A:$A,Productos!BN:BN,"Revisar"),"")</f>
        <v/>
      </c>
      <c r="BV799" s="179" t="str">
        <f t="array" ref="BV799">IF($F799&lt;&gt;"", XLOOKUP($F799,Productos!$A$2:$A1001,Productos!BO$2:BO1001,"")*$G799,"")</f>
        <v/>
      </c>
      <c r="BW799" s="179" t="str">
        <f t="array" ref="BW799">IF($F799&lt;&gt;"",XLOOKUP($F799,Productos!$A:$A,Productos!BP:BP,"Revisar"),"")</f>
        <v/>
      </c>
      <c r="BX799" s="179" t="str">
        <f t="array" ref="BX799">IF($F799&lt;&gt;"", XLOOKUP($F799,Productos!$A$2:$A1001,Productos!BQ$2:BQ1001,"")*$G799,"")</f>
        <v/>
      </c>
      <c r="BY799" s="179" t="str">
        <f t="array" ref="BY799">IF($F799&lt;&gt;"",XLOOKUP($F799,Productos!$A:$A,Productos!BR:BR,"Revisar"),"")</f>
        <v/>
      </c>
      <c r="BZ799" s="179" t="str">
        <f t="array" ref="BZ799">IF($F799&lt;&gt;"", XLOOKUP($F799,Productos!$A$2:$A1001,Productos!BS$2:BS1001,"")*$G799,"")</f>
        <v/>
      </c>
    </row>
    <row r="800">
      <c r="A800" s="188"/>
      <c r="B800" s="189"/>
      <c r="C800" s="190"/>
      <c r="D800" s="190"/>
      <c r="E800" s="191"/>
      <c r="F800" s="186"/>
      <c r="G800" s="192"/>
      <c r="H800" s="9"/>
      <c r="I800" s="179" t="str">
        <f t="array" ref="I800">IF($F800&lt;&gt;"",XLOOKUP($F800,Productos!$A:$A,Productos!B:B,"Revisar"),"")</f>
        <v/>
      </c>
      <c r="J800" s="179" t="str">
        <f t="array" ref="J800">IF($F800&lt;&gt;"", XLOOKUP($F800,Productos!$A$2:$A1001,Productos!C$2:C1001,"")*$G800,"")</f>
        <v/>
      </c>
      <c r="K800" s="179" t="str">
        <f t="array" ref="K800">IF($F800&lt;&gt;"",XLOOKUP($F800,Productos!$A:$A,Productos!D:D,"Revisar"),"")</f>
        <v/>
      </c>
      <c r="L800" s="179" t="str">
        <f t="array" ref="L800">IF($F800&lt;&gt;"", XLOOKUP($F800,Productos!$A$2:$A1001,Productos!E$2:E1001,"")*$G800,"")</f>
        <v/>
      </c>
      <c r="M800" s="179" t="str">
        <f t="array" ref="M800">IF($F800&lt;&gt;"",XLOOKUP($F800,Productos!$A:$A,Productos!F:F,"Revisar"),"")</f>
        <v/>
      </c>
      <c r="N800" s="179" t="str">
        <f t="array" ref="N800">IF($F800&lt;&gt;"", XLOOKUP($F800,Productos!$A$2:$A1001,Productos!G$2:G1001,"")*$G800,"")</f>
        <v/>
      </c>
      <c r="O800" s="179" t="str">
        <f t="array" ref="O800">IF($F800&lt;&gt;"",XLOOKUP($F800,Productos!$A:$A,Productos!H:H,"Revisar"),"")</f>
        <v/>
      </c>
      <c r="P800" s="179" t="str">
        <f t="array" ref="P800">IF($F800&lt;&gt;"", XLOOKUP($F800,Productos!$A$2:$A1001,Productos!I$2:I1001,"")*$G800,"")</f>
        <v/>
      </c>
      <c r="Q800" s="179" t="str">
        <f t="array" ref="Q800">IF($F800&lt;&gt;"",XLOOKUP($F800,Productos!$A:$A,Productos!J:J,"Revisar"),"")</f>
        <v/>
      </c>
      <c r="R800" s="179" t="str">
        <f t="array" ref="R800">IF($F800&lt;&gt;"", XLOOKUP($F800,Productos!$A$2:$A1001,Productos!K$2:K1001,"")*$G800,"")</f>
        <v/>
      </c>
      <c r="S800" s="179" t="str">
        <f t="array" ref="S800">IF($F800&lt;&gt;"",XLOOKUP($F800,Productos!$A:$A,Productos!L:L,"Revisar"),"")</f>
        <v/>
      </c>
      <c r="T800" s="179" t="str">
        <f t="array" ref="T800">IF($F800&lt;&gt;"", XLOOKUP($F800,Productos!$A$2:$A1001,Productos!M$2:M1001,"")*$G800,"")</f>
        <v/>
      </c>
      <c r="U800" s="179" t="str">
        <f t="array" ref="U800">IF($F800&lt;&gt;"",XLOOKUP($F800,Productos!$A:$A,Productos!N:N,"Revisar"),"")</f>
        <v/>
      </c>
      <c r="V800" s="179" t="str">
        <f t="array" ref="V800">IF($F800&lt;&gt;"", XLOOKUP($F800,Productos!$A$2:$A1001,Productos!O$2:O1001,"")*$G800,"")</f>
        <v/>
      </c>
      <c r="W800" s="179" t="str">
        <f t="array" ref="W800">IF($F800&lt;&gt;"",XLOOKUP($F800,Productos!$A:$A,Productos!P:P,"Revisar"),"")</f>
        <v/>
      </c>
      <c r="X800" s="179" t="str">
        <f t="array" ref="X800">IF($F800&lt;&gt;"", XLOOKUP($F800,Productos!$A$2:$A1001,Productos!Q$2:Q1001,"")*$G800,"")</f>
        <v/>
      </c>
      <c r="Y800" s="179" t="str">
        <f t="array" ref="Y800">IF($F800&lt;&gt;"",XLOOKUP($F800,Productos!$A:$A,Productos!R:R,"Revisar"),"")</f>
        <v/>
      </c>
      <c r="Z800" s="179" t="str">
        <f t="array" ref="Z800">IF($F800&lt;&gt;"", XLOOKUP($F800,Productos!$A$2:$A1001,Productos!S$2:S1001,"")*$G800,"")</f>
        <v/>
      </c>
      <c r="AA800" s="179" t="str">
        <f t="array" ref="AA800">IF($F800&lt;&gt;"",XLOOKUP($F800,Productos!$A:$A,Productos!T:T,"Revisar"),"")</f>
        <v/>
      </c>
      <c r="AB800" s="179" t="str">
        <f t="array" ref="AB800">IF($F800&lt;&gt;"", XLOOKUP($F800,Productos!$A$2:$A1001,Productos!U$2:U1001,"")*$G800,"")</f>
        <v/>
      </c>
      <c r="AC800" s="179" t="str">
        <f t="array" ref="AC800">IF($F800&lt;&gt;"",XLOOKUP($F800,Productos!$A:$A,Productos!V:V,"Revisar"),"")</f>
        <v/>
      </c>
      <c r="AD800" s="179" t="str">
        <f t="array" ref="AD800">IF($F800&lt;&gt;"", XLOOKUP($F800,Productos!$A$2:$A1001,Productos!W$2:W1001,"")*$G800,"")</f>
        <v/>
      </c>
      <c r="AE800" s="179" t="str">
        <f t="array" ref="AE800">IF($F800&lt;&gt;"",XLOOKUP($F800,Productos!$A:$A,Productos!X:X,"Revisar"),"")</f>
        <v/>
      </c>
      <c r="AF800" s="179" t="str">
        <f t="array" ref="AF800">IF($F800&lt;&gt;"", XLOOKUP($F800,Productos!$A$2:$A1001,Productos!Y$2:Y1001,"")*$G800,"")</f>
        <v/>
      </c>
      <c r="AG800" s="179" t="str">
        <f t="array" ref="AG800">IF($F800&lt;&gt;"",XLOOKUP($F800,Productos!$A:$A,Productos!Z:Z,"Revisar"),"")</f>
        <v/>
      </c>
      <c r="AH800" s="179" t="str">
        <f t="array" ref="AH800">IF($F800&lt;&gt;"", XLOOKUP($F800,Productos!$A$2:$A1001,Productos!AA$2:AA1001,"")*$G800,"")</f>
        <v/>
      </c>
      <c r="AI800" s="179" t="str">
        <f t="array" ref="AI800">IF($F800&lt;&gt;"",XLOOKUP($F800,Productos!$A:$A,Productos!AB:AB,"Revisar"),"")</f>
        <v/>
      </c>
      <c r="AJ800" s="179" t="str">
        <f t="array" ref="AJ800">IF($F800&lt;&gt;"", XLOOKUP($F800,Productos!$A$2:$A1001,Productos!AC$2:AC1001,"")*$G800,"")</f>
        <v/>
      </c>
      <c r="AK800" s="179" t="str">
        <f t="array" ref="AK800">IF($F800&lt;&gt;"",XLOOKUP($F800,Productos!$A:$A,Productos!AD:AD,"Revisar"),"")</f>
        <v/>
      </c>
      <c r="AL800" s="179" t="str">
        <f t="array" ref="AL800">IF($F800&lt;&gt;"", XLOOKUP($F800,Productos!$A$2:$A1001,Productos!AE$2:AE1001,"")*$G800,"")</f>
        <v/>
      </c>
      <c r="AM800" s="179" t="str">
        <f t="array" ref="AM800">IF($F800&lt;&gt;"",XLOOKUP($F800,Productos!$A:$A,Productos!AF:AF,"Revisar"),"")</f>
        <v/>
      </c>
      <c r="AN800" s="179" t="str">
        <f t="array" ref="AN800">IF($F800&lt;&gt;"", XLOOKUP($F800,Productos!$A$2:$A1001,Productos!AG$2:AG1001,"")*$G800,"")</f>
        <v/>
      </c>
      <c r="AO800" s="179" t="str">
        <f t="array" ref="AO800">IF($F800&lt;&gt;"",XLOOKUP($F800,Productos!$A:$A,Productos!AH:AH,"Revisar"),"")</f>
        <v/>
      </c>
      <c r="AP800" s="179" t="str">
        <f t="array" ref="AP800">IF($F800&lt;&gt;"", XLOOKUP($F800,Productos!$A$2:$A1001,Productos!AI$2:AI1001,"")*$G800,"")</f>
        <v/>
      </c>
      <c r="AQ800" s="179" t="str">
        <f t="array" ref="AQ800">IF($F800&lt;&gt;"",XLOOKUP($F800,Productos!$A:$A,Productos!AJ:AJ,"Revisar"),"")</f>
        <v/>
      </c>
      <c r="AR800" s="179" t="str">
        <f t="array" ref="AR800">IF($F800&lt;&gt;"", XLOOKUP($F800,Productos!$A$2:$A1001,Productos!AK$2:AK1001,"")*$G800,"")</f>
        <v/>
      </c>
      <c r="AS800" s="179" t="str">
        <f t="array" ref="AS800">IF($F800&lt;&gt;"",XLOOKUP($F800,Productos!$A:$A,Productos!AL:AL,"Revisar"),"")</f>
        <v/>
      </c>
      <c r="AT800" s="179" t="str">
        <f t="array" ref="AT800">IF($F800&lt;&gt;"", XLOOKUP($F800,Productos!$A$2:$A1001,Productos!AM$2:AM1001,"")*$G800,"")</f>
        <v/>
      </c>
      <c r="AU800" s="179" t="str">
        <f t="array" ref="AU800">IF($F800&lt;&gt;"",XLOOKUP($F800,Productos!$A:$A,Productos!AN:AN,"Revisar"),"")</f>
        <v/>
      </c>
      <c r="AV800" s="179" t="str">
        <f t="array" ref="AV800">IF($F800&lt;&gt;"", XLOOKUP($F800,Productos!$A$2:$A1001,Productos!AO$2:AO1001,"")*$G800,"")</f>
        <v/>
      </c>
      <c r="AW800" s="179" t="str">
        <f t="array" ref="AW800">IF($F800&lt;&gt;"",XLOOKUP($F800,Productos!$A:$A,Productos!AP:AP,"Revisar"),"")</f>
        <v/>
      </c>
      <c r="AX800" s="179" t="str">
        <f t="array" ref="AX800">IF($F800&lt;&gt;"", XLOOKUP($F800,Productos!$A$2:$A1001,Productos!AQ$2:AQ1001,"")*$G800,"")</f>
        <v/>
      </c>
      <c r="AY800" s="179" t="str">
        <f t="array" ref="AY800">IF($F800&lt;&gt;"",XLOOKUP($F800,Productos!$A:$A,Productos!AR:AR,"Revisar"),"")</f>
        <v/>
      </c>
      <c r="AZ800" s="179" t="str">
        <f t="array" ref="AZ800">IF($F800&lt;&gt;"", XLOOKUP($F800,Productos!$A$2:$A1001,Productos!AS$2:AS1001,"")*$G800,"")</f>
        <v/>
      </c>
      <c r="BA800" s="179" t="str">
        <f t="array" ref="BA800">IF($F800&lt;&gt;"",XLOOKUP($F800,Productos!$A:$A,Productos!AT:AT,"Revisar"),"")</f>
        <v/>
      </c>
      <c r="BB800" s="179" t="str">
        <f t="array" ref="BB800">IF($F800&lt;&gt;"", XLOOKUP($F800,Productos!$A$2:$A1001,Productos!AU$2:AU1001,"")*$G800,"")</f>
        <v/>
      </c>
      <c r="BC800" s="179" t="str">
        <f t="array" ref="BC800">IF($F800&lt;&gt;"",XLOOKUP($F800,Productos!$A:$A,Productos!AV:AV,"Revisar"),"")</f>
        <v/>
      </c>
      <c r="BD800" s="179" t="str">
        <f t="array" ref="BD800">IF($F800&lt;&gt;"", XLOOKUP($F800,Productos!$A$2:$A1001,Productos!AW$2:AW1001,"")*$G800,"")</f>
        <v/>
      </c>
      <c r="BE800" s="179" t="str">
        <f t="array" ref="BE800">IF($F800&lt;&gt;"",XLOOKUP($F800,Productos!$A:$A,Productos!AX:AX,"Revisar"),"")</f>
        <v/>
      </c>
      <c r="BF800" s="179" t="str">
        <f t="array" ref="BF800">IF($F800&lt;&gt;"", XLOOKUP($F800,Productos!$A$2:$A1001,Productos!AY$2:AY1001,"")*$G800,"")</f>
        <v/>
      </c>
      <c r="BG800" s="179" t="str">
        <f t="array" ref="BG800">IF($F800&lt;&gt;"",XLOOKUP($F800,Productos!$A:$A,Productos!AZ:AZ,"Revisar"),"")</f>
        <v/>
      </c>
      <c r="BH800" s="179" t="str">
        <f t="array" ref="BH800">IF($F800&lt;&gt;"", XLOOKUP($F800,Productos!$A$2:$A1001,Productos!BA$2:BA1001,"")*$G800,"")</f>
        <v/>
      </c>
      <c r="BI800" s="179" t="str">
        <f t="array" ref="BI800">IF($F800&lt;&gt;"",XLOOKUP($F800,Productos!$A:$A,Productos!BB:BB,"Revisar"),"")</f>
        <v/>
      </c>
      <c r="BJ800" s="179" t="str">
        <f t="array" ref="BJ800">IF($F800&lt;&gt;"", XLOOKUP($F800,Productos!$A$2:$A1001,Productos!BC$2:BC1001,"")*$G800,"")</f>
        <v/>
      </c>
      <c r="BK800" s="179" t="str">
        <f t="array" ref="BK800">IF($F800&lt;&gt;"",XLOOKUP($F800,Productos!$A:$A,Productos!BD:BD,"Revisar"),"")</f>
        <v/>
      </c>
      <c r="BL800" s="179" t="str">
        <f t="array" ref="BL800">IF($F800&lt;&gt;"", XLOOKUP($F800,Productos!$A$2:$A1001,Productos!BE$2:BE1001,"")*$G800,"")</f>
        <v/>
      </c>
      <c r="BM800" s="179" t="str">
        <f t="array" ref="BM800">IF($F800&lt;&gt;"",XLOOKUP($F800,Productos!$A:$A,Productos!BF:BF,"Revisar"),"")</f>
        <v/>
      </c>
      <c r="BN800" s="179" t="str">
        <f t="array" ref="BN800">IF($F800&lt;&gt;"", XLOOKUP($F800,Productos!$A$2:$A1001,Productos!BG$2:BG1001,"")*$G800,"")</f>
        <v/>
      </c>
      <c r="BO800" s="179" t="str">
        <f t="array" ref="BO800">IF($F800&lt;&gt;"",XLOOKUP($F800,Productos!$A:$A,Productos!BH:BH,"Revisar"),"")</f>
        <v/>
      </c>
      <c r="BP800" s="179" t="str">
        <f t="array" ref="BP800">IF($F800&lt;&gt;"", XLOOKUP($F800,Productos!$A$2:$A1001,Productos!BI$2:BI1001,"")*$G800,"")</f>
        <v/>
      </c>
      <c r="BQ800" s="179" t="str">
        <f t="array" ref="BQ800">IF($F800&lt;&gt;"",XLOOKUP($F800,Productos!$A:$A,Productos!BJ:BJ,"Revisar"),"")</f>
        <v/>
      </c>
      <c r="BR800" s="179" t="str">
        <f t="array" ref="BR800">IF($F800&lt;&gt;"", XLOOKUP($F800,Productos!$A$2:$A1001,Productos!BK$2:BK1001,"")*$G800,"")</f>
        <v/>
      </c>
      <c r="BS800" s="179" t="str">
        <f t="array" ref="BS800">IF($F800&lt;&gt;"",XLOOKUP($F800,Productos!$A:$A,Productos!BL:BL,"Revisar"),"")</f>
        <v/>
      </c>
      <c r="BT800" s="179" t="str">
        <f t="array" ref="BT800">IF($F800&lt;&gt;"", XLOOKUP($F800,Productos!$A$2:$A1001,Productos!BM$2:BM1001,"")*$G800,"")</f>
        <v/>
      </c>
      <c r="BU800" s="179" t="str">
        <f t="array" ref="BU800">IF($F800&lt;&gt;"",XLOOKUP($F800,Productos!$A:$A,Productos!BN:BN,"Revisar"),"")</f>
        <v/>
      </c>
      <c r="BV800" s="179" t="str">
        <f t="array" ref="BV800">IF($F800&lt;&gt;"", XLOOKUP($F800,Productos!$A$2:$A1001,Productos!BO$2:BO1001,"")*$G800,"")</f>
        <v/>
      </c>
      <c r="BW800" s="179" t="str">
        <f t="array" ref="BW800">IF($F800&lt;&gt;"",XLOOKUP($F800,Productos!$A:$A,Productos!BP:BP,"Revisar"),"")</f>
        <v/>
      </c>
      <c r="BX800" s="179" t="str">
        <f t="array" ref="BX800">IF($F800&lt;&gt;"", XLOOKUP($F800,Productos!$A$2:$A1001,Productos!BQ$2:BQ1001,"")*$G800,"")</f>
        <v/>
      </c>
      <c r="BY800" s="179" t="str">
        <f t="array" ref="BY800">IF($F800&lt;&gt;"",XLOOKUP($F800,Productos!$A:$A,Productos!BR:BR,"Revisar"),"")</f>
        <v/>
      </c>
      <c r="BZ800" s="179" t="str">
        <f t="array" ref="BZ800">IF($F800&lt;&gt;"", XLOOKUP($F800,Productos!$A$2:$A1001,Productos!BS$2:BS1001,"")*$G800,"")</f>
        <v/>
      </c>
    </row>
    <row r="801">
      <c r="A801" s="188"/>
      <c r="B801" s="189"/>
      <c r="C801" s="190"/>
      <c r="D801" s="190"/>
      <c r="E801" s="191"/>
      <c r="F801" s="186"/>
      <c r="G801" s="192"/>
      <c r="H801" s="9"/>
      <c r="I801" s="179" t="str">
        <f t="array" ref="I801">IF($F801&lt;&gt;"",XLOOKUP($F801,Productos!$A:$A,Productos!B:B,"Revisar"),"")</f>
        <v/>
      </c>
      <c r="J801" s="179" t="str">
        <f t="array" ref="J801">IF($F801&lt;&gt;"", XLOOKUP($F801,Productos!$A$2:$A1001,Productos!C$2:C1001,"")*$G801,"")</f>
        <v/>
      </c>
      <c r="K801" s="179" t="str">
        <f t="array" ref="K801">IF($F801&lt;&gt;"",XLOOKUP($F801,Productos!$A:$A,Productos!D:D,"Revisar"),"")</f>
        <v/>
      </c>
      <c r="L801" s="179" t="str">
        <f t="array" ref="L801">IF($F801&lt;&gt;"", XLOOKUP($F801,Productos!$A$2:$A1001,Productos!E$2:E1001,"")*$G801,"")</f>
        <v/>
      </c>
      <c r="M801" s="179" t="str">
        <f t="array" ref="M801">IF($F801&lt;&gt;"",XLOOKUP($F801,Productos!$A:$A,Productos!F:F,"Revisar"),"")</f>
        <v/>
      </c>
      <c r="N801" s="179" t="str">
        <f t="array" ref="N801">IF($F801&lt;&gt;"", XLOOKUP($F801,Productos!$A$2:$A1001,Productos!G$2:G1001,"")*$G801,"")</f>
        <v/>
      </c>
      <c r="O801" s="179" t="str">
        <f t="array" ref="O801">IF($F801&lt;&gt;"",XLOOKUP($F801,Productos!$A:$A,Productos!H:H,"Revisar"),"")</f>
        <v/>
      </c>
      <c r="P801" s="179" t="str">
        <f t="array" ref="P801">IF($F801&lt;&gt;"", XLOOKUP($F801,Productos!$A$2:$A1001,Productos!I$2:I1001,"")*$G801,"")</f>
        <v/>
      </c>
      <c r="Q801" s="179" t="str">
        <f t="array" ref="Q801">IF($F801&lt;&gt;"",XLOOKUP($F801,Productos!$A:$A,Productos!J:J,"Revisar"),"")</f>
        <v/>
      </c>
      <c r="R801" s="179" t="str">
        <f t="array" ref="R801">IF($F801&lt;&gt;"", XLOOKUP($F801,Productos!$A$2:$A1001,Productos!K$2:K1001,"")*$G801,"")</f>
        <v/>
      </c>
      <c r="S801" s="179" t="str">
        <f t="array" ref="S801">IF($F801&lt;&gt;"",XLOOKUP($F801,Productos!$A:$A,Productos!L:L,"Revisar"),"")</f>
        <v/>
      </c>
      <c r="T801" s="179" t="str">
        <f t="array" ref="T801">IF($F801&lt;&gt;"", XLOOKUP($F801,Productos!$A$2:$A1001,Productos!M$2:M1001,"")*$G801,"")</f>
        <v/>
      </c>
      <c r="U801" s="179" t="str">
        <f t="array" ref="U801">IF($F801&lt;&gt;"",XLOOKUP($F801,Productos!$A:$A,Productos!N:N,"Revisar"),"")</f>
        <v/>
      </c>
      <c r="V801" s="179" t="str">
        <f t="array" ref="V801">IF($F801&lt;&gt;"", XLOOKUP($F801,Productos!$A$2:$A1001,Productos!O$2:O1001,"")*$G801,"")</f>
        <v/>
      </c>
      <c r="W801" s="179" t="str">
        <f t="array" ref="W801">IF($F801&lt;&gt;"",XLOOKUP($F801,Productos!$A:$A,Productos!P:P,"Revisar"),"")</f>
        <v/>
      </c>
      <c r="X801" s="179" t="str">
        <f t="array" ref="X801">IF($F801&lt;&gt;"", XLOOKUP($F801,Productos!$A$2:$A1001,Productos!Q$2:Q1001,"")*$G801,"")</f>
        <v/>
      </c>
      <c r="Y801" s="179" t="str">
        <f t="array" ref="Y801">IF($F801&lt;&gt;"",XLOOKUP($F801,Productos!$A:$A,Productos!R:R,"Revisar"),"")</f>
        <v/>
      </c>
      <c r="Z801" s="179" t="str">
        <f t="array" ref="Z801">IF($F801&lt;&gt;"", XLOOKUP($F801,Productos!$A$2:$A1001,Productos!S$2:S1001,"")*$G801,"")</f>
        <v/>
      </c>
      <c r="AA801" s="179" t="str">
        <f t="array" ref="AA801">IF($F801&lt;&gt;"",XLOOKUP($F801,Productos!$A:$A,Productos!T:T,"Revisar"),"")</f>
        <v/>
      </c>
      <c r="AB801" s="179" t="str">
        <f t="array" ref="AB801">IF($F801&lt;&gt;"", XLOOKUP($F801,Productos!$A$2:$A1001,Productos!U$2:U1001,"")*$G801,"")</f>
        <v/>
      </c>
      <c r="AC801" s="179" t="str">
        <f t="array" ref="AC801">IF($F801&lt;&gt;"",XLOOKUP($F801,Productos!$A:$A,Productos!V:V,"Revisar"),"")</f>
        <v/>
      </c>
      <c r="AD801" s="179" t="str">
        <f t="array" ref="AD801">IF($F801&lt;&gt;"", XLOOKUP($F801,Productos!$A$2:$A1001,Productos!W$2:W1001,"")*$G801,"")</f>
        <v/>
      </c>
      <c r="AE801" s="179" t="str">
        <f t="array" ref="AE801">IF($F801&lt;&gt;"",XLOOKUP($F801,Productos!$A:$A,Productos!X:X,"Revisar"),"")</f>
        <v/>
      </c>
      <c r="AF801" s="179" t="str">
        <f t="array" ref="AF801">IF($F801&lt;&gt;"", XLOOKUP($F801,Productos!$A$2:$A1001,Productos!Y$2:Y1001,"")*$G801,"")</f>
        <v/>
      </c>
      <c r="AG801" s="179" t="str">
        <f t="array" ref="AG801">IF($F801&lt;&gt;"",XLOOKUP($F801,Productos!$A:$A,Productos!Z:Z,"Revisar"),"")</f>
        <v/>
      </c>
      <c r="AH801" s="179" t="str">
        <f t="array" ref="AH801">IF($F801&lt;&gt;"", XLOOKUP($F801,Productos!$A$2:$A1001,Productos!AA$2:AA1001,"")*$G801,"")</f>
        <v/>
      </c>
      <c r="AI801" s="179" t="str">
        <f t="array" ref="AI801">IF($F801&lt;&gt;"",XLOOKUP($F801,Productos!$A:$A,Productos!AB:AB,"Revisar"),"")</f>
        <v/>
      </c>
      <c r="AJ801" s="179" t="str">
        <f t="array" ref="AJ801">IF($F801&lt;&gt;"", XLOOKUP($F801,Productos!$A$2:$A1001,Productos!AC$2:AC1001,"")*$G801,"")</f>
        <v/>
      </c>
      <c r="AK801" s="179" t="str">
        <f t="array" ref="AK801">IF($F801&lt;&gt;"",XLOOKUP($F801,Productos!$A:$A,Productos!AD:AD,"Revisar"),"")</f>
        <v/>
      </c>
      <c r="AL801" s="179" t="str">
        <f t="array" ref="AL801">IF($F801&lt;&gt;"", XLOOKUP($F801,Productos!$A$2:$A1001,Productos!AE$2:AE1001,"")*$G801,"")</f>
        <v/>
      </c>
      <c r="AM801" s="179" t="str">
        <f t="array" ref="AM801">IF($F801&lt;&gt;"",XLOOKUP($F801,Productos!$A:$A,Productos!AF:AF,"Revisar"),"")</f>
        <v/>
      </c>
      <c r="AN801" s="179" t="str">
        <f t="array" ref="AN801">IF($F801&lt;&gt;"", XLOOKUP($F801,Productos!$A$2:$A1001,Productos!AG$2:AG1001,"")*$G801,"")</f>
        <v/>
      </c>
      <c r="AO801" s="179" t="str">
        <f t="array" ref="AO801">IF($F801&lt;&gt;"",XLOOKUP($F801,Productos!$A:$A,Productos!AH:AH,"Revisar"),"")</f>
        <v/>
      </c>
      <c r="AP801" s="179" t="str">
        <f t="array" ref="AP801">IF($F801&lt;&gt;"", XLOOKUP($F801,Productos!$A$2:$A1001,Productos!AI$2:AI1001,"")*$G801,"")</f>
        <v/>
      </c>
      <c r="AQ801" s="179" t="str">
        <f t="array" ref="AQ801">IF($F801&lt;&gt;"",XLOOKUP($F801,Productos!$A:$A,Productos!AJ:AJ,"Revisar"),"")</f>
        <v/>
      </c>
      <c r="AR801" s="179" t="str">
        <f t="array" ref="AR801">IF($F801&lt;&gt;"", XLOOKUP($F801,Productos!$A$2:$A1001,Productos!AK$2:AK1001,"")*$G801,"")</f>
        <v/>
      </c>
      <c r="AS801" s="179" t="str">
        <f t="array" ref="AS801">IF($F801&lt;&gt;"",XLOOKUP($F801,Productos!$A:$A,Productos!AL:AL,"Revisar"),"")</f>
        <v/>
      </c>
      <c r="AT801" s="179" t="str">
        <f t="array" ref="AT801">IF($F801&lt;&gt;"", XLOOKUP($F801,Productos!$A$2:$A1001,Productos!AM$2:AM1001,"")*$G801,"")</f>
        <v/>
      </c>
      <c r="AU801" s="179" t="str">
        <f t="array" ref="AU801">IF($F801&lt;&gt;"",XLOOKUP($F801,Productos!$A:$A,Productos!AN:AN,"Revisar"),"")</f>
        <v/>
      </c>
      <c r="AV801" s="179" t="str">
        <f t="array" ref="AV801">IF($F801&lt;&gt;"", XLOOKUP($F801,Productos!$A$2:$A1001,Productos!AO$2:AO1001,"")*$G801,"")</f>
        <v/>
      </c>
      <c r="AW801" s="179" t="str">
        <f t="array" ref="AW801">IF($F801&lt;&gt;"",XLOOKUP($F801,Productos!$A:$A,Productos!AP:AP,"Revisar"),"")</f>
        <v/>
      </c>
      <c r="AX801" s="179" t="str">
        <f t="array" ref="AX801">IF($F801&lt;&gt;"", XLOOKUP($F801,Productos!$A$2:$A1001,Productos!AQ$2:AQ1001,"")*$G801,"")</f>
        <v/>
      </c>
      <c r="AY801" s="179" t="str">
        <f t="array" ref="AY801">IF($F801&lt;&gt;"",XLOOKUP($F801,Productos!$A:$A,Productos!AR:AR,"Revisar"),"")</f>
        <v/>
      </c>
      <c r="AZ801" s="179" t="str">
        <f t="array" ref="AZ801">IF($F801&lt;&gt;"", XLOOKUP($F801,Productos!$A$2:$A1001,Productos!AS$2:AS1001,"")*$G801,"")</f>
        <v/>
      </c>
      <c r="BA801" s="179" t="str">
        <f t="array" ref="BA801">IF($F801&lt;&gt;"",XLOOKUP($F801,Productos!$A:$A,Productos!AT:AT,"Revisar"),"")</f>
        <v/>
      </c>
      <c r="BB801" s="179" t="str">
        <f t="array" ref="BB801">IF($F801&lt;&gt;"", XLOOKUP($F801,Productos!$A$2:$A1001,Productos!AU$2:AU1001,"")*$G801,"")</f>
        <v/>
      </c>
      <c r="BC801" s="179" t="str">
        <f t="array" ref="BC801">IF($F801&lt;&gt;"",XLOOKUP($F801,Productos!$A:$A,Productos!AV:AV,"Revisar"),"")</f>
        <v/>
      </c>
      <c r="BD801" s="179" t="str">
        <f t="array" ref="BD801">IF($F801&lt;&gt;"", XLOOKUP($F801,Productos!$A$2:$A1001,Productos!AW$2:AW1001,"")*$G801,"")</f>
        <v/>
      </c>
      <c r="BE801" s="179" t="str">
        <f t="array" ref="BE801">IF($F801&lt;&gt;"",XLOOKUP($F801,Productos!$A:$A,Productos!AX:AX,"Revisar"),"")</f>
        <v/>
      </c>
      <c r="BF801" s="179" t="str">
        <f t="array" ref="BF801">IF($F801&lt;&gt;"", XLOOKUP($F801,Productos!$A$2:$A1001,Productos!AY$2:AY1001,"")*$G801,"")</f>
        <v/>
      </c>
      <c r="BG801" s="179" t="str">
        <f t="array" ref="BG801">IF($F801&lt;&gt;"",XLOOKUP($F801,Productos!$A:$A,Productos!AZ:AZ,"Revisar"),"")</f>
        <v/>
      </c>
      <c r="BH801" s="179" t="str">
        <f t="array" ref="BH801">IF($F801&lt;&gt;"", XLOOKUP($F801,Productos!$A$2:$A1001,Productos!BA$2:BA1001,"")*$G801,"")</f>
        <v/>
      </c>
      <c r="BI801" s="179" t="str">
        <f t="array" ref="BI801">IF($F801&lt;&gt;"",XLOOKUP($F801,Productos!$A:$A,Productos!BB:BB,"Revisar"),"")</f>
        <v/>
      </c>
      <c r="BJ801" s="179" t="str">
        <f t="array" ref="BJ801">IF($F801&lt;&gt;"", XLOOKUP($F801,Productos!$A$2:$A1001,Productos!BC$2:BC1001,"")*$G801,"")</f>
        <v/>
      </c>
      <c r="BK801" s="179" t="str">
        <f t="array" ref="BK801">IF($F801&lt;&gt;"",XLOOKUP($F801,Productos!$A:$A,Productos!BD:BD,"Revisar"),"")</f>
        <v/>
      </c>
      <c r="BL801" s="179" t="str">
        <f t="array" ref="BL801">IF($F801&lt;&gt;"", XLOOKUP($F801,Productos!$A$2:$A1001,Productos!BE$2:BE1001,"")*$G801,"")</f>
        <v/>
      </c>
      <c r="BM801" s="179" t="str">
        <f t="array" ref="BM801">IF($F801&lt;&gt;"",XLOOKUP($F801,Productos!$A:$A,Productos!BF:BF,"Revisar"),"")</f>
        <v/>
      </c>
      <c r="BN801" s="179" t="str">
        <f t="array" ref="BN801">IF($F801&lt;&gt;"", XLOOKUP($F801,Productos!$A$2:$A1001,Productos!BG$2:BG1001,"")*$G801,"")</f>
        <v/>
      </c>
      <c r="BO801" s="179" t="str">
        <f t="array" ref="BO801">IF($F801&lt;&gt;"",XLOOKUP($F801,Productos!$A:$A,Productos!BH:BH,"Revisar"),"")</f>
        <v/>
      </c>
      <c r="BP801" s="179" t="str">
        <f t="array" ref="BP801">IF($F801&lt;&gt;"", XLOOKUP($F801,Productos!$A$2:$A1001,Productos!BI$2:BI1001,"")*$G801,"")</f>
        <v/>
      </c>
      <c r="BQ801" s="179" t="str">
        <f t="array" ref="BQ801">IF($F801&lt;&gt;"",XLOOKUP($F801,Productos!$A:$A,Productos!BJ:BJ,"Revisar"),"")</f>
        <v/>
      </c>
      <c r="BR801" s="179" t="str">
        <f t="array" ref="BR801">IF($F801&lt;&gt;"", XLOOKUP($F801,Productos!$A$2:$A1001,Productos!BK$2:BK1001,"")*$G801,"")</f>
        <v/>
      </c>
      <c r="BS801" s="179" t="str">
        <f t="array" ref="BS801">IF($F801&lt;&gt;"",XLOOKUP($F801,Productos!$A:$A,Productos!BL:BL,"Revisar"),"")</f>
        <v/>
      </c>
      <c r="BT801" s="179" t="str">
        <f t="array" ref="BT801">IF($F801&lt;&gt;"", XLOOKUP($F801,Productos!$A$2:$A1001,Productos!BM$2:BM1001,"")*$G801,"")</f>
        <v/>
      </c>
      <c r="BU801" s="179" t="str">
        <f t="array" ref="BU801">IF($F801&lt;&gt;"",XLOOKUP($F801,Productos!$A:$A,Productos!BN:BN,"Revisar"),"")</f>
        <v/>
      </c>
      <c r="BV801" s="179" t="str">
        <f t="array" ref="BV801">IF($F801&lt;&gt;"", XLOOKUP($F801,Productos!$A$2:$A1001,Productos!BO$2:BO1001,"")*$G801,"")</f>
        <v/>
      </c>
      <c r="BW801" s="179" t="str">
        <f t="array" ref="BW801">IF($F801&lt;&gt;"",XLOOKUP($F801,Productos!$A:$A,Productos!BP:BP,"Revisar"),"")</f>
        <v/>
      </c>
      <c r="BX801" s="179" t="str">
        <f t="array" ref="BX801">IF($F801&lt;&gt;"", XLOOKUP($F801,Productos!$A$2:$A1001,Productos!BQ$2:BQ1001,"")*$G801,"")</f>
        <v/>
      </c>
      <c r="BY801" s="179" t="str">
        <f t="array" ref="BY801">IF($F801&lt;&gt;"",XLOOKUP($F801,Productos!$A:$A,Productos!BR:BR,"Revisar"),"")</f>
        <v/>
      </c>
      <c r="BZ801" s="179" t="str">
        <f t="array" ref="BZ801">IF($F801&lt;&gt;"", XLOOKUP($F801,Productos!$A$2:$A1001,Productos!BS$2:BS1001,"")*$G801,"")</f>
        <v/>
      </c>
    </row>
    <row r="802">
      <c r="A802" s="188"/>
      <c r="B802" s="189"/>
      <c r="C802" s="190"/>
      <c r="D802" s="190"/>
      <c r="E802" s="191"/>
      <c r="F802" s="186"/>
      <c r="G802" s="192"/>
      <c r="H802" s="9"/>
      <c r="I802" s="179" t="str">
        <f t="array" ref="I802">IF($F802&lt;&gt;"",XLOOKUP($F802,Productos!$A:$A,Productos!B:B,"Revisar"),"")</f>
        <v/>
      </c>
      <c r="J802" s="179" t="str">
        <f t="array" ref="J802">IF($F802&lt;&gt;"", XLOOKUP($F802,Productos!$A$2:$A1001,Productos!C$2:C1001,"")*$G802,"")</f>
        <v/>
      </c>
      <c r="K802" s="179" t="str">
        <f t="array" ref="K802">IF($F802&lt;&gt;"",XLOOKUP($F802,Productos!$A:$A,Productos!D:D,"Revisar"),"")</f>
        <v/>
      </c>
      <c r="L802" s="179" t="str">
        <f t="array" ref="L802">IF($F802&lt;&gt;"", XLOOKUP($F802,Productos!$A$2:$A1001,Productos!E$2:E1001,"")*$G802,"")</f>
        <v/>
      </c>
      <c r="M802" s="179" t="str">
        <f t="array" ref="M802">IF($F802&lt;&gt;"",XLOOKUP($F802,Productos!$A:$A,Productos!F:F,"Revisar"),"")</f>
        <v/>
      </c>
      <c r="N802" s="179" t="str">
        <f t="array" ref="N802">IF($F802&lt;&gt;"", XLOOKUP($F802,Productos!$A$2:$A1001,Productos!G$2:G1001,"")*$G802,"")</f>
        <v/>
      </c>
      <c r="O802" s="179" t="str">
        <f t="array" ref="O802">IF($F802&lt;&gt;"",XLOOKUP($F802,Productos!$A:$A,Productos!H:H,"Revisar"),"")</f>
        <v/>
      </c>
      <c r="P802" s="179" t="str">
        <f t="array" ref="P802">IF($F802&lt;&gt;"", XLOOKUP($F802,Productos!$A$2:$A1001,Productos!I$2:I1001,"")*$G802,"")</f>
        <v/>
      </c>
      <c r="Q802" s="179" t="str">
        <f t="array" ref="Q802">IF($F802&lt;&gt;"",XLOOKUP($F802,Productos!$A:$A,Productos!J:J,"Revisar"),"")</f>
        <v/>
      </c>
      <c r="R802" s="179" t="str">
        <f t="array" ref="R802">IF($F802&lt;&gt;"", XLOOKUP($F802,Productos!$A$2:$A1001,Productos!K$2:K1001,"")*$G802,"")</f>
        <v/>
      </c>
      <c r="S802" s="179" t="str">
        <f t="array" ref="S802">IF($F802&lt;&gt;"",XLOOKUP($F802,Productos!$A:$A,Productos!L:L,"Revisar"),"")</f>
        <v/>
      </c>
      <c r="T802" s="179" t="str">
        <f t="array" ref="T802">IF($F802&lt;&gt;"", XLOOKUP($F802,Productos!$A$2:$A1001,Productos!M$2:M1001,"")*$G802,"")</f>
        <v/>
      </c>
      <c r="U802" s="179" t="str">
        <f t="array" ref="U802">IF($F802&lt;&gt;"",XLOOKUP($F802,Productos!$A:$A,Productos!N:N,"Revisar"),"")</f>
        <v/>
      </c>
      <c r="V802" s="179" t="str">
        <f t="array" ref="V802">IF($F802&lt;&gt;"", XLOOKUP($F802,Productos!$A$2:$A1001,Productos!O$2:O1001,"")*$G802,"")</f>
        <v/>
      </c>
      <c r="W802" s="179" t="str">
        <f t="array" ref="W802">IF($F802&lt;&gt;"",XLOOKUP($F802,Productos!$A:$A,Productos!P:P,"Revisar"),"")</f>
        <v/>
      </c>
      <c r="X802" s="179" t="str">
        <f t="array" ref="X802">IF($F802&lt;&gt;"", XLOOKUP($F802,Productos!$A$2:$A1001,Productos!Q$2:Q1001,"")*$G802,"")</f>
        <v/>
      </c>
      <c r="Y802" s="179" t="str">
        <f t="array" ref="Y802">IF($F802&lt;&gt;"",XLOOKUP($F802,Productos!$A:$A,Productos!R:R,"Revisar"),"")</f>
        <v/>
      </c>
      <c r="Z802" s="179" t="str">
        <f t="array" ref="Z802">IF($F802&lt;&gt;"", XLOOKUP($F802,Productos!$A$2:$A1001,Productos!S$2:S1001,"")*$G802,"")</f>
        <v/>
      </c>
      <c r="AA802" s="179" t="str">
        <f t="array" ref="AA802">IF($F802&lt;&gt;"",XLOOKUP($F802,Productos!$A:$A,Productos!T:T,"Revisar"),"")</f>
        <v/>
      </c>
      <c r="AB802" s="179" t="str">
        <f t="array" ref="AB802">IF($F802&lt;&gt;"", XLOOKUP($F802,Productos!$A$2:$A1001,Productos!U$2:U1001,"")*$G802,"")</f>
        <v/>
      </c>
      <c r="AC802" s="179" t="str">
        <f t="array" ref="AC802">IF($F802&lt;&gt;"",XLOOKUP($F802,Productos!$A:$A,Productos!V:V,"Revisar"),"")</f>
        <v/>
      </c>
      <c r="AD802" s="179" t="str">
        <f t="array" ref="AD802">IF($F802&lt;&gt;"", XLOOKUP($F802,Productos!$A$2:$A1001,Productos!W$2:W1001,"")*$G802,"")</f>
        <v/>
      </c>
      <c r="AE802" s="179" t="str">
        <f t="array" ref="AE802">IF($F802&lt;&gt;"",XLOOKUP($F802,Productos!$A:$A,Productos!X:X,"Revisar"),"")</f>
        <v/>
      </c>
      <c r="AF802" s="179" t="str">
        <f t="array" ref="AF802">IF($F802&lt;&gt;"", XLOOKUP($F802,Productos!$A$2:$A1001,Productos!Y$2:Y1001,"")*$G802,"")</f>
        <v/>
      </c>
      <c r="AG802" s="179" t="str">
        <f t="array" ref="AG802">IF($F802&lt;&gt;"",XLOOKUP($F802,Productos!$A:$A,Productos!Z:Z,"Revisar"),"")</f>
        <v/>
      </c>
      <c r="AH802" s="179" t="str">
        <f t="array" ref="AH802">IF($F802&lt;&gt;"", XLOOKUP($F802,Productos!$A$2:$A1001,Productos!AA$2:AA1001,"")*$G802,"")</f>
        <v/>
      </c>
      <c r="AI802" s="179" t="str">
        <f t="array" ref="AI802">IF($F802&lt;&gt;"",XLOOKUP($F802,Productos!$A:$A,Productos!AB:AB,"Revisar"),"")</f>
        <v/>
      </c>
      <c r="AJ802" s="179" t="str">
        <f t="array" ref="AJ802">IF($F802&lt;&gt;"", XLOOKUP($F802,Productos!$A$2:$A1001,Productos!AC$2:AC1001,"")*$G802,"")</f>
        <v/>
      </c>
      <c r="AK802" s="179" t="str">
        <f t="array" ref="AK802">IF($F802&lt;&gt;"",XLOOKUP($F802,Productos!$A:$A,Productos!AD:AD,"Revisar"),"")</f>
        <v/>
      </c>
      <c r="AL802" s="179" t="str">
        <f t="array" ref="AL802">IF($F802&lt;&gt;"", XLOOKUP($F802,Productos!$A$2:$A1001,Productos!AE$2:AE1001,"")*$G802,"")</f>
        <v/>
      </c>
      <c r="AM802" s="179" t="str">
        <f t="array" ref="AM802">IF($F802&lt;&gt;"",XLOOKUP($F802,Productos!$A:$A,Productos!AF:AF,"Revisar"),"")</f>
        <v/>
      </c>
      <c r="AN802" s="179" t="str">
        <f t="array" ref="AN802">IF($F802&lt;&gt;"", XLOOKUP($F802,Productos!$A$2:$A1001,Productos!AG$2:AG1001,"")*$G802,"")</f>
        <v/>
      </c>
      <c r="AO802" s="179" t="str">
        <f t="array" ref="AO802">IF($F802&lt;&gt;"",XLOOKUP($F802,Productos!$A:$A,Productos!AH:AH,"Revisar"),"")</f>
        <v/>
      </c>
      <c r="AP802" s="179" t="str">
        <f t="array" ref="AP802">IF($F802&lt;&gt;"", XLOOKUP($F802,Productos!$A$2:$A1001,Productos!AI$2:AI1001,"")*$G802,"")</f>
        <v/>
      </c>
      <c r="AQ802" s="179" t="str">
        <f t="array" ref="AQ802">IF($F802&lt;&gt;"",XLOOKUP($F802,Productos!$A:$A,Productos!AJ:AJ,"Revisar"),"")</f>
        <v/>
      </c>
      <c r="AR802" s="179" t="str">
        <f t="array" ref="AR802">IF($F802&lt;&gt;"", XLOOKUP($F802,Productos!$A$2:$A1001,Productos!AK$2:AK1001,"")*$G802,"")</f>
        <v/>
      </c>
      <c r="AS802" s="179" t="str">
        <f t="array" ref="AS802">IF($F802&lt;&gt;"",XLOOKUP($F802,Productos!$A:$A,Productos!AL:AL,"Revisar"),"")</f>
        <v/>
      </c>
      <c r="AT802" s="179" t="str">
        <f t="array" ref="AT802">IF($F802&lt;&gt;"", XLOOKUP($F802,Productos!$A$2:$A1001,Productos!AM$2:AM1001,"")*$G802,"")</f>
        <v/>
      </c>
      <c r="AU802" s="179" t="str">
        <f t="array" ref="AU802">IF($F802&lt;&gt;"",XLOOKUP($F802,Productos!$A:$A,Productos!AN:AN,"Revisar"),"")</f>
        <v/>
      </c>
      <c r="AV802" s="179" t="str">
        <f t="array" ref="AV802">IF($F802&lt;&gt;"", XLOOKUP($F802,Productos!$A$2:$A1001,Productos!AO$2:AO1001,"")*$G802,"")</f>
        <v/>
      </c>
      <c r="AW802" s="179" t="str">
        <f t="array" ref="AW802">IF($F802&lt;&gt;"",XLOOKUP($F802,Productos!$A:$A,Productos!AP:AP,"Revisar"),"")</f>
        <v/>
      </c>
      <c r="AX802" s="179" t="str">
        <f t="array" ref="AX802">IF($F802&lt;&gt;"", XLOOKUP($F802,Productos!$A$2:$A1001,Productos!AQ$2:AQ1001,"")*$G802,"")</f>
        <v/>
      </c>
      <c r="AY802" s="179" t="str">
        <f t="array" ref="AY802">IF($F802&lt;&gt;"",XLOOKUP($F802,Productos!$A:$A,Productos!AR:AR,"Revisar"),"")</f>
        <v/>
      </c>
      <c r="AZ802" s="179" t="str">
        <f t="array" ref="AZ802">IF($F802&lt;&gt;"", XLOOKUP($F802,Productos!$A$2:$A1001,Productos!AS$2:AS1001,"")*$G802,"")</f>
        <v/>
      </c>
      <c r="BA802" s="179" t="str">
        <f t="array" ref="BA802">IF($F802&lt;&gt;"",XLOOKUP($F802,Productos!$A:$A,Productos!AT:AT,"Revisar"),"")</f>
        <v/>
      </c>
      <c r="BB802" s="179" t="str">
        <f t="array" ref="BB802">IF($F802&lt;&gt;"", XLOOKUP($F802,Productos!$A$2:$A1001,Productos!AU$2:AU1001,"")*$G802,"")</f>
        <v/>
      </c>
      <c r="BC802" s="179" t="str">
        <f t="array" ref="BC802">IF($F802&lt;&gt;"",XLOOKUP($F802,Productos!$A:$A,Productos!AV:AV,"Revisar"),"")</f>
        <v/>
      </c>
      <c r="BD802" s="179" t="str">
        <f t="array" ref="BD802">IF($F802&lt;&gt;"", XLOOKUP($F802,Productos!$A$2:$A1001,Productos!AW$2:AW1001,"")*$G802,"")</f>
        <v/>
      </c>
      <c r="BE802" s="179" t="str">
        <f t="array" ref="BE802">IF($F802&lt;&gt;"",XLOOKUP($F802,Productos!$A:$A,Productos!AX:AX,"Revisar"),"")</f>
        <v/>
      </c>
      <c r="BF802" s="179" t="str">
        <f t="array" ref="BF802">IF($F802&lt;&gt;"", XLOOKUP($F802,Productos!$A$2:$A1001,Productos!AY$2:AY1001,"")*$G802,"")</f>
        <v/>
      </c>
      <c r="BG802" s="179" t="str">
        <f t="array" ref="BG802">IF($F802&lt;&gt;"",XLOOKUP($F802,Productos!$A:$A,Productos!AZ:AZ,"Revisar"),"")</f>
        <v/>
      </c>
      <c r="BH802" s="179" t="str">
        <f t="array" ref="BH802">IF($F802&lt;&gt;"", XLOOKUP($F802,Productos!$A$2:$A1001,Productos!BA$2:BA1001,"")*$G802,"")</f>
        <v/>
      </c>
      <c r="BI802" s="179" t="str">
        <f t="array" ref="BI802">IF($F802&lt;&gt;"",XLOOKUP($F802,Productos!$A:$A,Productos!BB:BB,"Revisar"),"")</f>
        <v/>
      </c>
      <c r="BJ802" s="179" t="str">
        <f t="array" ref="BJ802">IF($F802&lt;&gt;"", XLOOKUP($F802,Productos!$A$2:$A1001,Productos!BC$2:BC1001,"")*$G802,"")</f>
        <v/>
      </c>
      <c r="BK802" s="179" t="str">
        <f t="array" ref="BK802">IF($F802&lt;&gt;"",XLOOKUP($F802,Productos!$A:$A,Productos!BD:BD,"Revisar"),"")</f>
        <v/>
      </c>
      <c r="BL802" s="179" t="str">
        <f t="array" ref="BL802">IF($F802&lt;&gt;"", XLOOKUP($F802,Productos!$A$2:$A1001,Productos!BE$2:BE1001,"")*$G802,"")</f>
        <v/>
      </c>
      <c r="BM802" s="179" t="str">
        <f t="array" ref="BM802">IF($F802&lt;&gt;"",XLOOKUP($F802,Productos!$A:$A,Productos!BF:BF,"Revisar"),"")</f>
        <v/>
      </c>
      <c r="BN802" s="179" t="str">
        <f t="array" ref="BN802">IF($F802&lt;&gt;"", XLOOKUP($F802,Productos!$A$2:$A1001,Productos!BG$2:BG1001,"")*$G802,"")</f>
        <v/>
      </c>
      <c r="BO802" s="179" t="str">
        <f t="array" ref="BO802">IF($F802&lt;&gt;"",XLOOKUP($F802,Productos!$A:$A,Productos!BH:BH,"Revisar"),"")</f>
        <v/>
      </c>
      <c r="BP802" s="179" t="str">
        <f t="array" ref="BP802">IF($F802&lt;&gt;"", XLOOKUP($F802,Productos!$A$2:$A1001,Productos!BI$2:BI1001,"")*$G802,"")</f>
        <v/>
      </c>
      <c r="BQ802" s="179" t="str">
        <f t="array" ref="BQ802">IF($F802&lt;&gt;"",XLOOKUP($F802,Productos!$A:$A,Productos!BJ:BJ,"Revisar"),"")</f>
        <v/>
      </c>
      <c r="BR802" s="179" t="str">
        <f t="array" ref="BR802">IF($F802&lt;&gt;"", XLOOKUP($F802,Productos!$A$2:$A1001,Productos!BK$2:BK1001,"")*$G802,"")</f>
        <v/>
      </c>
      <c r="BS802" s="179" t="str">
        <f t="array" ref="BS802">IF($F802&lt;&gt;"",XLOOKUP($F802,Productos!$A:$A,Productos!BL:BL,"Revisar"),"")</f>
        <v/>
      </c>
      <c r="BT802" s="179" t="str">
        <f t="array" ref="BT802">IF($F802&lt;&gt;"", XLOOKUP($F802,Productos!$A$2:$A1001,Productos!BM$2:BM1001,"")*$G802,"")</f>
        <v/>
      </c>
      <c r="BU802" s="179" t="str">
        <f t="array" ref="BU802">IF($F802&lt;&gt;"",XLOOKUP($F802,Productos!$A:$A,Productos!BN:BN,"Revisar"),"")</f>
        <v/>
      </c>
      <c r="BV802" s="179" t="str">
        <f t="array" ref="BV802">IF($F802&lt;&gt;"", XLOOKUP($F802,Productos!$A$2:$A1001,Productos!BO$2:BO1001,"")*$G802,"")</f>
        <v/>
      </c>
      <c r="BW802" s="179" t="str">
        <f t="array" ref="BW802">IF($F802&lt;&gt;"",XLOOKUP($F802,Productos!$A:$A,Productos!BP:BP,"Revisar"),"")</f>
        <v/>
      </c>
      <c r="BX802" s="179" t="str">
        <f t="array" ref="BX802">IF($F802&lt;&gt;"", XLOOKUP($F802,Productos!$A$2:$A1001,Productos!BQ$2:BQ1001,"")*$G802,"")</f>
        <v/>
      </c>
      <c r="BY802" s="179" t="str">
        <f t="array" ref="BY802">IF($F802&lt;&gt;"",XLOOKUP($F802,Productos!$A:$A,Productos!BR:BR,"Revisar"),"")</f>
        <v/>
      </c>
      <c r="BZ802" s="179" t="str">
        <f t="array" ref="BZ802">IF($F802&lt;&gt;"", XLOOKUP($F802,Productos!$A$2:$A1001,Productos!BS$2:BS1001,"")*$G802,"")</f>
        <v/>
      </c>
    </row>
    <row r="803">
      <c r="A803" s="188"/>
      <c r="B803" s="189"/>
      <c r="C803" s="190"/>
      <c r="D803" s="190"/>
      <c r="E803" s="191"/>
      <c r="F803" s="186"/>
      <c r="G803" s="192"/>
      <c r="H803" s="9"/>
      <c r="I803" s="179" t="str">
        <f t="array" ref="I803">IF($F803&lt;&gt;"",XLOOKUP($F803,Productos!$A:$A,Productos!B:B,"Revisar"),"")</f>
        <v/>
      </c>
      <c r="J803" s="179" t="str">
        <f t="array" ref="J803">IF($F803&lt;&gt;"", XLOOKUP($F803,Productos!$A$2:$A1001,Productos!C$2:C1001,"")*$G803,"")</f>
        <v/>
      </c>
      <c r="K803" s="179" t="str">
        <f t="array" ref="K803">IF($F803&lt;&gt;"",XLOOKUP($F803,Productos!$A:$A,Productos!D:D,"Revisar"),"")</f>
        <v/>
      </c>
      <c r="L803" s="179" t="str">
        <f t="array" ref="L803">IF($F803&lt;&gt;"", XLOOKUP($F803,Productos!$A$2:$A1001,Productos!E$2:E1001,"")*$G803,"")</f>
        <v/>
      </c>
      <c r="M803" s="179" t="str">
        <f t="array" ref="M803">IF($F803&lt;&gt;"",XLOOKUP($F803,Productos!$A:$A,Productos!F:F,"Revisar"),"")</f>
        <v/>
      </c>
      <c r="N803" s="179" t="str">
        <f t="array" ref="N803">IF($F803&lt;&gt;"", XLOOKUP($F803,Productos!$A$2:$A1001,Productos!G$2:G1001,"")*$G803,"")</f>
        <v/>
      </c>
      <c r="O803" s="179" t="str">
        <f t="array" ref="O803">IF($F803&lt;&gt;"",XLOOKUP($F803,Productos!$A:$A,Productos!H:H,"Revisar"),"")</f>
        <v/>
      </c>
      <c r="P803" s="179" t="str">
        <f t="array" ref="P803">IF($F803&lt;&gt;"", XLOOKUP($F803,Productos!$A$2:$A1001,Productos!I$2:I1001,"")*$G803,"")</f>
        <v/>
      </c>
      <c r="Q803" s="179" t="str">
        <f t="array" ref="Q803">IF($F803&lt;&gt;"",XLOOKUP($F803,Productos!$A:$A,Productos!J:J,"Revisar"),"")</f>
        <v/>
      </c>
      <c r="R803" s="179" t="str">
        <f t="array" ref="R803">IF($F803&lt;&gt;"", XLOOKUP($F803,Productos!$A$2:$A1001,Productos!K$2:K1001,"")*$G803,"")</f>
        <v/>
      </c>
      <c r="S803" s="179" t="str">
        <f t="array" ref="S803">IF($F803&lt;&gt;"",XLOOKUP($F803,Productos!$A:$A,Productos!L:L,"Revisar"),"")</f>
        <v/>
      </c>
      <c r="T803" s="179" t="str">
        <f t="array" ref="T803">IF($F803&lt;&gt;"", XLOOKUP($F803,Productos!$A$2:$A1001,Productos!M$2:M1001,"")*$G803,"")</f>
        <v/>
      </c>
      <c r="U803" s="179" t="str">
        <f t="array" ref="U803">IF($F803&lt;&gt;"",XLOOKUP($F803,Productos!$A:$A,Productos!N:N,"Revisar"),"")</f>
        <v/>
      </c>
      <c r="V803" s="179" t="str">
        <f t="array" ref="V803">IF($F803&lt;&gt;"", XLOOKUP($F803,Productos!$A$2:$A1001,Productos!O$2:O1001,"")*$G803,"")</f>
        <v/>
      </c>
      <c r="W803" s="179" t="str">
        <f t="array" ref="W803">IF($F803&lt;&gt;"",XLOOKUP($F803,Productos!$A:$A,Productos!P:P,"Revisar"),"")</f>
        <v/>
      </c>
      <c r="X803" s="179" t="str">
        <f t="array" ref="X803">IF($F803&lt;&gt;"", XLOOKUP($F803,Productos!$A$2:$A1001,Productos!Q$2:Q1001,"")*$G803,"")</f>
        <v/>
      </c>
      <c r="Y803" s="179" t="str">
        <f t="array" ref="Y803">IF($F803&lt;&gt;"",XLOOKUP($F803,Productos!$A:$A,Productos!R:R,"Revisar"),"")</f>
        <v/>
      </c>
      <c r="Z803" s="179" t="str">
        <f t="array" ref="Z803">IF($F803&lt;&gt;"", XLOOKUP($F803,Productos!$A$2:$A1001,Productos!S$2:S1001,"")*$G803,"")</f>
        <v/>
      </c>
      <c r="AA803" s="179" t="str">
        <f t="array" ref="AA803">IF($F803&lt;&gt;"",XLOOKUP($F803,Productos!$A:$A,Productos!T:T,"Revisar"),"")</f>
        <v/>
      </c>
      <c r="AB803" s="179" t="str">
        <f t="array" ref="AB803">IF($F803&lt;&gt;"", XLOOKUP($F803,Productos!$A$2:$A1001,Productos!U$2:U1001,"")*$G803,"")</f>
        <v/>
      </c>
      <c r="AC803" s="179" t="str">
        <f t="array" ref="AC803">IF($F803&lt;&gt;"",XLOOKUP($F803,Productos!$A:$A,Productos!V:V,"Revisar"),"")</f>
        <v/>
      </c>
      <c r="AD803" s="179" t="str">
        <f t="array" ref="AD803">IF($F803&lt;&gt;"", XLOOKUP($F803,Productos!$A$2:$A1001,Productos!W$2:W1001,"")*$G803,"")</f>
        <v/>
      </c>
      <c r="AE803" s="179" t="str">
        <f t="array" ref="AE803">IF($F803&lt;&gt;"",XLOOKUP($F803,Productos!$A:$A,Productos!X:X,"Revisar"),"")</f>
        <v/>
      </c>
      <c r="AF803" s="179" t="str">
        <f t="array" ref="AF803">IF($F803&lt;&gt;"", XLOOKUP($F803,Productos!$A$2:$A1001,Productos!Y$2:Y1001,"")*$G803,"")</f>
        <v/>
      </c>
      <c r="AG803" s="179" t="str">
        <f t="array" ref="AG803">IF($F803&lt;&gt;"",XLOOKUP($F803,Productos!$A:$A,Productos!Z:Z,"Revisar"),"")</f>
        <v/>
      </c>
      <c r="AH803" s="179" t="str">
        <f t="array" ref="AH803">IF($F803&lt;&gt;"", XLOOKUP($F803,Productos!$A$2:$A1001,Productos!AA$2:AA1001,"")*$G803,"")</f>
        <v/>
      </c>
      <c r="AI803" s="179" t="str">
        <f t="array" ref="AI803">IF($F803&lt;&gt;"",XLOOKUP($F803,Productos!$A:$A,Productos!AB:AB,"Revisar"),"")</f>
        <v/>
      </c>
      <c r="AJ803" s="179" t="str">
        <f t="array" ref="AJ803">IF($F803&lt;&gt;"", XLOOKUP($F803,Productos!$A$2:$A1001,Productos!AC$2:AC1001,"")*$G803,"")</f>
        <v/>
      </c>
      <c r="AK803" s="179" t="str">
        <f t="array" ref="AK803">IF($F803&lt;&gt;"",XLOOKUP($F803,Productos!$A:$A,Productos!AD:AD,"Revisar"),"")</f>
        <v/>
      </c>
      <c r="AL803" s="179" t="str">
        <f t="array" ref="AL803">IF($F803&lt;&gt;"", XLOOKUP($F803,Productos!$A$2:$A1001,Productos!AE$2:AE1001,"")*$G803,"")</f>
        <v/>
      </c>
      <c r="AM803" s="179" t="str">
        <f t="array" ref="AM803">IF($F803&lt;&gt;"",XLOOKUP($F803,Productos!$A:$A,Productos!AF:AF,"Revisar"),"")</f>
        <v/>
      </c>
      <c r="AN803" s="179" t="str">
        <f t="array" ref="AN803">IF($F803&lt;&gt;"", XLOOKUP($F803,Productos!$A$2:$A1001,Productos!AG$2:AG1001,"")*$G803,"")</f>
        <v/>
      </c>
      <c r="AO803" s="179" t="str">
        <f t="array" ref="AO803">IF($F803&lt;&gt;"",XLOOKUP($F803,Productos!$A:$A,Productos!AH:AH,"Revisar"),"")</f>
        <v/>
      </c>
      <c r="AP803" s="179" t="str">
        <f t="array" ref="AP803">IF($F803&lt;&gt;"", XLOOKUP($F803,Productos!$A$2:$A1001,Productos!AI$2:AI1001,"")*$G803,"")</f>
        <v/>
      </c>
      <c r="AQ803" s="179" t="str">
        <f t="array" ref="AQ803">IF($F803&lt;&gt;"",XLOOKUP($F803,Productos!$A:$A,Productos!AJ:AJ,"Revisar"),"")</f>
        <v/>
      </c>
      <c r="AR803" s="179" t="str">
        <f t="array" ref="AR803">IF($F803&lt;&gt;"", XLOOKUP($F803,Productos!$A$2:$A1001,Productos!AK$2:AK1001,"")*$G803,"")</f>
        <v/>
      </c>
      <c r="AS803" s="179" t="str">
        <f t="array" ref="AS803">IF($F803&lt;&gt;"",XLOOKUP($F803,Productos!$A:$A,Productos!AL:AL,"Revisar"),"")</f>
        <v/>
      </c>
      <c r="AT803" s="179" t="str">
        <f t="array" ref="AT803">IF($F803&lt;&gt;"", XLOOKUP($F803,Productos!$A$2:$A1001,Productos!AM$2:AM1001,"")*$G803,"")</f>
        <v/>
      </c>
      <c r="AU803" s="179" t="str">
        <f t="array" ref="AU803">IF($F803&lt;&gt;"",XLOOKUP($F803,Productos!$A:$A,Productos!AN:AN,"Revisar"),"")</f>
        <v/>
      </c>
      <c r="AV803" s="179" t="str">
        <f t="array" ref="AV803">IF($F803&lt;&gt;"", XLOOKUP($F803,Productos!$A$2:$A1001,Productos!AO$2:AO1001,"")*$G803,"")</f>
        <v/>
      </c>
      <c r="AW803" s="179" t="str">
        <f t="array" ref="AW803">IF($F803&lt;&gt;"",XLOOKUP($F803,Productos!$A:$A,Productos!AP:AP,"Revisar"),"")</f>
        <v/>
      </c>
      <c r="AX803" s="179" t="str">
        <f t="array" ref="AX803">IF($F803&lt;&gt;"", XLOOKUP($F803,Productos!$A$2:$A1001,Productos!AQ$2:AQ1001,"")*$G803,"")</f>
        <v/>
      </c>
      <c r="AY803" s="179" t="str">
        <f t="array" ref="AY803">IF($F803&lt;&gt;"",XLOOKUP($F803,Productos!$A:$A,Productos!AR:AR,"Revisar"),"")</f>
        <v/>
      </c>
      <c r="AZ803" s="179" t="str">
        <f t="array" ref="AZ803">IF($F803&lt;&gt;"", XLOOKUP($F803,Productos!$A$2:$A1001,Productos!AS$2:AS1001,"")*$G803,"")</f>
        <v/>
      </c>
      <c r="BA803" s="179" t="str">
        <f t="array" ref="BA803">IF($F803&lt;&gt;"",XLOOKUP($F803,Productos!$A:$A,Productos!AT:AT,"Revisar"),"")</f>
        <v/>
      </c>
      <c r="BB803" s="179" t="str">
        <f t="array" ref="BB803">IF($F803&lt;&gt;"", XLOOKUP($F803,Productos!$A$2:$A1001,Productos!AU$2:AU1001,"")*$G803,"")</f>
        <v/>
      </c>
      <c r="BC803" s="179" t="str">
        <f t="array" ref="BC803">IF($F803&lt;&gt;"",XLOOKUP($F803,Productos!$A:$A,Productos!AV:AV,"Revisar"),"")</f>
        <v/>
      </c>
      <c r="BD803" s="179" t="str">
        <f t="array" ref="BD803">IF($F803&lt;&gt;"", XLOOKUP($F803,Productos!$A$2:$A1001,Productos!AW$2:AW1001,"")*$G803,"")</f>
        <v/>
      </c>
      <c r="BE803" s="179" t="str">
        <f t="array" ref="BE803">IF($F803&lt;&gt;"",XLOOKUP($F803,Productos!$A:$A,Productos!AX:AX,"Revisar"),"")</f>
        <v/>
      </c>
      <c r="BF803" s="179" t="str">
        <f t="array" ref="BF803">IF($F803&lt;&gt;"", XLOOKUP($F803,Productos!$A$2:$A1001,Productos!AY$2:AY1001,"")*$G803,"")</f>
        <v/>
      </c>
      <c r="BG803" s="179" t="str">
        <f t="array" ref="BG803">IF($F803&lt;&gt;"",XLOOKUP($F803,Productos!$A:$A,Productos!AZ:AZ,"Revisar"),"")</f>
        <v/>
      </c>
      <c r="BH803" s="179" t="str">
        <f t="array" ref="BH803">IF($F803&lt;&gt;"", XLOOKUP($F803,Productos!$A$2:$A1001,Productos!BA$2:BA1001,"")*$G803,"")</f>
        <v/>
      </c>
      <c r="BI803" s="179" t="str">
        <f t="array" ref="BI803">IF($F803&lt;&gt;"",XLOOKUP($F803,Productos!$A:$A,Productos!BB:BB,"Revisar"),"")</f>
        <v/>
      </c>
      <c r="BJ803" s="179" t="str">
        <f t="array" ref="BJ803">IF($F803&lt;&gt;"", XLOOKUP($F803,Productos!$A$2:$A1001,Productos!BC$2:BC1001,"")*$G803,"")</f>
        <v/>
      </c>
      <c r="BK803" s="179" t="str">
        <f t="array" ref="BK803">IF($F803&lt;&gt;"",XLOOKUP($F803,Productos!$A:$A,Productos!BD:BD,"Revisar"),"")</f>
        <v/>
      </c>
      <c r="BL803" s="179" t="str">
        <f t="array" ref="BL803">IF($F803&lt;&gt;"", XLOOKUP($F803,Productos!$A$2:$A1001,Productos!BE$2:BE1001,"")*$G803,"")</f>
        <v/>
      </c>
      <c r="BM803" s="179" t="str">
        <f t="array" ref="BM803">IF($F803&lt;&gt;"",XLOOKUP($F803,Productos!$A:$A,Productos!BF:BF,"Revisar"),"")</f>
        <v/>
      </c>
      <c r="BN803" s="179" t="str">
        <f t="array" ref="BN803">IF($F803&lt;&gt;"", XLOOKUP($F803,Productos!$A$2:$A1001,Productos!BG$2:BG1001,"")*$G803,"")</f>
        <v/>
      </c>
      <c r="BO803" s="179" t="str">
        <f t="array" ref="BO803">IF($F803&lt;&gt;"",XLOOKUP($F803,Productos!$A:$A,Productos!BH:BH,"Revisar"),"")</f>
        <v/>
      </c>
      <c r="BP803" s="179" t="str">
        <f t="array" ref="BP803">IF($F803&lt;&gt;"", XLOOKUP($F803,Productos!$A$2:$A1001,Productos!BI$2:BI1001,"")*$G803,"")</f>
        <v/>
      </c>
      <c r="BQ803" s="179" t="str">
        <f t="array" ref="BQ803">IF($F803&lt;&gt;"",XLOOKUP($F803,Productos!$A:$A,Productos!BJ:BJ,"Revisar"),"")</f>
        <v/>
      </c>
      <c r="BR803" s="179" t="str">
        <f t="array" ref="BR803">IF($F803&lt;&gt;"", XLOOKUP($F803,Productos!$A$2:$A1001,Productos!BK$2:BK1001,"")*$G803,"")</f>
        <v/>
      </c>
      <c r="BS803" s="179" t="str">
        <f t="array" ref="BS803">IF($F803&lt;&gt;"",XLOOKUP($F803,Productos!$A:$A,Productos!BL:BL,"Revisar"),"")</f>
        <v/>
      </c>
      <c r="BT803" s="179" t="str">
        <f t="array" ref="BT803">IF($F803&lt;&gt;"", XLOOKUP($F803,Productos!$A$2:$A1001,Productos!BM$2:BM1001,"")*$G803,"")</f>
        <v/>
      </c>
      <c r="BU803" s="179" t="str">
        <f t="array" ref="BU803">IF($F803&lt;&gt;"",XLOOKUP($F803,Productos!$A:$A,Productos!BN:BN,"Revisar"),"")</f>
        <v/>
      </c>
      <c r="BV803" s="179" t="str">
        <f t="array" ref="BV803">IF($F803&lt;&gt;"", XLOOKUP($F803,Productos!$A$2:$A1001,Productos!BO$2:BO1001,"")*$G803,"")</f>
        <v/>
      </c>
      <c r="BW803" s="179" t="str">
        <f t="array" ref="BW803">IF($F803&lt;&gt;"",XLOOKUP($F803,Productos!$A:$A,Productos!BP:BP,"Revisar"),"")</f>
        <v/>
      </c>
      <c r="BX803" s="179" t="str">
        <f t="array" ref="BX803">IF($F803&lt;&gt;"", XLOOKUP($F803,Productos!$A$2:$A1001,Productos!BQ$2:BQ1001,"")*$G803,"")</f>
        <v/>
      </c>
      <c r="BY803" s="179" t="str">
        <f t="array" ref="BY803">IF($F803&lt;&gt;"",XLOOKUP($F803,Productos!$A:$A,Productos!BR:BR,"Revisar"),"")</f>
        <v/>
      </c>
      <c r="BZ803" s="179" t="str">
        <f t="array" ref="BZ803">IF($F803&lt;&gt;"", XLOOKUP($F803,Productos!$A$2:$A1001,Productos!BS$2:BS1001,"")*$G803,"")</f>
        <v/>
      </c>
    </row>
    <row r="804">
      <c r="A804" s="188"/>
      <c r="B804" s="189"/>
      <c r="C804" s="190"/>
      <c r="D804" s="190"/>
      <c r="E804" s="191"/>
      <c r="F804" s="186"/>
      <c r="G804" s="192"/>
      <c r="H804" s="9"/>
      <c r="I804" s="179" t="str">
        <f t="array" ref="I804">IF($F804&lt;&gt;"",XLOOKUP($F804,Productos!$A:$A,Productos!B:B,"Revisar"),"")</f>
        <v/>
      </c>
      <c r="J804" s="179" t="str">
        <f t="array" ref="J804">IF($F804&lt;&gt;"", XLOOKUP($F804,Productos!$A$2:$A1001,Productos!C$2:C1001,"")*$G804,"")</f>
        <v/>
      </c>
      <c r="K804" s="179" t="str">
        <f t="array" ref="K804">IF($F804&lt;&gt;"",XLOOKUP($F804,Productos!$A:$A,Productos!D:D,"Revisar"),"")</f>
        <v/>
      </c>
      <c r="L804" s="179" t="str">
        <f t="array" ref="L804">IF($F804&lt;&gt;"", XLOOKUP($F804,Productos!$A$2:$A1001,Productos!E$2:E1001,"")*$G804,"")</f>
        <v/>
      </c>
      <c r="M804" s="179" t="str">
        <f t="array" ref="M804">IF($F804&lt;&gt;"",XLOOKUP($F804,Productos!$A:$A,Productos!F:F,"Revisar"),"")</f>
        <v/>
      </c>
      <c r="N804" s="179" t="str">
        <f t="array" ref="N804">IF($F804&lt;&gt;"", XLOOKUP($F804,Productos!$A$2:$A1001,Productos!G$2:G1001,"")*$G804,"")</f>
        <v/>
      </c>
      <c r="O804" s="179" t="str">
        <f t="array" ref="O804">IF($F804&lt;&gt;"",XLOOKUP($F804,Productos!$A:$A,Productos!H:H,"Revisar"),"")</f>
        <v/>
      </c>
      <c r="P804" s="179" t="str">
        <f t="array" ref="P804">IF($F804&lt;&gt;"", XLOOKUP($F804,Productos!$A$2:$A1001,Productos!I$2:I1001,"")*$G804,"")</f>
        <v/>
      </c>
      <c r="Q804" s="179" t="str">
        <f t="array" ref="Q804">IF($F804&lt;&gt;"",XLOOKUP($F804,Productos!$A:$A,Productos!J:J,"Revisar"),"")</f>
        <v/>
      </c>
      <c r="R804" s="179" t="str">
        <f t="array" ref="R804">IF($F804&lt;&gt;"", XLOOKUP($F804,Productos!$A$2:$A1001,Productos!K$2:K1001,"")*$G804,"")</f>
        <v/>
      </c>
      <c r="S804" s="179" t="str">
        <f t="array" ref="S804">IF($F804&lt;&gt;"",XLOOKUP($F804,Productos!$A:$A,Productos!L:L,"Revisar"),"")</f>
        <v/>
      </c>
      <c r="T804" s="179" t="str">
        <f t="array" ref="T804">IF($F804&lt;&gt;"", XLOOKUP($F804,Productos!$A$2:$A1001,Productos!M$2:M1001,"")*$G804,"")</f>
        <v/>
      </c>
      <c r="U804" s="179" t="str">
        <f t="array" ref="U804">IF($F804&lt;&gt;"",XLOOKUP($F804,Productos!$A:$A,Productos!N:N,"Revisar"),"")</f>
        <v/>
      </c>
      <c r="V804" s="179" t="str">
        <f t="array" ref="V804">IF($F804&lt;&gt;"", XLOOKUP($F804,Productos!$A$2:$A1001,Productos!O$2:O1001,"")*$G804,"")</f>
        <v/>
      </c>
      <c r="W804" s="179" t="str">
        <f t="array" ref="W804">IF($F804&lt;&gt;"",XLOOKUP($F804,Productos!$A:$A,Productos!P:P,"Revisar"),"")</f>
        <v/>
      </c>
      <c r="X804" s="179" t="str">
        <f t="array" ref="X804">IF($F804&lt;&gt;"", XLOOKUP($F804,Productos!$A$2:$A1001,Productos!Q$2:Q1001,"")*$G804,"")</f>
        <v/>
      </c>
      <c r="Y804" s="179" t="str">
        <f t="array" ref="Y804">IF($F804&lt;&gt;"",XLOOKUP($F804,Productos!$A:$A,Productos!R:R,"Revisar"),"")</f>
        <v/>
      </c>
      <c r="Z804" s="179" t="str">
        <f t="array" ref="Z804">IF($F804&lt;&gt;"", XLOOKUP($F804,Productos!$A$2:$A1001,Productos!S$2:S1001,"")*$G804,"")</f>
        <v/>
      </c>
      <c r="AA804" s="179" t="str">
        <f t="array" ref="AA804">IF($F804&lt;&gt;"",XLOOKUP($F804,Productos!$A:$A,Productos!T:T,"Revisar"),"")</f>
        <v/>
      </c>
      <c r="AB804" s="179" t="str">
        <f t="array" ref="AB804">IF($F804&lt;&gt;"", XLOOKUP($F804,Productos!$A$2:$A1001,Productos!U$2:U1001,"")*$G804,"")</f>
        <v/>
      </c>
      <c r="AC804" s="179" t="str">
        <f t="array" ref="AC804">IF($F804&lt;&gt;"",XLOOKUP($F804,Productos!$A:$A,Productos!V:V,"Revisar"),"")</f>
        <v/>
      </c>
      <c r="AD804" s="179" t="str">
        <f t="array" ref="AD804">IF($F804&lt;&gt;"", XLOOKUP($F804,Productos!$A$2:$A1001,Productos!W$2:W1001,"")*$G804,"")</f>
        <v/>
      </c>
      <c r="AE804" s="179" t="str">
        <f t="array" ref="AE804">IF($F804&lt;&gt;"",XLOOKUP($F804,Productos!$A:$A,Productos!X:X,"Revisar"),"")</f>
        <v/>
      </c>
      <c r="AF804" s="179" t="str">
        <f t="array" ref="AF804">IF($F804&lt;&gt;"", XLOOKUP($F804,Productos!$A$2:$A1001,Productos!Y$2:Y1001,"")*$G804,"")</f>
        <v/>
      </c>
      <c r="AG804" s="179" t="str">
        <f t="array" ref="AG804">IF($F804&lt;&gt;"",XLOOKUP($F804,Productos!$A:$A,Productos!Z:Z,"Revisar"),"")</f>
        <v/>
      </c>
      <c r="AH804" s="179" t="str">
        <f t="array" ref="AH804">IF($F804&lt;&gt;"", XLOOKUP($F804,Productos!$A$2:$A1001,Productos!AA$2:AA1001,"")*$G804,"")</f>
        <v/>
      </c>
      <c r="AI804" s="179" t="str">
        <f t="array" ref="AI804">IF($F804&lt;&gt;"",XLOOKUP($F804,Productos!$A:$A,Productos!AB:AB,"Revisar"),"")</f>
        <v/>
      </c>
      <c r="AJ804" s="179" t="str">
        <f t="array" ref="AJ804">IF($F804&lt;&gt;"", XLOOKUP($F804,Productos!$A$2:$A1001,Productos!AC$2:AC1001,"")*$G804,"")</f>
        <v/>
      </c>
      <c r="AK804" s="179" t="str">
        <f t="array" ref="AK804">IF($F804&lt;&gt;"",XLOOKUP($F804,Productos!$A:$A,Productos!AD:AD,"Revisar"),"")</f>
        <v/>
      </c>
      <c r="AL804" s="179" t="str">
        <f t="array" ref="AL804">IF($F804&lt;&gt;"", XLOOKUP($F804,Productos!$A$2:$A1001,Productos!AE$2:AE1001,"")*$G804,"")</f>
        <v/>
      </c>
      <c r="AM804" s="179" t="str">
        <f t="array" ref="AM804">IF($F804&lt;&gt;"",XLOOKUP($F804,Productos!$A:$A,Productos!AF:AF,"Revisar"),"")</f>
        <v/>
      </c>
      <c r="AN804" s="179" t="str">
        <f t="array" ref="AN804">IF($F804&lt;&gt;"", XLOOKUP($F804,Productos!$A$2:$A1001,Productos!AG$2:AG1001,"")*$G804,"")</f>
        <v/>
      </c>
      <c r="AO804" s="179" t="str">
        <f t="array" ref="AO804">IF($F804&lt;&gt;"",XLOOKUP($F804,Productos!$A:$A,Productos!AH:AH,"Revisar"),"")</f>
        <v/>
      </c>
      <c r="AP804" s="179" t="str">
        <f t="array" ref="AP804">IF($F804&lt;&gt;"", XLOOKUP($F804,Productos!$A$2:$A1001,Productos!AI$2:AI1001,"")*$G804,"")</f>
        <v/>
      </c>
      <c r="AQ804" s="179" t="str">
        <f t="array" ref="AQ804">IF($F804&lt;&gt;"",XLOOKUP($F804,Productos!$A:$A,Productos!AJ:AJ,"Revisar"),"")</f>
        <v/>
      </c>
      <c r="AR804" s="179" t="str">
        <f t="array" ref="AR804">IF($F804&lt;&gt;"", XLOOKUP($F804,Productos!$A$2:$A1001,Productos!AK$2:AK1001,"")*$G804,"")</f>
        <v/>
      </c>
      <c r="AS804" s="179" t="str">
        <f t="array" ref="AS804">IF($F804&lt;&gt;"",XLOOKUP($F804,Productos!$A:$A,Productos!AL:AL,"Revisar"),"")</f>
        <v/>
      </c>
      <c r="AT804" s="179" t="str">
        <f t="array" ref="AT804">IF($F804&lt;&gt;"", XLOOKUP($F804,Productos!$A$2:$A1001,Productos!AM$2:AM1001,"")*$G804,"")</f>
        <v/>
      </c>
      <c r="AU804" s="179" t="str">
        <f t="array" ref="AU804">IF($F804&lt;&gt;"",XLOOKUP($F804,Productos!$A:$A,Productos!AN:AN,"Revisar"),"")</f>
        <v/>
      </c>
      <c r="AV804" s="179" t="str">
        <f t="array" ref="AV804">IF($F804&lt;&gt;"", XLOOKUP($F804,Productos!$A$2:$A1001,Productos!AO$2:AO1001,"")*$G804,"")</f>
        <v/>
      </c>
      <c r="AW804" s="179" t="str">
        <f t="array" ref="AW804">IF($F804&lt;&gt;"",XLOOKUP($F804,Productos!$A:$A,Productos!AP:AP,"Revisar"),"")</f>
        <v/>
      </c>
      <c r="AX804" s="179" t="str">
        <f t="array" ref="AX804">IF($F804&lt;&gt;"", XLOOKUP($F804,Productos!$A$2:$A1001,Productos!AQ$2:AQ1001,"")*$G804,"")</f>
        <v/>
      </c>
      <c r="AY804" s="179" t="str">
        <f t="array" ref="AY804">IF($F804&lt;&gt;"",XLOOKUP($F804,Productos!$A:$A,Productos!AR:AR,"Revisar"),"")</f>
        <v/>
      </c>
      <c r="AZ804" s="179" t="str">
        <f t="array" ref="AZ804">IF($F804&lt;&gt;"", XLOOKUP($F804,Productos!$A$2:$A1001,Productos!AS$2:AS1001,"")*$G804,"")</f>
        <v/>
      </c>
      <c r="BA804" s="179" t="str">
        <f t="array" ref="BA804">IF($F804&lt;&gt;"",XLOOKUP($F804,Productos!$A:$A,Productos!AT:AT,"Revisar"),"")</f>
        <v/>
      </c>
      <c r="BB804" s="179" t="str">
        <f t="array" ref="BB804">IF($F804&lt;&gt;"", XLOOKUP($F804,Productos!$A$2:$A1001,Productos!AU$2:AU1001,"")*$G804,"")</f>
        <v/>
      </c>
      <c r="BC804" s="179" t="str">
        <f t="array" ref="BC804">IF($F804&lt;&gt;"",XLOOKUP($F804,Productos!$A:$A,Productos!AV:AV,"Revisar"),"")</f>
        <v/>
      </c>
      <c r="BD804" s="179" t="str">
        <f t="array" ref="BD804">IF($F804&lt;&gt;"", XLOOKUP($F804,Productos!$A$2:$A1001,Productos!AW$2:AW1001,"")*$G804,"")</f>
        <v/>
      </c>
      <c r="BE804" s="179" t="str">
        <f t="array" ref="BE804">IF($F804&lt;&gt;"",XLOOKUP($F804,Productos!$A:$A,Productos!AX:AX,"Revisar"),"")</f>
        <v/>
      </c>
      <c r="BF804" s="179" t="str">
        <f t="array" ref="BF804">IF($F804&lt;&gt;"", XLOOKUP($F804,Productos!$A$2:$A1001,Productos!AY$2:AY1001,"")*$G804,"")</f>
        <v/>
      </c>
      <c r="BG804" s="179" t="str">
        <f t="array" ref="BG804">IF($F804&lt;&gt;"",XLOOKUP($F804,Productos!$A:$A,Productos!AZ:AZ,"Revisar"),"")</f>
        <v/>
      </c>
      <c r="BH804" s="179" t="str">
        <f t="array" ref="BH804">IF($F804&lt;&gt;"", XLOOKUP($F804,Productos!$A$2:$A1001,Productos!BA$2:BA1001,"")*$G804,"")</f>
        <v/>
      </c>
      <c r="BI804" s="179" t="str">
        <f t="array" ref="BI804">IF($F804&lt;&gt;"",XLOOKUP($F804,Productos!$A:$A,Productos!BB:BB,"Revisar"),"")</f>
        <v/>
      </c>
      <c r="BJ804" s="179" t="str">
        <f t="array" ref="BJ804">IF($F804&lt;&gt;"", XLOOKUP($F804,Productos!$A$2:$A1001,Productos!BC$2:BC1001,"")*$G804,"")</f>
        <v/>
      </c>
      <c r="BK804" s="179" t="str">
        <f t="array" ref="BK804">IF($F804&lt;&gt;"",XLOOKUP($F804,Productos!$A:$A,Productos!BD:BD,"Revisar"),"")</f>
        <v/>
      </c>
      <c r="BL804" s="179" t="str">
        <f t="array" ref="BL804">IF($F804&lt;&gt;"", XLOOKUP($F804,Productos!$A$2:$A1001,Productos!BE$2:BE1001,"")*$G804,"")</f>
        <v/>
      </c>
      <c r="BM804" s="179" t="str">
        <f t="array" ref="BM804">IF($F804&lt;&gt;"",XLOOKUP($F804,Productos!$A:$A,Productos!BF:BF,"Revisar"),"")</f>
        <v/>
      </c>
      <c r="BN804" s="179" t="str">
        <f t="array" ref="BN804">IF($F804&lt;&gt;"", XLOOKUP($F804,Productos!$A$2:$A1001,Productos!BG$2:BG1001,"")*$G804,"")</f>
        <v/>
      </c>
      <c r="BO804" s="179" t="str">
        <f t="array" ref="BO804">IF($F804&lt;&gt;"",XLOOKUP($F804,Productos!$A:$A,Productos!BH:BH,"Revisar"),"")</f>
        <v/>
      </c>
      <c r="BP804" s="179" t="str">
        <f t="array" ref="BP804">IF($F804&lt;&gt;"", XLOOKUP($F804,Productos!$A$2:$A1001,Productos!BI$2:BI1001,"")*$G804,"")</f>
        <v/>
      </c>
      <c r="BQ804" s="179" t="str">
        <f t="array" ref="BQ804">IF($F804&lt;&gt;"",XLOOKUP($F804,Productos!$A:$A,Productos!BJ:BJ,"Revisar"),"")</f>
        <v/>
      </c>
      <c r="BR804" s="179" t="str">
        <f t="array" ref="BR804">IF($F804&lt;&gt;"", XLOOKUP($F804,Productos!$A$2:$A1001,Productos!BK$2:BK1001,"")*$G804,"")</f>
        <v/>
      </c>
      <c r="BS804" s="179" t="str">
        <f t="array" ref="BS804">IF($F804&lt;&gt;"",XLOOKUP($F804,Productos!$A:$A,Productos!BL:BL,"Revisar"),"")</f>
        <v/>
      </c>
      <c r="BT804" s="179" t="str">
        <f t="array" ref="BT804">IF($F804&lt;&gt;"", XLOOKUP($F804,Productos!$A$2:$A1001,Productos!BM$2:BM1001,"")*$G804,"")</f>
        <v/>
      </c>
      <c r="BU804" s="179" t="str">
        <f t="array" ref="BU804">IF($F804&lt;&gt;"",XLOOKUP($F804,Productos!$A:$A,Productos!BN:BN,"Revisar"),"")</f>
        <v/>
      </c>
      <c r="BV804" s="179" t="str">
        <f t="array" ref="BV804">IF($F804&lt;&gt;"", XLOOKUP($F804,Productos!$A$2:$A1001,Productos!BO$2:BO1001,"")*$G804,"")</f>
        <v/>
      </c>
      <c r="BW804" s="179" t="str">
        <f t="array" ref="BW804">IF($F804&lt;&gt;"",XLOOKUP($F804,Productos!$A:$A,Productos!BP:BP,"Revisar"),"")</f>
        <v/>
      </c>
      <c r="BX804" s="179" t="str">
        <f t="array" ref="BX804">IF($F804&lt;&gt;"", XLOOKUP($F804,Productos!$A$2:$A1001,Productos!BQ$2:BQ1001,"")*$G804,"")</f>
        <v/>
      </c>
      <c r="BY804" s="179" t="str">
        <f t="array" ref="BY804">IF($F804&lt;&gt;"",XLOOKUP($F804,Productos!$A:$A,Productos!BR:BR,"Revisar"),"")</f>
        <v/>
      </c>
      <c r="BZ804" s="179" t="str">
        <f t="array" ref="BZ804">IF($F804&lt;&gt;"", XLOOKUP($F804,Productos!$A$2:$A1001,Productos!BS$2:BS1001,"")*$G804,"")</f>
        <v/>
      </c>
    </row>
    <row r="805">
      <c r="A805" s="188"/>
      <c r="B805" s="189"/>
      <c r="C805" s="190"/>
      <c r="D805" s="190"/>
      <c r="E805" s="191"/>
      <c r="F805" s="186"/>
      <c r="G805" s="192"/>
      <c r="H805" s="9"/>
      <c r="I805" s="179" t="str">
        <f t="array" ref="I805">IF($F805&lt;&gt;"",XLOOKUP($F805,Productos!$A:$A,Productos!B:B,"Revisar"),"")</f>
        <v/>
      </c>
      <c r="J805" s="179" t="str">
        <f t="array" ref="J805">IF($F805&lt;&gt;"", XLOOKUP($F805,Productos!$A$2:$A1001,Productos!C$2:C1001,"")*$G805,"")</f>
        <v/>
      </c>
      <c r="K805" s="179" t="str">
        <f t="array" ref="K805">IF($F805&lt;&gt;"",XLOOKUP($F805,Productos!$A:$A,Productos!D:D,"Revisar"),"")</f>
        <v/>
      </c>
      <c r="L805" s="179" t="str">
        <f t="array" ref="L805">IF($F805&lt;&gt;"", XLOOKUP($F805,Productos!$A$2:$A1001,Productos!E$2:E1001,"")*$G805,"")</f>
        <v/>
      </c>
      <c r="M805" s="179" t="str">
        <f t="array" ref="M805">IF($F805&lt;&gt;"",XLOOKUP($F805,Productos!$A:$A,Productos!F:F,"Revisar"),"")</f>
        <v/>
      </c>
      <c r="N805" s="179" t="str">
        <f t="array" ref="N805">IF($F805&lt;&gt;"", XLOOKUP($F805,Productos!$A$2:$A1001,Productos!G$2:G1001,"")*$G805,"")</f>
        <v/>
      </c>
      <c r="O805" s="179" t="str">
        <f t="array" ref="O805">IF($F805&lt;&gt;"",XLOOKUP($F805,Productos!$A:$A,Productos!H:H,"Revisar"),"")</f>
        <v/>
      </c>
      <c r="P805" s="179" t="str">
        <f t="array" ref="P805">IF($F805&lt;&gt;"", XLOOKUP($F805,Productos!$A$2:$A1001,Productos!I$2:I1001,"")*$G805,"")</f>
        <v/>
      </c>
      <c r="Q805" s="179" t="str">
        <f t="array" ref="Q805">IF($F805&lt;&gt;"",XLOOKUP($F805,Productos!$A:$A,Productos!J:J,"Revisar"),"")</f>
        <v/>
      </c>
      <c r="R805" s="179" t="str">
        <f t="array" ref="R805">IF($F805&lt;&gt;"", XLOOKUP($F805,Productos!$A$2:$A1001,Productos!K$2:K1001,"")*$G805,"")</f>
        <v/>
      </c>
      <c r="S805" s="179" t="str">
        <f t="array" ref="S805">IF($F805&lt;&gt;"",XLOOKUP($F805,Productos!$A:$A,Productos!L:L,"Revisar"),"")</f>
        <v/>
      </c>
      <c r="T805" s="179" t="str">
        <f t="array" ref="T805">IF($F805&lt;&gt;"", XLOOKUP($F805,Productos!$A$2:$A1001,Productos!M$2:M1001,"")*$G805,"")</f>
        <v/>
      </c>
      <c r="U805" s="179" t="str">
        <f t="array" ref="U805">IF($F805&lt;&gt;"",XLOOKUP($F805,Productos!$A:$A,Productos!N:N,"Revisar"),"")</f>
        <v/>
      </c>
      <c r="V805" s="179" t="str">
        <f t="array" ref="V805">IF($F805&lt;&gt;"", XLOOKUP($F805,Productos!$A$2:$A1001,Productos!O$2:O1001,"")*$G805,"")</f>
        <v/>
      </c>
      <c r="W805" s="179" t="str">
        <f t="array" ref="W805">IF($F805&lt;&gt;"",XLOOKUP($F805,Productos!$A:$A,Productos!P:P,"Revisar"),"")</f>
        <v/>
      </c>
      <c r="X805" s="179" t="str">
        <f t="array" ref="X805">IF($F805&lt;&gt;"", XLOOKUP($F805,Productos!$A$2:$A1001,Productos!Q$2:Q1001,"")*$G805,"")</f>
        <v/>
      </c>
      <c r="Y805" s="179" t="str">
        <f t="array" ref="Y805">IF($F805&lt;&gt;"",XLOOKUP($F805,Productos!$A:$A,Productos!R:R,"Revisar"),"")</f>
        <v/>
      </c>
      <c r="Z805" s="179" t="str">
        <f t="array" ref="Z805">IF($F805&lt;&gt;"", XLOOKUP($F805,Productos!$A$2:$A1001,Productos!S$2:S1001,"")*$G805,"")</f>
        <v/>
      </c>
      <c r="AA805" s="179" t="str">
        <f t="array" ref="AA805">IF($F805&lt;&gt;"",XLOOKUP($F805,Productos!$A:$A,Productos!T:T,"Revisar"),"")</f>
        <v/>
      </c>
      <c r="AB805" s="179" t="str">
        <f t="array" ref="AB805">IF($F805&lt;&gt;"", XLOOKUP($F805,Productos!$A$2:$A1001,Productos!U$2:U1001,"")*$G805,"")</f>
        <v/>
      </c>
      <c r="AC805" s="179" t="str">
        <f t="array" ref="AC805">IF($F805&lt;&gt;"",XLOOKUP($F805,Productos!$A:$A,Productos!V:V,"Revisar"),"")</f>
        <v/>
      </c>
      <c r="AD805" s="179" t="str">
        <f t="array" ref="AD805">IF($F805&lt;&gt;"", XLOOKUP($F805,Productos!$A$2:$A1001,Productos!W$2:W1001,"")*$G805,"")</f>
        <v/>
      </c>
      <c r="AE805" s="179" t="str">
        <f t="array" ref="AE805">IF($F805&lt;&gt;"",XLOOKUP($F805,Productos!$A:$A,Productos!X:X,"Revisar"),"")</f>
        <v/>
      </c>
      <c r="AF805" s="179" t="str">
        <f t="array" ref="AF805">IF($F805&lt;&gt;"", XLOOKUP($F805,Productos!$A$2:$A1001,Productos!Y$2:Y1001,"")*$G805,"")</f>
        <v/>
      </c>
      <c r="AG805" s="179" t="str">
        <f t="array" ref="AG805">IF($F805&lt;&gt;"",XLOOKUP($F805,Productos!$A:$A,Productos!Z:Z,"Revisar"),"")</f>
        <v/>
      </c>
      <c r="AH805" s="179" t="str">
        <f t="array" ref="AH805">IF($F805&lt;&gt;"", XLOOKUP($F805,Productos!$A$2:$A1001,Productos!AA$2:AA1001,"")*$G805,"")</f>
        <v/>
      </c>
      <c r="AI805" s="179" t="str">
        <f t="array" ref="AI805">IF($F805&lt;&gt;"",XLOOKUP($F805,Productos!$A:$A,Productos!AB:AB,"Revisar"),"")</f>
        <v/>
      </c>
      <c r="AJ805" s="179" t="str">
        <f t="array" ref="AJ805">IF($F805&lt;&gt;"", XLOOKUP($F805,Productos!$A$2:$A1001,Productos!AC$2:AC1001,"")*$G805,"")</f>
        <v/>
      </c>
      <c r="AK805" s="179" t="str">
        <f t="array" ref="AK805">IF($F805&lt;&gt;"",XLOOKUP($F805,Productos!$A:$A,Productos!AD:AD,"Revisar"),"")</f>
        <v/>
      </c>
      <c r="AL805" s="179" t="str">
        <f t="array" ref="AL805">IF($F805&lt;&gt;"", XLOOKUP($F805,Productos!$A$2:$A1001,Productos!AE$2:AE1001,"")*$G805,"")</f>
        <v/>
      </c>
      <c r="AM805" s="179" t="str">
        <f t="array" ref="AM805">IF($F805&lt;&gt;"",XLOOKUP($F805,Productos!$A:$A,Productos!AF:AF,"Revisar"),"")</f>
        <v/>
      </c>
      <c r="AN805" s="179" t="str">
        <f t="array" ref="AN805">IF($F805&lt;&gt;"", XLOOKUP($F805,Productos!$A$2:$A1001,Productos!AG$2:AG1001,"")*$G805,"")</f>
        <v/>
      </c>
      <c r="AO805" s="179" t="str">
        <f t="array" ref="AO805">IF($F805&lt;&gt;"",XLOOKUP($F805,Productos!$A:$A,Productos!AH:AH,"Revisar"),"")</f>
        <v/>
      </c>
      <c r="AP805" s="179" t="str">
        <f t="array" ref="AP805">IF($F805&lt;&gt;"", XLOOKUP($F805,Productos!$A$2:$A1001,Productos!AI$2:AI1001,"")*$G805,"")</f>
        <v/>
      </c>
      <c r="AQ805" s="179" t="str">
        <f t="array" ref="AQ805">IF($F805&lt;&gt;"",XLOOKUP($F805,Productos!$A:$A,Productos!AJ:AJ,"Revisar"),"")</f>
        <v/>
      </c>
      <c r="AR805" s="179" t="str">
        <f t="array" ref="AR805">IF($F805&lt;&gt;"", XLOOKUP($F805,Productos!$A$2:$A1001,Productos!AK$2:AK1001,"")*$G805,"")</f>
        <v/>
      </c>
      <c r="AS805" s="179" t="str">
        <f t="array" ref="AS805">IF($F805&lt;&gt;"",XLOOKUP($F805,Productos!$A:$A,Productos!AL:AL,"Revisar"),"")</f>
        <v/>
      </c>
      <c r="AT805" s="179" t="str">
        <f t="array" ref="AT805">IF($F805&lt;&gt;"", XLOOKUP($F805,Productos!$A$2:$A1001,Productos!AM$2:AM1001,"")*$G805,"")</f>
        <v/>
      </c>
      <c r="AU805" s="179" t="str">
        <f t="array" ref="AU805">IF($F805&lt;&gt;"",XLOOKUP($F805,Productos!$A:$A,Productos!AN:AN,"Revisar"),"")</f>
        <v/>
      </c>
      <c r="AV805" s="179" t="str">
        <f t="array" ref="AV805">IF($F805&lt;&gt;"", XLOOKUP($F805,Productos!$A$2:$A1001,Productos!AO$2:AO1001,"")*$G805,"")</f>
        <v/>
      </c>
      <c r="AW805" s="179" t="str">
        <f t="array" ref="AW805">IF($F805&lt;&gt;"",XLOOKUP($F805,Productos!$A:$A,Productos!AP:AP,"Revisar"),"")</f>
        <v/>
      </c>
      <c r="AX805" s="179" t="str">
        <f t="array" ref="AX805">IF($F805&lt;&gt;"", XLOOKUP($F805,Productos!$A$2:$A1001,Productos!AQ$2:AQ1001,"")*$G805,"")</f>
        <v/>
      </c>
      <c r="AY805" s="179" t="str">
        <f t="array" ref="AY805">IF($F805&lt;&gt;"",XLOOKUP($F805,Productos!$A:$A,Productos!AR:AR,"Revisar"),"")</f>
        <v/>
      </c>
      <c r="AZ805" s="179" t="str">
        <f t="array" ref="AZ805">IF($F805&lt;&gt;"", XLOOKUP($F805,Productos!$A$2:$A1001,Productos!AS$2:AS1001,"")*$G805,"")</f>
        <v/>
      </c>
      <c r="BA805" s="179" t="str">
        <f t="array" ref="BA805">IF($F805&lt;&gt;"",XLOOKUP($F805,Productos!$A:$A,Productos!AT:AT,"Revisar"),"")</f>
        <v/>
      </c>
      <c r="BB805" s="179" t="str">
        <f t="array" ref="BB805">IF($F805&lt;&gt;"", XLOOKUP($F805,Productos!$A$2:$A1001,Productos!AU$2:AU1001,"")*$G805,"")</f>
        <v/>
      </c>
      <c r="BC805" s="179" t="str">
        <f t="array" ref="BC805">IF($F805&lt;&gt;"",XLOOKUP($F805,Productos!$A:$A,Productos!AV:AV,"Revisar"),"")</f>
        <v/>
      </c>
      <c r="BD805" s="179" t="str">
        <f t="array" ref="BD805">IF($F805&lt;&gt;"", XLOOKUP($F805,Productos!$A$2:$A1001,Productos!AW$2:AW1001,"")*$G805,"")</f>
        <v/>
      </c>
      <c r="BE805" s="179" t="str">
        <f t="array" ref="BE805">IF($F805&lt;&gt;"",XLOOKUP($F805,Productos!$A:$A,Productos!AX:AX,"Revisar"),"")</f>
        <v/>
      </c>
      <c r="BF805" s="179" t="str">
        <f t="array" ref="BF805">IF($F805&lt;&gt;"", XLOOKUP($F805,Productos!$A$2:$A1001,Productos!AY$2:AY1001,"")*$G805,"")</f>
        <v/>
      </c>
      <c r="BG805" s="179" t="str">
        <f t="array" ref="BG805">IF($F805&lt;&gt;"",XLOOKUP($F805,Productos!$A:$A,Productos!AZ:AZ,"Revisar"),"")</f>
        <v/>
      </c>
      <c r="BH805" s="179" t="str">
        <f t="array" ref="BH805">IF($F805&lt;&gt;"", XLOOKUP($F805,Productos!$A$2:$A1001,Productos!BA$2:BA1001,"")*$G805,"")</f>
        <v/>
      </c>
      <c r="BI805" s="179" t="str">
        <f t="array" ref="BI805">IF($F805&lt;&gt;"",XLOOKUP($F805,Productos!$A:$A,Productos!BB:BB,"Revisar"),"")</f>
        <v/>
      </c>
      <c r="BJ805" s="179" t="str">
        <f t="array" ref="BJ805">IF($F805&lt;&gt;"", XLOOKUP($F805,Productos!$A$2:$A1001,Productos!BC$2:BC1001,"")*$G805,"")</f>
        <v/>
      </c>
      <c r="BK805" s="179" t="str">
        <f t="array" ref="BK805">IF($F805&lt;&gt;"",XLOOKUP($F805,Productos!$A:$A,Productos!BD:BD,"Revisar"),"")</f>
        <v/>
      </c>
      <c r="BL805" s="179" t="str">
        <f t="array" ref="BL805">IF($F805&lt;&gt;"", XLOOKUP($F805,Productos!$A$2:$A1001,Productos!BE$2:BE1001,"")*$G805,"")</f>
        <v/>
      </c>
      <c r="BM805" s="179" t="str">
        <f t="array" ref="BM805">IF($F805&lt;&gt;"",XLOOKUP($F805,Productos!$A:$A,Productos!BF:BF,"Revisar"),"")</f>
        <v/>
      </c>
      <c r="BN805" s="179" t="str">
        <f t="array" ref="BN805">IF($F805&lt;&gt;"", XLOOKUP($F805,Productos!$A$2:$A1001,Productos!BG$2:BG1001,"")*$G805,"")</f>
        <v/>
      </c>
      <c r="BO805" s="179" t="str">
        <f t="array" ref="BO805">IF($F805&lt;&gt;"",XLOOKUP($F805,Productos!$A:$A,Productos!BH:BH,"Revisar"),"")</f>
        <v/>
      </c>
      <c r="BP805" s="179" t="str">
        <f t="array" ref="BP805">IF($F805&lt;&gt;"", XLOOKUP($F805,Productos!$A$2:$A1001,Productos!BI$2:BI1001,"")*$G805,"")</f>
        <v/>
      </c>
      <c r="BQ805" s="179" t="str">
        <f t="array" ref="BQ805">IF($F805&lt;&gt;"",XLOOKUP($F805,Productos!$A:$A,Productos!BJ:BJ,"Revisar"),"")</f>
        <v/>
      </c>
      <c r="BR805" s="179" t="str">
        <f t="array" ref="BR805">IF($F805&lt;&gt;"", XLOOKUP($F805,Productos!$A$2:$A1001,Productos!BK$2:BK1001,"")*$G805,"")</f>
        <v/>
      </c>
      <c r="BS805" s="179" t="str">
        <f t="array" ref="BS805">IF($F805&lt;&gt;"",XLOOKUP($F805,Productos!$A:$A,Productos!BL:BL,"Revisar"),"")</f>
        <v/>
      </c>
      <c r="BT805" s="179" t="str">
        <f t="array" ref="BT805">IF($F805&lt;&gt;"", XLOOKUP($F805,Productos!$A$2:$A1001,Productos!BM$2:BM1001,"")*$G805,"")</f>
        <v/>
      </c>
      <c r="BU805" s="179" t="str">
        <f t="array" ref="BU805">IF($F805&lt;&gt;"",XLOOKUP($F805,Productos!$A:$A,Productos!BN:BN,"Revisar"),"")</f>
        <v/>
      </c>
      <c r="BV805" s="179" t="str">
        <f t="array" ref="BV805">IF($F805&lt;&gt;"", XLOOKUP($F805,Productos!$A$2:$A1001,Productos!BO$2:BO1001,"")*$G805,"")</f>
        <v/>
      </c>
      <c r="BW805" s="179" t="str">
        <f t="array" ref="BW805">IF($F805&lt;&gt;"",XLOOKUP($F805,Productos!$A:$A,Productos!BP:BP,"Revisar"),"")</f>
        <v/>
      </c>
      <c r="BX805" s="179" t="str">
        <f t="array" ref="BX805">IF($F805&lt;&gt;"", XLOOKUP($F805,Productos!$A$2:$A1001,Productos!BQ$2:BQ1001,"")*$G805,"")</f>
        <v/>
      </c>
      <c r="BY805" s="179" t="str">
        <f t="array" ref="BY805">IF($F805&lt;&gt;"",XLOOKUP($F805,Productos!$A:$A,Productos!BR:BR,"Revisar"),"")</f>
        <v/>
      </c>
      <c r="BZ805" s="179" t="str">
        <f t="array" ref="BZ805">IF($F805&lt;&gt;"", XLOOKUP($F805,Productos!$A$2:$A1001,Productos!BS$2:BS1001,"")*$G805,"")</f>
        <v/>
      </c>
    </row>
    <row r="806">
      <c r="A806" s="188"/>
      <c r="B806" s="189"/>
      <c r="C806" s="190"/>
      <c r="D806" s="190"/>
      <c r="E806" s="191"/>
      <c r="F806" s="186"/>
      <c r="G806" s="192"/>
      <c r="H806" s="9"/>
      <c r="I806" s="179" t="str">
        <f t="array" ref="I806">IF($F806&lt;&gt;"",XLOOKUP($F806,Productos!$A:$A,Productos!B:B,"Revisar"),"")</f>
        <v/>
      </c>
      <c r="J806" s="179" t="str">
        <f t="array" ref="J806">IF($F806&lt;&gt;"", XLOOKUP($F806,Productos!$A$2:$A1001,Productos!C$2:C1001,"")*$G806,"")</f>
        <v/>
      </c>
      <c r="K806" s="179" t="str">
        <f t="array" ref="K806">IF($F806&lt;&gt;"",XLOOKUP($F806,Productos!$A:$A,Productos!D:D,"Revisar"),"")</f>
        <v/>
      </c>
      <c r="L806" s="179" t="str">
        <f t="array" ref="L806">IF($F806&lt;&gt;"", XLOOKUP($F806,Productos!$A$2:$A1001,Productos!E$2:E1001,"")*$G806,"")</f>
        <v/>
      </c>
      <c r="M806" s="179" t="str">
        <f t="array" ref="M806">IF($F806&lt;&gt;"",XLOOKUP($F806,Productos!$A:$A,Productos!F:F,"Revisar"),"")</f>
        <v/>
      </c>
      <c r="N806" s="179" t="str">
        <f t="array" ref="N806">IF($F806&lt;&gt;"", XLOOKUP($F806,Productos!$A$2:$A1001,Productos!G$2:G1001,"")*$G806,"")</f>
        <v/>
      </c>
      <c r="O806" s="179" t="str">
        <f t="array" ref="O806">IF($F806&lt;&gt;"",XLOOKUP($F806,Productos!$A:$A,Productos!H:H,"Revisar"),"")</f>
        <v/>
      </c>
      <c r="P806" s="179" t="str">
        <f t="array" ref="P806">IF($F806&lt;&gt;"", XLOOKUP($F806,Productos!$A$2:$A1001,Productos!I$2:I1001,"")*$G806,"")</f>
        <v/>
      </c>
      <c r="Q806" s="179" t="str">
        <f t="array" ref="Q806">IF($F806&lt;&gt;"",XLOOKUP($F806,Productos!$A:$A,Productos!J:J,"Revisar"),"")</f>
        <v/>
      </c>
      <c r="R806" s="179" t="str">
        <f t="array" ref="R806">IF($F806&lt;&gt;"", XLOOKUP($F806,Productos!$A$2:$A1001,Productos!K$2:K1001,"")*$G806,"")</f>
        <v/>
      </c>
      <c r="S806" s="179" t="str">
        <f t="array" ref="S806">IF($F806&lt;&gt;"",XLOOKUP($F806,Productos!$A:$A,Productos!L:L,"Revisar"),"")</f>
        <v/>
      </c>
      <c r="T806" s="179" t="str">
        <f t="array" ref="T806">IF($F806&lt;&gt;"", XLOOKUP($F806,Productos!$A$2:$A1001,Productos!M$2:M1001,"")*$G806,"")</f>
        <v/>
      </c>
      <c r="U806" s="179" t="str">
        <f t="array" ref="U806">IF($F806&lt;&gt;"",XLOOKUP($F806,Productos!$A:$A,Productos!N:N,"Revisar"),"")</f>
        <v/>
      </c>
      <c r="V806" s="179" t="str">
        <f t="array" ref="V806">IF($F806&lt;&gt;"", XLOOKUP($F806,Productos!$A$2:$A1001,Productos!O$2:O1001,"")*$G806,"")</f>
        <v/>
      </c>
      <c r="W806" s="179" t="str">
        <f t="array" ref="W806">IF($F806&lt;&gt;"",XLOOKUP($F806,Productos!$A:$A,Productos!P:P,"Revisar"),"")</f>
        <v/>
      </c>
      <c r="X806" s="179" t="str">
        <f t="array" ref="X806">IF($F806&lt;&gt;"", XLOOKUP($F806,Productos!$A$2:$A1001,Productos!Q$2:Q1001,"")*$G806,"")</f>
        <v/>
      </c>
      <c r="Y806" s="179" t="str">
        <f t="array" ref="Y806">IF($F806&lt;&gt;"",XLOOKUP($F806,Productos!$A:$A,Productos!R:R,"Revisar"),"")</f>
        <v/>
      </c>
      <c r="Z806" s="179" t="str">
        <f t="array" ref="Z806">IF($F806&lt;&gt;"", XLOOKUP($F806,Productos!$A$2:$A1001,Productos!S$2:S1001,"")*$G806,"")</f>
        <v/>
      </c>
      <c r="AA806" s="179" t="str">
        <f t="array" ref="AA806">IF($F806&lt;&gt;"",XLOOKUP($F806,Productos!$A:$A,Productos!T:T,"Revisar"),"")</f>
        <v/>
      </c>
      <c r="AB806" s="179" t="str">
        <f t="array" ref="AB806">IF($F806&lt;&gt;"", XLOOKUP($F806,Productos!$A$2:$A1001,Productos!U$2:U1001,"")*$G806,"")</f>
        <v/>
      </c>
      <c r="AC806" s="179" t="str">
        <f t="array" ref="AC806">IF($F806&lt;&gt;"",XLOOKUP($F806,Productos!$A:$A,Productos!V:V,"Revisar"),"")</f>
        <v/>
      </c>
      <c r="AD806" s="179" t="str">
        <f t="array" ref="AD806">IF($F806&lt;&gt;"", XLOOKUP($F806,Productos!$A$2:$A1001,Productos!W$2:W1001,"")*$G806,"")</f>
        <v/>
      </c>
      <c r="AE806" s="179" t="str">
        <f t="array" ref="AE806">IF($F806&lt;&gt;"",XLOOKUP($F806,Productos!$A:$A,Productos!X:X,"Revisar"),"")</f>
        <v/>
      </c>
      <c r="AF806" s="179" t="str">
        <f t="array" ref="AF806">IF($F806&lt;&gt;"", XLOOKUP($F806,Productos!$A$2:$A1001,Productos!Y$2:Y1001,"")*$G806,"")</f>
        <v/>
      </c>
      <c r="AG806" s="179" t="str">
        <f t="array" ref="AG806">IF($F806&lt;&gt;"",XLOOKUP($F806,Productos!$A:$A,Productos!Z:Z,"Revisar"),"")</f>
        <v/>
      </c>
      <c r="AH806" s="179" t="str">
        <f t="array" ref="AH806">IF($F806&lt;&gt;"", XLOOKUP($F806,Productos!$A$2:$A1001,Productos!AA$2:AA1001,"")*$G806,"")</f>
        <v/>
      </c>
      <c r="AI806" s="179" t="str">
        <f t="array" ref="AI806">IF($F806&lt;&gt;"",XLOOKUP($F806,Productos!$A:$A,Productos!AB:AB,"Revisar"),"")</f>
        <v/>
      </c>
      <c r="AJ806" s="179" t="str">
        <f t="array" ref="AJ806">IF($F806&lt;&gt;"", XLOOKUP($F806,Productos!$A$2:$A1001,Productos!AC$2:AC1001,"")*$G806,"")</f>
        <v/>
      </c>
      <c r="AK806" s="179" t="str">
        <f t="array" ref="AK806">IF($F806&lt;&gt;"",XLOOKUP($F806,Productos!$A:$A,Productos!AD:AD,"Revisar"),"")</f>
        <v/>
      </c>
      <c r="AL806" s="179" t="str">
        <f t="array" ref="AL806">IF($F806&lt;&gt;"", XLOOKUP($F806,Productos!$A$2:$A1001,Productos!AE$2:AE1001,"")*$G806,"")</f>
        <v/>
      </c>
      <c r="AM806" s="179" t="str">
        <f t="array" ref="AM806">IF($F806&lt;&gt;"",XLOOKUP($F806,Productos!$A:$A,Productos!AF:AF,"Revisar"),"")</f>
        <v/>
      </c>
      <c r="AN806" s="179" t="str">
        <f t="array" ref="AN806">IF($F806&lt;&gt;"", XLOOKUP($F806,Productos!$A$2:$A1001,Productos!AG$2:AG1001,"")*$G806,"")</f>
        <v/>
      </c>
      <c r="AO806" s="179" t="str">
        <f t="array" ref="AO806">IF($F806&lt;&gt;"",XLOOKUP($F806,Productos!$A:$A,Productos!AH:AH,"Revisar"),"")</f>
        <v/>
      </c>
      <c r="AP806" s="179" t="str">
        <f t="array" ref="AP806">IF($F806&lt;&gt;"", XLOOKUP($F806,Productos!$A$2:$A1001,Productos!AI$2:AI1001,"")*$G806,"")</f>
        <v/>
      </c>
      <c r="AQ806" s="179" t="str">
        <f t="array" ref="AQ806">IF($F806&lt;&gt;"",XLOOKUP($F806,Productos!$A:$A,Productos!AJ:AJ,"Revisar"),"")</f>
        <v/>
      </c>
      <c r="AR806" s="179" t="str">
        <f t="array" ref="AR806">IF($F806&lt;&gt;"", XLOOKUP($F806,Productos!$A$2:$A1001,Productos!AK$2:AK1001,"")*$G806,"")</f>
        <v/>
      </c>
      <c r="AS806" s="179" t="str">
        <f t="array" ref="AS806">IF($F806&lt;&gt;"",XLOOKUP($F806,Productos!$A:$A,Productos!AL:AL,"Revisar"),"")</f>
        <v/>
      </c>
      <c r="AT806" s="179" t="str">
        <f t="array" ref="AT806">IF($F806&lt;&gt;"", XLOOKUP($F806,Productos!$A$2:$A1001,Productos!AM$2:AM1001,"")*$G806,"")</f>
        <v/>
      </c>
      <c r="AU806" s="179" t="str">
        <f t="array" ref="AU806">IF($F806&lt;&gt;"",XLOOKUP($F806,Productos!$A:$A,Productos!AN:AN,"Revisar"),"")</f>
        <v/>
      </c>
      <c r="AV806" s="179" t="str">
        <f t="array" ref="AV806">IF($F806&lt;&gt;"", XLOOKUP($F806,Productos!$A$2:$A1001,Productos!AO$2:AO1001,"")*$G806,"")</f>
        <v/>
      </c>
      <c r="AW806" s="179" t="str">
        <f t="array" ref="AW806">IF($F806&lt;&gt;"",XLOOKUP($F806,Productos!$A:$A,Productos!AP:AP,"Revisar"),"")</f>
        <v/>
      </c>
      <c r="AX806" s="179" t="str">
        <f t="array" ref="AX806">IF($F806&lt;&gt;"", XLOOKUP($F806,Productos!$A$2:$A1001,Productos!AQ$2:AQ1001,"")*$G806,"")</f>
        <v/>
      </c>
      <c r="AY806" s="179" t="str">
        <f t="array" ref="AY806">IF($F806&lt;&gt;"",XLOOKUP($F806,Productos!$A:$A,Productos!AR:AR,"Revisar"),"")</f>
        <v/>
      </c>
      <c r="AZ806" s="179" t="str">
        <f t="array" ref="AZ806">IF($F806&lt;&gt;"", XLOOKUP($F806,Productos!$A$2:$A1001,Productos!AS$2:AS1001,"")*$G806,"")</f>
        <v/>
      </c>
      <c r="BA806" s="179" t="str">
        <f t="array" ref="BA806">IF($F806&lt;&gt;"",XLOOKUP($F806,Productos!$A:$A,Productos!AT:AT,"Revisar"),"")</f>
        <v/>
      </c>
      <c r="BB806" s="179" t="str">
        <f t="array" ref="BB806">IF($F806&lt;&gt;"", XLOOKUP($F806,Productos!$A$2:$A1001,Productos!AU$2:AU1001,"")*$G806,"")</f>
        <v/>
      </c>
      <c r="BC806" s="179" t="str">
        <f t="array" ref="BC806">IF($F806&lt;&gt;"",XLOOKUP($F806,Productos!$A:$A,Productos!AV:AV,"Revisar"),"")</f>
        <v/>
      </c>
      <c r="BD806" s="179" t="str">
        <f t="array" ref="BD806">IF($F806&lt;&gt;"", XLOOKUP($F806,Productos!$A$2:$A1001,Productos!AW$2:AW1001,"")*$G806,"")</f>
        <v/>
      </c>
      <c r="BE806" s="179" t="str">
        <f t="array" ref="BE806">IF($F806&lt;&gt;"",XLOOKUP($F806,Productos!$A:$A,Productos!AX:AX,"Revisar"),"")</f>
        <v/>
      </c>
      <c r="BF806" s="179" t="str">
        <f t="array" ref="BF806">IF($F806&lt;&gt;"", XLOOKUP($F806,Productos!$A$2:$A1001,Productos!AY$2:AY1001,"")*$G806,"")</f>
        <v/>
      </c>
      <c r="BG806" s="179" t="str">
        <f t="array" ref="BG806">IF($F806&lt;&gt;"",XLOOKUP($F806,Productos!$A:$A,Productos!AZ:AZ,"Revisar"),"")</f>
        <v/>
      </c>
      <c r="BH806" s="179" t="str">
        <f t="array" ref="BH806">IF($F806&lt;&gt;"", XLOOKUP($F806,Productos!$A$2:$A1001,Productos!BA$2:BA1001,"")*$G806,"")</f>
        <v/>
      </c>
      <c r="BI806" s="179" t="str">
        <f t="array" ref="BI806">IF($F806&lt;&gt;"",XLOOKUP($F806,Productos!$A:$A,Productos!BB:BB,"Revisar"),"")</f>
        <v/>
      </c>
      <c r="BJ806" s="179" t="str">
        <f t="array" ref="BJ806">IF($F806&lt;&gt;"", XLOOKUP($F806,Productos!$A$2:$A1001,Productos!BC$2:BC1001,"")*$G806,"")</f>
        <v/>
      </c>
      <c r="BK806" s="179" t="str">
        <f t="array" ref="BK806">IF($F806&lt;&gt;"",XLOOKUP($F806,Productos!$A:$A,Productos!BD:BD,"Revisar"),"")</f>
        <v/>
      </c>
      <c r="BL806" s="179" t="str">
        <f t="array" ref="BL806">IF($F806&lt;&gt;"", XLOOKUP($F806,Productos!$A$2:$A1001,Productos!BE$2:BE1001,"")*$G806,"")</f>
        <v/>
      </c>
      <c r="BM806" s="179" t="str">
        <f t="array" ref="BM806">IF($F806&lt;&gt;"",XLOOKUP($F806,Productos!$A:$A,Productos!BF:BF,"Revisar"),"")</f>
        <v/>
      </c>
      <c r="BN806" s="179" t="str">
        <f t="array" ref="BN806">IF($F806&lt;&gt;"", XLOOKUP($F806,Productos!$A$2:$A1001,Productos!BG$2:BG1001,"")*$G806,"")</f>
        <v/>
      </c>
      <c r="BO806" s="179" t="str">
        <f t="array" ref="BO806">IF($F806&lt;&gt;"",XLOOKUP($F806,Productos!$A:$A,Productos!BH:BH,"Revisar"),"")</f>
        <v/>
      </c>
      <c r="BP806" s="179" t="str">
        <f t="array" ref="BP806">IF($F806&lt;&gt;"", XLOOKUP($F806,Productos!$A$2:$A1001,Productos!BI$2:BI1001,"")*$G806,"")</f>
        <v/>
      </c>
      <c r="BQ806" s="179" t="str">
        <f t="array" ref="BQ806">IF($F806&lt;&gt;"",XLOOKUP($F806,Productos!$A:$A,Productos!BJ:BJ,"Revisar"),"")</f>
        <v/>
      </c>
      <c r="BR806" s="179" t="str">
        <f t="array" ref="BR806">IF($F806&lt;&gt;"", XLOOKUP($F806,Productos!$A$2:$A1001,Productos!BK$2:BK1001,"")*$G806,"")</f>
        <v/>
      </c>
      <c r="BS806" s="179" t="str">
        <f t="array" ref="BS806">IF($F806&lt;&gt;"",XLOOKUP($F806,Productos!$A:$A,Productos!BL:BL,"Revisar"),"")</f>
        <v/>
      </c>
      <c r="BT806" s="179" t="str">
        <f t="array" ref="BT806">IF($F806&lt;&gt;"", XLOOKUP($F806,Productos!$A$2:$A1001,Productos!BM$2:BM1001,"")*$G806,"")</f>
        <v/>
      </c>
      <c r="BU806" s="179" t="str">
        <f t="array" ref="BU806">IF($F806&lt;&gt;"",XLOOKUP($F806,Productos!$A:$A,Productos!BN:BN,"Revisar"),"")</f>
        <v/>
      </c>
      <c r="BV806" s="179" t="str">
        <f t="array" ref="BV806">IF($F806&lt;&gt;"", XLOOKUP($F806,Productos!$A$2:$A1001,Productos!BO$2:BO1001,"")*$G806,"")</f>
        <v/>
      </c>
      <c r="BW806" s="179" t="str">
        <f t="array" ref="BW806">IF($F806&lt;&gt;"",XLOOKUP($F806,Productos!$A:$A,Productos!BP:BP,"Revisar"),"")</f>
        <v/>
      </c>
      <c r="BX806" s="179" t="str">
        <f t="array" ref="BX806">IF($F806&lt;&gt;"", XLOOKUP($F806,Productos!$A$2:$A1001,Productos!BQ$2:BQ1001,"")*$G806,"")</f>
        <v/>
      </c>
      <c r="BY806" s="179" t="str">
        <f t="array" ref="BY806">IF($F806&lt;&gt;"",XLOOKUP($F806,Productos!$A:$A,Productos!BR:BR,"Revisar"),"")</f>
        <v/>
      </c>
      <c r="BZ806" s="179" t="str">
        <f t="array" ref="BZ806">IF($F806&lt;&gt;"", XLOOKUP($F806,Productos!$A$2:$A1001,Productos!BS$2:BS1001,"")*$G806,"")</f>
        <v/>
      </c>
    </row>
    <row r="807">
      <c r="A807" s="188"/>
      <c r="B807" s="189"/>
      <c r="C807" s="190"/>
      <c r="D807" s="190"/>
      <c r="E807" s="191"/>
      <c r="F807" s="186"/>
      <c r="G807" s="192"/>
      <c r="H807" s="9"/>
      <c r="I807" s="179" t="str">
        <f t="array" ref="I807">IF($F807&lt;&gt;"",XLOOKUP($F807,Productos!$A:$A,Productos!B:B,"Revisar"),"")</f>
        <v/>
      </c>
      <c r="J807" s="179" t="str">
        <f t="array" ref="J807">IF($F807&lt;&gt;"", XLOOKUP($F807,Productos!$A$2:$A1001,Productos!C$2:C1001,"")*$G807,"")</f>
        <v/>
      </c>
      <c r="K807" s="179" t="str">
        <f t="array" ref="K807">IF($F807&lt;&gt;"",XLOOKUP($F807,Productos!$A:$A,Productos!D:D,"Revisar"),"")</f>
        <v/>
      </c>
      <c r="L807" s="179" t="str">
        <f t="array" ref="L807">IF($F807&lt;&gt;"", XLOOKUP($F807,Productos!$A$2:$A1001,Productos!E$2:E1001,"")*$G807,"")</f>
        <v/>
      </c>
      <c r="M807" s="179" t="str">
        <f t="array" ref="M807">IF($F807&lt;&gt;"",XLOOKUP($F807,Productos!$A:$A,Productos!F:F,"Revisar"),"")</f>
        <v/>
      </c>
      <c r="N807" s="179" t="str">
        <f t="array" ref="N807">IF($F807&lt;&gt;"", XLOOKUP($F807,Productos!$A$2:$A1001,Productos!G$2:G1001,"")*$G807,"")</f>
        <v/>
      </c>
      <c r="O807" s="179" t="str">
        <f t="array" ref="O807">IF($F807&lt;&gt;"",XLOOKUP($F807,Productos!$A:$A,Productos!H:H,"Revisar"),"")</f>
        <v/>
      </c>
      <c r="P807" s="179" t="str">
        <f t="array" ref="P807">IF($F807&lt;&gt;"", XLOOKUP($F807,Productos!$A$2:$A1001,Productos!I$2:I1001,"")*$G807,"")</f>
        <v/>
      </c>
      <c r="Q807" s="179" t="str">
        <f t="array" ref="Q807">IF($F807&lt;&gt;"",XLOOKUP($F807,Productos!$A:$A,Productos!J:J,"Revisar"),"")</f>
        <v/>
      </c>
      <c r="R807" s="179" t="str">
        <f t="array" ref="R807">IF($F807&lt;&gt;"", XLOOKUP($F807,Productos!$A$2:$A1001,Productos!K$2:K1001,"")*$G807,"")</f>
        <v/>
      </c>
      <c r="S807" s="179" t="str">
        <f t="array" ref="S807">IF($F807&lt;&gt;"",XLOOKUP($F807,Productos!$A:$A,Productos!L:L,"Revisar"),"")</f>
        <v/>
      </c>
      <c r="T807" s="179" t="str">
        <f t="array" ref="T807">IF($F807&lt;&gt;"", XLOOKUP($F807,Productos!$A$2:$A1001,Productos!M$2:M1001,"")*$G807,"")</f>
        <v/>
      </c>
      <c r="U807" s="179" t="str">
        <f t="array" ref="U807">IF($F807&lt;&gt;"",XLOOKUP($F807,Productos!$A:$A,Productos!N:N,"Revisar"),"")</f>
        <v/>
      </c>
      <c r="V807" s="179" t="str">
        <f t="array" ref="V807">IF($F807&lt;&gt;"", XLOOKUP($F807,Productos!$A$2:$A1001,Productos!O$2:O1001,"")*$G807,"")</f>
        <v/>
      </c>
      <c r="W807" s="179" t="str">
        <f t="array" ref="W807">IF($F807&lt;&gt;"",XLOOKUP($F807,Productos!$A:$A,Productos!P:P,"Revisar"),"")</f>
        <v/>
      </c>
      <c r="X807" s="179" t="str">
        <f t="array" ref="X807">IF($F807&lt;&gt;"", XLOOKUP($F807,Productos!$A$2:$A1001,Productos!Q$2:Q1001,"")*$G807,"")</f>
        <v/>
      </c>
      <c r="Y807" s="179" t="str">
        <f t="array" ref="Y807">IF($F807&lt;&gt;"",XLOOKUP($F807,Productos!$A:$A,Productos!R:R,"Revisar"),"")</f>
        <v/>
      </c>
      <c r="Z807" s="179" t="str">
        <f t="array" ref="Z807">IF($F807&lt;&gt;"", XLOOKUP($F807,Productos!$A$2:$A1001,Productos!S$2:S1001,"")*$G807,"")</f>
        <v/>
      </c>
      <c r="AA807" s="179" t="str">
        <f t="array" ref="AA807">IF($F807&lt;&gt;"",XLOOKUP($F807,Productos!$A:$A,Productos!T:T,"Revisar"),"")</f>
        <v/>
      </c>
      <c r="AB807" s="179" t="str">
        <f t="array" ref="AB807">IF($F807&lt;&gt;"", XLOOKUP($F807,Productos!$A$2:$A1001,Productos!U$2:U1001,"")*$G807,"")</f>
        <v/>
      </c>
      <c r="AC807" s="179" t="str">
        <f t="array" ref="AC807">IF($F807&lt;&gt;"",XLOOKUP($F807,Productos!$A:$A,Productos!V:V,"Revisar"),"")</f>
        <v/>
      </c>
      <c r="AD807" s="179" t="str">
        <f t="array" ref="AD807">IF($F807&lt;&gt;"", XLOOKUP($F807,Productos!$A$2:$A1001,Productos!W$2:W1001,"")*$G807,"")</f>
        <v/>
      </c>
      <c r="AE807" s="179" t="str">
        <f t="array" ref="AE807">IF($F807&lt;&gt;"",XLOOKUP($F807,Productos!$A:$A,Productos!X:X,"Revisar"),"")</f>
        <v/>
      </c>
      <c r="AF807" s="179" t="str">
        <f t="array" ref="AF807">IF($F807&lt;&gt;"", XLOOKUP($F807,Productos!$A$2:$A1001,Productos!Y$2:Y1001,"")*$G807,"")</f>
        <v/>
      </c>
      <c r="AG807" s="179" t="str">
        <f t="array" ref="AG807">IF($F807&lt;&gt;"",XLOOKUP($F807,Productos!$A:$A,Productos!Z:Z,"Revisar"),"")</f>
        <v/>
      </c>
      <c r="AH807" s="179" t="str">
        <f t="array" ref="AH807">IF($F807&lt;&gt;"", XLOOKUP($F807,Productos!$A$2:$A1001,Productos!AA$2:AA1001,"")*$G807,"")</f>
        <v/>
      </c>
      <c r="AI807" s="179" t="str">
        <f t="array" ref="AI807">IF($F807&lt;&gt;"",XLOOKUP($F807,Productos!$A:$A,Productos!AB:AB,"Revisar"),"")</f>
        <v/>
      </c>
      <c r="AJ807" s="179" t="str">
        <f t="array" ref="AJ807">IF($F807&lt;&gt;"", XLOOKUP($F807,Productos!$A$2:$A1001,Productos!AC$2:AC1001,"")*$G807,"")</f>
        <v/>
      </c>
      <c r="AK807" s="179" t="str">
        <f t="array" ref="AK807">IF($F807&lt;&gt;"",XLOOKUP($F807,Productos!$A:$A,Productos!AD:AD,"Revisar"),"")</f>
        <v/>
      </c>
      <c r="AL807" s="179" t="str">
        <f t="array" ref="AL807">IF($F807&lt;&gt;"", XLOOKUP($F807,Productos!$A$2:$A1001,Productos!AE$2:AE1001,"")*$G807,"")</f>
        <v/>
      </c>
      <c r="AM807" s="179" t="str">
        <f t="array" ref="AM807">IF($F807&lt;&gt;"",XLOOKUP($F807,Productos!$A:$A,Productos!AF:AF,"Revisar"),"")</f>
        <v/>
      </c>
      <c r="AN807" s="179" t="str">
        <f t="array" ref="AN807">IF($F807&lt;&gt;"", XLOOKUP($F807,Productos!$A$2:$A1001,Productos!AG$2:AG1001,"")*$G807,"")</f>
        <v/>
      </c>
      <c r="AO807" s="179" t="str">
        <f t="array" ref="AO807">IF($F807&lt;&gt;"",XLOOKUP($F807,Productos!$A:$A,Productos!AH:AH,"Revisar"),"")</f>
        <v/>
      </c>
      <c r="AP807" s="179" t="str">
        <f t="array" ref="AP807">IF($F807&lt;&gt;"", XLOOKUP($F807,Productos!$A$2:$A1001,Productos!AI$2:AI1001,"")*$G807,"")</f>
        <v/>
      </c>
      <c r="AQ807" s="179" t="str">
        <f t="array" ref="AQ807">IF($F807&lt;&gt;"",XLOOKUP($F807,Productos!$A:$A,Productos!AJ:AJ,"Revisar"),"")</f>
        <v/>
      </c>
      <c r="AR807" s="179" t="str">
        <f t="array" ref="AR807">IF($F807&lt;&gt;"", XLOOKUP($F807,Productos!$A$2:$A1001,Productos!AK$2:AK1001,"")*$G807,"")</f>
        <v/>
      </c>
      <c r="AS807" s="179" t="str">
        <f t="array" ref="AS807">IF($F807&lt;&gt;"",XLOOKUP($F807,Productos!$A:$A,Productos!AL:AL,"Revisar"),"")</f>
        <v/>
      </c>
      <c r="AT807" s="179" t="str">
        <f t="array" ref="AT807">IF($F807&lt;&gt;"", XLOOKUP($F807,Productos!$A$2:$A1001,Productos!AM$2:AM1001,"")*$G807,"")</f>
        <v/>
      </c>
      <c r="AU807" s="179" t="str">
        <f t="array" ref="AU807">IF($F807&lt;&gt;"",XLOOKUP($F807,Productos!$A:$A,Productos!AN:AN,"Revisar"),"")</f>
        <v/>
      </c>
      <c r="AV807" s="179" t="str">
        <f t="array" ref="AV807">IF($F807&lt;&gt;"", XLOOKUP($F807,Productos!$A$2:$A1001,Productos!AO$2:AO1001,"")*$G807,"")</f>
        <v/>
      </c>
      <c r="AW807" s="179" t="str">
        <f t="array" ref="AW807">IF($F807&lt;&gt;"",XLOOKUP($F807,Productos!$A:$A,Productos!AP:AP,"Revisar"),"")</f>
        <v/>
      </c>
      <c r="AX807" s="179" t="str">
        <f t="array" ref="AX807">IF($F807&lt;&gt;"", XLOOKUP($F807,Productos!$A$2:$A1001,Productos!AQ$2:AQ1001,"")*$G807,"")</f>
        <v/>
      </c>
      <c r="AY807" s="179" t="str">
        <f t="array" ref="AY807">IF($F807&lt;&gt;"",XLOOKUP($F807,Productos!$A:$A,Productos!AR:AR,"Revisar"),"")</f>
        <v/>
      </c>
      <c r="AZ807" s="179" t="str">
        <f t="array" ref="AZ807">IF($F807&lt;&gt;"", XLOOKUP($F807,Productos!$A$2:$A1001,Productos!AS$2:AS1001,"")*$G807,"")</f>
        <v/>
      </c>
      <c r="BA807" s="179" t="str">
        <f t="array" ref="BA807">IF($F807&lt;&gt;"",XLOOKUP($F807,Productos!$A:$A,Productos!AT:AT,"Revisar"),"")</f>
        <v/>
      </c>
      <c r="BB807" s="179" t="str">
        <f t="array" ref="BB807">IF($F807&lt;&gt;"", XLOOKUP($F807,Productos!$A$2:$A1001,Productos!AU$2:AU1001,"")*$G807,"")</f>
        <v/>
      </c>
      <c r="BC807" s="179" t="str">
        <f t="array" ref="BC807">IF($F807&lt;&gt;"",XLOOKUP($F807,Productos!$A:$A,Productos!AV:AV,"Revisar"),"")</f>
        <v/>
      </c>
      <c r="BD807" s="179" t="str">
        <f t="array" ref="BD807">IF($F807&lt;&gt;"", XLOOKUP($F807,Productos!$A$2:$A1001,Productos!AW$2:AW1001,"")*$G807,"")</f>
        <v/>
      </c>
      <c r="BE807" s="179" t="str">
        <f t="array" ref="BE807">IF($F807&lt;&gt;"",XLOOKUP($F807,Productos!$A:$A,Productos!AX:AX,"Revisar"),"")</f>
        <v/>
      </c>
      <c r="BF807" s="179" t="str">
        <f t="array" ref="BF807">IF($F807&lt;&gt;"", XLOOKUP($F807,Productos!$A$2:$A1001,Productos!AY$2:AY1001,"")*$G807,"")</f>
        <v/>
      </c>
      <c r="BG807" s="179" t="str">
        <f t="array" ref="BG807">IF($F807&lt;&gt;"",XLOOKUP($F807,Productos!$A:$A,Productos!AZ:AZ,"Revisar"),"")</f>
        <v/>
      </c>
      <c r="BH807" s="179" t="str">
        <f t="array" ref="BH807">IF($F807&lt;&gt;"", XLOOKUP($F807,Productos!$A$2:$A1001,Productos!BA$2:BA1001,"")*$G807,"")</f>
        <v/>
      </c>
      <c r="BI807" s="179" t="str">
        <f t="array" ref="BI807">IF($F807&lt;&gt;"",XLOOKUP($F807,Productos!$A:$A,Productos!BB:BB,"Revisar"),"")</f>
        <v/>
      </c>
      <c r="BJ807" s="179" t="str">
        <f t="array" ref="BJ807">IF($F807&lt;&gt;"", XLOOKUP($F807,Productos!$A$2:$A1001,Productos!BC$2:BC1001,"")*$G807,"")</f>
        <v/>
      </c>
      <c r="BK807" s="179" t="str">
        <f t="array" ref="BK807">IF($F807&lt;&gt;"",XLOOKUP($F807,Productos!$A:$A,Productos!BD:BD,"Revisar"),"")</f>
        <v/>
      </c>
      <c r="BL807" s="179" t="str">
        <f t="array" ref="BL807">IF($F807&lt;&gt;"", XLOOKUP($F807,Productos!$A$2:$A1001,Productos!BE$2:BE1001,"")*$G807,"")</f>
        <v/>
      </c>
      <c r="BM807" s="179" t="str">
        <f t="array" ref="BM807">IF($F807&lt;&gt;"",XLOOKUP($F807,Productos!$A:$A,Productos!BF:BF,"Revisar"),"")</f>
        <v/>
      </c>
      <c r="BN807" s="179" t="str">
        <f t="array" ref="BN807">IF($F807&lt;&gt;"", XLOOKUP($F807,Productos!$A$2:$A1001,Productos!BG$2:BG1001,"")*$G807,"")</f>
        <v/>
      </c>
      <c r="BO807" s="179" t="str">
        <f t="array" ref="BO807">IF($F807&lt;&gt;"",XLOOKUP($F807,Productos!$A:$A,Productos!BH:BH,"Revisar"),"")</f>
        <v/>
      </c>
      <c r="BP807" s="179" t="str">
        <f t="array" ref="BP807">IF($F807&lt;&gt;"", XLOOKUP($F807,Productos!$A$2:$A1001,Productos!BI$2:BI1001,"")*$G807,"")</f>
        <v/>
      </c>
      <c r="BQ807" s="179" t="str">
        <f t="array" ref="BQ807">IF($F807&lt;&gt;"",XLOOKUP($F807,Productos!$A:$A,Productos!BJ:BJ,"Revisar"),"")</f>
        <v/>
      </c>
      <c r="BR807" s="179" t="str">
        <f t="array" ref="BR807">IF($F807&lt;&gt;"", XLOOKUP($F807,Productos!$A$2:$A1001,Productos!BK$2:BK1001,"")*$G807,"")</f>
        <v/>
      </c>
      <c r="BS807" s="179" t="str">
        <f t="array" ref="BS807">IF($F807&lt;&gt;"",XLOOKUP($F807,Productos!$A:$A,Productos!BL:BL,"Revisar"),"")</f>
        <v/>
      </c>
      <c r="BT807" s="179" t="str">
        <f t="array" ref="BT807">IF($F807&lt;&gt;"", XLOOKUP($F807,Productos!$A$2:$A1001,Productos!BM$2:BM1001,"")*$G807,"")</f>
        <v/>
      </c>
      <c r="BU807" s="179" t="str">
        <f t="array" ref="BU807">IF($F807&lt;&gt;"",XLOOKUP($F807,Productos!$A:$A,Productos!BN:BN,"Revisar"),"")</f>
        <v/>
      </c>
      <c r="BV807" s="179" t="str">
        <f t="array" ref="BV807">IF($F807&lt;&gt;"", XLOOKUP($F807,Productos!$A$2:$A1001,Productos!BO$2:BO1001,"")*$G807,"")</f>
        <v/>
      </c>
      <c r="BW807" s="179" t="str">
        <f t="array" ref="BW807">IF($F807&lt;&gt;"",XLOOKUP($F807,Productos!$A:$A,Productos!BP:BP,"Revisar"),"")</f>
        <v/>
      </c>
      <c r="BX807" s="179" t="str">
        <f t="array" ref="BX807">IF($F807&lt;&gt;"", XLOOKUP($F807,Productos!$A$2:$A1001,Productos!BQ$2:BQ1001,"")*$G807,"")</f>
        <v/>
      </c>
      <c r="BY807" s="179" t="str">
        <f t="array" ref="BY807">IF($F807&lt;&gt;"",XLOOKUP($F807,Productos!$A:$A,Productos!BR:BR,"Revisar"),"")</f>
        <v/>
      </c>
      <c r="BZ807" s="179" t="str">
        <f t="array" ref="BZ807">IF($F807&lt;&gt;"", XLOOKUP($F807,Productos!$A$2:$A1001,Productos!BS$2:BS1001,"")*$G807,"")</f>
        <v/>
      </c>
    </row>
    <row r="808">
      <c r="A808" s="188"/>
      <c r="B808" s="189"/>
      <c r="C808" s="190"/>
      <c r="D808" s="190"/>
      <c r="E808" s="191"/>
      <c r="F808" s="186"/>
      <c r="G808" s="192"/>
      <c r="H808" s="9"/>
      <c r="I808" s="179" t="str">
        <f t="array" ref="I808">IF($F808&lt;&gt;"",XLOOKUP($F808,Productos!$A:$A,Productos!B:B,"Revisar"),"")</f>
        <v/>
      </c>
      <c r="J808" s="179" t="str">
        <f t="array" ref="J808">IF($F808&lt;&gt;"", XLOOKUP($F808,Productos!$A$2:$A1001,Productos!C$2:C1001,"")*$G808,"")</f>
        <v/>
      </c>
      <c r="K808" s="179" t="str">
        <f t="array" ref="K808">IF($F808&lt;&gt;"",XLOOKUP($F808,Productos!$A:$A,Productos!D:D,"Revisar"),"")</f>
        <v/>
      </c>
      <c r="L808" s="179" t="str">
        <f t="array" ref="L808">IF($F808&lt;&gt;"", XLOOKUP($F808,Productos!$A$2:$A1001,Productos!E$2:E1001,"")*$G808,"")</f>
        <v/>
      </c>
      <c r="M808" s="179" t="str">
        <f t="array" ref="M808">IF($F808&lt;&gt;"",XLOOKUP($F808,Productos!$A:$A,Productos!F:F,"Revisar"),"")</f>
        <v/>
      </c>
      <c r="N808" s="179" t="str">
        <f t="array" ref="N808">IF($F808&lt;&gt;"", XLOOKUP($F808,Productos!$A$2:$A1001,Productos!G$2:G1001,"")*$G808,"")</f>
        <v/>
      </c>
      <c r="O808" s="179" t="str">
        <f t="array" ref="O808">IF($F808&lt;&gt;"",XLOOKUP($F808,Productos!$A:$A,Productos!H:H,"Revisar"),"")</f>
        <v/>
      </c>
      <c r="P808" s="179" t="str">
        <f t="array" ref="P808">IF($F808&lt;&gt;"", XLOOKUP($F808,Productos!$A$2:$A1001,Productos!I$2:I1001,"")*$G808,"")</f>
        <v/>
      </c>
      <c r="Q808" s="179" t="str">
        <f t="array" ref="Q808">IF($F808&lt;&gt;"",XLOOKUP($F808,Productos!$A:$A,Productos!J:J,"Revisar"),"")</f>
        <v/>
      </c>
      <c r="R808" s="179" t="str">
        <f t="array" ref="R808">IF($F808&lt;&gt;"", XLOOKUP($F808,Productos!$A$2:$A1001,Productos!K$2:K1001,"")*$G808,"")</f>
        <v/>
      </c>
      <c r="S808" s="179" t="str">
        <f t="array" ref="S808">IF($F808&lt;&gt;"",XLOOKUP($F808,Productos!$A:$A,Productos!L:L,"Revisar"),"")</f>
        <v/>
      </c>
      <c r="T808" s="179" t="str">
        <f t="array" ref="T808">IF($F808&lt;&gt;"", XLOOKUP($F808,Productos!$A$2:$A1001,Productos!M$2:M1001,"")*$G808,"")</f>
        <v/>
      </c>
      <c r="U808" s="179" t="str">
        <f t="array" ref="U808">IF($F808&lt;&gt;"",XLOOKUP($F808,Productos!$A:$A,Productos!N:N,"Revisar"),"")</f>
        <v/>
      </c>
      <c r="V808" s="179" t="str">
        <f t="array" ref="V808">IF($F808&lt;&gt;"", XLOOKUP($F808,Productos!$A$2:$A1001,Productos!O$2:O1001,"")*$G808,"")</f>
        <v/>
      </c>
      <c r="W808" s="179" t="str">
        <f t="array" ref="W808">IF($F808&lt;&gt;"",XLOOKUP($F808,Productos!$A:$A,Productos!P:P,"Revisar"),"")</f>
        <v/>
      </c>
      <c r="X808" s="179" t="str">
        <f t="array" ref="X808">IF($F808&lt;&gt;"", XLOOKUP($F808,Productos!$A$2:$A1001,Productos!Q$2:Q1001,"")*$G808,"")</f>
        <v/>
      </c>
      <c r="Y808" s="179" t="str">
        <f t="array" ref="Y808">IF($F808&lt;&gt;"",XLOOKUP($F808,Productos!$A:$A,Productos!R:R,"Revisar"),"")</f>
        <v/>
      </c>
      <c r="Z808" s="179" t="str">
        <f t="array" ref="Z808">IF($F808&lt;&gt;"", XLOOKUP($F808,Productos!$A$2:$A1001,Productos!S$2:S1001,"")*$G808,"")</f>
        <v/>
      </c>
      <c r="AA808" s="179" t="str">
        <f t="array" ref="AA808">IF($F808&lt;&gt;"",XLOOKUP($F808,Productos!$A:$A,Productos!T:T,"Revisar"),"")</f>
        <v/>
      </c>
      <c r="AB808" s="179" t="str">
        <f t="array" ref="AB808">IF($F808&lt;&gt;"", XLOOKUP($F808,Productos!$A$2:$A1001,Productos!U$2:U1001,"")*$G808,"")</f>
        <v/>
      </c>
      <c r="AC808" s="179" t="str">
        <f t="array" ref="AC808">IF($F808&lt;&gt;"",XLOOKUP($F808,Productos!$A:$A,Productos!V:V,"Revisar"),"")</f>
        <v/>
      </c>
      <c r="AD808" s="179" t="str">
        <f t="array" ref="AD808">IF($F808&lt;&gt;"", XLOOKUP($F808,Productos!$A$2:$A1001,Productos!W$2:W1001,"")*$G808,"")</f>
        <v/>
      </c>
      <c r="AE808" s="179" t="str">
        <f t="array" ref="AE808">IF($F808&lt;&gt;"",XLOOKUP($F808,Productos!$A:$A,Productos!X:X,"Revisar"),"")</f>
        <v/>
      </c>
      <c r="AF808" s="179" t="str">
        <f t="array" ref="AF808">IF($F808&lt;&gt;"", XLOOKUP($F808,Productos!$A$2:$A1001,Productos!Y$2:Y1001,"")*$G808,"")</f>
        <v/>
      </c>
      <c r="AG808" s="179" t="str">
        <f t="array" ref="AG808">IF($F808&lt;&gt;"",XLOOKUP($F808,Productos!$A:$A,Productos!Z:Z,"Revisar"),"")</f>
        <v/>
      </c>
      <c r="AH808" s="179" t="str">
        <f t="array" ref="AH808">IF($F808&lt;&gt;"", XLOOKUP($F808,Productos!$A$2:$A1001,Productos!AA$2:AA1001,"")*$G808,"")</f>
        <v/>
      </c>
      <c r="AI808" s="179" t="str">
        <f t="array" ref="AI808">IF($F808&lt;&gt;"",XLOOKUP($F808,Productos!$A:$A,Productos!AB:AB,"Revisar"),"")</f>
        <v/>
      </c>
      <c r="AJ808" s="179" t="str">
        <f t="array" ref="AJ808">IF($F808&lt;&gt;"", XLOOKUP($F808,Productos!$A$2:$A1001,Productos!AC$2:AC1001,"")*$G808,"")</f>
        <v/>
      </c>
      <c r="AK808" s="179" t="str">
        <f t="array" ref="AK808">IF($F808&lt;&gt;"",XLOOKUP($F808,Productos!$A:$A,Productos!AD:AD,"Revisar"),"")</f>
        <v/>
      </c>
      <c r="AL808" s="179" t="str">
        <f t="array" ref="AL808">IF($F808&lt;&gt;"", XLOOKUP($F808,Productos!$A$2:$A1001,Productos!AE$2:AE1001,"")*$G808,"")</f>
        <v/>
      </c>
      <c r="AM808" s="179" t="str">
        <f t="array" ref="AM808">IF($F808&lt;&gt;"",XLOOKUP($F808,Productos!$A:$A,Productos!AF:AF,"Revisar"),"")</f>
        <v/>
      </c>
      <c r="AN808" s="179" t="str">
        <f t="array" ref="AN808">IF($F808&lt;&gt;"", XLOOKUP($F808,Productos!$A$2:$A1001,Productos!AG$2:AG1001,"")*$G808,"")</f>
        <v/>
      </c>
      <c r="AO808" s="179" t="str">
        <f t="array" ref="AO808">IF($F808&lt;&gt;"",XLOOKUP($F808,Productos!$A:$A,Productos!AH:AH,"Revisar"),"")</f>
        <v/>
      </c>
      <c r="AP808" s="179" t="str">
        <f t="array" ref="AP808">IF($F808&lt;&gt;"", XLOOKUP($F808,Productos!$A$2:$A1001,Productos!AI$2:AI1001,"")*$G808,"")</f>
        <v/>
      </c>
      <c r="AQ808" s="179" t="str">
        <f t="array" ref="AQ808">IF($F808&lt;&gt;"",XLOOKUP($F808,Productos!$A:$A,Productos!AJ:AJ,"Revisar"),"")</f>
        <v/>
      </c>
      <c r="AR808" s="179" t="str">
        <f t="array" ref="AR808">IF($F808&lt;&gt;"", XLOOKUP($F808,Productos!$A$2:$A1001,Productos!AK$2:AK1001,"")*$G808,"")</f>
        <v/>
      </c>
      <c r="AS808" s="179" t="str">
        <f t="array" ref="AS808">IF($F808&lt;&gt;"",XLOOKUP($F808,Productos!$A:$A,Productos!AL:AL,"Revisar"),"")</f>
        <v/>
      </c>
      <c r="AT808" s="179" t="str">
        <f t="array" ref="AT808">IF($F808&lt;&gt;"", XLOOKUP($F808,Productos!$A$2:$A1001,Productos!AM$2:AM1001,"")*$G808,"")</f>
        <v/>
      </c>
      <c r="AU808" s="179" t="str">
        <f t="array" ref="AU808">IF($F808&lt;&gt;"",XLOOKUP($F808,Productos!$A:$A,Productos!AN:AN,"Revisar"),"")</f>
        <v/>
      </c>
      <c r="AV808" s="179" t="str">
        <f t="array" ref="AV808">IF($F808&lt;&gt;"", XLOOKUP($F808,Productos!$A$2:$A1001,Productos!AO$2:AO1001,"")*$G808,"")</f>
        <v/>
      </c>
      <c r="AW808" s="179" t="str">
        <f t="array" ref="AW808">IF($F808&lt;&gt;"",XLOOKUP($F808,Productos!$A:$A,Productos!AP:AP,"Revisar"),"")</f>
        <v/>
      </c>
      <c r="AX808" s="179" t="str">
        <f t="array" ref="AX808">IF($F808&lt;&gt;"", XLOOKUP($F808,Productos!$A$2:$A1001,Productos!AQ$2:AQ1001,"")*$G808,"")</f>
        <v/>
      </c>
      <c r="AY808" s="179" t="str">
        <f t="array" ref="AY808">IF($F808&lt;&gt;"",XLOOKUP($F808,Productos!$A:$A,Productos!AR:AR,"Revisar"),"")</f>
        <v/>
      </c>
      <c r="AZ808" s="179" t="str">
        <f t="array" ref="AZ808">IF($F808&lt;&gt;"", XLOOKUP($F808,Productos!$A$2:$A1001,Productos!AS$2:AS1001,"")*$G808,"")</f>
        <v/>
      </c>
      <c r="BA808" s="179" t="str">
        <f t="array" ref="BA808">IF($F808&lt;&gt;"",XLOOKUP($F808,Productos!$A:$A,Productos!AT:AT,"Revisar"),"")</f>
        <v/>
      </c>
      <c r="BB808" s="179" t="str">
        <f t="array" ref="BB808">IF($F808&lt;&gt;"", XLOOKUP($F808,Productos!$A$2:$A1001,Productos!AU$2:AU1001,"")*$G808,"")</f>
        <v/>
      </c>
      <c r="BC808" s="179" t="str">
        <f t="array" ref="BC808">IF($F808&lt;&gt;"",XLOOKUP($F808,Productos!$A:$A,Productos!AV:AV,"Revisar"),"")</f>
        <v/>
      </c>
      <c r="BD808" s="179" t="str">
        <f t="array" ref="BD808">IF($F808&lt;&gt;"", XLOOKUP($F808,Productos!$A$2:$A1001,Productos!AW$2:AW1001,"")*$G808,"")</f>
        <v/>
      </c>
      <c r="BE808" s="179" t="str">
        <f t="array" ref="BE808">IF($F808&lt;&gt;"",XLOOKUP($F808,Productos!$A:$A,Productos!AX:AX,"Revisar"),"")</f>
        <v/>
      </c>
      <c r="BF808" s="179" t="str">
        <f t="array" ref="BF808">IF($F808&lt;&gt;"", XLOOKUP($F808,Productos!$A$2:$A1001,Productos!AY$2:AY1001,"")*$G808,"")</f>
        <v/>
      </c>
      <c r="BG808" s="179" t="str">
        <f t="array" ref="BG808">IF($F808&lt;&gt;"",XLOOKUP($F808,Productos!$A:$A,Productos!AZ:AZ,"Revisar"),"")</f>
        <v/>
      </c>
      <c r="BH808" s="179" t="str">
        <f t="array" ref="BH808">IF($F808&lt;&gt;"", XLOOKUP($F808,Productos!$A$2:$A1001,Productos!BA$2:BA1001,"")*$G808,"")</f>
        <v/>
      </c>
      <c r="BI808" s="179" t="str">
        <f t="array" ref="BI808">IF($F808&lt;&gt;"",XLOOKUP($F808,Productos!$A:$A,Productos!BB:BB,"Revisar"),"")</f>
        <v/>
      </c>
      <c r="BJ808" s="179" t="str">
        <f t="array" ref="BJ808">IF($F808&lt;&gt;"", XLOOKUP($F808,Productos!$A$2:$A1001,Productos!BC$2:BC1001,"")*$G808,"")</f>
        <v/>
      </c>
      <c r="BK808" s="179" t="str">
        <f t="array" ref="BK808">IF($F808&lt;&gt;"",XLOOKUP($F808,Productos!$A:$A,Productos!BD:BD,"Revisar"),"")</f>
        <v/>
      </c>
      <c r="BL808" s="179" t="str">
        <f t="array" ref="BL808">IF($F808&lt;&gt;"", XLOOKUP($F808,Productos!$A$2:$A1001,Productos!BE$2:BE1001,"")*$G808,"")</f>
        <v/>
      </c>
      <c r="BM808" s="179" t="str">
        <f t="array" ref="BM808">IF($F808&lt;&gt;"",XLOOKUP($F808,Productos!$A:$A,Productos!BF:BF,"Revisar"),"")</f>
        <v/>
      </c>
      <c r="BN808" s="179" t="str">
        <f t="array" ref="BN808">IF($F808&lt;&gt;"", XLOOKUP($F808,Productos!$A$2:$A1001,Productos!BG$2:BG1001,"")*$G808,"")</f>
        <v/>
      </c>
      <c r="BO808" s="179" t="str">
        <f t="array" ref="BO808">IF($F808&lt;&gt;"",XLOOKUP($F808,Productos!$A:$A,Productos!BH:BH,"Revisar"),"")</f>
        <v/>
      </c>
      <c r="BP808" s="179" t="str">
        <f t="array" ref="BP808">IF($F808&lt;&gt;"", XLOOKUP($F808,Productos!$A$2:$A1001,Productos!BI$2:BI1001,"")*$G808,"")</f>
        <v/>
      </c>
      <c r="BQ808" s="179" t="str">
        <f t="array" ref="BQ808">IF($F808&lt;&gt;"",XLOOKUP($F808,Productos!$A:$A,Productos!BJ:BJ,"Revisar"),"")</f>
        <v/>
      </c>
      <c r="BR808" s="179" t="str">
        <f t="array" ref="BR808">IF($F808&lt;&gt;"", XLOOKUP($F808,Productos!$A$2:$A1001,Productos!BK$2:BK1001,"")*$G808,"")</f>
        <v/>
      </c>
      <c r="BS808" s="179" t="str">
        <f t="array" ref="BS808">IF($F808&lt;&gt;"",XLOOKUP($F808,Productos!$A:$A,Productos!BL:BL,"Revisar"),"")</f>
        <v/>
      </c>
      <c r="BT808" s="179" t="str">
        <f t="array" ref="BT808">IF($F808&lt;&gt;"", XLOOKUP($F808,Productos!$A$2:$A1001,Productos!BM$2:BM1001,"")*$G808,"")</f>
        <v/>
      </c>
      <c r="BU808" s="179" t="str">
        <f t="array" ref="BU808">IF($F808&lt;&gt;"",XLOOKUP($F808,Productos!$A:$A,Productos!BN:BN,"Revisar"),"")</f>
        <v/>
      </c>
      <c r="BV808" s="179" t="str">
        <f t="array" ref="BV808">IF($F808&lt;&gt;"", XLOOKUP($F808,Productos!$A$2:$A1001,Productos!BO$2:BO1001,"")*$G808,"")</f>
        <v/>
      </c>
      <c r="BW808" s="179" t="str">
        <f t="array" ref="BW808">IF($F808&lt;&gt;"",XLOOKUP($F808,Productos!$A:$A,Productos!BP:BP,"Revisar"),"")</f>
        <v/>
      </c>
      <c r="BX808" s="179" t="str">
        <f t="array" ref="BX808">IF($F808&lt;&gt;"", XLOOKUP($F808,Productos!$A$2:$A1001,Productos!BQ$2:BQ1001,"")*$G808,"")</f>
        <v/>
      </c>
      <c r="BY808" s="179" t="str">
        <f t="array" ref="BY808">IF($F808&lt;&gt;"",XLOOKUP($F808,Productos!$A:$A,Productos!BR:BR,"Revisar"),"")</f>
        <v/>
      </c>
      <c r="BZ808" s="179" t="str">
        <f t="array" ref="BZ808">IF($F808&lt;&gt;"", XLOOKUP($F808,Productos!$A$2:$A1001,Productos!BS$2:BS1001,"")*$G808,"")</f>
        <v/>
      </c>
    </row>
    <row r="809">
      <c r="A809" s="188"/>
      <c r="B809" s="189"/>
      <c r="C809" s="190"/>
      <c r="D809" s="190"/>
      <c r="E809" s="191"/>
      <c r="F809" s="186"/>
      <c r="G809" s="192"/>
      <c r="H809" s="9"/>
      <c r="I809" s="179" t="str">
        <f t="array" ref="I809">IF($F809&lt;&gt;"",XLOOKUP($F809,Productos!$A:$A,Productos!B:B,"Revisar"),"")</f>
        <v/>
      </c>
      <c r="J809" s="179" t="str">
        <f t="array" ref="J809">IF($F809&lt;&gt;"", XLOOKUP($F809,Productos!$A$2:$A1001,Productos!C$2:C1001,"")*$G809,"")</f>
        <v/>
      </c>
      <c r="K809" s="179" t="str">
        <f t="array" ref="K809">IF($F809&lt;&gt;"",XLOOKUP($F809,Productos!$A:$A,Productos!D:D,"Revisar"),"")</f>
        <v/>
      </c>
      <c r="L809" s="179" t="str">
        <f t="array" ref="L809">IF($F809&lt;&gt;"", XLOOKUP($F809,Productos!$A$2:$A1001,Productos!E$2:E1001,"")*$G809,"")</f>
        <v/>
      </c>
      <c r="M809" s="179" t="str">
        <f t="array" ref="M809">IF($F809&lt;&gt;"",XLOOKUP($F809,Productos!$A:$A,Productos!F:F,"Revisar"),"")</f>
        <v/>
      </c>
      <c r="N809" s="179" t="str">
        <f t="array" ref="N809">IF($F809&lt;&gt;"", XLOOKUP($F809,Productos!$A$2:$A1001,Productos!G$2:G1001,"")*$G809,"")</f>
        <v/>
      </c>
      <c r="O809" s="179" t="str">
        <f t="array" ref="O809">IF($F809&lt;&gt;"",XLOOKUP($F809,Productos!$A:$A,Productos!H:H,"Revisar"),"")</f>
        <v/>
      </c>
      <c r="P809" s="179" t="str">
        <f t="array" ref="P809">IF($F809&lt;&gt;"", XLOOKUP($F809,Productos!$A$2:$A1001,Productos!I$2:I1001,"")*$G809,"")</f>
        <v/>
      </c>
      <c r="Q809" s="179" t="str">
        <f t="array" ref="Q809">IF($F809&lt;&gt;"",XLOOKUP($F809,Productos!$A:$A,Productos!J:J,"Revisar"),"")</f>
        <v/>
      </c>
      <c r="R809" s="179" t="str">
        <f t="array" ref="R809">IF($F809&lt;&gt;"", XLOOKUP($F809,Productos!$A$2:$A1001,Productos!K$2:K1001,"")*$G809,"")</f>
        <v/>
      </c>
      <c r="S809" s="179" t="str">
        <f t="array" ref="S809">IF($F809&lt;&gt;"",XLOOKUP($F809,Productos!$A:$A,Productos!L:L,"Revisar"),"")</f>
        <v/>
      </c>
      <c r="T809" s="179" t="str">
        <f t="array" ref="T809">IF($F809&lt;&gt;"", XLOOKUP($F809,Productos!$A$2:$A1001,Productos!M$2:M1001,"")*$G809,"")</f>
        <v/>
      </c>
      <c r="U809" s="179" t="str">
        <f t="array" ref="U809">IF($F809&lt;&gt;"",XLOOKUP($F809,Productos!$A:$A,Productos!N:N,"Revisar"),"")</f>
        <v/>
      </c>
      <c r="V809" s="179" t="str">
        <f t="array" ref="V809">IF($F809&lt;&gt;"", XLOOKUP($F809,Productos!$A$2:$A1001,Productos!O$2:O1001,"")*$G809,"")</f>
        <v/>
      </c>
      <c r="W809" s="179" t="str">
        <f t="array" ref="W809">IF($F809&lt;&gt;"",XLOOKUP($F809,Productos!$A:$A,Productos!P:P,"Revisar"),"")</f>
        <v/>
      </c>
      <c r="X809" s="179" t="str">
        <f t="array" ref="X809">IF($F809&lt;&gt;"", XLOOKUP($F809,Productos!$A$2:$A1001,Productos!Q$2:Q1001,"")*$G809,"")</f>
        <v/>
      </c>
      <c r="Y809" s="179" t="str">
        <f t="array" ref="Y809">IF($F809&lt;&gt;"",XLOOKUP($F809,Productos!$A:$A,Productos!R:R,"Revisar"),"")</f>
        <v/>
      </c>
      <c r="Z809" s="179" t="str">
        <f t="array" ref="Z809">IF($F809&lt;&gt;"", XLOOKUP($F809,Productos!$A$2:$A1001,Productos!S$2:S1001,"")*$G809,"")</f>
        <v/>
      </c>
      <c r="AA809" s="179" t="str">
        <f t="array" ref="AA809">IF($F809&lt;&gt;"",XLOOKUP($F809,Productos!$A:$A,Productos!T:T,"Revisar"),"")</f>
        <v/>
      </c>
      <c r="AB809" s="179" t="str">
        <f t="array" ref="AB809">IF($F809&lt;&gt;"", XLOOKUP($F809,Productos!$A$2:$A1001,Productos!U$2:U1001,"")*$G809,"")</f>
        <v/>
      </c>
      <c r="AC809" s="179" t="str">
        <f t="array" ref="AC809">IF($F809&lt;&gt;"",XLOOKUP($F809,Productos!$A:$A,Productos!V:V,"Revisar"),"")</f>
        <v/>
      </c>
      <c r="AD809" s="179" t="str">
        <f t="array" ref="AD809">IF($F809&lt;&gt;"", XLOOKUP($F809,Productos!$A$2:$A1001,Productos!W$2:W1001,"")*$G809,"")</f>
        <v/>
      </c>
      <c r="AE809" s="179" t="str">
        <f t="array" ref="AE809">IF($F809&lt;&gt;"",XLOOKUP($F809,Productos!$A:$A,Productos!X:X,"Revisar"),"")</f>
        <v/>
      </c>
      <c r="AF809" s="179" t="str">
        <f t="array" ref="AF809">IF($F809&lt;&gt;"", XLOOKUP($F809,Productos!$A$2:$A1001,Productos!Y$2:Y1001,"")*$G809,"")</f>
        <v/>
      </c>
      <c r="AG809" s="179" t="str">
        <f t="array" ref="AG809">IF($F809&lt;&gt;"",XLOOKUP($F809,Productos!$A:$A,Productos!Z:Z,"Revisar"),"")</f>
        <v/>
      </c>
      <c r="AH809" s="179" t="str">
        <f t="array" ref="AH809">IF($F809&lt;&gt;"", XLOOKUP($F809,Productos!$A$2:$A1001,Productos!AA$2:AA1001,"")*$G809,"")</f>
        <v/>
      </c>
      <c r="AI809" s="179" t="str">
        <f t="array" ref="AI809">IF($F809&lt;&gt;"",XLOOKUP($F809,Productos!$A:$A,Productos!AB:AB,"Revisar"),"")</f>
        <v/>
      </c>
      <c r="AJ809" s="179" t="str">
        <f t="array" ref="AJ809">IF($F809&lt;&gt;"", XLOOKUP($F809,Productos!$A$2:$A1001,Productos!AC$2:AC1001,"")*$G809,"")</f>
        <v/>
      </c>
      <c r="AK809" s="179" t="str">
        <f t="array" ref="AK809">IF($F809&lt;&gt;"",XLOOKUP($F809,Productos!$A:$A,Productos!AD:AD,"Revisar"),"")</f>
        <v/>
      </c>
      <c r="AL809" s="179" t="str">
        <f t="array" ref="AL809">IF($F809&lt;&gt;"", XLOOKUP($F809,Productos!$A$2:$A1001,Productos!AE$2:AE1001,"")*$G809,"")</f>
        <v/>
      </c>
      <c r="AM809" s="179" t="str">
        <f t="array" ref="AM809">IF($F809&lt;&gt;"",XLOOKUP($F809,Productos!$A:$A,Productos!AF:AF,"Revisar"),"")</f>
        <v/>
      </c>
      <c r="AN809" s="179" t="str">
        <f t="array" ref="AN809">IF($F809&lt;&gt;"", XLOOKUP($F809,Productos!$A$2:$A1001,Productos!AG$2:AG1001,"")*$G809,"")</f>
        <v/>
      </c>
      <c r="AO809" s="179" t="str">
        <f t="array" ref="AO809">IF($F809&lt;&gt;"",XLOOKUP($F809,Productos!$A:$A,Productos!AH:AH,"Revisar"),"")</f>
        <v/>
      </c>
      <c r="AP809" s="179" t="str">
        <f t="array" ref="AP809">IF($F809&lt;&gt;"", XLOOKUP($F809,Productos!$A$2:$A1001,Productos!AI$2:AI1001,"")*$G809,"")</f>
        <v/>
      </c>
      <c r="AQ809" s="179" t="str">
        <f t="array" ref="AQ809">IF($F809&lt;&gt;"",XLOOKUP($F809,Productos!$A:$A,Productos!AJ:AJ,"Revisar"),"")</f>
        <v/>
      </c>
      <c r="AR809" s="179" t="str">
        <f t="array" ref="AR809">IF($F809&lt;&gt;"", XLOOKUP($F809,Productos!$A$2:$A1001,Productos!AK$2:AK1001,"")*$G809,"")</f>
        <v/>
      </c>
      <c r="AS809" s="179" t="str">
        <f t="array" ref="AS809">IF($F809&lt;&gt;"",XLOOKUP($F809,Productos!$A:$A,Productos!AL:AL,"Revisar"),"")</f>
        <v/>
      </c>
      <c r="AT809" s="179" t="str">
        <f t="array" ref="AT809">IF($F809&lt;&gt;"", XLOOKUP($F809,Productos!$A$2:$A1001,Productos!AM$2:AM1001,"")*$G809,"")</f>
        <v/>
      </c>
      <c r="AU809" s="179" t="str">
        <f t="array" ref="AU809">IF($F809&lt;&gt;"",XLOOKUP($F809,Productos!$A:$A,Productos!AN:AN,"Revisar"),"")</f>
        <v/>
      </c>
      <c r="AV809" s="179" t="str">
        <f t="array" ref="AV809">IF($F809&lt;&gt;"", XLOOKUP($F809,Productos!$A$2:$A1001,Productos!AO$2:AO1001,"")*$G809,"")</f>
        <v/>
      </c>
      <c r="AW809" s="179" t="str">
        <f t="array" ref="AW809">IF($F809&lt;&gt;"",XLOOKUP($F809,Productos!$A:$A,Productos!AP:AP,"Revisar"),"")</f>
        <v/>
      </c>
      <c r="AX809" s="179" t="str">
        <f t="array" ref="AX809">IF($F809&lt;&gt;"", XLOOKUP($F809,Productos!$A$2:$A1001,Productos!AQ$2:AQ1001,"")*$G809,"")</f>
        <v/>
      </c>
      <c r="AY809" s="179" t="str">
        <f t="array" ref="AY809">IF($F809&lt;&gt;"",XLOOKUP($F809,Productos!$A:$A,Productos!AR:AR,"Revisar"),"")</f>
        <v/>
      </c>
      <c r="AZ809" s="179" t="str">
        <f t="array" ref="AZ809">IF($F809&lt;&gt;"", XLOOKUP($F809,Productos!$A$2:$A1001,Productos!AS$2:AS1001,"")*$G809,"")</f>
        <v/>
      </c>
      <c r="BA809" s="179" t="str">
        <f t="array" ref="BA809">IF($F809&lt;&gt;"",XLOOKUP($F809,Productos!$A:$A,Productos!AT:AT,"Revisar"),"")</f>
        <v/>
      </c>
      <c r="BB809" s="179" t="str">
        <f t="array" ref="BB809">IF($F809&lt;&gt;"", XLOOKUP($F809,Productos!$A$2:$A1001,Productos!AU$2:AU1001,"")*$G809,"")</f>
        <v/>
      </c>
      <c r="BC809" s="179" t="str">
        <f t="array" ref="BC809">IF($F809&lt;&gt;"",XLOOKUP($F809,Productos!$A:$A,Productos!AV:AV,"Revisar"),"")</f>
        <v/>
      </c>
      <c r="BD809" s="179" t="str">
        <f t="array" ref="BD809">IF($F809&lt;&gt;"", XLOOKUP($F809,Productos!$A$2:$A1001,Productos!AW$2:AW1001,"")*$G809,"")</f>
        <v/>
      </c>
      <c r="BE809" s="179" t="str">
        <f t="array" ref="BE809">IF($F809&lt;&gt;"",XLOOKUP($F809,Productos!$A:$A,Productos!AX:AX,"Revisar"),"")</f>
        <v/>
      </c>
      <c r="BF809" s="179" t="str">
        <f t="array" ref="BF809">IF($F809&lt;&gt;"", XLOOKUP($F809,Productos!$A$2:$A1001,Productos!AY$2:AY1001,"")*$G809,"")</f>
        <v/>
      </c>
      <c r="BG809" s="179" t="str">
        <f t="array" ref="BG809">IF($F809&lt;&gt;"",XLOOKUP($F809,Productos!$A:$A,Productos!AZ:AZ,"Revisar"),"")</f>
        <v/>
      </c>
      <c r="BH809" s="179" t="str">
        <f t="array" ref="BH809">IF($F809&lt;&gt;"", XLOOKUP($F809,Productos!$A$2:$A1001,Productos!BA$2:BA1001,"")*$G809,"")</f>
        <v/>
      </c>
      <c r="BI809" s="179" t="str">
        <f t="array" ref="BI809">IF($F809&lt;&gt;"",XLOOKUP($F809,Productos!$A:$A,Productos!BB:BB,"Revisar"),"")</f>
        <v/>
      </c>
      <c r="BJ809" s="179" t="str">
        <f t="array" ref="BJ809">IF($F809&lt;&gt;"", XLOOKUP($F809,Productos!$A$2:$A1001,Productos!BC$2:BC1001,"")*$G809,"")</f>
        <v/>
      </c>
      <c r="BK809" s="179" t="str">
        <f t="array" ref="BK809">IF($F809&lt;&gt;"",XLOOKUP($F809,Productos!$A:$A,Productos!BD:BD,"Revisar"),"")</f>
        <v/>
      </c>
      <c r="BL809" s="179" t="str">
        <f t="array" ref="BL809">IF($F809&lt;&gt;"", XLOOKUP($F809,Productos!$A$2:$A1001,Productos!BE$2:BE1001,"")*$G809,"")</f>
        <v/>
      </c>
      <c r="BM809" s="179" t="str">
        <f t="array" ref="BM809">IF($F809&lt;&gt;"",XLOOKUP($F809,Productos!$A:$A,Productos!BF:BF,"Revisar"),"")</f>
        <v/>
      </c>
      <c r="BN809" s="179" t="str">
        <f t="array" ref="BN809">IF($F809&lt;&gt;"", XLOOKUP($F809,Productos!$A$2:$A1001,Productos!BG$2:BG1001,"")*$G809,"")</f>
        <v/>
      </c>
      <c r="BO809" s="179" t="str">
        <f t="array" ref="BO809">IF($F809&lt;&gt;"",XLOOKUP($F809,Productos!$A:$A,Productos!BH:BH,"Revisar"),"")</f>
        <v/>
      </c>
      <c r="BP809" s="179" t="str">
        <f t="array" ref="BP809">IF($F809&lt;&gt;"", XLOOKUP($F809,Productos!$A$2:$A1001,Productos!BI$2:BI1001,"")*$G809,"")</f>
        <v/>
      </c>
      <c r="BQ809" s="179" t="str">
        <f t="array" ref="BQ809">IF($F809&lt;&gt;"",XLOOKUP($F809,Productos!$A:$A,Productos!BJ:BJ,"Revisar"),"")</f>
        <v/>
      </c>
      <c r="BR809" s="179" t="str">
        <f t="array" ref="BR809">IF($F809&lt;&gt;"", XLOOKUP($F809,Productos!$A$2:$A1001,Productos!BK$2:BK1001,"")*$G809,"")</f>
        <v/>
      </c>
      <c r="BS809" s="179" t="str">
        <f t="array" ref="BS809">IF($F809&lt;&gt;"",XLOOKUP($F809,Productos!$A:$A,Productos!BL:BL,"Revisar"),"")</f>
        <v/>
      </c>
      <c r="BT809" s="179" t="str">
        <f t="array" ref="BT809">IF($F809&lt;&gt;"", XLOOKUP($F809,Productos!$A$2:$A1001,Productos!BM$2:BM1001,"")*$G809,"")</f>
        <v/>
      </c>
      <c r="BU809" s="179" t="str">
        <f t="array" ref="BU809">IF($F809&lt;&gt;"",XLOOKUP($F809,Productos!$A:$A,Productos!BN:BN,"Revisar"),"")</f>
        <v/>
      </c>
      <c r="BV809" s="179" t="str">
        <f t="array" ref="BV809">IF($F809&lt;&gt;"", XLOOKUP($F809,Productos!$A$2:$A1001,Productos!BO$2:BO1001,"")*$G809,"")</f>
        <v/>
      </c>
      <c r="BW809" s="179" t="str">
        <f t="array" ref="BW809">IF($F809&lt;&gt;"",XLOOKUP($F809,Productos!$A:$A,Productos!BP:BP,"Revisar"),"")</f>
        <v/>
      </c>
      <c r="BX809" s="179" t="str">
        <f t="array" ref="BX809">IF($F809&lt;&gt;"", XLOOKUP($F809,Productos!$A$2:$A1001,Productos!BQ$2:BQ1001,"")*$G809,"")</f>
        <v/>
      </c>
      <c r="BY809" s="179" t="str">
        <f t="array" ref="BY809">IF($F809&lt;&gt;"",XLOOKUP($F809,Productos!$A:$A,Productos!BR:BR,"Revisar"),"")</f>
        <v/>
      </c>
      <c r="BZ809" s="179" t="str">
        <f t="array" ref="BZ809">IF($F809&lt;&gt;"", XLOOKUP($F809,Productos!$A$2:$A1001,Productos!BS$2:BS1001,"")*$G809,"")</f>
        <v/>
      </c>
    </row>
    <row r="810">
      <c r="A810" s="188"/>
      <c r="B810" s="189"/>
      <c r="C810" s="190"/>
      <c r="D810" s="190"/>
      <c r="E810" s="191"/>
      <c r="F810" s="186"/>
      <c r="G810" s="192"/>
      <c r="H810" s="9"/>
      <c r="I810" s="179" t="str">
        <f t="array" ref="I810">IF($F810&lt;&gt;"",XLOOKUP($F810,Productos!$A:$A,Productos!B:B,"Revisar"),"")</f>
        <v/>
      </c>
      <c r="J810" s="179" t="str">
        <f t="array" ref="J810">IF($F810&lt;&gt;"", XLOOKUP($F810,Productos!$A$2:$A1001,Productos!C$2:C1001,"")*$G810,"")</f>
        <v/>
      </c>
      <c r="K810" s="179" t="str">
        <f t="array" ref="K810">IF($F810&lt;&gt;"",XLOOKUP($F810,Productos!$A:$A,Productos!D:D,"Revisar"),"")</f>
        <v/>
      </c>
      <c r="L810" s="179" t="str">
        <f t="array" ref="L810">IF($F810&lt;&gt;"", XLOOKUP($F810,Productos!$A$2:$A1001,Productos!E$2:E1001,"")*$G810,"")</f>
        <v/>
      </c>
      <c r="M810" s="179" t="str">
        <f t="array" ref="M810">IF($F810&lt;&gt;"",XLOOKUP($F810,Productos!$A:$A,Productos!F:F,"Revisar"),"")</f>
        <v/>
      </c>
      <c r="N810" s="179" t="str">
        <f t="array" ref="N810">IF($F810&lt;&gt;"", XLOOKUP($F810,Productos!$A$2:$A1001,Productos!G$2:G1001,"")*$G810,"")</f>
        <v/>
      </c>
      <c r="O810" s="179" t="str">
        <f t="array" ref="O810">IF($F810&lt;&gt;"",XLOOKUP($F810,Productos!$A:$A,Productos!H:H,"Revisar"),"")</f>
        <v/>
      </c>
      <c r="P810" s="179" t="str">
        <f t="array" ref="P810">IF($F810&lt;&gt;"", XLOOKUP($F810,Productos!$A$2:$A1001,Productos!I$2:I1001,"")*$G810,"")</f>
        <v/>
      </c>
      <c r="Q810" s="179" t="str">
        <f t="array" ref="Q810">IF($F810&lt;&gt;"",XLOOKUP($F810,Productos!$A:$A,Productos!J:J,"Revisar"),"")</f>
        <v/>
      </c>
      <c r="R810" s="179" t="str">
        <f t="array" ref="R810">IF($F810&lt;&gt;"", XLOOKUP($F810,Productos!$A$2:$A1001,Productos!K$2:K1001,"")*$G810,"")</f>
        <v/>
      </c>
      <c r="S810" s="179" t="str">
        <f t="array" ref="S810">IF($F810&lt;&gt;"",XLOOKUP($F810,Productos!$A:$A,Productos!L:L,"Revisar"),"")</f>
        <v/>
      </c>
      <c r="T810" s="179" t="str">
        <f t="array" ref="T810">IF($F810&lt;&gt;"", XLOOKUP($F810,Productos!$A$2:$A1001,Productos!M$2:M1001,"")*$G810,"")</f>
        <v/>
      </c>
      <c r="U810" s="179" t="str">
        <f t="array" ref="U810">IF($F810&lt;&gt;"",XLOOKUP($F810,Productos!$A:$A,Productos!N:N,"Revisar"),"")</f>
        <v/>
      </c>
      <c r="V810" s="179" t="str">
        <f t="array" ref="V810">IF($F810&lt;&gt;"", XLOOKUP($F810,Productos!$A$2:$A1001,Productos!O$2:O1001,"")*$G810,"")</f>
        <v/>
      </c>
      <c r="W810" s="179" t="str">
        <f t="array" ref="W810">IF($F810&lt;&gt;"",XLOOKUP($F810,Productos!$A:$A,Productos!P:P,"Revisar"),"")</f>
        <v/>
      </c>
      <c r="X810" s="179" t="str">
        <f t="array" ref="X810">IF($F810&lt;&gt;"", XLOOKUP($F810,Productos!$A$2:$A1001,Productos!Q$2:Q1001,"")*$G810,"")</f>
        <v/>
      </c>
      <c r="Y810" s="179" t="str">
        <f t="array" ref="Y810">IF($F810&lt;&gt;"",XLOOKUP($F810,Productos!$A:$A,Productos!R:R,"Revisar"),"")</f>
        <v/>
      </c>
      <c r="Z810" s="179" t="str">
        <f t="array" ref="Z810">IF($F810&lt;&gt;"", XLOOKUP($F810,Productos!$A$2:$A1001,Productos!S$2:S1001,"")*$G810,"")</f>
        <v/>
      </c>
      <c r="AA810" s="179" t="str">
        <f t="array" ref="AA810">IF($F810&lt;&gt;"",XLOOKUP($F810,Productos!$A:$A,Productos!T:T,"Revisar"),"")</f>
        <v/>
      </c>
      <c r="AB810" s="179" t="str">
        <f t="array" ref="AB810">IF($F810&lt;&gt;"", XLOOKUP($F810,Productos!$A$2:$A1001,Productos!U$2:U1001,"")*$G810,"")</f>
        <v/>
      </c>
      <c r="AC810" s="179" t="str">
        <f t="array" ref="AC810">IF($F810&lt;&gt;"",XLOOKUP($F810,Productos!$A:$A,Productos!V:V,"Revisar"),"")</f>
        <v/>
      </c>
      <c r="AD810" s="179" t="str">
        <f t="array" ref="AD810">IF($F810&lt;&gt;"", XLOOKUP($F810,Productos!$A$2:$A1001,Productos!W$2:W1001,"")*$G810,"")</f>
        <v/>
      </c>
      <c r="AE810" s="179" t="str">
        <f t="array" ref="AE810">IF($F810&lt;&gt;"",XLOOKUP($F810,Productos!$A:$A,Productos!X:X,"Revisar"),"")</f>
        <v/>
      </c>
      <c r="AF810" s="179" t="str">
        <f t="array" ref="AF810">IF($F810&lt;&gt;"", XLOOKUP($F810,Productos!$A$2:$A1001,Productos!Y$2:Y1001,"")*$G810,"")</f>
        <v/>
      </c>
      <c r="AG810" s="179" t="str">
        <f t="array" ref="AG810">IF($F810&lt;&gt;"",XLOOKUP($F810,Productos!$A:$A,Productos!Z:Z,"Revisar"),"")</f>
        <v/>
      </c>
      <c r="AH810" s="179" t="str">
        <f t="array" ref="AH810">IF($F810&lt;&gt;"", XLOOKUP($F810,Productos!$A$2:$A1001,Productos!AA$2:AA1001,"")*$G810,"")</f>
        <v/>
      </c>
      <c r="AI810" s="179" t="str">
        <f t="array" ref="AI810">IF($F810&lt;&gt;"",XLOOKUP($F810,Productos!$A:$A,Productos!AB:AB,"Revisar"),"")</f>
        <v/>
      </c>
      <c r="AJ810" s="179" t="str">
        <f t="array" ref="AJ810">IF($F810&lt;&gt;"", XLOOKUP($F810,Productos!$A$2:$A1001,Productos!AC$2:AC1001,"")*$G810,"")</f>
        <v/>
      </c>
      <c r="AK810" s="179" t="str">
        <f t="array" ref="AK810">IF($F810&lt;&gt;"",XLOOKUP($F810,Productos!$A:$A,Productos!AD:AD,"Revisar"),"")</f>
        <v/>
      </c>
      <c r="AL810" s="179" t="str">
        <f t="array" ref="AL810">IF($F810&lt;&gt;"", XLOOKUP($F810,Productos!$A$2:$A1001,Productos!AE$2:AE1001,"")*$G810,"")</f>
        <v/>
      </c>
      <c r="AM810" s="179" t="str">
        <f t="array" ref="AM810">IF($F810&lt;&gt;"",XLOOKUP($F810,Productos!$A:$A,Productos!AF:AF,"Revisar"),"")</f>
        <v/>
      </c>
      <c r="AN810" s="179" t="str">
        <f t="array" ref="AN810">IF($F810&lt;&gt;"", XLOOKUP($F810,Productos!$A$2:$A1001,Productos!AG$2:AG1001,"")*$G810,"")</f>
        <v/>
      </c>
      <c r="AO810" s="179" t="str">
        <f t="array" ref="AO810">IF($F810&lt;&gt;"",XLOOKUP($F810,Productos!$A:$A,Productos!AH:AH,"Revisar"),"")</f>
        <v/>
      </c>
      <c r="AP810" s="179" t="str">
        <f t="array" ref="AP810">IF($F810&lt;&gt;"", XLOOKUP($F810,Productos!$A$2:$A1001,Productos!AI$2:AI1001,"")*$G810,"")</f>
        <v/>
      </c>
      <c r="AQ810" s="179" t="str">
        <f t="array" ref="AQ810">IF($F810&lt;&gt;"",XLOOKUP($F810,Productos!$A:$A,Productos!AJ:AJ,"Revisar"),"")</f>
        <v/>
      </c>
      <c r="AR810" s="179" t="str">
        <f t="array" ref="AR810">IF($F810&lt;&gt;"", XLOOKUP($F810,Productos!$A$2:$A1001,Productos!AK$2:AK1001,"")*$G810,"")</f>
        <v/>
      </c>
      <c r="AS810" s="179" t="str">
        <f t="array" ref="AS810">IF($F810&lt;&gt;"",XLOOKUP($F810,Productos!$A:$A,Productos!AL:AL,"Revisar"),"")</f>
        <v/>
      </c>
      <c r="AT810" s="179" t="str">
        <f t="array" ref="AT810">IF($F810&lt;&gt;"", XLOOKUP($F810,Productos!$A$2:$A1001,Productos!AM$2:AM1001,"")*$G810,"")</f>
        <v/>
      </c>
      <c r="AU810" s="179" t="str">
        <f t="array" ref="AU810">IF($F810&lt;&gt;"",XLOOKUP($F810,Productos!$A:$A,Productos!AN:AN,"Revisar"),"")</f>
        <v/>
      </c>
      <c r="AV810" s="179" t="str">
        <f t="array" ref="AV810">IF($F810&lt;&gt;"", XLOOKUP($F810,Productos!$A$2:$A1001,Productos!AO$2:AO1001,"")*$G810,"")</f>
        <v/>
      </c>
      <c r="AW810" s="179" t="str">
        <f t="array" ref="AW810">IF($F810&lt;&gt;"",XLOOKUP($F810,Productos!$A:$A,Productos!AP:AP,"Revisar"),"")</f>
        <v/>
      </c>
      <c r="AX810" s="179" t="str">
        <f t="array" ref="AX810">IF($F810&lt;&gt;"", XLOOKUP($F810,Productos!$A$2:$A1001,Productos!AQ$2:AQ1001,"")*$G810,"")</f>
        <v/>
      </c>
      <c r="AY810" s="179" t="str">
        <f t="array" ref="AY810">IF($F810&lt;&gt;"",XLOOKUP($F810,Productos!$A:$A,Productos!AR:AR,"Revisar"),"")</f>
        <v/>
      </c>
      <c r="AZ810" s="179" t="str">
        <f t="array" ref="AZ810">IF($F810&lt;&gt;"", XLOOKUP($F810,Productos!$A$2:$A1001,Productos!AS$2:AS1001,"")*$G810,"")</f>
        <v/>
      </c>
      <c r="BA810" s="179" t="str">
        <f t="array" ref="BA810">IF($F810&lt;&gt;"",XLOOKUP($F810,Productos!$A:$A,Productos!AT:AT,"Revisar"),"")</f>
        <v/>
      </c>
      <c r="BB810" s="179" t="str">
        <f t="array" ref="BB810">IF($F810&lt;&gt;"", XLOOKUP($F810,Productos!$A$2:$A1001,Productos!AU$2:AU1001,"")*$G810,"")</f>
        <v/>
      </c>
      <c r="BC810" s="179" t="str">
        <f t="array" ref="BC810">IF($F810&lt;&gt;"",XLOOKUP($F810,Productos!$A:$A,Productos!AV:AV,"Revisar"),"")</f>
        <v/>
      </c>
      <c r="BD810" s="179" t="str">
        <f t="array" ref="BD810">IF($F810&lt;&gt;"", XLOOKUP($F810,Productos!$A$2:$A1001,Productos!AW$2:AW1001,"")*$G810,"")</f>
        <v/>
      </c>
      <c r="BE810" s="179" t="str">
        <f t="array" ref="BE810">IF($F810&lt;&gt;"",XLOOKUP($F810,Productos!$A:$A,Productos!AX:AX,"Revisar"),"")</f>
        <v/>
      </c>
      <c r="BF810" s="179" t="str">
        <f t="array" ref="BF810">IF($F810&lt;&gt;"", XLOOKUP($F810,Productos!$A$2:$A1001,Productos!AY$2:AY1001,"")*$G810,"")</f>
        <v/>
      </c>
      <c r="BG810" s="179" t="str">
        <f t="array" ref="BG810">IF($F810&lt;&gt;"",XLOOKUP($F810,Productos!$A:$A,Productos!AZ:AZ,"Revisar"),"")</f>
        <v/>
      </c>
      <c r="BH810" s="179" t="str">
        <f t="array" ref="BH810">IF($F810&lt;&gt;"", XLOOKUP($F810,Productos!$A$2:$A1001,Productos!BA$2:BA1001,"")*$G810,"")</f>
        <v/>
      </c>
      <c r="BI810" s="179" t="str">
        <f t="array" ref="BI810">IF($F810&lt;&gt;"",XLOOKUP($F810,Productos!$A:$A,Productos!BB:BB,"Revisar"),"")</f>
        <v/>
      </c>
      <c r="BJ810" s="179" t="str">
        <f t="array" ref="BJ810">IF($F810&lt;&gt;"", XLOOKUP($F810,Productos!$A$2:$A1001,Productos!BC$2:BC1001,"")*$G810,"")</f>
        <v/>
      </c>
      <c r="BK810" s="179" t="str">
        <f t="array" ref="BK810">IF($F810&lt;&gt;"",XLOOKUP($F810,Productos!$A:$A,Productos!BD:BD,"Revisar"),"")</f>
        <v/>
      </c>
      <c r="BL810" s="179" t="str">
        <f t="array" ref="BL810">IF($F810&lt;&gt;"", XLOOKUP($F810,Productos!$A$2:$A1001,Productos!BE$2:BE1001,"")*$G810,"")</f>
        <v/>
      </c>
      <c r="BM810" s="179" t="str">
        <f t="array" ref="BM810">IF($F810&lt;&gt;"",XLOOKUP($F810,Productos!$A:$A,Productos!BF:BF,"Revisar"),"")</f>
        <v/>
      </c>
      <c r="BN810" s="179" t="str">
        <f t="array" ref="BN810">IF($F810&lt;&gt;"", XLOOKUP($F810,Productos!$A$2:$A1001,Productos!BG$2:BG1001,"")*$G810,"")</f>
        <v/>
      </c>
      <c r="BO810" s="179" t="str">
        <f t="array" ref="BO810">IF($F810&lt;&gt;"",XLOOKUP($F810,Productos!$A:$A,Productos!BH:BH,"Revisar"),"")</f>
        <v/>
      </c>
      <c r="BP810" s="179" t="str">
        <f t="array" ref="BP810">IF($F810&lt;&gt;"", XLOOKUP($F810,Productos!$A$2:$A1001,Productos!BI$2:BI1001,"")*$G810,"")</f>
        <v/>
      </c>
      <c r="BQ810" s="179" t="str">
        <f t="array" ref="BQ810">IF($F810&lt;&gt;"",XLOOKUP($F810,Productos!$A:$A,Productos!BJ:BJ,"Revisar"),"")</f>
        <v/>
      </c>
      <c r="BR810" s="179" t="str">
        <f t="array" ref="BR810">IF($F810&lt;&gt;"", XLOOKUP($F810,Productos!$A$2:$A1001,Productos!BK$2:BK1001,"")*$G810,"")</f>
        <v/>
      </c>
      <c r="BS810" s="179" t="str">
        <f t="array" ref="BS810">IF($F810&lt;&gt;"",XLOOKUP($F810,Productos!$A:$A,Productos!BL:BL,"Revisar"),"")</f>
        <v/>
      </c>
      <c r="BT810" s="179" t="str">
        <f t="array" ref="BT810">IF($F810&lt;&gt;"", XLOOKUP($F810,Productos!$A$2:$A1001,Productos!BM$2:BM1001,"")*$G810,"")</f>
        <v/>
      </c>
      <c r="BU810" s="179" t="str">
        <f t="array" ref="BU810">IF($F810&lt;&gt;"",XLOOKUP($F810,Productos!$A:$A,Productos!BN:BN,"Revisar"),"")</f>
        <v/>
      </c>
      <c r="BV810" s="179" t="str">
        <f t="array" ref="BV810">IF($F810&lt;&gt;"", XLOOKUP($F810,Productos!$A$2:$A1001,Productos!BO$2:BO1001,"")*$G810,"")</f>
        <v/>
      </c>
      <c r="BW810" s="179" t="str">
        <f t="array" ref="BW810">IF($F810&lt;&gt;"",XLOOKUP($F810,Productos!$A:$A,Productos!BP:BP,"Revisar"),"")</f>
        <v/>
      </c>
      <c r="BX810" s="179" t="str">
        <f t="array" ref="BX810">IF($F810&lt;&gt;"", XLOOKUP($F810,Productos!$A$2:$A1001,Productos!BQ$2:BQ1001,"")*$G810,"")</f>
        <v/>
      </c>
      <c r="BY810" s="179" t="str">
        <f t="array" ref="BY810">IF($F810&lt;&gt;"",XLOOKUP($F810,Productos!$A:$A,Productos!BR:BR,"Revisar"),"")</f>
        <v/>
      </c>
      <c r="BZ810" s="179" t="str">
        <f t="array" ref="BZ810">IF($F810&lt;&gt;"", XLOOKUP($F810,Productos!$A$2:$A1001,Productos!BS$2:BS1001,"")*$G810,"")</f>
        <v/>
      </c>
    </row>
    <row r="811">
      <c r="A811" s="188"/>
      <c r="B811" s="189"/>
      <c r="C811" s="190"/>
      <c r="D811" s="190"/>
      <c r="E811" s="191"/>
      <c r="F811" s="186"/>
      <c r="G811" s="192"/>
      <c r="H811" s="9"/>
      <c r="I811" s="179" t="str">
        <f t="array" ref="I811">IF($F811&lt;&gt;"",XLOOKUP($F811,Productos!$A:$A,Productos!B:B,"Revisar"),"")</f>
        <v/>
      </c>
      <c r="J811" s="179" t="str">
        <f t="array" ref="J811">IF($F811&lt;&gt;"", XLOOKUP($F811,Productos!$A$2:$A1001,Productos!C$2:C1001,"")*$G811,"")</f>
        <v/>
      </c>
      <c r="K811" s="179" t="str">
        <f t="array" ref="K811">IF($F811&lt;&gt;"",XLOOKUP($F811,Productos!$A:$A,Productos!D:D,"Revisar"),"")</f>
        <v/>
      </c>
      <c r="L811" s="179" t="str">
        <f t="array" ref="L811">IF($F811&lt;&gt;"", XLOOKUP($F811,Productos!$A$2:$A1001,Productos!E$2:E1001,"")*$G811,"")</f>
        <v/>
      </c>
      <c r="M811" s="179" t="str">
        <f t="array" ref="M811">IF($F811&lt;&gt;"",XLOOKUP($F811,Productos!$A:$A,Productos!F:F,"Revisar"),"")</f>
        <v/>
      </c>
      <c r="N811" s="179" t="str">
        <f t="array" ref="N811">IF($F811&lt;&gt;"", XLOOKUP($F811,Productos!$A$2:$A1001,Productos!G$2:G1001,"")*$G811,"")</f>
        <v/>
      </c>
      <c r="O811" s="179" t="str">
        <f t="array" ref="O811">IF($F811&lt;&gt;"",XLOOKUP($F811,Productos!$A:$A,Productos!H:H,"Revisar"),"")</f>
        <v/>
      </c>
      <c r="P811" s="179" t="str">
        <f t="array" ref="P811">IF($F811&lt;&gt;"", XLOOKUP($F811,Productos!$A$2:$A1001,Productos!I$2:I1001,"")*$G811,"")</f>
        <v/>
      </c>
      <c r="Q811" s="179" t="str">
        <f t="array" ref="Q811">IF($F811&lt;&gt;"",XLOOKUP($F811,Productos!$A:$A,Productos!J:J,"Revisar"),"")</f>
        <v/>
      </c>
      <c r="R811" s="179" t="str">
        <f t="array" ref="R811">IF($F811&lt;&gt;"", XLOOKUP($F811,Productos!$A$2:$A1001,Productos!K$2:K1001,"")*$G811,"")</f>
        <v/>
      </c>
      <c r="S811" s="179" t="str">
        <f t="array" ref="S811">IF($F811&lt;&gt;"",XLOOKUP($F811,Productos!$A:$A,Productos!L:L,"Revisar"),"")</f>
        <v/>
      </c>
      <c r="T811" s="179" t="str">
        <f t="array" ref="T811">IF($F811&lt;&gt;"", XLOOKUP($F811,Productos!$A$2:$A1001,Productos!M$2:M1001,"")*$G811,"")</f>
        <v/>
      </c>
      <c r="U811" s="179" t="str">
        <f t="array" ref="U811">IF($F811&lt;&gt;"",XLOOKUP($F811,Productos!$A:$A,Productos!N:N,"Revisar"),"")</f>
        <v/>
      </c>
      <c r="V811" s="179" t="str">
        <f t="array" ref="V811">IF($F811&lt;&gt;"", XLOOKUP($F811,Productos!$A$2:$A1001,Productos!O$2:O1001,"")*$G811,"")</f>
        <v/>
      </c>
      <c r="W811" s="179" t="str">
        <f t="array" ref="W811">IF($F811&lt;&gt;"",XLOOKUP($F811,Productos!$A:$A,Productos!P:P,"Revisar"),"")</f>
        <v/>
      </c>
      <c r="X811" s="179" t="str">
        <f t="array" ref="X811">IF($F811&lt;&gt;"", XLOOKUP($F811,Productos!$A$2:$A1001,Productos!Q$2:Q1001,"")*$G811,"")</f>
        <v/>
      </c>
      <c r="Y811" s="179" t="str">
        <f t="array" ref="Y811">IF($F811&lt;&gt;"",XLOOKUP($F811,Productos!$A:$A,Productos!R:R,"Revisar"),"")</f>
        <v/>
      </c>
      <c r="Z811" s="179" t="str">
        <f t="array" ref="Z811">IF($F811&lt;&gt;"", XLOOKUP($F811,Productos!$A$2:$A1001,Productos!S$2:S1001,"")*$G811,"")</f>
        <v/>
      </c>
      <c r="AA811" s="179" t="str">
        <f t="array" ref="AA811">IF($F811&lt;&gt;"",XLOOKUP($F811,Productos!$A:$A,Productos!T:T,"Revisar"),"")</f>
        <v/>
      </c>
      <c r="AB811" s="179" t="str">
        <f t="array" ref="AB811">IF($F811&lt;&gt;"", XLOOKUP($F811,Productos!$A$2:$A1001,Productos!U$2:U1001,"")*$G811,"")</f>
        <v/>
      </c>
      <c r="AC811" s="179" t="str">
        <f t="array" ref="AC811">IF($F811&lt;&gt;"",XLOOKUP($F811,Productos!$A:$A,Productos!V:V,"Revisar"),"")</f>
        <v/>
      </c>
      <c r="AD811" s="179" t="str">
        <f t="array" ref="AD811">IF($F811&lt;&gt;"", XLOOKUP($F811,Productos!$A$2:$A1001,Productos!W$2:W1001,"")*$G811,"")</f>
        <v/>
      </c>
      <c r="AE811" s="179" t="str">
        <f t="array" ref="AE811">IF($F811&lt;&gt;"",XLOOKUP($F811,Productos!$A:$A,Productos!X:X,"Revisar"),"")</f>
        <v/>
      </c>
      <c r="AF811" s="179" t="str">
        <f t="array" ref="AF811">IF($F811&lt;&gt;"", XLOOKUP($F811,Productos!$A$2:$A1001,Productos!Y$2:Y1001,"")*$G811,"")</f>
        <v/>
      </c>
      <c r="AG811" s="179" t="str">
        <f t="array" ref="AG811">IF($F811&lt;&gt;"",XLOOKUP($F811,Productos!$A:$A,Productos!Z:Z,"Revisar"),"")</f>
        <v/>
      </c>
      <c r="AH811" s="179" t="str">
        <f t="array" ref="AH811">IF($F811&lt;&gt;"", XLOOKUP($F811,Productos!$A$2:$A1001,Productos!AA$2:AA1001,"")*$G811,"")</f>
        <v/>
      </c>
      <c r="AI811" s="179" t="str">
        <f t="array" ref="AI811">IF($F811&lt;&gt;"",XLOOKUP($F811,Productos!$A:$A,Productos!AB:AB,"Revisar"),"")</f>
        <v/>
      </c>
      <c r="AJ811" s="179" t="str">
        <f t="array" ref="AJ811">IF($F811&lt;&gt;"", XLOOKUP($F811,Productos!$A$2:$A1001,Productos!AC$2:AC1001,"")*$G811,"")</f>
        <v/>
      </c>
      <c r="AK811" s="179" t="str">
        <f t="array" ref="AK811">IF($F811&lt;&gt;"",XLOOKUP($F811,Productos!$A:$A,Productos!AD:AD,"Revisar"),"")</f>
        <v/>
      </c>
      <c r="AL811" s="179" t="str">
        <f t="array" ref="AL811">IF($F811&lt;&gt;"", XLOOKUP($F811,Productos!$A$2:$A1001,Productos!AE$2:AE1001,"")*$G811,"")</f>
        <v/>
      </c>
      <c r="AM811" s="179" t="str">
        <f t="array" ref="AM811">IF($F811&lt;&gt;"",XLOOKUP($F811,Productos!$A:$A,Productos!AF:AF,"Revisar"),"")</f>
        <v/>
      </c>
      <c r="AN811" s="179" t="str">
        <f t="array" ref="AN811">IF($F811&lt;&gt;"", XLOOKUP($F811,Productos!$A$2:$A1001,Productos!AG$2:AG1001,"")*$G811,"")</f>
        <v/>
      </c>
      <c r="AO811" s="179" t="str">
        <f t="array" ref="AO811">IF($F811&lt;&gt;"",XLOOKUP($F811,Productos!$A:$A,Productos!AH:AH,"Revisar"),"")</f>
        <v/>
      </c>
      <c r="AP811" s="179" t="str">
        <f t="array" ref="AP811">IF($F811&lt;&gt;"", XLOOKUP($F811,Productos!$A$2:$A1001,Productos!AI$2:AI1001,"")*$G811,"")</f>
        <v/>
      </c>
      <c r="AQ811" s="179" t="str">
        <f t="array" ref="AQ811">IF($F811&lt;&gt;"",XLOOKUP($F811,Productos!$A:$A,Productos!AJ:AJ,"Revisar"),"")</f>
        <v/>
      </c>
      <c r="AR811" s="179" t="str">
        <f t="array" ref="AR811">IF($F811&lt;&gt;"", XLOOKUP($F811,Productos!$A$2:$A1001,Productos!AK$2:AK1001,"")*$G811,"")</f>
        <v/>
      </c>
      <c r="AS811" s="179" t="str">
        <f t="array" ref="AS811">IF($F811&lt;&gt;"",XLOOKUP($F811,Productos!$A:$A,Productos!AL:AL,"Revisar"),"")</f>
        <v/>
      </c>
      <c r="AT811" s="179" t="str">
        <f t="array" ref="AT811">IF($F811&lt;&gt;"", XLOOKUP($F811,Productos!$A$2:$A1001,Productos!AM$2:AM1001,"")*$G811,"")</f>
        <v/>
      </c>
      <c r="AU811" s="179" t="str">
        <f t="array" ref="AU811">IF($F811&lt;&gt;"",XLOOKUP($F811,Productos!$A:$A,Productos!AN:AN,"Revisar"),"")</f>
        <v/>
      </c>
      <c r="AV811" s="179" t="str">
        <f t="array" ref="AV811">IF($F811&lt;&gt;"", XLOOKUP($F811,Productos!$A$2:$A1001,Productos!AO$2:AO1001,"")*$G811,"")</f>
        <v/>
      </c>
      <c r="AW811" s="179" t="str">
        <f t="array" ref="AW811">IF($F811&lt;&gt;"",XLOOKUP($F811,Productos!$A:$A,Productos!AP:AP,"Revisar"),"")</f>
        <v/>
      </c>
      <c r="AX811" s="179" t="str">
        <f t="array" ref="AX811">IF($F811&lt;&gt;"", XLOOKUP($F811,Productos!$A$2:$A1001,Productos!AQ$2:AQ1001,"")*$G811,"")</f>
        <v/>
      </c>
      <c r="AY811" s="179" t="str">
        <f t="array" ref="AY811">IF($F811&lt;&gt;"",XLOOKUP($F811,Productos!$A:$A,Productos!AR:AR,"Revisar"),"")</f>
        <v/>
      </c>
      <c r="AZ811" s="179" t="str">
        <f t="array" ref="AZ811">IF($F811&lt;&gt;"", XLOOKUP($F811,Productos!$A$2:$A1001,Productos!AS$2:AS1001,"")*$G811,"")</f>
        <v/>
      </c>
      <c r="BA811" s="179" t="str">
        <f t="array" ref="BA811">IF($F811&lt;&gt;"",XLOOKUP($F811,Productos!$A:$A,Productos!AT:AT,"Revisar"),"")</f>
        <v/>
      </c>
      <c r="BB811" s="179" t="str">
        <f t="array" ref="BB811">IF($F811&lt;&gt;"", XLOOKUP($F811,Productos!$A$2:$A1001,Productos!AU$2:AU1001,"")*$G811,"")</f>
        <v/>
      </c>
      <c r="BC811" s="179" t="str">
        <f t="array" ref="BC811">IF($F811&lt;&gt;"",XLOOKUP($F811,Productos!$A:$A,Productos!AV:AV,"Revisar"),"")</f>
        <v/>
      </c>
      <c r="BD811" s="179" t="str">
        <f t="array" ref="BD811">IF($F811&lt;&gt;"", XLOOKUP($F811,Productos!$A$2:$A1001,Productos!AW$2:AW1001,"")*$G811,"")</f>
        <v/>
      </c>
      <c r="BE811" s="179" t="str">
        <f t="array" ref="BE811">IF($F811&lt;&gt;"",XLOOKUP($F811,Productos!$A:$A,Productos!AX:AX,"Revisar"),"")</f>
        <v/>
      </c>
      <c r="BF811" s="179" t="str">
        <f t="array" ref="BF811">IF($F811&lt;&gt;"", XLOOKUP($F811,Productos!$A$2:$A1001,Productos!AY$2:AY1001,"")*$G811,"")</f>
        <v/>
      </c>
      <c r="BG811" s="179" t="str">
        <f t="array" ref="BG811">IF($F811&lt;&gt;"",XLOOKUP($F811,Productos!$A:$A,Productos!AZ:AZ,"Revisar"),"")</f>
        <v/>
      </c>
      <c r="BH811" s="179" t="str">
        <f t="array" ref="BH811">IF($F811&lt;&gt;"", XLOOKUP($F811,Productos!$A$2:$A1001,Productos!BA$2:BA1001,"")*$G811,"")</f>
        <v/>
      </c>
      <c r="BI811" s="179" t="str">
        <f t="array" ref="BI811">IF($F811&lt;&gt;"",XLOOKUP($F811,Productos!$A:$A,Productos!BB:BB,"Revisar"),"")</f>
        <v/>
      </c>
      <c r="BJ811" s="179" t="str">
        <f t="array" ref="BJ811">IF($F811&lt;&gt;"", XLOOKUP($F811,Productos!$A$2:$A1001,Productos!BC$2:BC1001,"")*$G811,"")</f>
        <v/>
      </c>
      <c r="BK811" s="179" t="str">
        <f t="array" ref="BK811">IF($F811&lt;&gt;"",XLOOKUP($F811,Productos!$A:$A,Productos!BD:BD,"Revisar"),"")</f>
        <v/>
      </c>
      <c r="BL811" s="179" t="str">
        <f t="array" ref="BL811">IF($F811&lt;&gt;"", XLOOKUP($F811,Productos!$A$2:$A1001,Productos!BE$2:BE1001,"")*$G811,"")</f>
        <v/>
      </c>
      <c r="BM811" s="179" t="str">
        <f t="array" ref="BM811">IF($F811&lt;&gt;"",XLOOKUP($F811,Productos!$A:$A,Productos!BF:BF,"Revisar"),"")</f>
        <v/>
      </c>
      <c r="BN811" s="179" t="str">
        <f t="array" ref="BN811">IF($F811&lt;&gt;"", XLOOKUP($F811,Productos!$A$2:$A1001,Productos!BG$2:BG1001,"")*$G811,"")</f>
        <v/>
      </c>
      <c r="BO811" s="179" t="str">
        <f t="array" ref="BO811">IF($F811&lt;&gt;"",XLOOKUP($F811,Productos!$A:$A,Productos!BH:BH,"Revisar"),"")</f>
        <v/>
      </c>
      <c r="BP811" s="179" t="str">
        <f t="array" ref="BP811">IF($F811&lt;&gt;"", XLOOKUP($F811,Productos!$A$2:$A1001,Productos!BI$2:BI1001,"")*$G811,"")</f>
        <v/>
      </c>
      <c r="BQ811" s="179" t="str">
        <f t="array" ref="BQ811">IF($F811&lt;&gt;"",XLOOKUP($F811,Productos!$A:$A,Productos!BJ:BJ,"Revisar"),"")</f>
        <v/>
      </c>
      <c r="BR811" s="179" t="str">
        <f t="array" ref="BR811">IF($F811&lt;&gt;"", XLOOKUP($F811,Productos!$A$2:$A1001,Productos!BK$2:BK1001,"")*$G811,"")</f>
        <v/>
      </c>
      <c r="BS811" s="179" t="str">
        <f t="array" ref="BS811">IF($F811&lt;&gt;"",XLOOKUP($F811,Productos!$A:$A,Productos!BL:BL,"Revisar"),"")</f>
        <v/>
      </c>
      <c r="BT811" s="179" t="str">
        <f t="array" ref="BT811">IF($F811&lt;&gt;"", XLOOKUP($F811,Productos!$A$2:$A1001,Productos!BM$2:BM1001,"")*$G811,"")</f>
        <v/>
      </c>
      <c r="BU811" s="179" t="str">
        <f t="array" ref="BU811">IF($F811&lt;&gt;"",XLOOKUP($F811,Productos!$A:$A,Productos!BN:BN,"Revisar"),"")</f>
        <v/>
      </c>
      <c r="BV811" s="179" t="str">
        <f t="array" ref="BV811">IF($F811&lt;&gt;"", XLOOKUP($F811,Productos!$A$2:$A1001,Productos!BO$2:BO1001,"")*$G811,"")</f>
        <v/>
      </c>
      <c r="BW811" s="179" t="str">
        <f t="array" ref="BW811">IF($F811&lt;&gt;"",XLOOKUP($F811,Productos!$A:$A,Productos!BP:BP,"Revisar"),"")</f>
        <v/>
      </c>
      <c r="BX811" s="179" t="str">
        <f t="array" ref="BX811">IF($F811&lt;&gt;"", XLOOKUP($F811,Productos!$A$2:$A1001,Productos!BQ$2:BQ1001,"")*$G811,"")</f>
        <v/>
      </c>
      <c r="BY811" s="179" t="str">
        <f t="array" ref="BY811">IF($F811&lt;&gt;"",XLOOKUP($F811,Productos!$A:$A,Productos!BR:BR,"Revisar"),"")</f>
        <v/>
      </c>
      <c r="BZ811" s="179" t="str">
        <f t="array" ref="BZ811">IF($F811&lt;&gt;"", XLOOKUP($F811,Productos!$A$2:$A1001,Productos!BS$2:BS1001,"")*$G811,"")</f>
        <v/>
      </c>
    </row>
    <row r="812">
      <c r="A812" s="188"/>
      <c r="B812" s="189"/>
      <c r="C812" s="190"/>
      <c r="D812" s="190"/>
      <c r="E812" s="191"/>
      <c r="F812" s="186"/>
      <c r="G812" s="192"/>
      <c r="H812" s="9"/>
      <c r="I812" s="179" t="str">
        <f t="array" ref="I812">IF($F812&lt;&gt;"",XLOOKUP($F812,Productos!$A:$A,Productos!B:B,"Revisar"),"")</f>
        <v/>
      </c>
      <c r="J812" s="179" t="str">
        <f t="array" ref="J812">IF($F812&lt;&gt;"", XLOOKUP($F812,Productos!$A$2:$A1001,Productos!C$2:C1001,"")*$G812,"")</f>
        <v/>
      </c>
      <c r="K812" s="179" t="str">
        <f t="array" ref="K812">IF($F812&lt;&gt;"",XLOOKUP($F812,Productos!$A:$A,Productos!D:D,"Revisar"),"")</f>
        <v/>
      </c>
      <c r="L812" s="179" t="str">
        <f t="array" ref="L812">IF($F812&lt;&gt;"", XLOOKUP($F812,Productos!$A$2:$A1001,Productos!E$2:E1001,"")*$G812,"")</f>
        <v/>
      </c>
      <c r="M812" s="179" t="str">
        <f t="array" ref="M812">IF($F812&lt;&gt;"",XLOOKUP($F812,Productos!$A:$A,Productos!F:F,"Revisar"),"")</f>
        <v/>
      </c>
      <c r="N812" s="179" t="str">
        <f t="array" ref="N812">IF($F812&lt;&gt;"", XLOOKUP($F812,Productos!$A$2:$A1001,Productos!G$2:G1001,"")*$G812,"")</f>
        <v/>
      </c>
      <c r="O812" s="179" t="str">
        <f t="array" ref="O812">IF($F812&lt;&gt;"",XLOOKUP($F812,Productos!$A:$A,Productos!H:H,"Revisar"),"")</f>
        <v/>
      </c>
      <c r="P812" s="179" t="str">
        <f t="array" ref="P812">IF($F812&lt;&gt;"", XLOOKUP($F812,Productos!$A$2:$A1001,Productos!I$2:I1001,"")*$G812,"")</f>
        <v/>
      </c>
      <c r="Q812" s="179" t="str">
        <f t="array" ref="Q812">IF($F812&lt;&gt;"",XLOOKUP($F812,Productos!$A:$A,Productos!J:J,"Revisar"),"")</f>
        <v/>
      </c>
      <c r="R812" s="179" t="str">
        <f t="array" ref="R812">IF($F812&lt;&gt;"", XLOOKUP($F812,Productos!$A$2:$A1001,Productos!K$2:K1001,"")*$G812,"")</f>
        <v/>
      </c>
      <c r="S812" s="179" t="str">
        <f t="array" ref="S812">IF($F812&lt;&gt;"",XLOOKUP($F812,Productos!$A:$A,Productos!L:L,"Revisar"),"")</f>
        <v/>
      </c>
      <c r="T812" s="179" t="str">
        <f t="array" ref="T812">IF($F812&lt;&gt;"", XLOOKUP($F812,Productos!$A$2:$A1001,Productos!M$2:M1001,"")*$G812,"")</f>
        <v/>
      </c>
      <c r="U812" s="179" t="str">
        <f t="array" ref="U812">IF($F812&lt;&gt;"",XLOOKUP($F812,Productos!$A:$A,Productos!N:N,"Revisar"),"")</f>
        <v/>
      </c>
      <c r="V812" s="179" t="str">
        <f t="array" ref="V812">IF($F812&lt;&gt;"", XLOOKUP($F812,Productos!$A$2:$A1001,Productos!O$2:O1001,"")*$G812,"")</f>
        <v/>
      </c>
      <c r="W812" s="179" t="str">
        <f t="array" ref="W812">IF($F812&lt;&gt;"",XLOOKUP($F812,Productos!$A:$A,Productos!P:P,"Revisar"),"")</f>
        <v/>
      </c>
      <c r="X812" s="179" t="str">
        <f t="array" ref="X812">IF($F812&lt;&gt;"", XLOOKUP($F812,Productos!$A$2:$A1001,Productos!Q$2:Q1001,"")*$G812,"")</f>
        <v/>
      </c>
      <c r="Y812" s="179" t="str">
        <f t="array" ref="Y812">IF($F812&lt;&gt;"",XLOOKUP($F812,Productos!$A:$A,Productos!R:R,"Revisar"),"")</f>
        <v/>
      </c>
      <c r="Z812" s="179" t="str">
        <f t="array" ref="Z812">IF($F812&lt;&gt;"", XLOOKUP($F812,Productos!$A$2:$A1001,Productos!S$2:S1001,"")*$G812,"")</f>
        <v/>
      </c>
      <c r="AA812" s="179" t="str">
        <f t="array" ref="AA812">IF($F812&lt;&gt;"",XLOOKUP($F812,Productos!$A:$A,Productos!T:T,"Revisar"),"")</f>
        <v/>
      </c>
      <c r="AB812" s="179" t="str">
        <f t="array" ref="AB812">IF($F812&lt;&gt;"", XLOOKUP($F812,Productos!$A$2:$A1001,Productos!U$2:U1001,"")*$G812,"")</f>
        <v/>
      </c>
      <c r="AC812" s="179" t="str">
        <f t="array" ref="AC812">IF($F812&lt;&gt;"",XLOOKUP($F812,Productos!$A:$A,Productos!V:V,"Revisar"),"")</f>
        <v/>
      </c>
      <c r="AD812" s="179" t="str">
        <f t="array" ref="AD812">IF($F812&lt;&gt;"", XLOOKUP($F812,Productos!$A$2:$A1001,Productos!W$2:W1001,"")*$G812,"")</f>
        <v/>
      </c>
      <c r="AE812" s="179" t="str">
        <f t="array" ref="AE812">IF($F812&lt;&gt;"",XLOOKUP($F812,Productos!$A:$A,Productos!X:X,"Revisar"),"")</f>
        <v/>
      </c>
      <c r="AF812" s="179" t="str">
        <f t="array" ref="AF812">IF($F812&lt;&gt;"", XLOOKUP($F812,Productos!$A$2:$A1001,Productos!Y$2:Y1001,"")*$G812,"")</f>
        <v/>
      </c>
      <c r="AG812" s="179" t="str">
        <f t="array" ref="AG812">IF($F812&lt;&gt;"",XLOOKUP($F812,Productos!$A:$A,Productos!Z:Z,"Revisar"),"")</f>
        <v/>
      </c>
      <c r="AH812" s="179" t="str">
        <f t="array" ref="AH812">IF($F812&lt;&gt;"", XLOOKUP($F812,Productos!$A$2:$A1001,Productos!AA$2:AA1001,"")*$G812,"")</f>
        <v/>
      </c>
      <c r="AI812" s="179" t="str">
        <f t="array" ref="AI812">IF($F812&lt;&gt;"",XLOOKUP($F812,Productos!$A:$A,Productos!AB:AB,"Revisar"),"")</f>
        <v/>
      </c>
      <c r="AJ812" s="179" t="str">
        <f t="array" ref="AJ812">IF($F812&lt;&gt;"", XLOOKUP($F812,Productos!$A$2:$A1001,Productos!AC$2:AC1001,"")*$G812,"")</f>
        <v/>
      </c>
      <c r="AK812" s="179" t="str">
        <f t="array" ref="AK812">IF($F812&lt;&gt;"",XLOOKUP($F812,Productos!$A:$A,Productos!AD:AD,"Revisar"),"")</f>
        <v/>
      </c>
      <c r="AL812" s="179" t="str">
        <f t="array" ref="AL812">IF($F812&lt;&gt;"", XLOOKUP($F812,Productos!$A$2:$A1001,Productos!AE$2:AE1001,"")*$G812,"")</f>
        <v/>
      </c>
      <c r="AM812" s="179" t="str">
        <f t="array" ref="AM812">IF($F812&lt;&gt;"",XLOOKUP($F812,Productos!$A:$A,Productos!AF:AF,"Revisar"),"")</f>
        <v/>
      </c>
      <c r="AN812" s="179" t="str">
        <f t="array" ref="AN812">IF($F812&lt;&gt;"", XLOOKUP($F812,Productos!$A$2:$A1001,Productos!AG$2:AG1001,"")*$G812,"")</f>
        <v/>
      </c>
      <c r="AO812" s="179" t="str">
        <f t="array" ref="AO812">IF($F812&lt;&gt;"",XLOOKUP($F812,Productos!$A:$A,Productos!AH:AH,"Revisar"),"")</f>
        <v/>
      </c>
      <c r="AP812" s="179" t="str">
        <f t="array" ref="AP812">IF($F812&lt;&gt;"", XLOOKUP($F812,Productos!$A$2:$A1001,Productos!AI$2:AI1001,"")*$G812,"")</f>
        <v/>
      </c>
      <c r="AQ812" s="179" t="str">
        <f t="array" ref="AQ812">IF($F812&lt;&gt;"",XLOOKUP($F812,Productos!$A:$A,Productos!AJ:AJ,"Revisar"),"")</f>
        <v/>
      </c>
      <c r="AR812" s="179" t="str">
        <f t="array" ref="AR812">IF($F812&lt;&gt;"", XLOOKUP($F812,Productos!$A$2:$A1001,Productos!AK$2:AK1001,"")*$G812,"")</f>
        <v/>
      </c>
      <c r="AS812" s="179" t="str">
        <f t="array" ref="AS812">IF($F812&lt;&gt;"",XLOOKUP($F812,Productos!$A:$A,Productos!AL:AL,"Revisar"),"")</f>
        <v/>
      </c>
      <c r="AT812" s="179" t="str">
        <f t="array" ref="AT812">IF($F812&lt;&gt;"", XLOOKUP($F812,Productos!$A$2:$A1001,Productos!AM$2:AM1001,"")*$G812,"")</f>
        <v/>
      </c>
      <c r="AU812" s="179" t="str">
        <f t="array" ref="AU812">IF($F812&lt;&gt;"",XLOOKUP($F812,Productos!$A:$A,Productos!AN:AN,"Revisar"),"")</f>
        <v/>
      </c>
      <c r="AV812" s="179" t="str">
        <f t="array" ref="AV812">IF($F812&lt;&gt;"", XLOOKUP($F812,Productos!$A$2:$A1001,Productos!AO$2:AO1001,"")*$G812,"")</f>
        <v/>
      </c>
      <c r="AW812" s="179" t="str">
        <f t="array" ref="AW812">IF($F812&lt;&gt;"",XLOOKUP($F812,Productos!$A:$A,Productos!AP:AP,"Revisar"),"")</f>
        <v/>
      </c>
      <c r="AX812" s="179" t="str">
        <f t="array" ref="AX812">IF($F812&lt;&gt;"", XLOOKUP($F812,Productos!$A$2:$A1001,Productos!AQ$2:AQ1001,"")*$G812,"")</f>
        <v/>
      </c>
      <c r="AY812" s="179" t="str">
        <f t="array" ref="AY812">IF($F812&lt;&gt;"",XLOOKUP($F812,Productos!$A:$A,Productos!AR:AR,"Revisar"),"")</f>
        <v/>
      </c>
      <c r="AZ812" s="179" t="str">
        <f t="array" ref="AZ812">IF($F812&lt;&gt;"", XLOOKUP($F812,Productos!$A$2:$A1001,Productos!AS$2:AS1001,"")*$G812,"")</f>
        <v/>
      </c>
      <c r="BA812" s="179" t="str">
        <f t="array" ref="BA812">IF($F812&lt;&gt;"",XLOOKUP($F812,Productos!$A:$A,Productos!AT:AT,"Revisar"),"")</f>
        <v/>
      </c>
      <c r="BB812" s="179" t="str">
        <f t="array" ref="BB812">IF($F812&lt;&gt;"", XLOOKUP($F812,Productos!$A$2:$A1001,Productos!AU$2:AU1001,"")*$G812,"")</f>
        <v/>
      </c>
      <c r="BC812" s="179" t="str">
        <f t="array" ref="BC812">IF($F812&lt;&gt;"",XLOOKUP($F812,Productos!$A:$A,Productos!AV:AV,"Revisar"),"")</f>
        <v/>
      </c>
      <c r="BD812" s="179" t="str">
        <f t="array" ref="BD812">IF($F812&lt;&gt;"", XLOOKUP($F812,Productos!$A$2:$A1001,Productos!AW$2:AW1001,"")*$G812,"")</f>
        <v/>
      </c>
      <c r="BE812" s="179" t="str">
        <f t="array" ref="BE812">IF($F812&lt;&gt;"",XLOOKUP($F812,Productos!$A:$A,Productos!AX:AX,"Revisar"),"")</f>
        <v/>
      </c>
      <c r="BF812" s="179" t="str">
        <f t="array" ref="BF812">IF($F812&lt;&gt;"", XLOOKUP($F812,Productos!$A$2:$A1001,Productos!AY$2:AY1001,"")*$G812,"")</f>
        <v/>
      </c>
      <c r="BG812" s="179" t="str">
        <f t="array" ref="BG812">IF($F812&lt;&gt;"",XLOOKUP($F812,Productos!$A:$A,Productos!AZ:AZ,"Revisar"),"")</f>
        <v/>
      </c>
      <c r="BH812" s="179" t="str">
        <f t="array" ref="BH812">IF($F812&lt;&gt;"", XLOOKUP($F812,Productos!$A$2:$A1001,Productos!BA$2:BA1001,"")*$G812,"")</f>
        <v/>
      </c>
      <c r="BI812" s="179" t="str">
        <f t="array" ref="BI812">IF($F812&lt;&gt;"",XLOOKUP($F812,Productos!$A:$A,Productos!BB:BB,"Revisar"),"")</f>
        <v/>
      </c>
      <c r="BJ812" s="179" t="str">
        <f t="array" ref="BJ812">IF($F812&lt;&gt;"", XLOOKUP($F812,Productos!$A$2:$A1001,Productos!BC$2:BC1001,"")*$G812,"")</f>
        <v/>
      </c>
      <c r="BK812" s="179" t="str">
        <f t="array" ref="BK812">IF($F812&lt;&gt;"",XLOOKUP($F812,Productos!$A:$A,Productos!BD:BD,"Revisar"),"")</f>
        <v/>
      </c>
      <c r="BL812" s="179" t="str">
        <f t="array" ref="BL812">IF($F812&lt;&gt;"", XLOOKUP($F812,Productos!$A$2:$A1001,Productos!BE$2:BE1001,"")*$G812,"")</f>
        <v/>
      </c>
      <c r="BM812" s="179" t="str">
        <f t="array" ref="BM812">IF($F812&lt;&gt;"",XLOOKUP($F812,Productos!$A:$A,Productos!BF:BF,"Revisar"),"")</f>
        <v/>
      </c>
      <c r="BN812" s="179" t="str">
        <f t="array" ref="BN812">IF($F812&lt;&gt;"", XLOOKUP($F812,Productos!$A$2:$A1001,Productos!BG$2:BG1001,"")*$G812,"")</f>
        <v/>
      </c>
      <c r="BO812" s="179" t="str">
        <f t="array" ref="BO812">IF($F812&lt;&gt;"",XLOOKUP($F812,Productos!$A:$A,Productos!BH:BH,"Revisar"),"")</f>
        <v/>
      </c>
      <c r="BP812" s="179" t="str">
        <f t="array" ref="BP812">IF($F812&lt;&gt;"", XLOOKUP($F812,Productos!$A$2:$A1001,Productos!BI$2:BI1001,"")*$G812,"")</f>
        <v/>
      </c>
      <c r="BQ812" s="179" t="str">
        <f t="array" ref="BQ812">IF($F812&lt;&gt;"",XLOOKUP($F812,Productos!$A:$A,Productos!BJ:BJ,"Revisar"),"")</f>
        <v/>
      </c>
      <c r="BR812" s="179" t="str">
        <f t="array" ref="BR812">IF($F812&lt;&gt;"", XLOOKUP($F812,Productos!$A$2:$A1001,Productos!BK$2:BK1001,"")*$G812,"")</f>
        <v/>
      </c>
      <c r="BS812" s="179" t="str">
        <f t="array" ref="BS812">IF($F812&lt;&gt;"",XLOOKUP($F812,Productos!$A:$A,Productos!BL:BL,"Revisar"),"")</f>
        <v/>
      </c>
      <c r="BT812" s="179" t="str">
        <f t="array" ref="BT812">IF($F812&lt;&gt;"", XLOOKUP($F812,Productos!$A$2:$A1001,Productos!BM$2:BM1001,"")*$G812,"")</f>
        <v/>
      </c>
      <c r="BU812" s="179" t="str">
        <f t="array" ref="BU812">IF($F812&lt;&gt;"",XLOOKUP($F812,Productos!$A:$A,Productos!BN:BN,"Revisar"),"")</f>
        <v/>
      </c>
      <c r="BV812" s="179" t="str">
        <f t="array" ref="BV812">IF($F812&lt;&gt;"", XLOOKUP($F812,Productos!$A$2:$A1001,Productos!BO$2:BO1001,"")*$G812,"")</f>
        <v/>
      </c>
      <c r="BW812" s="179" t="str">
        <f t="array" ref="BW812">IF($F812&lt;&gt;"",XLOOKUP($F812,Productos!$A:$A,Productos!BP:BP,"Revisar"),"")</f>
        <v/>
      </c>
      <c r="BX812" s="179" t="str">
        <f t="array" ref="BX812">IF($F812&lt;&gt;"", XLOOKUP($F812,Productos!$A$2:$A1001,Productos!BQ$2:BQ1001,"")*$G812,"")</f>
        <v/>
      </c>
      <c r="BY812" s="179" t="str">
        <f t="array" ref="BY812">IF($F812&lt;&gt;"",XLOOKUP($F812,Productos!$A:$A,Productos!BR:BR,"Revisar"),"")</f>
        <v/>
      </c>
      <c r="BZ812" s="179" t="str">
        <f t="array" ref="BZ812">IF($F812&lt;&gt;"", XLOOKUP($F812,Productos!$A$2:$A1001,Productos!BS$2:BS1001,"")*$G812,"")</f>
        <v/>
      </c>
    </row>
    <row r="813">
      <c r="A813" s="188"/>
      <c r="B813" s="189"/>
      <c r="C813" s="190"/>
      <c r="D813" s="190"/>
      <c r="E813" s="191"/>
      <c r="F813" s="186"/>
      <c r="G813" s="192"/>
      <c r="H813" s="9"/>
      <c r="I813" s="179" t="str">
        <f t="array" ref="I813">IF($F813&lt;&gt;"",XLOOKUP($F813,Productos!$A:$A,Productos!B:B,"Revisar"),"")</f>
        <v/>
      </c>
      <c r="J813" s="179" t="str">
        <f t="array" ref="J813">IF($F813&lt;&gt;"", XLOOKUP($F813,Productos!$A$2:$A1001,Productos!C$2:C1001,"")*$G813,"")</f>
        <v/>
      </c>
      <c r="K813" s="179" t="str">
        <f t="array" ref="K813">IF($F813&lt;&gt;"",XLOOKUP($F813,Productos!$A:$A,Productos!D:D,"Revisar"),"")</f>
        <v/>
      </c>
      <c r="L813" s="179" t="str">
        <f t="array" ref="L813">IF($F813&lt;&gt;"", XLOOKUP($F813,Productos!$A$2:$A1001,Productos!E$2:E1001,"")*$G813,"")</f>
        <v/>
      </c>
      <c r="M813" s="179" t="str">
        <f t="array" ref="M813">IF($F813&lt;&gt;"",XLOOKUP($F813,Productos!$A:$A,Productos!F:F,"Revisar"),"")</f>
        <v/>
      </c>
      <c r="N813" s="179" t="str">
        <f t="array" ref="N813">IF($F813&lt;&gt;"", XLOOKUP($F813,Productos!$A$2:$A1001,Productos!G$2:G1001,"")*$G813,"")</f>
        <v/>
      </c>
      <c r="O813" s="179" t="str">
        <f t="array" ref="O813">IF($F813&lt;&gt;"",XLOOKUP($F813,Productos!$A:$A,Productos!H:H,"Revisar"),"")</f>
        <v/>
      </c>
      <c r="P813" s="179" t="str">
        <f t="array" ref="P813">IF($F813&lt;&gt;"", XLOOKUP($F813,Productos!$A$2:$A1001,Productos!I$2:I1001,"")*$G813,"")</f>
        <v/>
      </c>
      <c r="Q813" s="179" t="str">
        <f t="array" ref="Q813">IF($F813&lt;&gt;"",XLOOKUP($F813,Productos!$A:$A,Productos!J:J,"Revisar"),"")</f>
        <v/>
      </c>
      <c r="R813" s="179" t="str">
        <f t="array" ref="R813">IF($F813&lt;&gt;"", XLOOKUP($F813,Productos!$A$2:$A1001,Productos!K$2:K1001,"")*$G813,"")</f>
        <v/>
      </c>
      <c r="S813" s="179" t="str">
        <f t="array" ref="S813">IF($F813&lt;&gt;"",XLOOKUP($F813,Productos!$A:$A,Productos!L:L,"Revisar"),"")</f>
        <v/>
      </c>
      <c r="T813" s="179" t="str">
        <f t="array" ref="T813">IF($F813&lt;&gt;"", XLOOKUP($F813,Productos!$A$2:$A1001,Productos!M$2:M1001,"")*$G813,"")</f>
        <v/>
      </c>
      <c r="U813" s="179" t="str">
        <f t="array" ref="U813">IF($F813&lt;&gt;"",XLOOKUP($F813,Productos!$A:$A,Productos!N:N,"Revisar"),"")</f>
        <v/>
      </c>
      <c r="V813" s="179" t="str">
        <f t="array" ref="V813">IF($F813&lt;&gt;"", XLOOKUP($F813,Productos!$A$2:$A1001,Productos!O$2:O1001,"")*$G813,"")</f>
        <v/>
      </c>
      <c r="W813" s="179" t="str">
        <f t="array" ref="W813">IF($F813&lt;&gt;"",XLOOKUP($F813,Productos!$A:$A,Productos!P:P,"Revisar"),"")</f>
        <v/>
      </c>
      <c r="X813" s="179" t="str">
        <f t="array" ref="X813">IF($F813&lt;&gt;"", XLOOKUP($F813,Productos!$A$2:$A1001,Productos!Q$2:Q1001,"")*$G813,"")</f>
        <v/>
      </c>
      <c r="Y813" s="179" t="str">
        <f t="array" ref="Y813">IF($F813&lt;&gt;"",XLOOKUP($F813,Productos!$A:$A,Productos!R:R,"Revisar"),"")</f>
        <v/>
      </c>
      <c r="Z813" s="179" t="str">
        <f t="array" ref="Z813">IF($F813&lt;&gt;"", XLOOKUP($F813,Productos!$A$2:$A1001,Productos!S$2:S1001,"")*$G813,"")</f>
        <v/>
      </c>
      <c r="AA813" s="179" t="str">
        <f t="array" ref="AA813">IF($F813&lt;&gt;"",XLOOKUP($F813,Productos!$A:$A,Productos!T:T,"Revisar"),"")</f>
        <v/>
      </c>
      <c r="AB813" s="179" t="str">
        <f t="array" ref="AB813">IF($F813&lt;&gt;"", XLOOKUP($F813,Productos!$A$2:$A1001,Productos!U$2:U1001,"")*$G813,"")</f>
        <v/>
      </c>
      <c r="AC813" s="179" t="str">
        <f t="array" ref="AC813">IF($F813&lt;&gt;"",XLOOKUP($F813,Productos!$A:$A,Productos!V:V,"Revisar"),"")</f>
        <v/>
      </c>
      <c r="AD813" s="179" t="str">
        <f t="array" ref="AD813">IF($F813&lt;&gt;"", XLOOKUP($F813,Productos!$A$2:$A1001,Productos!W$2:W1001,"")*$G813,"")</f>
        <v/>
      </c>
      <c r="AE813" s="179" t="str">
        <f t="array" ref="AE813">IF($F813&lt;&gt;"",XLOOKUP($F813,Productos!$A:$A,Productos!X:X,"Revisar"),"")</f>
        <v/>
      </c>
      <c r="AF813" s="179" t="str">
        <f t="array" ref="AF813">IF($F813&lt;&gt;"", XLOOKUP($F813,Productos!$A$2:$A1001,Productos!Y$2:Y1001,"")*$G813,"")</f>
        <v/>
      </c>
      <c r="AG813" s="179" t="str">
        <f t="array" ref="AG813">IF($F813&lt;&gt;"",XLOOKUP($F813,Productos!$A:$A,Productos!Z:Z,"Revisar"),"")</f>
        <v/>
      </c>
      <c r="AH813" s="179" t="str">
        <f t="array" ref="AH813">IF($F813&lt;&gt;"", XLOOKUP($F813,Productos!$A$2:$A1001,Productos!AA$2:AA1001,"")*$G813,"")</f>
        <v/>
      </c>
      <c r="AI813" s="179" t="str">
        <f t="array" ref="AI813">IF($F813&lt;&gt;"",XLOOKUP($F813,Productos!$A:$A,Productos!AB:AB,"Revisar"),"")</f>
        <v/>
      </c>
      <c r="AJ813" s="179" t="str">
        <f t="array" ref="AJ813">IF($F813&lt;&gt;"", XLOOKUP($F813,Productos!$A$2:$A1001,Productos!AC$2:AC1001,"")*$G813,"")</f>
        <v/>
      </c>
      <c r="AK813" s="179" t="str">
        <f t="array" ref="AK813">IF($F813&lt;&gt;"",XLOOKUP($F813,Productos!$A:$A,Productos!AD:AD,"Revisar"),"")</f>
        <v/>
      </c>
      <c r="AL813" s="179" t="str">
        <f t="array" ref="AL813">IF($F813&lt;&gt;"", XLOOKUP($F813,Productos!$A$2:$A1001,Productos!AE$2:AE1001,"")*$G813,"")</f>
        <v/>
      </c>
      <c r="AM813" s="179" t="str">
        <f t="array" ref="AM813">IF($F813&lt;&gt;"",XLOOKUP($F813,Productos!$A:$A,Productos!AF:AF,"Revisar"),"")</f>
        <v/>
      </c>
      <c r="AN813" s="179" t="str">
        <f t="array" ref="AN813">IF($F813&lt;&gt;"", XLOOKUP($F813,Productos!$A$2:$A1001,Productos!AG$2:AG1001,"")*$G813,"")</f>
        <v/>
      </c>
      <c r="AO813" s="179" t="str">
        <f t="array" ref="AO813">IF($F813&lt;&gt;"",XLOOKUP($F813,Productos!$A:$A,Productos!AH:AH,"Revisar"),"")</f>
        <v/>
      </c>
      <c r="AP813" s="179" t="str">
        <f t="array" ref="AP813">IF($F813&lt;&gt;"", XLOOKUP($F813,Productos!$A$2:$A1001,Productos!AI$2:AI1001,"")*$G813,"")</f>
        <v/>
      </c>
      <c r="AQ813" s="179" t="str">
        <f t="array" ref="AQ813">IF($F813&lt;&gt;"",XLOOKUP($F813,Productos!$A:$A,Productos!AJ:AJ,"Revisar"),"")</f>
        <v/>
      </c>
      <c r="AR813" s="179" t="str">
        <f t="array" ref="AR813">IF($F813&lt;&gt;"", XLOOKUP($F813,Productos!$A$2:$A1001,Productos!AK$2:AK1001,"")*$G813,"")</f>
        <v/>
      </c>
      <c r="AS813" s="179" t="str">
        <f t="array" ref="AS813">IF($F813&lt;&gt;"",XLOOKUP($F813,Productos!$A:$A,Productos!AL:AL,"Revisar"),"")</f>
        <v/>
      </c>
      <c r="AT813" s="179" t="str">
        <f t="array" ref="AT813">IF($F813&lt;&gt;"", XLOOKUP($F813,Productos!$A$2:$A1001,Productos!AM$2:AM1001,"")*$G813,"")</f>
        <v/>
      </c>
      <c r="AU813" s="179" t="str">
        <f t="array" ref="AU813">IF($F813&lt;&gt;"",XLOOKUP($F813,Productos!$A:$A,Productos!AN:AN,"Revisar"),"")</f>
        <v/>
      </c>
      <c r="AV813" s="179" t="str">
        <f t="array" ref="AV813">IF($F813&lt;&gt;"", XLOOKUP($F813,Productos!$A$2:$A1001,Productos!AO$2:AO1001,"")*$G813,"")</f>
        <v/>
      </c>
      <c r="AW813" s="179" t="str">
        <f t="array" ref="AW813">IF($F813&lt;&gt;"",XLOOKUP($F813,Productos!$A:$A,Productos!AP:AP,"Revisar"),"")</f>
        <v/>
      </c>
      <c r="AX813" s="179" t="str">
        <f t="array" ref="AX813">IF($F813&lt;&gt;"", XLOOKUP($F813,Productos!$A$2:$A1001,Productos!AQ$2:AQ1001,"")*$G813,"")</f>
        <v/>
      </c>
      <c r="AY813" s="179" t="str">
        <f t="array" ref="AY813">IF($F813&lt;&gt;"",XLOOKUP($F813,Productos!$A:$A,Productos!AR:AR,"Revisar"),"")</f>
        <v/>
      </c>
      <c r="AZ813" s="179" t="str">
        <f t="array" ref="AZ813">IF($F813&lt;&gt;"", XLOOKUP($F813,Productos!$A$2:$A1001,Productos!AS$2:AS1001,"")*$G813,"")</f>
        <v/>
      </c>
      <c r="BA813" s="179" t="str">
        <f t="array" ref="BA813">IF($F813&lt;&gt;"",XLOOKUP($F813,Productos!$A:$A,Productos!AT:AT,"Revisar"),"")</f>
        <v/>
      </c>
      <c r="BB813" s="179" t="str">
        <f t="array" ref="BB813">IF($F813&lt;&gt;"", XLOOKUP($F813,Productos!$A$2:$A1001,Productos!AU$2:AU1001,"")*$G813,"")</f>
        <v/>
      </c>
      <c r="BC813" s="179" t="str">
        <f t="array" ref="BC813">IF($F813&lt;&gt;"",XLOOKUP($F813,Productos!$A:$A,Productos!AV:AV,"Revisar"),"")</f>
        <v/>
      </c>
      <c r="BD813" s="179" t="str">
        <f t="array" ref="BD813">IF($F813&lt;&gt;"", XLOOKUP($F813,Productos!$A$2:$A1001,Productos!AW$2:AW1001,"")*$G813,"")</f>
        <v/>
      </c>
      <c r="BE813" s="179" t="str">
        <f t="array" ref="BE813">IF($F813&lt;&gt;"",XLOOKUP($F813,Productos!$A:$A,Productos!AX:AX,"Revisar"),"")</f>
        <v/>
      </c>
      <c r="BF813" s="179" t="str">
        <f t="array" ref="BF813">IF($F813&lt;&gt;"", XLOOKUP($F813,Productos!$A$2:$A1001,Productos!AY$2:AY1001,"")*$G813,"")</f>
        <v/>
      </c>
      <c r="BG813" s="179" t="str">
        <f t="array" ref="BG813">IF($F813&lt;&gt;"",XLOOKUP($F813,Productos!$A:$A,Productos!AZ:AZ,"Revisar"),"")</f>
        <v/>
      </c>
      <c r="BH813" s="179" t="str">
        <f t="array" ref="BH813">IF($F813&lt;&gt;"", XLOOKUP($F813,Productos!$A$2:$A1001,Productos!BA$2:BA1001,"")*$G813,"")</f>
        <v/>
      </c>
      <c r="BI813" s="179" t="str">
        <f t="array" ref="BI813">IF($F813&lt;&gt;"",XLOOKUP($F813,Productos!$A:$A,Productos!BB:BB,"Revisar"),"")</f>
        <v/>
      </c>
      <c r="BJ813" s="179" t="str">
        <f t="array" ref="BJ813">IF($F813&lt;&gt;"", XLOOKUP($F813,Productos!$A$2:$A1001,Productos!BC$2:BC1001,"")*$G813,"")</f>
        <v/>
      </c>
      <c r="BK813" s="179" t="str">
        <f t="array" ref="BK813">IF($F813&lt;&gt;"",XLOOKUP($F813,Productos!$A:$A,Productos!BD:BD,"Revisar"),"")</f>
        <v/>
      </c>
      <c r="BL813" s="179" t="str">
        <f t="array" ref="BL813">IF($F813&lt;&gt;"", XLOOKUP($F813,Productos!$A$2:$A1001,Productos!BE$2:BE1001,"")*$G813,"")</f>
        <v/>
      </c>
      <c r="BM813" s="179" t="str">
        <f t="array" ref="BM813">IF($F813&lt;&gt;"",XLOOKUP($F813,Productos!$A:$A,Productos!BF:BF,"Revisar"),"")</f>
        <v/>
      </c>
      <c r="BN813" s="179" t="str">
        <f t="array" ref="BN813">IF($F813&lt;&gt;"", XLOOKUP($F813,Productos!$A$2:$A1001,Productos!BG$2:BG1001,"")*$G813,"")</f>
        <v/>
      </c>
      <c r="BO813" s="179" t="str">
        <f t="array" ref="BO813">IF($F813&lt;&gt;"",XLOOKUP($F813,Productos!$A:$A,Productos!BH:BH,"Revisar"),"")</f>
        <v/>
      </c>
      <c r="BP813" s="179" t="str">
        <f t="array" ref="BP813">IF($F813&lt;&gt;"", XLOOKUP($F813,Productos!$A$2:$A1001,Productos!BI$2:BI1001,"")*$G813,"")</f>
        <v/>
      </c>
      <c r="BQ813" s="179" t="str">
        <f t="array" ref="BQ813">IF($F813&lt;&gt;"",XLOOKUP($F813,Productos!$A:$A,Productos!BJ:BJ,"Revisar"),"")</f>
        <v/>
      </c>
      <c r="BR813" s="179" t="str">
        <f t="array" ref="BR813">IF($F813&lt;&gt;"", XLOOKUP($F813,Productos!$A$2:$A1001,Productos!BK$2:BK1001,"")*$G813,"")</f>
        <v/>
      </c>
      <c r="BS813" s="179" t="str">
        <f t="array" ref="BS813">IF($F813&lt;&gt;"",XLOOKUP($F813,Productos!$A:$A,Productos!BL:BL,"Revisar"),"")</f>
        <v/>
      </c>
      <c r="BT813" s="179" t="str">
        <f t="array" ref="BT813">IF($F813&lt;&gt;"", XLOOKUP($F813,Productos!$A$2:$A1001,Productos!BM$2:BM1001,"")*$G813,"")</f>
        <v/>
      </c>
      <c r="BU813" s="179" t="str">
        <f t="array" ref="BU813">IF($F813&lt;&gt;"",XLOOKUP($F813,Productos!$A:$A,Productos!BN:BN,"Revisar"),"")</f>
        <v/>
      </c>
      <c r="BV813" s="179" t="str">
        <f t="array" ref="BV813">IF($F813&lt;&gt;"", XLOOKUP($F813,Productos!$A$2:$A1001,Productos!BO$2:BO1001,"")*$G813,"")</f>
        <v/>
      </c>
      <c r="BW813" s="179" t="str">
        <f t="array" ref="BW813">IF($F813&lt;&gt;"",XLOOKUP($F813,Productos!$A:$A,Productos!BP:BP,"Revisar"),"")</f>
        <v/>
      </c>
      <c r="BX813" s="179" t="str">
        <f t="array" ref="BX813">IF($F813&lt;&gt;"", XLOOKUP($F813,Productos!$A$2:$A1001,Productos!BQ$2:BQ1001,"")*$G813,"")</f>
        <v/>
      </c>
      <c r="BY813" s="179" t="str">
        <f t="array" ref="BY813">IF($F813&lt;&gt;"",XLOOKUP($F813,Productos!$A:$A,Productos!BR:BR,"Revisar"),"")</f>
        <v/>
      </c>
      <c r="BZ813" s="179" t="str">
        <f t="array" ref="BZ813">IF($F813&lt;&gt;"", XLOOKUP($F813,Productos!$A$2:$A1001,Productos!BS$2:BS1001,"")*$G813,"")</f>
        <v/>
      </c>
    </row>
    <row r="814">
      <c r="A814" s="188"/>
      <c r="B814" s="189"/>
      <c r="C814" s="190"/>
      <c r="D814" s="190"/>
      <c r="E814" s="191"/>
      <c r="F814" s="186"/>
      <c r="G814" s="192"/>
      <c r="H814" s="9"/>
      <c r="I814" s="179" t="str">
        <f t="array" ref="I814">IF($F814&lt;&gt;"",XLOOKUP($F814,Productos!$A:$A,Productos!B:B,"Revisar"),"")</f>
        <v/>
      </c>
      <c r="J814" s="179" t="str">
        <f t="array" ref="J814">IF($F814&lt;&gt;"", XLOOKUP($F814,Productos!$A$2:$A1001,Productos!C$2:C1001,"")*$G814,"")</f>
        <v/>
      </c>
      <c r="K814" s="179" t="str">
        <f t="array" ref="K814">IF($F814&lt;&gt;"",XLOOKUP($F814,Productos!$A:$A,Productos!D:D,"Revisar"),"")</f>
        <v/>
      </c>
      <c r="L814" s="179" t="str">
        <f t="array" ref="L814">IF($F814&lt;&gt;"", XLOOKUP($F814,Productos!$A$2:$A1001,Productos!E$2:E1001,"")*$G814,"")</f>
        <v/>
      </c>
      <c r="M814" s="179" t="str">
        <f t="array" ref="M814">IF($F814&lt;&gt;"",XLOOKUP($F814,Productos!$A:$A,Productos!F:F,"Revisar"),"")</f>
        <v/>
      </c>
      <c r="N814" s="179" t="str">
        <f t="array" ref="N814">IF($F814&lt;&gt;"", XLOOKUP($F814,Productos!$A$2:$A1001,Productos!G$2:G1001,"")*$G814,"")</f>
        <v/>
      </c>
      <c r="O814" s="179" t="str">
        <f t="array" ref="O814">IF($F814&lt;&gt;"",XLOOKUP($F814,Productos!$A:$A,Productos!H:H,"Revisar"),"")</f>
        <v/>
      </c>
      <c r="P814" s="179" t="str">
        <f t="array" ref="P814">IF($F814&lt;&gt;"", XLOOKUP($F814,Productos!$A$2:$A1001,Productos!I$2:I1001,"")*$G814,"")</f>
        <v/>
      </c>
      <c r="Q814" s="179" t="str">
        <f t="array" ref="Q814">IF($F814&lt;&gt;"",XLOOKUP($F814,Productos!$A:$A,Productos!J:J,"Revisar"),"")</f>
        <v/>
      </c>
      <c r="R814" s="179" t="str">
        <f t="array" ref="R814">IF($F814&lt;&gt;"", XLOOKUP($F814,Productos!$A$2:$A1001,Productos!K$2:K1001,"")*$G814,"")</f>
        <v/>
      </c>
      <c r="S814" s="179" t="str">
        <f t="array" ref="S814">IF($F814&lt;&gt;"",XLOOKUP($F814,Productos!$A:$A,Productos!L:L,"Revisar"),"")</f>
        <v/>
      </c>
      <c r="T814" s="179" t="str">
        <f t="array" ref="T814">IF($F814&lt;&gt;"", XLOOKUP($F814,Productos!$A$2:$A1001,Productos!M$2:M1001,"")*$G814,"")</f>
        <v/>
      </c>
      <c r="U814" s="179" t="str">
        <f t="array" ref="U814">IF($F814&lt;&gt;"",XLOOKUP($F814,Productos!$A:$A,Productos!N:N,"Revisar"),"")</f>
        <v/>
      </c>
      <c r="V814" s="179" t="str">
        <f t="array" ref="V814">IF($F814&lt;&gt;"", XLOOKUP($F814,Productos!$A$2:$A1001,Productos!O$2:O1001,"")*$G814,"")</f>
        <v/>
      </c>
      <c r="W814" s="179" t="str">
        <f t="array" ref="W814">IF($F814&lt;&gt;"",XLOOKUP($F814,Productos!$A:$A,Productos!P:P,"Revisar"),"")</f>
        <v/>
      </c>
      <c r="X814" s="179" t="str">
        <f t="array" ref="X814">IF($F814&lt;&gt;"", XLOOKUP($F814,Productos!$A$2:$A1001,Productos!Q$2:Q1001,"")*$G814,"")</f>
        <v/>
      </c>
      <c r="Y814" s="179" t="str">
        <f t="array" ref="Y814">IF($F814&lt;&gt;"",XLOOKUP($F814,Productos!$A:$A,Productos!R:R,"Revisar"),"")</f>
        <v/>
      </c>
      <c r="Z814" s="179" t="str">
        <f t="array" ref="Z814">IF($F814&lt;&gt;"", XLOOKUP($F814,Productos!$A$2:$A1001,Productos!S$2:S1001,"")*$G814,"")</f>
        <v/>
      </c>
      <c r="AA814" s="179" t="str">
        <f t="array" ref="AA814">IF($F814&lt;&gt;"",XLOOKUP($F814,Productos!$A:$A,Productos!T:T,"Revisar"),"")</f>
        <v/>
      </c>
      <c r="AB814" s="179" t="str">
        <f t="array" ref="AB814">IF($F814&lt;&gt;"", XLOOKUP($F814,Productos!$A$2:$A1001,Productos!U$2:U1001,"")*$G814,"")</f>
        <v/>
      </c>
      <c r="AC814" s="179" t="str">
        <f t="array" ref="AC814">IF($F814&lt;&gt;"",XLOOKUP($F814,Productos!$A:$A,Productos!V:V,"Revisar"),"")</f>
        <v/>
      </c>
      <c r="AD814" s="179" t="str">
        <f t="array" ref="AD814">IF($F814&lt;&gt;"", XLOOKUP($F814,Productos!$A$2:$A1001,Productos!W$2:W1001,"")*$G814,"")</f>
        <v/>
      </c>
      <c r="AE814" s="179" t="str">
        <f t="array" ref="AE814">IF($F814&lt;&gt;"",XLOOKUP($F814,Productos!$A:$A,Productos!X:X,"Revisar"),"")</f>
        <v/>
      </c>
      <c r="AF814" s="179" t="str">
        <f t="array" ref="AF814">IF($F814&lt;&gt;"", XLOOKUP($F814,Productos!$A$2:$A1001,Productos!Y$2:Y1001,"")*$G814,"")</f>
        <v/>
      </c>
      <c r="AG814" s="179" t="str">
        <f t="array" ref="AG814">IF($F814&lt;&gt;"",XLOOKUP($F814,Productos!$A:$A,Productos!Z:Z,"Revisar"),"")</f>
        <v/>
      </c>
      <c r="AH814" s="179" t="str">
        <f t="array" ref="AH814">IF($F814&lt;&gt;"", XLOOKUP($F814,Productos!$A$2:$A1001,Productos!AA$2:AA1001,"")*$G814,"")</f>
        <v/>
      </c>
      <c r="AI814" s="179" t="str">
        <f t="array" ref="AI814">IF($F814&lt;&gt;"",XLOOKUP($F814,Productos!$A:$A,Productos!AB:AB,"Revisar"),"")</f>
        <v/>
      </c>
      <c r="AJ814" s="179" t="str">
        <f t="array" ref="AJ814">IF($F814&lt;&gt;"", XLOOKUP($F814,Productos!$A$2:$A1001,Productos!AC$2:AC1001,"")*$G814,"")</f>
        <v/>
      </c>
      <c r="AK814" s="179" t="str">
        <f t="array" ref="AK814">IF($F814&lt;&gt;"",XLOOKUP($F814,Productos!$A:$A,Productos!AD:AD,"Revisar"),"")</f>
        <v/>
      </c>
      <c r="AL814" s="179" t="str">
        <f t="array" ref="AL814">IF($F814&lt;&gt;"", XLOOKUP($F814,Productos!$A$2:$A1001,Productos!AE$2:AE1001,"")*$G814,"")</f>
        <v/>
      </c>
      <c r="AM814" s="179" t="str">
        <f t="array" ref="AM814">IF($F814&lt;&gt;"",XLOOKUP($F814,Productos!$A:$A,Productos!AF:AF,"Revisar"),"")</f>
        <v/>
      </c>
      <c r="AN814" s="179" t="str">
        <f t="array" ref="AN814">IF($F814&lt;&gt;"", XLOOKUP($F814,Productos!$A$2:$A1001,Productos!AG$2:AG1001,"")*$G814,"")</f>
        <v/>
      </c>
      <c r="AO814" s="179" t="str">
        <f t="array" ref="AO814">IF($F814&lt;&gt;"",XLOOKUP($F814,Productos!$A:$A,Productos!AH:AH,"Revisar"),"")</f>
        <v/>
      </c>
      <c r="AP814" s="179" t="str">
        <f t="array" ref="AP814">IF($F814&lt;&gt;"", XLOOKUP($F814,Productos!$A$2:$A1001,Productos!AI$2:AI1001,"")*$G814,"")</f>
        <v/>
      </c>
      <c r="AQ814" s="179" t="str">
        <f t="array" ref="AQ814">IF($F814&lt;&gt;"",XLOOKUP($F814,Productos!$A:$A,Productos!AJ:AJ,"Revisar"),"")</f>
        <v/>
      </c>
      <c r="AR814" s="179" t="str">
        <f t="array" ref="AR814">IF($F814&lt;&gt;"", XLOOKUP($F814,Productos!$A$2:$A1001,Productos!AK$2:AK1001,"")*$G814,"")</f>
        <v/>
      </c>
      <c r="AS814" s="179" t="str">
        <f t="array" ref="AS814">IF($F814&lt;&gt;"",XLOOKUP($F814,Productos!$A:$A,Productos!AL:AL,"Revisar"),"")</f>
        <v/>
      </c>
      <c r="AT814" s="179" t="str">
        <f t="array" ref="AT814">IF($F814&lt;&gt;"", XLOOKUP($F814,Productos!$A$2:$A1001,Productos!AM$2:AM1001,"")*$G814,"")</f>
        <v/>
      </c>
      <c r="AU814" s="179" t="str">
        <f t="array" ref="AU814">IF($F814&lt;&gt;"",XLOOKUP($F814,Productos!$A:$A,Productos!AN:AN,"Revisar"),"")</f>
        <v/>
      </c>
      <c r="AV814" s="179" t="str">
        <f t="array" ref="AV814">IF($F814&lt;&gt;"", XLOOKUP($F814,Productos!$A$2:$A1001,Productos!AO$2:AO1001,"")*$G814,"")</f>
        <v/>
      </c>
      <c r="AW814" s="179" t="str">
        <f t="array" ref="AW814">IF($F814&lt;&gt;"",XLOOKUP($F814,Productos!$A:$A,Productos!AP:AP,"Revisar"),"")</f>
        <v/>
      </c>
      <c r="AX814" s="179" t="str">
        <f t="array" ref="AX814">IF($F814&lt;&gt;"", XLOOKUP($F814,Productos!$A$2:$A1001,Productos!AQ$2:AQ1001,"")*$G814,"")</f>
        <v/>
      </c>
      <c r="AY814" s="179" t="str">
        <f t="array" ref="AY814">IF($F814&lt;&gt;"",XLOOKUP($F814,Productos!$A:$A,Productos!AR:AR,"Revisar"),"")</f>
        <v/>
      </c>
      <c r="AZ814" s="179" t="str">
        <f t="array" ref="AZ814">IF($F814&lt;&gt;"", XLOOKUP($F814,Productos!$A$2:$A1001,Productos!AS$2:AS1001,"")*$G814,"")</f>
        <v/>
      </c>
      <c r="BA814" s="179" t="str">
        <f t="array" ref="BA814">IF($F814&lt;&gt;"",XLOOKUP($F814,Productos!$A:$A,Productos!AT:AT,"Revisar"),"")</f>
        <v/>
      </c>
      <c r="BB814" s="179" t="str">
        <f t="array" ref="BB814">IF($F814&lt;&gt;"", XLOOKUP($F814,Productos!$A$2:$A1001,Productos!AU$2:AU1001,"")*$G814,"")</f>
        <v/>
      </c>
      <c r="BC814" s="179" t="str">
        <f t="array" ref="BC814">IF($F814&lt;&gt;"",XLOOKUP($F814,Productos!$A:$A,Productos!AV:AV,"Revisar"),"")</f>
        <v/>
      </c>
      <c r="BD814" s="179" t="str">
        <f t="array" ref="BD814">IF($F814&lt;&gt;"", XLOOKUP($F814,Productos!$A$2:$A1001,Productos!AW$2:AW1001,"")*$G814,"")</f>
        <v/>
      </c>
      <c r="BE814" s="179" t="str">
        <f t="array" ref="BE814">IF($F814&lt;&gt;"",XLOOKUP($F814,Productos!$A:$A,Productos!AX:AX,"Revisar"),"")</f>
        <v/>
      </c>
      <c r="BF814" s="179" t="str">
        <f t="array" ref="BF814">IF($F814&lt;&gt;"", XLOOKUP($F814,Productos!$A$2:$A1001,Productos!AY$2:AY1001,"")*$G814,"")</f>
        <v/>
      </c>
      <c r="BG814" s="179" t="str">
        <f t="array" ref="BG814">IF($F814&lt;&gt;"",XLOOKUP($F814,Productos!$A:$A,Productos!AZ:AZ,"Revisar"),"")</f>
        <v/>
      </c>
      <c r="BH814" s="179" t="str">
        <f t="array" ref="BH814">IF($F814&lt;&gt;"", XLOOKUP($F814,Productos!$A$2:$A1001,Productos!BA$2:BA1001,"")*$G814,"")</f>
        <v/>
      </c>
      <c r="BI814" s="179" t="str">
        <f t="array" ref="BI814">IF($F814&lt;&gt;"",XLOOKUP($F814,Productos!$A:$A,Productos!BB:BB,"Revisar"),"")</f>
        <v/>
      </c>
      <c r="BJ814" s="179" t="str">
        <f t="array" ref="BJ814">IF($F814&lt;&gt;"", XLOOKUP($F814,Productos!$A$2:$A1001,Productos!BC$2:BC1001,"")*$G814,"")</f>
        <v/>
      </c>
      <c r="BK814" s="179" t="str">
        <f t="array" ref="BK814">IF($F814&lt;&gt;"",XLOOKUP($F814,Productos!$A:$A,Productos!BD:BD,"Revisar"),"")</f>
        <v/>
      </c>
      <c r="BL814" s="179" t="str">
        <f t="array" ref="BL814">IF($F814&lt;&gt;"", XLOOKUP($F814,Productos!$A$2:$A1001,Productos!BE$2:BE1001,"")*$G814,"")</f>
        <v/>
      </c>
      <c r="BM814" s="179" t="str">
        <f t="array" ref="BM814">IF($F814&lt;&gt;"",XLOOKUP($F814,Productos!$A:$A,Productos!BF:BF,"Revisar"),"")</f>
        <v/>
      </c>
      <c r="BN814" s="179" t="str">
        <f t="array" ref="BN814">IF($F814&lt;&gt;"", XLOOKUP($F814,Productos!$A$2:$A1001,Productos!BG$2:BG1001,"")*$G814,"")</f>
        <v/>
      </c>
      <c r="BO814" s="179" t="str">
        <f t="array" ref="BO814">IF($F814&lt;&gt;"",XLOOKUP($F814,Productos!$A:$A,Productos!BH:BH,"Revisar"),"")</f>
        <v/>
      </c>
      <c r="BP814" s="179" t="str">
        <f t="array" ref="BP814">IF($F814&lt;&gt;"", XLOOKUP($F814,Productos!$A$2:$A1001,Productos!BI$2:BI1001,"")*$G814,"")</f>
        <v/>
      </c>
      <c r="BQ814" s="179" t="str">
        <f t="array" ref="BQ814">IF($F814&lt;&gt;"",XLOOKUP($F814,Productos!$A:$A,Productos!BJ:BJ,"Revisar"),"")</f>
        <v/>
      </c>
      <c r="BR814" s="179" t="str">
        <f t="array" ref="BR814">IF($F814&lt;&gt;"", XLOOKUP($F814,Productos!$A$2:$A1001,Productos!BK$2:BK1001,"")*$G814,"")</f>
        <v/>
      </c>
      <c r="BS814" s="179" t="str">
        <f t="array" ref="BS814">IF($F814&lt;&gt;"",XLOOKUP($F814,Productos!$A:$A,Productos!BL:BL,"Revisar"),"")</f>
        <v/>
      </c>
      <c r="BT814" s="179" t="str">
        <f t="array" ref="BT814">IF($F814&lt;&gt;"", XLOOKUP($F814,Productos!$A$2:$A1001,Productos!BM$2:BM1001,"")*$G814,"")</f>
        <v/>
      </c>
      <c r="BU814" s="179" t="str">
        <f t="array" ref="BU814">IF($F814&lt;&gt;"",XLOOKUP($F814,Productos!$A:$A,Productos!BN:BN,"Revisar"),"")</f>
        <v/>
      </c>
      <c r="BV814" s="179" t="str">
        <f t="array" ref="BV814">IF($F814&lt;&gt;"", XLOOKUP($F814,Productos!$A$2:$A1001,Productos!BO$2:BO1001,"")*$G814,"")</f>
        <v/>
      </c>
      <c r="BW814" s="179" t="str">
        <f t="array" ref="BW814">IF($F814&lt;&gt;"",XLOOKUP($F814,Productos!$A:$A,Productos!BP:BP,"Revisar"),"")</f>
        <v/>
      </c>
      <c r="BX814" s="179" t="str">
        <f t="array" ref="BX814">IF($F814&lt;&gt;"", XLOOKUP($F814,Productos!$A$2:$A1001,Productos!BQ$2:BQ1001,"")*$G814,"")</f>
        <v/>
      </c>
      <c r="BY814" s="179" t="str">
        <f t="array" ref="BY814">IF($F814&lt;&gt;"",XLOOKUP($F814,Productos!$A:$A,Productos!BR:BR,"Revisar"),"")</f>
        <v/>
      </c>
      <c r="BZ814" s="179" t="str">
        <f t="array" ref="BZ814">IF($F814&lt;&gt;"", XLOOKUP($F814,Productos!$A$2:$A1001,Productos!BS$2:BS1001,"")*$G814,"")</f>
        <v/>
      </c>
    </row>
    <row r="815">
      <c r="A815" s="188"/>
      <c r="B815" s="189"/>
      <c r="C815" s="190"/>
      <c r="D815" s="190"/>
      <c r="E815" s="191"/>
      <c r="F815" s="186"/>
      <c r="G815" s="192"/>
      <c r="H815" s="9"/>
      <c r="I815" s="179" t="str">
        <f t="array" ref="I815">IF($F815&lt;&gt;"",XLOOKUP($F815,Productos!$A:$A,Productos!B:B,"Revisar"),"")</f>
        <v/>
      </c>
      <c r="J815" s="179" t="str">
        <f t="array" ref="J815">IF($F815&lt;&gt;"", XLOOKUP($F815,Productos!$A$2:$A1001,Productos!C$2:C1001,"")*$G815,"")</f>
        <v/>
      </c>
      <c r="K815" s="179" t="str">
        <f t="array" ref="K815">IF($F815&lt;&gt;"",XLOOKUP($F815,Productos!$A:$A,Productos!D:D,"Revisar"),"")</f>
        <v/>
      </c>
      <c r="L815" s="179" t="str">
        <f t="array" ref="L815">IF($F815&lt;&gt;"", XLOOKUP($F815,Productos!$A$2:$A1001,Productos!E$2:E1001,"")*$G815,"")</f>
        <v/>
      </c>
      <c r="M815" s="179" t="str">
        <f t="array" ref="M815">IF($F815&lt;&gt;"",XLOOKUP($F815,Productos!$A:$A,Productos!F:F,"Revisar"),"")</f>
        <v/>
      </c>
      <c r="N815" s="179" t="str">
        <f t="array" ref="N815">IF($F815&lt;&gt;"", XLOOKUP($F815,Productos!$A$2:$A1001,Productos!G$2:G1001,"")*$G815,"")</f>
        <v/>
      </c>
      <c r="O815" s="179" t="str">
        <f t="array" ref="O815">IF($F815&lt;&gt;"",XLOOKUP($F815,Productos!$A:$A,Productos!H:H,"Revisar"),"")</f>
        <v/>
      </c>
      <c r="P815" s="179" t="str">
        <f t="array" ref="P815">IF($F815&lt;&gt;"", XLOOKUP($F815,Productos!$A$2:$A1001,Productos!I$2:I1001,"")*$G815,"")</f>
        <v/>
      </c>
      <c r="Q815" s="179" t="str">
        <f t="array" ref="Q815">IF($F815&lt;&gt;"",XLOOKUP($F815,Productos!$A:$A,Productos!J:J,"Revisar"),"")</f>
        <v/>
      </c>
      <c r="R815" s="179" t="str">
        <f t="array" ref="R815">IF($F815&lt;&gt;"", XLOOKUP($F815,Productos!$A$2:$A1001,Productos!K$2:K1001,"")*$G815,"")</f>
        <v/>
      </c>
      <c r="S815" s="179" t="str">
        <f t="array" ref="S815">IF($F815&lt;&gt;"",XLOOKUP($F815,Productos!$A:$A,Productos!L:L,"Revisar"),"")</f>
        <v/>
      </c>
      <c r="T815" s="179" t="str">
        <f t="array" ref="T815">IF($F815&lt;&gt;"", XLOOKUP($F815,Productos!$A$2:$A1001,Productos!M$2:M1001,"")*$G815,"")</f>
        <v/>
      </c>
      <c r="U815" s="179" t="str">
        <f t="array" ref="U815">IF($F815&lt;&gt;"",XLOOKUP($F815,Productos!$A:$A,Productos!N:N,"Revisar"),"")</f>
        <v/>
      </c>
      <c r="V815" s="179" t="str">
        <f t="array" ref="V815">IF($F815&lt;&gt;"", XLOOKUP($F815,Productos!$A$2:$A1001,Productos!O$2:O1001,"")*$G815,"")</f>
        <v/>
      </c>
      <c r="W815" s="179" t="str">
        <f t="array" ref="W815">IF($F815&lt;&gt;"",XLOOKUP($F815,Productos!$A:$A,Productos!P:P,"Revisar"),"")</f>
        <v/>
      </c>
      <c r="X815" s="179" t="str">
        <f t="array" ref="X815">IF($F815&lt;&gt;"", XLOOKUP($F815,Productos!$A$2:$A1001,Productos!Q$2:Q1001,"")*$G815,"")</f>
        <v/>
      </c>
      <c r="Y815" s="179" t="str">
        <f t="array" ref="Y815">IF($F815&lt;&gt;"",XLOOKUP($F815,Productos!$A:$A,Productos!R:R,"Revisar"),"")</f>
        <v/>
      </c>
      <c r="Z815" s="179" t="str">
        <f t="array" ref="Z815">IF($F815&lt;&gt;"", XLOOKUP($F815,Productos!$A$2:$A1001,Productos!S$2:S1001,"")*$G815,"")</f>
        <v/>
      </c>
      <c r="AA815" s="179" t="str">
        <f t="array" ref="AA815">IF($F815&lt;&gt;"",XLOOKUP($F815,Productos!$A:$A,Productos!T:T,"Revisar"),"")</f>
        <v/>
      </c>
      <c r="AB815" s="179" t="str">
        <f t="array" ref="AB815">IF($F815&lt;&gt;"", XLOOKUP($F815,Productos!$A$2:$A1001,Productos!U$2:U1001,"")*$G815,"")</f>
        <v/>
      </c>
      <c r="AC815" s="179" t="str">
        <f t="array" ref="AC815">IF($F815&lt;&gt;"",XLOOKUP($F815,Productos!$A:$A,Productos!V:V,"Revisar"),"")</f>
        <v/>
      </c>
      <c r="AD815" s="179" t="str">
        <f t="array" ref="AD815">IF($F815&lt;&gt;"", XLOOKUP($F815,Productos!$A$2:$A1001,Productos!W$2:W1001,"")*$G815,"")</f>
        <v/>
      </c>
      <c r="AE815" s="179" t="str">
        <f t="array" ref="AE815">IF($F815&lt;&gt;"",XLOOKUP($F815,Productos!$A:$A,Productos!X:X,"Revisar"),"")</f>
        <v/>
      </c>
      <c r="AF815" s="179" t="str">
        <f t="array" ref="AF815">IF($F815&lt;&gt;"", XLOOKUP($F815,Productos!$A$2:$A1001,Productos!Y$2:Y1001,"")*$G815,"")</f>
        <v/>
      </c>
      <c r="AG815" s="179" t="str">
        <f t="array" ref="AG815">IF($F815&lt;&gt;"",XLOOKUP($F815,Productos!$A:$A,Productos!Z:Z,"Revisar"),"")</f>
        <v/>
      </c>
      <c r="AH815" s="179" t="str">
        <f t="array" ref="AH815">IF($F815&lt;&gt;"", XLOOKUP($F815,Productos!$A$2:$A1001,Productos!AA$2:AA1001,"")*$G815,"")</f>
        <v/>
      </c>
      <c r="AI815" s="179" t="str">
        <f t="array" ref="AI815">IF($F815&lt;&gt;"",XLOOKUP($F815,Productos!$A:$A,Productos!AB:AB,"Revisar"),"")</f>
        <v/>
      </c>
      <c r="AJ815" s="179" t="str">
        <f t="array" ref="AJ815">IF($F815&lt;&gt;"", XLOOKUP($F815,Productos!$A$2:$A1001,Productos!AC$2:AC1001,"")*$G815,"")</f>
        <v/>
      </c>
      <c r="AK815" s="179" t="str">
        <f t="array" ref="AK815">IF($F815&lt;&gt;"",XLOOKUP($F815,Productos!$A:$A,Productos!AD:AD,"Revisar"),"")</f>
        <v/>
      </c>
      <c r="AL815" s="179" t="str">
        <f t="array" ref="AL815">IF($F815&lt;&gt;"", XLOOKUP($F815,Productos!$A$2:$A1001,Productos!AE$2:AE1001,"")*$G815,"")</f>
        <v/>
      </c>
      <c r="AM815" s="179" t="str">
        <f t="array" ref="AM815">IF($F815&lt;&gt;"",XLOOKUP($F815,Productos!$A:$A,Productos!AF:AF,"Revisar"),"")</f>
        <v/>
      </c>
      <c r="AN815" s="179" t="str">
        <f t="array" ref="AN815">IF($F815&lt;&gt;"", XLOOKUP($F815,Productos!$A$2:$A1001,Productos!AG$2:AG1001,"")*$G815,"")</f>
        <v/>
      </c>
      <c r="AO815" s="179" t="str">
        <f t="array" ref="AO815">IF($F815&lt;&gt;"",XLOOKUP($F815,Productos!$A:$A,Productos!AH:AH,"Revisar"),"")</f>
        <v/>
      </c>
      <c r="AP815" s="179" t="str">
        <f t="array" ref="AP815">IF($F815&lt;&gt;"", XLOOKUP($F815,Productos!$A$2:$A1001,Productos!AI$2:AI1001,"")*$G815,"")</f>
        <v/>
      </c>
      <c r="AQ815" s="179" t="str">
        <f t="array" ref="AQ815">IF($F815&lt;&gt;"",XLOOKUP($F815,Productos!$A:$A,Productos!AJ:AJ,"Revisar"),"")</f>
        <v/>
      </c>
      <c r="AR815" s="179" t="str">
        <f t="array" ref="AR815">IF($F815&lt;&gt;"", XLOOKUP($F815,Productos!$A$2:$A1001,Productos!AK$2:AK1001,"")*$G815,"")</f>
        <v/>
      </c>
      <c r="AS815" s="179" t="str">
        <f t="array" ref="AS815">IF($F815&lt;&gt;"",XLOOKUP($F815,Productos!$A:$A,Productos!AL:AL,"Revisar"),"")</f>
        <v/>
      </c>
      <c r="AT815" s="179" t="str">
        <f t="array" ref="AT815">IF($F815&lt;&gt;"", XLOOKUP($F815,Productos!$A$2:$A1001,Productos!AM$2:AM1001,"")*$G815,"")</f>
        <v/>
      </c>
      <c r="AU815" s="179" t="str">
        <f t="array" ref="AU815">IF($F815&lt;&gt;"",XLOOKUP($F815,Productos!$A:$A,Productos!AN:AN,"Revisar"),"")</f>
        <v/>
      </c>
      <c r="AV815" s="179" t="str">
        <f t="array" ref="AV815">IF($F815&lt;&gt;"", XLOOKUP($F815,Productos!$A$2:$A1001,Productos!AO$2:AO1001,"")*$G815,"")</f>
        <v/>
      </c>
      <c r="AW815" s="179" t="str">
        <f t="array" ref="AW815">IF($F815&lt;&gt;"",XLOOKUP($F815,Productos!$A:$A,Productos!AP:AP,"Revisar"),"")</f>
        <v/>
      </c>
      <c r="AX815" s="179" t="str">
        <f t="array" ref="AX815">IF($F815&lt;&gt;"", XLOOKUP($F815,Productos!$A$2:$A1001,Productos!AQ$2:AQ1001,"")*$G815,"")</f>
        <v/>
      </c>
      <c r="AY815" s="179" t="str">
        <f t="array" ref="AY815">IF($F815&lt;&gt;"",XLOOKUP($F815,Productos!$A:$A,Productos!AR:AR,"Revisar"),"")</f>
        <v/>
      </c>
      <c r="AZ815" s="179" t="str">
        <f t="array" ref="AZ815">IF($F815&lt;&gt;"", XLOOKUP($F815,Productos!$A$2:$A1001,Productos!AS$2:AS1001,"")*$G815,"")</f>
        <v/>
      </c>
      <c r="BA815" s="179" t="str">
        <f t="array" ref="BA815">IF($F815&lt;&gt;"",XLOOKUP($F815,Productos!$A:$A,Productos!AT:AT,"Revisar"),"")</f>
        <v/>
      </c>
      <c r="BB815" s="179" t="str">
        <f t="array" ref="BB815">IF($F815&lt;&gt;"", XLOOKUP($F815,Productos!$A$2:$A1001,Productos!AU$2:AU1001,"")*$G815,"")</f>
        <v/>
      </c>
      <c r="BC815" s="179" t="str">
        <f t="array" ref="BC815">IF($F815&lt;&gt;"",XLOOKUP($F815,Productos!$A:$A,Productos!AV:AV,"Revisar"),"")</f>
        <v/>
      </c>
      <c r="BD815" s="179" t="str">
        <f t="array" ref="BD815">IF($F815&lt;&gt;"", XLOOKUP($F815,Productos!$A$2:$A1001,Productos!AW$2:AW1001,"")*$G815,"")</f>
        <v/>
      </c>
      <c r="BE815" s="179" t="str">
        <f t="array" ref="BE815">IF($F815&lt;&gt;"",XLOOKUP($F815,Productos!$A:$A,Productos!AX:AX,"Revisar"),"")</f>
        <v/>
      </c>
      <c r="BF815" s="179" t="str">
        <f t="array" ref="BF815">IF($F815&lt;&gt;"", XLOOKUP($F815,Productos!$A$2:$A1001,Productos!AY$2:AY1001,"")*$G815,"")</f>
        <v/>
      </c>
      <c r="BG815" s="179" t="str">
        <f t="array" ref="BG815">IF($F815&lt;&gt;"",XLOOKUP($F815,Productos!$A:$A,Productos!AZ:AZ,"Revisar"),"")</f>
        <v/>
      </c>
      <c r="BH815" s="179" t="str">
        <f t="array" ref="BH815">IF($F815&lt;&gt;"", XLOOKUP($F815,Productos!$A$2:$A1001,Productos!BA$2:BA1001,"")*$G815,"")</f>
        <v/>
      </c>
      <c r="BI815" s="179" t="str">
        <f t="array" ref="BI815">IF($F815&lt;&gt;"",XLOOKUP($F815,Productos!$A:$A,Productos!BB:BB,"Revisar"),"")</f>
        <v/>
      </c>
      <c r="BJ815" s="179" t="str">
        <f t="array" ref="BJ815">IF($F815&lt;&gt;"", XLOOKUP($F815,Productos!$A$2:$A1001,Productos!BC$2:BC1001,"")*$G815,"")</f>
        <v/>
      </c>
      <c r="BK815" s="179" t="str">
        <f t="array" ref="BK815">IF($F815&lt;&gt;"",XLOOKUP($F815,Productos!$A:$A,Productos!BD:BD,"Revisar"),"")</f>
        <v/>
      </c>
      <c r="BL815" s="179" t="str">
        <f t="array" ref="BL815">IF($F815&lt;&gt;"", XLOOKUP($F815,Productos!$A$2:$A1001,Productos!BE$2:BE1001,"")*$G815,"")</f>
        <v/>
      </c>
      <c r="BM815" s="179" t="str">
        <f t="array" ref="BM815">IF($F815&lt;&gt;"",XLOOKUP($F815,Productos!$A:$A,Productos!BF:BF,"Revisar"),"")</f>
        <v/>
      </c>
      <c r="BN815" s="179" t="str">
        <f t="array" ref="BN815">IF($F815&lt;&gt;"", XLOOKUP($F815,Productos!$A$2:$A1001,Productos!BG$2:BG1001,"")*$G815,"")</f>
        <v/>
      </c>
      <c r="BO815" s="179" t="str">
        <f t="array" ref="BO815">IF($F815&lt;&gt;"",XLOOKUP($F815,Productos!$A:$A,Productos!BH:BH,"Revisar"),"")</f>
        <v/>
      </c>
      <c r="BP815" s="179" t="str">
        <f t="array" ref="BP815">IF($F815&lt;&gt;"", XLOOKUP($F815,Productos!$A$2:$A1001,Productos!BI$2:BI1001,"")*$G815,"")</f>
        <v/>
      </c>
      <c r="BQ815" s="179" t="str">
        <f t="array" ref="BQ815">IF($F815&lt;&gt;"",XLOOKUP($F815,Productos!$A:$A,Productos!BJ:BJ,"Revisar"),"")</f>
        <v/>
      </c>
      <c r="BR815" s="179" t="str">
        <f t="array" ref="BR815">IF($F815&lt;&gt;"", XLOOKUP($F815,Productos!$A$2:$A1001,Productos!BK$2:BK1001,"")*$G815,"")</f>
        <v/>
      </c>
      <c r="BS815" s="179" t="str">
        <f t="array" ref="BS815">IF($F815&lt;&gt;"",XLOOKUP($F815,Productos!$A:$A,Productos!BL:BL,"Revisar"),"")</f>
        <v/>
      </c>
      <c r="BT815" s="179" t="str">
        <f t="array" ref="BT815">IF($F815&lt;&gt;"", XLOOKUP($F815,Productos!$A$2:$A1001,Productos!BM$2:BM1001,"")*$G815,"")</f>
        <v/>
      </c>
      <c r="BU815" s="179" t="str">
        <f t="array" ref="BU815">IF($F815&lt;&gt;"",XLOOKUP($F815,Productos!$A:$A,Productos!BN:BN,"Revisar"),"")</f>
        <v/>
      </c>
      <c r="BV815" s="179" t="str">
        <f t="array" ref="BV815">IF($F815&lt;&gt;"", XLOOKUP($F815,Productos!$A$2:$A1001,Productos!BO$2:BO1001,"")*$G815,"")</f>
        <v/>
      </c>
      <c r="BW815" s="179" t="str">
        <f t="array" ref="BW815">IF($F815&lt;&gt;"",XLOOKUP($F815,Productos!$A:$A,Productos!BP:BP,"Revisar"),"")</f>
        <v/>
      </c>
      <c r="BX815" s="179" t="str">
        <f t="array" ref="BX815">IF($F815&lt;&gt;"", XLOOKUP($F815,Productos!$A$2:$A1001,Productos!BQ$2:BQ1001,"")*$G815,"")</f>
        <v/>
      </c>
      <c r="BY815" s="179" t="str">
        <f t="array" ref="BY815">IF($F815&lt;&gt;"",XLOOKUP($F815,Productos!$A:$A,Productos!BR:BR,"Revisar"),"")</f>
        <v/>
      </c>
      <c r="BZ815" s="179" t="str">
        <f t="array" ref="BZ815">IF($F815&lt;&gt;"", XLOOKUP($F815,Productos!$A$2:$A1001,Productos!BS$2:BS1001,"")*$G815,"")</f>
        <v/>
      </c>
    </row>
    <row r="816">
      <c r="A816" s="188"/>
      <c r="B816" s="189"/>
      <c r="C816" s="190"/>
      <c r="D816" s="190"/>
      <c r="E816" s="191"/>
      <c r="F816" s="186"/>
      <c r="G816" s="192"/>
      <c r="H816" s="9"/>
      <c r="I816" s="179" t="str">
        <f t="array" ref="I816">IF($F816&lt;&gt;"",XLOOKUP($F816,Productos!$A:$A,Productos!B:B,"Revisar"),"")</f>
        <v/>
      </c>
      <c r="J816" s="179" t="str">
        <f t="array" ref="J816">IF($F816&lt;&gt;"", XLOOKUP($F816,Productos!$A$2:$A1001,Productos!C$2:C1001,"")*$G816,"")</f>
        <v/>
      </c>
      <c r="K816" s="179" t="str">
        <f t="array" ref="K816">IF($F816&lt;&gt;"",XLOOKUP($F816,Productos!$A:$A,Productos!D:D,"Revisar"),"")</f>
        <v/>
      </c>
      <c r="L816" s="179" t="str">
        <f t="array" ref="L816">IF($F816&lt;&gt;"", XLOOKUP($F816,Productos!$A$2:$A1001,Productos!E$2:E1001,"")*$G816,"")</f>
        <v/>
      </c>
      <c r="M816" s="179" t="str">
        <f t="array" ref="M816">IF($F816&lt;&gt;"",XLOOKUP($F816,Productos!$A:$A,Productos!F:F,"Revisar"),"")</f>
        <v/>
      </c>
      <c r="N816" s="179" t="str">
        <f t="array" ref="N816">IF($F816&lt;&gt;"", XLOOKUP($F816,Productos!$A$2:$A1001,Productos!G$2:G1001,"")*$G816,"")</f>
        <v/>
      </c>
      <c r="O816" s="179" t="str">
        <f t="array" ref="O816">IF($F816&lt;&gt;"",XLOOKUP($F816,Productos!$A:$A,Productos!H:H,"Revisar"),"")</f>
        <v/>
      </c>
      <c r="P816" s="179" t="str">
        <f t="array" ref="P816">IF($F816&lt;&gt;"", XLOOKUP($F816,Productos!$A$2:$A1001,Productos!I$2:I1001,"")*$G816,"")</f>
        <v/>
      </c>
      <c r="Q816" s="179" t="str">
        <f t="array" ref="Q816">IF($F816&lt;&gt;"",XLOOKUP($F816,Productos!$A:$A,Productos!J:J,"Revisar"),"")</f>
        <v/>
      </c>
      <c r="R816" s="179" t="str">
        <f t="array" ref="R816">IF($F816&lt;&gt;"", XLOOKUP($F816,Productos!$A$2:$A1001,Productos!K$2:K1001,"")*$G816,"")</f>
        <v/>
      </c>
      <c r="S816" s="179" t="str">
        <f t="array" ref="S816">IF($F816&lt;&gt;"",XLOOKUP($F816,Productos!$A:$A,Productos!L:L,"Revisar"),"")</f>
        <v/>
      </c>
      <c r="T816" s="179" t="str">
        <f t="array" ref="T816">IF($F816&lt;&gt;"", XLOOKUP($F816,Productos!$A$2:$A1001,Productos!M$2:M1001,"")*$G816,"")</f>
        <v/>
      </c>
      <c r="U816" s="179" t="str">
        <f t="array" ref="U816">IF($F816&lt;&gt;"",XLOOKUP($F816,Productos!$A:$A,Productos!N:N,"Revisar"),"")</f>
        <v/>
      </c>
      <c r="V816" s="179" t="str">
        <f t="array" ref="V816">IF($F816&lt;&gt;"", XLOOKUP($F816,Productos!$A$2:$A1001,Productos!O$2:O1001,"")*$G816,"")</f>
        <v/>
      </c>
      <c r="W816" s="179" t="str">
        <f t="array" ref="W816">IF($F816&lt;&gt;"",XLOOKUP($F816,Productos!$A:$A,Productos!P:P,"Revisar"),"")</f>
        <v/>
      </c>
      <c r="X816" s="179" t="str">
        <f t="array" ref="X816">IF($F816&lt;&gt;"", XLOOKUP($F816,Productos!$A$2:$A1001,Productos!Q$2:Q1001,"")*$G816,"")</f>
        <v/>
      </c>
      <c r="Y816" s="179" t="str">
        <f t="array" ref="Y816">IF($F816&lt;&gt;"",XLOOKUP($F816,Productos!$A:$A,Productos!R:R,"Revisar"),"")</f>
        <v/>
      </c>
      <c r="Z816" s="179" t="str">
        <f t="array" ref="Z816">IF($F816&lt;&gt;"", XLOOKUP($F816,Productos!$A$2:$A1001,Productos!S$2:S1001,"")*$G816,"")</f>
        <v/>
      </c>
      <c r="AA816" s="179" t="str">
        <f t="array" ref="AA816">IF($F816&lt;&gt;"",XLOOKUP($F816,Productos!$A:$A,Productos!T:T,"Revisar"),"")</f>
        <v/>
      </c>
      <c r="AB816" s="179" t="str">
        <f t="array" ref="AB816">IF($F816&lt;&gt;"", XLOOKUP($F816,Productos!$A$2:$A1001,Productos!U$2:U1001,"")*$G816,"")</f>
        <v/>
      </c>
      <c r="AC816" s="179" t="str">
        <f t="array" ref="AC816">IF($F816&lt;&gt;"",XLOOKUP($F816,Productos!$A:$A,Productos!V:V,"Revisar"),"")</f>
        <v/>
      </c>
      <c r="AD816" s="179" t="str">
        <f t="array" ref="AD816">IF($F816&lt;&gt;"", XLOOKUP($F816,Productos!$A$2:$A1001,Productos!W$2:W1001,"")*$G816,"")</f>
        <v/>
      </c>
      <c r="AE816" s="179" t="str">
        <f t="array" ref="AE816">IF($F816&lt;&gt;"",XLOOKUP($F816,Productos!$A:$A,Productos!X:X,"Revisar"),"")</f>
        <v/>
      </c>
      <c r="AF816" s="179" t="str">
        <f t="array" ref="AF816">IF($F816&lt;&gt;"", XLOOKUP($F816,Productos!$A$2:$A1001,Productos!Y$2:Y1001,"")*$G816,"")</f>
        <v/>
      </c>
      <c r="AG816" s="179" t="str">
        <f t="array" ref="AG816">IF($F816&lt;&gt;"",XLOOKUP($F816,Productos!$A:$A,Productos!Z:Z,"Revisar"),"")</f>
        <v/>
      </c>
      <c r="AH816" s="179" t="str">
        <f t="array" ref="AH816">IF($F816&lt;&gt;"", XLOOKUP($F816,Productos!$A$2:$A1001,Productos!AA$2:AA1001,"")*$G816,"")</f>
        <v/>
      </c>
      <c r="AI816" s="179" t="str">
        <f t="array" ref="AI816">IF($F816&lt;&gt;"",XLOOKUP($F816,Productos!$A:$A,Productos!AB:AB,"Revisar"),"")</f>
        <v/>
      </c>
      <c r="AJ816" s="179" t="str">
        <f t="array" ref="AJ816">IF($F816&lt;&gt;"", XLOOKUP($F816,Productos!$A$2:$A1001,Productos!AC$2:AC1001,"")*$G816,"")</f>
        <v/>
      </c>
      <c r="AK816" s="179" t="str">
        <f t="array" ref="AK816">IF($F816&lt;&gt;"",XLOOKUP($F816,Productos!$A:$A,Productos!AD:AD,"Revisar"),"")</f>
        <v/>
      </c>
      <c r="AL816" s="179" t="str">
        <f t="array" ref="AL816">IF($F816&lt;&gt;"", XLOOKUP($F816,Productos!$A$2:$A1001,Productos!AE$2:AE1001,"")*$G816,"")</f>
        <v/>
      </c>
      <c r="AM816" s="179" t="str">
        <f t="array" ref="AM816">IF($F816&lt;&gt;"",XLOOKUP($F816,Productos!$A:$A,Productos!AF:AF,"Revisar"),"")</f>
        <v/>
      </c>
      <c r="AN816" s="179" t="str">
        <f t="array" ref="AN816">IF($F816&lt;&gt;"", XLOOKUP($F816,Productos!$A$2:$A1001,Productos!AG$2:AG1001,"")*$G816,"")</f>
        <v/>
      </c>
      <c r="AO816" s="179" t="str">
        <f t="array" ref="AO816">IF($F816&lt;&gt;"",XLOOKUP($F816,Productos!$A:$A,Productos!AH:AH,"Revisar"),"")</f>
        <v/>
      </c>
      <c r="AP816" s="179" t="str">
        <f t="array" ref="AP816">IF($F816&lt;&gt;"", XLOOKUP($F816,Productos!$A$2:$A1001,Productos!AI$2:AI1001,"")*$G816,"")</f>
        <v/>
      </c>
      <c r="AQ816" s="179" t="str">
        <f t="array" ref="AQ816">IF($F816&lt;&gt;"",XLOOKUP($F816,Productos!$A:$A,Productos!AJ:AJ,"Revisar"),"")</f>
        <v/>
      </c>
      <c r="AR816" s="179" t="str">
        <f t="array" ref="AR816">IF($F816&lt;&gt;"", XLOOKUP($F816,Productos!$A$2:$A1001,Productos!AK$2:AK1001,"")*$G816,"")</f>
        <v/>
      </c>
      <c r="AS816" s="179" t="str">
        <f t="array" ref="AS816">IF($F816&lt;&gt;"",XLOOKUP($F816,Productos!$A:$A,Productos!AL:AL,"Revisar"),"")</f>
        <v/>
      </c>
      <c r="AT816" s="179" t="str">
        <f t="array" ref="AT816">IF($F816&lt;&gt;"", XLOOKUP($F816,Productos!$A$2:$A1001,Productos!AM$2:AM1001,"")*$G816,"")</f>
        <v/>
      </c>
      <c r="AU816" s="179" t="str">
        <f t="array" ref="AU816">IF($F816&lt;&gt;"",XLOOKUP($F816,Productos!$A:$A,Productos!AN:AN,"Revisar"),"")</f>
        <v/>
      </c>
      <c r="AV816" s="179" t="str">
        <f t="array" ref="AV816">IF($F816&lt;&gt;"", XLOOKUP($F816,Productos!$A$2:$A1001,Productos!AO$2:AO1001,"")*$G816,"")</f>
        <v/>
      </c>
      <c r="AW816" s="179" t="str">
        <f t="array" ref="AW816">IF($F816&lt;&gt;"",XLOOKUP($F816,Productos!$A:$A,Productos!AP:AP,"Revisar"),"")</f>
        <v/>
      </c>
      <c r="AX816" s="179" t="str">
        <f t="array" ref="AX816">IF($F816&lt;&gt;"", XLOOKUP($F816,Productos!$A$2:$A1001,Productos!AQ$2:AQ1001,"")*$G816,"")</f>
        <v/>
      </c>
      <c r="AY816" s="179" t="str">
        <f t="array" ref="AY816">IF($F816&lt;&gt;"",XLOOKUP($F816,Productos!$A:$A,Productos!AR:AR,"Revisar"),"")</f>
        <v/>
      </c>
      <c r="AZ816" s="179" t="str">
        <f t="array" ref="AZ816">IF($F816&lt;&gt;"", XLOOKUP($F816,Productos!$A$2:$A1001,Productos!AS$2:AS1001,"")*$G816,"")</f>
        <v/>
      </c>
      <c r="BA816" s="179" t="str">
        <f t="array" ref="BA816">IF($F816&lt;&gt;"",XLOOKUP($F816,Productos!$A:$A,Productos!AT:AT,"Revisar"),"")</f>
        <v/>
      </c>
      <c r="BB816" s="179" t="str">
        <f t="array" ref="BB816">IF($F816&lt;&gt;"", XLOOKUP($F816,Productos!$A$2:$A1001,Productos!AU$2:AU1001,"")*$G816,"")</f>
        <v/>
      </c>
      <c r="BC816" s="179" t="str">
        <f t="array" ref="BC816">IF($F816&lt;&gt;"",XLOOKUP($F816,Productos!$A:$A,Productos!AV:AV,"Revisar"),"")</f>
        <v/>
      </c>
      <c r="BD816" s="179" t="str">
        <f t="array" ref="BD816">IF($F816&lt;&gt;"", XLOOKUP($F816,Productos!$A$2:$A1001,Productos!AW$2:AW1001,"")*$G816,"")</f>
        <v/>
      </c>
      <c r="BE816" s="179" t="str">
        <f t="array" ref="BE816">IF($F816&lt;&gt;"",XLOOKUP($F816,Productos!$A:$A,Productos!AX:AX,"Revisar"),"")</f>
        <v/>
      </c>
      <c r="BF816" s="179" t="str">
        <f t="array" ref="BF816">IF($F816&lt;&gt;"", XLOOKUP($F816,Productos!$A$2:$A1001,Productos!AY$2:AY1001,"")*$G816,"")</f>
        <v/>
      </c>
      <c r="BG816" s="179" t="str">
        <f t="array" ref="BG816">IF($F816&lt;&gt;"",XLOOKUP($F816,Productos!$A:$A,Productos!AZ:AZ,"Revisar"),"")</f>
        <v/>
      </c>
      <c r="BH816" s="179" t="str">
        <f t="array" ref="BH816">IF($F816&lt;&gt;"", XLOOKUP($F816,Productos!$A$2:$A1001,Productos!BA$2:BA1001,"")*$G816,"")</f>
        <v/>
      </c>
      <c r="BI816" s="179" t="str">
        <f t="array" ref="BI816">IF($F816&lt;&gt;"",XLOOKUP($F816,Productos!$A:$A,Productos!BB:BB,"Revisar"),"")</f>
        <v/>
      </c>
      <c r="BJ816" s="179" t="str">
        <f t="array" ref="BJ816">IF($F816&lt;&gt;"", XLOOKUP($F816,Productos!$A$2:$A1001,Productos!BC$2:BC1001,"")*$G816,"")</f>
        <v/>
      </c>
      <c r="BK816" s="179" t="str">
        <f t="array" ref="BK816">IF($F816&lt;&gt;"",XLOOKUP($F816,Productos!$A:$A,Productos!BD:BD,"Revisar"),"")</f>
        <v/>
      </c>
      <c r="BL816" s="179" t="str">
        <f t="array" ref="BL816">IF($F816&lt;&gt;"", XLOOKUP($F816,Productos!$A$2:$A1001,Productos!BE$2:BE1001,"")*$G816,"")</f>
        <v/>
      </c>
      <c r="BM816" s="179" t="str">
        <f t="array" ref="BM816">IF($F816&lt;&gt;"",XLOOKUP($F816,Productos!$A:$A,Productos!BF:BF,"Revisar"),"")</f>
        <v/>
      </c>
      <c r="BN816" s="179" t="str">
        <f t="array" ref="BN816">IF($F816&lt;&gt;"", XLOOKUP($F816,Productos!$A$2:$A1001,Productos!BG$2:BG1001,"")*$G816,"")</f>
        <v/>
      </c>
      <c r="BO816" s="179" t="str">
        <f t="array" ref="BO816">IF($F816&lt;&gt;"",XLOOKUP($F816,Productos!$A:$A,Productos!BH:BH,"Revisar"),"")</f>
        <v/>
      </c>
      <c r="BP816" s="179" t="str">
        <f t="array" ref="BP816">IF($F816&lt;&gt;"", XLOOKUP($F816,Productos!$A$2:$A1001,Productos!BI$2:BI1001,"")*$G816,"")</f>
        <v/>
      </c>
      <c r="BQ816" s="179" t="str">
        <f t="array" ref="BQ816">IF($F816&lt;&gt;"",XLOOKUP($F816,Productos!$A:$A,Productos!BJ:BJ,"Revisar"),"")</f>
        <v/>
      </c>
      <c r="BR816" s="179" t="str">
        <f t="array" ref="BR816">IF($F816&lt;&gt;"", XLOOKUP($F816,Productos!$A$2:$A1001,Productos!BK$2:BK1001,"")*$G816,"")</f>
        <v/>
      </c>
      <c r="BS816" s="179" t="str">
        <f t="array" ref="BS816">IF($F816&lt;&gt;"",XLOOKUP($F816,Productos!$A:$A,Productos!BL:BL,"Revisar"),"")</f>
        <v/>
      </c>
      <c r="BT816" s="179" t="str">
        <f t="array" ref="BT816">IF($F816&lt;&gt;"", XLOOKUP($F816,Productos!$A$2:$A1001,Productos!BM$2:BM1001,"")*$G816,"")</f>
        <v/>
      </c>
      <c r="BU816" s="179" t="str">
        <f t="array" ref="BU816">IF($F816&lt;&gt;"",XLOOKUP($F816,Productos!$A:$A,Productos!BN:BN,"Revisar"),"")</f>
        <v/>
      </c>
      <c r="BV816" s="179" t="str">
        <f t="array" ref="BV816">IF($F816&lt;&gt;"", XLOOKUP($F816,Productos!$A$2:$A1001,Productos!BO$2:BO1001,"")*$G816,"")</f>
        <v/>
      </c>
      <c r="BW816" s="179" t="str">
        <f t="array" ref="BW816">IF($F816&lt;&gt;"",XLOOKUP($F816,Productos!$A:$A,Productos!BP:BP,"Revisar"),"")</f>
        <v/>
      </c>
      <c r="BX816" s="179" t="str">
        <f t="array" ref="BX816">IF($F816&lt;&gt;"", XLOOKUP($F816,Productos!$A$2:$A1001,Productos!BQ$2:BQ1001,"")*$G816,"")</f>
        <v/>
      </c>
      <c r="BY816" s="179" t="str">
        <f t="array" ref="BY816">IF($F816&lt;&gt;"",XLOOKUP($F816,Productos!$A:$A,Productos!BR:BR,"Revisar"),"")</f>
        <v/>
      </c>
      <c r="BZ816" s="179" t="str">
        <f t="array" ref="BZ816">IF($F816&lt;&gt;"", XLOOKUP($F816,Productos!$A$2:$A1001,Productos!BS$2:BS1001,"")*$G816,"")</f>
        <v/>
      </c>
    </row>
    <row r="817">
      <c r="A817" s="188"/>
      <c r="B817" s="189"/>
      <c r="C817" s="190"/>
      <c r="D817" s="190"/>
      <c r="E817" s="191"/>
      <c r="F817" s="186"/>
      <c r="G817" s="192"/>
      <c r="H817" s="9"/>
      <c r="I817" s="179" t="str">
        <f t="array" ref="I817">IF($F817&lt;&gt;"",XLOOKUP($F817,Productos!$A:$A,Productos!B:B,"Revisar"),"")</f>
        <v/>
      </c>
      <c r="J817" s="179" t="str">
        <f t="array" ref="J817">IF($F817&lt;&gt;"", XLOOKUP($F817,Productos!$A$2:$A1001,Productos!C$2:C1001,"")*$G817,"")</f>
        <v/>
      </c>
      <c r="K817" s="179" t="str">
        <f t="array" ref="K817">IF($F817&lt;&gt;"",XLOOKUP($F817,Productos!$A:$A,Productos!D:D,"Revisar"),"")</f>
        <v/>
      </c>
      <c r="L817" s="179" t="str">
        <f t="array" ref="L817">IF($F817&lt;&gt;"", XLOOKUP($F817,Productos!$A$2:$A1001,Productos!E$2:E1001,"")*$G817,"")</f>
        <v/>
      </c>
      <c r="M817" s="179" t="str">
        <f t="array" ref="M817">IF($F817&lt;&gt;"",XLOOKUP($F817,Productos!$A:$A,Productos!F:F,"Revisar"),"")</f>
        <v/>
      </c>
      <c r="N817" s="179" t="str">
        <f t="array" ref="N817">IF($F817&lt;&gt;"", XLOOKUP($F817,Productos!$A$2:$A1001,Productos!G$2:G1001,"")*$G817,"")</f>
        <v/>
      </c>
      <c r="O817" s="179" t="str">
        <f t="array" ref="O817">IF($F817&lt;&gt;"",XLOOKUP($F817,Productos!$A:$A,Productos!H:H,"Revisar"),"")</f>
        <v/>
      </c>
      <c r="P817" s="179" t="str">
        <f t="array" ref="P817">IF($F817&lt;&gt;"", XLOOKUP($F817,Productos!$A$2:$A1001,Productos!I$2:I1001,"")*$G817,"")</f>
        <v/>
      </c>
      <c r="Q817" s="179" t="str">
        <f t="array" ref="Q817">IF($F817&lt;&gt;"",XLOOKUP($F817,Productos!$A:$A,Productos!J:J,"Revisar"),"")</f>
        <v/>
      </c>
      <c r="R817" s="179" t="str">
        <f t="array" ref="R817">IF($F817&lt;&gt;"", XLOOKUP($F817,Productos!$A$2:$A1001,Productos!K$2:K1001,"")*$G817,"")</f>
        <v/>
      </c>
      <c r="S817" s="179" t="str">
        <f t="array" ref="S817">IF($F817&lt;&gt;"",XLOOKUP($F817,Productos!$A:$A,Productos!L:L,"Revisar"),"")</f>
        <v/>
      </c>
      <c r="T817" s="179" t="str">
        <f t="array" ref="T817">IF($F817&lt;&gt;"", XLOOKUP($F817,Productos!$A$2:$A1001,Productos!M$2:M1001,"")*$G817,"")</f>
        <v/>
      </c>
      <c r="U817" s="179" t="str">
        <f t="array" ref="U817">IF($F817&lt;&gt;"",XLOOKUP($F817,Productos!$A:$A,Productos!N:N,"Revisar"),"")</f>
        <v/>
      </c>
      <c r="V817" s="179" t="str">
        <f t="array" ref="V817">IF($F817&lt;&gt;"", XLOOKUP($F817,Productos!$A$2:$A1001,Productos!O$2:O1001,"")*$G817,"")</f>
        <v/>
      </c>
      <c r="W817" s="179" t="str">
        <f t="array" ref="W817">IF($F817&lt;&gt;"",XLOOKUP($F817,Productos!$A:$A,Productos!P:P,"Revisar"),"")</f>
        <v/>
      </c>
      <c r="X817" s="179" t="str">
        <f t="array" ref="X817">IF($F817&lt;&gt;"", XLOOKUP($F817,Productos!$A$2:$A1001,Productos!Q$2:Q1001,"")*$G817,"")</f>
        <v/>
      </c>
      <c r="Y817" s="179" t="str">
        <f t="array" ref="Y817">IF($F817&lt;&gt;"",XLOOKUP($F817,Productos!$A:$A,Productos!R:R,"Revisar"),"")</f>
        <v/>
      </c>
      <c r="Z817" s="179" t="str">
        <f t="array" ref="Z817">IF($F817&lt;&gt;"", XLOOKUP($F817,Productos!$A$2:$A1001,Productos!S$2:S1001,"")*$G817,"")</f>
        <v/>
      </c>
      <c r="AA817" s="179" t="str">
        <f t="array" ref="AA817">IF($F817&lt;&gt;"",XLOOKUP($F817,Productos!$A:$A,Productos!T:T,"Revisar"),"")</f>
        <v/>
      </c>
      <c r="AB817" s="179" t="str">
        <f t="array" ref="AB817">IF($F817&lt;&gt;"", XLOOKUP($F817,Productos!$A$2:$A1001,Productos!U$2:U1001,"")*$G817,"")</f>
        <v/>
      </c>
      <c r="AC817" s="179" t="str">
        <f t="array" ref="AC817">IF($F817&lt;&gt;"",XLOOKUP($F817,Productos!$A:$A,Productos!V:V,"Revisar"),"")</f>
        <v/>
      </c>
      <c r="AD817" s="179" t="str">
        <f t="array" ref="AD817">IF($F817&lt;&gt;"", XLOOKUP($F817,Productos!$A$2:$A1001,Productos!W$2:W1001,"")*$G817,"")</f>
        <v/>
      </c>
      <c r="AE817" s="179" t="str">
        <f t="array" ref="AE817">IF($F817&lt;&gt;"",XLOOKUP($F817,Productos!$A:$A,Productos!X:X,"Revisar"),"")</f>
        <v/>
      </c>
      <c r="AF817" s="179" t="str">
        <f t="array" ref="AF817">IF($F817&lt;&gt;"", XLOOKUP($F817,Productos!$A$2:$A1001,Productos!Y$2:Y1001,"")*$G817,"")</f>
        <v/>
      </c>
      <c r="AG817" s="179" t="str">
        <f t="array" ref="AG817">IF($F817&lt;&gt;"",XLOOKUP($F817,Productos!$A:$A,Productos!Z:Z,"Revisar"),"")</f>
        <v/>
      </c>
      <c r="AH817" s="179" t="str">
        <f t="array" ref="AH817">IF($F817&lt;&gt;"", XLOOKUP($F817,Productos!$A$2:$A1001,Productos!AA$2:AA1001,"")*$G817,"")</f>
        <v/>
      </c>
      <c r="AI817" s="179" t="str">
        <f t="array" ref="AI817">IF($F817&lt;&gt;"",XLOOKUP($F817,Productos!$A:$A,Productos!AB:AB,"Revisar"),"")</f>
        <v/>
      </c>
      <c r="AJ817" s="179" t="str">
        <f t="array" ref="AJ817">IF($F817&lt;&gt;"", XLOOKUP($F817,Productos!$A$2:$A1001,Productos!AC$2:AC1001,"")*$G817,"")</f>
        <v/>
      </c>
      <c r="AK817" s="179" t="str">
        <f t="array" ref="AK817">IF($F817&lt;&gt;"",XLOOKUP($F817,Productos!$A:$A,Productos!AD:AD,"Revisar"),"")</f>
        <v/>
      </c>
      <c r="AL817" s="179" t="str">
        <f t="array" ref="AL817">IF($F817&lt;&gt;"", XLOOKUP($F817,Productos!$A$2:$A1001,Productos!AE$2:AE1001,"")*$G817,"")</f>
        <v/>
      </c>
      <c r="AM817" s="179" t="str">
        <f t="array" ref="AM817">IF($F817&lt;&gt;"",XLOOKUP($F817,Productos!$A:$A,Productos!AF:AF,"Revisar"),"")</f>
        <v/>
      </c>
      <c r="AN817" s="179" t="str">
        <f t="array" ref="AN817">IF($F817&lt;&gt;"", XLOOKUP($F817,Productos!$A$2:$A1001,Productos!AG$2:AG1001,"")*$G817,"")</f>
        <v/>
      </c>
      <c r="AO817" s="179" t="str">
        <f t="array" ref="AO817">IF($F817&lt;&gt;"",XLOOKUP($F817,Productos!$A:$A,Productos!AH:AH,"Revisar"),"")</f>
        <v/>
      </c>
      <c r="AP817" s="179" t="str">
        <f t="array" ref="AP817">IF($F817&lt;&gt;"", XLOOKUP($F817,Productos!$A$2:$A1001,Productos!AI$2:AI1001,"")*$G817,"")</f>
        <v/>
      </c>
      <c r="AQ817" s="179" t="str">
        <f t="array" ref="AQ817">IF($F817&lt;&gt;"",XLOOKUP($F817,Productos!$A:$A,Productos!AJ:AJ,"Revisar"),"")</f>
        <v/>
      </c>
      <c r="AR817" s="179" t="str">
        <f t="array" ref="AR817">IF($F817&lt;&gt;"", XLOOKUP($F817,Productos!$A$2:$A1001,Productos!AK$2:AK1001,"")*$G817,"")</f>
        <v/>
      </c>
      <c r="AS817" s="179" t="str">
        <f t="array" ref="AS817">IF($F817&lt;&gt;"",XLOOKUP($F817,Productos!$A:$A,Productos!AL:AL,"Revisar"),"")</f>
        <v/>
      </c>
      <c r="AT817" s="179" t="str">
        <f t="array" ref="AT817">IF($F817&lt;&gt;"", XLOOKUP($F817,Productos!$A$2:$A1001,Productos!AM$2:AM1001,"")*$G817,"")</f>
        <v/>
      </c>
      <c r="AU817" s="179" t="str">
        <f t="array" ref="AU817">IF($F817&lt;&gt;"",XLOOKUP($F817,Productos!$A:$A,Productos!AN:AN,"Revisar"),"")</f>
        <v/>
      </c>
      <c r="AV817" s="179" t="str">
        <f t="array" ref="AV817">IF($F817&lt;&gt;"", XLOOKUP($F817,Productos!$A$2:$A1001,Productos!AO$2:AO1001,"")*$G817,"")</f>
        <v/>
      </c>
      <c r="AW817" s="179" t="str">
        <f t="array" ref="AW817">IF($F817&lt;&gt;"",XLOOKUP($F817,Productos!$A:$A,Productos!AP:AP,"Revisar"),"")</f>
        <v/>
      </c>
      <c r="AX817" s="179" t="str">
        <f t="array" ref="AX817">IF($F817&lt;&gt;"", XLOOKUP($F817,Productos!$A$2:$A1001,Productos!AQ$2:AQ1001,"")*$G817,"")</f>
        <v/>
      </c>
      <c r="AY817" s="179" t="str">
        <f t="array" ref="AY817">IF($F817&lt;&gt;"",XLOOKUP($F817,Productos!$A:$A,Productos!AR:AR,"Revisar"),"")</f>
        <v/>
      </c>
      <c r="AZ817" s="179" t="str">
        <f t="array" ref="AZ817">IF($F817&lt;&gt;"", XLOOKUP($F817,Productos!$A$2:$A1001,Productos!AS$2:AS1001,"")*$G817,"")</f>
        <v/>
      </c>
      <c r="BA817" s="179" t="str">
        <f t="array" ref="BA817">IF($F817&lt;&gt;"",XLOOKUP($F817,Productos!$A:$A,Productos!AT:AT,"Revisar"),"")</f>
        <v/>
      </c>
      <c r="BB817" s="179" t="str">
        <f t="array" ref="BB817">IF($F817&lt;&gt;"", XLOOKUP($F817,Productos!$A$2:$A1001,Productos!AU$2:AU1001,"")*$G817,"")</f>
        <v/>
      </c>
      <c r="BC817" s="179" t="str">
        <f t="array" ref="BC817">IF($F817&lt;&gt;"",XLOOKUP($F817,Productos!$A:$A,Productos!AV:AV,"Revisar"),"")</f>
        <v/>
      </c>
      <c r="BD817" s="179" t="str">
        <f t="array" ref="BD817">IF($F817&lt;&gt;"", XLOOKUP($F817,Productos!$A$2:$A1001,Productos!AW$2:AW1001,"")*$G817,"")</f>
        <v/>
      </c>
      <c r="BE817" s="179" t="str">
        <f t="array" ref="BE817">IF($F817&lt;&gt;"",XLOOKUP($F817,Productos!$A:$A,Productos!AX:AX,"Revisar"),"")</f>
        <v/>
      </c>
      <c r="BF817" s="179" t="str">
        <f t="array" ref="BF817">IF($F817&lt;&gt;"", XLOOKUP($F817,Productos!$A$2:$A1001,Productos!AY$2:AY1001,"")*$G817,"")</f>
        <v/>
      </c>
      <c r="BG817" s="179" t="str">
        <f t="array" ref="BG817">IF($F817&lt;&gt;"",XLOOKUP($F817,Productos!$A:$A,Productos!AZ:AZ,"Revisar"),"")</f>
        <v/>
      </c>
      <c r="BH817" s="179" t="str">
        <f t="array" ref="BH817">IF($F817&lt;&gt;"", XLOOKUP($F817,Productos!$A$2:$A1001,Productos!BA$2:BA1001,"")*$G817,"")</f>
        <v/>
      </c>
      <c r="BI817" s="179" t="str">
        <f t="array" ref="BI817">IF($F817&lt;&gt;"",XLOOKUP($F817,Productos!$A:$A,Productos!BB:BB,"Revisar"),"")</f>
        <v/>
      </c>
      <c r="BJ817" s="179" t="str">
        <f t="array" ref="BJ817">IF($F817&lt;&gt;"", XLOOKUP($F817,Productos!$A$2:$A1001,Productos!BC$2:BC1001,"")*$G817,"")</f>
        <v/>
      </c>
      <c r="BK817" s="179" t="str">
        <f t="array" ref="BK817">IF($F817&lt;&gt;"",XLOOKUP($F817,Productos!$A:$A,Productos!BD:BD,"Revisar"),"")</f>
        <v/>
      </c>
      <c r="BL817" s="179" t="str">
        <f t="array" ref="BL817">IF($F817&lt;&gt;"", XLOOKUP($F817,Productos!$A$2:$A1001,Productos!BE$2:BE1001,"")*$G817,"")</f>
        <v/>
      </c>
      <c r="BM817" s="179" t="str">
        <f t="array" ref="BM817">IF($F817&lt;&gt;"",XLOOKUP($F817,Productos!$A:$A,Productos!BF:BF,"Revisar"),"")</f>
        <v/>
      </c>
      <c r="BN817" s="179" t="str">
        <f t="array" ref="BN817">IF($F817&lt;&gt;"", XLOOKUP($F817,Productos!$A$2:$A1001,Productos!BG$2:BG1001,"")*$G817,"")</f>
        <v/>
      </c>
      <c r="BO817" s="179" t="str">
        <f t="array" ref="BO817">IF($F817&lt;&gt;"",XLOOKUP($F817,Productos!$A:$A,Productos!BH:BH,"Revisar"),"")</f>
        <v/>
      </c>
      <c r="BP817" s="179" t="str">
        <f t="array" ref="BP817">IF($F817&lt;&gt;"", XLOOKUP($F817,Productos!$A$2:$A1001,Productos!BI$2:BI1001,"")*$G817,"")</f>
        <v/>
      </c>
      <c r="BQ817" s="179" t="str">
        <f t="array" ref="BQ817">IF($F817&lt;&gt;"",XLOOKUP($F817,Productos!$A:$A,Productos!BJ:BJ,"Revisar"),"")</f>
        <v/>
      </c>
      <c r="BR817" s="179" t="str">
        <f t="array" ref="BR817">IF($F817&lt;&gt;"", XLOOKUP($F817,Productos!$A$2:$A1001,Productos!BK$2:BK1001,"")*$G817,"")</f>
        <v/>
      </c>
      <c r="BS817" s="179" t="str">
        <f t="array" ref="BS817">IF($F817&lt;&gt;"",XLOOKUP($F817,Productos!$A:$A,Productos!BL:BL,"Revisar"),"")</f>
        <v/>
      </c>
      <c r="BT817" s="179" t="str">
        <f t="array" ref="BT817">IF($F817&lt;&gt;"", XLOOKUP($F817,Productos!$A$2:$A1001,Productos!BM$2:BM1001,"")*$G817,"")</f>
        <v/>
      </c>
      <c r="BU817" s="179" t="str">
        <f t="array" ref="BU817">IF($F817&lt;&gt;"",XLOOKUP($F817,Productos!$A:$A,Productos!BN:BN,"Revisar"),"")</f>
        <v/>
      </c>
      <c r="BV817" s="179" t="str">
        <f t="array" ref="BV817">IF($F817&lt;&gt;"", XLOOKUP($F817,Productos!$A$2:$A1001,Productos!BO$2:BO1001,"")*$G817,"")</f>
        <v/>
      </c>
      <c r="BW817" s="179" t="str">
        <f t="array" ref="BW817">IF($F817&lt;&gt;"",XLOOKUP($F817,Productos!$A:$A,Productos!BP:BP,"Revisar"),"")</f>
        <v/>
      </c>
      <c r="BX817" s="179" t="str">
        <f t="array" ref="BX817">IF($F817&lt;&gt;"", XLOOKUP($F817,Productos!$A$2:$A1001,Productos!BQ$2:BQ1001,"")*$G817,"")</f>
        <v/>
      </c>
      <c r="BY817" s="179" t="str">
        <f t="array" ref="BY817">IF($F817&lt;&gt;"",XLOOKUP($F817,Productos!$A:$A,Productos!BR:BR,"Revisar"),"")</f>
        <v/>
      </c>
      <c r="BZ817" s="179" t="str">
        <f t="array" ref="BZ817">IF($F817&lt;&gt;"", XLOOKUP($F817,Productos!$A$2:$A1001,Productos!BS$2:BS1001,"")*$G817,"")</f>
        <v/>
      </c>
    </row>
    <row r="818">
      <c r="A818" s="188"/>
      <c r="B818" s="189"/>
      <c r="C818" s="190"/>
      <c r="D818" s="190"/>
      <c r="E818" s="191"/>
      <c r="F818" s="186"/>
      <c r="G818" s="192"/>
      <c r="H818" s="9"/>
      <c r="I818" s="179" t="str">
        <f t="array" ref="I818">IF($F818&lt;&gt;"",XLOOKUP($F818,Productos!$A:$A,Productos!B:B,"Revisar"),"")</f>
        <v/>
      </c>
      <c r="J818" s="179" t="str">
        <f t="array" ref="J818">IF($F818&lt;&gt;"", XLOOKUP($F818,Productos!$A$2:$A1001,Productos!C$2:C1001,"")*$G818,"")</f>
        <v/>
      </c>
      <c r="K818" s="179" t="str">
        <f t="array" ref="K818">IF($F818&lt;&gt;"",XLOOKUP($F818,Productos!$A:$A,Productos!D:D,"Revisar"),"")</f>
        <v/>
      </c>
      <c r="L818" s="179" t="str">
        <f t="array" ref="L818">IF($F818&lt;&gt;"", XLOOKUP($F818,Productos!$A$2:$A1001,Productos!E$2:E1001,"")*$G818,"")</f>
        <v/>
      </c>
      <c r="M818" s="179" t="str">
        <f t="array" ref="M818">IF($F818&lt;&gt;"",XLOOKUP($F818,Productos!$A:$A,Productos!F:F,"Revisar"),"")</f>
        <v/>
      </c>
      <c r="N818" s="179" t="str">
        <f t="array" ref="N818">IF($F818&lt;&gt;"", XLOOKUP($F818,Productos!$A$2:$A1001,Productos!G$2:G1001,"")*$G818,"")</f>
        <v/>
      </c>
      <c r="O818" s="179" t="str">
        <f t="array" ref="O818">IF($F818&lt;&gt;"",XLOOKUP($F818,Productos!$A:$A,Productos!H:H,"Revisar"),"")</f>
        <v/>
      </c>
      <c r="P818" s="179" t="str">
        <f t="array" ref="P818">IF($F818&lt;&gt;"", XLOOKUP($F818,Productos!$A$2:$A1001,Productos!I$2:I1001,"")*$G818,"")</f>
        <v/>
      </c>
      <c r="Q818" s="179" t="str">
        <f t="array" ref="Q818">IF($F818&lt;&gt;"",XLOOKUP($F818,Productos!$A:$A,Productos!J:J,"Revisar"),"")</f>
        <v/>
      </c>
      <c r="R818" s="179" t="str">
        <f t="array" ref="R818">IF($F818&lt;&gt;"", XLOOKUP($F818,Productos!$A$2:$A1001,Productos!K$2:K1001,"")*$G818,"")</f>
        <v/>
      </c>
      <c r="S818" s="179" t="str">
        <f t="array" ref="S818">IF($F818&lt;&gt;"",XLOOKUP($F818,Productos!$A:$A,Productos!L:L,"Revisar"),"")</f>
        <v/>
      </c>
      <c r="T818" s="179" t="str">
        <f t="array" ref="T818">IF($F818&lt;&gt;"", XLOOKUP($F818,Productos!$A$2:$A1001,Productos!M$2:M1001,"")*$G818,"")</f>
        <v/>
      </c>
      <c r="U818" s="179" t="str">
        <f t="array" ref="U818">IF($F818&lt;&gt;"",XLOOKUP($F818,Productos!$A:$A,Productos!N:N,"Revisar"),"")</f>
        <v/>
      </c>
      <c r="V818" s="179" t="str">
        <f t="array" ref="V818">IF($F818&lt;&gt;"", XLOOKUP($F818,Productos!$A$2:$A1001,Productos!O$2:O1001,"")*$G818,"")</f>
        <v/>
      </c>
      <c r="W818" s="179" t="str">
        <f t="array" ref="W818">IF($F818&lt;&gt;"",XLOOKUP($F818,Productos!$A:$A,Productos!P:P,"Revisar"),"")</f>
        <v/>
      </c>
      <c r="X818" s="179" t="str">
        <f t="array" ref="X818">IF($F818&lt;&gt;"", XLOOKUP($F818,Productos!$A$2:$A1001,Productos!Q$2:Q1001,"")*$G818,"")</f>
        <v/>
      </c>
      <c r="Y818" s="179" t="str">
        <f t="array" ref="Y818">IF($F818&lt;&gt;"",XLOOKUP($F818,Productos!$A:$A,Productos!R:R,"Revisar"),"")</f>
        <v/>
      </c>
      <c r="Z818" s="179" t="str">
        <f t="array" ref="Z818">IF($F818&lt;&gt;"", XLOOKUP($F818,Productos!$A$2:$A1001,Productos!S$2:S1001,"")*$G818,"")</f>
        <v/>
      </c>
      <c r="AA818" s="179" t="str">
        <f t="array" ref="AA818">IF($F818&lt;&gt;"",XLOOKUP($F818,Productos!$A:$A,Productos!T:T,"Revisar"),"")</f>
        <v/>
      </c>
      <c r="AB818" s="179" t="str">
        <f t="array" ref="AB818">IF($F818&lt;&gt;"", XLOOKUP($F818,Productos!$A$2:$A1001,Productos!U$2:U1001,"")*$G818,"")</f>
        <v/>
      </c>
      <c r="AC818" s="179" t="str">
        <f t="array" ref="AC818">IF($F818&lt;&gt;"",XLOOKUP($F818,Productos!$A:$A,Productos!V:V,"Revisar"),"")</f>
        <v/>
      </c>
      <c r="AD818" s="179" t="str">
        <f t="array" ref="AD818">IF($F818&lt;&gt;"", XLOOKUP($F818,Productos!$A$2:$A1001,Productos!W$2:W1001,"")*$G818,"")</f>
        <v/>
      </c>
      <c r="AE818" s="179" t="str">
        <f t="array" ref="AE818">IF($F818&lt;&gt;"",XLOOKUP($F818,Productos!$A:$A,Productos!X:X,"Revisar"),"")</f>
        <v/>
      </c>
      <c r="AF818" s="179" t="str">
        <f t="array" ref="AF818">IF($F818&lt;&gt;"", XLOOKUP($F818,Productos!$A$2:$A1001,Productos!Y$2:Y1001,"")*$G818,"")</f>
        <v/>
      </c>
      <c r="AG818" s="179" t="str">
        <f t="array" ref="AG818">IF($F818&lt;&gt;"",XLOOKUP($F818,Productos!$A:$A,Productos!Z:Z,"Revisar"),"")</f>
        <v/>
      </c>
      <c r="AH818" s="179" t="str">
        <f t="array" ref="AH818">IF($F818&lt;&gt;"", XLOOKUP($F818,Productos!$A$2:$A1001,Productos!AA$2:AA1001,"")*$G818,"")</f>
        <v/>
      </c>
      <c r="AI818" s="179" t="str">
        <f t="array" ref="AI818">IF($F818&lt;&gt;"",XLOOKUP($F818,Productos!$A:$A,Productos!AB:AB,"Revisar"),"")</f>
        <v/>
      </c>
      <c r="AJ818" s="179" t="str">
        <f t="array" ref="AJ818">IF($F818&lt;&gt;"", XLOOKUP($F818,Productos!$A$2:$A1001,Productos!AC$2:AC1001,"")*$G818,"")</f>
        <v/>
      </c>
      <c r="AK818" s="179" t="str">
        <f t="array" ref="AK818">IF($F818&lt;&gt;"",XLOOKUP($F818,Productos!$A:$A,Productos!AD:AD,"Revisar"),"")</f>
        <v/>
      </c>
      <c r="AL818" s="179" t="str">
        <f t="array" ref="AL818">IF($F818&lt;&gt;"", XLOOKUP($F818,Productos!$A$2:$A1001,Productos!AE$2:AE1001,"")*$G818,"")</f>
        <v/>
      </c>
      <c r="AM818" s="179" t="str">
        <f t="array" ref="AM818">IF($F818&lt;&gt;"",XLOOKUP($F818,Productos!$A:$A,Productos!AF:AF,"Revisar"),"")</f>
        <v/>
      </c>
      <c r="AN818" s="179" t="str">
        <f t="array" ref="AN818">IF($F818&lt;&gt;"", XLOOKUP($F818,Productos!$A$2:$A1001,Productos!AG$2:AG1001,"")*$G818,"")</f>
        <v/>
      </c>
      <c r="AO818" s="179" t="str">
        <f t="array" ref="AO818">IF($F818&lt;&gt;"",XLOOKUP($F818,Productos!$A:$A,Productos!AH:AH,"Revisar"),"")</f>
        <v/>
      </c>
      <c r="AP818" s="179" t="str">
        <f t="array" ref="AP818">IF($F818&lt;&gt;"", XLOOKUP($F818,Productos!$A$2:$A1001,Productos!AI$2:AI1001,"")*$G818,"")</f>
        <v/>
      </c>
      <c r="AQ818" s="179" t="str">
        <f t="array" ref="AQ818">IF($F818&lt;&gt;"",XLOOKUP($F818,Productos!$A:$A,Productos!AJ:AJ,"Revisar"),"")</f>
        <v/>
      </c>
      <c r="AR818" s="179" t="str">
        <f t="array" ref="AR818">IF($F818&lt;&gt;"", XLOOKUP($F818,Productos!$A$2:$A1001,Productos!AK$2:AK1001,"")*$G818,"")</f>
        <v/>
      </c>
      <c r="AS818" s="179" t="str">
        <f t="array" ref="AS818">IF($F818&lt;&gt;"",XLOOKUP($F818,Productos!$A:$A,Productos!AL:AL,"Revisar"),"")</f>
        <v/>
      </c>
      <c r="AT818" s="179" t="str">
        <f t="array" ref="AT818">IF($F818&lt;&gt;"", XLOOKUP($F818,Productos!$A$2:$A1001,Productos!AM$2:AM1001,"")*$G818,"")</f>
        <v/>
      </c>
      <c r="AU818" s="179" t="str">
        <f t="array" ref="AU818">IF($F818&lt;&gt;"",XLOOKUP($F818,Productos!$A:$A,Productos!AN:AN,"Revisar"),"")</f>
        <v/>
      </c>
      <c r="AV818" s="179" t="str">
        <f t="array" ref="AV818">IF($F818&lt;&gt;"", XLOOKUP($F818,Productos!$A$2:$A1001,Productos!AO$2:AO1001,"")*$G818,"")</f>
        <v/>
      </c>
      <c r="AW818" s="179" t="str">
        <f t="array" ref="AW818">IF($F818&lt;&gt;"",XLOOKUP($F818,Productos!$A:$A,Productos!AP:AP,"Revisar"),"")</f>
        <v/>
      </c>
      <c r="AX818" s="179" t="str">
        <f t="array" ref="AX818">IF($F818&lt;&gt;"", XLOOKUP($F818,Productos!$A$2:$A1001,Productos!AQ$2:AQ1001,"")*$G818,"")</f>
        <v/>
      </c>
      <c r="AY818" s="179" t="str">
        <f t="array" ref="AY818">IF($F818&lt;&gt;"",XLOOKUP($F818,Productos!$A:$A,Productos!AR:AR,"Revisar"),"")</f>
        <v/>
      </c>
      <c r="AZ818" s="179" t="str">
        <f t="array" ref="AZ818">IF($F818&lt;&gt;"", XLOOKUP($F818,Productos!$A$2:$A1001,Productos!AS$2:AS1001,"")*$G818,"")</f>
        <v/>
      </c>
      <c r="BA818" s="179" t="str">
        <f t="array" ref="BA818">IF($F818&lt;&gt;"",XLOOKUP($F818,Productos!$A:$A,Productos!AT:AT,"Revisar"),"")</f>
        <v/>
      </c>
      <c r="BB818" s="179" t="str">
        <f t="array" ref="BB818">IF($F818&lt;&gt;"", XLOOKUP($F818,Productos!$A$2:$A1001,Productos!AU$2:AU1001,"")*$G818,"")</f>
        <v/>
      </c>
      <c r="BC818" s="179" t="str">
        <f t="array" ref="BC818">IF($F818&lt;&gt;"",XLOOKUP($F818,Productos!$A:$A,Productos!AV:AV,"Revisar"),"")</f>
        <v/>
      </c>
      <c r="BD818" s="179" t="str">
        <f t="array" ref="BD818">IF($F818&lt;&gt;"", XLOOKUP($F818,Productos!$A$2:$A1001,Productos!AW$2:AW1001,"")*$G818,"")</f>
        <v/>
      </c>
      <c r="BE818" s="179" t="str">
        <f t="array" ref="BE818">IF($F818&lt;&gt;"",XLOOKUP($F818,Productos!$A:$A,Productos!AX:AX,"Revisar"),"")</f>
        <v/>
      </c>
      <c r="BF818" s="179" t="str">
        <f t="array" ref="BF818">IF($F818&lt;&gt;"", XLOOKUP($F818,Productos!$A$2:$A1001,Productos!AY$2:AY1001,"")*$G818,"")</f>
        <v/>
      </c>
      <c r="BG818" s="179" t="str">
        <f t="array" ref="BG818">IF($F818&lt;&gt;"",XLOOKUP($F818,Productos!$A:$A,Productos!AZ:AZ,"Revisar"),"")</f>
        <v/>
      </c>
      <c r="BH818" s="179" t="str">
        <f t="array" ref="BH818">IF($F818&lt;&gt;"", XLOOKUP($F818,Productos!$A$2:$A1001,Productos!BA$2:BA1001,"")*$G818,"")</f>
        <v/>
      </c>
      <c r="BI818" s="179" t="str">
        <f t="array" ref="BI818">IF($F818&lt;&gt;"",XLOOKUP($F818,Productos!$A:$A,Productos!BB:BB,"Revisar"),"")</f>
        <v/>
      </c>
      <c r="BJ818" s="179" t="str">
        <f t="array" ref="BJ818">IF($F818&lt;&gt;"", XLOOKUP($F818,Productos!$A$2:$A1001,Productos!BC$2:BC1001,"")*$G818,"")</f>
        <v/>
      </c>
      <c r="BK818" s="179" t="str">
        <f t="array" ref="BK818">IF($F818&lt;&gt;"",XLOOKUP($F818,Productos!$A:$A,Productos!BD:BD,"Revisar"),"")</f>
        <v/>
      </c>
      <c r="BL818" s="179" t="str">
        <f t="array" ref="BL818">IF($F818&lt;&gt;"", XLOOKUP($F818,Productos!$A$2:$A1001,Productos!BE$2:BE1001,"")*$G818,"")</f>
        <v/>
      </c>
      <c r="BM818" s="179" t="str">
        <f t="array" ref="BM818">IF($F818&lt;&gt;"",XLOOKUP($F818,Productos!$A:$A,Productos!BF:BF,"Revisar"),"")</f>
        <v/>
      </c>
      <c r="BN818" s="179" t="str">
        <f t="array" ref="BN818">IF($F818&lt;&gt;"", XLOOKUP($F818,Productos!$A$2:$A1001,Productos!BG$2:BG1001,"")*$G818,"")</f>
        <v/>
      </c>
      <c r="BO818" s="179" t="str">
        <f t="array" ref="BO818">IF($F818&lt;&gt;"",XLOOKUP($F818,Productos!$A:$A,Productos!BH:BH,"Revisar"),"")</f>
        <v/>
      </c>
      <c r="BP818" s="179" t="str">
        <f t="array" ref="BP818">IF($F818&lt;&gt;"", XLOOKUP($F818,Productos!$A$2:$A1001,Productos!BI$2:BI1001,"")*$G818,"")</f>
        <v/>
      </c>
      <c r="BQ818" s="179" t="str">
        <f t="array" ref="BQ818">IF($F818&lt;&gt;"",XLOOKUP($F818,Productos!$A:$A,Productos!BJ:BJ,"Revisar"),"")</f>
        <v/>
      </c>
      <c r="BR818" s="179" t="str">
        <f t="array" ref="BR818">IF($F818&lt;&gt;"", XLOOKUP($F818,Productos!$A$2:$A1001,Productos!BK$2:BK1001,"")*$G818,"")</f>
        <v/>
      </c>
      <c r="BS818" s="179" t="str">
        <f t="array" ref="BS818">IF($F818&lt;&gt;"",XLOOKUP($F818,Productos!$A:$A,Productos!BL:BL,"Revisar"),"")</f>
        <v/>
      </c>
      <c r="BT818" s="179" t="str">
        <f t="array" ref="BT818">IF($F818&lt;&gt;"", XLOOKUP($F818,Productos!$A$2:$A1001,Productos!BM$2:BM1001,"")*$G818,"")</f>
        <v/>
      </c>
      <c r="BU818" s="179" t="str">
        <f t="array" ref="BU818">IF($F818&lt;&gt;"",XLOOKUP($F818,Productos!$A:$A,Productos!BN:BN,"Revisar"),"")</f>
        <v/>
      </c>
      <c r="BV818" s="179" t="str">
        <f t="array" ref="BV818">IF($F818&lt;&gt;"", XLOOKUP($F818,Productos!$A$2:$A1001,Productos!BO$2:BO1001,"")*$G818,"")</f>
        <v/>
      </c>
      <c r="BW818" s="179" t="str">
        <f t="array" ref="BW818">IF($F818&lt;&gt;"",XLOOKUP($F818,Productos!$A:$A,Productos!BP:BP,"Revisar"),"")</f>
        <v/>
      </c>
      <c r="BX818" s="179" t="str">
        <f t="array" ref="BX818">IF($F818&lt;&gt;"", XLOOKUP($F818,Productos!$A$2:$A1001,Productos!BQ$2:BQ1001,"")*$G818,"")</f>
        <v/>
      </c>
      <c r="BY818" s="179" t="str">
        <f t="array" ref="BY818">IF($F818&lt;&gt;"",XLOOKUP($F818,Productos!$A:$A,Productos!BR:BR,"Revisar"),"")</f>
        <v/>
      </c>
      <c r="BZ818" s="179" t="str">
        <f t="array" ref="BZ818">IF($F818&lt;&gt;"", XLOOKUP($F818,Productos!$A$2:$A1001,Productos!BS$2:BS1001,"")*$G818,"")</f>
        <v/>
      </c>
    </row>
    <row r="819">
      <c r="A819" s="188"/>
      <c r="B819" s="189"/>
      <c r="C819" s="190"/>
      <c r="D819" s="190"/>
      <c r="E819" s="191"/>
      <c r="F819" s="186"/>
      <c r="G819" s="192"/>
      <c r="H819" s="9"/>
      <c r="I819" s="179" t="str">
        <f t="array" ref="I819">IF($F819&lt;&gt;"",XLOOKUP($F819,Productos!$A:$A,Productos!B:B,"Revisar"),"")</f>
        <v/>
      </c>
      <c r="J819" s="179" t="str">
        <f t="array" ref="J819">IF($F819&lt;&gt;"", XLOOKUP($F819,Productos!$A$2:$A1001,Productos!C$2:C1001,"")*$G819,"")</f>
        <v/>
      </c>
      <c r="K819" s="179" t="str">
        <f t="array" ref="K819">IF($F819&lt;&gt;"",XLOOKUP($F819,Productos!$A:$A,Productos!D:D,"Revisar"),"")</f>
        <v/>
      </c>
      <c r="L819" s="179" t="str">
        <f t="array" ref="L819">IF($F819&lt;&gt;"", XLOOKUP($F819,Productos!$A$2:$A1001,Productos!E$2:E1001,"")*$G819,"")</f>
        <v/>
      </c>
      <c r="M819" s="179" t="str">
        <f t="array" ref="M819">IF($F819&lt;&gt;"",XLOOKUP($F819,Productos!$A:$A,Productos!F:F,"Revisar"),"")</f>
        <v/>
      </c>
      <c r="N819" s="179" t="str">
        <f t="array" ref="N819">IF($F819&lt;&gt;"", XLOOKUP($F819,Productos!$A$2:$A1001,Productos!G$2:G1001,"")*$G819,"")</f>
        <v/>
      </c>
      <c r="O819" s="179" t="str">
        <f t="array" ref="O819">IF($F819&lt;&gt;"",XLOOKUP($F819,Productos!$A:$A,Productos!H:H,"Revisar"),"")</f>
        <v/>
      </c>
      <c r="P819" s="179" t="str">
        <f t="array" ref="P819">IF($F819&lt;&gt;"", XLOOKUP($F819,Productos!$A$2:$A1001,Productos!I$2:I1001,"")*$G819,"")</f>
        <v/>
      </c>
      <c r="Q819" s="179" t="str">
        <f t="array" ref="Q819">IF($F819&lt;&gt;"",XLOOKUP($F819,Productos!$A:$A,Productos!J:J,"Revisar"),"")</f>
        <v/>
      </c>
      <c r="R819" s="179" t="str">
        <f t="array" ref="R819">IF($F819&lt;&gt;"", XLOOKUP($F819,Productos!$A$2:$A1001,Productos!K$2:K1001,"")*$G819,"")</f>
        <v/>
      </c>
      <c r="S819" s="179" t="str">
        <f t="array" ref="S819">IF($F819&lt;&gt;"",XLOOKUP($F819,Productos!$A:$A,Productos!L:L,"Revisar"),"")</f>
        <v/>
      </c>
      <c r="T819" s="179" t="str">
        <f t="array" ref="T819">IF($F819&lt;&gt;"", XLOOKUP($F819,Productos!$A$2:$A1001,Productos!M$2:M1001,"")*$G819,"")</f>
        <v/>
      </c>
      <c r="U819" s="179" t="str">
        <f t="array" ref="U819">IF($F819&lt;&gt;"",XLOOKUP($F819,Productos!$A:$A,Productos!N:N,"Revisar"),"")</f>
        <v/>
      </c>
      <c r="V819" s="179" t="str">
        <f t="array" ref="V819">IF($F819&lt;&gt;"", XLOOKUP($F819,Productos!$A$2:$A1001,Productos!O$2:O1001,"")*$G819,"")</f>
        <v/>
      </c>
      <c r="W819" s="179" t="str">
        <f t="array" ref="W819">IF($F819&lt;&gt;"",XLOOKUP($F819,Productos!$A:$A,Productos!P:P,"Revisar"),"")</f>
        <v/>
      </c>
      <c r="X819" s="179" t="str">
        <f t="array" ref="X819">IF($F819&lt;&gt;"", XLOOKUP($F819,Productos!$A$2:$A1001,Productos!Q$2:Q1001,"")*$G819,"")</f>
        <v/>
      </c>
      <c r="Y819" s="179" t="str">
        <f t="array" ref="Y819">IF($F819&lt;&gt;"",XLOOKUP($F819,Productos!$A:$A,Productos!R:R,"Revisar"),"")</f>
        <v/>
      </c>
      <c r="Z819" s="179" t="str">
        <f t="array" ref="Z819">IF($F819&lt;&gt;"", XLOOKUP($F819,Productos!$A$2:$A1001,Productos!S$2:S1001,"")*$G819,"")</f>
        <v/>
      </c>
      <c r="AA819" s="179" t="str">
        <f t="array" ref="AA819">IF($F819&lt;&gt;"",XLOOKUP($F819,Productos!$A:$A,Productos!T:T,"Revisar"),"")</f>
        <v/>
      </c>
      <c r="AB819" s="179" t="str">
        <f t="array" ref="AB819">IF($F819&lt;&gt;"", XLOOKUP($F819,Productos!$A$2:$A1001,Productos!U$2:U1001,"")*$G819,"")</f>
        <v/>
      </c>
      <c r="AC819" s="179" t="str">
        <f t="array" ref="AC819">IF($F819&lt;&gt;"",XLOOKUP($F819,Productos!$A:$A,Productos!V:V,"Revisar"),"")</f>
        <v/>
      </c>
      <c r="AD819" s="179" t="str">
        <f t="array" ref="AD819">IF($F819&lt;&gt;"", XLOOKUP($F819,Productos!$A$2:$A1001,Productos!W$2:W1001,"")*$G819,"")</f>
        <v/>
      </c>
      <c r="AE819" s="179" t="str">
        <f t="array" ref="AE819">IF($F819&lt;&gt;"",XLOOKUP($F819,Productos!$A:$A,Productos!X:X,"Revisar"),"")</f>
        <v/>
      </c>
      <c r="AF819" s="179" t="str">
        <f t="array" ref="AF819">IF($F819&lt;&gt;"", XLOOKUP($F819,Productos!$A$2:$A1001,Productos!Y$2:Y1001,"")*$G819,"")</f>
        <v/>
      </c>
      <c r="AG819" s="179" t="str">
        <f t="array" ref="AG819">IF($F819&lt;&gt;"",XLOOKUP($F819,Productos!$A:$A,Productos!Z:Z,"Revisar"),"")</f>
        <v/>
      </c>
      <c r="AH819" s="179" t="str">
        <f t="array" ref="AH819">IF($F819&lt;&gt;"", XLOOKUP($F819,Productos!$A$2:$A1001,Productos!AA$2:AA1001,"")*$G819,"")</f>
        <v/>
      </c>
      <c r="AI819" s="179" t="str">
        <f t="array" ref="AI819">IF($F819&lt;&gt;"",XLOOKUP($F819,Productos!$A:$A,Productos!AB:AB,"Revisar"),"")</f>
        <v/>
      </c>
      <c r="AJ819" s="179" t="str">
        <f t="array" ref="AJ819">IF($F819&lt;&gt;"", XLOOKUP($F819,Productos!$A$2:$A1001,Productos!AC$2:AC1001,"")*$G819,"")</f>
        <v/>
      </c>
      <c r="AK819" s="179" t="str">
        <f t="array" ref="AK819">IF($F819&lt;&gt;"",XLOOKUP($F819,Productos!$A:$A,Productos!AD:AD,"Revisar"),"")</f>
        <v/>
      </c>
      <c r="AL819" s="179" t="str">
        <f t="array" ref="AL819">IF($F819&lt;&gt;"", XLOOKUP($F819,Productos!$A$2:$A1001,Productos!AE$2:AE1001,"")*$G819,"")</f>
        <v/>
      </c>
      <c r="AM819" s="179" t="str">
        <f t="array" ref="AM819">IF($F819&lt;&gt;"",XLOOKUP($F819,Productos!$A:$A,Productos!AF:AF,"Revisar"),"")</f>
        <v/>
      </c>
      <c r="AN819" s="179" t="str">
        <f t="array" ref="AN819">IF($F819&lt;&gt;"", XLOOKUP($F819,Productos!$A$2:$A1001,Productos!AG$2:AG1001,"")*$G819,"")</f>
        <v/>
      </c>
      <c r="AO819" s="179" t="str">
        <f t="array" ref="AO819">IF($F819&lt;&gt;"",XLOOKUP($F819,Productos!$A:$A,Productos!AH:AH,"Revisar"),"")</f>
        <v/>
      </c>
      <c r="AP819" s="179" t="str">
        <f t="array" ref="AP819">IF($F819&lt;&gt;"", XLOOKUP($F819,Productos!$A$2:$A1001,Productos!AI$2:AI1001,"")*$G819,"")</f>
        <v/>
      </c>
      <c r="AQ819" s="179" t="str">
        <f t="array" ref="AQ819">IF($F819&lt;&gt;"",XLOOKUP($F819,Productos!$A:$A,Productos!AJ:AJ,"Revisar"),"")</f>
        <v/>
      </c>
      <c r="AR819" s="179" t="str">
        <f t="array" ref="AR819">IF($F819&lt;&gt;"", XLOOKUP($F819,Productos!$A$2:$A1001,Productos!AK$2:AK1001,"")*$G819,"")</f>
        <v/>
      </c>
      <c r="AS819" s="179" t="str">
        <f t="array" ref="AS819">IF($F819&lt;&gt;"",XLOOKUP($F819,Productos!$A:$A,Productos!AL:AL,"Revisar"),"")</f>
        <v/>
      </c>
      <c r="AT819" s="179" t="str">
        <f t="array" ref="AT819">IF($F819&lt;&gt;"", XLOOKUP($F819,Productos!$A$2:$A1001,Productos!AM$2:AM1001,"")*$G819,"")</f>
        <v/>
      </c>
      <c r="AU819" s="179" t="str">
        <f t="array" ref="AU819">IF($F819&lt;&gt;"",XLOOKUP($F819,Productos!$A:$A,Productos!AN:AN,"Revisar"),"")</f>
        <v/>
      </c>
      <c r="AV819" s="179" t="str">
        <f t="array" ref="AV819">IF($F819&lt;&gt;"", XLOOKUP($F819,Productos!$A$2:$A1001,Productos!AO$2:AO1001,"")*$G819,"")</f>
        <v/>
      </c>
      <c r="AW819" s="179" t="str">
        <f t="array" ref="AW819">IF($F819&lt;&gt;"",XLOOKUP($F819,Productos!$A:$A,Productos!AP:AP,"Revisar"),"")</f>
        <v/>
      </c>
      <c r="AX819" s="179" t="str">
        <f t="array" ref="AX819">IF($F819&lt;&gt;"", XLOOKUP($F819,Productos!$A$2:$A1001,Productos!AQ$2:AQ1001,"")*$G819,"")</f>
        <v/>
      </c>
      <c r="AY819" s="179" t="str">
        <f t="array" ref="AY819">IF($F819&lt;&gt;"",XLOOKUP($F819,Productos!$A:$A,Productos!AR:AR,"Revisar"),"")</f>
        <v/>
      </c>
      <c r="AZ819" s="179" t="str">
        <f t="array" ref="AZ819">IF($F819&lt;&gt;"", XLOOKUP($F819,Productos!$A$2:$A1001,Productos!AS$2:AS1001,"")*$G819,"")</f>
        <v/>
      </c>
      <c r="BA819" s="179" t="str">
        <f t="array" ref="BA819">IF($F819&lt;&gt;"",XLOOKUP($F819,Productos!$A:$A,Productos!AT:AT,"Revisar"),"")</f>
        <v/>
      </c>
      <c r="BB819" s="179" t="str">
        <f t="array" ref="BB819">IF($F819&lt;&gt;"", XLOOKUP($F819,Productos!$A$2:$A1001,Productos!AU$2:AU1001,"")*$G819,"")</f>
        <v/>
      </c>
      <c r="BC819" s="179" t="str">
        <f t="array" ref="BC819">IF($F819&lt;&gt;"",XLOOKUP($F819,Productos!$A:$A,Productos!AV:AV,"Revisar"),"")</f>
        <v/>
      </c>
      <c r="BD819" s="179" t="str">
        <f t="array" ref="BD819">IF($F819&lt;&gt;"", XLOOKUP($F819,Productos!$A$2:$A1001,Productos!AW$2:AW1001,"")*$G819,"")</f>
        <v/>
      </c>
      <c r="BE819" s="179" t="str">
        <f t="array" ref="BE819">IF($F819&lt;&gt;"",XLOOKUP($F819,Productos!$A:$A,Productos!AX:AX,"Revisar"),"")</f>
        <v/>
      </c>
      <c r="BF819" s="179" t="str">
        <f t="array" ref="BF819">IF($F819&lt;&gt;"", XLOOKUP($F819,Productos!$A$2:$A1001,Productos!AY$2:AY1001,"")*$G819,"")</f>
        <v/>
      </c>
      <c r="BG819" s="179" t="str">
        <f t="array" ref="BG819">IF($F819&lt;&gt;"",XLOOKUP($F819,Productos!$A:$A,Productos!AZ:AZ,"Revisar"),"")</f>
        <v/>
      </c>
      <c r="BH819" s="179" t="str">
        <f t="array" ref="BH819">IF($F819&lt;&gt;"", XLOOKUP($F819,Productos!$A$2:$A1001,Productos!BA$2:BA1001,"")*$G819,"")</f>
        <v/>
      </c>
      <c r="BI819" s="179" t="str">
        <f t="array" ref="BI819">IF($F819&lt;&gt;"",XLOOKUP($F819,Productos!$A:$A,Productos!BB:BB,"Revisar"),"")</f>
        <v/>
      </c>
      <c r="BJ819" s="179" t="str">
        <f t="array" ref="BJ819">IF($F819&lt;&gt;"", XLOOKUP($F819,Productos!$A$2:$A1001,Productos!BC$2:BC1001,"")*$G819,"")</f>
        <v/>
      </c>
      <c r="BK819" s="179" t="str">
        <f t="array" ref="BK819">IF($F819&lt;&gt;"",XLOOKUP($F819,Productos!$A:$A,Productos!BD:BD,"Revisar"),"")</f>
        <v/>
      </c>
      <c r="BL819" s="179" t="str">
        <f t="array" ref="BL819">IF($F819&lt;&gt;"", XLOOKUP($F819,Productos!$A$2:$A1001,Productos!BE$2:BE1001,"")*$G819,"")</f>
        <v/>
      </c>
      <c r="BM819" s="179" t="str">
        <f t="array" ref="BM819">IF($F819&lt;&gt;"",XLOOKUP($F819,Productos!$A:$A,Productos!BF:BF,"Revisar"),"")</f>
        <v/>
      </c>
      <c r="BN819" s="179" t="str">
        <f t="array" ref="BN819">IF($F819&lt;&gt;"", XLOOKUP($F819,Productos!$A$2:$A1001,Productos!BG$2:BG1001,"")*$G819,"")</f>
        <v/>
      </c>
      <c r="BO819" s="179" t="str">
        <f t="array" ref="BO819">IF($F819&lt;&gt;"",XLOOKUP($F819,Productos!$A:$A,Productos!BH:BH,"Revisar"),"")</f>
        <v/>
      </c>
      <c r="BP819" s="179" t="str">
        <f t="array" ref="BP819">IF($F819&lt;&gt;"", XLOOKUP($F819,Productos!$A$2:$A1001,Productos!BI$2:BI1001,"")*$G819,"")</f>
        <v/>
      </c>
      <c r="BQ819" s="179" t="str">
        <f t="array" ref="BQ819">IF($F819&lt;&gt;"",XLOOKUP($F819,Productos!$A:$A,Productos!BJ:BJ,"Revisar"),"")</f>
        <v/>
      </c>
      <c r="BR819" s="179" t="str">
        <f t="array" ref="BR819">IF($F819&lt;&gt;"", XLOOKUP($F819,Productos!$A$2:$A1001,Productos!BK$2:BK1001,"")*$G819,"")</f>
        <v/>
      </c>
      <c r="BS819" s="179" t="str">
        <f t="array" ref="BS819">IF($F819&lt;&gt;"",XLOOKUP($F819,Productos!$A:$A,Productos!BL:BL,"Revisar"),"")</f>
        <v/>
      </c>
      <c r="BT819" s="179" t="str">
        <f t="array" ref="BT819">IF($F819&lt;&gt;"", XLOOKUP($F819,Productos!$A$2:$A1001,Productos!BM$2:BM1001,"")*$G819,"")</f>
        <v/>
      </c>
      <c r="BU819" s="179" t="str">
        <f t="array" ref="BU819">IF($F819&lt;&gt;"",XLOOKUP($F819,Productos!$A:$A,Productos!BN:BN,"Revisar"),"")</f>
        <v/>
      </c>
      <c r="BV819" s="179" t="str">
        <f t="array" ref="BV819">IF($F819&lt;&gt;"", XLOOKUP($F819,Productos!$A$2:$A1001,Productos!BO$2:BO1001,"")*$G819,"")</f>
        <v/>
      </c>
      <c r="BW819" s="179" t="str">
        <f t="array" ref="BW819">IF($F819&lt;&gt;"",XLOOKUP($F819,Productos!$A:$A,Productos!BP:BP,"Revisar"),"")</f>
        <v/>
      </c>
      <c r="BX819" s="179" t="str">
        <f t="array" ref="BX819">IF($F819&lt;&gt;"", XLOOKUP($F819,Productos!$A$2:$A1001,Productos!BQ$2:BQ1001,"")*$G819,"")</f>
        <v/>
      </c>
      <c r="BY819" s="179" t="str">
        <f t="array" ref="BY819">IF($F819&lt;&gt;"",XLOOKUP($F819,Productos!$A:$A,Productos!BR:BR,"Revisar"),"")</f>
        <v/>
      </c>
      <c r="BZ819" s="179" t="str">
        <f t="array" ref="BZ819">IF($F819&lt;&gt;"", XLOOKUP($F819,Productos!$A$2:$A1001,Productos!BS$2:BS1001,"")*$G819,"")</f>
        <v/>
      </c>
    </row>
    <row r="820">
      <c r="A820" s="188"/>
      <c r="B820" s="189"/>
      <c r="C820" s="190"/>
      <c r="D820" s="190"/>
      <c r="E820" s="191"/>
      <c r="F820" s="186"/>
      <c r="G820" s="192"/>
      <c r="H820" s="9"/>
      <c r="I820" s="179" t="str">
        <f t="array" ref="I820">IF($F820&lt;&gt;"",XLOOKUP($F820,Productos!$A:$A,Productos!B:B,"Revisar"),"")</f>
        <v/>
      </c>
      <c r="J820" s="179" t="str">
        <f t="array" ref="J820">IF($F820&lt;&gt;"", XLOOKUP($F820,Productos!$A$2:$A1001,Productos!C$2:C1001,"")*$G820,"")</f>
        <v/>
      </c>
      <c r="K820" s="179" t="str">
        <f t="array" ref="K820">IF($F820&lt;&gt;"",XLOOKUP($F820,Productos!$A:$A,Productos!D:D,"Revisar"),"")</f>
        <v/>
      </c>
      <c r="L820" s="179" t="str">
        <f t="array" ref="L820">IF($F820&lt;&gt;"", XLOOKUP($F820,Productos!$A$2:$A1001,Productos!E$2:E1001,"")*$G820,"")</f>
        <v/>
      </c>
      <c r="M820" s="179" t="str">
        <f t="array" ref="M820">IF($F820&lt;&gt;"",XLOOKUP($F820,Productos!$A:$A,Productos!F:F,"Revisar"),"")</f>
        <v/>
      </c>
      <c r="N820" s="179" t="str">
        <f t="array" ref="N820">IF($F820&lt;&gt;"", XLOOKUP($F820,Productos!$A$2:$A1001,Productos!G$2:G1001,"")*$G820,"")</f>
        <v/>
      </c>
      <c r="O820" s="179" t="str">
        <f t="array" ref="O820">IF($F820&lt;&gt;"",XLOOKUP($F820,Productos!$A:$A,Productos!H:H,"Revisar"),"")</f>
        <v/>
      </c>
      <c r="P820" s="179" t="str">
        <f t="array" ref="P820">IF($F820&lt;&gt;"", XLOOKUP($F820,Productos!$A$2:$A1001,Productos!I$2:I1001,"")*$G820,"")</f>
        <v/>
      </c>
      <c r="Q820" s="179" t="str">
        <f t="array" ref="Q820">IF($F820&lt;&gt;"",XLOOKUP($F820,Productos!$A:$A,Productos!J:J,"Revisar"),"")</f>
        <v/>
      </c>
      <c r="R820" s="179" t="str">
        <f t="array" ref="R820">IF($F820&lt;&gt;"", XLOOKUP($F820,Productos!$A$2:$A1001,Productos!K$2:K1001,"")*$G820,"")</f>
        <v/>
      </c>
      <c r="S820" s="179" t="str">
        <f t="array" ref="S820">IF($F820&lt;&gt;"",XLOOKUP($F820,Productos!$A:$A,Productos!L:L,"Revisar"),"")</f>
        <v/>
      </c>
      <c r="T820" s="179" t="str">
        <f t="array" ref="T820">IF($F820&lt;&gt;"", XLOOKUP($F820,Productos!$A$2:$A1001,Productos!M$2:M1001,"")*$G820,"")</f>
        <v/>
      </c>
      <c r="U820" s="179" t="str">
        <f t="array" ref="U820">IF($F820&lt;&gt;"",XLOOKUP($F820,Productos!$A:$A,Productos!N:N,"Revisar"),"")</f>
        <v/>
      </c>
      <c r="V820" s="179" t="str">
        <f t="array" ref="V820">IF($F820&lt;&gt;"", XLOOKUP($F820,Productos!$A$2:$A1001,Productos!O$2:O1001,"")*$G820,"")</f>
        <v/>
      </c>
      <c r="W820" s="179" t="str">
        <f t="array" ref="W820">IF($F820&lt;&gt;"",XLOOKUP($F820,Productos!$A:$A,Productos!P:P,"Revisar"),"")</f>
        <v/>
      </c>
      <c r="X820" s="179" t="str">
        <f t="array" ref="X820">IF($F820&lt;&gt;"", XLOOKUP($F820,Productos!$A$2:$A1001,Productos!Q$2:Q1001,"")*$G820,"")</f>
        <v/>
      </c>
      <c r="Y820" s="179" t="str">
        <f t="array" ref="Y820">IF($F820&lt;&gt;"",XLOOKUP($F820,Productos!$A:$A,Productos!R:R,"Revisar"),"")</f>
        <v/>
      </c>
      <c r="Z820" s="179" t="str">
        <f t="array" ref="Z820">IF($F820&lt;&gt;"", XLOOKUP($F820,Productos!$A$2:$A1001,Productos!S$2:S1001,"")*$G820,"")</f>
        <v/>
      </c>
      <c r="AA820" s="179" t="str">
        <f t="array" ref="AA820">IF($F820&lt;&gt;"",XLOOKUP($F820,Productos!$A:$A,Productos!T:T,"Revisar"),"")</f>
        <v/>
      </c>
      <c r="AB820" s="179" t="str">
        <f t="array" ref="AB820">IF($F820&lt;&gt;"", XLOOKUP($F820,Productos!$A$2:$A1001,Productos!U$2:U1001,"")*$G820,"")</f>
        <v/>
      </c>
      <c r="AC820" s="179" t="str">
        <f t="array" ref="AC820">IF($F820&lt;&gt;"",XLOOKUP($F820,Productos!$A:$A,Productos!V:V,"Revisar"),"")</f>
        <v/>
      </c>
      <c r="AD820" s="179" t="str">
        <f t="array" ref="AD820">IF($F820&lt;&gt;"", XLOOKUP($F820,Productos!$A$2:$A1001,Productos!W$2:W1001,"")*$G820,"")</f>
        <v/>
      </c>
      <c r="AE820" s="179" t="str">
        <f t="array" ref="AE820">IF($F820&lt;&gt;"",XLOOKUP($F820,Productos!$A:$A,Productos!X:X,"Revisar"),"")</f>
        <v/>
      </c>
      <c r="AF820" s="179" t="str">
        <f t="array" ref="AF820">IF($F820&lt;&gt;"", XLOOKUP($F820,Productos!$A$2:$A1001,Productos!Y$2:Y1001,"")*$G820,"")</f>
        <v/>
      </c>
      <c r="AG820" s="179" t="str">
        <f t="array" ref="AG820">IF($F820&lt;&gt;"",XLOOKUP($F820,Productos!$A:$A,Productos!Z:Z,"Revisar"),"")</f>
        <v/>
      </c>
      <c r="AH820" s="179" t="str">
        <f t="array" ref="AH820">IF($F820&lt;&gt;"", XLOOKUP($F820,Productos!$A$2:$A1001,Productos!AA$2:AA1001,"")*$G820,"")</f>
        <v/>
      </c>
      <c r="AI820" s="179" t="str">
        <f t="array" ref="AI820">IF($F820&lt;&gt;"",XLOOKUP($F820,Productos!$A:$A,Productos!AB:AB,"Revisar"),"")</f>
        <v/>
      </c>
      <c r="AJ820" s="179" t="str">
        <f t="array" ref="AJ820">IF($F820&lt;&gt;"", XLOOKUP($F820,Productos!$A$2:$A1001,Productos!AC$2:AC1001,"")*$G820,"")</f>
        <v/>
      </c>
      <c r="AK820" s="179" t="str">
        <f t="array" ref="AK820">IF($F820&lt;&gt;"",XLOOKUP($F820,Productos!$A:$A,Productos!AD:AD,"Revisar"),"")</f>
        <v/>
      </c>
      <c r="AL820" s="179" t="str">
        <f t="array" ref="AL820">IF($F820&lt;&gt;"", XLOOKUP($F820,Productos!$A$2:$A1001,Productos!AE$2:AE1001,"")*$G820,"")</f>
        <v/>
      </c>
      <c r="AM820" s="179" t="str">
        <f t="array" ref="AM820">IF($F820&lt;&gt;"",XLOOKUP($F820,Productos!$A:$A,Productos!AF:AF,"Revisar"),"")</f>
        <v/>
      </c>
      <c r="AN820" s="179" t="str">
        <f t="array" ref="AN820">IF($F820&lt;&gt;"", XLOOKUP($F820,Productos!$A$2:$A1001,Productos!AG$2:AG1001,"")*$G820,"")</f>
        <v/>
      </c>
      <c r="AO820" s="179" t="str">
        <f t="array" ref="AO820">IF($F820&lt;&gt;"",XLOOKUP($F820,Productos!$A:$A,Productos!AH:AH,"Revisar"),"")</f>
        <v/>
      </c>
      <c r="AP820" s="179" t="str">
        <f t="array" ref="AP820">IF($F820&lt;&gt;"", XLOOKUP($F820,Productos!$A$2:$A1001,Productos!AI$2:AI1001,"")*$G820,"")</f>
        <v/>
      </c>
      <c r="AQ820" s="179" t="str">
        <f t="array" ref="AQ820">IF($F820&lt;&gt;"",XLOOKUP($F820,Productos!$A:$A,Productos!AJ:AJ,"Revisar"),"")</f>
        <v/>
      </c>
      <c r="AR820" s="179" t="str">
        <f t="array" ref="AR820">IF($F820&lt;&gt;"", XLOOKUP($F820,Productos!$A$2:$A1001,Productos!AK$2:AK1001,"")*$G820,"")</f>
        <v/>
      </c>
      <c r="AS820" s="179" t="str">
        <f t="array" ref="AS820">IF($F820&lt;&gt;"",XLOOKUP($F820,Productos!$A:$A,Productos!AL:AL,"Revisar"),"")</f>
        <v/>
      </c>
      <c r="AT820" s="179" t="str">
        <f t="array" ref="AT820">IF($F820&lt;&gt;"", XLOOKUP($F820,Productos!$A$2:$A1001,Productos!AM$2:AM1001,"")*$G820,"")</f>
        <v/>
      </c>
      <c r="AU820" s="179" t="str">
        <f t="array" ref="AU820">IF($F820&lt;&gt;"",XLOOKUP($F820,Productos!$A:$A,Productos!AN:AN,"Revisar"),"")</f>
        <v/>
      </c>
      <c r="AV820" s="179" t="str">
        <f t="array" ref="AV820">IF($F820&lt;&gt;"", XLOOKUP($F820,Productos!$A$2:$A1001,Productos!AO$2:AO1001,"")*$G820,"")</f>
        <v/>
      </c>
      <c r="AW820" s="179" t="str">
        <f t="array" ref="AW820">IF($F820&lt;&gt;"",XLOOKUP($F820,Productos!$A:$A,Productos!AP:AP,"Revisar"),"")</f>
        <v/>
      </c>
      <c r="AX820" s="179" t="str">
        <f t="array" ref="AX820">IF($F820&lt;&gt;"", XLOOKUP($F820,Productos!$A$2:$A1001,Productos!AQ$2:AQ1001,"")*$G820,"")</f>
        <v/>
      </c>
      <c r="AY820" s="179" t="str">
        <f t="array" ref="AY820">IF($F820&lt;&gt;"",XLOOKUP($F820,Productos!$A:$A,Productos!AR:AR,"Revisar"),"")</f>
        <v/>
      </c>
      <c r="AZ820" s="179" t="str">
        <f t="array" ref="AZ820">IF($F820&lt;&gt;"", XLOOKUP($F820,Productos!$A$2:$A1001,Productos!AS$2:AS1001,"")*$G820,"")</f>
        <v/>
      </c>
      <c r="BA820" s="179" t="str">
        <f t="array" ref="BA820">IF($F820&lt;&gt;"",XLOOKUP($F820,Productos!$A:$A,Productos!AT:AT,"Revisar"),"")</f>
        <v/>
      </c>
      <c r="BB820" s="179" t="str">
        <f t="array" ref="BB820">IF($F820&lt;&gt;"", XLOOKUP($F820,Productos!$A$2:$A1001,Productos!AU$2:AU1001,"")*$G820,"")</f>
        <v/>
      </c>
      <c r="BC820" s="179" t="str">
        <f t="array" ref="BC820">IF($F820&lt;&gt;"",XLOOKUP($F820,Productos!$A:$A,Productos!AV:AV,"Revisar"),"")</f>
        <v/>
      </c>
      <c r="BD820" s="179" t="str">
        <f t="array" ref="BD820">IF($F820&lt;&gt;"", XLOOKUP($F820,Productos!$A$2:$A1001,Productos!AW$2:AW1001,"")*$G820,"")</f>
        <v/>
      </c>
      <c r="BE820" s="179" t="str">
        <f t="array" ref="BE820">IF($F820&lt;&gt;"",XLOOKUP($F820,Productos!$A:$A,Productos!AX:AX,"Revisar"),"")</f>
        <v/>
      </c>
      <c r="BF820" s="179" t="str">
        <f t="array" ref="BF820">IF($F820&lt;&gt;"", XLOOKUP($F820,Productos!$A$2:$A1001,Productos!AY$2:AY1001,"")*$G820,"")</f>
        <v/>
      </c>
      <c r="BG820" s="179" t="str">
        <f t="array" ref="BG820">IF($F820&lt;&gt;"",XLOOKUP($F820,Productos!$A:$A,Productos!AZ:AZ,"Revisar"),"")</f>
        <v/>
      </c>
      <c r="BH820" s="179" t="str">
        <f t="array" ref="BH820">IF($F820&lt;&gt;"", XLOOKUP($F820,Productos!$A$2:$A1001,Productos!BA$2:BA1001,"")*$G820,"")</f>
        <v/>
      </c>
      <c r="BI820" s="179" t="str">
        <f t="array" ref="BI820">IF($F820&lt;&gt;"",XLOOKUP($F820,Productos!$A:$A,Productos!BB:BB,"Revisar"),"")</f>
        <v/>
      </c>
      <c r="BJ820" s="179" t="str">
        <f t="array" ref="BJ820">IF($F820&lt;&gt;"", XLOOKUP($F820,Productos!$A$2:$A1001,Productos!BC$2:BC1001,"")*$G820,"")</f>
        <v/>
      </c>
      <c r="BK820" s="179" t="str">
        <f t="array" ref="BK820">IF($F820&lt;&gt;"",XLOOKUP($F820,Productos!$A:$A,Productos!BD:BD,"Revisar"),"")</f>
        <v/>
      </c>
      <c r="BL820" s="179" t="str">
        <f t="array" ref="BL820">IF($F820&lt;&gt;"", XLOOKUP($F820,Productos!$A$2:$A1001,Productos!BE$2:BE1001,"")*$G820,"")</f>
        <v/>
      </c>
      <c r="BM820" s="179" t="str">
        <f t="array" ref="BM820">IF($F820&lt;&gt;"",XLOOKUP($F820,Productos!$A:$A,Productos!BF:BF,"Revisar"),"")</f>
        <v/>
      </c>
      <c r="BN820" s="179" t="str">
        <f t="array" ref="BN820">IF($F820&lt;&gt;"", XLOOKUP($F820,Productos!$A$2:$A1001,Productos!BG$2:BG1001,"")*$G820,"")</f>
        <v/>
      </c>
      <c r="BO820" s="179" t="str">
        <f t="array" ref="BO820">IF($F820&lt;&gt;"",XLOOKUP($F820,Productos!$A:$A,Productos!BH:BH,"Revisar"),"")</f>
        <v/>
      </c>
      <c r="BP820" s="179" t="str">
        <f t="array" ref="BP820">IF($F820&lt;&gt;"", XLOOKUP($F820,Productos!$A$2:$A1001,Productos!BI$2:BI1001,"")*$G820,"")</f>
        <v/>
      </c>
      <c r="BQ820" s="179" t="str">
        <f t="array" ref="BQ820">IF($F820&lt;&gt;"",XLOOKUP($F820,Productos!$A:$A,Productos!BJ:BJ,"Revisar"),"")</f>
        <v/>
      </c>
      <c r="BR820" s="179" t="str">
        <f t="array" ref="BR820">IF($F820&lt;&gt;"", XLOOKUP($F820,Productos!$A$2:$A1001,Productos!BK$2:BK1001,"")*$G820,"")</f>
        <v/>
      </c>
      <c r="BS820" s="179" t="str">
        <f t="array" ref="BS820">IF($F820&lt;&gt;"",XLOOKUP($F820,Productos!$A:$A,Productos!BL:BL,"Revisar"),"")</f>
        <v/>
      </c>
      <c r="BT820" s="179" t="str">
        <f t="array" ref="BT820">IF($F820&lt;&gt;"", XLOOKUP($F820,Productos!$A$2:$A1001,Productos!BM$2:BM1001,"")*$G820,"")</f>
        <v/>
      </c>
      <c r="BU820" s="179" t="str">
        <f t="array" ref="BU820">IF($F820&lt;&gt;"",XLOOKUP($F820,Productos!$A:$A,Productos!BN:BN,"Revisar"),"")</f>
        <v/>
      </c>
      <c r="BV820" s="179" t="str">
        <f t="array" ref="BV820">IF($F820&lt;&gt;"", XLOOKUP($F820,Productos!$A$2:$A1001,Productos!BO$2:BO1001,"")*$G820,"")</f>
        <v/>
      </c>
      <c r="BW820" s="179" t="str">
        <f t="array" ref="BW820">IF($F820&lt;&gt;"",XLOOKUP($F820,Productos!$A:$A,Productos!BP:BP,"Revisar"),"")</f>
        <v/>
      </c>
      <c r="BX820" s="179" t="str">
        <f t="array" ref="BX820">IF($F820&lt;&gt;"", XLOOKUP($F820,Productos!$A$2:$A1001,Productos!BQ$2:BQ1001,"")*$G820,"")</f>
        <v/>
      </c>
      <c r="BY820" s="179" t="str">
        <f t="array" ref="BY820">IF($F820&lt;&gt;"",XLOOKUP($F820,Productos!$A:$A,Productos!BR:BR,"Revisar"),"")</f>
        <v/>
      </c>
      <c r="BZ820" s="179" t="str">
        <f t="array" ref="BZ820">IF($F820&lt;&gt;"", XLOOKUP($F820,Productos!$A$2:$A1001,Productos!BS$2:BS1001,"")*$G820,"")</f>
        <v/>
      </c>
    </row>
    <row r="821">
      <c r="A821" s="188"/>
      <c r="B821" s="189"/>
      <c r="C821" s="190"/>
      <c r="D821" s="190"/>
      <c r="E821" s="191"/>
      <c r="F821" s="186"/>
      <c r="G821" s="192"/>
      <c r="H821" s="9"/>
      <c r="I821" s="179" t="str">
        <f t="array" ref="I821">IF($F821&lt;&gt;"",XLOOKUP($F821,Productos!$A:$A,Productos!B:B,"Revisar"),"")</f>
        <v/>
      </c>
      <c r="J821" s="179" t="str">
        <f t="array" ref="J821">IF($F821&lt;&gt;"", XLOOKUP($F821,Productos!$A$2:$A1001,Productos!C$2:C1001,"")*$G821,"")</f>
        <v/>
      </c>
      <c r="K821" s="179" t="str">
        <f t="array" ref="K821">IF($F821&lt;&gt;"",XLOOKUP($F821,Productos!$A:$A,Productos!D:D,"Revisar"),"")</f>
        <v/>
      </c>
      <c r="L821" s="179" t="str">
        <f t="array" ref="L821">IF($F821&lt;&gt;"", XLOOKUP($F821,Productos!$A$2:$A1001,Productos!E$2:E1001,"")*$G821,"")</f>
        <v/>
      </c>
      <c r="M821" s="179" t="str">
        <f t="array" ref="M821">IF($F821&lt;&gt;"",XLOOKUP($F821,Productos!$A:$A,Productos!F:F,"Revisar"),"")</f>
        <v/>
      </c>
      <c r="N821" s="179" t="str">
        <f t="array" ref="N821">IF($F821&lt;&gt;"", XLOOKUP($F821,Productos!$A$2:$A1001,Productos!G$2:G1001,"")*$G821,"")</f>
        <v/>
      </c>
      <c r="O821" s="179" t="str">
        <f t="array" ref="O821">IF($F821&lt;&gt;"",XLOOKUP($F821,Productos!$A:$A,Productos!H:H,"Revisar"),"")</f>
        <v/>
      </c>
      <c r="P821" s="179" t="str">
        <f t="array" ref="P821">IF($F821&lt;&gt;"", XLOOKUP($F821,Productos!$A$2:$A1001,Productos!I$2:I1001,"")*$G821,"")</f>
        <v/>
      </c>
      <c r="Q821" s="179" t="str">
        <f t="array" ref="Q821">IF($F821&lt;&gt;"",XLOOKUP($F821,Productos!$A:$A,Productos!J:J,"Revisar"),"")</f>
        <v/>
      </c>
      <c r="R821" s="179" t="str">
        <f t="array" ref="R821">IF($F821&lt;&gt;"", XLOOKUP($F821,Productos!$A$2:$A1001,Productos!K$2:K1001,"")*$G821,"")</f>
        <v/>
      </c>
      <c r="S821" s="179" t="str">
        <f t="array" ref="S821">IF($F821&lt;&gt;"",XLOOKUP($F821,Productos!$A:$A,Productos!L:L,"Revisar"),"")</f>
        <v/>
      </c>
      <c r="T821" s="179" t="str">
        <f t="array" ref="T821">IF($F821&lt;&gt;"", XLOOKUP($F821,Productos!$A$2:$A1001,Productos!M$2:M1001,"")*$G821,"")</f>
        <v/>
      </c>
      <c r="U821" s="179" t="str">
        <f t="array" ref="U821">IF($F821&lt;&gt;"",XLOOKUP($F821,Productos!$A:$A,Productos!N:N,"Revisar"),"")</f>
        <v/>
      </c>
      <c r="V821" s="179" t="str">
        <f t="array" ref="V821">IF($F821&lt;&gt;"", XLOOKUP($F821,Productos!$A$2:$A1001,Productos!O$2:O1001,"")*$G821,"")</f>
        <v/>
      </c>
      <c r="W821" s="179" t="str">
        <f t="array" ref="W821">IF($F821&lt;&gt;"",XLOOKUP($F821,Productos!$A:$A,Productos!P:P,"Revisar"),"")</f>
        <v/>
      </c>
      <c r="X821" s="179" t="str">
        <f t="array" ref="X821">IF($F821&lt;&gt;"", XLOOKUP($F821,Productos!$A$2:$A1001,Productos!Q$2:Q1001,"")*$G821,"")</f>
        <v/>
      </c>
      <c r="Y821" s="179" t="str">
        <f t="array" ref="Y821">IF($F821&lt;&gt;"",XLOOKUP($F821,Productos!$A:$A,Productos!R:R,"Revisar"),"")</f>
        <v/>
      </c>
      <c r="Z821" s="179" t="str">
        <f t="array" ref="Z821">IF($F821&lt;&gt;"", XLOOKUP($F821,Productos!$A$2:$A1001,Productos!S$2:S1001,"")*$G821,"")</f>
        <v/>
      </c>
      <c r="AA821" s="179" t="str">
        <f t="array" ref="AA821">IF($F821&lt;&gt;"",XLOOKUP($F821,Productos!$A:$A,Productos!T:T,"Revisar"),"")</f>
        <v/>
      </c>
      <c r="AB821" s="179" t="str">
        <f t="array" ref="AB821">IF($F821&lt;&gt;"", XLOOKUP($F821,Productos!$A$2:$A1001,Productos!U$2:U1001,"")*$G821,"")</f>
        <v/>
      </c>
      <c r="AC821" s="179" t="str">
        <f t="array" ref="AC821">IF($F821&lt;&gt;"",XLOOKUP($F821,Productos!$A:$A,Productos!V:V,"Revisar"),"")</f>
        <v/>
      </c>
      <c r="AD821" s="179" t="str">
        <f t="array" ref="AD821">IF($F821&lt;&gt;"", XLOOKUP($F821,Productos!$A$2:$A1001,Productos!W$2:W1001,"")*$G821,"")</f>
        <v/>
      </c>
      <c r="AE821" s="179" t="str">
        <f t="array" ref="AE821">IF($F821&lt;&gt;"",XLOOKUP($F821,Productos!$A:$A,Productos!X:X,"Revisar"),"")</f>
        <v/>
      </c>
      <c r="AF821" s="179" t="str">
        <f t="array" ref="AF821">IF($F821&lt;&gt;"", XLOOKUP($F821,Productos!$A$2:$A1001,Productos!Y$2:Y1001,"")*$G821,"")</f>
        <v/>
      </c>
      <c r="AG821" s="179" t="str">
        <f t="array" ref="AG821">IF($F821&lt;&gt;"",XLOOKUP($F821,Productos!$A:$A,Productos!Z:Z,"Revisar"),"")</f>
        <v/>
      </c>
      <c r="AH821" s="179" t="str">
        <f t="array" ref="AH821">IF($F821&lt;&gt;"", XLOOKUP($F821,Productos!$A$2:$A1001,Productos!AA$2:AA1001,"")*$G821,"")</f>
        <v/>
      </c>
      <c r="AI821" s="179" t="str">
        <f t="array" ref="AI821">IF($F821&lt;&gt;"",XLOOKUP($F821,Productos!$A:$A,Productos!AB:AB,"Revisar"),"")</f>
        <v/>
      </c>
      <c r="AJ821" s="179" t="str">
        <f t="array" ref="AJ821">IF($F821&lt;&gt;"", XLOOKUP($F821,Productos!$A$2:$A1001,Productos!AC$2:AC1001,"")*$G821,"")</f>
        <v/>
      </c>
      <c r="AK821" s="179" t="str">
        <f t="array" ref="AK821">IF($F821&lt;&gt;"",XLOOKUP($F821,Productos!$A:$A,Productos!AD:AD,"Revisar"),"")</f>
        <v/>
      </c>
      <c r="AL821" s="179" t="str">
        <f t="array" ref="AL821">IF($F821&lt;&gt;"", XLOOKUP($F821,Productos!$A$2:$A1001,Productos!AE$2:AE1001,"")*$G821,"")</f>
        <v/>
      </c>
      <c r="AM821" s="179" t="str">
        <f t="array" ref="AM821">IF($F821&lt;&gt;"",XLOOKUP($F821,Productos!$A:$A,Productos!AF:AF,"Revisar"),"")</f>
        <v/>
      </c>
      <c r="AN821" s="179" t="str">
        <f t="array" ref="AN821">IF($F821&lt;&gt;"", XLOOKUP($F821,Productos!$A$2:$A1001,Productos!AG$2:AG1001,"")*$G821,"")</f>
        <v/>
      </c>
      <c r="AO821" s="179" t="str">
        <f t="array" ref="AO821">IF($F821&lt;&gt;"",XLOOKUP($F821,Productos!$A:$A,Productos!AH:AH,"Revisar"),"")</f>
        <v/>
      </c>
      <c r="AP821" s="179" t="str">
        <f t="array" ref="AP821">IF($F821&lt;&gt;"", XLOOKUP($F821,Productos!$A$2:$A1001,Productos!AI$2:AI1001,"")*$G821,"")</f>
        <v/>
      </c>
      <c r="AQ821" s="179" t="str">
        <f t="array" ref="AQ821">IF($F821&lt;&gt;"",XLOOKUP($F821,Productos!$A:$A,Productos!AJ:AJ,"Revisar"),"")</f>
        <v/>
      </c>
      <c r="AR821" s="179" t="str">
        <f t="array" ref="AR821">IF($F821&lt;&gt;"", XLOOKUP($F821,Productos!$A$2:$A1001,Productos!AK$2:AK1001,"")*$G821,"")</f>
        <v/>
      </c>
      <c r="AS821" s="179" t="str">
        <f t="array" ref="AS821">IF($F821&lt;&gt;"",XLOOKUP($F821,Productos!$A:$A,Productos!AL:AL,"Revisar"),"")</f>
        <v/>
      </c>
      <c r="AT821" s="179" t="str">
        <f t="array" ref="AT821">IF($F821&lt;&gt;"", XLOOKUP($F821,Productos!$A$2:$A1001,Productos!AM$2:AM1001,"")*$G821,"")</f>
        <v/>
      </c>
      <c r="AU821" s="179" t="str">
        <f t="array" ref="AU821">IF($F821&lt;&gt;"",XLOOKUP($F821,Productos!$A:$A,Productos!AN:AN,"Revisar"),"")</f>
        <v/>
      </c>
      <c r="AV821" s="179" t="str">
        <f t="array" ref="AV821">IF($F821&lt;&gt;"", XLOOKUP($F821,Productos!$A$2:$A1001,Productos!AO$2:AO1001,"")*$G821,"")</f>
        <v/>
      </c>
      <c r="AW821" s="179" t="str">
        <f t="array" ref="AW821">IF($F821&lt;&gt;"",XLOOKUP($F821,Productos!$A:$A,Productos!AP:AP,"Revisar"),"")</f>
        <v/>
      </c>
      <c r="AX821" s="179" t="str">
        <f t="array" ref="AX821">IF($F821&lt;&gt;"", XLOOKUP($F821,Productos!$A$2:$A1001,Productos!AQ$2:AQ1001,"")*$G821,"")</f>
        <v/>
      </c>
      <c r="AY821" s="179" t="str">
        <f t="array" ref="AY821">IF($F821&lt;&gt;"",XLOOKUP($F821,Productos!$A:$A,Productos!AR:AR,"Revisar"),"")</f>
        <v/>
      </c>
      <c r="AZ821" s="179" t="str">
        <f t="array" ref="AZ821">IF($F821&lt;&gt;"", XLOOKUP($F821,Productos!$A$2:$A1001,Productos!AS$2:AS1001,"")*$G821,"")</f>
        <v/>
      </c>
      <c r="BA821" s="179" t="str">
        <f t="array" ref="BA821">IF($F821&lt;&gt;"",XLOOKUP($F821,Productos!$A:$A,Productos!AT:AT,"Revisar"),"")</f>
        <v/>
      </c>
      <c r="BB821" s="179" t="str">
        <f t="array" ref="BB821">IF($F821&lt;&gt;"", XLOOKUP($F821,Productos!$A$2:$A1001,Productos!AU$2:AU1001,"")*$G821,"")</f>
        <v/>
      </c>
      <c r="BC821" s="179" t="str">
        <f t="array" ref="BC821">IF($F821&lt;&gt;"",XLOOKUP($F821,Productos!$A:$A,Productos!AV:AV,"Revisar"),"")</f>
        <v/>
      </c>
      <c r="BD821" s="179" t="str">
        <f t="array" ref="BD821">IF($F821&lt;&gt;"", XLOOKUP($F821,Productos!$A$2:$A1001,Productos!AW$2:AW1001,"")*$G821,"")</f>
        <v/>
      </c>
      <c r="BE821" s="179" t="str">
        <f t="array" ref="BE821">IF($F821&lt;&gt;"",XLOOKUP($F821,Productos!$A:$A,Productos!AX:AX,"Revisar"),"")</f>
        <v/>
      </c>
      <c r="BF821" s="179" t="str">
        <f t="array" ref="BF821">IF($F821&lt;&gt;"", XLOOKUP($F821,Productos!$A$2:$A1001,Productos!AY$2:AY1001,"")*$G821,"")</f>
        <v/>
      </c>
      <c r="BG821" s="179" t="str">
        <f t="array" ref="BG821">IF($F821&lt;&gt;"",XLOOKUP($F821,Productos!$A:$A,Productos!AZ:AZ,"Revisar"),"")</f>
        <v/>
      </c>
      <c r="BH821" s="179" t="str">
        <f t="array" ref="BH821">IF($F821&lt;&gt;"", XLOOKUP($F821,Productos!$A$2:$A1001,Productos!BA$2:BA1001,"")*$G821,"")</f>
        <v/>
      </c>
      <c r="BI821" s="179" t="str">
        <f t="array" ref="BI821">IF($F821&lt;&gt;"",XLOOKUP($F821,Productos!$A:$A,Productos!BB:BB,"Revisar"),"")</f>
        <v/>
      </c>
      <c r="BJ821" s="179" t="str">
        <f t="array" ref="BJ821">IF($F821&lt;&gt;"", XLOOKUP($F821,Productos!$A$2:$A1001,Productos!BC$2:BC1001,"")*$G821,"")</f>
        <v/>
      </c>
      <c r="BK821" s="179" t="str">
        <f t="array" ref="BK821">IF($F821&lt;&gt;"",XLOOKUP($F821,Productos!$A:$A,Productos!BD:BD,"Revisar"),"")</f>
        <v/>
      </c>
      <c r="BL821" s="179" t="str">
        <f t="array" ref="BL821">IF($F821&lt;&gt;"", XLOOKUP($F821,Productos!$A$2:$A1001,Productos!BE$2:BE1001,"")*$G821,"")</f>
        <v/>
      </c>
      <c r="BM821" s="179" t="str">
        <f t="array" ref="BM821">IF($F821&lt;&gt;"",XLOOKUP($F821,Productos!$A:$A,Productos!BF:BF,"Revisar"),"")</f>
        <v/>
      </c>
      <c r="BN821" s="179" t="str">
        <f t="array" ref="BN821">IF($F821&lt;&gt;"", XLOOKUP($F821,Productos!$A$2:$A1001,Productos!BG$2:BG1001,"")*$G821,"")</f>
        <v/>
      </c>
      <c r="BO821" s="179" t="str">
        <f t="array" ref="BO821">IF($F821&lt;&gt;"",XLOOKUP($F821,Productos!$A:$A,Productos!BH:BH,"Revisar"),"")</f>
        <v/>
      </c>
      <c r="BP821" s="179" t="str">
        <f t="array" ref="BP821">IF($F821&lt;&gt;"", XLOOKUP($F821,Productos!$A$2:$A1001,Productos!BI$2:BI1001,"")*$G821,"")</f>
        <v/>
      </c>
      <c r="BQ821" s="179" t="str">
        <f t="array" ref="BQ821">IF($F821&lt;&gt;"",XLOOKUP($F821,Productos!$A:$A,Productos!BJ:BJ,"Revisar"),"")</f>
        <v/>
      </c>
      <c r="BR821" s="179" t="str">
        <f t="array" ref="BR821">IF($F821&lt;&gt;"", XLOOKUP($F821,Productos!$A$2:$A1001,Productos!BK$2:BK1001,"")*$G821,"")</f>
        <v/>
      </c>
      <c r="BS821" s="179" t="str">
        <f t="array" ref="BS821">IF($F821&lt;&gt;"",XLOOKUP($F821,Productos!$A:$A,Productos!BL:BL,"Revisar"),"")</f>
        <v/>
      </c>
      <c r="BT821" s="179" t="str">
        <f t="array" ref="BT821">IF($F821&lt;&gt;"", XLOOKUP($F821,Productos!$A$2:$A1001,Productos!BM$2:BM1001,"")*$G821,"")</f>
        <v/>
      </c>
      <c r="BU821" s="179" t="str">
        <f t="array" ref="BU821">IF($F821&lt;&gt;"",XLOOKUP($F821,Productos!$A:$A,Productos!BN:BN,"Revisar"),"")</f>
        <v/>
      </c>
      <c r="BV821" s="179" t="str">
        <f t="array" ref="BV821">IF($F821&lt;&gt;"", XLOOKUP($F821,Productos!$A$2:$A1001,Productos!BO$2:BO1001,"")*$G821,"")</f>
        <v/>
      </c>
      <c r="BW821" s="179" t="str">
        <f t="array" ref="BW821">IF($F821&lt;&gt;"",XLOOKUP($F821,Productos!$A:$A,Productos!BP:BP,"Revisar"),"")</f>
        <v/>
      </c>
      <c r="BX821" s="179" t="str">
        <f t="array" ref="BX821">IF($F821&lt;&gt;"", XLOOKUP($F821,Productos!$A$2:$A1001,Productos!BQ$2:BQ1001,"")*$G821,"")</f>
        <v/>
      </c>
      <c r="BY821" s="179" t="str">
        <f t="array" ref="BY821">IF($F821&lt;&gt;"",XLOOKUP($F821,Productos!$A:$A,Productos!BR:BR,"Revisar"),"")</f>
        <v/>
      </c>
      <c r="BZ821" s="179" t="str">
        <f t="array" ref="BZ821">IF($F821&lt;&gt;"", XLOOKUP($F821,Productos!$A$2:$A1001,Productos!BS$2:BS1001,"")*$G821,"")</f>
        <v/>
      </c>
    </row>
    <row r="822">
      <c r="A822" s="188"/>
      <c r="B822" s="189"/>
      <c r="C822" s="190"/>
      <c r="D822" s="190"/>
      <c r="E822" s="191"/>
      <c r="F822" s="186"/>
      <c r="G822" s="192"/>
      <c r="H822" s="9"/>
      <c r="I822" s="179" t="str">
        <f t="array" ref="I822">IF($F822&lt;&gt;"",XLOOKUP($F822,Productos!$A:$A,Productos!B:B,"Revisar"),"")</f>
        <v/>
      </c>
      <c r="J822" s="179" t="str">
        <f t="array" ref="J822">IF($F822&lt;&gt;"", XLOOKUP($F822,Productos!$A$2:$A1001,Productos!C$2:C1001,"")*$G822,"")</f>
        <v/>
      </c>
      <c r="K822" s="179" t="str">
        <f t="array" ref="K822">IF($F822&lt;&gt;"",XLOOKUP($F822,Productos!$A:$A,Productos!D:D,"Revisar"),"")</f>
        <v/>
      </c>
      <c r="L822" s="179" t="str">
        <f t="array" ref="L822">IF($F822&lt;&gt;"", XLOOKUP($F822,Productos!$A$2:$A1001,Productos!E$2:E1001,"")*$G822,"")</f>
        <v/>
      </c>
      <c r="M822" s="179" t="str">
        <f t="array" ref="M822">IF($F822&lt;&gt;"",XLOOKUP($F822,Productos!$A:$A,Productos!F:F,"Revisar"),"")</f>
        <v/>
      </c>
      <c r="N822" s="179" t="str">
        <f t="array" ref="N822">IF($F822&lt;&gt;"", XLOOKUP($F822,Productos!$A$2:$A1001,Productos!G$2:G1001,"")*$G822,"")</f>
        <v/>
      </c>
      <c r="O822" s="179" t="str">
        <f t="array" ref="O822">IF($F822&lt;&gt;"",XLOOKUP($F822,Productos!$A:$A,Productos!H:H,"Revisar"),"")</f>
        <v/>
      </c>
      <c r="P822" s="179" t="str">
        <f t="array" ref="P822">IF($F822&lt;&gt;"", XLOOKUP($F822,Productos!$A$2:$A1001,Productos!I$2:I1001,"")*$G822,"")</f>
        <v/>
      </c>
      <c r="Q822" s="179" t="str">
        <f t="array" ref="Q822">IF($F822&lt;&gt;"",XLOOKUP($F822,Productos!$A:$A,Productos!J:J,"Revisar"),"")</f>
        <v/>
      </c>
      <c r="R822" s="179" t="str">
        <f t="array" ref="R822">IF($F822&lt;&gt;"", XLOOKUP($F822,Productos!$A$2:$A1001,Productos!K$2:K1001,"")*$G822,"")</f>
        <v/>
      </c>
      <c r="S822" s="179" t="str">
        <f t="array" ref="S822">IF($F822&lt;&gt;"",XLOOKUP($F822,Productos!$A:$A,Productos!L:L,"Revisar"),"")</f>
        <v/>
      </c>
      <c r="T822" s="179" t="str">
        <f t="array" ref="T822">IF($F822&lt;&gt;"", XLOOKUP($F822,Productos!$A$2:$A1001,Productos!M$2:M1001,"")*$G822,"")</f>
        <v/>
      </c>
      <c r="U822" s="179" t="str">
        <f t="array" ref="U822">IF($F822&lt;&gt;"",XLOOKUP($F822,Productos!$A:$A,Productos!N:N,"Revisar"),"")</f>
        <v/>
      </c>
      <c r="V822" s="179" t="str">
        <f t="array" ref="V822">IF($F822&lt;&gt;"", XLOOKUP($F822,Productos!$A$2:$A1001,Productos!O$2:O1001,"")*$G822,"")</f>
        <v/>
      </c>
      <c r="W822" s="179" t="str">
        <f t="array" ref="W822">IF($F822&lt;&gt;"",XLOOKUP($F822,Productos!$A:$A,Productos!P:P,"Revisar"),"")</f>
        <v/>
      </c>
      <c r="X822" s="179" t="str">
        <f t="array" ref="X822">IF($F822&lt;&gt;"", XLOOKUP($F822,Productos!$A$2:$A1001,Productos!Q$2:Q1001,"")*$G822,"")</f>
        <v/>
      </c>
      <c r="Y822" s="179" t="str">
        <f t="array" ref="Y822">IF($F822&lt;&gt;"",XLOOKUP($F822,Productos!$A:$A,Productos!R:R,"Revisar"),"")</f>
        <v/>
      </c>
      <c r="Z822" s="179" t="str">
        <f t="array" ref="Z822">IF($F822&lt;&gt;"", XLOOKUP($F822,Productos!$A$2:$A1001,Productos!S$2:S1001,"")*$G822,"")</f>
        <v/>
      </c>
      <c r="AA822" s="179" t="str">
        <f t="array" ref="AA822">IF($F822&lt;&gt;"",XLOOKUP($F822,Productos!$A:$A,Productos!T:T,"Revisar"),"")</f>
        <v/>
      </c>
      <c r="AB822" s="179" t="str">
        <f t="array" ref="AB822">IF($F822&lt;&gt;"", XLOOKUP($F822,Productos!$A$2:$A1001,Productos!U$2:U1001,"")*$G822,"")</f>
        <v/>
      </c>
      <c r="AC822" s="179" t="str">
        <f t="array" ref="AC822">IF($F822&lt;&gt;"",XLOOKUP($F822,Productos!$A:$A,Productos!V:V,"Revisar"),"")</f>
        <v/>
      </c>
      <c r="AD822" s="179" t="str">
        <f t="array" ref="AD822">IF($F822&lt;&gt;"", XLOOKUP($F822,Productos!$A$2:$A1001,Productos!W$2:W1001,"")*$G822,"")</f>
        <v/>
      </c>
      <c r="AE822" s="179" t="str">
        <f t="array" ref="AE822">IF($F822&lt;&gt;"",XLOOKUP($F822,Productos!$A:$A,Productos!X:X,"Revisar"),"")</f>
        <v/>
      </c>
      <c r="AF822" s="179" t="str">
        <f t="array" ref="AF822">IF($F822&lt;&gt;"", XLOOKUP($F822,Productos!$A$2:$A1001,Productos!Y$2:Y1001,"")*$G822,"")</f>
        <v/>
      </c>
      <c r="AG822" s="179" t="str">
        <f t="array" ref="AG822">IF($F822&lt;&gt;"",XLOOKUP($F822,Productos!$A:$A,Productos!Z:Z,"Revisar"),"")</f>
        <v/>
      </c>
      <c r="AH822" s="179" t="str">
        <f t="array" ref="AH822">IF($F822&lt;&gt;"", XLOOKUP($F822,Productos!$A$2:$A1001,Productos!AA$2:AA1001,"")*$G822,"")</f>
        <v/>
      </c>
      <c r="AI822" s="179" t="str">
        <f t="array" ref="AI822">IF($F822&lt;&gt;"",XLOOKUP($F822,Productos!$A:$A,Productos!AB:AB,"Revisar"),"")</f>
        <v/>
      </c>
      <c r="AJ822" s="179" t="str">
        <f t="array" ref="AJ822">IF($F822&lt;&gt;"", XLOOKUP($F822,Productos!$A$2:$A1001,Productos!AC$2:AC1001,"")*$G822,"")</f>
        <v/>
      </c>
      <c r="AK822" s="179" t="str">
        <f t="array" ref="AK822">IF($F822&lt;&gt;"",XLOOKUP($F822,Productos!$A:$A,Productos!AD:AD,"Revisar"),"")</f>
        <v/>
      </c>
      <c r="AL822" s="179" t="str">
        <f t="array" ref="AL822">IF($F822&lt;&gt;"", XLOOKUP($F822,Productos!$A$2:$A1001,Productos!AE$2:AE1001,"")*$G822,"")</f>
        <v/>
      </c>
      <c r="AM822" s="179" t="str">
        <f t="array" ref="AM822">IF($F822&lt;&gt;"",XLOOKUP($F822,Productos!$A:$A,Productos!AF:AF,"Revisar"),"")</f>
        <v/>
      </c>
      <c r="AN822" s="179" t="str">
        <f t="array" ref="AN822">IF($F822&lt;&gt;"", XLOOKUP($F822,Productos!$A$2:$A1001,Productos!AG$2:AG1001,"")*$G822,"")</f>
        <v/>
      </c>
      <c r="AO822" s="179" t="str">
        <f t="array" ref="AO822">IF($F822&lt;&gt;"",XLOOKUP($F822,Productos!$A:$A,Productos!AH:AH,"Revisar"),"")</f>
        <v/>
      </c>
      <c r="AP822" s="179" t="str">
        <f t="array" ref="AP822">IF($F822&lt;&gt;"", XLOOKUP($F822,Productos!$A$2:$A1001,Productos!AI$2:AI1001,"")*$G822,"")</f>
        <v/>
      </c>
      <c r="AQ822" s="179" t="str">
        <f t="array" ref="AQ822">IF($F822&lt;&gt;"",XLOOKUP($F822,Productos!$A:$A,Productos!AJ:AJ,"Revisar"),"")</f>
        <v/>
      </c>
      <c r="AR822" s="179" t="str">
        <f t="array" ref="AR822">IF($F822&lt;&gt;"", XLOOKUP($F822,Productos!$A$2:$A1001,Productos!AK$2:AK1001,"")*$G822,"")</f>
        <v/>
      </c>
      <c r="AS822" s="179" t="str">
        <f t="array" ref="AS822">IF($F822&lt;&gt;"",XLOOKUP($F822,Productos!$A:$A,Productos!AL:AL,"Revisar"),"")</f>
        <v/>
      </c>
      <c r="AT822" s="179" t="str">
        <f t="array" ref="AT822">IF($F822&lt;&gt;"", XLOOKUP($F822,Productos!$A$2:$A1001,Productos!AM$2:AM1001,"")*$G822,"")</f>
        <v/>
      </c>
      <c r="AU822" s="179" t="str">
        <f t="array" ref="AU822">IF($F822&lt;&gt;"",XLOOKUP($F822,Productos!$A:$A,Productos!AN:AN,"Revisar"),"")</f>
        <v/>
      </c>
      <c r="AV822" s="179" t="str">
        <f t="array" ref="AV822">IF($F822&lt;&gt;"", XLOOKUP($F822,Productos!$A$2:$A1001,Productos!AO$2:AO1001,"")*$G822,"")</f>
        <v/>
      </c>
      <c r="AW822" s="179" t="str">
        <f t="array" ref="AW822">IF($F822&lt;&gt;"",XLOOKUP($F822,Productos!$A:$A,Productos!AP:AP,"Revisar"),"")</f>
        <v/>
      </c>
      <c r="AX822" s="179" t="str">
        <f t="array" ref="AX822">IF($F822&lt;&gt;"", XLOOKUP($F822,Productos!$A$2:$A1001,Productos!AQ$2:AQ1001,"")*$G822,"")</f>
        <v/>
      </c>
      <c r="AY822" s="179" t="str">
        <f t="array" ref="AY822">IF($F822&lt;&gt;"",XLOOKUP($F822,Productos!$A:$A,Productos!AR:AR,"Revisar"),"")</f>
        <v/>
      </c>
      <c r="AZ822" s="179" t="str">
        <f t="array" ref="AZ822">IF($F822&lt;&gt;"", XLOOKUP($F822,Productos!$A$2:$A1001,Productos!AS$2:AS1001,"")*$G822,"")</f>
        <v/>
      </c>
      <c r="BA822" s="179" t="str">
        <f t="array" ref="BA822">IF($F822&lt;&gt;"",XLOOKUP($F822,Productos!$A:$A,Productos!AT:AT,"Revisar"),"")</f>
        <v/>
      </c>
      <c r="BB822" s="179" t="str">
        <f t="array" ref="BB822">IF($F822&lt;&gt;"", XLOOKUP($F822,Productos!$A$2:$A1001,Productos!AU$2:AU1001,"")*$G822,"")</f>
        <v/>
      </c>
      <c r="BC822" s="179" t="str">
        <f t="array" ref="BC822">IF($F822&lt;&gt;"",XLOOKUP($F822,Productos!$A:$A,Productos!AV:AV,"Revisar"),"")</f>
        <v/>
      </c>
      <c r="BD822" s="179" t="str">
        <f t="array" ref="BD822">IF($F822&lt;&gt;"", XLOOKUP($F822,Productos!$A$2:$A1001,Productos!AW$2:AW1001,"")*$G822,"")</f>
        <v/>
      </c>
      <c r="BE822" s="179" t="str">
        <f t="array" ref="BE822">IF($F822&lt;&gt;"",XLOOKUP($F822,Productos!$A:$A,Productos!AX:AX,"Revisar"),"")</f>
        <v/>
      </c>
      <c r="BF822" s="179" t="str">
        <f t="array" ref="BF822">IF($F822&lt;&gt;"", XLOOKUP($F822,Productos!$A$2:$A1001,Productos!AY$2:AY1001,"")*$G822,"")</f>
        <v/>
      </c>
      <c r="BG822" s="179" t="str">
        <f t="array" ref="BG822">IF($F822&lt;&gt;"",XLOOKUP($F822,Productos!$A:$A,Productos!AZ:AZ,"Revisar"),"")</f>
        <v/>
      </c>
      <c r="BH822" s="179" t="str">
        <f t="array" ref="BH822">IF($F822&lt;&gt;"", XLOOKUP($F822,Productos!$A$2:$A1001,Productos!BA$2:BA1001,"")*$G822,"")</f>
        <v/>
      </c>
      <c r="BI822" s="179" t="str">
        <f t="array" ref="BI822">IF($F822&lt;&gt;"",XLOOKUP($F822,Productos!$A:$A,Productos!BB:BB,"Revisar"),"")</f>
        <v/>
      </c>
      <c r="BJ822" s="179" t="str">
        <f t="array" ref="BJ822">IF($F822&lt;&gt;"", XLOOKUP($F822,Productos!$A$2:$A1001,Productos!BC$2:BC1001,"")*$G822,"")</f>
        <v/>
      </c>
      <c r="BK822" s="179" t="str">
        <f t="array" ref="BK822">IF($F822&lt;&gt;"",XLOOKUP($F822,Productos!$A:$A,Productos!BD:BD,"Revisar"),"")</f>
        <v/>
      </c>
      <c r="BL822" s="179" t="str">
        <f t="array" ref="BL822">IF($F822&lt;&gt;"", XLOOKUP($F822,Productos!$A$2:$A1001,Productos!BE$2:BE1001,"")*$G822,"")</f>
        <v/>
      </c>
      <c r="BM822" s="179" t="str">
        <f t="array" ref="BM822">IF($F822&lt;&gt;"",XLOOKUP($F822,Productos!$A:$A,Productos!BF:BF,"Revisar"),"")</f>
        <v/>
      </c>
      <c r="BN822" s="179" t="str">
        <f t="array" ref="BN822">IF($F822&lt;&gt;"", XLOOKUP($F822,Productos!$A$2:$A1001,Productos!BG$2:BG1001,"")*$G822,"")</f>
        <v/>
      </c>
      <c r="BO822" s="179" t="str">
        <f t="array" ref="BO822">IF($F822&lt;&gt;"",XLOOKUP($F822,Productos!$A:$A,Productos!BH:BH,"Revisar"),"")</f>
        <v/>
      </c>
      <c r="BP822" s="179" t="str">
        <f t="array" ref="BP822">IF($F822&lt;&gt;"", XLOOKUP($F822,Productos!$A$2:$A1001,Productos!BI$2:BI1001,"")*$G822,"")</f>
        <v/>
      </c>
      <c r="BQ822" s="179" t="str">
        <f t="array" ref="BQ822">IF($F822&lt;&gt;"",XLOOKUP($F822,Productos!$A:$A,Productos!BJ:BJ,"Revisar"),"")</f>
        <v/>
      </c>
      <c r="BR822" s="179" t="str">
        <f t="array" ref="BR822">IF($F822&lt;&gt;"", XLOOKUP($F822,Productos!$A$2:$A1001,Productos!BK$2:BK1001,"")*$G822,"")</f>
        <v/>
      </c>
      <c r="BS822" s="179" t="str">
        <f t="array" ref="BS822">IF($F822&lt;&gt;"",XLOOKUP($F822,Productos!$A:$A,Productos!BL:BL,"Revisar"),"")</f>
        <v/>
      </c>
      <c r="BT822" s="179" t="str">
        <f t="array" ref="BT822">IF($F822&lt;&gt;"", XLOOKUP($F822,Productos!$A$2:$A1001,Productos!BM$2:BM1001,"")*$G822,"")</f>
        <v/>
      </c>
      <c r="BU822" s="179" t="str">
        <f t="array" ref="BU822">IF($F822&lt;&gt;"",XLOOKUP($F822,Productos!$A:$A,Productos!BN:BN,"Revisar"),"")</f>
        <v/>
      </c>
      <c r="BV822" s="179" t="str">
        <f t="array" ref="BV822">IF($F822&lt;&gt;"", XLOOKUP($F822,Productos!$A$2:$A1001,Productos!BO$2:BO1001,"")*$G822,"")</f>
        <v/>
      </c>
      <c r="BW822" s="179" t="str">
        <f t="array" ref="BW822">IF($F822&lt;&gt;"",XLOOKUP($F822,Productos!$A:$A,Productos!BP:BP,"Revisar"),"")</f>
        <v/>
      </c>
      <c r="BX822" s="179" t="str">
        <f t="array" ref="BX822">IF($F822&lt;&gt;"", XLOOKUP($F822,Productos!$A$2:$A1001,Productos!BQ$2:BQ1001,"")*$G822,"")</f>
        <v/>
      </c>
      <c r="BY822" s="179" t="str">
        <f t="array" ref="BY822">IF($F822&lt;&gt;"",XLOOKUP($F822,Productos!$A:$A,Productos!BR:BR,"Revisar"),"")</f>
        <v/>
      </c>
      <c r="BZ822" s="179" t="str">
        <f t="array" ref="BZ822">IF($F822&lt;&gt;"", XLOOKUP($F822,Productos!$A$2:$A1001,Productos!BS$2:BS1001,"")*$G822,"")</f>
        <v/>
      </c>
    </row>
    <row r="823">
      <c r="A823" s="188"/>
      <c r="B823" s="189"/>
      <c r="C823" s="190"/>
      <c r="D823" s="190"/>
      <c r="E823" s="191"/>
      <c r="F823" s="186"/>
      <c r="G823" s="192"/>
      <c r="H823" s="9"/>
      <c r="I823" s="179" t="str">
        <f t="array" ref="I823">IF($F823&lt;&gt;"",XLOOKUP($F823,Productos!$A:$A,Productos!B:B,"Revisar"),"")</f>
        <v/>
      </c>
      <c r="J823" s="179" t="str">
        <f t="array" ref="J823">IF($F823&lt;&gt;"", XLOOKUP($F823,Productos!$A$2:$A1001,Productos!C$2:C1001,"")*$G823,"")</f>
        <v/>
      </c>
      <c r="K823" s="179" t="str">
        <f t="array" ref="K823">IF($F823&lt;&gt;"",XLOOKUP($F823,Productos!$A:$A,Productos!D:D,"Revisar"),"")</f>
        <v/>
      </c>
      <c r="L823" s="179" t="str">
        <f t="array" ref="L823">IF($F823&lt;&gt;"", XLOOKUP($F823,Productos!$A$2:$A1001,Productos!E$2:E1001,"")*$G823,"")</f>
        <v/>
      </c>
      <c r="M823" s="179" t="str">
        <f t="array" ref="M823">IF($F823&lt;&gt;"",XLOOKUP($F823,Productos!$A:$A,Productos!F:F,"Revisar"),"")</f>
        <v/>
      </c>
      <c r="N823" s="179" t="str">
        <f t="array" ref="N823">IF($F823&lt;&gt;"", XLOOKUP($F823,Productos!$A$2:$A1001,Productos!G$2:G1001,"")*$G823,"")</f>
        <v/>
      </c>
      <c r="O823" s="179" t="str">
        <f t="array" ref="O823">IF($F823&lt;&gt;"",XLOOKUP($F823,Productos!$A:$A,Productos!H:H,"Revisar"),"")</f>
        <v/>
      </c>
      <c r="P823" s="179" t="str">
        <f t="array" ref="P823">IF($F823&lt;&gt;"", XLOOKUP($F823,Productos!$A$2:$A1001,Productos!I$2:I1001,"")*$G823,"")</f>
        <v/>
      </c>
      <c r="Q823" s="179" t="str">
        <f t="array" ref="Q823">IF($F823&lt;&gt;"",XLOOKUP($F823,Productos!$A:$A,Productos!J:J,"Revisar"),"")</f>
        <v/>
      </c>
      <c r="R823" s="179" t="str">
        <f t="array" ref="R823">IF($F823&lt;&gt;"", XLOOKUP($F823,Productos!$A$2:$A1001,Productos!K$2:K1001,"")*$G823,"")</f>
        <v/>
      </c>
      <c r="S823" s="179" t="str">
        <f t="array" ref="S823">IF($F823&lt;&gt;"",XLOOKUP($F823,Productos!$A:$A,Productos!L:L,"Revisar"),"")</f>
        <v/>
      </c>
      <c r="T823" s="179" t="str">
        <f t="array" ref="T823">IF($F823&lt;&gt;"", XLOOKUP($F823,Productos!$A$2:$A1001,Productos!M$2:M1001,"")*$G823,"")</f>
        <v/>
      </c>
      <c r="U823" s="179" t="str">
        <f t="array" ref="U823">IF($F823&lt;&gt;"",XLOOKUP($F823,Productos!$A:$A,Productos!N:N,"Revisar"),"")</f>
        <v/>
      </c>
      <c r="V823" s="179" t="str">
        <f t="array" ref="V823">IF($F823&lt;&gt;"", XLOOKUP($F823,Productos!$A$2:$A1001,Productos!O$2:O1001,"")*$G823,"")</f>
        <v/>
      </c>
      <c r="W823" s="179" t="str">
        <f t="array" ref="W823">IF($F823&lt;&gt;"",XLOOKUP($F823,Productos!$A:$A,Productos!P:P,"Revisar"),"")</f>
        <v/>
      </c>
      <c r="X823" s="179" t="str">
        <f t="array" ref="X823">IF($F823&lt;&gt;"", XLOOKUP($F823,Productos!$A$2:$A1001,Productos!Q$2:Q1001,"")*$G823,"")</f>
        <v/>
      </c>
      <c r="Y823" s="179" t="str">
        <f t="array" ref="Y823">IF($F823&lt;&gt;"",XLOOKUP($F823,Productos!$A:$A,Productos!R:R,"Revisar"),"")</f>
        <v/>
      </c>
      <c r="Z823" s="179" t="str">
        <f t="array" ref="Z823">IF($F823&lt;&gt;"", XLOOKUP($F823,Productos!$A$2:$A1001,Productos!S$2:S1001,"")*$G823,"")</f>
        <v/>
      </c>
      <c r="AA823" s="179" t="str">
        <f t="array" ref="AA823">IF($F823&lt;&gt;"",XLOOKUP($F823,Productos!$A:$A,Productos!T:T,"Revisar"),"")</f>
        <v/>
      </c>
      <c r="AB823" s="179" t="str">
        <f t="array" ref="AB823">IF($F823&lt;&gt;"", XLOOKUP($F823,Productos!$A$2:$A1001,Productos!U$2:U1001,"")*$G823,"")</f>
        <v/>
      </c>
      <c r="AC823" s="179" t="str">
        <f t="array" ref="AC823">IF($F823&lt;&gt;"",XLOOKUP($F823,Productos!$A:$A,Productos!V:V,"Revisar"),"")</f>
        <v/>
      </c>
      <c r="AD823" s="179" t="str">
        <f t="array" ref="AD823">IF($F823&lt;&gt;"", XLOOKUP($F823,Productos!$A$2:$A1001,Productos!W$2:W1001,"")*$G823,"")</f>
        <v/>
      </c>
      <c r="AE823" s="179" t="str">
        <f t="array" ref="AE823">IF($F823&lt;&gt;"",XLOOKUP($F823,Productos!$A:$A,Productos!X:X,"Revisar"),"")</f>
        <v/>
      </c>
      <c r="AF823" s="179" t="str">
        <f t="array" ref="AF823">IF($F823&lt;&gt;"", XLOOKUP($F823,Productos!$A$2:$A1001,Productos!Y$2:Y1001,"")*$G823,"")</f>
        <v/>
      </c>
      <c r="AG823" s="179" t="str">
        <f t="array" ref="AG823">IF($F823&lt;&gt;"",XLOOKUP($F823,Productos!$A:$A,Productos!Z:Z,"Revisar"),"")</f>
        <v/>
      </c>
      <c r="AH823" s="179" t="str">
        <f t="array" ref="AH823">IF($F823&lt;&gt;"", XLOOKUP($F823,Productos!$A$2:$A1001,Productos!AA$2:AA1001,"")*$G823,"")</f>
        <v/>
      </c>
      <c r="AI823" s="179" t="str">
        <f t="array" ref="AI823">IF($F823&lt;&gt;"",XLOOKUP($F823,Productos!$A:$A,Productos!AB:AB,"Revisar"),"")</f>
        <v/>
      </c>
      <c r="AJ823" s="179" t="str">
        <f t="array" ref="AJ823">IF($F823&lt;&gt;"", XLOOKUP($F823,Productos!$A$2:$A1001,Productos!AC$2:AC1001,"")*$G823,"")</f>
        <v/>
      </c>
      <c r="AK823" s="179" t="str">
        <f t="array" ref="AK823">IF($F823&lt;&gt;"",XLOOKUP($F823,Productos!$A:$A,Productos!AD:AD,"Revisar"),"")</f>
        <v/>
      </c>
      <c r="AL823" s="179" t="str">
        <f t="array" ref="AL823">IF($F823&lt;&gt;"", XLOOKUP($F823,Productos!$A$2:$A1001,Productos!AE$2:AE1001,"")*$G823,"")</f>
        <v/>
      </c>
      <c r="AM823" s="179" t="str">
        <f t="array" ref="AM823">IF($F823&lt;&gt;"",XLOOKUP($F823,Productos!$A:$A,Productos!AF:AF,"Revisar"),"")</f>
        <v/>
      </c>
      <c r="AN823" s="179" t="str">
        <f t="array" ref="AN823">IF($F823&lt;&gt;"", XLOOKUP($F823,Productos!$A$2:$A1001,Productos!AG$2:AG1001,"")*$G823,"")</f>
        <v/>
      </c>
      <c r="AO823" s="179" t="str">
        <f t="array" ref="AO823">IF($F823&lt;&gt;"",XLOOKUP($F823,Productos!$A:$A,Productos!AH:AH,"Revisar"),"")</f>
        <v/>
      </c>
      <c r="AP823" s="179" t="str">
        <f t="array" ref="AP823">IF($F823&lt;&gt;"", XLOOKUP($F823,Productos!$A$2:$A1001,Productos!AI$2:AI1001,"")*$G823,"")</f>
        <v/>
      </c>
      <c r="AQ823" s="179" t="str">
        <f t="array" ref="AQ823">IF($F823&lt;&gt;"",XLOOKUP($F823,Productos!$A:$A,Productos!AJ:AJ,"Revisar"),"")</f>
        <v/>
      </c>
      <c r="AR823" s="179" t="str">
        <f t="array" ref="AR823">IF($F823&lt;&gt;"", XLOOKUP($F823,Productos!$A$2:$A1001,Productos!AK$2:AK1001,"")*$G823,"")</f>
        <v/>
      </c>
      <c r="AS823" s="179" t="str">
        <f t="array" ref="AS823">IF($F823&lt;&gt;"",XLOOKUP($F823,Productos!$A:$A,Productos!AL:AL,"Revisar"),"")</f>
        <v/>
      </c>
      <c r="AT823" s="179" t="str">
        <f t="array" ref="AT823">IF($F823&lt;&gt;"", XLOOKUP($F823,Productos!$A$2:$A1001,Productos!AM$2:AM1001,"")*$G823,"")</f>
        <v/>
      </c>
      <c r="AU823" s="179" t="str">
        <f t="array" ref="AU823">IF($F823&lt;&gt;"",XLOOKUP($F823,Productos!$A:$A,Productos!AN:AN,"Revisar"),"")</f>
        <v/>
      </c>
      <c r="AV823" s="179" t="str">
        <f t="array" ref="AV823">IF($F823&lt;&gt;"", XLOOKUP($F823,Productos!$A$2:$A1001,Productos!AO$2:AO1001,"")*$G823,"")</f>
        <v/>
      </c>
      <c r="AW823" s="179" t="str">
        <f t="array" ref="AW823">IF($F823&lt;&gt;"",XLOOKUP($F823,Productos!$A:$A,Productos!AP:AP,"Revisar"),"")</f>
        <v/>
      </c>
      <c r="AX823" s="179" t="str">
        <f t="array" ref="AX823">IF($F823&lt;&gt;"", XLOOKUP($F823,Productos!$A$2:$A1001,Productos!AQ$2:AQ1001,"")*$G823,"")</f>
        <v/>
      </c>
      <c r="AY823" s="179" t="str">
        <f t="array" ref="AY823">IF($F823&lt;&gt;"",XLOOKUP($F823,Productos!$A:$A,Productos!AR:AR,"Revisar"),"")</f>
        <v/>
      </c>
      <c r="AZ823" s="179" t="str">
        <f t="array" ref="AZ823">IF($F823&lt;&gt;"", XLOOKUP($F823,Productos!$A$2:$A1001,Productos!AS$2:AS1001,"")*$G823,"")</f>
        <v/>
      </c>
      <c r="BA823" s="179" t="str">
        <f t="array" ref="BA823">IF($F823&lt;&gt;"",XLOOKUP($F823,Productos!$A:$A,Productos!AT:AT,"Revisar"),"")</f>
        <v/>
      </c>
      <c r="BB823" s="179" t="str">
        <f t="array" ref="BB823">IF($F823&lt;&gt;"", XLOOKUP($F823,Productos!$A$2:$A1001,Productos!AU$2:AU1001,"")*$G823,"")</f>
        <v/>
      </c>
      <c r="BC823" s="179" t="str">
        <f t="array" ref="BC823">IF($F823&lt;&gt;"",XLOOKUP($F823,Productos!$A:$A,Productos!AV:AV,"Revisar"),"")</f>
        <v/>
      </c>
      <c r="BD823" s="179" t="str">
        <f t="array" ref="BD823">IF($F823&lt;&gt;"", XLOOKUP($F823,Productos!$A$2:$A1001,Productos!AW$2:AW1001,"")*$G823,"")</f>
        <v/>
      </c>
      <c r="BE823" s="179" t="str">
        <f t="array" ref="BE823">IF($F823&lt;&gt;"",XLOOKUP($F823,Productos!$A:$A,Productos!AX:AX,"Revisar"),"")</f>
        <v/>
      </c>
      <c r="BF823" s="179" t="str">
        <f t="array" ref="BF823">IF($F823&lt;&gt;"", XLOOKUP($F823,Productos!$A$2:$A1001,Productos!AY$2:AY1001,"")*$G823,"")</f>
        <v/>
      </c>
      <c r="BG823" s="179" t="str">
        <f t="array" ref="BG823">IF($F823&lt;&gt;"",XLOOKUP($F823,Productos!$A:$A,Productos!AZ:AZ,"Revisar"),"")</f>
        <v/>
      </c>
      <c r="BH823" s="179" t="str">
        <f t="array" ref="BH823">IF($F823&lt;&gt;"", XLOOKUP($F823,Productos!$A$2:$A1001,Productos!BA$2:BA1001,"")*$G823,"")</f>
        <v/>
      </c>
      <c r="BI823" s="179" t="str">
        <f t="array" ref="BI823">IF($F823&lt;&gt;"",XLOOKUP($F823,Productos!$A:$A,Productos!BB:BB,"Revisar"),"")</f>
        <v/>
      </c>
      <c r="BJ823" s="179" t="str">
        <f t="array" ref="BJ823">IF($F823&lt;&gt;"", XLOOKUP($F823,Productos!$A$2:$A1001,Productos!BC$2:BC1001,"")*$G823,"")</f>
        <v/>
      </c>
      <c r="BK823" s="179" t="str">
        <f t="array" ref="BK823">IF($F823&lt;&gt;"",XLOOKUP($F823,Productos!$A:$A,Productos!BD:BD,"Revisar"),"")</f>
        <v/>
      </c>
      <c r="BL823" s="179" t="str">
        <f t="array" ref="BL823">IF($F823&lt;&gt;"", XLOOKUP($F823,Productos!$A$2:$A1001,Productos!BE$2:BE1001,"")*$G823,"")</f>
        <v/>
      </c>
      <c r="BM823" s="179" t="str">
        <f t="array" ref="BM823">IF($F823&lt;&gt;"",XLOOKUP($F823,Productos!$A:$A,Productos!BF:BF,"Revisar"),"")</f>
        <v/>
      </c>
      <c r="BN823" s="179" t="str">
        <f t="array" ref="BN823">IF($F823&lt;&gt;"", XLOOKUP($F823,Productos!$A$2:$A1001,Productos!BG$2:BG1001,"")*$G823,"")</f>
        <v/>
      </c>
      <c r="BO823" s="179" t="str">
        <f t="array" ref="BO823">IF($F823&lt;&gt;"",XLOOKUP($F823,Productos!$A:$A,Productos!BH:BH,"Revisar"),"")</f>
        <v/>
      </c>
      <c r="BP823" s="179" t="str">
        <f t="array" ref="BP823">IF($F823&lt;&gt;"", XLOOKUP($F823,Productos!$A$2:$A1001,Productos!BI$2:BI1001,"")*$G823,"")</f>
        <v/>
      </c>
      <c r="BQ823" s="179" t="str">
        <f t="array" ref="BQ823">IF($F823&lt;&gt;"",XLOOKUP($F823,Productos!$A:$A,Productos!BJ:BJ,"Revisar"),"")</f>
        <v/>
      </c>
      <c r="BR823" s="179" t="str">
        <f t="array" ref="BR823">IF($F823&lt;&gt;"", XLOOKUP($F823,Productos!$A$2:$A1001,Productos!BK$2:BK1001,"")*$G823,"")</f>
        <v/>
      </c>
      <c r="BS823" s="179" t="str">
        <f t="array" ref="BS823">IF($F823&lt;&gt;"",XLOOKUP($F823,Productos!$A:$A,Productos!BL:BL,"Revisar"),"")</f>
        <v/>
      </c>
      <c r="BT823" s="179" t="str">
        <f t="array" ref="BT823">IF($F823&lt;&gt;"", XLOOKUP($F823,Productos!$A$2:$A1001,Productos!BM$2:BM1001,"")*$G823,"")</f>
        <v/>
      </c>
      <c r="BU823" s="179" t="str">
        <f t="array" ref="BU823">IF($F823&lt;&gt;"",XLOOKUP($F823,Productos!$A:$A,Productos!BN:BN,"Revisar"),"")</f>
        <v/>
      </c>
      <c r="BV823" s="179" t="str">
        <f t="array" ref="BV823">IF($F823&lt;&gt;"", XLOOKUP($F823,Productos!$A$2:$A1001,Productos!BO$2:BO1001,"")*$G823,"")</f>
        <v/>
      </c>
      <c r="BW823" s="179" t="str">
        <f t="array" ref="BW823">IF($F823&lt;&gt;"",XLOOKUP($F823,Productos!$A:$A,Productos!BP:BP,"Revisar"),"")</f>
        <v/>
      </c>
      <c r="BX823" s="179" t="str">
        <f t="array" ref="BX823">IF($F823&lt;&gt;"", XLOOKUP($F823,Productos!$A$2:$A1001,Productos!BQ$2:BQ1001,"")*$G823,"")</f>
        <v/>
      </c>
      <c r="BY823" s="179" t="str">
        <f t="array" ref="BY823">IF($F823&lt;&gt;"",XLOOKUP($F823,Productos!$A:$A,Productos!BR:BR,"Revisar"),"")</f>
        <v/>
      </c>
      <c r="BZ823" s="179" t="str">
        <f t="array" ref="BZ823">IF($F823&lt;&gt;"", XLOOKUP($F823,Productos!$A$2:$A1001,Productos!BS$2:BS1001,"")*$G823,"")</f>
        <v/>
      </c>
    </row>
    <row r="824">
      <c r="A824" s="188"/>
      <c r="B824" s="189"/>
      <c r="C824" s="190"/>
      <c r="D824" s="190"/>
      <c r="E824" s="191"/>
      <c r="F824" s="186"/>
      <c r="G824" s="192"/>
      <c r="H824" s="9"/>
      <c r="I824" s="179" t="str">
        <f t="array" ref="I824">IF($F824&lt;&gt;"",XLOOKUP($F824,Productos!$A:$A,Productos!B:B,"Revisar"),"")</f>
        <v/>
      </c>
      <c r="J824" s="179" t="str">
        <f t="array" ref="J824">IF($F824&lt;&gt;"", XLOOKUP($F824,Productos!$A$2:$A1001,Productos!C$2:C1001,"")*$G824,"")</f>
        <v/>
      </c>
      <c r="K824" s="179" t="str">
        <f t="array" ref="K824">IF($F824&lt;&gt;"",XLOOKUP($F824,Productos!$A:$A,Productos!D:D,"Revisar"),"")</f>
        <v/>
      </c>
      <c r="L824" s="179" t="str">
        <f t="array" ref="L824">IF($F824&lt;&gt;"", XLOOKUP($F824,Productos!$A$2:$A1001,Productos!E$2:E1001,"")*$G824,"")</f>
        <v/>
      </c>
      <c r="M824" s="179" t="str">
        <f t="array" ref="M824">IF($F824&lt;&gt;"",XLOOKUP($F824,Productos!$A:$A,Productos!F:F,"Revisar"),"")</f>
        <v/>
      </c>
      <c r="N824" s="179" t="str">
        <f t="array" ref="N824">IF($F824&lt;&gt;"", XLOOKUP($F824,Productos!$A$2:$A1001,Productos!G$2:G1001,"")*$G824,"")</f>
        <v/>
      </c>
      <c r="O824" s="179" t="str">
        <f t="array" ref="O824">IF($F824&lt;&gt;"",XLOOKUP($F824,Productos!$A:$A,Productos!H:H,"Revisar"),"")</f>
        <v/>
      </c>
      <c r="P824" s="179" t="str">
        <f t="array" ref="P824">IF($F824&lt;&gt;"", XLOOKUP($F824,Productos!$A$2:$A1001,Productos!I$2:I1001,"")*$G824,"")</f>
        <v/>
      </c>
      <c r="Q824" s="179" t="str">
        <f t="array" ref="Q824">IF($F824&lt;&gt;"",XLOOKUP($F824,Productos!$A:$A,Productos!J:J,"Revisar"),"")</f>
        <v/>
      </c>
      <c r="R824" s="179" t="str">
        <f t="array" ref="R824">IF($F824&lt;&gt;"", XLOOKUP($F824,Productos!$A$2:$A1001,Productos!K$2:K1001,"")*$G824,"")</f>
        <v/>
      </c>
      <c r="S824" s="179" t="str">
        <f t="array" ref="S824">IF($F824&lt;&gt;"",XLOOKUP($F824,Productos!$A:$A,Productos!L:L,"Revisar"),"")</f>
        <v/>
      </c>
      <c r="T824" s="179" t="str">
        <f t="array" ref="T824">IF($F824&lt;&gt;"", XLOOKUP($F824,Productos!$A$2:$A1001,Productos!M$2:M1001,"")*$G824,"")</f>
        <v/>
      </c>
      <c r="U824" s="179" t="str">
        <f t="array" ref="U824">IF($F824&lt;&gt;"",XLOOKUP($F824,Productos!$A:$A,Productos!N:N,"Revisar"),"")</f>
        <v/>
      </c>
      <c r="V824" s="179" t="str">
        <f t="array" ref="V824">IF($F824&lt;&gt;"", XLOOKUP($F824,Productos!$A$2:$A1001,Productos!O$2:O1001,"")*$G824,"")</f>
        <v/>
      </c>
      <c r="W824" s="179" t="str">
        <f t="array" ref="W824">IF($F824&lt;&gt;"",XLOOKUP($F824,Productos!$A:$A,Productos!P:P,"Revisar"),"")</f>
        <v/>
      </c>
      <c r="X824" s="179" t="str">
        <f t="array" ref="X824">IF($F824&lt;&gt;"", XLOOKUP($F824,Productos!$A$2:$A1001,Productos!Q$2:Q1001,"")*$G824,"")</f>
        <v/>
      </c>
      <c r="Y824" s="179" t="str">
        <f t="array" ref="Y824">IF($F824&lt;&gt;"",XLOOKUP($F824,Productos!$A:$A,Productos!R:R,"Revisar"),"")</f>
        <v/>
      </c>
      <c r="Z824" s="179" t="str">
        <f t="array" ref="Z824">IF($F824&lt;&gt;"", XLOOKUP($F824,Productos!$A$2:$A1001,Productos!S$2:S1001,"")*$G824,"")</f>
        <v/>
      </c>
      <c r="AA824" s="179" t="str">
        <f t="array" ref="AA824">IF($F824&lt;&gt;"",XLOOKUP($F824,Productos!$A:$A,Productos!T:T,"Revisar"),"")</f>
        <v/>
      </c>
      <c r="AB824" s="179" t="str">
        <f t="array" ref="AB824">IF($F824&lt;&gt;"", XLOOKUP($F824,Productos!$A$2:$A1001,Productos!U$2:U1001,"")*$G824,"")</f>
        <v/>
      </c>
      <c r="AC824" s="179" t="str">
        <f t="array" ref="AC824">IF($F824&lt;&gt;"",XLOOKUP($F824,Productos!$A:$A,Productos!V:V,"Revisar"),"")</f>
        <v/>
      </c>
      <c r="AD824" s="179" t="str">
        <f t="array" ref="AD824">IF($F824&lt;&gt;"", XLOOKUP($F824,Productos!$A$2:$A1001,Productos!W$2:W1001,"")*$G824,"")</f>
        <v/>
      </c>
      <c r="AE824" s="179" t="str">
        <f t="array" ref="AE824">IF($F824&lt;&gt;"",XLOOKUP($F824,Productos!$A:$A,Productos!X:X,"Revisar"),"")</f>
        <v/>
      </c>
      <c r="AF824" s="179" t="str">
        <f t="array" ref="AF824">IF($F824&lt;&gt;"", XLOOKUP($F824,Productos!$A$2:$A1001,Productos!Y$2:Y1001,"")*$G824,"")</f>
        <v/>
      </c>
      <c r="AG824" s="179" t="str">
        <f t="array" ref="AG824">IF($F824&lt;&gt;"",XLOOKUP($F824,Productos!$A:$A,Productos!Z:Z,"Revisar"),"")</f>
        <v/>
      </c>
      <c r="AH824" s="179" t="str">
        <f t="array" ref="AH824">IF($F824&lt;&gt;"", XLOOKUP($F824,Productos!$A$2:$A1001,Productos!AA$2:AA1001,"")*$G824,"")</f>
        <v/>
      </c>
      <c r="AI824" s="179" t="str">
        <f t="array" ref="AI824">IF($F824&lt;&gt;"",XLOOKUP($F824,Productos!$A:$A,Productos!AB:AB,"Revisar"),"")</f>
        <v/>
      </c>
      <c r="AJ824" s="179" t="str">
        <f t="array" ref="AJ824">IF($F824&lt;&gt;"", XLOOKUP($F824,Productos!$A$2:$A1001,Productos!AC$2:AC1001,"")*$G824,"")</f>
        <v/>
      </c>
      <c r="AK824" s="179" t="str">
        <f t="array" ref="AK824">IF($F824&lt;&gt;"",XLOOKUP($F824,Productos!$A:$A,Productos!AD:AD,"Revisar"),"")</f>
        <v/>
      </c>
      <c r="AL824" s="179" t="str">
        <f t="array" ref="AL824">IF($F824&lt;&gt;"", XLOOKUP($F824,Productos!$A$2:$A1001,Productos!AE$2:AE1001,"")*$G824,"")</f>
        <v/>
      </c>
      <c r="AM824" s="179" t="str">
        <f t="array" ref="AM824">IF($F824&lt;&gt;"",XLOOKUP($F824,Productos!$A:$A,Productos!AF:AF,"Revisar"),"")</f>
        <v/>
      </c>
      <c r="AN824" s="179" t="str">
        <f t="array" ref="AN824">IF($F824&lt;&gt;"", XLOOKUP($F824,Productos!$A$2:$A1001,Productos!AG$2:AG1001,"")*$G824,"")</f>
        <v/>
      </c>
      <c r="AO824" s="179" t="str">
        <f t="array" ref="AO824">IF($F824&lt;&gt;"",XLOOKUP($F824,Productos!$A:$A,Productos!AH:AH,"Revisar"),"")</f>
        <v/>
      </c>
      <c r="AP824" s="179" t="str">
        <f t="array" ref="AP824">IF($F824&lt;&gt;"", XLOOKUP($F824,Productos!$A$2:$A1001,Productos!AI$2:AI1001,"")*$G824,"")</f>
        <v/>
      </c>
      <c r="AQ824" s="179" t="str">
        <f t="array" ref="AQ824">IF($F824&lt;&gt;"",XLOOKUP($F824,Productos!$A:$A,Productos!AJ:AJ,"Revisar"),"")</f>
        <v/>
      </c>
      <c r="AR824" s="179" t="str">
        <f t="array" ref="AR824">IF($F824&lt;&gt;"", XLOOKUP($F824,Productos!$A$2:$A1001,Productos!AK$2:AK1001,"")*$G824,"")</f>
        <v/>
      </c>
      <c r="AS824" s="179" t="str">
        <f t="array" ref="AS824">IF($F824&lt;&gt;"",XLOOKUP($F824,Productos!$A:$A,Productos!AL:AL,"Revisar"),"")</f>
        <v/>
      </c>
      <c r="AT824" s="179" t="str">
        <f t="array" ref="AT824">IF($F824&lt;&gt;"", XLOOKUP($F824,Productos!$A$2:$A1001,Productos!AM$2:AM1001,"")*$G824,"")</f>
        <v/>
      </c>
      <c r="AU824" s="179" t="str">
        <f t="array" ref="AU824">IF($F824&lt;&gt;"",XLOOKUP($F824,Productos!$A:$A,Productos!AN:AN,"Revisar"),"")</f>
        <v/>
      </c>
      <c r="AV824" s="179" t="str">
        <f t="array" ref="AV824">IF($F824&lt;&gt;"", XLOOKUP($F824,Productos!$A$2:$A1001,Productos!AO$2:AO1001,"")*$G824,"")</f>
        <v/>
      </c>
      <c r="AW824" s="179" t="str">
        <f t="array" ref="AW824">IF($F824&lt;&gt;"",XLOOKUP($F824,Productos!$A:$A,Productos!AP:AP,"Revisar"),"")</f>
        <v/>
      </c>
      <c r="AX824" s="179" t="str">
        <f t="array" ref="AX824">IF($F824&lt;&gt;"", XLOOKUP($F824,Productos!$A$2:$A1001,Productos!AQ$2:AQ1001,"")*$G824,"")</f>
        <v/>
      </c>
      <c r="AY824" s="179" t="str">
        <f t="array" ref="AY824">IF($F824&lt;&gt;"",XLOOKUP($F824,Productos!$A:$A,Productos!AR:AR,"Revisar"),"")</f>
        <v/>
      </c>
      <c r="AZ824" s="179" t="str">
        <f t="array" ref="AZ824">IF($F824&lt;&gt;"", XLOOKUP($F824,Productos!$A$2:$A1001,Productos!AS$2:AS1001,"")*$G824,"")</f>
        <v/>
      </c>
      <c r="BA824" s="179" t="str">
        <f t="array" ref="BA824">IF($F824&lt;&gt;"",XLOOKUP($F824,Productos!$A:$A,Productos!AT:AT,"Revisar"),"")</f>
        <v/>
      </c>
      <c r="BB824" s="179" t="str">
        <f t="array" ref="BB824">IF($F824&lt;&gt;"", XLOOKUP($F824,Productos!$A$2:$A1001,Productos!AU$2:AU1001,"")*$G824,"")</f>
        <v/>
      </c>
      <c r="BC824" s="179" t="str">
        <f t="array" ref="BC824">IF($F824&lt;&gt;"",XLOOKUP($F824,Productos!$A:$A,Productos!AV:AV,"Revisar"),"")</f>
        <v/>
      </c>
      <c r="BD824" s="179" t="str">
        <f t="array" ref="BD824">IF($F824&lt;&gt;"", XLOOKUP($F824,Productos!$A$2:$A1001,Productos!AW$2:AW1001,"")*$G824,"")</f>
        <v/>
      </c>
      <c r="BE824" s="179" t="str">
        <f t="array" ref="BE824">IF($F824&lt;&gt;"",XLOOKUP($F824,Productos!$A:$A,Productos!AX:AX,"Revisar"),"")</f>
        <v/>
      </c>
      <c r="BF824" s="179" t="str">
        <f t="array" ref="BF824">IF($F824&lt;&gt;"", XLOOKUP($F824,Productos!$A$2:$A1001,Productos!AY$2:AY1001,"")*$G824,"")</f>
        <v/>
      </c>
      <c r="BG824" s="179" t="str">
        <f t="array" ref="BG824">IF($F824&lt;&gt;"",XLOOKUP($F824,Productos!$A:$A,Productos!AZ:AZ,"Revisar"),"")</f>
        <v/>
      </c>
      <c r="BH824" s="179" t="str">
        <f t="array" ref="BH824">IF($F824&lt;&gt;"", XLOOKUP($F824,Productos!$A$2:$A1001,Productos!BA$2:BA1001,"")*$G824,"")</f>
        <v/>
      </c>
      <c r="BI824" s="179" t="str">
        <f t="array" ref="BI824">IF($F824&lt;&gt;"",XLOOKUP($F824,Productos!$A:$A,Productos!BB:BB,"Revisar"),"")</f>
        <v/>
      </c>
      <c r="BJ824" s="179" t="str">
        <f t="array" ref="BJ824">IF($F824&lt;&gt;"", XLOOKUP($F824,Productos!$A$2:$A1001,Productos!BC$2:BC1001,"")*$G824,"")</f>
        <v/>
      </c>
      <c r="BK824" s="179" t="str">
        <f t="array" ref="BK824">IF($F824&lt;&gt;"",XLOOKUP($F824,Productos!$A:$A,Productos!BD:BD,"Revisar"),"")</f>
        <v/>
      </c>
      <c r="BL824" s="179" t="str">
        <f t="array" ref="BL824">IF($F824&lt;&gt;"", XLOOKUP($F824,Productos!$A$2:$A1001,Productos!BE$2:BE1001,"")*$G824,"")</f>
        <v/>
      </c>
      <c r="BM824" s="179" t="str">
        <f t="array" ref="BM824">IF($F824&lt;&gt;"",XLOOKUP($F824,Productos!$A:$A,Productos!BF:BF,"Revisar"),"")</f>
        <v/>
      </c>
      <c r="BN824" s="179" t="str">
        <f t="array" ref="BN824">IF($F824&lt;&gt;"", XLOOKUP($F824,Productos!$A$2:$A1001,Productos!BG$2:BG1001,"")*$G824,"")</f>
        <v/>
      </c>
      <c r="BO824" s="179" t="str">
        <f t="array" ref="BO824">IF($F824&lt;&gt;"",XLOOKUP($F824,Productos!$A:$A,Productos!BH:BH,"Revisar"),"")</f>
        <v/>
      </c>
      <c r="BP824" s="179" t="str">
        <f t="array" ref="BP824">IF($F824&lt;&gt;"", XLOOKUP($F824,Productos!$A$2:$A1001,Productos!BI$2:BI1001,"")*$G824,"")</f>
        <v/>
      </c>
      <c r="BQ824" s="179" t="str">
        <f t="array" ref="BQ824">IF($F824&lt;&gt;"",XLOOKUP($F824,Productos!$A:$A,Productos!BJ:BJ,"Revisar"),"")</f>
        <v/>
      </c>
      <c r="BR824" s="179" t="str">
        <f t="array" ref="BR824">IF($F824&lt;&gt;"", XLOOKUP($F824,Productos!$A$2:$A1001,Productos!BK$2:BK1001,"")*$G824,"")</f>
        <v/>
      </c>
      <c r="BS824" s="179" t="str">
        <f t="array" ref="BS824">IF($F824&lt;&gt;"",XLOOKUP($F824,Productos!$A:$A,Productos!BL:BL,"Revisar"),"")</f>
        <v/>
      </c>
      <c r="BT824" s="179" t="str">
        <f t="array" ref="BT824">IF($F824&lt;&gt;"", XLOOKUP($F824,Productos!$A$2:$A1001,Productos!BM$2:BM1001,"")*$G824,"")</f>
        <v/>
      </c>
      <c r="BU824" s="179" t="str">
        <f t="array" ref="BU824">IF($F824&lt;&gt;"",XLOOKUP($F824,Productos!$A:$A,Productos!BN:BN,"Revisar"),"")</f>
        <v/>
      </c>
      <c r="BV824" s="179" t="str">
        <f t="array" ref="BV824">IF($F824&lt;&gt;"", XLOOKUP($F824,Productos!$A$2:$A1001,Productos!BO$2:BO1001,"")*$G824,"")</f>
        <v/>
      </c>
      <c r="BW824" s="179" t="str">
        <f t="array" ref="BW824">IF($F824&lt;&gt;"",XLOOKUP($F824,Productos!$A:$A,Productos!BP:BP,"Revisar"),"")</f>
        <v/>
      </c>
      <c r="BX824" s="179" t="str">
        <f t="array" ref="BX824">IF($F824&lt;&gt;"", XLOOKUP($F824,Productos!$A$2:$A1001,Productos!BQ$2:BQ1001,"")*$G824,"")</f>
        <v/>
      </c>
      <c r="BY824" s="179" t="str">
        <f t="array" ref="BY824">IF($F824&lt;&gt;"",XLOOKUP($F824,Productos!$A:$A,Productos!BR:BR,"Revisar"),"")</f>
        <v/>
      </c>
      <c r="BZ824" s="179" t="str">
        <f t="array" ref="BZ824">IF($F824&lt;&gt;"", XLOOKUP($F824,Productos!$A$2:$A1001,Productos!BS$2:BS1001,"")*$G824,"")</f>
        <v/>
      </c>
    </row>
    <row r="825">
      <c r="A825" s="188"/>
      <c r="B825" s="189"/>
      <c r="C825" s="190"/>
      <c r="D825" s="190"/>
      <c r="E825" s="191"/>
      <c r="F825" s="186"/>
      <c r="G825" s="192"/>
      <c r="H825" s="9"/>
      <c r="I825" s="179" t="str">
        <f t="array" ref="I825">IF($F825&lt;&gt;"",XLOOKUP($F825,Productos!$A:$A,Productos!B:B,"Revisar"),"")</f>
        <v/>
      </c>
      <c r="J825" s="179" t="str">
        <f t="array" ref="J825">IF($F825&lt;&gt;"", XLOOKUP($F825,Productos!$A$2:$A1001,Productos!C$2:C1001,"")*$G825,"")</f>
        <v/>
      </c>
      <c r="K825" s="179" t="str">
        <f t="array" ref="K825">IF($F825&lt;&gt;"",XLOOKUP($F825,Productos!$A:$A,Productos!D:D,"Revisar"),"")</f>
        <v/>
      </c>
      <c r="L825" s="179" t="str">
        <f t="array" ref="L825">IF($F825&lt;&gt;"", XLOOKUP($F825,Productos!$A$2:$A1001,Productos!E$2:E1001,"")*$G825,"")</f>
        <v/>
      </c>
      <c r="M825" s="179" t="str">
        <f t="array" ref="M825">IF($F825&lt;&gt;"",XLOOKUP($F825,Productos!$A:$A,Productos!F:F,"Revisar"),"")</f>
        <v/>
      </c>
      <c r="N825" s="179" t="str">
        <f t="array" ref="N825">IF($F825&lt;&gt;"", XLOOKUP($F825,Productos!$A$2:$A1001,Productos!G$2:G1001,"")*$G825,"")</f>
        <v/>
      </c>
      <c r="O825" s="179" t="str">
        <f t="array" ref="O825">IF($F825&lt;&gt;"",XLOOKUP($F825,Productos!$A:$A,Productos!H:H,"Revisar"),"")</f>
        <v/>
      </c>
      <c r="P825" s="179" t="str">
        <f t="array" ref="P825">IF($F825&lt;&gt;"", XLOOKUP($F825,Productos!$A$2:$A1001,Productos!I$2:I1001,"")*$G825,"")</f>
        <v/>
      </c>
      <c r="Q825" s="179" t="str">
        <f t="array" ref="Q825">IF($F825&lt;&gt;"",XLOOKUP($F825,Productos!$A:$A,Productos!J:J,"Revisar"),"")</f>
        <v/>
      </c>
      <c r="R825" s="179" t="str">
        <f t="array" ref="R825">IF($F825&lt;&gt;"", XLOOKUP($F825,Productos!$A$2:$A1001,Productos!K$2:K1001,"")*$G825,"")</f>
        <v/>
      </c>
      <c r="S825" s="179" t="str">
        <f t="array" ref="S825">IF($F825&lt;&gt;"",XLOOKUP($F825,Productos!$A:$A,Productos!L:L,"Revisar"),"")</f>
        <v/>
      </c>
      <c r="T825" s="179" t="str">
        <f t="array" ref="T825">IF($F825&lt;&gt;"", XLOOKUP($F825,Productos!$A$2:$A1001,Productos!M$2:M1001,"")*$G825,"")</f>
        <v/>
      </c>
      <c r="U825" s="179" t="str">
        <f t="array" ref="U825">IF($F825&lt;&gt;"",XLOOKUP($F825,Productos!$A:$A,Productos!N:N,"Revisar"),"")</f>
        <v/>
      </c>
      <c r="V825" s="179" t="str">
        <f t="array" ref="V825">IF($F825&lt;&gt;"", XLOOKUP($F825,Productos!$A$2:$A1001,Productos!O$2:O1001,"")*$G825,"")</f>
        <v/>
      </c>
      <c r="W825" s="179" t="str">
        <f t="array" ref="W825">IF($F825&lt;&gt;"",XLOOKUP($F825,Productos!$A:$A,Productos!P:P,"Revisar"),"")</f>
        <v/>
      </c>
      <c r="X825" s="179" t="str">
        <f t="array" ref="X825">IF($F825&lt;&gt;"", XLOOKUP($F825,Productos!$A$2:$A1001,Productos!Q$2:Q1001,"")*$G825,"")</f>
        <v/>
      </c>
      <c r="Y825" s="179" t="str">
        <f t="array" ref="Y825">IF($F825&lt;&gt;"",XLOOKUP($F825,Productos!$A:$A,Productos!R:R,"Revisar"),"")</f>
        <v/>
      </c>
      <c r="Z825" s="179" t="str">
        <f t="array" ref="Z825">IF($F825&lt;&gt;"", XLOOKUP($F825,Productos!$A$2:$A1001,Productos!S$2:S1001,"")*$G825,"")</f>
        <v/>
      </c>
      <c r="AA825" s="179" t="str">
        <f t="array" ref="AA825">IF($F825&lt;&gt;"",XLOOKUP($F825,Productos!$A:$A,Productos!T:T,"Revisar"),"")</f>
        <v/>
      </c>
      <c r="AB825" s="179" t="str">
        <f t="array" ref="AB825">IF($F825&lt;&gt;"", XLOOKUP($F825,Productos!$A$2:$A1001,Productos!U$2:U1001,"")*$G825,"")</f>
        <v/>
      </c>
      <c r="AC825" s="179" t="str">
        <f t="array" ref="AC825">IF($F825&lt;&gt;"",XLOOKUP($F825,Productos!$A:$A,Productos!V:V,"Revisar"),"")</f>
        <v/>
      </c>
      <c r="AD825" s="179" t="str">
        <f t="array" ref="AD825">IF($F825&lt;&gt;"", XLOOKUP($F825,Productos!$A$2:$A1001,Productos!W$2:W1001,"")*$G825,"")</f>
        <v/>
      </c>
      <c r="AE825" s="179" t="str">
        <f t="array" ref="AE825">IF($F825&lt;&gt;"",XLOOKUP($F825,Productos!$A:$A,Productos!X:X,"Revisar"),"")</f>
        <v/>
      </c>
      <c r="AF825" s="179" t="str">
        <f t="array" ref="AF825">IF($F825&lt;&gt;"", XLOOKUP($F825,Productos!$A$2:$A1001,Productos!Y$2:Y1001,"")*$G825,"")</f>
        <v/>
      </c>
      <c r="AG825" s="179" t="str">
        <f t="array" ref="AG825">IF($F825&lt;&gt;"",XLOOKUP($F825,Productos!$A:$A,Productos!Z:Z,"Revisar"),"")</f>
        <v/>
      </c>
      <c r="AH825" s="179" t="str">
        <f t="array" ref="AH825">IF($F825&lt;&gt;"", XLOOKUP($F825,Productos!$A$2:$A1001,Productos!AA$2:AA1001,"")*$G825,"")</f>
        <v/>
      </c>
      <c r="AI825" s="179" t="str">
        <f t="array" ref="AI825">IF($F825&lt;&gt;"",XLOOKUP($F825,Productos!$A:$A,Productos!AB:AB,"Revisar"),"")</f>
        <v/>
      </c>
      <c r="AJ825" s="179" t="str">
        <f t="array" ref="AJ825">IF($F825&lt;&gt;"", XLOOKUP($F825,Productos!$A$2:$A1001,Productos!AC$2:AC1001,"")*$G825,"")</f>
        <v/>
      </c>
      <c r="AK825" s="179" t="str">
        <f t="array" ref="AK825">IF($F825&lt;&gt;"",XLOOKUP($F825,Productos!$A:$A,Productos!AD:AD,"Revisar"),"")</f>
        <v/>
      </c>
      <c r="AL825" s="179" t="str">
        <f t="array" ref="AL825">IF($F825&lt;&gt;"", XLOOKUP($F825,Productos!$A$2:$A1001,Productos!AE$2:AE1001,"")*$G825,"")</f>
        <v/>
      </c>
      <c r="AM825" s="179" t="str">
        <f t="array" ref="AM825">IF($F825&lt;&gt;"",XLOOKUP($F825,Productos!$A:$A,Productos!AF:AF,"Revisar"),"")</f>
        <v/>
      </c>
      <c r="AN825" s="179" t="str">
        <f t="array" ref="AN825">IF($F825&lt;&gt;"", XLOOKUP($F825,Productos!$A$2:$A1001,Productos!AG$2:AG1001,"")*$G825,"")</f>
        <v/>
      </c>
      <c r="AO825" s="179" t="str">
        <f t="array" ref="AO825">IF($F825&lt;&gt;"",XLOOKUP($F825,Productos!$A:$A,Productos!AH:AH,"Revisar"),"")</f>
        <v/>
      </c>
      <c r="AP825" s="179" t="str">
        <f t="array" ref="AP825">IF($F825&lt;&gt;"", XLOOKUP($F825,Productos!$A$2:$A1001,Productos!AI$2:AI1001,"")*$G825,"")</f>
        <v/>
      </c>
      <c r="AQ825" s="179" t="str">
        <f t="array" ref="AQ825">IF($F825&lt;&gt;"",XLOOKUP($F825,Productos!$A:$A,Productos!AJ:AJ,"Revisar"),"")</f>
        <v/>
      </c>
      <c r="AR825" s="179" t="str">
        <f t="array" ref="AR825">IF($F825&lt;&gt;"", XLOOKUP($F825,Productos!$A$2:$A1001,Productos!AK$2:AK1001,"")*$G825,"")</f>
        <v/>
      </c>
      <c r="AS825" s="179" t="str">
        <f t="array" ref="AS825">IF($F825&lt;&gt;"",XLOOKUP($F825,Productos!$A:$A,Productos!AL:AL,"Revisar"),"")</f>
        <v/>
      </c>
      <c r="AT825" s="179" t="str">
        <f t="array" ref="AT825">IF($F825&lt;&gt;"", XLOOKUP($F825,Productos!$A$2:$A1001,Productos!AM$2:AM1001,"")*$G825,"")</f>
        <v/>
      </c>
      <c r="AU825" s="179" t="str">
        <f t="array" ref="AU825">IF($F825&lt;&gt;"",XLOOKUP($F825,Productos!$A:$A,Productos!AN:AN,"Revisar"),"")</f>
        <v/>
      </c>
      <c r="AV825" s="179" t="str">
        <f t="array" ref="AV825">IF($F825&lt;&gt;"", XLOOKUP($F825,Productos!$A$2:$A1001,Productos!AO$2:AO1001,"")*$G825,"")</f>
        <v/>
      </c>
      <c r="AW825" s="179" t="str">
        <f t="array" ref="AW825">IF($F825&lt;&gt;"",XLOOKUP($F825,Productos!$A:$A,Productos!AP:AP,"Revisar"),"")</f>
        <v/>
      </c>
      <c r="AX825" s="179" t="str">
        <f t="array" ref="AX825">IF($F825&lt;&gt;"", XLOOKUP($F825,Productos!$A$2:$A1001,Productos!AQ$2:AQ1001,"")*$G825,"")</f>
        <v/>
      </c>
      <c r="AY825" s="179" t="str">
        <f t="array" ref="AY825">IF($F825&lt;&gt;"",XLOOKUP($F825,Productos!$A:$A,Productos!AR:AR,"Revisar"),"")</f>
        <v/>
      </c>
      <c r="AZ825" s="179" t="str">
        <f t="array" ref="AZ825">IF($F825&lt;&gt;"", XLOOKUP($F825,Productos!$A$2:$A1001,Productos!AS$2:AS1001,"")*$G825,"")</f>
        <v/>
      </c>
      <c r="BA825" s="179" t="str">
        <f t="array" ref="BA825">IF($F825&lt;&gt;"",XLOOKUP($F825,Productos!$A:$A,Productos!AT:AT,"Revisar"),"")</f>
        <v/>
      </c>
      <c r="BB825" s="179" t="str">
        <f t="array" ref="BB825">IF($F825&lt;&gt;"", XLOOKUP($F825,Productos!$A$2:$A1001,Productos!AU$2:AU1001,"")*$G825,"")</f>
        <v/>
      </c>
      <c r="BC825" s="179" t="str">
        <f t="array" ref="BC825">IF($F825&lt;&gt;"",XLOOKUP($F825,Productos!$A:$A,Productos!AV:AV,"Revisar"),"")</f>
        <v/>
      </c>
      <c r="BD825" s="179" t="str">
        <f t="array" ref="BD825">IF($F825&lt;&gt;"", XLOOKUP($F825,Productos!$A$2:$A1001,Productos!AW$2:AW1001,"")*$G825,"")</f>
        <v/>
      </c>
      <c r="BE825" s="179" t="str">
        <f t="array" ref="BE825">IF($F825&lt;&gt;"",XLOOKUP($F825,Productos!$A:$A,Productos!AX:AX,"Revisar"),"")</f>
        <v/>
      </c>
      <c r="BF825" s="179" t="str">
        <f t="array" ref="BF825">IF($F825&lt;&gt;"", XLOOKUP($F825,Productos!$A$2:$A1001,Productos!AY$2:AY1001,"")*$G825,"")</f>
        <v/>
      </c>
      <c r="BG825" s="179" t="str">
        <f t="array" ref="BG825">IF($F825&lt;&gt;"",XLOOKUP($F825,Productos!$A:$A,Productos!AZ:AZ,"Revisar"),"")</f>
        <v/>
      </c>
      <c r="BH825" s="179" t="str">
        <f t="array" ref="BH825">IF($F825&lt;&gt;"", XLOOKUP($F825,Productos!$A$2:$A1001,Productos!BA$2:BA1001,"")*$G825,"")</f>
        <v/>
      </c>
      <c r="BI825" s="179" t="str">
        <f t="array" ref="BI825">IF($F825&lt;&gt;"",XLOOKUP($F825,Productos!$A:$A,Productos!BB:BB,"Revisar"),"")</f>
        <v/>
      </c>
      <c r="BJ825" s="179" t="str">
        <f t="array" ref="BJ825">IF($F825&lt;&gt;"", XLOOKUP($F825,Productos!$A$2:$A1001,Productos!BC$2:BC1001,"")*$G825,"")</f>
        <v/>
      </c>
      <c r="BK825" s="179" t="str">
        <f t="array" ref="BK825">IF($F825&lt;&gt;"",XLOOKUP($F825,Productos!$A:$A,Productos!BD:BD,"Revisar"),"")</f>
        <v/>
      </c>
      <c r="BL825" s="179" t="str">
        <f t="array" ref="BL825">IF($F825&lt;&gt;"", XLOOKUP($F825,Productos!$A$2:$A1001,Productos!BE$2:BE1001,"")*$G825,"")</f>
        <v/>
      </c>
      <c r="BM825" s="179" t="str">
        <f t="array" ref="BM825">IF($F825&lt;&gt;"",XLOOKUP($F825,Productos!$A:$A,Productos!BF:BF,"Revisar"),"")</f>
        <v/>
      </c>
      <c r="BN825" s="179" t="str">
        <f t="array" ref="BN825">IF($F825&lt;&gt;"", XLOOKUP($F825,Productos!$A$2:$A1001,Productos!BG$2:BG1001,"")*$G825,"")</f>
        <v/>
      </c>
      <c r="BO825" s="179" t="str">
        <f t="array" ref="BO825">IF($F825&lt;&gt;"",XLOOKUP($F825,Productos!$A:$A,Productos!BH:BH,"Revisar"),"")</f>
        <v/>
      </c>
      <c r="BP825" s="179" t="str">
        <f t="array" ref="BP825">IF($F825&lt;&gt;"", XLOOKUP($F825,Productos!$A$2:$A1001,Productos!BI$2:BI1001,"")*$G825,"")</f>
        <v/>
      </c>
      <c r="BQ825" s="179" t="str">
        <f t="array" ref="BQ825">IF($F825&lt;&gt;"",XLOOKUP($F825,Productos!$A:$A,Productos!BJ:BJ,"Revisar"),"")</f>
        <v/>
      </c>
      <c r="BR825" s="179" t="str">
        <f t="array" ref="BR825">IF($F825&lt;&gt;"", XLOOKUP($F825,Productos!$A$2:$A1001,Productos!BK$2:BK1001,"")*$G825,"")</f>
        <v/>
      </c>
      <c r="BS825" s="179" t="str">
        <f t="array" ref="BS825">IF($F825&lt;&gt;"",XLOOKUP($F825,Productos!$A:$A,Productos!BL:BL,"Revisar"),"")</f>
        <v/>
      </c>
      <c r="BT825" s="179" t="str">
        <f t="array" ref="BT825">IF($F825&lt;&gt;"", XLOOKUP($F825,Productos!$A$2:$A1001,Productos!BM$2:BM1001,"")*$G825,"")</f>
        <v/>
      </c>
      <c r="BU825" s="179" t="str">
        <f t="array" ref="BU825">IF($F825&lt;&gt;"",XLOOKUP($F825,Productos!$A:$A,Productos!BN:BN,"Revisar"),"")</f>
        <v/>
      </c>
      <c r="BV825" s="179" t="str">
        <f t="array" ref="BV825">IF($F825&lt;&gt;"", XLOOKUP($F825,Productos!$A$2:$A1001,Productos!BO$2:BO1001,"")*$G825,"")</f>
        <v/>
      </c>
      <c r="BW825" s="179" t="str">
        <f t="array" ref="BW825">IF($F825&lt;&gt;"",XLOOKUP($F825,Productos!$A:$A,Productos!BP:BP,"Revisar"),"")</f>
        <v/>
      </c>
      <c r="BX825" s="179" t="str">
        <f t="array" ref="BX825">IF($F825&lt;&gt;"", XLOOKUP($F825,Productos!$A$2:$A1001,Productos!BQ$2:BQ1001,"")*$G825,"")</f>
        <v/>
      </c>
      <c r="BY825" s="179" t="str">
        <f t="array" ref="BY825">IF($F825&lt;&gt;"",XLOOKUP($F825,Productos!$A:$A,Productos!BR:BR,"Revisar"),"")</f>
        <v/>
      </c>
      <c r="BZ825" s="179" t="str">
        <f t="array" ref="BZ825">IF($F825&lt;&gt;"", XLOOKUP($F825,Productos!$A$2:$A1001,Productos!BS$2:BS1001,"")*$G825,"")</f>
        <v/>
      </c>
    </row>
    <row r="826">
      <c r="A826" s="188"/>
      <c r="B826" s="189"/>
      <c r="C826" s="190"/>
      <c r="D826" s="190"/>
      <c r="E826" s="191"/>
      <c r="F826" s="186"/>
      <c r="G826" s="192"/>
      <c r="H826" s="9"/>
      <c r="I826" s="179" t="str">
        <f t="array" ref="I826">IF($F826&lt;&gt;"",XLOOKUP($F826,Productos!$A:$A,Productos!B:B,"Revisar"),"")</f>
        <v/>
      </c>
      <c r="J826" s="179" t="str">
        <f t="array" ref="J826">IF($F826&lt;&gt;"", XLOOKUP($F826,Productos!$A$2:$A1001,Productos!C$2:C1001,"")*$G826,"")</f>
        <v/>
      </c>
      <c r="K826" s="179" t="str">
        <f t="array" ref="K826">IF($F826&lt;&gt;"",XLOOKUP($F826,Productos!$A:$A,Productos!D:D,"Revisar"),"")</f>
        <v/>
      </c>
      <c r="L826" s="179" t="str">
        <f t="array" ref="L826">IF($F826&lt;&gt;"", XLOOKUP($F826,Productos!$A$2:$A1001,Productos!E$2:E1001,"")*$G826,"")</f>
        <v/>
      </c>
      <c r="M826" s="179" t="str">
        <f t="array" ref="M826">IF($F826&lt;&gt;"",XLOOKUP($F826,Productos!$A:$A,Productos!F:F,"Revisar"),"")</f>
        <v/>
      </c>
      <c r="N826" s="179" t="str">
        <f t="array" ref="N826">IF($F826&lt;&gt;"", XLOOKUP($F826,Productos!$A$2:$A1001,Productos!G$2:G1001,"")*$G826,"")</f>
        <v/>
      </c>
      <c r="O826" s="179" t="str">
        <f t="array" ref="O826">IF($F826&lt;&gt;"",XLOOKUP($F826,Productos!$A:$A,Productos!H:H,"Revisar"),"")</f>
        <v/>
      </c>
      <c r="P826" s="179" t="str">
        <f t="array" ref="P826">IF($F826&lt;&gt;"", XLOOKUP($F826,Productos!$A$2:$A1001,Productos!I$2:I1001,"")*$G826,"")</f>
        <v/>
      </c>
      <c r="Q826" s="179" t="str">
        <f t="array" ref="Q826">IF($F826&lt;&gt;"",XLOOKUP($F826,Productos!$A:$A,Productos!J:J,"Revisar"),"")</f>
        <v/>
      </c>
      <c r="R826" s="179" t="str">
        <f t="array" ref="R826">IF($F826&lt;&gt;"", XLOOKUP($F826,Productos!$A$2:$A1001,Productos!K$2:K1001,"")*$G826,"")</f>
        <v/>
      </c>
      <c r="S826" s="179" t="str">
        <f t="array" ref="S826">IF($F826&lt;&gt;"",XLOOKUP($F826,Productos!$A:$A,Productos!L:L,"Revisar"),"")</f>
        <v/>
      </c>
      <c r="T826" s="179" t="str">
        <f t="array" ref="T826">IF($F826&lt;&gt;"", XLOOKUP($F826,Productos!$A$2:$A1001,Productos!M$2:M1001,"")*$G826,"")</f>
        <v/>
      </c>
      <c r="U826" s="179" t="str">
        <f t="array" ref="U826">IF($F826&lt;&gt;"",XLOOKUP($F826,Productos!$A:$A,Productos!N:N,"Revisar"),"")</f>
        <v/>
      </c>
      <c r="V826" s="179" t="str">
        <f t="array" ref="V826">IF($F826&lt;&gt;"", XLOOKUP($F826,Productos!$A$2:$A1001,Productos!O$2:O1001,"")*$G826,"")</f>
        <v/>
      </c>
      <c r="W826" s="179" t="str">
        <f t="array" ref="W826">IF($F826&lt;&gt;"",XLOOKUP($F826,Productos!$A:$A,Productos!P:P,"Revisar"),"")</f>
        <v/>
      </c>
      <c r="X826" s="179" t="str">
        <f t="array" ref="X826">IF($F826&lt;&gt;"", XLOOKUP($F826,Productos!$A$2:$A1001,Productos!Q$2:Q1001,"")*$G826,"")</f>
        <v/>
      </c>
      <c r="Y826" s="179" t="str">
        <f t="array" ref="Y826">IF($F826&lt;&gt;"",XLOOKUP($F826,Productos!$A:$A,Productos!R:R,"Revisar"),"")</f>
        <v/>
      </c>
      <c r="Z826" s="179" t="str">
        <f t="array" ref="Z826">IF($F826&lt;&gt;"", XLOOKUP($F826,Productos!$A$2:$A1001,Productos!S$2:S1001,"")*$G826,"")</f>
        <v/>
      </c>
      <c r="AA826" s="179" t="str">
        <f t="array" ref="AA826">IF($F826&lt;&gt;"",XLOOKUP($F826,Productos!$A:$A,Productos!T:T,"Revisar"),"")</f>
        <v/>
      </c>
      <c r="AB826" s="179" t="str">
        <f t="array" ref="AB826">IF($F826&lt;&gt;"", XLOOKUP($F826,Productos!$A$2:$A1001,Productos!U$2:U1001,"")*$G826,"")</f>
        <v/>
      </c>
      <c r="AC826" s="179" t="str">
        <f t="array" ref="AC826">IF($F826&lt;&gt;"",XLOOKUP($F826,Productos!$A:$A,Productos!V:V,"Revisar"),"")</f>
        <v/>
      </c>
      <c r="AD826" s="179" t="str">
        <f t="array" ref="AD826">IF($F826&lt;&gt;"", XLOOKUP($F826,Productos!$A$2:$A1001,Productos!W$2:W1001,"")*$G826,"")</f>
        <v/>
      </c>
      <c r="AE826" s="179" t="str">
        <f t="array" ref="AE826">IF($F826&lt;&gt;"",XLOOKUP($F826,Productos!$A:$A,Productos!X:X,"Revisar"),"")</f>
        <v/>
      </c>
      <c r="AF826" s="179" t="str">
        <f t="array" ref="AF826">IF($F826&lt;&gt;"", XLOOKUP($F826,Productos!$A$2:$A1001,Productos!Y$2:Y1001,"")*$G826,"")</f>
        <v/>
      </c>
      <c r="AG826" s="179" t="str">
        <f t="array" ref="AG826">IF($F826&lt;&gt;"",XLOOKUP($F826,Productos!$A:$A,Productos!Z:Z,"Revisar"),"")</f>
        <v/>
      </c>
      <c r="AH826" s="179" t="str">
        <f t="array" ref="AH826">IF($F826&lt;&gt;"", XLOOKUP($F826,Productos!$A$2:$A1001,Productos!AA$2:AA1001,"")*$G826,"")</f>
        <v/>
      </c>
      <c r="AI826" s="179" t="str">
        <f t="array" ref="AI826">IF($F826&lt;&gt;"",XLOOKUP($F826,Productos!$A:$A,Productos!AB:AB,"Revisar"),"")</f>
        <v/>
      </c>
      <c r="AJ826" s="179" t="str">
        <f t="array" ref="AJ826">IF($F826&lt;&gt;"", XLOOKUP($F826,Productos!$A$2:$A1001,Productos!AC$2:AC1001,"")*$G826,"")</f>
        <v/>
      </c>
      <c r="AK826" s="179" t="str">
        <f t="array" ref="AK826">IF($F826&lt;&gt;"",XLOOKUP($F826,Productos!$A:$A,Productos!AD:AD,"Revisar"),"")</f>
        <v/>
      </c>
      <c r="AL826" s="179" t="str">
        <f t="array" ref="AL826">IF($F826&lt;&gt;"", XLOOKUP($F826,Productos!$A$2:$A1001,Productos!AE$2:AE1001,"")*$G826,"")</f>
        <v/>
      </c>
      <c r="AM826" s="179" t="str">
        <f t="array" ref="AM826">IF($F826&lt;&gt;"",XLOOKUP($F826,Productos!$A:$A,Productos!AF:AF,"Revisar"),"")</f>
        <v/>
      </c>
      <c r="AN826" s="179" t="str">
        <f t="array" ref="AN826">IF($F826&lt;&gt;"", XLOOKUP($F826,Productos!$A$2:$A1001,Productos!AG$2:AG1001,"")*$G826,"")</f>
        <v/>
      </c>
      <c r="AO826" s="179" t="str">
        <f t="array" ref="AO826">IF($F826&lt;&gt;"",XLOOKUP($F826,Productos!$A:$A,Productos!AH:AH,"Revisar"),"")</f>
        <v/>
      </c>
      <c r="AP826" s="179" t="str">
        <f t="array" ref="AP826">IF($F826&lt;&gt;"", XLOOKUP($F826,Productos!$A$2:$A1001,Productos!AI$2:AI1001,"")*$G826,"")</f>
        <v/>
      </c>
      <c r="AQ826" s="179" t="str">
        <f t="array" ref="AQ826">IF($F826&lt;&gt;"",XLOOKUP($F826,Productos!$A:$A,Productos!AJ:AJ,"Revisar"),"")</f>
        <v/>
      </c>
      <c r="AR826" s="179" t="str">
        <f t="array" ref="AR826">IF($F826&lt;&gt;"", XLOOKUP($F826,Productos!$A$2:$A1001,Productos!AK$2:AK1001,"")*$G826,"")</f>
        <v/>
      </c>
      <c r="AS826" s="179" t="str">
        <f t="array" ref="AS826">IF($F826&lt;&gt;"",XLOOKUP($F826,Productos!$A:$A,Productos!AL:AL,"Revisar"),"")</f>
        <v/>
      </c>
      <c r="AT826" s="179" t="str">
        <f t="array" ref="AT826">IF($F826&lt;&gt;"", XLOOKUP($F826,Productos!$A$2:$A1001,Productos!AM$2:AM1001,"")*$G826,"")</f>
        <v/>
      </c>
      <c r="AU826" s="179" t="str">
        <f t="array" ref="AU826">IF($F826&lt;&gt;"",XLOOKUP($F826,Productos!$A:$A,Productos!AN:AN,"Revisar"),"")</f>
        <v/>
      </c>
      <c r="AV826" s="179" t="str">
        <f t="array" ref="AV826">IF($F826&lt;&gt;"", XLOOKUP($F826,Productos!$A$2:$A1001,Productos!AO$2:AO1001,"")*$G826,"")</f>
        <v/>
      </c>
      <c r="AW826" s="179" t="str">
        <f t="array" ref="AW826">IF($F826&lt;&gt;"",XLOOKUP($F826,Productos!$A:$A,Productos!AP:AP,"Revisar"),"")</f>
        <v/>
      </c>
      <c r="AX826" s="179" t="str">
        <f t="array" ref="AX826">IF($F826&lt;&gt;"", XLOOKUP($F826,Productos!$A$2:$A1001,Productos!AQ$2:AQ1001,"")*$G826,"")</f>
        <v/>
      </c>
      <c r="AY826" s="179" t="str">
        <f t="array" ref="AY826">IF($F826&lt;&gt;"",XLOOKUP($F826,Productos!$A:$A,Productos!AR:AR,"Revisar"),"")</f>
        <v/>
      </c>
      <c r="AZ826" s="179" t="str">
        <f t="array" ref="AZ826">IF($F826&lt;&gt;"", XLOOKUP($F826,Productos!$A$2:$A1001,Productos!AS$2:AS1001,"")*$G826,"")</f>
        <v/>
      </c>
      <c r="BA826" s="179" t="str">
        <f t="array" ref="BA826">IF($F826&lt;&gt;"",XLOOKUP($F826,Productos!$A:$A,Productos!AT:AT,"Revisar"),"")</f>
        <v/>
      </c>
      <c r="BB826" s="179" t="str">
        <f t="array" ref="BB826">IF($F826&lt;&gt;"", XLOOKUP($F826,Productos!$A$2:$A1001,Productos!AU$2:AU1001,"")*$G826,"")</f>
        <v/>
      </c>
      <c r="BC826" s="179" t="str">
        <f t="array" ref="BC826">IF($F826&lt;&gt;"",XLOOKUP($F826,Productos!$A:$A,Productos!AV:AV,"Revisar"),"")</f>
        <v/>
      </c>
      <c r="BD826" s="179" t="str">
        <f t="array" ref="BD826">IF($F826&lt;&gt;"", XLOOKUP($F826,Productos!$A$2:$A1001,Productos!AW$2:AW1001,"")*$G826,"")</f>
        <v/>
      </c>
      <c r="BE826" s="179" t="str">
        <f t="array" ref="BE826">IF($F826&lt;&gt;"",XLOOKUP($F826,Productos!$A:$A,Productos!AX:AX,"Revisar"),"")</f>
        <v/>
      </c>
      <c r="BF826" s="179" t="str">
        <f t="array" ref="BF826">IF($F826&lt;&gt;"", XLOOKUP($F826,Productos!$A$2:$A1001,Productos!AY$2:AY1001,"")*$G826,"")</f>
        <v/>
      </c>
      <c r="BG826" s="179" t="str">
        <f t="array" ref="BG826">IF($F826&lt;&gt;"",XLOOKUP($F826,Productos!$A:$A,Productos!AZ:AZ,"Revisar"),"")</f>
        <v/>
      </c>
      <c r="BH826" s="179" t="str">
        <f t="array" ref="BH826">IF($F826&lt;&gt;"", XLOOKUP($F826,Productos!$A$2:$A1001,Productos!BA$2:BA1001,"")*$G826,"")</f>
        <v/>
      </c>
      <c r="BI826" s="179" t="str">
        <f t="array" ref="BI826">IF($F826&lt;&gt;"",XLOOKUP($F826,Productos!$A:$A,Productos!BB:BB,"Revisar"),"")</f>
        <v/>
      </c>
      <c r="BJ826" s="179" t="str">
        <f t="array" ref="BJ826">IF($F826&lt;&gt;"", XLOOKUP($F826,Productos!$A$2:$A1001,Productos!BC$2:BC1001,"")*$G826,"")</f>
        <v/>
      </c>
      <c r="BK826" s="179" t="str">
        <f t="array" ref="BK826">IF($F826&lt;&gt;"",XLOOKUP($F826,Productos!$A:$A,Productos!BD:BD,"Revisar"),"")</f>
        <v/>
      </c>
      <c r="BL826" s="179" t="str">
        <f t="array" ref="BL826">IF($F826&lt;&gt;"", XLOOKUP($F826,Productos!$A$2:$A1001,Productos!BE$2:BE1001,"")*$G826,"")</f>
        <v/>
      </c>
      <c r="BM826" s="179" t="str">
        <f t="array" ref="BM826">IF($F826&lt;&gt;"",XLOOKUP($F826,Productos!$A:$A,Productos!BF:BF,"Revisar"),"")</f>
        <v/>
      </c>
      <c r="BN826" s="179" t="str">
        <f t="array" ref="BN826">IF($F826&lt;&gt;"", XLOOKUP($F826,Productos!$A$2:$A1001,Productos!BG$2:BG1001,"")*$G826,"")</f>
        <v/>
      </c>
      <c r="BO826" s="179" t="str">
        <f t="array" ref="BO826">IF($F826&lt;&gt;"",XLOOKUP($F826,Productos!$A:$A,Productos!BH:BH,"Revisar"),"")</f>
        <v/>
      </c>
      <c r="BP826" s="179" t="str">
        <f t="array" ref="BP826">IF($F826&lt;&gt;"", XLOOKUP($F826,Productos!$A$2:$A1001,Productos!BI$2:BI1001,"")*$G826,"")</f>
        <v/>
      </c>
      <c r="BQ826" s="179" t="str">
        <f t="array" ref="BQ826">IF($F826&lt;&gt;"",XLOOKUP($F826,Productos!$A:$A,Productos!BJ:BJ,"Revisar"),"")</f>
        <v/>
      </c>
      <c r="BR826" s="179" t="str">
        <f t="array" ref="BR826">IF($F826&lt;&gt;"", XLOOKUP($F826,Productos!$A$2:$A1001,Productos!BK$2:BK1001,"")*$G826,"")</f>
        <v/>
      </c>
      <c r="BS826" s="179" t="str">
        <f t="array" ref="BS826">IF($F826&lt;&gt;"",XLOOKUP($F826,Productos!$A:$A,Productos!BL:BL,"Revisar"),"")</f>
        <v/>
      </c>
      <c r="BT826" s="179" t="str">
        <f t="array" ref="BT826">IF($F826&lt;&gt;"", XLOOKUP($F826,Productos!$A$2:$A1001,Productos!BM$2:BM1001,"")*$G826,"")</f>
        <v/>
      </c>
      <c r="BU826" s="179" t="str">
        <f t="array" ref="BU826">IF($F826&lt;&gt;"",XLOOKUP($F826,Productos!$A:$A,Productos!BN:BN,"Revisar"),"")</f>
        <v/>
      </c>
      <c r="BV826" s="179" t="str">
        <f t="array" ref="BV826">IF($F826&lt;&gt;"", XLOOKUP($F826,Productos!$A$2:$A1001,Productos!BO$2:BO1001,"")*$G826,"")</f>
        <v/>
      </c>
      <c r="BW826" s="179" t="str">
        <f t="array" ref="BW826">IF($F826&lt;&gt;"",XLOOKUP($F826,Productos!$A:$A,Productos!BP:BP,"Revisar"),"")</f>
        <v/>
      </c>
      <c r="BX826" s="179" t="str">
        <f t="array" ref="BX826">IF($F826&lt;&gt;"", XLOOKUP($F826,Productos!$A$2:$A1001,Productos!BQ$2:BQ1001,"")*$G826,"")</f>
        <v/>
      </c>
      <c r="BY826" s="179" t="str">
        <f t="array" ref="BY826">IF($F826&lt;&gt;"",XLOOKUP($F826,Productos!$A:$A,Productos!BR:BR,"Revisar"),"")</f>
        <v/>
      </c>
      <c r="BZ826" s="179" t="str">
        <f t="array" ref="BZ826">IF($F826&lt;&gt;"", XLOOKUP($F826,Productos!$A$2:$A1001,Productos!BS$2:BS1001,"")*$G826,"")</f>
        <v/>
      </c>
    </row>
    <row r="827">
      <c r="A827" s="188"/>
      <c r="B827" s="189"/>
      <c r="C827" s="190"/>
      <c r="D827" s="190"/>
      <c r="E827" s="191"/>
      <c r="F827" s="186"/>
      <c r="G827" s="192"/>
      <c r="H827" s="9"/>
      <c r="I827" s="179" t="str">
        <f t="array" ref="I827">IF($F827&lt;&gt;"",XLOOKUP($F827,Productos!$A:$A,Productos!B:B,"Revisar"),"")</f>
        <v/>
      </c>
      <c r="J827" s="179" t="str">
        <f t="array" ref="J827">IF($F827&lt;&gt;"", XLOOKUP($F827,Productos!$A$2:$A1001,Productos!C$2:C1001,"")*$G827,"")</f>
        <v/>
      </c>
      <c r="K827" s="179" t="str">
        <f t="array" ref="K827">IF($F827&lt;&gt;"",XLOOKUP($F827,Productos!$A:$A,Productos!D:D,"Revisar"),"")</f>
        <v/>
      </c>
      <c r="L827" s="179" t="str">
        <f t="array" ref="L827">IF($F827&lt;&gt;"", XLOOKUP($F827,Productos!$A$2:$A1001,Productos!E$2:E1001,"")*$G827,"")</f>
        <v/>
      </c>
      <c r="M827" s="179" t="str">
        <f t="array" ref="M827">IF($F827&lt;&gt;"",XLOOKUP($F827,Productos!$A:$A,Productos!F:F,"Revisar"),"")</f>
        <v/>
      </c>
      <c r="N827" s="179" t="str">
        <f t="array" ref="N827">IF($F827&lt;&gt;"", XLOOKUP($F827,Productos!$A$2:$A1001,Productos!G$2:G1001,"")*$G827,"")</f>
        <v/>
      </c>
      <c r="O827" s="179" t="str">
        <f t="array" ref="O827">IF($F827&lt;&gt;"",XLOOKUP($F827,Productos!$A:$A,Productos!H:H,"Revisar"),"")</f>
        <v/>
      </c>
      <c r="P827" s="179" t="str">
        <f t="array" ref="P827">IF($F827&lt;&gt;"", XLOOKUP($F827,Productos!$A$2:$A1001,Productos!I$2:I1001,"")*$G827,"")</f>
        <v/>
      </c>
      <c r="Q827" s="179" t="str">
        <f t="array" ref="Q827">IF($F827&lt;&gt;"",XLOOKUP($F827,Productos!$A:$A,Productos!J:J,"Revisar"),"")</f>
        <v/>
      </c>
      <c r="R827" s="179" t="str">
        <f t="array" ref="R827">IF($F827&lt;&gt;"", XLOOKUP($F827,Productos!$A$2:$A1001,Productos!K$2:K1001,"")*$G827,"")</f>
        <v/>
      </c>
      <c r="S827" s="179" t="str">
        <f t="array" ref="S827">IF($F827&lt;&gt;"",XLOOKUP($F827,Productos!$A:$A,Productos!L:L,"Revisar"),"")</f>
        <v/>
      </c>
      <c r="T827" s="179" t="str">
        <f t="array" ref="T827">IF($F827&lt;&gt;"", XLOOKUP($F827,Productos!$A$2:$A1001,Productos!M$2:M1001,"")*$G827,"")</f>
        <v/>
      </c>
      <c r="U827" s="179" t="str">
        <f t="array" ref="U827">IF($F827&lt;&gt;"",XLOOKUP($F827,Productos!$A:$A,Productos!N:N,"Revisar"),"")</f>
        <v/>
      </c>
      <c r="V827" s="179" t="str">
        <f t="array" ref="V827">IF($F827&lt;&gt;"", XLOOKUP($F827,Productos!$A$2:$A1001,Productos!O$2:O1001,"")*$G827,"")</f>
        <v/>
      </c>
      <c r="W827" s="179" t="str">
        <f t="array" ref="W827">IF($F827&lt;&gt;"",XLOOKUP($F827,Productos!$A:$A,Productos!P:P,"Revisar"),"")</f>
        <v/>
      </c>
      <c r="X827" s="179" t="str">
        <f t="array" ref="X827">IF($F827&lt;&gt;"", XLOOKUP($F827,Productos!$A$2:$A1001,Productos!Q$2:Q1001,"")*$G827,"")</f>
        <v/>
      </c>
      <c r="Y827" s="179" t="str">
        <f t="array" ref="Y827">IF($F827&lt;&gt;"",XLOOKUP($F827,Productos!$A:$A,Productos!R:R,"Revisar"),"")</f>
        <v/>
      </c>
      <c r="Z827" s="179" t="str">
        <f t="array" ref="Z827">IF($F827&lt;&gt;"", XLOOKUP($F827,Productos!$A$2:$A1001,Productos!S$2:S1001,"")*$G827,"")</f>
        <v/>
      </c>
      <c r="AA827" s="179" t="str">
        <f t="array" ref="AA827">IF($F827&lt;&gt;"",XLOOKUP($F827,Productos!$A:$A,Productos!T:T,"Revisar"),"")</f>
        <v/>
      </c>
      <c r="AB827" s="179" t="str">
        <f t="array" ref="AB827">IF($F827&lt;&gt;"", XLOOKUP($F827,Productos!$A$2:$A1001,Productos!U$2:U1001,"")*$G827,"")</f>
        <v/>
      </c>
      <c r="AC827" s="179" t="str">
        <f t="array" ref="AC827">IF($F827&lt;&gt;"",XLOOKUP($F827,Productos!$A:$A,Productos!V:V,"Revisar"),"")</f>
        <v/>
      </c>
      <c r="AD827" s="179" t="str">
        <f t="array" ref="AD827">IF($F827&lt;&gt;"", XLOOKUP($F827,Productos!$A$2:$A1001,Productos!W$2:W1001,"")*$G827,"")</f>
        <v/>
      </c>
      <c r="AE827" s="179" t="str">
        <f t="array" ref="AE827">IF($F827&lt;&gt;"",XLOOKUP($F827,Productos!$A:$A,Productos!X:X,"Revisar"),"")</f>
        <v/>
      </c>
      <c r="AF827" s="179" t="str">
        <f t="array" ref="AF827">IF($F827&lt;&gt;"", XLOOKUP($F827,Productos!$A$2:$A1001,Productos!Y$2:Y1001,"")*$G827,"")</f>
        <v/>
      </c>
      <c r="AG827" s="179" t="str">
        <f t="array" ref="AG827">IF($F827&lt;&gt;"",XLOOKUP($F827,Productos!$A:$A,Productos!Z:Z,"Revisar"),"")</f>
        <v/>
      </c>
      <c r="AH827" s="179" t="str">
        <f t="array" ref="AH827">IF($F827&lt;&gt;"", XLOOKUP($F827,Productos!$A$2:$A1001,Productos!AA$2:AA1001,"")*$G827,"")</f>
        <v/>
      </c>
      <c r="AI827" s="179" t="str">
        <f t="array" ref="AI827">IF($F827&lt;&gt;"",XLOOKUP($F827,Productos!$A:$A,Productos!AB:AB,"Revisar"),"")</f>
        <v/>
      </c>
      <c r="AJ827" s="179" t="str">
        <f t="array" ref="AJ827">IF($F827&lt;&gt;"", XLOOKUP($F827,Productos!$A$2:$A1001,Productos!AC$2:AC1001,"")*$G827,"")</f>
        <v/>
      </c>
      <c r="AK827" s="179" t="str">
        <f t="array" ref="AK827">IF($F827&lt;&gt;"",XLOOKUP($F827,Productos!$A:$A,Productos!AD:AD,"Revisar"),"")</f>
        <v/>
      </c>
      <c r="AL827" s="179" t="str">
        <f t="array" ref="AL827">IF($F827&lt;&gt;"", XLOOKUP($F827,Productos!$A$2:$A1001,Productos!AE$2:AE1001,"")*$G827,"")</f>
        <v/>
      </c>
      <c r="AM827" s="179" t="str">
        <f t="array" ref="AM827">IF($F827&lt;&gt;"",XLOOKUP($F827,Productos!$A:$A,Productos!AF:AF,"Revisar"),"")</f>
        <v/>
      </c>
      <c r="AN827" s="179" t="str">
        <f t="array" ref="AN827">IF($F827&lt;&gt;"", XLOOKUP($F827,Productos!$A$2:$A1001,Productos!AG$2:AG1001,"")*$G827,"")</f>
        <v/>
      </c>
      <c r="AO827" s="179" t="str">
        <f t="array" ref="AO827">IF($F827&lt;&gt;"",XLOOKUP($F827,Productos!$A:$A,Productos!AH:AH,"Revisar"),"")</f>
        <v/>
      </c>
      <c r="AP827" s="179" t="str">
        <f t="array" ref="AP827">IF($F827&lt;&gt;"", XLOOKUP($F827,Productos!$A$2:$A1001,Productos!AI$2:AI1001,"")*$G827,"")</f>
        <v/>
      </c>
      <c r="AQ827" s="179" t="str">
        <f t="array" ref="AQ827">IF($F827&lt;&gt;"",XLOOKUP($F827,Productos!$A:$A,Productos!AJ:AJ,"Revisar"),"")</f>
        <v/>
      </c>
      <c r="AR827" s="179" t="str">
        <f t="array" ref="AR827">IF($F827&lt;&gt;"", XLOOKUP($F827,Productos!$A$2:$A1001,Productos!AK$2:AK1001,"")*$G827,"")</f>
        <v/>
      </c>
      <c r="AS827" s="179" t="str">
        <f t="array" ref="AS827">IF($F827&lt;&gt;"",XLOOKUP($F827,Productos!$A:$A,Productos!AL:AL,"Revisar"),"")</f>
        <v/>
      </c>
      <c r="AT827" s="179" t="str">
        <f t="array" ref="AT827">IF($F827&lt;&gt;"", XLOOKUP($F827,Productos!$A$2:$A1001,Productos!AM$2:AM1001,"")*$G827,"")</f>
        <v/>
      </c>
      <c r="AU827" s="179" t="str">
        <f t="array" ref="AU827">IF($F827&lt;&gt;"",XLOOKUP($F827,Productos!$A:$A,Productos!AN:AN,"Revisar"),"")</f>
        <v/>
      </c>
      <c r="AV827" s="179" t="str">
        <f t="array" ref="AV827">IF($F827&lt;&gt;"", XLOOKUP($F827,Productos!$A$2:$A1001,Productos!AO$2:AO1001,"")*$G827,"")</f>
        <v/>
      </c>
      <c r="AW827" s="179" t="str">
        <f t="array" ref="AW827">IF($F827&lt;&gt;"",XLOOKUP($F827,Productos!$A:$A,Productos!AP:AP,"Revisar"),"")</f>
        <v/>
      </c>
      <c r="AX827" s="179" t="str">
        <f t="array" ref="AX827">IF($F827&lt;&gt;"", XLOOKUP($F827,Productos!$A$2:$A1001,Productos!AQ$2:AQ1001,"")*$G827,"")</f>
        <v/>
      </c>
      <c r="AY827" s="179" t="str">
        <f t="array" ref="AY827">IF($F827&lt;&gt;"",XLOOKUP($F827,Productos!$A:$A,Productos!AR:AR,"Revisar"),"")</f>
        <v/>
      </c>
      <c r="AZ827" s="179" t="str">
        <f t="array" ref="AZ827">IF($F827&lt;&gt;"", XLOOKUP($F827,Productos!$A$2:$A1001,Productos!AS$2:AS1001,"")*$G827,"")</f>
        <v/>
      </c>
      <c r="BA827" s="179" t="str">
        <f t="array" ref="BA827">IF($F827&lt;&gt;"",XLOOKUP($F827,Productos!$A:$A,Productos!AT:AT,"Revisar"),"")</f>
        <v/>
      </c>
      <c r="BB827" s="179" t="str">
        <f t="array" ref="BB827">IF($F827&lt;&gt;"", XLOOKUP($F827,Productos!$A$2:$A1001,Productos!AU$2:AU1001,"")*$G827,"")</f>
        <v/>
      </c>
      <c r="BC827" s="179" t="str">
        <f t="array" ref="BC827">IF($F827&lt;&gt;"",XLOOKUP($F827,Productos!$A:$A,Productos!AV:AV,"Revisar"),"")</f>
        <v/>
      </c>
      <c r="BD827" s="179" t="str">
        <f t="array" ref="BD827">IF($F827&lt;&gt;"", XLOOKUP($F827,Productos!$A$2:$A1001,Productos!AW$2:AW1001,"")*$G827,"")</f>
        <v/>
      </c>
      <c r="BE827" s="179" t="str">
        <f t="array" ref="BE827">IF($F827&lt;&gt;"",XLOOKUP($F827,Productos!$A:$A,Productos!AX:AX,"Revisar"),"")</f>
        <v/>
      </c>
      <c r="BF827" s="179" t="str">
        <f t="array" ref="BF827">IF($F827&lt;&gt;"", XLOOKUP($F827,Productos!$A$2:$A1001,Productos!AY$2:AY1001,"")*$G827,"")</f>
        <v/>
      </c>
      <c r="BG827" s="179" t="str">
        <f t="array" ref="BG827">IF($F827&lt;&gt;"",XLOOKUP($F827,Productos!$A:$A,Productos!AZ:AZ,"Revisar"),"")</f>
        <v/>
      </c>
      <c r="BH827" s="179" t="str">
        <f t="array" ref="BH827">IF($F827&lt;&gt;"", XLOOKUP($F827,Productos!$A$2:$A1001,Productos!BA$2:BA1001,"")*$G827,"")</f>
        <v/>
      </c>
      <c r="BI827" s="179" t="str">
        <f t="array" ref="BI827">IF($F827&lt;&gt;"",XLOOKUP($F827,Productos!$A:$A,Productos!BB:BB,"Revisar"),"")</f>
        <v/>
      </c>
      <c r="BJ827" s="179" t="str">
        <f t="array" ref="BJ827">IF($F827&lt;&gt;"", XLOOKUP($F827,Productos!$A$2:$A1001,Productos!BC$2:BC1001,"")*$G827,"")</f>
        <v/>
      </c>
      <c r="BK827" s="179" t="str">
        <f t="array" ref="BK827">IF($F827&lt;&gt;"",XLOOKUP($F827,Productos!$A:$A,Productos!BD:BD,"Revisar"),"")</f>
        <v/>
      </c>
      <c r="BL827" s="179" t="str">
        <f t="array" ref="BL827">IF($F827&lt;&gt;"", XLOOKUP($F827,Productos!$A$2:$A1001,Productos!BE$2:BE1001,"")*$G827,"")</f>
        <v/>
      </c>
      <c r="BM827" s="179" t="str">
        <f t="array" ref="BM827">IF($F827&lt;&gt;"",XLOOKUP($F827,Productos!$A:$A,Productos!BF:BF,"Revisar"),"")</f>
        <v/>
      </c>
      <c r="BN827" s="179" t="str">
        <f t="array" ref="BN827">IF($F827&lt;&gt;"", XLOOKUP($F827,Productos!$A$2:$A1001,Productos!BG$2:BG1001,"")*$G827,"")</f>
        <v/>
      </c>
      <c r="BO827" s="179" t="str">
        <f t="array" ref="BO827">IF($F827&lt;&gt;"",XLOOKUP($F827,Productos!$A:$A,Productos!BH:BH,"Revisar"),"")</f>
        <v/>
      </c>
      <c r="BP827" s="179" t="str">
        <f t="array" ref="BP827">IF($F827&lt;&gt;"", XLOOKUP($F827,Productos!$A$2:$A1001,Productos!BI$2:BI1001,"")*$G827,"")</f>
        <v/>
      </c>
      <c r="BQ827" s="179" t="str">
        <f t="array" ref="BQ827">IF($F827&lt;&gt;"",XLOOKUP($F827,Productos!$A:$A,Productos!BJ:BJ,"Revisar"),"")</f>
        <v/>
      </c>
      <c r="BR827" s="179" t="str">
        <f t="array" ref="BR827">IF($F827&lt;&gt;"", XLOOKUP($F827,Productos!$A$2:$A1001,Productos!BK$2:BK1001,"")*$G827,"")</f>
        <v/>
      </c>
      <c r="BS827" s="179" t="str">
        <f t="array" ref="BS827">IF($F827&lt;&gt;"",XLOOKUP($F827,Productos!$A:$A,Productos!BL:BL,"Revisar"),"")</f>
        <v/>
      </c>
      <c r="BT827" s="179" t="str">
        <f t="array" ref="BT827">IF($F827&lt;&gt;"", XLOOKUP($F827,Productos!$A$2:$A1001,Productos!BM$2:BM1001,"")*$G827,"")</f>
        <v/>
      </c>
      <c r="BU827" s="179" t="str">
        <f t="array" ref="BU827">IF($F827&lt;&gt;"",XLOOKUP($F827,Productos!$A:$A,Productos!BN:BN,"Revisar"),"")</f>
        <v/>
      </c>
      <c r="BV827" s="179" t="str">
        <f t="array" ref="BV827">IF($F827&lt;&gt;"", XLOOKUP($F827,Productos!$A$2:$A1001,Productos!BO$2:BO1001,"")*$G827,"")</f>
        <v/>
      </c>
      <c r="BW827" s="179" t="str">
        <f t="array" ref="BW827">IF($F827&lt;&gt;"",XLOOKUP($F827,Productos!$A:$A,Productos!BP:BP,"Revisar"),"")</f>
        <v/>
      </c>
      <c r="BX827" s="179" t="str">
        <f t="array" ref="BX827">IF($F827&lt;&gt;"", XLOOKUP($F827,Productos!$A$2:$A1001,Productos!BQ$2:BQ1001,"")*$G827,"")</f>
        <v/>
      </c>
      <c r="BY827" s="179" t="str">
        <f t="array" ref="BY827">IF($F827&lt;&gt;"",XLOOKUP($F827,Productos!$A:$A,Productos!BR:BR,"Revisar"),"")</f>
        <v/>
      </c>
      <c r="BZ827" s="179" t="str">
        <f t="array" ref="BZ827">IF($F827&lt;&gt;"", XLOOKUP($F827,Productos!$A$2:$A1001,Productos!BS$2:BS1001,"")*$G827,"")</f>
        <v/>
      </c>
    </row>
    <row r="828">
      <c r="A828" s="188"/>
      <c r="B828" s="189"/>
      <c r="C828" s="190"/>
      <c r="D828" s="190"/>
      <c r="E828" s="191"/>
      <c r="F828" s="186"/>
      <c r="G828" s="192"/>
      <c r="H828" s="9"/>
      <c r="I828" s="179" t="str">
        <f t="array" ref="I828">IF($F828&lt;&gt;"",XLOOKUP($F828,Productos!$A:$A,Productos!B:B,"Revisar"),"")</f>
        <v/>
      </c>
      <c r="J828" s="179" t="str">
        <f t="array" ref="J828">IF($F828&lt;&gt;"", XLOOKUP($F828,Productos!$A$2:$A1001,Productos!C$2:C1001,"")*$G828,"")</f>
        <v/>
      </c>
      <c r="K828" s="179" t="str">
        <f t="array" ref="K828">IF($F828&lt;&gt;"",XLOOKUP($F828,Productos!$A:$A,Productos!D:D,"Revisar"),"")</f>
        <v/>
      </c>
      <c r="L828" s="179" t="str">
        <f t="array" ref="L828">IF($F828&lt;&gt;"", XLOOKUP($F828,Productos!$A$2:$A1001,Productos!E$2:E1001,"")*$G828,"")</f>
        <v/>
      </c>
      <c r="M828" s="179" t="str">
        <f t="array" ref="M828">IF($F828&lt;&gt;"",XLOOKUP($F828,Productos!$A:$A,Productos!F:F,"Revisar"),"")</f>
        <v/>
      </c>
      <c r="N828" s="179" t="str">
        <f t="array" ref="N828">IF($F828&lt;&gt;"", XLOOKUP($F828,Productos!$A$2:$A1001,Productos!G$2:G1001,"")*$G828,"")</f>
        <v/>
      </c>
      <c r="O828" s="179" t="str">
        <f t="array" ref="O828">IF($F828&lt;&gt;"",XLOOKUP($F828,Productos!$A:$A,Productos!H:H,"Revisar"),"")</f>
        <v/>
      </c>
      <c r="P828" s="179" t="str">
        <f t="array" ref="P828">IF($F828&lt;&gt;"", XLOOKUP($F828,Productos!$A$2:$A1001,Productos!I$2:I1001,"")*$G828,"")</f>
        <v/>
      </c>
      <c r="Q828" s="179" t="str">
        <f t="array" ref="Q828">IF($F828&lt;&gt;"",XLOOKUP($F828,Productos!$A:$A,Productos!J:J,"Revisar"),"")</f>
        <v/>
      </c>
      <c r="R828" s="179" t="str">
        <f t="array" ref="R828">IF($F828&lt;&gt;"", XLOOKUP($F828,Productos!$A$2:$A1001,Productos!K$2:K1001,"")*$G828,"")</f>
        <v/>
      </c>
      <c r="S828" s="179" t="str">
        <f t="array" ref="S828">IF($F828&lt;&gt;"",XLOOKUP($F828,Productos!$A:$A,Productos!L:L,"Revisar"),"")</f>
        <v/>
      </c>
      <c r="T828" s="179" t="str">
        <f t="array" ref="T828">IF($F828&lt;&gt;"", XLOOKUP($F828,Productos!$A$2:$A1001,Productos!M$2:M1001,"")*$G828,"")</f>
        <v/>
      </c>
      <c r="U828" s="179" t="str">
        <f t="array" ref="U828">IF($F828&lt;&gt;"",XLOOKUP($F828,Productos!$A:$A,Productos!N:N,"Revisar"),"")</f>
        <v/>
      </c>
      <c r="V828" s="179" t="str">
        <f t="array" ref="V828">IF($F828&lt;&gt;"", XLOOKUP($F828,Productos!$A$2:$A1001,Productos!O$2:O1001,"")*$G828,"")</f>
        <v/>
      </c>
      <c r="W828" s="179" t="str">
        <f t="array" ref="W828">IF($F828&lt;&gt;"",XLOOKUP($F828,Productos!$A:$A,Productos!P:P,"Revisar"),"")</f>
        <v/>
      </c>
      <c r="X828" s="179" t="str">
        <f t="array" ref="X828">IF($F828&lt;&gt;"", XLOOKUP($F828,Productos!$A$2:$A1001,Productos!Q$2:Q1001,"")*$G828,"")</f>
        <v/>
      </c>
      <c r="Y828" s="179" t="str">
        <f t="array" ref="Y828">IF($F828&lt;&gt;"",XLOOKUP($F828,Productos!$A:$A,Productos!R:R,"Revisar"),"")</f>
        <v/>
      </c>
      <c r="Z828" s="179" t="str">
        <f t="array" ref="Z828">IF($F828&lt;&gt;"", XLOOKUP($F828,Productos!$A$2:$A1001,Productos!S$2:S1001,"")*$G828,"")</f>
        <v/>
      </c>
      <c r="AA828" s="179" t="str">
        <f t="array" ref="AA828">IF($F828&lt;&gt;"",XLOOKUP($F828,Productos!$A:$A,Productos!T:T,"Revisar"),"")</f>
        <v/>
      </c>
      <c r="AB828" s="179" t="str">
        <f t="array" ref="AB828">IF($F828&lt;&gt;"", XLOOKUP($F828,Productos!$A$2:$A1001,Productos!U$2:U1001,"")*$G828,"")</f>
        <v/>
      </c>
      <c r="AC828" s="179" t="str">
        <f t="array" ref="AC828">IF($F828&lt;&gt;"",XLOOKUP($F828,Productos!$A:$A,Productos!V:V,"Revisar"),"")</f>
        <v/>
      </c>
      <c r="AD828" s="179" t="str">
        <f t="array" ref="AD828">IF($F828&lt;&gt;"", XLOOKUP($F828,Productos!$A$2:$A1001,Productos!W$2:W1001,"")*$G828,"")</f>
        <v/>
      </c>
      <c r="AE828" s="179" t="str">
        <f t="array" ref="AE828">IF($F828&lt;&gt;"",XLOOKUP($F828,Productos!$A:$A,Productos!X:X,"Revisar"),"")</f>
        <v/>
      </c>
      <c r="AF828" s="179" t="str">
        <f t="array" ref="AF828">IF($F828&lt;&gt;"", XLOOKUP($F828,Productos!$A$2:$A1001,Productos!Y$2:Y1001,"")*$G828,"")</f>
        <v/>
      </c>
      <c r="AG828" s="179" t="str">
        <f t="array" ref="AG828">IF($F828&lt;&gt;"",XLOOKUP($F828,Productos!$A:$A,Productos!Z:Z,"Revisar"),"")</f>
        <v/>
      </c>
      <c r="AH828" s="179" t="str">
        <f t="array" ref="AH828">IF($F828&lt;&gt;"", XLOOKUP($F828,Productos!$A$2:$A1001,Productos!AA$2:AA1001,"")*$G828,"")</f>
        <v/>
      </c>
      <c r="AI828" s="179" t="str">
        <f t="array" ref="AI828">IF($F828&lt;&gt;"",XLOOKUP($F828,Productos!$A:$A,Productos!AB:AB,"Revisar"),"")</f>
        <v/>
      </c>
      <c r="AJ828" s="179" t="str">
        <f t="array" ref="AJ828">IF($F828&lt;&gt;"", XLOOKUP($F828,Productos!$A$2:$A1001,Productos!AC$2:AC1001,"")*$G828,"")</f>
        <v/>
      </c>
      <c r="AK828" s="179" t="str">
        <f t="array" ref="AK828">IF($F828&lt;&gt;"",XLOOKUP($F828,Productos!$A:$A,Productos!AD:AD,"Revisar"),"")</f>
        <v/>
      </c>
      <c r="AL828" s="179" t="str">
        <f t="array" ref="AL828">IF($F828&lt;&gt;"", XLOOKUP($F828,Productos!$A$2:$A1001,Productos!AE$2:AE1001,"")*$G828,"")</f>
        <v/>
      </c>
      <c r="AM828" s="179" t="str">
        <f t="array" ref="AM828">IF($F828&lt;&gt;"",XLOOKUP($F828,Productos!$A:$A,Productos!AF:AF,"Revisar"),"")</f>
        <v/>
      </c>
      <c r="AN828" s="179" t="str">
        <f t="array" ref="AN828">IF($F828&lt;&gt;"", XLOOKUP($F828,Productos!$A$2:$A1001,Productos!AG$2:AG1001,"")*$G828,"")</f>
        <v/>
      </c>
      <c r="AO828" s="179" t="str">
        <f t="array" ref="AO828">IF($F828&lt;&gt;"",XLOOKUP($F828,Productos!$A:$A,Productos!AH:AH,"Revisar"),"")</f>
        <v/>
      </c>
      <c r="AP828" s="179" t="str">
        <f t="array" ref="AP828">IF($F828&lt;&gt;"", XLOOKUP($F828,Productos!$A$2:$A1001,Productos!AI$2:AI1001,"")*$G828,"")</f>
        <v/>
      </c>
      <c r="AQ828" s="179" t="str">
        <f t="array" ref="AQ828">IF($F828&lt;&gt;"",XLOOKUP($F828,Productos!$A:$A,Productos!AJ:AJ,"Revisar"),"")</f>
        <v/>
      </c>
      <c r="AR828" s="179" t="str">
        <f t="array" ref="AR828">IF($F828&lt;&gt;"", XLOOKUP($F828,Productos!$A$2:$A1001,Productos!AK$2:AK1001,"")*$G828,"")</f>
        <v/>
      </c>
      <c r="AS828" s="179" t="str">
        <f t="array" ref="AS828">IF($F828&lt;&gt;"",XLOOKUP($F828,Productos!$A:$A,Productos!AL:AL,"Revisar"),"")</f>
        <v/>
      </c>
      <c r="AT828" s="179" t="str">
        <f t="array" ref="AT828">IF($F828&lt;&gt;"", XLOOKUP($F828,Productos!$A$2:$A1001,Productos!AM$2:AM1001,"")*$G828,"")</f>
        <v/>
      </c>
      <c r="AU828" s="179" t="str">
        <f t="array" ref="AU828">IF($F828&lt;&gt;"",XLOOKUP($F828,Productos!$A:$A,Productos!AN:AN,"Revisar"),"")</f>
        <v/>
      </c>
      <c r="AV828" s="179" t="str">
        <f t="array" ref="AV828">IF($F828&lt;&gt;"", XLOOKUP($F828,Productos!$A$2:$A1001,Productos!AO$2:AO1001,"")*$G828,"")</f>
        <v/>
      </c>
      <c r="AW828" s="179" t="str">
        <f t="array" ref="AW828">IF($F828&lt;&gt;"",XLOOKUP($F828,Productos!$A:$A,Productos!AP:AP,"Revisar"),"")</f>
        <v/>
      </c>
      <c r="AX828" s="179" t="str">
        <f t="array" ref="AX828">IF($F828&lt;&gt;"", XLOOKUP($F828,Productos!$A$2:$A1001,Productos!AQ$2:AQ1001,"")*$G828,"")</f>
        <v/>
      </c>
      <c r="AY828" s="179" t="str">
        <f t="array" ref="AY828">IF($F828&lt;&gt;"",XLOOKUP($F828,Productos!$A:$A,Productos!AR:AR,"Revisar"),"")</f>
        <v/>
      </c>
      <c r="AZ828" s="179" t="str">
        <f t="array" ref="AZ828">IF($F828&lt;&gt;"", XLOOKUP($F828,Productos!$A$2:$A1001,Productos!AS$2:AS1001,"")*$G828,"")</f>
        <v/>
      </c>
      <c r="BA828" s="179" t="str">
        <f t="array" ref="BA828">IF($F828&lt;&gt;"",XLOOKUP($F828,Productos!$A:$A,Productos!AT:AT,"Revisar"),"")</f>
        <v/>
      </c>
      <c r="BB828" s="179" t="str">
        <f t="array" ref="BB828">IF($F828&lt;&gt;"", XLOOKUP($F828,Productos!$A$2:$A1001,Productos!AU$2:AU1001,"")*$G828,"")</f>
        <v/>
      </c>
      <c r="BC828" s="179" t="str">
        <f t="array" ref="BC828">IF($F828&lt;&gt;"",XLOOKUP($F828,Productos!$A:$A,Productos!AV:AV,"Revisar"),"")</f>
        <v/>
      </c>
      <c r="BD828" s="179" t="str">
        <f t="array" ref="BD828">IF($F828&lt;&gt;"", XLOOKUP($F828,Productos!$A$2:$A1001,Productos!AW$2:AW1001,"")*$G828,"")</f>
        <v/>
      </c>
      <c r="BE828" s="179" t="str">
        <f t="array" ref="BE828">IF($F828&lt;&gt;"",XLOOKUP($F828,Productos!$A:$A,Productos!AX:AX,"Revisar"),"")</f>
        <v/>
      </c>
      <c r="BF828" s="179" t="str">
        <f t="array" ref="BF828">IF($F828&lt;&gt;"", XLOOKUP($F828,Productos!$A$2:$A1001,Productos!AY$2:AY1001,"")*$G828,"")</f>
        <v/>
      </c>
      <c r="BG828" s="179" t="str">
        <f t="array" ref="BG828">IF($F828&lt;&gt;"",XLOOKUP($F828,Productos!$A:$A,Productos!AZ:AZ,"Revisar"),"")</f>
        <v/>
      </c>
      <c r="BH828" s="179" t="str">
        <f t="array" ref="BH828">IF($F828&lt;&gt;"", XLOOKUP($F828,Productos!$A$2:$A1001,Productos!BA$2:BA1001,"")*$G828,"")</f>
        <v/>
      </c>
      <c r="BI828" s="179" t="str">
        <f t="array" ref="BI828">IF($F828&lt;&gt;"",XLOOKUP($F828,Productos!$A:$A,Productos!BB:BB,"Revisar"),"")</f>
        <v/>
      </c>
      <c r="BJ828" s="179" t="str">
        <f t="array" ref="BJ828">IF($F828&lt;&gt;"", XLOOKUP($F828,Productos!$A$2:$A1001,Productos!BC$2:BC1001,"")*$G828,"")</f>
        <v/>
      </c>
      <c r="BK828" s="179" t="str">
        <f t="array" ref="BK828">IF($F828&lt;&gt;"",XLOOKUP($F828,Productos!$A:$A,Productos!BD:BD,"Revisar"),"")</f>
        <v/>
      </c>
      <c r="BL828" s="179" t="str">
        <f t="array" ref="BL828">IF($F828&lt;&gt;"", XLOOKUP($F828,Productos!$A$2:$A1001,Productos!BE$2:BE1001,"")*$G828,"")</f>
        <v/>
      </c>
      <c r="BM828" s="179" t="str">
        <f t="array" ref="BM828">IF($F828&lt;&gt;"",XLOOKUP($F828,Productos!$A:$A,Productos!BF:BF,"Revisar"),"")</f>
        <v/>
      </c>
      <c r="BN828" s="179" t="str">
        <f t="array" ref="BN828">IF($F828&lt;&gt;"", XLOOKUP($F828,Productos!$A$2:$A1001,Productos!BG$2:BG1001,"")*$G828,"")</f>
        <v/>
      </c>
      <c r="BO828" s="179" t="str">
        <f t="array" ref="BO828">IF($F828&lt;&gt;"",XLOOKUP($F828,Productos!$A:$A,Productos!BH:BH,"Revisar"),"")</f>
        <v/>
      </c>
      <c r="BP828" s="179" t="str">
        <f t="array" ref="BP828">IF($F828&lt;&gt;"", XLOOKUP($F828,Productos!$A$2:$A1001,Productos!BI$2:BI1001,"")*$G828,"")</f>
        <v/>
      </c>
      <c r="BQ828" s="179" t="str">
        <f t="array" ref="BQ828">IF($F828&lt;&gt;"",XLOOKUP($F828,Productos!$A:$A,Productos!BJ:BJ,"Revisar"),"")</f>
        <v/>
      </c>
      <c r="BR828" s="179" t="str">
        <f t="array" ref="BR828">IF($F828&lt;&gt;"", XLOOKUP($F828,Productos!$A$2:$A1001,Productos!BK$2:BK1001,"")*$G828,"")</f>
        <v/>
      </c>
      <c r="BS828" s="179" t="str">
        <f t="array" ref="BS828">IF($F828&lt;&gt;"",XLOOKUP($F828,Productos!$A:$A,Productos!BL:BL,"Revisar"),"")</f>
        <v/>
      </c>
      <c r="BT828" s="179" t="str">
        <f t="array" ref="BT828">IF($F828&lt;&gt;"", XLOOKUP($F828,Productos!$A$2:$A1001,Productos!BM$2:BM1001,"")*$G828,"")</f>
        <v/>
      </c>
      <c r="BU828" s="179" t="str">
        <f t="array" ref="BU828">IF($F828&lt;&gt;"",XLOOKUP($F828,Productos!$A:$A,Productos!BN:BN,"Revisar"),"")</f>
        <v/>
      </c>
      <c r="BV828" s="179" t="str">
        <f t="array" ref="BV828">IF($F828&lt;&gt;"", XLOOKUP($F828,Productos!$A$2:$A1001,Productos!BO$2:BO1001,"")*$G828,"")</f>
        <v/>
      </c>
      <c r="BW828" s="179" t="str">
        <f t="array" ref="BW828">IF($F828&lt;&gt;"",XLOOKUP($F828,Productos!$A:$A,Productos!BP:BP,"Revisar"),"")</f>
        <v/>
      </c>
      <c r="BX828" s="179" t="str">
        <f t="array" ref="BX828">IF($F828&lt;&gt;"", XLOOKUP($F828,Productos!$A$2:$A1001,Productos!BQ$2:BQ1001,"")*$G828,"")</f>
        <v/>
      </c>
      <c r="BY828" s="179" t="str">
        <f t="array" ref="BY828">IF($F828&lt;&gt;"",XLOOKUP($F828,Productos!$A:$A,Productos!BR:BR,"Revisar"),"")</f>
        <v/>
      </c>
      <c r="BZ828" s="179" t="str">
        <f t="array" ref="BZ828">IF($F828&lt;&gt;"", XLOOKUP($F828,Productos!$A$2:$A1001,Productos!BS$2:BS1001,"")*$G828,"")</f>
        <v/>
      </c>
    </row>
    <row r="829">
      <c r="A829" s="188"/>
      <c r="B829" s="189"/>
      <c r="C829" s="190"/>
      <c r="D829" s="190"/>
      <c r="E829" s="191"/>
      <c r="F829" s="186"/>
      <c r="G829" s="192"/>
      <c r="H829" s="9"/>
      <c r="I829" s="179" t="str">
        <f t="array" ref="I829">IF($F829&lt;&gt;"",XLOOKUP($F829,Productos!$A:$A,Productos!B:B,"Revisar"),"")</f>
        <v/>
      </c>
      <c r="J829" s="179" t="str">
        <f t="array" ref="J829">IF($F829&lt;&gt;"", XLOOKUP($F829,Productos!$A$2:$A1001,Productos!C$2:C1001,"")*$G829,"")</f>
        <v/>
      </c>
      <c r="K829" s="179" t="str">
        <f t="array" ref="K829">IF($F829&lt;&gt;"",XLOOKUP($F829,Productos!$A:$A,Productos!D:D,"Revisar"),"")</f>
        <v/>
      </c>
      <c r="L829" s="179" t="str">
        <f t="array" ref="L829">IF($F829&lt;&gt;"", XLOOKUP($F829,Productos!$A$2:$A1001,Productos!E$2:E1001,"")*$G829,"")</f>
        <v/>
      </c>
      <c r="M829" s="179" t="str">
        <f t="array" ref="M829">IF($F829&lt;&gt;"",XLOOKUP($F829,Productos!$A:$A,Productos!F:F,"Revisar"),"")</f>
        <v/>
      </c>
      <c r="N829" s="179" t="str">
        <f t="array" ref="N829">IF($F829&lt;&gt;"", XLOOKUP($F829,Productos!$A$2:$A1001,Productos!G$2:G1001,"")*$G829,"")</f>
        <v/>
      </c>
      <c r="O829" s="179" t="str">
        <f t="array" ref="O829">IF($F829&lt;&gt;"",XLOOKUP($F829,Productos!$A:$A,Productos!H:H,"Revisar"),"")</f>
        <v/>
      </c>
      <c r="P829" s="179" t="str">
        <f t="array" ref="P829">IF($F829&lt;&gt;"", XLOOKUP($F829,Productos!$A$2:$A1001,Productos!I$2:I1001,"")*$G829,"")</f>
        <v/>
      </c>
      <c r="Q829" s="179" t="str">
        <f t="array" ref="Q829">IF($F829&lt;&gt;"",XLOOKUP($F829,Productos!$A:$A,Productos!J:J,"Revisar"),"")</f>
        <v/>
      </c>
      <c r="R829" s="179" t="str">
        <f t="array" ref="R829">IF($F829&lt;&gt;"", XLOOKUP($F829,Productos!$A$2:$A1001,Productos!K$2:K1001,"")*$G829,"")</f>
        <v/>
      </c>
      <c r="S829" s="179" t="str">
        <f t="array" ref="S829">IF($F829&lt;&gt;"",XLOOKUP($F829,Productos!$A:$A,Productos!L:L,"Revisar"),"")</f>
        <v/>
      </c>
      <c r="T829" s="179" t="str">
        <f t="array" ref="T829">IF($F829&lt;&gt;"", XLOOKUP($F829,Productos!$A$2:$A1001,Productos!M$2:M1001,"")*$G829,"")</f>
        <v/>
      </c>
      <c r="U829" s="179" t="str">
        <f t="array" ref="U829">IF($F829&lt;&gt;"",XLOOKUP($F829,Productos!$A:$A,Productos!N:N,"Revisar"),"")</f>
        <v/>
      </c>
      <c r="V829" s="179" t="str">
        <f t="array" ref="V829">IF($F829&lt;&gt;"", XLOOKUP($F829,Productos!$A$2:$A1001,Productos!O$2:O1001,"")*$G829,"")</f>
        <v/>
      </c>
      <c r="W829" s="179" t="str">
        <f t="array" ref="W829">IF($F829&lt;&gt;"",XLOOKUP($F829,Productos!$A:$A,Productos!P:P,"Revisar"),"")</f>
        <v/>
      </c>
      <c r="X829" s="179" t="str">
        <f t="array" ref="X829">IF($F829&lt;&gt;"", XLOOKUP($F829,Productos!$A$2:$A1001,Productos!Q$2:Q1001,"")*$G829,"")</f>
        <v/>
      </c>
      <c r="Y829" s="179" t="str">
        <f t="array" ref="Y829">IF($F829&lt;&gt;"",XLOOKUP($F829,Productos!$A:$A,Productos!R:R,"Revisar"),"")</f>
        <v/>
      </c>
      <c r="Z829" s="179" t="str">
        <f t="array" ref="Z829">IF($F829&lt;&gt;"", XLOOKUP($F829,Productos!$A$2:$A1001,Productos!S$2:S1001,"")*$G829,"")</f>
        <v/>
      </c>
      <c r="AA829" s="179" t="str">
        <f t="array" ref="AA829">IF($F829&lt;&gt;"",XLOOKUP($F829,Productos!$A:$A,Productos!T:T,"Revisar"),"")</f>
        <v/>
      </c>
      <c r="AB829" s="179" t="str">
        <f t="array" ref="AB829">IF($F829&lt;&gt;"", XLOOKUP($F829,Productos!$A$2:$A1001,Productos!U$2:U1001,"")*$G829,"")</f>
        <v/>
      </c>
      <c r="AC829" s="179" t="str">
        <f t="array" ref="AC829">IF($F829&lt;&gt;"",XLOOKUP($F829,Productos!$A:$A,Productos!V:V,"Revisar"),"")</f>
        <v/>
      </c>
      <c r="AD829" s="179" t="str">
        <f t="array" ref="AD829">IF($F829&lt;&gt;"", XLOOKUP($F829,Productos!$A$2:$A1001,Productos!W$2:W1001,"")*$G829,"")</f>
        <v/>
      </c>
      <c r="AE829" s="179" t="str">
        <f t="array" ref="AE829">IF($F829&lt;&gt;"",XLOOKUP($F829,Productos!$A:$A,Productos!X:X,"Revisar"),"")</f>
        <v/>
      </c>
      <c r="AF829" s="179" t="str">
        <f t="array" ref="AF829">IF($F829&lt;&gt;"", XLOOKUP($F829,Productos!$A$2:$A1001,Productos!Y$2:Y1001,"")*$G829,"")</f>
        <v/>
      </c>
      <c r="AG829" s="179" t="str">
        <f t="array" ref="AG829">IF($F829&lt;&gt;"",XLOOKUP($F829,Productos!$A:$A,Productos!Z:Z,"Revisar"),"")</f>
        <v/>
      </c>
      <c r="AH829" s="179" t="str">
        <f t="array" ref="AH829">IF($F829&lt;&gt;"", XLOOKUP($F829,Productos!$A$2:$A1001,Productos!AA$2:AA1001,"")*$G829,"")</f>
        <v/>
      </c>
      <c r="AI829" s="179" t="str">
        <f t="array" ref="AI829">IF($F829&lt;&gt;"",XLOOKUP($F829,Productos!$A:$A,Productos!AB:AB,"Revisar"),"")</f>
        <v/>
      </c>
      <c r="AJ829" s="179" t="str">
        <f t="array" ref="AJ829">IF($F829&lt;&gt;"", XLOOKUP($F829,Productos!$A$2:$A1001,Productos!AC$2:AC1001,"")*$G829,"")</f>
        <v/>
      </c>
      <c r="AK829" s="179" t="str">
        <f t="array" ref="AK829">IF($F829&lt;&gt;"",XLOOKUP($F829,Productos!$A:$A,Productos!AD:AD,"Revisar"),"")</f>
        <v/>
      </c>
      <c r="AL829" s="179" t="str">
        <f t="array" ref="AL829">IF($F829&lt;&gt;"", XLOOKUP($F829,Productos!$A$2:$A1001,Productos!AE$2:AE1001,"")*$G829,"")</f>
        <v/>
      </c>
      <c r="AM829" s="179" t="str">
        <f t="array" ref="AM829">IF($F829&lt;&gt;"",XLOOKUP($F829,Productos!$A:$A,Productos!AF:AF,"Revisar"),"")</f>
        <v/>
      </c>
      <c r="AN829" s="179" t="str">
        <f t="array" ref="AN829">IF($F829&lt;&gt;"", XLOOKUP($F829,Productos!$A$2:$A1001,Productos!AG$2:AG1001,"")*$G829,"")</f>
        <v/>
      </c>
      <c r="AO829" s="179" t="str">
        <f t="array" ref="AO829">IF($F829&lt;&gt;"",XLOOKUP($F829,Productos!$A:$A,Productos!AH:AH,"Revisar"),"")</f>
        <v/>
      </c>
      <c r="AP829" s="179" t="str">
        <f t="array" ref="AP829">IF($F829&lt;&gt;"", XLOOKUP($F829,Productos!$A$2:$A1001,Productos!AI$2:AI1001,"")*$G829,"")</f>
        <v/>
      </c>
      <c r="AQ829" s="179" t="str">
        <f t="array" ref="AQ829">IF($F829&lt;&gt;"",XLOOKUP($F829,Productos!$A:$A,Productos!AJ:AJ,"Revisar"),"")</f>
        <v/>
      </c>
      <c r="AR829" s="179" t="str">
        <f t="array" ref="AR829">IF($F829&lt;&gt;"", XLOOKUP($F829,Productos!$A$2:$A1001,Productos!AK$2:AK1001,"")*$G829,"")</f>
        <v/>
      </c>
      <c r="AS829" s="179" t="str">
        <f t="array" ref="AS829">IF($F829&lt;&gt;"",XLOOKUP($F829,Productos!$A:$A,Productos!AL:AL,"Revisar"),"")</f>
        <v/>
      </c>
      <c r="AT829" s="179" t="str">
        <f t="array" ref="AT829">IF($F829&lt;&gt;"", XLOOKUP($F829,Productos!$A$2:$A1001,Productos!AM$2:AM1001,"")*$G829,"")</f>
        <v/>
      </c>
      <c r="AU829" s="179" t="str">
        <f t="array" ref="AU829">IF($F829&lt;&gt;"",XLOOKUP($F829,Productos!$A:$A,Productos!AN:AN,"Revisar"),"")</f>
        <v/>
      </c>
      <c r="AV829" s="179" t="str">
        <f t="array" ref="AV829">IF($F829&lt;&gt;"", XLOOKUP($F829,Productos!$A$2:$A1001,Productos!AO$2:AO1001,"")*$G829,"")</f>
        <v/>
      </c>
      <c r="AW829" s="179" t="str">
        <f t="array" ref="AW829">IF($F829&lt;&gt;"",XLOOKUP($F829,Productos!$A:$A,Productos!AP:AP,"Revisar"),"")</f>
        <v/>
      </c>
      <c r="AX829" s="179" t="str">
        <f t="array" ref="AX829">IF($F829&lt;&gt;"", XLOOKUP($F829,Productos!$A$2:$A1001,Productos!AQ$2:AQ1001,"")*$G829,"")</f>
        <v/>
      </c>
      <c r="AY829" s="179" t="str">
        <f t="array" ref="AY829">IF($F829&lt;&gt;"",XLOOKUP($F829,Productos!$A:$A,Productos!AR:AR,"Revisar"),"")</f>
        <v/>
      </c>
      <c r="AZ829" s="179" t="str">
        <f t="array" ref="AZ829">IF($F829&lt;&gt;"", XLOOKUP($F829,Productos!$A$2:$A1001,Productos!AS$2:AS1001,"")*$G829,"")</f>
        <v/>
      </c>
      <c r="BA829" s="179" t="str">
        <f t="array" ref="BA829">IF($F829&lt;&gt;"",XLOOKUP($F829,Productos!$A:$A,Productos!AT:AT,"Revisar"),"")</f>
        <v/>
      </c>
      <c r="BB829" s="179" t="str">
        <f t="array" ref="BB829">IF($F829&lt;&gt;"", XLOOKUP($F829,Productos!$A$2:$A1001,Productos!AU$2:AU1001,"")*$G829,"")</f>
        <v/>
      </c>
      <c r="BC829" s="179" t="str">
        <f t="array" ref="BC829">IF($F829&lt;&gt;"",XLOOKUP($F829,Productos!$A:$A,Productos!AV:AV,"Revisar"),"")</f>
        <v/>
      </c>
      <c r="BD829" s="179" t="str">
        <f t="array" ref="BD829">IF($F829&lt;&gt;"", XLOOKUP($F829,Productos!$A$2:$A1001,Productos!AW$2:AW1001,"")*$G829,"")</f>
        <v/>
      </c>
      <c r="BE829" s="179" t="str">
        <f t="array" ref="BE829">IF($F829&lt;&gt;"",XLOOKUP($F829,Productos!$A:$A,Productos!AX:AX,"Revisar"),"")</f>
        <v/>
      </c>
      <c r="BF829" s="179" t="str">
        <f t="array" ref="BF829">IF($F829&lt;&gt;"", XLOOKUP($F829,Productos!$A$2:$A1001,Productos!AY$2:AY1001,"")*$G829,"")</f>
        <v/>
      </c>
      <c r="BG829" s="179" t="str">
        <f t="array" ref="BG829">IF($F829&lt;&gt;"",XLOOKUP($F829,Productos!$A:$A,Productos!AZ:AZ,"Revisar"),"")</f>
        <v/>
      </c>
      <c r="BH829" s="179" t="str">
        <f t="array" ref="BH829">IF($F829&lt;&gt;"", XLOOKUP($F829,Productos!$A$2:$A1001,Productos!BA$2:BA1001,"")*$G829,"")</f>
        <v/>
      </c>
      <c r="BI829" s="179" t="str">
        <f t="array" ref="BI829">IF($F829&lt;&gt;"",XLOOKUP($F829,Productos!$A:$A,Productos!BB:BB,"Revisar"),"")</f>
        <v/>
      </c>
      <c r="BJ829" s="179" t="str">
        <f t="array" ref="BJ829">IF($F829&lt;&gt;"", XLOOKUP($F829,Productos!$A$2:$A1001,Productos!BC$2:BC1001,"")*$G829,"")</f>
        <v/>
      </c>
      <c r="BK829" s="179" t="str">
        <f t="array" ref="BK829">IF($F829&lt;&gt;"",XLOOKUP($F829,Productos!$A:$A,Productos!BD:BD,"Revisar"),"")</f>
        <v/>
      </c>
      <c r="BL829" s="179" t="str">
        <f t="array" ref="BL829">IF($F829&lt;&gt;"", XLOOKUP($F829,Productos!$A$2:$A1001,Productos!BE$2:BE1001,"")*$G829,"")</f>
        <v/>
      </c>
      <c r="BM829" s="179" t="str">
        <f t="array" ref="BM829">IF($F829&lt;&gt;"",XLOOKUP($F829,Productos!$A:$A,Productos!BF:BF,"Revisar"),"")</f>
        <v/>
      </c>
      <c r="BN829" s="179" t="str">
        <f t="array" ref="BN829">IF($F829&lt;&gt;"", XLOOKUP($F829,Productos!$A$2:$A1001,Productos!BG$2:BG1001,"")*$G829,"")</f>
        <v/>
      </c>
      <c r="BO829" s="179" t="str">
        <f t="array" ref="BO829">IF($F829&lt;&gt;"",XLOOKUP($F829,Productos!$A:$A,Productos!BH:BH,"Revisar"),"")</f>
        <v/>
      </c>
      <c r="BP829" s="179" t="str">
        <f t="array" ref="BP829">IF($F829&lt;&gt;"", XLOOKUP($F829,Productos!$A$2:$A1001,Productos!BI$2:BI1001,"")*$G829,"")</f>
        <v/>
      </c>
      <c r="BQ829" s="179" t="str">
        <f t="array" ref="BQ829">IF($F829&lt;&gt;"",XLOOKUP($F829,Productos!$A:$A,Productos!BJ:BJ,"Revisar"),"")</f>
        <v/>
      </c>
      <c r="BR829" s="179" t="str">
        <f t="array" ref="BR829">IF($F829&lt;&gt;"", XLOOKUP($F829,Productos!$A$2:$A1001,Productos!BK$2:BK1001,"")*$G829,"")</f>
        <v/>
      </c>
      <c r="BS829" s="179" t="str">
        <f t="array" ref="BS829">IF($F829&lt;&gt;"",XLOOKUP($F829,Productos!$A:$A,Productos!BL:BL,"Revisar"),"")</f>
        <v/>
      </c>
      <c r="BT829" s="179" t="str">
        <f t="array" ref="BT829">IF($F829&lt;&gt;"", XLOOKUP($F829,Productos!$A$2:$A1001,Productos!BM$2:BM1001,"")*$G829,"")</f>
        <v/>
      </c>
      <c r="BU829" s="179" t="str">
        <f t="array" ref="BU829">IF($F829&lt;&gt;"",XLOOKUP($F829,Productos!$A:$A,Productos!BN:BN,"Revisar"),"")</f>
        <v/>
      </c>
      <c r="BV829" s="179" t="str">
        <f t="array" ref="BV829">IF($F829&lt;&gt;"", XLOOKUP($F829,Productos!$A$2:$A1001,Productos!BO$2:BO1001,"")*$G829,"")</f>
        <v/>
      </c>
      <c r="BW829" s="179" t="str">
        <f t="array" ref="BW829">IF($F829&lt;&gt;"",XLOOKUP($F829,Productos!$A:$A,Productos!BP:BP,"Revisar"),"")</f>
        <v/>
      </c>
      <c r="BX829" s="179" t="str">
        <f t="array" ref="BX829">IF($F829&lt;&gt;"", XLOOKUP($F829,Productos!$A$2:$A1001,Productos!BQ$2:BQ1001,"")*$G829,"")</f>
        <v/>
      </c>
      <c r="BY829" s="179" t="str">
        <f t="array" ref="BY829">IF($F829&lt;&gt;"",XLOOKUP($F829,Productos!$A:$A,Productos!BR:BR,"Revisar"),"")</f>
        <v/>
      </c>
      <c r="BZ829" s="179" t="str">
        <f t="array" ref="BZ829">IF($F829&lt;&gt;"", XLOOKUP($F829,Productos!$A$2:$A1001,Productos!BS$2:BS1001,"")*$G829,"")</f>
        <v/>
      </c>
    </row>
    <row r="830">
      <c r="A830" s="188"/>
      <c r="B830" s="189"/>
      <c r="C830" s="190"/>
      <c r="D830" s="190"/>
      <c r="E830" s="191"/>
      <c r="F830" s="186"/>
      <c r="G830" s="192"/>
      <c r="H830" s="9"/>
      <c r="I830" s="179" t="str">
        <f t="array" ref="I830">IF($F830&lt;&gt;"",XLOOKUP($F830,Productos!$A:$A,Productos!B:B,"Revisar"),"")</f>
        <v/>
      </c>
      <c r="J830" s="179" t="str">
        <f t="array" ref="J830">IF($F830&lt;&gt;"", XLOOKUP($F830,Productos!$A$2:$A1001,Productos!C$2:C1001,"")*$G830,"")</f>
        <v/>
      </c>
      <c r="K830" s="179" t="str">
        <f t="array" ref="K830">IF($F830&lt;&gt;"",XLOOKUP($F830,Productos!$A:$A,Productos!D:D,"Revisar"),"")</f>
        <v/>
      </c>
      <c r="L830" s="179" t="str">
        <f t="array" ref="L830">IF($F830&lt;&gt;"", XLOOKUP($F830,Productos!$A$2:$A1001,Productos!E$2:E1001,"")*$G830,"")</f>
        <v/>
      </c>
      <c r="M830" s="179" t="str">
        <f t="array" ref="M830">IF($F830&lt;&gt;"",XLOOKUP($F830,Productos!$A:$A,Productos!F:F,"Revisar"),"")</f>
        <v/>
      </c>
      <c r="N830" s="179" t="str">
        <f t="array" ref="N830">IF($F830&lt;&gt;"", XLOOKUP($F830,Productos!$A$2:$A1001,Productos!G$2:G1001,"")*$G830,"")</f>
        <v/>
      </c>
      <c r="O830" s="179" t="str">
        <f t="array" ref="O830">IF($F830&lt;&gt;"",XLOOKUP($F830,Productos!$A:$A,Productos!H:H,"Revisar"),"")</f>
        <v/>
      </c>
      <c r="P830" s="179" t="str">
        <f t="array" ref="P830">IF($F830&lt;&gt;"", XLOOKUP($F830,Productos!$A$2:$A1001,Productos!I$2:I1001,"")*$G830,"")</f>
        <v/>
      </c>
      <c r="Q830" s="179" t="str">
        <f t="array" ref="Q830">IF($F830&lt;&gt;"",XLOOKUP($F830,Productos!$A:$A,Productos!J:J,"Revisar"),"")</f>
        <v/>
      </c>
      <c r="R830" s="179" t="str">
        <f t="array" ref="R830">IF($F830&lt;&gt;"", XLOOKUP($F830,Productos!$A$2:$A1001,Productos!K$2:K1001,"")*$G830,"")</f>
        <v/>
      </c>
      <c r="S830" s="179" t="str">
        <f t="array" ref="S830">IF($F830&lt;&gt;"",XLOOKUP($F830,Productos!$A:$A,Productos!L:L,"Revisar"),"")</f>
        <v/>
      </c>
      <c r="T830" s="179" t="str">
        <f t="array" ref="T830">IF($F830&lt;&gt;"", XLOOKUP($F830,Productos!$A$2:$A1001,Productos!M$2:M1001,"")*$G830,"")</f>
        <v/>
      </c>
      <c r="U830" s="179" t="str">
        <f t="array" ref="U830">IF($F830&lt;&gt;"",XLOOKUP($F830,Productos!$A:$A,Productos!N:N,"Revisar"),"")</f>
        <v/>
      </c>
      <c r="V830" s="179" t="str">
        <f t="array" ref="V830">IF($F830&lt;&gt;"", XLOOKUP($F830,Productos!$A$2:$A1001,Productos!O$2:O1001,"")*$G830,"")</f>
        <v/>
      </c>
      <c r="W830" s="179" t="str">
        <f t="array" ref="W830">IF($F830&lt;&gt;"",XLOOKUP($F830,Productos!$A:$A,Productos!P:P,"Revisar"),"")</f>
        <v/>
      </c>
      <c r="X830" s="179" t="str">
        <f t="array" ref="X830">IF($F830&lt;&gt;"", XLOOKUP($F830,Productos!$A$2:$A1001,Productos!Q$2:Q1001,"")*$G830,"")</f>
        <v/>
      </c>
      <c r="Y830" s="179" t="str">
        <f t="array" ref="Y830">IF($F830&lt;&gt;"",XLOOKUP($F830,Productos!$A:$A,Productos!R:R,"Revisar"),"")</f>
        <v/>
      </c>
      <c r="Z830" s="179" t="str">
        <f t="array" ref="Z830">IF($F830&lt;&gt;"", XLOOKUP($F830,Productos!$A$2:$A1001,Productos!S$2:S1001,"")*$G830,"")</f>
        <v/>
      </c>
      <c r="AA830" s="179" t="str">
        <f t="array" ref="AA830">IF($F830&lt;&gt;"",XLOOKUP($F830,Productos!$A:$A,Productos!T:T,"Revisar"),"")</f>
        <v/>
      </c>
      <c r="AB830" s="179" t="str">
        <f t="array" ref="AB830">IF($F830&lt;&gt;"", XLOOKUP($F830,Productos!$A$2:$A1001,Productos!U$2:U1001,"")*$G830,"")</f>
        <v/>
      </c>
      <c r="AC830" s="179" t="str">
        <f t="array" ref="AC830">IF($F830&lt;&gt;"",XLOOKUP($F830,Productos!$A:$A,Productos!V:V,"Revisar"),"")</f>
        <v/>
      </c>
      <c r="AD830" s="179" t="str">
        <f t="array" ref="AD830">IF($F830&lt;&gt;"", XLOOKUP($F830,Productos!$A$2:$A1001,Productos!W$2:W1001,"")*$G830,"")</f>
        <v/>
      </c>
      <c r="AE830" s="179" t="str">
        <f t="array" ref="AE830">IF($F830&lt;&gt;"",XLOOKUP($F830,Productos!$A:$A,Productos!X:X,"Revisar"),"")</f>
        <v/>
      </c>
      <c r="AF830" s="179" t="str">
        <f t="array" ref="AF830">IF($F830&lt;&gt;"", XLOOKUP($F830,Productos!$A$2:$A1001,Productos!Y$2:Y1001,"")*$G830,"")</f>
        <v/>
      </c>
      <c r="AG830" s="179" t="str">
        <f t="array" ref="AG830">IF($F830&lt;&gt;"",XLOOKUP($F830,Productos!$A:$A,Productos!Z:Z,"Revisar"),"")</f>
        <v/>
      </c>
      <c r="AH830" s="179" t="str">
        <f t="array" ref="AH830">IF($F830&lt;&gt;"", XLOOKUP($F830,Productos!$A$2:$A1001,Productos!AA$2:AA1001,"")*$G830,"")</f>
        <v/>
      </c>
      <c r="AI830" s="179" t="str">
        <f t="array" ref="AI830">IF($F830&lt;&gt;"",XLOOKUP($F830,Productos!$A:$A,Productos!AB:AB,"Revisar"),"")</f>
        <v/>
      </c>
      <c r="AJ830" s="179" t="str">
        <f t="array" ref="AJ830">IF($F830&lt;&gt;"", XLOOKUP($F830,Productos!$A$2:$A1001,Productos!AC$2:AC1001,"")*$G830,"")</f>
        <v/>
      </c>
      <c r="AK830" s="179" t="str">
        <f t="array" ref="AK830">IF($F830&lt;&gt;"",XLOOKUP($F830,Productos!$A:$A,Productos!AD:AD,"Revisar"),"")</f>
        <v/>
      </c>
      <c r="AL830" s="179" t="str">
        <f t="array" ref="AL830">IF($F830&lt;&gt;"", XLOOKUP($F830,Productos!$A$2:$A1001,Productos!AE$2:AE1001,"")*$G830,"")</f>
        <v/>
      </c>
      <c r="AM830" s="179" t="str">
        <f t="array" ref="AM830">IF($F830&lt;&gt;"",XLOOKUP($F830,Productos!$A:$A,Productos!AF:AF,"Revisar"),"")</f>
        <v/>
      </c>
      <c r="AN830" s="179" t="str">
        <f t="array" ref="AN830">IF($F830&lt;&gt;"", XLOOKUP($F830,Productos!$A$2:$A1001,Productos!AG$2:AG1001,"")*$G830,"")</f>
        <v/>
      </c>
      <c r="AO830" s="179" t="str">
        <f t="array" ref="AO830">IF($F830&lt;&gt;"",XLOOKUP($F830,Productos!$A:$A,Productos!AH:AH,"Revisar"),"")</f>
        <v/>
      </c>
      <c r="AP830" s="179" t="str">
        <f t="array" ref="AP830">IF($F830&lt;&gt;"", XLOOKUP($F830,Productos!$A$2:$A1001,Productos!AI$2:AI1001,"")*$G830,"")</f>
        <v/>
      </c>
      <c r="AQ830" s="179" t="str">
        <f t="array" ref="AQ830">IF($F830&lt;&gt;"",XLOOKUP($F830,Productos!$A:$A,Productos!AJ:AJ,"Revisar"),"")</f>
        <v/>
      </c>
      <c r="AR830" s="179" t="str">
        <f t="array" ref="AR830">IF($F830&lt;&gt;"", XLOOKUP($F830,Productos!$A$2:$A1001,Productos!AK$2:AK1001,"")*$G830,"")</f>
        <v/>
      </c>
      <c r="AS830" s="179" t="str">
        <f t="array" ref="AS830">IF($F830&lt;&gt;"",XLOOKUP($F830,Productos!$A:$A,Productos!AL:AL,"Revisar"),"")</f>
        <v/>
      </c>
      <c r="AT830" s="179" t="str">
        <f t="array" ref="AT830">IF($F830&lt;&gt;"", XLOOKUP($F830,Productos!$A$2:$A1001,Productos!AM$2:AM1001,"")*$G830,"")</f>
        <v/>
      </c>
      <c r="AU830" s="179" t="str">
        <f t="array" ref="AU830">IF($F830&lt;&gt;"",XLOOKUP($F830,Productos!$A:$A,Productos!AN:AN,"Revisar"),"")</f>
        <v/>
      </c>
      <c r="AV830" s="179" t="str">
        <f t="array" ref="AV830">IF($F830&lt;&gt;"", XLOOKUP($F830,Productos!$A$2:$A1001,Productos!AO$2:AO1001,"")*$G830,"")</f>
        <v/>
      </c>
      <c r="AW830" s="179" t="str">
        <f t="array" ref="AW830">IF($F830&lt;&gt;"",XLOOKUP($F830,Productos!$A:$A,Productos!AP:AP,"Revisar"),"")</f>
        <v/>
      </c>
      <c r="AX830" s="179" t="str">
        <f t="array" ref="AX830">IF($F830&lt;&gt;"", XLOOKUP($F830,Productos!$A$2:$A1001,Productos!AQ$2:AQ1001,"")*$G830,"")</f>
        <v/>
      </c>
      <c r="AY830" s="179" t="str">
        <f t="array" ref="AY830">IF($F830&lt;&gt;"",XLOOKUP($F830,Productos!$A:$A,Productos!AR:AR,"Revisar"),"")</f>
        <v/>
      </c>
      <c r="AZ830" s="179" t="str">
        <f t="array" ref="AZ830">IF($F830&lt;&gt;"", XLOOKUP($F830,Productos!$A$2:$A1001,Productos!AS$2:AS1001,"")*$G830,"")</f>
        <v/>
      </c>
      <c r="BA830" s="179" t="str">
        <f t="array" ref="BA830">IF($F830&lt;&gt;"",XLOOKUP($F830,Productos!$A:$A,Productos!AT:AT,"Revisar"),"")</f>
        <v/>
      </c>
      <c r="BB830" s="179" t="str">
        <f t="array" ref="BB830">IF($F830&lt;&gt;"", XLOOKUP($F830,Productos!$A$2:$A1001,Productos!AU$2:AU1001,"")*$G830,"")</f>
        <v/>
      </c>
      <c r="BC830" s="179" t="str">
        <f t="array" ref="BC830">IF($F830&lt;&gt;"",XLOOKUP($F830,Productos!$A:$A,Productos!AV:AV,"Revisar"),"")</f>
        <v/>
      </c>
      <c r="BD830" s="179" t="str">
        <f t="array" ref="BD830">IF($F830&lt;&gt;"", XLOOKUP($F830,Productos!$A$2:$A1001,Productos!AW$2:AW1001,"")*$G830,"")</f>
        <v/>
      </c>
      <c r="BE830" s="179" t="str">
        <f t="array" ref="BE830">IF($F830&lt;&gt;"",XLOOKUP($F830,Productos!$A:$A,Productos!AX:AX,"Revisar"),"")</f>
        <v/>
      </c>
      <c r="BF830" s="179" t="str">
        <f t="array" ref="BF830">IF($F830&lt;&gt;"", XLOOKUP($F830,Productos!$A$2:$A1001,Productos!AY$2:AY1001,"")*$G830,"")</f>
        <v/>
      </c>
      <c r="BG830" s="179" t="str">
        <f t="array" ref="BG830">IF($F830&lt;&gt;"",XLOOKUP($F830,Productos!$A:$A,Productos!AZ:AZ,"Revisar"),"")</f>
        <v/>
      </c>
      <c r="BH830" s="179" t="str">
        <f t="array" ref="BH830">IF($F830&lt;&gt;"", XLOOKUP($F830,Productos!$A$2:$A1001,Productos!BA$2:BA1001,"")*$G830,"")</f>
        <v/>
      </c>
      <c r="BI830" s="179" t="str">
        <f t="array" ref="BI830">IF($F830&lt;&gt;"",XLOOKUP($F830,Productos!$A:$A,Productos!BB:BB,"Revisar"),"")</f>
        <v/>
      </c>
      <c r="BJ830" s="179" t="str">
        <f t="array" ref="BJ830">IF($F830&lt;&gt;"", XLOOKUP($F830,Productos!$A$2:$A1001,Productos!BC$2:BC1001,"")*$G830,"")</f>
        <v/>
      </c>
      <c r="BK830" s="179" t="str">
        <f t="array" ref="BK830">IF($F830&lt;&gt;"",XLOOKUP($F830,Productos!$A:$A,Productos!BD:BD,"Revisar"),"")</f>
        <v/>
      </c>
      <c r="BL830" s="179" t="str">
        <f t="array" ref="BL830">IF($F830&lt;&gt;"", XLOOKUP($F830,Productos!$A$2:$A1001,Productos!BE$2:BE1001,"")*$G830,"")</f>
        <v/>
      </c>
      <c r="BM830" s="179" t="str">
        <f t="array" ref="BM830">IF($F830&lt;&gt;"",XLOOKUP($F830,Productos!$A:$A,Productos!BF:BF,"Revisar"),"")</f>
        <v/>
      </c>
      <c r="BN830" s="179" t="str">
        <f t="array" ref="BN830">IF($F830&lt;&gt;"", XLOOKUP($F830,Productos!$A$2:$A1001,Productos!BG$2:BG1001,"")*$G830,"")</f>
        <v/>
      </c>
      <c r="BO830" s="179" t="str">
        <f t="array" ref="BO830">IF($F830&lt;&gt;"",XLOOKUP($F830,Productos!$A:$A,Productos!BH:BH,"Revisar"),"")</f>
        <v/>
      </c>
      <c r="BP830" s="179" t="str">
        <f t="array" ref="BP830">IF($F830&lt;&gt;"", XLOOKUP($F830,Productos!$A$2:$A1001,Productos!BI$2:BI1001,"")*$G830,"")</f>
        <v/>
      </c>
      <c r="BQ830" s="179" t="str">
        <f t="array" ref="BQ830">IF($F830&lt;&gt;"",XLOOKUP($F830,Productos!$A:$A,Productos!BJ:BJ,"Revisar"),"")</f>
        <v/>
      </c>
      <c r="BR830" s="179" t="str">
        <f t="array" ref="BR830">IF($F830&lt;&gt;"", XLOOKUP($F830,Productos!$A$2:$A1001,Productos!BK$2:BK1001,"")*$G830,"")</f>
        <v/>
      </c>
      <c r="BS830" s="179" t="str">
        <f t="array" ref="BS830">IF($F830&lt;&gt;"",XLOOKUP($F830,Productos!$A:$A,Productos!BL:BL,"Revisar"),"")</f>
        <v/>
      </c>
      <c r="BT830" s="179" t="str">
        <f t="array" ref="BT830">IF($F830&lt;&gt;"", XLOOKUP($F830,Productos!$A$2:$A1001,Productos!BM$2:BM1001,"")*$G830,"")</f>
        <v/>
      </c>
      <c r="BU830" s="179" t="str">
        <f t="array" ref="BU830">IF($F830&lt;&gt;"",XLOOKUP($F830,Productos!$A:$A,Productos!BN:BN,"Revisar"),"")</f>
        <v/>
      </c>
      <c r="BV830" s="179" t="str">
        <f t="array" ref="BV830">IF($F830&lt;&gt;"", XLOOKUP($F830,Productos!$A$2:$A1001,Productos!BO$2:BO1001,"")*$G830,"")</f>
        <v/>
      </c>
      <c r="BW830" s="179" t="str">
        <f t="array" ref="BW830">IF($F830&lt;&gt;"",XLOOKUP($F830,Productos!$A:$A,Productos!BP:BP,"Revisar"),"")</f>
        <v/>
      </c>
      <c r="BX830" s="179" t="str">
        <f t="array" ref="BX830">IF($F830&lt;&gt;"", XLOOKUP($F830,Productos!$A$2:$A1001,Productos!BQ$2:BQ1001,"")*$G830,"")</f>
        <v/>
      </c>
      <c r="BY830" s="179" t="str">
        <f t="array" ref="BY830">IF($F830&lt;&gt;"",XLOOKUP($F830,Productos!$A:$A,Productos!BR:BR,"Revisar"),"")</f>
        <v/>
      </c>
      <c r="BZ830" s="179" t="str">
        <f t="array" ref="BZ830">IF($F830&lt;&gt;"", XLOOKUP($F830,Productos!$A$2:$A1001,Productos!BS$2:BS1001,"")*$G830,"")</f>
        <v/>
      </c>
    </row>
    <row r="831">
      <c r="A831" s="188"/>
      <c r="B831" s="189"/>
      <c r="C831" s="190"/>
      <c r="D831" s="190"/>
      <c r="E831" s="191"/>
      <c r="F831" s="186"/>
      <c r="G831" s="192"/>
      <c r="H831" s="9"/>
      <c r="I831" s="179" t="str">
        <f t="array" ref="I831">IF($F831&lt;&gt;"",XLOOKUP($F831,Productos!$A:$A,Productos!B:B,"Revisar"),"")</f>
        <v/>
      </c>
      <c r="J831" s="179" t="str">
        <f t="array" ref="J831">IF($F831&lt;&gt;"", XLOOKUP($F831,Productos!$A$2:$A1001,Productos!C$2:C1001,"")*$G831,"")</f>
        <v/>
      </c>
      <c r="K831" s="179" t="str">
        <f t="array" ref="K831">IF($F831&lt;&gt;"",XLOOKUP($F831,Productos!$A:$A,Productos!D:D,"Revisar"),"")</f>
        <v/>
      </c>
      <c r="L831" s="179" t="str">
        <f t="array" ref="L831">IF($F831&lt;&gt;"", XLOOKUP($F831,Productos!$A$2:$A1001,Productos!E$2:E1001,"")*$G831,"")</f>
        <v/>
      </c>
      <c r="M831" s="179" t="str">
        <f t="array" ref="M831">IF($F831&lt;&gt;"",XLOOKUP($F831,Productos!$A:$A,Productos!F:F,"Revisar"),"")</f>
        <v/>
      </c>
      <c r="N831" s="179" t="str">
        <f t="array" ref="N831">IF($F831&lt;&gt;"", XLOOKUP($F831,Productos!$A$2:$A1001,Productos!G$2:G1001,"")*$G831,"")</f>
        <v/>
      </c>
      <c r="O831" s="179" t="str">
        <f t="array" ref="O831">IF($F831&lt;&gt;"",XLOOKUP($F831,Productos!$A:$A,Productos!H:H,"Revisar"),"")</f>
        <v/>
      </c>
      <c r="P831" s="179" t="str">
        <f t="array" ref="P831">IF($F831&lt;&gt;"", XLOOKUP($F831,Productos!$A$2:$A1001,Productos!I$2:I1001,"")*$G831,"")</f>
        <v/>
      </c>
      <c r="Q831" s="179" t="str">
        <f t="array" ref="Q831">IF($F831&lt;&gt;"",XLOOKUP($F831,Productos!$A:$A,Productos!J:J,"Revisar"),"")</f>
        <v/>
      </c>
      <c r="R831" s="179" t="str">
        <f t="array" ref="R831">IF($F831&lt;&gt;"", XLOOKUP($F831,Productos!$A$2:$A1001,Productos!K$2:K1001,"")*$G831,"")</f>
        <v/>
      </c>
      <c r="S831" s="179" t="str">
        <f t="array" ref="S831">IF($F831&lt;&gt;"",XLOOKUP($F831,Productos!$A:$A,Productos!L:L,"Revisar"),"")</f>
        <v/>
      </c>
      <c r="T831" s="179" t="str">
        <f t="array" ref="T831">IF($F831&lt;&gt;"", XLOOKUP($F831,Productos!$A$2:$A1001,Productos!M$2:M1001,"")*$G831,"")</f>
        <v/>
      </c>
      <c r="U831" s="179" t="str">
        <f t="array" ref="U831">IF($F831&lt;&gt;"",XLOOKUP($F831,Productos!$A:$A,Productos!N:N,"Revisar"),"")</f>
        <v/>
      </c>
      <c r="V831" s="179" t="str">
        <f t="array" ref="V831">IF($F831&lt;&gt;"", XLOOKUP($F831,Productos!$A$2:$A1001,Productos!O$2:O1001,"")*$G831,"")</f>
        <v/>
      </c>
      <c r="W831" s="179" t="str">
        <f t="array" ref="W831">IF($F831&lt;&gt;"",XLOOKUP($F831,Productos!$A:$A,Productos!P:P,"Revisar"),"")</f>
        <v/>
      </c>
      <c r="X831" s="179" t="str">
        <f t="array" ref="X831">IF($F831&lt;&gt;"", XLOOKUP($F831,Productos!$A$2:$A1001,Productos!Q$2:Q1001,"")*$G831,"")</f>
        <v/>
      </c>
      <c r="Y831" s="179" t="str">
        <f t="array" ref="Y831">IF($F831&lt;&gt;"",XLOOKUP($F831,Productos!$A:$A,Productos!R:R,"Revisar"),"")</f>
        <v/>
      </c>
      <c r="Z831" s="179" t="str">
        <f t="array" ref="Z831">IF($F831&lt;&gt;"", XLOOKUP($F831,Productos!$A$2:$A1001,Productos!S$2:S1001,"")*$G831,"")</f>
        <v/>
      </c>
      <c r="AA831" s="179" t="str">
        <f t="array" ref="AA831">IF($F831&lt;&gt;"",XLOOKUP($F831,Productos!$A:$A,Productos!T:T,"Revisar"),"")</f>
        <v/>
      </c>
      <c r="AB831" s="179" t="str">
        <f t="array" ref="AB831">IF($F831&lt;&gt;"", XLOOKUP($F831,Productos!$A$2:$A1001,Productos!U$2:U1001,"")*$G831,"")</f>
        <v/>
      </c>
      <c r="AC831" s="179" t="str">
        <f t="array" ref="AC831">IF($F831&lt;&gt;"",XLOOKUP($F831,Productos!$A:$A,Productos!V:V,"Revisar"),"")</f>
        <v/>
      </c>
      <c r="AD831" s="179" t="str">
        <f t="array" ref="AD831">IF($F831&lt;&gt;"", XLOOKUP($F831,Productos!$A$2:$A1001,Productos!W$2:W1001,"")*$G831,"")</f>
        <v/>
      </c>
      <c r="AE831" s="179" t="str">
        <f t="array" ref="AE831">IF($F831&lt;&gt;"",XLOOKUP($F831,Productos!$A:$A,Productos!X:X,"Revisar"),"")</f>
        <v/>
      </c>
      <c r="AF831" s="179" t="str">
        <f t="array" ref="AF831">IF($F831&lt;&gt;"", XLOOKUP($F831,Productos!$A$2:$A1001,Productos!Y$2:Y1001,"")*$G831,"")</f>
        <v/>
      </c>
      <c r="AG831" s="179" t="str">
        <f t="array" ref="AG831">IF($F831&lt;&gt;"",XLOOKUP($F831,Productos!$A:$A,Productos!Z:Z,"Revisar"),"")</f>
        <v/>
      </c>
      <c r="AH831" s="179" t="str">
        <f t="array" ref="AH831">IF($F831&lt;&gt;"", XLOOKUP($F831,Productos!$A$2:$A1001,Productos!AA$2:AA1001,"")*$G831,"")</f>
        <v/>
      </c>
      <c r="AI831" s="179" t="str">
        <f t="array" ref="AI831">IF($F831&lt;&gt;"",XLOOKUP($F831,Productos!$A:$A,Productos!AB:AB,"Revisar"),"")</f>
        <v/>
      </c>
      <c r="AJ831" s="179" t="str">
        <f t="array" ref="AJ831">IF($F831&lt;&gt;"", XLOOKUP($F831,Productos!$A$2:$A1001,Productos!AC$2:AC1001,"")*$G831,"")</f>
        <v/>
      </c>
      <c r="AK831" s="179" t="str">
        <f t="array" ref="AK831">IF($F831&lt;&gt;"",XLOOKUP($F831,Productos!$A:$A,Productos!AD:AD,"Revisar"),"")</f>
        <v/>
      </c>
      <c r="AL831" s="179" t="str">
        <f t="array" ref="AL831">IF($F831&lt;&gt;"", XLOOKUP($F831,Productos!$A$2:$A1001,Productos!AE$2:AE1001,"")*$G831,"")</f>
        <v/>
      </c>
      <c r="AM831" s="179" t="str">
        <f t="array" ref="AM831">IF($F831&lt;&gt;"",XLOOKUP($F831,Productos!$A:$A,Productos!AF:AF,"Revisar"),"")</f>
        <v/>
      </c>
      <c r="AN831" s="179" t="str">
        <f t="array" ref="AN831">IF($F831&lt;&gt;"", XLOOKUP($F831,Productos!$A$2:$A1001,Productos!AG$2:AG1001,"")*$G831,"")</f>
        <v/>
      </c>
      <c r="AO831" s="179" t="str">
        <f t="array" ref="AO831">IF($F831&lt;&gt;"",XLOOKUP($F831,Productos!$A:$A,Productos!AH:AH,"Revisar"),"")</f>
        <v/>
      </c>
      <c r="AP831" s="179" t="str">
        <f t="array" ref="AP831">IF($F831&lt;&gt;"", XLOOKUP($F831,Productos!$A$2:$A1001,Productos!AI$2:AI1001,"")*$G831,"")</f>
        <v/>
      </c>
      <c r="AQ831" s="179" t="str">
        <f t="array" ref="AQ831">IF($F831&lt;&gt;"",XLOOKUP($F831,Productos!$A:$A,Productos!AJ:AJ,"Revisar"),"")</f>
        <v/>
      </c>
      <c r="AR831" s="179" t="str">
        <f t="array" ref="AR831">IF($F831&lt;&gt;"", XLOOKUP($F831,Productos!$A$2:$A1001,Productos!AK$2:AK1001,"")*$G831,"")</f>
        <v/>
      </c>
      <c r="AS831" s="179" t="str">
        <f t="array" ref="AS831">IF($F831&lt;&gt;"",XLOOKUP($F831,Productos!$A:$A,Productos!AL:AL,"Revisar"),"")</f>
        <v/>
      </c>
      <c r="AT831" s="179" t="str">
        <f t="array" ref="AT831">IF($F831&lt;&gt;"", XLOOKUP($F831,Productos!$A$2:$A1001,Productos!AM$2:AM1001,"")*$G831,"")</f>
        <v/>
      </c>
      <c r="AU831" s="179" t="str">
        <f t="array" ref="AU831">IF($F831&lt;&gt;"",XLOOKUP($F831,Productos!$A:$A,Productos!AN:AN,"Revisar"),"")</f>
        <v/>
      </c>
      <c r="AV831" s="179" t="str">
        <f t="array" ref="AV831">IF($F831&lt;&gt;"", XLOOKUP($F831,Productos!$A$2:$A1001,Productos!AO$2:AO1001,"")*$G831,"")</f>
        <v/>
      </c>
      <c r="AW831" s="179" t="str">
        <f t="array" ref="AW831">IF($F831&lt;&gt;"",XLOOKUP($F831,Productos!$A:$A,Productos!AP:AP,"Revisar"),"")</f>
        <v/>
      </c>
      <c r="AX831" s="179" t="str">
        <f t="array" ref="AX831">IF($F831&lt;&gt;"", XLOOKUP($F831,Productos!$A$2:$A1001,Productos!AQ$2:AQ1001,"")*$G831,"")</f>
        <v/>
      </c>
      <c r="AY831" s="179" t="str">
        <f t="array" ref="AY831">IF($F831&lt;&gt;"",XLOOKUP($F831,Productos!$A:$A,Productos!AR:AR,"Revisar"),"")</f>
        <v/>
      </c>
      <c r="AZ831" s="179" t="str">
        <f t="array" ref="AZ831">IF($F831&lt;&gt;"", XLOOKUP($F831,Productos!$A$2:$A1001,Productos!AS$2:AS1001,"")*$G831,"")</f>
        <v/>
      </c>
      <c r="BA831" s="179" t="str">
        <f t="array" ref="BA831">IF($F831&lt;&gt;"",XLOOKUP($F831,Productos!$A:$A,Productos!AT:AT,"Revisar"),"")</f>
        <v/>
      </c>
      <c r="BB831" s="179" t="str">
        <f t="array" ref="BB831">IF($F831&lt;&gt;"", XLOOKUP($F831,Productos!$A$2:$A1001,Productos!AU$2:AU1001,"")*$G831,"")</f>
        <v/>
      </c>
      <c r="BC831" s="179" t="str">
        <f t="array" ref="BC831">IF($F831&lt;&gt;"",XLOOKUP($F831,Productos!$A:$A,Productos!AV:AV,"Revisar"),"")</f>
        <v/>
      </c>
      <c r="BD831" s="179" t="str">
        <f t="array" ref="BD831">IF($F831&lt;&gt;"", XLOOKUP($F831,Productos!$A$2:$A1001,Productos!AW$2:AW1001,"")*$G831,"")</f>
        <v/>
      </c>
      <c r="BE831" s="179" t="str">
        <f t="array" ref="BE831">IF($F831&lt;&gt;"",XLOOKUP($F831,Productos!$A:$A,Productos!AX:AX,"Revisar"),"")</f>
        <v/>
      </c>
      <c r="BF831" s="179" t="str">
        <f t="array" ref="BF831">IF($F831&lt;&gt;"", XLOOKUP($F831,Productos!$A$2:$A1001,Productos!AY$2:AY1001,"")*$G831,"")</f>
        <v/>
      </c>
      <c r="BG831" s="179" t="str">
        <f t="array" ref="BG831">IF($F831&lt;&gt;"",XLOOKUP($F831,Productos!$A:$A,Productos!AZ:AZ,"Revisar"),"")</f>
        <v/>
      </c>
      <c r="BH831" s="179" t="str">
        <f t="array" ref="BH831">IF($F831&lt;&gt;"", XLOOKUP($F831,Productos!$A$2:$A1001,Productos!BA$2:BA1001,"")*$G831,"")</f>
        <v/>
      </c>
      <c r="BI831" s="179" t="str">
        <f t="array" ref="BI831">IF($F831&lt;&gt;"",XLOOKUP($F831,Productos!$A:$A,Productos!BB:BB,"Revisar"),"")</f>
        <v/>
      </c>
      <c r="BJ831" s="179" t="str">
        <f t="array" ref="BJ831">IF($F831&lt;&gt;"", XLOOKUP($F831,Productos!$A$2:$A1001,Productos!BC$2:BC1001,"")*$G831,"")</f>
        <v/>
      </c>
      <c r="BK831" s="179" t="str">
        <f t="array" ref="BK831">IF($F831&lt;&gt;"",XLOOKUP($F831,Productos!$A:$A,Productos!BD:BD,"Revisar"),"")</f>
        <v/>
      </c>
      <c r="BL831" s="179" t="str">
        <f t="array" ref="BL831">IF($F831&lt;&gt;"", XLOOKUP($F831,Productos!$A$2:$A1001,Productos!BE$2:BE1001,"")*$G831,"")</f>
        <v/>
      </c>
      <c r="BM831" s="179" t="str">
        <f t="array" ref="BM831">IF($F831&lt;&gt;"",XLOOKUP($F831,Productos!$A:$A,Productos!BF:BF,"Revisar"),"")</f>
        <v/>
      </c>
      <c r="BN831" s="179" t="str">
        <f t="array" ref="BN831">IF($F831&lt;&gt;"", XLOOKUP($F831,Productos!$A$2:$A1001,Productos!BG$2:BG1001,"")*$G831,"")</f>
        <v/>
      </c>
      <c r="BO831" s="179" t="str">
        <f t="array" ref="BO831">IF($F831&lt;&gt;"",XLOOKUP($F831,Productos!$A:$A,Productos!BH:BH,"Revisar"),"")</f>
        <v/>
      </c>
      <c r="BP831" s="179" t="str">
        <f t="array" ref="BP831">IF($F831&lt;&gt;"", XLOOKUP($F831,Productos!$A$2:$A1001,Productos!BI$2:BI1001,"")*$G831,"")</f>
        <v/>
      </c>
      <c r="BQ831" s="179" t="str">
        <f t="array" ref="BQ831">IF($F831&lt;&gt;"",XLOOKUP($F831,Productos!$A:$A,Productos!BJ:BJ,"Revisar"),"")</f>
        <v/>
      </c>
      <c r="BR831" s="179" t="str">
        <f t="array" ref="BR831">IF($F831&lt;&gt;"", XLOOKUP($F831,Productos!$A$2:$A1001,Productos!BK$2:BK1001,"")*$G831,"")</f>
        <v/>
      </c>
      <c r="BS831" s="179" t="str">
        <f t="array" ref="BS831">IF($F831&lt;&gt;"",XLOOKUP($F831,Productos!$A:$A,Productos!BL:BL,"Revisar"),"")</f>
        <v/>
      </c>
      <c r="BT831" s="179" t="str">
        <f t="array" ref="BT831">IF($F831&lt;&gt;"", XLOOKUP($F831,Productos!$A$2:$A1001,Productos!BM$2:BM1001,"")*$G831,"")</f>
        <v/>
      </c>
      <c r="BU831" s="179" t="str">
        <f t="array" ref="BU831">IF($F831&lt;&gt;"",XLOOKUP($F831,Productos!$A:$A,Productos!BN:BN,"Revisar"),"")</f>
        <v/>
      </c>
      <c r="BV831" s="179" t="str">
        <f t="array" ref="BV831">IF($F831&lt;&gt;"", XLOOKUP($F831,Productos!$A$2:$A1001,Productos!BO$2:BO1001,"")*$G831,"")</f>
        <v/>
      </c>
      <c r="BW831" s="179" t="str">
        <f t="array" ref="BW831">IF($F831&lt;&gt;"",XLOOKUP($F831,Productos!$A:$A,Productos!BP:BP,"Revisar"),"")</f>
        <v/>
      </c>
      <c r="BX831" s="179" t="str">
        <f t="array" ref="BX831">IF($F831&lt;&gt;"", XLOOKUP($F831,Productos!$A$2:$A1001,Productos!BQ$2:BQ1001,"")*$G831,"")</f>
        <v/>
      </c>
      <c r="BY831" s="179" t="str">
        <f t="array" ref="BY831">IF($F831&lt;&gt;"",XLOOKUP($F831,Productos!$A:$A,Productos!BR:BR,"Revisar"),"")</f>
        <v/>
      </c>
      <c r="BZ831" s="179" t="str">
        <f t="array" ref="BZ831">IF($F831&lt;&gt;"", XLOOKUP($F831,Productos!$A$2:$A1001,Productos!BS$2:BS1001,"")*$G831,"")</f>
        <v/>
      </c>
    </row>
    <row r="832">
      <c r="A832" s="188"/>
      <c r="B832" s="189"/>
      <c r="C832" s="190"/>
      <c r="D832" s="190"/>
      <c r="E832" s="191"/>
      <c r="F832" s="186"/>
      <c r="G832" s="192"/>
      <c r="H832" s="9"/>
      <c r="I832" s="179" t="str">
        <f t="array" ref="I832">IF($F832&lt;&gt;"",XLOOKUP($F832,Productos!$A:$A,Productos!B:B,"Revisar"),"")</f>
        <v/>
      </c>
      <c r="J832" s="179" t="str">
        <f t="array" ref="J832">IF($F832&lt;&gt;"", XLOOKUP($F832,Productos!$A$2:$A1001,Productos!C$2:C1001,"")*$G832,"")</f>
        <v/>
      </c>
      <c r="K832" s="179" t="str">
        <f t="array" ref="K832">IF($F832&lt;&gt;"",XLOOKUP($F832,Productos!$A:$A,Productos!D:D,"Revisar"),"")</f>
        <v/>
      </c>
      <c r="L832" s="179" t="str">
        <f t="array" ref="L832">IF($F832&lt;&gt;"", XLOOKUP($F832,Productos!$A$2:$A1001,Productos!E$2:E1001,"")*$G832,"")</f>
        <v/>
      </c>
      <c r="M832" s="179" t="str">
        <f t="array" ref="M832">IF($F832&lt;&gt;"",XLOOKUP($F832,Productos!$A:$A,Productos!F:F,"Revisar"),"")</f>
        <v/>
      </c>
      <c r="N832" s="179" t="str">
        <f t="array" ref="N832">IF($F832&lt;&gt;"", XLOOKUP($F832,Productos!$A$2:$A1001,Productos!G$2:G1001,"")*$G832,"")</f>
        <v/>
      </c>
      <c r="O832" s="179" t="str">
        <f t="array" ref="O832">IF($F832&lt;&gt;"",XLOOKUP($F832,Productos!$A:$A,Productos!H:H,"Revisar"),"")</f>
        <v/>
      </c>
      <c r="P832" s="179" t="str">
        <f t="array" ref="P832">IF($F832&lt;&gt;"", XLOOKUP($F832,Productos!$A$2:$A1001,Productos!I$2:I1001,"")*$G832,"")</f>
        <v/>
      </c>
      <c r="Q832" s="179" t="str">
        <f t="array" ref="Q832">IF($F832&lt;&gt;"",XLOOKUP($F832,Productos!$A:$A,Productos!J:J,"Revisar"),"")</f>
        <v/>
      </c>
      <c r="R832" s="179" t="str">
        <f t="array" ref="R832">IF($F832&lt;&gt;"", XLOOKUP($F832,Productos!$A$2:$A1001,Productos!K$2:K1001,"")*$G832,"")</f>
        <v/>
      </c>
      <c r="S832" s="179" t="str">
        <f t="array" ref="S832">IF($F832&lt;&gt;"",XLOOKUP($F832,Productos!$A:$A,Productos!L:L,"Revisar"),"")</f>
        <v/>
      </c>
      <c r="T832" s="179" t="str">
        <f t="array" ref="T832">IF($F832&lt;&gt;"", XLOOKUP($F832,Productos!$A$2:$A1001,Productos!M$2:M1001,"")*$G832,"")</f>
        <v/>
      </c>
      <c r="U832" s="179" t="str">
        <f t="array" ref="U832">IF($F832&lt;&gt;"",XLOOKUP($F832,Productos!$A:$A,Productos!N:N,"Revisar"),"")</f>
        <v/>
      </c>
      <c r="V832" s="179" t="str">
        <f t="array" ref="V832">IF($F832&lt;&gt;"", XLOOKUP($F832,Productos!$A$2:$A1001,Productos!O$2:O1001,"")*$G832,"")</f>
        <v/>
      </c>
      <c r="W832" s="179" t="str">
        <f t="array" ref="W832">IF($F832&lt;&gt;"",XLOOKUP($F832,Productos!$A:$A,Productos!P:P,"Revisar"),"")</f>
        <v/>
      </c>
      <c r="X832" s="179" t="str">
        <f t="array" ref="X832">IF($F832&lt;&gt;"", XLOOKUP($F832,Productos!$A$2:$A1001,Productos!Q$2:Q1001,"")*$G832,"")</f>
        <v/>
      </c>
      <c r="Y832" s="179" t="str">
        <f t="array" ref="Y832">IF($F832&lt;&gt;"",XLOOKUP($F832,Productos!$A:$A,Productos!R:R,"Revisar"),"")</f>
        <v/>
      </c>
      <c r="Z832" s="179" t="str">
        <f t="array" ref="Z832">IF($F832&lt;&gt;"", XLOOKUP($F832,Productos!$A$2:$A1001,Productos!S$2:S1001,"")*$G832,"")</f>
        <v/>
      </c>
      <c r="AA832" s="179" t="str">
        <f t="array" ref="AA832">IF($F832&lt;&gt;"",XLOOKUP($F832,Productos!$A:$A,Productos!T:T,"Revisar"),"")</f>
        <v/>
      </c>
      <c r="AB832" s="179" t="str">
        <f t="array" ref="AB832">IF($F832&lt;&gt;"", XLOOKUP($F832,Productos!$A$2:$A1001,Productos!U$2:U1001,"")*$G832,"")</f>
        <v/>
      </c>
      <c r="AC832" s="179" t="str">
        <f t="array" ref="AC832">IF($F832&lt;&gt;"",XLOOKUP($F832,Productos!$A:$A,Productos!V:V,"Revisar"),"")</f>
        <v/>
      </c>
      <c r="AD832" s="179" t="str">
        <f t="array" ref="AD832">IF($F832&lt;&gt;"", XLOOKUP($F832,Productos!$A$2:$A1001,Productos!W$2:W1001,"")*$G832,"")</f>
        <v/>
      </c>
      <c r="AE832" s="179" t="str">
        <f t="array" ref="AE832">IF($F832&lt;&gt;"",XLOOKUP($F832,Productos!$A:$A,Productos!X:X,"Revisar"),"")</f>
        <v/>
      </c>
      <c r="AF832" s="179" t="str">
        <f t="array" ref="AF832">IF($F832&lt;&gt;"", XLOOKUP($F832,Productos!$A$2:$A1001,Productos!Y$2:Y1001,"")*$G832,"")</f>
        <v/>
      </c>
      <c r="AG832" s="179" t="str">
        <f t="array" ref="AG832">IF($F832&lt;&gt;"",XLOOKUP($F832,Productos!$A:$A,Productos!Z:Z,"Revisar"),"")</f>
        <v/>
      </c>
      <c r="AH832" s="179" t="str">
        <f t="array" ref="AH832">IF($F832&lt;&gt;"", XLOOKUP($F832,Productos!$A$2:$A1001,Productos!AA$2:AA1001,"")*$G832,"")</f>
        <v/>
      </c>
      <c r="AI832" s="179" t="str">
        <f t="array" ref="AI832">IF($F832&lt;&gt;"",XLOOKUP($F832,Productos!$A:$A,Productos!AB:AB,"Revisar"),"")</f>
        <v/>
      </c>
      <c r="AJ832" s="179" t="str">
        <f t="array" ref="AJ832">IF($F832&lt;&gt;"", XLOOKUP($F832,Productos!$A$2:$A1001,Productos!AC$2:AC1001,"")*$G832,"")</f>
        <v/>
      </c>
      <c r="AK832" s="179" t="str">
        <f t="array" ref="AK832">IF($F832&lt;&gt;"",XLOOKUP($F832,Productos!$A:$A,Productos!AD:AD,"Revisar"),"")</f>
        <v/>
      </c>
      <c r="AL832" s="179" t="str">
        <f t="array" ref="AL832">IF($F832&lt;&gt;"", XLOOKUP($F832,Productos!$A$2:$A1001,Productos!AE$2:AE1001,"")*$G832,"")</f>
        <v/>
      </c>
      <c r="AM832" s="179" t="str">
        <f t="array" ref="AM832">IF($F832&lt;&gt;"",XLOOKUP($F832,Productos!$A:$A,Productos!AF:AF,"Revisar"),"")</f>
        <v/>
      </c>
      <c r="AN832" s="179" t="str">
        <f t="array" ref="AN832">IF($F832&lt;&gt;"", XLOOKUP($F832,Productos!$A$2:$A1001,Productos!AG$2:AG1001,"")*$G832,"")</f>
        <v/>
      </c>
      <c r="AO832" s="179" t="str">
        <f t="array" ref="AO832">IF($F832&lt;&gt;"",XLOOKUP($F832,Productos!$A:$A,Productos!AH:AH,"Revisar"),"")</f>
        <v/>
      </c>
      <c r="AP832" s="179" t="str">
        <f t="array" ref="AP832">IF($F832&lt;&gt;"", XLOOKUP($F832,Productos!$A$2:$A1001,Productos!AI$2:AI1001,"")*$G832,"")</f>
        <v/>
      </c>
      <c r="AQ832" s="179" t="str">
        <f t="array" ref="AQ832">IF($F832&lt;&gt;"",XLOOKUP($F832,Productos!$A:$A,Productos!AJ:AJ,"Revisar"),"")</f>
        <v/>
      </c>
      <c r="AR832" s="179" t="str">
        <f t="array" ref="AR832">IF($F832&lt;&gt;"", XLOOKUP($F832,Productos!$A$2:$A1001,Productos!AK$2:AK1001,"")*$G832,"")</f>
        <v/>
      </c>
      <c r="AS832" s="179" t="str">
        <f t="array" ref="AS832">IF($F832&lt;&gt;"",XLOOKUP($F832,Productos!$A:$A,Productos!AL:AL,"Revisar"),"")</f>
        <v/>
      </c>
      <c r="AT832" s="179" t="str">
        <f t="array" ref="AT832">IF($F832&lt;&gt;"", XLOOKUP($F832,Productos!$A$2:$A1001,Productos!AM$2:AM1001,"")*$G832,"")</f>
        <v/>
      </c>
      <c r="AU832" s="179" t="str">
        <f t="array" ref="AU832">IF($F832&lt;&gt;"",XLOOKUP($F832,Productos!$A:$A,Productos!AN:AN,"Revisar"),"")</f>
        <v/>
      </c>
      <c r="AV832" s="179" t="str">
        <f t="array" ref="AV832">IF($F832&lt;&gt;"", XLOOKUP($F832,Productos!$A$2:$A1001,Productos!AO$2:AO1001,"")*$G832,"")</f>
        <v/>
      </c>
      <c r="AW832" s="179" t="str">
        <f t="array" ref="AW832">IF($F832&lt;&gt;"",XLOOKUP($F832,Productos!$A:$A,Productos!AP:AP,"Revisar"),"")</f>
        <v/>
      </c>
      <c r="AX832" s="179" t="str">
        <f t="array" ref="AX832">IF($F832&lt;&gt;"", XLOOKUP($F832,Productos!$A$2:$A1001,Productos!AQ$2:AQ1001,"")*$G832,"")</f>
        <v/>
      </c>
      <c r="AY832" s="179" t="str">
        <f t="array" ref="AY832">IF($F832&lt;&gt;"",XLOOKUP($F832,Productos!$A:$A,Productos!AR:AR,"Revisar"),"")</f>
        <v/>
      </c>
      <c r="AZ832" s="179" t="str">
        <f t="array" ref="AZ832">IF($F832&lt;&gt;"", XLOOKUP($F832,Productos!$A$2:$A1001,Productos!AS$2:AS1001,"")*$G832,"")</f>
        <v/>
      </c>
      <c r="BA832" s="179" t="str">
        <f t="array" ref="BA832">IF($F832&lt;&gt;"",XLOOKUP($F832,Productos!$A:$A,Productos!AT:AT,"Revisar"),"")</f>
        <v/>
      </c>
      <c r="BB832" s="179" t="str">
        <f t="array" ref="BB832">IF($F832&lt;&gt;"", XLOOKUP($F832,Productos!$A$2:$A1001,Productos!AU$2:AU1001,"")*$G832,"")</f>
        <v/>
      </c>
      <c r="BC832" s="179" t="str">
        <f t="array" ref="BC832">IF($F832&lt;&gt;"",XLOOKUP($F832,Productos!$A:$A,Productos!AV:AV,"Revisar"),"")</f>
        <v/>
      </c>
      <c r="BD832" s="179" t="str">
        <f t="array" ref="BD832">IF($F832&lt;&gt;"", XLOOKUP($F832,Productos!$A$2:$A1001,Productos!AW$2:AW1001,"")*$G832,"")</f>
        <v/>
      </c>
      <c r="BE832" s="179" t="str">
        <f t="array" ref="BE832">IF($F832&lt;&gt;"",XLOOKUP($F832,Productos!$A:$A,Productos!AX:AX,"Revisar"),"")</f>
        <v/>
      </c>
      <c r="BF832" s="179" t="str">
        <f t="array" ref="BF832">IF($F832&lt;&gt;"", XLOOKUP($F832,Productos!$A$2:$A1001,Productos!AY$2:AY1001,"")*$G832,"")</f>
        <v/>
      </c>
      <c r="BG832" s="179" t="str">
        <f t="array" ref="BG832">IF($F832&lt;&gt;"",XLOOKUP($F832,Productos!$A:$A,Productos!AZ:AZ,"Revisar"),"")</f>
        <v/>
      </c>
      <c r="BH832" s="179" t="str">
        <f t="array" ref="BH832">IF($F832&lt;&gt;"", XLOOKUP($F832,Productos!$A$2:$A1001,Productos!BA$2:BA1001,"")*$G832,"")</f>
        <v/>
      </c>
      <c r="BI832" s="179" t="str">
        <f t="array" ref="BI832">IF($F832&lt;&gt;"",XLOOKUP($F832,Productos!$A:$A,Productos!BB:BB,"Revisar"),"")</f>
        <v/>
      </c>
      <c r="BJ832" s="179" t="str">
        <f t="array" ref="BJ832">IF($F832&lt;&gt;"", XLOOKUP($F832,Productos!$A$2:$A1001,Productos!BC$2:BC1001,"")*$G832,"")</f>
        <v/>
      </c>
      <c r="BK832" s="179" t="str">
        <f t="array" ref="BK832">IF($F832&lt;&gt;"",XLOOKUP($F832,Productos!$A:$A,Productos!BD:BD,"Revisar"),"")</f>
        <v/>
      </c>
      <c r="BL832" s="179" t="str">
        <f t="array" ref="BL832">IF($F832&lt;&gt;"", XLOOKUP($F832,Productos!$A$2:$A1001,Productos!BE$2:BE1001,"")*$G832,"")</f>
        <v/>
      </c>
      <c r="BM832" s="179" t="str">
        <f t="array" ref="BM832">IF($F832&lt;&gt;"",XLOOKUP($F832,Productos!$A:$A,Productos!BF:BF,"Revisar"),"")</f>
        <v/>
      </c>
      <c r="BN832" s="179" t="str">
        <f t="array" ref="BN832">IF($F832&lt;&gt;"", XLOOKUP($F832,Productos!$A$2:$A1001,Productos!BG$2:BG1001,"")*$G832,"")</f>
        <v/>
      </c>
      <c r="BO832" s="179" t="str">
        <f t="array" ref="BO832">IF($F832&lt;&gt;"",XLOOKUP($F832,Productos!$A:$A,Productos!BH:BH,"Revisar"),"")</f>
        <v/>
      </c>
      <c r="BP832" s="179" t="str">
        <f t="array" ref="BP832">IF($F832&lt;&gt;"", XLOOKUP($F832,Productos!$A$2:$A1001,Productos!BI$2:BI1001,"")*$G832,"")</f>
        <v/>
      </c>
      <c r="BQ832" s="179" t="str">
        <f t="array" ref="BQ832">IF($F832&lt;&gt;"",XLOOKUP($F832,Productos!$A:$A,Productos!BJ:BJ,"Revisar"),"")</f>
        <v/>
      </c>
      <c r="BR832" s="179" t="str">
        <f t="array" ref="BR832">IF($F832&lt;&gt;"", XLOOKUP($F832,Productos!$A$2:$A1001,Productos!BK$2:BK1001,"")*$G832,"")</f>
        <v/>
      </c>
      <c r="BS832" s="179" t="str">
        <f t="array" ref="BS832">IF($F832&lt;&gt;"",XLOOKUP($F832,Productos!$A:$A,Productos!BL:BL,"Revisar"),"")</f>
        <v/>
      </c>
      <c r="BT832" s="179" t="str">
        <f t="array" ref="BT832">IF($F832&lt;&gt;"", XLOOKUP($F832,Productos!$A$2:$A1001,Productos!BM$2:BM1001,"")*$G832,"")</f>
        <v/>
      </c>
      <c r="BU832" s="179" t="str">
        <f t="array" ref="BU832">IF($F832&lt;&gt;"",XLOOKUP($F832,Productos!$A:$A,Productos!BN:BN,"Revisar"),"")</f>
        <v/>
      </c>
      <c r="BV832" s="179" t="str">
        <f t="array" ref="BV832">IF($F832&lt;&gt;"", XLOOKUP($F832,Productos!$A$2:$A1001,Productos!BO$2:BO1001,"")*$G832,"")</f>
        <v/>
      </c>
      <c r="BW832" s="179" t="str">
        <f t="array" ref="BW832">IF($F832&lt;&gt;"",XLOOKUP($F832,Productos!$A:$A,Productos!BP:BP,"Revisar"),"")</f>
        <v/>
      </c>
      <c r="BX832" s="179" t="str">
        <f t="array" ref="BX832">IF($F832&lt;&gt;"", XLOOKUP($F832,Productos!$A$2:$A1001,Productos!BQ$2:BQ1001,"")*$G832,"")</f>
        <v/>
      </c>
      <c r="BY832" s="179" t="str">
        <f t="array" ref="BY832">IF($F832&lt;&gt;"",XLOOKUP($F832,Productos!$A:$A,Productos!BR:BR,"Revisar"),"")</f>
        <v/>
      </c>
      <c r="BZ832" s="179" t="str">
        <f t="array" ref="BZ832">IF($F832&lt;&gt;"", XLOOKUP($F832,Productos!$A$2:$A1001,Productos!BS$2:BS1001,"")*$G832,"")</f>
        <v/>
      </c>
    </row>
    <row r="833">
      <c r="A833" s="188"/>
      <c r="B833" s="189"/>
      <c r="C833" s="190"/>
      <c r="D833" s="190"/>
      <c r="E833" s="191"/>
      <c r="F833" s="186"/>
      <c r="G833" s="192"/>
      <c r="H833" s="9"/>
      <c r="I833" s="179" t="str">
        <f t="array" ref="I833">IF($F833&lt;&gt;"",XLOOKUP($F833,Productos!$A:$A,Productos!B:B,"Revisar"),"")</f>
        <v/>
      </c>
      <c r="J833" s="179" t="str">
        <f t="array" ref="J833">IF($F833&lt;&gt;"", XLOOKUP($F833,Productos!$A$2:$A1001,Productos!C$2:C1001,"")*$G833,"")</f>
        <v/>
      </c>
      <c r="K833" s="179" t="str">
        <f t="array" ref="K833">IF($F833&lt;&gt;"",XLOOKUP($F833,Productos!$A:$A,Productos!D:D,"Revisar"),"")</f>
        <v/>
      </c>
      <c r="L833" s="179" t="str">
        <f t="array" ref="L833">IF($F833&lt;&gt;"", XLOOKUP($F833,Productos!$A$2:$A1001,Productos!E$2:E1001,"")*$G833,"")</f>
        <v/>
      </c>
      <c r="M833" s="179" t="str">
        <f t="array" ref="M833">IF($F833&lt;&gt;"",XLOOKUP($F833,Productos!$A:$A,Productos!F:F,"Revisar"),"")</f>
        <v/>
      </c>
      <c r="N833" s="179" t="str">
        <f t="array" ref="N833">IF($F833&lt;&gt;"", XLOOKUP($F833,Productos!$A$2:$A1001,Productos!G$2:G1001,"")*$G833,"")</f>
        <v/>
      </c>
      <c r="O833" s="179" t="str">
        <f t="array" ref="O833">IF($F833&lt;&gt;"",XLOOKUP($F833,Productos!$A:$A,Productos!H:H,"Revisar"),"")</f>
        <v/>
      </c>
      <c r="P833" s="179" t="str">
        <f t="array" ref="P833">IF($F833&lt;&gt;"", XLOOKUP($F833,Productos!$A$2:$A1001,Productos!I$2:I1001,"")*$G833,"")</f>
        <v/>
      </c>
      <c r="Q833" s="179" t="str">
        <f t="array" ref="Q833">IF($F833&lt;&gt;"",XLOOKUP($F833,Productos!$A:$A,Productos!J:J,"Revisar"),"")</f>
        <v/>
      </c>
      <c r="R833" s="179" t="str">
        <f t="array" ref="R833">IF($F833&lt;&gt;"", XLOOKUP($F833,Productos!$A$2:$A1001,Productos!K$2:K1001,"")*$G833,"")</f>
        <v/>
      </c>
      <c r="S833" s="179" t="str">
        <f t="array" ref="S833">IF($F833&lt;&gt;"",XLOOKUP($F833,Productos!$A:$A,Productos!L:L,"Revisar"),"")</f>
        <v/>
      </c>
      <c r="T833" s="179" t="str">
        <f t="array" ref="T833">IF($F833&lt;&gt;"", XLOOKUP($F833,Productos!$A$2:$A1001,Productos!M$2:M1001,"")*$G833,"")</f>
        <v/>
      </c>
      <c r="U833" s="179" t="str">
        <f t="array" ref="U833">IF($F833&lt;&gt;"",XLOOKUP($F833,Productos!$A:$A,Productos!N:N,"Revisar"),"")</f>
        <v/>
      </c>
      <c r="V833" s="179" t="str">
        <f t="array" ref="V833">IF($F833&lt;&gt;"", XLOOKUP($F833,Productos!$A$2:$A1001,Productos!O$2:O1001,"")*$G833,"")</f>
        <v/>
      </c>
      <c r="W833" s="179" t="str">
        <f t="array" ref="W833">IF($F833&lt;&gt;"",XLOOKUP($F833,Productos!$A:$A,Productos!P:P,"Revisar"),"")</f>
        <v/>
      </c>
      <c r="X833" s="179" t="str">
        <f t="array" ref="X833">IF($F833&lt;&gt;"", XLOOKUP($F833,Productos!$A$2:$A1001,Productos!Q$2:Q1001,"")*$G833,"")</f>
        <v/>
      </c>
      <c r="Y833" s="179" t="str">
        <f t="array" ref="Y833">IF($F833&lt;&gt;"",XLOOKUP($F833,Productos!$A:$A,Productos!R:R,"Revisar"),"")</f>
        <v/>
      </c>
      <c r="Z833" s="179" t="str">
        <f t="array" ref="Z833">IF($F833&lt;&gt;"", XLOOKUP($F833,Productos!$A$2:$A1001,Productos!S$2:S1001,"")*$G833,"")</f>
        <v/>
      </c>
      <c r="AA833" s="179" t="str">
        <f t="array" ref="AA833">IF($F833&lt;&gt;"",XLOOKUP($F833,Productos!$A:$A,Productos!T:T,"Revisar"),"")</f>
        <v/>
      </c>
      <c r="AB833" s="179" t="str">
        <f t="array" ref="AB833">IF($F833&lt;&gt;"", XLOOKUP($F833,Productos!$A$2:$A1001,Productos!U$2:U1001,"")*$G833,"")</f>
        <v/>
      </c>
      <c r="AC833" s="179" t="str">
        <f t="array" ref="AC833">IF($F833&lt;&gt;"",XLOOKUP($F833,Productos!$A:$A,Productos!V:V,"Revisar"),"")</f>
        <v/>
      </c>
      <c r="AD833" s="179" t="str">
        <f t="array" ref="AD833">IF($F833&lt;&gt;"", XLOOKUP($F833,Productos!$A$2:$A1001,Productos!W$2:W1001,"")*$G833,"")</f>
        <v/>
      </c>
      <c r="AE833" s="179" t="str">
        <f t="array" ref="AE833">IF($F833&lt;&gt;"",XLOOKUP($F833,Productos!$A:$A,Productos!X:X,"Revisar"),"")</f>
        <v/>
      </c>
      <c r="AF833" s="179" t="str">
        <f t="array" ref="AF833">IF($F833&lt;&gt;"", XLOOKUP($F833,Productos!$A$2:$A1001,Productos!Y$2:Y1001,"")*$G833,"")</f>
        <v/>
      </c>
      <c r="AG833" s="179" t="str">
        <f t="array" ref="AG833">IF($F833&lt;&gt;"",XLOOKUP($F833,Productos!$A:$A,Productos!Z:Z,"Revisar"),"")</f>
        <v/>
      </c>
      <c r="AH833" s="179" t="str">
        <f t="array" ref="AH833">IF($F833&lt;&gt;"", XLOOKUP($F833,Productos!$A$2:$A1001,Productos!AA$2:AA1001,"")*$G833,"")</f>
        <v/>
      </c>
      <c r="AI833" s="179" t="str">
        <f t="array" ref="AI833">IF($F833&lt;&gt;"",XLOOKUP($F833,Productos!$A:$A,Productos!AB:AB,"Revisar"),"")</f>
        <v/>
      </c>
      <c r="AJ833" s="179" t="str">
        <f t="array" ref="AJ833">IF($F833&lt;&gt;"", XLOOKUP($F833,Productos!$A$2:$A1001,Productos!AC$2:AC1001,"")*$G833,"")</f>
        <v/>
      </c>
      <c r="AK833" s="179" t="str">
        <f t="array" ref="AK833">IF($F833&lt;&gt;"",XLOOKUP($F833,Productos!$A:$A,Productos!AD:AD,"Revisar"),"")</f>
        <v/>
      </c>
      <c r="AL833" s="179" t="str">
        <f t="array" ref="AL833">IF($F833&lt;&gt;"", XLOOKUP($F833,Productos!$A$2:$A1001,Productos!AE$2:AE1001,"")*$G833,"")</f>
        <v/>
      </c>
      <c r="AM833" s="179" t="str">
        <f t="array" ref="AM833">IF($F833&lt;&gt;"",XLOOKUP($F833,Productos!$A:$A,Productos!AF:AF,"Revisar"),"")</f>
        <v/>
      </c>
      <c r="AN833" s="179" t="str">
        <f t="array" ref="AN833">IF($F833&lt;&gt;"", XLOOKUP($F833,Productos!$A$2:$A1001,Productos!AG$2:AG1001,"")*$G833,"")</f>
        <v/>
      </c>
      <c r="AO833" s="179" t="str">
        <f t="array" ref="AO833">IF($F833&lt;&gt;"",XLOOKUP($F833,Productos!$A:$A,Productos!AH:AH,"Revisar"),"")</f>
        <v/>
      </c>
      <c r="AP833" s="179" t="str">
        <f t="array" ref="AP833">IF($F833&lt;&gt;"", XLOOKUP($F833,Productos!$A$2:$A1001,Productos!AI$2:AI1001,"")*$G833,"")</f>
        <v/>
      </c>
      <c r="AQ833" s="179" t="str">
        <f t="array" ref="AQ833">IF($F833&lt;&gt;"",XLOOKUP($F833,Productos!$A:$A,Productos!AJ:AJ,"Revisar"),"")</f>
        <v/>
      </c>
      <c r="AR833" s="179" t="str">
        <f t="array" ref="AR833">IF($F833&lt;&gt;"", XLOOKUP($F833,Productos!$A$2:$A1001,Productos!AK$2:AK1001,"")*$G833,"")</f>
        <v/>
      </c>
      <c r="AS833" s="179" t="str">
        <f t="array" ref="AS833">IF($F833&lt;&gt;"",XLOOKUP($F833,Productos!$A:$A,Productos!AL:AL,"Revisar"),"")</f>
        <v/>
      </c>
      <c r="AT833" s="179" t="str">
        <f t="array" ref="AT833">IF($F833&lt;&gt;"", XLOOKUP($F833,Productos!$A$2:$A1001,Productos!AM$2:AM1001,"")*$G833,"")</f>
        <v/>
      </c>
      <c r="AU833" s="179" t="str">
        <f t="array" ref="AU833">IF($F833&lt;&gt;"",XLOOKUP($F833,Productos!$A:$A,Productos!AN:AN,"Revisar"),"")</f>
        <v/>
      </c>
      <c r="AV833" s="179" t="str">
        <f t="array" ref="AV833">IF($F833&lt;&gt;"", XLOOKUP($F833,Productos!$A$2:$A1001,Productos!AO$2:AO1001,"")*$G833,"")</f>
        <v/>
      </c>
      <c r="AW833" s="179" t="str">
        <f t="array" ref="AW833">IF($F833&lt;&gt;"",XLOOKUP($F833,Productos!$A:$A,Productos!AP:AP,"Revisar"),"")</f>
        <v/>
      </c>
      <c r="AX833" s="179" t="str">
        <f t="array" ref="AX833">IF($F833&lt;&gt;"", XLOOKUP($F833,Productos!$A$2:$A1001,Productos!AQ$2:AQ1001,"")*$G833,"")</f>
        <v/>
      </c>
      <c r="AY833" s="179" t="str">
        <f t="array" ref="AY833">IF($F833&lt;&gt;"",XLOOKUP($F833,Productos!$A:$A,Productos!AR:AR,"Revisar"),"")</f>
        <v/>
      </c>
      <c r="AZ833" s="179" t="str">
        <f t="array" ref="AZ833">IF($F833&lt;&gt;"", XLOOKUP($F833,Productos!$A$2:$A1001,Productos!AS$2:AS1001,"")*$G833,"")</f>
        <v/>
      </c>
      <c r="BA833" s="179" t="str">
        <f t="array" ref="BA833">IF($F833&lt;&gt;"",XLOOKUP($F833,Productos!$A:$A,Productos!AT:AT,"Revisar"),"")</f>
        <v/>
      </c>
      <c r="BB833" s="179" t="str">
        <f t="array" ref="BB833">IF($F833&lt;&gt;"", XLOOKUP($F833,Productos!$A$2:$A1001,Productos!AU$2:AU1001,"")*$G833,"")</f>
        <v/>
      </c>
      <c r="BC833" s="179" t="str">
        <f t="array" ref="BC833">IF($F833&lt;&gt;"",XLOOKUP($F833,Productos!$A:$A,Productos!AV:AV,"Revisar"),"")</f>
        <v/>
      </c>
      <c r="BD833" s="179" t="str">
        <f t="array" ref="BD833">IF($F833&lt;&gt;"", XLOOKUP($F833,Productos!$A$2:$A1001,Productos!AW$2:AW1001,"")*$G833,"")</f>
        <v/>
      </c>
      <c r="BE833" s="179" t="str">
        <f t="array" ref="BE833">IF($F833&lt;&gt;"",XLOOKUP($F833,Productos!$A:$A,Productos!AX:AX,"Revisar"),"")</f>
        <v/>
      </c>
      <c r="BF833" s="179" t="str">
        <f t="array" ref="BF833">IF($F833&lt;&gt;"", XLOOKUP($F833,Productos!$A$2:$A1001,Productos!AY$2:AY1001,"")*$G833,"")</f>
        <v/>
      </c>
      <c r="BG833" s="179" t="str">
        <f t="array" ref="BG833">IF($F833&lt;&gt;"",XLOOKUP($F833,Productos!$A:$A,Productos!AZ:AZ,"Revisar"),"")</f>
        <v/>
      </c>
      <c r="BH833" s="179" t="str">
        <f t="array" ref="BH833">IF($F833&lt;&gt;"", XLOOKUP($F833,Productos!$A$2:$A1001,Productos!BA$2:BA1001,"")*$G833,"")</f>
        <v/>
      </c>
      <c r="BI833" s="179" t="str">
        <f t="array" ref="BI833">IF($F833&lt;&gt;"",XLOOKUP($F833,Productos!$A:$A,Productos!BB:BB,"Revisar"),"")</f>
        <v/>
      </c>
      <c r="BJ833" s="179" t="str">
        <f t="array" ref="BJ833">IF($F833&lt;&gt;"", XLOOKUP($F833,Productos!$A$2:$A1001,Productos!BC$2:BC1001,"")*$G833,"")</f>
        <v/>
      </c>
      <c r="BK833" s="179" t="str">
        <f t="array" ref="BK833">IF($F833&lt;&gt;"",XLOOKUP($F833,Productos!$A:$A,Productos!BD:BD,"Revisar"),"")</f>
        <v/>
      </c>
      <c r="BL833" s="179" t="str">
        <f t="array" ref="BL833">IF($F833&lt;&gt;"", XLOOKUP($F833,Productos!$A$2:$A1001,Productos!BE$2:BE1001,"")*$G833,"")</f>
        <v/>
      </c>
      <c r="BM833" s="179" t="str">
        <f t="array" ref="BM833">IF($F833&lt;&gt;"",XLOOKUP($F833,Productos!$A:$A,Productos!BF:BF,"Revisar"),"")</f>
        <v/>
      </c>
      <c r="BN833" s="179" t="str">
        <f t="array" ref="BN833">IF($F833&lt;&gt;"", XLOOKUP($F833,Productos!$A$2:$A1001,Productos!BG$2:BG1001,"")*$G833,"")</f>
        <v/>
      </c>
      <c r="BO833" s="179" t="str">
        <f t="array" ref="BO833">IF($F833&lt;&gt;"",XLOOKUP($F833,Productos!$A:$A,Productos!BH:BH,"Revisar"),"")</f>
        <v/>
      </c>
      <c r="BP833" s="179" t="str">
        <f t="array" ref="BP833">IF($F833&lt;&gt;"", XLOOKUP($F833,Productos!$A$2:$A1001,Productos!BI$2:BI1001,"")*$G833,"")</f>
        <v/>
      </c>
      <c r="BQ833" s="179" t="str">
        <f t="array" ref="BQ833">IF($F833&lt;&gt;"",XLOOKUP($F833,Productos!$A:$A,Productos!BJ:BJ,"Revisar"),"")</f>
        <v/>
      </c>
      <c r="BR833" s="179" t="str">
        <f t="array" ref="BR833">IF($F833&lt;&gt;"", XLOOKUP($F833,Productos!$A$2:$A1001,Productos!BK$2:BK1001,"")*$G833,"")</f>
        <v/>
      </c>
      <c r="BS833" s="179" t="str">
        <f t="array" ref="BS833">IF($F833&lt;&gt;"",XLOOKUP($F833,Productos!$A:$A,Productos!BL:BL,"Revisar"),"")</f>
        <v/>
      </c>
      <c r="BT833" s="179" t="str">
        <f t="array" ref="BT833">IF($F833&lt;&gt;"", XLOOKUP($F833,Productos!$A$2:$A1001,Productos!BM$2:BM1001,"")*$G833,"")</f>
        <v/>
      </c>
      <c r="BU833" s="179" t="str">
        <f t="array" ref="BU833">IF($F833&lt;&gt;"",XLOOKUP($F833,Productos!$A:$A,Productos!BN:BN,"Revisar"),"")</f>
        <v/>
      </c>
      <c r="BV833" s="179" t="str">
        <f t="array" ref="BV833">IF($F833&lt;&gt;"", XLOOKUP($F833,Productos!$A$2:$A1001,Productos!BO$2:BO1001,"")*$G833,"")</f>
        <v/>
      </c>
      <c r="BW833" s="179" t="str">
        <f t="array" ref="BW833">IF($F833&lt;&gt;"",XLOOKUP($F833,Productos!$A:$A,Productos!BP:BP,"Revisar"),"")</f>
        <v/>
      </c>
      <c r="BX833" s="179" t="str">
        <f t="array" ref="BX833">IF($F833&lt;&gt;"", XLOOKUP($F833,Productos!$A$2:$A1001,Productos!BQ$2:BQ1001,"")*$G833,"")</f>
        <v/>
      </c>
      <c r="BY833" s="179" t="str">
        <f t="array" ref="BY833">IF($F833&lt;&gt;"",XLOOKUP($F833,Productos!$A:$A,Productos!BR:BR,"Revisar"),"")</f>
        <v/>
      </c>
      <c r="BZ833" s="179" t="str">
        <f t="array" ref="BZ833">IF($F833&lt;&gt;"", XLOOKUP($F833,Productos!$A$2:$A1001,Productos!BS$2:BS1001,"")*$G833,"")</f>
        <v/>
      </c>
    </row>
    <row r="834">
      <c r="A834" s="188"/>
      <c r="B834" s="189"/>
      <c r="C834" s="190"/>
      <c r="D834" s="190"/>
      <c r="E834" s="191"/>
      <c r="F834" s="186"/>
      <c r="G834" s="192"/>
      <c r="H834" s="9"/>
      <c r="I834" s="179" t="str">
        <f t="array" ref="I834">IF($F834&lt;&gt;"",XLOOKUP($F834,Productos!$A:$A,Productos!B:B,"Revisar"),"")</f>
        <v/>
      </c>
      <c r="J834" s="179" t="str">
        <f t="array" ref="J834">IF($F834&lt;&gt;"", XLOOKUP($F834,Productos!$A$2:$A1001,Productos!C$2:C1001,"")*$G834,"")</f>
        <v/>
      </c>
      <c r="K834" s="179" t="str">
        <f t="array" ref="K834">IF($F834&lt;&gt;"",XLOOKUP($F834,Productos!$A:$A,Productos!D:D,"Revisar"),"")</f>
        <v/>
      </c>
      <c r="L834" s="179" t="str">
        <f t="array" ref="L834">IF($F834&lt;&gt;"", XLOOKUP($F834,Productos!$A$2:$A1001,Productos!E$2:E1001,"")*$G834,"")</f>
        <v/>
      </c>
      <c r="M834" s="179" t="str">
        <f t="array" ref="M834">IF($F834&lt;&gt;"",XLOOKUP($F834,Productos!$A:$A,Productos!F:F,"Revisar"),"")</f>
        <v/>
      </c>
      <c r="N834" s="179" t="str">
        <f t="array" ref="N834">IF($F834&lt;&gt;"", XLOOKUP($F834,Productos!$A$2:$A1001,Productos!G$2:G1001,"")*$G834,"")</f>
        <v/>
      </c>
      <c r="O834" s="179" t="str">
        <f t="array" ref="O834">IF($F834&lt;&gt;"",XLOOKUP($F834,Productos!$A:$A,Productos!H:H,"Revisar"),"")</f>
        <v/>
      </c>
      <c r="P834" s="179" t="str">
        <f t="array" ref="P834">IF($F834&lt;&gt;"", XLOOKUP($F834,Productos!$A$2:$A1001,Productos!I$2:I1001,"")*$G834,"")</f>
        <v/>
      </c>
      <c r="Q834" s="179" t="str">
        <f t="array" ref="Q834">IF($F834&lt;&gt;"",XLOOKUP($F834,Productos!$A:$A,Productos!J:J,"Revisar"),"")</f>
        <v/>
      </c>
      <c r="R834" s="179" t="str">
        <f t="array" ref="R834">IF($F834&lt;&gt;"", XLOOKUP($F834,Productos!$A$2:$A1001,Productos!K$2:K1001,"")*$G834,"")</f>
        <v/>
      </c>
      <c r="S834" s="179" t="str">
        <f t="array" ref="S834">IF($F834&lt;&gt;"",XLOOKUP($F834,Productos!$A:$A,Productos!L:L,"Revisar"),"")</f>
        <v/>
      </c>
      <c r="T834" s="179" t="str">
        <f t="array" ref="T834">IF($F834&lt;&gt;"", XLOOKUP($F834,Productos!$A$2:$A1001,Productos!M$2:M1001,"")*$G834,"")</f>
        <v/>
      </c>
      <c r="U834" s="179" t="str">
        <f t="array" ref="U834">IF($F834&lt;&gt;"",XLOOKUP($F834,Productos!$A:$A,Productos!N:N,"Revisar"),"")</f>
        <v/>
      </c>
      <c r="V834" s="179" t="str">
        <f t="array" ref="V834">IF($F834&lt;&gt;"", XLOOKUP($F834,Productos!$A$2:$A1001,Productos!O$2:O1001,"")*$G834,"")</f>
        <v/>
      </c>
      <c r="W834" s="179" t="str">
        <f t="array" ref="W834">IF($F834&lt;&gt;"",XLOOKUP($F834,Productos!$A:$A,Productos!P:P,"Revisar"),"")</f>
        <v/>
      </c>
      <c r="X834" s="179" t="str">
        <f t="array" ref="X834">IF($F834&lt;&gt;"", XLOOKUP($F834,Productos!$A$2:$A1001,Productos!Q$2:Q1001,"")*$G834,"")</f>
        <v/>
      </c>
      <c r="Y834" s="179" t="str">
        <f t="array" ref="Y834">IF($F834&lt;&gt;"",XLOOKUP($F834,Productos!$A:$A,Productos!R:R,"Revisar"),"")</f>
        <v/>
      </c>
      <c r="Z834" s="179" t="str">
        <f t="array" ref="Z834">IF($F834&lt;&gt;"", XLOOKUP($F834,Productos!$A$2:$A1001,Productos!S$2:S1001,"")*$G834,"")</f>
        <v/>
      </c>
      <c r="AA834" s="179" t="str">
        <f t="array" ref="AA834">IF($F834&lt;&gt;"",XLOOKUP($F834,Productos!$A:$A,Productos!T:T,"Revisar"),"")</f>
        <v/>
      </c>
      <c r="AB834" s="179" t="str">
        <f t="array" ref="AB834">IF($F834&lt;&gt;"", XLOOKUP($F834,Productos!$A$2:$A1001,Productos!U$2:U1001,"")*$G834,"")</f>
        <v/>
      </c>
      <c r="AC834" s="179" t="str">
        <f t="array" ref="AC834">IF($F834&lt;&gt;"",XLOOKUP($F834,Productos!$A:$A,Productos!V:V,"Revisar"),"")</f>
        <v/>
      </c>
      <c r="AD834" s="179" t="str">
        <f t="array" ref="AD834">IF($F834&lt;&gt;"", XLOOKUP($F834,Productos!$A$2:$A1001,Productos!W$2:W1001,"")*$G834,"")</f>
        <v/>
      </c>
      <c r="AE834" s="179" t="str">
        <f t="array" ref="AE834">IF($F834&lt;&gt;"",XLOOKUP($F834,Productos!$A:$A,Productos!X:X,"Revisar"),"")</f>
        <v/>
      </c>
      <c r="AF834" s="179" t="str">
        <f t="array" ref="AF834">IF($F834&lt;&gt;"", XLOOKUP($F834,Productos!$A$2:$A1001,Productos!Y$2:Y1001,"")*$G834,"")</f>
        <v/>
      </c>
      <c r="AG834" s="179" t="str">
        <f t="array" ref="AG834">IF($F834&lt;&gt;"",XLOOKUP($F834,Productos!$A:$A,Productos!Z:Z,"Revisar"),"")</f>
        <v/>
      </c>
      <c r="AH834" s="179" t="str">
        <f t="array" ref="AH834">IF($F834&lt;&gt;"", XLOOKUP($F834,Productos!$A$2:$A1001,Productos!AA$2:AA1001,"")*$G834,"")</f>
        <v/>
      </c>
      <c r="AI834" s="179" t="str">
        <f t="array" ref="AI834">IF($F834&lt;&gt;"",XLOOKUP($F834,Productos!$A:$A,Productos!AB:AB,"Revisar"),"")</f>
        <v/>
      </c>
      <c r="AJ834" s="179" t="str">
        <f t="array" ref="AJ834">IF($F834&lt;&gt;"", XLOOKUP($F834,Productos!$A$2:$A1001,Productos!AC$2:AC1001,"")*$G834,"")</f>
        <v/>
      </c>
      <c r="AK834" s="179" t="str">
        <f t="array" ref="AK834">IF($F834&lt;&gt;"",XLOOKUP($F834,Productos!$A:$A,Productos!AD:AD,"Revisar"),"")</f>
        <v/>
      </c>
      <c r="AL834" s="179" t="str">
        <f t="array" ref="AL834">IF($F834&lt;&gt;"", XLOOKUP($F834,Productos!$A$2:$A1001,Productos!AE$2:AE1001,"")*$G834,"")</f>
        <v/>
      </c>
      <c r="AM834" s="179" t="str">
        <f t="array" ref="AM834">IF($F834&lt;&gt;"",XLOOKUP($F834,Productos!$A:$A,Productos!AF:AF,"Revisar"),"")</f>
        <v/>
      </c>
      <c r="AN834" s="179" t="str">
        <f t="array" ref="AN834">IF($F834&lt;&gt;"", XLOOKUP($F834,Productos!$A$2:$A1001,Productos!AG$2:AG1001,"")*$G834,"")</f>
        <v/>
      </c>
      <c r="AO834" s="179" t="str">
        <f t="array" ref="AO834">IF($F834&lt;&gt;"",XLOOKUP($F834,Productos!$A:$A,Productos!AH:AH,"Revisar"),"")</f>
        <v/>
      </c>
      <c r="AP834" s="179" t="str">
        <f t="array" ref="AP834">IF($F834&lt;&gt;"", XLOOKUP($F834,Productos!$A$2:$A1001,Productos!AI$2:AI1001,"")*$G834,"")</f>
        <v/>
      </c>
      <c r="AQ834" s="179" t="str">
        <f t="array" ref="AQ834">IF($F834&lt;&gt;"",XLOOKUP($F834,Productos!$A:$A,Productos!AJ:AJ,"Revisar"),"")</f>
        <v/>
      </c>
      <c r="AR834" s="179" t="str">
        <f t="array" ref="AR834">IF($F834&lt;&gt;"", XLOOKUP($F834,Productos!$A$2:$A1001,Productos!AK$2:AK1001,"")*$G834,"")</f>
        <v/>
      </c>
      <c r="AS834" s="179" t="str">
        <f t="array" ref="AS834">IF($F834&lt;&gt;"",XLOOKUP($F834,Productos!$A:$A,Productos!AL:AL,"Revisar"),"")</f>
        <v/>
      </c>
      <c r="AT834" s="179" t="str">
        <f t="array" ref="AT834">IF($F834&lt;&gt;"", XLOOKUP($F834,Productos!$A$2:$A1001,Productos!AM$2:AM1001,"")*$G834,"")</f>
        <v/>
      </c>
      <c r="AU834" s="179" t="str">
        <f t="array" ref="AU834">IF($F834&lt;&gt;"",XLOOKUP($F834,Productos!$A:$A,Productos!AN:AN,"Revisar"),"")</f>
        <v/>
      </c>
      <c r="AV834" s="179" t="str">
        <f t="array" ref="AV834">IF($F834&lt;&gt;"", XLOOKUP($F834,Productos!$A$2:$A1001,Productos!AO$2:AO1001,"")*$G834,"")</f>
        <v/>
      </c>
      <c r="AW834" s="179" t="str">
        <f t="array" ref="AW834">IF($F834&lt;&gt;"",XLOOKUP($F834,Productos!$A:$A,Productos!AP:AP,"Revisar"),"")</f>
        <v/>
      </c>
      <c r="AX834" s="179" t="str">
        <f t="array" ref="AX834">IF($F834&lt;&gt;"", XLOOKUP($F834,Productos!$A$2:$A1001,Productos!AQ$2:AQ1001,"")*$G834,"")</f>
        <v/>
      </c>
      <c r="AY834" s="179" t="str">
        <f t="array" ref="AY834">IF($F834&lt;&gt;"",XLOOKUP($F834,Productos!$A:$A,Productos!AR:AR,"Revisar"),"")</f>
        <v/>
      </c>
      <c r="AZ834" s="179" t="str">
        <f t="array" ref="AZ834">IF($F834&lt;&gt;"", XLOOKUP($F834,Productos!$A$2:$A1001,Productos!AS$2:AS1001,"")*$G834,"")</f>
        <v/>
      </c>
      <c r="BA834" s="179" t="str">
        <f t="array" ref="BA834">IF($F834&lt;&gt;"",XLOOKUP($F834,Productos!$A:$A,Productos!AT:AT,"Revisar"),"")</f>
        <v/>
      </c>
      <c r="BB834" s="179" t="str">
        <f t="array" ref="BB834">IF($F834&lt;&gt;"", XLOOKUP($F834,Productos!$A$2:$A1001,Productos!AU$2:AU1001,"")*$G834,"")</f>
        <v/>
      </c>
      <c r="BC834" s="179" t="str">
        <f t="array" ref="BC834">IF($F834&lt;&gt;"",XLOOKUP($F834,Productos!$A:$A,Productos!AV:AV,"Revisar"),"")</f>
        <v/>
      </c>
      <c r="BD834" s="179" t="str">
        <f t="array" ref="BD834">IF($F834&lt;&gt;"", XLOOKUP($F834,Productos!$A$2:$A1001,Productos!AW$2:AW1001,"")*$G834,"")</f>
        <v/>
      </c>
      <c r="BE834" s="179" t="str">
        <f t="array" ref="BE834">IF($F834&lt;&gt;"",XLOOKUP($F834,Productos!$A:$A,Productos!AX:AX,"Revisar"),"")</f>
        <v/>
      </c>
      <c r="BF834" s="179" t="str">
        <f t="array" ref="BF834">IF($F834&lt;&gt;"", XLOOKUP($F834,Productos!$A$2:$A1001,Productos!AY$2:AY1001,"")*$G834,"")</f>
        <v/>
      </c>
      <c r="BG834" s="179" t="str">
        <f t="array" ref="BG834">IF($F834&lt;&gt;"",XLOOKUP($F834,Productos!$A:$A,Productos!AZ:AZ,"Revisar"),"")</f>
        <v/>
      </c>
      <c r="BH834" s="179" t="str">
        <f t="array" ref="BH834">IF($F834&lt;&gt;"", XLOOKUP($F834,Productos!$A$2:$A1001,Productos!BA$2:BA1001,"")*$G834,"")</f>
        <v/>
      </c>
      <c r="BI834" s="179" t="str">
        <f t="array" ref="BI834">IF($F834&lt;&gt;"",XLOOKUP($F834,Productos!$A:$A,Productos!BB:BB,"Revisar"),"")</f>
        <v/>
      </c>
      <c r="BJ834" s="179" t="str">
        <f t="array" ref="BJ834">IF($F834&lt;&gt;"", XLOOKUP($F834,Productos!$A$2:$A1001,Productos!BC$2:BC1001,"")*$G834,"")</f>
        <v/>
      </c>
      <c r="BK834" s="179" t="str">
        <f t="array" ref="BK834">IF($F834&lt;&gt;"",XLOOKUP($F834,Productos!$A:$A,Productos!BD:BD,"Revisar"),"")</f>
        <v/>
      </c>
      <c r="BL834" s="179" t="str">
        <f t="array" ref="BL834">IF($F834&lt;&gt;"", XLOOKUP($F834,Productos!$A$2:$A1001,Productos!BE$2:BE1001,"")*$G834,"")</f>
        <v/>
      </c>
      <c r="BM834" s="179" t="str">
        <f t="array" ref="BM834">IF($F834&lt;&gt;"",XLOOKUP($F834,Productos!$A:$A,Productos!BF:BF,"Revisar"),"")</f>
        <v/>
      </c>
      <c r="BN834" s="179" t="str">
        <f t="array" ref="BN834">IF($F834&lt;&gt;"", XLOOKUP($F834,Productos!$A$2:$A1001,Productos!BG$2:BG1001,"")*$G834,"")</f>
        <v/>
      </c>
      <c r="BO834" s="179" t="str">
        <f t="array" ref="BO834">IF($F834&lt;&gt;"",XLOOKUP($F834,Productos!$A:$A,Productos!BH:BH,"Revisar"),"")</f>
        <v/>
      </c>
      <c r="BP834" s="179" t="str">
        <f t="array" ref="BP834">IF($F834&lt;&gt;"", XLOOKUP($F834,Productos!$A$2:$A1001,Productos!BI$2:BI1001,"")*$G834,"")</f>
        <v/>
      </c>
      <c r="BQ834" s="179" t="str">
        <f t="array" ref="BQ834">IF($F834&lt;&gt;"",XLOOKUP($F834,Productos!$A:$A,Productos!BJ:BJ,"Revisar"),"")</f>
        <v/>
      </c>
      <c r="BR834" s="179" t="str">
        <f t="array" ref="BR834">IF($F834&lt;&gt;"", XLOOKUP($F834,Productos!$A$2:$A1001,Productos!BK$2:BK1001,"")*$G834,"")</f>
        <v/>
      </c>
      <c r="BS834" s="179" t="str">
        <f t="array" ref="BS834">IF($F834&lt;&gt;"",XLOOKUP($F834,Productos!$A:$A,Productos!BL:BL,"Revisar"),"")</f>
        <v/>
      </c>
      <c r="BT834" s="179" t="str">
        <f t="array" ref="BT834">IF($F834&lt;&gt;"", XLOOKUP($F834,Productos!$A$2:$A1001,Productos!BM$2:BM1001,"")*$G834,"")</f>
        <v/>
      </c>
      <c r="BU834" s="179" t="str">
        <f t="array" ref="BU834">IF($F834&lt;&gt;"",XLOOKUP($F834,Productos!$A:$A,Productos!BN:BN,"Revisar"),"")</f>
        <v/>
      </c>
      <c r="BV834" s="179" t="str">
        <f t="array" ref="BV834">IF($F834&lt;&gt;"", XLOOKUP($F834,Productos!$A$2:$A1001,Productos!BO$2:BO1001,"")*$G834,"")</f>
        <v/>
      </c>
      <c r="BW834" s="179" t="str">
        <f t="array" ref="BW834">IF($F834&lt;&gt;"",XLOOKUP($F834,Productos!$A:$A,Productos!BP:BP,"Revisar"),"")</f>
        <v/>
      </c>
      <c r="BX834" s="179" t="str">
        <f t="array" ref="BX834">IF($F834&lt;&gt;"", XLOOKUP($F834,Productos!$A$2:$A1001,Productos!BQ$2:BQ1001,"")*$G834,"")</f>
        <v/>
      </c>
      <c r="BY834" s="179" t="str">
        <f t="array" ref="BY834">IF($F834&lt;&gt;"",XLOOKUP($F834,Productos!$A:$A,Productos!BR:BR,"Revisar"),"")</f>
        <v/>
      </c>
      <c r="BZ834" s="179" t="str">
        <f t="array" ref="BZ834">IF($F834&lt;&gt;"", XLOOKUP($F834,Productos!$A$2:$A1001,Productos!BS$2:BS1001,"")*$G834,"")</f>
        <v/>
      </c>
    </row>
    <row r="835">
      <c r="A835" s="188"/>
      <c r="B835" s="189"/>
      <c r="C835" s="190"/>
      <c r="D835" s="190"/>
      <c r="E835" s="191"/>
      <c r="F835" s="186"/>
      <c r="G835" s="192"/>
      <c r="H835" s="9"/>
      <c r="I835" s="179" t="str">
        <f t="array" ref="I835">IF($F835&lt;&gt;"",XLOOKUP($F835,Productos!$A:$A,Productos!B:B,"Revisar"),"")</f>
        <v/>
      </c>
      <c r="J835" s="179" t="str">
        <f t="array" ref="J835">IF($F835&lt;&gt;"", XLOOKUP($F835,Productos!$A$2:$A1001,Productos!C$2:C1001,"")*$G835,"")</f>
        <v/>
      </c>
      <c r="K835" s="179" t="str">
        <f t="array" ref="K835">IF($F835&lt;&gt;"",XLOOKUP($F835,Productos!$A:$A,Productos!D:D,"Revisar"),"")</f>
        <v/>
      </c>
      <c r="L835" s="179" t="str">
        <f t="array" ref="L835">IF($F835&lt;&gt;"", XLOOKUP($F835,Productos!$A$2:$A1001,Productos!E$2:E1001,"")*$G835,"")</f>
        <v/>
      </c>
      <c r="M835" s="179" t="str">
        <f t="array" ref="M835">IF($F835&lt;&gt;"",XLOOKUP($F835,Productos!$A:$A,Productos!F:F,"Revisar"),"")</f>
        <v/>
      </c>
      <c r="N835" s="179" t="str">
        <f t="array" ref="N835">IF($F835&lt;&gt;"", XLOOKUP($F835,Productos!$A$2:$A1001,Productos!G$2:G1001,"")*$G835,"")</f>
        <v/>
      </c>
      <c r="O835" s="179" t="str">
        <f t="array" ref="O835">IF($F835&lt;&gt;"",XLOOKUP($F835,Productos!$A:$A,Productos!H:H,"Revisar"),"")</f>
        <v/>
      </c>
      <c r="P835" s="179" t="str">
        <f t="array" ref="P835">IF($F835&lt;&gt;"", XLOOKUP($F835,Productos!$A$2:$A1001,Productos!I$2:I1001,"")*$G835,"")</f>
        <v/>
      </c>
      <c r="Q835" s="179" t="str">
        <f t="array" ref="Q835">IF($F835&lt;&gt;"",XLOOKUP($F835,Productos!$A:$A,Productos!J:J,"Revisar"),"")</f>
        <v/>
      </c>
      <c r="R835" s="179" t="str">
        <f t="array" ref="R835">IF($F835&lt;&gt;"", XLOOKUP($F835,Productos!$A$2:$A1001,Productos!K$2:K1001,"")*$G835,"")</f>
        <v/>
      </c>
      <c r="S835" s="179" t="str">
        <f t="array" ref="S835">IF($F835&lt;&gt;"",XLOOKUP($F835,Productos!$A:$A,Productos!L:L,"Revisar"),"")</f>
        <v/>
      </c>
      <c r="T835" s="179" t="str">
        <f t="array" ref="T835">IF($F835&lt;&gt;"", XLOOKUP($F835,Productos!$A$2:$A1001,Productos!M$2:M1001,"")*$G835,"")</f>
        <v/>
      </c>
      <c r="U835" s="179" t="str">
        <f t="array" ref="U835">IF($F835&lt;&gt;"",XLOOKUP($F835,Productos!$A:$A,Productos!N:N,"Revisar"),"")</f>
        <v/>
      </c>
      <c r="V835" s="179" t="str">
        <f t="array" ref="V835">IF($F835&lt;&gt;"", XLOOKUP($F835,Productos!$A$2:$A1001,Productos!O$2:O1001,"")*$G835,"")</f>
        <v/>
      </c>
      <c r="W835" s="179" t="str">
        <f t="array" ref="W835">IF($F835&lt;&gt;"",XLOOKUP($F835,Productos!$A:$A,Productos!P:P,"Revisar"),"")</f>
        <v/>
      </c>
      <c r="X835" s="179" t="str">
        <f t="array" ref="X835">IF($F835&lt;&gt;"", XLOOKUP($F835,Productos!$A$2:$A1001,Productos!Q$2:Q1001,"")*$G835,"")</f>
        <v/>
      </c>
      <c r="Y835" s="179" t="str">
        <f t="array" ref="Y835">IF($F835&lt;&gt;"",XLOOKUP($F835,Productos!$A:$A,Productos!R:R,"Revisar"),"")</f>
        <v/>
      </c>
      <c r="Z835" s="179" t="str">
        <f t="array" ref="Z835">IF($F835&lt;&gt;"", XLOOKUP($F835,Productos!$A$2:$A1001,Productos!S$2:S1001,"")*$G835,"")</f>
        <v/>
      </c>
      <c r="AA835" s="179" t="str">
        <f t="array" ref="AA835">IF($F835&lt;&gt;"",XLOOKUP($F835,Productos!$A:$A,Productos!T:T,"Revisar"),"")</f>
        <v/>
      </c>
      <c r="AB835" s="179" t="str">
        <f t="array" ref="AB835">IF($F835&lt;&gt;"", XLOOKUP($F835,Productos!$A$2:$A1001,Productos!U$2:U1001,"")*$G835,"")</f>
        <v/>
      </c>
      <c r="AC835" s="179" t="str">
        <f t="array" ref="AC835">IF($F835&lt;&gt;"",XLOOKUP($F835,Productos!$A:$A,Productos!V:V,"Revisar"),"")</f>
        <v/>
      </c>
      <c r="AD835" s="179" t="str">
        <f t="array" ref="AD835">IF($F835&lt;&gt;"", XLOOKUP($F835,Productos!$A$2:$A1001,Productos!W$2:W1001,"")*$G835,"")</f>
        <v/>
      </c>
      <c r="AE835" s="179" t="str">
        <f t="array" ref="AE835">IF($F835&lt;&gt;"",XLOOKUP($F835,Productos!$A:$A,Productos!X:X,"Revisar"),"")</f>
        <v/>
      </c>
      <c r="AF835" s="179" t="str">
        <f t="array" ref="AF835">IF($F835&lt;&gt;"", XLOOKUP($F835,Productos!$A$2:$A1001,Productos!Y$2:Y1001,"")*$G835,"")</f>
        <v/>
      </c>
      <c r="AG835" s="179" t="str">
        <f t="array" ref="AG835">IF($F835&lt;&gt;"",XLOOKUP($F835,Productos!$A:$A,Productos!Z:Z,"Revisar"),"")</f>
        <v/>
      </c>
      <c r="AH835" s="179" t="str">
        <f t="array" ref="AH835">IF($F835&lt;&gt;"", XLOOKUP($F835,Productos!$A$2:$A1001,Productos!AA$2:AA1001,"")*$G835,"")</f>
        <v/>
      </c>
      <c r="AI835" s="179" t="str">
        <f t="array" ref="AI835">IF($F835&lt;&gt;"",XLOOKUP($F835,Productos!$A:$A,Productos!AB:AB,"Revisar"),"")</f>
        <v/>
      </c>
      <c r="AJ835" s="179" t="str">
        <f t="array" ref="AJ835">IF($F835&lt;&gt;"", XLOOKUP($F835,Productos!$A$2:$A1001,Productos!AC$2:AC1001,"")*$G835,"")</f>
        <v/>
      </c>
      <c r="AK835" s="179" t="str">
        <f t="array" ref="AK835">IF($F835&lt;&gt;"",XLOOKUP($F835,Productos!$A:$A,Productos!AD:AD,"Revisar"),"")</f>
        <v/>
      </c>
      <c r="AL835" s="179" t="str">
        <f t="array" ref="AL835">IF($F835&lt;&gt;"", XLOOKUP($F835,Productos!$A$2:$A1001,Productos!AE$2:AE1001,"")*$G835,"")</f>
        <v/>
      </c>
      <c r="AM835" s="179" t="str">
        <f t="array" ref="AM835">IF($F835&lt;&gt;"",XLOOKUP($F835,Productos!$A:$A,Productos!AF:AF,"Revisar"),"")</f>
        <v/>
      </c>
      <c r="AN835" s="179" t="str">
        <f t="array" ref="AN835">IF($F835&lt;&gt;"", XLOOKUP($F835,Productos!$A$2:$A1001,Productos!AG$2:AG1001,"")*$G835,"")</f>
        <v/>
      </c>
      <c r="AO835" s="179" t="str">
        <f t="array" ref="AO835">IF($F835&lt;&gt;"",XLOOKUP($F835,Productos!$A:$A,Productos!AH:AH,"Revisar"),"")</f>
        <v/>
      </c>
      <c r="AP835" s="179" t="str">
        <f t="array" ref="AP835">IF($F835&lt;&gt;"", XLOOKUP($F835,Productos!$A$2:$A1001,Productos!AI$2:AI1001,"")*$G835,"")</f>
        <v/>
      </c>
      <c r="AQ835" s="179" t="str">
        <f t="array" ref="AQ835">IF($F835&lt;&gt;"",XLOOKUP($F835,Productos!$A:$A,Productos!AJ:AJ,"Revisar"),"")</f>
        <v/>
      </c>
      <c r="AR835" s="179" t="str">
        <f t="array" ref="AR835">IF($F835&lt;&gt;"", XLOOKUP($F835,Productos!$A$2:$A1001,Productos!AK$2:AK1001,"")*$G835,"")</f>
        <v/>
      </c>
      <c r="AS835" s="179" t="str">
        <f t="array" ref="AS835">IF($F835&lt;&gt;"",XLOOKUP($F835,Productos!$A:$A,Productos!AL:AL,"Revisar"),"")</f>
        <v/>
      </c>
      <c r="AT835" s="179" t="str">
        <f t="array" ref="AT835">IF($F835&lt;&gt;"", XLOOKUP($F835,Productos!$A$2:$A1001,Productos!AM$2:AM1001,"")*$G835,"")</f>
        <v/>
      </c>
      <c r="AU835" s="179" t="str">
        <f t="array" ref="AU835">IF($F835&lt;&gt;"",XLOOKUP($F835,Productos!$A:$A,Productos!AN:AN,"Revisar"),"")</f>
        <v/>
      </c>
      <c r="AV835" s="179" t="str">
        <f t="array" ref="AV835">IF($F835&lt;&gt;"", XLOOKUP($F835,Productos!$A$2:$A1001,Productos!AO$2:AO1001,"")*$G835,"")</f>
        <v/>
      </c>
      <c r="AW835" s="179" t="str">
        <f t="array" ref="AW835">IF($F835&lt;&gt;"",XLOOKUP($F835,Productos!$A:$A,Productos!AP:AP,"Revisar"),"")</f>
        <v/>
      </c>
      <c r="AX835" s="179" t="str">
        <f t="array" ref="AX835">IF($F835&lt;&gt;"", XLOOKUP($F835,Productos!$A$2:$A1001,Productos!AQ$2:AQ1001,"")*$G835,"")</f>
        <v/>
      </c>
      <c r="AY835" s="179" t="str">
        <f t="array" ref="AY835">IF($F835&lt;&gt;"",XLOOKUP($F835,Productos!$A:$A,Productos!AR:AR,"Revisar"),"")</f>
        <v/>
      </c>
      <c r="AZ835" s="179" t="str">
        <f t="array" ref="AZ835">IF($F835&lt;&gt;"", XLOOKUP($F835,Productos!$A$2:$A1001,Productos!AS$2:AS1001,"")*$G835,"")</f>
        <v/>
      </c>
      <c r="BA835" s="179" t="str">
        <f t="array" ref="BA835">IF($F835&lt;&gt;"",XLOOKUP($F835,Productos!$A:$A,Productos!AT:AT,"Revisar"),"")</f>
        <v/>
      </c>
      <c r="BB835" s="179" t="str">
        <f t="array" ref="BB835">IF($F835&lt;&gt;"", XLOOKUP($F835,Productos!$A$2:$A1001,Productos!AU$2:AU1001,"")*$G835,"")</f>
        <v/>
      </c>
      <c r="BC835" s="179" t="str">
        <f t="array" ref="BC835">IF($F835&lt;&gt;"",XLOOKUP($F835,Productos!$A:$A,Productos!AV:AV,"Revisar"),"")</f>
        <v/>
      </c>
      <c r="BD835" s="179" t="str">
        <f t="array" ref="BD835">IF($F835&lt;&gt;"", XLOOKUP($F835,Productos!$A$2:$A1001,Productos!AW$2:AW1001,"")*$G835,"")</f>
        <v/>
      </c>
      <c r="BE835" s="179" t="str">
        <f t="array" ref="BE835">IF($F835&lt;&gt;"",XLOOKUP($F835,Productos!$A:$A,Productos!AX:AX,"Revisar"),"")</f>
        <v/>
      </c>
      <c r="BF835" s="179" t="str">
        <f t="array" ref="BF835">IF($F835&lt;&gt;"", XLOOKUP($F835,Productos!$A$2:$A1001,Productos!AY$2:AY1001,"")*$G835,"")</f>
        <v/>
      </c>
      <c r="BG835" s="179" t="str">
        <f t="array" ref="BG835">IF($F835&lt;&gt;"",XLOOKUP($F835,Productos!$A:$A,Productos!AZ:AZ,"Revisar"),"")</f>
        <v/>
      </c>
      <c r="BH835" s="179" t="str">
        <f t="array" ref="BH835">IF($F835&lt;&gt;"", XLOOKUP($F835,Productos!$A$2:$A1001,Productos!BA$2:BA1001,"")*$G835,"")</f>
        <v/>
      </c>
      <c r="BI835" s="179" t="str">
        <f t="array" ref="BI835">IF($F835&lt;&gt;"",XLOOKUP($F835,Productos!$A:$A,Productos!BB:BB,"Revisar"),"")</f>
        <v/>
      </c>
      <c r="BJ835" s="179" t="str">
        <f t="array" ref="BJ835">IF($F835&lt;&gt;"", XLOOKUP($F835,Productos!$A$2:$A1001,Productos!BC$2:BC1001,"")*$G835,"")</f>
        <v/>
      </c>
      <c r="BK835" s="179" t="str">
        <f t="array" ref="BK835">IF($F835&lt;&gt;"",XLOOKUP($F835,Productos!$A:$A,Productos!BD:BD,"Revisar"),"")</f>
        <v/>
      </c>
      <c r="BL835" s="179" t="str">
        <f t="array" ref="BL835">IF($F835&lt;&gt;"", XLOOKUP($F835,Productos!$A$2:$A1001,Productos!BE$2:BE1001,"")*$G835,"")</f>
        <v/>
      </c>
      <c r="BM835" s="179" t="str">
        <f t="array" ref="BM835">IF($F835&lt;&gt;"",XLOOKUP($F835,Productos!$A:$A,Productos!BF:BF,"Revisar"),"")</f>
        <v/>
      </c>
      <c r="BN835" s="179" t="str">
        <f t="array" ref="BN835">IF($F835&lt;&gt;"", XLOOKUP($F835,Productos!$A$2:$A1001,Productos!BG$2:BG1001,"")*$G835,"")</f>
        <v/>
      </c>
      <c r="BO835" s="179" t="str">
        <f t="array" ref="BO835">IF($F835&lt;&gt;"",XLOOKUP($F835,Productos!$A:$A,Productos!BH:BH,"Revisar"),"")</f>
        <v/>
      </c>
      <c r="BP835" s="179" t="str">
        <f t="array" ref="BP835">IF($F835&lt;&gt;"", XLOOKUP($F835,Productos!$A$2:$A1001,Productos!BI$2:BI1001,"")*$G835,"")</f>
        <v/>
      </c>
      <c r="BQ835" s="179" t="str">
        <f t="array" ref="BQ835">IF($F835&lt;&gt;"",XLOOKUP($F835,Productos!$A:$A,Productos!BJ:BJ,"Revisar"),"")</f>
        <v/>
      </c>
      <c r="BR835" s="179" t="str">
        <f t="array" ref="BR835">IF($F835&lt;&gt;"", XLOOKUP($F835,Productos!$A$2:$A1001,Productos!BK$2:BK1001,"")*$G835,"")</f>
        <v/>
      </c>
      <c r="BS835" s="179" t="str">
        <f t="array" ref="BS835">IF($F835&lt;&gt;"",XLOOKUP($F835,Productos!$A:$A,Productos!BL:BL,"Revisar"),"")</f>
        <v/>
      </c>
      <c r="BT835" s="179" t="str">
        <f t="array" ref="BT835">IF($F835&lt;&gt;"", XLOOKUP($F835,Productos!$A$2:$A1001,Productos!BM$2:BM1001,"")*$G835,"")</f>
        <v/>
      </c>
      <c r="BU835" s="179" t="str">
        <f t="array" ref="BU835">IF($F835&lt;&gt;"",XLOOKUP($F835,Productos!$A:$A,Productos!BN:BN,"Revisar"),"")</f>
        <v/>
      </c>
      <c r="BV835" s="179" t="str">
        <f t="array" ref="BV835">IF($F835&lt;&gt;"", XLOOKUP($F835,Productos!$A$2:$A1001,Productos!BO$2:BO1001,"")*$G835,"")</f>
        <v/>
      </c>
      <c r="BW835" s="179" t="str">
        <f t="array" ref="BW835">IF($F835&lt;&gt;"",XLOOKUP($F835,Productos!$A:$A,Productos!BP:BP,"Revisar"),"")</f>
        <v/>
      </c>
      <c r="BX835" s="179" t="str">
        <f t="array" ref="BX835">IF($F835&lt;&gt;"", XLOOKUP($F835,Productos!$A$2:$A1001,Productos!BQ$2:BQ1001,"")*$G835,"")</f>
        <v/>
      </c>
      <c r="BY835" s="179" t="str">
        <f t="array" ref="BY835">IF($F835&lt;&gt;"",XLOOKUP($F835,Productos!$A:$A,Productos!BR:BR,"Revisar"),"")</f>
        <v/>
      </c>
      <c r="BZ835" s="179" t="str">
        <f t="array" ref="BZ835">IF($F835&lt;&gt;"", XLOOKUP($F835,Productos!$A$2:$A1001,Productos!BS$2:BS1001,"")*$G835,"")</f>
        <v/>
      </c>
    </row>
    <row r="836">
      <c r="A836" s="188"/>
      <c r="B836" s="189"/>
      <c r="C836" s="190"/>
      <c r="D836" s="190"/>
      <c r="E836" s="191"/>
      <c r="F836" s="186"/>
      <c r="G836" s="192"/>
      <c r="H836" s="9"/>
      <c r="I836" s="179" t="str">
        <f t="array" ref="I836">IF($F836&lt;&gt;"",XLOOKUP($F836,Productos!$A:$A,Productos!B:B,"Revisar"),"")</f>
        <v/>
      </c>
      <c r="J836" s="179" t="str">
        <f t="array" ref="J836">IF($F836&lt;&gt;"", XLOOKUP($F836,Productos!$A$2:$A1001,Productos!C$2:C1001,"")*$G836,"")</f>
        <v/>
      </c>
      <c r="K836" s="179" t="str">
        <f t="array" ref="K836">IF($F836&lt;&gt;"",XLOOKUP($F836,Productos!$A:$A,Productos!D:D,"Revisar"),"")</f>
        <v/>
      </c>
      <c r="L836" s="179" t="str">
        <f t="array" ref="L836">IF($F836&lt;&gt;"", XLOOKUP($F836,Productos!$A$2:$A1001,Productos!E$2:E1001,"")*$G836,"")</f>
        <v/>
      </c>
      <c r="M836" s="179" t="str">
        <f t="array" ref="M836">IF($F836&lt;&gt;"",XLOOKUP($F836,Productos!$A:$A,Productos!F:F,"Revisar"),"")</f>
        <v/>
      </c>
      <c r="N836" s="179" t="str">
        <f t="array" ref="N836">IF($F836&lt;&gt;"", XLOOKUP($F836,Productos!$A$2:$A1001,Productos!G$2:G1001,"")*$G836,"")</f>
        <v/>
      </c>
      <c r="O836" s="179" t="str">
        <f t="array" ref="O836">IF($F836&lt;&gt;"",XLOOKUP($F836,Productos!$A:$A,Productos!H:H,"Revisar"),"")</f>
        <v/>
      </c>
      <c r="P836" s="179" t="str">
        <f t="array" ref="P836">IF($F836&lt;&gt;"", XLOOKUP($F836,Productos!$A$2:$A1001,Productos!I$2:I1001,"")*$G836,"")</f>
        <v/>
      </c>
      <c r="Q836" s="179" t="str">
        <f t="array" ref="Q836">IF($F836&lt;&gt;"",XLOOKUP($F836,Productos!$A:$A,Productos!J:J,"Revisar"),"")</f>
        <v/>
      </c>
      <c r="R836" s="179" t="str">
        <f t="array" ref="R836">IF($F836&lt;&gt;"", XLOOKUP($F836,Productos!$A$2:$A1001,Productos!K$2:K1001,"")*$G836,"")</f>
        <v/>
      </c>
      <c r="S836" s="179" t="str">
        <f t="array" ref="S836">IF($F836&lt;&gt;"",XLOOKUP($F836,Productos!$A:$A,Productos!L:L,"Revisar"),"")</f>
        <v/>
      </c>
      <c r="T836" s="179" t="str">
        <f t="array" ref="T836">IF($F836&lt;&gt;"", XLOOKUP($F836,Productos!$A$2:$A1001,Productos!M$2:M1001,"")*$G836,"")</f>
        <v/>
      </c>
      <c r="U836" s="179" t="str">
        <f t="array" ref="U836">IF($F836&lt;&gt;"",XLOOKUP($F836,Productos!$A:$A,Productos!N:N,"Revisar"),"")</f>
        <v/>
      </c>
      <c r="V836" s="179" t="str">
        <f t="array" ref="V836">IF($F836&lt;&gt;"", XLOOKUP($F836,Productos!$A$2:$A1001,Productos!O$2:O1001,"")*$G836,"")</f>
        <v/>
      </c>
      <c r="W836" s="179" t="str">
        <f t="array" ref="W836">IF($F836&lt;&gt;"",XLOOKUP($F836,Productos!$A:$A,Productos!P:P,"Revisar"),"")</f>
        <v/>
      </c>
      <c r="X836" s="179" t="str">
        <f t="array" ref="X836">IF($F836&lt;&gt;"", XLOOKUP($F836,Productos!$A$2:$A1001,Productos!Q$2:Q1001,"")*$G836,"")</f>
        <v/>
      </c>
      <c r="Y836" s="179" t="str">
        <f t="array" ref="Y836">IF($F836&lt;&gt;"",XLOOKUP($F836,Productos!$A:$A,Productos!R:R,"Revisar"),"")</f>
        <v/>
      </c>
      <c r="Z836" s="179" t="str">
        <f t="array" ref="Z836">IF($F836&lt;&gt;"", XLOOKUP($F836,Productos!$A$2:$A1001,Productos!S$2:S1001,"")*$G836,"")</f>
        <v/>
      </c>
      <c r="AA836" s="179" t="str">
        <f t="array" ref="AA836">IF($F836&lt;&gt;"",XLOOKUP($F836,Productos!$A:$A,Productos!T:T,"Revisar"),"")</f>
        <v/>
      </c>
      <c r="AB836" s="179" t="str">
        <f t="array" ref="AB836">IF($F836&lt;&gt;"", XLOOKUP($F836,Productos!$A$2:$A1001,Productos!U$2:U1001,"")*$G836,"")</f>
        <v/>
      </c>
      <c r="AC836" s="179" t="str">
        <f t="array" ref="AC836">IF($F836&lt;&gt;"",XLOOKUP($F836,Productos!$A:$A,Productos!V:V,"Revisar"),"")</f>
        <v/>
      </c>
      <c r="AD836" s="179" t="str">
        <f t="array" ref="AD836">IF($F836&lt;&gt;"", XLOOKUP($F836,Productos!$A$2:$A1001,Productos!W$2:W1001,"")*$G836,"")</f>
        <v/>
      </c>
      <c r="AE836" s="179" t="str">
        <f t="array" ref="AE836">IF($F836&lt;&gt;"",XLOOKUP($F836,Productos!$A:$A,Productos!X:X,"Revisar"),"")</f>
        <v/>
      </c>
      <c r="AF836" s="179" t="str">
        <f t="array" ref="AF836">IF($F836&lt;&gt;"", XLOOKUP($F836,Productos!$A$2:$A1001,Productos!Y$2:Y1001,"")*$G836,"")</f>
        <v/>
      </c>
      <c r="AG836" s="179" t="str">
        <f t="array" ref="AG836">IF($F836&lt;&gt;"",XLOOKUP($F836,Productos!$A:$A,Productos!Z:Z,"Revisar"),"")</f>
        <v/>
      </c>
      <c r="AH836" s="179" t="str">
        <f t="array" ref="AH836">IF($F836&lt;&gt;"", XLOOKUP($F836,Productos!$A$2:$A1001,Productos!AA$2:AA1001,"")*$G836,"")</f>
        <v/>
      </c>
      <c r="AI836" s="179" t="str">
        <f t="array" ref="AI836">IF($F836&lt;&gt;"",XLOOKUP($F836,Productos!$A:$A,Productos!AB:AB,"Revisar"),"")</f>
        <v/>
      </c>
      <c r="AJ836" s="179" t="str">
        <f t="array" ref="AJ836">IF($F836&lt;&gt;"", XLOOKUP($F836,Productos!$A$2:$A1001,Productos!AC$2:AC1001,"")*$G836,"")</f>
        <v/>
      </c>
      <c r="AK836" s="179" t="str">
        <f t="array" ref="AK836">IF($F836&lt;&gt;"",XLOOKUP($F836,Productos!$A:$A,Productos!AD:AD,"Revisar"),"")</f>
        <v/>
      </c>
      <c r="AL836" s="179" t="str">
        <f t="array" ref="AL836">IF($F836&lt;&gt;"", XLOOKUP($F836,Productos!$A$2:$A1001,Productos!AE$2:AE1001,"")*$G836,"")</f>
        <v/>
      </c>
      <c r="AM836" s="179" t="str">
        <f t="array" ref="AM836">IF($F836&lt;&gt;"",XLOOKUP($F836,Productos!$A:$A,Productos!AF:AF,"Revisar"),"")</f>
        <v/>
      </c>
      <c r="AN836" s="179" t="str">
        <f t="array" ref="AN836">IF($F836&lt;&gt;"", XLOOKUP($F836,Productos!$A$2:$A1001,Productos!AG$2:AG1001,"")*$G836,"")</f>
        <v/>
      </c>
      <c r="AO836" s="179" t="str">
        <f t="array" ref="AO836">IF($F836&lt;&gt;"",XLOOKUP($F836,Productos!$A:$A,Productos!AH:AH,"Revisar"),"")</f>
        <v/>
      </c>
      <c r="AP836" s="179" t="str">
        <f t="array" ref="AP836">IF($F836&lt;&gt;"", XLOOKUP($F836,Productos!$A$2:$A1001,Productos!AI$2:AI1001,"")*$G836,"")</f>
        <v/>
      </c>
      <c r="AQ836" s="179" t="str">
        <f t="array" ref="AQ836">IF($F836&lt;&gt;"",XLOOKUP($F836,Productos!$A:$A,Productos!AJ:AJ,"Revisar"),"")</f>
        <v/>
      </c>
      <c r="AR836" s="179" t="str">
        <f t="array" ref="AR836">IF($F836&lt;&gt;"", XLOOKUP($F836,Productos!$A$2:$A1001,Productos!AK$2:AK1001,"")*$G836,"")</f>
        <v/>
      </c>
      <c r="AS836" s="179" t="str">
        <f t="array" ref="AS836">IF($F836&lt;&gt;"",XLOOKUP($F836,Productos!$A:$A,Productos!AL:AL,"Revisar"),"")</f>
        <v/>
      </c>
      <c r="AT836" s="179" t="str">
        <f t="array" ref="AT836">IF($F836&lt;&gt;"", XLOOKUP($F836,Productos!$A$2:$A1001,Productos!AM$2:AM1001,"")*$G836,"")</f>
        <v/>
      </c>
      <c r="AU836" s="179" t="str">
        <f t="array" ref="AU836">IF($F836&lt;&gt;"",XLOOKUP($F836,Productos!$A:$A,Productos!AN:AN,"Revisar"),"")</f>
        <v/>
      </c>
      <c r="AV836" s="179" t="str">
        <f t="array" ref="AV836">IF($F836&lt;&gt;"", XLOOKUP($F836,Productos!$A$2:$A1001,Productos!AO$2:AO1001,"")*$G836,"")</f>
        <v/>
      </c>
      <c r="AW836" s="179" t="str">
        <f t="array" ref="AW836">IF($F836&lt;&gt;"",XLOOKUP($F836,Productos!$A:$A,Productos!AP:AP,"Revisar"),"")</f>
        <v/>
      </c>
      <c r="AX836" s="179" t="str">
        <f t="array" ref="AX836">IF($F836&lt;&gt;"", XLOOKUP($F836,Productos!$A$2:$A1001,Productos!AQ$2:AQ1001,"")*$G836,"")</f>
        <v/>
      </c>
      <c r="AY836" s="179" t="str">
        <f t="array" ref="AY836">IF($F836&lt;&gt;"",XLOOKUP($F836,Productos!$A:$A,Productos!AR:AR,"Revisar"),"")</f>
        <v/>
      </c>
      <c r="AZ836" s="179" t="str">
        <f t="array" ref="AZ836">IF($F836&lt;&gt;"", XLOOKUP($F836,Productos!$A$2:$A1001,Productos!AS$2:AS1001,"")*$G836,"")</f>
        <v/>
      </c>
      <c r="BA836" s="179" t="str">
        <f t="array" ref="BA836">IF($F836&lt;&gt;"",XLOOKUP($F836,Productos!$A:$A,Productos!AT:AT,"Revisar"),"")</f>
        <v/>
      </c>
      <c r="BB836" s="179" t="str">
        <f t="array" ref="BB836">IF($F836&lt;&gt;"", XLOOKUP($F836,Productos!$A$2:$A1001,Productos!AU$2:AU1001,"")*$G836,"")</f>
        <v/>
      </c>
      <c r="BC836" s="179" t="str">
        <f t="array" ref="BC836">IF($F836&lt;&gt;"",XLOOKUP($F836,Productos!$A:$A,Productos!AV:AV,"Revisar"),"")</f>
        <v/>
      </c>
      <c r="BD836" s="179" t="str">
        <f t="array" ref="BD836">IF($F836&lt;&gt;"", XLOOKUP($F836,Productos!$A$2:$A1001,Productos!AW$2:AW1001,"")*$G836,"")</f>
        <v/>
      </c>
      <c r="BE836" s="179" t="str">
        <f t="array" ref="BE836">IF($F836&lt;&gt;"",XLOOKUP($F836,Productos!$A:$A,Productos!AX:AX,"Revisar"),"")</f>
        <v/>
      </c>
      <c r="BF836" s="179" t="str">
        <f t="array" ref="BF836">IF($F836&lt;&gt;"", XLOOKUP($F836,Productos!$A$2:$A1001,Productos!AY$2:AY1001,"")*$G836,"")</f>
        <v/>
      </c>
      <c r="BG836" s="179" t="str">
        <f t="array" ref="BG836">IF($F836&lt;&gt;"",XLOOKUP($F836,Productos!$A:$A,Productos!AZ:AZ,"Revisar"),"")</f>
        <v/>
      </c>
      <c r="BH836" s="179" t="str">
        <f t="array" ref="BH836">IF($F836&lt;&gt;"", XLOOKUP($F836,Productos!$A$2:$A1001,Productos!BA$2:BA1001,"")*$G836,"")</f>
        <v/>
      </c>
      <c r="BI836" s="179" t="str">
        <f t="array" ref="BI836">IF($F836&lt;&gt;"",XLOOKUP($F836,Productos!$A:$A,Productos!BB:BB,"Revisar"),"")</f>
        <v/>
      </c>
      <c r="BJ836" s="179" t="str">
        <f t="array" ref="BJ836">IF($F836&lt;&gt;"", XLOOKUP($F836,Productos!$A$2:$A1001,Productos!BC$2:BC1001,"")*$G836,"")</f>
        <v/>
      </c>
      <c r="BK836" s="179" t="str">
        <f t="array" ref="BK836">IF($F836&lt;&gt;"",XLOOKUP($F836,Productos!$A:$A,Productos!BD:BD,"Revisar"),"")</f>
        <v/>
      </c>
      <c r="BL836" s="179" t="str">
        <f t="array" ref="BL836">IF($F836&lt;&gt;"", XLOOKUP($F836,Productos!$A$2:$A1001,Productos!BE$2:BE1001,"")*$G836,"")</f>
        <v/>
      </c>
      <c r="BM836" s="179" t="str">
        <f t="array" ref="BM836">IF($F836&lt;&gt;"",XLOOKUP($F836,Productos!$A:$A,Productos!BF:BF,"Revisar"),"")</f>
        <v/>
      </c>
      <c r="BN836" s="179" t="str">
        <f t="array" ref="BN836">IF($F836&lt;&gt;"", XLOOKUP($F836,Productos!$A$2:$A1001,Productos!BG$2:BG1001,"")*$G836,"")</f>
        <v/>
      </c>
      <c r="BO836" s="179" t="str">
        <f t="array" ref="BO836">IF($F836&lt;&gt;"",XLOOKUP($F836,Productos!$A:$A,Productos!BH:BH,"Revisar"),"")</f>
        <v/>
      </c>
      <c r="BP836" s="179" t="str">
        <f t="array" ref="BP836">IF($F836&lt;&gt;"", XLOOKUP($F836,Productos!$A$2:$A1001,Productos!BI$2:BI1001,"")*$G836,"")</f>
        <v/>
      </c>
      <c r="BQ836" s="179" t="str">
        <f t="array" ref="BQ836">IF($F836&lt;&gt;"",XLOOKUP($F836,Productos!$A:$A,Productos!BJ:BJ,"Revisar"),"")</f>
        <v/>
      </c>
      <c r="BR836" s="179" t="str">
        <f t="array" ref="BR836">IF($F836&lt;&gt;"", XLOOKUP($F836,Productos!$A$2:$A1001,Productos!BK$2:BK1001,"")*$G836,"")</f>
        <v/>
      </c>
      <c r="BS836" s="179" t="str">
        <f t="array" ref="BS836">IF($F836&lt;&gt;"",XLOOKUP($F836,Productos!$A:$A,Productos!BL:BL,"Revisar"),"")</f>
        <v/>
      </c>
      <c r="BT836" s="179" t="str">
        <f t="array" ref="BT836">IF($F836&lt;&gt;"", XLOOKUP($F836,Productos!$A$2:$A1001,Productos!BM$2:BM1001,"")*$G836,"")</f>
        <v/>
      </c>
      <c r="BU836" s="179" t="str">
        <f t="array" ref="BU836">IF($F836&lt;&gt;"",XLOOKUP($F836,Productos!$A:$A,Productos!BN:BN,"Revisar"),"")</f>
        <v/>
      </c>
      <c r="BV836" s="179" t="str">
        <f t="array" ref="BV836">IF($F836&lt;&gt;"", XLOOKUP($F836,Productos!$A$2:$A1001,Productos!BO$2:BO1001,"")*$G836,"")</f>
        <v/>
      </c>
      <c r="BW836" s="179" t="str">
        <f t="array" ref="BW836">IF($F836&lt;&gt;"",XLOOKUP($F836,Productos!$A:$A,Productos!BP:BP,"Revisar"),"")</f>
        <v/>
      </c>
      <c r="BX836" s="179" t="str">
        <f t="array" ref="BX836">IF($F836&lt;&gt;"", XLOOKUP($F836,Productos!$A$2:$A1001,Productos!BQ$2:BQ1001,"")*$G836,"")</f>
        <v/>
      </c>
      <c r="BY836" s="179" t="str">
        <f t="array" ref="BY836">IF($F836&lt;&gt;"",XLOOKUP($F836,Productos!$A:$A,Productos!BR:BR,"Revisar"),"")</f>
        <v/>
      </c>
      <c r="BZ836" s="179" t="str">
        <f t="array" ref="BZ836">IF($F836&lt;&gt;"", XLOOKUP($F836,Productos!$A$2:$A1001,Productos!BS$2:BS1001,"")*$G836,"")</f>
        <v/>
      </c>
    </row>
    <row r="837">
      <c r="A837" s="188"/>
      <c r="B837" s="189"/>
      <c r="C837" s="190"/>
      <c r="D837" s="190"/>
      <c r="E837" s="191"/>
      <c r="F837" s="186"/>
      <c r="G837" s="192"/>
      <c r="H837" s="9"/>
      <c r="I837" s="179" t="str">
        <f t="array" ref="I837">IF($F837&lt;&gt;"",XLOOKUP($F837,Productos!$A:$A,Productos!B:B,"Revisar"),"")</f>
        <v/>
      </c>
      <c r="J837" s="179" t="str">
        <f t="array" ref="J837">IF($F837&lt;&gt;"", XLOOKUP($F837,Productos!$A$2:$A1001,Productos!C$2:C1001,"")*$G837,"")</f>
        <v/>
      </c>
      <c r="K837" s="179" t="str">
        <f t="array" ref="K837">IF($F837&lt;&gt;"",XLOOKUP($F837,Productos!$A:$A,Productos!D:D,"Revisar"),"")</f>
        <v/>
      </c>
      <c r="L837" s="179" t="str">
        <f t="array" ref="L837">IF($F837&lt;&gt;"", XLOOKUP($F837,Productos!$A$2:$A1001,Productos!E$2:E1001,"")*$G837,"")</f>
        <v/>
      </c>
      <c r="M837" s="179" t="str">
        <f t="array" ref="M837">IF($F837&lt;&gt;"",XLOOKUP($F837,Productos!$A:$A,Productos!F:F,"Revisar"),"")</f>
        <v/>
      </c>
      <c r="N837" s="179" t="str">
        <f t="array" ref="N837">IF($F837&lt;&gt;"", XLOOKUP($F837,Productos!$A$2:$A1001,Productos!G$2:G1001,"")*$G837,"")</f>
        <v/>
      </c>
      <c r="O837" s="179" t="str">
        <f t="array" ref="O837">IF($F837&lt;&gt;"",XLOOKUP($F837,Productos!$A:$A,Productos!H:H,"Revisar"),"")</f>
        <v/>
      </c>
      <c r="P837" s="179" t="str">
        <f t="array" ref="P837">IF($F837&lt;&gt;"", XLOOKUP($F837,Productos!$A$2:$A1001,Productos!I$2:I1001,"")*$G837,"")</f>
        <v/>
      </c>
      <c r="Q837" s="179" t="str">
        <f t="array" ref="Q837">IF($F837&lt;&gt;"",XLOOKUP($F837,Productos!$A:$A,Productos!J:J,"Revisar"),"")</f>
        <v/>
      </c>
      <c r="R837" s="179" t="str">
        <f t="array" ref="R837">IF($F837&lt;&gt;"", XLOOKUP($F837,Productos!$A$2:$A1001,Productos!K$2:K1001,"")*$G837,"")</f>
        <v/>
      </c>
      <c r="S837" s="179" t="str">
        <f t="array" ref="S837">IF($F837&lt;&gt;"",XLOOKUP($F837,Productos!$A:$A,Productos!L:L,"Revisar"),"")</f>
        <v/>
      </c>
      <c r="T837" s="179" t="str">
        <f t="array" ref="T837">IF($F837&lt;&gt;"", XLOOKUP($F837,Productos!$A$2:$A1001,Productos!M$2:M1001,"")*$G837,"")</f>
        <v/>
      </c>
      <c r="U837" s="179" t="str">
        <f t="array" ref="U837">IF($F837&lt;&gt;"",XLOOKUP($F837,Productos!$A:$A,Productos!N:N,"Revisar"),"")</f>
        <v/>
      </c>
      <c r="V837" s="179" t="str">
        <f t="array" ref="V837">IF($F837&lt;&gt;"", XLOOKUP($F837,Productos!$A$2:$A1001,Productos!O$2:O1001,"")*$G837,"")</f>
        <v/>
      </c>
      <c r="W837" s="179" t="str">
        <f t="array" ref="W837">IF($F837&lt;&gt;"",XLOOKUP($F837,Productos!$A:$A,Productos!P:P,"Revisar"),"")</f>
        <v/>
      </c>
      <c r="X837" s="179" t="str">
        <f t="array" ref="X837">IF($F837&lt;&gt;"", XLOOKUP($F837,Productos!$A$2:$A1001,Productos!Q$2:Q1001,"")*$G837,"")</f>
        <v/>
      </c>
      <c r="Y837" s="179" t="str">
        <f t="array" ref="Y837">IF($F837&lt;&gt;"",XLOOKUP($F837,Productos!$A:$A,Productos!R:R,"Revisar"),"")</f>
        <v/>
      </c>
      <c r="Z837" s="179" t="str">
        <f t="array" ref="Z837">IF($F837&lt;&gt;"", XLOOKUP($F837,Productos!$A$2:$A1001,Productos!S$2:S1001,"")*$G837,"")</f>
        <v/>
      </c>
      <c r="AA837" s="179" t="str">
        <f t="array" ref="AA837">IF($F837&lt;&gt;"",XLOOKUP($F837,Productos!$A:$A,Productos!T:T,"Revisar"),"")</f>
        <v/>
      </c>
      <c r="AB837" s="179" t="str">
        <f t="array" ref="AB837">IF($F837&lt;&gt;"", XLOOKUP($F837,Productos!$A$2:$A1001,Productos!U$2:U1001,"")*$G837,"")</f>
        <v/>
      </c>
      <c r="AC837" s="179" t="str">
        <f t="array" ref="AC837">IF($F837&lt;&gt;"",XLOOKUP($F837,Productos!$A:$A,Productos!V:V,"Revisar"),"")</f>
        <v/>
      </c>
      <c r="AD837" s="179" t="str">
        <f t="array" ref="AD837">IF($F837&lt;&gt;"", XLOOKUP($F837,Productos!$A$2:$A1001,Productos!W$2:W1001,"")*$G837,"")</f>
        <v/>
      </c>
      <c r="AE837" s="179" t="str">
        <f t="array" ref="AE837">IF($F837&lt;&gt;"",XLOOKUP($F837,Productos!$A:$A,Productos!X:X,"Revisar"),"")</f>
        <v/>
      </c>
      <c r="AF837" s="179" t="str">
        <f t="array" ref="AF837">IF($F837&lt;&gt;"", XLOOKUP($F837,Productos!$A$2:$A1001,Productos!Y$2:Y1001,"")*$G837,"")</f>
        <v/>
      </c>
      <c r="AG837" s="179" t="str">
        <f t="array" ref="AG837">IF($F837&lt;&gt;"",XLOOKUP($F837,Productos!$A:$A,Productos!Z:Z,"Revisar"),"")</f>
        <v/>
      </c>
      <c r="AH837" s="179" t="str">
        <f t="array" ref="AH837">IF($F837&lt;&gt;"", XLOOKUP($F837,Productos!$A$2:$A1001,Productos!AA$2:AA1001,"")*$G837,"")</f>
        <v/>
      </c>
      <c r="AI837" s="179" t="str">
        <f t="array" ref="AI837">IF($F837&lt;&gt;"",XLOOKUP($F837,Productos!$A:$A,Productos!AB:AB,"Revisar"),"")</f>
        <v/>
      </c>
      <c r="AJ837" s="179" t="str">
        <f t="array" ref="AJ837">IF($F837&lt;&gt;"", XLOOKUP($F837,Productos!$A$2:$A1001,Productos!AC$2:AC1001,"")*$G837,"")</f>
        <v/>
      </c>
      <c r="AK837" s="179" t="str">
        <f t="array" ref="AK837">IF($F837&lt;&gt;"",XLOOKUP($F837,Productos!$A:$A,Productos!AD:AD,"Revisar"),"")</f>
        <v/>
      </c>
      <c r="AL837" s="179" t="str">
        <f t="array" ref="AL837">IF($F837&lt;&gt;"", XLOOKUP($F837,Productos!$A$2:$A1001,Productos!AE$2:AE1001,"")*$G837,"")</f>
        <v/>
      </c>
      <c r="AM837" s="179" t="str">
        <f t="array" ref="AM837">IF($F837&lt;&gt;"",XLOOKUP($F837,Productos!$A:$A,Productos!AF:AF,"Revisar"),"")</f>
        <v/>
      </c>
      <c r="AN837" s="179" t="str">
        <f t="array" ref="AN837">IF($F837&lt;&gt;"", XLOOKUP($F837,Productos!$A$2:$A1001,Productos!AG$2:AG1001,"")*$G837,"")</f>
        <v/>
      </c>
      <c r="AO837" s="179" t="str">
        <f t="array" ref="AO837">IF($F837&lt;&gt;"",XLOOKUP($F837,Productos!$A:$A,Productos!AH:AH,"Revisar"),"")</f>
        <v/>
      </c>
      <c r="AP837" s="179" t="str">
        <f t="array" ref="AP837">IF($F837&lt;&gt;"", XLOOKUP($F837,Productos!$A$2:$A1001,Productos!AI$2:AI1001,"")*$G837,"")</f>
        <v/>
      </c>
      <c r="AQ837" s="179" t="str">
        <f t="array" ref="AQ837">IF($F837&lt;&gt;"",XLOOKUP($F837,Productos!$A:$A,Productos!AJ:AJ,"Revisar"),"")</f>
        <v/>
      </c>
      <c r="AR837" s="179" t="str">
        <f t="array" ref="AR837">IF($F837&lt;&gt;"", XLOOKUP($F837,Productos!$A$2:$A1001,Productos!AK$2:AK1001,"")*$G837,"")</f>
        <v/>
      </c>
      <c r="AS837" s="179" t="str">
        <f t="array" ref="AS837">IF($F837&lt;&gt;"",XLOOKUP($F837,Productos!$A:$A,Productos!AL:AL,"Revisar"),"")</f>
        <v/>
      </c>
      <c r="AT837" s="179" t="str">
        <f t="array" ref="AT837">IF($F837&lt;&gt;"", XLOOKUP($F837,Productos!$A$2:$A1001,Productos!AM$2:AM1001,"")*$G837,"")</f>
        <v/>
      </c>
      <c r="AU837" s="179" t="str">
        <f t="array" ref="AU837">IF($F837&lt;&gt;"",XLOOKUP($F837,Productos!$A:$A,Productos!AN:AN,"Revisar"),"")</f>
        <v/>
      </c>
      <c r="AV837" s="179" t="str">
        <f t="array" ref="AV837">IF($F837&lt;&gt;"", XLOOKUP($F837,Productos!$A$2:$A1001,Productos!AO$2:AO1001,"")*$G837,"")</f>
        <v/>
      </c>
      <c r="AW837" s="179" t="str">
        <f t="array" ref="AW837">IF($F837&lt;&gt;"",XLOOKUP($F837,Productos!$A:$A,Productos!AP:AP,"Revisar"),"")</f>
        <v/>
      </c>
      <c r="AX837" s="179" t="str">
        <f t="array" ref="AX837">IF($F837&lt;&gt;"", XLOOKUP($F837,Productos!$A$2:$A1001,Productos!AQ$2:AQ1001,"")*$G837,"")</f>
        <v/>
      </c>
      <c r="AY837" s="179" t="str">
        <f t="array" ref="AY837">IF($F837&lt;&gt;"",XLOOKUP($F837,Productos!$A:$A,Productos!AR:AR,"Revisar"),"")</f>
        <v/>
      </c>
      <c r="AZ837" s="179" t="str">
        <f t="array" ref="AZ837">IF($F837&lt;&gt;"", XLOOKUP($F837,Productos!$A$2:$A1001,Productos!AS$2:AS1001,"")*$G837,"")</f>
        <v/>
      </c>
      <c r="BA837" s="179" t="str">
        <f t="array" ref="BA837">IF($F837&lt;&gt;"",XLOOKUP($F837,Productos!$A:$A,Productos!AT:AT,"Revisar"),"")</f>
        <v/>
      </c>
      <c r="BB837" s="179" t="str">
        <f t="array" ref="BB837">IF($F837&lt;&gt;"", XLOOKUP($F837,Productos!$A$2:$A1001,Productos!AU$2:AU1001,"")*$G837,"")</f>
        <v/>
      </c>
      <c r="BC837" s="179" t="str">
        <f t="array" ref="BC837">IF($F837&lt;&gt;"",XLOOKUP($F837,Productos!$A:$A,Productos!AV:AV,"Revisar"),"")</f>
        <v/>
      </c>
      <c r="BD837" s="179" t="str">
        <f t="array" ref="BD837">IF($F837&lt;&gt;"", XLOOKUP($F837,Productos!$A$2:$A1001,Productos!AW$2:AW1001,"")*$G837,"")</f>
        <v/>
      </c>
      <c r="BE837" s="179" t="str">
        <f t="array" ref="BE837">IF($F837&lt;&gt;"",XLOOKUP($F837,Productos!$A:$A,Productos!AX:AX,"Revisar"),"")</f>
        <v/>
      </c>
      <c r="BF837" s="179" t="str">
        <f t="array" ref="BF837">IF($F837&lt;&gt;"", XLOOKUP($F837,Productos!$A$2:$A1001,Productos!AY$2:AY1001,"")*$G837,"")</f>
        <v/>
      </c>
      <c r="BG837" s="179" t="str">
        <f t="array" ref="BG837">IF($F837&lt;&gt;"",XLOOKUP($F837,Productos!$A:$A,Productos!AZ:AZ,"Revisar"),"")</f>
        <v/>
      </c>
      <c r="BH837" s="179" t="str">
        <f t="array" ref="BH837">IF($F837&lt;&gt;"", XLOOKUP($F837,Productos!$A$2:$A1001,Productos!BA$2:BA1001,"")*$G837,"")</f>
        <v/>
      </c>
      <c r="BI837" s="179" t="str">
        <f t="array" ref="BI837">IF($F837&lt;&gt;"",XLOOKUP($F837,Productos!$A:$A,Productos!BB:BB,"Revisar"),"")</f>
        <v/>
      </c>
      <c r="BJ837" s="179" t="str">
        <f t="array" ref="BJ837">IF($F837&lt;&gt;"", XLOOKUP($F837,Productos!$A$2:$A1001,Productos!BC$2:BC1001,"")*$G837,"")</f>
        <v/>
      </c>
      <c r="BK837" s="179" t="str">
        <f t="array" ref="BK837">IF($F837&lt;&gt;"",XLOOKUP($F837,Productos!$A:$A,Productos!BD:BD,"Revisar"),"")</f>
        <v/>
      </c>
      <c r="BL837" s="179" t="str">
        <f t="array" ref="BL837">IF($F837&lt;&gt;"", XLOOKUP($F837,Productos!$A$2:$A1001,Productos!BE$2:BE1001,"")*$G837,"")</f>
        <v/>
      </c>
      <c r="BM837" s="179" t="str">
        <f t="array" ref="BM837">IF($F837&lt;&gt;"",XLOOKUP($F837,Productos!$A:$A,Productos!BF:BF,"Revisar"),"")</f>
        <v/>
      </c>
      <c r="BN837" s="179" t="str">
        <f t="array" ref="BN837">IF($F837&lt;&gt;"", XLOOKUP($F837,Productos!$A$2:$A1001,Productos!BG$2:BG1001,"")*$G837,"")</f>
        <v/>
      </c>
      <c r="BO837" s="179" t="str">
        <f t="array" ref="BO837">IF($F837&lt;&gt;"",XLOOKUP($F837,Productos!$A:$A,Productos!BH:BH,"Revisar"),"")</f>
        <v/>
      </c>
      <c r="BP837" s="179" t="str">
        <f t="array" ref="BP837">IF($F837&lt;&gt;"", XLOOKUP($F837,Productos!$A$2:$A1001,Productos!BI$2:BI1001,"")*$G837,"")</f>
        <v/>
      </c>
      <c r="BQ837" s="179" t="str">
        <f t="array" ref="BQ837">IF($F837&lt;&gt;"",XLOOKUP($F837,Productos!$A:$A,Productos!BJ:BJ,"Revisar"),"")</f>
        <v/>
      </c>
      <c r="BR837" s="179" t="str">
        <f t="array" ref="BR837">IF($F837&lt;&gt;"", XLOOKUP($F837,Productos!$A$2:$A1001,Productos!BK$2:BK1001,"")*$G837,"")</f>
        <v/>
      </c>
      <c r="BS837" s="179" t="str">
        <f t="array" ref="BS837">IF($F837&lt;&gt;"",XLOOKUP($F837,Productos!$A:$A,Productos!BL:BL,"Revisar"),"")</f>
        <v/>
      </c>
      <c r="BT837" s="179" t="str">
        <f t="array" ref="BT837">IF($F837&lt;&gt;"", XLOOKUP($F837,Productos!$A$2:$A1001,Productos!BM$2:BM1001,"")*$G837,"")</f>
        <v/>
      </c>
      <c r="BU837" s="179" t="str">
        <f t="array" ref="BU837">IF($F837&lt;&gt;"",XLOOKUP($F837,Productos!$A:$A,Productos!BN:BN,"Revisar"),"")</f>
        <v/>
      </c>
      <c r="BV837" s="179" t="str">
        <f t="array" ref="BV837">IF($F837&lt;&gt;"", XLOOKUP($F837,Productos!$A$2:$A1001,Productos!BO$2:BO1001,"")*$G837,"")</f>
        <v/>
      </c>
      <c r="BW837" s="179" t="str">
        <f t="array" ref="BW837">IF($F837&lt;&gt;"",XLOOKUP($F837,Productos!$A:$A,Productos!BP:BP,"Revisar"),"")</f>
        <v/>
      </c>
      <c r="BX837" s="179" t="str">
        <f t="array" ref="BX837">IF($F837&lt;&gt;"", XLOOKUP($F837,Productos!$A$2:$A1001,Productos!BQ$2:BQ1001,"")*$G837,"")</f>
        <v/>
      </c>
      <c r="BY837" s="179" t="str">
        <f t="array" ref="BY837">IF($F837&lt;&gt;"",XLOOKUP($F837,Productos!$A:$A,Productos!BR:BR,"Revisar"),"")</f>
        <v/>
      </c>
      <c r="BZ837" s="179" t="str">
        <f t="array" ref="BZ837">IF($F837&lt;&gt;"", XLOOKUP($F837,Productos!$A$2:$A1001,Productos!BS$2:BS1001,"")*$G837,"")</f>
        <v/>
      </c>
    </row>
    <row r="838">
      <c r="A838" s="188"/>
      <c r="B838" s="189"/>
      <c r="C838" s="190"/>
      <c r="D838" s="190"/>
      <c r="E838" s="191"/>
      <c r="F838" s="186"/>
      <c r="G838" s="192"/>
      <c r="H838" s="9"/>
      <c r="I838" s="179" t="str">
        <f t="array" ref="I838">IF($F838&lt;&gt;"",XLOOKUP($F838,Productos!$A:$A,Productos!B:B,"Revisar"),"")</f>
        <v/>
      </c>
      <c r="J838" s="179" t="str">
        <f t="array" ref="J838">IF($F838&lt;&gt;"", XLOOKUP($F838,Productos!$A$2:$A1001,Productos!C$2:C1001,"")*$G838,"")</f>
        <v/>
      </c>
      <c r="K838" s="179" t="str">
        <f t="array" ref="K838">IF($F838&lt;&gt;"",XLOOKUP($F838,Productos!$A:$A,Productos!D:D,"Revisar"),"")</f>
        <v/>
      </c>
      <c r="L838" s="179" t="str">
        <f t="array" ref="L838">IF($F838&lt;&gt;"", XLOOKUP($F838,Productos!$A$2:$A1001,Productos!E$2:E1001,"")*$G838,"")</f>
        <v/>
      </c>
      <c r="M838" s="179" t="str">
        <f t="array" ref="M838">IF($F838&lt;&gt;"",XLOOKUP($F838,Productos!$A:$A,Productos!F:F,"Revisar"),"")</f>
        <v/>
      </c>
      <c r="N838" s="179" t="str">
        <f t="array" ref="N838">IF($F838&lt;&gt;"", XLOOKUP($F838,Productos!$A$2:$A1001,Productos!G$2:G1001,"")*$G838,"")</f>
        <v/>
      </c>
      <c r="O838" s="179" t="str">
        <f t="array" ref="O838">IF($F838&lt;&gt;"",XLOOKUP($F838,Productos!$A:$A,Productos!H:H,"Revisar"),"")</f>
        <v/>
      </c>
      <c r="P838" s="179" t="str">
        <f t="array" ref="P838">IF($F838&lt;&gt;"", XLOOKUP($F838,Productos!$A$2:$A1001,Productos!I$2:I1001,"")*$G838,"")</f>
        <v/>
      </c>
      <c r="Q838" s="179" t="str">
        <f t="array" ref="Q838">IF($F838&lt;&gt;"",XLOOKUP($F838,Productos!$A:$A,Productos!J:J,"Revisar"),"")</f>
        <v/>
      </c>
      <c r="R838" s="179" t="str">
        <f t="array" ref="R838">IF($F838&lt;&gt;"", XLOOKUP($F838,Productos!$A$2:$A1001,Productos!K$2:K1001,"")*$G838,"")</f>
        <v/>
      </c>
      <c r="S838" s="179" t="str">
        <f t="array" ref="S838">IF($F838&lt;&gt;"",XLOOKUP($F838,Productos!$A:$A,Productos!L:L,"Revisar"),"")</f>
        <v/>
      </c>
      <c r="T838" s="179" t="str">
        <f t="array" ref="T838">IF($F838&lt;&gt;"", XLOOKUP($F838,Productos!$A$2:$A1001,Productos!M$2:M1001,"")*$G838,"")</f>
        <v/>
      </c>
      <c r="U838" s="179" t="str">
        <f t="array" ref="U838">IF($F838&lt;&gt;"",XLOOKUP($F838,Productos!$A:$A,Productos!N:N,"Revisar"),"")</f>
        <v/>
      </c>
      <c r="V838" s="179" t="str">
        <f t="array" ref="V838">IF($F838&lt;&gt;"", XLOOKUP($F838,Productos!$A$2:$A1001,Productos!O$2:O1001,"")*$G838,"")</f>
        <v/>
      </c>
      <c r="W838" s="179" t="str">
        <f t="array" ref="W838">IF($F838&lt;&gt;"",XLOOKUP($F838,Productos!$A:$A,Productos!P:P,"Revisar"),"")</f>
        <v/>
      </c>
      <c r="X838" s="179" t="str">
        <f t="array" ref="X838">IF($F838&lt;&gt;"", XLOOKUP($F838,Productos!$A$2:$A1001,Productos!Q$2:Q1001,"")*$G838,"")</f>
        <v/>
      </c>
      <c r="Y838" s="179" t="str">
        <f t="array" ref="Y838">IF($F838&lt;&gt;"",XLOOKUP($F838,Productos!$A:$A,Productos!R:R,"Revisar"),"")</f>
        <v/>
      </c>
      <c r="Z838" s="179" t="str">
        <f t="array" ref="Z838">IF($F838&lt;&gt;"", XLOOKUP($F838,Productos!$A$2:$A1001,Productos!S$2:S1001,"")*$G838,"")</f>
        <v/>
      </c>
      <c r="AA838" s="179" t="str">
        <f t="array" ref="AA838">IF($F838&lt;&gt;"",XLOOKUP($F838,Productos!$A:$A,Productos!T:T,"Revisar"),"")</f>
        <v/>
      </c>
      <c r="AB838" s="179" t="str">
        <f t="array" ref="AB838">IF($F838&lt;&gt;"", XLOOKUP($F838,Productos!$A$2:$A1001,Productos!U$2:U1001,"")*$G838,"")</f>
        <v/>
      </c>
      <c r="AC838" s="179" t="str">
        <f t="array" ref="AC838">IF($F838&lt;&gt;"",XLOOKUP($F838,Productos!$A:$A,Productos!V:V,"Revisar"),"")</f>
        <v/>
      </c>
      <c r="AD838" s="179" t="str">
        <f t="array" ref="AD838">IF($F838&lt;&gt;"", XLOOKUP($F838,Productos!$A$2:$A1001,Productos!W$2:W1001,"")*$G838,"")</f>
        <v/>
      </c>
      <c r="AE838" s="179" t="str">
        <f t="array" ref="AE838">IF($F838&lt;&gt;"",XLOOKUP($F838,Productos!$A:$A,Productos!X:X,"Revisar"),"")</f>
        <v/>
      </c>
      <c r="AF838" s="179" t="str">
        <f t="array" ref="AF838">IF($F838&lt;&gt;"", XLOOKUP($F838,Productos!$A$2:$A1001,Productos!Y$2:Y1001,"")*$G838,"")</f>
        <v/>
      </c>
      <c r="AG838" s="179" t="str">
        <f t="array" ref="AG838">IF($F838&lt;&gt;"",XLOOKUP($F838,Productos!$A:$A,Productos!Z:Z,"Revisar"),"")</f>
        <v/>
      </c>
      <c r="AH838" s="179" t="str">
        <f t="array" ref="AH838">IF($F838&lt;&gt;"", XLOOKUP($F838,Productos!$A$2:$A1001,Productos!AA$2:AA1001,"")*$G838,"")</f>
        <v/>
      </c>
      <c r="AI838" s="179" t="str">
        <f t="array" ref="AI838">IF($F838&lt;&gt;"",XLOOKUP($F838,Productos!$A:$A,Productos!AB:AB,"Revisar"),"")</f>
        <v/>
      </c>
      <c r="AJ838" s="179" t="str">
        <f t="array" ref="AJ838">IF($F838&lt;&gt;"", XLOOKUP($F838,Productos!$A$2:$A1001,Productos!AC$2:AC1001,"")*$G838,"")</f>
        <v/>
      </c>
      <c r="AK838" s="179" t="str">
        <f t="array" ref="AK838">IF($F838&lt;&gt;"",XLOOKUP($F838,Productos!$A:$A,Productos!AD:AD,"Revisar"),"")</f>
        <v/>
      </c>
      <c r="AL838" s="179" t="str">
        <f t="array" ref="AL838">IF($F838&lt;&gt;"", XLOOKUP($F838,Productos!$A$2:$A1001,Productos!AE$2:AE1001,"")*$G838,"")</f>
        <v/>
      </c>
      <c r="AM838" s="179" t="str">
        <f t="array" ref="AM838">IF($F838&lt;&gt;"",XLOOKUP($F838,Productos!$A:$A,Productos!AF:AF,"Revisar"),"")</f>
        <v/>
      </c>
      <c r="AN838" s="179" t="str">
        <f t="array" ref="AN838">IF($F838&lt;&gt;"", XLOOKUP($F838,Productos!$A$2:$A1001,Productos!AG$2:AG1001,"")*$G838,"")</f>
        <v/>
      </c>
      <c r="AO838" s="179" t="str">
        <f t="array" ref="AO838">IF($F838&lt;&gt;"",XLOOKUP($F838,Productos!$A:$A,Productos!AH:AH,"Revisar"),"")</f>
        <v/>
      </c>
      <c r="AP838" s="179" t="str">
        <f t="array" ref="AP838">IF($F838&lt;&gt;"", XLOOKUP($F838,Productos!$A$2:$A1001,Productos!AI$2:AI1001,"")*$G838,"")</f>
        <v/>
      </c>
      <c r="AQ838" s="179" t="str">
        <f t="array" ref="AQ838">IF($F838&lt;&gt;"",XLOOKUP($F838,Productos!$A:$A,Productos!AJ:AJ,"Revisar"),"")</f>
        <v/>
      </c>
      <c r="AR838" s="179" t="str">
        <f t="array" ref="AR838">IF($F838&lt;&gt;"", XLOOKUP($F838,Productos!$A$2:$A1001,Productos!AK$2:AK1001,"")*$G838,"")</f>
        <v/>
      </c>
      <c r="AS838" s="179" t="str">
        <f t="array" ref="AS838">IF($F838&lt;&gt;"",XLOOKUP($F838,Productos!$A:$A,Productos!AL:AL,"Revisar"),"")</f>
        <v/>
      </c>
      <c r="AT838" s="179" t="str">
        <f t="array" ref="AT838">IF($F838&lt;&gt;"", XLOOKUP($F838,Productos!$A$2:$A1001,Productos!AM$2:AM1001,"")*$G838,"")</f>
        <v/>
      </c>
      <c r="AU838" s="179" t="str">
        <f t="array" ref="AU838">IF($F838&lt;&gt;"",XLOOKUP($F838,Productos!$A:$A,Productos!AN:AN,"Revisar"),"")</f>
        <v/>
      </c>
      <c r="AV838" s="179" t="str">
        <f t="array" ref="AV838">IF($F838&lt;&gt;"", XLOOKUP($F838,Productos!$A$2:$A1001,Productos!AO$2:AO1001,"")*$G838,"")</f>
        <v/>
      </c>
      <c r="AW838" s="179" t="str">
        <f t="array" ref="AW838">IF($F838&lt;&gt;"",XLOOKUP($F838,Productos!$A:$A,Productos!AP:AP,"Revisar"),"")</f>
        <v/>
      </c>
      <c r="AX838" s="179" t="str">
        <f t="array" ref="AX838">IF($F838&lt;&gt;"", XLOOKUP($F838,Productos!$A$2:$A1001,Productos!AQ$2:AQ1001,"")*$G838,"")</f>
        <v/>
      </c>
      <c r="AY838" s="179" t="str">
        <f t="array" ref="AY838">IF($F838&lt;&gt;"",XLOOKUP($F838,Productos!$A:$A,Productos!AR:AR,"Revisar"),"")</f>
        <v/>
      </c>
      <c r="AZ838" s="179" t="str">
        <f t="array" ref="AZ838">IF($F838&lt;&gt;"", XLOOKUP($F838,Productos!$A$2:$A1001,Productos!AS$2:AS1001,"")*$G838,"")</f>
        <v/>
      </c>
      <c r="BA838" s="179" t="str">
        <f t="array" ref="BA838">IF($F838&lt;&gt;"",XLOOKUP($F838,Productos!$A:$A,Productos!AT:AT,"Revisar"),"")</f>
        <v/>
      </c>
      <c r="BB838" s="179" t="str">
        <f t="array" ref="BB838">IF($F838&lt;&gt;"", XLOOKUP($F838,Productos!$A$2:$A1001,Productos!AU$2:AU1001,"")*$G838,"")</f>
        <v/>
      </c>
      <c r="BC838" s="179" t="str">
        <f t="array" ref="BC838">IF($F838&lt;&gt;"",XLOOKUP($F838,Productos!$A:$A,Productos!AV:AV,"Revisar"),"")</f>
        <v/>
      </c>
      <c r="BD838" s="179" t="str">
        <f t="array" ref="BD838">IF($F838&lt;&gt;"", XLOOKUP($F838,Productos!$A$2:$A1001,Productos!AW$2:AW1001,"")*$G838,"")</f>
        <v/>
      </c>
      <c r="BE838" s="179" t="str">
        <f t="array" ref="BE838">IF($F838&lt;&gt;"",XLOOKUP($F838,Productos!$A:$A,Productos!AX:AX,"Revisar"),"")</f>
        <v/>
      </c>
      <c r="BF838" s="179" t="str">
        <f t="array" ref="BF838">IF($F838&lt;&gt;"", XLOOKUP($F838,Productos!$A$2:$A1001,Productos!AY$2:AY1001,"")*$G838,"")</f>
        <v/>
      </c>
      <c r="BG838" s="179" t="str">
        <f t="array" ref="BG838">IF($F838&lt;&gt;"",XLOOKUP($F838,Productos!$A:$A,Productos!AZ:AZ,"Revisar"),"")</f>
        <v/>
      </c>
      <c r="BH838" s="179" t="str">
        <f t="array" ref="BH838">IF($F838&lt;&gt;"", XLOOKUP($F838,Productos!$A$2:$A1001,Productos!BA$2:BA1001,"")*$G838,"")</f>
        <v/>
      </c>
      <c r="BI838" s="179" t="str">
        <f t="array" ref="BI838">IF($F838&lt;&gt;"",XLOOKUP($F838,Productos!$A:$A,Productos!BB:BB,"Revisar"),"")</f>
        <v/>
      </c>
      <c r="BJ838" s="179" t="str">
        <f t="array" ref="BJ838">IF($F838&lt;&gt;"", XLOOKUP($F838,Productos!$A$2:$A1001,Productos!BC$2:BC1001,"")*$G838,"")</f>
        <v/>
      </c>
      <c r="BK838" s="179" t="str">
        <f t="array" ref="BK838">IF($F838&lt;&gt;"",XLOOKUP($F838,Productos!$A:$A,Productos!BD:BD,"Revisar"),"")</f>
        <v/>
      </c>
      <c r="BL838" s="179" t="str">
        <f t="array" ref="BL838">IF($F838&lt;&gt;"", XLOOKUP($F838,Productos!$A$2:$A1001,Productos!BE$2:BE1001,"")*$G838,"")</f>
        <v/>
      </c>
      <c r="BM838" s="179" t="str">
        <f t="array" ref="BM838">IF($F838&lt;&gt;"",XLOOKUP($F838,Productos!$A:$A,Productos!BF:BF,"Revisar"),"")</f>
        <v/>
      </c>
      <c r="BN838" s="179" t="str">
        <f t="array" ref="BN838">IF($F838&lt;&gt;"", XLOOKUP($F838,Productos!$A$2:$A1001,Productos!BG$2:BG1001,"")*$G838,"")</f>
        <v/>
      </c>
      <c r="BO838" s="179" t="str">
        <f t="array" ref="BO838">IF($F838&lt;&gt;"",XLOOKUP($F838,Productos!$A:$A,Productos!BH:BH,"Revisar"),"")</f>
        <v/>
      </c>
      <c r="BP838" s="179" t="str">
        <f t="array" ref="BP838">IF($F838&lt;&gt;"", XLOOKUP($F838,Productos!$A$2:$A1001,Productos!BI$2:BI1001,"")*$G838,"")</f>
        <v/>
      </c>
      <c r="BQ838" s="179" t="str">
        <f t="array" ref="BQ838">IF($F838&lt;&gt;"",XLOOKUP($F838,Productos!$A:$A,Productos!BJ:BJ,"Revisar"),"")</f>
        <v/>
      </c>
      <c r="BR838" s="179" t="str">
        <f t="array" ref="BR838">IF($F838&lt;&gt;"", XLOOKUP($F838,Productos!$A$2:$A1001,Productos!BK$2:BK1001,"")*$G838,"")</f>
        <v/>
      </c>
      <c r="BS838" s="179" t="str">
        <f t="array" ref="BS838">IF($F838&lt;&gt;"",XLOOKUP($F838,Productos!$A:$A,Productos!BL:BL,"Revisar"),"")</f>
        <v/>
      </c>
      <c r="BT838" s="179" t="str">
        <f t="array" ref="BT838">IF($F838&lt;&gt;"", XLOOKUP($F838,Productos!$A$2:$A1001,Productos!BM$2:BM1001,"")*$G838,"")</f>
        <v/>
      </c>
      <c r="BU838" s="179" t="str">
        <f t="array" ref="BU838">IF($F838&lt;&gt;"",XLOOKUP($F838,Productos!$A:$A,Productos!BN:BN,"Revisar"),"")</f>
        <v/>
      </c>
      <c r="BV838" s="179" t="str">
        <f t="array" ref="BV838">IF($F838&lt;&gt;"", XLOOKUP($F838,Productos!$A$2:$A1001,Productos!BO$2:BO1001,"")*$G838,"")</f>
        <v/>
      </c>
      <c r="BW838" s="179" t="str">
        <f t="array" ref="BW838">IF($F838&lt;&gt;"",XLOOKUP($F838,Productos!$A:$A,Productos!BP:BP,"Revisar"),"")</f>
        <v/>
      </c>
      <c r="BX838" s="179" t="str">
        <f t="array" ref="BX838">IF($F838&lt;&gt;"", XLOOKUP($F838,Productos!$A$2:$A1001,Productos!BQ$2:BQ1001,"")*$G838,"")</f>
        <v/>
      </c>
      <c r="BY838" s="179" t="str">
        <f t="array" ref="BY838">IF($F838&lt;&gt;"",XLOOKUP($F838,Productos!$A:$A,Productos!BR:BR,"Revisar"),"")</f>
        <v/>
      </c>
      <c r="BZ838" s="179" t="str">
        <f t="array" ref="BZ838">IF($F838&lt;&gt;"", XLOOKUP($F838,Productos!$A$2:$A1001,Productos!BS$2:BS1001,"")*$G838,"")</f>
        <v/>
      </c>
    </row>
    <row r="839">
      <c r="A839" s="188"/>
      <c r="B839" s="189"/>
      <c r="C839" s="190"/>
      <c r="D839" s="190"/>
      <c r="E839" s="191"/>
      <c r="F839" s="186"/>
      <c r="G839" s="192"/>
      <c r="H839" s="9"/>
      <c r="I839" s="179" t="str">
        <f t="array" ref="I839">IF($F839&lt;&gt;"",XLOOKUP($F839,Productos!$A:$A,Productos!B:B,"Revisar"),"")</f>
        <v/>
      </c>
      <c r="J839" s="179" t="str">
        <f t="array" ref="J839">IF($F839&lt;&gt;"", XLOOKUP($F839,Productos!$A$2:$A1001,Productos!C$2:C1001,"")*$G839,"")</f>
        <v/>
      </c>
      <c r="K839" s="179" t="str">
        <f t="array" ref="K839">IF($F839&lt;&gt;"",XLOOKUP($F839,Productos!$A:$A,Productos!D:D,"Revisar"),"")</f>
        <v/>
      </c>
      <c r="L839" s="179" t="str">
        <f t="array" ref="L839">IF($F839&lt;&gt;"", XLOOKUP($F839,Productos!$A$2:$A1001,Productos!E$2:E1001,"")*$G839,"")</f>
        <v/>
      </c>
      <c r="M839" s="179" t="str">
        <f t="array" ref="M839">IF($F839&lt;&gt;"",XLOOKUP($F839,Productos!$A:$A,Productos!F:F,"Revisar"),"")</f>
        <v/>
      </c>
      <c r="N839" s="179" t="str">
        <f t="array" ref="N839">IF($F839&lt;&gt;"", XLOOKUP($F839,Productos!$A$2:$A1001,Productos!G$2:G1001,"")*$G839,"")</f>
        <v/>
      </c>
      <c r="O839" s="179" t="str">
        <f t="array" ref="O839">IF($F839&lt;&gt;"",XLOOKUP($F839,Productos!$A:$A,Productos!H:H,"Revisar"),"")</f>
        <v/>
      </c>
      <c r="P839" s="179" t="str">
        <f t="array" ref="P839">IF($F839&lt;&gt;"", XLOOKUP($F839,Productos!$A$2:$A1001,Productos!I$2:I1001,"")*$G839,"")</f>
        <v/>
      </c>
      <c r="Q839" s="179" t="str">
        <f t="array" ref="Q839">IF($F839&lt;&gt;"",XLOOKUP($F839,Productos!$A:$A,Productos!J:J,"Revisar"),"")</f>
        <v/>
      </c>
      <c r="R839" s="179" t="str">
        <f t="array" ref="R839">IF($F839&lt;&gt;"", XLOOKUP($F839,Productos!$A$2:$A1001,Productos!K$2:K1001,"")*$G839,"")</f>
        <v/>
      </c>
      <c r="S839" s="179" t="str">
        <f t="array" ref="S839">IF($F839&lt;&gt;"",XLOOKUP($F839,Productos!$A:$A,Productos!L:L,"Revisar"),"")</f>
        <v/>
      </c>
      <c r="T839" s="179" t="str">
        <f t="array" ref="T839">IF($F839&lt;&gt;"", XLOOKUP($F839,Productos!$A$2:$A1001,Productos!M$2:M1001,"")*$G839,"")</f>
        <v/>
      </c>
      <c r="U839" s="179" t="str">
        <f t="array" ref="U839">IF($F839&lt;&gt;"",XLOOKUP($F839,Productos!$A:$A,Productos!N:N,"Revisar"),"")</f>
        <v/>
      </c>
      <c r="V839" s="179" t="str">
        <f t="array" ref="V839">IF($F839&lt;&gt;"", XLOOKUP($F839,Productos!$A$2:$A1001,Productos!O$2:O1001,"")*$G839,"")</f>
        <v/>
      </c>
      <c r="W839" s="179" t="str">
        <f t="array" ref="W839">IF($F839&lt;&gt;"",XLOOKUP($F839,Productos!$A:$A,Productos!P:P,"Revisar"),"")</f>
        <v/>
      </c>
      <c r="X839" s="179" t="str">
        <f t="array" ref="X839">IF($F839&lt;&gt;"", XLOOKUP($F839,Productos!$A$2:$A1001,Productos!Q$2:Q1001,"")*$G839,"")</f>
        <v/>
      </c>
      <c r="Y839" s="179" t="str">
        <f t="array" ref="Y839">IF($F839&lt;&gt;"",XLOOKUP($F839,Productos!$A:$A,Productos!R:R,"Revisar"),"")</f>
        <v/>
      </c>
      <c r="Z839" s="179" t="str">
        <f t="array" ref="Z839">IF($F839&lt;&gt;"", XLOOKUP($F839,Productos!$A$2:$A1001,Productos!S$2:S1001,"")*$G839,"")</f>
        <v/>
      </c>
      <c r="AA839" s="179" t="str">
        <f t="array" ref="AA839">IF($F839&lt;&gt;"",XLOOKUP($F839,Productos!$A:$A,Productos!T:T,"Revisar"),"")</f>
        <v/>
      </c>
      <c r="AB839" s="179" t="str">
        <f t="array" ref="AB839">IF($F839&lt;&gt;"", XLOOKUP($F839,Productos!$A$2:$A1001,Productos!U$2:U1001,"")*$G839,"")</f>
        <v/>
      </c>
      <c r="AC839" s="179" t="str">
        <f t="array" ref="AC839">IF($F839&lt;&gt;"",XLOOKUP($F839,Productos!$A:$A,Productos!V:V,"Revisar"),"")</f>
        <v/>
      </c>
      <c r="AD839" s="179" t="str">
        <f t="array" ref="AD839">IF($F839&lt;&gt;"", XLOOKUP($F839,Productos!$A$2:$A1001,Productos!W$2:W1001,"")*$G839,"")</f>
        <v/>
      </c>
      <c r="AE839" s="179" t="str">
        <f t="array" ref="AE839">IF($F839&lt;&gt;"",XLOOKUP($F839,Productos!$A:$A,Productos!X:X,"Revisar"),"")</f>
        <v/>
      </c>
      <c r="AF839" s="179" t="str">
        <f t="array" ref="AF839">IF($F839&lt;&gt;"", XLOOKUP($F839,Productos!$A$2:$A1001,Productos!Y$2:Y1001,"")*$G839,"")</f>
        <v/>
      </c>
      <c r="AG839" s="179" t="str">
        <f t="array" ref="AG839">IF($F839&lt;&gt;"",XLOOKUP($F839,Productos!$A:$A,Productos!Z:Z,"Revisar"),"")</f>
        <v/>
      </c>
      <c r="AH839" s="179" t="str">
        <f t="array" ref="AH839">IF($F839&lt;&gt;"", XLOOKUP($F839,Productos!$A$2:$A1001,Productos!AA$2:AA1001,"")*$G839,"")</f>
        <v/>
      </c>
      <c r="AI839" s="179" t="str">
        <f t="array" ref="AI839">IF($F839&lt;&gt;"",XLOOKUP($F839,Productos!$A:$A,Productos!AB:AB,"Revisar"),"")</f>
        <v/>
      </c>
      <c r="AJ839" s="179" t="str">
        <f t="array" ref="AJ839">IF($F839&lt;&gt;"", XLOOKUP($F839,Productos!$A$2:$A1001,Productos!AC$2:AC1001,"")*$G839,"")</f>
        <v/>
      </c>
      <c r="AK839" s="179" t="str">
        <f t="array" ref="AK839">IF($F839&lt;&gt;"",XLOOKUP($F839,Productos!$A:$A,Productos!AD:AD,"Revisar"),"")</f>
        <v/>
      </c>
      <c r="AL839" s="179" t="str">
        <f t="array" ref="AL839">IF($F839&lt;&gt;"", XLOOKUP($F839,Productos!$A$2:$A1001,Productos!AE$2:AE1001,"")*$G839,"")</f>
        <v/>
      </c>
      <c r="AM839" s="179" t="str">
        <f t="array" ref="AM839">IF($F839&lt;&gt;"",XLOOKUP($F839,Productos!$A:$A,Productos!AF:AF,"Revisar"),"")</f>
        <v/>
      </c>
      <c r="AN839" s="179" t="str">
        <f t="array" ref="AN839">IF($F839&lt;&gt;"", XLOOKUP($F839,Productos!$A$2:$A1001,Productos!AG$2:AG1001,"")*$G839,"")</f>
        <v/>
      </c>
      <c r="AO839" s="179" t="str">
        <f t="array" ref="AO839">IF($F839&lt;&gt;"",XLOOKUP($F839,Productos!$A:$A,Productos!AH:AH,"Revisar"),"")</f>
        <v/>
      </c>
      <c r="AP839" s="179" t="str">
        <f t="array" ref="AP839">IF($F839&lt;&gt;"", XLOOKUP($F839,Productos!$A$2:$A1001,Productos!AI$2:AI1001,"")*$G839,"")</f>
        <v/>
      </c>
      <c r="AQ839" s="179" t="str">
        <f t="array" ref="AQ839">IF($F839&lt;&gt;"",XLOOKUP($F839,Productos!$A:$A,Productos!AJ:AJ,"Revisar"),"")</f>
        <v/>
      </c>
      <c r="AR839" s="179" t="str">
        <f t="array" ref="AR839">IF($F839&lt;&gt;"", XLOOKUP($F839,Productos!$A$2:$A1001,Productos!AK$2:AK1001,"")*$G839,"")</f>
        <v/>
      </c>
      <c r="AS839" s="179" t="str">
        <f t="array" ref="AS839">IF($F839&lt;&gt;"",XLOOKUP($F839,Productos!$A:$A,Productos!AL:AL,"Revisar"),"")</f>
        <v/>
      </c>
      <c r="AT839" s="179" t="str">
        <f t="array" ref="AT839">IF($F839&lt;&gt;"", XLOOKUP($F839,Productos!$A$2:$A1001,Productos!AM$2:AM1001,"")*$G839,"")</f>
        <v/>
      </c>
      <c r="AU839" s="179" t="str">
        <f t="array" ref="AU839">IF($F839&lt;&gt;"",XLOOKUP($F839,Productos!$A:$A,Productos!AN:AN,"Revisar"),"")</f>
        <v/>
      </c>
      <c r="AV839" s="179" t="str">
        <f t="array" ref="AV839">IF($F839&lt;&gt;"", XLOOKUP($F839,Productos!$A$2:$A1001,Productos!AO$2:AO1001,"")*$G839,"")</f>
        <v/>
      </c>
      <c r="AW839" s="179" t="str">
        <f t="array" ref="AW839">IF($F839&lt;&gt;"",XLOOKUP($F839,Productos!$A:$A,Productos!AP:AP,"Revisar"),"")</f>
        <v/>
      </c>
      <c r="AX839" s="179" t="str">
        <f t="array" ref="AX839">IF($F839&lt;&gt;"", XLOOKUP($F839,Productos!$A$2:$A1001,Productos!AQ$2:AQ1001,"")*$G839,"")</f>
        <v/>
      </c>
      <c r="AY839" s="179" t="str">
        <f t="array" ref="AY839">IF($F839&lt;&gt;"",XLOOKUP($F839,Productos!$A:$A,Productos!AR:AR,"Revisar"),"")</f>
        <v/>
      </c>
      <c r="AZ839" s="179" t="str">
        <f t="array" ref="AZ839">IF($F839&lt;&gt;"", XLOOKUP($F839,Productos!$A$2:$A1001,Productos!AS$2:AS1001,"")*$G839,"")</f>
        <v/>
      </c>
      <c r="BA839" s="179" t="str">
        <f t="array" ref="BA839">IF($F839&lt;&gt;"",XLOOKUP($F839,Productos!$A:$A,Productos!AT:AT,"Revisar"),"")</f>
        <v/>
      </c>
      <c r="BB839" s="179" t="str">
        <f t="array" ref="BB839">IF($F839&lt;&gt;"", XLOOKUP($F839,Productos!$A$2:$A1001,Productos!AU$2:AU1001,"")*$G839,"")</f>
        <v/>
      </c>
      <c r="BC839" s="179" t="str">
        <f t="array" ref="BC839">IF($F839&lt;&gt;"",XLOOKUP($F839,Productos!$A:$A,Productos!AV:AV,"Revisar"),"")</f>
        <v/>
      </c>
      <c r="BD839" s="179" t="str">
        <f t="array" ref="BD839">IF($F839&lt;&gt;"", XLOOKUP($F839,Productos!$A$2:$A1001,Productos!AW$2:AW1001,"")*$G839,"")</f>
        <v/>
      </c>
      <c r="BE839" s="179" t="str">
        <f t="array" ref="BE839">IF($F839&lt;&gt;"",XLOOKUP($F839,Productos!$A:$A,Productos!AX:AX,"Revisar"),"")</f>
        <v/>
      </c>
      <c r="BF839" s="179" t="str">
        <f t="array" ref="BF839">IF($F839&lt;&gt;"", XLOOKUP($F839,Productos!$A$2:$A1001,Productos!AY$2:AY1001,"")*$G839,"")</f>
        <v/>
      </c>
      <c r="BG839" s="179" t="str">
        <f t="array" ref="BG839">IF($F839&lt;&gt;"",XLOOKUP($F839,Productos!$A:$A,Productos!AZ:AZ,"Revisar"),"")</f>
        <v/>
      </c>
      <c r="BH839" s="179" t="str">
        <f t="array" ref="BH839">IF($F839&lt;&gt;"", XLOOKUP($F839,Productos!$A$2:$A1001,Productos!BA$2:BA1001,"")*$G839,"")</f>
        <v/>
      </c>
      <c r="BI839" s="179" t="str">
        <f t="array" ref="BI839">IF($F839&lt;&gt;"",XLOOKUP($F839,Productos!$A:$A,Productos!BB:BB,"Revisar"),"")</f>
        <v/>
      </c>
      <c r="BJ839" s="179" t="str">
        <f t="array" ref="BJ839">IF($F839&lt;&gt;"", XLOOKUP($F839,Productos!$A$2:$A1001,Productos!BC$2:BC1001,"")*$G839,"")</f>
        <v/>
      </c>
      <c r="BK839" s="179" t="str">
        <f t="array" ref="BK839">IF($F839&lt;&gt;"",XLOOKUP($F839,Productos!$A:$A,Productos!BD:BD,"Revisar"),"")</f>
        <v/>
      </c>
      <c r="BL839" s="179" t="str">
        <f t="array" ref="BL839">IF($F839&lt;&gt;"", XLOOKUP($F839,Productos!$A$2:$A1001,Productos!BE$2:BE1001,"")*$G839,"")</f>
        <v/>
      </c>
      <c r="BM839" s="179" t="str">
        <f t="array" ref="BM839">IF($F839&lt;&gt;"",XLOOKUP($F839,Productos!$A:$A,Productos!BF:BF,"Revisar"),"")</f>
        <v/>
      </c>
      <c r="BN839" s="179" t="str">
        <f t="array" ref="BN839">IF($F839&lt;&gt;"", XLOOKUP($F839,Productos!$A$2:$A1001,Productos!BG$2:BG1001,"")*$G839,"")</f>
        <v/>
      </c>
      <c r="BO839" s="179" t="str">
        <f t="array" ref="BO839">IF($F839&lt;&gt;"",XLOOKUP($F839,Productos!$A:$A,Productos!BH:BH,"Revisar"),"")</f>
        <v/>
      </c>
      <c r="BP839" s="179" t="str">
        <f t="array" ref="BP839">IF($F839&lt;&gt;"", XLOOKUP($F839,Productos!$A$2:$A1001,Productos!BI$2:BI1001,"")*$G839,"")</f>
        <v/>
      </c>
      <c r="BQ839" s="179" t="str">
        <f t="array" ref="BQ839">IF($F839&lt;&gt;"",XLOOKUP($F839,Productos!$A:$A,Productos!BJ:BJ,"Revisar"),"")</f>
        <v/>
      </c>
      <c r="BR839" s="179" t="str">
        <f t="array" ref="BR839">IF($F839&lt;&gt;"", XLOOKUP($F839,Productos!$A$2:$A1001,Productos!BK$2:BK1001,"")*$G839,"")</f>
        <v/>
      </c>
      <c r="BS839" s="179" t="str">
        <f t="array" ref="BS839">IF($F839&lt;&gt;"",XLOOKUP($F839,Productos!$A:$A,Productos!BL:BL,"Revisar"),"")</f>
        <v/>
      </c>
      <c r="BT839" s="179" t="str">
        <f t="array" ref="BT839">IF($F839&lt;&gt;"", XLOOKUP($F839,Productos!$A$2:$A1001,Productos!BM$2:BM1001,"")*$G839,"")</f>
        <v/>
      </c>
      <c r="BU839" s="179" t="str">
        <f t="array" ref="BU839">IF($F839&lt;&gt;"",XLOOKUP($F839,Productos!$A:$A,Productos!BN:BN,"Revisar"),"")</f>
        <v/>
      </c>
      <c r="BV839" s="179" t="str">
        <f t="array" ref="BV839">IF($F839&lt;&gt;"", XLOOKUP($F839,Productos!$A$2:$A1001,Productos!BO$2:BO1001,"")*$G839,"")</f>
        <v/>
      </c>
      <c r="BW839" s="179" t="str">
        <f t="array" ref="BW839">IF($F839&lt;&gt;"",XLOOKUP($F839,Productos!$A:$A,Productos!BP:BP,"Revisar"),"")</f>
        <v/>
      </c>
      <c r="BX839" s="179" t="str">
        <f t="array" ref="BX839">IF($F839&lt;&gt;"", XLOOKUP($F839,Productos!$A$2:$A1001,Productos!BQ$2:BQ1001,"")*$G839,"")</f>
        <v/>
      </c>
      <c r="BY839" s="179" t="str">
        <f t="array" ref="BY839">IF($F839&lt;&gt;"",XLOOKUP($F839,Productos!$A:$A,Productos!BR:BR,"Revisar"),"")</f>
        <v/>
      </c>
      <c r="BZ839" s="179" t="str">
        <f t="array" ref="BZ839">IF($F839&lt;&gt;"", XLOOKUP($F839,Productos!$A$2:$A1001,Productos!BS$2:BS1001,"")*$G839,"")</f>
        <v/>
      </c>
    </row>
    <row r="840">
      <c r="A840" s="188"/>
      <c r="B840" s="189"/>
      <c r="C840" s="190"/>
      <c r="D840" s="190"/>
      <c r="E840" s="191"/>
      <c r="F840" s="186"/>
      <c r="G840" s="192"/>
      <c r="H840" s="9"/>
      <c r="I840" s="179" t="str">
        <f t="array" ref="I840">IF($F840&lt;&gt;"",XLOOKUP($F840,Productos!$A:$A,Productos!B:B,"Revisar"),"")</f>
        <v/>
      </c>
      <c r="J840" s="179" t="str">
        <f t="array" ref="J840">IF($F840&lt;&gt;"", XLOOKUP($F840,Productos!$A$2:$A1001,Productos!C$2:C1001,"")*$G840,"")</f>
        <v/>
      </c>
      <c r="K840" s="179" t="str">
        <f t="array" ref="K840">IF($F840&lt;&gt;"",XLOOKUP($F840,Productos!$A:$A,Productos!D:D,"Revisar"),"")</f>
        <v/>
      </c>
      <c r="L840" s="179" t="str">
        <f t="array" ref="L840">IF($F840&lt;&gt;"", XLOOKUP($F840,Productos!$A$2:$A1001,Productos!E$2:E1001,"")*$G840,"")</f>
        <v/>
      </c>
      <c r="M840" s="179" t="str">
        <f t="array" ref="M840">IF($F840&lt;&gt;"",XLOOKUP($F840,Productos!$A:$A,Productos!F:F,"Revisar"),"")</f>
        <v/>
      </c>
      <c r="N840" s="179" t="str">
        <f t="array" ref="N840">IF($F840&lt;&gt;"", XLOOKUP($F840,Productos!$A$2:$A1001,Productos!G$2:G1001,"")*$G840,"")</f>
        <v/>
      </c>
      <c r="O840" s="179" t="str">
        <f t="array" ref="O840">IF($F840&lt;&gt;"",XLOOKUP($F840,Productos!$A:$A,Productos!H:H,"Revisar"),"")</f>
        <v/>
      </c>
      <c r="P840" s="179" t="str">
        <f t="array" ref="P840">IF($F840&lt;&gt;"", XLOOKUP($F840,Productos!$A$2:$A1001,Productos!I$2:I1001,"")*$G840,"")</f>
        <v/>
      </c>
      <c r="Q840" s="179" t="str">
        <f t="array" ref="Q840">IF($F840&lt;&gt;"",XLOOKUP($F840,Productos!$A:$A,Productos!J:J,"Revisar"),"")</f>
        <v/>
      </c>
      <c r="R840" s="179" t="str">
        <f t="array" ref="R840">IF($F840&lt;&gt;"", XLOOKUP($F840,Productos!$A$2:$A1001,Productos!K$2:K1001,"")*$G840,"")</f>
        <v/>
      </c>
      <c r="S840" s="179" t="str">
        <f t="array" ref="S840">IF($F840&lt;&gt;"",XLOOKUP($F840,Productos!$A:$A,Productos!L:L,"Revisar"),"")</f>
        <v/>
      </c>
      <c r="T840" s="179" t="str">
        <f t="array" ref="T840">IF($F840&lt;&gt;"", XLOOKUP($F840,Productos!$A$2:$A1001,Productos!M$2:M1001,"")*$G840,"")</f>
        <v/>
      </c>
      <c r="U840" s="179" t="str">
        <f t="array" ref="U840">IF($F840&lt;&gt;"",XLOOKUP($F840,Productos!$A:$A,Productos!N:N,"Revisar"),"")</f>
        <v/>
      </c>
      <c r="V840" s="179" t="str">
        <f t="array" ref="V840">IF($F840&lt;&gt;"", XLOOKUP($F840,Productos!$A$2:$A1001,Productos!O$2:O1001,"")*$G840,"")</f>
        <v/>
      </c>
      <c r="W840" s="179" t="str">
        <f t="array" ref="W840">IF($F840&lt;&gt;"",XLOOKUP($F840,Productos!$A:$A,Productos!P:P,"Revisar"),"")</f>
        <v/>
      </c>
      <c r="X840" s="179" t="str">
        <f t="array" ref="X840">IF($F840&lt;&gt;"", XLOOKUP($F840,Productos!$A$2:$A1001,Productos!Q$2:Q1001,"")*$G840,"")</f>
        <v/>
      </c>
      <c r="Y840" s="179" t="str">
        <f t="array" ref="Y840">IF($F840&lt;&gt;"",XLOOKUP($F840,Productos!$A:$A,Productos!R:R,"Revisar"),"")</f>
        <v/>
      </c>
      <c r="Z840" s="179" t="str">
        <f t="array" ref="Z840">IF($F840&lt;&gt;"", XLOOKUP($F840,Productos!$A$2:$A1001,Productos!S$2:S1001,"")*$G840,"")</f>
        <v/>
      </c>
      <c r="AA840" s="179" t="str">
        <f t="array" ref="AA840">IF($F840&lt;&gt;"",XLOOKUP($F840,Productos!$A:$A,Productos!T:T,"Revisar"),"")</f>
        <v/>
      </c>
      <c r="AB840" s="179" t="str">
        <f t="array" ref="AB840">IF($F840&lt;&gt;"", XLOOKUP($F840,Productos!$A$2:$A1001,Productos!U$2:U1001,"")*$G840,"")</f>
        <v/>
      </c>
      <c r="AC840" s="179" t="str">
        <f t="array" ref="AC840">IF($F840&lt;&gt;"",XLOOKUP($F840,Productos!$A:$A,Productos!V:V,"Revisar"),"")</f>
        <v/>
      </c>
      <c r="AD840" s="179" t="str">
        <f t="array" ref="AD840">IF($F840&lt;&gt;"", XLOOKUP($F840,Productos!$A$2:$A1001,Productos!W$2:W1001,"")*$G840,"")</f>
        <v/>
      </c>
      <c r="AE840" s="179" t="str">
        <f t="array" ref="AE840">IF($F840&lt;&gt;"",XLOOKUP($F840,Productos!$A:$A,Productos!X:X,"Revisar"),"")</f>
        <v/>
      </c>
      <c r="AF840" s="179" t="str">
        <f t="array" ref="AF840">IF($F840&lt;&gt;"", XLOOKUP($F840,Productos!$A$2:$A1001,Productos!Y$2:Y1001,"")*$G840,"")</f>
        <v/>
      </c>
      <c r="AG840" s="179" t="str">
        <f t="array" ref="AG840">IF($F840&lt;&gt;"",XLOOKUP($F840,Productos!$A:$A,Productos!Z:Z,"Revisar"),"")</f>
        <v/>
      </c>
      <c r="AH840" s="179" t="str">
        <f t="array" ref="AH840">IF($F840&lt;&gt;"", XLOOKUP($F840,Productos!$A$2:$A1001,Productos!AA$2:AA1001,"")*$G840,"")</f>
        <v/>
      </c>
      <c r="AI840" s="179" t="str">
        <f t="array" ref="AI840">IF($F840&lt;&gt;"",XLOOKUP($F840,Productos!$A:$A,Productos!AB:AB,"Revisar"),"")</f>
        <v/>
      </c>
      <c r="AJ840" s="179" t="str">
        <f t="array" ref="AJ840">IF($F840&lt;&gt;"", XLOOKUP($F840,Productos!$A$2:$A1001,Productos!AC$2:AC1001,"")*$G840,"")</f>
        <v/>
      </c>
      <c r="AK840" s="179" t="str">
        <f t="array" ref="AK840">IF($F840&lt;&gt;"",XLOOKUP($F840,Productos!$A:$A,Productos!AD:AD,"Revisar"),"")</f>
        <v/>
      </c>
      <c r="AL840" s="179" t="str">
        <f t="array" ref="AL840">IF($F840&lt;&gt;"", XLOOKUP($F840,Productos!$A$2:$A1001,Productos!AE$2:AE1001,"")*$G840,"")</f>
        <v/>
      </c>
      <c r="AM840" s="179" t="str">
        <f t="array" ref="AM840">IF($F840&lt;&gt;"",XLOOKUP($F840,Productos!$A:$A,Productos!AF:AF,"Revisar"),"")</f>
        <v/>
      </c>
      <c r="AN840" s="179" t="str">
        <f t="array" ref="AN840">IF($F840&lt;&gt;"", XLOOKUP($F840,Productos!$A$2:$A1001,Productos!AG$2:AG1001,"")*$G840,"")</f>
        <v/>
      </c>
      <c r="AO840" s="179" t="str">
        <f t="array" ref="AO840">IF($F840&lt;&gt;"",XLOOKUP($F840,Productos!$A:$A,Productos!AH:AH,"Revisar"),"")</f>
        <v/>
      </c>
      <c r="AP840" s="179" t="str">
        <f t="array" ref="AP840">IF($F840&lt;&gt;"", XLOOKUP($F840,Productos!$A$2:$A1001,Productos!AI$2:AI1001,"")*$G840,"")</f>
        <v/>
      </c>
      <c r="AQ840" s="179" t="str">
        <f t="array" ref="AQ840">IF($F840&lt;&gt;"",XLOOKUP($F840,Productos!$A:$A,Productos!AJ:AJ,"Revisar"),"")</f>
        <v/>
      </c>
      <c r="AR840" s="179" t="str">
        <f t="array" ref="AR840">IF($F840&lt;&gt;"", XLOOKUP($F840,Productos!$A$2:$A1001,Productos!AK$2:AK1001,"")*$G840,"")</f>
        <v/>
      </c>
      <c r="AS840" s="179" t="str">
        <f t="array" ref="AS840">IF($F840&lt;&gt;"",XLOOKUP($F840,Productos!$A:$A,Productos!AL:AL,"Revisar"),"")</f>
        <v/>
      </c>
      <c r="AT840" s="179" t="str">
        <f t="array" ref="AT840">IF($F840&lt;&gt;"", XLOOKUP($F840,Productos!$A$2:$A1001,Productos!AM$2:AM1001,"")*$G840,"")</f>
        <v/>
      </c>
      <c r="AU840" s="179" t="str">
        <f t="array" ref="AU840">IF($F840&lt;&gt;"",XLOOKUP($F840,Productos!$A:$A,Productos!AN:AN,"Revisar"),"")</f>
        <v/>
      </c>
      <c r="AV840" s="179" t="str">
        <f t="array" ref="AV840">IF($F840&lt;&gt;"", XLOOKUP($F840,Productos!$A$2:$A1001,Productos!AO$2:AO1001,"")*$G840,"")</f>
        <v/>
      </c>
      <c r="AW840" s="179" t="str">
        <f t="array" ref="AW840">IF($F840&lt;&gt;"",XLOOKUP($F840,Productos!$A:$A,Productos!AP:AP,"Revisar"),"")</f>
        <v/>
      </c>
      <c r="AX840" s="179" t="str">
        <f t="array" ref="AX840">IF($F840&lt;&gt;"", XLOOKUP($F840,Productos!$A$2:$A1001,Productos!AQ$2:AQ1001,"")*$G840,"")</f>
        <v/>
      </c>
      <c r="AY840" s="179" t="str">
        <f t="array" ref="AY840">IF($F840&lt;&gt;"",XLOOKUP($F840,Productos!$A:$A,Productos!AR:AR,"Revisar"),"")</f>
        <v/>
      </c>
      <c r="AZ840" s="179" t="str">
        <f t="array" ref="AZ840">IF($F840&lt;&gt;"", XLOOKUP($F840,Productos!$A$2:$A1001,Productos!AS$2:AS1001,"")*$G840,"")</f>
        <v/>
      </c>
      <c r="BA840" s="179" t="str">
        <f t="array" ref="BA840">IF($F840&lt;&gt;"",XLOOKUP($F840,Productos!$A:$A,Productos!AT:AT,"Revisar"),"")</f>
        <v/>
      </c>
      <c r="BB840" s="179" t="str">
        <f t="array" ref="BB840">IF($F840&lt;&gt;"", XLOOKUP($F840,Productos!$A$2:$A1001,Productos!AU$2:AU1001,"")*$G840,"")</f>
        <v/>
      </c>
      <c r="BC840" s="179" t="str">
        <f t="array" ref="BC840">IF($F840&lt;&gt;"",XLOOKUP($F840,Productos!$A:$A,Productos!AV:AV,"Revisar"),"")</f>
        <v/>
      </c>
      <c r="BD840" s="179" t="str">
        <f t="array" ref="BD840">IF($F840&lt;&gt;"", XLOOKUP($F840,Productos!$A$2:$A1001,Productos!AW$2:AW1001,"")*$G840,"")</f>
        <v/>
      </c>
      <c r="BE840" s="179" t="str">
        <f t="array" ref="BE840">IF($F840&lt;&gt;"",XLOOKUP($F840,Productos!$A:$A,Productos!AX:AX,"Revisar"),"")</f>
        <v/>
      </c>
      <c r="BF840" s="179" t="str">
        <f t="array" ref="BF840">IF($F840&lt;&gt;"", XLOOKUP($F840,Productos!$A$2:$A1001,Productos!AY$2:AY1001,"")*$G840,"")</f>
        <v/>
      </c>
      <c r="BG840" s="179" t="str">
        <f t="array" ref="BG840">IF($F840&lt;&gt;"",XLOOKUP($F840,Productos!$A:$A,Productos!AZ:AZ,"Revisar"),"")</f>
        <v/>
      </c>
      <c r="BH840" s="179" t="str">
        <f t="array" ref="BH840">IF($F840&lt;&gt;"", XLOOKUP($F840,Productos!$A$2:$A1001,Productos!BA$2:BA1001,"")*$G840,"")</f>
        <v/>
      </c>
      <c r="BI840" s="179" t="str">
        <f t="array" ref="BI840">IF($F840&lt;&gt;"",XLOOKUP($F840,Productos!$A:$A,Productos!BB:BB,"Revisar"),"")</f>
        <v/>
      </c>
      <c r="BJ840" s="179" t="str">
        <f t="array" ref="BJ840">IF($F840&lt;&gt;"", XLOOKUP($F840,Productos!$A$2:$A1001,Productos!BC$2:BC1001,"")*$G840,"")</f>
        <v/>
      </c>
      <c r="BK840" s="179" t="str">
        <f t="array" ref="BK840">IF($F840&lt;&gt;"",XLOOKUP($F840,Productos!$A:$A,Productos!BD:BD,"Revisar"),"")</f>
        <v/>
      </c>
      <c r="BL840" s="179" t="str">
        <f t="array" ref="BL840">IF($F840&lt;&gt;"", XLOOKUP($F840,Productos!$A$2:$A1001,Productos!BE$2:BE1001,"")*$G840,"")</f>
        <v/>
      </c>
      <c r="BM840" s="179" t="str">
        <f t="array" ref="BM840">IF($F840&lt;&gt;"",XLOOKUP($F840,Productos!$A:$A,Productos!BF:BF,"Revisar"),"")</f>
        <v/>
      </c>
      <c r="BN840" s="179" t="str">
        <f t="array" ref="BN840">IF($F840&lt;&gt;"", XLOOKUP($F840,Productos!$A$2:$A1001,Productos!BG$2:BG1001,"")*$G840,"")</f>
        <v/>
      </c>
      <c r="BO840" s="179" t="str">
        <f t="array" ref="BO840">IF($F840&lt;&gt;"",XLOOKUP($F840,Productos!$A:$A,Productos!BH:BH,"Revisar"),"")</f>
        <v/>
      </c>
      <c r="BP840" s="179" t="str">
        <f t="array" ref="BP840">IF($F840&lt;&gt;"", XLOOKUP($F840,Productos!$A$2:$A1001,Productos!BI$2:BI1001,"")*$G840,"")</f>
        <v/>
      </c>
      <c r="BQ840" s="179" t="str">
        <f t="array" ref="BQ840">IF($F840&lt;&gt;"",XLOOKUP($F840,Productos!$A:$A,Productos!BJ:BJ,"Revisar"),"")</f>
        <v/>
      </c>
      <c r="BR840" s="179" t="str">
        <f t="array" ref="BR840">IF($F840&lt;&gt;"", XLOOKUP($F840,Productos!$A$2:$A1001,Productos!BK$2:BK1001,"")*$G840,"")</f>
        <v/>
      </c>
      <c r="BS840" s="179" t="str">
        <f t="array" ref="BS840">IF($F840&lt;&gt;"",XLOOKUP($F840,Productos!$A:$A,Productos!BL:BL,"Revisar"),"")</f>
        <v/>
      </c>
      <c r="BT840" s="179" t="str">
        <f t="array" ref="BT840">IF($F840&lt;&gt;"", XLOOKUP($F840,Productos!$A$2:$A1001,Productos!BM$2:BM1001,"")*$G840,"")</f>
        <v/>
      </c>
      <c r="BU840" s="179" t="str">
        <f t="array" ref="BU840">IF($F840&lt;&gt;"",XLOOKUP($F840,Productos!$A:$A,Productos!BN:BN,"Revisar"),"")</f>
        <v/>
      </c>
      <c r="BV840" s="179" t="str">
        <f t="array" ref="BV840">IF($F840&lt;&gt;"", XLOOKUP($F840,Productos!$A$2:$A1001,Productos!BO$2:BO1001,"")*$G840,"")</f>
        <v/>
      </c>
      <c r="BW840" s="179" t="str">
        <f t="array" ref="BW840">IF($F840&lt;&gt;"",XLOOKUP($F840,Productos!$A:$A,Productos!BP:BP,"Revisar"),"")</f>
        <v/>
      </c>
      <c r="BX840" s="179" t="str">
        <f t="array" ref="BX840">IF($F840&lt;&gt;"", XLOOKUP($F840,Productos!$A$2:$A1001,Productos!BQ$2:BQ1001,"")*$G840,"")</f>
        <v/>
      </c>
      <c r="BY840" s="179" t="str">
        <f t="array" ref="BY840">IF($F840&lt;&gt;"",XLOOKUP($F840,Productos!$A:$A,Productos!BR:BR,"Revisar"),"")</f>
        <v/>
      </c>
      <c r="BZ840" s="179" t="str">
        <f t="array" ref="BZ840">IF($F840&lt;&gt;"", XLOOKUP($F840,Productos!$A$2:$A1001,Productos!BS$2:BS1001,"")*$G840,"")</f>
        <v/>
      </c>
    </row>
    <row r="841">
      <c r="A841" s="188"/>
      <c r="B841" s="189"/>
      <c r="C841" s="190"/>
      <c r="D841" s="190"/>
      <c r="E841" s="191"/>
      <c r="F841" s="186"/>
      <c r="G841" s="192"/>
      <c r="H841" s="9"/>
      <c r="I841" s="179" t="str">
        <f t="array" ref="I841">IF($F841&lt;&gt;"",XLOOKUP($F841,Productos!$A:$A,Productos!B:B,"Revisar"),"")</f>
        <v/>
      </c>
      <c r="J841" s="179" t="str">
        <f t="array" ref="J841">IF($F841&lt;&gt;"", XLOOKUP($F841,Productos!$A$2:$A1001,Productos!C$2:C1001,"")*$G841,"")</f>
        <v/>
      </c>
      <c r="K841" s="179" t="str">
        <f t="array" ref="K841">IF($F841&lt;&gt;"",XLOOKUP($F841,Productos!$A:$A,Productos!D:D,"Revisar"),"")</f>
        <v/>
      </c>
      <c r="L841" s="179" t="str">
        <f t="array" ref="L841">IF($F841&lt;&gt;"", XLOOKUP($F841,Productos!$A$2:$A1001,Productos!E$2:E1001,"")*$G841,"")</f>
        <v/>
      </c>
      <c r="M841" s="179" t="str">
        <f t="array" ref="M841">IF($F841&lt;&gt;"",XLOOKUP($F841,Productos!$A:$A,Productos!F:F,"Revisar"),"")</f>
        <v/>
      </c>
      <c r="N841" s="179" t="str">
        <f t="array" ref="N841">IF($F841&lt;&gt;"", XLOOKUP($F841,Productos!$A$2:$A1001,Productos!G$2:G1001,"")*$G841,"")</f>
        <v/>
      </c>
      <c r="O841" s="179" t="str">
        <f t="array" ref="O841">IF($F841&lt;&gt;"",XLOOKUP($F841,Productos!$A:$A,Productos!H:H,"Revisar"),"")</f>
        <v/>
      </c>
      <c r="P841" s="179" t="str">
        <f t="array" ref="P841">IF($F841&lt;&gt;"", XLOOKUP($F841,Productos!$A$2:$A1001,Productos!I$2:I1001,"")*$G841,"")</f>
        <v/>
      </c>
      <c r="Q841" s="179" t="str">
        <f t="array" ref="Q841">IF($F841&lt;&gt;"",XLOOKUP($F841,Productos!$A:$A,Productos!J:J,"Revisar"),"")</f>
        <v/>
      </c>
      <c r="R841" s="179" t="str">
        <f t="array" ref="R841">IF($F841&lt;&gt;"", XLOOKUP($F841,Productos!$A$2:$A1001,Productos!K$2:K1001,"")*$G841,"")</f>
        <v/>
      </c>
      <c r="S841" s="179" t="str">
        <f t="array" ref="S841">IF($F841&lt;&gt;"",XLOOKUP($F841,Productos!$A:$A,Productos!L:L,"Revisar"),"")</f>
        <v/>
      </c>
      <c r="T841" s="179" t="str">
        <f t="array" ref="T841">IF($F841&lt;&gt;"", XLOOKUP($F841,Productos!$A$2:$A1001,Productos!M$2:M1001,"")*$G841,"")</f>
        <v/>
      </c>
      <c r="U841" s="179" t="str">
        <f t="array" ref="U841">IF($F841&lt;&gt;"",XLOOKUP($F841,Productos!$A:$A,Productos!N:N,"Revisar"),"")</f>
        <v/>
      </c>
      <c r="V841" s="179" t="str">
        <f t="array" ref="V841">IF($F841&lt;&gt;"", XLOOKUP($F841,Productos!$A$2:$A1001,Productos!O$2:O1001,"")*$G841,"")</f>
        <v/>
      </c>
      <c r="W841" s="179" t="str">
        <f t="array" ref="W841">IF($F841&lt;&gt;"",XLOOKUP($F841,Productos!$A:$A,Productos!P:P,"Revisar"),"")</f>
        <v/>
      </c>
      <c r="X841" s="179" t="str">
        <f t="array" ref="X841">IF($F841&lt;&gt;"", XLOOKUP($F841,Productos!$A$2:$A1001,Productos!Q$2:Q1001,"")*$G841,"")</f>
        <v/>
      </c>
      <c r="Y841" s="179" t="str">
        <f t="array" ref="Y841">IF($F841&lt;&gt;"",XLOOKUP($F841,Productos!$A:$A,Productos!R:R,"Revisar"),"")</f>
        <v/>
      </c>
      <c r="Z841" s="179" t="str">
        <f t="array" ref="Z841">IF($F841&lt;&gt;"", XLOOKUP($F841,Productos!$A$2:$A1001,Productos!S$2:S1001,"")*$G841,"")</f>
        <v/>
      </c>
      <c r="AA841" s="179" t="str">
        <f t="array" ref="AA841">IF($F841&lt;&gt;"",XLOOKUP($F841,Productos!$A:$A,Productos!T:T,"Revisar"),"")</f>
        <v/>
      </c>
      <c r="AB841" s="179" t="str">
        <f t="array" ref="AB841">IF($F841&lt;&gt;"", XLOOKUP($F841,Productos!$A$2:$A1001,Productos!U$2:U1001,"")*$G841,"")</f>
        <v/>
      </c>
      <c r="AC841" s="179" t="str">
        <f t="array" ref="AC841">IF($F841&lt;&gt;"",XLOOKUP($F841,Productos!$A:$A,Productos!V:V,"Revisar"),"")</f>
        <v/>
      </c>
      <c r="AD841" s="179" t="str">
        <f t="array" ref="AD841">IF($F841&lt;&gt;"", XLOOKUP($F841,Productos!$A$2:$A1001,Productos!W$2:W1001,"")*$G841,"")</f>
        <v/>
      </c>
      <c r="AE841" s="179" t="str">
        <f t="array" ref="AE841">IF($F841&lt;&gt;"",XLOOKUP($F841,Productos!$A:$A,Productos!X:X,"Revisar"),"")</f>
        <v/>
      </c>
      <c r="AF841" s="179" t="str">
        <f t="array" ref="AF841">IF($F841&lt;&gt;"", XLOOKUP($F841,Productos!$A$2:$A1001,Productos!Y$2:Y1001,"")*$G841,"")</f>
        <v/>
      </c>
      <c r="AG841" s="179" t="str">
        <f t="array" ref="AG841">IF($F841&lt;&gt;"",XLOOKUP($F841,Productos!$A:$A,Productos!Z:Z,"Revisar"),"")</f>
        <v/>
      </c>
      <c r="AH841" s="179" t="str">
        <f t="array" ref="AH841">IF($F841&lt;&gt;"", XLOOKUP($F841,Productos!$A$2:$A1001,Productos!AA$2:AA1001,"")*$G841,"")</f>
        <v/>
      </c>
      <c r="AI841" s="179" t="str">
        <f t="array" ref="AI841">IF($F841&lt;&gt;"",XLOOKUP($F841,Productos!$A:$A,Productos!AB:AB,"Revisar"),"")</f>
        <v/>
      </c>
      <c r="AJ841" s="179" t="str">
        <f t="array" ref="AJ841">IF($F841&lt;&gt;"", XLOOKUP($F841,Productos!$A$2:$A1001,Productos!AC$2:AC1001,"")*$G841,"")</f>
        <v/>
      </c>
      <c r="AK841" s="179" t="str">
        <f t="array" ref="AK841">IF($F841&lt;&gt;"",XLOOKUP($F841,Productos!$A:$A,Productos!AD:AD,"Revisar"),"")</f>
        <v/>
      </c>
      <c r="AL841" s="179" t="str">
        <f t="array" ref="AL841">IF($F841&lt;&gt;"", XLOOKUP($F841,Productos!$A$2:$A1001,Productos!AE$2:AE1001,"")*$G841,"")</f>
        <v/>
      </c>
      <c r="AM841" s="179" t="str">
        <f t="array" ref="AM841">IF($F841&lt;&gt;"",XLOOKUP($F841,Productos!$A:$A,Productos!AF:AF,"Revisar"),"")</f>
        <v/>
      </c>
      <c r="AN841" s="179" t="str">
        <f t="array" ref="AN841">IF($F841&lt;&gt;"", XLOOKUP($F841,Productos!$A$2:$A1001,Productos!AG$2:AG1001,"")*$G841,"")</f>
        <v/>
      </c>
      <c r="AO841" s="179" t="str">
        <f t="array" ref="AO841">IF($F841&lt;&gt;"",XLOOKUP($F841,Productos!$A:$A,Productos!AH:AH,"Revisar"),"")</f>
        <v/>
      </c>
      <c r="AP841" s="179" t="str">
        <f t="array" ref="AP841">IF($F841&lt;&gt;"", XLOOKUP($F841,Productos!$A$2:$A1001,Productos!AI$2:AI1001,"")*$G841,"")</f>
        <v/>
      </c>
      <c r="AQ841" s="179" t="str">
        <f t="array" ref="AQ841">IF($F841&lt;&gt;"",XLOOKUP($F841,Productos!$A:$A,Productos!AJ:AJ,"Revisar"),"")</f>
        <v/>
      </c>
      <c r="AR841" s="179" t="str">
        <f t="array" ref="AR841">IF($F841&lt;&gt;"", XLOOKUP($F841,Productos!$A$2:$A1001,Productos!AK$2:AK1001,"")*$G841,"")</f>
        <v/>
      </c>
      <c r="AS841" s="179" t="str">
        <f t="array" ref="AS841">IF($F841&lt;&gt;"",XLOOKUP($F841,Productos!$A:$A,Productos!AL:AL,"Revisar"),"")</f>
        <v/>
      </c>
      <c r="AT841" s="179" t="str">
        <f t="array" ref="AT841">IF($F841&lt;&gt;"", XLOOKUP($F841,Productos!$A$2:$A1001,Productos!AM$2:AM1001,"")*$G841,"")</f>
        <v/>
      </c>
      <c r="AU841" s="179" t="str">
        <f t="array" ref="AU841">IF($F841&lt;&gt;"",XLOOKUP($F841,Productos!$A:$A,Productos!AN:AN,"Revisar"),"")</f>
        <v/>
      </c>
      <c r="AV841" s="179" t="str">
        <f t="array" ref="AV841">IF($F841&lt;&gt;"", XLOOKUP($F841,Productos!$A$2:$A1001,Productos!AO$2:AO1001,"")*$G841,"")</f>
        <v/>
      </c>
      <c r="AW841" s="179" t="str">
        <f t="array" ref="AW841">IF($F841&lt;&gt;"",XLOOKUP($F841,Productos!$A:$A,Productos!AP:AP,"Revisar"),"")</f>
        <v/>
      </c>
      <c r="AX841" s="179" t="str">
        <f t="array" ref="AX841">IF($F841&lt;&gt;"", XLOOKUP($F841,Productos!$A$2:$A1001,Productos!AQ$2:AQ1001,"")*$G841,"")</f>
        <v/>
      </c>
      <c r="AY841" s="179" t="str">
        <f t="array" ref="AY841">IF($F841&lt;&gt;"",XLOOKUP($F841,Productos!$A:$A,Productos!AR:AR,"Revisar"),"")</f>
        <v/>
      </c>
      <c r="AZ841" s="179" t="str">
        <f t="array" ref="AZ841">IF($F841&lt;&gt;"", XLOOKUP($F841,Productos!$A$2:$A1001,Productos!AS$2:AS1001,"")*$G841,"")</f>
        <v/>
      </c>
      <c r="BA841" s="179" t="str">
        <f t="array" ref="BA841">IF($F841&lt;&gt;"",XLOOKUP($F841,Productos!$A:$A,Productos!AT:AT,"Revisar"),"")</f>
        <v/>
      </c>
      <c r="BB841" s="179" t="str">
        <f t="array" ref="BB841">IF($F841&lt;&gt;"", XLOOKUP($F841,Productos!$A$2:$A1001,Productos!AU$2:AU1001,"")*$G841,"")</f>
        <v/>
      </c>
      <c r="BC841" s="179" t="str">
        <f t="array" ref="BC841">IF($F841&lt;&gt;"",XLOOKUP($F841,Productos!$A:$A,Productos!AV:AV,"Revisar"),"")</f>
        <v/>
      </c>
      <c r="BD841" s="179" t="str">
        <f t="array" ref="BD841">IF($F841&lt;&gt;"", XLOOKUP($F841,Productos!$A$2:$A1001,Productos!AW$2:AW1001,"")*$G841,"")</f>
        <v/>
      </c>
      <c r="BE841" s="179" t="str">
        <f t="array" ref="BE841">IF($F841&lt;&gt;"",XLOOKUP($F841,Productos!$A:$A,Productos!AX:AX,"Revisar"),"")</f>
        <v/>
      </c>
      <c r="BF841" s="179" t="str">
        <f t="array" ref="BF841">IF($F841&lt;&gt;"", XLOOKUP($F841,Productos!$A$2:$A1001,Productos!AY$2:AY1001,"")*$G841,"")</f>
        <v/>
      </c>
      <c r="BG841" s="179" t="str">
        <f t="array" ref="BG841">IF($F841&lt;&gt;"",XLOOKUP($F841,Productos!$A:$A,Productos!AZ:AZ,"Revisar"),"")</f>
        <v/>
      </c>
      <c r="BH841" s="179" t="str">
        <f t="array" ref="BH841">IF($F841&lt;&gt;"", XLOOKUP($F841,Productos!$A$2:$A1001,Productos!BA$2:BA1001,"")*$G841,"")</f>
        <v/>
      </c>
      <c r="BI841" s="179" t="str">
        <f t="array" ref="BI841">IF($F841&lt;&gt;"",XLOOKUP($F841,Productos!$A:$A,Productos!BB:BB,"Revisar"),"")</f>
        <v/>
      </c>
      <c r="BJ841" s="179" t="str">
        <f t="array" ref="BJ841">IF($F841&lt;&gt;"", XLOOKUP($F841,Productos!$A$2:$A1001,Productos!BC$2:BC1001,"")*$G841,"")</f>
        <v/>
      </c>
      <c r="BK841" s="179" t="str">
        <f t="array" ref="BK841">IF($F841&lt;&gt;"",XLOOKUP($F841,Productos!$A:$A,Productos!BD:BD,"Revisar"),"")</f>
        <v/>
      </c>
      <c r="BL841" s="179" t="str">
        <f t="array" ref="BL841">IF($F841&lt;&gt;"", XLOOKUP($F841,Productos!$A$2:$A1001,Productos!BE$2:BE1001,"")*$G841,"")</f>
        <v/>
      </c>
      <c r="BM841" s="179" t="str">
        <f t="array" ref="BM841">IF($F841&lt;&gt;"",XLOOKUP($F841,Productos!$A:$A,Productos!BF:BF,"Revisar"),"")</f>
        <v/>
      </c>
      <c r="BN841" s="179" t="str">
        <f t="array" ref="BN841">IF($F841&lt;&gt;"", XLOOKUP($F841,Productos!$A$2:$A1001,Productos!BG$2:BG1001,"")*$G841,"")</f>
        <v/>
      </c>
      <c r="BO841" s="179" t="str">
        <f t="array" ref="BO841">IF($F841&lt;&gt;"",XLOOKUP($F841,Productos!$A:$A,Productos!BH:BH,"Revisar"),"")</f>
        <v/>
      </c>
      <c r="BP841" s="179" t="str">
        <f t="array" ref="BP841">IF($F841&lt;&gt;"", XLOOKUP($F841,Productos!$A$2:$A1001,Productos!BI$2:BI1001,"")*$G841,"")</f>
        <v/>
      </c>
      <c r="BQ841" s="179" t="str">
        <f t="array" ref="BQ841">IF($F841&lt;&gt;"",XLOOKUP($F841,Productos!$A:$A,Productos!BJ:BJ,"Revisar"),"")</f>
        <v/>
      </c>
      <c r="BR841" s="179" t="str">
        <f t="array" ref="BR841">IF($F841&lt;&gt;"", XLOOKUP($F841,Productos!$A$2:$A1001,Productos!BK$2:BK1001,"")*$G841,"")</f>
        <v/>
      </c>
      <c r="BS841" s="179" t="str">
        <f t="array" ref="BS841">IF($F841&lt;&gt;"",XLOOKUP($F841,Productos!$A:$A,Productos!BL:BL,"Revisar"),"")</f>
        <v/>
      </c>
      <c r="BT841" s="179" t="str">
        <f t="array" ref="BT841">IF($F841&lt;&gt;"", XLOOKUP($F841,Productos!$A$2:$A1001,Productos!BM$2:BM1001,"")*$G841,"")</f>
        <v/>
      </c>
      <c r="BU841" s="179" t="str">
        <f t="array" ref="BU841">IF($F841&lt;&gt;"",XLOOKUP($F841,Productos!$A:$A,Productos!BN:BN,"Revisar"),"")</f>
        <v/>
      </c>
      <c r="BV841" s="179" t="str">
        <f t="array" ref="BV841">IF($F841&lt;&gt;"", XLOOKUP($F841,Productos!$A$2:$A1001,Productos!BO$2:BO1001,"")*$G841,"")</f>
        <v/>
      </c>
      <c r="BW841" s="179" t="str">
        <f t="array" ref="BW841">IF($F841&lt;&gt;"",XLOOKUP($F841,Productos!$A:$A,Productos!BP:BP,"Revisar"),"")</f>
        <v/>
      </c>
      <c r="BX841" s="179" t="str">
        <f t="array" ref="BX841">IF($F841&lt;&gt;"", XLOOKUP($F841,Productos!$A$2:$A1001,Productos!BQ$2:BQ1001,"")*$G841,"")</f>
        <v/>
      </c>
      <c r="BY841" s="179" t="str">
        <f t="array" ref="BY841">IF($F841&lt;&gt;"",XLOOKUP($F841,Productos!$A:$A,Productos!BR:BR,"Revisar"),"")</f>
        <v/>
      </c>
      <c r="BZ841" s="179" t="str">
        <f t="array" ref="BZ841">IF($F841&lt;&gt;"", XLOOKUP($F841,Productos!$A$2:$A1001,Productos!BS$2:BS1001,"")*$G841,"")</f>
        <v/>
      </c>
    </row>
    <row r="842">
      <c r="A842" s="188"/>
      <c r="B842" s="189"/>
      <c r="C842" s="190"/>
      <c r="D842" s="190"/>
      <c r="E842" s="191"/>
      <c r="F842" s="186"/>
      <c r="G842" s="192"/>
      <c r="H842" s="9"/>
      <c r="I842" s="179" t="str">
        <f t="array" ref="I842">IF($F842&lt;&gt;"",XLOOKUP($F842,Productos!$A:$A,Productos!B:B,"Revisar"),"")</f>
        <v/>
      </c>
      <c r="J842" s="179" t="str">
        <f t="array" ref="J842">IF($F842&lt;&gt;"", XLOOKUP($F842,Productos!$A$2:$A1001,Productos!C$2:C1001,"")*$G842,"")</f>
        <v/>
      </c>
      <c r="K842" s="179" t="str">
        <f t="array" ref="K842">IF($F842&lt;&gt;"",XLOOKUP($F842,Productos!$A:$A,Productos!D:D,"Revisar"),"")</f>
        <v/>
      </c>
      <c r="L842" s="179" t="str">
        <f t="array" ref="L842">IF($F842&lt;&gt;"", XLOOKUP($F842,Productos!$A$2:$A1001,Productos!E$2:E1001,"")*$G842,"")</f>
        <v/>
      </c>
      <c r="M842" s="179" t="str">
        <f t="array" ref="M842">IF($F842&lt;&gt;"",XLOOKUP($F842,Productos!$A:$A,Productos!F:F,"Revisar"),"")</f>
        <v/>
      </c>
      <c r="N842" s="179" t="str">
        <f t="array" ref="N842">IF($F842&lt;&gt;"", XLOOKUP($F842,Productos!$A$2:$A1001,Productos!G$2:G1001,"")*$G842,"")</f>
        <v/>
      </c>
      <c r="O842" s="179" t="str">
        <f t="array" ref="O842">IF($F842&lt;&gt;"",XLOOKUP($F842,Productos!$A:$A,Productos!H:H,"Revisar"),"")</f>
        <v/>
      </c>
      <c r="P842" s="179" t="str">
        <f t="array" ref="P842">IF($F842&lt;&gt;"", XLOOKUP($F842,Productos!$A$2:$A1001,Productos!I$2:I1001,"")*$G842,"")</f>
        <v/>
      </c>
      <c r="Q842" s="179" t="str">
        <f t="array" ref="Q842">IF($F842&lt;&gt;"",XLOOKUP($F842,Productos!$A:$A,Productos!J:J,"Revisar"),"")</f>
        <v/>
      </c>
      <c r="R842" s="179" t="str">
        <f t="array" ref="R842">IF($F842&lt;&gt;"", XLOOKUP($F842,Productos!$A$2:$A1001,Productos!K$2:K1001,"")*$G842,"")</f>
        <v/>
      </c>
      <c r="S842" s="179" t="str">
        <f t="array" ref="S842">IF($F842&lt;&gt;"",XLOOKUP($F842,Productos!$A:$A,Productos!L:L,"Revisar"),"")</f>
        <v/>
      </c>
      <c r="T842" s="179" t="str">
        <f t="array" ref="T842">IF($F842&lt;&gt;"", XLOOKUP($F842,Productos!$A$2:$A1001,Productos!M$2:M1001,"")*$G842,"")</f>
        <v/>
      </c>
      <c r="U842" s="179" t="str">
        <f t="array" ref="U842">IF($F842&lt;&gt;"",XLOOKUP($F842,Productos!$A:$A,Productos!N:N,"Revisar"),"")</f>
        <v/>
      </c>
      <c r="V842" s="179" t="str">
        <f t="array" ref="V842">IF($F842&lt;&gt;"", XLOOKUP($F842,Productos!$A$2:$A1001,Productos!O$2:O1001,"")*$G842,"")</f>
        <v/>
      </c>
      <c r="W842" s="179" t="str">
        <f t="array" ref="W842">IF($F842&lt;&gt;"",XLOOKUP($F842,Productos!$A:$A,Productos!P:P,"Revisar"),"")</f>
        <v/>
      </c>
      <c r="X842" s="179" t="str">
        <f t="array" ref="X842">IF($F842&lt;&gt;"", XLOOKUP($F842,Productos!$A$2:$A1001,Productos!Q$2:Q1001,"")*$G842,"")</f>
        <v/>
      </c>
      <c r="Y842" s="179" t="str">
        <f t="array" ref="Y842">IF($F842&lt;&gt;"",XLOOKUP($F842,Productos!$A:$A,Productos!R:R,"Revisar"),"")</f>
        <v/>
      </c>
      <c r="Z842" s="179" t="str">
        <f t="array" ref="Z842">IF($F842&lt;&gt;"", XLOOKUP($F842,Productos!$A$2:$A1001,Productos!S$2:S1001,"")*$G842,"")</f>
        <v/>
      </c>
      <c r="AA842" s="179" t="str">
        <f t="array" ref="AA842">IF($F842&lt;&gt;"",XLOOKUP($F842,Productos!$A:$A,Productos!T:T,"Revisar"),"")</f>
        <v/>
      </c>
      <c r="AB842" s="179" t="str">
        <f t="array" ref="AB842">IF($F842&lt;&gt;"", XLOOKUP($F842,Productos!$A$2:$A1001,Productos!U$2:U1001,"")*$G842,"")</f>
        <v/>
      </c>
      <c r="AC842" s="179" t="str">
        <f t="array" ref="AC842">IF($F842&lt;&gt;"",XLOOKUP($F842,Productos!$A:$A,Productos!V:V,"Revisar"),"")</f>
        <v/>
      </c>
      <c r="AD842" s="179" t="str">
        <f t="array" ref="AD842">IF($F842&lt;&gt;"", XLOOKUP($F842,Productos!$A$2:$A1001,Productos!W$2:W1001,"")*$G842,"")</f>
        <v/>
      </c>
      <c r="AE842" s="179" t="str">
        <f t="array" ref="AE842">IF($F842&lt;&gt;"",XLOOKUP($F842,Productos!$A:$A,Productos!X:X,"Revisar"),"")</f>
        <v/>
      </c>
      <c r="AF842" s="179" t="str">
        <f t="array" ref="AF842">IF($F842&lt;&gt;"", XLOOKUP($F842,Productos!$A$2:$A1001,Productos!Y$2:Y1001,"")*$G842,"")</f>
        <v/>
      </c>
      <c r="AG842" s="179" t="str">
        <f t="array" ref="AG842">IF($F842&lt;&gt;"",XLOOKUP($F842,Productos!$A:$A,Productos!Z:Z,"Revisar"),"")</f>
        <v/>
      </c>
      <c r="AH842" s="179" t="str">
        <f t="array" ref="AH842">IF($F842&lt;&gt;"", XLOOKUP($F842,Productos!$A$2:$A1001,Productos!AA$2:AA1001,"")*$G842,"")</f>
        <v/>
      </c>
      <c r="AI842" s="179" t="str">
        <f t="array" ref="AI842">IF($F842&lt;&gt;"",XLOOKUP($F842,Productos!$A:$A,Productos!AB:AB,"Revisar"),"")</f>
        <v/>
      </c>
      <c r="AJ842" s="179" t="str">
        <f t="array" ref="AJ842">IF($F842&lt;&gt;"", XLOOKUP($F842,Productos!$A$2:$A1001,Productos!AC$2:AC1001,"")*$G842,"")</f>
        <v/>
      </c>
      <c r="AK842" s="179" t="str">
        <f t="array" ref="AK842">IF($F842&lt;&gt;"",XLOOKUP($F842,Productos!$A:$A,Productos!AD:AD,"Revisar"),"")</f>
        <v/>
      </c>
      <c r="AL842" s="179" t="str">
        <f t="array" ref="AL842">IF($F842&lt;&gt;"", XLOOKUP($F842,Productos!$A$2:$A1001,Productos!AE$2:AE1001,"")*$G842,"")</f>
        <v/>
      </c>
      <c r="AM842" s="179" t="str">
        <f t="array" ref="AM842">IF($F842&lt;&gt;"",XLOOKUP($F842,Productos!$A:$A,Productos!AF:AF,"Revisar"),"")</f>
        <v/>
      </c>
      <c r="AN842" s="179" t="str">
        <f t="array" ref="AN842">IF($F842&lt;&gt;"", XLOOKUP($F842,Productos!$A$2:$A1001,Productos!AG$2:AG1001,"")*$G842,"")</f>
        <v/>
      </c>
      <c r="AO842" s="179" t="str">
        <f t="array" ref="AO842">IF($F842&lt;&gt;"",XLOOKUP($F842,Productos!$A:$A,Productos!AH:AH,"Revisar"),"")</f>
        <v/>
      </c>
      <c r="AP842" s="179" t="str">
        <f t="array" ref="AP842">IF($F842&lt;&gt;"", XLOOKUP($F842,Productos!$A$2:$A1001,Productos!AI$2:AI1001,"")*$G842,"")</f>
        <v/>
      </c>
      <c r="AQ842" s="179" t="str">
        <f t="array" ref="AQ842">IF($F842&lt;&gt;"",XLOOKUP($F842,Productos!$A:$A,Productos!AJ:AJ,"Revisar"),"")</f>
        <v/>
      </c>
      <c r="AR842" s="179" t="str">
        <f t="array" ref="AR842">IF($F842&lt;&gt;"", XLOOKUP($F842,Productos!$A$2:$A1001,Productos!AK$2:AK1001,"")*$G842,"")</f>
        <v/>
      </c>
      <c r="AS842" s="179" t="str">
        <f t="array" ref="AS842">IF($F842&lt;&gt;"",XLOOKUP($F842,Productos!$A:$A,Productos!AL:AL,"Revisar"),"")</f>
        <v/>
      </c>
      <c r="AT842" s="179" t="str">
        <f t="array" ref="AT842">IF($F842&lt;&gt;"", XLOOKUP($F842,Productos!$A$2:$A1001,Productos!AM$2:AM1001,"")*$G842,"")</f>
        <v/>
      </c>
      <c r="AU842" s="179" t="str">
        <f t="array" ref="AU842">IF($F842&lt;&gt;"",XLOOKUP($F842,Productos!$A:$A,Productos!AN:AN,"Revisar"),"")</f>
        <v/>
      </c>
      <c r="AV842" s="179" t="str">
        <f t="array" ref="AV842">IF($F842&lt;&gt;"", XLOOKUP($F842,Productos!$A$2:$A1001,Productos!AO$2:AO1001,"")*$G842,"")</f>
        <v/>
      </c>
      <c r="AW842" s="179" t="str">
        <f t="array" ref="AW842">IF($F842&lt;&gt;"",XLOOKUP($F842,Productos!$A:$A,Productos!AP:AP,"Revisar"),"")</f>
        <v/>
      </c>
      <c r="AX842" s="179" t="str">
        <f t="array" ref="AX842">IF($F842&lt;&gt;"", XLOOKUP($F842,Productos!$A$2:$A1001,Productos!AQ$2:AQ1001,"")*$G842,"")</f>
        <v/>
      </c>
      <c r="AY842" s="179" t="str">
        <f t="array" ref="AY842">IF($F842&lt;&gt;"",XLOOKUP($F842,Productos!$A:$A,Productos!AR:AR,"Revisar"),"")</f>
        <v/>
      </c>
      <c r="AZ842" s="179" t="str">
        <f t="array" ref="AZ842">IF($F842&lt;&gt;"", XLOOKUP($F842,Productos!$A$2:$A1001,Productos!AS$2:AS1001,"")*$G842,"")</f>
        <v/>
      </c>
      <c r="BA842" s="179" t="str">
        <f t="array" ref="BA842">IF($F842&lt;&gt;"",XLOOKUP($F842,Productos!$A:$A,Productos!AT:AT,"Revisar"),"")</f>
        <v/>
      </c>
      <c r="BB842" s="179" t="str">
        <f t="array" ref="BB842">IF($F842&lt;&gt;"", XLOOKUP($F842,Productos!$A$2:$A1001,Productos!AU$2:AU1001,"")*$G842,"")</f>
        <v/>
      </c>
      <c r="BC842" s="179" t="str">
        <f t="array" ref="BC842">IF($F842&lt;&gt;"",XLOOKUP($F842,Productos!$A:$A,Productos!AV:AV,"Revisar"),"")</f>
        <v/>
      </c>
      <c r="BD842" s="179" t="str">
        <f t="array" ref="BD842">IF($F842&lt;&gt;"", XLOOKUP($F842,Productos!$A$2:$A1001,Productos!AW$2:AW1001,"")*$G842,"")</f>
        <v/>
      </c>
      <c r="BE842" s="179" t="str">
        <f t="array" ref="BE842">IF($F842&lt;&gt;"",XLOOKUP($F842,Productos!$A:$A,Productos!AX:AX,"Revisar"),"")</f>
        <v/>
      </c>
      <c r="BF842" s="179" t="str">
        <f t="array" ref="BF842">IF($F842&lt;&gt;"", XLOOKUP($F842,Productos!$A$2:$A1001,Productos!AY$2:AY1001,"")*$G842,"")</f>
        <v/>
      </c>
      <c r="BG842" s="179" t="str">
        <f t="array" ref="BG842">IF($F842&lt;&gt;"",XLOOKUP($F842,Productos!$A:$A,Productos!AZ:AZ,"Revisar"),"")</f>
        <v/>
      </c>
      <c r="BH842" s="179" t="str">
        <f t="array" ref="BH842">IF($F842&lt;&gt;"", XLOOKUP($F842,Productos!$A$2:$A1001,Productos!BA$2:BA1001,"")*$G842,"")</f>
        <v/>
      </c>
      <c r="BI842" s="179" t="str">
        <f t="array" ref="BI842">IF($F842&lt;&gt;"",XLOOKUP($F842,Productos!$A:$A,Productos!BB:BB,"Revisar"),"")</f>
        <v/>
      </c>
      <c r="BJ842" s="179" t="str">
        <f t="array" ref="BJ842">IF($F842&lt;&gt;"", XLOOKUP($F842,Productos!$A$2:$A1001,Productos!BC$2:BC1001,"")*$G842,"")</f>
        <v/>
      </c>
      <c r="BK842" s="179" t="str">
        <f t="array" ref="BK842">IF($F842&lt;&gt;"",XLOOKUP($F842,Productos!$A:$A,Productos!BD:BD,"Revisar"),"")</f>
        <v/>
      </c>
      <c r="BL842" s="179" t="str">
        <f t="array" ref="BL842">IF($F842&lt;&gt;"", XLOOKUP($F842,Productos!$A$2:$A1001,Productos!BE$2:BE1001,"")*$G842,"")</f>
        <v/>
      </c>
      <c r="BM842" s="179" t="str">
        <f t="array" ref="BM842">IF($F842&lt;&gt;"",XLOOKUP($F842,Productos!$A:$A,Productos!BF:BF,"Revisar"),"")</f>
        <v/>
      </c>
      <c r="BN842" s="179" t="str">
        <f t="array" ref="BN842">IF($F842&lt;&gt;"", XLOOKUP($F842,Productos!$A$2:$A1001,Productos!BG$2:BG1001,"")*$G842,"")</f>
        <v/>
      </c>
      <c r="BO842" s="179" t="str">
        <f t="array" ref="BO842">IF($F842&lt;&gt;"",XLOOKUP($F842,Productos!$A:$A,Productos!BH:BH,"Revisar"),"")</f>
        <v/>
      </c>
      <c r="BP842" s="179" t="str">
        <f t="array" ref="BP842">IF($F842&lt;&gt;"", XLOOKUP($F842,Productos!$A$2:$A1001,Productos!BI$2:BI1001,"")*$G842,"")</f>
        <v/>
      </c>
      <c r="BQ842" s="179" t="str">
        <f t="array" ref="BQ842">IF($F842&lt;&gt;"",XLOOKUP($F842,Productos!$A:$A,Productos!BJ:BJ,"Revisar"),"")</f>
        <v/>
      </c>
      <c r="BR842" s="179" t="str">
        <f t="array" ref="BR842">IF($F842&lt;&gt;"", XLOOKUP($F842,Productos!$A$2:$A1001,Productos!BK$2:BK1001,"")*$G842,"")</f>
        <v/>
      </c>
      <c r="BS842" s="179" t="str">
        <f t="array" ref="BS842">IF($F842&lt;&gt;"",XLOOKUP($F842,Productos!$A:$A,Productos!BL:BL,"Revisar"),"")</f>
        <v/>
      </c>
      <c r="BT842" s="179" t="str">
        <f t="array" ref="BT842">IF($F842&lt;&gt;"", XLOOKUP($F842,Productos!$A$2:$A1001,Productos!BM$2:BM1001,"")*$G842,"")</f>
        <v/>
      </c>
      <c r="BU842" s="179" t="str">
        <f t="array" ref="BU842">IF($F842&lt;&gt;"",XLOOKUP($F842,Productos!$A:$A,Productos!BN:BN,"Revisar"),"")</f>
        <v/>
      </c>
      <c r="BV842" s="179" t="str">
        <f t="array" ref="BV842">IF($F842&lt;&gt;"", XLOOKUP($F842,Productos!$A$2:$A1001,Productos!BO$2:BO1001,"")*$G842,"")</f>
        <v/>
      </c>
      <c r="BW842" s="179" t="str">
        <f t="array" ref="BW842">IF($F842&lt;&gt;"",XLOOKUP($F842,Productos!$A:$A,Productos!BP:BP,"Revisar"),"")</f>
        <v/>
      </c>
      <c r="BX842" s="179" t="str">
        <f t="array" ref="BX842">IF($F842&lt;&gt;"", XLOOKUP($F842,Productos!$A$2:$A1001,Productos!BQ$2:BQ1001,"")*$G842,"")</f>
        <v/>
      </c>
      <c r="BY842" s="179" t="str">
        <f t="array" ref="BY842">IF($F842&lt;&gt;"",XLOOKUP($F842,Productos!$A:$A,Productos!BR:BR,"Revisar"),"")</f>
        <v/>
      </c>
      <c r="BZ842" s="179" t="str">
        <f t="array" ref="BZ842">IF($F842&lt;&gt;"", XLOOKUP($F842,Productos!$A$2:$A1001,Productos!BS$2:BS1001,"")*$G842,"")</f>
        <v/>
      </c>
    </row>
    <row r="843">
      <c r="A843" s="188"/>
      <c r="B843" s="189"/>
      <c r="C843" s="190"/>
      <c r="D843" s="190"/>
      <c r="E843" s="191"/>
      <c r="F843" s="186"/>
      <c r="G843" s="192"/>
      <c r="H843" s="9"/>
      <c r="I843" s="179" t="str">
        <f t="array" ref="I843">IF($F843&lt;&gt;"",XLOOKUP($F843,Productos!$A:$A,Productos!B:B,"Revisar"),"")</f>
        <v/>
      </c>
      <c r="J843" s="179" t="str">
        <f t="array" ref="J843">IF($F843&lt;&gt;"", XLOOKUP($F843,Productos!$A$2:$A1001,Productos!C$2:C1001,"")*$G843,"")</f>
        <v/>
      </c>
      <c r="K843" s="179" t="str">
        <f t="array" ref="K843">IF($F843&lt;&gt;"",XLOOKUP($F843,Productos!$A:$A,Productos!D:D,"Revisar"),"")</f>
        <v/>
      </c>
      <c r="L843" s="179" t="str">
        <f t="array" ref="L843">IF($F843&lt;&gt;"", XLOOKUP($F843,Productos!$A$2:$A1001,Productos!E$2:E1001,"")*$G843,"")</f>
        <v/>
      </c>
      <c r="M843" s="179" t="str">
        <f t="array" ref="M843">IF($F843&lt;&gt;"",XLOOKUP($F843,Productos!$A:$A,Productos!F:F,"Revisar"),"")</f>
        <v/>
      </c>
      <c r="N843" s="179" t="str">
        <f t="array" ref="N843">IF($F843&lt;&gt;"", XLOOKUP($F843,Productos!$A$2:$A1001,Productos!G$2:G1001,"")*$G843,"")</f>
        <v/>
      </c>
      <c r="O843" s="179" t="str">
        <f t="array" ref="O843">IF($F843&lt;&gt;"",XLOOKUP($F843,Productos!$A:$A,Productos!H:H,"Revisar"),"")</f>
        <v/>
      </c>
      <c r="P843" s="179" t="str">
        <f t="array" ref="P843">IF($F843&lt;&gt;"", XLOOKUP($F843,Productos!$A$2:$A1001,Productos!I$2:I1001,"")*$G843,"")</f>
        <v/>
      </c>
      <c r="Q843" s="179" t="str">
        <f t="array" ref="Q843">IF($F843&lt;&gt;"",XLOOKUP($F843,Productos!$A:$A,Productos!J:J,"Revisar"),"")</f>
        <v/>
      </c>
      <c r="R843" s="179" t="str">
        <f t="array" ref="R843">IF($F843&lt;&gt;"", XLOOKUP($F843,Productos!$A$2:$A1001,Productos!K$2:K1001,"")*$G843,"")</f>
        <v/>
      </c>
      <c r="S843" s="179" t="str">
        <f t="array" ref="S843">IF($F843&lt;&gt;"",XLOOKUP($F843,Productos!$A:$A,Productos!L:L,"Revisar"),"")</f>
        <v/>
      </c>
      <c r="T843" s="179" t="str">
        <f t="array" ref="T843">IF($F843&lt;&gt;"", XLOOKUP($F843,Productos!$A$2:$A1001,Productos!M$2:M1001,"")*$G843,"")</f>
        <v/>
      </c>
      <c r="U843" s="179" t="str">
        <f t="array" ref="U843">IF($F843&lt;&gt;"",XLOOKUP($F843,Productos!$A:$A,Productos!N:N,"Revisar"),"")</f>
        <v/>
      </c>
      <c r="V843" s="179" t="str">
        <f t="array" ref="V843">IF($F843&lt;&gt;"", XLOOKUP($F843,Productos!$A$2:$A1001,Productos!O$2:O1001,"")*$G843,"")</f>
        <v/>
      </c>
      <c r="W843" s="179" t="str">
        <f t="array" ref="W843">IF($F843&lt;&gt;"",XLOOKUP($F843,Productos!$A:$A,Productos!P:P,"Revisar"),"")</f>
        <v/>
      </c>
      <c r="X843" s="179" t="str">
        <f t="array" ref="X843">IF($F843&lt;&gt;"", XLOOKUP($F843,Productos!$A$2:$A1001,Productos!Q$2:Q1001,"")*$G843,"")</f>
        <v/>
      </c>
      <c r="Y843" s="179" t="str">
        <f t="array" ref="Y843">IF($F843&lt;&gt;"",XLOOKUP($F843,Productos!$A:$A,Productos!R:R,"Revisar"),"")</f>
        <v/>
      </c>
      <c r="Z843" s="179" t="str">
        <f t="array" ref="Z843">IF($F843&lt;&gt;"", XLOOKUP($F843,Productos!$A$2:$A1001,Productos!S$2:S1001,"")*$G843,"")</f>
        <v/>
      </c>
      <c r="AA843" s="179" t="str">
        <f t="array" ref="AA843">IF($F843&lt;&gt;"",XLOOKUP($F843,Productos!$A:$A,Productos!T:T,"Revisar"),"")</f>
        <v/>
      </c>
      <c r="AB843" s="179" t="str">
        <f t="array" ref="AB843">IF($F843&lt;&gt;"", XLOOKUP($F843,Productos!$A$2:$A1001,Productos!U$2:U1001,"")*$G843,"")</f>
        <v/>
      </c>
      <c r="AC843" s="179" t="str">
        <f t="array" ref="AC843">IF($F843&lt;&gt;"",XLOOKUP($F843,Productos!$A:$A,Productos!V:V,"Revisar"),"")</f>
        <v/>
      </c>
      <c r="AD843" s="179" t="str">
        <f t="array" ref="AD843">IF($F843&lt;&gt;"", XLOOKUP($F843,Productos!$A$2:$A1001,Productos!W$2:W1001,"")*$G843,"")</f>
        <v/>
      </c>
      <c r="AE843" s="179" t="str">
        <f t="array" ref="AE843">IF($F843&lt;&gt;"",XLOOKUP($F843,Productos!$A:$A,Productos!X:X,"Revisar"),"")</f>
        <v/>
      </c>
      <c r="AF843" s="179" t="str">
        <f t="array" ref="AF843">IF($F843&lt;&gt;"", XLOOKUP($F843,Productos!$A$2:$A1001,Productos!Y$2:Y1001,"")*$G843,"")</f>
        <v/>
      </c>
      <c r="AG843" s="179" t="str">
        <f t="array" ref="AG843">IF($F843&lt;&gt;"",XLOOKUP($F843,Productos!$A:$A,Productos!Z:Z,"Revisar"),"")</f>
        <v/>
      </c>
      <c r="AH843" s="179" t="str">
        <f t="array" ref="AH843">IF($F843&lt;&gt;"", XLOOKUP($F843,Productos!$A$2:$A1001,Productos!AA$2:AA1001,"")*$G843,"")</f>
        <v/>
      </c>
      <c r="AI843" s="179" t="str">
        <f t="array" ref="AI843">IF($F843&lt;&gt;"",XLOOKUP($F843,Productos!$A:$A,Productos!AB:AB,"Revisar"),"")</f>
        <v/>
      </c>
      <c r="AJ843" s="179" t="str">
        <f t="array" ref="AJ843">IF($F843&lt;&gt;"", XLOOKUP($F843,Productos!$A$2:$A1001,Productos!AC$2:AC1001,"")*$G843,"")</f>
        <v/>
      </c>
      <c r="AK843" s="179" t="str">
        <f t="array" ref="AK843">IF($F843&lt;&gt;"",XLOOKUP($F843,Productos!$A:$A,Productos!AD:AD,"Revisar"),"")</f>
        <v/>
      </c>
      <c r="AL843" s="179" t="str">
        <f t="array" ref="AL843">IF($F843&lt;&gt;"", XLOOKUP($F843,Productos!$A$2:$A1001,Productos!AE$2:AE1001,"")*$G843,"")</f>
        <v/>
      </c>
      <c r="AM843" s="179" t="str">
        <f t="array" ref="AM843">IF($F843&lt;&gt;"",XLOOKUP($F843,Productos!$A:$A,Productos!AF:AF,"Revisar"),"")</f>
        <v/>
      </c>
      <c r="AN843" s="179" t="str">
        <f t="array" ref="AN843">IF($F843&lt;&gt;"", XLOOKUP($F843,Productos!$A$2:$A1001,Productos!AG$2:AG1001,"")*$G843,"")</f>
        <v/>
      </c>
      <c r="AO843" s="179" t="str">
        <f t="array" ref="AO843">IF($F843&lt;&gt;"",XLOOKUP($F843,Productos!$A:$A,Productos!AH:AH,"Revisar"),"")</f>
        <v/>
      </c>
      <c r="AP843" s="179" t="str">
        <f t="array" ref="AP843">IF($F843&lt;&gt;"", XLOOKUP($F843,Productos!$A$2:$A1001,Productos!AI$2:AI1001,"")*$G843,"")</f>
        <v/>
      </c>
      <c r="AQ843" s="179" t="str">
        <f t="array" ref="AQ843">IF($F843&lt;&gt;"",XLOOKUP($F843,Productos!$A:$A,Productos!AJ:AJ,"Revisar"),"")</f>
        <v/>
      </c>
      <c r="AR843" s="179" t="str">
        <f t="array" ref="AR843">IF($F843&lt;&gt;"", XLOOKUP($F843,Productos!$A$2:$A1001,Productos!AK$2:AK1001,"")*$G843,"")</f>
        <v/>
      </c>
      <c r="AS843" s="179" t="str">
        <f t="array" ref="AS843">IF($F843&lt;&gt;"",XLOOKUP($F843,Productos!$A:$A,Productos!AL:AL,"Revisar"),"")</f>
        <v/>
      </c>
      <c r="AT843" s="179" t="str">
        <f t="array" ref="AT843">IF($F843&lt;&gt;"", XLOOKUP($F843,Productos!$A$2:$A1001,Productos!AM$2:AM1001,"")*$G843,"")</f>
        <v/>
      </c>
      <c r="AU843" s="179" t="str">
        <f t="array" ref="AU843">IF($F843&lt;&gt;"",XLOOKUP($F843,Productos!$A:$A,Productos!AN:AN,"Revisar"),"")</f>
        <v/>
      </c>
      <c r="AV843" s="179" t="str">
        <f t="array" ref="AV843">IF($F843&lt;&gt;"", XLOOKUP($F843,Productos!$A$2:$A1001,Productos!AO$2:AO1001,"")*$G843,"")</f>
        <v/>
      </c>
      <c r="AW843" s="179" t="str">
        <f t="array" ref="AW843">IF($F843&lt;&gt;"",XLOOKUP($F843,Productos!$A:$A,Productos!AP:AP,"Revisar"),"")</f>
        <v/>
      </c>
      <c r="AX843" s="179" t="str">
        <f t="array" ref="AX843">IF($F843&lt;&gt;"", XLOOKUP($F843,Productos!$A$2:$A1001,Productos!AQ$2:AQ1001,"")*$G843,"")</f>
        <v/>
      </c>
      <c r="AY843" s="179" t="str">
        <f t="array" ref="AY843">IF($F843&lt;&gt;"",XLOOKUP($F843,Productos!$A:$A,Productos!AR:AR,"Revisar"),"")</f>
        <v/>
      </c>
      <c r="AZ843" s="179" t="str">
        <f t="array" ref="AZ843">IF($F843&lt;&gt;"", XLOOKUP($F843,Productos!$A$2:$A1001,Productos!AS$2:AS1001,"")*$G843,"")</f>
        <v/>
      </c>
      <c r="BA843" s="179" t="str">
        <f t="array" ref="BA843">IF($F843&lt;&gt;"",XLOOKUP($F843,Productos!$A:$A,Productos!AT:AT,"Revisar"),"")</f>
        <v/>
      </c>
      <c r="BB843" s="179" t="str">
        <f t="array" ref="BB843">IF($F843&lt;&gt;"", XLOOKUP($F843,Productos!$A$2:$A1001,Productos!AU$2:AU1001,"")*$G843,"")</f>
        <v/>
      </c>
      <c r="BC843" s="179" t="str">
        <f t="array" ref="BC843">IF($F843&lt;&gt;"",XLOOKUP($F843,Productos!$A:$A,Productos!AV:AV,"Revisar"),"")</f>
        <v/>
      </c>
      <c r="BD843" s="179" t="str">
        <f t="array" ref="BD843">IF($F843&lt;&gt;"", XLOOKUP($F843,Productos!$A$2:$A1001,Productos!AW$2:AW1001,"")*$G843,"")</f>
        <v/>
      </c>
      <c r="BE843" s="179" t="str">
        <f t="array" ref="BE843">IF($F843&lt;&gt;"",XLOOKUP($F843,Productos!$A:$A,Productos!AX:AX,"Revisar"),"")</f>
        <v/>
      </c>
      <c r="BF843" s="179" t="str">
        <f t="array" ref="BF843">IF($F843&lt;&gt;"", XLOOKUP($F843,Productos!$A$2:$A1001,Productos!AY$2:AY1001,"")*$G843,"")</f>
        <v/>
      </c>
      <c r="BG843" s="179" t="str">
        <f t="array" ref="BG843">IF($F843&lt;&gt;"",XLOOKUP($F843,Productos!$A:$A,Productos!AZ:AZ,"Revisar"),"")</f>
        <v/>
      </c>
      <c r="BH843" s="179" t="str">
        <f t="array" ref="BH843">IF($F843&lt;&gt;"", XLOOKUP($F843,Productos!$A$2:$A1001,Productos!BA$2:BA1001,"")*$G843,"")</f>
        <v/>
      </c>
      <c r="BI843" s="179" t="str">
        <f t="array" ref="BI843">IF($F843&lt;&gt;"",XLOOKUP($F843,Productos!$A:$A,Productos!BB:BB,"Revisar"),"")</f>
        <v/>
      </c>
      <c r="BJ843" s="179" t="str">
        <f t="array" ref="BJ843">IF($F843&lt;&gt;"", XLOOKUP($F843,Productos!$A$2:$A1001,Productos!BC$2:BC1001,"")*$G843,"")</f>
        <v/>
      </c>
      <c r="BK843" s="179" t="str">
        <f t="array" ref="BK843">IF($F843&lt;&gt;"",XLOOKUP($F843,Productos!$A:$A,Productos!BD:BD,"Revisar"),"")</f>
        <v/>
      </c>
      <c r="BL843" s="179" t="str">
        <f t="array" ref="BL843">IF($F843&lt;&gt;"", XLOOKUP($F843,Productos!$A$2:$A1001,Productos!BE$2:BE1001,"")*$G843,"")</f>
        <v/>
      </c>
      <c r="BM843" s="179" t="str">
        <f t="array" ref="BM843">IF($F843&lt;&gt;"",XLOOKUP($F843,Productos!$A:$A,Productos!BF:BF,"Revisar"),"")</f>
        <v/>
      </c>
      <c r="BN843" s="179" t="str">
        <f t="array" ref="BN843">IF($F843&lt;&gt;"", XLOOKUP($F843,Productos!$A$2:$A1001,Productos!BG$2:BG1001,"")*$G843,"")</f>
        <v/>
      </c>
      <c r="BO843" s="179" t="str">
        <f t="array" ref="BO843">IF($F843&lt;&gt;"",XLOOKUP($F843,Productos!$A:$A,Productos!BH:BH,"Revisar"),"")</f>
        <v/>
      </c>
      <c r="BP843" s="179" t="str">
        <f t="array" ref="BP843">IF($F843&lt;&gt;"", XLOOKUP($F843,Productos!$A$2:$A1001,Productos!BI$2:BI1001,"")*$G843,"")</f>
        <v/>
      </c>
      <c r="BQ843" s="179" t="str">
        <f t="array" ref="BQ843">IF($F843&lt;&gt;"",XLOOKUP($F843,Productos!$A:$A,Productos!BJ:BJ,"Revisar"),"")</f>
        <v/>
      </c>
      <c r="BR843" s="179" t="str">
        <f t="array" ref="BR843">IF($F843&lt;&gt;"", XLOOKUP($F843,Productos!$A$2:$A1001,Productos!BK$2:BK1001,"")*$G843,"")</f>
        <v/>
      </c>
      <c r="BS843" s="179" t="str">
        <f t="array" ref="BS843">IF($F843&lt;&gt;"",XLOOKUP($F843,Productos!$A:$A,Productos!BL:BL,"Revisar"),"")</f>
        <v/>
      </c>
      <c r="BT843" s="179" t="str">
        <f t="array" ref="BT843">IF($F843&lt;&gt;"", XLOOKUP($F843,Productos!$A$2:$A1001,Productos!BM$2:BM1001,"")*$G843,"")</f>
        <v/>
      </c>
      <c r="BU843" s="179" t="str">
        <f t="array" ref="BU843">IF($F843&lt;&gt;"",XLOOKUP($F843,Productos!$A:$A,Productos!BN:BN,"Revisar"),"")</f>
        <v/>
      </c>
      <c r="BV843" s="179" t="str">
        <f t="array" ref="BV843">IF($F843&lt;&gt;"", XLOOKUP($F843,Productos!$A$2:$A1001,Productos!BO$2:BO1001,"")*$G843,"")</f>
        <v/>
      </c>
      <c r="BW843" s="179" t="str">
        <f t="array" ref="BW843">IF($F843&lt;&gt;"",XLOOKUP($F843,Productos!$A:$A,Productos!BP:BP,"Revisar"),"")</f>
        <v/>
      </c>
      <c r="BX843" s="179" t="str">
        <f t="array" ref="BX843">IF($F843&lt;&gt;"", XLOOKUP($F843,Productos!$A$2:$A1001,Productos!BQ$2:BQ1001,"")*$G843,"")</f>
        <v/>
      </c>
      <c r="BY843" s="179" t="str">
        <f t="array" ref="BY843">IF($F843&lt;&gt;"",XLOOKUP($F843,Productos!$A:$A,Productos!BR:BR,"Revisar"),"")</f>
        <v/>
      </c>
      <c r="BZ843" s="179" t="str">
        <f t="array" ref="BZ843">IF($F843&lt;&gt;"", XLOOKUP($F843,Productos!$A$2:$A1001,Productos!BS$2:BS1001,"")*$G843,"")</f>
        <v/>
      </c>
    </row>
    <row r="844">
      <c r="A844" s="188"/>
      <c r="B844" s="189"/>
      <c r="C844" s="190"/>
      <c r="D844" s="190"/>
      <c r="E844" s="191"/>
      <c r="F844" s="186"/>
      <c r="G844" s="192"/>
      <c r="H844" s="9"/>
      <c r="I844" s="179" t="str">
        <f t="array" ref="I844">IF($F844&lt;&gt;"",XLOOKUP($F844,Productos!$A:$A,Productos!B:B,"Revisar"),"")</f>
        <v/>
      </c>
      <c r="J844" s="179" t="str">
        <f t="array" ref="J844">IF($F844&lt;&gt;"", XLOOKUP($F844,Productos!$A$2:$A1001,Productos!C$2:C1001,"")*$G844,"")</f>
        <v/>
      </c>
      <c r="K844" s="179" t="str">
        <f t="array" ref="K844">IF($F844&lt;&gt;"",XLOOKUP($F844,Productos!$A:$A,Productos!D:D,"Revisar"),"")</f>
        <v/>
      </c>
      <c r="L844" s="179" t="str">
        <f t="array" ref="L844">IF($F844&lt;&gt;"", XLOOKUP($F844,Productos!$A$2:$A1001,Productos!E$2:E1001,"")*$G844,"")</f>
        <v/>
      </c>
      <c r="M844" s="179" t="str">
        <f t="array" ref="M844">IF($F844&lt;&gt;"",XLOOKUP($F844,Productos!$A:$A,Productos!F:F,"Revisar"),"")</f>
        <v/>
      </c>
      <c r="N844" s="179" t="str">
        <f t="array" ref="N844">IF($F844&lt;&gt;"", XLOOKUP($F844,Productos!$A$2:$A1001,Productos!G$2:G1001,"")*$G844,"")</f>
        <v/>
      </c>
      <c r="O844" s="179" t="str">
        <f t="array" ref="O844">IF($F844&lt;&gt;"",XLOOKUP($F844,Productos!$A:$A,Productos!H:H,"Revisar"),"")</f>
        <v/>
      </c>
      <c r="P844" s="179" t="str">
        <f t="array" ref="P844">IF($F844&lt;&gt;"", XLOOKUP($F844,Productos!$A$2:$A1001,Productos!I$2:I1001,"")*$G844,"")</f>
        <v/>
      </c>
      <c r="Q844" s="179" t="str">
        <f t="array" ref="Q844">IF($F844&lt;&gt;"",XLOOKUP($F844,Productos!$A:$A,Productos!J:J,"Revisar"),"")</f>
        <v/>
      </c>
      <c r="R844" s="179" t="str">
        <f t="array" ref="R844">IF($F844&lt;&gt;"", XLOOKUP($F844,Productos!$A$2:$A1001,Productos!K$2:K1001,"")*$G844,"")</f>
        <v/>
      </c>
      <c r="S844" s="179" t="str">
        <f t="array" ref="S844">IF($F844&lt;&gt;"",XLOOKUP($F844,Productos!$A:$A,Productos!L:L,"Revisar"),"")</f>
        <v/>
      </c>
      <c r="T844" s="179" t="str">
        <f t="array" ref="T844">IF($F844&lt;&gt;"", XLOOKUP($F844,Productos!$A$2:$A1001,Productos!M$2:M1001,"")*$G844,"")</f>
        <v/>
      </c>
      <c r="U844" s="179" t="str">
        <f t="array" ref="U844">IF($F844&lt;&gt;"",XLOOKUP($F844,Productos!$A:$A,Productos!N:N,"Revisar"),"")</f>
        <v/>
      </c>
      <c r="V844" s="179" t="str">
        <f t="array" ref="V844">IF($F844&lt;&gt;"", XLOOKUP($F844,Productos!$A$2:$A1001,Productos!O$2:O1001,"")*$G844,"")</f>
        <v/>
      </c>
      <c r="W844" s="179" t="str">
        <f t="array" ref="W844">IF($F844&lt;&gt;"",XLOOKUP($F844,Productos!$A:$A,Productos!P:P,"Revisar"),"")</f>
        <v/>
      </c>
      <c r="X844" s="179" t="str">
        <f t="array" ref="X844">IF($F844&lt;&gt;"", XLOOKUP($F844,Productos!$A$2:$A1001,Productos!Q$2:Q1001,"")*$G844,"")</f>
        <v/>
      </c>
      <c r="Y844" s="179" t="str">
        <f t="array" ref="Y844">IF($F844&lt;&gt;"",XLOOKUP($F844,Productos!$A:$A,Productos!R:R,"Revisar"),"")</f>
        <v/>
      </c>
      <c r="Z844" s="179" t="str">
        <f t="array" ref="Z844">IF($F844&lt;&gt;"", XLOOKUP($F844,Productos!$A$2:$A1001,Productos!S$2:S1001,"")*$G844,"")</f>
        <v/>
      </c>
      <c r="AA844" s="179" t="str">
        <f t="array" ref="AA844">IF($F844&lt;&gt;"",XLOOKUP($F844,Productos!$A:$A,Productos!T:T,"Revisar"),"")</f>
        <v/>
      </c>
      <c r="AB844" s="179" t="str">
        <f t="array" ref="AB844">IF($F844&lt;&gt;"", XLOOKUP($F844,Productos!$A$2:$A1001,Productos!U$2:U1001,"")*$G844,"")</f>
        <v/>
      </c>
      <c r="AC844" s="179" t="str">
        <f t="array" ref="AC844">IF($F844&lt;&gt;"",XLOOKUP($F844,Productos!$A:$A,Productos!V:V,"Revisar"),"")</f>
        <v/>
      </c>
      <c r="AD844" s="179" t="str">
        <f t="array" ref="AD844">IF($F844&lt;&gt;"", XLOOKUP($F844,Productos!$A$2:$A1001,Productos!W$2:W1001,"")*$G844,"")</f>
        <v/>
      </c>
      <c r="AE844" s="179" t="str">
        <f t="array" ref="AE844">IF($F844&lt;&gt;"",XLOOKUP($F844,Productos!$A:$A,Productos!X:X,"Revisar"),"")</f>
        <v/>
      </c>
      <c r="AF844" s="179" t="str">
        <f t="array" ref="AF844">IF($F844&lt;&gt;"", XLOOKUP($F844,Productos!$A$2:$A1001,Productos!Y$2:Y1001,"")*$G844,"")</f>
        <v/>
      </c>
      <c r="AG844" s="179" t="str">
        <f t="array" ref="AG844">IF($F844&lt;&gt;"",XLOOKUP($F844,Productos!$A:$A,Productos!Z:Z,"Revisar"),"")</f>
        <v/>
      </c>
      <c r="AH844" s="179" t="str">
        <f t="array" ref="AH844">IF($F844&lt;&gt;"", XLOOKUP($F844,Productos!$A$2:$A1001,Productos!AA$2:AA1001,"")*$G844,"")</f>
        <v/>
      </c>
      <c r="AI844" s="179" t="str">
        <f t="array" ref="AI844">IF($F844&lt;&gt;"",XLOOKUP($F844,Productos!$A:$A,Productos!AB:AB,"Revisar"),"")</f>
        <v/>
      </c>
      <c r="AJ844" s="179" t="str">
        <f t="array" ref="AJ844">IF($F844&lt;&gt;"", XLOOKUP($F844,Productos!$A$2:$A1001,Productos!AC$2:AC1001,"")*$G844,"")</f>
        <v/>
      </c>
      <c r="AK844" s="179" t="str">
        <f t="array" ref="AK844">IF($F844&lt;&gt;"",XLOOKUP($F844,Productos!$A:$A,Productos!AD:AD,"Revisar"),"")</f>
        <v/>
      </c>
      <c r="AL844" s="179" t="str">
        <f t="array" ref="AL844">IF($F844&lt;&gt;"", XLOOKUP($F844,Productos!$A$2:$A1001,Productos!AE$2:AE1001,"")*$G844,"")</f>
        <v/>
      </c>
      <c r="AM844" s="179" t="str">
        <f t="array" ref="AM844">IF($F844&lt;&gt;"",XLOOKUP($F844,Productos!$A:$A,Productos!AF:AF,"Revisar"),"")</f>
        <v/>
      </c>
      <c r="AN844" s="179" t="str">
        <f t="array" ref="AN844">IF($F844&lt;&gt;"", XLOOKUP($F844,Productos!$A$2:$A1001,Productos!AG$2:AG1001,"")*$G844,"")</f>
        <v/>
      </c>
      <c r="AO844" s="179" t="str">
        <f t="array" ref="AO844">IF($F844&lt;&gt;"",XLOOKUP($F844,Productos!$A:$A,Productos!AH:AH,"Revisar"),"")</f>
        <v/>
      </c>
      <c r="AP844" s="179" t="str">
        <f t="array" ref="AP844">IF($F844&lt;&gt;"", XLOOKUP($F844,Productos!$A$2:$A1001,Productos!AI$2:AI1001,"")*$G844,"")</f>
        <v/>
      </c>
      <c r="AQ844" s="179" t="str">
        <f t="array" ref="AQ844">IF($F844&lt;&gt;"",XLOOKUP($F844,Productos!$A:$A,Productos!AJ:AJ,"Revisar"),"")</f>
        <v/>
      </c>
      <c r="AR844" s="179" t="str">
        <f t="array" ref="AR844">IF($F844&lt;&gt;"", XLOOKUP($F844,Productos!$A$2:$A1001,Productos!AK$2:AK1001,"")*$G844,"")</f>
        <v/>
      </c>
      <c r="AS844" s="179" t="str">
        <f t="array" ref="AS844">IF($F844&lt;&gt;"",XLOOKUP($F844,Productos!$A:$A,Productos!AL:AL,"Revisar"),"")</f>
        <v/>
      </c>
      <c r="AT844" s="179" t="str">
        <f t="array" ref="AT844">IF($F844&lt;&gt;"", XLOOKUP($F844,Productos!$A$2:$A1001,Productos!AM$2:AM1001,"")*$G844,"")</f>
        <v/>
      </c>
      <c r="AU844" s="179" t="str">
        <f t="array" ref="AU844">IF($F844&lt;&gt;"",XLOOKUP($F844,Productos!$A:$A,Productos!AN:AN,"Revisar"),"")</f>
        <v/>
      </c>
      <c r="AV844" s="179" t="str">
        <f t="array" ref="AV844">IF($F844&lt;&gt;"", XLOOKUP($F844,Productos!$A$2:$A1001,Productos!AO$2:AO1001,"")*$G844,"")</f>
        <v/>
      </c>
      <c r="AW844" s="179" t="str">
        <f t="array" ref="AW844">IF($F844&lt;&gt;"",XLOOKUP($F844,Productos!$A:$A,Productos!AP:AP,"Revisar"),"")</f>
        <v/>
      </c>
      <c r="AX844" s="179" t="str">
        <f t="array" ref="AX844">IF($F844&lt;&gt;"", XLOOKUP($F844,Productos!$A$2:$A1001,Productos!AQ$2:AQ1001,"")*$G844,"")</f>
        <v/>
      </c>
      <c r="AY844" s="179" t="str">
        <f t="array" ref="AY844">IF($F844&lt;&gt;"",XLOOKUP($F844,Productos!$A:$A,Productos!AR:AR,"Revisar"),"")</f>
        <v/>
      </c>
      <c r="AZ844" s="179" t="str">
        <f t="array" ref="AZ844">IF($F844&lt;&gt;"", XLOOKUP($F844,Productos!$A$2:$A1001,Productos!AS$2:AS1001,"")*$G844,"")</f>
        <v/>
      </c>
      <c r="BA844" s="179" t="str">
        <f t="array" ref="BA844">IF($F844&lt;&gt;"",XLOOKUP($F844,Productos!$A:$A,Productos!AT:AT,"Revisar"),"")</f>
        <v/>
      </c>
      <c r="BB844" s="179" t="str">
        <f t="array" ref="BB844">IF($F844&lt;&gt;"", XLOOKUP($F844,Productos!$A$2:$A1001,Productos!AU$2:AU1001,"")*$G844,"")</f>
        <v/>
      </c>
      <c r="BC844" s="179" t="str">
        <f t="array" ref="BC844">IF($F844&lt;&gt;"",XLOOKUP($F844,Productos!$A:$A,Productos!AV:AV,"Revisar"),"")</f>
        <v/>
      </c>
      <c r="BD844" s="179" t="str">
        <f t="array" ref="BD844">IF($F844&lt;&gt;"", XLOOKUP($F844,Productos!$A$2:$A1001,Productos!AW$2:AW1001,"")*$G844,"")</f>
        <v/>
      </c>
      <c r="BE844" s="179" t="str">
        <f t="array" ref="BE844">IF($F844&lt;&gt;"",XLOOKUP($F844,Productos!$A:$A,Productos!AX:AX,"Revisar"),"")</f>
        <v/>
      </c>
      <c r="BF844" s="179" t="str">
        <f t="array" ref="BF844">IF($F844&lt;&gt;"", XLOOKUP($F844,Productos!$A$2:$A1001,Productos!AY$2:AY1001,"")*$G844,"")</f>
        <v/>
      </c>
      <c r="BG844" s="179" t="str">
        <f t="array" ref="BG844">IF($F844&lt;&gt;"",XLOOKUP($F844,Productos!$A:$A,Productos!AZ:AZ,"Revisar"),"")</f>
        <v/>
      </c>
      <c r="BH844" s="179" t="str">
        <f t="array" ref="BH844">IF($F844&lt;&gt;"", XLOOKUP($F844,Productos!$A$2:$A1001,Productos!BA$2:BA1001,"")*$G844,"")</f>
        <v/>
      </c>
      <c r="BI844" s="179" t="str">
        <f t="array" ref="BI844">IF($F844&lt;&gt;"",XLOOKUP($F844,Productos!$A:$A,Productos!BB:BB,"Revisar"),"")</f>
        <v/>
      </c>
      <c r="BJ844" s="179" t="str">
        <f t="array" ref="BJ844">IF($F844&lt;&gt;"", XLOOKUP($F844,Productos!$A$2:$A1001,Productos!BC$2:BC1001,"")*$G844,"")</f>
        <v/>
      </c>
      <c r="BK844" s="179" t="str">
        <f t="array" ref="BK844">IF($F844&lt;&gt;"",XLOOKUP($F844,Productos!$A:$A,Productos!BD:BD,"Revisar"),"")</f>
        <v/>
      </c>
      <c r="BL844" s="179" t="str">
        <f t="array" ref="BL844">IF($F844&lt;&gt;"", XLOOKUP($F844,Productos!$A$2:$A1001,Productos!BE$2:BE1001,"")*$G844,"")</f>
        <v/>
      </c>
      <c r="BM844" s="179" t="str">
        <f t="array" ref="BM844">IF($F844&lt;&gt;"",XLOOKUP($F844,Productos!$A:$A,Productos!BF:BF,"Revisar"),"")</f>
        <v/>
      </c>
      <c r="BN844" s="179" t="str">
        <f t="array" ref="BN844">IF($F844&lt;&gt;"", XLOOKUP($F844,Productos!$A$2:$A1001,Productos!BG$2:BG1001,"")*$G844,"")</f>
        <v/>
      </c>
      <c r="BO844" s="179" t="str">
        <f t="array" ref="BO844">IF($F844&lt;&gt;"",XLOOKUP($F844,Productos!$A:$A,Productos!BH:BH,"Revisar"),"")</f>
        <v/>
      </c>
      <c r="BP844" s="179" t="str">
        <f t="array" ref="BP844">IF($F844&lt;&gt;"", XLOOKUP($F844,Productos!$A$2:$A1001,Productos!BI$2:BI1001,"")*$G844,"")</f>
        <v/>
      </c>
      <c r="BQ844" s="179" t="str">
        <f t="array" ref="BQ844">IF($F844&lt;&gt;"",XLOOKUP($F844,Productos!$A:$A,Productos!BJ:BJ,"Revisar"),"")</f>
        <v/>
      </c>
      <c r="BR844" s="179" t="str">
        <f t="array" ref="BR844">IF($F844&lt;&gt;"", XLOOKUP($F844,Productos!$A$2:$A1001,Productos!BK$2:BK1001,"")*$G844,"")</f>
        <v/>
      </c>
      <c r="BS844" s="179" t="str">
        <f t="array" ref="BS844">IF($F844&lt;&gt;"",XLOOKUP($F844,Productos!$A:$A,Productos!BL:BL,"Revisar"),"")</f>
        <v/>
      </c>
      <c r="BT844" s="179" t="str">
        <f t="array" ref="BT844">IF($F844&lt;&gt;"", XLOOKUP($F844,Productos!$A$2:$A1001,Productos!BM$2:BM1001,"")*$G844,"")</f>
        <v/>
      </c>
      <c r="BU844" s="179" t="str">
        <f t="array" ref="BU844">IF($F844&lt;&gt;"",XLOOKUP($F844,Productos!$A:$A,Productos!BN:BN,"Revisar"),"")</f>
        <v/>
      </c>
      <c r="BV844" s="179" t="str">
        <f t="array" ref="BV844">IF($F844&lt;&gt;"", XLOOKUP($F844,Productos!$A$2:$A1001,Productos!BO$2:BO1001,"")*$G844,"")</f>
        <v/>
      </c>
      <c r="BW844" s="179" t="str">
        <f t="array" ref="BW844">IF($F844&lt;&gt;"",XLOOKUP($F844,Productos!$A:$A,Productos!BP:BP,"Revisar"),"")</f>
        <v/>
      </c>
      <c r="BX844" s="179" t="str">
        <f t="array" ref="BX844">IF($F844&lt;&gt;"", XLOOKUP($F844,Productos!$A$2:$A1001,Productos!BQ$2:BQ1001,"")*$G844,"")</f>
        <v/>
      </c>
      <c r="BY844" s="179" t="str">
        <f t="array" ref="BY844">IF($F844&lt;&gt;"",XLOOKUP($F844,Productos!$A:$A,Productos!BR:BR,"Revisar"),"")</f>
        <v/>
      </c>
      <c r="BZ844" s="179" t="str">
        <f t="array" ref="BZ844">IF($F844&lt;&gt;"", XLOOKUP($F844,Productos!$A$2:$A1001,Productos!BS$2:BS1001,"")*$G844,"")</f>
        <v/>
      </c>
    </row>
    <row r="845">
      <c r="A845" s="188"/>
      <c r="B845" s="189"/>
      <c r="C845" s="190"/>
      <c r="D845" s="190"/>
      <c r="E845" s="191"/>
      <c r="F845" s="186"/>
      <c r="G845" s="192"/>
      <c r="H845" s="9"/>
      <c r="I845" s="179" t="str">
        <f t="array" ref="I845">IF($F845&lt;&gt;"",XLOOKUP($F845,Productos!$A:$A,Productos!B:B,"Revisar"),"")</f>
        <v/>
      </c>
      <c r="J845" s="179" t="str">
        <f t="array" ref="J845">IF($F845&lt;&gt;"", XLOOKUP($F845,Productos!$A$2:$A1001,Productos!C$2:C1001,"")*$G845,"")</f>
        <v/>
      </c>
      <c r="K845" s="179" t="str">
        <f t="array" ref="K845">IF($F845&lt;&gt;"",XLOOKUP($F845,Productos!$A:$A,Productos!D:D,"Revisar"),"")</f>
        <v/>
      </c>
      <c r="L845" s="179" t="str">
        <f t="array" ref="L845">IF($F845&lt;&gt;"", XLOOKUP($F845,Productos!$A$2:$A1001,Productos!E$2:E1001,"")*$G845,"")</f>
        <v/>
      </c>
      <c r="M845" s="179" t="str">
        <f t="array" ref="M845">IF($F845&lt;&gt;"",XLOOKUP($F845,Productos!$A:$A,Productos!F:F,"Revisar"),"")</f>
        <v/>
      </c>
      <c r="N845" s="179" t="str">
        <f t="array" ref="N845">IF($F845&lt;&gt;"", XLOOKUP($F845,Productos!$A$2:$A1001,Productos!G$2:G1001,"")*$G845,"")</f>
        <v/>
      </c>
      <c r="O845" s="179" t="str">
        <f t="array" ref="O845">IF($F845&lt;&gt;"",XLOOKUP($F845,Productos!$A:$A,Productos!H:H,"Revisar"),"")</f>
        <v/>
      </c>
      <c r="P845" s="179" t="str">
        <f t="array" ref="P845">IF($F845&lt;&gt;"", XLOOKUP($F845,Productos!$A$2:$A1001,Productos!I$2:I1001,"")*$G845,"")</f>
        <v/>
      </c>
      <c r="Q845" s="179" t="str">
        <f t="array" ref="Q845">IF($F845&lt;&gt;"",XLOOKUP($F845,Productos!$A:$A,Productos!J:J,"Revisar"),"")</f>
        <v/>
      </c>
      <c r="R845" s="179" t="str">
        <f t="array" ref="R845">IF($F845&lt;&gt;"", XLOOKUP($F845,Productos!$A$2:$A1001,Productos!K$2:K1001,"")*$G845,"")</f>
        <v/>
      </c>
      <c r="S845" s="179" t="str">
        <f t="array" ref="S845">IF($F845&lt;&gt;"",XLOOKUP($F845,Productos!$A:$A,Productos!L:L,"Revisar"),"")</f>
        <v/>
      </c>
      <c r="T845" s="179" t="str">
        <f t="array" ref="T845">IF($F845&lt;&gt;"", XLOOKUP($F845,Productos!$A$2:$A1001,Productos!M$2:M1001,"")*$G845,"")</f>
        <v/>
      </c>
      <c r="U845" s="179" t="str">
        <f t="array" ref="U845">IF($F845&lt;&gt;"",XLOOKUP($F845,Productos!$A:$A,Productos!N:N,"Revisar"),"")</f>
        <v/>
      </c>
      <c r="V845" s="179" t="str">
        <f t="array" ref="V845">IF($F845&lt;&gt;"", XLOOKUP($F845,Productos!$A$2:$A1001,Productos!O$2:O1001,"")*$G845,"")</f>
        <v/>
      </c>
      <c r="W845" s="179" t="str">
        <f t="array" ref="W845">IF($F845&lt;&gt;"",XLOOKUP($F845,Productos!$A:$A,Productos!P:P,"Revisar"),"")</f>
        <v/>
      </c>
      <c r="X845" s="179" t="str">
        <f t="array" ref="X845">IF($F845&lt;&gt;"", XLOOKUP($F845,Productos!$A$2:$A1001,Productos!Q$2:Q1001,"")*$G845,"")</f>
        <v/>
      </c>
      <c r="Y845" s="179" t="str">
        <f t="array" ref="Y845">IF($F845&lt;&gt;"",XLOOKUP($F845,Productos!$A:$A,Productos!R:R,"Revisar"),"")</f>
        <v/>
      </c>
      <c r="Z845" s="179" t="str">
        <f t="array" ref="Z845">IF($F845&lt;&gt;"", XLOOKUP($F845,Productos!$A$2:$A1001,Productos!S$2:S1001,"")*$G845,"")</f>
        <v/>
      </c>
      <c r="AA845" s="179" t="str">
        <f t="array" ref="AA845">IF($F845&lt;&gt;"",XLOOKUP($F845,Productos!$A:$A,Productos!T:T,"Revisar"),"")</f>
        <v/>
      </c>
      <c r="AB845" s="179" t="str">
        <f t="array" ref="AB845">IF($F845&lt;&gt;"", XLOOKUP($F845,Productos!$A$2:$A1001,Productos!U$2:U1001,"")*$G845,"")</f>
        <v/>
      </c>
      <c r="AC845" s="179" t="str">
        <f t="array" ref="AC845">IF($F845&lt;&gt;"",XLOOKUP($F845,Productos!$A:$A,Productos!V:V,"Revisar"),"")</f>
        <v/>
      </c>
      <c r="AD845" s="179" t="str">
        <f t="array" ref="AD845">IF($F845&lt;&gt;"", XLOOKUP($F845,Productos!$A$2:$A1001,Productos!W$2:W1001,"")*$G845,"")</f>
        <v/>
      </c>
      <c r="AE845" s="179" t="str">
        <f t="array" ref="AE845">IF($F845&lt;&gt;"",XLOOKUP($F845,Productos!$A:$A,Productos!X:X,"Revisar"),"")</f>
        <v/>
      </c>
      <c r="AF845" s="179" t="str">
        <f t="array" ref="AF845">IF($F845&lt;&gt;"", XLOOKUP($F845,Productos!$A$2:$A1001,Productos!Y$2:Y1001,"")*$G845,"")</f>
        <v/>
      </c>
      <c r="AG845" s="179" t="str">
        <f t="array" ref="AG845">IF($F845&lt;&gt;"",XLOOKUP($F845,Productos!$A:$A,Productos!Z:Z,"Revisar"),"")</f>
        <v/>
      </c>
      <c r="AH845" s="179" t="str">
        <f t="array" ref="AH845">IF($F845&lt;&gt;"", XLOOKUP($F845,Productos!$A$2:$A1001,Productos!AA$2:AA1001,"")*$G845,"")</f>
        <v/>
      </c>
      <c r="AI845" s="179" t="str">
        <f t="array" ref="AI845">IF($F845&lt;&gt;"",XLOOKUP($F845,Productos!$A:$A,Productos!AB:AB,"Revisar"),"")</f>
        <v/>
      </c>
      <c r="AJ845" s="179" t="str">
        <f t="array" ref="AJ845">IF($F845&lt;&gt;"", XLOOKUP($F845,Productos!$A$2:$A1001,Productos!AC$2:AC1001,"")*$G845,"")</f>
        <v/>
      </c>
      <c r="AK845" s="179" t="str">
        <f t="array" ref="AK845">IF($F845&lt;&gt;"",XLOOKUP($F845,Productos!$A:$A,Productos!AD:AD,"Revisar"),"")</f>
        <v/>
      </c>
      <c r="AL845" s="179" t="str">
        <f t="array" ref="AL845">IF($F845&lt;&gt;"", XLOOKUP($F845,Productos!$A$2:$A1001,Productos!AE$2:AE1001,"")*$G845,"")</f>
        <v/>
      </c>
      <c r="AM845" s="179" t="str">
        <f t="array" ref="AM845">IF($F845&lt;&gt;"",XLOOKUP($F845,Productos!$A:$A,Productos!AF:AF,"Revisar"),"")</f>
        <v/>
      </c>
      <c r="AN845" s="179" t="str">
        <f t="array" ref="AN845">IF($F845&lt;&gt;"", XLOOKUP($F845,Productos!$A$2:$A1001,Productos!AG$2:AG1001,"")*$G845,"")</f>
        <v/>
      </c>
      <c r="AO845" s="179" t="str">
        <f t="array" ref="AO845">IF($F845&lt;&gt;"",XLOOKUP($F845,Productos!$A:$A,Productos!AH:AH,"Revisar"),"")</f>
        <v/>
      </c>
      <c r="AP845" s="179" t="str">
        <f t="array" ref="AP845">IF($F845&lt;&gt;"", XLOOKUP($F845,Productos!$A$2:$A1001,Productos!AI$2:AI1001,"")*$G845,"")</f>
        <v/>
      </c>
      <c r="AQ845" s="179" t="str">
        <f t="array" ref="AQ845">IF($F845&lt;&gt;"",XLOOKUP($F845,Productos!$A:$A,Productos!AJ:AJ,"Revisar"),"")</f>
        <v/>
      </c>
      <c r="AR845" s="179" t="str">
        <f t="array" ref="AR845">IF($F845&lt;&gt;"", XLOOKUP($F845,Productos!$A$2:$A1001,Productos!AK$2:AK1001,"")*$G845,"")</f>
        <v/>
      </c>
      <c r="AS845" s="179" t="str">
        <f t="array" ref="AS845">IF($F845&lt;&gt;"",XLOOKUP($F845,Productos!$A:$A,Productos!AL:AL,"Revisar"),"")</f>
        <v/>
      </c>
      <c r="AT845" s="179" t="str">
        <f t="array" ref="AT845">IF($F845&lt;&gt;"", XLOOKUP($F845,Productos!$A$2:$A1001,Productos!AM$2:AM1001,"")*$G845,"")</f>
        <v/>
      </c>
      <c r="AU845" s="179" t="str">
        <f t="array" ref="AU845">IF($F845&lt;&gt;"",XLOOKUP($F845,Productos!$A:$A,Productos!AN:AN,"Revisar"),"")</f>
        <v/>
      </c>
      <c r="AV845" s="179" t="str">
        <f t="array" ref="AV845">IF($F845&lt;&gt;"", XLOOKUP($F845,Productos!$A$2:$A1001,Productos!AO$2:AO1001,"")*$G845,"")</f>
        <v/>
      </c>
      <c r="AW845" s="179" t="str">
        <f t="array" ref="AW845">IF($F845&lt;&gt;"",XLOOKUP($F845,Productos!$A:$A,Productos!AP:AP,"Revisar"),"")</f>
        <v/>
      </c>
      <c r="AX845" s="179" t="str">
        <f t="array" ref="AX845">IF($F845&lt;&gt;"", XLOOKUP($F845,Productos!$A$2:$A1001,Productos!AQ$2:AQ1001,"")*$G845,"")</f>
        <v/>
      </c>
      <c r="AY845" s="179" t="str">
        <f t="array" ref="AY845">IF($F845&lt;&gt;"",XLOOKUP($F845,Productos!$A:$A,Productos!AR:AR,"Revisar"),"")</f>
        <v/>
      </c>
      <c r="AZ845" s="179" t="str">
        <f t="array" ref="AZ845">IF($F845&lt;&gt;"", XLOOKUP($F845,Productos!$A$2:$A1001,Productos!AS$2:AS1001,"")*$G845,"")</f>
        <v/>
      </c>
      <c r="BA845" s="179" t="str">
        <f t="array" ref="BA845">IF($F845&lt;&gt;"",XLOOKUP($F845,Productos!$A:$A,Productos!AT:AT,"Revisar"),"")</f>
        <v/>
      </c>
      <c r="BB845" s="179" t="str">
        <f t="array" ref="BB845">IF($F845&lt;&gt;"", XLOOKUP($F845,Productos!$A$2:$A1001,Productos!AU$2:AU1001,"")*$G845,"")</f>
        <v/>
      </c>
      <c r="BC845" s="179" t="str">
        <f t="array" ref="BC845">IF($F845&lt;&gt;"",XLOOKUP($F845,Productos!$A:$A,Productos!AV:AV,"Revisar"),"")</f>
        <v/>
      </c>
      <c r="BD845" s="179" t="str">
        <f t="array" ref="BD845">IF($F845&lt;&gt;"", XLOOKUP($F845,Productos!$A$2:$A1001,Productos!AW$2:AW1001,"")*$G845,"")</f>
        <v/>
      </c>
      <c r="BE845" s="179" t="str">
        <f t="array" ref="BE845">IF($F845&lt;&gt;"",XLOOKUP($F845,Productos!$A:$A,Productos!AX:AX,"Revisar"),"")</f>
        <v/>
      </c>
      <c r="BF845" s="179" t="str">
        <f t="array" ref="BF845">IF($F845&lt;&gt;"", XLOOKUP($F845,Productos!$A$2:$A1001,Productos!AY$2:AY1001,"")*$G845,"")</f>
        <v/>
      </c>
      <c r="BG845" s="179" t="str">
        <f t="array" ref="BG845">IF($F845&lt;&gt;"",XLOOKUP($F845,Productos!$A:$A,Productos!AZ:AZ,"Revisar"),"")</f>
        <v/>
      </c>
      <c r="BH845" s="179" t="str">
        <f t="array" ref="BH845">IF($F845&lt;&gt;"", XLOOKUP($F845,Productos!$A$2:$A1001,Productos!BA$2:BA1001,"")*$G845,"")</f>
        <v/>
      </c>
      <c r="BI845" s="179" t="str">
        <f t="array" ref="BI845">IF($F845&lt;&gt;"",XLOOKUP($F845,Productos!$A:$A,Productos!BB:BB,"Revisar"),"")</f>
        <v/>
      </c>
      <c r="BJ845" s="179" t="str">
        <f t="array" ref="BJ845">IF($F845&lt;&gt;"", XLOOKUP($F845,Productos!$A$2:$A1001,Productos!BC$2:BC1001,"")*$G845,"")</f>
        <v/>
      </c>
      <c r="BK845" s="179" t="str">
        <f t="array" ref="BK845">IF($F845&lt;&gt;"",XLOOKUP($F845,Productos!$A:$A,Productos!BD:BD,"Revisar"),"")</f>
        <v/>
      </c>
      <c r="BL845" s="179" t="str">
        <f t="array" ref="BL845">IF($F845&lt;&gt;"", XLOOKUP($F845,Productos!$A$2:$A1001,Productos!BE$2:BE1001,"")*$G845,"")</f>
        <v/>
      </c>
      <c r="BM845" s="179" t="str">
        <f t="array" ref="BM845">IF($F845&lt;&gt;"",XLOOKUP($F845,Productos!$A:$A,Productos!BF:BF,"Revisar"),"")</f>
        <v/>
      </c>
      <c r="BN845" s="179" t="str">
        <f t="array" ref="BN845">IF($F845&lt;&gt;"", XLOOKUP($F845,Productos!$A$2:$A1001,Productos!BG$2:BG1001,"")*$G845,"")</f>
        <v/>
      </c>
      <c r="BO845" s="179" t="str">
        <f t="array" ref="BO845">IF($F845&lt;&gt;"",XLOOKUP($F845,Productos!$A:$A,Productos!BH:BH,"Revisar"),"")</f>
        <v/>
      </c>
      <c r="BP845" s="179" t="str">
        <f t="array" ref="BP845">IF($F845&lt;&gt;"", XLOOKUP($F845,Productos!$A$2:$A1001,Productos!BI$2:BI1001,"")*$G845,"")</f>
        <v/>
      </c>
      <c r="BQ845" s="179" t="str">
        <f t="array" ref="BQ845">IF($F845&lt;&gt;"",XLOOKUP($F845,Productos!$A:$A,Productos!BJ:BJ,"Revisar"),"")</f>
        <v/>
      </c>
      <c r="BR845" s="179" t="str">
        <f t="array" ref="BR845">IF($F845&lt;&gt;"", XLOOKUP($F845,Productos!$A$2:$A1001,Productos!BK$2:BK1001,"")*$G845,"")</f>
        <v/>
      </c>
      <c r="BS845" s="179" t="str">
        <f t="array" ref="BS845">IF($F845&lt;&gt;"",XLOOKUP($F845,Productos!$A:$A,Productos!BL:BL,"Revisar"),"")</f>
        <v/>
      </c>
      <c r="BT845" s="179" t="str">
        <f t="array" ref="BT845">IF($F845&lt;&gt;"", XLOOKUP($F845,Productos!$A$2:$A1001,Productos!BM$2:BM1001,"")*$G845,"")</f>
        <v/>
      </c>
      <c r="BU845" s="179" t="str">
        <f t="array" ref="BU845">IF($F845&lt;&gt;"",XLOOKUP($F845,Productos!$A:$A,Productos!BN:BN,"Revisar"),"")</f>
        <v/>
      </c>
      <c r="BV845" s="179" t="str">
        <f t="array" ref="BV845">IF($F845&lt;&gt;"", XLOOKUP($F845,Productos!$A$2:$A1001,Productos!BO$2:BO1001,"")*$G845,"")</f>
        <v/>
      </c>
      <c r="BW845" s="179" t="str">
        <f t="array" ref="BW845">IF($F845&lt;&gt;"",XLOOKUP($F845,Productos!$A:$A,Productos!BP:BP,"Revisar"),"")</f>
        <v/>
      </c>
      <c r="BX845" s="179" t="str">
        <f t="array" ref="BX845">IF($F845&lt;&gt;"", XLOOKUP($F845,Productos!$A$2:$A1001,Productos!BQ$2:BQ1001,"")*$G845,"")</f>
        <v/>
      </c>
      <c r="BY845" s="179" t="str">
        <f t="array" ref="BY845">IF($F845&lt;&gt;"",XLOOKUP($F845,Productos!$A:$A,Productos!BR:BR,"Revisar"),"")</f>
        <v/>
      </c>
      <c r="BZ845" s="179" t="str">
        <f t="array" ref="BZ845">IF($F845&lt;&gt;"", XLOOKUP($F845,Productos!$A$2:$A1001,Productos!BS$2:BS1001,"")*$G845,"")</f>
        <v/>
      </c>
    </row>
    <row r="846">
      <c r="A846" s="188"/>
      <c r="B846" s="189"/>
      <c r="C846" s="190"/>
      <c r="D846" s="190"/>
      <c r="E846" s="191"/>
      <c r="F846" s="186"/>
      <c r="G846" s="192"/>
      <c r="H846" s="9"/>
      <c r="I846" s="179" t="str">
        <f t="array" ref="I846">IF($F846&lt;&gt;"",XLOOKUP($F846,Productos!$A:$A,Productos!B:B,"Revisar"),"")</f>
        <v/>
      </c>
      <c r="J846" s="179" t="str">
        <f t="array" ref="J846">IF($F846&lt;&gt;"", XLOOKUP($F846,Productos!$A$2:$A1001,Productos!C$2:C1001,"")*$G846,"")</f>
        <v/>
      </c>
      <c r="K846" s="179" t="str">
        <f t="array" ref="K846">IF($F846&lt;&gt;"",XLOOKUP($F846,Productos!$A:$A,Productos!D:D,"Revisar"),"")</f>
        <v/>
      </c>
      <c r="L846" s="179" t="str">
        <f t="array" ref="L846">IF($F846&lt;&gt;"", XLOOKUP($F846,Productos!$A$2:$A1001,Productos!E$2:E1001,"")*$G846,"")</f>
        <v/>
      </c>
      <c r="M846" s="179" t="str">
        <f t="array" ref="M846">IF($F846&lt;&gt;"",XLOOKUP($F846,Productos!$A:$A,Productos!F:F,"Revisar"),"")</f>
        <v/>
      </c>
      <c r="N846" s="179" t="str">
        <f t="array" ref="N846">IF($F846&lt;&gt;"", XLOOKUP($F846,Productos!$A$2:$A1001,Productos!G$2:G1001,"")*$G846,"")</f>
        <v/>
      </c>
      <c r="O846" s="179" t="str">
        <f t="array" ref="O846">IF($F846&lt;&gt;"",XLOOKUP($F846,Productos!$A:$A,Productos!H:H,"Revisar"),"")</f>
        <v/>
      </c>
      <c r="P846" s="179" t="str">
        <f t="array" ref="P846">IF($F846&lt;&gt;"", XLOOKUP($F846,Productos!$A$2:$A1001,Productos!I$2:I1001,"")*$G846,"")</f>
        <v/>
      </c>
      <c r="Q846" s="179" t="str">
        <f t="array" ref="Q846">IF($F846&lt;&gt;"",XLOOKUP($F846,Productos!$A:$A,Productos!J:J,"Revisar"),"")</f>
        <v/>
      </c>
      <c r="R846" s="179" t="str">
        <f t="array" ref="R846">IF($F846&lt;&gt;"", XLOOKUP($F846,Productos!$A$2:$A1001,Productos!K$2:K1001,"")*$G846,"")</f>
        <v/>
      </c>
      <c r="S846" s="179" t="str">
        <f t="array" ref="S846">IF($F846&lt;&gt;"",XLOOKUP($F846,Productos!$A:$A,Productos!L:L,"Revisar"),"")</f>
        <v/>
      </c>
      <c r="T846" s="179" t="str">
        <f t="array" ref="T846">IF($F846&lt;&gt;"", XLOOKUP($F846,Productos!$A$2:$A1001,Productos!M$2:M1001,"")*$G846,"")</f>
        <v/>
      </c>
      <c r="U846" s="179" t="str">
        <f t="array" ref="U846">IF($F846&lt;&gt;"",XLOOKUP($F846,Productos!$A:$A,Productos!N:N,"Revisar"),"")</f>
        <v/>
      </c>
      <c r="V846" s="179" t="str">
        <f t="array" ref="V846">IF($F846&lt;&gt;"", XLOOKUP($F846,Productos!$A$2:$A1001,Productos!O$2:O1001,"")*$G846,"")</f>
        <v/>
      </c>
      <c r="W846" s="179" t="str">
        <f t="array" ref="W846">IF($F846&lt;&gt;"",XLOOKUP($F846,Productos!$A:$A,Productos!P:P,"Revisar"),"")</f>
        <v/>
      </c>
      <c r="X846" s="179" t="str">
        <f t="array" ref="X846">IF($F846&lt;&gt;"", XLOOKUP($F846,Productos!$A$2:$A1001,Productos!Q$2:Q1001,"")*$G846,"")</f>
        <v/>
      </c>
      <c r="Y846" s="179" t="str">
        <f t="array" ref="Y846">IF($F846&lt;&gt;"",XLOOKUP($F846,Productos!$A:$A,Productos!R:R,"Revisar"),"")</f>
        <v/>
      </c>
      <c r="Z846" s="179" t="str">
        <f t="array" ref="Z846">IF($F846&lt;&gt;"", XLOOKUP($F846,Productos!$A$2:$A1001,Productos!S$2:S1001,"")*$G846,"")</f>
        <v/>
      </c>
      <c r="AA846" s="179" t="str">
        <f t="array" ref="AA846">IF($F846&lt;&gt;"",XLOOKUP($F846,Productos!$A:$A,Productos!T:T,"Revisar"),"")</f>
        <v/>
      </c>
      <c r="AB846" s="179" t="str">
        <f t="array" ref="AB846">IF($F846&lt;&gt;"", XLOOKUP($F846,Productos!$A$2:$A1001,Productos!U$2:U1001,"")*$G846,"")</f>
        <v/>
      </c>
      <c r="AC846" s="179" t="str">
        <f t="array" ref="AC846">IF($F846&lt;&gt;"",XLOOKUP($F846,Productos!$A:$A,Productos!V:V,"Revisar"),"")</f>
        <v/>
      </c>
      <c r="AD846" s="179" t="str">
        <f t="array" ref="AD846">IF($F846&lt;&gt;"", XLOOKUP($F846,Productos!$A$2:$A1001,Productos!W$2:W1001,"")*$G846,"")</f>
        <v/>
      </c>
      <c r="AE846" s="179" t="str">
        <f t="array" ref="AE846">IF($F846&lt;&gt;"",XLOOKUP($F846,Productos!$A:$A,Productos!X:X,"Revisar"),"")</f>
        <v/>
      </c>
      <c r="AF846" s="179" t="str">
        <f t="array" ref="AF846">IF($F846&lt;&gt;"", XLOOKUP($F846,Productos!$A$2:$A1001,Productos!Y$2:Y1001,"")*$G846,"")</f>
        <v/>
      </c>
      <c r="AG846" s="179" t="str">
        <f t="array" ref="AG846">IF($F846&lt;&gt;"",XLOOKUP($F846,Productos!$A:$A,Productos!Z:Z,"Revisar"),"")</f>
        <v/>
      </c>
      <c r="AH846" s="179" t="str">
        <f t="array" ref="AH846">IF($F846&lt;&gt;"", XLOOKUP($F846,Productos!$A$2:$A1001,Productos!AA$2:AA1001,"")*$G846,"")</f>
        <v/>
      </c>
      <c r="AI846" s="179" t="str">
        <f t="array" ref="AI846">IF($F846&lt;&gt;"",XLOOKUP($F846,Productos!$A:$A,Productos!AB:AB,"Revisar"),"")</f>
        <v/>
      </c>
      <c r="AJ846" s="179" t="str">
        <f t="array" ref="AJ846">IF($F846&lt;&gt;"", XLOOKUP($F846,Productos!$A$2:$A1001,Productos!AC$2:AC1001,"")*$G846,"")</f>
        <v/>
      </c>
      <c r="AK846" s="179" t="str">
        <f t="array" ref="AK846">IF($F846&lt;&gt;"",XLOOKUP($F846,Productos!$A:$A,Productos!AD:AD,"Revisar"),"")</f>
        <v/>
      </c>
      <c r="AL846" s="179" t="str">
        <f t="array" ref="AL846">IF($F846&lt;&gt;"", XLOOKUP($F846,Productos!$A$2:$A1001,Productos!AE$2:AE1001,"")*$G846,"")</f>
        <v/>
      </c>
      <c r="AM846" s="179" t="str">
        <f t="array" ref="AM846">IF($F846&lt;&gt;"",XLOOKUP($F846,Productos!$A:$A,Productos!AF:AF,"Revisar"),"")</f>
        <v/>
      </c>
      <c r="AN846" s="179" t="str">
        <f t="array" ref="AN846">IF($F846&lt;&gt;"", XLOOKUP($F846,Productos!$A$2:$A1001,Productos!AG$2:AG1001,"")*$G846,"")</f>
        <v/>
      </c>
      <c r="AO846" s="179" t="str">
        <f t="array" ref="AO846">IF($F846&lt;&gt;"",XLOOKUP($F846,Productos!$A:$A,Productos!AH:AH,"Revisar"),"")</f>
        <v/>
      </c>
      <c r="AP846" s="179" t="str">
        <f t="array" ref="AP846">IF($F846&lt;&gt;"", XLOOKUP($F846,Productos!$A$2:$A1001,Productos!AI$2:AI1001,"")*$G846,"")</f>
        <v/>
      </c>
      <c r="AQ846" s="179" t="str">
        <f t="array" ref="AQ846">IF($F846&lt;&gt;"",XLOOKUP($F846,Productos!$A:$A,Productos!AJ:AJ,"Revisar"),"")</f>
        <v/>
      </c>
      <c r="AR846" s="179" t="str">
        <f t="array" ref="AR846">IF($F846&lt;&gt;"", XLOOKUP($F846,Productos!$A$2:$A1001,Productos!AK$2:AK1001,"")*$G846,"")</f>
        <v/>
      </c>
      <c r="AS846" s="179" t="str">
        <f t="array" ref="AS846">IF($F846&lt;&gt;"",XLOOKUP($F846,Productos!$A:$A,Productos!AL:AL,"Revisar"),"")</f>
        <v/>
      </c>
      <c r="AT846" s="179" t="str">
        <f t="array" ref="AT846">IF($F846&lt;&gt;"", XLOOKUP($F846,Productos!$A$2:$A1001,Productos!AM$2:AM1001,"")*$G846,"")</f>
        <v/>
      </c>
      <c r="AU846" s="179" t="str">
        <f t="array" ref="AU846">IF($F846&lt;&gt;"",XLOOKUP($F846,Productos!$A:$A,Productos!AN:AN,"Revisar"),"")</f>
        <v/>
      </c>
      <c r="AV846" s="179" t="str">
        <f t="array" ref="AV846">IF($F846&lt;&gt;"", XLOOKUP($F846,Productos!$A$2:$A1001,Productos!AO$2:AO1001,"")*$G846,"")</f>
        <v/>
      </c>
      <c r="AW846" s="179" t="str">
        <f t="array" ref="AW846">IF($F846&lt;&gt;"",XLOOKUP($F846,Productos!$A:$A,Productos!AP:AP,"Revisar"),"")</f>
        <v/>
      </c>
      <c r="AX846" s="179" t="str">
        <f t="array" ref="AX846">IF($F846&lt;&gt;"", XLOOKUP($F846,Productos!$A$2:$A1001,Productos!AQ$2:AQ1001,"")*$G846,"")</f>
        <v/>
      </c>
      <c r="AY846" s="179" t="str">
        <f t="array" ref="AY846">IF($F846&lt;&gt;"",XLOOKUP($F846,Productos!$A:$A,Productos!AR:AR,"Revisar"),"")</f>
        <v/>
      </c>
      <c r="AZ846" s="179" t="str">
        <f t="array" ref="AZ846">IF($F846&lt;&gt;"", XLOOKUP($F846,Productos!$A$2:$A1001,Productos!AS$2:AS1001,"")*$G846,"")</f>
        <v/>
      </c>
      <c r="BA846" s="179" t="str">
        <f t="array" ref="BA846">IF($F846&lt;&gt;"",XLOOKUP($F846,Productos!$A:$A,Productos!AT:AT,"Revisar"),"")</f>
        <v/>
      </c>
      <c r="BB846" s="179" t="str">
        <f t="array" ref="BB846">IF($F846&lt;&gt;"", XLOOKUP($F846,Productos!$A$2:$A1001,Productos!AU$2:AU1001,"")*$G846,"")</f>
        <v/>
      </c>
      <c r="BC846" s="179" t="str">
        <f t="array" ref="BC846">IF($F846&lt;&gt;"",XLOOKUP($F846,Productos!$A:$A,Productos!AV:AV,"Revisar"),"")</f>
        <v/>
      </c>
      <c r="BD846" s="179" t="str">
        <f t="array" ref="BD846">IF($F846&lt;&gt;"", XLOOKUP($F846,Productos!$A$2:$A1001,Productos!AW$2:AW1001,"")*$G846,"")</f>
        <v/>
      </c>
      <c r="BE846" s="179" t="str">
        <f t="array" ref="BE846">IF($F846&lt;&gt;"",XLOOKUP($F846,Productos!$A:$A,Productos!AX:AX,"Revisar"),"")</f>
        <v/>
      </c>
      <c r="BF846" s="179" t="str">
        <f t="array" ref="BF846">IF($F846&lt;&gt;"", XLOOKUP($F846,Productos!$A$2:$A1001,Productos!AY$2:AY1001,"")*$G846,"")</f>
        <v/>
      </c>
      <c r="BG846" s="179" t="str">
        <f t="array" ref="BG846">IF($F846&lt;&gt;"",XLOOKUP($F846,Productos!$A:$A,Productos!AZ:AZ,"Revisar"),"")</f>
        <v/>
      </c>
      <c r="BH846" s="179" t="str">
        <f t="array" ref="BH846">IF($F846&lt;&gt;"", XLOOKUP($F846,Productos!$A$2:$A1001,Productos!BA$2:BA1001,"")*$G846,"")</f>
        <v/>
      </c>
      <c r="BI846" s="179" t="str">
        <f t="array" ref="BI846">IF($F846&lt;&gt;"",XLOOKUP($F846,Productos!$A:$A,Productos!BB:BB,"Revisar"),"")</f>
        <v/>
      </c>
      <c r="BJ846" s="179" t="str">
        <f t="array" ref="BJ846">IF($F846&lt;&gt;"", XLOOKUP($F846,Productos!$A$2:$A1001,Productos!BC$2:BC1001,"")*$G846,"")</f>
        <v/>
      </c>
      <c r="BK846" s="179" t="str">
        <f t="array" ref="BK846">IF($F846&lt;&gt;"",XLOOKUP($F846,Productos!$A:$A,Productos!BD:BD,"Revisar"),"")</f>
        <v/>
      </c>
      <c r="BL846" s="179" t="str">
        <f t="array" ref="BL846">IF($F846&lt;&gt;"", XLOOKUP($F846,Productos!$A$2:$A1001,Productos!BE$2:BE1001,"")*$G846,"")</f>
        <v/>
      </c>
      <c r="BM846" s="179" t="str">
        <f t="array" ref="BM846">IF($F846&lt;&gt;"",XLOOKUP($F846,Productos!$A:$A,Productos!BF:BF,"Revisar"),"")</f>
        <v/>
      </c>
      <c r="BN846" s="179" t="str">
        <f t="array" ref="BN846">IF($F846&lt;&gt;"", XLOOKUP($F846,Productos!$A$2:$A1001,Productos!BG$2:BG1001,"")*$G846,"")</f>
        <v/>
      </c>
      <c r="BO846" s="179" t="str">
        <f t="array" ref="BO846">IF($F846&lt;&gt;"",XLOOKUP($F846,Productos!$A:$A,Productos!BH:BH,"Revisar"),"")</f>
        <v/>
      </c>
      <c r="BP846" s="179" t="str">
        <f t="array" ref="BP846">IF($F846&lt;&gt;"", XLOOKUP($F846,Productos!$A$2:$A1001,Productos!BI$2:BI1001,"")*$G846,"")</f>
        <v/>
      </c>
      <c r="BQ846" s="179" t="str">
        <f t="array" ref="BQ846">IF($F846&lt;&gt;"",XLOOKUP($F846,Productos!$A:$A,Productos!BJ:BJ,"Revisar"),"")</f>
        <v/>
      </c>
      <c r="BR846" s="179" t="str">
        <f t="array" ref="BR846">IF($F846&lt;&gt;"", XLOOKUP($F846,Productos!$A$2:$A1001,Productos!BK$2:BK1001,"")*$G846,"")</f>
        <v/>
      </c>
      <c r="BS846" s="179" t="str">
        <f t="array" ref="BS846">IF($F846&lt;&gt;"",XLOOKUP($F846,Productos!$A:$A,Productos!BL:BL,"Revisar"),"")</f>
        <v/>
      </c>
      <c r="BT846" s="179" t="str">
        <f t="array" ref="BT846">IF($F846&lt;&gt;"", XLOOKUP($F846,Productos!$A$2:$A1001,Productos!BM$2:BM1001,"")*$G846,"")</f>
        <v/>
      </c>
      <c r="BU846" s="179" t="str">
        <f t="array" ref="BU846">IF($F846&lt;&gt;"",XLOOKUP($F846,Productos!$A:$A,Productos!BN:BN,"Revisar"),"")</f>
        <v/>
      </c>
      <c r="BV846" s="179" t="str">
        <f t="array" ref="BV846">IF($F846&lt;&gt;"", XLOOKUP($F846,Productos!$A$2:$A1001,Productos!BO$2:BO1001,"")*$G846,"")</f>
        <v/>
      </c>
      <c r="BW846" s="179" t="str">
        <f t="array" ref="BW846">IF($F846&lt;&gt;"",XLOOKUP($F846,Productos!$A:$A,Productos!BP:BP,"Revisar"),"")</f>
        <v/>
      </c>
      <c r="BX846" s="179" t="str">
        <f t="array" ref="BX846">IF($F846&lt;&gt;"", XLOOKUP($F846,Productos!$A$2:$A1001,Productos!BQ$2:BQ1001,"")*$G846,"")</f>
        <v/>
      </c>
      <c r="BY846" s="179" t="str">
        <f t="array" ref="BY846">IF($F846&lt;&gt;"",XLOOKUP($F846,Productos!$A:$A,Productos!BR:BR,"Revisar"),"")</f>
        <v/>
      </c>
      <c r="BZ846" s="179" t="str">
        <f t="array" ref="BZ846">IF($F846&lt;&gt;"", XLOOKUP($F846,Productos!$A$2:$A1001,Productos!BS$2:BS1001,"")*$G846,"")</f>
        <v/>
      </c>
    </row>
    <row r="847">
      <c r="A847" s="188"/>
      <c r="B847" s="189"/>
      <c r="C847" s="190"/>
      <c r="D847" s="190"/>
      <c r="E847" s="191"/>
      <c r="F847" s="186"/>
      <c r="G847" s="192"/>
      <c r="H847" s="9"/>
      <c r="I847" s="179" t="str">
        <f t="array" ref="I847">IF($F847&lt;&gt;"",XLOOKUP($F847,Productos!$A:$A,Productos!B:B,"Revisar"),"")</f>
        <v/>
      </c>
      <c r="J847" s="179" t="str">
        <f t="array" ref="J847">IF($F847&lt;&gt;"", XLOOKUP($F847,Productos!$A$2:$A1001,Productos!C$2:C1001,"")*$G847,"")</f>
        <v/>
      </c>
      <c r="K847" s="179" t="str">
        <f t="array" ref="K847">IF($F847&lt;&gt;"",XLOOKUP($F847,Productos!$A:$A,Productos!D:D,"Revisar"),"")</f>
        <v/>
      </c>
      <c r="L847" s="179" t="str">
        <f t="array" ref="L847">IF($F847&lt;&gt;"", XLOOKUP($F847,Productos!$A$2:$A1001,Productos!E$2:E1001,"")*$G847,"")</f>
        <v/>
      </c>
      <c r="M847" s="179" t="str">
        <f t="array" ref="M847">IF($F847&lt;&gt;"",XLOOKUP($F847,Productos!$A:$A,Productos!F:F,"Revisar"),"")</f>
        <v/>
      </c>
      <c r="N847" s="179" t="str">
        <f t="array" ref="N847">IF($F847&lt;&gt;"", XLOOKUP($F847,Productos!$A$2:$A1001,Productos!G$2:G1001,"")*$G847,"")</f>
        <v/>
      </c>
      <c r="O847" s="179" t="str">
        <f t="array" ref="O847">IF($F847&lt;&gt;"",XLOOKUP($F847,Productos!$A:$A,Productos!H:H,"Revisar"),"")</f>
        <v/>
      </c>
      <c r="P847" s="179" t="str">
        <f t="array" ref="P847">IF($F847&lt;&gt;"", XLOOKUP($F847,Productos!$A$2:$A1001,Productos!I$2:I1001,"")*$G847,"")</f>
        <v/>
      </c>
      <c r="Q847" s="179" t="str">
        <f t="array" ref="Q847">IF($F847&lt;&gt;"",XLOOKUP($F847,Productos!$A:$A,Productos!J:J,"Revisar"),"")</f>
        <v/>
      </c>
      <c r="R847" s="179" t="str">
        <f t="array" ref="R847">IF($F847&lt;&gt;"", XLOOKUP($F847,Productos!$A$2:$A1001,Productos!K$2:K1001,"")*$G847,"")</f>
        <v/>
      </c>
      <c r="S847" s="179" t="str">
        <f t="array" ref="S847">IF($F847&lt;&gt;"",XLOOKUP($F847,Productos!$A:$A,Productos!L:L,"Revisar"),"")</f>
        <v/>
      </c>
      <c r="T847" s="179" t="str">
        <f t="array" ref="T847">IF($F847&lt;&gt;"", XLOOKUP($F847,Productos!$A$2:$A1001,Productos!M$2:M1001,"")*$G847,"")</f>
        <v/>
      </c>
      <c r="U847" s="179" t="str">
        <f t="array" ref="U847">IF($F847&lt;&gt;"",XLOOKUP($F847,Productos!$A:$A,Productos!N:N,"Revisar"),"")</f>
        <v/>
      </c>
      <c r="V847" s="179" t="str">
        <f t="array" ref="V847">IF($F847&lt;&gt;"", XLOOKUP($F847,Productos!$A$2:$A1001,Productos!O$2:O1001,"")*$G847,"")</f>
        <v/>
      </c>
      <c r="W847" s="179" t="str">
        <f t="array" ref="W847">IF($F847&lt;&gt;"",XLOOKUP($F847,Productos!$A:$A,Productos!P:P,"Revisar"),"")</f>
        <v/>
      </c>
      <c r="X847" s="179" t="str">
        <f t="array" ref="X847">IF($F847&lt;&gt;"", XLOOKUP($F847,Productos!$A$2:$A1001,Productos!Q$2:Q1001,"")*$G847,"")</f>
        <v/>
      </c>
      <c r="Y847" s="179" t="str">
        <f t="array" ref="Y847">IF($F847&lt;&gt;"",XLOOKUP($F847,Productos!$A:$A,Productos!R:R,"Revisar"),"")</f>
        <v/>
      </c>
      <c r="Z847" s="179" t="str">
        <f t="array" ref="Z847">IF($F847&lt;&gt;"", XLOOKUP($F847,Productos!$A$2:$A1001,Productos!S$2:S1001,"")*$G847,"")</f>
        <v/>
      </c>
      <c r="AA847" s="179" t="str">
        <f t="array" ref="AA847">IF($F847&lt;&gt;"",XLOOKUP($F847,Productos!$A:$A,Productos!T:T,"Revisar"),"")</f>
        <v/>
      </c>
      <c r="AB847" s="179" t="str">
        <f t="array" ref="AB847">IF($F847&lt;&gt;"", XLOOKUP($F847,Productos!$A$2:$A1001,Productos!U$2:U1001,"")*$G847,"")</f>
        <v/>
      </c>
      <c r="AC847" s="179" t="str">
        <f t="array" ref="AC847">IF($F847&lt;&gt;"",XLOOKUP($F847,Productos!$A:$A,Productos!V:V,"Revisar"),"")</f>
        <v/>
      </c>
      <c r="AD847" s="179" t="str">
        <f t="array" ref="AD847">IF($F847&lt;&gt;"", XLOOKUP($F847,Productos!$A$2:$A1001,Productos!W$2:W1001,"")*$G847,"")</f>
        <v/>
      </c>
      <c r="AE847" s="179" t="str">
        <f t="array" ref="AE847">IF($F847&lt;&gt;"",XLOOKUP($F847,Productos!$A:$A,Productos!X:X,"Revisar"),"")</f>
        <v/>
      </c>
      <c r="AF847" s="179" t="str">
        <f t="array" ref="AF847">IF($F847&lt;&gt;"", XLOOKUP($F847,Productos!$A$2:$A1001,Productos!Y$2:Y1001,"")*$G847,"")</f>
        <v/>
      </c>
      <c r="AG847" s="179" t="str">
        <f t="array" ref="AG847">IF($F847&lt;&gt;"",XLOOKUP($F847,Productos!$A:$A,Productos!Z:Z,"Revisar"),"")</f>
        <v/>
      </c>
      <c r="AH847" s="179" t="str">
        <f t="array" ref="AH847">IF($F847&lt;&gt;"", XLOOKUP($F847,Productos!$A$2:$A1001,Productos!AA$2:AA1001,"")*$G847,"")</f>
        <v/>
      </c>
      <c r="AI847" s="179" t="str">
        <f t="array" ref="AI847">IF($F847&lt;&gt;"",XLOOKUP($F847,Productos!$A:$A,Productos!AB:AB,"Revisar"),"")</f>
        <v/>
      </c>
      <c r="AJ847" s="179" t="str">
        <f t="array" ref="AJ847">IF($F847&lt;&gt;"", XLOOKUP($F847,Productos!$A$2:$A1001,Productos!AC$2:AC1001,"")*$G847,"")</f>
        <v/>
      </c>
      <c r="AK847" s="179" t="str">
        <f t="array" ref="AK847">IF($F847&lt;&gt;"",XLOOKUP($F847,Productos!$A:$A,Productos!AD:AD,"Revisar"),"")</f>
        <v/>
      </c>
      <c r="AL847" s="179" t="str">
        <f t="array" ref="AL847">IF($F847&lt;&gt;"", XLOOKUP($F847,Productos!$A$2:$A1001,Productos!AE$2:AE1001,"")*$G847,"")</f>
        <v/>
      </c>
      <c r="AM847" s="179" t="str">
        <f t="array" ref="AM847">IF($F847&lt;&gt;"",XLOOKUP($F847,Productos!$A:$A,Productos!AF:AF,"Revisar"),"")</f>
        <v/>
      </c>
      <c r="AN847" s="179" t="str">
        <f t="array" ref="AN847">IF($F847&lt;&gt;"", XLOOKUP($F847,Productos!$A$2:$A1001,Productos!AG$2:AG1001,"")*$G847,"")</f>
        <v/>
      </c>
      <c r="AO847" s="179" t="str">
        <f t="array" ref="AO847">IF($F847&lt;&gt;"",XLOOKUP($F847,Productos!$A:$A,Productos!AH:AH,"Revisar"),"")</f>
        <v/>
      </c>
      <c r="AP847" s="179" t="str">
        <f t="array" ref="AP847">IF($F847&lt;&gt;"", XLOOKUP($F847,Productos!$A$2:$A1001,Productos!AI$2:AI1001,"")*$G847,"")</f>
        <v/>
      </c>
      <c r="AQ847" s="179" t="str">
        <f t="array" ref="AQ847">IF($F847&lt;&gt;"",XLOOKUP($F847,Productos!$A:$A,Productos!AJ:AJ,"Revisar"),"")</f>
        <v/>
      </c>
      <c r="AR847" s="179" t="str">
        <f t="array" ref="AR847">IF($F847&lt;&gt;"", XLOOKUP($F847,Productos!$A$2:$A1001,Productos!AK$2:AK1001,"")*$G847,"")</f>
        <v/>
      </c>
      <c r="AS847" s="179" t="str">
        <f t="array" ref="AS847">IF($F847&lt;&gt;"",XLOOKUP($F847,Productos!$A:$A,Productos!AL:AL,"Revisar"),"")</f>
        <v/>
      </c>
      <c r="AT847" s="179" t="str">
        <f t="array" ref="AT847">IF($F847&lt;&gt;"", XLOOKUP($F847,Productos!$A$2:$A1001,Productos!AM$2:AM1001,"")*$G847,"")</f>
        <v/>
      </c>
      <c r="AU847" s="179" t="str">
        <f t="array" ref="AU847">IF($F847&lt;&gt;"",XLOOKUP($F847,Productos!$A:$A,Productos!AN:AN,"Revisar"),"")</f>
        <v/>
      </c>
      <c r="AV847" s="179" t="str">
        <f t="array" ref="AV847">IF($F847&lt;&gt;"", XLOOKUP($F847,Productos!$A$2:$A1001,Productos!AO$2:AO1001,"")*$G847,"")</f>
        <v/>
      </c>
      <c r="AW847" s="179" t="str">
        <f t="array" ref="AW847">IF($F847&lt;&gt;"",XLOOKUP($F847,Productos!$A:$A,Productos!AP:AP,"Revisar"),"")</f>
        <v/>
      </c>
      <c r="AX847" s="179" t="str">
        <f t="array" ref="AX847">IF($F847&lt;&gt;"", XLOOKUP($F847,Productos!$A$2:$A1001,Productos!AQ$2:AQ1001,"")*$G847,"")</f>
        <v/>
      </c>
      <c r="AY847" s="179" t="str">
        <f t="array" ref="AY847">IF($F847&lt;&gt;"",XLOOKUP($F847,Productos!$A:$A,Productos!AR:AR,"Revisar"),"")</f>
        <v/>
      </c>
      <c r="AZ847" s="179" t="str">
        <f t="array" ref="AZ847">IF($F847&lt;&gt;"", XLOOKUP($F847,Productos!$A$2:$A1001,Productos!AS$2:AS1001,"")*$G847,"")</f>
        <v/>
      </c>
      <c r="BA847" s="179" t="str">
        <f t="array" ref="BA847">IF($F847&lt;&gt;"",XLOOKUP($F847,Productos!$A:$A,Productos!AT:AT,"Revisar"),"")</f>
        <v/>
      </c>
      <c r="BB847" s="179" t="str">
        <f t="array" ref="BB847">IF($F847&lt;&gt;"", XLOOKUP($F847,Productos!$A$2:$A1001,Productos!AU$2:AU1001,"")*$G847,"")</f>
        <v/>
      </c>
      <c r="BC847" s="179" t="str">
        <f t="array" ref="BC847">IF($F847&lt;&gt;"",XLOOKUP($F847,Productos!$A:$A,Productos!AV:AV,"Revisar"),"")</f>
        <v/>
      </c>
      <c r="BD847" s="179" t="str">
        <f t="array" ref="BD847">IF($F847&lt;&gt;"", XLOOKUP($F847,Productos!$A$2:$A1001,Productos!AW$2:AW1001,"")*$G847,"")</f>
        <v/>
      </c>
      <c r="BE847" s="179" t="str">
        <f t="array" ref="BE847">IF($F847&lt;&gt;"",XLOOKUP($F847,Productos!$A:$A,Productos!AX:AX,"Revisar"),"")</f>
        <v/>
      </c>
      <c r="BF847" s="179" t="str">
        <f t="array" ref="BF847">IF($F847&lt;&gt;"", XLOOKUP($F847,Productos!$A$2:$A1001,Productos!AY$2:AY1001,"")*$G847,"")</f>
        <v/>
      </c>
      <c r="BG847" s="179" t="str">
        <f t="array" ref="BG847">IF($F847&lt;&gt;"",XLOOKUP($F847,Productos!$A:$A,Productos!AZ:AZ,"Revisar"),"")</f>
        <v/>
      </c>
      <c r="BH847" s="179" t="str">
        <f t="array" ref="BH847">IF($F847&lt;&gt;"", XLOOKUP($F847,Productos!$A$2:$A1001,Productos!BA$2:BA1001,"")*$G847,"")</f>
        <v/>
      </c>
      <c r="BI847" s="179" t="str">
        <f t="array" ref="BI847">IF($F847&lt;&gt;"",XLOOKUP($F847,Productos!$A:$A,Productos!BB:BB,"Revisar"),"")</f>
        <v/>
      </c>
      <c r="BJ847" s="179" t="str">
        <f t="array" ref="BJ847">IF($F847&lt;&gt;"", XLOOKUP($F847,Productos!$A$2:$A1001,Productos!BC$2:BC1001,"")*$G847,"")</f>
        <v/>
      </c>
      <c r="BK847" s="179" t="str">
        <f t="array" ref="BK847">IF($F847&lt;&gt;"",XLOOKUP($F847,Productos!$A:$A,Productos!BD:BD,"Revisar"),"")</f>
        <v/>
      </c>
      <c r="BL847" s="179" t="str">
        <f t="array" ref="BL847">IF($F847&lt;&gt;"", XLOOKUP($F847,Productos!$A$2:$A1001,Productos!BE$2:BE1001,"")*$G847,"")</f>
        <v/>
      </c>
      <c r="BM847" s="179" t="str">
        <f t="array" ref="BM847">IF($F847&lt;&gt;"",XLOOKUP($F847,Productos!$A:$A,Productos!BF:BF,"Revisar"),"")</f>
        <v/>
      </c>
      <c r="BN847" s="179" t="str">
        <f t="array" ref="BN847">IF($F847&lt;&gt;"", XLOOKUP($F847,Productos!$A$2:$A1001,Productos!BG$2:BG1001,"")*$G847,"")</f>
        <v/>
      </c>
      <c r="BO847" s="179" t="str">
        <f t="array" ref="BO847">IF($F847&lt;&gt;"",XLOOKUP($F847,Productos!$A:$A,Productos!BH:BH,"Revisar"),"")</f>
        <v/>
      </c>
      <c r="BP847" s="179" t="str">
        <f t="array" ref="BP847">IF($F847&lt;&gt;"", XLOOKUP($F847,Productos!$A$2:$A1001,Productos!BI$2:BI1001,"")*$G847,"")</f>
        <v/>
      </c>
      <c r="BQ847" s="179" t="str">
        <f t="array" ref="BQ847">IF($F847&lt;&gt;"",XLOOKUP($F847,Productos!$A:$A,Productos!BJ:BJ,"Revisar"),"")</f>
        <v/>
      </c>
      <c r="BR847" s="179" t="str">
        <f t="array" ref="BR847">IF($F847&lt;&gt;"", XLOOKUP($F847,Productos!$A$2:$A1001,Productos!BK$2:BK1001,"")*$G847,"")</f>
        <v/>
      </c>
      <c r="BS847" s="179" t="str">
        <f t="array" ref="BS847">IF($F847&lt;&gt;"",XLOOKUP($F847,Productos!$A:$A,Productos!BL:BL,"Revisar"),"")</f>
        <v/>
      </c>
      <c r="BT847" s="179" t="str">
        <f t="array" ref="BT847">IF($F847&lt;&gt;"", XLOOKUP($F847,Productos!$A$2:$A1001,Productos!BM$2:BM1001,"")*$G847,"")</f>
        <v/>
      </c>
      <c r="BU847" s="179" t="str">
        <f t="array" ref="BU847">IF($F847&lt;&gt;"",XLOOKUP($F847,Productos!$A:$A,Productos!BN:BN,"Revisar"),"")</f>
        <v/>
      </c>
      <c r="BV847" s="179" t="str">
        <f t="array" ref="BV847">IF($F847&lt;&gt;"", XLOOKUP($F847,Productos!$A$2:$A1001,Productos!BO$2:BO1001,"")*$G847,"")</f>
        <v/>
      </c>
      <c r="BW847" s="179" t="str">
        <f t="array" ref="BW847">IF($F847&lt;&gt;"",XLOOKUP($F847,Productos!$A:$A,Productos!BP:BP,"Revisar"),"")</f>
        <v/>
      </c>
      <c r="BX847" s="179" t="str">
        <f t="array" ref="BX847">IF($F847&lt;&gt;"", XLOOKUP($F847,Productos!$A$2:$A1001,Productos!BQ$2:BQ1001,"")*$G847,"")</f>
        <v/>
      </c>
      <c r="BY847" s="179" t="str">
        <f t="array" ref="BY847">IF($F847&lt;&gt;"",XLOOKUP($F847,Productos!$A:$A,Productos!BR:BR,"Revisar"),"")</f>
        <v/>
      </c>
      <c r="BZ847" s="179" t="str">
        <f t="array" ref="BZ847">IF($F847&lt;&gt;"", XLOOKUP($F847,Productos!$A$2:$A1001,Productos!BS$2:BS1001,"")*$G847,"")</f>
        <v/>
      </c>
    </row>
    <row r="848">
      <c r="A848" s="188"/>
      <c r="B848" s="189"/>
      <c r="C848" s="190"/>
      <c r="D848" s="190"/>
      <c r="E848" s="191"/>
      <c r="F848" s="186"/>
      <c r="G848" s="192"/>
      <c r="H848" s="9"/>
      <c r="I848" s="179" t="str">
        <f t="array" ref="I848">IF($F848&lt;&gt;"",XLOOKUP($F848,Productos!$A:$A,Productos!B:B,"Revisar"),"")</f>
        <v/>
      </c>
      <c r="J848" s="179" t="str">
        <f t="array" ref="J848">IF($F848&lt;&gt;"", XLOOKUP($F848,Productos!$A$2:$A1001,Productos!C$2:C1001,"")*$G848,"")</f>
        <v/>
      </c>
      <c r="K848" s="179" t="str">
        <f t="array" ref="K848">IF($F848&lt;&gt;"",XLOOKUP($F848,Productos!$A:$A,Productos!D:D,"Revisar"),"")</f>
        <v/>
      </c>
      <c r="L848" s="179" t="str">
        <f t="array" ref="L848">IF($F848&lt;&gt;"", XLOOKUP($F848,Productos!$A$2:$A1001,Productos!E$2:E1001,"")*$G848,"")</f>
        <v/>
      </c>
      <c r="M848" s="179" t="str">
        <f t="array" ref="M848">IF($F848&lt;&gt;"",XLOOKUP($F848,Productos!$A:$A,Productos!F:F,"Revisar"),"")</f>
        <v/>
      </c>
      <c r="N848" s="179" t="str">
        <f t="array" ref="N848">IF($F848&lt;&gt;"", XLOOKUP($F848,Productos!$A$2:$A1001,Productos!G$2:G1001,"")*$G848,"")</f>
        <v/>
      </c>
      <c r="O848" s="179" t="str">
        <f t="array" ref="O848">IF($F848&lt;&gt;"",XLOOKUP($F848,Productos!$A:$A,Productos!H:H,"Revisar"),"")</f>
        <v/>
      </c>
      <c r="P848" s="179" t="str">
        <f t="array" ref="P848">IF($F848&lt;&gt;"", XLOOKUP($F848,Productos!$A$2:$A1001,Productos!I$2:I1001,"")*$G848,"")</f>
        <v/>
      </c>
      <c r="Q848" s="179" t="str">
        <f t="array" ref="Q848">IF($F848&lt;&gt;"",XLOOKUP($F848,Productos!$A:$A,Productos!J:J,"Revisar"),"")</f>
        <v/>
      </c>
      <c r="R848" s="179" t="str">
        <f t="array" ref="R848">IF($F848&lt;&gt;"", XLOOKUP($F848,Productos!$A$2:$A1001,Productos!K$2:K1001,"")*$G848,"")</f>
        <v/>
      </c>
      <c r="S848" s="179" t="str">
        <f t="array" ref="S848">IF($F848&lt;&gt;"",XLOOKUP($F848,Productos!$A:$A,Productos!L:L,"Revisar"),"")</f>
        <v/>
      </c>
      <c r="T848" s="179" t="str">
        <f t="array" ref="T848">IF($F848&lt;&gt;"", XLOOKUP($F848,Productos!$A$2:$A1001,Productos!M$2:M1001,"")*$G848,"")</f>
        <v/>
      </c>
      <c r="U848" s="179" t="str">
        <f t="array" ref="U848">IF($F848&lt;&gt;"",XLOOKUP($F848,Productos!$A:$A,Productos!N:N,"Revisar"),"")</f>
        <v/>
      </c>
      <c r="V848" s="179" t="str">
        <f t="array" ref="V848">IF($F848&lt;&gt;"", XLOOKUP($F848,Productos!$A$2:$A1001,Productos!O$2:O1001,"")*$G848,"")</f>
        <v/>
      </c>
      <c r="W848" s="179" t="str">
        <f t="array" ref="W848">IF($F848&lt;&gt;"",XLOOKUP($F848,Productos!$A:$A,Productos!P:P,"Revisar"),"")</f>
        <v/>
      </c>
      <c r="X848" s="179" t="str">
        <f t="array" ref="X848">IF($F848&lt;&gt;"", XLOOKUP($F848,Productos!$A$2:$A1001,Productos!Q$2:Q1001,"")*$G848,"")</f>
        <v/>
      </c>
      <c r="Y848" s="179" t="str">
        <f t="array" ref="Y848">IF($F848&lt;&gt;"",XLOOKUP($F848,Productos!$A:$A,Productos!R:R,"Revisar"),"")</f>
        <v/>
      </c>
      <c r="Z848" s="179" t="str">
        <f t="array" ref="Z848">IF($F848&lt;&gt;"", XLOOKUP($F848,Productos!$A$2:$A1001,Productos!S$2:S1001,"")*$G848,"")</f>
        <v/>
      </c>
      <c r="AA848" s="179" t="str">
        <f t="array" ref="AA848">IF($F848&lt;&gt;"",XLOOKUP($F848,Productos!$A:$A,Productos!T:T,"Revisar"),"")</f>
        <v/>
      </c>
      <c r="AB848" s="179" t="str">
        <f t="array" ref="AB848">IF($F848&lt;&gt;"", XLOOKUP($F848,Productos!$A$2:$A1001,Productos!U$2:U1001,"")*$G848,"")</f>
        <v/>
      </c>
      <c r="AC848" s="179" t="str">
        <f t="array" ref="AC848">IF($F848&lt;&gt;"",XLOOKUP($F848,Productos!$A:$A,Productos!V:V,"Revisar"),"")</f>
        <v/>
      </c>
      <c r="AD848" s="179" t="str">
        <f t="array" ref="AD848">IF($F848&lt;&gt;"", XLOOKUP($F848,Productos!$A$2:$A1001,Productos!W$2:W1001,"")*$G848,"")</f>
        <v/>
      </c>
      <c r="AE848" s="179" t="str">
        <f t="array" ref="AE848">IF($F848&lt;&gt;"",XLOOKUP($F848,Productos!$A:$A,Productos!X:X,"Revisar"),"")</f>
        <v/>
      </c>
      <c r="AF848" s="179" t="str">
        <f t="array" ref="AF848">IF($F848&lt;&gt;"", XLOOKUP($F848,Productos!$A$2:$A1001,Productos!Y$2:Y1001,"")*$G848,"")</f>
        <v/>
      </c>
      <c r="AG848" s="179" t="str">
        <f t="array" ref="AG848">IF($F848&lt;&gt;"",XLOOKUP($F848,Productos!$A:$A,Productos!Z:Z,"Revisar"),"")</f>
        <v/>
      </c>
      <c r="AH848" s="179" t="str">
        <f t="array" ref="AH848">IF($F848&lt;&gt;"", XLOOKUP($F848,Productos!$A$2:$A1001,Productos!AA$2:AA1001,"")*$G848,"")</f>
        <v/>
      </c>
      <c r="AI848" s="179" t="str">
        <f t="array" ref="AI848">IF($F848&lt;&gt;"",XLOOKUP($F848,Productos!$A:$A,Productos!AB:AB,"Revisar"),"")</f>
        <v/>
      </c>
      <c r="AJ848" s="179" t="str">
        <f t="array" ref="AJ848">IF($F848&lt;&gt;"", XLOOKUP($F848,Productos!$A$2:$A1001,Productos!AC$2:AC1001,"")*$G848,"")</f>
        <v/>
      </c>
      <c r="AK848" s="179" t="str">
        <f t="array" ref="AK848">IF($F848&lt;&gt;"",XLOOKUP($F848,Productos!$A:$A,Productos!AD:AD,"Revisar"),"")</f>
        <v/>
      </c>
      <c r="AL848" s="179" t="str">
        <f t="array" ref="AL848">IF($F848&lt;&gt;"", XLOOKUP($F848,Productos!$A$2:$A1001,Productos!AE$2:AE1001,"")*$G848,"")</f>
        <v/>
      </c>
      <c r="AM848" s="179" t="str">
        <f t="array" ref="AM848">IF($F848&lt;&gt;"",XLOOKUP($F848,Productos!$A:$A,Productos!AF:AF,"Revisar"),"")</f>
        <v/>
      </c>
      <c r="AN848" s="179" t="str">
        <f t="array" ref="AN848">IF($F848&lt;&gt;"", XLOOKUP($F848,Productos!$A$2:$A1001,Productos!AG$2:AG1001,"")*$G848,"")</f>
        <v/>
      </c>
      <c r="AO848" s="179" t="str">
        <f t="array" ref="AO848">IF($F848&lt;&gt;"",XLOOKUP($F848,Productos!$A:$A,Productos!AH:AH,"Revisar"),"")</f>
        <v/>
      </c>
      <c r="AP848" s="179" t="str">
        <f t="array" ref="AP848">IF($F848&lt;&gt;"", XLOOKUP($F848,Productos!$A$2:$A1001,Productos!AI$2:AI1001,"")*$G848,"")</f>
        <v/>
      </c>
      <c r="AQ848" s="179" t="str">
        <f t="array" ref="AQ848">IF($F848&lt;&gt;"",XLOOKUP($F848,Productos!$A:$A,Productos!AJ:AJ,"Revisar"),"")</f>
        <v/>
      </c>
      <c r="AR848" s="179" t="str">
        <f t="array" ref="AR848">IF($F848&lt;&gt;"", XLOOKUP($F848,Productos!$A$2:$A1001,Productos!AK$2:AK1001,"")*$G848,"")</f>
        <v/>
      </c>
      <c r="AS848" s="179" t="str">
        <f t="array" ref="AS848">IF($F848&lt;&gt;"",XLOOKUP($F848,Productos!$A:$A,Productos!AL:AL,"Revisar"),"")</f>
        <v/>
      </c>
      <c r="AT848" s="179" t="str">
        <f t="array" ref="AT848">IF($F848&lt;&gt;"", XLOOKUP($F848,Productos!$A$2:$A1001,Productos!AM$2:AM1001,"")*$G848,"")</f>
        <v/>
      </c>
      <c r="AU848" s="179" t="str">
        <f t="array" ref="AU848">IF($F848&lt;&gt;"",XLOOKUP($F848,Productos!$A:$A,Productos!AN:AN,"Revisar"),"")</f>
        <v/>
      </c>
      <c r="AV848" s="179" t="str">
        <f t="array" ref="AV848">IF($F848&lt;&gt;"", XLOOKUP($F848,Productos!$A$2:$A1001,Productos!AO$2:AO1001,"")*$G848,"")</f>
        <v/>
      </c>
      <c r="AW848" s="179" t="str">
        <f t="array" ref="AW848">IF($F848&lt;&gt;"",XLOOKUP($F848,Productos!$A:$A,Productos!AP:AP,"Revisar"),"")</f>
        <v/>
      </c>
      <c r="AX848" s="179" t="str">
        <f t="array" ref="AX848">IF($F848&lt;&gt;"", XLOOKUP($F848,Productos!$A$2:$A1001,Productos!AQ$2:AQ1001,"")*$G848,"")</f>
        <v/>
      </c>
      <c r="AY848" s="179" t="str">
        <f t="array" ref="AY848">IF($F848&lt;&gt;"",XLOOKUP($F848,Productos!$A:$A,Productos!AR:AR,"Revisar"),"")</f>
        <v/>
      </c>
      <c r="AZ848" s="179" t="str">
        <f t="array" ref="AZ848">IF($F848&lt;&gt;"", XLOOKUP($F848,Productos!$A$2:$A1001,Productos!AS$2:AS1001,"")*$G848,"")</f>
        <v/>
      </c>
      <c r="BA848" s="179" t="str">
        <f t="array" ref="BA848">IF($F848&lt;&gt;"",XLOOKUP($F848,Productos!$A:$A,Productos!AT:AT,"Revisar"),"")</f>
        <v/>
      </c>
      <c r="BB848" s="179" t="str">
        <f t="array" ref="BB848">IF($F848&lt;&gt;"", XLOOKUP($F848,Productos!$A$2:$A1001,Productos!AU$2:AU1001,"")*$G848,"")</f>
        <v/>
      </c>
      <c r="BC848" s="179" t="str">
        <f t="array" ref="BC848">IF($F848&lt;&gt;"",XLOOKUP($F848,Productos!$A:$A,Productos!AV:AV,"Revisar"),"")</f>
        <v/>
      </c>
      <c r="BD848" s="179" t="str">
        <f t="array" ref="BD848">IF($F848&lt;&gt;"", XLOOKUP($F848,Productos!$A$2:$A1001,Productos!AW$2:AW1001,"")*$G848,"")</f>
        <v/>
      </c>
      <c r="BE848" s="179" t="str">
        <f t="array" ref="BE848">IF($F848&lt;&gt;"",XLOOKUP($F848,Productos!$A:$A,Productos!AX:AX,"Revisar"),"")</f>
        <v/>
      </c>
      <c r="BF848" s="179" t="str">
        <f t="array" ref="BF848">IF($F848&lt;&gt;"", XLOOKUP($F848,Productos!$A$2:$A1001,Productos!AY$2:AY1001,"")*$G848,"")</f>
        <v/>
      </c>
      <c r="BG848" s="179" t="str">
        <f t="array" ref="BG848">IF($F848&lt;&gt;"",XLOOKUP($F848,Productos!$A:$A,Productos!AZ:AZ,"Revisar"),"")</f>
        <v/>
      </c>
      <c r="BH848" s="179" t="str">
        <f t="array" ref="BH848">IF($F848&lt;&gt;"", XLOOKUP($F848,Productos!$A$2:$A1001,Productos!BA$2:BA1001,"")*$G848,"")</f>
        <v/>
      </c>
      <c r="BI848" s="179" t="str">
        <f t="array" ref="BI848">IF($F848&lt;&gt;"",XLOOKUP($F848,Productos!$A:$A,Productos!BB:BB,"Revisar"),"")</f>
        <v/>
      </c>
      <c r="BJ848" s="179" t="str">
        <f t="array" ref="BJ848">IF($F848&lt;&gt;"", XLOOKUP($F848,Productos!$A$2:$A1001,Productos!BC$2:BC1001,"")*$G848,"")</f>
        <v/>
      </c>
      <c r="BK848" s="179" t="str">
        <f t="array" ref="BK848">IF($F848&lt;&gt;"",XLOOKUP($F848,Productos!$A:$A,Productos!BD:BD,"Revisar"),"")</f>
        <v/>
      </c>
      <c r="BL848" s="179" t="str">
        <f t="array" ref="BL848">IF($F848&lt;&gt;"", XLOOKUP($F848,Productos!$A$2:$A1001,Productos!BE$2:BE1001,"")*$G848,"")</f>
        <v/>
      </c>
      <c r="BM848" s="179" t="str">
        <f t="array" ref="BM848">IF($F848&lt;&gt;"",XLOOKUP($F848,Productos!$A:$A,Productos!BF:BF,"Revisar"),"")</f>
        <v/>
      </c>
      <c r="BN848" s="179" t="str">
        <f t="array" ref="BN848">IF($F848&lt;&gt;"", XLOOKUP($F848,Productos!$A$2:$A1001,Productos!BG$2:BG1001,"")*$G848,"")</f>
        <v/>
      </c>
      <c r="BO848" s="179" t="str">
        <f t="array" ref="BO848">IF($F848&lt;&gt;"",XLOOKUP($F848,Productos!$A:$A,Productos!BH:BH,"Revisar"),"")</f>
        <v/>
      </c>
      <c r="BP848" s="179" t="str">
        <f t="array" ref="BP848">IF($F848&lt;&gt;"", XLOOKUP($F848,Productos!$A$2:$A1001,Productos!BI$2:BI1001,"")*$G848,"")</f>
        <v/>
      </c>
      <c r="BQ848" s="179" t="str">
        <f t="array" ref="BQ848">IF($F848&lt;&gt;"",XLOOKUP($F848,Productos!$A:$A,Productos!BJ:BJ,"Revisar"),"")</f>
        <v/>
      </c>
      <c r="BR848" s="179" t="str">
        <f t="array" ref="BR848">IF($F848&lt;&gt;"", XLOOKUP($F848,Productos!$A$2:$A1001,Productos!BK$2:BK1001,"")*$G848,"")</f>
        <v/>
      </c>
      <c r="BS848" s="179" t="str">
        <f t="array" ref="BS848">IF($F848&lt;&gt;"",XLOOKUP($F848,Productos!$A:$A,Productos!BL:BL,"Revisar"),"")</f>
        <v/>
      </c>
      <c r="BT848" s="179" t="str">
        <f t="array" ref="BT848">IF($F848&lt;&gt;"", XLOOKUP($F848,Productos!$A$2:$A1001,Productos!BM$2:BM1001,"")*$G848,"")</f>
        <v/>
      </c>
      <c r="BU848" s="179" t="str">
        <f t="array" ref="BU848">IF($F848&lt;&gt;"",XLOOKUP($F848,Productos!$A:$A,Productos!BN:BN,"Revisar"),"")</f>
        <v/>
      </c>
      <c r="BV848" s="179" t="str">
        <f t="array" ref="BV848">IF($F848&lt;&gt;"", XLOOKUP($F848,Productos!$A$2:$A1001,Productos!BO$2:BO1001,"")*$G848,"")</f>
        <v/>
      </c>
      <c r="BW848" s="179" t="str">
        <f t="array" ref="BW848">IF($F848&lt;&gt;"",XLOOKUP($F848,Productos!$A:$A,Productos!BP:BP,"Revisar"),"")</f>
        <v/>
      </c>
      <c r="BX848" s="179" t="str">
        <f t="array" ref="BX848">IF($F848&lt;&gt;"", XLOOKUP($F848,Productos!$A$2:$A1001,Productos!BQ$2:BQ1001,"")*$G848,"")</f>
        <v/>
      </c>
      <c r="BY848" s="179" t="str">
        <f t="array" ref="BY848">IF($F848&lt;&gt;"",XLOOKUP($F848,Productos!$A:$A,Productos!BR:BR,"Revisar"),"")</f>
        <v/>
      </c>
      <c r="BZ848" s="179" t="str">
        <f t="array" ref="BZ848">IF($F848&lt;&gt;"", XLOOKUP($F848,Productos!$A$2:$A1001,Productos!BS$2:BS1001,"")*$G848,"")</f>
        <v/>
      </c>
    </row>
    <row r="849">
      <c r="A849" s="188"/>
      <c r="B849" s="189"/>
      <c r="C849" s="190"/>
      <c r="D849" s="190"/>
      <c r="E849" s="191"/>
      <c r="F849" s="186"/>
      <c r="G849" s="192"/>
      <c r="H849" s="9"/>
      <c r="I849" s="179" t="str">
        <f t="array" ref="I849">IF($F849&lt;&gt;"",XLOOKUP($F849,Productos!$A:$A,Productos!B:B,"Revisar"),"")</f>
        <v/>
      </c>
      <c r="J849" s="179" t="str">
        <f t="array" ref="J849">IF($F849&lt;&gt;"", XLOOKUP($F849,Productos!$A$2:$A1001,Productos!C$2:C1001,"")*$G849,"")</f>
        <v/>
      </c>
      <c r="K849" s="179" t="str">
        <f t="array" ref="K849">IF($F849&lt;&gt;"",XLOOKUP($F849,Productos!$A:$A,Productos!D:D,"Revisar"),"")</f>
        <v/>
      </c>
      <c r="L849" s="179" t="str">
        <f t="array" ref="L849">IF($F849&lt;&gt;"", XLOOKUP($F849,Productos!$A$2:$A1001,Productos!E$2:E1001,"")*$G849,"")</f>
        <v/>
      </c>
      <c r="M849" s="179" t="str">
        <f t="array" ref="M849">IF($F849&lt;&gt;"",XLOOKUP($F849,Productos!$A:$A,Productos!F:F,"Revisar"),"")</f>
        <v/>
      </c>
      <c r="N849" s="179" t="str">
        <f t="array" ref="N849">IF($F849&lt;&gt;"", XLOOKUP($F849,Productos!$A$2:$A1001,Productos!G$2:G1001,"")*$G849,"")</f>
        <v/>
      </c>
      <c r="O849" s="179" t="str">
        <f t="array" ref="O849">IF($F849&lt;&gt;"",XLOOKUP($F849,Productos!$A:$A,Productos!H:H,"Revisar"),"")</f>
        <v/>
      </c>
      <c r="P849" s="179" t="str">
        <f t="array" ref="P849">IF($F849&lt;&gt;"", XLOOKUP($F849,Productos!$A$2:$A1001,Productos!I$2:I1001,"")*$G849,"")</f>
        <v/>
      </c>
      <c r="Q849" s="179" t="str">
        <f t="array" ref="Q849">IF($F849&lt;&gt;"",XLOOKUP($F849,Productos!$A:$A,Productos!J:J,"Revisar"),"")</f>
        <v/>
      </c>
      <c r="R849" s="179" t="str">
        <f t="array" ref="R849">IF($F849&lt;&gt;"", XLOOKUP($F849,Productos!$A$2:$A1001,Productos!K$2:K1001,"")*$G849,"")</f>
        <v/>
      </c>
      <c r="S849" s="179" t="str">
        <f t="array" ref="S849">IF($F849&lt;&gt;"",XLOOKUP($F849,Productos!$A:$A,Productos!L:L,"Revisar"),"")</f>
        <v/>
      </c>
      <c r="T849" s="179" t="str">
        <f t="array" ref="T849">IF($F849&lt;&gt;"", XLOOKUP($F849,Productos!$A$2:$A1001,Productos!M$2:M1001,"")*$G849,"")</f>
        <v/>
      </c>
      <c r="U849" s="179" t="str">
        <f t="array" ref="U849">IF($F849&lt;&gt;"",XLOOKUP($F849,Productos!$A:$A,Productos!N:N,"Revisar"),"")</f>
        <v/>
      </c>
      <c r="V849" s="179" t="str">
        <f t="array" ref="V849">IF($F849&lt;&gt;"", XLOOKUP($F849,Productos!$A$2:$A1001,Productos!O$2:O1001,"")*$G849,"")</f>
        <v/>
      </c>
      <c r="W849" s="179" t="str">
        <f t="array" ref="W849">IF($F849&lt;&gt;"",XLOOKUP($F849,Productos!$A:$A,Productos!P:P,"Revisar"),"")</f>
        <v/>
      </c>
      <c r="X849" s="179" t="str">
        <f t="array" ref="X849">IF($F849&lt;&gt;"", XLOOKUP($F849,Productos!$A$2:$A1001,Productos!Q$2:Q1001,"")*$G849,"")</f>
        <v/>
      </c>
      <c r="Y849" s="179" t="str">
        <f t="array" ref="Y849">IF($F849&lt;&gt;"",XLOOKUP($F849,Productos!$A:$A,Productos!R:R,"Revisar"),"")</f>
        <v/>
      </c>
      <c r="Z849" s="179" t="str">
        <f t="array" ref="Z849">IF($F849&lt;&gt;"", XLOOKUP($F849,Productos!$A$2:$A1001,Productos!S$2:S1001,"")*$G849,"")</f>
        <v/>
      </c>
      <c r="AA849" s="179" t="str">
        <f t="array" ref="AA849">IF($F849&lt;&gt;"",XLOOKUP($F849,Productos!$A:$A,Productos!T:T,"Revisar"),"")</f>
        <v/>
      </c>
      <c r="AB849" s="179" t="str">
        <f t="array" ref="AB849">IF($F849&lt;&gt;"", XLOOKUP($F849,Productos!$A$2:$A1001,Productos!U$2:U1001,"")*$G849,"")</f>
        <v/>
      </c>
      <c r="AC849" s="179" t="str">
        <f t="array" ref="AC849">IF($F849&lt;&gt;"",XLOOKUP($F849,Productos!$A:$A,Productos!V:V,"Revisar"),"")</f>
        <v/>
      </c>
      <c r="AD849" s="179" t="str">
        <f t="array" ref="AD849">IF($F849&lt;&gt;"", XLOOKUP($F849,Productos!$A$2:$A1001,Productos!W$2:W1001,"")*$G849,"")</f>
        <v/>
      </c>
      <c r="AE849" s="179" t="str">
        <f t="array" ref="AE849">IF($F849&lt;&gt;"",XLOOKUP($F849,Productos!$A:$A,Productos!X:X,"Revisar"),"")</f>
        <v/>
      </c>
      <c r="AF849" s="179" t="str">
        <f t="array" ref="AF849">IF($F849&lt;&gt;"", XLOOKUP($F849,Productos!$A$2:$A1001,Productos!Y$2:Y1001,"")*$G849,"")</f>
        <v/>
      </c>
      <c r="AG849" s="179" t="str">
        <f t="array" ref="AG849">IF($F849&lt;&gt;"",XLOOKUP($F849,Productos!$A:$A,Productos!Z:Z,"Revisar"),"")</f>
        <v/>
      </c>
      <c r="AH849" s="179" t="str">
        <f t="array" ref="AH849">IF($F849&lt;&gt;"", XLOOKUP($F849,Productos!$A$2:$A1001,Productos!AA$2:AA1001,"")*$G849,"")</f>
        <v/>
      </c>
      <c r="AI849" s="179" t="str">
        <f t="array" ref="AI849">IF($F849&lt;&gt;"",XLOOKUP($F849,Productos!$A:$A,Productos!AB:AB,"Revisar"),"")</f>
        <v/>
      </c>
      <c r="AJ849" s="179" t="str">
        <f t="array" ref="AJ849">IF($F849&lt;&gt;"", XLOOKUP($F849,Productos!$A$2:$A1001,Productos!AC$2:AC1001,"")*$G849,"")</f>
        <v/>
      </c>
      <c r="AK849" s="179" t="str">
        <f t="array" ref="AK849">IF($F849&lt;&gt;"",XLOOKUP($F849,Productos!$A:$A,Productos!AD:AD,"Revisar"),"")</f>
        <v/>
      </c>
      <c r="AL849" s="179" t="str">
        <f t="array" ref="AL849">IF($F849&lt;&gt;"", XLOOKUP($F849,Productos!$A$2:$A1001,Productos!AE$2:AE1001,"")*$G849,"")</f>
        <v/>
      </c>
      <c r="AM849" s="179" t="str">
        <f t="array" ref="AM849">IF($F849&lt;&gt;"",XLOOKUP($F849,Productos!$A:$A,Productos!AF:AF,"Revisar"),"")</f>
        <v/>
      </c>
      <c r="AN849" s="179" t="str">
        <f t="array" ref="AN849">IF($F849&lt;&gt;"", XLOOKUP($F849,Productos!$A$2:$A1001,Productos!AG$2:AG1001,"")*$G849,"")</f>
        <v/>
      </c>
      <c r="AO849" s="179" t="str">
        <f t="array" ref="AO849">IF($F849&lt;&gt;"",XLOOKUP($F849,Productos!$A:$A,Productos!AH:AH,"Revisar"),"")</f>
        <v/>
      </c>
      <c r="AP849" s="179" t="str">
        <f t="array" ref="AP849">IF($F849&lt;&gt;"", XLOOKUP($F849,Productos!$A$2:$A1001,Productos!AI$2:AI1001,"")*$G849,"")</f>
        <v/>
      </c>
      <c r="AQ849" s="179" t="str">
        <f t="array" ref="AQ849">IF($F849&lt;&gt;"",XLOOKUP($F849,Productos!$A:$A,Productos!AJ:AJ,"Revisar"),"")</f>
        <v/>
      </c>
      <c r="AR849" s="179" t="str">
        <f t="array" ref="AR849">IF($F849&lt;&gt;"", XLOOKUP($F849,Productos!$A$2:$A1001,Productos!AK$2:AK1001,"")*$G849,"")</f>
        <v/>
      </c>
      <c r="AS849" s="179" t="str">
        <f t="array" ref="AS849">IF($F849&lt;&gt;"",XLOOKUP($F849,Productos!$A:$A,Productos!AL:AL,"Revisar"),"")</f>
        <v/>
      </c>
      <c r="AT849" s="179" t="str">
        <f t="array" ref="AT849">IF($F849&lt;&gt;"", XLOOKUP($F849,Productos!$A$2:$A1001,Productos!AM$2:AM1001,"")*$G849,"")</f>
        <v/>
      </c>
      <c r="AU849" s="179" t="str">
        <f t="array" ref="AU849">IF($F849&lt;&gt;"",XLOOKUP($F849,Productos!$A:$A,Productos!AN:AN,"Revisar"),"")</f>
        <v/>
      </c>
      <c r="AV849" s="179" t="str">
        <f t="array" ref="AV849">IF($F849&lt;&gt;"", XLOOKUP($F849,Productos!$A$2:$A1001,Productos!AO$2:AO1001,"")*$G849,"")</f>
        <v/>
      </c>
      <c r="AW849" s="179" t="str">
        <f t="array" ref="AW849">IF($F849&lt;&gt;"",XLOOKUP($F849,Productos!$A:$A,Productos!AP:AP,"Revisar"),"")</f>
        <v/>
      </c>
      <c r="AX849" s="179" t="str">
        <f t="array" ref="AX849">IF($F849&lt;&gt;"", XLOOKUP($F849,Productos!$A$2:$A1001,Productos!AQ$2:AQ1001,"")*$G849,"")</f>
        <v/>
      </c>
      <c r="AY849" s="179" t="str">
        <f t="array" ref="AY849">IF($F849&lt;&gt;"",XLOOKUP($F849,Productos!$A:$A,Productos!AR:AR,"Revisar"),"")</f>
        <v/>
      </c>
      <c r="AZ849" s="179" t="str">
        <f t="array" ref="AZ849">IF($F849&lt;&gt;"", XLOOKUP($F849,Productos!$A$2:$A1001,Productos!AS$2:AS1001,"")*$G849,"")</f>
        <v/>
      </c>
      <c r="BA849" s="179" t="str">
        <f t="array" ref="BA849">IF($F849&lt;&gt;"",XLOOKUP($F849,Productos!$A:$A,Productos!AT:AT,"Revisar"),"")</f>
        <v/>
      </c>
      <c r="BB849" s="179" t="str">
        <f t="array" ref="BB849">IF($F849&lt;&gt;"", XLOOKUP($F849,Productos!$A$2:$A1001,Productos!AU$2:AU1001,"")*$G849,"")</f>
        <v/>
      </c>
      <c r="BC849" s="179" t="str">
        <f t="array" ref="BC849">IF($F849&lt;&gt;"",XLOOKUP($F849,Productos!$A:$A,Productos!AV:AV,"Revisar"),"")</f>
        <v/>
      </c>
      <c r="BD849" s="179" t="str">
        <f t="array" ref="BD849">IF($F849&lt;&gt;"", XLOOKUP($F849,Productos!$A$2:$A1001,Productos!AW$2:AW1001,"")*$G849,"")</f>
        <v/>
      </c>
      <c r="BE849" s="179" t="str">
        <f t="array" ref="BE849">IF($F849&lt;&gt;"",XLOOKUP($F849,Productos!$A:$A,Productos!AX:AX,"Revisar"),"")</f>
        <v/>
      </c>
      <c r="BF849" s="179" t="str">
        <f t="array" ref="BF849">IF($F849&lt;&gt;"", XLOOKUP($F849,Productos!$A$2:$A1001,Productos!AY$2:AY1001,"")*$G849,"")</f>
        <v/>
      </c>
      <c r="BG849" s="179" t="str">
        <f t="array" ref="BG849">IF($F849&lt;&gt;"",XLOOKUP($F849,Productos!$A:$A,Productos!AZ:AZ,"Revisar"),"")</f>
        <v/>
      </c>
      <c r="BH849" s="179" t="str">
        <f t="array" ref="BH849">IF($F849&lt;&gt;"", XLOOKUP($F849,Productos!$A$2:$A1001,Productos!BA$2:BA1001,"")*$G849,"")</f>
        <v/>
      </c>
      <c r="BI849" s="179" t="str">
        <f t="array" ref="BI849">IF($F849&lt;&gt;"",XLOOKUP($F849,Productos!$A:$A,Productos!BB:BB,"Revisar"),"")</f>
        <v/>
      </c>
      <c r="BJ849" s="179" t="str">
        <f t="array" ref="BJ849">IF($F849&lt;&gt;"", XLOOKUP($F849,Productos!$A$2:$A1001,Productos!BC$2:BC1001,"")*$G849,"")</f>
        <v/>
      </c>
      <c r="BK849" s="179" t="str">
        <f t="array" ref="BK849">IF($F849&lt;&gt;"",XLOOKUP($F849,Productos!$A:$A,Productos!BD:BD,"Revisar"),"")</f>
        <v/>
      </c>
      <c r="BL849" s="179" t="str">
        <f t="array" ref="BL849">IF($F849&lt;&gt;"", XLOOKUP($F849,Productos!$A$2:$A1001,Productos!BE$2:BE1001,"")*$G849,"")</f>
        <v/>
      </c>
      <c r="BM849" s="179" t="str">
        <f t="array" ref="BM849">IF($F849&lt;&gt;"",XLOOKUP($F849,Productos!$A:$A,Productos!BF:BF,"Revisar"),"")</f>
        <v/>
      </c>
      <c r="BN849" s="179" t="str">
        <f t="array" ref="BN849">IF($F849&lt;&gt;"", XLOOKUP($F849,Productos!$A$2:$A1001,Productos!BG$2:BG1001,"")*$G849,"")</f>
        <v/>
      </c>
      <c r="BO849" s="179" t="str">
        <f t="array" ref="BO849">IF($F849&lt;&gt;"",XLOOKUP($F849,Productos!$A:$A,Productos!BH:BH,"Revisar"),"")</f>
        <v/>
      </c>
      <c r="BP849" s="179" t="str">
        <f t="array" ref="BP849">IF($F849&lt;&gt;"", XLOOKUP($F849,Productos!$A$2:$A1001,Productos!BI$2:BI1001,"")*$G849,"")</f>
        <v/>
      </c>
      <c r="BQ849" s="179" t="str">
        <f t="array" ref="BQ849">IF($F849&lt;&gt;"",XLOOKUP($F849,Productos!$A:$A,Productos!BJ:BJ,"Revisar"),"")</f>
        <v/>
      </c>
      <c r="BR849" s="179" t="str">
        <f t="array" ref="BR849">IF($F849&lt;&gt;"", XLOOKUP($F849,Productos!$A$2:$A1001,Productos!BK$2:BK1001,"")*$G849,"")</f>
        <v/>
      </c>
      <c r="BS849" s="179" t="str">
        <f t="array" ref="BS849">IF($F849&lt;&gt;"",XLOOKUP($F849,Productos!$A:$A,Productos!BL:BL,"Revisar"),"")</f>
        <v/>
      </c>
      <c r="BT849" s="179" t="str">
        <f t="array" ref="BT849">IF($F849&lt;&gt;"", XLOOKUP($F849,Productos!$A$2:$A1001,Productos!BM$2:BM1001,"")*$G849,"")</f>
        <v/>
      </c>
      <c r="BU849" s="179" t="str">
        <f t="array" ref="BU849">IF($F849&lt;&gt;"",XLOOKUP($F849,Productos!$A:$A,Productos!BN:BN,"Revisar"),"")</f>
        <v/>
      </c>
      <c r="BV849" s="179" t="str">
        <f t="array" ref="BV849">IF($F849&lt;&gt;"", XLOOKUP($F849,Productos!$A$2:$A1001,Productos!BO$2:BO1001,"")*$G849,"")</f>
        <v/>
      </c>
      <c r="BW849" s="179" t="str">
        <f t="array" ref="BW849">IF($F849&lt;&gt;"",XLOOKUP($F849,Productos!$A:$A,Productos!BP:BP,"Revisar"),"")</f>
        <v/>
      </c>
      <c r="BX849" s="179" t="str">
        <f t="array" ref="BX849">IF($F849&lt;&gt;"", XLOOKUP($F849,Productos!$A$2:$A1001,Productos!BQ$2:BQ1001,"")*$G849,"")</f>
        <v/>
      </c>
      <c r="BY849" s="179" t="str">
        <f t="array" ref="BY849">IF($F849&lt;&gt;"",XLOOKUP($F849,Productos!$A:$A,Productos!BR:BR,"Revisar"),"")</f>
        <v/>
      </c>
      <c r="BZ849" s="179" t="str">
        <f t="array" ref="BZ849">IF($F849&lt;&gt;"", XLOOKUP($F849,Productos!$A$2:$A1001,Productos!BS$2:BS1001,"")*$G849,"")</f>
        <v/>
      </c>
    </row>
    <row r="850">
      <c r="A850" s="188"/>
      <c r="B850" s="189"/>
      <c r="C850" s="190"/>
      <c r="D850" s="190"/>
      <c r="E850" s="191"/>
      <c r="F850" s="186"/>
      <c r="G850" s="192"/>
      <c r="H850" s="9"/>
      <c r="I850" s="179" t="str">
        <f t="array" ref="I850">IF($F850&lt;&gt;"",XLOOKUP($F850,Productos!$A:$A,Productos!B:B,"Revisar"),"")</f>
        <v/>
      </c>
      <c r="J850" s="179" t="str">
        <f t="array" ref="J850">IF($F850&lt;&gt;"", XLOOKUP($F850,Productos!$A$2:$A1001,Productos!C$2:C1001,"")*$G850,"")</f>
        <v/>
      </c>
      <c r="K850" s="179" t="str">
        <f t="array" ref="K850">IF($F850&lt;&gt;"",XLOOKUP($F850,Productos!$A:$A,Productos!D:D,"Revisar"),"")</f>
        <v/>
      </c>
      <c r="L850" s="179" t="str">
        <f t="array" ref="L850">IF($F850&lt;&gt;"", XLOOKUP($F850,Productos!$A$2:$A1001,Productos!E$2:E1001,"")*$G850,"")</f>
        <v/>
      </c>
      <c r="M850" s="179" t="str">
        <f t="array" ref="M850">IF($F850&lt;&gt;"",XLOOKUP($F850,Productos!$A:$A,Productos!F:F,"Revisar"),"")</f>
        <v/>
      </c>
      <c r="N850" s="179" t="str">
        <f t="array" ref="N850">IF($F850&lt;&gt;"", XLOOKUP($F850,Productos!$A$2:$A1001,Productos!G$2:G1001,"")*$G850,"")</f>
        <v/>
      </c>
      <c r="O850" s="179" t="str">
        <f t="array" ref="O850">IF($F850&lt;&gt;"",XLOOKUP($F850,Productos!$A:$A,Productos!H:H,"Revisar"),"")</f>
        <v/>
      </c>
      <c r="P850" s="179" t="str">
        <f t="array" ref="P850">IF($F850&lt;&gt;"", XLOOKUP($F850,Productos!$A$2:$A1001,Productos!I$2:I1001,"")*$G850,"")</f>
        <v/>
      </c>
      <c r="Q850" s="179" t="str">
        <f t="array" ref="Q850">IF($F850&lt;&gt;"",XLOOKUP($F850,Productos!$A:$A,Productos!J:J,"Revisar"),"")</f>
        <v/>
      </c>
      <c r="R850" s="179" t="str">
        <f t="array" ref="R850">IF($F850&lt;&gt;"", XLOOKUP($F850,Productos!$A$2:$A1001,Productos!K$2:K1001,"")*$G850,"")</f>
        <v/>
      </c>
      <c r="S850" s="179" t="str">
        <f t="array" ref="S850">IF($F850&lt;&gt;"",XLOOKUP($F850,Productos!$A:$A,Productos!L:L,"Revisar"),"")</f>
        <v/>
      </c>
      <c r="T850" s="179" t="str">
        <f t="array" ref="T850">IF($F850&lt;&gt;"", XLOOKUP($F850,Productos!$A$2:$A1001,Productos!M$2:M1001,"")*$G850,"")</f>
        <v/>
      </c>
      <c r="U850" s="179" t="str">
        <f t="array" ref="U850">IF($F850&lt;&gt;"",XLOOKUP($F850,Productos!$A:$A,Productos!N:N,"Revisar"),"")</f>
        <v/>
      </c>
      <c r="V850" s="179" t="str">
        <f t="array" ref="V850">IF($F850&lt;&gt;"", XLOOKUP($F850,Productos!$A$2:$A1001,Productos!O$2:O1001,"")*$G850,"")</f>
        <v/>
      </c>
      <c r="W850" s="179" t="str">
        <f t="array" ref="W850">IF($F850&lt;&gt;"",XLOOKUP($F850,Productos!$A:$A,Productos!P:P,"Revisar"),"")</f>
        <v/>
      </c>
      <c r="X850" s="179" t="str">
        <f t="array" ref="X850">IF($F850&lt;&gt;"", XLOOKUP($F850,Productos!$A$2:$A1001,Productos!Q$2:Q1001,"")*$G850,"")</f>
        <v/>
      </c>
      <c r="Y850" s="179" t="str">
        <f t="array" ref="Y850">IF($F850&lt;&gt;"",XLOOKUP($F850,Productos!$A:$A,Productos!R:R,"Revisar"),"")</f>
        <v/>
      </c>
      <c r="Z850" s="179" t="str">
        <f t="array" ref="Z850">IF($F850&lt;&gt;"", XLOOKUP($F850,Productos!$A$2:$A1001,Productos!S$2:S1001,"")*$G850,"")</f>
        <v/>
      </c>
      <c r="AA850" s="179" t="str">
        <f t="array" ref="AA850">IF($F850&lt;&gt;"",XLOOKUP($F850,Productos!$A:$A,Productos!T:T,"Revisar"),"")</f>
        <v/>
      </c>
      <c r="AB850" s="179" t="str">
        <f t="array" ref="AB850">IF($F850&lt;&gt;"", XLOOKUP($F850,Productos!$A$2:$A1001,Productos!U$2:U1001,"")*$G850,"")</f>
        <v/>
      </c>
      <c r="AC850" s="179" t="str">
        <f t="array" ref="AC850">IF($F850&lt;&gt;"",XLOOKUP($F850,Productos!$A:$A,Productos!V:V,"Revisar"),"")</f>
        <v/>
      </c>
      <c r="AD850" s="179" t="str">
        <f t="array" ref="AD850">IF($F850&lt;&gt;"", XLOOKUP($F850,Productos!$A$2:$A1001,Productos!W$2:W1001,"")*$G850,"")</f>
        <v/>
      </c>
      <c r="AE850" s="179" t="str">
        <f t="array" ref="AE850">IF($F850&lt;&gt;"",XLOOKUP($F850,Productos!$A:$A,Productos!X:X,"Revisar"),"")</f>
        <v/>
      </c>
      <c r="AF850" s="179" t="str">
        <f t="array" ref="AF850">IF($F850&lt;&gt;"", XLOOKUP($F850,Productos!$A$2:$A1001,Productos!Y$2:Y1001,"")*$G850,"")</f>
        <v/>
      </c>
      <c r="AG850" s="179" t="str">
        <f t="array" ref="AG850">IF($F850&lt;&gt;"",XLOOKUP($F850,Productos!$A:$A,Productos!Z:Z,"Revisar"),"")</f>
        <v/>
      </c>
      <c r="AH850" s="179" t="str">
        <f t="array" ref="AH850">IF($F850&lt;&gt;"", XLOOKUP($F850,Productos!$A$2:$A1001,Productos!AA$2:AA1001,"")*$G850,"")</f>
        <v/>
      </c>
      <c r="AI850" s="179" t="str">
        <f t="array" ref="AI850">IF($F850&lt;&gt;"",XLOOKUP($F850,Productos!$A:$A,Productos!AB:AB,"Revisar"),"")</f>
        <v/>
      </c>
      <c r="AJ850" s="179" t="str">
        <f t="array" ref="AJ850">IF($F850&lt;&gt;"", XLOOKUP($F850,Productos!$A$2:$A1001,Productos!AC$2:AC1001,"")*$G850,"")</f>
        <v/>
      </c>
      <c r="AK850" s="179" t="str">
        <f t="array" ref="AK850">IF($F850&lt;&gt;"",XLOOKUP($F850,Productos!$A:$A,Productos!AD:AD,"Revisar"),"")</f>
        <v/>
      </c>
      <c r="AL850" s="179" t="str">
        <f t="array" ref="AL850">IF($F850&lt;&gt;"", XLOOKUP($F850,Productos!$A$2:$A1001,Productos!AE$2:AE1001,"")*$G850,"")</f>
        <v/>
      </c>
      <c r="AM850" s="179" t="str">
        <f t="array" ref="AM850">IF($F850&lt;&gt;"",XLOOKUP($F850,Productos!$A:$A,Productos!AF:AF,"Revisar"),"")</f>
        <v/>
      </c>
      <c r="AN850" s="179" t="str">
        <f t="array" ref="AN850">IF($F850&lt;&gt;"", XLOOKUP($F850,Productos!$A$2:$A1001,Productos!AG$2:AG1001,"")*$G850,"")</f>
        <v/>
      </c>
      <c r="AO850" s="179" t="str">
        <f t="array" ref="AO850">IF($F850&lt;&gt;"",XLOOKUP($F850,Productos!$A:$A,Productos!AH:AH,"Revisar"),"")</f>
        <v/>
      </c>
      <c r="AP850" s="179" t="str">
        <f t="array" ref="AP850">IF($F850&lt;&gt;"", XLOOKUP($F850,Productos!$A$2:$A1001,Productos!AI$2:AI1001,"")*$G850,"")</f>
        <v/>
      </c>
      <c r="AQ850" s="179" t="str">
        <f t="array" ref="AQ850">IF($F850&lt;&gt;"",XLOOKUP($F850,Productos!$A:$A,Productos!AJ:AJ,"Revisar"),"")</f>
        <v/>
      </c>
      <c r="AR850" s="179" t="str">
        <f t="array" ref="AR850">IF($F850&lt;&gt;"", XLOOKUP($F850,Productos!$A$2:$A1001,Productos!AK$2:AK1001,"")*$G850,"")</f>
        <v/>
      </c>
      <c r="AS850" s="179" t="str">
        <f t="array" ref="AS850">IF($F850&lt;&gt;"",XLOOKUP($F850,Productos!$A:$A,Productos!AL:AL,"Revisar"),"")</f>
        <v/>
      </c>
      <c r="AT850" s="179" t="str">
        <f t="array" ref="AT850">IF($F850&lt;&gt;"", XLOOKUP($F850,Productos!$A$2:$A1001,Productos!AM$2:AM1001,"")*$G850,"")</f>
        <v/>
      </c>
      <c r="AU850" s="179" t="str">
        <f t="array" ref="AU850">IF($F850&lt;&gt;"",XLOOKUP($F850,Productos!$A:$A,Productos!AN:AN,"Revisar"),"")</f>
        <v/>
      </c>
      <c r="AV850" s="179" t="str">
        <f t="array" ref="AV850">IF($F850&lt;&gt;"", XLOOKUP($F850,Productos!$A$2:$A1001,Productos!AO$2:AO1001,"")*$G850,"")</f>
        <v/>
      </c>
      <c r="AW850" s="179" t="str">
        <f t="array" ref="AW850">IF($F850&lt;&gt;"",XLOOKUP($F850,Productos!$A:$A,Productos!AP:AP,"Revisar"),"")</f>
        <v/>
      </c>
      <c r="AX850" s="179" t="str">
        <f t="array" ref="AX850">IF($F850&lt;&gt;"", XLOOKUP($F850,Productos!$A$2:$A1001,Productos!AQ$2:AQ1001,"")*$G850,"")</f>
        <v/>
      </c>
      <c r="AY850" s="179" t="str">
        <f t="array" ref="AY850">IF($F850&lt;&gt;"",XLOOKUP($F850,Productos!$A:$A,Productos!AR:AR,"Revisar"),"")</f>
        <v/>
      </c>
      <c r="AZ850" s="179" t="str">
        <f t="array" ref="AZ850">IF($F850&lt;&gt;"", XLOOKUP($F850,Productos!$A$2:$A1001,Productos!AS$2:AS1001,"")*$G850,"")</f>
        <v/>
      </c>
      <c r="BA850" s="179" t="str">
        <f t="array" ref="BA850">IF($F850&lt;&gt;"",XLOOKUP($F850,Productos!$A:$A,Productos!AT:AT,"Revisar"),"")</f>
        <v/>
      </c>
      <c r="BB850" s="179" t="str">
        <f t="array" ref="BB850">IF($F850&lt;&gt;"", XLOOKUP($F850,Productos!$A$2:$A1001,Productos!AU$2:AU1001,"")*$G850,"")</f>
        <v/>
      </c>
      <c r="BC850" s="179" t="str">
        <f t="array" ref="BC850">IF($F850&lt;&gt;"",XLOOKUP($F850,Productos!$A:$A,Productos!AV:AV,"Revisar"),"")</f>
        <v/>
      </c>
      <c r="BD850" s="179" t="str">
        <f t="array" ref="BD850">IF($F850&lt;&gt;"", XLOOKUP($F850,Productos!$A$2:$A1001,Productos!AW$2:AW1001,"")*$G850,"")</f>
        <v/>
      </c>
      <c r="BE850" s="179" t="str">
        <f t="array" ref="BE850">IF($F850&lt;&gt;"",XLOOKUP($F850,Productos!$A:$A,Productos!AX:AX,"Revisar"),"")</f>
        <v/>
      </c>
      <c r="BF850" s="179" t="str">
        <f t="array" ref="BF850">IF($F850&lt;&gt;"", XLOOKUP($F850,Productos!$A$2:$A1001,Productos!AY$2:AY1001,"")*$G850,"")</f>
        <v/>
      </c>
      <c r="BG850" s="179" t="str">
        <f t="array" ref="BG850">IF($F850&lt;&gt;"",XLOOKUP($F850,Productos!$A:$A,Productos!AZ:AZ,"Revisar"),"")</f>
        <v/>
      </c>
      <c r="BH850" s="179" t="str">
        <f t="array" ref="BH850">IF($F850&lt;&gt;"", XLOOKUP($F850,Productos!$A$2:$A1001,Productos!BA$2:BA1001,"")*$G850,"")</f>
        <v/>
      </c>
      <c r="BI850" s="179" t="str">
        <f t="array" ref="BI850">IF($F850&lt;&gt;"",XLOOKUP($F850,Productos!$A:$A,Productos!BB:BB,"Revisar"),"")</f>
        <v/>
      </c>
      <c r="BJ850" s="179" t="str">
        <f t="array" ref="BJ850">IF($F850&lt;&gt;"", XLOOKUP($F850,Productos!$A$2:$A1001,Productos!BC$2:BC1001,"")*$G850,"")</f>
        <v/>
      </c>
      <c r="BK850" s="179" t="str">
        <f t="array" ref="BK850">IF($F850&lt;&gt;"",XLOOKUP($F850,Productos!$A:$A,Productos!BD:BD,"Revisar"),"")</f>
        <v/>
      </c>
      <c r="BL850" s="179" t="str">
        <f t="array" ref="BL850">IF($F850&lt;&gt;"", XLOOKUP($F850,Productos!$A$2:$A1001,Productos!BE$2:BE1001,"")*$G850,"")</f>
        <v/>
      </c>
      <c r="BM850" s="179" t="str">
        <f t="array" ref="BM850">IF($F850&lt;&gt;"",XLOOKUP($F850,Productos!$A:$A,Productos!BF:BF,"Revisar"),"")</f>
        <v/>
      </c>
      <c r="BN850" s="179" t="str">
        <f t="array" ref="BN850">IF($F850&lt;&gt;"", XLOOKUP($F850,Productos!$A$2:$A1001,Productos!BG$2:BG1001,"")*$G850,"")</f>
        <v/>
      </c>
      <c r="BO850" s="179" t="str">
        <f t="array" ref="BO850">IF($F850&lt;&gt;"",XLOOKUP($F850,Productos!$A:$A,Productos!BH:BH,"Revisar"),"")</f>
        <v/>
      </c>
      <c r="BP850" s="179" t="str">
        <f t="array" ref="BP850">IF($F850&lt;&gt;"", XLOOKUP($F850,Productos!$A$2:$A1001,Productos!BI$2:BI1001,"")*$G850,"")</f>
        <v/>
      </c>
      <c r="BQ850" s="179" t="str">
        <f t="array" ref="BQ850">IF($F850&lt;&gt;"",XLOOKUP($F850,Productos!$A:$A,Productos!BJ:BJ,"Revisar"),"")</f>
        <v/>
      </c>
      <c r="BR850" s="179" t="str">
        <f t="array" ref="BR850">IF($F850&lt;&gt;"", XLOOKUP($F850,Productos!$A$2:$A1001,Productos!BK$2:BK1001,"")*$G850,"")</f>
        <v/>
      </c>
      <c r="BS850" s="179" t="str">
        <f t="array" ref="BS850">IF($F850&lt;&gt;"",XLOOKUP($F850,Productos!$A:$A,Productos!BL:BL,"Revisar"),"")</f>
        <v/>
      </c>
      <c r="BT850" s="179" t="str">
        <f t="array" ref="BT850">IF($F850&lt;&gt;"", XLOOKUP($F850,Productos!$A$2:$A1001,Productos!BM$2:BM1001,"")*$G850,"")</f>
        <v/>
      </c>
      <c r="BU850" s="179" t="str">
        <f t="array" ref="BU850">IF($F850&lt;&gt;"",XLOOKUP($F850,Productos!$A:$A,Productos!BN:BN,"Revisar"),"")</f>
        <v/>
      </c>
      <c r="BV850" s="179" t="str">
        <f t="array" ref="BV850">IF($F850&lt;&gt;"", XLOOKUP($F850,Productos!$A$2:$A1001,Productos!BO$2:BO1001,"")*$G850,"")</f>
        <v/>
      </c>
      <c r="BW850" s="179" t="str">
        <f t="array" ref="BW850">IF($F850&lt;&gt;"",XLOOKUP($F850,Productos!$A:$A,Productos!BP:BP,"Revisar"),"")</f>
        <v/>
      </c>
      <c r="BX850" s="179" t="str">
        <f t="array" ref="BX850">IF($F850&lt;&gt;"", XLOOKUP($F850,Productos!$A$2:$A1001,Productos!BQ$2:BQ1001,"")*$G850,"")</f>
        <v/>
      </c>
      <c r="BY850" s="179" t="str">
        <f t="array" ref="BY850">IF($F850&lt;&gt;"",XLOOKUP($F850,Productos!$A:$A,Productos!BR:BR,"Revisar"),"")</f>
        <v/>
      </c>
      <c r="BZ850" s="179" t="str">
        <f t="array" ref="BZ850">IF($F850&lt;&gt;"", XLOOKUP($F850,Productos!$A$2:$A1001,Productos!BS$2:BS1001,"")*$G850,"")</f>
        <v/>
      </c>
    </row>
    <row r="851">
      <c r="A851" s="188"/>
      <c r="B851" s="189"/>
      <c r="C851" s="190"/>
      <c r="D851" s="190"/>
      <c r="E851" s="191"/>
      <c r="F851" s="186"/>
      <c r="G851" s="192"/>
      <c r="H851" s="9"/>
      <c r="I851" s="179" t="str">
        <f t="array" ref="I851">IF($F851&lt;&gt;"",XLOOKUP($F851,Productos!$A:$A,Productos!B:B,"Revisar"),"")</f>
        <v/>
      </c>
      <c r="J851" s="179" t="str">
        <f t="array" ref="J851">IF($F851&lt;&gt;"", XLOOKUP($F851,Productos!$A$2:$A1001,Productos!C$2:C1001,"")*$G851,"")</f>
        <v/>
      </c>
      <c r="K851" s="179" t="str">
        <f t="array" ref="K851">IF($F851&lt;&gt;"",XLOOKUP($F851,Productos!$A:$A,Productos!D:D,"Revisar"),"")</f>
        <v/>
      </c>
      <c r="L851" s="179" t="str">
        <f t="array" ref="L851">IF($F851&lt;&gt;"", XLOOKUP($F851,Productos!$A$2:$A1001,Productos!E$2:E1001,"")*$G851,"")</f>
        <v/>
      </c>
      <c r="M851" s="179" t="str">
        <f t="array" ref="M851">IF($F851&lt;&gt;"",XLOOKUP($F851,Productos!$A:$A,Productos!F:F,"Revisar"),"")</f>
        <v/>
      </c>
      <c r="N851" s="179" t="str">
        <f t="array" ref="N851">IF($F851&lt;&gt;"", XLOOKUP($F851,Productos!$A$2:$A1001,Productos!G$2:G1001,"")*$G851,"")</f>
        <v/>
      </c>
      <c r="O851" s="179" t="str">
        <f t="array" ref="O851">IF($F851&lt;&gt;"",XLOOKUP($F851,Productos!$A:$A,Productos!H:H,"Revisar"),"")</f>
        <v/>
      </c>
      <c r="P851" s="179" t="str">
        <f t="array" ref="P851">IF($F851&lt;&gt;"", XLOOKUP($F851,Productos!$A$2:$A1001,Productos!I$2:I1001,"")*$G851,"")</f>
        <v/>
      </c>
      <c r="Q851" s="179" t="str">
        <f t="array" ref="Q851">IF($F851&lt;&gt;"",XLOOKUP($F851,Productos!$A:$A,Productos!J:J,"Revisar"),"")</f>
        <v/>
      </c>
      <c r="R851" s="179" t="str">
        <f t="array" ref="R851">IF($F851&lt;&gt;"", XLOOKUP($F851,Productos!$A$2:$A1001,Productos!K$2:K1001,"")*$G851,"")</f>
        <v/>
      </c>
      <c r="S851" s="179" t="str">
        <f t="array" ref="S851">IF($F851&lt;&gt;"",XLOOKUP($F851,Productos!$A:$A,Productos!L:L,"Revisar"),"")</f>
        <v/>
      </c>
      <c r="T851" s="179" t="str">
        <f t="array" ref="T851">IF($F851&lt;&gt;"", XLOOKUP($F851,Productos!$A$2:$A1001,Productos!M$2:M1001,"")*$G851,"")</f>
        <v/>
      </c>
      <c r="U851" s="179" t="str">
        <f t="array" ref="U851">IF($F851&lt;&gt;"",XLOOKUP($F851,Productos!$A:$A,Productos!N:N,"Revisar"),"")</f>
        <v/>
      </c>
      <c r="V851" s="179" t="str">
        <f t="array" ref="V851">IF($F851&lt;&gt;"", XLOOKUP($F851,Productos!$A$2:$A1001,Productos!O$2:O1001,"")*$G851,"")</f>
        <v/>
      </c>
      <c r="W851" s="179" t="str">
        <f t="array" ref="W851">IF($F851&lt;&gt;"",XLOOKUP($F851,Productos!$A:$A,Productos!P:P,"Revisar"),"")</f>
        <v/>
      </c>
      <c r="X851" s="179" t="str">
        <f t="array" ref="X851">IF($F851&lt;&gt;"", XLOOKUP($F851,Productos!$A$2:$A1001,Productos!Q$2:Q1001,"")*$G851,"")</f>
        <v/>
      </c>
      <c r="Y851" s="179" t="str">
        <f t="array" ref="Y851">IF($F851&lt;&gt;"",XLOOKUP($F851,Productos!$A:$A,Productos!R:R,"Revisar"),"")</f>
        <v/>
      </c>
      <c r="Z851" s="179" t="str">
        <f t="array" ref="Z851">IF($F851&lt;&gt;"", XLOOKUP($F851,Productos!$A$2:$A1001,Productos!S$2:S1001,"")*$G851,"")</f>
        <v/>
      </c>
      <c r="AA851" s="179" t="str">
        <f t="array" ref="AA851">IF($F851&lt;&gt;"",XLOOKUP($F851,Productos!$A:$A,Productos!T:T,"Revisar"),"")</f>
        <v/>
      </c>
      <c r="AB851" s="179" t="str">
        <f t="array" ref="AB851">IF($F851&lt;&gt;"", XLOOKUP($F851,Productos!$A$2:$A1001,Productos!U$2:U1001,"")*$G851,"")</f>
        <v/>
      </c>
      <c r="AC851" s="179" t="str">
        <f t="array" ref="AC851">IF($F851&lt;&gt;"",XLOOKUP($F851,Productos!$A:$A,Productos!V:V,"Revisar"),"")</f>
        <v/>
      </c>
      <c r="AD851" s="179" t="str">
        <f t="array" ref="AD851">IF($F851&lt;&gt;"", XLOOKUP($F851,Productos!$A$2:$A1001,Productos!W$2:W1001,"")*$G851,"")</f>
        <v/>
      </c>
      <c r="AE851" s="179" t="str">
        <f t="array" ref="AE851">IF($F851&lt;&gt;"",XLOOKUP($F851,Productos!$A:$A,Productos!X:X,"Revisar"),"")</f>
        <v/>
      </c>
      <c r="AF851" s="179" t="str">
        <f t="array" ref="AF851">IF($F851&lt;&gt;"", XLOOKUP($F851,Productos!$A$2:$A1001,Productos!Y$2:Y1001,"")*$G851,"")</f>
        <v/>
      </c>
      <c r="AG851" s="179" t="str">
        <f t="array" ref="AG851">IF($F851&lt;&gt;"",XLOOKUP($F851,Productos!$A:$A,Productos!Z:Z,"Revisar"),"")</f>
        <v/>
      </c>
      <c r="AH851" s="179" t="str">
        <f t="array" ref="AH851">IF($F851&lt;&gt;"", XLOOKUP($F851,Productos!$A$2:$A1001,Productos!AA$2:AA1001,"")*$G851,"")</f>
        <v/>
      </c>
      <c r="AI851" s="179" t="str">
        <f t="array" ref="AI851">IF($F851&lt;&gt;"",XLOOKUP($F851,Productos!$A:$A,Productos!AB:AB,"Revisar"),"")</f>
        <v/>
      </c>
      <c r="AJ851" s="179" t="str">
        <f t="array" ref="AJ851">IF($F851&lt;&gt;"", XLOOKUP($F851,Productos!$A$2:$A1001,Productos!AC$2:AC1001,"")*$G851,"")</f>
        <v/>
      </c>
      <c r="AK851" s="179" t="str">
        <f t="array" ref="AK851">IF($F851&lt;&gt;"",XLOOKUP($F851,Productos!$A:$A,Productos!AD:AD,"Revisar"),"")</f>
        <v/>
      </c>
      <c r="AL851" s="179" t="str">
        <f t="array" ref="AL851">IF($F851&lt;&gt;"", XLOOKUP($F851,Productos!$A$2:$A1001,Productos!AE$2:AE1001,"")*$G851,"")</f>
        <v/>
      </c>
      <c r="AM851" s="179" t="str">
        <f t="array" ref="AM851">IF($F851&lt;&gt;"",XLOOKUP($F851,Productos!$A:$A,Productos!AF:AF,"Revisar"),"")</f>
        <v/>
      </c>
      <c r="AN851" s="179" t="str">
        <f t="array" ref="AN851">IF($F851&lt;&gt;"", XLOOKUP($F851,Productos!$A$2:$A1001,Productos!AG$2:AG1001,"")*$G851,"")</f>
        <v/>
      </c>
      <c r="AO851" s="179" t="str">
        <f t="array" ref="AO851">IF($F851&lt;&gt;"",XLOOKUP($F851,Productos!$A:$A,Productos!AH:AH,"Revisar"),"")</f>
        <v/>
      </c>
      <c r="AP851" s="179" t="str">
        <f t="array" ref="AP851">IF($F851&lt;&gt;"", XLOOKUP($F851,Productos!$A$2:$A1001,Productos!AI$2:AI1001,"")*$G851,"")</f>
        <v/>
      </c>
      <c r="AQ851" s="179" t="str">
        <f t="array" ref="AQ851">IF($F851&lt;&gt;"",XLOOKUP($F851,Productos!$A:$A,Productos!AJ:AJ,"Revisar"),"")</f>
        <v/>
      </c>
      <c r="AR851" s="179" t="str">
        <f t="array" ref="AR851">IF($F851&lt;&gt;"", XLOOKUP($F851,Productos!$A$2:$A1001,Productos!AK$2:AK1001,"")*$G851,"")</f>
        <v/>
      </c>
      <c r="AS851" s="179" t="str">
        <f t="array" ref="AS851">IF($F851&lt;&gt;"",XLOOKUP($F851,Productos!$A:$A,Productos!AL:AL,"Revisar"),"")</f>
        <v/>
      </c>
      <c r="AT851" s="179" t="str">
        <f t="array" ref="AT851">IF($F851&lt;&gt;"", XLOOKUP($F851,Productos!$A$2:$A1001,Productos!AM$2:AM1001,"")*$G851,"")</f>
        <v/>
      </c>
      <c r="AU851" s="179" t="str">
        <f t="array" ref="AU851">IF($F851&lt;&gt;"",XLOOKUP($F851,Productos!$A:$A,Productos!AN:AN,"Revisar"),"")</f>
        <v/>
      </c>
      <c r="AV851" s="179" t="str">
        <f t="array" ref="AV851">IF($F851&lt;&gt;"", XLOOKUP($F851,Productos!$A$2:$A1001,Productos!AO$2:AO1001,"")*$G851,"")</f>
        <v/>
      </c>
      <c r="AW851" s="179" t="str">
        <f t="array" ref="AW851">IF($F851&lt;&gt;"",XLOOKUP($F851,Productos!$A:$A,Productos!AP:AP,"Revisar"),"")</f>
        <v/>
      </c>
      <c r="AX851" s="179" t="str">
        <f t="array" ref="AX851">IF($F851&lt;&gt;"", XLOOKUP($F851,Productos!$A$2:$A1001,Productos!AQ$2:AQ1001,"")*$G851,"")</f>
        <v/>
      </c>
      <c r="AY851" s="179" t="str">
        <f t="array" ref="AY851">IF($F851&lt;&gt;"",XLOOKUP($F851,Productos!$A:$A,Productos!AR:AR,"Revisar"),"")</f>
        <v/>
      </c>
      <c r="AZ851" s="179" t="str">
        <f t="array" ref="AZ851">IF($F851&lt;&gt;"", XLOOKUP($F851,Productos!$A$2:$A1001,Productos!AS$2:AS1001,"")*$G851,"")</f>
        <v/>
      </c>
      <c r="BA851" s="179" t="str">
        <f t="array" ref="BA851">IF($F851&lt;&gt;"",XLOOKUP($F851,Productos!$A:$A,Productos!AT:AT,"Revisar"),"")</f>
        <v/>
      </c>
      <c r="BB851" s="179" t="str">
        <f t="array" ref="BB851">IF($F851&lt;&gt;"", XLOOKUP($F851,Productos!$A$2:$A1001,Productos!AU$2:AU1001,"")*$G851,"")</f>
        <v/>
      </c>
      <c r="BC851" s="179" t="str">
        <f t="array" ref="BC851">IF($F851&lt;&gt;"",XLOOKUP($F851,Productos!$A:$A,Productos!AV:AV,"Revisar"),"")</f>
        <v/>
      </c>
      <c r="BD851" s="179" t="str">
        <f t="array" ref="BD851">IF($F851&lt;&gt;"", XLOOKUP($F851,Productos!$A$2:$A1001,Productos!AW$2:AW1001,"")*$G851,"")</f>
        <v/>
      </c>
      <c r="BE851" s="179" t="str">
        <f t="array" ref="BE851">IF($F851&lt;&gt;"",XLOOKUP($F851,Productos!$A:$A,Productos!AX:AX,"Revisar"),"")</f>
        <v/>
      </c>
      <c r="BF851" s="179" t="str">
        <f t="array" ref="BF851">IF($F851&lt;&gt;"", XLOOKUP($F851,Productos!$A$2:$A1001,Productos!AY$2:AY1001,"")*$G851,"")</f>
        <v/>
      </c>
      <c r="BG851" s="179" t="str">
        <f t="array" ref="BG851">IF($F851&lt;&gt;"",XLOOKUP($F851,Productos!$A:$A,Productos!AZ:AZ,"Revisar"),"")</f>
        <v/>
      </c>
      <c r="BH851" s="179" t="str">
        <f t="array" ref="BH851">IF($F851&lt;&gt;"", XLOOKUP($F851,Productos!$A$2:$A1001,Productos!BA$2:BA1001,"")*$G851,"")</f>
        <v/>
      </c>
      <c r="BI851" s="179" t="str">
        <f t="array" ref="BI851">IF($F851&lt;&gt;"",XLOOKUP($F851,Productos!$A:$A,Productos!BB:BB,"Revisar"),"")</f>
        <v/>
      </c>
      <c r="BJ851" s="179" t="str">
        <f t="array" ref="BJ851">IF($F851&lt;&gt;"", XLOOKUP($F851,Productos!$A$2:$A1001,Productos!BC$2:BC1001,"")*$G851,"")</f>
        <v/>
      </c>
      <c r="BK851" s="179" t="str">
        <f t="array" ref="BK851">IF($F851&lt;&gt;"",XLOOKUP($F851,Productos!$A:$A,Productos!BD:BD,"Revisar"),"")</f>
        <v/>
      </c>
      <c r="BL851" s="179" t="str">
        <f t="array" ref="BL851">IF($F851&lt;&gt;"", XLOOKUP($F851,Productos!$A$2:$A1001,Productos!BE$2:BE1001,"")*$G851,"")</f>
        <v/>
      </c>
      <c r="BM851" s="179" t="str">
        <f t="array" ref="BM851">IF($F851&lt;&gt;"",XLOOKUP($F851,Productos!$A:$A,Productos!BF:BF,"Revisar"),"")</f>
        <v/>
      </c>
      <c r="BN851" s="179" t="str">
        <f t="array" ref="BN851">IF($F851&lt;&gt;"", XLOOKUP($F851,Productos!$A$2:$A1001,Productos!BG$2:BG1001,"")*$G851,"")</f>
        <v/>
      </c>
      <c r="BO851" s="179" t="str">
        <f t="array" ref="BO851">IF($F851&lt;&gt;"",XLOOKUP($F851,Productos!$A:$A,Productos!BH:BH,"Revisar"),"")</f>
        <v/>
      </c>
      <c r="BP851" s="179" t="str">
        <f t="array" ref="BP851">IF($F851&lt;&gt;"", XLOOKUP($F851,Productos!$A$2:$A1001,Productos!BI$2:BI1001,"")*$G851,"")</f>
        <v/>
      </c>
      <c r="BQ851" s="179" t="str">
        <f t="array" ref="BQ851">IF($F851&lt;&gt;"",XLOOKUP($F851,Productos!$A:$A,Productos!BJ:BJ,"Revisar"),"")</f>
        <v/>
      </c>
      <c r="BR851" s="179" t="str">
        <f t="array" ref="BR851">IF($F851&lt;&gt;"", XLOOKUP($F851,Productos!$A$2:$A1001,Productos!BK$2:BK1001,"")*$G851,"")</f>
        <v/>
      </c>
      <c r="BS851" s="179" t="str">
        <f t="array" ref="BS851">IF($F851&lt;&gt;"",XLOOKUP($F851,Productos!$A:$A,Productos!BL:BL,"Revisar"),"")</f>
        <v/>
      </c>
      <c r="BT851" s="179" t="str">
        <f t="array" ref="BT851">IF($F851&lt;&gt;"", XLOOKUP($F851,Productos!$A$2:$A1001,Productos!BM$2:BM1001,"")*$G851,"")</f>
        <v/>
      </c>
      <c r="BU851" s="179" t="str">
        <f t="array" ref="BU851">IF($F851&lt;&gt;"",XLOOKUP($F851,Productos!$A:$A,Productos!BN:BN,"Revisar"),"")</f>
        <v/>
      </c>
      <c r="BV851" s="179" t="str">
        <f t="array" ref="BV851">IF($F851&lt;&gt;"", XLOOKUP($F851,Productos!$A$2:$A1001,Productos!BO$2:BO1001,"")*$G851,"")</f>
        <v/>
      </c>
      <c r="BW851" s="179" t="str">
        <f t="array" ref="BW851">IF($F851&lt;&gt;"",XLOOKUP($F851,Productos!$A:$A,Productos!BP:BP,"Revisar"),"")</f>
        <v/>
      </c>
      <c r="BX851" s="179" t="str">
        <f t="array" ref="BX851">IF($F851&lt;&gt;"", XLOOKUP($F851,Productos!$A$2:$A1001,Productos!BQ$2:BQ1001,"")*$G851,"")</f>
        <v/>
      </c>
      <c r="BY851" s="179" t="str">
        <f t="array" ref="BY851">IF($F851&lt;&gt;"",XLOOKUP($F851,Productos!$A:$A,Productos!BR:BR,"Revisar"),"")</f>
        <v/>
      </c>
      <c r="BZ851" s="179" t="str">
        <f t="array" ref="BZ851">IF($F851&lt;&gt;"", XLOOKUP($F851,Productos!$A$2:$A1001,Productos!BS$2:BS1001,"")*$G851,"")</f>
        <v/>
      </c>
    </row>
    <row r="852">
      <c r="A852" s="188"/>
      <c r="B852" s="189"/>
      <c r="C852" s="190"/>
      <c r="D852" s="190"/>
      <c r="E852" s="191"/>
      <c r="F852" s="186"/>
      <c r="G852" s="192"/>
      <c r="H852" s="9"/>
      <c r="I852" s="179" t="str">
        <f t="array" ref="I852">IF($F852&lt;&gt;"",XLOOKUP($F852,Productos!$A:$A,Productos!B:B,"Revisar"),"")</f>
        <v/>
      </c>
      <c r="J852" s="179" t="str">
        <f t="array" ref="J852">IF($F852&lt;&gt;"", XLOOKUP($F852,Productos!$A$2:$A1001,Productos!C$2:C1001,"")*$G852,"")</f>
        <v/>
      </c>
      <c r="K852" s="179" t="str">
        <f t="array" ref="K852">IF($F852&lt;&gt;"",XLOOKUP($F852,Productos!$A:$A,Productos!D:D,"Revisar"),"")</f>
        <v/>
      </c>
      <c r="L852" s="179" t="str">
        <f t="array" ref="L852">IF($F852&lt;&gt;"", XLOOKUP($F852,Productos!$A$2:$A1001,Productos!E$2:E1001,"")*$G852,"")</f>
        <v/>
      </c>
      <c r="M852" s="179" t="str">
        <f t="array" ref="M852">IF($F852&lt;&gt;"",XLOOKUP($F852,Productos!$A:$A,Productos!F:F,"Revisar"),"")</f>
        <v/>
      </c>
      <c r="N852" s="179" t="str">
        <f t="array" ref="N852">IF($F852&lt;&gt;"", XLOOKUP($F852,Productos!$A$2:$A1001,Productos!G$2:G1001,"")*$G852,"")</f>
        <v/>
      </c>
      <c r="O852" s="179" t="str">
        <f t="array" ref="O852">IF($F852&lt;&gt;"",XLOOKUP($F852,Productos!$A:$A,Productos!H:H,"Revisar"),"")</f>
        <v/>
      </c>
      <c r="P852" s="179" t="str">
        <f t="array" ref="P852">IF($F852&lt;&gt;"", XLOOKUP($F852,Productos!$A$2:$A1001,Productos!I$2:I1001,"")*$G852,"")</f>
        <v/>
      </c>
      <c r="Q852" s="179" t="str">
        <f t="array" ref="Q852">IF($F852&lt;&gt;"",XLOOKUP($F852,Productos!$A:$A,Productos!J:J,"Revisar"),"")</f>
        <v/>
      </c>
      <c r="R852" s="179" t="str">
        <f t="array" ref="R852">IF($F852&lt;&gt;"", XLOOKUP($F852,Productos!$A$2:$A1001,Productos!K$2:K1001,"")*$G852,"")</f>
        <v/>
      </c>
      <c r="S852" s="179" t="str">
        <f t="array" ref="S852">IF($F852&lt;&gt;"",XLOOKUP($F852,Productos!$A:$A,Productos!L:L,"Revisar"),"")</f>
        <v/>
      </c>
      <c r="T852" s="179" t="str">
        <f t="array" ref="T852">IF($F852&lt;&gt;"", XLOOKUP($F852,Productos!$A$2:$A1001,Productos!M$2:M1001,"")*$G852,"")</f>
        <v/>
      </c>
      <c r="U852" s="179" t="str">
        <f t="array" ref="U852">IF($F852&lt;&gt;"",XLOOKUP($F852,Productos!$A:$A,Productos!N:N,"Revisar"),"")</f>
        <v/>
      </c>
      <c r="V852" s="179" t="str">
        <f t="array" ref="V852">IF($F852&lt;&gt;"", XLOOKUP($F852,Productos!$A$2:$A1001,Productos!O$2:O1001,"")*$G852,"")</f>
        <v/>
      </c>
      <c r="W852" s="179" t="str">
        <f t="array" ref="W852">IF($F852&lt;&gt;"",XLOOKUP($F852,Productos!$A:$A,Productos!P:P,"Revisar"),"")</f>
        <v/>
      </c>
      <c r="X852" s="179" t="str">
        <f t="array" ref="X852">IF($F852&lt;&gt;"", XLOOKUP($F852,Productos!$A$2:$A1001,Productos!Q$2:Q1001,"")*$G852,"")</f>
        <v/>
      </c>
      <c r="Y852" s="179" t="str">
        <f t="array" ref="Y852">IF($F852&lt;&gt;"",XLOOKUP($F852,Productos!$A:$A,Productos!R:R,"Revisar"),"")</f>
        <v/>
      </c>
      <c r="Z852" s="179" t="str">
        <f t="array" ref="Z852">IF($F852&lt;&gt;"", XLOOKUP($F852,Productos!$A$2:$A1001,Productos!S$2:S1001,"")*$G852,"")</f>
        <v/>
      </c>
      <c r="AA852" s="179" t="str">
        <f t="array" ref="AA852">IF($F852&lt;&gt;"",XLOOKUP($F852,Productos!$A:$A,Productos!T:T,"Revisar"),"")</f>
        <v/>
      </c>
      <c r="AB852" s="179" t="str">
        <f t="array" ref="AB852">IF($F852&lt;&gt;"", XLOOKUP($F852,Productos!$A$2:$A1001,Productos!U$2:U1001,"")*$G852,"")</f>
        <v/>
      </c>
      <c r="AC852" s="179" t="str">
        <f t="array" ref="AC852">IF($F852&lt;&gt;"",XLOOKUP($F852,Productos!$A:$A,Productos!V:V,"Revisar"),"")</f>
        <v/>
      </c>
      <c r="AD852" s="179" t="str">
        <f t="array" ref="AD852">IF($F852&lt;&gt;"", XLOOKUP($F852,Productos!$A$2:$A1001,Productos!W$2:W1001,"")*$G852,"")</f>
        <v/>
      </c>
      <c r="AE852" s="179" t="str">
        <f t="array" ref="AE852">IF($F852&lt;&gt;"",XLOOKUP($F852,Productos!$A:$A,Productos!X:X,"Revisar"),"")</f>
        <v/>
      </c>
      <c r="AF852" s="179" t="str">
        <f t="array" ref="AF852">IF($F852&lt;&gt;"", XLOOKUP($F852,Productos!$A$2:$A1001,Productos!Y$2:Y1001,"")*$G852,"")</f>
        <v/>
      </c>
      <c r="AG852" s="179" t="str">
        <f t="array" ref="AG852">IF($F852&lt;&gt;"",XLOOKUP($F852,Productos!$A:$A,Productos!Z:Z,"Revisar"),"")</f>
        <v/>
      </c>
      <c r="AH852" s="179" t="str">
        <f t="array" ref="AH852">IF($F852&lt;&gt;"", XLOOKUP($F852,Productos!$A$2:$A1001,Productos!AA$2:AA1001,"")*$G852,"")</f>
        <v/>
      </c>
      <c r="AI852" s="179" t="str">
        <f t="array" ref="AI852">IF($F852&lt;&gt;"",XLOOKUP($F852,Productos!$A:$A,Productos!AB:AB,"Revisar"),"")</f>
        <v/>
      </c>
      <c r="AJ852" s="179" t="str">
        <f t="array" ref="AJ852">IF($F852&lt;&gt;"", XLOOKUP($F852,Productos!$A$2:$A1001,Productos!AC$2:AC1001,"")*$G852,"")</f>
        <v/>
      </c>
      <c r="AK852" s="179" t="str">
        <f t="array" ref="AK852">IF($F852&lt;&gt;"",XLOOKUP($F852,Productos!$A:$A,Productos!AD:AD,"Revisar"),"")</f>
        <v/>
      </c>
      <c r="AL852" s="179" t="str">
        <f t="array" ref="AL852">IF($F852&lt;&gt;"", XLOOKUP($F852,Productos!$A$2:$A1001,Productos!AE$2:AE1001,"")*$G852,"")</f>
        <v/>
      </c>
      <c r="AM852" s="179" t="str">
        <f t="array" ref="AM852">IF($F852&lt;&gt;"",XLOOKUP($F852,Productos!$A:$A,Productos!AF:AF,"Revisar"),"")</f>
        <v/>
      </c>
      <c r="AN852" s="179" t="str">
        <f t="array" ref="AN852">IF($F852&lt;&gt;"", XLOOKUP($F852,Productos!$A$2:$A1001,Productos!AG$2:AG1001,"")*$G852,"")</f>
        <v/>
      </c>
      <c r="AO852" s="179" t="str">
        <f t="array" ref="AO852">IF($F852&lt;&gt;"",XLOOKUP($F852,Productos!$A:$A,Productos!AH:AH,"Revisar"),"")</f>
        <v/>
      </c>
      <c r="AP852" s="179" t="str">
        <f t="array" ref="AP852">IF($F852&lt;&gt;"", XLOOKUP($F852,Productos!$A$2:$A1001,Productos!AI$2:AI1001,"")*$G852,"")</f>
        <v/>
      </c>
      <c r="AQ852" s="179" t="str">
        <f t="array" ref="AQ852">IF($F852&lt;&gt;"",XLOOKUP($F852,Productos!$A:$A,Productos!AJ:AJ,"Revisar"),"")</f>
        <v/>
      </c>
      <c r="AR852" s="179" t="str">
        <f t="array" ref="AR852">IF($F852&lt;&gt;"", XLOOKUP($F852,Productos!$A$2:$A1001,Productos!AK$2:AK1001,"")*$G852,"")</f>
        <v/>
      </c>
      <c r="AS852" s="179" t="str">
        <f t="array" ref="AS852">IF($F852&lt;&gt;"",XLOOKUP($F852,Productos!$A:$A,Productos!AL:AL,"Revisar"),"")</f>
        <v/>
      </c>
      <c r="AT852" s="179" t="str">
        <f t="array" ref="AT852">IF($F852&lt;&gt;"", XLOOKUP($F852,Productos!$A$2:$A1001,Productos!AM$2:AM1001,"")*$G852,"")</f>
        <v/>
      </c>
      <c r="AU852" s="179" t="str">
        <f t="array" ref="AU852">IF($F852&lt;&gt;"",XLOOKUP($F852,Productos!$A:$A,Productos!AN:AN,"Revisar"),"")</f>
        <v/>
      </c>
      <c r="AV852" s="179" t="str">
        <f t="array" ref="AV852">IF($F852&lt;&gt;"", XLOOKUP($F852,Productos!$A$2:$A1001,Productos!AO$2:AO1001,"")*$G852,"")</f>
        <v/>
      </c>
      <c r="AW852" s="179" t="str">
        <f t="array" ref="AW852">IF($F852&lt;&gt;"",XLOOKUP($F852,Productos!$A:$A,Productos!AP:AP,"Revisar"),"")</f>
        <v/>
      </c>
      <c r="AX852" s="179" t="str">
        <f t="array" ref="AX852">IF($F852&lt;&gt;"", XLOOKUP($F852,Productos!$A$2:$A1001,Productos!AQ$2:AQ1001,"")*$G852,"")</f>
        <v/>
      </c>
      <c r="AY852" s="179" t="str">
        <f t="array" ref="AY852">IF($F852&lt;&gt;"",XLOOKUP($F852,Productos!$A:$A,Productos!AR:AR,"Revisar"),"")</f>
        <v/>
      </c>
      <c r="AZ852" s="179" t="str">
        <f t="array" ref="AZ852">IF($F852&lt;&gt;"", XLOOKUP($F852,Productos!$A$2:$A1001,Productos!AS$2:AS1001,"")*$G852,"")</f>
        <v/>
      </c>
      <c r="BA852" s="179" t="str">
        <f t="array" ref="BA852">IF($F852&lt;&gt;"",XLOOKUP($F852,Productos!$A:$A,Productos!AT:AT,"Revisar"),"")</f>
        <v/>
      </c>
      <c r="BB852" s="179" t="str">
        <f t="array" ref="BB852">IF($F852&lt;&gt;"", XLOOKUP($F852,Productos!$A$2:$A1001,Productos!AU$2:AU1001,"")*$G852,"")</f>
        <v/>
      </c>
      <c r="BC852" s="179" t="str">
        <f t="array" ref="BC852">IF($F852&lt;&gt;"",XLOOKUP($F852,Productos!$A:$A,Productos!AV:AV,"Revisar"),"")</f>
        <v/>
      </c>
      <c r="BD852" s="179" t="str">
        <f t="array" ref="BD852">IF($F852&lt;&gt;"", XLOOKUP($F852,Productos!$A$2:$A1001,Productos!AW$2:AW1001,"")*$G852,"")</f>
        <v/>
      </c>
      <c r="BE852" s="179" t="str">
        <f t="array" ref="BE852">IF($F852&lt;&gt;"",XLOOKUP($F852,Productos!$A:$A,Productos!AX:AX,"Revisar"),"")</f>
        <v/>
      </c>
      <c r="BF852" s="179" t="str">
        <f t="array" ref="BF852">IF($F852&lt;&gt;"", XLOOKUP($F852,Productos!$A$2:$A1001,Productos!AY$2:AY1001,"")*$G852,"")</f>
        <v/>
      </c>
      <c r="BG852" s="179" t="str">
        <f t="array" ref="BG852">IF($F852&lt;&gt;"",XLOOKUP($F852,Productos!$A:$A,Productos!AZ:AZ,"Revisar"),"")</f>
        <v/>
      </c>
      <c r="BH852" s="179" t="str">
        <f t="array" ref="BH852">IF($F852&lt;&gt;"", XLOOKUP($F852,Productos!$A$2:$A1001,Productos!BA$2:BA1001,"")*$G852,"")</f>
        <v/>
      </c>
      <c r="BI852" s="179" t="str">
        <f t="array" ref="BI852">IF($F852&lt;&gt;"",XLOOKUP($F852,Productos!$A:$A,Productos!BB:BB,"Revisar"),"")</f>
        <v/>
      </c>
      <c r="BJ852" s="179" t="str">
        <f t="array" ref="BJ852">IF($F852&lt;&gt;"", XLOOKUP($F852,Productos!$A$2:$A1001,Productos!BC$2:BC1001,"")*$G852,"")</f>
        <v/>
      </c>
      <c r="BK852" s="179" t="str">
        <f t="array" ref="BK852">IF($F852&lt;&gt;"",XLOOKUP($F852,Productos!$A:$A,Productos!BD:BD,"Revisar"),"")</f>
        <v/>
      </c>
      <c r="BL852" s="179" t="str">
        <f t="array" ref="BL852">IF($F852&lt;&gt;"", XLOOKUP($F852,Productos!$A$2:$A1001,Productos!BE$2:BE1001,"")*$G852,"")</f>
        <v/>
      </c>
      <c r="BM852" s="179" t="str">
        <f t="array" ref="BM852">IF($F852&lt;&gt;"",XLOOKUP($F852,Productos!$A:$A,Productos!BF:BF,"Revisar"),"")</f>
        <v/>
      </c>
      <c r="BN852" s="179" t="str">
        <f t="array" ref="BN852">IF($F852&lt;&gt;"", XLOOKUP($F852,Productos!$A$2:$A1001,Productos!BG$2:BG1001,"")*$G852,"")</f>
        <v/>
      </c>
      <c r="BO852" s="179" t="str">
        <f t="array" ref="BO852">IF($F852&lt;&gt;"",XLOOKUP($F852,Productos!$A:$A,Productos!BH:BH,"Revisar"),"")</f>
        <v/>
      </c>
      <c r="BP852" s="179" t="str">
        <f t="array" ref="BP852">IF($F852&lt;&gt;"", XLOOKUP($F852,Productos!$A$2:$A1001,Productos!BI$2:BI1001,"")*$G852,"")</f>
        <v/>
      </c>
      <c r="BQ852" s="179" t="str">
        <f t="array" ref="BQ852">IF($F852&lt;&gt;"",XLOOKUP($F852,Productos!$A:$A,Productos!BJ:BJ,"Revisar"),"")</f>
        <v/>
      </c>
      <c r="BR852" s="179" t="str">
        <f t="array" ref="BR852">IF($F852&lt;&gt;"", XLOOKUP($F852,Productos!$A$2:$A1001,Productos!BK$2:BK1001,"")*$G852,"")</f>
        <v/>
      </c>
      <c r="BS852" s="179" t="str">
        <f t="array" ref="BS852">IF($F852&lt;&gt;"",XLOOKUP($F852,Productos!$A:$A,Productos!BL:BL,"Revisar"),"")</f>
        <v/>
      </c>
      <c r="BT852" s="179" t="str">
        <f t="array" ref="BT852">IF($F852&lt;&gt;"", XLOOKUP($F852,Productos!$A$2:$A1001,Productos!BM$2:BM1001,"")*$G852,"")</f>
        <v/>
      </c>
      <c r="BU852" s="179" t="str">
        <f t="array" ref="BU852">IF($F852&lt;&gt;"",XLOOKUP($F852,Productos!$A:$A,Productos!BN:BN,"Revisar"),"")</f>
        <v/>
      </c>
      <c r="BV852" s="179" t="str">
        <f t="array" ref="BV852">IF($F852&lt;&gt;"", XLOOKUP($F852,Productos!$A$2:$A1001,Productos!BO$2:BO1001,"")*$G852,"")</f>
        <v/>
      </c>
      <c r="BW852" s="179" t="str">
        <f t="array" ref="BW852">IF($F852&lt;&gt;"",XLOOKUP($F852,Productos!$A:$A,Productos!BP:BP,"Revisar"),"")</f>
        <v/>
      </c>
      <c r="BX852" s="179" t="str">
        <f t="array" ref="BX852">IF($F852&lt;&gt;"", XLOOKUP($F852,Productos!$A$2:$A1001,Productos!BQ$2:BQ1001,"")*$G852,"")</f>
        <v/>
      </c>
      <c r="BY852" s="179" t="str">
        <f t="array" ref="BY852">IF($F852&lt;&gt;"",XLOOKUP($F852,Productos!$A:$A,Productos!BR:BR,"Revisar"),"")</f>
        <v/>
      </c>
      <c r="BZ852" s="179" t="str">
        <f t="array" ref="BZ852">IF($F852&lt;&gt;"", XLOOKUP($F852,Productos!$A$2:$A1001,Productos!BS$2:BS1001,"")*$G852,"")</f>
        <v/>
      </c>
    </row>
    <row r="853">
      <c r="A853" s="188"/>
      <c r="B853" s="189"/>
      <c r="C853" s="190"/>
      <c r="D853" s="190"/>
      <c r="E853" s="191"/>
      <c r="F853" s="186"/>
      <c r="G853" s="192"/>
      <c r="H853" s="9"/>
      <c r="I853" s="179" t="str">
        <f t="array" ref="I853">IF($F853&lt;&gt;"",XLOOKUP($F853,Productos!$A:$A,Productos!B:B,"Revisar"),"")</f>
        <v/>
      </c>
      <c r="J853" s="179" t="str">
        <f t="array" ref="J853">IF($F853&lt;&gt;"", XLOOKUP($F853,Productos!$A$2:$A1001,Productos!C$2:C1001,"")*$G853,"")</f>
        <v/>
      </c>
      <c r="K853" s="179" t="str">
        <f t="array" ref="K853">IF($F853&lt;&gt;"",XLOOKUP($F853,Productos!$A:$A,Productos!D:D,"Revisar"),"")</f>
        <v/>
      </c>
      <c r="L853" s="179" t="str">
        <f t="array" ref="L853">IF($F853&lt;&gt;"", XLOOKUP($F853,Productos!$A$2:$A1001,Productos!E$2:E1001,"")*$G853,"")</f>
        <v/>
      </c>
      <c r="M853" s="179" t="str">
        <f t="array" ref="M853">IF($F853&lt;&gt;"",XLOOKUP($F853,Productos!$A:$A,Productos!F:F,"Revisar"),"")</f>
        <v/>
      </c>
      <c r="N853" s="179" t="str">
        <f t="array" ref="N853">IF($F853&lt;&gt;"", XLOOKUP($F853,Productos!$A$2:$A1001,Productos!G$2:G1001,"")*$G853,"")</f>
        <v/>
      </c>
      <c r="O853" s="179" t="str">
        <f t="array" ref="O853">IF($F853&lt;&gt;"",XLOOKUP($F853,Productos!$A:$A,Productos!H:H,"Revisar"),"")</f>
        <v/>
      </c>
      <c r="P853" s="179" t="str">
        <f t="array" ref="P853">IF($F853&lt;&gt;"", XLOOKUP($F853,Productos!$A$2:$A1001,Productos!I$2:I1001,"")*$G853,"")</f>
        <v/>
      </c>
      <c r="Q853" s="179" t="str">
        <f t="array" ref="Q853">IF($F853&lt;&gt;"",XLOOKUP($F853,Productos!$A:$A,Productos!J:J,"Revisar"),"")</f>
        <v/>
      </c>
      <c r="R853" s="179" t="str">
        <f t="array" ref="R853">IF($F853&lt;&gt;"", XLOOKUP($F853,Productos!$A$2:$A1001,Productos!K$2:K1001,"")*$G853,"")</f>
        <v/>
      </c>
      <c r="S853" s="179" t="str">
        <f t="array" ref="S853">IF($F853&lt;&gt;"",XLOOKUP($F853,Productos!$A:$A,Productos!L:L,"Revisar"),"")</f>
        <v/>
      </c>
      <c r="T853" s="179" t="str">
        <f t="array" ref="T853">IF($F853&lt;&gt;"", XLOOKUP($F853,Productos!$A$2:$A1001,Productos!M$2:M1001,"")*$G853,"")</f>
        <v/>
      </c>
      <c r="U853" s="179" t="str">
        <f t="array" ref="U853">IF($F853&lt;&gt;"",XLOOKUP($F853,Productos!$A:$A,Productos!N:N,"Revisar"),"")</f>
        <v/>
      </c>
      <c r="V853" s="179" t="str">
        <f t="array" ref="V853">IF($F853&lt;&gt;"", XLOOKUP($F853,Productos!$A$2:$A1001,Productos!O$2:O1001,"")*$G853,"")</f>
        <v/>
      </c>
      <c r="W853" s="179" t="str">
        <f t="array" ref="W853">IF($F853&lt;&gt;"",XLOOKUP($F853,Productos!$A:$A,Productos!P:P,"Revisar"),"")</f>
        <v/>
      </c>
      <c r="X853" s="179" t="str">
        <f t="array" ref="X853">IF($F853&lt;&gt;"", XLOOKUP($F853,Productos!$A$2:$A1001,Productos!Q$2:Q1001,"")*$G853,"")</f>
        <v/>
      </c>
      <c r="Y853" s="179" t="str">
        <f t="array" ref="Y853">IF($F853&lt;&gt;"",XLOOKUP($F853,Productos!$A:$A,Productos!R:R,"Revisar"),"")</f>
        <v/>
      </c>
      <c r="Z853" s="179" t="str">
        <f t="array" ref="Z853">IF($F853&lt;&gt;"", XLOOKUP($F853,Productos!$A$2:$A1001,Productos!S$2:S1001,"")*$G853,"")</f>
        <v/>
      </c>
      <c r="AA853" s="179" t="str">
        <f t="array" ref="AA853">IF($F853&lt;&gt;"",XLOOKUP($F853,Productos!$A:$A,Productos!T:T,"Revisar"),"")</f>
        <v/>
      </c>
      <c r="AB853" s="179" t="str">
        <f t="array" ref="AB853">IF($F853&lt;&gt;"", XLOOKUP($F853,Productos!$A$2:$A1001,Productos!U$2:U1001,"")*$G853,"")</f>
        <v/>
      </c>
      <c r="AC853" s="179" t="str">
        <f t="array" ref="AC853">IF($F853&lt;&gt;"",XLOOKUP($F853,Productos!$A:$A,Productos!V:V,"Revisar"),"")</f>
        <v/>
      </c>
      <c r="AD853" s="179" t="str">
        <f t="array" ref="AD853">IF($F853&lt;&gt;"", XLOOKUP($F853,Productos!$A$2:$A1001,Productos!W$2:W1001,"")*$G853,"")</f>
        <v/>
      </c>
      <c r="AE853" s="179" t="str">
        <f t="array" ref="AE853">IF($F853&lt;&gt;"",XLOOKUP($F853,Productos!$A:$A,Productos!X:X,"Revisar"),"")</f>
        <v/>
      </c>
      <c r="AF853" s="179" t="str">
        <f t="array" ref="AF853">IF($F853&lt;&gt;"", XLOOKUP($F853,Productos!$A$2:$A1001,Productos!Y$2:Y1001,"")*$G853,"")</f>
        <v/>
      </c>
      <c r="AG853" s="179" t="str">
        <f t="array" ref="AG853">IF($F853&lt;&gt;"",XLOOKUP($F853,Productos!$A:$A,Productos!Z:Z,"Revisar"),"")</f>
        <v/>
      </c>
      <c r="AH853" s="179" t="str">
        <f t="array" ref="AH853">IF($F853&lt;&gt;"", XLOOKUP($F853,Productos!$A$2:$A1001,Productos!AA$2:AA1001,"")*$G853,"")</f>
        <v/>
      </c>
      <c r="AI853" s="179" t="str">
        <f t="array" ref="AI853">IF($F853&lt;&gt;"",XLOOKUP($F853,Productos!$A:$A,Productos!AB:AB,"Revisar"),"")</f>
        <v/>
      </c>
      <c r="AJ853" s="179" t="str">
        <f t="array" ref="AJ853">IF($F853&lt;&gt;"", XLOOKUP($F853,Productos!$A$2:$A1001,Productos!AC$2:AC1001,"")*$G853,"")</f>
        <v/>
      </c>
      <c r="AK853" s="179" t="str">
        <f t="array" ref="AK853">IF($F853&lt;&gt;"",XLOOKUP($F853,Productos!$A:$A,Productos!AD:AD,"Revisar"),"")</f>
        <v/>
      </c>
      <c r="AL853" s="179" t="str">
        <f t="array" ref="AL853">IF($F853&lt;&gt;"", XLOOKUP($F853,Productos!$A$2:$A1001,Productos!AE$2:AE1001,"")*$G853,"")</f>
        <v/>
      </c>
      <c r="AM853" s="179" t="str">
        <f t="array" ref="AM853">IF($F853&lt;&gt;"",XLOOKUP($F853,Productos!$A:$A,Productos!AF:AF,"Revisar"),"")</f>
        <v/>
      </c>
      <c r="AN853" s="179" t="str">
        <f t="array" ref="AN853">IF($F853&lt;&gt;"", XLOOKUP($F853,Productos!$A$2:$A1001,Productos!AG$2:AG1001,"")*$G853,"")</f>
        <v/>
      </c>
      <c r="AO853" s="179" t="str">
        <f t="array" ref="AO853">IF($F853&lt;&gt;"",XLOOKUP($F853,Productos!$A:$A,Productos!AH:AH,"Revisar"),"")</f>
        <v/>
      </c>
      <c r="AP853" s="179" t="str">
        <f t="array" ref="AP853">IF($F853&lt;&gt;"", XLOOKUP($F853,Productos!$A$2:$A1001,Productos!AI$2:AI1001,"")*$G853,"")</f>
        <v/>
      </c>
      <c r="AQ853" s="179" t="str">
        <f t="array" ref="AQ853">IF($F853&lt;&gt;"",XLOOKUP($F853,Productos!$A:$A,Productos!AJ:AJ,"Revisar"),"")</f>
        <v/>
      </c>
      <c r="AR853" s="179" t="str">
        <f t="array" ref="AR853">IF($F853&lt;&gt;"", XLOOKUP($F853,Productos!$A$2:$A1001,Productos!AK$2:AK1001,"")*$G853,"")</f>
        <v/>
      </c>
      <c r="AS853" s="179" t="str">
        <f t="array" ref="AS853">IF($F853&lt;&gt;"",XLOOKUP($F853,Productos!$A:$A,Productos!AL:AL,"Revisar"),"")</f>
        <v/>
      </c>
      <c r="AT853" s="179" t="str">
        <f t="array" ref="AT853">IF($F853&lt;&gt;"", XLOOKUP($F853,Productos!$A$2:$A1001,Productos!AM$2:AM1001,"")*$G853,"")</f>
        <v/>
      </c>
      <c r="AU853" s="179" t="str">
        <f t="array" ref="AU853">IF($F853&lt;&gt;"",XLOOKUP($F853,Productos!$A:$A,Productos!AN:AN,"Revisar"),"")</f>
        <v/>
      </c>
      <c r="AV853" s="179" t="str">
        <f t="array" ref="AV853">IF($F853&lt;&gt;"", XLOOKUP($F853,Productos!$A$2:$A1001,Productos!AO$2:AO1001,"")*$G853,"")</f>
        <v/>
      </c>
      <c r="AW853" s="179" t="str">
        <f t="array" ref="AW853">IF($F853&lt;&gt;"",XLOOKUP($F853,Productos!$A:$A,Productos!AP:AP,"Revisar"),"")</f>
        <v/>
      </c>
      <c r="AX853" s="179" t="str">
        <f t="array" ref="AX853">IF($F853&lt;&gt;"", XLOOKUP($F853,Productos!$A$2:$A1001,Productos!AQ$2:AQ1001,"")*$G853,"")</f>
        <v/>
      </c>
      <c r="AY853" s="179" t="str">
        <f t="array" ref="AY853">IF($F853&lt;&gt;"",XLOOKUP($F853,Productos!$A:$A,Productos!AR:AR,"Revisar"),"")</f>
        <v/>
      </c>
      <c r="AZ853" s="179" t="str">
        <f t="array" ref="AZ853">IF($F853&lt;&gt;"", XLOOKUP($F853,Productos!$A$2:$A1001,Productos!AS$2:AS1001,"")*$G853,"")</f>
        <v/>
      </c>
      <c r="BA853" s="179" t="str">
        <f t="array" ref="BA853">IF($F853&lt;&gt;"",XLOOKUP($F853,Productos!$A:$A,Productos!AT:AT,"Revisar"),"")</f>
        <v/>
      </c>
      <c r="BB853" s="179" t="str">
        <f t="array" ref="BB853">IF($F853&lt;&gt;"", XLOOKUP($F853,Productos!$A$2:$A1001,Productos!AU$2:AU1001,"")*$G853,"")</f>
        <v/>
      </c>
      <c r="BC853" s="179" t="str">
        <f t="array" ref="BC853">IF($F853&lt;&gt;"",XLOOKUP($F853,Productos!$A:$A,Productos!AV:AV,"Revisar"),"")</f>
        <v/>
      </c>
      <c r="BD853" s="179" t="str">
        <f t="array" ref="BD853">IF($F853&lt;&gt;"", XLOOKUP($F853,Productos!$A$2:$A1001,Productos!AW$2:AW1001,"")*$G853,"")</f>
        <v/>
      </c>
      <c r="BE853" s="179" t="str">
        <f t="array" ref="BE853">IF($F853&lt;&gt;"",XLOOKUP($F853,Productos!$A:$A,Productos!AX:AX,"Revisar"),"")</f>
        <v/>
      </c>
      <c r="BF853" s="179" t="str">
        <f t="array" ref="BF853">IF($F853&lt;&gt;"", XLOOKUP($F853,Productos!$A$2:$A1001,Productos!AY$2:AY1001,"")*$G853,"")</f>
        <v/>
      </c>
      <c r="BG853" s="179" t="str">
        <f t="array" ref="BG853">IF($F853&lt;&gt;"",XLOOKUP($F853,Productos!$A:$A,Productos!AZ:AZ,"Revisar"),"")</f>
        <v/>
      </c>
      <c r="BH853" s="179" t="str">
        <f t="array" ref="BH853">IF($F853&lt;&gt;"", XLOOKUP($F853,Productos!$A$2:$A1001,Productos!BA$2:BA1001,"")*$G853,"")</f>
        <v/>
      </c>
      <c r="BI853" s="179" t="str">
        <f t="array" ref="BI853">IF($F853&lt;&gt;"",XLOOKUP($F853,Productos!$A:$A,Productos!BB:BB,"Revisar"),"")</f>
        <v/>
      </c>
      <c r="BJ853" s="179" t="str">
        <f t="array" ref="BJ853">IF($F853&lt;&gt;"", XLOOKUP($F853,Productos!$A$2:$A1001,Productos!BC$2:BC1001,"")*$G853,"")</f>
        <v/>
      </c>
      <c r="BK853" s="179" t="str">
        <f t="array" ref="BK853">IF($F853&lt;&gt;"",XLOOKUP($F853,Productos!$A:$A,Productos!BD:BD,"Revisar"),"")</f>
        <v/>
      </c>
      <c r="BL853" s="179" t="str">
        <f t="array" ref="BL853">IF($F853&lt;&gt;"", XLOOKUP($F853,Productos!$A$2:$A1001,Productos!BE$2:BE1001,"")*$G853,"")</f>
        <v/>
      </c>
      <c r="BM853" s="179" t="str">
        <f t="array" ref="BM853">IF($F853&lt;&gt;"",XLOOKUP($F853,Productos!$A:$A,Productos!BF:BF,"Revisar"),"")</f>
        <v/>
      </c>
      <c r="BN853" s="179" t="str">
        <f t="array" ref="BN853">IF($F853&lt;&gt;"", XLOOKUP($F853,Productos!$A$2:$A1001,Productos!BG$2:BG1001,"")*$G853,"")</f>
        <v/>
      </c>
      <c r="BO853" s="179" t="str">
        <f t="array" ref="BO853">IF($F853&lt;&gt;"",XLOOKUP($F853,Productos!$A:$A,Productos!BH:BH,"Revisar"),"")</f>
        <v/>
      </c>
      <c r="BP853" s="179" t="str">
        <f t="array" ref="BP853">IF($F853&lt;&gt;"", XLOOKUP($F853,Productos!$A$2:$A1001,Productos!BI$2:BI1001,"")*$G853,"")</f>
        <v/>
      </c>
      <c r="BQ853" s="179" t="str">
        <f t="array" ref="BQ853">IF($F853&lt;&gt;"",XLOOKUP($F853,Productos!$A:$A,Productos!BJ:BJ,"Revisar"),"")</f>
        <v/>
      </c>
      <c r="BR853" s="179" t="str">
        <f t="array" ref="BR853">IF($F853&lt;&gt;"", XLOOKUP($F853,Productos!$A$2:$A1001,Productos!BK$2:BK1001,"")*$G853,"")</f>
        <v/>
      </c>
      <c r="BS853" s="179" t="str">
        <f t="array" ref="BS853">IF($F853&lt;&gt;"",XLOOKUP($F853,Productos!$A:$A,Productos!BL:BL,"Revisar"),"")</f>
        <v/>
      </c>
      <c r="BT853" s="179" t="str">
        <f t="array" ref="BT853">IF($F853&lt;&gt;"", XLOOKUP($F853,Productos!$A$2:$A1001,Productos!BM$2:BM1001,"")*$G853,"")</f>
        <v/>
      </c>
      <c r="BU853" s="179" t="str">
        <f t="array" ref="BU853">IF($F853&lt;&gt;"",XLOOKUP($F853,Productos!$A:$A,Productos!BN:BN,"Revisar"),"")</f>
        <v/>
      </c>
      <c r="BV853" s="179" t="str">
        <f t="array" ref="BV853">IF($F853&lt;&gt;"", XLOOKUP($F853,Productos!$A$2:$A1001,Productos!BO$2:BO1001,"")*$G853,"")</f>
        <v/>
      </c>
      <c r="BW853" s="179" t="str">
        <f t="array" ref="BW853">IF($F853&lt;&gt;"",XLOOKUP($F853,Productos!$A:$A,Productos!BP:BP,"Revisar"),"")</f>
        <v/>
      </c>
      <c r="BX853" s="179" t="str">
        <f t="array" ref="BX853">IF($F853&lt;&gt;"", XLOOKUP($F853,Productos!$A$2:$A1001,Productos!BQ$2:BQ1001,"")*$G853,"")</f>
        <v/>
      </c>
      <c r="BY853" s="179" t="str">
        <f t="array" ref="BY853">IF($F853&lt;&gt;"",XLOOKUP($F853,Productos!$A:$A,Productos!BR:BR,"Revisar"),"")</f>
        <v/>
      </c>
      <c r="BZ853" s="179" t="str">
        <f t="array" ref="BZ853">IF($F853&lt;&gt;"", XLOOKUP($F853,Productos!$A$2:$A1001,Productos!BS$2:BS1001,"")*$G853,"")</f>
        <v/>
      </c>
    </row>
    <row r="854">
      <c r="A854" s="188"/>
      <c r="B854" s="189"/>
      <c r="C854" s="190"/>
      <c r="D854" s="190"/>
      <c r="E854" s="191"/>
      <c r="F854" s="186"/>
      <c r="G854" s="192"/>
      <c r="H854" s="9"/>
      <c r="I854" s="179" t="str">
        <f t="array" ref="I854">IF($F854&lt;&gt;"",XLOOKUP($F854,Productos!$A:$A,Productos!B:B,"Revisar"),"")</f>
        <v/>
      </c>
      <c r="J854" s="179" t="str">
        <f t="array" ref="J854">IF($F854&lt;&gt;"", XLOOKUP($F854,Productos!$A$2:$A1001,Productos!C$2:C1001,"")*$G854,"")</f>
        <v/>
      </c>
      <c r="K854" s="179" t="str">
        <f t="array" ref="K854">IF($F854&lt;&gt;"",XLOOKUP($F854,Productos!$A:$A,Productos!D:D,"Revisar"),"")</f>
        <v/>
      </c>
      <c r="L854" s="179" t="str">
        <f t="array" ref="L854">IF($F854&lt;&gt;"", XLOOKUP($F854,Productos!$A$2:$A1001,Productos!E$2:E1001,"")*$G854,"")</f>
        <v/>
      </c>
      <c r="M854" s="179" t="str">
        <f t="array" ref="M854">IF($F854&lt;&gt;"",XLOOKUP($F854,Productos!$A:$A,Productos!F:F,"Revisar"),"")</f>
        <v/>
      </c>
      <c r="N854" s="179" t="str">
        <f t="array" ref="N854">IF($F854&lt;&gt;"", XLOOKUP($F854,Productos!$A$2:$A1001,Productos!G$2:G1001,"")*$G854,"")</f>
        <v/>
      </c>
      <c r="O854" s="179" t="str">
        <f t="array" ref="O854">IF($F854&lt;&gt;"",XLOOKUP($F854,Productos!$A:$A,Productos!H:H,"Revisar"),"")</f>
        <v/>
      </c>
      <c r="P854" s="179" t="str">
        <f t="array" ref="P854">IF($F854&lt;&gt;"", XLOOKUP($F854,Productos!$A$2:$A1001,Productos!I$2:I1001,"")*$G854,"")</f>
        <v/>
      </c>
      <c r="Q854" s="179" t="str">
        <f t="array" ref="Q854">IF($F854&lt;&gt;"",XLOOKUP($F854,Productos!$A:$A,Productos!J:J,"Revisar"),"")</f>
        <v/>
      </c>
      <c r="R854" s="179" t="str">
        <f t="array" ref="R854">IF($F854&lt;&gt;"", XLOOKUP($F854,Productos!$A$2:$A1001,Productos!K$2:K1001,"")*$G854,"")</f>
        <v/>
      </c>
      <c r="S854" s="179" t="str">
        <f t="array" ref="S854">IF($F854&lt;&gt;"",XLOOKUP($F854,Productos!$A:$A,Productos!L:L,"Revisar"),"")</f>
        <v/>
      </c>
      <c r="T854" s="179" t="str">
        <f t="array" ref="T854">IF($F854&lt;&gt;"", XLOOKUP($F854,Productos!$A$2:$A1001,Productos!M$2:M1001,"")*$G854,"")</f>
        <v/>
      </c>
      <c r="U854" s="179" t="str">
        <f t="array" ref="U854">IF($F854&lt;&gt;"",XLOOKUP($F854,Productos!$A:$A,Productos!N:N,"Revisar"),"")</f>
        <v/>
      </c>
      <c r="V854" s="179" t="str">
        <f t="array" ref="V854">IF($F854&lt;&gt;"", XLOOKUP($F854,Productos!$A$2:$A1001,Productos!O$2:O1001,"")*$G854,"")</f>
        <v/>
      </c>
      <c r="W854" s="179" t="str">
        <f t="array" ref="W854">IF($F854&lt;&gt;"",XLOOKUP($F854,Productos!$A:$A,Productos!P:P,"Revisar"),"")</f>
        <v/>
      </c>
      <c r="X854" s="179" t="str">
        <f t="array" ref="X854">IF($F854&lt;&gt;"", XLOOKUP($F854,Productos!$A$2:$A1001,Productos!Q$2:Q1001,"")*$G854,"")</f>
        <v/>
      </c>
      <c r="Y854" s="179" t="str">
        <f t="array" ref="Y854">IF($F854&lt;&gt;"",XLOOKUP($F854,Productos!$A:$A,Productos!R:R,"Revisar"),"")</f>
        <v/>
      </c>
      <c r="Z854" s="179" t="str">
        <f t="array" ref="Z854">IF($F854&lt;&gt;"", XLOOKUP($F854,Productos!$A$2:$A1001,Productos!S$2:S1001,"")*$G854,"")</f>
        <v/>
      </c>
      <c r="AA854" s="179" t="str">
        <f t="array" ref="AA854">IF($F854&lt;&gt;"",XLOOKUP($F854,Productos!$A:$A,Productos!T:T,"Revisar"),"")</f>
        <v/>
      </c>
      <c r="AB854" s="179" t="str">
        <f t="array" ref="AB854">IF($F854&lt;&gt;"", XLOOKUP($F854,Productos!$A$2:$A1001,Productos!U$2:U1001,"")*$G854,"")</f>
        <v/>
      </c>
      <c r="AC854" s="179" t="str">
        <f t="array" ref="AC854">IF($F854&lt;&gt;"",XLOOKUP($F854,Productos!$A:$A,Productos!V:V,"Revisar"),"")</f>
        <v/>
      </c>
      <c r="AD854" s="179" t="str">
        <f t="array" ref="AD854">IF($F854&lt;&gt;"", XLOOKUP($F854,Productos!$A$2:$A1001,Productos!W$2:W1001,"")*$G854,"")</f>
        <v/>
      </c>
      <c r="AE854" s="179" t="str">
        <f t="array" ref="AE854">IF($F854&lt;&gt;"",XLOOKUP($F854,Productos!$A:$A,Productos!X:X,"Revisar"),"")</f>
        <v/>
      </c>
      <c r="AF854" s="179" t="str">
        <f t="array" ref="AF854">IF($F854&lt;&gt;"", XLOOKUP($F854,Productos!$A$2:$A1001,Productos!Y$2:Y1001,"")*$G854,"")</f>
        <v/>
      </c>
      <c r="AG854" s="179" t="str">
        <f t="array" ref="AG854">IF($F854&lt;&gt;"",XLOOKUP($F854,Productos!$A:$A,Productos!Z:Z,"Revisar"),"")</f>
        <v/>
      </c>
      <c r="AH854" s="179" t="str">
        <f t="array" ref="AH854">IF($F854&lt;&gt;"", XLOOKUP($F854,Productos!$A$2:$A1001,Productos!AA$2:AA1001,"")*$G854,"")</f>
        <v/>
      </c>
      <c r="AI854" s="179" t="str">
        <f t="array" ref="AI854">IF($F854&lt;&gt;"",XLOOKUP($F854,Productos!$A:$A,Productos!AB:AB,"Revisar"),"")</f>
        <v/>
      </c>
      <c r="AJ854" s="179" t="str">
        <f t="array" ref="AJ854">IF($F854&lt;&gt;"", XLOOKUP($F854,Productos!$A$2:$A1001,Productos!AC$2:AC1001,"")*$G854,"")</f>
        <v/>
      </c>
      <c r="AK854" s="179" t="str">
        <f t="array" ref="AK854">IF($F854&lt;&gt;"",XLOOKUP($F854,Productos!$A:$A,Productos!AD:AD,"Revisar"),"")</f>
        <v/>
      </c>
      <c r="AL854" s="179" t="str">
        <f t="array" ref="AL854">IF($F854&lt;&gt;"", XLOOKUP($F854,Productos!$A$2:$A1001,Productos!AE$2:AE1001,"")*$G854,"")</f>
        <v/>
      </c>
      <c r="AM854" s="179" t="str">
        <f t="array" ref="AM854">IF($F854&lt;&gt;"",XLOOKUP($F854,Productos!$A:$A,Productos!AF:AF,"Revisar"),"")</f>
        <v/>
      </c>
      <c r="AN854" s="179" t="str">
        <f t="array" ref="AN854">IF($F854&lt;&gt;"", XLOOKUP($F854,Productos!$A$2:$A1001,Productos!AG$2:AG1001,"")*$G854,"")</f>
        <v/>
      </c>
      <c r="AO854" s="179" t="str">
        <f t="array" ref="AO854">IF($F854&lt;&gt;"",XLOOKUP($F854,Productos!$A:$A,Productos!AH:AH,"Revisar"),"")</f>
        <v/>
      </c>
      <c r="AP854" s="179" t="str">
        <f t="array" ref="AP854">IF($F854&lt;&gt;"", XLOOKUP($F854,Productos!$A$2:$A1001,Productos!AI$2:AI1001,"")*$G854,"")</f>
        <v/>
      </c>
      <c r="AQ854" s="179" t="str">
        <f t="array" ref="AQ854">IF($F854&lt;&gt;"",XLOOKUP($F854,Productos!$A:$A,Productos!AJ:AJ,"Revisar"),"")</f>
        <v/>
      </c>
      <c r="AR854" s="179" t="str">
        <f t="array" ref="AR854">IF($F854&lt;&gt;"", XLOOKUP($F854,Productos!$A$2:$A1001,Productos!AK$2:AK1001,"")*$G854,"")</f>
        <v/>
      </c>
      <c r="AS854" s="179" t="str">
        <f t="array" ref="AS854">IF($F854&lt;&gt;"",XLOOKUP($F854,Productos!$A:$A,Productos!AL:AL,"Revisar"),"")</f>
        <v/>
      </c>
      <c r="AT854" s="179" t="str">
        <f t="array" ref="AT854">IF($F854&lt;&gt;"", XLOOKUP($F854,Productos!$A$2:$A1001,Productos!AM$2:AM1001,"")*$G854,"")</f>
        <v/>
      </c>
      <c r="AU854" s="179" t="str">
        <f t="array" ref="AU854">IF($F854&lt;&gt;"",XLOOKUP($F854,Productos!$A:$A,Productos!AN:AN,"Revisar"),"")</f>
        <v/>
      </c>
      <c r="AV854" s="179" t="str">
        <f t="array" ref="AV854">IF($F854&lt;&gt;"", XLOOKUP($F854,Productos!$A$2:$A1001,Productos!AO$2:AO1001,"")*$G854,"")</f>
        <v/>
      </c>
      <c r="AW854" s="179" t="str">
        <f t="array" ref="AW854">IF($F854&lt;&gt;"",XLOOKUP($F854,Productos!$A:$A,Productos!AP:AP,"Revisar"),"")</f>
        <v/>
      </c>
      <c r="AX854" s="179" t="str">
        <f t="array" ref="AX854">IF($F854&lt;&gt;"", XLOOKUP($F854,Productos!$A$2:$A1001,Productos!AQ$2:AQ1001,"")*$G854,"")</f>
        <v/>
      </c>
      <c r="AY854" s="179" t="str">
        <f t="array" ref="AY854">IF($F854&lt;&gt;"",XLOOKUP($F854,Productos!$A:$A,Productos!AR:AR,"Revisar"),"")</f>
        <v/>
      </c>
      <c r="AZ854" s="179" t="str">
        <f t="array" ref="AZ854">IF($F854&lt;&gt;"", XLOOKUP($F854,Productos!$A$2:$A1001,Productos!AS$2:AS1001,"")*$G854,"")</f>
        <v/>
      </c>
      <c r="BA854" s="179" t="str">
        <f t="array" ref="BA854">IF($F854&lt;&gt;"",XLOOKUP($F854,Productos!$A:$A,Productos!AT:AT,"Revisar"),"")</f>
        <v/>
      </c>
      <c r="BB854" s="179" t="str">
        <f t="array" ref="BB854">IF($F854&lt;&gt;"", XLOOKUP($F854,Productos!$A$2:$A1001,Productos!AU$2:AU1001,"")*$G854,"")</f>
        <v/>
      </c>
      <c r="BC854" s="179" t="str">
        <f t="array" ref="BC854">IF($F854&lt;&gt;"",XLOOKUP($F854,Productos!$A:$A,Productos!AV:AV,"Revisar"),"")</f>
        <v/>
      </c>
      <c r="BD854" s="179" t="str">
        <f t="array" ref="BD854">IF($F854&lt;&gt;"", XLOOKUP($F854,Productos!$A$2:$A1001,Productos!AW$2:AW1001,"")*$G854,"")</f>
        <v/>
      </c>
      <c r="BE854" s="179" t="str">
        <f t="array" ref="BE854">IF($F854&lt;&gt;"",XLOOKUP($F854,Productos!$A:$A,Productos!AX:AX,"Revisar"),"")</f>
        <v/>
      </c>
      <c r="BF854" s="179" t="str">
        <f t="array" ref="BF854">IF($F854&lt;&gt;"", XLOOKUP($F854,Productos!$A$2:$A1001,Productos!AY$2:AY1001,"")*$G854,"")</f>
        <v/>
      </c>
      <c r="BG854" s="179" t="str">
        <f t="array" ref="BG854">IF($F854&lt;&gt;"",XLOOKUP($F854,Productos!$A:$A,Productos!AZ:AZ,"Revisar"),"")</f>
        <v/>
      </c>
      <c r="BH854" s="179" t="str">
        <f t="array" ref="BH854">IF($F854&lt;&gt;"", XLOOKUP($F854,Productos!$A$2:$A1001,Productos!BA$2:BA1001,"")*$G854,"")</f>
        <v/>
      </c>
      <c r="BI854" s="179" t="str">
        <f t="array" ref="BI854">IF($F854&lt;&gt;"",XLOOKUP($F854,Productos!$A:$A,Productos!BB:BB,"Revisar"),"")</f>
        <v/>
      </c>
      <c r="BJ854" s="179" t="str">
        <f t="array" ref="BJ854">IF($F854&lt;&gt;"", XLOOKUP($F854,Productos!$A$2:$A1001,Productos!BC$2:BC1001,"")*$G854,"")</f>
        <v/>
      </c>
      <c r="BK854" s="179" t="str">
        <f t="array" ref="BK854">IF($F854&lt;&gt;"",XLOOKUP($F854,Productos!$A:$A,Productos!BD:BD,"Revisar"),"")</f>
        <v/>
      </c>
      <c r="BL854" s="179" t="str">
        <f t="array" ref="BL854">IF($F854&lt;&gt;"", XLOOKUP($F854,Productos!$A$2:$A1001,Productos!BE$2:BE1001,"")*$G854,"")</f>
        <v/>
      </c>
      <c r="BM854" s="179" t="str">
        <f t="array" ref="BM854">IF($F854&lt;&gt;"",XLOOKUP($F854,Productos!$A:$A,Productos!BF:BF,"Revisar"),"")</f>
        <v/>
      </c>
      <c r="BN854" s="179" t="str">
        <f t="array" ref="BN854">IF($F854&lt;&gt;"", XLOOKUP($F854,Productos!$A$2:$A1001,Productos!BG$2:BG1001,"")*$G854,"")</f>
        <v/>
      </c>
      <c r="BO854" s="179" t="str">
        <f t="array" ref="BO854">IF($F854&lt;&gt;"",XLOOKUP($F854,Productos!$A:$A,Productos!BH:BH,"Revisar"),"")</f>
        <v/>
      </c>
      <c r="BP854" s="179" t="str">
        <f t="array" ref="BP854">IF($F854&lt;&gt;"", XLOOKUP($F854,Productos!$A$2:$A1001,Productos!BI$2:BI1001,"")*$G854,"")</f>
        <v/>
      </c>
      <c r="BQ854" s="179" t="str">
        <f t="array" ref="BQ854">IF($F854&lt;&gt;"",XLOOKUP($F854,Productos!$A:$A,Productos!BJ:BJ,"Revisar"),"")</f>
        <v/>
      </c>
      <c r="BR854" s="179" t="str">
        <f t="array" ref="BR854">IF($F854&lt;&gt;"", XLOOKUP($F854,Productos!$A$2:$A1001,Productos!BK$2:BK1001,"")*$G854,"")</f>
        <v/>
      </c>
      <c r="BS854" s="179" t="str">
        <f t="array" ref="BS854">IF($F854&lt;&gt;"",XLOOKUP($F854,Productos!$A:$A,Productos!BL:BL,"Revisar"),"")</f>
        <v/>
      </c>
      <c r="BT854" s="179" t="str">
        <f t="array" ref="BT854">IF($F854&lt;&gt;"", XLOOKUP($F854,Productos!$A$2:$A1001,Productos!BM$2:BM1001,"")*$G854,"")</f>
        <v/>
      </c>
      <c r="BU854" s="179" t="str">
        <f t="array" ref="BU854">IF($F854&lt;&gt;"",XLOOKUP($F854,Productos!$A:$A,Productos!BN:BN,"Revisar"),"")</f>
        <v/>
      </c>
      <c r="BV854" s="179" t="str">
        <f t="array" ref="BV854">IF($F854&lt;&gt;"", XLOOKUP($F854,Productos!$A$2:$A1001,Productos!BO$2:BO1001,"")*$G854,"")</f>
        <v/>
      </c>
      <c r="BW854" s="179" t="str">
        <f t="array" ref="BW854">IF($F854&lt;&gt;"",XLOOKUP($F854,Productos!$A:$A,Productos!BP:BP,"Revisar"),"")</f>
        <v/>
      </c>
      <c r="BX854" s="179" t="str">
        <f t="array" ref="BX854">IF($F854&lt;&gt;"", XLOOKUP($F854,Productos!$A$2:$A1001,Productos!BQ$2:BQ1001,"")*$G854,"")</f>
        <v/>
      </c>
      <c r="BY854" s="179" t="str">
        <f t="array" ref="BY854">IF($F854&lt;&gt;"",XLOOKUP($F854,Productos!$A:$A,Productos!BR:BR,"Revisar"),"")</f>
        <v/>
      </c>
      <c r="BZ854" s="179" t="str">
        <f t="array" ref="BZ854">IF($F854&lt;&gt;"", XLOOKUP($F854,Productos!$A$2:$A1001,Productos!BS$2:BS1001,"")*$G854,"")</f>
        <v/>
      </c>
    </row>
    <row r="855">
      <c r="A855" s="188"/>
      <c r="B855" s="189"/>
      <c r="C855" s="190"/>
      <c r="D855" s="190"/>
      <c r="E855" s="191"/>
      <c r="F855" s="186"/>
      <c r="G855" s="192"/>
      <c r="H855" s="9"/>
      <c r="I855" s="179" t="str">
        <f t="array" ref="I855">IF($F855&lt;&gt;"",XLOOKUP($F855,Productos!$A:$A,Productos!B:B,"Revisar"),"")</f>
        <v/>
      </c>
      <c r="J855" s="179" t="str">
        <f t="array" ref="J855">IF($F855&lt;&gt;"", XLOOKUP($F855,Productos!$A$2:$A1001,Productos!C$2:C1001,"")*$G855,"")</f>
        <v/>
      </c>
      <c r="K855" s="179" t="str">
        <f t="array" ref="K855">IF($F855&lt;&gt;"",XLOOKUP($F855,Productos!$A:$A,Productos!D:D,"Revisar"),"")</f>
        <v/>
      </c>
      <c r="L855" s="179" t="str">
        <f t="array" ref="L855">IF($F855&lt;&gt;"", XLOOKUP($F855,Productos!$A$2:$A1001,Productos!E$2:E1001,"")*$G855,"")</f>
        <v/>
      </c>
      <c r="M855" s="179" t="str">
        <f t="array" ref="M855">IF($F855&lt;&gt;"",XLOOKUP($F855,Productos!$A:$A,Productos!F:F,"Revisar"),"")</f>
        <v/>
      </c>
      <c r="N855" s="179" t="str">
        <f t="array" ref="N855">IF($F855&lt;&gt;"", XLOOKUP($F855,Productos!$A$2:$A1001,Productos!G$2:G1001,"")*$G855,"")</f>
        <v/>
      </c>
      <c r="O855" s="179" t="str">
        <f t="array" ref="O855">IF($F855&lt;&gt;"",XLOOKUP($F855,Productos!$A:$A,Productos!H:H,"Revisar"),"")</f>
        <v/>
      </c>
      <c r="P855" s="179" t="str">
        <f t="array" ref="P855">IF($F855&lt;&gt;"", XLOOKUP($F855,Productos!$A$2:$A1001,Productos!I$2:I1001,"")*$G855,"")</f>
        <v/>
      </c>
      <c r="Q855" s="179" t="str">
        <f t="array" ref="Q855">IF($F855&lt;&gt;"",XLOOKUP($F855,Productos!$A:$A,Productos!J:J,"Revisar"),"")</f>
        <v/>
      </c>
      <c r="R855" s="179" t="str">
        <f t="array" ref="R855">IF($F855&lt;&gt;"", XLOOKUP($F855,Productos!$A$2:$A1001,Productos!K$2:K1001,"")*$G855,"")</f>
        <v/>
      </c>
      <c r="S855" s="179" t="str">
        <f t="array" ref="S855">IF($F855&lt;&gt;"",XLOOKUP($F855,Productos!$A:$A,Productos!L:L,"Revisar"),"")</f>
        <v/>
      </c>
      <c r="T855" s="179" t="str">
        <f t="array" ref="T855">IF($F855&lt;&gt;"", XLOOKUP($F855,Productos!$A$2:$A1001,Productos!M$2:M1001,"")*$G855,"")</f>
        <v/>
      </c>
      <c r="U855" s="179" t="str">
        <f t="array" ref="U855">IF($F855&lt;&gt;"",XLOOKUP($F855,Productos!$A:$A,Productos!N:N,"Revisar"),"")</f>
        <v/>
      </c>
      <c r="V855" s="179" t="str">
        <f t="array" ref="V855">IF($F855&lt;&gt;"", XLOOKUP($F855,Productos!$A$2:$A1001,Productos!O$2:O1001,"")*$G855,"")</f>
        <v/>
      </c>
      <c r="W855" s="179" t="str">
        <f t="array" ref="W855">IF($F855&lt;&gt;"",XLOOKUP($F855,Productos!$A:$A,Productos!P:P,"Revisar"),"")</f>
        <v/>
      </c>
      <c r="X855" s="179" t="str">
        <f t="array" ref="X855">IF($F855&lt;&gt;"", XLOOKUP($F855,Productos!$A$2:$A1001,Productos!Q$2:Q1001,"")*$G855,"")</f>
        <v/>
      </c>
      <c r="Y855" s="179" t="str">
        <f t="array" ref="Y855">IF($F855&lt;&gt;"",XLOOKUP($F855,Productos!$A:$A,Productos!R:R,"Revisar"),"")</f>
        <v/>
      </c>
      <c r="Z855" s="179" t="str">
        <f t="array" ref="Z855">IF($F855&lt;&gt;"", XLOOKUP($F855,Productos!$A$2:$A1001,Productos!S$2:S1001,"")*$G855,"")</f>
        <v/>
      </c>
      <c r="AA855" s="179" t="str">
        <f t="array" ref="AA855">IF($F855&lt;&gt;"",XLOOKUP($F855,Productos!$A:$A,Productos!T:T,"Revisar"),"")</f>
        <v/>
      </c>
      <c r="AB855" s="179" t="str">
        <f t="array" ref="AB855">IF($F855&lt;&gt;"", XLOOKUP($F855,Productos!$A$2:$A1001,Productos!U$2:U1001,"")*$G855,"")</f>
        <v/>
      </c>
      <c r="AC855" s="179" t="str">
        <f t="array" ref="AC855">IF($F855&lt;&gt;"",XLOOKUP($F855,Productos!$A:$A,Productos!V:V,"Revisar"),"")</f>
        <v/>
      </c>
      <c r="AD855" s="179" t="str">
        <f t="array" ref="AD855">IF($F855&lt;&gt;"", XLOOKUP($F855,Productos!$A$2:$A1001,Productos!W$2:W1001,"")*$G855,"")</f>
        <v/>
      </c>
      <c r="AE855" s="179" t="str">
        <f t="array" ref="AE855">IF($F855&lt;&gt;"",XLOOKUP($F855,Productos!$A:$A,Productos!X:X,"Revisar"),"")</f>
        <v/>
      </c>
      <c r="AF855" s="179" t="str">
        <f t="array" ref="AF855">IF($F855&lt;&gt;"", XLOOKUP($F855,Productos!$A$2:$A1001,Productos!Y$2:Y1001,"")*$G855,"")</f>
        <v/>
      </c>
      <c r="AG855" s="179" t="str">
        <f t="array" ref="AG855">IF($F855&lt;&gt;"",XLOOKUP($F855,Productos!$A:$A,Productos!Z:Z,"Revisar"),"")</f>
        <v/>
      </c>
      <c r="AH855" s="179" t="str">
        <f t="array" ref="AH855">IF($F855&lt;&gt;"", XLOOKUP($F855,Productos!$A$2:$A1001,Productos!AA$2:AA1001,"")*$G855,"")</f>
        <v/>
      </c>
      <c r="AI855" s="179" t="str">
        <f t="array" ref="AI855">IF($F855&lt;&gt;"",XLOOKUP($F855,Productos!$A:$A,Productos!AB:AB,"Revisar"),"")</f>
        <v/>
      </c>
      <c r="AJ855" s="179" t="str">
        <f t="array" ref="AJ855">IF($F855&lt;&gt;"", XLOOKUP($F855,Productos!$A$2:$A1001,Productos!AC$2:AC1001,"")*$G855,"")</f>
        <v/>
      </c>
      <c r="AK855" s="179" t="str">
        <f t="array" ref="AK855">IF($F855&lt;&gt;"",XLOOKUP($F855,Productos!$A:$A,Productos!AD:AD,"Revisar"),"")</f>
        <v/>
      </c>
      <c r="AL855" s="179" t="str">
        <f t="array" ref="AL855">IF($F855&lt;&gt;"", XLOOKUP($F855,Productos!$A$2:$A1001,Productos!AE$2:AE1001,"")*$G855,"")</f>
        <v/>
      </c>
      <c r="AM855" s="179" t="str">
        <f t="array" ref="AM855">IF($F855&lt;&gt;"",XLOOKUP($F855,Productos!$A:$A,Productos!AF:AF,"Revisar"),"")</f>
        <v/>
      </c>
      <c r="AN855" s="179" t="str">
        <f t="array" ref="AN855">IF($F855&lt;&gt;"", XLOOKUP($F855,Productos!$A$2:$A1001,Productos!AG$2:AG1001,"")*$G855,"")</f>
        <v/>
      </c>
      <c r="AO855" s="179" t="str">
        <f t="array" ref="AO855">IF($F855&lt;&gt;"",XLOOKUP($F855,Productos!$A:$A,Productos!AH:AH,"Revisar"),"")</f>
        <v/>
      </c>
      <c r="AP855" s="179" t="str">
        <f t="array" ref="AP855">IF($F855&lt;&gt;"", XLOOKUP($F855,Productos!$A$2:$A1001,Productos!AI$2:AI1001,"")*$G855,"")</f>
        <v/>
      </c>
      <c r="AQ855" s="179" t="str">
        <f t="array" ref="AQ855">IF($F855&lt;&gt;"",XLOOKUP($F855,Productos!$A:$A,Productos!AJ:AJ,"Revisar"),"")</f>
        <v/>
      </c>
      <c r="AR855" s="179" t="str">
        <f t="array" ref="AR855">IF($F855&lt;&gt;"", XLOOKUP($F855,Productos!$A$2:$A1001,Productos!AK$2:AK1001,"")*$G855,"")</f>
        <v/>
      </c>
      <c r="AS855" s="179" t="str">
        <f t="array" ref="AS855">IF($F855&lt;&gt;"",XLOOKUP($F855,Productos!$A:$A,Productos!AL:AL,"Revisar"),"")</f>
        <v/>
      </c>
      <c r="AT855" s="179" t="str">
        <f t="array" ref="AT855">IF($F855&lt;&gt;"", XLOOKUP($F855,Productos!$A$2:$A1001,Productos!AM$2:AM1001,"")*$G855,"")</f>
        <v/>
      </c>
      <c r="AU855" s="179" t="str">
        <f t="array" ref="AU855">IF($F855&lt;&gt;"",XLOOKUP($F855,Productos!$A:$A,Productos!AN:AN,"Revisar"),"")</f>
        <v/>
      </c>
      <c r="AV855" s="179" t="str">
        <f t="array" ref="AV855">IF($F855&lt;&gt;"", XLOOKUP($F855,Productos!$A$2:$A1001,Productos!AO$2:AO1001,"")*$G855,"")</f>
        <v/>
      </c>
      <c r="AW855" s="179" t="str">
        <f t="array" ref="AW855">IF($F855&lt;&gt;"",XLOOKUP($F855,Productos!$A:$A,Productos!AP:AP,"Revisar"),"")</f>
        <v/>
      </c>
      <c r="AX855" s="179" t="str">
        <f t="array" ref="AX855">IF($F855&lt;&gt;"", XLOOKUP($F855,Productos!$A$2:$A1001,Productos!AQ$2:AQ1001,"")*$G855,"")</f>
        <v/>
      </c>
      <c r="AY855" s="179" t="str">
        <f t="array" ref="AY855">IF($F855&lt;&gt;"",XLOOKUP($F855,Productos!$A:$A,Productos!AR:AR,"Revisar"),"")</f>
        <v/>
      </c>
      <c r="AZ855" s="179" t="str">
        <f t="array" ref="AZ855">IF($F855&lt;&gt;"", XLOOKUP($F855,Productos!$A$2:$A1001,Productos!AS$2:AS1001,"")*$G855,"")</f>
        <v/>
      </c>
      <c r="BA855" s="179" t="str">
        <f t="array" ref="BA855">IF($F855&lt;&gt;"",XLOOKUP($F855,Productos!$A:$A,Productos!AT:AT,"Revisar"),"")</f>
        <v/>
      </c>
      <c r="BB855" s="179" t="str">
        <f t="array" ref="BB855">IF($F855&lt;&gt;"", XLOOKUP($F855,Productos!$A$2:$A1001,Productos!AU$2:AU1001,"")*$G855,"")</f>
        <v/>
      </c>
      <c r="BC855" s="179" t="str">
        <f t="array" ref="BC855">IF($F855&lt;&gt;"",XLOOKUP($F855,Productos!$A:$A,Productos!AV:AV,"Revisar"),"")</f>
        <v/>
      </c>
      <c r="BD855" s="179" t="str">
        <f t="array" ref="BD855">IF($F855&lt;&gt;"", XLOOKUP($F855,Productos!$A$2:$A1001,Productos!AW$2:AW1001,"")*$G855,"")</f>
        <v/>
      </c>
      <c r="BE855" s="179" t="str">
        <f t="array" ref="BE855">IF($F855&lt;&gt;"",XLOOKUP($F855,Productos!$A:$A,Productos!AX:AX,"Revisar"),"")</f>
        <v/>
      </c>
      <c r="BF855" s="179" t="str">
        <f t="array" ref="BF855">IF($F855&lt;&gt;"", XLOOKUP($F855,Productos!$A$2:$A1001,Productos!AY$2:AY1001,"")*$G855,"")</f>
        <v/>
      </c>
      <c r="BG855" s="179" t="str">
        <f t="array" ref="BG855">IF($F855&lt;&gt;"",XLOOKUP($F855,Productos!$A:$A,Productos!AZ:AZ,"Revisar"),"")</f>
        <v/>
      </c>
      <c r="BH855" s="179" t="str">
        <f t="array" ref="BH855">IF($F855&lt;&gt;"", XLOOKUP($F855,Productos!$A$2:$A1001,Productos!BA$2:BA1001,"")*$G855,"")</f>
        <v/>
      </c>
      <c r="BI855" s="179" t="str">
        <f t="array" ref="BI855">IF($F855&lt;&gt;"",XLOOKUP($F855,Productos!$A:$A,Productos!BB:BB,"Revisar"),"")</f>
        <v/>
      </c>
      <c r="BJ855" s="179" t="str">
        <f t="array" ref="BJ855">IF($F855&lt;&gt;"", XLOOKUP($F855,Productos!$A$2:$A1001,Productos!BC$2:BC1001,"")*$G855,"")</f>
        <v/>
      </c>
      <c r="BK855" s="179" t="str">
        <f t="array" ref="BK855">IF($F855&lt;&gt;"",XLOOKUP($F855,Productos!$A:$A,Productos!BD:BD,"Revisar"),"")</f>
        <v/>
      </c>
      <c r="BL855" s="179" t="str">
        <f t="array" ref="BL855">IF($F855&lt;&gt;"", XLOOKUP($F855,Productos!$A$2:$A1001,Productos!BE$2:BE1001,"")*$G855,"")</f>
        <v/>
      </c>
      <c r="BM855" s="179" t="str">
        <f t="array" ref="BM855">IF($F855&lt;&gt;"",XLOOKUP($F855,Productos!$A:$A,Productos!BF:BF,"Revisar"),"")</f>
        <v/>
      </c>
      <c r="BN855" s="179" t="str">
        <f t="array" ref="BN855">IF($F855&lt;&gt;"", XLOOKUP($F855,Productos!$A$2:$A1001,Productos!BG$2:BG1001,"")*$G855,"")</f>
        <v/>
      </c>
      <c r="BO855" s="179" t="str">
        <f t="array" ref="BO855">IF($F855&lt;&gt;"",XLOOKUP($F855,Productos!$A:$A,Productos!BH:BH,"Revisar"),"")</f>
        <v/>
      </c>
      <c r="BP855" s="179" t="str">
        <f t="array" ref="BP855">IF($F855&lt;&gt;"", XLOOKUP($F855,Productos!$A$2:$A1001,Productos!BI$2:BI1001,"")*$G855,"")</f>
        <v/>
      </c>
      <c r="BQ855" s="179" t="str">
        <f t="array" ref="BQ855">IF($F855&lt;&gt;"",XLOOKUP($F855,Productos!$A:$A,Productos!BJ:BJ,"Revisar"),"")</f>
        <v/>
      </c>
      <c r="BR855" s="179" t="str">
        <f t="array" ref="BR855">IF($F855&lt;&gt;"", XLOOKUP($F855,Productos!$A$2:$A1001,Productos!BK$2:BK1001,"")*$G855,"")</f>
        <v/>
      </c>
      <c r="BS855" s="179" t="str">
        <f t="array" ref="BS855">IF($F855&lt;&gt;"",XLOOKUP($F855,Productos!$A:$A,Productos!BL:BL,"Revisar"),"")</f>
        <v/>
      </c>
      <c r="BT855" s="179" t="str">
        <f t="array" ref="BT855">IF($F855&lt;&gt;"", XLOOKUP($F855,Productos!$A$2:$A1001,Productos!BM$2:BM1001,"")*$G855,"")</f>
        <v/>
      </c>
      <c r="BU855" s="179" t="str">
        <f t="array" ref="BU855">IF($F855&lt;&gt;"",XLOOKUP($F855,Productos!$A:$A,Productos!BN:BN,"Revisar"),"")</f>
        <v/>
      </c>
      <c r="BV855" s="179" t="str">
        <f t="array" ref="BV855">IF($F855&lt;&gt;"", XLOOKUP($F855,Productos!$A$2:$A1001,Productos!BO$2:BO1001,"")*$G855,"")</f>
        <v/>
      </c>
      <c r="BW855" s="179" t="str">
        <f t="array" ref="BW855">IF($F855&lt;&gt;"",XLOOKUP($F855,Productos!$A:$A,Productos!BP:BP,"Revisar"),"")</f>
        <v/>
      </c>
      <c r="BX855" s="179" t="str">
        <f t="array" ref="BX855">IF($F855&lt;&gt;"", XLOOKUP($F855,Productos!$A$2:$A1001,Productos!BQ$2:BQ1001,"")*$G855,"")</f>
        <v/>
      </c>
      <c r="BY855" s="179" t="str">
        <f t="array" ref="BY855">IF($F855&lt;&gt;"",XLOOKUP($F855,Productos!$A:$A,Productos!BR:BR,"Revisar"),"")</f>
        <v/>
      </c>
      <c r="BZ855" s="179" t="str">
        <f t="array" ref="BZ855">IF($F855&lt;&gt;"", XLOOKUP($F855,Productos!$A$2:$A1001,Productos!BS$2:BS1001,"")*$G855,"")</f>
        <v/>
      </c>
    </row>
    <row r="856">
      <c r="A856" s="188"/>
      <c r="B856" s="189"/>
      <c r="C856" s="190"/>
      <c r="D856" s="190"/>
      <c r="E856" s="191"/>
      <c r="F856" s="186"/>
      <c r="G856" s="192"/>
      <c r="H856" s="9"/>
      <c r="I856" s="179" t="str">
        <f t="array" ref="I856">IF($F856&lt;&gt;"",XLOOKUP($F856,Productos!$A:$A,Productos!B:B,"Revisar"),"")</f>
        <v/>
      </c>
      <c r="J856" s="179" t="str">
        <f t="array" ref="J856">IF($F856&lt;&gt;"", XLOOKUP($F856,Productos!$A$2:$A1001,Productos!C$2:C1001,"")*$G856,"")</f>
        <v/>
      </c>
      <c r="K856" s="179" t="str">
        <f t="array" ref="K856">IF($F856&lt;&gt;"",XLOOKUP($F856,Productos!$A:$A,Productos!D:D,"Revisar"),"")</f>
        <v/>
      </c>
      <c r="L856" s="179" t="str">
        <f t="array" ref="L856">IF($F856&lt;&gt;"", XLOOKUP($F856,Productos!$A$2:$A1001,Productos!E$2:E1001,"")*$G856,"")</f>
        <v/>
      </c>
      <c r="M856" s="179" t="str">
        <f t="array" ref="M856">IF($F856&lt;&gt;"",XLOOKUP($F856,Productos!$A:$A,Productos!F:F,"Revisar"),"")</f>
        <v/>
      </c>
      <c r="N856" s="179" t="str">
        <f t="array" ref="N856">IF($F856&lt;&gt;"", XLOOKUP($F856,Productos!$A$2:$A1001,Productos!G$2:G1001,"")*$G856,"")</f>
        <v/>
      </c>
      <c r="O856" s="179" t="str">
        <f t="array" ref="O856">IF($F856&lt;&gt;"",XLOOKUP($F856,Productos!$A:$A,Productos!H:H,"Revisar"),"")</f>
        <v/>
      </c>
      <c r="P856" s="179" t="str">
        <f t="array" ref="P856">IF($F856&lt;&gt;"", XLOOKUP($F856,Productos!$A$2:$A1001,Productos!I$2:I1001,"")*$G856,"")</f>
        <v/>
      </c>
      <c r="Q856" s="179" t="str">
        <f t="array" ref="Q856">IF($F856&lt;&gt;"",XLOOKUP($F856,Productos!$A:$A,Productos!J:J,"Revisar"),"")</f>
        <v/>
      </c>
      <c r="R856" s="179" t="str">
        <f t="array" ref="R856">IF($F856&lt;&gt;"", XLOOKUP($F856,Productos!$A$2:$A1001,Productos!K$2:K1001,"")*$G856,"")</f>
        <v/>
      </c>
      <c r="S856" s="179" t="str">
        <f t="array" ref="S856">IF($F856&lt;&gt;"",XLOOKUP($F856,Productos!$A:$A,Productos!L:L,"Revisar"),"")</f>
        <v/>
      </c>
      <c r="T856" s="179" t="str">
        <f t="array" ref="T856">IF($F856&lt;&gt;"", XLOOKUP($F856,Productos!$A$2:$A1001,Productos!M$2:M1001,"")*$G856,"")</f>
        <v/>
      </c>
      <c r="U856" s="179" t="str">
        <f t="array" ref="U856">IF($F856&lt;&gt;"",XLOOKUP($F856,Productos!$A:$A,Productos!N:N,"Revisar"),"")</f>
        <v/>
      </c>
      <c r="V856" s="179" t="str">
        <f t="array" ref="V856">IF($F856&lt;&gt;"", XLOOKUP($F856,Productos!$A$2:$A1001,Productos!O$2:O1001,"")*$G856,"")</f>
        <v/>
      </c>
      <c r="W856" s="179" t="str">
        <f t="array" ref="W856">IF($F856&lt;&gt;"",XLOOKUP($F856,Productos!$A:$A,Productos!P:P,"Revisar"),"")</f>
        <v/>
      </c>
      <c r="X856" s="179" t="str">
        <f t="array" ref="X856">IF($F856&lt;&gt;"", XLOOKUP($F856,Productos!$A$2:$A1001,Productos!Q$2:Q1001,"")*$G856,"")</f>
        <v/>
      </c>
      <c r="Y856" s="179" t="str">
        <f t="array" ref="Y856">IF($F856&lt;&gt;"",XLOOKUP($F856,Productos!$A:$A,Productos!R:R,"Revisar"),"")</f>
        <v/>
      </c>
      <c r="Z856" s="179" t="str">
        <f t="array" ref="Z856">IF($F856&lt;&gt;"", XLOOKUP($F856,Productos!$A$2:$A1001,Productos!S$2:S1001,"")*$G856,"")</f>
        <v/>
      </c>
      <c r="AA856" s="179" t="str">
        <f t="array" ref="AA856">IF($F856&lt;&gt;"",XLOOKUP($F856,Productos!$A:$A,Productos!T:T,"Revisar"),"")</f>
        <v/>
      </c>
      <c r="AB856" s="179" t="str">
        <f t="array" ref="AB856">IF($F856&lt;&gt;"", XLOOKUP($F856,Productos!$A$2:$A1001,Productos!U$2:U1001,"")*$G856,"")</f>
        <v/>
      </c>
      <c r="AC856" s="179" t="str">
        <f t="array" ref="AC856">IF($F856&lt;&gt;"",XLOOKUP($F856,Productos!$A:$A,Productos!V:V,"Revisar"),"")</f>
        <v/>
      </c>
      <c r="AD856" s="179" t="str">
        <f t="array" ref="AD856">IF($F856&lt;&gt;"", XLOOKUP($F856,Productos!$A$2:$A1001,Productos!W$2:W1001,"")*$G856,"")</f>
        <v/>
      </c>
      <c r="AE856" s="179" t="str">
        <f t="array" ref="AE856">IF($F856&lt;&gt;"",XLOOKUP($F856,Productos!$A:$A,Productos!X:X,"Revisar"),"")</f>
        <v/>
      </c>
      <c r="AF856" s="179" t="str">
        <f t="array" ref="AF856">IF($F856&lt;&gt;"", XLOOKUP($F856,Productos!$A$2:$A1001,Productos!Y$2:Y1001,"")*$G856,"")</f>
        <v/>
      </c>
      <c r="AG856" s="179" t="str">
        <f t="array" ref="AG856">IF($F856&lt;&gt;"",XLOOKUP($F856,Productos!$A:$A,Productos!Z:Z,"Revisar"),"")</f>
        <v/>
      </c>
      <c r="AH856" s="179" t="str">
        <f t="array" ref="AH856">IF($F856&lt;&gt;"", XLOOKUP($F856,Productos!$A$2:$A1001,Productos!AA$2:AA1001,"")*$G856,"")</f>
        <v/>
      </c>
      <c r="AI856" s="179" t="str">
        <f t="array" ref="AI856">IF($F856&lt;&gt;"",XLOOKUP($F856,Productos!$A:$A,Productos!AB:AB,"Revisar"),"")</f>
        <v/>
      </c>
      <c r="AJ856" s="179" t="str">
        <f t="array" ref="AJ856">IF($F856&lt;&gt;"", XLOOKUP($F856,Productos!$A$2:$A1001,Productos!AC$2:AC1001,"")*$G856,"")</f>
        <v/>
      </c>
      <c r="AK856" s="179" t="str">
        <f t="array" ref="AK856">IF($F856&lt;&gt;"",XLOOKUP($F856,Productos!$A:$A,Productos!AD:AD,"Revisar"),"")</f>
        <v/>
      </c>
      <c r="AL856" s="179" t="str">
        <f t="array" ref="AL856">IF($F856&lt;&gt;"", XLOOKUP($F856,Productos!$A$2:$A1001,Productos!AE$2:AE1001,"")*$G856,"")</f>
        <v/>
      </c>
      <c r="AM856" s="179" t="str">
        <f t="array" ref="AM856">IF($F856&lt;&gt;"",XLOOKUP($F856,Productos!$A:$A,Productos!AF:AF,"Revisar"),"")</f>
        <v/>
      </c>
      <c r="AN856" s="179" t="str">
        <f t="array" ref="AN856">IF($F856&lt;&gt;"", XLOOKUP($F856,Productos!$A$2:$A1001,Productos!AG$2:AG1001,"")*$G856,"")</f>
        <v/>
      </c>
      <c r="AO856" s="179" t="str">
        <f t="array" ref="AO856">IF($F856&lt;&gt;"",XLOOKUP($F856,Productos!$A:$A,Productos!AH:AH,"Revisar"),"")</f>
        <v/>
      </c>
      <c r="AP856" s="179" t="str">
        <f t="array" ref="AP856">IF($F856&lt;&gt;"", XLOOKUP($F856,Productos!$A$2:$A1001,Productos!AI$2:AI1001,"")*$G856,"")</f>
        <v/>
      </c>
      <c r="AQ856" s="179" t="str">
        <f t="array" ref="AQ856">IF($F856&lt;&gt;"",XLOOKUP($F856,Productos!$A:$A,Productos!AJ:AJ,"Revisar"),"")</f>
        <v/>
      </c>
      <c r="AR856" s="179" t="str">
        <f t="array" ref="AR856">IF($F856&lt;&gt;"", XLOOKUP($F856,Productos!$A$2:$A1001,Productos!AK$2:AK1001,"")*$G856,"")</f>
        <v/>
      </c>
      <c r="AS856" s="179" t="str">
        <f t="array" ref="AS856">IF($F856&lt;&gt;"",XLOOKUP($F856,Productos!$A:$A,Productos!AL:AL,"Revisar"),"")</f>
        <v/>
      </c>
      <c r="AT856" s="179" t="str">
        <f t="array" ref="AT856">IF($F856&lt;&gt;"", XLOOKUP($F856,Productos!$A$2:$A1001,Productos!AM$2:AM1001,"")*$G856,"")</f>
        <v/>
      </c>
      <c r="AU856" s="179" t="str">
        <f t="array" ref="AU856">IF($F856&lt;&gt;"",XLOOKUP($F856,Productos!$A:$A,Productos!AN:AN,"Revisar"),"")</f>
        <v/>
      </c>
      <c r="AV856" s="179" t="str">
        <f t="array" ref="AV856">IF($F856&lt;&gt;"", XLOOKUP($F856,Productos!$A$2:$A1001,Productos!AO$2:AO1001,"")*$G856,"")</f>
        <v/>
      </c>
      <c r="AW856" s="179" t="str">
        <f t="array" ref="AW856">IF($F856&lt;&gt;"",XLOOKUP($F856,Productos!$A:$A,Productos!AP:AP,"Revisar"),"")</f>
        <v/>
      </c>
      <c r="AX856" s="179" t="str">
        <f t="array" ref="AX856">IF($F856&lt;&gt;"", XLOOKUP($F856,Productos!$A$2:$A1001,Productos!AQ$2:AQ1001,"")*$G856,"")</f>
        <v/>
      </c>
      <c r="AY856" s="179" t="str">
        <f t="array" ref="AY856">IF($F856&lt;&gt;"",XLOOKUP($F856,Productos!$A:$A,Productos!AR:AR,"Revisar"),"")</f>
        <v/>
      </c>
      <c r="AZ856" s="179" t="str">
        <f t="array" ref="AZ856">IF($F856&lt;&gt;"", XLOOKUP($F856,Productos!$A$2:$A1001,Productos!AS$2:AS1001,"")*$G856,"")</f>
        <v/>
      </c>
      <c r="BA856" s="179" t="str">
        <f t="array" ref="BA856">IF($F856&lt;&gt;"",XLOOKUP($F856,Productos!$A:$A,Productos!AT:AT,"Revisar"),"")</f>
        <v/>
      </c>
      <c r="BB856" s="179" t="str">
        <f t="array" ref="BB856">IF($F856&lt;&gt;"", XLOOKUP($F856,Productos!$A$2:$A1001,Productos!AU$2:AU1001,"")*$G856,"")</f>
        <v/>
      </c>
      <c r="BC856" s="179" t="str">
        <f t="array" ref="BC856">IF($F856&lt;&gt;"",XLOOKUP($F856,Productos!$A:$A,Productos!AV:AV,"Revisar"),"")</f>
        <v/>
      </c>
      <c r="BD856" s="179" t="str">
        <f t="array" ref="BD856">IF($F856&lt;&gt;"", XLOOKUP($F856,Productos!$A$2:$A1001,Productos!AW$2:AW1001,"")*$G856,"")</f>
        <v/>
      </c>
      <c r="BE856" s="179" t="str">
        <f t="array" ref="BE856">IF($F856&lt;&gt;"",XLOOKUP($F856,Productos!$A:$A,Productos!AX:AX,"Revisar"),"")</f>
        <v/>
      </c>
      <c r="BF856" s="179" t="str">
        <f t="array" ref="BF856">IF($F856&lt;&gt;"", XLOOKUP($F856,Productos!$A$2:$A1001,Productos!AY$2:AY1001,"")*$G856,"")</f>
        <v/>
      </c>
      <c r="BG856" s="179" t="str">
        <f t="array" ref="BG856">IF($F856&lt;&gt;"",XLOOKUP($F856,Productos!$A:$A,Productos!AZ:AZ,"Revisar"),"")</f>
        <v/>
      </c>
      <c r="BH856" s="179" t="str">
        <f t="array" ref="BH856">IF($F856&lt;&gt;"", XLOOKUP($F856,Productos!$A$2:$A1001,Productos!BA$2:BA1001,"")*$G856,"")</f>
        <v/>
      </c>
      <c r="BI856" s="179" t="str">
        <f t="array" ref="BI856">IF($F856&lt;&gt;"",XLOOKUP($F856,Productos!$A:$A,Productos!BB:BB,"Revisar"),"")</f>
        <v/>
      </c>
      <c r="BJ856" s="179" t="str">
        <f t="array" ref="BJ856">IF($F856&lt;&gt;"", XLOOKUP($F856,Productos!$A$2:$A1001,Productos!BC$2:BC1001,"")*$G856,"")</f>
        <v/>
      </c>
      <c r="BK856" s="179" t="str">
        <f t="array" ref="BK856">IF($F856&lt;&gt;"",XLOOKUP($F856,Productos!$A:$A,Productos!BD:BD,"Revisar"),"")</f>
        <v/>
      </c>
      <c r="BL856" s="179" t="str">
        <f t="array" ref="BL856">IF($F856&lt;&gt;"", XLOOKUP($F856,Productos!$A$2:$A1001,Productos!BE$2:BE1001,"")*$G856,"")</f>
        <v/>
      </c>
      <c r="BM856" s="179" t="str">
        <f t="array" ref="BM856">IF($F856&lt;&gt;"",XLOOKUP($F856,Productos!$A:$A,Productos!BF:BF,"Revisar"),"")</f>
        <v/>
      </c>
      <c r="BN856" s="179" t="str">
        <f t="array" ref="BN856">IF($F856&lt;&gt;"", XLOOKUP($F856,Productos!$A$2:$A1001,Productos!BG$2:BG1001,"")*$G856,"")</f>
        <v/>
      </c>
      <c r="BO856" s="179" t="str">
        <f t="array" ref="BO856">IF($F856&lt;&gt;"",XLOOKUP($F856,Productos!$A:$A,Productos!BH:BH,"Revisar"),"")</f>
        <v/>
      </c>
      <c r="BP856" s="179" t="str">
        <f t="array" ref="BP856">IF($F856&lt;&gt;"", XLOOKUP($F856,Productos!$A$2:$A1001,Productos!BI$2:BI1001,"")*$G856,"")</f>
        <v/>
      </c>
      <c r="BQ856" s="179" t="str">
        <f t="array" ref="BQ856">IF($F856&lt;&gt;"",XLOOKUP($F856,Productos!$A:$A,Productos!BJ:BJ,"Revisar"),"")</f>
        <v/>
      </c>
      <c r="BR856" s="179" t="str">
        <f t="array" ref="BR856">IF($F856&lt;&gt;"", XLOOKUP($F856,Productos!$A$2:$A1001,Productos!BK$2:BK1001,"")*$G856,"")</f>
        <v/>
      </c>
      <c r="BS856" s="179" t="str">
        <f t="array" ref="BS856">IF($F856&lt;&gt;"",XLOOKUP($F856,Productos!$A:$A,Productos!BL:BL,"Revisar"),"")</f>
        <v/>
      </c>
      <c r="BT856" s="179" t="str">
        <f t="array" ref="BT856">IF($F856&lt;&gt;"", XLOOKUP($F856,Productos!$A$2:$A1001,Productos!BM$2:BM1001,"")*$G856,"")</f>
        <v/>
      </c>
      <c r="BU856" s="179" t="str">
        <f t="array" ref="BU856">IF($F856&lt;&gt;"",XLOOKUP($F856,Productos!$A:$A,Productos!BN:BN,"Revisar"),"")</f>
        <v/>
      </c>
      <c r="BV856" s="179" t="str">
        <f t="array" ref="BV856">IF($F856&lt;&gt;"", XLOOKUP($F856,Productos!$A$2:$A1001,Productos!BO$2:BO1001,"")*$G856,"")</f>
        <v/>
      </c>
      <c r="BW856" s="179" t="str">
        <f t="array" ref="BW856">IF($F856&lt;&gt;"",XLOOKUP($F856,Productos!$A:$A,Productos!BP:BP,"Revisar"),"")</f>
        <v/>
      </c>
      <c r="BX856" s="179" t="str">
        <f t="array" ref="BX856">IF($F856&lt;&gt;"", XLOOKUP($F856,Productos!$A$2:$A1001,Productos!BQ$2:BQ1001,"")*$G856,"")</f>
        <v/>
      </c>
      <c r="BY856" s="179" t="str">
        <f t="array" ref="BY856">IF($F856&lt;&gt;"",XLOOKUP($F856,Productos!$A:$A,Productos!BR:BR,"Revisar"),"")</f>
        <v/>
      </c>
      <c r="BZ856" s="179" t="str">
        <f t="array" ref="BZ856">IF($F856&lt;&gt;"", XLOOKUP($F856,Productos!$A$2:$A1001,Productos!BS$2:BS1001,"")*$G856,"")</f>
        <v/>
      </c>
    </row>
    <row r="857">
      <c r="A857" s="188"/>
      <c r="B857" s="189"/>
      <c r="C857" s="190"/>
      <c r="D857" s="190"/>
      <c r="E857" s="191"/>
      <c r="F857" s="186"/>
      <c r="G857" s="192"/>
      <c r="H857" s="9"/>
      <c r="I857" s="179" t="str">
        <f t="array" ref="I857">IF($F857&lt;&gt;"",XLOOKUP($F857,Productos!$A:$A,Productos!B:B,"Revisar"),"")</f>
        <v/>
      </c>
      <c r="J857" s="179" t="str">
        <f t="array" ref="J857">IF($F857&lt;&gt;"", XLOOKUP($F857,Productos!$A$2:$A1001,Productos!C$2:C1001,"")*$G857,"")</f>
        <v/>
      </c>
      <c r="K857" s="179" t="str">
        <f t="array" ref="K857">IF($F857&lt;&gt;"",XLOOKUP($F857,Productos!$A:$A,Productos!D:D,"Revisar"),"")</f>
        <v/>
      </c>
      <c r="L857" s="179" t="str">
        <f t="array" ref="L857">IF($F857&lt;&gt;"", XLOOKUP($F857,Productos!$A$2:$A1001,Productos!E$2:E1001,"")*$G857,"")</f>
        <v/>
      </c>
      <c r="M857" s="179" t="str">
        <f t="array" ref="M857">IF($F857&lt;&gt;"",XLOOKUP($F857,Productos!$A:$A,Productos!F:F,"Revisar"),"")</f>
        <v/>
      </c>
      <c r="N857" s="179" t="str">
        <f t="array" ref="N857">IF($F857&lt;&gt;"", XLOOKUP($F857,Productos!$A$2:$A1001,Productos!G$2:G1001,"")*$G857,"")</f>
        <v/>
      </c>
      <c r="O857" s="179" t="str">
        <f t="array" ref="O857">IF($F857&lt;&gt;"",XLOOKUP($F857,Productos!$A:$A,Productos!H:H,"Revisar"),"")</f>
        <v/>
      </c>
      <c r="P857" s="179" t="str">
        <f t="array" ref="P857">IF($F857&lt;&gt;"", XLOOKUP($F857,Productos!$A$2:$A1001,Productos!I$2:I1001,"")*$G857,"")</f>
        <v/>
      </c>
      <c r="Q857" s="179" t="str">
        <f t="array" ref="Q857">IF($F857&lt;&gt;"",XLOOKUP($F857,Productos!$A:$A,Productos!J:J,"Revisar"),"")</f>
        <v/>
      </c>
      <c r="R857" s="179" t="str">
        <f t="array" ref="R857">IF($F857&lt;&gt;"", XLOOKUP($F857,Productos!$A$2:$A1001,Productos!K$2:K1001,"")*$G857,"")</f>
        <v/>
      </c>
      <c r="S857" s="179" t="str">
        <f t="array" ref="S857">IF($F857&lt;&gt;"",XLOOKUP($F857,Productos!$A:$A,Productos!L:L,"Revisar"),"")</f>
        <v/>
      </c>
      <c r="T857" s="179" t="str">
        <f t="array" ref="T857">IF($F857&lt;&gt;"", XLOOKUP($F857,Productos!$A$2:$A1001,Productos!M$2:M1001,"")*$G857,"")</f>
        <v/>
      </c>
      <c r="U857" s="179" t="str">
        <f t="array" ref="U857">IF($F857&lt;&gt;"",XLOOKUP($F857,Productos!$A:$A,Productos!N:N,"Revisar"),"")</f>
        <v/>
      </c>
      <c r="V857" s="179" t="str">
        <f t="array" ref="V857">IF($F857&lt;&gt;"", XLOOKUP($F857,Productos!$A$2:$A1001,Productos!O$2:O1001,"")*$G857,"")</f>
        <v/>
      </c>
      <c r="W857" s="179" t="str">
        <f t="array" ref="W857">IF($F857&lt;&gt;"",XLOOKUP($F857,Productos!$A:$A,Productos!P:P,"Revisar"),"")</f>
        <v/>
      </c>
      <c r="X857" s="179" t="str">
        <f t="array" ref="X857">IF($F857&lt;&gt;"", XLOOKUP($F857,Productos!$A$2:$A1001,Productos!Q$2:Q1001,"")*$G857,"")</f>
        <v/>
      </c>
      <c r="Y857" s="179" t="str">
        <f t="array" ref="Y857">IF($F857&lt;&gt;"",XLOOKUP($F857,Productos!$A:$A,Productos!R:R,"Revisar"),"")</f>
        <v/>
      </c>
      <c r="Z857" s="179" t="str">
        <f t="array" ref="Z857">IF($F857&lt;&gt;"", XLOOKUP($F857,Productos!$A$2:$A1001,Productos!S$2:S1001,"")*$G857,"")</f>
        <v/>
      </c>
      <c r="AA857" s="179" t="str">
        <f t="array" ref="AA857">IF($F857&lt;&gt;"",XLOOKUP($F857,Productos!$A:$A,Productos!T:T,"Revisar"),"")</f>
        <v/>
      </c>
      <c r="AB857" s="179" t="str">
        <f t="array" ref="AB857">IF($F857&lt;&gt;"", XLOOKUP($F857,Productos!$A$2:$A1001,Productos!U$2:U1001,"")*$G857,"")</f>
        <v/>
      </c>
      <c r="AC857" s="179" t="str">
        <f t="array" ref="AC857">IF($F857&lt;&gt;"",XLOOKUP($F857,Productos!$A:$A,Productos!V:V,"Revisar"),"")</f>
        <v/>
      </c>
      <c r="AD857" s="179" t="str">
        <f t="array" ref="AD857">IF($F857&lt;&gt;"", XLOOKUP($F857,Productos!$A$2:$A1001,Productos!W$2:W1001,"")*$G857,"")</f>
        <v/>
      </c>
      <c r="AE857" s="179" t="str">
        <f t="array" ref="AE857">IF($F857&lt;&gt;"",XLOOKUP($F857,Productos!$A:$A,Productos!X:X,"Revisar"),"")</f>
        <v/>
      </c>
      <c r="AF857" s="179" t="str">
        <f t="array" ref="AF857">IF($F857&lt;&gt;"", XLOOKUP($F857,Productos!$A$2:$A1001,Productos!Y$2:Y1001,"")*$G857,"")</f>
        <v/>
      </c>
      <c r="AG857" s="179" t="str">
        <f t="array" ref="AG857">IF($F857&lt;&gt;"",XLOOKUP($F857,Productos!$A:$A,Productos!Z:Z,"Revisar"),"")</f>
        <v/>
      </c>
      <c r="AH857" s="179" t="str">
        <f t="array" ref="AH857">IF($F857&lt;&gt;"", XLOOKUP($F857,Productos!$A$2:$A1001,Productos!AA$2:AA1001,"")*$G857,"")</f>
        <v/>
      </c>
      <c r="AI857" s="179" t="str">
        <f t="array" ref="AI857">IF($F857&lt;&gt;"",XLOOKUP($F857,Productos!$A:$A,Productos!AB:AB,"Revisar"),"")</f>
        <v/>
      </c>
      <c r="AJ857" s="179" t="str">
        <f t="array" ref="AJ857">IF($F857&lt;&gt;"", XLOOKUP($F857,Productos!$A$2:$A1001,Productos!AC$2:AC1001,"")*$G857,"")</f>
        <v/>
      </c>
      <c r="AK857" s="179" t="str">
        <f t="array" ref="AK857">IF($F857&lt;&gt;"",XLOOKUP($F857,Productos!$A:$A,Productos!AD:AD,"Revisar"),"")</f>
        <v/>
      </c>
      <c r="AL857" s="179" t="str">
        <f t="array" ref="AL857">IF($F857&lt;&gt;"", XLOOKUP($F857,Productos!$A$2:$A1001,Productos!AE$2:AE1001,"")*$G857,"")</f>
        <v/>
      </c>
      <c r="AM857" s="179" t="str">
        <f t="array" ref="AM857">IF($F857&lt;&gt;"",XLOOKUP($F857,Productos!$A:$A,Productos!AF:AF,"Revisar"),"")</f>
        <v/>
      </c>
      <c r="AN857" s="179" t="str">
        <f t="array" ref="AN857">IF($F857&lt;&gt;"", XLOOKUP($F857,Productos!$A$2:$A1001,Productos!AG$2:AG1001,"")*$G857,"")</f>
        <v/>
      </c>
      <c r="AO857" s="179" t="str">
        <f t="array" ref="AO857">IF($F857&lt;&gt;"",XLOOKUP($F857,Productos!$A:$A,Productos!AH:AH,"Revisar"),"")</f>
        <v/>
      </c>
      <c r="AP857" s="179" t="str">
        <f t="array" ref="AP857">IF($F857&lt;&gt;"", XLOOKUP($F857,Productos!$A$2:$A1001,Productos!AI$2:AI1001,"")*$G857,"")</f>
        <v/>
      </c>
      <c r="AQ857" s="179" t="str">
        <f t="array" ref="AQ857">IF($F857&lt;&gt;"",XLOOKUP($F857,Productos!$A:$A,Productos!AJ:AJ,"Revisar"),"")</f>
        <v/>
      </c>
      <c r="AR857" s="179" t="str">
        <f t="array" ref="AR857">IF($F857&lt;&gt;"", XLOOKUP($F857,Productos!$A$2:$A1001,Productos!AK$2:AK1001,"")*$G857,"")</f>
        <v/>
      </c>
      <c r="AS857" s="179" t="str">
        <f t="array" ref="AS857">IF($F857&lt;&gt;"",XLOOKUP($F857,Productos!$A:$A,Productos!AL:AL,"Revisar"),"")</f>
        <v/>
      </c>
      <c r="AT857" s="179" t="str">
        <f t="array" ref="AT857">IF($F857&lt;&gt;"", XLOOKUP($F857,Productos!$A$2:$A1001,Productos!AM$2:AM1001,"")*$G857,"")</f>
        <v/>
      </c>
      <c r="AU857" s="179" t="str">
        <f t="array" ref="AU857">IF($F857&lt;&gt;"",XLOOKUP($F857,Productos!$A:$A,Productos!AN:AN,"Revisar"),"")</f>
        <v/>
      </c>
      <c r="AV857" s="179" t="str">
        <f t="array" ref="AV857">IF($F857&lt;&gt;"", XLOOKUP($F857,Productos!$A$2:$A1001,Productos!AO$2:AO1001,"")*$G857,"")</f>
        <v/>
      </c>
      <c r="AW857" s="179" t="str">
        <f t="array" ref="AW857">IF($F857&lt;&gt;"",XLOOKUP($F857,Productos!$A:$A,Productos!AP:AP,"Revisar"),"")</f>
        <v/>
      </c>
      <c r="AX857" s="179" t="str">
        <f t="array" ref="AX857">IF($F857&lt;&gt;"", XLOOKUP($F857,Productos!$A$2:$A1001,Productos!AQ$2:AQ1001,"")*$G857,"")</f>
        <v/>
      </c>
      <c r="AY857" s="179" t="str">
        <f t="array" ref="AY857">IF($F857&lt;&gt;"",XLOOKUP($F857,Productos!$A:$A,Productos!AR:AR,"Revisar"),"")</f>
        <v/>
      </c>
      <c r="AZ857" s="179" t="str">
        <f t="array" ref="AZ857">IF($F857&lt;&gt;"", XLOOKUP($F857,Productos!$A$2:$A1001,Productos!AS$2:AS1001,"")*$G857,"")</f>
        <v/>
      </c>
      <c r="BA857" s="179" t="str">
        <f t="array" ref="BA857">IF($F857&lt;&gt;"",XLOOKUP($F857,Productos!$A:$A,Productos!AT:AT,"Revisar"),"")</f>
        <v/>
      </c>
      <c r="BB857" s="179" t="str">
        <f t="array" ref="BB857">IF($F857&lt;&gt;"", XLOOKUP($F857,Productos!$A$2:$A1001,Productos!AU$2:AU1001,"")*$G857,"")</f>
        <v/>
      </c>
      <c r="BC857" s="179" t="str">
        <f t="array" ref="BC857">IF($F857&lt;&gt;"",XLOOKUP($F857,Productos!$A:$A,Productos!AV:AV,"Revisar"),"")</f>
        <v/>
      </c>
      <c r="BD857" s="179" t="str">
        <f t="array" ref="BD857">IF($F857&lt;&gt;"", XLOOKUP($F857,Productos!$A$2:$A1001,Productos!AW$2:AW1001,"")*$G857,"")</f>
        <v/>
      </c>
      <c r="BE857" s="179" t="str">
        <f t="array" ref="BE857">IF($F857&lt;&gt;"",XLOOKUP($F857,Productos!$A:$A,Productos!AX:AX,"Revisar"),"")</f>
        <v/>
      </c>
      <c r="BF857" s="179" t="str">
        <f t="array" ref="BF857">IF($F857&lt;&gt;"", XLOOKUP($F857,Productos!$A$2:$A1001,Productos!AY$2:AY1001,"")*$G857,"")</f>
        <v/>
      </c>
      <c r="BG857" s="179" t="str">
        <f t="array" ref="BG857">IF($F857&lt;&gt;"",XLOOKUP($F857,Productos!$A:$A,Productos!AZ:AZ,"Revisar"),"")</f>
        <v/>
      </c>
      <c r="BH857" s="179" t="str">
        <f t="array" ref="BH857">IF($F857&lt;&gt;"", XLOOKUP($F857,Productos!$A$2:$A1001,Productos!BA$2:BA1001,"")*$G857,"")</f>
        <v/>
      </c>
      <c r="BI857" s="179" t="str">
        <f t="array" ref="BI857">IF($F857&lt;&gt;"",XLOOKUP($F857,Productos!$A:$A,Productos!BB:BB,"Revisar"),"")</f>
        <v/>
      </c>
      <c r="BJ857" s="179" t="str">
        <f t="array" ref="BJ857">IF($F857&lt;&gt;"", XLOOKUP($F857,Productos!$A$2:$A1001,Productos!BC$2:BC1001,"")*$G857,"")</f>
        <v/>
      </c>
      <c r="BK857" s="179" t="str">
        <f t="array" ref="BK857">IF($F857&lt;&gt;"",XLOOKUP($F857,Productos!$A:$A,Productos!BD:BD,"Revisar"),"")</f>
        <v/>
      </c>
      <c r="BL857" s="179" t="str">
        <f t="array" ref="BL857">IF($F857&lt;&gt;"", XLOOKUP($F857,Productos!$A$2:$A1001,Productos!BE$2:BE1001,"")*$G857,"")</f>
        <v/>
      </c>
      <c r="BM857" s="179" t="str">
        <f t="array" ref="BM857">IF($F857&lt;&gt;"",XLOOKUP($F857,Productos!$A:$A,Productos!BF:BF,"Revisar"),"")</f>
        <v/>
      </c>
      <c r="BN857" s="179" t="str">
        <f t="array" ref="BN857">IF($F857&lt;&gt;"", XLOOKUP($F857,Productos!$A$2:$A1001,Productos!BG$2:BG1001,"")*$G857,"")</f>
        <v/>
      </c>
      <c r="BO857" s="179" t="str">
        <f t="array" ref="BO857">IF($F857&lt;&gt;"",XLOOKUP($F857,Productos!$A:$A,Productos!BH:BH,"Revisar"),"")</f>
        <v/>
      </c>
      <c r="BP857" s="179" t="str">
        <f t="array" ref="BP857">IF($F857&lt;&gt;"", XLOOKUP($F857,Productos!$A$2:$A1001,Productos!BI$2:BI1001,"")*$G857,"")</f>
        <v/>
      </c>
      <c r="BQ857" s="179" t="str">
        <f t="array" ref="BQ857">IF($F857&lt;&gt;"",XLOOKUP($F857,Productos!$A:$A,Productos!BJ:BJ,"Revisar"),"")</f>
        <v/>
      </c>
      <c r="BR857" s="179" t="str">
        <f t="array" ref="BR857">IF($F857&lt;&gt;"", XLOOKUP($F857,Productos!$A$2:$A1001,Productos!BK$2:BK1001,"")*$G857,"")</f>
        <v/>
      </c>
      <c r="BS857" s="179" t="str">
        <f t="array" ref="BS857">IF($F857&lt;&gt;"",XLOOKUP($F857,Productos!$A:$A,Productos!BL:BL,"Revisar"),"")</f>
        <v/>
      </c>
      <c r="BT857" s="179" t="str">
        <f t="array" ref="BT857">IF($F857&lt;&gt;"", XLOOKUP($F857,Productos!$A$2:$A1001,Productos!BM$2:BM1001,"")*$G857,"")</f>
        <v/>
      </c>
      <c r="BU857" s="179" t="str">
        <f t="array" ref="BU857">IF($F857&lt;&gt;"",XLOOKUP($F857,Productos!$A:$A,Productos!BN:BN,"Revisar"),"")</f>
        <v/>
      </c>
      <c r="BV857" s="179" t="str">
        <f t="array" ref="BV857">IF($F857&lt;&gt;"", XLOOKUP($F857,Productos!$A$2:$A1001,Productos!BO$2:BO1001,"")*$G857,"")</f>
        <v/>
      </c>
      <c r="BW857" s="179" t="str">
        <f t="array" ref="BW857">IF($F857&lt;&gt;"",XLOOKUP($F857,Productos!$A:$A,Productos!BP:BP,"Revisar"),"")</f>
        <v/>
      </c>
      <c r="BX857" s="179" t="str">
        <f t="array" ref="BX857">IF($F857&lt;&gt;"", XLOOKUP($F857,Productos!$A$2:$A1001,Productos!BQ$2:BQ1001,"")*$G857,"")</f>
        <v/>
      </c>
      <c r="BY857" s="179" t="str">
        <f t="array" ref="BY857">IF($F857&lt;&gt;"",XLOOKUP($F857,Productos!$A:$A,Productos!BR:BR,"Revisar"),"")</f>
        <v/>
      </c>
      <c r="BZ857" s="179" t="str">
        <f t="array" ref="BZ857">IF($F857&lt;&gt;"", XLOOKUP($F857,Productos!$A$2:$A1001,Productos!BS$2:BS1001,"")*$G857,"")</f>
        <v/>
      </c>
    </row>
    <row r="858">
      <c r="A858" s="188"/>
      <c r="B858" s="189"/>
      <c r="C858" s="190"/>
      <c r="D858" s="190"/>
      <c r="E858" s="191"/>
      <c r="F858" s="186"/>
      <c r="G858" s="192"/>
      <c r="H858" s="9"/>
      <c r="I858" s="179" t="str">
        <f t="array" ref="I858">IF($F858&lt;&gt;"",XLOOKUP($F858,Productos!$A:$A,Productos!B:B,"Revisar"),"")</f>
        <v/>
      </c>
      <c r="J858" s="179" t="str">
        <f t="array" ref="J858">IF($F858&lt;&gt;"", XLOOKUP($F858,Productos!$A$2:$A1001,Productos!C$2:C1001,"")*$G858,"")</f>
        <v/>
      </c>
      <c r="K858" s="179" t="str">
        <f t="array" ref="K858">IF($F858&lt;&gt;"",XLOOKUP($F858,Productos!$A:$A,Productos!D:D,"Revisar"),"")</f>
        <v/>
      </c>
      <c r="L858" s="179" t="str">
        <f t="array" ref="L858">IF($F858&lt;&gt;"", XLOOKUP($F858,Productos!$A$2:$A1001,Productos!E$2:E1001,"")*$G858,"")</f>
        <v/>
      </c>
      <c r="M858" s="179" t="str">
        <f t="array" ref="M858">IF($F858&lt;&gt;"",XLOOKUP($F858,Productos!$A:$A,Productos!F:F,"Revisar"),"")</f>
        <v/>
      </c>
      <c r="N858" s="179" t="str">
        <f t="array" ref="N858">IF($F858&lt;&gt;"", XLOOKUP($F858,Productos!$A$2:$A1001,Productos!G$2:G1001,"")*$G858,"")</f>
        <v/>
      </c>
      <c r="O858" s="179" t="str">
        <f t="array" ref="O858">IF($F858&lt;&gt;"",XLOOKUP($F858,Productos!$A:$A,Productos!H:H,"Revisar"),"")</f>
        <v/>
      </c>
      <c r="P858" s="179" t="str">
        <f t="array" ref="P858">IF($F858&lt;&gt;"", XLOOKUP($F858,Productos!$A$2:$A1001,Productos!I$2:I1001,"")*$G858,"")</f>
        <v/>
      </c>
      <c r="Q858" s="179" t="str">
        <f t="array" ref="Q858">IF($F858&lt;&gt;"",XLOOKUP($F858,Productos!$A:$A,Productos!J:J,"Revisar"),"")</f>
        <v/>
      </c>
      <c r="R858" s="179" t="str">
        <f t="array" ref="R858">IF($F858&lt;&gt;"", XLOOKUP($F858,Productos!$A$2:$A1001,Productos!K$2:K1001,"")*$G858,"")</f>
        <v/>
      </c>
      <c r="S858" s="179" t="str">
        <f t="array" ref="S858">IF($F858&lt;&gt;"",XLOOKUP($F858,Productos!$A:$A,Productos!L:L,"Revisar"),"")</f>
        <v/>
      </c>
      <c r="T858" s="179" t="str">
        <f t="array" ref="T858">IF($F858&lt;&gt;"", XLOOKUP($F858,Productos!$A$2:$A1001,Productos!M$2:M1001,"")*$G858,"")</f>
        <v/>
      </c>
      <c r="U858" s="179" t="str">
        <f t="array" ref="U858">IF($F858&lt;&gt;"",XLOOKUP($F858,Productos!$A:$A,Productos!N:N,"Revisar"),"")</f>
        <v/>
      </c>
      <c r="V858" s="179" t="str">
        <f t="array" ref="V858">IF($F858&lt;&gt;"", XLOOKUP($F858,Productos!$A$2:$A1001,Productos!O$2:O1001,"")*$G858,"")</f>
        <v/>
      </c>
      <c r="W858" s="179" t="str">
        <f t="array" ref="W858">IF($F858&lt;&gt;"",XLOOKUP($F858,Productos!$A:$A,Productos!P:P,"Revisar"),"")</f>
        <v/>
      </c>
      <c r="X858" s="179" t="str">
        <f t="array" ref="X858">IF($F858&lt;&gt;"", XLOOKUP($F858,Productos!$A$2:$A1001,Productos!Q$2:Q1001,"")*$G858,"")</f>
        <v/>
      </c>
      <c r="Y858" s="179" t="str">
        <f t="array" ref="Y858">IF($F858&lt;&gt;"",XLOOKUP($F858,Productos!$A:$A,Productos!R:R,"Revisar"),"")</f>
        <v/>
      </c>
      <c r="Z858" s="179" t="str">
        <f t="array" ref="Z858">IF($F858&lt;&gt;"", XLOOKUP($F858,Productos!$A$2:$A1001,Productos!S$2:S1001,"")*$G858,"")</f>
        <v/>
      </c>
      <c r="AA858" s="179" t="str">
        <f t="array" ref="AA858">IF($F858&lt;&gt;"",XLOOKUP($F858,Productos!$A:$A,Productos!T:T,"Revisar"),"")</f>
        <v/>
      </c>
      <c r="AB858" s="179" t="str">
        <f t="array" ref="AB858">IF($F858&lt;&gt;"", XLOOKUP($F858,Productos!$A$2:$A1001,Productos!U$2:U1001,"")*$G858,"")</f>
        <v/>
      </c>
      <c r="AC858" s="179" t="str">
        <f t="array" ref="AC858">IF($F858&lt;&gt;"",XLOOKUP($F858,Productos!$A:$A,Productos!V:V,"Revisar"),"")</f>
        <v/>
      </c>
      <c r="AD858" s="179" t="str">
        <f t="array" ref="AD858">IF($F858&lt;&gt;"", XLOOKUP($F858,Productos!$A$2:$A1001,Productos!W$2:W1001,"")*$G858,"")</f>
        <v/>
      </c>
      <c r="AE858" s="179" t="str">
        <f t="array" ref="AE858">IF($F858&lt;&gt;"",XLOOKUP($F858,Productos!$A:$A,Productos!X:X,"Revisar"),"")</f>
        <v/>
      </c>
      <c r="AF858" s="179" t="str">
        <f t="array" ref="AF858">IF($F858&lt;&gt;"", XLOOKUP($F858,Productos!$A$2:$A1001,Productos!Y$2:Y1001,"")*$G858,"")</f>
        <v/>
      </c>
      <c r="AG858" s="179" t="str">
        <f t="array" ref="AG858">IF($F858&lt;&gt;"",XLOOKUP($F858,Productos!$A:$A,Productos!Z:Z,"Revisar"),"")</f>
        <v/>
      </c>
      <c r="AH858" s="179" t="str">
        <f t="array" ref="AH858">IF($F858&lt;&gt;"", XLOOKUP($F858,Productos!$A$2:$A1001,Productos!AA$2:AA1001,"")*$G858,"")</f>
        <v/>
      </c>
      <c r="AI858" s="179" t="str">
        <f t="array" ref="AI858">IF($F858&lt;&gt;"",XLOOKUP($F858,Productos!$A:$A,Productos!AB:AB,"Revisar"),"")</f>
        <v/>
      </c>
      <c r="AJ858" s="179" t="str">
        <f t="array" ref="AJ858">IF($F858&lt;&gt;"", XLOOKUP($F858,Productos!$A$2:$A1001,Productos!AC$2:AC1001,"")*$G858,"")</f>
        <v/>
      </c>
      <c r="AK858" s="179" t="str">
        <f t="array" ref="AK858">IF($F858&lt;&gt;"",XLOOKUP($F858,Productos!$A:$A,Productos!AD:AD,"Revisar"),"")</f>
        <v/>
      </c>
      <c r="AL858" s="179" t="str">
        <f t="array" ref="AL858">IF($F858&lt;&gt;"", XLOOKUP($F858,Productos!$A$2:$A1001,Productos!AE$2:AE1001,"")*$G858,"")</f>
        <v/>
      </c>
      <c r="AM858" s="179" t="str">
        <f t="array" ref="AM858">IF($F858&lt;&gt;"",XLOOKUP($F858,Productos!$A:$A,Productos!AF:AF,"Revisar"),"")</f>
        <v/>
      </c>
      <c r="AN858" s="179" t="str">
        <f t="array" ref="AN858">IF($F858&lt;&gt;"", XLOOKUP($F858,Productos!$A$2:$A1001,Productos!AG$2:AG1001,"")*$G858,"")</f>
        <v/>
      </c>
      <c r="AO858" s="179" t="str">
        <f t="array" ref="AO858">IF($F858&lt;&gt;"",XLOOKUP($F858,Productos!$A:$A,Productos!AH:AH,"Revisar"),"")</f>
        <v/>
      </c>
      <c r="AP858" s="179" t="str">
        <f t="array" ref="AP858">IF($F858&lt;&gt;"", XLOOKUP($F858,Productos!$A$2:$A1001,Productos!AI$2:AI1001,"")*$G858,"")</f>
        <v/>
      </c>
      <c r="AQ858" s="179" t="str">
        <f t="array" ref="AQ858">IF($F858&lt;&gt;"",XLOOKUP($F858,Productos!$A:$A,Productos!AJ:AJ,"Revisar"),"")</f>
        <v/>
      </c>
      <c r="AR858" s="179" t="str">
        <f t="array" ref="AR858">IF($F858&lt;&gt;"", XLOOKUP($F858,Productos!$A$2:$A1001,Productos!AK$2:AK1001,"")*$G858,"")</f>
        <v/>
      </c>
      <c r="AS858" s="179" t="str">
        <f t="array" ref="AS858">IF($F858&lt;&gt;"",XLOOKUP($F858,Productos!$A:$A,Productos!AL:AL,"Revisar"),"")</f>
        <v/>
      </c>
      <c r="AT858" s="179" t="str">
        <f t="array" ref="AT858">IF($F858&lt;&gt;"", XLOOKUP($F858,Productos!$A$2:$A1001,Productos!AM$2:AM1001,"")*$G858,"")</f>
        <v/>
      </c>
      <c r="AU858" s="179" t="str">
        <f t="array" ref="AU858">IF($F858&lt;&gt;"",XLOOKUP($F858,Productos!$A:$A,Productos!AN:AN,"Revisar"),"")</f>
        <v/>
      </c>
      <c r="AV858" s="179" t="str">
        <f t="array" ref="AV858">IF($F858&lt;&gt;"", XLOOKUP($F858,Productos!$A$2:$A1001,Productos!AO$2:AO1001,"")*$G858,"")</f>
        <v/>
      </c>
      <c r="AW858" s="179" t="str">
        <f t="array" ref="AW858">IF($F858&lt;&gt;"",XLOOKUP($F858,Productos!$A:$A,Productos!AP:AP,"Revisar"),"")</f>
        <v/>
      </c>
      <c r="AX858" s="179" t="str">
        <f t="array" ref="AX858">IF($F858&lt;&gt;"", XLOOKUP($F858,Productos!$A$2:$A1001,Productos!AQ$2:AQ1001,"")*$G858,"")</f>
        <v/>
      </c>
      <c r="AY858" s="179" t="str">
        <f t="array" ref="AY858">IF($F858&lt;&gt;"",XLOOKUP($F858,Productos!$A:$A,Productos!AR:AR,"Revisar"),"")</f>
        <v/>
      </c>
      <c r="AZ858" s="179" t="str">
        <f t="array" ref="AZ858">IF($F858&lt;&gt;"", XLOOKUP($F858,Productos!$A$2:$A1001,Productos!AS$2:AS1001,"")*$G858,"")</f>
        <v/>
      </c>
      <c r="BA858" s="179" t="str">
        <f t="array" ref="BA858">IF($F858&lt;&gt;"",XLOOKUP($F858,Productos!$A:$A,Productos!AT:AT,"Revisar"),"")</f>
        <v/>
      </c>
      <c r="BB858" s="179" t="str">
        <f t="array" ref="BB858">IF($F858&lt;&gt;"", XLOOKUP($F858,Productos!$A$2:$A1001,Productos!AU$2:AU1001,"")*$G858,"")</f>
        <v/>
      </c>
      <c r="BC858" s="179" t="str">
        <f t="array" ref="BC858">IF($F858&lt;&gt;"",XLOOKUP($F858,Productos!$A:$A,Productos!AV:AV,"Revisar"),"")</f>
        <v/>
      </c>
      <c r="BD858" s="179" t="str">
        <f t="array" ref="BD858">IF($F858&lt;&gt;"", XLOOKUP($F858,Productos!$A$2:$A1001,Productos!AW$2:AW1001,"")*$G858,"")</f>
        <v/>
      </c>
      <c r="BE858" s="179" t="str">
        <f t="array" ref="BE858">IF($F858&lt;&gt;"",XLOOKUP($F858,Productos!$A:$A,Productos!AX:AX,"Revisar"),"")</f>
        <v/>
      </c>
      <c r="BF858" s="179" t="str">
        <f t="array" ref="BF858">IF($F858&lt;&gt;"", XLOOKUP($F858,Productos!$A$2:$A1001,Productos!AY$2:AY1001,"")*$G858,"")</f>
        <v/>
      </c>
      <c r="BG858" s="179" t="str">
        <f t="array" ref="BG858">IF($F858&lt;&gt;"",XLOOKUP($F858,Productos!$A:$A,Productos!AZ:AZ,"Revisar"),"")</f>
        <v/>
      </c>
      <c r="BH858" s="179" t="str">
        <f t="array" ref="BH858">IF($F858&lt;&gt;"", XLOOKUP($F858,Productos!$A$2:$A1001,Productos!BA$2:BA1001,"")*$G858,"")</f>
        <v/>
      </c>
      <c r="BI858" s="179" t="str">
        <f t="array" ref="BI858">IF($F858&lt;&gt;"",XLOOKUP($F858,Productos!$A:$A,Productos!BB:BB,"Revisar"),"")</f>
        <v/>
      </c>
      <c r="BJ858" s="179" t="str">
        <f t="array" ref="BJ858">IF($F858&lt;&gt;"", XLOOKUP($F858,Productos!$A$2:$A1001,Productos!BC$2:BC1001,"")*$G858,"")</f>
        <v/>
      </c>
      <c r="BK858" s="179" t="str">
        <f t="array" ref="BK858">IF($F858&lt;&gt;"",XLOOKUP($F858,Productos!$A:$A,Productos!BD:BD,"Revisar"),"")</f>
        <v/>
      </c>
      <c r="BL858" s="179" t="str">
        <f t="array" ref="BL858">IF($F858&lt;&gt;"", XLOOKUP($F858,Productos!$A$2:$A1001,Productos!BE$2:BE1001,"")*$G858,"")</f>
        <v/>
      </c>
      <c r="BM858" s="179" t="str">
        <f t="array" ref="BM858">IF($F858&lt;&gt;"",XLOOKUP($F858,Productos!$A:$A,Productos!BF:BF,"Revisar"),"")</f>
        <v/>
      </c>
      <c r="BN858" s="179" t="str">
        <f t="array" ref="BN858">IF($F858&lt;&gt;"", XLOOKUP($F858,Productos!$A$2:$A1001,Productos!BG$2:BG1001,"")*$G858,"")</f>
        <v/>
      </c>
      <c r="BO858" s="179" t="str">
        <f t="array" ref="BO858">IF($F858&lt;&gt;"",XLOOKUP($F858,Productos!$A:$A,Productos!BH:BH,"Revisar"),"")</f>
        <v/>
      </c>
      <c r="BP858" s="179" t="str">
        <f t="array" ref="BP858">IF($F858&lt;&gt;"", XLOOKUP($F858,Productos!$A$2:$A1001,Productos!BI$2:BI1001,"")*$G858,"")</f>
        <v/>
      </c>
      <c r="BQ858" s="179" t="str">
        <f t="array" ref="BQ858">IF($F858&lt;&gt;"",XLOOKUP($F858,Productos!$A:$A,Productos!BJ:BJ,"Revisar"),"")</f>
        <v/>
      </c>
      <c r="BR858" s="179" t="str">
        <f t="array" ref="BR858">IF($F858&lt;&gt;"", XLOOKUP($F858,Productos!$A$2:$A1001,Productos!BK$2:BK1001,"")*$G858,"")</f>
        <v/>
      </c>
      <c r="BS858" s="179" t="str">
        <f t="array" ref="BS858">IF($F858&lt;&gt;"",XLOOKUP($F858,Productos!$A:$A,Productos!BL:BL,"Revisar"),"")</f>
        <v/>
      </c>
      <c r="BT858" s="179" t="str">
        <f t="array" ref="BT858">IF($F858&lt;&gt;"", XLOOKUP($F858,Productos!$A$2:$A1001,Productos!BM$2:BM1001,"")*$G858,"")</f>
        <v/>
      </c>
      <c r="BU858" s="179" t="str">
        <f t="array" ref="BU858">IF($F858&lt;&gt;"",XLOOKUP($F858,Productos!$A:$A,Productos!BN:BN,"Revisar"),"")</f>
        <v/>
      </c>
      <c r="BV858" s="179" t="str">
        <f t="array" ref="BV858">IF($F858&lt;&gt;"", XLOOKUP($F858,Productos!$A$2:$A1001,Productos!BO$2:BO1001,"")*$G858,"")</f>
        <v/>
      </c>
      <c r="BW858" s="179" t="str">
        <f t="array" ref="BW858">IF($F858&lt;&gt;"",XLOOKUP($F858,Productos!$A:$A,Productos!BP:BP,"Revisar"),"")</f>
        <v/>
      </c>
      <c r="BX858" s="179" t="str">
        <f t="array" ref="BX858">IF($F858&lt;&gt;"", XLOOKUP($F858,Productos!$A$2:$A1001,Productos!BQ$2:BQ1001,"")*$G858,"")</f>
        <v/>
      </c>
      <c r="BY858" s="179" t="str">
        <f t="array" ref="BY858">IF($F858&lt;&gt;"",XLOOKUP($F858,Productos!$A:$A,Productos!BR:BR,"Revisar"),"")</f>
        <v/>
      </c>
      <c r="BZ858" s="179" t="str">
        <f t="array" ref="BZ858">IF($F858&lt;&gt;"", XLOOKUP($F858,Productos!$A$2:$A1001,Productos!BS$2:BS1001,"")*$G858,"")</f>
        <v/>
      </c>
    </row>
    <row r="859">
      <c r="A859" s="188"/>
      <c r="B859" s="189"/>
      <c r="C859" s="190"/>
      <c r="D859" s="190"/>
      <c r="E859" s="191"/>
      <c r="F859" s="186"/>
      <c r="G859" s="192"/>
      <c r="H859" s="9"/>
      <c r="I859" s="179" t="str">
        <f t="array" ref="I859">IF($F859&lt;&gt;"",XLOOKUP($F859,Productos!$A:$A,Productos!B:B,"Revisar"),"")</f>
        <v/>
      </c>
      <c r="J859" s="179" t="str">
        <f t="array" ref="J859">IF($F859&lt;&gt;"", XLOOKUP($F859,Productos!$A$2:$A1001,Productos!C$2:C1001,"")*$G859,"")</f>
        <v/>
      </c>
      <c r="K859" s="179" t="str">
        <f t="array" ref="K859">IF($F859&lt;&gt;"",XLOOKUP($F859,Productos!$A:$A,Productos!D:D,"Revisar"),"")</f>
        <v/>
      </c>
      <c r="L859" s="179" t="str">
        <f t="array" ref="L859">IF($F859&lt;&gt;"", XLOOKUP($F859,Productos!$A$2:$A1001,Productos!E$2:E1001,"")*$G859,"")</f>
        <v/>
      </c>
      <c r="M859" s="179" t="str">
        <f t="array" ref="M859">IF($F859&lt;&gt;"",XLOOKUP($F859,Productos!$A:$A,Productos!F:F,"Revisar"),"")</f>
        <v/>
      </c>
      <c r="N859" s="179" t="str">
        <f t="array" ref="N859">IF($F859&lt;&gt;"", XLOOKUP($F859,Productos!$A$2:$A1001,Productos!G$2:G1001,"")*$G859,"")</f>
        <v/>
      </c>
      <c r="O859" s="179" t="str">
        <f t="array" ref="O859">IF($F859&lt;&gt;"",XLOOKUP($F859,Productos!$A:$A,Productos!H:H,"Revisar"),"")</f>
        <v/>
      </c>
      <c r="P859" s="179" t="str">
        <f t="array" ref="P859">IF($F859&lt;&gt;"", XLOOKUP($F859,Productos!$A$2:$A1001,Productos!I$2:I1001,"")*$G859,"")</f>
        <v/>
      </c>
      <c r="Q859" s="179" t="str">
        <f t="array" ref="Q859">IF($F859&lt;&gt;"",XLOOKUP($F859,Productos!$A:$A,Productos!J:J,"Revisar"),"")</f>
        <v/>
      </c>
      <c r="R859" s="179" t="str">
        <f t="array" ref="R859">IF($F859&lt;&gt;"", XLOOKUP($F859,Productos!$A$2:$A1001,Productos!K$2:K1001,"")*$G859,"")</f>
        <v/>
      </c>
      <c r="S859" s="179" t="str">
        <f t="array" ref="S859">IF($F859&lt;&gt;"",XLOOKUP($F859,Productos!$A:$A,Productos!L:L,"Revisar"),"")</f>
        <v/>
      </c>
      <c r="T859" s="179" t="str">
        <f t="array" ref="T859">IF($F859&lt;&gt;"", XLOOKUP($F859,Productos!$A$2:$A1001,Productos!M$2:M1001,"")*$G859,"")</f>
        <v/>
      </c>
      <c r="U859" s="179" t="str">
        <f t="array" ref="U859">IF($F859&lt;&gt;"",XLOOKUP($F859,Productos!$A:$A,Productos!N:N,"Revisar"),"")</f>
        <v/>
      </c>
      <c r="V859" s="179" t="str">
        <f t="array" ref="V859">IF($F859&lt;&gt;"", XLOOKUP($F859,Productos!$A$2:$A1001,Productos!O$2:O1001,"")*$G859,"")</f>
        <v/>
      </c>
      <c r="W859" s="179" t="str">
        <f t="array" ref="W859">IF($F859&lt;&gt;"",XLOOKUP($F859,Productos!$A:$A,Productos!P:P,"Revisar"),"")</f>
        <v/>
      </c>
      <c r="X859" s="179" t="str">
        <f t="array" ref="X859">IF($F859&lt;&gt;"", XLOOKUP($F859,Productos!$A$2:$A1001,Productos!Q$2:Q1001,"")*$G859,"")</f>
        <v/>
      </c>
      <c r="Y859" s="179" t="str">
        <f t="array" ref="Y859">IF($F859&lt;&gt;"",XLOOKUP($F859,Productos!$A:$A,Productos!R:R,"Revisar"),"")</f>
        <v/>
      </c>
      <c r="Z859" s="179" t="str">
        <f t="array" ref="Z859">IF($F859&lt;&gt;"", XLOOKUP($F859,Productos!$A$2:$A1001,Productos!S$2:S1001,"")*$G859,"")</f>
        <v/>
      </c>
      <c r="AA859" s="179" t="str">
        <f t="array" ref="AA859">IF($F859&lt;&gt;"",XLOOKUP($F859,Productos!$A:$A,Productos!T:T,"Revisar"),"")</f>
        <v/>
      </c>
      <c r="AB859" s="179" t="str">
        <f t="array" ref="AB859">IF($F859&lt;&gt;"", XLOOKUP($F859,Productos!$A$2:$A1001,Productos!U$2:U1001,"")*$G859,"")</f>
        <v/>
      </c>
      <c r="AC859" s="179" t="str">
        <f t="array" ref="AC859">IF($F859&lt;&gt;"",XLOOKUP($F859,Productos!$A:$A,Productos!V:V,"Revisar"),"")</f>
        <v/>
      </c>
      <c r="AD859" s="179" t="str">
        <f t="array" ref="AD859">IF($F859&lt;&gt;"", XLOOKUP($F859,Productos!$A$2:$A1001,Productos!W$2:W1001,"")*$G859,"")</f>
        <v/>
      </c>
      <c r="AE859" s="179" t="str">
        <f t="array" ref="AE859">IF($F859&lt;&gt;"",XLOOKUP($F859,Productos!$A:$A,Productos!X:X,"Revisar"),"")</f>
        <v/>
      </c>
      <c r="AF859" s="179" t="str">
        <f t="array" ref="AF859">IF($F859&lt;&gt;"", XLOOKUP($F859,Productos!$A$2:$A1001,Productos!Y$2:Y1001,"")*$G859,"")</f>
        <v/>
      </c>
      <c r="AG859" s="179" t="str">
        <f t="array" ref="AG859">IF($F859&lt;&gt;"",XLOOKUP($F859,Productos!$A:$A,Productos!Z:Z,"Revisar"),"")</f>
        <v/>
      </c>
      <c r="AH859" s="179" t="str">
        <f t="array" ref="AH859">IF($F859&lt;&gt;"", XLOOKUP($F859,Productos!$A$2:$A1001,Productos!AA$2:AA1001,"")*$G859,"")</f>
        <v/>
      </c>
      <c r="AI859" s="179" t="str">
        <f t="array" ref="AI859">IF($F859&lt;&gt;"",XLOOKUP($F859,Productos!$A:$A,Productos!AB:AB,"Revisar"),"")</f>
        <v/>
      </c>
      <c r="AJ859" s="179" t="str">
        <f t="array" ref="AJ859">IF($F859&lt;&gt;"", XLOOKUP($F859,Productos!$A$2:$A1001,Productos!AC$2:AC1001,"")*$G859,"")</f>
        <v/>
      </c>
      <c r="AK859" s="179" t="str">
        <f t="array" ref="AK859">IF($F859&lt;&gt;"",XLOOKUP($F859,Productos!$A:$A,Productos!AD:AD,"Revisar"),"")</f>
        <v/>
      </c>
      <c r="AL859" s="179" t="str">
        <f t="array" ref="AL859">IF($F859&lt;&gt;"", XLOOKUP($F859,Productos!$A$2:$A1001,Productos!AE$2:AE1001,"")*$G859,"")</f>
        <v/>
      </c>
      <c r="AM859" s="179" t="str">
        <f t="array" ref="AM859">IF($F859&lt;&gt;"",XLOOKUP($F859,Productos!$A:$A,Productos!AF:AF,"Revisar"),"")</f>
        <v/>
      </c>
      <c r="AN859" s="179" t="str">
        <f t="array" ref="AN859">IF($F859&lt;&gt;"", XLOOKUP($F859,Productos!$A$2:$A1001,Productos!AG$2:AG1001,"")*$G859,"")</f>
        <v/>
      </c>
      <c r="AO859" s="179" t="str">
        <f t="array" ref="AO859">IF($F859&lt;&gt;"",XLOOKUP($F859,Productos!$A:$A,Productos!AH:AH,"Revisar"),"")</f>
        <v/>
      </c>
      <c r="AP859" s="179" t="str">
        <f t="array" ref="AP859">IF($F859&lt;&gt;"", XLOOKUP($F859,Productos!$A$2:$A1001,Productos!AI$2:AI1001,"")*$G859,"")</f>
        <v/>
      </c>
      <c r="AQ859" s="179" t="str">
        <f t="array" ref="AQ859">IF($F859&lt;&gt;"",XLOOKUP($F859,Productos!$A:$A,Productos!AJ:AJ,"Revisar"),"")</f>
        <v/>
      </c>
      <c r="AR859" s="179" t="str">
        <f t="array" ref="AR859">IF($F859&lt;&gt;"", XLOOKUP($F859,Productos!$A$2:$A1001,Productos!AK$2:AK1001,"")*$G859,"")</f>
        <v/>
      </c>
      <c r="AS859" s="179" t="str">
        <f t="array" ref="AS859">IF($F859&lt;&gt;"",XLOOKUP($F859,Productos!$A:$A,Productos!AL:AL,"Revisar"),"")</f>
        <v/>
      </c>
      <c r="AT859" s="179" t="str">
        <f t="array" ref="AT859">IF($F859&lt;&gt;"", XLOOKUP($F859,Productos!$A$2:$A1001,Productos!AM$2:AM1001,"")*$G859,"")</f>
        <v/>
      </c>
      <c r="AU859" s="179" t="str">
        <f t="array" ref="AU859">IF($F859&lt;&gt;"",XLOOKUP($F859,Productos!$A:$A,Productos!AN:AN,"Revisar"),"")</f>
        <v/>
      </c>
      <c r="AV859" s="179" t="str">
        <f t="array" ref="AV859">IF($F859&lt;&gt;"", XLOOKUP($F859,Productos!$A$2:$A1001,Productos!AO$2:AO1001,"")*$G859,"")</f>
        <v/>
      </c>
      <c r="AW859" s="179" t="str">
        <f t="array" ref="AW859">IF($F859&lt;&gt;"",XLOOKUP($F859,Productos!$A:$A,Productos!AP:AP,"Revisar"),"")</f>
        <v/>
      </c>
      <c r="AX859" s="179" t="str">
        <f t="array" ref="AX859">IF($F859&lt;&gt;"", XLOOKUP($F859,Productos!$A$2:$A1001,Productos!AQ$2:AQ1001,"")*$G859,"")</f>
        <v/>
      </c>
      <c r="AY859" s="179" t="str">
        <f t="array" ref="AY859">IF($F859&lt;&gt;"",XLOOKUP($F859,Productos!$A:$A,Productos!AR:AR,"Revisar"),"")</f>
        <v/>
      </c>
      <c r="AZ859" s="179" t="str">
        <f t="array" ref="AZ859">IF($F859&lt;&gt;"", XLOOKUP($F859,Productos!$A$2:$A1001,Productos!AS$2:AS1001,"")*$G859,"")</f>
        <v/>
      </c>
      <c r="BA859" s="179" t="str">
        <f t="array" ref="BA859">IF($F859&lt;&gt;"",XLOOKUP($F859,Productos!$A:$A,Productos!AT:AT,"Revisar"),"")</f>
        <v/>
      </c>
      <c r="BB859" s="179" t="str">
        <f t="array" ref="BB859">IF($F859&lt;&gt;"", XLOOKUP($F859,Productos!$A$2:$A1001,Productos!AU$2:AU1001,"")*$G859,"")</f>
        <v/>
      </c>
      <c r="BC859" s="179" t="str">
        <f t="array" ref="BC859">IF($F859&lt;&gt;"",XLOOKUP($F859,Productos!$A:$A,Productos!AV:AV,"Revisar"),"")</f>
        <v/>
      </c>
      <c r="BD859" s="179" t="str">
        <f t="array" ref="BD859">IF($F859&lt;&gt;"", XLOOKUP($F859,Productos!$A$2:$A1001,Productos!AW$2:AW1001,"")*$G859,"")</f>
        <v/>
      </c>
      <c r="BE859" s="179" t="str">
        <f t="array" ref="BE859">IF($F859&lt;&gt;"",XLOOKUP($F859,Productos!$A:$A,Productos!AX:AX,"Revisar"),"")</f>
        <v/>
      </c>
      <c r="BF859" s="179" t="str">
        <f t="array" ref="BF859">IF($F859&lt;&gt;"", XLOOKUP($F859,Productos!$A$2:$A1001,Productos!AY$2:AY1001,"")*$G859,"")</f>
        <v/>
      </c>
      <c r="BG859" s="179" t="str">
        <f t="array" ref="BG859">IF($F859&lt;&gt;"",XLOOKUP($F859,Productos!$A:$A,Productos!AZ:AZ,"Revisar"),"")</f>
        <v/>
      </c>
      <c r="BH859" s="179" t="str">
        <f t="array" ref="BH859">IF($F859&lt;&gt;"", XLOOKUP($F859,Productos!$A$2:$A1001,Productos!BA$2:BA1001,"")*$G859,"")</f>
        <v/>
      </c>
      <c r="BI859" s="179" t="str">
        <f t="array" ref="BI859">IF($F859&lt;&gt;"",XLOOKUP($F859,Productos!$A:$A,Productos!BB:BB,"Revisar"),"")</f>
        <v/>
      </c>
      <c r="BJ859" s="179" t="str">
        <f t="array" ref="BJ859">IF($F859&lt;&gt;"", XLOOKUP($F859,Productos!$A$2:$A1001,Productos!BC$2:BC1001,"")*$G859,"")</f>
        <v/>
      </c>
      <c r="BK859" s="179" t="str">
        <f t="array" ref="BK859">IF($F859&lt;&gt;"",XLOOKUP($F859,Productos!$A:$A,Productos!BD:BD,"Revisar"),"")</f>
        <v/>
      </c>
      <c r="BL859" s="179" t="str">
        <f t="array" ref="BL859">IF($F859&lt;&gt;"", XLOOKUP($F859,Productos!$A$2:$A1001,Productos!BE$2:BE1001,"")*$G859,"")</f>
        <v/>
      </c>
      <c r="BM859" s="179" t="str">
        <f t="array" ref="BM859">IF($F859&lt;&gt;"",XLOOKUP($F859,Productos!$A:$A,Productos!BF:BF,"Revisar"),"")</f>
        <v/>
      </c>
      <c r="BN859" s="179" t="str">
        <f t="array" ref="BN859">IF($F859&lt;&gt;"", XLOOKUP($F859,Productos!$A$2:$A1001,Productos!BG$2:BG1001,"")*$G859,"")</f>
        <v/>
      </c>
      <c r="BO859" s="179" t="str">
        <f t="array" ref="BO859">IF($F859&lt;&gt;"",XLOOKUP($F859,Productos!$A:$A,Productos!BH:BH,"Revisar"),"")</f>
        <v/>
      </c>
      <c r="BP859" s="179" t="str">
        <f t="array" ref="BP859">IF($F859&lt;&gt;"", XLOOKUP($F859,Productos!$A$2:$A1001,Productos!BI$2:BI1001,"")*$G859,"")</f>
        <v/>
      </c>
      <c r="BQ859" s="179" t="str">
        <f t="array" ref="BQ859">IF($F859&lt;&gt;"",XLOOKUP($F859,Productos!$A:$A,Productos!BJ:BJ,"Revisar"),"")</f>
        <v/>
      </c>
      <c r="BR859" s="179" t="str">
        <f t="array" ref="BR859">IF($F859&lt;&gt;"", XLOOKUP($F859,Productos!$A$2:$A1001,Productos!BK$2:BK1001,"")*$G859,"")</f>
        <v/>
      </c>
      <c r="BS859" s="179" t="str">
        <f t="array" ref="BS859">IF($F859&lt;&gt;"",XLOOKUP($F859,Productos!$A:$A,Productos!BL:BL,"Revisar"),"")</f>
        <v/>
      </c>
      <c r="BT859" s="179" t="str">
        <f t="array" ref="BT859">IF($F859&lt;&gt;"", XLOOKUP($F859,Productos!$A$2:$A1001,Productos!BM$2:BM1001,"")*$G859,"")</f>
        <v/>
      </c>
      <c r="BU859" s="179" t="str">
        <f t="array" ref="BU859">IF($F859&lt;&gt;"",XLOOKUP($F859,Productos!$A:$A,Productos!BN:BN,"Revisar"),"")</f>
        <v/>
      </c>
      <c r="BV859" s="179" t="str">
        <f t="array" ref="BV859">IF($F859&lt;&gt;"", XLOOKUP($F859,Productos!$A$2:$A1001,Productos!BO$2:BO1001,"")*$G859,"")</f>
        <v/>
      </c>
      <c r="BW859" s="179" t="str">
        <f t="array" ref="BW859">IF($F859&lt;&gt;"",XLOOKUP($F859,Productos!$A:$A,Productos!BP:BP,"Revisar"),"")</f>
        <v/>
      </c>
      <c r="BX859" s="179" t="str">
        <f t="array" ref="BX859">IF($F859&lt;&gt;"", XLOOKUP($F859,Productos!$A$2:$A1001,Productos!BQ$2:BQ1001,"")*$G859,"")</f>
        <v/>
      </c>
      <c r="BY859" s="179" t="str">
        <f t="array" ref="BY859">IF($F859&lt;&gt;"",XLOOKUP($F859,Productos!$A:$A,Productos!BR:BR,"Revisar"),"")</f>
        <v/>
      </c>
      <c r="BZ859" s="179" t="str">
        <f t="array" ref="BZ859">IF($F859&lt;&gt;"", XLOOKUP($F859,Productos!$A$2:$A1001,Productos!BS$2:BS1001,"")*$G859,"")</f>
        <v/>
      </c>
    </row>
    <row r="860">
      <c r="A860" s="188"/>
      <c r="B860" s="189"/>
      <c r="C860" s="190"/>
      <c r="D860" s="190"/>
      <c r="E860" s="191"/>
      <c r="F860" s="186"/>
      <c r="G860" s="192"/>
      <c r="H860" s="9"/>
      <c r="I860" s="179" t="str">
        <f t="array" ref="I860">IF($F860&lt;&gt;"",XLOOKUP($F860,Productos!$A:$A,Productos!B:B,"Revisar"),"")</f>
        <v/>
      </c>
      <c r="J860" s="179" t="str">
        <f t="array" ref="J860">IF($F860&lt;&gt;"", XLOOKUP($F860,Productos!$A$2:$A1001,Productos!C$2:C1001,"")*$G860,"")</f>
        <v/>
      </c>
      <c r="K860" s="179" t="str">
        <f t="array" ref="K860">IF($F860&lt;&gt;"",XLOOKUP($F860,Productos!$A:$A,Productos!D:D,"Revisar"),"")</f>
        <v/>
      </c>
      <c r="L860" s="179" t="str">
        <f t="array" ref="L860">IF($F860&lt;&gt;"", XLOOKUP($F860,Productos!$A$2:$A1001,Productos!E$2:E1001,"")*$G860,"")</f>
        <v/>
      </c>
      <c r="M860" s="179" t="str">
        <f t="array" ref="M860">IF($F860&lt;&gt;"",XLOOKUP($F860,Productos!$A:$A,Productos!F:F,"Revisar"),"")</f>
        <v/>
      </c>
      <c r="N860" s="179" t="str">
        <f t="array" ref="N860">IF($F860&lt;&gt;"", XLOOKUP($F860,Productos!$A$2:$A1001,Productos!G$2:G1001,"")*$G860,"")</f>
        <v/>
      </c>
      <c r="O860" s="179" t="str">
        <f t="array" ref="O860">IF($F860&lt;&gt;"",XLOOKUP($F860,Productos!$A:$A,Productos!H:H,"Revisar"),"")</f>
        <v/>
      </c>
      <c r="P860" s="179" t="str">
        <f t="array" ref="P860">IF($F860&lt;&gt;"", XLOOKUP($F860,Productos!$A$2:$A1001,Productos!I$2:I1001,"")*$G860,"")</f>
        <v/>
      </c>
      <c r="Q860" s="179" t="str">
        <f t="array" ref="Q860">IF($F860&lt;&gt;"",XLOOKUP($F860,Productos!$A:$A,Productos!J:J,"Revisar"),"")</f>
        <v/>
      </c>
      <c r="R860" s="179" t="str">
        <f t="array" ref="R860">IF($F860&lt;&gt;"", XLOOKUP($F860,Productos!$A$2:$A1001,Productos!K$2:K1001,"")*$G860,"")</f>
        <v/>
      </c>
      <c r="S860" s="179" t="str">
        <f t="array" ref="S860">IF($F860&lt;&gt;"",XLOOKUP($F860,Productos!$A:$A,Productos!L:L,"Revisar"),"")</f>
        <v/>
      </c>
      <c r="T860" s="179" t="str">
        <f t="array" ref="T860">IF($F860&lt;&gt;"", XLOOKUP($F860,Productos!$A$2:$A1001,Productos!M$2:M1001,"")*$G860,"")</f>
        <v/>
      </c>
      <c r="U860" s="179" t="str">
        <f t="array" ref="U860">IF($F860&lt;&gt;"",XLOOKUP($F860,Productos!$A:$A,Productos!N:N,"Revisar"),"")</f>
        <v/>
      </c>
      <c r="V860" s="179" t="str">
        <f t="array" ref="V860">IF($F860&lt;&gt;"", XLOOKUP($F860,Productos!$A$2:$A1001,Productos!O$2:O1001,"")*$G860,"")</f>
        <v/>
      </c>
      <c r="W860" s="179" t="str">
        <f t="array" ref="W860">IF($F860&lt;&gt;"",XLOOKUP($F860,Productos!$A:$A,Productos!P:P,"Revisar"),"")</f>
        <v/>
      </c>
      <c r="X860" s="179" t="str">
        <f t="array" ref="X860">IF($F860&lt;&gt;"", XLOOKUP($F860,Productos!$A$2:$A1001,Productos!Q$2:Q1001,"")*$G860,"")</f>
        <v/>
      </c>
      <c r="Y860" s="179" t="str">
        <f t="array" ref="Y860">IF($F860&lt;&gt;"",XLOOKUP($F860,Productos!$A:$A,Productos!R:R,"Revisar"),"")</f>
        <v/>
      </c>
      <c r="Z860" s="179" t="str">
        <f t="array" ref="Z860">IF($F860&lt;&gt;"", XLOOKUP($F860,Productos!$A$2:$A1001,Productos!S$2:S1001,"")*$G860,"")</f>
        <v/>
      </c>
      <c r="AA860" s="179" t="str">
        <f t="array" ref="AA860">IF($F860&lt;&gt;"",XLOOKUP($F860,Productos!$A:$A,Productos!T:T,"Revisar"),"")</f>
        <v/>
      </c>
      <c r="AB860" s="179" t="str">
        <f t="array" ref="AB860">IF($F860&lt;&gt;"", XLOOKUP($F860,Productos!$A$2:$A1001,Productos!U$2:U1001,"")*$G860,"")</f>
        <v/>
      </c>
      <c r="AC860" s="179" t="str">
        <f t="array" ref="AC860">IF($F860&lt;&gt;"",XLOOKUP($F860,Productos!$A:$A,Productos!V:V,"Revisar"),"")</f>
        <v/>
      </c>
      <c r="AD860" s="179" t="str">
        <f t="array" ref="AD860">IF($F860&lt;&gt;"", XLOOKUP($F860,Productos!$A$2:$A1001,Productos!W$2:W1001,"")*$G860,"")</f>
        <v/>
      </c>
      <c r="AE860" s="179" t="str">
        <f t="array" ref="AE860">IF($F860&lt;&gt;"",XLOOKUP($F860,Productos!$A:$A,Productos!X:X,"Revisar"),"")</f>
        <v/>
      </c>
      <c r="AF860" s="179" t="str">
        <f t="array" ref="AF860">IF($F860&lt;&gt;"", XLOOKUP($F860,Productos!$A$2:$A1001,Productos!Y$2:Y1001,"")*$G860,"")</f>
        <v/>
      </c>
      <c r="AG860" s="179" t="str">
        <f t="array" ref="AG860">IF($F860&lt;&gt;"",XLOOKUP($F860,Productos!$A:$A,Productos!Z:Z,"Revisar"),"")</f>
        <v/>
      </c>
      <c r="AH860" s="179" t="str">
        <f t="array" ref="AH860">IF($F860&lt;&gt;"", XLOOKUP($F860,Productos!$A$2:$A1001,Productos!AA$2:AA1001,"")*$G860,"")</f>
        <v/>
      </c>
      <c r="AI860" s="179" t="str">
        <f t="array" ref="AI860">IF($F860&lt;&gt;"",XLOOKUP($F860,Productos!$A:$A,Productos!AB:AB,"Revisar"),"")</f>
        <v/>
      </c>
      <c r="AJ860" s="179" t="str">
        <f t="array" ref="AJ860">IF($F860&lt;&gt;"", XLOOKUP($F860,Productos!$A$2:$A1001,Productos!AC$2:AC1001,"")*$G860,"")</f>
        <v/>
      </c>
      <c r="AK860" s="179" t="str">
        <f t="array" ref="AK860">IF($F860&lt;&gt;"",XLOOKUP($F860,Productos!$A:$A,Productos!AD:AD,"Revisar"),"")</f>
        <v/>
      </c>
      <c r="AL860" s="179" t="str">
        <f t="array" ref="AL860">IF($F860&lt;&gt;"", XLOOKUP($F860,Productos!$A$2:$A1001,Productos!AE$2:AE1001,"")*$G860,"")</f>
        <v/>
      </c>
      <c r="AM860" s="179" t="str">
        <f t="array" ref="AM860">IF($F860&lt;&gt;"",XLOOKUP($F860,Productos!$A:$A,Productos!AF:AF,"Revisar"),"")</f>
        <v/>
      </c>
      <c r="AN860" s="179" t="str">
        <f t="array" ref="AN860">IF($F860&lt;&gt;"", XLOOKUP($F860,Productos!$A$2:$A1001,Productos!AG$2:AG1001,"")*$G860,"")</f>
        <v/>
      </c>
      <c r="AO860" s="179" t="str">
        <f t="array" ref="AO860">IF($F860&lt;&gt;"",XLOOKUP($F860,Productos!$A:$A,Productos!AH:AH,"Revisar"),"")</f>
        <v/>
      </c>
      <c r="AP860" s="179" t="str">
        <f t="array" ref="AP860">IF($F860&lt;&gt;"", XLOOKUP($F860,Productos!$A$2:$A1001,Productos!AI$2:AI1001,"")*$G860,"")</f>
        <v/>
      </c>
      <c r="AQ860" s="179" t="str">
        <f t="array" ref="AQ860">IF($F860&lt;&gt;"",XLOOKUP($F860,Productos!$A:$A,Productos!AJ:AJ,"Revisar"),"")</f>
        <v/>
      </c>
      <c r="AR860" s="179" t="str">
        <f t="array" ref="AR860">IF($F860&lt;&gt;"", XLOOKUP($F860,Productos!$A$2:$A1001,Productos!AK$2:AK1001,"")*$G860,"")</f>
        <v/>
      </c>
      <c r="AS860" s="179" t="str">
        <f t="array" ref="AS860">IF($F860&lt;&gt;"",XLOOKUP($F860,Productos!$A:$A,Productos!AL:AL,"Revisar"),"")</f>
        <v/>
      </c>
      <c r="AT860" s="179" t="str">
        <f t="array" ref="AT860">IF($F860&lt;&gt;"", XLOOKUP($F860,Productos!$A$2:$A1001,Productos!AM$2:AM1001,"")*$G860,"")</f>
        <v/>
      </c>
      <c r="AU860" s="179" t="str">
        <f t="array" ref="AU860">IF($F860&lt;&gt;"",XLOOKUP($F860,Productos!$A:$A,Productos!AN:AN,"Revisar"),"")</f>
        <v/>
      </c>
      <c r="AV860" s="179" t="str">
        <f t="array" ref="AV860">IF($F860&lt;&gt;"", XLOOKUP($F860,Productos!$A$2:$A1001,Productos!AO$2:AO1001,"")*$G860,"")</f>
        <v/>
      </c>
      <c r="AW860" s="179" t="str">
        <f t="array" ref="AW860">IF($F860&lt;&gt;"",XLOOKUP($F860,Productos!$A:$A,Productos!AP:AP,"Revisar"),"")</f>
        <v/>
      </c>
      <c r="AX860" s="179" t="str">
        <f t="array" ref="AX860">IF($F860&lt;&gt;"", XLOOKUP($F860,Productos!$A$2:$A1001,Productos!AQ$2:AQ1001,"")*$G860,"")</f>
        <v/>
      </c>
      <c r="AY860" s="179" t="str">
        <f t="array" ref="AY860">IF($F860&lt;&gt;"",XLOOKUP($F860,Productos!$A:$A,Productos!AR:AR,"Revisar"),"")</f>
        <v/>
      </c>
      <c r="AZ860" s="179" t="str">
        <f t="array" ref="AZ860">IF($F860&lt;&gt;"", XLOOKUP($F860,Productos!$A$2:$A1001,Productos!AS$2:AS1001,"")*$G860,"")</f>
        <v/>
      </c>
      <c r="BA860" s="179" t="str">
        <f t="array" ref="BA860">IF($F860&lt;&gt;"",XLOOKUP($F860,Productos!$A:$A,Productos!AT:AT,"Revisar"),"")</f>
        <v/>
      </c>
      <c r="BB860" s="179" t="str">
        <f t="array" ref="BB860">IF($F860&lt;&gt;"", XLOOKUP($F860,Productos!$A$2:$A1001,Productos!AU$2:AU1001,"")*$G860,"")</f>
        <v/>
      </c>
      <c r="BC860" s="179" t="str">
        <f t="array" ref="BC860">IF($F860&lt;&gt;"",XLOOKUP($F860,Productos!$A:$A,Productos!AV:AV,"Revisar"),"")</f>
        <v/>
      </c>
      <c r="BD860" s="179" t="str">
        <f t="array" ref="BD860">IF($F860&lt;&gt;"", XLOOKUP($F860,Productos!$A$2:$A1001,Productos!AW$2:AW1001,"")*$G860,"")</f>
        <v/>
      </c>
      <c r="BE860" s="179" t="str">
        <f t="array" ref="BE860">IF($F860&lt;&gt;"",XLOOKUP($F860,Productos!$A:$A,Productos!AX:AX,"Revisar"),"")</f>
        <v/>
      </c>
      <c r="BF860" s="179" t="str">
        <f t="array" ref="BF860">IF($F860&lt;&gt;"", XLOOKUP($F860,Productos!$A$2:$A1001,Productos!AY$2:AY1001,"")*$G860,"")</f>
        <v/>
      </c>
      <c r="BG860" s="179" t="str">
        <f t="array" ref="BG860">IF($F860&lt;&gt;"",XLOOKUP($F860,Productos!$A:$A,Productos!AZ:AZ,"Revisar"),"")</f>
        <v/>
      </c>
      <c r="BH860" s="179" t="str">
        <f t="array" ref="BH860">IF($F860&lt;&gt;"", XLOOKUP($F860,Productos!$A$2:$A1001,Productos!BA$2:BA1001,"")*$G860,"")</f>
        <v/>
      </c>
      <c r="BI860" s="179" t="str">
        <f t="array" ref="BI860">IF($F860&lt;&gt;"",XLOOKUP($F860,Productos!$A:$A,Productos!BB:BB,"Revisar"),"")</f>
        <v/>
      </c>
      <c r="BJ860" s="179" t="str">
        <f t="array" ref="BJ860">IF($F860&lt;&gt;"", XLOOKUP($F860,Productos!$A$2:$A1001,Productos!BC$2:BC1001,"")*$G860,"")</f>
        <v/>
      </c>
      <c r="BK860" s="179" t="str">
        <f t="array" ref="BK860">IF($F860&lt;&gt;"",XLOOKUP($F860,Productos!$A:$A,Productos!BD:BD,"Revisar"),"")</f>
        <v/>
      </c>
      <c r="BL860" s="179" t="str">
        <f t="array" ref="BL860">IF($F860&lt;&gt;"", XLOOKUP($F860,Productos!$A$2:$A1001,Productos!BE$2:BE1001,"")*$G860,"")</f>
        <v/>
      </c>
      <c r="BM860" s="179" t="str">
        <f t="array" ref="BM860">IF($F860&lt;&gt;"",XLOOKUP($F860,Productos!$A:$A,Productos!BF:BF,"Revisar"),"")</f>
        <v/>
      </c>
      <c r="BN860" s="179" t="str">
        <f t="array" ref="BN860">IF($F860&lt;&gt;"", XLOOKUP($F860,Productos!$A$2:$A1001,Productos!BG$2:BG1001,"")*$G860,"")</f>
        <v/>
      </c>
      <c r="BO860" s="179" t="str">
        <f t="array" ref="BO860">IF($F860&lt;&gt;"",XLOOKUP($F860,Productos!$A:$A,Productos!BH:BH,"Revisar"),"")</f>
        <v/>
      </c>
      <c r="BP860" s="179" t="str">
        <f t="array" ref="BP860">IF($F860&lt;&gt;"", XLOOKUP($F860,Productos!$A$2:$A1001,Productos!BI$2:BI1001,"")*$G860,"")</f>
        <v/>
      </c>
      <c r="BQ860" s="179" t="str">
        <f t="array" ref="BQ860">IF($F860&lt;&gt;"",XLOOKUP($F860,Productos!$A:$A,Productos!BJ:BJ,"Revisar"),"")</f>
        <v/>
      </c>
      <c r="BR860" s="179" t="str">
        <f t="array" ref="BR860">IF($F860&lt;&gt;"", XLOOKUP($F860,Productos!$A$2:$A1001,Productos!BK$2:BK1001,"")*$G860,"")</f>
        <v/>
      </c>
      <c r="BS860" s="179" t="str">
        <f t="array" ref="BS860">IF($F860&lt;&gt;"",XLOOKUP($F860,Productos!$A:$A,Productos!BL:BL,"Revisar"),"")</f>
        <v/>
      </c>
      <c r="BT860" s="179" t="str">
        <f t="array" ref="BT860">IF($F860&lt;&gt;"", XLOOKUP($F860,Productos!$A$2:$A1001,Productos!BM$2:BM1001,"")*$G860,"")</f>
        <v/>
      </c>
      <c r="BU860" s="179" t="str">
        <f t="array" ref="BU860">IF($F860&lt;&gt;"",XLOOKUP($F860,Productos!$A:$A,Productos!BN:BN,"Revisar"),"")</f>
        <v/>
      </c>
      <c r="BV860" s="179" t="str">
        <f t="array" ref="BV860">IF($F860&lt;&gt;"", XLOOKUP($F860,Productos!$A$2:$A1001,Productos!BO$2:BO1001,"")*$G860,"")</f>
        <v/>
      </c>
      <c r="BW860" s="179" t="str">
        <f t="array" ref="BW860">IF($F860&lt;&gt;"",XLOOKUP($F860,Productos!$A:$A,Productos!BP:BP,"Revisar"),"")</f>
        <v/>
      </c>
      <c r="BX860" s="179" t="str">
        <f t="array" ref="BX860">IF($F860&lt;&gt;"", XLOOKUP($F860,Productos!$A$2:$A1001,Productos!BQ$2:BQ1001,"")*$G860,"")</f>
        <v/>
      </c>
      <c r="BY860" s="179" t="str">
        <f t="array" ref="BY860">IF($F860&lt;&gt;"",XLOOKUP($F860,Productos!$A:$A,Productos!BR:BR,"Revisar"),"")</f>
        <v/>
      </c>
      <c r="BZ860" s="179" t="str">
        <f t="array" ref="BZ860">IF($F860&lt;&gt;"", XLOOKUP($F860,Productos!$A$2:$A1001,Productos!BS$2:BS1001,"")*$G860,"")</f>
        <v/>
      </c>
    </row>
    <row r="861">
      <c r="A861" s="188"/>
      <c r="B861" s="189"/>
      <c r="C861" s="190"/>
      <c r="D861" s="190"/>
      <c r="E861" s="191"/>
      <c r="F861" s="186"/>
      <c r="G861" s="192"/>
      <c r="H861" s="9"/>
      <c r="I861" s="179" t="str">
        <f t="array" ref="I861">IF($F861&lt;&gt;"",XLOOKUP($F861,Productos!$A:$A,Productos!B:B,"Revisar"),"")</f>
        <v/>
      </c>
      <c r="J861" s="179" t="str">
        <f t="array" ref="J861">IF($F861&lt;&gt;"", XLOOKUP($F861,Productos!$A$2:$A1001,Productos!C$2:C1001,"")*$G861,"")</f>
        <v/>
      </c>
      <c r="K861" s="179" t="str">
        <f t="array" ref="K861">IF($F861&lt;&gt;"",XLOOKUP($F861,Productos!$A:$A,Productos!D:D,"Revisar"),"")</f>
        <v/>
      </c>
      <c r="L861" s="179" t="str">
        <f t="array" ref="L861">IF($F861&lt;&gt;"", XLOOKUP($F861,Productos!$A$2:$A1001,Productos!E$2:E1001,"")*$G861,"")</f>
        <v/>
      </c>
      <c r="M861" s="179" t="str">
        <f t="array" ref="M861">IF($F861&lt;&gt;"",XLOOKUP($F861,Productos!$A:$A,Productos!F:F,"Revisar"),"")</f>
        <v/>
      </c>
      <c r="N861" s="179" t="str">
        <f t="array" ref="N861">IF($F861&lt;&gt;"", XLOOKUP($F861,Productos!$A$2:$A1001,Productos!G$2:G1001,"")*$G861,"")</f>
        <v/>
      </c>
      <c r="O861" s="179" t="str">
        <f t="array" ref="O861">IF($F861&lt;&gt;"",XLOOKUP($F861,Productos!$A:$A,Productos!H:H,"Revisar"),"")</f>
        <v/>
      </c>
      <c r="P861" s="179" t="str">
        <f t="array" ref="P861">IF($F861&lt;&gt;"", XLOOKUP($F861,Productos!$A$2:$A1001,Productos!I$2:I1001,"")*$G861,"")</f>
        <v/>
      </c>
      <c r="Q861" s="179" t="str">
        <f t="array" ref="Q861">IF($F861&lt;&gt;"",XLOOKUP($F861,Productos!$A:$A,Productos!J:J,"Revisar"),"")</f>
        <v/>
      </c>
      <c r="R861" s="179" t="str">
        <f t="array" ref="R861">IF($F861&lt;&gt;"", XLOOKUP($F861,Productos!$A$2:$A1001,Productos!K$2:K1001,"")*$G861,"")</f>
        <v/>
      </c>
      <c r="S861" s="179" t="str">
        <f t="array" ref="S861">IF($F861&lt;&gt;"",XLOOKUP($F861,Productos!$A:$A,Productos!L:L,"Revisar"),"")</f>
        <v/>
      </c>
      <c r="T861" s="179" t="str">
        <f t="array" ref="T861">IF($F861&lt;&gt;"", XLOOKUP($F861,Productos!$A$2:$A1001,Productos!M$2:M1001,"")*$G861,"")</f>
        <v/>
      </c>
      <c r="U861" s="179" t="str">
        <f t="array" ref="U861">IF($F861&lt;&gt;"",XLOOKUP($F861,Productos!$A:$A,Productos!N:N,"Revisar"),"")</f>
        <v/>
      </c>
      <c r="V861" s="179" t="str">
        <f t="array" ref="V861">IF($F861&lt;&gt;"", XLOOKUP($F861,Productos!$A$2:$A1001,Productos!O$2:O1001,"")*$G861,"")</f>
        <v/>
      </c>
      <c r="W861" s="179" t="str">
        <f t="array" ref="W861">IF($F861&lt;&gt;"",XLOOKUP($F861,Productos!$A:$A,Productos!P:P,"Revisar"),"")</f>
        <v/>
      </c>
      <c r="X861" s="179" t="str">
        <f t="array" ref="X861">IF($F861&lt;&gt;"", XLOOKUP($F861,Productos!$A$2:$A1001,Productos!Q$2:Q1001,"")*$G861,"")</f>
        <v/>
      </c>
      <c r="Y861" s="179" t="str">
        <f t="array" ref="Y861">IF($F861&lt;&gt;"",XLOOKUP($F861,Productos!$A:$A,Productos!R:R,"Revisar"),"")</f>
        <v/>
      </c>
      <c r="Z861" s="179" t="str">
        <f t="array" ref="Z861">IF($F861&lt;&gt;"", XLOOKUP($F861,Productos!$A$2:$A1001,Productos!S$2:S1001,"")*$G861,"")</f>
        <v/>
      </c>
      <c r="AA861" s="179" t="str">
        <f t="array" ref="AA861">IF($F861&lt;&gt;"",XLOOKUP($F861,Productos!$A:$A,Productos!T:T,"Revisar"),"")</f>
        <v/>
      </c>
      <c r="AB861" s="179" t="str">
        <f t="array" ref="AB861">IF($F861&lt;&gt;"", XLOOKUP($F861,Productos!$A$2:$A1001,Productos!U$2:U1001,"")*$G861,"")</f>
        <v/>
      </c>
      <c r="AC861" s="179" t="str">
        <f t="array" ref="AC861">IF($F861&lt;&gt;"",XLOOKUP($F861,Productos!$A:$A,Productos!V:V,"Revisar"),"")</f>
        <v/>
      </c>
      <c r="AD861" s="179" t="str">
        <f t="array" ref="AD861">IF($F861&lt;&gt;"", XLOOKUP($F861,Productos!$A$2:$A1001,Productos!W$2:W1001,"")*$G861,"")</f>
        <v/>
      </c>
      <c r="AE861" s="179" t="str">
        <f t="array" ref="AE861">IF($F861&lt;&gt;"",XLOOKUP($F861,Productos!$A:$A,Productos!X:X,"Revisar"),"")</f>
        <v/>
      </c>
      <c r="AF861" s="179" t="str">
        <f t="array" ref="AF861">IF($F861&lt;&gt;"", XLOOKUP($F861,Productos!$A$2:$A1001,Productos!Y$2:Y1001,"")*$G861,"")</f>
        <v/>
      </c>
      <c r="AG861" s="179" t="str">
        <f t="array" ref="AG861">IF($F861&lt;&gt;"",XLOOKUP($F861,Productos!$A:$A,Productos!Z:Z,"Revisar"),"")</f>
        <v/>
      </c>
      <c r="AH861" s="179" t="str">
        <f t="array" ref="AH861">IF($F861&lt;&gt;"", XLOOKUP($F861,Productos!$A$2:$A1001,Productos!AA$2:AA1001,"")*$G861,"")</f>
        <v/>
      </c>
      <c r="AI861" s="179" t="str">
        <f t="array" ref="AI861">IF($F861&lt;&gt;"",XLOOKUP($F861,Productos!$A:$A,Productos!AB:AB,"Revisar"),"")</f>
        <v/>
      </c>
      <c r="AJ861" s="179" t="str">
        <f t="array" ref="AJ861">IF($F861&lt;&gt;"", XLOOKUP($F861,Productos!$A$2:$A1001,Productos!AC$2:AC1001,"")*$G861,"")</f>
        <v/>
      </c>
      <c r="AK861" s="179" t="str">
        <f t="array" ref="AK861">IF($F861&lt;&gt;"",XLOOKUP($F861,Productos!$A:$A,Productos!AD:AD,"Revisar"),"")</f>
        <v/>
      </c>
      <c r="AL861" s="179" t="str">
        <f t="array" ref="AL861">IF($F861&lt;&gt;"", XLOOKUP($F861,Productos!$A$2:$A1001,Productos!AE$2:AE1001,"")*$G861,"")</f>
        <v/>
      </c>
      <c r="AM861" s="179" t="str">
        <f t="array" ref="AM861">IF($F861&lt;&gt;"",XLOOKUP($F861,Productos!$A:$A,Productos!AF:AF,"Revisar"),"")</f>
        <v/>
      </c>
      <c r="AN861" s="179" t="str">
        <f t="array" ref="AN861">IF($F861&lt;&gt;"", XLOOKUP($F861,Productos!$A$2:$A1001,Productos!AG$2:AG1001,"")*$G861,"")</f>
        <v/>
      </c>
      <c r="AO861" s="179" t="str">
        <f t="array" ref="AO861">IF($F861&lt;&gt;"",XLOOKUP($F861,Productos!$A:$A,Productos!AH:AH,"Revisar"),"")</f>
        <v/>
      </c>
      <c r="AP861" s="179" t="str">
        <f t="array" ref="AP861">IF($F861&lt;&gt;"", XLOOKUP($F861,Productos!$A$2:$A1001,Productos!AI$2:AI1001,"")*$G861,"")</f>
        <v/>
      </c>
      <c r="AQ861" s="179" t="str">
        <f t="array" ref="AQ861">IF($F861&lt;&gt;"",XLOOKUP($F861,Productos!$A:$A,Productos!AJ:AJ,"Revisar"),"")</f>
        <v/>
      </c>
      <c r="AR861" s="179" t="str">
        <f t="array" ref="AR861">IF($F861&lt;&gt;"", XLOOKUP($F861,Productos!$A$2:$A1001,Productos!AK$2:AK1001,"")*$G861,"")</f>
        <v/>
      </c>
      <c r="AS861" s="179" t="str">
        <f t="array" ref="AS861">IF($F861&lt;&gt;"",XLOOKUP($F861,Productos!$A:$A,Productos!AL:AL,"Revisar"),"")</f>
        <v/>
      </c>
      <c r="AT861" s="179" t="str">
        <f t="array" ref="AT861">IF($F861&lt;&gt;"", XLOOKUP($F861,Productos!$A$2:$A1001,Productos!AM$2:AM1001,"")*$G861,"")</f>
        <v/>
      </c>
      <c r="AU861" s="179" t="str">
        <f t="array" ref="AU861">IF($F861&lt;&gt;"",XLOOKUP($F861,Productos!$A:$A,Productos!AN:AN,"Revisar"),"")</f>
        <v/>
      </c>
      <c r="AV861" s="179" t="str">
        <f t="array" ref="AV861">IF($F861&lt;&gt;"", XLOOKUP($F861,Productos!$A$2:$A1001,Productos!AO$2:AO1001,"")*$G861,"")</f>
        <v/>
      </c>
      <c r="AW861" s="179" t="str">
        <f t="array" ref="AW861">IF($F861&lt;&gt;"",XLOOKUP($F861,Productos!$A:$A,Productos!AP:AP,"Revisar"),"")</f>
        <v/>
      </c>
      <c r="AX861" s="179" t="str">
        <f t="array" ref="AX861">IF($F861&lt;&gt;"", XLOOKUP($F861,Productos!$A$2:$A1001,Productos!AQ$2:AQ1001,"")*$G861,"")</f>
        <v/>
      </c>
      <c r="AY861" s="179" t="str">
        <f t="array" ref="AY861">IF($F861&lt;&gt;"",XLOOKUP($F861,Productos!$A:$A,Productos!AR:AR,"Revisar"),"")</f>
        <v/>
      </c>
      <c r="AZ861" s="179" t="str">
        <f t="array" ref="AZ861">IF($F861&lt;&gt;"", XLOOKUP($F861,Productos!$A$2:$A1001,Productos!AS$2:AS1001,"")*$G861,"")</f>
        <v/>
      </c>
      <c r="BA861" s="179" t="str">
        <f t="array" ref="BA861">IF($F861&lt;&gt;"",XLOOKUP($F861,Productos!$A:$A,Productos!AT:AT,"Revisar"),"")</f>
        <v/>
      </c>
      <c r="BB861" s="179" t="str">
        <f t="array" ref="BB861">IF($F861&lt;&gt;"", XLOOKUP($F861,Productos!$A$2:$A1001,Productos!AU$2:AU1001,"")*$G861,"")</f>
        <v/>
      </c>
      <c r="BC861" s="179" t="str">
        <f t="array" ref="BC861">IF($F861&lt;&gt;"",XLOOKUP($F861,Productos!$A:$A,Productos!AV:AV,"Revisar"),"")</f>
        <v/>
      </c>
      <c r="BD861" s="179" t="str">
        <f t="array" ref="BD861">IF($F861&lt;&gt;"", XLOOKUP($F861,Productos!$A$2:$A1001,Productos!AW$2:AW1001,"")*$G861,"")</f>
        <v/>
      </c>
      <c r="BE861" s="179" t="str">
        <f t="array" ref="BE861">IF($F861&lt;&gt;"",XLOOKUP($F861,Productos!$A:$A,Productos!AX:AX,"Revisar"),"")</f>
        <v/>
      </c>
      <c r="BF861" s="179" t="str">
        <f t="array" ref="BF861">IF($F861&lt;&gt;"", XLOOKUP($F861,Productos!$A$2:$A1001,Productos!AY$2:AY1001,"")*$G861,"")</f>
        <v/>
      </c>
      <c r="BG861" s="179" t="str">
        <f t="array" ref="BG861">IF($F861&lt;&gt;"",XLOOKUP($F861,Productos!$A:$A,Productos!AZ:AZ,"Revisar"),"")</f>
        <v/>
      </c>
      <c r="BH861" s="179" t="str">
        <f t="array" ref="BH861">IF($F861&lt;&gt;"", XLOOKUP($F861,Productos!$A$2:$A1001,Productos!BA$2:BA1001,"")*$G861,"")</f>
        <v/>
      </c>
      <c r="BI861" s="179" t="str">
        <f t="array" ref="BI861">IF($F861&lt;&gt;"",XLOOKUP($F861,Productos!$A:$A,Productos!BB:BB,"Revisar"),"")</f>
        <v/>
      </c>
      <c r="BJ861" s="179" t="str">
        <f t="array" ref="BJ861">IF($F861&lt;&gt;"", XLOOKUP($F861,Productos!$A$2:$A1001,Productos!BC$2:BC1001,"")*$G861,"")</f>
        <v/>
      </c>
      <c r="BK861" s="179" t="str">
        <f t="array" ref="BK861">IF($F861&lt;&gt;"",XLOOKUP($F861,Productos!$A:$A,Productos!BD:BD,"Revisar"),"")</f>
        <v/>
      </c>
      <c r="BL861" s="179" t="str">
        <f t="array" ref="BL861">IF($F861&lt;&gt;"", XLOOKUP($F861,Productos!$A$2:$A1001,Productos!BE$2:BE1001,"")*$G861,"")</f>
        <v/>
      </c>
      <c r="BM861" s="179" t="str">
        <f t="array" ref="BM861">IF($F861&lt;&gt;"",XLOOKUP($F861,Productos!$A:$A,Productos!BF:BF,"Revisar"),"")</f>
        <v/>
      </c>
      <c r="BN861" s="179" t="str">
        <f t="array" ref="BN861">IF($F861&lt;&gt;"", XLOOKUP($F861,Productos!$A$2:$A1001,Productos!BG$2:BG1001,"")*$G861,"")</f>
        <v/>
      </c>
      <c r="BO861" s="179" t="str">
        <f t="array" ref="BO861">IF($F861&lt;&gt;"",XLOOKUP($F861,Productos!$A:$A,Productos!BH:BH,"Revisar"),"")</f>
        <v/>
      </c>
      <c r="BP861" s="179" t="str">
        <f t="array" ref="BP861">IF($F861&lt;&gt;"", XLOOKUP($F861,Productos!$A$2:$A1001,Productos!BI$2:BI1001,"")*$G861,"")</f>
        <v/>
      </c>
      <c r="BQ861" s="179" t="str">
        <f t="array" ref="BQ861">IF($F861&lt;&gt;"",XLOOKUP($F861,Productos!$A:$A,Productos!BJ:BJ,"Revisar"),"")</f>
        <v/>
      </c>
      <c r="BR861" s="179" t="str">
        <f t="array" ref="BR861">IF($F861&lt;&gt;"", XLOOKUP($F861,Productos!$A$2:$A1001,Productos!BK$2:BK1001,"")*$G861,"")</f>
        <v/>
      </c>
      <c r="BS861" s="179" t="str">
        <f t="array" ref="BS861">IF($F861&lt;&gt;"",XLOOKUP($F861,Productos!$A:$A,Productos!BL:BL,"Revisar"),"")</f>
        <v/>
      </c>
      <c r="BT861" s="179" t="str">
        <f t="array" ref="BT861">IF($F861&lt;&gt;"", XLOOKUP($F861,Productos!$A$2:$A1001,Productos!BM$2:BM1001,"")*$G861,"")</f>
        <v/>
      </c>
      <c r="BU861" s="179" t="str">
        <f t="array" ref="BU861">IF($F861&lt;&gt;"",XLOOKUP($F861,Productos!$A:$A,Productos!BN:BN,"Revisar"),"")</f>
        <v/>
      </c>
      <c r="BV861" s="179" t="str">
        <f t="array" ref="BV861">IF($F861&lt;&gt;"", XLOOKUP($F861,Productos!$A$2:$A1001,Productos!BO$2:BO1001,"")*$G861,"")</f>
        <v/>
      </c>
      <c r="BW861" s="179" t="str">
        <f t="array" ref="BW861">IF($F861&lt;&gt;"",XLOOKUP($F861,Productos!$A:$A,Productos!BP:BP,"Revisar"),"")</f>
        <v/>
      </c>
      <c r="BX861" s="179" t="str">
        <f t="array" ref="BX861">IF($F861&lt;&gt;"", XLOOKUP($F861,Productos!$A$2:$A1001,Productos!BQ$2:BQ1001,"")*$G861,"")</f>
        <v/>
      </c>
      <c r="BY861" s="179" t="str">
        <f t="array" ref="BY861">IF($F861&lt;&gt;"",XLOOKUP($F861,Productos!$A:$A,Productos!BR:BR,"Revisar"),"")</f>
        <v/>
      </c>
      <c r="BZ861" s="179" t="str">
        <f t="array" ref="BZ861">IF($F861&lt;&gt;"", XLOOKUP($F861,Productos!$A$2:$A1001,Productos!BS$2:BS1001,"")*$G861,"")</f>
        <v/>
      </c>
    </row>
    <row r="862">
      <c r="A862" s="188"/>
      <c r="B862" s="189"/>
      <c r="C862" s="190"/>
      <c r="D862" s="190"/>
      <c r="E862" s="191"/>
      <c r="F862" s="186"/>
      <c r="G862" s="192"/>
      <c r="H862" s="9"/>
      <c r="I862" s="179" t="str">
        <f t="array" ref="I862">IF($F862&lt;&gt;"",XLOOKUP($F862,Productos!$A:$A,Productos!B:B,"Revisar"),"")</f>
        <v/>
      </c>
      <c r="J862" s="179" t="str">
        <f t="array" ref="J862">IF($F862&lt;&gt;"", XLOOKUP($F862,Productos!$A$2:$A1001,Productos!C$2:C1001,"")*$G862,"")</f>
        <v/>
      </c>
      <c r="K862" s="179" t="str">
        <f t="array" ref="K862">IF($F862&lt;&gt;"",XLOOKUP($F862,Productos!$A:$A,Productos!D:D,"Revisar"),"")</f>
        <v/>
      </c>
      <c r="L862" s="179" t="str">
        <f t="array" ref="L862">IF($F862&lt;&gt;"", XLOOKUP($F862,Productos!$A$2:$A1001,Productos!E$2:E1001,"")*$G862,"")</f>
        <v/>
      </c>
      <c r="M862" s="179" t="str">
        <f t="array" ref="M862">IF($F862&lt;&gt;"",XLOOKUP($F862,Productos!$A:$A,Productos!F:F,"Revisar"),"")</f>
        <v/>
      </c>
      <c r="N862" s="179" t="str">
        <f t="array" ref="N862">IF($F862&lt;&gt;"", XLOOKUP($F862,Productos!$A$2:$A1001,Productos!G$2:G1001,"")*$G862,"")</f>
        <v/>
      </c>
      <c r="O862" s="179" t="str">
        <f t="array" ref="O862">IF($F862&lt;&gt;"",XLOOKUP($F862,Productos!$A:$A,Productos!H:H,"Revisar"),"")</f>
        <v/>
      </c>
      <c r="P862" s="179" t="str">
        <f t="array" ref="P862">IF($F862&lt;&gt;"", XLOOKUP($F862,Productos!$A$2:$A1001,Productos!I$2:I1001,"")*$G862,"")</f>
        <v/>
      </c>
      <c r="Q862" s="179" t="str">
        <f t="array" ref="Q862">IF($F862&lt;&gt;"",XLOOKUP($F862,Productos!$A:$A,Productos!J:J,"Revisar"),"")</f>
        <v/>
      </c>
      <c r="R862" s="179" t="str">
        <f t="array" ref="R862">IF($F862&lt;&gt;"", XLOOKUP($F862,Productos!$A$2:$A1001,Productos!K$2:K1001,"")*$G862,"")</f>
        <v/>
      </c>
      <c r="S862" s="179" t="str">
        <f t="array" ref="S862">IF($F862&lt;&gt;"",XLOOKUP($F862,Productos!$A:$A,Productos!L:L,"Revisar"),"")</f>
        <v/>
      </c>
      <c r="T862" s="179" t="str">
        <f t="array" ref="T862">IF($F862&lt;&gt;"", XLOOKUP($F862,Productos!$A$2:$A1001,Productos!M$2:M1001,"")*$G862,"")</f>
        <v/>
      </c>
      <c r="U862" s="179" t="str">
        <f t="array" ref="U862">IF($F862&lt;&gt;"",XLOOKUP($F862,Productos!$A:$A,Productos!N:N,"Revisar"),"")</f>
        <v/>
      </c>
      <c r="V862" s="179" t="str">
        <f t="array" ref="V862">IF($F862&lt;&gt;"", XLOOKUP($F862,Productos!$A$2:$A1001,Productos!O$2:O1001,"")*$G862,"")</f>
        <v/>
      </c>
      <c r="W862" s="179" t="str">
        <f t="array" ref="W862">IF($F862&lt;&gt;"",XLOOKUP($F862,Productos!$A:$A,Productos!P:P,"Revisar"),"")</f>
        <v/>
      </c>
      <c r="X862" s="179" t="str">
        <f t="array" ref="X862">IF($F862&lt;&gt;"", XLOOKUP($F862,Productos!$A$2:$A1001,Productos!Q$2:Q1001,"")*$G862,"")</f>
        <v/>
      </c>
      <c r="Y862" s="179" t="str">
        <f t="array" ref="Y862">IF($F862&lt;&gt;"",XLOOKUP($F862,Productos!$A:$A,Productos!R:R,"Revisar"),"")</f>
        <v/>
      </c>
      <c r="Z862" s="179" t="str">
        <f t="array" ref="Z862">IF($F862&lt;&gt;"", XLOOKUP($F862,Productos!$A$2:$A1001,Productos!S$2:S1001,"")*$G862,"")</f>
        <v/>
      </c>
      <c r="AA862" s="179" t="str">
        <f t="array" ref="AA862">IF($F862&lt;&gt;"",XLOOKUP($F862,Productos!$A:$A,Productos!T:T,"Revisar"),"")</f>
        <v/>
      </c>
      <c r="AB862" s="179" t="str">
        <f t="array" ref="AB862">IF($F862&lt;&gt;"", XLOOKUP($F862,Productos!$A$2:$A1001,Productos!U$2:U1001,"")*$G862,"")</f>
        <v/>
      </c>
      <c r="AC862" s="179" t="str">
        <f t="array" ref="AC862">IF($F862&lt;&gt;"",XLOOKUP($F862,Productos!$A:$A,Productos!V:V,"Revisar"),"")</f>
        <v/>
      </c>
      <c r="AD862" s="179" t="str">
        <f t="array" ref="AD862">IF($F862&lt;&gt;"", XLOOKUP($F862,Productos!$A$2:$A1001,Productos!W$2:W1001,"")*$G862,"")</f>
        <v/>
      </c>
      <c r="AE862" s="179" t="str">
        <f t="array" ref="AE862">IF($F862&lt;&gt;"",XLOOKUP($F862,Productos!$A:$A,Productos!X:X,"Revisar"),"")</f>
        <v/>
      </c>
      <c r="AF862" s="179" t="str">
        <f t="array" ref="AF862">IF($F862&lt;&gt;"", XLOOKUP($F862,Productos!$A$2:$A1001,Productos!Y$2:Y1001,"")*$G862,"")</f>
        <v/>
      </c>
      <c r="AG862" s="179" t="str">
        <f t="array" ref="AG862">IF($F862&lt;&gt;"",XLOOKUP($F862,Productos!$A:$A,Productos!Z:Z,"Revisar"),"")</f>
        <v/>
      </c>
      <c r="AH862" s="179" t="str">
        <f t="array" ref="AH862">IF($F862&lt;&gt;"", XLOOKUP($F862,Productos!$A$2:$A1001,Productos!AA$2:AA1001,"")*$G862,"")</f>
        <v/>
      </c>
      <c r="AI862" s="179" t="str">
        <f t="array" ref="AI862">IF($F862&lt;&gt;"",XLOOKUP($F862,Productos!$A:$A,Productos!AB:AB,"Revisar"),"")</f>
        <v/>
      </c>
      <c r="AJ862" s="179" t="str">
        <f t="array" ref="AJ862">IF($F862&lt;&gt;"", XLOOKUP($F862,Productos!$A$2:$A1001,Productos!AC$2:AC1001,"")*$G862,"")</f>
        <v/>
      </c>
      <c r="AK862" s="179" t="str">
        <f t="array" ref="AK862">IF($F862&lt;&gt;"",XLOOKUP($F862,Productos!$A:$A,Productos!AD:AD,"Revisar"),"")</f>
        <v/>
      </c>
      <c r="AL862" s="179" t="str">
        <f t="array" ref="AL862">IF($F862&lt;&gt;"", XLOOKUP($F862,Productos!$A$2:$A1001,Productos!AE$2:AE1001,"")*$G862,"")</f>
        <v/>
      </c>
      <c r="AM862" s="179" t="str">
        <f t="array" ref="AM862">IF($F862&lt;&gt;"",XLOOKUP($F862,Productos!$A:$A,Productos!AF:AF,"Revisar"),"")</f>
        <v/>
      </c>
      <c r="AN862" s="179" t="str">
        <f t="array" ref="AN862">IF($F862&lt;&gt;"", XLOOKUP($F862,Productos!$A$2:$A1001,Productos!AG$2:AG1001,"")*$G862,"")</f>
        <v/>
      </c>
      <c r="AO862" s="179" t="str">
        <f t="array" ref="AO862">IF($F862&lt;&gt;"",XLOOKUP($F862,Productos!$A:$A,Productos!AH:AH,"Revisar"),"")</f>
        <v/>
      </c>
      <c r="AP862" s="179" t="str">
        <f t="array" ref="AP862">IF($F862&lt;&gt;"", XLOOKUP($F862,Productos!$A$2:$A1001,Productos!AI$2:AI1001,"")*$G862,"")</f>
        <v/>
      </c>
      <c r="AQ862" s="179" t="str">
        <f t="array" ref="AQ862">IF($F862&lt;&gt;"",XLOOKUP($F862,Productos!$A:$A,Productos!AJ:AJ,"Revisar"),"")</f>
        <v/>
      </c>
      <c r="AR862" s="179" t="str">
        <f t="array" ref="AR862">IF($F862&lt;&gt;"", XLOOKUP($F862,Productos!$A$2:$A1001,Productos!AK$2:AK1001,"")*$G862,"")</f>
        <v/>
      </c>
      <c r="AS862" s="179" t="str">
        <f t="array" ref="AS862">IF($F862&lt;&gt;"",XLOOKUP($F862,Productos!$A:$A,Productos!AL:AL,"Revisar"),"")</f>
        <v/>
      </c>
      <c r="AT862" s="179" t="str">
        <f t="array" ref="AT862">IF($F862&lt;&gt;"", XLOOKUP($F862,Productos!$A$2:$A1001,Productos!AM$2:AM1001,"")*$G862,"")</f>
        <v/>
      </c>
      <c r="AU862" s="179" t="str">
        <f t="array" ref="AU862">IF($F862&lt;&gt;"",XLOOKUP($F862,Productos!$A:$A,Productos!AN:AN,"Revisar"),"")</f>
        <v/>
      </c>
      <c r="AV862" s="179" t="str">
        <f t="array" ref="AV862">IF($F862&lt;&gt;"", XLOOKUP($F862,Productos!$A$2:$A1001,Productos!AO$2:AO1001,"")*$G862,"")</f>
        <v/>
      </c>
      <c r="AW862" s="179" t="str">
        <f t="array" ref="AW862">IF($F862&lt;&gt;"",XLOOKUP($F862,Productos!$A:$A,Productos!AP:AP,"Revisar"),"")</f>
        <v/>
      </c>
      <c r="AX862" s="179" t="str">
        <f t="array" ref="AX862">IF($F862&lt;&gt;"", XLOOKUP($F862,Productos!$A$2:$A1001,Productos!AQ$2:AQ1001,"")*$G862,"")</f>
        <v/>
      </c>
      <c r="AY862" s="179" t="str">
        <f t="array" ref="AY862">IF($F862&lt;&gt;"",XLOOKUP($F862,Productos!$A:$A,Productos!AR:AR,"Revisar"),"")</f>
        <v/>
      </c>
      <c r="AZ862" s="179" t="str">
        <f t="array" ref="AZ862">IF($F862&lt;&gt;"", XLOOKUP($F862,Productos!$A$2:$A1001,Productos!AS$2:AS1001,"")*$G862,"")</f>
        <v/>
      </c>
      <c r="BA862" s="179" t="str">
        <f t="array" ref="BA862">IF($F862&lt;&gt;"",XLOOKUP($F862,Productos!$A:$A,Productos!AT:AT,"Revisar"),"")</f>
        <v/>
      </c>
      <c r="BB862" s="179" t="str">
        <f t="array" ref="BB862">IF($F862&lt;&gt;"", XLOOKUP($F862,Productos!$A$2:$A1001,Productos!AU$2:AU1001,"")*$G862,"")</f>
        <v/>
      </c>
      <c r="BC862" s="179" t="str">
        <f t="array" ref="BC862">IF($F862&lt;&gt;"",XLOOKUP($F862,Productos!$A:$A,Productos!AV:AV,"Revisar"),"")</f>
        <v/>
      </c>
      <c r="BD862" s="179" t="str">
        <f t="array" ref="BD862">IF($F862&lt;&gt;"", XLOOKUP($F862,Productos!$A$2:$A1001,Productos!AW$2:AW1001,"")*$G862,"")</f>
        <v/>
      </c>
      <c r="BE862" s="179" t="str">
        <f t="array" ref="BE862">IF($F862&lt;&gt;"",XLOOKUP($F862,Productos!$A:$A,Productos!AX:AX,"Revisar"),"")</f>
        <v/>
      </c>
      <c r="BF862" s="179" t="str">
        <f t="array" ref="BF862">IF($F862&lt;&gt;"", XLOOKUP($F862,Productos!$A$2:$A1001,Productos!AY$2:AY1001,"")*$G862,"")</f>
        <v/>
      </c>
      <c r="BG862" s="179" t="str">
        <f t="array" ref="BG862">IF($F862&lt;&gt;"",XLOOKUP($F862,Productos!$A:$A,Productos!AZ:AZ,"Revisar"),"")</f>
        <v/>
      </c>
      <c r="BH862" s="179" t="str">
        <f t="array" ref="BH862">IF($F862&lt;&gt;"", XLOOKUP($F862,Productos!$A$2:$A1001,Productos!BA$2:BA1001,"")*$G862,"")</f>
        <v/>
      </c>
      <c r="BI862" s="179" t="str">
        <f t="array" ref="BI862">IF($F862&lt;&gt;"",XLOOKUP($F862,Productos!$A:$A,Productos!BB:BB,"Revisar"),"")</f>
        <v/>
      </c>
      <c r="BJ862" s="179" t="str">
        <f t="array" ref="BJ862">IF($F862&lt;&gt;"", XLOOKUP($F862,Productos!$A$2:$A1001,Productos!BC$2:BC1001,"")*$G862,"")</f>
        <v/>
      </c>
      <c r="BK862" s="179" t="str">
        <f t="array" ref="BK862">IF($F862&lt;&gt;"",XLOOKUP($F862,Productos!$A:$A,Productos!BD:BD,"Revisar"),"")</f>
        <v/>
      </c>
      <c r="BL862" s="179" t="str">
        <f t="array" ref="BL862">IF($F862&lt;&gt;"", XLOOKUP($F862,Productos!$A$2:$A1001,Productos!BE$2:BE1001,"")*$G862,"")</f>
        <v/>
      </c>
      <c r="BM862" s="179" t="str">
        <f t="array" ref="BM862">IF($F862&lt;&gt;"",XLOOKUP($F862,Productos!$A:$A,Productos!BF:BF,"Revisar"),"")</f>
        <v/>
      </c>
      <c r="BN862" s="179" t="str">
        <f t="array" ref="BN862">IF($F862&lt;&gt;"", XLOOKUP($F862,Productos!$A$2:$A1001,Productos!BG$2:BG1001,"")*$G862,"")</f>
        <v/>
      </c>
      <c r="BO862" s="179" t="str">
        <f t="array" ref="BO862">IF($F862&lt;&gt;"",XLOOKUP($F862,Productos!$A:$A,Productos!BH:BH,"Revisar"),"")</f>
        <v/>
      </c>
      <c r="BP862" s="179" t="str">
        <f t="array" ref="BP862">IF($F862&lt;&gt;"", XLOOKUP($F862,Productos!$A$2:$A1001,Productos!BI$2:BI1001,"")*$G862,"")</f>
        <v/>
      </c>
      <c r="BQ862" s="179" t="str">
        <f t="array" ref="BQ862">IF($F862&lt;&gt;"",XLOOKUP($F862,Productos!$A:$A,Productos!BJ:BJ,"Revisar"),"")</f>
        <v/>
      </c>
      <c r="BR862" s="179" t="str">
        <f t="array" ref="BR862">IF($F862&lt;&gt;"", XLOOKUP($F862,Productos!$A$2:$A1001,Productos!BK$2:BK1001,"")*$G862,"")</f>
        <v/>
      </c>
      <c r="BS862" s="179" t="str">
        <f t="array" ref="BS862">IF($F862&lt;&gt;"",XLOOKUP($F862,Productos!$A:$A,Productos!BL:BL,"Revisar"),"")</f>
        <v/>
      </c>
      <c r="BT862" s="179" t="str">
        <f t="array" ref="BT862">IF($F862&lt;&gt;"", XLOOKUP($F862,Productos!$A$2:$A1001,Productos!BM$2:BM1001,"")*$G862,"")</f>
        <v/>
      </c>
      <c r="BU862" s="179" t="str">
        <f t="array" ref="BU862">IF($F862&lt;&gt;"",XLOOKUP($F862,Productos!$A:$A,Productos!BN:BN,"Revisar"),"")</f>
        <v/>
      </c>
      <c r="BV862" s="179" t="str">
        <f t="array" ref="BV862">IF($F862&lt;&gt;"", XLOOKUP($F862,Productos!$A$2:$A1001,Productos!BO$2:BO1001,"")*$G862,"")</f>
        <v/>
      </c>
      <c r="BW862" s="179" t="str">
        <f t="array" ref="BW862">IF($F862&lt;&gt;"",XLOOKUP($F862,Productos!$A:$A,Productos!BP:BP,"Revisar"),"")</f>
        <v/>
      </c>
      <c r="BX862" s="179" t="str">
        <f t="array" ref="BX862">IF($F862&lt;&gt;"", XLOOKUP($F862,Productos!$A$2:$A1001,Productos!BQ$2:BQ1001,"")*$G862,"")</f>
        <v/>
      </c>
      <c r="BY862" s="179" t="str">
        <f t="array" ref="BY862">IF($F862&lt;&gt;"",XLOOKUP($F862,Productos!$A:$A,Productos!BR:BR,"Revisar"),"")</f>
        <v/>
      </c>
      <c r="BZ862" s="179" t="str">
        <f t="array" ref="BZ862">IF($F862&lt;&gt;"", XLOOKUP($F862,Productos!$A$2:$A1001,Productos!BS$2:BS1001,"")*$G862,"")</f>
        <v/>
      </c>
    </row>
    <row r="863">
      <c r="A863" s="188"/>
      <c r="B863" s="189"/>
      <c r="C863" s="190"/>
      <c r="D863" s="190"/>
      <c r="E863" s="191"/>
      <c r="F863" s="186"/>
      <c r="G863" s="192"/>
      <c r="H863" s="9"/>
      <c r="I863" s="179" t="str">
        <f t="array" ref="I863">IF($F863&lt;&gt;"",XLOOKUP($F863,Productos!$A:$A,Productos!B:B,"Revisar"),"")</f>
        <v/>
      </c>
      <c r="J863" s="179" t="str">
        <f t="array" ref="J863">IF($F863&lt;&gt;"", XLOOKUP($F863,Productos!$A$2:$A1001,Productos!C$2:C1001,"")*$G863,"")</f>
        <v/>
      </c>
      <c r="K863" s="179" t="str">
        <f t="array" ref="K863">IF($F863&lt;&gt;"",XLOOKUP($F863,Productos!$A:$A,Productos!D:D,"Revisar"),"")</f>
        <v/>
      </c>
      <c r="L863" s="179" t="str">
        <f t="array" ref="L863">IF($F863&lt;&gt;"", XLOOKUP($F863,Productos!$A$2:$A1001,Productos!E$2:E1001,"")*$G863,"")</f>
        <v/>
      </c>
      <c r="M863" s="179" t="str">
        <f t="array" ref="M863">IF($F863&lt;&gt;"",XLOOKUP($F863,Productos!$A:$A,Productos!F:F,"Revisar"),"")</f>
        <v/>
      </c>
      <c r="N863" s="179" t="str">
        <f t="array" ref="N863">IF($F863&lt;&gt;"", XLOOKUP($F863,Productos!$A$2:$A1001,Productos!G$2:G1001,"")*$G863,"")</f>
        <v/>
      </c>
      <c r="O863" s="179" t="str">
        <f t="array" ref="O863">IF($F863&lt;&gt;"",XLOOKUP($F863,Productos!$A:$A,Productos!H:H,"Revisar"),"")</f>
        <v/>
      </c>
      <c r="P863" s="179" t="str">
        <f t="array" ref="P863">IF($F863&lt;&gt;"", XLOOKUP($F863,Productos!$A$2:$A1001,Productos!I$2:I1001,"")*$G863,"")</f>
        <v/>
      </c>
      <c r="Q863" s="179" t="str">
        <f t="array" ref="Q863">IF($F863&lt;&gt;"",XLOOKUP($F863,Productos!$A:$A,Productos!J:J,"Revisar"),"")</f>
        <v/>
      </c>
      <c r="R863" s="179" t="str">
        <f t="array" ref="R863">IF($F863&lt;&gt;"", XLOOKUP($F863,Productos!$A$2:$A1001,Productos!K$2:K1001,"")*$G863,"")</f>
        <v/>
      </c>
      <c r="S863" s="179" t="str">
        <f t="array" ref="S863">IF($F863&lt;&gt;"",XLOOKUP($F863,Productos!$A:$A,Productos!L:L,"Revisar"),"")</f>
        <v/>
      </c>
      <c r="T863" s="179" t="str">
        <f t="array" ref="T863">IF($F863&lt;&gt;"", XLOOKUP($F863,Productos!$A$2:$A1001,Productos!M$2:M1001,"")*$G863,"")</f>
        <v/>
      </c>
      <c r="U863" s="179" t="str">
        <f t="array" ref="U863">IF($F863&lt;&gt;"",XLOOKUP($F863,Productos!$A:$A,Productos!N:N,"Revisar"),"")</f>
        <v/>
      </c>
      <c r="V863" s="179" t="str">
        <f t="array" ref="V863">IF($F863&lt;&gt;"", XLOOKUP($F863,Productos!$A$2:$A1001,Productos!O$2:O1001,"")*$G863,"")</f>
        <v/>
      </c>
      <c r="W863" s="179" t="str">
        <f t="array" ref="W863">IF($F863&lt;&gt;"",XLOOKUP($F863,Productos!$A:$A,Productos!P:P,"Revisar"),"")</f>
        <v/>
      </c>
      <c r="X863" s="179" t="str">
        <f t="array" ref="X863">IF($F863&lt;&gt;"", XLOOKUP($F863,Productos!$A$2:$A1001,Productos!Q$2:Q1001,"")*$G863,"")</f>
        <v/>
      </c>
      <c r="Y863" s="179" t="str">
        <f t="array" ref="Y863">IF($F863&lt;&gt;"",XLOOKUP($F863,Productos!$A:$A,Productos!R:R,"Revisar"),"")</f>
        <v/>
      </c>
      <c r="Z863" s="179" t="str">
        <f t="array" ref="Z863">IF($F863&lt;&gt;"", XLOOKUP($F863,Productos!$A$2:$A1001,Productos!S$2:S1001,"")*$G863,"")</f>
        <v/>
      </c>
      <c r="AA863" s="179" t="str">
        <f t="array" ref="AA863">IF($F863&lt;&gt;"",XLOOKUP($F863,Productos!$A:$A,Productos!T:T,"Revisar"),"")</f>
        <v/>
      </c>
      <c r="AB863" s="179" t="str">
        <f t="array" ref="AB863">IF($F863&lt;&gt;"", XLOOKUP($F863,Productos!$A$2:$A1001,Productos!U$2:U1001,"")*$G863,"")</f>
        <v/>
      </c>
      <c r="AC863" s="179" t="str">
        <f t="array" ref="AC863">IF($F863&lt;&gt;"",XLOOKUP($F863,Productos!$A:$A,Productos!V:V,"Revisar"),"")</f>
        <v/>
      </c>
      <c r="AD863" s="179" t="str">
        <f t="array" ref="AD863">IF($F863&lt;&gt;"", XLOOKUP($F863,Productos!$A$2:$A1001,Productos!W$2:W1001,"")*$G863,"")</f>
        <v/>
      </c>
      <c r="AE863" s="179" t="str">
        <f t="array" ref="AE863">IF($F863&lt;&gt;"",XLOOKUP($F863,Productos!$A:$A,Productos!X:X,"Revisar"),"")</f>
        <v/>
      </c>
      <c r="AF863" s="179" t="str">
        <f t="array" ref="AF863">IF($F863&lt;&gt;"", XLOOKUP($F863,Productos!$A$2:$A1001,Productos!Y$2:Y1001,"")*$G863,"")</f>
        <v/>
      </c>
      <c r="AG863" s="179" t="str">
        <f t="array" ref="AG863">IF($F863&lt;&gt;"",XLOOKUP($F863,Productos!$A:$A,Productos!Z:Z,"Revisar"),"")</f>
        <v/>
      </c>
      <c r="AH863" s="179" t="str">
        <f t="array" ref="AH863">IF($F863&lt;&gt;"", XLOOKUP($F863,Productos!$A$2:$A1001,Productos!AA$2:AA1001,"")*$G863,"")</f>
        <v/>
      </c>
      <c r="AI863" s="179" t="str">
        <f t="array" ref="AI863">IF($F863&lt;&gt;"",XLOOKUP($F863,Productos!$A:$A,Productos!AB:AB,"Revisar"),"")</f>
        <v/>
      </c>
      <c r="AJ863" s="179" t="str">
        <f t="array" ref="AJ863">IF($F863&lt;&gt;"", XLOOKUP($F863,Productos!$A$2:$A1001,Productos!AC$2:AC1001,"")*$G863,"")</f>
        <v/>
      </c>
      <c r="AK863" s="179" t="str">
        <f t="array" ref="AK863">IF($F863&lt;&gt;"",XLOOKUP($F863,Productos!$A:$A,Productos!AD:AD,"Revisar"),"")</f>
        <v/>
      </c>
      <c r="AL863" s="179" t="str">
        <f t="array" ref="AL863">IF($F863&lt;&gt;"", XLOOKUP($F863,Productos!$A$2:$A1001,Productos!AE$2:AE1001,"")*$G863,"")</f>
        <v/>
      </c>
      <c r="AM863" s="179" t="str">
        <f t="array" ref="AM863">IF($F863&lt;&gt;"",XLOOKUP($F863,Productos!$A:$A,Productos!AF:AF,"Revisar"),"")</f>
        <v/>
      </c>
      <c r="AN863" s="179" t="str">
        <f t="array" ref="AN863">IF($F863&lt;&gt;"", XLOOKUP($F863,Productos!$A$2:$A1001,Productos!AG$2:AG1001,"")*$G863,"")</f>
        <v/>
      </c>
      <c r="AO863" s="179" t="str">
        <f t="array" ref="AO863">IF($F863&lt;&gt;"",XLOOKUP($F863,Productos!$A:$A,Productos!AH:AH,"Revisar"),"")</f>
        <v/>
      </c>
      <c r="AP863" s="179" t="str">
        <f t="array" ref="AP863">IF($F863&lt;&gt;"", XLOOKUP($F863,Productos!$A$2:$A1001,Productos!AI$2:AI1001,"")*$G863,"")</f>
        <v/>
      </c>
      <c r="AQ863" s="179" t="str">
        <f t="array" ref="AQ863">IF($F863&lt;&gt;"",XLOOKUP($F863,Productos!$A:$A,Productos!AJ:AJ,"Revisar"),"")</f>
        <v/>
      </c>
      <c r="AR863" s="179" t="str">
        <f t="array" ref="AR863">IF($F863&lt;&gt;"", XLOOKUP($F863,Productos!$A$2:$A1001,Productos!AK$2:AK1001,"")*$G863,"")</f>
        <v/>
      </c>
      <c r="AS863" s="179" t="str">
        <f t="array" ref="AS863">IF($F863&lt;&gt;"",XLOOKUP($F863,Productos!$A:$A,Productos!AL:AL,"Revisar"),"")</f>
        <v/>
      </c>
      <c r="AT863" s="179" t="str">
        <f t="array" ref="AT863">IF($F863&lt;&gt;"", XLOOKUP($F863,Productos!$A$2:$A1001,Productos!AM$2:AM1001,"")*$G863,"")</f>
        <v/>
      </c>
      <c r="AU863" s="179" t="str">
        <f t="array" ref="AU863">IF($F863&lt;&gt;"",XLOOKUP($F863,Productos!$A:$A,Productos!AN:AN,"Revisar"),"")</f>
        <v/>
      </c>
      <c r="AV863" s="179" t="str">
        <f t="array" ref="AV863">IF($F863&lt;&gt;"", XLOOKUP($F863,Productos!$A$2:$A1001,Productos!AO$2:AO1001,"")*$G863,"")</f>
        <v/>
      </c>
      <c r="AW863" s="179" t="str">
        <f t="array" ref="AW863">IF($F863&lt;&gt;"",XLOOKUP($F863,Productos!$A:$A,Productos!AP:AP,"Revisar"),"")</f>
        <v/>
      </c>
      <c r="AX863" s="179" t="str">
        <f t="array" ref="AX863">IF($F863&lt;&gt;"", XLOOKUP($F863,Productos!$A$2:$A1001,Productos!AQ$2:AQ1001,"")*$G863,"")</f>
        <v/>
      </c>
      <c r="AY863" s="179" t="str">
        <f t="array" ref="AY863">IF($F863&lt;&gt;"",XLOOKUP($F863,Productos!$A:$A,Productos!AR:AR,"Revisar"),"")</f>
        <v/>
      </c>
      <c r="AZ863" s="179" t="str">
        <f t="array" ref="AZ863">IF($F863&lt;&gt;"", XLOOKUP($F863,Productos!$A$2:$A1001,Productos!AS$2:AS1001,"")*$G863,"")</f>
        <v/>
      </c>
      <c r="BA863" s="179" t="str">
        <f t="array" ref="BA863">IF($F863&lt;&gt;"",XLOOKUP($F863,Productos!$A:$A,Productos!AT:AT,"Revisar"),"")</f>
        <v/>
      </c>
      <c r="BB863" s="179" t="str">
        <f t="array" ref="BB863">IF($F863&lt;&gt;"", XLOOKUP($F863,Productos!$A$2:$A1001,Productos!AU$2:AU1001,"")*$G863,"")</f>
        <v/>
      </c>
      <c r="BC863" s="179" t="str">
        <f t="array" ref="BC863">IF($F863&lt;&gt;"",XLOOKUP($F863,Productos!$A:$A,Productos!AV:AV,"Revisar"),"")</f>
        <v/>
      </c>
      <c r="BD863" s="179" t="str">
        <f t="array" ref="BD863">IF($F863&lt;&gt;"", XLOOKUP($F863,Productos!$A$2:$A1001,Productos!AW$2:AW1001,"")*$G863,"")</f>
        <v/>
      </c>
      <c r="BE863" s="179" t="str">
        <f t="array" ref="BE863">IF($F863&lt;&gt;"",XLOOKUP($F863,Productos!$A:$A,Productos!AX:AX,"Revisar"),"")</f>
        <v/>
      </c>
      <c r="BF863" s="179" t="str">
        <f t="array" ref="BF863">IF($F863&lt;&gt;"", XLOOKUP($F863,Productos!$A$2:$A1001,Productos!AY$2:AY1001,"")*$G863,"")</f>
        <v/>
      </c>
      <c r="BG863" s="179" t="str">
        <f t="array" ref="BG863">IF($F863&lt;&gt;"",XLOOKUP($F863,Productos!$A:$A,Productos!AZ:AZ,"Revisar"),"")</f>
        <v/>
      </c>
      <c r="BH863" s="179" t="str">
        <f t="array" ref="BH863">IF($F863&lt;&gt;"", XLOOKUP($F863,Productos!$A$2:$A1001,Productos!BA$2:BA1001,"")*$G863,"")</f>
        <v/>
      </c>
      <c r="BI863" s="179" t="str">
        <f t="array" ref="BI863">IF($F863&lt;&gt;"",XLOOKUP($F863,Productos!$A:$A,Productos!BB:BB,"Revisar"),"")</f>
        <v/>
      </c>
      <c r="BJ863" s="179" t="str">
        <f t="array" ref="BJ863">IF($F863&lt;&gt;"", XLOOKUP($F863,Productos!$A$2:$A1001,Productos!BC$2:BC1001,"")*$G863,"")</f>
        <v/>
      </c>
      <c r="BK863" s="179" t="str">
        <f t="array" ref="BK863">IF($F863&lt;&gt;"",XLOOKUP($F863,Productos!$A:$A,Productos!BD:BD,"Revisar"),"")</f>
        <v/>
      </c>
      <c r="BL863" s="179" t="str">
        <f t="array" ref="BL863">IF($F863&lt;&gt;"", XLOOKUP($F863,Productos!$A$2:$A1001,Productos!BE$2:BE1001,"")*$G863,"")</f>
        <v/>
      </c>
      <c r="BM863" s="179" t="str">
        <f t="array" ref="BM863">IF($F863&lt;&gt;"",XLOOKUP($F863,Productos!$A:$A,Productos!BF:BF,"Revisar"),"")</f>
        <v/>
      </c>
      <c r="BN863" s="179" t="str">
        <f t="array" ref="BN863">IF($F863&lt;&gt;"", XLOOKUP($F863,Productos!$A$2:$A1001,Productos!BG$2:BG1001,"")*$G863,"")</f>
        <v/>
      </c>
      <c r="BO863" s="179" t="str">
        <f t="array" ref="BO863">IF($F863&lt;&gt;"",XLOOKUP($F863,Productos!$A:$A,Productos!BH:BH,"Revisar"),"")</f>
        <v/>
      </c>
      <c r="BP863" s="179" t="str">
        <f t="array" ref="BP863">IF($F863&lt;&gt;"", XLOOKUP($F863,Productos!$A$2:$A1001,Productos!BI$2:BI1001,"")*$G863,"")</f>
        <v/>
      </c>
      <c r="BQ863" s="179" t="str">
        <f t="array" ref="BQ863">IF($F863&lt;&gt;"",XLOOKUP($F863,Productos!$A:$A,Productos!BJ:BJ,"Revisar"),"")</f>
        <v/>
      </c>
      <c r="BR863" s="179" t="str">
        <f t="array" ref="BR863">IF($F863&lt;&gt;"", XLOOKUP($F863,Productos!$A$2:$A1001,Productos!BK$2:BK1001,"")*$G863,"")</f>
        <v/>
      </c>
      <c r="BS863" s="179" t="str">
        <f t="array" ref="BS863">IF($F863&lt;&gt;"",XLOOKUP($F863,Productos!$A:$A,Productos!BL:BL,"Revisar"),"")</f>
        <v/>
      </c>
      <c r="BT863" s="179" t="str">
        <f t="array" ref="BT863">IF($F863&lt;&gt;"", XLOOKUP($F863,Productos!$A$2:$A1001,Productos!BM$2:BM1001,"")*$G863,"")</f>
        <v/>
      </c>
      <c r="BU863" s="179" t="str">
        <f t="array" ref="BU863">IF($F863&lt;&gt;"",XLOOKUP($F863,Productos!$A:$A,Productos!BN:BN,"Revisar"),"")</f>
        <v/>
      </c>
      <c r="BV863" s="179" t="str">
        <f t="array" ref="BV863">IF($F863&lt;&gt;"", XLOOKUP($F863,Productos!$A$2:$A1001,Productos!BO$2:BO1001,"")*$G863,"")</f>
        <v/>
      </c>
      <c r="BW863" s="179" t="str">
        <f t="array" ref="BW863">IF($F863&lt;&gt;"",XLOOKUP($F863,Productos!$A:$A,Productos!BP:BP,"Revisar"),"")</f>
        <v/>
      </c>
      <c r="BX863" s="179" t="str">
        <f t="array" ref="BX863">IF($F863&lt;&gt;"", XLOOKUP($F863,Productos!$A$2:$A1001,Productos!BQ$2:BQ1001,"")*$G863,"")</f>
        <v/>
      </c>
      <c r="BY863" s="179" t="str">
        <f t="array" ref="BY863">IF($F863&lt;&gt;"",XLOOKUP($F863,Productos!$A:$A,Productos!BR:BR,"Revisar"),"")</f>
        <v/>
      </c>
      <c r="BZ863" s="179" t="str">
        <f t="array" ref="BZ863">IF($F863&lt;&gt;"", XLOOKUP($F863,Productos!$A$2:$A1001,Productos!BS$2:BS1001,"")*$G863,"")</f>
        <v/>
      </c>
    </row>
    <row r="864">
      <c r="A864" s="188"/>
      <c r="B864" s="189"/>
      <c r="C864" s="190"/>
      <c r="D864" s="190"/>
      <c r="E864" s="191"/>
      <c r="F864" s="186"/>
      <c r="G864" s="192"/>
      <c r="H864" s="9"/>
      <c r="I864" s="179" t="str">
        <f t="array" ref="I864">IF($F864&lt;&gt;"",XLOOKUP($F864,Productos!$A:$A,Productos!B:B,"Revisar"),"")</f>
        <v/>
      </c>
      <c r="J864" s="179" t="str">
        <f t="array" ref="J864">IF($F864&lt;&gt;"", XLOOKUP($F864,Productos!$A$2:$A1001,Productos!C$2:C1001,"")*$G864,"")</f>
        <v/>
      </c>
      <c r="K864" s="179" t="str">
        <f t="array" ref="K864">IF($F864&lt;&gt;"",XLOOKUP($F864,Productos!$A:$A,Productos!D:D,"Revisar"),"")</f>
        <v/>
      </c>
      <c r="L864" s="179" t="str">
        <f t="array" ref="L864">IF($F864&lt;&gt;"", XLOOKUP($F864,Productos!$A$2:$A1001,Productos!E$2:E1001,"")*$G864,"")</f>
        <v/>
      </c>
      <c r="M864" s="179" t="str">
        <f t="array" ref="M864">IF($F864&lt;&gt;"",XLOOKUP($F864,Productos!$A:$A,Productos!F:F,"Revisar"),"")</f>
        <v/>
      </c>
      <c r="N864" s="179" t="str">
        <f t="array" ref="N864">IF($F864&lt;&gt;"", XLOOKUP($F864,Productos!$A$2:$A1001,Productos!G$2:G1001,"")*$G864,"")</f>
        <v/>
      </c>
      <c r="O864" s="179" t="str">
        <f t="array" ref="O864">IF($F864&lt;&gt;"",XLOOKUP($F864,Productos!$A:$A,Productos!H:H,"Revisar"),"")</f>
        <v/>
      </c>
      <c r="P864" s="179" t="str">
        <f t="array" ref="P864">IF($F864&lt;&gt;"", XLOOKUP($F864,Productos!$A$2:$A1001,Productos!I$2:I1001,"")*$G864,"")</f>
        <v/>
      </c>
      <c r="Q864" s="179" t="str">
        <f t="array" ref="Q864">IF($F864&lt;&gt;"",XLOOKUP($F864,Productos!$A:$A,Productos!J:J,"Revisar"),"")</f>
        <v/>
      </c>
      <c r="R864" s="179" t="str">
        <f t="array" ref="R864">IF($F864&lt;&gt;"", XLOOKUP($F864,Productos!$A$2:$A1001,Productos!K$2:K1001,"")*$G864,"")</f>
        <v/>
      </c>
      <c r="S864" s="179" t="str">
        <f t="array" ref="S864">IF($F864&lt;&gt;"",XLOOKUP($F864,Productos!$A:$A,Productos!L:L,"Revisar"),"")</f>
        <v/>
      </c>
      <c r="T864" s="179" t="str">
        <f t="array" ref="T864">IF($F864&lt;&gt;"", XLOOKUP($F864,Productos!$A$2:$A1001,Productos!M$2:M1001,"")*$G864,"")</f>
        <v/>
      </c>
      <c r="U864" s="179" t="str">
        <f t="array" ref="U864">IF($F864&lt;&gt;"",XLOOKUP($F864,Productos!$A:$A,Productos!N:N,"Revisar"),"")</f>
        <v/>
      </c>
      <c r="V864" s="179" t="str">
        <f t="array" ref="V864">IF($F864&lt;&gt;"", XLOOKUP($F864,Productos!$A$2:$A1001,Productos!O$2:O1001,"")*$G864,"")</f>
        <v/>
      </c>
      <c r="W864" s="179" t="str">
        <f t="array" ref="W864">IF($F864&lt;&gt;"",XLOOKUP($F864,Productos!$A:$A,Productos!P:P,"Revisar"),"")</f>
        <v/>
      </c>
      <c r="X864" s="179" t="str">
        <f t="array" ref="X864">IF($F864&lt;&gt;"", XLOOKUP($F864,Productos!$A$2:$A1001,Productos!Q$2:Q1001,"")*$G864,"")</f>
        <v/>
      </c>
      <c r="Y864" s="179" t="str">
        <f t="array" ref="Y864">IF($F864&lt;&gt;"",XLOOKUP($F864,Productos!$A:$A,Productos!R:R,"Revisar"),"")</f>
        <v/>
      </c>
      <c r="Z864" s="179" t="str">
        <f t="array" ref="Z864">IF($F864&lt;&gt;"", XLOOKUP($F864,Productos!$A$2:$A1001,Productos!S$2:S1001,"")*$G864,"")</f>
        <v/>
      </c>
      <c r="AA864" s="179" t="str">
        <f t="array" ref="AA864">IF($F864&lt;&gt;"",XLOOKUP($F864,Productos!$A:$A,Productos!T:T,"Revisar"),"")</f>
        <v/>
      </c>
      <c r="AB864" s="179" t="str">
        <f t="array" ref="AB864">IF($F864&lt;&gt;"", XLOOKUP($F864,Productos!$A$2:$A1001,Productos!U$2:U1001,"")*$G864,"")</f>
        <v/>
      </c>
      <c r="AC864" s="179" t="str">
        <f t="array" ref="AC864">IF($F864&lt;&gt;"",XLOOKUP($F864,Productos!$A:$A,Productos!V:V,"Revisar"),"")</f>
        <v/>
      </c>
      <c r="AD864" s="179" t="str">
        <f t="array" ref="AD864">IF($F864&lt;&gt;"", XLOOKUP($F864,Productos!$A$2:$A1001,Productos!W$2:W1001,"")*$G864,"")</f>
        <v/>
      </c>
      <c r="AE864" s="179" t="str">
        <f t="array" ref="AE864">IF($F864&lt;&gt;"",XLOOKUP($F864,Productos!$A:$A,Productos!X:X,"Revisar"),"")</f>
        <v/>
      </c>
      <c r="AF864" s="179" t="str">
        <f t="array" ref="AF864">IF($F864&lt;&gt;"", XLOOKUP($F864,Productos!$A$2:$A1001,Productos!Y$2:Y1001,"")*$G864,"")</f>
        <v/>
      </c>
      <c r="AG864" s="179" t="str">
        <f t="array" ref="AG864">IF($F864&lt;&gt;"",XLOOKUP($F864,Productos!$A:$A,Productos!Z:Z,"Revisar"),"")</f>
        <v/>
      </c>
      <c r="AH864" s="179" t="str">
        <f t="array" ref="AH864">IF($F864&lt;&gt;"", XLOOKUP($F864,Productos!$A$2:$A1001,Productos!AA$2:AA1001,"")*$G864,"")</f>
        <v/>
      </c>
      <c r="AI864" s="179" t="str">
        <f t="array" ref="AI864">IF($F864&lt;&gt;"",XLOOKUP($F864,Productos!$A:$A,Productos!AB:AB,"Revisar"),"")</f>
        <v/>
      </c>
      <c r="AJ864" s="179" t="str">
        <f t="array" ref="AJ864">IF($F864&lt;&gt;"", XLOOKUP($F864,Productos!$A$2:$A1001,Productos!AC$2:AC1001,"")*$G864,"")</f>
        <v/>
      </c>
      <c r="AK864" s="179" t="str">
        <f t="array" ref="AK864">IF($F864&lt;&gt;"",XLOOKUP($F864,Productos!$A:$A,Productos!AD:AD,"Revisar"),"")</f>
        <v/>
      </c>
      <c r="AL864" s="179" t="str">
        <f t="array" ref="AL864">IF($F864&lt;&gt;"", XLOOKUP($F864,Productos!$A$2:$A1001,Productos!AE$2:AE1001,"")*$G864,"")</f>
        <v/>
      </c>
      <c r="AM864" s="179" t="str">
        <f t="array" ref="AM864">IF($F864&lt;&gt;"",XLOOKUP($F864,Productos!$A:$A,Productos!AF:AF,"Revisar"),"")</f>
        <v/>
      </c>
      <c r="AN864" s="179" t="str">
        <f t="array" ref="AN864">IF($F864&lt;&gt;"", XLOOKUP($F864,Productos!$A$2:$A1001,Productos!AG$2:AG1001,"")*$G864,"")</f>
        <v/>
      </c>
      <c r="AO864" s="179" t="str">
        <f t="array" ref="AO864">IF($F864&lt;&gt;"",XLOOKUP($F864,Productos!$A:$A,Productos!AH:AH,"Revisar"),"")</f>
        <v/>
      </c>
      <c r="AP864" s="179" t="str">
        <f t="array" ref="AP864">IF($F864&lt;&gt;"", XLOOKUP($F864,Productos!$A$2:$A1001,Productos!AI$2:AI1001,"")*$G864,"")</f>
        <v/>
      </c>
      <c r="AQ864" s="179" t="str">
        <f t="array" ref="AQ864">IF($F864&lt;&gt;"",XLOOKUP($F864,Productos!$A:$A,Productos!AJ:AJ,"Revisar"),"")</f>
        <v/>
      </c>
      <c r="AR864" s="179" t="str">
        <f t="array" ref="AR864">IF($F864&lt;&gt;"", XLOOKUP($F864,Productos!$A$2:$A1001,Productos!AK$2:AK1001,"")*$G864,"")</f>
        <v/>
      </c>
      <c r="AS864" s="179" t="str">
        <f t="array" ref="AS864">IF($F864&lt;&gt;"",XLOOKUP($F864,Productos!$A:$A,Productos!AL:AL,"Revisar"),"")</f>
        <v/>
      </c>
      <c r="AT864" s="179" t="str">
        <f t="array" ref="AT864">IF($F864&lt;&gt;"", XLOOKUP($F864,Productos!$A$2:$A1001,Productos!AM$2:AM1001,"")*$G864,"")</f>
        <v/>
      </c>
      <c r="AU864" s="179" t="str">
        <f t="array" ref="AU864">IF($F864&lt;&gt;"",XLOOKUP($F864,Productos!$A:$A,Productos!AN:AN,"Revisar"),"")</f>
        <v/>
      </c>
      <c r="AV864" s="179" t="str">
        <f t="array" ref="AV864">IF($F864&lt;&gt;"", XLOOKUP($F864,Productos!$A$2:$A1001,Productos!AO$2:AO1001,"")*$G864,"")</f>
        <v/>
      </c>
      <c r="AW864" s="179" t="str">
        <f t="array" ref="AW864">IF($F864&lt;&gt;"",XLOOKUP($F864,Productos!$A:$A,Productos!AP:AP,"Revisar"),"")</f>
        <v/>
      </c>
      <c r="AX864" s="179" t="str">
        <f t="array" ref="AX864">IF($F864&lt;&gt;"", XLOOKUP($F864,Productos!$A$2:$A1001,Productos!AQ$2:AQ1001,"")*$G864,"")</f>
        <v/>
      </c>
      <c r="AY864" s="179" t="str">
        <f t="array" ref="AY864">IF($F864&lt;&gt;"",XLOOKUP($F864,Productos!$A:$A,Productos!AR:AR,"Revisar"),"")</f>
        <v/>
      </c>
      <c r="AZ864" s="179" t="str">
        <f t="array" ref="AZ864">IF($F864&lt;&gt;"", XLOOKUP($F864,Productos!$A$2:$A1001,Productos!AS$2:AS1001,"")*$G864,"")</f>
        <v/>
      </c>
      <c r="BA864" s="179" t="str">
        <f t="array" ref="BA864">IF($F864&lt;&gt;"",XLOOKUP($F864,Productos!$A:$A,Productos!AT:AT,"Revisar"),"")</f>
        <v/>
      </c>
      <c r="BB864" s="179" t="str">
        <f t="array" ref="BB864">IF($F864&lt;&gt;"", XLOOKUP($F864,Productos!$A$2:$A1001,Productos!AU$2:AU1001,"")*$G864,"")</f>
        <v/>
      </c>
      <c r="BC864" s="179" t="str">
        <f t="array" ref="BC864">IF($F864&lt;&gt;"",XLOOKUP($F864,Productos!$A:$A,Productos!AV:AV,"Revisar"),"")</f>
        <v/>
      </c>
      <c r="BD864" s="179" t="str">
        <f t="array" ref="BD864">IF($F864&lt;&gt;"", XLOOKUP($F864,Productos!$A$2:$A1001,Productos!AW$2:AW1001,"")*$G864,"")</f>
        <v/>
      </c>
      <c r="BE864" s="179" t="str">
        <f t="array" ref="BE864">IF($F864&lt;&gt;"",XLOOKUP($F864,Productos!$A:$A,Productos!AX:AX,"Revisar"),"")</f>
        <v/>
      </c>
      <c r="BF864" s="179" t="str">
        <f t="array" ref="BF864">IF($F864&lt;&gt;"", XLOOKUP($F864,Productos!$A$2:$A1001,Productos!AY$2:AY1001,"")*$G864,"")</f>
        <v/>
      </c>
      <c r="BG864" s="179" t="str">
        <f t="array" ref="BG864">IF($F864&lt;&gt;"",XLOOKUP($F864,Productos!$A:$A,Productos!AZ:AZ,"Revisar"),"")</f>
        <v/>
      </c>
      <c r="BH864" s="179" t="str">
        <f t="array" ref="BH864">IF($F864&lt;&gt;"", XLOOKUP($F864,Productos!$A$2:$A1001,Productos!BA$2:BA1001,"")*$G864,"")</f>
        <v/>
      </c>
      <c r="BI864" s="179" t="str">
        <f t="array" ref="BI864">IF($F864&lt;&gt;"",XLOOKUP($F864,Productos!$A:$A,Productos!BB:BB,"Revisar"),"")</f>
        <v/>
      </c>
      <c r="BJ864" s="179" t="str">
        <f t="array" ref="BJ864">IF($F864&lt;&gt;"", XLOOKUP($F864,Productos!$A$2:$A1001,Productos!BC$2:BC1001,"")*$G864,"")</f>
        <v/>
      </c>
      <c r="BK864" s="179" t="str">
        <f t="array" ref="BK864">IF($F864&lt;&gt;"",XLOOKUP($F864,Productos!$A:$A,Productos!BD:BD,"Revisar"),"")</f>
        <v/>
      </c>
      <c r="BL864" s="179" t="str">
        <f t="array" ref="BL864">IF($F864&lt;&gt;"", XLOOKUP($F864,Productos!$A$2:$A1001,Productos!BE$2:BE1001,"")*$G864,"")</f>
        <v/>
      </c>
      <c r="BM864" s="179" t="str">
        <f t="array" ref="BM864">IF($F864&lt;&gt;"",XLOOKUP($F864,Productos!$A:$A,Productos!BF:BF,"Revisar"),"")</f>
        <v/>
      </c>
      <c r="BN864" s="179" t="str">
        <f t="array" ref="BN864">IF($F864&lt;&gt;"", XLOOKUP($F864,Productos!$A$2:$A1001,Productos!BG$2:BG1001,"")*$G864,"")</f>
        <v/>
      </c>
      <c r="BO864" s="179" t="str">
        <f t="array" ref="BO864">IF($F864&lt;&gt;"",XLOOKUP($F864,Productos!$A:$A,Productos!BH:BH,"Revisar"),"")</f>
        <v/>
      </c>
      <c r="BP864" s="179" t="str">
        <f t="array" ref="BP864">IF($F864&lt;&gt;"", XLOOKUP($F864,Productos!$A$2:$A1001,Productos!BI$2:BI1001,"")*$G864,"")</f>
        <v/>
      </c>
      <c r="BQ864" s="179" t="str">
        <f t="array" ref="BQ864">IF($F864&lt;&gt;"",XLOOKUP($F864,Productos!$A:$A,Productos!BJ:BJ,"Revisar"),"")</f>
        <v/>
      </c>
      <c r="BR864" s="179" t="str">
        <f t="array" ref="BR864">IF($F864&lt;&gt;"", XLOOKUP($F864,Productos!$A$2:$A1001,Productos!BK$2:BK1001,"")*$G864,"")</f>
        <v/>
      </c>
      <c r="BS864" s="179" t="str">
        <f t="array" ref="BS864">IF($F864&lt;&gt;"",XLOOKUP($F864,Productos!$A:$A,Productos!BL:BL,"Revisar"),"")</f>
        <v/>
      </c>
      <c r="BT864" s="179" t="str">
        <f t="array" ref="BT864">IF($F864&lt;&gt;"", XLOOKUP($F864,Productos!$A$2:$A1001,Productos!BM$2:BM1001,"")*$G864,"")</f>
        <v/>
      </c>
      <c r="BU864" s="179" t="str">
        <f t="array" ref="BU864">IF($F864&lt;&gt;"",XLOOKUP($F864,Productos!$A:$A,Productos!BN:BN,"Revisar"),"")</f>
        <v/>
      </c>
      <c r="BV864" s="179" t="str">
        <f t="array" ref="BV864">IF($F864&lt;&gt;"", XLOOKUP($F864,Productos!$A$2:$A1001,Productos!BO$2:BO1001,"")*$G864,"")</f>
        <v/>
      </c>
      <c r="BW864" s="179" t="str">
        <f t="array" ref="BW864">IF($F864&lt;&gt;"",XLOOKUP($F864,Productos!$A:$A,Productos!BP:BP,"Revisar"),"")</f>
        <v/>
      </c>
      <c r="BX864" s="179" t="str">
        <f t="array" ref="BX864">IF($F864&lt;&gt;"", XLOOKUP($F864,Productos!$A$2:$A1001,Productos!BQ$2:BQ1001,"")*$G864,"")</f>
        <v/>
      </c>
      <c r="BY864" s="179" t="str">
        <f t="array" ref="BY864">IF($F864&lt;&gt;"",XLOOKUP($F864,Productos!$A:$A,Productos!BR:BR,"Revisar"),"")</f>
        <v/>
      </c>
      <c r="BZ864" s="179" t="str">
        <f t="array" ref="BZ864">IF($F864&lt;&gt;"", XLOOKUP($F864,Productos!$A$2:$A1001,Productos!BS$2:BS1001,"")*$G864,"")</f>
        <v/>
      </c>
    </row>
    <row r="865">
      <c r="A865" s="188"/>
      <c r="B865" s="189"/>
      <c r="C865" s="190"/>
      <c r="D865" s="190"/>
      <c r="E865" s="191"/>
      <c r="F865" s="186"/>
      <c r="G865" s="192"/>
      <c r="H865" s="9"/>
      <c r="I865" s="179" t="str">
        <f t="array" ref="I865">IF($F865&lt;&gt;"",XLOOKUP($F865,Productos!$A:$A,Productos!B:B,"Revisar"),"")</f>
        <v/>
      </c>
      <c r="J865" s="179" t="str">
        <f t="array" ref="J865">IF($F865&lt;&gt;"", XLOOKUP($F865,Productos!$A$2:$A1001,Productos!C$2:C1001,"")*$G865,"")</f>
        <v/>
      </c>
      <c r="K865" s="179" t="str">
        <f t="array" ref="K865">IF($F865&lt;&gt;"",XLOOKUP($F865,Productos!$A:$A,Productos!D:D,"Revisar"),"")</f>
        <v/>
      </c>
      <c r="L865" s="179" t="str">
        <f t="array" ref="L865">IF($F865&lt;&gt;"", XLOOKUP($F865,Productos!$A$2:$A1001,Productos!E$2:E1001,"")*$G865,"")</f>
        <v/>
      </c>
      <c r="M865" s="179" t="str">
        <f t="array" ref="M865">IF($F865&lt;&gt;"",XLOOKUP($F865,Productos!$A:$A,Productos!F:F,"Revisar"),"")</f>
        <v/>
      </c>
      <c r="N865" s="179" t="str">
        <f t="array" ref="N865">IF($F865&lt;&gt;"", XLOOKUP($F865,Productos!$A$2:$A1001,Productos!G$2:G1001,"")*$G865,"")</f>
        <v/>
      </c>
      <c r="O865" s="179" t="str">
        <f t="array" ref="O865">IF($F865&lt;&gt;"",XLOOKUP($F865,Productos!$A:$A,Productos!H:H,"Revisar"),"")</f>
        <v/>
      </c>
      <c r="P865" s="179" t="str">
        <f t="array" ref="P865">IF($F865&lt;&gt;"", XLOOKUP($F865,Productos!$A$2:$A1001,Productos!I$2:I1001,"")*$G865,"")</f>
        <v/>
      </c>
      <c r="Q865" s="179" t="str">
        <f t="array" ref="Q865">IF($F865&lt;&gt;"",XLOOKUP($F865,Productos!$A:$A,Productos!J:J,"Revisar"),"")</f>
        <v/>
      </c>
      <c r="R865" s="179" t="str">
        <f t="array" ref="R865">IF($F865&lt;&gt;"", XLOOKUP($F865,Productos!$A$2:$A1001,Productos!K$2:K1001,"")*$G865,"")</f>
        <v/>
      </c>
      <c r="S865" s="179" t="str">
        <f t="array" ref="S865">IF($F865&lt;&gt;"",XLOOKUP($F865,Productos!$A:$A,Productos!L:L,"Revisar"),"")</f>
        <v/>
      </c>
      <c r="T865" s="179" t="str">
        <f t="array" ref="T865">IF($F865&lt;&gt;"", XLOOKUP($F865,Productos!$A$2:$A1001,Productos!M$2:M1001,"")*$G865,"")</f>
        <v/>
      </c>
      <c r="U865" s="179" t="str">
        <f t="array" ref="U865">IF($F865&lt;&gt;"",XLOOKUP($F865,Productos!$A:$A,Productos!N:N,"Revisar"),"")</f>
        <v/>
      </c>
      <c r="V865" s="179" t="str">
        <f t="array" ref="V865">IF($F865&lt;&gt;"", XLOOKUP($F865,Productos!$A$2:$A1001,Productos!O$2:O1001,"")*$G865,"")</f>
        <v/>
      </c>
      <c r="W865" s="179" t="str">
        <f t="array" ref="W865">IF($F865&lt;&gt;"",XLOOKUP($F865,Productos!$A:$A,Productos!P:P,"Revisar"),"")</f>
        <v/>
      </c>
      <c r="X865" s="179" t="str">
        <f t="array" ref="X865">IF($F865&lt;&gt;"", XLOOKUP($F865,Productos!$A$2:$A1001,Productos!Q$2:Q1001,"")*$G865,"")</f>
        <v/>
      </c>
      <c r="Y865" s="179" t="str">
        <f t="array" ref="Y865">IF($F865&lt;&gt;"",XLOOKUP($F865,Productos!$A:$A,Productos!R:R,"Revisar"),"")</f>
        <v/>
      </c>
      <c r="Z865" s="179" t="str">
        <f t="array" ref="Z865">IF($F865&lt;&gt;"", XLOOKUP($F865,Productos!$A$2:$A1001,Productos!S$2:S1001,"")*$G865,"")</f>
        <v/>
      </c>
      <c r="AA865" s="179" t="str">
        <f t="array" ref="AA865">IF($F865&lt;&gt;"",XLOOKUP($F865,Productos!$A:$A,Productos!T:T,"Revisar"),"")</f>
        <v/>
      </c>
      <c r="AB865" s="179" t="str">
        <f t="array" ref="AB865">IF($F865&lt;&gt;"", XLOOKUP($F865,Productos!$A$2:$A1001,Productos!U$2:U1001,"")*$G865,"")</f>
        <v/>
      </c>
      <c r="AC865" s="179" t="str">
        <f t="array" ref="AC865">IF($F865&lt;&gt;"",XLOOKUP($F865,Productos!$A:$A,Productos!V:V,"Revisar"),"")</f>
        <v/>
      </c>
      <c r="AD865" s="179" t="str">
        <f t="array" ref="AD865">IF($F865&lt;&gt;"", XLOOKUP($F865,Productos!$A$2:$A1001,Productos!W$2:W1001,"")*$G865,"")</f>
        <v/>
      </c>
      <c r="AE865" s="179" t="str">
        <f t="array" ref="AE865">IF($F865&lt;&gt;"",XLOOKUP($F865,Productos!$A:$A,Productos!X:X,"Revisar"),"")</f>
        <v/>
      </c>
      <c r="AF865" s="179" t="str">
        <f t="array" ref="AF865">IF($F865&lt;&gt;"", XLOOKUP($F865,Productos!$A$2:$A1001,Productos!Y$2:Y1001,"")*$G865,"")</f>
        <v/>
      </c>
      <c r="AG865" s="179" t="str">
        <f t="array" ref="AG865">IF($F865&lt;&gt;"",XLOOKUP($F865,Productos!$A:$A,Productos!Z:Z,"Revisar"),"")</f>
        <v/>
      </c>
      <c r="AH865" s="179" t="str">
        <f t="array" ref="AH865">IF($F865&lt;&gt;"", XLOOKUP($F865,Productos!$A$2:$A1001,Productos!AA$2:AA1001,"")*$G865,"")</f>
        <v/>
      </c>
      <c r="AI865" s="179" t="str">
        <f t="array" ref="AI865">IF($F865&lt;&gt;"",XLOOKUP($F865,Productos!$A:$A,Productos!AB:AB,"Revisar"),"")</f>
        <v/>
      </c>
      <c r="AJ865" s="179" t="str">
        <f t="array" ref="AJ865">IF($F865&lt;&gt;"", XLOOKUP($F865,Productos!$A$2:$A1001,Productos!AC$2:AC1001,"")*$G865,"")</f>
        <v/>
      </c>
      <c r="AK865" s="179" t="str">
        <f t="array" ref="AK865">IF($F865&lt;&gt;"",XLOOKUP($F865,Productos!$A:$A,Productos!AD:AD,"Revisar"),"")</f>
        <v/>
      </c>
      <c r="AL865" s="179" t="str">
        <f t="array" ref="AL865">IF($F865&lt;&gt;"", XLOOKUP($F865,Productos!$A$2:$A1001,Productos!AE$2:AE1001,"")*$G865,"")</f>
        <v/>
      </c>
      <c r="AM865" s="179" t="str">
        <f t="array" ref="AM865">IF($F865&lt;&gt;"",XLOOKUP($F865,Productos!$A:$A,Productos!AF:AF,"Revisar"),"")</f>
        <v/>
      </c>
      <c r="AN865" s="179" t="str">
        <f t="array" ref="AN865">IF($F865&lt;&gt;"", XLOOKUP($F865,Productos!$A$2:$A1001,Productos!AG$2:AG1001,"")*$G865,"")</f>
        <v/>
      </c>
      <c r="AO865" s="179" t="str">
        <f t="array" ref="AO865">IF($F865&lt;&gt;"",XLOOKUP($F865,Productos!$A:$A,Productos!AH:AH,"Revisar"),"")</f>
        <v/>
      </c>
      <c r="AP865" s="179" t="str">
        <f t="array" ref="AP865">IF($F865&lt;&gt;"", XLOOKUP($F865,Productos!$A$2:$A1001,Productos!AI$2:AI1001,"")*$G865,"")</f>
        <v/>
      </c>
      <c r="AQ865" s="179" t="str">
        <f t="array" ref="AQ865">IF($F865&lt;&gt;"",XLOOKUP($F865,Productos!$A:$A,Productos!AJ:AJ,"Revisar"),"")</f>
        <v/>
      </c>
      <c r="AR865" s="179" t="str">
        <f t="array" ref="AR865">IF($F865&lt;&gt;"", XLOOKUP($F865,Productos!$A$2:$A1001,Productos!AK$2:AK1001,"")*$G865,"")</f>
        <v/>
      </c>
      <c r="AS865" s="179" t="str">
        <f t="array" ref="AS865">IF($F865&lt;&gt;"",XLOOKUP($F865,Productos!$A:$A,Productos!AL:AL,"Revisar"),"")</f>
        <v/>
      </c>
      <c r="AT865" s="179" t="str">
        <f t="array" ref="AT865">IF($F865&lt;&gt;"", XLOOKUP($F865,Productos!$A$2:$A1001,Productos!AM$2:AM1001,"")*$G865,"")</f>
        <v/>
      </c>
      <c r="AU865" s="179" t="str">
        <f t="array" ref="AU865">IF($F865&lt;&gt;"",XLOOKUP($F865,Productos!$A:$A,Productos!AN:AN,"Revisar"),"")</f>
        <v/>
      </c>
      <c r="AV865" s="179" t="str">
        <f t="array" ref="AV865">IF($F865&lt;&gt;"", XLOOKUP($F865,Productos!$A$2:$A1001,Productos!AO$2:AO1001,"")*$G865,"")</f>
        <v/>
      </c>
      <c r="AW865" s="179" t="str">
        <f t="array" ref="AW865">IF($F865&lt;&gt;"",XLOOKUP($F865,Productos!$A:$A,Productos!AP:AP,"Revisar"),"")</f>
        <v/>
      </c>
      <c r="AX865" s="179" t="str">
        <f t="array" ref="AX865">IF($F865&lt;&gt;"", XLOOKUP($F865,Productos!$A$2:$A1001,Productos!AQ$2:AQ1001,"")*$G865,"")</f>
        <v/>
      </c>
      <c r="AY865" s="179" t="str">
        <f t="array" ref="AY865">IF($F865&lt;&gt;"",XLOOKUP($F865,Productos!$A:$A,Productos!AR:AR,"Revisar"),"")</f>
        <v/>
      </c>
      <c r="AZ865" s="179" t="str">
        <f t="array" ref="AZ865">IF($F865&lt;&gt;"", XLOOKUP($F865,Productos!$A$2:$A1001,Productos!AS$2:AS1001,"")*$G865,"")</f>
        <v/>
      </c>
      <c r="BA865" s="179" t="str">
        <f t="array" ref="BA865">IF($F865&lt;&gt;"",XLOOKUP($F865,Productos!$A:$A,Productos!AT:AT,"Revisar"),"")</f>
        <v/>
      </c>
      <c r="BB865" s="179" t="str">
        <f t="array" ref="BB865">IF($F865&lt;&gt;"", XLOOKUP($F865,Productos!$A$2:$A1001,Productos!AU$2:AU1001,"")*$G865,"")</f>
        <v/>
      </c>
      <c r="BC865" s="179" t="str">
        <f t="array" ref="BC865">IF($F865&lt;&gt;"",XLOOKUP($F865,Productos!$A:$A,Productos!AV:AV,"Revisar"),"")</f>
        <v/>
      </c>
      <c r="BD865" s="179" t="str">
        <f t="array" ref="BD865">IF($F865&lt;&gt;"", XLOOKUP($F865,Productos!$A$2:$A1001,Productos!AW$2:AW1001,"")*$G865,"")</f>
        <v/>
      </c>
      <c r="BE865" s="179" t="str">
        <f t="array" ref="BE865">IF($F865&lt;&gt;"",XLOOKUP($F865,Productos!$A:$A,Productos!AX:AX,"Revisar"),"")</f>
        <v/>
      </c>
      <c r="BF865" s="179" t="str">
        <f t="array" ref="BF865">IF($F865&lt;&gt;"", XLOOKUP($F865,Productos!$A$2:$A1001,Productos!AY$2:AY1001,"")*$G865,"")</f>
        <v/>
      </c>
      <c r="BG865" s="179" t="str">
        <f t="array" ref="BG865">IF($F865&lt;&gt;"",XLOOKUP($F865,Productos!$A:$A,Productos!AZ:AZ,"Revisar"),"")</f>
        <v/>
      </c>
      <c r="BH865" s="179" t="str">
        <f t="array" ref="BH865">IF($F865&lt;&gt;"", XLOOKUP($F865,Productos!$A$2:$A1001,Productos!BA$2:BA1001,"")*$G865,"")</f>
        <v/>
      </c>
      <c r="BI865" s="179" t="str">
        <f t="array" ref="BI865">IF($F865&lt;&gt;"",XLOOKUP($F865,Productos!$A:$A,Productos!BB:BB,"Revisar"),"")</f>
        <v/>
      </c>
      <c r="BJ865" s="179" t="str">
        <f t="array" ref="BJ865">IF($F865&lt;&gt;"", XLOOKUP($F865,Productos!$A$2:$A1001,Productos!BC$2:BC1001,"")*$G865,"")</f>
        <v/>
      </c>
      <c r="BK865" s="179" t="str">
        <f t="array" ref="BK865">IF($F865&lt;&gt;"",XLOOKUP($F865,Productos!$A:$A,Productos!BD:BD,"Revisar"),"")</f>
        <v/>
      </c>
      <c r="BL865" s="179" t="str">
        <f t="array" ref="BL865">IF($F865&lt;&gt;"", XLOOKUP($F865,Productos!$A$2:$A1001,Productos!BE$2:BE1001,"")*$G865,"")</f>
        <v/>
      </c>
      <c r="BM865" s="179" t="str">
        <f t="array" ref="BM865">IF($F865&lt;&gt;"",XLOOKUP($F865,Productos!$A:$A,Productos!BF:BF,"Revisar"),"")</f>
        <v/>
      </c>
      <c r="BN865" s="179" t="str">
        <f t="array" ref="BN865">IF($F865&lt;&gt;"", XLOOKUP($F865,Productos!$A$2:$A1001,Productos!BG$2:BG1001,"")*$G865,"")</f>
        <v/>
      </c>
      <c r="BO865" s="179" t="str">
        <f t="array" ref="BO865">IF($F865&lt;&gt;"",XLOOKUP($F865,Productos!$A:$A,Productos!BH:BH,"Revisar"),"")</f>
        <v/>
      </c>
      <c r="BP865" s="179" t="str">
        <f t="array" ref="BP865">IF($F865&lt;&gt;"", XLOOKUP($F865,Productos!$A$2:$A1001,Productos!BI$2:BI1001,"")*$G865,"")</f>
        <v/>
      </c>
      <c r="BQ865" s="179" t="str">
        <f t="array" ref="BQ865">IF($F865&lt;&gt;"",XLOOKUP($F865,Productos!$A:$A,Productos!BJ:BJ,"Revisar"),"")</f>
        <v/>
      </c>
      <c r="BR865" s="179" t="str">
        <f t="array" ref="BR865">IF($F865&lt;&gt;"", XLOOKUP($F865,Productos!$A$2:$A1001,Productos!BK$2:BK1001,"")*$G865,"")</f>
        <v/>
      </c>
      <c r="BS865" s="179" t="str">
        <f t="array" ref="BS865">IF($F865&lt;&gt;"",XLOOKUP($F865,Productos!$A:$A,Productos!BL:BL,"Revisar"),"")</f>
        <v/>
      </c>
      <c r="BT865" s="179" t="str">
        <f t="array" ref="BT865">IF($F865&lt;&gt;"", XLOOKUP($F865,Productos!$A$2:$A1001,Productos!BM$2:BM1001,"")*$G865,"")</f>
        <v/>
      </c>
      <c r="BU865" s="179" t="str">
        <f t="array" ref="BU865">IF($F865&lt;&gt;"",XLOOKUP($F865,Productos!$A:$A,Productos!BN:BN,"Revisar"),"")</f>
        <v/>
      </c>
      <c r="BV865" s="179" t="str">
        <f t="array" ref="BV865">IF($F865&lt;&gt;"", XLOOKUP($F865,Productos!$A$2:$A1001,Productos!BO$2:BO1001,"")*$G865,"")</f>
        <v/>
      </c>
      <c r="BW865" s="179" t="str">
        <f t="array" ref="BW865">IF($F865&lt;&gt;"",XLOOKUP($F865,Productos!$A:$A,Productos!BP:BP,"Revisar"),"")</f>
        <v/>
      </c>
      <c r="BX865" s="179" t="str">
        <f t="array" ref="BX865">IF($F865&lt;&gt;"", XLOOKUP($F865,Productos!$A$2:$A1001,Productos!BQ$2:BQ1001,"")*$G865,"")</f>
        <v/>
      </c>
      <c r="BY865" s="179" t="str">
        <f t="array" ref="BY865">IF($F865&lt;&gt;"",XLOOKUP($F865,Productos!$A:$A,Productos!BR:BR,"Revisar"),"")</f>
        <v/>
      </c>
      <c r="BZ865" s="179" t="str">
        <f t="array" ref="BZ865">IF($F865&lt;&gt;"", XLOOKUP($F865,Productos!$A$2:$A1001,Productos!BS$2:BS1001,"")*$G865,"")</f>
        <v/>
      </c>
    </row>
    <row r="866">
      <c r="A866" s="188"/>
      <c r="B866" s="189"/>
      <c r="C866" s="190"/>
      <c r="D866" s="190"/>
      <c r="E866" s="191"/>
      <c r="F866" s="186"/>
      <c r="G866" s="192"/>
      <c r="H866" s="9"/>
      <c r="I866" s="179" t="str">
        <f t="array" ref="I866">IF($F866&lt;&gt;"",XLOOKUP($F866,Productos!$A:$A,Productos!B:B,"Revisar"),"")</f>
        <v/>
      </c>
      <c r="J866" s="179" t="str">
        <f t="array" ref="J866">IF($F866&lt;&gt;"", XLOOKUP($F866,Productos!$A$2:$A1001,Productos!C$2:C1001,"")*$G866,"")</f>
        <v/>
      </c>
      <c r="K866" s="179" t="str">
        <f t="array" ref="K866">IF($F866&lt;&gt;"",XLOOKUP($F866,Productos!$A:$A,Productos!D:D,"Revisar"),"")</f>
        <v/>
      </c>
      <c r="L866" s="179" t="str">
        <f t="array" ref="L866">IF($F866&lt;&gt;"", XLOOKUP($F866,Productos!$A$2:$A1001,Productos!E$2:E1001,"")*$G866,"")</f>
        <v/>
      </c>
      <c r="M866" s="179" t="str">
        <f t="array" ref="M866">IF($F866&lt;&gt;"",XLOOKUP($F866,Productos!$A:$A,Productos!F:F,"Revisar"),"")</f>
        <v/>
      </c>
      <c r="N866" s="179" t="str">
        <f t="array" ref="N866">IF($F866&lt;&gt;"", XLOOKUP($F866,Productos!$A$2:$A1001,Productos!G$2:G1001,"")*$G866,"")</f>
        <v/>
      </c>
      <c r="O866" s="179" t="str">
        <f t="array" ref="O866">IF($F866&lt;&gt;"",XLOOKUP($F866,Productos!$A:$A,Productos!H:H,"Revisar"),"")</f>
        <v/>
      </c>
      <c r="P866" s="179" t="str">
        <f t="array" ref="P866">IF($F866&lt;&gt;"", XLOOKUP($F866,Productos!$A$2:$A1001,Productos!I$2:I1001,"")*$G866,"")</f>
        <v/>
      </c>
      <c r="Q866" s="179" t="str">
        <f t="array" ref="Q866">IF($F866&lt;&gt;"",XLOOKUP($F866,Productos!$A:$A,Productos!J:J,"Revisar"),"")</f>
        <v/>
      </c>
      <c r="R866" s="179" t="str">
        <f t="array" ref="R866">IF($F866&lt;&gt;"", XLOOKUP($F866,Productos!$A$2:$A1001,Productos!K$2:K1001,"")*$G866,"")</f>
        <v/>
      </c>
      <c r="S866" s="179" t="str">
        <f t="array" ref="S866">IF($F866&lt;&gt;"",XLOOKUP($F866,Productos!$A:$A,Productos!L:L,"Revisar"),"")</f>
        <v/>
      </c>
      <c r="T866" s="179" t="str">
        <f t="array" ref="T866">IF($F866&lt;&gt;"", XLOOKUP($F866,Productos!$A$2:$A1001,Productos!M$2:M1001,"")*$G866,"")</f>
        <v/>
      </c>
      <c r="U866" s="179" t="str">
        <f t="array" ref="U866">IF($F866&lt;&gt;"",XLOOKUP($F866,Productos!$A:$A,Productos!N:N,"Revisar"),"")</f>
        <v/>
      </c>
      <c r="V866" s="179" t="str">
        <f t="array" ref="V866">IF($F866&lt;&gt;"", XLOOKUP($F866,Productos!$A$2:$A1001,Productos!O$2:O1001,"")*$G866,"")</f>
        <v/>
      </c>
      <c r="W866" s="179" t="str">
        <f t="array" ref="W866">IF($F866&lt;&gt;"",XLOOKUP($F866,Productos!$A:$A,Productos!P:P,"Revisar"),"")</f>
        <v/>
      </c>
      <c r="X866" s="179" t="str">
        <f t="array" ref="X866">IF($F866&lt;&gt;"", XLOOKUP($F866,Productos!$A$2:$A1001,Productos!Q$2:Q1001,"")*$G866,"")</f>
        <v/>
      </c>
      <c r="Y866" s="179" t="str">
        <f t="array" ref="Y866">IF($F866&lt;&gt;"",XLOOKUP($F866,Productos!$A:$A,Productos!R:R,"Revisar"),"")</f>
        <v/>
      </c>
      <c r="Z866" s="179" t="str">
        <f t="array" ref="Z866">IF($F866&lt;&gt;"", XLOOKUP($F866,Productos!$A$2:$A1001,Productos!S$2:S1001,"")*$G866,"")</f>
        <v/>
      </c>
      <c r="AA866" s="179" t="str">
        <f t="array" ref="AA866">IF($F866&lt;&gt;"",XLOOKUP($F866,Productos!$A:$A,Productos!T:T,"Revisar"),"")</f>
        <v/>
      </c>
      <c r="AB866" s="179" t="str">
        <f t="array" ref="AB866">IF($F866&lt;&gt;"", XLOOKUP($F866,Productos!$A$2:$A1001,Productos!U$2:U1001,"")*$G866,"")</f>
        <v/>
      </c>
      <c r="AC866" s="179" t="str">
        <f t="array" ref="AC866">IF($F866&lt;&gt;"",XLOOKUP($F866,Productos!$A:$A,Productos!V:V,"Revisar"),"")</f>
        <v/>
      </c>
      <c r="AD866" s="179" t="str">
        <f t="array" ref="AD866">IF($F866&lt;&gt;"", XLOOKUP($F866,Productos!$A$2:$A1001,Productos!W$2:W1001,"")*$G866,"")</f>
        <v/>
      </c>
      <c r="AE866" s="179" t="str">
        <f t="array" ref="AE866">IF($F866&lt;&gt;"",XLOOKUP($F866,Productos!$A:$A,Productos!X:X,"Revisar"),"")</f>
        <v/>
      </c>
      <c r="AF866" s="179" t="str">
        <f t="array" ref="AF866">IF($F866&lt;&gt;"", XLOOKUP($F866,Productos!$A$2:$A1001,Productos!Y$2:Y1001,"")*$G866,"")</f>
        <v/>
      </c>
      <c r="AG866" s="179" t="str">
        <f t="array" ref="AG866">IF($F866&lt;&gt;"",XLOOKUP($F866,Productos!$A:$A,Productos!Z:Z,"Revisar"),"")</f>
        <v/>
      </c>
      <c r="AH866" s="179" t="str">
        <f t="array" ref="AH866">IF($F866&lt;&gt;"", XLOOKUP($F866,Productos!$A$2:$A1001,Productos!AA$2:AA1001,"")*$G866,"")</f>
        <v/>
      </c>
      <c r="AI866" s="179" t="str">
        <f t="array" ref="AI866">IF($F866&lt;&gt;"",XLOOKUP($F866,Productos!$A:$A,Productos!AB:AB,"Revisar"),"")</f>
        <v/>
      </c>
      <c r="AJ866" s="179" t="str">
        <f t="array" ref="AJ866">IF($F866&lt;&gt;"", XLOOKUP($F866,Productos!$A$2:$A1001,Productos!AC$2:AC1001,"")*$G866,"")</f>
        <v/>
      </c>
      <c r="AK866" s="179" t="str">
        <f t="array" ref="AK866">IF($F866&lt;&gt;"",XLOOKUP($F866,Productos!$A:$A,Productos!AD:AD,"Revisar"),"")</f>
        <v/>
      </c>
      <c r="AL866" s="179" t="str">
        <f t="array" ref="AL866">IF($F866&lt;&gt;"", XLOOKUP($F866,Productos!$A$2:$A1001,Productos!AE$2:AE1001,"")*$G866,"")</f>
        <v/>
      </c>
      <c r="AM866" s="179" t="str">
        <f t="array" ref="AM866">IF($F866&lt;&gt;"",XLOOKUP($F866,Productos!$A:$A,Productos!AF:AF,"Revisar"),"")</f>
        <v/>
      </c>
      <c r="AN866" s="179" t="str">
        <f t="array" ref="AN866">IF($F866&lt;&gt;"", XLOOKUP($F866,Productos!$A$2:$A1001,Productos!AG$2:AG1001,"")*$G866,"")</f>
        <v/>
      </c>
      <c r="AO866" s="179" t="str">
        <f t="array" ref="AO866">IF($F866&lt;&gt;"",XLOOKUP($F866,Productos!$A:$A,Productos!AH:AH,"Revisar"),"")</f>
        <v/>
      </c>
      <c r="AP866" s="179" t="str">
        <f t="array" ref="AP866">IF($F866&lt;&gt;"", XLOOKUP($F866,Productos!$A$2:$A1001,Productos!AI$2:AI1001,"")*$G866,"")</f>
        <v/>
      </c>
      <c r="AQ866" s="179" t="str">
        <f t="array" ref="AQ866">IF($F866&lt;&gt;"",XLOOKUP($F866,Productos!$A:$A,Productos!AJ:AJ,"Revisar"),"")</f>
        <v/>
      </c>
      <c r="AR866" s="179" t="str">
        <f t="array" ref="AR866">IF($F866&lt;&gt;"", XLOOKUP($F866,Productos!$A$2:$A1001,Productos!AK$2:AK1001,"")*$G866,"")</f>
        <v/>
      </c>
      <c r="AS866" s="179" t="str">
        <f t="array" ref="AS866">IF($F866&lt;&gt;"",XLOOKUP($F866,Productos!$A:$A,Productos!AL:AL,"Revisar"),"")</f>
        <v/>
      </c>
      <c r="AT866" s="179" t="str">
        <f t="array" ref="AT866">IF($F866&lt;&gt;"", XLOOKUP($F866,Productos!$A$2:$A1001,Productos!AM$2:AM1001,"")*$G866,"")</f>
        <v/>
      </c>
      <c r="AU866" s="179" t="str">
        <f t="array" ref="AU866">IF($F866&lt;&gt;"",XLOOKUP($F866,Productos!$A:$A,Productos!AN:AN,"Revisar"),"")</f>
        <v/>
      </c>
      <c r="AV866" s="179" t="str">
        <f t="array" ref="AV866">IF($F866&lt;&gt;"", XLOOKUP($F866,Productos!$A$2:$A1001,Productos!AO$2:AO1001,"")*$G866,"")</f>
        <v/>
      </c>
      <c r="AW866" s="179" t="str">
        <f t="array" ref="AW866">IF($F866&lt;&gt;"",XLOOKUP($F866,Productos!$A:$A,Productos!AP:AP,"Revisar"),"")</f>
        <v/>
      </c>
      <c r="AX866" s="179" t="str">
        <f t="array" ref="AX866">IF($F866&lt;&gt;"", XLOOKUP($F866,Productos!$A$2:$A1001,Productos!AQ$2:AQ1001,"")*$G866,"")</f>
        <v/>
      </c>
      <c r="AY866" s="179" t="str">
        <f t="array" ref="AY866">IF($F866&lt;&gt;"",XLOOKUP($F866,Productos!$A:$A,Productos!AR:AR,"Revisar"),"")</f>
        <v/>
      </c>
      <c r="AZ866" s="179" t="str">
        <f t="array" ref="AZ866">IF($F866&lt;&gt;"", XLOOKUP($F866,Productos!$A$2:$A1001,Productos!AS$2:AS1001,"")*$G866,"")</f>
        <v/>
      </c>
      <c r="BA866" s="179" t="str">
        <f t="array" ref="BA866">IF($F866&lt;&gt;"",XLOOKUP($F866,Productos!$A:$A,Productos!AT:AT,"Revisar"),"")</f>
        <v/>
      </c>
      <c r="BB866" s="179" t="str">
        <f t="array" ref="BB866">IF($F866&lt;&gt;"", XLOOKUP($F866,Productos!$A$2:$A1001,Productos!AU$2:AU1001,"")*$G866,"")</f>
        <v/>
      </c>
      <c r="BC866" s="179" t="str">
        <f t="array" ref="BC866">IF($F866&lt;&gt;"",XLOOKUP($F866,Productos!$A:$A,Productos!AV:AV,"Revisar"),"")</f>
        <v/>
      </c>
      <c r="BD866" s="179" t="str">
        <f t="array" ref="BD866">IF($F866&lt;&gt;"", XLOOKUP($F866,Productos!$A$2:$A1001,Productos!AW$2:AW1001,"")*$G866,"")</f>
        <v/>
      </c>
      <c r="BE866" s="179" t="str">
        <f t="array" ref="BE866">IF($F866&lt;&gt;"",XLOOKUP($F866,Productos!$A:$A,Productos!AX:AX,"Revisar"),"")</f>
        <v/>
      </c>
      <c r="BF866" s="179" t="str">
        <f t="array" ref="BF866">IF($F866&lt;&gt;"", XLOOKUP($F866,Productos!$A$2:$A1001,Productos!AY$2:AY1001,"")*$G866,"")</f>
        <v/>
      </c>
      <c r="BG866" s="179" t="str">
        <f t="array" ref="BG866">IF($F866&lt;&gt;"",XLOOKUP($F866,Productos!$A:$A,Productos!AZ:AZ,"Revisar"),"")</f>
        <v/>
      </c>
      <c r="BH866" s="179" t="str">
        <f t="array" ref="BH866">IF($F866&lt;&gt;"", XLOOKUP($F866,Productos!$A$2:$A1001,Productos!BA$2:BA1001,"")*$G866,"")</f>
        <v/>
      </c>
      <c r="BI866" s="179" t="str">
        <f t="array" ref="BI866">IF($F866&lt;&gt;"",XLOOKUP($F866,Productos!$A:$A,Productos!BB:BB,"Revisar"),"")</f>
        <v/>
      </c>
      <c r="BJ866" s="179" t="str">
        <f t="array" ref="BJ866">IF($F866&lt;&gt;"", XLOOKUP($F866,Productos!$A$2:$A1001,Productos!BC$2:BC1001,"")*$G866,"")</f>
        <v/>
      </c>
      <c r="BK866" s="179" t="str">
        <f t="array" ref="BK866">IF($F866&lt;&gt;"",XLOOKUP($F866,Productos!$A:$A,Productos!BD:BD,"Revisar"),"")</f>
        <v/>
      </c>
      <c r="BL866" s="179" t="str">
        <f t="array" ref="BL866">IF($F866&lt;&gt;"", XLOOKUP($F866,Productos!$A$2:$A1001,Productos!BE$2:BE1001,"")*$G866,"")</f>
        <v/>
      </c>
      <c r="BM866" s="179" t="str">
        <f t="array" ref="BM866">IF($F866&lt;&gt;"",XLOOKUP($F866,Productos!$A:$A,Productos!BF:BF,"Revisar"),"")</f>
        <v/>
      </c>
      <c r="BN866" s="179" t="str">
        <f t="array" ref="BN866">IF($F866&lt;&gt;"", XLOOKUP($F866,Productos!$A$2:$A1001,Productos!BG$2:BG1001,"")*$G866,"")</f>
        <v/>
      </c>
      <c r="BO866" s="179" t="str">
        <f t="array" ref="BO866">IF($F866&lt;&gt;"",XLOOKUP($F866,Productos!$A:$A,Productos!BH:BH,"Revisar"),"")</f>
        <v/>
      </c>
      <c r="BP866" s="179" t="str">
        <f t="array" ref="BP866">IF($F866&lt;&gt;"", XLOOKUP($F866,Productos!$A$2:$A1001,Productos!BI$2:BI1001,"")*$G866,"")</f>
        <v/>
      </c>
      <c r="BQ866" s="179" t="str">
        <f t="array" ref="BQ866">IF($F866&lt;&gt;"",XLOOKUP($F866,Productos!$A:$A,Productos!BJ:BJ,"Revisar"),"")</f>
        <v/>
      </c>
      <c r="BR866" s="179" t="str">
        <f t="array" ref="BR866">IF($F866&lt;&gt;"", XLOOKUP($F866,Productos!$A$2:$A1001,Productos!BK$2:BK1001,"")*$G866,"")</f>
        <v/>
      </c>
      <c r="BS866" s="179" t="str">
        <f t="array" ref="BS866">IF($F866&lt;&gt;"",XLOOKUP($F866,Productos!$A:$A,Productos!BL:BL,"Revisar"),"")</f>
        <v/>
      </c>
      <c r="BT866" s="179" t="str">
        <f t="array" ref="BT866">IF($F866&lt;&gt;"", XLOOKUP($F866,Productos!$A$2:$A1001,Productos!BM$2:BM1001,"")*$G866,"")</f>
        <v/>
      </c>
      <c r="BU866" s="179" t="str">
        <f t="array" ref="BU866">IF($F866&lt;&gt;"",XLOOKUP($F866,Productos!$A:$A,Productos!BN:BN,"Revisar"),"")</f>
        <v/>
      </c>
      <c r="BV866" s="179" t="str">
        <f t="array" ref="BV866">IF($F866&lt;&gt;"", XLOOKUP($F866,Productos!$A$2:$A1001,Productos!BO$2:BO1001,"")*$G866,"")</f>
        <v/>
      </c>
      <c r="BW866" s="179" t="str">
        <f t="array" ref="BW866">IF($F866&lt;&gt;"",XLOOKUP($F866,Productos!$A:$A,Productos!BP:BP,"Revisar"),"")</f>
        <v/>
      </c>
      <c r="BX866" s="179" t="str">
        <f t="array" ref="BX866">IF($F866&lt;&gt;"", XLOOKUP($F866,Productos!$A$2:$A1001,Productos!BQ$2:BQ1001,"")*$G866,"")</f>
        <v/>
      </c>
      <c r="BY866" s="179" t="str">
        <f t="array" ref="BY866">IF($F866&lt;&gt;"",XLOOKUP($F866,Productos!$A:$A,Productos!BR:BR,"Revisar"),"")</f>
        <v/>
      </c>
      <c r="BZ866" s="179" t="str">
        <f t="array" ref="BZ866">IF($F866&lt;&gt;"", XLOOKUP($F866,Productos!$A$2:$A1001,Productos!BS$2:BS1001,"")*$G866,"")</f>
        <v/>
      </c>
    </row>
    <row r="867">
      <c r="A867" s="188"/>
      <c r="B867" s="189"/>
      <c r="C867" s="190"/>
      <c r="D867" s="190"/>
      <c r="E867" s="191"/>
      <c r="F867" s="186"/>
      <c r="G867" s="192"/>
      <c r="H867" s="9"/>
      <c r="I867" s="179" t="str">
        <f t="array" ref="I867">IF($F867&lt;&gt;"",XLOOKUP($F867,Productos!$A:$A,Productos!B:B,"Revisar"),"")</f>
        <v/>
      </c>
      <c r="J867" s="179" t="str">
        <f t="array" ref="J867">IF($F867&lt;&gt;"", XLOOKUP($F867,Productos!$A$2:$A1001,Productos!C$2:C1001,"")*$G867,"")</f>
        <v/>
      </c>
      <c r="K867" s="179" t="str">
        <f t="array" ref="K867">IF($F867&lt;&gt;"",XLOOKUP($F867,Productos!$A:$A,Productos!D:D,"Revisar"),"")</f>
        <v/>
      </c>
      <c r="L867" s="179" t="str">
        <f t="array" ref="L867">IF($F867&lt;&gt;"", XLOOKUP($F867,Productos!$A$2:$A1001,Productos!E$2:E1001,"")*$G867,"")</f>
        <v/>
      </c>
      <c r="M867" s="179" t="str">
        <f t="array" ref="M867">IF($F867&lt;&gt;"",XLOOKUP($F867,Productos!$A:$A,Productos!F:F,"Revisar"),"")</f>
        <v/>
      </c>
      <c r="N867" s="179" t="str">
        <f t="array" ref="N867">IF($F867&lt;&gt;"", XLOOKUP($F867,Productos!$A$2:$A1001,Productos!G$2:G1001,"")*$G867,"")</f>
        <v/>
      </c>
      <c r="O867" s="179" t="str">
        <f t="array" ref="O867">IF($F867&lt;&gt;"",XLOOKUP($F867,Productos!$A:$A,Productos!H:H,"Revisar"),"")</f>
        <v/>
      </c>
      <c r="P867" s="179" t="str">
        <f t="array" ref="P867">IF($F867&lt;&gt;"", XLOOKUP($F867,Productos!$A$2:$A1001,Productos!I$2:I1001,"")*$G867,"")</f>
        <v/>
      </c>
      <c r="Q867" s="179" t="str">
        <f t="array" ref="Q867">IF($F867&lt;&gt;"",XLOOKUP($F867,Productos!$A:$A,Productos!J:J,"Revisar"),"")</f>
        <v/>
      </c>
      <c r="R867" s="179" t="str">
        <f t="array" ref="R867">IF($F867&lt;&gt;"", XLOOKUP($F867,Productos!$A$2:$A1001,Productos!K$2:K1001,"")*$G867,"")</f>
        <v/>
      </c>
      <c r="S867" s="179" t="str">
        <f t="array" ref="S867">IF($F867&lt;&gt;"",XLOOKUP($F867,Productos!$A:$A,Productos!L:L,"Revisar"),"")</f>
        <v/>
      </c>
      <c r="T867" s="179" t="str">
        <f t="array" ref="T867">IF($F867&lt;&gt;"", XLOOKUP($F867,Productos!$A$2:$A1001,Productos!M$2:M1001,"")*$G867,"")</f>
        <v/>
      </c>
      <c r="U867" s="179" t="str">
        <f t="array" ref="U867">IF($F867&lt;&gt;"",XLOOKUP($F867,Productos!$A:$A,Productos!N:N,"Revisar"),"")</f>
        <v/>
      </c>
      <c r="V867" s="179" t="str">
        <f t="array" ref="V867">IF($F867&lt;&gt;"", XLOOKUP($F867,Productos!$A$2:$A1001,Productos!O$2:O1001,"")*$G867,"")</f>
        <v/>
      </c>
      <c r="W867" s="179" t="str">
        <f t="array" ref="W867">IF($F867&lt;&gt;"",XLOOKUP($F867,Productos!$A:$A,Productos!P:P,"Revisar"),"")</f>
        <v/>
      </c>
      <c r="X867" s="179" t="str">
        <f t="array" ref="X867">IF($F867&lt;&gt;"", XLOOKUP($F867,Productos!$A$2:$A1001,Productos!Q$2:Q1001,"")*$G867,"")</f>
        <v/>
      </c>
      <c r="Y867" s="179" t="str">
        <f t="array" ref="Y867">IF($F867&lt;&gt;"",XLOOKUP($F867,Productos!$A:$A,Productos!R:R,"Revisar"),"")</f>
        <v/>
      </c>
      <c r="Z867" s="179" t="str">
        <f t="array" ref="Z867">IF($F867&lt;&gt;"", XLOOKUP($F867,Productos!$A$2:$A1001,Productos!S$2:S1001,"")*$G867,"")</f>
        <v/>
      </c>
      <c r="AA867" s="179" t="str">
        <f t="array" ref="AA867">IF($F867&lt;&gt;"",XLOOKUP($F867,Productos!$A:$A,Productos!T:T,"Revisar"),"")</f>
        <v/>
      </c>
      <c r="AB867" s="179" t="str">
        <f t="array" ref="AB867">IF($F867&lt;&gt;"", XLOOKUP($F867,Productos!$A$2:$A1001,Productos!U$2:U1001,"")*$G867,"")</f>
        <v/>
      </c>
      <c r="AC867" s="179" t="str">
        <f t="array" ref="AC867">IF($F867&lt;&gt;"",XLOOKUP($F867,Productos!$A:$A,Productos!V:V,"Revisar"),"")</f>
        <v/>
      </c>
      <c r="AD867" s="179" t="str">
        <f t="array" ref="AD867">IF($F867&lt;&gt;"", XLOOKUP($F867,Productos!$A$2:$A1001,Productos!W$2:W1001,"")*$G867,"")</f>
        <v/>
      </c>
      <c r="AE867" s="179" t="str">
        <f t="array" ref="AE867">IF($F867&lt;&gt;"",XLOOKUP($F867,Productos!$A:$A,Productos!X:X,"Revisar"),"")</f>
        <v/>
      </c>
      <c r="AF867" s="179" t="str">
        <f t="array" ref="AF867">IF($F867&lt;&gt;"", XLOOKUP($F867,Productos!$A$2:$A1001,Productos!Y$2:Y1001,"")*$G867,"")</f>
        <v/>
      </c>
      <c r="AG867" s="179" t="str">
        <f t="array" ref="AG867">IF($F867&lt;&gt;"",XLOOKUP($F867,Productos!$A:$A,Productos!Z:Z,"Revisar"),"")</f>
        <v/>
      </c>
      <c r="AH867" s="179" t="str">
        <f t="array" ref="AH867">IF($F867&lt;&gt;"", XLOOKUP($F867,Productos!$A$2:$A1001,Productos!AA$2:AA1001,"")*$G867,"")</f>
        <v/>
      </c>
      <c r="AI867" s="179" t="str">
        <f t="array" ref="AI867">IF($F867&lt;&gt;"",XLOOKUP($F867,Productos!$A:$A,Productos!AB:AB,"Revisar"),"")</f>
        <v/>
      </c>
      <c r="AJ867" s="179" t="str">
        <f t="array" ref="AJ867">IF($F867&lt;&gt;"", XLOOKUP($F867,Productos!$A$2:$A1001,Productos!AC$2:AC1001,"")*$G867,"")</f>
        <v/>
      </c>
      <c r="AK867" s="179" t="str">
        <f t="array" ref="AK867">IF($F867&lt;&gt;"",XLOOKUP($F867,Productos!$A:$A,Productos!AD:AD,"Revisar"),"")</f>
        <v/>
      </c>
      <c r="AL867" s="179" t="str">
        <f t="array" ref="AL867">IF($F867&lt;&gt;"", XLOOKUP($F867,Productos!$A$2:$A1001,Productos!AE$2:AE1001,"")*$G867,"")</f>
        <v/>
      </c>
      <c r="AM867" s="179" t="str">
        <f t="array" ref="AM867">IF($F867&lt;&gt;"",XLOOKUP($F867,Productos!$A:$A,Productos!AF:AF,"Revisar"),"")</f>
        <v/>
      </c>
      <c r="AN867" s="179" t="str">
        <f t="array" ref="AN867">IF($F867&lt;&gt;"", XLOOKUP($F867,Productos!$A$2:$A1001,Productos!AG$2:AG1001,"")*$G867,"")</f>
        <v/>
      </c>
      <c r="AO867" s="179" t="str">
        <f t="array" ref="AO867">IF($F867&lt;&gt;"",XLOOKUP($F867,Productos!$A:$A,Productos!AH:AH,"Revisar"),"")</f>
        <v/>
      </c>
      <c r="AP867" s="179" t="str">
        <f t="array" ref="AP867">IF($F867&lt;&gt;"", XLOOKUP($F867,Productos!$A$2:$A1001,Productos!AI$2:AI1001,"")*$G867,"")</f>
        <v/>
      </c>
      <c r="AQ867" s="179" t="str">
        <f t="array" ref="AQ867">IF($F867&lt;&gt;"",XLOOKUP($F867,Productos!$A:$A,Productos!AJ:AJ,"Revisar"),"")</f>
        <v/>
      </c>
      <c r="AR867" s="179" t="str">
        <f t="array" ref="AR867">IF($F867&lt;&gt;"", XLOOKUP($F867,Productos!$A$2:$A1001,Productos!AK$2:AK1001,"")*$G867,"")</f>
        <v/>
      </c>
      <c r="AS867" s="179" t="str">
        <f t="array" ref="AS867">IF($F867&lt;&gt;"",XLOOKUP($F867,Productos!$A:$A,Productos!AL:AL,"Revisar"),"")</f>
        <v/>
      </c>
      <c r="AT867" s="179" t="str">
        <f t="array" ref="AT867">IF($F867&lt;&gt;"", XLOOKUP($F867,Productos!$A$2:$A1001,Productos!AM$2:AM1001,"")*$G867,"")</f>
        <v/>
      </c>
      <c r="AU867" s="179" t="str">
        <f t="array" ref="AU867">IF($F867&lt;&gt;"",XLOOKUP($F867,Productos!$A:$A,Productos!AN:AN,"Revisar"),"")</f>
        <v/>
      </c>
      <c r="AV867" s="179" t="str">
        <f t="array" ref="AV867">IF($F867&lt;&gt;"", XLOOKUP($F867,Productos!$A$2:$A1001,Productos!AO$2:AO1001,"")*$G867,"")</f>
        <v/>
      </c>
      <c r="AW867" s="179" t="str">
        <f t="array" ref="AW867">IF($F867&lt;&gt;"",XLOOKUP($F867,Productos!$A:$A,Productos!AP:AP,"Revisar"),"")</f>
        <v/>
      </c>
      <c r="AX867" s="179" t="str">
        <f t="array" ref="AX867">IF($F867&lt;&gt;"", XLOOKUP($F867,Productos!$A$2:$A1001,Productos!AQ$2:AQ1001,"")*$G867,"")</f>
        <v/>
      </c>
      <c r="AY867" s="179" t="str">
        <f t="array" ref="AY867">IF($F867&lt;&gt;"",XLOOKUP($F867,Productos!$A:$A,Productos!AR:AR,"Revisar"),"")</f>
        <v/>
      </c>
      <c r="AZ867" s="179" t="str">
        <f t="array" ref="AZ867">IF($F867&lt;&gt;"", XLOOKUP($F867,Productos!$A$2:$A1001,Productos!AS$2:AS1001,"")*$G867,"")</f>
        <v/>
      </c>
      <c r="BA867" s="179" t="str">
        <f t="array" ref="BA867">IF($F867&lt;&gt;"",XLOOKUP($F867,Productos!$A:$A,Productos!AT:AT,"Revisar"),"")</f>
        <v/>
      </c>
      <c r="BB867" s="179" t="str">
        <f t="array" ref="BB867">IF($F867&lt;&gt;"", XLOOKUP($F867,Productos!$A$2:$A1001,Productos!AU$2:AU1001,"")*$G867,"")</f>
        <v/>
      </c>
      <c r="BC867" s="179" t="str">
        <f t="array" ref="BC867">IF($F867&lt;&gt;"",XLOOKUP($F867,Productos!$A:$A,Productos!AV:AV,"Revisar"),"")</f>
        <v/>
      </c>
      <c r="BD867" s="179" t="str">
        <f t="array" ref="BD867">IF($F867&lt;&gt;"", XLOOKUP($F867,Productos!$A$2:$A1001,Productos!AW$2:AW1001,"")*$G867,"")</f>
        <v/>
      </c>
      <c r="BE867" s="179" t="str">
        <f t="array" ref="BE867">IF($F867&lt;&gt;"",XLOOKUP($F867,Productos!$A:$A,Productos!AX:AX,"Revisar"),"")</f>
        <v/>
      </c>
      <c r="BF867" s="179" t="str">
        <f t="array" ref="BF867">IF($F867&lt;&gt;"", XLOOKUP($F867,Productos!$A$2:$A1001,Productos!AY$2:AY1001,"")*$G867,"")</f>
        <v/>
      </c>
      <c r="BG867" s="179" t="str">
        <f t="array" ref="BG867">IF($F867&lt;&gt;"",XLOOKUP($F867,Productos!$A:$A,Productos!AZ:AZ,"Revisar"),"")</f>
        <v/>
      </c>
      <c r="BH867" s="179" t="str">
        <f t="array" ref="BH867">IF($F867&lt;&gt;"", XLOOKUP($F867,Productos!$A$2:$A1001,Productos!BA$2:BA1001,"")*$G867,"")</f>
        <v/>
      </c>
      <c r="BI867" s="179" t="str">
        <f t="array" ref="BI867">IF($F867&lt;&gt;"",XLOOKUP($F867,Productos!$A:$A,Productos!BB:BB,"Revisar"),"")</f>
        <v/>
      </c>
      <c r="BJ867" s="179" t="str">
        <f t="array" ref="BJ867">IF($F867&lt;&gt;"", XLOOKUP($F867,Productos!$A$2:$A1001,Productos!BC$2:BC1001,"")*$G867,"")</f>
        <v/>
      </c>
      <c r="BK867" s="179" t="str">
        <f t="array" ref="BK867">IF($F867&lt;&gt;"",XLOOKUP($F867,Productos!$A:$A,Productos!BD:BD,"Revisar"),"")</f>
        <v/>
      </c>
      <c r="BL867" s="179" t="str">
        <f t="array" ref="BL867">IF($F867&lt;&gt;"", XLOOKUP($F867,Productos!$A$2:$A1001,Productos!BE$2:BE1001,"")*$G867,"")</f>
        <v/>
      </c>
      <c r="BM867" s="179" t="str">
        <f t="array" ref="BM867">IF($F867&lt;&gt;"",XLOOKUP($F867,Productos!$A:$A,Productos!BF:BF,"Revisar"),"")</f>
        <v/>
      </c>
      <c r="BN867" s="179" t="str">
        <f t="array" ref="BN867">IF($F867&lt;&gt;"", XLOOKUP($F867,Productos!$A$2:$A1001,Productos!BG$2:BG1001,"")*$G867,"")</f>
        <v/>
      </c>
      <c r="BO867" s="179" t="str">
        <f t="array" ref="BO867">IF($F867&lt;&gt;"",XLOOKUP($F867,Productos!$A:$A,Productos!BH:BH,"Revisar"),"")</f>
        <v/>
      </c>
      <c r="BP867" s="179" t="str">
        <f t="array" ref="BP867">IF($F867&lt;&gt;"", XLOOKUP($F867,Productos!$A$2:$A1001,Productos!BI$2:BI1001,"")*$G867,"")</f>
        <v/>
      </c>
      <c r="BQ867" s="179" t="str">
        <f t="array" ref="BQ867">IF($F867&lt;&gt;"",XLOOKUP($F867,Productos!$A:$A,Productos!BJ:BJ,"Revisar"),"")</f>
        <v/>
      </c>
      <c r="BR867" s="179" t="str">
        <f t="array" ref="BR867">IF($F867&lt;&gt;"", XLOOKUP($F867,Productos!$A$2:$A1001,Productos!BK$2:BK1001,"")*$G867,"")</f>
        <v/>
      </c>
      <c r="BS867" s="179" t="str">
        <f t="array" ref="BS867">IF($F867&lt;&gt;"",XLOOKUP($F867,Productos!$A:$A,Productos!BL:BL,"Revisar"),"")</f>
        <v/>
      </c>
      <c r="BT867" s="179" t="str">
        <f t="array" ref="BT867">IF($F867&lt;&gt;"", XLOOKUP($F867,Productos!$A$2:$A1001,Productos!BM$2:BM1001,"")*$G867,"")</f>
        <v/>
      </c>
      <c r="BU867" s="179" t="str">
        <f t="array" ref="BU867">IF($F867&lt;&gt;"",XLOOKUP($F867,Productos!$A:$A,Productos!BN:BN,"Revisar"),"")</f>
        <v/>
      </c>
      <c r="BV867" s="179" t="str">
        <f t="array" ref="BV867">IF($F867&lt;&gt;"", XLOOKUP($F867,Productos!$A$2:$A1001,Productos!BO$2:BO1001,"")*$G867,"")</f>
        <v/>
      </c>
      <c r="BW867" s="179" t="str">
        <f t="array" ref="BW867">IF($F867&lt;&gt;"",XLOOKUP($F867,Productos!$A:$A,Productos!BP:BP,"Revisar"),"")</f>
        <v/>
      </c>
      <c r="BX867" s="179" t="str">
        <f t="array" ref="BX867">IF($F867&lt;&gt;"", XLOOKUP($F867,Productos!$A$2:$A1001,Productos!BQ$2:BQ1001,"")*$G867,"")</f>
        <v/>
      </c>
      <c r="BY867" s="179" t="str">
        <f t="array" ref="BY867">IF($F867&lt;&gt;"",XLOOKUP($F867,Productos!$A:$A,Productos!BR:BR,"Revisar"),"")</f>
        <v/>
      </c>
      <c r="BZ867" s="179" t="str">
        <f t="array" ref="BZ867">IF($F867&lt;&gt;"", XLOOKUP($F867,Productos!$A$2:$A1001,Productos!BS$2:BS1001,"")*$G867,"")</f>
        <v/>
      </c>
    </row>
    <row r="868">
      <c r="A868" s="188"/>
      <c r="B868" s="189"/>
      <c r="C868" s="190"/>
      <c r="D868" s="190"/>
      <c r="E868" s="191"/>
      <c r="F868" s="186"/>
      <c r="G868" s="192"/>
      <c r="H868" s="9"/>
      <c r="I868" s="179" t="str">
        <f t="array" ref="I868">IF($F868&lt;&gt;"",XLOOKUP($F868,Productos!$A:$A,Productos!B:B,"Revisar"),"")</f>
        <v/>
      </c>
      <c r="J868" s="179" t="str">
        <f t="array" ref="J868">IF($F868&lt;&gt;"", XLOOKUP($F868,Productos!$A$2:$A1001,Productos!C$2:C1001,"")*$G868,"")</f>
        <v/>
      </c>
      <c r="K868" s="179" t="str">
        <f t="array" ref="K868">IF($F868&lt;&gt;"",XLOOKUP($F868,Productos!$A:$A,Productos!D:D,"Revisar"),"")</f>
        <v/>
      </c>
      <c r="L868" s="179" t="str">
        <f t="array" ref="L868">IF($F868&lt;&gt;"", XLOOKUP($F868,Productos!$A$2:$A1001,Productos!E$2:E1001,"")*$G868,"")</f>
        <v/>
      </c>
      <c r="M868" s="179" t="str">
        <f t="array" ref="M868">IF($F868&lt;&gt;"",XLOOKUP($F868,Productos!$A:$A,Productos!F:F,"Revisar"),"")</f>
        <v/>
      </c>
      <c r="N868" s="179" t="str">
        <f t="array" ref="N868">IF($F868&lt;&gt;"", XLOOKUP($F868,Productos!$A$2:$A1001,Productos!G$2:G1001,"")*$G868,"")</f>
        <v/>
      </c>
      <c r="O868" s="179" t="str">
        <f t="array" ref="O868">IF($F868&lt;&gt;"",XLOOKUP($F868,Productos!$A:$A,Productos!H:H,"Revisar"),"")</f>
        <v/>
      </c>
      <c r="P868" s="179" t="str">
        <f t="array" ref="P868">IF($F868&lt;&gt;"", XLOOKUP($F868,Productos!$A$2:$A1001,Productos!I$2:I1001,"")*$G868,"")</f>
        <v/>
      </c>
      <c r="Q868" s="179" t="str">
        <f t="array" ref="Q868">IF($F868&lt;&gt;"",XLOOKUP($F868,Productos!$A:$A,Productos!J:J,"Revisar"),"")</f>
        <v/>
      </c>
      <c r="R868" s="179" t="str">
        <f t="array" ref="R868">IF($F868&lt;&gt;"", XLOOKUP($F868,Productos!$A$2:$A1001,Productos!K$2:K1001,"")*$G868,"")</f>
        <v/>
      </c>
      <c r="S868" s="179" t="str">
        <f t="array" ref="S868">IF($F868&lt;&gt;"",XLOOKUP($F868,Productos!$A:$A,Productos!L:L,"Revisar"),"")</f>
        <v/>
      </c>
      <c r="T868" s="179" t="str">
        <f t="array" ref="T868">IF($F868&lt;&gt;"", XLOOKUP($F868,Productos!$A$2:$A1001,Productos!M$2:M1001,"")*$G868,"")</f>
        <v/>
      </c>
      <c r="U868" s="179" t="str">
        <f t="array" ref="U868">IF($F868&lt;&gt;"",XLOOKUP($F868,Productos!$A:$A,Productos!N:N,"Revisar"),"")</f>
        <v/>
      </c>
      <c r="V868" s="179" t="str">
        <f t="array" ref="V868">IF($F868&lt;&gt;"", XLOOKUP($F868,Productos!$A$2:$A1001,Productos!O$2:O1001,"")*$G868,"")</f>
        <v/>
      </c>
      <c r="W868" s="179" t="str">
        <f t="array" ref="W868">IF($F868&lt;&gt;"",XLOOKUP($F868,Productos!$A:$A,Productos!P:P,"Revisar"),"")</f>
        <v/>
      </c>
      <c r="X868" s="179" t="str">
        <f t="array" ref="X868">IF($F868&lt;&gt;"", XLOOKUP($F868,Productos!$A$2:$A1001,Productos!Q$2:Q1001,"")*$G868,"")</f>
        <v/>
      </c>
      <c r="Y868" s="179" t="str">
        <f t="array" ref="Y868">IF($F868&lt;&gt;"",XLOOKUP($F868,Productos!$A:$A,Productos!R:R,"Revisar"),"")</f>
        <v/>
      </c>
      <c r="Z868" s="179" t="str">
        <f t="array" ref="Z868">IF($F868&lt;&gt;"", XLOOKUP($F868,Productos!$A$2:$A1001,Productos!S$2:S1001,"")*$G868,"")</f>
        <v/>
      </c>
      <c r="AA868" s="179" t="str">
        <f t="array" ref="AA868">IF($F868&lt;&gt;"",XLOOKUP($F868,Productos!$A:$A,Productos!T:T,"Revisar"),"")</f>
        <v/>
      </c>
      <c r="AB868" s="179" t="str">
        <f t="array" ref="AB868">IF($F868&lt;&gt;"", XLOOKUP($F868,Productos!$A$2:$A1001,Productos!U$2:U1001,"")*$G868,"")</f>
        <v/>
      </c>
      <c r="AC868" s="179" t="str">
        <f t="array" ref="AC868">IF($F868&lt;&gt;"",XLOOKUP($F868,Productos!$A:$A,Productos!V:V,"Revisar"),"")</f>
        <v/>
      </c>
      <c r="AD868" s="179" t="str">
        <f t="array" ref="AD868">IF($F868&lt;&gt;"", XLOOKUP($F868,Productos!$A$2:$A1001,Productos!W$2:W1001,"")*$G868,"")</f>
        <v/>
      </c>
      <c r="AE868" s="179" t="str">
        <f t="array" ref="AE868">IF($F868&lt;&gt;"",XLOOKUP($F868,Productos!$A:$A,Productos!X:X,"Revisar"),"")</f>
        <v/>
      </c>
      <c r="AF868" s="179" t="str">
        <f t="array" ref="AF868">IF($F868&lt;&gt;"", XLOOKUP($F868,Productos!$A$2:$A1001,Productos!Y$2:Y1001,"")*$G868,"")</f>
        <v/>
      </c>
      <c r="AG868" s="179" t="str">
        <f t="array" ref="AG868">IF($F868&lt;&gt;"",XLOOKUP($F868,Productos!$A:$A,Productos!Z:Z,"Revisar"),"")</f>
        <v/>
      </c>
      <c r="AH868" s="179" t="str">
        <f t="array" ref="AH868">IF($F868&lt;&gt;"", XLOOKUP($F868,Productos!$A$2:$A1001,Productos!AA$2:AA1001,"")*$G868,"")</f>
        <v/>
      </c>
      <c r="AI868" s="179" t="str">
        <f t="array" ref="AI868">IF($F868&lt;&gt;"",XLOOKUP($F868,Productos!$A:$A,Productos!AB:AB,"Revisar"),"")</f>
        <v/>
      </c>
      <c r="AJ868" s="179" t="str">
        <f t="array" ref="AJ868">IF($F868&lt;&gt;"", XLOOKUP($F868,Productos!$A$2:$A1001,Productos!AC$2:AC1001,"")*$G868,"")</f>
        <v/>
      </c>
      <c r="AK868" s="179" t="str">
        <f t="array" ref="AK868">IF($F868&lt;&gt;"",XLOOKUP($F868,Productos!$A:$A,Productos!AD:AD,"Revisar"),"")</f>
        <v/>
      </c>
      <c r="AL868" s="179" t="str">
        <f t="array" ref="AL868">IF($F868&lt;&gt;"", XLOOKUP($F868,Productos!$A$2:$A1001,Productos!AE$2:AE1001,"")*$G868,"")</f>
        <v/>
      </c>
      <c r="AM868" s="179" t="str">
        <f t="array" ref="AM868">IF($F868&lt;&gt;"",XLOOKUP($F868,Productos!$A:$A,Productos!AF:AF,"Revisar"),"")</f>
        <v/>
      </c>
      <c r="AN868" s="179" t="str">
        <f t="array" ref="AN868">IF($F868&lt;&gt;"", XLOOKUP($F868,Productos!$A$2:$A1001,Productos!AG$2:AG1001,"")*$G868,"")</f>
        <v/>
      </c>
      <c r="AO868" s="179" t="str">
        <f t="array" ref="AO868">IF($F868&lt;&gt;"",XLOOKUP($F868,Productos!$A:$A,Productos!AH:AH,"Revisar"),"")</f>
        <v/>
      </c>
      <c r="AP868" s="179" t="str">
        <f t="array" ref="AP868">IF($F868&lt;&gt;"", XLOOKUP($F868,Productos!$A$2:$A1001,Productos!AI$2:AI1001,"")*$G868,"")</f>
        <v/>
      </c>
      <c r="AQ868" s="179" t="str">
        <f t="array" ref="AQ868">IF($F868&lt;&gt;"",XLOOKUP($F868,Productos!$A:$A,Productos!AJ:AJ,"Revisar"),"")</f>
        <v/>
      </c>
      <c r="AR868" s="179" t="str">
        <f t="array" ref="AR868">IF($F868&lt;&gt;"", XLOOKUP($F868,Productos!$A$2:$A1001,Productos!AK$2:AK1001,"")*$G868,"")</f>
        <v/>
      </c>
      <c r="AS868" s="179" t="str">
        <f t="array" ref="AS868">IF($F868&lt;&gt;"",XLOOKUP($F868,Productos!$A:$A,Productos!AL:AL,"Revisar"),"")</f>
        <v/>
      </c>
      <c r="AT868" s="179" t="str">
        <f t="array" ref="AT868">IF($F868&lt;&gt;"", XLOOKUP($F868,Productos!$A$2:$A1001,Productos!AM$2:AM1001,"")*$G868,"")</f>
        <v/>
      </c>
      <c r="AU868" s="179" t="str">
        <f t="array" ref="AU868">IF($F868&lt;&gt;"",XLOOKUP($F868,Productos!$A:$A,Productos!AN:AN,"Revisar"),"")</f>
        <v/>
      </c>
      <c r="AV868" s="179" t="str">
        <f t="array" ref="AV868">IF($F868&lt;&gt;"", XLOOKUP($F868,Productos!$A$2:$A1001,Productos!AO$2:AO1001,"")*$G868,"")</f>
        <v/>
      </c>
      <c r="AW868" s="179" t="str">
        <f t="array" ref="AW868">IF($F868&lt;&gt;"",XLOOKUP($F868,Productos!$A:$A,Productos!AP:AP,"Revisar"),"")</f>
        <v/>
      </c>
      <c r="AX868" s="179" t="str">
        <f t="array" ref="AX868">IF($F868&lt;&gt;"", XLOOKUP($F868,Productos!$A$2:$A1001,Productos!AQ$2:AQ1001,"")*$G868,"")</f>
        <v/>
      </c>
      <c r="AY868" s="179" t="str">
        <f t="array" ref="AY868">IF($F868&lt;&gt;"",XLOOKUP($F868,Productos!$A:$A,Productos!AR:AR,"Revisar"),"")</f>
        <v/>
      </c>
      <c r="AZ868" s="179" t="str">
        <f t="array" ref="AZ868">IF($F868&lt;&gt;"", XLOOKUP($F868,Productos!$A$2:$A1001,Productos!AS$2:AS1001,"")*$G868,"")</f>
        <v/>
      </c>
      <c r="BA868" s="179" t="str">
        <f t="array" ref="BA868">IF($F868&lt;&gt;"",XLOOKUP($F868,Productos!$A:$A,Productos!AT:AT,"Revisar"),"")</f>
        <v/>
      </c>
      <c r="BB868" s="179" t="str">
        <f t="array" ref="BB868">IF($F868&lt;&gt;"", XLOOKUP($F868,Productos!$A$2:$A1001,Productos!AU$2:AU1001,"")*$G868,"")</f>
        <v/>
      </c>
      <c r="BC868" s="179" t="str">
        <f t="array" ref="BC868">IF($F868&lt;&gt;"",XLOOKUP($F868,Productos!$A:$A,Productos!AV:AV,"Revisar"),"")</f>
        <v/>
      </c>
      <c r="BD868" s="179" t="str">
        <f t="array" ref="BD868">IF($F868&lt;&gt;"", XLOOKUP($F868,Productos!$A$2:$A1001,Productos!AW$2:AW1001,"")*$G868,"")</f>
        <v/>
      </c>
      <c r="BE868" s="179" t="str">
        <f t="array" ref="BE868">IF($F868&lt;&gt;"",XLOOKUP($F868,Productos!$A:$A,Productos!AX:AX,"Revisar"),"")</f>
        <v/>
      </c>
      <c r="BF868" s="179" t="str">
        <f t="array" ref="BF868">IF($F868&lt;&gt;"", XLOOKUP($F868,Productos!$A$2:$A1001,Productos!AY$2:AY1001,"")*$G868,"")</f>
        <v/>
      </c>
      <c r="BG868" s="179" t="str">
        <f t="array" ref="BG868">IF($F868&lt;&gt;"",XLOOKUP($F868,Productos!$A:$A,Productos!AZ:AZ,"Revisar"),"")</f>
        <v/>
      </c>
      <c r="BH868" s="179" t="str">
        <f t="array" ref="BH868">IF($F868&lt;&gt;"", XLOOKUP($F868,Productos!$A$2:$A1001,Productos!BA$2:BA1001,"")*$G868,"")</f>
        <v/>
      </c>
      <c r="BI868" s="179" t="str">
        <f t="array" ref="BI868">IF($F868&lt;&gt;"",XLOOKUP($F868,Productos!$A:$A,Productos!BB:BB,"Revisar"),"")</f>
        <v/>
      </c>
      <c r="BJ868" s="179" t="str">
        <f t="array" ref="BJ868">IF($F868&lt;&gt;"", XLOOKUP($F868,Productos!$A$2:$A1001,Productos!BC$2:BC1001,"")*$G868,"")</f>
        <v/>
      </c>
      <c r="BK868" s="179" t="str">
        <f t="array" ref="BK868">IF($F868&lt;&gt;"",XLOOKUP($F868,Productos!$A:$A,Productos!BD:BD,"Revisar"),"")</f>
        <v/>
      </c>
      <c r="BL868" s="179" t="str">
        <f t="array" ref="BL868">IF($F868&lt;&gt;"", XLOOKUP($F868,Productos!$A$2:$A1001,Productos!BE$2:BE1001,"")*$G868,"")</f>
        <v/>
      </c>
      <c r="BM868" s="179" t="str">
        <f t="array" ref="BM868">IF($F868&lt;&gt;"",XLOOKUP($F868,Productos!$A:$A,Productos!BF:BF,"Revisar"),"")</f>
        <v/>
      </c>
      <c r="BN868" s="179" t="str">
        <f t="array" ref="BN868">IF($F868&lt;&gt;"", XLOOKUP($F868,Productos!$A$2:$A1001,Productos!BG$2:BG1001,"")*$G868,"")</f>
        <v/>
      </c>
      <c r="BO868" s="179" t="str">
        <f t="array" ref="BO868">IF($F868&lt;&gt;"",XLOOKUP($F868,Productos!$A:$A,Productos!BH:BH,"Revisar"),"")</f>
        <v/>
      </c>
      <c r="BP868" s="179" t="str">
        <f t="array" ref="BP868">IF($F868&lt;&gt;"", XLOOKUP($F868,Productos!$A$2:$A1001,Productos!BI$2:BI1001,"")*$G868,"")</f>
        <v/>
      </c>
      <c r="BQ868" s="179" t="str">
        <f t="array" ref="BQ868">IF($F868&lt;&gt;"",XLOOKUP($F868,Productos!$A:$A,Productos!BJ:BJ,"Revisar"),"")</f>
        <v/>
      </c>
      <c r="BR868" s="179" t="str">
        <f t="array" ref="BR868">IF($F868&lt;&gt;"", XLOOKUP($F868,Productos!$A$2:$A1001,Productos!BK$2:BK1001,"")*$G868,"")</f>
        <v/>
      </c>
      <c r="BS868" s="179" t="str">
        <f t="array" ref="BS868">IF($F868&lt;&gt;"",XLOOKUP($F868,Productos!$A:$A,Productos!BL:BL,"Revisar"),"")</f>
        <v/>
      </c>
      <c r="BT868" s="179" t="str">
        <f t="array" ref="BT868">IF($F868&lt;&gt;"", XLOOKUP($F868,Productos!$A$2:$A1001,Productos!BM$2:BM1001,"")*$G868,"")</f>
        <v/>
      </c>
      <c r="BU868" s="179" t="str">
        <f t="array" ref="BU868">IF($F868&lt;&gt;"",XLOOKUP($F868,Productos!$A:$A,Productos!BN:BN,"Revisar"),"")</f>
        <v/>
      </c>
      <c r="BV868" s="179" t="str">
        <f t="array" ref="BV868">IF($F868&lt;&gt;"", XLOOKUP($F868,Productos!$A$2:$A1001,Productos!BO$2:BO1001,"")*$G868,"")</f>
        <v/>
      </c>
      <c r="BW868" s="179" t="str">
        <f t="array" ref="BW868">IF($F868&lt;&gt;"",XLOOKUP($F868,Productos!$A:$A,Productos!BP:BP,"Revisar"),"")</f>
        <v/>
      </c>
      <c r="BX868" s="179" t="str">
        <f t="array" ref="BX868">IF($F868&lt;&gt;"", XLOOKUP($F868,Productos!$A$2:$A1001,Productos!BQ$2:BQ1001,"")*$G868,"")</f>
        <v/>
      </c>
      <c r="BY868" s="179" t="str">
        <f t="array" ref="BY868">IF($F868&lt;&gt;"",XLOOKUP($F868,Productos!$A:$A,Productos!BR:BR,"Revisar"),"")</f>
        <v/>
      </c>
      <c r="BZ868" s="179" t="str">
        <f t="array" ref="BZ868">IF($F868&lt;&gt;"", XLOOKUP($F868,Productos!$A$2:$A1001,Productos!BS$2:BS1001,"")*$G868,"")</f>
        <v/>
      </c>
    </row>
    <row r="869">
      <c r="A869" s="188"/>
      <c r="B869" s="189"/>
      <c r="C869" s="190"/>
      <c r="D869" s="190"/>
      <c r="E869" s="191"/>
      <c r="F869" s="186"/>
      <c r="G869" s="192"/>
      <c r="H869" s="9"/>
      <c r="I869" s="179" t="str">
        <f t="array" ref="I869">IF($F869&lt;&gt;"",XLOOKUP($F869,Productos!$A:$A,Productos!B:B,"Revisar"),"")</f>
        <v/>
      </c>
      <c r="J869" s="179" t="str">
        <f t="array" ref="J869">IF($F869&lt;&gt;"", XLOOKUP($F869,Productos!$A$2:$A1001,Productos!C$2:C1001,"")*$G869,"")</f>
        <v/>
      </c>
      <c r="K869" s="179" t="str">
        <f t="array" ref="K869">IF($F869&lt;&gt;"",XLOOKUP($F869,Productos!$A:$A,Productos!D:D,"Revisar"),"")</f>
        <v/>
      </c>
      <c r="L869" s="179" t="str">
        <f t="array" ref="L869">IF($F869&lt;&gt;"", XLOOKUP($F869,Productos!$A$2:$A1001,Productos!E$2:E1001,"")*$G869,"")</f>
        <v/>
      </c>
      <c r="M869" s="179" t="str">
        <f t="array" ref="M869">IF($F869&lt;&gt;"",XLOOKUP($F869,Productos!$A:$A,Productos!F:F,"Revisar"),"")</f>
        <v/>
      </c>
      <c r="N869" s="179" t="str">
        <f t="array" ref="N869">IF($F869&lt;&gt;"", XLOOKUP($F869,Productos!$A$2:$A1001,Productos!G$2:G1001,"")*$G869,"")</f>
        <v/>
      </c>
      <c r="O869" s="179" t="str">
        <f t="array" ref="O869">IF($F869&lt;&gt;"",XLOOKUP($F869,Productos!$A:$A,Productos!H:H,"Revisar"),"")</f>
        <v/>
      </c>
      <c r="P869" s="179" t="str">
        <f t="array" ref="P869">IF($F869&lt;&gt;"", XLOOKUP($F869,Productos!$A$2:$A1001,Productos!I$2:I1001,"")*$G869,"")</f>
        <v/>
      </c>
      <c r="Q869" s="179" t="str">
        <f t="array" ref="Q869">IF($F869&lt;&gt;"",XLOOKUP($F869,Productos!$A:$A,Productos!J:J,"Revisar"),"")</f>
        <v/>
      </c>
      <c r="R869" s="179" t="str">
        <f t="array" ref="R869">IF($F869&lt;&gt;"", XLOOKUP($F869,Productos!$A$2:$A1001,Productos!K$2:K1001,"")*$G869,"")</f>
        <v/>
      </c>
      <c r="S869" s="179" t="str">
        <f t="array" ref="S869">IF($F869&lt;&gt;"",XLOOKUP($F869,Productos!$A:$A,Productos!L:L,"Revisar"),"")</f>
        <v/>
      </c>
      <c r="T869" s="179" t="str">
        <f t="array" ref="T869">IF($F869&lt;&gt;"", XLOOKUP($F869,Productos!$A$2:$A1001,Productos!M$2:M1001,"")*$G869,"")</f>
        <v/>
      </c>
      <c r="U869" s="179" t="str">
        <f t="array" ref="U869">IF($F869&lt;&gt;"",XLOOKUP($F869,Productos!$A:$A,Productos!N:N,"Revisar"),"")</f>
        <v/>
      </c>
      <c r="V869" s="179" t="str">
        <f t="array" ref="V869">IF($F869&lt;&gt;"", XLOOKUP($F869,Productos!$A$2:$A1001,Productos!O$2:O1001,"")*$G869,"")</f>
        <v/>
      </c>
      <c r="W869" s="179" t="str">
        <f t="array" ref="W869">IF($F869&lt;&gt;"",XLOOKUP($F869,Productos!$A:$A,Productos!P:P,"Revisar"),"")</f>
        <v/>
      </c>
      <c r="X869" s="179" t="str">
        <f t="array" ref="X869">IF($F869&lt;&gt;"", XLOOKUP($F869,Productos!$A$2:$A1001,Productos!Q$2:Q1001,"")*$G869,"")</f>
        <v/>
      </c>
      <c r="Y869" s="179" t="str">
        <f t="array" ref="Y869">IF($F869&lt;&gt;"",XLOOKUP($F869,Productos!$A:$A,Productos!R:R,"Revisar"),"")</f>
        <v/>
      </c>
      <c r="Z869" s="179" t="str">
        <f t="array" ref="Z869">IF($F869&lt;&gt;"", XLOOKUP($F869,Productos!$A$2:$A1001,Productos!S$2:S1001,"")*$G869,"")</f>
        <v/>
      </c>
      <c r="AA869" s="179" t="str">
        <f t="array" ref="AA869">IF($F869&lt;&gt;"",XLOOKUP($F869,Productos!$A:$A,Productos!T:T,"Revisar"),"")</f>
        <v/>
      </c>
      <c r="AB869" s="179" t="str">
        <f t="array" ref="AB869">IF($F869&lt;&gt;"", XLOOKUP($F869,Productos!$A$2:$A1001,Productos!U$2:U1001,"")*$G869,"")</f>
        <v/>
      </c>
      <c r="AC869" s="179" t="str">
        <f t="array" ref="AC869">IF($F869&lt;&gt;"",XLOOKUP($F869,Productos!$A:$A,Productos!V:V,"Revisar"),"")</f>
        <v/>
      </c>
      <c r="AD869" s="179" t="str">
        <f t="array" ref="AD869">IF($F869&lt;&gt;"", XLOOKUP($F869,Productos!$A$2:$A1001,Productos!W$2:W1001,"")*$G869,"")</f>
        <v/>
      </c>
      <c r="AE869" s="179" t="str">
        <f t="array" ref="AE869">IF($F869&lt;&gt;"",XLOOKUP($F869,Productos!$A:$A,Productos!X:X,"Revisar"),"")</f>
        <v/>
      </c>
      <c r="AF869" s="179" t="str">
        <f t="array" ref="AF869">IF($F869&lt;&gt;"", XLOOKUP($F869,Productos!$A$2:$A1001,Productos!Y$2:Y1001,"")*$G869,"")</f>
        <v/>
      </c>
      <c r="AG869" s="179" t="str">
        <f t="array" ref="AG869">IF($F869&lt;&gt;"",XLOOKUP($F869,Productos!$A:$A,Productos!Z:Z,"Revisar"),"")</f>
        <v/>
      </c>
      <c r="AH869" s="179" t="str">
        <f t="array" ref="AH869">IF($F869&lt;&gt;"", XLOOKUP($F869,Productos!$A$2:$A1001,Productos!AA$2:AA1001,"")*$G869,"")</f>
        <v/>
      </c>
      <c r="AI869" s="179" t="str">
        <f t="array" ref="AI869">IF($F869&lt;&gt;"",XLOOKUP($F869,Productos!$A:$A,Productos!AB:AB,"Revisar"),"")</f>
        <v/>
      </c>
      <c r="AJ869" s="179" t="str">
        <f t="array" ref="AJ869">IF($F869&lt;&gt;"", XLOOKUP($F869,Productos!$A$2:$A1001,Productos!AC$2:AC1001,"")*$G869,"")</f>
        <v/>
      </c>
      <c r="AK869" s="179" t="str">
        <f t="array" ref="AK869">IF($F869&lt;&gt;"",XLOOKUP($F869,Productos!$A:$A,Productos!AD:AD,"Revisar"),"")</f>
        <v/>
      </c>
      <c r="AL869" s="179" t="str">
        <f t="array" ref="AL869">IF($F869&lt;&gt;"", XLOOKUP($F869,Productos!$A$2:$A1001,Productos!AE$2:AE1001,"")*$G869,"")</f>
        <v/>
      </c>
      <c r="AM869" s="179" t="str">
        <f t="array" ref="AM869">IF($F869&lt;&gt;"",XLOOKUP($F869,Productos!$A:$A,Productos!AF:AF,"Revisar"),"")</f>
        <v/>
      </c>
      <c r="AN869" s="179" t="str">
        <f t="array" ref="AN869">IF($F869&lt;&gt;"", XLOOKUP($F869,Productos!$A$2:$A1001,Productos!AG$2:AG1001,"")*$G869,"")</f>
        <v/>
      </c>
      <c r="AO869" s="179" t="str">
        <f t="array" ref="AO869">IF($F869&lt;&gt;"",XLOOKUP($F869,Productos!$A:$A,Productos!AH:AH,"Revisar"),"")</f>
        <v/>
      </c>
      <c r="AP869" s="179" t="str">
        <f t="array" ref="AP869">IF($F869&lt;&gt;"", XLOOKUP($F869,Productos!$A$2:$A1001,Productos!AI$2:AI1001,"")*$G869,"")</f>
        <v/>
      </c>
      <c r="AQ869" s="179" t="str">
        <f t="array" ref="AQ869">IF($F869&lt;&gt;"",XLOOKUP($F869,Productos!$A:$A,Productos!AJ:AJ,"Revisar"),"")</f>
        <v/>
      </c>
      <c r="AR869" s="179" t="str">
        <f t="array" ref="AR869">IF($F869&lt;&gt;"", XLOOKUP($F869,Productos!$A$2:$A1001,Productos!AK$2:AK1001,"")*$G869,"")</f>
        <v/>
      </c>
      <c r="AS869" s="179" t="str">
        <f t="array" ref="AS869">IF($F869&lt;&gt;"",XLOOKUP($F869,Productos!$A:$A,Productos!AL:AL,"Revisar"),"")</f>
        <v/>
      </c>
      <c r="AT869" s="179" t="str">
        <f t="array" ref="AT869">IF($F869&lt;&gt;"", XLOOKUP($F869,Productos!$A$2:$A1001,Productos!AM$2:AM1001,"")*$G869,"")</f>
        <v/>
      </c>
      <c r="AU869" s="179" t="str">
        <f t="array" ref="AU869">IF($F869&lt;&gt;"",XLOOKUP($F869,Productos!$A:$A,Productos!AN:AN,"Revisar"),"")</f>
        <v/>
      </c>
      <c r="AV869" s="179" t="str">
        <f t="array" ref="AV869">IF($F869&lt;&gt;"", XLOOKUP($F869,Productos!$A$2:$A1001,Productos!AO$2:AO1001,"")*$G869,"")</f>
        <v/>
      </c>
      <c r="AW869" s="179" t="str">
        <f t="array" ref="AW869">IF($F869&lt;&gt;"",XLOOKUP($F869,Productos!$A:$A,Productos!AP:AP,"Revisar"),"")</f>
        <v/>
      </c>
      <c r="AX869" s="179" t="str">
        <f t="array" ref="AX869">IF($F869&lt;&gt;"", XLOOKUP($F869,Productos!$A$2:$A1001,Productos!AQ$2:AQ1001,"")*$G869,"")</f>
        <v/>
      </c>
      <c r="AY869" s="179" t="str">
        <f t="array" ref="AY869">IF($F869&lt;&gt;"",XLOOKUP($F869,Productos!$A:$A,Productos!AR:AR,"Revisar"),"")</f>
        <v/>
      </c>
      <c r="AZ869" s="179" t="str">
        <f t="array" ref="AZ869">IF($F869&lt;&gt;"", XLOOKUP($F869,Productos!$A$2:$A1001,Productos!AS$2:AS1001,"")*$G869,"")</f>
        <v/>
      </c>
      <c r="BA869" s="179" t="str">
        <f t="array" ref="BA869">IF($F869&lt;&gt;"",XLOOKUP($F869,Productos!$A:$A,Productos!AT:AT,"Revisar"),"")</f>
        <v/>
      </c>
      <c r="BB869" s="179" t="str">
        <f t="array" ref="BB869">IF($F869&lt;&gt;"", XLOOKUP($F869,Productos!$A$2:$A1001,Productos!AU$2:AU1001,"")*$G869,"")</f>
        <v/>
      </c>
      <c r="BC869" s="179" t="str">
        <f t="array" ref="BC869">IF($F869&lt;&gt;"",XLOOKUP($F869,Productos!$A:$A,Productos!AV:AV,"Revisar"),"")</f>
        <v/>
      </c>
      <c r="BD869" s="179" t="str">
        <f t="array" ref="BD869">IF($F869&lt;&gt;"", XLOOKUP($F869,Productos!$A$2:$A1001,Productos!AW$2:AW1001,"")*$G869,"")</f>
        <v/>
      </c>
      <c r="BE869" s="179" t="str">
        <f t="array" ref="BE869">IF($F869&lt;&gt;"",XLOOKUP($F869,Productos!$A:$A,Productos!AX:AX,"Revisar"),"")</f>
        <v/>
      </c>
      <c r="BF869" s="179" t="str">
        <f t="array" ref="BF869">IF($F869&lt;&gt;"", XLOOKUP($F869,Productos!$A$2:$A1001,Productos!AY$2:AY1001,"")*$G869,"")</f>
        <v/>
      </c>
      <c r="BG869" s="179" t="str">
        <f t="array" ref="BG869">IF($F869&lt;&gt;"",XLOOKUP($F869,Productos!$A:$A,Productos!AZ:AZ,"Revisar"),"")</f>
        <v/>
      </c>
      <c r="BH869" s="179" t="str">
        <f t="array" ref="BH869">IF($F869&lt;&gt;"", XLOOKUP($F869,Productos!$A$2:$A1001,Productos!BA$2:BA1001,"")*$G869,"")</f>
        <v/>
      </c>
      <c r="BI869" s="179" t="str">
        <f t="array" ref="BI869">IF($F869&lt;&gt;"",XLOOKUP($F869,Productos!$A:$A,Productos!BB:BB,"Revisar"),"")</f>
        <v/>
      </c>
      <c r="BJ869" s="179" t="str">
        <f t="array" ref="BJ869">IF($F869&lt;&gt;"", XLOOKUP($F869,Productos!$A$2:$A1001,Productos!BC$2:BC1001,"")*$G869,"")</f>
        <v/>
      </c>
      <c r="BK869" s="179" t="str">
        <f t="array" ref="BK869">IF($F869&lt;&gt;"",XLOOKUP($F869,Productos!$A:$A,Productos!BD:BD,"Revisar"),"")</f>
        <v/>
      </c>
      <c r="BL869" s="179" t="str">
        <f t="array" ref="BL869">IF($F869&lt;&gt;"", XLOOKUP($F869,Productos!$A$2:$A1001,Productos!BE$2:BE1001,"")*$G869,"")</f>
        <v/>
      </c>
      <c r="BM869" s="179" t="str">
        <f t="array" ref="BM869">IF($F869&lt;&gt;"",XLOOKUP($F869,Productos!$A:$A,Productos!BF:BF,"Revisar"),"")</f>
        <v/>
      </c>
      <c r="BN869" s="179" t="str">
        <f t="array" ref="BN869">IF($F869&lt;&gt;"", XLOOKUP($F869,Productos!$A$2:$A1001,Productos!BG$2:BG1001,"")*$G869,"")</f>
        <v/>
      </c>
      <c r="BO869" s="179" t="str">
        <f t="array" ref="BO869">IF($F869&lt;&gt;"",XLOOKUP($F869,Productos!$A:$A,Productos!BH:BH,"Revisar"),"")</f>
        <v/>
      </c>
      <c r="BP869" s="179" t="str">
        <f t="array" ref="BP869">IF($F869&lt;&gt;"", XLOOKUP($F869,Productos!$A$2:$A1001,Productos!BI$2:BI1001,"")*$G869,"")</f>
        <v/>
      </c>
      <c r="BQ869" s="179" t="str">
        <f t="array" ref="BQ869">IF($F869&lt;&gt;"",XLOOKUP($F869,Productos!$A:$A,Productos!BJ:BJ,"Revisar"),"")</f>
        <v/>
      </c>
      <c r="BR869" s="179" t="str">
        <f t="array" ref="BR869">IF($F869&lt;&gt;"", XLOOKUP($F869,Productos!$A$2:$A1001,Productos!BK$2:BK1001,"")*$G869,"")</f>
        <v/>
      </c>
      <c r="BS869" s="179" t="str">
        <f t="array" ref="BS869">IF($F869&lt;&gt;"",XLOOKUP($F869,Productos!$A:$A,Productos!BL:BL,"Revisar"),"")</f>
        <v/>
      </c>
      <c r="BT869" s="179" t="str">
        <f t="array" ref="BT869">IF($F869&lt;&gt;"", XLOOKUP($F869,Productos!$A$2:$A1001,Productos!BM$2:BM1001,"")*$G869,"")</f>
        <v/>
      </c>
      <c r="BU869" s="179" t="str">
        <f t="array" ref="BU869">IF($F869&lt;&gt;"",XLOOKUP($F869,Productos!$A:$A,Productos!BN:BN,"Revisar"),"")</f>
        <v/>
      </c>
      <c r="BV869" s="179" t="str">
        <f t="array" ref="BV869">IF($F869&lt;&gt;"", XLOOKUP($F869,Productos!$A$2:$A1001,Productos!BO$2:BO1001,"")*$G869,"")</f>
        <v/>
      </c>
      <c r="BW869" s="179" t="str">
        <f t="array" ref="BW869">IF($F869&lt;&gt;"",XLOOKUP($F869,Productos!$A:$A,Productos!BP:BP,"Revisar"),"")</f>
        <v/>
      </c>
      <c r="BX869" s="179" t="str">
        <f t="array" ref="BX869">IF($F869&lt;&gt;"", XLOOKUP($F869,Productos!$A$2:$A1001,Productos!BQ$2:BQ1001,"")*$G869,"")</f>
        <v/>
      </c>
      <c r="BY869" s="179" t="str">
        <f t="array" ref="BY869">IF($F869&lt;&gt;"",XLOOKUP($F869,Productos!$A:$A,Productos!BR:BR,"Revisar"),"")</f>
        <v/>
      </c>
      <c r="BZ869" s="179" t="str">
        <f t="array" ref="BZ869">IF($F869&lt;&gt;"", XLOOKUP($F869,Productos!$A$2:$A1001,Productos!BS$2:BS1001,"")*$G869,"")</f>
        <v/>
      </c>
    </row>
    <row r="870">
      <c r="A870" s="188"/>
      <c r="B870" s="189"/>
      <c r="C870" s="190"/>
      <c r="D870" s="190"/>
      <c r="E870" s="191"/>
      <c r="F870" s="186"/>
      <c r="G870" s="192"/>
      <c r="H870" s="9"/>
      <c r="I870" s="179" t="str">
        <f t="array" ref="I870">IF($F870&lt;&gt;"",XLOOKUP($F870,Productos!$A:$A,Productos!B:B,"Revisar"),"")</f>
        <v/>
      </c>
      <c r="J870" s="179" t="str">
        <f t="array" ref="J870">IF($F870&lt;&gt;"", XLOOKUP($F870,Productos!$A$2:$A1001,Productos!C$2:C1001,"")*$G870,"")</f>
        <v/>
      </c>
      <c r="K870" s="179" t="str">
        <f t="array" ref="K870">IF($F870&lt;&gt;"",XLOOKUP($F870,Productos!$A:$A,Productos!D:D,"Revisar"),"")</f>
        <v/>
      </c>
      <c r="L870" s="179" t="str">
        <f t="array" ref="L870">IF($F870&lt;&gt;"", XLOOKUP($F870,Productos!$A$2:$A1001,Productos!E$2:E1001,"")*$G870,"")</f>
        <v/>
      </c>
      <c r="M870" s="179" t="str">
        <f t="array" ref="M870">IF($F870&lt;&gt;"",XLOOKUP($F870,Productos!$A:$A,Productos!F:F,"Revisar"),"")</f>
        <v/>
      </c>
      <c r="N870" s="179" t="str">
        <f t="array" ref="N870">IF($F870&lt;&gt;"", XLOOKUP($F870,Productos!$A$2:$A1001,Productos!G$2:G1001,"")*$G870,"")</f>
        <v/>
      </c>
      <c r="O870" s="179" t="str">
        <f t="array" ref="O870">IF($F870&lt;&gt;"",XLOOKUP($F870,Productos!$A:$A,Productos!H:H,"Revisar"),"")</f>
        <v/>
      </c>
      <c r="P870" s="179" t="str">
        <f t="array" ref="P870">IF($F870&lt;&gt;"", XLOOKUP($F870,Productos!$A$2:$A1001,Productos!I$2:I1001,"")*$G870,"")</f>
        <v/>
      </c>
      <c r="Q870" s="179" t="str">
        <f t="array" ref="Q870">IF($F870&lt;&gt;"",XLOOKUP($F870,Productos!$A:$A,Productos!J:J,"Revisar"),"")</f>
        <v/>
      </c>
      <c r="R870" s="179" t="str">
        <f t="array" ref="R870">IF($F870&lt;&gt;"", XLOOKUP($F870,Productos!$A$2:$A1001,Productos!K$2:K1001,"")*$G870,"")</f>
        <v/>
      </c>
      <c r="S870" s="179" t="str">
        <f t="array" ref="S870">IF($F870&lt;&gt;"",XLOOKUP($F870,Productos!$A:$A,Productos!L:L,"Revisar"),"")</f>
        <v/>
      </c>
      <c r="T870" s="179" t="str">
        <f t="array" ref="T870">IF($F870&lt;&gt;"", XLOOKUP($F870,Productos!$A$2:$A1001,Productos!M$2:M1001,"")*$G870,"")</f>
        <v/>
      </c>
      <c r="U870" s="179" t="str">
        <f t="array" ref="U870">IF($F870&lt;&gt;"",XLOOKUP($F870,Productos!$A:$A,Productos!N:N,"Revisar"),"")</f>
        <v/>
      </c>
      <c r="V870" s="179" t="str">
        <f t="array" ref="V870">IF($F870&lt;&gt;"", XLOOKUP($F870,Productos!$A$2:$A1001,Productos!O$2:O1001,"")*$G870,"")</f>
        <v/>
      </c>
      <c r="W870" s="179" t="str">
        <f t="array" ref="W870">IF($F870&lt;&gt;"",XLOOKUP($F870,Productos!$A:$A,Productos!P:P,"Revisar"),"")</f>
        <v/>
      </c>
      <c r="X870" s="179" t="str">
        <f t="array" ref="X870">IF($F870&lt;&gt;"", XLOOKUP($F870,Productos!$A$2:$A1001,Productos!Q$2:Q1001,"")*$G870,"")</f>
        <v/>
      </c>
      <c r="Y870" s="179" t="str">
        <f t="array" ref="Y870">IF($F870&lt;&gt;"",XLOOKUP($F870,Productos!$A:$A,Productos!R:R,"Revisar"),"")</f>
        <v/>
      </c>
      <c r="Z870" s="179" t="str">
        <f t="array" ref="Z870">IF($F870&lt;&gt;"", XLOOKUP($F870,Productos!$A$2:$A1001,Productos!S$2:S1001,"")*$G870,"")</f>
        <v/>
      </c>
      <c r="AA870" s="179" t="str">
        <f t="array" ref="AA870">IF($F870&lt;&gt;"",XLOOKUP($F870,Productos!$A:$A,Productos!T:T,"Revisar"),"")</f>
        <v/>
      </c>
      <c r="AB870" s="179" t="str">
        <f t="array" ref="AB870">IF($F870&lt;&gt;"", XLOOKUP($F870,Productos!$A$2:$A1001,Productos!U$2:U1001,"")*$G870,"")</f>
        <v/>
      </c>
      <c r="AC870" s="179" t="str">
        <f t="array" ref="AC870">IF($F870&lt;&gt;"",XLOOKUP($F870,Productos!$A:$A,Productos!V:V,"Revisar"),"")</f>
        <v/>
      </c>
      <c r="AD870" s="179" t="str">
        <f t="array" ref="AD870">IF($F870&lt;&gt;"", XLOOKUP($F870,Productos!$A$2:$A1001,Productos!W$2:W1001,"")*$G870,"")</f>
        <v/>
      </c>
      <c r="AE870" s="179" t="str">
        <f t="array" ref="AE870">IF($F870&lt;&gt;"",XLOOKUP($F870,Productos!$A:$A,Productos!X:X,"Revisar"),"")</f>
        <v/>
      </c>
      <c r="AF870" s="179" t="str">
        <f t="array" ref="AF870">IF($F870&lt;&gt;"", XLOOKUP($F870,Productos!$A$2:$A1001,Productos!Y$2:Y1001,"")*$G870,"")</f>
        <v/>
      </c>
      <c r="AG870" s="179" t="str">
        <f t="array" ref="AG870">IF($F870&lt;&gt;"",XLOOKUP($F870,Productos!$A:$A,Productos!Z:Z,"Revisar"),"")</f>
        <v/>
      </c>
      <c r="AH870" s="179" t="str">
        <f t="array" ref="AH870">IF($F870&lt;&gt;"", XLOOKUP($F870,Productos!$A$2:$A1001,Productos!AA$2:AA1001,"")*$G870,"")</f>
        <v/>
      </c>
      <c r="AI870" s="179" t="str">
        <f t="array" ref="AI870">IF($F870&lt;&gt;"",XLOOKUP($F870,Productos!$A:$A,Productos!AB:AB,"Revisar"),"")</f>
        <v/>
      </c>
      <c r="AJ870" s="179" t="str">
        <f t="array" ref="AJ870">IF($F870&lt;&gt;"", XLOOKUP($F870,Productos!$A$2:$A1001,Productos!AC$2:AC1001,"")*$G870,"")</f>
        <v/>
      </c>
      <c r="AK870" s="179" t="str">
        <f t="array" ref="AK870">IF($F870&lt;&gt;"",XLOOKUP($F870,Productos!$A:$A,Productos!AD:AD,"Revisar"),"")</f>
        <v/>
      </c>
      <c r="AL870" s="179" t="str">
        <f t="array" ref="AL870">IF($F870&lt;&gt;"", XLOOKUP($F870,Productos!$A$2:$A1001,Productos!AE$2:AE1001,"")*$G870,"")</f>
        <v/>
      </c>
      <c r="AM870" s="179" t="str">
        <f t="array" ref="AM870">IF($F870&lt;&gt;"",XLOOKUP($F870,Productos!$A:$A,Productos!AF:AF,"Revisar"),"")</f>
        <v/>
      </c>
      <c r="AN870" s="179" t="str">
        <f t="array" ref="AN870">IF($F870&lt;&gt;"", XLOOKUP($F870,Productos!$A$2:$A1001,Productos!AG$2:AG1001,"")*$G870,"")</f>
        <v/>
      </c>
      <c r="AO870" s="179" t="str">
        <f t="array" ref="AO870">IF($F870&lt;&gt;"",XLOOKUP($F870,Productos!$A:$A,Productos!AH:AH,"Revisar"),"")</f>
        <v/>
      </c>
      <c r="AP870" s="179" t="str">
        <f t="array" ref="AP870">IF($F870&lt;&gt;"", XLOOKUP($F870,Productos!$A$2:$A1001,Productos!AI$2:AI1001,"")*$G870,"")</f>
        <v/>
      </c>
      <c r="AQ870" s="179" t="str">
        <f t="array" ref="AQ870">IF($F870&lt;&gt;"",XLOOKUP($F870,Productos!$A:$A,Productos!AJ:AJ,"Revisar"),"")</f>
        <v/>
      </c>
      <c r="AR870" s="179" t="str">
        <f t="array" ref="AR870">IF($F870&lt;&gt;"", XLOOKUP($F870,Productos!$A$2:$A1001,Productos!AK$2:AK1001,"")*$G870,"")</f>
        <v/>
      </c>
      <c r="AS870" s="179" t="str">
        <f t="array" ref="AS870">IF($F870&lt;&gt;"",XLOOKUP($F870,Productos!$A:$A,Productos!AL:AL,"Revisar"),"")</f>
        <v/>
      </c>
      <c r="AT870" s="179" t="str">
        <f t="array" ref="AT870">IF($F870&lt;&gt;"", XLOOKUP($F870,Productos!$A$2:$A1001,Productos!AM$2:AM1001,"")*$G870,"")</f>
        <v/>
      </c>
      <c r="AU870" s="179" t="str">
        <f t="array" ref="AU870">IF($F870&lt;&gt;"",XLOOKUP($F870,Productos!$A:$A,Productos!AN:AN,"Revisar"),"")</f>
        <v/>
      </c>
      <c r="AV870" s="179" t="str">
        <f t="array" ref="AV870">IF($F870&lt;&gt;"", XLOOKUP($F870,Productos!$A$2:$A1001,Productos!AO$2:AO1001,"")*$G870,"")</f>
        <v/>
      </c>
      <c r="AW870" s="179" t="str">
        <f t="array" ref="AW870">IF($F870&lt;&gt;"",XLOOKUP($F870,Productos!$A:$A,Productos!AP:AP,"Revisar"),"")</f>
        <v/>
      </c>
      <c r="AX870" s="179" t="str">
        <f t="array" ref="AX870">IF($F870&lt;&gt;"", XLOOKUP($F870,Productos!$A$2:$A1001,Productos!AQ$2:AQ1001,"")*$G870,"")</f>
        <v/>
      </c>
      <c r="AY870" s="179" t="str">
        <f t="array" ref="AY870">IF($F870&lt;&gt;"",XLOOKUP($F870,Productos!$A:$A,Productos!AR:AR,"Revisar"),"")</f>
        <v/>
      </c>
      <c r="AZ870" s="179" t="str">
        <f t="array" ref="AZ870">IF($F870&lt;&gt;"", XLOOKUP($F870,Productos!$A$2:$A1001,Productos!AS$2:AS1001,"")*$G870,"")</f>
        <v/>
      </c>
      <c r="BA870" s="179" t="str">
        <f t="array" ref="BA870">IF($F870&lt;&gt;"",XLOOKUP($F870,Productos!$A:$A,Productos!AT:AT,"Revisar"),"")</f>
        <v/>
      </c>
      <c r="BB870" s="179" t="str">
        <f t="array" ref="BB870">IF($F870&lt;&gt;"", XLOOKUP($F870,Productos!$A$2:$A1001,Productos!AU$2:AU1001,"")*$G870,"")</f>
        <v/>
      </c>
      <c r="BC870" s="179" t="str">
        <f t="array" ref="BC870">IF($F870&lt;&gt;"",XLOOKUP($F870,Productos!$A:$A,Productos!AV:AV,"Revisar"),"")</f>
        <v/>
      </c>
      <c r="BD870" s="179" t="str">
        <f t="array" ref="BD870">IF($F870&lt;&gt;"", XLOOKUP($F870,Productos!$A$2:$A1001,Productos!AW$2:AW1001,"")*$G870,"")</f>
        <v/>
      </c>
      <c r="BE870" s="179" t="str">
        <f t="array" ref="BE870">IF($F870&lt;&gt;"",XLOOKUP($F870,Productos!$A:$A,Productos!AX:AX,"Revisar"),"")</f>
        <v/>
      </c>
      <c r="BF870" s="179" t="str">
        <f t="array" ref="BF870">IF($F870&lt;&gt;"", XLOOKUP($F870,Productos!$A$2:$A1001,Productos!AY$2:AY1001,"")*$G870,"")</f>
        <v/>
      </c>
      <c r="BG870" s="179" t="str">
        <f t="array" ref="BG870">IF($F870&lt;&gt;"",XLOOKUP($F870,Productos!$A:$A,Productos!AZ:AZ,"Revisar"),"")</f>
        <v/>
      </c>
      <c r="BH870" s="179" t="str">
        <f t="array" ref="BH870">IF($F870&lt;&gt;"", XLOOKUP($F870,Productos!$A$2:$A1001,Productos!BA$2:BA1001,"")*$G870,"")</f>
        <v/>
      </c>
      <c r="BI870" s="179" t="str">
        <f t="array" ref="BI870">IF($F870&lt;&gt;"",XLOOKUP($F870,Productos!$A:$A,Productos!BB:BB,"Revisar"),"")</f>
        <v/>
      </c>
      <c r="BJ870" s="179" t="str">
        <f t="array" ref="BJ870">IF($F870&lt;&gt;"", XLOOKUP($F870,Productos!$A$2:$A1001,Productos!BC$2:BC1001,"")*$G870,"")</f>
        <v/>
      </c>
      <c r="BK870" s="179" t="str">
        <f t="array" ref="BK870">IF($F870&lt;&gt;"",XLOOKUP($F870,Productos!$A:$A,Productos!BD:BD,"Revisar"),"")</f>
        <v/>
      </c>
      <c r="BL870" s="179" t="str">
        <f t="array" ref="BL870">IF($F870&lt;&gt;"", XLOOKUP($F870,Productos!$A$2:$A1001,Productos!BE$2:BE1001,"")*$G870,"")</f>
        <v/>
      </c>
      <c r="BM870" s="179" t="str">
        <f t="array" ref="BM870">IF($F870&lt;&gt;"",XLOOKUP($F870,Productos!$A:$A,Productos!BF:BF,"Revisar"),"")</f>
        <v/>
      </c>
      <c r="BN870" s="179" t="str">
        <f t="array" ref="BN870">IF($F870&lt;&gt;"", XLOOKUP($F870,Productos!$A$2:$A1001,Productos!BG$2:BG1001,"")*$G870,"")</f>
        <v/>
      </c>
      <c r="BO870" s="179" t="str">
        <f t="array" ref="BO870">IF($F870&lt;&gt;"",XLOOKUP($F870,Productos!$A:$A,Productos!BH:BH,"Revisar"),"")</f>
        <v/>
      </c>
      <c r="BP870" s="179" t="str">
        <f t="array" ref="BP870">IF($F870&lt;&gt;"", XLOOKUP($F870,Productos!$A$2:$A1001,Productos!BI$2:BI1001,"")*$G870,"")</f>
        <v/>
      </c>
      <c r="BQ870" s="179" t="str">
        <f t="array" ref="BQ870">IF($F870&lt;&gt;"",XLOOKUP($F870,Productos!$A:$A,Productos!BJ:BJ,"Revisar"),"")</f>
        <v/>
      </c>
      <c r="BR870" s="179" t="str">
        <f t="array" ref="BR870">IF($F870&lt;&gt;"", XLOOKUP($F870,Productos!$A$2:$A1001,Productos!BK$2:BK1001,"")*$G870,"")</f>
        <v/>
      </c>
      <c r="BS870" s="179" t="str">
        <f t="array" ref="BS870">IF($F870&lt;&gt;"",XLOOKUP($F870,Productos!$A:$A,Productos!BL:BL,"Revisar"),"")</f>
        <v/>
      </c>
      <c r="BT870" s="179" t="str">
        <f t="array" ref="BT870">IF($F870&lt;&gt;"", XLOOKUP($F870,Productos!$A$2:$A1001,Productos!BM$2:BM1001,"")*$G870,"")</f>
        <v/>
      </c>
      <c r="BU870" s="179" t="str">
        <f t="array" ref="BU870">IF($F870&lt;&gt;"",XLOOKUP($F870,Productos!$A:$A,Productos!BN:BN,"Revisar"),"")</f>
        <v/>
      </c>
      <c r="BV870" s="179" t="str">
        <f t="array" ref="BV870">IF($F870&lt;&gt;"", XLOOKUP($F870,Productos!$A$2:$A1001,Productos!BO$2:BO1001,"")*$G870,"")</f>
        <v/>
      </c>
      <c r="BW870" s="179" t="str">
        <f t="array" ref="BW870">IF($F870&lt;&gt;"",XLOOKUP($F870,Productos!$A:$A,Productos!BP:BP,"Revisar"),"")</f>
        <v/>
      </c>
      <c r="BX870" s="179" t="str">
        <f t="array" ref="BX870">IF($F870&lt;&gt;"", XLOOKUP($F870,Productos!$A$2:$A1001,Productos!BQ$2:BQ1001,"")*$G870,"")</f>
        <v/>
      </c>
      <c r="BY870" s="179" t="str">
        <f t="array" ref="BY870">IF($F870&lt;&gt;"",XLOOKUP($F870,Productos!$A:$A,Productos!BR:BR,"Revisar"),"")</f>
        <v/>
      </c>
      <c r="BZ870" s="179" t="str">
        <f t="array" ref="BZ870">IF($F870&lt;&gt;"", XLOOKUP($F870,Productos!$A$2:$A1001,Productos!BS$2:BS1001,"")*$G870,"")</f>
        <v/>
      </c>
    </row>
    <row r="871">
      <c r="A871" s="188"/>
      <c r="B871" s="189"/>
      <c r="C871" s="190"/>
      <c r="D871" s="190"/>
      <c r="E871" s="191"/>
      <c r="F871" s="186"/>
      <c r="G871" s="192"/>
      <c r="H871" s="9"/>
      <c r="I871" s="179" t="str">
        <f t="array" ref="I871">IF($F871&lt;&gt;"",XLOOKUP($F871,Productos!$A:$A,Productos!B:B,"Revisar"),"")</f>
        <v/>
      </c>
      <c r="J871" s="179" t="str">
        <f t="array" ref="J871">IF($F871&lt;&gt;"", XLOOKUP($F871,Productos!$A$2:$A1001,Productos!C$2:C1001,"")*$G871,"")</f>
        <v/>
      </c>
      <c r="K871" s="179" t="str">
        <f t="array" ref="K871">IF($F871&lt;&gt;"",XLOOKUP($F871,Productos!$A:$A,Productos!D:D,"Revisar"),"")</f>
        <v/>
      </c>
      <c r="L871" s="179" t="str">
        <f t="array" ref="L871">IF($F871&lt;&gt;"", XLOOKUP($F871,Productos!$A$2:$A1001,Productos!E$2:E1001,"")*$G871,"")</f>
        <v/>
      </c>
      <c r="M871" s="179" t="str">
        <f t="array" ref="M871">IF($F871&lt;&gt;"",XLOOKUP($F871,Productos!$A:$A,Productos!F:F,"Revisar"),"")</f>
        <v/>
      </c>
      <c r="N871" s="179" t="str">
        <f t="array" ref="N871">IF($F871&lt;&gt;"", XLOOKUP($F871,Productos!$A$2:$A1001,Productos!G$2:G1001,"")*$G871,"")</f>
        <v/>
      </c>
      <c r="O871" s="179" t="str">
        <f t="array" ref="O871">IF($F871&lt;&gt;"",XLOOKUP($F871,Productos!$A:$A,Productos!H:H,"Revisar"),"")</f>
        <v/>
      </c>
      <c r="P871" s="179" t="str">
        <f t="array" ref="P871">IF($F871&lt;&gt;"", XLOOKUP($F871,Productos!$A$2:$A1001,Productos!I$2:I1001,"")*$G871,"")</f>
        <v/>
      </c>
      <c r="Q871" s="179" t="str">
        <f t="array" ref="Q871">IF($F871&lt;&gt;"",XLOOKUP($F871,Productos!$A:$A,Productos!J:J,"Revisar"),"")</f>
        <v/>
      </c>
      <c r="R871" s="179" t="str">
        <f t="array" ref="R871">IF($F871&lt;&gt;"", XLOOKUP($F871,Productos!$A$2:$A1001,Productos!K$2:K1001,"")*$G871,"")</f>
        <v/>
      </c>
      <c r="S871" s="179" t="str">
        <f t="array" ref="S871">IF($F871&lt;&gt;"",XLOOKUP($F871,Productos!$A:$A,Productos!L:L,"Revisar"),"")</f>
        <v/>
      </c>
      <c r="T871" s="179" t="str">
        <f t="array" ref="T871">IF($F871&lt;&gt;"", XLOOKUP($F871,Productos!$A$2:$A1001,Productos!M$2:M1001,"")*$G871,"")</f>
        <v/>
      </c>
      <c r="U871" s="179" t="str">
        <f t="array" ref="U871">IF($F871&lt;&gt;"",XLOOKUP($F871,Productos!$A:$A,Productos!N:N,"Revisar"),"")</f>
        <v/>
      </c>
      <c r="V871" s="179" t="str">
        <f t="array" ref="V871">IF($F871&lt;&gt;"", XLOOKUP($F871,Productos!$A$2:$A1001,Productos!O$2:O1001,"")*$G871,"")</f>
        <v/>
      </c>
      <c r="W871" s="179" t="str">
        <f t="array" ref="W871">IF($F871&lt;&gt;"",XLOOKUP($F871,Productos!$A:$A,Productos!P:P,"Revisar"),"")</f>
        <v/>
      </c>
      <c r="X871" s="179" t="str">
        <f t="array" ref="X871">IF($F871&lt;&gt;"", XLOOKUP($F871,Productos!$A$2:$A1001,Productos!Q$2:Q1001,"")*$G871,"")</f>
        <v/>
      </c>
      <c r="Y871" s="179" t="str">
        <f t="array" ref="Y871">IF($F871&lt;&gt;"",XLOOKUP($F871,Productos!$A:$A,Productos!R:R,"Revisar"),"")</f>
        <v/>
      </c>
      <c r="Z871" s="179" t="str">
        <f t="array" ref="Z871">IF($F871&lt;&gt;"", XLOOKUP($F871,Productos!$A$2:$A1001,Productos!S$2:S1001,"")*$G871,"")</f>
        <v/>
      </c>
      <c r="AA871" s="179" t="str">
        <f t="array" ref="AA871">IF($F871&lt;&gt;"",XLOOKUP($F871,Productos!$A:$A,Productos!T:T,"Revisar"),"")</f>
        <v/>
      </c>
      <c r="AB871" s="179" t="str">
        <f t="array" ref="AB871">IF($F871&lt;&gt;"", XLOOKUP($F871,Productos!$A$2:$A1001,Productos!U$2:U1001,"")*$G871,"")</f>
        <v/>
      </c>
      <c r="AC871" s="179" t="str">
        <f t="array" ref="AC871">IF($F871&lt;&gt;"",XLOOKUP($F871,Productos!$A:$A,Productos!V:V,"Revisar"),"")</f>
        <v/>
      </c>
      <c r="AD871" s="179" t="str">
        <f t="array" ref="AD871">IF($F871&lt;&gt;"", XLOOKUP($F871,Productos!$A$2:$A1001,Productos!W$2:W1001,"")*$G871,"")</f>
        <v/>
      </c>
      <c r="AE871" s="179" t="str">
        <f t="array" ref="AE871">IF($F871&lt;&gt;"",XLOOKUP($F871,Productos!$A:$A,Productos!X:X,"Revisar"),"")</f>
        <v/>
      </c>
      <c r="AF871" s="179" t="str">
        <f t="array" ref="AF871">IF($F871&lt;&gt;"", XLOOKUP($F871,Productos!$A$2:$A1001,Productos!Y$2:Y1001,"")*$G871,"")</f>
        <v/>
      </c>
      <c r="AG871" s="179" t="str">
        <f t="array" ref="AG871">IF($F871&lt;&gt;"",XLOOKUP($F871,Productos!$A:$A,Productos!Z:Z,"Revisar"),"")</f>
        <v/>
      </c>
      <c r="AH871" s="179" t="str">
        <f t="array" ref="AH871">IF($F871&lt;&gt;"", XLOOKUP($F871,Productos!$A$2:$A1001,Productos!AA$2:AA1001,"")*$G871,"")</f>
        <v/>
      </c>
      <c r="AI871" s="179" t="str">
        <f t="array" ref="AI871">IF($F871&lt;&gt;"",XLOOKUP($F871,Productos!$A:$A,Productos!AB:AB,"Revisar"),"")</f>
        <v/>
      </c>
      <c r="AJ871" s="179" t="str">
        <f t="array" ref="AJ871">IF($F871&lt;&gt;"", XLOOKUP($F871,Productos!$A$2:$A1001,Productos!AC$2:AC1001,"")*$G871,"")</f>
        <v/>
      </c>
      <c r="AK871" s="179" t="str">
        <f t="array" ref="AK871">IF($F871&lt;&gt;"",XLOOKUP($F871,Productos!$A:$A,Productos!AD:AD,"Revisar"),"")</f>
        <v/>
      </c>
      <c r="AL871" s="179" t="str">
        <f t="array" ref="AL871">IF($F871&lt;&gt;"", XLOOKUP($F871,Productos!$A$2:$A1001,Productos!AE$2:AE1001,"")*$G871,"")</f>
        <v/>
      </c>
      <c r="AM871" s="179" t="str">
        <f t="array" ref="AM871">IF($F871&lt;&gt;"",XLOOKUP($F871,Productos!$A:$A,Productos!AF:AF,"Revisar"),"")</f>
        <v/>
      </c>
      <c r="AN871" s="179" t="str">
        <f t="array" ref="AN871">IF($F871&lt;&gt;"", XLOOKUP($F871,Productos!$A$2:$A1001,Productos!AG$2:AG1001,"")*$G871,"")</f>
        <v/>
      </c>
      <c r="AO871" s="179" t="str">
        <f t="array" ref="AO871">IF($F871&lt;&gt;"",XLOOKUP($F871,Productos!$A:$A,Productos!AH:AH,"Revisar"),"")</f>
        <v/>
      </c>
      <c r="AP871" s="179" t="str">
        <f t="array" ref="AP871">IF($F871&lt;&gt;"", XLOOKUP($F871,Productos!$A$2:$A1001,Productos!AI$2:AI1001,"")*$G871,"")</f>
        <v/>
      </c>
      <c r="AQ871" s="179" t="str">
        <f t="array" ref="AQ871">IF($F871&lt;&gt;"",XLOOKUP($F871,Productos!$A:$A,Productos!AJ:AJ,"Revisar"),"")</f>
        <v/>
      </c>
      <c r="AR871" s="179" t="str">
        <f t="array" ref="AR871">IF($F871&lt;&gt;"", XLOOKUP($F871,Productos!$A$2:$A1001,Productos!AK$2:AK1001,"")*$G871,"")</f>
        <v/>
      </c>
      <c r="AS871" s="179" t="str">
        <f t="array" ref="AS871">IF($F871&lt;&gt;"",XLOOKUP($F871,Productos!$A:$A,Productos!AL:AL,"Revisar"),"")</f>
        <v/>
      </c>
      <c r="AT871" s="179" t="str">
        <f t="array" ref="AT871">IF($F871&lt;&gt;"", XLOOKUP($F871,Productos!$A$2:$A1001,Productos!AM$2:AM1001,"")*$G871,"")</f>
        <v/>
      </c>
      <c r="AU871" s="179" t="str">
        <f t="array" ref="AU871">IF($F871&lt;&gt;"",XLOOKUP($F871,Productos!$A:$A,Productos!AN:AN,"Revisar"),"")</f>
        <v/>
      </c>
      <c r="AV871" s="179" t="str">
        <f t="array" ref="AV871">IF($F871&lt;&gt;"", XLOOKUP($F871,Productos!$A$2:$A1001,Productos!AO$2:AO1001,"")*$G871,"")</f>
        <v/>
      </c>
      <c r="AW871" s="179" t="str">
        <f t="array" ref="AW871">IF($F871&lt;&gt;"",XLOOKUP($F871,Productos!$A:$A,Productos!AP:AP,"Revisar"),"")</f>
        <v/>
      </c>
      <c r="AX871" s="179" t="str">
        <f t="array" ref="AX871">IF($F871&lt;&gt;"", XLOOKUP($F871,Productos!$A$2:$A1001,Productos!AQ$2:AQ1001,"")*$G871,"")</f>
        <v/>
      </c>
      <c r="AY871" s="179" t="str">
        <f t="array" ref="AY871">IF($F871&lt;&gt;"",XLOOKUP($F871,Productos!$A:$A,Productos!AR:AR,"Revisar"),"")</f>
        <v/>
      </c>
      <c r="AZ871" s="179" t="str">
        <f t="array" ref="AZ871">IF($F871&lt;&gt;"", XLOOKUP($F871,Productos!$A$2:$A1001,Productos!AS$2:AS1001,"")*$G871,"")</f>
        <v/>
      </c>
      <c r="BA871" s="179" t="str">
        <f t="array" ref="BA871">IF($F871&lt;&gt;"",XLOOKUP($F871,Productos!$A:$A,Productos!AT:AT,"Revisar"),"")</f>
        <v/>
      </c>
      <c r="BB871" s="179" t="str">
        <f t="array" ref="BB871">IF($F871&lt;&gt;"", XLOOKUP($F871,Productos!$A$2:$A1001,Productos!AU$2:AU1001,"")*$G871,"")</f>
        <v/>
      </c>
      <c r="BC871" s="179" t="str">
        <f t="array" ref="BC871">IF($F871&lt;&gt;"",XLOOKUP($F871,Productos!$A:$A,Productos!AV:AV,"Revisar"),"")</f>
        <v/>
      </c>
      <c r="BD871" s="179" t="str">
        <f t="array" ref="BD871">IF($F871&lt;&gt;"", XLOOKUP($F871,Productos!$A$2:$A1001,Productos!AW$2:AW1001,"")*$G871,"")</f>
        <v/>
      </c>
      <c r="BE871" s="179" t="str">
        <f t="array" ref="BE871">IF($F871&lt;&gt;"",XLOOKUP($F871,Productos!$A:$A,Productos!AX:AX,"Revisar"),"")</f>
        <v/>
      </c>
      <c r="BF871" s="179" t="str">
        <f t="array" ref="BF871">IF($F871&lt;&gt;"", XLOOKUP($F871,Productos!$A$2:$A1001,Productos!AY$2:AY1001,"")*$G871,"")</f>
        <v/>
      </c>
      <c r="BG871" s="179" t="str">
        <f t="array" ref="BG871">IF($F871&lt;&gt;"",XLOOKUP($F871,Productos!$A:$A,Productos!AZ:AZ,"Revisar"),"")</f>
        <v/>
      </c>
      <c r="BH871" s="179" t="str">
        <f t="array" ref="BH871">IF($F871&lt;&gt;"", XLOOKUP($F871,Productos!$A$2:$A1001,Productos!BA$2:BA1001,"")*$G871,"")</f>
        <v/>
      </c>
      <c r="BI871" s="179" t="str">
        <f t="array" ref="BI871">IF($F871&lt;&gt;"",XLOOKUP($F871,Productos!$A:$A,Productos!BB:BB,"Revisar"),"")</f>
        <v/>
      </c>
      <c r="BJ871" s="179" t="str">
        <f t="array" ref="BJ871">IF($F871&lt;&gt;"", XLOOKUP($F871,Productos!$A$2:$A1001,Productos!BC$2:BC1001,"")*$G871,"")</f>
        <v/>
      </c>
      <c r="BK871" s="179" t="str">
        <f t="array" ref="BK871">IF($F871&lt;&gt;"",XLOOKUP($F871,Productos!$A:$A,Productos!BD:BD,"Revisar"),"")</f>
        <v/>
      </c>
      <c r="BL871" s="179" t="str">
        <f t="array" ref="BL871">IF($F871&lt;&gt;"", XLOOKUP($F871,Productos!$A$2:$A1001,Productos!BE$2:BE1001,"")*$G871,"")</f>
        <v/>
      </c>
      <c r="BM871" s="179" t="str">
        <f t="array" ref="BM871">IF($F871&lt;&gt;"",XLOOKUP($F871,Productos!$A:$A,Productos!BF:BF,"Revisar"),"")</f>
        <v/>
      </c>
      <c r="BN871" s="179" t="str">
        <f t="array" ref="BN871">IF($F871&lt;&gt;"", XLOOKUP($F871,Productos!$A$2:$A1001,Productos!BG$2:BG1001,"")*$G871,"")</f>
        <v/>
      </c>
      <c r="BO871" s="179" t="str">
        <f t="array" ref="BO871">IF($F871&lt;&gt;"",XLOOKUP($F871,Productos!$A:$A,Productos!BH:BH,"Revisar"),"")</f>
        <v/>
      </c>
      <c r="BP871" s="179" t="str">
        <f t="array" ref="BP871">IF($F871&lt;&gt;"", XLOOKUP($F871,Productos!$A$2:$A1001,Productos!BI$2:BI1001,"")*$G871,"")</f>
        <v/>
      </c>
      <c r="BQ871" s="179" t="str">
        <f t="array" ref="BQ871">IF($F871&lt;&gt;"",XLOOKUP($F871,Productos!$A:$A,Productos!BJ:BJ,"Revisar"),"")</f>
        <v/>
      </c>
      <c r="BR871" s="179" t="str">
        <f t="array" ref="BR871">IF($F871&lt;&gt;"", XLOOKUP($F871,Productos!$A$2:$A1001,Productos!BK$2:BK1001,"")*$G871,"")</f>
        <v/>
      </c>
      <c r="BS871" s="179" t="str">
        <f t="array" ref="BS871">IF($F871&lt;&gt;"",XLOOKUP($F871,Productos!$A:$A,Productos!BL:BL,"Revisar"),"")</f>
        <v/>
      </c>
      <c r="BT871" s="179" t="str">
        <f t="array" ref="BT871">IF($F871&lt;&gt;"", XLOOKUP($F871,Productos!$A$2:$A1001,Productos!BM$2:BM1001,"")*$G871,"")</f>
        <v/>
      </c>
      <c r="BU871" s="179" t="str">
        <f t="array" ref="BU871">IF($F871&lt;&gt;"",XLOOKUP($F871,Productos!$A:$A,Productos!BN:BN,"Revisar"),"")</f>
        <v/>
      </c>
      <c r="BV871" s="179" t="str">
        <f t="array" ref="BV871">IF($F871&lt;&gt;"", XLOOKUP($F871,Productos!$A$2:$A1001,Productos!BO$2:BO1001,"")*$G871,"")</f>
        <v/>
      </c>
      <c r="BW871" s="179" t="str">
        <f t="array" ref="BW871">IF($F871&lt;&gt;"",XLOOKUP($F871,Productos!$A:$A,Productos!BP:BP,"Revisar"),"")</f>
        <v/>
      </c>
      <c r="BX871" s="179" t="str">
        <f t="array" ref="BX871">IF($F871&lt;&gt;"", XLOOKUP($F871,Productos!$A$2:$A1001,Productos!BQ$2:BQ1001,"")*$G871,"")</f>
        <v/>
      </c>
      <c r="BY871" s="179" t="str">
        <f t="array" ref="BY871">IF($F871&lt;&gt;"",XLOOKUP($F871,Productos!$A:$A,Productos!BR:BR,"Revisar"),"")</f>
        <v/>
      </c>
      <c r="BZ871" s="179" t="str">
        <f t="array" ref="BZ871">IF($F871&lt;&gt;"", XLOOKUP($F871,Productos!$A$2:$A1001,Productos!BS$2:BS1001,"")*$G871,"")</f>
        <v/>
      </c>
    </row>
    <row r="872">
      <c r="A872" s="188"/>
      <c r="B872" s="189"/>
      <c r="C872" s="190"/>
      <c r="D872" s="190"/>
      <c r="E872" s="191"/>
      <c r="F872" s="186"/>
      <c r="G872" s="192"/>
      <c r="H872" s="9"/>
      <c r="I872" s="179" t="str">
        <f t="array" ref="I872">IF($F872&lt;&gt;"",XLOOKUP($F872,Productos!$A:$A,Productos!B:B,"Revisar"),"")</f>
        <v/>
      </c>
      <c r="J872" s="179" t="str">
        <f t="array" ref="J872">IF($F872&lt;&gt;"", XLOOKUP($F872,Productos!$A$2:$A1001,Productos!C$2:C1001,"")*$G872,"")</f>
        <v/>
      </c>
      <c r="K872" s="179" t="str">
        <f t="array" ref="K872">IF($F872&lt;&gt;"",XLOOKUP($F872,Productos!$A:$A,Productos!D:D,"Revisar"),"")</f>
        <v/>
      </c>
      <c r="L872" s="179" t="str">
        <f t="array" ref="L872">IF($F872&lt;&gt;"", XLOOKUP($F872,Productos!$A$2:$A1001,Productos!E$2:E1001,"")*$G872,"")</f>
        <v/>
      </c>
      <c r="M872" s="179" t="str">
        <f t="array" ref="M872">IF($F872&lt;&gt;"",XLOOKUP($F872,Productos!$A:$A,Productos!F:F,"Revisar"),"")</f>
        <v/>
      </c>
      <c r="N872" s="179" t="str">
        <f t="array" ref="N872">IF($F872&lt;&gt;"", XLOOKUP($F872,Productos!$A$2:$A1001,Productos!G$2:G1001,"")*$G872,"")</f>
        <v/>
      </c>
      <c r="O872" s="179" t="str">
        <f t="array" ref="O872">IF($F872&lt;&gt;"",XLOOKUP($F872,Productos!$A:$A,Productos!H:H,"Revisar"),"")</f>
        <v/>
      </c>
      <c r="P872" s="179" t="str">
        <f t="array" ref="P872">IF($F872&lt;&gt;"", XLOOKUP($F872,Productos!$A$2:$A1001,Productos!I$2:I1001,"")*$G872,"")</f>
        <v/>
      </c>
      <c r="Q872" s="179" t="str">
        <f t="array" ref="Q872">IF($F872&lt;&gt;"",XLOOKUP($F872,Productos!$A:$A,Productos!J:J,"Revisar"),"")</f>
        <v/>
      </c>
      <c r="R872" s="179" t="str">
        <f t="array" ref="R872">IF($F872&lt;&gt;"", XLOOKUP($F872,Productos!$A$2:$A1001,Productos!K$2:K1001,"")*$G872,"")</f>
        <v/>
      </c>
      <c r="S872" s="179" t="str">
        <f t="array" ref="S872">IF($F872&lt;&gt;"",XLOOKUP($F872,Productos!$A:$A,Productos!L:L,"Revisar"),"")</f>
        <v/>
      </c>
      <c r="T872" s="179" t="str">
        <f t="array" ref="T872">IF($F872&lt;&gt;"", XLOOKUP($F872,Productos!$A$2:$A1001,Productos!M$2:M1001,"")*$G872,"")</f>
        <v/>
      </c>
      <c r="U872" s="179" t="str">
        <f t="array" ref="U872">IF($F872&lt;&gt;"",XLOOKUP($F872,Productos!$A:$A,Productos!N:N,"Revisar"),"")</f>
        <v/>
      </c>
      <c r="V872" s="179" t="str">
        <f t="array" ref="V872">IF($F872&lt;&gt;"", XLOOKUP($F872,Productos!$A$2:$A1001,Productos!O$2:O1001,"")*$G872,"")</f>
        <v/>
      </c>
      <c r="W872" s="179" t="str">
        <f t="array" ref="W872">IF($F872&lt;&gt;"",XLOOKUP($F872,Productos!$A:$A,Productos!P:P,"Revisar"),"")</f>
        <v/>
      </c>
      <c r="X872" s="179" t="str">
        <f t="array" ref="X872">IF($F872&lt;&gt;"", XLOOKUP($F872,Productos!$A$2:$A1001,Productos!Q$2:Q1001,"")*$G872,"")</f>
        <v/>
      </c>
      <c r="Y872" s="179" t="str">
        <f t="array" ref="Y872">IF($F872&lt;&gt;"",XLOOKUP($F872,Productos!$A:$A,Productos!R:R,"Revisar"),"")</f>
        <v/>
      </c>
      <c r="Z872" s="179" t="str">
        <f t="array" ref="Z872">IF($F872&lt;&gt;"", XLOOKUP($F872,Productos!$A$2:$A1001,Productos!S$2:S1001,"")*$G872,"")</f>
        <v/>
      </c>
      <c r="AA872" s="179" t="str">
        <f t="array" ref="AA872">IF($F872&lt;&gt;"",XLOOKUP($F872,Productos!$A:$A,Productos!T:T,"Revisar"),"")</f>
        <v/>
      </c>
      <c r="AB872" s="179" t="str">
        <f t="array" ref="AB872">IF($F872&lt;&gt;"", XLOOKUP($F872,Productos!$A$2:$A1001,Productos!U$2:U1001,"")*$G872,"")</f>
        <v/>
      </c>
      <c r="AC872" s="179" t="str">
        <f t="array" ref="AC872">IF($F872&lt;&gt;"",XLOOKUP($F872,Productos!$A:$A,Productos!V:V,"Revisar"),"")</f>
        <v/>
      </c>
      <c r="AD872" s="179" t="str">
        <f t="array" ref="AD872">IF($F872&lt;&gt;"", XLOOKUP($F872,Productos!$A$2:$A1001,Productos!W$2:W1001,"")*$G872,"")</f>
        <v/>
      </c>
      <c r="AE872" s="179" t="str">
        <f t="array" ref="AE872">IF($F872&lt;&gt;"",XLOOKUP($F872,Productos!$A:$A,Productos!X:X,"Revisar"),"")</f>
        <v/>
      </c>
      <c r="AF872" s="179" t="str">
        <f t="array" ref="AF872">IF($F872&lt;&gt;"", XLOOKUP($F872,Productos!$A$2:$A1001,Productos!Y$2:Y1001,"")*$G872,"")</f>
        <v/>
      </c>
      <c r="AG872" s="179" t="str">
        <f t="array" ref="AG872">IF($F872&lt;&gt;"",XLOOKUP($F872,Productos!$A:$A,Productos!Z:Z,"Revisar"),"")</f>
        <v/>
      </c>
      <c r="AH872" s="179" t="str">
        <f t="array" ref="AH872">IF($F872&lt;&gt;"", XLOOKUP($F872,Productos!$A$2:$A1001,Productos!AA$2:AA1001,"")*$G872,"")</f>
        <v/>
      </c>
      <c r="AI872" s="179" t="str">
        <f t="array" ref="AI872">IF($F872&lt;&gt;"",XLOOKUP($F872,Productos!$A:$A,Productos!AB:AB,"Revisar"),"")</f>
        <v/>
      </c>
      <c r="AJ872" s="179" t="str">
        <f t="array" ref="AJ872">IF($F872&lt;&gt;"", XLOOKUP($F872,Productos!$A$2:$A1001,Productos!AC$2:AC1001,"")*$G872,"")</f>
        <v/>
      </c>
      <c r="AK872" s="179" t="str">
        <f t="array" ref="AK872">IF($F872&lt;&gt;"",XLOOKUP($F872,Productos!$A:$A,Productos!AD:AD,"Revisar"),"")</f>
        <v/>
      </c>
      <c r="AL872" s="179" t="str">
        <f t="array" ref="AL872">IF($F872&lt;&gt;"", XLOOKUP($F872,Productos!$A$2:$A1001,Productos!AE$2:AE1001,"")*$G872,"")</f>
        <v/>
      </c>
      <c r="AM872" s="179" t="str">
        <f t="array" ref="AM872">IF($F872&lt;&gt;"",XLOOKUP($F872,Productos!$A:$A,Productos!AF:AF,"Revisar"),"")</f>
        <v/>
      </c>
      <c r="AN872" s="179" t="str">
        <f t="array" ref="AN872">IF($F872&lt;&gt;"", XLOOKUP($F872,Productos!$A$2:$A1001,Productos!AG$2:AG1001,"")*$G872,"")</f>
        <v/>
      </c>
      <c r="AO872" s="179" t="str">
        <f t="array" ref="AO872">IF($F872&lt;&gt;"",XLOOKUP($F872,Productos!$A:$A,Productos!AH:AH,"Revisar"),"")</f>
        <v/>
      </c>
      <c r="AP872" s="179" t="str">
        <f t="array" ref="AP872">IF($F872&lt;&gt;"", XLOOKUP($F872,Productos!$A$2:$A1001,Productos!AI$2:AI1001,"")*$G872,"")</f>
        <v/>
      </c>
      <c r="AQ872" s="179" t="str">
        <f t="array" ref="AQ872">IF($F872&lt;&gt;"",XLOOKUP($F872,Productos!$A:$A,Productos!AJ:AJ,"Revisar"),"")</f>
        <v/>
      </c>
      <c r="AR872" s="179" t="str">
        <f t="array" ref="AR872">IF($F872&lt;&gt;"", XLOOKUP($F872,Productos!$A$2:$A1001,Productos!AK$2:AK1001,"")*$G872,"")</f>
        <v/>
      </c>
      <c r="AS872" s="179" t="str">
        <f t="array" ref="AS872">IF($F872&lt;&gt;"",XLOOKUP($F872,Productos!$A:$A,Productos!AL:AL,"Revisar"),"")</f>
        <v/>
      </c>
      <c r="AT872" s="179" t="str">
        <f t="array" ref="AT872">IF($F872&lt;&gt;"", XLOOKUP($F872,Productos!$A$2:$A1001,Productos!AM$2:AM1001,"")*$G872,"")</f>
        <v/>
      </c>
      <c r="AU872" s="179" t="str">
        <f t="array" ref="AU872">IF($F872&lt;&gt;"",XLOOKUP($F872,Productos!$A:$A,Productos!AN:AN,"Revisar"),"")</f>
        <v/>
      </c>
      <c r="AV872" s="179" t="str">
        <f t="array" ref="AV872">IF($F872&lt;&gt;"", XLOOKUP($F872,Productos!$A$2:$A1001,Productos!AO$2:AO1001,"")*$G872,"")</f>
        <v/>
      </c>
      <c r="AW872" s="179" t="str">
        <f t="array" ref="AW872">IF($F872&lt;&gt;"",XLOOKUP($F872,Productos!$A:$A,Productos!AP:AP,"Revisar"),"")</f>
        <v/>
      </c>
      <c r="AX872" s="179" t="str">
        <f t="array" ref="AX872">IF($F872&lt;&gt;"", XLOOKUP($F872,Productos!$A$2:$A1001,Productos!AQ$2:AQ1001,"")*$G872,"")</f>
        <v/>
      </c>
      <c r="AY872" s="179" t="str">
        <f t="array" ref="AY872">IF($F872&lt;&gt;"",XLOOKUP($F872,Productos!$A:$A,Productos!AR:AR,"Revisar"),"")</f>
        <v/>
      </c>
      <c r="AZ872" s="179" t="str">
        <f t="array" ref="AZ872">IF($F872&lt;&gt;"", XLOOKUP($F872,Productos!$A$2:$A1001,Productos!AS$2:AS1001,"")*$G872,"")</f>
        <v/>
      </c>
      <c r="BA872" s="179" t="str">
        <f t="array" ref="BA872">IF($F872&lt;&gt;"",XLOOKUP($F872,Productos!$A:$A,Productos!AT:AT,"Revisar"),"")</f>
        <v/>
      </c>
      <c r="BB872" s="179" t="str">
        <f t="array" ref="BB872">IF($F872&lt;&gt;"", XLOOKUP($F872,Productos!$A$2:$A1001,Productos!AU$2:AU1001,"")*$G872,"")</f>
        <v/>
      </c>
      <c r="BC872" s="179" t="str">
        <f t="array" ref="BC872">IF($F872&lt;&gt;"",XLOOKUP($F872,Productos!$A:$A,Productos!AV:AV,"Revisar"),"")</f>
        <v/>
      </c>
      <c r="BD872" s="179" t="str">
        <f t="array" ref="BD872">IF($F872&lt;&gt;"", XLOOKUP($F872,Productos!$A$2:$A1001,Productos!AW$2:AW1001,"")*$G872,"")</f>
        <v/>
      </c>
      <c r="BE872" s="179" t="str">
        <f t="array" ref="BE872">IF($F872&lt;&gt;"",XLOOKUP($F872,Productos!$A:$A,Productos!AX:AX,"Revisar"),"")</f>
        <v/>
      </c>
      <c r="BF872" s="179" t="str">
        <f t="array" ref="BF872">IF($F872&lt;&gt;"", XLOOKUP($F872,Productos!$A$2:$A1001,Productos!AY$2:AY1001,"")*$G872,"")</f>
        <v/>
      </c>
      <c r="BG872" s="179" t="str">
        <f t="array" ref="BG872">IF($F872&lt;&gt;"",XLOOKUP($F872,Productos!$A:$A,Productos!AZ:AZ,"Revisar"),"")</f>
        <v/>
      </c>
      <c r="BH872" s="179" t="str">
        <f t="array" ref="BH872">IF($F872&lt;&gt;"", XLOOKUP($F872,Productos!$A$2:$A1001,Productos!BA$2:BA1001,"")*$G872,"")</f>
        <v/>
      </c>
      <c r="BI872" s="179" t="str">
        <f t="array" ref="BI872">IF($F872&lt;&gt;"",XLOOKUP($F872,Productos!$A:$A,Productos!BB:BB,"Revisar"),"")</f>
        <v/>
      </c>
      <c r="BJ872" s="179" t="str">
        <f t="array" ref="BJ872">IF($F872&lt;&gt;"", XLOOKUP($F872,Productos!$A$2:$A1001,Productos!BC$2:BC1001,"")*$G872,"")</f>
        <v/>
      </c>
      <c r="BK872" s="179" t="str">
        <f t="array" ref="BK872">IF($F872&lt;&gt;"",XLOOKUP($F872,Productos!$A:$A,Productos!BD:BD,"Revisar"),"")</f>
        <v/>
      </c>
      <c r="BL872" s="179" t="str">
        <f t="array" ref="BL872">IF($F872&lt;&gt;"", XLOOKUP($F872,Productos!$A$2:$A1001,Productos!BE$2:BE1001,"")*$G872,"")</f>
        <v/>
      </c>
      <c r="BM872" s="179" t="str">
        <f t="array" ref="BM872">IF($F872&lt;&gt;"",XLOOKUP($F872,Productos!$A:$A,Productos!BF:BF,"Revisar"),"")</f>
        <v/>
      </c>
      <c r="BN872" s="179" t="str">
        <f t="array" ref="BN872">IF($F872&lt;&gt;"", XLOOKUP($F872,Productos!$A$2:$A1001,Productos!BG$2:BG1001,"")*$G872,"")</f>
        <v/>
      </c>
      <c r="BO872" s="179" t="str">
        <f t="array" ref="BO872">IF($F872&lt;&gt;"",XLOOKUP($F872,Productos!$A:$A,Productos!BH:BH,"Revisar"),"")</f>
        <v/>
      </c>
      <c r="BP872" s="179" t="str">
        <f t="array" ref="BP872">IF($F872&lt;&gt;"", XLOOKUP($F872,Productos!$A$2:$A1001,Productos!BI$2:BI1001,"")*$G872,"")</f>
        <v/>
      </c>
      <c r="BQ872" s="179" t="str">
        <f t="array" ref="BQ872">IF($F872&lt;&gt;"",XLOOKUP($F872,Productos!$A:$A,Productos!BJ:BJ,"Revisar"),"")</f>
        <v/>
      </c>
      <c r="BR872" s="179" t="str">
        <f t="array" ref="BR872">IF($F872&lt;&gt;"", XLOOKUP($F872,Productos!$A$2:$A1001,Productos!BK$2:BK1001,"")*$G872,"")</f>
        <v/>
      </c>
      <c r="BS872" s="179" t="str">
        <f t="array" ref="BS872">IF($F872&lt;&gt;"",XLOOKUP($F872,Productos!$A:$A,Productos!BL:BL,"Revisar"),"")</f>
        <v/>
      </c>
      <c r="BT872" s="179" t="str">
        <f t="array" ref="BT872">IF($F872&lt;&gt;"", XLOOKUP($F872,Productos!$A$2:$A1001,Productos!BM$2:BM1001,"")*$G872,"")</f>
        <v/>
      </c>
      <c r="BU872" s="179" t="str">
        <f t="array" ref="BU872">IF($F872&lt;&gt;"",XLOOKUP($F872,Productos!$A:$A,Productos!BN:BN,"Revisar"),"")</f>
        <v/>
      </c>
      <c r="BV872" s="179" t="str">
        <f t="array" ref="BV872">IF($F872&lt;&gt;"", XLOOKUP($F872,Productos!$A$2:$A1001,Productos!BO$2:BO1001,"")*$G872,"")</f>
        <v/>
      </c>
      <c r="BW872" s="179" t="str">
        <f t="array" ref="BW872">IF($F872&lt;&gt;"",XLOOKUP($F872,Productos!$A:$A,Productos!BP:BP,"Revisar"),"")</f>
        <v/>
      </c>
      <c r="BX872" s="179" t="str">
        <f t="array" ref="BX872">IF($F872&lt;&gt;"", XLOOKUP($F872,Productos!$A$2:$A1001,Productos!BQ$2:BQ1001,"")*$G872,"")</f>
        <v/>
      </c>
      <c r="BY872" s="179" t="str">
        <f t="array" ref="BY872">IF($F872&lt;&gt;"",XLOOKUP($F872,Productos!$A:$A,Productos!BR:BR,"Revisar"),"")</f>
        <v/>
      </c>
      <c r="BZ872" s="179" t="str">
        <f t="array" ref="BZ872">IF($F872&lt;&gt;"", XLOOKUP($F872,Productos!$A$2:$A1001,Productos!BS$2:BS1001,"")*$G872,"")</f>
        <v/>
      </c>
    </row>
    <row r="873">
      <c r="A873" s="188"/>
      <c r="B873" s="189"/>
      <c r="C873" s="190"/>
      <c r="D873" s="190"/>
      <c r="E873" s="191"/>
      <c r="F873" s="186"/>
      <c r="G873" s="192"/>
      <c r="H873" s="9"/>
      <c r="I873" s="179" t="str">
        <f t="array" ref="I873">IF($F873&lt;&gt;"",XLOOKUP($F873,Productos!$A:$A,Productos!B:B,"Revisar"),"")</f>
        <v/>
      </c>
      <c r="J873" s="179" t="str">
        <f t="array" ref="J873">IF($F873&lt;&gt;"", XLOOKUP($F873,Productos!$A$2:$A1001,Productos!C$2:C1001,"")*$G873,"")</f>
        <v/>
      </c>
      <c r="K873" s="179" t="str">
        <f t="array" ref="K873">IF($F873&lt;&gt;"",XLOOKUP($F873,Productos!$A:$A,Productos!D:D,"Revisar"),"")</f>
        <v/>
      </c>
      <c r="L873" s="179" t="str">
        <f t="array" ref="L873">IF($F873&lt;&gt;"", XLOOKUP($F873,Productos!$A$2:$A1001,Productos!E$2:E1001,"")*$G873,"")</f>
        <v/>
      </c>
      <c r="M873" s="179" t="str">
        <f t="array" ref="M873">IF($F873&lt;&gt;"",XLOOKUP($F873,Productos!$A:$A,Productos!F:F,"Revisar"),"")</f>
        <v/>
      </c>
      <c r="N873" s="179" t="str">
        <f t="array" ref="N873">IF($F873&lt;&gt;"", XLOOKUP($F873,Productos!$A$2:$A1001,Productos!G$2:G1001,"")*$G873,"")</f>
        <v/>
      </c>
      <c r="O873" s="179" t="str">
        <f t="array" ref="O873">IF($F873&lt;&gt;"",XLOOKUP($F873,Productos!$A:$A,Productos!H:H,"Revisar"),"")</f>
        <v/>
      </c>
      <c r="P873" s="179" t="str">
        <f t="array" ref="P873">IF($F873&lt;&gt;"", XLOOKUP($F873,Productos!$A$2:$A1001,Productos!I$2:I1001,"")*$G873,"")</f>
        <v/>
      </c>
      <c r="Q873" s="179" t="str">
        <f t="array" ref="Q873">IF($F873&lt;&gt;"",XLOOKUP($F873,Productos!$A:$A,Productos!J:J,"Revisar"),"")</f>
        <v/>
      </c>
      <c r="R873" s="179" t="str">
        <f t="array" ref="R873">IF($F873&lt;&gt;"", XLOOKUP($F873,Productos!$A$2:$A1001,Productos!K$2:K1001,"")*$G873,"")</f>
        <v/>
      </c>
      <c r="S873" s="179" t="str">
        <f t="array" ref="S873">IF($F873&lt;&gt;"",XLOOKUP($F873,Productos!$A:$A,Productos!L:L,"Revisar"),"")</f>
        <v/>
      </c>
      <c r="T873" s="179" t="str">
        <f t="array" ref="T873">IF($F873&lt;&gt;"", XLOOKUP($F873,Productos!$A$2:$A1001,Productos!M$2:M1001,"")*$G873,"")</f>
        <v/>
      </c>
      <c r="U873" s="179" t="str">
        <f t="array" ref="U873">IF($F873&lt;&gt;"",XLOOKUP($F873,Productos!$A:$A,Productos!N:N,"Revisar"),"")</f>
        <v/>
      </c>
      <c r="V873" s="179" t="str">
        <f t="array" ref="V873">IF($F873&lt;&gt;"", XLOOKUP($F873,Productos!$A$2:$A1001,Productos!O$2:O1001,"")*$G873,"")</f>
        <v/>
      </c>
      <c r="W873" s="179" t="str">
        <f t="array" ref="W873">IF($F873&lt;&gt;"",XLOOKUP($F873,Productos!$A:$A,Productos!P:P,"Revisar"),"")</f>
        <v/>
      </c>
      <c r="X873" s="179" t="str">
        <f t="array" ref="X873">IF($F873&lt;&gt;"", XLOOKUP($F873,Productos!$A$2:$A1001,Productos!Q$2:Q1001,"")*$G873,"")</f>
        <v/>
      </c>
      <c r="Y873" s="179" t="str">
        <f t="array" ref="Y873">IF($F873&lt;&gt;"",XLOOKUP($F873,Productos!$A:$A,Productos!R:R,"Revisar"),"")</f>
        <v/>
      </c>
      <c r="Z873" s="179" t="str">
        <f t="array" ref="Z873">IF($F873&lt;&gt;"", XLOOKUP($F873,Productos!$A$2:$A1001,Productos!S$2:S1001,"")*$G873,"")</f>
        <v/>
      </c>
      <c r="AA873" s="179" t="str">
        <f t="array" ref="AA873">IF($F873&lt;&gt;"",XLOOKUP($F873,Productos!$A:$A,Productos!T:T,"Revisar"),"")</f>
        <v/>
      </c>
      <c r="AB873" s="179" t="str">
        <f t="array" ref="AB873">IF($F873&lt;&gt;"", XLOOKUP($F873,Productos!$A$2:$A1001,Productos!U$2:U1001,"")*$G873,"")</f>
        <v/>
      </c>
      <c r="AC873" s="179" t="str">
        <f t="array" ref="AC873">IF($F873&lt;&gt;"",XLOOKUP($F873,Productos!$A:$A,Productos!V:V,"Revisar"),"")</f>
        <v/>
      </c>
      <c r="AD873" s="179" t="str">
        <f t="array" ref="AD873">IF($F873&lt;&gt;"", XLOOKUP($F873,Productos!$A$2:$A1001,Productos!W$2:W1001,"")*$G873,"")</f>
        <v/>
      </c>
      <c r="AE873" s="179" t="str">
        <f t="array" ref="AE873">IF($F873&lt;&gt;"",XLOOKUP($F873,Productos!$A:$A,Productos!X:X,"Revisar"),"")</f>
        <v/>
      </c>
      <c r="AF873" s="179" t="str">
        <f t="array" ref="AF873">IF($F873&lt;&gt;"", XLOOKUP($F873,Productos!$A$2:$A1001,Productos!Y$2:Y1001,"")*$G873,"")</f>
        <v/>
      </c>
      <c r="AG873" s="179" t="str">
        <f t="array" ref="AG873">IF($F873&lt;&gt;"",XLOOKUP($F873,Productos!$A:$A,Productos!Z:Z,"Revisar"),"")</f>
        <v/>
      </c>
      <c r="AH873" s="179" t="str">
        <f t="array" ref="AH873">IF($F873&lt;&gt;"", XLOOKUP($F873,Productos!$A$2:$A1001,Productos!AA$2:AA1001,"")*$G873,"")</f>
        <v/>
      </c>
      <c r="AI873" s="179" t="str">
        <f t="array" ref="AI873">IF($F873&lt;&gt;"",XLOOKUP($F873,Productos!$A:$A,Productos!AB:AB,"Revisar"),"")</f>
        <v/>
      </c>
      <c r="AJ873" s="179" t="str">
        <f t="array" ref="AJ873">IF($F873&lt;&gt;"", XLOOKUP($F873,Productos!$A$2:$A1001,Productos!AC$2:AC1001,"")*$G873,"")</f>
        <v/>
      </c>
      <c r="AK873" s="179" t="str">
        <f t="array" ref="AK873">IF($F873&lt;&gt;"",XLOOKUP($F873,Productos!$A:$A,Productos!AD:AD,"Revisar"),"")</f>
        <v/>
      </c>
      <c r="AL873" s="179" t="str">
        <f t="array" ref="AL873">IF($F873&lt;&gt;"", XLOOKUP($F873,Productos!$A$2:$A1001,Productos!AE$2:AE1001,"")*$G873,"")</f>
        <v/>
      </c>
      <c r="AM873" s="179" t="str">
        <f t="array" ref="AM873">IF($F873&lt;&gt;"",XLOOKUP($F873,Productos!$A:$A,Productos!AF:AF,"Revisar"),"")</f>
        <v/>
      </c>
      <c r="AN873" s="179" t="str">
        <f t="array" ref="AN873">IF($F873&lt;&gt;"", XLOOKUP($F873,Productos!$A$2:$A1001,Productos!AG$2:AG1001,"")*$G873,"")</f>
        <v/>
      </c>
      <c r="AO873" s="179" t="str">
        <f t="array" ref="AO873">IF($F873&lt;&gt;"",XLOOKUP($F873,Productos!$A:$A,Productos!AH:AH,"Revisar"),"")</f>
        <v/>
      </c>
      <c r="AP873" s="179" t="str">
        <f t="array" ref="AP873">IF($F873&lt;&gt;"", XLOOKUP($F873,Productos!$A$2:$A1001,Productos!AI$2:AI1001,"")*$G873,"")</f>
        <v/>
      </c>
      <c r="AQ873" s="179" t="str">
        <f t="array" ref="AQ873">IF($F873&lt;&gt;"",XLOOKUP($F873,Productos!$A:$A,Productos!AJ:AJ,"Revisar"),"")</f>
        <v/>
      </c>
      <c r="AR873" s="179" t="str">
        <f t="array" ref="AR873">IF($F873&lt;&gt;"", XLOOKUP($F873,Productos!$A$2:$A1001,Productos!AK$2:AK1001,"")*$G873,"")</f>
        <v/>
      </c>
      <c r="AS873" s="179" t="str">
        <f t="array" ref="AS873">IF($F873&lt;&gt;"",XLOOKUP($F873,Productos!$A:$A,Productos!AL:AL,"Revisar"),"")</f>
        <v/>
      </c>
      <c r="AT873" s="179" t="str">
        <f t="array" ref="AT873">IF($F873&lt;&gt;"", XLOOKUP($F873,Productos!$A$2:$A1001,Productos!AM$2:AM1001,"")*$G873,"")</f>
        <v/>
      </c>
      <c r="AU873" s="179" t="str">
        <f t="array" ref="AU873">IF($F873&lt;&gt;"",XLOOKUP($F873,Productos!$A:$A,Productos!AN:AN,"Revisar"),"")</f>
        <v/>
      </c>
      <c r="AV873" s="179" t="str">
        <f t="array" ref="AV873">IF($F873&lt;&gt;"", XLOOKUP($F873,Productos!$A$2:$A1001,Productos!AO$2:AO1001,"")*$G873,"")</f>
        <v/>
      </c>
      <c r="AW873" s="179" t="str">
        <f t="array" ref="AW873">IF($F873&lt;&gt;"",XLOOKUP($F873,Productos!$A:$A,Productos!AP:AP,"Revisar"),"")</f>
        <v/>
      </c>
      <c r="AX873" s="179" t="str">
        <f t="array" ref="AX873">IF($F873&lt;&gt;"", XLOOKUP($F873,Productos!$A$2:$A1001,Productos!AQ$2:AQ1001,"")*$G873,"")</f>
        <v/>
      </c>
      <c r="AY873" s="179" t="str">
        <f t="array" ref="AY873">IF($F873&lt;&gt;"",XLOOKUP($F873,Productos!$A:$A,Productos!AR:AR,"Revisar"),"")</f>
        <v/>
      </c>
      <c r="AZ873" s="179" t="str">
        <f t="array" ref="AZ873">IF($F873&lt;&gt;"", XLOOKUP($F873,Productos!$A$2:$A1001,Productos!AS$2:AS1001,"")*$G873,"")</f>
        <v/>
      </c>
      <c r="BA873" s="179" t="str">
        <f t="array" ref="BA873">IF($F873&lt;&gt;"",XLOOKUP($F873,Productos!$A:$A,Productos!AT:AT,"Revisar"),"")</f>
        <v/>
      </c>
      <c r="BB873" s="179" t="str">
        <f t="array" ref="BB873">IF($F873&lt;&gt;"", XLOOKUP($F873,Productos!$A$2:$A1001,Productos!AU$2:AU1001,"")*$G873,"")</f>
        <v/>
      </c>
      <c r="BC873" s="179" t="str">
        <f t="array" ref="BC873">IF($F873&lt;&gt;"",XLOOKUP($F873,Productos!$A:$A,Productos!AV:AV,"Revisar"),"")</f>
        <v/>
      </c>
      <c r="BD873" s="179" t="str">
        <f t="array" ref="BD873">IF($F873&lt;&gt;"", XLOOKUP($F873,Productos!$A$2:$A1001,Productos!AW$2:AW1001,"")*$G873,"")</f>
        <v/>
      </c>
      <c r="BE873" s="179" t="str">
        <f t="array" ref="BE873">IF($F873&lt;&gt;"",XLOOKUP($F873,Productos!$A:$A,Productos!AX:AX,"Revisar"),"")</f>
        <v/>
      </c>
      <c r="BF873" s="179" t="str">
        <f t="array" ref="BF873">IF($F873&lt;&gt;"", XLOOKUP($F873,Productos!$A$2:$A1001,Productos!AY$2:AY1001,"")*$G873,"")</f>
        <v/>
      </c>
      <c r="BG873" s="179" t="str">
        <f t="array" ref="BG873">IF($F873&lt;&gt;"",XLOOKUP($F873,Productos!$A:$A,Productos!AZ:AZ,"Revisar"),"")</f>
        <v/>
      </c>
      <c r="BH873" s="179" t="str">
        <f t="array" ref="BH873">IF($F873&lt;&gt;"", XLOOKUP($F873,Productos!$A$2:$A1001,Productos!BA$2:BA1001,"")*$G873,"")</f>
        <v/>
      </c>
      <c r="BI873" s="179" t="str">
        <f t="array" ref="BI873">IF($F873&lt;&gt;"",XLOOKUP($F873,Productos!$A:$A,Productos!BB:BB,"Revisar"),"")</f>
        <v/>
      </c>
      <c r="BJ873" s="179" t="str">
        <f t="array" ref="BJ873">IF($F873&lt;&gt;"", XLOOKUP($F873,Productos!$A$2:$A1001,Productos!BC$2:BC1001,"")*$G873,"")</f>
        <v/>
      </c>
      <c r="BK873" s="179" t="str">
        <f t="array" ref="BK873">IF($F873&lt;&gt;"",XLOOKUP($F873,Productos!$A:$A,Productos!BD:BD,"Revisar"),"")</f>
        <v/>
      </c>
      <c r="BL873" s="179" t="str">
        <f t="array" ref="BL873">IF($F873&lt;&gt;"", XLOOKUP($F873,Productos!$A$2:$A1001,Productos!BE$2:BE1001,"")*$G873,"")</f>
        <v/>
      </c>
      <c r="BM873" s="179" t="str">
        <f t="array" ref="BM873">IF($F873&lt;&gt;"",XLOOKUP($F873,Productos!$A:$A,Productos!BF:BF,"Revisar"),"")</f>
        <v/>
      </c>
      <c r="BN873" s="179" t="str">
        <f t="array" ref="BN873">IF($F873&lt;&gt;"", XLOOKUP($F873,Productos!$A$2:$A1001,Productos!BG$2:BG1001,"")*$G873,"")</f>
        <v/>
      </c>
      <c r="BO873" s="179" t="str">
        <f t="array" ref="BO873">IF($F873&lt;&gt;"",XLOOKUP($F873,Productos!$A:$A,Productos!BH:BH,"Revisar"),"")</f>
        <v/>
      </c>
      <c r="BP873" s="179" t="str">
        <f t="array" ref="BP873">IF($F873&lt;&gt;"", XLOOKUP($F873,Productos!$A$2:$A1001,Productos!BI$2:BI1001,"")*$G873,"")</f>
        <v/>
      </c>
      <c r="BQ873" s="179" t="str">
        <f t="array" ref="BQ873">IF($F873&lt;&gt;"",XLOOKUP($F873,Productos!$A:$A,Productos!BJ:BJ,"Revisar"),"")</f>
        <v/>
      </c>
      <c r="BR873" s="179" t="str">
        <f t="array" ref="BR873">IF($F873&lt;&gt;"", XLOOKUP($F873,Productos!$A$2:$A1001,Productos!BK$2:BK1001,"")*$G873,"")</f>
        <v/>
      </c>
      <c r="BS873" s="179" t="str">
        <f t="array" ref="BS873">IF($F873&lt;&gt;"",XLOOKUP($F873,Productos!$A:$A,Productos!BL:BL,"Revisar"),"")</f>
        <v/>
      </c>
      <c r="BT873" s="179" t="str">
        <f t="array" ref="BT873">IF($F873&lt;&gt;"", XLOOKUP($F873,Productos!$A$2:$A1001,Productos!BM$2:BM1001,"")*$G873,"")</f>
        <v/>
      </c>
      <c r="BU873" s="179" t="str">
        <f t="array" ref="BU873">IF($F873&lt;&gt;"",XLOOKUP($F873,Productos!$A:$A,Productos!BN:BN,"Revisar"),"")</f>
        <v/>
      </c>
      <c r="BV873" s="179" t="str">
        <f t="array" ref="BV873">IF($F873&lt;&gt;"", XLOOKUP($F873,Productos!$A$2:$A1001,Productos!BO$2:BO1001,"")*$G873,"")</f>
        <v/>
      </c>
      <c r="BW873" s="179" t="str">
        <f t="array" ref="BW873">IF($F873&lt;&gt;"",XLOOKUP($F873,Productos!$A:$A,Productos!BP:BP,"Revisar"),"")</f>
        <v/>
      </c>
      <c r="BX873" s="179" t="str">
        <f t="array" ref="BX873">IF($F873&lt;&gt;"", XLOOKUP($F873,Productos!$A$2:$A1001,Productos!BQ$2:BQ1001,"")*$G873,"")</f>
        <v/>
      </c>
      <c r="BY873" s="179" t="str">
        <f t="array" ref="BY873">IF($F873&lt;&gt;"",XLOOKUP($F873,Productos!$A:$A,Productos!BR:BR,"Revisar"),"")</f>
        <v/>
      </c>
      <c r="BZ873" s="179" t="str">
        <f t="array" ref="BZ873">IF($F873&lt;&gt;"", XLOOKUP($F873,Productos!$A$2:$A1001,Productos!BS$2:BS1001,"")*$G873,"")</f>
        <v/>
      </c>
    </row>
    <row r="874">
      <c r="A874" s="188"/>
      <c r="B874" s="189"/>
      <c r="C874" s="190"/>
      <c r="D874" s="190"/>
      <c r="E874" s="191"/>
      <c r="F874" s="186"/>
      <c r="G874" s="192"/>
      <c r="H874" s="9"/>
      <c r="I874" s="179" t="str">
        <f t="array" ref="I874">IF($F874&lt;&gt;"",XLOOKUP($F874,Productos!$A:$A,Productos!B:B,"Revisar"),"")</f>
        <v/>
      </c>
      <c r="J874" s="179" t="str">
        <f t="array" ref="J874">IF($F874&lt;&gt;"", XLOOKUP($F874,Productos!$A$2:$A1001,Productos!C$2:C1001,"")*$G874,"")</f>
        <v/>
      </c>
      <c r="K874" s="179" t="str">
        <f t="array" ref="K874">IF($F874&lt;&gt;"",XLOOKUP($F874,Productos!$A:$A,Productos!D:D,"Revisar"),"")</f>
        <v/>
      </c>
      <c r="L874" s="179" t="str">
        <f t="array" ref="L874">IF($F874&lt;&gt;"", XLOOKUP($F874,Productos!$A$2:$A1001,Productos!E$2:E1001,"")*$G874,"")</f>
        <v/>
      </c>
      <c r="M874" s="179" t="str">
        <f t="array" ref="M874">IF($F874&lt;&gt;"",XLOOKUP($F874,Productos!$A:$A,Productos!F:F,"Revisar"),"")</f>
        <v/>
      </c>
      <c r="N874" s="179" t="str">
        <f t="array" ref="N874">IF($F874&lt;&gt;"", XLOOKUP($F874,Productos!$A$2:$A1001,Productos!G$2:G1001,"")*$G874,"")</f>
        <v/>
      </c>
      <c r="O874" s="179" t="str">
        <f t="array" ref="O874">IF($F874&lt;&gt;"",XLOOKUP($F874,Productos!$A:$A,Productos!H:H,"Revisar"),"")</f>
        <v/>
      </c>
      <c r="P874" s="179" t="str">
        <f t="array" ref="P874">IF($F874&lt;&gt;"", XLOOKUP($F874,Productos!$A$2:$A1001,Productos!I$2:I1001,"")*$G874,"")</f>
        <v/>
      </c>
      <c r="Q874" s="179" t="str">
        <f t="array" ref="Q874">IF($F874&lt;&gt;"",XLOOKUP($F874,Productos!$A:$A,Productos!J:J,"Revisar"),"")</f>
        <v/>
      </c>
      <c r="R874" s="179" t="str">
        <f t="array" ref="R874">IF($F874&lt;&gt;"", XLOOKUP($F874,Productos!$A$2:$A1001,Productos!K$2:K1001,"")*$G874,"")</f>
        <v/>
      </c>
      <c r="S874" s="179" t="str">
        <f t="array" ref="S874">IF($F874&lt;&gt;"",XLOOKUP($F874,Productos!$A:$A,Productos!L:L,"Revisar"),"")</f>
        <v/>
      </c>
      <c r="T874" s="179" t="str">
        <f t="array" ref="T874">IF($F874&lt;&gt;"", XLOOKUP($F874,Productos!$A$2:$A1001,Productos!M$2:M1001,"")*$G874,"")</f>
        <v/>
      </c>
      <c r="U874" s="179" t="str">
        <f t="array" ref="U874">IF($F874&lt;&gt;"",XLOOKUP($F874,Productos!$A:$A,Productos!N:N,"Revisar"),"")</f>
        <v/>
      </c>
      <c r="V874" s="179" t="str">
        <f t="array" ref="V874">IF($F874&lt;&gt;"", XLOOKUP($F874,Productos!$A$2:$A1001,Productos!O$2:O1001,"")*$G874,"")</f>
        <v/>
      </c>
      <c r="W874" s="179" t="str">
        <f t="array" ref="W874">IF($F874&lt;&gt;"",XLOOKUP($F874,Productos!$A:$A,Productos!P:P,"Revisar"),"")</f>
        <v/>
      </c>
      <c r="X874" s="179" t="str">
        <f t="array" ref="X874">IF($F874&lt;&gt;"", XLOOKUP($F874,Productos!$A$2:$A1001,Productos!Q$2:Q1001,"")*$G874,"")</f>
        <v/>
      </c>
      <c r="Y874" s="179" t="str">
        <f t="array" ref="Y874">IF($F874&lt;&gt;"",XLOOKUP($F874,Productos!$A:$A,Productos!R:R,"Revisar"),"")</f>
        <v/>
      </c>
      <c r="Z874" s="179" t="str">
        <f t="array" ref="Z874">IF($F874&lt;&gt;"", XLOOKUP($F874,Productos!$A$2:$A1001,Productos!S$2:S1001,"")*$G874,"")</f>
        <v/>
      </c>
      <c r="AA874" s="179" t="str">
        <f t="array" ref="AA874">IF($F874&lt;&gt;"",XLOOKUP($F874,Productos!$A:$A,Productos!T:T,"Revisar"),"")</f>
        <v/>
      </c>
      <c r="AB874" s="179" t="str">
        <f t="array" ref="AB874">IF($F874&lt;&gt;"", XLOOKUP($F874,Productos!$A$2:$A1001,Productos!U$2:U1001,"")*$G874,"")</f>
        <v/>
      </c>
      <c r="AC874" s="179" t="str">
        <f t="array" ref="AC874">IF($F874&lt;&gt;"",XLOOKUP($F874,Productos!$A:$A,Productos!V:V,"Revisar"),"")</f>
        <v/>
      </c>
      <c r="AD874" s="179" t="str">
        <f t="array" ref="AD874">IF($F874&lt;&gt;"", XLOOKUP($F874,Productos!$A$2:$A1001,Productos!W$2:W1001,"")*$G874,"")</f>
        <v/>
      </c>
      <c r="AE874" s="179" t="str">
        <f t="array" ref="AE874">IF($F874&lt;&gt;"",XLOOKUP($F874,Productos!$A:$A,Productos!X:X,"Revisar"),"")</f>
        <v/>
      </c>
      <c r="AF874" s="179" t="str">
        <f t="array" ref="AF874">IF($F874&lt;&gt;"", XLOOKUP($F874,Productos!$A$2:$A1001,Productos!Y$2:Y1001,"")*$G874,"")</f>
        <v/>
      </c>
      <c r="AG874" s="179" t="str">
        <f t="array" ref="AG874">IF($F874&lt;&gt;"",XLOOKUP($F874,Productos!$A:$A,Productos!Z:Z,"Revisar"),"")</f>
        <v/>
      </c>
      <c r="AH874" s="179" t="str">
        <f t="array" ref="AH874">IF($F874&lt;&gt;"", XLOOKUP($F874,Productos!$A$2:$A1001,Productos!AA$2:AA1001,"")*$G874,"")</f>
        <v/>
      </c>
      <c r="AI874" s="179" t="str">
        <f t="array" ref="AI874">IF($F874&lt;&gt;"",XLOOKUP($F874,Productos!$A:$A,Productos!AB:AB,"Revisar"),"")</f>
        <v/>
      </c>
      <c r="AJ874" s="179" t="str">
        <f t="array" ref="AJ874">IF($F874&lt;&gt;"", XLOOKUP($F874,Productos!$A$2:$A1001,Productos!AC$2:AC1001,"")*$G874,"")</f>
        <v/>
      </c>
      <c r="AK874" s="179" t="str">
        <f t="array" ref="AK874">IF($F874&lt;&gt;"",XLOOKUP($F874,Productos!$A:$A,Productos!AD:AD,"Revisar"),"")</f>
        <v/>
      </c>
      <c r="AL874" s="179" t="str">
        <f t="array" ref="AL874">IF($F874&lt;&gt;"", XLOOKUP($F874,Productos!$A$2:$A1001,Productos!AE$2:AE1001,"")*$G874,"")</f>
        <v/>
      </c>
      <c r="AM874" s="179" t="str">
        <f t="array" ref="AM874">IF($F874&lt;&gt;"",XLOOKUP($F874,Productos!$A:$A,Productos!AF:AF,"Revisar"),"")</f>
        <v/>
      </c>
      <c r="AN874" s="179" t="str">
        <f t="array" ref="AN874">IF($F874&lt;&gt;"", XLOOKUP($F874,Productos!$A$2:$A1001,Productos!AG$2:AG1001,"")*$G874,"")</f>
        <v/>
      </c>
      <c r="AO874" s="179" t="str">
        <f t="array" ref="AO874">IF($F874&lt;&gt;"",XLOOKUP($F874,Productos!$A:$A,Productos!AH:AH,"Revisar"),"")</f>
        <v/>
      </c>
      <c r="AP874" s="179" t="str">
        <f t="array" ref="AP874">IF($F874&lt;&gt;"", XLOOKUP($F874,Productos!$A$2:$A1001,Productos!AI$2:AI1001,"")*$G874,"")</f>
        <v/>
      </c>
      <c r="AQ874" s="179" t="str">
        <f t="array" ref="AQ874">IF($F874&lt;&gt;"",XLOOKUP($F874,Productos!$A:$A,Productos!AJ:AJ,"Revisar"),"")</f>
        <v/>
      </c>
      <c r="AR874" s="179" t="str">
        <f t="array" ref="AR874">IF($F874&lt;&gt;"", XLOOKUP($F874,Productos!$A$2:$A1001,Productos!AK$2:AK1001,"")*$G874,"")</f>
        <v/>
      </c>
      <c r="AS874" s="179" t="str">
        <f t="array" ref="AS874">IF($F874&lt;&gt;"",XLOOKUP($F874,Productos!$A:$A,Productos!AL:AL,"Revisar"),"")</f>
        <v/>
      </c>
      <c r="AT874" s="179" t="str">
        <f t="array" ref="AT874">IF($F874&lt;&gt;"", XLOOKUP($F874,Productos!$A$2:$A1001,Productos!AM$2:AM1001,"")*$G874,"")</f>
        <v/>
      </c>
      <c r="AU874" s="179" t="str">
        <f t="array" ref="AU874">IF($F874&lt;&gt;"",XLOOKUP($F874,Productos!$A:$A,Productos!AN:AN,"Revisar"),"")</f>
        <v/>
      </c>
      <c r="AV874" s="179" t="str">
        <f t="array" ref="AV874">IF($F874&lt;&gt;"", XLOOKUP($F874,Productos!$A$2:$A1001,Productos!AO$2:AO1001,"")*$G874,"")</f>
        <v/>
      </c>
      <c r="AW874" s="179" t="str">
        <f t="array" ref="AW874">IF($F874&lt;&gt;"",XLOOKUP($F874,Productos!$A:$A,Productos!AP:AP,"Revisar"),"")</f>
        <v/>
      </c>
      <c r="AX874" s="179" t="str">
        <f t="array" ref="AX874">IF($F874&lt;&gt;"", XLOOKUP($F874,Productos!$A$2:$A1001,Productos!AQ$2:AQ1001,"")*$G874,"")</f>
        <v/>
      </c>
      <c r="AY874" s="179" t="str">
        <f t="array" ref="AY874">IF($F874&lt;&gt;"",XLOOKUP($F874,Productos!$A:$A,Productos!AR:AR,"Revisar"),"")</f>
        <v/>
      </c>
      <c r="AZ874" s="179" t="str">
        <f t="array" ref="AZ874">IF($F874&lt;&gt;"", XLOOKUP($F874,Productos!$A$2:$A1001,Productos!AS$2:AS1001,"")*$G874,"")</f>
        <v/>
      </c>
      <c r="BA874" s="179" t="str">
        <f t="array" ref="BA874">IF($F874&lt;&gt;"",XLOOKUP($F874,Productos!$A:$A,Productos!AT:AT,"Revisar"),"")</f>
        <v/>
      </c>
      <c r="BB874" s="179" t="str">
        <f t="array" ref="BB874">IF($F874&lt;&gt;"", XLOOKUP($F874,Productos!$A$2:$A1001,Productos!AU$2:AU1001,"")*$G874,"")</f>
        <v/>
      </c>
      <c r="BC874" s="179" t="str">
        <f t="array" ref="BC874">IF($F874&lt;&gt;"",XLOOKUP($F874,Productos!$A:$A,Productos!AV:AV,"Revisar"),"")</f>
        <v/>
      </c>
      <c r="BD874" s="179" t="str">
        <f t="array" ref="BD874">IF($F874&lt;&gt;"", XLOOKUP($F874,Productos!$A$2:$A1001,Productos!AW$2:AW1001,"")*$G874,"")</f>
        <v/>
      </c>
      <c r="BE874" s="179" t="str">
        <f t="array" ref="BE874">IF($F874&lt;&gt;"",XLOOKUP($F874,Productos!$A:$A,Productos!AX:AX,"Revisar"),"")</f>
        <v/>
      </c>
      <c r="BF874" s="179" t="str">
        <f t="array" ref="BF874">IF($F874&lt;&gt;"", XLOOKUP($F874,Productos!$A$2:$A1001,Productos!AY$2:AY1001,"")*$G874,"")</f>
        <v/>
      </c>
      <c r="BG874" s="179" t="str">
        <f t="array" ref="BG874">IF($F874&lt;&gt;"",XLOOKUP($F874,Productos!$A:$A,Productos!AZ:AZ,"Revisar"),"")</f>
        <v/>
      </c>
      <c r="BH874" s="179" t="str">
        <f t="array" ref="BH874">IF($F874&lt;&gt;"", XLOOKUP($F874,Productos!$A$2:$A1001,Productos!BA$2:BA1001,"")*$G874,"")</f>
        <v/>
      </c>
      <c r="BI874" s="179" t="str">
        <f t="array" ref="BI874">IF($F874&lt;&gt;"",XLOOKUP($F874,Productos!$A:$A,Productos!BB:BB,"Revisar"),"")</f>
        <v/>
      </c>
      <c r="BJ874" s="179" t="str">
        <f t="array" ref="BJ874">IF($F874&lt;&gt;"", XLOOKUP($F874,Productos!$A$2:$A1001,Productos!BC$2:BC1001,"")*$G874,"")</f>
        <v/>
      </c>
      <c r="BK874" s="179" t="str">
        <f t="array" ref="BK874">IF($F874&lt;&gt;"",XLOOKUP($F874,Productos!$A:$A,Productos!BD:BD,"Revisar"),"")</f>
        <v/>
      </c>
      <c r="BL874" s="179" t="str">
        <f t="array" ref="BL874">IF($F874&lt;&gt;"", XLOOKUP($F874,Productos!$A$2:$A1001,Productos!BE$2:BE1001,"")*$G874,"")</f>
        <v/>
      </c>
      <c r="BM874" s="179" t="str">
        <f t="array" ref="BM874">IF($F874&lt;&gt;"",XLOOKUP($F874,Productos!$A:$A,Productos!BF:BF,"Revisar"),"")</f>
        <v/>
      </c>
      <c r="BN874" s="179" t="str">
        <f t="array" ref="BN874">IF($F874&lt;&gt;"", XLOOKUP($F874,Productos!$A$2:$A1001,Productos!BG$2:BG1001,"")*$G874,"")</f>
        <v/>
      </c>
      <c r="BO874" s="179" t="str">
        <f t="array" ref="BO874">IF($F874&lt;&gt;"",XLOOKUP($F874,Productos!$A:$A,Productos!BH:BH,"Revisar"),"")</f>
        <v/>
      </c>
      <c r="BP874" s="179" t="str">
        <f t="array" ref="BP874">IF($F874&lt;&gt;"", XLOOKUP($F874,Productos!$A$2:$A1001,Productos!BI$2:BI1001,"")*$G874,"")</f>
        <v/>
      </c>
      <c r="BQ874" s="179" t="str">
        <f t="array" ref="BQ874">IF($F874&lt;&gt;"",XLOOKUP($F874,Productos!$A:$A,Productos!BJ:BJ,"Revisar"),"")</f>
        <v/>
      </c>
      <c r="BR874" s="179" t="str">
        <f t="array" ref="BR874">IF($F874&lt;&gt;"", XLOOKUP($F874,Productos!$A$2:$A1001,Productos!BK$2:BK1001,"")*$G874,"")</f>
        <v/>
      </c>
      <c r="BS874" s="179" t="str">
        <f t="array" ref="BS874">IF($F874&lt;&gt;"",XLOOKUP($F874,Productos!$A:$A,Productos!BL:BL,"Revisar"),"")</f>
        <v/>
      </c>
      <c r="BT874" s="179" t="str">
        <f t="array" ref="BT874">IF($F874&lt;&gt;"", XLOOKUP($F874,Productos!$A$2:$A1001,Productos!BM$2:BM1001,"")*$G874,"")</f>
        <v/>
      </c>
      <c r="BU874" s="179" t="str">
        <f t="array" ref="BU874">IF($F874&lt;&gt;"",XLOOKUP($F874,Productos!$A:$A,Productos!BN:BN,"Revisar"),"")</f>
        <v/>
      </c>
      <c r="BV874" s="179" t="str">
        <f t="array" ref="BV874">IF($F874&lt;&gt;"", XLOOKUP($F874,Productos!$A$2:$A1001,Productos!BO$2:BO1001,"")*$G874,"")</f>
        <v/>
      </c>
      <c r="BW874" s="179" t="str">
        <f t="array" ref="BW874">IF($F874&lt;&gt;"",XLOOKUP($F874,Productos!$A:$A,Productos!BP:BP,"Revisar"),"")</f>
        <v/>
      </c>
      <c r="BX874" s="179" t="str">
        <f t="array" ref="BX874">IF($F874&lt;&gt;"", XLOOKUP($F874,Productos!$A$2:$A1001,Productos!BQ$2:BQ1001,"")*$G874,"")</f>
        <v/>
      </c>
      <c r="BY874" s="179" t="str">
        <f t="array" ref="BY874">IF($F874&lt;&gt;"",XLOOKUP($F874,Productos!$A:$A,Productos!BR:BR,"Revisar"),"")</f>
        <v/>
      </c>
      <c r="BZ874" s="179" t="str">
        <f t="array" ref="BZ874">IF($F874&lt;&gt;"", XLOOKUP($F874,Productos!$A$2:$A1001,Productos!BS$2:BS1001,"")*$G874,"")</f>
        <v/>
      </c>
    </row>
    <row r="875">
      <c r="A875" s="188"/>
      <c r="B875" s="189"/>
      <c r="C875" s="190"/>
      <c r="D875" s="190"/>
      <c r="E875" s="191"/>
      <c r="F875" s="186"/>
      <c r="G875" s="192"/>
      <c r="H875" s="9"/>
      <c r="I875" s="179" t="str">
        <f t="array" ref="I875">IF($F875&lt;&gt;"",XLOOKUP($F875,Productos!$A:$A,Productos!B:B,"Revisar"),"")</f>
        <v/>
      </c>
      <c r="J875" s="179" t="str">
        <f t="array" ref="J875">IF($F875&lt;&gt;"", XLOOKUP($F875,Productos!$A$2:$A1001,Productos!C$2:C1001,"")*$G875,"")</f>
        <v/>
      </c>
      <c r="K875" s="179" t="str">
        <f t="array" ref="K875">IF($F875&lt;&gt;"",XLOOKUP($F875,Productos!$A:$A,Productos!D:D,"Revisar"),"")</f>
        <v/>
      </c>
      <c r="L875" s="179" t="str">
        <f t="array" ref="L875">IF($F875&lt;&gt;"", XLOOKUP($F875,Productos!$A$2:$A1001,Productos!E$2:E1001,"")*$G875,"")</f>
        <v/>
      </c>
      <c r="M875" s="179" t="str">
        <f t="array" ref="M875">IF($F875&lt;&gt;"",XLOOKUP($F875,Productos!$A:$A,Productos!F:F,"Revisar"),"")</f>
        <v/>
      </c>
      <c r="N875" s="179" t="str">
        <f t="array" ref="N875">IF($F875&lt;&gt;"", XLOOKUP($F875,Productos!$A$2:$A1001,Productos!G$2:G1001,"")*$G875,"")</f>
        <v/>
      </c>
      <c r="O875" s="179" t="str">
        <f t="array" ref="O875">IF($F875&lt;&gt;"",XLOOKUP($F875,Productos!$A:$A,Productos!H:H,"Revisar"),"")</f>
        <v/>
      </c>
      <c r="P875" s="179" t="str">
        <f t="array" ref="P875">IF($F875&lt;&gt;"", XLOOKUP($F875,Productos!$A$2:$A1001,Productos!I$2:I1001,"")*$G875,"")</f>
        <v/>
      </c>
      <c r="Q875" s="179" t="str">
        <f t="array" ref="Q875">IF($F875&lt;&gt;"",XLOOKUP($F875,Productos!$A:$A,Productos!J:J,"Revisar"),"")</f>
        <v/>
      </c>
      <c r="R875" s="179" t="str">
        <f t="array" ref="R875">IF($F875&lt;&gt;"", XLOOKUP($F875,Productos!$A$2:$A1001,Productos!K$2:K1001,"")*$G875,"")</f>
        <v/>
      </c>
      <c r="S875" s="179" t="str">
        <f t="array" ref="S875">IF($F875&lt;&gt;"",XLOOKUP($F875,Productos!$A:$A,Productos!L:L,"Revisar"),"")</f>
        <v/>
      </c>
      <c r="T875" s="179" t="str">
        <f t="array" ref="T875">IF($F875&lt;&gt;"", XLOOKUP($F875,Productos!$A$2:$A1001,Productos!M$2:M1001,"")*$G875,"")</f>
        <v/>
      </c>
      <c r="U875" s="179" t="str">
        <f t="array" ref="U875">IF($F875&lt;&gt;"",XLOOKUP($F875,Productos!$A:$A,Productos!N:N,"Revisar"),"")</f>
        <v/>
      </c>
      <c r="V875" s="179" t="str">
        <f t="array" ref="V875">IF($F875&lt;&gt;"", XLOOKUP($F875,Productos!$A$2:$A1001,Productos!O$2:O1001,"")*$G875,"")</f>
        <v/>
      </c>
      <c r="W875" s="179" t="str">
        <f t="array" ref="W875">IF($F875&lt;&gt;"",XLOOKUP($F875,Productos!$A:$A,Productos!P:P,"Revisar"),"")</f>
        <v/>
      </c>
      <c r="X875" s="179" t="str">
        <f t="array" ref="X875">IF($F875&lt;&gt;"", XLOOKUP($F875,Productos!$A$2:$A1001,Productos!Q$2:Q1001,"")*$G875,"")</f>
        <v/>
      </c>
      <c r="Y875" s="179" t="str">
        <f t="array" ref="Y875">IF($F875&lt;&gt;"",XLOOKUP($F875,Productos!$A:$A,Productos!R:R,"Revisar"),"")</f>
        <v/>
      </c>
      <c r="Z875" s="179" t="str">
        <f t="array" ref="Z875">IF($F875&lt;&gt;"", XLOOKUP($F875,Productos!$A$2:$A1001,Productos!S$2:S1001,"")*$G875,"")</f>
        <v/>
      </c>
      <c r="AA875" s="179" t="str">
        <f t="array" ref="AA875">IF($F875&lt;&gt;"",XLOOKUP($F875,Productos!$A:$A,Productos!T:T,"Revisar"),"")</f>
        <v/>
      </c>
      <c r="AB875" s="179" t="str">
        <f t="array" ref="AB875">IF($F875&lt;&gt;"", XLOOKUP($F875,Productos!$A$2:$A1001,Productos!U$2:U1001,"")*$G875,"")</f>
        <v/>
      </c>
      <c r="AC875" s="179" t="str">
        <f t="array" ref="AC875">IF($F875&lt;&gt;"",XLOOKUP($F875,Productos!$A:$A,Productos!V:V,"Revisar"),"")</f>
        <v/>
      </c>
      <c r="AD875" s="179" t="str">
        <f t="array" ref="AD875">IF($F875&lt;&gt;"", XLOOKUP($F875,Productos!$A$2:$A1001,Productos!W$2:W1001,"")*$G875,"")</f>
        <v/>
      </c>
      <c r="AE875" s="179" t="str">
        <f t="array" ref="AE875">IF($F875&lt;&gt;"",XLOOKUP($F875,Productos!$A:$A,Productos!X:X,"Revisar"),"")</f>
        <v/>
      </c>
      <c r="AF875" s="179" t="str">
        <f t="array" ref="AF875">IF($F875&lt;&gt;"", XLOOKUP($F875,Productos!$A$2:$A1001,Productos!Y$2:Y1001,"")*$G875,"")</f>
        <v/>
      </c>
      <c r="AG875" s="179" t="str">
        <f t="array" ref="AG875">IF($F875&lt;&gt;"",XLOOKUP($F875,Productos!$A:$A,Productos!Z:Z,"Revisar"),"")</f>
        <v/>
      </c>
      <c r="AH875" s="179" t="str">
        <f t="array" ref="AH875">IF($F875&lt;&gt;"", XLOOKUP($F875,Productos!$A$2:$A1001,Productos!AA$2:AA1001,"")*$G875,"")</f>
        <v/>
      </c>
      <c r="AI875" s="179" t="str">
        <f t="array" ref="AI875">IF($F875&lt;&gt;"",XLOOKUP($F875,Productos!$A:$A,Productos!AB:AB,"Revisar"),"")</f>
        <v/>
      </c>
      <c r="AJ875" s="179" t="str">
        <f t="array" ref="AJ875">IF($F875&lt;&gt;"", XLOOKUP($F875,Productos!$A$2:$A1001,Productos!AC$2:AC1001,"")*$G875,"")</f>
        <v/>
      </c>
      <c r="AK875" s="179" t="str">
        <f t="array" ref="AK875">IF($F875&lt;&gt;"",XLOOKUP($F875,Productos!$A:$A,Productos!AD:AD,"Revisar"),"")</f>
        <v/>
      </c>
      <c r="AL875" s="179" t="str">
        <f t="array" ref="AL875">IF($F875&lt;&gt;"", XLOOKUP($F875,Productos!$A$2:$A1001,Productos!AE$2:AE1001,"")*$G875,"")</f>
        <v/>
      </c>
      <c r="AM875" s="179" t="str">
        <f t="array" ref="AM875">IF($F875&lt;&gt;"",XLOOKUP($F875,Productos!$A:$A,Productos!AF:AF,"Revisar"),"")</f>
        <v/>
      </c>
      <c r="AN875" s="179" t="str">
        <f t="array" ref="AN875">IF($F875&lt;&gt;"", XLOOKUP($F875,Productos!$A$2:$A1001,Productos!AG$2:AG1001,"")*$G875,"")</f>
        <v/>
      </c>
      <c r="AO875" s="179" t="str">
        <f t="array" ref="AO875">IF($F875&lt;&gt;"",XLOOKUP($F875,Productos!$A:$A,Productos!AH:AH,"Revisar"),"")</f>
        <v/>
      </c>
      <c r="AP875" s="179" t="str">
        <f t="array" ref="AP875">IF($F875&lt;&gt;"", XLOOKUP($F875,Productos!$A$2:$A1001,Productos!AI$2:AI1001,"")*$G875,"")</f>
        <v/>
      </c>
      <c r="AQ875" s="179" t="str">
        <f t="array" ref="AQ875">IF($F875&lt;&gt;"",XLOOKUP($F875,Productos!$A:$A,Productos!AJ:AJ,"Revisar"),"")</f>
        <v/>
      </c>
      <c r="AR875" s="179" t="str">
        <f t="array" ref="AR875">IF($F875&lt;&gt;"", XLOOKUP($F875,Productos!$A$2:$A1001,Productos!AK$2:AK1001,"")*$G875,"")</f>
        <v/>
      </c>
      <c r="AS875" s="179" t="str">
        <f t="array" ref="AS875">IF($F875&lt;&gt;"",XLOOKUP($F875,Productos!$A:$A,Productos!AL:AL,"Revisar"),"")</f>
        <v/>
      </c>
      <c r="AT875" s="179" t="str">
        <f t="array" ref="AT875">IF($F875&lt;&gt;"", XLOOKUP($F875,Productos!$A$2:$A1001,Productos!AM$2:AM1001,"")*$G875,"")</f>
        <v/>
      </c>
      <c r="AU875" s="179" t="str">
        <f t="array" ref="AU875">IF($F875&lt;&gt;"",XLOOKUP($F875,Productos!$A:$A,Productos!AN:AN,"Revisar"),"")</f>
        <v/>
      </c>
      <c r="AV875" s="179" t="str">
        <f t="array" ref="AV875">IF($F875&lt;&gt;"", XLOOKUP($F875,Productos!$A$2:$A1001,Productos!AO$2:AO1001,"")*$G875,"")</f>
        <v/>
      </c>
      <c r="AW875" s="179" t="str">
        <f t="array" ref="AW875">IF($F875&lt;&gt;"",XLOOKUP($F875,Productos!$A:$A,Productos!AP:AP,"Revisar"),"")</f>
        <v/>
      </c>
      <c r="AX875" s="179" t="str">
        <f t="array" ref="AX875">IF($F875&lt;&gt;"", XLOOKUP($F875,Productos!$A$2:$A1001,Productos!AQ$2:AQ1001,"")*$G875,"")</f>
        <v/>
      </c>
      <c r="AY875" s="179" t="str">
        <f t="array" ref="AY875">IF($F875&lt;&gt;"",XLOOKUP($F875,Productos!$A:$A,Productos!AR:AR,"Revisar"),"")</f>
        <v/>
      </c>
      <c r="AZ875" s="179" t="str">
        <f t="array" ref="AZ875">IF($F875&lt;&gt;"", XLOOKUP($F875,Productos!$A$2:$A1001,Productos!AS$2:AS1001,"")*$G875,"")</f>
        <v/>
      </c>
      <c r="BA875" s="179" t="str">
        <f t="array" ref="BA875">IF($F875&lt;&gt;"",XLOOKUP($F875,Productos!$A:$A,Productos!AT:AT,"Revisar"),"")</f>
        <v/>
      </c>
      <c r="BB875" s="179" t="str">
        <f t="array" ref="BB875">IF($F875&lt;&gt;"", XLOOKUP($F875,Productos!$A$2:$A1001,Productos!AU$2:AU1001,"")*$G875,"")</f>
        <v/>
      </c>
      <c r="BC875" s="179" t="str">
        <f t="array" ref="BC875">IF($F875&lt;&gt;"",XLOOKUP($F875,Productos!$A:$A,Productos!AV:AV,"Revisar"),"")</f>
        <v/>
      </c>
      <c r="BD875" s="179" t="str">
        <f t="array" ref="BD875">IF($F875&lt;&gt;"", XLOOKUP($F875,Productos!$A$2:$A1001,Productos!AW$2:AW1001,"")*$G875,"")</f>
        <v/>
      </c>
      <c r="BE875" s="179" t="str">
        <f t="array" ref="BE875">IF($F875&lt;&gt;"",XLOOKUP($F875,Productos!$A:$A,Productos!AX:AX,"Revisar"),"")</f>
        <v/>
      </c>
      <c r="BF875" s="179" t="str">
        <f t="array" ref="BF875">IF($F875&lt;&gt;"", XLOOKUP($F875,Productos!$A$2:$A1001,Productos!AY$2:AY1001,"")*$G875,"")</f>
        <v/>
      </c>
      <c r="BG875" s="179" t="str">
        <f t="array" ref="BG875">IF($F875&lt;&gt;"",XLOOKUP($F875,Productos!$A:$A,Productos!AZ:AZ,"Revisar"),"")</f>
        <v/>
      </c>
      <c r="BH875" s="179" t="str">
        <f t="array" ref="BH875">IF($F875&lt;&gt;"", XLOOKUP($F875,Productos!$A$2:$A1001,Productos!BA$2:BA1001,"")*$G875,"")</f>
        <v/>
      </c>
      <c r="BI875" s="179" t="str">
        <f t="array" ref="BI875">IF($F875&lt;&gt;"",XLOOKUP($F875,Productos!$A:$A,Productos!BB:BB,"Revisar"),"")</f>
        <v/>
      </c>
      <c r="BJ875" s="179" t="str">
        <f t="array" ref="BJ875">IF($F875&lt;&gt;"", XLOOKUP($F875,Productos!$A$2:$A1001,Productos!BC$2:BC1001,"")*$G875,"")</f>
        <v/>
      </c>
      <c r="BK875" s="179" t="str">
        <f t="array" ref="BK875">IF($F875&lt;&gt;"",XLOOKUP($F875,Productos!$A:$A,Productos!BD:BD,"Revisar"),"")</f>
        <v/>
      </c>
      <c r="BL875" s="179" t="str">
        <f t="array" ref="BL875">IF($F875&lt;&gt;"", XLOOKUP($F875,Productos!$A$2:$A1001,Productos!BE$2:BE1001,"")*$G875,"")</f>
        <v/>
      </c>
      <c r="BM875" s="179" t="str">
        <f t="array" ref="BM875">IF($F875&lt;&gt;"",XLOOKUP($F875,Productos!$A:$A,Productos!BF:BF,"Revisar"),"")</f>
        <v/>
      </c>
      <c r="BN875" s="179" t="str">
        <f t="array" ref="BN875">IF($F875&lt;&gt;"", XLOOKUP($F875,Productos!$A$2:$A1001,Productos!BG$2:BG1001,"")*$G875,"")</f>
        <v/>
      </c>
      <c r="BO875" s="179" t="str">
        <f t="array" ref="BO875">IF($F875&lt;&gt;"",XLOOKUP($F875,Productos!$A:$A,Productos!BH:BH,"Revisar"),"")</f>
        <v/>
      </c>
      <c r="BP875" s="179" t="str">
        <f t="array" ref="BP875">IF($F875&lt;&gt;"", XLOOKUP($F875,Productos!$A$2:$A1001,Productos!BI$2:BI1001,"")*$G875,"")</f>
        <v/>
      </c>
      <c r="BQ875" s="179" t="str">
        <f t="array" ref="BQ875">IF($F875&lt;&gt;"",XLOOKUP($F875,Productos!$A:$A,Productos!BJ:BJ,"Revisar"),"")</f>
        <v/>
      </c>
      <c r="BR875" s="179" t="str">
        <f t="array" ref="BR875">IF($F875&lt;&gt;"", XLOOKUP($F875,Productos!$A$2:$A1001,Productos!BK$2:BK1001,"")*$G875,"")</f>
        <v/>
      </c>
      <c r="BS875" s="179" t="str">
        <f t="array" ref="BS875">IF($F875&lt;&gt;"",XLOOKUP($F875,Productos!$A:$A,Productos!BL:BL,"Revisar"),"")</f>
        <v/>
      </c>
      <c r="BT875" s="179" t="str">
        <f t="array" ref="BT875">IF($F875&lt;&gt;"", XLOOKUP($F875,Productos!$A$2:$A1001,Productos!BM$2:BM1001,"")*$G875,"")</f>
        <v/>
      </c>
      <c r="BU875" s="179" t="str">
        <f t="array" ref="BU875">IF($F875&lt;&gt;"",XLOOKUP($F875,Productos!$A:$A,Productos!BN:BN,"Revisar"),"")</f>
        <v/>
      </c>
      <c r="BV875" s="179" t="str">
        <f t="array" ref="BV875">IF($F875&lt;&gt;"", XLOOKUP($F875,Productos!$A$2:$A1001,Productos!BO$2:BO1001,"")*$G875,"")</f>
        <v/>
      </c>
      <c r="BW875" s="179" t="str">
        <f t="array" ref="BW875">IF($F875&lt;&gt;"",XLOOKUP($F875,Productos!$A:$A,Productos!BP:BP,"Revisar"),"")</f>
        <v/>
      </c>
      <c r="BX875" s="179" t="str">
        <f t="array" ref="BX875">IF($F875&lt;&gt;"", XLOOKUP($F875,Productos!$A$2:$A1001,Productos!BQ$2:BQ1001,"")*$G875,"")</f>
        <v/>
      </c>
      <c r="BY875" s="179" t="str">
        <f t="array" ref="BY875">IF($F875&lt;&gt;"",XLOOKUP($F875,Productos!$A:$A,Productos!BR:BR,"Revisar"),"")</f>
        <v/>
      </c>
      <c r="BZ875" s="179" t="str">
        <f t="array" ref="BZ875">IF($F875&lt;&gt;"", XLOOKUP($F875,Productos!$A$2:$A1001,Productos!BS$2:BS1001,"")*$G875,"")</f>
        <v/>
      </c>
    </row>
    <row r="876">
      <c r="A876" s="188"/>
      <c r="B876" s="189"/>
      <c r="C876" s="190"/>
      <c r="D876" s="190"/>
      <c r="E876" s="191"/>
      <c r="F876" s="186"/>
      <c r="G876" s="192"/>
      <c r="H876" s="9"/>
      <c r="I876" s="179" t="str">
        <f t="array" ref="I876">IF($F876&lt;&gt;"",XLOOKUP($F876,Productos!$A:$A,Productos!B:B,"Revisar"),"")</f>
        <v/>
      </c>
      <c r="J876" s="179" t="str">
        <f t="array" ref="J876">IF($F876&lt;&gt;"", XLOOKUP($F876,Productos!$A$2:$A1001,Productos!C$2:C1001,"")*$G876,"")</f>
        <v/>
      </c>
      <c r="K876" s="179" t="str">
        <f t="array" ref="K876">IF($F876&lt;&gt;"",XLOOKUP($F876,Productos!$A:$A,Productos!D:D,"Revisar"),"")</f>
        <v/>
      </c>
      <c r="L876" s="179" t="str">
        <f t="array" ref="L876">IF($F876&lt;&gt;"", XLOOKUP($F876,Productos!$A$2:$A1001,Productos!E$2:E1001,"")*$G876,"")</f>
        <v/>
      </c>
      <c r="M876" s="179" t="str">
        <f t="array" ref="M876">IF($F876&lt;&gt;"",XLOOKUP($F876,Productos!$A:$A,Productos!F:F,"Revisar"),"")</f>
        <v/>
      </c>
      <c r="N876" s="179" t="str">
        <f t="array" ref="N876">IF($F876&lt;&gt;"", XLOOKUP($F876,Productos!$A$2:$A1001,Productos!G$2:G1001,"")*$G876,"")</f>
        <v/>
      </c>
      <c r="O876" s="179" t="str">
        <f t="array" ref="O876">IF($F876&lt;&gt;"",XLOOKUP($F876,Productos!$A:$A,Productos!H:H,"Revisar"),"")</f>
        <v/>
      </c>
      <c r="P876" s="179" t="str">
        <f t="array" ref="P876">IF($F876&lt;&gt;"", XLOOKUP($F876,Productos!$A$2:$A1001,Productos!I$2:I1001,"")*$G876,"")</f>
        <v/>
      </c>
      <c r="Q876" s="179" t="str">
        <f t="array" ref="Q876">IF($F876&lt;&gt;"",XLOOKUP($F876,Productos!$A:$A,Productos!J:J,"Revisar"),"")</f>
        <v/>
      </c>
      <c r="R876" s="179" t="str">
        <f t="array" ref="R876">IF($F876&lt;&gt;"", XLOOKUP($F876,Productos!$A$2:$A1001,Productos!K$2:K1001,"")*$G876,"")</f>
        <v/>
      </c>
      <c r="S876" s="179" t="str">
        <f t="array" ref="S876">IF($F876&lt;&gt;"",XLOOKUP($F876,Productos!$A:$A,Productos!L:L,"Revisar"),"")</f>
        <v/>
      </c>
      <c r="T876" s="179" t="str">
        <f t="array" ref="T876">IF($F876&lt;&gt;"", XLOOKUP($F876,Productos!$A$2:$A1001,Productos!M$2:M1001,"")*$G876,"")</f>
        <v/>
      </c>
      <c r="U876" s="179" t="str">
        <f t="array" ref="U876">IF($F876&lt;&gt;"",XLOOKUP($F876,Productos!$A:$A,Productos!N:N,"Revisar"),"")</f>
        <v/>
      </c>
      <c r="V876" s="179" t="str">
        <f t="array" ref="V876">IF($F876&lt;&gt;"", XLOOKUP($F876,Productos!$A$2:$A1001,Productos!O$2:O1001,"")*$G876,"")</f>
        <v/>
      </c>
      <c r="W876" s="179" t="str">
        <f t="array" ref="W876">IF($F876&lt;&gt;"",XLOOKUP($F876,Productos!$A:$A,Productos!P:P,"Revisar"),"")</f>
        <v/>
      </c>
      <c r="X876" s="179" t="str">
        <f t="array" ref="X876">IF($F876&lt;&gt;"", XLOOKUP($F876,Productos!$A$2:$A1001,Productos!Q$2:Q1001,"")*$G876,"")</f>
        <v/>
      </c>
      <c r="Y876" s="179" t="str">
        <f t="array" ref="Y876">IF($F876&lt;&gt;"",XLOOKUP($F876,Productos!$A:$A,Productos!R:R,"Revisar"),"")</f>
        <v/>
      </c>
      <c r="Z876" s="179" t="str">
        <f t="array" ref="Z876">IF($F876&lt;&gt;"", XLOOKUP($F876,Productos!$A$2:$A1001,Productos!S$2:S1001,"")*$G876,"")</f>
        <v/>
      </c>
      <c r="AA876" s="179" t="str">
        <f t="array" ref="AA876">IF($F876&lt;&gt;"",XLOOKUP($F876,Productos!$A:$A,Productos!T:T,"Revisar"),"")</f>
        <v/>
      </c>
      <c r="AB876" s="179" t="str">
        <f t="array" ref="AB876">IF($F876&lt;&gt;"", XLOOKUP($F876,Productos!$A$2:$A1001,Productos!U$2:U1001,"")*$G876,"")</f>
        <v/>
      </c>
      <c r="AC876" s="179" t="str">
        <f t="array" ref="AC876">IF($F876&lt;&gt;"",XLOOKUP($F876,Productos!$A:$A,Productos!V:V,"Revisar"),"")</f>
        <v/>
      </c>
      <c r="AD876" s="179" t="str">
        <f t="array" ref="AD876">IF($F876&lt;&gt;"", XLOOKUP($F876,Productos!$A$2:$A1001,Productos!W$2:W1001,"")*$G876,"")</f>
        <v/>
      </c>
      <c r="AE876" s="179" t="str">
        <f t="array" ref="AE876">IF($F876&lt;&gt;"",XLOOKUP($F876,Productos!$A:$A,Productos!X:X,"Revisar"),"")</f>
        <v/>
      </c>
      <c r="AF876" s="179" t="str">
        <f t="array" ref="AF876">IF($F876&lt;&gt;"", XLOOKUP($F876,Productos!$A$2:$A1001,Productos!Y$2:Y1001,"")*$G876,"")</f>
        <v/>
      </c>
      <c r="AG876" s="179" t="str">
        <f t="array" ref="AG876">IF($F876&lt;&gt;"",XLOOKUP($F876,Productos!$A:$A,Productos!Z:Z,"Revisar"),"")</f>
        <v/>
      </c>
      <c r="AH876" s="179" t="str">
        <f t="array" ref="AH876">IF($F876&lt;&gt;"", XLOOKUP($F876,Productos!$A$2:$A1001,Productos!AA$2:AA1001,"")*$G876,"")</f>
        <v/>
      </c>
      <c r="AI876" s="179" t="str">
        <f t="array" ref="AI876">IF($F876&lt;&gt;"",XLOOKUP($F876,Productos!$A:$A,Productos!AB:AB,"Revisar"),"")</f>
        <v/>
      </c>
      <c r="AJ876" s="179" t="str">
        <f t="array" ref="AJ876">IF($F876&lt;&gt;"", XLOOKUP($F876,Productos!$A$2:$A1001,Productos!AC$2:AC1001,"")*$G876,"")</f>
        <v/>
      </c>
      <c r="AK876" s="179" t="str">
        <f t="array" ref="AK876">IF($F876&lt;&gt;"",XLOOKUP($F876,Productos!$A:$A,Productos!AD:AD,"Revisar"),"")</f>
        <v/>
      </c>
      <c r="AL876" s="179" t="str">
        <f t="array" ref="AL876">IF($F876&lt;&gt;"", XLOOKUP($F876,Productos!$A$2:$A1001,Productos!AE$2:AE1001,"")*$G876,"")</f>
        <v/>
      </c>
      <c r="AM876" s="179" t="str">
        <f t="array" ref="AM876">IF($F876&lt;&gt;"",XLOOKUP($F876,Productos!$A:$A,Productos!AF:AF,"Revisar"),"")</f>
        <v/>
      </c>
      <c r="AN876" s="179" t="str">
        <f t="array" ref="AN876">IF($F876&lt;&gt;"", XLOOKUP($F876,Productos!$A$2:$A1001,Productos!AG$2:AG1001,"")*$G876,"")</f>
        <v/>
      </c>
      <c r="AO876" s="179" t="str">
        <f t="array" ref="AO876">IF($F876&lt;&gt;"",XLOOKUP($F876,Productos!$A:$A,Productos!AH:AH,"Revisar"),"")</f>
        <v/>
      </c>
      <c r="AP876" s="179" t="str">
        <f t="array" ref="AP876">IF($F876&lt;&gt;"", XLOOKUP($F876,Productos!$A$2:$A1001,Productos!AI$2:AI1001,"")*$G876,"")</f>
        <v/>
      </c>
      <c r="AQ876" s="179" t="str">
        <f t="array" ref="AQ876">IF($F876&lt;&gt;"",XLOOKUP($F876,Productos!$A:$A,Productos!AJ:AJ,"Revisar"),"")</f>
        <v/>
      </c>
      <c r="AR876" s="179" t="str">
        <f t="array" ref="AR876">IF($F876&lt;&gt;"", XLOOKUP($F876,Productos!$A$2:$A1001,Productos!AK$2:AK1001,"")*$G876,"")</f>
        <v/>
      </c>
      <c r="AS876" s="179" t="str">
        <f t="array" ref="AS876">IF($F876&lt;&gt;"",XLOOKUP($F876,Productos!$A:$A,Productos!AL:AL,"Revisar"),"")</f>
        <v/>
      </c>
      <c r="AT876" s="179" t="str">
        <f t="array" ref="AT876">IF($F876&lt;&gt;"", XLOOKUP($F876,Productos!$A$2:$A1001,Productos!AM$2:AM1001,"")*$G876,"")</f>
        <v/>
      </c>
      <c r="AU876" s="179" t="str">
        <f t="array" ref="AU876">IF($F876&lt;&gt;"",XLOOKUP($F876,Productos!$A:$A,Productos!AN:AN,"Revisar"),"")</f>
        <v/>
      </c>
      <c r="AV876" s="179" t="str">
        <f t="array" ref="AV876">IF($F876&lt;&gt;"", XLOOKUP($F876,Productos!$A$2:$A1001,Productos!AO$2:AO1001,"")*$G876,"")</f>
        <v/>
      </c>
      <c r="AW876" s="179" t="str">
        <f t="array" ref="AW876">IF($F876&lt;&gt;"",XLOOKUP($F876,Productos!$A:$A,Productos!AP:AP,"Revisar"),"")</f>
        <v/>
      </c>
      <c r="AX876" s="179" t="str">
        <f t="array" ref="AX876">IF($F876&lt;&gt;"", XLOOKUP($F876,Productos!$A$2:$A1001,Productos!AQ$2:AQ1001,"")*$G876,"")</f>
        <v/>
      </c>
      <c r="AY876" s="179" t="str">
        <f t="array" ref="AY876">IF($F876&lt;&gt;"",XLOOKUP($F876,Productos!$A:$A,Productos!AR:AR,"Revisar"),"")</f>
        <v/>
      </c>
      <c r="AZ876" s="179" t="str">
        <f t="array" ref="AZ876">IF($F876&lt;&gt;"", XLOOKUP($F876,Productos!$A$2:$A1001,Productos!AS$2:AS1001,"")*$G876,"")</f>
        <v/>
      </c>
      <c r="BA876" s="179" t="str">
        <f t="array" ref="BA876">IF($F876&lt;&gt;"",XLOOKUP($F876,Productos!$A:$A,Productos!AT:AT,"Revisar"),"")</f>
        <v/>
      </c>
      <c r="BB876" s="179" t="str">
        <f t="array" ref="BB876">IF($F876&lt;&gt;"", XLOOKUP($F876,Productos!$A$2:$A1001,Productos!AU$2:AU1001,"")*$G876,"")</f>
        <v/>
      </c>
      <c r="BC876" s="179" t="str">
        <f t="array" ref="BC876">IF($F876&lt;&gt;"",XLOOKUP($F876,Productos!$A:$A,Productos!AV:AV,"Revisar"),"")</f>
        <v/>
      </c>
      <c r="BD876" s="179" t="str">
        <f t="array" ref="BD876">IF($F876&lt;&gt;"", XLOOKUP($F876,Productos!$A$2:$A1001,Productos!AW$2:AW1001,"")*$G876,"")</f>
        <v/>
      </c>
      <c r="BE876" s="179" t="str">
        <f t="array" ref="BE876">IF($F876&lt;&gt;"",XLOOKUP($F876,Productos!$A:$A,Productos!AX:AX,"Revisar"),"")</f>
        <v/>
      </c>
      <c r="BF876" s="179" t="str">
        <f t="array" ref="BF876">IF($F876&lt;&gt;"", XLOOKUP($F876,Productos!$A$2:$A1001,Productos!AY$2:AY1001,"")*$G876,"")</f>
        <v/>
      </c>
      <c r="BG876" s="179" t="str">
        <f t="array" ref="BG876">IF($F876&lt;&gt;"",XLOOKUP($F876,Productos!$A:$A,Productos!AZ:AZ,"Revisar"),"")</f>
        <v/>
      </c>
      <c r="BH876" s="179" t="str">
        <f t="array" ref="BH876">IF($F876&lt;&gt;"", XLOOKUP($F876,Productos!$A$2:$A1001,Productos!BA$2:BA1001,"")*$G876,"")</f>
        <v/>
      </c>
      <c r="BI876" s="179" t="str">
        <f t="array" ref="BI876">IF($F876&lt;&gt;"",XLOOKUP($F876,Productos!$A:$A,Productos!BB:BB,"Revisar"),"")</f>
        <v/>
      </c>
      <c r="BJ876" s="179" t="str">
        <f t="array" ref="BJ876">IF($F876&lt;&gt;"", XLOOKUP($F876,Productos!$A$2:$A1001,Productos!BC$2:BC1001,"")*$G876,"")</f>
        <v/>
      </c>
      <c r="BK876" s="179" t="str">
        <f t="array" ref="BK876">IF($F876&lt;&gt;"",XLOOKUP($F876,Productos!$A:$A,Productos!BD:BD,"Revisar"),"")</f>
        <v/>
      </c>
      <c r="BL876" s="179" t="str">
        <f t="array" ref="BL876">IF($F876&lt;&gt;"", XLOOKUP($F876,Productos!$A$2:$A1001,Productos!BE$2:BE1001,"")*$G876,"")</f>
        <v/>
      </c>
      <c r="BM876" s="179" t="str">
        <f t="array" ref="BM876">IF($F876&lt;&gt;"",XLOOKUP($F876,Productos!$A:$A,Productos!BF:BF,"Revisar"),"")</f>
        <v/>
      </c>
      <c r="BN876" s="179" t="str">
        <f t="array" ref="BN876">IF($F876&lt;&gt;"", XLOOKUP($F876,Productos!$A$2:$A1001,Productos!BG$2:BG1001,"")*$G876,"")</f>
        <v/>
      </c>
      <c r="BO876" s="179" t="str">
        <f t="array" ref="BO876">IF($F876&lt;&gt;"",XLOOKUP($F876,Productos!$A:$A,Productos!BH:BH,"Revisar"),"")</f>
        <v/>
      </c>
      <c r="BP876" s="179" t="str">
        <f t="array" ref="BP876">IF($F876&lt;&gt;"", XLOOKUP($F876,Productos!$A$2:$A1001,Productos!BI$2:BI1001,"")*$G876,"")</f>
        <v/>
      </c>
      <c r="BQ876" s="179" t="str">
        <f t="array" ref="BQ876">IF($F876&lt;&gt;"",XLOOKUP($F876,Productos!$A:$A,Productos!BJ:BJ,"Revisar"),"")</f>
        <v/>
      </c>
      <c r="BR876" s="179" t="str">
        <f t="array" ref="BR876">IF($F876&lt;&gt;"", XLOOKUP($F876,Productos!$A$2:$A1001,Productos!BK$2:BK1001,"")*$G876,"")</f>
        <v/>
      </c>
      <c r="BS876" s="179" t="str">
        <f t="array" ref="BS876">IF($F876&lt;&gt;"",XLOOKUP($F876,Productos!$A:$A,Productos!BL:BL,"Revisar"),"")</f>
        <v/>
      </c>
      <c r="BT876" s="179" t="str">
        <f t="array" ref="BT876">IF($F876&lt;&gt;"", XLOOKUP($F876,Productos!$A$2:$A1001,Productos!BM$2:BM1001,"")*$G876,"")</f>
        <v/>
      </c>
      <c r="BU876" s="179" t="str">
        <f t="array" ref="BU876">IF($F876&lt;&gt;"",XLOOKUP($F876,Productos!$A:$A,Productos!BN:BN,"Revisar"),"")</f>
        <v/>
      </c>
      <c r="BV876" s="179" t="str">
        <f t="array" ref="BV876">IF($F876&lt;&gt;"", XLOOKUP($F876,Productos!$A$2:$A1001,Productos!BO$2:BO1001,"")*$G876,"")</f>
        <v/>
      </c>
      <c r="BW876" s="179" t="str">
        <f t="array" ref="BW876">IF($F876&lt;&gt;"",XLOOKUP($F876,Productos!$A:$A,Productos!BP:BP,"Revisar"),"")</f>
        <v/>
      </c>
      <c r="BX876" s="179" t="str">
        <f t="array" ref="BX876">IF($F876&lt;&gt;"", XLOOKUP($F876,Productos!$A$2:$A1001,Productos!BQ$2:BQ1001,"")*$G876,"")</f>
        <v/>
      </c>
      <c r="BY876" s="179" t="str">
        <f t="array" ref="BY876">IF($F876&lt;&gt;"",XLOOKUP($F876,Productos!$A:$A,Productos!BR:BR,"Revisar"),"")</f>
        <v/>
      </c>
      <c r="BZ876" s="179" t="str">
        <f t="array" ref="BZ876">IF($F876&lt;&gt;"", XLOOKUP($F876,Productos!$A$2:$A1001,Productos!BS$2:BS1001,"")*$G876,"")</f>
        <v/>
      </c>
    </row>
    <row r="877">
      <c r="A877" s="188"/>
      <c r="B877" s="189"/>
      <c r="C877" s="190"/>
      <c r="D877" s="190"/>
      <c r="E877" s="191"/>
      <c r="F877" s="186"/>
      <c r="G877" s="192"/>
      <c r="H877" s="9"/>
      <c r="I877" s="179" t="str">
        <f t="array" ref="I877">IF($F877&lt;&gt;"",XLOOKUP($F877,Productos!$A:$A,Productos!B:B,"Revisar"),"")</f>
        <v/>
      </c>
      <c r="J877" s="179" t="str">
        <f t="array" ref="J877">IF($F877&lt;&gt;"", XLOOKUP($F877,Productos!$A$2:$A1001,Productos!C$2:C1001,"")*$G877,"")</f>
        <v/>
      </c>
      <c r="K877" s="179" t="str">
        <f t="array" ref="K877">IF($F877&lt;&gt;"",XLOOKUP($F877,Productos!$A:$A,Productos!D:D,"Revisar"),"")</f>
        <v/>
      </c>
      <c r="L877" s="179" t="str">
        <f t="array" ref="L877">IF($F877&lt;&gt;"", XLOOKUP($F877,Productos!$A$2:$A1001,Productos!E$2:E1001,"")*$G877,"")</f>
        <v/>
      </c>
      <c r="M877" s="179" t="str">
        <f t="array" ref="M877">IF($F877&lt;&gt;"",XLOOKUP($F877,Productos!$A:$A,Productos!F:F,"Revisar"),"")</f>
        <v/>
      </c>
      <c r="N877" s="179" t="str">
        <f t="array" ref="N877">IF($F877&lt;&gt;"", XLOOKUP($F877,Productos!$A$2:$A1001,Productos!G$2:G1001,"")*$G877,"")</f>
        <v/>
      </c>
      <c r="O877" s="179" t="str">
        <f t="array" ref="O877">IF($F877&lt;&gt;"",XLOOKUP($F877,Productos!$A:$A,Productos!H:H,"Revisar"),"")</f>
        <v/>
      </c>
      <c r="P877" s="179" t="str">
        <f t="array" ref="P877">IF($F877&lt;&gt;"", XLOOKUP($F877,Productos!$A$2:$A1001,Productos!I$2:I1001,"")*$G877,"")</f>
        <v/>
      </c>
      <c r="Q877" s="179" t="str">
        <f t="array" ref="Q877">IF($F877&lt;&gt;"",XLOOKUP($F877,Productos!$A:$A,Productos!J:J,"Revisar"),"")</f>
        <v/>
      </c>
      <c r="R877" s="179" t="str">
        <f t="array" ref="R877">IF($F877&lt;&gt;"", XLOOKUP($F877,Productos!$A$2:$A1001,Productos!K$2:K1001,"")*$G877,"")</f>
        <v/>
      </c>
      <c r="S877" s="179" t="str">
        <f t="array" ref="S877">IF($F877&lt;&gt;"",XLOOKUP($F877,Productos!$A:$A,Productos!L:L,"Revisar"),"")</f>
        <v/>
      </c>
      <c r="T877" s="179" t="str">
        <f t="array" ref="T877">IF($F877&lt;&gt;"", XLOOKUP($F877,Productos!$A$2:$A1001,Productos!M$2:M1001,"")*$G877,"")</f>
        <v/>
      </c>
      <c r="U877" s="179" t="str">
        <f t="array" ref="U877">IF($F877&lt;&gt;"",XLOOKUP($F877,Productos!$A:$A,Productos!N:N,"Revisar"),"")</f>
        <v/>
      </c>
      <c r="V877" s="179" t="str">
        <f t="array" ref="V877">IF($F877&lt;&gt;"", XLOOKUP($F877,Productos!$A$2:$A1001,Productos!O$2:O1001,"")*$G877,"")</f>
        <v/>
      </c>
      <c r="W877" s="179" t="str">
        <f t="array" ref="W877">IF($F877&lt;&gt;"",XLOOKUP($F877,Productos!$A:$A,Productos!P:P,"Revisar"),"")</f>
        <v/>
      </c>
      <c r="X877" s="179" t="str">
        <f t="array" ref="X877">IF($F877&lt;&gt;"", XLOOKUP($F877,Productos!$A$2:$A1001,Productos!Q$2:Q1001,"")*$G877,"")</f>
        <v/>
      </c>
      <c r="Y877" s="179" t="str">
        <f t="array" ref="Y877">IF($F877&lt;&gt;"",XLOOKUP($F877,Productos!$A:$A,Productos!R:R,"Revisar"),"")</f>
        <v/>
      </c>
      <c r="Z877" s="179" t="str">
        <f t="array" ref="Z877">IF($F877&lt;&gt;"", XLOOKUP($F877,Productos!$A$2:$A1001,Productos!S$2:S1001,"")*$G877,"")</f>
        <v/>
      </c>
      <c r="AA877" s="179" t="str">
        <f t="array" ref="AA877">IF($F877&lt;&gt;"",XLOOKUP($F877,Productos!$A:$A,Productos!T:T,"Revisar"),"")</f>
        <v/>
      </c>
      <c r="AB877" s="179" t="str">
        <f t="array" ref="AB877">IF($F877&lt;&gt;"", XLOOKUP($F877,Productos!$A$2:$A1001,Productos!U$2:U1001,"")*$G877,"")</f>
        <v/>
      </c>
      <c r="AC877" s="179" t="str">
        <f t="array" ref="AC877">IF($F877&lt;&gt;"",XLOOKUP($F877,Productos!$A:$A,Productos!V:V,"Revisar"),"")</f>
        <v/>
      </c>
      <c r="AD877" s="179" t="str">
        <f t="array" ref="AD877">IF($F877&lt;&gt;"", XLOOKUP($F877,Productos!$A$2:$A1001,Productos!W$2:W1001,"")*$G877,"")</f>
        <v/>
      </c>
      <c r="AE877" s="179" t="str">
        <f t="array" ref="AE877">IF($F877&lt;&gt;"",XLOOKUP($F877,Productos!$A:$A,Productos!X:X,"Revisar"),"")</f>
        <v/>
      </c>
      <c r="AF877" s="179" t="str">
        <f t="array" ref="AF877">IF($F877&lt;&gt;"", XLOOKUP($F877,Productos!$A$2:$A1001,Productos!Y$2:Y1001,"")*$G877,"")</f>
        <v/>
      </c>
      <c r="AG877" s="179" t="str">
        <f t="array" ref="AG877">IF($F877&lt;&gt;"",XLOOKUP($F877,Productos!$A:$A,Productos!Z:Z,"Revisar"),"")</f>
        <v/>
      </c>
      <c r="AH877" s="179" t="str">
        <f t="array" ref="AH877">IF($F877&lt;&gt;"", XLOOKUP($F877,Productos!$A$2:$A1001,Productos!AA$2:AA1001,"")*$G877,"")</f>
        <v/>
      </c>
      <c r="AI877" s="179" t="str">
        <f t="array" ref="AI877">IF($F877&lt;&gt;"",XLOOKUP($F877,Productos!$A:$A,Productos!AB:AB,"Revisar"),"")</f>
        <v/>
      </c>
      <c r="AJ877" s="179" t="str">
        <f t="array" ref="AJ877">IF($F877&lt;&gt;"", XLOOKUP($F877,Productos!$A$2:$A1001,Productos!AC$2:AC1001,"")*$G877,"")</f>
        <v/>
      </c>
      <c r="AK877" s="179" t="str">
        <f t="array" ref="AK877">IF($F877&lt;&gt;"",XLOOKUP($F877,Productos!$A:$A,Productos!AD:AD,"Revisar"),"")</f>
        <v/>
      </c>
      <c r="AL877" s="179" t="str">
        <f t="array" ref="AL877">IF($F877&lt;&gt;"", XLOOKUP($F877,Productos!$A$2:$A1001,Productos!AE$2:AE1001,"")*$G877,"")</f>
        <v/>
      </c>
      <c r="AM877" s="179" t="str">
        <f t="array" ref="AM877">IF($F877&lt;&gt;"",XLOOKUP($F877,Productos!$A:$A,Productos!AF:AF,"Revisar"),"")</f>
        <v/>
      </c>
      <c r="AN877" s="179" t="str">
        <f t="array" ref="AN877">IF($F877&lt;&gt;"", XLOOKUP($F877,Productos!$A$2:$A1001,Productos!AG$2:AG1001,"")*$G877,"")</f>
        <v/>
      </c>
      <c r="AO877" s="179" t="str">
        <f t="array" ref="AO877">IF($F877&lt;&gt;"",XLOOKUP($F877,Productos!$A:$A,Productos!AH:AH,"Revisar"),"")</f>
        <v/>
      </c>
      <c r="AP877" s="179" t="str">
        <f t="array" ref="AP877">IF($F877&lt;&gt;"", XLOOKUP($F877,Productos!$A$2:$A1001,Productos!AI$2:AI1001,"")*$G877,"")</f>
        <v/>
      </c>
      <c r="AQ877" s="179" t="str">
        <f t="array" ref="AQ877">IF($F877&lt;&gt;"",XLOOKUP($F877,Productos!$A:$A,Productos!AJ:AJ,"Revisar"),"")</f>
        <v/>
      </c>
      <c r="AR877" s="179" t="str">
        <f t="array" ref="AR877">IF($F877&lt;&gt;"", XLOOKUP($F877,Productos!$A$2:$A1001,Productos!AK$2:AK1001,"")*$G877,"")</f>
        <v/>
      </c>
      <c r="AS877" s="179" t="str">
        <f t="array" ref="AS877">IF($F877&lt;&gt;"",XLOOKUP($F877,Productos!$A:$A,Productos!AL:AL,"Revisar"),"")</f>
        <v/>
      </c>
      <c r="AT877" s="179" t="str">
        <f t="array" ref="AT877">IF($F877&lt;&gt;"", XLOOKUP($F877,Productos!$A$2:$A1001,Productos!AM$2:AM1001,"")*$G877,"")</f>
        <v/>
      </c>
      <c r="AU877" s="179" t="str">
        <f t="array" ref="AU877">IF($F877&lt;&gt;"",XLOOKUP($F877,Productos!$A:$A,Productos!AN:AN,"Revisar"),"")</f>
        <v/>
      </c>
      <c r="AV877" s="179" t="str">
        <f t="array" ref="AV877">IF($F877&lt;&gt;"", XLOOKUP($F877,Productos!$A$2:$A1001,Productos!AO$2:AO1001,"")*$G877,"")</f>
        <v/>
      </c>
      <c r="AW877" s="179" t="str">
        <f t="array" ref="AW877">IF($F877&lt;&gt;"",XLOOKUP($F877,Productos!$A:$A,Productos!AP:AP,"Revisar"),"")</f>
        <v/>
      </c>
      <c r="AX877" s="179" t="str">
        <f t="array" ref="AX877">IF($F877&lt;&gt;"", XLOOKUP($F877,Productos!$A$2:$A1001,Productos!AQ$2:AQ1001,"")*$G877,"")</f>
        <v/>
      </c>
      <c r="AY877" s="179" t="str">
        <f t="array" ref="AY877">IF($F877&lt;&gt;"",XLOOKUP($F877,Productos!$A:$A,Productos!AR:AR,"Revisar"),"")</f>
        <v/>
      </c>
      <c r="AZ877" s="179" t="str">
        <f t="array" ref="AZ877">IF($F877&lt;&gt;"", XLOOKUP($F877,Productos!$A$2:$A1001,Productos!AS$2:AS1001,"")*$G877,"")</f>
        <v/>
      </c>
      <c r="BA877" s="179" t="str">
        <f t="array" ref="BA877">IF($F877&lt;&gt;"",XLOOKUP($F877,Productos!$A:$A,Productos!AT:AT,"Revisar"),"")</f>
        <v/>
      </c>
      <c r="BB877" s="179" t="str">
        <f t="array" ref="BB877">IF($F877&lt;&gt;"", XLOOKUP($F877,Productos!$A$2:$A1001,Productos!AU$2:AU1001,"")*$G877,"")</f>
        <v/>
      </c>
      <c r="BC877" s="179" t="str">
        <f t="array" ref="BC877">IF($F877&lt;&gt;"",XLOOKUP($F877,Productos!$A:$A,Productos!AV:AV,"Revisar"),"")</f>
        <v/>
      </c>
      <c r="BD877" s="179" t="str">
        <f t="array" ref="BD877">IF($F877&lt;&gt;"", XLOOKUP($F877,Productos!$A$2:$A1001,Productos!AW$2:AW1001,"")*$G877,"")</f>
        <v/>
      </c>
      <c r="BE877" s="179" t="str">
        <f t="array" ref="BE877">IF($F877&lt;&gt;"",XLOOKUP($F877,Productos!$A:$A,Productos!AX:AX,"Revisar"),"")</f>
        <v/>
      </c>
      <c r="BF877" s="179" t="str">
        <f t="array" ref="BF877">IF($F877&lt;&gt;"", XLOOKUP($F877,Productos!$A$2:$A1001,Productos!AY$2:AY1001,"")*$G877,"")</f>
        <v/>
      </c>
      <c r="BG877" s="179" t="str">
        <f t="array" ref="BG877">IF($F877&lt;&gt;"",XLOOKUP($F877,Productos!$A:$A,Productos!AZ:AZ,"Revisar"),"")</f>
        <v/>
      </c>
      <c r="BH877" s="179" t="str">
        <f t="array" ref="BH877">IF($F877&lt;&gt;"", XLOOKUP($F877,Productos!$A$2:$A1001,Productos!BA$2:BA1001,"")*$G877,"")</f>
        <v/>
      </c>
      <c r="BI877" s="179" t="str">
        <f t="array" ref="BI877">IF($F877&lt;&gt;"",XLOOKUP($F877,Productos!$A:$A,Productos!BB:BB,"Revisar"),"")</f>
        <v/>
      </c>
      <c r="BJ877" s="179" t="str">
        <f t="array" ref="BJ877">IF($F877&lt;&gt;"", XLOOKUP($F877,Productos!$A$2:$A1001,Productos!BC$2:BC1001,"")*$G877,"")</f>
        <v/>
      </c>
      <c r="BK877" s="179" t="str">
        <f t="array" ref="BK877">IF($F877&lt;&gt;"",XLOOKUP($F877,Productos!$A:$A,Productos!BD:BD,"Revisar"),"")</f>
        <v/>
      </c>
      <c r="BL877" s="179" t="str">
        <f t="array" ref="BL877">IF($F877&lt;&gt;"", XLOOKUP($F877,Productos!$A$2:$A1001,Productos!BE$2:BE1001,"")*$G877,"")</f>
        <v/>
      </c>
      <c r="BM877" s="179" t="str">
        <f t="array" ref="BM877">IF($F877&lt;&gt;"",XLOOKUP($F877,Productos!$A:$A,Productos!BF:BF,"Revisar"),"")</f>
        <v/>
      </c>
      <c r="BN877" s="179" t="str">
        <f t="array" ref="BN877">IF($F877&lt;&gt;"", XLOOKUP($F877,Productos!$A$2:$A1001,Productos!BG$2:BG1001,"")*$G877,"")</f>
        <v/>
      </c>
      <c r="BO877" s="179" t="str">
        <f t="array" ref="BO877">IF($F877&lt;&gt;"",XLOOKUP($F877,Productos!$A:$A,Productos!BH:BH,"Revisar"),"")</f>
        <v/>
      </c>
      <c r="BP877" s="179" t="str">
        <f t="array" ref="BP877">IF($F877&lt;&gt;"", XLOOKUP($F877,Productos!$A$2:$A1001,Productos!BI$2:BI1001,"")*$G877,"")</f>
        <v/>
      </c>
      <c r="BQ877" s="179" t="str">
        <f t="array" ref="BQ877">IF($F877&lt;&gt;"",XLOOKUP($F877,Productos!$A:$A,Productos!BJ:BJ,"Revisar"),"")</f>
        <v/>
      </c>
      <c r="BR877" s="179" t="str">
        <f t="array" ref="BR877">IF($F877&lt;&gt;"", XLOOKUP($F877,Productos!$A$2:$A1001,Productos!BK$2:BK1001,"")*$G877,"")</f>
        <v/>
      </c>
      <c r="BS877" s="179" t="str">
        <f t="array" ref="BS877">IF($F877&lt;&gt;"",XLOOKUP($F877,Productos!$A:$A,Productos!BL:BL,"Revisar"),"")</f>
        <v/>
      </c>
      <c r="BT877" s="179" t="str">
        <f t="array" ref="BT877">IF($F877&lt;&gt;"", XLOOKUP($F877,Productos!$A$2:$A1001,Productos!BM$2:BM1001,"")*$G877,"")</f>
        <v/>
      </c>
      <c r="BU877" s="179" t="str">
        <f t="array" ref="BU877">IF($F877&lt;&gt;"",XLOOKUP($F877,Productos!$A:$A,Productos!BN:BN,"Revisar"),"")</f>
        <v/>
      </c>
      <c r="BV877" s="179" t="str">
        <f t="array" ref="BV877">IF($F877&lt;&gt;"", XLOOKUP($F877,Productos!$A$2:$A1001,Productos!BO$2:BO1001,"")*$G877,"")</f>
        <v/>
      </c>
      <c r="BW877" s="179" t="str">
        <f t="array" ref="BW877">IF($F877&lt;&gt;"",XLOOKUP($F877,Productos!$A:$A,Productos!BP:BP,"Revisar"),"")</f>
        <v/>
      </c>
      <c r="BX877" s="179" t="str">
        <f t="array" ref="BX877">IF($F877&lt;&gt;"", XLOOKUP($F877,Productos!$A$2:$A1001,Productos!BQ$2:BQ1001,"")*$G877,"")</f>
        <v/>
      </c>
      <c r="BY877" s="179" t="str">
        <f t="array" ref="BY877">IF($F877&lt;&gt;"",XLOOKUP($F877,Productos!$A:$A,Productos!BR:BR,"Revisar"),"")</f>
        <v/>
      </c>
      <c r="BZ877" s="179" t="str">
        <f t="array" ref="BZ877">IF($F877&lt;&gt;"", XLOOKUP($F877,Productos!$A$2:$A1001,Productos!BS$2:BS1001,"")*$G877,"")</f>
        <v/>
      </c>
    </row>
    <row r="878">
      <c r="A878" s="188"/>
      <c r="B878" s="189"/>
      <c r="C878" s="190"/>
      <c r="D878" s="190"/>
      <c r="E878" s="191"/>
      <c r="F878" s="186"/>
      <c r="G878" s="192"/>
      <c r="H878" s="9"/>
      <c r="I878" s="179" t="str">
        <f t="array" ref="I878">IF($F878&lt;&gt;"",XLOOKUP($F878,Productos!$A:$A,Productos!B:B,"Revisar"),"")</f>
        <v/>
      </c>
      <c r="J878" s="179" t="str">
        <f t="array" ref="J878">IF($F878&lt;&gt;"", XLOOKUP($F878,Productos!$A$2:$A1001,Productos!C$2:C1001,"")*$G878,"")</f>
        <v/>
      </c>
      <c r="K878" s="179" t="str">
        <f t="array" ref="K878">IF($F878&lt;&gt;"",XLOOKUP($F878,Productos!$A:$A,Productos!D:D,"Revisar"),"")</f>
        <v/>
      </c>
      <c r="L878" s="179" t="str">
        <f t="array" ref="L878">IF($F878&lt;&gt;"", XLOOKUP($F878,Productos!$A$2:$A1001,Productos!E$2:E1001,"")*$G878,"")</f>
        <v/>
      </c>
      <c r="M878" s="179" t="str">
        <f t="array" ref="M878">IF($F878&lt;&gt;"",XLOOKUP($F878,Productos!$A:$A,Productos!F:F,"Revisar"),"")</f>
        <v/>
      </c>
      <c r="N878" s="179" t="str">
        <f t="array" ref="N878">IF($F878&lt;&gt;"", XLOOKUP($F878,Productos!$A$2:$A1001,Productos!G$2:G1001,"")*$G878,"")</f>
        <v/>
      </c>
      <c r="O878" s="179" t="str">
        <f t="array" ref="O878">IF($F878&lt;&gt;"",XLOOKUP($F878,Productos!$A:$A,Productos!H:H,"Revisar"),"")</f>
        <v/>
      </c>
      <c r="P878" s="179" t="str">
        <f t="array" ref="P878">IF($F878&lt;&gt;"", XLOOKUP($F878,Productos!$A$2:$A1001,Productos!I$2:I1001,"")*$G878,"")</f>
        <v/>
      </c>
      <c r="Q878" s="179" t="str">
        <f t="array" ref="Q878">IF($F878&lt;&gt;"",XLOOKUP($F878,Productos!$A:$A,Productos!J:J,"Revisar"),"")</f>
        <v/>
      </c>
      <c r="R878" s="179" t="str">
        <f t="array" ref="R878">IF($F878&lt;&gt;"", XLOOKUP($F878,Productos!$A$2:$A1001,Productos!K$2:K1001,"")*$G878,"")</f>
        <v/>
      </c>
      <c r="S878" s="179" t="str">
        <f t="array" ref="S878">IF($F878&lt;&gt;"",XLOOKUP($F878,Productos!$A:$A,Productos!L:L,"Revisar"),"")</f>
        <v/>
      </c>
      <c r="T878" s="179" t="str">
        <f t="array" ref="T878">IF($F878&lt;&gt;"", XLOOKUP($F878,Productos!$A$2:$A1001,Productos!M$2:M1001,"")*$G878,"")</f>
        <v/>
      </c>
      <c r="U878" s="179" t="str">
        <f t="array" ref="U878">IF($F878&lt;&gt;"",XLOOKUP($F878,Productos!$A:$A,Productos!N:N,"Revisar"),"")</f>
        <v/>
      </c>
      <c r="V878" s="179" t="str">
        <f t="array" ref="V878">IF($F878&lt;&gt;"", XLOOKUP($F878,Productos!$A$2:$A1001,Productos!O$2:O1001,"")*$G878,"")</f>
        <v/>
      </c>
      <c r="W878" s="179" t="str">
        <f t="array" ref="W878">IF($F878&lt;&gt;"",XLOOKUP($F878,Productos!$A:$A,Productos!P:P,"Revisar"),"")</f>
        <v/>
      </c>
      <c r="X878" s="179" t="str">
        <f t="array" ref="X878">IF($F878&lt;&gt;"", XLOOKUP($F878,Productos!$A$2:$A1001,Productos!Q$2:Q1001,"")*$G878,"")</f>
        <v/>
      </c>
      <c r="Y878" s="179" t="str">
        <f t="array" ref="Y878">IF($F878&lt;&gt;"",XLOOKUP($F878,Productos!$A:$A,Productos!R:R,"Revisar"),"")</f>
        <v/>
      </c>
      <c r="Z878" s="179" t="str">
        <f t="array" ref="Z878">IF($F878&lt;&gt;"", XLOOKUP($F878,Productos!$A$2:$A1001,Productos!S$2:S1001,"")*$G878,"")</f>
        <v/>
      </c>
      <c r="AA878" s="179" t="str">
        <f t="array" ref="AA878">IF($F878&lt;&gt;"",XLOOKUP($F878,Productos!$A:$A,Productos!T:T,"Revisar"),"")</f>
        <v/>
      </c>
      <c r="AB878" s="179" t="str">
        <f t="array" ref="AB878">IF($F878&lt;&gt;"", XLOOKUP($F878,Productos!$A$2:$A1001,Productos!U$2:U1001,"")*$G878,"")</f>
        <v/>
      </c>
      <c r="AC878" s="179" t="str">
        <f t="array" ref="AC878">IF($F878&lt;&gt;"",XLOOKUP($F878,Productos!$A:$A,Productos!V:V,"Revisar"),"")</f>
        <v/>
      </c>
      <c r="AD878" s="179" t="str">
        <f t="array" ref="AD878">IF($F878&lt;&gt;"", XLOOKUP($F878,Productos!$A$2:$A1001,Productos!W$2:W1001,"")*$G878,"")</f>
        <v/>
      </c>
      <c r="AE878" s="179" t="str">
        <f t="array" ref="AE878">IF($F878&lt;&gt;"",XLOOKUP($F878,Productos!$A:$A,Productos!X:X,"Revisar"),"")</f>
        <v/>
      </c>
      <c r="AF878" s="179" t="str">
        <f t="array" ref="AF878">IF($F878&lt;&gt;"", XLOOKUP($F878,Productos!$A$2:$A1001,Productos!Y$2:Y1001,"")*$G878,"")</f>
        <v/>
      </c>
      <c r="AG878" s="179" t="str">
        <f t="array" ref="AG878">IF($F878&lt;&gt;"",XLOOKUP($F878,Productos!$A:$A,Productos!Z:Z,"Revisar"),"")</f>
        <v/>
      </c>
      <c r="AH878" s="179" t="str">
        <f t="array" ref="AH878">IF($F878&lt;&gt;"", XLOOKUP($F878,Productos!$A$2:$A1001,Productos!AA$2:AA1001,"")*$G878,"")</f>
        <v/>
      </c>
      <c r="AI878" s="179" t="str">
        <f t="array" ref="AI878">IF($F878&lt;&gt;"",XLOOKUP($F878,Productos!$A:$A,Productos!AB:AB,"Revisar"),"")</f>
        <v/>
      </c>
      <c r="AJ878" s="179" t="str">
        <f t="array" ref="AJ878">IF($F878&lt;&gt;"", XLOOKUP($F878,Productos!$A$2:$A1001,Productos!AC$2:AC1001,"")*$G878,"")</f>
        <v/>
      </c>
      <c r="AK878" s="179" t="str">
        <f t="array" ref="AK878">IF($F878&lt;&gt;"",XLOOKUP($F878,Productos!$A:$A,Productos!AD:AD,"Revisar"),"")</f>
        <v/>
      </c>
      <c r="AL878" s="179" t="str">
        <f t="array" ref="AL878">IF($F878&lt;&gt;"", XLOOKUP($F878,Productos!$A$2:$A1001,Productos!AE$2:AE1001,"")*$G878,"")</f>
        <v/>
      </c>
      <c r="AM878" s="179" t="str">
        <f t="array" ref="AM878">IF($F878&lt;&gt;"",XLOOKUP($F878,Productos!$A:$A,Productos!AF:AF,"Revisar"),"")</f>
        <v/>
      </c>
      <c r="AN878" s="179" t="str">
        <f t="array" ref="AN878">IF($F878&lt;&gt;"", XLOOKUP($F878,Productos!$A$2:$A1001,Productos!AG$2:AG1001,"")*$G878,"")</f>
        <v/>
      </c>
      <c r="AO878" s="179" t="str">
        <f t="array" ref="AO878">IF($F878&lt;&gt;"",XLOOKUP($F878,Productos!$A:$A,Productos!AH:AH,"Revisar"),"")</f>
        <v/>
      </c>
      <c r="AP878" s="179" t="str">
        <f t="array" ref="AP878">IF($F878&lt;&gt;"", XLOOKUP($F878,Productos!$A$2:$A1001,Productos!AI$2:AI1001,"")*$G878,"")</f>
        <v/>
      </c>
      <c r="AQ878" s="179" t="str">
        <f t="array" ref="AQ878">IF($F878&lt;&gt;"",XLOOKUP($F878,Productos!$A:$A,Productos!AJ:AJ,"Revisar"),"")</f>
        <v/>
      </c>
      <c r="AR878" s="179" t="str">
        <f t="array" ref="AR878">IF($F878&lt;&gt;"", XLOOKUP($F878,Productos!$A$2:$A1001,Productos!AK$2:AK1001,"")*$G878,"")</f>
        <v/>
      </c>
      <c r="AS878" s="179" t="str">
        <f t="array" ref="AS878">IF($F878&lt;&gt;"",XLOOKUP($F878,Productos!$A:$A,Productos!AL:AL,"Revisar"),"")</f>
        <v/>
      </c>
      <c r="AT878" s="179" t="str">
        <f t="array" ref="AT878">IF($F878&lt;&gt;"", XLOOKUP($F878,Productos!$A$2:$A1001,Productos!AM$2:AM1001,"")*$G878,"")</f>
        <v/>
      </c>
      <c r="AU878" s="179" t="str">
        <f t="array" ref="AU878">IF($F878&lt;&gt;"",XLOOKUP($F878,Productos!$A:$A,Productos!AN:AN,"Revisar"),"")</f>
        <v/>
      </c>
      <c r="AV878" s="179" t="str">
        <f t="array" ref="AV878">IF($F878&lt;&gt;"", XLOOKUP($F878,Productos!$A$2:$A1001,Productos!AO$2:AO1001,"")*$G878,"")</f>
        <v/>
      </c>
      <c r="AW878" s="179" t="str">
        <f t="array" ref="AW878">IF($F878&lt;&gt;"",XLOOKUP($F878,Productos!$A:$A,Productos!AP:AP,"Revisar"),"")</f>
        <v/>
      </c>
      <c r="AX878" s="179" t="str">
        <f t="array" ref="AX878">IF($F878&lt;&gt;"", XLOOKUP($F878,Productos!$A$2:$A1001,Productos!AQ$2:AQ1001,"")*$G878,"")</f>
        <v/>
      </c>
      <c r="AY878" s="179" t="str">
        <f t="array" ref="AY878">IF($F878&lt;&gt;"",XLOOKUP($F878,Productos!$A:$A,Productos!AR:AR,"Revisar"),"")</f>
        <v/>
      </c>
      <c r="AZ878" s="179" t="str">
        <f t="array" ref="AZ878">IF($F878&lt;&gt;"", XLOOKUP($F878,Productos!$A$2:$A1001,Productos!AS$2:AS1001,"")*$G878,"")</f>
        <v/>
      </c>
      <c r="BA878" s="179" t="str">
        <f t="array" ref="BA878">IF($F878&lt;&gt;"",XLOOKUP($F878,Productos!$A:$A,Productos!AT:AT,"Revisar"),"")</f>
        <v/>
      </c>
      <c r="BB878" s="179" t="str">
        <f t="array" ref="BB878">IF($F878&lt;&gt;"", XLOOKUP($F878,Productos!$A$2:$A1001,Productos!AU$2:AU1001,"")*$G878,"")</f>
        <v/>
      </c>
      <c r="BC878" s="179" t="str">
        <f t="array" ref="BC878">IF($F878&lt;&gt;"",XLOOKUP($F878,Productos!$A:$A,Productos!AV:AV,"Revisar"),"")</f>
        <v/>
      </c>
      <c r="BD878" s="179" t="str">
        <f t="array" ref="BD878">IF($F878&lt;&gt;"", XLOOKUP($F878,Productos!$A$2:$A1001,Productos!AW$2:AW1001,"")*$G878,"")</f>
        <v/>
      </c>
      <c r="BE878" s="179" t="str">
        <f t="array" ref="BE878">IF($F878&lt;&gt;"",XLOOKUP($F878,Productos!$A:$A,Productos!AX:AX,"Revisar"),"")</f>
        <v/>
      </c>
      <c r="BF878" s="179" t="str">
        <f t="array" ref="BF878">IF($F878&lt;&gt;"", XLOOKUP($F878,Productos!$A$2:$A1001,Productos!AY$2:AY1001,"")*$G878,"")</f>
        <v/>
      </c>
      <c r="BG878" s="179" t="str">
        <f t="array" ref="BG878">IF($F878&lt;&gt;"",XLOOKUP($F878,Productos!$A:$A,Productos!AZ:AZ,"Revisar"),"")</f>
        <v/>
      </c>
      <c r="BH878" s="179" t="str">
        <f t="array" ref="BH878">IF($F878&lt;&gt;"", XLOOKUP($F878,Productos!$A$2:$A1001,Productos!BA$2:BA1001,"")*$G878,"")</f>
        <v/>
      </c>
      <c r="BI878" s="179" t="str">
        <f t="array" ref="BI878">IF($F878&lt;&gt;"",XLOOKUP($F878,Productos!$A:$A,Productos!BB:BB,"Revisar"),"")</f>
        <v/>
      </c>
      <c r="BJ878" s="179" t="str">
        <f t="array" ref="BJ878">IF($F878&lt;&gt;"", XLOOKUP($F878,Productos!$A$2:$A1001,Productos!BC$2:BC1001,"")*$G878,"")</f>
        <v/>
      </c>
      <c r="BK878" s="179" t="str">
        <f t="array" ref="BK878">IF($F878&lt;&gt;"",XLOOKUP($F878,Productos!$A:$A,Productos!BD:BD,"Revisar"),"")</f>
        <v/>
      </c>
      <c r="BL878" s="179" t="str">
        <f t="array" ref="BL878">IF($F878&lt;&gt;"", XLOOKUP($F878,Productos!$A$2:$A1001,Productos!BE$2:BE1001,"")*$G878,"")</f>
        <v/>
      </c>
      <c r="BM878" s="179" t="str">
        <f t="array" ref="BM878">IF($F878&lt;&gt;"",XLOOKUP($F878,Productos!$A:$A,Productos!BF:BF,"Revisar"),"")</f>
        <v/>
      </c>
      <c r="BN878" s="179" t="str">
        <f t="array" ref="BN878">IF($F878&lt;&gt;"", XLOOKUP($F878,Productos!$A$2:$A1001,Productos!BG$2:BG1001,"")*$G878,"")</f>
        <v/>
      </c>
      <c r="BO878" s="179" t="str">
        <f t="array" ref="BO878">IF($F878&lt;&gt;"",XLOOKUP($F878,Productos!$A:$A,Productos!BH:BH,"Revisar"),"")</f>
        <v/>
      </c>
      <c r="BP878" s="179" t="str">
        <f t="array" ref="BP878">IF($F878&lt;&gt;"", XLOOKUP($F878,Productos!$A$2:$A1001,Productos!BI$2:BI1001,"")*$G878,"")</f>
        <v/>
      </c>
      <c r="BQ878" s="179" t="str">
        <f t="array" ref="BQ878">IF($F878&lt;&gt;"",XLOOKUP($F878,Productos!$A:$A,Productos!BJ:BJ,"Revisar"),"")</f>
        <v/>
      </c>
      <c r="BR878" s="179" t="str">
        <f t="array" ref="BR878">IF($F878&lt;&gt;"", XLOOKUP($F878,Productos!$A$2:$A1001,Productos!BK$2:BK1001,"")*$G878,"")</f>
        <v/>
      </c>
      <c r="BS878" s="179" t="str">
        <f t="array" ref="BS878">IF($F878&lt;&gt;"",XLOOKUP($F878,Productos!$A:$A,Productos!BL:BL,"Revisar"),"")</f>
        <v/>
      </c>
      <c r="BT878" s="179" t="str">
        <f t="array" ref="BT878">IF($F878&lt;&gt;"", XLOOKUP($F878,Productos!$A$2:$A1001,Productos!BM$2:BM1001,"")*$G878,"")</f>
        <v/>
      </c>
      <c r="BU878" s="179" t="str">
        <f t="array" ref="BU878">IF($F878&lt;&gt;"",XLOOKUP($F878,Productos!$A:$A,Productos!BN:BN,"Revisar"),"")</f>
        <v/>
      </c>
      <c r="BV878" s="179" t="str">
        <f t="array" ref="BV878">IF($F878&lt;&gt;"", XLOOKUP($F878,Productos!$A$2:$A1001,Productos!BO$2:BO1001,"")*$G878,"")</f>
        <v/>
      </c>
      <c r="BW878" s="179" t="str">
        <f t="array" ref="BW878">IF($F878&lt;&gt;"",XLOOKUP($F878,Productos!$A:$A,Productos!BP:BP,"Revisar"),"")</f>
        <v/>
      </c>
      <c r="BX878" s="179" t="str">
        <f t="array" ref="BX878">IF($F878&lt;&gt;"", XLOOKUP($F878,Productos!$A$2:$A1001,Productos!BQ$2:BQ1001,"")*$G878,"")</f>
        <v/>
      </c>
      <c r="BY878" s="179" t="str">
        <f t="array" ref="BY878">IF($F878&lt;&gt;"",XLOOKUP($F878,Productos!$A:$A,Productos!BR:BR,"Revisar"),"")</f>
        <v/>
      </c>
      <c r="BZ878" s="179" t="str">
        <f t="array" ref="BZ878">IF($F878&lt;&gt;"", XLOOKUP($F878,Productos!$A$2:$A1001,Productos!BS$2:BS1001,"")*$G878,"")</f>
        <v/>
      </c>
    </row>
    <row r="879">
      <c r="A879" s="188"/>
      <c r="B879" s="189"/>
      <c r="C879" s="190"/>
      <c r="D879" s="190"/>
      <c r="E879" s="191"/>
      <c r="F879" s="186"/>
      <c r="G879" s="192"/>
      <c r="H879" s="9"/>
      <c r="I879" s="179" t="str">
        <f t="array" ref="I879">IF($F879&lt;&gt;"",XLOOKUP($F879,Productos!$A:$A,Productos!B:B,"Revisar"),"")</f>
        <v/>
      </c>
      <c r="J879" s="179" t="str">
        <f t="array" ref="J879">IF($F879&lt;&gt;"", XLOOKUP($F879,Productos!$A$2:$A1001,Productos!C$2:C1001,"")*$G879,"")</f>
        <v/>
      </c>
      <c r="K879" s="179" t="str">
        <f t="array" ref="K879">IF($F879&lt;&gt;"",XLOOKUP($F879,Productos!$A:$A,Productos!D:D,"Revisar"),"")</f>
        <v/>
      </c>
      <c r="L879" s="179" t="str">
        <f t="array" ref="L879">IF($F879&lt;&gt;"", XLOOKUP($F879,Productos!$A$2:$A1001,Productos!E$2:E1001,"")*$G879,"")</f>
        <v/>
      </c>
      <c r="M879" s="179" t="str">
        <f t="array" ref="M879">IF($F879&lt;&gt;"",XLOOKUP($F879,Productos!$A:$A,Productos!F:F,"Revisar"),"")</f>
        <v/>
      </c>
      <c r="N879" s="179" t="str">
        <f t="array" ref="N879">IF($F879&lt;&gt;"", XLOOKUP($F879,Productos!$A$2:$A1001,Productos!G$2:G1001,"")*$G879,"")</f>
        <v/>
      </c>
      <c r="O879" s="179" t="str">
        <f t="array" ref="O879">IF($F879&lt;&gt;"",XLOOKUP($F879,Productos!$A:$A,Productos!H:H,"Revisar"),"")</f>
        <v/>
      </c>
      <c r="P879" s="179" t="str">
        <f t="array" ref="P879">IF($F879&lt;&gt;"", XLOOKUP($F879,Productos!$A$2:$A1001,Productos!I$2:I1001,"")*$G879,"")</f>
        <v/>
      </c>
      <c r="Q879" s="179" t="str">
        <f t="array" ref="Q879">IF($F879&lt;&gt;"",XLOOKUP($F879,Productos!$A:$A,Productos!J:J,"Revisar"),"")</f>
        <v/>
      </c>
      <c r="R879" s="179" t="str">
        <f t="array" ref="R879">IF($F879&lt;&gt;"", XLOOKUP($F879,Productos!$A$2:$A1001,Productos!K$2:K1001,"")*$G879,"")</f>
        <v/>
      </c>
      <c r="S879" s="179" t="str">
        <f t="array" ref="S879">IF($F879&lt;&gt;"",XLOOKUP($F879,Productos!$A:$A,Productos!L:L,"Revisar"),"")</f>
        <v/>
      </c>
      <c r="T879" s="179" t="str">
        <f t="array" ref="T879">IF($F879&lt;&gt;"", XLOOKUP($F879,Productos!$A$2:$A1001,Productos!M$2:M1001,"")*$G879,"")</f>
        <v/>
      </c>
      <c r="U879" s="179" t="str">
        <f t="array" ref="U879">IF($F879&lt;&gt;"",XLOOKUP($F879,Productos!$A:$A,Productos!N:N,"Revisar"),"")</f>
        <v/>
      </c>
      <c r="V879" s="179" t="str">
        <f t="array" ref="V879">IF($F879&lt;&gt;"", XLOOKUP($F879,Productos!$A$2:$A1001,Productos!O$2:O1001,"")*$G879,"")</f>
        <v/>
      </c>
      <c r="W879" s="179" t="str">
        <f t="array" ref="W879">IF($F879&lt;&gt;"",XLOOKUP($F879,Productos!$A:$A,Productos!P:P,"Revisar"),"")</f>
        <v/>
      </c>
      <c r="X879" s="179" t="str">
        <f t="array" ref="X879">IF($F879&lt;&gt;"", XLOOKUP($F879,Productos!$A$2:$A1001,Productos!Q$2:Q1001,"")*$G879,"")</f>
        <v/>
      </c>
      <c r="Y879" s="179" t="str">
        <f t="array" ref="Y879">IF($F879&lt;&gt;"",XLOOKUP($F879,Productos!$A:$A,Productos!R:R,"Revisar"),"")</f>
        <v/>
      </c>
      <c r="Z879" s="179" t="str">
        <f t="array" ref="Z879">IF($F879&lt;&gt;"", XLOOKUP($F879,Productos!$A$2:$A1001,Productos!S$2:S1001,"")*$G879,"")</f>
        <v/>
      </c>
      <c r="AA879" s="179" t="str">
        <f t="array" ref="AA879">IF($F879&lt;&gt;"",XLOOKUP($F879,Productos!$A:$A,Productos!T:T,"Revisar"),"")</f>
        <v/>
      </c>
      <c r="AB879" s="179" t="str">
        <f t="array" ref="AB879">IF($F879&lt;&gt;"", XLOOKUP($F879,Productos!$A$2:$A1001,Productos!U$2:U1001,"")*$G879,"")</f>
        <v/>
      </c>
      <c r="AC879" s="179" t="str">
        <f t="array" ref="AC879">IF($F879&lt;&gt;"",XLOOKUP($F879,Productos!$A:$A,Productos!V:V,"Revisar"),"")</f>
        <v/>
      </c>
      <c r="AD879" s="179" t="str">
        <f t="array" ref="AD879">IF($F879&lt;&gt;"", XLOOKUP($F879,Productos!$A$2:$A1001,Productos!W$2:W1001,"")*$G879,"")</f>
        <v/>
      </c>
      <c r="AE879" s="179" t="str">
        <f t="array" ref="AE879">IF($F879&lt;&gt;"",XLOOKUP($F879,Productos!$A:$A,Productos!X:X,"Revisar"),"")</f>
        <v/>
      </c>
      <c r="AF879" s="179" t="str">
        <f t="array" ref="AF879">IF($F879&lt;&gt;"", XLOOKUP($F879,Productos!$A$2:$A1001,Productos!Y$2:Y1001,"")*$G879,"")</f>
        <v/>
      </c>
      <c r="AG879" s="179" t="str">
        <f t="array" ref="AG879">IF($F879&lt;&gt;"",XLOOKUP($F879,Productos!$A:$A,Productos!Z:Z,"Revisar"),"")</f>
        <v/>
      </c>
      <c r="AH879" s="179" t="str">
        <f t="array" ref="AH879">IF($F879&lt;&gt;"", XLOOKUP($F879,Productos!$A$2:$A1001,Productos!AA$2:AA1001,"")*$G879,"")</f>
        <v/>
      </c>
      <c r="AI879" s="179" t="str">
        <f t="array" ref="AI879">IF($F879&lt;&gt;"",XLOOKUP($F879,Productos!$A:$A,Productos!AB:AB,"Revisar"),"")</f>
        <v/>
      </c>
      <c r="AJ879" s="179" t="str">
        <f t="array" ref="AJ879">IF($F879&lt;&gt;"", XLOOKUP($F879,Productos!$A$2:$A1001,Productos!AC$2:AC1001,"")*$G879,"")</f>
        <v/>
      </c>
      <c r="AK879" s="179" t="str">
        <f t="array" ref="AK879">IF($F879&lt;&gt;"",XLOOKUP($F879,Productos!$A:$A,Productos!AD:AD,"Revisar"),"")</f>
        <v/>
      </c>
      <c r="AL879" s="179" t="str">
        <f t="array" ref="AL879">IF($F879&lt;&gt;"", XLOOKUP($F879,Productos!$A$2:$A1001,Productos!AE$2:AE1001,"")*$G879,"")</f>
        <v/>
      </c>
      <c r="AM879" s="179" t="str">
        <f t="array" ref="AM879">IF($F879&lt;&gt;"",XLOOKUP($F879,Productos!$A:$A,Productos!AF:AF,"Revisar"),"")</f>
        <v/>
      </c>
      <c r="AN879" s="179" t="str">
        <f t="array" ref="AN879">IF($F879&lt;&gt;"", XLOOKUP($F879,Productos!$A$2:$A1001,Productos!AG$2:AG1001,"")*$G879,"")</f>
        <v/>
      </c>
      <c r="AO879" s="179" t="str">
        <f t="array" ref="AO879">IF($F879&lt;&gt;"",XLOOKUP($F879,Productos!$A:$A,Productos!AH:AH,"Revisar"),"")</f>
        <v/>
      </c>
      <c r="AP879" s="179" t="str">
        <f t="array" ref="AP879">IF($F879&lt;&gt;"", XLOOKUP($F879,Productos!$A$2:$A1001,Productos!AI$2:AI1001,"")*$G879,"")</f>
        <v/>
      </c>
      <c r="AQ879" s="179" t="str">
        <f t="array" ref="AQ879">IF($F879&lt;&gt;"",XLOOKUP($F879,Productos!$A:$A,Productos!AJ:AJ,"Revisar"),"")</f>
        <v/>
      </c>
      <c r="AR879" s="179" t="str">
        <f t="array" ref="AR879">IF($F879&lt;&gt;"", XLOOKUP($F879,Productos!$A$2:$A1001,Productos!AK$2:AK1001,"")*$G879,"")</f>
        <v/>
      </c>
      <c r="AS879" s="179" t="str">
        <f t="array" ref="AS879">IF($F879&lt;&gt;"",XLOOKUP($F879,Productos!$A:$A,Productos!AL:AL,"Revisar"),"")</f>
        <v/>
      </c>
      <c r="AT879" s="179" t="str">
        <f t="array" ref="AT879">IF($F879&lt;&gt;"", XLOOKUP($F879,Productos!$A$2:$A1001,Productos!AM$2:AM1001,"")*$G879,"")</f>
        <v/>
      </c>
      <c r="AU879" s="179" t="str">
        <f t="array" ref="AU879">IF($F879&lt;&gt;"",XLOOKUP($F879,Productos!$A:$A,Productos!AN:AN,"Revisar"),"")</f>
        <v/>
      </c>
      <c r="AV879" s="179" t="str">
        <f t="array" ref="AV879">IF($F879&lt;&gt;"", XLOOKUP($F879,Productos!$A$2:$A1001,Productos!AO$2:AO1001,"")*$G879,"")</f>
        <v/>
      </c>
      <c r="AW879" s="179" t="str">
        <f t="array" ref="AW879">IF($F879&lt;&gt;"",XLOOKUP($F879,Productos!$A:$A,Productos!AP:AP,"Revisar"),"")</f>
        <v/>
      </c>
      <c r="AX879" s="179" t="str">
        <f t="array" ref="AX879">IF($F879&lt;&gt;"", XLOOKUP($F879,Productos!$A$2:$A1001,Productos!AQ$2:AQ1001,"")*$G879,"")</f>
        <v/>
      </c>
      <c r="AY879" s="179" t="str">
        <f t="array" ref="AY879">IF($F879&lt;&gt;"",XLOOKUP($F879,Productos!$A:$A,Productos!AR:AR,"Revisar"),"")</f>
        <v/>
      </c>
      <c r="AZ879" s="179" t="str">
        <f t="array" ref="AZ879">IF($F879&lt;&gt;"", XLOOKUP($F879,Productos!$A$2:$A1001,Productos!AS$2:AS1001,"")*$G879,"")</f>
        <v/>
      </c>
      <c r="BA879" s="179" t="str">
        <f t="array" ref="BA879">IF($F879&lt;&gt;"",XLOOKUP($F879,Productos!$A:$A,Productos!AT:AT,"Revisar"),"")</f>
        <v/>
      </c>
      <c r="BB879" s="179" t="str">
        <f t="array" ref="BB879">IF($F879&lt;&gt;"", XLOOKUP($F879,Productos!$A$2:$A1001,Productos!AU$2:AU1001,"")*$G879,"")</f>
        <v/>
      </c>
      <c r="BC879" s="179" t="str">
        <f t="array" ref="BC879">IF($F879&lt;&gt;"",XLOOKUP($F879,Productos!$A:$A,Productos!AV:AV,"Revisar"),"")</f>
        <v/>
      </c>
      <c r="BD879" s="179" t="str">
        <f t="array" ref="BD879">IF($F879&lt;&gt;"", XLOOKUP($F879,Productos!$A$2:$A1001,Productos!AW$2:AW1001,"")*$G879,"")</f>
        <v/>
      </c>
      <c r="BE879" s="179" t="str">
        <f t="array" ref="BE879">IF($F879&lt;&gt;"",XLOOKUP($F879,Productos!$A:$A,Productos!AX:AX,"Revisar"),"")</f>
        <v/>
      </c>
      <c r="BF879" s="179" t="str">
        <f t="array" ref="BF879">IF($F879&lt;&gt;"", XLOOKUP($F879,Productos!$A$2:$A1001,Productos!AY$2:AY1001,"")*$G879,"")</f>
        <v/>
      </c>
      <c r="BG879" s="179" t="str">
        <f t="array" ref="BG879">IF($F879&lt;&gt;"",XLOOKUP($F879,Productos!$A:$A,Productos!AZ:AZ,"Revisar"),"")</f>
        <v/>
      </c>
      <c r="BH879" s="179" t="str">
        <f t="array" ref="BH879">IF($F879&lt;&gt;"", XLOOKUP($F879,Productos!$A$2:$A1001,Productos!BA$2:BA1001,"")*$G879,"")</f>
        <v/>
      </c>
      <c r="BI879" s="179" t="str">
        <f t="array" ref="BI879">IF($F879&lt;&gt;"",XLOOKUP($F879,Productos!$A:$A,Productos!BB:BB,"Revisar"),"")</f>
        <v/>
      </c>
      <c r="BJ879" s="179" t="str">
        <f t="array" ref="BJ879">IF($F879&lt;&gt;"", XLOOKUP($F879,Productos!$A$2:$A1001,Productos!BC$2:BC1001,"")*$G879,"")</f>
        <v/>
      </c>
      <c r="BK879" s="179" t="str">
        <f t="array" ref="BK879">IF($F879&lt;&gt;"",XLOOKUP($F879,Productos!$A:$A,Productos!BD:BD,"Revisar"),"")</f>
        <v/>
      </c>
      <c r="BL879" s="179" t="str">
        <f t="array" ref="BL879">IF($F879&lt;&gt;"", XLOOKUP($F879,Productos!$A$2:$A1001,Productos!BE$2:BE1001,"")*$G879,"")</f>
        <v/>
      </c>
      <c r="BM879" s="179" t="str">
        <f t="array" ref="BM879">IF($F879&lt;&gt;"",XLOOKUP($F879,Productos!$A:$A,Productos!BF:BF,"Revisar"),"")</f>
        <v/>
      </c>
      <c r="BN879" s="179" t="str">
        <f t="array" ref="BN879">IF($F879&lt;&gt;"", XLOOKUP($F879,Productos!$A$2:$A1001,Productos!BG$2:BG1001,"")*$G879,"")</f>
        <v/>
      </c>
      <c r="BO879" s="179" t="str">
        <f t="array" ref="BO879">IF($F879&lt;&gt;"",XLOOKUP($F879,Productos!$A:$A,Productos!BH:BH,"Revisar"),"")</f>
        <v/>
      </c>
      <c r="BP879" s="179" t="str">
        <f t="array" ref="BP879">IF($F879&lt;&gt;"", XLOOKUP($F879,Productos!$A$2:$A1001,Productos!BI$2:BI1001,"")*$G879,"")</f>
        <v/>
      </c>
      <c r="BQ879" s="179" t="str">
        <f t="array" ref="BQ879">IF($F879&lt;&gt;"",XLOOKUP($F879,Productos!$A:$A,Productos!BJ:BJ,"Revisar"),"")</f>
        <v/>
      </c>
      <c r="BR879" s="179" t="str">
        <f t="array" ref="BR879">IF($F879&lt;&gt;"", XLOOKUP($F879,Productos!$A$2:$A1001,Productos!BK$2:BK1001,"")*$G879,"")</f>
        <v/>
      </c>
      <c r="BS879" s="179" t="str">
        <f t="array" ref="BS879">IF($F879&lt;&gt;"",XLOOKUP($F879,Productos!$A:$A,Productos!BL:BL,"Revisar"),"")</f>
        <v/>
      </c>
      <c r="BT879" s="179" t="str">
        <f t="array" ref="BT879">IF($F879&lt;&gt;"", XLOOKUP($F879,Productos!$A$2:$A1001,Productos!BM$2:BM1001,"")*$G879,"")</f>
        <v/>
      </c>
      <c r="BU879" s="179" t="str">
        <f t="array" ref="BU879">IF($F879&lt;&gt;"",XLOOKUP($F879,Productos!$A:$A,Productos!BN:BN,"Revisar"),"")</f>
        <v/>
      </c>
      <c r="BV879" s="179" t="str">
        <f t="array" ref="BV879">IF($F879&lt;&gt;"", XLOOKUP($F879,Productos!$A$2:$A1001,Productos!BO$2:BO1001,"")*$G879,"")</f>
        <v/>
      </c>
      <c r="BW879" s="179" t="str">
        <f t="array" ref="BW879">IF($F879&lt;&gt;"",XLOOKUP($F879,Productos!$A:$A,Productos!BP:BP,"Revisar"),"")</f>
        <v/>
      </c>
      <c r="BX879" s="179" t="str">
        <f t="array" ref="BX879">IF($F879&lt;&gt;"", XLOOKUP($F879,Productos!$A$2:$A1001,Productos!BQ$2:BQ1001,"")*$G879,"")</f>
        <v/>
      </c>
      <c r="BY879" s="179" t="str">
        <f t="array" ref="BY879">IF($F879&lt;&gt;"",XLOOKUP($F879,Productos!$A:$A,Productos!BR:BR,"Revisar"),"")</f>
        <v/>
      </c>
      <c r="BZ879" s="179" t="str">
        <f t="array" ref="BZ879">IF($F879&lt;&gt;"", XLOOKUP($F879,Productos!$A$2:$A1001,Productos!BS$2:BS1001,"")*$G879,"")</f>
        <v/>
      </c>
    </row>
    <row r="880">
      <c r="A880" s="188"/>
      <c r="B880" s="189"/>
      <c r="C880" s="190"/>
      <c r="D880" s="190"/>
      <c r="E880" s="191"/>
      <c r="F880" s="186"/>
      <c r="G880" s="192"/>
      <c r="H880" s="9"/>
      <c r="I880" s="179" t="str">
        <f t="array" ref="I880">IF($F880&lt;&gt;"",XLOOKUP($F880,Productos!$A:$A,Productos!B:B,"Revisar"),"")</f>
        <v/>
      </c>
      <c r="J880" s="179" t="str">
        <f t="array" ref="J880">IF($F880&lt;&gt;"", XLOOKUP($F880,Productos!$A$2:$A1001,Productos!C$2:C1001,"")*$G880,"")</f>
        <v/>
      </c>
      <c r="K880" s="179" t="str">
        <f t="array" ref="K880">IF($F880&lt;&gt;"",XLOOKUP($F880,Productos!$A:$A,Productos!D:D,"Revisar"),"")</f>
        <v/>
      </c>
      <c r="L880" s="179" t="str">
        <f t="array" ref="L880">IF($F880&lt;&gt;"", XLOOKUP($F880,Productos!$A$2:$A1001,Productos!E$2:E1001,"")*$G880,"")</f>
        <v/>
      </c>
      <c r="M880" s="179" t="str">
        <f t="array" ref="M880">IF($F880&lt;&gt;"",XLOOKUP($F880,Productos!$A:$A,Productos!F:F,"Revisar"),"")</f>
        <v/>
      </c>
      <c r="N880" s="179" t="str">
        <f t="array" ref="N880">IF($F880&lt;&gt;"", XLOOKUP($F880,Productos!$A$2:$A1001,Productos!G$2:G1001,"")*$G880,"")</f>
        <v/>
      </c>
      <c r="O880" s="179" t="str">
        <f t="array" ref="O880">IF($F880&lt;&gt;"",XLOOKUP($F880,Productos!$A:$A,Productos!H:H,"Revisar"),"")</f>
        <v/>
      </c>
      <c r="P880" s="179" t="str">
        <f t="array" ref="P880">IF($F880&lt;&gt;"", XLOOKUP($F880,Productos!$A$2:$A1001,Productos!I$2:I1001,"")*$G880,"")</f>
        <v/>
      </c>
      <c r="Q880" s="179" t="str">
        <f t="array" ref="Q880">IF($F880&lt;&gt;"",XLOOKUP($F880,Productos!$A:$A,Productos!J:J,"Revisar"),"")</f>
        <v/>
      </c>
      <c r="R880" s="179" t="str">
        <f t="array" ref="R880">IF($F880&lt;&gt;"", XLOOKUP($F880,Productos!$A$2:$A1001,Productos!K$2:K1001,"")*$G880,"")</f>
        <v/>
      </c>
      <c r="S880" s="179" t="str">
        <f t="array" ref="S880">IF($F880&lt;&gt;"",XLOOKUP($F880,Productos!$A:$A,Productos!L:L,"Revisar"),"")</f>
        <v/>
      </c>
      <c r="T880" s="179" t="str">
        <f t="array" ref="T880">IF($F880&lt;&gt;"", XLOOKUP($F880,Productos!$A$2:$A1001,Productos!M$2:M1001,"")*$G880,"")</f>
        <v/>
      </c>
      <c r="U880" s="179" t="str">
        <f t="array" ref="U880">IF($F880&lt;&gt;"",XLOOKUP($F880,Productos!$A:$A,Productos!N:N,"Revisar"),"")</f>
        <v/>
      </c>
      <c r="V880" s="179" t="str">
        <f t="array" ref="V880">IF($F880&lt;&gt;"", XLOOKUP($F880,Productos!$A$2:$A1001,Productos!O$2:O1001,"")*$G880,"")</f>
        <v/>
      </c>
      <c r="W880" s="179" t="str">
        <f t="array" ref="W880">IF($F880&lt;&gt;"",XLOOKUP($F880,Productos!$A:$A,Productos!P:P,"Revisar"),"")</f>
        <v/>
      </c>
      <c r="X880" s="179" t="str">
        <f t="array" ref="X880">IF($F880&lt;&gt;"", XLOOKUP($F880,Productos!$A$2:$A1001,Productos!Q$2:Q1001,"")*$G880,"")</f>
        <v/>
      </c>
      <c r="Y880" s="179" t="str">
        <f t="array" ref="Y880">IF($F880&lt;&gt;"",XLOOKUP($F880,Productos!$A:$A,Productos!R:R,"Revisar"),"")</f>
        <v/>
      </c>
      <c r="Z880" s="179" t="str">
        <f t="array" ref="Z880">IF($F880&lt;&gt;"", XLOOKUP($F880,Productos!$A$2:$A1001,Productos!S$2:S1001,"")*$G880,"")</f>
        <v/>
      </c>
      <c r="AA880" s="179" t="str">
        <f t="array" ref="AA880">IF($F880&lt;&gt;"",XLOOKUP($F880,Productos!$A:$A,Productos!T:T,"Revisar"),"")</f>
        <v/>
      </c>
      <c r="AB880" s="179" t="str">
        <f t="array" ref="AB880">IF($F880&lt;&gt;"", XLOOKUP($F880,Productos!$A$2:$A1001,Productos!U$2:U1001,"")*$G880,"")</f>
        <v/>
      </c>
      <c r="AC880" s="179" t="str">
        <f t="array" ref="AC880">IF($F880&lt;&gt;"",XLOOKUP($F880,Productos!$A:$A,Productos!V:V,"Revisar"),"")</f>
        <v/>
      </c>
      <c r="AD880" s="179" t="str">
        <f t="array" ref="AD880">IF($F880&lt;&gt;"", XLOOKUP($F880,Productos!$A$2:$A1001,Productos!W$2:W1001,"")*$G880,"")</f>
        <v/>
      </c>
      <c r="AE880" s="179" t="str">
        <f t="array" ref="AE880">IF($F880&lt;&gt;"",XLOOKUP($F880,Productos!$A:$A,Productos!X:X,"Revisar"),"")</f>
        <v/>
      </c>
      <c r="AF880" s="179" t="str">
        <f t="array" ref="AF880">IF($F880&lt;&gt;"", XLOOKUP($F880,Productos!$A$2:$A1001,Productos!Y$2:Y1001,"")*$G880,"")</f>
        <v/>
      </c>
      <c r="AG880" s="179" t="str">
        <f t="array" ref="AG880">IF($F880&lt;&gt;"",XLOOKUP($F880,Productos!$A:$A,Productos!Z:Z,"Revisar"),"")</f>
        <v/>
      </c>
      <c r="AH880" s="179" t="str">
        <f t="array" ref="AH880">IF($F880&lt;&gt;"", XLOOKUP($F880,Productos!$A$2:$A1001,Productos!AA$2:AA1001,"")*$G880,"")</f>
        <v/>
      </c>
      <c r="AI880" s="179" t="str">
        <f t="array" ref="AI880">IF($F880&lt;&gt;"",XLOOKUP($F880,Productos!$A:$A,Productos!AB:AB,"Revisar"),"")</f>
        <v/>
      </c>
      <c r="AJ880" s="179" t="str">
        <f t="array" ref="AJ880">IF($F880&lt;&gt;"", XLOOKUP($F880,Productos!$A$2:$A1001,Productos!AC$2:AC1001,"")*$G880,"")</f>
        <v/>
      </c>
      <c r="AK880" s="179" t="str">
        <f t="array" ref="AK880">IF($F880&lt;&gt;"",XLOOKUP($F880,Productos!$A:$A,Productos!AD:AD,"Revisar"),"")</f>
        <v/>
      </c>
      <c r="AL880" s="179" t="str">
        <f t="array" ref="AL880">IF($F880&lt;&gt;"", XLOOKUP($F880,Productos!$A$2:$A1001,Productos!AE$2:AE1001,"")*$G880,"")</f>
        <v/>
      </c>
      <c r="AM880" s="179" t="str">
        <f t="array" ref="AM880">IF($F880&lt;&gt;"",XLOOKUP($F880,Productos!$A:$A,Productos!AF:AF,"Revisar"),"")</f>
        <v/>
      </c>
      <c r="AN880" s="179" t="str">
        <f t="array" ref="AN880">IF($F880&lt;&gt;"", XLOOKUP($F880,Productos!$A$2:$A1001,Productos!AG$2:AG1001,"")*$G880,"")</f>
        <v/>
      </c>
      <c r="AO880" s="179" t="str">
        <f t="array" ref="AO880">IF($F880&lt;&gt;"",XLOOKUP($F880,Productos!$A:$A,Productos!AH:AH,"Revisar"),"")</f>
        <v/>
      </c>
      <c r="AP880" s="179" t="str">
        <f t="array" ref="AP880">IF($F880&lt;&gt;"", XLOOKUP($F880,Productos!$A$2:$A1001,Productos!AI$2:AI1001,"")*$G880,"")</f>
        <v/>
      </c>
      <c r="AQ880" s="179" t="str">
        <f t="array" ref="AQ880">IF($F880&lt;&gt;"",XLOOKUP($F880,Productos!$A:$A,Productos!AJ:AJ,"Revisar"),"")</f>
        <v/>
      </c>
      <c r="AR880" s="179" t="str">
        <f t="array" ref="AR880">IF($F880&lt;&gt;"", XLOOKUP($F880,Productos!$A$2:$A1001,Productos!AK$2:AK1001,"")*$G880,"")</f>
        <v/>
      </c>
      <c r="AS880" s="179" t="str">
        <f t="array" ref="AS880">IF($F880&lt;&gt;"",XLOOKUP($F880,Productos!$A:$A,Productos!AL:AL,"Revisar"),"")</f>
        <v/>
      </c>
      <c r="AT880" s="179" t="str">
        <f t="array" ref="AT880">IF($F880&lt;&gt;"", XLOOKUP($F880,Productos!$A$2:$A1001,Productos!AM$2:AM1001,"")*$G880,"")</f>
        <v/>
      </c>
      <c r="AU880" s="179" t="str">
        <f t="array" ref="AU880">IF($F880&lt;&gt;"",XLOOKUP($F880,Productos!$A:$A,Productos!AN:AN,"Revisar"),"")</f>
        <v/>
      </c>
      <c r="AV880" s="179" t="str">
        <f t="array" ref="AV880">IF($F880&lt;&gt;"", XLOOKUP($F880,Productos!$A$2:$A1001,Productos!AO$2:AO1001,"")*$G880,"")</f>
        <v/>
      </c>
      <c r="AW880" s="179" t="str">
        <f t="array" ref="AW880">IF($F880&lt;&gt;"",XLOOKUP($F880,Productos!$A:$A,Productos!AP:AP,"Revisar"),"")</f>
        <v/>
      </c>
      <c r="AX880" s="179" t="str">
        <f t="array" ref="AX880">IF($F880&lt;&gt;"", XLOOKUP($F880,Productos!$A$2:$A1001,Productos!AQ$2:AQ1001,"")*$G880,"")</f>
        <v/>
      </c>
      <c r="AY880" s="179" t="str">
        <f t="array" ref="AY880">IF($F880&lt;&gt;"",XLOOKUP($F880,Productos!$A:$A,Productos!AR:AR,"Revisar"),"")</f>
        <v/>
      </c>
      <c r="AZ880" s="179" t="str">
        <f t="array" ref="AZ880">IF($F880&lt;&gt;"", XLOOKUP($F880,Productos!$A$2:$A1001,Productos!AS$2:AS1001,"")*$G880,"")</f>
        <v/>
      </c>
      <c r="BA880" s="179" t="str">
        <f t="array" ref="BA880">IF($F880&lt;&gt;"",XLOOKUP($F880,Productos!$A:$A,Productos!AT:AT,"Revisar"),"")</f>
        <v/>
      </c>
      <c r="BB880" s="179" t="str">
        <f t="array" ref="BB880">IF($F880&lt;&gt;"", XLOOKUP($F880,Productos!$A$2:$A1001,Productos!AU$2:AU1001,"")*$G880,"")</f>
        <v/>
      </c>
      <c r="BC880" s="179" t="str">
        <f t="array" ref="BC880">IF($F880&lt;&gt;"",XLOOKUP($F880,Productos!$A:$A,Productos!AV:AV,"Revisar"),"")</f>
        <v/>
      </c>
      <c r="BD880" s="179" t="str">
        <f t="array" ref="BD880">IF($F880&lt;&gt;"", XLOOKUP($F880,Productos!$A$2:$A1001,Productos!AW$2:AW1001,"")*$G880,"")</f>
        <v/>
      </c>
      <c r="BE880" s="179" t="str">
        <f t="array" ref="BE880">IF($F880&lt;&gt;"",XLOOKUP($F880,Productos!$A:$A,Productos!AX:AX,"Revisar"),"")</f>
        <v/>
      </c>
      <c r="BF880" s="179" t="str">
        <f t="array" ref="BF880">IF($F880&lt;&gt;"", XLOOKUP($F880,Productos!$A$2:$A1001,Productos!AY$2:AY1001,"")*$G880,"")</f>
        <v/>
      </c>
      <c r="BG880" s="179" t="str">
        <f t="array" ref="BG880">IF($F880&lt;&gt;"",XLOOKUP($F880,Productos!$A:$A,Productos!AZ:AZ,"Revisar"),"")</f>
        <v/>
      </c>
      <c r="BH880" s="179" t="str">
        <f t="array" ref="BH880">IF($F880&lt;&gt;"", XLOOKUP($F880,Productos!$A$2:$A1001,Productos!BA$2:BA1001,"")*$G880,"")</f>
        <v/>
      </c>
      <c r="BI880" s="179" t="str">
        <f t="array" ref="BI880">IF($F880&lt;&gt;"",XLOOKUP($F880,Productos!$A:$A,Productos!BB:BB,"Revisar"),"")</f>
        <v/>
      </c>
      <c r="BJ880" s="179" t="str">
        <f t="array" ref="BJ880">IF($F880&lt;&gt;"", XLOOKUP($F880,Productos!$A$2:$A1001,Productos!BC$2:BC1001,"")*$G880,"")</f>
        <v/>
      </c>
      <c r="BK880" s="179" t="str">
        <f t="array" ref="BK880">IF($F880&lt;&gt;"",XLOOKUP($F880,Productos!$A:$A,Productos!BD:BD,"Revisar"),"")</f>
        <v/>
      </c>
      <c r="BL880" s="179" t="str">
        <f t="array" ref="BL880">IF($F880&lt;&gt;"", XLOOKUP($F880,Productos!$A$2:$A1001,Productos!BE$2:BE1001,"")*$G880,"")</f>
        <v/>
      </c>
      <c r="BM880" s="179" t="str">
        <f t="array" ref="BM880">IF($F880&lt;&gt;"",XLOOKUP($F880,Productos!$A:$A,Productos!BF:BF,"Revisar"),"")</f>
        <v/>
      </c>
      <c r="BN880" s="179" t="str">
        <f t="array" ref="BN880">IF($F880&lt;&gt;"", XLOOKUP($F880,Productos!$A$2:$A1001,Productos!BG$2:BG1001,"")*$G880,"")</f>
        <v/>
      </c>
      <c r="BO880" s="179" t="str">
        <f t="array" ref="BO880">IF($F880&lt;&gt;"",XLOOKUP($F880,Productos!$A:$A,Productos!BH:BH,"Revisar"),"")</f>
        <v/>
      </c>
      <c r="BP880" s="179" t="str">
        <f t="array" ref="BP880">IF($F880&lt;&gt;"", XLOOKUP($F880,Productos!$A$2:$A1001,Productos!BI$2:BI1001,"")*$G880,"")</f>
        <v/>
      </c>
      <c r="BQ880" s="179" t="str">
        <f t="array" ref="BQ880">IF($F880&lt;&gt;"",XLOOKUP($F880,Productos!$A:$A,Productos!BJ:BJ,"Revisar"),"")</f>
        <v/>
      </c>
      <c r="BR880" s="179" t="str">
        <f t="array" ref="BR880">IF($F880&lt;&gt;"", XLOOKUP($F880,Productos!$A$2:$A1001,Productos!BK$2:BK1001,"")*$G880,"")</f>
        <v/>
      </c>
      <c r="BS880" s="179" t="str">
        <f t="array" ref="BS880">IF($F880&lt;&gt;"",XLOOKUP($F880,Productos!$A:$A,Productos!BL:BL,"Revisar"),"")</f>
        <v/>
      </c>
      <c r="BT880" s="179" t="str">
        <f t="array" ref="BT880">IF($F880&lt;&gt;"", XLOOKUP($F880,Productos!$A$2:$A1001,Productos!BM$2:BM1001,"")*$G880,"")</f>
        <v/>
      </c>
      <c r="BU880" s="179" t="str">
        <f t="array" ref="BU880">IF($F880&lt;&gt;"",XLOOKUP($F880,Productos!$A:$A,Productos!BN:BN,"Revisar"),"")</f>
        <v/>
      </c>
      <c r="BV880" s="179" t="str">
        <f t="array" ref="BV880">IF($F880&lt;&gt;"", XLOOKUP($F880,Productos!$A$2:$A1001,Productos!BO$2:BO1001,"")*$G880,"")</f>
        <v/>
      </c>
      <c r="BW880" s="179" t="str">
        <f t="array" ref="BW880">IF($F880&lt;&gt;"",XLOOKUP($F880,Productos!$A:$A,Productos!BP:BP,"Revisar"),"")</f>
        <v/>
      </c>
      <c r="BX880" s="179" t="str">
        <f t="array" ref="BX880">IF($F880&lt;&gt;"", XLOOKUP($F880,Productos!$A$2:$A1001,Productos!BQ$2:BQ1001,"")*$G880,"")</f>
        <v/>
      </c>
      <c r="BY880" s="179" t="str">
        <f t="array" ref="BY880">IF($F880&lt;&gt;"",XLOOKUP($F880,Productos!$A:$A,Productos!BR:BR,"Revisar"),"")</f>
        <v/>
      </c>
      <c r="BZ880" s="179" t="str">
        <f t="array" ref="BZ880">IF($F880&lt;&gt;"", XLOOKUP($F880,Productos!$A$2:$A1001,Productos!BS$2:BS1001,"")*$G880,"")</f>
        <v/>
      </c>
    </row>
    <row r="881">
      <c r="A881" s="188"/>
      <c r="B881" s="189"/>
      <c r="C881" s="190"/>
      <c r="D881" s="190"/>
      <c r="E881" s="191"/>
      <c r="F881" s="186"/>
      <c r="G881" s="192"/>
      <c r="H881" s="9"/>
      <c r="I881" s="179" t="str">
        <f t="array" ref="I881">IF($F881&lt;&gt;"",XLOOKUP($F881,Productos!$A:$A,Productos!B:B,"Revisar"),"")</f>
        <v/>
      </c>
      <c r="J881" s="179" t="str">
        <f t="array" ref="J881">IF($F881&lt;&gt;"", XLOOKUP($F881,Productos!$A$2:$A1001,Productos!C$2:C1001,"")*$G881,"")</f>
        <v/>
      </c>
      <c r="K881" s="179" t="str">
        <f t="array" ref="K881">IF($F881&lt;&gt;"",XLOOKUP($F881,Productos!$A:$A,Productos!D:D,"Revisar"),"")</f>
        <v/>
      </c>
      <c r="L881" s="179" t="str">
        <f t="array" ref="L881">IF($F881&lt;&gt;"", XLOOKUP($F881,Productos!$A$2:$A1001,Productos!E$2:E1001,"")*$G881,"")</f>
        <v/>
      </c>
      <c r="M881" s="179" t="str">
        <f t="array" ref="M881">IF($F881&lt;&gt;"",XLOOKUP($F881,Productos!$A:$A,Productos!F:F,"Revisar"),"")</f>
        <v/>
      </c>
      <c r="N881" s="179" t="str">
        <f t="array" ref="N881">IF($F881&lt;&gt;"", XLOOKUP($F881,Productos!$A$2:$A1001,Productos!G$2:G1001,"")*$G881,"")</f>
        <v/>
      </c>
      <c r="O881" s="179" t="str">
        <f t="array" ref="O881">IF($F881&lt;&gt;"",XLOOKUP($F881,Productos!$A:$A,Productos!H:H,"Revisar"),"")</f>
        <v/>
      </c>
      <c r="P881" s="179" t="str">
        <f t="array" ref="P881">IF($F881&lt;&gt;"", XLOOKUP($F881,Productos!$A$2:$A1001,Productos!I$2:I1001,"")*$G881,"")</f>
        <v/>
      </c>
      <c r="Q881" s="179" t="str">
        <f t="array" ref="Q881">IF($F881&lt;&gt;"",XLOOKUP($F881,Productos!$A:$A,Productos!J:J,"Revisar"),"")</f>
        <v/>
      </c>
      <c r="R881" s="179" t="str">
        <f t="array" ref="R881">IF($F881&lt;&gt;"", XLOOKUP($F881,Productos!$A$2:$A1001,Productos!K$2:K1001,"")*$G881,"")</f>
        <v/>
      </c>
      <c r="S881" s="179" t="str">
        <f t="array" ref="S881">IF($F881&lt;&gt;"",XLOOKUP($F881,Productos!$A:$A,Productos!L:L,"Revisar"),"")</f>
        <v/>
      </c>
      <c r="T881" s="179" t="str">
        <f t="array" ref="T881">IF($F881&lt;&gt;"", XLOOKUP($F881,Productos!$A$2:$A1001,Productos!M$2:M1001,"")*$G881,"")</f>
        <v/>
      </c>
      <c r="U881" s="179" t="str">
        <f t="array" ref="U881">IF($F881&lt;&gt;"",XLOOKUP($F881,Productos!$A:$A,Productos!N:N,"Revisar"),"")</f>
        <v/>
      </c>
      <c r="V881" s="179" t="str">
        <f t="array" ref="V881">IF($F881&lt;&gt;"", XLOOKUP($F881,Productos!$A$2:$A1001,Productos!O$2:O1001,"")*$G881,"")</f>
        <v/>
      </c>
      <c r="W881" s="179" t="str">
        <f t="array" ref="W881">IF($F881&lt;&gt;"",XLOOKUP($F881,Productos!$A:$A,Productos!P:P,"Revisar"),"")</f>
        <v/>
      </c>
      <c r="X881" s="179" t="str">
        <f t="array" ref="X881">IF($F881&lt;&gt;"", XLOOKUP($F881,Productos!$A$2:$A1001,Productos!Q$2:Q1001,"")*$G881,"")</f>
        <v/>
      </c>
      <c r="Y881" s="179" t="str">
        <f t="array" ref="Y881">IF($F881&lt;&gt;"",XLOOKUP($F881,Productos!$A:$A,Productos!R:R,"Revisar"),"")</f>
        <v/>
      </c>
      <c r="Z881" s="179" t="str">
        <f t="array" ref="Z881">IF($F881&lt;&gt;"", XLOOKUP($F881,Productos!$A$2:$A1001,Productos!S$2:S1001,"")*$G881,"")</f>
        <v/>
      </c>
      <c r="AA881" s="179" t="str">
        <f t="array" ref="AA881">IF($F881&lt;&gt;"",XLOOKUP($F881,Productos!$A:$A,Productos!T:T,"Revisar"),"")</f>
        <v/>
      </c>
      <c r="AB881" s="179" t="str">
        <f t="array" ref="AB881">IF($F881&lt;&gt;"", XLOOKUP($F881,Productos!$A$2:$A1001,Productos!U$2:U1001,"")*$G881,"")</f>
        <v/>
      </c>
      <c r="AC881" s="179" t="str">
        <f t="array" ref="AC881">IF($F881&lt;&gt;"",XLOOKUP($F881,Productos!$A:$A,Productos!V:V,"Revisar"),"")</f>
        <v/>
      </c>
      <c r="AD881" s="179" t="str">
        <f t="array" ref="AD881">IF($F881&lt;&gt;"", XLOOKUP($F881,Productos!$A$2:$A1001,Productos!W$2:W1001,"")*$G881,"")</f>
        <v/>
      </c>
      <c r="AE881" s="179" t="str">
        <f t="array" ref="AE881">IF($F881&lt;&gt;"",XLOOKUP($F881,Productos!$A:$A,Productos!X:X,"Revisar"),"")</f>
        <v/>
      </c>
      <c r="AF881" s="179" t="str">
        <f t="array" ref="AF881">IF($F881&lt;&gt;"", XLOOKUP($F881,Productos!$A$2:$A1001,Productos!Y$2:Y1001,"")*$G881,"")</f>
        <v/>
      </c>
      <c r="AG881" s="179" t="str">
        <f t="array" ref="AG881">IF($F881&lt;&gt;"",XLOOKUP($F881,Productos!$A:$A,Productos!Z:Z,"Revisar"),"")</f>
        <v/>
      </c>
      <c r="AH881" s="179" t="str">
        <f t="array" ref="AH881">IF($F881&lt;&gt;"", XLOOKUP($F881,Productos!$A$2:$A1001,Productos!AA$2:AA1001,"")*$G881,"")</f>
        <v/>
      </c>
      <c r="AI881" s="179" t="str">
        <f t="array" ref="AI881">IF($F881&lt;&gt;"",XLOOKUP($F881,Productos!$A:$A,Productos!AB:AB,"Revisar"),"")</f>
        <v/>
      </c>
      <c r="AJ881" s="179" t="str">
        <f t="array" ref="AJ881">IF($F881&lt;&gt;"", XLOOKUP($F881,Productos!$A$2:$A1001,Productos!AC$2:AC1001,"")*$G881,"")</f>
        <v/>
      </c>
      <c r="AK881" s="179" t="str">
        <f t="array" ref="AK881">IF($F881&lt;&gt;"",XLOOKUP($F881,Productos!$A:$A,Productos!AD:AD,"Revisar"),"")</f>
        <v/>
      </c>
      <c r="AL881" s="179" t="str">
        <f t="array" ref="AL881">IF($F881&lt;&gt;"", XLOOKUP($F881,Productos!$A$2:$A1001,Productos!AE$2:AE1001,"")*$G881,"")</f>
        <v/>
      </c>
      <c r="AM881" s="179" t="str">
        <f t="array" ref="AM881">IF($F881&lt;&gt;"",XLOOKUP($F881,Productos!$A:$A,Productos!AF:AF,"Revisar"),"")</f>
        <v/>
      </c>
      <c r="AN881" s="179" t="str">
        <f t="array" ref="AN881">IF($F881&lt;&gt;"", XLOOKUP($F881,Productos!$A$2:$A1001,Productos!AG$2:AG1001,"")*$G881,"")</f>
        <v/>
      </c>
      <c r="AO881" s="179" t="str">
        <f t="array" ref="AO881">IF($F881&lt;&gt;"",XLOOKUP($F881,Productos!$A:$A,Productos!AH:AH,"Revisar"),"")</f>
        <v/>
      </c>
      <c r="AP881" s="179" t="str">
        <f t="array" ref="AP881">IF($F881&lt;&gt;"", XLOOKUP($F881,Productos!$A$2:$A1001,Productos!AI$2:AI1001,"")*$G881,"")</f>
        <v/>
      </c>
      <c r="AQ881" s="179" t="str">
        <f t="array" ref="AQ881">IF($F881&lt;&gt;"",XLOOKUP($F881,Productos!$A:$A,Productos!AJ:AJ,"Revisar"),"")</f>
        <v/>
      </c>
      <c r="AR881" s="179" t="str">
        <f t="array" ref="AR881">IF($F881&lt;&gt;"", XLOOKUP($F881,Productos!$A$2:$A1001,Productos!AK$2:AK1001,"")*$G881,"")</f>
        <v/>
      </c>
      <c r="AS881" s="179" t="str">
        <f t="array" ref="AS881">IF($F881&lt;&gt;"",XLOOKUP($F881,Productos!$A:$A,Productos!AL:AL,"Revisar"),"")</f>
        <v/>
      </c>
      <c r="AT881" s="179" t="str">
        <f t="array" ref="AT881">IF($F881&lt;&gt;"", XLOOKUP($F881,Productos!$A$2:$A1001,Productos!AM$2:AM1001,"")*$G881,"")</f>
        <v/>
      </c>
      <c r="AU881" s="179" t="str">
        <f t="array" ref="AU881">IF($F881&lt;&gt;"",XLOOKUP($F881,Productos!$A:$A,Productos!AN:AN,"Revisar"),"")</f>
        <v/>
      </c>
      <c r="AV881" s="179" t="str">
        <f t="array" ref="AV881">IF($F881&lt;&gt;"", XLOOKUP($F881,Productos!$A$2:$A1001,Productos!AO$2:AO1001,"")*$G881,"")</f>
        <v/>
      </c>
      <c r="AW881" s="179" t="str">
        <f t="array" ref="AW881">IF($F881&lt;&gt;"",XLOOKUP($F881,Productos!$A:$A,Productos!AP:AP,"Revisar"),"")</f>
        <v/>
      </c>
      <c r="AX881" s="179" t="str">
        <f t="array" ref="AX881">IF($F881&lt;&gt;"", XLOOKUP($F881,Productos!$A$2:$A1001,Productos!AQ$2:AQ1001,"")*$G881,"")</f>
        <v/>
      </c>
      <c r="AY881" s="179" t="str">
        <f t="array" ref="AY881">IF($F881&lt;&gt;"",XLOOKUP($F881,Productos!$A:$A,Productos!AR:AR,"Revisar"),"")</f>
        <v/>
      </c>
      <c r="AZ881" s="179" t="str">
        <f t="array" ref="AZ881">IF($F881&lt;&gt;"", XLOOKUP($F881,Productos!$A$2:$A1001,Productos!AS$2:AS1001,"")*$G881,"")</f>
        <v/>
      </c>
      <c r="BA881" s="179" t="str">
        <f t="array" ref="BA881">IF($F881&lt;&gt;"",XLOOKUP($F881,Productos!$A:$A,Productos!AT:AT,"Revisar"),"")</f>
        <v/>
      </c>
      <c r="BB881" s="179" t="str">
        <f t="array" ref="BB881">IF($F881&lt;&gt;"", XLOOKUP($F881,Productos!$A$2:$A1001,Productos!AU$2:AU1001,"")*$G881,"")</f>
        <v/>
      </c>
      <c r="BC881" s="179" t="str">
        <f t="array" ref="BC881">IF($F881&lt;&gt;"",XLOOKUP($F881,Productos!$A:$A,Productos!AV:AV,"Revisar"),"")</f>
        <v/>
      </c>
      <c r="BD881" s="179" t="str">
        <f t="array" ref="BD881">IF($F881&lt;&gt;"", XLOOKUP($F881,Productos!$A$2:$A1001,Productos!AW$2:AW1001,"")*$G881,"")</f>
        <v/>
      </c>
      <c r="BE881" s="179" t="str">
        <f t="array" ref="BE881">IF($F881&lt;&gt;"",XLOOKUP($F881,Productos!$A:$A,Productos!AX:AX,"Revisar"),"")</f>
        <v/>
      </c>
      <c r="BF881" s="179" t="str">
        <f t="array" ref="BF881">IF($F881&lt;&gt;"", XLOOKUP($F881,Productos!$A$2:$A1001,Productos!AY$2:AY1001,"")*$G881,"")</f>
        <v/>
      </c>
      <c r="BG881" s="179" t="str">
        <f t="array" ref="BG881">IF($F881&lt;&gt;"",XLOOKUP($F881,Productos!$A:$A,Productos!AZ:AZ,"Revisar"),"")</f>
        <v/>
      </c>
      <c r="BH881" s="179" t="str">
        <f t="array" ref="BH881">IF($F881&lt;&gt;"", XLOOKUP($F881,Productos!$A$2:$A1001,Productos!BA$2:BA1001,"")*$G881,"")</f>
        <v/>
      </c>
      <c r="BI881" s="179" t="str">
        <f t="array" ref="BI881">IF($F881&lt;&gt;"",XLOOKUP($F881,Productos!$A:$A,Productos!BB:BB,"Revisar"),"")</f>
        <v/>
      </c>
      <c r="BJ881" s="179" t="str">
        <f t="array" ref="BJ881">IF($F881&lt;&gt;"", XLOOKUP($F881,Productos!$A$2:$A1001,Productos!BC$2:BC1001,"")*$G881,"")</f>
        <v/>
      </c>
      <c r="BK881" s="179" t="str">
        <f t="array" ref="BK881">IF($F881&lt;&gt;"",XLOOKUP($F881,Productos!$A:$A,Productos!BD:BD,"Revisar"),"")</f>
        <v/>
      </c>
      <c r="BL881" s="179" t="str">
        <f t="array" ref="BL881">IF($F881&lt;&gt;"", XLOOKUP($F881,Productos!$A$2:$A1001,Productos!BE$2:BE1001,"")*$G881,"")</f>
        <v/>
      </c>
      <c r="BM881" s="179" t="str">
        <f t="array" ref="BM881">IF($F881&lt;&gt;"",XLOOKUP($F881,Productos!$A:$A,Productos!BF:BF,"Revisar"),"")</f>
        <v/>
      </c>
      <c r="BN881" s="179" t="str">
        <f t="array" ref="BN881">IF($F881&lt;&gt;"", XLOOKUP($F881,Productos!$A$2:$A1001,Productos!BG$2:BG1001,"")*$G881,"")</f>
        <v/>
      </c>
      <c r="BO881" s="179" t="str">
        <f t="array" ref="BO881">IF($F881&lt;&gt;"",XLOOKUP($F881,Productos!$A:$A,Productos!BH:BH,"Revisar"),"")</f>
        <v/>
      </c>
      <c r="BP881" s="179" t="str">
        <f t="array" ref="BP881">IF($F881&lt;&gt;"", XLOOKUP($F881,Productos!$A$2:$A1001,Productos!BI$2:BI1001,"")*$G881,"")</f>
        <v/>
      </c>
      <c r="BQ881" s="179" t="str">
        <f t="array" ref="BQ881">IF($F881&lt;&gt;"",XLOOKUP($F881,Productos!$A:$A,Productos!BJ:BJ,"Revisar"),"")</f>
        <v/>
      </c>
      <c r="BR881" s="179" t="str">
        <f t="array" ref="BR881">IF($F881&lt;&gt;"", XLOOKUP($F881,Productos!$A$2:$A1001,Productos!BK$2:BK1001,"")*$G881,"")</f>
        <v/>
      </c>
      <c r="BS881" s="179" t="str">
        <f t="array" ref="BS881">IF($F881&lt;&gt;"",XLOOKUP($F881,Productos!$A:$A,Productos!BL:BL,"Revisar"),"")</f>
        <v/>
      </c>
      <c r="BT881" s="179" t="str">
        <f t="array" ref="BT881">IF($F881&lt;&gt;"", XLOOKUP($F881,Productos!$A$2:$A1001,Productos!BM$2:BM1001,"")*$G881,"")</f>
        <v/>
      </c>
      <c r="BU881" s="179" t="str">
        <f t="array" ref="BU881">IF($F881&lt;&gt;"",XLOOKUP($F881,Productos!$A:$A,Productos!BN:BN,"Revisar"),"")</f>
        <v/>
      </c>
      <c r="BV881" s="179" t="str">
        <f t="array" ref="BV881">IF($F881&lt;&gt;"", XLOOKUP($F881,Productos!$A$2:$A1001,Productos!BO$2:BO1001,"")*$G881,"")</f>
        <v/>
      </c>
      <c r="BW881" s="179" t="str">
        <f t="array" ref="BW881">IF($F881&lt;&gt;"",XLOOKUP($F881,Productos!$A:$A,Productos!BP:BP,"Revisar"),"")</f>
        <v/>
      </c>
      <c r="BX881" s="179" t="str">
        <f t="array" ref="BX881">IF($F881&lt;&gt;"", XLOOKUP($F881,Productos!$A$2:$A1001,Productos!BQ$2:BQ1001,"")*$G881,"")</f>
        <v/>
      </c>
      <c r="BY881" s="179" t="str">
        <f t="array" ref="BY881">IF($F881&lt;&gt;"",XLOOKUP($F881,Productos!$A:$A,Productos!BR:BR,"Revisar"),"")</f>
        <v/>
      </c>
      <c r="BZ881" s="179" t="str">
        <f t="array" ref="BZ881">IF($F881&lt;&gt;"", XLOOKUP($F881,Productos!$A$2:$A1001,Productos!BS$2:BS1001,"")*$G881,"")</f>
        <v/>
      </c>
    </row>
    <row r="882">
      <c r="A882" s="188"/>
      <c r="B882" s="189"/>
      <c r="C882" s="190"/>
      <c r="D882" s="190"/>
      <c r="E882" s="191"/>
      <c r="F882" s="186"/>
      <c r="G882" s="192"/>
      <c r="H882" s="9"/>
      <c r="I882" s="179" t="str">
        <f t="array" ref="I882">IF($F882&lt;&gt;"",XLOOKUP($F882,Productos!$A:$A,Productos!B:B,"Revisar"),"")</f>
        <v/>
      </c>
      <c r="J882" s="179" t="str">
        <f t="array" ref="J882">IF($F882&lt;&gt;"", XLOOKUP($F882,Productos!$A$2:$A1001,Productos!C$2:C1001,"")*$G882,"")</f>
        <v/>
      </c>
      <c r="K882" s="179" t="str">
        <f t="array" ref="K882">IF($F882&lt;&gt;"",XLOOKUP($F882,Productos!$A:$A,Productos!D:D,"Revisar"),"")</f>
        <v/>
      </c>
      <c r="L882" s="179" t="str">
        <f t="array" ref="L882">IF($F882&lt;&gt;"", XLOOKUP($F882,Productos!$A$2:$A1001,Productos!E$2:E1001,"")*$G882,"")</f>
        <v/>
      </c>
      <c r="M882" s="179" t="str">
        <f t="array" ref="M882">IF($F882&lt;&gt;"",XLOOKUP($F882,Productos!$A:$A,Productos!F:F,"Revisar"),"")</f>
        <v/>
      </c>
      <c r="N882" s="179" t="str">
        <f t="array" ref="N882">IF($F882&lt;&gt;"", XLOOKUP($F882,Productos!$A$2:$A1001,Productos!G$2:G1001,"")*$G882,"")</f>
        <v/>
      </c>
      <c r="O882" s="179" t="str">
        <f t="array" ref="O882">IF($F882&lt;&gt;"",XLOOKUP($F882,Productos!$A:$A,Productos!H:H,"Revisar"),"")</f>
        <v/>
      </c>
      <c r="P882" s="179" t="str">
        <f t="array" ref="P882">IF($F882&lt;&gt;"", XLOOKUP($F882,Productos!$A$2:$A1001,Productos!I$2:I1001,"")*$G882,"")</f>
        <v/>
      </c>
      <c r="Q882" s="179" t="str">
        <f t="array" ref="Q882">IF($F882&lt;&gt;"",XLOOKUP($F882,Productos!$A:$A,Productos!J:J,"Revisar"),"")</f>
        <v/>
      </c>
      <c r="R882" s="179" t="str">
        <f t="array" ref="R882">IF($F882&lt;&gt;"", XLOOKUP($F882,Productos!$A$2:$A1001,Productos!K$2:K1001,"")*$G882,"")</f>
        <v/>
      </c>
      <c r="S882" s="179" t="str">
        <f t="array" ref="S882">IF($F882&lt;&gt;"",XLOOKUP($F882,Productos!$A:$A,Productos!L:L,"Revisar"),"")</f>
        <v/>
      </c>
      <c r="T882" s="179" t="str">
        <f t="array" ref="T882">IF($F882&lt;&gt;"", XLOOKUP($F882,Productos!$A$2:$A1001,Productos!M$2:M1001,"")*$G882,"")</f>
        <v/>
      </c>
      <c r="U882" s="179" t="str">
        <f t="array" ref="U882">IF($F882&lt;&gt;"",XLOOKUP($F882,Productos!$A:$A,Productos!N:N,"Revisar"),"")</f>
        <v/>
      </c>
      <c r="V882" s="179" t="str">
        <f t="array" ref="V882">IF($F882&lt;&gt;"", XLOOKUP($F882,Productos!$A$2:$A1001,Productos!O$2:O1001,"")*$G882,"")</f>
        <v/>
      </c>
      <c r="W882" s="179" t="str">
        <f t="array" ref="W882">IF($F882&lt;&gt;"",XLOOKUP($F882,Productos!$A:$A,Productos!P:P,"Revisar"),"")</f>
        <v/>
      </c>
      <c r="X882" s="179" t="str">
        <f t="array" ref="X882">IF($F882&lt;&gt;"", XLOOKUP($F882,Productos!$A$2:$A1001,Productos!Q$2:Q1001,"")*$G882,"")</f>
        <v/>
      </c>
      <c r="Y882" s="179" t="str">
        <f t="array" ref="Y882">IF($F882&lt;&gt;"",XLOOKUP($F882,Productos!$A:$A,Productos!R:R,"Revisar"),"")</f>
        <v/>
      </c>
      <c r="Z882" s="179" t="str">
        <f t="array" ref="Z882">IF($F882&lt;&gt;"", XLOOKUP($F882,Productos!$A$2:$A1001,Productos!S$2:S1001,"")*$G882,"")</f>
        <v/>
      </c>
      <c r="AA882" s="179" t="str">
        <f t="array" ref="AA882">IF($F882&lt;&gt;"",XLOOKUP($F882,Productos!$A:$A,Productos!T:T,"Revisar"),"")</f>
        <v/>
      </c>
      <c r="AB882" s="179" t="str">
        <f t="array" ref="AB882">IF($F882&lt;&gt;"", XLOOKUP($F882,Productos!$A$2:$A1001,Productos!U$2:U1001,"")*$G882,"")</f>
        <v/>
      </c>
      <c r="AC882" s="179" t="str">
        <f t="array" ref="AC882">IF($F882&lt;&gt;"",XLOOKUP($F882,Productos!$A:$A,Productos!V:V,"Revisar"),"")</f>
        <v/>
      </c>
      <c r="AD882" s="179" t="str">
        <f t="array" ref="AD882">IF($F882&lt;&gt;"", XLOOKUP($F882,Productos!$A$2:$A1001,Productos!W$2:W1001,"")*$G882,"")</f>
        <v/>
      </c>
      <c r="AE882" s="179" t="str">
        <f t="array" ref="AE882">IF($F882&lt;&gt;"",XLOOKUP($F882,Productos!$A:$A,Productos!X:X,"Revisar"),"")</f>
        <v/>
      </c>
      <c r="AF882" s="179" t="str">
        <f t="array" ref="AF882">IF($F882&lt;&gt;"", XLOOKUP($F882,Productos!$A$2:$A1001,Productos!Y$2:Y1001,"")*$G882,"")</f>
        <v/>
      </c>
      <c r="AG882" s="179" t="str">
        <f t="array" ref="AG882">IF($F882&lt;&gt;"",XLOOKUP($F882,Productos!$A:$A,Productos!Z:Z,"Revisar"),"")</f>
        <v/>
      </c>
      <c r="AH882" s="179" t="str">
        <f t="array" ref="AH882">IF($F882&lt;&gt;"", XLOOKUP($F882,Productos!$A$2:$A1001,Productos!AA$2:AA1001,"")*$G882,"")</f>
        <v/>
      </c>
      <c r="AI882" s="179" t="str">
        <f t="array" ref="AI882">IF($F882&lt;&gt;"",XLOOKUP($F882,Productos!$A:$A,Productos!AB:AB,"Revisar"),"")</f>
        <v/>
      </c>
      <c r="AJ882" s="179" t="str">
        <f t="array" ref="AJ882">IF($F882&lt;&gt;"", XLOOKUP($F882,Productos!$A$2:$A1001,Productos!AC$2:AC1001,"")*$G882,"")</f>
        <v/>
      </c>
      <c r="AK882" s="179" t="str">
        <f t="array" ref="AK882">IF($F882&lt;&gt;"",XLOOKUP($F882,Productos!$A:$A,Productos!AD:AD,"Revisar"),"")</f>
        <v/>
      </c>
      <c r="AL882" s="179" t="str">
        <f t="array" ref="AL882">IF($F882&lt;&gt;"", XLOOKUP($F882,Productos!$A$2:$A1001,Productos!AE$2:AE1001,"")*$G882,"")</f>
        <v/>
      </c>
      <c r="AM882" s="179" t="str">
        <f t="array" ref="AM882">IF($F882&lt;&gt;"",XLOOKUP($F882,Productos!$A:$A,Productos!AF:AF,"Revisar"),"")</f>
        <v/>
      </c>
      <c r="AN882" s="179" t="str">
        <f t="array" ref="AN882">IF($F882&lt;&gt;"", XLOOKUP($F882,Productos!$A$2:$A1001,Productos!AG$2:AG1001,"")*$G882,"")</f>
        <v/>
      </c>
      <c r="AO882" s="179" t="str">
        <f t="array" ref="AO882">IF($F882&lt;&gt;"",XLOOKUP($F882,Productos!$A:$A,Productos!AH:AH,"Revisar"),"")</f>
        <v/>
      </c>
      <c r="AP882" s="179" t="str">
        <f t="array" ref="AP882">IF($F882&lt;&gt;"", XLOOKUP($F882,Productos!$A$2:$A1001,Productos!AI$2:AI1001,"")*$G882,"")</f>
        <v/>
      </c>
      <c r="AQ882" s="179" t="str">
        <f t="array" ref="AQ882">IF($F882&lt;&gt;"",XLOOKUP($F882,Productos!$A:$A,Productos!AJ:AJ,"Revisar"),"")</f>
        <v/>
      </c>
      <c r="AR882" s="179" t="str">
        <f t="array" ref="AR882">IF($F882&lt;&gt;"", XLOOKUP($F882,Productos!$A$2:$A1001,Productos!AK$2:AK1001,"")*$G882,"")</f>
        <v/>
      </c>
      <c r="AS882" s="179" t="str">
        <f t="array" ref="AS882">IF($F882&lt;&gt;"",XLOOKUP($F882,Productos!$A:$A,Productos!AL:AL,"Revisar"),"")</f>
        <v/>
      </c>
      <c r="AT882" s="179" t="str">
        <f t="array" ref="AT882">IF($F882&lt;&gt;"", XLOOKUP($F882,Productos!$A$2:$A1001,Productos!AM$2:AM1001,"")*$G882,"")</f>
        <v/>
      </c>
      <c r="AU882" s="179" t="str">
        <f t="array" ref="AU882">IF($F882&lt;&gt;"",XLOOKUP($F882,Productos!$A:$A,Productos!AN:AN,"Revisar"),"")</f>
        <v/>
      </c>
      <c r="AV882" s="179" t="str">
        <f t="array" ref="AV882">IF($F882&lt;&gt;"", XLOOKUP($F882,Productos!$A$2:$A1001,Productos!AO$2:AO1001,"")*$G882,"")</f>
        <v/>
      </c>
      <c r="AW882" s="179" t="str">
        <f t="array" ref="AW882">IF($F882&lt;&gt;"",XLOOKUP($F882,Productos!$A:$A,Productos!AP:AP,"Revisar"),"")</f>
        <v/>
      </c>
      <c r="AX882" s="179" t="str">
        <f t="array" ref="AX882">IF($F882&lt;&gt;"", XLOOKUP($F882,Productos!$A$2:$A1001,Productos!AQ$2:AQ1001,"")*$G882,"")</f>
        <v/>
      </c>
      <c r="AY882" s="179" t="str">
        <f t="array" ref="AY882">IF($F882&lt;&gt;"",XLOOKUP($F882,Productos!$A:$A,Productos!AR:AR,"Revisar"),"")</f>
        <v/>
      </c>
      <c r="AZ882" s="179" t="str">
        <f t="array" ref="AZ882">IF($F882&lt;&gt;"", XLOOKUP($F882,Productos!$A$2:$A1001,Productos!AS$2:AS1001,"")*$G882,"")</f>
        <v/>
      </c>
      <c r="BA882" s="179" t="str">
        <f t="array" ref="BA882">IF($F882&lt;&gt;"",XLOOKUP($F882,Productos!$A:$A,Productos!AT:AT,"Revisar"),"")</f>
        <v/>
      </c>
      <c r="BB882" s="179" t="str">
        <f t="array" ref="BB882">IF($F882&lt;&gt;"", XLOOKUP($F882,Productos!$A$2:$A1001,Productos!AU$2:AU1001,"")*$G882,"")</f>
        <v/>
      </c>
      <c r="BC882" s="179" t="str">
        <f t="array" ref="BC882">IF($F882&lt;&gt;"",XLOOKUP($F882,Productos!$A:$A,Productos!AV:AV,"Revisar"),"")</f>
        <v/>
      </c>
      <c r="BD882" s="179" t="str">
        <f t="array" ref="BD882">IF($F882&lt;&gt;"", XLOOKUP($F882,Productos!$A$2:$A1001,Productos!AW$2:AW1001,"")*$G882,"")</f>
        <v/>
      </c>
      <c r="BE882" s="179" t="str">
        <f t="array" ref="BE882">IF($F882&lt;&gt;"",XLOOKUP($F882,Productos!$A:$A,Productos!AX:AX,"Revisar"),"")</f>
        <v/>
      </c>
      <c r="BF882" s="179" t="str">
        <f t="array" ref="BF882">IF($F882&lt;&gt;"", XLOOKUP($F882,Productos!$A$2:$A1001,Productos!AY$2:AY1001,"")*$G882,"")</f>
        <v/>
      </c>
      <c r="BG882" s="179" t="str">
        <f t="array" ref="BG882">IF($F882&lt;&gt;"",XLOOKUP($F882,Productos!$A:$A,Productos!AZ:AZ,"Revisar"),"")</f>
        <v/>
      </c>
      <c r="BH882" s="179" t="str">
        <f t="array" ref="BH882">IF($F882&lt;&gt;"", XLOOKUP($F882,Productos!$A$2:$A1001,Productos!BA$2:BA1001,"")*$G882,"")</f>
        <v/>
      </c>
      <c r="BI882" s="179" t="str">
        <f t="array" ref="BI882">IF($F882&lt;&gt;"",XLOOKUP($F882,Productos!$A:$A,Productos!BB:BB,"Revisar"),"")</f>
        <v/>
      </c>
      <c r="BJ882" s="179" t="str">
        <f t="array" ref="BJ882">IF($F882&lt;&gt;"", XLOOKUP($F882,Productos!$A$2:$A1001,Productos!BC$2:BC1001,"")*$G882,"")</f>
        <v/>
      </c>
      <c r="BK882" s="179" t="str">
        <f t="array" ref="BK882">IF($F882&lt;&gt;"",XLOOKUP($F882,Productos!$A:$A,Productos!BD:BD,"Revisar"),"")</f>
        <v/>
      </c>
      <c r="BL882" s="179" t="str">
        <f t="array" ref="BL882">IF($F882&lt;&gt;"", XLOOKUP($F882,Productos!$A$2:$A1001,Productos!BE$2:BE1001,"")*$G882,"")</f>
        <v/>
      </c>
      <c r="BM882" s="179" t="str">
        <f t="array" ref="BM882">IF($F882&lt;&gt;"",XLOOKUP($F882,Productos!$A:$A,Productos!BF:BF,"Revisar"),"")</f>
        <v/>
      </c>
      <c r="BN882" s="179" t="str">
        <f t="array" ref="BN882">IF($F882&lt;&gt;"", XLOOKUP($F882,Productos!$A$2:$A1001,Productos!BG$2:BG1001,"")*$G882,"")</f>
        <v/>
      </c>
      <c r="BO882" s="179" t="str">
        <f t="array" ref="BO882">IF($F882&lt;&gt;"",XLOOKUP($F882,Productos!$A:$A,Productos!BH:BH,"Revisar"),"")</f>
        <v/>
      </c>
      <c r="BP882" s="179" t="str">
        <f t="array" ref="BP882">IF($F882&lt;&gt;"", XLOOKUP($F882,Productos!$A$2:$A1001,Productos!BI$2:BI1001,"")*$G882,"")</f>
        <v/>
      </c>
      <c r="BQ882" s="179" t="str">
        <f t="array" ref="BQ882">IF($F882&lt;&gt;"",XLOOKUP($F882,Productos!$A:$A,Productos!BJ:BJ,"Revisar"),"")</f>
        <v/>
      </c>
      <c r="BR882" s="179" t="str">
        <f t="array" ref="BR882">IF($F882&lt;&gt;"", XLOOKUP($F882,Productos!$A$2:$A1001,Productos!BK$2:BK1001,"")*$G882,"")</f>
        <v/>
      </c>
      <c r="BS882" s="179" t="str">
        <f t="array" ref="BS882">IF($F882&lt;&gt;"",XLOOKUP($F882,Productos!$A:$A,Productos!BL:BL,"Revisar"),"")</f>
        <v/>
      </c>
      <c r="BT882" s="179" t="str">
        <f t="array" ref="BT882">IF($F882&lt;&gt;"", XLOOKUP($F882,Productos!$A$2:$A1001,Productos!BM$2:BM1001,"")*$G882,"")</f>
        <v/>
      </c>
      <c r="BU882" s="179" t="str">
        <f t="array" ref="BU882">IF($F882&lt;&gt;"",XLOOKUP($F882,Productos!$A:$A,Productos!BN:BN,"Revisar"),"")</f>
        <v/>
      </c>
      <c r="BV882" s="179" t="str">
        <f t="array" ref="BV882">IF($F882&lt;&gt;"", XLOOKUP($F882,Productos!$A$2:$A1001,Productos!BO$2:BO1001,"")*$G882,"")</f>
        <v/>
      </c>
      <c r="BW882" s="179" t="str">
        <f t="array" ref="BW882">IF($F882&lt;&gt;"",XLOOKUP($F882,Productos!$A:$A,Productos!BP:BP,"Revisar"),"")</f>
        <v/>
      </c>
      <c r="BX882" s="179" t="str">
        <f t="array" ref="BX882">IF($F882&lt;&gt;"", XLOOKUP($F882,Productos!$A$2:$A1001,Productos!BQ$2:BQ1001,"")*$G882,"")</f>
        <v/>
      </c>
      <c r="BY882" s="179" t="str">
        <f t="array" ref="BY882">IF($F882&lt;&gt;"",XLOOKUP($F882,Productos!$A:$A,Productos!BR:BR,"Revisar"),"")</f>
        <v/>
      </c>
      <c r="BZ882" s="179" t="str">
        <f t="array" ref="BZ882">IF($F882&lt;&gt;"", XLOOKUP($F882,Productos!$A$2:$A1001,Productos!BS$2:BS1001,"")*$G882,"")</f>
        <v/>
      </c>
    </row>
    <row r="883">
      <c r="A883" s="188"/>
      <c r="B883" s="189"/>
      <c r="C883" s="190"/>
      <c r="D883" s="190"/>
      <c r="E883" s="191"/>
      <c r="F883" s="186"/>
      <c r="G883" s="192"/>
      <c r="H883" s="9"/>
      <c r="I883" s="179" t="str">
        <f t="array" ref="I883">IF($F883&lt;&gt;"",XLOOKUP($F883,Productos!$A:$A,Productos!B:B,"Revisar"),"")</f>
        <v/>
      </c>
      <c r="J883" s="179" t="str">
        <f t="array" ref="J883">IF($F883&lt;&gt;"", XLOOKUP($F883,Productos!$A$2:$A1001,Productos!C$2:C1001,"")*$G883,"")</f>
        <v/>
      </c>
      <c r="K883" s="179" t="str">
        <f t="array" ref="K883">IF($F883&lt;&gt;"",XLOOKUP($F883,Productos!$A:$A,Productos!D:D,"Revisar"),"")</f>
        <v/>
      </c>
      <c r="L883" s="179" t="str">
        <f t="array" ref="L883">IF($F883&lt;&gt;"", XLOOKUP($F883,Productos!$A$2:$A1001,Productos!E$2:E1001,"")*$G883,"")</f>
        <v/>
      </c>
      <c r="M883" s="179" t="str">
        <f t="array" ref="M883">IF($F883&lt;&gt;"",XLOOKUP($F883,Productos!$A:$A,Productos!F:F,"Revisar"),"")</f>
        <v/>
      </c>
      <c r="N883" s="179" t="str">
        <f t="array" ref="N883">IF($F883&lt;&gt;"", XLOOKUP($F883,Productos!$A$2:$A1001,Productos!G$2:G1001,"")*$G883,"")</f>
        <v/>
      </c>
      <c r="O883" s="179" t="str">
        <f t="array" ref="O883">IF($F883&lt;&gt;"",XLOOKUP($F883,Productos!$A:$A,Productos!H:H,"Revisar"),"")</f>
        <v/>
      </c>
      <c r="P883" s="179" t="str">
        <f t="array" ref="P883">IF($F883&lt;&gt;"", XLOOKUP($F883,Productos!$A$2:$A1001,Productos!I$2:I1001,"")*$G883,"")</f>
        <v/>
      </c>
      <c r="Q883" s="179" t="str">
        <f t="array" ref="Q883">IF($F883&lt;&gt;"",XLOOKUP($F883,Productos!$A:$A,Productos!J:J,"Revisar"),"")</f>
        <v/>
      </c>
      <c r="R883" s="179" t="str">
        <f t="array" ref="R883">IF($F883&lt;&gt;"", XLOOKUP($F883,Productos!$A$2:$A1001,Productos!K$2:K1001,"")*$G883,"")</f>
        <v/>
      </c>
      <c r="S883" s="179" t="str">
        <f t="array" ref="S883">IF($F883&lt;&gt;"",XLOOKUP($F883,Productos!$A:$A,Productos!L:L,"Revisar"),"")</f>
        <v/>
      </c>
      <c r="T883" s="179" t="str">
        <f t="array" ref="T883">IF($F883&lt;&gt;"", XLOOKUP($F883,Productos!$A$2:$A1001,Productos!M$2:M1001,"")*$G883,"")</f>
        <v/>
      </c>
      <c r="U883" s="179" t="str">
        <f t="array" ref="U883">IF($F883&lt;&gt;"",XLOOKUP($F883,Productos!$A:$A,Productos!N:N,"Revisar"),"")</f>
        <v/>
      </c>
      <c r="V883" s="179" t="str">
        <f t="array" ref="V883">IF($F883&lt;&gt;"", XLOOKUP($F883,Productos!$A$2:$A1001,Productos!O$2:O1001,"")*$G883,"")</f>
        <v/>
      </c>
      <c r="W883" s="179" t="str">
        <f t="array" ref="W883">IF($F883&lt;&gt;"",XLOOKUP($F883,Productos!$A:$A,Productos!P:P,"Revisar"),"")</f>
        <v/>
      </c>
      <c r="X883" s="179" t="str">
        <f t="array" ref="X883">IF($F883&lt;&gt;"", XLOOKUP($F883,Productos!$A$2:$A1001,Productos!Q$2:Q1001,"")*$G883,"")</f>
        <v/>
      </c>
      <c r="Y883" s="179" t="str">
        <f t="array" ref="Y883">IF($F883&lt;&gt;"",XLOOKUP($F883,Productos!$A:$A,Productos!R:R,"Revisar"),"")</f>
        <v/>
      </c>
      <c r="Z883" s="179" t="str">
        <f t="array" ref="Z883">IF($F883&lt;&gt;"", XLOOKUP($F883,Productos!$A$2:$A1001,Productos!S$2:S1001,"")*$G883,"")</f>
        <v/>
      </c>
      <c r="AA883" s="179" t="str">
        <f t="array" ref="AA883">IF($F883&lt;&gt;"",XLOOKUP($F883,Productos!$A:$A,Productos!T:T,"Revisar"),"")</f>
        <v/>
      </c>
      <c r="AB883" s="179" t="str">
        <f t="array" ref="AB883">IF($F883&lt;&gt;"", XLOOKUP($F883,Productos!$A$2:$A1001,Productos!U$2:U1001,"")*$G883,"")</f>
        <v/>
      </c>
      <c r="AC883" s="179" t="str">
        <f t="array" ref="AC883">IF($F883&lt;&gt;"",XLOOKUP($F883,Productos!$A:$A,Productos!V:V,"Revisar"),"")</f>
        <v/>
      </c>
      <c r="AD883" s="179" t="str">
        <f t="array" ref="AD883">IF($F883&lt;&gt;"", XLOOKUP($F883,Productos!$A$2:$A1001,Productos!W$2:W1001,"")*$G883,"")</f>
        <v/>
      </c>
      <c r="AE883" s="179" t="str">
        <f t="array" ref="AE883">IF($F883&lt;&gt;"",XLOOKUP($F883,Productos!$A:$A,Productos!X:X,"Revisar"),"")</f>
        <v/>
      </c>
      <c r="AF883" s="179" t="str">
        <f t="array" ref="AF883">IF($F883&lt;&gt;"", XLOOKUP($F883,Productos!$A$2:$A1001,Productos!Y$2:Y1001,"")*$G883,"")</f>
        <v/>
      </c>
      <c r="AG883" s="179" t="str">
        <f t="array" ref="AG883">IF($F883&lt;&gt;"",XLOOKUP($F883,Productos!$A:$A,Productos!Z:Z,"Revisar"),"")</f>
        <v/>
      </c>
      <c r="AH883" s="179" t="str">
        <f t="array" ref="AH883">IF($F883&lt;&gt;"", XLOOKUP($F883,Productos!$A$2:$A1001,Productos!AA$2:AA1001,"")*$G883,"")</f>
        <v/>
      </c>
      <c r="AI883" s="179" t="str">
        <f t="array" ref="AI883">IF($F883&lt;&gt;"",XLOOKUP($F883,Productos!$A:$A,Productos!AB:AB,"Revisar"),"")</f>
        <v/>
      </c>
      <c r="AJ883" s="179" t="str">
        <f t="array" ref="AJ883">IF($F883&lt;&gt;"", XLOOKUP($F883,Productos!$A$2:$A1001,Productos!AC$2:AC1001,"")*$G883,"")</f>
        <v/>
      </c>
      <c r="AK883" s="179" t="str">
        <f t="array" ref="AK883">IF($F883&lt;&gt;"",XLOOKUP($F883,Productos!$A:$A,Productos!AD:AD,"Revisar"),"")</f>
        <v/>
      </c>
      <c r="AL883" s="179" t="str">
        <f t="array" ref="AL883">IF($F883&lt;&gt;"", XLOOKUP($F883,Productos!$A$2:$A1001,Productos!AE$2:AE1001,"")*$G883,"")</f>
        <v/>
      </c>
      <c r="AM883" s="179" t="str">
        <f t="array" ref="AM883">IF($F883&lt;&gt;"",XLOOKUP($F883,Productos!$A:$A,Productos!AF:AF,"Revisar"),"")</f>
        <v/>
      </c>
      <c r="AN883" s="179" t="str">
        <f t="array" ref="AN883">IF($F883&lt;&gt;"", XLOOKUP($F883,Productos!$A$2:$A1001,Productos!AG$2:AG1001,"")*$G883,"")</f>
        <v/>
      </c>
      <c r="AO883" s="179" t="str">
        <f t="array" ref="AO883">IF($F883&lt;&gt;"",XLOOKUP($F883,Productos!$A:$A,Productos!AH:AH,"Revisar"),"")</f>
        <v/>
      </c>
      <c r="AP883" s="179" t="str">
        <f t="array" ref="AP883">IF($F883&lt;&gt;"", XLOOKUP($F883,Productos!$A$2:$A1001,Productos!AI$2:AI1001,"")*$G883,"")</f>
        <v/>
      </c>
      <c r="AQ883" s="179" t="str">
        <f t="array" ref="AQ883">IF($F883&lt;&gt;"",XLOOKUP($F883,Productos!$A:$A,Productos!AJ:AJ,"Revisar"),"")</f>
        <v/>
      </c>
      <c r="AR883" s="179" t="str">
        <f t="array" ref="AR883">IF($F883&lt;&gt;"", XLOOKUP($F883,Productos!$A$2:$A1001,Productos!AK$2:AK1001,"")*$G883,"")</f>
        <v/>
      </c>
      <c r="AS883" s="179" t="str">
        <f t="array" ref="AS883">IF($F883&lt;&gt;"",XLOOKUP($F883,Productos!$A:$A,Productos!AL:AL,"Revisar"),"")</f>
        <v/>
      </c>
      <c r="AT883" s="179" t="str">
        <f t="array" ref="AT883">IF($F883&lt;&gt;"", XLOOKUP($F883,Productos!$A$2:$A1001,Productos!AM$2:AM1001,"")*$G883,"")</f>
        <v/>
      </c>
      <c r="AU883" s="179" t="str">
        <f t="array" ref="AU883">IF($F883&lt;&gt;"",XLOOKUP($F883,Productos!$A:$A,Productos!AN:AN,"Revisar"),"")</f>
        <v/>
      </c>
      <c r="AV883" s="179" t="str">
        <f t="array" ref="AV883">IF($F883&lt;&gt;"", XLOOKUP($F883,Productos!$A$2:$A1001,Productos!AO$2:AO1001,"")*$G883,"")</f>
        <v/>
      </c>
      <c r="AW883" s="179" t="str">
        <f t="array" ref="AW883">IF($F883&lt;&gt;"",XLOOKUP($F883,Productos!$A:$A,Productos!AP:AP,"Revisar"),"")</f>
        <v/>
      </c>
      <c r="AX883" s="179" t="str">
        <f t="array" ref="AX883">IF($F883&lt;&gt;"", XLOOKUP($F883,Productos!$A$2:$A1001,Productos!AQ$2:AQ1001,"")*$G883,"")</f>
        <v/>
      </c>
      <c r="AY883" s="179" t="str">
        <f t="array" ref="AY883">IF($F883&lt;&gt;"",XLOOKUP($F883,Productos!$A:$A,Productos!AR:AR,"Revisar"),"")</f>
        <v/>
      </c>
      <c r="AZ883" s="179" t="str">
        <f t="array" ref="AZ883">IF($F883&lt;&gt;"", XLOOKUP($F883,Productos!$A$2:$A1001,Productos!AS$2:AS1001,"")*$G883,"")</f>
        <v/>
      </c>
      <c r="BA883" s="179" t="str">
        <f t="array" ref="BA883">IF($F883&lt;&gt;"",XLOOKUP($F883,Productos!$A:$A,Productos!AT:AT,"Revisar"),"")</f>
        <v/>
      </c>
      <c r="BB883" s="179" t="str">
        <f t="array" ref="BB883">IF($F883&lt;&gt;"", XLOOKUP($F883,Productos!$A$2:$A1001,Productos!AU$2:AU1001,"")*$G883,"")</f>
        <v/>
      </c>
      <c r="BC883" s="179" t="str">
        <f t="array" ref="BC883">IF($F883&lt;&gt;"",XLOOKUP($F883,Productos!$A:$A,Productos!AV:AV,"Revisar"),"")</f>
        <v/>
      </c>
      <c r="BD883" s="179" t="str">
        <f t="array" ref="BD883">IF($F883&lt;&gt;"", XLOOKUP($F883,Productos!$A$2:$A1001,Productos!AW$2:AW1001,"")*$G883,"")</f>
        <v/>
      </c>
      <c r="BE883" s="179" t="str">
        <f t="array" ref="BE883">IF($F883&lt;&gt;"",XLOOKUP($F883,Productos!$A:$A,Productos!AX:AX,"Revisar"),"")</f>
        <v/>
      </c>
      <c r="BF883" s="179" t="str">
        <f t="array" ref="BF883">IF($F883&lt;&gt;"", XLOOKUP($F883,Productos!$A$2:$A1001,Productos!AY$2:AY1001,"")*$G883,"")</f>
        <v/>
      </c>
      <c r="BG883" s="179" t="str">
        <f t="array" ref="BG883">IF($F883&lt;&gt;"",XLOOKUP($F883,Productos!$A:$A,Productos!AZ:AZ,"Revisar"),"")</f>
        <v/>
      </c>
      <c r="BH883" s="179" t="str">
        <f t="array" ref="BH883">IF($F883&lt;&gt;"", XLOOKUP($F883,Productos!$A$2:$A1001,Productos!BA$2:BA1001,"")*$G883,"")</f>
        <v/>
      </c>
      <c r="BI883" s="179" t="str">
        <f t="array" ref="BI883">IF($F883&lt;&gt;"",XLOOKUP($F883,Productos!$A:$A,Productos!BB:BB,"Revisar"),"")</f>
        <v/>
      </c>
      <c r="BJ883" s="179" t="str">
        <f t="array" ref="BJ883">IF($F883&lt;&gt;"", XLOOKUP($F883,Productos!$A$2:$A1001,Productos!BC$2:BC1001,"")*$G883,"")</f>
        <v/>
      </c>
      <c r="BK883" s="179" t="str">
        <f t="array" ref="BK883">IF($F883&lt;&gt;"",XLOOKUP($F883,Productos!$A:$A,Productos!BD:BD,"Revisar"),"")</f>
        <v/>
      </c>
      <c r="BL883" s="179" t="str">
        <f t="array" ref="BL883">IF($F883&lt;&gt;"", XLOOKUP($F883,Productos!$A$2:$A1001,Productos!BE$2:BE1001,"")*$G883,"")</f>
        <v/>
      </c>
      <c r="BM883" s="179" t="str">
        <f t="array" ref="BM883">IF($F883&lt;&gt;"",XLOOKUP($F883,Productos!$A:$A,Productos!BF:BF,"Revisar"),"")</f>
        <v/>
      </c>
      <c r="BN883" s="179" t="str">
        <f t="array" ref="BN883">IF($F883&lt;&gt;"", XLOOKUP($F883,Productos!$A$2:$A1001,Productos!BG$2:BG1001,"")*$G883,"")</f>
        <v/>
      </c>
      <c r="BO883" s="179" t="str">
        <f t="array" ref="BO883">IF($F883&lt;&gt;"",XLOOKUP($F883,Productos!$A:$A,Productos!BH:BH,"Revisar"),"")</f>
        <v/>
      </c>
      <c r="BP883" s="179" t="str">
        <f t="array" ref="BP883">IF($F883&lt;&gt;"", XLOOKUP($F883,Productos!$A$2:$A1001,Productos!BI$2:BI1001,"")*$G883,"")</f>
        <v/>
      </c>
      <c r="BQ883" s="179" t="str">
        <f t="array" ref="BQ883">IF($F883&lt;&gt;"",XLOOKUP($F883,Productos!$A:$A,Productos!BJ:BJ,"Revisar"),"")</f>
        <v/>
      </c>
      <c r="BR883" s="179" t="str">
        <f t="array" ref="BR883">IF($F883&lt;&gt;"", XLOOKUP($F883,Productos!$A$2:$A1001,Productos!BK$2:BK1001,"")*$G883,"")</f>
        <v/>
      </c>
      <c r="BS883" s="179" t="str">
        <f t="array" ref="BS883">IF($F883&lt;&gt;"",XLOOKUP($F883,Productos!$A:$A,Productos!BL:BL,"Revisar"),"")</f>
        <v/>
      </c>
      <c r="BT883" s="179" t="str">
        <f t="array" ref="BT883">IF($F883&lt;&gt;"", XLOOKUP($F883,Productos!$A$2:$A1001,Productos!BM$2:BM1001,"")*$G883,"")</f>
        <v/>
      </c>
      <c r="BU883" s="179" t="str">
        <f t="array" ref="BU883">IF($F883&lt;&gt;"",XLOOKUP($F883,Productos!$A:$A,Productos!BN:BN,"Revisar"),"")</f>
        <v/>
      </c>
      <c r="BV883" s="179" t="str">
        <f t="array" ref="BV883">IF($F883&lt;&gt;"", XLOOKUP($F883,Productos!$A$2:$A1001,Productos!BO$2:BO1001,"")*$G883,"")</f>
        <v/>
      </c>
      <c r="BW883" s="179" t="str">
        <f t="array" ref="BW883">IF($F883&lt;&gt;"",XLOOKUP($F883,Productos!$A:$A,Productos!BP:BP,"Revisar"),"")</f>
        <v/>
      </c>
      <c r="BX883" s="179" t="str">
        <f t="array" ref="BX883">IF($F883&lt;&gt;"", XLOOKUP($F883,Productos!$A$2:$A1001,Productos!BQ$2:BQ1001,"")*$G883,"")</f>
        <v/>
      </c>
      <c r="BY883" s="179" t="str">
        <f t="array" ref="BY883">IF($F883&lt;&gt;"",XLOOKUP($F883,Productos!$A:$A,Productos!BR:BR,"Revisar"),"")</f>
        <v/>
      </c>
      <c r="BZ883" s="179" t="str">
        <f t="array" ref="BZ883">IF($F883&lt;&gt;"", XLOOKUP($F883,Productos!$A$2:$A1001,Productos!BS$2:BS1001,"")*$G883,"")</f>
        <v/>
      </c>
    </row>
    <row r="884">
      <c r="A884" s="188"/>
      <c r="B884" s="189"/>
      <c r="C884" s="190"/>
      <c r="D884" s="190"/>
      <c r="E884" s="191"/>
      <c r="F884" s="186"/>
      <c r="G884" s="192"/>
      <c r="H884" s="9"/>
      <c r="I884" s="179" t="str">
        <f t="array" ref="I884">IF($F884&lt;&gt;"",XLOOKUP($F884,Productos!$A:$A,Productos!B:B,"Revisar"),"")</f>
        <v/>
      </c>
      <c r="J884" s="179" t="str">
        <f t="array" ref="J884">IF($F884&lt;&gt;"", XLOOKUP($F884,Productos!$A$2:$A1001,Productos!C$2:C1001,"")*$G884,"")</f>
        <v/>
      </c>
      <c r="K884" s="179" t="str">
        <f t="array" ref="K884">IF($F884&lt;&gt;"",XLOOKUP($F884,Productos!$A:$A,Productos!D:D,"Revisar"),"")</f>
        <v/>
      </c>
      <c r="L884" s="179" t="str">
        <f t="array" ref="L884">IF($F884&lt;&gt;"", XLOOKUP($F884,Productos!$A$2:$A1001,Productos!E$2:E1001,"")*$G884,"")</f>
        <v/>
      </c>
      <c r="M884" s="179" t="str">
        <f t="array" ref="M884">IF($F884&lt;&gt;"",XLOOKUP($F884,Productos!$A:$A,Productos!F:F,"Revisar"),"")</f>
        <v/>
      </c>
      <c r="N884" s="179" t="str">
        <f t="array" ref="N884">IF($F884&lt;&gt;"", XLOOKUP($F884,Productos!$A$2:$A1001,Productos!G$2:G1001,"")*$G884,"")</f>
        <v/>
      </c>
      <c r="O884" s="179" t="str">
        <f t="array" ref="O884">IF($F884&lt;&gt;"",XLOOKUP($F884,Productos!$A:$A,Productos!H:H,"Revisar"),"")</f>
        <v/>
      </c>
      <c r="P884" s="179" t="str">
        <f t="array" ref="P884">IF($F884&lt;&gt;"", XLOOKUP($F884,Productos!$A$2:$A1001,Productos!I$2:I1001,"")*$G884,"")</f>
        <v/>
      </c>
      <c r="Q884" s="179" t="str">
        <f t="array" ref="Q884">IF($F884&lt;&gt;"",XLOOKUP($F884,Productos!$A:$A,Productos!J:J,"Revisar"),"")</f>
        <v/>
      </c>
      <c r="R884" s="179" t="str">
        <f t="array" ref="R884">IF($F884&lt;&gt;"", XLOOKUP($F884,Productos!$A$2:$A1001,Productos!K$2:K1001,"")*$G884,"")</f>
        <v/>
      </c>
      <c r="S884" s="179" t="str">
        <f t="array" ref="S884">IF($F884&lt;&gt;"",XLOOKUP($F884,Productos!$A:$A,Productos!L:L,"Revisar"),"")</f>
        <v/>
      </c>
      <c r="T884" s="179" t="str">
        <f t="array" ref="T884">IF($F884&lt;&gt;"", XLOOKUP($F884,Productos!$A$2:$A1001,Productos!M$2:M1001,"")*$G884,"")</f>
        <v/>
      </c>
      <c r="U884" s="179" t="str">
        <f t="array" ref="U884">IF($F884&lt;&gt;"",XLOOKUP($F884,Productos!$A:$A,Productos!N:N,"Revisar"),"")</f>
        <v/>
      </c>
      <c r="V884" s="179" t="str">
        <f t="array" ref="V884">IF($F884&lt;&gt;"", XLOOKUP($F884,Productos!$A$2:$A1001,Productos!O$2:O1001,"")*$G884,"")</f>
        <v/>
      </c>
      <c r="W884" s="179" t="str">
        <f t="array" ref="W884">IF($F884&lt;&gt;"",XLOOKUP($F884,Productos!$A:$A,Productos!P:P,"Revisar"),"")</f>
        <v/>
      </c>
      <c r="X884" s="179" t="str">
        <f t="array" ref="X884">IF($F884&lt;&gt;"", XLOOKUP($F884,Productos!$A$2:$A1001,Productos!Q$2:Q1001,"")*$G884,"")</f>
        <v/>
      </c>
      <c r="Y884" s="179" t="str">
        <f t="array" ref="Y884">IF($F884&lt;&gt;"",XLOOKUP($F884,Productos!$A:$A,Productos!R:R,"Revisar"),"")</f>
        <v/>
      </c>
      <c r="Z884" s="179" t="str">
        <f t="array" ref="Z884">IF($F884&lt;&gt;"", XLOOKUP($F884,Productos!$A$2:$A1001,Productos!S$2:S1001,"")*$G884,"")</f>
        <v/>
      </c>
      <c r="AA884" s="179" t="str">
        <f t="array" ref="AA884">IF($F884&lt;&gt;"",XLOOKUP($F884,Productos!$A:$A,Productos!T:T,"Revisar"),"")</f>
        <v/>
      </c>
      <c r="AB884" s="179" t="str">
        <f t="array" ref="AB884">IF($F884&lt;&gt;"", XLOOKUP($F884,Productos!$A$2:$A1001,Productos!U$2:U1001,"")*$G884,"")</f>
        <v/>
      </c>
      <c r="AC884" s="179" t="str">
        <f t="array" ref="AC884">IF($F884&lt;&gt;"",XLOOKUP($F884,Productos!$A:$A,Productos!V:V,"Revisar"),"")</f>
        <v/>
      </c>
      <c r="AD884" s="179" t="str">
        <f t="array" ref="AD884">IF($F884&lt;&gt;"", XLOOKUP($F884,Productos!$A$2:$A1001,Productos!W$2:W1001,"")*$G884,"")</f>
        <v/>
      </c>
      <c r="AE884" s="179" t="str">
        <f t="array" ref="AE884">IF($F884&lt;&gt;"",XLOOKUP($F884,Productos!$A:$A,Productos!X:X,"Revisar"),"")</f>
        <v/>
      </c>
      <c r="AF884" s="179" t="str">
        <f t="array" ref="AF884">IF($F884&lt;&gt;"", XLOOKUP($F884,Productos!$A$2:$A1001,Productos!Y$2:Y1001,"")*$G884,"")</f>
        <v/>
      </c>
      <c r="AG884" s="179" t="str">
        <f t="array" ref="AG884">IF($F884&lt;&gt;"",XLOOKUP($F884,Productos!$A:$A,Productos!Z:Z,"Revisar"),"")</f>
        <v/>
      </c>
      <c r="AH884" s="179" t="str">
        <f t="array" ref="AH884">IF($F884&lt;&gt;"", XLOOKUP($F884,Productos!$A$2:$A1001,Productos!AA$2:AA1001,"")*$G884,"")</f>
        <v/>
      </c>
      <c r="AI884" s="179" t="str">
        <f t="array" ref="AI884">IF($F884&lt;&gt;"",XLOOKUP($F884,Productos!$A:$A,Productos!AB:AB,"Revisar"),"")</f>
        <v/>
      </c>
      <c r="AJ884" s="179" t="str">
        <f t="array" ref="AJ884">IF($F884&lt;&gt;"", XLOOKUP($F884,Productos!$A$2:$A1001,Productos!AC$2:AC1001,"")*$G884,"")</f>
        <v/>
      </c>
      <c r="AK884" s="179" t="str">
        <f t="array" ref="AK884">IF($F884&lt;&gt;"",XLOOKUP($F884,Productos!$A:$A,Productos!AD:AD,"Revisar"),"")</f>
        <v/>
      </c>
      <c r="AL884" s="179" t="str">
        <f t="array" ref="AL884">IF($F884&lt;&gt;"", XLOOKUP($F884,Productos!$A$2:$A1001,Productos!AE$2:AE1001,"")*$G884,"")</f>
        <v/>
      </c>
      <c r="AM884" s="179" t="str">
        <f t="array" ref="AM884">IF($F884&lt;&gt;"",XLOOKUP($F884,Productos!$A:$A,Productos!AF:AF,"Revisar"),"")</f>
        <v/>
      </c>
      <c r="AN884" s="179" t="str">
        <f t="array" ref="AN884">IF($F884&lt;&gt;"", XLOOKUP($F884,Productos!$A$2:$A1001,Productos!AG$2:AG1001,"")*$G884,"")</f>
        <v/>
      </c>
      <c r="AO884" s="179" t="str">
        <f t="array" ref="AO884">IF($F884&lt;&gt;"",XLOOKUP($F884,Productos!$A:$A,Productos!AH:AH,"Revisar"),"")</f>
        <v/>
      </c>
      <c r="AP884" s="179" t="str">
        <f t="array" ref="AP884">IF($F884&lt;&gt;"", XLOOKUP($F884,Productos!$A$2:$A1001,Productos!AI$2:AI1001,"")*$G884,"")</f>
        <v/>
      </c>
      <c r="AQ884" s="179" t="str">
        <f t="array" ref="AQ884">IF($F884&lt;&gt;"",XLOOKUP($F884,Productos!$A:$A,Productos!AJ:AJ,"Revisar"),"")</f>
        <v/>
      </c>
      <c r="AR884" s="179" t="str">
        <f t="array" ref="AR884">IF($F884&lt;&gt;"", XLOOKUP($F884,Productos!$A$2:$A1001,Productos!AK$2:AK1001,"")*$G884,"")</f>
        <v/>
      </c>
      <c r="AS884" s="179" t="str">
        <f t="array" ref="AS884">IF($F884&lt;&gt;"",XLOOKUP($F884,Productos!$A:$A,Productos!AL:AL,"Revisar"),"")</f>
        <v/>
      </c>
      <c r="AT884" s="179" t="str">
        <f t="array" ref="AT884">IF($F884&lt;&gt;"", XLOOKUP($F884,Productos!$A$2:$A1001,Productos!AM$2:AM1001,"")*$G884,"")</f>
        <v/>
      </c>
      <c r="AU884" s="179" t="str">
        <f t="array" ref="AU884">IF($F884&lt;&gt;"",XLOOKUP($F884,Productos!$A:$A,Productos!AN:AN,"Revisar"),"")</f>
        <v/>
      </c>
      <c r="AV884" s="179" t="str">
        <f t="array" ref="AV884">IF($F884&lt;&gt;"", XLOOKUP($F884,Productos!$A$2:$A1001,Productos!AO$2:AO1001,"")*$G884,"")</f>
        <v/>
      </c>
      <c r="AW884" s="179" t="str">
        <f t="array" ref="AW884">IF($F884&lt;&gt;"",XLOOKUP($F884,Productos!$A:$A,Productos!AP:AP,"Revisar"),"")</f>
        <v/>
      </c>
      <c r="AX884" s="179" t="str">
        <f t="array" ref="AX884">IF($F884&lt;&gt;"", XLOOKUP($F884,Productos!$A$2:$A1001,Productos!AQ$2:AQ1001,"")*$G884,"")</f>
        <v/>
      </c>
      <c r="AY884" s="179" t="str">
        <f t="array" ref="AY884">IF($F884&lt;&gt;"",XLOOKUP($F884,Productos!$A:$A,Productos!AR:AR,"Revisar"),"")</f>
        <v/>
      </c>
      <c r="AZ884" s="179" t="str">
        <f t="array" ref="AZ884">IF($F884&lt;&gt;"", XLOOKUP($F884,Productos!$A$2:$A1001,Productos!AS$2:AS1001,"")*$G884,"")</f>
        <v/>
      </c>
      <c r="BA884" s="179" t="str">
        <f t="array" ref="BA884">IF($F884&lt;&gt;"",XLOOKUP($F884,Productos!$A:$A,Productos!AT:AT,"Revisar"),"")</f>
        <v/>
      </c>
      <c r="BB884" s="179" t="str">
        <f t="array" ref="BB884">IF($F884&lt;&gt;"", XLOOKUP($F884,Productos!$A$2:$A1001,Productos!AU$2:AU1001,"")*$G884,"")</f>
        <v/>
      </c>
      <c r="BC884" s="179" t="str">
        <f t="array" ref="BC884">IF($F884&lt;&gt;"",XLOOKUP($F884,Productos!$A:$A,Productos!AV:AV,"Revisar"),"")</f>
        <v/>
      </c>
      <c r="BD884" s="179" t="str">
        <f t="array" ref="BD884">IF($F884&lt;&gt;"", XLOOKUP($F884,Productos!$A$2:$A1001,Productos!AW$2:AW1001,"")*$G884,"")</f>
        <v/>
      </c>
      <c r="BE884" s="179" t="str">
        <f t="array" ref="BE884">IF($F884&lt;&gt;"",XLOOKUP($F884,Productos!$A:$A,Productos!AX:AX,"Revisar"),"")</f>
        <v/>
      </c>
      <c r="BF884" s="179" t="str">
        <f t="array" ref="BF884">IF($F884&lt;&gt;"", XLOOKUP($F884,Productos!$A$2:$A1001,Productos!AY$2:AY1001,"")*$G884,"")</f>
        <v/>
      </c>
      <c r="BG884" s="179" t="str">
        <f t="array" ref="BG884">IF($F884&lt;&gt;"",XLOOKUP($F884,Productos!$A:$A,Productos!AZ:AZ,"Revisar"),"")</f>
        <v/>
      </c>
      <c r="BH884" s="179" t="str">
        <f t="array" ref="BH884">IF($F884&lt;&gt;"", XLOOKUP($F884,Productos!$A$2:$A1001,Productos!BA$2:BA1001,"")*$G884,"")</f>
        <v/>
      </c>
      <c r="BI884" s="179" t="str">
        <f t="array" ref="BI884">IF($F884&lt;&gt;"",XLOOKUP($F884,Productos!$A:$A,Productos!BB:BB,"Revisar"),"")</f>
        <v/>
      </c>
      <c r="BJ884" s="179" t="str">
        <f t="array" ref="BJ884">IF($F884&lt;&gt;"", XLOOKUP($F884,Productos!$A$2:$A1001,Productos!BC$2:BC1001,"")*$G884,"")</f>
        <v/>
      </c>
      <c r="BK884" s="179" t="str">
        <f t="array" ref="BK884">IF($F884&lt;&gt;"",XLOOKUP($F884,Productos!$A:$A,Productos!BD:BD,"Revisar"),"")</f>
        <v/>
      </c>
      <c r="BL884" s="179" t="str">
        <f t="array" ref="BL884">IF($F884&lt;&gt;"", XLOOKUP($F884,Productos!$A$2:$A1001,Productos!BE$2:BE1001,"")*$G884,"")</f>
        <v/>
      </c>
      <c r="BM884" s="179" t="str">
        <f t="array" ref="BM884">IF($F884&lt;&gt;"",XLOOKUP($F884,Productos!$A:$A,Productos!BF:BF,"Revisar"),"")</f>
        <v/>
      </c>
      <c r="BN884" s="179" t="str">
        <f t="array" ref="BN884">IF($F884&lt;&gt;"", XLOOKUP($F884,Productos!$A$2:$A1001,Productos!BG$2:BG1001,"")*$G884,"")</f>
        <v/>
      </c>
      <c r="BO884" s="179" t="str">
        <f t="array" ref="BO884">IF($F884&lt;&gt;"",XLOOKUP($F884,Productos!$A:$A,Productos!BH:BH,"Revisar"),"")</f>
        <v/>
      </c>
      <c r="BP884" s="179" t="str">
        <f t="array" ref="BP884">IF($F884&lt;&gt;"", XLOOKUP($F884,Productos!$A$2:$A1001,Productos!BI$2:BI1001,"")*$G884,"")</f>
        <v/>
      </c>
      <c r="BQ884" s="179" t="str">
        <f t="array" ref="BQ884">IF($F884&lt;&gt;"",XLOOKUP($F884,Productos!$A:$A,Productos!BJ:BJ,"Revisar"),"")</f>
        <v/>
      </c>
      <c r="BR884" s="179" t="str">
        <f t="array" ref="BR884">IF($F884&lt;&gt;"", XLOOKUP($F884,Productos!$A$2:$A1001,Productos!BK$2:BK1001,"")*$G884,"")</f>
        <v/>
      </c>
      <c r="BS884" s="179" t="str">
        <f t="array" ref="BS884">IF($F884&lt;&gt;"",XLOOKUP($F884,Productos!$A:$A,Productos!BL:BL,"Revisar"),"")</f>
        <v/>
      </c>
      <c r="BT884" s="179" t="str">
        <f t="array" ref="BT884">IF($F884&lt;&gt;"", XLOOKUP($F884,Productos!$A$2:$A1001,Productos!BM$2:BM1001,"")*$G884,"")</f>
        <v/>
      </c>
      <c r="BU884" s="179" t="str">
        <f t="array" ref="BU884">IF($F884&lt;&gt;"",XLOOKUP($F884,Productos!$A:$A,Productos!BN:BN,"Revisar"),"")</f>
        <v/>
      </c>
      <c r="BV884" s="179" t="str">
        <f t="array" ref="BV884">IF($F884&lt;&gt;"", XLOOKUP($F884,Productos!$A$2:$A1001,Productos!BO$2:BO1001,"")*$G884,"")</f>
        <v/>
      </c>
      <c r="BW884" s="179" t="str">
        <f t="array" ref="BW884">IF($F884&lt;&gt;"",XLOOKUP($F884,Productos!$A:$A,Productos!BP:BP,"Revisar"),"")</f>
        <v/>
      </c>
      <c r="BX884" s="179" t="str">
        <f t="array" ref="BX884">IF($F884&lt;&gt;"", XLOOKUP($F884,Productos!$A$2:$A1001,Productos!BQ$2:BQ1001,"")*$G884,"")</f>
        <v/>
      </c>
      <c r="BY884" s="179" t="str">
        <f t="array" ref="BY884">IF($F884&lt;&gt;"",XLOOKUP($F884,Productos!$A:$A,Productos!BR:BR,"Revisar"),"")</f>
        <v/>
      </c>
      <c r="BZ884" s="179" t="str">
        <f t="array" ref="BZ884">IF($F884&lt;&gt;"", XLOOKUP($F884,Productos!$A$2:$A1001,Productos!BS$2:BS1001,"")*$G884,"")</f>
        <v/>
      </c>
    </row>
    <row r="885">
      <c r="A885" s="188"/>
      <c r="B885" s="189"/>
      <c r="C885" s="190"/>
      <c r="D885" s="190"/>
      <c r="E885" s="191"/>
      <c r="F885" s="186"/>
      <c r="G885" s="192"/>
      <c r="H885" s="9"/>
      <c r="I885" s="179" t="str">
        <f t="array" ref="I885">IF($F885&lt;&gt;"",XLOOKUP($F885,Productos!$A:$A,Productos!B:B,"Revisar"),"")</f>
        <v/>
      </c>
      <c r="J885" s="179" t="str">
        <f t="array" ref="J885">IF($F885&lt;&gt;"", XLOOKUP($F885,Productos!$A$2:$A1001,Productos!C$2:C1001,"")*$G885,"")</f>
        <v/>
      </c>
      <c r="K885" s="179" t="str">
        <f t="array" ref="K885">IF($F885&lt;&gt;"",XLOOKUP($F885,Productos!$A:$A,Productos!D:D,"Revisar"),"")</f>
        <v/>
      </c>
      <c r="L885" s="179" t="str">
        <f t="array" ref="L885">IF($F885&lt;&gt;"", XLOOKUP($F885,Productos!$A$2:$A1001,Productos!E$2:E1001,"")*$G885,"")</f>
        <v/>
      </c>
      <c r="M885" s="179" t="str">
        <f t="array" ref="M885">IF($F885&lt;&gt;"",XLOOKUP($F885,Productos!$A:$A,Productos!F:F,"Revisar"),"")</f>
        <v/>
      </c>
      <c r="N885" s="179" t="str">
        <f t="array" ref="N885">IF($F885&lt;&gt;"", XLOOKUP($F885,Productos!$A$2:$A1001,Productos!G$2:G1001,"")*$G885,"")</f>
        <v/>
      </c>
      <c r="O885" s="179" t="str">
        <f t="array" ref="O885">IF($F885&lt;&gt;"",XLOOKUP($F885,Productos!$A:$A,Productos!H:H,"Revisar"),"")</f>
        <v/>
      </c>
      <c r="P885" s="179" t="str">
        <f t="array" ref="P885">IF($F885&lt;&gt;"", XLOOKUP($F885,Productos!$A$2:$A1001,Productos!I$2:I1001,"")*$G885,"")</f>
        <v/>
      </c>
      <c r="Q885" s="179" t="str">
        <f t="array" ref="Q885">IF($F885&lt;&gt;"",XLOOKUP($F885,Productos!$A:$A,Productos!J:J,"Revisar"),"")</f>
        <v/>
      </c>
      <c r="R885" s="179" t="str">
        <f t="array" ref="R885">IF($F885&lt;&gt;"", XLOOKUP($F885,Productos!$A$2:$A1001,Productos!K$2:K1001,"")*$G885,"")</f>
        <v/>
      </c>
      <c r="S885" s="179" t="str">
        <f t="array" ref="S885">IF($F885&lt;&gt;"",XLOOKUP($F885,Productos!$A:$A,Productos!L:L,"Revisar"),"")</f>
        <v/>
      </c>
      <c r="T885" s="179" t="str">
        <f t="array" ref="T885">IF($F885&lt;&gt;"", XLOOKUP($F885,Productos!$A$2:$A1001,Productos!M$2:M1001,"")*$G885,"")</f>
        <v/>
      </c>
      <c r="U885" s="179" t="str">
        <f t="array" ref="U885">IF($F885&lt;&gt;"",XLOOKUP($F885,Productos!$A:$A,Productos!N:N,"Revisar"),"")</f>
        <v/>
      </c>
      <c r="V885" s="179" t="str">
        <f t="array" ref="V885">IF($F885&lt;&gt;"", XLOOKUP($F885,Productos!$A$2:$A1001,Productos!O$2:O1001,"")*$G885,"")</f>
        <v/>
      </c>
      <c r="W885" s="179" t="str">
        <f t="array" ref="W885">IF($F885&lt;&gt;"",XLOOKUP($F885,Productos!$A:$A,Productos!P:P,"Revisar"),"")</f>
        <v/>
      </c>
      <c r="X885" s="179" t="str">
        <f t="array" ref="X885">IF($F885&lt;&gt;"", XLOOKUP($F885,Productos!$A$2:$A1001,Productos!Q$2:Q1001,"")*$G885,"")</f>
        <v/>
      </c>
      <c r="Y885" s="179" t="str">
        <f t="array" ref="Y885">IF($F885&lt;&gt;"",XLOOKUP($F885,Productos!$A:$A,Productos!R:R,"Revisar"),"")</f>
        <v/>
      </c>
      <c r="Z885" s="179" t="str">
        <f t="array" ref="Z885">IF($F885&lt;&gt;"", XLOOKUP($F885,Productos!$A$2:$A1001,Productos!S$2:S1001,"")*$G885,"")</f>
        <v/>
      </c>
      <c r="AA885" s="179" t="str">
        <f t="array" ref="AA885">IF($F885&lt;&gt;"",XLOOKUP($F885,Productos!$A:$A,Productos!T:T,"Revisar"),"")</f>
        <v/>
      </c>
      <c r="AB885" s="179" t="str">
        <f t="array" ref="AB885">IF($F885&lt;&gt;"", XLOOKUP($F885,Productos!$A$2:$A1001,Productos!U$2:U1001,"")*$G885,"")</f>
        <v/>
      </c>
      <c r="AC885" s="179" t="str">
        <f t="array" ref="AC885">IF($F885&lt;&gt;"",XLOOKUP($F885,Productos!$A:$A,Productos!V:V,"Revisar"),"")</f>
        <v/>
      </c>
      <c r="AD885" s="179" t="str">
        <f t="array" ref="AD885">IF($F885&lt;&gt;"", XLOOKUP($F885,Productos!$A$2:$A1001,Productos!W$2:W1001,"")*$G885,"")</f>
        <v/>
      </c>
      <c r="AE885" s="179" t="str">
        <f t="array" ref="AE885">IF($F885&lt;&gt;"",XLOOKUP($F885,Productos!$A:$A,Productos!X:X,"Revisar"),"")</f>
        <v/>
      </c>
      <c r="AF885" s="179" t="str">
        <f t="array" ref="AF885">IF($F885&lt;&gt;"", XLOOKUP($F885,Productos!$A$2:$A1001,Productos!Y$2:Y1001,"")*$G885,"")</f>
        <v/>
      </c>
      <c r="AG885" s="179" t="str">
        <f t="array" ref="AG885">IF($F885&lt;&gt;"",XLOOKUP($F885,Productos!$A:$A,Productos!Z:Z,"Revisar"),"")</f>
        <v/>
      </c>
      <c r="AH885" s="179" t="str">
        <f t="array" ref="AH885">IF($F885&lt;&gt;"", XLOOKUP($F885,Productos!$A$2:$A1001,Productos!AA$2:AA1001,"")*$G885,"")</f>
        <v/>
      </c>
      <c r="AI885" s="179" t="str">
        <f t="array" ref="AI885">IF($F885&lt;&gt;"",XLOOKUP($F885,Productos!$A:$A,Productos!AB:AB,"Revisar"),"")</f>
        <v/>
      </c>
      <c r="AJ885" s="179" t="str">
        <f t="array" ref="AJ885">IF($F885&lt;&gt;"", XLOOKUP($F885,Productos!$A$2:$A1001,Productos!AC$2:AC1001,"")*$G885,"")</f>
        <v/>
      </c>
      <c r="AK885" s="179" t="str">
        <f t="array" ref="AK885">IF($F885&lt;&gt;"",XLOOKUP($F885,Productos!$A:$A,Productos!AD:AD,"Revisar"),"")</f>
        <v/>
      </c>
      <c r="AL885" s="179" t="str">
        <f t="array" ref="AL885">IF($F885&lt;&gt;"", XLOOKUP($F885,Productos!$A$2:$A1001,Productos!AE$2:AE1001,"")*$G885,"")</f>
        <v/>
      </c>
      <c r="AM885" s="179" t="str">
        <f t="array" ref="AM885">IF($F885&lt;&gt;"",XLOOKUP($F885,Productos!$A:$A,Productos!AF:AF,"Revisar"),"")</f>
        <v/>
      </c>
      <c r="AN885" s="179" t="str">
        <f t="array" ref="AN885">IF($F885&lt;&gt;"", XLOOKUP($F885,Productos!$A$2:$A1001,Productos!AG$2:AG1001,"")*$G885,"")</f>
        <v/>
      </c>
      <c r="AO885" s="179" t="str">
        <f t="array" ref="AO885">IF($F885&lt;&gt;"",XLOOKUP($F885,Productos!$A:$A,Productos!AH:AH,"Revisar"),"")</f>
        <v/>
      </c>
      <c r="AP885" s="179" t="str">
        <f t="array" ref="AP885">IF($F885&lt;&gt;"", XLOOKUP($F885,Productos!$A$2:$A1001,Productos!AI$2:AI1001,"")*$G885,"")</f>
        <v/>
      </c>
      <c r="AQ885" s="179" t="str">
        <f t="array" ref="AQ885">IF($F885&lt;&gt;"",XLOOKUP($F885,Productos!$A:$A,Productos!AJ:AJ,"Revisar"),"")</f>
        <v/>
      </c>
      <c r="AR885" s="179" t="str">
        <f t="array" ref="AR885">IF($F885&lt;&gt;"", XLOOKUP($F885,Productos!$A$2:$A1001,Productos!AK$2:AK1001,"")*$G885,"")</f>
        <v/>
      </c>
      <c r="AS885" s="179" t="str">
        <f t="array" ref="AS885">IF($F885&lt;&gt;"",XLOOKUP($F885,Productos!$A:$A,Productos!AL:AL,"Revisar"),"")</f>
        <v/>
      </c>
      <c r="AT885" s="179" t="str">
        <f t="array" ref="AT885">IF($F885&lt;&gt;"", XLOOKUP($F885,Productos!$A$2:$A1001,Productos!AM$2:AM1001,"")*$G885,"")</f>
        <v/>
      </c>
      <c r="AU885" s="179" t="str">
        <f t="array" ref="AU885">IF($F885&lt;&gt;"",XLOOKUP($F885,Productos!$A:$A,Productos!AN:AN,"Revisar"),"")</f>
        <v/>
      </c>
      <c r="AV885" s="179" t="str">
        <f t="array" ref="AV885">IF($F885&lt;&gt;"", XLOOKUP($F885,Productos!$A$2:$A1001,Productos!AO$2:AO1001,"")*$G885,"")</f>
        <v/>
      </c>
      <c r="AW885" s="179" t="str">
        <f t="array" ref="AW885">IF($F885&lt;&gt;"",XLOOKUP($F885,Productos!$A:$A,Productos!AP:AP,"Revisar"),"")</f>
        <v/>
      </c>
      <c r="AX885" s="179" t="str">
        <f t="array" ref="AX885">IF($F885&lt;&gt;"", XLOOKUP($F885,Productos!$A$2:$A1001,Productos!AQ$2:AQ1001,"")*$G885,"")</f>
        <v/>
      </c>
      <c r="AY885" s="179" t="str">
        <f t="array" ref="AY885">IF($F885&lt;&gt;"",XLOOKUP($F885,Productos!$A:$A,Productos!AR:AR,"Revisar"),"")</f>
        <v/>
      </c>
      <c r="AZ885" s="179" t="str">
        <f t="array" ref="AZ885">IF($F885&lt;&gt;"", XLOOKUP($F885,Productos!$A$2:$A1001,Productos!AS$2:AS1001,"")*$G885,"")</f>
        <v/>
      </c>
      <c r="BA885" s="179" t="str">
        <f t="array" ref="BA885">IF($F885&lt;&gt;"",XLOOKUP($F885,Productos!$A:$A,Productos!AT:AT,"Revisar"),"")</f>
        <v/>
      </c>
      <c r="BB885" s="179" t="str">
        <f t="array" ref="BB885">IF($F885&lt;&gt;"", XLOOKUP($F885,Productos!$A$2:$A1001,Productos!AU$2:AU1001,"")*$G885,"")</f>
        <v/>
      </c>
      <c r="BC885" s="179" t="str">
        <f t="array" ref="BC885">IF($F885&lt;&gt;"",XLOOKUP($F885,Productos!$A:$A,Productos!AV:AV,"Revisar"),"")</f>
        <v/>
      </c>
      <c r="BD885" s="179" t="str">
        <f t="array" ref="BD885">IF($F885&lt;&gt;"", XLOOKUP($F885,Productos!$A$2:$A1001,Productos!AW$2:AW1001,"")*$G885,"")</f>
        <v/>
      </c>
      <c r="BE885" s="179" t="str">
        <f t="array" ref="BE885">IF($F885&lt;&gt;"",XLOOKUP($F885,Productos!$A:$A,Productos!AX:AX,"Revisar"),"")</f>
        <v/>
      </c>
      <c r="BF885" s="179" t="str">
        <f t="array" ref="BF885">IF($F885&lt;&gt;"", XLOOKUP($F885,Productos!$A$2:$A1001,Productos!AY$2:AY1001,"")*$G885,"")</f>
        <v/>
      </c>
      <c r="BG885" s="179" t="str">
        <f t="array" ref="BG885">IF($F885&lt;&gt;"",XLOOKUP($F885,Productos!$A:$A,Productos!AZ:AZ,"Revisar"),"")</f>
        <v/>
      </c>
      <c r="BH885" s="179" t="str">
        <f t="array" ref="BH885">IF($F885&lt;&gt;"", XLOOKUP($F885,Productos!$A$2:$A1001,Productos!BA$2:BA1001,"")*$G885,"")</f>
        <v/>
      </c>
      <c r="BI885" s="179" t="str">
        <f t="array" ref="BI885">IF($F885&lt;&gt;"",XLOOKUP($F885,Productos!$A:$A,Productos!BB:BB,"Revisar"),"")</f>
        <v/>
      </c>
      <c r="BJ885" s="179" t="str">
        <f t="array" ref="BJ885">IF($F885&lt;&gt;"", XLOOKUP($F885,Productos!$A$2:$A1001,Productos!BC$2:BC1001,"")*$G885,"")</f>
        <v/>
      </c>
      <c r="BK885" s="179" t="str">
        <f t="array" ref="BK885">IF($F885&lt;&gt;"",XLOOKUP($F885,Productos!$A:$A,Productos!BD:BD,"Revisar"),"")</f>
        <v/>
      </c>
      <c r="BL885" s="179" t="str">
        <f t="array" ref="BL885">IF($F885&lt;&gt;"", XLOOKUP($F885,Productos!$A$2:$A1001,Productos!BE$2:BE1001,"")*$G885,"")</f>
        <v/>
      </c>
      <c r="BM885" s="179" t="str">
        <f t="array" ref="BM885">IF($F885&lt;&gt;"",XLOOKUP($F885,Productos!$A:$A,Productos!BF:BF,"Revisar"),"")</f>
        <v/>
      </c>
      <c r="BN885" s="179" t="str">
        <f t="array" ref="BN885">IF($F885&lt;&gt;"", XLOOKUP($F885,Productos!$A$2:$A1001,Productos!BG$2:BG1001,"")*$G885,"")</f>
        <v/>
      </c>
      <c r="BO885" s="179" t="str">
        <f t="array" ref="BO885">IF($F885&lt;&gt;"",XLOOKUP($F885,Productos!$A:$A,Productos!BH:BH,"Revisar"),"")</f>
        <v/>
      </c>
      <c r="BP885" s="179" t="str">
        <f t="array" ref="BP885">IF($F885&lt;&gt;"", XLOOKUP($F885,Productos!$A$2:$A1001,Productos!BI$2:BI1001,"")*$G885,"")</f>
        <v/>
      </c>
      <c r="BQ885" s="179" t="str">
        <f t="array" ref="BQ885">IF($F885&lt;&gt;"",XLOOKUP($F885,Productos!$A:$A,Productos!BJ:BJ,"Revisar"),"")</f>
        <v/>
      </c>
      <c r="BR885" s="179" t="str">
        <f t="array" ref="BR885">IF($F885&lt;&gt;"", XLOOKUP($F885,Productos!$A$2:$A1001,Productos!BK$2:BK1001,"")*$G885,"")</f>
        <v/>
      </c>
      <c r="BS885" s="179" t="str">
        <f t="array" ref="BS885">IF($F885&lt;&gt;"",XLOOKUP($F885,Productos!$A:$A,Productos!BL:BL,"Revisar"),"")</f>
        <v/>
      </c>
      <c r="BT885" s="179" t="str">
        <f t="array" ref="BT885">IF($F885&lt;&gt;"", XLOOKUP($F885,Productos!$A$2:$A1001,Productos!BM$2:BM1001,"")*$G885,"")</f>
        <v/>
      </c>
      <c r="BU885" s="179" t="str">
        <f t="array" ref="BU885">IF($F885&lt;&gt;"",XLOOKUP($F885,Productos!$A:$A,Productos!BN:BN,"Revisar"),"")</f>
        <v/>
      </c>
      <c r="BV885" s="179" t="str">
        <f t="array" ref="BV885">IF($F885&lt;&gt;"", XLOOKUP($F885,Productos!$A$2:$A1001,Productos!BO$2:BO1001,"")*$G885,"")</f>
        <v/>
      </c>
      <c r="BW885" s="179" t="str">
        <f t="array" ref="BW885">IF($F885&lt;&gt;"",XLOOKUP($F885,Productos!$A:$A,Productos!BP:BP,"Revisar"),"")</f>
        <v/>
      </c>
      <c r="BX885" s="179" t="str">
        <f t="array" ref="BX885">IF($F885&lt;&gt;"", XLOOKUP($F885,Productos!$A$2:$A1001,Productos!BQ$2:BQ1001,"")*$G885,"")</f>
        <v/>
      </c>
      <c r="BY885" s="179" t="str">
        <f t="array" ref="BY885">IF($F885&lt;&gt;"",XLOOKUP($F885,Productos!$A:$A,Productos!BR:BR,"Revisar"),"")</f>
        <v/>
      </c>
      <c r="BZ885" s="179" t="str">
        <f t="array" ref="BZ885">IF($F885&lt;&gt;"", XLOOKUP($F885,Productos!$A$2:$A1001,Productos!BS$2:BS1001,"")*$G885,"")</f>
        <v/>
      </c>
    </row>
    <row r="886">
      <c r="A886" s="188"/>
      <c r="B886" s="189"/>
      <c r="C886" s="190"/>
      <c r="D886" s="190"/>
      <c r="E886" s="191"/>
      <c r="F886" s="186"/>
      <c r="G886" s="192"/>
      <c r="H886" s="9"/>
      <c r="I886" s="179" t="str">
        <f t="array" ref="I886">IF($F886&lt;&gt;"",XLOOKUP($F886,Productos!$A:$A,Productos!B:B,"Revisar"),"")</f>
        <v/>
      </c>
      <c r="J886" s="179" t="str">
        <f t="array" ref="J886">IF($F886&lt;&gt;"", XLOOKUP($F886,Productos!$A$2:$A1001,Productos!C$2:C1001,"")*$G886,"")</f>
        <v/>
      </c>
      <c r="K886" s="179" t="str">
        <f t="array" ref="K886">IF($F886&lt;&gt;"",XLOOKUP($F886,Productos!$A:$A,Productos!D:D,"Revisar"),"")</f>
        <v/>
      </c>
      <c r="L886" s="179" t="str">
        <f t="array" ref="L886">IF($F886&lt;&gt;"", XLOOKUP($F886,Productos!$A$2:$A1001,Productos!E$2:E1001,"")*$G886,"")</f>
        <v/>
      </c>
      <c r="M886" s="179" t="str">
        <f t="array" ref="M886">IF($F886&lt;&gt;"",XLOOKUP($F886,Productos!$A:$A,Productos!F:F,"Revisar"),"")</f>
        <v/>
      </c>
      <c r="N886" s="179" t="str">
        <f t="array" ref="N886">IF($F886&lt;&gt;"", XLOOKUP($F886,Productos!$A$2:$A1001,Productos!G$2:G1001,"")*$G886,"")</f>
        <v/>
      </c>
      <c r="O886" s="179" t="str">
        <f t="array" ref="O886">IF($F886&lt;&gt;"",XLOOKUP($F886,Productos!$A:$A,Productos!H:H,"Revisar"),"")</f>
        <v/>
      </c>
      <c r="P886" s="179" t="str">
        <f t="array" ref="P886">IF($F886&lt;&gt;"", XLOOKUP($F886,Productos!$A$2:$A1001,Productos!I$2:I1001,"")*$G886,"")</f>
        <v/>
      </c>
      <c r="Q886" s="179" t="str">
        <f t="array" ref="Q886">IF($F886&lt;&gt;"",XLOOKUP($F886,Productos!$A:$A,Productos!J:J,"Revisar"),"")</f>
        <v/>
      </c>
      <c r="R886" s="179" t="str">
        <f t="array" ref="R886">IF($F886&lt;&gt;"", XLOOKUP($F886,Productos!$A$2:$A1001,Productos!K$2:K1001,"")*$G886,"")</f>
        <v/>
      </c>
      <c r="S886" s="179" t="str">
        <f t="array" ref="S886">IF($F886&lt;&gt;"",XLOOKUP($F886,Productos!$A:$A,Productos!L:L,"Revisar"),"")</f>
        <v/>
      </c>
      <c r="T886" s="179" t="str">
        <f t="array" ref="T886">IF($F886&lt;&gt;"", XLOOKUP($F886,Productos!$A$2:$A1001,Productos!M$2:M1001,"")*$G886,"")</f>
        <v/>
      </c>
      <c r="U886" s="179" t="str">
        <f t="array" ref="U886">IF($F886&lt;&gt;"",XLOOKUP($F886,Productos!$A:$A,Productos!N:N,"Revisar"),"")</f>
        <v/>
      </c>
      <c r="V886" s="179" t="str">
        <f t="array" ref="V886">IF($F886&lt;&gt;"", XLOOKUP($F886,Productos!$A$2:$A1001,Productos!O$2:O1001,"")*$G886,"")</f>
        <v/>
      </c>
      <c r="W886" s="179" t="str">
        <f t="array" ref="W886">IF($F886&lt;&gt;"",XLOOKUP($F886,Productos!$A:$A,Productos!P:P,"Revisar"),"")</f>
        <v/>
      </c>
      <c r="X886" s="179" t="str">
        <f t="array" ref="X886">IF($F886&lt;&gt;"", XLOOKUP($F886,Productos!$A$2:$A1001,Productos!Q$2:Q1001,"")*$G886,"")</f>
        <v/>
      </c>
      <c r="Y886" s="179" t="str">
        <f t="array" ref="Y886">IF($F886&lt;&gt;"",XLOOKUP($F886,Productos!$A:$A,Productos!R:R,"Revisar"),"")</f>
        <v/>
      </c>
      <c r="Z886" s="179" t="str">
        <f t="array" ref="Z886">IF($F886&lt;&gt;"", XLOOKUP($F886,Productos!$A$2:$A1001,Productos!S$2:S1001,"")*$G886,"")</f>
        <v/>
      </c>
      <c r="AA886" s="179" t="str">
        <f t="array" ref="AA886">IF($F886&lt;&gt;"",XLOOKUP($F886,Productos!$A:$A,Productos!T:T,"Revisar"),"")</f>
        <v/>
      </c>
      <c r="AB886" s="179" t="str">
        <f t="array" ref="AB886">IF($F886&lt;&gt;"", XLOOKUP($F886,Productos!$A$2:$A1001,Productos!U$2:U1001,"")*$G886,"")</f>
        <v/>
      </c>
      <c r="AC886" s="179" t="str">
        <f t="array" ref="AC886">IF($F886&lt;&gt;"",XLOOKUP($F886,Productos!$A:$A,Productos!V:V,"Revisar"),"")</f>
        <v/>
      </c>
      <c r="AD886" s="179" t="str">
        <f t="array" ref="AD886">IF($F886&lt;&gt;"", XLOOKUP($F886,Productos!$A$2:$A1001,Productos!W$2:W1001,"")*$G886,"")</f>
        <v/>
      </c>
      <c r="AE886" s="179" t="str">
        <f t="array" ref="AE886">IF($F886&lt;&gt;"",XLOOKUP($F886,Productos!$A:$A,Productos!X:X,"Revisar"),"")</f>
        <v/>
      </c>
      <c r="AF886" s="179" t="str">
        <f t="array" ref="AF886">IF($F886&lt;&gt;"", XLOOKUP($F886,Productos!$A$2:$A1001,Productos!Y$2:Y1001,"")*$G886,"")</f>
        <v/>
      </c>
      <c r="AG886" s="179" t="str">
        <f t="array" ref="AG886">IF($F886&lt;&gt;"",XLOOKUP($F886,Productos!$A:$A,Productos!Z:Z,"Revisar"),"")</f>
        <v/>
      </c>
      <c r="AH886" s="179" t="str">
        <f t="array" ref="AH886">IF($F886&lt;&gt;"", XLOOKUP($F886,Productos!$A$2:$A1001,Productos!AA$2:AA1001,"")*$G886,"")</f>
        <v/>
      </c>
      <c r="AI886" s="179" t="str">
        <f t="array" ref="AI886">IF($F886&lt;&gt;"",XLOOKUP($F886,Productos!$A:$A,Productos!AB:AB,"Revisar"),"")</f>
        <v/>
      </c>
      <c r="AJ886" s="179" t="str">
        <f t="array" ref="AJ886">IF($F886&lt;&gt;"", XLOOKUP($F886,Productos!$A$2:$A1001,Productos!AC$2:AC1001,"")*$G886,"")</f>
        <v/>
      </c>
      <c r="AK886" s="179" t="str">
        <f t="array" ref="AK886">IF($F886&lt;&gt;"",XLOOKUP($F886,Productos!$A:$A,Productos!AD:AD,"Revisar"),"")</f>
        <v/>
      </c>
      <c r="AL886" s="179" t="str">
        <f t="array" ref="AL886">IF($F886&lt;&gt;"", XLOOKUP($F886,Productos!$A$2:$A1001,Productos!AE$2:AE1001,"")*$G886,"")</f>
        <v/>
      </c>
      <c r="AM886" s="179" t="str">
        <f t="array" ref="AM886">IF($F886&lt;&gt;"",XLOOKUP($F886,Productos!$A:$A,Productos!AF:AF,"Revisar"),"")</f>
        <v/>
      </c>
      <c r="AN886" s="179" t="str">
        <f t="array" ref="AN886">IF($F886&lt;&gt;"", XLOOKUP($F886,Productos!$A$2:$A1001,Productos!AG$2:AG1001,"")*$G886,"")</f>
        <v/>
      </c>
      <c r="AO886" s="179" t="str">
        <f t="array" ref="AO886">IF($F886&lt;&gt;"",XLOOKUP($F886,Productos!$A:$A,Productos!AH:AH,"Revisar"),"")</f>
        <v/>
      </c>
      <c r="AP886" s="179" t="str">
        <f t="array" ref="AP886">IF($F886&lt;&gt;"", XLOOKUP($F886,Productos!$A$2:$A1001,Productos!AI$2:AI1001,"")*$G886,"")</f>
        <v/>
      </c>
      <c r="AQ886" s="179" t="str">
        <f t="array" ref="AQ886">IF($F886&lt;&gt;"",XLOOKUP($F886,Productos!$A:$A,Productos!AJ:AJ,"Revisar"),"")</f>
        <v/>
      </c>
      <c r="AR886" s="179" t="str">
        <f t="array" ref="AR886">IF($F886&lt;&gt;"", XLOOKUP($F886,Productos!$A$2:$A1001,Productos!AK$2:AK1001,"")*$G886,"")</f>
        <v/>
      </c>
      <c r="AS886" s="179" t="str">
        <f t="array" ref="AS886">IF($F886&lt;&gt;"",XLOOKUP($F886,Productos!$A:$A,Productos!AL:AL,"Revisar"),"")</f>
        <v/>
      </c>
      <c r="AT886" s="179" t="str">
        <f t="array" ref="AT886">IF($F886&lt;&gt;"", XLOOKUP($F886,Productos!$A$2:$A1001,Productos!AM$2:AM1001,"")*$G886,"")</f>
        <v/>
      </c>
      <c r="AU886" s="179" t="str">
        <f t="array" ref="AU886">IF($F886&lt;&gt;"",XLOOKUP($F886,Productos!$A:$A,Productos!AN:AN,"Revisar"),"")</f>
        <v/>
      </c>
      <c r="AV886" s="179" t="str">
        <f t="array" ref="AV886">IF($F886&lt;&gt;"", XLOOKUP($F886,Productos!$A$2:$A1001,Productos!AO$2:AO1001,"")*$G886,"")</f>
        <v/>
      </c>
      <c r="AW886" s="179" t="str">
        <f t="array" ref="AW886">IF($F886&lt;&gt;"",XLOOKUP($F886,Productos!$A:$A,Productos!AP:AP,"Revisar"),"")</f>
        <v/>
      </c>
      <c r="AX886" s="179" t="str">
        <f t="array" ref="AX886">IF($F886&lt;&gt;"", XLOOKUP($F886,Productos!$A$2:$A1001,Productos!AQ$2:AQ1001,"")*$G886,"")</f>
        <v/>
      </c>
      <c r="AY886" s="179" t="str">
        <f t="array" ref="AY886">IF($F886&lt;&gt;"",XLOOKUP($F886,Productos!$A:$A,Productos!AR:AR,"Revisar"),"")</f>
        <v/>
      </c>
      <c r="AZ886" s="179" t="str">
        <f t="array" ref="AZ886">IF($F886&lt;&gt;"", XLOOKUP($F886,Productos!$A$2:$A1001,Productos!AS$2:AS1001,"")*$G886,"")</f>
        <v/>
      </c>
      <c r="BA886" s="179" t="str">
        <f t="array" ref="BA886">IF($F886&lt;&gt;"",XLOOKUP($F886,Productos!$A:$A,Productos!AT:AT,"Revisar"),"")</f>
        <v/>
      </c>
      <c r="BB886" s="179" t="str">
        <f t="array" ref="BB886">IF($F886&lt;&gt;"", XLOOKUP($F886,Productos!$A$2:$A1001,Productos!AU$2:AU1001,"")*$G886,"")</f>
        <v/>
      </c>
      <c r="BC886" s="179" t="str">
        <f t="array" ref="BC886">IF($F886&lt;&gt;"",XLOOKUP($F886,Productos!$A:$A,Productos!AV:AV,"Revisar"),"")</f>
        <v/>
      </c>
      <c r="BD886" s="179" t="str">
        <f t="array" ref="BD886">IF($F886&lt;&gt;"", XLOOKUP($F886,Productos!$A$2:$A1001,Productos!AW$2:AW1001,"")*$G886,"")</f>
        <v/>
      </c>
      <c r="BE886" s="179" t="str">
        <f t="array" ref="BE886">IF($F886&lt;&gt;"",XLOOKUP($F886,Productos!$A:$A,Productos!AX:AX,"Revisar"),"")</f>
        <v/>
      </c>
      <c r="BF886" s="179" t="str">
        <f t="array" ref="BF886">IF($F886&lt;&gt;"", XLOOKUP($F886,Productos!$A$2:$A1001,Productos!AY$2:AY1001,"")*$G886,"")</f>
        <v/>
      </c>
      <c r="BG886" s="179" t="str">
        <f t="array" ref="BG886">IF($F886&lt;&gt;"",XLOOKUP($F886,Productos!$A:$A,Productos!AZ:AZ,"Revisar"),"")</f>
        <v/>
      </c>
      <c r="BH886" s="179" t="str">
        <f t="array" ref="BH886">IF($F886&lt;&gt;"", XLOOKUP($F886,Productos!$A$2:$A1001,Productos!BA$2:BA1001,"")*$G886,"")</f>
        <v/>
      </c>
      <c r="BI886" s="179" t="str">
        <f t="array" ref="BI886">IF($F886&lt;&gt;"",XLOOKUP($F886,Productos!$A:$A,Productos!BB:BB,"Revisar"),"")</f>
        <v/>
      </c>
      <c r="BJ886" s="179" t="str">
        <f t="array" ref="BJ886">IF($F886&lt;&gt;"", XLOOKUP($F886,Productos!$A$2:$A1001,Productos!BC$2:BC1001,"")*$G886,"")</f>
        <v/>
      </c>
      <c r="BK886" s="179" t="str">
        <f t="array" ref="BK886">IF($F886&lt;&gt;"",XLOOKUP($F886,Productos!$A:$A,Productos!BD:BD,"Revisar"),"")</f>
        <v/>
      </c>
      <c r="BL886" s="179" t="str">
        <f t="array" ref="BL886">IF($F886&lt;&gt;"", XLOOKUP($F886,Productos!$A$2:$A1001,Productos!BE$2:BE1001,"")*$G886,"")</f>
        <v/>
      </c>
      <c r="BM886" s="179" t="str">
        <f t="array" ref="BM886">IF($F886&lt;&gt;"",XLOOKUP($F886,Productos!$A:$A,Productos!BF:BF,"Revisar"),"")</f>
        <v/>
      </c>
      <c r="BN886" s="179" t="str">
        <f t="array" ref="BN886">IF($F886&lt;&gt;"", XLOOKUP($F886,Productos!$A$2:$A1001,Productos!BG$2:BG1001,"")*$G886,"")</f>
        <v/>
      </c>
      <c r="BO886" s="179" t="str">
        <f t="array" ref="BO886">IF($F886&lt;&gt;"",XLOOKUP($F886,Productos!$A:$A,Productos!BH:BH,"Revisar"),"")</f>
        <v/>
      </c>
      <c r="BP886" s="179" t="str">
        <f t="array" ref="BP886">IF($F886&lt;&gt;"", XLOOKUP($F886,Productos!$A$2:$A1001,Productos!BI$2:BI1001,"")*$G886,"")</f>
        <v/>
      </c>
      <c r="BQ886" s="179" t="str">
        <f t="array" ref="BQ886">IF($F886&lt;&gt;"",XLOOKUP($F886,Productos!$A:$A,Productos!BJ:BJ,"Revisar"),"")</f>
        <v/>
      </c>
      <c r="BR886" s="179" t="str">
        <f t="array" ref="BR886">IF($F886&lt;&gt;"", XLOOKUP($F886,Productos!$A$2:$A1001,Productos!BK$2:BK1001,"")*$G886,"")</f>
        <v/>
      </c>
      <c r="BS886" s="179" t="str">
        <f t="array" ref="BS886">IF($F886&lt;&gt;"",XLOOKUP($F886,Productos!$A:$A,Productos!BL:BL,"Revisar"),"")</f>
        <v/>
      </c>
      <c r="BT886" s="179" t="str">
        <f t="array" ref="BT886">IF($F886&lt;&gt;"", XLOOKUP($F886,Productos!$A$2:$A1001,Productos!BM$2:BM1001,"")*$G886,"")</f>
        <v/>
      </c>
      <c r="BU886" s="179" t="str">
        <f t="array" ref="BU886">IF($F886&lt;&gt;"",XLOOKUP($F886,Productos!$A:$A,Productos!BN:BN,"Revisar"),"")</f>
        <v/>
      </c>
      <c r="BV886" s="179" t="str">
        <f t="array" ref="BV886">IF($F886&lt;&gt;"", XLOOKUP($F886,Productos!$A$2:$A1001,Productos!BO$2:BO1001,"")*$G886,"")</f>
        <v/>
      </c>
      <c r="BW886" s="179" t="str">
        <f t="array" ref="BW886">IF($F886&lt;&gt;"",XLOOKUP($F886,Productos!$A:$A,Productos!BP:BP,"Revisar"),"")</f>
        <v/>
      </c>
      <c r="BX886" s="179" t="str">
        <f t="array" ref="BX886">IF($F886&lt;&gt;"", XLOOKUP($F886,Productos!$A$2:$A1001,Productos!BQ$2:BQ1001,"")*$G886,"")</f>
        <v/>
      </c>
      <c r="BY886" s="179" t="str">
        <f t="array" ref="BY886">IF($F886&lt;&gt;"",XLOOKUP($F886,Productos!$A:$A,Productos!BR:BR,"Revisar"),"")</f>
        <v/>
      </c>
      <c r="BZ886" s="179" t="str">
        <f t="array" ref="BZ886">IF($F886&lt;&gt;"", XLOOKUP($F886,Productos!$A$2:$A1001,Productos!BS$2:BS1001,"")*$G886,"")</f>
        <v/>
      </c>
    </row>
    <row r="887">
      <c r="A887" s="188"/>
      <c r="B887" s="189"/>
      <c r="C887" s="190"/>
      <c r="D887" s="190"/>
      <c r="E887" s="191"/>
      <c r="F887" s="186"/>
      <c r="G887" s="192"/>
      <c r="H887" s="9"/>
      <c r="I887" s="179" t="str">
        <f t="array" ref="I887">IF($F887&lt;&gt;"",XLOOKUP($F887,Productos!$A:$A,Productos!B:B,"Revisar"),"")</f>
        <v/>
      </c>
      <c r="J887" s="179" t="str">
        <f t="array" ref="J887">IF($F887&lt;&gt;"", XLOOKUP($F887,Productos!$A$2:$A1001,Productos!C$2:C1001,"")*$G887,"")</f>
        <v/>
      </c>
      <c r="K887" s="179" t="str">
        <f t="array" ref="K887">IF($F887&lt;&gt;"",XLOOKUP($F887,Productos!$A:$A,Productos!D:D,"Revisar"),"")</f>
        <v/>
      </c>
      <c r="L887" s="179" t="str">
        <f t="array" ref="L887">IF($F887&lt;&gt;"", XLOOKUP($F887,Productos!$A$2:$A1001,Productos!E$2:E1001,"")*$G887,"")</f>
        <v/>
      </c>
      <c r="M887" s="179" t="str">
        <f t="array" ref="M887">IF($F887&lt;&gt;"",XLOOKUP($F887,Productos!$A:$A,Productos!F:F,"Revisar"),"")</f>
        <v/>
      </c>
      <c r="N887" s="179" t="str">
        <f t="array" ref="N887">IF($F887&lt;&gt;"", XLOOKUP($F887,Productos!$A$2:$A1001,Productos!G$2:G1001,"")*$G887,"")</f>
        <v/>
      </c>
      <c r="O887" s="179" t="str">
        <f t="array" ref="O887">IF($F887&lt;&gt;"",XLOOKUP($F887,Productos!$A:$A,Productos!H:H,"Revisar"),"")</f>
        <v/>
      </c>
      <c r="P887" s="179" t="str">
        <f t="array" ref="P887">IF($F887&lt;&gt;"", XLOOKUP($F887,Productos!$A$2:$A1001,Productos!I$2:I1001,"")*$G887,"")</f>
        <v/>
      </c>
      <c r="Q887" s="179" t="str">
        <f t="array" ref="Q887">IF($F887&lt;&gt;"",XLOOKUP($F887,Productos!$A:$A,Productos!J:J,"Revisar"),"")</f>
        <v/>
      </c>
      <c r="R887" s="179" t="str">
        <f t="array" ref="R887">IF($F887&lt;&gt;"", XLOOKUP($F887,Productos!$A$2:$A1001,Productos!K$2:K1001,"")*$G887,"")</f>
        <v/>
      </c>
      <c r="S887" s="179" t="str">
        <f t="array" ref="S887">IF($F887&lt;&gt;"",XLOOKUP($F887,Productos!$A:$A,Productos!L:L,"Revisar"),"")</f>
        <v/>
      </c>
      <c r="T887" s="179" t="str">
        <f t="array" ref="T887">IF($F887&lt;&gt;"", XLOOKUP($F887,Productos!$A$2:$A1001,Productos!M$2:M1001,"")*$G887,"")</f>
        <v/>
      </c>
      <c r="U887" s="179" t="str">
        <f t="array" ref="U887">IF($F887&lt;&gt;"",XLOOKUP($F887,Productos!$A:$A,Productos!N:N,"Revisar"),"")</f>
        <v/>
      </c>
      <c r="V887" s="179" t="str">
        <f t="array" ref="V887">IF($F887&lt;&gt;"", XLOOKUP($F887,Productos!$A$2:$A1001,Productos!O$2:O1001,"")*$G887,"")</f>
        <v/>
      </c>
      <c r="W887" s="179" t="str">
        <f t="array" ref="W887">IF($F887&lt;&gt;"",XLOOKUP($F887,Productos!$A:$A,Productos!P:P,"Revisar"),"")</f>
        <v/>
      </c>
      <c r="X887" s="179" t="str">
        <f t="array" ref="X887">IF($F887&lt;&gt;"", XLOOKUP($F887,Productos!$A$2:$A1001,Productos!Q$2:Q1001,"")*$G887,"")</f>
        <v/>
      </c>
      <c r="Y887" s="179" t="str">
        <f t="array" ref="Y887">IF($F887&lt;&gt;"",XLOOKUP($F887,Productos!$A:$A,Productos!R:R,"Revisar"),"")</f>
        <v/>
      </c>
      <c r="Z887" s="179" t="str">
        <f t="array" ref="Z887">IF($F887&lt;&gt;"", XLOOKUP($F887,Productos!$A$2:$A1001,Productos!S$2:S1001,"")*$G887,"")</f>
        <v/>
      </c>
      <c r="AA887" s="179" t="str">
        <f t="array" ref="AA887">IF($F887&lt;&gt;"",XLOOKUP($F887,Productos!$A:$A,Productos!T:T,"Revisar"),"")</f>
        <v/>
      </c>
      <c r="AB887" s="179" t="str">
        <f t="array" ref="AB887">IF($F887&lt;&gt;"", XLOOKUP($F887,Productos!$A$2:$A1001,Productos!U$2:U1001,"")*$G887,"")</f>
        <v/>
      </c>
      <c r="AC887" s="179" t="str">
        <f t="array" ref="AC887">IF($F887&lt;&gt;"",XLOOKUP($F887,Productos!$A:$A,Productos!V:V,"Revisar"),"")</f>
        <v/>
      </c>
      <c r="AD887" s="179" t="str">
        <f t="array" ref="AD887">IF($F887&lt;&gt;"", XLOOKUP($F887,Productos!$A$2:$A1001,Productos!W$2:W1001,"")*$G887,"")</f>
        <v/>
      </c>
      <c r="AE887" s="179" t="str">
        <f t="array" ref="AE887">IF($F887&lt;&gt;"",XLOOKUP($F887,Productos!$A:$A,Productos!X:X,"Revisar"),"")</f>
        <v/>
      </c>
      <c r="AF887" s="179" t="str">
        <f t="array" ref="AF887">IF($F887&lt;&gt;"", XLOOKUP($F887,Productos!$A$2:$A1001,Productos!Y$2:Y1001,"")*$G887,"")</f>
        <v/>
      </c>
      <c r="AG887" s="179" t="str">
        <f t="array" ref="AG887">IF($F887&lt;&gt;"",XLOOKUP($F887,Productos!$A:$A,Productos!Z:Z,"Revisar"),"")</f>
        <v/>
      </c>
      <c r="AH887" s="179" t="str">
        <f t="array" ref="AH887">IF($F887&lt;&gt;"", XLOOKUP($F887,Productos!$A$2:$A1001,Productos!AA$2:AA1001,"")*$G887,"")</f>
        <v/>
      </c>
      <c r="AI887" s="179" t="str">
        <f t="array" ref="AI887">IF($F887&lt;&gt;"",XLOOKUP($F887,Productos!$A:$A,Productos!AB:AB,"Revisar"),"")</f>
        <v/>
      </c>
      <c r="AJ887" s="179" t="str">
        <f t="array" ref="AJ887">IF($F887&lt;&gt;"", XLOOKUP($F887,Productos!$A$2:$A1001,Productos!AC$2:AC1001,"")*$G887,"")</f>
        <v/>
      </c>
      <c r="AK887" s="179" t="str">
        <f t="array" ref="AK887">IF($F887&lt;&gt;"",XLOOKUP($F887,Productos!$A:$A,Productos!AD:AD,"Revisar"),"")</f>
        <v/>
      </c>
      <c r="AL887" s="179" t="str">
        <f t="array" ref="AL887">IF($F887&lt;&gt;"", XLOOKUP($F887,Productos!$A$2:$A1001,Productos!AE$2:AE1001,"")*$G887,"")</f>
        <v/>
      </c>
      <c r="AM887" s="179" t="str">
        <f t="array" ref="AM887">IF($F887&lt;&gt;"",XLOOKUP($F887,Productos!$A:$A,Productos!AF:AF,"Revisar"),"")</f>
        <v/>
      </c>
      <c r="AN887" s="179" t="str">
        <f t="array" ref="AN887">IF($F887&lt;&gt;"", XLOOKUP($F887,Productos!$A$2:$A1001,Productos!AG$2:AG1001,"")*$G887,"")</f>
        <v/>
      </c>
      <c r="AO887" s="179" t="str">
        <f t="array" ref="AO887">IF($F887&lt;&gt;"",XLOOKUP($F887,Productos!$A:$A,Productos!AH:AH,"Revisar"),"")</f>
        <v/>
      </c>
      <c r="AP887" s="179" t="str">
        <f t="array" ref="AP887">IF($F887&lt;&gt;"", XLOOKUP($F887,Productos!$A$2:$A1001,Productos!AI$2:AI1001,"")*$G887,"")</f>
        <v/>
      </c>
      <c r="AQ887" s="179" t="str">
        <f t="array" ref="AQ887">IF($F887&lt;&gt;"",XLOOKUP($F887,Productos!$A:$A,Productos!AJ:AJ,"Revisar"),"")</f>
        <v/>
      </c>
      <c r="AR887" s="179" t="str">
        <f t="array" ref="AR887">IF($F887&lt;&gt;"", XLOOKUP($F887,Productos!$A$2:$A1001,Productos!AK$2:AK1001,"")*$G887,"")</f>
        <v/>
      </c>
      <c r="AS887" s="179" t="str">
        <f t="array" ref="AS887">IF($F887&lt;&gt;"",XLOOKUP($F887,Productos!$A:$A,Productos!AL:AL,"Revisar"),"")</f>
        <v/>
      </c>
      <c r="AT887" s="179" t="str">
        <f t="array" ref="AT887">IF($F887&lt;&gt;"", XLOOKUP($F887,Productos!$A$2:$A1001,Productos!AM$2:AM1001,"")*$G887,"")</f>
        <v/>
      </c>
      <c r="AU887" s="179" t="str">
        <f t="array" ref="AU887">IF($F887&lt;&gt;"",XLOOKUP($F887,Productos!$A:$A,Productos!AN:AN,"Revisar"),"")</f>
        <v/>
      </c>
      <c r="AV887" s="179" t="str">
        <f t="array" ref="AV887">IF($F887&lt;&gt;"", XLOOKUP($F887,Productos!$A$2:$A1001,Productos!AO$2:AO1001,"")*$G887,"")</f>
        <v/>
      </c>
      <c r="AW887" s="179" t="str">
        <f t="array" ref="AW887">IF($F887&lt;&gt;"",XLOOKUP($F887,Productos!$A:$A,Productos!AP:AP,"Revisar"),"")</f>
        <v/>
      </c>
      <c r="AX887" s="179" t="str">
        <f t="array" ref="AX887">IF($F887&lt;&gt;"", XLOOKUP($F887,Productos!$A$2:$A1001,Productos!AQ$2:AQ1001,"")*$G887,"")</f>
        <v/>
      </c>
      <c r="AY887" s="179" t="str">
        <f t="array" ref="AY887">IF($F887&lt;&gt;"",XLOOKUP($F887,Productos!$A:$A,Productos!AR:AR,"Revisar"),"")</f>
        <v/>
      </c>
      <c r="AZ887" s="179" t="str">
        <f t="array" ref="AZ887">IF($F887&lt;&gt;"", XLOOKUP($F887,Productos!$A$2:$A1001,Productos!AS$2:AS1001,"")*$G887,"")</f>
        <v/>
      </c>
      <c r="BA887" s="179" t="str">
        <f t="array" ref="BA887">IF($F887&lt;&gt;"",XLOOKUP($F887,Productos!$A:$A,Productos!AT:AT,"Revisar"),"")</f>
        <v/>
      </c>
      <c r="BB887" s="179" t="str">
        <f t="array" ref="BB887">IF($F887&lt;&gt;"", XLOOKUP($F887,Productos!$A$2:$A1001,Productos!AU$2:AU1001,"")*$G887,"")</f>
        <v/>
      </c>
      <c r="BC887" s="179" t="str">
        <f t="array" ref="BC887">IF($F887&lt;&gt;"",XLOOKUP($F887,Productos!$A:$A,Productos!AV:AV,"Revisar"),"")</f>
        <v/>
      </c>
      <c r="BD887" s="179" t="str">
        <f t="array" ref="BD887">IF($F887&lt;&gt;"", XLOOKUP($F887,Productos!$A$2:$A1001,Productos!AW$2:AW1001,"")*$G887,"")</f>
        <v/>
      </c>
      <c r="BE887" s="179" t="str">
        <f t="array" ref="BE887">IF($F887&lt;&gt;"",XLOOKUP($F887,Productos!$A:$A,Productos!AX:AX,"Revisar"),"")</f>
        <v/>
      </c>
      <c r="BF887" s="179" t="str">
        <f t="array" ref="BF887">IF($F887&lt;&gt;"", XLOOKUP($F887,Productos!$A$2:$A1001,Productos!AY$2:AY1001,"")*$G887,"")</f>
        <v/>
      </c>
      <c r="BG887" s="179" t="str">
        <f t="array" ref="BG887">IF($F887&lt;&gt;"",XLOOKUP($F887,Productos!$A:$A,Productos!AZ:AZ,"Revisar"),"")</f>
        <v/>
      </c>
      <c r="BH887" s="179" t="str">
        <f t="array" ref="BH887">IF($F887&lt;&gt;"", XLOOKUP($F887,Productos!$A$2:$A1001,Productos!BA$2:BA1001,"")*$G887,"")</f>
        <v/>
      </c>
      <c r="BI887" s="179" t="str">
        <f t="array" ref="BI887">IF($F887&lt;&gt;"",XLOOKUP($F887,Productos!$A:$A,Productos!BB:BB,"Revisar"),"")</f>
        <v/>
      </c>
      <c r="BJ887" s="179" t="str">
        <f t="array" ref="BJ887">IF($F887&lt;&gt;"", XLOOKUP($F887,Productos!$A$2:$A1001,Productos!BC$2:BC1001,"")*$G887,"")</f>
        <v/>
      </c>
      <c r="BK887" s="179" t="str">
        <f t="array" ref="BK887">IF($F887&lt;&gt;"",XLOOKUP($F887,Productos!$A:$A,Productos!BD:BD,"Revisar"),"")</f>
        <v/>
      </c>
      <c r="BL887" s="179" t="str">
        <f t="array" ref="BL887">IF($F887&lt;&gt;"", XLOOKUP($F887,Productos!$A$2:$A1001,Productos!BE$2:BE1001,"")*$G887,"")</f>
        <v/>
      </c>
      <c r="BM887" s="179" t="str">
        <f t="array" ref="BM887">IF($F887&lt;&gt;"",XLOOKUP($F887,Productos!$A:$A,Productos!BF:BF,"Revisar"),"")</f>
        <v/>
      </c>
      <c r="BN887" s="179" t="str">
        <f t="array" ref="BN887">IF($F887&lt;&gt;"", XLOOKUP($F887,Productos!$A$2:$A1001,Productos!BG$2:BG1001,"")*$G887,"")</f>
        <v/>
      </c>
      <c r="BO887" s="179" t="str">
        <f t="array" ref="BO887">IF($F887&lt;&gt;"",XLOOKUP($F887,Productos!$A:$A,Productos!BH:BH,"Revisar"),"")</f>
        <v/>
      </c>
      <c r="BP887" s="179" t="str">
        <f t="array" ref="BP887">IF($F887&lt;&gt;"", XLOOKUP($F887,Productos!$A$2:$A1001,Productos!BI$2:BI1001,"")*$G887,"")</f>
        <v/>
      </c>
      <c r="BQ887" s="179" t="str">
        <f t="array" ref="BQ887">IF($F887&lt;&gt;"",XLOOKUP($F887,Productos!$A:$A,Productos!BJ:BJ,"Revisar"),"")</f>
        <v/>
      </c>
      <c r="BR887" s="179" t="str">
        <f t="array" ref="BR887">IF($F887&lt;&gt;"", XLOOKUP($F887,Productos!$A$2:$A1001,Productos!BK$2:BK1001,"")*$G887,"")</f>
        <v/>
      </c>
      <c r="BS887" s="179" t="str">
        <f t="array" ref="BS887">IF($F887&lt;&gt;"",XLOOKUP($F887,Productos!$A:$A,Productos!BL:BL,"Revisar"),"")</f>
        <v/>
      </c>
      <c r="BT887" s="179" t="str">
        <f t="array" ref="BT887">IF($F887&lt;&gt;"", XLOOKUP($F887,Productos!$A$2:$A1001,Productos!BM$2:BM1001,"")*$G887,"")</f>
        <v/>
      </c>
      <c r="BU887" s="179" t="str">
        <f t="array" ref="BU887">IF($F887&lt;&gt;"",XLOOKUP($F887,Productos!$A:$A,Productos!BN:BN,"Revisar"),"")</f>
        <v/>
      </c>
      <c r="BV887" s="179" t="str">
        <f t="array" ref="BV887">IF($F887&lt;&gt;"", XLOOKUP($F887,Productos!$A$2:$A1001,Productos!BO$2:BO1001,"")*$G887,"")</f>
        <v/>
      </c>
      <c r="BW887" s="179" t="str">
        <f t="array" ref="BW887">IF($F887&lt;&gt;"",XLOOKUP($F887,Productos!$A:$A,Productos!BP:BP,"Revisar"),"")</f>
        <v/>
      </c>
      <c r="BX887" s="179" t="str">
        <f t="array" ref="BX887">IF($F887&lt;&gt;"", XLOOKUP($F887,Productos!$A$2:$A1001,Productos!BQ$2:BQ1001,"")*$G887,"")</f>
        <v/>
      </c>
      <c r="BY887" s="179" t="str">
        <f t="array" ref="BY887">IF($F887&lt;&gt;"",XLOOKUP($F887,Productos!$A:$A,Productos!BR:BR,"Revisar"),"")</f>
        <v/>
      </c>
      <c r="BZ887" s="179" t="str">
        <f t="array" ref="BZ887">IF($F887&lt;&gt;"", XLOOKUP($F887,Productos!$A$2:$A1001,Productos!BS$2:BS1001,"")*$G887,"")</f>
        <v/>
      </c>
    </row>
    <row r="888">
      <c r="A888" s="188"/>
      <c r="B888" s="189"/>
      <c r="C888" s="190"/>
      <c r="D888" s="190"/>
      <c r="E888" s="191"/>
      <c r="F888" s="186"/>
      <c r="G888" s="192"/>
      <c r="H888" s="9"/>
      <c r="I888" s="179" t="str">
        <f t="array" ref="I888">IF($F888&lt;&gt;"",XLOOKUP($F888,Productos!$A:$A,Productos!B:B,"Revisar"),"")</f>
        <v/>
      </c>
      <c r="J888" s="179" t="str">
        <f t="array" ref="J888">IF($F888&lt;&gt;"", XLOOKUP($F888,Productos!$A$2:$A1001,Productos!C$2:C1001,"")*$G888,"")</f>
        <v/>
      </c>
      <c r="K888" s="179" t="str">
        <f t="array" ref="K888">IF($F888&lt;&gt;"",XLOOKUP($F888,Productos!$A:$A,Productos!D:D,"Revisar"),"")</f>
        <v/>
      </c>
      <c r="L888" s="179" t="str">
        <f t="array" ref="L888">IF($F888&lt;&gt;"", XLOOKUP($F888,Productos!$A$2:$A1001,Productos!E$2:E1001,"")*$G888,"")</f>
        <v/>
      </c>
      <c r="M888" s="179" t="str">
        <f t="array" ref="M888">IF($F888&lt;&gt;"",XLOOKUP($F888,Productos!$A:$A,Productos!F:F,"Revisar"),"")</f>
        <v/>
      </c>
      <c r="N888" s="179" t="str">
        <f t="array" ref="N888">IF($F888&lt;&gt;"", XLOOKUP($F888,Productos!$A$2:$A1001,Productos!G$2:G1001,"")*$G888,"")</f>
        <v/>
      </c>
      <c r="O888" s="179" t="str">
        <f t="array" ref="O888">IF($F888&lt;&gt;"",XLOOKUP($F888,Productos!$A:$A,Productos!H:H,"Revisar"),"")</f>
        <v/>
      </c>
      <c r="P888" s="179" t="str">
        <f t="array" ref="P888">IF($F888&lt;&gt;"", XLOOKUP($F888,Productos!$A$2:$A1001,Productos!I$2:I1001,"")*$G888,"")</f>
        <v/>
      </c>
      <c r="Q888" s="179" t="str">
        <f t="array" ref="Q888">IF($F888&lt;&gt;"",XLOOKUP($F888,Productos!$A:$A,Productos!J:J,"Revisar"),"")</f>
        <v/>
      </c>
      <c r="R888" s="179" t="str">
        <f t="array" ref="R888">IF($F888&lt;&gt;"", XLOOKUP($F888,Productos!$A$2:$A1001,Productos!K$2:K1001,"")*$G888,"")</f>
        <v/>
      </c>
      <c r="S888" s="179" t="str">
        <f t="array" ref="S888">IF($F888&lt;&gt;"",XLOOKUP($F888,Productos!$A:$A,Productos!L:L,"Revisar"),"")</f>
        <v/>
      </c>
      <c r="T888" s="179" t="str">
        <f t="array" ref="T888">IF($F888&lt;&gt;"", XLOOKUP($F888,Productos!$A$2:$A1001,Productos!M$2:M1001,"")*$G888,"")</f>
        <v/>
      </c>
      <c r="U888" s="179" t="str">
        <f t="array" ref="U888">IF($F888&lt;&gt;"",XLOOKUP($F888,Productos!$A:$A,Productos!N:N,"Revisar"),"")</f>
        <v/>
      </c>
      <c r="V888" s="179" t="str">
        <f t="array" ref="V888">IF($F888&lt;&gt;"", XLOOKUP($F888,Productos!$A$2:$A1001,Productos!O$2:O1001,"")*$G888,"")</f>
        <v/>
      </c>
      <c r="W888" s="179" t="str">
        <f t="array" ref="W888">IF($F888&lt;&gt;"",XLOOKUP($F888,Productos!$A:$A,Productos!P:P,"Revisar"),"")</f>
        <v/>
      </c>
      <c r="X888" s="179" t="str">
        <f t="array" ref="X888">IF($F888&lt;&gt;"", XLOOKUP($F888,Productos!$A$2:$A1001,Productos!Q$2:Q1001,"")*$G888,"")</f>
        <v/>
      </c>
      <c r="Y888" s="179" t="str">
        <f t="array" ref="Y888">IF($F888&lt;&gt;"",XLOOKUP($F888,Productos!$A:$A,Productos!R:R,"Revisar"),"")</f>
        <v/>
      </c>
      <c r="Z888" s="179" t="str">
        <f t="array" ref="Z888">IF($F888&lt;&gt;"", XLOOKUP($F888,Productos!$A$2:$A1001,Productos!S$2:S1001,"")*$G888,"")</f>
        <v/>
      </c>
      <c r="AA888" s="179" t="str">
        <f t="array" ref="AA888">IF($F888&lt;&gt;"",XLOOKUP($F888,Productos!$A:$A,Productos!T:T,"Revisar"),"")</f>
        <v/>
      </c>
      <c r="AB888" s="179" t="str">
        <f t="array" ref="AB888">IF($F888&lt;&gt;"", XLOOKUP($F888,Productos!$A$2:$A1001,Productos!U$2:U1001,"")*$G888,"")</f>
        <v/>
      </c>
      <c r="AC888" s="179" t="str">
        <f t="array" ref="AC888">IF($F888&lt;&gt;"",XLOOKUP($F888,Productos!$A:$A,Productos!V:V,"Revisar"),"")</f>
        <v/>
      </c>
      <c r="AD888" s="179" t="str">
        <f t="array" ref="AD888">IF($F888&lt;&gt;"", XLOOKUP($F888,Productos!$A$2:$A1001,Productos!W$2:W1001,"")*$G888,"")</f>
        <v/>
      </c>
      <c r="AE888" s="179" t="str">
        <f t="array" ref="AE888">IF($F888&lt;&gt;"",XLOOKUP($F888,Productos!$A:$A,Productos!X:X,"Revisar"),"")</f>
        <v/>
      </c>
      <c r="AF888" s="179" t="str">
        <f t="array" ref="AF888">IF($F888&lt;&gt;"", XLOOKUP($F888,Productos!$A$2:$A1001,Productos!Y$2:Y1001,"")*$G888,"")</f>
        <v/>
      </c>
      <c r="AG888" s="179" t="str">
        <f t="array" ref="AG888">IF($F888&lt;&gt;"",XLOOKUP($F888,Productos!$A:$A,Productos!Z:Z,"Revisar"),"")</f>
        <v/>
      </c>
      <c r="AH888" s="179" t="str">
        <f t="array" ref="AH888">IF($F888&lt;&gt;"", XLOOKUP($F888,Productos!$A$2:$A1001,Productos!AA$2:AA1001,"")*$G888,"")</f>
        <v/>
      </c>
      <c r="AI888" s="179" t="str">
        <f t="array" ref="AI888">IF($F888&lt;&gt;"",XLOOKUP($F888,Productos!$A:$A,Productos!AB:AB,"Revisar"),"")</f>
        <v/>
      </c>
      <c r="AJ888" s="179" t="str">
        <f t="array" ref="AJ888">IF($F888&lt;&gt;"", XLOOKUP($F888,Productos!$A$2:$A1001,Productos!AC$2:AC1001,"")*$G888,"")</f>
        <v/>
      </c>
      <c r="AK888" s="179" t="str">
        <f t="array" ref="AK888">IF($F888&lt;&gt;"",XLOOKUP($F888,Productos!$A:$A,Productos!AD:AD,"Revisar"),"")</f>
        <v/>
      </c>
      <c r="AL888" s="179" t="str">
        <f t="array" ref="AL888">IF($F888&lt;&gt;"", XLOOKUP($F888,Productos!$A$2:$A1001,Productos!AE$2:AE1001,"")*$G888,"")</f>
        <v/>
      </c>
      <c r="AM888" s="179" t="str">
        <f t="array" ref="AM888">IF($F888&lt;&gt;"",XLOOKUP($F888,Productos!$A:$A,Productos!AF:AF,"Revisar"),"")</f>
        <v/>
      </c>
      <c r="AN888" s="179" t="str">
        <f t="array" ref="AN888">IF($F888&lt;&gt;"", XLOOKUP($F888,Productos!$A$2:$A1001,Productos!AG$2:AG1001,"")*$G888,"")</f>
        <v/>
      </c>
      <c r="AO888" s="179" t="str">
        <f t="array" ref="AO888">IF($F888&lt;&gt;"",XLOOKUP($F888,Productos!$A:$A,Productos!AH:AH,"Revisar"),"")</f>
        <v/>
      </c>
      <c r="AP888" s="179" t="str">
        <f t="array" ref="AP888">IF($F888&lt;&gt;"", XLOOKUP($F888,Productos!$A$2:$A1001,Productos!AI$2:AI1001,"")*$G888,"")</f>
        <v/>
      </c>
      <c r="AQ888" s="179" t="str">
        <f t="array" ref="AQ888">IF($F888&lt;&gt;"",XLOOKUP($F888,Productos!$A:$A,Productos!AJ:AJ,"Revisar"),"")</f>
        <v/>
      </c>
      <c r="AR888" s="179" t="str">
        <f t="array" ref="AR888">IF($F888&lt;&gt;"", XLOOKUP($F888,Productos!$A$2:$A1001,Productos!AK$2:AK1001,"")*$G888,"")</f>
        <v/>
      </c>
      <c r="AS888" s="179" t="str">
        <f t="array" ref="AS888">IF($F888&lt;&gt;"",XLOOKUP($F888,Productos!$A:$A,Productos!AL:AL,"Revisar"),"")</f>
        <v/>
      </c>
      <c r="AT888" s="179" t="str">
        <f t="array" ref="AT888">IF($F888&lt;&gt;"", XLOOKUP($F888,Productos!$A$2:$A1001,Productos!AM$2:AM1001,"")*$G888,"")</f>
        <v/>
      </c>
      <c r="AU888" s="179" t="str">
        <f t="array" ref="AU888">IF($F888&lt;&gt;"",XLOOKUP($F888,Productos!$A:$A,Productos!AN:AN,"Revisar"),"")</f>
        <v/>
      </c>
      <c r="AV888" s="179" t="str">
        <f t="array" ref="AV888">IF($F888&lt;&gt;"", XLOOKUP($F888,Productos!$A$2:$A1001,Productos!AO$2:AO1001,"")*$G888,"")</f>
        <v/>
      </c>
      <c r="AW888" s="179" t="str">
        <f t="array" ref="AW888">IF($F888&lt;&gt;"",XLOOKUP($F888,Productos!$A:$A,Productos!AP:AP,"Revisar"),"")</f>
        <v/>
      </c>
      <c r="AX888" s="179" t="str">
        <f t="array" ref="AX888">IF($F888&lt;&gt;"", XLOOKUP($F888,Productos!$A$2:$A1001,Productos!AQ$2:AQ1001,"")*$G888,"")</f>
        <v/>
      </c>
      <c r="AY888" s="179" t="str">
        <f t="array" ref="AY888">IF($F888&lt;&gt;"",XLOOKUP($F888,Productos!$A:$A,Productos!AR:AR,"Revisar"),"")</f>
        <v/>
      </c>
      <c r="AZ888" s="179" t="str">
        <f t="array" ref="AZ888">IF($F888&lt;&gt;"", XLOOKUP($F888,Productos!$A$2:$A1001,Productos!AS$2:AS1001,"")*$G888,"")</f>
        <v/>
      </c>
      <c r="BA888" s="179" t="str">
        <f t="array" ref="BA888">IF($F888&lt;&gt;"",XLOOKUP($F888,Productos!$A:$A,Productos!AT:AT,"Revisar"),"")</f>
        <v/>
      </c>
      <c r="BB888" s="179" t="str">
        <f t="array" ref="BB888">IF($F888&lt;&gt;"", XLOOKUP($F888,Productos!$A$2:$A1001,Productos!AU$2:AU1001,"")*$G888,"")</f>
        <v/>
      </c>
      <c r="BC888" s="179" t="str">
        <f t="array" ref="BC888">IF($F888&lt;&gt;"",XLOOKUP($F888,Productos!$A:$A,Productos!AV:AV,"Revisar"),"")</f>
        <v/>
      </c>
      <c r="BD888" s="179" t="str">
        <f t="array" ref="BD888">IF($F888&lt;&gt;"", XLOOKUP($F888,Productos!$A$2:$A1001,Productos!AW$2:AW1001,"")*$G888,"")</f>
        <v/>
      </c>
      <c r="BE888" s="179" t="str">
        <f t="array" ref="BE888">IF($F888&lt;&gt;"",XLOOKUP($F888,Productos!$A:$A,Productos!AX:AX,"Revisar"),"")</f>
        <v/>
      </c>
      <c r="BF888" s="179" t="str">
        <f t="array" ref="BF888">IF($F888&lt;&gt;"", XLOOKUP($F888,Productos!$A$2:$A1001,Productos!AY$2:AY1001,"")*$G888,"")</f>
        <v/>
      </c>
      <c r="BG888" s="179" t="str">
        <f t="array" ref="BG888">IF($F888&lt;&gt;"",XLOOKUP($F888,Productos!$A:$A,Productos!AZ:AZ,"Revisar"),"")</f>
        <v/>
      </c>
      <c r="BH888" s="179" t="str">
        <f t="array" ref="BH888">IF($F888&lt;&gt;"", XLOOKUP($F888,Productos!$A$2:$A1001,Productos!BA$2:BA1001,"")*$G888,"")</f>
        <v/>
      </c>
      <c r="BI888" s="179" t="str">
        <f t="array" ref="BI888">IF($F888&lt;&gt;"",XLOOKUP($F888,Productos!$A:$A,Productos!BB:BB,"Revisar"),"")</f>
        <v/>
      </c>
      <c r="BJ888" s="179" t="str">
        <f t="array" ref="BJ888">IF($F888&lt;&gt;"", XLOOKUP($F888,Productos!$A$2:$A1001,Productos!BC$2:BC1001,"")*$G888,"")</f>
        <v/>
      </c>
      <c r="BK888" s="179" t="str">
        <f t="array" ref="BK888">IF($F888&lt;&gt;"",XLOOKUP($F888,Productos!$A:$A,Productos!BD:BD,"Revisar"),"")</f>
        <v/>
      </c>
      <c r="BL888" s="179" t="str">
        <f t="array" ref="BL888">IF($F888&lt;&gt;"", XLOOKUP($F888,Productos!$A$2:$A1001,Productos!BE$2:BE1001,"")*$G888,"")</f>
        <v/>
      </c>
      <c r="BM888" s="179" t="str">
        <f t="array" ref="BM888">IF($F888&lt;&gt;"",XLOOKUP($F888,Productos!$A:$A,Productos!BF:BF,"Revisar"),"")</f>
        <v/>
      </c>
      <c r="BN888" s="179" t="str">
        <f t="array" ref="BN888">IF($F888&lt;&gt;"", XLOOKUP($F888,Productos!$A$2:$A1001,Productos!BG$2:BG1001,"")*$G888,"")</f>
        <v/>
      </c>
      <c r="BO888" s="179" t="str">
        <f t="array" ref="BO888">IF($F888&lt;&gt;"",XLOOKUP($F888,Productos!$A:$A,Productos!BH:BH,"Revisar"),"")</f>
        <v/>
      </c>
      <c r="BP888" s="179" t="str">
        <f t="array" ref="BP888">IF($F888&lt;&gt;"", XLOOKUP($F888,Productos!$A$2:$A1001,Productos!BI$2:BI1001,"")*$G888,"")</f>
        <v/>
      </c>
      <c r="BQ888" s="179" t="str">
        <f t="array" ref="BQ888">IF($F888&lt;&gt;"",XLOOKUP($F888,Productos!$A:$A,Productos!BJ:BJ,"Revisar"),"")</f>
        <v/>
      </c>
      <c r="BR888" s="179" t="str">
        <f t="array" ref="BR888">IF($F888&lt;&gt;"", XLOOKUP($F888,Productos!$A$2:$A1001,Productos!BK$2:BK1001,"")*$G888,"")</f>
        <v/>
      </c>
      <c r="BS888" s="179" t="str">
        <f t="array" ref="BS888">IF($F888&lt;&gt;"",XLOOKUP($F888,Productos!$A:$A,Productos!BL:BL,"Revisar"),"")</f>
        <v/>
      </c>
      <c r="BT888" s="179" t="str">
        <f t="array" ref="BT888">IF($F888&lt;&gt;"", XLOOKUP($F888,Productos!$A$2:$A1001,Productos!BM$2:BM1001,"")*$G888,"")</f>
        <v/>
      </c>
      <c r="BU888" s="179" t="str">
        <f t="array" ref="BU888">IF($F888&lt;&gt;"",XLOOKUP($F888,Productos!$A:$A,Productos!BN:BN,"Revisar"),"")</f>
        <v/>
      </c>
      <c r="BV888" s="179" t="str">
        <f t="array" ref="BV888">IF($F888&lt;&gt;"", XLOOKUP($F888,Productos!$A$2:$A1001,Productos!BO$2:BO1001,"")*$G888,"")</f>
        <v/>
      </c>
      <c r="BW888" s="179" t="str">
        <f t="array" ref="BW888">IF($F888&lt;&gt;"",XLOOKUP($F888,Productos!$A:$A,Productos!BP:BP,"Revisar"),"")</f>
        <v/>
      </c>
      <c r="BX888" s="179" t="str">
        <f t="array" ref="BX888">IF($F888&lt;&gt;"", XLOOKUP($F888,Productos!$A$2:$A1001,Productos!BQ$2:BQ1001,"")*$G888,"")</f>
        <v/>
      </c>
      <c r="BY888" s="179" t="str">
        <f t="array" ref="BY888">IF($F888&lt;&gt;"",XLOOKUP($F888,Productos!$A:$A,Productos!BR:BR,"Revisar"),"")</f>
        <v/>
      </c>
      <c r="BZ888" s="179" t="str">
        <f t="array" ref="BZ888">IF($F888&lt;&gt;"", XLOOKUP($F888,Productos!$A$2:$A1001,Productos!BS$2:BS1001,"")*$G888,"")</f>
        <v/>
      </c>
    </row>
    <row r="889">
      <c r="A889" s="188"/>
      <c r="B889" s="189"/>
      <c r="C889" s="190"/>
      <c r="D889" s="190"/>
      <c r="E889" s="191"/>
      <c r="F889" s="186"/>
      <c r="G889" s="192"/>
      <c r="H889" s="9"/>
      <c r="I889" s="179" t="str">
        <f t="array" ref="I889">IF($F889&lt;&gt;"",XLOOKUP($F889,Productos!$A:$A,Productos!B:B,"Revisar"),"")</f>
        <v/>
      </c>
      <c r="J889" s="179" t="str">
        <f t="array" ref="J889">IF($F889&lt;&gt;"", XLOOKUP($F889,Productos!$A$2:$A1001,Productos!C$2:C1001,"")*$G889,"")</f>
        <v/>
      </c>
      <c r="K889" s="179" t="str">
        <f t="array" ref="K889">IF($F889&lt;&gt;"",XLOOKUP($F889,Productos!$A:$A,Productos!D:D,"Revisar"),"")</f>
        <v/>
      </c>
      <c r="L889" s="179" t="str">
        <f t="array" ref="L889">IF($F889&lt;&gt;"", XLOOKUP($F889,Productos!$A$2:$A1001,Productos!E$2:E1001,"")*$G889,"")</f>
        <v/>
      </c>
      <c r="M889" s="179" t="str">
        <f t="array" ref="M889">IF($F889&lt;&gt;"",XLOOKUP($F889,Productos!$A:$A,Productos!F:F,"Revisar"),"")</f>
        <v/>
      </c>
      <c r="N889" s="179" t="str">
        <f t="array" ref="N889">IF($F889&lt;&gt;"", XLOOKUP($F889,Productos!$A$2:$A1001,Productos!G$2:G1001,"")*$G889,"")</f>
        <v/>
      </c>
      <c r="O889" s="179" t="str">
        <f t="array" ref="O889">IF($F889&lt;&gt;"",XLOOKUP($F889,Productos!$A:$A,Productos!H:H,"Revisar"),"")</f>
        <v/>
      </c>
      <c r="P889" s="179" t="str">
        <f t="array" ref="P889">IF($F889&lt;&gt;"", XLOOKUP($F889,Productos!$A$2:$A1001,Productos!I$2:I1001,"")*$G889,"")</f>
        <v/>
      </c>
      <c r="Q889" s="179" t="str">
        <f t="array" ref="Q889">IF($F889&lt;&gt;"",XLOOKUP($F889,Productos!$A:$A,Productos!J:J,"Revisar"),"")</f>
        <v/>
      </c>
      <c r="R889" s="179" t="str">
        <f t="array" ref="R889">IF($F889&lt;&gt;"", XLOOKUP($F889,Productos!$A$2:$A1001,Productos!K$2:K1001,"")*$G889,"")</f>
        <v/>
      </c>
      <c r="S889" s="179" t="str">
        <f t="array" ref="S889">IF($F889&lt;&gt;"",XLOOKUP($F889,Productos!$A:$A,Productos!L:L,"Revisar"),"")</f>
        <v/>
      </c>
      <c r="T889" s="179" t="str">
        <f t="array" ref="T889">IF($F889&lt;&gt;"", XLOOKUP($F889,Productos!$A$2:$A1001,Productos!M$2:M1001,"")*$G889,"")</f>
        <v/>
      </c>
      <c r="U889" s="179" t="str">
        <f t="array" ref="U889">IF($F889&lt;&gt;"",XLOOKUP($F889,Productos!$A:$A,Productos!N:N,"Revisar"),"")</f>
        <v/>
      </c>
      <c r="V889" s="179" t="str">
        <f t="array" ref="V889">IF($F889&lt;&gt;"", XLOOKUP($F889,Productos!$A$2:$A1001,Productos!O$2:O1001,"")*$G889,"")</f>
        <v/>
      </c>
      <c r="W889" s="179" t="str">
        <f t="array" ref="W889">IF($F889&lt;&gt;"",XLOOKUP($F889,Productos!$A:$A,Productos!P:P,"Revisar"),"")</f>
        <v/>
      </c>
      <c r="X889" s="179" t="str">
        <f t="array" ref="X889">IF($F889&lt;&gt;"", XLOOKUP($F889,Productos!$A$2:$A1001,Productos!Q$2:Q1001,"")*$G889,"")</f>
        <v/>
      </c>
      <c r="Y889" s="179" t="str">
        <f t="array" ref="Y889">IF($F889&lt;&gt;"",XLOOKUP($F889,Productos!$A:$A,Productos!R:R,"Revisar"),"")</f>
        <v/>
      </c>
      <c r="Z889" s="179" t="str">
        <f t="array" ref="Z889">IF($F889&lt;&gt;"", XLOOKUP($F889,Productos!$A$2:$A1001,Productos!S$2:S1001,"")*$G889,"")</f>
        <v/>
      </c>
      <c r="AA889" s="179" t="str">
        <f t="array" ref="AA889">IF($F889&lt;&gt;"",XLOOKUP($F889,Productos!$A:$A,Productos!T:T,"Revisar"),"")</f>
        <v/>
      </c>
      <c r="AB889" s="179" t="str">
        <f t="array" ref="AB889">IF($F889&lt;&gt;"", XLOOKUP($F889,Productos!$A$2:$A1001,Productos!U$2:U1001,"")*$G889,"")</f>
        <v/>
      </c>
      <c r="AC889" s="179" t="str">
        <f t="array" ref="AC889">IF($F889&lt;&gt;"",XLOOKUP($F889,Productos!$A:$A,Productos!V:V,"Revisar"),"")</f>
        <v/>
      </c>
      <c r="AD889" s="179" t="str">
        <f t="array" ref="AD889">IF($F889&lt;&gt;"", XLOOKUP($F889,Productos!$A$2:$A1001,Productos!W$2:W1001,"")*$G889,"")</f>
        <v/>
      </c>
      <c r="AE889" s="179" t="str">
        <f t="array" ref="AE889">IF($F889&lt;&gt;"",XLOOKUP($F889,Productos!$A:$A,Productos!X:X,"Revisar"),"")</f>
        <v/>
      </c>
      <c r="AF889" s="179" t="str">
        <f t="array" ref="AF889">IF($F889&lt;&gt;"", XLOOKUP($F889,Productos!$A$2:$A1001,Productos!Y$2:Y1001,"")*$G889,"")</f>
        <v/>
      </c>
      <c r="AG889" s="179" t="str">
        <f t="array" ref="AG889">IF($F889&lt;&gt;"",XLOOKUP($F889,Productos!$A:$A,Productos!Z:Z,"Revisar"),"")</f>
        <v/>
      </c>
      <c r="AH889" s="179" t="str">
        <f t="array" ref="AH889">IF($F889&lt;&gt;"", XLOOKUP($F889,Productos!$A$2:$A1001,Productos!AA$2:AA1001,"")*$G889,"")</f>
        <v/>
      </c>
      <c r="AI889" s="179" t="str">
        <f t="array" ref="AI889">IF($F889&lt;&gt;"",XLOOKUP($F889,Productos!$A:$A,Productos!AB:AB,"Revisar"),"")</f>
        <v/>
      </c>
      <c r="AJ889" s="179" t="str">
        <f t="array" ref="AJ889">IF($F889&lt;&gt;"", XLOOKUP($F889,Productos!$A$2:$A1001,Productos!AC$2:AC1001,"")*$G889,"")</f>
        <v/>
      </c>
      <c r="AK889" s="179" t="str">
        <f t="array" ref="AK889">IF($F889&lt;&gt;"",XLOOKUP($F889,Productos!$A:$A,Productos!AD:AD,"Revisar"),"")</f>
        <v/>
      </c>
      <c r="AL889" s="179" t="str">
        <f t="array" ref="AL889">IF($F889&lt;&gt;"", XLOOKUP($F889,Productos!$A$2:$A1001,Productos!AE$2:AE1001,"")*$G889,"")</f>
        <v/>
      </c>
      <c r="AM889" s="179" t="str">
        <f t="array" ref="AM889">IF($F889&lt;&gt;"",XLOOKUP($F889,Productos!$A:$A,Productos!AF:AF,"Revisar"),"")</f>
        <v/>
      </c>
      <c r="AN889" s="179" t="str">
        <f t="array" ref="AN889">IF($F889&lt;&gt;"", XLOOKUP($F889,Productos!$A$2:$A1001,Productos!AG$2:AG1001,"")*$G889,"")</f>
        <v/>
      </c>
      <c r="AO889" s="179" t="str">
        <f t="array" ref="AO889">IF($F889&lt;&gt;"",XLOOKUP($F889,Productos!$A:$A,Productos!AH:AH,"Revisar"),"")</f>
        <v/>
      </c>
      <c r="AP889" s="179" t="str">
        <f t="array" ref="AP889">IF($F889&lt;&gt;"", XLOOKUP($F889,Productos!$A$2:$A1001,Productos!AI$2:AI1001,"")*$G889,"")</f>
        <v/>
      </c>
      <c r="AQ889" s="179" t="str">
        <f t="array" ref="AQ889">IF($F889&lt;&gt;"",XLOOKUP($F889,Productos!$A:$A,Productos!AJ:AJ,"Revisar"),"")</f>
        <v/>
      </c>
      <c r="AR889" s="179" t="str">
        <f t="array" ref="AR889">IF($F889&lt;&gt;"", XLOOKUP($F889,Productos!$A$2:$A1001,Productos!AK$2:AK1001,"")*$G889,"")</f>
        <v/>
      </c>
      <c r="AS889" s="179" t="str">
        <f t="array" ref="AS889">IF($F889&lt;&gt;"",XLOOKUP($F889,Productos!$A:$A,Productos!AL:AL,"Revisar"),"")</f>
        <v/>
      </c>
      <c r="AT889" s="179" t="str">
        <f t="array" ref="AT889">IF($F889&lt;&gt;"", XLOOKUP($F889,Productos!$A$2:$A1001,Productos!AM$2:AM1001,"")*$G889,"")</f>
        <v/>
      </c>
      <c r="AU889" s="179" t="str">
        <f t="array" ref="AU889">IF($F889&lt;&gt;"",XLOOKUP($F889,Productos!$A:$A,Productos!AN:AN,"Revisar"),"")</f>
        <v/>
      </c>
      <c r="AV889" s="179" t="str">
        <f t="array" ref="AV889">IF($F889&lt;&gt;"", XLOOKUP($F889,Productos!$A$2:$A1001,Productos!AO$2:AO1001,"")*$G889,"")</f>
        <v/>
      </c>
      <c r="AW889" s="179" t="str">
        <f t="array" ref="AW889">IF($F889&lt;&gt;"",XLOOKUP($F889,Productos!$A:$A,Productos!AP:AP,"Revisar"),"")</f>
        <v/>
      </c>
      <c r="AX889" s="179" t="str">
        <f t="array" ref="AX889">IF($F889&lt;&gt;"", XLOOKUP($F889,Productos!$A$2:$A1001,Productos!AQ$2:AQ1001,"")*$G889,"")</f>
        <v/>
      </c>
      <c r="AY889" s="179" t="str">
        <f t="array" ref="AY889">IF($F889&lt;&gt;"",XLOOKUP($F889,Productos!$A:$A,Productos!AR:AR,"Revisar"),"")</f>
        <v/>
      </c>
      <c r="AZ889" s="179" t="str">
        <f t="array" ref="AZ889">IF($F889&lt;&gt;"", XLOOKUP($F889,Productos!$A$2:$A1001,Productos!AS$2:AS1001,"")*$G889,"")</f>
        <v/>
      </c>
      <c r="BA889" s="179" t="str">
        <f t="array" ref="BA889">IF($F889&lt;&gt;"",XLOOKUP($F889,Productos!$A:$A,Productos!AT:AT,"Revisar"),"")</f>
        <v/>
      </c>
      <c r="BB889" s="179" t="str">
        <f t="array" ref="BB889">IF($F889&lt;&gt;"", XLOOKUP($F889,Productos!$A$2:$A1001,Productos!AU$2:AU1001,"")*$G889,"")</f>
        <v/>
      </c>
      <c r="BC889" s="179" t="str">
        <f t="array" ref="BC889">IF($F889&lt;&gt;"",XLOOKUP($F889,Productos!$A:$A,Productos!AV:AV,"Revisar"),"")</f>
        <v/>
      </c>
      <c r="BD889" s="179" t="str">
        <f t="array" ref="BD889">IF($F889&lt;&gt;"", XLOOKUP($F889,Productos!$A$2:$A1001,Productos!AW$2:AW1001,"")*$G889,"")</f>
        <v/>
      </c>
      <c r="BE889" s="179" t="str">
        <f t="array" ref="BE889">IF($F889&lt;&gt;"",XLOOKUP($F889,Productos!$A:$A,Productos!AX:AX,"Revisar"),"")</f>
        <v/>
      </c>
      <c r="BF889" s="179" t="str">
        <f t="array" ref="BF889">IF($F889&lt;&gt;"", XLOOKUP($F889,Productos!$A$2:$A1001,Productos!AY$2:AY1001,"")*$G889,"")</f>
        <v/>
      </c>
      <c r="BG889" s="179" t="str">
        <f t="array" ref="BG889">IF($F889&lt;&gt;"",XLOOKUP($F889,Productos!$A:$A,Productos!AZ:AZ,"Revisar"),"")</f>
        <v/>
      </c>
      <c r="BH889" s="179" t="str">
        <f t="array" ref="BH889">IF($F889&lt;&gt;"", XLOOKUP($F889,Productos!$A$2:$A1001,Productos!BA$2:BA1001,"")*$G889,"")</f>
        <v/>
      </c>
      <c r="BI889" s="179" t="str">
        <f t="array" ref="BI889">IF($F889&lt;&gt;"",XLOOKUP($F889,Productos!$A:$A,Productos!BB:BB,"Revisar"),"")</f>
        <v/>
      </c>
      <c r="BJ889" s="179" t="str">
        <f t="array" ref="BJ889">IF($F889&lt;&gt;"", XLOOKUP($F889,Productos!$A$2:$A1001,Productos!BC$2:BC1001,"")*$G889,"")</f>
        <v/>
      </c>
      <c r="BK889" s="179" t="str">
        <f t="array" ref="BK889">IF($F889&lt;&gt;"",XLOOKUP($F889,Productos!$A:$A,Productos!BD:BD,"Revisar"),"")</f>
        <v/>
      </c>
      <c r="BL889" s="179" t="str">
        <f t="array" ref="BL889">IF($F889&lt;&gt;"", XLOOKUP($F889,Productos!$A$2:$A1001,Productos!BE$2:BE1001,"")*$G889,"")</f>
        <v/>
      </c>
      <c r="BM889" s="179" t="str">
        <f t="array" ref="BM889">IF($F889&lt;&gt;"",XLOOKUP($F889,Productos!$A:$A,Productos!BF:BF,"Revisar"),"")</f>
        <v/>
      </c>
      <c r="BN889" s="179" t="str">
        <f t="array" ref="BN889">IF($F889&lt;&gt;"", XLOOKUP($F889,Productos!$A$2:$A1001,Productos!BG$2:BG1001,"")*$G889,"")</f>
        <v/>
      </c>
      <c r="BO889" s="179" t="str">
        <f t="array" ref="BO889">IF($F889&lt;&gt;"",XLOOKUP($F889,Productos!$A:$A,Productos!BH:BH,"Revisar"),"")</f>
        <v/>
      </c>
      <c r="BP889" s="179" t="str">
        <f t="array" ref="BP889">IF($F889&lt;&gt;"", XLOOKUP($F889,Productos!$A$2:$A1001,Productos!BI$2:BI1001,"")*$G889,"")</f>
        <v/>
      </c>
      <c r="BQ889" s="179" t="str">
        <f t="array" ref="BQ889">IF($F889&lt;&gt;"",XLOOKUP($F889,Productos!$A:$A,Productos!BJ:BJ,"Revisar"),"")</f>
        <v/>
      </c>
      <c r="BR889" s="179" t="str">
        <f t="array" ref="BR889">IF($F889&lt;&gt;"", XLOOKUP($F889,Productos!$A$2:$A1001,Productos!BK$2:BK1001,"")*$G889,"")</f>
        <v/>
      </c>
      <c r="BS889" s="179" t="str">
        <f t="array" ref="BS889">IF($F889&lt;&gt;"",XLOOKUP($F889,Productos!$A:$A,Productos!BL:BL,"Revisar"),"")</f>
        <v/>
      </c>
      <c r="BT889" s="179" t="str">
        <f t="array" ref="BT889">IF($F889&lt;&gt;"", XLOOKUP($F889,Productos!$A$2:$A1001,Productos!BM$2:BM1001,"")*$G889,"")</f>
        <v/>
      </c>
      <c r="BU889" s="179" t="str">
        <f t="array" ref="BU889">IF($F889&lt;&gt;"",XLOOKUP($F889,Productos!$A:$A,Productos!BN:BN,"Revisar"),"")</f>
        <v/>
      </c>
      <c r="BV889" s="179" t="str">
        <f t="array" ref="BV889">IF($F889&lt;&gt;"", XLOOKUP($F889,Productos!$A$2:$A1001,Productos!BO$2:BO1001,"")*$G889,"")</f>
        <v/>
      </c>
      <c r="BW889" s="179" t="str">
        <f t="array" ref="BW889">IF($F889&lt;&gt;"",XLOOKUP($F889,Productos!$A:$A,Productos!BP:BP,"Revisar"),"")</f>
        <v/>
      </c>
      <c r="BX889" s="179" t="str">
        <f t="array" ref="BX889">IF($F889&lt;&gt;"", XLOOKUP($F889,Productos!$A$2:$A1001,Productos!BQ$2:BQ1001,"")*$G889,"")</f>
        <v/>
      </c>
      <c r="BY889" s="179" t="str">
        <f t="array" ref="BY889">IF($F889&lt;&gt;"",XLOOKUP($F889,Productos!$A:$A,Productos!BR:BR,"Revisar"),"")</f>
        <v/>
      </c>
      <c r="BZ889" s="179" t="str">
        <f t="array" ref="BZ889">IF($F889&lt;&gt;"", XLOOKUP($F889,Productos!$A$2:$A1001,Productos!BS$2:BS1001,"")*$G889,"")</f>
        <v/>
      </c>
    </row>
    <row r="890">
      <c r="A890" s="188"/>
      <c r="B890" s="189"/>
      <c r="C890" s="190"/>
      <c r="D890" s="190"/>
      <c r="E890" s="191"/>
      <c r="F890" s="186"/>
      <c r="G890" s="192"/>
      <c r="H890" s="9"/>
      <c r="I890" s="179" t="str">
        <f t="array" ref="I890">IF($F890&lt;&gt;"",XLOOKUP($F890,Productos!$A:$A,Productos!B:B,"Revisar"),"")</f>
        <v/>
      </c>
      <c r="J890" s="179" t="str">
        <f t="array" ref="J890">IF($F890&lt;&gt;"", XLOOKUP($F890,Productos!$A$2:$A1001,Productos!C$2:C1001,"")*$G890,"")</f>
        <v/>
      </c>
      <c r="K890" s="179" t="str">
        <f t="array" ref="K890">IF($F890&lt;&gt;"",XLOOKUP($F890,Productos!$A:$A,Productos!D:D,"Revisar"),"")</f>
        <v/>
      </c>
      <c r="L890" s="179" t="str">
        <f t="array" ref="L890">IF($F890&lt;&gt;"", XLOOKUP($F890,Productos!$A$2:$A1001,Productos!E$2:E1001,"")*$G890,"")</f>
        <v/>
      </c>
      <c r="M890" s="179" t="str">
        <f t="array" ref="M890">IF($F890&lt;&gt;"",XLOOKUP($F890,Productos!$A:$A,Productos!F:F,"Revisar"),"")</f>
        <v/>
      </c>
      <c r="N890" s="179" t="str">
        <f t="array" ref="N890">IF($F890&lt;&gt;"", XLOOKUP($F890,Productos!$A$2:$A1001,Productos!G$2:G1001,"")*$G890,"")</f>
        <v/>
      </c>
      <c r="O890" s="179" t="str">
        <f t="array" ref="O890">IF($F890&lt;&gt;"",XLOOKUP($F890,Productos!$A:$A,Productos!H:H,"Revisar"),"")</f>
        <v/>
      </c>
      <c r="P890" s="179" t="str">
        <f t="array" ref="P890">IF($F890&lt;&gt;"", XLOOKUP($F890,Productos!$A$2:$A1001,Productos!I$2:I1001,"")*$G890,"")</f>
        <v/>
      </c>
      <c r="Q890" s="179" t="str">
        <f t="array" ref="Q890">IF($F890&lt;&gt;"",XLOOKUP($F890,Productos!$A:$A,Productos!J:J,"Revisar"),"")</f>
        <v/>
      </c>
      <c r="R890" s="179" t="str">
        <f t="array" ref="R890">IF($F890&lt;&gt;"", XLOOKUP($F890,Productos!$A$2:$A1001,Productos!K$2:K1001,"")*$G890,"")</f>
        <v/>
      </c>
      <c r="S890" s="179" t="str">
        <f t="array" ref="S890">IF($F890&lt;&gt;"",XLOOKUP($F890,Productos!$A:$A,Productos!L:L,"Revisar"),"")</f>
        <v/>
      </c>
      <c r="T890" s="179" t="str">
        <f t="array" ref="T890">IF($F890&lt;&gt;"", XLOOKUP($F890,Productos!$A$2:$A1001,Productos!M$2:M1001,"")*$G890,"")</f>
        <v/>
      </c>
      <c r="U890" s="179" t="str">
        <f t="array" ref="U890">IF($F890&lt;&gt;"",XLOOKUP($F890,Productos!$A:$A,Productos!N:N,"Revisar"),"")</f>
        <v/>
      </c>
      <c r="V890" s="179" t="str">
        <f t="array" ref="V890">IF($F890&lt;&gt;"", XLOOKUP($F890,Productos!$A$2:$A1001,Productos!O$2:O1001,"")*$G890,"")</f>
        <v/>
      </c>
      <c r="W890" s="179" t="str">
        <f t="array" ref="W890">IF($F890&lt;&gt;"",XLOOKUP($F890,Productos!$A:$A,Productos!P:P,"Revisar"),"")</f>
        <v/>
      </c>
      <c r="X890" s="179" t="str">
        <f t="array" ref="X890">IF($F890&lt;&gt;"", XLOOKUP($F890,Productos!$A$2:$A1001,Productos!Q$2:Q1001,"")*$G890,"")</f>
        <v/>
      </c>
      <c r="Y890" s="179" t="str">
        <f t="array" ref="Y890">IF($F890&lt;&gt;"",XLOOKUP($F890,Productos!$A:$A,Productos!R:R,"Revisar"),"")</f>
        <v/>
      </c>
      <c r="Z890" s="179" t="str">
        <f t="array" ref="Z890">IF($F890&lt;&gt;"", XLOOKUP($F890,Productos!$A$2:$A1001,Productos!S$2:S1001,"")*$G890,"")</f>
        <v/>
      </c>
      <c r="AA890" s="179" t="str">
        <f t="array" ref="AA890">IF($F890&lt;&gt;"",XLOOKUP($F890,Productos!$A:$A,Productos!T:T,"Revisar"),"")</f>
        <v/>
      </c>
      <c r="AB890" s="179" t="str">
        <f t="array" ref="AB890">IF($F890&lt;&gt;"", XLOOKUP($F890,Productos!$A$2:$A1001,Productos!U$2:U1001,"")*$G890,"")</f>
        <v/>
      </c>
      <c r="AC890" s="179" t="str">
        <f t="array" ref="AC890">IF($F890&lt;&gt;"",XLOOKUP($F890,Productos!$A:$A,Productos!V:V,"Revisar"),"")</f>
        <v/>
      </c>
      <c r="AD890" s="179" t="str">
        <f t="array" ref="AD890">IF($F890&lt;&gt;"", XLOOKUP($F890,Productos!$A$2:$A1001,Productos!W$2:W1001,"")*$G890,"")</f>
        <v/>
      </c>
      <c r="AE890" s="179" t="str">
        <f t="array" ref="AE890">IF($F890&lt;&gt;"",XLOOKUP($F890,Productos!$A:$A,Productos!X:X,"Revisar"),"")</f>
        <v/>
      </c>
      <c r="AF890" s="179" t="str">
        <f t="array" ref="AF890">IF($F890&lt;&gt;"", XLOOKUP($F890,Productos!$A$2:$A1001,Productos!Y$2:Y1001,"")*$G890,"")</f>
        <v/>
      </c>
      <c r="AG890" s="179" t="str">
        <f t="array" ref="AG890">IF($F890&lt;&gt;"",XLOOKUP($F890,Productos!$A:$A,Productos!Z:Z,"Revisar"),"")</f>
        <v/>
      </c>
      <c r="AH890" s="179" t="str">
        <f t="array" ref="AH890">IF($F890&lt;&gt;"", XLOOKUP($F890,Productos!$A$2:$A1001,Productos!AA$2:AA1001,"")*$G890,"")</f>
        <v/>
      </c>
      <c r="AI890" s="179" t="str">
        <f t="array" ref="AI890">IF($F890&lt;&gt;"",XLOOKUP($F890,Productos!$A:$A,Productos!AB:AB,"Revisar"),"")</f>
        <v/>
      </c>
      <c r="AJ890" s="179" t="str">
        <f t="array" ref="AJ890">IF($F890&lt;&gt;"", XLOOKUP($F890,Productos!$A$2:$A1001,Productos!AC$2:AC1001,"")*$G890,"")</f>
        <v/>
      </c>
      <c r="AK890" s="179" t="str">
        <f t="array" ref="AK890">IF($F890&lt;&gt;"",XLOOKUP($F890,Productos!$A:$A,Productos!AD:AD,"Revisar"),"")</f>
        <v/>
      </c>
      <c r="AL890" s="179" t="str">
        <f t="array" ref="AL890">IF($F890&lt;&gt;"", XLOOKUP($F890,Productos!$A$2:$A1001,Productos!AE$2:AE1001,"")*$G890,"")</f>
        <v/>
      </c>
      <c r="AM890" s="179" t="str">
        <f t="array" ref="AM890">IF($F890&lt;&gt;"",XLOOKUP($F890,Productos!$A:$A,Productos!AF:AF,"Revisar"),"")</f>
        <v/>
      </c>
      <c r="AN890" s="179" t="str">
        <f t="array" ref="AN890">IF($F890&lt;&gt;"", XLOOKUP($F890,Productos!$A$2:$A1001,Productos!AG$2:AG1001,"")*$G890,"")</f>
        <v/>
      </c>
      <c r="AO890" s="179" t="str">
        <f t="array" ref="AO890">IF($F890&lt;&gt;"",XLOOKUP($F890,Productos!$A:$A,Productos!AH:AH,"Revisar"),"")</f>
        <v/>
      </c>
      <c r="AP890" s="179" t="str">
        <f t="array" ref="AP890">IF($F890&lt;&gt;"", XLOOKUP($F890,Productos!$A$2:$A1001,Productos!AI$2:AI1001,"")*$G890,"")</f>
        <v/>
      </c>
      <c r="AQ890" s="179" t="str">
        <f t="array" ref="AQ890">IF($F890&lt;&gt;"",XLOOKUP($F890,Productos!$A:$A,Productos!AJ:AJ,"Revisar"),"")</f>
        <v/>
      </c>
      <c r="AR890" s="179" t="str">
        <f t="array" ref="AR890">IF($F890&lt;&gt;"", XLOOKUP($F890,Productos!$A$2:$A1001,Productos!AK$2:AK1001,"")*$G890,"")</f>
        <v/>
      </c>
      <c r="AS890" s="179" t="str">
        <f t="array" ref="AS890">IF($F890&lt;&gt;"",XLOOKUP($F890,Productos!$A:$A,Productos!AL:AL,"Revisar"),"")</f>
        <v/>
      </c>
      <c r="AT890" s="179" t="str">
        <f t="array" ref="AT890">IF($F890&lt;&gt;"", XLOOKUP($F890,Productos!$A$2:$A1001,Productos!AM$2:AM1001,"")*$G890,"")</f>
        <v/>
      </c>
      <c r="AU890" s="179" t="str">
        <f t="array" ref="AU890">IF($F890&lt;&gt;"",XLOOKUP($F890,Productos!$A:$A,Productos!AN:AN,"Revisar"),"")</f>
        <v/>
      </c>
      <c r="AV890" s="179" t="str">
        <f t="array" ref="AV890">IF($F890&lt;&gt;"", XLOOKUP($F890,Productos!$A$2:$A1001,Productos!AO$2:AO1001,"")*$G890,"")</f>
        <v/>
      </c>
      <c r="AW890" s="179" t="str">
        <f t="array" ref="AW890">IF($F890&lt;&gt;"",XLOOKUP($F890,Productos!$A:$A,Productos!AP:AP,"Revisar"),"")</f>
        <v/>
      </c>
      <c r="AX890" s="179" t="str">
        <f t="array" ref="AX890">IF($F890&lt;&gt;"", XLOOKUP($F890,Productos!$A$2:$A1001,Productos!AQ$2:AQ1001,"")*$G890,"")</f>
        <v/>
      </c>
      <c r="AY890" s="179" t="str">
        <f t="array" ref="AY890">IF($F890&lt;&gt;"",XLOOKUP($F890,Productos!$A:$A,Productos!AR:AR,"Revisar"),"")</f>
        <v/>
      </c>
      <c r="AZ890" s="179" t="str">
        <f t="array" ref="AZ890">IF($F890&lt;&gt;"", XLOOKUP($F890,Productos!$A$2:$A1001,Productos!AS$2:AS1001,"")*$G890,"")</f>
        <v/>
      </c>
      <c r="BA890" s="179" t="str">
        <f t="array" ref="BA890">IF($F890&lt;&gt;"",XLOOKUP($F890,Productos!$A:$A,Productos!AT:AT,"Revisar"),"")</f>
        <v/>
      </c>
      <c r="BB890" s="179" t="str">
        <f t="array" ref="BB890">IF($F890&lt;&gt;"", XLOOKUP($F890,Productos!$A$2:$A1001,Productos!AU$2:AU1001,"")*$G890,"")</f>
        <v/>
      </c>
      <c r="BC890" s="179" t="str">
        <f t="array" ref="BC890">IF($F890&lt;&gt;"",XLOOKUP($F890,Productos!$A:$A,Productos!AV:AV,"Revisar"),"")</f>
        <v/>
      </c>
      <c r="BD890" s="179" t="str">
        <f t="array" ref="BD890">IF($F890&lt;&gt;"", XLOOKUP($F890,Productos!$A$2:$A1001,Productos!AW$2:AW1001,"")*$G890,"")</f>
        <v/>
      </c>
      <c r="BE890" s="179" t="str">
        <f t="array" ref="BE890">IF($F890&lt;&gt;"",XLOOKUP($F890,Productos!$A:$A,Productos!AX:AX,"Revisar"),"")</f>
        <v/>
      </c>
      <c r="BF890" s="179" t="str">
        <f t="array" ref="BF890">IF($F890&lt;&gt;"", XLOOKUP($F890,Productos!$A$2:$A1001,Productos!AY$2:AY1001,"")*$G890,"")</f>
        <v/>
      </c>
      <c r="BG890" s="179" t="str">
        <f t="array" ref="BG890">IF($F890&lt;&gt;"",XLOOKUP($F890,Productos!$A:$A,Productos!AZ:AZ,"Revisar"),"")</f>
        <v/>
      </c>
      <c r="BH890" s="179" t="str">
        <f t="array" ref="BH890">IF($F890&lt;&gt;"", XLOOKUP($F890,Productos!$A$2:$A1001,Productos!BA$2:BA1001,"")*$G890,"")</f>
        <v/>
      </c>
      <c r="BI890" s="179" t="str">
        <f t="array" ref="BI890">IF($F890&lt;&gt;"",XLOOKUP($F890,Productos!$A:$A,Productos!BB:BB,"Revisar"),"")</f>
        <v/>
      </c>
      <c r="BJ890" s="179" t="str">
        <f t="array" ref="BJ890">IF($F890&lt;&gt;"", XLOOKUP($F890,Productos!$A$2:$A1001,Productos!BC$2:BC1001,"")*$G890,"")</f>
        <v/>
      </c>
      <c r="BK890" s="179" t="str">
        <f t="array" ref="BK890">IF($F890&lt;&gt;"",XLOOKUP($F890,Productos!$A:$A,Productos!BD:BD,"Revisar"),"")</f>
        <v/>
      </c>
      <c r="BL890" s="179" t="str">
        <f t="array" ref="BL890">IF($F890&lt;&gt;"", XLOOKUP($F890,Productos!$A$2:$A1001,Productos!BE$2:BE1001,"")*$G890,"")</f>
        <v/>
      </c>
      <c r="BM890" s="179" t="str">
        <f t="array" ref="BM890">IF($F890&lt;&gt;"",XLOOKUP($F890,Productos!$A:$A,Productos!BF:BF,"Revisar"),"")</f>
        <v/>
      </c>
      <c r="BN890" s="179" t="str">
        <f t="array" ref="BN890">IF($F890&lt;&gt;"", XLOOKUP($F890,Productos!$A$2:$A1001,Productos!BG$2:BG1001,"")*$G890,"")</f>
        <v/>
      </c>
      <c r="BO890" s="179" t="str">
        <f t="array" ref="BO890">IF($F890&lt;&gt;"",XLOOKUP($F890,Productos!$A:$A,Productos!BH:BH,"Revisar"),"")</f>
        <v/>
      </c>
      <c r="BP890" s="179" t="str">
        <f t="array" ref="BP890">IF($F890&lt;&gt;"", XLOOKUP($F890,Productos!$A$2:$A1001,Productos!BI$2:BI1001,"")*$G890,"")</f>
        <v/>
      </c>
      <c r="BQ890" s="179" t="str">
        <f t="array" ref="BQ890">IF($F890&lt;&gt;"",XLOOKUP($F890,Productos!$A:$A,Productos!BJ:BJ,"Revisar"),"")</f>
        <v/>
      </c>
      <c r="BR890" s="179" t="str">
        <f t="array" ref="BR890">IF($F890&lt;&gt;"", XLOOKUP($F890,Productos!$A$2:$A1001,Productos!BK$2:BK1001,"")*$G890,"")</f>
        <v/>
      </c>
      <c r="BS890" s="179" t="str">
        <f t="array" ref="BS890">IF($F890&lt;&gt;"",XLOOKUP($F890,Productos!$A:$A,Productos!BL:BL,"Revisar"),"")</f>
        <v/>
      </c>
      <c r="BT890" s="179" t="str">
        <f t="array" ref="BT890">IF($F890&lt;&gt;"", XLOOKUP($F890,Productos!$A$2:$A1001,Productos!BM$2:BM1001,"")*$G890,"")</f>
        <v/>
      </c>
      <c r="BU890" s="179" t="str">
        <f t="array" ref="BU890">IF($F890&lt;&gt;"",XLOOKUP($F890,Productos!$A:$A,Productos!BN:BN,"Revisar"),"")</f>
        <v/>
      </c>
      <c r="BV890" s="179" t="str">
        <f t="array" ref="BV890">IF($F890&lt;&gt;"", XLOOKUP($F890,Productos!$A$2:$A1001,Productos!BO$2:BO1001,"")*$G890,"")</f>
        <v/>
      </c>
      <c r="BW890" s="179" t="str">
        <f t="array" ref="BW890">IF($F890&lt;&gt;"",XLOOKUP($F890,Productos!$A:$A,Productos!BP:BP,"Revisar"),"")</f>
        <v/>
      </c>
      <c r="BX890" s="179" t="str">
        <f t="array" ref="BX890">IF($F890&lt;&gt;"", XLOOKUP($F890,Productos!$A$2:$A1001,Productos!BQ$2:BQ1001,"")*$G890,"")</f>
        <v/>
      </c>
      <c r="BY890" s="179" t="str">
        <f t="array" ref="BY890">IF($F890&lt;&gt;"",XLOOKUP($F890,Productos!$A:$A,Productos!BR:BR,"Revisar"),"")</f>
        <v/>
      </c>
      <c r="BZ890" s="179" t="str">
        <f t="array" ref="BZ890">IF($F890&lt;&gt;"", XLOOKUP($F890,Productos!$A$2:$A1001,Productos!BS$2:BS1001,"")*$G890,"")</f>
        <v/>
      </c>
    </row>
    <row r="891">
      <c r="A891" s="188"/>
      <c r="B891" s="189"/>
      <c r="C891" s="190"/>
      <c r="D891" s="190"/>
      <c r="E891" s="191"/>
      <c r="F891" s="186"/>
      <c r="G891" s="192"/>
      <c r="H891" s="9"/>
      <c r="I891" s="179" t="str">
        <f t="array" ref="I891">IF($F891&lt;&gt;"",XLOOKUP($F891,Productos!$A:$A,Productos!B:B,"Revisar"),"")</f>
        <v/>
      </c>
      <c r="J891" s="179" t="str">
        <f t="array" ref="J891">IF($F891&lt;&gt;"", XLOOKUP($F891,Productos!$A$2:$A1001,Productos!C$2:C1001,"")*$G891,"")</f>
        <v/>
      </c>
      <c r="K891" s="179" t="str">
        <f t="array" ref="K891">IF($F891&lt;&gt;"",XLOOKUP($F891,Productos!$A:$A,Productos!D:D,"Revisar"),"")</f>
        <v/>
      </c>
      <c r="L891" s="179" t="str">
        <f t="array" ref="L891">IF($F891&lt;&gt;"", XLOOKUP($F891,Productos!$A$2:$A1001,Productos!E$2:E1001,"")*$G891,"")</f>
        <v/>
      </c>
      <c r="M891" s="179" t="str">
        <f t="array" ref="M891">IF($F891&lt;&gt;"",XLOOKUP($F891,Productos!$A:$A,Productos!F:F,"Revisar"),"")</f>
        <v/>
      </c>
      <c r="N891" s="179" t="str">
        <f t="array" ref="N891">IF($F891&lt;&gt;"", XLOOKUP($F891,Productos!$A$2:$A1001,Productos!G$2:G1001,"")*$G891,"")</f>
        <v/>
      </c>
      <c r="O891" s="179" t="str">
        <f t="array" ref="O891">IF($F891&lt;&gt;"",XLOOKUP($F891,Productos!$A:$A,Productos!H:H,"Revisar"),"")</f>
        <v/>
      </c>
      <c r="P891" s="179" t="str">
        <f t="array" ref="P891">IF($F891&lt;&gt;"", XLOOKUP($F891,Productos!$A$2:$A1001,Productos!I$2:I1001,"")*$G891,"")</f>
        <v/>
      </c>
      <c r="Q891" s="179" t="str">
        <f t="array" ref="Q891">IF($F891&lt;&gt;"",XLOOKUP($F891,Productos!$A:$A,Productos!J:J,"Revisar"),"")</f>
        <v/>
      </c>
      <c r="R891" s="179" t="str">
        <f t="array" ref="R891">IF($F891&lt;&gt;"", XLOOKUP($F891,Productos!$A$2:$A1001,Productos!K$2:K1001,"")*$G891,"")</f>
        <v/>
      </c>
      <c r="S891" s="179" t="str">
        <f t="array" ref="S891">IF($F891&lt;&gt;"",XLOOKUP($F891,Productos!$A:$A,Productos!L:L,"Revisar"),"")</f>
        <v/>
      </c>
      <c r="T891" s="179" t="str">
        <f t="array" ref="T891">IF($F891&lt;&gt;"", XLOOKUP($F891,Productos!$A$2:$A1001,Productos!M$2:M1001,"")*$G891,"")</f>
        <v/>
      </c>
      <c r="U891" s="179" t="str">
        <f t="array" ref="U891">IF($F891&lt;&gt;"",XLOOKUP($F891,Productos!$A:$A,Productos!N:N,"Revisar"),"")</f>
        <v/>
      </c>
      <c r="V891" s="179" t="str">
        <f t="array" ref="V891">IF($F891&lt;&gt;"", XLOOKUP($F891,Productos!$A$2:$A1001,Productos!O$2:O1001,"")*$G891,"")</f>
        <v/>
      </c>
      <c r="W891" s="179" t="str">
        <f t="array" ref="W891">IF($F891&lt;&gt;"",XLOOKUP($F891,Productos!$A:$A,Productos!P:P,"Revisar"),"")</f>
        <v/>
      </c>
      <c r="X891" s="179" t="str">
        <f t="array" ref="X891">IF($F891&lt;&gt;"", XLOOKUP($F891,Productos!$A$2:$A1001,Productos!Q$2:Q1001,"")*$G891,"")</f>
        <v/>
      </c>
      <c r="Y891" s="179" t="str">
        <f t="array" ref="Y891">IF($F891&lt;&gt;"",XLOOKUP($F891,Productos!$A:$A,Productos!R:R,"Revisar"),"")</f>
        <v/>
      </c>
      <c r="Z891" s="179" t="str">
        <f t="array" ref="Z891">IF($F891&lt;&gt;"", XLOOKUP($F891,Productos!$A$2:$A1001,Productos!S$2:S1001,"")*$G891,"")</f>
        <v/>
      </c>
      <c r="AA891" s="179" t="str">
        <f t="array" ref="AA891">IF($F891&lt;&gt;"",XLOOKUP($F891,Productos!$A:$A,Productos!T:T,"Revisar"),"")</f>
        <v/>
      </c>
      <c r="AB891" s="179" t="str">
        <f t="array" ref="AB891">IF($F891&lt;&gt;"", XLOOKUP($F891,Productos!$A$2:$A1001,Productos!U$2:U1001,"")*$G891,"")</f>
        <v/>
      </c>
      <c r="AC891" s="179" t="str">
        <f t="array" ref="AC891">IF($F891&lt;&gt;"",XLOOKUP($F891,Productos!$A:$A,Productos!V:V,"Revisar"),"")</f>
        <v/>
      </c>
      <c r="AD891" s="179" t="str">
        <f t="array" ref="AD891">IF($F891&lt;&gt;"", XLOOKUP($F891,Productos!$A$2:$A1001,Productos!W$2:W1001,"")*$G891,"")</f>
        <v/>
      </c>
      <c r="AE891" s="179" t="str">
        <f t="array" ref="AE891">IF($F891&lt;&gt;"",XLOOKUP($F891,Productos!$A:$A,Productos!X:X,"Revisar"),"")</f>
        <v/>
      </c>
      <c r="AF891" s="179" t="str">
        <f t="array" ref="AF891">IF($F891&lt;&gt;"", XLOOKUP($F891,Productos!$A$2:$A1001,Productos!Y$2:Y1001,"")*$G891,"")</f>
        <v/>
      </c>
      <c r="AG891" s="179" t="str">
        <f t="array" ref="AG891">IF($F891&lt;&gt;"",XLOOKUP($F891,Productos!$A:$A,Productos!Z:Z,"Revisar"),"")</f>
        <v/>
      </c>
      <c r="AH891" s="179" t="str">
        <f t="array" ref="AH891">IF($F891&lt;&gt;"", XLOOKUP($F891,Productos!$A$2:$A1001,Productos!AA$2:AA1001,"")*$G891,"")</f>
        <v/>
      </c>
      <c r="AI891" s="179" t="str">
        <f t="array" ref="AI891">IF($F891&lt;&gt;"",XLOOKUP($F891,Productos!$A:$A,Productos!AB:AB,"Revisar"),"")</f>
        <v/>
      </c>
      <c r="AJ891" s="179" t="str">
        <f t="array" ref="AJ891">IF($F891&lt;&gt;"", XLOOKUP($F891,Productos!$A$2:$A1001,Productos!AC$2:AC1001,"")*$G891,"")</f>
        <v/>
      </c>
      <c r="AK891" s="179" t="str">
        <f t="array" ref="AK891">IF($F891&lt;&gt;"",XLOOKUP($F891,Productos!$A:$A,Productos!AD:AD,"Revisar"),"")</f>
        <v/>
      </c>
      <c r="AL891" s="179" t="str">
        <f t="array" ref="AL891">IF($F891&lt;&gt;"", XLOOKUP($F891,Productos!$A$2:$A1001,Productos!AE$2:AE1001,"")*$G891,"")</f>
        <v/>
      </c>
      <c r="AM891" s="179" t="str">
        <f t="array" ref="AM891">IF($F891&lt;&gt;"",XLOOKUP($F891,Productos!$A:$A,Productos!AF:AF,"Revisar"),"")</f>
        <v/>
      </c>
      <c r="AN891" s="179" t="str">
        <f t="array" ref="AN891">IF($F891&lt;&gt;"", XLOOKUP($F891,Productos!$A$2:$A1001,Productos!AG$2:AG1001,"")*$G891,"")</f>
        <v/>
      </c>
      <c r="AO891" s="179" t="str">
        <f t="array" ref="AO891">IF($F891&lt;&gt;"",XLOOKUP($F891,Productos!$A:$A,Productos!AH:AH,"Revisar"),"")</f>
        <v/>
      </c>
      <c r="AP891" s="179" t="str">
        <f t="array" ref="AP891">IF($F891&lt;&gt;"", XLOOKUP($F891,Productos!$A$2:$A1001,Productos!AI$2:AI1001,"")*$G891,"")</f>
        <v/>
      </c>
      <c r="AQ891" s="179" t="str">
        <f t="array" ref="AQ891">IF($F891&lt;&gt;"",XLOOKUP($F891,Productos!$A:$A,Productos!AJ:AJ,"Revisar"),"")</f>
        <v/>
      </c>
      <c r="AR891" s="179" t="str">
        <f t="array" ref="AR891">IF($F891&lt;&gt;"", XLOOKUP($F891,Productos!$A$2:$A1001,Productos!AK$2:AK1001,"")*$G891,"")</f>
        <v/>
      </c>
      <c r="AS891" s="179" t="str">
        <f t="array" ref="AS891">IF($F891&lt;&gt;"",XLOOKUP($F891,Productos!$A:$A,Productos!AL:AL,"Revisar"),"")</f>
        <v/>
      </c>
      <c r="AT891" s="179" t="str">
        <f t="array" ref="AT891">IF($F891&lt;&gt;"", XLOOKUP($F891,Productos!$A$2:$A1001,Productos!AM$2:AM1001,"")*$G891,"")</f>
        <v/>
      </c>
      <c r="AU891" s="179" t="str">
        <f t="array" ref="AU891">IF($F891&lt;&gt;"",XLOOKUP($F891,Productos!$A:$A,Productos!AN:AN,"Revisar"),"")</f>
        <v/>
      </c>
      <c r="AV891" s="179" t="str">
        <f t="array" ref="AV891">IF($F891&lt;&gt;"", XLOOKUP($F891,Productos!$A$2:$A1001,Productos!AO$2:AO1001,"")*$G891,"")</f>
        <v/>
      </c>
      <c r="AW891" s="179" t="str">
        <f t="array" ref="AW891">IF($F891&lt;&gt;"",XLOOKUP($F891,Productos!$A:$A,Productos!AP:AP,"Revisar"),"")</f>
        <v/>
      </c>
      <c r="AX891" s="179" t="str">
        <f t="array" ref="AX891">IF($F891&lt;&gt;"", XLOOKUP($F891,Productos!$A$2:$A1001,Productos!AQ$2:AQ1001,"")*$G891,"")</f>
        <v/>
      </c>
      <c r="AY891" s="179" t="str">
        <f t="array" ref="AY891">IF($F891&lt;&gt;"",XLOOKUP($F891,Productos!$A:$A,Productos!AR:AR,"Revisar"),"")</f>
        <v/>
      </c>
      <c r="AZ891" s="179" t="str">
        <f t="array" ref="AZ891">IF($F891&lt;&gt;"", XLOOKUP($F891,Productos!$A$2:$A1001,Productos!AS$2:AS1001,"")*$G891,"")</f>
        <v/>
      </c>
      <c r="BA891" s="179" t="str">
        <f t="array" ref="BA891">IF($F891&lt;&gt;"",XLOOKUP($F891,Productos!$A:$A,Productos!AT:AT,"Revisar"),"")</f>
        <v/>
      </c>
      <c r="BB891" s="179" t="str">
        <f t="array" ref="BB891">IF($F891&lt;&gt;"", XLOOKUP($F891,Productos!$A$2:$A1001,Productos!AU$2:AU1001,"")*$G891,"")</f>
        <v/>
      </c>
      <c r="BC891" s="179" t="str">
        <f t="array" ref="BC891">IF($F891&lt;&gt;"",XLOOKUP($F891,Productos!$A:$A,Productos!AV:AV,"Revisar"),"")</f>
        <v/>
      </c>
      <c r="BD891" s="179" t="str">
        <f t="array" ref="BD891">IF($F891&lt;&gt;"", XLOOKUP($F891,Productos!$A$2:$A1001,Productos!AW$2:AW1001,"")*$G891,"")</f>
        <v/>
      </c>
      <c r="BE891" s="179" t="str">
        <f t="array" ref="BE891">IF($F891&lt;&gt;"",XLOOKUP($F891,Productos!$A:$A,Productos!AX:AX,"Revisar"),"")</f>
        <v/>
      </c>
      <c r="BF891" s="179" t="str">
        <f t="array" ref="BF891">IF($F891&lt;&gt;"", XLOOKUP($F891,Productos!$A$2:$A1001,Productos!AY$2:AY1001,"")*$G891,"")</f>
        <v/>
      </c>
      <c r="BG891" s="179" t="str">
        <f t="array" ref="BG891">IF($F891&lt;&gt;"",XLOOKUP($F891,Productos!$A:$A,Productos!AZ:AZ,"Revisar"),"")</f>
        <v/>
      </c>
      <c r="BH891" s="179" t="str">
        <f t="array" ref="BH891">IF($F891&lt;&gt;"", XLOOKUP($F891,Productos!$A$2:$A1001,Productos!BA$2:BA1001,"")*$G891,"")</f>
        <v/>
      </c>
      <c r="BI891" s="179" t="str">
        <f t="array" ref="BI891">IF($F891&lt;&gt;"",XLOOKUP($F891,Productos!$A:$A,Productos!BB:BB,"Revisar"),"")</f>
        <v/>
      </c>
      <c r="BJ891" s="179" t="str">
        <f t="array" ref="BJ891">IF($F891&lt;&gt;"", XLOOKUP($F891,Productos!$A$2:$A1001,Productos!BC$2:BC1001,"")*$G891,"")</f>
        <v/>
      </c>
      <c r="BK891" s="179" t="str">
        <f t="array" ref="BK891">IF($F891&lt;&gt;"",XLOOKUP($F891,Productos!$A:$A,Productos!BD:BD,"Revisar"),"")</f>
        <v/>
      </c>
      <c r="BL891" s="179" t="str">
        <f t="array" ref="BL891">IF($F891&lt;&gt;"", XLOOKUP($F891,Productos!$A$2:$A1001,Productos!BE$2:BE1001,"")*$G891,"")</f>
        <v/>
      </c>
      <c r="BM891" s="179" t="str">
        <f t="array" ref="BM891">IF($F891&lt;&gt;"",XLOOKUP($F891,Productos!$A:$A,Productos!BF:BF,"Revisar"),"")</f>
        <v/>
      </c>
      <c r="BN891" s="179" t="str">
        <f t="array" ref="BN891">IF($F891&lt;&gt;"", XLOOKUP($F891,Productos!$A$2:$A1001,Productos!BG$2:BG1001,"")*$G891,"")</f>
        <v/>
      </c>
      <c r="BO891" s="179" t="str">
        <f t="array" ref="BO891">IF($F891&lt;&gt;"",XLOOKUP($F891,Productos!$A:$A,Productos!BH:BH,"Revisar"),"")</f>
        <v/>
      </c>
      <c r="BP891" s="179" t="str">
        <f t="array" ref="BP891">IF($F891&lt;&gt;"", XLOOKUP($F891,Productos!$A$2:$A1001,Productos!BI$2:BI1001,"")*$G891,"")</f>
        <v/>
      </c>
      <c r="BQ891" s="179" t="str">
        <f t="array" ref="BQ891">IF($F891&lt;&gt;"",XLOOKUP($F891,Productos!$A:$A,Productos!BJ:BJ,"Revisar"),"")</f>
        <v/>
      </c>
      <c r="BR891" s="179" t="str">
        <f t="array" ref="BR891">IF($F891&lt;&gt;"", XLOOKUP($F891,Productos!$A$2:$A1001,Productos!BK$2:BK1001,"")*$G891,"")</f>
        <v/>
      </c>
      <c r="BS891" s="179" t="str">
        <f t="array" ref="BS891">IF($F891&lt;&gt;"",XLOOKUP($F891,Productos!$A:$A,Productos!BL:BL,"Revisar"),"")</f>
        <v/>
      </c>
      <c r="BT891" s="179" t="str">
        <f t="array" ref="BT891">IF($F891&lt;&gt;"", XLOOKUP($F891,Productos!$A$2:$A1001,Productos!BM$2:BM1001,"")*$G891,"")</f>
        <v/>
      </c>
      <c r="BU891" s="179" t="str">
        <f t="array" ref="BU891">IF($F891&lt;&gt;"",XLOOKUP($F891,Productos!$A:$A,Productos!BN:BN,"Revisar"),"")</f>
        <v/>
      </c>
      <c r="BV891" s="179" t="str">
        <f t="array" ref="BV891">IF($F891&lt;&gt;"", XLOOKUP($F891,Productos!$A$2:$A1001,Productos!BO$2:BO1001,"")*$G891,"")</f>
        <v/>
      </c>
      <c r="BW891" s="179" t="str">
        <f t="array" ref="BW891">IF($F891&lt;&gt;"",XLOOKUP($F891,Productos!$A:$A,Productos!BP:BP,"Revisar"),"")</f>
        <v/>
      </c>
      <c r="BX891" s="179" t="str">
        <f t="array" ref="BX891">IF($F891&lt;&gt;"", XLOOKUP($F891,Productos!$A$2:$A1001,Productos!BQ$2:BQ1001,"")*$G891,"")</f>
        <v/>
      </c>
      <c r="BY891" s="179" t="str">
        <f t="array" ref="BY891">IF($F891&lt;&gt;"",XLOOKUP($F891,Productos!$A:$A,Productos!BR:BR,"Revisar"),"")</f>
        <v/>
      </c>
      <c r="BZ891" s="179" t="str">
        <f t="array" ref="BZ891">IF($F891&lt;&gt;"", XLOOKUP($F891,Productos!$A$2:$A1001,Productos!BS$2:BS1001,"")*$G891,"")</f>
        <v/>
      </c>
    </row>
    <row r="892">
      <c r="A892" s="188"/>
      <c r="B892" s="189"/>
      <c r="C892" s="190"/>
      <c r="D892" s="190"/>
      <c r="E892" s="191"/>
      <c r="F892" s="186"/>
      <c r="G892" s="192"/>
      <c r="H892" s="9"/>
      <c r="I892" s="179" t="str">
        <f t="array" ref="I892">IF($F892&lt;&gt;"",XLOOKUP($F892,Productos!$A:$A,Productos!B:B,"Revisar"),"")</f>
        <v/>
      </c>
      <c r="J892" s="179" t="str">
        <f t="array" ref="J892">IF($F892&lt;&gt;"", XLOOKUP($F892,Productos!$A$2:$A1001,Productos!C$2:C1001,"")*$G892,"")</f>
        <v/>
      </c>
      <c r="K892" s="179" t="str">
        <f t="array" ref="K892">IF($F892&lt;&gt;"",XLOOKUP($F892,Productos!$A:$A,Productos!D:D,"Revisar"),"")</f>
        <v/>
      </c>
      <c r="L892" s="179" t="str">
        <f t="array" ref="L892">IF($F892&lt;&gt;"", XLOOKUP($F892,Productos!$A$2:$A1001,Productos!E$2:E1001,"")*$G892,"")</f>
        <v/>
      </c>
      <c r="M892" s="179" t="str">
        <f t="array" ref="M892">IF($F892&lt;&gt;"",XLOOKUP($F892,Productos!$A:$A,Productos!F:F,"Revisar"),"")</f>
        <v/>
      </c>
      <c r="N892" s="179" t="str">
        <f t="array" ref="N892">IF($F892&lt;&gt;"", XLOOKUP($F892,Productos!$A$2:$A1001,Productos!G$2:G1001,"")*$G892,"")</f>
        <v/>
      </c>
      <c r="O892" s="179" t="str">
        <f t="array" ref="O892">IF($F892&lt;&gt;"",XLOOKUP($F892,Productos!$A:$A,Productos!H:H,"Revisar"),"")</f>
        <v/>
      </c>
      <c r="P892" s="179" t="str">
        <f t="array" ref="P892">IF($F892&lt;&gt;"", XLOOKUP($F892,Productos!$A$2:$A1001,Productos!I$2:I1001,"")*$G892,"")</f>
        <v/>
      </c>
      <c r="Q892" s="179" t="str">
        <f t="array" ref="Q892">IF($F892&lt;&gt;"",XLOOKUP($F892,Productos!$A:$A,Productos!J:J,"Revisar"),"")</f>
        <v/>
      </c>
      <c r="R892" s="179" t="str">
        <f t="array" ref="R892">IF($F892&lt;&gt;"", XLOOKUP($F892,Productos!$A$2:$A1001,Productos!K$2:K1001,"")*$G892,"")</f>
        <v/>
      </c>
      <c r="S892" s="179" t="str">
        <f t="array" ref="S892">IF($F892&lt;&gt;"",XLOOKUP($F892,Productos!$A:$A,Productos!L:L,"Revisar"),"")</f>
        <v/>
      </c>
      <c r="T892" s="179" t="str">
        <f t="array" ref="T892">IF($F892&lt;&gt;"", XLOOKUP($F892,Productos!$A$2:$A1001,Productos!M$2:M1001,"")*$G892,"")</f>
        <v/>
      </c>
      <c r="U892" s="179" t="str">
        <f t="array" ref="U892">IF($F892&lt;&gt;"",XLOOKUP($F892,Productos!$A:$A,Productos!N:N,"Revisar"),"")</f>
        <v/>
      </c>
      <c r="V892" s="179" t="str">
        <f t="array" ref="V892">IF($F892&lt;&gt;"", XLOOKUP($F892,Productos!$A$2:$A1001,Productos!O$2:O1001,"")*$G892,"")</f>
        <v/>
      </c>
      <c r="W892" s="179" t="str">
        <f t="array" ref="W892">IF($F892&lt;&gt;"",XLOOKUP($F892,Productos!$A:$A,Productos!P:P,"Revisar"),"")</f>
        <v/>
      </c>
      <c r="X892" s="179" t="str">
        <f t="array" ref="X892">IF($F892&lt;&gt;"", XLOOKUP($F892,Productos!$A$2:$A1001,Productos!Q$2:Q1001,"")*$G892,"")</f>
        <v/>
      </c>
      <c r="Y892" s="179" t="str">
        <f t="array" ref="Y892">IF($F892&lt;&gt;"",XLOOKUP($F892,Productos!$A:$A,Productos!R:R,"Revisar"),"")</f>
        <v/>
      </c>
      <c r="Z892" s="179" t="str">
        <f t="array" ref="Z892">IF($F892&lt;&gt;"", XLOOKUP($F892,Productos!$A$2:$A1001,Productos!S$2:S1001,"")*$G892,"")</f>
        <v/>
      </c>
      <c r="AA892" s="179" t="str">
        <f t="array" ref="AA892">IF($F892&lt;&gt;"",XLOOKUP($F892,Productos!$A:$A,Productos!T:T,"Revisar"),"")</f>
        <v/>
      </c>
      <c r="AB892" s="179" t="str">
        <f t="array" ref="AB892">IF($F892&lt;&gt;"", XLOOKUP($F892,Productos!$A$2:$A1001,Productos!U$2:U1001,"")*$G892,"")</f>
        <v/>
      </c>
      <c r="AC892" s="179" t="str">
        <f t="array" ref="AC892">IF($F892&lt;&gt;"",XLOOKUP($F892,Productos!$A:$A,Productos!V:V,"Revisar"),"")</f>
        <v/>
      </c>
      <c r="AD892" s="179" t="str">
        <f t="array" ref="AD892">IF($F892&lt;&gt;"", XLOOKUP($F892,Productos!$A$2:$A1001,Productos!W$2:W1001,"")*$G892,"")</f>
        <v/>
      </c>
      <c r="AE892" s="179" t="str">
        <f t="array" ref="AE892">IF($F892&lt;&gt;"",XLOOKUP($F892,Productos!$A:$A,Productos!X:X,"Revisar"),"")</f>
        <v/>
      </c>
      <c r="AF892" s="179" t="str">
        <f t="array" ref="AF892">IF($F892&lt;&gt;"", XLOOKUP($F892,Productos!$A$2:$A1001,Productos!Y$2:Y1001,"")*$G892,"")</f>
        <v/>
      </c>
      <c r="AG892" s="179" t="str">
        <f t="array" ref="AG892">IF($F892&lt;&gt;"",XLOOKUP($F892,Productos!$A:$A,Productos!Z:Z,"Revisar"),"")</f>
        <v/>
      </c>
      <c r="AH892" s="179" t="str">
        <f t="array" ref="AH892">IF($F892&lt;&gt;"", XLOOKUP($F892,Productos!$A$2:$A1001,Productos!AA$2:AA1001,"")*$G892,"")</f>
        <v/>
      </c>
      <c r="AI892" s="179" t="str">
        <f t="array" ref="AI892">IF($F892&lt;&gt;"",XLOOKUP($F892,Productos!$A:$A,Productos!AB:AB,"Revisar"),"")</f>
        <v/>
      </c>
      <c r="AJ892" s="179" t="str">
        <f t="array" ref="AJ892">IF($F892&lt;&gt;"", XLOOKUP($F892,Productos!$A$2:$A1001,Productos!AC$2:AC1001,"")*$G892,"")</f>
        <v/>
      </c>
      <c r="AK892" s="179" t="str">
        <f t="array" ref="AK892">IF($F892&lt;&gt;"",XLOOKUP($F892,Productos!$A:$A,Productos!AD:AD,"Revisar"),"")</f>
        <v/>
      </c>
      <c r="AL892" s="179" t="str">
        <f t="array" ref="AL892">IF($F892&lt;&gt;"", XLOOKUP($F892,Productos!$A$2:$A1001,Productos!AE$2:AE1001,"")*$G892,"")</f>
        <v/>
      </c>
      <c r="AM892" s="179" t="str">
        <f t="array" ref="AM892">IF($F892&lt;&gt;"",XLOOKUP($F892,Productos!$A:$A,Productos!AF:AF,"Revisar"),"")</f>
        <v/>
      </c>
      <c r="AN892" s="179" t="str">
        <f t="array" ref="AN892">IF($F892&lt;&gt;"", XLOOKUP($F892,Productos!$A$2:$A1001,Productos!AG$2:AG1001,"")*$G892,"")</f>
        <v/>
      </c>
      <c r="AO892" s="179" t="str">
        <f t="array" ref="AO892">IF($F892&lt;&gt;"",XLOOKUP($F892,Productos!$A:$A,Productos!AH:AH,"Revisar"),"")</f>
        <v/>
      </c>
      <c r="AP892" s="179" t="str">
        <f t="array" ref="AP892">IF($F892&lt;&gt;"", XLOOKUP($F892,Productos!$A$2:$A1001,Productos!AI$2:AI1001,"")*$G892,"")</f>
        <v/>
      </c>
      <c r="AQ892" s="179" t="str">
        <f t="array" ref="AQ892">IF($F892&lt;&gt;"",XLOOKUP($F892,Productos!$A:$A,Productos!AJ:AJ,"Revisar"),"")</f>
        <v/>
      </c>
      <c r="AR892" s="179" t="str">
        <f t="array" ref="AR892">IF($F892&lt;&gt;"", XLOOKUP($F892,Productos!$A$2:$A1001,Productos!AK$2:AK1001,"")*$G892,"")</f>
        <v/>
      </c>
      <c r="AS892" s="179" t="str">
        <f t="array" ref="AS892">IF($F892&lt;&gt;"",XLOOKUP($F892,Productos!$A:$A,Productos!AL:AL,"Revisar"),"")</f>
        <v/>
      </c>
      <c r="AT892" s="179" t="str">
        <f t="array" ref="AT892">IF($F892&lt;&gt;"", XLOOKUP($F892,Productos!$A$2:$A1001,Productos!AM$2:AM1001,"")*$G892,"")</f>
        <v/>
      </c>
      <c r="AU892" s="179" t="str">
        <f t="array" ref="AU892">IF($F892&lt;&gt;"",XLOOKUP($F892,Productos!$A:$A,Productos!AN:AN,"Revisar"),"")</f>
        <v/>
      </c>
      <c r="AV892" s="179" t="str">
        <f t="array" ref="AV892">IF($F892&lt;&gt;"", XLOOKUP($F892,Productos!$A$2:$A1001,Productos!AO$2:AO1001,"")*$G892,"")</f>
        <v/>
      </c>
      <c r="AW892" s="179" t="str">
        <f t="array" ref="AW892">IF($F892&lt;&gt;"",XLOOKUP($F892,Productos!$A:$A,Productos!AP:AP,"Revisar"),"")</f>
        <v/>
      </c>
      <c r="AX892" s="179" t="str">
        <f t="array" ref="AX892">IF($F892&lt;&gt;"", XLOOKUP($F892,Productos!$A$2:$A1001,Productos!AQ$2:AQ1001,"")*$G892,"")</f>
        <v/>
      </c>
      <c r="AY892" s="179" t="str">
        <f t="array" ref="AY892">IF($F892&lt;&gt;"",XLOOKUP($F892,Productos!$A:$A,Productos!AR:AR,"Revisar"),"")</f>
        <v/>
      </c>
      <c r="AZ892" s="179" t="str">
        <f t="array" ref="AZ892">IF($F892&lt;&gt;"", XLOOKUP($F892,Productos!$A$2:$A1001,Productos!AS$2:AS1001,"")*$G892,"")</f>
        <v/>
      </c>
      <c r="BA892" s="179" t="str">
        <f t="array" ref="BA892">IF($F892&lt;&gt;"",XLOOKUP($F892,Productos!$A:$A,Productos!AT:AT,"Revisar"),"")</f>
        <v/>
      </c>
      <c r="BB892" s="179" t="str">
        <f t="array" ref="BB892">IF($F892&lt;&gt;"", XLOOKUP($F892,Productos!$A$2:$A1001,Productos!AU$2:AU1001,"")*$G892,"")</f>
        <v/>
      </c>
      <c r="BC892" s="179" t="str">
        <f t="array" ref="BC892">IF($F892&lt;&gt;"",XLOOKUP($F892,Productos!$A:$A,Productos!AV:AV,"Revisar"),"")</f>
        <v/>
      </c>
      <c r="BD892" s="179" t="str">
        <f t="array" ref="BD892">IF($F892&lt;&gt;"", XLOOKUP($F892,Productos!$A$2:$A1001,Productos!AW$2:AW1001,"")*$G892,"")</f>
        <v/>
      </c>
      <c r="BE892" s="179" t="str">
        <f t="array" ref="BE892">IF($F892&lt;&gt;"",XLOOKUP($F892,Productos!$A:$A,Productos!AX:AX,"Revisar"),"")</f>
        <v/>
      </c>
      <c r="BF892" s="179" t="str">
        <f t="array" ref="BF892">IF($F892&lt;&gt;"", XLOOKUP($F892,Productos!$A$2:$A1001,Productos!AY$2:AY1001,"")*$G892,"")</f>
        <v/>
      </c>
      <c r="BG892" s="179" t="str">
        <f t="array" ref="BG892">IF($F892&lt;&gt;"",XLOOKUP($F892,Productos!$A:$A,Productos!AZ:AZ,"Revisar"),"")</f>
        <v/>
      </c>
      <c r="BH892" s="179" t="str">
        <f t="array" ref="BH892">IF($F892&lt;&gt;"", XLOOKUP($F892,Productos!$A$2:$A1001,Productos!BA$2:BA1001,"")*$G892,"")</f>
        <v/>
      </c>
      <c r="BI892" s="179" t="str">
        <f t="array" ref="BI892">IF($F892&lt;&gt;"",XLOOKUP($F892,Productos!$A:$A,Productos!BB:BB,"Revisar"),"")</f>
        <v/>
      </c>
      <c r="BJ892" s="179" t="str">
        <f t="array" ref="BJ892">IF($F892&lt;&gt;"", XLOOKUP($F892,Productos!$A$2:$A1001,Productos!BC$2:BC1001,"")*$G892,"")</f>
        <v/>
      </c>
      <c r="BK892" s="179" t="str">
        <f t="array" ref="BK892">IF($F892&lt;&gt;"",XLOOKUP($F892,Productos!$A:$A,Productos!BD:BD,"Revisar"),"")</f>
        <v/>
      </c>
      <c r="BL892" s="179" t="str">
        <f t="array" ref="BL892">IF($F892&lt;&gt;"", XLOOKUP($F892,Productos!$A$2:$A1001,Productos!BE$2:BE1001,"")*$G892,"")</f>
        <v/>
      </c>
      <c r="BM892" s="179" t="str">
        <f t="array" ref="BM892">IF($F892&lt;&gt;"",XLOOKUP($F892,Productos!$A:$A,Productos!BF:BF,"Revisar"),"")</f>
        <v/>
      </c>
      <c r="BN892" s="179" t="str">
        <f t="array" ref="BN892">IF($F892&lt;&gt;"", XLOOKUP($F892,Productos!$A$2:$A1001,Productos!BG$2:BG1001,"")*$G892,"")</f>
        <v/>
      </c>
      <c r="BO892" s="179" t="str">
        <f t="array" ref="BO892">IF($F892&lt;&gt;"",XLOOKUP($F892,Productos!$A:$A,Productos!BH:BH,"Revisar"),"")</f>
        <v/>
      </c>
      <c r="BP892" s="179" t="str">
        <f t="array" ref="BP892">IF($F892&lt;&gt;"", XLOOKUP($F892,Productos!$A$2:$A1001,Productos!BI$2:BI1001,"")*$G892,"")</f>
        <v/>
      </c>
      <c r="BQ892" s="179" t="str">
        <f t="array" ref="BQ892">IF($F892&lt;&gt;"",XLOOKUP($F892,Productos!$A:$A,Productos!BJ:BJ,"Revisar"),"")</f>
        <v/>
      </c>
      <c r="BR892" s="179" t="str">
        <f t="array" ref="BR892">IF($F892&lt;&gt;"", XLOOKUP($F892,Productos!$A$2:$A1001,Productos!BK$2:BK1001,"")*$G892,"")</f>
        <v/>
      </c>
      <c r="BS892" s="179" t="str">
        <f t="array" ref="BS892">IF($F892&lt;&gt;"",XLOOKUP($F892,Productos!$A:$A,Productos!BL:BL,"Revisar"),"")</f>
        <v/>
      </c>
      <c r="BT892" s="179" t="str">
        <f t="array" ref="BT892">IF($F892&lt;&gt;"", XLOOKUP($F892,Productos!$A$2:$A1001,Productos!BM$2:BM1001,"")*$G892,"")</f>
        <v/>
      </c>
      <c r="BU892" s="179" t="str">
        <f t="array" ref="BU892">IF($F892&lt;&gt;"",XLOOKUP($F892,Productos!$A:$A,Productos!BN:BN,"Revisar"),"")</f>
        <v/>
      </c>
      <c r="BV892" s="179" t="str">
        <f t="array" ref="BV892">IF($F892&lt;&gt;"", XLOOKUP($F892,Productos!$A$2:$A1001,Productos!BO$2:BO1001,"")*$G892,"")</f>
        <v/>
      </c>
      <c r="BW892" s="179" t="str">
        <f t="array" ref="BW892">IF($F892&lt;&gt;"",XLOOKUP($F892,Productos!$A:$A,Productos!BP:BP,"Revisar"),"")</f>
        <v/>
      </c>
      <c r="BX892" s="179" t="str">
        <f t="array" ref="BX892">IF($F892&lt;&gt;"", XLOOKUP($F892,Productos!$A$2:$A1001,Productos!BQ$2:BQ1001,"")*$G892,"")</f>
        <v/>
      </c>
      <c r="BY892" s="179" t="str">
        <f t="array" ref="BY892">IF($F892&lt;&gt;"",XLOOKUP($F892,Productos!$A:$A,Productos!BR:BR,"Revisar"),"")</f>
        <v/>
      </c>
      <c r="BZ892" s="179" t="str">
        <f t="array" ref="BZ892">IF($F892&lt;&gt;"", XLOOKUP($F892,Productos!$A$2:$A1001,Productos!BS$2:BS1001,"")*$G892,"")</f>
        <v/>
      </c>
    </row>
    <row r="893">
      <c r="A893" s="188"/>
      <c r="B893" s="189"/>
      <c r="C893" s="190"/>
      <c r="D893" s="190"/>
      <c r="E893" s="191"/>
      <c r="F893" s="186"/>
      <c r="G893" s="192"/>
      <c r="H893" s="9"/>
      <c r="I893" s="179" t="str">
        <f t="array" ref="I893">IF($F893&lt;&gt;"",XLOOKUP($F893,Productos!$A:$A,Productos!B:B,"Revisar"),"")</f>
        <v/>
      </c>
      <c r="J893" s="179" t="str">
        <f t="array" ref="J893">IF($F893&lt;&gt;"", XLOOKUP($F893,Productos!$A$2:$A1001,Productos!C$2:C1001,"")*$G893,"")</f>
        <v/>
      </c>
      <c r="K893" s="179" t="str">
        <f t="array" ref="K893">IF($F893&lt;&gt;"",XLOOKUP($F893,Productos!$A:$A,Productos!D:D,"Revisar"),"")</f>
        <v/>
      </c>
      <c r="L893" s="179" t="str">
        <f t="array" ref="L893">IF($F893&lt;&gt;"", XLOOKUP($F893,Productos!$A$2:$A1001,Productos!E$2:E1001,"")*$G893,"")</f>
        <v/>
      </c>
      <c r="M893" s="179" t="str">
        <f t="array" ref="M893">IF($F893&lt;&gt;"",XLOOKUP($F893,Productos!$A:$A,Productos!F:F,"Revisar"),"")</f>
        <v/>
      </c>
      <c r="N893" s="179" t="str">
        <f t="array" ref="N893">IF($F893&lt;&gt;"", XLOOKUP($F893,Productos!$A$2:$A1001,Productos!G$2:G1001,"")*$G893,"")</f>
        <v/>
      </c>
      <c r="O893" s="179" t="str">
        <f t="array" ref="O893">IF($F893&lt;&gt;"",XLOOKUP($F893,Productos!$A:$A,Productos!H:H,"Revisar"),"")</f>
        <v/>
      </c>
      <c r="P893" s="179" t="str">
        <f t="array" ref="P893">IF($F893&lt;&gt;"", XLOOKUP($F893,Productos!$A$2:$A1001,Productos!I$2:I1001,"")*$G893,"")</f>
        <v/>
      </c>
      <c r="Q893" s="179" t="str">
        <f t="array" ref="Q893">IF($F893&lt;&gt;"",XLOOKUP($F893,Productos!$A:$A,Productos!J:J,"Revisar"),"")</f>
        <v/>
      </c>
      <c r="R893" s="179" t="str">
        <f t="array" ref="R893">IF($F893&lt;&gt;"", XLOOKUP($F893,Productos!$A$2:$A1001,Productos!K$2:K1001,"")*$G893,"")</f>
        <v/>
      </c>
      <c r="S893" s="179" t="str">
        <f t="array" ref="S893">IF($F893&lt;&gt;"",XLOOKUP($F893,Productos!$A:$A,Productos!L:L,"Revisar"),"")</f>
        <v/>
      </c>
      <c r="T893" s="179" t="str">
        <f t="array" ref="T893">IF($F893&lt;&gt;"", XLOOKUP($F893,Productos!$A$2:$A1001,Productos!M$2:M1001,"")*$G893,"")</f>
        <v/>
      </c>
      <c r="U893" s="179" t="str">
        <f t="array" ref="U893">IF($F893&lt;&gt;"",XLOOKUP($F893,Productos!$A:$A,Productos!N:N,"Revisar"),"")</f>
        <v/>
      </c>
      <c r="V893" s="179" t="str">
        <f t="array" ref="V893">IF($F893&lt;&gt;"", XLOOKUP($F893,Productos!$A$2:$A1001,Productos!O$2:O1001,"")*$G893,"")</f>
        <v/>
      </c>
      <c r="W893" s="179" t="str">
        <f t="array" ref="W893">IF($F893&lt;&gt;"",XLOOKUP($F893,Productos!$A:$A,Productos!P:P,"Revisar"),"")</f>
        <v/>
      </c>
      <c r="X893" s="179" t="str">
        <f t="array" ref="X893">IF($F893&lt;&gt;"", XLOOKUP($F893,Productos!$A$2:$A1001,Productos!Q$2:Q1001,"")*$G893,"")</f>
        <v/>
      </c>
      <c r="Y893" s="179" t="str">
        <f t="array" ref="Y893">IF($F893&lt;&gt;"",XLOOKUP($F893,Productos!$A:$A,Productos!R:R,"Revisar"),"")</f>
        <v/>
      </c>
      <c r="Z893" s="179" t="str">
        <f t="array" ref="Z893">IF($F893&lt;&gt;"", XLOOKUP($F893,Productos!$A$2:$A1001,Productos!S$2:S1001,"")*$G893,"")</f>
        <v/>
      </c>
      <c r="AA893" s="179" t="str">
        <f t="array" ref="AA893">IF($F893&lt;&gt;"",XLOOKUP($F893,Productos!$A:$A,Productos!T:T,"Revisar"),"")</f>
        <v/>
      </c>
      <c r="AB893" s="179" t="str">
        <f t="array" ref="AB893">IF($F893&lt;&gt;"", XLOOKUP($F893,Productos!$A$2:$A1001,Productos!U$2:U1001,"")*$G893,"")</f>
        <v/>
      </c>
      <c r="AC893" s="179" t="str">
        <f t="array" ref="AC893">IF($F893&lt;&gt;"",XLOOKUP($F893,Productos!$A:$A,Productos!V:V,"Revisar"),"")</f>
        <v/>
      </c>
      <c r="AD893" s="179" t="str">
        <f t="array" ref="AD893">IF($F893&lt;&gt;"", XLOOKUP($F893,Productos!$A$2:$A1001,Productos!W$2:W1001,"")*$G893,"")</f>
        <v/>
      </c>
      <c r="AE893" s="179" t="str">
        <f t="array" ref="AE893">IF($F893&lt;&gt;"",XLOOKUP($F893,Productos!$A:$A,Productos!X:X,"Revisar"),"")</f>
        <v/>
      </c>
      <c r="AF893" s="179" t="str">
        <f t="array" ref="AF893">IF($F893&lt;&gt;"", XLOOKUP($F893,Productos!$A$2:$A1001,Productos!Y$2:Y1001,"")*$G893,"")</f>
        <v/>
      </c>
      <c r="AG893" s="179" t="str">
        <f t="array" ref="AG893">IF($F893&lt;&gt;"",XLOOKUP($F893,Productos!$A:$A,Productos!Z:Z,"Revisar"),"")</f>
        <v/>
      </c>
      <c r="AH893" s="179" t="str">
        <f t="array" ref="AH893">IF($F893&lt;&gt;"", XLOOKUP($F893,Productos!$A$2:$A1001,Productos!AA$2:AA1001,"")*$G893,"")</f>
        <v/>
      </c>
      <c r="AI893" s="179" t="str">
        <f t="array" ref="AI893">IF($F893&lt;&gt;"",XLOOKUP($F893,Productos!$A:$A,Productos!AB:AB,"Revisar"),"")</f>
        <v/>
      </c>
      <c r="AJ893" s="179" t="str">
        <f t="array" ref="AJ893">IF($F893&lt;&gt;"", XLOOKUP($F893,Productos!$A$2:$A1001,Productos!AC$2:AC1001,"")*$G893,"")</f>
        <v/>
      </c>
      <c r="AK893" s="179" t="str">
        <f t="array" ref="AK893">IF($F893&lt;&gt;"",XLOOKUP($F893,Productos!$A:$A,Productos!AD:AD,"Revisar"),"")</f>
        <v/>
      </c>
      <c r="AL893" s="179" t="str">
        <f t="array" ref="AL893">IF($F893&lt;&gt;"", XLOOKUP($F893,Productos!$A$2:$A1001,Productos!AE$2:AE1001,"")*$G893,"")</f>
        <v/>
      </c>
      <c r="AM893" s="179" t="str">
        <f t="array" ref="AM893">IF($F893&lt;&gt;"",XLOOKUP($F893,Productos!$A:$A,Productos!AF:AF,"Revisar"),"")</f>
        <v/>
      </c>
      <c r="AN893" s="179" t="str">
        <f t="array" ref="AN893">IF($F893&lt;&gt;"", XLOOKUP($F893,Productos!$A$2:$A1001,Productos!AG$2:AG1001,"")*$G893,"")</f>
        <v/>
      </c>
      <c r="AO893" s="179" t="str">
        <f t="array" ref="AO893">IF($F893&lt;&gt;"",XLOOKUP($F893,Productos!$A:$A,Productos!AH:AH,"Revisar"),"")</f>
        <v/>
      </c>
      <c r="AP893" s="179" t="str">
        <f t="array" ref="AP893">IF($F893&lt;&gt;"", XLOOKUP($F893,Productos!$A$2:$A1001,Productos!AI$2:AI1001,"")*$G893,"")</f>
        <v/>
      </c>
      <c r="AQ893" s="179" t="str">
        <f t="array" ref="AQ893">IF($F893&lt;&gt;"",XLOOKUP($F893,Productos!$A:$A,Productos!AJ:AJ,"Revisar"),"")</f>
        <v/>
      </c>
      <c r="AR893" s="179" t="str">
        <f t="array" ref="AR893">IF($F893&lt;&gt;"", XLOOKUP($F893,Productos!$A$2:$A1001,Productos!AK$2:AK1001,"")*$G893,"")</f>
        <v/>
      </c>
      <c r="AS893" s="179" t="str">
        <f t="array" ref="AS893">IF($F893&lt;&gt;"",XLOOKUP($F893,Productos!$A:$A,Productos!AL:AL,"Revisar"),"")</f>
        <v/>
      </c>
      <c r="AT893" s="179" t="str">
        <f t="array" ref="AT893">IF($F893&lt;&gt;"", XLOOKUP($F893,Productos!$A$2:$A1001,Productos!AM$2:AM1001,"")*$G893,"")</f>
        <v/>
      </c>
      <c r="AU893" s="179" t="str">
        <f t="array" ref="AU893">IF($F893&lt;&gt;"",XLOOKUP($F893,Productos!$A:$A,Productos!AN:AN,"Revisar"),"")</f>
        <v/>
      </c>
      <c r="AV893" s="179" t="str">
        <f t="array" ref="AV893">IF($F893&lt;&gt;"", XLOOKUP($F893,Productos!$A$2:$A1001,Productos!AO$2:AO1001,"")*$G893,"")</f>
        <v/>
      </c>
      <c r="AW893" s="179" t="str">
        <f t="array" ref="AW893">IF($F893&lt;&gt;"",XLOOKUP($F893,Productos!$A:$A,Productos!AP:AP,"Revisar"),"")</f>
        <v/>
      </c>
      <c r="AX893" s="179" t="str">
        <f t="array" ref="AX893">IF($F893&lt;&gt;"", XLOOKUP($F893,Productos!$A$2:$A1001,Productos!AQ$2:AQ1001,"")*$G893,"")</f>
        <v/>
      </c>
      <c r="AY893" s="179" t="str">
        <f t="array" ref="AY893">IF($F893&lt;&gt;"",XLOOKUP($F893,Productos!$A:$A,Productos!AR:AR,"Revisar"),"")</f>
        <v/>
      </c>
      <c r="AZ893" s="179" t="str">
        <f t="array" ref="AZ893">IF($F893&lt;&gt;"", XLOOKUP($F893,Productos!$A$2:$A1001,Productos!AS$2:AS1001,"")*$G893,"")</f>
        <v/>
      </c>
      <c r="BA893" s="179" t="str">
        <f t="array" ref="BA893">IF($F893&lt;&gt;"",XLOOKUP($F893,Productos!$A:$A,Productos!AT:AT,"Revisar"),"")</f>
        <v/>
      </c>
      <c r="BB893" s="179" t="str">
        <f t="array" ref="BB893">IF($F893&lt;&gt;"", XLOOKUP($F893,Productos!$A$2:$A1001,Productos!AU$2:AU1001,"")*$G893,"")</f>
        <v/>
      </c>
      <c r="BC893" s="179" t="str">
        <f t="array" ref="BC893">IF($F893&lt;&gt;"",XLOOKUP($F893,Productos!$A:$A,Productos!AV:AV,"Revisar"),"")</f>
        <v/>
      </c>
      <c r="BD893" s="179" t="str">
        <f t="array" ref="BD893">IF($F893&lt;&gt;"", XLOOKUP($F893,Productos!$A$2:$A1001,Productos!AW$2:AW1001,"")*$G893,"")</f>
        <v/>
      </c>
      <c r="BE893" s="179" t="str">
        <f t="array" ref="BE893">IF($F893&lt;&gt;"",XLOOKUP($F893,Productos!$A:$A,Productos!AX:AX,"Revisar"),"")</f>
        <v/>
      </c>
      <c r="BF893" s="179" t="str">
        <f t="array" ref="BF893">IF($F893&lt;&gt;"", XLOOKUP($F893,Productos!$A$2:$A1001,Productos!AY$2:AY1001,"")*$G893,"")</f>
        <v/>
      </c>
      <c r="BG893" s="179" t="str">
        <f t="array" ref="BG893">IF($F893&lt;&gt;"",XLOOKUP($F893,Productos!$A:$A,Productos!AZ:AZ,"Revisar"),"")</f>
        <v/>
      </c>
      <c r="BH893" s="179" t="str">
        <f t="array" ref="BH893">IF($F893&lt;&gt;"", XLOOKUP($F893,Productos!$A$2:$A1001,Productos!BA$2:BA1001,"")*$G893,"")</f>
        <v/>
      </c>
      <c r="BI893" s="179" t="str">
        <f t="array" ref="BI893">IF($F893&lt;&gt;"",XLOOKUP($F893,Productos!$A:$A,Productos!BB:BB,"Revisar"),"")</f>
        <v/>
      </c>
      <c r="BJ893" s="179" t="str">
        <f t="array" ref="BJ893">IF($F893&lt;&gt;"", XLOOKUP($F893,Productos!$A$2:$A1001,Productos!BC$2:BC1001,"")*$G893,"")</f>
        <v/>
      </c>
      <c r="BK893" s="179" t="str">
        <f t="array" ref="BK893">IF($F893&lt;&gt;"",XLOOKUP($F893,Productos!$A:$A,Productos!BD:BD,"Revisar"),"")</f>
        <v/>
      </c>
      <c r="BL893" s="179" t="str">
        <f t="array" ref="BL893">IF($F893&lt;&gt;"", XLOOKUP($F893,Productos!$A$2:$A1001,Productos!BE$2:BE1001,"")*$G893,"")</f>
        <v/>
      </c>
      <c r="BM893" s="179" t="str">
        <f t="array" ref="BM893">IF($F893&lt;&gt;"",XLOOKUP($F893,Productos!$A:$A,Productos!BF:BF,"Revisar"),"")</f>
        <v/>
      </c>
      <c r="BN893" s="179" t="str">
        <f t="array" ref="BN893">IF($F893&lt;&gt;"", XLOOKUP($F893,Productos!$A$2:$A1001,Productos!BG$2:BG1001,"")*$G893,"")</f>
        <v/>
      </c>
      <c r="BO893" s="179" t="str">
        <f t="array" ref="BO893">IF($F893&lt;&gt;"",XLOOKUP($F893,Productos!$A:$A,Productos!BH:BH,"Revisar"),"")</f>
        <v/>
      </c>
      <c r="BP893" s="179" t="str">
        <f t="array" ref="BP893">IF($F893&lt;&gt;"", XLOOKUP($F893,Productos!$A$2:$A1001,Productos!BI$2:BI1001,"")*$G893,"")</f>
        <v/>
      </c>
      <c r="BQ893" s="179" t="str">
        <f t="array" ref="BQ893">IF($F893&lt;&gt;"",XLOOKUP($F893,Productos!$A:$A,Productos!BJ:BJ,"Revisar"),"")</f>
        <v/>
      </c>
      <c r="BR893" s="179" t="str">
        <f t="array" ref="BR893">IF($F893&lt;&gt;"", XLOOKUP($F893,Productos!$A$2:$A1001,Productos!BK$2:BK1001,"")*$G893,"")</f>
        <v/>
      </c>
      <c r="BS893" s="179" t="str">
        <f t="array" ref="BS893">IF($F893&lt;&gt;"",XLOOKUP($F893,Productos!$A:$A,Productos!BL:BL,"Revisar"),"")</f>
        <v/>
      </c>
      <c r="BT893" s="179" t="str">
        <f t="array" ref="BT893">IF($F893&lt;&gt;"", XLOOKUP($F893,Productos!$A$2:$A1001,Productos!BM$2:BM1001,"")*$G893,"")</f>
        <v/>
      </c>
      <c r="BU893" s="179" t="str">
        <f t="array" ref="BU893">IF($F893&lt;&gt;"",XLOOKUP($F893,Productos!$A:$A,Productos!BN:BN,"Revisar"),"")</f>
        <v/>
      </c>
      <c r="BV893" s="179" t="str">
        <f t="array" ref="BV893">IF($F893&lt;&gt;"", XLOOKUP($F893,Productos!$A$2:$A1001,Productos!BO$2:BO1001,"")*$G893,"")</f>
        <v/>
      </c>
      <c r="BW893" s="179" t="str">
        <f t="array" ref="BW893">IF($F893&lt;&gt;"",XLOOKUP($F893,Productos!$A:$A,Productos!BP:BP,"Revisar"),"")</f>
        <v/>
      </c>
      <c r="BX893" s="179" t="str">
        <f t="array" ref="BX893">IF($F893&lt;&gt;"", XLOOKUP($F893,Productos!$A$2:$A1001,Productos!BQ$2:BQ1001,"")*$G893,"")</f>
        <v/>
      </c>
      <c r="BY893" s="179" t="str">
        <f t="array" ref="BY893">IF($F893&lt;&gt;"",XLOOKUP($F893,Productos!$A:$A,Productos!BR:BR,"Revisar"),"")</f>
        <v/>
      </c>
      <c r="BZ893" s="179" t="str">
        <f t="array" ref="BZ893">IF($F893&lt;&gt;"", XLOOKUP($F893,Productos!$A$2:$A1001,Productos!BS$2:BS1001,"")*$G893,"")</f>
        <v/>
      </c>
    </row>
    <row r="894">
      <c r="A894" s="188"/>
      <c r="B894" s="189"/>
      <c r="C894" s="190"/>
      <c r="D894" s="190"/>
      <c r="E894" s="191"/>
      <c r="F894" s="186"/>
      <c r="G894" s="192"/>
      <c r="H894" s="9"/>
      <c r="I894" s="179" t="str">
        <f t="array" ref="I894">IF($F894&lt;&gt;"",XLOOKUP($F894,Productos!$A:$A,Productos!B:B,"Revisar"),"")</f>
        <v/>
      </c>
      <c r="J894" s="179" t="str">
        <f t="array" ref="J894">IF($F894&lt;&gt;"", XLOOKUP($F894,Productos!$A$2:$A1001,Productos!C$2:C1001,"")*$G894,"")</f>
        <v/>
      </c>
      <c r="K894" s="179" t="str">
        <f t="array" ref="K894">IF($F894&lt;&gt;"",XLOOKUP($F894,Productos!$A:$A,Productos!D:D,"Revisar"),"")</f>
        <v/>
      </c>
      <c r="L894" s="179" t="str">
        <f t="array" ref="L894">IF($F894&lt;&gt;"", XLOOKUP($F894,Productos!$A$2:$A1001,Productos!E$2:E1001,"")*$G894,"")</f>
        <v/>
      </c>
      <c r="M894" s="179" t="str">
        <f t="array" ref="M894">IF($F894&lt;&gt;"",XLOOKUP($F894,Productos!$A:$A,Productos!F:F,"Revisar"),"")</f>
        <v/>
      </c>
      <c r="N894" s="179" t="str">
        <f t="array" ref="N894">IF($F894&lt;&gt;"", XLOOKUP($F894,Productos!$A$2:$A1001,Productos!G$2:G1001,"")*$G894,"")</f>
        <v/>
      </c>
      <c r="O894" s="179" t="str">
        <f t="array" ref="O894">IF($F894&lt;&gt;"",XLOOKUP($F894,Productos!$A:$A,Productos!H:H,"Revisar"),"")</f>
        <v/>
      </c>
      <c r="P894" s="179" t="str">
        <f t="array" ref="P894">IF($F894&lt;&gt;"", XLOOKUP($F894,Productos!$A$2:$A1001,Productos!I$2:I1001,"")*$G894,"")</f>
        <v/>
      </c>
      <c r="Q894" s="179" t="str">
        <f t="array" ref="Q894">IF($F894&lt;&gt;"",XLOOKUP($F894,Productos!$A:$A,Productos!J:J,"Revisar"),"")</f>
        <v/>
      </c>
      <c r="R894" s="179" t="str">
        <f t="array" ref="R894">IF($F894&lt;&gt;"", XLOOKUP($F894,Productos!$A$2:$A1001,Productos!K$2:K1001,"")*$G894,"")</f>
        <v/>
      </c>
      <c r="S894" s="179" t="str">
        <f t="array" ref="S894">IF($F894&lt;&gt;"",XLOOKUP($F894,Productos!$A:$A,Productos!L:L,"Revisar"),"")</f>
        <v/>
      </c>
      <c r="T894" s="179" t="str">
        <f t="array" ref="T894">IF($F894&lt;&gt;"", XLOOKUP($F894,Productos!$A$2:$A1001,Productos!M$2:M1001,"")*$G894,"")</f>
        <v/>
      </c>
      <c r="U894" s="179" t="str">
        <f t="array" ref="U894">IF($F894&lt;&gt;"",XLOOKUP($F894,Productos!$A:$A,Productos!N:N,"Revisar"),"")</f>
        <v/>
      </c>
      <c r="V894" s="179" t="str">
        <f t="array" ref="V894">IF($F894&lt;&gt;"", XLOOKUP($F894,Productos!$A$2:$A1001,Productos!O$2:O1001,"")*$G894,"")</f>
        <v/>
      </c>
      <c r="W894" s="179" t="str">
        <f t="array" ref="W894">IF($F894&lt;&gt;"",XLOOKUP($F894,Productos!$A:$A,Productos!P:P,"Revisar"),"")</f>
        <v/>
      </c>
      <c r="X894" s="179" t="str">
        <f t="array" ref="X894">IF($F894&lt;&gt;"", XLOOKUP($F894,Productos!$A$2:$A1001,Productos!Q$2:Q1001,"")*$G894,"")</f>
        <v/>
      </c>
      <c r="Y894" s="179" t="str">
        <f t="array" ref="Y894">IF($F894&lt;&gt;"",XLOOKUP($F894,Productos!$A:$A,Productos!R:R,"Revisar"),"")</f>
        <v/>
      </c>
      <c r="Z894" s="179" t="str">
        <f t="array" ref="Z894">IF($F894&lt;&gt;"", XLOOKUP($F894,Productos!$A$2:$A1001,Productos!S$2:S1001,"")*$G894,"")</f>
        <v/>
      </c>
      <c r="AA894" s="179" t="str">
        <f t="array" ref="AA894">IF($F894&lt;&gt;"",XLOOKUP($F894,Productos!$A:$A,Productos!T:T,"Revisar"),"")</f>
        <v/>
      </c>
      <c r="AB894" s="179" t="str">
        <f t="array" ref="AB894">IF($F894&lt;&gt;"", XLOOKUP($F894,Productos!$A$2:$A1001,Productos!U$2:U1001,"")*$G894,"")</f>
        <v/>
      </c>
      <c r="AC894" s="179" t="str">
        <f t="array" ref="AC894">IF($F894&lt;&gt;"",XLOOKUP($F894,Productos!$A:$A,Productos!V:V,"Revisar"),"")</f>
        <v/>
      </c>
      <c r="AD894" s="179" t="str">
        <f t="array" ref="AD894">IF($F894&lt;&gt;"", XLOOKUP($F894,Productos!$A$2:$A1001,Productos!W$2:W1001,"")*$G894,"")</f>
        <v/>
      </c>
      <c r="AE894" s="179" t="str">
        <f t="array" ref="AE894">IF($F894&lt;&gt;"",XLOOKUP($F894,Productos!$A:$A,Productos!X:X,"Revisar"),"")</f>
        <v/>
      </c>
      <c r="AF894" s="179" t="str">
        <f t="array" ref="AF894">IF($F894&lt;&gt;"", XLOOKUP($F894,Productos!$A$2:$A1001,Productos!Y$2:Y1001,"")*$G894,"")</f>
        <v/>
      </c>
      <c r="AG894" s="179" t="str">
        <f t="array" ref="AG894">IF($F894&lt;&gt;"",XLOOKUP($F894,Productos!$A:$A,Productos!Z:Z,"Revisar"),"")</f>
        <v/>
      </c>
      <c r="AH894" s="179" t="str">
        <f t="array" ref="AH894">IF($F894&lt;&gt;"", XLOOKUP($F894,Productos!$A$2:$A1001,Productos!AA$2:AA1001,"")*$G894,"")</f>
        <v/>
      </c>
      <c r="AI894" s="179" t="str">
        <f t="array" ref="AI894">IF($F894&lt;&gt;"",XLOOKUP($F894,Productos!$A:$A,Productos!AB:AB,"Revisar"),"")</f>
        <v/>
      </c>
      <c r="AJ894" s="179" t="str">
        <f t="array" ref="AJ894">IF($F894&lt;&gt;"", XLOOKUP($F894,Productos!$A$2:$A1001,Productos!AC$2:AC1001,"")*$G894,"")</f>
        <v/>
      </c>
      <c r="AK894" s="179" t="str">
        <f t="array" ref="AK894">IF($F894&lt;&gt;"",XLOOKUP($F894,Productos!$A:$A,Productos!AD:AD,"Revisar"),"")</f>
        <v/>
      </c>
      <c r="AL894" s="179" t="str">
        <f t="array" ref="AL894">IF($F894&lt;&gt;"", XLOOKUP($F894,Productos!$A$2:$A1001,Productos!AE$2:AE1001,"")*$G894,"")</f>
        <v/>
      </c>
      <c r="AM894" s="179" t="str">
        <f t="array" ref="AM894">IF($F894&lt;&gt;"",XLOOKUP($F894,Productos!$A:$A,Productos!AF:AF,"Revisar"),"")</f>
        <v/>
      </c>
      <c r="AN894" s="179" t="str">
        <f t="array" ref="AN894">IF($F894&lt;&gt;"", XLOOKUP($F894,Productos!$A$2:$A1001,Productos!AG$2:AG1001,"")*$G894,"")</f>
        <v/>
      </c>
      <c r="AO894" s="179" t="str">
        <f t="array" ref="AO894">IF($F894&lt;&gt;"",XLOOKUP($F894,Productos!$A:$A,Productos!AH:AH,"Revisar"),"")</f>
        <v/>
      </c>
      <c r="AP894" s="179" t="str">
        <f t="array" ref="AP894">IF($F894&lt;&gt;"", XLOOKUP($F894,Productos!$A$2:$A1001,Productos!AI$2:AI1001,"")*$G894,"")</f>
        <v/>
      </c>
      <c r="AQ894" s="179" t="str">
        <f t="array" ref="AQ894">IF($F894&lt;&gt;"",XLOOKUP($F894,Productos!$A:$A,Productos!AJ:AJ,"Revisar"),"")</f>
        <v/>
      </c>
      <c r="AR894" s="179" t="str">
        <f t="array" ref="AR894">IF($F894&lt;&gt;"", XLOOKUP($F894,Productos!$A$2:$A1001,Productos!AK$2:AK1001,"")*$G894,"")</f>
        <v/>
      </c>
      <c r="AS894" s="179" t="str">
        <f t="array" ref="AS894">IF($F894&lt;&gt;"",XLOOKUP($F894,Productos!$A:$A,Productos!AL:AL,"Revisar"),"")</f>
        <v/>
      </c>
      <c r="AT894" s="179" t="str">
        <f t="array" ref="AT894">IF($F894&lt;&gt;"", XLOOKUP($F894,Productos!$A$2:$A1001,Productos!AM$2:AM1001,"")*$G894,"")</f>
        <v/>
      </c>
      <c r="AU894" s="179" t="str">
        <f t="array" ref="AU894">IF($F894&lt;&gt;"",XLOOKUP($F894,Productos!$A:$A,Productos!AN:AN,"Revisar"),"")</f>
        <v/>
      </c>
      <c r="AV894" s="179" t="str">
        <f t="array" ref="AV894">IF($F894&lt;&gt;"", XLOOKUP($F894,Productos!$A$2:$A1001,Productos!AO$2:AO1001,"")*$G894,"")</f>
        <v/>
      </c>
      <c r="AW894" s="179" t="str">
        <f t="array" ref="AW894">IF($F894&lt;&gt;"",XLOOKUP($F894,Productos!$A:$A,Productos!AP:AP,"Revisar"),"")</f>
        <v/>
      </c>
      <c r="AX894" s="179" t="str">
        <f t="array" ref="AX894">IF($F894&lt;&gt;"", XLOOKUP($F894,Productos!$A$2:$A1001,Productos!AQ$2:AQ1001,"")*$G894,"")</f>
        <v/>
      </c>
      <c r="AY894" s="179" t="str">
        <f t="array" ref="AY894">IF($F894&lt;&gt;"",XLOOKUP($F894,Productos!$A:$A,Productos!AR:AR,"Revisar"),"")</f>
        <v/>
      </c>
      <c r="AZ894" s="179" t="str">
        <f t="array" ref="AZ894">IF($F894&lt;&gt;"", XLOOKUP($F894,Productos!$A$2:$A1001,Productos!AS$2:AS1001,"")*$G894,"")</f>
        <v/>
      </c>
      <c r="BA894" s="179" t="str">
        <f t="array" ref="BA894">IF($F894&lt;&gt;"",XLOOKUP($F894,Productos!$A:$A,Productos!AT:AT,"Revisar"),"")</f>
        <v/>
      </c>
      <c r="BB894" s="179" t="str">
        <f t="array" ref="BB894">IF($F894&lt;&gt;"", XLOOKUP($F894,Productos!$A$2:$A1001,Productos!AU$2:AU1001,"")*$G894,"")</f>
        <v/>
      </c>
      <c r="BC894" s="179" t="str">
        <f t="array" ref="BC894">IF($F894&lt;&gt;"",XLOOKUP($F894,Productos!$A:$A,Productos!AV:AV,"Revisar"),"")</f>
        <v/>
      </c>
      <c r="BD894" s="179" t="str">
        <f t="array" ref="BD894">IF($F894&lt;&gt;"", XLOOKUP($F894,Productos!$A$2:$A1001,Productos!AW$2:AW1001,"")*$G894,"")</f>
        <v/>
      </c>
      <c r="BE894" s="179" t="str">
        <f t="array" ref="BE894">IF($F894&lt;&gt;"",XLOOKUP($F894,Productos!$A:$A,Productos!AX:AX,"Revisar"),"")</f>
        <v/>
      </c>
      <c r="BF894" s="179" t="str">
        <f t="array" ref="BF894">IF($F894&lt;&gt;"", XLOOKUP($F894,Productos!$A$2:$A1001,Productos!AY$2:AY1001,"")*$G894,"")</f>
        <v/>
      </c>
      <c r="BG894" s="179" t="str">
        <f t="array" ref="BG894">IF($F894&lt;&gt;"",XLOOKUP($F894,Productos!$A:$A,Productos!AZ:AZ,"Revisar"),"")</f>
        <v/>
      </c>
      <c r="BH894" s="179" t="str">
        <f t="array" ref="BH894">IF($F894&lt;&gt;"", XLOOKUP($F894,Productos!$A$2:$A1001,Productos!BA$2:BA1001,"")*$G894,"")</f>
        <v/>
      </c>
      <c r="BI894" s="179" t="str">
        <f t="array" ref="BI894">IF($F894&lt;&gt;"",XLOOKUP($F894,Productos!$A:$A,Productos!BB:BB,"Revisar"),"")</f>
        <v/>
      </c>
      <c r="BJ894" s="179" t="str">
        <f t="array" ref="BJ894">IF($F894&lt;&gt;"", XLOOKUP($F894,Productos!$A$2:$A1001,Productos!BC$2:BC1001,"")*$G894,"")</f>
        <v/>
      </c>
      <c r="BK894" s="179" t="str">
        <f t="array" ref="BK894">IF($F894&lt;&gt;"",XLOOKUP($F894,Productos!$A:$A,Productos!BD:BD,"Revisar"),"")</f>
        <v/>
      </c>
      <c r="BL894" s="179" t="str">
        <f t="array" ref="BL894">IF($F894&lt;&gt;"", XLOOKUP($F894,Productos!$A$2:$A1001,Productos!BE$2:BE1001,"")*$G894,"")</f>
        <v/>
      </c>
      <c r="BM894" s="179" t="str">
        <f t="array" ref="BM894">IF($F894&lt;&gt;"",XLOOKUP($F894,Productos!$A:$A,Productos!BF:BF,"Revisar"),"")</f>
        <v/>
      </c>
      <c r="BN894" s="179" t="str">
        <f t="array" ref="BN894">IF($F894&lt;&gt;"", XLOOKUP($F894,Productos!$A$2:$A1001,Productos!BG$2:BG1001,"")*$G894,"")</f>
        <v/>
      </c>
      <c r="BO894" s="179" t="str">
        <f t="array" ref="BO894">IF($F894&lt;&gt;"",XLOOKUP($F894,Productos!$A:$A,Productos!BH:BH,"Revisar"),"")</f>
        <v/>
      </c>
      <c r="BP894" s="179" t="str">
        <f t="array" ref="BP894">IF($F894&lt;&gt;"", XLOOKUP($F894,Productos!$A$2:$A1001,Productos!BI$2:BI1001,"")*$G894,"")</f>
        <v/>
      </c>
      <c r="BQ894" s="179" t="str">
        <f t="array" ref="BQ894">IF($F894&lt;&gt;"",XLOOKUP($F894,Productos!$A:$A,Productos!BJ:BJ,"Revisar"),"")</f>
        <v/>
      </c>
      <c r="BR894" s="179" t="str">
        <f t="array" ref="BR894">IF($F894&lt;&gt;"", XLOOKUP($F894,Productos!$A$2:$A1001,Productos!BK$2:BK1001,"")*$G894,"")</f>
        <v/>
      </c>
      <c r="BS894" s="179" t="str">
        <f t="array" ref="BS894">IF($F894&lt;&gt;"",XLOOKUP($F894,Productos!$A:$A,Productos!BL:BL,"Revisar"),"")</f>
        <v/>
      </c>
      <c r="BT894" s="179" t="str">
        <f t="array" ref="BT894">IF($F894&lt;&gt;"", XLOOKUP($F894,Productos!$A$2:$A1001,Productos!BM$2:BM1001,"")*$G894,"")</f>
        <v/>
      </c>
      <c r="BU894" s="179" t="str">
        <f t="array" ref="BU894">IF($F894&lt;&gt;"",XLOOKUP($F894,Productos!$A:$A,Productos!BN:BN,"Revisar"),"")</f>
        <v/>
      </c>
      <c r="BV894" s="179" t="str">
        <f t="array" ref="BV894">IF($F894&lt;&gt;"", XLOOKUP($F894,Productos!$A$2:$A1001,Productos!BO$2:BO1001,"")*$G894,"")</f>
        <v/>
      </c>
      <c r="BW894" s="179" t="str">
        <f t="array" ref="BW894">IF($F894&lt;&gt;"",XLOOKUP($F894,Productos!$A:$A,Productos!BP:BP,"Revisar"),"")</f>
        <v/>
      </c>
      <c r="BX894" s="179" t="str">
        <f t="array" ref="BX894">IF($F894&lt;&gt;"", XLOOKUP($F894,Productos!$A$2:$A1001,Productos!BQ$2:BQ1001,"")*$G894,"")</f>
        <v/>
      </c>
      <c r="BY894" s="179" t="str">
        <f t="array" ref="BY894">IF($F894&lt;&gt;"",XLOOKUP($F894,Productos!$A:$A,Productos!BR:BR,"Revisar"),"")</f>
        <v/>
      </c>
      <c r="BZ894" s="179" t="str">
        <f t="array" ref="BZ894">IF($F894&lt;&gt;"", XLOOKUP($F894,Productos!$A$2:$A1001,Productos!BS$2:BS1001,"")*$G894,"")</f>
        <v/>
      </c>
    </row>
    <row r="895">
      <c r="A895" s="188"/>
      <c r="B895" s="189"/>
      <c r="C895" s="190"/>
      <c r="D895" s="190"/>
      <c r="E895" s="191"/>
      <c r="F895" s="186"/>
      <c r="G895" s="192"/>
      <c r="H895" s="9"/>
      <c r="I895" s="179" t="str">
        <f t="array" ref="I895">IF($F895&lt;&gt;"",XLOOKUP($F895,Productos!$A:$A,Productos!B:B,"Revisar"),"")</f>
        <v/>
      </c>
      <c r="J895" s="179" t="str">
        <f t="array" ref="J895">IF($F895&lt;&gt;"", XLOOKUP($F895,Productos!$A$2:$A1001,Productos!C$2:C1001,"")*$G895,"")</f>
        <v/>
      </c>
      <c r="K895" s="179" t="str">
        <f t="array" ref="K895">IF($F895&lt;&gt;"",XLOOKUP($F895,Productos!$A:$A,Productos!D:D,"Revisar"),"")</f>
        <v/>
      </c>
      <c r="L895" s="179" t="str">
        <f t="array" ref="L895">IF($F895&lt;&gt;"", XLOOKUP($F895,Productos!$A$2:$A1001,Productos!E$2:E1001,"")*$G895,"")</f>
        <v/>
      </c>
      <c r="M895" s="179" t="str">
        <f t="array" ref="M895">IF($F895&lt;&gt;"",XLOOKUP($F895,Productos!$A:$A,Productos!F:F,"Revisar"),"")</f>
        <v/>
      </c>
      <c r="N895" s="179" t="str">
        <f t="array" ref="N895">IF($F895&lt;&gt;"", XLOOKUP($F895,Productos!$A$2:$A1001,Productos!G$2:G1001,"")*$G895,"")</f>
        <v/>
      </c>
      <c r="O895" s="179" t="str">
        <f t="array" ref="O895">IF($F895&lt;&gt;"",XLOOKUP($F895,Productos!$A:$A,Productos!H:H,"Revisar"),"")</f>
        <v/>
      </c>
      <c r="P895" s="179" t="str">
        <f t="array" ref="P895">IF($F895&lt;&gt;"", XLOOKUP($F895,Productos!$A$2:$A1001,Productos!I$2:I1001,"")*$G895,"")</f>
        <v/>
      </c>
      <c r="Q895" s="179" t="str">
        <f t="array" ref="Q895">IF($F895&lt;&gt;"",XLOOKUP($F895,Productos!$A:$A,Productos!J:J,"Revisar"),"")</f>
        <v/>
      </c>
      <c r="R895" s="179" t="str">
        <f t="array" ref="R895">IF($F895&lt;&gt;"", XLOOKUP($F895,Productos!$A$2:$A1001,Productos!K$2:K1001,"")*$G895,"")</f>
        <v/>
      </c>
      <c r="S895" s="179" t="str">
        <f t="array" ref="S895">IF($F895&lt;&gt;"",XLOOKUP($F895,Productos!$A:$A,Productos!L:L,"Revisar"),"")</f>
        <v/>
      </c>
      <c r="T895" s="179" t="str">
        <f t="array" ref="T895">IF($F895&lt;&gt;"", XLOOKUP($F895,Productos!$A$2:$A1001,Productos!M$2:M1001,"")*$G895,"")</f>
        <v/>
      </c>
      <c r="U895" s="179" t="str">
        <f t="array" ref="U895">IF($F895&lt;&gt;"",XLOOKUP($F895,Productos!$A:$A,Productos!N:N,"Revisar"),"")</f>
        <v/>
      </c>
      <c r="V895" s="179" t="str">
        <f t="array" ref="V895">IF($F895&lt;&gt;"", XLOOKUP($F895,Productos!$A$2:$A1001,Productos!O$2:O1001,"")*$G895,"")</f>
        <v/>
      </c>
      <c r="W895" s="179" t="str">
        <f t="array" ref="W895">IF($F895&lt;&gt;"",XLOOKUP($F895,Productos!$A:$A,Productos!P:P,"Revisar"),"")</f>
        <v/>
      </c>
      <c r="X895" s="179" t="str">
        <f t="array" ref="X895">IF($F895&lt;&gt;"", XLOOKUP($F895,Productos!$A$2:$A1001,Productos!Q$2:Q1001,"")*$G895,"")</f>
        <v/>
      </c>
      <c r="Y895" s="179" t="str">
        <f t="array" ref="Y895">IF($F895&lt;&gt;"",XLOOKUP($F895,Productos!$A:$A,Productos!R:R,"Revisar"),"")</f>
        <v/>
      </c>
      <c r="Z895" s="179" t="str">
        <f t="array" ref="Z895">IF($F895&lt;&gt;"", XLOOKUP($F895,Productos!$A$2:$A1001,Productos!S$2:S1001,"")*$G895,"")</f>
        <v/>
      </c>
      <c r="AA895" s="179" t="str">
        <f t="array" ref="AA895">IF($F895&lt;&gt;"",XLOOKUP($F895,Productos!$A:$A,Productos!T:T,"Revisar"),"")</f>
        <v/>
      </c>
      <c r="AB895" s="179" t="str">
        <f t="array" ref="AB895">IF($F895&lt;&gt;"", XLOOKUP($F895,Productos!$A$2:$A1001,Productos!U$2:U1001,"")*$G895,"")</f>
        <v/>
      </c>
      <c r="AC895" s="179" t="str">
        <f t="array" ref="AC895">IF($F895&lt;&gt;"",XLOOKUP($F895,Productos!$A:$A,Productos!V:V,"Revisar"),"")</f>
        <v/>
      </c>
      <c r="AD895" s="179" t="str">
        <f t="array" ref="AD895">IF($F895&lt;&gt;"", XLOOKUP($F895,Productos!$A$2:$A1001,Productos!W$2:W1001,"")*$G895,"")</f>
        <v/>
      </c>
      <c r="AE895" s="179" t="str">
        <f t="array" ref="AE895">IF($F895&lt;&gt;"",XLOOKUP($F895,Productos!$A:$A,Productos!X:X,"Revisar"),"")</f>
        <v/>
      </c>
      <c r="AF895" s="179" t="str">
        <f t="array" ref="AF895">IF($F895&lt;&gt;"", XLOOKUP($F895,Productos!$A$2:$A1001,Productos!Y$2:Y1001,"")*$G895,"")</f>
        <v/>
      </c>
      <c r="AG895" s="179" t="str">
        <f t="array" ref="AG895">IF($F895&lt;&gt;"",XLOOKUP($F895,Productos!$A:$A,Productos!Z:Z,"Revisar"),"")</f>
        <v/>
      </c>
      <c r="AH895" s="179" t="str">
        <f t="array" ref="AH895">IF($F895&lt;&gt;"", XLOOKUP($F895,Productos!$A$2:$A1001,Productos!AA$2:AA1001,"")*$G895,"")</f>
        <v/>
      </c>
      <c r="AI895" s="179" t="str">
        <f t="array" ref="AI895">IF($F895&lt;&gt;"",XLOOKUP($F895,Productos!$A:$A,Productos!AB:AB,"Revisar"),"")</f>
        <v/>
      </c>
      <c r="AJ895" s="179" t="str">
        <f t="array" ref="AJ895">IF($F895&lt;&gt;"", XLOOKUP($F895,Productos!$A$2:$A1001,Productos!AC$2:AC1001,"")*$G895,"")</f>
        <v/>
      </c>
      <c r="AK895" s="179" t="str">
        <f t="array" ref="AK895">IF($F895&lt;&gt;"",XLOOKUP($F895,Productos!$A:$A,Productos!AD:AD,"Revisar"),"")</f>
        <v/>
      </c>
      <c r="AL895" s="179" t="str">
        <f t="array" ref="AL895">IF($F895&lt;&gt;"", XLOOKUP($F895,Productos!$A$2:$A1001,Productos!AE$2:AE1001,"")*$G895,"")</f>
        <v/>
      </c>
      <c r="AM895" s="179" t="str">
        <f t="array" ref="AM895">IF($F895&lt;&gt;"",XLOOKUP($F895,Productos!$A:$A,Productos!AF:AF,"Revisar"),"")</f>
        <v/>
      </c>
      <c r="AN895" s="179" t="str">
        <f t="array" ref="AN895">IF($F895&lt;&gt;"", XLOOKUP($F895,Productos!$A$2:$A1001,Productos!AG$2:AG1001,"")*$G895,"")</f>
        <v/>
      </c>
      <c r="AO895" s="179" t="str">
        <f t="array" ref="AO895">IF($F895&lt;&gt;"",XLOOKUP($F895,Productos!$A:$A,Productos!AH:AH,"Revisar"),"")</f>
        <v/>
      </c>
      <c r="AP895" s="179" t="str">
        <f t="array" ref="AP895">IF($F895&lt;&gt;"", XLOOKUP($F895,Productos!$A$2:$A1001,Productos!AI$2:AI1001,"")*$G895,"")</f>
        <v/>
      </c>
      <c r="AQ895" s="179" t="str">
        <f t="array" ref="AQ895">IF($F895&lt;&gt;"",XLOOKUP($F895,Productos!$A:$A,Productos!AJ:AJ,"Revisar"),"")</f>
        <v/>
      </c>
      <c r="AR895" s="179" t="str">
        <f t="array" ref="AR895">IF($F895&lt;&gt;"", XLOOKUP($F895,Productos!$A$2:$A1001,Productos!AK$2:AK1001,"")*$G895,"")</f>
        <v/>
      </c>
      <c r="AS895" s="179" t="str">
        <f t="array" ref="AS895">IF($F895&lt;&gt;"",XLOOKUP($F895,Productos!$A:$A,Productos!AL:AL,"Revisar"),"")</f>
        <v/>
      </c>
      <c r="AT895" s="179" t="str">
        <f t="array" ref="AT895">IF($F895&lt;&gt;"", XLOOKUP($F895,Productos!$A$2:$A1001,Productos!AM$2:AM1001,"")*$G895,"")</f>
        <v/>
      </c>
      <c r="AU895" s="179" t="str">
        <f t="array" ref="AU895">IF($F895&lt;&gt;"",XLOOKUP($F895,Productos!$A:$A,Productos!AN:AN,"Revisar"),"")</f>
        <v/>
      </c>
      <c r="AV895" s="179" t="str">
        <f t="array" ref="AV895">IF($F895&lt;&gt;"", XLOOKUP($F895,Productos!$A$2:$A1001,Productos!AO$2:AO1001,"")*$G895,"")</f>
        <v/>
      </c>
      <c r="AW895" s="179" t="str">
        <f t="array" ref="AW895">IF($F895&lt;&gt;"",XLOOKUP($F895,Productos!$A:$A,Productos!AP:AP,"Revisar"),"")</f>
        <v/>
      </c>
      <c r="AX895" s="179" t="str">
        <f t="array" ref="AX895">IF($F895&lt;&gt;"", XLOOKUP($F895,Productos!$A$2:$A1001,Productos!AQ$2:AQ1001,"")*$G895,"")</f>
        <v/>
      </c>
      <c r="AY895" s="179" t="str">
        <f t="array" ref="AY895">IF($F895&lt;&gt;"",XLOOKUP($F895,Productos!$A:$A,Productos!AR:AR,"Revisar"),"")</f>
        <v/>
      </c>
      <c r="AZ895" s="179" t="str">
        <f t="array" ref="AZ895">IF($F895&lt;&gt;"", XLOOKUP($F895,Productos!$A$2:$A1001,Productos!AS$2:AS1001,"")*$G895,"")</f>
        <v/>
      </c>
      <c r="BA895" s="179" t="str">
        <f t="array" ref="BA895">IF($F895&lt;&gt;"",XLOOKUP($F895,Productos!$A:$A,Productos!AT:AT,"Revisar"),"")</f>
        <v/>
      </c>
      <c r="BB895" s="179" t="str">
        <f t="array" ref="BB895">IF($F895&lt;&gt;"", XLOOKUP($F895,Productos!$A$2:$A1001,Productos!AU$2:AU1001,"")*$G895,"")</f>
        <v/>
      </c>
      <c r="BC895" s="179" t="str">
        <f t="array" ref="BC895">IF($F895&lt;&gt;"",XLOOKUP($F895,Productos!$A:$A,Productos!AV:AV,"Revisar"),"")</f>
        <v/>
      </c>
      <c r="BD895" s="179" t="str">
        <f t="array" ref="BD895">IF($F895&lt;&gt;"", XLOOKUP($F895,Productos!$A$2:$A1001,Productos!AW$2:AW1001,"")*$G895,"")</f>
        <v/>
      </c>
      <c r="BE895" s="179" t="str">
        <f t="array" ref="BE895">IF($F895&lt;&gt;"",XLOOKUP($F895,Productos!$A:$A,Productos!AX:AX,"Revisar"),"")</f>
        <v/>
      </c>
      <c r="BF895" s="179" t="str">
        <f t="array" ref="BF895">IF($F895&lt;&gt;"", XLOOKUP($F895,Productos!$A$2:$A1001,Productos!AY$2:AY1001,"")*$G895,"")</f>
        <v/>
      </c>
      <c r="BG895" s="179" t="str">
        <f t="array" ref="BG895">IF($F895&lt;&gt;"",XLOOKUP($F895,Productos!$A:$A,Productos!AZ:AZ,"Revisar"),"")</f>
        <v/>
      </c>
      <c r="BH895" s="179" t="str">
        <f t="array" ref="BH895">IF($F895&lt;&gt;"", XLOOKUP($F895,Productos!$A$2:$A1001,Productos!BA$2:BA1001,"")*$G895,"")</f>
        <v/>
      </c>
      <c r="BI895" s="179" t="str">
        <f t="array" ref="BI895">IF($F895&lt;&gt;"",XLOOKUP($F895,Productos!$A:$A,Productos!BB:BB,"Revisar"),"")</f>
        <v/>
      </c>
      <c r="BJ895" s="179" t="str">
        <f t="array" ref="BJ895">IF($F895&lt;&gt;"", XLOOKUP($F895,Productos!$A$2:$A1001,Productos!BC$2:BC1001,"")*$G895,"")</f>
        <v/>
      </c>
      <c r="BK895" s="179" t="str">
        <f t="array" ref="BK895">IF($F895&lt;&gt;"",XLOOKUP($F895,Productos!$A:$A,Productos!BD:BD,"Revisar"),"")</f>
        <v/>
      </c>
      <c r="BL895" s="179" t="str">
        <f t="array" ref="BL895">IF($F895&lt;&gt;"", XLOOKUP($F895,Productos!$A$2:$A1001,Productos!BE$2:BE1001,"")*$G895,"")</f>
        <v/>
      </c>
      <c r="BM895" s="179" t="str">
        <f t="array" ref="BM895">IF($F895&lt;&gt;"",XLOOKUP($F895,Productos!$A:$A,Productos!BF:BF,"Revisar"),"")</f>
        <v/>
      </c>
      <c r="BN895" s="179" t="str">
        <f t="array" ref="BN895">IF($F895&lt;&gt;"", XLOOKUP($F895,Productos!$A$2:$A1001,Productos!BG$2:BG1001,"")*$G895,"")</f>
        <v/>
      </c>
      <c r="BO895" s="179" t="str">
        <f t="array" ref="BO895">IF($F895&lt;&gt;"",XLOOKUP($F895,Productos!$A:$A,Productos!BH:BH,"Revisar"),"")</f>
        <v/>
      </c>
      <c r="BP895" s="179" t="str">
        <f t="array" ref="BP895">IF($F895&lt;&gt;"", XLOOKUP($F895,Productos!$A$2:$A1001,Productos!BI$2:BI1001,"")*$G895,"")</f>
        <v/>
      </c>
      <c r="BQ895" s="179" t="str">
        <f t="array" ref="BQ895">IF($F895&lt;&gt;"",XLOOKUP($F895,Productos!$A:$A,Productos!BJ:BJ,"Revisar"),"")</f>
        <v/>
      </c>
      <c r="BR895" s="179" t="str">
        <f t="array" ref="BR895">IF($F895&lt;&gt;"", XLOOKUP($F895,Productos!$A$2:$A1001,Productos!BK$2:BK1001,"")*$G895,"")</f>
        <v/>
      </c>
      <c r="BS895" s="179" t="str">
        <f t="array" ref="BS895">IF($F895&lt;&gt;"",XLOOKUP($F895,Productos!$A:$A,Productos!BL:BL,"Revisar"),"")</f>
        <v/>
      </c>
      <c r="BT895" s="179" t="str">
        <f t="array" ref="BT895">IF($F895&lt;&gt;"", XLOOKUP($F895,Productos!$A$2:$A1001,Productos!BM$2:BM1001,"")*$G895,"")</f>
        <v/>
      </c>
      <c r="BU895" s="179" t="str">
        <f t="array" ref="BU895">IF($F895&lt;&gt;"",XLOOKUP($F895,Productos!$A:$A,Productos!BN:BN,"Revisar"),"")</f>
        <v/>
      </c>
      <c r="BV895" s="179" t="str">
        <f t="array" ref="BV895">IF($F895&lt;&gt;"", XLOOKUP($F895,Productos!$A$2:$A1001,Productos!BO$2:BO1001,"")*$G895,"")</f>
        <v/>
      </c>
      <c r="BW895" s="179" t="str">
        <f t="array" ref="BW895">IF($F895&lt;&gt;"",XLOOKUP($F895,Productos!$A:$A,Productos!BP:BP,"Revisar"),"")</f>
        <v/>
      </c>
      <c r="BX895" s="179" t="str">
        <f t="array" ref="BX895">IF($F895&lt;&gt;"", XLOOKUP($F895,Productos!$A$2:$A1001,Productos!BQ$2:BQ1001,"")*$G895,"")</f>
        <v/>
      </c>
      <c r="BY895" s="179" t="str">
        <f t="array" ref="BY895">IF($F895&lt;&gt;"",XLOOKUP($F895,Productos!$A:$A,Productos!BR:BR,"Revisar"),"")</f>
        <v/>
      </c>
      <c r="BZ895" s="179" t="str">
        <f t="array" ref="BZ895">IF($F895&lt;&gt;"", XLOOKUP($F895,Productos!$A$2:$A1001,Productos!BS$2:BS1001,"")*$G895,"")</f>
        <v/>
      </c>
    </row>
    <row r="896">
      <c r="A896" s="188"/>
      <c r="B896" s="189"/>
      <c r="C896" s="190"/>
      <c r="D896" s="190"/>
      <c r="E896" s="191"/>
      <c r="F896" s="186"/>
      <c r="G896" s="192"/>
      <c r="H896" s="9"/>
      <c r="I896" s="179" t="str">
        <f t="array" ref="I896">IF($F896&lt;&gt;"",XLOOKUP($F896,Productos!$A:$A,Productos!B:B,"Revisar"),"")</f>
        <v/>
      </c>
      <c r="J896" s="179" t="str">
        <f t="array" ref="J896">IF($F896&lt;&gt;"", XLOOKUP($F896,Productos!$A$2:$A1001,Productos!C$2:C1001,"")*$G896,"")</f>
        <v/>
      </c>
      <c r="K896" s="179" t="str">
        <f t="array" ref="K896">IF($F896&lt;&gt;"",XLOOKUP($F896,Productos!$A:$A,Productos!D:D,"Revisar"),"")</f>
        <v/>
      </c>
      <c r="L896" s="179" t="str">
        <f t="array" ref="L896">IF($F896&lt;&gt;"", XLOOKUP($F896,Productos!$A$2:$A1001,Productos!E$2:E1001,"")*$G896,"")</f>
        <v/>
      </c>
      <c r="M896" s="179" t="str">
        <f t="array" ref="M896">IF($F896&lt;&gt;"",XLOOKUP($F896,Productos!$A:$A,Productos!F:F,"Revisar"),"")</f>
        <v/>
      </c>
      <c r="N896" s="179" t="str">
        <f t="array" ref="N896">IF($F896&lt;&gt;"", XLOOKUP($F896,Productos!$A$2:$A1001,Productos!G$2:G1001,"")*$G896,"")</f>
        <v/>
      </c>
      <c r="O896" s="179" t="str">
        <f t="array" ref="O896">IF($F896&lt;&gt;"",XLOOKUP($F896,Productos!$A:$A,Productos!H:H,"Revisar"),"")</f>
        <v/>
      </c>
      <c r="P896" s="179" t="str">
        <f t="array" ref="P896">IF($F896&lt;&gt;"", XLOOKUP($F896,Productos!$A$2:$A1001,Productos!I$2:I1001,"")*$G896,"")</f>
        <v/>
      </c>
      <c r="Q896" s="179" t="str">
        <f t="array" ref="Q896">IF($F896&lt;&gt;"",XLOOKUP($F896,Productos!$A:$A,Productos!J:J,"Revisar"),"")</f>
        <v/>
      </c>
      <c r="R896" s="179" t="str">
        <f t="array" ref="R896">IF($F896&lt;&gt;"", XLOOKUP($F896,Productos!$A$2:$A1001,Productos!K$2:K1001,"")*$G896,"")</f>
        <v/>
      </c>
      <c r="S896" s="179" t="str">
        <f t="array" ref="S896">IF($F896&lt;&gt;"",XLOOKUP($F896,Productos!$A:$A,Productos!L:L,"Revisar"),"")</f>
        <v/>
      </c>
      <c r="T896" s="179" t="str">
        <f t="array" ref="T896">IF($F896&lt;&gt;"", XLOOKUP($F896,Productos!$A$2:$A1001,Productos!M$2:M1001,"")*$G896,"")</f>
        <v/>
      </c>
      <c r="U896" s="179" t="str">
        <f t="array" ref="U896">IF($F896&lt;&gt;"",XLOOKUP($F896,Productos!$A:$A,Productos!N:N,"Revisar"),"")</f>
        <v/>
      </c>
      <c r="V896" s="179" t="str">
        <f t="array" ref="V896">IF($F896&lt;&gt;"", XLOOKUP($F896,Productos!$A$2:$A1001,Productos!O$2:O1001,"")*$G896,"")</f>
        <v/>
      </c>
      <c r="W896" s="179" t="str">
        <f t="array" ref="W896">IF($F896&lt;&gt;"",XLOOKUP($F896,Productos!$A:$A,Productos!P:P,"Revisar"),"")</f>
        <v/>
      </c>
      <c r="X896" s="179" t="str">
        <f t="array" ref="X896">IF($F896&lt;&gt;"", XLOOKUP($F896,Productos!$A$2:$A1001,Productos!Q$2:Q1001,"")*$G896,"")</f>
        <v/>
      </c>
      <c r="Y896" s="179" t="str">
        <f t="array" ref="Y896">IF($F896&lt;&gt;"",XLOOKUP($F896,Productos!$A:$A,Productos!R:R,"Revisar"),"")</f>
        <v/>
      </c>
      <c r="Z896" s="179" t="str">
        <f t="array" ref="Z896">IF($F896&lt;&gt;"", XLOOKUP($F896,Productos!$A$2:$A1001,Productos!S$2:S1001,"")*$G896,"")</f>
        <v/>
      </c>
      <c r="AA896" s="179" t="str">
        <f t="array" ref="AA896">IF($F896&lt;&gt;"",XLOOKUP($F896,Productos!$A:$A,Productos!T:T,"Revisar"),"")</f>
        <v/>
      </c>
      <c r="AB896" s="179" t="str">
        <f t="array" ref="AB896">IF($F896&lt;&gt;"", XLOOKUP($F896,Productos!$A$2:$A1001,Productos!U$2:U1001,"")*$G896,"")</f>
        <v/>
      </c>
      <c r="AC896" s="179" t="str">
        <f t="array" ref="AC896">IF($F896&lt;&gt;"",XLOOKUP($F896,Productos!$A:$A,Productos!V:V,"Revisar"),"")</f>
        <v/>
      </c>
      <c r="AD896" s="179" t="str">
        <f t="array" ref="AD896">IF($F896&lt;&gt;"", XLOOKUP($F896,Productos!$A$2:$A1001,Productos!W$2:W1001,"")*$G896,"")</f>
        <v/>
      </c>
      <c r="AE896" s="179" t="str">
        <f t="array" ref="AE896">IF($F896&lt;&gt;"",XLOOKUP($F896,Productos!$A:$A,Productos!X:X,"Revisar"),"")</f>
        <v/>
      </c>
      <c r="AF896" s="179" t="str">
        <f t="array" ref="AF896">IF($F896&lt;&gt;"", XLOOKUP($F896,Productos!$A$2:$A1001,Productos!Y$2:Y1001,"")*$G896,"")</f>
        <v/>
      </c>
      <c r="AG896" s="179" t="str">
        <f t="array" ref="AG896">IF($F896&lt;&gt;"",XLOOKUP($F896,Productos!$A:$A,Productos!Z:Z,"Revisar"),"")</f>
        <v/>
      </c>
      <c r="AH896" s="179" t="str">
        <f t="array" ref="AH896">IF($F896&lt;&gt;"", XLOOKUP($F896,Productos!$A$2:$A1001,Productos!AA$2:AA1001,"")*$G896,"")</f>
        <v/>
      </c>
      <c r="AI896" s="179" t="str">
        <f t="array" ref="AI896">IF($F896&lt;&gt;"",XLOOKUP($F896,Productos!$A:$A,Productos!AB:AB,"Revisar"),"")</f>
        <v/>
      </c>
      <c r="AJ896" s="179" t="str">
        <f t="array" ref="AJ896">IF($F896&lt;&gt;"", XLOOKUP($F896,Productos!$A$2:$A1001,Productos!AC$2:AC1001,"")*$G896,"")</f>
        <v/>
      </c>
      <c r="AK896" s="179" t="str">
        <f t="array" ref="AK896">IF($F896&lt;&gt;"",XLOOKUP($F896,Productos!$A:$A,Productos!AD:AD,"Revisar"),"")</f>
        <v/>
      </c>
      <c r="AL896" s="179" t="str">
        <f t="array" ref="AL896">IF($F896&lt;&gt;"", XLOOKUP($F896,Productos!$A$2:$A1001,Productos!AE$2:AE1001,"")*$G896,"")</f>
        <v/>
      </c>
      <c r="AM896" s="179" t="str">
        <f t="array" ref="AM896">IF($F896&lt;&gt;"",XLOOKUP($F896,Productos!$A:$A,Productos!AF:AF,"Revisar"),"")</f>
        <v/>
      </c>
      <c r="AN896" s="179" t="str">
        <f t="array" ref="AN896">IF($F896&lt;&gt;"", XLOOKUP($F896,Productos!$A$2:$A1001,Productos!AG$2:AG1001,"")*$G896,"")</f>
        <v/>
      </c>
      <c r="AO896" s="179" t="str">
        <f t="array" ref="AO896">IF($F896&lt;&gt;"",XLOOKUP($F896,Productos!$A:$A,Productos!AH:AH,"Revisar"),"")</f>
        <v/>
      </c>
      <c r="AP896" s="179" t="str">
        <f t="array" ref="AP896">IF($F896&lt;&gt;"", XLOOKUP($F896,Productos!$A$2:$A1001,Productos!AI$2:AI1001,"")*$G896,"")</f>
        <v/>
      </c>
      <c r="AQ896" s="179" t="str">
        <f t="array" ref="AQ896">IF($F896&lt;&gt;"",XLOOKUP($F896,Productos!$A:$A,Productos!AJ:AJ,"Revisar"),"")</f>
        <v/>
      </c>
      <c r="AR896" s="179" t="str">
        <f t="array" ref="AR896">IF($F896&lt;&gt;"", XLOOKUP($F896,Productos!$A$2:$A1001,Productos!AK$2:AK1001,"")*$G896,"")</f>
        <v/>
      </c>
      <c r="AS896" s="179" t="str">
        <f t="array" ref="AS896">IF($F896&lt;&gt;"",XLOOKUP($F896,Productos!$A:$A,Productos!AL:AL,"Revisar"),"")</f>
        <v/>
      </c>
      <c r="AT896" s="179" t="str">
        <f t="array" ref="AT896">IF($F896&lt;&gt;"", XLOOKUP($F896,Productos!$A$2:$A1001,Productos!AM$2:AM1001,"")*$G896,"")</f>
        <v/>
      </c>
      <c r="AU896" s="179" t="str">
        <f t="array" ref="AU896">IF($F896&lt;&gt;"",XLOOKUP($F896,Productos!$A:$A,Productos!AN:AN,"Revisar"),"")</f>
        <v/>
      </c>
      <c r="AV896" s="179" t="str">
        <f t="array" ref="AV896">IF($F896&lt;&gt;"", XLOOKUP($F896,Productos!$A$2:$A1001,Productos!AO$2:AO1001,"")*$G896,"")</f>
        <v/>
      </c>
      <c r="AW896" s="179" t="str">
        <f t="array" ref="AW896">IF($F896&lt;&gt;"",XLOOKUP($F896,Productos!$A:$A,Productos!AP:AP,"Revisar"),"")</f>
        <v/>
      </c>
      <c r="AX896" s="179" t="str">
        <f t="array" ref="AX896">IF($F896&lt;&gt;"", XLOOKUP($F896,Productos!$A$2:$A1001,Productos!AQ$2:AQ1001,"")*$G896,"")</f>
        <v/>
      </c>
      <c r="AY896" s="179" t="str">
        <f t="array" ref="AY896">IF($F896&lt;&gt;"",XLOOKUP($F896,Productos!$A:$A,Productos!AR:AR,"Revisar"),"")</f>
        <v/>
      </c>
      <c r="AZ896" s="179" t="str">
        <f t="array" ref="AZ896">IF($F896&lt;&gt;"", XLOOKUP($F896,Productos!$A$2:$A1001,Productos!AS$2:AS1001,"")*$G896,"")</f>
        <v/>
      </c>
      <c r="BA896" s="179" t="str">
        <f t="array" ref="BA896">IF($F896&lt;&gt;"",XLOOKUP($F896,Productos!$A:$A,Productos!AT:AT,"Revisar"),"")</f>
        <v/>
      </c>
      <c r="BB896" s="179" t="str">
        <f t="array" ref="BB896">IF($F896&lt;&gt;"", XLOOKUP($F896,Productos!$A$2:$A1001,Productos!AU$2:AU1001,"")*$G896,"")</f>
        <v/>
      </c>
      <c r="BC896" s="179" t="str">
        <f t="array" ref="BC896">IF($F896&lt;&gt;"",XLOOKUP($F896,Productos!$A:$A,Productos!AV:AV,"Revisar"),"")</f>
        <v/>
      </c>
      <c r="BD896" s="179" t="str">
        <f t="array" ref="BD896">IF($F896&lt;&gt;"", XLOOKUP($F896,Productos!$A$2:$A1001,Productos!AW$2:AW1001,"")*$G896,"")</f>
        <v/>
      </c>
      <c r="BE896" s="179" t="str">
        <f t="array" ref="BE896">IF($F896&lt;&gt;"",XLOOKUP($F896,Productos!$A:$A,Productos!AX:AX,"Revisar"),"")</f>
        <v/>
      </c>
      <c r="BF896" s="179" t="str">
        <f t="array" ref="BF896">IF($F896&lt;&gt;"", XLOOKUP($F896,Productos!$A$2:$A1001,Productos!AY$2:AY1001,"")*$G896,"")</f>
        <v/>
      </c>
      <c r="BG896" s="179" t="str">
        <f t="array" ref="BG896">IF($F896&lt;&gt;"",XLOOKUP($F896,Productos!$A:$A,Productos!AZ:AZ,"Revisar"),"")</f>
        <v/>
      </c>
      <c r="BH896" s="179" t="str">
        <f t="array" ref="BH896">IF($F896&lt;&gt;"", XLOOKUP($F896,Productos!$A$2:$A1001,Productos!BA$2:BA1001,"")*$G896,"")</f>
        <v/>
      </c>
      <c r="BI896" s="179" t="str">
        <f t="array" ref="BI896">IF($F896&lt;&gt;"",XLOOKUP($F896,Productos!$A:$A,Productos!BB:BB,"Revisar"),"")</f>
        <v/>
      </c>
      <c r="BJ896" s="179" t="str">
        <f t="array" ref="BJ896">IF($F896&lt;&gt;"", XLOOKUP($F896,Productos!$A$2:$A1001,Productos!BC$2:BC1001,"")*$G896,"")</f>
        <v/>
      </c>
      <c r="BK896" s="179" t="str">
        <f t="array" ref="BK896">IF($F896&lt;&gt;"",XLOOKUP($F896,Productos!$A:$A,Productos!BD:BD,"Revisar"),"")</f>
        <v/>
      </c>
      <c r="BL896" s="179" t="str">
        <f t="array" ref="BL896">IF($F896&lt;&gt;"", XLOOKUP($F896,Productos!$A$2:$A1001,Productos!BE$2:BE1001,"")*$G896,"")</f>
        <v/>
      </c>
      <c r="BM896" s="179" t="str">
        <f t="array" ref="BM896">IF($F896&lt;&gt;"",XLOOKUP($F896,Productos!$A:$A,Productos!BF:BF,"Revisar"),"")</f>
        <v/>
      </c>
      <c r="BN896" s="179" t="str">
        <f t="array" ref="BN896">IF($F896&lt;&gt;"", XLOOKUP($F896,Productos!$A$2:$A1001,Productos!BG$2:BG1001,"")*$G896,"")</f>
        <v/>
      </c>
      <c r="BO896" s="179" t="str">
        <f t="array" ref="BO896">IF($F896&lt;&gt;"",XLOOKUP($F896,Productos!$A:$A,Productos!BH:BH,"Revisar"),"")</f>
        <v/>
      </c>
      <c r="BP896" s="179" t="str">
        <f t="array" ref="BP896">IF($F896&lt;&gt;"", XLOOKUP($F896,Productos!$A$2:$A1001,Productos!BI$2:BI1001,"")*$G896,"")</f>
        <v/>
      </c>
      <c r="BQ896" s="179" t="str">
        <f t="array" ref="BQ896">IF($F896&lt;&gt;"",XLOOKUP($F896,Productos!$A:$A,Productos!BJ:BJ,"Revisar"),"")</f>
        <v/>
      </c>
      <c r="BR896" s="179" t="str">
        <f t="array" ref="BR896">IF($F896&lt;&gt;"", XLOOKUP($F896,Productos!$A$2:$A1001,Productos!BK$2:BK1001,"")*$G896,"")</f>
        <v/>
      </c>
      <c r="BS896" s="179" t="str">
        <f t="array" ref="BS896">IF($F896&lt;&gt;"",XLOOKUP($F896,Productos!$A:$A,Productos!BL:BL,"Revisar"),"")</f>
        <v/>
      </c>
      <c r="BT896" s="179" t="str">
        <f t="array" ref="BT896">IF($F896&lt;&gt;"", XLOOKUP($F896,Productos!$A$2:$A1001,Productos!BM$2:BM1001,"")*$G896,"")</f>
        <v/>
      </c>
      <c r="BU896" s="179" t="str">
        <f t="array" ref="BU896">IF($F896&lt;&gt;"",XLOOKUP($F896,Productos!$A:$A,Productos!BN:BN,"Revisar"),"")</f>
        <v/>
      </c>
      <c r="BV896" s="179" t="str">
        <f t="array" ref="BV896">IF($F896&lt;&gt;"", XLOOKUP($F896,Productos!$A$2:$A1001,Productos!BO$2:BO1001,"")*$G896,"")</f>
        <v/>
      </c>
      <c r="BW896" s="179" t="str">
        <f t="array" ref="BW896">IF($F896&lt;&gt;"",XLOOKUP($F896,Productos!$A:$A,Productos!BP:BP,"Revisar"),"")</f>
        <v/>
      </c>
      <c r="BX896" s="179" t="str">
        <f t="array" ref="BX896">IF($F896&lt;&gt;"", XLOOKUP($F896,Productos!$A$2:$A1001,Productos!BQ$2:BQ1001,"")*$G896,"")</f>
        <v/>
      </c>
      <c r="BY896" s="179" t="str">
        <f t="array" ref="BY896">IF($F896&lt;&gt;"",XLOOKUP($F896,Productos!$A:$A,Productos!BR:BR,"Revisar"),"")</f>
        <v/>
      </c>
      <c r="BZ896" s="179" t="str">
        <f t="array" ref="BZ896">IF($F896&lt;&gt;"", XLOOKUP($F896,Productos!$A$2:$A1001,Productos!BS$2:BS1001,"")*$G896,"")</f>
        <v/>
      </c>
    </row>
    <row r="897">
      <c r="A897" s="188"/>
      <c r="B897" s="189"/>
      <c r="C897" s="190"/>
      <c r="D897" s="190"/>
      <c r="E897" s="191"/>
      <c r="F897" s="186"/>
      <c r="G897" s="192"/>
      <c r="H897" s="9"/>
      <c r="I897" s="179" t="str">
        <f t="array" ref="I897">IF($F897&lt;&gt;"",XLOOKUP($F897,Productos!$A:$A,Productos!B:B,"Revisar"),"")</f>
        <v/>
      </c>
      <c r="J897" s="179" t="str">
        <f t="array" ref="J897">IF($F897&lt;&gt;"", XLOOKUP($F897,Productos!$A$2:$A1001,Productos!C$2:C1001,"")*$G897,"")</f>
        <v/>
      </c>
      <c r="K897" s="179" t="str">
        <f t="array" ref="K897">IF($F897&lt;&gt;"",XLOOKUP($F897,Productos!$A:$A,Productos!D:D,"Revisar"),"")</f>
        <v/>
      </c>
      <c r="L897" s="179" t="str">
        <f t="array" ref="L897">IF($F897&lt;&gt;"", XLOOKUP($F897,Productos!$A$2:$A1001,Productos!E$2:E1001,"")*$G897,"")</f>
        <v/>
      </c>
      <c r="M897" s="179" t="str">
        <f t="array" ref="M897">IF($F897&lt;&gt;"",XLOOKUP($F897,Productos!$A:$A,Productos!F:F,"Revisar"),"")</f>
        <v/>
      </c>
      <c r="N897" s="179" t="str">
        <f t="array" ref="N897">IF($F897&lt;&gt;"", XLOOKUP($F897,Productos!$A$2:$A1001,Productos!G$2:G1001,"")*$G897,"")</f>
        <v/>
      </c>
      <c r="O897" s="179" t="str">
        <f t="array" ref="O897">IF($F897&lt;&gt;"",XLOOKUP($F897,Productos!$A:$A,Productos!H:H,"Revisar"),"")</f>
        <v/>
      </c>
      <c r="P897" s="179" t="str">
        <f t="array" ref="P897">IF($F897&lt;&gt;"", XLOOKUP($F897,Productos!$A$2:$A1001,Productos!I$2:I1001,"")*$G897,"")</f>
        <v/>
      </c>
      <c r="Q897" s="179" t="str">
        <f t="array" ref="Q897">IF($F897&lt;&gt;"",XLOOKUP($F897,Productos!$A:$A,Productos!J:J,"Revisar"),"")</f>
        <v/>
      </c>
      <c r="R897" s="179" t="str">
        <f t="array" ref="R897">IF($F897&lt;&gt;"", XLOOKUP($F897,Productos!$A$2:$A1001,Productos!K$2:K1001,"")*$G897,"")</f>
        <v/>
      </c>
      <c r="S897" s="179" t="str">
        <f t="array" ref="S897">IF($F897&lt;&gt;"",XLOOKUP($F897,Productos!$A:$A,Productos!L:L,"Revisar"),"")</f>
        <v/>
      </c>
      <c r="T897" s="179" t="str">
        <f t="array" ref="T897">IF($F897&lt;&gt;"", XLOOKUP($F897,Productos!$A$2:$A1001,Productos!M$2:M1001,"")*$G897,"")</f>
        <v/>
      </c>
      <c r="U897" s="179" t="str">
        <f t="array" ref="U897">IF($F897&lt;&gt;"",XLOOKUP($F897,Productos!$A:$A,Productos!N:N,"Revisar"),"")</f>
        <v/>
      </c>
      <c r="V897" s="179" t="str">
        <f t="array" ref="V897">IF($F897&lt;&gt;"", XLOOKUP($F897,Productos!$A$2:$A1001,Productos!O$2:O1001,"")*$G897,"")</f>
        <v/>
      </c>
      <c r="W897" s="179" t="str">
        <f t="array" ref="W897">IF($F897&lt;&gt;"",XLOOKUP($F897,Productos!$A:$A,Productos!P:P,"Revisar"),"")</f>
        <v/>
      </c>
      <c r="X897" s="179" t="str">
        <f t="array" ref="X897">IF($F897&lt;&gt;"", XLOOKUP($F897,Productos!$A$2:$A1001,Productos!Q$2:Q1001,"")*$G897,"")</f>
        <v/>
      </c>
      <c r="Y897" s="179" t="str">
        <f t="array" ref="Y897">IF($F897&lt;&gt;"",XLOOKUP($F897,Productos!$A:$A,Productos!R:R,"Revisar"),"")</f>
        <v/>
      </c>
      <c r="Z897" s="179" t="str">
        <f t="array" ref="Z897">IF($F897&lt;&gt;"", XLOOKUP($F897,Productos!$A$2:$A1001,Productos!S$2:S1001,"")*$G897,"")</f>
        <v/>
      </c>
      <c r="AA897" s="179" t="str">
        <f t="array" ref="AA897">IF($F897&lt;&gt;"",XLOOKUP($F897,Productos!$A:$A,Productos!T:T,"Revisar"),"")</f>
        <v/>
      </c>
      <c r="AB897" s="179" t="str">
        <f t="array" ref="AB897">IF($F897&lt;&gt;"", XLOOKUP($F897,Productos!$A$2:$A1001,Productos!U$2:U1001,"")*$G897,"")</f>
        <v/>
      </c>
      <c r="AC897" s="179" t="str">
        <f t="array" ref="AC897">IF($F897&lt;&gt;"",XLOOKUP($F897,Productos!$A:$A,Productos!V:V,"Revisar"),"")</f>
        <v/>
      </c>
      <c r="AD897" s="179" t="str">
        <f t="array" ref="AD897">IF($F897&lt;&gt;"", XLOOKUP($F897,Productos!$A$2:$A1001,Productos!W$2:W1001,"")*$G897,"")</f>
        <v/>
      </c>
      <c r="AE897" s="179" t="str">
        <f t="array" ref="AE897">IF($F897&lt;&gt;"",XLOOKUP($F897,Productos!$A:$A,Productos!X:X,"Revisar"),"")</f>
        <v/>
      </c>
      <c r="AF897" s="179" t="str">
        <f t="array" ref="AF897">IF($F897&lt;&gt;"", XLOOKUP($F897,Productos!$A$2:$A1001,Productos!Y$2:Y1001,"")*$G897,"")</f>
        <v/>
      </c>
      <c r="AG897" s="179" t="str">
        <f t="array" ref="AG897">IF($F897&lt;&gt;"",XLOOKUP($F897,Productos!$A:$A,Productos!Z:Z,"Revisar"),"")</f>
        <v/>
      </c>
      <c r="AH897" s="179" t="str">
        <f t="array" ref="AH897">IF($F897&lt;&gt;"", XLOOKUP($F897,Productos!$A$2:$A1001,Productos!AA$2:AA1001,"")*$G897,"")</f>
        <v/>
      </c>
      <c r="AI897" s="179" t="str">
        <f t="array" ref="AI897">IF($F897&lt;&gt;"",XLOOKUP($F897,Productos!$A:$A,Productos!AB:AB,"Revisar"),"")</f>
        <v/>
      </c>
      <c r="AJ897" s="179" t="str">
        <f t="array" ref="AJ897">IF($F897&lt;&gt;"", XLOOKUP($F897,Productos!$A$2:$A1001,Productos!AC$2:AC1001,"")*$G897,"")</f>
        <v/>
      </c>
      <c r="AK897" s="179" t="str">
        <f t="array" ref="AK897">IF($F897&lt;&gt;"",XLOOKUP($F897,Productos!$A:$A,Productos!AD:AD,"Revisar"),"")</f>
        <v/>
      </c>
      <c r="AL897" s="179" t="str">
        <f t="array" ref="AL897">IF($F897&lt;&gt;"", XLOOKUP($F897,Productos!$A$2:$A1001,Productos!AE$2:AE1001,"")*$G897,"")</f>
        <v/>
      </c>
      <c r="AM897" s="179" t="str">
        <f t="array" ref="AM897">IF($F897&lt;&gt;"",XLOOKUP($F897,Productos!$A:$A,Productos!AF:AF,"Revisar"),"")</f>
        <v/>
      </c>
      <c r="AN897" s="179" t="str">
        <f t="array" ref="AN897">IF($F897&lt;&gt;"", XLOOKUP($F897,Productos!$A$2:$A1001,Productos!AG$2:AG1001,"")*$G897,"")</f>
        <v/>
      </c>
      <c r="AO897" s="179" t="str">
        <f t="array" ref="AO897">IF($F897&lt;&gt;"",XLOOKUP($F897,Productos!$A:$A,Productos!AH:AH,"Revisar"),"")</f>
        <v/>
      </c>
      <c r="AP897" s="179" t="str">
        <f t="array" ref="AP897">IF($F897&lt;&gt;"", XLOOKUP($F897,Productos!$A$2:$A1001,Productos!AI$2:AI1001,"")*$G897,"")</f>
        <v/>
      </c>
      <c r="AQ897" s="179" t="str">
        <f t="array" ref="AQ897">IF($F897&lt;&gt;"",XLOOKUP($F897,Productos!$A:$A,Productos!AJ:AJ,"Revisar"),"")</f>
        <v/>
      </c>
      <c r="AR897" s="179" t="str">
        <f t="array" ref="AR897">IF($F897&lt;&gt;"", XLOOKUP($F897,Productos!$A$2:$A1001,Productos!AK$2:AK1001,"")*$G897,"")</f>
        <v/>
      </c>
      <c r="AS897" s="179" t="str">
        <f t="array" ref="AS897">IF($F897&lt;&gt;"",XLOOKUP($F897,Productos!$A:$A,Productos!AL:AL,"Revisar"),"")</f>
        <v/>
      </c>
      <c r="AT897" s="179" t="str">
        <f t="array" ref="AT897">IF($F897&lt;&gt;"", XLOOKUP($F897,Productos!$A$2:$A1001,Productos!AM$2:AM1001,"")*$G897,"")</f>
        <v/>
      </c>
      <c r="AU897" s="179" t="str">
        <f t="array" ref="AU897">IF($F897&lt;&gt;"",XLOOKUP($F897,Productos!$A:$A,Productos!AN:AN,"Revisar"),"")</f>
        <v/>
      </c>
      <c r="AV897" s="179" t="str">
        <f t="array" ref="AV897">IF($F897&lt;&gt;"", XLOOKUP($F897,Productos!$A$2:$A1001,Productos!AO$2:AO1001,"")*$G897,"")</f>
        <v/>
      </c>
      <c r="AW897" s="179" t="str">
        <f t="array" ref="AW897">IF($F897&lt;&gt;"",XLOOKUP($F897,Productos!$A:$A,Productos!AP:AP,"Revisar"),"")</f>
        <v/>
      </c>
      <c r="AX897" s="179" t="str">
        <f t="array" ref="AX897">IF($F897&lt;&gt;"", XLOOKUP($F897,Productos!$A$2:$A1001,Productos!AQ$2:AQ1001,"")*$G897,"")</f>
        <v/>
      </c>
      <c r="AY897" s="179" t="str">
        <f t="array" ref="AY897">IF($F897&lt;&gt;"",XLOOKUP($F897,Productos!$A:$A,Productos!AR:AR,"Revisar"),"")</f>
        <v/>
      </c>
      <c r="AZ897" s="179" t="str">
        <f t="array" ref="AZ897">IF($F897&lt;&gt;"", XLOOKUP($F897,Productos!$A$2:$A1001,Productos!AS$2:AS1001,"")*$G897,"")</f>
        <v/>
      </c>
      <c r="BA897" s="179" t="str">
        <f t="array" ref="BA897">IF($F897&lt;&gt;"",XLOOKUP($F897,Productos!$A:$A,Productos!AT:AT,"Revisar"),"")</f>
        <v/>
      </c>
      <c r="BB897" s="179" t="str">
        <f t="array" ref="BB897">IF($F897&lt;&gt;"", XLOOKUP($F897,Productos!$A$2:$A1001,Productos!AU$2:AU1001,"")*$G897,"")</f>
        <v/>
      </c>
      <c r="BC897" s="179" t="str">
        <f t="array" ref="BC897">IF($F897&lt;&gt;"",XLOOKUP($F897,Productos!$A:$A,Productos!AV:AV,"Revisar"),"")</f>
        <v/>
      </c>
      <c r="BD897" s="179" t="str">
        <f t="array" ref="BD897">IF($F897&lt;&gt;"", XLOOKUP($F897,Productos!$A$2:$A1001,Productos!AW$2:AW1001,"")*$G897,"")</f>
        <v/>
      </c>
      <c r="BE897" s="179" t="str">
        <f t="array" ref="BE897">IF($F897&lt;&gt;"",XLOOKUP($F897,Productos!$A:$A,Productos!AX:AX,"Revisar"),"")</f>
        <v/>
      </c>
      <c r="BF897" s="179" t="str">
        <f t="array" ref="BF897">IF($F897&lt;&gt;"", XLOOKUP($F897,Productos!$A$2:$A1001,Productos!AY$2:AY1001,"")*$G897,"")</f>
        <v/>
      </c>
      <c r="BG897" s="179" t="str">
        <f t="array" ref="BG897">IF($F897&lt;&gt;"",XLOOKUP($F897,Productos!$A:$A,Productos!AZ:AZ,"Revisar"),"")</f>
        <v/>
      </c>
      <c r="BH897" s="179" t="str">
        <f t="array" ref="BH897">IF($F897&lt;&gt;"", XLOOKUP($F897,Productos!$A$2:$A1001,Productos!BA$2:BA1001,"")*$G897,"")</f>
        <v/>
      </c>
      <c r="BI897" s="179" t="str">
        <f t="array" ref="BI897">IF($F897&lt;&gt;"",XLOOKUP($F897,Productos!$A:$A,Productos!BB:BB,"Revisar"),"")</f>
        <v/>
      </c>
      <c r="BJ897" s="179" t="str">
        <f t="array" ref="BJ897">IF($F897&lt;&gt;"", XLOOKUP($F897,Productos!$A$2:$A1001,Productos!BC$2:BC1001,"")*$G897,"")</f>
        <v/>
      </c>
      <c r="BK897" s="179" t="str">
        <f t="array" ref="BK897">IF($F897&lt;&gt;"",XLOOKUP($F897,Productos!$A:$A,Productos!BD:BD,"Revisar"),"")</f>
        <v/>
      </c>
      <c r="BL897" s="179" t="str">
        <f t="array" ref="BL897">IF($F897&lt;&gt;"", XLOOKUP($F897,Productos!$A$2:$A1001,Productos!BE$2:BE1001,"")*$G897,"")</f>
        <v/>
      </c>
      <c r="BM897" s="179" t="str">
        <f t="array" ref="BM897">IF($F897&lt;&gt;"",XLOOKUP($F897,Productos!$A:$A,Productos!BF:BF,"Revisar"),"")</f>
        <v/>
      </c>
      <c r="BN897" s="179" t="str">
        <f t="array" ref="BN897">IF($F897&lt;&gt;"", XLOOKUP($F897,Productos!$A$2:$A1001,Productos!BG$2:BG1001,"")*$G897,"")</f>
        <v/>
      </c>
      <c r="BO897" s="179" t="str">
        <f t="array" ref="BO897">IF($F897&lt;&gt;"",XLOOKUP($F897,Productos!$A:$A,Productos!BH:BH,"Revisar"),"")</f>
        <v/>
      </c>
      <c r="BP897" s="179" t="str">
        <f t="array" ref="BP897">IF($F897&lt;&gt;"", XLOOKUP($F897,Productos!$A$2:$A1001,Productos!BI$2:BI1001,"")*$G897,"")</f>
        <v/>
      </c>
      <c r="BQ897" s="179" t="str">
        <f t="array" ref="BQ897">IF($F897&lt;&gt;"",XLOOKUP($F897,Productos!$A:$A,Productos!BJ:BJ,"Revisar"),"")</f>
        <v/>
      </c>
      <c r="BR897" s="179" t="str">
        <f t="array" ref="BR897">IF($F897&lt;&gt;"", XLOOKUP($F897,Productos!$A$2:$A1001,Productos!BK$2:BK1001,"")*$G897,"")</f>
        <v/>
      </c>
      <c r="BS897" s="179" t="str">
        <f t="array" ref="BS897">IF($F897&lt;&gt;"",XLOOKUP($F897,Productos!$A:$A,Productos!BL:BL,"Revisar"),"")</f>
        <v/>
      </c>
      <c r="BT897" s="179" t="str">
        <f t="array" ref="BT897">IF($F897&lt;&gt;"", XLOOKUP($F897,Productos!$A$2:$A1001,Productos!BM$2:BM1001,"")*$G897,"")</f>
        <v/>
      </c>
      <c r="BU897" s="179" t="str">
        <f t="array" ref="BU897">IF($F897&lt;&gt;"",XLOOKUP($F897,Productos!$A:$A,Productos!BN:BN,"Revisar"),"")</f>
        <v/>
      </c>
      <c r="BV897" s="179" t="str">
        <f t="array" ref="BV897">IF($F897&lt;&gt;"", XLOOKUP($F897,Productos!$A$2:$A1001,Productos!BO$2:BO1001,"")*$G897,"")</f>
        <v/>
      </c>
      <c r="BW897" s="179" t="str">
        <f t="array" ref="BW897">IF($F897&lt;&gt;"",XLOOKUP($F897,Productos!$A:$A,Productos!BP:BP,"Revisar"),"")</f>
        <v/>
      </c>
      <c r="BX897" s="179" t="str">
        <f t="array" ref="BX897">IF($F897&lt;&gt;"", XLOOKUP($F897,Productos!$A$2:$A1001,Productos!BQ$2:BQ1001,"")*$G897,"")</f>
        <v/>
      </c>
      <c r="BY897" s="179" t="str">
        <f t="array" ref="BY897">IF($F897&lt;&gt;"",XLOOKUP($F897,Productos!$A:$A,Productos!BR:BR,"Revisar"),"")</f>
        <v/>
      </c>
      <c r="BZ897" s="179" t="str">
        <f t="array" ref="BZ897">IF($F897&lt;&gt;"", XLOOKUP($F897,Productos!$A$2:$A1001,Productos!BS$2:BS1001,"")*$G897,"")</f>
        <v/>
      </c>
    </row>
    <row r="898">
      <c r="A898" s="188"/>
      <c r="B898" s="189"/>
      <c r="C898" s="190"/>
      <c r="D898" s="190"/>
      <c r="E898" s="191"/>
      <c r="F898" s="186"/>
      <c r="G898" s="192"/>
      <c r="H898" s="9"/>
      <c r="I898" s="179" t="str">
        <f t="array" ref="I898">IF($F898&lt;&gt;"",XLOOKUP($F898,Productos!$A:$A,Productos!B:B,"Revisar"),"")</f>
        <v/>
      </c>
      <c r="J898" s="179" t="str">
        <f t="array" ref="J898">IF($F898&lt;&gt;"", XLOOKUP($F898,Productos!$A$2:$A1001,Productos!C$2:C1001,"")*$G898,"")</f>
        <v/>
      </c>
      <c r="K898" s="179" t="str">
        <f t="array" ref="K898">IF($F898&lt;&gt;"",XLOOKUP($F898,Productos!$A:$A,Productos!D:D,"Revisar"),"")</f>
        <v/>
      </c>
      <c r="L898" s="179" t="str">
        <f t="array" ref="L898">IF($F898&lt;&gt;"", XLOOKUP($F898,Productos!$A$2:$A1001,Productos!E$2:E1001,"")*$G898,"")</f>
        <v/>
      </c>
      <c r="M898" s="179" t="str">
        <f t="array" ref="M898">IF($F898&lt;&gt;"",XLOOKUP($F898,Productos!$A:$A,Productos!F:F,"Revisar"),"")</f>
        <v/>
      </c>
      <c r="N898" s="179" t="str">
        <f t="array" ref="N898">IF($F898&lt;&gt;"", XLOOKUP($F898,Productos!$A$2:$A1001,Productos!G$2:G1001,"")*$G898,"")</f>
        <v/>
      </c>
      <c r="O898" s="179" t="str">
        <f t="array" ref="O898">IF($F898&lt;&gt;"",XLOOKUP($F898,Productos!$A:$A,Productos!H:H,"Revisar"),"")</f>
        <v/>
      </c>
      <c r="P898" s="179" t="str">
        <f t="array" ref="P898">IF($F898&lt;&gt;"", XLOOKUP($F898,Productos!$A$2:$A1001,Productos!I$2:I1001,"")*$G898,"")</f>
        <v/>
      </c>
      <c r="Q898" s="179" t="str">
        <f t="array" ref="Q898">IF($F898&lt;&gt;"",XLOOKUP($F898,Productos!$A:$A,Productos!J:J,"Revisar"),"")</f>
        <v/>
      </c>
      <c r="R898" s="179" t="str">
        <f t="array" ref="R898">IF($F898&lt;&gt;"", XLOOKUP($F898,Productos!$A$2:$A1001,Productos!K$2:K1001,"")*$G898,"")</f>
        <v/>
      </c>
      <c r="S898" s="179" t="str">
        <f t="array" ref="S898">IF($F898&lt;&gt;"",XLOOKUP($F898,Productos!$A:$A,Productos!L:L,"Revisar"),"")</f>
        <v/>
      </c>
      <c r="T898" s="179" t="str">
        <f t="array" ref="T898">IF($F898&lt;&gt;"", XLOOKUP($F898,Productos!$A$2:$A1001,Productos!M$2:M1001,"")*$G898,"")</f>
        <v/>
      </c>
      <c r="U898" s="179" t="str">
        <f t="array" ref="U898">IF($F898&lt;&gt;"",XLOOKUP($F898,Productos!$A:$A,Productos!N:N,"Revisar"),"")</f>
        <v/>
      </c>
      <c r="V898" s="179" t="str">
        <f t="array" ref="V898">IF($F898&lt;&gt;"", XLOOKUP($F898,Productos!$A$2:$A1001,Productos!O$2:O1001,"")*$G898,"")</f>
        <v/>
      </c>
      <c r="W898" s="179" t="str">
        <f t="array" ref="W898">IF($F898&lt;&gt;"",XLOOKUP($F898,Productos!$A:$A,Productos!P:P,"Revisar"),"")</f>
        <v/>
      </c>
      <c r="X898" s="179" t="str">
        <f t="array" ref="X898">IF($F898&lt;&gt;"", XLOOKUP($F898,Productos!$A$2:$A1001,Productos!Q$2:Q1001,"")*$G898,"")</f>
        <v/>
      </c>
      <c r="Y898" s="179" t="str">
        <f t="array" ref="Y898">IF($F898&lt;&gt;"",XLOOKUP($F898,Productos!$A:$A,Productos!R:R,"Revisar"),"")</f>
        <v/>
      </c>
      <c r="Z898" s="179" t="str">
        <f t="array" ref="Z898">IF($F898&lt;&gt;"", XLOOKUP($F898,Productos!$A$2:$A1001,Productos!S$2:S1001,"")*$G898,"")</f>
        <v/>
      </c>
      <c r="AA898" s="179" t="str">
        <f t="array" ref="AA898">IF($F898&lt;&gt;"",XLOOKUP($F898,Productos!$A:$A,Productos!T:T,"Revisar"),"")</f>
        <v/>
      </c>
      <c r="AB898" s="179" t="str">
        <f t="array" ref="AB898">IF($F898&lt;&gt;"", XLOOKUP($F898,Productos!$A$2:$A1001,Productos!U$2:U1001,"")*$G898,"")</f>
        <v/>
      </c>
      <c r="AC898" s="179" t="str">
        <f t="array" ref="AC898">IF($F898&lt;&gt;"",XLOOKUP($F898,Productos!$A:$A,Productos!V:V,"Revisar"),"")</f>
        <v/>
      </c>
      <c r="AD898" s="179" t="str">
        <f t="array" ref="AD898">IF($F898&lt;&gt;"", XLOOKUP($F898,Productos!$A$2:$A1001,Productos!W$2:W1001,"")*$G898,"")</f>
        <v/>
      </c>
      <c r="AE898" s="179" t="str">
        <f t="array" ref="AE898">IF($F898&lt;&gt;"",XLOOKUP($F898,Productos!$A:$A,Productos!X:X,"Revisar"),"")</f>
        <v/>
      </c>
      <c r="AF898" s="179" t="str">
        <f t="array" ref="AF898">IF($F898&lt;&gt;"", XLOOKUP($F898,Productos!$A$2:$A1001,Productos!Y$2:Y1001,"")*$G898,"")</f>
        <v/>
      </c>
      <c r="AG898" s="179" t="str">
        <f t="array" ref="AG898">IF($F898&lt;&gt;"",XLOOKUP($F898,Productos!$A:$A,Productos!Z:Z,"Revisar"),"")</f>
        <v/>
      </c>
      <c r="AH898" s="179" t="str">
        <f t="array" ref="AH898">IF($F898&lt;&gt;"", XLOOKUP($F898,Productos!$A$2:$A1001,Productos!AA$2:AA1001,"")*$G898,"")</f>
        <v/>
      </c>
      <c r="AI898" s="179" t="str">
        <f t="array" ref="AI898">IF($F898&lt;&gt;"",XLOOKUP($F898,Productos!$A:$A,Productos!AB:AB,"Revisar"),"")</f>
        <v/>
      </c>
      <c r="AJ898" s="179" t="str">
        <f t="array" ref="AJ898">IF($F898&lt;&gt;"", XLOOKUP($F898,Productos!$A$2:$A1001,Productos!AC$2:AC1001,"")*$G898,"")</f>
        <v/>
      </c>
      <c r="AK898" s="179" t="str">
        <f t="array" ref="AK898">IF($F898&lt;&gt;"",XLOOKUP($F898,Productos!$A:$A,Productos!AD:AD,"Revisar"),"")</f>
        <v/>
      </c>
      <c r="AL898" s="179" t="str">
        <f t="array" ref="AL898">IF($F898&lt;&gt;"", XLOOKUP($F898,Productos!$A$2:$A1001,Productos!AE$2:AE1001,"")*$G898,"")</f>
        <v/>
      </c>
      <c r="AM898" s="179" t="str">
        <f t="array" ref="AM898">IF($F898&lt;&gt;"",XLOOKUP($F898,Productos!$A:$A,Productos!AF:AF,"Revisar"),"")</f>
        <v/>
      </c>
      <c r="AN898" s="179" t="str">
        <f t="array" ref="AN898">IF($F898&lt;&gt;"", XLOOKUP($F898,Productos!$A$2:$A1001,Productos!AG$2:AG1001,"")*$G898,"")</f>
        <v/>
      </c>
      <c r="AO898" s="179" t="str">
        <f t="array" ref="AO898">IF($F898&lt;&gt;"",XLOOKUP($F898,Productos!$A:$A,Productos!AH:AH,"Revisar"),"")</f>
        <v/>
      </c>
      <c r="AP898" s="179" t="str">
        <f t="array" ref="AP898">IF($F898&lt;&gt;"", XLOOKUP($F898,Productos!$A$2:$A1001,Productos!AI$2:AI1001,"")*$G898,"")</f>
        <v/>
      </c>
      <c r="AQ898" s="179" t="str">
        <f t="array" ref="AQ898">IF($F898&lt;&gt;"",XLOOKUP($F898,Productos!$A:$A,Productos!AJ:AJ,"Revisar"),"")</f>
        <v/>
      </c>
      <c r="AR898" s="179" t="str">
        <f t="array" ref="AR898">IF($F898&lt;&gt;"", XLOOKUP($F898,Productos!$A$2:$A1001,Productos!AK$2:AK1001,"")*$G898,"")</f>
        <v/>
      </c>
      <c r="AS898" s="179" t="str">
        <f t="array" ref="AS898">IF($F898&lt;&gt;"",XLOOKUP($F898,Productos!$A:$A,Productos!AL:AL,"Revisar"),"")</f>
        <v/>
      </c>
      <c r="AT898" s="179" t="str">
        <f t="array" ref="AT898">IF($F898&lt;&gt;"", XLOOKUP($F898,Productos!$A$2:$A1001,Productos!AM$2:AM1001,"")*$G898,"")</f>
        <v/>
      </c>
      <c r="AU898" s="179" t="str">
        <f t="array" ref="AU898">IF($F898&lt;&gt;"",XLOOKUP($F898,Productos!$A:$A,Productos!AN:AN,"Revisar"),"")</f>
        <v/>
      </c>
      <c r="AV898" s="179" t="str">
        <f t="array" ref="AV898">IF($F898&lt;&gt;"", XLOOKUP($F898,Productos!$A$2:$A1001,Productos!AO$2:AO1001,"")*$G898,"")</f>
        <v/>
      </c>
      <c r="AW898" s="179" t="str">
        <f t="array" ref="AW898">IF($F898&lt;&gt;"",XLOOKUP($F898,Productos!$A:$A,Productos!AP:AP,"Revisar"),"")</f>
        <v/>
      </c>
      <c r="AX898" s="179" t="str">
        <f t="array" ref="AX898">IF($F898&lt;&gt;"", XLOOKUP($F898,Productos!$A$2:$A1001,Productos!AQ$2:AQ1001,"")*$G898,"")</f>
        <v/>
      </c>
      <c r="AY898" s="179" t="str">
        <f t="array" ref="AY898">IF($F898&lt;&gt;"",XLOOKUP($F898,Productos!$A:$A,Productos!AR:AR,"Revisar"),"")</f>
        <v/>
      </c>
      <c r="AZ898" s="179" t="str">
        <f t="array" ref="AZ898">IF($F898&lt;&gt;"", XLOOKUP($F898,Productos!$A$2:$A1001,Productos!AS$2:AS1001,"")*$G898,"")</f>
        <v/>
      </c>
      <c r="BA898" s="179" t="str">
        <f t="array" ref="BA898">IF($F898&lt;&gt;"",XLOOKUP($F898,Productos!$A:$A,Productos!AT:AT,"Revisar"),"")</f>
        <v/>
      </c>
      <c r="BB898" s="179" t="str">
        <f t="array" ref="BB898">IF($F898&lt;&gt;"", XLOOKUP($F898,Productos!$A$2:$A1001,Productos!AU$2:AU1001,"")*$G898,"")</f>
        <v/>
      </c>
      <c r="BC898" s="179" t="str">
        <f t="array" ref="BC898">IF($F898&lt;&gt;"",XLOOKUP($F898,Productos!$A:$A,Productos!AV:AV,"Revisar"),"")</f>
        <v/>
      </c>
      <c r="BD898" s="179" t="str">
        <f t="array" ref="BD898">IF($F898&lt;&gt;"", XLOOKUP($F898,Productos!$A$2:$A1001,Productos!AW$2:AW1001,"")*$G898,"")</f>
        <v/>
      </c>
      <c r="BE898" s="179" t="str">
        <f t="array" ref="BE898">IF($F898&lt;&gt;"",XLOOKUP($F898,Productos!$A:$A,Productos!AX:AX,"Revisar"),"")</f>
        <v/>
      </c>
      <c r="BF898" s="179" t="str">
        <f t="array" ref="BF898">IF($F898&lt;&gt;"", XLOOKUP($F898,Productos!$A$2:$A1001,Productos!AY$2:AY1001,"")*$G898,"")</f>
        <v/>
      </c>
      <c r="BG898" s="179" t="str">
        <f t="array" ref="BG898">IF($F898&lt;&gt;"",XLOOKUP($F898,Productos!$A:$A,Productos!AZ:AZ,"Revisar"),"")</f>
        <v/>
      </c>
      <c r="BH898" s="179" t="str">
        <f t="array" ref="BH898">IF($F898&lt;&gt;"", XLOOKUP($F898,Productos!$A$2:$A1001,Productos!BA$2:BA1001,"")*$G898,"")</f>
        <v/>
      </c>
      <c r="BI898" s="179" t="str">
        <f t="array" ref="BI898">IF($F898&lt;&gt;"",XLOOKUP($F898,Productos!$A:$A,Productos!BB:BB,"Revisar"),"")</f>
        <v/>
      </c>
      <c r="BJ898" s="179" t="str">
        <f t="array" ref="BJ898">IF($F898&lt;&gt;"", XLOOKUP($F898,Productos!$A$2:$A1001,Productos!BC$2:BC1001,"")*$G898,"")</f>
        <v/>
      </c>
      <c r="BK898" s="179" t="str">
        <f t="array" ref="BK898">IF($F898&lt;&gt;"",XLOOKUP($F898,Productos!$A:$A,Productos!BD:BD,"Revisar"),"")</f>
        <v/>
      </c>
      <c r="BL898" s="179" t="str">
        <f t="array" ref="BL898">IF($F898&lt;&gt;"", XLOOKUP($F898,Productos!$A$2:$A1001,Productos!BE$2:BE1001,"")*$G898,"")</f>
        <v/>
      </c>
      <c r="BM898" s="179" t="str">
        <f t="array" ref="BM898">IF($F898&lt;&gt;"",XLOOKUP($F898,Productos!$A:$A,Productos!BF:BF,"Revisar"),"")</f>
        <v/>
      </c>
      <c r="BN898" s="179" t="str">
        <f t="array" ref="BN898">IF($F898&lt;&gt;"", XLOOKUP($F898,Productos!$A$2:$A1001,Productos!BG$2:BG1001,"")*$G898,"")</f>
        <v/>
      </c>
      <c r="BO898" s="179" t="str">
        <f t="array" ref="BO898">IF($F898&lt;&gt;"",XLOOKUP($F898,Productos!$A:$A,Productos!BH:BH,"Revisar"),"")</f>
        <v/>
      </c>
      <c r="BP898" s="179" t="str">
        <f t="array" ref="BP898">IF($F898&lt;&gt;"", XLOOKUP($F898,Productos!$A$2:$A1001,Productos!BI$2:BI1001,"")*$G898,"")</f>
        <v/>
      </c>
      <c r="BQ898" s="179" t="str">
        <f t="array" ref="BQ898">IF($F898&lt;&gt;"",XLOOKUP($F898,Productos!$A:$A,Productos!BJ:BJ,"Revisar"),"")</f>
        <v/>
      </c>
      <c r="BR898" s="179" t="str">
        <f t="array" ref="BR898">IF($F898&lt;&gt;"", XLOOKUP($F898,Productos!$A$2:$A1001,Productos!BK$2:BK1001,"")*$G898,"")</f>
        <v/>
      </c>
      <c r="BS898" s="179" t="str">
        <f t="array" ref="BS898">IF($F898&lt;&gt;"",XLOOKUP($F898,Productos!$A:$A,Productos!BL:BL,"Revisar"),"")</f>
        <v/>
      </c>
      <c r="BT898" s="179" t="str">
        <f t="array" ref="BT898">IF($F898&lt;&gt;"", XLOOKUP($F898,Productos!$A$2:$A1001,Productos!BM$2:BM1001,"")*$G898,"")</f>
        <v/>
      </c>
      <c r="BU898" s="179" t="str">
        <f t="array" ref="BU898">IF($F898&lt;&gt;"",XLOOKUP($F898,Productos!$A:$A,Productos!BN:BN,"Revisar"),"")</f>
        <v/>
      </c>
      <c r="BV898" s="179" t="str">
        <f t="array" ref="BV898">IF($F898&lt;&gt;"", XLOOKUP($F898,Productos!$A$2:$A1001,Productos!BO$2:BO1001,"")*$G898,"")</f>
        <v/>
      </c>
      <c r="BW898" s="179" t="str">
        <f t="array" ref="BW898">IF($F898&lt;&gt;"",XLOOKUP($F898,Productos!$A:$A,Productos!BP:BP,"Revisar"),"")</f>
        <v/>
      </c>
      <c r="BX898" s="179" t="str">
        <f t="array" ref="BX898">IF($F898&lt;&gt;"", XLOOKUP($F898,Productos!$A$2:$A1001,Productos!BQ$2:BQ1001,"")*$G898,"")</f>
        <v/>
      </c>
      <c r="BY898" s="179" t="str">
        <f t="array" ref="BY898">IF($F898&lt;&gt;"",XLOOKUP($F898,Productos!$A:$A,Productos!BR:BR,"Revisar"),"")</f>
        <v/>
      </c>
      <c r="BZ898" s="179" t="str">
        <f t="array" ref="BZ898">IF($F898&lt;&gt;"", XLOOKUP($F898,Productos!$A$2:$A1001,Productos!BS$2:BS1001,"")*$G898,"")</f>
        <v/>
      </c>
    </row>
    <row r="899">
      <c r="A899" s="188"/>
      <c r="B899" s="189"/>
      <c r="C899" s="190"/>
      <c r="D899" s="190"/>
      <c r="E899" s="191"/>
      <c r="F899" s="186"/>
      <c r="G899" s="192"/>
      <c r="H899" s="9"/>
      <c r="I899" s="179" t="str">
        <f t="array" ref="I899">IF($F899&lt;&gt;"",XLOOKUP($F899,Productos!$A:$A,Productos!B:B,"Revisar"),"")</f>
        <v/>
      </c>
      <c r="J899" s="179" t="str">
        <f t="array" ref="J899">IF($F899&lt;&gt;"", XLOOKUP($F899,Productos!$A$2:$A1001,Productos!C$2:C1001,"")*$G899,"")</f>
        <v/>
      </c>
      <c r="K899" s="179" t="str">
        <f t="array" ref="K899">IF($F899&lt;&gt;"",XLOOKUP($F899,Productos!$A:$A,Productos!D:D,"Revisar"),"")</f>
        <v/>
      </c>
      <c r="L899" s="179" t="str">
        <f t="array" ref="L899">IF($F899&lt;&gt;"", XLOOKUP($F899,Productos!$A$2:$A1001,Productos!E$2:E1001,"")*$G899,"")</f>
        <v/>
      </c>
      <c r="M899" s="179" t="str">
        <f t="array" ref="M899">IF($F899&lt;&gt;"",XLOOKUP($F899,Productos!$A:$A,Productos!F:F,"Revisar"),"")</f>
        <v/>
      </c>
      <c r="N899" s="179" t="str">
        <f t="array" ref="N899">IF($F899&lt;&gt;"", XLOOKUP($F899,Productos!$A$2:$A1001,Productos!G$2:G1001,"")*$G899,"")</f>
        <v/>
      </c>
      <c r="O899" s="179" t="str">
        <f t="array" ref="O899">IF($F899&lt;&gt;"",XLOOKUP($F899,Productos!$A:$A,Productos!H:H,"Revisar"),"")</f>
        <v/>
      </c>
      <c r="P899" s="179" t="str">
        <f t="array" ref="P899">IF($F899&lt;&gt;"", XLOOKUP($F899,Productos!$A$2:$A1001,Productos!I$2:I1001,"")*$G899,"")</f>
        <v/>
      </c>
      <c r="Q899" s="179" t="str">
        <f t="array" ref="Q899">IF($F899&lt;&gt;"",XLOOKUP($F899,Productos!$A:$A,Productos!J:J,"Revisar"),"")</f>
        <v/>
      </c>
      <c r="R899" s="179" t="str">
        <f t="array" ref="R899">IF($F899&lt;&gt;"", XLOOKUP($F899,Productos!$A$2:$A1001,Productos!K$2:K1001,"")*$G899,"")</f>
        <v/>
      </c>
      <c r="S899" s="179" t="str">
        <f t="array" ref="S899">IF($F899&lt;&gt;"",XLOOKUP($F899,Productos!$A:$A,Productos!L:L,"Revisar"),"")</f>
        <v/>
      </c>
      <c r="T899" s="179" t="str">
        <f t="array" ref="T899">IF($F899&lt;&gt;"", XLOOKUP($F899,Productos!$A$2:$A1001,Productos!M$2:M1001,"")*$G899,"")</f>
        <v/>
      </c>
      <c r="U899" s="179" t="str">
        <f t="array" ref="U899">IF($F899&lt;&gt;"",XLOOKUP($F899,Productos!$A:$A,Productos!N:N,"Revisar"),"")</f>
        <v/>
      </c>
      <c r="V899" s="179" t="str">
        <f t="array" ref="V899">IF($F899&lt;&gt;"", XLOOKUP($F899,Productos!$A$2:$A1001,Productos!O$2:O1001,"")*$G899,"")</f>
        <v/>
      </c>
      <c r="W899" s="179" t="str">
        <f t="array" ref="W899">IF($F899&lt;&gt;"",XLOOKUP($F899,Productos!$A:$A,Productos!P:P,"Revisar"),"")</f>
        <v/>
      </c>
      <c r="X899" s="179" t="str">
        <f t="array" ref="X899">IF($F899&lt;&gt;"", XLOOKUP($F899,Productos!$A$2:$A1001,Productos!Q$2:Q1001,"")*$G899,"")</f>
        <v/>
      </c>
      <c r="Y899" s="179" t="str">
        <f t="array" ref="Y899">IF($F899&lt;&gt;"",XLOOKUP($F899,Productos!$A:$A,Productos!R:R,"Revisar"),"")</f>
        <v/>
      </c>
      <c r="Z899" s="179" t="str">
        <f t="array" ref="Z899">IF($F899&lt;&gt;"", XLOOKUP($F899,Productos!$A$2:$A1001,Productos!S$2:S1001,"")*$G899,"")</f>
        <v/>
      </c>
      <c r="AA899" s="179" t="str">
        <f t="array" ref="AA899">IF($F899&lt;&gt;"",XLOOKUP($F899,Productos!$A:$A,Productos!T:T,"Revisar"),"")</f>
        <v/>
      </c>
      <c r="AB899" s="179" t="str">
        <f t="array" ref="AB899">IF($F899&lt;&gt;"", XLOOKUP($F899,Productos!$A$2:$A1001,Productos!U$2:U1001,"")*$G899,"")</f>
        <v/>
      </c>
      <c r="AC899" s="179" t="str">
        <f t="array" ref="AC899">IF($F899&lt;&gt;"",XLOOKUP($F899,Productos!$A:$A,Productos!V:V,"Revisar"),"")</f>
        <v/>
      </c>
      <c r="AD899" s="179" t="str">
        <f t="array" ref="AD899">IF($F899&lt;&gt;"", XLOOKUP($F899,Productos!$A$2:$A1001,Productos!W$2:W1001,"")*$G899,"")</f>
        <v/>
      </c>
      <c r="AE899" s="179" t="str">
        <f t="array" ref="AE899">IF($F899&lt;&gt;"",XLOOKUP($F899,Productos!$A:$A,Productos!X:X,"Revisar"),"")</f>
        <v/>
      </c>
      <c r="AF899" s="179" t="str">
        <f t="array" ref="AF899">IF($F899&lt;&gt;"", XLOOKUP($F899,Productos!$A$2:$A1001,Productos!Y$2:Y1001,"")*$G899,"")</f>
        <v/>
      </c>
      <c r="AG899" s="179" t="str">
        <f t="array" ref="AG899">IF($F899&lt;&gt;"",XLOOKUP($F899,Productos!$A:$A,Productos!Z:Z,"Revisar"),"")</f>
        <v/>
      </c>
      <c r="AH899" s="179" t="str">
        <f t="array" ref="AH899">IF($F899&lt;&gt;"", XLOOKUP($F899,Productos!$A$2:$A1001,Productos!AA$2:AA1001,"")*$G899,"")</f>
        <v/>
      </c>
      <c r="AI899" s="179" t="str">
        <f t="array" ref="AI899">IF($F899&lt;&gt;"",XLOOKUP($F899,Productos!$A:$A,Productos!AB:AB,"Revisar"),"")</f>
        <v/>
      </c>
      <c r="AJ899" s="179" t="str">
        <f t="array" ref="AJ899">IF($F899&lt;&gt;"", XLOOKUP($F899,Productos!$A$2:$A1001,Productos!AC$2:AC1001,"")*$G899,"")</f>
        <v/>
      </c>
      <c r="AK899" s="179" t="str">
        <f t="array" ref="AK899">IF($F899&lt;&gt;"",XLOOKUP($F899,Productos!$A:$A,Productos!AD:AD,"Revisar"),"")</f>
        <v/>
      </c>
      <c r="AL899" s="179" t="str">
        <f t="array" ref="AL899">IF($F899&lt;&gt;"", XLOOKUP($F899,Productos!$A$2:$A1001,Productos!AE$2:AE1001,"")*$G899,"")</f>
        <v/>
      </c>
      <c r="AM899" s="179" t="str">
        <f t="array" ref="AM899">IF($F899&lt;&gt;"",XLOOKUP($F899,Productos!$A:$A,Productos!AF:AF,"Revisar"),"")</f>
        <v/>
      </c>
      <c r="AN899" s="179" t="str">
        <f t="array" ref="AN899">IF($F899&lt;&gt;"", XLOOKUP($F899,Productos!$A$2:$A1001,Productos!AG$2:AG1001,"")*$G899,"")</f>
        <v/>
      </c>
      <c r="AO899" s="179" t="str">
        <f t="array" ref="AO899">IF($F899&lt;&gt;"",XLOOKUP($F899,Productos!$A:$A,Productos!AH:AH,"Revisar"),"")</f>
        <v/>
      </c>
      <c r="AP899" s="179" t="str">
        <f t="array" ref="AP899">IF($F899&lt;&gt;"", XLOOKUP($F899,Productos!$A$2:$A1001,Productos!AI$2:AI1001,"")*$G899,"")</f>
        <v/>
      </c>
      <c r="AQ899" s="179" t="str">
        <f t="array" ref="AQ899">IF($F899&lt;&gt;"",XLOOKUP($F899,Productos!$A:$A,Productos!AJ:AJ,"Revisar"),"")</f>
        <v/>
      </c>
      <c r="AR899" s="179" t="str">
        <f t="array" ref="AR899">IF($F899&lt;&gt;"", XLOOKUP($F899,Productos!$A$2:$A1001,Productos!AK$2:AK1001,"")*$G899,"")</f>
        <v/>
      </c>
      <c r="AS899" s="179" t="str">
        <f t="array" ref="AS899">IF($F899&lt;&gt;"",XLOOKUP($F899,Productos!$A:$A,Productos!AL:AL,"Revisar"),"")</f>
        <v/>
      </c>
      <c r="AT899" s="179" t="str">
        <f t="array" ref="AT899">IF($F899&lt;&gt;"", XLOOKUP($F899,Productos!$A$2:$A1001,Productos!AM$2:AM1001,"")*$G899,"")</f>
        <v/>
      </c>
      <c r="AU899" s="179" t="str">
        <f t="array" ref="AU899">IF($F899&lt;&gt;"",XLOOKUP($F899,Productos!$A:$A,Productos!AN:AN,"Revisar"),"")</f>
        <v/>
      </c>
      <c r="AV899" s="179" t="str">
        <f t="array" ref="AV899">IF($F899&lt;&gt;"", XLOOKUP($F899,Productos!$A$2:$A1001,Productos!AO$2:AO1001,"")*$G899,"")</f>
        <v/>
      </c>
      <c r="AW899" s="179" t="str">
        <f t="array" ref="AW899">IF($F899&lt;&gt;"",XLOOKUP($F899,Productos!$A:$A,Productos!AP:AP,"Revisar"),"")</f>
        <v/>
      </c>
      <c r="AX899" s="179" t="str">
        <f t="array" ref="AX899">IF($F899&lt;&gt;"", XLOOKUP($F899,Productos!$A$2:$A1001,Productos!AQ$2:AQ1001,"")*$G899,"")</f>
        <v/>
      </c>
      <c r="AY899" s="179" t="str">
        <f t="array" ref="AY899">IF($F899&lt;&gt;"",XLOOKUP($F899,Productos!$A:$A,Productos!AR:AR,"Revisar"),"")</f>
        <v/>
      </c>
      <c r="AZ899" s="179" t="str">
        <f t="array" ref="AZ899">IF($F899&lt;&gt;"", XLOOKUP($F899,Productos!$A$2:$A1001,Productos!AS$2:AS1001,"")*$G899,"")</f>
        <v/>
      </c>
      <c r="BA899" s="179" t="str">
        <f t="array" ref="BA899">IF($F899&lt;&gt;"",XLOOKUP($F899,Productos!$A:$A,Productos!AT:AT,"Revisar"),"")</f>
        <v/>
      </c>
      <c r="BB899" s="179" t="str">
        <f t="array" ref="BB899">IF($F899&lt;&gt;"", XLOOKUP($F899,Productos!$A$2:$A1001,Productos!AU$2:AU1001,"")*$G899,"")</f>
        <v/>
      </c>
      <c r="BC899" s="179" t="str">
        <f t="array" ref="BC899">IF($F899&lt;&gt;"",XLOOKUP($F899,Productos!$A:$A,Productos!AV:AV,"Revisar"),"")</f>
        <v/>
      </c>
      <c r="BD899" s="179" t="str">
        <f t="array" ref="BD899">IF($F899&lt;&gt;"", XLOOKUP($F899,Productos!$A$2:$A1001,Productos!AW$2:AW1001,"")*$G899,"")</f>
        <v/>
      </c>
      <c r="BE899" s="179" t="str">
        <f t="array" ref="BE899">IF($F899&lt;&gt;"",XLOOKUP($F899,Productos!$A:$A,Productos!AX:AX,"Revisar"),"")</f>
        <v/>
      </c>
      <c r="BF899" s="179" t="str">
        <f t="array" ref="BF899">IF($F899&lt;&gt;"", XLOOKUP($F899,Productos!$A$2:$A1001,Productos!AY$2:AY1001,"")*$G899,"")</f>
        <v/>
      </c>
      <c r="BG899" s="179" t="str">
        <f t="array" ref="BG899">IF($F899&lt;&gt;"",XLOOKUP($F899,Productos!$A:$A,Productos!AZ:AZ,"Revisar"),"")</f>
        <v/>
      </c>
      <c r="BH899" s="179" t="str">
        <f t="array" ref="BH899">IF($F899&lt;&gt;"", XLOOKUP($F899,Productos!$A$2:$A1001,Productos!BA$2:BA1001,"")*$G899,"")</f>
        <v/>
      </c>
      <c r="BI899" s="179" t="str">
        <f t="array" ref="BI899">IF($F899&lt;&gt;"",XLOOKUP($F899,Productos!$A:$A,Productos!BB:BB,"Revisar"),"")</f>
        <v/>
      </c>
      <c r="BJ899" s="179" t="str">
        <f t="array" ref="BJ899">IF($F899&lt;&gt;"", XLOOKUP($F899,Productos!$A$2:$A1001,Productos!BC$2:BC1001,"")*$G899,"")</f>
        <v/>
      </c>
      <c r="BK899" s="179" t="str">
        <f t="array" ref="BK899">IF($F899&lt;&gt;"",XLOOKUP($F899,Productos!$A:$A,Productos!BD:BD,"Revisar"),"")</f>
        <v/>
      </c>
      <c r="BL899" s="179" t="str">
        <f t="array" ref="BL899">IF($F899&lt;&gt;"", XLOOKUP($F899,Productos!$A$2:$A1001,Productos!BE$2:BE1001,"")*$G899,"")</f>
        <v/>
      </c>
      <c r="BM899" s="179" t="str">
        <f t="array" ref="BM899">IF($F899&lt;&gt;"",XLOOKUP($F899,Productos!$A:$A,Productos!BF:BF,"Revisar"),"")</f>
        <v/>
      </c>
      <c r="BN899" s="179" t="str">
        <f t="array" ref="BN899">IF($F899&lt;&gt;"", XLOOKUP($F899,Productos!$A$2:$A1001,Productos!BG$2:BG1001,"")*$G899,"")</f>
        <v/>
      </c>
      <c r="BO899" s="179" t="str">
        <f t="array" ref="BO899">IF($F899&lt;&gt;"",XLOOKUP($F899,Productos!$A:$A,Productos!BH:BH,"Revisar"),"")</f>
        <v/>
      </c>
      <c r="BP899" s="179" t="str">
        <f t="array" ref="BP899">IF($F899&lt;&gt;"", XLOOKUP($F899,Productos!$A$2:$A1001,Productos!BI$2:BI1001,"")*$G899,"")</f>
        <v/>
      </c>
      <c r="BQ899" s="179" t="str">
        <f t="array" ref="BQ899">IF($F899&lt;&gt;"",XLOOKUP($F899,Productos!$A:$A,Productos!BJ:BJ,"Revisar"),"")</f>
        <v/>
      </c>
      <c r="BR899" s="179" t="str">
        <f t="array" ref="BR899">IF($F899&lt;&gt;"", XLOOKUP($F899,Productos!$A$2:$A1001,Productos!BK$2:BK1001,"")*$G899,"")</f>
        <v/>
      </c>
      <c r="BS899" s="179" t="str">
        <f t="array" ref="BS899">IF($F899&lt;&gt;"",XLOOKUP($F899,Productos!$A:$A,Productos!BL:BL,"Revisar"),"")</f>
        <v/>
      </c>
      <c r="BT899" s="179" t="str">
        <f t="array" ref="BT899">IF($F899&lt;&gt;"", XLOOKUP($F899,Productos!$A$2:$A1001,Productos!BM$2:BM1001,"")*$G899,"")</f>
        <v/>
      </c>
      <c r="BU899" s="179" t="str">
        <f t="array" ref="BU899">IF($F899&lt;&gt;"",XLOOKUP($F899,Productos!$A:$A,Productos!BN:BN,"Revisar"),"")</f>
        <v/>
      </c>
      <c r="BV899" s="179" t="str">
        <f t="array" ref="BV899">IF($F899&lt;&gt;"", XLOOKUP($F899,Productos!$A$2:$A1001,Productos!BO$2:BO1001,"")*$G899,"")</f>
        <v/>
      </c>
      <c r="BW899" s="179" t="str">
        <f t="array" ref="BW899">IF($F899&lt;&gt;"",XLOOKUP($F899,Productos!$A:$A,Productos!BP:BP,"Revisar"),"")</f>
        <v/>
      </c>
      <c r="BX899" s="179" t="str">
        <f t="array" ref="BX899">IF($F899&lt;&gt;"", XLOOKUP($F899,Productos!$A$2:$A1001,Productos!BQ$2:BQ1001,"")*$G899,"")</f>
        <v/>
      </c>
      <c r="BY899" s="179" t="str">
        <f t="array" ref="BY899">IF($F899&lt;&gt;"",XLOOKUP($F899,Productos!$A:$A,Productos!BR:BR,"Revisar"),"")</f>
        <v/>
      </c>
      <c r="BZ899" s="179" t="str">
        <f t="array" ref="BZ899">IF($F899&lt;&gt;"", XLOOKUP($F899,Productos!$A$2:$A1001,Productos!BS$2:BS1001,"")*$G899,"")</f>
        <v/>
      </c>
    </row>
    <row r="900">
      <c r="A900" s="188"/>
      <c r="B900" s="189"/>
      <c r="C900" s="190"/>
      <c r="D900" s="190"/>
      <c r="E900" s="191"/>
      <c r="F900" s="186"/>
      <c r="G900" s="192"/>
      <c r="H900" s="9"/>
      <c r="I900" s="179" t="str">
        <f t="array" ref="I900">IF($F900&lt;&gt;"",XLOOKUP($F900,Productos!$A:$A,Productos!B:B,"Revisar"),"")</f>
        <v/>
      </c>
      <c r="J900" s="179" t="str">
        <f t="array" ref="J900">IF($F900&lt;&gt;"", XLOOKUP($F900,Productos!$A$2:$A1001,Productos!C$2:C1001,"")*$G900,"")</f>
        <v/>
      </c>
      <c r="K900" s="179" t="str">
        <f t="array" ref="K900">IF($F900&lt;&gt;"",XLOOKUP($F900,Productos!$A:$A,Productos!D:D,"Revisar"),"")</f>
        <v/>
      </c>
      <c r="L900" s="179" t="str">
        <f t="array" ref="L900">IF($F900&lt;&gt;"", XLOOKUP($F900,Productos!$A$2:$A1001,Productos!E$2:E1001,"")*$G900,"")</f>
        <v/>
      </c>
      <c r="M900" s="179" t="str">
        <f t="array" ref="M900">IF($F900&lt;&gt;"",XLOOKUP($F900,Productos!$A:$A,Productos!F:F,"Revisar"),"")</f>
        <v/>
      </c>
      <c r="N900" s="179" t="str">
        <f t="array" ref="N900">IF($F900&lt;&gt;"", XLOOKUP($F900,Productos!$A$2:$A1001,Productos!G$2:G1001,"")*$G900,"")</f>
        <v/>
      </c>
      <c r="O900" s="179" t="str">
        <f t="array" ref="O900">IF($F900&lt;&gt;"",XLOOKUP($F900,Productos!$A:$A,Productos!H:H,"Revisar"),"")</f>
        <v/>
      </c>
      <c r="P900" s="179" t="str">
        <f t="array" ref="P900">IF($F900&lt;&gt;"", XLOOKUP($F900,Productos!$A$2:$A1001,Productos!I$2:I1001,"")*$G900,"")</f>
        <v/>
      </c>
      <c r="Q900" s="179" t="str">
        <f t="array" ref="Q900">IF($F900&lt;&gt;"",XLOOKUP($F900,Productos!$A:$A,Productos!J:J,"Revisar"),"")</f>
        <v/>
      </c>
      <c r="R900" s="179" t="str">
        <f t="array" ref="R900">IF($F900&lt;&gt;"", XLOOKUP($F900,Productos!$A$2:$A1001,Productos!K$2:K1001,"")*$G900,"")</f>
        <v/>
      </c>
      <c r="S900" s="179" t="str">
        <f t="array" ref="S900">IF($F900&lt;&gt;"",XLOOKUP($F900,Productos!$A:$A,Productos!L:L,"Revisar"),"")</f>
        <v/>
      </c>
      <c r="T900" s="179" t="str">
        <f t="array" ref="T900">IF($F900&lt;&gt;"", XLOOKUP($F900,Productos!$A$2:$A1001,Productos!M$2:M1001,"")*$G900,"")</f>
        <v/>
      </c>
      <c r="U900" s="179" t="str">
        <f t="array" ref="U900">IF($F900&lt;&gt;"",XLOOKUP($F900,Productos!$A:$A,Productos!N:N,"Revisar"),"")</f>
        <v/>
      </c>
      <c r="V900" s="179" t="str">
        <f t="array" ref="V900">IF($F900&lt;&gt;"", XLOOKUP($F900,Productos!$A$2:$A1001,Productos!O$2:O1001,"")*$G900,"")</f>
        <v/>
      </c>
      <c r="W900" s="179" t="str">
        <f t="array" ref="W900">IF($F900&lt;&gt;"",XLOOKUP($F900,Productos!$A:$A,Productos!P:P,"Revisar"),"")</f>
        <v/>
      </c>
      <c r="X900" s="179" t="str">
        <f t="array" ref="X900">IF($F900&lt;&gt;"", XLOOKUP($F900,Productos!$A$2:$A1001,Productos!Q$2:Q1001,"")*$G900,"")</f>
        <v/>
      </c>
      <c r="Y900" s="179" t="str">
        <f t="array" ref="Y900">IF($F900&lt;&gt;"",XLOOKUP($F900,Productos!$A:$A,Productos!R:R,"Revisar"),"")</f>
        <v/>
      </c>
      <c r="Z900" s="179" t="str">
        <f t="array" ref="Z900">IF($F900&lt;&gt;"", XLOOKUP($F900,Productos!$A$2:$A1001,Productos!S$2:S1001,"")*$G900,"")</f>
        <v/>
      </c>
      <c r="AA900" s="179" t="str">
        <f t="array" ref="AA900">IF($F900&lt;&gt;"",XLOOKUP($F900,Productos!$A:$A,Productos!T:T,"Revisar"),"")</f>
        <v/>
      </c>
      <c r="AB900" s="179" t="str">
        <f t="array" ref="AB900">IF($F900&lt;&gt;"", XLOOKUP($F900,Productos!$A$2:$A1001,Productos!U$2:U1001,"")*$G900,"")</f>
        <v/>
      </c>
      <c r="AC900" s="179" t="str">
        <f t="array" ref="AC900">IF($F900&lt;&gt;"",XLOOKUP($F900,Productos!$A:$A,Productos!V:V,"Revisar"),"")</f>
        <v/>
      </c>
      <c r="AD900" s="179" t="str">
        <f t="array" ref="AD900">IF($F900&lt;&gt;"", XLOOKUP($F900,Productos!$A$2:$A1001,Productos!W$2:W1001,"")*$G900,"")</f>
        <v/>
      </c>
      <c r="AE900" s="179" t="str">
        <f t="array" ref="AE900">IF($F900&lt;&gt;"",XLOOKUP($F900,Productos!$A:$A,Productos!X:X,"Revisar"),"")</f>
        <v/>
      </c>
      <c r="AF900" s="179" t="str">
        <f t="array" ref="AF900">IF($F900&lt;&gt;"", XLOOKUP($F900,Productos!$A$2:$A1001,Productos!Y$2:Y1001,"")*$G900,"")</f>
        <v/>
      </c>
      <c r="AG900" s="179" t="str">
        <f t="array" ref="AG900">IF($F900&lt;&gt;"",XLOOKUP($F900,Productos!$A:$A,Productos!Z:Z,"Revisar"),"")</f>
        <v/>
      </c>
      <c r="AH900" s="179" t="str">
        <f t="array" ref="AH900">IF($F900&lt;&gt;"", XLOOKUP($F900,Productos!$A$2:$A1001,Productos!AA$2:AA1001,"")*$G900,"")</f>
        <v/>
      </c>
      <c r="AI900" s="179" t="str">
        <f t="array" ref="AI900">IF($F900&lt;&gt;"",XLOOKUP($F900,Productos!$A:$A,Productos!AB:AB,"Revisar"),"")</f>
        <v/>
      </c>
      <c r="AJ900" s="179" t="str">
        <f t="array" ref="AJ900">IF($F900&lt;&gt;"", XLOOKUP($F900,Productos!$A$2:$A1001,Productos!AC$2:AC1001,"")*$G900,"")</f>
        <v/>
      </c>
      <c r="AK900" s="179" t="str">
        <f t="array" ref="AK900">IF($F900&lt;&gt;"",XLOOKUP($F900,Productos!$A:$A,Productos!AD:AD,"Revisar"),"")</f>
        <v/>
      </c>
      <c r="AL900" s="179" t="str">
        <f t="array" ref="AL900">IF($F900&lt;&gt;"", XLOOKUP($F900,Productos!$A$2:$A1001,Productos!AE$2:AE1001,"")*$G900,"")</f>
        <v/>
      </c>
      <c r="AM900" s="179" t="str">
        <f t="array" ref="AM900">IF($F900&lt;&gt;"",XLOOKUP($F900,Productos!$A:$A,Productos!AF:AF,"Revisar"),"")</f>
        <v/>
      </c>
      <c r="AN900" s="179" t="str">
        <f t="array" ref="AN900">IF($F900&lt;&gt;"", XLOOKUP($F900,Productos!$A$2:$A1001,Productos!AG$2:AG1001,"")*$G900,"")</f>
        <v/>
      </c>
      <c r="AO900" s="179" t="str">
        <f t="array" ref="AO900">IF($F900&lt;&gt;"",XLOOKUP($F900,Productos!$A:$A,Productos!AH:AH,"Revisar"),"")</f>
        <v/>
      </c>
      <c r="AP900" s="179" t="str">
        <f t="array" ref="AP900">IF($F900&lt;&gt;"", XLOOKUP($F900,Productos!$A$2:$A1001,Productos!AI$2:AI1001,"")*$G900,"")</f>
        <v/>
      </c>
      <c r="AQ900" s="179" t="str">
        <f t="array" ref="AQ900">IF($F900&lt;&gt;"",XLOOKUP($F900,Productos!$A:$A,Productos!AJ:AJ,"Revisar"),"")</f>
        <v/>
      </c>
      <c r="AR900" s="179" t="str">
        <f t="array" ref="AR900">IF($F900&lt;&gt;"", XLOOKUP($F900,Productos!$A$2:$A1001,Productos!AK$2:AK1001,"")*$G900,"")</f>
        <v/>
      </c>
      <c r="AS900" s="179" t="str">
        <f t="array" ref="AS900">IF($F900&lt;&gt;"",XLOOKUP($F900,Productos!$A:$A,Productos!AL:AL,"Revisar"),"")</f>
        <v/>
      </c>
      <c r="AT900" s="179" t="str">
        <f t="array" ref="AT900">IF($F900&lt;&gt;"", XLOOKUP($F900,Productos!$A$2:$A1001,Productos!AM$2:AM1001,"")*$G900,"")</f>
        <v/>
      </c>
      <c r="AU900" s="179" t="str">
        <f t="array" ref="AU900">IF($F900&lt;&gt;"",XLOOKUP($F900,Productos!$A:$A,Productos!AN:AN,"Revisar"),"")</f>
        <v/>
      </c>
      <c r="AV900" s="179" t="str">
        <f t="array" ref="AV900">IF($F900&lt;&gt;"", XLOOKUP($F900,Productos!$A$2:$A1001,Productos!AO$2:AO1001,"")*$G900,"")</f>
        <v/>
      </c>
      <c r="AW900" s="179" t="str">
        <f t="array" ref="AW900">IF($F900&lt;&gt;"",XLOOKUP($F900,Productos!$A:$A,Productos!AP:AP,"Revisar"),"")</f>
        <v/>
      </c>
      <c r="AX900" s="179" t="str">
        <f t="array" ref="AX900">IF($F900&lt;&gt;"", XLOOKUP($F900,Productos!$A$2:$A1001,Productos!AQ$2:AQ1001,"")*$G900,"")</f>
        <v/>
      </c>
      <c r="AY900" s="179" t="str">
        <f t="array" ref="AY900">IF($F900&lt;&gt;"",XLOOKUP($F900,Productos!$A:$A,Productos!AR:AR,"Revisar"),"")</f>
        <v/>
      </c>
      <c r="AZ900" s="179" t="str">
        <f t="array" ref="AZ900">IF($F900&lt;&gt;"", XLOOKUP($F900,Productos!$A$2:$A1001,Productos!AS$2:AS1001,"")*$G900,"")</f>
        <v/>
      </c>
      <c r="BA900" s="179" t="str">
        <f t="array" ref="BA900">IF($F900&lt;&gt;"",XLOOKUP($F900,Productos!$A:$A,Productos!AT:AT,"Revisar"),"")</f>
        <v/>
      </c>
      <c r="BB900" s="179" t="str">
        <f t="array" ref="BB900">IF($F900&lt;&gt;"", XLOOKUP($F900,Productos!$A$2:$A1001,Productos!AU$2:AU1001,"")*$G900,"")</f>
        <v/>
      </c>
      <c r="BC900" s="179" t="str">
        <f t="array" ref="BC900">IF($F900&lt;&gt;"",XLOOKUP($F900,Productos!$A:$A,Productos!AV:AV,"Revisar"),"")</f>
        <v/>
      </c>
      <c r="BD900" s="179" t="str">
        <f t="array" ref="BD900">IF($F900&lt;&gt;"", XLOOKUP($F900,Productos!$A$2:$A1001,Productos!AW$2:AW1001,"")*$G900,"")</f>
        <v/>
      </c>
      <c r="BE900" s="179" t="str">
        <f t="array" ref="BE900">IF($F900&lt;&gt;"",XLOOKUP($F900,Productos!$A:$A,Productos!AX:AX,"Revisar"),"")</f>
        <v/>
      </c>
      <c r="BF900" s="179" t="str">
        <f t="array" ref="BF900">IF($F900&lt;&gt;"", XLOOKUP($F900,Productos!$A$2:$A1001,Productos!AY$2:AY1001,"")*$G900,"")</f>
        <v/>
      </c>
      <c r="BG900" s="179" t="str">
        <f t="array" ref="BG900">IF($F900&lt;&gt;"",XLOOKUP($F900,Productos!$A:$A,Productos!AZ:AZ,"Revisar"),"")</f>
        <v/>
      </c>
      <c r="BH900" s="179" t="str">
        <f t="array" ref="BH900">IF($F900&lt;&gt;"", XLOOKUP($F900,Productos!$A$2:$A1001,Productos!BA$2:BA1001,"")*$G900,"")</f>
        <v/>
      </c>
      <c r="BI900" s="179" t="str">
        <f t="array" ref="BI900">IF($F900&lt;&gt;"",XLOOKUP($F900,Productos!$A:$A,Productos!BB:BB,"Revisar"),"")</f>
        <v/>
      </c>
      <c r="BJ900" s="179" t="str">
        <f t="array" ref="BJ900">IF($F900&lt;&gt;"", XLOOKUP($F900,Productos!$A$2:$A1001,Productos!BC$2:BC1001,"")*$G900,"")</f>
        <v/>
      </c>
      <c r="BK900" s="179" t="str">
        <f t="array" ref="BK900">IF($F900&lt;&gt;"",XLOOKUP($F900,Productos!$A:$A,Productos!BD:BD,"Revisar"),"")</f>
        <v/>
      </c>
      <c r="BL900" s="179" t="str">
        <f t="array" ref="BL900">IF($F900&lt;&gt;"", XLOOKUP($F900,Productos!$A$2:$A1001,Productos!BE$2:BE1001,"")*$G900,"")</f>
        <v/>
      </c>
      <c r="BM900" s="179" t="str">
        <f t="array" ref="BM900">IF($F900&lt;&gt;"",XLOOKUP($F900,Productos!$A:$A,Productos!BF:BF,"Revisar"),"")</f>
        <v/>
      </c>
      <c r="BN900" s="179" t="str">
        <f t="array" ref="BN900">IF($F900&lt;&gt;"", XLOOKUP($F900,Productos!$A$2:$A1001,Productos!BG$2:BG1001,"")*$G900,"")</f>
        <v/>
      </c>
      <c r="BO900" s="179" t="str">
        <f t="array" ref="BO900">IF($F900&lt;&gt;"",XLOOKUP($F900,Productos!$A:$A,Productos!BH:BH,"Revisar"),"")</f>
        <v/>
      </c>
      <c r="BP900" s="179" t="str">
        <f t="array" ref="BP900">IF($F900&lt;&gt;"", XLOOKUP($F900,Productos!$A$2:$A1001,Productos!BI$2:BI1001,"")*$G900,"")</f>
        <v/>
      </c>
      <c r="BQ900" s="179" t="str">
        <f t="array" ref="BQ900">IF($F900&lt;&gt;"",XLOOKUP($F900,Productos!$A:$A,Productos!BJ:BJ,"Revisar"),"")</f>
        <v/>
      </c>
      <c r="BR900" s="179" t="str">
        <f t="array" ref="BR900">IF($F900&lt;&gt;"", XLOOKUP($F900,Productos!$A$2:$A1001,Productos!BK$2:BK1001,"")*$G900,"")</f>
        <v/>
      </c>
      <c r="BS900" s="179" t="str">
        <f t="array" ref="BS900">IF($F900&lt;&gt;"",XLOOKUP($F900,Productos!$A:$A,Productos!BL:BL,"Revisar"),"")</f>
        <v/>
      </c>
      <c r="BT900" s="179" t="str">
        <f t="array" ref="BT900">IF($F900&lt;&gt;"", XLOOKUP($F900,Productos!$A$2:$A1001,Productos!BM$2:BM1001,"")*$G900,"")</f>
        <v/>
      </c>
      <c r="BU900" s="179" t="str">
        <f t="array" ref="BU900">IF($F900&lt;&gt;"",XLOOKUP($F900,Productos!$A:$A,Productos!BN:BN,"Revisar"),"")</f>
        <v/>
      </c>
      <c r="BV900" s="179" t="str">
        <f t="array" ref="BV900">IF($F900&lt;&gt;"", XLOOKUP($F900,Productos!$A$2:$A1001,Productos!BO$2:BO1001,"")*$G900,"")</f>
        <v/>
      </c>
      <c r="BW900" s="179" t="str">
        <f t="array" ref="BW900">IF($F900&lt;&gt;"",XLOOKUP($F900,Productos!$A:$A,Productos!BP:BP,"Revisar"),"")</f>
        <v/>
      </c>
      <c r="BX900" s="179" t="str">
        <f t="array" ref="BX900">IF($F900&lt;&gt;"", XLOOKUP($F900,Productos!$A$2:$A1001,Productos!BQ$2:BQ1001,"")*$G900,"")</f>
        <v/>
      </c>
      <c r="BY900" s="179" t="str">
        <f t="array" ref="BY900">IF($F900&lt;&gt;"",XLOOKUP($F900,Productos!$A:$A,Productos!BR:BR,"Revisar"),"")</f>
        <v/>
      </c>
      <c r="BZ900" s="179" t="str">
        <f t="array" ref="BZ900">IF($F900&lt;&gt;"", XLOOKUP($F900,Productos!$A$2:$A1001,Productos!BS$2:BS1001,"")*$G900,"")</f>
        <v/>
      </c>
    </row>
    <row r="901">
      <c r="A901" s="188"/>
      <c r="B901" s="189"/>
      <c r="C901" s="190"/>
      <c r="D901" s="190"/>
      <c r="E901" s="191"/>
      <c r="F901" s="186"/>
      <c r="G901" s="192"/>
      <c r="H901" s="9"/>
      <c r="I901" s="179" t="str">
        <f t="array" ref="I901">IF($F901&lt;&gt;"",XLOOKUP($F901,Productos!$A:$A,Productos!B:B,"Revisar"),"")</f>
        <v/>
      </c>
      <c r="J901" s="179" t="str">
        <f t="array" ref="J901">IF($F901&lt;&gt;"", XLOOKUP($F901,Productos!$A$2:$A1001,Productos!C$2:C1001,"")*$G901,"")</f>
        <v/>
      </c>
      <c r="K901" s="179" t="str">
        <f t="array" ref="K901">IF($F901&lt;&gt;"",XLOOKUP($F901,Productos!$A:$A,Productos!D:D,"Revisar"),"")</f>
        <v/>
      </c>
      <c r="L901" s="179" t="str">
        <f t="array" ref="L901">IF($F901&lt;&gt;"", XLOOKUP($F901,Productos!$A$2:$A1001,Productos!E$2:E1001,"")*$G901,"")</f>
        <v/>
      </c>
      <c r="M901" s="179" t="str">
        <f t="array" ref="M901">IF($F901&lt;&gt;"",XLOOKUP($F901,Productos!$A:$A,Productos!F:F,"Revisar"),"")</f>
        <v/>
      </c>
      <c r="N901" s="179" t="str">
        <f t="array" ref="N901">IF($F901&lt;&gt;"", XLOOKUP($F901,Productos!$A$2:$A1001,Productos!G$2:G1001,"")*$G901,"")</f>
        <v/>
      </c>
      <c r="O901" s="179" t="str">
        <f t="array" ref="O901">IF($F901&lt;&gt;"",XLOOKUP($F901,Productos!$A:$A,Productos!H:H,"Revisar"),"")</f>
        <v/>
      </c>
      <c r="P901" s="179" t="str">
        <f t="array" ref="P901">IF($F901&lt;&gt;"", XLOOKUP($F901,Productos!$A$2:$A1001,Productos!I$2:I1001,"")*$G901,"")</f>
        <v/>
      </c>
      <c r="Q901" s="179" t="str">
        <f t="array" ref="Q901">IF($F901&lt;&gt;"",XLOOKUP($F901,Productos!$A:$A,Productos!J:J,"Revisar"),"")</f>
        <v/>
      </c>
      <c r="R901" s="179" t="str">
        <f t="array" ref="R901">IF($F901&lt;&gt;"", XLOOKUP($F901,Productos!$A$2:$A1001,Productos!K$2:K1001,"")*$G901,"")</f>
        <v/>
      </c>
      <c r="S901" s="179" t="str">
        <f t="array" ref="S901">IF($F901&lt;&gt;"",XLOOKUP($F901,Productos!$A:$A,Productos!L:L,"Revisar"),"")</f>
        <v/>
      </c>
      <c r="T901" s="179" t="str">
        <f t="array" ref="T901">IF($F901&lt;&gt;"", XLOOKUP($F901,Productos!$A$2:$A1001,Productos!M$2:M1001,"")*$G901,"")</f>
        <v/>
      </c>
      <c r="U901" s="179" t="str">
        <f t="array" ref="U901">IF($F901&lt;&gt;"",XLOOKUP($F901,Productos!$A:$A,Productos!N:N,"Revisar"),"")</f>
        <v/>
      </c>
      <c r="V901" s="179" t="str">
        <f t="array" ref="V901">IF($F901&lt;&gt;"", XLOOKUP($F901,Productos!$A$2:$A1001,Productos!O$2:O1001,"")*$G901,"")</f>
        <v/>
      </c>
      <c r="W901" s="179" t="str">
        <f t="array" ref="W901">IF($F901&lt;&gt;"",XLOOKUP($F901,Productos!$A:$A,Productos!P:P,"Revisar"),"")</f>
        <v/>
      </c>
      <c r="X901" s="179" t="str">
        <f t="array" ref="X901">IF($F901&lt;&gt;"", XLOOKUP($F901,Productos!$A$2:$A1001,Productos!Q$2:Q1001,"")*$G901,"")</f>
        <v/>
      </c>
      <c r="Y901" s="179" t="str">
        <f t="array" ref="Y901">IF($F901&lt;&gt;"",XLOOKUP($F901,Productos!$A:$A,Productos!R:R,"Revisar"),"")</f>
        <v/>
      </c>
      <c r="Z901" s="179" t="str">
        <f t="array" ref="Z901">IF($F901&lt;&gt;"", XLOOKUP($F901,Productos!$A$2:$A1001,Productos!S$2:S1001,"")*$G901,"")</f>
        <v/>
      </c>
      <c r="AA901" s="179" t="str">
        <f t="array" ref="AA901">IF($F901&lt;&gt;"",XLOOKUP($F901,Productos!$A:$A,Productos!T:T,"Revisar"),"")</f>
        <v/>
      </c>
      <c r="AB901" s="179" t="str">
        <f t="array" ref="AB901">IF($F901&lt;&gt;"", XLOOKUP($F901,Productos!$A$2:$A1001,Productos!U$2:U1001,"")*$G901,"")</f>
        <v/>
      </c>
      <c r="AC901" s="179" t="str">
        <f t="array" ref="AC901">IF($F901&lt;&gt;"",XLOOKUP($F901,Productos!$A:$A,Productos!V:V,"Revisar"),"")</f>
        <v/>
      </c>
      <c r="AD901" s="179" t="str">
        <f t="array" ref="AD901">IF($F901&lt;&gt;"", XLOOKUP($F901,Productos!$A$2:$A1001,Productos!W$2:W1001,"")*$G901,"")</f>
        <v/>
      </c>
      <c r="AE901" s="179" t="str">
        <f t="array" ref="AE901">IF($F901&lt;&gt;"",XLOOKUP($F901,Productos!$A:$A,Productos!X:X,"Revisar"),"")</f>
        <v/>
      </c>
      <c r="AF901" s="179" t="str">
        <f t="array" ref="AF901">IF($F901&lt;&gt;"", XLOOKUP($F901,Productos!$A$2:$A1001,Productos!Y$2:Y1001,"")*$G901,"")</f>
        <v/>
      </c>
      <c r="AG901" s="179" t="str">
        <f t="array" ref="AG901">IF($F901&lt;&gt;"",XLOOKUP($F901,Productos!$A:$A,Productos!Z:Z,"Revisar"),"")</f>
        <v/>
      </c>
      <c r="AH901" s="179" t="str">
        <f t="array" ref="AH901">IF($F901&lt;&gt;"", XLOOKUP($F901,Productos!$A$2:$A1001,Productos!AA$2:AA1001,"")*$G901,"")</f>
        <v/>
      </c>
      <c r="AI901" s="179" t="str">
        <f t="array" ref="AI901">IF($F901&lt;&gt;"",XLOOKUP($F901,Productos!$A:$A,Productos!AB:AB,"Revisar"),"")</f>
        <v/>
      </c>
      <c r="AJ901" s="179" t="str">
        <f t="array" ref="AJ901">IF($F901&lt;&gt;"", XLOOKUP($F901,Productos!$A$2:$A1001,Productos!AC$2:AC1001,"")*$G901,"")</f>
        <v/>
      </c>
      <c r="AK901" s="179" t="str">
        <f t="array" ref="AK901">IF($F901&lt;&gt;"",XLOOKUP($F901,Productos!$A:$A,Productos!AD:AD,"Revisar"),"")</f>
        <v/>
      </c>
      <c r="AL901" s="179" t="str">
        <f t="array" ref="AL901">IF($F901&lt;&gt;"", XLOOKUP($F901,Productos!$A$2:$A1001,Productos!AE$2:AE1001,"")*$G901,"")</f>
        <v/>
      </c>
      <c r="AM901" s="179" t="str">
        <f t="array" ref="AM901">IF($F901&lt;&gt;"",XLOOKUP($F901,Productos!$A:$A,Productos!AF:AF,"Revisar"),"")</f>
        <v/>
      </c>
      <c r="AN901" s="179" t="str">
        <f t="array" ref="AN901">IF($F901&lt;&gt;"", XLOOKUP($F901,Productos!$A$2:$A1001,Productos!AG$2:AG1001,"")*$G901,"")</f>
        <v/>
      </c>
      <c r="AO901" s="179" t="str">
        <f t="array" ref="AO901">IF($F901&lt;&gt;"",XLOOKUP($F901,Productos!$A:$A,Productos!AH:AH,"Revisar"),"")</f>
        <v/>
      </c>
      <c r="AP901" s="179" t="str">
        <f t="array" ref="AP901">IF($F901&lt;&gt;"", XLOOKUP($F901,Productos!$A$2:$A1001,Productos!AI$2:AI1001,"")*$G901,"")</f>
        <v/>
      </c>
      <c r="AQ901" s="179" t="str">
        <f t="array" ref="AQ901">IF($F901&lt;&gt;"",XLOOKUP($F901,Productos!$A:$A,Productos!AJ:AJ,"Revisar"),"")</f>
        <v/>
      </c>
      <c r="AR901" s="179" t="str">
        <f t="array" ref="AR901">IF($F901&lt;&gt;"", XLOOKUP($F901,Productos!$A$2:$A1001,Productos!AK$2:AK1001,"")*$G901,"")</f>
        <v/>
      </c>
      <c r="AS901" s="179" t="str">
        <f t="array" ref="AS901">IF($F901&lt;&gt;"",XLOOKUP($F901,Productos!$A:$A,Productos!AL:AL,"Revisar"),"")</f>
        <v/>
      </c>
      <c r="AT901" s="179" t="str">
        <f t="array" ref="AT901">IF($F901&lt;&gt;"", XLOOKUP($F901,Productos!$A$2:$A1001,Productos!AM$2:AM1001,"")*$G901,"")</f>
        <v/>
      </c>
      <c r="AU901" s="179" t="str">
        <f t="array" ref="AU901">IF($F901&lt;&gt;"",XLOOKUP($F901,Productos!$A:$A,Productos!AN:AN,"Revisar"),"")</f>
        <v/>
      </c>
      <c r="AV901" s="179" t="str">
        <f t="array" ref="AV901">IF($F901&lt;&gt;"", XLOOKUP($F901,Productos!$A$2:$A1001,Productos!AO$2:AO1001,"")*$G901,"")</f>
        <v/>
      </c>
      <c r="AW901" s="179" t="str">
        <f t="array" ref="AW901">IF($F901&lt;&gt;"",XLOOKUP($F901,Productos!$A:$A,Productos!AP:AP,"Revisar"),"")</f>
        <v/>
      </c>
      <c r="AX901" s="179" t="str">
        <f t="array" ref="AX901">IF($F901&lt;&gt;"", XLOOKUP($F901,Productos!$A$2:$A1001,Productos!AQ$2:AQ1001,"")*$G901,"")</f>
        <v/>
      </c>
      <c r="AY901" s="179" t="str">
        <f t="array" ref="AY901">IF($F901&lt;&gt;"",XLOOKUP($F901,Productos!$A:$A,Productos!AR:AR,"Revisar"),"")</f>
        <v/>
      </c>
      <c r="AZ901" s="179" t="str">
        <f t="array" ref="AZ901">IF($F901&lt;&gt;"", XLOOKUP($F901,Productos!$A$2:$A1001,Productos!AS$2:AS1001,"")*$G901,"")</f>
        <v/>
      </c>
      <c r="BA901" s="179" t="str">
        <f t="array" ref="BA901">IF($F901&lt;&gt;"",XLOOKUP($F901,Productos!$A:$A,Productos!AT:AT,"Revisar"),"")</f>
        <v/>
      </c>
      <c r="BB901" s="179" t="str">
        <f t="array" ref="BB901">IF($F901&lt;&gt;"", XLOOKUP($F901,Productos!$A$2:$A1001,Productos!AU$2:AU1001,"")*$G901,"")</f>
        <v/>
      </c>
      <c r="BC901" s="179" t="str">
        <f t="array" ref="BC901">IF($F901&lt;&gt;"",XLOOKUP($F901,Productos!$A:$A,Productos!AV:AV,"Revisar"),"")</f>
        <v/>
      </c>
      <c r="BD901" s="179" t="str">
        <f t="array" ref="BD901">IF($F901&lt;&gt;"", XLOOKUP($F901,Productos!$A$2:$A1001,Productos!AW$2:AW1001,"")*$G901,"")</f>
        <v/>
      </c>
      <c r="BE901" s="179" t="str">
        <f t="array" ref="BE901">IF($F901&lt;&gt;"",XLOOKUP($F901,Productos!$A:$A,Productos!AX:AX,"Revisar"),"")</f>
        <v/>
      </c>
      <c r="BF901" s="179" t="str">
        <f t="array" ref="BF901">IF($F901&lt;&gt;"", XLOOKUP($F901,Productos!$A$2:$A1001,Productos!AY$2:AY1001,"")*$G901,"")</f>
        <v/>
      </c>
      <c r="BG901" s="179" t="str">
        <f t="array" ref="BG901">IF($F901&lt;&gt;"",XLOOKUP($F901,Productos!$A:$A,Productos!AZ:AZ,"Revisar"),"")</f>
        <v/>
      </c>
      <c r="BH901" s="179" t="str">
        <f t="array" ref="BH901">IF($F901&lt;&gt;"", XLOOKUP($F901,Productos!$A$2:$A1001,Productos!BA$2:BA1001,"")*$G901,"")</f>
        <v/>
      </c>
      <c r="BI901" s="179" t="str">
        <f t="array" ref="BI901">IF($F901&lt;&gt;"",XLOOKUP($F901,Productos!$A:$A,Productos!BB:BB,"Revisar"),"")</f>
        <v/>
      </c>
      <c r="BJ901" s="179" t="str">
        <f t="array" ref="BJ901">IF($F901&lt;&gt;"", XLOOKUP($F901,Productos!$A$2:$A1001,Productos!BC$2:BC1001,"")*$G901,"")</f>
        <v/>
      </c>
      <c r="BK901" s="179" t="str">
        <f t="array" ref="BK901">IF($F901&lt;&gt;"",XLOOKUP($F901,Productos!$A:$A,Productos!BD:BD,"Revisar"),"")</f>
        <v/>
      </c>
      <c r="BL901" s="179" t="str">
        <f t="array" ref="BL901">IF($F901&lt;&gt;"", XLOOKUP($F901,Productos!$A$2:$A1001,Productos!BE$2:BE1001,"")*$G901,"")</f>
        <v/>
      </c>
      <c r="BM901" s="179" t="str">
        <f t="array" ref="BM901">IF($F901&lt;&gt;"",XLOOKUP($F901,Productos!$A:$A,Productos!BF:BF,"Revisar"),"")</f>
        <v/>
      </c>
      <c r="BN901" s="179" t="str">
        <f t="array" ref="BN901">IF($F901&lt;&gt;"", XLOOKUP($F901,Productos!$A$2:$A1001,Productos!BG$2:BG1001,"")*$G901,"")</f>
        <v/>
      </c>
      <c r="BO901" s="179" t="str">
        <f t="array" ref="BO901">IF($F901&lt;&gt;"",XLOOKUP($F901,Productos!$A:$A,Productos!BH:BH,"Revisar"),"")</f>
        <v/>
      </c>
      <c r="BP901" s="179" t="str">
        <f t="array" ref="BP901">IF($F901&lt;&gt;"", XLOOKUP($F901,Productos!$A$2:$A1001,Productos!BI$2:BI1001,"")*$G901,"")</f>
        <v/>
      </c>
      <c r="BQ901" s="179" t="str">
        <f t="array" ref="BQ901">IF($F901&lt;&gt;"",XLOOKUP($F901,Productos!$A:$A,Productos!BJ:BJ,"Revisar"),"")</f>
        <v/>
      </c>
      <c r="BR901" s="179" t="str">
        <f t="array" ref="BR901">IF($F901&lt;&gt;"", XLOOKUP($F901,Productos!$A$2:$A1001,Productos!BK$2:BK1001,"")*$G901,"")</f>
        <v/>
      </c>
      <c r="BS901" s="179" t="str">
        <f t="array" ref="BS901">IF($F901&lt;&gt;"",XLOOKUP($F901,Productos!$A:$A,Productos!BL:BL,"Revisar"),"")</f>
        <v/>
      </c>
      <c r="BT901" s="179" t="str">
        <f t="array" ref="BT901">IF($F901&lt;&gt;"", XLOOKUP($F901,Productos!$A$2:$A1001,Productos!BM$2:BM1001,"")*$G901,"")</f>
        <v/>
      </c>
      <c r="BU901" s="179" t="str">
        <f t="array" ref="BU901">IF($F901&lt;&gt;"",XLOOKUP($F901,Productos!$A:$A,Productos!BN:BN,"Revisar"),"")</f>
        <v/>
      </c>
      <c r="BV901" s="179" t="str">
        <f t="array" ref="BV901">IF($F901&lt;&gt;"", XLOOKUP($F901,Productos!$A$2:$A1001,Productos!BO$2:BO1001,"")*$G901,"")</f>
        <v/>
      </c>
      <c r="BW901" s="179" t="str">
        <f t="array" ref="BW901">IF($F901&lt;&gt;"",XLOOKUP($F901,Productos!$A:$A,Productos!BP:BP,"Revisar"),"")</f>
        <v/>
      </c>
      <c r="BX901" s="179" t="str">
        <f t="array" ref="BX901">IF($F901&lt;&gt;"", XLOOKUP($F901,Productos!$A$2:$A1001,Productos!BQ$2:BQ1001,"")*$G901,"")</f>
        <v/>
      </c>
      <c r="BY901" s="179" t="str">
        <f t="array" ref="BY901">IF($F901&lt;&gt;"",XLOOKUP($F901,Productos!$A:$A,Productos!BR:BR,"Revisar"),"")</f>
        <v/>
      </c>
      <c r="BZ901" s="179" t="str">
        <f t="array" ref="BZ901">IF($F901&lt;&gt;"", XLOOKUP($F901,Productos!$A$2:$A1001,Productos!BS$2:BS1001,"")*$G901,"")</f>
        <v/>
      </c>
    </row>
    <row r="902">
      <c r="A902" s="188"/>
      <c r="B902" s="189"/>
      <c r="C902" s="190"/>
      <c r="D902" s="190"/>
      <c r="E902" s="191"/>
      <c r="F902" s="186"/>
      <c r="G902" s="192"/>
      <c r="H902" s="9"/>
      <c r="I902" s="179" t="str">
        <f t="array" ref="I902">IF($F902&lt;&gt;"",XLOOKUP($F902,Productos!$A:$A,Productos!B:B,"Revisar"),"")</f>
        <v/>
      </c>
      <c r="J902" s="179" t="str">
        <f t="array" ref="J902">IF($F902&lt;&gt;"", XLOOKUP($F902,Productos!$A$2:$A1001,Productos!C$2:C1001,"")*$G902,"")</f>
        <v/>
      </c>
      <c r="K902" s="179" t="str">
        <f t="array" ref="K902">IF($F902&lt;&gt;"",XLOOKUP($F902,Productos!$A:$A,Productos!D:D,"Revisar"),"")</f>
        <v/>
      </c>
      <c r="L902" s="179" t="str">
        <f t="array" ref="L902">IF($F902&lt;&gt;"", XLOOKUP($F902,Productos!$A$2:$A1001,Productos!E$2:E1001,"")*$G902,"")</f>
        <v/>
      </c>
      <c r="M902" s="179" t="str">
        <f t="array" ref="M902">IF($F902&lt;&gt;"",XLOOKUP($F902,Productos!$A:$A,Productos!F:F,"Revisar"),"")</f>
        <v/>
      </c>
      <c r="N902" s="179" t="str">
        <f t="array" ref="N902">IF($F902&lt;&gt;"", XLOOKUP($F902,Productos!$A$2:$A1001,Productos!G$2:G1001,"")*$G902,"")</f>
        <v/>
      </c>
      <c r="O902" s="179" t="str">
        <f t="array" ref="O902">IF($F902&lt;&gt;"",XLOOKUP($F902,Productos!$A:$A,Productos!H:H,"Revisar"),"")</f>
        <v/>
      </c>
      <c r="P902" s="179" t="str">
        <f t="array" ref="P902">IF($F902&lt;&gt;"", XLOOKUP($F902,Productos!$A$2:$A1001,Productos!I$2:I1001,"")*$G902,"")</f>
        <v/>
      </c>
      <c r="Q902" s="179" t="str">
        <f t="array" ref="Q902">IF($F902&lt;&gt;"",XLOOKUP($F902,Productos!$A:$A,Productos!J:J,"Revisar"),"")</f>
        <v/>
      </c>
      <c r="R902" s="179" t="str">
        <f t="array" ref="R902">IF($F902&lt;&gt;"", XLOOKUP($F902,Productos!$A$2:$A1001,Productos!K$2:K1001,"")*$G902,"")</f>
        <v/>
      </c>
      <c r="S902" s="179" t="str">
        <f t="array" ref="S902">IF($F902&lt;&gt;"",XLOOKUP($F902,Productos!$A:$A,Productos!L:L,"Revisar"),"")</f>
        <v/>
      </c>
      <c r="T902" s="179" t="str">
        <f t="array" ref="T902">IF($F902&lt;&gt;"", XLOOKUP($F902,Productos!$A$2:$A1001,Productos!M$2:M1001,"")*$G902,"")</f>
        <v/>
      </c>
      <c r="U902" s="179" t="str">
        <f t="array" ref="U902">IF($F902&lt;&gt;"",XLOOKUP($F902,Productos!$A:$A,Productos!N:N,"Revisar"),"")</f>
        <v/>
      </c>
      <c r="V902" s="179" t="str">
        <f t="array" ref="V902">IF($F902&lt;&gt;"", XLOOKUP($F902,Productos!$A$2:$A1001,Productos!O$2:O1001,"")*$G902,"")</f>
        <v/>
      </c>
      <c r="W902" s="179" t="str">
        <f t="array" ref="W902">IF($F902&lt;&gt;"",XLOOKUP($F902,Productos!$A:$A,Productos!P:P,"Revisar"),"")</f>
        <v/>
      </c>
      <c r="X902" s="179" t="str">
        <f t="array" ref="X902">IF($F902&lt;&gt;"", XLOOKUP($F902,Productos!$A$2:$A1001,Productos!Q$2:Q1001,"")*$G902,"")</f>
        <v/>
      </c>
      <c r="Y902" s="179" t="str">
        <f t="array" ref="Y902">IF($F902&lt;&gt;"",XLOOKUP($F902,Productos!$A:$A,Productos!R:R,"Revisar"),"")</f>
        <v/>
      </c>
      <c r="Z902" s="179" t="str">
        <f t="array" ref="Z902">IF($F902&lt;&gt;"", XLOOKUP($F902,Productos!$A$2:$A1001,Productos!S$2:S1001,"")*$G902,"")</f>
        <v/>
      </c>
      <c r="AA902" s="179" t="str">
        <f t="array" ref="AA902">IF($F902&lt;&gt;"",XLOOKUP($F902,Productos!$A:$A,Productos!T:T,"Revisar"),"")</f>
        <v/>
      </c>
      <c r="AB902" s="179" t="str">
        <f t="array" ref="AB902">IF($F902&lt;&gt;"", XLOOKUP($F902,Productos!$A$2:$A1001,Productos!U$2:U1001,"")*$G902,"")</f>
        <v/>
      </c>
      <c r="AC902" s="179" t="str">
        <f t="array" ref="AC902">IF($F902&lt;&gt;"",XLOOKUP($F902,Productos!$A:$A,Productos!V:V,"Revisar"),"")</f>
        <v/>
      </c>
      <c r="AD902" s="179" t="str">
        <f t="array" ref="AD902">IF($F902&lt;&gt;"", XLOOKUP($F902,Productos!$A$2:$A1001,Productos!W$2:W1001,"")*$G902,"")</f>
        <v/>
      </c>
      <c r="AE902" s="179" t="str">
        <f t="array" ref="AE902">IF($F902&lt;&gt;"",XLOOKUP($F902,Productos!$A:$A,Productos!X:X,"Revisar"),"")</f>
        <v/>
      </c>
      <c r="AF902" s="179" t="str">
        <f t="array" ref="AF902">IF($F902&lt;&gt;"", XLOOKUP($F902,Productos!$A$2:$A1001,Productos!Y$2:Y1001,"")*$G902,"")</f>
        <v/>
      </c>
      <c r="AG902" s="179" t="str">
        <f t="array" ref="AG902">IF($F902&lt;&gt;"",XLOOKUP($F902,Productos!$A:$A,Productos!Z:Z,"Revisar"),"")</f>
        <v/>
      </c>
      <c r="AH902" s="179" t="str">
        <f t="array" ref="AH902">IF($F902&lt;&gt;"", XLOOKUP($F902,Productos!$A$2:$A1001,Productos!AA$2:AA1001,"")*$G902,"")</f>
        <v/>
      </c>
      <c r="AI902" s="179" t="str">
        <f t="array" ref="AI902">IF($F902&lt;&gt;"",XLOOKUP($F902,Productos!$A:$A,Productos!AB:AB,"Revisar"),"")</f>
        <v/>
      </c>
      <c r="AJ902" s="179" t="str">
        <f t="array" ref="AJ902">IF($F902&lt;&gt;"", XLOOKUP($F902,Productos!$A$2:$A1001,Productos!AC$2:AC1001,"")*$G902,"")</f>
        <v/>
      </c>
      <c r="AK902" s="179" t="str">
        <f t="array" ref="AK902">IF($F902&lt;&gt;"",XLOOKUP($F902,Productos!$A:$A,Productos!AD:AD,"Revisar"),"")</f>
        <v/>
      </c>
      <c r="AL902" s="179" t="str">
        <f t="array" ref="AL902">IF($F902&lt;&gt;"", XLOOKUP($F902,Productos!$A$2:$A1001,Productos!AE$2:AE1001,"")*$G902,"")</f>
        <v/>
      </c>
      <c r="AM902" s="179" t="str">
        <f t="array" ref="AM902">IF($F902&lt;&gt;"",XLOOKUP($F902,Productos!$A:$A,Productos!AF:AF,"Revisar"),"")</f>
        <v/>
      </c>
      <c r="AN902" s="179" t="str">
        <f t="array" ref="AN902">IF($F902&lt;&gt;"", XLOOKUP($F902,Productos!$A$2:$A1001,Productos!AG$2:AG1001,"")*$G902,"")</f>
        <v/>
      </c>
      <c r="AO902" s="179" t="str">
        <f t="array" ref="AO902">IF($F902&lt;&gt;"",XLOOKUP($F902,Productos!$A:$A,Productos!AH:AH,"Revisar"),"")</f>
        <v/>
      </c>
      <c r="AP902" s="179" t="str">
        <f t="array" ref="AP902">IF($F902&lt;&gt;"", XLOOKUP($F902,Productos!$A$2:$A1001,Productos!AI$2:AI1001,"")*$G902,"")</f>
        <v/>
      </c>
      <c r="AQ902" s="179" t="str">
        <f t="array" ref="AQ902">IF($F902&lt;&gt;"",XLOOKUP($F902,Productos!$A:$A,Productos!AJ:AJ,"Revisar"),"")</f>
        <v/>
      </c>
      <c r="AR902" s="179" t="str">
        <f t="array" ref="AR902">IF($F902&lt;&gt;"", XLOOKUP($F902,Productos!$A$2:$A1001,Productos!AK$2:AK1001,"")*$G902,"")</f>
        <v/>
      </c>
      <c r="AS902" s="179" t="str">
        <f t="array" ref="AS902">IF($F902&lt;&gt;"",XLOOKUP($F902,Productos!$A:$A,Productos!AL:AL,"Revisar"),"")</f>
        <v/>
      </c>
      <c r="AT902" s="179" t="str">
        <f t="array" ref="AT902">IF($F902&lt;&gt;"", XLOOKUP($F902,Productos!$A$2:$A1001,Productos!AM$2:AM1001,"")*$G902,"")</f>
        <v/>
      </c>
      <c r="AU902" s="179" t="str">
        <f t="array" ref="AU902">IF($F902&lt;&gt;"",XLOOKUP($F902,Productos!$A:$A,Productos!AN:AN,"Revisar"),"")</f>
        <v/>
      </c>
      <c r="AV902" s="179" t="str">
        <f t="array" ref="AV902">IF($F902&lt;&gt;"", XLOOKUP($F902,Productos!$A$2:$A1001,Productos!AO$2:AO1001,"")*$G902,"")</f>
        <v/>
      </c>
      <c r="AW902" s="179" t="str">
        <f t="array" ref="AW902">IF($F902&lt;&gt;"",XLOOKUP($F902,Productos!$A:$A,Productos!AP:AP,"Revisar"),"")</f>
        <v/>
      </c>
      <c r="AX902" s="179" t="str">
        <f t="array" ref="AX902">IF($F902&lt;&gt;"", XLOOKUP($F902,Productos!$A$2:$A1001,Productos!AQ$2:AQ1001,"")*$G902,"")</f>
        <v/>
      </c>
      <c r="AY902" s="179" t="str">
        <f t="array" ref="AY902">IF($F902&lt;&gt;"",XLOOKUP($F902,Productos!$A:$A,Productos!AR:AR,"Revisar"),"")</f>
        <v/>
      </c>
      <c r="AZ902" s="179" t="str">
        <f t="array" ref="AZ902">IF($F902&lt;&gt;"", XLOOKUP($F902,Productos!$A$2:$A1001,Productos!AS$2:AS1001,"")*$G902,"")</f>
        <v/>
      </c>
      <c r="BA902" s="179" t="str">
        <f t="array" ref="BA902">IF($F902&lt;&gt;"",XLOOKUP($F902,Productos!$A:$A,Productos!AT:AT,"Revisar"),"")</f>
        <v/>
      </c>
      <c r="BB902" s="179" t="str">
        <f t="array" ref="BB902">IF($F902&lt;&gt;"", XLOOKUP($F902,Productos!$A$2:$A1001,Productos!AU$2:AU1001,"")*$G902,"")</f>
        <v/>
      </c>
      <c r="BC902" s="179" t="str">
        <f t="array" ref="BC902">IF($F902&lt;&gt;"",XLOOKUP($F902,Productos!$A:$A,Productos!AV:AV,"Revisar"),"")</f>
        <v/>
      </c>
      <c r="BD902" s="179" t="str">
        <f t="array" ref="BD902">IF($F902&lt;&gt;"", XLOOKUP($F902,Productos!$A$2:$A1001,Productos!AW$2:AW1001,"")*$G902,"")</f>
        <v/>
      </c>
      <c r="BE902" s="179" t="str">
        <f t="array" ref="BE902">IF($F902&lt;&gt;"",XLOOKUP($F902,Productos!$A:$A,Productos!AX:AX,"Revisar"),"")</f>
        <v/>
      </c>
      <c r="BF902" s="179" t="str">
        <f t="array" ref="BF902">IF($F902&lt;&gt;"", XLOOKUP($F902,Productos!$A$2:$A1001,Productos!AY$2:AY1001,"")*$G902,"")</f>
        <v/>
      </c>
      <c r="BG902" s="179" t="str">
        <f t="array" ref="BG902">IF($F902&lt;&gt;"",XLOOKUP($F902,Productos!$A:$A,Productos!AZ:AZ,"Revisar"),"")</f>
        <v/>
      </c>
      <c r="BH902" s="179" t="str">
        <f t="array" ref="BH902">IF($F902&lt;&gt;"", XLOOKUP($F902,Productos!$A$2:$A1001,Productos!BA$2:BA1001,"")*$G902,"")</f>
        <v/>
      </c>
      <c r="BI902" s="179" t="str">
        <f t="array" ref="BI902">IF($F902&lt;&gt;"",XLOOKUP($F902,Productos!$A:$A,Productos!BB:BB,"Revisar"),"")</f>
        <v/>
      </c>
      <c r="BJ902" s="179" t="str">
        <f t="array" ref="BJ902">IF($F902&lt;&gt;"", XLOOKUP($F902,Productos!$A$2:$A1001,Productos!BC$2:BC1001,"")*$G902,"")</f>
        <v/>
      </c>
      <c r="BK902" s="179" t="str">
        <f t="array" ref="BK902">IF($F902&lt;&gt;"",XLOOKUP($F902,Productos!$A:$A,Productos!BD:BD,"Revisar"),"")</f>
        <v/>
      </c>
      <c r="BL902" s="179" t="str">
        <f t="array" ref="BL902">IF($F902&lt;&gt;"", XLOOKUP($F902,Productos!$A$2:$A1001,Productos!BE$2:BE1001,"")*$G902,"")</f>
        <v/>
      </c>
      <c r="BM902" s="179" t="str">
        <f t="array" ref="BM902">IF($F902&lt;&gt;"",XLOOKUP($F902,Productos!$A:$A,Productos!BF:BF,"Revisar"),"")</f>
        <v/>
      </c>
      <c r="BN902" s="179" t="str">
        <f t="array" ref="BN902">IF($F902&lt;&gt;"", XLOOKUP($F902,Productos!$A$2:$A1001,Productos!BG$2:BG1001,"")*$G902,"")</f>
        <v/>
      </c>
      <c r="BO902" s="179" t="str">
        <f t="array" ref="BO902">IF($F902&lt;&gt;"",XLOOKUP($F902,Productos!$A:$A,Productos!BH:BH,"Revisar"),"")</f>
        <v/>
      </c>
      <c r="BP902" s="179" t="str">
        <f t="array" ref="BP902">IF($F902&lt;&gt;"", XLOOKUP($F902,Productos!$A$2:$A1001,Productos!BI$2:BI1001,"")*$G902,"")</f>
        <v/>
      </c>
      <c r="BQ902" s="179" t="str">
        <f t="array" ref="BQ902">IF($F902&lt;&gt;"",XLOOKUP($F902,Productos!$A:$A,Productos!BJ:BJ,"Revisar"),"")</f>
        <v/>
      </c>
      <c r="BR902" s="179" t="str">
        <f t="array" ref="BR902">IF($F902&lt;&gt;"", XLOOKUP($F902,Productos!$A$2:$A1001,Productos!BK$2:BK1001,"")*$G902,"")</f>
        <v/>
      </c>
      <c r="BS902" s="179" t="str">
        <f t="array" ref="BS902">IF($F902&lt;&gt;"",XLOOKUP($F902,Productos!$A:$A,Productos!BL:BL,"Revisar"),"")</f>
        <v/>
      </c>
      <c r="BT902" s="179" t="str">
        <f t="array" ref="BT902">IF($F902&lt;&gt;"", XLOOKUP($F902,Productos!$A$2:$A1001,Productos!BM$2:BM1001,"")*$G902,"")</f>
        <v/>
      </c>
      <c r="BU902" s="179" t="str">
        <f t="array" ref="BU902">IF($F902&lt;&gt;"",XLOOKUP($F902,Productos!$A:$A,Productos!BN:BN,"Revisar"),"")</f>
        <v/>
      </c>
      <c r="BV902" s="179" t="str">
        <f t="array" ref="BV902">IF($F902&lt;&gt;"", XLOOKUP($F902,Productos!$A$2:$A1001,Productos!BO$2:BO1001,"")*$G902,"")</f>
        <v/>
      </c>
      <c r="BW902" s="179" t="str">
        <f t="array" ref="BW902">IF($F902&lt;&gt;"",XLOOKUP($F902,Productos!$A:$A,Productos!BP:BP,"Revisar"),"")</f>
        <v/>
      </c>
      <c r="BX902" s="179" t="str">
        <f t="array" ref="BX902">IF($F902&lt;&gt;"", XLOOKUP($F902,Productos!$A$2:$A1001,Productos!BQ$2:BQ1001,"")*$G902,"")</f>
        <v/>
      </c>
      <c r="BY902" s="179" t="str">
        <f t="array" ref="BY902">IF($F902&lt;&gt;"",XLOOKUP($F902,Productos!$A:$A,Productos!BR:BR,"Revisar"),"")</f>
        <v/>
      </c>
      <c r="BZ902" s="179" t="str">
        <f t="array" ref="BZ902">IF($F902&lt;&gt;"", XLOOKUP($F902,Productos!$A$2:$A1001,Productos!BS$2:BS1001,"")*$G902,"")</f>
        <v/>
      </c>
    </row>
    <row r="903">
      <c r="A903" s="188"/>
      <c r="B903" s="189"/>
      <c r="C903" s="190"/>
      <c r="D903" s="190"/>
      <c r="E903" s="191"/>
      <c r="F903" s="186"/>
      <c r="G903" s="192"/>
      <c r="H903" s="9"/>
      <c r="I903" s="179" t="str">
        <f t="array" ref="I903">IF($F903&lt;&gt;"",XLOOKUP($F903,Productos!$A:$A,Productos!B:B,"Revisar"),"")</f>
        <v/>
      </c>
      <c r="J903" s="179" t="str">
        <f t="array" ref="J903">IF($F903&lt;&gt;"", XLOOKUP($F903,Productos!$A$2:$A1001,Productos!C$2:C1001,"")*$G903,"")</f>
        <v/>
      </c>
      <c r="K903" s="179" t="str">
        <f t="array" ref="K903">IF($F903&lt;&gt;"",XLOOKUP($F903,Productos!$A:$A,Productos!D:D,"Revisar"),"")</f>
        <v/>
      </c>
      <c r="L903" s="179" t="str">
        <f t="array" ref="L903">IF($F903&lt;&gt;"", XLOOKUP($F903,Productos!$A$2:$A1001,Productos!E$2:E1001,"")*$G903,"")</f>
        <v/>
      </c>
      <c r="M903" s="179" t="str">
        <f t="array" ref="M903">IF($F903&lt;&gt;"",XLOOKUP($F903,Productos!$A:$A,Productos!F:F,"Revisar"),"")</f>
        <v/>
      </c>
      <c r="N903" s="179" t="str">
        <f t="array" ref="N903">IF($F903&lt;&gt;"", XLOOKUP($F903,Productos!$A$2:$A1001,Productos!G$2:G1001,"")*$G903,"")</f>
        <v/>
      </c>
      <c r="O903" s="179" t="str">
        <f t="array" ref="O903">IF($F903&lt;&gt;"",XLOOKUP($F903,Productos!$A:$A,Productos!H:H,"Revisar"),"")</f>
        <v/>
      </c>
      <c r="P903" s="179" t="str">
        <f t="array" ref="P903">IF($F903&lt;&gt;"", XLOOKUP($F903,Productos!$A$2:$A1001,Productos!I$2:I1001,"")*$G903,"")</f>
        <v/>
      </c>
      <c r="Q903" s="179" t="str">
        <f t="array" ref="Q903">IF($F903&lt;&gt;"",XLOOKUP($F903,Productos!$A:$A,Productos!J:J,"Revisar"),"")</f>
        <v/>
      </c>
      <c r="R903" s="179" t="str">
        <f t="array" ref="R903">IF($F903&lt;&gt;"", XLOOKUP($F903,Productos!$A$2:$A1001,Productos!K$2:K1001,"")*$G903,"")</f>
        <v/>
      </c>
      <c r="S903" s="179" t="str">
        <f t="array" ref="S903">IF($F903&lt;&gt;"",XLOOKUP($F903,Productos!$A:$A,Productos!L:L,"Revisar"),"")</f>
        <v/>
      </c>
      <c r="T903" s="179" t="str">
        <f t="array" ref="T903">IF($F903&lt;&gt;"", XLOOKUP($F903,Productos!$A$2:$A1001,Productos!M$2:M1001,"")*$G903,"")</f>
        <v/>
      </c>
      <c r="U903" s="179" t="str">
        <f t="array" ref="U903">IF($F903&lt;&gt;"",XLOOKUP($F903,Productos!$A:$A,Productos!N:N,"Revisar"),"")</f>
        <v/>
      </c>
      <c r="V903" s="179" t="str">
        <f t="array" ref="V903">IF($F903&lt;&gt;"", XLOOKUP($F903,Productos!$A$2:$A1001,Productos!O$2:O1001,"")*$G903,"")</f>
        <v/>
      </c>
      <c r="W903" s="179" t="str">
        <f t="array" ref="W903">IF($F903&lt;&gt;"",XLOOKUP($F903,Productos!$A:$A,Productos!P:P,"Revisar"),"")</f>
        <v/>
      </c>
      <c r="X903" s="179" t="str">
        <f t="array" ref="X903">IF($F903&lt;&gt;"", XLOOKUP($F903,Productos!$A$2:$A1001,Productos!Q$2:Q1001,"")*$G903,"")</f>
        <v/>
      </c>
      <c r="Y903" s="179" t="str">
        <f t="array" ref="Y903">IF($F903&lt;&gt;"",XLOOKUP($F903,Productos!$A:$A,Productos!R:R,"Revisar"),"")</f>
        <v/>
      </c>
      <c r="Z903" s="179" t="str">
        <f t="array" ref="Z903">IF($F903&lt;&gt;"", XLOOKUP($F903,Productos!$A$2:$A1001,Productos!S$2:S1001,"")*$G903,"")</f>
        <v/>
      </c>
      <c r="AA903" s="179" t="str">
        <f t="array" ref="AA903">IF($F903&lt;&gt;"",XLOOKUP($F903,Productos!$A:$A,Productos!T:T,"Revisar"),"")</f>
        <v/>
      </c>
      <c r="AB903" s="179" t="str">
        <f t="array" ref="AB903">IF($F903&lt;&gt;"", XLOOKUP($F903,Productos!$A$2:$A1001,Productos!U$2:U1001,"")*$G903,"")</f>
        <v/>
      </c>
      <c r="AC903" s="179" t="str">
        <f t="array" ref="AC903">IF($F903&lt;&gt;"",XLOOKUP($F903,Productos!$A:$A,Productos!V:V,"Revisar"),"")</f>
        <v/>
      </c>
      <c r="AD903" s="179" t="str">
        <f t="array" ref="AD903">IF($F903&lt;&gt;"", XLOOKUP($F903,Productos!$A$2:$A1001,Productos!W$2:W1001,"")*$G903,"")</f>
        <v/>
      </c>
      <c r="AE903" s="179" t="str">
        <f t="array" ref="AE903">IF($F903&lt;&gt;"",XLOOKUP($F903,Productos!$A:$A,Productos!X:X,"Revisar"),"")</f>
        <v/>
      </c>
      <c r="AF903" s="179" t="str">
        <f t="array" ref="AF903">IF($F903&lt;&gt;"", XLOOKUP($F903,Productos!$A$2:$A1001,Productos!Y$2:Y1001,"")*$G903,"")</f>
        <v/>
      </c>
      <c r="AG903" s="179" t="str">
        <f t="array" ref="AG903">IF($F903&lt;&gt;"",XLOOKUP($F903,Productos!$A:$A,Productos!Z:Z,"Revisar"),"")</f>
        <v/>
      </c>
      <c r="AH903" s="179" t="str">
        <f t="array" ref="AH903">IF($F903&lt;&gt;"", XLOOKUP($F903,Productos!$A$2:$A1001,Productos!AA$2:AA1001,"")*$G903,"")</f>
        <v/>
      </c>
      <c r="AI903" s="179" t="str">
        <f t="array" ref="AI903">IF($F903&lt;&gt;"",XLOOKUP($F903,Productos!$A:$A,Productos!AB:AB,"Revisar"),"")</f>
        <v/>
      </c>
      <c r="AJ903" s="179" t="str">
        <f t="array" ref="AJ903">IF($F903&lt;&gt;"", XLOOKUP($F903,Productos!$A$2:$A1001,Productos!AC$2:AC1001,"")*$G903,"")</f>
        <v/>
      </c>
      <c r="AK903" s="179" t="str">
        <f t="array" ref="AK903">IF($F903&lt;&gt;"",XLOOKUP($F903,Productos!$A:$A,Productos!AD:AD,"Revisar"),"")</f>
        <v/>
      </c>
      <c r="AL903" s="179" t="str">
        <f t="array" ref="AL903">IF($F903&lt;&gt;"", XLOOKUP($F903,Productos!$A$2:$A1001,Productos!AE$2:AE1001,"")*$G903,"")</f>
        <v/>
      </c>
      <c r="AM903" s="179" t="str">
        <f t="array" ref="AM903">IF($F903&lt;&gt;"",XLOOKUP($F903,Productos!$A:$A,Productos!AF:AF,"Revisar"),"")</f>
        <v/>
      </c>
      <c r="AN903" s="179" t="str">
        <f t="array" ref="AN903">IF($F903&lt;&gt;"", XLOOKUP($F903,Productos!$A$2:$A1001,Productos!AG$2:AG1001,"")*$G903,"")</f>
        <v/>
      </c>
      <c r="AO903" s="179" t="str">
        <f t="array" ref="AO903">IF($F903&lt;&gt;"",XLOOKUP($F903,Productos!$A:$A,Productos!AH:AH,"Revisar"),"")</f>
        <v/>
      </c>
      <c r="AP903" s="179" t="str">
        <f t="array" ref="AP903">IF($F903&lt;&gt;"", XLOOKUP($F903,Productos!$A$2:$A1001,Productos!AI$2:AI1001,"")*$G903,"")</f>
        <v/>
      </c>
      <c r="AQ903" s="179" t="str">
        <f t="array" ref="AQ903">IF($F903&lt;&gt;"",XLOOKUP($F903,Productos!$A:$A,Productos!AJ:AJ,"Revisar"),"")</f>
        <v/>
      </c>
      <c r="AR903" s="179" t="str">
        <f t="array" ref="AR903">IF($F903&lt;&gt;"", XLOOKUP($F903,Productos!$A$2:$A1001,Productos!AK$2:AK1001,"")*$G903,"")</f>
        <v/>
      </c>
      <c r="AS903" s="179" t="str">
        <f t="array" ref="AS903">IF($F903&lt;&gt;"",XLOOKUP($F903,Productos!$A:$A,Productos!AL:AL,"Revisar"),"")</f>
        <v/>
      </c>
      <c r="AT903" s="179" t="str">
        <f t="array" ref="AT903">IF($F903&lt;&gt;"", XLOOKUP($F903,Productos!$A$2:$A1001,Productos!AM$2:AM1001,"")*$G903,"")</f>
        <v/>
      </c>
      <c r="AU903" s="179" t="str">
        <f t="array" ref="AU903">IF($F903&lt;&gt;"",XLOOKUP($F903,Productos!$A:$A,Productos!AN:AN,"Revisar"),"")</f>
        <v/>
      </c>
      <c r="AV903" s="179" t="str">
        <f t="array" ref="AV903">IF($F903&lt;&gt;"", XLOOKUP($F903,Productos!$A$2:$A1001,Productos!AO$2:AO1001,"")*$G903,"")</f>
        <v/>
      </c>
      <c r="AW903" s="179" t="str">
        <f t="array" ref="AW903">IF($F903&lt;&gt;"",XLOOKUP($F903,Productos!$A:$A,Productos!AP:AP,"Revisar"),"")</f>
        <v/>
      </c>
      <c r="AX903" s="179" t="str">
        <f t="array" ref="AX903">IF($F903&lt;&gt;"", XLOOKUP($F903,Productos!$A$2:$A1001,Productos!AQ$2:AQ1001,"")*$G903,"")</f>
        <v/>
      </c>
      <c r="AY903" s="179" t="str">
        <f t="array" ref="AY903">IF($F903&lt;&gt;"",XLOOKUP($F903,Productos!$A:$A,Productos!AR:AR,"Revisar"),"")</f>
        <v/>
      </c>
      <c r="AZ903" s="179" t="str">
        <f t="array" ref="AZ903">IF($F903&lt;&gt;"", XLOOKUP($F903,Productos!$A$2:$A1001,Productos!AS$2:AS1001,"")*$G903,"")</f>
        <v/>
      </c>
      <c r="BA903" s="179" t="str">
        <f t="array" ref="BA903">IF($F903&lt;&gt;"",XLOOKUP($F903,Productos!$A:$A,Productos!AT:AT,"Revisar"),"")</f>
        <v/>
      </c>
      <c r="BB903" s="179" t="str">
        <f t="array" ref="BB903">IF($F903&lt;&gt;"", XLOOKUP($F903,Productos!$A$2:$A1001,Productos!AU$2:AU1001,"")*$G903,"")</f>
        <v/>
      </c>
      <c r="BC903" s="179" t="str">
        <f t="array" ref="BC903">IF($F903&lt;&gt;"",XLOOKUP($F903,Productos!$A:$A,Productos!AV:AV,"Revisar"),"")</f>
        <v/>
      </c>
      <c r="BD903" s="179" t="str">
        <f t="array" ref="BD903">IF($F903&lt;&gt;"", XLOOKUP($F903,Productos!$A$2:$A1001,Productos!AW$2:AW1001,"")*$G903,"")</f>
        <v/>
      </c>
      <c r="BE903" s="179" t="str">
        <f t="array" ref="BE903">IF($F903&lt;&gt;"",XLOOKUP($F903,Productos!$A:$A,Productos!AX:AX,"Revisar"),"")</f>
        <v/>
      </c>
      <c r="BF903" s="179" t="str">
        <f t="array" ref="BF903">IF($F903&lt;&gt;"", XLOOKUP($F903,Productos!$A$2:$A1001,Productos!AY$2:AY1001,"")*$G903,"")</f>
        <v/>
      </c>
      <c r="BG903" s="179" t="str">
        <f t="array" ref="BG903">IF($F903&lt;&gt;"",XLOOKUP($F903,Productos!$A:$A,Productos!AZ:AZ,"Revisar"),"")</f>
        <v/>
      </c>
      <c r="BH903" s="179" t="str">
        <f t="array" ref="BH903">IF($F903&lt;&gt;"", XLOOKUP($F903,Productos!$A$2:$A1001,Productos!BA$2:BA1001,"")*$G903,"")</f>
        <v/>
      </c>
      <c r="BI903" s="179" t="str">
        <f t="array" ref="BI903">IF($F903&lt;&gt;"",XLOOKUP($F903,Productos!$A:$A,Productos!BB:BB,"Revisar"),"")</f>
        <v/>
      </c>
      <c r="BJ903" s="179" t="str">
        <f t="array" ref="BJ903">IF($F903&lt;&gt;"", XLOOKUP($F903,Productos!$A$2:$A1001,Productos!BC$2:BC1001,"")*$G903,"")</f>
        <v/>
      </c>
      <c r="BK903" s="179" t="str">
        <f t="array" ref="BK903">IF($F903&lt;&gt;"",XLOOKUP($F903,Productos!$A:$A,Productos!BD:BD,"Revisar"),"")</f>
        <v/>
      </c>
      <c r="BL903" s="179" t="str">
        <f t="array" ref="BL903">IF($F903&lt;&gt;"", XLOOKUP($F903,Productos!$A$2:$A1001,Productos!BE$2:BE1001,"")*$G903,"")</f>
        <v/>
      </c>
      <c r="BM903" s="179" t="str">
        <f t="array" ref="BM903">IF($F903&lt;&gt;"",XLOOKUP($F903,Productos!$A:$A,Productos!BF:BF,"Revisar"),"")</f>
        <v/>
      </c>
      <c r="BN903" s="179" t="str">
        <f t="array" ref="BN903">IF($F903&lt;&gt;"", XLOOKUP($F903,Productos!$A$2:$A1001,Productos!BG$2:BG1001,"")*$G903,"")</f>
        <v/>
      </c>
      <c r="BO903" s="179" t="str">
        <f t="array" ref="BO903">IF($F903&lt;&gt;"",XLOOKUP($F903,Productos!$A:$A,Productos!BH:BH,"Revisar"),"")</f>
        <v/>
      </c>
      <c r="BP903" s="179" t="str">
        <f t="array" ref="BP903">IF($F903&lt;&gt;"", XLOOKUP($F903,Productos!$A$2:$A1001,Productos!BI$2:BI1001,"")*$G903,"")</f>
        <v/>
      </c>
      <c r="BQ903" s="179" t="str">
        <f t="array" ref="BQ903">IF($F903&lt;&gt;"",XLOOKUP($F903,Productos!$A:$A,Productos!BJ:BJ,"Revisar"),"")</f>
        <v/>
      </c>
      <c r="BR903" s="179" t="str">
        <f t="array" ref="BR903">IF($F903&lt;&gt;"", XLOOKUP($F903,Productos!$A$2:$A1001,Productos!BK$2:BK1001,"")*$G903,"")</f>
        <v/>
      </c>
      <c r="BS903" s="179" t="str">
        <f t="array" ref="BS903">IF($F903&lt;&gt;"",XLOOKUP($F903,Productos!$A:$A,Productos!BL:BL,"Revisar"),"")</f>
        <v/>
      </c>
      <c r="BT903" s="179" t="str">
        <f t="array" ref="BT903">IF($F903&lt;&gt;"", XLOOKUP($F903,Productos!$A$2:$A1001,Productos!BM$2:BM1001,"")*$G903,"")</f>
        <v/>
      </c>
      <c r="BU903" s="179" t="str">
        <f t="array" ref="BU903">IF($F903&lt;&gt;"",XLOOKUP($F903,Productos!$A:$A,Productos!BN:BN,"Revisar"),"")</f>
        <v/>
      </c>
      <c r="BV903" s="179" t="str">
        <f t="array" ref="BV903">IF($F903&lt;&gt;"", XLOOKUP($F903,Productos!$A$2:$A1001,Productos!BO$2:BO1001,"")*$G903,"")</f>
        <v/>
      </c>
      <c r="BW903" s="179" t="str">
        <f t="array" ref="BW903">IF($F903&lt;&gt;"",XLOOKUP($F903,Productos!$A:$A,Productos!BP:BP,"Revisar"),"")</f>
        <v/>
      </c>
      <c r="BX903" s="179" t="str">
        <f t="array" ref="BX903">IF($F903&lt;&gt;"", XLOOKUP($F903,Productos!$A$2:$A1001,Productos!BQ$2:BQ1001,"")*$G903,"")</f>
        <v/>
      </c>
      <c r="BY903" s="179" t="str">
        <f t="array" ref="BY903">IF($F903&lt;&gt;"",XLOOKUP($F903,Productos!$A:$A,Productos!BR:BR,"Revisar"),"")</f>
        <v/>
      </c>
      <c r="BZ903" s="179" t="str">
        <f t="array" ref="BZ903">IF($F903&lt;&gt;"", XLOOKUP($F903,Productos!$A$2:$A1001,Productos!BS$2:BS1001,"")*$G903,"")</f>
        <v/>
      </c>
    </row>
    <row r="904">
      <c r="A904" s="188"/>
      <c r="B904" s="189"/>
      <c r="C904" s="190"/>
      <c r="D904" s="190"/>
      <c r="E904" s="191"/>
      <c r="F904" s="186"/>
      <c r="G904" s="192"/>
      <c r="H904" s="9"/>
      <c r="I904" s="179" t="str">
        <f t="array" ref="I904">IF($F904&lt;&gt;"",XLOOKUP($F904,Productos!$A:$A,Productos!B:B,"Revisar"),"")</f>
        <v/>
      </c>
      <c r="J904" s="179" t="str">
        <f t="array" ref="J904">IF($F904&lt;&gt;"", XLOOKUP($F904,Productos!$A$2:$A1001,Productos!C$2:C1001,"")*$G904,"")</f>
        <v/>
      </c>
      <c r="K904" s="179" t="str">
        <f t="array" ref="K904">IF($F904&lt;&gt;"",XLOOKUP($F904,Productos!$A:$A,Productos!D:D,"Revisar"),"")</f>
        <v/>
      </c>
      <c r="L904" s="179" t="str">
        <f t="array" ref="L904">IF($F904&lt;&gt;"", XLOOKUP($F904,Productos!$A$2:$A1001,Productos!E$2:E1001,"")*$G904,"")</f>
        <v/>
      </c>
      <c r="M904" s="179" t="str">
        <f t="array" ref="M904">IF($F904&lt;&gt;"",XLOOKUP($F904,Productos!$A:$A,Productos!F:F,"Revisar"),"")</f>
        <v/>
      </c>
      <c r="N904" s="179" t="str">
        <f t="array" ref="N904">IF($F904&lt;&gt;"", XLOOKUP($F904,Productos!$A$2:$A1001,Productos!G$2:G1001,"")*$G904,"")</f>
        <v/>
      </c>
      <c r="O904" s="179" t="str">
        <f t="array" ref="O904">IF($F904&lt;&gt;"",XLOOKUP($F904,Productos!$A:$A,Productos!H:H,"Revisar"),"")</f>
        <v/>
      </c>
      <c r="P904" s="179" t="str">
        <f t="array" ref="P904">IF($F904&lt;&gt;"", XLOOKUP($F904,Productos!$A$2:$A1001,Productos!I$2:I1001,"")*$G904,"")</f>
        <v/>
      </c>
      <c r="Q904" s="179" t="str">
        <f t="array" ref="Q904">IF($F904&lt;&gt;"",XLOOKUP($F904,Productos!$A:$A,Productos!J:J,"Revisar"),"")</f>
        <v/>
      </c>
      <c r="R904" s="179" t="str">
        <f t="array" ref="R904">IF($F904&lt;&gt;"", XLOOKUP($F904,Productos!$A$2:$A1001,Productos!K$2:K1001,"")*$G904,"")</f>
        <v/>
      </c>
      <c r="S904" s="179" t="str">
        <f t="array" ref="S904">IF($F904&lt;&gt;"",XLOOKUP($F904,Productos!$A:$A,Productos!L:L,"Revisar"),"")</f>
        <v/>
      </c>
      <c r="T904" s="179" t="str">
        <f t="array" ref="T904">IF($F904&lt;&gt;"", XLOOKUP($F904,Productos!$A$2:$A1001,Productos!M$2:M1001,"")*$G904,"")</f>
        <v/>
      </c>
      <c r="U904" s="179" t="str">
        <f t="array" ref="U904">IF($F904&lt;&gt;"",XLOOKUP($F904,Productos!$A:$A,Productos!N:N,"Revisar"),"")</f>
        <v/>
      </c>
      <c r="V904" s="179" t="str">
        <f t="array" ref="V904">IF($F904&lt;&gt;"", XLOOKUP($F904,Productos!$A$2:$A1001,Productos!O$2:O1001,"")*$G904,"")</f>
        <v/>
      </c>
      <c r="W904" s="179" t="str">
        <f t="array" ref="W904">IF($F904&lt;&gt;"",XLOOKUP($F904,Productos!$A:$A,Productos!P:P,"Revisar"),"")</f>
        <v/>
      </c>
      <c r="X904" s="179" t="str">
        <f t="array" ref="X904">IF($F904&lt;&gt;"", XLOOKUP($F904,Productos!$A$2:$A1001,Productos!Q$2:Q1001,"")*$G904,"")</f>
        <v/>
      </c>
      <c r="Y904" s="179" t="str">
        <f t="array" ref="Y904">IF($F904&lt;&gt;"",XLOOKUP($F904,Productos!$A:$A,Productos!R:R,"Revisar"),"")</f>
        <v/>
      </c>
      <c r="Z904" s="179" t="str">
        <f t="array" ref="Z904">IF($F904&lt;&gt;"", XLOOKUP($F904,Productos!$A$2:$A1001,Productos!S$2:S1001,"")*$G904,"")</f>
        <v/>
      </c>
      <c r="AA904" s="179" t="str">
        <f t="array" ref="AA904">IF($F904&lt;&gt;"",XLOOKUP($F904,Productos!$A:$A,Productos!T:T,"Revisar"),"")</f>
        <v/>
      </c>
      <c r="AB904" s="179" t="str">
        <f t="array" ref="AB904">IF($F904&lt;&gt;"", XLOOKUP($F904,Productos!$A$2:$A1001,Productos!U$2:U1001,"")*$G904,"")</f>
        <v/>
      </c>
      <c r="AC904" s="179" t="str">
        <f t="array" ref="AC904">IF($F904&lt;&gt;"",XLOOKUP($F904,Productos!$A:$A,Productos!V:V,"Revisar"),"")</f>
        <v/>
      </c>
      <c r="AD904" s="179" t="str">
        <f t="array" ref="AD904">IF($F904&lt;&gt;"", XLOOKUP($F904,Productos!$A$2:$A1001,Productos!W$2:W1001,"")*$G904,"")</f>
        <v/>
      </c>
      <c r="AE904" s="179" t="str">
        <f t="array" ref="AE904">IF($F904&lt;&gt;"",XLOOKUP($F904,Productos!$A:$A,Productos!X:X,"Revisar"),"")</f>
        <v/>
      </c>
      <c r="AF904" s="179" t="str">
        <f t="array" ref="AF904">IF($F904&lt;&gt;"", XLOOKUP($F904,Productos!$A$2:$A1001,Productos!Y$2:Y1001,"")*$G904,"")</f>
        <v/>
      </c>
      <c r="AG904" s="179" t="str">
        <f t="array" ref="AG904">IF($F904&lt;&gt;"",XLOOKUP($F904,Productos!$A:$A,Productos!Z:Z,"Revisar"),"")</f>
        <v/>
      </c>
      <c r="AH904" s="179" t="str">
        <f t="array" ref="AH904">IF($F904&lt;&gt;"", XLOOKUP($F904,Productos!$A$2:$A1001,Productos!AA$2:AA1001,"")*$G904,"")</f>
        <v/>
      </c>
      <c r="AI904" s="179" t="str">
        <f t="array" ref="AI904">IF($F904&lt;&gt;"",XLOOKUP($F904,Productos!$A:$A,Productos!AB:AB,"Revisar"),"")</f>
        <v/>
      </c>
      <c r="AJ904" s="179" t="str">
        <f t="array" ref="AJ904">IF($F904&lt;&gt;"", XLOOKUP($F904,Productos!$A$2:$A1001,Productos!AC$2:AC1001,"")*$G904,"")</f>
        <v/>
      </c>
      <c r="AK904" s="179" t="str">
        <f t="array" ref="AK904">IF($F904&lt;&gt;"",XLOOKUP($F904,Productos!$A:$A,Productos!AD:AD,"Revisar"),"")</f>
        <v/>
      </c>
      <c r="AL904" s="179" t="str">
        <f t="array" ref="AL904">IF($F904&lt;&gt;"", XLOOKUP($F904,Productos!$A$2:$A1001,Productos!AE$2:AE1001,"")*$G904,"")</f>
        <v/>
      </c>
      <c r="AM904" s="179" t="str">
        <f t="array" ref="AM904">IF($F904&lt;&gt;"",XLOOKUP($F904,Productos!$A:$A,Productos!AF:AF,"Revisar"),"")</f>
        <v/>
      </c>
      <c r="AN904" s="179" t="str">
        <f t="array" ref="AN904">IF($F904&lt;&gt;"", XLOOKUP($F904,Productos!$A$2:$A1001,Productos!AG$2:AG1001,"")*$G904,"")</f>
        <v/>
      </c>
      <c r="AO904" s="179" t="str">
        <f t="array" ref="AO904">IF($F904&lt;&gt;"",XLOOKUP($F904,Productos!$A:$A,Productos!AH:AH,"Revisar"),"")</f>
        <v/>
      </c>
      <c r="AP904" s="179" t="str">
        <f t="array" ref="AP904">IF($F904&lt;&gt;"", XLOOKUP($F904,Productos!$A$2:$A1001,Productos!AI$2:AI1001,"")*$G904,"")</f>
        <v/>
      </c>
      <c r="AQ904" s="179" t="str">
        <f t="array" ref="AQ904">IF($F904&lt;&gt;"",XLOOKUP($F904,Productos!$A:$A,Productos!AJ:AJ,"Revisar"),"")</f>
        <v/>
      </c>
      <c r="AR904" s="179" t="str">
        <f t="array" ref="AR904">IF($F904&lt;&gt;"", XLOOKUP($F904,Productos!$A$2:$A1001,Productos!AK$2:AK1001,"")*$G904,"")</f>
        <v/>
      </c>
      <c r="AS904" s="179" t="str">
        <f t="array" ref="AS904">IF($F904&lt;&gt;"",XLOOKUP($F904,Productos!$A:$A,Productos!AL:AL,"Revisar"),"")</f>
        <v/>
      </c>
      <c r="AT904" s="179" t="str">
        <f t="array" ref="AT904">IF($F904&lt;&gt;"", XLOOKUP($F904,Productos!$A$2:$A1001,Productos!AM$2:AM1001,"")*$G904,"")</f>
        <v/>
      </c>
      <c r="AU904" s="179" t="str">
        <f t="array" ref="AU904">IF($F904&lt;&gt;"",XLOOKUP($F904,Productos!$A:$A,Productos!AN:AN,"Revisar"),"")</f>
        <v/>
      </c>
      <c r="AV904" s="179" t="str">
        <f t="array" ref="AV904">IF($F904&lt;&gt;"", XLOOKUP($F904,Productos!$A$2:$A1001,Productos!AO$2:AO1001,"")*$G904,"")</f>
        <v/>
      </c>
      <c r="AW904" s="179" t="str">
        <f t="array" ref="AW904">IF($F904&lt;&gt;"",XLOOKUP($F904,Productos!$A:$A,Productos!AP:AP,"Revisar"),"")</f>
        <v/>
      </c>
      <c r="AX904" s="179" t="str">
        <f t="array" ref="AX904">IF($F904&lt;&gt;"", XLOOKUP($F904,Productos!$A$2:$A1001,Productos!AQ$2:AQ1001,"")*$G904,"")</f>
        <v/>
      </c>
      <c r="AY904" s="179" t="str">
        <f t="array" ref="AY904">IF($F904&lt;&gt;"",XLOOKUP($F904,Productos!$A:$A,Productos!AR:AR,"Revisar"),"")</f>
        <v/>
      </c>
      <c r="AZ904" s="179" t="str">
        <f t="array" ref="AZ904">IF($F904&lt;&gt;"", XLOOKUP($F904,Productos!$A$2:$A1001,Productos!AS$2:AS1001,"")*$G904,"")</f>
        <v/>
      </c>
      <c r="BA904" s="179" t="str">
        <f t="array" ref="BA904">IF($F904&lt;&gt;"",XLOOKUP($F904,Productos!$A:$A,Productos!AT:AT,"Revisar"),"")</f>
        <v/>
      </c>
      <c r="BB904" s="179" t="str">
        <f t="array" ref="BB904">IF($F904&lt;&gt;"", XLOOKUP($F904,Productos!$A$2:$A1001,Productos!AU$2:AU1001,"")*$G904,"")</f>
        <v/>
      </c>
      <c r="BC904" s="179" t="str">
        <f t="array" ref="BC904">IF($F904&lt;&gt;"",XLOOKUP($F904,Productos!$A:$A,Productos!AV:AV,"Revisar"),"")</f>
        <v/>
      </c>
      <c r="BD904" s="179" t="str">
        <f t="array" ref="BD904">IF($F904&lt;&gt;"", XLOOKUP($F904,Productos!$A$2:$A1001,Productos!AW$2:AW1001,"")*$G904,"")</f>
        <v/>
      </c>
      <c r="BE904" s="179" t="str">
        <f t="array" ref="BE904">IF($F904&lt;&gt;"",XLOOKUP($F904,Productos!$A:$A,Productos!AX:AX,"Revisar"),"")</f>
        <v/>
      </c>
      <c r="BF904" s="179" t="str">
        <f t="array" ref="BF904">IF($F904&lt;&gt;"", XLOOKUP($F904,Productos!$A$2:$A1001,Productos!AY$2:AY1001,"")*$G904,"")</f>
        <v/>
      </c>
      <c r="BG904" s="179" t="str">
        <f t="array" ref="BG904">IF($F904&lt;&gt;"",XLOOKUP($F904,Productos!$A:$A,Productos!AZ:AZ,"Revisar"),"")</f>
        <v/>
      </c>
      <c r="BH904" s="179" t="str">
        <f t="array" ref="BH904">IF($F904&lt;&gt;"", XLOOKUP($F904,Productos!$A$2:$A1001,Productos!BA$2:BA1001,"")*$G904,"")</f>
        <v/>
      </c>
      <c r="BI904" s="179" t="str">
        <f t="array" ref="BI904">IF($F904&lt;&gt;"",XLOOKUP($F904,Productos!$A:$A,Productos!BB:BB,"Revisar"),"")</f>
        <v/>
      </c>
      <c r="BJ904" s="179" t="str">
        <f t="array" ref="BJ904">IF($F904&lt;&gt;"", XLOOKUP($F904,Productos!$A$2:$A1001,Productos!BC$2:BC1001,"")*$G904,"")</f>
        <v/>
      </c>
      <c r="BK904" s="179" t="str">
        <f t="array" ref="BK904">IF($F904&lt;&gt;"",XLOOKUP($F904,Productos!$A:$A,Productos!BD:BD,"Revisar"),"")</f>
        <v/>
      </c>
      <c r="BL904" s="179" t="str">
        <f t="array" ref="BL904">IF($F904&lt;&gt;"", XLOOKUP($F904,Productos!$A$2:$A1001,Productos!BE$2:BE1001,"")*$G904,"")</f>
        <v/>
      </c>
      <c r="BM904" s="179" t="str">
        <f t="array" ref="BM904">IF($F904&lt;&gt;"",XLOOKUP($F904,Productos!$A:$A,Productos!BF:BF,"Revisar"),"")</f>
        <v/>
      </c>
      <c r="BN904" s="179" t="str">
        <f t="array" ref="BN904">IF($F904&lt;&gt;"", XLOOKUP($F904,Productos!$A$2:$A1001,Productos!BG$2:BG1001,"")*$G904,"")</f>
        <v/>
      </c>
      <c r="BO904" s="179" t="str">
        <f t="array" ref="BO904">IF($F904&lt;&gt;"",XLOOKUP($F904,Productos!$A:$A,Productos!BH:BH,"Revisar"),"")</f>
        <v/>
      </c>
      <c r="BP904" s="179" t="str">
        <f t="array" ref="BP904">IF($F904&lt;&gt;"", XLOOKUP($F904,Productos!$A$2:$A1001,Productos!BI$2:BI1001,"")*$G904,"")</f>
        <v/>
      </c>
      <c r="BQ904" s="179" t="str">
        <f t="array" ref="BQ904">IF($F904&lt;&gt;"",XLOOKUP($F904,Productos!$A:$A,Productos!BJ:BJ,"Revisar"),"")</f>
        <v/>
      </c>
      <c r="BR904" s="179" t="str">
        <f t="array" ref="BR904">IF($F904&lt;&gt;"", XLOOKUP($F904,Productos!$A$2:$A1001,Productos!BK$2:BK1001,"")*$G904,"")</f>
        <v/>
      </c>
      <c r="BS904" s="179" t="str">
        <f t="array" ref="BS904">IF($F904&lt;&gt;"",XLOOKUP($F904,Productos!$A:$A,Productos!BL:BL,"Revisar"),"")</f>
        <v/>
      </c>
      <c r="BT904" s="179" t="str">
        <f t="array" ref="BT904">IF($F904&lt;&gt;"", XLOOKUP($F904,Productos!$A$2:$A1001,Productos!BM$2:BM1001,"")*$G904,"")</f>
        <v/>
      </c>
      <c r="BU904" s="179" t="str">
        <f t="array" ref="BU904">IF($F904&lt;&gt;"",XLOOKUP($F904,Productos!$A:$A,Productos!BN:BN,"Revisar"),"")</f>
        <v/>
      </c>
      <c r="BV904" s="179" t="str">
        <f t="array" ref="BV904">IF($F904&lt;&gt;"", XLOOKUP($F904,Productos!$A$2:$A1001,Productos!BO$2:BO1001,"")*$G904,"")</f>
        <v/>
      </c>
      <c r="BW904" s="179" t="str">
        <f t="array" ref="BW904">IF($F904&lt;&gt;"",XLOOKUP($F904,Productos!$A:$A,Productos!BP:BP,"Revisar"),"")</f>
        <v/>
      </c>
      <c r="BX904" s="179" t="str">
        <f t="array" ref="BX904">IF($F904&lt;&gt;"", XLOOKUP($F904,Productos!$A$2:$A1001,Productos!BQ$2:BQ1001,"")*$G904,"")</f>
        <v/>
      </c>
      <c r="BY904" s="179" t="str">
        <f t="array" ref="BY904">IF($F904&lt;&gt;"",XLOOKUP($F904,Productos!$A:$A,Productos!BR:BR,"Revisar"),"")</f>
        <v/>
      </c>
      <c r="BZ904" s="179" t="str">
        <f t="array" ref="BZ904">IF($F904&lt;&gt;"", XLOOKUP($F904,Productos!$A$2:$A1001,Productos!BS$2:BS1001,"")*$G904,"")</f>
        <v/>
      </c>
    </row>
    <row r="905">
      <c r="A905" s="188"/>
      <c r="B905" s="189"/>
      <c r="C905" s="190"/>
      <c r="D905" s="190"/>
      <c r="E905" s="191"/>
      <c r="F905" s="186"/>
      <c r="G905" s="192"/>
      <c r="H905" s="9"/>
      <c r="I905" s="179" t="str">
        <f t="array" ref="I905">IF($F905&lt;&gt;"",XLOOKUP($F905,Productos!$A:$A,Productos!B:B,"Revisar"),"")</f>
        <v/>
      </c>
      <c r="J905" s="179" t="str">
        <f t="array" ref="J905">IF($F905&lt;&gt;"", XLOOKUP($F905,Productos!$A$2:$A1001,Productos!C$2:C1001,"")*$G905,"")</f>
        <v/>
      </c>
      <c r="K905" s="179" t="str">
        <f t="array" ref="K905">IF($F905&lt;&gt;"",XLOOKUP($F905,Productos!$A:$A,Productos!D:D,"Revisar"),"")</f>
        <v/>
      </c>
      <c r="L905" s="179" t="str">
        <f t="array" ref="L905">IF($F905&lt;&gt;"", XLOOKUP($F905,Productos!$A$2:$A1001,Productos!E$2:E1001,"")*$G905,"")</f>
        <v/>
      </c>
      <c r="M905" s="179" t="str">
        <f t="array" ref="M905">IF($F905&lt;&gt;"",XLOOKUP($F905,Productos!$A:$A,Productos!F:F,"Revisar"),"")</f>
        <v/>
      </c>
      <c r="N905" s="179" t="str">
        <f t="array" ref="N905">IF($F905&lt;&gt;"", XLOOKUP($F905,Productos!$A$2:$A1001,Productos!G$2:G1001,"")*$G905,"")</f>
        <v/>
      </c>
      <c r="O905" s="179" t="str">
        <f t="array" ref="O905">IF($F905&lt;&gt;"",XLOOKUP($F905,Productos!$A:$A,Productos!H:H,"Revisar"),"")</f>
        <v/>
      </c>
      <c r="P905" s="179" t="str">
        <f t="array" ref="P905">IF($F905&lt;&gt;"", XLOOKUP($F905,Productos!$A$2:$A1001,Productos!I$2:I1001,"")*$G905,"")</f>
        <v/>
      </c>
      <c r="Q905" s="179" t="str">
        <f t="array" ref="Q905">IF($F905&lt;&gt;"",XLOOKUP($F905,Productos!$A:$A,Productos!J:J,"Revisar"),"")</f>
        <v/>
      </c>
      <c r="R905" s="179" t="str">
        <f t="array" ref="R905">IF($F905&lt;&gt;"", XLOOKUP($F905,Productos!$A$2:$A1001,Productos!K$2:K1001,"")*$G905,"")</f>
        <v/>
      </c>
      <c r="S905" s="179" t="str">
        <f t="array" ref="S905">IF($F905&lt;&gt;"",XLOOKUP($F905,Productos!$A:$A,Productos!L:L,"Revisar"),"")</f>
        <v/>
      </c>
      <c r="T905" s="179" t="str">
        <f t="array" ref="T905">IF($F905&lt;&gt;"", XLOOKUP($F905,Productos!$A$2:$A1001,Productos!M$2:M1001,"")*$G905,"")</f>
        <v/>
      </c>
      <c r="U905" s="179" t="str">
        <f t="array" ref="U905">IF($F905&lt;&gt;"",XLOOKUP($F905,Productos!$A:$A,Productos!N:N,"Revisar"),"")</f>
        <v/>
      </c>
      <c r="V905" s="179" t="str">
        <f t="array" ref="V905">IF($F905&lt;&gt;"", XLOOKUP($F905,Productos!$A$2:$A1001,Productos!O$2:O1001,"")*$G905,"")</f>
        <v/>
      </c>
      <c r="W905" s="179" t="str">
        <f t="array" ref="W905">IF($F905&lt;&gt;"",XLOOKUP($F905,Productos!$A:$A,Productos!P:P,"Revisar"),"")</f>
        <v/>
      </c>
      <c r="X905" s="179" t="str">
        <f t="array" ref="X905">IF($F905&lt;&gt;"", XLOOKUP($F905,Productos!$A$2:$A1001,Productos!Q$2:Q1001,"")*$G905,"")</f>
        <v/>
      </c>
      <c r="Y905" s="179" t="str">
        <f t="array" ref="Y905">IF($F905&lt;&gt;"",XLOOKUP($F905,Productos!$A:$A,Productos!R:R,"Revisar"),"")</f>
        <v/>
      </c>
      <c r="Z905" s="179" t="str">
        <f t="array" ref="Z905">IF($F905&lt;&gt;"", XLOOKUP($F905,Productos!$A$2:$A1001,Productos!S$2:S1001,"")*$G905,"")</f>
        <v/>
      </c>
      <c r="AA905" s="179" t="str">
        <f t="array" ref="AA905">IF($F905&lt;&gt;"",XLOOKUP($F905,Productos!$A:$A,Productos!T:T,"Revisar"),"")</f>
        <v/>
      </c>
      <c r="AB905" s="179" t="str">
        <f t="array" ref="AB905">IF($F905&lt;&gt;"", XLOOKUP($F905,Productos!$A$2:$A1001,Productos!U$2:U1001,"")*$G905,"")</f>
        <v/>
      </c>
      <c r="AC905" s="179" t="str">
        <f t="array" ref="AC905">IF($F905&lt;&gt;"",XLOOKUP($F905,Productos!$A:$A,Productos!V:V,"Revisar"),"")</f>
        <v/>
      </c>
      <c r="AD905" s="179" t="str">
        <f t="array" ref="AD905">IF($F905&lt;&gt;"", XLOOKUP($F905,Productos!$A$2:$A1001,Productos!W$2:W1001,"")*$G905,"")</f>
        <v/>
      </c>
      <c r="AE905" s="179" t="str">
        <f t="array" ref="AE905">IF($F905&lt;&gt;"",XLOOKUP($F905,Productos!$A:$A,Productos!X:X,"Revisar"),"")</f>
        <v/>
      </c>
      <c r="AF905" s="179" t="str">
        <f t="array" ref="AF905">IF($F905&lt;&gt;"", XLOOKUP($F905,Productos!$A$2:$A1001,Productos!Y$2:Y1001,"")*$G905,"")</f>
        <v/>
      </c>
      <c r="AG905" s="179" t="str">
        <f t="array" ref="AG905">IF($F905&lt;&gt;"",XLOOKUP($F905,Productos!$A:$A,Productos!Z:Z,"Revisar"),"")</f>
        <v/>
      </c>
      <c r="AH905" s="179" t="str">
        <f t="array" ref="AH905">IF($F905&lt;&gt;"", XLOOKUP($F905,Productos!$A$2:$A1001,Productos!AA$2:AA1001,"")*$G905,"")</f>
        <v/>
      </c>
      <c r="AI905" s="179" t="str">
        <f t="array" ref="AI905">IF($F905&lt;&gt;"",XLOOKUP($F905,Productos!$A:$A,Productos!AB:AB,"Revisar"),"")</f>
        <v/>
      </c>
      <c r="AJ905" s="179" t="str">
        <f t="array" ref="AJ905">IF($F905&lt;&gt;"", XLOOKUP($F905,Productos!$A$2:$A1001,Productos!AC$2:AC1001,"")*$G905,"")</f>
        <v/>
      </c>
      <c r="AK905" s="179" t="str">
        <f t="array" ref="AK905">IF($F905&lt;&gt;"",XLOOKUP($F905,Productos!$A:$A,Productos!AD:AD,"Revisar"),"")</f>
        <v/>
      </c>
      <c r="AL905" s="179" t="str">
        <f t="array" ref="AL905">IF($F905&lt;&gt;"", XLOOKUP($F905,Productos!$A$2:$A1001,Productos!AE$2:AE1001,"")*$G905,"")</f>
        <v/>
      </c>
      <c r="AM905" s="179" t="str">
        <f t="array" ref="AM905">IF($F905&lt;&gt;"",XLOOKUP($F905,Productos!$A:$A,Productos!AF:AF,"Revisar"),"")</f>
        <v/>
      </c>
      <c r="AN905" s="179" t="str">
        <f t="array" ref="AN905">IF($F905&lt;&gt;"", XLOOKUP($F905,Productos!$A$2:$A1001,Productos!AG$2:AG1001,"")*$G905,"")</f>
        <v/>
      </c>
      <c r="AO905" s="179" t="str">
        <f t="array" ref="AO905">IF($F905&lt;&gt;"",XLOOKUP($F905,Productos!$A:$A,Productos!AH:AH,"Revisar"),"")</f>
        <v/>
      </c>
      <c r="AP905" s="179" t="str">
        <f t="array" ref="AP905">IF($F905&lt;&gt;"", XLOOKUP($F905,Productos!$A$2:$A1001,Productos!AI$2:AI1001,"")*$G905,"")</f>
        <v/>
      </c>
      <c r="AQ905" s="179" t="str">
        <f t="array" ref="AQ905">IF($F905&lt;&gt;"",XLOOKUP($F905,Productos!$A:$A,Productos!AJ:AJ,"Revisar"),"")</f>
        <v/>
      </c>
      <c r="AR905" s="179" t="str">
        <f t="array" ref="AR905">IF($F905&lt;&gt;"", XLOOKUP($F905,Productos!$A$2:$A1001,Productos!AK$2:AK1001,"")*$G905,"")</f>
        <v/>
      </c>
      <c r="AS905" s="179" t="str">
        <f t="array" ref="AS905">IF($F905&lt;&gt;"",XLOOKUP($F905,Productos!$A:$A,Productos!AL:AL,"Revisar"),"")</f>
        <v/>
      </c>
      <c r="AT905" s="179" t="str">
        <f t="array" ref="AT905">IF($F905&lt;&gt;"", XLOOKUP($F905,Productos!$A$2:$A1001,Productos!AM$2:AM1001,"")*$G905,"")</f>
        <v/>
      </c>
      <c r="AU905" s="179" t="str">
        <f t="array" ref="AU905">IF($F905&lt;&gt;"",XLOOKUP($F905,Productos!$A:$A,Productos!AN:AN,"Revisar"),"")</f>
        <v/>
      </c>
      <c r="AV905" s="179" t="str">
        <f t="array" ref="AV905">IF($F905&lt;&gt;"", XLOOKUP($F905,Productos!$A$2:$A1001,Productos!AO$2:AO1001,"")*$G905,"")</f>
        <v/>
      </c>
      <c r="AW905" s="179" t="str">
        <f t="array" ref="AW905">IF($F905&lt;&gt;"",XLOOKUP($F905,Productos!$A:$A,Productos!AP:AP,"Revisar"),"")</f>
        <v/>
      </c>
      <c r="AX905" s="179" t="str">
        <f t="array" ref="AX905">IF($F905&lt;&gt;"", XLOOKUP($F905,Productos!$A$2:$A1001,Productos!AQ$2:AQ1001,"")*$G905,"")</f>
        <v/>
      </c>
      <c r="AY905" s="179" t="str">
        <f t="array" ref="AY905">IF($F905&lt;&gt;"",XLOOKUP($F905,Productos!$A:$A,Productos!AR:AR,"Revisar"),"")</f>
        <v/>
      </c>
      <c r="AZ905" s="179" t="str">
        <f t="array" ref="AZ905">IF($F905&lt;&gt;"", XLOOKUP($F905,Productos!$A$2:$A1001,Productos!AS$2:AS1001,"")*$G905,"")</f>
        <v/>
      </c>
      <c r="BA905" s="179" t="str">
        <f t="array" ref="BA905">IF($F905&lt;&gt;"",XLOOKUP($F905,Productos!$A:$A,Productos!AT:AT,"Revisar"),"")</f>
        <v/>
      </c>
      <c r="BB905" s="179" t="str">
        <f t="array" ref="BB905">IF($F905&lt;&gt;"", XLOOKUP($F905,Productos!$A$2:$A1001,Productos!AU$2:AU1001,"")*$G905,"")</f>
        <v/>
      </c>
      <c r="BC905" s="179" t="str">
        <f t="array" ref="BC905">IF($F905&lt;&gt;"",XLOOKUP($F905,Productos!$A:$A,Productos!AV:AV,"Revisar"),"")</f>
        <v/>
      </c>
      <c r="BD905" s="179" t="str">
        <f t="array" ref="BD905">IF($F905&lt;&gt;"", XLOOKUP($F905,Productos!$A$2:$A1001,Productos!AW$2:AW1001,"")*$G905,"")</f>
        <v/>
      </c>
      <c r="BE905" s="179" t="str">
        <f t="array" ref="BE905">IF($F905&lt;&gt;"",XLOOKUP($F905,Productos!$A:$A,Productos!AX:AX,"Revisar"),"")</f>
        <v/>
      </c>
      <c r="BF905" s="179" t="str">
        <f t="array" ref="BF905">IF($F905&lt;&gt;"", XLOOKUP($F905,Productos!$A$2:$A1001,Productos!AY$2:AY1001,"")*$G905,"")</f>
        <v/>
      </c>
      <c r="BG905" s="179" t="str">
        <f t="array" ref="BG905">IF($F905&lt;&gt;"",XLOOKUP($F905,Productos!$A:$A,Productos!AZ:AZ,"Revisar"),"")</f>
        <v/>
      </c>
      <c r="BH905" s="179" t="str">
        <f t="array" ref="BH905">IF($F905&lt;&gt;"", XLOOKUP($F905,Productos!$A$2:$A1001,Productos!BA$2:BA1001,"")*$G905,"")</f>
        <v/>
      </c>
      <c r="BI905" s="179" t="str">
        <f t="array" ref="BI905">IF($F905&lt;&gt;"",XLOOKUP($F905,Productos!$A:$A,Productos!BB:BB,"Revisar"),"")</f>
        <v/>
      </c>
      <c r="BJ905" s="179" t="str">
        <f t="array" ref="BJ905">IF($F905&lt;&gt;"", XLOOKUP($F905,Productos!$A$2:$A1001,Productos!BC$2:BC1001,"")*$G905,"")</f>
        <v/>
      </c>
      <c r="BK905" s="179" t="str">
        <f t="array" ref="BK905">IF($F905&lt;&gt;"",XLOOKUP($F905,Productos!$A:$A,Productos!BD:BD,"Revisar"),"")</f>
        <v/>
      </c>
      <c r="BL905" s="179" t="str">
        <f t="array" ref="BL905">IF($F905&lt;&gt;"", XLOOKUP($F905,Productos!$A$2:$A1001,Productos!BE$2:BE1001,"")*$G905,"")</f>
        <v/>
      </c>
      <c r="BM905" s="179" t="str">
        <f t="array" ref="BM905">IF($F905&lt;&gt;"",XLOOKUP($F905,Productos!$A:$A,Productos!BF:BF,"Revisar"),"")</f>
        <v/>
      </c>
      <c r="BN905" s="179" t="str">
        <f t="array" ref="BN905">IF($F905&lt;&gt;"", XLOOKUP($F905,Productos!$A$2:$A1001,Productos!BG$2:BG1001,"")*$G905,"")</f>
        <v/>
      </c>
      <c r="BO905" s="179" t="str">
        <f t="array" ref="BO905">IF($F905&lt;&gt;"",XLOOKUP($F905,Productos!$A:$A,Productos!BH:BH,"Revisar"),"")</f>
        <v/>
      </c>
      <c r="BP905" s="179" t="str">
        <f t="array" ref="BP905">IF($F905&lt;&gt;"", XLOOKUP($F905,Productos!$A$2:$A1001,Productos!BI$2:BI1001,"")*$G905,"")</f>
        <v/>
      </c>
      <c r="BQ905" s="179" t="str">
        <f t="array" ref="BQ905">IF($F905&lt;&gt;"",XLOOKUP($F905,Productos!$A:$A,Productos!BJ:BJ,"Revisar"),"")</f>
        <v/>
      </c>
      <c r="BR905" s="179" t="str">
        <f t="array" ref="BR905">IF($F905&lt;&gt;"", XLOOKUP($F905,Productos!$A$2:$A1001,Productos!BK$2:BK1001,"")*$G905,"")</f>
        <v/>
      </c>
      <c r="BS905" s="179" t="str">
        <f t="array" ref="BS905">IF($F905&lt;&gt;"",XLOOKUP($F905,Productos!$A:$A,Productos!BL:BL,"Revisar"),"")</f>
        <v/>
      </c>
      <c r="BT905" s="179" t="str">
        <f t="array" ref="BT905">IF($F905&lt;&gt;"", XLOOKUP($F905,Productos!$A$2:$A1001,Productos!BM$2:BM1001,"")*$G905,"")</f>
        <v/>
      </c>
      <c r="BU905" s="179" t="str">
        <f t="array" ref="BU905">IF($F905&lt;&gt;"",XLOOKUP($F905,Productos!$A:$A,Productos!BN:BN,"Revisar"),"")</f>
        <v/>
      </c>
      <c r="BV905" s="179" t="str">
        <f t="array" ref="BV905">IF($F905&lt;&gt;"", XLOOKUP($F905,Productos!$A$2:$A1001,Productos!BO$2:BO1001,"")*$G905,"")</f>
        <v/>
      </c>
      <c r="BW905" s="179" t="str">
        <f t="array" ref="BW905">IF($F905&lt;&gt;"",XLOOKUP($F905,Productos!$A:$A,Productos!BP:BP,"Revisar"),"")</f>
        <v/>
      </c>
      <c r="BX905" s="179" t="str">
        <f t="array" ref="BX905">IF($F905&lt;&gt;"", XLOOKUP($F905,Productos!$A$2:$A1001,Productos!BQ$2:BQ1001,"")*$G905,"")</f>
        <v/>
      </c>
      <c r="BY905" s="179" t="str">
        <f t="array" ref="BY905">IF($F905&lt;&gt;"",XLOOKUP($F905,Productos!$A:$A,Productos!BR:BR,"Revisar"),"")</f>
        <v/>
      </c>
      <c r="BZ905" s="179" t="str">
        <f t="array" ref="BZ905">IF($F905&lt;&gt;"", XLOOKUP($F905,Productos!$A$2:$A1001,Productos!BS$2:BS1001,"")*$G905,"")</f>
        <v/>
      </c>
    </row>
    <row r="906">
      <c r="A906" s="188"/>
      <c r="B906" s="189"/>
      <c r="C906" s="190"/>
      <c r="D906" s="190"/>
      <c r="E906" s="191"/>
      <c r="F906" s="186"/>
      <c r="G906" s="192"/>
      <c r="H906" s="9"/>
      <c r="I906" s="179" t="str">
        <f t="array" ref="I906">IF($F906&lt;&gt;"",XLOOKUP($F906,Productos!$A:$A,Productos!B:B,"Revisar"),"")</f>
        <v/>
      </c>
      <c r="J906" s="179" t="str">
        <f t="array" ref="J906">IF($F906&lt;&gt;"", XLOOKUP($F906,Productos!$A$2:$A1001,Productos!C$2:C1001,"")*$G906,"")</f>
        <v/>
      </c>
      <c r="K906" s="179" t="str">
        <f t="array" ref="K906">IF($F906&lt;&gt;"",XLOOKUP($F906,Productos!$A:$A,Productos!D:D,"Revisar"),"")</f>
        <v/>
      </c>
      <c r="L906" s="179" t="str">
        <f t="array" ref="L906">IF($F906&lt;&gt;"", XLOOKUP($F906,Productos!$A$2:$A1001,Productos!E$2:E1001,"")*$G906,"")</f>
        <v/>
      </c>
      <c r="M906" s="179" t="str">
        <f t="array" ref="M906">IF($F906&lt;&gt;"",XLOOKUP($F906,Productos!$A:$A,Productos!F:F,"Revisar"),"")</f>
        <v/>
      </c>
      <c r="N906" s="179" t="str">
        <f t="array" ref="N906">IF($F906&lt;&gt;"", XLOOKUP($F906,Productos!$A$2:$A1001,Productos!G$2:G1001,"")*$G906,"")</f>
        <v/>
      </c>
      <c r="O906" s="179" t="str">
        <f t="array" ref="O906">IF($F906&lt;&gt;"",XLOOKUP($F906,Productos!$A:$A,Productos!H:H,"Revisar"),"")</f>
        <v/>
      </c>
      <c r="P906" s="179" t="str">
        <f t="array" ref="P906">IF($F906&lt;&gt;"", XLOOKUP($F906,Productos!$A$2:$A1001,Productos!I$2:I1001,"")*$G906,"")</f>
        <v/>
      </c>
      <c r="Q906" s="179" t="str">
        <f t="array" ref="Q906">IF($F906&lt;&gt;"",XLOOKUP($F906,Productos!$A:$A,Productos!J:J,"Revisar"),"")</f>
        <v/>
      </c>
      <c r="R906" s="179" t="str">
        <f t="array" ref="R906">IF($F906&lt;&gt;"", XLOOKUP($F906,Productos!$A$2:$A1001,Productos!K$2:K1001,"")*$G906,"")</f>
        <v/>
      </c>
      <c r="S906" s="179" t="str">
        <f t="array" ref="S906">IF($F906&lt;&gt;"",XLOOKUP($F906,Productos!$A:$A,Productos!L:L,"Revisar"),"")</f>
        <v/>
      </c>
      <c r="T906" s="179" t="str">
        <f t="array" ref="T906">IF($F906&lt;&gt;"", XLOOKUP($F906,Productos!$A$2:$A1001,Productos!M$2:M1001,"")*$G906,"")</f>
        <v/>
      </c>
      <c r="U906" s="179" t="str">
        <f t="array" ref="U906">IF($F906&lt;&gt;"",XLOOKUP($F906,Productos!$A:$A,Productos!N:N,"Revisar"),"")</f>
        <v/>
      </c>
      <c r="V906" s="179" t="str">
        <f t="array" ref="V906">IF($F906&lt;&gt;"", XLOOKUP($F906,Productos!$A$2:$A1001,Productos!O$2:O1001,"")*$G906,"")</f>
        <v/>
      </c>
      <c r="W906" s="179" t="str">
        <f t="array" ref="W906">IF($F906&lt;&gt;"",XLOOKUP($F906,Productos!$A:$A,Productos!P:P,"Revisar"),"")</f>
        <v/>
      </c>
      <c r="X906" s="179" t="str">
        <f t="array" ref="X906">IF($F906&lt;&gt;"", XLOOKUP($F906,Productos!$A$2:$A1001,Productos!Q$2:Q1001,"")*$G906,"")</f>
        <v/>
      </c>
      <c r="Y906" s="179" t="str">
        <f t="array" ref="Y906">IF($F906&lt;&gt;"",XLOOKUP($F906,Productos!$A:$A,Productos!R:R,"Revisar"),"")</f>
        <v/>
      </c>
      <c r="Z906" s="179" t="str">
        <f t="array" ref="Z906">IF($F906&lt;&gt;"", XLOOKUP($F906,Productos!$A$2:$A1001,Productos!S$2:S1001,"")*$G906,"")</f>
        <v/>
      </c>
      <c r="AA906" s="179" t="str">
        <f t="array" ref="AA906">IF($F906&lt;&gt;"",XLOOKUP($F906,Productos!$A:$A,Productos!T:T,"Revisar"),"")</f>
        <v/>
      </c>
      <c r="AB906" s="179" t="str">
        <f t="array" ref="AB906">IF($F906&lt;&gt;"", XLOOKUP($F906,Productos!$A$2:$A1001,Productos!U$2:U1001,"")*$G906,"")</f>
        <v/>
      </c>
      <c r="AC906" s="179" t="str">
        <f t="array" ref="AC906">IF($F906&lt;&gt;"",XLOOKUP($F906,Productos!$A:$A,Productos!V:V,"Revisar"),"")</f>
        <v/>
      </c>
      <c r="AD906" s="179" t="str">
        <f t="array" ref="AD906">IF($F906&lt;&gt;"", XLOOKUP($F906,Productos!$A$2:$A1001,Productos!W$2:W1001,"")*$G906,"")</f>
        <v/>
      </c>
      <c r="AE906" s="179" t="str">
        <f t="array" ref="AE906">IF($F906&lt;&gt;"",XLOOKUP($F906,Productos!$A:$A,Productos!X:X,"Revisar"),"")</f>
        <v/>
      </c>
      <c r="AF906" s="179" t="str">
        <f t="array" ref="AF906">IF($F906&lt;&gt;"", XLOOKUP($F906,Productos!$A$2:$A1001,Productos!Y$2:Y1001,"")*$G906,"")</f>
        <v/>
      </c>
      <c r="AG906" s="179" t="str">
        <f t="array" ref="AG906">IF($F906&lt;&gt;"",XLOOKUP($F906,Productos!$A:$A,Productos!Z:Z,"Revisar"),"")</f>
        <v/>
      </c>
      <c r="AH906" s="179" t="str">
        <f t="array" ref="AH906">IF($F906&lt;&gt;"", XLOOKUP($F906,Productos!$A$2:$A1001,Productos!AA$2:AA1001,"")*$G906,"")</f>
        <v/>
      </c>
      <c r="AI906" s="179" t="str">
        <f t="array" ref="AI906">IF($F906&lt;&gt;"",XLOOKUP($F906,Productos!$A:$A,Productos!AB:AB,"Revisar"),"")</f>
        <v/>
      </c>
      <c r="AJ906" s="179" t="str">
        <f t="array" ref="AJ906">IF($F906&lt;&gt;"", XLOOKUP($F906,Productos!$A$2:$A1001,Productos!AC$2:AC1001,"")*$G906,"")</f>
        <v/>
      </c>
      <c r="AK906" s="179" t="str">
        <f t="array" ref="AK906">IF($F906&lt;&gt;"",XLOOKUP($F906,Productos!$A:$A,Productos!AD:AD,"Revisar"),"")</f>
        <v/>
      </c>
      <c r="AL906" s="179" t="str">
        <f t="array" ref="AL906">IF($F906&lt;&gt;"", XLOOKUP($F906,Productos!$A$2:$A1001,Productos!AE$2:AE1001,"")*$G906,"")</f>
        <v/>
      </c>
      <c r="AM906" s="179" t="str">
        <f t="array" ref="AM906">IF($F906&lt;&gt;"",XLOOKUP($F906,Productos!$A:$A,Productos!AF:AF,"Revisar"),"")</f>
        <v/>
      </c>
      <c r="AN906" s="179" t="str">
        <f t="array" ref="AN906">IF($F906&lt;&gt;"", XLOOKUP($F906,Productos!$A$2:$A1001,Productos!AG$2:AG1001,"")*$G906,"")</f>
        <v/>
      </c>
      <c r="AO906" s="179" t="str">
        <f t="array" ref="AO906">IF($F906&lt;&gt;"",XLOOKUP($F906,Productos!$A:$A,Productos!AH:AH,"Revisar"),"")</f>
        <v/>
      </c>
      <c r="AP906" s="179" t="str">
        <f t="array" ref="AP906">IF($F906&lt;&gt;"", XLOOKUP($F906,Productos!$A$2:$A1001,Productos!AI$2:AI1001,"")*$G906,"")</f>
        <v/>
      </c>
      <c r="AQ906" s="179" t="str">
        <f t="array" ref="AQ906">IF($F906&lt;&gt;"",XLOOKUP($F906,Productos!$A:$A,Productos!AJ:AJ,"Revisar"),"")</f>
        <v/>
      </c>
      <c r="AR906" s="179" t="str">
        <f t="array" ref="AR906">IF($F906&lt;&gt;"", XLOOKUP($F906,Productos!$A$2:$A1001,Productos!AK$2:AK1001,"")*$G906,"")</f>
        <v/>
      </c>
      <c r="AS906" s="179" t="str">
        <f t="array" ref="AS906">IF($F906&lt;&gt;"",XLOOKUP($F906,Productos!$A:$A,Productos!AL:AL,"Revisar"),"")</f>
        <v/>
      </c>
      <c r="AT906" s="179" t="str">
        <f t="array" ref="AT906">IF($F906&lt;&gt;"", XLOOKUP($F906,Productos!$A$2:$A1001,Productos!AM$2:AM1001,"")*$G906,"")</f>
        <v/>
      </c>
      <c r="AU906" s="179" t="str">
        <f t="array" ref="AU906">IF($F906&lt;&gt;"",XLOOKUP($F906,Productos!$A:$A,Productos!AN:AN,"Revisar"),"")</f>
        <v/>
      </c>
      <c r="AV906" s="179" t="str">
        <f t="array" ref="AV906">IF($F906&lt;&gt;"", XLOOKUP($F906,Productos!$A$2:$A1001,Productos!AO$2:AO1001,"")*$G906,"")</f>
        <v/>
      </c>
      <c r="AW906" s="179" t="str">
        <f t="array" ref="AW906">IF($F906&lt;&gt;"",XLOOKUP($F906,Productos!$A:$A,Productos!AP:AP,"Revisar"),"")</f>
        <v/>
      </c>
      <c r="AX906" s="179" t="str">
        <f t="array" ref="AX906">IF($F906&lt;&gt;"", XLOOKUP($F906,Productos!$A$2:$A1001,Productos!AQ$2:AQ1001,"")*$G906,"")</f>
        <v/>
      </c>
      <c r="AY906" s="179" t="str">
        <f t="array" ref="AY906">IF($F906&lt;&gt;"",XLOOKUP($F906,Productos!$A:$A,Productos!AR:AR,"Revisar"),"")</f>
        <v/>
      </c>
      <c r="AZ906" s="179" t="str">
        <f t="array" ref="AZ906">IF($F906&lt;&gt;"", XLOOKUP($F906,Productos!$A$2:$A1001,Productos!AS$2:AS1001,"")*$G906,"")</f>
        <v/>
      </c>
      <c r="BA906" s="179" t="str">
        <f t="array" ref="BA906">IF($F906&lt;&gt;"",XLOOKUP($F906,Productos!$A:$A,Productos!AT:AT,"Revisar"),"")</f>
        <v/>
      </c>
      <c r="BB906" s="179" t="str">
        <f t="array" ref="BB906">IF($F906&lt;&gt;"", XLOOKUP($F906,Productos!$A$2:$A1001,Productos!AU$2:AU1001,"")*$G906,"")</f>
        <v/>
      </c>
      <c r="BC906" s="179" t="str">
        <f t="array" ref="BC906">IF($F906&lt;&gt;"",XLOOKUP($F906,Productos!$A:$A,Productos!AV:AV,"Revisar"),"")</f>
        <v/>
      </c>
      <c r="BD906" s="179" t="str">
        <f t="array" ref="BD906">IF($F906&lt;&gt;"", XLOOKUP($F906,Productos!$A$2:$A1001,Productos!AW$2:AW1001,"")*$G906,"")</f>
        <v/>
      </c>
      <c r="BE906" s="179" t="str">
        <f t="array" ref="BE906">IF($F906&lt;&gt;"",XLOOKUP($F906,Productos!$A:$A,Productos!AX:AX,"Revisar"),"")</f>
        <v/>
      </c>
      <c r="BF906" s="179" t="str">
        <f t="array" ref="BF906">IF($F906&lt;&gt;"", XLOOKUP($F906,Productos!$A$2:$A1001,Productos!AY$2:AY1001,"")*$G906,"")</f>
        <v/>
      </c>
      <c r="BG906" s="179" t="str">
        <f t="array" ref="BG906">IF($F906&lt;&gt;"",XLOOKUP($F906,Productos!$A:$A,Productos!AZ:AZ,"Revisar"),"")</f>
        <v/>
      </c>
      <c r="BH906" s="179" t="str">
        <f t="array" ref="BH906">IF($F906&lt;&gt;"", XLOOKUP($F906,Productos!$A$2:$A1001,Productos!BA$2:BA1001,"")*$G906,"")</f>
        <v/>
      </c>
      <c r="BI906" s="179" t="str">
        <f t="array" ref="BI906">IF($F906&lt;&gt;"",XLOOKUP($F906,Productos!$A:$A,Productos!BB:BB,"Revisar"),"")</f>
        <v/>
      </c>
      <c r="BJ906" s="179" t="str">
        <f t="array" ref="BJ906">IF($F906&lt;&gt;"", XLOOKUP($F906,Productos!$A$2:$A1001,Productos!BC$2:BC1001,"")*$G906,"")</f>
        <v/>
      </c>
      <c r="BK906" s="179" t="str">
        <f t="array" ref="BK906">IF($F906&lt;&gt;"",XLOOKUP($F906,Productos!$A:$A,Productos!BD:BD,"Revisar"),"")</f>
        <v/>
      </c>
      <c r="BL906" s="179" t="str">
        <f t="array" ref="BL906">IF($F906&lt;&gt;"", XLOOKUP($F906,Productos!$A$2:$A1001,Productos!BE$2:BE1001,"")*$G906,"")</f>
        <v/>
      </c>
      <c r="BM906" s="179" t="str">
        <f t="array" ref="BM906">IF($F906&lt;&gt;"",XLOOKUP($F906,Productos!$A:$A,Productos!BF:BF,"Revisar"),"")</f>
        <v/>
      </c>
      <c r="BN906" s="179" t="str">
        <f t="array" ref="BN906">IF($F906&lt;&gt;"", XLOOKUP($F906,Productos!$A$2:$A1001,Productos!BG$2:BG1001,"")*$G906,"")</f>
        <v/>
      </c>
      <c r="BO906" s="179" t="str">
        <f t="array" ref="BO906">IF($F906&lt;&gt;"",XLOOKUP($F906,Productos!$A:$A,Productos!BH:BH,"Revisar"),"")</f>
        <v/>
      </c>
      <c r="BP906" s="179" t="str">
        <f t="array" ref="BP906">IF($F906&lt;&gt;"", XLOOKUP($F906,Productos!$A$2:$A1001,Productos!BI$2:BI1001,"")*$G906,"")</f>
        <v/>
      </c>
      <c r="BQ906" s="179" t="str">
        <f t="array" ref="BQ906">IF($F906&lt;&gt;"",XLOOKUP($F906,Productos!$A:$A,Productos!BJ:BJ,"Revisar"),"")</f>
        <v/>
      </c>
      <c r="BR906" s="179" t="str">
        <f t="array" ref="BR906">IF($F906&lt;&gt;"", XLOOKUP($F906,Productos!$A$2:$A1001,Productos!BK$2:BK1001,"")*$G906,"")</f>
        <v/>
      </c>
      <c r="BS906" s="179" t="str">
        <f t="array" ref="BS906">IF($F906&lt;&gt;"",XLOOKUP($F906,Productos!$A:$A,Productos!BL:BL,"Revisar"),"")</f>
        <v/>
      </c>
      <c r="BT906" s="179" t="str">
        <f t="array" ref="BT906">IF($F906&lt;&gt;"", XLOOKUP($F906,Productos!$A$2:$A1001,Productos!BM$2:BM1001,"")*$G906,"")</f>
        <v/>
      </c>
      <c r="BU906" s="179" t="str">
        <f t="array" ref="BU906">IF($F906&lt;&gt;"",XLOOKUP($F906,Productos!$A:$A,Productos!BN:BN,"Revisar"),"")</f>
        <v/>
      </c>
      <c r="BV906" s="179" t="str">
        <f t="array" ref="BV906">IF($F906&lt;&gt;"", XLOOKUP($F906,Productos!$A$2:$A1001,Productos!BO$2:BO1001,"")*$G906,"")</f>
        <v/>
      </c>
      <c r="BW906" s="179" t="str">
        <f t="array" ref="BW906">IF($F906&lt;&gt;"",XLOOKUP($F906,Productos!$A:$A,Productos!BP:BP,"Revisar"),"")</f>
        <v/>
      </c>
      <c r="BX906" s="179" t="str">
        <f t="array" ref="BX906">IF($F906&lt;&gt;"", XLOOKUP($F906,Productos!$A$2:$A1001,Productos!BQ$2:BQ1001,"")*$G906,"")</f>
        <v/>
      </c>
      <c r="BY906" s="179" t="str">
        <f t="array" ref="BY906">IF($F906&lt;&gt;"",XLOOKUP($F906,Productos!$A:$A,Productos!BR:BR,"Revisar"),"")</f>
        <v/>
      </c>
      <c r="BZ906" s="179" t="str">
        <f t="array" ref="BZ906">IF($F906&lt;&gt;"", XLOOKUP($F906,Productos!$A$2:$A1001,Productos!BS$2:BS1001,"")*$G906,"")</f>
        <v/>
      </c>
    </row>
    <row r="907">
      <c r="A907" s="188"/>
      <c r="B907" s="189"/>
      <c r="C907" s="190"/>
      <c r="D907" s="190"/>
      <c r="E907" s="191"/>
      <c r="F907" s="186"/>
      <c r="G907" s="192"/>
      <c r="H907" s="9"/>
      <c r="I907" s="179" t="str">
        <f t="array" ref="I907">IF($F907&lt;&gt;"",XLOOKUP($F907,Productos!$A:$A,Productos!B:B,"Revisar"),"")</f>
        <v/>
      </c>
      <c r="J907" s="179" t="str">
        <f t="array" ref="J907">IF($F907&lt;&gt;"", XLOOKUP($F907,Productos!$A$2:$A1001,Productos!C$2:C1001,"")*$G907,"")</f>
        <v/>
      </c>
      <c r="K907" s="179" t="str">
        <f t="array" ref="K907">IF($F907&lt;&gt;"",XLOOKUP($F907,Productos!$A:$A,Productos!D:D,"Revisar"),"")</f>
        <v/>
      </c>
      <c r="L907" s="179" t="str">
        <f t="array" ref="L907">IF($F907&lt;&gt;"", XLOOKUP($F907,Productos!$A$2:$A1001,Productos!E$2:E1001,"")*$G907,"")</f>
        <v/>
      </c>
      <c r="M907" s="179" t="str">
        <f t="array" ref="M907">IF($F907&lt;&gt;"",XLOOKUP($F907,Productos!$A:$A,Productos!F:F,"Revisar"),"")</f>
        <v/>
      </c>
      <c r="N907" s="179" t="str">
        <f t="array" ref="N907">IF($F907&lt;&gt;"", XLOOKUP($F907,Productos!$A$2:$A1001,Productos!G$2:G1001,"")*$G907,"")</f>
        <v/>
      </c>
      <c r="O907" s="179" t="str">
        <f t="array" ref="O907">IF($F907&lt;&gt;"",XLOOKUP($F907,Productos!$A:$A,Productos!H:H,"Revisar"),"")</f>
        <v/>
      </c>
      <c r="P907" s="179" t="str">
        <f t="array" ref="P907">IF($F907&lt;&gt;"", XLOOKUP($F907,Productos!$A$2:$A1001,Productos!I$2:I1001,"")*$G907,"")</f>
        <v/>
      </c>
      <c r="Q907" s="179" t="str">
        <f t="array" ref="Q907">IF($F907&lt;&gt;"",XLOOKUP($F907,Productos!$A:$A,Productos!J:J,"Revisar"),"")</f>
        <v/>
      </c>
      <c r="R907" s="179" t="str">
        <f t="array" ref="R907">IF($F907&lt;&gt;"", XLOOKUP($F907,Productos!$A$2:$A1001,Productos!K$2:K1001,"")*$G907,"")</f>
        <v/>
      </c>
      <c r="S907" s="179" t="str">
        <f t="array" ref="S907">IF($F907&lt;&gt;"",XLOOKUP($F907,Productos!$A:$A,Productos!L:L,"Revisar"),"")</f>
        <v/>
      </c>
      <c r="T907" s="179" t="str">
        <f t="array" ref="T907">IF($F907&lt;&gt;"", XLOOKUP($F907,Productos!$A$2:$A1001,Productos!M$2:M1001,"")*$G907,"")</f>
        <v/>
      </c>
      <c r="U907" s="179" t="str">
        <f t="array" ref="U907">IF($F907&lt;&gt;"",XLOOKUP($F907,Productos!$A:$A,Productos!N:N,"Revisar"),"")</f>
        <v/>
      </c>
      <c r="V907" s="179" t="str">
        <f t="array" ref="V907">IF($F907&lt;&gt;"", XLOOKUP($F907,Productos!$A$2:$A1001,Productos!O$2:O1001,"")*$G907,"")</f>
        <v/>
      </c>
      <c r="W907" s="179" t="str">
        <f t="array" ref="W907">IF($F907&lt;&gt;"",XLOOKUP($F907,Productos!$A:$A,Productos!P:P,"Revisar"),"")</f>
        <v/>
      </c>
      <c r="X907" s="179" t="str">
        <f t="array" ref="X907">IF($F907&lt;&gt;"", XLOOKUP($F907,Productos!$A$2:$A1001,Productos!Q$2:Q1001,"")*$G907,"")</f>
        <v/>
      </c>
      <c r="Y907" s="179" t="str">
        <f t="array" ref="Y907">IF($F907&lt;&gt;"",XLOOKUP($F907,Productos!$A:$A,Productos!R:R,"Revisar"),"")</f>
        <v/>
      </c>
      <c r="Z907" s="179" t="str">
        <f t="array" ref="Z907">IF($F907&lt;&gt;"", XLOOKUP($F907,Productos!$A$2:$A1001,Productos!S$2:S1001,"")*$G907,"")</f>
        <v/>
      </c>
      <c r="AA907" s="179" t="str">
        <f t="array" ref="AA907">IF($F907&lt;&gt;"",XLOOKUP($F907,Productos!$A:$A,Productos!T:T,"Revisar"),"")</f>
        <v/>
      </c>
      <c r="AB907" s="179" t="str">
        <f t="array" ref="AB907">IF($F907&lt;&gt;"", XLOOKUP($F907,Productos!$A$2:$A1001,Productos!U$2:U1001,"")*$G907,"")</f>
        <v/>
      </c>
      <c r="AC907" s="179" t="str">
        <f t="array" ref="AC907">IF($F907&lt;&gt;"",XLOOKUP($F907,Productos!$A:$A,Productos!V:V,"Revisar"),"")</f>
        <v/>
      </c>
      <c r="AD907" s="179" t="str">
        <f t="array" ref="AD907">IF($F907&lt;&gt;"", XLOOKUP($F907,Productos!$A$2:$A1001,Productos!W$2:W1001,"")*$G907,"")</f>
        <v/>
      </c>
      <c r="AE907" s="179" t="str">
        <f t="array" ref="AE907">IF($F907&lt;&gt;"",XLOOKUP($F907,Productos!$A:$A,Productos!X:X,"Revisar"),"")</f>
        <v/>
      </c>
      <c r="AF907" s="179" t="str">
        <f t="array" ref="AF907">IF($F907&lt;&gt;"", XLOOKUP($F907,Productos!$A$2:$A1001,Productos!Y$2:Y1001,"")*$G907,"")</f>
        <v/>
      </c>
      <c r="AG907" s="179" t="str">
        <f t="array" ref="AG907">IF($F907&lt;&gt;"",XLOOKUP($F907,Productos!$A:$A,Productos!Z:Z,"Revisar"),"")</f>
        <v/>
      </c>
      <c r="AH907" s="179" t="str">
        <f t="array" ref="AH907">IF($F907&lt;&gt;"", XLOOKUP($F907,Productos!$A$2:$A1001,Productos!AA$2:AA1001,"")*$G907,"")</f>
        <v/>
      </c>
      <c r="AI907" s="179" t="str">
        <f t="array" ref="AI907">IF($F907&lt;&gt;"",XLOOKUP($F907,Productos!$A:$A,Productos!AB:AB,"Revisar"),"")</f>
        <v/>
      </c>
      <c r="AJ907" s="179" t="str">
        <f t="array" ref="AJ907">IF($F907&lt;&gt;"", XLOOKUP($F907,Productos!$A$2:$A1001,Productos!AC$2:AC1001,"")*$G907,"")</f>
        <v/>
      </c>
      <c r="AK907" s="179" t="str">
        <f t="array" ref="AK907">IF($F907&lt;&gt;"",XLOOKUP($F907,Productos!$A:$A,Productos!AD:AD,"Revisar"),"")</f>
        <v/>
      </c>
      <c r="AL907" s="179" t="str">
        <f t="array" ref="AL907">IF($F907&lt;&gt;"", XLOOKUP($F907,Productos!$A$2:$A1001,Productos!AE$2:AE1001,"")*$G907,"")</f>
        <v/>
      </c>
      <c r="AM907" s="179" t="str">
        <f t="array" ref="AM907">IF($F907&lt;&gt;"",XLOOKUP($F907,Productos!$A:$A,Productos!AF:AF,"Revisar"),"")</f>
        <v/>
      </c>
      <c r="AN907" s="179" t="str">
        <f t="array" ref="AN907">IF($F907&lt;&gt;"", XLOOKUP($F907,Productos!$A$2:$A1001,Productos!AG$2:AG1001,"")*$G907,"")</f>
        <v/>
      </c>
      <c r="AO907" s="179" t="str">
        <f t="array" ref="AO907">IF($F907&lt;&gt;"",XLOOKUP($F907,Productos!$A:$A,Productos!AH:AH,"Revisar"),"")</f>
        <v/>
      </c>
      <c r="AP907" s="179" t="str">
        <f t="array" ref="AP907">IF($F907&lt;&gt;"", XLOOKUP($F907,Productos!$A$2:$A1001,Productos!AI$2:AI1001,"")*$G907,"")</f>
        <v/>
      </c>
      <c r="AQ907" s="179" t="str">
        <f t="array" ref="AQ907">IF($F907&lt;&gt;"",XLOOKUP($F907,Productos!$A:$A,Productos!AJ:AJ,"Revisar"),"")</f>
        <v/>
      </c>
      <c r="AR907" s="179" t="str">
        <f t="array" ref="AR907">IF($F907&lt;&gt;"", XLOOKUP($F907,Productos!$A$2:$A1001,Productos!AK$2:AK1001,"")*$G907,"")</f>
        <v/>
      </c>
      <c r="AS907" s="179" t="str">
        <f t="array" ref="AS907">IF($F907&lt;&gt;"",XLOOKUP($F907,Productos!$A:$A,Productos!AL:AL,"Revisar"),"")</f>
        <v/>
      </c>
      <c r="AT907" s="179" t="str">
        <f t="array" ref="AT907">IF($F907&lt;&gt;"", XLOOKUP($F907,Productos!$A$2:$A1001,Productos!AM$2:AM1001,"")*$G907,"")</f>
        <v/>
      </c>
      <c r="AU907" s="179" t="str">
        <f t="array" ref="AU907">IF($F907&lt;&gt;"",XLOOKUP($F907,Productos!$A:$A,Productos!AN:AN,"Revisar"),"")</f>
        <v/>
      </c>
      <c r="AV907" s="179" t="str">
        <f t="array" ref="AV907">IF($F907&lt;&gt;"", XLOOKUP($F907,Productos!$A$2:$A1001,Productos!AO$2:AO1001,"")*$G907,"")</f>
        <v/>
      </c>
      <c r="AW907" s="179" t="str">
        <f t="array" ref="AW907">IF($F907&lt;&gt;"",XLOOKUP($F907,Productos!$A:$A,Productos!AP:AP,"Revisar"),"")</f>
        <v/>
      </c>
      <c r="AX907" s="179" t="str">
        <f t="array" ref="AX907">IF($F907&lt;&gt;"", XLOOKUP($F907,Productos!$A$2:$A1001,Productos!AQ$2:AQ1001,"")*$G907,"")</f>
        <v/>
      </c>
      <c r="AY907" s="179" t="str">
        <f t="array" ref="AY907">IF($F907&lt;&gt;"",XLOOKUP($F907,Productos!$A:$A,Productos!AR:AR,"Revisar"),"")</f>
        <v/>
      </c>
      <c r="AZ907" s="179" t="str">
        <f t="array" ref="AZ907">IF($F907&lt;&gt;"", XLOOKUP($F907,Productos!$A$2:$A1001,Productos!AS$2:AS1001,"")*$G907,"")</f>
        <v/>
      </c>
      <c r="BA907" s="179" t="str">
        <f t="array" ref="BA907">IF($F907&lt;&gt;"",XLOOKUP($F907,Productos!$A:$A,Productos!AT:AT,"Revisar"),"")</f>
        <v/>
      </c>
      <c r="BB907" s="179" t="str">
        <f t="array" ref="BB907">IF($F907&lt;&gt;"", XLOOKUP($F907,Productos!$A$2:$A1001,Productos!AU$2:AU1001,"")*$G907,"")</f>
        <v/>
      </c>
      <c r="BC907" s="179" t="str">
        <f t="array" ref="BC907">IF($F907&lt;&gt;"",XLOOKUP($F907,Productos!$A:$A,Productos!AV:AV,"Revisar"),"")</f>
        <v/>
      </c>
      <c r="BD907" s="179" t="str">
        <f t="array" ref="BD907">IF($F907&lt;&gt;"", XLOOKUP($F907,Productos!$A$2:$A1001,Productos!AW$2:AW1001,"")*$G907,"")</f>
        <v/>
      </c>
      <c r="BE907" s="179" t="str">
        <f t="array" ref="BE907">IF($F907&lt;&gt;"",XLOOKUP($F907,Productos!$A:$A,Productos!AX:AX,"Revisar"),"")</f>
        <v/>
      </c>
      <c r="BF907" s="179" t="str">
        <f t="array" ref="BF907">IF($F907&lt;&gt;"", XLOOKUP($F907,Productos!$A$2:$A1001,Productos!AY$2:AY1001,"")*$G907,"")</f>
        <v/>
      </c>
      <c r="BG907" s="179" t="str">
        <f t="array" ref="BG907">IF($F907&lt;&gt;"",XLOOKUP($F907,Productos!$A:$A,Productos!AZ:AZ,"Revisar"),"")</f>
        <v/>
      </c>
      <c r="BH907" s="179" t="str">
        <f t="array" ref="BH907">IF($F907&lt;&gt;"", XLOOKUP($F907,Productos!$A$2:$A1001,Productos!BA$2:BA1001,"")*$G907,"")</f>
        <v/>
      </c>
      <c r="BI907" s="179" t="str">
        <f t="array" ref="BI907">IF($F907&lt;&gt;"",XLOOKUP($F907,Productos!$A:$A,Productos!BB:BB,"Revisar"),"")</f>
        <v/>
      </c>
      <c r="BJ907" s="179" t="str">
        <f t="array" ref="BJ907">IF($F907&lt;&gt;"", XLOOKUP($F907,Productos!$A$2:$A1001,Productos!BC$2:BC1001,"")*$G907,"")</f>
        <v/>
      </c>
      <c r="BK907" s="179" t="str">
        <f t="array" ref="BK907">IF($F907&lt;&gt;"",XLOOKUP($F907,Productos!$A:$A,Productos!BD:BD,"Revisar"),"")</f>
        <v/>
      </c>
      <c r="BL907" s="179" t="str">
        <f t="array" ref="BL907">IF($F907&lt;&gt;"", XLOOKUP($F907,Productos!$A$2:$A1001,Productos!BE$2:BE1001,"")*$G907,"")</f>
        <v/>
      </c>
      <c r="BM907" s="179" t="str">
        <f t="array" ref="BM907">IF($F907&lt;&gt;"",XLOOKUP($F907,Productos!$A:$A,Productos!BF:BF,"Revisar"),"")</f>
        <v/>
      </c>
      <c r="BN907" s="179" t="str">
        <f t="array" ref="BN907">IF($F907&lt;&gt;"", XLOOKUP($F907,Productos!$A$2:$A1001,Productos!BG$2:BG1001,"")*$G907,"")</f>
        <v/>
      </c>
      <c r="BO907" s="179" t="str">
        <f t="array" ref="BO907">IF($F907&lt;&gt;"",XLOOKUP($F907,Productos!$A:$A,Productos!BH:BH,"Revisar"),"")</f>
        <v/>
      </c>
      <c r="BP907" s="179" t="str">
        <f t="array" ref="BP907">IF($F907&lt;&gt;"", XLOOKUP($F907,Productos!$A$2:$A1001,Productos!BI$2:BI1001,"")*$G907,"")</f>
        <v/>
      </c>
      <c r="BQ907" s="179" t="str">
        <f t="array" ref="BQ907">IF($F907&lt;&gt;"",XLOOKUP($F907,Productos!$A:$A,Productos!BJ:BJ,"Revisar"),"")</f>
        <v/>
      </c>
      <c r="BR907" s="179" t="str">
        <f t="array" ref="BR907">IF($F907&lt;&gt;"", XLOOKUP($F907,Productos!$A$2:$A1001,Productos!BK$2:BK1001,"")*$G907,"")</f>
        <v/>
      </c>
      <c r="BS907" s="179" t="str">
        <f t="array" ref="BS907">IF($F907&lt;&gt;"",XLOOKUP($F907,Productos!$A:$A,Productos!BL:BL,"Revisar"),"")</f>
        <v/>
      </c>
      <c r="BT907" s="179" t="str">
        <f t="array" ref="BT907">IF($F907&lt;&gt;"", XLOOKUP($F907,Productos!$A$2:$A1001,Productos!BM$2:BM1001,"")*$G907,"")</f>
        <v/>
      </c>
      <c r="BU907" s="179" t="str">
        <f t="array" ref="BU907">IF($F907&lt;&gt;"",XLOOKUP($F907,Productos!$A:$A,Productos!BN:BN,"Revisar"),"")</f>
        <v/>
      </c>
      <c r="BV907" s="179" t="str">
        <f t="array" ref="BV907">IF($F907&lt;&gt;"", XLOOKUP($F907,Productos!$A$2:$A1001,Productos!BO$2:BO1001,"")*$G907,"")</f>
        <v/>
      </c>
      <c r="BW907" s="179" t="str">
        <f t="array" ref="BW907">IF($F907&lt;&gt;"",XLOOKUP($F907,Productos!$A:$A,Productos!BP:BP,"Revisar"),"")</f>
        <v/>
      </c>
      <c r="BX907" s="179" t="str">
        <f t="array" ref="BX907">IF($F907&lt;&gt;"", XLOOKUP($F907,Productos!$A$2:$A1001,Productos!BQ$2:BQ1001,"")*$G907,"")</f>
        <v/>
      </c>
      <c r="BY907" s="179" t="str">
        <f t="array" ref="BY907">IF($F907&lt;&gt;"",XLOOKUP($F907,Productos!$A:$A,Productos!BR:BR,"Revisar"),"")</f>
        <v/>
      </c>
      <c r="BZ907" s="179" t="str">
        <f t="array" ref="BZ907">IF($F907&lt;&gt;"", XLOOKUP($F907,Productos!$A$2:$A1001,Productos!BS$2:BS1001,"")*$G907,"")</f>
        <v/>
      </c>
    </row>
    <row r="908">
      <c r="A908" s="188"/>
      <c r="B908" s="189"/>
      <c r="C908" s="190"/>
      <c r="D908" s="190"/>
      <c r="E908" s="191"/>
      <c r="F908" s="186"/>
      <c r="G908" s="192"/>
      <c r="H908" s="9"/>
      <c r="I908" s="179" t="str">
        <f t="array" ref="I908">IF($F908&lt;&gt;"",XLOOKUP($F908,Productos!$A:$A,Productos!B:B,"Revisar"),"")</f>
        <v/>
      </c>
      <c r="J908" s="179" t="str">
        <f t="array" ref="J908">IF($F908&lt;&gt;"", XLOOKUP($F908,Productos!$A$2:$A1001,Productos!C$2:C1001,"")*$G908,"")</f>
        <v/>
      </c>
      <c r="K908" s="179" t="str">
        <f t="array" ref="K908">IF($F908&lt;&gt;"",XLOOKUP($F908,Productos!$A:$A,Productos!D:D,"Revisar"),"")</f>
        <v/>
      </c>
      <c r="L908" s="179" t="str">
        <f t="array" ref="L908">IF($F908&lt;&gt;"", XLOOKUP($F908,Productos!$A$2:$A1001,Productos!E$2:E1001,"")*$G908,"")</f>
        <v/>
      </c>
      <c r="M908" s="179" t="str">
        <f t="array" ref="M908">IF($F908&lt;&gt;"",XLOOKUP($F908,Productos!$A:$A,Productos!F:F,"Revisar"),"")</f>
        <v/>
      </c>
      <c r="N908" s="179" t="str">
        <f t="array" ref="N908">IF($F908&lt;&gt;"", XLOOKUP($F908,Productos!$A$2:$A1001,Productos!G$2:G1001,"")*$G908,"")</f>
        <v/>
      </c>
      <c r="O908" s="179" t="str">
        <f t="array" ref="O908">IF($F908&lt;&gt;"",XLOOKUP($F908,Productos!$A:$A,Productos!H:H,"Revisar"),"")</f>
        <v/>
      </c>
      <c r="P908" s="179" t="str">
        <f t="array" ref="P908">IF($F908&lt;&gt;"", XLOOKUP($F908,Productos!$A$2:$A1001,Productos!I$2:I1001,"")*$G908,"")</f>
        <v/>
      </c>
      <c r="Q908" s="179" t="str">
        <f t="array" ref="Q908">IF($F908&lt;&gt;"",XLOOKUP($F908,Productos!$A:$A,Productos!J:J,"Revisar"),"")</f>
        <v/>
      </c>
      <c r="R908" s="179" t="str">
        <f t="array" ref="R908">IF($F908&lt;&gt;"", XLOOKUP($F908,Productos!$A$2:$A1001,Productos!K$2:K1001,"")*$G908,"")</f>
        <v/>
      </c>
      <c r="S908" s="179" t="str">
        <f t="array" ref="S908">IF($F908&lt;&gt;"",XLOOKUP($F908,Productos!$A:$A,Productos!L:L,"Revisar"),"")</f>
        <v/>
      </c>
      <c r="T908" s="179" t="str">
        <f t="array" ref="T908">IF($F908&lt;&gt;"", XLOOKUP($F908,Productos!$A$2:$A1001,Productos!M$2:M1001,"")*$G908,"")</f>
        <v/>
      </c>
      <c r="U908" s="179" t="str">
        <f t="array" ref="U908">IF($F908&lt;&gt;"",XLOOKUP($F908,Productos!$A:$A,Productos!N:N,"Revisar"),"")</f>
        <v/>
      </c>
      <c r="V908" s="179" t="str">
        <f t="array" ref="V908">IF($F908&lt;&gt;"", XLOOKUP($F908,Productos!$A$2:$A1001,Productos!O$2:O1001,"")*$G908,"")</f>
        <v/>
      </c>
      <c r="W908" s="179" t="str">
        <f t="array" ref="W908">IF($F908&lt;&gt;"",XLOOKUP($F908,Productos!$A:$A,Productos!P:P,"Revisar"),"")</f>
        <v/>
      </c>
      <c r="X908" s="179" t="str">
        <f t="array" ref="X908">IF($F908&lt;&gt;"", XLOOKUP($F908,Productos!$A$2:$A1001,Productos!Q$2:Q1001,"")*$G908,"")</f>
        <v/>
      </c>
      <c r="Y908" s="179" t="str">
        <f t="array" ref="Y908">IF($F908&lt;&gt;"",XLOOKUP($F908,Productos!$A:$A,Productos!R:R,"Revisar"),"")</f>
        <v/>
      </c>
      <c r="Z908" s="179" t="str">
        <f t="array" ref="Z908">IF($F908&lt;&gt;"", XLOOKUP($F908,Productos!$A$2:$A1001,Productos!S$2:S1001,"")*$G908,"")</f>
        <v/>
      </c>
      <c r="AA908" s="179" t="str">
        <f t="array" ref="AA908">IF($F908&lt;&gt;"",XLOOKUP($F908,Productos!$A:$A,Productos!T:T,"Revisar"),"")</f>
        <v/>
      </c>
      <c r="AB908" s="179" t="str">
        <f t="array" ref="AB908">IF($F908&lt;&gt;"", XLOOKUP($F908,Productos!$A$2:$A1001,Productos!U$2:U1001,"")*$G908,"")</f>
        <v/>
      </c>
      <c r="AC908" s="179" t="str">
        <f t="array" ref="AC908">IF($F908&lt;&gt;"",XLOOKUP($F908,Productos!$A:$A,Productos!V:V,"Revisar"),"")</f>
        <v/>
      </c>
      <c r="AD908" s="179" t="str">
        <f t="array" ref="AD908">IF($F908&lt;&gt;"", XLOOKUP($F908,Productos!$A$2:$A1001,Productos!W$2:W1001,"")*$G908,"")</f>
        <v/>
      </c>
      <c r="AE908" s="179" t="str">
        <f t="array" ref="AE908">IF($F908&lt;&gt;"",XLOOKUP($F908,Productos!$A:$A,Productos!X:X,"Revisar"),"")</f>
        <v/>
      </c>
      <c r="AF908" s="179" t="str">
        <f t="array" ref="AF908">IF($F908&lt;&gt;"", XLOOKUP($F908,Productos!$A$2:$A1001,Productos!Y$2:Y1001,"")*$G908,"")</f>
        <v/>
      </c>
      <c r="AG908" s="179" t="str">
        <f t="array" ref="AG908">IF($F908&lt;&gt;"",XLOOKUP($F908,Productos!$A:$A,Productos!Z:Z,"Revisar"),"")</f>
        <v/>
      </c>
      <c r="AH908" s="179" t="str">
        <f t="array" ref="AH908">IF($F908&lt;&gt;"", XLOOKUP($F908,Productos!$A$2:$A1001,Productos!AA$2:AA1001,"")*$G908,"")</f>
        <v/>
      </c>
      <c r="AI908" s="179" t="str">
        <f t="array" ref="AI908">IF($F908&lt;&gt;"",XLOOKUP($F908,Productos!$A:$A,Productos!AB:AB,"Revisar"),"")</f>
        <v/>
      </c>
      <c r="AJ908" s="179" t="str">
        <f t="array" ref="AJ908">IF($F908&lt;&gt;"", XLOOKUP($F908,Productos!$A$2:$A1001,Productos!AC$2:AC1001,"")*$G908,"")</f>
        <v/>
      </c>
      <c r="AK908" s="179" t="str">
        <f t="array" ref="AK908">IF($F908&lt;&gt;"",XLOOKUP($F908,Productos!$A:$A,Productos!AD:AD,"Revisar"),"")</f>
        <v/>
      </c>
      <c r="AL908" s="179" t="str">
        <f t="array" ref="AL908">IF($F908&lt;&gt;"", XLOOKUP($F908,Productos!$A$2:$A1001,Productos!AE$2:AE1001,"")*$G908,"")</f>
        <v/>
      </c>
      <c r="AM908" s="179" t="str">
        <f t="array" ref="AM908">IF($F908&lt;&gt;"",XLOOKUP($F908,Productos!$A:$A,Productos!AF:AF,"Revisar"),"")</f>
        <v/>
      </c>
      <c r="AN908" s="179" t="str">
        <f t="array" ref="AN908">IF($F908&lt;&gt;"", XLOOKUP($F908,Productos!$A$2:$A1001,Productos!AG$2:AG1001,"")*$G908,"")</f>
        <v/>
      </c>
      <c r="AO908" s="179" t="str">
        <f t="array" ref="AO908">IF($F908&lt;&gt;"",XLOOKUP($F908,Productos!$A:$A,Productos!AH:AH,"Revisar"),"")</f>
        <v/>
      </c>
      <c r="AP908" s="179" t="str">
        <f t="array" ref="AP908">IF($F908&lt;&gt;"", XLOOKUP($F908,Productos!$A$2:$A1001,Productos!AI$2:AI1001,"")*$G908,"")</f>
        <v/>
      </c>
      <c r="AQ908" s="179" t="str">
        <f t="array" ref="AQ908">IF($F908&lt;&gt;"",XLOOKUP($F908,Productos!$A:$A,Productos!AJ:AJ,"Revisar"),"")</f>
        <v/>
      </c>
      <c r="AR908" s="179" t="str">
        <f t="array" ref="AR908">IF($F908&lt;&gt;"", XLOOKUP($F908,Productos!$A$2:$A1001,Productos!AK$2:AK1001,"")*$G908,"")</f>
        <v/>
      </c>
      <c r="AS908" s="179" t="str">
        <f t="array" ref="AS908">IF($F908&lt;&gt;"",XLOOKUP($F908,Productos!$A:$A,Productos!AL:AL,"Revisar"),"")</f>
        <v/>
      </c>
      <c r="AT908" s="179" t="str">
        <f t="array" ref="AT908">IF($F908&lt;&gt;"", XLOOKUP($F908,Productos!$A$2:$A1001,Productos!AM$2:AM1001,"")*$G908,"")</f>
        <v/>
      </c>
      <c r="AU908" s="179" t="str">
        <f t="array" ref="AU908">IF($F908&lt;&gt;"",XLOOKUP($F908,Productos!$A:$A,Productos!AN:AN,"Revisar"),"")</f>
        <v/>
      </c>
      <c r="AV908" s="179" t="str">
        <f t="array" ref="AV908">IF($F908&lt;&gt;"", XLOOKUP($F908,Productos!$A$2:$A1001,Productos!AO$2:AO1001,"")*$G908,"")</f>
        <v/>
      </c>
      <c r="AW908" s="179" t="str">
        <f t="array" ref="AW908">IF($F908&lt;&gt;"",XLOOKUP($F908,Productos!$A:$A,Productos!AP:AP,"Revisar"),"")</f>
        <v/>
      </c>
      <c r="AX908" s="179" t="str">
        <f t="array" ref="AX908">IF($F908&lt;&gt;"", XLOOKUP($F908,Productos!$A$2:$A1001,Productos!AQ$2:AQ1001,"")*$G908,"")</f>
        <v/>
      </c>
      <c r="AY908" s="179" t="str">
        <f t="array" ref="AY908">IF($F908&lt;&gt;"",XLOOKUP($F908,Productos!$A:$A,Productos!AR:AR,"Revisar"),"")</f>
        <v/>
      </c>
      <c r="AZ908" s="179" t="str">
        <f t="array" ref="AZ908">IF($F908&lt;&gt;"", XLOOKUP($F908,Productos!$A$2:$A1001,Productos!AS$2:AS1001,"")*$G908,"")</f>
        <v/>
      </c>
      <c r="BA908" s="179" t="str">
        <f t="array" ref="BA908">IF($F908&lt;&gt;"",XLOOKUP($F908,Productos!$A:$A,Productos!AT:AT,"Revisar"),"")</f>
        <v/>
      </c>
      <c r="BB908" s="179" t="str">
        <f t="array" ref="BB908">IF($F908&lt;&gt;"", XLOOKUP($F908,Productos!$A$2:$A1001,Productos!AU$2:AU1001,"")*$G908,"")</f>
        <v/>
      </c>
      <c r="BC908" s="179" t="str">
        <f t="array" ref="BC908">IF($F908&lt;&gt;"",XLOOKUP($F908,Productos!$A:$A,Productos!AV:AV,"Revisar"),"")</f>
        <v/>
      </c>
      <c r="BD908" s="179" t="str">
        <f t="array" ref="BD908">IF($F908&lt;&gt;"", XLOOKUP($F908,Productos!$A$2:$A1001,Productos!AW$2:AW1001,"")*$G908,"")</f>
        <v/>
      </c>
      <c r="BE908" s="179" t="str">
        <f t="array" ref="BE908">IF($F908&lt;&gt;"",XLOOKUP($F908,Productos!$A:$A,Productos!AX:AX,"Revisar"),"")</f>
        <v/>
      </c>
      <c r="BF908" s="179" t="str">
        <f t="array" ref="BF908">IF($F908&lt;&gt;"", XLOOKUP($F908,Productos!$A$2:$A1001,Productos!AY$2:AY1001,"")*$G908,"")</f>
        <v/>
      </c>
      <c r="BG908" s="179" t="str">
        <f t="array" ref="BG908">IF($F908&lt;&gt;"",XLOOKUP($F908,Productos!$A:$A,Productos!AZ:AZ,"Revisar"),"")</f>
        <v/>
      </c>
      <c r="BH908" s="179" t="str">
        <f t="array" ref="BH908">IF($F908&lt;&gt;"", XLOOKUP($F908,Productos!$A$2:$A1001,Productos!BA$2:BA1001,"")*$G908,"")</f>
        <v/>
      </c>
      <c r="BI908" s="179" t="str">
        <f t="array" ref="BI908">IF($F908&lt;&gt;"",XLOOKUP($F908,Productos!$A:$A,Productos!BB:BB,"Revisar"),"")</f>
        <v/>
      </c>
      <c r="BJ908" s="179" t="str">
        <f t="array" ref="BJ908">IF($F908&lt;&gt;"", XLOOKUP($F908,Productos!$A$2:$A1001,Productos!BC$2:BC1001,"")*$G908,"")</f>
        <v/>
      </c>
      <c r="BK908" s="179" t="str">
        <f t="array" ref="BK908">IF($F908&lt;&gt;"",XLOOKUP($F908,Productos!$A:$A,Productos!BD:BD,"Revisar"),"")</f>
        <v/>
      </c>
      <c r="BL908" s="179" t="str">
        <f t="array" ref="BL908">IF($F908&lt;&gt;"", XLOOKUP($F908,Productos!$A$2:$A1001,Productos!BE$2:BE1001,"")*$G908,"")</f>
        <v/>
      </c>
      <c r="BM908" s="179" t="str">
        <f t="array" ref="BM908">IF($F908&lt;&gt;"",XLOOKUP($F908,Productos!$A:$A,Productos!BF:BF,"Revisar"),"")</f>
        <v/>
      </c>
      <c r="BN908" s="179" t="str">
        <f t="array" ref="BN908">IF($F908&lt;&gt;"", XLOOKUP($F908,Productos!$A$2:$A1001,Productos!BG$2:BG1001,"")*$G908,"")</f>
        <v/>
      </c>
      <c r="BO908" s="179" t="str">
        <f t="array" ref="BO908">IF($F908&lt;&gt;"",XLOOKUP($F908,Productos!$A:$A,Productos!BH:BH,"Revisar"),"")</f>
        <v/>
      </c>
      <c r="BP908" s="179" t="str">
        <f t="array" ref="BP908">IF($F908&lt;&gt;"", XLOOKUP($F908,Productos!$A$2:$A1001,Productos!BI$2:BI1001,"")*$G908,"")</f>
        <v/>
      </c>
      <c r="BQ908" s="179" t="str">
        <f t="array" ref="BQ908">IF($F908&lt;&gt;"",XLOOKUP($F908,Productos!$A:$A,Productos!BJ:BJ,"Revisar"),"")</f>
        <v/>
      </c>
      <c r="BR908" s="179" t="str">
        <f t="array" ref="BR908">IF($F908&lt;&gt;"", XLOOKUP($F908,Productos!$A$2:$A1001,Productos!BK$2:BK1001,"")*$G908,"")</f>
        <v/>
      </c>
      <c r="BS908" s="179" t="str">
        <f t="array" ref="BS908">IF($F908&lt;&gt;"",XLOOKUP($F908,Productos!$A:$A,Productos!BL:BL,"Revisar"),"")</f>
        <v/>
      </c>
      <c r="BT908" s="179" t="str">
        <f t="array" ref="BT908">IF($F908&lt;&gt;"", XLOOKUP($F908,Productos!$A$2:$A1001,Productos!BM$2:BM1001,"")*$G908,"")</f>
        <v/>
      </c>
      <c r="BU908" s="179" t="str">
        <f t="array" ref="BU908">IF($F908&lt;&gt;"",XLOOKUP($F908,Productos!$A:$A,Productos!BN:BN,"Revisar"),"")</f>
        <v/>
      </c>
      <c r="BV908" s="179" t="str">
        <f t="array" ref="BV908">IF($F908&lt;&gt;"", XLOOKUP($F908,Productos!$A$2:$A1001,Productos!BO$2:BO1001,"")*$G908,"")</f>
        <v/>
      </c>
      <c r="BW908" s="179" t="str">
        <f t="array" ref="BW908">IF($F908&lt;&gt;"",XLOOKUP($F908,Productos!$A:$A,Productos!BP:BP,"Revisar"),"")</f>
        <v/>
      </c>
      <c r="BX908" s="179" t="str">
        <f t="array" ref="BX908">IF($F908&lt;&gt;"", XLOOKUP($F908,Productos!$A$2:$A1001,Productos!BQ$2:BQ1001,"")*$G908,"")</f>
        <v/>
      </c>
      <c r="BY908" s="179" t="str">
        <f t="array" ref="BY908">IF($F908&lt;&gt;"",XLOOKUP($F908,Productos!$A:$A,Productos!BR:BR,"Revisar"),"")</f>
        <v/>
      </c>
      <c r="BZ908" s="179" t="str">
        <f t="array" ref="BZ908">IF($F908&lt;&gt;"", XLOOKUP($F908,Productos!$A$2:$A1001,Productos!BS$2:BS1001,"")*$G908,"")</f>
        <v/>
      </c>
    </row>
    <row r="909">
      <c r="A909" s="188"/>
      <c r="B909" s="189"/>
      <c r="C909" s="190"/>
      <c r="D909" s="190"/>
      <c r="E909" s="191"/>
      <c r="F909" s="186"/>
      <c r="G909" s="192"/>
      <c r="H909" s="9"/>
      <c r="I909" s="179" t="str">
        <f t="array" ref="I909">IF($F909&lt;&gt;"",XLOOKUP($F909,Productos!$A:$A,Productos!B:B,"Revisar"),"")</f>
        <v/>
      </c>
      <c r="J909" s="179" t="str">
        <f t="array" ref="J909">IF($F909&lt;&gt;"", XLOOKUP($F909,Productos!$A$2:$A1001,Productos!C$2:C1001,"")*$G909,"")</f>
        <v/>
      </c>
      <c r="K909" s="179" t="str">
        <f t="array" ref="K909">IF($F909&lt;&gt;"",XLOOKUP($F909,Productos!$A:$A,Productos!D:D,"Revisar"),"")</f>
        <v/>
      </c>
      <c r="L909" s="179" t="str">
        <f t="array" ref="L909">IF($F909&lt;&gt;"", XLOOKUP($F909,Productos!$A$2:$A1001,Productos!E$2:E1001,"")*$G909,"")</f>
        <v/>
      </c>
      <c r="M909" s="179" t="str">
        <f t="array" ref="M909">IF($F909&lt;&gt;"",XLOOKUP($F909,Productos!$A:$A,Productos!F:F,"Revisar"),"")</f>
        <v/>
      </c>
      <c r="N909" s="179" t="str">
        <f t="array" ref="N909">IF($F909&lt;&gt;"", XLOOKUP($F909,Productos!$A$2:$A1001,Productos!G$2:G1001,"")*$G909,"")</f>
        <v/>
      </c>
      <c r="O909" s="179" t="str">
        <f t="array" ref="O909">IF($F909&lt;&gt;"",XLOOKUP($F909,Productos!$A:$A,Productos!H:H,"Revisar"),"")</f>
        <v/>
      </c>
      <c r="P909" s="179" t="str">
        <f t="array" ref="P909">IF($F909&lt;&gt;"", XLOOKUP($F909,Productos!$A$2:$A1001,Productos!I$2:I1001,"")*$G909,"")</f>
        <v/>
      </c>
      <c r="Q909" s="179" t="str">
        <f t="array" ref="Q909">IF($F909&lt;&gt;"",XLOOKUP($F909,Productos!$A:$A,Productos!J:J,"Revisar"),"")</f>
        <v/>
      </c>
      <c r="R909" s="179" t="str">
        <f t="array" ref="R909">IF($F909&lt;&gt;"", XLOOKUP($F909,Productos!$A$2:$A1001,Productos!K$2:K1001,"")*$G909,"")</f>
        <v/>
      </c>
      <c r="S909" s="179" t="str">
        <f t="array" ref="S909">IF($F909&lt;&gt;"",XLOOKUP($F909,Productos!$A:$A,Productos!L:L,"Revisar"),"")</f>
        <v/>
      </c>
      <c r="T909" s="179" t="str">
        <f t="array" ref="T909">IF($F909&lt;&gt;"", XLOOKUP($F909,Productos!$A$2:$A1001,Productos!M$2:M1001,"")*$G909,"")</f>
        <v/>
      </c>
      <c r="U909" s="179" t="str">
        <f t="array" ref="U909">IF($F909&lt;&gt;"",XLOOKUP($F909,Productos!$A:$A,Productos!N:N,"Revisar"),"")</f>
        <v/>
      </c>
      <c r="V909" s="179" t="str">
        <f t="array" ref="V909">IF($F909&lt;&gt;"", XLOOKUP($F909,Productos!$A$2:$A1001,Productos!O$2:O1001,"")*$G909,"")</f>
        <v/>
      </c>
      <c r="W909" s="179" t="str">
        <f t="array" ref="W909">IF($F909&lt;&gt;"",XLOOKUP($F909,Productos!$A:$A,Productos!P:P,"Revisar"),"")</f>
        <v/>
      </c>
      <c r="X909" s="179" t="str">
        <f t="array" ref="X909">IF($F909&lt;&gt;"", XLOOKUP($F909,Productos!$A$2:$A1001,Productos!Q$2:Q1001,"")*$G909,"")</f>
        <v/>
      </c>
      <c r="Y909" s="179" t="str">
        <f t="array" ref="Y909">IF($F909&lt;&gt;"",XLOOKUP($F909,Productos!$A:$A,Productos!R:R,"Revisar"),"")</f>
        <v/>
      </c>
      <c r="Z909" s="179" t="str">
        <f t="array" ref="Z909">IF($F909&lt;&gt;"", XLOOKUP($F909,Productos!$A$2:$A1001,Productos!S$2:S1001,"")*$G909,"")</f>
        <v/>
      </c>
      <c r="AA909" s="179" t="str">
        <f t="array" ref="AA909">IF($F909&lt;&gt;"",XLOOKUP($F909,Productos!$A:$A,Productos!T:T,"Revisar"),"")</f>
        <v/>
      </c>
      <c r="AB909" s="179" t="str">
        <f t="array" ref="AB909">IF($F909&lt;&gt;"", XLOOKUP($F909,Productos!$A$2:$A1001,Productos!U$2:U1001,"")*$G909,"")</f>
        <v/>
      </c>
      <c r="AC909" s="179" t="str">
        <f t="array" ref="AC909">IF($F909&lt;&gt;"",XLOOKUP($F909,Productos!$A:$A,Productos!V:V,"Revisar"),"")</f>
        <v/>
      </c>
      <c r="AD909" s="179" t="str">
        <f t="array" ref="AD909">IF($F909&lt;&gt;"", XLOOKUP($F909,Productos!$A$2:$A1001,Productos!W$2:W1001,"")*$G909,"")</f>
        <v/>
      </c>
      <c r="AE909" s="179" t="str">
        <f t="array" ref="AE909">IF($F909&lt;&gt;"",XLOOKUP($F909,Productos!$A:$A,Productos!X:X,"Revisar"),"")</f>
        <v/>
      </c>
      <c r="AF909" s="179" t="str">
        <f t="array" ref="AF909">IF($F909&lt;&gt;"", XLOOKUP($F909,Productos!$A$2:$A1001,Productos!Y$2:Y1001,"")*$G909,"")</f>
        <v/>
      </c>
      <c r="AG909" s="179" t="str">
        <f t="array" ref="AG909">IF($F909&lt;&gt;"",XLOOKUP($F909,Productos!$A:$A,Productos!Z:Z,"Revisar"),"")</f>
        <v/>
      </c>
      <c r="AH909" s="179" t="str">
        <f t="array" ref="AH909">IF($F909&lt;&gt;"", XLOOKUP($F909,Productos!$A$2:$A1001,Productos!AA$2:AA1001,"")*$G909,"")</f>
        <v/>
      </c>
      <c r="AI909" s="179" t="str">
        <f t="array" ref="AI909">IF($F909&lt;&gt;"",XLOOKUP($F909,Productos!$A:$A,Productos!AB:AB,"Revisar"),"")</f>
        <v/>
      </c>
      <c r="AJ909" s="179" t="str">
        <f t="array" ref="AJ909">IF($F909&lt;&gt;"", XLOOKUP($F909,Productos!$A$2:$A1001,Productos!AC$2:AC1001,"")*$G909,"")</f>
        <v/>
      </c>
      <c r="AK909" s="179" t="str">
        <f t="array" ref="AK909">IF($F909&lt;&gt;"",XLOOKUP($F909,Productos!$A:$A,Productos!AD:AD,"Revisar"),"")</f>
        <v/>
      </c>
      <c r="AL909" s="179" t="str">
        <f t="array" ref="AL909">IF($F909&lt;&gt;"", XLOOKUP($F909,Productos!$A$2:$A1001,Productos!AE$2:AE1001,"")*$G909,"")</f>
        <v/>
      </c>
      <c r="AM909" s="179" t="str">
        <f t="array" ref="AM909">IF($F909&lt;&gt;"",XLOOKUP($F909,Productos!$A:$A,Productos!AF:AF,"Revisar"),"")</f>
        <v/>
      </c>
      <c r="AN909" s="179" t="str">
        <f t="array" ref="AN909">IF($F909&lt;&gt;"", XLOOKUP($F909,Productos!$A$2:$A1001,Productos!AG$2:AG1001,"")*$G909,"")</f>
        <v/>
      </c>
      <c r="AO909" s="179" t="str">
        <f t="array" ref="AO909">IF($F909&lt;&gt;"",XLOOKUP($F909,Productos!$A:$A,Productos!AH:AH,"Revisar"),"")</f>
        <v/>
      </c>
      <c r="AP909" s="179" t="str">
        <f t="array" ref="AP909">IF($F909&lt;&gt;"", XLOOKUP($F909,Productos!$A$2:$A1001,Productos!AI$2:AI1001,"")*$G909,"")</f>
        <v/>
      </c>
      <c r="AQ909" s="179" t="str">
        <f t="array" ref="AQ909">IF($F909&lt;&gt;"",XLOOKUP($F909,Productos!$A:$A,Productos!AJ:AJ,"Revisar"),"")</f>
        <v/>
      </c>
      <c r="AR909" s="179" t="str">
        <f t="array" ref="AR909">IF($F909&lt;&gt;"", XLOOKUP($F909,Productos!$A$2:$A1001,Productos!AK$2:AK1001,"")*$G909,"")</f>
        <v/>
      </c>
      <c r="AS909" s="179" t="str">
        <f t="array" ref="AS909">IF($F909&lt;&gt;"",XLOOKUP($F909,Productos!$A:$A,Productos!AL:AL,"Revisar"),"")</f>
        <v/>
      </c>
      <c r="AT909" s="179" t="str">
        <f t="array" ref="AT909">IF($F909&lt;&gt;"", XLOOKUP($F909,Productos!$A$2:$A1001,Productos!AM$2:AM1001,"")*$G909,"")</f>
        <v/>
      </c>
      <c r="AU909" s="179" t="str">
        <f t="array" ref="AU909">IF($F909&lt;&gt;"",XLOOKUP($F909,Productos!$A:$A,Productos!AN:AN,"Revisar"),"")</f>
        <v/>
      </c>
      <c r="AV909" s="179" t="str">
        <f t="array" ref="AV909">IF($F909&lt;&gt;"", XLOOKUP($F909,Productos!$A$2:$A1001,Productos!AO$2:AO1001,"")*$G909,"")</f>
        <v/>
      </c>
      <c r="AW909" s="179" t="str">
        <f t="array" ref="AW909">IF($F909&lt;&gt;"",XLOOKUP($F909,Productos!$A:$A,Productos!AP:AP,"Revisar"),"")</f>
        <v/>
      </c>
      <c r="AX909" s="179" t="str">
        <f t="array" ref="AX909">IF($F909&lt;&gt;"", XLOOKUP($F909,Productos!$A$2:$A1001,Productos!AQ$2:AQ1001,"")*$G909,"")</f>
        <v/>
      </c>
      <c r="AY909" s="179" t="str">
        <f t="array" ref="AY909">IF($F909&lt;&gt;"",XLOOKUP($F909,Productos!$A:$A,Productos!AR:AR,"Revisar"),"")</f>
        <v/>
      </c>
      <c r="AZ909" s="179" t="str">
        <f t="array" ref="AZ909">IF($F909&lt;&gt;"", XLOOKUP($F909,Productos!$A$2:$A1001,Productos!AS$2:AS1001,"")*$G909,"")</f>
        <v/>
      </c>
      <c r="BA909" s="179" t="str">
        <f t="array" ref="BA909">IF($F909&lt;&gt;"",XLOOKUP($F909,Productos!$A:$A,Productos!AT:AT,"Revisar"),"")</f>
        <v/>
      </c>
      <c r="BB909" s="179" t="str">
        <f t="array" ref="BB909">IF($F909&lt;&gt;"", XLOOKUP($F909,Productos!$A$2:$A1001,Productos!AU$2:AU1001,"")*$G909,"")</f>
        <v/>
      </c>
      <c r="BC909" s="179" t="str">
        <f t="array" ref="BC909">IF($F909&lt;&gt;"",XLOOKUP($F909,Productos!$A:$A,Productos!AV:AV,"Revisar"),"")</f>
        <v/>
      </c>
      <c r="BD909" s="179" t="str">
        <f t="array" ref="BD909">IF($F909&lt;&gt;"", XLOOKUP($F909,Productos!$A$2:$A1001,Productos!AW$2:AW1001,"")*$G909,"")</f>
        <v/>
      </c>
      <c r="BE909" s="179" t="str">
        <f t="array" ref="BE909">IF($F909&lt;&gt;"",XLOOKUP($F909,Productos!$A:$A,Productos!AX:AX,"Revisar"),"")</f>
        <v/>
      </c>
      <c r="BF909" s="179" t="str">
        <f t="array" ref="BF909">IF($F909&lt;&gt;"", XLOOKUP($F909,Productos!$A$2:$A1001,Productos!AY$2:AY1001,"")*$G909,"")</f>
        <v/>
      </c>
      <c r="BG909" s="179" t="str">
        <f t="array" ref="BG909">IF($F909&lt;&gt;"",XLOOKUP($F909,Productos!$A:$A,Productos!AZ:AZ,"Revisar"),"")</f>
        <v/>
      </c>
      <c r="BH909" s="179" t="str">
        <f t="array" ref="BH909">IF($F909&lt;&gt;"", XLOOKUP($F909,Productos!$A$2:$A1001,Productos!BA$2:BA1001,"")*$G909,"")</f>
        <v/>
      </c>
      <c r="BI909" s="179" t="str">
        <f t="array" ref="BI909">IF($F909&lt;&gt;"",XLOOKUP($F909,Productos!$A:$A,Productos!BB:BB,"Revisar"),"")</f>
        <v/>
      </c>
      <c r="BJ909" s="179" t="str">
        <f t="array" ref="BJ909">IF($F909&lt;&gt;"", XLOOKUP($F909,Productos!$A$2:$A1001,Productos!BC$2:BC1001,"")*$G909,"")</f>
        <v/>
      </c>
      <c r="BK909" s="179" t="str">
        <f t="array" ref="BK909">IF($F909&lt;&gt;"",XLOOKUP($F909,Productos!$A:$A,Productos!BD:BD,"Revisar"),"")</f>
        <v/>
      </c>
      <c r="BL909" s="179" t="str">
        <f t="array" ref="BL909">IF($F909&lt;&gt;"", XLOOKUP($F909,Productos!$A$2:$A1001,Productos!BE$2:BE1001,"")*$G909,"")</f>
        <v/>
      </c>
      <c r="BM909" s="179" t="str">
        <f t="array" ref="BM909">IF($F909&lt;&gt;"",XLOOKUP($F909,Productos!$A:$A,Productos!BF:BF,"Revisar"),"")</f>
        <v/>
      </c>
      <c r="BN909" s="179" t="str">
        <f t="array" ref="BN909">IF($F909&lt;&gt;"", XLOOKUP($F909,Productos!$A$2:$A1001,Productos!BG$2:BG1001,"")*$G909,"")</f>
        <v/>
      </c>
      <c r="BO909" s="179" t="str">
        <f t="array" ref="BO909">IF($F909&lt;&gt;"",XLOOKUP($F909,Productos!$A:$A,Productos!BH:BH,"Revisar"),"")</f>
        <v/>
      </c>
      <c r="BP909" s="179" t="str">
        <f t="array" ref="BP909">IF($F909&lt;&gt;"", XLOOKUP($F909,Productos!$A$2:$A1001,Productos!BI$2:BI1001,"")*$G909,"")</f>
        <v/>
      </c>
      <c r="BQ909" s="179" t="str">
        <f t="array" ref="BQ909">IF($F909&lt;&gt;"",XLOOKUP($F909,Productos!$A:$A,Productos!BJ:BJ,"Revisar"),"")</f>
        <v/>
      </c>
      <c r="BR909" s="179" t="str">
        <f t="array" ref="BR909">IF($F909&lt;&gt;"", XLOOKUP($F909,Productos!$A$2:$A1001,Productos!BK$2:BK1001,"")*$G909,"")</f>
        <v/>
      </c>
      <c r="BS909" s="179" t="str">
        <f t="array" ref="BS909">IF($F909&lt;&gt;"",XLOOKUP($F909,Productos!$A:$A,Productos!BL:BL,"Revisar"),"")</f>
        <v/>
      </c>
      <c r="BT909" s="179" t="str">
        <f t="array" ref="BT909">IF($F909&lt;&gt;"", XLOOKUP($F909,Productos!$A$2:$A1001,Productos!BM$2:BM1001,"")*$G909,"")</f>
        <v/>
      </c>
      <c r="BU909" s="179" t="str">
        <f t="array" ref="BU909">IF($F909&lt;&gt;"",XLOOKUP($F909,Productos!$A:$A,Productos!BN:BN,"Revisar"),"")</f>
        <v/>
      </c>
      <c r="BV909" s="179" t="str">
        <f t="array" ref="BV909">IF($F909&lt;&gt;"", XLOOKUP($F909,Productos!$A$2:$A1001,Productos!BO$2:BO1001,"")*$G909,"")</f>
        <v/>
      </c>
      <c r="BW909" s="179" t="str">
        <f t="array" ref="BW909">IF($F909&lt;&gt;"",XLOOKUP($F909,Productos!$A:$A,Productos!BP:BP,"Revisar"),"")</f>
        <v/>
      </c>
      <c r="BX909" s="179" t="str">
        <f t="array" ref="BX909">IF($F909&lt;&gt;"", XLOOKUP($F909,Productos!$A$2:$A1001,Productos!BQ$2:BQ1001,"")*$G909,"")</f>
        <v/>
      </c>
      <c r="BY909" s="179" t="str">
        <f t="array" ref="BY909">IF($F909&lt;&gt;"",XLOOKUP($F909,Productos!$A:$A,Productos!BR:BR,"Revisar"),"")</f>
        <v/>
      </c>
      <c r="BZ909" s="179" t="str">
        <f t="array" ref="BZ909">IF($F909&lt;&gt;"", XLOOKUP($F909,Productos!$A$2:$A1001,Productos!BS$2:BS1001,"")*$G909,"")</f>
        <v/>
      </c>
    </row>
    <row r="910">
      <c r="A910" s="188"/>
      <c r="B910" s="189"/>
      <c r="C910" s="190"/>
      <c r="D910" s="190"/>
      <c r="E910" s="191"/>
      <c r="F910" s="186"/>
      <c r="G910" s="192"/>
      <c r="H910" s="9"/>
      <c r="I910" s="179" t="str">
        <f t="array" ref="I910">IF($F910&lt;&gt;"",XLOOKUP($F910,Productos!$A:$A,Productos!B:B,"Revisar"),"")</f>
        <v/>
      </c>
      <c r="J910" s="179" t="str">
        <f t="array" ref="J910">IF($F910&lt;&gt;"", XLOOKUP($F910,Productos!$A$2:$A1001,Productos!C$2:C1001,"")*$G910,"")</f>
        <v/>
      </c>
      <c r="K910" s="179" t="str">
        <f t="array" ref="K910">IF($F910&lt;&gt;"",XLOOKUP($F910,Productos!$A:$A,Productos!D:D,"Revisar"),"")</f>
        <v/>
      </c>
      <c r="L910" s="179" t="str">
        <f t="array" ref="L910">IF($F910&lt;&gt;"", XLOOKUP($F910,Productos!$A$2:$A1001,Productos!E$2:E1001,"")*$G910,"")</f>
        <v/>
      </c>
      <c r="M910" s="179" t="str">
        <f t="array" ref="M910">IF($F910&lt;&gt;"",XLOOKUP($F910,Productos!$A:$A,Productos!F:F,"Revisar"),"")</f>
        <v/>
      </c>
      <c r="N910" s="179" t="str">
        <f t="array" ref="N910">IF($F910&lt;&gt;"", XLOOKUP($F910,Productos!$A$2:$A1001,Productos!G$2:G1001,"")*$G910,"")</f>
        <v/>
      </c>
      <c r="O910" s="179" t="str">
        <f t="array" ref="O910">IF($F910&lt;&gt;"",XLOOKUP($F910,Productos!$A:$A,Productos!H:H,"Revisar"),"")</f>
        <v/>
      </c>
      <c r="P910" s="179" t="str">
        <f t="array" ref="P910">IF($F910&lt;&gt;"", XLOOKUP($F910,Productos!$A$2:$A1001,Productos!I$2:I1001,"")*$G910,"")</f>
        <v/>
      </c>
      <c r="Q910" s="179" t="str">
        <f t="array" ref="Q910">IF($F910&lt;&gt;"",XLOOKUP($F910,Productos!$A:$A,Productos!J:J,"Revisar"),"")</f>
        <v/>
      </c>
      <c r="R910" s="179" t="str">
        <f t="array" ref="R910">IF($F910&lt;&gt;"", XLOOKUP($F910,Productos!$A$2:$A1001,Productos!K$2:K1001,"")*$G910,"")</f>
        <v/>
      </c>
      <c r="S910" s="179" t="str">
        <f t="array" ref="S910">IF($F910&lt;&gt;"",XLOOKUP($F910,Productos!$A:$A,Productos!L:L,"Revisar"),"")</f>
        <v/>
      </c>
      <c r="T910" s="179" t="str">
        <f t="array" ref="T910">IF($F910&lt;&gt;"", XLOOKUP($F910,Productos!$A$2:$A1001,Productos!M$2:M1001,"")*$G910,"")</f>
        <v/>
      </c>
      <c r="U910" s="179" t="str">
        <f t="array" ref="U910">IF($F910&lt;&gt;"",XLOOKUP($F910,Productos!$A:$A,Productos!N:N,"Revisar"),"")</f>
        <v/>
      </c>
      <c r="V910" s="179" t="str">
        <f t="array" ref="V910">IF($F910&lt;&gt;"", XLOOKUP($F910,Productos!$A$2:$A1001,Productos!O$2:O1001,"")*$G910,"")</f>
        <v/>
      </c>
      <c r="W910" s="179" t="str">
        <f t="array" ref="W910">IF($F910&lt;&gt;"",XLOOKUP($F910,Productos!$A:$A,Productos!P:P,"Revisar"),"")</f>
        <v/>
      </c>
      <c r="X910" s="179" t="str">
        <f t="array" ref="X910">IF($F910&lt;&gt;"", XLOOKUP($F910,Productos!$A$2:$A1001,Productos!Q$2:Q1001,"")*$G910,"")</f>
        <v/>
      </c>
      <c r="Y910" s="179" t="str">
        <f t="array" ref="Y910">IF($F910&lt;&gt;"",XLOOKUP($F910,Productos!$A:$A,Productos!R:R,"Revisar"),"")</f>
        <v/>
      </c>
      <c r="Z910" s="179" t="str">
        <f t="array" ref="Z910">IF($F910&lt;&gt;"", XLOOKUP($F910,Productos!$A$2:$A1001,Productos!S$2:S1001,"")*$G910,"")</f>
        <v/>
      </c>
      <c r="AA910" s="179" t="str">
        <f t="array" ref="AA910">IF($F910&lt;&gt;"",XLOOKUP($F910,Productos!$A:$A,Productos!T:T,"Revisar"),"")</f>
        <v/>
      </c>
      <c r="AB910" s="179" t="str">
        <f t="array" ref="AB910">IF($F910&lt;&gt;"", XLOOKUP($F910,Productos!$A$2:$A1001,Productos!U$2:U1001,"")*$G910,"")</f>
        <v/>
      </c>
      <c r="AC910" s="179" t="str">
        <f t="array" ref="AC910">IF($F910&lt;&gt;"",XLOOKUP($F910,Productos!$A:$A,Productos!V:V,"Revisar"),"")</f>
        <v/>
      </c>
      <c r="AD910" s="179" t="str">
        <f t="array" ref="AD910">IF($F910&lt;&gt;"", XLOOKUP($F910,Productos!$A$2:$A1001,Productos!W$2:W1001,"")*$G910,"")</f>
        <v/>
      </c>
      <c r="AE910" s="179" t="str">
        <f t="array" ref="AE910">IF($F910&lt;&gt;"",XLOOKUP($F910,Productos!$A:$A,Productos!X:X,"Revisar"),"")</f>
        <v/>
      </c>
      <c r="AF910" s="179" t="str">
        <f t="array" ref="AF910">IF($F910&lt;&gt;"", XLOOKUP($F910,Productos!$A$2:$A1001,Productos!Y$2:Y1001,"")*$G910,"")</f>
        <v/>
      </c>
      <c r="AG910" s="179" t="str">
        <f t="array" ref="AG910">IF($F910&lt;&gt;"",XLOOKUP($F910,Productos!$A:$A,Productos!Z:Z,"Revisar"),"")</f>
        <v/>
      </c>
      <c r="AH910" s="179" t="str">
        <f t="array" ref="AH910">IF($F910&lt;&gt;"", XLOOKUP($F910,Productos!$A$2:$A1001,Productos!AA$2:AA1001,"")*$G910,"")</f>
        <v/>
      </c>
      <c r="AI910" s="179" t="str">
        <f t="array" ref="AI910">IF($F910&lt;&gt;"",XLOOKUP($F910,Productos!$A:$A,Productos!AB:AB,"Revisar"),"")</f>
        <v/>
      </c>
      <c r="AJ910" s="179" t="str">
        <f t="array" ref="AJ910">IF($F910&lt;&gt;"", XLOOKUP($F910,Productos!$A$2:$A1001,Productos!AC$2:AC1001,"")*$G910,"")</f>
        <v/>
      </c>
      <c r="AK910" s="179" t="str">
        <f t="array" ref="AK910">IF($F910&lt;&gt;"",XLOOKUP($F910,Productos!$A:$A,Productos!AD:AD,"Revisar"),"")</f>
        <v/>
      </c>
      <c r="AL910" s="179" t="str">
        <f t="array" ref="AL910">IF($F910&lt;&gt;"", XLOOKUP($F910,Productos!$A$2:$A1001,Productos!AE$2:AE1001,"")*$G910,"")</f>
        <v/>
      </c>
      <c r="AM910" s="179" t="str">
        <f t="array" ref="AM910">IF($F910&lt;&gt;"",XLOOKUP($F910,Productos!$A:$A,Productos!AF:AF,"Revisar"),"")</f>
        <v/>
      </c>
      <c r="AN910" s="179" t="str">
        <f t="array" ref="AN910">IF($F910&lt;&gt;"", XLOOKUP($F910,Productos!$A$2:$A1001,Productos!AG$2:AG1001,"")*$G910,"")</f>
        <v/>
      </c>
      <c r="AO910" s="179" t="str">
        <f t="array" ref="AO910">IF($F910&lt;&gt;"",XLOOKUP($F910,Productos!$A:$A,Productos!AH:AH,"Revisar"),"")</f>
        <v/>
      </c>
      <c r="AP910" s="179" t="str">
        <f t="array" ref="AP910">IF($F910&lt;&gt;"", XLOOKUP($F910,Productos!$A$2:$A1001,Productos!AI$2:AI1001,"")*$G910,"")</f>
        <v/>
      </c>
      <c r="AQ910" s="179" t="str">
        <f t="array" ref="AQ910">IF($F910&lt;&gt;"",XLOOKUP($F910,Productos!$A:$A,Productos!AJ:AJ,"Revisar"),"")</f>
        <v/>
      </c>
      <c r="AR910" s="179" t="str">
        <f t="array" ref="AR910">IF($F910&lt;&gt;"", XLOOKUP($F910,Productos!$A$2:$A1001,Productos!AK$2:AK1001,"")*$G910,"")</f>
        <v/>
      </c>
      <c r="AS910" s="179" t="str">
        <f t="array" ref="AS910">IF($F910&lt;&gt;"",XLOOKUP($F910,Productos!$A:$A,Productos!AL:AL,"Revisar"),"")</f>
        <v/>
      </c>
      <c r="AT910" s="179" t="str">
        <f t="array" ref="AT910">IF($F910&lt;&gt;"", XLOOKUP($F910,Productos!$A$2:$A1001,Productos!AM$2:AM1001,"")*$G910,"")</f>
        <v/>
      </c>
      <c r="AU910" s="179" t="str">
        <f t="array" ref="AU910">IF($F910&lt;&gt;"",XLOOKUP($F910,Productos!$A:$A,Productos!AN:AN,"Revisar"),"")</f>
        <v/>
      </c>
      <c r="AV910" s="179" t="str">
        <f t="array" ref="AV910">IF($F910&lt;&gt;"", XLOOKUP($F910,Productos!$A$2:$A1001,Productos!AO$2:AO1001,"")*$G910,"")</f>
        <v/>
      </c>
      <c r="AW910" s="179" t="str">
        <f t="array" ref="AW910">IF($F910&lt;&gt;"",XLOOKUP($F910,Productos!$A:$A,Productos!AP:AP,"Revisar"),"")</f>
        <v/>
      </c>
      <c r="AX910" s="179" t="str">
        <f t="array" ref="AX910">IF($F910&lt;&gt;"", XLOOKUP($F910,Productos!$A$2:$A1001,Productos!AQ$2:AQ1001,"")*$G910,"")</f>
        <v/>
      </c>
      <c r="AY910" s="179" t="str">
        <f t="array" ref="AY910">IF($F910&lt;&gt;"",XLOOKUP($F910,Productos!$A:$A,Productos!AR:AR,"Revisar"),"")</f>
        <v/>
      </c>
      <c r="AZ910" s="179" t="str">
        <f t="array" ref="AZ910">IF($F910&lt;&gt;"", XLOOKUP($F910,Productos!$A$2:$A1001,Productos!AS$2:AS1001,"")*$G910,"")</f>
        <v/>
      </c>
      <c r="BA910" s="179" t="str">
        <f t="array" ref="BA910">IF($F910&lt;&gt;"",XLOOKUP($F910,Productos!$A:$A,Productos!AT:AT,"Revisar"),"")</f>
        <v/>
      </c>
      <c r="BB910" s="179" t="str">
        <f t="array" ref="BB910">IF($F910&lt;&gt;"", XLOOKUP($F910,Productos!$A$2:$A1001,Productos!AU$2:AU1001,"")*$G910,"")</f>
        <v/>
      </c>
      <c r="BC910" s="179" t="str">
        <f t="array" ref="BC910">IF($F910&lt;&gt;"",XLOOKUP($F910,Productos!$A:$A,Productos!AV:AV,"Revisar"),"")</f>
        <v/>
      </c>
      <c r="BD910" s="179" t="str">
        <f t="array" ref="BD910">IF($F910&lt;&gt;"", XLOOKUP($F910,Productos!$A$2:$A1001,Productos!AW$2:AW1001,"")*$G910,"")</f>
        <v/>
      </c>
      <c r="BE910" s="179" t="str">
        <f t="array" ref="BE910">IF($F910&lt;&gt;"",XLOOKUP($F910,Productos!$A:$A,Productos!AX:AX,"Revisar"),"")</f>
        <v/>
      </c>
      <c r="BF910" s="179" t="str">
        <f t="array" ref="BF910">IF($F910&lt;&gt;"", XLOOKUP($F910,Productos!$A$2:$A1001,Productos!AY$2:AY1001,"")*$G910,"")</f>
        <v/>
      </c>
      <c r="BG910" s="179" t="str">
        <f t="array" ref="BG910">IF($F910&lt;&gt;"",XLOOKUP($F910,Productos!$A:$A,Productos!AZ:AZ,"Revisar"),"")</f>
        <v/>
      </c>
      <c r="BH910" s="179" t="str">
        <f t="array" ref="BH910">IF($F910&lt;&gt;"", XLOOKUP($F910,Productos!$A$2:$A1001,Productos!BA$2:BA1001,"")*$G910,"")</f>
        <v/>
      </c>
      <c r="BI910" s="179" t="str">
        <f t="array" ref="BI910">IF($F910&lt;&gt;"",XLOOKUP($F910,Productos!$A:$A,Productos!BB:BB,"Revisar"),"")</f>
        <v/>
      </c>
      <c r="BJ910" s="179" t="str">
        <f t="array" ref="BJ910">IF($F910&lt;&gt;"", XLOOKUP($F910,Productos!$A$2:$A1001,Productos!BC$2:BC1001,"")*$G910,"")</f>
        <v/>
      </c>
      <c r="BK910" s="179" t="str">
        <f t="array" ref="BK910">IF($F910&lt;&gt;"",XLOOKUP($F910,Productos!$A:$A,Productos!BD:BD,"Revisar"),"")</f>
        <v/>
      </c>
      <c r="BL910" s="179" t="str">
        <f t="array" ref="BL910">IF($F910&lt;&gt;"", XLOOKUP($F910,Productos!$A$2:$A1001,Productos!BE$2:BE1001,"")*$G910,"")</f>
        <v/>
      </c>
      <c r="BM910" s="179" t="str">
        <f t="array" ref="BM910">IF($F910&lt;&gt;"",XLOOKUP($F910,Productos!$A:$A,Productos!BF:BF,"Revisar"),"")</f>
        <v/>
      </c>
      <c r="BN910" s="179" t="str">
        <f t="array" ref="BN910">IF($F910&lt;&gt;"", XLOOKUP($F910,Productos!$A$2:$A1001,Productos!BG$2:BG1001,"")*$G910,"")</f>
        <v/>
      </c>
      <c r="BO910" s="179" t="str">
        <f t="array" ref="BO910">IF($F910&lt;&gt;"",XLOOKUP($F910,Productos!$A:$A,Productos!BH:BH,"Revisar"),"")</f>
        <v/>
      </c>
      <c r="BP910" s="179" t="str">
        <f t="array" ref="BP910">IF($F910&lt;&gt;"", XLOOKUP($F910,Productos!$A$2:$A1001,Productos!BI$2:BI1001,"")*$G910,"")</f>
        <v/>
      </c>
      <c r="BQ910" s="179" t="str">
        <f t="array" ref="BQ910">IF($F910&lt;&gt;"",XLOOKUP($F910,Productos!$A:$A,Productos!BJ:BJ,"Revisar"),"")</f>
        <v/>
      </c>
      <c r="BR910" s="179" t="str">
        <f t="array" ref="BR910">IF($F910&lt;&gt;"", XLOOKUP($F910,Productos!$A$2:$A1001,Productos!BK$2:BK1001,"")*$G910,"")</f>
        <v/>
      </c>
      <c r="BS910" s="179" t="str">
        <f t="array" ref="BS910">IF($F910&lt;&gt;"",XLOOKUP($F910,Productos!$A:$A,Productos!BL:BL,"Revisar"),"")</f>
        <v/>
      </c>
      <c r="BT910" s="179" t="str">
        <f t="array" ref="BT910">IF($F910&lt;&gt;"", XLOOKUP($F910,Productos!$A$2:$A1001,Productos!BM$2:BM1001,"")*$G910,"")</f>
        <v/>
      </c>
      <c r="BU910" s="179" t="str">
        <f t="array" ref="BU910">IF($F910&lt;&gt;"",XLOOKUP($F910,Productos!$A:$A,Productos!BN:BN,"Revisar"),"")</f>
        <v/>
      </c>
      <c r="BV910" s="179" t="str">
        <f t="array" ref="BV910">IF($F910&lt;&gt;"", XLOOKUP($F910,Productos!$A$2:$A1001,Productos!BO$2:BO1001,"")*$G910,"")</f>
        <v/>
      </c>
      <c r="BW910" s="179" t="str">
        <f t="array" ref="BW910">IF($F910&lt;&gt;"",XLOOKUP($F910,Productos!$A:$A,Productos!BP:BP,"Revisar"),"")</f>
        <v/>
      </c>
      <c r="BX910" s="179" t="str">
        <f t="array" ref="BX910">IF($F910&lt;&gt;"", XLOOKUP($F910,Productos!$A$2:$A1001,Productos!BQ$2:BQ1001,"")*$G910,"")</f>
        <v/>
      </c>
      <c r="BY910" s="179" t="str">
        <f t="array" ref="BY910">IF($F910&lt;&gt;"",XLOOKUP($F910,Productos!$A:$A,Productos!BR:BR,"Revisar"),"")</f>
        <v/>
      </c>
      <c r="BZ910" s="179" t="str">
        <f t="array" ref="BZ910">IF($F910&lt;&gt;"", XLOOKUP($F910,Productos!$A$2:$A1001,Productos!BS$2:BS1001,"")*$G910,"")</f>
        <v/>
      </c>
    </row>
    <row r="911">
      <c r="A911" s="188"/>
      <c r="B911" s="189"/>
      <c r="C911" s="190"/>
      <c r="D911" s="190"/>
      <c r="E911" s="191"/>
      <c r="F911" s="186"/>
      <c r="G911" s="192"/>
      <c r="H911" s="9"/>
      <c r="I911" s="179" t="str">
        <f t="array" ref="I911">IF($F911&lt;&gt;"",XLOOKUP($F911,Productos!$A:$A,Productos!B:B,"Revisar"),"")</f>
        <v/>
      </c>
      <c r="J911" s="179" t="str">
        <f t="array" ref="J911">IF($F911&lt;&gt;"", XLOOKUP($F911,Productos!$A$2:$A1001,Productos!C$2:C1001,"")*$G911,"")</f>
        <v/>
      </c>
      <c r="K911" s="179" t="str">
        <f t="array" ref="K911">IF($F911&lt;&gt;"",XLOOKUP($F911,Productos!$A:$A,Productos!D:D,"Revisar"),"")</f>
        <v/>
      </c>
      <c r="L911" s="179" t="str">
        <f t="array" ref="L911">IF($F911&lt;&gt;"", XLOOKUP($F911,Productos!$A$2:$A1001,Productos!E$2:E1001,"")*$G911,"")</f>
        <v/>
      </c>
      <c r="M911" s="179" t="str">
        <f t="array" ref="M911">IF($F911&lt;&gt;"",XLOOKUP($F911,Productos!$A:$A,Productos!F:F,"Revisar"),"")</f>
        <v/>
      </c>
      <c r="N911" s="179" t="str">
        <f t="array" ref="N911">IF($F911&lt;&gt;"", XLOOKUP($F911,Productos!$A$2:$A1001,Productos!G$2:G1001,"")*$G911,"")</f>
        <v/>
      </c>
      <c r="O911" s="179" t="str">
        <f t="array" ref="O911">IF($F911&lt;&gt;"",XLOOKUP($F911,Productos!$A:$A,Productos!H:H,"Revisar"),"")</f>
        <v/>
      </c>
      <c r="P911" s="179" t="str">
        <f t="array" ref="P911">IF($F911&lt;&gt;"", XLOOKUP($F911,Productos!$A$2:$A1001,Productos!I$2:I1001,"")*$G911,"")</f>
        <v/>
      </c>
      <c r="Q911" s="179" t="str">
        <f t="array" ref="Q911">IF($F911&lt;&gt;"",XLOOKUP($F911,Productos!$A:$A,Productos!J:J,"Revisar"),"")</f>
        <v/>
      </c>
      <c r="R911" s="179" t="str">
        <f t="array" ref="R911">IF($F911&lt;&gt;"", XLOOKUP($F911,Productos!$A$2:$A1001,Productos!K$2:K1001,"")*$G911,"")</f>
        <v/>
      </c>
      <c r="S911" s="179" t="str">
        <f t="array" ref="S911">IF($F911&lt;&gt;"",XLOOKUP($F911,Productos!$A:$A,Productos!L:L,"Revisar"),"")</f>
        <v/>
      </c>
      <c r="T911" s="179" t="str">
        <f t="array" ref="T911">IF($F911&lt;&gt;"", XLOOKUP($F911,Productos!$A$2:$A1001,Productos!M$2:M1001,"")*$G911,"")</f>
        <v/>
      </c>
      <c r="U911" s="179" t="str">
        <f t="array" ref="U911">IF($F911&lt;&gt;"",XLOOKUP($F911,Productos!$A:$A,Productos!N:N,"Revisar"),"")</f>
        <v/>
      </c>
      <c r="V911" s="179" t="str">
        <f t="array" ref="V911">IF($F911&lt;&gt;"", XLOOKUP($F911,Productos!$A$2:$A1001,Productos!O$2:O1001,"")*$G911,"")</f>
        <v/>
      </c>
      <c r="W911" s="179" t="str">
        <f t="array" ref="W911">IF($F911&lt;&gt;"",XLOOKUP($F911,Productos!$A:$A,Productos!P:P,"Revisar"),"")</f>
        <v/>
      </c>
      <c r="X911" s="179" t="str">
        <f t="array" ref="X911">IF($F911&lt;&gt;"", XLOOKUP($F911,Productos!$A$2:$A1001,Productos!Q$2:Q1001,"")*$G911,"")</f>
        <v/>
      </c>
      <c r="Y911" s="179" t="str">
        <f t="array" ref="Y911">IF($F911&lt;&gt;"",XLOOKUP($F911,Productos!$A:$A,Productos!R:R,"Revisar"),"")</f>
        <v/>
      </c>
      <c r="Z911" s="179" t="str">
        <f t="array" ref="Z911">IF($F911&lt;&gt;"", XLOOKUP($F911,Productos!$A$2:$A1001,Productos!S$2:S1001,"")*$G911,"")</f>
        <v/>
      </c>
      <c r="AA911" s="179" t="str">
        <f t="array" ref="AA911">IF($F911&lt;&gt;"",XLOOKUP($F911,Productos!$A:$A,Productos!T:T,"Revisar"),"")</f>
        <v/>
      </c>
      <c r="AB911" s="179" t="str">
        <f t="array" ref="AB911">IF($F911&lt;&gt;"", XLOOKUP($F911,Productos!$A$2:$A1001,Productos!U$2:U1001,"")*$G911,"")</f>
        <v/>
      </c>
      <c r="AC911" s="179" t="str">
        <f t="array" ref="AC911">IF($F911&lt;&gt;"",XLOOKUP($F911,Productos!$A:$A,Productos!V:V,"Revisar"),"")</f>
        <v/>
      </c>
      <c r="AD911" s="179" t="str">
        <f t="array" ref="AD911">IF($F911&lt;&gt;"", XLOOKUP($F911,Productos!$A$2:$A1001,Productos!W$2:W1001,"")*$G911,"")</f>
        <v/>
      </c>
      <c r="AE911" s="179" t="str">
        <f t="array" ref="AE911">IF($F911&lt;&gt;"",XLOOKUP($F911,Productos!$A:$A,Productos!X:X,"Revisar"),"")</f>
        <v/>
      </c>
      <c r="AF911" s="179" t="str">
        <f t="array" ref="AF911">IF($F911&lt;&gt;"", XLOOKUP($F911,Productos!$A$2:$A1001,Productos!Y$2:Y1001,"")*$G911,"")</f>
        <v/>
      </c>
      <c r="AG911" s="179" t="str">
        <f t="array" ref="AG911">IF($F911&lt;&gt;"",XLOOKUP($F911,Productos!$A:$A,Productos!Z:Z,"Revisar"),"")</f>
        <v/>
      </c>
      <c r="AH911" s="179" t="str">
        <f t="array" ref="AH911">IF($F911&lt;&gt;"", XLOOKUP($F911,Productos!$A$2:$A1001,Productos!AA$2:AA1001,"")*$G911,"")</f>
        <v/>
      </c>
      <c r="AI911" s="179" t="str">
        <f t="array" ref="AI911">IF($F911&lt;&gt;"",XLOOKUP($F911,Productos!$A:$A,Productos!AB:AB,"Revisar"),"")</f>
        <v/>
      </c>
      <c r="AJ911" s="179" t="str">
        <f t="array" ref="AJ911">IF($F911&lt;&gt;"", XLOOKUP($F911,Productos!$A$2:$A1001,Productos!AC$2:AC1001,"")*$G911,"")</f>
        <v/>
      </c>
      <c r="AK911" s="179" t="str">
        <f t="array" ref="AK911">IF($F911&lt;&gt;"",XLOOKUP($F911,Productos!$A:$A,Productos!AD:AD,"Revisar"),"")</f>
        <v/>
      </c>
      <c r="AL911" s="179" t="str">
        <f t="array" ref="AL911">IF($F911&lt;&gt;"", XLOOKUP($F911,Productos!$A$2:$A1001,Productos!AE$2:AE1001,"")*$G911,"")</f>
        <v/>
      </c>
      <c r="AM911" s="179" t="str">
        <f t="array" ref="AM911">IF($F911&lt;&gt;"",XLOOKUP($F911,Productos!$A:$A,Productos!AF:AF,"Revisar"),"")</f>
        <v/>
      </c>
      <c r="AN911" s="179" t="str">
        <f t="array" ref="AN911">IF($F911&lt;&gt;"", XLOOKUP($F911,Productos!$A$2:$A1001,Productos!AG$2:AG1001,"")*$G911,"")</f>
        <v/>
      </c>
      <c r="AO911" s="179" t="str">
        <f t="array" ref="AO911">IF($F911&lt;&gt;"",XLOOKUP($F911,Productos!$A:$A,Productos!AH:AH,"Revisar"),"")</f>
        <v/>
      </c>
      <c r="AP911" s="179" t="str">
        <f t="array" ref="AP911">IF($F911&lt;&gt;"", XLOOKUP($F911,Productos!$A$2:$A1001,Productos!AI$2:AI1001,"")*$G911,"")</f>
        <v/>
      </c>
      <c r="AQ911" s="179" t="str">
        <f t="array" ref="AQ911">IF($F911&lt;&gt;"",XLOOKUP($F911,Productos!$A:$A,Productos!AJ:AJ,"Revisar"),"")</f>
        <v/>
      </c>
      <c r="AR911" s="179" t="str">
        <f t="array" ref="AR911">IF($F911&lt;&gt;"", XLOOKUP($F911,Productos!$A$2:$A1001,Productos!AK$2:AK1001,"")*$G911,"")</f>
        <v/>
      </c>
      <c r="AS911" s="179" t="str">
        <f t="array" ref="AS911">IF($F911&lt;&gt;"",XLOOKUP($F911,Productos!$A:$A,Productos!AL:AL,"Revisar"),"")</f>
        <v/>
      </c>
      <c r="AT911" s="179" t="str">
        <f t="array" ref="AT911">IF($F911&lt;&gt;"", XLOOKUP($F911,Productos!$A$2:$A1001,Productos!AM$2:AM1001,"")*$G911,"")</f>
        <v/>
      </c>
      <c r="AU911" s="179" t="str">
        <f t="array" ref="AU911">IF($F911&lt;&gt;"",XLOOKUP($F911,Productos!$A:$A,Productos!AN:AN,"Revisar"),"")</f>
        <v/>
      </c>
      <c r="AV911" s="179" t="str">
        <f t="array" ref="AV911">IF($F911&lt;&gt;"", XLOOKUP($F911,Productos!$A$2:$A1001,Productos!AO$2:AO1001,"")*$G911,"")</f>
        <v/>
      </c>
      <c r="AW911" s="179" t="str">
        <f t="array" ref="AW911">IF($F911&lt;&gt;"",XLOOKUP($F911,Productos!$A:$A,Productos!AP:AP,"Revisar"),"")</f>
        <v/>
      </c>
      <c r="AX911" s="179" t="str">
        <f t="array" ref="AX911">IF($F911&lt;&gt;"", XLOOKUP($F911,Productos!$A$2:$A1001,Productos!AQ$2:AQ1001,"")*$G911,"")</f>
        <v/>
      </c>
      <c r="AY911" s="179" t="str">
        <f t="array" ref="AY911">IF($F911&lt;&gt;"",XLOOKUP($F911,Productos!$A:$A,Productos!AR:AR,"Revisar"),"")</f>
        <v/>
      </c>
      <c r="AZ911" s="179" t="str">
        <f t="array" ref="AZ911">IF($F911&lt;&gt;"", XLOOKUP($F911,Productos!$A$2:$A1001,Productos!AS$2:AS1001,"")*$G911,"")</f>
        <v/>
      </c>
      <c r="BA911" s="179" t="str">
        <f t="array" ref="BA911">IF($F911&lt;&gt;"",XLOOKUP($F911,Productos!$A:$A,Productos!AT:AT,"Revisar"),"")</f>
        <v/>
      </c>
      <c r="BB911" s="179" t="str">
        <f t="array" ref="BB911">IF($F911&lt;&gt;"", XLOOKUP($F911,Productos!$A$2:$A1001,Productos!AU$2:AU1001,"")*$G911,"")</f>
        <v/>
      </c>
      <c r="BC911" s="179" t="str">
        <f t="array" ref="BC911">IF($F911&lt;&gt;"",XLOOKUP($F911,Productos!$A:$A,Productos!AV:AV,"Revisar"),"")</f>
        <v/>
      </c>
      <c r="BD911" s="179" t="str">
        <f t="array" ref="BD911">IF($F911&lt;&gt;"", XLOOKUP($F911,Productos!$A$2:$A1001,Productos!AW$2:AW1001,"")*$G911,"")</f>
        <v/>
      </c>
      <c r="BE911" s="179" t="str">
        <f t="array" ref="BE911">IF($F911&lt;&gt;"",XLOOKUP($F911,Productos!$A:$A,Productos!AX:AX,"Revisar"),"")</f>
        <v/>
      </c>
      <c r="BF911" s="179" t="str">
        <f t="array" ref="BF911">IF($F911&lt;&gt;"", XLOOKUP($F911,Productos!$A$2:$A1001,Productos!AY$2:AY1001,"")*$G911,"")</f>
        <v/>
      </c>
      <c r="BG911" s="179" t="str">
        <f t="array" ref="BG911">IF($F911&lt;&gt;"",XLOOKUP($F911,Productos!$A:$A,Productos!AZ:AZ,"Revisar"),"")</f>
        <v/>
      </c>
      <c r="BH911" s="179" t="str">
        <f t="array" ref="BH911">IF($F911&lt;&gt;"", XLOOKUP($F911,Productos!$A$2:$A1001,Productos!BA$2:BA1001,"")*$G911,"")</f>
        <v/>
      </c>
      <c r="BI911" s="179" t="str">
        <f t="array" ref="BI911">IF($F911&lt;&gt;"",XLOOKUP($F911,Productos!$A:$A,Productos!BB:BB,"Revisar"),"")</f>
        <v/>
      </c>
      <c r="BJ911" s="179" t="str">
        <f t="array" ref="BJ911">IF($F911&lt;&gt;"", XLOOKUP($F911,Productos!$A$2:$A1001,Productos!BC$2:BC1001,"")*$G911,"")</f>
        <v/>
      </c>
      <c r="BK911" s="179" t="str">
        <f t="array" ref="BK911">IF($F911&lt;&gt;"",XLOOKUP($F911,Productos!$A:$A,Productos!BD:BD,"Revisar"),"")</f>
        <v/>
      </c>
      <c r="BL911" s="179" t="str">
        <f t="array" ref="BL911">IF($F911&lt;&gt;"", XLOOKUP($F911,Productos!$A$2:$A1001,Productos!BE$2:BE1001,"")*$G911,"")</f>
        <v/>
      </c>
      <c r="BM911" s="179" t="str">
        <f t="array" ref="BM911">IF($F911&lt;&gt;"",XLOOKUP($F911,Productos!$A:$A,Productos!BF:BF,"Revisar"),"")</f>
        <v/>
      </c>
      <c r="BN911" s="179" t="str">
        <f t="array" ref="BN911">IF($F911&lt;&gt;"", XLOOKUP($F911,Productos!$A$2:$A1001,Productos!BG$2:BG1001,"")*$G911,"")</f>
        <v/>
      </c>
      <c r="BO911" s="179" t="str">
        <f t="array" ref="BO911">IF($F911&lt;&gt;"",XLOOKUP($F911,Productos!$A:$A,Productos!BH:BH,"Revisar"),"")</f>
        <v/>
      </c>
      <c r="BP911" s="179" t="str">
        <f t="array" ref="BP911">IF($F911&lt;&gt;"", XLOOKUP($F911,Productos!$A$2:$A1001,Productos!BI$2:BI1001,"")*$G911,"")</f>
        <v/>
      </c>
      <c r="BQ911" s="179" t="str">
        <f t="array" ref="BQ911">IF($F911&lt;&gt;"",XLOOKUP($F911,Productos!$A:$A,Productos!BJ:BJ,"Revisar"),"")</f>
        <v/>
      </c>
      <c r="BR911" s="179" t="str">
        <f t="array" ref="BR911">IF($F911&lt;&gt;"", XLOOKUP($F911,Productos!$A$2:$A1001,Productos!BK$2:BK1001,"")*$G911,"")</f>
        <v/>
      </c>
      <c r="BS911" s="179" t="str">
        <f t="array" ref="BS911">IF($F911&lt;&gt;"",XLOOKUP($F911,Productos!$A:$A,Productos!BL:BL,"Revisar"),"")</f>
        <v/>
      </c>
      <c r="BT911" s="179" t="str">
        <f t="array" ref="BT911">IF($F911&lt;&gt;"", XLOOKUP($F911,Productos!$A$2:$A1001,Productos!BM$2:BM1001,"")*$G911,"")</f>
        <v/>
      </c>
      <c r="BU911" s="179" t="str">
        <f t="array" ref="BU911">IF($F911&lt;&gt;"",XLOOKUP($F911,Productos!$A:$A,Productos!BN:BN,"Revisar"),"")</f>
        <v/>
      </c>
      <c r="BV911" s="179" t="str">
        <f t="array" ref="BV911">IF($F911&lt;&gt;"", XLOOKUP($F911,Productos!$A$2:$A1001,Productos!BO$2:BO1001,"")*$G911,"")</f>
        <v/>
      </c>
      <c r="BW911" s="179" t="str">
        <f t="array" ref="BW911">IF($F911&lt;&gt;"",XLOOKUP($F911,Productos!$A:$A,Productos!BP:BP,"Revisar"),"")</f>
        <v/>
      </c>
      <c r="BX911" s="179" t="str">
        <f t="array" ref="BX911">IF($F911&lt;&gt;"", XLOOKUP($F911,Productos!$A$2:$A1001,Productos!BQ$2:BQ1001,"")*$G911,"")</f>
        <v/>
      </c>
      <c r="BY911" s="179" t="str">
        <f t="array" ref="BY911">IF($F911&lt;&gt;"",XLOOKUP($F911,Productos!$A:$A,Productos!BR:BR,"Revisar"),"")</f>
        <v/>
      </c>
      <c r="BZ911" s="179" t="str">
        <f t="array" ref="BZ911">IF($F911&lt;&gt;"", XLOOKUP($F911,Productos!$A$2:$A1001,Productos!BS$2:BS1001,"")*$G911,"")</f>
        <v/>
      </c>
    </row>
    <row r="912">
      <c r="A912" s="188"/>
      <c r="B912" s="189"/>
      <c r="C912" s="190"/>
      <c r="D912" s="190"/>
      <c r="E912" s="191"/>
      <c r="F912" s="186"/>
      <c r="G912" s="192"/>
      <c r="H912" s="9"/>
      <c r="I912" s="179" t="str">
        <f t="array" ref="I912">IF($F912&lt;&gt;"",XLOOKUP($F912,Productos!$A:$A,Productos!B:B,"Revisar"),"")</f>
        <v/>
      </c>
      <c r="J912" s="179" t="str">
        <f t="array" ref="J912">IF($F912&lt;&gt;"", XLOOKUP($F912,Productos!$A$2:$A1001,Productos!C$2:C1001,"")*$G912,"")</f>
        <v/>
      </c>
      <c r="K912" s="179" t="str">
        <f t="array" ref="K912">IF($F912&lt;&gt;"",XLOOKUP($F912,Productos!$A:$A,Productos!D:D,"Revisar"),"")</f>
        <v/>
      </c>
      <c r="L912" s="179" t="str">
        <f t="array" ref="L912">IF($F912&lt;&gt;"", XLOOKUP($F912,Productos!$A$2:$A1001,Productos!E$2:E1001,"")*$G912,"")</f>
        <v/>
      </c>
      <c r="M912" s="179" t="str">
        <f t="array" ref="M912">IF($F912&lt;&gt;"",XLOOKUP($F912,Productos!$A:$A,Productos!F:F,"Revisar"),"")</f>
        <v/>
      </c>
      <c r="N912" s="179" t="str">
        <f t="array" ref="N912">IF($F912&lt;&gt;"", XLOOKUP($F912,Productos!$A$2:$A1001,Productos!G$2:G1001,"")*$G912,"")</f>
        <v/>
      </c>
      <c r="O912" s="179" t="str">
        <f t="array" ref="O912">IF($F912&lt;&gt;"",XLOOKUP($F912,Productos!$A:$A,Productos!H:H,"Revisar"),"")</f>
        <v/>
      </c>
      <c r="P912" s="179" t="str">
        <f t="array" ref="P912">IF($F912&lt;&gt;"", XLOOKUP($F912,Productos!$A$2:$A1001,Productos!I$2:I1001,"")*$G912,"")</f>
        <v/>
      </c>
      <c r="Q912" s="179" t="str">
        <f t="array" ref="Q912">IF($F912&lt;&gt;"",XLOOKUP($F912,Productos!$A:$A,Productos!J:J,"Revisar"),"")</f>
        <v/>
      </c>
      <c r="R912" s="179" t="str">
        <f t="array" ref="R912">IF($F912&lt;&gt;"", XLOOKUP($F912,Productos!$A$2:$A1001,Productos!K$2:K1001,"")*$G912,"")</f>
        <v/>
      </c>
      <c r="S912" s="179" t="str">
        <f t="array" ref="S912">IF($F912&lt;&gt;"",XLOOKUP($F912,Productos!$A:$A,Productos!L:L,"Revisar"),"")</f>
        <v/>
      </c>
      <c r="T912" s="179" t="str">
        <f t="array" ref="T912">IF($F912&lt;&gt;"", XLOOKUP($F912,Productos!$A$2:$A1001,Productos!M$2:M1001,"")*$G912,"")</f>
        <v/>
      </c>
      <c r="U912" s="179" t="str">
        <f t="array" ref="U912">IF($F912&lt;&gt;"",XLOOKUP($F912,Productos!$A:$A,Productos!N:N,"Revisar"),"")</f>
        <v/>
      </c>
      <c r="V912" s="179" t="str">
        <f t="array" ref="V912">IF($F912&lt;&gt;"", XLOOKUP($F912,Productos!$A$2:$A1001,Productos!O$2:O1001,"")*$G912,"")</f>
        <v/>
      </c>
      <c r="W912" s="179" t="str">
        <f t="array" ref="W912">IF($F912&lt;&gt;"",XLOOKUP($F912,Productos!$A:$A,Productos!P:P,"Revisar"),"")</f>
        <v/>
      </c>
      <c r="X912" s="179" t="str">
        <f t="array" ref="X912">IF($F912&lt;&gt;"", XLOOKUP($F912,Productos!$A$2:$A1001,Productos!Q$2:Q1001,"")*$G912,"")</f>
        <v/>
      </c>
      <c r="Y912" s="179" t="str">
        <f t="array" ref="Y912">IF($F912&lt;&gt;"",XLOOKUP($F912,Productos!$A:$A,Productos!R:R,"Revisar"),"")</f>
        <v/>
      </c>
      <c r="Z912" s="179" t="str">
        <f t="array" ref="Z912">IF($F912&lt;&gt;"", XLOOKUP($F912,Productos!$A$2:$A1001,Productos!S$2:S1001,"")*$G912,"")</f>
        <v/>
      </c>
      <c r="AA912" s="179" t="str">
        <f t="array" ref="AA912">IF($F912&lt;&gt;"",XLOOKUP($F912,Productos!$A:$A,Productos!T:T,"Revisar"),"")</f>
        <v/>
      </c>
      <c r="AB912" s="179" t="str">
        <f t="array" ref="AB912">IF($F912&lt;&gt;"", XLOOKUP($F912,Productos!$A$2:$A1001,Productos!U$2:U1001,"")*$G912,"")</f>
        <v/>
      </c>
      <c r="AC912" s="179" t="str">
        <f t="array" ref="AC912">IF($F912&lt;&gt;"",XLOOKUP($F912,Productos!$A:$A,Productos!V:V,"Revisar"),"")</f>
        <v/>
      </c>
      <c r="AD912" s="179" t="str">
        <f t="array" ref="AD912">IF($F912&lt;&gt;"", XLOOKUP($F912,Productos!$A$2:$A1001,Productos!W$2:W1001,"")*$G912,"")</f>
        <v/>
      </c>
      <c r="AE912" s="179" t="str">
        <f t="array" ref="AE912">IF($F912&lt;&gt;"",XLOOKUP($F912,Productos!$A:$A,Productos!X:X,"Revisar"),"")</f>
        <v/>
      </c>
      <c r="AF912" s="179" t="str">
        <f t="array" ref="AF912">IF($F912&lt;&gt;"", XLOOKUP($F912,Productos!$A$2:$A1001,Productos!Y$2:Y1001,"")*$G912,"")</f>
        <v/>
      </c>
      <c r="AG912" s="179" t="str">
        <f t="array" ref="AG912">IF($F912&lt;&gt;"",XLOOKUP($F912,Productos!$A:$A,Productos!Z:Z,"Revisar"),"")</f>
        <v/>
      </c>
      <c r="AH912" s="179" t="str">
        <f t="array" ref="AH912">IF($F912&lt;&gt;"", XLOOKUP($F912,Productos!$A$2:$A1001,Productos!AA$2:AA1001,"")*$G912,"")</f>
        <v/>
      </c>
      <c r="AI912" s="179" t="str">
        <f t="array" ref="AI912">IF($F912&lt;&gt;"",XLOOKUP($F912,Productos!$A:$A,Productos!AB:AB,"Revisar"),"")</f>
        <v/>
      </c>
      <c r="AJ912" s="179" t="str">
        <f t="array" ref="AJ912">IF($F912&lt;&gt;"", XLOOKUP($F912,Productos!$A$2:$A1001,Productos!AC$2:AC1001,"")*$G912,"")</f>
        <v/>
      </c>
      <c r="AK912" s="179" t="str">
        <f t="array" ref="AK912">IF($F912&lt;&gt;"",XLOOKUP($F912,Productos!$A:$A,Productos!AD:AD,"Revisar"),"")</f>
        <v/>
      </c>
      <c r="AL912" s="179" t="str">
        <f t="array" ref="AL912">IF($F912&lt;&gt;"", XLOOKUP($F912,Productos!$A$2:$A1001,Productos!AE$2:AE1001,"")*$G912,"")</f>
        <v/>
      </c>
      <c r="AM912" s="179" t="str">
        <f t="array" ref="AM912">IF($F912&lt;&gt;"",XLOOKUP($F912,Productos!$A:$A,Productos!AF:AF,"Revisar"),"")</f>
        <v/>
      </c>
      <c r="AN912" s="179" t="str">
        <f t="array" ref="AN912">IF($F912&lt;&gt;"", XLOOKUP($F912,Productos!$A$2:$A1001,Productos!AG$2:AG1001,"")*$G912,"")</f>
        <v/>
      </c>
      <c r="AO912" s="179" t="str">
        <f t="array" ref="AO912">IF($F912&lt;&gt;"",XLOOKUP($F912,Productos!$A:$A,Productos!AH:AH,"Revisar"),"")</f>
        <v/>
      </c>
      <c r="AP912" s="179" t="str">
        <f t="array" ref="AP912">IF($F912&lt;&gt;"", XLOOKUP($F912,Productos!$A$2:$A1001,Productos!AI$2:AI1001,"")*$G912,"")</f>
        <v/>
      </c>
      <c r="AQ912" s="179" t="str">
        <f t="array" ref="AQ912">IF($F912&lt;&gt;"",XLOOKUP($F912,Productos!$A:$A,Productos!AJ:AJ,"Revisar"),"")</f>
        <v/>
      </c>
      <c r="AR912" s="179" t="str">
        <f t="array" ref="AR912">IF($F912&lt;&gt;"", XLOOKUP($F912,Productos!$A$2:$A1001,Productos!AK$2:AK1001,"")*$G912,"")</f>
        <v/>
      </c>
      <c r="AS912" s="179" t="str">
        <f t="array" ref="AS912">IF($F912&lt;&gt;"",XLOOKUP($F912,Productos!$A:$A,Productos!AL:AL,"Revisar"),"")</f>
        <v/>
      </c>
      <c r="AT912" s="179" t="str">
        <f t="array" ref="AT912">IF($F912&lt;&gt;"", XLOOKUP($F912,Productos!$A$2:$A1001,Productos!AM$2:AM1001,"")*$G912,"")</f>
        <v/>
      </c>
      <c r="AU912" s="179" t="str">
        <f t="array" ref="AU912">IF($F912&lt;&gt;"",XLOOKUP($F912,Productos!$A:$A,Productos!AN:AN,"Revisar"),"")</f>
        <v/>
      </c>
      <c r="AV912" s="179" t="str">
        <f t="array" ref="AV912">IF($F912&lt;&gt;"", XLOOKUP($F912,Productos!$A$2:$A1001,Productos!AO$2:AO1001,"")*$G912,"")</f>
        <v/>
      </c>
      <c r="AW912" s="179" t="str">
        <f t="array" ref="AW912">IF($F912&lt;&gt;"",XLOOKUP($F912,Productos!$A:$A,Productos!AP:AP,"Revisar"),"")</f>
        <v/>
      </c>
      <c r="AX912" s="179" t="str">
        <f t="array" ref="AX912">IF($F912&lt;&gt;"", XLOOKUP($F912,Productos!$A$2:$A1001,Productos!AQ$2:AQ1001,"")*$G912,"")</f>
        <v/>
      </c>
      <c r="AY912" s="179" t="str">
        <f t="array" ref="AY912">IF($F912&lt;&gt;"",XLOOKUP($F912,Productos!$A:$A,Productos!AR:AR,"Revisar"),"")</f>
        <v/>
      </c>
      <c r="AZ912" s="179" t="str">
        <f t="array" ref="AZ912">IF($F912&lt;&gt;"", XLOOKUP($F912,Productos!$A$2:$A1001,Productos!AS$2:AS1001,"")*$G912,"")</f>
        <v/>
      </c>
      <c r="BA912" s="179" t="str">
        <f t="array" ref="BA912">IF($F912&lt;&gt;"",XLOOKUP($F912,Productos!$A:$A,Productos!AT:AT,"Revisar"),"")</f>
        <v/>
      </c>
      <c r="BB912" s="179" t="str">
        <f t="array" ref="BB912">IF($F912&lt;&gt;"", XLOOKUP($F912,Productos!$A$2:$A1001,Productos!AU$2:AU1001,"")*$G912,"")</f>
        <v/>
      </c>
      <c r="BC912" s="179" t="str">
        <f t="array" ref="BC912">IF($F912&lt;&gt;"",XLOOKUP($F912,Productos!$A:$A,Productos!AV:AV,"Revisar"),"")</f>
        <v/>
      </c>
      <c r="BD912" s="179" t="str">
        <f t="array" ref="BD912">IF($F912&lt;&gt;"", XLOOKUP($F912,Productos!$A$2:$A1001,Productos!AW$2:AW1001,"")*$G912,"")</f>
        <v/>
      </c>
      <c r="BE912" s="179" t="str">
        <f t="array" ref="BE912">IF($F912&lt;&gt;"",XLOOKUP($F912,Productos!$A:$A,Productos!AX:AX,"Revisar"),"")</f>
        <v/>
      </c>
      <c r="BF912" s="179" t="str">
        <f t="array" ref="BF912">IF($F912&lt;&gt;"", XLOOKUP($F912,Productos!$A$2:$A1001,Productos!AY$2:AY1001,"")*$G912,"")</f>
        <v/>
      </c>
      <c r="BG912" s="179" t="str">
        <f t="array" ref="BG912">IF($F912&lt;&gt;"",XLOOKUP($F912,Productos!$A:$A,Productos!AZ:AZ,"Revisar"),"")</f>
        <v/>
      </c>
      <c r="BH912" s="179" t="str">
        <f t="array" ref="BH912">IF($F912&lt;&gt;"", XLOOKUP($F912,Productos!$A$2:$A1001,Productos!BA$2:BA1001,"")*$G912,"")</f>
        <v/>
      </c>
      <c r="BI912" s="179" t="str">
        <f t="array" ref="BI912">IF($F912&lt;&gt;"",XLOOKUP($F912,Productos!$A:$A,Productos!BB:BB,"Revisar"),"")</f>
        <v/>
      </c>
      <c r="BJ912" s="179" t="str">
        <f t="array" ref="BJ912">IF($F912&lt;&gt;"", XLOOKUP($F912,Productos!$A$2:$A1001,Productos!BC$2:BC1001,"")*$G912,"")</f>
        <v/>
      </c>
      <c r="BK912" s="179" t="str">
        <f t="array" ref="BK912">IF($F912&lt;&gt;"",XLOOKUP($F912,Productos!$A:$A,Productos!BD:BD,"Revisar"),"")</f>
        <v/>
      </c>
      <c r="BL912" s="179" t="str">
        <f t="array" ref="BL912">IF($F912&lt;&gt;"", XLOOKUP($F912,Productos!$A$2:$A1001,Productos!BE$2:BE1001,"")*$G912,"")</f>
        <v/>
      </c>
      <c r="BM912" s="179" t="str">
        <f t="array" ref="BM912">IF($F912&lt;&gt;"",XLOOKUP($F912,Productos!$A:$A,Productos!BF:BF,"Revisar"),"")</f>
        <v/>
      </c>
      <c r="BN912" s="179" t="str">
        <f t="array" ref="BN912">IF($F912&lt;&gt;"", XLOOKUP($F912,Productos!$A$2:$A1001,Productos!BG$2:BG1001,"")*$G912,"")</f>
        <v/>
      </c>
      <c r="BO912" s="179" t="str">
        <f t="array" ref="BO912">IF($F912&lt;&gt;"",XLOOKUP($F912,Productos!$A:$A,Productos!BH:BH,"Revisar"),"")</f>
        <v/>
      </c>
      <c r="BP912" s="179" t="str">
        <f t="array" ref="BP912">IF($F912&lt;&gt;"", XLOOKUP($F912,Productos!$A$2:$A1001,Productos!BI$2:BI1001,"")*$G912,"")</f>
        <v/>
      </c>
      <c r="BQ912" s="179" t="str">
        <f t="array" ref="BQ912">IF($F912&lt;&gt;"",XLOOKUP($F912,Productos!$A:$A,Productos!BJ:BJ,"Revisar"),"")</f>
        <v/>
      </c>
      <c r="BR912" s="179" t="str">
        <f t="array" ref="BR912">IF($F912&lt;&gt;"", XLOOKUP($F912,Productos!$A$2:$A1001,Productos!BK$2:BK1001,"")*$G912,"")</f>
        <v/>
      </c>
      <c r="BS912" s="179" t="str">
        <f t="array" ref="BS912">IF($F912&lt;&gt;"",XLOOKUP($F912,Productos!$A:$A,Productos!BL:BL,"Revisar"),"")</f>
        <v/>
      </c>
      <c r="BT912" s="179" t="str">
        <f t="array" ref="BT912">IF($F912&lt;&gt;"", XLOOKUP($F912,Productos!$A$2:$A1001,Productos!BM$2:BM1001,"")*$G912,"")</f>
        <v/>
      </c>
      <c r="BU912" s="179" t="str">
        <f t="array" ref="BU912">IF($F912&lt;&gt;"",XLOOKUP($F912,Productos!$A:$A,Productos!BN:BN,"Revisar"),"")</f>
        <v/>
      </c>
      <c r="BV912" s="179" t="str">
        <f t="array" ref="BV912">IF($F912&lt;&gt;"", XLOOKUP($F912,Productos!$A$2:$A1001,Productos!BO$2:BO1001,"")*$G912,"")</f>
        <v/>
      </c>
      <c r="BW912" s="179" t="str">
        <f t="array" ref="BW912">IF($F912&lt;&gt;"",XLOOKUP($F912,Productos!$A:$A,Productos!BP:BP,"Revisar"),"")</f>
        <v/>
      </c>
      <c r="BX912" s="179" t="str">
        <f t="array" ref="BX912">IF($F912&lt;&gt;"", XLOOKUP($F912,Productos!$A$2:$A1001,Productos!BQ$2:BQ1001,"")*$G912,"")</f>
        <v/>
      </c>
      <c r="BY912" s="179" t="str">
        <f t="array" ref="BY912">IF($F912&lt;&gt;"",XLOOKUP($F912,Productos!$A:$A,Productos!BR:BR,"Revisar"),"")</f>
        <v/>
      </c>
      <c r="BZ912" s="179" t="str">
        <f t="array" ref="BZ912">IF($F912&lt;&gt;"", XLOOKUP($F912,Productos!$A$2:$A1001,Productos!BS$2:BS1001,"")*$G912,"")</f>
        <v/>
      </c>
    </row>
    <row r="913">
      <c r="A913" s="188"/>
      <c r="B913" s="189"/>
      <c r="C913" s="190"/>
      <c r="D913" s="190"/>
      <c r="E913" s="191"/>
      <c r="F913" s="186"/>
      <c r="G913" s="192"/>
      <c r="H913" s="9"/>
      <c r="I913" s="179" t="str">
        <f t="array" ref="I913">IF($F913&lt;&gt;"",XLOOKUP($F913,Productos!$A:$A,Productos!B:B,"Revisar"),"")</f>
        <v/>
      </c>
      <c r="J913" s="179" t="str">
        <f t="array" ref="J913">IF($F913&lt;&gt;"", XLOOKUP($F913,Productos!$A$2:$A1001,Productos!C$2:C1001,"")*$G913,"")</f>
        <v/>
      </c>
      <c r="K913" s="179" t="str">
        <f t="array" ref="K913">IF($F913&lt;&gt;"",XLOOKUP($F913,Productos!$A:$A,Productos!D:D,"Revisar"),"")</f>
        <v/>
      </c>
      <c r="L913" s="179" t="str">
        <f t="array" ref="L913">IF($F913&lt;&gt;"", XLOOKUP($F913,Productos!$A$2:$A1001,Productos!E$2:E1001,"")*$G913,"")</f>
        <v/>
      </c>
      <c r="M913" s="179" t="str">
        <f t="array" ref="M913">IF($F913&lt;&gt;"",XLOOKUP($F913,Productos!$A:$A,Productos!F:F,"Revisar"),"")</f>
        <v/>
      </c>
      <c r="N913" s="179" t="str">
        <f t="array" ref="N913">IF($F913&lt;&gt;"", XLOOKUP($F913,Productos!$A$2:$A1001,Productos!G$2:G1001,"")*$G913,"")</f>
        <v/>
      </c>
      <c r="O913" s="179" t="str">
        <f t="array" ref="O913">IF($F913&lt;&gt;"",XLOOKUP($F913,Productos!$A:$A,Productos!H:H,"Revisar"),"")</f>
        <v/>
      </c>
      <c r="P913" s="179" t="str">
        <f t="array" ref="P913">IF($F913&lt;&gt;"", XLOOKUP($F913,Productos!$A$2:$A1001,Productos!I$2:I1001,"")*$G913,"")</f>
        <v/>
      </c>
      <c r="Q913" s="179" t="str">
        <f t="array" ref="Q913">IF($F913&lt;&gt;"",XLOOKUP($F913,Productos!$A:$A,Productos!J:J,"Revisar"),"")</f>
        <v/>
      </c>
      <c r="R913" s="179" t="str">
        <f t="array" ref="R913">IF($F913&lt;&gt;"", XLOOKUP($F913,Productos!$A$2:$A1001,Productos!K$2:K1001,"")*$G913,"")</f>
        <v/>
      </c>
      <c r="S913" s="179" t="str">
        <f t="array" ref="S913">IF($F913&lt;&gt;"",XLOOKUP($F913,Productos!$A:$A,Productos!L:L,"Revisar"),"")</f>
        <v/>
      </c>
      <c r="T913" s="179" t="str">
        <f t="array" ref="T913">IF($F913&lt;&gt;"", XLOOKUP($F913,Productos!$A$2:$A1001,Productos!M$2:M1001,"")*$G913,"")</f>
        <v/>
      </c>
      <c r="U913" s="179" t="str">
        <f t="array" ref="U913">IF($F913&lt;&gt;"",XLOOKUP($F913,Productos!$A:$A,Productos!N:N,"Revisar"),"")</f>
        <v/>
      </c>
      <c r="V913" s="179" t="str">
        <f t="array" ref="V913">IF($F913&lt;&gt;"", XLOOKUP($F913,Productos!$A$2:$A1001,Productos!O$2:O1001,"")*$G913,"")</f>
        <v/>
      </c>
      <c r="W913" s="179" t="str">
        <f t="array" ref="W913">IF($F913&lt;&gt;"",XLOOKUP($F913,Productos!$A:$A,Productos!P:P,"Revisar"),"")</f>
        <v/>
      </c>
      <c r="X913" s="179" t="str">
        <f t="array" ref="X913">IF($F913&lt;&gt;"", XLOOKUP($F913,Productos!$A$2:$A1001,Productos!Q$2:Q1001,"")*$G913,"")</f>
        <v/>
      </c>
      <c r="Y913" s="179" t="str">
        <f t="array" ref="Y913">IF($F913&lt;&gt;"",XLOOKUP($F913,Productos!$A:$A,Productos!R:R,"Revisar"),"")</f>
        <v/>
      </c>
      <c r="Z913" s="179" t="str">
        <f t="array" ref="Z913">IF($F913&lt;&gt;"", XLOOKUP($F913,Productos!$A$2:$A1001,Productos!S$2:S1001,"")*$G913,"")</f>
        <v/>
      </c>
      <c r="AA913" s="179" t="str">
        <f t="array" ref="AA913">IF($F913&lt;&gt;"",XLOOKUP($F913,Productos!$A:$A,Productos!T:T,"Revisar"),"")</f>
        <v/>
      </c>
      <c r="AB913" s="179" t="str">
        <f t="array" ref="AB913">IF($F913&lt;&gt;"", XLOOKUP($F913,Productos!$A$2:$A1001,Productos!U$2:U1001,"")*$G913,"")</f>
        <v/>
      </c>
      <c r="AC913" s="179" t="str">
        <f t="array" ref="AC913">IF($F913&lt;&gt;"",XLOOKUP($F913,Productos!$A:$A,Productos!V:V,"Revisar"),"")</f>
        <v/>
      </c>
      <c r="AD913" s="179" t="str">
        <f t="array" ref="AD913">IF($F913&lt;&gt;"", XLOOKUP($F913,Productos!$A$2:$A1001,Productos!W$2:W1001,"")*$G913,"")</f>
        <v/>
      </c>
      <c r="AE913" s="179" t="str">
        <f t="array" ref="AE913">IF($F913&lt;&gt;"",XLOOKUP($F913,Productos!$A:$A,Productos!X:X,"Revisar"),"")</f>
        <v/>
      </c>
      <c r="AF913" s="179" t="str">
        <f t="array" ref="AF913">IF($F913&lt;&gt;"", XLOOKUP($F913,Productos!$A$2:$A1001,Productos!Y$2:Y1001,"")*$G913,"")</f>
        <v/>
      </c>
      <c r="AG913" s="179" t="str">
        <f t="array" ref="AG913">IF($F913&lt;&gt;"",XLOOKUP($F913,Productos!$A:$A,Productos!Z:Z,"Revisar"),"")</f>
        <v/>
      </c>
      <c r="AH913" s="179" t="str">
        <f t="array" ref="AH913">IF($F913&lt;&gt;"", XLOOKUP($F913,Productos!$A$2:$A1001,Productos!AA$2:AA1001,"")*$G913,"")</f>
        <v/>
      </c>
      <c r="AI913" s="179" t="str">
        <f t="array" ref="AI913">IF($F913&lt;&gt;"",XLOOKUP($F913,Productos!$A:$A,Productos!AB:AB,"Revisar"),"")</f>
        <v/>
      </c>
      <c r="AJ913" s="179" t="str">
        <f t="array" ref="AJ913">IF($F913&lt;&gt;"", XLOOKUP($F913,Productos!$A$2:$A1001,Productos!AC$2:AC1001,"")*$G913,"")</f>
        <v/>
      </c>
      <c r="AK913" s="179" t="str">
        <f t="array" ref="AK913">IF($F913&lt;&gt;"",XLOOKUP($F913,Productos!$A:$A,Productos!AD:AD,"Revisar"),"")</f>
        <v/>
      </c>
      <c r="AL913" s="179" t="str">
        <f t="array" ref="AL913">IF($F913&lt;&gt;"", XLOOKUP($F913,Productos!$A$2:$A1001,Productos!AE$2:AE1001,"")*$G913,"")</f>
        <v/>
      </c>
      <c r="AM913" s="179" t="str">
        <f t="array" ref="AM913">IF($F913&lt;&gt;"",XLOOKUP($F913,Productos!$A:$A,Productos!AF:AF,"Revisar"),"")</f>
        <v/>
      </c>
      <c r="AN913" s="179" t="str">
        <f t="array" ref="AN913">IF($F913&lt;&gt;"", XLOOKUP($F913,Productos!$A$2:$A1001,Productos!AG$2:AG1001,"")*$G913,"")</f>
        <v/>
      </c>
      <c r="AO913" s="179" t="str">
        <f t="array" ref="AO913">IF($F913&lt;&gt;"",XLOOKUP($F913,Productos!$A:$A,Productos!AH:AH,"Revisar"),"")</f>
        <v/>
      </c>
      <c r="AP913" s="179" t="str">
        <f t="array" ref="AP913">IF($F913&lt;&gt;"", XLOOKUP($F913,Productos!$A$2:$A1001,Productos!AI$2:AI1001,"")*$G913,"")</f>
        <v/>
      </c>
      <c r="AQ913" s="179" t="str">
        <f t="array" ref="AQ913">IF($F913&lt;&gt;"",XLOOKUP($F913,Productos!$A:$A,Productos!AJ:AJ,"Revisar"),"")</f>
        <v/>
      </c>
      <c r="AR913" s="179" t="str">
        <f t="array" ref="AR913">IF($F913&lt;&gt;"", XLOOKUP($F913,Productos!$A$2:$A1001,Productos!AK$2:AK1001,"")*$G913,"")</f>
        <v/>
      </c>
      <c r="AS913" s="179" t="str">
        <f t="array" ref="AS913">IF($F913&lt;&gt;"",XLOOKUP($F913,Productos!$A:$A,Productos!AL:AL,"Revisar"),"")</f>
        <v/>
      </c>
      <c r="AT913" s="179" t="str">
        <f t="array" ref="AT913">IF($F913&lt;&gt;"", XLOOKUP($F913,Productos!$A$2:$A1001,Productos!AM$2:AM1001,"")*$G913,"")</f>
        <v/>
      </c>
      <c r="AU913" s="179" t="str">
        <f t="array" ref="AU913">IF($F913&lt;&gt;"",XLOOKUP($F913,Productos!$A:$A,Productos!AN:AN,"Revisar"),"")</f>
        <v/>
      </c>
      <c r="AV913" s="179" t="str">
        <f t="array" ref="AV913">IF($F913&lt;&gt;"", XLOOKUP($F913,Productos!$A$2:$A1001,Productos!AO$2:AO1001,"")*$G913,"")</f>
        <v/>
      </c>
      <c r="AW913" s="179" t="str">
        <f t="array" ref="AW913">IF($F913&lt;&gt;"",XLOOKUP($F913,Productos!$A:$A,Productos!AP:AP,"Revisar"),"")</f>
        <v/>
      </c>
      <c r="AX913" s="179" t="str">
        <f t="array" ref="AX913">IF($F913&lt;&gt;"", XLOOKUP($F913,Productos!$A$2:$A1001,Productos!AQ$2:AQ1001,"")*$G913,"")</f>
        <v/>
      </c>
      <c r="AY913" s="179" t="str">
        <f t="array" ref="AY913">IF($F913&lt;&gt;"",XLOOKUP($F913,Productos!$A:$A,Productos!AR:AR,"Revisar"),"")</f>
        <v/>
      </c>
      <c r="AZ913" s="179" t="str">
        <f t="array" ref="AZ913">IF($F913&lt;&gt;"", XLOOKUP($F913,Productos!$A$2:$A1001,Productos!AS$2:AS1001,"")*$G913,"")</f>
        <v/>
      </c>
      <c r="BA913" s="179" t="str">
        <f t="array" ref="BA913">IF($F913&lt;&gt;"",XLOOKUP($F913,Productos!$A:$A,Productos!AT:AT,"Revisar"),"")</f>
        <v/>
      </c>
      <c r="BB913" s="179" t="str">
        <f t="array" ref="BB913">IF($F913&lt;&gt;"", XLOOKUP($F913,Productos!$A$2:$A1001,Productos!AU$2:AU1001,"")*$G913,"")</f>
        <v/>
      </c>
      <c r="BC913" s="179" t="str">
        <f t="array" ref="BC913">IF($F913&lt;&gt;"",XLOOKUP($F913,Productos!$A:$A,Productos!AV:AV,"Revisar"),"")</f>
        <v/>
      </c>
      <c r="BD913" s="179" t="str">
        <f t="array" ref="BD913">IF($F913&lt;&gt;"", XLOOKUP($F913,Productos!$A$2:$A1001,Productos!AW$2:AW1001,"")*$G913,"")</f>
        <v/>
      </c>
      <c r="BE913" s="179" t="str">
        <f t="array" ref="BE913">IF($F913&lt;&gt;"",XLOOKUP($F913,Productos!$A:$A,Productos!AX:AX,"Revisar"),"")</f>
        <v/>
      </c>
      <c r="BF913" s="179" t="str">
        <f t="array" ref="BF913">IF($F913&lt;&gt;"", XLOOKUP($F913,Productos!$A$2:$A1001,Productos!AY$2:AY1001,"")*$G913,"")</f>
        <v/>
      </c>
      <c r="BG913" s="179" t="str">
        <f t="array" ref="BG913">IF($F913&lt;&gt;"",XLOOKUP($F913,Productos!$A:$A,Productos!AZ:AZ,"Revisar"),"")</f>
        <v/>
      </c>
      <c r="BH913" s="179" t="str">
        <f t="array" ref="BH913">IF($F913&lt;&gt;"", XLOOKUP($F913,Productos!$A$2:$A1001,Productos!BA$2:BA1001,"")*$G913,"")</f>
        <v/>
      </c>
      <c r="BI913" s="179" t="str">
        <f t="array" ref="BI913">IF($F913&lt;&gt;"",XLOOKUP($F913,Productos!$A:$A,Productos!BB:BB,"Revisar"),"")</f>
        <v/>
      </c>
      <c r="BJ913" s="179" t="str">
        <f t="array" ref="BJ913">IF($F913&lt;&gt;"", XLOOKUP($F913,Productos!$A$2:$A1001,Productos!BC$2:BC1001,"")*$G913,"")</f>
        <v/>
      </c>
      <c r="BK913" s="179" t="str">
        <f t="array" ref="BK913">IF($F913&lt;&gt;"",XLOOKUP($F913,Productos!$A:$A,Productos!BD:BD,"Revisar"),"")</f>
        <v/>
      </c>
      <c r="BL913" s="179" t="str">
        <f t="array" ref="BL913">IF($F913&lt;&gt;"", XLOOKUP($F913,Productos!$A$2:$A1001,Productos!BE$2:BE1001,"")*$G913,"")</f>
        <v/>
      </c>
      <c r="BM913" s="179" t="str">
        <f t="array" ref="BM913">IF($F913&lt;&gt;"",XLOOKUP($F913,Productos!$A:$A,Productos!BF:BF,"Revisar"),"")</f>
        <v/>
      </c>
      <c r="BN913" s="179" t="str">
        <f t="array" ref="BN913">IF($F913&lt;&gt;"", XLOOKUP($F913,Productos!$A$2:$A1001,Productos!BG$2:BG1001,"")*$G913,"")</f>
        <v/>
      </c>
      <c r="BO913" s="179" t="str">
        <f t="array" ref="BO913">IF($F913&lt;&gt;"",XLOOKUP($F913,Productos!$A:$A,Productos!BH:BH,"Revisar"),"")</f>
        <v/>
      </c>
      <c r="BP913" s="179" t="str">
        <f t="array" ref="BP913">IF($F913&lt;&gt;"", XLOOKUP($F913,Productos!$A$2:$A1001,Productos!BI$2:BI1001,"")*$G913,"")</f>
        <v/>
      </c>
      <c r="BQ913" s="179" t="str">
        <f t="array" ref="BQ913">IF($F913&lt;&gt;"",XLOOKUP($F913,Productos!$A:$A,Productos!BJ:BJ,"Revisar"),"")</f>
        <v/>
      </c>
      <c r="BR913" s="179" t="str">
        <f t="array" ref="BR913">IF($F913&lt;&gt;"", XLOOKUP($F913,Productos!$A$2:$A1001,Productos!BK$2:BK1001,"")*$G913,"")</f>
        <v/>
      </c>
      <c r="BS913" s="179" t="str">
        <f t="array" ref="BS913">IF($F913&lt;&gt;"",XLOOKUP($F913,Productos!$A:$A,Productos!BL:BL,"Revisar"),"")</f>
        <v/>
      </c>
      <c r="BT913" s="179" t="str">
        <f t="array" ref="BT913">IF($F913&lt;&gt;"", XLOOKUP($F913,Productos!$A$2:$A1001,Productos!BM$2:BM1001,"")*$G913,"")</f>
        <v/>
      </c>
      <c r="BU913" s="179" t="str">
        <f t="array" ref="BU913">IF($F913&lt;&gt;"",XLOOKUP($F913,Productos!$A:$A,Productos!BN:BN,"Revisar"),"")</f>
        <v/>
      </c>
      <c r="BV913" s="179" t="str">
        <f t="array" ref="BV913">IF($F913&lt;&gt;"", XLOOKUP($F913,Productos!$A$2:$A1001,Productos!BO$2:BO1001,"")*$G913,"")</f>
        <v/>
      </c>
      <c r="BW913" s="179" t="str">
        <f t="array" ref="BW913">IF($F913&lt;&gt;"",XLOOKUP($F913,Productos!$A:$A,Productos!BP:BP,"Revisar"),"")</f>
        <v/>
      </c>
      <c r="BX913" s="179" t="str">
        <f t="array" ref="BX913">IF($F913&lt;&gt;"", XLOOKUP($F913,Productos!$A$2:$A1001,Productos!BQ$2:BQ1001,"")*$G913,"")</f>
        <v/>
      </c>
      <c r="BY913" s="179" t="str">
        <f t="array" ref="BY913">IF($F913&lt;&gt;"",XLOOKUP($F913,Productos!$A:$A,Productos!BR:BR,"Revisar"),"")</f>
        <v/>
      </c>
      <c r="BZ913" s="179" t="str">
        <f t="array" ref="BZ913">IF($F913&lt;&gt;"", XLOOKUP($F913,Productos!$A$2:$A1001,Productos!BS$2:BS1001,"")*$G913,"")</f>
        <v/>
      </c>
    </row>
    <row r="914">
      <c r="A914" s="188"/>
      <c r="B914" s="189"/>
      <c r="C914" s="190"/>
      <c r="D914" s="190"/>
      <c r="E914" s="191"/>
      <c r="F914" s="186"/>
      <c r="G914" s="192"/>
      <c r="H914" s="9"/>
      <c r="I914" s="179" t="str">
        <f t="array" ref="I914">IF($F914&lt;&gt;"",XLOOKUP($F914,Productos!$A:$A,Productos!B:B,"Revisar"),"")</f>
        <v/>
      </c>
      <c r="J914" s="179" t="str">
        <f t="array" ref="J914">IF($F914&lt;&gt;"", XLOOKUP($F914,Productos!$A$2:$A1001,Productos!C$2:C1001,"")*$G914,"")</f>
        <v/>
      </c>
      <c r="K914" s="179" t="str">
        <f t="array" ref="K914">IF($F914&lt;&gt;"",XLOOKUP($F914,Productos!$A:$A,Productos!D:D,"Revisar"),"")</f>
        <v/>
      </c>
      <c r="L914" s="179" t="str">
        <f t="array" ref="L914">IF($F914&lt;&gt;"", XLOOKUP($F914,Productos!$A$2:$A1001,Productos!E$2:E1001,"")*$G914,"")</f>
        <v/>
      </c>
      <c r="M914" s="179" t="str">
        <f t="array" ref="M914">IF($F914&lt;&gt;"",XLOOKUP($F914,Productos!$A:$A,Productos!F:F,"Revisar"),"")</f>
        <v/>
      </c>
      <c r="N914" s="179" t="str">
        <f t="array" ref="N914">IF($F914&lt;&gt;"", XLOOKUP($F914,Productos!$A$2:$A1001,Productos!G$2:G1001,"")*$G914,"")</f>
        <v/>
      </c>
      <c r="O914" s="179" t="str">
        <f t="array" ref="O914">IF($F914&lt;&gt;"",XLOOKUP($F914,Productos!$A:$A,Productos!H:H,"Revisar"),"")</f>
        <v/>
      </c>
      <c r="P914" s="179" t="str">
        <f t="array" ref="P914">IF($F914&lt;&gt;"", XLOOKUP($F914,Productos!$A$2:$A1001,Productos!I$2:I1001,"")*$G914,"")</f>
        <v/>
      </c>
      <c r="Q914" s="179" t="str">
        <f t="array" ref="Q914">IF($F914&lt;&gt;"",XLOOKUP($F914,Productos!$A:$A,Productos!J:J,"Revisar"),"")</f>
        <v/>
      </c>
      <c r="R914" s="179" t="str">
        <f t="array" ref="R914">IF($F914&lt;&gt;"", XLOOKUP($F914,Productos!$A$2:$A1001,Productos!K$2:K1001,"")*$G914,"")</f>
        <v/>
      </c>
      <c r="S914" s="179" t="str">
        <f t="array" ref="S914">IF($F914&lt;&gt;"",XLOOKUP($F914,Productos!$A:$A,Productos!L:L,"Revisar"),"")</f>
        <v/>
      </c>
      <c r="T914" s="179" t="str">
        <f t="array" ref="T914">IF($F914&lt;&gt;"", XLOOKUP($F914,Productos!$A$2:$A1001,Productos!M$2:M1001,"")*$G914,"")</f>
        <v/>
      </c>
      <c r="U914" s="179" t="str">
        <f t="array" ref="U914">IF($F914&lt;&gt;"",XLOOKUP($F914,Productos!$A:$A,Productos!N:N,"Revisar"),"")</f>
        <v/>
      </c>
      <c r="V914" s="179" t="str">
        <f t="array" ref="V914">IF($F914&lt;&gt;"", XLOOKUP($F914,Productos!$A$2:$A1001,Productos!O$2:O1001,"")*$G914,"")</f>
        <v/>
      </c>
      <c r="W914" s="179" t="str">
        <f t="array" ref="W914">IF($F914&lt;&gt;"",XLOOKUP($F914,Productos!$A:$A,Productos!P:P,"Revisar"),"")</f>
        <v/>
      </c>
      <c r="X914" s="179" t="str">
        <f t="array" ref="X914">IF($F914&lt;&gt;"", XLOOKUP($F914,Productos!$A$2:$A1001,Productos!Q$2:Q1001,"")*$G914,"")</f>
        <v/>
      </c>
      <c r="Y914" s="179" t="str">
        <f t="array" ref="Y914">IF($F914&lt;&gt;"",XLOOKUP($F914,Productos!$A:$A,Productos!R:R,"Revisar"),"")</f>
        <v/>
      </c>
      <c r="Z914" s="179" t="str">
        <f t="array" ref="Z914">IF($F914&lt;&gt;"", XLOOKUP($F914,Productos!$A$2:$A1001,Productos!S$2:S1001,"")*$G914,"")</f>
        <v/>
      </c>
      <c r="AA914" s="179" t="str">
        <f t="array" ref="AA914">IF($F914&lt;&gt;"",XLOOKUP($F914,Productos!$A:$A,Productos!T:T,"Revisar"),"")</f>
        <v/>
      </c>
      <c r="AB914" s="179" t="str">
        <f t="array" ref="AB914">IF($F914&lt;&gt;"", XLOOKUP($F914,Productos!$A$2:$A1001,Productos!U$2:U1001,"")*$G914,"")</f>
        <v/>
      </c>
      <c r="AC914" s="179" t="str">
        <f t="array" ref="AC914">IF($F914&lt;&gt;"",XLOOKUP($F914,Productos!$A:$A,Productos!V:V,"Revisar"),"")</f>
        <v/>
      </c>
      <c r="AD914" s="179" t="str">
        <f t="array" ref="AD914">IF($F914&lt;&gt;"", XLOOKUP($F914,Productos!$A$2:$A1001,Productos!W$2:W1001,"")*$G914,"")</f>
        <v/>
      </c>
      <c r="AE914" s="179" t="str">
        <f t="array" ref="AE914">IF($F914&lt;&gt;"",XLOOKUP($F914,Productos!$A:$A,Productos!X:X,"Revisar"),"")</f>
        <v/>
      </c>
      <c r="AF914" s="179" t="str">
        <f t="array" ref="AF914">IF($F914&lt;&gt;"", XLOOKUP($F914,Productos!$A$2:$A1001,Productos!Y$2:Y1001,"")*$G914,"")</f>
        <v/>
      </c>
      <c r="AG914" s="179" t="str">
        <f t="array" ref="AG914">IF($F914&lt;&gt;"",XLOOKUP($F914,Productos!$A:$A,Productos!Z:Z,"Revisar"),"")</f>
        <v/>
      </c>
      <c r="AH914" s="179" t="str">
        <f t="array" ref="AH914">IF($F914&lt;&gt;"", XLOOKUP($F914,Productos!$A$2:$A1001,Productos!AA$2:AA1001,"")*$G914,"")</f>
        <v/>
      </c>
      <c r="AI914" s="179" t="str">
        <f t="array" ref="AI914">IF($F914&lt;&gt;"",XLOOKUP($F914,Productos!$A:$A,Productos!AB:AB,"Revisar"),"")</f>
        <v/>
      </c>
      <c r="AJ914" s="179" t="str">
        <f t="array" ref="AJ914">IF($F914&lt;&gt;"", XLOOKUP($F914,Productos!$A$2:$A1001,Productos!AC$2:AC1001,"")*$G914,"")</f>
        <v/>
      </c>
      <c r="AK914" s="179" t="str">
        <f t="array" ref="AK914">IF($F914&lt;&gt;"",XLOOKUP($F914,Productos!$A:$A,Productos!AD:AD,"Revisar"),"")</f>
        <v/>
      </c>
      <c r="AL914" s="179" t="str">
        <f t="array" ref="AL914">IF($F914&lt;&gt;"", XLOOKUP($F914,Productos!$A$2:$A1001,Productos!AE$2:AE1001,"")*$G914,"")</f>
        <v/>
      </c>
      <c r="AM914" s="179" t="str">
        <f t="array" ref="AM914">IF($F914&lt;&gt;"",XLOOKUP($F914,Productos!$A:$A,Productos!AF:AF,"Revisar"),"")</f>
        <v/>
      </c>
      <c r="AN914" s="179" t="str">
        <f t="array" ref="AN914">IF($F914&lt;&gt;"", XLOOKUP($F914,Productos!$A$2:$A1001,Productos!AG$2:AG1001,"")*$G914,"")</f>
        <v/>
      </c>
      <c r="AO914" s="179" t="str">
        <f t="array" ref="AO914">IF($F914&lt;&gt;"",XLOOKUP($F914,Productos!$A:$A,Productos!AH:AH,"Revisar"),"")</f>
        <v/>
      </c>
      <c r="AP914" s="179" t="str">
        <f t="array" ref="AP914">IF($F914&lt;&gt;"", XLOOKUP($F914,Productos!$A$2:$A1001,Productos!AI$2:AI1001,"")*$G914,"")</f>
        <v/>
      </c>
      <c r="AQ914" s="179" t="str">
        <f t="array" ref="AQ914">IF($F914&lt;&gt;"",XLOOKUP($F914,Productos!$A:$A,Productos!AJ:AJ,"Revisar"),"")</f>
        <v/>
      </c>
      <c r="AR914" s="179" t="str">
        <f t="array" ref="AR914">IF($F914&lt;&gt;"", XLOOKUP($F914,Productos!$A$2:$A1001,Productos!AK$2:AK1001,"")*$G914,"")</f>
        <v/>
      </c>
      <c r="AS914" s="179" t="str">
        <f t="array" ref="AS914">IF($F914&lt;&gt;"",XLOOKUP($F914,Productos!$A:$A,Productos!AL:AL,"Revisar"),"")</f>
        <v/>
      </c>
      <c r="AT914" s="179" t="str">
        <f t="array" ref="AT914">IF($F914&lt;&gt;"", XLOOKUP($F914,Productos!$A$2:$A1001,Productos!AM$2:AM1001,"")*$G914,"")</f>
        <v/>
      </c>
      <c r="AU914" s="179" t="str">
        <f t="array" ref="AU914">IF($F914&lt;&gt;"",XLOOKUP($F914,Productos!$A:$A,Productos!AN:AN,"Revisar"),"")</f>
        <v/>
      </c>
      <c r="AV914" s="179" t="str">
        <f t="array" ref="AV914">IF($F914&lt;&gt;"", XLOOKUP($F914,Productos!$A$2:$A1001,Productos!AO$2:AO1001,"")*$G914,"")</f>
        <v/>
      </c>
      <c r="AW914" s="179" t="str">
        <f t="array" ref="AW914">IF($F914&lt;&gt;"",XLOOKUP($F914,Productos!$A:$A,Productos!AP:AP,"Revisar"),"")</f>
        <v/>
      </c>
      <c r="AX914" s="179" t="str">
        <f t="array" ref="AX914">IF($F914&lt;&gt;"", XLOOKUP($F914,Productos!$A$2:$A1001,Productos!AQ$2:AQ1001,"")*$G914,"")</f>
        <v/>
      </c>
      <c r="AY914" s="179" t="str">
        <f t="array" ref="AY914">IF($F914&lt;&gt;"",XLOOKUP($F914,Productos!$A:$A,Productos!AR:AR,"Revisar"),"")</f>
        <v/>
      </c>
      <c r="AZ914" s="179" t="str">
        <f t="array" ref="AZ914">IF($F914&lt;&gt;"", XLOOKUP($F914,Productos!$A$2:$A1001,Productos!AS$2:AS1001,"")*$G914,"")</f>
        <v/>
      </c>
      <c r="BA914" s="179" t="str">
        <f t="array" ref="BA914">IF($F914&lt;&gt;"",XLOOKUP($F914,Productos!$A:$A,Productos!AT:AT,"Revisar"),"")</f>
        <v/>
      </c>
      <c r="BB914" s="179" t="str">
        <f t="array" ref="BB914">IF($F914&lt;&gt;"", XLOOKUP($F914,Productos!$A$2:$A1001,Productos!AU$2:AU1001,"")*$G914,"")</f>
        <v/>
      </c>
      <c r="BC914" s="179" t="str">
        <f t="array" ref="BC914">IF($F914&lt;&gt;"",XLOOKUP($F914,Productos!$A:$A,Productos!AV:AV,"Revisar"),"")</f>
        <v/>
      </c>
      <c r="BD914" s="179" t="str">
        <f t="array" ref="BD914">IF($F914&lt;&gt;"", XLOOKUP($F914,Productos!$A$2:$A1001,Productos!AW$2:AW1001,"")*$G914,"")</f>
        <v/>
      </c>
      <c r="BE914" s="179" t="str">
        <f t="array" ref="BE914">IF($F914&lt;&gt;"",XLOOKUP($F914,Productos!$A:$A,Productos!AX:AX,"Revisar"),"")</f>
        <v/>
      </c>
      <c r="BF914" s="179" t="str">
        <f t="array" ref="BF914">IF($F914&lt;&gt;"", XLOOKUP($F914,Productos!$A$2:$A1001,Productos!AY$2:AY1001,"")*$G914,"")</f>
        <v/>
      </c>
      <c r="BG914" s="179" t="str">
        <f t="array" ref="BG914">IF($F914&lt;&gt;"",XLOOKUP($F914,Productos!$A:$A,Productos!AZ:AZ,"Revisar"),"")</f>
        <v/>
      </c>
      <c r="BH914" s="179" t="str">
        <f t="array" ref="BH914">IF($F914&lt;&gt;"", XLOOKUP($F914,Productos!$A$2:$A1001,Productos!BA$2:BA1001,"")*$G914,"")</f>
        <v/>
      </c>
      <c r="BI914" s="179" t="str">
        <f t="array" ref="BI914">IF($F914&lt;&gt;"",XLOOKUP($F914,Productos!$A:$A,Productos!BB:BB,"Revisar"),"")</f>
        <v/>
      </c>
      <c r="BJ914" s="179" t="str">
        <f t="array" ref="BJ914">IF($F914&lt;&gt;"", XLOOKUP($F914,Productos!$A$2:$A1001,Productos!BC$2:BC1001,"")*$G914,"")</f>
        <v/>
      </c>
      <c r="BK914" s="179" t="str">
        <f t="array" ref="BK914">IF($F914&lt;&gt;"",XLOOKUP($F914,Productos!$A:$A,Productos!BD:BD,"Revisar"),"")</f>
        <v/>
      </c>
      <c r="BL914" s="179" t="str">
        <f t="array" ref="BL914">IF($F914&lt;&gt;"", XLOOKUP($F914,Productos!$A$2:$A1001,Productos!BE$2:BE1001,"")*$G914,"")</f>
        <v/>
      </c>
      <c r="BM914" s="179" t="str">
        <f t="array" ref="BM914">IF($F914&lt;&gt;"",XLOOKUP($F914,Productos!$A:$A,Productos!BF:BF,"Revisar"),"")</f>
        <v/>
      </c>
      <c r="BN914" s="179" t="str">
        <f t="array" ref="BN914">IF($F914&lt;&gt;"", XLOOKUP($F914,Productos!$A$2:$A1001,Productos!BG$2:BG1001,"")*$G914,"")</f>
        <v/>
      </c>
      <c r="BO914" s="179" t="str">
        <f t="array" ref="BO914">IF($F914&lt;&gt;"",XLOOKUP($F914,Productos!$A:$A,Productos!BH:BH,"Revisar"),"")</f>
        <v/>
      </c>
      <c r="BP914" s="179" t="str">
        <f t="array" ref="BP914">IF($F914&lt;&gt;"", XLOOKUP($F914,Productos!$A$2:$A1001,Productos!BI$2:BI1001,"")*$G914,"")</f>
        <v/>
      </c>
      <c r="BQ914" s="179" t="str">
        <f t="array" ref="BQ914">IF($F914&lt;&gt;"",XLOOKUP($F914,Productos!$A:$A,Productos!BJ:BJ,"Revisar"),"")</f>
        <v/>
      </c>
      <c r="BR914" s="179" t="str">
        <f t="array" ref="BR914">IF($F914&lt;&gt;"", XLOOKUP($F914,Productos!$A$2:$A1001,Productos!BK$2:BK1001,"")*$G914,"")</f>
        <v/>
      </c>
      <c r="BS914" s="179" t="str">
        <f t="array" ref="BS914">IF($F914&lt;&gt;"",XLOOKUP($F914,Productos!$A:$A,Productos!BL:BL,"Revisar"),"")</f>
        <v/>
      </c>
      <c r="BT914" s="179" t="str">
        <f t="array" ref="BT914">IF($F914&lt;&gt;"", XLOOKUP($F914,Productos!$A$2:$A1001,Productos!BM$2:BM1001,"")*$G914,"")</f>
        <v/>
      </c>
      <c r="BU914" s="179" t="str">
        <f t="array" ref="BU914">IF($F914&lt;&gt;"",XLOOKUP($F914,Productos!$A:$A,Productos!BN:BN,"Revisar"),"")</f>
        <v/>
      </c>
      <c r="BV914" s="179" t="str">
        <f t="array" ref="BV914">IF($F914&lt;&gt;"", XLOOKUP($F914,Productos!$A$2:$A1001,Productos!BO$2:BO1001,"")*$G914,"")</f>
        <v/>
      </c>
      <c r="BW914" s="179" t="str">
        <f t="array" ref="BW914">IF($F914&lt;&gt;"",XLOOKUP($F914,Productos!$A:$A,Productos!BP:BP,"Revisar"),"")</f>
        <v/>
      </c>
      <c r="BX914" s="179" t="str">
        <f t="array" ref="BX914">IF($F914&lt;&gt;"", XLOOKUP($F914,Productos!$A$2:$A1001,Productos!BQ$2:BQ1001,"")*$G914,"")</f>
        <v/>
      </c>
      <c r="BY914" s="179" t="str">
        <f t="array" ref="BY914">IF($F914&lt;&gt;"",XLOOKUP($F914,Productos!$A:$A,Productos!BR:BR,"Revisar"),"")</f>
        <v/>
      </c>
      <c r="BZ914" s="179" t="str">
        <f t="array" ref="BZ914">IF($F914&lt;&gt;"", XLOOKUP($F914,Productos!$A$2:$A1001,Productos!BS$2:BS1001,"")*$G914,"")</f>
        <v/>
      </c>
    </row>
    <row r="915">
      <c r="A915" s="188"/>
      <c r="B915" s="189"/>
      <c r="C915" s="190"/>
      <c r="D915" s="190"/>
      <c r="E915" s="191"/>
      <c r="F915" s="186"/>
      <c r="G915" s="192"/>
      <c r="H915" s="9"/>
      <c r="I915" s="179" t="str">
        <f t="array" ref="I915">IF($F915&lt;&gt;"",XLOOKUP($F915,Productos!$A:$A,Productos!B:B,"Revisar"),"")</f>
        <v/>
      </c>
      <c r="J915" s="179" t="str">
        <f t="array" ref="J915">IF($F915&lt;&gt;"", XLOOKUP($F915,Productos!$A$2:$A1001,Productos!C$2:C1001,"")*$G915,"")</f>
        <v/>
      </c>
      <c r="K915" s="179" t="str">
        <f t="array" ref="K915">IF($F915&lt;&gt;"",XLOOKUP($F915,Productos!$A:$A,Productos!D:D,"Revisar"),"")</f>
        <v/>
      </c>
      <c r="L915" s="179" t="str">
        <f t="array" ref="L915">IF($F915&lt;&gt;"", XLOOKUP($F915,Productos!$A$2:$A1001,Productos!E$2:E1001,"")*$G915,"")</f>
        <v/>
      </c>
      <c r="M915" s="179" t="str">
        <f t="array" ref="M915">IF($F915&lt;&gt;"",XLOOKUP($F915,Productos!$A:$A,Productos!F:F,"Revisar"),"")</f>
        <v/>
      </c>
      <c r="N915" s="179" t="str">
        <f t="array" ref="N915">IF($F915&lt;&gt;"", XLOOKUP($F915,Productos!$A$2:$A1001,Productos!G$2:G1001,"")*$G915,"")</f>
        <v/>
      </c>
      <c r="O915" s="179" t="str">
        <f t="array" ref="O915">IF($F915&lt;&gt;"",XLOOKUP($F915,Productos!$A:$A,Productos!H:H,"Revisar"),"")</f>
        <v/>
      </c>
      <c r="P915" s="179" t="str">
        <f t="array" ref="P915">IF($F915&lt;&gt;"", XLOOKUP($F915,Productos!$A$2:$A1001,Productos!I$2:I1001,"")*$G915,"")</f>
        <v/>
      </c>
      <c r="Q915" s="179" t="str">
        <f t="array" ref="Q915">IF($F915&lt;&gt;"",XLOOKUP($F915,Productos!$A:$A,Productos!J:J,"Revisar"),"")</f>
        <v/>
      </c>
      <c r="R915" s="179" t="str">
        <f t="array" ref="R915">IF($F915&lt;&gt;"", XLOOKUP($F915,Productos!$A$2:$A1001,Productos!K$2:K1001,"")*$G915,"")</f>
        <v/>
      </c>
      <c r="S915" s="179" t="str">
        <f t="array" ref="S915">IF($F915&lt;&gt;"",XLOOKUP($F915,Productos!$A:$A,Productos!L:L,"Revisar"),"")</f>
        <v/>
      </c>
      <c r="T915" s="179" t="str">
        <f t="array" ref="T915">IF($F915&lt;&gt;"", XLOOKUP($F915,Productos!$A$2:$A1001,Productos!M$2:M1001,"")*$G915,"")</f>
        <v/>
      </c>
      <c r="U915" s="179" t="str">
        <f t="array" ref="U915">IF($F915&lt;&gt;"",XLOOKUP($F915,Productos!$A:$A,Productos!N:N,"Revisar"),"")</f>
        <v/>
      </c>
      <c r="V915" s="179" t="str">
        <f t="array" ref="V915">IF($F915&lt;&gt;"", XLOOKUP($F915,Productos!$A$2:$A1001,Productos!O$2:O1001,"")*$G915,"")</f>
        <v/>
      </c>
      <c r="W915" s="179" t="str">
        <f t="array" ref="W915">IF($F915&lt;&gt;"",XLOOKUP($F915,Productos!$A:$A,Productos!P:P,"Revisar"),"")</f>
        <v/>
      </c>
      <c r="X915" s="179" t="str">
        <f t="array" ref="X915">IF($F915&lt;&gt;"", XLOOKUP($F915,Productos!$A$2:$A1001,Productos!Q$2:Q1001,"")*$G915,"")</f>
        <v/>
      </c>
      <c r="Y915" s="179" t="str">
        <f t="array" ref="Y915">IF($F915&lt;&gt;"",XLOOKUP($F915,Productos!$A:$A,Productos!R:R,"Revisar"),"")</f>
        <v/>
      </c>
      <c r="Z915" s="179" t="str">
        <f t="array" ref="Z915">IF($F915&lt;&gt;"", XLOOKUP($F915,Productos!$A$2:$A1001,Productos!S$2:S1001,"")*$G915,"")</f>
        <v/>
      </c>
      <c r="AA915" s="179" t="str">
        <f t="array" ref="AA915">IF($F915&lt;&gt;"",XLOOKUP($F915,Productos!$A:$A,Productos!T:T,"Revisar"),"")</f>
        <v/>
      </c>
      <c r="AB915" s="179" t="str">
        <f t="array" ref="AB915">IF($F915&lt;&gt;"", XLOOKUP($F915,Productos!$A$2:$A1001,Productos!U$2:U1001,"")*$G915,"")</f>
        <v/>
      </c>
      <c r="AC915" s="179" t="str">
        <f t="array" ref="AC915">IF($F915&lt;&gt;"",XLOOKUP($F915,Productos!$A:$A,Productos!V:V,"Revisar"),"")</f>
        <v/>
      </c>
      <c r="AD915" s="179" t="str">
        <f t="array" ref="AD915">IF($F915&lt;&gt;"", XLOOKUP($F915,Productos!$A$2:$A1001,Productos!W$2:W1001,"")*$G915,"")</f>
        <v/>
      </c>
      <c r="AE915" s="179" t="str">
        <f t="array" ref="AE915">IF($F915&lt;&gt;"",XLOOKUP($F915,Productos!$A:$A,Productos!X:X,"Revisar"),"")</f>
        <v/>
      </c>
      <c r="AF915" s="179" t="str">
        <f t="array" ref="AF915">IF($F915&lt;&gt;"", XLOOKUP($F915,Productos!$A$2:$A1001,Productos!Y$2:Y1001,"")*$G915,"")</f>
        <v/>
      </c>
      <c r="AG915" s="179" t="str">
        <f t="array" ref="AG915">IF($F915&lt;&gt;"",XLOOKUP($F915,Productos!$A:$A,Productos!Z:Z,"Revisar"),"")</f>
        <v/>
      </c>
      <c r="AH915" s="179" t="str">
        <f t="array" ref="AH915">IF($F915&lt;&gt;"", XLOOKUP($F915,Productos!$A$2:$A1001,Productos!AA$2:AA1001,"")*$G915,"")</f>
        <v/>
      </c>
      <c r="AI915" s="179" t="str">
        <f t="array" ref="AI915">IF($F915&lt;&gt;"",XLOOKUP($F915,Productos!$A:$A,Productos!AB:AB,"Revisar"),"")</f>
        <v/>
      </c>
      <c r="AJ915" s="179" t="str">
        <f t="array" ref="AJ915">IF($F915&lt;&gt;"", XLOOKUP($F915,Productos!$A$2:$A1001,Productos!AC$2:AC1001,"")*$G915,"")</f>
        <v/>
      </c>
      <c r="AK915" s="179" t="str">
        <f t="array" ref="AK915">IF($F915&lt;&gt;"",XLOOKUP($F915,Productos!$A:$A,Productos!AD:AD,"Revisar"),"")</f>
        <v/>
      </c>
      <c r="AL915" s="179" t="str">
        <f t="array" ref="AL915">IF($F915&lt;&gt;"", XLOOKUP($F915,Productos!$A$2:$A1001,Productos!AE$2:AE1001,"")*$G915,"")</f>
        <v/>
      </c>
      <c r="AM915" s="179" t="str">
        <f t="array" ref="AM915">IF($F915&lt;&gt;"",XLOOKUP($F915,Productos!$A:$A,Productos!AF:AF,"Revisar"),"")</f>
        <v/>
      </c>
      <c r="AN915" s="179" t="str">
        <f t="array" ref="AN915">IF($F915&lt;&gt;"", XLOOKUP($F915,Productos!$A$2:$A1001,Productos!AG$2:AG1001,"")*$G915,"")</f>
        <v/>
      </c>
      <c r="AO915" s="179" t="str">
        <f t="array" ref="AO915">IF($F915&lt;&gt;"",XLOOKUP($F915,Productos!$A:$A,Productos!AH:AH,"Revisar"),"")</f>
        <v/>
      </c>
      <c r="AP915" s="179" t="str">
        <f t="array" ref="AP915">IF($F915&lt;&gt;"", XLOOKUP($F915,Productos!$A$2:$A1001,Productos!AI$2:AI1001,"")*$G915,"")</f>
        <v/>
      </c>
      <c r="AQ915" s="179" t="str">
        <f t="array" ref="AQ915">IF($F915&lt;&gt;"",XLOOKUP($F915,Productos!$A:$A,Productos!AJ:AJ,"Revisar"),"")</f>
        <v/>
      </c>
      <c r="AR915" s="179" t="str">
        <f t="array" ref="AR915">IF($F915&lt;&gt;"", XLOOKUP($F915,Productos!$A$2:$A1001,Productos!AK$2:AK1001,"")*$G915,"")</f>
        <v/>
      </c>
      <c r="AS915" s="179" t="str">
        <f t="array" ref="AS915">IF($F915&lt;&gt;"",XLOOKUP($F915,Productos!$A:$A,Productos!AL:AL,"Revisar"),"")</f>
        <v/>
      </c>
      <c r="AT915" s="179" t="str">
        <f t="array" ref="AT915">IF($F915&lt;&gt;"", XLOOKUP($F915,Productos!$A$2:$A1001,Productos!AM$2:AM1001,"")*$G915,"")</f>
        <v/>
      </c>
      <c r="AU915" s="179" t="str">
        <f t="array" ref="AU915">IF($F915&lt;&gt;"",XLOOKUP($F915,Productos!$A:$A,Productos!AN:AN,"Revisar"),"")</f>
        <v/>
      </c>
      <c r="AV915" s="179" t="str">
        <f t="array" ref="AV915">IF($F915&lt;&gt;"", XLOOKUP($F915,Productos!$A$2:$A1001,Productos!AO$2:AO1001,"")*$G915,"")</f>
        <v/>
      </c>
      <c r="AW915" s="179" t="str">
        <f t="array" ref="AW915">IF($F915&lt;&gt;"",XLOOKUP($F915,Productos!$A:$A,Productos!AP:AP,"Revisar"),"")</f>
        <v/>
      </c>
      <c r="AX915" s="179" t="str">
        <f t="array" ref="AX915">IF($F915&lt;&gt;"", XLOOKUP($F915,Productos!$A$2:$A1001,Productos!AQ$2:AQ1001,"")*$G915,"")</f>
        <v/>
      </c>
      <c r="AY915" s="179" t="str">
        <f t="array" ref="AY915">IF($F915&lt;&gt;"",XLOOKUP($F915,Productos!$A:$A,Productos!AR:AR,"Revisar"),"")</f>
        <v/>
      </c>
      <c r="AZ915" s="179" t="str">
        <f t="array" ref="AZ915">IF($F915&lt;&gt;"", XLOOKUP($F915,Productos!$A$2:$A1001,Productos!AS$2:AS1001,"")*$G915,"")</f>
        <v/>
      </c>
      <c r="BA915" s="179" t="str">
        <f t="array" ref="BA915">IF($F915&lt;&gt;"",XLOOKUP($F915,Productos!$A:$A,Productos!AT:AT,"Revisar"),"")</f>
        <v/>
      </c>
      <c r="BB915" s="179" t="str">
        <f t="array" ref="BB915">IF($F915&lt;&gt;"", XLOOKUP($F915,Productos!$A$2:$A1001,Productos!AU$2:AU1001,"")*$G915,"")</f>
        <v/>
      </c>
      <c r="BC915" s="179" t="str">
        <f t="array" ref="BC915">IF($F915&lt;&gt;"",XLOOKUP($F915,Productos!$A:$A,Productos!AV:AV,"Revisar"),"")</f>
        <v/>
      </c>
      <c r="BD915" s="179" t="str">
        <f t="array" ref="BD915">IF($F915&lt;&gt;"", XLOOKUP($F915,Productos!$A$2:$A1001,Productos!AW$2:AW1001,"")*$G915,"")</f>
        <v/>
      </c>
      <c r="BE915" s="179" t="str">
        <f t="array" ref="BE915">IF($F915&lt;&gt;"",XLOOKUP($F915,Productos!$A:$A,Productos!AX:AX,"Revisar"),"")</f>
        <v/>
      </c>
      <c r="BF915" s="179" t="str">
        <f t="array" ref="BF915">IF($F915&lt;&gt;"", XLOOKUP($F915,Productos!$A$2:$A1001,Productos!AY$2:AY1001,"")*$G915,"")</f>
        <v/>
      </c>
      <c r="BG915" s="179" t="str">
        <f t="array" ref="BG915">IF($F915&lt;&gt;"",XLOOKUP($F915,Productos!$A:$A,Productos!AZ:AZ,"Revisar"),"")</f>
        <v/>
      </c>
      <c r="BH915" s="179" t="str">
        <f t="array" ref="BH915">IF($F915&lt;&gt;"", XLOOKUP($F915,Productos!$A$2:$A1001,Productos!BA$2:BA1001,"")*$G915,"")</f>
        <v/>
      </c>
      <c r="BI915" s="179" t="str">
        <f t="array" ref="BI915">IF($F915&lt;&gt;"",XLOOKUP($F915,Productos!$A:$A,Productos!BB:BB,"Revisar"),"")</f>
        <v/>
      </c>
      <c r="BJ915" s="179" t="str">
        <f t="array" ref="BJ915">IF($F915&lt;&gt;"", XLOOKUP($F915,Productos!$A$2:$A1001,Productos!BC$2:BC1001,"")*$G915,"")</f>
        <v/>
      </c>
      <c r="BK915" s="179" t="str">
        <f t="array" ref="BK915">IF($F915&lt;&gt;"",XLOOKUP($F915,Productos!$A:$A,Productos!BD:BD,"Revisar"),"")</f>
        <v/>
      </c>
      <c r="BL915" s="179" t="str">
        <f t="array" ref="BL915">IF($F915&lt;&gt;"", XLOOKUP($F915,Productos!$A$2:$A1001,Productos!BE$2:BE1001,"")*$G915,"")</f>
        <v/>
      </c>
      <c r="BM915" s="179" t="str">
        <f t="array" ref="BM915">IF($F915&lt;&gt;"",XLOOKUP($F915,Productos!$A:$A,Productos!BF:BF,"Revisar"),"")</f>
        <v/>
      </c>
      <c r="BN915" s="179" t="str">
        <f t="array" ref="BN915">IF($F915&lt;&gt;"", XLOOKUP($F915,Productos!$A$2:$A1001,Productos!BG$2:BG1001,"")*$G915,"")</f>
        <v/>
      </c>
      <c r="BO915" s="179" t="str">
        <f t="array" ref="BO915">IF($F915&lt;&gt;"",XLOOKUP($F915,Productos!$A:$A,Productos!BH:BH,"Revisar"),"")</f>
        <v/>
      </c>
      <c r="BP915" s="179" t="str">
        <f t="array" ref="BP915">IF($F915&lt;&gt;"", XLOOKUP($F915,Productos!$A$2:$A1001,Productos!BI$2:BI1001,"")*$G915,"")</f>
        <v/>
      </c>
      <c r="BQ915" s="179" t="str">
        <f t="array" ref="BQ915">IF($F915&lt;&gt;"",XLOOKUP($F915,Productos!$A:$A,Productos!BJ:BJ,"Revisar"),"")</f>
        <v/>
      </c>
      <c r="BR915" s="179" t="str">
        <f t="array" ref="BR915">IF($F915&lt;&gt;"", XLOOKUP($F915,Productos!$A$2:$A1001,Productos!BK$2:BK1001,"")*$G915,"")</f>
        <v/>
      </c>
      <c r="BS915" s="179" t="str">
        <f t="array" ref="BS915">IF($F915&lt;&gt;"",XLOOKUP($F915,Productos!$A:$A,Productos!BL:BL,"Revisar"),"")</f>
        <v/>
      </c>
      <c r="BT915" s="179" t="str">
        <f t="array" ref="BT915">IF($F915&lt;&gt;"", XLOOKUP($F915,Productos!$A$2:$A1001,Productos!BM$2:BM1001,"")*$G915,"")</f>
        <v/>
      </c>
      <c r="BU915" s="179" t="str">
        <f t="array" ref="BU915">IF($F915&lt;&gt;"",XLOOKUP($F915,Productos!$A:$A,Productos!BN:BN,"Revisar"),"")</f>
        <v/>
      </c>
      <c r="BV915" s="179" t="str">
        <f t="array" ref="BV915">IF($F915&lt;&gt;"", XLOOKUP($F915,Productos!$A$2:$A1001,Productos!BO$2:BO1001,"")*$G915,"")</f>
        <v/>
      </c>
      <c r="BW915" s="179" t="str">
        <f t="array" ref="BW915">IF($F915&lt;&gt;"",XLOOKUP($F915,Productos!$A:$A,Productos!BP:BP,"Revisar"),"")</f>
        <v/>
      </c>
      <c r="BX915" s="179" t="str">
        <f t="array" ref="BX915">IF($F915&lt;&gt;"", XLOOKUP($F915,Productos!$A$2:$A1001,Productos!BQ$2:BQ1001,"")*$G915,"")</f>
        <v/>
      </c>
      <c r="BY915" s="179" t="str">
        <f t="array" ref="BY915">IF($F915&lt;&gt;"",XLOOKUP($F915,Productos!$A:$A,Productos!BR:BR,"Revisar"),"")</f>
        <v/>
      </c>
      <c r="BZ915" s="179" t="str">
        <f t="array" ref="BZ915">IF($F915&lt;&gt;"", XLOOKUP($F915,Productos!$A$2:$A1001,Productos!BS$2:BS1001,"")*$G915,"")</f>
        <v/>
      </c>
    </row>
    <row r="916">
      <c r="A916" s="188"/>
      <c r="B916" s="189"/>
      <c r="C916" s="190"/>
      <c r="D916" s="190"/>
      <c r="E916" s="191"/>
      <c r="F916" s="186"/>
      <c r="G916" s="192"/>
      <c r="H916" s="9"/>
      <c r="I916" s="179" t="str">
        <f t="array" ref="I916">IF($F916&lt;&gt;"",XLOOKUP($F916,Productos!$A:$A,Productos!B:B,"Revisar"),"")</f>
        <v/>
      </c>
      <c r="J916" s="179" t="str">
        <f t="array" ref="J916">IF($F916&lt;&gt;"", XLOOKUP($F916,Productos!$A$2:$A1001,Productos!C$2:C1001,"")*$G916,"")</f>
        <v/>
      </c>
      <c r="K916" s="179" t="str">
        <f t="array" ref="K916">IF($F916&lt;&gt;"",XLOOKUP($F916,Productos!$A:$A,Productos!D:D,"Revisar"),"")</f>
        <v/>
      </c>
      <c r="L916" s="179" t="str">
        <f t="array" ref="L916">IF($F916&lt;&gt;"", XLOOKUP($F916,Productos!$A$2:$A1001,Productos!E$2:E1001,"")*$G916,"")</f>
        <v/>
      </c>
      <c r="M916" s="179" t="str">
        <f t="array" ref="M916">IF($F916&lt;&gt;"",XLOOKUP($F916,Productos!$A:$A,Productos!F:F,"Revisar"),"")</f>
        <v/>
      </c>
      <c r="N916" s="179" t="str">
        <f t="array" ref="N916">IF($F916&lt;&gt;"", XLOOKUP($F916,Productos!$A$2:$A1001,Productos!G$2:G1001,"")*$G916,"")</f>
        <v/>
      </c>
      <c r="O916" s="179" t="str">
        <f t="array" ref="O916">IF($F916&lt;&gt;"",XLOOKUP($F916,Productos!$A:$A,Productos!H:H,"Revisar"),"")</f>
        <v/>
      </c>
      <c r="P916" s="179" t="str">
        <f t="array" ref="P916">IF($F916&lt;&gt;"", XLOOKUP($F916,Productos!$A$2:$A1001,Productos!I$2:I1001,"")*$G916,"")</f>
        <v/>
      </c>
      <c r="Q916" s="179" t="str">
        <f t="array" ref="Q916">IF($F916&lt;&gt;"",XLOOKUP($F916,Productos!$A:$A,Productos!J:J,"Revisar"),"")</f>
        <v/>
      </c>
      <c r="R916" s="179" t="str">
        <f t="array" ref="R916">IF($F916&lt;&gt;"", XLOOKUP($F916,Productos!$A$2:$A1001,Productos!K$2:K1001,"")*$G916,"")</f>
        <v/>
      </c>
      <c r="S916" s="179" t="str">
        <f t="array" ref="S916">IF($F916&lt;&gt;"",XLOOKUP($F916,Productos!$A:$A,Productos!L:L,"Revisar"),"")</f>
        <v/>
      </c>
      <c r="T916" s="179" t="str">
        <f t="array" ref="T916">IF($F916&lt;&gt;"", XLOOKUP($F916,Productos!$A$2:$A1001,Productos!M$2:M1001,"")*$G916,"")</f>
        <v/>
      </c>
      <c r="U916" s="179" t="str">
        <f t="array" ref="U916">IF($F916&lt;&gt;"",XLOOKUP($F916,Productos!$A:$A,Productos!N:N,"Revisar"),"")</f>
        <v/>
      </c>
      <c r="V916" s="179" t="str">
        <f t="array" ref="V916">IF($F916&lt;&gt;"", XLOOKUP($F916,Productos!$A$2:$A1001,Productos!O$2:O1001,"")*$G916,"")</f>
        <v/>
      </c>
      <c r="W916" s="179" t="str">
        <f t="array" ref="W916">IF($F916&lt;&gt;"",XLOOKUP($F916,Productos!$A:$A,Productos!P:P,"Revisar"),"")</f>
        <v/>
      </c>
      <c r="X916" s="179" t="str">
        <f t="array" ref="X916">IF($F916&lt;&gt;"", XLOOKUP($F916,Productos!$A$2:$A1001,Productos!Q$2:Q1001,"")*$G916,"")</f>
        <v/>
      </c>
      <c r="Y916" s="179" t="str">
        <f t="array" ref="Y916">IF($F916&lt;&gt;"",XLOOKUP($F916,Productos!$A:$A,Productos!R:R,"Revisar"),"")</f>
        <v/>
      </c>
      <c r="Z916" s="179" t="str">
        <f t="array" ref="Z916">IF($F916&lt;&gt;"", XLOOKUP($F916,Productos!$A$2:$A1001,Productos!S$2:S1001,"")*$G916,"")</f>
        <v/>
      </c>
      <c r="AA916" s="179" t="str">
        <f t="array" ref="AA916">IF($F916&lt;&gt;"",XLOOKUP($F916,Productos!$A:$A,Productos!T:T,"Revisar"),"")</f>
        <v/>
      </c>
      <c r="AB916" s="179" t="str">
        <f t="array" ref="AB916">IF($F916&lt;&gt;"", XLOOKUP($F916,Productos!$A$2:$A1001,Productos!U$2:U1001,"")*$G916,"")</f>
        <v/>
      </c>
      <c r="AC916" s="179" t="str">
        <f t="array" ref="AC916">IF($F916&lt;&gt;"",XLOOKUP($F916,Productos!$A:$A,Productos!V:V,"Revisar"),"")</f>
        <v/>
      </c>
      <c r="AD916" s="179" t="str">
        <f t="array" ref="AD916">IF($F916&lt;&gt;"", XLOOKUP($F916,Productos!$A$2:$A1001,Productos!W$2:W1001,"")*$G916,"")</f>
        <v/>
      </c>
      <c r="AE916" s="179" t="str">
        <f t="array" ref="AE916">IF($F916&lt;&gt;"",XLOOKUP($F916,Productos!$A:$A,Productos!X:X,"Revisar"),"")</f>
        <v/>
      </c>
      <c r="AF916" s="179" t="str">
        <f t="array" ref="AF916">IF($F916&lt;&gt;"", XLOOKUP($F916,Productos!$A$2:$A1001,Productos!Y$2:Y1001,"")*$G916,"")</f>
        <v/>
      </c>
      <c r="AG916" s="179" t="str">
        <f t="array" ref="AG916">IF($F916&lt;&gt;"",XLOOKUP($F916,Productos!$A:$A,Productos!Z:Z,"Revisar"),"")</f>
        <v/>
      </c>
      <c r="AH916" s="179" t="str">
        <f t="array" ref="AH916">IF($F916&lt;&gt;"", XLOOKUP($F916,Productos!$A$2:$A1001,Productos!AA$2:AA1001,"")*$G916,"")</f>
        <v/>
      </c>
      <c r="AI916" s="179" t="str">
        <f t="array" ref="AI916">IF($F916&lt;&gt;"",XLOOKUP($F916,Productos!$A:$A,Productos!AB:AB,"Revisar"),"")</f>
        <v/>
      </c>
      <c r="AJ916" s="179" t="str">
        <f t="array" ref="AJ916">IF($F916&lt;&gt;"", XLOOKUP($F916,Productos!$A$2:$A1001,Productos!AC$2:AC1001,"")*$G916,"")</f>
        <v/>
      </c>
      <c r="AK916" s="179" t="str">
        <f t="array" ref="AK916">IF($F916&lt;&gt;"",XLOOKUP($F916,Productos!$A:$A,Productos!AD:AD,"Revisar"),"")</f>
        <v/>
      </c>
      <c r="AL916" s="179" t="str">
        <f t="array" ref="AL916">IF($F916&lt;&gt;"", XLOOKUP($F916,Productos!$A$2:$A1001,Productos!AE$2:AE1001,"")*$G916,"")</f>
        <v/>
      </c>
      <c r="AM916" s="179" t="str">
        <f t="array" ref="AM916">IF($F916&lt;&gt;"",XLOOKUP($F916,Productos!$A:$A,Productos!AF:AF,"Revisar"),"")</f>
        <v/>
      </c>
      <c r="AN916" s="179" t="str">
        <f t="array" ref="AN916">IF($F916&lt;&gt;"", XLOOKUP($F916,Productos!$A$2:$A1001,Productos!AG$2:AG1001,"")*$G916,"")</f>
        <v/>
      </c>
      <c r="AO916" s="179" t="str">
        <f t="array" ref="AO916">IF($F916&lt;&gt;"",XLOOKUP($F916,Productos!$A:$A,Productos!AH:AH,"Revisar"),"")</f>
        <v/>
      </c>
      <c r="AP916" s="179" t="str">
        <f t="array" ref="AP916">IF($F916&lt;&gt;"", XLOOKUP($F916,Productos!$A$2:$A1001,Productos!AI$2:AI1001,"")*$G916,"")</f>
        <v/>
      </c>
      <c r="AQ916" s="179" t="str">
        <f t="array" ref="AQ916">IF($F916&lt;&gt;"",XLOOKUP($F916,Productos!$A:$A,Productos!AJ:AJ,"Revisar"),"")</f>
        <v/>
      </c>
      <c r="AR916" s="179" t="str">
        <f t="array" ref="AR916">IF($F916&lt;&gt;"", XLOOKUP($F916,Productos!$A$2:$A1001,Productos!AK$2:AK1001,"")*$G916,"")</f>
        <v/>
      </c>
      <c r="AS916" s="179" t="str">
        <f t="array" ref="AS916">IF($F916&lt;&gt;"",XLOOKUP($F916,Productos!$A:$A,Productos!AL:AL,"Revisar"),"")</f>
        <v/>
      </c>
      <c r="AT916" s="179" t="str">
        <f t="array" ref="AT916">IF($F916&lt;&gt;"", XLOOKUP($F916,Productos!$A$2:$A1001,Productos!AM$2:AM1001,"")*$G916,"")</f>
        <v/>
      </c>
      <c r="AU916" s="179" t="str">
        <f t="array" ref="AU916">IF($F916&lt;&gt;"",XLOOKUP($F916,Productos!$A:$A,Productos!AN:AN,"Revisar"),"")</f>
        <v/>
      </c>
      <c r="AV916" s="179" t="str">
        <f t="array" ref="AV916">IF($F916&lt;&gt;"", XLOOKUP($F916,Productos!$A$2:$A1001,Productos!AO$2:AO1001,"")*$G916,"")</f>
        <v/>
      </c>
      <c r="AW916" s="179" t="str">
        <f t="array" ref="AW916">IF($F916&lt;&gt;"",XLOOKUP($F916,Productos!$A:$A,Productos!AP:AP,"Revisar"),"")</f>
        <v/>
      </c>
      <c r="AX916" s="179" t="str">
        <f t="array" ref="AX916">IF($F916&lt;&gt;"", XLOOKUP($F916,Productos!$A$2:$A1001,Productos!AQ$2:AQ1001,"")*$G916,"")</f>
        <v/>
      </c>
      <c r="AY916" s="179" t="str">
        <f t="array" ref="AY916">IF($F916&lt;&gt;"",XLOOKUP($F916,Productos!$A:$A,Productos!AR:AR,"Revisar"),"")</f>
        <v/>
      </c>
      <c r="AZ916" s="179" t="str">
        <f t="array" ref="AZ916">IF($F916&lt;&gt;"", XLOOKUP($F916,Productos!$A$2:$A1001,Productos!AS$2:AS1001,"")*$G916,"")</f>
        <v/>
      </c>
      <c r="BA916" s="179" t="str">
        <f t="array" ref="BA916">IF($F916&lt;&gt;"",XLOOKUP($F916,Productos!$A:$A,Productos!AT:AT,"Revisar"),"")</f>
        <v/>
      </c>
      <c r="BB916" s="179" t="str">
        <f t="array" ref="BB916">IF($F916&lt;&gt;"", XLOOKUP($F916,Productos!$A$2:$A1001,Productos!AU$2:AU1001,"")*$G916,"")</f>
        <v/>
      </c>
      <c r="BC916" s="179" t="str">
        <f t="array" ref="BC916">IF($F916&lt;&gt;"",XLOOKUP($F916,Productos!$A:$A,Productos!AV:AV,"Revisar"),"")</f>
        <v/>
      </c>
      <c r="BD916" s="179" t="str">
        <f t="array" ref="BD916">IF($F916&lt;&gt;"", XLOOKUP($F916,Productos!$A$2:$A1001,Productos!AW$2:AW1001,"")*$G916,"")</f>
        <v/>
      </c>
      <c r="BE916" s="179" t="str">
        <f t="array" ref="BE916">IF($F916&lt;&gt;"",XLOOKUP($F916,Productos!$A:$A,Productos!AX:AX,"Revisar"),"")</f>
        <v/>
      </c>
      <c r="BF916" s="179" t="str">
        <f t="array" ref="BF916">IF($F916&lt;&gt;"", XLOOKUP($F916,Productos!$A$2:$A1001,Productos!AY$2:AY1001,"")*$G916,"")</f>
        <v/>
      </c>
      <c r="BG916" s="179" t="str">
        <f t="array" ref="BG916">IF($F916&lt;&gt;"",XLOOKUP($F916,Productos!$A:$A,Productos!AZ:AZ,"Revisar"),"")</f>
        <v/>
      </c>
      <c r="BH916" s="179" t="str">
        <f t="array" ref="BH916">IF($F916&lt;&gt;"", XLOOKUP($F916,Productos!$A$2:$A1001,Productos!BA$2:BA1001,"")*$G916,"")</f>
        <v/>
      </c>
      <c r="BI916" s="179" t="str">
        <f t="array" ref="BI916">IF($F916&lt;&gt;"",XLOOKUP($F916,Productos!$A:$A,Productos!BB:BB,"Revisar"),"")</f>
        <v/>
      </c>
      <c r="BJ916" s="179" t="str">
        <f t="array" ref="BJ916">IF($F916&lt;&gt;"", XLOOKUP($F916,Productos!$A$2:$A1001,Productos!BC$2:BC1001,"")*$G916,"")</f>
        <v/>
      </c>
      <c r="BK916" s="179" t="str">
        <f t="array" ref="BK916">IF($F916&lt;&gt;"",XLOOKUP($F916,Productos!$A:$A,Productos!BD:BD,"Revisar"),"")</f>
        <v/>
      </c>
      <c r="BL916" s="179" t="str">
        <f t="array" ref="BL916">IF($F916&lt;&gt;"", XLOOKUP($F916,Productos!$A$2:$A1001,Productos!BE$2:BE1001,"")*$G916,"")</f>
        <v/>
      </c>
      <c r="BM916" s="179" t="str">
        <f t="array" ref="BM916">IF($F916&lt;&gt;"",XLOOKUP($F916,Productos!$A:$A,Productos!BF:BF,"Revisar"),"")</f>
        <v/>
      </c>
      <c r="BN916" s="179" t="str">
        <f t="array" ref="BN916">IF($F916&lt;&gt;"", XLOOKUP($F916,Productos!$A$2:$A1001,Productos!BG$2:BG1001,"")*$G916,"")</f>
        <v/>
      </c>
      <c r="BO916" s="179" t="str">
        <f t="array" ref="BO916">IF($F916&lt;&gt;"",XLOOKUP($F916,Productos!$A:$A,Productos!BH:BH,"Revisar"),"")</f>
        <v/>
      </c>
      <c r="BP916" s="179" t="str">
        <f t="array" ref="BP916">IF($F916&lt;&gt;"", XLOOKUP($F916,Productos!$A$2:$A1001,Productos!BI$2:BI1001,"")*$G916,"")</f>
        <v/>
      </c>
      <c r="BQ916" s="179" t="str">
        <f t="array" ref="BQ916">IF($F916&lt;&gt;"",XLOOKUP($F916,Productos!$A:$A,Productos!BJ:BJ,"Revisar"),"")</f>
        <v/>
      </c>
      <c r="BR916" s="179" t="str">
        <f t="array" ref="BR916">IF($F916&lt;&gt;"", XLOOKUP($F916,Productos!$A$2:$A1001,Productos!BK$2:BK1001,"")*$G916,"")</f>
        <v/>
      </c>
      <c r="BS916" s="179" t="str">
        <f t="array" ref="BS916">IF($F916&lt;&gt;"",XLOOKUP($F916,Productos!$A:$A,Productos!BL:BL,"Revisar"),"")</f>
        <v/>
      </c>
      <c r="BT916" s="179" t="str">
        <f t="array" ref="BT916">IF($F916&lt;&gt;"", XLOOKUP($F916,Productos!$A$2:$A1001,Productos!BM$2:BM1001,"")*$G916,"")</f>
        <v/>
      </c>
      <c r="BU916" s="179" t="str">
        <f t="array" ref="BU916">IF($F916&lt;&gt;"",XLOOKUP($F916,Productos!$A:$A,Productos!BN:BN,"Revisar"),"")</f>
        <v/>
      </c>
      <c r="BV916" s="179" t="str">
        <f t="array" ref="BV916">IF($F916&lt;&gt;"", XLOOKUP($F916,Productos!$A$2:$A1001,Productos!BO$2:BO1001,"")*$G916,"")</f>
        <v/>
      </c>
      <c r="BW916" s="179" t="str">
        <f t="array" ref="BW916">IF($F916&lt;&gt;"",XLOOKUP($F916,Productos!$A:$A,Productos!BP:BP,"Revisar"),"")</f>
        <v/>
      </c>
      <c r="BX916" s="179" t="str">
        <f t="array" ref="BX916">IF($F916&lt;&gt;"", XLOOKUP($F916,Productos!$A$2:$A1001,Productos!BQ$2:BQ1001,"")*$G916,"")</f>
        <v/>
      </c>
      <c r="BY916" s="179" t="str">
        <f t="array" ref="BY916">IF($F916&lt;&gt;"",XLOOKUP($F916,Productos!$A:$A,Productos!BR:BR,"Revisar"),"")</f>
        <v/>
      </c>
      <c r="BZ916" s="179" t="str">
        <f t="array" ref="BZ916">IF($F916&lt;&gt;"", XLOOKUP($F916,Productos!$A$2:$A1001,Productos!BS$2:BS1001,"")*$G916,"")</f>
        <v/>
      </c>
    </row>
    <row r="917">
      <c r="A917" s="188"/>
      <c r="B917" s="189"/>
      <c r="C917" s="190"/>
      <c r="D917" s="190"/>
      <c r="E917" s="191"/>
      <c r="F917" s="186"/>
      <c r="G917" s="192"/>
      <c r="H917" s="9"/>
      <c r="I917" s="179" t="str">
        <f t="array" ref="I917">IF($F917&lt;&gt;"",XLOOKUP($F917,Productos!$A:$A,Productos!B:B,"Revisar"),"")</f>
        <v/>
      </c>
      <c r="J917" s="179" t="str">
        <f t="array" ref="J917">IF($F917&lt;&gt;"", XLOOKUP($F917,Productos!$A$2:$A1001,Productos!C$2:C1001,"")*$G917,"")</f>
        <v/>
      </c>
      <c r="K917" s="179" t="str">
        <f t="array" ref="K917">IF($F917&lt;&gt;"",XLOOKUP($F917,Productos!$A:$A,Productos!D:D,"Revisar"),"")</f>
        <v/>
      </c>
      <c r="L917" s="179" t="str">
        <f t="array" ref="L917">IF($F917&lt;&gt;"", XLOOKUP($F917,Productos!$A$2:$A1001,Productos!E$2:E1001,"")*$G917,"")</f>
        <v/>
      </c>
      <c r="M917" s="179" t="str">
        <f t="array" ref="M917">IF($F917&lt;&gt;"",XLOOKUP($F917,Productos!$A:$A,Productos!F:F,"Revisar"),"")</f>
        <v/>
      </c>
      <c r="N917" s="179" t="str">
        <f t="array" ref="N917">IF($F917&lt;&gt;"", XLOOKUP($F917,Productos!$A$2:$A1001,Productos!G$2:G1001,"")*$G917,"")</f>
        <v/>
      </c>
      <c r="O917" s="179" t="str">
        <f t="array" ref="O917">IF($F917&lt;&gt;"",XLOOKUP($F917,Productos!$A:$A,Productos!H:H,"Revisar"),"")</f>
        <v/>
      </c>
      <c r="P917" s="179" t="str">
        <f t="array" ref="P917">IF($F917&lt;&gt;"", XLOOKUP($F917,Productos!$A$2:$A1001,Productos!I$2:I1001,"")*$G917,"")</f>
        <v/>
      </c>
      <c r="Q917" s="179" t="str">
        <f t="array" ref="Q917">IF($F917&lt;&gt;"",XLOOKUP($F917,Productos!$A:$A,Productos!J:J,"Revisar"),"")</f>
        <v/>
      </c>
      <c r="R917" s="179" t="str">
        <f t="array" ref="R917">IF($F917&lt;&gt;"", XLOOKUP($F917,Productos!$A$2:$A1001,Productos!K$2:K1001,"")*$G917,"")</f>
        <v/>
      </c>
      <c r="S917" s="179" t="str">
        <f t="array" ref="S917">IF($F917&lt;&gt;"",XLOOKUP($F917,Productos!$A:$A,Productos!L:L,"Revisar"),"")</f>
        <v/>
      </c>
      <c r="T917" s="179" t="str">
        <f t="array" ref="T917">IF($F917&lt;&gt;"", XLOOKUP($F917,Productos!$A$2:$A1001,Productos!M$2:M1001,"")*$G917,"")</f>
        <v/>
      </c>
      <c r="U917" s="179" t="str">
        <f t="array" ref="U917">IF($F917&lt;&gt;"",XLOOKUP($F917,Productos!$A:$A,Productos!N:N,"Revisar"),"")</f>
        <v/>
      </c>
      <c r="V917" s="179" t="str">
        <f t="array" ref="V917">IF($F917&lt;&gt;"", XLOOKUP($F917,Productos!$A$2:$A1001,Productos!O$2:O1001,"")*$G917,"")</f>
        <v/>
      </c>
      <c r="W917" s="179" t="str">
        <f t="array" ref="W917">IF($F917&lt;&gt;"",XLOOKUP($F917,Productos!$A:$A,Productos!P:P,"Revisar"),"")</f>
        <v/>
      </c>
      <c r="X917" s="179" t="str">
        <f t="array" ref="X917">IF($F917&lt;&gt;"", XLOOKUP($F917,Productos!$A$2:$A1001,Productos!Q$2:Q1001,"")*$G917,"")</f>
        <v/>
      </c>
      <c r="Y917" s="179" t="str">
        <f t="array" ref="Y917">IF($F917&lt;&gt;"",XLOOKUP($F917,Productos!$A:$A,Productos!R:R,"Revisar"),"")</f>
        <v/>
      </c>
      <c r="Z917" s="179" t="str">
        <f t="array" ref="Z917">IF($F917&lt;&gt;"", XLOOKUP($F917,Productos!$A$2:$A1001,Productos!S$2:S1001,"")*$G917,"")</f>
        <v/>
      </c>
      <c r="AA917" s="179" t="str">
        <f t="array" ref="AA917">IF($F917&lt;&gt;"",XLOOKUP($F917,Productos!$A:$A,Productos!T:T,"Revisar"),"")</f>
        <v/>
      </c>
      <c r="AB917" s="179" t="str">
        <f t="array" ref="AB917">IF($F917&lt;&gt;"", XLOOKUP($F917,Productos!$A$2:$A1001,Productos!U$2:U1001,"")*$G917,"")</f>
        <v/>
      </c>
      <c r="AC917" s="179" t="str">
        <f t="array" ref="AC917">IF($F917&lt;&gt;"",XLOOKUP($F917,Productos!$A:$A,Productos!V:V,"Revisar"),"")</f>
        <v/>
      </c>
      <c r="AD917" s="179" t="str">
        <f t="array" ref="AD917">IF($F917&lt;&gt;"", XLOOKUP($F917,Productos!$A$2:$A1001,Productos!W$2:W1001,"")*$G917,"")</f>
        <v/>
      </c>
      <c r="AE917" s="179" t="str">
        <f t="array" ref="AE917">IF($F917&lt;&gt;"",XLOOKUP($F917,Productos!$A:$A,Productos!X:X,"Revisar"),"")</f>
        <v/>
      </c>
      <c r="AF917" s="179" t="str">
        <f t="array" ref="AF917">IF($F917&lt;&gt;"", XLOOKUP($F917,Productos!$A$2:$A1001,Productos!Y$2:Y1001,"")*$G917,"")</f>
        <v/>
      </c>
      <c r="AG917" s="179" t="str">
        <f t="array" ref="AG917">IF($F917&lt;&gt;"",XLOOKUP($F917,Productos!$A:$A,Productos!Z:Z,"Revisar"),"")</f>
        <v/>
      </c>
      <c r="AH917" s="179" t="str">
        <f t="array" ref="AH917">IF($F917&lt;&gt;"", XLOOKUP($F917,Productos!$A$2:$A1001,Productos!AA$2:AA1001,"")*$G917,"")</f>
        <v/>
      </c>
      <c r="AI917" s="179" t="str">
        <f t="array" ref="AI917">IF($F917&lt;&gt;"",XLOOKUP($F917,Productos!$A:$A,Productos!AB:AB,"Revisar"),"")</f>
        <v/>
      </c>
      <c r="AJ917" s="179" t="str">
        <f t="array" ref="AJ917">IF($F917&lt;&gt;"", XLOOKUP($F917,Productos!$A$2:$A1001,Productos!AC$2:AC1001,"")*$G917,"")</f>
        <v/>
      </c>
      <c r="AK917" s="179" t="str">
        <f t="array" ref="AK917">IF($F917&lt;&gt;"",XLOOKUP($F917,Productos!$A:$A,Productos!AD:AD,"Revisar"),"")</f>
        <v/>
      </c>
      <c r="AL917" s="179" t="str">
        <f t="array" ref="AL917">IF($F917&lt;&gt;"", XLOOKUP($F917,Productos!$A$2:$A1001,Productos!AE$2:AE1001,"")*$G917,"")</f>
        <v/>
      </c>
      <c r="AM917" s="179" t="str">
        <f t="array" ref="AM917">IF($F917&lt;&gt;"",XLOOKUP($F917,Productos!$A:$A,Productos!AF:AF,"Revisar"),"")</f>
        <v/>
      </c>
      <c r="AN917" s="179" t="str">
        <f t="array" ref="AN917">IF($F917&lt;&gt;"", XLOOKUP($F917,Productos!$A$2:$A1001,Productos!AG$2:AG1001,"")*$G917,"")</f>
        <v/>
      </c>
      <c r="AO917" s="179" t="str">
        <f t="array" ref="AO917">IF($F917&lt;&gt;"",XLOOKUP($F917,Productos!$A:$A,Productos!AH:AH,"Revisar"),"")</f>
        <v/>
      </c>
      <c r="AP917" s="179" t="str">
        <f t="array" ref="AP917">IF($F917&lt;&gt;"", XLOOKUP($F917,Productos!$A$2:$A1001,Productos!AI$2:AI1001,"")*$G917,"")</f>
        <v/>
      </c>
      <c r="AQ917" s="179" t="str">
        <f t="array" ref="AQ917">IF($F917&lt;&gt;"",XLOOKUP($F917,Productos!$A:$A,Productos!AJ:AJ,"Revisar"),"")</f>
        <v/>
      </c>
      <c r="AR917" s="179" t="str">
        <f t="array" ref="AR917">IF($F917&lt;&gt;"", XLOOKUP($F917,Productos!$A$2:$A1001,Productos!AK$2:AK1001,"")*$G917,"")</f>
        <v/>
      </c>
      <c r="AS917" s="179" t="str">
        <f t="array" ref="AS917">IF($F917&lt;&gt;"",XLOOKUP($F917,Productos!$A:$A,Productos!AL:AL,"Revisar"),"")</f>
        <v/>
      </c>
      <c r="AT917" s="179" t="str">
        <f t="array" ref="AT917">IF($F917&lt;&gt;"", XLOOKUP($F917,Productos!$A$2:$A1001,Productos!AM$2:AM1001,"")*$G917,"")</f>
        <v/>
      </c>
      <c r="AU917" s="179" t="str">
        <f t="array" ref="AU917">IF($F917&lt;&gt;"",XLOOKUP($F917,Productos!$A:$A,Productos!AN:AN,"Revisar"),"")</f>
        <v/>
      </c>
      <c r="AV917" s="179" t="str">
        <f t="array" ref="AV917">IF($F917&lt;&gt;"", XLOOKUP($F917,Productos!$A$2:$A1001,Productos!AO$2:AO1001,"")*$G917,"")</f>
        <v/>
      </c>
      <c r="AW917" s="179" t="str">
        <f t="array" ref="AW917">IF($F917&lt;&gt;"",XLOOKUP($F917,Productos!$A:$A,Productos!AP:AP,"Revisar"),"")</f>
        <v/>
      </c>
      <c r="AX917" s="179" t="str">
        <f t="array" ref="AX917">IF($F917&lt;&gt;"", XLOOKUP($F917,Productos!$A$2:$A1001,Productos!AQ$2:AQ1001,"")*$G917,"")</f>
        <v/>
      </c>
      <c r="AY917" s="179" t="str">
        <f t="array" ref="AY917">IF($F917&lt;&gt;"",XLOOKUP($F917,Productos!$A:$A,Productos!AR:AR,"Revisar"),"")</f>
        <v/>
      </c>
      <c r="AZ917" s="179" t="str">
        <f t="array" ref="AZ917">IF($F917&lt;&gt;"", XLOOKUP($F917,Productos!$A$2:$A1001,Productos!AS$2:AS1001,"")*$G917,"")</f>
        <v/>
      </c>
      <c r="BA917" s="179" t="str">
        <f t="array" ref="BA917">IF($F917&lt;&gt;"",XLOOKUP($F917,Productos!$A:$A,Productos!AT:AT,"Revisar"),"")</f>
        <v/>
      </c>
      <c r="BB917" s="179" t="str">
        <f t="array" ref="BB917">IF($F917&lt;&gt;"", XLOOKUP($F917,Productos!$A$2:$A1001,Productos!AU$2:AU1001,"")*$G917,"")</f>
        <v/>
      </c>
      <c r="BC917" s="179" t="str">
        <f t="array" ref="BC917">IF($F917&lt;&gt;"",XLOOKUP($F917,Productos!$A:$A,Productos!AV:AV,"Revisar"),"")</f>
        <v/>
      </c>
      <c r="BD917" s="179" t="str">
        <f t="array" ref="BD917">IF($F917&lt;&gt;"", XLOOKUP($F917,Productos!$A$2:$A1001,Productos!AW$2:AW1001,"")*$G917,"")</f>
        <v/>
      </c>
      <c r="BE917" s="179" t="str">
        <f t="array" ref="BE917">IF($F917&lt;&gt;"",XLOOKUP($F917,Productos!$A:$A,Productos!AX:AX,"Revisar"),"")</f>
        <v/>
      </c>
      <c r="BF917" s="179" t="str">
        <f t="array" ref="BF917">IF($F917&lt;&gt;"", XLOOKUP($F917,Productos!$A$2:$A1001,Productos!AY$2:AY1001,"")*$G917,"")</f>
        <v/>
      </c>
      <c r="BG917" s="179" t="str">
        <f t="array" ref="BG917">IF($F917&lt;&gt;"",XLOOKUP($F917,Productos!$A:$A,Productos!AZ:AZ,"Revisar"),"")</f>
        <v/>
      </c>
      <c r="BH917" s="179" t="str">
        <f t="array" ref="BH917">IF($F917&lt;&gt;"", XLOOKUP($F917,Productos!$A$2:$A1001,Productos!BA$2:BA1001,"")*$G917,"")</f>
        <v/>
      </c>
      <c r="BI917" s="179" t="str">
        <f t="array" ref="BI917">IF($F917&lt;&gt;"",XLOOKUP($F917,Productos!$A:$A,Productos!BB:BB,"Revisar"),"")</f>
        <v/>
      </c>
      <c r="BJ917" s="179" t="str">
        <f t="array" ref="BJ917">IF($F917&lt;&gt;"", XLOOKUP($F917,Productos!$A$2:$A1001,Productos!BC$2:BC1001,"")*$G917,"")</f>
        <v/>
      </c>
      <c r="BK917" s="179" t="str">
        <f t="array" ref="BK917">IF($F917&lt;&gt;"",XLOOKUP($F917,Productos!$A:$A,Productos!BD:BD,"Revisar"),"")</f>
        <v/>
      </c>
      <c r="BL917" s="179" t="str">
        <f t="array" ref="BL917">IF($F917&lt;&gt;"", XLOOKUP($F917,Productos!$A$2:$A1001,Productos!BE$2:BE1001,"")*$G917,"")</f>
        <v/>
      </c>
      <c r="BM917" s="179" t="str">
        <f t="array" ref="BM917">IF($F917&lt;&gt;"",XLOOKUP($F917,Productos!$A:$A,Productos!BF:BF,"Revisar"),"")</f>
        <v/>
      </c>
      <c r="BN917" s="179" t="str">
        <f t="array" ref="BN917">IF($F917&lt;&gt;"", XLOOKUP($F917,Productos!$A$2:$A1001,Productos!BG$2:BG1001,"")*$G917,"")</f>
        <v/>
      </c>
      <c r="BO917" s="179" t="str">
        <f t="array" ref="BO917">IF($F917&lt;&gt;"",XLOOKUP($F917,Productos!$A:$A,Productos!BH:BH,"Revisar"),"")</f>
        <v/>
      </c>
      <c r="BP917" s="179" t="str">
        <f t="array" ref="BP917">IF($F917&lt;&gt;"", XLOOKUP($F917,Productos!$A$2:$A1001,Productos!BI$2:BI1001,"")*$G917,"")</f>
        <v/>
      </c>
      <c r="BQ917" s="179" t="str">
        <f t="array" ref="BQ917">IF($F917&lt;&gt;"",XLOOKUP($F917,Productos!$A:$A,Productos!BJ:BJ,"Revisar"),"")</f>
        <v/>
      </c>
      <c r="BR917" s="179" t="str">
        <f t="array" ref="BR917">IF($F917&lt;&gt;"", XLOOKUP($F917,Productos!$A$2:$A1001,Productos!BK$2:BK1001,"")*$G917,"")</f>
        <v/>
      </c>
      <c r="BS917" s="179" t="str">
        <f t="array" ref="BS917">IF($F917&lt;&gt;"",XLOOKUP($F917,Productos!$A:$A,Productos!BL:BL,"Revisar"),"")</f>
        <v/>
      </c>
      <c r="BT917" s="179" t="str">
        <f t="array" ref="BT917">IF($F917&lt;&gt;"", XLOOKUP($F917,Productos!$A$2:$A1001,Productos!BM$2:BM1001,"")*$G917,"")</f>
        <v/>
      </c>
      <c r="BU917" s="179" t="str">
        <f t="array" ref="BU917">IF($F917&lt;&gt;"",XLOOKUP($F917,Productos!$A:$A,Productos!BN:BN,"Revisar"),"")</f>
        <v/>
      </c>
      <c r="BV917" s="179" t="str">
        <f t="array" ref="BV917">IF($F917&lt;&gt;"", XLOOKUP($F917,Productos!$A$2:$A1001,Productos!BO$2:BO1001,"")*$G917,"")</f>
        <v/>
      </c>
      <c r="BW917" s="179" t="str">
        <f t="array" ref="BW917">IF($F917&lt;&gt;"",XLOOKUP($F917,Productos!$A:$A,Productos!BP:BP,"Revisar"),"")</f>
        <v/>
      </c>
      <c r="BX917" s="179" t="str">
        <f t="array" ref="BX917">IF($F917&lt;&gt;"", XLOOKUP($F917,Productos!$A$2:$A1001,Productos!BQ$2:BQ1001,"")*$G917,"")</f>
        <v/>
      </c>
      <c r="BY917" s="179" t="str">
        <f t="array" ref="BY917">IF($F917&lt;&gt;"",XLOOKUP($F917,Productos!$A:$A,Productos!BR:BR,"Revisar"),"")</f>
        <v/>
      </c>
      <c r="BZ917" s="179" t="str">
        <f t="array" ref="BZ917">IF($F917&lt;&gt;"", XLOOKUP($F917,Productos!$A$2:$A1001,Productos!BS$2:BS1001,"")*$G917,"")</f>
        <v/>
      </c>
    </row>
    <row r="918">
      <c r="A918" s="188"/>
      <c r="B918" s="189"/>
      <c r="C918" s="190"/>
      <c r="D918" s="190"/>
      <c r="E918" s="191"/>
      <c r="F918" s="186"/>
      <c r="G918" s="192"/>
      <c r="H918" s="9"/>
      <c r="I918" s="179" t="str">
        <f t="array" ref="I918">IF($F918&lt;&gt;"",XLOOKUP($F918,Productos!$A:$A,Productos!B:B,"Revisar"),"")</f>
        <v/>
      </c>
      <c r="J918" s="179" t="str">
        <f t="array" ref="J918">IF($F918&lt;&gt;"", XLOOKUP($F918,Productos!$A$2:$A1001,Productos!C$2:C1001,"")*$G918,"")</f>
        <v/>
      </c>
      <c r="K918" s="179" t="str">
        <f t="array" ref="K918">IF($F918&lt;&gt;"",XLOOKUP($F918,Productos!$A:$A,Productos!D:D,"Revisar"),"")</f>
        <v/>
      </c>
      <c r="L918" s="179" t="str">
        <f t="array" ref="L918">IF($F918&lt;&gt;"", XLOOKUP($F918,Productos!$A$2:$A1001,Productos!E$2:E1001,"")*$G918,"")</f>
        <v/>
      </c>
      <c r="M918" s="179" t="str">
        <f t="array" ref="M918">IF($F918&lt;&gt;"",XLOOKUP($F918,Productos!$A:$A,Productos!F:F,"Revisar"),"")</f>
        <v/>
      </c>
      <c r="N918" s="179" t="str">
        <f t="array" ref="N918">IF($F918&lt;&gt;"", XLOOKUP($F918,Productos!$A$2:$A1001,Productos!G$2:G1001,"")*$G918,"")</f>
        <v/>
      </c>
      <c r="O918" s="179" t="str">
        <f t="array" ref="O918">IF($F918&lt;&gt;"",XLOOKUP($F918,Productos!$A:$A,Productos!H:H,"Revisar"),"")</f>
        <v/>
      </c>
      <c r="P918" s="179" t="str">
        <f t="array" ref="P918">IF($F918&lt;&gt;"", XLOOKUP($F918,Productos!$A$2:$A1001,Productos!I$2:I1001,"")*$G918,"")</f>
        <v/>
      </c>
      <c r="Q918" s="179" t="str">
        <f t="array" ref="Q918">IF($F918&lt;&gt;"",XLOOKUP($F918,Productos!$A:$A,Productos!J:J,"Revisar"),"")</f>
        <v/>
      </c>
      <c r="R918" s="179" t="str">
        <f t="array" ref="R918">IF($F918&lt;&gt;"", XLOOKUP($F918,Productos!$A$2:$A1001,Productos!K$2:K1001,"")*$G918,"")</f>
        <v/>
      </c>
      <c r="S918" s="179" t="str">
        <f t="array" ref="S918">IF($F918&lt;&gt;"",XLOOKUP($F918,Productos!$A:$A,Productos!L:L,"Revisar"),"")</f>
        <v/>
      </c>
      <c r="T918" s="179" t="str">
        <f t="array" ref="T918">IF($F918&lt;&gt;"", XLOOKUP($F918,Productos!$A$2:$A1001,Productos!M$2:M1001,"")*$G918,"")</f>
        <v/>
      </c>
      <c r="U918" s="179" t="str">
        <f t="array" ref="U918">IF($F918&lt;&gt;"",XLOOKUP($F918,Productos!$A:$A,Productos!N:N,"Revisar"),"")</f>
        <v/>
      </c>
      <c r="V918" s="179" t="str">
        <f t="array" ref="V918">IF($F918&lt;&gt;"", XLOOKUP($F918,Productos!$A$2:$A1001,Productos!O$2:O1001,"")*$G918,"")</f>
        <v/>
      </c>
      <c r="W918" s="179" t="str">
        <f t="array" ref="W918">IF($F918&lt;&gt;"",XLOOKUP($F918,Productos!$A:$A,Productos!P:P,"Revisar"),"")</f>
        <v/>
      </c>
      <c r="X918" s="179" t="str">
        <f t="array" ref="X918">IF($F918&lt;&gt;"", XLOOKUP($F918,Productos!$A$2:$A1001,Productos!Q$2:Q1001,"")*$G918,"")</f>
        <v/>
      </c>
      <c r="Y918" s="179" t="str">
        <f t="array" ref="Y918">IF($F918&lt;&gt;"",XLOOKUP($F918,Productos!$A:$A,Productos!R:R,"Revisar"),"")</f>
        <v/>
      </c>
      <c r="Z918" s="179" t="str">
        <f t="array" ref="Z918">IF($F918&lt;&gt;"", XLOOKUP($F918,Productos!$A$2:$A1001,Productos!S$2:S1001,"")*$G918,"")</f>
        <v/>
      </c>
      <c r="AA918" s="179" t="str">
        <f t="array" ref="AA918">IF($F918&lt;&gt;"",XLOOKUP($F918,Productos!$A:$A,Productos!T:T,"Revisar"),"")</f>
        <v/>
      </c>
      <c r="AB918" s="179" t="str">
        <f t="array" ref="AB918">IF($F918&lt;&gt;"", XLOOKUP($F918,Productos!$A$2:$A1001,Productos!U$2:U1001,"")*$G918,"")</f>
        <v/>
      </c>
      <c r="AC918" s="179" t="str">
        <f t="array" ref="AC918">IF($F918&lt;&gt;"",XLOOKUP($F918,Productos!$A:$A,Productos!V:V,"Revisar"),"")</f>
        <v/>
      </c>
      <c r="AD918" s="179" t="str">
        <f t="array" ref="AD918">IF($F918&lt;&gt;"", XLOOKUP($F918,Productos!$A$2:$A1001,Productos!W$2:W1001,"")*$G918,"")</f>
        <v/>
      </c>
      <c r="AE918" s="179" t="str">
        <f t="array" ref="AE918">IF($F918&lt;&gt;"",XLOOKUP($F918,Productos!$A:$A,Productos!X:X,"Revisar"),"")</f>
        <v/>
      </c>
      <c r="AF918" s="179" t="str">
        <f t="array" ref="AF918">IF($F918&lt;&gt;"", XLOOKUP($F918,Productos!$A$2:$A1001,Productos!Y$2:Y1001,"")*$G918,"")</f>
        <v/>
      </c>
      <c r="AG918" s="179" t="str">
        <f t="array" ref="AG918">IF($F918&lt;&gt;"",XLOOKUP($F918,Productos!$A:$A,Productos!Z:Z,"Revisar"),"")</f>
        <v/>
      </c>
      <c r="AH918" s="179" t="str">
        <f t="array" ref="AH918">IF($F918&lt;&gt;"", XLOOKUP($F918,Productos!$A$2:$A1001,Productos!AA$2:AA1001,"")*$G918,"")</f>
        <v/>
      </c>
      <c r="AI918" s="179" t="str">
        <f t="array" ref="AI918">IF($F918&lt;&gt;"",XLOOKUP($F918,Productos!$A:$A,Productos!AB:AB,"Revisar"),"")</f>
        <v/>
      </c>
      <c r="AJ918" s="179" t="str">
        <f t="array" ref="AJ918">IF($F918&lt;&gt;"", XLOOKUP($F918,Productos!$A$2:$A1001,Productos!AC$2:AC1001,"")*$G918,"")</f>
        <v/>
      </c>
      <c r="AK918" s="179" t="str">
        <f t="array" ref="AK918">IF($F918&lt;&gt;"",XLOOKUP($F918,Productos!$A:$A,Productos!AD:AD,"Revisar"),"")</f>
        <v/>
      </c>
      <c r="AL918" s="179" t="str">
        <f t="array" ref="AL918">IF($F918&lt;&gt;"", XLOOKUP($F918,Productos!$A$2:$A1001,Productos!AE$2:AE1001,"")*$G918,"")</f>
        <v/>
      </c>
      <c r="AM918" s="179" t="str">
        <f t="array" ref="AM918">IF($F918&lt;&gt;"",XLOOKUP($F918,Productos!$A:$A,Productos!AF:AF,"Revisar"),"")</f>
        <v/>
      </c>
      <c r="AN918" s="179" t="str">
        <f t="array" ref="AN918">IF($F918&lt;&gt;"", XLOOKUP($F918,Productos!$A$2:$A1001,Productos!AG$2:AG1001,"")*$G918,"")</f>
        <v/>
      </c>
      <c r="AO918" s="179" t="str">
        <f t="array" ref="AO918">IF($F918&lt;&gt;"",XLOOKUP($F918,Productos!$A:$A,Productos!AH:AH,"Revisar"),"")</f>
        <v/>
      </c>
      <c r="AP918" s="179" t="str">
        <f t="array" ref="AP918">IF($F918&lt;&gt;"", XLOOKUP($F918,Productos!$A$2:$A1001,Productos!AI$2:AI1001,"")*$G918,"")</f>
        <v/>
      </c>
      <c r="AQ918" s="179" t="str">
        <f t="array" ref="AQ918">IF($F918&lt;&gt;"",XLOOKUP($F918,Productos!$A:$A,Productos!AJ:AJ,"Revisar"),"")</f>
        <v/>
      </c>
      <c r="AR918" s="179" t="str">
        <f t="array" ref="AR918">IF($F918&lt;&gt;"", XLOOKUP($F918,Productos!$A$2:$A1001,Productos!AK$2:AK1001,"")*$G918,"")</f>
        <v/>
      </c>
      <c r="AS918" s="179" t="str">
        <f t="array" ref="AS918">IF($F918&lt;&gt;"",XLOOKUP($F918,Productos!$A:$A,Productos!AL:AL,"Revisar"),"")</f>
        <v/>
      </c>
      <c r="AT918" s="179" t="str">
        <f t="array" ref="AT918">IF($F918&lt;&gt;"", XLOOKUP($F918,Productos!$A$2:$A1001,Productos!AM$2:AM1001,"")*$G918,"")</f>
        <v/>
      </c>
      <c r="AU918" s="179" t="str">
        <f t="array" ref="AU918">IF($F918&lt;&gt;"",XLOOKUP($F918,Productos!$A:$A,Productos!AN:AN,"Revisar"),"")</f>
        <v/>
      </c>
      <c r="AV918" s="179" t="str">
        <f t="array" ref="AV918">IF($F918&lt;&gt;"", XLOOKUP($F918,Productos!$A$2:$A1001,Productos!AO$2:AO1001,"")*$G918,"")</f>
        <v/>
      </c>
      <c r="AW918" s="179" t="str">
        <f t="array" ref="AW918">IF($F918&lt;&gt;"",XLOOKUP($F918,Productos!$A:$A,Productos!AP:AP,"Revisar"),"")</f>
        <v/>
      </c>
      <c r="AX918" s="179" t="str">
        <f t="array" ref="AX918">IF($F918&lt;&gt;"", XLOOKUP($F918,Productos!$A$2:$A1001,Productos!AQ$2:AQ1001,"")*$G918,"")</f>
        <v/>
      </c>
      <c r="AY918" s="179" t="str">
        <f t="array" ref="AY918">IF($F918&lt;&gt;"",XLOOKUP($F918,Productos!$A:$A,Productos!AR:AR,"Revisar"),"")</f>
        <v/>
      </c>
      <c r="AZ918" s="179" t="str">
        <f t="array" ref="AZ918">IF($F918&lt;&gt;"", XLOOKUP($F918,Productos!$A$2:$A1001,Productos!AS$2:AS1001,"")*$G918,"")</f>
        <v/>
      </c>
      <c r="BA918" s="179" t="str">
        <f t="array" ref="BA918">IF($F918&lt;&gt;"",XLOOKUP($F918,Productos!$A:$A,Productos!AT:AT,"Revisar"),"")</f>
        <v/>
      </c>
      <c r="BB918" s="179" t="str">
        <f t="array" ref="BB918">IF($F918&lt;&gt;"", XLOOKUP($F918,Productos!$A$2:$A1001,Productos!AU$2:AU1001,"")*$G918,"")</f>
        <v/>
      </c>
      <c r="BC918" s="179" t="str">
        <f t="array" ref="BC918">IF($F918&lt;&gt;"",XLOOKUP($F918,Productos!$A:$A,Productos!AV:AV,"Revisar"),"")</f>
        <v/>
      </c>
      <c r="BD918" s="179" t="str">
        <f t="array" ref="BD918">IF($F918&lt;&gt;"", XLOOKUP($F918,Productos!$A$2:$A1001,Productos!AW$2:AW1001,"")*$G918,"")</f>
        <v/>
      </c>
      <c r="BE918" s="179" t="str">
        <f t="array" ref="BE918">IF($F918&lt;&gt;"",XLOOKUP($F918,Productos!$A:$A,Productos!AX:AX,"Revisar"),"")</f>
        <v/>
      </c>
      <c r="BF918" s="179" t="str">
        <f t="array" ref="BF918">IF($F918&lt;&gt;"", XLOOKUP($F918,Productos!$A$2:$A1001,Productos!AY$2:AY1001,"")*$G918,"")</f>
        <v/>
      </c>
      <c r="BG918" s="179" t="str">
        <f t="array" ref="BG918">IF($F918&lt;&gt;"",XLOOKUP($F918,Productos!$A:$A,Productos!AZ:AZ,"Revisar"),"")</f>
        <v/>
      </c>
      <c r="BH918" s="179" t="str">
        <f t="array" ref="BH918">IF($F918&lt;&gt;"", XLOOKUP($F918,Productos!$A$2:$A1001,Productos!BA$2:BA1001,"")*$G918,"")</f>
        <v/>
      </c>
      <c r="BI918" s="179" t="str">
        <f t="array" ref="BI918">IF($F918&lt;&gt;"",XLOOKUP($F918,Productos!$A:$A,Productos!BB:BB,"Revisar"),"")</f>
        <v/>
      </c>
      <c r="BJ918" s="179" t="str">
        <f t="array" ref="BJ918">IF($F918&lt;&gt;"", XLOOKUP($F918,Productos!$A$2:$A1001,Productos!BC$2:BC1001,"")*$G918,"")</f>
        <v/>
      </c>
      <c r="BK918" s="179" t="str">
        <f t="array" ref="BK918">IF($F918&lt;&gt;"",XLOOKUP($F918,Productos!$A:$A,Productos!BD:BD,"Revisar"),"")</f>
        <v/>
      </c>
      <c r="BL918" s="179" t="str">
        <f t="array" ref="BL918">IF($F918&lt;&gt;"", XLOOKUP($F918,Productos!$A$2:$A1001,Productos!BE$2:BE1001,"")*$G918,"")</f>
        <v/>
      </c>
      <c r="BM918" s="179" t="str">
        <f t="array" ref="BM918">IF($F918&lt;&gt;"",XLOOKUP($F918,Productos!$A:$A,Productos!BF:BF,"Revisar"),"")</f>
        <v/>
      </c>
      <c r="BN918" s="179" t="str">
        <f t="array" ref="BN918">IF($F918&lt;&gt;"", XLOOKUP($F918,Productos!$A$2:$A1001,Productos!BG$2:BG1001,"")*$G918,"")</f>
        <v/>
      </c>
      <c r="BO918" s="179" t="str">
        <f t="array" ref="BO918">IF($F918&lt;&gt;"",XLOOKUP($F918,Productos!$A:$A,Productos!BH:BH,"Revisar"),"")</f>
        <v/>
      </c>
      <c r="BP918" s="179" t="str">
        <f t="array" ref="BP918">IF($F918&lt;&gt;"", XLOOKUP($F918,Productos!$A$2:$A1001,Productos!BI$2:BI1001,"")*$G918,"")</f>
        <v/>
      </c>
      <c r="BQ918" s="179" t="str">
        <f t="array" ref="BQ918">IF($F918&lt;&gt;"",XLOOKUP($F918,Productos!$A:$A,Productos!BJ:BJ,"Revisar"),"")</f>
        <v/>
      </c>
      <c r="BR918" s="179" t="str">
        <f t="array" ref="BR918">IF($F918&lt;&gt;"", XLOOKUP($F918,Productos!$A$2:$A1001,Productos!BK$2:BK1001,"")*$G918,"")</f>
        <v/>
      </c>
      <c r="BS918" s="179" t="str">
        <f t="array" ref="BS918">IF($F918&lt;&gt;"",XLOOKUP($F918,Productos!$A:$A,Productos!BL:BL,"Revisar"),"")</f>
        <v/>
      </c>
      <c r="BT918" s="179" t="str">
        <f t="array" ref="BT918">IF($F918&lt;&gt;"", XLOOKUP($F918,Productos!$A$2:$A1001,Productos!BM$2:BM1001,"")*$G918,"")</f>
        <v/>
      </c>
      <c r="BU918" s="179" t="str">
        <f t="array" ref="BU918">IF($F918&lt;&gt;"",XLOOKUP($F918,Productos!$A:$A,Productos!BN:BN,"Revisar"),"")</f>
        <v/>
      </c>
      <c r="BV918" s="179" t="str">
        <f t="array" ref="BV918">IF($F918&lt;&gt;"", XLOOKUP($F918,Productos!$A$2:$A1001,Productos!BO$2:BO1001,"")*$G918,"")</f>
        <v/>
      </c>
      <c r="BW918" s="179" t="str">
        <f t="array" ref="BW918">IF($F918&lt;&gt;"",XLOOKUP($F918,Productos!$A:$A,Productos!BP:BP,"Revisar"),"")</f>
        <v/>
      </c>
      <c r="BX918" s="179" t="str">
        <f t="array" ref="BX918">IF($F918&lt;&gt;"", XLOOKUP($F918,Productos!$A$2:$A1001,Productos!BQ$2:BQ1001,"")*$G918,"")</f>
        <v/>
      </c>
      <c r="BY918" s="179" t="str">
        <f t="array" ref="BY918">IF($F918&lt;&gt;"",XLOOKUP($F918,Productos!$A:$A,Productos!BR:BR,"Revisar"),"")</f>
        <v/>
      </c>
      <c r="BZ918" s="179" t="str">
        <f t="array" ref="BZ918">IF($F918&lt;&gt;"", XLOOKUP($F918,Productos!$A$2:$A1001,Productos!BS$2:BS1001,"")*$G918,"")</f>
        <v/>
      </c>
    </row>
    <row r="919">
      <c r="A919" s="188"/>
      <c r="B919" s="189"/>
      <c r="C919" s="190"/>
      <c r="D919" s="190"/>
      <c r="E919" s="191"/>
      <c r="F919" s="186"/>
      <c r="G919" s="192"/>
      <c r="H919" s="9"/>
      <c r="I919" s="179" t="str">
        <f t="array" ref="I919">IF($F919&lt;&gt;"",XLOOKUP($F919,Productos!$A:$A,Productos!B:B,"Revisar"),"")</f>
        <v/>
      </c>
      <c r="J919" s="179" t="str">
        <f t="array" ref="J919">IF($F919&lt;&gt;"", XLOOKUP($F919,Productos!$A$2:$A1001,Productos!C$2:C1001,"")*$G919,"")</f>
        <v/>
      </c>
      <c r="K919" s="179" t="str">
        <f t="array" ref="K919">IF($F919&lt;&gt;"",XLOOKUP($F919,Productos!$A:$A,Productos!D:D,"Revisar"),"")</f>
        <v/>
      </c>
      <c r="L919" s="179" t="str">
        <f t="array" ref="L919">IF($F919&lt;&gt;"", XLOOKUP($F919,Productos!$A$2:$A1001,Productos!E$2:E1001,"")*$G919,"")</f>
        <v/>
      </c>
      <c r="M919" s="179" t="str">
        <f t="array" ref="M919">IF($F919&lt;&gt;"",XLOOKUP($F919,Productos!$A:$A,Productos!F:F,"Revisar"),"")</f>
        <v/>
      </c>
      <c r="N919" s="179" t="str">
        <f t="array" ref="N919">IF($F919&lt;&gt;"", XLOOKUP($F919,Productos!$A$2:$A1001,Productos!G$2:G1001,"")*$G919,"")</f>
        <v/>
      </c>
      <c r="O919" s="179" t="str">
        <f t="array" ref="O919">IF($F919&lt;&gt;"",XLOOKUP($F919,Productos!$A:$A,Productos!H:H,"Revisar"),"")</f>
        <v/>
      </c>
      <c r="P919" s="179" t="str">
        <f t="array" ref="P919">IF($F919&lt;&gt;"", XLOOKUP($F919,Productos!$A$2:$A1001,Productos!I$2:I1001,"")*$G919,"")</f>
        <v/>
      </c>
      <c r="Q919" s="179" t="str">
        <f t="array" ref="Q919">IF($F919&lt;&gt;"",XLOOKUP($F919,Productos!$A:$A,Productos!J:J,"Revisar"),"")</f>
        <v/>
      </c>
      <c r="R919" s="179" t="str">
        <f t="array" ref="R919">IF($F919&lt;&gt;"", XLOOKUP($F919,Productos!$A$2:$A1001,Productos!K$2:K1001,"")*$G919,"")</f>
        <v/>
      </c>
      <c r="S919" s="179" t="str">
        <f t="array" ref="S919">IF($F919&lt;&gt;"",XLOOKUP($F919,Productos!$A:$A,Productos!L:L,"Revisar"),"")</f>
        <v/>
      </c>
      <c r="T919" s="179" t="str">
        <f t="array" ref="T919">IF($F919&lt;&gt;"", XLOOKUP($F919,Productos!$A$2:$A1001,Productos!M$2:M1001,"")*$G919,"")</f>
        <v/>
      </c>
      <c r="U919" s="179" t="str">
        <f t="array" ref="U919">IF($F919&lt;&gt;"",XLOOKUP($F919,Productos!$A:$A,Productos!N:N,"Revisar"),"")</f>
        <v/>
      </c>
      <c r="V919" s="179" t="str">
        <f t="array" ref="V919">IF($F919&lt;&gt;"", XLOOKUP($F919,Productos!$A$2:$A1001,Productos!O$2:O1001,"")*$G919,"")</f>
        <v/>
      </c>
      <c r="W919" s="179" t="str">
        <f t="array" ref="W919">IF($F919&lt;&gt;"",XLOOKUP($F919,Productos!$A:$A,Productos!P:P,"Revisar"),"")</f>
        <v/>
      </c>
      <c r="X919" s="179" t="str">
        <f t="array" ref="X919">IF($F919&lt;&gt;"", XLOOKUP($F919,Productos!$A$2:$A1001,Productos!Q$2:Q1001,"")*$G919,"")</f>
        <v/>
      </c>
      <c r="Y919" s="179" t="str">
        <f t="array" ref="Y919">IF($F919&lt;&gt;"",XLOOKUP($F919,Productos!$A:$A,Productos!R:R,"Revisar"),"")</f>
        <v/>
      </c>
      <c r="Z919" s="179" t="str">
        <f t="array" ref="Z919">IF($F919&lt;&gt;"", XLOOKUP($F919,Productos!$A$2:$A1001,Productos!S$2:S1001,"")*$G919,"")</f>
        <v/>
      </c>
      <c r="AA919" s="179" t="str">
        <f t="array" ref="AA919">IF($F919&lt;&gt;"",XLOOKUP($F919,Productos!$A:$A,Productos!T:T,"Revisar"),"")</f>
        <v/>
      </c>
      <c r="AB919" s="179" t="str">
        <f t="array" ref="AB919">IF($F919&lt;&gt;"", XLOOKUP($F919,Productos!$A$2:$A1001,Productos!U$2:U1001,"")*$G919,"")</f>
        <v/>
      </c>
      <c r="AC919" s="179" t="str">
        <f t="array" ref="AC919">IF($F919&lt;&gt;"",XLOOKUP($F919,Productos!$A:$A,Productos!V:V,"Revisar"),"")</f>
        <v/>
      </c>
      <c r="AD919" s="179" t="str">
        <f t="array" ref="AD919">IF($F919&lt;&gt;"", XLOOKUP($F919,Productos!$A$2:$A1001,Productos!W$2:W1001,"")*$G919,"")</f>
        <v/>
      </c>
      <c r="AE919" s="179" t="str">
        <f t="array" ref="AE919">IF($F919&lt;&gt;"",XLOOKUP($F919,Productos!$A:$A,Productos!X:X,"Revisar"),"")</f>
        <v/>
      </c>
      <c r="AF919" s="179" t="str">
        <f t="array" ref="AF919">IF($F919&lt;&gt;"", XLOOKUP($F919,Productos!$A$2:$A1001,Productos!Y$2:Y1001,"")*$G919,"")</f>
        <v/>
      </c>
      <c r="AG919" s="179" t="str">
        <f t="array" ref="AG919">IF($F919&lt;&gt;"",XLOOKUP($F919,Productos!$A:$A,Productos!Z:Z,"Revisar"),"")</f>
        <v/>
      </c>
      <c r="AH919" s="179" t="str">
        <f t="array" ref="AH919">IF($F919&lt;&gt;"", XLOOKUP($F919,Productos!$A$2:$A1001,Productos!AA$2:AA1001,"")*$G919,"")</f>
        <v/>
      </c>
      <c r="AI919" s="179" t="str">
        <f t="array" ref="AI919">IF($F919&lt;&gt;"",XLOOKUP($F919,Productos!$A:$A,Productos!AB:AB,"Revisar"),"")</f>
        <v/>
      </c>
      <c r="AJ919" s="179" t="str">
        <f t="array" ref="AJ919">IF($F919&lt;&gt;"", XLOOKUP($F919,Productos!$A$2:$A1001,Productos!AC$2:AC1001,"")*$G919,"")</f>
        <v/>
      </c>
      <c r="AK919" s="179" t="str">
        <f t="array" ref="AK919">IF($F919&lt;&gt;"",XLOOKUP($F919,Productos!$A:$A,Productos!AD:AD,"Revisar"),"")</f>
        <v/>
      </c>
      <c r="AL919" s="179" t="str">
        <f t="array" ref="AL919">IF($F919&lt;&gt;"", XLOOKUP($F919,Productos!$A$2:$A1001,Productos!AE$2:AE1001,"")*$G919,"")</f>
        <v/>
      </c>
      <c r="AM919" s="179" t="str">
        <f t="array" ref="AM919">IF($F919&lt;&gt;"",XLOOKUP($F919,Productos!$A:$A,Productos!AF:AF,"Revisar"),"")</f>
        <v/>
      </c>
      <c r="AN919" s="179" t="str">
        <f t="array" ref="AN919">IF($F919&lt;&gt;"", XLOOKUP($F919,Productos!$A$2:$A1001,Productos!AG$2:AG1001,"")*$G919,"")</f>
        <v/>
      </c>
      <c r="AO919" s="179" t="str">
        <f t="array" ref="AO919">IF($F919&lt;&gt;"",XLOOKUP($F919,Productos!$A:$A,Productos!AH:AH,"Revisar"),"")</f>
        <v/>
      </c>
      <c r="AP919" s="179" t="str">
        <f t="array" ref="AP919">IF($F919&lt;&gt;"", XLOOKUP($F919,Productos!$A$2:$A1001,Productos!AI$2:AI1001,"")*$G919,"")</f>
        <v/>
      </c>
      <c r="AQ919" s="179" t="str">
        <f t="array" ref="AQ919">IF($F919&lt;&gt;"",XLOOKUP($F919,Productos!$A:$A,Productos!AJ:AJ,"Revisar"),"")</f>
        <v/>
      </c>
      <c r="AR919" s="179" t="str">
        <f t="array" ref="AR919">IF($F919&lt;&gt;"", XLOOKUP($F919,Productos!$A$2:$A1001,Productos!AK$2:AK1001,"")*$G919,"")</f>
        <v/>
      </c>
      <c r="AS919" s="179" t="str">
        <f t="array" ref="AS919">IF($F919&lt;&gt;"",XLOOKUP($F919,Productos!$A:$A,Productos!AL:AL,"Revisar"),"")</f>
        <v/>
      </c>
      <c r="AT919" s="179" t="str">
        <f t="array" ref="AT919">IF($F919&lt;&gt;"", XLOOKUP($F919,Productos!$A$2:$A1001,Productos!AM$2:AM1001,"")*$G919,"")</f>
        <v/>
      </c>
      <c r="AU919" s="179" t="str">
        <f t="array" ref="AU919">IF($F919&lt;&gt;"",XLOOKUP($F919,Productos!$A:$A,Productos!AN:AN,"Revisar"),"")</f>
        <v/>
      </c>
      <c r="AV919" s="179" t="str">
        <f t="array" ref="AV919">IF($F919&lt;&gt;"", XLOOKUP($F919,Productos!$A$2:$A1001,Productos!AO$2:AO1001,"")*$G919,"")</f>
        <v/>
      </c>
      <c r="AW919" s="179" t="str">
        <f t="array" ref="AW919">IF($F919&lt;&gt;"",XLOOKUP($F919,Productos!$A:$A,Productos!AP:AP,"Revisar"),"")</f>
        <v/>
      </c>
      <c r="AX919" s="179" t="str">
        <f t="array" ref="AX919">IF($F919&lt;&gt;"", XLOOKUP($F919,Productos!$A$2:$A1001,Productos!AQ$2:AQ1001,"")*$G919,"")</f>
        <v/>
      </c>
      <c r="AY919" s="179" t="str">
        <f t="array" ref="AY919">IF($F919&lt;&gt;"",XLOOKUP($F919,Productos!$A:$A,Productos!AR:AR,"Revisar"),"")</f>
        <v/>
      </c>
      <c r="AZ919" s="179" t="str">
        <f t="array" ref="AZ919">IF($F919&lt;&gt;"", XLOOKUP($F919,Productos!$A$2:$A1001,Productos!AS$2:AS1001,"")*$G919,"")</f>
        <v/>
      </c>
      <c r="BA919" s="179" t="str">
        <f t="array" ref="BA919">IF($F919&lt;&gt;"",XLOOKUP($F919,Productos!$A:$A,Productos!AT:AT,"Revisar"),"")</f>
        <v/>
      </c>
      <c r="BB919" s="179" t="str">
        <f t="array" ref="BB919">IF($F919&lt;&gt;"", XLOOKUP($F919,Productos!$A$2:$A1001,Productos!AU$2:AU1001,"")*$G919,"")</f>
        <v/>
      </c>
      <c r="BC919" s="179" t="str">
        <f t="array" ref="BC919">IF($F919&lt;&gt;"",XLOOKUP($F919,Productos!$A:$A,Productos!AV:AV,"Revisar"),"")</f>
        <v/>
      </c>
      <c r="BD919" s="179" t="str">
        <f t="array" ref="BD919">IF($F919&lt;&gt;"", XLOOKUP($F919,Productos!$A$2:$A1001,Productos!AW$2:AW1001,"")*$G919,"")</f>
        <v/>
      </c>
      <c r="BE919" s="179" t="str">
        <f t="array" ref="BE919">IF($F919&lt;&gt;"",XLOOKUP($F919,Productos!$A:$A,Productos!AX:AX,"Revisar"),"")</f>
        <v/>
      </c>
      <c r="BF919" s="179" t="str">
        <f t="array" ref="BF919">IF($F919&lt;&gt;"", XLOOKUP($F919,Productos!$A$2:$A1001,Productos!AY$2:AY1001,"")*$G919,"")</f>
        <v/>
      </c>
      <c r="BG919" s="179" t="str">
        <f t="array" ref="BG919">IF($F919&lt;&gt;"",XLOOKUP($F919,Productos!$A:$A,Productos!AZ:AZ,"Revisar"),"")</f>
        <v/>
      </c>
      <c r="BH919" s="179" t="str">
        <f t="array" ref="BH919">IF($F919&lt;&gt;"", XLOOKUP($F919,Productos!$A$2:$A1001,Productos!BA$2:BA1001,"")*$G919,"")</f>
        <v/>
      </c>
      <c r="BI919" s="179" t="str">
        <f t="array" ref="BI919">IF($F919&lt;&gt;"",XLOOKUP($F919,Productos!$A:$A,Productos!BB:BB,"Revisar"),"")</f>
        <v/>
      </c>
      <c r="BJ919" s="179" t="str">
        <f t="array" ref="BJ919">IF($F919&lt;&gt;"", XLOOKUP($F919,Productos!$A$2:$A1001,Productos!BC$2:BC1001,"")*$G919,"")</f>
        <v/>
      </c>
      <c r="BK919" s="179" t="str">
        <f t="array" ref="BK919">IF($F919&lt;&gt;"",XLOOKUP($F919,Productos!$A:$A,Productos!BD:BD,"Revisar"),"")</f>
        <v/>
      </c>
      <c r="BL919" s="179" t="str">
        <f t="array" ref="BL919">IF($F919&lt;&gt;"", XLOOKUP($F919,Productos!$A$2:$A1001,Productos!BE$2:BE1001,"")*$G919,"")</f>
        <v/>
      </c>
      <c r="BM919" s="179" t="str">
        <f t="array" ref="BM919">IF($F919&lt;&gt;"",XLOOKUP($F919,Productos!$A:$A,Productos!BF:BF,"Revisar"),"")</f>
        <v/>
      </c>
      <c r="BN919" s="179" t="str">
        <f t="array" ref="BN919">IF($F919&lt;&gt;"", XLOOKUP($F919,Productos!$A$2:$A1001,Productos!BG$2:BG1001,"")*$G919,"")</f>
        <v/>
      </c>
      <c r="BO919" s="179" t="str">
        <f t="array" ref="BO919">IF($F919&lt;&gt;"",XLOOKUP($F919,Productos!$A:$A,Productos!BH:BH,"Revisar"),"")</f>
        <v/>
      </c>
      <c r="BP919" s="179" t="str">
        <f t="array" ref="BP919">IF($F919&lt;&gt;"", XLOOKUP($F919,Productos!$A$2:$A1001,Productos!BI$2:BI1001,"")*$G919,"")</f>
        <v/>
      </c>
      <c r="BQ919" s="179" t="str">
        <f t="array" ref="BQ919">IF($F919&lt;&gt;"",XLOOKUP($F919,Productos!$A:$A,Productos!BJ:BJ,"Revisar"),"")</f>
        <v/>
      </c>
      <c r="BR919" s="179" t="str">
        <f t="array" ref="BR919">IF($F919&lt;&gt;"", XLOOKUP($F919,Productos!$A$2:$A1001,Productos!BK$2:BK1001,"")*$G919,"")</f>
        <v/>
      </c>
      <c r="BS919" s="179" t="str">
        <f t="array" ref="BS919">IF($F919&lt;&gt;"",XLOOKUP($F919,Productos!$A:$A,Productos!BL:BL,"Revisar"),"")</f>
        <v/>
      </c>
      <c r="BT919" s="179" t="str">
        <f t="array" ref="BT919">IF($F919&lt;&gt;"", XLOOKUP($F919,Productos!$A$2:$A1001,Productos!BM$2:BM1001,"")*$G919,"")</f>
        <v/>
      </c>
      <c r="BU919" s="179" t="str">
        <f t="array" ref="BU919">IF($F919&lt;&gt;"",XLOOKUP($F919,Productos!$A:$A,Productos!BN:BN,"Revisar"),"")</f>
        <v/>
      </c>
      <c r="BV919" s="179" t="str">
        <f t="array" ref="BV919">IF($F919&lt;&gt;"", XLOOKUP($F919,Productos!$A$2:$A1001,Productos!BO$2:BO1001,"")*$G919,"")</f>
        <v/>
      </c>
      <c r="BW919" s="179" t="str">
        <f t="array" ref="BW919">IF($F919&lt;&gt;"",XLOOKUP($F919,Productos!$A:$A,Productos!BP:BP,"Revisar"),"")</f>
        <v/>
      </c>
      <c r="BX919" s="179" t="str">
        <f t="array" ref="BX919">IF($F919&lt;&gt;"", XLOOKUP($F919,Productos!$A$2:$A1001,Productos!BQ$2:BQ1001,"")*$G919,"")</f>
        <v/>
      </c>
      <c r="BY919" s="179" t="str">
        <f t="array" ref="BY919">IF($F919&lt;&gt;"",XLOOKUP($F919,Productos!$A:$A,Productos!BR:BR,"Revisar"),"")</f>
        <v/>
      </c>
      <c r="BZ919" s="179" t="str">
        <f t="array" ref="BZ919">IF($F919&lt;&gt;"", XLOOKUP($F919,Productos!$A$2:$A1001,Productos!BS$2:BS1001,"")*$G919,"")</f>
        <v/>
      </c>
    </row>
    <row r="920">
      <c r="A920" s="188"/>
      <c r="B920" s="189"/>
      <c r="C920" s="190"/>
      <c r="D920" s="190"/>
      <c r="E920" s="191"/>
      <c r="F920" s="186"/>
      <c r="G920" s="192"/>
      <c r="H920" s="9"/>
      <c r="I920" s="179" t="str">
        <f t="array" ref="I920">IF($F920&lt;&gt;"",XLOOKUP($F920,Productos!$A:$A,Productos!B:B,"Revisar"),"")</f>
        <v/>
      </c>
      <c r="J920" s="179" t="str">
        <f t="array" ref="J920">IF($F920&lt;&gt;"", XLOOKUP($F920,Productos!$A$2:$A1001,Productos!C$2:C1001,"")*$G920,"")</f>
        <v/>
      </c>
      <c r="K920" s="179" t="str">
        <f t="array" ref="K920">IF($F920&lt;&gt;"",XLOOKUP($F920,Productos!$A:$A,Productos!D:D,"Revisar"),"")</f>
        <v/>
      </c>
      <c r="L920" s="179" t="str">
        <f t="array" ref="L920">IF($F920&lt;&gt;"", XLOOKUP($F920,Productos!$A$2:$A1001,Productos!E$2:E1001,"")*$G920,"")</f>
        <v/>
      </c>
      <c r="M920" s="179" t="str">
        <f t="array" ref="M920">IF($F920&lt;&gt;"",XLOOKUP($F920,Productos!$A:$A,Productos!F:F,"Revisar"),"")</f>
        <v/>
      </c>
      <c r="N920" s="179" t="str">
        <f t="array" ref="N920">IF($F920&lt;&gt;"", XLOOKUP($F920,Productos!$A$2:$A1001,Productos!G$2:G1001,"")*$G920,"")</f>
        <v/>
      </c>
      <c r="O920" s="179" t="str">
        <f t="array" ref="O920">IF($F920&lt;&gt;"",XLOOKUP($F920,Productos!$A:$A,Productos!H:H,"Revisar"),"")</f>
        <v/>
      </c>
      <c r="P920" s="179" t="str">
        <f t="array" ref="P920">IF($F920&lt;&gt;"", XLOOKUP($F920,Productos!$A$2:$A1001,Productos!I$2:I1001,"")*$G920,"")</f>
        <v/>
      </c>
      <c r="Q920" s="179" t="str">
        <f t="array" ref="Q920">IF($F920&lt;&gt;"",XLOOKUP($F920,Productos!$A:$A,Productos!J:J,"Revisar"),"")</f>
        <v/>
      </c>
      <c r="R920" s="179" t="str">
        <f t="array" ref="R920">IF($F920&lt;&gt;"", XLOOKUP($F920,Productos!$A$2:$A1001,Productos!K$2:K1001,"")*$G920,"")</f>
        <v/>
      </c>
      <c r="S920" s="179" t="str">
        <f t="array" ref="S920">IF($F920&lt;&gt;"",XLOOKUP($F920,Productos!$A:$A,Productos!L:L,"Revisar"),"")</f>
        <v/>
      </c>
      <c r="T920" s="179" t="str">
        <f t="array" ref="T920">IF($F920&lt;&gt;"", XLOOKUP($F920,Productos!$A$2:$A1001,Productos!M$2:M1001,"")*$G920,"")</f>
        <v/>
      </c>
      <c r="U920" s="179" t="str">
        <f t="array" ref="U920">IF($F920&lt;&gt;"",XLOOKUP($F920,Productos!$A:$A,Productos!N:N,"Revisar"),"")</f>
        <v/>
      </c>
      <c r="V920" s="179" t="str">
        <f t="array" ref="V920">IF($F920&lt;&gt;"", XLOOKUP($F920,Productos!$A$2:$A1001,Productos!O$2:O1001,"")*$G920,"")</f>
        <v/>
      </c>
      <c r="W920" s="179" t="str">
        <f t="array" ref="W920">IF($F920&lt;&gt;"",XLOOKUP($F920,Productos!$A:$A,Productos!P:P,"Revisar"),"")</f>
        <v/>
      </c>
      <c r="X920" s="179" t="str">
        <f t="array" ref="X920">IF($F920&lt;&gt;"", XLOOKUP($F920,Productos!$A$2:$A1001,Productos!Q$2:Q1001,"")*$G920,"")</f>
        <v/>
      </c>
      <c r="Y920" s="179" t="str">
        <f t="array" ref="Y920">IF($F920&lt;&gt;"",XLOOKUP($F920,Productos!$A:$A,Productos!R:R,"Revisar"),"")</f>
        <v/>
      </c>
      <c r="Z920" s="179" t="str">
        <f t="array" ref="Z920">IF($F920&lt;&gt;"", XLOOKUP($F920,Productos!$A$2:$A1001,Productos!S$2:S1001,"")*$G920,"")</f>
        <v/>
      </c>
      <c r="AA920" s="179" t="str">
        <f t="array" ref="AA920">IF($F920&lt;&gt;"",XLOOKUP($F920,Productos!$A:$A,Productos!T:T,"Revisar"),"")</f>
        <v/>
      </c>
      <c r="AB920" s="179" t="str">
        <f t="array" ref="AB920">IF($F920&lt;&gt;"", XLOOKUP($F920,Productos!$A$2:$A1001,Productos!U$2:U1001,"")*$G920,"")</f>
        <v/>
      </c>
      <c r="AC920" s="179" t="str">
        <f t="array" ref="AC920">IF($F920&lt;&gt;"",XLOOKUP($F920,Productos!$A:$A,Productos!V:V,"Revisar"),"")</f>
        <v/>
      </c>
      <c r="AD920" s="179" t="str">
        <f t="array" ref="AD920">IF($F920&lt;&gt;"", XLOOKUP($F920,Productos!$A$2:$A1001,Productos!W$2:W1001,"")*$G920,"")</f>
        <v/>
      </c>
      <c r="AE920" s="179" t="str">
        <f t="array" ref="AE920">IF($F920&lt;&gt;"",XLOOKUP($F920,Productos!$A:$A,Productos!X:X,"Revisar"),"")</f>
        <v/>
      </c>
      <c r="AF920" s="179" t="str">
        <f t="array" ref="AF920">IF($F920&lt;&gt;"", XLOOKUP($F920,Productos!$A$2:$A1001,Productos!Y$2:Y1001,"")*$G920,"")</f>
        <v/>
      </c>
      <c r="AG920" s="179" t="str">
        <f t="array" ref="AG920">IF($F920&lt;&gt;"",XLOOKUP($F920,Productos!$A:$A,Productos!Z:Z,"Revisar"),"")</f>
        <v/>
      </c>
      <c r="AH920" s="179" t="str">
        <f t="array" ref="AH920">IF($F920&lt;&gt;"", XLOOKUP($F920,Productos!$A$2:$A1001,Productos!AA$2:AA1001,"")*$G920,"")</f>
        <v/>
      </c>
      <c r="AI920" s="179" t="str">
        <f t="array" ref="AI920">IF($F920&lt;&gt;"",XLOOKUP($F920,Productos!$A:$A,Productos!AB:AB,"Revisar"),"")</f>
        <v/>
      </c>
      <c r="AJ920" s="179" t="str">
        <f t="array" ref="AJ920">IF($F920&lt;&gt;"", XLOOKUP($F920,Productos!$A$2:$A1001,Productos!AC$2:AC1001,"")*$G920,"")</f>
        <v/>
      </c>
      <c r="AK920" s="179" t="str">
        <f t="array" ref="AK920">IF($F920&lt;&gt;"",XLOOKUP($F920,Productos!$A:$A,Productos!AD:AD,"Revisar"),"")</f>
        <v/>
      </c>
      <c r="AL920" s="179" t="str">
        <f t="array" ref="AL920">IF($F920&lt;&gt;"", XLOOKUP($F920,Productos!$A$2:$A1001,Productos!AE$2:AE1001,"")*$G920,"")</f>
        <v/>
      </c>
      <c r="AM920" s="179" t="str">
        <f t="array" ref="AM920">IF($F920&lt;&gt;"",XLOOKUP($F920,Productos!$A:$A,Productos!AF:AF,"Revisar"),"")</f>
        <v/>
      </c>
      <c r="AN920" s="179" t="str">
        <f t="array" ref="AN920">IF($F920&lt;&gt;"", XLOOKUP($F920,Productos!$A$2:$A1001,Productos!AG$2:AG1001,"")*$G920,"")</f>
        <v/>
      </c>
      <c r="AO920" s="179" t="str">
        <f t="array" ref="AO920">IF($F920&lt;&gt;"",XLOOKUP($F920,Productos!$A:$A,Productos!AH:AH,"Revisar"),"")</f>
        <v/>
      </c>
      <c r="AP920" s="179" t="str">
        <f t="array" ref="AP920">IF($F920&lt;&gt;"", XLOOKUP($F920,Productos!$A$2:$A1001,Productos!AI$2:AI1001,"")*$G920,"")</f>
        <v/>
      </c>
      <c r="AQ920" s="179" t="str">
        <f t="array" ref="AQ920">IF($F920&lt;&gt;"",XLOOKUP($F920,Productos!$A:$A,Productos!AJ:AJ,"Revisar"),"")</f>
        <v/>
      </c>
      <c r="AR920" s="179" t="str">
        <f t="array" ref="AR920">IF($F920&lt;&gt;"", XLOOKUP($F920,Productos!$A$2:$A1001,Productos!AK$2:AK1001,"")*$G920,"")</f>
        <v/>
      </c>
      <c r="AS920" s="179" t="str">
        <f t="array" ref="AS920">IF($F920&lt;&gt;"",XLOOKUP($F920,Productos!$A:$A,Productos!AL:AL,"Revisar"),"")</f>
        <v/>
      </c>
      <c r="AT920" s="179" t="str">
        <f t="array" ref="AT920">IF($F920&lt;&gt;"", XLOOKUP($F920,Productos!$A$2:$A1001,Productos!AM$2:AM1001,"")*$G920,"")</f>
        <v/>
      </c>
      <c r="AU920" s="179" t="str">
        <f t="array" ref="AU920">IF($F920&lt;&gt;"",XLOOKUP($F920,Productos!$A:$A,Productos!AN:AN,"Revisar"),"")</f>
        <v/>
      </c>
      <c r="AV920" s="179" t="str">
        <f t="array" ref="AV920">IF($F920&lt;&gt;"", XLOOKUP($F920,Productos!$A$2:$A1001,Productos!AO$2:AO1001,"")*$G920,"")</f>
        <v/>
      </c>
      <c r="AW920" s="179" t="str">
        <f t="array" ref="AW920">IF($F920&lt;&gt;"",XLOOKUP($F920,Productos!$A:$A,Productos!AP:AP,"Revisar"),"")</f>
        <v/>
      </c>
      <c r="AX920" s="179" t="str">
        <f t="array" ref="AX920">IF($F920&lt;&gt;"", XLOOKUP($F920,Productos!$A$2:$A1001,Productos!AQ$2:AQ1001,"")*$G920,"")</f>
        <v/>
      </c>
      <c r="AY920" s="179" t="str">
        <f t="array" ref="AY920">IF($F920&lt;&gt;"",XLOOKUP($F920,Productos!$A:$A,Productos!AR:AR,"Revisar"),"")</f>
        <v/>
      </c>
      <c r="AZ920" s="179" t="str">
        <f t="array" ref="AZ920">IF($F920&lt;&gt;"", XLOOKUP($F920,Productos!$A$2:$A1001,Productos!AS$2:AS1001,"")*$G920,"")</f>
        <v/>
      </c>
      <c r="BA920" s="179" t="str">
        <f t="array" ref="BA920">IF($F920&lt;&gt;"",XLOOKUP($F920,Productos!$A:$A,Productos!AT:AT,"Revisar"),"")</f>
        <v/>
      </c>
      <c r="BB920" s="179" t="str">
        <f t="array" ref="BB920">IF($F920&lt;&gt;"", XLOOKUP($F920,Productos!$A$2:$A1001,Productos!AU$2:AU1001,"")*$G920,"")</f>
        <v/>
      </c>
      <c r="BC920" s="179" t="str">
        <f t="array" ref="BC920">IF($F920&lt;&gt;"",XLOOKUP($F920,Productos!$A:$A,Productos!AV:AV,"Revisar"),"")</f>
        <v/>
      </c>
      <c r="BD920" s="179" t="str">
        <f t="array" ref="BD920">IF($F920&lt;&gt;"", XLOOKUP($F920,Productos!$A$2:$A1001,Productos!AW$2:AW1001,"")*$G920,"")</f>
        <v/>
      </c>
      <c r="BE920" s="179" t="str">
        <f t="array" ref="BE920">IF($F920&lt;&gt;"",XLOOKUP($F920,Productos!$A:$A,Productos!AX:AX,"Revisar"),"")</f>
        <v/>
      </c>
      <c r="BF920" s="179" t="str">
        <f t="array" ref="BF920">IF($F920&lt;&gt;"", XLOOKUP($F920,Productos!$A$2:$A1001,Productos!AY$2:AY1001,"")*$G920,"")</f>
        <v/>
      </c>
      <c r="BG920" s="179" t="str">
        <f t="array" ref="BG920">IF($F920&lt;&gt;"",XLOOKUP($F920,Productos!$A:$A,Productos!AZ:AZ,"Revisar"),"")</f>
        <v/>
      </c>
      <c r="BH920" s="179" t="str">
        <f t="array" ref="BH920">IF($F920&lt;&gt;"", XLOOKUP($F920,Productos!$A$2:$A1001,Productos!BA$2:BA1001,"")*$G920,"")</f>
        <v/>
      </c>
      <c r="BI920" s="179" t="str">
        <f t="array" ref="BI920">IF($F920&lt;&gt;"",XLOOKUP($F920,Productos!$A:$A,Productos!BB:BB,"Revisar"),"")</f>
        <v/>
      </c>
      <c r="BJ920" s="179" t="str">
        <f t="array" ref="BJ920">IF($F920&lt;&gt;"", XLOOKUP($F920,Productos!$A$2:$A1001,Productos!BC$2:BC1001,"")*$G920,"")</f>
        <v/>
      </c>
      <c r="BK920" s="179" t="str">
        <f t="array" ref="BK920">IF($F920&lt;&gt;"",XLOOKUP($F920,Productos!$A:$A,Productos!BD:BD,"Revisar"),"")</f>
        <v/>
      </c>
      <c r="BL920" s="179" t="str">
        <f t="array" ref="BL920">IF($F920&lt;&gt;"", XLOOKUP($F920,Productos!$A$2:$A1001,Productos!BE$2:BE1001,"")*$G920,"")</f>
        <v/>
      </c>
      <c r="BM920" s="179" t="str">
        <f t="array" ref="BM920">IF($F920&lt;&gt;"",XLOOKUP($F920,Productos!$A:$A,Productos!BF:BF,"Revisar"),"")</f>
        <v/>
      </c>
      <c r="BN920" s="179" t="str">
        <f t="array" ref="BN920">IF($F920&lt;&gt;"", XLOOKUP($F920,Productos!$A$2:$A1001,Productos!BG$2:BG1001,"")*$G920,"")</f>
        <v/>
      </c>
      <c r="BO920" s="179" t="str">
        <f t="array" ref="BO920">IF($F920&lt;&gt;"",XLOOKUP($F920,Productos!$A:$A,Productos!BH:BH,"Revisar"),"")</f>
        <v/>
      </c>
      <c r="BP920" s="179" t="str">
        <f t="array" ref="BP920">IF($F920&lt;&gt;"", XLOOKUP($F920,Productos!$A$2:$A1001,Productos!BI$2:BI1001,"")*$G920,"")</f>
        <v/>
      </c>
      <c r="BQ920" s="179" t="str">
        <f t="array" ref="BQ920">IF($F920&lt;&gt;"",XLOOKUP($F920,Productos!$A:$A,Productos!BJ:BJ,"Revisar"),"")</f>
        <v/>
      </c>
      <c r="BR920" s="179" t="str">
        <f t="array" ref="BR920">IF($F920&lt;&gt;"", XLOOKUP($F920,Productos!$A$2:$A1001,Productos!BK$2:BK1001,"")*$G920,"")</f>
        <v/>
      </c>
      <c r="BS920" s="179" t="str">
        <f t="array" ref="BS920">IF($F920&lt;&gt;"",XLOOKUP($F920,Productos!$A:$A,Productos!BL:BL,"Revisar"),"")</f>
        <v/>
      </c>
      <c r="BT920" s="179" t="str">
        <f t="array" ref="BT920">IF($F920&lt;&gt;"", XLOOKUP($F920,Productos!$A$2:$A1001,Productos!BM$2:BM1001,"")*$G920,"")</f>
        <v/>
      </c>
      <c r="BU920" s="179" t="str">
        <f t="array" ref="BU920">IF($F920&lt;&gt;"",XLOOKUP($F920,Productos!$A:$A,Productos!BN:BN,"Revisar"),"")</f>
        <v/>
      </c>
      <c r="BV920" s="179" t="str">
        <f t="array" ref="BV920">IF($F920&lt;&gt;"", XLOOKUP($F920,Productos!$A$2:$A1001,Productos!BO$2:BO1001,"")*$G920,"")</f>
        <v/>
      </c>
      <c r="BW920" s="179" t="str">
        <f t="array" ref="BW920">IF($F920&lt;&gt;"",XLOOKUP($F920,Productos!$A:$A,Productos!BP:BP,"Revisar"),"")</f>
        <v/>
      </c>
      <c r="BX920" s="179" t="str">
        <f t="array" ref="BX920">IF($F920&lt;&gt;"", XLOOKUP($F920,Productos!$A$2:$A1001,Productos!BQ$2:BQ1001,"")*$G920,"")</f>
        <v/>
      </c>
      <c r="BY920" s="179" t="str">
        <f t="array" ref="BY920">IF($F920&lt;&gt;"",XLOOKUP($F920,Productos!$A:$A,Productos!BR:BR,"Revisar"),"")</f>
        <v/>
      </c>
      <c r="BZ920" s="179" t="str">
        <f t="array" ref="BZ920">IF($F920&lt;&gt;"", XLOOKUP($F920,Productos!$A$2:$A1001,Productos!BS$2:BS1001,"")*$G920,"")</f>
        <v/>
      </c>
    </row>
    <row r="921">
      <c r="A921" s="188"/>
      <c r="B921" s="189"/>
      <c r="C921" s="190"/>
      <c r="D921" s="190"/>
      <c r="E921" s="191"/>
      <c r="F921" s="186"/>
      <c r="G921" s="192"/>
      <c r="H921" s="9"/>
      <c r="I921" s="179" t="str">
        <f t="array" ref="I921">IF($F921&lt;&gt;"",XLOOKUP($F921,Productos!$A:$A,Productos!B:B,"Revisar"),"")</f>
        <v/>
      </c>
      <c r="J921" s="179" t="str">
        <f t="array" ref="J921">IF($F921&lt;&gt;"", XLOOKUP($F921,Productos!$A$2:$A1001,Productos!C$2:C1001,"")*$G921,"")</f>
        <v/>
      </c>
      <c r="K921" s="179" t="str">
        <f t="array" ref="K921">IF($F921&lt;&gt;"",XLOOKUP($F921,Productos!$A:$A,Productos!D:D,"Revisar"),"")</f>
        <v/>
      </c>
      <c r="L921" s="179" t="str">
        <f t="array" ref="L921">IF($F921&lt;&gt;"", XLOOKUP($F921,Productos!$A$2:$A1001,Productos!E$2:E1001,"")*$G921,"")</f>
        <v/>
      </c>
      <c r="M921" s="179" t="str">
        <f t="array" ref="M921">IF($F921&lt;&gt;"",XLOOKUP($F921,Productos!$A:$A,Productos!F:F,"Revisar"),"")</f>
        <v/>
      </c>
      <c r="N921" s="179" t="str">
        <f t="array" ref="N921">IF($F921&lt;&gt;"", XLOOKUP($F921,Productos!$A$2:$A1001,Productos!G$2:G1001,"")*$G921,"")</f>
        <v/>
      </c>
      <c r="O921" s="179" t="str">
        <f t="array" ref="O921">IF($F921&lt;&gt;"",XLOOKUP($F921,Productos!$A:$A,Productos!H:H,"Revisar"),"")</f>
        <v/>
      </c>
      <c r="P921" s="179" t="str">
        <f t="array" ref="P921">IF($F921&lt;&gt;"", XLOOKUP($F921,Productos!$A$2:$A1001,Productos!I$2:I1001,"")*$G921,"")</f>
        <v/>
      </c>
      <c r="Q921" s="179" t="str">
        <f t="array" ref="Q921">IF($F921&lt;&gt;"",XLOOKUP($F921,Productos!$A:$A,Productos!J:J,"Revisar"),"")</f>
        <v/>
      </c>
      <c r="R921" s="179" t="str">
        <f t="array" ref="R921">IF($F921&lt;&gt;"", XLOOKUP($F921,Productos!$A$2:$A1001,Productos!K$2:K1001,"")*$G921,"")</f>
        <v/>
      </c>
      <c r="S921" s="179" t="str">
        <f t="array" ref="S921">IF($F921&lt;&gt;"",XLOOKUP($F921,Productos!$A:$A,Productos!L:L,"Revisar"),"")</f>
        <v/>
      </c>
      <c r="T921" s="179" t="str">
        <f t="array" ref="T921">IF($F921&lt;&gt;"", XLOOKUP($F921,Productos!$A$2:$A1001,Productos!M$2:M1001,"")*$G921,"")</f>
        <v/>
      </c>
      <c r="U921" s="179" t="str">
        <f t="array" ref="U921">IF($F921&lt;&gt;"",XLOOKUP($F921,Productos!$A:$A,Productos!N:N,"Revisar"),"")</f>
        <v/>
      </c>
      <c r="V921" s="179" t="str">
        <f t="array" ref="V921">IF($F921&lt;&gt;"", XLOOKUP($F921,Productos!$A$2:$A1001,Productos!O$2:O1001,"")*$G921,"")</f>
        <v/>
      </c>
      <c r="W921" s="179" t="str">
        <f t="array" ref="W921">IF($F921&lt;&gt;"",XLOOKUP($F921,Productos!$A:$A,Productos!P:P,"Revisar"),"")</f>
        <v/>
      </c>
      <c r="X921" s="179" t="str">
        <f t="array" ref="X921">IF($F921&lt;&gt;"", XLOOKUP($F921,Productos!$A$2:$A1001,Productos!Q$2:Q1001,"")*$G921,"")</f>
        <v/>
      </c>
      <c r="Y921" s="179" t="str">
        <f t="array" ref="Y921">IF($F921&lt;&gt;"",XLOOKUP($F921,Productos!$A:$A,Productos!R:R,"Revisar"),"")</f>
        <v/>
      </c>
      <c r="Z921" s="179" t="str">
        <f t="array" ref="Z921">IF($F921&lt;&gt;"", XLOOKUP($F921,Productos!$A$2:$A1001,Productos!S$2:S1001,"")*$G921,"")</f>
        <v/>
      </c>
      <c r="AA921" s="179" t="str">
        <f t="array" ref="AA921">IF($F921&lt;&gt;"",XLOOKUP($F921,Productos!$A:$A,Productos!T:T,"Revisar"),"")</f>
        <v/>
      </c>
      <c r="AB921" s="179" t="str">
        <f t="array" ref="AB921">IF($F921&lt;&gt;"", XLOOKUP($F921,Productos!$A$2:$A1001,Productos!U$2:U1001,"")*$G921,"")</f>
        <v/>
      </c>
      <c r="AC921" s="179" t="str">
        <f t="array" ref="AC921">IF($F921&lt;&gt;"",XLOOKUP($F921,Productos!$A:$A,Productos!V:V,"Revisar"),"")</f>
        <v/>
      </c>
      <c r="AD921" s="179" t="str">
        <f t="array" ref="AD921">IF($F921&lt;&gt;"", XLOOKUP($F921,Productos!$A$2:$A1001,Productos!W$2:W1001,"")*$G921,"")</f>
        <v/>
      </c>
      <c r="AE921" s="179" t="str">
        <f t="array" ref="AE921">IF($F921&lt;&gt;"",XLOOKUP($F921,Productos!$A:$A,Productos!X:X,"Revisar"),"")</f>
        <v/>
      </c>
      <c r="AF921" s="179" t="str">
        <f t="array" ref="AF921">IF($F921&lt;&gt;"", XLOOKUP($F921,Productos!$A$2:$A1001,Productos!Y$2:Y1001,"")*$G921,"")</f>
        <v/>
      </c>
      <c r="AG921" s="179" t="str">
        <f t="array" ref="AG921">IF($F921&lt;&gt;"",XLOOKUP($F921,Productos!$A:$A,Productos!Z:Z,"Revisar"),"")</f>
        <v/>
      </c>
      <c r="AH921" s="179" t="str">
        <f t="array" ref="AH921">IF($F921&lt;&gt;"", XLOOKUP($F921,Productos!$A$2:$A1001,Productos!AA$2:AA1001,"")*$G921,"")</f>
        <v/>
      </c>
      <c r="AI921" s="179" t="str">
        <f t="array" ref="AI921">IF($F921&lt;&gt;"",XLOOKUP($F921,Productos!$A:$A,Productos!AB:AB,"Revisar"),"")</f>
        <v/>
      </c>
      <c r="AJ921" s="179" t="str">
        <f t="array" ref="AJ921">IF($F921&lt;&gt;"", XLOOKUP($F921,Productos!$A$2:$A1001,Productos!AC$2:AC1001,"")*$G921,"")</f>
        <v/>
      </c>
      <c r="AK921" s="179" t="str">
        <f t="array" ref="AK921">IF($F921&lt;&gt;"",XLOOKUP($F921,Productos!$A:$A,Productos!AD:AD,"Revisar"),"")</f>
        <v/>
      </c>
      <c r="AL921" s="179" t="str">
        <f t="array" ref="AL921">IF($F921&lt;&gt;"", XLOOKUP($F921,Productos!$A$2:$A1001,Productos!AE$2:AE1001,"")*$G921,"")</f>
        <v/>
      </c>
      <c r="AM921" s="179" t="str">
        <f t="array" ref="AM921">IF($F921&lt;&gt;"",XLOOKUP($F921,Productos!$A:$A,Productos!AF:AF,"Revisar"),"")</f>
        <v/>
      </c>
      <c r="AN921" s="179" t="str">
        <f t="array" ref="AN921">IF($F921&lt;&gt;"", XLOOKUP($F921,Productos!$A$2:$A1001,Productos!AG$2:AG1001,"")*$G921,"")</f>
        <v/>
      </c>
      <c r="AO921" s="179" t="str">
        <f t="array" ref="AO921">IF($F921&lt;&gt;"",XLOOKUP($F921,Productos!$A:$A,Productos!AH:AH,"Revisar"),"")</f>
        <v/>
      </c>
      <c r="AP921" s="179" t="str">
        <f t="array" ref="AP921">IF($F921&lt;&gt;"", XLOOKUP($F921,Productos!$A$2:$A1001,Productos!AI$2:AI1001,"")*$G921,"")</f>
        <v/>
      </c>
      <c r="AQ921" s="179" t="str">
        <f t="array" ref="AQ921">IF($F921&lt;&gt;"",XLOOKUP($F921,Productos!$A:$A,Productos!AJ:AJ,"Revisar"),"")</f>
        <v/>
      </c>
      <c r="AR921" s="179" t="str">
        <f t="array" ref="AR921">IF($F921&lt;&gt;"", XLOOKUP($F921,Productos!$A$2:$A1001,Productos!AK$2:AK1001,"")*$G921,"")</f>
        <v/>
      </c>
      <c r="AS921" s="179" t="str">
        <f t="array" ref="AS921">IF($F921&lt;&gt;"",XLOOKUP($F921,Productos!$A:$A,Productos!AL:AL,"Revisar"),"")</f>
        <v/>
      </c>
      <c r="AT921" s="179" t="str">
        <f t="array" ref="AT921">IF($F921&lt;&gt;"", XLOOKUP($F921,Productos!$A$2:$A1001,Productos!AM$2:AM1001,"")*$G921,"")</f>
        <v/>
      </c>
      <c r="AU921" s="179" t="str">
        <f t="array" ref="AU921">IF($F921&lt;&gt;"",XLOOKUP($F921,Productos!$A:$A,Productos!AN:AN,"Revisar"),"")</f>
        <v/>
      </c>
      <c r="AV921" s="179" t="str">
        <f t="array" ref="AV921">IF($F921&lt;&gt;"", XLOOKUP($F921,Productos!$A$2:$A1001,Productos!AO$2:AO1001,"")*$G921,"")</f>
        <v/>
      </c>
      <c r="AW921" s="179" t="str">
        <f t="array" ref="AW921">IF($F921&lt;&gt;"",XLOOKUP($F921,Productos!$A:$A,Productos!AP:AP,"Revisar"),"")</f>
        <v/>
      </c>
      <c r="AX921" s="179" t="str">
        <f t="array" ref="AX921">IF($F921&lt;&gt;"", XLOOKUP($F921,Productos!$A$2:$A1001,Productos!AQ$2:AQ1001,"")*$G921,"")</f>
        <v/>
      </c>
      <c r="AY921" s="179" t="str">
        <f t="array" ref="AY921">IF($F921&lt;&gt;"",XLOOKUP($F921,Productos!$A:$A,Productos!AR:AR,"Revisar"),"")</f>
        <v/>
      </c>
      <c r="AZ921" s="179" t="str">
        <f t="array" ref="AZ921">IF($F921&lt;&gt;"", XLOOKUP($F921,Productos!$A$2:$A1001,Productos!AS$2:AS1001,"")*$G921,"")</f>
        <v/>
      </c>
      <c r="BA921" s="179" t="str">
        <f t="array" ref="BA921">IF($F921&lt;&gt;"",XLOOKUP($F921,Productos!$A:$A,Productos!AT:AT,"Revisar"),"")</f>
        <v/>
      </c>
      <c r="BB921" s="179" t="str">
        <f t="array" ref="BB921">IF($F921&lt;&gt;"", XLOOKUP($F921,Productos!$A$2:$A1001,Productos!AU$2:AU1001,"")*$G921,"")</f>
        <v/>
      </c>
      <c r="BC921" s="179" t="str">
        <f t="array" ref="BC921">IF($F921&lt;&gt;"",XLOOKUP($F921,Productos!$A:$A,Productos!AV:AV,"Revisar"),"")</f>
        <v/>
      </c>
      <c r="BD921" s="179" t="str">
        <f t="array" ref="BD921">IF($F921&lt;&gt;"", XLOOKUP($F921,Productos!$A$2:$A1001,Productos!AW$2:AW1001,"")*$G921,"")</f>
        <v/>
      </c>
      <c r="BE921" s="179" t="str">
        <f t="array" ref="BE921">IF($F921&lt;&gt;"",XLOOKUP($F921,Productos!$A:$A,Productos!AX:AX,"Revisar"),"")</f>
        <v/>
      </c>
      <c r="BF921" s="179" t="str">
        <f t="array" ref="BF921">IF($F921&lt;&gt;"", XLOOKUP($F921,Productos!$A$2:$A1001,Productos!AY$2:AY1001,"")*$G921,"")</f>
        <v/>
      </c>
      <c r="BG921" s="179" t="str">
        <f t="array" ref="BG921">IF($F921&lt;&gt;"",XLOOKUP($F921,Productos!$A:$A,Productos!AZ:AZ,"Revisar"),"")</f>
        <v/>
      </c>
      <c r="BH921" s="179" t="str">
        <f t="array" ref="BH921">IF($F921&lt;&gt;"", XLOOKUP($F921,Productos!$A$2:$A1001,Productos!BA$2:BA1001,"")*$G921,"")</f>
        <v/>
      </c>
      <c r="BI921" s="179" t="str">
        <f t="array" ref="BI921">IF($F921&lt;&gt;"",XLOOKUP($F921,Productos!$A:$A,Productos!BB:BB,"Revisar"),"")</f>
        <v/>
      </c>
      <c r="BJ921" s="179" t="str">
        <f t="array" ref="BJ921">IF($F921&lt;&gt;"", XLOOKUP($F921,Productos!$A$2:$A1001,Productos!BC$2:BC1001,"")*$G921,"")</f>
        <v/>
      </c>
      <c r="BK921" s="179" t="str">
        <f t="array" ref="BK921">IF($F921&lt;&gt;"",XLOOKUP($F921,Productos!$A:$A,Productos!BD:BD,"Revisar"),"")</f>
        <v/>
      </c>
      <c r="BL921" s="179" t="str">
        <f t="array" ref="BL921">IF($F921&lt;&gt;"", XLOOKUP($F921,Productos!$A$2:$A1001,Productos!BE$2:BE1001,"")*$G921,"")</f>
        <v/>
      </c>
      <c r="BM921" s="179" t="str">
        <f t="array" ref="BM921">IF($F921&lt;&gt;"",XLOOKUP($F921,Productos!$A:$A,Productos!BF:BF,"Revisar"),"")</f>
        <v/>
      </c>
      <c r="BN921" s="179" t="str">
        <f t="array" ref="BN921">IF($F921&lt;&gt;"", XLOOKUP($F921,Productos!$A$2:$A1001,Productos!BG$2:BG1001,"")*$G921,"")</f>
        <v/>
      </c>
      <c r="BO921" s="179" t="str">
        <f t="array" ref="BO921">IF($F921&lt;&gt;"",XLOOKUP($F921,Productos!$A:$A,Productos!BH:BH,"Revisar"),"")</f>
        <v/>
      </c>
      <c r="BP921" s="179" t="str">
        <f t="array" ref="BP921">IF($F921&lt;&gt;"", XLOOKUP($F921,Productos!$A$2:$A1001,Productos!BI$2:BI1001,"")*$G921,"")</f>
        <v/>
      </c>
      <c r="BQ921" s="179" t="str">
        <f t="array" ref="BQ921">IF($F921&lt;&gt;"",XLOOKUP($F921,Productos!$A:$A,Productos!BJ:BJ,"Revisar"),"")</f>
        <v/>
      </c>
      <c r="BR921" s="179" t="str">
        <f t="array" ref="BR921">IF($F921&lt;&gt;"", XLOOKUP($F921,Productos!$A$2:$A1001,Productos!BK$2:BK1001,"")*$G921,"")</f>
        <v/>
      </c>
      <c r="BS921" s="179" t="str">
        <f t="array" ref="BS921">IF($F921&lt;&gt;"",XLOOKUP($F921,Productos!$A:$A,Productos!BL:BL,"Revisar"),"")</f>
        <v/>
      </c>
      <c r="BT921" s="179" t="str">
        <f t="array" ref="BT921">IF($F921&lt;&gt;"", XLOOKUP($F921,Productos!$A$2:$A1001,Productos!BM$2:BM1001,"")*$G921,"")</f>
        <v/>
      </c>
      <c r="BU921" s="179" t="str">
        <f t="array" ref="BU921">IF($F921&lt;&gt;"",XLOOKUP($F921,Productos!$A:$A,Productos!BN:BN,"Revisar"),"")</f>
        <v/>
      </c>
      <c r="BV921" s="179" t="str">
        <f t="array" ref="BV921">IF($F921&lt;&gt;"", XLOOKUP($F921,Productos!$A$2:$A1001,Productos!BO$2:BO1001,"")*$G921,"")</f>
        <v/>
      </c>
      <c r="BW921" s="179" t="str">
        <f t="array" ref="BW921">IF($F921&lt;&gt;"",XLOOKUP($F921,Productos!$A:$A,Productos!BP:BP,"Revisar"),"")</f>
        <v/>
      </c>
      <c r="BX921" s="179" t="str">
        <f t="array" ref="BX921">IF($F921&lt;&gt;"", XLOOKUP($F921,Productos!$A$2:$A1001,Productos!BQ$2:BQ1001,"")*$G921,"")</f>
        <v/>
      </c>
      <c r="BY921" s="179" t="str">
        <f t="array" ref="BY921">IF($F921&lt;&gt;"",XLOOKUP($F921,Productos!$A:$A,Productos!BR:BR,"Revisar"),"")</f>
        <v/>
      </c>
      <c r="BZ921" s="179" t="str">
        <f t="array" ref="BZ921">IF($F921&lt;&gt;"", XLOOKUP($F921,Productos!$A$2:$A1001,Productos!BS$2:BS1001,"")*$G921,"")</f>
        <v/>
      </c>
    </row>
    <row r="922">
      <c r="A922" s="188"/>
      <c r="B922" s="189"/>
      <c r="C922" s="190"/>
      <c r="D922" s="190"/>
      <c r="E922" s="191"/>
      <c r="F922" s="186"/>
      <c r="G922" s="192"/>
      <c r="H922" s="9"/>
      <c r="I922" s="179" t="str">
        <f t="array" ref="I922">IF($F922&lt;&gt;"",XLOOKUP($F922,Productos!$A:$A,Productos!B:B,"Revisar"),"")</f>
        <v/>
      </c>
      <c r="J922" s="179" t="str">
        <f t="array" ref="J922">IF($F922&lt;&gt;"", XLOOKUP($F922,Productos!$A$2:$A1001,Productos!C$2:C1001,"")*$G922,"")</f>
        <v/>
      </c>
      <c r="K922" s="179" t="str">
        <f t="array" ref="K922">IF($F922&lt;&gt;"",XLOOKUP($F922,Productos!$A:$A,Productos!D:D,"Revisar"),"")</f>
        <v/>
      </c>
      <c r="L922" s="179" t="str">
        <f t="array" ref="L922">IF($F922&lt;&gt;"", XLOOKUP($F922,Productos!$A$2:$A1001,Productos!E$2:E1001,"")*$G922,"")</f>
        <v/>
      </c>
      <c r="M922" s="179" t="str">
        <f t="array" ref="M922">IF($F922&lt;&gt;"",XLOOKUP($F922,Productos!$A:$A,Productos!F:F,"Revisar"),"")</f>
        <v/>
      </c>
      <c r="N922" s="179" t="str">
        <f t="array" ref="N922">IF($F922&lt;&gt;"", XLOOKUP($F922,Productos!$A$2:$A1001,Productos!G$2:G1001,"")*$G922,"")</f>
        <v/>
      </c>
      <c r="O922" s="179" t="str">
        <f t="array" ref="O922">IF($F922&lt;&gt;"",XLOOKUP($F922,Productos!$A:$A,Productos!H:H,"Revisar"),"")</f>
        <v/>
      </c>
      <c r="P922" s="179" t="str">
        <f t="array" ref="P922">IF($F922&lt;&gt;"", XLOOKUP($F922,Productos!$A$2:$A1001,Productos!I$2:I1001,"")*$G922,"")</f>
        <v/>
      </c>
      <c r="Q922" s="179" t="str">
        <f t="array" ref="Q922">IF($F922&lt;&gt;"",XLOOKUP($F922,Productos!$A:$A,Productos!J:J,"Revisar"),"")</f>
        <v/>
      </c>
      <c r="R922" s="179" t="str">
        <f t="array" ref="R922">IF($F922&lt;&gt;"", XLOOKUP($F922,Productos!$A$2:$A1001,Productos!K$2:K1001,"")*$G922,"")</f>
        <v/>
      </c>
      <c r="S922" s="179" t="str">
        <f t="array" ref="S922">IF($F922&lt;&gt;"",XLOOKUP($F922,Productos!$A:$A,Productos!L:L,"Revisar"),"")</f>
        <v/>
      </c>
      <c r="T922" s="179" t="str">
        <f t="array" ref="T922">IF($F922&lt;&gt;"", XLOOKUP($F922,Productos!$A$2:$A1001,Productos!M$2:M1001,"")*$G922,"")</f>
        <v/>
      </c>
      <c r="U922" s="179" t="str">
        <f t="array" ref="U922">IF($F922&lt;&gt;"",XLOOKUP($F922,Productos!$A:$A,Productos!N:N,"Revisar"),"")</f>
        <v/>
      </c>
      <c r="V922" s="179" t="str">
        <f t="array" ref="V922">IF($F922&lt;&gt;"", XLOOKUP($F922,Productos!$A$2:$A1001,Productos!O$2:O1001,"")*$G922,"")</f>
        <v/>
      </c>
      <c r="W922" s="179" t="str">
        <f t="array" ref="W922">IF($F922&lt;&gt;"",XLOOKUP($F922,Productos!$A:$A,Productos!P:P,"Revisar"),"")</f>
        <v/>
      </c>
      <c r="X922" s="179" t="str">
        <f t="array" ref="X922">IF($F922&lt;&gt;"", XLOOKUP($F922,Productos!$A$2:$A1001,Productos!Q$2:Q1001,"")*$G922,"")</f>
        <v/>
      </c>
      <c r="Y922" s="179" t="str">
        <f t="array" ref="Y922">IF($F922&lt;&gt;"",XLOOKUP($F922,Productos!$A:$A,Productos!R:R,"Revisar"),"")</f>
        <v/>
      </c>
      <c r="Z922" s="179" t="str">
        <f t="array" ref="Z922">IF($F922&lt;&gt;"", XLOOKUP($F922,Productos!$A$2:$A1001,Productos!S$2:S1001,"")*$G922,"")</f>
        <v/>
      </c>
      <c r="AA922" s="179" t="str">
        <f t="array" ref="AA922">IF($F922&lt;&gt;"",XLOOKUP($F922,Productos!$A:$A,Productos!T:T,"Revisar"),"")</f>
        <v/>
      </c>
      <c r="AB922" s="179" t="str">
        <f t="array" ref="AB922">IF($F922&lt;&gt;"", XLOOKUP($F922,Productos!$A$2:$A1001,Productos!U$2:U1001,"")*$G922,"")</f>
        <v/>
      </c>
      <c r="AC922" s="179" t="str">
        <f t="array" ref="AC922">IF($F922&lt;&gt;"",XLOOKUP($F922,Productos!$A:$A,Productos!V:V,"Revisar"),"")</f>
        <v/>
      </c>
      <c r="AD922" s="179" t="str">
        <f t="array" ref="AD922">IF($F922&lt;&gt;"", XLOOKUP($F922,Productos!$A$2:$A1001,Productos!W$2:W1001,"")*$G922,"")</f>
        <v/>
      </c>
      <c r="AE922" s="179" t="str">
        <f t="array" ref="AE922">IF($F922&lt;&gt;"",XLOOKUP($F922,Productos!$A:$A,Productos!X:X,"Revisar"),"")</f>
        <v/>
      </c>
      <c r="AF922" s="179" t="str">
        <f t="array" ref="AF922">IF($F922&lt;&gt;"", XLOOKUP($F922,Productos!$A$2:$A1001,Productos!Y$2:Y1001,"")*$G922,"")</f>
        <v/>
      </c>
      <c r="AG922" s="179" t="str">
        <f t="array" ref="AG922">IF($F922&lt;&gt;"",XLOOKUP($F922,Productos!$A:$A,Productos!Z:Z,"Revisar"),"")</f>
        <v/>
      </c>
      <c r="AH922" s="179" t="str">
        <f t="array" ref="AH922">IF($F922&lt;&gt;"", XLOOKUP($F922,Productos!$A$2:$A1001,Productos!AA$2:AA1001,"")*$G922,"")</f>
        <v/>
      </c>
      <c r="AI922" s="179" t="str">
        <f t="array" ref="AI922">IF($F922&lt;&gt;"",XLOOKUP($F922,Productos!$A:$A,Productos!AB:AB,"Revisar"),"")</f>
        <v/>
      </c>
      <c r="AJ922" s="179" t="str">
        <f t="array" ref="AJ922">IF($F922&lt;&gt;"", XLOOKUP($F922,Productos!$A$2:$A1001,Productos!AC$2:AC1001,"")*$G922,"")</f>
        <v/>
      </c>
      <c r="AK922" s="179" t="str">
        <f t="array" ref="AK922">IF($F922&lt;&gt;"",XLOOKUP($F922,Productos!$A:$A,Productos!AD:AD,"Revisar"),"")</f>
        <v/>
      </c>
      <c r="AL922" s="179" t="str">
        <f t="array" ref="AL922">IF($F922&lt;&gt;"", XLOOKUP($F922,Productos!$A$2:$A1001,Productos!AE$2:AE1001,"")*$G922,"")</f>
        <v/>
      </c>
      <c r="AM922" s="179" t="str">
        <f t="array" ref="AM922">IF($F922&lt;&gt;"",XLOOKUP($F922,Productos!$A:$A,Productos!AF:AF,"Revisar"),"")</f>
        <v/>
      </c>
      <c r="AN922" s="179" t="str">
        <f t="array" ref="AN922">IF($F922&lt;&gt;"", XLOOKUP($F922,Productos!$A$2:$A1001,Productos!AG$2:AG1001,"")*$G922,"")</f>
        <v/>
      </c>
      <c r="AO922" s="179" t="str">
        <f t="array" ref="AO922">IF($F922&lt;&gt;"",XLOOKUP($F922,Productos!$A:$A,Productos!AH:AH,"Revisar"),"")</f>
        <v/>
      </c>
      <c r="AP922" s="179" t="str">
        <f t="array" ref="AP922">IF($F922&lt;&gt;"", XLOOKUP($F922,Productos!$A$2:$A1001,Productos!AI$2:AI1001,"")*$G922,"")</f>
        <v/>
      </c>
      <c r="AQ922" s="179" t="str">
        <f t="array" ref="AQ922">IF($F922&lt;&gt;"",XLOOKUP($F922,Productos!$A:$A,Productos!AJ:AJ,"Revisar"),"")</f>
        <v/>
      </c>
      <c r="AR922" s="179" t="str">
        <f t="array" ref="AR922">IF($F922&lt;&gt;"", XLOOKUP($F922,Productos!$A$2:$A1001,Productos!AK$2:AK1001,"")*$G922,"")</f>
        <v/>
      </c>
      <c r="AS922" s="179" t="str">
        <f t="array" ref="AS922">IF($F922&lt;&gt;"",XLOOKUP($F922,Productos!$A:$A,Productos!AL:AL,"Revisar"),"")</f>
        <v/>
      </c>
      <c r="AT922" s="179" t="str">
        <f t="array" ref="AT922">IF($F922&lt;&gt;"", XLOOKUP($F922,Productos!$A$2:$A1001,Productos!AM$2:AM1001,"")*$G922,"")</f>
        <v/>
      </c>
      <c r="AU922" s="179" t="str">
        <f t="array" ref="AU922">IF($F922&lt;&gt;"",XLOOKUP($F922,Productos!$A:$A,Productos!AN:AN,"Revisar"),"")</f>
        <v/>
      </c>
      <c r="AV922" s="179" t="str">
        <f t="array" ref="AV922">IF($F922&lt;&gt;"", XLOOKUP($F922,Productos!$A$2:$A1001,Productos!AO$2:AO1001,"")*$G922,"")</f>
        <v/>
      </c>
      <c r="AW922" s="179" t="str">
        <f t="array" ref="AW922">IF($F922&lt;&gt;"",XLOOKUP($F922,Productos!$A:$A,Productos!AP:AP,"Revisar"),"")</f>
        <v/>
      </c>
      <c r="AX922" s="179" t="str">
        <f t="array" ref="AX922">IF($F922&lt;&gt;"", XLOOKUP($F922,Productos!$A$2:$A1001,Productos!AQ$2:AQ1001,"")*$G922,"")</f>
        <v/>
      </c>
      <c r="AY922" s="179" t="str">
        <f t="array" ref="AY922">IF($F922&lt;&gt;"",XLOOKUP($F922,Productos!$A:$A,Productos!AR:AR,"Revisar"),"")</f>
        <v/>
      </c>
      <c r="AZ922" s="179" t="str">
        <f t="array" ref="AZ922">IF($F922&lt;&gt;"", XLOOKUP($F922,Productos!$A$2:$A1001,Productos!AS$2:AS1001,"")*$G922,"")</f>
        <v/>
      </c>
      <c r="BA922" s="179" t="str">
        <f t="array" ref="BA922">IF($F922&lt;&gt;"",XLOOKUP($F922,Productos!$A:$A,Productos!AT:AT,"Revisar"),"")</f>
        <v/>
      </c>
      <c r="BB922" s="179" t="str">
        <f t="array" ref="BB922">IF($F922&lt;&gt;"", XLOOKUP($F922,Productos!$A$2:$A1001,Productos!AU$2:AU1001,"")*$G922,"")</f>
        <v/>
      </c>
      <c r="BC922" s="179" t="str">
        <f t="array" ref="BC922">IF($F922&lt;&gt;"",XLOOKUP($F922,Productos!$A:$A,Productos!AV:AV,"Revisar"),"")</f>
        <v/>
      </c>
      <c r="BD922" s="179" t="str">
        <f t="array" ref="BD922">IF($F922&lt;&gt;"", XLOOKUP($F922,Productos!$A$2:$A1001,Productos!AW$2:AW1001,"")*$G922,"")</f>
        <v/>
      </c>
      <c r="BE922" s="179" t="str">
        <f t="array" ref="BE922">IF($F922&lt;&gt;"",XLOOKUP($F922,Productos!$A:$A,Productos!AX:AX,"Revisar"),"")</f>
        <v/>
      </c>
      <c r="BF922" s="179" t="str">
        <f t="array" ref="BF922">IF($F922&lt;&gt;"", XLOOKUP($F922,Productos!$A$2:$A1001,Productos!AY$2:AY1001,"")*$G922,"")</f>
        <v/>
      </c>
      <c r="BG922" s="179" t="str">
        <f t="array" ref="BG922">IF($F922&lt;&gt;"",XLOOKUP($F922,Productos!$A:$A,Productos!AZ:AZ,"Revisar"),"")</f>
        <v/>
      </c>
      <c r="BH922" s="179" t="str">
        <f t="array" ref="BH922">IF($F922&lt;&gt;"", XLOOKUP($F922,Productos!$A$2:$A1001,Productos!BA$2:BA1001,"")*$G922,"")</f>
        <v/>
      </c>
      <c r="BI922" s="179" t="str">
        <f t="array" ref="BI922">IF($F922&lt;&gt;"",XLOOKUP($F922,Productos!$A:$A,Productos!BB:BB,"Revisar"),"")</f>
        <v/>
      </c>
      <c r="BJ922" s="179" t="str">
        <f t="array" ref="BJ922">IF($F922&lt;&gt;"", XLOOKUP($F922,Productos!$A$2:$A1001,Productos!BC$2:BC1001,"")*$G922,"")</f>
        <v/>
      </c>
      <c r="BK922" s="179" t="str">
        <f t="array" ref="BK922">IF($F922&lt;&gt;"",XLOOKUP($F922,Productos!$A:$A,Productos!BD:BD,"Revisar"),"")</f>
        <v/>
      </c>
      <c r="BL922" s="179" t="str">
        <f t="array" ref="BL922">IF($F922&lt;&gt;"", XLOOKUP($F922,Productos!$A$2:$A1001,Productos!BE$2:BE1001,"")*$G922,"")</f>
        <v/>
      </c>
      <c r="BM922" s="179" t="str">
        <f t="array" ref="BM922">IF($F922&lt;&gt;"",XLOOKUP($F922,Productos!$A:$A,Productos!BF:BF,"Revisar"),"")</f>
        <v/>
      </c>
      <c r="BN922" s="179" t="str">
        <f t="array" ref="BN922">IF($F922&lt;&gt;"", XLOOKUP($F922,Productos!$A$2:$A1001,Productos!BG$2:BG1001,"")*$G922,"")</f>
        <v/>
      </c>
      <c r="BO922" s="179" t="str">
        <f t="array" ref="BO922">IF($F922&lt;&gt;"",XLOOKUP($F922,Productos!$A:$A,Productos!BH:BH,"Revisar"),"")</f>
        <v/>
      </c>
      <c r="BP922" s="179" t="str">
        <f t="array" ref="BP922">IF($F922&lt;&gt;"", XLOOKUP($F922,Productos!$A$2:$A1001,Productos!BI$2:BI1001,"")*$G922,"")</f>
        <v/>
      </c>
      <c r="BQ922" s="179" t="str">
        <f t="array" ref="BQ922">IF($F922&lt;&gt;"",XLOOKUP($F922,Productos!$A:$A,Productos!BJ:BJ,"Revisar"),"")</f>
        <v/>
      </c>
      <c r="BR922" s="179" t="str">
        <f t="array" ref="BR922">IF($F922&lt;&gt;"", XLOOKUP($F922,Productos!$A$2:$A1001,Productos!BK$2:BK1001,"")*$G922,"")</f>
        <v/>
      </c>
      <c r="BS922" s="179" t="str">
        <f t="array" ref="BS922">IF($F922&lt;&gt;"",XLOOKUP($F922,Productos!$A:$A,Productos!BL:BL,"Revisar"),"")</f>
        <v/>
      </c>
      <c r="BT922" s="179" t="str">
        <f t="array" ref="BT922">IF($F922&lt;&gt;"", XLOOKUP($F922,Productos!$A$2:$A1001,Productos!BM$2:BM1001,"")*$G922,"")</f>
        <v/>
      </c>
      <c r="BU922" s="179" t="str">
        <f t="array" ref="BU922">IF($F922&lt;&gt;"",XLOOKUP($F922,Productos!$A:$A,Productos!BN:BN,"Revisar"),"")</f>
        <v/>
      </c>
      <c r="BV922" s="179" t="str">
        <f t="array" ref="BV922">IF($F922&lt;&gt;"", XLOOKUP($F922,Productos!$A$2:$A1001,Productos!BO$2:BO1001,"")*$G922,"")</f>
        <v/>
      </c>
      <c r="BW922" s="179" t="str">
        <f t="array" ref="BW922">IF($F922&lt;&gt;"",XLOOKUP($F922,Productos!$A:$A,Productos!BP:BP,"Revisar"),"")</f>
        <v/>
      </c>
      <c r="BX922" s="179" t="str">
        <f t="array" ref="BX922">IF($F922&lt;&gt;"", XLOOKUP($F922,Productos!$A$2:$A1001,Productos!BQ$2:BQ1001,"")*$G922,"")</f>
        <v/>
      </c>
      <c r="BY922" s="179" t="str">
        <f t="array" ref="BY922">IF($F922&lt;&gt;"",XLOOKUP($F922,Productos!$A:$A,Productos!BR:BR,"Revisar"),"")</f>
        <v/>
      </c>
      <c r="BZ922" s="179" t="str">
        <f t="array" ref="BZ922">IF($F922&lt;&gt;"", XLOOKUP($F922,Productos!$A$2:$A1001,Productos!BS$2:BS1001,"")*$G922,"")</f>
        <v/>
      </c>
    </row>
    <row r="923">
      <c r="A923" s="188"/>
      <c r="B923" s="189"/>
      <c r="C923" s="190"/>
      <c r="D923" s="190"/>
      <c r="E923" s="191"/>
      <c r="F923" s="186"/>
      <c r="G923" s="192"/>
      <c r="H923" s="9"/>
      <c r="I923" s="179" t="str">
        <f t="array" ref="I923">IF($F923&lt;&gt;"",XLOOKUP($F923,Productos!$A:$A,Productos!B:B,"Revisar"),"")</f>
        <v/>
      </c>
      <c r="J923" s="179" t="str">
        <f t="array" ref="J923">IF($F923&lt;&gt;"", XLOOKUP($F923,Productos!$A$2:$A1001,Productos!C$2:C1001,"")*$G923,"")</f>
        <v/>
      </c>
      <c r="K923" s="179" t="str">
        <f t="array" ref="K923">IF($F923&lt;&gt;"",XLOOKUP($F923,Productos!$A:$A,Productos!D:D,"Revisar"),"")</f>
        <v/>
      </c>
      <c r="L923" s="179" t="str">
        <f t="array" ref="L923">IF($F923&lt;&gt;"", XLOOKUP($F923,Productos!$A$2:$A1001,Productos!E$2:E1001,"")*$G923,"")</f>
        <v/>
      </c>
      <c r="M923" s="179" t="str">
        <f t="array" ref="M923">IF($F923&lt;&gt;"",XLOOKUP($F923,Productos!$A:$A,Productos!F:F,"Revisar"),"")</f>
        <v/>
      </c>
      <c r="N923" s="179" t="str">
        <f t="array" ref="N923">IF($F923&lt;&gt;"", XLOOKUP($F923,Productos!$A$2:$A1001,Productos!G$2:G1001,"")*$G923,"")</f>
        <v/>
      </c>
      <c r="O923" s="179" t="str">
        <f t="array" ref="O923">IF($F923&lt;&gt;"",XLOOKUP($F923,Productos!$A:$A,Productos!H:H,"Revisar"),"")</f>
        <v/>
      </c>
      <c r="P923" s="179" t="str">
        <f t="array" ref="P923">IF($F923&lt;&gt;"", XLOOKUP($F923,Productos!$A$2:$A1001,Productos!I$2:I1001,"")*$G923,"")</f>
        <v/>
      </c>
      <c r="Q923" s="179" t="str">
        <f t="array" ref="Q923">IF($F923&lt;&gt;"",XLOOKUP($F923,Productos!$A:$A,Productos!J:J,"Revisar"),"")</f>
        <v/>
      </c>
      <c r="R923" s="179" t="str">
        <f t="array" ref="R923">IF($F923&lt;&gt;"", XLOOKUP($F923,Productos!$A$2:$A1001,Productos!K$2:K1001,"")*$G923,"")</f>
        <v/>
      </c>
      <c r="S923" s="179" t="str">
        <f t="array" ref="S923">IF($F923&lt;&gt;"",XLOOKUP($F923,Productos!$A:$A,Productos!L:L,"Revisar"),"")</f>
        <v/>
      </c>
      <c r="T923" s="179" t="str">
        <f t="array" ref="T923">IF($F923&lt;&gt;"", XLOOKUP($F923,Productos!$A$2:$A1001,Productos!M$2:M1001,"")*$G923,"")</f>
        <v/>
      </c>
      <c r="U923" s="179" t="str">
        <f t="array" ref="U923">IF($F923&lt;&gt;"",XLOOKUP($F923,Productos!$A:$A,Productos!N:N,"Revisar"),"")</f>
        <v/>
      </c>
      <c r="V923" s="179" t="str">
        <f t="array" ref="V923">IF($F923&lt;&gt;"", XLOOKUP($F923,Productos!$A$2:$A1001,Productos!O$2:O1001,"")*$G923,"")</f>
        <v/>
      </c>
      <c r="W923" s="179" t="str">
        <f t="array" ref="W923">IF($F923&lt;&gt;"",XLOOKUP($F923,Productos!$A:$A,Productos!P:P,"Revisar"),"")</f>
        <v/>
      </c>
      <c r="X923" s="179" t="str">
        <f t="array" ref="X923">IF($F923&lt;&gt;"", XLOOKUP($F923,Productos!$A$2:$A1001,Productos!Q$2:Q1001,"")*$G923,"")</f>
        <v/>
      </c>
      <c r="Y923" s="179" t="str">
        <f t="array" ref="Y923">IF($F923&lt;&gt;"",XLOOKUP($F923,Productos!$A:$A,Productos!R:R,"Revisar"),"")</f>
        <v/>
      </c>
      <c r="Z923" s="179" t="str">
        <f t="array" ref="Z923">IF($F923&lt;&gt;"", XLOOKUP($F923,Productos!$A$2:$A1001,Productos!S$2:S1001,"")*$G923,"")</f>
        <v/>
      </c>
      <c r="AA923" s="179" t="str">
        <f t="array" ref="AA923">IF($F923&lt;&gt;"",XLOOKUP($F923,Productos!$A:$A,Productos!T:T,"Revisar"),"")</f>
        <v/>
      </c>
      <c r="AB923" s="179" t="str">
        <f t="array" ref="AB923">IF($F923&lt;&gt;"", XLOOKUP($F923,Productos!$A$2:$A1001,Productos!U$2:U1001,"")*$G923,"")</f>
        <v/>
      </c>
      <c r="AC923" s="179" t="str">
        <f t="array" ref="AC923">IF($F923&lt;&gt;"",XLOOKUP($F923,Productos!$A:$A,Productos!V:V,"Revisar"),"")</f>
        <v/>
      </c>
      <c r="AD923" s="179" t="str">
        <f t="array" ref="AD923">IF($F923&lt;&gt;"", XLOOKUP($F923,Productos!$A$2:$A1001,Productos!W$2:W1001,"")*$G923,"")</f>
        <v/>
      </c>
      <c r="AE923" s="179" t="str">
        <f t="array" ref="AE923">IF($F923&lt;&gt;"",XLOOKUP($F923,Productos!$A:$A,Productos!X:X,"Revisar"),"")</f>
        <v/>
      </c>
      <c r="AF923" s="179" t="str">
        <f t="array" ref="AF923">IF($F923&lt;&gt;"", XLOOKUP($F923,Productos!$A$2:$A1001,Productos!Y$2:Y1001,"")*$G923,"")</f>
        <v/>
      </c>
      <c r="AG923" s="179" t="str">
        <f t="array" ref="AG923">IF($F923&lt;&gt;"",XLOOKUP($F923,Productos!$A:$A,Productos!Z:Z,"Revisar"),"")</f>
        <v/>
      </c>
      <c r="AH923" s="179" t="str">
        <f t="array" ref="AH923">IF($F923&lt;&gt;"", XLOOKUP($F923,Productos!$A$2:$A1001,Productos!AA$2:AA1001,"")*$G923,"")</f>
        <v/>
      </c>
      <c r="AI923" s="179" t="str">
        <f t="array" ref="AI923">IF($F923&lt;&gt;"",XLOOKUP($F923,Productos!$A:$A,Productos!AB:AB,"Revisar"),"")</f>
        <v/>
      </c>
      <c r="AJ923" s="179" t="str">
        <f t="array" ref="AJ923">IF($F923&lt;&gt;"", XLOOKUP($F923,Productos!$A$2:$A1001,Productos!AC$2:AC1001,"")*$G923,"")</f>
        <v/>
      </c>
      <c r="AK923" s="179" t="str">
        <f t="array" ref="AK923">IF($F923&lt;&gt;"",XLOOKUP($F923,Productos!$A:$A,Productos!AD:AD,"Revisar"),"")</f>
        <v/>
      </c>
      <c r="AL923" s="179" t="str">
        <f t="array" ref="AL923">IF($F923&lt;&gt;"", XLOOKUP($F923,Productos!$A$2:$A1001,Productos!AE$2:AE1001,"")*$G923,"")</f>
        <v/>
      </c>
      <c r="AM923" s="179" t="str">
        <f t="array" ref="AM923">IF($F923&lt;&gt;"",XLOOKUP($F923,Productos!$A:$A,Productos!AF:AF,"Revisar"),"")</f>
        <v/>
      </c>
      <c r="AN923" s="179" t="str">
        <f t="array" ref="AN923">IF($F923&lt;&gt;"", XLOOKUP($F923,Productos!$A$2:$A1001,Productos!AG$2:AG1001,"")*$G923,"")</f>
        <v/>
      </c>
      <c r="AO923" s="179" t="str">
        <f t="array" ref="AO923">IF($F923&lt;&gt;"",XLOOKUP($F923,Productos!$A:$A,Productos!AH:AH,"Revisar"),"")</f>
        <v/>
      </c>
      <c r="AP923" s="179" t="str">
        <f t="array" ref="AP923">IF($F923&lt;&gt;"", XLOOKUP($F923,Productos!$A$2:$A1001,Productos!AI$2:AI1001,"")*$G923,"")</f>
        <v/>
      </c>
      <c r="AQ923" s="179" t="str">
        <f t="array" ref="AQ923">IF($F923&lt;&gt;"",XLOOKUP($F923,Productos!$A:$A,Productos!AJ:AJ,"Revisar"),"")</f>
        <v/>
      </c>
      <c r="AR923" s="179" t="str">
        <f t="array" ref="AR923">IF($F923&lt;&gt;"", XLOOKUP($F923,Productos!$A$2:$A1001,Productos!AK$2:AK1001,"")*$G923,"")</f>
        <v/>
      </c>
      <c r="AS923" s="179" t="str">
        <f t="array" ref="AS923">IF($F923&lt;&gt;"",XLOOKUP($F923,Productos!$A:$A,Productos!AL:AL,"Revisar"),"")</f>
        <v/>
      </c>
      <c r="AT923" s="179" t="str">
        <f t="array" ref="AT923">IF($F923&lt;&gt;"", XLOOKUP($F923,Productos!$A$2:$A1001,Productos!AM$2:AM1001,"")*$G923,"")</f>
        <v/>
      </c>
      <c r="AU923" s="179" t="str">
        <f t="array" ref="AU923">IF($F923&lt;&gt;"",XLOOKUP($F923,Productos!$A:$A,Productos!AN:AN,"Revisar"),"")</f>
        <v/>
      </c>
      <c r="AV923" s="179" t="str">
        <f t="array" ref="AV923">IF($F923&lt;&gt;"", XLOOKUP($F923,Productos!$A$2:$A1001,Productos!AO$2:AO1001,"")*$G923,"")</f>
        <v/>
      </c>
      <c r="AW923" s="179" t="str">
        <f t="array" ref="AW923">IF($F923&lt;&gt;"",XLOOKUP($F923,Productos!$A:$A,Productos!AP:AP,"Revisar"),"")</f>
        <v/>
      </c>
      <c r="AX923" s="179" t="str">
        <f t="array" ref="AX923">IF($F923&lt;&gt;"", XLOOKUP($F923,Productos!$A$2:$A1001,Productos!AQ$2:AQ1001,"")*$G923,"")</f>
        <v/>
      </c>
      <c r="AY923" s="179" t="str">
        <f t="array" ref="AY923">IF($F923&lt;&gt;"",XLOOKUP($F923,Productos!$A:$A,Productos!AR:AR,"Revisar"),"")</f>
        <v/>
      </c>
      <c r="AZ923" s="179" t="str">
        <f t="array" ref="AZ923">IF($F923&lt;&gt;"", XLOOKUP($F923,Productos!$A$2:$A1001,Productos!AS$2:AS1001,"")*$G923,"")</f>
        <v/>
      </c>
      <c r="BA923" s="179" t="str">
        <f t="array" ref="BA923">IF($F923&lt;&gt;"",XLOOKUP($F923,Productos!$A:$A,Productos!AT:AT,"Revisar"),"")</f>
        <v/>
      </c>
      <c r="BB923" s="179" t="str">
        <f t="array" ref="BB923">IF($F923&lt;&gt;"", XLOOKUP($F923,Productos!$A$2:$A1001,Productos!AU$2:AU1001,"")*$G923,"")</f>
        <v/>
      </c>
      <c r="BC923" s="179" t="str">
        <f t="array" ref="BC923">IF($F923&lt;&gt;"",XLOOKUP($F923,Productos!$A:$A,Productos!AV:AV,"Revisar"),"")</f>
        <v/>
      </c>
      <c r="BD923" s="179" t="str">
        <f t="array" ref="BD923">IF($F923&lt;&gt;"", XLOOKUP($F923,Productos!$A$2:$A1001,Productos!AW$2:AW1001,"")*$G923,"")</f>
        <v/>
      </c>
      <c r="BE923" s="179" t="str">
        <f t="array" ref="BE923">IF($F923&lt;&gt;"",XLOOKUP($F923,Productos!$A:$A,Productos!AX:AX,"Revisar"),"")</f>
        <v/>
      </c>
      <c r="BF923" s="179" t="str">
        <f t="array" ref="BF923">IF($F923&lt;&gt;"", XLOOKUP($F923,Productos!$A$2:$A1001,Productos!AY$2:AY1001,"")*$G923,"")</f>
        <v/>
      </c>
      <c r="BG923" s="179" t="str">
        <f t="array" ref="BG923">IF($F923&lt;&gt;"",XLOOKUP($F923,Productos!$A:$A,Productos!AZ:AZ,"Revisar"),"")</f>
        <v/>
      </c>
      <c r="BH923" s="179" t="str">
        <f t="array" ref="BH923">IF($F923&lt;&gt;"", XLOOKUP($F923,Productos!$A$2:$A1001,Productos!BA$2:BA1001,"")*$G923,"")</f>
        <v/>
      </c>
      <c r="BI923" s="179" t="str">
        <f t="array" ref="BI923">IF($F923&lt;&gt;"",XLOOKUP($F923,Productos!$A:$A,Productos!BB:BB,"Revisar"),"")</f>
        <v/>
      </c>
      <c r="BJ923" s="179" t="str">
        <f t="array" ref="BJ923">IF($F923&lt;&gt;"", XLOOKUP($F923,Productos!$A$2:$A1001,Productos!BC$2:BC1001,"")*$G923,"")</f>
        <v/>
      </c>
      <c r="BK923" s="179" t="str">
        <f t="array" ref="BK923">IF($F923&lt;&gt;"",XLOOKUP($F923,Productos!$A:$A,Productos!BD:BD,"Revisar"),"")</f>
        <v/>
      </c>
      <c r="BL923" s="179" t="str">
        <f t="array" ref="BL923">IF($F923&lt;&gt;"", XLOOKUP($F923,Productos!$A$2:$A1001,Productos!BE$2:BE1001,"")*$G923,"")</f>
        <v/>
      </c>
      <c r="BM923" s="179" t="str">
        <f t="array" ref="BM923">IF($F923&lt;&gt;"",XLOOKUP($F923,Productos!$A:$A,Productos!BF:BF,"Revisar"),"")</f>
        <v/>
      </c>
      <c r="BN923" s="179" t="str">
        <f t="array" ref="BN923">IF($F923&lt;&gt;"", XLOOKUP($F923,Productos!$A$2:$A1001,Productos!BG$2:BG1001,"")*$G923,"")</f>
        <v/>
      </c>
      <c r="BO923" s="179" t="str">
        <f t="array" ref="BO923">IF($F923&lt;&gt;"",XLOOKUP($F923,Productos!$A:$A,Productos!BH:BH,"Revisar"),"")</f>
        <v/>
      </c>
      <c r="BP923" s="179" t="str">
        <f t="array" ref="BP923">IF($F923&lt;&gt;"", XLOOKUP($F923,Productos!$A$2:$A1001,Productos!BI$2:BI1001,"")*$G923,"")</f>
        <v/>
      </c>
      <c r="BQ923" s="179" t="str">
        <f t="array" ref="BQ923">IF($F923&lt;&gt;"",XLOOKUP($F923,Productos!$A:$A,Productos!BJ:BJ,"Revisar"),"")</f>
        <v/>
      </c>
      <c r="BR923" s="179" t="str">
        <f t="array" ref="BR923">IF($F923&lt;&gt;"", XLOOKUP($F923,Productos!$A$2:$A1001,Productos!BK$2:BK1001,"")*$G923,"")</f>
        <v/>
      </c>
      <c r="BS923" s="179" t="str">
        <f t="array" ref="BS923">IF($F923&lt;&gt;"",XLOOKUP($F923,Productos!$A:$A,Productos!BL:BL,"Revisar"),"")</f>
        <v/>
      </c>
      <c r="BT923" s="179" t="str">
        <f t="array" ref="BT923">IF($F923&lt;&gt;"", XLOOKUP($F923,Productos!$A$2:$A1001,Productos!BM$2:BM1001,"")*$G923,"")</f>
        <v/>
      </c>
      <c r="BU923" s="179" t="str">
        <f t="array" ref="BU923">IF($F923&lt;&gt;"",XLOOKUP($F923,Productos!$A:$A,Productos!BN:BN,"Revisar"),"")</f>
        <v/>
      </c>
      <c r="BV923" s="179" t="str">
        <f t="array" ref="BV923">IF($F923&lt;&gt;"", XLOOKUP($F923,Productos!$A$2:$A1001,Productos!BO$2:BO1001,"")*$G923,"")</f>
        <v/>
      </c>
      <c r="BW923" s="179" t="str">
        <f t="array" ref="BW923">IF($F923&lt;&gt;"",XLOOKUP($F923,Productos!$A:$A,Productos!BP:BP,"Revisar"),"")</f>
        <v/>
      </c>
      <c r="BX923" s="179" t="str">
        <f t="array" ref="BX923">IF($F923&lt;&gt;"", XLOOKUP($F923,Productos!$A$2:$A1001,Productos!BQ$2:BQ1001,"")*$G923,"")</f>
        <v/>
      </c>
      <c r="BY923" s="179" t="str">
        <f t="array" ref="BY923">IF($F923&lt;&gt;"",XLOOKUP($F923,Productos!$A:$A,Productos!BR:BR,"Revisar"),"")</f>
        <v/>
      </c>
      <c r="BZ923" s="179" t="str">
        <f t="array" ref="BZ923">IF($F923&lt;&gt;"", XLOOKUP($F923,Productos!$A$2:$A1001,Productos!BS$2:BS1001,"")*$G923,"")</f>
        <v/>
      </c>
    </row>
    <row r="924">
      <c r="A924" s="188"/>
      <c r="B924" s="189"/>
      <c r="C924" s="190"/>
      <c r="D924" s="190"/>
      <c r="E924" s="191"/>
      <c r="F924" s="186"/>
      <c r="G924" s="192"/>
      <c r="H924" s="9"/>
      <c r="I924" s="179" t="str">
        <f t="array" ref="I924">IF($F924&lt;&gt;"",XLOOKUP($F924,Productos!$A:$A,Productos!B:B,"Revisar"),"")</f>
        <v/>
      </c>
      <c r="J924" s="179" t="str">
        <f t="array" ref="J924">IF($F924&lt;&gt;"", XLOOKUP($F924,Productos!$A$2:$A1001,Productos!C$2:C1001,"")*$G924,"")</f>
        <v/>
      </c>
      <c r="K924" s="179" t="str">
        <f t="array" ref="K924">IF($F924&lt;&gt;"",XLOOKUP($F924,Productos!$A:$A,Productos!D:D,"Revisar"),"")</f>
        <v/>
      </c>
      <c r="L924" s="179" t="str">
        <f t="array" ref="L924">IF($F924&lt;&gt;"", XLOOKUP($F924,Productos!$A$2:$A1001,Productos!E$2:E1001,"")*$G924,"")</f>
        <v/>
      </c>
      <c r="M924" s="179" t="str">
        <f t="array" ref="M924">IF($F924&lt;&gt;"",XLOOKUP($F924,Productos!$A:$A,Productos!F:F,"Revisar"),"")</f>
        <v/>
      </c>
      <c r="N924" s="179" t="str">
        <f t="array" ref="N924">IF($F924&lt;&gt;"", XLOOKUP($F924,Productos!$A$2:$A1001,Productos!G$2:G1001,"")*$G924,"")</f>
        <v/>
      </c>
      <c r="O924" s="179" t="str">
        <f t="array" ref="O924">IF($F924&lt;&gt;"",XLOOKUP($F924,Productos!$A:$A,Productos!H:H,"Revisar"),"")</f>
        <v/>
      </c>
      <c r="P924" s="179" t="str">
        <f t="array" ref="P924">IF($F924&lt;&gt;"", XLOOKUP($F924,Productos!$A$2:$A1001,Productos!I$2:I1001,"")*$G924,"")</f>
        <v/>
      </c>
      <c r="Q924" s="179" t="str">
        <f t="array" ref="Q924">IF($F924&lt;&gt;"",XLOOKUP($F924,Productos!$A:$A,Productos!J:J,"Revisar"),"")</f>
        <v/>
      </c>
      <c r="R924" s="179" t="str">
        <f t="array" ref="R924">IF($F924&lt;&gt;"", XLOOKUP($F924,Productos!$A$2:$A1001,Productos!K$2:K1001,"")*$G924,"")</f>
        <v/>
      </c>
      <c r="S924" s="179" t="str">
        <f t="array" ref="S924">IF($F924&lt;&gt;"",XLOOKUP($F924,Productos!$A:$A,Productos!L:L,"Revisar"),"")</f>
        <v/>
      </c>
      <c r="T924" s="179" t="str">
        <f t="array" ref="T924">IF($F924&lt;&gt;"", XLOOKUP($F924,Productos!$A$2:$A1001,Productos!M$2:M1001,"")*$G924,"")</f>
        <v/>
      </c>
      <c r="U924" s="179" t="str">
        <f t="array" ref="U924">IF($F924&lt;&gt;"",XLOOKUP($F924,Productos!$A:$A,Productos!N:N,"Revisar"),"")</f>
        <v/>
      </c>
      <c r="V924" s="179" t="str">
        <f t="array" ref="V924">IF($F924&lt;&gt;"", XLOOKUP($F924,Productos!$A$2:$A1001,Productos!O$2:O1001,"")*$G924,"")</f>
        <v/>
      </c>
      <c r="W924" s="179" t="str">
        <f t="array" ref="W924">IF($F924&lt;&gt;"",XLOOKUP($F924,Productos!$A:$A,Productos!P:P,"Revisar"),"")</f>
        <v/>
      </c>
      <c r="X924" s="179" t="str">
        <f t="array" ref="X924">IF($F924&lt;&gt;"", XLOOKUP($F924,Productos!$A$2:$A1001,Productos!Q$2:Q1001,"")*$G924,"")</f>
        <v/>
      </c>
      <c r="Y924" s="179" t="str">
        <f t="array" ref="Y924">IF($F924&lt;&gt;"",XLOOKUP($F924,Productos!$A:$A,Productos!R:R,"Revisar"),"")</f>
        <v/>
      </c>
      <c r="Z924" s="179" t="str">
        <f t="array" ref="Z924">IF($F924&lt;&gt;"", XLOOKUP($F924,Productos!$A$2:$A1001,Productos!S$2:S1001,"")*$G924,"")</f>
        <v/>
      </c>
      <c r="AA924" s="179" t="str">
        <f t="array" ref="AA924">IF($F924&lt;&gt;"",XLOOKUP($F924,Productos!$A:$A,Productos!T:T,"Revisar"),"")</f>
        <v/>
      </c>
      <c r="AB924" s="179" t="str">
        <f t="array" ref="AB924">IF($F924&lt;&gt;"", XLOOKUP($F924,Productos!$A$2:$A1001,Productos!U$2:U1001,"")*$G924,"")</f>
        <v/>
      </c>
      <c r="AC924" s="179" t="str">
        <f t="array" ref="AC924">IF($F924&lt;&gt;"",XLOOKUP($F924,Productos!$A:$A,Productos!V:V,"Revisar"),"")</f>
        <v/>
      </c>
      <c r="AD924" s="179" t="str">
        <f t="array" ref="AD924">IF($F924&lt;&gt;"", XLOOKUP($F924,Productos!$A$2:$A1001,Productos!W$2:W1001,"")*$G924,"")</f>
        <v/>
      </c>
      <c r="AE924" s="179" t="str">
        <f t="array" ref="AE924">IF($F924&lt;&gt;"",XLOOKUP($F924,Productos!$A:$A,Productos!X:X,"Revisar"),"")</f>
        <v/>
      </c>
      <c r="AF924" s="179" t="str">
        <f t="array" ref="AF924">IF($F924&lt;&gt;"", XLOOKUP($F924,Productos!$A$2:$A1001,Productos!Y$2:Y1001,"")*$G924,"")</f>
        <v/>
      </c>
      <c r="AG924" s="179" t="str">
        <f t="array" ref="AG924">IF($F924&lt;&gt;"",XLOOKUP($F924,Productos!$A:$A,Productos!Z:Z,"Revisar"),"")</f>
        <v/>
      </c>
      <c r="AH924" s="179" t="str">
        <f t="array" ref="AH924">IF($F924&lt;&gt;"", XLOOKUP($F924,Productos!$A$2:$A1001,Productos!AA$2:AA1001,"")*$G924,"")</f>
        <v/>
      </c>
      <c r="AI924" s="179" t="str">
        <f t="array" ref="AI924">IF($F924&lt;&gt;"",XLOOKUP($F924,Productos!$A:$A,Productos!AB:AB,"Revisar"),"")</f>
        <v/>
      </c>
      <c r="AJ924" s="179" t="str">
        <f t="array" ref="AJ924">IF($F924&lt;&gt;"", XLOOKUP($F924,Productos!$A$2:$A1001,Productos!AC$2:AC1001,"")*$G924,"")</f>
        <v/>
      </c>
      <c r="AK924" s="179" t="str">
        <f t="array" ref="AK924">IF($F924&lt;&gt;"",XLOOKUP($F924,Productos!$A:$A,Productos!AD:AD,"Revisar"),"")</f>
        <v/>
      </c>
      <c r="AL924" s="179" t="str">
        <f t="array" ref="AL924">IF($F924&lt;&gt;"", XLOOKUP($F924,Productos!$A$2:$A1001,Productos!AE$2:AE1001,"")*$G924,"")</f>
        <v/>
      </c>
      <c r="AM924" s="179" t="str">
        <f t="array" ref="AM924">IF($F924&lt;&gt;"",XLOOKUP($F924,Productos!$A:$A,Productos!AF:AF,"Revisar"),"")</f>
        <v/>
      </c>
      <c r="AN924" s="179" t="str">
        <f t="array" ref="AN924">IF($F924&lt;&gt;"", XLOOKUP($F924,Productos!$A$2:$A1001,Productos!AG$2:AG1001,"")*$G924,"")</f>
        <v/>
      </c>
      <c r="AO924" s="179" t="str">
        <f t="array" ref="AO924">IF($F924&lt;&gt;"",XLOOKUP($F924,Productos!$A:$A,Productos!AH:AH,"Revisar"),"")</f>
        <v/>
      </c>
      <c r="AP924" s="179" t="str">
        <f t="array" ref="AP924">IF($F924&lt;&gt;"", XLOOKUP($F924,Productos!$A$2:$A1001,Productos!AI$2:AI1001,"")*$G924,"")</f>
        <v/>
      </c>
      <c r="AQ924" s="179" t="str">
        <f t="array" ref="AQ924">IF($F924&lt;&gt;"",XLOOKUP($F924,Productos!$A:$A,Productos!AJ:AJ,"Revisar"),"")</f>
        <v/>
      </c>
      <c r="AR924" s="179" t="str">
        <f t="array" ref="AR924">IF($F924&lt;&gt;"", XLOOKUP($F924,Productos!$A$2:$A1001,Productos!AK$2:AK1001,"")*$G924,"")</f>
        <v/>
      </c>
      <c r="AS924" s="179" t="str">
        <f t="array" ref="AS924">IF($F924&lt;&gt;"",XLOOKUP($F924,Productos!$A:$A,Productos!AL:AL,"Revisar"),"")</f>
        <v/>
      </c>
      <c r="AT924" s="179" t="str">
        <f t="array" ref="AT924">IF($F924&lt;&gt;"", XLOOKUP($F924,Productos!$A$2:$A1001,Productos!AM$2:AM1001,"")*$G924,"")</f>
        <v/>
      </c>
      <c r="AU924" s="179" t="str">
        <f t="array" ref="AU924">IF($F924&lt;&gt;"",XLOOKUP($F924,Productos!$A:$A,Productos!AN:AN,"Revisar"),"")</f>
        <v/>
      </c>
      <c r="AV924" s="179" t="str">
        <f t="array" ref="AV924">IF($F924&lt;&gt;"", XLOOKUP($F924,Productos!$A$2:$A1001,Productos!AO$2:AO1001,"")*$G924,"")</f>
        <v/>
      </c>
      <c r="AW924" s="179" t="str">
        <f t="array" ref="AW924">IF($F924&lt;&gt;"",XLOOKUP($F924,Productos!$A:$A,Productos!AP:AP,"Revisar"),"")</f>
        <v/>
      </c>
      <c r="AX924" s="179" t="str">
        <f t="array" ref="AX924">IF($F924&lt;&gt;"", XLOOKUP($F924,Productos!$A$2:$A1001,Productos!AQ$2:AQ1001,"")*$G924,"")</f>
        <v/>
      </c>
      <c r="AY924" s="179" t="str">
        <f t="array" ref="AY924">IF($F924&lt;&gt;"",XLOOKUP($F924,Productos!$A:$A,Productos!AR:AR,"Revisar"),"")</f>
        <v/>
      </c>
      <c r="AZ924" s="179" t="str">
        <f t="array" ref="AZ924">IF($F924&lt;&gt;"", XLOOKUP($F924,Productos!$A$2:$A1001,Productos!AS$2:AS1001,"")*$G924,"")</f>
        <v/>
      </c>
      <c r="BA924" s="179" t="str">
        <f t="array" ref="BA924">IF($F924&lt;&gt;"",XLOOKUP($F924,Productos!$A:$A,Productos!AT:AT,"Revisar"),"")</f>
        <v/>
      </c>
      <c r="BB924" s="179" t="str">
        <f t="array" ref="BB924">IF($F924&lt;&gt;"", XLOOKUP($F924,Productos!$A$2:$A1001,Productos!AU$2:AU1001,"")*$G924,"")</f>
        <v/>
      </c>
      <c r="BC924" s="179" t="str">
        <f t="array" ref="BC924">IF($F924&lt;&gt;"",XLOOKUP($F924,Productos!$A:$A,Productos!AV:AV,"Revisar"),"")</f>
        <v/>
      </c>
      <c r="BD924" s="179" t="str">
        <f t="array" ref="BD924">IF($F924&lt;&gt;"", XLOOKUP($F924,Productos!$A$2:$A1001,Productos!AW$2:AW1001,"")*$G924,"")</f>
        <v/>
      </c>
      <c r="BE924" s="179" t="str">
        <f t="array" ref="BE924">IF($F924&lt;&gt;"",XLOOKUP($F924,Productos!$A:$A,Productos!AX:AX,"Revisar"),"")</f>
        <v/>
      </c>
      <c r="BF924" s="179" t="str">
        <f t="array" ref="BF924">IF($F924&lt;&gt;"", XLOOKUP($F924,Productos!$A$2:$A1001,Productos!AY$2:AY1001,"")*$G924,"")</f>
        <v/>
      </c>
      <c r="BG924" s="179" t="str">
        <f t="array" ref="BG924">IF($F924&lt;&gt;"",XLOOKUP($F924,Productos!$A:$A,Productos!AZ:AZ,"Revisar"),"")</f>
        <v/>
      </c>
      <c r="BH924" s="179" t="str">
        <f t="array" ref="BH924">IF($F924&lt;&gt;"", XLOOKUP($F924,Productos!$A$2:$A1001,Productos!BA$2:BA1001,"")*$G924,"")</f>
        <v/>
      </c>
      <c r="BI924" s="179" t="str">
        <f t="array" ref="BI924">IF($F924&lt;&gt;"",XLOOKUP($F924,Productos!$A:$A,Productos!BB:BB,"Revisar"),"")</f>
        <v/>
      </c>
      <c r="BJ924" s="179" t="str">
        <f t="array" ref="BJ924">IF($F924&lt;&gt;"", XLOOKUP($F924,Productos!$A$2:$A1001,Productos!BC$2:BC1001,"")*$G924,"")</f>
        <v/>
      </c>
      <c r="BK924" s="179" t="str">
        <f t="array" ref="BK924">IF($F924&lt;&gt;"",XLOOKUP($F924,Productos!$A:$A,Productos!BD:BD,"Revisar"),"")</f>
        <v/>
      </c>
      <c r="BL924" s="179" t="str">
        <f t="array" ref="BL924">IF($F924&lt;&gt;"", XLOOKUP($F924,Productos!$A$2:$A1001,Productos!BE$2:BE1001,"")*$G924,"")</f>
        <v/>
      </c>
      <c r="BM924" s="179" t="str">
        <f t="array" ref="BM924">IF($F924&lt;&gt;"",XLOOKUP($F924,Productos!$A:$A,Productos!BF:BF,"Revisar"),"")</f>
        <v/>
      </c>
      <c r="BN924" s="179" t="str">
        <f t="array" ref="BN924">IF($F924&lt;&gt;"", XLOOKUP($F924,Productos!$A$2:$A1001,Productos!BG$2:BG1001,"")*$G924,"")</f>
        <v/>
      </c>
      <c r="BO924" s="179" t="str">
        <f t="array" ref="BO924">IF($F924&lt;&gt;"",XLOOKUP($F924,Productos!$A:$A,Productos!BH:BH,"Revisar"),"")</f>
        <v/>
      </c>
      <c r="BP924" s="179" t="str">
        <f t="array" ref="BP924">IF($F924&lt;&gt;"", XLOOKUP($F924,Productos!$A$2:$A1001,Productos!BI$2:BI1001,"")*$G924,"")</f>
        <v/>
      </c>
      <c r="BQ924" s="179" t="str">
        <f t="array" ref="BQ924">IF($F924&lt;&gt;"",XLOOKUP($F924,Productos!$A:$A,Productos!BJ:BJ,"Revisar"),"")</f>
        <v/>
      </c>
      <c r="BR924" s="179" t="str">
        <f t="array" ref="BR924">IF($F924&lt;&gt;"", XLOOKUP($F924,Productos!$A$2:$A1001,Productos!BK$2:BK1001,"")*$G924,"")</f>
        <v/>
      </c>
      <c r="BS924" s="179" t="str">
        <f t="array" ref="BS924">IF($F924&lt;&gt;"",XLOOKUP($F924,Productos!$A:$A,Productos!BL:BL,"Revisar"),"")</f>
        <v/>
      </c>
      <c r="BT924" s="179" t="str">
        <f t="array" ref="BT924">IF($F924&lt;&gt;"", XLOOKUP($F924,Productos!$A$2:$A1001,Productos!BM$2:BM1001,"")*$G924,"")</f>
        <v/>
      </c>
      <c r="BU924" s="179" t="str">
        <f t="array" ref="BU924">IF($F924&lt;&gt;"",XLOOKUP($F924,Productos!$A:$A,Productos!BN:BN,"Revisar"),"")</f>
        <v/>
      </c>
      <c r="BV924" s="179" t="str">
        <f t="array" ref="BV924">IF($F924&lt;&gt;"", XLOOKUP($F924,Productos!$A$2:$A1001,Productos!BO$2:BO1001,"")*$G924,"")</f>
        <v/>
      </c>
      <c r="BW924" s="179" t="str">
        <f t="array" ref="BW924">IF($F924&lt;&gt;"",XLOOKUP($F924,Productos!$A:$A,Productos!BP:BP,"Revisar"),"")</f>
        <v/>
      </c>
      <c r="BX924" s="179" t="str">
        <f t="array" ref="BX924">IF($F924&lt;&gt;"", XLOOKUP($F924,Productos!$A$2:$A1001,Productos!BQ$2:BQ1001,"")*$G924,"")</f>
        <v/>
      </c>
      <c r="BY924" s="179" t="str">
        <f t="array" ref="BY924">IF($F924&lt;&gt;"",XLOOKUP($F924,Productos!$A:$A,Productos!BR:BR,"Revisar"),"")</f>
        <v/>
      </c>
      <c r="BZ924" s="179" t="str">
        <f t="array" ref="BZ924">IF($F924&lt;&gt;"", XLOOKUP($F924,Productos!$A$2:$A1001,Productos!BS$2:BS1001,"")*$G924,"")</f>
        <v/>
      </c>
    </row>
    <row r="925">
      <c r="A925" s="188"/>
      <c r="B925" s="189"/>
      <c r="C925" s="190"/>
      <c r="D925" s="190"/>
      <c r="E925" s="191"/>
      <c r="F925" s="186"/>
      <c r="G925" s="192"/>
      <c r="H925" s="9"/>
      <c r="I925" s="179" t="str">
        <f t="array" ref="I925">IF($F925&lt;&gt;"",XLOOKUP($F925,Productos!$A:$A,Productos!B:B,"Revisar"),"")</f>
        <v/>
      </c>
      <c r="J925" s="179" t="str">
        <f t="array" ref="J925">IF($F925&lt;&gt;"", XLOOKUP($F925,Productos!$A$2:$A1001,Productos!C$2:C1001,"")*$G925,"")</f>
        <v/>
      </c>
      <c r="K925" s="179" t="str">
        <f t="array" ref="K925">IF($F925&lt;&gt;"",XLOOKUP($F925,Productos!$A:$A,Productos!D:D,"Revisar"),"")</f>
        <v/>
      </c>
      <c r="L925" s="179" t="str">
        <f t="array" ref="L925">IF($F925&lt;&gt;"", XLOOKUP($F925,Productos!$A$2:$A1001,Productos!E$2:E1001,"")*$G925,"")</f>
        <v/>
      </c>
      <c r="M925" s="179" t="str">
        <f t="array" ref="M925">IF($F925&lt;&gt;"",XLOOKUP($F925,Productos!$A:$A,Productos!F:F,"Revisar"),"")</f>
        <v/>
      </c>
      <c r="N925" s="179" t="str">
        <f t="array" ref="N925">IF($F925&lt;&gt;"", XLOOKUP($F925,Productos!$A$2:$A1001,Productos!G$2:G1001,"")*$G925,"")</f>
        <v/>
      </c>
      <c r="O925" s="179" t="str">
        <f t="array" ref="O925">IF($F925&lt;&gt;"",XLOOKUP($F925,Productos!$A:$A,Productos!H:H,"Revisar"),"")</f>
        <v/>
      </c>
      <c r="P925" s="179" t="str">
        <f t="array" ref="P925">IF($F925&lt;&gt;"", XLOOKUP($F925,Productos!$A$2:$A1001,Productos!I$2:I1001,"")*$G925,"")</f>
        <v/>
      </c>
      <c r="Q925" s="179" t="str">
        <f t="array" ref="Q925">IF($F925&lt;&gt;"",XLOOKUP($F925,Productos!$A:$A,Productos!J:J,"Revisar"),"")</f>
        <v/>
      </c>
      <c r="R925" s="179" t="str">
        <f t="array" ref="R925">IF($F925&lt;&gt;"", XLOOKUP($F925,Productos!$A$2:$A1001,Productos!K$2:K1001,"")*$G925,"")</f>
        <v/>
      </c>
      <c r="S925" s="179" t="str">
        <f t="array" ref="S925">IF($F925&lt;&gt;"",XLOOKUP($F925,Productos!$A:$A,Productos!L:L,"Revisar"),"")</f>
        <v/>
      </c>
      <c r="T925" s="179" t="str">
        <f t="array" ref="T925">IF($F925&lt;&gt;"", XLOOKUP($F925,Productos!$A$2:$A1001,Productos!M$2:M1001,"")*$G925,"")</f>
        <v/>
      </c>
      <c r="U925" s="179" t="str">
        <f t="array" ref="U925">IF($F925&lt;&gt;"",XLOOKUP($F925,Productos!$A:$A,Productos!N:N,"Revisar"),"")</f>
        <v/>
      </c>
      <c r="V925" s="179" t="str">
        <f t="array" ref="V925">IF($F925&lt;&gt;"", XLOOKUP($F925,Productos!$A$2:$A1001,Productos!O$2:O1001,"")*$G925,"")</f>
        <v/>
      </c>
      <c r="W925" s="179" t="str">
        <f t="array" ref="W925">IF($F925&lt;&gt;"",XLOOKUP($F925,Productos!$A:$A,Productos!P:P,"Revisar"),"")</f>
        <v/>
      </c>
      <c r="X925" s="179" t="str">
        <f t="array" ref="X925">IF($F925&lt;&gt;"", XLOOKUP($F925,Productos!$A$2:$A1001,Productos!Q$2:Q1001,"")*$G925,"")</f>
        <v/>
      </c>
      <c r="Y925" s="179" t="str">
        <f t="array" ref="Y925">IF($F925&lt;&gt;"",XLOOKUP($F925,Productos!$A:$A,Productos!R:R,"Revisar"),"")</f>
        <v/>
      </c>
      <c r="Z925" s="179" t="str">
        <f t="array" ref="Z925">IF($F925&lt;&gt;"", XLOOKUP($F925,Productos!$A$2:$A1001,Productos!S$2:S1001,"")*$G925,"")</f>
        <v/>
      </c>
      <c r="AA925" s="179" t="str">
        <f t="array" ref="AA925">IF($F925&lt;&gt;"",XLOOKUP($F925,Productos!$A:$A,Productos!T:T,"Revisar"),"")</f>
        <v/>
      </c>
      <c r="AB925" s="179" t="str">
        <f t="array" ref="AB925">IF($F925&lt;&gt;"", XLOOKUP($F925,Productos!$A$2:$A1001,Productos!U$2:U1001,"")*$G925,"")</f>
        <v/>
      </c>
      <c r="AC925" s="179" t="str">
        <f t="array" ref="AC925">IF($F925&lt;&gt;"",XLOOKUP($F925,Productos!$A:$A,Productos!V:V,"Revisar"),"")</f>
        <v/>
      </c>
      <c r="AD925" s="179" t="str">
        <f t="array" ref="AD925">IF($F925&lt;&gt;"", XLOOKUP($F925,Productos!$A$2:$A1001,Productos!W$2:W1001,"")*$G925,"")</f>
        <v/>
      </c>
      <c r="AE925" s="179" t="str">
        <f t="array" ref="AE925">IF($F925&lt;&gt;"",XLOOKUP($F925,Productos!$A:$A,Productos!X:X,"Revisar"),"")</f>
        <v/>
      </c>
      <c r="AF925" s="179" t="str">
        <f t="array" ref="AF925">IF($F925&lt;&gt;"", XLOOKUP($F925,Productos!$A$2:$A1001,Productos!Y$2:Y1001,"")*$G925,"")</f>
        <v/>
      </c>
      <c r="AG925" s="179" t="str">
        <f t="array" ref="AG925">IF($F925&lt;&gt;"",XLOOKUP($F925,Productos!$A:$A,Productos!Z:Z,"Revisar"),"")</f>
        <v/>
      </c>
      <c r="AH925" s="179" t="str">
        <f t="array" ref="AH925">IF($F925&lt;&gt;"", XLOOKUP($F925,Productos!$A$2:$A1001,Productos!AA$2:AA1001,"")*$G925,"")</f>
        <v/>
      </c>
      <c r="AI925" s="179" t="str">
        <f t="array" ref="AI925">IF($F925&lt;&gt;"",XLOOKUP($F925,Productos!$A:$A,Productos!AB:AB,"Revisar"),"")</f>
        <v/>
      </c>
      <c r="AJ925" s="179" t="str">
        <f t="array" ref="AJ925">IF($F925&lt;&gt;"", XLOOKUP($F925,Productos!$A$2:$A1001,Productos!AC$2:AC1001,"")*$G925,"")</f>
        <v/>
      </c>
      <c r="AK925" s="179" t="str">
        <f t="array" ref="AK925">IF($F925&lt;&gt;"",XLOOKUP($F925,Productos!$A:$A,Productos!AD:AD,"Revisar"),"")</f>
        <v/>
      </c>
      <c r="AL925" s="179" t="str">
        <f t="array" ref="AL925">IF($F925&lt;&gt;"", XLOOKUP($F925,Productos!$A$2:$A1001,Productos!AE$2:AE1001,"")*$G925,"")</f>
        <v/>
      </c>
      <c r="AM925" s="179" t="str">
        <f t="array" ref="AM925">IF($F925&lt;&gt;"",XLOOKUP($F925,Productos!$A:$A,Productos!AF:AF,"Revisar"),"")</f>
        <v/>
      </c>
      <c r="AN925" s="179" t="str">
        <f t="array" ref="AN925">IF($F925&lt;&gt;"", XLOOKUP($F925,Productos!$A$2:$A1001,Productos!AG$2:AG1001,"")*$G925,"")</f>
        <v/>
      </c>
      <c r="AO925" s="179" t="str">
        <f t="array" ref="AO925">IF($F925&lt;&gt;"",XLOOKUP($F925,Productos!$A:$A,Productos!AH:AH,"Revisar"),"")</f>
        <v/>
      </c>
      <c r="AP925" s="179" t="str">
        <f t="array" ref="AP925">IF($F925&lt;&gt;"", XLOOKUP($F925,Productos!$A$2:$A1001,Productos!AI$2:AI1001,"")*$G925,"")</f>
        <v/>
      </c>
      <c r="AQ925" s="179" t="str">
        <f t="array" ref="AQ925">IF($F925&lt;&gt;"",XLOOKUP($F925,Productos!$A:$A,Productos!AJ:AJ,"Revisar"),"")</f>
        <v/>
      </c>
      <c r="AR925" s="179" t="str">
        <f t="array" ref="AR925">IF($F925&lt;&gt;"", XLOOKUP($F925,Productos!$A$2:$A1001,Productos!AK$2:AK1001,"")*$G925,"")</f>
        <v/>
      </c>
      <c r="AS925" s="179" t="str">
        <f t="array" ref="AS925">IF($F925&lt;&gt;"",XLOOKUP($F925,Productos!$A:$A,Productos!AL:AL,"Revisar"),"")</f>
        <v/>
      </c>
      <c r="AT925" s="179" t="str">
        <f t="array" ref="AT925">IF($F925&lt;&gt;"", XLOOKUP($F925,Productos!$A$2:$A1001,Productos!AM$2:AM1001,"")*$G925,"")</f>
        <v/>
      </c>
      <c r="AU925" s="179" t="str">
        <f t="array" ref="AU925">IF($F925&lt;&gt;"",XLOOKUP($F925,Productos!$A:$A,Productos!AN:AN,"Revisar"),"")</f>
        <v/>
      </c>
      <c r="AV925" s="179" t="str">
        <f t="array" ref="AV925">IF($F925&lt;&gt;"", XLOOKUP($F925,Productos!$A$2:$A1001,Productos!AO$2:AO1001,"")*$G925,"")</f>
        <v/>
      </c>
      <c r="AW925" s="179" t="str">
        <f t="array" ref="AW925">IF($F925&lt;&gt;"",XLOOKUP($F925,Productos!$A:$A,Productos!AP:AP,"Revisar"),"")</f>
        <v/>
      </c>
      <c r="AX925" s="179" t="str">
        <f t="array" ref="AX925">IF($F925&lt;&gt;"", XLOOKUP($F925,Productos!$A$2:$A1001,Productos!AQ$2:AQ1001,"")*$G925,"")</f>
        <v/>
      </c>
      <c r="AY925" s="179" t="str">
        <f t="array" ref="AY925">IF($F925&lt;&gt;"",XLOOKUP($F925,Productos!$A:$A,Productos!AR:AR,"Revisar"),"")</f>
        <v/>
      </c>
      <c r="AZ925" s="179" t="str">
        <f t="array" ref="AZ925">IF($F925&lt;&gt;"", XLOOKUP($F925,Productos!$A$2:$A1001,Productos!AS$2:AS1001,"")*$G925,"")</f>
        <v/>
      </c>
      <c r="BA925" s="179" t="str">
        <f t="array" ref="BA925">IF($F925&lt;&gt;"",XLOOKUP($F925,Productos!$A:$A,Productos!AT:AT,"Revisar"),"")</f>
        <v/>
      </c>
      <c r="BB925" s="179" t="str">
        <f t="array" ref="BB925">IF($F925&lt;&gt;"", XLOOKUP($F925,Productos!$A$2:$A1001,Productos!AU$2:AU1001,"")*$G925,"")</f>
        <v/>
      </c>
      <c r="BC925" s="179" t="str">
        <f t="array" ref="BC925">IF($F925&lt;&gt;"",XLOOKUP($F925,Productos!$A:$A,Productos!AV:AV,"Revisar"),"")</f>
        <v/>
      </c>
      <c r="BD925" s="179" t="str">
        <f t="array" ref="BD925">IF($F925&lt;&gt;"", XLOOKUP($F925,Productos!$A$2:$A1001,Productos!AW$2:AW1001,"")*$G925,"")</f>
        <v/>
      </c>
      <c r="BE925" s="179" t="str">
        <f t="array" ref="BE925">IF($F925&lt;&gt;"",XLOOKUP($F925,Productos!$A:$A,Productos!AX:AX,"Revisar"),"")</f>
        <v/>
      </c>
      <c r="BF925" s="179" t="str">
        <f t="array" ref="BF925">IF($F925&lt;&gt;"", XLOOKUP($F925,Productos!$A$2:$A1001,Productos!AY$2:AY1001,"")*$G925,"")</f>
        <v/>
      </c>
      <c r="BG925" s="179" t="str">
        <f t="array" ref="BG925">IF($F925&lt;&gt;"",XLOOKUP($F925,Productos!$A:$A,Productos!AZ:AZ,"Revisar"),"")</f>
        <v/>
      </c>
      <c r="BH925" s="179" t="str">
        <f t="array" ref="BH925">IF($F925&lt;&gt;"", XLOOKUP($F925,Productos!$A$2:$A1001,Productos!BA$2:BA1001,"")*$G925,"")</f>
        <v/>
      </c>
      <c r="BI925" s="179" t="str">
        <f t="array" ref="BI925">IF($F925&lt;&gt;"",XLOOKUP($F925,Productos!$A:$A,Productos!BB:BB,"Revisar"),"")</f>
        <v/>
      </c>
      <c r="BJ925" s="179" t="str">
        <f t="array" ref="BJ925">IF($F925&lt;&gt;"", XLOOKUP($F925,Productos!$A$2:$A1001,Productos!BC$2:BC1001,"")*$G925,"")</f>
        <v/>
      </c>
      <c r="BK925" s="179" t="str">
        <f t="array" ref="BK925">IF($F925&lt;&gt;"",XLOOKUP($F925,Productos!$A:$A,Productos!BD:BD,"Revisar"),"")</f>
        <v/>
      </c>
      <c r="BL925" s="179" t="str">
        <f t="array" ref="BL925">IF($F925&lt;&gt;"", XLOOKUP($F925,Productos!$A$2:$A1001,Productos!BE$2:BE1001,"")*$G925,"")</f>
        <v/>
      </c>
      <c r="BM925" s="179" t="str">
        <f t="array" ref="BM925">IF($F925&lt;&gt;"",XLOOKUP($F925,Productos!$A:$A,Productos!BF:BF,"Revisar"),"")</f>
        <v/>
      </c>
      <c r="BN925" s="179" t="str">
        <f t="array" ref="BN925">IF($F925&lt;&gt;"", XLOOKUP($F925,Productos!$A$2:$A1001,Productos!BG$2:BG1001,"")*$G925,"")</f>
        <v/>
      </c>
      <c r="BO925" s="179" t="str">
        <f t="array" ref="BO925">IF($F925&lt;&gt;"",XLOOKUP($F925,Productos!$A:$A,Productos!BH:BH,"Revisar"),"")</f>
        <v/>
      </c>
      <c r="BP925" s="179" t="str">
        <f t="array" ref="BP925">IF($F925&lt;&gt;"", XLOOKUP($F925,Productos!$A$2:$A1001,Productos!BI$2:BI1001,"")*$G925,"")</f>
        <v/>
      </c>
      <c r="BQ925" s="179" t="str">
        <f t="array" ref="BQ925">IF($F925&lt;&gt;"",XLOOKUP($F925,Productos!$A:$A,Productos!BJ:BJ,"Revisar"),"")</f>
        <v/>
      </c>
      <c r="BR925" s="179" t="str">
        <f t="array" ref="BR925">IF($F925&lt;&gt;"", XLOOKUP($F925,Productos!$A$2:$A1001,Productos!BK$2:BK1001,"")*$G925,"")</f>
        <v/>
      </c>
      <c r="BS925" s="179" t="str">
        <f t="array" ref="BS925">IF($F925&lt;&gt;"",XLOOKUP($F925,Productos!$A:$A,Productos!BL:BL,"Revisar"),"")</f>
        <v/>
      </c>
      <c r="BT925" s="179" t="str">
        <f t="array" ref="BT925">IF($F925&lt;&gt;"", XLOOKUP($F925,Productos!$A$2:$A1001,Productos!BM$2:BM1001,"")*$G925,"")</f>
        <v/>
      </c>
      <c r="BU925" s="179" t="str">
        <f t="array" ref="BU925">IF($F925&lt;&gt;"",XLOOKUP($F925,Productos!$A:$A,Productos!BN:BN,"Revisar"),"")</f>
        <v/>
      </c>
      <c r="BV925" s="179" t="str">
        <f t="array" ref="BV925">IF($F925&lt;&gt;"", XLOOKUP($F925,Productos!$A$2:$A1001,Productos!BO$2:BO1001,"")*$G925,"")</f>
        <v/>
      </c>
      <c r="BW925" s="179" t="str">
        <f t="array" ref="BW925">IF($F925&lt;&gt;"",XLOOKUP($F925,Productos!$A:$A,Productos!BP:BP,"Revisar"),"")</f>
        <v/>
      </c>
      <c r="BX925" s="179" t="str">
        <f t="array" ref="BX925">IF($F925&lt;&gt;"", XLOOKUP($F925,Productos!$A$2:$A1001,Productos!BQ$2:BQ1001,"")*$G925,"")</f>
        <v/>
      </c>
      <c r="BY925" s="179" t="str">
        <f t="array" ref="BY925">IF($F925&lt;&gt;"",XLOOKUP($F925,Productos!$A:$A,Productos!BR:BR,"Revisar"),"")</f>
        <v/>
      </c>
      <c r="BZ925" s="179" t="str">
        <f t="array" ref="BZ925">IF($F925&lt;&gt;"", XLOOKUP($F925,Productos!$A$2:$A1001,Productos!BS$2:BS1001,"")*$G925,"")</f>
        <v/>
      </c>
    </row>
    <row r="926">
      <c r="A926" s="188"/>
      <c r="B926" s="189"/>
      <c r="C926" s="190"/>
      <c r="D926" s="190"/>
      <c r="E926" s="191"/>
      <c r="F926" s="186"/>
      <c r="G926" s="192"/>
      <c r="H926" s="9"/>
      <c r="I926" s="179" t="str">
        <f t="array" ref="I926">IF($F926&lt;&gt;"",XLOOKUP($F926,Productos!$A:$A,Productos!B:B,"Revisar"),"")</f>
        <v/>
      </c>
      <c r="J926" s="179" t="str">
        <f t="array" ref="J926">IF($F926&lt;&gt;"", XLOOKUP($F926,Productos!$A$2:$A1001,Productos!C$2:C1001,"")*$G926,"")</f>
        <v/>
      </c>
      <c r="K926" s="179" t="str">
        <f t="array" ref="K926">IF($F926&lt;&gt;"",XLOOKUP($F926,Productos!$A:$A,Productos!D:D,"Revisar"),"")</f>
        <v/>
      </c>
      <c r="L926" s="179" t="str">
        <f t="array" ref="L926">IF($F926&lt;&gt;"", XLOOKUP($F926,Productos!$A$2:$A1001,Productos!E$2:E1001,"")*$G926,"")</f>
        <v/>
      </c>
      <c r="M926" s="179" t="str">
        <f t="array" ref="M926">IF($F926&lt;&gt;"",XLOOKUP($F926,Productos!$A:$A,Productos!F:F,"Revisar"),"")</f>
        <v/>
      </c>
      <c r="N926" s="179" t="str">
        <f t="array" ref="N926">IF($F926&lt;&gt;"", XLOOKUP($F926,Productos!$A$2:$A1001,Productos!G$2:G1001,"")*$G926,"")</f>
        <v/>
      </c>
      <c r="O926" s="179" t="str">
        <f t="array" ref="O926">IF($F926&lt;&gt;"",XLOOKUP($F926,Productos!$A:$A,Productos!H:H,"Revisar"),"")</f>
        <v/>
      </c>
      <c r="P926" s="179" t="str">
        <f t="array" ref="P926">IF($F926&lt;&gt;"", XLOOKUP($F926,Productos!$A$2:$A1001,Productos!I$2:I1001,"")*$G926,"")</f>
        <v/>
      </c>
      <c r="Q926" s="179" t="str">
        <f t="array" ref="Q926">IF($F926&lt;&gt;"",XLOOKUP($F926,Productos!$A:$A,Productos!J:J,"Revisar"),"")</f>
        <v/>
      </c>
      <c r="R926" s="179" t="str">
        <f t="array" ref="R926">IF($F926&lt;&gt;"", XLOOKUP($F926,Productos!$A$2:$A1001,Productos!K$2:K1001,"")*$G926,"")</f>
        <v/>
      </c>
      <c r="S926" s="179" t="str">
        <f t="array" ref="S926">IF($F926&lt;&gt;"",XLOOKUP($F926,Productos!$A:$A,Productos!L:L,"Revisar"),"")</f>
        <v/>
      </c>
      <c r="T926" s="179" t="str">
        <f t="array" ref="T926">IF($F926&lt;&gt;"", XLOOKUP($F926,Productos!$A$2:$A1001,Productos!M$2:M1001,"")*$G926,"")</f>
        <v/>
      </c>
      <c r="U926" s="179" t="str">
        <f t="array" ref="U926">IF($F926&lt;&gt;"",XLOOKUP($F926,Productos!$A:$A,Productos!N:N,"Revisar"),"")</f>
        <v/>
      </c>
      <c r="V926" s="179" t="str">
        <f t="array" ref="V926">IF($F926&lt;&gt;"", XLOOKUP($F926,Productos!$A$2:$A1001,Productos!O$2:O1001,"")*$G926,"")</f>
        <v/>
      </c>
      <c r="W926" s="179" t="str">
        <f t="array" ref="W926">IF($F926&lt;&gt;"",XLOOKUP($F926,Productos!$A:$A,Productos!P:P,"Revisar"),"")</f>
        <v/>
      </c>
      <c r="X926" s="179" t="str">
        <f t="array" ref="X926">IF($F926&lt;&gt;"", XLOOKUP($F926,Productos!$A$2:$A1001,Productos!Q$2:Q1001,"")*$G926,"")</f>
        <v/>
      </c>
      <c r="Y926" s="179" t="str">
        <f t="array" ref="Y926">IF($F926&lt;&gt;"",XLOOKUP($F926,Productos!$A:$A,Productos!R:R,"Revisar"),"")</f>
        <v/>
      </c>
      <c r="Z926" s="179" t="str">
        <f t="array" ref="Z926">IF($F926&lt;&gt;"", XLOOKUP($F926,Productos!$A$2:$A1001,Productos!S$2:S1001,"")*$G926,"")</f>
        <v/>
      </c>
      <c r="AA926" s="179" t="str">
        <f t="array" ref="AA926">IF($F926&lt;&gt;"",XLOOKUP($F926,Productos!$A:$A,Productos!T:T,"Revisar"),"")</f>
        <v/>
      </c>
      <c r="AB926" s="179" t="str">
        <f t="array" ref="AB926">IF($F926&lt;&gt;"", XLOOKUP($F926,Productos!$A$2:$A1001,Productos!U$2:U1001,"")*$G926,"")</f>
        <v/>
      </c>
      <c r="AC926" s="179" t="str">
        <f t="array" ref="AC926">IF($F926&lt;&gt;"",XLOOKUP($F926,Productos!$A:$A,Productos!V:V,"Revisar"),"")</f>
        <v/>
      </c>
      <c r="AD926" s="179" t="str">
        <f t="array" ref="AD926">IF($F926&lt;&gt;"", XLOOKUP($F926,Productos!$A$2:$A1001,Productos!W$2:W1001,"")*$G926,"")</f>
        <v/>
      </c>
      <c r="AE926" s="179" t="str">
        <f t="array" ref="AE926">IF($F926&lt;&gt;"",XLOOKUP($F926,Productos!$A:$A,Productos!X:X,"Revisar"),"")</f>
        <v/>
      </c>
      <c r="AF926" s="179" t="str">
        <f t="array" ref="AF926">IF($F926&lt;&gt;"", XLOOKUP($F926,Productos!$A$2:$A1001,Productos!Y$2:Y1001,"")*$G926,"")</f>
        <v/>
      </c>
      <c r="AG926" s="179" t="str">
        <f t="array" ref="AG926">IF($F926&lt;&gt;"",XLOOKUP($F926,Productos!$A:$A,Productos!Z:Z,"Revisar"),"")</f>
        <v/>
      </c>
      <c r="AH926" s="179" t="str">
        <f t="array" ref="AH926">IF($F926&lt;&gt;"", XLOOKUP($F926,Productos!$A$2:$A1001,Productos!AA$2:AA1001,"")*$G926,"")</f>
        <v/>
      </c>
      <c r="AI926" s="179" t="str">
        <f t="array" ref="AI926">IF($F926&lt;&gt;"",XLOOKUP($F926,Productos!$A:$A,Productos!AB:AB,"Revisar"),"")</f>
        <v/>
      </c>
      <c r="AJ926" s="179" t="str">
        <f t="array" ref="AJ926">IF($F926&lt;&gt;"", XLOOKUP($F926,Productos!$A$2:$A1001,Productos!AC$2:AC1001,"")*$G926,"")</f>
        <v/>
      </c>
      <c r="AK926" s="179" t="str">
        <f t="array" ref="AK926">IF($F926&lt;&gt;"",XLOOKUP($F926,Productos!$A:$A,Productos!AD:AD,"Revisar"),"")</f>
        <v/>
      </c>
      <c r="AL926" s="179" t="str">
        <f t="array" ref="AL926">IF($F926&lt;&gt;"", XLOOKUP($F926,Productos!$A$2:$A1001,Productos!AE$2:AE1001,"")*$G926,"")</f>
        <v/>
      </c>
      <c r="AM926" s="179" t="str">
        <f t="array" ref="AM926">IF($F926&lt;&gt;"",XLOOKUP($F926,Productos!$A:$A,Productos!AF:AF,"Revisar"),"")</f>
        <v/>
      </c>
      <c r="AN926" s="179" t="str">
        <f t="array" ref="AN926">IF($F926&lt;&gt;"", XLOOKUP($F926,Productos!$A$2:$A1001,Productos!AG$2:AG1001,"")*$G926,"")</f>
        <v/>
      </c>
      <c r="AO926" s="179" t="str">
        <f t="array" ref="AO926">IF($F926&lt;&gt;"",XLOOKUP($F926,Productos!$A:$A,Productos!AH:AH,"Revisar"),"")</f>
        <v/>
      </c>
      <c r="AP926" s="179" t="str">
        <f t="array" ref="AP926">IF($F926&lt;&gt;"", XLOOKUP($F926,Productos!$A$2:$A1001,Productos!AI$2:AI1001,"")*$G926,"")</f>
        <v/>
      </c>
      <c r="AQ926" s="179" t="str">
        <f t="array" ref="AQ926">IF($F926&lt;&gt;"",XLOOKUP($F926,Productos!$A:$A,Productos!AJ:AJ,"Revisar"),"")</f>
        <v/>
      </c>
      <c r="AR926" s="179" t="str">
        <f t="array" ref="AR926">IF($F926&lt;&gt;"", XLOOKUP($F926,Productos!$A$2:$A1001,Productos!AK$2:AK1001,"")*$G926,"")</f>
        <v/>
      </c>
      <c r="AS926" s="179" t="str">
        <f t="array" ref="AS926">IF($F926&lt;&gt;"",XLOOKUP($F926,Productos!$A:$A,Productos!AL:AL,"Revisar"),"")</f>
        <v/>
      </c>
      <c r="AT926" s="179" t="str">
        <f t="array" ref="AT926">IF($F926&lt;&gt;"", XLOOKUP($F926,Productos!$A$2:$A1001,Productos!AM$2:AM1001,"")*$G926,"")</f>
        <v/>
      </c>
      <c r="AU926" s="179" t="str">
        <f t="array" ref="AU926">IF($F926&lt;&gt;"",XLOOKUP($F926,Productos!$A:$A,Productos!AN:AN,"Revisar"),"")</f>
        <v/>
      </c>
      <c r="AV926" s="179" t="str">
        <f t="array" ref="AV926">IF($F926&lt;&gt;"", XLOOKUP($F926,Productos!$A$2:$A1001,Productos!AO$2:AO1001,"")*$G926,"")</f>
        <v/>
      </c>
      <c r="AW926" s="179" t="str">
        <f t="array" ref="AW926">IF($F926&lt;&gt;"",XLOOKUP($F926,Productos!$A:$A,Productos!AP:AP,"Revisar"),"")</f>
        <v/>
      </c>
      <c r="AX926" s="179" t="str">
        <f t="array" ref="AX926">IF($F926&lt;&gt;"", XLOOKUP($F926,Productos!$A$2:$A1001,Productos!AQ$2:AQ1001,"")*$G926,"")</f>
        <v/>
      </c>
      <c r="AY926" s="179" t="str">
        <f t="array" ref="AY926">IF($F926&lt;&gt;"",XLOOKUP($F926,Productos!$A:$A,Productos!AR:AR,"Revisar"),"")</f>
        <v/>
      </c>
      <c r="AZ926" s="179" t="str">
        <f t="array" ref="AZ926">IF($F926&lt;&gt;"", XLOOKUP($F926,Productos!$A$2:$A1001,Productos!AS$2:AS1001,"")*$G926,"")</f>
        <v/>
      </c>
      <c r="BA926" s="179" t="str">
        <f t="array" ref="BA926">IF($F926&lt;&gt;"",XLOOKUP($F926,Productos!$A:$A,Productos!AT:AT,"Revisar"),"")</f>
        <v/>
      </c>
      <c r="BB926" s="179" t="str">
        <f t="array" ref="BB926">IF($F926&lt;&gt;"", XLOOKUP($F926,Productos!$A$2:$A1001,Productos!AU$2:AU1001,"")*$G926,"")</f>
        <v/>
      </c>
      <c r="BC926" s="179" t="str">
        <f t="array" ref="BC926">IF($F926&lt;&gt;"",XLOOKUP($F926,Productos!$A:$A,Productos!AV:AV,"Revisar"),"")</f>
        <v/>
      </c>
      <c r="BD926" s="179" t="str">
        <f t="array" ref="BD926">IF($F926&lt;&gt;"", XLOOKUP($F926,Productos!$A$2:$A1001,Productos!AW$2:AW1001,"")*$G926,"")</f>
        <v/>
      </c>
      <c r="BE926" s="179" t="str">
        <f t="array" ref="BE926">IF($F926&lt;&gt;"",XLOOKUP($F926,Productos!$A:$A,Productos!AX:AX,"Revisar"),"")</f>
        <v/>
      </c>
      <c r="BF926" s="179" t="str">
        <f t="array" ref="BF926">IF($F926&lt;&gt;"", XLOOKUP($F926,Productos!$A$2:$A1001,Productos!AY$2:AY1001,"")*$G926,"")</f>
        <v/>
      </c>
      <c r="BG926" s="179" t="str">
        <f t="array" ref="BG926">IF($F926&lt;&gt;"",XLOOKUP($F926,Productos!$A:$A,Productos!AZ:AZ,"Revisar"),"")</f>
        <v/>
      </c>
      <c r="BH926" s="179" t="str">
        <f t="array" ref="BH926">IF($F926&lt;&gt;"", XLOOKUP($F926,Productos!$A$2:$A1001,Productos!BA$2:BA1001,"")*$G926,"")</f>
        <v/>
      </c>
      <c r="BI926" s="179" t="str">
        <f t="array" ref="BI926">IF($F926&lt;&gt;"",XLOOKUP($F926,Productos!$A:$A,Productos!BB:BB,"Revisar"),"")</f>
        <v/>
      </c>
      <c r="BJ926" s="179" t="str">
        <f t="array" ref="BJ926">IF($F926&lt;&gt;"", XLOOKUP($F926,Productos!$A$2:$A1001,Productos!BC$2:BC1001,"")*$G926,"")</f>
        <v/>
      </c>
      <c r="BK926" s="179" t="str">
        <f t="array" ref="BK926">IF($F926&lt;&gt;"",XLOOKUP($F926,Productos!$A:$A,Productos!BD:BD,"Revisar"),"")</f>
        <v/>
      </c>
      <c r="BL926" s="179" t="str">
        <f t="array" ref="BL926">IF($F926&lt;&gt;"", XLOOKUP($F926,Productos!$A$2:$A1001,Productos!BE$2:BE1001,"")*$G926,"")</f>
        <v/>
      </c>
      <c r="BM926" s="179" t="str">
        <f t="array" ref="BM926">IF($F926&lt;&gt;"",XLOOKUP($F926,Productos!$A:$A,Productos!BF:BF,"Revisar"),"")</f>
        <v/>
      </c>
      <c r="BN926" s="179" t="str">
        <f t="array" ref="BN926">IF($F926&lt;&gt;"", XLOOKUP($F926,Productos!$A$2:$A1001,Productos!BG$2:BG1001,"")*$G926,"")</f>
        <v/>
      </c>
      <c r="BO926" s="179" t="str">
        <f t="array" ref="BO926">IF($F926&lt;&gt;"",XLOOKUP($F926,Productos!$A:$A,Productos!BH:BH,"Revisar"),"")</f>
        <v/>
      </c>
      <c r="BP926" s="179" t="str">
        <f t="array" ref="BP926">IF($F926&lt;&gt;"", XLOOKUP($F926,Productos!$A$2:$A1001,Productos!BI$2:BI1001,"")*$G926,"")</f>
        <v/>
      </c>
      <c r="BQ926" s="179" t="str">
        <f t="array" ref="BQ926">IF($F926&lt;&gt;"",XLOOKUP($F926,Productos!$A:$A,Productos!BJ:BJ,"Revisar"),"")</f>
        <v/>
      </c>
      <c r="BR926" s="179" t="str">
        <f t="array" ref="BR926">IF($F926&lt;&gt;"", XLOOKUP($F926,Productos!$A$2:$A1001,Productos!BK$2:BK1001,"")*$G926,"")</f>
        <v/>
      </c>
      <c r="BS926" s="179" t="str">
        <f t="array" ref="BS926">IF($F926&lt;&gt;"",XLOOKUP($F926,Productos!$A:$A,Productos!BL:BL,"Revisar"),"")</f>
        <v/>
      </c>
      <c r="BT926" s="179" t="str">
        <f t="array" ref="BT926">IF($F926&lt;&gt;"", XLOOKUP($F926,Productos!$A$2:$A1001,Productos!BM$2:BM1001,"")*$G926,"")</f>
        <v/>
      </c>
      <c r="BU926" s="179" t="str">
        <f t="array" ref="BU926">IF($F926&lt;&gt;"",XLOOKUP($F926,Productos!$A:$A,Productos!BN:BN,"Revisar"),"")</f>
        <v/>
      </c>
      <c r="BV926" s="179" t="str">
        <f t="array" ref="BV926">IF($F926&lt;&gt;"", XLOOKUP($F926,Productos!$A$2:$A1001,Productos!BO$2:BO1001,"")*$G926,"")</f>
        <v/>
      </c>
      <c r="BW926" s="179" t="str">
        <f t="array" ref="BW926">IF($F926&lt;&gt;"",XLOOKUP($F926,Productos!$A:$A,Productos!BP:BP,"Revisar"),"")</f>
        <v/>
      </c>
      <c r="BX926" s="179" t="str">
        <f t="array" ref="BX926">IF($F926&lt;&gt;"", XLOOKUP($F926,Productos!$A$2:$A1001,Productos!BQ$2:BQ1001,"")*$G926,"")</f>
        <v/>
      </c>
      <c r="BY926" s="179" t="str">
        <f t="array" ref="BY926">IF($F926&lt;&gt;"",XLOOKUP($F926,Productos!$A:$A,Productos!BR:BR,"Revisar"),"")</f>
        <v/>
      </c>
      <c r="BZ926" s="179" t="str">
        <f t="array" ref="BZ926">IF($F926&lt;&gt;"", XLOOKUP($F926,Productos!$A$2:$A1001,Productos!BS$2:BS1001,"")*$G926,"")</f>
        <v/>
      </c>
    </row>
    <row r="927">
      <c r="A927" s="188"/>
      <c r="B927" s="189"/>
      <c r="C927" s="190"/>
      <c r="D927" s="190"/>
      <c r="E927" s="191"/>
      <c r="F927" s="186"/>
      <c r="G927" s="192"/>
      <c r="H927" s="9"/>
      <c r="I927" s="179" t="str">
        <f t="array" ref="I927">IF($F927&lt;&gt;"",XLOOKUP($F927,Productos!$A:$A,Productos!B:B,"Revisar"),"")</f>
        <v/>
      </c>
      <c r="J927" s="179" t="str">
        <f t="array" ref="J927">IF($F927&lt;&gt;"", XLOOKUP($F927,Productos!$A$2:$A1001,Productos!C$2:C1001,"")*$G927,"")</f>
        <v/>
      </c>
      <c r="K927" s="179" t="str">
        <f t="array" ref="K927">IF($F927&lt;&gt;"",XLOOKUP($F927,Productos!$A:$A,Productos!D:D,"Revisar"),"")</f>
        <v/>
      </c>
      <c r="L927" s="179" t="str">
        <f t="array" ref="L927">IF($F927&lt;&gt;"", XLOOKUP($F927,Productos!$A$2:$A1001,Productos!E$2:E1001,"")*$G927,"")</f>
        <v/>
      </c>
      <c r="M927" s="179" t="str">
        <f t="array" ref="M927">IF($F927&lt;&gt;"",XLOOKUP($F927,Productos!$A:$A,Productos!F:F,"Revisar"),"")</f>
        <v/>
      </c>
      <c r="N927" s="179" t="str">
        <f t="array" ref="N927">IF($F927&lt;&gt;"", XLOOKUP($F927,Productos!$A$2:$A1001,Productos!G$2:G1001,"")*$G927,"")</f>
        <v/>
      </c>
      <c r="O927" s="179" t="str">
        <f t="array" ref="O927">IF($F927&lt;&gt;"",XLOOKUP($F927,Productos!$A:$A,Productos!H:H,"Revisar"),"")</f>
        <v/>
      </c>
      <c r="P927" s="179" t="str">
        <f t="array" ref="P927">IF($F927&lt;&gt;"", XLOOKUP($F927,Productos!$A$2:$A1001,Productos!I$2:I1001,"")*$G927,"")</f>
        <v/>
      </c>
      <c r="Q927" s="179" t="str">
        <f t="array" ref="Q927">IF($F927&lt;&gt;"",XLOOKUP($F927,Productos!$A:$A,Productos!J:J,"Revisar"),"")</f>
        <v/>
      </c>
      <c r="R927" s="179" t="str">
        <f t="array" ref="R927">IF($F927&lt;&gt;"", XLOOKUP($F927,Productos!$A$2:$A1001,Productos!K$2:K1001,"")*$G927,"")</f>
        <v/>
      </c>
      <c r="S927" s="179" t="str">
        <f t="array" ref="S927">IF($F927&lt;&gt;"",XLOOKUP($F927,Productos!$A:$A,Productos!L:L,"Revisar"),"")</f>
        <v/>
      </c>
      <c r="T927" s="179" t="str">
        <f t="array" ref="T927">IF($F927&lt;&gt;"", XLOOKUP($F927,Productos!$A$2:$A1001,Productos!M$2:M1001,"")*$G927,"")</f>
        <v/>
      </c>
      <c r="U927" s="179" t="str">
        <f t="array" ref="U927">IF($F927&lt;&gt;"",XLOOKUP($F927,Productos!$A:$A,Productos!N:N,"Revisar"),"")</f>
        <v/>
      </c>
      <c r="V927" s="179" t="str">
        <f t="array" ref="V927">IF($F927&lt;&gt;"", XLOOKUP($F927,Productos!$A$2:$A1001,Productos!O$2:O1001,"")*$G927,"")</f>
        <v/>
      </c>
      <c r="W927" s="179" t="str">
        <f t="array" ref="W927">IF($F927&lt;&gt;"",XLOOKUP($F927,Productos!$A:$A,Productos!P:P,"Revisar"),"")</f>
        <v/>
      </c>
      <c r="X927" s="179" t="str">
        <f t="array" ref="X927">IF($F927&lt;&gt;"", XLOOKUP($F927,Productos!$A$2:$A1001,Productos!Q$2:Q1001,"")*$G927,"")</f>
        <v/>
      </c>
      <c r="Y927" s="179" t="str">
        <f t="array" ref="Y927">IF($F927&lt;&gt;"",XLOOKUP($F927,Productos!$A:$A,Productos!R:R,"Revisar"),"")</f>
        <v/>
      </c>
      <c r="Z927" s="179" t="str">
        <f t="array" ref="Z927">IF($F927&lt;&gt;"", XLOOKUP($F927,Productos!$A$2:$A1001,Productos!S$2:S1001,"")*$G927,"")</f>
        <v/>
      </c>
      <c r="AA927" s="179" t="str">
        <f t="array" ref="AA927">IF($F927&lt;&gt;"",XLOOKUP($F927,Productos!$A:$A,Productos!T:T,"Revisar"),"")</f>
        <v/>
      </c>
      <c r="AB927" s="179" t="str">
        <f t="array" ref="AB927">IF($F927&lt;&gt;"", XLOOKUP($F927,Productos!$A$2:$A1001,Productos!U$2:U1001,"")*$G927,"")</f>
        <v/>
      </c>
      <c r="AC927" s="179" t="str">
        <f t="array" ref="AC927">IF($F927&lt;&gt;"",XLOOKUP($F927,Productos!$A:$A,Productos!V:V,"Revisar"),"")</f>
        <v/>
      </c>
      <c r="AD927" s="179" t="str">
        <f t="array" ref="AD927">IF($F927&lt;&gt;"", XLOOKUP($F927,Productos!$A$2:$A1001,Productos!W$2:W1001,"")*$G927,"")</f>
        <v/>
      </c>
      <c r="AE927" s="179" t="str">
        <f t="array" ref="AE927">IF($F927&lt;&gt;"",XLOOKUP($F927,Productos!$A:$A,Productos!X:X,"Revisar"),"")</f>
        <v/>
      </c>
      <c r="AF927" s="179" t="str">
        <f t="array" ref="AF927">IF($F927&lt;&gt;"", XLOOKUP($F927,Productos!$A$2:$A1001,Productos!Y$2:Y1001,"")*$G927,"")</f>
        <v/>
      </c>
      <c r="AG927" s="179" t="str">
        <f t="array" ref="AG927">IF($F927&lt;&gt;"",XLOOKUP($F927,Productos!$A:$A,Productos!Z:Z,"Revisar"),"")</f>
        <v/>
      </c>
      <c r="AH927" s="179" t="str">
        <f t="array" ref="AH927">IF($F927&lt;&gt;"", XLOOKUP($F927,Productos!$A$2:$A1001,Productos!AA$2:AA1001,"")*$G927,"")</f>
        <v/>
      </c>
      <c r="AI927" s="179" t="str">
        <f t="array" ref="AI927">IF($F927&lt;&gt;"",XLOOKUP($F927,Productos!$A:$A,Productos!AB:AB,"Revisar"),"")</f>
        <v/>
      </c>
      <c r="AJ927" s="179" t="str">
        <f t="array" ref="AJ927">IF($F927&lt;&gt;"", XLOOKUP($F927,Productos!$A$2:$A1001,Productos!AC$2:AC1001,"")*$G927,"")</f>
        <v/>
      </c>
      <c r="AK927" s="179" t="str">
        <f t="array" ref="AK927">IF($F927&lt;&gt;"",XLOOKUP($F927,Productos!$A:$A,Productos!AD:AD,"Revisar"),"")</f>
        <v/>
      </c>
      <c r="AL927" s="179" t="str">
        <f t="array" ref="AL927">IF($F927&lt;&gt;"", XLOOKUP($F927,Productos!$A$2:$A1001,Productos!AE$2:AE1001,"")*$G927,"")</f>
        <v/>
      </c>
      <c r="AM927" s="179" t="str">
        <f t="array" ref="AM927">IF($F927&lt;&gt;"",XLOOKUP($F927,Productos!$A:$A,Productos!AF:AF,"Revisar"),"")</f>
        <v/>
      </c>
      <c r="AN927" s="179" t="str">
        <f t="array" ref="AN927">IF($F927&lt;&gt;"", XLOOKUP($F927,Productos!$A$2:$A1001,Productos!AG$2:AG1001,"")*$G927,"")</f>
        <v/>
      </c>
      <c r="AO927" s="179" t="str">
        <f t="array" ref="AO927">IF($F927&lt;&gt;"",XLOOKUP($F927,Productos!$A:$A,Productos!AH:AH,"Revisar"),"")</f>
        <v/>
      </c>
      <c r="AP927" s="179" t="str">
        <f t="array" ref="AP927">IF($F927&lt;&gt;"", XLOOKUP($F927,Productos!$A$2:$A1001,Productos!AI$2:AI1001,"")*$G927,"")</f>
        <v/>
      </c>
      <c r="AQ927" s="179" t="str">
        <f t="array" ref="AQ927">IF($F927&lt;&gt;"",XLOOKUP($F927,Productos!$A:$A,Productos!AJ:AJ,"Revisar"),"")</f>
        <v/>
      </c>
      <c r="AR927" s="179" t="str">
        <f t="array" ref="AR927">IF($F927&lt;&gt;"", XLOOKUP($F927,Productos!$A$2:$A1001,Productos!AK$2:AK1001,"")*$G927,"")</f>
        <v/>
      </c>
      <c r="AS927" s="179" t="str">
        <f t="array" ref="AS927">IF($F927&lt;&gt;"",XLOOKUP($F927,Productos!$A:$A,Productos!AL:AL,"Revisar"),"")</f>
        <v/>
      </c>
      <c r="AT927" s="179" t="str">
        <f t="array" ref="AT927">IF($F927&lt;&gt;"", XLOOKUP($F927,Productos!$A$2:$A1001,Productos!AM$2:AM1001,"")*$G927,"")</f>
        <v/>
      </c>
      <c r="AU927" s="179" t="str">
        <f t="array" ref="AU927">IF($F927&lt;&gt;"",XLOOKUP($F927,Productos!$A:$A,Productos!AN:AN,"Revisar"),"")</f>
        <v/>
      </c>
      <c r="AV927" s="179" t="str">
        <f t="array" ref="AV927">IF($F927&lt;&gt;"", XLOOKUP($F927,Productos!$A$2:$A1001,Productos!AO$2:AO1001,"")*$G927,"")</f>
        <v/>
      </c>
      <c r="AW927" s="179" t="str">
        <f t="array" ref="AW927">IF($F927&lt;&gt;"",XLOOKUP($F927,Productos!$A:$A,Productos!AP:AP,"Revisar"),"")</f>
        <v/>
      </c>
      <c r="AX927" s="179" t="str">
        <f t="array" ref="AX927">IF($F927&lt;&gt;"", XLOOKUP($F927,Productos!$A$2:$A1001,Productos!AQ$2:AQ1001,"")*$G927,"")</f>
        <v/>
      </c>
      <c r="AY927" s="179" t="str">
        <f t="array" ref="AY927">IF($F927&lt;&gt;"",XLOOKUP($F927,Productos!$A:$A,Productos!AR:AR,"Revisar"),"")</f>
        <v/>
      </c>
      <c r="AZ927" s="179" t="str">
        <f t="array" ref="AZ927">IF($F927&lt;&gt;"", XLOOKUP($F927,Productos!$A$2:$A1001,Productos!AS$2:AS1001,"")*$G927,"")</f>
        <v/>
      </c>
      <c r="BA927" s="179" t="str">
        <f t="array" ref="BA927">IF($F927&lt;&gt;"",XLOOKUP($F927,Productos!$A:$A,Productos!AT:AT,"Revisar"),"")</f>
        <v/>
      </c>
      <c r="BB927" s="179" t="str">
        <f t="array" ref="BB927">IF($F927&lt;&gt;"", XLOOKUP($F927,Productos!$A$2:$A1001,Productos!AU$2:AU1001,"")*$G927,"")</f>
        <v/>
      </c>
      <c r="BC927" s="179" t="str">
        <f t="array" ref="BC927">IF($F927&lt;&gt;"",XLOOKUP($F927,Productos!$A:$A,Productos!AV:AV,"Revisar"),"")</f>
        <v/>
      </c>
      <c r="BD927" s="179" t="str">
        <f t="array" ref="BD927">IF($F927&lt;&gt;"", XLOOKUP($F927,Productos!$A$2:$A1001,Productos!AW$2:AW1001,"")*$G927,"")</f>
        <v/>
      </c>
      <c r="BE927" s="179" t="str">
        <f t="array" ref="BE927">IF($F927&lt;&gt;"",XLOOKUP($F927,Productos!$A:$A,Productos!AX:AX,"Revisar"),"")</f>
        <v/>
      </c>
      <c r="BF927" s="179" t="str">
        <f t="array" ref="BF927">IF($F927&lt;&gt;"", XLOOKUP($F927,Productos!$A$2:$A1001,Productos!AY$2:AY1001,"")*$G927,"")</f>
        <v/>
      </c>
      <c r="BG927" s="179" t="str">
        <f t="array" ref="BG927">IF($F927&lt;&gt;"",XLOOKUP($F927,Productos!$A:$A,Productos!AZ:AZ,"Revisar"),"")</f>
        <v/>
      </c>
      <c r="BH927" s="179" t="str">
        <f t="array" ref="BH927">IF($F927&lt;&gt;"", XLOOKUP($F927,Productos!$A$2:$A1001,Productos!BA$2:BA1001,"")*$G927,"")</f>
        <v/>
      </c>
      <c r="BI927" s="179" t="str">
        <f t="array" ref="BI927">IF($F927&lt;&gt;"",XLOOKUP($F927,Productos!$A:$A,Productos!BB:BB,"Revisar"),"")</f>
        <v/>
      </c>
      <c r="BJ927" s="179" t="str">
        <f t="array" ref="BJ927">IF($F927&lt;&gt;"", XLOOKUP($F927,Productos!$A$2:$A1001,Productos!BC$2:BC1001,"")*$G927,"")</f>
        <v/>
      </c>
      <c r="BK927" s="179" t="str">
        <f t="array" ref="BK927">IF($F927&lt;&gt;"",XLOOKUP($F927,Productos!$A:$A,Productos!BD:BD,"Revisar"),"")</f>
        <v/>
      </c>
      <c r="BL927" s="179" t="str">
        <f t="array" ref="BL927">IF($F927&lt;&gt;"", XLOOKUP($F927,Productos!$A$2:$A1001,Productos!BE$2:BE1001,"")*$G927,"")</f>
        <v/>
      </c>
      <c r="BM927" s="179" t="str">
        <f t="array" ref="BM927">IF($F927&lt;&gt;"",XLOOKUP($F927,Productos!$A:$A,Productos!BF:BF,"Revisar"),"")</f>
        <v/>
      </c>
      <c r="BN927" s="179" t="str">
        <f t="array" ref="BN927">IF($F927&lt;&gt;"", XLOOKUP($F927,Productos!$A$2:$A1001,Productos!BG$2:BG1001,"")*$G927,"")</f>
        <v/>
      </c>
      <c r="BO927" s="179" t="str">
        <f t="array" ref="BO927">IF($F927&lt;&gt;"",XLOOKUP($F927,Productos!$A:$A,Productos!BH:BH,"Revisar"),"")</f>
        <v/>
      </c>
      <c r="BP927" s="179" t="str">
        <f t="array" ref="BP927">IF($F927&lt;&gt;"", XLOOKUP($F927,Productos!$A$2:$A1001,Productos!BI$2:BI1001,"")*$G927,"")</f>
        <v/>
      </c>
      <c r="BQ927" s="179" t="str">
        <f t="array" ref="BQ927">IF($F927&lt;&gt;"",XLOOKUP($F927,Productos!$A:$A,Productos!BJ:BJ,"Revisar"),"")</f>
        <v/>
      </c>
      <c r="BR927" s="179" t="str">
        <f t="array" ref="BR927">IF($F927&lt;&gt;"", XLOOKUP($F927,Productos!$A$2:$A1001,Productos!BK$2:BK1001,"")*$G927,"")</f>
        <v/>
      </c>
      <c r="BS927" s="179" t="str">
        <f t="array" ref="BS927">IF($F927&lt;&gt;"",XLOOKUP($F927,Productos!$A:$A,Productos!BL:BL,"Revisar"),"")</f>
        <v/>
      </c>
      <c r="BT927" s="179" t="str">
        <f t="array" ref="BT927">IF($F927&lt;&gt;"", XLOOKUP($F927,Productos!$A$2:$A1001,Productos!BM$2:BM1001,"")*$G927,"")</f>
        <v/>
      </c>
      <c r="BU927" s="179" t="str">
        <f t="array" ref="BU927">IF($F927&lt;&gt;"",XLOOKUP($F927,Productos!$A:$A,Productos!BN:BN,"Revisar"),"")</f>
        <v/>
      </c>
      <c r="BV927" s="179" t="str">
        <f t="array" ref="BV927">IF($F927&lt;&gt;"", XLOOKUP($F927,Productos!$A$2:$A1001,Productos!BO$2:BO1001,"")*$G927,"")</f>
        <v/>
      </c>
      <c r="BW927" s="179" t="str">
        <f t="array" ref="BW927">IF($F927&lt;&gt;"",XLOOKUP($F927,Productos!$A:$A,Productos!BP:BP,"Revisar"),"")</f>
        <v/>
      </c>
      <c r="BX927" s="179" t="str">
        <f t="array" ref="BX927">IF($F927&lt;&gt;"", XLOOKUP($F927,Productos!$A$2:$A1001,Productos!BQ$2:BQ1001,"")*$G927,"")</f>
        <v/>
      </c>
      <c r="BY927" s="179" t="str">
        <f t="array" ref="BY927">IF($F927&lt;&gt;"",XLOOKUP($F927,Productos!$A:$A,Productos!BR:BR,"Revisar"),"")</f>
        <v/>
      </c>
      <c r="BZ927" s="179" t="str">
        <f t="array" ref="BZ927">IF($F927&lt;&gt;"", XLOOKUP($F927,Productos!$A$2:$A1001,Productos!BS$2:BS1001,"")*$G927,"")</f>
        <v/>
      </c>
    </row>
    <row r="928">
      <c r="A928" s="188"/>
      <c r="B928" s="189"/>
      <c r="C928" s="190"/>
      <c r="D928" s="190"/>
      <c r="E928" s="191"/>
      <c r="F928" s="186"/>
      <c r="G928" s="192"/>
      <c r="H928" s="9"/>
      <c r="I928" s="179" t="str">
        <f t="array" ref="I928">IF($F928&lt;&gt;"",XLOOKUP($F928,Productos!$A:$A,Productos!B:B,"Revisar"),"")</f>
        <v/>
      </c>
      <c r="J928" s="179" t="str">
        <f t="array" ref="J928">IF($F928&lt;&gt;"", XLOOKUP($F928,Productos!$A$2:$A1001,Productos!C$2:C1001,"")*$G928,"")</f>
        <v/>
      </c>
      <c r="K928" s="179" t="str">
        <f t="array" ref="K928">IF($F928&lt;&gt;"",XLOOKUP($F928,Productos!$A:$A,Productos!D:D,"Revisar"),"")</f>
        <v/>
      </c>
      <c r="L928" s="179" t="str">
        <f t="array" ref="L928">IF($F928&lt;&gt;"", XLOOKUP($F928,Productos!$A$2:$A1001,Productos!E$2:E1001,"")*$G928,"")</f>
        <v/>
      </c>
      <c r="M928" s="179" t="str">
        <f t="array" ref="M928">IF($F928&lt;&gt;"",XLOOKUP($F928,Productos!$A:$A,Productos!F:F,"Revisar"),"")</f>
        <v/>
      </c>
      <c r="N928" s="179" t="str">
        <f t="array" ref="N928">IF($F928&lt;&gt;"", XLOOKUP($F928,Productos!$A$2:$A1001,Productos!G$2:G1001,"")*$G928,"")</f>
        <v/>
      </c>
      <c r="O928" s="179" t="str">
        <f t="array" ref="O928">IF($F928&lt;&gt;"",XLOOKUP($F928,Productos!$A:$A,Productos!H:H,"Revisar"),"")</f>
        <v/>
      </c>
      <c r="P928" s="179" t="str">
        <f t="array" ref="P928">IF($F928&lt;&gt;"", XLOOKUP($F928,Productos!$A$2:$A1001,Productos!I$2:I1001,"")*$G928,"")</f>
        <v/>
      </c>
      <c r="Q928" s="179" t="str">
        <f t="array" ref="Q928">IF($F928&lt;&gt;"",XLOOKUP($F928,Productos!$A:$A,Productos!J:J,"Revisar"),"")</f>
        <v/>
      </c>
      <c r="R928" s="179" t="str">
        <f t="array" ref="R928">IF($F928&lt;&gt;"", XLOOKUP($F928,Productos!$A$2:$A1001,Productos!K$2:K1001,"")*$G928,"")</f>
        <v/>
      </c>
      <c r="S928" s="179" t="str">
        <f t="array" ref="S928">IF($F928&lt;&gt;"",XLOOKUP($F928,Productos!$A:$A,Productos!L:L,"Revisar"),"")</f>
        <v/>
      </c>
      <c r="T928" s="179" t="str">
        <f t="array" ref="T928">IF($F928&lt;&gt;"", XLOOKUP($F928,Productos!$A$2:$A1001,Productos!M$2:M1001,"")*$G928,"")</f>
        <v/>
      </c>
      <c r="U928" s="179" t="str">
        <f t="array" ref="U928">IF($F928&lt;&gt;"",XLOOKUP($F928,Productos!$A:$A,Productos!N:N,"Revisar"),"")</f>
        <v/>
      </c>
      <c r="V928" s="179" t="str">
        <f t="array" ref="V928">IF($F928&lt;&gt;"", XLOOKUP($F928,Productos!$A$2:$A1001,Productos!O$2:O1001,"")*$G928,"")</f>
        <v/>
      </c>
      <c r="W928" s="179" t="str">
        <f t="array" ref="W928">IF($F928&lt;&gt;"",XLOOKUP($F928,Productos!$A:$A,Productos!P:P,"Revisar"),"")</f>
        <v/>
      </c>
      <c r="X928" s="179" t="str">
        <f t="array" ref="X928">IF($F928&lt;&gt;"", XLOOKUP($F928,Productos!$A$2:$A1001,Productos!Q$2:Q1001,"")*$G928,"")</f>
        <v/>
      </c>
      <c r="Y928" s="179" t="str">
        <f t="array" ref="Y928">IF($F928&lt;&gt;"",XLOOKUP($F928,Productos!$A:$A,Productos!R:R,"Revisar"),"")</f>
        <v/>
      </c>
      <c r="Z928" s="179" t="str">
        <f t="array" ref="Z928">IF($F928&lt;&gt;"", XLOOKUP($F928,Productos!$A$2:$A1001,Productos!S$2:S1001,"")*$G928,"")</f>
        <v/>
      </c>
      <c r="AA928" s="179" t="str">
        <f t="array" ref="AA928">IF($F928&lt;&gt;"",XLOOKUP($F928,Productos!$A:$A,Productos!T:T,"Revisar"),"")</f>
        <v/>
      </c>
      <c r="AB928" s="179" t="str">
        <f t="array" ref="AB928">IF($F928&lt;&gt;"", XLOOKUP($F928,Productos!$A$2:$A1001,Productos!U$2:U1001,"")*$G928,"")</f>
        <v/>
      </c>
      <c r="AC928" s="179" t="str">
        <f t="array" ref="AC928">IF($F928&lt;&gt;"",XLOOKUP($F928,Productos!$A:$A,Productos!V:V,"Revisar"),"")</f>
        <v/>
      </c>
      <c r="AD928" s="179" t="str">
        <f t="array" ref="AD928">IF($F928&lt;&gt;"", XLOOKUP($F928,Productos!$A$2:$A1001,Productos!W$2:W1001,"")*$G928,"")</f>
        <v/>
      </c>
      <c r="AE928" s="179" t="str">
        <f t="array" ref="AE928">IF($F928&lt;&gt;"",XLOOKUP($F928,Productos!$A:$A,Productos!X:X,"Revisar"),"")</f>
        <v/>
      </c>
      <c r="AF928" s="179" t="str">
        <f t="array" ref="AF928">IF($F928&lt;&gt;"", XLOOKUP($F928,Productos!$A$2:$A1001,Productos!Y$2:Y1001,"")*$G928,"")</f>
        <v/>
      </c>
      <c r="AG928" s="179" t="str">
        <f t="array" ref="AG928">IF($F928&lt;&gt;"",XLOOKUP($F928,Productos!$A:$A,Productos!Z:Z,"Revisar"),"")</f>
        <v/>
      </c>
      <c r="AH928" s="179" t="str">
        <f t="array" ref="AH928">IF($F928&lt;&gt;"", XLOOKUP($F928,Productos!$A$2:$A1001,Productos!AA$2:AA1001,"")*$G928,"")</f>
        <v/>
      </c>
      <c r="AI928" s="179" t="str">
        <f t="array" ref="AI928">IF($F928&lt;&gt;"",XLOOKUP($F928,Productos!$A:$A,Productos!AB:AB,"Revisar"),"")</f>
        <v/>
      </c>
      <c r="AJ928" s="179" t="str">
        <f t="array" ref="AJ928">IF($F928&lt;&gt;"", XLOOKUP($F928,Productos!$A$2:$A1001,Productos!AC$2:AC1001,"")*$G928,"")</f>
        <v/>
      </c>
      <c r="AK928" s="179" t="str">
        <f t="array" ref="AK928">IF($F928&lt;&gt;"",XLOOKUP($F928,Productos!$A:$A,Productos!AD:AD,"Revisar"),"")</f>
        <v/>
      </c>
      <c r="AL928" s="179" t="str">
        <f t="array" ref="AL928">IF($F928&lt;&gt;"", XLOOKUP($F928,Productos!$A$2:$A1001,Productos!AE$2:AE1001,"")*$G928,"")</f>
        <v/>
      </c>
      <c r="AM928" s="179" t="str">
        <f t="array" ref="AM928">IF($F928&lt;&gt;"",XLOOKUP($F928,Productos!$A:$A,Productos!AF:AF,"Revisar"),"")</f>
        <v/>
      </c>
      <c r="AN928" s="179" t="str">
        <f t="array" ref="AN928">IF($F928&lt;&gt;"", XLOOKUP($F928,Productos!$A$2:$A1001,Productos!AG$2:AG1001,"")*$G928,"")</f>
        <v/>
      </c>
      <c r="AO928" s="179" t="str">
        <f t="array" ref="AO928">IF($F928&lt;&gt;"",XLOOKUP($F928,Productos!$A:$A,Productos!AH:AH,"Revisar"),"")</f>
        <v/>
      </c>
      <c r="AP928" s="179" t="str">
        <f t="array" ref="AP928">IF($F928&lt;&gt;"", XLOOKUP($F928,Productos!$A$2:$A1001,Productos!AI$2:AI1001,"")*$G928,"")</f>
        <v/>
      </c>
      <c r="AQ928" s="179" t="str">
        <f t="array" ref="AQ928">IF($F928&lt;&gt;"",XLOOKUP($F928,Productos!$A:$A,Productos!AJ:AJ,"Revisar"),"")</f>
        <v/>
      </c>
      <c r="AR928" s="179" t="str">
        <f t="array" ref="AR928">IF($F928&lt;&gt;"", XLOOKUP($F928,Productos!$A$2:$A1001,Productos!AK$2:AK1001,"")*$G928,"")</f>
        <v/>
      </c>
      <c r="AS928" s="179" t="str">
        <f t="array" ref="AS928">IF($F928&lt;&gt;"",XLOOKUP($F928,Productos!$A:$A,Productos!AL:AL,"Revisar"),"")</f>
        <v/>
      </c>
      <c r="AT928" s="179" t="str">
        <f t="array" ref="AT928">IF($F928&lt;&gt;"", XLOOKUP($F928,Productos!$A$2:$A1001,Productos!AM$2:AM1001,"")*$G928,"")</f>
        <v/>
      </c>
      <c r="AU928" s="179" t="str">
        <f t="array" ref="AU928">IF($F928&lt;&gt;"",XLOOKUP($F928,Productos!$A:$A,Productos!AN:AN,"Revisar"),"")</f>
        <v/>
      </c>
      <c r="AV928" s="179" t="str">
        <f t="array" ref="AV928">IF($F928&lt;&gt;"", XLOOKUP($F928,Productos!$A$2:$A1001,Productos!AO$2:AO1001,"")*$G928,"")</f>
        <v/>
      </c>
      <c r="AW928" s="179" t="str">
        <f t="array" ref="AW928">IF($F928&lt;&gt;"",XLOOKUP($F928,Productos!$A:$A,Productos!AP:AP,"Revisar"),"")</f>
        <v/>
      </c>
      <c r="AX928" s="179" t="str">
        <f t="array" ref="AX928">IF($F928&lt;&gt;"", XLOOKUP($F928,Productos!$A$2:$A1001,Productos!AQ$2:AQ1001,"")*$G928,"")</f>
        <v/>
      </c>
      <c r="AY928" s="179" t="str">
        <f t="array" ref="AY928">IF($F928&lt;&gt;"",XLOOKUP($F928,Productos!$A:$A,Productos!AR:AR,"Revisar"),"")</f>
        <v/>
      </c>
      <c r="AZ928" s="179" t="str">
        <f t="array" ref="AZ928">IF($F928&lt;&gt;"", XLOOKUP($F928,Productos!$A$2:$A1001,Productos!AS$2:AS1001,"")*$G928,"")</f>
        <v/>
      </c>
      <c r="BA928" s="179" t="str">
        <f t="array" ref="BA928">IF($F928&lt;&gt;"",XLOOKUP($F928,Productos!$A:$A,Productos!AT:AT,"Revisar"),"")</f>
        <v/>
      </c>
      <c r="BB928" s="179" t="str">
        <f t="array" ref="BB928">IF($F928&lt;&gt;"", XLOOKUP($F928,Productos!$A$2:$A1001,Productos!AU$2:AU1001,"")*$G928,"")</f>
        <v/>
      </c>
      <c r="BC928" s="179" t="str">
        <f t="array" ref="BC928">IF($F928&lt;&gt;"",XLOOKUP($F928,Productos!$A:$A,Productos!AV:AV,"Revisar"),"")</f>
        <v/>
      </c>
      <c r="BD928" s="179" t="str">
        <f t="array" ref="BD928">IF($F928&lt;&gt;"", XLOOKUP($F928,Productos!$A$2:$A1001,Productos!AW$2:AW1001,"")*$G928,"")</f>
        <v/>
      </c>
      <c r="BE928" s="179" t="str">
        <f t="array" ref="BE928">IF($F928&lt;&gt;"",XLOOKUP($F928,Productos!$A:$A,Productos!AX:AX,"Revisar"),"")</f>
        <v/>
      </c>
      <c r="BF928" s="179" t="str">
        <f t="array" ref="BF928">IF($F928&lt;&gt;"", XLOOKUP($F928,Productos!$A$2:$A1001,Productos!AY$2:AY1001,"")*$G928,"")</f>
        <v/>
      </c>
      <c r="BG928" s="179" t="str">
        <f t="array" ref="BG928">IF($F928&lt;&gt;"",XLOOKUP($F928,Productos!$A:$A,Productos!AZ:AZ,"Revisar"),"")</f>
        <v/>
      </c>
      <c r="BH928" s="179" t="str">
        <f t="array" ref="BH928">IF($F928&lt;&gt;"", XLOOKUP($F928,Productos!$A$2:$A1001,Productos!BA$2:BA1001,"")*$G928,"")</f>
        <v/>
      </c>
      <c r="BI928" s="179" t="str">
        <f t="array" ref="BI928">IF($F928&lt;&gt;"",XLOOKUP($F928,Productos!$A:$A,Productos!BB:BB,"Revisar"),"")</f>
        <v/>
      </c>
      <c r="BJ928" s="179" t="str">
        <f t="array" ref="BJ928">IF($F928&lt;&gt;"", XLOOKUP($F928,Productos!$A$2:$A1001,Productos!BC$2:BC1001,"")*$G928,"")</f>
        <v/>
      </c>
      <c r="BK928" s="179" t="str">
        <f t="array" ref="BK928">IF($F928&lt;&gt;"",XLOOKUP($F928,Productos!$A:$A,Productos!BD:BD,"Revisar"),"")</f>
        <v/>
      </c>
      <c r="BL928" s="179" t="str">
        <f t="array" ref="BL928">IF($F928&lt;&gt;"", XLOOKUP($F928,Productos!$A$2:$A1001,Productos!BE$2:BE1001,"")*$G928,"")</f>
        <v/>
      </c>
      <c r="BM928" s="179" t="str">
        <f t="array" ref="BM928">IF($F928&lt;&gt;"",XLOOKUP($F928,Productos!$A:$A,Productos!BF:BF,"Revisar"),"")</f>
        <v/>
      </c>
      <c r="BN928" s="179" t="str">
        <f t="array" ref="BN928">IF($F928&lt;&gt;"", XLOOKUP($F928,Productos!$A$2:$A1001,Productos!BG$2:BG1001,"")*$G928,"")</f>
        <v/>
      </c>
      <c r="BO928" s="179" t="str">
        <f t="array" ref="BO928">IF($F928&lt;&gt;"",XLOOKUP($F928,Productos!$A:$A,Productos!BH:BH,"Revisar"),"")</f>
        <v/>
      </c>
      <c r="BP928" s="179" t="str">
        <f t="array" ref="BP928">IF($F928&lt;&gt;"", XLOOKUP($F928,Productos!$A$2:$A1001,Productos!BI$2:BI1001,"")*$G928,"")</f>
        <v/>
      </c>
      <c r="BQ928" s="179" t="str">
        <f t="array" ref="BQ928">IF($F928&lt;&gt;"",XLOOKUP($F928,Productos!$A:$A,Productos!BJ:BJ,"Revisar"),"")</f>
        <v/>
      </c>
      <c r="BR928" s="179" t="str">
        <f t="array" ref="BR928">IF($F928&lt;&gt;"", XLOOKUP($F928,Productos!$A$2:$A1001,Productos!BK$2:BK1001,"")*$G928,"")</f>
        <v/>
      </c>
      <c r="BS928" s="179" t="str">
        <f t="array" ref="BS928">IF($F928&lt;&gt;"",XLOOKUP($F928,Productos!$A:$A,Productos!BL:BL,"Revisar"),"")</f>
        <v/>
      </c>
      <c r="BT928" s="179" t="str">
        <f t="array" ref="BT928">IF($F928&lt;&gt;"", XLOOKUP($F928,Productos!$A$2:$A1001,Productos!BM$2:BM1001,"")*$G928,"")</f>
        <v/>
      </c>
      <c r="BU928" s="179" t="str">
        <f t="array" ref="BU928">IF($F928&lt;&gt;"",XLOOKUP($F928,Productos!$A:$A,Productos!BN:BN,"Revisar"),"")</f>
        <v/>
      </c>
      <c r="BV928" s="179" t="str">
        <f t="array" ref="BV928">IF($F928&lt;&gt;"", XLOOKUP($F928,Productos!$A$2:$A1001,Productos!BO$2:BO1001,"")*$G928,"")</f>
        <v/>
      </c>
      <c r="BW928" s="179" t="str">
        <f t="array" ref="BW928">IF($F928&lt;&gt;"",XLOOKUP($F928,Productos!$A:$A,Productos!BP:BP,"Revisar"),"")</f>
        <v/>
      </c>
      <c r="BX928" s="179" t="str">
        <f t="array" ref="BX928">IF($F928&lt;&gt;"", XLOOKUP($F928,Productos!$A$2:$A1001,Productos!BQ$2:BQ1001,"")*$G928,"")</f>
        <v/>
      </c>
      <c r="BY928" s="179" t="str">
        <f t="array" ref="BY928">IF($F928&lt;&gt;"",XLOOKUP($F928,Productos!$A:$A,Productos!BR:BR,"Revisar"),"")</f>
        <v/>
      </c>
      <c r="BZ928" s="179" t="str">
        <f t="array" ref="BZ928">IF($F928&lt;&gt;"", XLOOKUP($F928,Productos!$A$2:$A1001,Productos!BS$2:BS1001,"")*$G928,"")</f>
        <v/>
      </c>
    </row>
    <row r="929">
      <c r="A929" s="188"/>
      <c r="B929" s="189"/>
      <c r="C929" s="190"/>
      <c r="D929" s="190"/>
      <c r="E929" s="191"/>
      <c r="F929" s="186"/>
      <c r="G929" s="192"/>
      <c r="H929" s="9"/>
      <c r="I929" s="179" t="str">
        <f t="array" ref="I929">IF($F929&lt;&gt;"",XLOOKUP($F929,Productos!$A:$A,Productos!B:B,"Revisar"),"")</f>
        <v/>
      </c>
      <c r="J929" s="179" t="str">
        <f t="array" ref="J929">IF($F929&lt;&gt;"", XLOOKUP($F929,Productos!$A$2:$A1001,Productos!C$2:C1001,"")*$G929,"")</f>
        <v/>
      </c>
      <c r="K929" s="179" t="str">
        <f t="array" ref="K929">IF($F929&lt;&gt;"",XLOOKUP($F929,Productos!$A:$A,Productos!D:D,"Revisar"),"")</f>
        <v/>
      </c>
      <c r="L929" s="179" t="str">
        <f t="array" ref="L929">IF($F929&lt;&gt;"", XLOOKUP($F929,Productos!$A$2:$A1001,Productos!E$2:E1001,"")*$G929,"")</f>
        <v/>
      </c>
      <c r="M929" s="179" t="str">
        <f t="array" ref="M929">IF($F929&lt;&gt;"",XLOOKUP($F929,Productos!$A:$A,Productos!F:F,"Revisar"),"")</f>
        <v/>
      </c>
      <c r="N929" s="179" t="str">
        <f t="array" ref="N929">IF($F929&lt;&gt;"", XLOOKUP($F929,Productos!$A$2:$A1001,Productos!G$2:G1001,"")*$G929,"")</f>
        <v/>
      </c>
      <c r="O929" s="179" t="str">
        <f t="array" ref="O929">IF($F929&lt;&gt;"",XLOOKUP($F929,Productos!$A:$A,Productos!H:H,"Revisar"),"")</f>
        <v/>
      </c>
      <c r="P929" s="179" t="str">
        <f t="array" ref="P929">IF($F929&lt;&gt;"", XLOOKUP($F929,Productos!$A$2:$A1001,Productos!I$2:I1001,"")*$G929,"")</f>
        <v/>
      </c>
      <c r="Q929" s="179" t="str">
        <f t="array" ref="Q929">IF($F929&lt;&gt;"",XLOOKUP($F929,Productos!$A:$A,Productos!J:J,"Revisar"),"")</f>
        <v/>
      </c>
      <c r="R929" s="179" t="str">
        <f t="array" ref="R929">IF($F929&lt;&gt;"", XLOOKUP($F929,Productos!$A$2:$A1001,Productos!K$2:K1001,"")*$G929,"")</f>
        <v/>
      </c>
      <c r="S929" s="179" t="str">
        <f t="array" ref="S929">IF($F929&lt;&gt;"",XLOOKUP($F929,Productos!$A:$A,Productos!L:L,"Revisar"),"")</f>
        <v/>
      </c>
      <c r="T929" s="179" t="str">
        <f t="array" ref="T929">IF($F929&lt;&gt;"", XLOOKUP($F929,Productos!$A$2:$A1001,Productos!M$2:M1001,"")*$G929,"")</f>
        <v/>
      </c>
      <c r="U929" s="179" t="str">
        <f t="array" ref="U929">IF($F929&lt;&gt;"",XLOOKUP($F929,Productos!$A:$A,Productos!N:N,"Revisar"),"")</f>
        <v/>
      </c>
      <c r="V929" s="179" t="str">
        <f t="array" ref="V929">IF($F929&lt;&gt;"", XLOOKUP($F929,Productos!$A$2:$A1001,Productos!O$2:O1001,"")*$G929,"")</f>
        <v/>
      </c>
      <c r="W929" s="179" t="str">
        <f t="array" ref="W929">IF($F929&lt;&gt;"",XLOOKUP($F929,Productos!$A:$A,Productos!P:P,"Revisar"),"")</f>
        <v/>
      </c>
      <c r="X929" s="179" t="str">
        <f t="array" ref="X929">IF($F929&lt;&gt;"", XLOOKUP($F929,Productos!$A$2:$A1001,Productos!Q$2:Q1001,"")*$G929,"")</f>
        <v/>
      </c>
      <c r="Y929" s="179" t="str">
        <f t="array" ref="Y929">IF($F929&lt;&gt;"",XLOOKUP($F929,Productos!$A:$A,Productos!R:R,"Revisar"),"")</f>
        <v/>
      </c>
      <c r="Z929" s="179" t="str">
        <f t="array" ref="Z929">IF($F929&lt;&gt;"", XLOOKUP($F929,Productos!$A$2:$A1001,Productos!S$2:S1001,"")*$G929,"")</f>
        <v/>
      </c>
      <c r="AA929" s="179" t="str">
        <f t="array" ref="AA929">IF($F929&lt;&gt;"",XLOOKUP($F929,Productos!$A:$A,Productos!T:T,"Revisar"),"")</f>
        <v/>
      </c>
      <c r="AB929" s="179" t="str">
        <f t="array" ref="AB929">IF($F929&lt;&gt;"", XLOOKUP($F929,Productos!$A$2:$A1001,Productos!U$2:U1001,"")*$G929,"")</f>
        <v/>
      </c>
      <c r="AC929" s="179" t="str">
        <f t="array" ref="AC929">IF($F929&lt;&gt;"",XLOOKUP($F929,Productos!$A:$A,Productos!V:V,"Revisar"),"")</f>
        <v/>
      </c>
      <c r="AD929" s="179" t="str">
        <f t="array" ref="AD929">IF($F929&lt;&gt;"", XLOOKUP($F929,Productos!$A$2:$A1001,Productos!W$2:W1001,"")*$G929,"")</f>
        <v/>
      </c>
      <c r="AE929" s="179" t="str">
        <f t="array" ref="AE929">IF($F929&lt;&gt;"",XLOOKUP($F929,Productos!$A:$A,Productos!X:X,"Revisar"),"")</f>
        <v/>
      </c>
      <c r="AF929" s="179" t="str">
        <f t="array" ref="AF929">IF($F929&lt;&gt;"", XLOOKUP($F929,Productos!$A$2:$A1001,Productos!Y$2:Y1001,"")*$G929,"")</f>
        <v/>
      </c>
      <c r="AG929" s="179" t="str">
        <f t="array" ref="AG929">IF($F929&lt;&gt;"",XLOOKUP($F929,Productos!$A:$A,Productos!Z:Z,"Revisar"),"")</f>
        <v/>
      </c>
      <c r="AH929" s="179" t="str">
        <f t="array" ref="AH929">IF($F929&lt;&gt;"", XLOOKUP($F929,Productos!$A$2:$A1001,Productos!AA$2:AA1001,"")*$G929,"")</f>
        <v/>
      </c>
      <c r="AI929" s="179" t="str">
        <f t="array" ref="AI929">IF($F929&lt;&gt;"",XLOOKUP($F929,Productos!$A:$A,Productos!AB:AB,"Revisar"),"")</f>
        <v/>
      </c>
      <c r="AJ929" s="179" t="str">
        <f t="array" ref="AJ929">IF($F929&lt;&gt;"", XLOOKUP($F929,Productos!$A$2:$A1001,Productos!AC$2:AC1001,"")*$G929,"")</f>
        <v/>
      </c>
      <c r="AK929" s="179" t="str">
        <f t="array" ref="AK929">IF($F929&lt;&gt;"",XLOOKUP($F929,Productos!$A:$A,Productos!AD:AD,"Revisar"),"")</f>
        <v/>
      </c>
      <c r="AL929" s="179" t="str">
        <f t="array" ref="AL929">IF($F929&lt;&gt;"", XLOOKUP($F929,Productos!$A$2:$A1001,Productos!AE$2:AE1001,"")*$G929,"")</f>
        <v/>
      </c>
      <c r="AM929" s="179" t="str">
        <f t="array" ref="AM929">IF($F929&lt;&gt;"",XLOOKUP($F929,Productos!$A:$A,Productos!AF:AF,"Revisar"),"")</f>
        <v/>
      </c>
      <c r="AN929" s="179" t="str">
        <f t="array" ref="AN929">IF($F929&lt;&gt;"", XLOOKUP($F929,Productos!$A$2:$A1001,Productos!AG$2:AG1001,"")*$G929,"")</f>
        <v/>
      </c>
      <c r="AO929" s="179" t="str">
        <f t="array" ref="AO929">IF($F929&lt;&gt;"",XLOOKUP($F929,Productos!$A:$A,Productos!AH:AH,"Revisar"),"")</f>
        <v/>
      </c>
      <c r="AP929" s="179" t="str">
        <f t="array" ref="AP929">IF($F929&lt;&gt;"", XLOOKUP($F929,Productos!$A$2:$A1001,Productos!AI$2:AI1001,"")*$G929,"")</f>
        <v/>
      </c>
      <c r="AQ929" s="179" t="str">
        <f t="array" ref="AQ929">IF($F929&lt;&gt;"",XLOOKUP($F929,Productos!$A:$A,Productos!AJ:AJ,"Revisar"),"")</f>
        <v/>
      </c>
      <c r="AR929" s="179" t="str">
        <f t="array" ref="AR929">IF($F929&lt;&gt;"", XLOOKUP($F929,Productos!$A$2:$A1001,Productos!AK$2:AK1001,"")*$G929,"")</f>
        <v/>
      </c>
      <c r="AS929" s="179" t="str">
        <f t="array" ref="AS929">IF($F929&lt;&gt;"",XLOOKUP($F929,Productos!$A:$A,Productos!AL:AL,"Revisar"),"")</f>
        <v/>
      </c>
      <c r="AT929" s="179" t="str">
        <f t="array" ref="AT929">IF($F929&lt;&gt;"", XLOOKUP($F929,Productos!$A$2:$A1001,Productos!AM$2:AM1001,"")*$G929,"")</f>
        <v/>
      </c>
      <c r="AU929" s="179" t="str">
        <f t="array" ref="AU929">IF($F929&lt;&gt;"",XLOOKUP($F929,Productos!$A:$A,Productos!AN:AN,"Revisar"),"")</f>
        <v/>
      </c>
      <c r="AV929" s="179" t="str">
        <f t="array" ref="AV929">IF($F929&lt;&gt;"", XLOOKUP($F929,Productos!$A$2:$A1001,Productos!AO$2:AO1001,"")*$G929,"")</f>
        <v/>
      </c>
      <c r="AW929" s="179" t="str">
        <f t="array" ref="AW929">IF($F929&lt;&gt;"",XLOOKUP($F929,Productos!$A:$A,Productos!AP:AP,"Revisar"),"")</f>
        <v/>
      </c>
      <c r="AX929" s="179" t="str">
        <f t="array" ref="AX929">IF($F929&lt;&gt;"", XLOOKUP($F929,Productos!$A$2:$A1001,Productos!AQ$2:AQ1001,"")*$G929,"")</f>
        <v/>
      </c>
      <c r="AY929" s="179" t="str">
        <f t="array" ref="AY929">IF($F929&lt;&gt;"",XLOOKUP($F929,Productos!$A:$A,Productos!AR:AR,"Revisar"),"")</f>
        <v/>
      </c>
      <c r="AZ929" s="179" t="str">
        <f t="array" ref="AZ929">IF($F929&lt;&gt;"", XLOOKUP($F929,Productos!$A$2:$A1001,Productos!AS$2:AS1001,"")*$G929,"")</f>
        <v/>
      </c>
      <c r="BA929" s="179" t="str">
        <f t="array" ref="BA929">IF($F929&lt;&gt;"",XLOOKUP($F929,Productos!$A:$A,Productos!AT:AT,"Revisar"),"")</f>
        <v/>
      </c>
      <c r="BB929" s="179" t="str">
        <f t="array" ref="BB929">IF($F929&lt;&gt;"", XLOOKUP($F929,Productos!$A$2:$A1001,Productos!AU$2:AU1001,"")*$G929,"")</f>
        <v/>
      </c>
      <c r="BC929" s="179" t="str">
        <f t="array" ref="BC929">IF($F929&lt;&gt;"",XLOOKUP($F929,Productos!$A:$A,Productos!AV:AV,"Revisar"),"")</f>
        <v/>
      </c>
      <c r="BD929" s="179" t="str">
        <f t="array" ref="BD929">IF($F929&lt;&gt;"", XLOOKUP($F929,Productos!$A$2:$A1001,Productos!AW$2:AW1001,"")*$G929,"")</f>
        <v/>
      </c>
      <c r="BE929" s="179" t="str">
        <f t="array" ref="BE929">IF($F929&lt;&gt;"",XLOOKUP($F929,Productos!$A:$A,Productos!AX:AX,"Revisar"),"")</f>
        <v/>
      </c>
      <c r="BF929" s="179" t="str">
        <f t="array" ref="BF929">IF($F929&lt;&gt;"", XLOOKUP($F929,Productos!$A$2:$A1001,Productos!AY$2:AY1001,"")*$G929,"")</f>
        <v/>
      </c>
      <c r="BG929" s="179" t="str">
        <f t="array" ref="BG929">IF($F929&lt;&gt;"",XLOOKUP($F929,Productos!$A:$A,Productos!AZ:AZ,"Revisar"),"")</f>
        <v/>
      </c>
      <c r="BH929" s="179" t="str">
        <f t="array" ref="BH929">IF($F929&lt;&gt;"", XLOOKUP($F929,Productos!$A$2:$A1001,Productos!BA$2:BA1001,"")*$G929,"")</f>
        <v/>
      </c>
      <c r="BI929" s="179" t="str">
        <f t="array" ref="BI929">IF($F929&lt;&gt;"",XLOOKUP($F929,Productos!$A:$A,Productos!BB:BB,"Revisar"),"")</f>
        <v/>
      </c>
      <c r="BJ929" s="179" t="str">
        <f t="array" ref="BJ929">IF($F929&lt;&gt;"", XLOOKUP($F929,Productos!$A$2:$A1001,Productos!BC$2:BC1001,"")*$G929,"")</f>
        <v/>
      </c>
      <c r="BK929" s="179" t="str">
        <f t="array" ref="BK929">IF($F929&lt;&gt;"",XLOOKUP($F929,Productos!$A:$A,Productos!BD:BD,"Revisar"),"")</f>
        <v/>
      </c>
      <c r="BL929" s="179" t="str">
        <f t="array" ref="BL929">IF($F929&lt;&gt;"", XLOOKUP($F929,Productos!$A$2:$A1001,Productos!BE$2:BE1001,"")*$G929,"")</f>
        <v/>
      </c>
      <c r="BM929" s="179" t="str">
        <f t="array" ref="BM929">IF($F929&lt;&gt;"",XLOOKUP($F929,Productos!$A:$A,Productos!BF:BF,"Revisar"),"")</f>
        <v/>
      </c>
      <c r="BN929" s="179" t="str">
        <f t="array" ref="BN929">IF($F929&lt;&gt;"", XLOOKUP($F929,Productos!$A$2:$A1001,Productos!BG$2:BG1001,"")*$G929,"")</f>
        <v/>
      </c>
      <c r="BO929" s="179" t="str">
        <f t="array" ref="BO929">IF($F929&lt;&gt;"",XLOOKUP($F929,Productos!$A:$A,Productos!BH:BH,"Revisar"),"")</f>
        <v/>
      </c>
      <c r="BP929" s="179" t="str">
        <f t="array" ref="BP929">IF($F929&lt;&gt;"", XLOOKUP($F929,Productos!$A$2:$A1001,Productos!BI$2:BI1001,"")*$G929,"")</f>
        <v/>
      </c>
      <c r="BQ929" s="179" t="str">
        <f t="array" ref="BQ929">IF($F929&lt;&gt;"",XLOOKUP($F929,Productos!$A:$A,Productos!BJ:BJ,"Revisar"),"")</f>
        <v/>
      </c>
      <c r="BR929" s="179" t="str">
        <f t="array" ref="BR929">IF($F929&lt;&gt;"", XLOOKUP($F929,Productos!$A$2:$A1001,Productos!BK$2:BK1001,"")*$G929,"")</f>
        <v/>
      </c>
      <c r="BS929" s="179" t="str">
        <f t="array" ref="BS929">IF($F929&lt;&gt;"",XLOOKUP($F929,Productos!$A:$A,Productos!BL:BL,"Revisar"),"")</f>
        <v/>
      </c>
      <c r="BT929" s="179" t="str">
        <f t="array" ref="BT929">IF($F929&lt;&gt;"", XLOOKUP($F929,Productos!$A$2:$A1001,Productos!BM$2:BM1001,"")*$G929,"")</f>
        <v/>
      </c>
      <c r="BU929" s="179" t="str">
        <f t="array" ref="BU929">IF($F929&lt;&gt;"",XLOOKUP($F929,Productos!$A:$A,Productos!BN:BN,"Revisar"),"")</f>
        <v/>
      </c>
      <c r="BV929" s="179" t="str">
        <f t="array" ref="BV929">IF($F929&lt;&gt;"", XLOOKUP($F929,Productos!$A$2:$A1001,Productos!BO$2:BO1001,"")*$G929,"")</f>
        <v/>
      </c>
      <c r="BW929" s="179" t="str">
        <f t="array" ref="BW929">IF($F929&lt;&gt;"",XLOOKUP($F929,Productos!$A:$A,Productos!BP:BP,"Revisar"),"")</f>
        <v/>
      </c>
      <c r="BX929" s="179" t="str">
        <f t="array" ref="BX929">IF($F929&lt;&gt;"", XLOOKUP($F929,Productos!$A$2:$A1001,Productos!BQ$2:BQ1001,"")*$G929,"")</f>
        <v/>
      </c>
      <c r="BY929" s="179" t="str">
        <f t="array" ref="BY929">IF($F929&lt;&gt;"",XLOOKUP($F929,Productos!$A:$A,Productos!BR:BR,"Revisar"),"")</f>
        <v/>
      </c>
      <c r="BZ929" s="179" t="str">
        <f t="array" ref="BZ929">IF($F929&lt;&gt;"", XLOOKUP($F929,Productos!$A$2:$A1001,Productos!BS$2:BS1001,"")*$G929,"")</f>
        <v/>
      </c>
    </row>
    <row r="930">
      <c r="A930" s="188"/>
      <c r="B930" s="189"/>
      <c r="C930" s="190"/>
      <c r="D930" s="190"/>
      <c r="E930" s="191"/>
      <c r="F930" s="186"/>
      <c r="G930" s="192"/>
      <c r="H930" s="9"/>
      <c r="I930" s="179" t="str">
        <f t="array" ref="I930">IF($F930&lt;&gt;"",XLOOKUP($F930,Productos!$A:$A,Productos!B:B,"Revisar"),"")</f>
        <v/>
      </c>
      <c r="J930" s="179" t="str">
        <f t="array" ref="J930">IF($F930&lt;&gt;"", XLOOKUP($F930,Productos!$A$2:$A1001,Productos!C$2:C1001,"")*$G930,"")</f>
        <v/>
      </c>
      <c r="K930" s="179" t="str">
        <f t="array" ref="K930">IF($F930&lt;&gt;"",XLOOKUP($F930,Productos!$A:$A,Productos!D:D,"Revisar"),"")</f>
        <v/>
      </c>
      <c r="L930" s="179" t="str">
        <f t="array" ref="L930">IF($F930&lt;&gt;"", XLOOKUP($F930,Productos!$A$2:$A1001,Productos!E$2:E1001,"")*$G930,"")</f>
        <v/>
      </c>
      <c r="M930" s="179" t="str">
        <f t="array" ref="M930">IF($F930&lt;&gt;"",XLOOKUP($F930,Productos!$A:$A,Productos!F:F,"Revisar"),"")</f>
        <v/>
      </c>
      <c r="N930" s="179" t="str">
        <f t="array" ref="N930">IF($F930&lt;&gt;"", XLOOKUP($F930,Productos!$A$2:$A1001,Productos!G$2:G1001,"")*$G930,"")</f>
        <v/>
      </c>
      <c r="O930" s="179" t="str">
        <f t="array" ref="O930">IF($F930&lt;&gt;"",XLOOKUP($F930,Productos!$A:$A,Productos!H:H,"Revisar"),"")</f>
        <v/>
      </c>
      <c r="P930" s="179" t="str">
        <f t="array" ref="P930">IF($F930&lt;&gt;"", XLOOKUP($F930,Productos!$A$2:$A1001,Productos!I$2:I1001,"")*$G930,"")</f>
        <v/>
      </c>
      <c r="Q930" s="179" t="str">
        <f t="array" ref="Q930">IF($F930&lt;&gt;"",XLOOKUP($F930,Productos!$A:$A,Productos!J:J,"Revisar"),"")</f>
        <v/>
      </c>
      <c r="R930" s="179" t="str">
        <f t="array" ref="R930">IF($F930&lt;&gt;"", XLOOKUP($F930,Productos!$A$2:$A1001,Productos!K$2:K1001,"")*$G930,"")</f>
        <v/>
      </c>
      <c r="S930" s="179" t="str">
        <f t="array" ref="S930">IF($F930&lt;&gt;"",XLOOKUP($F930,Productos!$A:$A,Productos!L:L,"Revisar"),"")</f>
        <v/>
      </c>
      <c r="T930" s="179" t="str">
        <f t="array" ref="T930">IF($F930&lt;&gt;"", XLOOKUP($F930,Productos!$A$2:$A1001,Productos!M$2:M1001,"")*$G930,"")</f>
        <v/>
      </c>
      <c r="U930" s="179" t="str">
        <f t="array" ref="U930">IF($F930&lt;&gt;"",XLOOKUP($F930,Productos!$A:$A,Productos!N:N,"Revisar"),"")</f>
        <v/>
      </c>
      <c r="V930" s="179" t="str">
        <f t="array" ref="V930">IF($F930&lt;&gt;"", XLOOKUP($F930,Productos!$A$2:$A1001,Productos!O$2:O1001,"")*$G930,"")</f>
        <v/>
      </c>
      <c r="W930" s="179" t="str">
        <f t="array" ref="W930">IF($F930&lt;&gt;"",XLOOKUP($F930,Productos!$A:$A,Productos!P:P,"Revisar"),"")</f>
        <v/>
      </c>
      <c r="X930" s="179" t="str">
        <f t="array" ref="X930">IF($F930&lt;&gt;"", XLOOKUP($F930,Productos!$A$2:$A1001,Productos!Q$2:Q1001,"")*$G930,"")</f>
        <v/>
      </c>
      <c r="Y930" s="179" t="str">
        <f t="array" ref="Y930">IF($F930&lt;&gt;"",XLOOKUP($F930,Productos!$A:$A,Productos!R:R,"Revisar"),"")</f>
        <v/>
      </c>
      <c r="Z930" s="179" t="str">
        <f t="array" ref="Z930">IF($F930&lt;&gt;"", XLOOKUP($F930,Productos!$A$2:$A1001,Productos!S$2:S1001,"")*$G930,"")</f>
        <v/>
      </c>
      <c r="AA930" s="179" t="str">
        <f t="array" ref="AA930">IF($F930&lt;&gt;"",XLOOKUP($F930,Productos!$A:$A,Productos!T:T,"Revisar"),"")</f>
        <v/>
      </c>
      <c r="AB930" s="179" t="str">
        <f t="array" ref="AB930">IF($F930&lt;&gt;"", XLOOKUP($F930,Productos!$A$2:$A1001,Productos!U$2:U1001,"")*$G930,"")</f>
        <v/>
      </c>
      <c r="AC930" s="179" t="str">
        <f t="array" ref="AC930">IF($F930&lt;&gt;"",XLOOKUP($F930,Productos!$A:$A,Productos!V:V,"Revisar"),"")</f>
        <v/>
      </c>
      <c r="AD930" s="179" t="str">
        <f t="array" ref="AD930">IF($F930&lt;&gt;"", XLOOKUP($F930,Productos!$A$2:$A1001,Productos!W$2:W1001,"")*$G930,"")</f>
        <v/>
      </c>
      <c r="AE930" s="179" t="str">
        <f t="array" ref="AE930">IF($F930&lt;&gt;"",XLOOKUP($F930,Productos!$A:$A,Productos!X:X,"Revisar"),"")</f>
        <v/>
      </c>
      <c r="AF930" s="179" t="str">
        <f t="array" ref="AF930">IF($F930&lt;&gt;"", XLOOKUP($F930,Productos!$A$2:$A1001,Productos!Y$2:Y1001,"")*$G930,"")</f>
        <v/>
      </c>
      <c r="AG930" s="179" t="str">
        <f t="array" ref="AG930">IF($F930&lt;&gt;"",XLOOKUP($F930,Productos!$A:$A,Productos!Z:Z,"Revisar"),"")</f>
        <v/>
      </c>
      <c r="AH930" s="179" t="str">
        <f t="array" ref="AH930">IF($F930&lt;&gt;"", XLOOKUP($F930,Productos!$A$2:$A1001,Productos!AA$2:AA1001,"")*$G930,"")</f>
        <v/>
      </c>
      <c r="AI930" s="179" t="str">
        <f t="array" ref="AI930">IF($F930&lt;&gt;"",XLOOKUP($F930,Productos!$A:$A,Productos!AB:AB,"Revisar"),"")</f>
        <v/>
      </c>
      <c r="AJ930" s="179" t="str">
        <f t="array" ref="AJ930">IF($F930&lt;&gt;"", XLOOKUP($F930,Productos!$A$2:$A1001,Productos!AC$2:AC1001,"")*$G930,"")</f>
        <v/>
      </c>
      <c r="AK930" s="179" t="str">
        <f t="array" ref="AK930">IF($F930&lt;&gt;"",XLOOKUP($F930,Productos!$A:$A,Productos!AD:AD,"Revisar"),"")</f>
        <v/>
      </c>
      <c r="AL930" s="179" t="str">
        <f t="array" ref="AL930">IF($F930&lt;&gt;"", XLOOKUP($F930,Productos!$A$2:$A1001,Productos!AE$2:AE1001,"")*$G930,"")</f>
        <v/>
      </c>
      <c r="AM930" s="179" t="str">
        <f t="array" ref="AM930">IF($F930&lt;&gt;"",XLOOKUP($F930,Productos!$A:$A,Productos!AF:AF,"Revisar"),"")</f>
        <v/>
      </c>
      <c r="AN930" s="179" t="str">
        <f t="array" ref="AN930">IF($F930&lt;&gt;"", XLOOKUP($F930,Productos!$A$2:$A1001,Productos!AG$2:AG1001,"")*$G930,"")</f>
        <v/>
      </c>
      <c r="AO930" s="179" t="str">
        <f t="array" ref="AO930">IF($F930&lt;&gt;"",XLOOKUP($F930,Productos!$A:$A,Productos!AH:AH,"Revisar"),"")</f>
        <v/>
      </c>
      <c r="AP930" s="179" t="str">
        <f t="array" ref="AP930">IF($F930&lt;&gt;"", XLOOKUP($F930,Productos!$A$2:$A1001,Productos!AI$2:AI1001,"")*$G930,"")</f>
        <v/>
      </c>
      <c r="AQ930" s="179" t="str">
        <f t="array" ref="AQ930">IF($F930&lt;&gt;"",XLOOKUP($F930,Productos!$A:$A,Productos!AJ:AJ,"Revisar"),"")</f>
        <v/>
      </c>
      <c r="AR930" s="179" t="str">
        <f t="array" ref="AR930">IF($F930&lt;&gt;"", XLOOKUP($F930,Productos!$A$2:$A1001,Productos!AK$2:AK1001,"")*$G930,"")</f>
        <v/>
      </c>
      <c r="AS930" s="179" t="str">
        <f t="array" ref="AS930">IF($F930&lt;&gt;"",XLOOKUP($F930,Productos!$A:$A,Productos!AL:AL,"Revisar"),"")</f>
        <v/>
      </c>
      <c r="AT930" s="179" t="str">
        <f t="array" ref="AT930">IF($F930&lt;&gt;"", XLOOKUP($F930,Productos!$A$2:$A1001,Productos!AM$2:AM1001,"")*$G930,"")</f>
        <v/>
      </c>
      <c r="AU930" s="179" t="str">
        <f t="array" ref="AU930">IF($F930&lt;&gt;"",XLOOKUP($F930,Productos!$A:$A,Productos!AN:AN,"Revisar"),"")</f>
        <v/>
      </c>
      <c r="AV930" s="179" t="str">
        <f t="array" ref="AV930">IF($F930&lt;&gt;"", XLOOKUP($F930,Productos!$A$2:$A1001,Productos!AO$2:AO1001,"")*$G930,"")</f>
        <v/>
      </c>
      <c r="AW930" s="179" t="str">
        <f t="array" ref="AW930">IF($F930&lt;&gt;"",XLOOKUP($F930,Productos!$A:$A,Productos!AP:AP,"Revisar"),"")</f>
        <v/>
      </c>
      <c r="AX930" s="179" t="str">
        <f t="array" ref="AX930">IF($F930&lt;&gt;"", XLOOKUP($F930,Productos!$A$2:$A1001,Productos!AQ$2:AQ1001,"")*$G930,"")</f>
        <v/>
      </c>
      <c r="AY930" s="179" t="str">
        <f t="array" ref="AY930">IF($F930&lt;&gt;"",XLOOKUP($F930,Productos!$A:$A,Productos!AR:AR,"Revisar"),"")</f>
        <v/>
      </c>
      <c r="AZ930" s="179" t="str">
        <f t="array" ref="AZ930">IF($F930&lt;&gt;"", XLOOKUP($F930,Productos!$A$2:$A1001,Productos!AS$2:AS1001,"")*$G930,"")</f>
        <v/>
      </c>
      <c r="BA930" s="179" t="str">
        <f t="array" ref="BA930">IF($F930&lt;&gt;"",XLOOKUP($F930,Productos!$A:$A,Productos!AT:AT,"Revisar"),"")</f>
        <v/>
      </c>
      <c r="BB930" s="179" t="str">
        <f t="array" ref="BB930">IF($F930&lt;&gt;"", XLOOKUP($F930,Productos!$A$2:$A1001,Productos!AU$2:AU1001,"")*$G930,"")</f>
        <v/>
      </c>
      <c r="BC930" s="179" t="str">
        <f t="array" ref="BC930">IF($F930&lt;&gt;"",XLOOKUP($F930,Productos!$A:$A,Productos!AV:AV,"Revisar"),"")</f>
        <v/>
      </c>
      <c r="BD930" s="179" t="str">
        <f t="array" ref="BD930">IF($F930&lt;&gt;"", XLOOKUP($F930,Productos!$A$2:$A1001,Productos!AW$2:AW1001,"")*$G930,"")</f>
        <v/>
      </c>
      <c r="BE930" s="179" t="str">
        <f t="array" ref="BE930">IF($F930&lt;&gt;"",XLOOKUP($F930,Productos!$A:$A,Productos!AX:AX,"Revisar"),"")</f>
        <v/>
      </c>
      <c r="BF930" s="179" t="str">
        <f t="array" ref="BF930">IF($F930&lt;&gt;"", XLOOKUP($F930,Productos!$A$2:$A1001,Productos!AY$2:AY1001,"")*$G930,"")</f>
        <v/>
      </c>
      <c r="BG930" s="179" t="str">
        <f t="array" ref="BG930">IF($F930&lt;&gt;"",XLOOKUP($F930,Productos!$A:$A,Productos!AZ:AZ,"Revisar"),"")</f>
        <v/>
      </c>
      <c r="BH930" s="179" t="str">
        <f t="array" ref="BH930">IF($F930&lt;&gt;"", XLOOKUP($F930,Productos!$A$2:$A1001,Productos!BA$2:BA1001,"")*$G930,"")</f>
        <v/>
      </c>
      <c r="BI930" s="179" t="str">
        <f t="array" ref="BI930">IF($F930&lt;&gt;"",XLOOKUP($F930,Productos!$A:$A,Productos!BB:BB,"Revisar"),"")</f>
        <v/>
      </c>
      <c r="BJ930" s="179" t="str">
        <f t="array" ref="BJ930">IF($F930&lt;&gt;"", XLOOKUP($F930,Productos!$A$2:$A1001,Productos!BC$2:BC1001,"")*$G930,"")</f>
        <v/>
      </c>
      <c r="BK930" s="179" t="str">
        <f t="array" ref="BK930">IF($F930&lt;&gt;"",XLOOKUP($F930,Productos!$A:$A,Productos!BD:BD,"Revisar"),"")</f>
        <v/>
      </c>
      <c r="BL930" s="179" t="str">
        <f t="array" ref="BL930">IF($F930&lt;&gt;"", XLOOKUP($F930,Productos!$A$2:$A1001,Productos!BE$2:BE1001,"")*$G930,"")</f>
        <v/>
      </c>
      <c r="BM930" s="179" t="str">
        <f t="array" ref="BM930">IF($F930&lt;&gt;"",XLOOKUP($F930,Productos!$A:$A,Productos!BF:BF,"Revisar"),"")</f>
        <v/>
      </c>
      <c r="BN930" s="179" t="str">
        <f t="array" ref="BN930">IF($F930&lt;&gt;"", XLOOKUP($F930,Productos!$A$2:$A1001,Productos!BG$2:BG1001,"")*$G930,"")</f>
        <v/>
      </c>
      <c r="BO930" s="179" t="str">
        <f t="array" ref="BO930">IF($F930&lt;&gt;"",XLOOKUP($F930,Productos!$A:$A,Productos!BH:BH,"Revisar"),"")</f>
        <v/>
      </c>
      <c r="BP930" s="179" t="str">
        <f t="array" ref="BP930">IF($F930&lt;&gt;"", XLOOKUP($F930,Productos!$A$2:$A1001,Productos!BI$2:BI1001,"")*$G930,"")</f>
        <v/>
      </c>
      <c r="BQ930" s="179" t="str">
        <f t="array" ref="BQ930">IF($F930&lt;&gt;"",XLOOKUP($F930,Productos!$A:$A,Productos!BJ:BJ,"Revisar"),"")</f>
        <v/>
      </c>
      <c r="BR930" s="179" t="str">
        <f t="array" ref="BR930">IF($F930&lt;&gt;"", XLOOKUP($F930,Productos!$A$2:$A1001,Productos!BK$2:BK1001,"")*$G930,"")</f>
        <v/>
      </c>
      <c r="BS930" s="179" t="str">
        <f t="array" ref="BS930">IF($F930&lt;&gt;"",XLOOKUP($F930,Productos!$A:$A,Productos!BL:BL,"Revisar"),"")</f>
        <v/>
      </c>
      <c r="BT930" s="179" t="str">
        <f t="array" ref="BT930">IF($F930&lt;&gt;"", XLOOKUP($F930,Productos!$A$2:$A1001,Productos!BM$2:BM1001,"")*$G930,"")</f>
        <v/>
      </c>
      <c r="BU930" s="179" t="str">
        <f t="array" ref="BU930">IF($F930&lt;&gt;"",XLOOKUP($F930,Productos!$A:$A,Productos!BN:BN,"Revisar"),"")</f>
        <v/>
      </c>
      <c r="BV930" s="179" t="str">
        <f t="array" ref="BV930">IF($F930&lt;&gt;"", XLOOKUP($F930,Productos!$A$2:$A1001,Productos!BO$2:BO1001,"")*$G930,"")</f>
        <v/>
      </c>
      <c r="BW930" s="179" t="str">
        <f t="array" ref="BW930">IF($F930&lt;&gt;"",XLOOKUP($F930,Productos!$A:$A,Productos!BP:BP,"Revisar"),"")</f>
        <v/>
      </c>
      <c r="BX930" s="179" t="str">
        <f t="array" ref="BX930">IF($F930&lt;&gt;"", XLOOKUP($F930,Productos!$A$2:$A1001,Productos!BQ$2:BQ1001,"")*$G930,"")</f>
        <v/>
      </c>
      <c r="BY930" s="179" t="str">
        <f t="array" ref="BY930">IF($F930&lt;&gt;"",XLOOKUP($F930,Productos!$A:$A,Productos!BR:BR,"Revisar"),"")</f>
        <v/>
      </c>
      <c r="BZ930" s="179" t="str">
        <f t="array" ref="BZ930">IF($F930&lt;&gt;"", XLOOKUP($F930,Productos!$A$2:$A1001,Productos!BS$2:BS1001,"")*$G930,"")</f>
        <v/>
      </c>
    </row>
    <row r="931">
      <c r="A931" s="188"/>
      <c r="B931" s="189"/>
      <c r="C931" s="190"/>
      <c r="D931" s="190"/>
      <c r="E931" s="191"/>
      <c r="F931" s="186"/>
      <c r="G931" s="192"/>
      <c r="H931" s="9"/>
      <c r="I931" s="179" t="str">
        <f t="array" ref="I931">IF($F931&lt;&gt;"",XLOOKUP($F931,Productos!$A:$A,Productos!B:B,"Revisar"),"")</f>
        <v/>
      </c>
      <c r="J931" s="179" t="str">
        <f t="array" ref="J931">IF($F931&lt;&gt;"", XLOOKUP($F931,Productos!$A$2:$A1001,Productos!C$2:C1001,"")*$G931,"")</f>
        <v/>
      </c>
      <c r="K931" s="179" t="str">
        <f t="array" ref="K931">IF($F931&lt;&gt;"",XLOOKUP($F931,Productos!$A:$A,Productos!D:D,"Revisar"),"")</f>
        <v/>
      </c>
      <c r="L931" s="179" t="str">
        <f t="array" ref="L931">IF($F931&lt;&gt;"", XLOOKUP($F931,Productos!$A$2:$A1001,Productos!E$2:E1001,"")*$G931,"")</f>
        <v/>
      </c>
      <c r="M931" s="179" t="str">
        <f t="array" ref="M931">IF($F931&lt;&gt;"",XLOOKUP($F931,Productos!$A:$A,Productos!F:F,"Revisar"),"")</f>
        <v/>
      </c>
      <c r="N931" s="179" t="str">
        <f t="array" ref="N931">IF($F931&lt;&gt;"", XLOOKUP($F931,Productos!$A$2:$A1001,Productos!G$2:G1001,"")*$G931,"")</f>
        <v/>
      </c>
      <c r="O931" s="179" t="str">
        <f t="array" ref="O931">IF($F931&lt;&gt;"",XLOOKUP($F931,Productos!$A:$A,Productos!H:H,"Revisar"),"")</f>
        <v/>
      </c>
      <c r="P931" s="179" t="str">
        <f t="array" ref="P931">IF($F931&lt;&gt;"", XLOOKUP($F931,Productos!$A$2:$A1001,Productos!I$2:I1001,"")*$G931,"")</f>
        <v/>
      </c>
      <c r="Q931" s="179" t="str">
        <f t="array" ref="Q931">IF($F931&lt;&gt;"",XLOOKUP($F931,Productos!$A:$A,Productos!J:J,"Revisar"),"")</f>
        <v/>
      </c>
      <c r="R931" s="179" t="str">
        <f t="array" ref="R931">IF($F931&lt;&gt;"", XLOOKUP($F931,Productos!$A$2:$A1001,Productos!K$2:K1001,"")*$G931,"")</f>
        <v/>
      </c>
      <c r="S931" s="179" t="str">
        <f t="array" ref="S931">IF($F931&lt;&gt;"",XLOOKUP($F931,Productos!$A:$A,Productos!L:L,"Revisar"),"")</f>
        <v/>
      </c>
      <c r="T931" s="179" t="str">
        <f t="array" ref="T931">IF($F931&lt;&gt;"", XLOOKUP($F931,Productos!$A$2:$A1001,Productos!M$2:M1001,"")*$G931,"")</f>
        <v/>
      </c>
      <c r="U931" s="179" t="str">
        <f t="array" ref="U931">IF($F931&lt;&gt;"",XLOOKUP($F931,Productos!$A:$A,Productos!N:N,"Revisar"),"")</f>
        <v/>
      </c>
      <c r="V931" s="179" t="str">
        <f t="array" ref="V931">IF($F931&lt;&gt;"", XLOOKUP($F931,Productos!$A$2:$A1001,Productos!O$2:O1001,"")*$G931,"")</f>
        <v/>
      </c>
      <c r="W931" s="179" t="str">
        <f t="array" ref="W931">IF($F931&lt;&gt;"",XLOOKUP($F931,Productos!$A:$A,Productos!P:P,"Revisar"),"")</f>
        <v/>
      </c>
      <c r="X931" s="179" t="str">
        <f t="array" ref="X931">IF($F931&lt;&gt;"", XLOOKUP($F931,Productos!$A$2:$A1001,Productos!Q$2:Q1001,"")*$G931,"")</f>
        <v/>
      </c>
      <c r="Y931" s="179" t="str">
        <f t="array" ref="Y931">IF($F931&lt;&gt;"",XLOOKUP($F931,Productos!$A:$A,Productos!R:R,"Revisar"),"")</f>
        <v/>
      </c>
      <c r="Z931" s="179" t="str">
        <f t="array" ref="Z931">IF($F931&lt;&gt;"", XLOOKUP($F931,Productos!$A$2:$A1001,Productos!S$2:S1001,"")*$G931,"")</f>
        <v/>
      </c>
      <c r="AA931" s="179" t="str">
        <f t="array" ref="AA931">IF($F931&lt;&gt;"",XLOOKUP($F931,Productos!$A:$A,Productos!T:T,"Revisar"),"")</f>
        <v/>
      </c>
      <c r="AB931" s="179" t="str">
        <f t="array" ref="AB931">IF($F931&lt;&gt;"", XLOOKUP($F931,Productos!$A$2:$A1001,Productos!U$2:U1001,"")*$G931,"")</f>
        <v/>
      </c>
      <c r="AC931" s="179" t="str">
        <f t="array" ref="AC931">IF($F931&lt;&gt;"",XLOOKUP($F931,Productos!$A:$A,Productos!V:V,"Revisar"),"")</f>
        <v/>
      </c>
      <c r="AD931" s="179" t="str">
        <f t="array" ref="AD931">IF($F931&lt;&gt;"", XLOOKUP($F931,Productos!$A$2:$A1001,Productos!W$2:W1001,"")*$G931,"")</f>
        <v/>
      </c>
      <c r="AE931" s="179" t="str">
        <f t="array" ref="AE931">IF($F931&lt;&gt;"",XLOOKUP($F931,Productos!$A:$A,Productos!X:X,"Revisar"),"")</f>
        <v/>
      </c>
      <c r="AF931" s="179" t="str">
        <f t="array" ref="AF931">IF($F931&lt;&gt;"", XLOOKUP($F931,Productos!$A$2:$A1001,Productos!Y$2:Y1001,"")*$G931,"")</f>
        <v/>
      </c>
      <c r="AG931" s="179" t="str">
        <f t="array" ref="AG931">IF($F931&lt;&gt;"",XLOOKUP($F931,Productos!$A:$A,Productos!Z:Z,"Revisar"),"")</f>
        <v/>
      </c>
      <c r="AH931" s="179" t="str">
        <f t="array" ref="AH931">IF($F931&lt;&gt;"", XLOOKUP($F931,Productos!$A$2:$A1001,Productos!AA$2:AA1001,"")*$G931,"")</f>
        <v/>
      </c>
      <c r="AI931" s="179" t="str">
        <f t="array" ref="AI931">IF($F931&lt;&gt;"",XLOOKUP($F931,Productos!$A:$A,Productos!AB:AB,"Revisar"),"")</f>
        <v/>
      </c>
      <c r="AJ931" s="179" t="str">
        <f t="array" ref="AJ931">IF($F931&lt;&gt;"", XLOOKUP($F931,Productos!$A$2:$A1001,Productos!AC$2:AC1001,"")*$G931,"")</f>
        <v/>
      </c>
      <c r="AK931" s="179" t="str">
        <f t="array" ref="AK931">IF($F931&lt;&gt;"",XLOOKUP($F931,Productos!$A:$A,Productos!AD:AD,"Revisar"),"")</f>
        <v/>
      </c>
      <c r="AL931" s="179" t="str">
        <f t="array" ref="AL931">IF($F931&lt;&gt;"", XLOOKUP($F931,Productos!$A$2:$A1001,Productos!AE$2:AE1001,"")*$G931,"")</f>
        <v/>
      </c>
      <c r="AM931" s="179" t="str">
        <f t="array" ref="AM931">IF($F931&lt;&gt;"",XLOOKUP($F931,Productos!$A:$A,Productos!AF:AF,"Revisar"),"")</f>
        <v/>
      </c>
      <c r="AN931" s="179" t="str">
        <f t="array" ref="AN931">IF($F931&lt;&gt;"", XLOOKUP($F931,Productos!$A$2:$A1001,Productos!AG$2:AG1001,"")*$G931,"")</f>
        <v/>
      </c>
      <c r="AO931" s="179" t="str">
        <f t="array" ref="AO931">IF($F931&lt;&gt;"",XLOOKUP($F931,Productos!$A:$A,Productos!AH:AH,"Revisar"),"")</f>
        <v/>
      </c>
      <c r="AP931" s="179" t="str">
        <f t="array" ref="AP931">IF($F931&lt;&gt;"", XLOOKUP($F931,Productos!$A$2:$A1001,Productos!AI$2:AI1001,"")*$G931,"")</f>
        <v/>
      </c>
      <c r="AQ931" s="179" t="str">
        <f t="array" ref="AQ931">IF($F931&lt;&gt;"",XLOOKUP($F931,Productos!$A:$A,Productos!AJ:AJ,"Revisar"),"")</f>
        <v/>
      </c>
      <c r="AR931" s="179" t="str">
        <f t="array" ref="AR931">IF($F931&lt;&gt;"", XLOOKUP($F931,Productos!$A$2:$A1001,Productos!AK$2:AK1001,"")*$G931,"")</f>
        <v/>
      </c>
      <c r="AS931" s="179" t="str">
        <f t="array" ref="AS931">IF($F931&lt;&gt;"",XLOOKUP($F931,Productos!$A:$A,Productos!AL:AL,"Revisar"),"")</f>
        <v/>
      </c>
      <c r="AT931" s="179" t="str">
        <f t="array" ref="AT931">IF($F931&lt;&gt;"", XLOOKUP($F931,Productos!$A$2:$A1001,Productos!AM$2:AM1001,"")*$G931,"")</f>
        <v/>
      </c>
      <c r="AU931" s="179" t="str">
        <f t="array" ref="AU931">IF($F931&lt;&gt;"",XLOOKUP($F931,Productos!$A:$A,Productos!AN:AN,"Revisar"),"")</f>
        <v/>
      </c>
      <c r="AV931" s="179" t="str">
        <f t="array" ref="AV931">IF($F931&lt;&gt;"", XLOOKUP($F931,Productos!$A$2:$A1001,Productos!AO$2:AO1001,"")*$G931,"")</f>
        <v/>
      </c>
      <c r="AW931" s="179" t="str">
        <f t="array" ref="AW931">IF($F931&lt;&gt;"",XLOOKUP($F931,Productos!$A:$A,Productos!AP:AP,"Revisar"),"")</f>
        <v/>
      </c>
      <c r="AX931" s="179" t="str">
        <f t="array" ref="AX931">IF($F931&lt;&gt;"", XLOOKUP($F931,Productos!$A$2:$A1001,Productos!AQ$2:AQ1001,"")*$G931,"")</f>
        <v/>
      </c>
      <c r="AY931" s="179" t="str">
        <f t="array" ref="AY931">IF($F931&lt;&gt;"",XLOOKUP($F931,Productos!$A:$A,Productos!AR:AR,"Revisar"),"")</f>
        <v/>
      </c>
      <c r="AZ931" s="179" t="str">
        <f t="array" ref="AZ931">IF($F931&lt;&gt;"", XLOOKUP($F931,Productos!$A$2:$A1001,Productos!AS$2:AS1001,"")*$G931,"")</f>
        <v/>
      </c>
      <c r="BA931" s="179" t="str">
        <f t="array" ref="BA931">IF($F931&lt;&gt;"",XLOOKUP($F931,Productos!$A:$A,Productos!AT:AT,"Revisar"),"")</f>
        <v/>
      </c>
      <c r="BB931" s="179" t="str">
        <f t="array" ref="BB931">IF($F931&lt;&gt;"", XLOOKUP($F931,Productos!$A$2:$A1001,Productos!AU$2:AU1001,"")*$G931,"")</f>
        <v/>
      </c>
      <c r="BC931" s="179" t="str">
        <f t="array" ref="BC931">IF($F931&lt;&gt;"",XLOOKUP($F931,Productos!$A:$A,Productos!AV:AV,"Revisar"),"")</f>
        <v/>
      </c>
      <c r="BD931" s="179" t="str">
        <f t="array" ref="BD931">IF($F931&lt;&gt;"", XLOOKUP($F931,Productos!$A$2:$A1001,Productos!AW$2:AW1001,"")*$G931,"")</f>
        <v/>
      </c>
      <c r="BE931" s="179" t="str">
        <f t="array" ref="BE931">IF($F931&lt;&gt;"",XLOOKUP($F931,Productos!$A:$A,Productos!AX:AX,"Revisar"),"")</f>
        <v/>
      </c>
      <c r="BF931" s="179" t="str">
        <f t="array" ref="BF931">IF($F931&lt;&gt;"", XLOOKUP($F931,Productos!$A$2:$A1001,Productos!AY$2:AY1001,"")*$G931,"")</f>
        <v/>
      </c>
      <c r="BG931" s="179" t="str">
        <f t="array" ref="BG931">IF($F931&lt;&gt;"",XLOOKUP($F931,Productos!$A:$A,Productos!AZ:AZ,"Revisar"),"")</f>
        <v/>
      </c>
      <c r="BH931" s="179" t="str">
        <f t="array" ref="BH931">IF($F931&lt;&gt;"", XLOOKUP($F931,Productos!$A$2:$A1001,Productos!BA$2:BA1001,"")*$G931,"")</f>
        <v/>
      </c>
      <c r="BI931" s="179" t="str">
        <f t="array" ref="BI931">IF($F931&lt;&gt;"",XLOOKUP($F931,Productos!$A:$A,Productos!BB:BB,"Revisar"),"")</f>
        <v/>
      </c>
      <c r="BJ931" s="179" t="str">
        <f t="array" ref="BJ931">IF($F931&lt;&gt;"", XLOOKUP($F931,Productos!$A$2:$A1001,Productos!BC$2:BC1001,"")*$G931,"")</f>
        <v/>
      </c>
      <c r="BK931" s="179" t="str">
        <f t="array" ref="BK931">IF($F931&lt;&gt;"",XLOOKUP($F931,Productos!$A:$A,Productos!BD:BD,"Revisar"),"")</f>
        <v/>
      </c>
      <c r="BL931" s="179" t="str">
        <f t="array" ref="BL931">IF($F931&lt;&gt;"", XLOOKUP($F931,Productos!$A$2:$A1001,Productos!BE$2:BE1001,"")*$G931,"")</f>
        <v/>
      </c>
      <c r="BM931" s="179" t="str">
        <f t="array" ref="BM931">IF($F931&lt;&gt;"",XLOOKUP($F931,Productos!$A:$A,Productos!BF:BF,"Revisar"),"")</f>
        <v/>
      </c>
      <c r="BN931" s="179" t="str">
        <f t="array" ref="BN931">IF($F931&lt;&gt;"", XLOOKUP($F931,Productos!$A$2:$A1001,Productos!BG$2:BG1001,"")*$G931,"")</f>
        <v/>
      </c>
      <c r="BO931" s="179" t="str">
        <f t="array" ref="BO931">IF($F931&lt;&gt;"",XLOOKUP($F931,Productos!$A:$A,Productos!BH:BH,"Revisar"),"")</f>
        <v/>
      </c>
      <c r="BP931" s="179" t="str">
        <f t="array" ref="BP931">IF($F931&lt;&gt;"", XLOOKUP($F931,Productos!$A$2:$A1001,Productos!BI$2:BI1001,"")*$G931,"")</f>
        <v/>
      </c>
      <c r="BQ931" s="179" t="str">
        <f t="array" ref="BQ931">IF($F931&lt;&gt;"",XLOOKUP($F931,Productos!$A:$A,Productos!BJ:BJ,"Revisar"),"")</f>
        <v/>
      </c>
      <c r="BR931" s="179" t="str">
        <f t="array" ref="BR931">IF($F931&lt;&gt;"", XLOOKUP($F931,Productos!$A$2:$A1001,Productos!BK$2:BK1001,"")*$G931,"")</f>
        <v/>
      </c>
      <c r="BS931" s="179" t="str">
        <f t="array" ref="BS931">IF($F931&lt;&gt;"",XLOOKUP($F931,Productos!$A:$A,Productos!BL:BL,"Revisar"),"")</f>
        <v/>
      </c>
      <c r="BT931" s="179" t="str">
        <f t="array" ref="BT931">IF($F931&lt;&gt;"", XLOOKUP($F931,Productos!$A$2:$A1001,Productos!BM$2:BM1001,"")*$G931,"")</f>
        <v/>
      </c>
      <c r="BU931" s="179" t="str">
        <f t="array" ref="BU931">IF($F931&lt;&gt;"",XLOOKUP($F931,Productos!$A:$A,Productos!BN:BN,"Revisar"),"")</f>
        <v/>
      </c>
      <c r="BV931" s="179" t="str">
        <f t="array" ref="BV931">IF($F931&lt;&gt;"", XLOOKUP($F931,Productos!$A$2:$A1001,Productos!BO$2:BO1001,"")*$G931,"")</f>
        <v/>
      </c>
      <c r="BW931" s="179" t="str">
        <f t="array" ref="BW931">IF($F931&lt;&gt;"",XLOOKUP($F931,Productos!$A:$A,Productos!BP:BP,"Revisar"),"")</f>
        <v/>
      </c>
      <c r="BX931" s="179" t="str">
        <f t="array" ref="BX931">IF($F931&lt;&gt;"", XLOOKUP($F931,Productos!$A$2:$A1001,Productos!BQ$2:BQ1001,"")*$G931,"")</f>
        <v/>
      </c>
      <c r="BY931" s="179" t="str">
        <f t="array" ref="BY931">IF($F931&lt;&gt;"",XLOOKUP($F931,Productos!$A:$A,Productos!BR:BR,"Revisar"),"")</f>
        <v/>
      </c>
      <c r="BZ931" s="179" t="str">
        <f t="array" ref="BZ931">IF($F931&lt;&gt;"", XLOOKUP($F931,Productos!$A$2:$A1001,Productos!BS$2:BS1001,"")*$G931,"")</f>
        <v/>
      </c>
    </row>
    <row r="932">
      <c r="A932" s="188"/>
      <c r="B932" s="189"/>
      <c r="C932" s="190"/>
      <c r="D932" s="190"/>
      <c r="E932" s="191"/>
      <c r="F932" s="186"/>
      <c r="G932" s="192"/>
      <c r="H932" s="9"/>
      <c r="I932" s="179" t="str">
        <f t="array" ref="I932">IF($F932&lt;&gt;"",XLOOKUP($F932,Productos!$A:$A,Productos!B:B,"Revisar"),"")</f>
        <v/>
      </c>
      <c r="J932" s="179" t="str">
        <f t="array" ref="J932">IF($F932&lt;&gt;"", XLOOKUP($F932,Productos!$A$2:$A1001,Productos!C$2:C1001,"")*$G932,"")</f>
        <v/>
      </c>
      <c r="K932" s="179" t="str">
        <f t="array" ref="K932">IF($F932&lt;&gt;"",XLOOKUP($F932,Productos!$A:$A,Productos!D:D,"Revisar"),"")</f>
        <v/>
      </c>
      <c r="L932" s="179" t="str">
        <f t="array" ref="L932">IF($F932&lt;&gt;"", XLOOKUP($F932,Productos!$A$2:$A1001,Productos!E$2:E1001,"")*$G932,"")</f>
        <v/>
      </c>
      <c r="M932" s="179" t="str">
        <f t="array" ref="M932">IF($F932&lt;&gt;"",XLOOKUP($F932,Productos!$A:$A,Productos!F:F,"Revisar"),"")</f>
        <v/>
      </c>
      <c r="N932" s="179" t="str">
        <f t="array" ref="N932">IF($F932&lt;&gt;"", XLOOKUP($F932,Productos!$A$2:$A1001,Productos!G$2:G1001,"")*$G932,"")</f>
        <v/>
      </c>
      <c r="O932" s="179" t="str">
        <f t="array" ref="O932">IF($F932&lt;&gt;"",XLOOKUP($F932,Productos!$A:$A,Productos!H:H,"Revisar"),"")</f>
        <v/>
      </c>
      <c r="P932" s="179" t="str">
        <f t="array" ref="P932">IF($F932&lt;&gt;"", XLOOKUP($F932,Productos!$A$2:$A1001,Productos!I$2:I1001,"")*$G932,"")</f>
        <v/>
      </c>
      <c r="Q932" s="179" t="str">
        <f t="array" ref="Q932">IF($F932&lt;&gt;"",XLOOKUP($F932,Productos!$A:$A,Productos!J:J,"Revisar"),"")</f>
        <v/>
      </c>
      <c r="R932" s="179" t="str">
        <f t="array" ref="R932">IF($F932&lt;&gt;"", XLOOKUP($F932,Productos!$A$2:$A1001,Productos!K$2:K1001,"")*$G932,"")</f>
        <v/>
      </c>
      <c r="S932" s="179" t="str">
        <f t="array" ref="S932">IF($F932&lt;&gt;"",XLOOKUP($F932,Productos!$A:$A,Productos!L:L,"Revisar"),"")</f>
        <v/>
      </c>
      <c r="T932" s="179" t="str">
        <f t="array" ref="T932">IF($F932&lt;&gt;"", XLOOKUP($F932,Productos!$A$2:$A1001,Productos!M$2:M1001,"")*$G932,"")</f>
        <v/>
      </c>
      <c r="U932" s="179" t="str">
        <f t="array" ref="U932">IF($F932&lt;&gt;"",XLOOKUP($F932,Productos!$A:$A,Productos!N:N,"Revisar"),"")</f>
        <v/>
      </c>
      <c r="V932" s="179" t="str">
        <f t="array" ref="V932">IF($F932&lt;&gt;"", XLOOKUP($F932,Productos!$A$2:$A1001,Productos!O$2:O1001,"")*$G932,"")</f>
        <v/>
      </c>
      <c r="W932" s="179" t="str">
        <f t="array" ref="W932">IF($F932&lt;&gt;"",XLOOKUP($F932,Productos!$A:$A,Productos!P:P,"Revisar"),"")</f>
        <v/>
      </c>
      <c r="X932" s="179" t="str">
        <f t="array" ref="X932">IF($F932&lt;&gt;"", XLOOKUP($F932,Productos!$A$2:$A1001,Productos!Q$2:Q1001,"")*$G932,"")</f>
        <v/>
      </c>
      <c r="Y932" s="179" t="str">
        <f t="array" ref="Y932">IF($F932&lt;&gt;"",XLOOKUP($F932,Productos!$A:$A,Productos!R:R,"Revisar"),"")</f>
        <v/>
      </c>
      <c r="Z932" s="179" t="str">
        <f t="array" ref="Z932">IF($F932&lt;&gt;"", XLOOKUP($F932,Productos!$A$2:$A1001,Productos!S$2:S1001,"")*$G932,"")</f>
        <v/>
      </c>
      <c r="AA932" s="179" t="str">
        <f t="array" ref="AA932">IF($F932&lt;&gt;"",XLOOKUP($F932,Productos!$A:$A,Productos!T:T,"Revisar"),"")</f>
        <v/>
      </c>
      <c r="AB932" s="179" t="str">
        <f t="array" ref="AB932">IF($F932&lt;&gt;"", XLOOKUP($F932,Productos!$A$2:$A1001,Productos!U$2:U1001,"")*$G932,"")</f>
        <v/>
      </c>
      <c r="AC932" s="179" t="str">
        <f t="array" ref="AC932">IF($F932&lt;&gt;"",XLOOKUP($F932,Productos!$A:$A,Productos!V:V,"Revisar"),"")</f>
        <v/>
      </c>
      <c r="AD932" s="179" t="str">
        <f t="array" ref="AD932">IF($F932&lt;&gt;"", XLOOKUP($F932,Productos!$A$2:$A1001,Productos!W$2:W1001,"")*$G932,"")</f>
        <v/>
      </c>
      <c r="AE932" s="179" t="str">
        <f t="array" ref="AE932">IF($F932&lt;&gt;"",XLOOKUP($F932,Productos!$A:$A,Productos!X:X,"Revisar"),"")</f>
        <v/>
      </c>
      <c r="AF932" s="179" t="str">
        <f t="array" ref="AF932">IF($F932&lt;&gt;"", XLOOKUP($F932,Productos!$A$2:$A1001,Productos!Y$2:Y1001,"")*$G932,"")</f>
        <v/>
      </c>
      <c r="AG932" s="179" t="str">
        <f t="array" ref="AG932">IF($F932&lt;&gt;"",XLOOKUP($F932,Productos!$A:$A,Productos!Z:Z,"Revisar"),"")</f>
        <v/>
      </c>
      <c r="AH932" s="179" t="str">
        <f t="array" ref="AH932">IF($F932&lt;&gt;"", XLOOKUP($F932,Productos!$A$2:$A1001,Productos!AA$2:AA1001,"")*$G932,"")</f>
        <v/>
      </c>
      <c r="AI932" s="179" t="str">
        <f t="array" ref="AI932">IF($F932&lt;&gt;"",XLOOKUP($F932,Productos!$A:$A,Productos!AB:AB,"Revisar"),"")</f>
        <v/>
      </c>
      <c r="AJ932" s="179" t="str">
        <f t="array" ref="AJ932">IF($F932&lt;&gt;"", XLOOKUP($F932,Productos!$A$2:$A1001,Productos!AC$2:AC1001,"")*$G932,"")</f>
        <v/>
      </c>
      <c r="AK932" s="179" t="str">
        <f t="array" ref="AK932">IF($F932&lt;&gt;"",XLOOKUP($F932,Productos!$A:$A,Productos!AD:AD,"Revisar"),"")</f>
        <v/>
      </c>
      <c r="AL932" s="179" t="str">
        <f t="array" ref="AL932">IF($F932&lt;&gt;"", XLOOKUP($F932,Productos!$A$2:$A1001,Productos!AE$2:AE1001,"")*$G932,"")</f>
        <v/>
      </c>
      <c r="AM932" s="179" t="str">
        <f t="array" ref="AM932">IF($F932&lt;&gt;"",XLOOKUP($F932,Productos!$A:$A,Productos!AF:AF,"Revisar"),"")</f>
        <v/>
      </c>
      <c r="AN932" s="179" t="str">
        <f t="array" ref="AN932">IF($F932&lt;&gt;"", XLOOKUP($F932,Productos!$A$2:$A1001,Productos!AG$2:AG1001,"")*$G932,"")</f>
        <v/>
      </c>
      <c r="AO932" s="179" t="str">
        <f t="array" ref="AO932">IF($F932&lt;&gt;"",XLOOKUP($F932,Productos!$A:$A,Productos!AH:AH,"Revisar"),"")</f>
        <v/>
      </c>
      <c r="AP932" s="179" t="str">
        <f t="array" ref="AP932">IF($F932&lt;&gt;"", XLOOKUP($F932,Productos!$A$2:$A1001,Productos!AI$2:AI1001,"")*$G932,"")</f>
        <v/>
      </c>
      <c r="AQ932" s="179" t="str">
        <f t="array" ref="AQ932">IF($F932&lt;&gt;"",XLOOKUP($F932,Productos!$A:$A,Productos!AJ:AJ,"Revisar"),"")</f>
        <v/>
      </c>
      <c r="AR932" s="179" t="str">
        <f t="array" ref="AR932">IF($F932&lt;&gt;"", XLOOKUP($F932,Productos!$A$2:$A1001,Productos!AK$2:AK1001,"")*$G932,"")</f>
        <v/>
      </c>
      <c r="AS932" s="179" t="str">
        <f t="array" ref="AS932">IF($F932&lt;&gt;"",XLOOKUP($F932,Productos!$A:$A,Productos!AL:AL,"Revisar"),"")</f>
        <v/>
      </c>
      <c r="AT932" s="179" t="str">
        <f t="array" ref="AT932">IF($F932&lt;&gt;"", XLOOKUP($F932,Productos!$A$2:$A1001,Productos!AM$2:AM1001,"")*$G932,"")</f>
        <v/>
      </c>
      <c r="AU932" s="179" t="str">
        <f t="array" ref="AU932">IF($F932&lt;&gt;"",XLOOKUP($F932,Productos!$A:$A,Productos!AN:AN,"Revisar"),"")</f>
        <v/>
      </c>
      <c r="AV932" s="179" t="str">
        <f t="array" ref="AV932">IF($F932&lt;&gt;"", XLOOKUP($F932,Productos!$A$2:$A1001,Productos!AO$2:AO1001,"")*$G932,"")</f>
        <v/>
      </c>
      <c r="AW932" s="179" t="str">
        <f t="array" ref="AW932">IF($F932&lt;&gt;"",XLOOKUP($F932,Productos!$A:$A,Productos!AP:AP,"Revisar"),"")</f>
        <v/>
      </c>
      <c r="AX932" s="179" t="str">
        <f t="array" ref="AX932">IF($F932&lt;&gt;"", XLOOKUP($F932,Productos!$A$2:$A1001,Productos!AQ$2:AQ1001,"")*$G932,"")</f>
        <v/>
      </c>
      <c r="AY932" s="179" t="str">
        <f t="array" ref="AY932">IF($F932&lt;&gt;"",XLOOKUP($F932,Productos!$A:$A,Productos!AR:AR,"Revisar"),"")</f>
        <v/>
      </c>
      <c r="AZ932" s="179" t="str">
        <f t="array" ref="AZ932">IF($F932&lt;&gt;"", XLOOKUP($F932,Productos!$A$2:$A1001,Productos!AS$2:AS1001,"")*$G932,"")</f>
        <v/>
      </c>
      <c r="BA932" s="179" t="str">
        <f t="array" ref="BA932">IF($F932&lt;&gt;"",XLOOKUP($F932,Productos!$A:$A,Productos!AT:AT,"Revisar"),"")</f>
        <v/>
      </c>
      <c r="BB932" s="179" t="str">
        <f t="array" ref="BB932">IF($F932&lt;&gt;"", XLOOKUP($F932,Productos!$A$2:$A1001,Productos!AU$2:AU1001,"")*$G932,"")</f>
        <v/>
      </c>
      <c r="BC932" s="179" t="str">
        <f t="array" ref="BC932">IF($F932&lt;&gt;"",XLOOKUP($F932,Productos!$A:$A,Productos!AV:AV,"Revisar"),"")</f>
        <v/>
      </c>
      <c r="BD932" s="179" t="str">
        <f t="array" ref="BD932">IF($F932&lt;&gt;"", XLOOKUP($F932,Productos!$A$2:$A1001,Productos!AW$2:AW1001,"")*$G932,"")</f>
        <v/>
      </c>
      <c r="BE932" s="179" t="str">
        <f t="array" ref="BE932">IF($F932&lt;&gt;"",XLOOKUP($F932,Productos!$A:$A,Productos!AX:AX,"Revisar"),"")</f>
        <v/>
      </c>
      <c r="BF932" s="179" t="str">
        <f t="array" ref="BF932">IF($F932&lt;&gt;"", XLOOKUP($F932,Productos!$A$2:$A1001,Productos!AY$2:AY1001,"")*$G932,"")</f>
        <v/>
      </c>
      <c r="BG932" s="179" t="str">
        <f t="array" ref="BG932">IF($F932&lt;&gt;"",XLOOKUP($F932,Productos!$A:$A,Productos!AZ:AZ,"Revisar"),"")</f>
        <v/>
      </c>
      <c r="BH932" s="179" t="str">
        <f t="array" ref="BH932">IF($F932&lt;&gt;"", XLOOKUP($F932,Productos!$A$2:$A1001,Productos!BA$2:BA1001,"")*$G932,"")</f>
        <v/>
      </c>
      <c r="BI932" s="179" t="str">
        <f t="array" ref="BI932">IF($F932&lt;&gt;"",XLOOKUP($F932,Productos!$A:$A,Productos!BB:BB,"Revisar"),"")</f>
        <v/>
      </c>
      <c r="BJ932" s="179" t="str">
        <f t="array" ref="BJ932">IF($F932&lt;&gt;"", XLOOKUP($F932,Productos!$A$2:$A1001,Productos!BC$2:BC1001,"")*$G932,"")</f>
        <v/>
      </c>
      <c r="BK932" s="179" t="str">
        <f t="array" ref="BK932">IF($F932&lt;&gt;"",XLOOKUP($F932,Productos!$A:$A,Productos!BD:BD,"Revisar"),"")</f>
        <v/>
      </c>
      <c r="BL932" s="179" t="str">
        <f t="array" ref="BL932">IF($F932&lt;&gt;"", XLOOKUP($F932,Productos!$A$2:$A1001,Productos!BE$2:BE1001,"")*$G932,"")</f>
        <v/>
      </c>
      <c r="BM932" s="179" t="str">
        <f t="array" ref="BM932">IF($F932&lt;&gt;"",XLOOKUP($F932,Productos!$A:$A,Productos!BF:BF,"Revisar"),"")</f>
        <v/>
      </c>
      <c r="BN932" s="179" t="str">
        <f t="array" ref="BN932">IF($F932&lt;&gt;"", XLOOKUP($F932,Productos!$A$2:$A1001,Productos!BG$2:BG1001,"")*$G932,"")</f>
        <v/>
      </c>
      <c r="BO932" s="179" t="str">
        <f t="array" ref="BO932">IF($F932&lt;&gt;"",XLOOKUP($F932,Productos!$A:$A,Productos!BH:BH,"Revisar"),"")</f>
        <v/>
      </c>
      <c r="BP932" s="179" t="str">
        <f t="array" ref="BP932">IF($F932&lt;&gt;"", XLOOKUP($F932,Productos!$A$2:$A1001,Productos!BI$2:BI1001,"")*$G932,"")</f>
        <v/>
      </c>
      <c r="BQ932" s="179" t="str">
        <f t="array" ref="BQ932">IF($F932&lt;&gt;"",XLOOKUP($F932,Productos!$A:$A,Productos!BJ:BJ,"Revisar"),"")</f>
        <v/>
      </c>
      <c r="BR932" s="179" t="str">
        <f t="array" ref="BR932">IF($F932&lt;&gt;"", XLOOKUP($F932,Productos!$A$2:$A1001,Productos!BK$2:BK1001,"")*$G932,"")</f>
        <v/>
      </c>
      <c r="BS932" s="179" t="str">
        <f t="array" ref="BS932">IF($F932&lt;&gt;"",XLOOKUP($F932,Productos!$A:$A,Productos!BL:BL,"Revisar"),"")</f>
        <v/>
      </c>
      <c r="BT932" s="179" t="str">
        <f t="array" ref="BT932">IF($F932&lt;&gt;"", XLOOKUP($F932,Productos!$A$2:$A1001,Productos!BM$2:BM1001,"")*$G932,"")</f>
        <v/>
      </c>
      <c r="BU932" s="179" t="str">
        <f t="array" ref="BU932">IF($F932&lt;&gt;"",XLOOKUP($F932,Productos!$A:$A,Productos!BN:BN,"Revisar"),"")</f>
        <v/>
      </c>
      <c r="BV932" s="179" t="str">
        <f t="array" ref="BV932">IF($F932&lt;&gt;"", XLOOKUP($F932,Productos!$A$2:$A1001,Productos!BO$2:BO1001,"")*$G932,"")</f>
        <v/>
      </c>
      <c r="BW932" s="179" t="str">
        <f t="array" ref="BW932">IF($F932&lt;&gt;"",XLOOKUP($F932,Productos!$A:$A,Productos!BP:BP,"Revisar"),"")</f>
        <v/>
      </c>
      <c r="BX932" s="179" t="str">
        <f t="array" ref="BX932">IF($F932&lt;&gt;"", XLOOKUP($F932,Productos!$A$2:$A1001,Productos!BQ$2:BQ1001,"")*$G932,"")</f>
        <v/>
      </c>
      <c r="BY932" s="179" t="str">
        <f t="array" ref="BY932">IF($F932&lt;&gt;"",XLOOKUP($F932,Productos!$A:$A,Productos!BR:BR,"Revisar"),"")</f>
        <v/>
      </c>
      <c r="BZ932" s="179" t="str">
        <f t="array" ref="BZ932">IF($F932&lt;&gt;"", XLOOKUP($F932,Productos!$A$2:$A1001,Productos!BS$2:BS1001,"")*$G932,"")</f>
        <v/>
      </c>
    </row>
    <row r="933">
      <c r="A933" s="188"/>
      <c r="B933" s="189"/>
      <c r="C933" s="190"/>
      <c r="D933" s="190"/>
      <c r="E933" s="191"/>
      <c r="F933" s="186"/>
      <c r="G933" s="192"/>
      <c r="H933" s="9"/>
      <c r="I933" s="179" t="str">
        <f t="array" ref="I933">IF($F933&lt;&gt;"",XLOOKUP($F933,Productos!$A:$A,Productos!B:B,"Revisar"),"")</f>
        <v/>
      </c>
      <c r="J933" s="179" t="str">
        <f t="array" ref="J933">IF($F933&lt;&gt;"", XLOOKUP($F933,Productos!$A$2:$A1001,Productos!C$2:C1001,"")*$G933,"")</f>
        <v/>
      </c>
      <c r="K933" s="179" t="str">
        <f t="array" ref="K933">IF($F933&lt;&gt;"",XLOOKUP($F933,Productos!$A:$A,Productos!D:D,"Revisar"),"")</f>
        <v/>
      </c>
      <c r="L933" s="179" t="str">
        <f t="array" ref="L933">IF($F933&lt;&gt;"", XLOOKUP($F933,Productos!$A$2:$A1001,Productos!E$2:E1001,"")*$G933,"")</f>
        <v/>
      </c>
      <c r="M933" s="179" t="str">
        <f t="array" ref="M933">IF($F933&lt;&gt;"",XLOOKUP($F933,Productos!$A:$A,Productos!F:F,"Revisar"),"")</f>
        <v/>
      </c>
      <c r="N933" s="179" t="str">
        <f t="array" ref="N933">IF($F933&lt;&gt;"", XLOOKUP($F933,Productos!$A$2:$A1001,Productos!G$2:G1001,"")*$G933,"")</f>
        <v/>
      </c>
      <c r="O933" s="179" t="str">
        <f t="array" ref="O933">IF($F933&lt;&gt;"",XLOOKUP($F933,Productos!$A:$A,Productos!H:H,"Revisar"),"")</f>
        <v/>
      </c>
      <c r="P933" s="179" t="str">
        <f t="array" ref="P933">IF($F933&lt;&gt;"", XLOOKUP($F933,Productos!$A$2:$A1001,Productos!I$2:I1001,"")*$G933,"")</f>
        <v/>
      </c>
      <c r="Q933" s="179" t="str">
        <f t="array" ref="Q933">IF($F933&lt;&gt;"",XLOOKUP($F933,Productos!$A:$A,Productos!J:J,"Revisar"),"")</f>
        <v/>
      </c>
      <c r="R933" s="179" t="str">
        <f t="array" ref="R933">IF($F933&lt;&gt;"", XLOOKUP($F933,Productos!$A$2:$A1001,Productos!K$2:K1001,"")*$G933,"")</f>
        <v/>
      </c>
      <c r="S933" s="179" t="str">
        <f t="array" ref="S933">IF($F933&lt;&gt;"",XLOOKUP($F933,Productos!$A:$A,Productos!L:L,"Revisar"),"")</f>
        <v/>
      </c>
      <c r="T933" s="179" t="str">
        <f t="array" ref="T933">IF($F933&lt;&gt;"", XLOOKUP($F933,Productos!$A$2:$A1001,Productos!M$2:M1001,"")*$G933,"")</f>
        <v/>
      </c>
      <c r="U933" s="179" t="str">
        <f t="array" ref="U933">IF($F933&lt;&gt;"",XLOOKUP($F933,Productos!$A:$A,Productos!N:N,"Revisar"),"")</f>
        <v/>
      </c>
      <c r="V933" s="179" t="str">
        <f t="array" ref="V933">IF($F933&lt;&gt;"", XLOOKUP($F933,Productos!$A$2:$A1001,Productos!O$2:O1001,"")*$G933,"")</f>
        <v/>
      </c>
      <c r="W933" s="179" t="str">
        <f t="array" ref="W933">IF($F933&lt;&gt;"",XLOOKUP($F933,Productos!$A:$A,Productos!P:P,"Revisar"),"")</f>
        <v/>
      </c>
      <c r="X933" s="179" t="str">
        <f t="array" ref="X933">IF($F933&lt;&gt;"", XLOOKUP($F933,Productos!$A$2:$A1001,Productos!Q$2:Q1001,"")*$G933,"")</f>
        <v/>
      </c>
      <c r="Y933" s="179" t="str">
        <f t="array" ref="Y933">IF($F933&lt;&gt;"",XLOOKUP($F933,Productos!$A:$A,Productos!R:R,"Revisar"),"")</f>
        <v/>
      </c>
      <c r="Z933" s="179" t="str">
        <f t="array" ref="Z933">IF($F933&lt;&gt;"", XLOOKUP($F933,Productos!$A$2:$A1001,Productos!S$2:S1001,"")*$G933,"")</f>
        <v/>
      </c>
      <c r="AA933" s="179" t="str">
        <f t="array" ref="AA933">IF($F933&lt;&gt;"",XLOOKUP($F933,Productos!$A:$A,Productos!T:T,"Revisar"),"")</f>
        <v/>
      </c>
      <c r="AB933" s="179" t="str">
        <f t="array" ref="AB933">IF($F933&lt;&gt;"", XLOOKUP($F933,Productos!$A$2:$A1001,Productos!U$2:U1001,"")*$G933,"")</f>
        <v/>
      </c>
      <c r="AC933" s="179" t="str">
        <f t="array" ref="AC933">IF($F933&lt;&gt;"",XLOOKUP($F933,Productos!$A:$A,Productos!V:V,"Revisar"),"")</f>
        <v/>
      </c>
      <c r="AD933" s="179" t="str">
        <f t="array" ref="AD933">IF($F933&lt;&gt;"", XLOOKUP($F933,Productos!$A$2:$A1001,Productos!W$2:W1001,"")*$G933,"")</f>
        <v/>
      </c>
      <c r="AE933" s="179" t="str">
        <f t="array" ref="AE933">IF($F933&lt;&gt;"",XLOOKUP($F933,Productos!$A:$A,Productos!X:X,"Revisar"),"")</f>
        <v/>
      </c>
      <c r="AF933" s="179" t="str">
        <f t="array" ref="AF933">IF($F933&lt;&gt;"", XLOOKUP($F933,Productos!$A$2:$A1001,Productos!Y$2:Y1001,"")*$G933,"")</f>
        <v/>
      </c>
      <c r="AG933" s="179" t="str">
        <f t="array" ref="AG933">IF($F933&lt;&gt;"",XLOOKUP($F933,Productos!$A:$A,Productos!Z:Z,"Revisar"),"")</f>
        <v/>
      </c>
      <c r="AH933" s="179" t="str">
        <f t="array" ref="AH933">IF($F933&lt;&gt;"", XLOOKUP($F933,Productos!$A$2:$A1001,Productos!AA$2:AA1001,"")*$G933,"")</f>
        <v/>
      </c>
      <c r="AI933" s="179" t="str">
        <f t="array" ref="AI933">IF($F933&lt;&gt;"",XLOOKUP($F933,Productos!$A:$A,Productos!AB:AB,"Revisar"),"")</f>
        <v/>
      </c>
      <c r="AJ933" s="179" t="str">
        <f t="array" ref="AJ933">IF($F933&lt;&gt;"", XLOOKUP($F933,Productos!$A$2:$A1001,Productos!AC$2:AC1001,"")*$G933,"")</f>
        <v/>
      </c>
      <c r="AK933" s="179" t="str">
        <f t="array" ref="AK933">IF($F933&lt;&gt;"",XLOOKUP($F933,Productos!$A:$A,Productos!AD:AD,"Revisar"),"")</f>
        <v/>
      </c>
      <c r="AL933" s="179" t="str">
        <f t="array" ref="AL933">IF($F933&lt;&gt;"", XLOOKUP($F933,Productos!$A$2:$A1001,Productos!AE$2:AE1001,"")*$G933,"")</f>
        <v/>
      </c>
      <c r="AM933" s="179" t="str">
        <f t="array" ref="AM933">IF($F933&lt;&gt;"",XLOOKUP($F933,Productos!$A:$A,Productos!AF:AF,"Revisar"),"")</f>
        <v/>
      </c>
      <c r="AN933" s="179" t="str">
        <f t="array" ref="AN933">IF($F933&lt;&gt;"", XLOOKUP($F933,Productos!$A$2:$A1001,Productos!AG$2:AG1001,"")*$G933,"")</f>
        <v/>
      </c>
      <c r="AO933" s="179" t="str">
        <f t="array" ref="AO933">IF($F933&lt;&gt;"",XLOOKUP($F933,Productos!$A:$A,Productos!AH:AH,"Revisar"),"")</f>
        <v/>
      </c>
      <c r="AP933" s="179" t="str">
        <f t="array" ref="AP933">IF($F933&lt;&gt;"", XLOOKUP($F933,Productos!$A$2:$A1001,Productos!AI$2:AI1001,"")*$G933,"")</f>
        <v/>
      </c>
      <c r="AQ933" s="179" t="str">
        <f t="array" ref="AQ933">IF($F933&lt;&gt;"",XLOOKUP($F933,Productos!$A:$A,Productos!AJ:AJ,"Revisar"),"")</f>
        <v/>
      </c>
      <c r="AR933" s="179" t="str">
        <f t="array" ref="AR933">IF($F933&lt;&gt;"", XLOOKUP($F933,Productos!$A$2:$A1001,Productos!AK$2:AK1001,"")*$G933,"")</f>
        <v/>
      </c>
      <c r="AS933" s="179" t="str">
        <f t="array" ref="AS933">IF($F933&lt;&gt;"",XLOOKUP($F933,Productos!$A:$A,Productos!AL:AL,"Revisar"),"")</f>
        <v/>
      </c>
      <c r="AT933" s="179" t="str">
        <f t="array" ref="AT933">IF($F933&lt;&gt;"", XLOOKUP($F933,Productos!$A$2:$A1001,Productos!AM$2:AM1001,"")*$G933,"")</f>
        <v/>
      </c>
      <c r="AU933" s="179" t="str">
        <f t="array" ref="AU933">IF($F933&lt;&gt;"",XLOOKUP($F933,Productos!$A:$A,Productos!AN:AN,"Revisar"),"")</f>
        <v/>
      </c>
      <c r="AV933" s="179" t="str">
        <f t="array" ref="AV933">IF($F933&lt;&gt;"", XLOOKUP($F933,Productos!$A$2:$A1001,Productos!AO$2:AO1001,"")*$G933,"")</f>
        <v/>
      </c>
      <c r="AW933" s="179" t="str">
        <f t="array" ref="AW933">IF($F933&lt;&gt;"",XLOOKUP($F933,Productos!$A:$A,Productos!AP:AP,"Revisar"),"")</f>
        <v/>
      </c>
      <c r="AX933" s="179" t="str">
        <f t="array" ref="AX933">IF($F933&lt;&gt;"", XLOOKUP($F933,Productos!$A$2:$A1001,Productos!AQ$2:AQ1001,"")*$G933,"")</f>
        <v/>
      </c>
      <c r="AY933" s="179" t="str">
        <f t="array" ref="AY933">IF($F933&lt;&gt;"",XLOOKUP($F933,Productos!$A:$A,Productos!AR:AR,"Revisar"),"")</f>
        <v/>
      </c>
      <c r="AZ933" s="179" t="str">
        <f t="array" ref="AZ933">IF($F933&lt;&gt;"", XLOOKUP($F933,Productos!$A$2:$A1001,Productos!AS$2:AS1001,"")*$G933,"")</f>
        <v/>
      </c>
      <c r="BA933" s="179" t="str">
        <f t="array" ref="BA933">IF($F933&lt;&gt;"",XLOOKUP($F933,Productos!$A:$A,Productos!AT:AT,"Revisar"),"")</f>
        <v/>
      </c>
      <c r="BB933" s="179" t="str">
        <f t="array" ref="BB933">IF($F933&lt;&gt;"", XLOOKUP($F933,Productos!$A$2:$A1001,Productos!AU$2:AU1001,"")*$G933,"")</f>
        <v/>
      </c>
      <c r="BC933" s="179" t="str">
        <f t="array" ref="BC933">IF($F933&lt;&gt;"",XLOOKUP($F933,Productos!$A:$A,Productos!AV:AV,"Revisar"),"")</f>
        <v/>
      </c>
      <c r="BD933" s="179" t="str">
        <f t="array" ref="BD933">IF($F933&lt;&gt;"", XLOOKUP($F933,Productos!$A$2:$A1001,Productos!AW$2:AW1001,"")*$G933,"")</f>
        <v/>
      </c>
      <c r="BE933" s="179" t="str">
        <f t="array" ref="BE933">IF($F933&lt;&gt;"",XLOOKUP($F933,Productos!$A:$A,Productos!AX:AX,"Revisar"),"")</f>
        <v/>
      </c>
      <c r="BF933" s="179" t="str">
        <f t="array" ref="BF933">IF($F933&lt;&gt;"", XLOOKUP($F933,Productos!$A$2:$A1001,Productos!AY$2:AY1001,"")*$G933,"")</f>
        <v/>
      </c>
      <c r="BG933" s="179" t="str">
        <f t="array" ref="BG933">IF($F933&lt;&gt;"",XLOOKUP($F933,Productos!$A:$A,Productos!AZ:AZ,"Revisar"),"")</f>
        <v/>
      </c>
      <c r="BH933" s="179" t="str">
        <f t="array" ref="BH933">IF($F933&lt;&gt;"", XLOOKUP($F933,Productos!$A$2:$A1001,Productos!BA$2:BA1001,"")*$G933,"")</f>
        <v/>
      </c>
      <c r="BI933" s="179" t="str">
        <f t="array" ref="BI933">IF($F933&lt;&gt;"",XLOOKUP($F933,Productos!$A:$A,Productos!BB:BB,"Revisar"),"")</f>
        <v/>
      </c>
      <c r="BJ933" s="179" t="str">
        <f t="array" ref="BJ933">IF($F933&lt;&gt;"", XLOOKUP($F933,Productos!$A$2:$A1001,Productos!BC$2:BC1001,"")*$G933,"")</f>
        <v/>
      </c>
      <c r="BK933" s="179" t="str">
        <f t="array" ref="BK933">IF($F933&lt;&gt;"",XLOOKUP($F933,Productos!$A:$A,Productos!BD:BD,"Revisar"),"")</f>
        <v/>
      </c>
      <c r="BL933" s="179" t="str">
        <f t="array" ref="BL933">IF($F933&lt;&gt;"", XLOOKUP($F933,Productos!$A$2:$A1001,Productos!BE$2:BE1001,"")*$G933,"")</f>
        <v/>
      </c>
      <c r="BM933" s="179" t="str">
        <f t="array" ref="BM933">IF($F933&lt;&gt;"",XLOOKUP($F933,Productos!$A:$A,Productos!BF:BF,"Revisar"),"")</f>
        <v/>
      </c>
      <c r="BN933" s="179" t="str">
        <f t="array" ref="BN933">IF($F933&lt;&gt;"", XLOOKUP($F933,Productos!$A$2:$A1001,Productos!BG$2:BG1001,"")*$G933,"")</f>
        <v/>
      </c>
      <c r="BO933" s="179" t="str">
        <f t="array" ref="BO933">IF($F933&lt;&gt;"",XLOOKUP($F933,Productos!$A:$A,Productos!BH:BH,"Revisar"),"")</f>
        <v/>
      </c>
      <c r="BP933" s="179" t="str">
        <f t="array" ref="BP933">IF($F933&lt;&gt;"", XLOOKUP($F933,Productos!$A$2:$A1001,Productos!BI$2:BI1001,"")*$G933,"")</f>
        <v/>
      </c>
      <c r="BQ933" s="179" t="str">
        <f t="array" ref="BQ933">IF($F933&lt;&gt;"",XLOOKUP($F933,Productos!$A:$A,Productos!BJ:BJ,"Revisar"),"")</f>
        <v/>
      </c>
      <c r="BR933" s="179" t="str">
        <f t="array" ref="BR933">IF($F933&lt;&gt;"", XLOOKUP($F933,Productos!$A$2:$A1001,Productos!BK$2:BK1001,"")*$G933,"")</f>
        <v/>
      </c>
      <c r="BS933" s="179" t="str">
        <f t="array" ref="BS933">IF($F933&lt;&gt;"",XLOOKUP($F933,Productos!$A:$A,Productos!BL:BL,"Revisar"),"")</f>
        <v/>
      </c>
      <c r="BT933" s="179" t="str">
        <f t="array" ref="BT933">IF($F933&lt;&gt;"", XLOOKUP($F933,Productos!$A$2:$A1001,Productos!BM$2:BM1001,"")*$G933,"")</f>
        <v/>
      </c>
      <c r="BU933" s="179" t="str">
        <f t="array" ref="BU933">IF($F933&lt;&gt;"",XLOOKUP($F933,Productos!$A:$A,Productos!BN:BN,"Revisar"),"")</f>
        <v/>
      </c>
      <c r="BV933" s="179" t="str">
        <f t="array" ref="BV933">IF($F933&lt;&gt;"", XLOOKUP($F933,Productos!$A$2:$A1001,Productos!BO$2:BO1001,"")*$G933,"")</f>
        <v/>
      </c>
      <c r="BW933" s="179" t="str">
        <f t="array" ref="BW933">IF($F933&lt;&gt;"",XLOOKUP($F933,Productos!$A:$A,Productos!BP:BP,"Revisar"),"")</f>
        <v/>
      </c>
      <c r="BX933" s="179" t="str">
        <f t="array" ref="BX933">IF($F933&lt;&gt;"", XLOOKUP($F933,Productos!$A$2:$A1001,Productos!BQ$2:BQ1001,"")*$G933,"")</f>
        <v/>
      </c>
      <c r="BY933" s="179" t="str">
        <f t="array" ref="BY933">IF($F933&lt;&gt;"",XLOOKUP($F933,Productos!$A:$A,Productos!BR:BR,"Revisar"),"")</f>
        <v/>
      </c>
      <c r="BZ933" s="179" t="str">
        <f t="array" ref="BZ933">IF($F933&lt;&gt;"", XLOOKUP($F933,Productos!$A$2:$A1001,Productos!BS$2:BS1001,"")*$G933,"")</f>
        <v/>
      </c>
    </row>
    <row r="934">
      <c r="A934" s="188"/>
      <c r="B934" s="189"/>
      <c r="C934" s="190"/>
      <c r="D934" s="190"/>
      <c r="E934" s="191"/>
      <c r="F934" s="186"/>
      <c r="G934" s="192"/>
      <c r="H934" s="9"/>
      <c r="I934" s="179" t="str">
        <f t="array" ref="I934">IF($F934&lt;&gt;"",XLOOKUP($F934,Productos!$A:$A,Productos!B:B,"Revisar"),"")</f>
        <v/>
      </c>
      <c r="J934" s="179" t="str">
        <f t="array" ref="J934">IF($F934&lt;&gt;"", XLOOKUP($F934,Productos!$A$2:$A1001,Productos!C$2:C1001,"")*$G934,"")</f>
        <v/>
      </c>
      <c r="K934" s="179" t="str">
        <f t="array" ref="K934">IF($F934&lt;&gt;"",XLOOKUP($F934,Productos!$A:$A,Productos!D:D,"Revisar"),"")</f>
        <v/>
      </c>
      <c r="L934" s="179" t="str">
        <f t="array" ref="L934">IF($F934&lt;&gt;"", XLOOKUP($F934,Productos!$A$2:$A1001,Productos!E$2:E1001,"")*$G934,"")</f>
        <v/>
      </c>
      <c r="M934" s="179" t="str">
        <f t="array" ref="M934">IF($F934&lt;&gt;"",XLOOKUP($F934,Productos!$A:$A,Productos!F:F,"Revisar"),"")</f>
        <v/>
      </c>
      <c r="N934" s="179" t="str">
        <f t="array" ref="N934">IF($F934&lt;&gt;"", XLOOKUP($F934,Productos!$A$2:$A1001,Productos!G$2:G1001,"")*$G934,"")</f>
        <v/>
      </c>
      <c r="O934" s="179" t="str">
        <f t="array" ref="O934">IF($F934&lt;&gt;"",XLOOKUP($F934,Productos!$A:$A,Productos!H:H,"Revisar"),"")</f>
        <v/>
      </c>
      <c r="P934" s="179" t="str">
        <f t="array" ref="P934">IF($F934&lt;&gt;"", XLOOKUP($F934,Productos!$A$2:$A1001,Productos!I$2:I1001,"")*$G934,"")</f>
        <v/>
      </c>
      <c r="Q934" s="179" t="str">
        <f t="array" ref="Q934">IF($F934&lt;&gt;"",XLOOKUP($F934,Productos!$A:$A,Productos!J:J,"Revisar"),"")</f>
        <v/>
      </c>
      <c r="R934" s="179" t="str">
        <f t="array" ref="R934">IF($F934&lt;&gt;"", XLOOKUP($F934,Productos!$A$2:$A1001,Productos!K$2:K1001,"")*$G934,"")</f>
        <v/>
      </c>
      <c r="S934" s="179" t="str">
        <f t="array" ref="S934">IF($F934&lt;&gt;"",XLOOKUP($F934,Productos!$A:$A,Productos!L:L,"Revisar"),"")</f>
        <v/>
      </c>
      <c r="T934" s="179" t="str">
        <f t="array" ref="T934">IF($F934&lt;&gt;"", XLOOKUP($F934,Productos!$A$2:$A1001,Productos!M$2:M1001,"")*$G934,"")</f>
        <v/>
      </c>
      <c r="U934" s="179" t="str">
        <f t="array" ref="U934">IF($F934&lt;&gt;"",XLOOKUP($F934,Productos!$A:$A,Productos!N:N,"Revisar"),"")</f>
        <v/>
      </c>
      <c r="V934" s="179" t="str">
        <f t="array" ref="V934">IF($F934&lt;&gt;"", XLOOKUP($F934,Productos!$A$2:$A1001,Productos!O$2:O1001,"")*$G934,"")</f>
        <v/>
      </c>
      <c r="W934" s="179" t="str">
        <f t="array" ref="W934">IF($F934&lt;&gt;"",XLOOKUP($F934,Productos!$A:$A,Productos!P:P,"Revisar"),"")</f>
        <v/>
      </c>
      <c r="X934" s="179" t="str">
        <f t="array" ref="X934">IF($F934&lt;&gt;"", XLOOKUP($F934,Productos!$A$2:$A1001,Productos!Q$2:Q1001,"")*$G934,"")</f>
        <v/>
      </c>
      <c r="Y934" s="179" t="str">
        <f t="array" ref="Y934">IF($F934&lt;&gt;"",XLOOKUP($F934,Productos!$A:$A,Productos!R:R,"Revisar"),"")</f>
        <v/>
      </c>
      <c r="Z934" s="179" t="str">
        <f t="array" ref="Z934">IF($F934&lt;&gt;"", XLOOKUP($F934,Productos!$A$2:$A1001,Productos!S$2:S1001,"")*$G934,"")</f>
        <v/>
      </c>
      <c r="AA934" s="179" t="str">
        <f t="array" ref="AA934">IF($F934&lt;&gt;"",XLOOKUP($F934,Productos!$A:$A,Productos!T:T,"Revisar"),"")</f>
        <v/>
      </c>
      <c r="AB934" s="179" t="str">
        <f t="array" ref="AB934">IF($F934&lt;&gt;"", XLOOKUP($F934,Productos!$A$2:$A1001,Productos!U$2:U1001,"")*$G934,"")</f>
        <v/>
      </c>
      <c r="AC934" s="179" t="str">
        <f t="array" ref="AC934">IF($F934&lt;&gt;"",XLOOKUP($F934,Productos!$A:$A,Productos!V:V,"Revisar"),"")</f>
        <v/>
      </c>
      <c r="AD934" s="179" t="str">
        <f t="array" ref="AD934">IF($F934&lt;&gt;"", XLOOKUP($F934,Productos!$A$2:$A1001,Productos!W$2:W1001,"")*$G934,"")</f>
        <v/>
      </c>
      <c r="AE934" s="179" t="str">
        <f t="array" ref="AE934">IF($F934&lt;&gt;"",XLOOKUP($F934,Productos!$A:$A,Productos!X:X,"Revisar"),"")</f>
        <v/>
      </c>
      <c r="AF934" s="179" t="str">
        <f t="array" ref="AF934">IF($F934&lt;&gt;"", XLOOKUP($F934,Productos!$A$2:$A1001,Productos!Y$2:Y1001,"")*$G934,"")</f>
        <v/>
      </c>
      <c r="AG934" s="179" t="str">
        <f t="array" ref="AG934">IF($F934&lt;&gt;"",XLOOKUP($F934,Productos!$A:$A,Productos!Z:Z,"Revisar"),"")</f>
        <v/>
      </c>
      <c r="AH934" s="179" t="str">
        <f t="array" ref="AH934">IF($F934&lt;&gt;"", XLOOKUP($F934,Productos!$A$2:$A1001,Productos!AA$2:AA1001,"")*$G934,"")</f>
        <v/>
      </c>
      <c r="AI934" s="179" t="str">
        <f t="array" ref="AI934">IF($F934&lt;&gt;"",XLOOKUP($F934,Productos!$A:$A,Productos!AB:AB,"Revisar"),"")</f>
        <v/>
      </c>
      <c r="AJ934" s="179" t="str">
        <f t="array" ref="AJ934">IF($F934&lt;&gt;"", XLOOKUP($F934,Productos!$A$2:$A1001,Productos!AC$2:AC1001,"")*$G934,"")</f>
        <v/>
      </c>
      <c r="AK934" s="179" t="str">
        <f t="array" ref="AK934">IF($F934&lt;&gt;"",XLOOKUP($F934,Productos!$A:$A,Productos!AD:AD,"Revisar"),"")</f>
        <v/>
      </c>
      <c r="AL934" s="179" t="str">
        <f t="array" ref="AL934">IF($F934&lt;&gt;"", XLOOKUP($F934,Productos!$A$2:$A1001,Productos!AE$2:AE1001,"")*$G934,"")</f>
        <v/>
      </c>
      <c r="AM934" s="179" t="str">
        <f t="array" ref="AM934">IF($F934&lt;&gt;"",XLOOKUP($F934,Productos!$A:$A,Productos!AF:AF,"Revisar"),"")</f>
        <v/>
      </c>
      <c r="AN934" s="179" t="str">
        <f t="array" ref="AN934">IF($F934&lt;&gt;"", XLOOKUP($F934,Productos!$A$2:$A1001,Productos!AG$2:AG1001,"")*$G934,"")</f>
        <v/>
      </c>
      <c r="AO934" s="179" t="str">
        <f t="array" ref="AO934">IF($F934&lt;&gt;"",XLOOKUP($F934,Productos!$A:$A,Productos!AH:AH,"Revisar"),"")</f>
        <v/>
      </c>
      <c r="AP934" s="179" t="str">
        <f t="array" ref="AP934">IF($F934&lt;&gt;"", XLOOKUP($F934,Productos!$A$2:$A1001,Productos!AI$2:AI1001,"")*$G934,"")</f>
        <v/>
      </c>
      <c r="AQ934" s="179" t="str">
        <f t="array" ref="AQ934">IF($F934&lt;&gt;"",XLOOKUP($F934,Productos!$A:$A,Productos!AJ:AJ,"Revisar"),"")</f>
        <v/>
      </c>
      <c r="AR934" s="179" t="str">
        <f t="array" ref="AR934">IF($F934&lt;&gt;"", XLOOKUP($F934,Productos!$A$2:$A1001,Productos!AK$2:AK1001,"")*$G934,"")</f>
        <v/>
      </c>
      <c r="AS934" s="179" t="str">
        <f t="array" ref="AS934">IF($F934&lt;&gt;"",XLOOKUP($F934,Productos!$A:$A,Productos!AL:AL,"Revisar"),"")</f>
        <v/>
      </c>
      <c r="AT934" s="179" t="str">
        <f t="array" ref="AT934">IF($F934&lt;&gt;"", XLOOKUP($F934,Productos!$A$2:$A1001,Productos!AM$2:AM1001,"")*$G934,"")</f>
        <v/>
      </c>
      <c r="AU934" s="179" t="str">
        <f t="array" ref="AU934">IF($F934&lt;&gt;"",XLOOKUP($F934,Productos!$A:$A,Productos!AN:AN,"Revisar"),"")</f>
        <v/>
      </c>
      <c r="AV934" s="179" t="str">
        <f t="array" ref="AV934">IF($F934&lt;&gt;"", XLOOKUP($F934,Productos!$A$2:$A1001,Productos!AO$2:AO1001,"")*$G934,"")</f>
        <v/>
      </c>
      <c r="AW934" s="179" t="str">
        <f t="array" ref="AW934">IF($F934&lt;&gt;"",XLOOKUP($F934,Productos!$A:$A,Productos!AP:AP,"Revisar"),"")</f>
        <v/>
      </c>
      <c r="AX934" s="179" t="str">
        <f t="array" ref="AX934">IF($F934&lt;&gt;"", XLOOKUP($F934,Productos!$A$2:$A1001,Productos!AQ$2:AQ1001,"")*$G934,"")</f>
        <v/>
      </c>
      <c r="AY934" s="179" t="str">
        <f t="array" ref="AY934">IF($F934&lt;&gt;"",XLOOKUP($F934,Productos!$A:$A,Productos!AR:AR,"Revisar"),"")</f>
        <v/>
      </c>
      <c r="AZ934" s="179" t="str">
        <f t="array" ref="AZ934">IF($F934&lt;&gt;"", XLOOKUP($F934,Productos!$A$2:$A1001,Productos!AS$2:AS1001,"")*$G934,"")</f>
        <v/>
      </c>
      <c r="BA934" s="179" t="str">
        <f t="array" ref="BA934">IF($F934&lt;&gt;"",XLOOKUP($F934,Productos!$A:$A,Productos!AT:AT,"Revisar"),"")</f>
        <v/>
      </c>
      <c r="BB934" s="179" t="str">
        <f t="array" ref="BB934">IF($F934&lt;&gt;"", XLOOKUP($F934,Productos!$A$2:$A1001,Productos!AU$2:AU1001,"")*$G934,"")</f>
        <v/>
      </c>
      <c r="BC934" s="179" t="str">
        <f t="array" ref="BC934">IF($F934&lt;&gt;"",XLOOKUP($F934,Productos!$A:$A,Productos!AV:AV,"Revisar"),"")</f>
        <v/>
      </c>
      <c r="BD934" s="179" t="str">
        <f t="array" ref="BD934">IF($F934&lt;&gt;"", XLOOKUP($F934,Productos!$A$2:$A1001,Productos!AW$2:AW1001,"")*$G934,"")</f>
        <v/>
      </c>
      <c r="BE934" s="179" t="str">
        <f t="array" ref="BE934">IF($F934&lt;&gt;"",XLOOKUP($F934,Productos!$A:$A,Productos!AX:AX,"Revisar"),"")</f>
        <v/>
      </c>
      <c r="BF934" s="179" t="str">
        <f t="array" ref="BF934">IF($F934&lt;&gt;"", XLOOKUP($F934,Productos!$A$2:$A1001,Productos!AY$2:AY1001,"")*$G934,"")</f>
        <v/>
      </c>
      <c r="BG934" s="179" t="str">
        <f t="array" ref="BG934">IF($F934&lt;&gt;"",XLOOKUP($F934,Productos!$A:$A,Productos!AZ:AZ,"Revisar"),"")</f>
        <v/>
      </c>
      <c r="BH934" s="179" t="str">
        <f t="array" ref="BH934">IF($F934&lt;&gt;"", XLOOKUP($F934,Productos!$A$2:$A1001,Productos!BA$2:BA1001,"")*$G934,"")</f>
        <v/>
      </c>
      <c r="BI934" s="179" t="str">
        <f t="array" ref="BI934">IF($F934&lt;&gt;"",XLOOKUP($F934,Productos!$A:$A,Productos!BB:BB,"Revisar"),"")</f>
        <v/>
      </c>
      <c r="BJ934" s="179" t="str">
        <f t="array" ref="BJ934">IF($F934&lt;&gt;"", XLOOKUP($F934,Productos!$A$2:$A1001,Productos!BC$2:BC1001,"")*$G934,"")</f>
        <v/>
      </c>
      <c r="BK934" s="179" t="str">
        <f t="array" ref="BK934">IF($F934&lt;&gt;"",XLOOKUP($F934,Productos!$A:$A,Productos!BD:BD,"Revisar"),"")</f>
        <v/>
      </c>
      <c r="BL934" s="179" t="str">
        <f t="array" ref="BL934">IF($F934&lt;&gt;"", XLOOKUP($F934,Productos!$A$2:$A1001,Productos!BE$2:BE1001,"")*$G934,"")</f>
        <v/>
      </c>
      <c r="BM934" s="179" t="str">
        <f t="array" ref="BM934">IF($F934&lt;&gt;"",XLOOKUP($F934,Productos!$A:$A,Productos!BF:BF,"Revisar"),"")</f>
        <v/>
      </c>
      <c r="BN934" s="179" t="str">
        <f t="array" ref="BN934">IF($F934&lt;&gt;"", XLOOKUP($F934,Productos!$A$2:$A1001,Productos!BG$2:BG1001,"")*$G934,"")</f>
        <v/>
      </c>
      <c r="BO934" s="179" t="str">
        <f t="array" ref="BO934">IF($F934&lt;&gt;"",XLOOKUP($F934,Productos!$A:$A,Productos!BH:BH,"Revisar"),"")</f>
        <v/>
      </c>
      <c r="BP934" s="179" t="str">
        <f t="array" ref="BP934">IF($F934&lt;&gt;"", XLOOKUP($F934,Productos!$A$2:$A1001,Productos!BI$2:BI1001,"")*$G934,"")</f>
        <v/>
      </c>
      <c r="BQ934" s="179" t="str">
        <f t="array" ref="BQ934">IF($F934&lt;&gt;"",XLOOKUP($F934,Productos!$A:$A,Productos!BJ:BJ,"Revisar"),"")</f>
        <v/>
      </c>
      <c r="BR934" s="179" t="str">
        <f t="array" ref="BR934">IF($F934&lt;&gt;"", XLOOKUP($F934,Productos!$A$2:$A1001,Productos!BK$2:BK1001,"")*$G934,"")</f>
        <v/>
      </c>
      <c r="BS934" s="179" t="str">
        <f t="array" ref="BS934">IF($F934&lt;&gt;"",XLOOKUP($F934,Productos!$A:$A,Productos!BL:BL,"Revisar"),"")</f>
        <v/>
      </c>
      <c r="BT934" s="179" t="str">
        <f t="array" ref="BT934">IF($F934&lt;&gt;"", XLOOKUP($F934,Productos!$A$2:$A1001,Productos!BM$2:BM1001,"")*$G934,"")</f>
        <v/>
      </c>
      <c r="BU934" s="179" t="str">
        <f t="array" ref="BU934">IF($F934&lt;&gt;"",XLOOKUP($F934,Productos!$A:$A,Productos!BN:BN,"Revisar"),"")</f>
        <v/>
      </c>
      <c r="BV934" s="179" t="str">
        <f t="array" ref="BV934">IF($F934&lt;&gt;"", XLOOKUP($F934,Productos!$A$2:$A1001,Productos!BO$2:BO1001,"")*$G934,"")</f>
        <v/>
      </c>
      <c r="BW934" s="179" t="str">
        <f t="array" ref="BW934">IF($F934&lt;&gt;"",XLOOKUP($F934,Productos!$A:$A,Productos!BP:BP,"Revisar"),"")</f>
        <v/>
      </c>
      <c r="BX934" s="179" t="str">
        <f t="array" ref="BX934">IF($F934&lt;&gt;"", XLOOKUP($F934,Productos!$A$2:$A1001,Productos!BQ$2:BQ1001,"")*$G934,"")</f>
        <v/>
      </c>
      <c r="BY934" s="179" t="str">
        <f t="array" ref="BY934">IF($F934&lt;&gt;"",XLOOKUP($F934,Productos!$A:$A,Productos!BR:BR,"Revisar"),"")</f>
        <v/>
      </c>
      <c r="BZ934" s="179" t="str">
        <f t="array" ref="BZ934">IF($F934&lt;&gt;"", XLOOKUP($F934,Productos!$A$2:$A1001,Productos!BS$2:BS1001,"")*$G934,"")</f>
        <v/>
      </c>
    </row>
    <row r="935">
      <c r="A935" s="188"/>
      <c r="B935" s="189"/>
      <c r="C935" s="190"/>
      <c r="D935" s="190"/>
      <c r="E935" s="191"/>
      <c r="F935" s="186"/>
      <c r="G935" s="192"/>
      <c r="H935" s="9"/>
      <c r="I935" s="179" t="str">
        <f t="array" ref="I935">IF($F935&lt;&gt;"",XLOOKUP($F935,Productos!$A:$A,Productos!B:B,"Revisar"),"")</f>
        <v/>
      </c>
      <c r="J935" s="179" t="str">
        <f t="array" ref="J935">IF($F935&lt;&gt;"", XLOOKUP($F935,Productos!$A$2:$A1001,Productos!C$2:C1001,"")*$G935,"")</f>
        <v/>
      </c>
      <c r="K935" s="179" t="str">
        <f t="array" ref="K935">IF($F935&lt;&gt;"",XLOOKUP($F935,Productos!$A:$A,Productos!D:D,"Revisar"),"")</f>
        <v/>
      </c>
      <c r="L935" s="179" t="str">
        <f t="array" ref="L935">IF($F935&lt;&gt;"", XLOOKUP($F935,Productos!$A$2:$A1001,Productos!E$2:E1001,"")*$G935,"")</f>
        <v/>
      </c>
      <c r="M935" s="179" t="str">
        <f t="array" ref="M935">IF($F935&lt;&gt;"",XLOOKUP($F935,Productos!$A:$A,Productos!F:F,"Revisar"),"")</f>
        <v/>
      </c>
      <c r="N935" s="179" t="str">
        <f t="array" ref="N935">IF($F935&lt;&gt;"", XLOOKUP($F935,Productos!$A$2:$A1001,Productos!G$2:G1001,"")*$G935,"")</f>
        <v/>
      </c>
      <c r="O935" s="179" t="str">
        <f t="array" ref="O935">IF($F935&lt;&gt;"",XLOOKUP($F935,Productos!$A:$A,Productos!H:H,"Revisar"),"")</f>
        <v/>
      </c>
      <c r="P935" s="179" t="str">
        <f t="array" ref="P935">IF($F935&lt;&gt;"", XLOOKUP($F935,Productos!$A$2:$A1001,Productos!I$2:I1001,"")*$G935,"")</f>
        <v/>
      </c>
      <c r="Q935" s="179" t="str">
        <f t="array" ref="Q935">IF($F935&lt;&gt;"",XLOOKUP($F935,Productos!$A:$A,Productos!J:J,"Revisar"),"")</f>
        <v/>
      </c>
      <c r="R935" s="179" t="str">
        <f t="array" ref="R935">IF($F935&lt;&gt;"", XLOOKUP($F935,Productos!$A$2:$A1001,Productos!K$2:K1001,"")*$G935,"")</f>
        <v/>
      </c>
      <c r="S935" s="179" t="str">
        <f t="array" ref="S935">IF($F935&lt;&gt;"",XLOOKUP($F935,Productos!$A:$A,Productos!L:L,"Revisar"),"")</f>
        <v/>
      </c>
      <c r="T935" s="179" t="str">
        <f t="array" ref="T935">IF($F935&lt;&gt;"", XLOOKUP($F935,Productos!$A$2:$A1001,Productos!M$2:M1001,"")*$G935,"")</f>
        <v/>
      </c>
      <c r="U935" s="179" t="str">
        <f t="array" ref="U935">IF($F935&lt;&gt;"",XLOOKUP($F935,Productos!$A:$A,Productos!N:N,"Revisar"),"")</f>
        <v/>
      </c>
      <c r="V935" s="179" t="str">
        <f t="array" ref="V935">IF($F935&lt;&gt;"", XLOOKUP($F935,Productos!$A$2:$A1001,Productos!O$2:O1001,"")*$G935,"")</f>
        <v/>
      </c>
      <c r="W935" s="179" t="str">
        <f t="array" ref="W935">IF($F935&lt;&gt;"",XLOOKUP($F935,Productos!$A:$A,Productos!P:P,"Revisar"),"")</f>
        <v/>
      </c>
      <c r="X935" s="179" t="str">
        <f t="array" ref="X935">IF($F935&lt;&gt;"", XLOOKUP($F935,Productos!$A$2:$A1001,Productos!Q$2:Q1001,"")*$G935,"")</f>
        <v/>
      </c>
      <c r="Y935" s="179" t="str">
        <f t="array" ref="Y935">IF($F935&lt;&gt;"",XLOOKUP($F935,Productos!$A:$A,Productos!R:R,"Revisar"),"")</f>
        <v/>
      </c>
      <c r="Z935" s="179" t="str">
        <f t="array" ref="Z935">IF($F935&lt;&gt;"", XLOOKUP($F935,Productos!$A$2:$A1001,Productos!S$2:S1001,"")*$G935,"")</f>
        <v/>
      </c>
      <c r="AA935" s="179" t="str">
        <f t="array" ref="AA935">IF($F935&lt;&gt;"",XLOOKUP($F935,Productos!$A:$A,Productos!T:T,"Revisar"),"")</f>
        <v/>
      </c>
      <c r="AB935" s="179" t="str">
        <f t="array" ref="AB935">IF($F935&lt;&gt;"", XLOOKUP($F935,Productos!$A$2:$A1001,Productos!U$2:U1001,"")*$G935,"")</f>
        <v/>
      </c>
      <c r="AC935" s="179" t="str">
        <f t="array" ref="AC935">IF($F935&lt;&gt;"",XLOOKUP($F935,Productos!$A:$A,Productos!V:V,"Revisar"),"")</f>
        <v/>
      </c>
      <c r="AD935" s="179" t="str">
        <f t="array" ref="AD935">IF($F935&lt;&gt;"", XLOOKUP($F935,Productos!$A$2:$A1001,Productos!W$2:W1001,"")*$G935,"")</f>
        <v/>
      </c>
      <c r="AE935" s="179" t="str">
        <f t="array" ref="AE935">IF($F935&lt;&gt;"",XLOOKUP($F935,Productos!$A:$A,Productos!X:X,"Revisar"),"")</f>
        <v/>
      </c>
      <c r="AF935" s="179" t="str">
        <f t="array" ref="AF935">IF($F935&lt;&gt;"", XLOOKUP($F935,Productos!$A$2:$A1001,Productos!Y$2:Y1001,"")*$G935,"")</f>
        <v/>
      </c>
      <c r="AG935" s="179" t="str">
        <f t="array" ref="AG935">IF($F935&lt;&gt;"",XLOOKUP($F935,Productos!$A:$A,Productos!Z:Z,"Revisar"),"")</f>
        <v/>
      </c>
      <c r="AH935" s="179" t="str">
        <f t="array" ref="AH935">IF($F935&lt;&gt;"", XLOOKUP($F935,Productos!$A$2:$A1001,Productos!AA$2:AA1001,"")*$G935,"")</f>
        <v/>
      </c>
      <c r="AI935" s="179" t="str">
        <f t="array" ref="AI935">IF($F935&lt;&gt;"",XLOOKUP($F935,Productos!$A:$A,Productos!AB:AB,"Revisar"),"")</f>
        <v/>
      </c>
      <c r="AJ935" s="179" t="str">
        <f t="array" ref="AJ935">IF($F935&lt;&gt;"", XLOOKUP($F935,Productos!$A$2:$A1001,Productos!AC$2:AC1001,"")*$G935,"")</f>
        <v/>
      </c>
      <c r="AK935" s="179" t="str">
        <f t="array" ref="AK935">IF($F935&lt;&gt;"",XLOOKUP($F935,Productos!$A:$A,Productos!AD:AD,"Revisar"),"")</f>
        <v/>
      </c>
      <c r="AL935" s="179" t="str">
        <f t="array" ref="AL935">IF($F935&lt;&gt;"", XLOOKUP($F935,Productos!$A$2:$A1001,Productos!AE$2:AE1001,"")*$G935,"")</f>
        <v/>
      </c>
      <c r="AM935" s="179" t="str">
        <f t="array" ref="AM935">IF($F935&lt;&gt;"",XLOOKUP($F935,Productos!$A:$A,Productos!AF:AF,"Revisar"),"")</f>
        <v/>
      </c>
      <c r="AN935" s="179" t="str">
        <f t="array" ref="AN935">IF($F935&lt;&gt;"", XLOOKUP($F935,Productos!$A$2:$A1001,Productos!AG$2:AG1001,"")*$G935,"")</f>
        <v/>
      </c>
      <c r="AO935" s="179" t="str">
        <f t="array" ref="AO935">IF($F935&lt;&gt;"",XLOOKUP($F935,Productos!$A:$A,Productos!AH:AH,"Revisar"),"")</f>
        <v/>
      </c>
      <c r="AP935" s="179" t="str">
        <f t="array" ref="AP935">IF($F935&lt;&gt;"", XLOOKUP($F935,Productos!$A$2:$A1001,Productos!AI$2:AI1001,"")*$G935,"")</f>
        <v/>
      </c>
      <c r="AQ935" s="179" t="str">
        <f t="array" ref="AQ935">IF($F935&lt;&gt;"",XLOOKUP($F935,Productos!$A:$A,Productos!AJ:AJ,"Revisar"),"")</f>
        <v/>
      </c>
      <c r="AR935" s="179" t="str">
        <f t="array" ref="AR935">IF($F935&lt;&gt;"", XLOOKUP($F935,Productos!$A$2:$A1001,Productos!AK$2:AK1001,"")*$G935,"")</f>
        <v/>
      </c>
      <c r="AS935" s="179" t="str">
        <f t="array" ref="AS935">IF($F935&lt;&gt;"",XLOOKUP($F935,Productos!$A:$A,Productos!AL:AL,"Revisar"),"")</f>
        <v/>
      </c>
      <c r="AT935" s="179" t="str">
        <f t="array" ref="AT935">IF($F935&lt;&gt;"", XLOOKUP($F935,Productos!$A$2:$A1001,Productos!AM$2:AM1001,"")*$G935,"")</f>
        <v/>
      </c>
      <c r="AU935" s="179" t="str">
        <f t="array" ref="AU935">IF($F935&lt;&gt;"",XLOOKUP($F935,Productos!$A:$A,Productos!AN:AN,"Revisar"),"")</f>
        <v/>
      </c>
      <c r="AV935" s="179" t="str">
        <f t="array" ref="AV935">IF($F935&lt;&gt;"", XLOOKUP($F935,Productos!$A$2:$A1001,Productos!AO$2:AO1001,"")*$G935,"")</f>
        <v/>
      </c>
      <c r="AW935" s="179" t="str">
        <f t="array" ref="AW935">IF($F935&lt;&gt;"",XLOOKUP($F935,Productos!$A:$A,Productos!AP:AP,"Revisar"),"")</f>
        <v/>
      </c>
      <c r="AX935" s="179" t="str">
        <f t="array" ref="AX935">IF($F935&lt;&gt;"", XLOOKUP($F935,Productos!$A$2:$A1001,Productos!AQ$2:AQ1001,"")*$G935,"")</f>
        <v/>
      </c>
      <c r="AY935" s="179" t="str">
        <f t="array" ref="AY935">IF($F935&lt;&gt;"",XLOOKUP($F935,Productos!$A:$A,Productos!AR:AR,"Revisar"),"")</f>
        <v/>
      </c>
      <c r="AZ935" s="179" t="str">
        <f t="array" ref="AZ935">IF($F935&lt;&gt;"", XLOOKUP($F935,Productos!$A$2:$A1001,Productos!AS$2:AS1001,"")*$G935,"")</f>
        <v/>
      </c>
      <c r="BA935" s="179" t="str">
        <f t="array" ref="BA935">IF($F935&lt;&gt;"",XLOOKUP($F935,Productos!$A:$A,Productos!AT:AT,"Revisar"),"")</f>
        <v/>
      </c>
      <c r="BB935" s="179" t="str">
        <f t="array" ref="BB935">IF($F935&lt;&gt;"", XLOOKUP($F935,Productos!$A$2:$A1001,Productos!AU$2:AU1001,"")*$G935,"")</f>
        <v/>
      </c>
      <c r="BC935" s="179" t="str">
        <f t="array" ref="BC935">IF($F935&lt;&gt;"",XLOOKUP($F935,Productos!$A:$A,Productos!AV:AV,"Revisar"),"")</f>
        <v/>
      </c>
      <c r="BD935" s="179" t="str">
        <f t="array" ref="BD935">IF($F935&lt;&gt;"", XLOOKUP($F935,Productos!$A$2:$A1001,Productos!AW$2:AW1001,"")*$G935,"")</f>
        <v/>
      </c>
      <c r="BE935" s="179" t="str">
        <f t="array" ref="BE935">IF($F935&lt;&gt;"",XLOOKUP($F935,Productos!$A:$A,Productos!AX:AX,"Revisar"),"")</f>
        <v/>
      </c>
      <c r="BF935" s="179" t="str">
        <f t="array" ref="BF935">IF($F935&lt;&gt;"", XLOOKUP($F935,Productos!$A$2:$A1001,Productos!AY$2:AY1001,"")*$G935,"")</f>
        <v/>
      </c>
      <c r="BG935" s="179" t="str">
        <f t="array" ref="BG935">IF($F935&lt;&gt;"",XLOOKUP($F935,Productos!$A:$A,Productos!AZ:AZ,"Revisar"),"")</f>
        <v/>
      </c>
      <c r="BH935" s="179" t="str">
        <f t="array" ref="BH935">IF($F935&lt;&gt;"", XLOOKUP($F935,Productos!$A$2:$A1001,Productos!BA$2:BA1001,"")*$G935,"")</f>
        <v/>
      </c>
      <c r="BI935" s="179" t="str">
        <f t="array" ref="BI935">IF($F935&lt;&gt;"",XLOOKUP($F935,Productos!$A:$A,Productos!BB:BB,"Revisar"),"")</f>
        <v/>
      </c>
      <c r="BJ935" s="179" t="str">
        <f t="array" ref="BJ935">IF($F935&lt;&gt;"", XLOOKUP($F935,Productos!$A$2:$A1001,Productos!BC$2:BC1001,"")*$G935,"")</f>
        <v/>
      </c>
      <c r="BK935" s="179" t="str">
        <f t="array" ref="BK935">IF($F935&lt;&gt;"",XLOOKUP($F935,Productos!$A:$A,Productos!BD:BD,"Revisar"),"")</f>
        <v/>
      </c>
      <c r="BL935" s="179" t="str">
        <f t="array" ref="BL935">IF($F935&lt;&gt;"", XLOOKUP($F935,Productos!$A$2:$A1001,Productos!BE$2:BE1001,"")*$G935,"")</f>
        <v/>
      </c>
      <c r="BM935" s="179" t="str">
        <f t="array" ref="BM935">IF($F935&lt;&gt;"",XLOOKUP($F935,Productos!$A:$A,Productos!BF:BF,"Revisar"),"")</f>
        <v/>
      </c>
      <c r="BN935" s="179" t="str">
        <f t="array" ref="BN935">IF($F935&lt;&gt;"", XLOOKUP($F935,Productos!$A$2:$A1001,Productos!BG$2:BG1001,"")*$G935,"")</f>
        <v/>
      </c>
      <c r="BO935" s="179" t="str">
        <f t="array" ref="BO935">IF($F935&lt;&gt;"",XLOOKUP($F935,Productos!$A:$A,Productos!BH:BH,"Revisar"),"")</f>
        <v/>
      </c>
      <c r="BP935" s="179" t="str">
        <f t="array" ref="BP935">IF($F935&lt;&gt;"", XLOOKUP($F935,Productos!$A$2:$A1001,Productos!BI$2:BI1001,"")*$G935,"")</f>
        <v/>
      </c>
      <c r="BQ935" s="179" t="str">
        <f t="array" ref="BQ935">IF($F935&lt;&gt;"",XLOOKUP($F935,Productos!$A:$A,Productos!BJ:BJ,"Revisar"),"")</f>
        <v/>
      </c>
      <c r="BR935" s="179" t="str">
        <f t="array" ref="BR935">IF($F935&lt;&gt;"", XLOOKUP($F935,Productos!$A$2:$A1001,Productos!BK$2:BK1001,"")*$G935,"")</f>
        <v/>
      </c>
      <c r="BS935" s="179" t="str">
        <f t="array" ref="BS935">IF($F935&lt;&gt;"",XLOOKUP($F935,Productos!$A:$A,Productos!BL:BL,"Revisar"),"")</f>
        <v/>
      </c>
      <c r="BT935" s="179" t="str">
        <f t="array" ref="BT935">IF($F935&lt;&gt;"", XLOOKUP($F935,Productos!$A$2:$A1001,Productos!BM$2:BM1001,"")*$G935,"")</f>
        <v/>
      </c>
      <c r="BU935" s="179" t="str">
        <f t="array" ref="BU935">IF($F935&lt;&gt;"",XLOOKUP($F935,Productos!$A:$A,Productos!BN:BN,"Revisar"),"")</f>
        <v/>
      </c>
      <c r="BV935" s="179" t="str">
        <f t="array" ref="BV935">IF($F935&lt;&gt;"", XLOOKUP($F935,Productos!$A$2:$A1001,Productos!BO$2:BO1001,"")*$G935,"")</f>
        <v/>
      </c>
      <c r="BW935" s="179" t="str">
        <f t="array" ref="BW935">IF($F935&lt;&gt;"",XLOOKUP($F935,Productos!$A:$A,Productos!BP:BP,"Revisar"),"")</f>
        <v/>
      </c>
      <c r="BX935" s="179" t="str">
        <f t="array" ref="BX935">IF($F935&lt;&gt;"", XLOOKUP($F935,Productos!$A$2:$A1001,Productos!BQ$2:BQ1001,"")*$G935,"")</f>
        <v/>
      </c>
      <c r="BY935" s="179" t="str">
        <f t="array" ref="BY935">IF($F935&lt;&gt;"",XLOOKUP($F935,Productos!$A:$A,Productos!BR:BR,"Revisar"),"")</f>
        <v/>
      </c>
      <c r="BZ935" s="179" t="str">
        <f t="array" ref="BZ935">IF($F935&lt;&gt;"", XLOOKUP($F935,Productos!$A$2:$A1001,Productos!BS$2:BS1001,"")*$G935,"")</f>
        <v/>
      </c>
    </row>
    <row r="936">
      <c r="A936" s="188"/>
      <c r="B936" s="189"/>
      <c r="C936" s="190"/>
      <c r="D936" s="190"/>
      <c r="E936" s="191"/>
      <c r="F936" s="186"/>
      <c r="G936" s="192"/>
      <c r="H936" s="9"/>
      <c r="I936" s="179" t="str">
        <f t="array" ref="I936">IF($F936&lt;&gt;"",XLOOKUP($F936,Productos!$A:$A,Productos!B:B,"Revisar"),"")</f>
        <v/>
      </c>
      <c r="J936" s="179" t="str">
        <f t="array" ref="J936">IF($F936&lt;&gt;"", XLOOKUP($F936,Productos!$A$2:$A1001,Productos!C$2:C1001,"")*$G936,"")</f>
        <v/>
      </c>
      <c r="K936" s="179" t="str">
        <f t="array" ref="K936">IF($F936&lt;&gt;"",XLOOKUP($F936,Productos!$A:$A,Productos!D:D,"Revisar"),"")</f>
        <v/>
      </c>
      <c r="L936" s="179" t="str">
        <f t="array" ref="L936">IF($F936&lt;&gt;"", XLOOKUP($F936,Productos!$A$2:$A1001,Productos!E$2:E1001,"")*$G936,"")</f>
        <v/>
      </c>
      <c r="M936" s="179" t="str">
        <f t="array" ref="M936">IF($F936&lt;&gt;"",XLOOKUP($F936,Productos!$A:$A,Productos!F:F,"Revisar"),"")</f>
        <v/>
      </c>
      <c r="N936" s="179" t="str">
        <f t="array" ref="N936">IF($F936&lt;&gt;"", XLOOKUP($F936,Productos!$A$2:$A1001,Productos!G$2:G1001,"")*$G936,"")</f>
        <v/>
      </c>
      <c r="O936" s="179" t="str">
        <f t="array" ref="O936">IF($F936&lt;&gt;"",XLOOKUP($F936,Productos!$A:$A,Productos!H:H,"Revisar"),"")</f>
        <v/>
      </c>
      <c r="P936" s="179" t="str">
        <f t="array" ref="P936">IF($F936&lt;&gt;"", XLOOKUP($F936,Productos!$A$2:$A1001,Productos!I$2:I1001,"")*$G936,"")</f>
        <v/>
      </c>
      <c r="Q936" s="179" t="str">
        <f t="array" ref="Q936">IF($F936&lt;&gt;"",XLOOKUP($F936,Productos!$A:$A,Productos!J:J,"Revisar"),"")</f>
        <v/>
      </c>
      <c r="R936" s="179" t="str">
        <f t="array" ref="R936">IF($F936&lt;&gt;"", XLOOKUP($F936,Productos!$A$2:$A1001,Productos!K$2:K1001,"")*$G936,"")</f>
        <v/>
      </c>
      <c r="S936" s="179" t="str">
        <f t="array" ref="S936">IF($F936&lt;&gt;"",XLOOKUP($F936,Productos!$A:$A,Productos!L:L,"Revisar"),"")</f>
        <v/>
      </c>
      <c r="T936" s="179" t="str">
        <f t="array" ref="T936">IF($F936&lt;&gt;"", XLOOKUP($F936,Productos!$A$2:$A1001,Productos!M$2:M1001,"")*$G936,"")</f>
        <v/>
      </c>
      <c r="U936" s="179" t="str">
        <f t="array" ref="U936">IF($F936&lt;&gt;"",XLOOKUP($F936,Productos!$A:$A,Productos!N:N,"Revisar"),"")</f>
        <v/>
      </c>
      <c r="V936" s="179" t="str">
        <f t="array" ref="V936">IF($F936&lt;&gt;"", XLOOKUP($F936,Productos!$A$2:$A1001,Productos!O$2:O1001,"")*$G936,"")</f>
        <v/>
      </c>
      <c r="W936" s="179" t="str">
        <f t="array" ref="W936">IF($F936&lt;&gt;"",XLOOKUP($F936,Productos!$A:$A,Productos!P:P,"Revisar"),"")</f>
        <v/>
      </c>
      <c r="X936" s="179" t="str">
        <f t="array" ref="X936">IF($F936&lt;&gt;"", XLOOKUP($F936,Productos!$A$2:$A1001,Productos!Q$2:Q1001,"")*$G936,"")</f>
        <v/>
      </c>
      <c r="Y936" s="179" t="str">
        <f t="array" ref="Y936">IF($F936&lt;&gt;"",XLOOKUP($F936,Productos!$A:$A,Productos!R:R,"Revisar"),"")</f>
        <v/>
      </c>
      <c r="Z936" s="179" t="str">
        <f t="array" ref="Z936">IF($F936&lt;&gt;"", XLOOKUP($F936,Productos!$A$2:$A1001,Productos!S$2:S1001,"")*$G936,"")</f>
        <v/>
      </c>
      <c r="AA936" s="179" t="str">
        <f t="array" ref="AA936">IF($F936&lt;&gt;"",XLOOKUP($F936,Productos!$A:$A,Productos!T:T,"Revisar"),"")</f>
        <v/>
      </c>
      <c r="AB936" s="179" t="str">
        <f t="array" ref="AB936">IF($F936&lt;&gt;"", XLOOKUP($F936,Productos!$A$2:$A1001,Productos!U$2:U1001,"")*$G936,"")</f>
        <v/>
      </c>
      <c r="AC936" s="179" t="str">
        <f t="array" ref="AC936">IF($F936&lt;&gt;"",XLOOKUP($F936,Productos!$A:$A,Productos!V:V,"Revisar"),"")</f>
        <v/>
      </c>
      <c r="AD936" s="179" t="str">
        <f t="array" ref="AD936">IF($F936&lt;&gt;"", XLOOKUP($F936,Productos!$A$2:$A1001,Productos!W$2:W1001,"")*$G936,"")</f>
        <v/>
      </c>
      <c r="AE936" s="179" t="str">
        <f t="array" ref="AE936">IF($F936&lt;&gt;"",XLOOKUP($F936,Productos!$A:$A,Productos!X:X,"Revisar"),"")</f>
        <v/>
      </c>
      <c r="AF936" s="179" t="str">
        <f t="array" ref="AF936">IF($F936&lt;&gt;"", XLOOKUP($F936,Productos!$A$2:$A1001,Productos!Y$2:Y1001,"")*$G936,"")</f>
        <v/>
      </c>
      <c r="AG936" s="179" t="str">
        <f t="array" ref="AG936">IF($F936&lt;&gt;"",XLOOKUP($F936,Productos!$A:$A,Productos!Z:Z,"Revisar"),"")</f>
        <v/>
      </c>
      <c r="AH936" s="179" t="str">
        <f t="array" ref="AH936">IF($F936&lt;&gt;"", XLOOKUP($F936,Productos!$A$2:$A1001,Productos!AA$2:AA1001,"")*$G936,"")</f>
        <v/>
      </c>
      <c r="AI936" s="179" t="str">
        <f t="array" ref="AI936">IF($F936&lt;&gt;"",XLOOKUP($F936,Productos!$A:$A,Productos!AB:AB,"Revisar"),"")</f>
        <v/>
      </c>
      <c r="AJ936" s="179" t="str">
        <f t="array" ref="AJ936">IF($F936&lt;&gt;"", XLOOKUP($F936,Productos!$A$2:$A1001,Productos!AC$2:AC1001,"")*$G936,"")</f>
        <v/>
      </c>
      <c r="AK936" s="179" t="str">
        <f t="array" ref="AK936">IF($F936&lt;&gt;"",XLOOKUP($F936,Productos!$A:$A,Productos!AD:AD,"Revisar"),"")</f>
        <v/>
      </c>
      <c r="AL936" s="179" t="str">
        <f t="array" ref="AL936">IF($F936&lt;&gt;"", XLOOKUP($F936,Productos!$A$2:$A1001,Productos!AE$2:AE1001,"")*$G936,"")</f>
        <v/>
      </c>
      <c r="AM936" s="179" t="str">
        <f t="array" ref="AM936">IF($F936&lt;&gt;"",XLOOKUP($F936,Productos!$A:$A,Productos!AF:AF,"Revisar"),"")</f>
        <v/>
      </c>
      <c r="AN936" s="179" t="str">
        <f t="array" ref="AN936">IF($F936&lt;&gt;"", XLOOKUP($F936,Productos!$A$2:$A1001,Productos!AG$2:AG1001,"")*$G936,"")</f>
        <v/>
      </c>
      <c r="AO936" s="179" t="str">
        <f t="array" ref="AO936">IF($F936&lt;&gt;"",XLOOKUP($F936,Productos!$A:$A,Productos!AH:AH,"Revisar"),"")</f>
        <v/>
      </c>
      <c r="AP936" s="179" t="str">
        <f t="array" ref="AP936">IF($F936&lt;&gt;"", XLOOKUP($F936,Productos!$A$2:$A1001,Productos!AI$2:AI1001,"")*$G936,"")</f>
        <v/>
      </c>
      <c r="AQ936" s="179" t="str">
        <f t="array" ref="AQ936">IF($F936&lt;&gt;"",XLOOKUP($F936,Productos!$A:$A,Productos!AJ:AJ,"Revisar"),"")</f>
        <v/>
      </c>
      <c r="AR936" s="179" t="str">
        <f t="array" ref="AR936">IF($F936&lt;&gt;"", XLOOKUP($F936,Productos!$A$2:$A1001,Productos!AK$2:AK1001,"")*$G936,"")</f>
        <v/>
      </c>
      <c r="AS936" s="179" t="str">
        <f t="array" ref="AS936">IF($F936&lt;&gt;"",XLOOKUP($F936,Productos!$A:$A,Productos!AL:AL,"Revisar"),"")</f>
        <v/>
      </c>
      <c r="AT936" s="179" t="str">
        <f t="array" ref="AT936">IF($F936&lt;&gt;"", XLOOKUP($F936,Productos!$A$2:$A1001,Productos!AM$2:AM1001,"")*$G936,"")</f>
        <v/>
      </c>
      <c r="AU936" s="179" t="str">
        <f t="array" ref="AU936">IF($F936&lt;&gt;"",XLOOKUP($F936,Productos!$A:$A,Productos!AN:AN,"Revisar"),"")</f>
        <v/>
      </c>
      <c r="AV936" s="179" t="str">
        <f t="array" ref="AV936">IF($F936&lt;&gt;"", XLOOKUP($F936,Productos!$A$2:$A1001,Productos!AO$2:AO1001,"")*$G936,"")</f>
        <v/>
      </c>
      <c r="AW936" s="179" t="str">
        <f t="array" ref="AW936">IF($F936&lt;&gt;"",XLOOKUP($F936,Productos!$A:$A,Productos!AP:AP,"Revisar"),"")</f>
        <v/>
      </c>
      <c r="AX936" s="179" t="str">
        <f t="array" ref="AX936">IF($F936&lt;&gt;"", XLOOKUP($F936,Productos!$A$2:$A1001,Productos!AQ$2:AQ1001,"")*$G936,"")</f>
        <v/>
      </c>
      <c r="AY936" s="179" t="str">
        <f t="array" ref="AY936">IF($F936&lt;&gt;"",XLOOKUP($F936,Productos!$A:$A,Productos!AR:AR,"Revisar"),"")</f>
        <v/>
      </c>
      <c r="AZ936" s="179" t="str">
        <f t="array" ref="AZ936">IF($F936&lt;&gt;"", XLOOKUP($F936,Productos!$A$2:$A1001,Productos!AS$2:AS1001,"")*$G936,"")</f>
        <v/>
      </c>
      <c r="BA936" s="179" t="str">
        <f t="array" ref="BA936">IF($F936&lt;&gt;"",XLOOKUP($F936,Productos!$A:$A,Productos!AT:AT,"Revisar"),"")</f>
        <v/>
      </c>
      <c r="BB936" s="179" t="str">
        <f t="array" ref="BB936">IF($F936&lt;&gt;"", XLOOKUP($F936,Productos!$A$2:$A1001,Productos!AU$2:AU1001,"")*$G936,"")</f>
        <v/>
      </c>
      <c r="BC936" s="179" t="str">
        <f t="array" ref="BC936">IF($F936&lt;&gt;"",XLOOKUP($F936,Productos!$A:$A,Productos!AV:AV,"Revisar"),"")</f>
        <v/>
      </c>
      <c r="BD936" s="179" t="str">
        <f t="array" ref="BD936">IF($F936&lt;&gt;"", XLOOKUP($F936,Productos!$A$2:$A1001,Productos!AW$2:AW1001,"")*$G936,"")</f>
        <v/>
      </c>
      <c r="BE936" s="179" t="str">
        <f t="array" ref="BE936">IF($F936&lt;&gt;"",XLOOKUP($F936,Productos!$A:$A,Productos!AX:AX,"Revisar"),"")</f>
        <v/>
      </c>
      <c r="BF936" s="179" t="str">
        <f t="array" ref="BF936">IF($F936&lt;&gt;"", XLOOKUP($F936,Productos!$A$2:$A1001,Productos!AY$2:AY1001,"")*$G936,"")</f>
        <v/>
      </c>
      <c r="BG936" s="179" t="str">
        <f t="array" ref="BG936">IF($F936&lt;&gt;"",XLOOKUP($F936,Productos!$A:$A,Productos!AZ:AZ,"Revisar"),"")</f>
        <v/>
      </c>
      <c r="BH936" s="179" t="str">
        <f t="array" ref="BH936">IF($F936&lt;&gt;"", XLOOKUP($F936,Productos!$A$2:$A1001,Productos!BA$2:BA1001,"")*$G936,"")</f>
        <v/>
      </c>
      <c r="BI936" s="179" t="str">
        <f t="array" ref="BI936">IF($F936&lt;&gt;"",XLOOKUP($F936,Productos!$A:$A,Productos!BB:BB,"Revisar"),"")</f>
        <v/>
      </c>
      <c r="BJ936" s="179" t="str">
        <f t="array" ref="BJ936">IF($F936&lt;&gt;"", XLOOKUP($F936,Productos!$A$2:$A1001,Productos!BC$2:BC1001,"")*$G936,"")</f>
        <v/>
      </c>
      <c r="BK936" s="179" t="str">
        <f t="array" ref="BK936">IF($F936&lt;&gt;"",XLOOKUP($F936,Productos!$A:$A,Productos!BD:BD,"Revisar"),"")</f>
        <v/>
      </c>
      <c r="BL936" s="179" t="str">
        <f t="array" ref="BL936">IF($F936&lt;&gt;"", XLOOKUP($F936,Productos!$A$2:$A1001,Productos!BE$2:BE1001,"")*$G936,"")</f>
        <v/>
      </c>
      <c r="BM936" s="179" t="str">
        <f t="array" ref="BM936">IF($F936&lt;&gt;"",XLOOKUP($F936,Productos!$A:$A,Productos!BF:BF,"Revisar"),"")</f>
        <v/>
      </c>
      <c r="BN936" s="179" t="str">
        <f t="array" ref="BN936">IF($F936&lt;&gt;"", XLOOKUP($F936,Productos!$A$2:$A1001,Productos!BG$2:BG1001,"")*$G936,"")</f>
        <v/>
      </c>
      <c r="BO936" s="179" t="str">
        <f t="array" ref="BO936">IF($F936&lt;&gt;"",XLOOKUP($F936,Productos!$A:$A,Productos!BH:BH,"Revisar"),"")</f>
        <v/>
      </c>
      <c r="BP936" s="179" t="str">
        <f t="array" ref="BP936">IF($F936&lt;&gt;"", XLOOKUP($F936,Productos!$A$2:$A1001,Productos!BI$2:BI1001,"")*$G936,"")</f>
        <v/>
      </c>
      <c r="BQ936" s="179" t="str">
        <f t="array" ref="BQ936">IF($F936&lt;&gt;"",XLOOKUP($F936,Productos!$A:$A,Productos!BJ:BJ,"Revisar"),"")</f>
        <v/>
      </c>
      <c r="BR936" s="179" t="str">
        <f t="array" ref="BR936">IF($F936&lt;&gt;"", XLOOKUP($F936,Productos!$A$2:$A1001,Productos!BK$2:BK1001,"")*$G936,"")</f>
        <v/>
      </c>
      <c r="BS936" s="179" t="str">
        <f t="array" ref="BS936">IF($F936&lt;&gt;"",XLOOKUP($F936,Productos!$A:$A,Productos!BL:BL,"Revisar"),"")</f>
        <v/>
      </c>
      <c r="BT936" s="179" t="str">
        <f t="array" ref="BT936">IF($F936&lt;&gt;"", XLOOKUP($F936,Productos!$A$2:$A1001,Productos!BM$2:BM1001,"")*$G936,"")</f>
        <v/>
      </c>
      <c r="BU936" s="179" t="str">
        <f t="array" ref="BU936">IF($F936&lt;&gt;"",XLOOKUP($F936,Productos!$A:$A,Productos!BN:BN,"Revisar"),"")</f>
        <v/>
      </c>
      <c r="BV936" s="179" t="str">
        <f t="array" ref="BV936">IF($F936&lt;&gt;"", XLOOKUP($F936,Productos!$A$2:$A1001,Productos!BO$2:BO1001,"")*$G936,"")</f>
        <v/>
      </c>
      <c r="BW936" s="179" t="str">
        <f t="array" ref="BW936">IF($F936&lt;&gt;"",XLOOKUP($F936,Productos!$A:$A,Productos!BP:BP,"Revisar"),"")</f>
        <v/>
      </c>
      <c r="BX936" s="179" t="str">
        <f t="array" ref="BX936">IF($F936&lt;&gt;"", XLOOKUP($F936,Productos!$A$2:$A1001,Productos!BQ$2:BQ1001,"")*$G936,"")</f>
        <v/>
      </c>
      <c r="BY936" s="179" t="str">
        <f t="array" ref="BY936">IF($F936&lt;&gt;"",XLOOKUP($F936,Productos!$A:$A,Productos!BR:BR,"Revisar"),"")</f>
        <v/>
      </c>
      <c r="BZ936" s="179" t="str">
        <f t="array" ref="BZ936">IF($F936&lt;&gt;"", XLOOKUP($F936,Productos!$A$2:$A1001,Productos!BS$2:BS1001,"")*$G936,"")</f>
        <v/>
      </c>
    </row>
    <row r="937">
      <c r="A937" s="188"/>
      <c r="B937" s="189"/>
      <c r="C937" s="190"/>
      <c r="D937" s="190"/>
      <c r="E937" s="191"/>
      <c r="F937" s="186"/>
      <c r="G937" s="192"/>
      <c r="H937" s="9"/>
      <c r="I937" s="179" t="str">
        <f t="array" ref="I937">IF($F937&lt;&gt;"",XLOOKUP($F937,Productos!$A:$A,Productos!B:B,"Revisar"),"")</f>
        <v/>
      </c>
      <c r="J937" s="179" t="str">
        <f t="array" ref="J937">IF($F937&lt;&gt;"", XLOOKUP($F937,Productos!$A$2:$A1001,Productos!C$2:C1001,"")*$G937,"")</f>
        <v/>
      </c>
      <c r="K937" s="179" t="str">
        <f t="array" ref="K937">IF($F937&lt;&gt;"",XLOOKUP($F937,Productos!$A:$A,Productos!D:D,"Revisar"),"")</f>
        <v/>
      </c>
      <c r="L937" s="179" t="str">
        <f t="array" ref="L937">IF($F937&lt;&gt;"", XLOOKUP($F937,Productos!$A$2:$A1001,Productos!E$2:E1001,"")*$G937,"")</f>
        <v/>
      </c>
      <c r="M937" s="179" t="str">
        <f t="array" ref="M937">IF($F937&lt;&gt;"",XLOOKUP($F937,Productos!$A:$A,Productos!F:F,"Revisar"),"")</f>
        <v/>
      </c>
      <c r="N937" s="179" t="str">
        <f t="array" ref="N937">IF($F937&lt;&gt;"", XLOOKUP($F937,Productos!$A$2:$A1001,Productos!G$2:G1001,"")*$G937,"")</f>
        <v/>
      </c>
      <c r="O937" s="179" t="str">
        <f t="array" ref="O937">IF($F937&lt;&gt;"",XLOOKUP($F937,Productos!$A:$A,Productos!H:H,"Revisar"),"")</f>
        <v/>
      </c>
      <c r="P937" s="179" t="str">
        <f t="array" ref="P937">IF($F937&lt;&gt;"", XLOOKUP($F937,Productos!$A$2:$A1001,Productos!I$2:I1001,"")*$G937,"")</f>
        <v/>
      </c>
      <c r="Q937" s="179" t="str">
        <f t="array" ref="Q937">IF($F937&lt;&gt;"",XLOOKUP($F937,Productos!$A:$A,Productos!J:J,"Revisar"),"")</f>
        <v/>
      </c>
      <c r="R937" s="179" t="str">
        <f t="array" ref="R937">IF($F937&lt;&gt;"", XLOOKUP($F937,Productos!$A$2:$A1001,Productos!K$2:K1001,"")*$G937,"")</f>
        <v/>
      </c>
      <c r="S937" s="179" t="str">
        <f t="array" ref="S937">IF($F937&lt;&gt;"",XLOOKUP($F937,Productos!$A:$A,Productos!L:L,"Revisar"),"")</f>
        <v/>
      </c>
      <c r="T937" s="179" t="str">
        <f t="array" ref="T937">IF($F937&lt;&gt;"", XLOOKUP($F937,Productos!$A$2:$A1001,Productos!M$2:M1001,"")*$G937,"")</f>
        <v/>
      </c>
      <c r="U937" s="179" t="str">
        <f t="array" ref="U937">IF($F937&lt;&gt;"",XLOOKUP($F937,Productos!$A:$A,Productos!N:N,"Revisar"),"")</f>
        <v/>
      </c>
      <c r="V937" s="179" t="str">
        <f t="array" ref="V937">IF($F937&lt;&gt;"", XLOOKUP($F937,Productos!$A$2:$A1001,Productos!O$2:O1001,"")*$G937,"")</f>
        <v/>
      </c>
      <c r="W937" s="179" t="str">
        <f t="array" ref="W937">IF($F937&lt;&gt;"",XLOOKUP($F937,Productos!$A:$A,Productos!P:P,"Revisar"),"")</f>
        <v/>
      </c>
      <c r="X937" s="179" t="str">
        <f t="array" ref="X937">IF($F937&lt;&gt;"", XLOOKUP($F937,Productos!$A$2:$A1001,Productos!Q$2:Q1001,"")*$G937,"")</f>
        <v/>
      </c>
      <c r="Y937" s="179" t="str">
        <f t="array" ref="Y937">IF($F937&lt;&gt;"",XLOOKUP($F937,Productos!$A:$A,Productos!R:R,"Revisar"),"")</f>
        <v/>
      </c>
      <c r="Z937" s="179" t="str">
        <f t="array" ref="Z937">IF($F937&lt;&gt;"", XLOOKUP($F937,Productos!$A$2:$A1001,Productos!S$2:S1001,"")*$G937,"")</f>
        <v/>
      </c>
      <c r="AA937" s="179" t="str">
        <f t="array" ref="AA937">IF($F937&lt;&gt;"",XLOOKUP($F937,Productos!$A:$A,Productos!T:T,"Revisar"),"")</f>
        <v/>
      </c>
      <c r="AB937" s="179" t="str">
        <f t="array" ref="AB937">IF($F937&lt;&gt;"", XLOOKUP($F937,Productos!$A$2:$A1001,Productos!U$2:U1001,"")*$G937,"")</f>
        <v/>
      </c>
      <c r="AC937" s="179" t="str">
        <f t="array" ref="AC937">IF($F937&lt;&gt;"",XLOOKUP($F937,Productos!$A:$A,Productos!V:V,"Revisar"),"")</f>
        <v/>
      </c>
      <c r="AD937" s="179" t="str">
        <f t="array" ref="AD937">IF($F937&lt;&gt;"", XLOOKUP($F937,Productos!$A$2:$A1001,Productos!W$2:W1001,"")*$G937,"")</f>
        <v/>
      </c>
      <c r="AE937" s="179" t="str">
        <f t="array" ref="AE937">IF($F937&lt;&gt;"",XLOOKUP($F937,Productos!$A:$A,Productos!X:X,"Revisar"),"")</f>
        <v/>
      </c>
      <c r="AF937" s="179" t="str">
        <f t="array" ref="AF937">IF($F937&lt;&gt;"", XLOOKUP($F937,Productos!$A$2:$A1001,Productos!Y$2:Y1001,"")*$G937,"")</f>
        <v/>
      </c>
      <c r="AG937" s="179" t="str">
        <f t="array" ref="AG937">IF($F937&lt;&gt;"",XLOOKUP($F937,Productos!$A:$A,Productos!Z:Z,"Revisar"),"")</f>
        <v/>
      </c>
      <c r="AH937" s="179" t="str">
        <f t="array" ref="AH937">IF($F937&lt;&gt;"", XLOOKUP($F937,Productos!$A$2:$A1001,Productos!AA$2:AA1001,"")*$G937,"")</f>
        <v/>
      </c>
      <c r="AI937" s="179" t="str">
        <f t="array" ref="AI937">IF($F937&lt;&gt;"",XLOOKUP($F937,Productos!$A:$A,Productos!AB:AB,"Revisar"),"")</f>
        <v/>
      </c>
      <c r="AJ937" s="179" t="str">
        <f t="array" ref="AJ937">IF($F937&lt;&gt;"", XLOOKUP($F937,Productos!$A$2:$A1001,Productos!AC$2:AC1001,"")*$G937,"")</f>
        <v/>
      </c>
      <c r="AK937" s="179" t="str">
        <f t="array" ref="AK937">IF($F937&lt;&gt;"",XLOOKUP($F937,Productos!$A:$A,Productos!AD:AD,"Revisar"),"")</f>
        <v/>
      </c>
      <c r="AL937" s="179" t="str">
        <f t="array" ref="AL937">IF($F937&lt;&gt;"", XLOOKUP($F937,Productos!$A$2:$A1001,Productos!AE$2:AE1001,"")*$G937,"")</f>
        <v/>
      </c>
      <c r="AM937" s="179" t="str">
        <f t="array" ref="AM937">IF($F937&lt;&gt;"",XLOOKUP($F937,Productos!$A:$A,Productos!AF:AF,"Revisar"),"")</f>
        <v/>
      </c>
      <c r="AN937" s="179" t="str">
        <f t="array" ref="AN937">IF($F937&lt;&gt;"", XLOOKUP($F937,Productos!$A$2:$A1001,Productos!AG$2:AG1001,"")*$G937,"")</f>
        <v/>
      </c>
      <c r="AO937" s="179" t="str">
        <f t="array" ref="AO937">IF($F937&lt;&gt;"",XLOOKUP($F937,Productos!$A:$A,Productos!AH:AH,"Revisar"),"")</f>
        <v/>
      </c>
      <c r="AP937" s="179" t="str">
        <f t="array" ref="AP937">IF($F937&lt;&gt;"", XLOOKUP($F937,Productos!$A$2:$A1001,Productos!AI$2:AI1001,"")*$G937,"")</f>
        <v/>
      </c>
      <c r="AQ937" s="179" t="str">
        <f t="array" ref="AQ937">IF($F937&lt;&gt;"",XLOOKUP($F937,Productos!$A:$A,Productos!AJ:AJ,"Revisar"),"")</f>
        <v/>
      </c>
      <c r="AR937" s="179" t="str">
        <f t="array" ref="AR937">IF($F937&lt;&gt;"", XLOOKUP($F937,Productos!$A$2:$A1001,Productos!AK$2:AK1001,"")*$G937,"")</f>
        <v/>
      </c>
      <c r="AS937" s="179" t="str">
        <f t="array" ref="AS937">IF($F937&lt;&gt;"",XLOOKUP($F937,Productos!$A:$A,Productos!AL:AL,"Revisar"),"")</f>
        <v/>
      </c>
      <c r="AT937" s="179" t="str">
        <f t="array" ref="AT937">IF($F937&lt;&gt;"", XLOOKUP($F937,Productos!$A$2:$A1001,Productos!AM$2:AM1001,"")*$G937,"")</f>
        <v/>
      </c>
      <c r="AU937" s="179" t="str">
        <f t="array" ref="AU937">IF($F937&lt;&gt;"",XLOOKUP($F937,Productos!$A:$A,Productos!AN:AN,"Revisar"),"")</f>
        <v/>
      </c>
      <c r="AV937" s="179" t="str">
        <f t="array" ref="AV937">IF($F937&lt;&gt;"", XLOOKUP($F937,Productos!$A$2:$A1001,Productos!AO$2:AO1001,"")*$G937,"")</f>
        <v/>
      </c>
      <c r="AW937" s="179" t="str">
        <f t="array" ref="AW937">IF($F937&lt;&gt;"",XLOOKUP($F937,Productos!$A:$A,Productos!AP:AP,"Revisar"),"")</f>
        <v/>
      </c>
      <c r="AX937" s="179" t="str">
        <f t="array" ref="AX937">IF($F937&lt;&gt;"", XLOOKUP($F937,Productos!$A$2:$A1001,Productos!AQ$2:AQ1001,"")*$G937,"")</f>
        <v/>
      </c>
      <c r="AY937" s="179" t="str">
        <f t="array" ref="AY937">IF($F937&lt;&gt;"",XLOOKUP($F937,Productos!$A:$A,Productos!AR:AR,"Revisar"),"")</f>
        <v/>
      </c>
      <c r="AZ937" s="179" t="str">
        <f t="array" ref="AZ937">IF($F937&lt;&gt;"", XLOOKUP($F937,Productos!$A$2:$A1001,Productos!AS$2:AS1001,"")*$G937,"")</f>
        <v/>
      </c>
      <c r="BA937" s="179" t="str">
        <f t="array" ref="BA937">IF($F937&lt;&gt;"",XLOOKUP($F937,Productos!$A:$A,Productos!AT:AT,"Revisar"),"")</f>
        <v/>
      </c>
      <c r="BB937" s="179" t="str">
        <f t="array" ref="BB937">IF($F937&lt;&gt;"", XLOOKUP($F937,Productos!$A$2:$A1001,Productos!AU$2:AU1001,"")*$G937,"")</f>
        <v/>
      </c>
      <c r="BC937" s="179" t="str">
        <f t="array" ref="BC937">IF($F937&lt;&gt;"",XLOOKUP($F937,Productos!$A:$A,Productos!AV:AV,"Revisar"),"")</f>
        <v/>
      </c>
      <c r="BD937" s="179" t="str">
        <f t="array" ref="BD937">IF($F937&lt;&gt;"", XLOOKUP($F937,Productos!$A$2:$A1001,Productos!AW$2:AW1001,"")*$G937,"")</f>
        <v/>
      </c>
      <c r="BE937" s="179" t="str">
        <f t="array" ref="BE937">IF($F937&lt;&gt;"",XLOOKUP($F937,Productos!$A:$A,Productos!AX:AX,"Revisar"),"")</f>
        <v/>
      </c>
      <c r="BF937" s="179" t="str">
        <f t="array" ref="BF937">IF($F937&lt;&gt;"", XLOOKUP($F937,Productos!$A$2:$A1001,Productos!AY$2:AY1001,"")*$G937,"")</f>
        <v/>
      </c>
      <c r="BG937" s="179" t="str">
        <f t="array" ref="BG937">IF($F937&lt;&gt;"",XLOOKUP($F937,Productos!$A:$A,Productos!AZ:AZ,"Revisar"),"")</f>
        <v/>
      </c>
      <c r="BH937" s="179" t="str">
        <f t="array" ref="BH937">IF($F937&lt;&gt;"", XLOOKUP($F937,Productos!$A$2:$A1001,Productos!BA$2:BA1001,"")*$G937,"")</f>
        <v/>
      </c>
      <c r="BI937" s="179" t="str">
        <f t="array" ref="BI937">IF($F937&lt;&gt;"",XLOOKUP($F937,Productos!$A:$A,Productos!BB:BB,"Revisar"),"")</f>
        <v/>
      </c>
      <c r="BJ937" s="179" t="str">
        <f t="array" ref="BJ937">IF($F937&lt;&gt;"", XLOOKUP($F937,Productos!$A$2:$A1001,Productos!BC$2:BC1001,"")*$G937,"")</f>
        <v/>
      </c>
      <c r="BK937" s="179" t="str">
        <f t="array" ref="BK937">IF($F937&lt;&gt;"",XLOOKUP($F937,Productos!$A:$A,Productos!BD:BD,"Revisar"),"")</f>
        <v/>
      </c>
      <c r="BL937" s="179" t="str">
        <f t="array" ref="BL937">IF($F937&lt;&gt;"", XLOOKUP($F937,Productos!$A$2:$A1001,Productos!BE$2:BE1001,"")*$G937,"")</f>
        <v/>
      </c>
      <c r="BM937" s="179" t="str">
        <f t="array" ref="BM937">IF($F937&lt;&gt;"",XLOOKUP($F937,Productos!$A:$A,Productos!BF:BF,"Revisar"),"")</f>
        <v/>
      </c>
      <c r="BN937" s="179" t="str">
        <f t="array" ref="BN937">IF($F937&lt;&gt;"", XLOOKUP($F937,Productos!$A$2:$A1001,Productos!BG$2:BG1001,"")*$G937,"")</f>
        <v/>
      </c>
      <c r="BO937" s="179" t="str">
        <f t="array" ref="BO937">IF($F937&lt;&gt;"",XLOOKUP($F937,Productos!$A:$A,Productos!BH:BH,"Revisar"),"")</f>
        <v/>
      </c>
      <c r="BP937" s="179" t="str">
        <f t="array" ref="BP937">IF($F937&lt;&gt;"", XLOOKUP($F937,Productos!$A$2:$A1001,Productos!BI$2:BI1001,"")*$G937,"")</f>
        <v/>
      </c>
      <c r="BQ937" s="179" t="str">
        <f t="array" ref="BQ937">IF($F937&lt;&gt;"",XLOOKUP($F937,Productos!$A:$A,Productos!BJ:BJ,"Revisar"),"")</f>
        <v/>
      </c>
      <c r="BR937" s="179" t="str">
        <f t="array" ref="BR937">IF($F937&lt;&gt;"", XLOOKUP($F937,Productos!$A$2:$A1001,Productos!BK$2:BK1001,"")*$G937,"")</f>
        <v/>
      </c>
      <c r="BS937" s="179" t="str">
        <f t="array" ref="BS937">IF($F937&lt;&gt;"",XLOOKUP($F937,Productos!$A:$A,Productos!BL:BL,"Revisar"),"")</f>
        <v/>
      </c>
      <c r="BT937" s="179" t="str">
        <f t="array" ref="BT937">IF($F937&lt;&gt;"", XLOOKUP($F937,Productos!$A$2:$A1001,Productos!BM$2:BM1001,"")*$G937,"")</f>
        <v/>
      </c>
      <c r="BU937" s="179" t="str">
        <f t="array" ref="BU937">IF($F937&lt;&gt;"",XLOOKUP($F937,Productos!$A:$A,Productos!BN:BN,"Revisar"),"")</f>
        <v/>
      </c>
      <c r="BV937" s="179" t="str">
        <f t="array" ref="BV937">IF($F937&lt;&gt;"", XLOOKUP($F937,Productos!$A$2:$A1001,Productos!BO$2:BO1001,"")*$G937,"")</f>
        <v/>
      </c>
      <c r="BW937" s="179" t="str">
        <f t="array" ref="BW937">IF($F937&lt;&gt;"",XLOOKUP($F937,Productos!$A:$A,Productos!BP:BP,"Revisar"),"")</f>
        <v/>
      </c>
      <c r="BX937" s="179" t="str">
        <f t="array" ref="BX937">IF($F937&lt;&gt;"", XLOOKUP($F937,Productos!$A$2:$A1001,Productos!BQ$2:BQ1001,"")*$G937,"")</f>
        <v/>
      </c>
      <c r="BY937" s="179" t="str">
        <f t="array" ref="BY937">IF($F937&lt;&gt;"",XLOOKUP($F937,Productos!$A:$A,Productos!BR:BR,"Revisar"),"")</f>
        <v/>
      </c>
      <c r="BZ937" s="179" t="str">
        <f t="array" ref="BZ937">IF($F937&lt;&gt;"", XLOOKUP($F937,Productos!$A$2:$A1001,Productos!BS$2:BS1001,"")*$G937,"")</f>
        <v/>
      </c>
    </row>
    <row r="938">
      <c r="A938" s="188"/>
      <c r="B938" s="189"/>
      <c r="C938" s="190"/>
      <c r="D938" s="190"/>
      <c r="E938" s="191"/>
      <c r="F938" s="186"/>
      <c r="G938" s="192"/>
      <c r="H938" s="9"/>
      <c r="I938" s="179" t="str">
        <f t="array" ref="I938">IF($F938&lt;&gt;"",XLOOKUP($F938,Productos!$A:$A,Productos!B:B,"Revisar"),"")</f>
        <v/>
      </c>
      <c r="J938" s="179" t="str">
        <f t="array" ref="J938">IF($F938&lt;&gt;"", XLOOKUP($F938,Productos!$A$2:$A1001,Productos!C$2:C1001,"")*$G938,"")</f>
        <v/>
      </c>
      <c r="K938" s="179" t="str">
        <f t="array" ref="K938">IF($F938&lt;&gt;"",XLOOKUP($F938,Productos!$A:$A,Productos!D:D,"Revisar"),"")</f>
        <v/>
      </c>
      <c r="L938" s="179" t="str">
        <f t="array" ref="L938">IF($F938&lt;&gt;"", XLOOKUP($F938,Productos!$A$2:$A1001,Productos!E$2:E1001,"")*$G938,"")</f>
        <v/>
      </c>
      <c r="M938" s="179" t="str">
        <f t="array" ref="M938">IF($F938&lt;&gt;"",XLOOKUP($F938,Productos!$A:$A,Productos!F:F,"Revisar"),"")</f>
        <v/>
      </c>
      <c r="N938" s="179" t="str">
        <f t="array" ref="N938">IF($F938&lt;&gt;"", XLOOKUP($F938,Productos!$A$2:$A1001,Productos!G$2:G1001,"")*$G938,"")</f>
        <v/>
      </c>
      <c r="O938" s="179" t="str">
        <f t="array" ref="O938">IF($F938&lt;&gt;"",XLOOKUP($F938,Productos!$A:$A,Productos!H:H,"Revisar"),"")</f>
        <v/>
      </c>
      <c r="P938" s="179" t="str">
        <f t="array" ref="P938">IF($F938&lt;&gt;"", XLOOKUP($F938,Productos!$A$2:$A1001,Productos!I$2:I1001,"")*$G938,"")</f>
        <v/>
      </c>
      <c r="Q938" s="179" t="str">
        <f t="array" ref="Q938">IF($F938&lt;&gt;"",XLOOKUP($F938,Productos!$A:$A,Productos!J:J,"Revisar"),"")</f>
        <v/>
      </c>
      <c r="R938" s="179" t="str">
        <f t="array" ref="R938">IF($F938&lt;&gt;"", XLOOKUP($F938,Productos!$A$2:$A1001,Productos!K$2:K1001,"")*$G938,"")</f>
        <v/>
      </c>
      <c r="S938" s="179" t="str">
        <f t="array" ref="S938">IF($F938&lt;&gt;"",XLOOKUP($F938,Productos!$A:$A,Productos!L:L,"Revisar"),"")</f>
        <v/>
      </c>
      <c r="T938" s="179" t="str">
        <f t="array" ref="T938">IF($F938&lt;&gt;"", XLOOKUP($F938,Productos!$A$2:$A1001,Productos!M$2:M1001,"")*$G938,"")</f>
        <v/>
      </c>
      <c r="U938" s="179" t="str">
        <f t="array" ref="U938">IF($F938&lt;&gt;"",XLOOKUP($F938,Productos!$A:$A,Productos!N:N,"Revisar"),"")</f>
        <v/>
      </c>
      <c r="V938" s="179" t="str">
        <f t="array" ref="V938">IF($F938&lt;&gt;"", XLOOKUP($F938,Productos!$A$2:$A1001,Productos!O$2:O1001,"")*$G938,"")</f>
        <v/>
      </c>
      <c r="W938" s="179" t="str">
        <f t="array" ref="W938">IF($F938&lt;&gt;"",XLOOKUP($F938,Productos!$A:$A,Productos!P:P,"Revisar"),"")</f>
        <v/>
      </c>
      <c r="X938" s="179" t="str">
        <f t="array" ref="X938">IF($F938&lt;&gt;"", XLOOKUP($F938,Productos!$A$2:$A1001,Productos!Q$2:Q1001,"")*$G938,"")</f>
        <v/>
      </c>
      <c r="Y938" s="179" t="str">
        <f t="array" ref="Y938">IF($F938&lt;&gt;"",XLOOKUP($F938,Productos!$A:$A,Productos!R:R,"Revisar"),"")</f>
        <v/>
      </c>
      <c r="Z938" s="179" t="str">
        <f t="array" ref="Z938">IF($F938&lt;&gt;"", XLOOKUP($F938,Productos!$A$2:$A1001,Productos!S$2:S1001,"")*$G938,"")</f>
        <v/>
      </c>
      <c r="AA938" s="179" t="str">
        <f t="array" ref="AA938">IF($F938&lt;&gt;"",XLOOKUP($F938,Productos!$A:$A,Productos!T:T,"Revisar"),"")</f>
        <v/>
      </c>
      <c r="AB938" s="179" t="str">
        <f t="array" ref="AB938">IF($F938&lt;&gt;"", XLOOKUP($F938,Productos!$A$2:$A1001,Productos!U$2:U1001,"")*$G938,"")</f>
        <v/>
      </c>
      <c r="AC938" s="179" t="str">
        <f t="array" ref="AC938">IF($F938&lt;&gt;"",XLOOKUP($F938,Productos!$A:$A,Productos!V:V,"Revisar"),"")</f>
        <v/>
      </c>
      <c r="AD938" s="179" t="str">
        <f t="array" ref="AD938">IF($F938&lt;&gt;"", XLOOKUP($F938,Productos!$A$2:$A1001,Productos!W$2:W1001,"")*$G938,"")</f>
        <v/>
      </c>
      <c r="AE938" s="179" t="str">
        <f t="array" ref="AE938">IF($F938&lt;&gt;"",XLOOKUP($F938,Productos!$A:$A,Productos!X:X,"Revisar"),"")</f>
        <v/>
      </c>
      <c r="AF938" s="179" t="str">
        <f t="array" ref="AF938">IF($F938&lt;&gt;"", XLOOKUP($F938,Productos!$A$2:$A1001,Productos!Y$2:Y1001,"")*$G938,"")</f>
        <v/>
      </c>
      <c r="AG938" s="179" t="str">
        <f t="array" ref="AG938">IF($F938&lt;&gt;"",XLOOKUP($F938,Productos!$A:$A,Productos!Z:Z,"Revisar"),"")</f>
        <v/>
      </c>
      <c r="AH938" s="179" t="str">
        <f t="array" ref="AH938">IF($F938&lt;&gt;"", XLOOKUP($F938,Productos!$A$2:$A1001,Productos!AA$2:AA1001,"")*$G938,"")</f>
        <v/>
      </c>
      <c r="AI938" s="179" t="str">
        <f t="array" ref="AI938">IF($F938&lt;&gt;"",XLOOKUP($F938,Productos!$A:$A,Productos!AB:AB,"Revisar"),"")</f>
        <v/>
      </c>
      <c r="AJ938" s="179" t="str">
        <f t="array" ref="AJ938">IF($F938&lt;&gt;"", XLOOKUP($F938,Productos!$A$2:$A1001,Productos!AC$2:AC1001,"")*$G938,"")</f>
        <v/>
      </c>
      <c r="AK938" s="179" t="str">
        <f t="array" ref="AK938">IF($F938&lt;&gt;"",XLOOKUP($F938,Productos!$A:$A,Productos!AD:AD,"Revisar"),"")</f>
        <v/>
      </c>
      <c r="AL938" s="179" t="str">
        <f t="array" ref="AL938">IF($F938&lt;&gt;"", XLOOKUP($F938,Productos!$A$2:$A1001,Productos!AE$2:AE1001,"")*$G938,"")</f>
        <v/>
      </c>
      <c r="AM938" s="179" t="str">
        <f t="array" ref="AM938">IF($F938&lt;&gt;"",XLOOKUP($F938,Productos!$A:$A,Productos!AF:AF,"Revisar"),"")</f>
        <v/>
      </c>
      <c r="AN938" s="179" t="str">
        <f t="array" ref="AN938">IF($F938&lt;&gt;"", XLOOKUP($F938,Productos!$A$2:$A1001,Productos!AG$2:AG1001,"")*$G938,"")</f>
        <v/>
      </c>
      <c r="AO938" s="179" t="str">
        <f t="array" ref="AO938">IF($F938&lt;&gt;"",XLOOKUP($F938,Productos!$A:$A,Productos!AH:AH,"Revisar"),"")</f>
        <v/>
      </c>
      <c r="AP938" s="179" t="str">
        <f t="array" ref="AP938">IF($F938&lt;&gt;"", XLOOKUP($F938,Productos!$A$2:$A1001,Productos!AI$2:AI1001,"")*$G938,"")</f>
        <v/>
      </c>
      <c r="AQ938" s="179" t="str">
        <f t="array" ref="AQ938">IF($F938&lt;&gt;"",XLOOKUP($F938,Productos!$A:$A,Productos!AJ:AJ,"Revisar"),"")</f>
        <v/>
      </c>
      <c r="AR938" s="179" t="str">
        <f t="array" ref="AR938">IF($F938&lt;&gt;"", XLOOKUP($F938,Productos!$A$2:$A1001,Productos!AK$2:AK1001,"")*$G938,"")</f>
        <v/>
      </c>
      <c r="AS938" s="179" t="str">
        <f t="array" ref="AS938">IF($F938&lt;&gt;"",XLOOKUP($F938,Productos!$A:$A,Productos!AL:AL,"Revisar"),"")</f>
        <v/>
      </c>
      <c r="AT938" s="179" t="str">
        <f t="array" ref="AT938">IF($F938&lt;&gt;"", XLOOKUP($F938,Productos!$A$2:$A1001,Productos!AM$2:AM1001,"")*$G938,"")</f>
        <v/>
      </c>
      <c r="AU938" s="179" t="str">
        <f t="array" ref="AU938">IF($F938&lt;&gt;"",XLOOKUP($F938,Productos!$A:$A,Productos!AN:AN,"Revisar"),"")</f>
        <v/>
      </c>
      <c r="AV938" s="179" t="str">
        <f t="array" ref="AV938">IF($F938&lt;&gt;"", XLOOKUP($F938,Productos!$A$2:$A1001,Productos!AO$2:AO1001,"")*$G938,"")</f>
        <v/>
      </c>
      <c r="AW938" s="179" t="str">
        <f t="array" ref="AW938">IF($F938&lt;&gt;"",XLOOKUP($F938,Productos!$A:$A,Productos!AP:AP,"Revisar"),"")</f>
        <v/>
      </c>
      <c r="AX938" s="179" t="str">
        <f t="array" ref="AX938">IF($F938&lt;&gt;"", XLOOKUP($F938,Productos!$A$2:$A1001,Productos!AQ$2:AQ1001,"")*$G938,"")</f>
        <v/>
      </c>
      <c r="AY938" s="179" t="str">
        <f t="array" ref="AY938">IF($F938&lt;&gt;"",XLOOKUP($F938,Productos!$A:$A,Productos!AR:AR,"Revisar"),"")</f>
        <v/>
      </c>
      <c r="AZ938" s="179" t="str">
        <f t="array" ref="AZ938">IF($F938&lt;&gt;"", XLOOKUP($F938,Productos!$A$2:$A1001,Productos!AS$2:AS1001,"")*$G938,"")</f>
        <v/>
      </c>
      <c r="BA938" s="179" t="str">
        <f t="array" ref="BA938">IF($F938&lt;&gt;"",XLOOKUP($F938,Productos!$A:$A,Productos!AT:AT,"Revisar"),"")</f>
        <v/>
      </c>
      <c r="BB938" s="179" t="str">
        <f t="array" ref="BB938">IF($F938&lt;&gt;"", XLOOKUP($F938,Productos!$A$2:$A1001,Productos!AU$2:AU1001,"")*$G938,"")</f>
        <v/>
      </c>
      <c r="BC938" s="179" t="str">
        <f t="array" ref="BC938">IF($F938&lt;&gt;"",XLOOKUP($F938,Productos!$A:$A,Productos!AV:AV,"Revisar"),"")</f>
        <v/>
      </c>
      <c r="BD938" s="179" t="str">
        <f t="array" ref="BD938">IF($F938&lt;&gt;"", XLOOKUP($F938,Productos!$A$2:$A1001,Productos!AW$2:AW1001,"")*$G938,"")</f>
        <v/>
      </c>
      <c r="BE938" s="179" t="str">
        <f t="array" ref="BE938">IF($F938&lt;&gt;"",XLOOKUP($F938,Productos!$A:$A,Productos!AX:AX,"Revisar"),"")</f>
        <v/>
      </c>
      <c r="BF938" s="179" t="str">
        <f t="array" ref="BF938">IF($F938&lt;&gt;"", XLOOKUP($F938,Productos!$A$2:$A1001,Productos!AY$2:AY1001,"")*$G938,"")</f>
        <v/>
      </c>
      <c r="BG938" s="179" t="str">
        <f t="array" ref="BG938">IF($F938&lt;&gt;"",XLOOKUP($F938,Productos!$A:$A,Productos!AZ:AZ,"Revisar"),"")</f>
        <v/>
      </c>
      <c r="BH938" s="179" t="str">
        <f t="array" ref="BH938">IF($F938&lt;&gt;"", XLOOKUP($F938,Productos!$A$2:$A1001,Productos!BA$2:BA1001,"")*$G938,"")</f>
        <v/>
      </c>
      <c r="BI938" s="179" t="str">
        <f t="array" ref="BI938">IF($F938&lt;&gt;"",XLOOKUP($F938,Productos!$A:$A,Productos!BB:BB,"Revisar"),"")</f>
        <v/>
      </c>
      <c r="BJ938" s="179" t="str">
        <f t="array" ref="BJ938">IF($F938&lt;&gt;"", XLOOKUP($F938,Productos!$A$2:$A1001,Productos!BC$2:BC1001,"")*$G938,"")</f>
        <v/>
      </c>
      <c r="BK938" s="179" t="str">
        <f t="array" ref="BK938">IF($F938&lt;&gt;"",XLOOKUP($F938,Productos!$A:$A,Productos!BD:BD,"Revisar"),"")</f>
        <v/>
      </c>
      <c r="BL938" s="179" t="str">
        <f t="array" ref="BL938">IF($F938&lt;&gt;"", XLOOKUP($F938,Productos!$A$2:$A1001,Productos!BE$2:BE1001,"")*$G938,"")</f>
        <v/>
      </c>
      <c r="BM938" s="179" t="str">
        <f t="array" ref="BM938">IF($F938&lt;&gt;"",XLOOKUP($F938,Productos!$A:$A,Productos!BF:BF,"Revisar"),"")</f>
        <v/>
      </c>
      <c r="BN938" s="179" t="str">
        <f t="array" ref="BN938">IF($F938&lt;&gt;"", XLOOKUP($F938,Productos!$A$2:$A1001,Productos!BG$2:BG1001,"")*$G938,"")</f>
        <v/>
      </c>
      <c r="BO938" s="179" t="str">
        <f t="array" ref="BO938">IF($F938&lt;&gt;"",XLOOKUP($F938,Productos!$A:$A,Productos!BH:BH,"Revisar"),"")</f>
        <v/>
      </c>
      <c r="BP938" s="179" t="str">
        <f t="array" ref="BP938">IF($F938&lt;&gt;"", XLOOKUP($F938,Productos!$A$2:$A1001,Productos!BI$2:BI1001,"")*$G938,"")</f>
        <v/>
      </c>
      <c r="BQ938" s="179" t="str">
        <f t="array" ref="BQ938">IF($F938&lt;&gt;"",XLOOKUP($F938,Productos!$A:$A,Productos!BJ:BJ,"Revisar"),"")</f>
        <v/>
      </c>
      <c r="BR938" s="179" t="str">
        <f t="array" ref="BR938">IF($F938&lt;&gt;"", XLOOKUP($F938,Productos!$A$2:$A1001,Productos!BK$2:BK1001,"")*$G938,"")</f>
        <v/>
      </c>
      <c r="BS938" s="179" t="str">
        <f t="array" ref="BS938">IF($F938&lt;&gt;"",XLOOKUP($F938,Productos!$A:$A,Productos!BL:BL,"Revisar"),"")</f>
        <v/>
      </c>
      <c r="BT938" s="179" t="str">
        <f t="array" ref="BT938">IF($F938&lt;&gt;"", XLOOKUP($F938,Productos!$A$2:$A1001,Productos!BM$2:BM1001,"")*$G938,"")</f>
        <v/>
      </c>
      <c r="BU938" s="179" t="str">
        <f t="array" ref="BU938">IF($F938&lt;&gt;"",XLOOKUP($F938,Productos!$A:$A,Productos!BN:BN,"Revisar"),"")</f>
        <v/>
      </c>
      <c r="BV938" s="179" t="str">
        <f t="array" ref="BV938">IF($F938&lt;&gt;"", XLOOKUP($F938,Productos!$A$2:$A1001,Productos!BO$2:BO1001,"")*$G938,"")</f>
        <v/>
      </c>
      <c r="BW938" s="179" t="str">
        <f t="array" ref="BW938">IF($F938&lt;&gt;"",XLOOKUP($F938,Productos!$A:$A,Productos!BP:BP,"Revisar"),"")</f>
        <v/>
      </c>
      <c r="BX938" s="179" t="str">
        <f t="array" ref="BX938">IF($F938&lt;&gt;"", XLOOKUP($F938,Productos!$A$2:$A1001,Productos!BQ$2:BQ1001,"")*$G938,"")</f>
        <v/>
      </c>
      <c r="BY938" s="179" t="str">
        <f t="array" ref="BY938">IF($F938&lt;&gt;"",XLOOKUP($F938,Productos!$A:$A,Productos!BR:BR,"Revisar"),"")</f>
        <v/>
      </c>
      <c r="BZ938" s="179" t="str">
        <f t="array" ref="BZ938">IF($F938&lt;&gt;"", XLOOKUP($F938,Productos!$A$2:$A1001,Productos!BS$2:BS1001,"")*$G938,"")</f>
        <v/>
      </c>
    </row>
    <row r="939">
      <c r="A939" s="188"/>
      <c r="B939" s="189"/>
      <c r="C939" s="190"/>
      <c r="D939" s="190"/>
      <c r="E939" s="191"/>
      <c r="F939" s="186"/>
      <c r="G939" s="192"/>
      <c r="H939" s="9"/>
      <c r="I939" s="179" t="str">
        <f t="array" ref="I939">IF($F939&lt;&gt;"",XLOOKUP($F939,Productos!$A:$A,Productos!B:B,"Revisar"),"")</f>
        <v/>
      </c>
      <c r="J939" s="179" t="str">
        <f t="array" ref="J939">IF($F939&lt;&gt;"", XLOOKUP($F939,Productos!$A$2:$A1001,Productos!C$2:C1001,"")*$G939,"")</f>
        <v/>
      </c>
      <c r="K939" s="179" t="str">
        <f t="array" ref="K939">IF($F939&lt;&gt;"",XLOOKUP($F939,Productos!$A:$A,Productos!D:D,"Revisar"),"")</f>
        <v/>
      </c>
      <c r="L939" s="179" t="str">
        <f t="array" ref="L939">IF($F939&lt;&gt;"", XLOOKUP($F939,Productos!$A$2:$A1001,Productos!E$2:E1001,"")*$G939,"")</f>
        <v/>
      </c>
      <c r="M939" s="179" t="str">
        <f t="array" ref="M939">IF($F939&lt;&gt;"",XLOOKUP($F939,Productos!$A:$A,Productos!F:F,"Revisar"),"")</f>
        <v/>
      </c>
      <c r="N939" s="179" t="str">
        <f t="array" ref="N939">IF($F939&lt;&gt;"", XLOOKUP($F939,Productos!$A$2:$A1001,Productos!G$2:G1001,"")*$G939,"")</f>
        <v/>
      </c>
      <c r="O939" s="179" t="str">
        <f t="array" ref="O939">IF($F939&lt;&gt;"",XLOOKUP($F939,Productos!$A:$A,Productos!H:H,"Revisar"),"")</f>
        <v/>
      </c>
      <c r="P939" s="179" t="str">
        <f t="array" ref="P939">IF($F939&lt;&gt;"", XLOOKUP($F939,Productos!$A$2:$A1001,Productos!I$2:I1001,"")*$G939,"")</f>
        <v/>
      </c>
      <c r="Q939" s="179" t="str">
        <f t="array" ref="Q939">IF($F939&lt;&gt;"",XLOOKUP($F939,Productos!$A:$A,Productos!J:J,"Revisar"),"")</f>
        <v/>
      </c>
      <c r="R939" s="179" t="str">
        <f t="array" ref="R939">IF($F939&lt;&gt;"", XLOOKUP($F939,Productos!$A$2:$A1001,Productos!K$2:K1001,"")*$G939,"")</f>
        <v/>
      </c>
      <c r="S939" s="179" t="str">
        <f t="array" ref="S939">IF($F939&lt;&gt;"",XLOOKUP($F939,Productos!$A:$A,Productos!L:L,"Revisar"),"")</f>
        <v/>
      </c>
      <c r="T939" s="179" t="str">
        <f t="array" ref="T939">IF($F939&lt;&gt;"", XLOOKUP($F939,Productos!$A$2:$A1001,Productos!M$2:M1001,"")*$G939,"")</f>
        <v/>
      </c>
      <c r="U939" s="179" t="str">
        <f t="array" ref="U939">IF($F939&lt;&gt;"",XLOOKUP($F939,Productos!$A:$A,Productos!N:N,"Revisar"),"")</f>
        <v/>
      </c>
      <c r="V939" s="179" t="str">
        <f t="array" ref="V939">IF($F939&lt;&gt;"", XLOOKUP($F939,Productos!$A$2:$A1001,Productos!O$2:O1001,"")*$G939,"")</f>
        <v/>
      </c>
      <c r="W939" s="179" t="str">
        <f t="array" ref="W939">IF($F939&lt;&gt;"",XLOOKUP($F939,Productos!$A:$A,Productos!P:P,"Revisar"),"")</f>
        <v/>
      </c>
      <c r="X939" s="179" t="str">
        <f t="array" ref="X939">IF($F939&lt;&gt;"", XLOOKUP($F939,Productos!$A$2:$A1001,Productos!Q$2:Q1001,"")*$G939,"")</f>
        <v/>
      </c>
      <c r="Y939" s="179" t="str">
        <f t="array" ref="Y939">IF($F939&lt;&gt;"",XLOOKUP($F939,Productos!$A:$A,Productos!R:R,"Revisar"),"")</f>
        <v/>
      </c>
      <c r="Z939" s="179" t="str">
        <f t="array" ref="Z939">IF($F939&lt;&gt;"", XLOOKUP($F939,Productos!$A$2:$A1001,Productos!S$2:S1001,"")*$G939,"")</f>
        <v/>
      </c>
      <c r="AA939" s="179" t="str">
        <f t="array" ref="AA939">IF($F939&lt;&gt;"",XLOOKUP($F939,Productos!$A:$A,Productos!T:T,"Revisar"),"")</f>
        <v/>
      </c>
      <c r="AB939" s="179" t="str">
        <f t="array" ref="AB939">IF($F939&lt;&gt;"", XLOOKUP($F939,Productos!$A$2:$A1001,Productos!U$2:U1001,"")*$G939,"")</f>
        <v/>
      </c>
      <c r="AC939" s="179" t="str">
        <f t="array" ref="AC939">IF($F939&lt;&gt;"",XLOOKUP($F939,Productos!$A:$A,Productos!V:V,"Revisar"),"")</f>
        <v/>
      </c>
      <c r="AD939" s="179" t="str">
        <f t="array" ref="AD939">IF($F939&lt;&gt;"", XLOOKUP($F939,Productos!$A$2:$A1001,Productos!W$2:W1001,"")*$G939,"")</f>
        <v/>
      </c>
      <c r="AE939" s="179" t="str">
        <f t="array" ref="AE939">IF($F939&lt;&gt;"",XLOOKUP($F939,Productos!$A:$A,Productos!X:X,"Revisar"),"")</f>
        <v/>
      </c>
      <c r="AF939" s="179" t="str">
        <f t="array" ref="AF939">IF($F939&lt;&gt;"", XLOOKUP($F939,Productos!$A$2:$A1001,Productos!Y$2:Y1001,"")*$G939,"")</f>
        <v/>
      </c>
      <c r="AG939" s="179" t="str">
        <f t="array" ref="AG939">IF($F939&lt;&gt;"",XLOOKUP($F939,Productos!$A:$A,Productos!Z:Z,"Revisar"),"")</f>
        <v/>
      </c>
      <c r="AH939" s="179" t="str">
        <f t="array" ref="AH939">IF($F939&lt;&gt;"", XLOOKUP($F939,Productos!$A$2:$A1001,Productos!AA$2:AA1001,"")*$G939,"")</f>
        <v/>
      </c>
      <c r="AI939" s="179" t="str">
        <f t="array" ref="AI939">IF($F939&lt;&gt;"",XLOOKUP($F939,Productos!$A:$A,Productos!AB:AB,"Revisar"),"")</f>
        <v/>
      </c>
      <c r="AJ939" s="179" t="str">
        <f t="array" ref="AJ939">IF($F939&lt;&gt;"", XLOOKUP($F939,Productos!$A$2:$A1001,Productos!AC$2:AC1001,"")*$G939,"")</f>
        <v/>
      </c>
      <c r="AK939" s="179" t="str">
        <f t="array" ref="AK939">IF($F939&lt;&gt;"",XLOOKUP($F939,Productos!$A:$A,Productos!AD:AD,"Revisar"),"")</f>
        <v/>
      </c>
      <c r="AL939" s="179" t="str">
        <f t="array" ref="AL939">IF($F939&lt;&gt;"", XLOOKUP($F939,Productos!$A$2:$A1001,Productos!AE$2:AE1001,"")*$G939,"")</f>
        <v/>
      </c>
      <c r="AM939" s="179" t="str">
        <f t="array" ref="AM939">IF($F939&lt;&gt;"",XLOOKUP($F939,Productos!$A:$A,Productos!AF:AF,"Revisar"),"")</f>
        <v/>
      </c>
      <c r="AN939" s="179" t="str">
        <f t="array" ref="AN939">IF($F939&lt;&gt;"", XLOOKUP($F939,Productos!$A$2:$A1001,Productos!AG$2:AG1001,"")*$G939,"")</f>
        <v/>
      </c>
      <c r="AO939" s="179" t="str">
        <f t="array" ref="AO939">IF($F939&lt;&gt;"",XLOOKUP($F939,Productos!$A:$A,Productos!AH:AH,"Revisar"),"")</f>
        <v/>
      </c>
      <c r="AP939" s="179" t="str">
        <f t="array" ref="AP939">IF($F939&lt;&gt;"", XLOOKUP($F939,Productos!$A$2:$A1001,Productos!AI$2:AI1001,"")*$G939,"")</f>
        <v/>
      </c>
      <c r="AQ939" s="179" t="str">
        <f t="array" ref="AQ939">IF($F939&lt;&gt;"",XLOOKUP($F939,Productos!$A:$A,Productos!AJ:AJ,"Revisar"),"")</f>
        <v/>
      </c>
      <c r="AR939" s="179" t="str">
        <f t="array" ref="AR939">IF($F939&lt;&gt;"", XLOOKUP($F939,Productos!$A$2:$A1001,Productos!AK$2:AK1001,"")*$G939,"")</f>
        <v/>
      </c>
      <c r="AS939" s="179" t="str">
        <f t="array" ref="AS939">IF($F939&lt;&gt;"",XLOOKUP($F939,Productos!$A:$A,Productos!AL:AL,"Revisar"),"")</f>
        <v/>
      </c>
      <c r="AT939" s="179" t="str">
        <f t="array" ref="AT939">IF($F939&lt;&gt;"", XLOOKUP($F939,Productos!$A$2:$A1001,Productos!AM$2:AM1001,"")*$G939,"")</f>
        <v/>
      </c>
      <c r="AU939" s="179" t="str">
        <f t="array" ref="AU939">IF($F939&lt;&gt;"",XLOOKUP($F939,Productos!$A:$A,Productos!AN:AN,"Revisar"),"")</f>
        <v/>
      </c>
      <c r="AV939" s="179" t="str">
        <f t="array" ref="AV939">IF($F939&lt;&gt;"", XLOOKUP($F939,Productos!$A$2:$A1001,Productos!AO$2:AO1001,"")*$G939,"")</f>
        <v/>
      </c>
      <c r="AW939" s="179" t="str">
        <f t="array" ref="AW939">IF($F939&lt;&gt;"",XLOOKUP($F939,Productos!$A:$A,Productos!AP:AP,"Revisar"),"")</f>
        <v/>
      </c>
      <c r="AX939" s="179" t="str">
        <f t="array" ref="AX939">IF($F939&lt;&gt;"", XLOOKUP($F939,Productos!$A$2:$A1001,Productos!AQ$2:AQ1001,"")*$G939,"")</f>
        <v/>
      </c>
      <c r="AY939" s="179" t="str">
        <f t="array" ref="AY939">IF($F939&lt;&gt;"",XLOOKUP($F939,Productos!$A:$A,Productos!AR:AR,"Revisar"),"")</f>
        <v/>
      </c>
      <c r="AZ939" s="179" t="str">
        <f t="array" ref="AZ939">IF($F939&lt;&gt;"", XLOOKUP($F939,Productos!$A$2:$A1001,Productos!AS$2:AS1001,"")*$G939,"")</f>
        <v/>
      </c>
      <c r="BA939" s="179" t="str">
        <f t="array" ref="BA939">IF($F939&lt;&gt;"",XLOOKUP($F939,Productos!$A:$A,Productos!AT:AT,"Revisar"),"")</f>
        <v/>
      </c>
      <c r="BB939" s="179" t="str">
        <f t="array" ref="BB939">IF($F939&lt;&gt;"", XLOOKUP($F939,Productos!$A$2:$A1001,Productos!AU$2:AU1001,"")*$G939,"")</f>
        <v/>
      </c>
      <c r="BC939" s="179" t="str">
        <f t="array" ref="BC939">IF($F939&lt;&gt;"",XLOOKUP($F939,Productos!$A:$A,Productos!AV:AV,"Revisar"),"")</f>
        <v/>
      </c>
      <c r="BD939" s="179" t="str">
        <f t="array" ref="BD939">IF($F939&lt;&gt;"", XLOOKUP($F939,Productos!$A$2:$A1001,Productos!AW$2:AW1001,"")*$G939,"")</f>
        <v/>
      </c>
      <c r="BE939" s="179" t="str">
        <f t="array" ref="BE939">IF($F939&lt;&gt;"",XLOOKUP($F939,Productos!$A:$A,Productos!AX:AX,"Revisar"),"")</f>
        <v/>
      </c>
      <c r="BF939" s="179" t="str">
        <f t="array" ref="BF939">IF($F939&lt;&gt;"", XLOOKUP($F939,Productos!$A$2:$A1001,Productos!AY$2:AY1001,"")*$G939,"")</f>
        <v/>
      </c>
      <c r="BG939" s="179" t="str">
        <f t="array" ref="BG939">IF($F939&lt;&gt;"",XLOOKUP($F939,Productos!$A:$A,Productos!AZ:AZ,"Revisar"),"")</f>
        <v/>
      </c>
      <c r="BH939" s="179" t="str">
        <f t="array" ref="BH939">IF($F939&lt;&gt;"", XLOOKUP($F939,Productos!$A$2:$A1001,Productos!BA$2:BA1001,"")*$G939,"")</f>
        <v/>
      </c>
      <c r="BI939" s="179" t="str">
        <f t="array" ref="BI939">IF($F939&lt;&gt;"",XLOOKUP($F939,Productos!$A:$A,Productos!BB:BB,"Revisar"),"")</f>
        <v/>
      </c>
      <c r="BJ939" s="179" t="str">
        <f t="array" ref="BJ939">IF($F939&lt;&gt;"", XLOOKUP($F939,Productos!$A$2:$A1001,Productos!BC$2:BC1001,"")*$G939,"")</f>
        <v/>
      </c>
      <c r="BK939" s="179" t="str">
        <f t="array" ref="BK939">IF($F939&lt;&gt;"",XLOOKUP($F939,Productos!$A:$A,Productos!BD:BD,"Revisar"),"")</f>
        <v/>
      </c>
      <c r="BL939" s="179" t="str">
        <f t="array" ref="BL939">IF($F939&lt;&gt;"", XLOOKUP($F939,Productos!$A$2:$A1001,Productos!BE$2:BE1001,"")*$G939,"")</f>
        <v/>
      </c>
      <c r="BM939" s="179" t="str">
        <f t="array" ref="BM939">IF($F939&lt;&gt;"",XLOOKUP($F939,Productos!$A:$A,Productos!BF:BF,"Revisar"),"")</f>
        <v/>
      </c>
      <c r="BN939" s="179" t="str">
        <f t="array" ref="BN939">IF($F939&lt;&gt;"", XLOOKUP($F939,Productos!$A$2:$A1001,Productos!BG$2:BG1001,"")*$G939,"")</f>
        <v/>
      </c>
      <c r="BO939" s="179" t="str">
        <f t="array" ref="BO939">IF($F939&lt;&gt;"",XLOOKUP($F939,Productos!$A:$A,Productos!BH:BH,"Revisar"),"")</f>
        <v/>
      </c>
      <c r="BP939" s="179" t="str">
        <f t="array" ref="BP939">IF($F939&lt;&gt;"", XLOOKUP($F939,Productos!$A$2:$A1001,Productos!BI$2:BI1001,"")*$G939,"")</f>
        <v/>
      </c>
      <c r="BQ939" s="179" t="str">
        <f t="array" ref="BQ939">IF($F939&lt;&gt;"",XLOOKUP($F939,Productos!$A:$A,Productos!BJ:BJ,"Revisar"),"")</f>
        <v/>
      </c>
      <c r="BR939" s="179" t="str">
        <f t="array" ref="BR939">IF($F939&lt;&gt;"", XLOOKUP($F939,Productos!$A$2:$A1001,Productos!BK$2:BK1001,"")*$G939,"")</f>
        <v/>
      </c>
      <c r="BS939" s="179" t="str">
        <f t="array" ref="BS939">IF($F939&lt;&gt;"",XLOOKUP($F939,Productos!$A:$A,Productos!BL:BL,"Revisar"),"")</f>
        <v/>
      </c>
      <c r="BT939" s="179" t="str">
        <f t="array" ref="BT939">IF($F939&lt;&gt;"", XLOOKUP($F939,Productos!$A$2:$A1001,Productos!BM$2:BM1001,"")*$G939,"")</f>
        <v/>
      </c>
      <c r="BU939" s="179" t="str">
        <f t="array" ref="BU939">IF($F939&lt;&gt;"",XLOOKUP($F939,Productos!$A:$A,Productos!BN:BN,"Revisar"),"")</f>
        <v/>
      </c>
      <c r="BV939" s="179" t="str">
        <f t="array" ref="BV939">IF($F939&lt;&gt;"", XLOOKUP($F939,Productos!$A$2:$A1001,Productos!BO$2:BO1001,"")*$G939,"")</f>
        <v/>
      </c>
      <c r="BW939" s="179" t="str">
        <f t="array" ref="BW939">IF($F939&lt;&gt;"",XLOOKUP($F939,Productos!$A:$A,Productos!BP:BP,"Revisar"),"")</f>
        <v/>
      </c>
      <c r="BX939" s="179" t="str">
        <f t="array" ref="BX939">IF($F939&lt;&gt;"", XLOOKUP($F939,Productos!$A$2:$A1001,Productos!BQ$2:BQ1001,"")*$G939,"")</f>
        <v/>
      </c>
      <c r="BY939" s="179" t="str">
        <f t="array" ref="BY939">IF($F939&lt;&gt;"",XLOOKUP($F939,Productos!$A:$A,Productos!BR:BR,"Revisar"),"")</f>
        <v/>
      </c>
      <c r="BZ939" s="179" t="str">
        <f t="array" ref="BZ939">IF($F939&lt;&gt;"", XLOOKUP($F939,Productos!$A$2:$A1001,Productos!BS$2:BS1001,"")*$G939,"")</f>
        <v/>
      </c>
    </row>
    <row r="940">
      <c r="A940" s="188"/>
      <c r="B940" s="189"/>
      <c r="C940" s="190"/>
      <c r="D940" s="190"/>
      <c r="E940" s="191"/>
      <c r="F940" s="186"/>
      <c r="G940" s="192"/>
      <c r="H940" s="9"/>
      <c r="I940" s="179" t="str">
        <f t="array" ref="I940">IF($F940&lt;&gt;"",XLOOKUP($F940,Productos!$A:$A,Productos!B:B,"Revisar"),"")</f>
        <v/>
      </c>
      <c r="J940" s="179" t="str">
        <f t="array" ref="J940">IF($F940&lt;&gt;"", XLOOKUP($F940,Productos!$A$2:$A1001,Productos!C$2:C1001,"")*$G940,"")</f>
        <v/>
      </c>
      <c r="K940" s="179" t="str">
        <f t="array" ref="K940">IF($F940&lt;&gt;"",XLOOKUP($F940,Productos!$A:$A,Productos!D:D,"Revisar"),"")</f>
        <v/>
      </c>
      <c r="L940" s="179" t="str">
        <f t="array" ref="L940">IF($F940&lt;&gt;"", XLOOKUP($F940,Productos!$A$2:$A1001,Productos!E$2:E1001,"")*$G940,"")</f>
        <v/>
      </c>
      <c r="M940" s="179" t="str">
        <f t="array" ref="M940">IF($F940&lt;&gt;"",XLOOKUP($F940,Productos!$A:$A,Productos!F:F,"Revisar"),"")</f>
        <v/>
      </c>
      <c r="N940" s="179" t="str">
        <f t="array" ref="N940">IF($F940&lt;&gt;"", XLOOKUP($F940,Productos!$A$2:$A1001,Productos!G$2:G1001,"")*$G940,"")</f>
        <v/>
      </c>
      <c r="O940" s="179" t="str">
        <f t="array" ref="O940">IF($F940&lt;&gt;"",XLOOKUP($F940,Productos!$A:$A,Productos!H:H,"Revisar"),"")</f>
        <v/>
      </c>
      <c r="P940" s="179" t="str">
        <f t="array" ref="P940">IF($F940&lt;&gt;"", XLOOKUP($F940,Productos!$A$2:$A1001,Productos!I$2:I1001,"")*$G940,"")</f>
        <v/>
      </c>
      <c r="Q940" s="179" t="str">
        <f t="array" ref="Q940">IF($F940&lt;&gt;"",XLOOKUP($F940,Productos!$A:$A,Productos!J:J,"Revisar"),"")</f>
        <v/>
      </c>
      <c r="R940" s="179" t="str">
        <f t="array" ref="R940">IF($F940&lt;&gt;"", XLOOKUP($F940,Productos!$A$2:$A1001,Productos!K$2:K1001,"")*$G940,"")</f>
        <v/>
      </c>
      <c r="S940" s="179" t="str">
        <f t="array" ref="S940">IF($F940&lt;&gt;"",XLOOKUP($F940,Productos!$A:$A,Productos!L:L,"Revisar"),"")</f>
        <v/>
      </c>
      <c r="T940" s="179" t="str">
        <f t="array" ref="T940">IF($F940&lt;&gt;"", XLOOKUP($F940,Productos!$A$2:$A1001,Productos!M$2:M1001,"")*$G940,"")</f>
        <v/>
      </c>
      <c r="U940" s="179" t="str">
        <f t="array" ref="U940">IF($F940&lt;&gt;"",XLOOKUP($F940,Productos!$A:$A,Productos!N:N,"Revisar"),"")</f>
        <v/>
      </c>
      <c r="V940" s="179" t="str">
        <f t="array" ref="V940">IF($F940&lt;&gt;"", XLOOKUP($F940,Productos!$A$2:$A1001,Productos!O$2:O1001,"")*$G940,"")</f>
        <v/>
      </c>
      <c r="W940" s="179" t="str">
        <f t="array" ref="W940">IF($F940&lt;&gt;"",XLOOKUP($F940,Productos!$A:$A,Productos!P:P,"Revisar"),"")</f>
        <v/>
      </c>
      <c r="X940" s="179" t="str">
        <f t="array" ref="X940">IF($F940&lt;&gt;"", XLOOKUP($F940,Productos!$A$2:$A1001,Productos!Q$2:Q1001,"")*$G940,"")</f>
        <v/>
      </c>
      <c r="Y940" s="179" t="str">
        <f t="array" ref="Y940">IF($F940&lt;&gt;"",XLOOKUP($F940,Productos!$A:$A,Productos!R:R,"Revisar"),"")</f>
        <v/>
      </c>
      <c r="Z940" s="179" t="str">
        <f t="array" ref="Z940">IF($F940&lt;&gt;"", XLOOKUP($F940,Productos!$A$2:$A1001,Productos!S$2:S1001,"")*$G940,"")</f>
        <v/>
      </c>
      <c r="AA940" s="179" t="str">
        <f t="array" ref="AA940">IF($F940&lt;&gt;"",XLOOKUP($F940,Productos!$A:$A,Productos!T:T,"Revisar"),"")</f>
        <v/>
      </c>
      <c r="AB940" s="179" t="str">
        <f t="array" ref="AB940">IF($F940&lt;&gt;"", XLOOKUP($F940,Productos!$A$2:$A1001,Productos!U$2:U1001,"")*$G940,"")</f>
        <v/>
      </c>
      <c r="AC940" s="179" t="str">
        <f t="array" ref="AC940">IF($F940&lt;&gt;"",XLOOKUP($F940,Productos!$A:$A,Productos!V:V,"Revisar"),"")</f>
        <v/>
      </c>
      <c r="AD940" s="179" t="str">
        <f t="array" ref="AD940">IF($F940&lt;&gt;"", XLOOKUP($F940,Productos!$A$2:$A1001,Productos!W$2:W1001,"")*$G940,"")</f>
        <v/>
      </c>
      <c r="AE940" s="179" t="str">
        <f t="array" ref="AE940">IF($F940&lt;&gt;"",XLOOKUP($F940,Productos!$A:$A,Productos!X:X,"Revisar"),"")</f>
        <v/>
      </c>
      <c r="AF940" s="179" t="str">
        <f t="array" ref="AF940">IF($F940&lt;&gt;"", XLOOKUP($F940,Productos!$A$2:$A1001,Productos!Y$2:Y1001,"")*$G940,"")</f>
        <v/>
      </c>
      <c r="AG940" s="179" t="str">
        <f t="array" ref="AG940">IF($F940&lt;&gt;"",XLOOKUP($F940,Productos!$A:$A,Productos!Z:Z,"Revisar"),"")</f>
        <v/>
      </c>
      <c r="AH940" s="179" t="str">
        <f t="array" ref="AH940">IF($F940&lt;&gt;"", XLOOKUP($F940,Productos!$A$2:$A1001,Productos!AA$2:AA1001,"")*$G940,"")</f>
        <v/>
      </c>
      <c r="AI940" s="179" t="str">
        <f t="array" ref="AI940">IF($F940&lt;&gt;"",XLOOKUP($F940,Productos!$A:$A,Productos!AB:AB,"Revisar"),"")</f>
        <v/>
      </c>
      <c r="AJ940" s="179" t="str">
        <f t="array" ref="AJ940">IF($F940&lt;&gt;"", XLOOKUP($F940,Productos!$A$2:$A1001,Productos!AC$2:AC1001,"")*$G940,"")</f>
        <v/>
      </c>
      <c r="AK940" s="179" t="str">
        <f t="array" ref="AK940">IF($F940&lt;&gt;"",XLOOKUP($F940,Productos!$A:$A,Productos!AD:AD,"Revisar"),"")</f>
        <v/>
      </c>
      <c r="AL940" s="179" t="str">
        <f t="array" ref="AL940">IF($F940&lt;&gt;"", XLOOKUP($F940,Productos!$A$2:$A1001,Productos!AE$2:AE1001,"")*$G940,"")</f>
        <v/>
      </c>
      <c r="AM940" s="179" t="str">
        <f t="array" ref="AM940">IF($F940&lt;&gt;"",XLOOKUP($F940,Productos!$A:$A,Productos!AF:AF,"Revisar"),"")</f>
        <v/>
      </c>
      <c r="AN940" s="179" t="str">
        <f t="array" ref="AN940">IF($F940&lt;&gt;"", XLOOKUP($F940,Productos!$A$2:$A1001,Productos!AG$2:AG1001,"")*$G940,"")</f>
        <v/>
      </c>
      <c r="AO940" s="179" t="str">
        <f t="array" ref="AO940">IF($F940&lt;&gt;"",XLOOKUP($F940,Productos!$A:$A,Productos!AH:AH,"Revisar"),"")</f>
        <v/>
      </c>
      <c r="AP940" s="179" t="str">
        <f t="array" ref="AP940">IF($F940&lt;&gt;"", XLOOKUP($F940,Productos!$A$2:$A1001,Productos!AI$2:AI1001,"")*$G940,"")</f>
        <v/>
      </c>
      <c r="AQ940" s="179" t="str">
        <f t="array" ref="AQ940">IF($F940&lt;&gt;"",XLOOKUP($F940,Productos!$A:$A,Productos!AJ:AJ,"Revisar"),"")</f>
        <v/>
      </c>
      <c r="AR940" s="179" t="str">
        <f t="array" ref="AR940">IF($F940&lt;&gt;"", XLOOKUP($F940,Productos!$A$2:$A1001,Productos!AK$2:AK1001,"")*$G940,"")</f>
        <v/>
      </c>
      <c r="AS940" s="179" t="str">
        <f t="array" ref="AS940">IF($F940&lt;&gt;"",XLOOKUP($F940,Productos!$A:$A,Productos!AL:AL,"Revisar"),"")</f>
        <v/>
      </c>
      <c r="AT940" s="179" t="str">
        <f t="array" ref="AT940">IF($F940&lt;&gt;"", XLOOKUP($F940,Productos!$A$2:$A1001,Productos!AM$2:AM1001,"")*$G940,"")</f>
        <v/>
      </c>
      <c r="AU940" s="179" t="str">
        <f t="array" ref="AU940">IF($F940&lt;&gt;"",XLOOKUP($F940,Productos!$A:$A,Productos!AN:AN,"Revisar"),"")</f>
        <v/>
      </c>
      <c r="AV940" s="179" t="str">
        <f t="array" ref="AV940">IF($F940&lt;&gt;"", XLOOKUP($F940,Productos!$A$2:$A1001,Productos!AO$2:AO1001,"")*$G940,"")</f>
        <v/>
      </c>
      <c r="AW940" s="179" t="str">
        <f t="array" ref="AW940">IF($F940&lt;&gt;"",XLOOKUP($F940,Productos!$A:$A,Productos!AP:AP,"Revisar"),"")</f>
        <v/>
      </c>
      <c r="AX940" s="179" t="str">
        <f t="array" ref="AX940">IF($F940&lt;&gt;"", XLOOKUP($F940,Productos!$A$2:$A1001,Productos!AQ$2:AQ1001,"")*$G940,"")</f>
        <v/>
      </c>
      <c r="AY940" s="179" t="str">
        <f t="array" ref="AY940">IF($F940&lt;&gt;"",XLOOKUP($F940,Productos!$A:$A,Productos!AR:AR,"Revisar"),"")</f>
        <v/>
      </c>
      <c r="AZ940" s="179" t="str">
        <f t="array" ref="AZ940">IF($F940&lt;&gt;"", XLOOKUP($F940,Productos!$A$2:$A1001,Productos!AS$2:AS1001,"")*$G940,"")</f>
        <v/>
      </c>
      <c r="BA940" s="179" t="str">
        <f t="array" ref="BA940">IF($F940&lt;&gt;"",XLOOKUP($F940,Productos!$A:$A,Productos!AT:AT,"Revisar"),"")</f>
        <v/>
      </c>
      <c r="BB940" s="179" t="str">
        <f t="array" ref="BB940">IF($F940&lt;&gt;"", XLOOKUP($F940,Productos!$A$2:$A1001,Productos!AU$2:AU1001,"")*$G940,"")</f>
        <v/>
      </c>
      <c r="BC940" s="179" t="str">
        <f t="array" ref="BC940">IF($F940&lt;&gt;"",XLOOKUP($F940,Productos!$A:$A,Productos!AV:AV,"Revisar"),"")</f>
        <v/>
      </c>
      <c r="BD940" s="179" t="str">
        <f t="array" ref="BD940">IF($F940&lt;&gt;"", XLOOKUP($F940,Productos!$A$2:$A1001,Productos!AW$2:AW1001,"")*$G940,"")</f>
        <v/>
      </c>
      <c r="BE940" s="179" t="str">
        <f t="array" ref="BE940">IF($F940&lt;&gt;"",XLOOKUP($F940,Productos!$A:$A,Productos!AX:AX,"Revisar"),"")</f>
        <v/>
      </c>
      <c r="BF940" s="179" t="str">
        <f t="array" ref="BF940">IF($F940&lt;&gt;"", XLOOKUP($F940,Productos!$A$2:$A1001,Productos!AY$2:AY1001,"")*$G940,"")</f>
        <v/>
      </c>
      <c r="BG940" s="179" t="str">
        <f t="array" ref="BG940">IF($F940&lt;&gt;"",XLOOKUP($F940,Productos!$A:$A,Productos!AZ:AZ,"Revisar"),"")</f>
        <v/>
      </c>
      <c r="BH940" s="179" t="str">
        <f t="array" ref="BH940">IF($F940&lt;&gt;"", XLOOKUP($F940,Productos!$A$2:$A1001,Productos!BA$2:BA1001,"")*$G940,"")</f>
        <v/>
      </c>
      <c r="BI940" s="179" t="str">
        <f t="array" ref="BI940">IF($F940&lt;&gt;"",XLOOKUP($F940,Productos!$A:$A,Productos!BB:BB,"Revisar"),"")</f>
        <v/>
      </c>
      <c r="BJ940" s="179" t="str">
        <f t="array" ref="BJ940">IF($F940&lt;&gt;"", XLOOKUP($F940,Productos!$A$2:$A1001,Productos!BC$2:BC1001,"")*$G940,"")</f>
        <v/>
      </c>
      <c r="BK940" s="179" t="str">
        <f t="array" ref="BK940">IF($F940&lt;&gt;"",XLOOKUP($F940,Productos!$A:$A,Productos!BD:BD,"Revisar"),"")</f>
        <v/>
      </c>
      <c r="BL940" s="179" t="str">
        <f t="array" ref="BL940">IF($F940&lt;&gt;"", XLOOKUP($F940,Productos!$A$2:$A1001,Productos!BE$2:BE1001,"")*$G940,"")</f>
        <v/>
      </c>
      <c r="BM940" s="179" t="str">
        <f t="array" ref="BM940">IF($F940&lt;&gt;"",XLOOKUP($F940,Productos!$A:$A,Productos!BF:BF,"Revisar"),"")</f>
        <v/>
      </c>
      <c r="BN940" s="179" t="str">
        <f t="array" ref="BN940">IF($F940&lt;&gt;"", XLOOKUP($F940,Productos!$A$2:$A1001,Productos!BG$2:BG1001,"")*$G940,"")</f>
        <v/>
      </c>
      <c r="BO940" s="179" t="str">
        <f t="array" ref="BO940">IF($F940&lt;&gt;"",XLOOKUP($F940,Productos!$A:$A,Productos!BH:BH,"Revisar"),"")</f>
        <v/>
      </c>
      <c r="BP940" s="179" t="str">
        <f t="array" ref="BP940">IF($F940&lt;&gt;"", XLOOKUP($F940,Productos!$A$2:$A1001,Productos!BI$2:BI1001,"")*$G940,"")</f>
        <v/>
      </c>
      <c r="BQ940" s="179" t="str">
        <f t="array" ref="BQ940">IF($F940&lt;&gt;"",XLOOKUP($F940,Productos!$A:$A,Productos!BJ:BJ,"Revisar"),"")</f>
        <v/>
      </c>
      <c r="BR940" s="179" t="str">
        <f t="array" ref="BR940">IF($F940&lt;&gt;"", XLOOKUP($F940,Productos!$A$2:$A1001,Productos!BK$2:BK1001,"")*$G940,"")</f>
        <v/>
      </c>
      <c r="BS940" s="179" t="str">
        <f t="array" ref="BS940">IF($F940&lt;&gt;"",XLOOKUP($F940,Productos!$A:$A,Productos!BL:BL,"Revisar"),"")</f>
        <v/>
      </c>
      <c r="BT940" s="179" t="str">
        <f t="array" ref="BT940">IF($F940&lt;&gt;"", XLOOKUP($F940,Productos!$A$2:$A1001,Productos!BM$2:BM1001,"")*$G940,"")</f>
        <v/>
      </c>
      <c r="BU940" s="179" t="str">
        <f t="array" ref="BU940">IF($F940&lt;&gt;"",XLOOKUP($F940,Productos!$A:$A,Productos!BN:BN,"Revisar"),"")</f>
        <v/>
      </c>
      <c r="BV940" s="179" t="str">
        <f t="array" ref="BV940">IF($F940&lt;&gt;"", XLOOKUP($F940,Productos!$A$2:$A1001,Productos!BO$2:BO1001,"")*$G940,"")</f>
        <v/>
      </c>
      <c r="BW940" s="179" t="str">
        <f t="array" ref="BW940">IF($F940&lt;&gt;"",XLOOKUP($F940,Productos!$A:$A,Productos!BP:BP,"Revisar"),"")</f>
        <v/>
      </c>
      <c r="BX940" s="179" t="str">
        <f t="array" ref="BX940">IF($F940&lt;&gt;"", XLOOKUP($F940,Productos!$A$2:$A1001,Productos!BQ$2:BQ1001,"")*$G940,"")</f>
        <v/>
      </c>
      <c r="BY940" s="179" t="str">
        <f t="array" ref="BY940">IF($F940&lt;&gt;"",XLOOKUP($F940,Productos!$A:$A,Productos!BR:BR,"Revisar"),"")</f>
        <v/>
      </c>
      <c r="BZ940" s="179" t="str">
        <f t="array" ref="BZ940">IF($F940&lt;&gt;"", XLOOKUP($F940,Productos!$A$2:$A1001,Productos!BS$2:BS1001,"")*$G940,"")</f>
        <v/>
      </c>
    </row>
    <row r="941">
      <c r="A941" s="188"/>
      <c r="B941" s="189"/>
      <c r="C941" s="190"/>
      <c r="D941" s="190"/>
      <c r="E941" s="191"/>
      <c r="F941" s="186"/>
      <c r="G941" s="192"/>
      <c r="H941" s="9"/>
      <c r="I941" s="179" t="str">
        <f t="array" ref="I941">IF($F941&lt;&gt;"",XLOOKUP($F941,Productos!$A:$A,Productos!B:B,"Revisar"),"")</f>
        <v/>
      </c>
      <c r="J941" s="179" t="str">
        <f t="array" ref="J941">IF($F941&lt;&gt;"", XLOOKUP($F941,Productos!$A$2:$A1001,Productos!C$2:C1001,"")*$G941,"")</f>
        <v/>
      </c>
      <c r="K941" s="179" t="str">
        <f t="array" ref="K941">IF($F941&lt;&gt;"",XLOOKUP($F941,Productos!$A:$A,Productos!D:D,"Revisar"),"")</f>
        <v/>
      </c>
      <c r="L941" s="179" t="str">
        <f t="array" ref="L941">IF($F941&lt;&gt;"", XLOOKUP($F941,Productos!$A$2:$A1001,Productos!E$2:E1001,"")*$G941,"")</f>
        <v/>
      </c>
      <c r="M941" s="179" t="str">
        <f t="array" ref="M941">IF($F941&lt;&gt;"",XLOOKUP($F941,Productos!$A:$A,Productos!F:F,"Revisar"),"")</f>
        <v/>
      </c>
      <c r="N941" s="179" t="str">
        <f t="array" ref="N941">IF($F941&lt;&gt;"", XLOOKUP($F941,Productos!$A$2:$A1001,Productos!G$2:G1001,"")*$G941,"")</f>
        <v/>
      </c>
      <c r="O941" s="179" t="str">
        <f t="array" ref="O941">IF($F941&lt;&gt;"",XLOOKUP($F941,Productos!$A:$A,Productos!H:H,"Revisar"),"")</f>
        <v/>
      </c>
      <c r="P941" s="179" t="str">
        <f t="array" ref="P941">IF($F941&lt;&gt;"", XLOOKUP($F941,Productos!$A$2:$A1001,Productos!I$2:I1001,"")*$G941,"")</f>
        <v/>
      </c>
      <c r="Q941" s="179" t="str">
        <f t="array" ref="Q941">IF($F941&lt;&gt;"",XLOOKUP($F941,Productos!$A:$A,Productos!J:J,"Revisar"),"")</f>
        <v/>
      </c>
      <c r="R941" s="179" t="str">
        <f t="array" ref="R941">IF($F941&lt;&gt;"", XLOOKUP($F941,Productos!$A$2:$A1001,Productos!K$2:K1001,"")*$G941,"")</f>
        <v/>
      </c>
      <c r="S941" s="179" t="str">
        <f t="array" ref="S941">IF($F941&lt;&gt;"",XLOOKUP($F941,Productos!$A:$A,Productos!L:L,"Revisar"),"")</f>
        <v/>
      </c>
      <c r="T941" s="179" t="str">
        <f t="array" ref="T941">IF($F941&lt;&gt;"", XLOOKUP($F941,Productos!$A$2:$A1001,Productos!M$2:M1001,"")*$G941,"")</f>
        <v/>
      </c>
      <c r="U941" s="179" t="str">
        <f t="array" ref="U941">IF($F941&lt;&gt;"",XLOOKUP($F941,Productos!$A:$A,Productos!N:N,"Revisar"),"")</f>
        <v/>
      </c>
      <c r="V941" s="179" t="str">
        <f t="array" ref="V941">IF($F941&lt;&gt;"", XLOOKUP($F941,Productos!$A$2:$A1001,Productos!O$2:O1001,"")*$G941,"")</f>
        <v/>
      </c>
      <c r="W941" s="179" t="str">
        <f t="array" ref="W941">IF($F941&lt;&gt;"",XLOOKUP($F941,Productos!$A:$A,Productos!P:P,"Revisar"),"")</f>
        <v/>
      </c>
      <c r="X941" s="179" t="str">
        <f t="array" ref="X941">IF($F941&lt;&gt;"", XLOOKUP($F941,Productos!$A$2:$A1001,Productos!Q$2:Q1001,"")*$G941,"")</f>
        <v/>
      </c>
      <c r="Y941" s="179" t="str">
        <f t="array" ref="Y941">IF($F941&lt;&gt;"",XLOOKUP($F941,Productos!$A:$A,Productos!R:R,"Revisar"),"")</f>
        <v/>
      </c>
      <c r="Z941" s="179" t="str">
        <f t="array" ref="Z941">IF($F941&lt;&gt;"", XLOOKUP($F941,Productos!$A$2:$A1001,Productos!S$2:S1001,"")*$G941,"")</f>
        <v/>
      </c>
      <c r="AA941" s="179" t="str">
        <f t="array" ref="AA941">IF($F941&lt;&gt;"",XLOOKUP($F941,Productos!$A:$A,Productos!T:T,"Revisar"),"")</f>
        <v/>
      </c>
      <c r="AB941" s="179" t="str">
        <f t="array" ref="AB941">IF($F941&lt;&gt;"", XLOOKUP($F941,Productos!$A$2:$A1001,Productos!U$2:U1001,"")*$G941,"")</f>
        <v/>
      </c>
      <c r="AC941" s="179" t="str">
        <f t="array" ref="AC941">IF($F941&lt;&gt;"",XLOOKUP($F941,Productos!$A:$A,Productos!V:V,"Revisar"),"")</f>
        <v/>
      </c>
      <c r="AD941" s="179" t="str">
        <f t="array" ref="AD941">IF($F941&lt;&gt;"", XLOOKUP($F941,Productos!$A$2:$A1001,Productos!W$2:W1001,"")*$G941,"")</f>
        <v/>
      </c>
      <c r="AE941" s="179" t="str">
        <f t="array" ref="AE941">IF($F941&lt;&gt;"",XLOOKUP($F941,Productos!$A:$A,Productos!X:X,"Revisar"),"")</f>
        <v/>
      </c>
      <c r="AF941" s="179" t="str">
        <f t="array" ref="AF941">IF($F941&lt;&gt;"", XLOOKUP($F941,Productos!$A$2:$A1001,Productos!Y$2:Y1001,"")*$G941,"")</f>
        <v/>
      </c>
      <c r="AG941" s="179" t="str">
        <f t="array" ref="AG941">IF($F941&lt;&gt;"",XLOOKUP($F941,Productos!$A:$A,Productos!Z:Z,"Revisar"),"")</f>
        <v/>
      </c>
      <c r="AH941" s="179" t="str">
        <f t="array" ref="AH941">IF($F941&lt;&gt;"", XLOOKUP($F941,Productos!$A$2:$A1001,Productos!AA$2:AA1001,"")*$G941,"")</f>
        <v/>
      </c>
      <c r="AI941" s="179" t="str">
        <f t="array" ref="AI941">IF($F941&lt;&gt;"",XLOOKUP($F941,Productos!$A:$A,Productos!AB:AB,"Revisar"),"")</f>
        <v/>
      </c>
      <c r="AJ941" s="179" t="str">
        <f t="array" ref="AJ941">IF($F941&lt;&gt;"", XLOOKUP($F941,Productos!$A$2:$A1001,Productos!AC$2:AC1001,"")*$G941,"")</f>
        <v/>
      </c>
      <c r="AK941" s="179" t="str">
        <f t="array" ref="AK941">IF($F941&lt;&gt;"",XLOOKUP($F941,Productos!$A:$A,Productos!AD:AD,"Revisar"),"")</f>
        <v/>
      </c>
      <c r="AL941" s="179" t="str">
        <f t="array" ref="AL941">IF($F941&lt;&gt;"", XLOOKUP($F941,Productos!$A$2:$A1001,Productos!AE$2:AE1001,"")*$G941,"")</f>
        <v/>
      </c>
      <c r="AM941" s="179" t="str">
        <f t="array" ref="AM941">IF($F941&lt;&gt;"",XLOOKUP($F941,Productos!$A:$A,Productos!AF:AF,"Revisar"),"")</f>
        <v/>
      </c>
      <c r="AN941" s="179" t="str">
        <f t="array" ref="AN941">IF($F941&lt;&gt;"", XLOOKUP($F941,Productos!$A$2:$A1001,Productos!AG$2:AG1001,"")*$G941,"")</f>
        <v/>
      </c>
      <c r="AO941" s="179" t="str">
        <f t="array" ref="AO941">IF($F941&lt;&gt;"",XLOOKUP($F941,Productos!$A:$A,Productos!AH:AH,"Revisar"),"")</f>
        <v/>
      </c>
      <c r="AP941" s="179" t="str">
        <f t="array" ref="AP941">IF($F941&lt;&gt;"", XLOOKUP($F941,Productos!$A$2:$A1001,Productos!AI$2:AI1001,"")*$G941,"")</f>
        <v/>
      </c>
      <c r="AQ941" s="179" t="str">
        <f t="array" ref="AQ941">IF($F941&lt;&gt;"",XLOOKUP($F941,Productos!$A:$A,Productos!AJ:AJ,"Revisar"),"")</f>
        <v/>
      </c>
      <c r="AR941" s="179" t="str">
        <f t="array" ref="AR941">IF($F941&lt;&gt;"", XLOOKUP($F941,Productos!$A$2:$A1001,Productos!AK$2:AK1001,"")*$G941,"")</f>
        <v/>
      </c>
      <c r="AS941" s="179" t="str">
        <f t="array" ref="AS941">IF($F941&lt;&gt;"",XLOOKUP($F941,Productos!$A:$A,Productos!AL:AL,"Revisar"),"")</f>
        <v/>
      </c>
      <c r="AT941" s="179" t="str">
        <f t="array" ref="AT941">IF($F941&lt;&gt;"", XLOOKUP($F941,Productos!$A$2:$A1001,Productos!AM$2:AM1001,"")*$G941,"")</f>
        <v/>
      </c>
      <c r="AU941" s="179" t="str">
        <f t="array" ref="AU941">IF($F941&lt;&gt;"",XLOOKUP($F941,Productos!$A:$A,Productos!AN:AN,"Revisar"),"")</f>
        <v/>
      </c>
      <c r="AV941" s="179" t="str">
        <f t="array" ref="AV941">IF($F941&lt;&gt;"", XLOOKUP($F941,Productos!$A$2:$A1001,Productos!AO$2:AO1001,"")*$G941,"")</f>
        <v/>
      </c>
      <c r="AW941" s="179" t="str">
        <f t="array" ref="AW941">IF($F941&lt;&gt;"",XLOOKUP($F941,Productos!$A:$A,Productos!AP:AP,"Revisar"),"")</f>
        <v/>
      </c>
      <c r="AX941" s="179" t="str">
        <f t="array" ref="AX941">IF($F941&lt;&gt;"", XLOOKUP($F941,Productos!$A$2:$A1001,Productos!AQ$2:AQ1001,"")*$G941,"")</f>
        <v/>
      </c>
      <c r="AY941" s="179" t="str">
        <f t="array" ref="AY941">IF($F941&lt;&gt;"",XLOOKUP($F941,Productos!$A:$A,Productos!AR:AR,"Revisar"),"")</f>
        <v/>
      </c>
      <c r="AZ941" s="179" t="str">
        <f t="array" ref="AZ941">IF($F941&lt;&gt;"", XLOOKUP($F941,Productos!$A$2:$A1001,Productos!AS$2:AS1001,"")*$G941,"")</f>
        <v/>
      </c>
      <c r="BA941" s="179" t="str">
        <f t="array" ref="BA941">IF($F941&lt;&gt;"",XLOOKUP($F941,Productos!$A:$A,Productos!AT:AT,"Revisar"),"")</f>
        <v/>
      </c>
      <c r="BB941" s="179" t="str">
        <f t="array" ref="BB941">IF($F941&lt;&gt;"", XLOOKUP($F941,Productos!$A$2:$A1001,Productos!AU$2:AU1001,"")*$G941,"")</f>
        <v/>
      </c>
      <c r="BC941" s="179" t="str">
        <f t="array" ref="BC941">IF($F941&lt;&gt;"",XLOOKUP($F941,Productos!$A:$A,Productos!AV:AV,"Revisar"),"")</f>
        <v/>
      </c>
      <c r="BD941" s="179" t="str">
        <f t="array" ref="BD941">IF($F941&lt;&gt;"", XLOOKUP($F941,Productos!$A$2:$A1001,Productos!AW$2:AW1001,"")*$G941,"")</f>
        <v/>
      </c>
      <c r="BE941" s="179" t="str">
        <f t="array" ref="BE941">IF($F941&lt;&gt;"",XLOOKUP($F941,Productos!$A:$A,Productos!AX:AX,"Revisar"),"")</f>
        <v/>
      </c>
      <c r="BF941" s="179" t="str">
        <f t="array" ref="BF941">IF($F941&lt;&gt;"", XLOOKUP($F941,Productos!$A$2:$A1001,Productos!AY$2:AY1001,"")*$G941,"")</f>
        <v/>
      </c>
      <c r="BG941" s="179" t="str">
        <f t="array" ref="BG941">IF($F941&lt;&gt;"",XLOOKUP($F941,Productos!$A:$A,Productos!AZ:AZ,"Revisar"),"")</f>
        <v/>
      </c>
      <c r="BH941" s="179" t="str">
        <f t="array" ref="BH941">IF($F941&lt;&gt;"", XLOOKUP($F941,Productos!$A$2:$A1001,Productos!BA$2:BA1001,"")*$G941,"")</f>
        <v/>
      </c>
      <c r="BI941" s="179" t="str">
        <f t="array" ref="BI941">IF($F941&lt;&gt;"",XLOOKUP($F941,Productos!$A:$A,Productos!BB:BB,"Revisar"),"")</f>
        <v/>
      </c>
      <c r="BJ941" s="179" t="str">
        <f t="array" ref="BJ941">IF($F941&lt;&gt;"", XLOOKUP($F941,Productos!$A$2:$A1001,Productos!BC$2:BC1001,"")*$G941,"")</f>
        <v/>
      </c>
      <c r="BK941" s="179" t="str">
        <f t="array" ref="BK941">IF($F941&lt;&gt;"",XLOOKUP($F941,Productos!$A:$A,Productos!BD:BD,"Revisar"),"")</f>
        <v/>
      </c>
      <c r="BL941" s="179" t="str">
        <f t="array" ref="BL941">IF($F941&lt;&gt;"", XLOOKUP($F941,Productos!$A$2:$A1001,Productos!BE$2:BE1001,"")*$G941,"")</f>
        <v/>
      </c>
      <c r="BM941" s="179" t="str">
        <f t="array" ref="BM941">IF($F941&lt;&gt;"",XLOOKUP($F941,Productos!$A:$A,Productos!BF:BF,"Revisar"),"")</f>
        <v/>
      </c>
      <c r="BN941" s="179" t="str">
        <f t="array" ref="BN941">IF($F941&lt;&gt;"", XLOOKUP($F941,Productos!$A$2:$A1001,Productos!BG$2:BG1001,"")*$G941,"")</f>
        <v/>
      </c>
      <c r="BO941" s="179" t="str">
        <f t="array" ref="BO941">IF($F941&lt;&gt;"",XLOOKUP($F941,Productos!$A:$A,Productos!BH:BH,"Revisar"),"")</f>
        <v/>
      </c>
      <c r="BP941" s="179" t="str">
        <f t="array" ref="BP941">IF($F941&lt;&gt;"", XLOOKUP($F941,Productos!$A$2:$A1001,Productos!BI$2:BI1001,"")*$G941,"")</f>
        <v/>
      </c>
      <c r="BQ941" s="179" t="str">
        <f t="array" ref="BQ941">IF($F941&lt;&gt;"",XLOOKUP($F941,Productos!$A:$A,Productos!BJ:BJ,"Revisar"),"")</f>
        <v/>
      </c>
      <c r="BR941" s="179" t="str">
        <f t="array" ref="BR941">IF($F941&lt;&gt;"", XLOOKUP($F941,Productos!$A$2:$A1001,Productos!BK$2:BK1001,"")*$G941,"")</f>
        <v/>
      </c>
      <c r="BS941" s="179" t="str">
        <f t="array" ref="BS941">IF($F941&lt;&gt;"",XLOOKUP($F941,Productos!$A:$A,Productos!BL:BL,"Revisar"),"")</f>
        <v/>
      </c>
      <c r="BT941" s="179" t="str">
        <f t="array" ref="BT941">IF($F941&lt;&gt;"", XLOOKUP($F941,Productos!$A$2:$A1001,Productos!BM$2:BM1001,"")*$G941,"")</f>
        <v/>
      </c>
      <c r="BU941" s="179" t="str">
        <f t="array" ref="BU941">IF($F941&lt;&gt;"",XLOOKUP($F941,Productos!$A:$A,Productos!BN:BN,"Revisar"),"")</f>
        <v/>
      </c>
      <c r="BV941" s="179" t="str">
        <f t="array" ref="BV941">IF($F941&lt;&gt;"", XLOOKUP($F941,Productos!$A$2:$A1001,Productos!BO$2:BO1001,"")*$G941,"")</f>
        <v/>
      </c>
      <c r="BW941" s="179" t="str">
        <f t="array" ref="BW941">IF($F941&lt;&gt;"",XLOOKUP($F941,Productos!$A:$A,Productos!BP:BP,"Revisar"),"")</f>
        <v/>
      </c>
      <c r="BX941" s="179" t="str">
        <f t="array" ref="BX941">IF($F941&lt;&gt;"", XLOOKUP($F941,Productos!$A$2:$A1001,Productos!BQ$2:BQ1001,"")*$G941,"")</f>
        <v/>
      </c>
      <c r="BY941" s="179" t="str">
        <f t="array" ref="BY941">IF($F941&lt;&gt;"",XLOOKUP($F941,Productos!$A:$A,Productos!BR:BR,"Revisar"),"")</f>
        <v/>
      </c>
      <c r="BZ941" s="179" t="str">
        <f t="array" ref="BZ941">IF($F941&lt;&gt;"", XLOOKUP($F941,Productos!$A$2:$A1001,Productos!BS$2:BS1001,"")*$G941,"")</f>
        <v/>
      </c>
    </row>
    <row r="942">
      <c r="A942" s="188"/>
      <c r="B942" s="189"/>
      <c r="C942" s="190"/>
      <c r="D942" s="190"/>
      <c r="E942" s="191"/>
      <c r="F942" s="186"/>
      <c r="G942" s="192"/>
      <c r="H942" s="9"/>
      <c r="I942" s="179" t="str">
        <f t="array" ref="I942">IF($F942&lt;&gt;"",XLOOKUP($F942,Productos!$A:$A,Productos!B:B,"Revisar"),"")</f>
        <v/>
      </c>
      <c r="J942" s="179" t="str">
        <f t="array" ref="J942">IF($F942&lt;&gt;"", XLOOKUP($F942,Productos!$A$2:$A1001,Productos!C$2:C1001,"")*$G942,"")</f>
        <v/>
      </c>
      <c r="K942" s="179" t="str">
        <f t="array" ref="K942">IF($F942&lt;&gt;"",XLOOKUP($F942,Productos!$A:$A,Productos!D:D,"Revisar"),"")</f>
        <v/>
      </c>
      <c r="L942" s="179" t="str">
        <f t="array" ref="L942">IF($F942&lt;&gt;"", XLOOKUP($F942,Productos!$A$2:$A1001,Productos!E$2:E1001,"")*$G942,"")</f>
        <v/>
      </c>
      <c r="M942" s="179" t="str">
        <f t="array" ref="M942">IF($F942&lt;&gt;"",XLOOKUP($F942,Productos!$A:$A,Productos!F:F,"Revisar"),"")</f>
        <v/>
      </c>
      <c r="N942" s="179" t="str">
        <f t="array" ref="N942">IF($F942&lt;&gt;"", XLOOKUP($F942,Productos!$A$2:$A1001,Productos!G$2:G1001,"")*$G942,"")</f>
        <v/>
      </c>
      <c r="O942" s="179" t="str">
        <f t="array" ref="O942">IF($F942&lt;&gt;"",XLOOKUP($F942,Productos!$A:$A,Productos!H:H,"Revisar"),"")</f>
        <v/>
      </c>
      <c r="P942" s="179" t="str">
        <f t="array" ref="P942">IF($F942&lt;&gt;"", XLOOKUP($F942,Productos!$A$2:$A1001,Productos!I$2:I1001,"")*$G942,"")</f>
        <v/>
      </c>
      <c r="Q942" s="179" t="str">
        <f t="array" ref="Q942">IF($F942&lt;&gt;"",XLOOKUP($F942,Productos!$A:$A,Productos!J:J,"Revisar"),"")</f>
        <v/>
      </c>
      <c r="R942" s="179" t="str">
        <f t="array" ref="R942">IF($F942&lt;&gt;"", XLOOKUP($F942,Productos!$A$2:$A1001,Productos!K$2:K1001,"")*$G942,"")</f>
        <v/>
      </c>
      <c r="S942" s="179" t="str">
        <f t="array" ref="S942">IF($F942&lt;&gt;"",XLOOKUP($F942,Productos!$A:$A,Productos!L:L,"Revisar"),"")</f>
        <v/>
      </c>
      <c r="T942" s="179" t="str">
        <f t="array" ref="T942">IF($F942&lt;&gt;"", XLOOKUP($F942,Productos!$A$2:$A1001,Productos!M$2:M1001,"")*$G942,"")</f>
        <v/>
      </c>
      <c r="U942" s="179" t="str">
        <f t="array" ref="U942">IF($F942&lt;&gt;"",XLOOKUP($F942,Productos!$A:$A,Productos!N:N,"Revisar"),"")</f>
        <v/>
      </c>
      <c r="V942" s="179" t="str">
        <f t="array" ref="V942">IF($F942&lt;&gt;"", XLOOKUP($F942,Productos!$A$2:$A1001,Productos!O$2:O1001,"")*$G942,"")</f>
        <v/>
      </c>
      <c r="W942" s="179" t="str">
        <f t="array" ref="W942">IF($F942&lt;&gt;"",XLOOKUP($F942,Productos!$A:$A,Productos!P:P,"Revisar"),"")</f>
        <v/>
      </c>
      <c r="X942" s="179" t="str">
        <f t="array" ref="X942">IF($F942&lt;&gt;"", XLOOKUP($F942,Productos!$A$2:$A1001,Productos!Q$2:Q1001,"")*$G942,"")</f>
        <v/>
      </c>
      <c r="Y942" s="179" t="str">
        <f t="array" ref="Y942">IF($F942&lt;&gt;"",XLOOKUP($F942,Productos!$A:$A,Productos!R:R,"Revisar"),"")</f>
        <v/>
      </c>
      <c r="Z942" s="179" t="str">
        <f t="array" ref="Z942">IF($F942&lt;&gt;"", XLOOKUP($F942,Productos!$A$2:$A1001,Productos!S$2:S1001,"")*$G942,"")</f>
        <v/>
      </c>
      <c r="AA942" s="179" t="str">
        <f t="array" ref="AA942">IF($F942&lt;&gt;"",XLOOKUP($F942,Productos!$A:$A,Productos!T:T,"Revisar"),"")</f>
        <v/>
      </c>
      <c r="AB942" s="179" t="str">
        <f t="array" ref="AB942">IF($F942&lt;&gt;"", XLOOKUP($F942,Productos!$A$2:$A1001,Productos!U$2:U1001,"")*$G942,"")</f>
        <v/>
      </c>
      <c r="AC942" s="179" t="str">
        <f t="array" ref="AC942">IF($F942&lt;&gt;"",XLOOKUP($F942,Productos!$A:$A,Productos!V:V,"Revisar"),"")</f>
        <v/>
      </c>
      <c r="AD942" s="179" t="str">
        <f t="array" ref="AD942">IF($F942&lt;&gt;"", XLOOKUP($F942,Productos!$A$2:$A1001,Productos!W$2:W1001,"")*$G942,"")</f>
        <v/>
      </c>
      <c r="AE942" s="179" t="str">
        <f t="array" ref="AE942">IF($F942&lt;&gt;"",XLOOKUP($F942,Productos!$A:$A,Productos!X:X,"Revisar"),"")</f>
        <v/>
      </c>
      <c r="AF942" s="179" t="str">
        <f t="array" ref="AF942">IF($F942&lt;&gt;"", XLOOKUP($F942,Productos!$A$2:$A1001,Productos!Y$2:Y1001,"")*$G942,"")</f>
        <v/>
      </c>
      <c r="AG942" s="179" t="str">
        <f t="array" ref="AG942">IF($F942&lt;&gt;"",XLOOKUP($F942,Productos!$A:$A,Productos!Z:Z,"Revisar"),"")</f>
        <v/>
      </c>
      <c r="AH942" s="179" t="str">
        <f t="array" ref="AH942">IF($F942&lt;&gt;"", XLOOKUP($F942,Productos!$A$2:$A1001,Productos!AA$2:AA1001,"")*$G942,"")</f>
        <v/>
      </c>
      <c r="AI942" s="179" t="str">
        <f t="array" ref="AI942">IF($F942&lt;&gt;"",XLOOKUP($F942,Productos!$A:$A,Productos!AB:AB,"Revisar"),"")</f>
        <v/>
      </c>
      <c r="AJ942" s="179" t="str">
        <f t="array" ref="AJ942">IF($F942&lt;&gt;"", XLOOKUP($F942,Productos!$A$2:$A1001,Productos!AC$2:AC1001,"")*$G942,"")</f>
        <v/>
      </c>
      <c r="AK942" s="179" t="str">
        <f t="array" ref="AK942">IF($F942&lt;&gt;"",XLOOKUP($F942,Productos!$A:$A,Productos!AD:AD,"Revisar"),"")</f>
        <v/>
      </c>
      <c r="AL942" s="179" t="str">
        <f t="array" ref="AL942">IF($F942&lt;&gt;"", XLOOKUP($F942,Productos!$A$2:$A1001,Productos!AE$2:AE1001,"")*$G942,"")</f>
        <v/>
      </c>
      <c r="AM942" s="179" t="str">
        <f t="array" ref="AM942">IF($F942&lt;&gt;"",XLOOKUP($F942,Productos!$A:$A,Productos!AF:AF,"Revisar"),"")</f>
        <v/>
      </c>
      <c r="AN942" s="179" t="str">
        <f t="array" ref="AN942">IF($F942&lt;&gt;"", XLOOKUP($F942,Productos!$A$2:$A1001,Productos!AG$2:AG1001,"")*$G942,"")</f>
        <v/>
      </c>
      <c r="AO942" s="179" t="str">
        <f t="array" ref="AO942">IF($F942&lt;&gt;"",XLOOKUP($F942,Productos!$A:$A,Productos!AH:AH,"Revisar"),"")</f>
        <v/>
      </c>
      <c r="AP942" s="179" t="str">
        <f t="array" ref="AP942">IF($F942&lt;&gt;"", XLOOKUP($F942,Productos!$A$2:$A1001,Productos!AI$2:AI1001,"")*$G942,"")</f>
        <v/>
      </c>
      <c r="AQ942" s="179" t="str">
        <f t="array" ref="AQ942">IF($F942&lt;&gt;"",XLOOKUP($F942,Productos!$A:$A,Productos!AJ:AJ,"Revisar"),"")</f>
        <v/>
      </c>
      <c r="AR942" s="179" t="str">
        <f t="array" ref="AR942">IF($F942&lt;&gt;"", XLOOKUP($F942,Productos!$A$2:$A1001,Productos!AK$2:AK1001,"")*$G942,"")</f>
        <v/>
      </c>
      <c r="AS942" s="179" t="str">
        <f t="array" ref="AS942">IF($F942&lt;&gt;"",XLOOKUP($F942,Productos!$A:$A,Productos!AL:AL,"Revisar"),"")</f>
        <v/>
      </c>
      <c r="AT942" s="179" t="str">
        <f t="array" ref="AT942">IF($F942&lt;&gt;"", XLOOKUP($F942,Productos!$A$2:$A1001,Productos!AM$2:AM1001,"")*$G942,"")</f>
        <v/>
      </c>
      <c r="AU942" s="179" t="str">
        <f t="array" ref="AU942">IF($F942&lt;&gt;"",XLOOKUP($F942,Productos!$A:$A,Productos!AN:AN,"Revisar"),"")</f>
        <v/>
      </c>
      <c r="AV942" s="179" t="str">
        <f t="array" ref="AV942">IF($F942&lt;&gt;"", XLOOKUP($F942,Productos!$A$2:$A1001,Productos!AO$2:AO1001,"")*$G942,"")</f>
        <v/>
      </c>
      <c r="AW942" s="179" t="str">
        <f t="array" ref="AW942">IF($F942&lt;&gt;"",XLOOKUP($F942,Productos!$A:$A,Productos!AP:AP,"Revisar"),"")</f>
        <v/>
      </c>
      <c r="AX942" s="179" t="str">
        <f t="array" ref="AX942">IF($F942&lt;&gt;"", XLOOKUP($F942,Productos!$A$2:$A1001,Productos!AQ$2:AQ1001,"")*$G942,"")</f>
        <v/>
      </c>
      <c r="AY942" s="179" t="str">
        <f t="array" ref="AY942">IF($F942&lt;&gt;"",XLOOKUP($F942,Productos!$A:$A,Productos!AR:AR,"Revisar"),"")</f>
        <v/>
      </c>
      <c r="AZ942" s="179" t="str">
        <f t="array" ref="AZ942">IF($F942&lt;&gt;"", XLOOKUP($F942,Productos!$A$2:$A1001,Productos!AS$2:AS1001,"")*$G942,"")</f>
        <v/>
      </c>
      <c r="BA942" s="179" t="str">
        <f t="array" ref="BA942">IF($F942&lt;&gt;"",XLOOKUP($F942,Productos!$A:$A,Productos!AT:AT,"Revisar"),"")</f>
        <v/>
      </c>
      <c r="BB942" s="179" t="str">
        <f t="array" ref="BB942">IF($F942&lt;&gt;"", XLOOKUP($F942,Productos!$A$2:$A1001,Productos!AU$2:AU1001,"")*$G942,"")</f>
        <v/>
      </c>
      <c r="BC942" s="179" t="str">
        <f t="array" ref="BC942">IF($F942&lt;&gt;"",XLOOKUP($F942,Productos!$A:$A,Productos!AV:AV,"Revisar"),"")</f>
        <v/>
      </c>
      <c r="BD942" s="179" t="str">
        <f t="array" ref="BD942">IF($F942&lt;&gt;"", XLOOKUP($F942,Productos!$A$2:$A1001,Productos!AW$2:AW1001,"")*$G942,"")</f>
        <v/>
      </c>
      <c r="BE942" s="179" t="str">
        <f t="array" ref="BE942">IF($F942&lt;&gt;"",XLOOKUP($F942,Productos!$A:$A,Productos!AX:AX,"Revisar"),"")</f>
        <v/>
      </c>
      <c r="BF942" s="179" t="str">
        <f t="array" ref="BF942">IF($F942&lt;&gt;"", XLOOKUP($F942,Productos!$A$2:$A1001,Productos!AY$2:AY1001,"")*$G942,"")</f>
        <v/>
      </c>
      <c r="BG942" s="179" t="str">
        <f t="array" ref="BG942">IF($F942&lt;&gt;"",XLOOKUP($F942,Productos!$A:$A,Productos!AZ:AZ,"Revisar"),"")</f>
        <v/>
      </c>
      <c r="BH942" s="179" t="str">
        <f t="array" ref="BH942">IF($F942&lt;&gt;"", XLOOKUP($F942,Productos!$A$2:$A1001,Productos!BA$2:BA1001,"")*$G942,"")</f>
        <v/>
      </c>
      <c r="BI942" s="179" t="str">
        <f t="array" ref="BI942">IF($F942&lt;&gt;"",XLOOKUP($F942,Productos!$A:$A,Productos!BB:BB,"Revisar"),"")</f>
        <v/>
      </c>
      <c r="BJ942" s="179" t="str">
        <f t="array" ref="BJ942">IF($F942&lt;&gt;"", XLOOKUP($F942,Productos!$A$2:$A1001,Productos!BC$2:BC1001,"")*$G942,"")</f>
        <v/>
      </c>
      <c r="BK942" s="179" t="str">
        <f t="array" ref="BK942">IF($F942&lt;&gt;"",XLOOKUP($F942,Productos!$A:$A,Productos!BD:BD,"Revisar"),"")</f>
        <v/>
      </c>
      <c r="BL942" s="179" t="str">
        <f t="array" ref="BL942">IF($F942&lt;&gt;"", XLOOKUP($F942,Productos!$A$2:$A1001,Productos!BE$2:BE1001,"")*$G942,"")</f>
        <v/>
      </c>
      <c r="BM942" s="179" t="str">
        <f t="array" ref="BM942">IF($F942&lt;&gt;"",XLOOKUP($F942,Productos!$A:$A,Productos!BF:BF,"Revisar"),"")</f>
        <v/>
      </c>
      <c r="BN942" s="179" t="str">
        <f t="array" ref="BN942">IF($F942&lt;&gt;"", XLOOKUP($F942,Productos!$A$2:$A1001,Productos!BG$2:BG1001,"")*$G942,"")</f>
        <v/>
      </c>
      <c r="BO942" s="179" t="str">
        <f t="array" ref="BO942">IF($F942&lt;&gt;"",XLOOKUP($F942,Productos!$A:$A,Productos!BH:BH,"Revisar"),"")</f>
        <v/>
      </c>
      <c r="BP942" s="179" t="str">
        <f t="array" ref="BP942">IF($F942&lt;&gt;"", XLOOKUP($F942,Productos!$A$2:$A1001,Productos!BI$2:BI1001,"")*$G942,"")</f>
        <v/>
      </c>
      <c r="BQ942" s="179" t="str">
        <f t="array" ref="BQ942">IF($F942&lt;&gt;"",XLOOKUP($F942,Productos!$A:$A,Productos!BJ:BJ,"Revisar"),"")</f>
        <v/>
      </c>
      <c r="BR942" s="179" t="str">
        <f t="array" ref="BR942">IF($F942&lt;&gt;"", XLOOKUP($F942,Productos!$A$2:$A1001,Productos!BK$2:BK1001,"")*$G942,"")</f>
        <v/>
      </c>
      <c r="BS942" s="179" t="str">
        <f t="array" ref="BS942">IF($F942&lt;&gt;"",XLOOKUP($F942,Productos!$A:$A,Productos!BL:BL,"Revisar"),"")</f>
        <v/>
      </c>
      <c r="BT942" s="179" t="str">
        <f t="array" ref="BT942">IF($F942&lt;&gt;"", XLOOKUP($F942,Productos!$A$2:$A1001,Productos!BM$2:BM1001,"")*$G942,"")</f>
        <v/>
      </c>
      <c r="BU942" s="179" t="str">
        <f t="array" ref="BU942">IF($F942&lt;&gt;"",XLOOKUP($F942,Productos!$A:$A,Productos!BN:BN,"Revisar"),"")</f>
        <v/>
      </c>
      <c r="BV942" s="179" t="str">
        <f t="array" ref="BV942">IF($F942&lt;&gt;"", XLOOKUP($F942,Productos!$A$2:$A1001,Productos!BO$2:BO1001,"")*$G942,"")</f>
        <v/>
      </c>
      <c r="BW942" s="179" t="str">
        <f t="array" ref="BW942">IF($F942&lt;&gt;"",XLOOKUP($F942,Productos!$A:$A,Productos!BP:BP,"Revisar"),"")</f>
        <v/>
      </c>
      <c r="BX942" s="179" t="str">
        <f t="array" ref="BX942">IF($F942&lt;&gt;"", XLOOKUP($F942,Productos!$A$2:$A1001,Productos!BQ$2:BQ1001,"")*$G942,"")</f>
        <v/>
      </c>
      <c r="BY942" s="179" t="str">
        <f t="array" ref="BY942">IF($F942&lt;&gt;"",XLOOKUP($F942,Productos!$A:$A,Productos!BR:BR,"Revisar"),"")</f>
        <v/>
      </c>
      <c r="BZ942" s="179" t="str">
        <f t="array" ref="BZ942">IF($F942&lt;&gt;"", XLOOKUP($F942,Productos!$A$2:$A1001,Productos!BS$2:BS1001,"")*$G942,"")</f>
        <v/>
      </c>
    </row>
    <row r="943">
      <c r="A943" s="188"/>
      <c r="B943" s="189"/>
      <c r="C943" s="190"/>
      <c r="D943" s="190"/>
      <c r="E943" s="191"/>
      <c r="F943" s="186"/>
      <c r="G943" s="192"/>
      <c r="H943" s="9"/>
      <c r="I943" s="179" t="str">
        <f t="array" ref="I943">IF($F943&lt;&gt;"",XLOOKUP($F943,Productos!$A:$A,Productos!B:B,"Revisar"),"")</f>
        <v/>
      </c>
      <c r="J943" s="179" t="str">
        <f t="array" ref="J943">IF($F943&lt;&gt;"", XLOOKUP($F943,Productos!$A$2:$A1001,Productos!C$2:C1001,"")*$G943,"")</f>
        <v/>
      </c>
      <c r="K943" s="179" t="str">
        <f t="array" ref="K943">IF($F943&lt;&gt;"",XLOOKUP($F943,Productos!$A:$A,Productos!D:D,"Revisar"),"")</f>
        <v/>
      </c>
      <c r="L943" s="179" t="str">
        <f t="array" ref="L943">IF($F943&lt;&gt;"", XLOOKUP($F943,Productos!$A$2:$A1001,Productos!E$2:E1001,"")*$G943,"")</f>
        <v/>
      </c>
      <c r="M943" s="179" t="str">
        <f t="array" ref="M943">IF($F943&lt;&gt;"",XLOOKUP($F943,Productos!$A:$A,Productos!F:F,"Revisar"),"")</f>
        <v/>
      </c>
      <c r="N943" s="179" t="str">
        <f t="array" ref="N943">IF($F943&lt;&gt;"", XLOOKUP($F943,Productos!$A$2:$A1001,Productos!G$2:G1001,"")*$G943,"")</f>
        <v/>
      </c>
      <c r="O943" s="179" t="str">
        <f t="array" ref="O943">IF($F943&lt;&gt;"",XLOOKUP($F943,Productos!$A:$A,Productos!H:H,"Revisar"),"")</f>
        <v/>
      </c>
      <c r="P943" s="179" t="str">
        <f t="array" ref="P943">IF($F943&lt;&gt;"", XLOOKUP($F943,Productos!$A$2:$A1001,Productos!I$2:I1001,"")*$G943,"")</f>
        <v/>
      </c>
      <c r="Q943" s="179" t="str">
        <f t="array" ref="Q943">IF($F943&lt;&gt;"",XLOOKUP($F943,Productos!$A:$A,Productos!J:J,"Revisar"),"")</f>
        <v/>
      </c>
      <c r="R943" s="179" t="str">
        <f t="array" ref="R943">IF($F943&lt;&gt;"", XLOOKUP($F943,Productos!$A$2:$A1001,Productos!K$2:K1001,"")*$G943,"")</f>
        <v/>
      </c>
      <c r="S943" s="179" t="str">
        <f t="array" ref="S943">IF($F943&lt;&gt;"",XLOOKUP($F943,Productos!$A:$A,Productos!L:L,"Revisar"),"")</f>
        <v/>
      </c>
      <c r="T943" s="179" t="str">
        <f t="array" ref="T943">IF($F943&lt;&gt;"", XLOOKUP($F943,Productos!$A$2:$A1001,Productos!M$2:M1001,"")*$G943,"")</f>
        <v/>
      </c>
      <c r="U943" s="179" t="str">
        <f t="array" ref="U943">IF($F943&lt;&gt;"",XLOOKUP($F943,Productos!$A:$A,Productos!N:N,"Revisar"),"")</f>
        <v/>
      </c>
      <c r="V943" s="179" t="str">
        <f t="array" ref="V943">IF($F943&lt;&gt;"", XLOOKUP($F943,Productos!$A$2:$A1001,Productos!O$2:O1001,"")*$G943,"")</f>
        <v/>
      </c>
      <c r="W943" s="179" t="str">
        <f t="array" ref="W943">IF($F943&lt;&gt;"",XLOOKUP($F943,Productos!$A:$A,Productos!P:P,"Revisar"),"")</f>
        <v/>
      </c>
      <c r="X943" s="179" t="str">
        <f t="array" ref="X943">IF($F943&lt;&gt;"", XLOOKUP($F943,Productos!$A$2:$A1001,Productos!Q$2:Q1001,"")*$G943,"")</f>
        <v/>
      </c>
      <c r="Y943" s="179" t="str">
        <f t="array" ref="Y943">IF($F943&lt;&gt;"",XLOOKUP($F943,Productos!$A:$A,Productos!R:R,"Revisar"),"")</f>
        <v/>
      </c>
      <c r="Z943" s="179" t="str">
        <f t="array" ref="Z943">IF($F943&lt;&gt;"", XLOOKUP($F943,Productos!$A$2:$A1001,Productos!S$2:S1001,"")*$G943,"")</f>
        <v/>
      </c>
      <c r="AA943" s="179" t="str">
        <f t="array" ref="AA943">IF($F943&lt;&gt;"",XLOOKUP($F943,Productos!$A:$A,Productos!T:T,"Revisar"),"")</f>
        <v/>
      </c>
      <c r="AB943" s="179" t="str">
        <f t="array" ref="AB943">IF($F943&lt;&gt;"", XLOOKUP($F943,Productos!$A$2:$A1001,Productos!U$2:U1001,"")*$G943,"")</f>
        <v/>
      </c>
      <c r="AC943" s="179" t="str">
        <f t="array" ref="AC943">IF($F943&lt;&gt;"",XLOOKUP($F943,Productos!$A:$A,Productos!V:V,"Revisar"),"")</f>
        <v/>
      </c>
      <c r="AD943" s="179" t="str">
        <f t="array" ref="AD943">IF($F943&lt;&gt;"", XLOOKUP($F943,Productos!$A$2:$A1001,Productos!W$2:W1001,"")*$G943,"")</f>
        <v/>
      </c>
      <c r="AE943" s="179" t="str">
        <f t="array" ref="AE943">IF($F943&lt;&gt;"",XLOOKUP($F943,Productos!$A:$A,Productos!X:X,"Revisar"),"")</f>
        <v/>
      </c>
      <c r="AF943" s="179" t="str">
        <f t="array" ref="AF943">IF($F943&lt;&gt;"", XLOOKUP($F943,Productos!$A$2:$A1001,Productos!Y$2:Y1001,"")*$G943,"")</f>
        <v/>
      </c>
      <c r="AG943" s="179" t="str">
        <f t="array" ref="AG943">IF($F943&lt;&gt;"",XLOOKUP($F943,Productos!$A:$A,Productos!Z:Z,"Revisar"),"")</f>
        <v/>
      </c>
      <c r="AH943" s="179" t="str">
        <f t="array" ref="AH943">IF($F943&lt;&gt;"", XLOOKUP($F943,Productos!$A$2:$A1001,Productos!AA$2:AA1001,"")*$G943,"")</f>
        <v/>
      </c>
      <c r="AI943" s="179" t="str">
        <f t="array" ref="AI943">IF($F943&lt;&gt;"",XLOOKUP($F943,Productos!$A:$A,Productos!AB:AB,"Revisar"),"")</f>
        <v/>
      </c>
      <c r="AJ943" s="179" t="str">
        <f t="array" ref="AJ943">IF($F943&lt;&gt;"", XLOOKUP($F943,Productos!$A$2:$A1001,Productos!AC$2:AC1001,"")*$G943,"")</f>
        <v/>
      </c>
      <c r="AK943" s="179" t="str">
        <f t="array" ref="AK943">IF($F943&lt;&gt;"",XLOOKUP($F943,Productos!$A:$A,Productos!AD:AD,"Revisar"),"")</f>
        <v/>
      </c>
      <c r="AL943" s="179" t="str">
        <f t="array" ref="AL943">IF($F943&lt;&gt;"", XLOOKUP($F943,Productos!$A$2:$A1001,Productos!AE$2:AE1001,"")*$G943,"")</f>
        <v/>
      </c>
      <c r="AM943" s="179" t="str">
        <f t="array" ref="AM943">IF($F943&lt;&gt;"",XLOOKUP($F943,Productos!$A:$A,Productos!AF:AF,"Revisar"),"")</f>
        <v/>
      </c>
      <c r="AN943" s="179" t="str">
        <f t="array" ref="AN943">IF($F943&lt;&gt;"", XLOOKUP($F943,Productos!$A$2:$A1001,Productos!AG$2:AG1001,"")*$G943,"")</f>
        <v/>
      </c>
      <c r="AO943" s="179" t="str">
        <f t="array" ref="AO943">IF($F943&lt;&gt;"",XLOOKUP($F943,Productos!$A:$A,Productos!AH:AH,"Revisar"),"")</f>
        <v/>
      </c>
      <c r="AP943" s="179" t="str">
        <f t="array" ref="AP943">IF($F943&lt;&gt;"", XLOOKUP($F943,Productos!$A$2:$A1001,Productos!AI$2:AI1001,"")*$G943,"")</f>
        <v/>
      </c>
      <c r="AQ943" s="179" t="str">
        <f t="array" ref="AQ943">IF($F943&lt;&gt;"",XLOOKUP($F943,Productos!$A:$A,Productos!AJ:AJ,"Revisar"),"")</f>
        <v/>
      </c>
      <c r="AR943" s="179" t="str">
        <f t="array" ref="AR943">IF($F943&lt;&gt;"", XLOOKUP($F943,Productos!$A$2:$A1001,Productos!AK$2:AK1001,"")*$G943,"")</f>
        <v/>
      </c>
      <c r="AS943" s="179" t="str">
        <f t="array" ref="AS943">IF($F943&lt;&gt;"",XLOOKUP($F943,Productos!$A:$A,Productos!AL:AL,"Revisar"),"")</f>
        <v/>
      </c>
      <c r="AT943" s="179" t="str">
        <f t="array" ref="AT943">IF($F943&lt;&gt;"", XLOOKUP($F943,Productos!$A$2:$A1001,Productos!AM$2:AM1001,"")*$G943,"")</f>
        <v/>
      </c>
      <c r="AU943" s="179" t="str">
        <f t="array" ref="AU943">IF($F943&lt;&gt;"",XLOOKUP($F943,Productos!$A:$A,Productos!AN:AN,"Revisar"),"")</f>
        <v/>
      </c>
      <c r="AV943" s="179" t="str">
        <f t="array" ref="AV943">IF($F943&lt;&gt;"", XLOOKUP($F943,Productos!$A$2:$A1001,Productos!AO$2:AO1001,"")*$G943,"")</f>
        <v/>
      </c>
      <c r="AW943" s="179" t="str">
        <f t="array" ref="AW943">IF($F943&lt;&gt;"",XLOOKUP($F943,Productos!$A:$A,Productos!AP:AP,"Revisar"),"")</f>
        <v/>
      </c>
      <c r="AX943" s="179" t="str">
        <f t="array" ref="AX943">IF($F943&lt;&gt;"", XLOOKUP($F943,Productos!$A$2:$A1001,Productos!AQ$2:AQ1001,"")*$G943,"")</f>
        <v/>
      </c>
      <c r="AY943" s="179" t="str">
        <f t="array" ref="AY943">IF($F943&lt;&gt;"",XLOOKUP($F943,Productos!$A:$A,Productos!AR:AR,"Revisar"),"")</f>
        <v/>
      </c>
      <c r="AZ943" s="179" t="str">
        <f t="array" ref="AZ943">IF($F943&lt;&gt;"", XLOOKUP($F943,Productos!$A$2:$A1001,Productos!AS$2:AS1001,"")*$G943,"")</f>
        <v/>
      </c>
      <c r="BA943" s="179" t="str">
        <f t="array" ref="BA943">IF($F943&lt;&gt;"",XLOOKUP($F943,Productos!$A:$A,Productos!AT:AT,"Revisar"),"")</f>
        <v/>
      </c>
      <c r="BB943" s="179" t="str">
        <f t="array" ref="BB943">IF($F943&lt;&gt;"", XLOOKUP($F943,Productos!$A$2:$A1001,Productos!AU$2:AU1001,"")*$G943,"")</f>
        <v/>
      </c>
      <c r="BC943" s="179" t="str">
        <f t="array" ref="BC943">IF($F943&lt;&gt;"",XLOOKUP($F943,Productos!$A:$A,Productos!AV:AV,"Revisar"),"")</f>
        <v/>
      </c>
      <c r="BD943" s="179" t="str">
        <f t="array" ref="BD943">IF($F943&lt;&gt;"", XLOOKUP($F943,Productos!$A$2:$A1001,Productos!AW$2:AW1001,"")*$G943,"")</f>
        <v/>
      </c>
      <c r="BE943" s="179" t="str">
        <f t="array" ref="BE943">IF($F943&lt;&gt;"",XLOOKUP($F943,Productos!$A:$A,Productos!AX:AX,"Revisar"),"")</f>
        <v/>
      </c>
      <c r="BF943" s="179" t="str">
        <f t="array" ref="BF943">IF($F943&lt;&gt;"", XLOOKUP($F943,Productos!$A$2:$A1001,Productos!AY$2:AY1001,"")*$G943,"")</f>
        <v/>
      </c>
      <c r="BG943" s="179" t="str">
        <f t="array" ref="BG943">IF($F943&lt;&gt;"",XLOOKUP($F943,Productos!$A:$A,Productos!AZ:AZ,"Revisar"),"")</f>
        <v/>
      </c>
      <c r="BH943" s="179" t="str">
        <f t="array" ref="BH943">IF($F943&lt;&gt;"", XLOOKUP($F943,Productos!$A$2:$A1001,Productos!BA$2:BA1001,"")*$G943,"")</f>
        <v/>
      </c>
      <c r="BI943" s="179" t="str">
        <f t="array" ref="BI943">IF($F943&lt;&gt;"",XLOOKUP($F943,Productos!$A:$A,Productos!BB:BB,"Revisar"),"")</f>
        <v/>
      </c>
      <c r="BJ943" s="179" t="str">
        <f t="array" ref="BJ943">IF($F943&lt;&gt;"", XLOOKUP($F943,Productos!$A$2:$A1001,Productos!BC$2:BC1001,"")*$G943,"")</f>
        <v/>
      </c>
      <c r="BK943" s="179" t="str">
        <f t="array" ref="BK943">IF($F943&lt;&gt;"",XLOOKUP($F943,Productos!$A:$A,Productos!BD:BD,"Revisar"),"")</f>
        <v/>
      </c>
      <c r="BL943" s="179" t="str">
        <f t="array" ref="BL943">IF($F943&lt;&gt;"", XLOOKUP($F943,Productos!$A$2:$A1001,Productos!BE$2:BE1001,"")*$G943,"")</f>
        <v/>
      </c>
      <c r="BM943" s="179" t="str">
        <f t="array" ref="BM943">IF($F943&lt;&gt;"",XLOOKUP($F943,Productos!$A:$A,Productos!BF:BF,"Revisar"),"")</f>
        <v/>
      </c>
      <c r="BN943" s="179" t="str">
        <f t="array" ref="BN943">IF($F943&lt;&gt;"", XLOOKUP($F943,Productos!$A$2:$A1001,Productos!BG$2:BG1001,"")*$G943,"")</f>
        <v/>
      </c>
      <c r="BO943" s="179" t="str">
        <f t="array" ref="BO943">IF($F943&lt;&gt;"",XLOOKUP($F943,Productos!$A:$A,Productos!BH:BH,"Revisar"),"")</f>
        <v/>
      </c>
      <c r="BP943" s="179" t="str">
        <f t="array" ref="BP943">IF($F943&lt;&gt;"", XLOOKUP($F943,Productos!$A$2:$A1001,Productos!BI$2:BI1001,"")*$G943,"")</f>
        <v/>
      </c>
      <c r="BQ943" s="179" t="str">
        <f t="array" ref="BQ943">IF($F943&lt;&gt;"",XLOOKUP($F943,Productos!$A:$A,Productos!BJ:BJ,"Revisar"),"")</f>
        <v/>
      </c>
      <c r="BR943" s="179" t="str">
        <f t="array" ref="BR943">IF($F943&lt;&gt;"", XLOOKUP($F943,Productos!$A$2:$A1001,Productos!BK$2:BK1001,"")*$G943,"")</f>
        <v/>
      </c>
      <c r="BS943" s="179" t="str">
        <f t="array" ref="BS943">IF($F943&lt;&gt;"",XLOOKUP($F943,Productos!$A:$A,Productos!BL:BL,"Revisar"),"")</f>
        <v/>
      </c>
      <c r="BT943" s="179" t="str">
        <f t="array" ref="BT943">IF($F943&lt;&gt;"", XLOOKUP($F943,Productos!$A$2:$A1001,Productos!BM$2:BM1001,"")*$G943,"")</f>
        <v/>
      </c>
      <c r="BU943" s="179" t="str">
        <f t="array" ref="BU943">IF($F943&lt;&gt;"",XLOOKUP($F943,Productos!$A:$A,Productos!BN:BN,"Revisar"),"")</f>
        <v/>
      </c>
      <c r="BV943" s="179" t="str">
        <f t="array" ref="BV943">IF($F943&lt;&gt;"", XLOOKUP($F943,Productos!$A$2:$A1001,Productos!BO$2:BO1001,"")*$G943,"")</f>
        <v/>
      </c>
      <c r="BW943" s="179" t="str">
        <f t="array" ref="BW943">IF($F943&lt;&gt;"",XLOOKUP($F943,Productos!$A:$A,Productos!BP:BP,"Revisar"),"")</f>
        <v/>
      </c>
      <c r="BX943" s="179" t="str">
        <f t="array" ref="BX943">IF($F943&lt;&gt;"", XLOOKUP($F943,Productos!$A$2:$A1001,Productos!BQ$2:BQ1001,"")*$G943,"")</f>
        <v/>
      </c>
      <c r="BY943" s="179" t="str">
        <f t="array" ref="BY943">IF($F943&lt;&gt;"",XLOOKUP($F943,Productos!$A:$A,Productos!BR:BR,"Revisar"),"")</f>
        <v/>
      </c>
      <c r="BZ943" s="179" t="str">
        <f t="array" ref="BZ943">IF($F943&lt;&gt;"", XLOOKUP($F943,Productos!$A$2:$A1001,Productos!BS$2:BS1001,"")*$G943,"")</f>
        <v/>
      </c>
    </row>
    <row r="944">
      <c r="A944" s="188"/>
      <c r="B944" s="189"/>
      <c r="C944" s="190"/>
      <c r="D944" s="190"/>
      <c r="E944" s="191"/>
      <c r="F944" s="186"/>
      <c r="G944" s="192"/>
      <c r="H944" s="9"/>
      <c r="I944" s="179" t="str">
        <f t="array" ref="I944">IF($F944&lt;&gt;"",XLOOKUP($F944,Productos!$A:$A,Productos!B:B,"Revisar"),"")</f>
        <v/>
      </c>
      <c r="J944" s="179" t="str">
        <f t="array" ref="J944">IF($F944&lt;&gt;"", XLOOKUP($F944,Productos!$A$2:$A1001,Productos!C$2:C1001,"")*$G944,"")</f>
        <v/>
      </c>
      <c r="K944" s="179" t="str">
        <f t="array" ref="K944">IF($F944&lt;&gt;"",XLOOKUP($F944,Productos!$A:$A,Productos!D:D,"Revisar"),"")</f>
        <v/>
      </c>
      <c r="L944" s="179" t="str">
        <f t="array" ref="L944">IF($F944&lt;&gt;"", XLOOKUP($F944,Productos!$A$2:$A1001,Productos!E$2:E1001,"")*$G944,"")</f>
        <v/>
      </c>
      <c r="M944" s="179" t="str">
        <f t="array" ref="M944">IF($F944&lt;&gt;"",XLOOKUP($F944,Productos!$A:$A,Productos!F:F,"Revisar"),"")</f>
        <v/>
      </c>
      <c r="N944" s="179" t="str">
        <f t="array" ref="N944">IF($F944&lt;&gt;"", XLOOKUP($F944,Productos!$A$2:$A1001,Productos!G$2:G1001,"")*$G944,"")</f>
        <v/>
      </c>
      <c r="O944" s="179" t="str">
        <f t="array" ref="O944">IF($F944&lt;&gt;"",XLOOKUP($F944,Productos!$A:$A,Productos!H:H,"Revisar"),"")</f>
        <v/>
      </c>
      <c r="P944" s="179" t="str">
        <f t="array" ref="P944">IF($F944&lt;&gt;"", XLOOKUP($F944,Productos!$A$2:$A1001,Productos!I$2:I1001,"")*$G944,"")</f>
        <v/>
      </c>
      <c r="Q944" s="179" t="str">
        <f t="array" ref="Q944">IF($F944&lt;&gt;"",XLOOKUP($F944,Productos!$A:$A,Productos!J:J,"Revisar"),"")</f>
        <v/>
      </c>
      <c r="R944" s="179" t="str">
        <f t="array" ref="R944">IF($F944&lt;&gt;"", XLOOKUP($F944,Productos!$A$2:$A1001,Productos!K$2:K1001,"")*$G944,"")</f>
        <v/>
      </c>
      <c r="S944" s="179" t="str">
        <f t="array" ref="S944">IF($F944&lt;&gt;"",XLOOKUP($F944,Productos!$A:$A,Productos!L:L,"Revisar"),"")</f>
        <v/>
      </c>
      <c r="T944" s="179" t="str">
        <f t="array" ref="T944">IF($F944&lt;&gt;"", XLOOKUP($F944,Productos!$A$2:$A1001,Productos!M$2:M1001,"")*$G944,"")</f>
        <v/>
      </c>
      <c r="U944" s="179" t="str">
        <f t="array" ref="U944">IF($F944&lt;&gt;"",XLOOKUP($F944,Productos!$A:$A,Productos!N:N,"Revisar"),"")</f>
        <v/>
      </c>
      <c r="V944" s="179" t="str">
        <f t="array" ref="V944">IF($F944&lt;&gt;"", XLOOKUP($F944,Productos!$A$2:$A1001,Productos!O$2:O1001,"")*$G944,"")</f>
        <v/>
      </c>
      <c r="W944" s="179" t="str">
        <f t="array" ref="W944">IF($F944&lt;&gt;"",XLOOKUP($F944,Productos!$A:$A,Productos!P:P,"Revisar"),"")</f>
        <v/>
      </c>
      <c r="X944" s="179" t="str">
        <f t="array" ref="X944">IF($F944&lt;&gt;"", XLOOKUP($F944,Productos!$A$2:$A1001,Productos!Q$2:Q1001,"")*$G944,"")</f>
        <v/>
      </c>
      <c r="Y944" s="179" t="str">
        <f t="array" ref="Y944">IF($F944&lt;&gt;"",XLOOKUP($F944,Productos!$A:$A,Productos!R:R,"Revisar"),"")</f>
        <v/>
      </c>
      <c r="Z944" s="179" t="str">
        <f t="array" ref="Z944">IF($F944&lt;&gt;"", XLOOKUP($F944,Productos!$A$2:$A1001,Productos!S$2:S1001,"")*$G944,"")</f>
        <v/>
      </c>
      <c r="AA944" s="179" t="str">
        <f t="array" ref="AA944">IF($F944&lt;&gt;"",XLOOKUP($F944,Productos!$A:$A,Productos!T:T,"Revisar"),"")</f>
        <v/>
      </c>
      <c r="AB944" s="179" t="str">
        <f t="array" ref="AB944">IF($F944&lt;&gt;"", XLOOKUP($F944,Productos!$A$2:$A1001,Productos!U$2:U1001,"")*$G944,"")</f>
        <v/>
      </c>
      <c r="AC944" s="179" t="str">
        <f t="array" ref="AC944">IF($F944&lt;&gt;"",XLOOKUP($F944,Productos!$A:$A,Productos!V:V,"Revisar"),"")</f>
        <v/>
      </c>
      <c r="AD944" s="179" t="str">
        <f t="array" ref="AD944">IF($F944&lt;&gt;"", XLOOKUP($F944,Productos!$A$2:$A1001,Productos!W$2:W1001,"")*$G944,"")</f>
        <v/>
      </c>
      <c r="AE944" s="179" t="str">
        <f t="array" ref="AE944">IF($F944&lt;&gt;"",XLOOKUP($F944,Productos!$A:$A,Productos!X:X,"Revisar"),"")</f>
        <v/>
      </c>
      <c r="AF944" s="179" t="str">
        <f t="array" ref="AF944">IF($F944&lt;&gt;"", XLOOKUP($F944,Productos!$A$2:$A1001,Productos!Y$2:Y1001,"")*$G944,"")</f>
        <v/>
      </c>
      <c r="AG944" s="179" t="str">
        <f t="array" ref="AG944">IF($F944&lt;&gt;"",XLOOKUP($F944,Productos!$A:$A,Productos!Z:Z,"Revisar"),"")</f>
        <v/>
      </c>
      <c r="AH944" s="179" t="str">
        <f t="array" ref="AH944">IF($F944&lt;&gt;"", XLOOKUP($F944,Productos!$A$2:$A1001,Productos!AA$2:AA1001,"")*$G944,"")</f>
        <v/>
      </c>
      <c r="AI944" s="179" t="str">
        <f t="array" ref="AI944">IF($F944&lt;&gt;"",XLOOKUP($F944,Productos!$A:$A,Productos!AB:AB,"Revisar"),"")</f>
        <v/>
      </c>
      <c r="AJ944" s="179" t="str">
        <f t="array" ref="AJ944">IF($F944&lt;&gt;"", XLOOKUP($F944,Productos!$A$2:$A1001,Productos!AC$2:AC1001,"")*$G944,"")</f>
        <v/>
      </c>
      <c r="AK944" s="179" t="str">
        <f t="array" ref="AK944">IF($F944&lt;&gt;"",XLOOKUP($F944,Productos!$A:$A,Productos!AD:AD,"Revisar"),"")</f>
        <v/>
      </c>
      <c r="AL944" s="179" t="str">
        <f t="array" ref="AL944">IF($F944&lt;&gt;"", XLOOKUP($F944,Productos!$A$2:$A1001,Productos!AE$2:AE1001,"")*$G944,"")</f>
        <v/>
      </c>
      <c r="AM944" s="179" t="str">
        <f t="array" ref="AM944">IF($F944&lt;&gt;"",XLOOKUP($F944,Productos!$A:$A,Productos!AF:AF,"Revisar"),"")</f>
        <v/>
      </c>
      <c r="AN944" s="179" t="str">
        <f t="array" ref="AN944">IF($F944&lt;&gt;"", XLOOKUP($F944,Productos!$A$2:$A1001,Productos!AG$2:AG1001,"")*$G944,"")</f>
        <v/>
      </c>
      <c r="AO944" s="179" t="str">
        <f t="array" ref="AO944">IF($F944&lt;&gt;"",XLOOKUP($F944,Productos!$A:$A,Productos!AH:AH,"Revisar"),"")</f>
        <v/>
      </c>
      <c r="AP944" s="179" t="str">
        <f t="array" ref="AP944">IF($F944&lt;&gt;"", XLOOKUP($F944,Productos!$A$2:$A1001,Productos!AI$2:AI1001,"")*$G944,"")</f>
        <v/>
      </c>
      <c r="AQ944" s="179" t="str">
        <f t="array" ref="AQ944">IF($F944&lt;&gt;"",XLOOKUP($F944,Productos!$A:$A,Productos!AJ:AJ,"Revisar"),"")</f>
        <v/>
      </c>
      <c r="AR944" s="179" t="str">
        <f t="array" ref="AR944">IF($F944&lt;&gt;"", XLOOKUP($F944,Productos!$A$2:$A1001,Productos!AK$2:AK1001,"")*$G944,"")</f>
        <v/>
      </c>
      <c r="AS944" s="179" t="str">
        <f t="array" ref="AS944">IF($F944&lt;&gt;"",XLOOKUP($F944,Productos!$A:$A,Productos!AL:AL,"Revisar"),"")</f>
        <v/>
      </c>
      <c r="AT944" s="179" t="str">
        <f t="array" ref="AT944">IF($F944&lt;&gt;"", XLOOKUP($F944,Productos!$A$2:$A1001,Productos!AM$2:AM1001,"")*$G944,"")</f>
        <v/>
      </c>
      <c r="AU944" s="179" t="str">
        <f t="array" ref="AU944">IF($F944&lt;&gt;"",XLOOKUP($F944,Productos!$A:$A,Productos!AN:AN,"Revisar"),"")</f>
        <v/>
      </c>
      <c r="AV944" s="179" t="str">
        <f t="array" ref="AV944">IF($F944&lt;&gt;"", XLOOKUP($F944,Productos!$A$2:$A1001,Productos!AO$2:AO1001,"")*$G944,"")</f>
        <v/>
      </c>
      <c r="AW944" s="179" t="str">
        <f t="array" ref="AW944">IF($F944&lt;&gt;"",XLOOKUP($F944,Productos!$A:$A,Productos!AP:AP,"Revisar"),"")</f>
        <v/>
      </c>
      <c r="AX944" s="179" t="str">
        <f t="array" ref="AX944">IF($F944&lt;&gt;"", XLOOKUP($F944,Productos!$A$2:$A1001,Productos!AQ$2:AQ1001,"")*$G944,"")</f>
        <v/>
      </c>
      <c r="AY944" s="179" t="str">
        <f t="array" ref="AY944">IF($F944&lt;&gt;"",XLOOKUP($F944,Productos!$A:$A,Productos!AR:AR,"Revisar"),"")</f>
        <v/>
      </c>
      <c r="AZ944" s="179" t="str">
        <f t="array" ref="AZ944">IF($F944&lt;&gt;"", XLOOKUP($F944,Productos!$A$2:$A1001,Productos!AS$2:AS1001,"")*$G944,"")</f>
        <v/>
      </c>
      <c r="BA944" s="179" t="str">
        <f t="array" ref="BA944">IF($F944&lt;&gt;"",XLOOKUP($F944,Productos!$A:$A,Productos!AT:AT,"Revisar"),"")</f>
        <v/>
      </c>
      <c r="BB944" s="179" t="str">
        <f t="array" ref="BB944">IF($F944&lt;&gt;"", XLOOKUP($F944,Productos!$A$2:$A1001,Productos!AU$2:AU1001,"")*$G944,"")</f>
        <v/>
      </c>
      <c r="BC944" s="179" t="str">
        <f t="array" ref="BC944">IF($F944&lt;&gt;"",XLOOKUP($F944,Productos!$A:$A,Productos!AV:AV,"Revisar"),"")</f>
        <v/>
      </c>
      <c r="BD944" s="179" t="str">
        <f t="array" ref="BD944">IF($F944&lt;&gt;"", XLOOKUP($F944,Productos!$A$2:$A1001,Productos!AW$2:AW1001,"")*$G944,"")</f>
        <v/>
      </c>
      <c r="BE944" s="179" t="str">
        <f t="array" ref="BE944">IF($F944&lt;&gt;"",XLOOKUP($F944,Productos!$A:$A,Productos!AX:AX,"Revisar"),"")</f>
        <v/>
      </c>
      <c r="BF944" s="179" t="str">
        <f t="array" ref="BF944">IF($F944&lt;&gt;"", XLOOKUP($F944,Productos!$A$2:$A1001,Productos!AY$2:AY1001,"")*$G944,"")</f>
        <v/>
      </c>
      <c r="BG944" s="179" t="str">
        <f t="array" ref="BG944">IF($F944&lt;&gt;"",XLOOKUP($F944,Productos!$A:$A,Productos!AZ:AZ,"Revisar"),"")</f>
        <v/>
      </c>
      <c r="BH944" s="179" t="str">
        <f t="array" ref="BH944">IF($F944&lt;&gt;"", XLOOKUP($F944,Productos!$A$2:$A1001,Productos!BA$2:BA1001,"")*$G944,"")</f>
        <v/>
      </c>
      <c r="BI944" s="179" t="str">
        <f t="array" ref="BI944">IF($F944&lt;&gt;"",XLOOKUP($F944,Productos!$A:$A,Productos!BB:BB,"Revisar"),"")</f>
        <v/>
      </c>
      <c r="BJ944" s="179" t="str">
        <f t="array" ref="BJ944">IF($F944&lt;&gt;"", XLOOKUP($F944,Productos!$A$2:$A1001,Productos!BC$2:BC1001,"")*$G944,"")</f>
        <v/>
      </c>
      <c r="BK944" s="179" t="str">
        <f t="array" ref="BK944">IF($F944&lt;&gt;"",XLOOKUP($F944,Productos!$A:$A,Productos!BD:BD,"Revisar"),"")</f>
        <v/>
      </c>
      <c r="BL944" s="179" t="str">
        <f t="array" ref="BL944">IF($F944&lt;&gt;"", XLOOKUP($F944,Productos!$A$2:$A1001,Productos!BE$2:BE1001,"")*$G944,"")</f>
        <v/>
      </c>
      <c r="BM944" s="179" t="str">
        <f t="array" ref="BM944">IF($F944&lt;&gt;"",XLOOKUP($F944,Productos!$A:$A,Productos!BF:BF,"Revisar"),"")</f>
        <v/>
      </c>
      <c r="BN944" s="179" t="str">
        <f t="array" ref="BN944">IF($F944&lt;&gt;"", XLOOKUP($F944,Productos!$A$2:$A1001,Productos!BG$2:BG1001,"")*$G944,"")</f>
        <v/>
      </c>
      <c r="BO944" s="179" t="str">
        <f t="array" ref="BO944">IF($F944&lt;&gt;"",XLOOKUP($F944,Productos!$A:$A,Productos!BH:BH,"Revisar"),"")</f>
        <v/>
      </c>
      <c r="BP944" s="179" t="str">
        <f t="array" ref="BP944">IF($F944&lt;&gt;"", XLOOKUP($F944,Productos!$A$2:$A1001,Productos!BI$2:BI1001,"")*$G944,"")</f>
        <v/>
      </c>
      <c r="BQ944" s="179" t="str">
        <f t="array" ref="BQ944">IF($F944&lt;&gt;"",XLOOKUP($F944,Productos!$A:$A,Productos!BJ:BJ,"Revisar"),"")</f>
        <v/>
      </c>
      <c r="BR944" s="179" t="str">
        <f t="array" ref="BR944">IF($F944&lt;&gt;"", XLOOKUP($F944,Productos!$A$2:$A1001,Productos!BK$2:BK1001,"")*$G944,"")</f>
        <v/>
      </c>
      <c r="BS944" s="179" t="str">
        <f t="array" ref="BS944">IF($F944&lt;&gt;"",XLOOKUP($F944,Productos!$A:$A,Productos!BL:BL,"Revisar"),"")</f>
        <v/>
      </c>
      <c r="BT944" s="179" t="str">
        <f t="array" ref="BT944">IF($F944&lt;&gt;"", XLOOKUP($F944,Productos!$A$2:$A1001,Productos!BM$2:BM1001,"")*$G944,"")</f>
        <v/>
      </c>
      <c r="BU944" s="179" t="str">
        <f t="array" ref="BU944">IF($F944&lt;&gt;"",XLOOKUP($F944,Productos!$A:$A,Productos!BN:BN,"Revisar"),"")</f>
        <v/>
      </c>
      <c r="BV944" s="179" t="str">
        <f t="array" ref="BV944">IF($F944&lt;&gt;"", XLOOKUP($F944,Productos!$A$2:$A1001,Productos!BO$2:BO1001,"")*$G944,"")</f>
        <v/>
      </c>
      <c r="BW944" s="179" t="str">
        <f t="array" ref="BW944">IF($F944&lt;&gt;"",XLOOKUP($F944,Productos!$A:$A,Productos!BP:BP,"Revisar"),"")</f>
        <v/>
      </c>
      <c r="BX944" s="179" t="str">
        <f t="array" ref="BX944">IF($F944&lt;&gt;"", XLOOKUP($F944,Productos!$A$2:$A1001,Productos!BQ$2:BQ1001,"")*$G944,"")</f>
        <v/>
      </c>
      <c r="BY944" s="179" t="str">
        <f t="array" ref="BY944">IF($F944&lt;&gt;"",XLOOKUP($F944,Productos!$A:$A,Productos!BR:BR,"Revisar"),"")</f>
        <v/>
      </c>
      <c r="BZ944" s="179" t="str">
        <f t="array" ref="BZ944">IF($F944&lt;&gt;"", XLOOKUP($F944,Productos!$A$2:$A1001,Productos!BS$2:BS1001,"")*$G944,"")</f>
        <v/>
      </c>
    </row>
    <row r="945">
      <c r="A945" s="188"/>
      <c r="B945" s="189"/>
      <c r="C945" s="190"/>
      <c r="D945" s="190"/>
      <c r="E945" s="191"/>
      <c r="F945" s="186"/>
      <c r="G945" s="192"/>
      <c r="H945" s="9"/>
      <c r="I945" s="179" t="str">
        <f t="array" ref="I945">IF($F945&lt;&gt;"",XLOOKUP($F945,Productos!$A:$A,Productos!B:B,"Revisar"),"")</f>
        <v/>
      </c>
      <c r="J945" s="179" t="str">
        <f t="array" ref="J945">IF($F945&lt;&gt;"", XLOOKUP($F945,Productos!$A$2:$A1001,Productos!C$2:C1001,"")*$G945,"")</f>
        <v/>
      </c>
      <c r="K945" s="179" t="str">
        <f t="array" ref="K945">IF($F945&lt;&gt;"",XLOOKUP($F945,Productos!$A:$A,Productos!D:D,"Revisar"),"")</f>
        <v/>
      </c>
      <c r="L945" s="179" t="str">
        <f t="array" ref="L945">IF($F945&lt;&gt;"", XLOOKUP($F945,Productos!$A$2:$A1001,Productos!E$2:E1001,"")*$G945,"")</f>
        <v/>
      </c>
      <c r="M945" s="179" t="str">
        <f t="array" ref="M945">IF($F945&lt;&gt;"",XLOOKUP($F945,Productos!$A:$A,Productos!F:F,"Revisar"),"")</f>
        <v/>
      </c>
      <c r="N945" s="179" t="str">
        <f t="array" ref="N945">IF($F945&lt;&gt;"", XLOOKUP($F945,Productos!$A$2:$A1001,Productos!G$2:G1001,"")*$G945,"")</f>
        <v/>
      </c>
      <c r="O945" s="179" t="str">
        <f t="array" ref="O945">IF($F945&lt;&gt;"",XLOOKUP($F945,Productos!$A:$A,Productos!H:H,"Revisar"),"")</f>
        <v/>
      </c>
      <c r="P945" s="179" t="str">
        <f t="array" ref="P945">IF($F945&lt;&gt;"", XLOOKUP($F945,Productos!$A$2:$A1001,Productos!I$2:I1001,"")*$G945,"")</f>
        <v/>
      </c>
      <c r="Q945" s="179" t="str">
        <f t="array" ref="Q945">IF($F945&lt;&gt;"",XLOOKUP($F945,Productos!$A:$A,Productos!J:J,"Revisar"),"")</f>
        <v/>
      </c>
      <c r="R945" s="179" t="str">
        <f t="array" ref="R945">IF($F945&lt;&gt;"", XLOOKUP($F945,Productos!$A$2:$A1001,Productos!K$2:K1001,"")*$G945,"")</f>
        <v/>
      </c>
      <c r="S945" s="179" t="str">
        <f t="array" ref="S945">IF($F945&lt;&gt;"",XLOOKUP($F945,Productos!$A:$A,Productos!L:L,"Revisar"),"")</f>
        <v/>
      </c>
      <c r="T945" s="179" t="str">
        <f t="array" ref="T945">IF($F945&lt;&gt;"", XLOOKUP($F945,Productos!$A$2:$A1001,Productos!M$2:M1001,"")*$G945,"")</f>
        <v/>
      </c>
      <c r="U945" s="179" t="str">
        <f t="array" ref="U945">IF($F945&lt;&gt;"",XLOOKUP($F945,Productos!$A:$A,Productos!N:N,"Revisar"),"")</f>
        <v/>
      </c>
      <c r="V945" s="179" t="str">
        <f t="array" ref="V945">IF($F945&lt;&gt;"", XLOOKUP($F945,Productos!$A$2:$A1001,Productos!O$2:O1001,"")*$G945,"")</f>
        <v/>
      </c>
      <c r="W945" s="179" t="str">
        <f t="array" ref="W945">IF($F945&lt;&gt;"",XLOOKUP($F945,Productos!$A:$A,Productos!P:P,"Revisar"),"")</f>
        <v/>
      </c>
      <c r="X945" s="179" t="str">
        <f t="array" ref="X945">IF($F945&lt;&gt;"", XLOOKUP($F945,Productos!$A$2:$A1001,Productos!Q$2:Q1001,"")*$G945,"")</f>
        <v/>
      </c>
      <c r="Y945" s="179" t="str">
        <f t="array" ref="Y945">IF($F945&lt;&gt;"",XLOOKUP($F945,Productos!$A:$A,Productos!R:R,"Revisar"),"")</f>
        <v/>
      </c>
      <c r="Z945" s="179" t="str">
        <f t="array" ref="Z945">IF($F945&lt;&gt;"", XLOOKUP($F945,Productos!$A$2:$A1001,Productos!S$2:S1001,"")*$G945,"")</f>
        <v/>
      </c>
      <c r="AA945" s="179" t="str">
        <f t="array" ref="AA945">IF($F945&lt;&gt;"",XLOOKUP($F945,Productos!$A:$A,Productos!T:T,"Revisar"),"")</f>
        <v/>
      </c>
      <c r="AB945" s="179" t="str">
        <f t="array" ref="AB945">IF($F945&lt;&gt;"", XLOOKUP($F945,Productos!$A$2:$A1001,Productos!U$2:U1001,"")*$G945,"")</f>
        <v/>
      </c>
      <c r="AC945" s="179" t="str">
        <f t="array" ref="AC945">IF($F945&lt;&gt;"",XLOOKUP($F945,Productos!$A:$A,Productos!V:V,"Revisar"),"")</f>
        <v/>
      </c>
      <c r="AD945" s="179" t="str">
        <f t="array" ref="AD945">IF($F945&lt;&gt;"", XLOOKUP($F945,Productos!$A$2:$A1001,Productos!W$2:W1001,"")*$G945,"")</f>
        <v/>
      </c>
      <c r="AE945" s="179" t="str">
        <f t="array" ref="AE945">IF($F945&lt;&gt;"",XLOOKUP($F945,Productos!$A:$A,Productos!X:X,"Revisar"),"")</f>
        <v/>
      </c>
      <c r="AF945" s="179" t="str">
        <f t="array" ref="AF945">IF($F945&lt;&gt;"", XLOOKUP($F945,Productos!$A$2:$A1001,Productos!Y$2:Y1001,"")*$G945,"")</f>
        <v/>
      </c>
      <c r="AG945" s="179" t="str">
        <f t="array" ref="AG945">IF($F945&lt;&gt;"",XLOOKUP($F945,Productos!$A:$A,Productos!Z:Z,"Revisar"),"")</f>
        <v/>
      </c>
      <c r="AH945" s="179" t="str">
        <f t="array" ref="AH945">IF($F945&lt;&gt;"", XLOOKUP($F945,Productos!$A$2:$A1001,Productos!AA$2:AA1001,"")*$G945,"")</f>
        <v/>
      </c>
      <c r="AI945" s="179" t="str">
        <f t="array" ref="AI945">IF($F945&lt;&gt;"",XLOOKUP($F945,Productos!$A:$A,Productos!AB:AB,"Revisar"),"")</f>
        <v/>
      </c>
      <c r="AJ945" s="179" t="str">
        <f t="array" ref="AJ945">IF($F945&lt;&gt;"", XLOOKUP($F945,Productos!$A$2:$A1001,Productos!AC$2:AC1001,"")*$G945,"")</f>
        <v/>
      </c>
      <c r="AK945" s="179" t="str">
        <f t="array" ref="AK945">IF($F945&lt;&gt;"",XLOOKUP($F945,Productos!$A:$A,Productos!AD:AD,"Revisar"),"")</f>
        <v/>
      </c>
      <c r="AL945" s="179" t="str">
        <f t="array" ref="AL945">IF($F945&lt;&gt;"", XLOOKUP($F945,Productos!$A$2:$A1001,Productos!AE$2:AE1001,"")*$G945,"")</f>
        <v/>
      </c>
      <c r="AM945" s="179" t="str">
        <f t="array" ref="AM945">IF($F945&lt;&gt;"",XLOOKUP($F945,Productos!$A:$A,Productos!AF:AF,"Revisar"),"")</f>
        <v/>
      </c>
      <c r="AN945" s="179" t="str">
        <f t="array" ref="AN945">IF($F945&lt;&gt;"", XLOOKUP($F945,Productos!$A$2:$A1001,Productos!AG$2:AG1001,"")*$G945,"")</f>
        <v/>
      </c>
      <c r="AO945" s="179" t="str">
        <f t="array" ref="AO945">IF($F945&lt;&gt;"",XLOOKUP($F945,Productos!$A:$A,Productos!AH:AH,"Revisar"),"")</f>
        <v/>
      </c>
      <c r="AP945" s="179" t="str">
        <f t="array" ref="AP945">IF($F945&lt;&gt;"", XLOOKUP($F945,Productos!$A$2:$A1001,Productos!AI$2:AI1001,"")*$G945,"")</f>
        <v/>
      </c>
      <c r="AQ945" s="179" t="str">
        <f t="array" ref="AQ945">IF($F945&lt;&gt;"",XLOOKUP($F945,Productos!$A:$A,Productos!AJ:AJ,"Revisar"),"")</f>
        <v/>
      </c>
      <c r="AR945" s="179" t="str">
        <f t="array" ref="AR945">IF($F945&lt;&gt;"", XLOOKUP($F945,Productos!$A$2:$A1001,Productos!AK$2:AK1001,"")*$G945,"")</f>
        <v/>
      </c>
      <c r="AS945" s="179" t="str">
        <f t="array" ref="AS945">IF($F945&lt;&gt;"",XLOOKUP($F945,Productos!$A:$A,Productos!AL:AL,"Revisar"),"")</f>
        <v/>
      </c>
      <c r="AT945" s="179" t="str">
        <f t="array" ref="AT945">IF($F945&lt;&gt;"", XLOOKUP($F945,Productos!$A$2:$A1001,Productos!AM$2:AM1001,"")*$G945,"")</f>
        <v/>
      </c>
      <c r="AU945" s="179" t="str">
        <f t="array" ref="AU945">IF($F945&lt;&gt;"",XLOOKUP($F945,Productos!$A:$A,Productos!AN:AN,"Revisar"),"")</f>
        <v/>
      </c>
      <c r="AV945" s="179" t="str">
        <f t="array" ref="AV945">IF($F945&lt;&gt;"", XLOOKUP($F945,Productos!$A$2:$A1001,Productos!AO$2:AO1001,"")*$G945,"")</f>
        <v/>
      </c>
      <c r="AW945" s="179" t="str">
        <f t="array" ref="AW945">IF($F945&lt;&gt;"",XLOOKUP($F945,Productos!$A:$A,Productos!AP:AP,"Revisar"),"")</f>
        <v/>
      </c>
      <c r="AX945" s="179" t="str">
        <f t="array" ref="AX945">IF($F945&lt;&gt;"", XLOOKUP($F945,Productos!$A$2:$A1001,Productos!AQ$2:AQ1001,"")*$G945,"")</f>
        <v/>
      </c>
      <c r="AY945" s="179" t="str">
        <f t="array" ref="AY945">IF($F945&lt;&gt;"",XLOOKUP($F945,Productos!$A:$A,Productos!AR:AR,"Revisar"),"")</f>
        <v/>
      </c>
      <c r="AZ945" s="179" t="str">
        <f t="array" ref="AZ945">IF($F945&lt;&gt;"", XLOOKUP($F945,Productos!$A$2:$A1001,Productos!AS$2:AS1001,"")*$G945,"")</f>
        <v/>
      </c>
      <c r="BA945" s="179" t="str">
        <f t="array" ref="BA945">IF($F945&lt;&gt;"",XLOOKUP($F945,Productos!$A:$A,Productos!AT:AT,"Revisar"),"")</f>
        <v/>
      </c>
      <c r="BB945" s="179" t="str">
        <f t="array" ref="BB945">IF($F945&lt;&gt;"", XLOOKUP($F945,Productos!$A$2:$A1001,Productos!AU$2:AU1001,"")*$G945,"")</f>
        <v/>
      </c>
      <c r="BC945" s="179" t="str">
        <f t="array" ref="BC945">IF($F945&lt;&gt;"",XLOOKUP($F945,Productos!$A:$A,Productos!AV:AV,"Revisar"),"")</f>
        <v/>
      </c>
      <c r="BD945" s="179" t="str">
        <f t="array" ref="BD945">IF($F945&lt;&gt;"", XLOOKUP($F945,Productos!$A$2:$A1001,Productos!AW$2:AW1001,"")*$G945,"")</f>
        <v/>
      </c>
      <c r="BE945" s="179" t="str">
        <f t="array" ref="BE945">IF($F945&lt;&gt;"",XLOOKUP($F945,Productos!$A:$A,Productos!AX:AX,"Revisar"),"")</f>
        <v/>
      </c>
      <c r="BF945" s="179" t="str">
        <f t="array" ref="BF945">IF($F945&lt;&gt;"", XLOOKUP($F945,Productos!$A$2:$A1001,Productos!AY$2:AY1001,"")*$G945,"")</f>
        <v/>
      </c>
      <c r="BG945" s="179" t="str">
        <f t="array" ref="BG945">IF($F945&lt;&gt;"",XLOOKUP($F945,Productos!$A:$A,Productos!AZ:AZ,"Revisar"),"")</f>
        <v/>
      </c>
      <c r="BH945" s="179" t="str">
        <f t="array" ref="BH945">IF($F945&lt;&gt;"", XLOOKUP($F945,Productos!$A$2:$A1001,Productos!BA$2:BA1001,"")*$G945,"")</f>
        <v/>
      </c>
      <c r="BI945" s="179" t="str">
        <f t="array" ref="BI945">IF($F945&lt;&gt;"",XLOOKUP($F945,Productos!$A:$A,Productos!BB:BB,"Revisar"),"")</f>
        <v/>
      </c>
      <c r="BJ945" s="179" t="str">
        <f t="array" ref="BJ945">IF($F945&lt;&gt;"", XLOOKUP($F945,Productos!$A$2:$A1001,Productos!BC$2:BC1001,"")*$G945,"")</f>
        <v/>
      </c>
      <c r="BK945" s="179" t="str">
        <f t="array" ref="BK945">IF($F945&lt;&gt;"",XLOOKUP($F945,Productos!$A:$A,Productos!BD:BD,"Revisar"),"")</f>
        <v/>
      </c>
      <c r="BL945" s="179" t="str">
        <f t="array" ref="BL945">IF($F945&lt;&gt;"", XLOOKUP($F945,Productos!$A$2:$A1001,Productos!BE$2:BE1001,"")*$G945,"")</f>
        <v/>
      </c>
      <c r="BM945" s="179" t="str">
        <f t="array" ref="BM945">IF($F945&lt;&gt;"",XLOOKUP($F945,Productos!$A:$A,Productos!BF:BF,"Revisar"),"")</f>
        <v/>
      </c>
      <c r="BN945" s="179" t="str">
        <f t="array" ref="BN945">IF($F945&lt;&gt;"", XLOOKUP($F945,Productos!$A$2:$A1001,Productos!BG$2:BG1001,"")*$G945,"")</f>
        <v/>
      </c>
      <c r="BO945" s="179" t="str">
        <f t="array" ref="BO945">IF($F945&lt;&gt;"",XLOOKUP($F945,Productos!$A:$A,Productos!BH:BH,"Revisar"),"")</f>
        <v/>
      </c>
      <c r="BP945" s="179" t="str">
        <f t="array" ref="BP945">IF($F945&lt;&gt;"", XLOOKUP($F945,Productos!$A$2:$A1001,Productos!BI$2:BI1001,"")*$G945,"")</f>
        <v/>
      </c>
      <c r="BQ945" s="179" t="str">
        <f t="array" ref="BQ945">IF($F945&lt;&gt;"",XLOOKUP($F945,Productos!$A:$A,Productos!BJ:BJ,"Revisar"),"")</f>
        <v/>
      </c>
      <c r="BR945" s="179" t="str">
        <f t="array" ref="BR945">IF($F945&lt;&gt;"", XLOOKUP($F945,Productos!$A$2:$A1001,Productos!BK$2:BK1001,"")*$G945,"")</f>
        <v/>
      </c>
      <c r="BS945" s="179" t="str">
        <f t="array" ref="BS945">IF($F945&lt;&gt;"",XLOOKUP($F945,Productos!$A:$A,Productos!BL:BL,"Revisar"),"")</f>
        <v/>
      </c>
      <c r="BT945" s="179" t="str">
        <f t="array" ref="BT945">IF($F945&lt;&gt;"", XLOOKUP($F945,Productos!$A$2:$A1001,Productos!BM$2:BM1001,"")*$G945,"")</f>
        <v/>
      </c>
      <c r="BU945" s="179" t="str">
        <f t="array" ref="BU945">IF($F945&lt;&gt;"",XLOOKUP($F945,Productos!$A:$A,Productos!BN:BN,"Revisar"),"")</f>
        <v/>
      </c>
      <c r="BV945" s="179" t="str">
        <f t="array" ref="BV945">IF($F945&lt;&gt;"", XLOOKUP($F945,Productos!$A$2:$A1001,Productos!BO$2:BO1001,"")*$G945,"")</f>
        <v/>
      </c>
      <c r="BW945" s="179" t="str">
        <f t="array" ref="BW945">IF($F945&lt;&gt;"",XLOOKUP($F945,Productos!$A:$A,Productos!BP:BP,"Revisar"),"")</f>
        <v/>
      </c>
      <c r="BX945" s="179" t="str">
        <f t="array" ref="BX945">IF($F945&lt;&gt;"", XLOOKUP($F945,Productos!$A$2:$A1001,Productos!BQ$2:BQ1001,"")*$G945,"")</f>
        <v/>
      </c>
      <c r="BY945" s="179" t="str">
        <f t="array" ref="BY945">IF($F945&lt;&gt;"",XLOOKUP($F945,Productos!$A:$A,Productos!BR:BR,"Revisar"),"")</f>
        <v/>
      </c>
      <c r="BZ945" s="179" t="str">
        <f t="array" ref="BZ945">IF($F945&lt;&gt;"", XLOOKUP($F945,Productos!$A$2:$A1001,Productos!BS$2:BS1001,"")*$G945,"")</f>
        <v/>
      </c>
    </row>
    <row r="946">
      <c r="A946" s="188"/>
      <c r="B946" s="189"/>
      <c r="C946" s="190"/>
      <c r="D946" s="190"/>
      <c r="E946" s="191"/>
      <c r="F946" s="186"/>
      <c r="G946" s="192"/>
      <c r="H946" s="9"/>
      <c r="I946" s="179" t="str">
        <f t="array" ref="I946">IF($F946&lt;&gt;"",XLOOKUP($F946,Productos!$A:$A,Productos!B:B,"Revisar"),"")</f>
        <v/>
      </c>
      <c r="J946" s="179" t="str">
        <f t="array" ref="J946">IF($F946&lt;&gt;"", XLOOKUP($F946,Productos!$A$2:$A1001,Productos!C$2:C1001,"")*$G946,"")</f>
        <v/>
      </c>
      <c r="K946" s="179" t="str">
        <f t="array" ref="K946">IF($F946&lt;&gt;"",XLOOKUP($F946,Productos!$A:$A,Productos!D:D,"Revisar"),"")</f>
        <v/>
      </c>
      <c r="L946" s="179" t="str">
        <f t="array" ref="L946">IF($F946&lt;&gt;"", XLOOKUP($F946,Productos!$A$2:$A1001,Productos!E$2:E1001,"")*$G946,"")</f>
        <v/>
      </c>
      <c r="M946" s="179" t="str">
        <f t="array" ref="M946">IF($F946&lt;&gt;"",XLOOKUP($F946,Productos!$A:$A,Productos!F:F,"Revisar"),"")</f>
        <v/>
      </c>
      <c r="N946" s="179" t="str">
        <f t="array" ref="N946">IF($F946&lt;&gt;"", XLOOKUP($F946,Productos!$A$2:$A1001,Productos!G$2:G1001,"")*$G946,"")</f>
        <v/>
      </c>
      <c r="O946" s="179" t="str">
        <f t="array" ref="O946">IF($F946&lt;&gt;"",XLOOKUP($F946,Productos!$A:$A,Productos!H:H,"Revisar"),"")</f>
        <v/>
      </c>
      <c r="P946" s="179" t="str">
        <f t="array" ref="P946">IF($F946&lt;&gt;"", XLOOKUP($F946,Productos!$A$2:$A1001,Productos!I$2:I1001,"")*$G946,"")</f>
        <v/>
      </c>
      <c r="Q946" s="179" t="str">
        <f t="array" ref="Q946">IF($F946&lt;&gt;"",XLOOKUP($F946,Productos!$A:$A,Productos!J:J,"Revisar"),"")</f>
        <v/>
      </c>
      <c r="R946" s="179" t="str">
        <f t="array" ref="R946">IF($F946&lt;&gt;"", XLOOKUP($F946,Productos!$A$2:$A1001,Productos!K$2:K1001,"")*$G946,"")</f>
        <v/>
      </c>
      <c r="S946" s="179" t="str">
        <f t="array" ref="S946">IF($F946&lt;&gt;"",XLOOKUP($F946,Productos!$A:$A,Productos!L:L,"Revisar"),"")</f>
        <v/>
      </c>
      <c r="T946" s="179" t="str">
        <f t="array" ref="T946">IF($F946&lt;&gt;"", XLOOKUP($F946,Productos!$A$2:$A1001,Productos!M$2:M1001,"")*$G946,"")</f>
        <v/>
      </c>
      <c r="U946" s="179" t="str">
        <f t="array" ref="U946">IF($F946&lt;&gt;"",XLOOKUP($F946,Productos!$A:$A,Productos!N:N,"Revisar"),"")</f>
        <v/>
      </c>
      <c r="V946" s="179" t="str">
        <f t="array" ref="V946">IF($F946&lt;&gt;"", XLOOKUP($F946,Productos!$A$2:$A1001,Productos!O$2:O1001,"")*$G946,"")</f>
        <v/>
      </c>
      <c r="W946" s="179" t="str">
        <f t="array" ref="W946">IF($F946&lt;&gt;"",XLOOKUP($F946,Productos!$A:$A,Productos!P:P,"Revisar"),"")</f>
        <v/>
      </c>
      <c r="X946" s="179" t="str">
        <f t="array" ref="X946">IF($F946&lt;&gt;"", XLOOKUP($F946,Productos!$A$2:$A1001,Productos!Q$2:Q1001,"")*$G946,"")</f>
        <v/>
      </c>
      <c r="Y946" s="179" t="str">
        <f t="array" ref="Y946">IF($F946&lt;&gt;"",XLOOKUP($F946,Productos!$A:$A,Productos!R:R,"Revisar"),"")</f>
        <v/>
      </c>
      <c r="Z946" s="179" t="str">
        <f t="array" ref="Z946">IF($F946&lt;&gt;"", XLOOKUP($F946,Productos!$A$2:$A1001,Productos!S$2:S1001,"")*$G946,"")</f>
        <v/>
      </c>
      <c r="AA946" s="179" t="str">
        <f t="array" ref="AA946">IF($F946&lt;&gt;"",XLOOKUP($F946,Productos!$A:$A,Productos!T:T,"Revisar"),"")</f>
        <v/>
      </c>
      <c r="AB946" s="179" t="str">
        <f t="array" ref="AB946">IF($F946&lt;&gt;"", XLOOKUP($F946,Productos!$A$2:$A1001,Productos!U$2:U1001,"")*$G946,"")</f>
        <v/>
      </c>
      <c r="AC946" s="179" t="str">
        <f t="array" ref="AC946">IF($F946&lt;&gt;"",XLOOKUP($F946,Productos!$A:$A,Productos!V:V,"Revisar"),"")</f>
        <v/>
      </c>
      <c r="AD946" s="179" t="str">
        <f t="array" ref="AD946">IF($F946&lt;&gt;"", XLOOKUP($F946,Productos!$A$2:$A1001,Productos!W$2:W1001,"")*$G946,"")</f>
        <v/>
      </c>
      <c r="AE946" s="179" t="str">
        <f t="array" ref="AE946">IF($F946&lt;&gt;"",XLOOKUP($F946,Productos!$A:$A,Productos!X:X,"Revisar"),"")</f>
        <v/>
      </c>
      <c r="AF946" s="179" t="str">
        <f t="array" ref="AF946">IF($F946&lt;&gt;"", XLOOKUP($F946,Productos!$A$2:$A1001,Productos!Y$2:Y1001,"")*$G946,"")</f>
        <v/>
      </c>
      <c r="AG946" s="179" t="str">
        <f t="array" ref="AG946">IF($F946&lt;&gt;"",XLOOKUP($F946,Productos!$A:$A,Productos!Z:Z,"Revisar"),"")</f>
        <v/>
      </c>
      <c r="AH946" s="179" t="str">
        <f t="array" ref="AH946">IF($F946&lt;&gt;"", XLOOKUP($F946,Productos!$A$2:$A1001,Productos!AA$2:AA1001,"")*$G946,"")</f>
        <v/>
      </c>
      <c r="AI946" s="179" t="str">
        <f t="array" ref="AI946">IF($F946&lt;&gt;"",XLOOKUP($F946,Productos!$A:$A,Productos!AB:AB,"Revisar"),"")</f>
        <v/>
      </c>
      <c r="AJ946" s="179" t="str">
        <f t="array" ref="AJ946">IF($F946&lt;&gt;"", XLOOKUP($F946,Productos!$A$2:$A1001,Productos!AC$2:AC1001,"")*$G946,"")</f>
        <v/>
      </c>
      <c r="AK946" s="179" t="str">
        <f t="array" ref="AK946">IF($F946&lt;&gt;"",XLOOKUP($F946,Productos!$A:$A,Productos!AD:AD,"Revisar"),"")</f>
        <v/>
      </c>
      <c r="AL946" s="179" t="str">
        <f t="array" ref="AL946">IF($F946&lt;&gt;"", XLOOKUP($F946,Productos!$A$2:$A1001,Productos!AE$2:AE1001,"")*$G946,"")</f>
        <v/>
      </c>
      <c r="AM946" s="179" t="str">
        <f t="array" ref="AM946">IF($F946&lt;&gt;"",XLOOKUP($F946,Productos!$A:$A,Productos!AF:AF,"Revisar"),"")</f>
        <v/>
      </c>
      <c r="AN946" s="179" t="str">
        <f t="array" ref="AN946">IF($F946&lt;&gt;"", XLOOKUP($F946,Productos!$A$2:$A1001,Productos!AG$2:AG1001,"")*$G946,"")</f>
        <v/>
      </c>
      <c r="AO946" s="179" t="str">
        <f t="array" ref="AO946">IF($F946&lt;&gt;"",XLOOKUP($F946,Productos!$A:$A,Productos!AH:AH,"Revisar"),"")</f>
        <v/>
      </c>
      <c r="AP946" s="179" t="str">
        <f t="array" ref="AP946">IF($F946&lt;&gt;"", XLOOKUP($F946,Productos!$A$2:$A1001,Productos!AI$2:AI1001,"")*$G946,"")</f>
        <v/>
      </c>
      <c r="AQ946" s="179" t="str">
        <f t="array" ref="AQ946">IF($F946&lt;&gt;"",XLOOKUP($F946,Productos!$A:$A,Productos!AJ:AJ,"Revisar"),"")</f>
        <v/>
      </c>
      <c r="AR946" s="179" t="str">
        <f t="array" ref="AR946">IF($F946&lt;&gt;"", XLOOKUP($F946,Productos!$A$2:$A1001,Productos!AK$2:AK1001,"")*$G946,"")</f>
        <v/>
      </c>
      <c r="AS946" s="179" t="str">
        <f t="array" ref="AS946">IF($F946&lt;&gt;"",XLOOKUP($F946,Productos!$A:$A,Productos!AL:AL,"Revisar"),"")</f>
        <v/>
      </c>
      <c r="AT946" s="179" t="str">
        <f t="array" ref="AT946">IF($F946&lt;&gt;"", XLOOKUP($F946,Productos!$A$2:$A1001,Productos!AM$2:AM1001,"")*$G946,"")</f>
        <v/>
      </c>
      <c r="AU946" s="179" t="str">
        <f t="array" ref="AU946">IF($F946&lt;&gt;"",XLOOKUP($F946,Productos!$A:$A,Productos!AN:AN,"Revisar"),"")</f>
        <v/>
      </c>
      <c r="AV946" s="179" t="str">
        <f t="array" ref="AV946">IF($F946&lt;&gt;"", XLOOKUP($F946,Productos!$A$2:$A1001,Productos!AO$2:AO1001,"")*$G946,"")</f>
        <v/>
      </c>
      <c r="AW946" s="179" t="str">
        <f t="array" ref="AW946">IF($F946&lt;&gt;"",XLOOKUP($F946,Productos!$A:$A,Productos!AP:AP,"Revisar"),"")</f>
        <v/>
      </c>
      <c r="AX946" s="179" t="str">
        <f t="array" ref="AX946">IF($F946&lt;&gt;"", XLOOKUP($F946,Productos!$A$2:$A1001,Productos!AQ$2:AQ1001,"")*$G946,"")</f>
        <v/>
      </c>
      <c r="AY946" s="179" t="str">
        <f t="array" ref="AY946">IF($F946&lt;&gt;"",XLOOKUP($F946,Productos!$A:$A,Productos!AR:AR,"Revisar"),"")</f>
        <v/>
      </c>
      <c r="AZ946" s="179" t="str">
        <f t="array" ref="AZ946">IF($F946&lt;&gt;"", XLOOKUP($F946,Productos!$A$2:$A1001,Productos!AS$2:AS1001,"")*$G946,"")</f>
        <v/>
      </c>
      <c r="BA946" s="179" t="str">
        <f t="array" ref="BA946">IF($F946&lt;&gt;"",XLOOKUP($F946,Productos!$A:$A,Productos!AT:AT,"Revisar"),"")</f>
        <v/>
      </c>
      <c r="BB946" s="179" t="str">
        <f t="array" ref="BB946">IF($F946&lt;&gt;"", XLOOKUP($F946,Productos!$A$2:$A1001,Productos!AU$2:AU1001,"")*$G946,"")</f>
        <v/>
      </c>
      <c r="BC946" s="179" t="str">
        <f t="array" ref="BC946">IF($F946&lt;&gt;"",XLOOKUP($F946,Productos!$A:$A,Productos!AV:AV,"Revisar"),"")</f>
        <v/>
      </c>
      <c r="BD946" s="179" t="str">
        <f t="array" ref="BD946">IF($F946&lt;&gt;"", XLOOKUP($F946,Productos!$A$2:$A1001,Productos!AW$2:AW1001,"")*$G946,"")</f>
        <v/>
      </c>
      <c r="BE946" s="179" t="str">
        <f t="array" ref="BE946">IF($F946&lt;&gt;"",XLOOKUP($F946,Productos!$A:$A,Productos!AX:AX,"Revisar"),"")</f>
        <v/>
      </c>
      <c r="BF946" s="179" t="str">
        <f t="array" ref="BF946">IF($F946&lt;&gt;"", XLOOKUP($F946,Productos!$A$2:$A1001,Productos!AY$2:AY1001,"")*$G946,"")</f>
        <v/>
      </c>
      <c r="BG946" s="179" t="str">
        <f t="array" ref="BG946">IF($F946&lt;&gt;"",XLOOKUP($F946,Productos!$A:$A,Productos!AZ:AZ,"Revisar"),"")</f>
        <v/>
      </c>
      <c r="BH946" s="179" t="str">
        <f t="array" ref="BH946">IF($F946&lt;&gt;"", XLOOKUP($F946,Productos!$A$2:$A1001,Productos!BA$2:BA1001,"")*$G946,"")</f>
        <v/>
      </c>
      <c r="BI946" s="179" t="str">
        <f t="array" ref="BI946">IF($F946&lt;&gt;"",XLOOKUP($F946,Productos!$A:$A,Productos!BB:BB,"Revisar"),"")</f>
        <v/>
      </c>
      <c r="BJ946" s="179" t="str">
        <f t="array" ref="BJ946">IF($F946&lt;&gt;"", XLOOKUP($F946,Productos!$A$2:$A1001,Productos!BC$2:BC1001,"")*$G946,"")</f>
        <v/>
      </c>
      <c r="BK946" s="179" t="str">
        <f t="array" ref="BK946">IF($F946&lt;&gt;"",XLOOKUP($F946,Productos!$A:$A,Productos!BD:BD,"Revisar"),"")</f>
        <v/>
      </c>
      <c r="BL946" s="179" t="str">
        <f t="array" ref="BL946">IF($F946&lt;&gt;"", XLOOKUP($F946,Productos!$A$2:$A1001,Productos!BE$2:BE1001,"")*$G946,"")</f>
        <v/>
      </c>
      <c r="BM946" s="179" t="str">
        <f t="array" ref="BM946">IF($F946&lt;&gt;"",XLOOKUP($F946,Productos!$A:$A,Productos!BF:BF,"Revisar"),"")</f>
        <v/>
      </c>
      <c r="BN946" s="179" t="str">
        <f t="array" ref="BN946">IF($F946&lt;&gt;"", XLOOKUP($F946,Productos!$A$2:$A1001,Productos!BG$2:BG1001,"")*$G946,"")</f>
        <v/>
      </c>
      <c r="BO946" s="179" t="str">
        <f t="array" ref="BO946">IF($F946&lt;&gt;"",XLOOKUP($F946,Productos!$A:$A,Productos!BH:BH,"Revisar"),"")</f>
        <v/>
      </c>
      <c r="BP946" s="179" t="str">
        <f t="array" ref="BP946">IF($F946&lt;&gt;"", XLOOKUP($F946,Productos!$A$2:$A1001,Productos!BI$2:BI1001,"")*$G946,"")</f>
        <v/>
      </c>
      <c r="BQ946" s="179" t="str">
        <f t="array" ref="BQ946">IF($F946&lt;&gt;"",XLOOKUP($F946,Productos!$A:$A,Productos!BJ:BJ,"Revisar"),"")</f>
        <v/>
      </c>
      <c r="BR946" s="179" t="str">
        <f t="array" ref="BR946">IF($F946&lt;&gt;"", XLOOKUP($F946,Productos!$A$2:$A1001,Productos!BK$2:BK1001,"")*$G946,"")</f>
        <v/>
      </c>
      <c r="BS946" s="179" t="str">
        <f t="array" ref="BS946">IF($F946&lt;&gt;"",XLOOKUP($F946,Productos!$A:$A,Productos!BL:BL,"Revisar"),"")</f>
        <v/>
      </c>
      <c r="BT946" s="179" t="str">
        <f t="array" ref="BT946">IF($F946&lt;&gt;"", XLOOKUP($F946,Productos!$A$2:$A1001,Productos!BM$2:BM1001,"")*$G946,"")</f>
        <v/>
      </c>
      <c r="BU946" s="179" t="str">
        <f t="array" ref="BU946">IF($F946&lt;&gt;"",XLOOKUP($F946,Productos!$A:$A,Productos!BN:BN,"Revisar"),"")</f>
        <v/>
      </c>
      <c r="BV946" s="179" t="str">
        <f t="array" ref="BV946">IF($F946&lt;&gt;"", XLOOKUP($F946,Productos!$A$2:$A1001,Productos!BO$2:BO1001,"")*$G946,"")</f>
        <v/>
      </c>
      <c r="BW946" s="179" t="str">
        <f t="array" ref="BW946">IF($F946&lt;&gt;"",XLOOKUP($F946,Productos!$A:$A,Productos!BP:BP,"Revisar"),"")</f>
        <v/>
      </c>
      <c r="BX946" s="179" t="str">
        <f t="array" ref="BX946">IF($F946&lt;&gt;"", XLOOKUP($F946,Productos!$A$2:$A1001,Productos!BQ$2:BQ1001,"")*$G946,"")</f>
        <v/>
      </c>
      <c r="BY946" s="179" t="str">
        <f t="array" ref="BY946">IF($F946&lt;&gt;"",XLOOKUP($F946,Productos!$A:$A,Productos!BR:BR,"Revisar"),"")</f>
        <v/>
      </c>
      <c r="BZ946" s="179" t="str">
        <f t="array" ref="BZ946">IF($F946&lt;&gt;"", XLOOKUP($F946,Productos!$A$2:$A1001,Productos!BS$2:BS1001,"")*$G946,"")</f>
        <v/>
      </c>
    </row>
    <row r="947">
      <c r="A947" s="188"/>
      <c r="B947" s="189"/>
      <c r="C947" s="190"/>
      <c r="D947" s="190"/>
      <c r="E947" s="191"/>
      <c r="F947" s="186"/>
      <c r="G947" s="192"/>
      <c r="H947" s="9"/>
      <c r="I947" s="179" t="str">
        <f t="array" ref="I947">IF($F947&lt;&gt;"",XLOOKUP($F947,Productos!$A:$A,Productos!B:B,"Revisar"),"")</f>
        <v/>
      </c>
      <c r="J947" s="179" t="str">
        <f t="array" ref="J947">IF($F947&lt;&gt;"", XLOOKUP($F947,Productos!$A$2:$A1001,Productos!C$2:C1001,"")*$G947,"")</f>
        <v/>
      </c>
      <c r="K947" s="179" t="str">
        <f t="array" ref="K947">IF($F947&lt;&gt;"",XLOOKUP($F947,Productos!$A:$A,Productos!D:D,"Revisar"),"")</f>
        <v/>
      </c>
      <c r="L947" s="179" t="str">
        <f t="array" ref="L947">IF($F947&lt;&gt;"", XLOOKUP($F947,Productos!$A$2:$A1001,Productos!E$2:E1001,"")*$G947,"")</f>
        <v/>
      </c>
      <c r="M947" s="179" t="str">
        <f t="array" ref="M947">IF($F947&lt;&gt;"",XLOOKUP($F947,Productos!$A:$A,Productos!F:F,"Revisar"),"")</f>
        <v/>
      </c>
      <c r="N947" s="179" t="str">
        <f t="array" ref="N947">IF($F947&lt;&gt;"", XLOOKUP($F947,Productos!$A$2:$A1001,Productos!G$2:G1001,"")*$G947,"")</f>
        <v/>
      </c>
      <c r="O947" s="179" t="str">
        <f t="array" ref="O947">IF($F947&lt;&gt;"",XLOOKUP($F947,Productos!$A:$A,Productos!H:H,"Revisar"),"")</f>
        <v/>
      </c>
      <c r="P947" s="179" t="str">
        <f t="array" ref="P947">IF($F947&lt;&gt;"", XLOOKUP($F947,Productos!$A$2:$A1001,Productos!I$2:I1001,"")*$G947,"")</f>
        <v/>
      </c>
      <c r="Q947" s="179" t="str">
        <f t="array" ref="Q947">IF($F947&lt;&gt;"",XLOOKUP($F947,Productos!$A:$A,Productos!J:J,"Revisar"),"")</f>
        <v/>
      </c>
      <c r="R947" s="179" t="str">
        <f t="array" ref="R947">IF($F947&lt;&gt;"", XLOOKUP($F947,Productos!$A$2:$A1001,Productos!K$2:K1001,"")*$G947,"")</f>
        <v/>
      </c>
      <c r="S947" s="179" t="str">
        <f t="array" ref="S947">IF($F947&lt;&gt;"",XLOOKUP($F947,Productos!$A:$A,Productos!L:L,"Revisar"),"")</f>
        <v/>
      </c>
      <c r="T947" s="179" t="str">
        <f t="array" ref="T947">IF($F947&lt;&gt;"", XLOOKUP($F947,Productos!$A$2:$A1001,Productos!M$2:M1001,"")*$G947,"")</f>
        <v/>
      </c>
      <c r="U947" s="179" t="str">
        <f t="array" ref="U947">IF($F947&lt;&gt;"",XLOOKUP($F947,Productos!$A:$A,Productos!N:N,"Revisar"),"")</f>
        <v/>
      </c>
      <c r="V947" s="179" t="str">
        <f t="array" ref="V947">IF($F947&lt;&gt;"", XLOOKUP($F947,Productos!$A$2:$A1001,Productos!O$2:O1001,"")*$G947,"")</f>
        <v/>
      </c>
      <c r="W947" s="179" t="str">
        <f t="array" ref="W947">IF($F947&lt;&gt;"",XLOOKUP($F947,Productos!$A:$A,Productos!P:P,"Revisar"),"")</f>
        <v/>
      </c>
      <c r="X947" s="179" t="str">
        <f t="array" ref="X947">IF($F947&lt;&gt;"", XLOOKUP($F947,Productos!$A$2:$A1001,Productos!Q$2:Q1001,"")*$G947,"")</f>
        <v/>
      </c>
      <c r="Y947" s="179" t="str">
        <f t="array" ref="Y947">IF($F947&lt;&gt;"",XLOOKUP($F947,Productos!$A:$A,Productos!R:R,"Revisar"),"")</f>
        <v/>
      </c>
      <c r="Z947" s="179" t="str">
        <f t="array" ref="Z947">IF($F947&lt;&gt;"", XLOOKUP($F947,Productos!$A$2:$A1001,Productos!S$2:S1001,"")*$G947,"")</f>
        <v/>
      </c>
      <c r="AA947" s="179" t="str">
        <f t="array" ref="AA947">IF($F947&lt;&gt;"",XLOOKUP($F947,Productos!$A:$A,Productos!T:T,"Revisar"),"")</f>
        <v/>
      </c>
      <c r="AB947" s="179" t="str">
        <f t="array" ref="AB947">IF($F947&lt;&gt;"", XLOOKUP($F947,Productos!$A$2:$A1001,Productos!U$2:U1001,"")*$G947,"")</f>
        <v/>
      </c>
      <c r="AC947" s="179" t="str">
        <f t="array" ref="AC947">IF($F947&lt;&gt;"",XLOOKUP($F947,Productos!$A:$A,Productos!V:V,"Revisar"),"")</f>
        <v/>
      </c>
      <c r="AD947" s="179" t="str">
        <f t="array" ref="AD947">IF($F947&lt;&gt;"", XLOOKUP($F947,Productos!$A$2:$A1001,Productos!W$2:W1001,"")*$G947,"")</f>
        <v/>
      </c>
      <c r="AE947" s="179" t="str">
        <f t="array" ref="AE947">IF($F947&lt;&gt;"",XLOOKUP($F947,Productos!$A:$A,Productos!X:X,"Revisar"),"")</f>
        <v/>
      </c>
      <c r="AF947" s="179" t="str">
        <f t="array" ref="AF947">IF($F947&lt;&gt;"", XLOOKUP($F947,Productos!$A$2:$A1001,Productos!Y$2:Y1001,"")*$G947,"")</f>
        <v/>
      </c>
      <c r="AG947" s="179" t="str">
        <f t="array" ref="AG947">IF($F947&lt;&gt;"",XLOOKUP($F947,Productos!$A:$A,Productos!Z:Z,"Revisar"),"")</f>
        <v/>
      </c>
      <c r="AH947" s="179" t="str">
        <f t="array" ref="AH947">IF($F947&lt;&gt;"", XLOOKUP($F947,Productos!$A$2:$A1001,Productos!AA$2:AA1001,"")*$G947,"")</f>
        <v/>
      </c>
      <c r="AI947" s="179" t="str">
        <f t="array" ref="AI947">IF($F947&lt;&gt;"",XLOOKUP($F947,Productos!$A:$A,Productos!AB:AB,"Revisar"),"")</f>
        <v/>
      </c>
      <c r="AJ947" s="179" t="str">
        <f t="array" ref="AJ947">IF($F947&lt;&gt;"", XLOOKUP($F947,Productos!$A$2:$A1001,Productos!AC$2:AC1001,"")*$G947,"")</f>
        <v/>
      </c>
      <c r="AK947" s="179" t="str">
        <f t="array" ref="AK947">IF($F947&lt;&gt;"",XLOOKUP($F947,Productos!$A:$A,Productos!AD:AD,"Revisar"),"")</f>
        <v/>
      </c>
      <c r="AL947" s="179" t="str">
        <f t="array" ref="AL947">IF($F947&lt;&gt;"", XLOOKUP($F947,Productos!$A$2:$A1001,Productos!AE$2:AE1001,"")*$G947,"")</f>
        <v/>
      </c>
      <c r="AM947" s="179" t="str">
        <f t="array" ref="AM947">IF($F947&lt;&gt;"",XLOOKUP($F947,Productos!$A:$A,Productos!AF:AF,"Revisar"),"")</f>
        <v/>
      </c>
      <c r="AN947" s="179" t="str">
        <f t="array" ref="AN947">IF($F947&lt;&gt;"", XLOOKUP($F947,Productos!$A$2:$A1001,Productos!AG$2:AG1001,"")*$G947,"")</f>
        <v/>
      </c>
      <c r="AO947" s="179" t="str">
        <f t="array" ref="AO947">IF($F947&lt;&gt;"",XLOOKUP($F947,Productos!$A:$A,Productos!AH:AH,"Revisar"),"")</f>
        <v/>
      </c>
      <c r="AP947" s="179" t="str">
        <f t="array" ref="AP947">IF($F947&lt;&gt;"", XLOOKUP($F947,Productos!$A$2:$A1001,Productos!AI$2:AI1001,"")*$G947,"")</f>
        <v/>
      </c>
      <c r="AQ947" s="179" t="str">
        <f t="array" ref="AQ947">IF($F947&lt;&gt;"",XLOOKUP($F947,Productos!$A:$A,Productos!AJ:AJ,"Revisar"),"")</f>
        <v/>
      </c>
      <c r="AR947" s="179" t="str">
        <f t="array" ref="AR947">IF($F947&lt;&gt;"", XLOOKUP($F947,Productos!$A$2:$A1001,Productos!AK$2:AK1001,"")*$G947,"")</f>
        <v/>
      </c>
      <c r="AS947" s="179" t="str">
        <f t="array" ref="AS947">IF($F947&lt;&gt;"",XLOOKUP($F947,Productos!$A:$A,Productos!AL:AL,"Revisar"),"")</f>
        <v/>
      </c>
      <c r="AT947" s="179" t="str">
        <f t="array" ref="AT947">IF($F947&lt;&gt;"", XLOOKUP($F947,Productos!$A$2:$A1001,Productos!AM$2:AM1001,"")*$G947,"")</f>
        <v/>
      </c>
      <c r="AU947" s="179" t="str">
        <f t="array" ref="AU947">IF($F947&lt;&gt;"",XLOOKUP($F947,Productos!$A:$A,Productos!AN:AN,"Revisar"),"")</f>
        <v/>
      </c>
      <c r="AV947" s="179" t="str">
        <f t="array" ref="AV947">IF($F947&lt;&gt;"", XLOOKUP($F947,Productos!$A$2:$A1001,Productos!AO$2:AO1001,"")*$G947,"")</f>
        <v/>
      </c>
      <c r="AW947" s="179" t="str">
        <f t="array" ref="AW947">IF($F947&lt;&gt;"",XLOOKUP($F947,Productos!$A:$A,Productos!AP:AP,"Revisar"),"")</f>
        <v/>
      </c>
      <c r="AX947" s="179" t="str">
        <f t="array" ref="AX947">IF($F947&lt;&gt;"", XLOOKUP($F947,Productos!$A$2:$A1001,Productos!AQ$2:AQ1001,"")*$G947,"")</f>
        <v/>
      </c>
      <c r="AY947" s="179" t="str">
        <f t="array" ref="AY947">IF($F947&lt;&gt;"",XLOOKUP($F947,Productos!$A:$A,Productos!AR:AR,"Revisar"),"")</f>
        <v/>
      </c>
      <c r="AZ947" s="179" t="str">
        <f t="array" ref="AZ947">IF($F947&lt;&gt;"", XLOOKUP($F947,Productos!$A$2:$A1001,Productos!AS$2:AS1001,"")*$G947,"")</f>
        <v/>
      </c>
      <c r="BA947" s="179" t="str">
        <f t="array" ref="BA947">IF($F947&lt;&gt;"",XLOOKUP($F947,Productos!$A:$A,Productos!AT:AT,"Revisar"),"")</f>
        <v/>
      </c>
      <c r="BB947" s="179" t="str">
        <f t="array" ref="BB947">IF($F947&lt;&gt;"", XLOOKUP($F947,Productos!$A$2:$A1001,Productos!AU$2:AU1001,"")*$G947,"")</f>
        <v/>
      </c>
      <c r="BC947" s="179" t="str">
        <f t="array" ref="BC947">IF($F947&lt;&gt;"",XLOOKUP($F947,Productos!$A:$A,Productos!AV:AV,"Revisar"),"")</f>
        <v/>
      </c>
      <c r="BD947" s="179" t="str">
        <f t="array" ref="BD947">IF($F947&lt;&gt;"", XLOOKUP($F947,Productos!$A$2:$A1001,Productos!AW$2:AW1001,"")*$G947,"")</f>
        <v/>
      </c>
      <c r="BE947" s="179" t="str">
        <f t="array" ref="BE947">IF($F947&lt;&gt;"",XLOOKUP($F947,Productos!$A:$A,Productos!AX:AX,"Revisar"),"")</f>
        <v/>
      </c>
      <c r="BF947" s="179" t="str">
        <f t="array" ref="BF947">IF($F947&lt;&gt;"", XLOOKUP($F947,Productos!$A$2:$A1001,Productos!AY$2:AY1001,"")*$G947,"")</f>
        <v/>
      </c>
      <c r="BG947" s="179" t="str">
        <f t="array" ref="BG947">IF($F947&lt;&gt;"",XLOOKUP($F947,Productos!$A:$A,Productos!AZ:AZ,"Revisar"),"")</f>
        <v/>
      </c>
      <c r="BH947" s="179" t="str">
        <f t="array" ref="BH947">IF($F947&lt;&gt;"", XLOOKUP($F947,Productos!$A$2:$A1001,Productos!BA$2:BA1001,"")*$G947,"")</f>
        <v/>
      </c>
      <c r="BI947" s="179" t="str">
        <f t="array" ref="BI947">IF($F947&lt;&gt;"",XLOOKUP($F947,Productos!$A:$A,Productos!BB:BB,"Revisar"),"")</f>
        <v/>
      </c>
      <c r="BJ947" s="179" t="str">
        <f t="array" ref="BJ947">IF($F947&lt;&gt;"", XLOOKUP($F947,Productos!$A$2:$A1001,Productos!BC$2:BC1001,"")*$G947,"")</f>
        <v/>
      </c>
      <c r="BK947" s="179" t="str">
        <f t="array" ref="BK947">IF($F947&lt;&gt;"",XLOOKUP($F947,Productos!$A:$A,Productos!BD:BD,"Revisar"),"")</f>
        <v/>
      </c>
      <c r="BL947" s="179" t="str">
        <f t="array" ref="BL947">IF($F947&lt;&gt;"", XLOOKUP($F947,Productos!$A$2:$A1001,Productos!BE$2:BE1001,"")*$G947,"")</f>
        <v/>
      </c>
      <c r="BM947" s="179" t="str">
        <f t="array" ref="BM947">IF($F947&lt;&gt;"",XLOOKUP($F947,Productos!$A:$A,Productos!BF:BF,"Revisar"),"")</f>
        <v/>
      </c>
      <c r="BN947" s="179" t="str">
        <f t="array" ref="BN947">IF($F947&lt;&gt;"", XLOOKUP($F947,Productos!$A$2:$A1001,Productos!BG$2:BG1001,"")*$G947,"")</f>
        <v/>
      </c>
      <c r="BO947" s="179" t="str">
        <f t="array" ref="BO947">IF($F947&lt;&gt;"",XLOOKUP($F947,Productos!$A:$A,Productos!BH:BH,"Revisar"),"")</f>
        <v/>
      </c>
      <c r="BP947" s="179" t="str">
        <f t="array" ref="BP947">IF($F947&lt;&gt;"", XLOOKUP($F947,Productos!$A$2:$A1001,Productos!BI$2:BI1001,"")*$G947,"")</f>
        <v/>
      </c>
      <c r="BQ947" s="179" t="str">
        <f t="array" ref="BQ947">IF($F947&lt;&gt;"",XLOOKUP($F947,Productos!$A:$A,Productos!BJ:BJ,"Revisar"),"")</f>
        <v/>
      </c>
      <c r="BR947" s="179" t="str">
        <f t="array" ref="BR947">IF($F947&lt;&gt;"", XLOOKUP($F947,Productos!$A$2:$A1001,Productos!BK$2:BK1001,"")*$G947,"")</f>
        <v/>
      </c>
      <c r="BS947" s="179" t="str">
        <f t="array" ref="BS947">IF($F947&lt;&gt;"",XLOOKUP($F947,Productos!$A:$A,Productos!BL:BL,"Revisar"),"")</f>
        <v/>
      </c>
      <c r="BT947" s="179" t="str">
        <f t="array" ref="BT947">IF($F947&lt;&gt;"", XLOOKUP($F947,Productos!$A$2:$A1001,Productos!BM$2:BM1001,"")*$G947,"")</f>
        <v/>
      </c>
      <c r="BU947" s="179" t="str">
        <f t="array" ref="BU947">IF($F947&lt;&gt;"",XLOOKUP($F947,Productos!$A:$A,Productos!BN:BN,"Revisar"),"")</f>
        <v/>
      </c>
      <c r="BV947" s="179" t="str">
        <f t="array" ref="BV947">IF($F947&lt;&gt;"", XLOOKUP($F947,Productos!$A$2:$A1001,Productos!BO$2:BO1001,"")*$G947,"")</f>
        <v/>
      </c>
      <c r="BW947" s="179" t="str">
        <f t="array" ref="BW947">IF($F947&lt;&gt;"",XLOOKUP($F947,Productos!$A:$A,Productos!BP:BP,"Revisar"),"")</f>
        <v/>
      </c>
      <c r="BX947" s="179" t="str">
        <f t="array" ref="BX947">IF($F947&lt;&gt;"", XLOOKUP($F947,Productos!$A$2:$A1001,Productos!BQ$2:BQ1001,"")*$G947,"")</f>
        <v/>
      </c>
      <c r="BY947" s="179" t="str">
        <f t="array" ref="BY947">IF($F947&lt;&gt;"",XLOOKUP($F947,Productos!$A:$A,Productos!BR:BR,"Revisar"),"")</f>
        <v/>
      </c>
      <c r="BZ947" s="179" t="str">
        <f t="array" ref="BZ947">IF($F947&lt;&gt;"", XLOOKUP($F947,Productos!$A$2:$A1001,Productos!BS$2:BS1001,"")*$G947,"")</f>
        <v/>
      </c>
    </row>
    <row r="948">
      <c r="A948" s="188"/>
      <c r="B948" s="189"/>
      <c r="C948" s="190"/>
      <c r="D948" s="190"/>
      <c r="E948" s="191"/>
      <c r="F948" s="186"/>
      <c r="G948" s="192"/>
      <c r="H948" s="9"/>
      <c r="I948" s="179" t="str">
        <f t="array" ref="I948">IF($F948&lt;&gt;"",XLOOKUP($F948,Productos!$A:$A,Productos!B:B,"Revisar"),"")</f>
        <v/>
      </c>
      <c r="J948" s="179" t="str">
        <f t="array" ref="J948">IF($F948&lt;&gt;"", XLOOKUP($F948,Productos!$A$2:$A1001,Productos!C$2:C1001,"")*$G948,"")</f>
        <v/>
      </c>
      <c r="K948" s="179" t="str">
        <f t="array" ref="K948">IF($F948&lt;&gt;"",XLOOKUP($F948,Productos!$A:$A,Productos!D:D,"Revisar"),"")</f>
        <v/>
      </c>
      <c r="L948" s="179" t="str">
        <f t="array" ref="L948">IF($F948&lt;&gt;"", XLOOKUP($F948,Productos!$A$2:$A1001,Productos!E$2:E1001,"")*$G948,"")</f>
        <v/>
      </c>
      <c r="M948" s="179" t="str">
        <f t="array" ref="M948">IF($F948&lt;&gt;"",XLOOKUP($F948,Productos!$A:$A,Productos!F:F,"Revisar"),"")</f>
        <v/>
      </c>
      <c r="N948" s="179" t="str">
        <f t="array" ref="N948">IF($F948&lt;&gt;"", XLOOKUP($F948,Productos!$A$2:$A1001,Productos!G$2:G1001,"")*$G948,"")</f>
        <v/>
      </c>
      <c r="O948" s="179" t="str">
        <f t="array" ref="O948">IF($F948&lt;&gt;"",XLOOKUP($F948,Productos!$A:$A,Productos!H:H,"Revisar"),"")</f>
        <v/>
      </c>
      <c r="P948" s="179" t="str">
        <f t="array" ref="P948">IF($F948&lt;&gt;"", XLOOKUP($F948,Productos!$A$2:$A1001,Productos!I$2:I1001,"")*$G948,"")</f>
        <v/>
      </c>
      <c r="Q948" s="179" t="str">
        <f t="array" ref="Q948">IF($F948&lt;&gt;"",XLOOKUP($F948,Productos!$A:$A,Productos!J:J,"Revisar"),"")</f>
        <v/>
      </c>
      <c r="R948" s="179" t="str">
        <f t="array" ref="R948">IF($F948&lt;&gt;"", XLOOKUP($F948,Productos!$A$2:$A1001,Productos!K$2:K1001,"")*$G948,"")</f>
        <v/>
      </c>
      <c r="S948" s="179" t="str">
        <f t="array" ref="S948">IF($F948&lt;&gt;"",XLOOKUP($F948,Productos!$A:$A,Productos!L:L,"Revisar"),"")</f>
        <v/>
      </c>
      <c r="T948" s="179" t="str">
        <f t="array" ref="T948">IF($F948&lt;&gt;"", XLOOKUP($F948,Productos!$A$2:$A1001,Productos!M$2:M1001,"")*$G948,"")</f>
        <v/>
      </c>
      <c r="U948" s="179" t="str">
        <f t="array" ref="U948">IF($F948&lt;&gt;"",XLOOKUP($F948,Productos!$A:$A,Productos!N:N,"Revisar"),"")</f>
        <v/>
      </c>
      <c r="V948" s="179" t="str">
        <f t="array" ref="V948">IF($F948&lt;&gt;"", XLOOKUP($F948,Productos!$A$2:$A1001,Productos!O$2:O1001,"")*$G948,"")</f>
        <v/>
      </c>
      <c r="W948" s="179" t="str">
        <f t="array" ref="W948">IF($F948&lt;&gt;"",XLOOKUP($F948,Productos!$A:$A,Productos!P:P,"Revisar"),"")</f>
        <v/>
      </c>
      <c r="X948" s="179" t="str">
        <f t="array" ref="X948">IF($F948&lt;&gt;"", XLOOKUP($F948,Productos!$A$2:$A1001,Productos!Q$2:Q1001,"")*$G948,"")</f>
        <v/>
      </c>
      <c r="Y948" s="179" t="str">
        <f t="array" ref="Y948">IF($F948&lt;&gt;"",XLOOKUP($F948,Productos!$A:$A,Productos!R:R,"Revisar"),"")</f>
        <v/>
      </c>
      <c r="Z948" s="179" t="str">
        <f t="array" ref="Z948">IF($F948&lt;&gt;"", XLOOKUP($F948,Productos!$A$2:$A1001,Productos!S$2:S1001,"")*$G948,"")</f>
        <v/>
      </c>
      <c r="AA948" s="179" t="str">
        <f t="array" ref="AA948">IF($F948&lt;&gt;"",XLOOKUP($F948,Productos!$A:$A,Productos!T:T,"Revisar"),"")</f>
        <v/>
      </c>
      <c r="AB948" s="179" t="str">
        <f t="array" ref="AB948">IF($F948&lt;&gt;"", XLOOKUP($F948,Productos!$A$2:$A1001,Productos!U$2:U1001,"")*$G948,"")</f>
        <v/>
      </c>
      <c r="AC948" s="179" t="str">
        <f t="array" ref="AC948">IF($F948&lt;&gt;"",XLOOKUP($F948,Productos!$A:$A,Productos!V:V,"Revisar"),"")</f>
        <v/>
      </c>
      <c r="AD948" s="179" t="str">
        <f t="array" ref="AD948">IF($F948&lt;&gt;"", XLOOKUP($F948,Productos!$A$2:$A1001,Productos!W$2:W1001,"")*$G948,"")</f>
        <v/>
      </c>
      <c r="AE948" s="179" t="str">
        <f t="array" ref="AE948">IF($F948&lt;&gt;"",XLOOKUP($F948,Productos!$A:$A,Productos!X:X,"Revisar"),"")</f>
        <v/>
      </c>
      <c r="AF948" s="179" t="str">
        <f t="array" ref="AF948">IF($F948&lt;&gt;"", XLOOKUP($F948,Productos!$A$2:$A1001,Productos!Y$2:Y1001,"")*$G948,"")</f>
        <v/>
      </c>
      <c r="AG948" s="179" t="str">
        <f t="array" ref="AG948">IF($F948&lt;&gt;"",XLOOKUP($F948,Productos!$A:$A,Productos!Z:Z,"Revisar"),"")</f>
        <v/>
      </c>
      <c r="AH948" s="179" t="str">
        <f t="array" ref="AH948">IF($F948&lt;&gt;"", XLOOKUP($F948,Productos!$A$2:$A1001,Productos!AA$2:AA1001,"")*$G948,"")</f>
        <v/>
      </c>
      <c r="AI948" s="179" t="str">
        <f t="array" ref="AI948">IF($F948&lt;&gt;"",XLOOKUP($F948,Productos!$A:$A,Productos!AB:AB,"Revisar"),"")</f>
        <v/>
      </c>
      <c r="AJ948" s="179" t="str">
        <f t="array" ref="AJ948">IF($F948&lt;&gt;"", XLOOKUP($F948,Productos!$A$2:$A1001,Productos!AC$2:AC1001,"")*$G948,"")</f>
        <v/>
      </c>
      <c r="AK948" s="179" t="str">
        <f t="array" ref="AK948">IF($F948&lt;&gt;"",XLOOKUP($F948,Productos!$A:$A,Productos!AD:AD,"Revisar"),"")</f>
        <v/>
      </c>
      <c r="AL948" s="179" t="str">
        <f t="array" ref="AL948">IF($F948&lt;&gt;"", XLOOKUP($F948,Productos!$A$2:$A1001,Productos!AE$2:AE1001,"")*$G948,"")</f>
        <v/>
      </c>
      <c r="AM948" s="179" t="str">
        <f t="array" ref="AM948">IF($F948&lt;&gt;"",XLOOKUP($F948,Productos!$A:$A,Productos!AF:AF,"Revisar"),"")</f>
        <v/>
      </c>
      <c r="AN948" s="179" t="str">
        <f t="array" ref="AN948">IF($F948&lt;&gt;"", XLOOKUP($F948,Productos!$A$2:$A1001,Productos!AG$2:AG1001,"")*$G948,"")</f>
        <v/>
      </c>
      <c r="AO948" s="179" t="str">
        <f t="array" ref="AO948">IF($F948&lt;&gt;"",XLOOKUP($F948,Productos!$A:$A,Productos!AH:AH,"Revisar"),"")</f>
        <v/>
      </c>
      <c r="AP948" s="179" t="str">
        <f t="array" ref="AP948">IF($F948&lt;&gt;"", XLOOKUP($F948,Productos!$A$2:$A1001,Productos!AI$2:AI1001,"")*$G948,"")</f>
        <v/>
      </c>
      <c r="AQ948" s="179" t="str">
        <f t="array" ref="AQ948">IF($F948&lt;&gt;"",XLOOKUP($F948,Productos!$A:$A,Productos!AJ:AJ,"Revisar"),"")</f>
        <v/>
      </c>
      <c r="AR948" s="179" t="str">
        <f t="array" ref="AR948">IF($F948&lt;&gt;"", XLOOKUP($F948,Productos!$A$2:$A1001,Productos!AK$2:AK1001,"")*$G948,"")</f>
        <v/>
      </c>
      <c r="AS948" s="179" t="str">
        <f t="array" ref="AS948">IF($F948&lt;&gt;"",XLOOKUP($F948,Productos!$A:$A,Productos!AL:AL,"Revisar"),"")</f>
        <v/>
      </c>
      <c r="AT948" s="179" t="str">
        <f t="array" ref="AT948">IF($F948&lt;&gt;"", XLOOKUP($F948,Productos!$A$2:$A1001,Productos!AM$2:AM1001,"")*$G948,"")</f>
        <v/>
      </c>
      <c r="AU948" s="179" t="str">
        <f t="array" ref="AU948">IF($F948&lt;&gt;"",XLOOKUP($F948,Productos!$A:$A,Productos!AN:AN,"Revisar"),"")</f>
        <v/>
      </c>
      <c r="AV948" s="179" t="str">
        <f t="array" ref="AV948">IF($F948&lt;&gt;"", XLOOKUP($F948,Productos!$A$2:$A1001,Productos!AO$2:AO1001,"")*$G948,"")</f>
        <v/>
      </c>
      <c r="AW948" s="179" t="str">
        <f t="array" ref="AW948">IF($F948&lt;&gt;"",XLOOKUP($F948,Productos!$A:$A,Productos!AP:AP,"Revisar"),"")</f>
        <v/>
      </c>
      <c r="AX948" s="179" t="str">
        <f t="array" ref="AX948">IF($F948&lt;&gt;"", XLOOKUP($F948,Productos!$A$2:$A1001,Productos!AQ$2:AQ1001,"")*$G948,"")</f>
        <v/>
      </c>
      <c r="AY948" s="179" t="str">
        <f t="array" ref="AY948">IF($F948&lt;&gt;"",XLOOKUP($F948,Productos!$A:$A,Productos!AR:AR,"Revisar"),"")</f>
        <v/>
      </c>
      <c r="AZ948" s="179" t="str">
        <f t="array" ref="AZ948">IF($F948&lt;&gt;"", XLOOKUP($F948,Productos!$A$2:$A1001,Productos!AS$2:AS1001,"")*$G948,"")</f>
        <v/>
      </c>
      <c r="BA948" s="179" t="str">
        <f t="array" ref="BA948">IF($F948&lt;&gt;"",XLOOKUP($F948,Productos!$A:$A,Productos!AT:AT,"Revisar"),"")</f>
        <v/>
      </c>
      <c r="BB948" s="179" t="str">
        <f t="array" ref="BB948">IF($F948&lt;&gt;"", XLOOKUP($F948,Productos!$A$2:$A1001,Productos!AU$2:AU1001,"")*$G948,"")</f>
        <v/>
      </c>
      <c r="BC948" s="179" t="str">
        <f t="array" ref="BC948">IF($F948&lt;&gt;"",XLOOKUP($F948,Productos!$A:$A,Productos!AV:AV,"Revisar"),"")</f>
        <v/>
      </c>
      <c r="BD948" s="179" t="str">
        <f t="array" ref="BD948">IF($F948&lt;&gt;"", XLOOKUP($F948,Productos!$A$2:$A1001,Productos!AW$2:AW1001,"")*$G948,"")</f>
        <v/>
      </c>
      <c r="BE948" s="179" t="str">
        <f t="array" ref="BE948">IF($F948&lt;&gt;"",XLOOKUP($F948,Productos!$A:$A,Productos!AX:AX,"Revisar"),"")</f>
        <v/>
      </c>
      <c r="BF948" s="179" t="str">
        <f t="array" ref="BF948">IF($F948&lt;&gt;"", XLOOKUP($F948,Productos!$A$2:$A1001,Productos!AY$2:AY1001,"")*$G948,"")</f>
        <v/>
      </c>
      <c r="BG948" s="179" t="str">
        <f t="array" ref="BG948">IF($F948&lt;&gt;"",XLOOKUP($F948,Productos!$A:$A,Productos!AZ:AZ,"Revisar"),"")</f>
        <v/>
      </c>
      <c r="BH948" s="179" t="str">
        <f t="array" ref="BH948">IF($F948&lt;&gt;"", XLOOKUP($F948,Productos!$A$2:$A1001,Productos!BA$2:BA1001,"")*$G948,"")</f>
        <v/>
      </c>
      <c r="BI948" s="179" t="str">
        <f t="array" ref="BI948">IF($F948&lt;&gt;"",XLOOKUP($F948,Productos!$A:$A,Productos!BB:BB,"Revisar"),"")</f>
        <v/>
      </c>
      <c r="BJ948" s="179" t="str">
        <f t="array" ref="BJ948">IF($F948&lt;&gt;"", XLOOKUP($F948,Productos!$A$2:$A1001,Productos!BC$2:BC1001,"")*$G948,"")</f>
        <v/>
      </c>
      <c r="BK948" s="179" t="str">
        <f t="array" ref="BK948">IF($F948&lt;&gt;"",XLOOKUP($F948,Productos!$A:$A,Productos!BD:BD,"Revisar"),"")</f>
        <v/>
      </c>
      <c r="BL948" s="179" t="str">
        <f t="array" ref="BL948">IF($F948&lt;&gt;"", XLOOKUP($F948,Productos!$A$2:$A1001,Productos!BE$2:BE1001,"")*$G948,"")</f>
        <v/>
      </c>
      <c r="BM948" s="179" t="str">
        <f t="array" ref="BM948">IF($F948&lt;&gt;"",XLOOKUP($F948,Productos!$A:$A,Productos!BF:BF,"Revisar"),"")</f>
        <v/>
      </c>
      <c r="BN948" s="179" t="str">
        <f t="array" ref="BN948">IF($F948&lt;&gt;"", XLOOKUP($F948,Productos!$A$2:$A1001,Productos!BG$2:BG1001,"")*$G948,"")</f>
        <v/>
      </c>
      <c r="BO948" s="179" t="str">
        <f t="array" ref="BO948">IF($F948&lt;&gt;"",XLOOKUP($F948,Productos!$A:$A,Productos!BH:BH,"Revisar"),"")</f>
        <v/>
      </c>
      <c r="BP948" s="179" t="str">
        <f t="array" ref="BP948">IF($F948&lt;&gt;"", XLOOKUP($F948,Productos!$A$2:$A1001,Productos!BI$2:BI1001,"")*$G948,"")</f>
        <v/>
      </c>
      <c r="BQ948" s="179" t="str">
        <f t="array" ref="BQ948">IF($F948&lt;&gt;"",XLOOKUP($F948,Productos!$A:$A,Productos!BJ:BJ,"Revisar"),"")</f>
        <v/>
      </c>
      <c r="BR948" s="179" t="str">
        <f t="array" ref="BR948">IF($F948&lt;&gt;"", XLOOKUP($F948,Productos!$A$2:$A1001,Productos!BK$2:BK1001,"")*$G948,"")</f>
        <v/>
      </c>
      <c r="BS948" s="179" t="str">
        <f t="array" ref="BS948">IF($F948&lt;&gt;"",XLOOKUP($F948,Productos!$A:$A,Productos!BL:BL,"Revisar"),"")</f>
        <v/>
      </c>
      <c r="BT948" s="179" t="str">
        <f t="array" ref="BT948">IF($F948&lt;&gt;"", XLOOKUP($F948,Productos!$A$2:$A1001,Productos!BM$2:BM1001,"")*$G948,"")</f>
        <v/>
      </c>
      <c r="BU948" s="179" t="str">
        <f t="array" ref="BU948">IF($F948&lt;&gt;"",XLOOKUP($F948,Productos!$A:$A,Productos!BN:BN,"Revisar"),"")</f>
        <v/>
      </c>
      <c r="BV948" s="179" t="str">
        <f t="array" ref="BV948">IF($F948&lt;&gt;"", XLOOKUP($F948,Productos!$A$2:$A1001,Productos!BO$2:BO1001,"")*$G948,"")</f>
        <v/>
      </c>
      <c r="BW948" s="179" t="str">
        <f t="array" ref="BW948">IF($F948&lt;&gt;"",XLOOKUP($F948,Productos!$A:$A,Productos!BP:BP,"Revisar"),"")</f>
        <v/>
      </c>
      <c r="BX948" s="179" t="str">
        <f t="array" ref="BX948">IF($F948&lt;&gt;"", XLOOKUP($F948,Productos!$A$2:$A1001,Productos!BQ$2:BQ1001,"")*$G948,"")</f>
        <v/>
      </c>
      <c r="BY948" s="179" t="str">
        <f t="array" ref="BY948">IF($F948&lt;&gt;"",XLOOKUP($F948,Productos!$A:$A,Productos!BR:BR,"Revisar"),"")</f>
        <v/>
      </c>
      <c r="BZ948" s="179" t="str">
        <f t="array" ref="BZ948">IF($F948&lt;&gt;"", XLOOKUP($F948,Productos!$A$2:$A1001,Productos!BS$2:BS1001,"")*$G948,"")</f>
        <v/>
      </c>
    </row>
    <row r="949">
      <c r="A949" s="188"/>
      <c r="B949" s="189"/>
      <c r="C949" s="190"/>
      <c r="D949" s="190"/>
      <c r="E949" s="191"/>
      <c r="F949" s="186"/>
      <c r="G949" s="192"/>
      <c r="H949" s="9"/>
      <c r="I949" s="179" t="str">
        <f t="array" ref="I949">IF($F949&lt;&gt;"",XLOOKUP($F949,Productos!$A:$A,Productos!B:B,"Revisar"),"")</f>
        <v/>
      </c>
      <c r="J949" s="179" t="str">
        <f t="array" ref="J949">IF($F949&lt;&gt;"", XLOOKUP($F949,Productos!$A$2:$A1001,Productos!C$2:C1001,"")*$G949,"")</f>
        <v/>
      </c>
      <c r="K949" s="179" t="str">
        <f t="array" ref="K949">IF($F949&lt;&gt;"",XLOOKUP($F949,Productos!$A:$A,Productos!D:D,"Revisar"),"")</f>
        <v/>
      </c>
      <c r="L949" s="179" t="str">
        <f t="array" ref="L949">IF($F949&lt;&gt;"", XLOOKUP($F949,Productos!$A$2:$A1001,Productos!E$2:E1001,"")*$G949,"")</f>
        <v/>
      </c>
      <c r="M949" s="179" t="str">
        <f t="array" ref="M949">IF($F949&lt;&gt;"",XLOOKUP($F949,Productos!$A:$A,Productos!F:F,"Revisar"),"")</f>
        <v/>
      </c>
      <c r="N949" s="179" t="str">
        <f t="array" ref="N949">IF($F949&lt;&gt;"", XLOOKUP($F949,Productos!$A$2:$A1001,Productos!G$2:G1001,"")*$G949,"")</f>
        <v/>
      </c>
      <c r="O949" s="179" t="str">
        <f t="array" ref="O949">IF($F949&lt;&gt;"",XLOOKUP($F949,Productos!$A:$A,Productos!H:H,"Revisar"),"")</f>
        <v/>
      </c>
      <c r="P949" s="179" t="str">
        <f t="array" ref="P949">IF($F949&lt;&gt;"", XLOOKUP($F949,Productos!$A$2:$A1001,Productos!I$2:I1001,"")*$G949,"")</f>
        <v/>
      </c>
      <c r="Q949" s="179" t="str">
        <f t="array" ref="Q949">IF($F949&lt;&gt;"",XLOOKUP($F949,Productos!$A:$A,Productos!J:J,"Revisar"),"")</f>
        <v/>
      </c>
      <c r="R949" s="179" t="str">
        <f t="array" ref="R949">IF($F949&lt;&gt;"", XLOOKUP($F949,Productos!$A$2:$A1001,Productos!K$2:K1001,"")*$G949,"")</f>
        <v/>
      </c>
      <c r="S949" s="179" t="str">
        <f t="array" ref="S949">IF($F949&lt;&gt;"",XLOOKUP($F949,Productos!$A:$A,Productos!L:L,"Revisar"),"")</f>
        <v/>
      </c>
      <c r="T949" s="179" t="str">
        <f t="array" ref="T949">IF($F949&lt;&gt;"", XLOOKUP($F949,Productos!$A$2:$A1001,Productos!M$2:M1001,"")*$G949,"")</f>
        <v/>
      </c>
      <c r="U949" s="179" t="str">
        <f t="array" ref="U949">IF($F949&lt;&gt;"",XLOOKUP($F949,Productos!$A:$A,Productos!N:N,"Revisar"),"")</f>
        <v/>
      </c>
      <c r="V949" s="179" t="str">
        <f t="array" ref="V949">IF($F949&lt;&gt;"", XLOOKUP($F949,Productos!$A$2:$A1001,Productos!O$2:O1001,"")*$G949,"")</f>
        <v/>
      </c>
      <c r="W949" s="179" t="str">
        <f t="array" ref="W949">IF($F949&lt;&gt;"",XLOOKUP($F949,Productos!$A:$A,Productos!P:P,"Revisar"),"")</f>
        <v/>
      </c>
      <c r="X949" s="179" t="str">
        <f t="array" ref="X949">IF($F949&lt;&gt;"", XLOOKUP($F949,Productos!$A$2:$A1001,Productos!Q$2:Q1001,"")*$G949,"")</f>
        <v/>
      </c>
      <c r="Y949" s="179" t="str">
        <f t="array" ref="Y949">IF($F949&lt;&gt;"",XLOOKUP($F949,Productos!$A:$A,Productos!R:R,"Revisar"),"")</f>
        <v/>
      </c>
      <c r="Z949" s="179" t="str">
        <f t="array" ref="Z949">IF($F949&lt;&gt;"", XLOOKUP($F949,Productos!$A$2:$A1001,Productos!S$2:S1001,"")*$G949,"")</f>
        <v/>
      </c>
      <c r="AA949" s="179" t="str">
        <f t="array" ref="AA949">IF($F949&lt;&gt;"",XLOOKUP($F949,Productos!$A:$A,Productos!T:T,"Revisar"),"")</f>
        <v/>
      </c>
      <c r="AB949" s="179" t="str">
        <f t="array" ref="AB949">IF($F949&lt;&gt;"", XLOOKUP($F949,Productos!$A$2:$A1001,Productos!U$2:U1001,"")*$G949,"")</f>
        <v/>
      </c>
      <c r="AC949" s="179" t="str">
        <f t="array" ref="AC949">IF($F949&lt;&gt;"",XLOOKUP($F949,Productos!$A:$A,Productos!V:V,"Revisar"),"")</f>
        <v/>
      </c>
      <c r="AD949" s="179" t="str">
        <f t="array" ref="AD949">IF($F949&lt;&gt;"", XLOOKUP($F949,Productos!$A$2:$A1001,Productos!W$2:W1001,"")*$G949,"")</f>
        <v/>
      </c>
      <c r="AE949" s="179" t="str">
        <f t="array" ref="AE949">IF($F949&lt;&gt;"",XLOOKUP($F949,Productos!$A:$A,Productos!X:X,"Revisar"),"")</f>
        <v/>
      </c>
      <c r="AF949" s="179" t="str">
        <f t="array" ref="AF949">IF($F949&lt;&gt;"", XLOOKUP($F949,Productos!$A$2:$A1001,Productos!Y$2:Y1001,"")*$G949,"")</f>
        <v/>
      </c>
      <c r="AG949" s="179" t="str">
        <f t="array" ref="AG949">IF($F949&lt;&gt;"",XLOOKUP($F949,Productos!$A:$A,Productos!Z:Z,"Revisar"),"")</f>
        <v/>
      </c>
      <c r="AH949" s="179" t="str">
        <f t="array" ref="AH949">IF($F949&lt;&gt;"", XLOOKUP($F949,Productos!$A$2:$A1001,Productos!AA$2:AA1001,"")*$G949,"")</f>
        <v/>
      </c>
      <c r="AI949" s="179" t="str">
        <f t="array" ref="AI949">IF($F949&lt;&gt;"",XLOOKUP($F949,Productos!$A:$A,Productos!AB:AB,"Revisar"),"")</f>
        <v/>
      </c>
      <c r="AJ949" s="179" t="str">
        <f t="array" ref="AJ949">IF($F949&lt;&gt;"", XLOOKUP($F949,Productos!$A$2:$A1001,Productos!AC$2:AC1001,"")*$G949,"")</f>
        <v/>
      </c>
      <c r="AK949" s="179" t="str">
        <f t="array" ref="AK949">IF($F949&lt;&gt;"",XLOOKUP($F949,Productos!$A:$A,Productos!AD:AD,"Revisar"),"")</f>
        <v/>
      </c>
      <c r="AL949" s="179" t="str">
        <f t="array" ref="AL949">IF($F949&lt;&gt;"", XLOOKUP($F949,Productos!$A$2:$A1001,Productos!AE$2:AE1001,"")*$G949,"")</f>
        <v/>
      </c>
      <c r="AM949" s="179" t="str">
        <f t="array" ref="AM949">IF($F949&lt;&gt;"",XLOOKUP($F949,Productos!$A:$A,Productos!AF:AF,"Revisar"),"")</f>
        <v/>
      </c>
      <c r="AN949" s="179" t="str">
        <f t="array" ref="AN949">IF($F949&lt;&gt;"", XLOOKUP($F949,Productos!$A$2:$A1001,Productos!AG$2:AG1001,"")*$G949,"")</f>
        <v/>
      </c>
      <c r="AO949" s="179" t="str">
        <f t="array" ref="AO949">IF($F949&lt;&gt;"",XLOOKUP($F949,Productos!$A:$A,Productos!AH:AH,"Revisar"),"")</f>
        <v/>
      </c>
      <c r="AP949" s="179" t="str">
        <f t="array" ref="AP949">IF($F949&lt;&gt;"", XLOOKUP($F949,Productos!$A$2:$A1001,Productos!AI$2:AI1001,"")*$G949,"")</f>
        <v/>
      </c>
      <c r="AQ949" s="179" t="str">
        <f t="array" ref="AQ949">IF($F949&lt;&gt;"",XLOOKUP($F949,Productos!$A:$A,Productos!AJ:AJ,"Revisar"),"")</f>
        <v/>
      </c>
      <c r="AR949" s="179" t="str">
        <f t="array" ref="AR949">IF($F949&lt;&gt;"", XLOOKUP($F949,Productos!$A$2:$A1001,Productos!AK$2:AK1001,"")*$G949,"")</f>
        <v/>
      </c>
      <c r="AS949" s="179" t="str">
        <f t="array" ref="AS949">IF($F949&lt;&gt;"",XLOOKUP($F949,Productos!$A:$A,Productos!AL:AL,"Revisar"),"")</f>
        <v/>
      </c>
      <c r="AT949" s="179" t="str">
        <f t="array" ref="AT949">IF($F949&lt;&gt;"", XLOOKUP($F949,Productos!$A$2:$A1001,Productos!AM$2:AM1001,"")*$G949,"")</f>
        <v/>
      </c>
      <c r="AU949" s="179" t="str">
        <f t="array" ref="AU949">IF($F949&lt;&gt;"",XLOOKUP($F949,Productos!$A:$A,Productos!AN:AN,"Revisar"),"")</f>
        <v/>
      </c>
      <c r="AV949" s="179" t="str">
        <f t="array" ref="AV949">IF($F949&lt;&gt;"", XLOOKUP($F949,Productos!$A$2:$A1001,Productos!AO$2:AO1001,"")*$G949,"")</f>
        <v/>
      </c>
      <c r="AW949" s="179" t="str">
        <f t="array" ref="AW949">IF($F949&lt;&gt;"",XLOOKUP($F949,Productos!$A:$A,Productos!AP:AP,"Revisar"),"")</f>
        <v/>
      </c>
      <c r="AX949" s="179" t="str">
        <f t="array" ref="AX949">IF($F949&lt;&gt;"", XLOOKUP($F949,Productos!$A$2:$A1001,Productos!AQ$2:AQ1001,"")*$G949,"")</f>
        <v/>
      </c>
      <c r="AY949" s="179" t="str">
        <f t="array" ref="AY949">IF($F949&lt;&gt;"",XLOOKUP($F949,Productos!$A:$A,Productos!AR:AR,"Revisar"),"")</f>
        <v/>
      </c>
      <c r="AZ949" s="179" t="str">
        <f t="array" ref="AZ949">IF($F949&lt;&gt;"", XLOOKUP($F949,Productos!$A$2:$A1001,Productos!AS$2:AS1001,"")*$G949,"")</f>
        <v/>
      </c>
      <c r="BA949" s="179" t="str">
        <f t="array" ref="BA949">IF($F949&lt;&gt;"",XLOOKUP($F949,Productos!$A:$A,Productos!AT:AT,"Revisar"),"")</f>
        <v/>
      </c>
      <c r="BB949" s="179" t="str">
        <f t="array" ref="BB949">IF($F949&lt;&gt;"", XLOOKUP($F949,Productos!$A$2:$A1001,Productos!AU$2:AU1001,"")*$G949,"")</f>
        <v/>
      </c>
      <c r="BC949" s="179" t="str">
        <f t="array" ref="BC949">IF($F949&lt;&gt;"",XLOOKUP($F949,Productos!$A:$A,Productos!AV:AV,"Revisar"),"")</f>
        <v/>
      </c>
      <c r="BD949" s="179" t="str">
        <f t="array" ref="BD949">IF($F949&lt;&gt;"", XLOOKUP($F949,Productos!$A$2:$A1001,Productos!AW$2:AW1001,"")*$G949,"")</f>
        <v/>
      </c>
      <c r="BE949" s="179" t="str">
        <f t="array" ref="BE949">IF($F949&lt;&gt;"",XLOOKUP($F949,Productos!$A:$A,Productos!AX:AX,"Revisar"),"")</f>
        <v/>
      </c>
      <c r="BF949" s="179" t="str">
        <f t="array" ref="BF949">IF($F949&lt;&gt;"", XLOOKUP($F949,Productos!$A$2:$A1001,Productos!AY$2:AY1001,"")*$G949,"")</f>
        <v/>
      </c>
      <c r="BG949" s="179" t="str">
        <f t="array" ref="BG949">IF($F949&lt;&gt;"",XLOOKUP($F949,Productos!$A:$A,Productos!AZ:AZ,"Revisar"),"")</f>
        <v/>
      </c>
      <c r="BH949" s="179" t="str">
        <f t="array" ref="BH949">IF($F949&lt;&gt;"", XLOOKUP($F949,Productos!$A$2:$A1001,Productos!BA$2:BA1001,"")*$G949,"")</f>
        <v/>
      </c>
      <c r="BI949" s="179" t="str">
        <f t="array" ref="BI949">IF($F949&lt;&gt;"",XLOOKUP($F949,Productos!$A:$A,Productos!BB:BB,"Revisar"),"")</f>
        <v/>
      </c>
      <c r="BJ949" s="179" t="str">
        <f t="array" ref="BJ949">IF($F949&lt;&gt;"", XLOOKUP($F949,Productos!$A$2:$A1001,Productos!BC$2:BC1001,"")*$G949,"")</f>
        <v/>
      </c>
      <c r="BK949" s="179" t="str">
        <f t="array" ref="BK949">IF($F949&lt;&gt;"",XLOOKUP($F949,Productos!$A:$A,Productos!BD:BD,"Revisar"),"")</f>
        <v/>
      </c>
      <c r="BL949" s="179" t="str">
        <f t="array" ref="BL949">IF($F949&lt;&gt;"", XLOOKUP($F949,Productos!$A$2:$A1001,Productos!BE$2:BE1001,"")*$G949,"")</f>
        <v/>
      </c>
      <c r="BM949" s="179" t="str">
        <f t="array" ref="BM949">IF($F949&lt;&gt;"",XLOOKUP($F949,Productos!$A:$A,Productos!BF:BF,"Revisar"),"")</f>
        <v/>
      </c>
      <c r="BN949" s="179" t="str">
        <f t="array" ref="BN949">IF($F949&lt;&gt;"", XLOOKUP($F949,Productos!$A$2:$A1001,Productos!BG$2:BG1001,"")*$G949,"")</f>
        <v/>
      </c>
      <c r="BO949" s="179" t="str">
        <f t="array" ref="BO949">IF($F949&lt;&gt;"",XLOOKUP($F949,Productos!$A:$A,Productos!BH:BH,"Revisar"),"")</f>
        <v/>
      </c>
      <c r="BP949" s="179" t="str">
        <f t="array" ref="BP949">IF($F949&lt;&gt;"", XLOOKUP($F949,Productos!$A$2:$A1001,Productos!BI$2:BI1001,"")*$G949,"")</f>
        <v/>
      </c>
      <c r="BQ949" s="179" t="str">
        <f t="array" ref="BQ949">IF($F949&lt;&gt;"",XLOOKUP($F949,Productos!$A:$A,Productos!BJ:BJ,"Revisar"),"")</f>
        <v/>
      </c>
      <c r="BR949" s="179" t="str">
        <f t="array" ref="BR949">IF($F949&lt;&gt;"", XLOOKUP($F949,Productos!$A$2:$A1001,Productos!BK$2:BK1001,"")*$G949,"")</f>
        <v/>
      </c>
      <c r="BS949" s="179" t="str">
        <f t="array" ref="BS949">IF($F949&lt;&gt;"",XLOOKUP($F949,Productos!$A:$A,Productos!BL:BL,"Revisar"),"")</f>
        <v/>
      </c>
      <c r="BT949" s="179" t="str">
        <f t="array" ref="BT949">IF($F949&lt;&gt;"", XLOOKUP($F949,Productos!$A$2:$A1001,Productos!BM$2:BM1001,"")*$G949,"")</f>
        <v/>
      </c>
      <c r="BU949" s="179" t="str">
        <f t="array" ref="BU949">IF($F949&lt;&gt;"",XLOOKUP($F949,Productos!$A:$A,Productos!BN:BN,"Revisar"),"")</f>
        <v/>
      </c>
      <c r="BV949" s="179" t="str">
        <f t="array" ref="BV949">IF($F949&lt;&gt;"", XLOOKUP($F949,Productos!$A$2:$A1001,Productos!BO$2:BO1001,"")*$G949,"")</f>
        <v/>
      </c>
      <c r="BW949" s="179" t="str">
        <f t="array" ref="BW949">IF($F949&lt;&gt;"",XLOOKUP($F949,Productos!$A:$A,Productos!BP:BP,"Revisar"),"")</f>
        <v/>
      </c>
      <c r="BX949" s="179" t="str">
        <f t="array" ref="BX949">IF($F949&lt;&gt;"", XLOOKUP($F949,Productos!$A$2:$A1001,Productos!BQ$2:BQ1001,"")*$G949,"")</f>
        <v/>
      </c>
      <c r="BY949" s="179" t="str">
        <f t="array" ref="BY949">IF($F949&lt;&gt;"",XLOOKUP($F949,Productos!$A:$A,Productos!BR:BR,"Revisar"),"")</f>
        <v/>
      </c>
      <c r="BZ949" s="179" t="str">
        <f t="array" ref="BZ949">IF($F949&lt;&gt;"", XLOOKUP($F949,Productos!$A$2:$A1001,Productos!BS$2:BS1001,"")*$G949,"")</f>
        <v/>
      </c>
    </row>
    <row r="950">
      <c r="A950" s="188"/>
      <c r="B950" s="189"/>
      <c r="C950" s="190"/>
      <c r="D950" s="190"/>
      <c r="E950" s="191"/>
      <c r="F950" s="186"/>
      <c r="G950" s="192"/>
      <c r="H950" s="9"/>
      <c r="I950" s="179" t="str">
        <f t="array" ref="I950">IF($F950&lt;&gt;"",XLOOKUP($F950,Productos!$A:$A,Productos!B:B,"Revisar"),"")</f>
        <v/>
      </c>
      <c r="J950" s="179" t="str">
        <f t="array" ref="J950">IF($F950&lt;&gt;"", XLOOKUP($F950,Productos!$A$2:$A1001,Productos!C$2:C1001,"")*$G950,"")</f>
        <v/>
      </c>
      <c r="K950" s="179" t="str">
        <f t="array" ref="K950">IF($F950&lt;&gt;"",XLOOKUP($F950,Productos!$A:$A,Productos!D:D,"Revisar"),"")</f>
        <v/>
      </c>
      <c r="L950" s="179" t="str">
        <f t="array" ref="L950">IF($F950&lt;&gt;"", XLOOKUP($F950,Productos!$A$2:$A1001,Productos!E$2:E1001,"")*$G950,"")</f>
        <v/>
      </c>
      <c r="M950" s="179" t="str">
        <f t="array" ref="M950">IF($F950&lt;&gt;"",XLOOKUP($F950,Productos!$A:$A,Productos!F:F,"Revisar"),"")</f>
        <v/>
      </c>
      <c r="N950" s="179" t="str">
        <f t="array" ref="N950">IF($F950&lt;&gt;"", XLOOKUP($F950,Productos!$A$2:$A1001,Productos!G$2:G1001,"")*$G950,"")</f>
        <v/>
      </c>
      <c r="O950" s="179" t="str">
        <f t="array" ref="O950">IF($F950&lt;&gt;"",XLOOKUP($F950,Productos!$A:$A,Productos!H:H,"Revisar"),"")</f>
        <v/>
      </c>
      <c r="P950" s="179" t="str">
        <f t="array" ref="P950">IF($F950&lt;&gt;"", XLOOKUP($F950,Productos!$A$2:$A1001,Productos!I$2:I1001,"")*$G950,"")</f>
        <v/>
      </c>
      <c r="Q950" s="179" t="str">
        <f t="array" ref="Q950">IF($F950&lt;&gt;"",XLOOKUP($F950,Productos!$A:$A,Productos!J:J,"Revisar"),"")</f>
        <v/>
      </c>
      <c r="R950" s="179" t="str">
        <f t="array" ref="R950">IF($F950&lt;&gt;"", XLOOKUP($F950,Productos!$A$2:$A1001,Productos!K$2:K1001,"")*$G950,"")</f>
        <v/>
      </c>
      <c r="S950" s="179" t="str">
        <f t="array" ref="S950">IF($F950&lt;&gt;"",XLOOKUP($F950,Productos!$A:$A,Productos!L:L,"Revisar"),"")</f>
        <v/>
      </c>
      <c r="T950" s="179" t="str">
        <f t="array" ref="T950">IF($F950&lt;&gt;"", XLOOKUP($F950,Productos!$A$2:$A1001,Productos!M$2:M1001,"")*$G950,"")</f>
        <v/>
      </c>
      <c r="U950" s="179" t="str">
        <f t="array" ref="U950">IF($F950&lt;&gt;"",XLOOKUP($F950,Productos!$A:$A,Productos!N:N,"Revisar"),"")</f>
        <v/>
      </c>
      <c r="V950" s="179" t="str">
        <f t="array" ref="V950">IF($F950&lt;&gt;"", XLOOKUP($F950,Productos!$A$2:$A1001,Productos!O$2:O1001,"")*$G950,"")</f>
        <v/>
      </c>
      <c r="W950" s="179" t="str">
        <f t="array" ref="W950">IF($F950&lt;&gt;"",XLOOKUP($F950,Productos!$A:$A,Productos!P:P,"Revisar"),"")</f>
        <v/>
      </c>
      <c r="X950" s="179" t="str">
        <f t="array" ref="X950">IF($F950&lt;&gt;"", XLOOKUP($F950,Productos!$A$2:$A1001,Productos!Q$2:Q1001,"")*$G950,"")</f>
        <v/>
      </c>
      <c r="Y950" s="179" t="str">
        <f t="array" ref="Y950">IF($F950&lt;&gt;"",XLOOKUP($F950,Productos!$A:$A,Productos!R:R,"Revisar"),"")</f>
        <v/>
      </c>
      <c r="Z950" s="179" t="str">
        <f t="array" ref="Z950">IF($F950&lt;&gt;"", XLOOKUP($F950,Productos!$A$2:$A1001,Productos!S$2:S1001,"")*$G950,"")</f>
        <v/>
      </c>
      <c r="AA950" s="179" t="str">
        <f t="array" ref="AA950">IF($F950&lt;&gt;"",XLOOKUP($F950,Productos!$A:$A,Productos!T:T,"Revisar"),"")</f>
        <v/>
      </c>
      <c r="AB950" s="179" t="str">
        <f t="array" ref="AB950">IF($F950&lt;&gt;"", XLOOKUP($F950,Productos!$A$2:$A1001,Productos!U$2:U1001,"")*$G950,"")</f>
        <v/>
      </c>
      <c r="AC950" s="179" t="str">
        <f t="array" ref="AC950">IF($F950&lt;&gt;"",XLOOKUP($F950,Productos!$A:$A,Productos!V:V,"Revisar"),"")</f>
        <v/>
      </c>
      <c r="AD950" s="179" t="str">
        <f t="array" ref="AD950">IF($F950&lt;&gt;"", XLOOKUP($F950,Productos!$A$2:$A1001,Productos!W$2:W1001,"")*$G950,"")</f>
        <v/>
      </c>
      <c r="AE950" s="179" t="str">
        <f t="array" ref="AE950">IF($F950&lt;&gt;"",XLOOKUP($F950,Productos!$A:$A,Productos!X:X,"Revisar"),"")</f>
        <v/>
      </c>
      <c r="AF950" s="179" t="str">
        <f t="array" ref="AF950">IF($F950&lt;&gt;"", XLOOKUP($F950,Productos!$A$2:$A1001,Productos!Y$2:Y1001,"")*$G950,"")</f>
        <v/>
      </c>
      <c r="AG950" s="179" t="str">
        <f t="array" ref="AG950">IF($F950&lt;&gt;"",XLOOKUP($F950,Productos!$A:$A,Productos!Z:Z,"Revisar"),"")</f>
        <v/>
      </c>
      <c r="AH950" s="179" t="str">
        <f t="array" ref="AH950">IF($F950&lt;&gt;"", XLOOKUP($F950,Productos!$A$2:$A1001,Productos!AA$2:AA1001,"")*$G950,"")</f>
        <v/>
      </c>
      <c r="AI950" s="179" t="str">
        <f t="array" ref="AI950">IF($F950&lt;&gt;"",XLOOKUP($F950,Productos!$A:$A,Productos!AB:AB,"Revisar"),"")</f>
        <v/>
      </c>
      <c r="AJ950" s="179" t="str">
        <f t="array" ref="AJ950">IF($F950&lt;&gt;"", XLOOKUP($F950,Productos!$A$2:$A1001,Productos!AC$2:AC1001,"")*$G950,"")</f>
        <v/>
      </c>
      <c r="AK950" s="179" t="str">
        <f t="array" ref="AK950">IF($F950&lt;&gt;"",XLOOKUP($F950,Productos!$A:$A,Productos!AD:AD,"Revisar"),"")</f>
        <v/>
      </c>
      <c r="AL950" s="179" t="str">
        <f t="array" ref="AL950">IF($F950&lt;&gt;"", XLOOKUP($F950,Productos!$A$2:$A1001,Productos!AE$2:AE1001,"")*$G950,"")</f>
        <v/>
      </c>
      <c r="AM950" s="179" t="str">
        <f t="array" ref="AM950">IF($F950&lt;&gt;"",XLOOKUP($F950,Productos!$A:$A,Productos!AF:AF,"Revisar"),"")</f>
        <v/>
      </c>
      <c r="AN950" s="179" t="str">
        <f t="array" ref="AN950">IF($F950&lt;&gt;"", XLOOKUP($F950,Productos!$A$2:$A1001,Productos!AG$2:AG1001,"")*$G950,"")</f>
        <v/>
      </c>
      <c r="AO950" s="179" t="str">
        <f t="array" ref="AO950">IF($F950&lt;&gt;"",XLOOKUP($F950,Productos!$A:$A,Productos!AH:AH,"Revisar"),"")</f>
        <v/>
      </c>
      <c r="AP950" s="179" t="str">
        <f t="array" ref="AP950">IF($F950&lt;&gt;"", XLOOKUP($F950,Productos!$A$2:$A1001,Productos!AI$2:AI1001,"")*$G950,"")</f>
        <v/>
      </c>
      <c r="AQ950" s="179" t="str">
        <f t="array" ref="AQ950">IF($F950&lt;&gt;"",XLOOKUP($F950,Productos!$A:$A,Productos!AJ:AJ,"Revisar"),"")</f>
        <v/>
      </c>
      <c r="AR950" s="179" t="str">
        <f t="array" ref="AR950">IF($F950&lt;&gt;"", XLOOKUP($F950,Productos!$A$2:$A1001,Productos!AK$2:AK1001,"")*$G950,"")</f>
        <v/>
      </c>
      <c r="AS950" s="179" t="str">
        <f t="array" ref="AS950">IF($F950&lt;&gt;"",XLOOKUP($F950,Productos!$A:$A,Productos!AL:AL,"Revisar"),"")</f>
        <v/>
      </c>
      <c r="AT950" s="179" t="str">
        <f t="array" ref="AT950">IF($F950&lt;&gt;"", XLOOKUP($F950,Productos!$A$2:$A1001,Productos!AM$2:AM1001,"")*$G950,"")</f>
        <v/>
      </c>
      <c r="AU950" s="179" t="str">
        <f t="array" ref="AU950">IF($F950&lt;&gt;"",XLOOKUP($F950,Productos!$A:$A,Productos!AN:AN,"Revisar"),"")</f>
        <v/>
      </c>
      <c r="AV950" s="179" t="str">
        <f t="array" ref="AV950">IF($F950&lt;&gt;"", XLOOKUP($F950,Productos!$A$2:$A1001,Productos!AO$2:AO1001,"")*$G950,"")</f>
        <v/>
      </c>
      <c r="AW950" s="179" t="str">
        <f t="array" ref="AW950">IF($F950&lt;&gt;"",XLOOKUP($F950,Productos!$A:$A,Productos!AP:AP,"Revisar"),"")</f>
        <v/>
      </c>
      <c r="AX950" s="179" t="str">
        <f t="array" ref="AX950">IF($F950&lt;&gt;"", XLOOKUP($F950,Productos!$A$2:$A1001,Productos!AQ$2:AQ1001,"")*$G950,"")</f>
        <v/>
      </c>
      <c r="AY950" s="179" t="str">
        <f t="array" ref="AY950">IF($F950&lt;&gt;"",XLOOKUP($F950,Productos!$A:$A,Productos!AR:AR,"Revisar"),"")</f>
        <v/>
      </c>
      <c r="AZ950" s="179" t="str">
        <f t="array" ref="AZ950">IF($F950&lt;&gt;"", XLOOKUP($F950,Productos!$A$2:$A1001,Productos!AS$2:AS1001,"")*$G950,"")</f>
        <v/>
      </c>
      <c r="BA950" s="179" t="str">
        <f t="array" ref="BA950">IF($F950&lt;&gt;"",XLOOKUP($F950,Productos!$A:$A,Productos!AT:AT,"Revisar"),"")</f>
        <v/>
      </c>
      <c r="BB950" s="179" t="str">
        <f t="array" ref="BB950">IF($F950&lt;&gt;"", XLOOKUP($F950,Productos!$A$2:$A1001,Productos!AU$2:AU1001,"")*$G950,"")</f>
        <v/>
      </c>
      <c r="BC950" s="179" t="str">
        <f t="array" ref="BC950">IF($F950&lt;&gt;"",XLOOKUP($F950,Productos!$A:$A,Productos!AV:AV,"Revisar"),"")</f>
        <v/>
      </c>
      <c r="BD950" s="179" t="str">
        <f t="array" ref="BD950">IF($F950&lt;&gt;"", XLOOKUP($F950,Productos!$A$2:$A1001,Productos!AW$2:AW1001,"")*$G950,"")</f>
        <v/>
      </c>
      <c r="BE950" s="179" t="str">
        <f t="array" ref="BE950">IF($F950&lt;&gt;"",XLOOKUP($F950,Productos!$A:$A,Productos!AX:AX,"Revisar"),"")</f>
        <v/>
      </c>
      <c r="BF950" s="179" t="str">
        <f t="array" ref="BF950">IF($F950&lt;&gt;"", XLOOKUP($F950,Productos!$A$2:$A1001,Productos!AY$2:AY1001,"")*$G950,"")</f>
        <v/>
      </c>
      <c r="BG950" s="179" t="str">
        <f t="array" ref="BG950">IF($F950&lt;&gt;"",XLOOKUP($F950,Productos!$A:$A,Productos!AZ:AZ,"Revisar"),"")</f>
        <v/>
      </c>
      <c r="BH950" s="179" t="str">
        <f t="array" ref="BH950">IF($F950&lt;&gt;"", XLOOKUP($F950,Productos!$A$2:$A1001,Productos!BA$2:BA1001,"")*$G950,"")</f>
        <v/>
      </c>
      <c r="BI950" s="179" t="str">
        <f t="array" ref="BI950">IF($F950&lt;&gt;"",XLOOKUP($F950,Productos!$A:$A,Productos!BB:BB,"Revisar"),"")</f>
        <v/>
      </c>
      <c r="BJ950" s="179" t="str">
        <f t="array" ref="BJ950">IF($F950&lt;&gt;"", XLOOKUP($F950,Productos!$A$2:$A1001,Productos!BC$2:BC1001,"")*$G950,"")</f>
        <v/>
      </c>
      <c r="BK950" s="179" t="str">
        <f t="array" ref="BK950">IF($F950&lt;&gt;"",XLOOKUP($F950,Productos!$A:$A,Productos!BD:BD,"Revisar"),"")</f>
        <v/>
      </c>
      <c r="BL950" s="179" t="str">
        <f t="array" ref="BL950">IF($F950&lt;&gt;"", XLOOKUP($F950,Productos!$A$2:$A1001,Productos!BE$2:BE1001,"")*$G950,"")</f>
        <v/>
      </c>
      <c r="BM950" s="179" t="str">
        <f t="array" ref="BM950">IF($F950&lt;&gt;"",XLOOKUP($F950,Productos!$A:$A,Productos!BF:BF,"Revisar"),"")</f>
        <v/>
      </c>
      <c r="BN950" s="179" t="str">
        <f t="array" ref="BN950">IF($F950&lt;&gt;"", XLOOKUP($F950,Productos!$A$2:$A1001,Productos!BG$2:BG1001,"")*$G950,"")</f>
        <v/>
      </c>
      <c r="BO950" s="179" t="str">
        <f t="array" ref="BO950">IF($F950&lt;&gt;"",XLOOKUP($F950,Productos!$A:$A,Productos!BH:BH,"Revisar"),"")</f>
        <v/>
      </c>
      <c r="BP950" s="179" t="str">
        <f t="array" ref="BP950">IF($F950&lt;&gt;"", XLOOKUP($F950,Productos!$A$2:$A1001,Productos!BI$2:BI1001,"")*$G950,"")</f>
        <v/>
      </c>
      <c r="BQ950" s="179" t="str">
        <f t="array" ref="BQ950">IF($F950&lt;&gt;"",XLOOKUP($F950,Productos!$A:$A,Productos!BJ:BJ,"Revisar"),"")</f>
        <v/>
      </c>
      <c r="BR950" s="179" t="str">
        <f t="array" ref="BR950">IF($F950&lt;&gt;"", XLOOKUP($F950,Productos!$A$2:$A1001,Productos!BK$2:BK1001,"")*$G950,"")</f>
        <v/>
      </c>
      <c r="BS950" s="179" t="str">
        <f t="array" ref="BS950">IF($F950&lt;&gt;"",XLOOKUP($F950,Productos!$A:$A,Productos!BL:BL,"Revisar"),"")</f>
        <v/>
      </c>
      <c r="BT950" s="179" t="str">
        <f t="array" ref="BT950">IF($F950&lt;&gt;"", XLOOKUP($F950,Productos!$A$2:$A1001,Productos!BM$2:BM1001,"")*$G950,"")</f>
        <v/>
      </c>
      <c r="BU950" s="179" t="str">
        <f t="array" ref="BU950">IF($F950&lt;&gt;"",XLOOKUP($F950,Productos!$A:$A,Productos!BN:BN,"Revisar"),"")</f>
        <v/>
      </c>
      <c r="BV950" s="179" t="str">
        <f t="array" ref="BV950">IF($F950&lt;&gt;"", XLOOKUP($F950,Productos!$A$2:$A1001,Productos!BO$2:BO1001,"")*$G950,"")</f>
        <v/>
      </c>
      <c r="BW950" s="179" t="str">
        <f t="array" ref="BW950">IF($F950&lt;&gt;"",XLOOKUP($F950,Productos!$A:$A,Productos!BP:BP,"Revisar"),"")</f>
        <v/>
      </c>
      <c r="BX950" s="179" t="str">
        <f t="array" ref="BX950">IF($F950&lt;&gt;"", XLOOKUP($F950,Productos!$A$2:$A1001,Productos!BQ$2:BQ1001,"")*$G950,"")</f>
        <v/>
      </c>
      <c r="BY950" s="179" t="str">
        <f t="array" ref="BY950">IF($F950&lt;&gt;"",XLOOKUP($F950,Productos!$A:$A,Productos!BR:BR,"Revisar"),"")</f>
        <v/>
      </c>
      <c r="BZ950" s="179" t="str">
        <f t="array" ref="BZ950">IF($F950&lt;&gt;"", XLOOKUP($F950,Productos!$A$2:$A1001,Productos!BS$2:BS1001,"")*$G950,"")</f>
        <v/>
      </c>
    </row>
    <row r="951">
      <c r="A951" s="188"/>
      <c r="B951" s="189"/>
      <c r="C951" s="190"/>
      <c r="D951" s="190"/>
      <c r="E951" s="191"/>
      <c r="F951" s="186"/>
      <c r="G951" s="192"/>
      <c r="H951" s="9"/>
      <c r="I951" s="179" t="str">
        <f t="array" ref="I951">IF($F951&lt;&gt;"",XLOOKUP($F951,Productos!$A:$A,Productos!B:B,"Revisar"),"")</f>
        <v/>
      </c>
      <c r="J951" s="179" t="str">
        <f t="array" ref="J951">IF($F951&lt;&gt;"", XLOOKUP($F951,Productos!$A$2:$A1001,Productos!C$2:C1001,"")*$G951,"")</f>
        <v/>
      </c>
      <c r="K951" s="179" t="str">
        <f t="array" ref="K951">IF($F951&lt;&gt;"",XLOOKUP($F951,Productos!$A:$A,Productos!D:D,"Revisar"),"")</f>
        <v/>
      </c>
      <c r="L951" s="179" t="str">
        <f t="array" ref="L951">IF($F951&lt;&gt;"", XLOOKUP($F951,Productos!$A$2:$A1001,Productos!E$2:E1001,"")*$G951,"")</f>
        <v/>
      </c>
      <c r="M951" s="179" t="str">
        <f t="array" ref="M951">IF($F951&lt;&gt;"",XLOOKUP($F951,Productos!$A:$A,Productos!F:F,"Revisar"),"")</f>
        <v/>
      </c>
      <c r="N951" s="179" t="str">
        <f t="array" ref="N951">IF($F951&lt;&gt;"", XLOOKUP($F951,Productos!$A$2:$A1001,Productos!G$2:G1001,"")*$G951,"")</f>
        <v/>
      </c>
      <c r="O951" s="179" t="str">
        <f t="array" ref="O951">IF($F951&lt;&gt;"",XLOOKUP($F951,Productos!$A:$A,Productos!H:H,"Revisar"),"")</f>
        <v/>
      </c>
      <c r="P951" s="179" t="str">
        <f t="array" ref="P951">IF($F951&lt;&gt;"", XLOOKUP($F951,Productos!$A$2:$A1001,Productos!I$2:I1001,"")*$G951,"")</f>
        <v/>
      </c>
      <c r="Q951" s="179" t="str">
        <f t="array" ref="Q951">IF($F951&lt;&gt;"",XLOOKUP($F951,Productos!$A:$A,Productos!J:J,"Revisar"),"")</f>
        <v/>
      </c>
      <c r="R951" s="179" t="str">
        <f t="array" ref="R951">IF($F951&lt;&gt;"", XLOOKUP($F951,Productos!$A$2:$A1001,Productos!K$2:K1001,"")*$G951,"")</f>
        <v/>
      </c>
      <c r="S951" s="179" t="str">
        <f t="array" ref="S951">IF($F951&lt;&gt;"",XLOOKUP($F951,Productos!$A:$A,Productos!L:L,"Revisar"),"")</f>
        <v/>
      </c>
      <c r="T951" s="179" t="str">
        <f t="array" ref="T951">IF($F951&lt;&gt;"", XLOOKUP($F951,Productos!$A$2:$A1001,Productos!M$2:M1001,"")*$G951,"")</f>
        <v/>
      </c>
      <c r="U951" s="179" t="str">
        <f t="array" ref="U951">IF($F951&lt;&gt;"",XLOOKUP($F951,Productos!$A:$A,Productos!N:N,"Revisar"),"")</f>
        <v/>
      </c>
      <c r="V951" s="179" t="str">
        <f t="array" ref="V951">IF($F951&lt;&gt;"", XLOOKUP($F951,Productos!$A$2:$A1001,Productos!O$2:O1001,"")*$G951,"")</f>
        <v/>
      </c>
      <c r="W951" s="179" t="str">
        <f t="array" ref="W951">IF($F951&lt;&gt;"",XLOOKUP($F951,Productos!$A:$A,Productos!P:P,"Revisar"),"")</f>
        <v/>
      </c>
      <c r="X951" s="179" t="str">
        <f t="array" ref="X951">IF($F951&lt;&gt;"", XLOOKUP($F951,Productos!$A$2:$A1001,Productos!Q$2:Q1001,"")*$G951,"")</f>
        <v/>
      </c>
      <c r="Y951" s="179" t="str">
        <f t="array" ref="Y951">IF($F951&lt;&gt;"",XLOOKUP($F951,Productos!$A:$A,Productos!R:R,"Revisar"),"")</f>
        <v/>
      </c>
      <c r="Z951" s="179" t="str">
        <f t="array" ref="Z951">IF($F951&lt;&gt;"", XLOOKUP($F951,Productos!$A$2:$A1001,Productos!S$2:S1001,"")*$G951,"")</f>
        <v/>
      </c>
      <c r="AA951" s="179" t="str">
        <f t="array" ref="AA951">IF($F951&lt;&gt;"",XLOOKUP($F951,Productos!$A:$A,Productos!T:T,"Revisar"),"")</f>
        <v/>
      </c>
      <c r="AB951" s="179" t="str">
        <f t="array" ref="AB951">IF($F951&lt;&gt;"", XLOOKUP($F951,Productos!$A$2:$A1001,Productos!U$2:U1001,"")*$G951,"")</f>
        <v/>
      </c>
      <c r="AC951" s="179" t="str">
        <f t="array" ref="AC951">IF($F951&lt;&gt;"",XLOOKUP($F951,Productos!$A:$A,Productos!V:V,"Revisar"),"")</f>
        <v/>
      </c>
      <c r="AD951" s="179" t="str">
        <f t="array" ref="AD951">IF($F951&lt;&gt;"", XLOOKUP($F951,Productos!$A$2:$A1001,Productos!W$2:W1001,"")*$G951,"")</f>
        <v/>
      </c>
      <c r="AE951" s="179" t="str">
        <f t="array" ref="AE951">IF($F951&lt;&gt;"",XLOOKUP($F951,Productos!$A:$A,Productos!X:X,"Revisar"),"")</f>
        <v/>
      </c>
      <c r="AF951" s="179" t="str">
        <f t="array" ref="AF951">IF($F951&lt;&gt;"", XLOOKUP($F951,Productos!$A$2:$A1001,Productos!Y$2:Y1001,"")*$G951,"")</f>
        <v/>
      </c>
      <c r="AG951" s="179" t="str">
        <f t="array" ref="AG951">IF($F951&lt;&gt;"",XLOOKUP($F951,Productos!$A:$A,Productos!Z:Z,"Revisar"),"")</f>
        <v/>
      </c>
      <c r="AH951" s="179" t="str">
        <f t="array" ref="AH951">IF($F951&lt;&gt;"", XLOOKUP($F951,Productos!$A$2:$A1001,Productos!AA$2:AA1001,"")*$G951,"")</f>
        <v/>
      </c>
      <c r="AI951" s="179" t="str">
        <f t="array" ref="AI951">IF($F951&lt;&gt;"",XLOOKUP($F951,Productos!$A:$A,Productos!AB:AB,"Revisar"),"")</f>
        <v/>
      </c>
      <c r="AJ951" s="179" t="str">
        <f t="array" ref="AJ951">IF($F951&lt;&gt;"", XLOOKUP($F951,Productos!$A$2:$A1001,Productos!AC$2:AC1001,"")*$G951,"")</f>
        <v/>
      </c>
      <c r="AK951" s="179" t="str">
        <f t="array" ref="AK951">IF($F951&lt;&gt;"",XLOOKUP($F951,Productos!$A:$A,Productos!AD:AD,"Revisar"),"")</f>
        <v/>
      </c>
      <c r="AL951" s="179" t="str">
        <f t="array" ref="AL951">IF($F951&lt;&gt;"", XLOOKUP($F951,Productos!$A$2:$A1001,Productos!AE$2:AE1001,"")*$G951,"")</f>
        <v/>
      </c>
      <c r="AM951" s="179" t="str">
        <f t="array" ref="AM951">IF($F951&lt;&gt;"",XLOOKUP($F951,Productos!$A:$A,Productos!AF:AF,"Revisar"),"")</f>
        <v/>
      </c>
      <c r="AN951" s="179" t="str">
        <f t="array" ref="AN951">IF($F951&lt;&gt;"", XLOOKUP($F951,Productos!$A$2:$A1001,Productos!AG$2:AG1001,"")*$G951,"")</f>
        <v/>
      </c>
      <c r="AO951" s="179" t="str">
        <f t="array" ref="AO951">IF($F951&lt;&gt;"",XLOOKUP($F951,Productos!$A:$A,Productos!AH:AH,"Revisar"),"")</f>
        <v/>
      </c>
      <c r="AP951" s="179" t="str">
        <f t="array" ref="AP951">IF($F951&lt;&gt;"", XLOOKUP($F951,Productos!$A$2:$A1001,Productos!AI$2:AI1001,"")*$G951,"")</f>
        <v/>
      </c>
      <c r="AQ951" s="179" t="str">
        <f t="array" ref="AQ951">IF($F951&lt;&gt;"",XLOOKUP($F951,Productos!$A:$A,Productos!AJ:AJ,"Revisar"),"")</f>
        <v/>
      </c>
      <c r="AR951" s="179" t="str">
        <f t="array" ref="AR951">IF($F951&lt;&gt;"", XLOOKUP($F951,Productos!$A$2:$A1001,Productos!AK$2:AK1001,"")*$G951,"")</f>
        <v/>
      </c>
      <c r="AS951" s="179" t="str">
        <f t="array" ref="AS951">IF($F951&lt;&gt;"",XLOOKUP($F951,Productos!$A:$A,Productos!AL:AL,"Revisar"),"")</f>
        <v/>
      </c>
      <c r="AT951" s="179" t="str">
        <f t="array" ref="AT951">IF($F951&lt;&gt;"", XLOOKUP($F951,Productos!$A$2:$A1001,Productos!AM$2:AM1001,"")*$G951,"")</f>
        <v/>
      </c>
      <c r="AU951" s="179" t="str">
        <f t="array" ref="AU951">IF($F951&lt;&gt;"",XLOOKUP($F951,Productos!$A:$A,Productos!AN:AN,"Revisar"),"")</f>
        <v/>
      </c>
      <c r="AV951" s="179" t="str">
        <f t="array" ref="AV951">IF($F951&lt;&gt;"", XLOOKUP($F951,Productos!$A$2:$A1001,Productos!AO$2:AO1001,"")*$G951,"")</f>
        <v/>
      </c>
      <c r="AW951" s="179" t="str">
        <f t="array" ref="AW951">IF($F951&lt;&gt;"",XLOOKUP($F951,Productos!$A:$A,Productos!AP:AP,"Revisar"),"")</f>
        <v/>
      </c>
      <c r="AX951" s="179" t="str">
        <f t="array" ref="AX951">IF($F951&lt;&gt;"", XLOOKUP($F951,Productos!$A$2:$A1001,Productos!AQ$2:AQ1001,"")*$G951,"")</f>
        <v/>
      </c>
      <c r="AY951" s="179" t="str">
        <f t="array" ref="AY951">IF($F951&lt;&gt;"",XLOOKUP($F951,Productos!$A:$A,Productos!AR:AR,"Revisar"),"")</f>
        <v/>
      </c>
      <c r="AZ951" s="179" t="str">
        <f t="array" ref="AZ951">IF($F951&lt;&gt;"", XLOOKUP($F951,Productos!$A$2:$A1001,Productos!AS$2:AS1001,"")*$G951,"")</f>
        <v/>
      </c>
      <c r="BA951" s="179" t="str">
        <f t="array" ref="BA951">IF($F951&lt;&gt;"",XLOOKUP($F951,Productos!$A:$A,Productos!AT:AT,"Revisar"),"")</f>
        <v/>
      </c>
      <c r="BB951" s="179" t="str">
        <f t="array" ref="BB951">IF($F951&lt;&gt;"", XLOOKUP($F951,Productos!$A$2:$A1001,Productos!AU$2:AU1001,"")*$G951,"")</f>
        <v/>
      </c>
      <c r="BC951" s="179" t="str">
        <f t="array" ref="BC951">IF($F951&lt;&gt;"",XLOOKUP($F951,Productos!$A:$A,Productos!AV:AV,"Revisar"),"")</f>
        <v/>
      </c>
      <c r="BD951" s="179" t="str">
        <f t="array" ref="BD951">IF($F951&lt;&gt;"", XLOOKUP($F951,Productos!$A$2:$A1001,Productos!AW$2:AW1001,"")*$G951,"")</f>
        <v/>
      </c>
      <c r="BE951" s="179" t="str">
        <f t="array" ref="BE951">IF($F951&lt;&gt;"",XLOOKUP($F951,Productos!$A:$A,Productos!AX:AX,"Revisar"),"")</f>
        <v/>
      </c>
      <c r="BF951" s="179" t="str">
        <f t="array" ref="BF951">IF($F951&lt;&gt;"", XLOOKUP($F951,Productos!$A$2:$A1001,Productos!AY$2:AY1001,"")*$G951,"")</f>
        <v/>
      </c>
      <c r="BG951" s="179" t="str">
        <f t="array" ref="BG951">IF($F951&lt;&gt;"",XLOOKUP($F951,Productos!$A:$A,Productos!AZ:AZ,"Revisar"),"")</f>
        <v/>
      </c>
      <c r="BH951" s="179" t="str">
        <f t="array" ref="BH951">IF($F951&lt;&gt;"", XLOOKUP($F951,Productos!$A$2:$A1001,Productos!BA$2:BA1001,"")*$G951,"")</f>
        <v/>
      </c>
      <c r="BI951" s="179" t="str">
        <f t="array" ref="BI951">IF($F951&lt;&gt;"",XLOOKUP($F951,Productos!$A:$A,Productos!BB:BB,"Revisar"),"")</f>
        <v/>
      </c>
      <c r="BJ951" s="179" t="str">
        <f t="array" ref="BJ951">IF($F951&lt;&gt;"", XLOOKUP($F951,Productos!$A$2:$A1001,Productos!BC$2:BC1001,"")*$G951,"")</f>
        <v/>
      </c>
      <c r="BK951" s="179" t="str">
        <f t="array" ref="BK951">IF($F951&lt;&gt;"",XLOOKUP($F951,Productos!$A:$A,Productos!BD:BD,"Revisar"),"")</f>
        <v/>
      </c>
      <c r="BL951" s="179" t="str">
        <f t="array" ref="BL951">IF($F951&lt;&gt;"", XLOOKUP($F951,Productos!$A$2:$A1001,Productos!BE$2:BE1001,"")*$G951,"")</f>
        <v/>
      </c>
      <c r="BM951" s="179" t="str">
        <f t="array" ref="BM951">IF($F951&lt;&gt;"",XLOOKUP($F951,Productos!$A:$A,Productos!BF:BF,"Revisar"),"")</f>
        <v/>
      </c>
      <c r="BN951" s="179" t="str">
        <f t="array" ref="BN951">IF($F951&lt;&gt;"", XLOOKUP($F951,Productos!$A$2:$A1001,Productos!BG$2:BG1001,"")*$G951,"")</f>
        <v/>
      </c>
      <c r="BO951" s="179" t="str">
        <f t="array" ref="BO951">IF($F951&lt;&gt;"",XLOOKUP($F951,Productos!$A:$A,Productos!BH:BH,"Revisar"),"")</f>
        <v/>
      </c>
      <c r="BP951" s="179" t="str">
        <f t="array" ref="BP951">IF($F951&lt;&gt;"", XLOOKUP($F951,Productos!$A$2:$A1001,Productos!BI$2:BI1001,"")*$G951,"")</f>
        <v/>
      </c>
      <c r="BQ951" s="179" t="str">
        <f t="array" ref="BQ951">IF($F951&lt;&gt;"",XLOOKUP($F951,Productos!$A:$A,Productos!BJ:BJ,"Revisar"),"")</f>
        <v/>
      </c>
      <c r="BR951" s="179" t="str">
        <f t="array" ref="BR951">IF($F951&lt;&gt;"", XLOOKUP($F951,Productos!$A$2:$A1001,Productos!BK$2:BK1001,"")*$G951,"")</f>
        <v/>
      </c>
      <c r="BS951" s="179" t="str">
        <f t="array" ref="BS951">IF($F951&lt;&gt;"",XLOOKUP($F951,Productos!$A:$A,Productos!BL:BL,"Revisar"),"")</f>
        <v/>
      </c>
      <c r="BT951" s="179" t="str">
        <f t="array" ref="BT951">IF($F951&lt;&gt;"", XLOOKUP($F951,Productos!$A$2:$A1001,Productos!BM$2:BM1001,"")*$G951,"")</f>
        <v/>
      </c>
      <c r="BU951" s="179" t="str">
        <f t="array" ref="BU951">IF($F951&lt;&gt;"",XLOOKUP($F951,Productos!$A:$A,Productos!BN:BN,"Revisar"),"")</f>
        <v/>
      </c>
      <c r="BV951" s="179" t="str">
        <f t="array" ref="BV951">IF($F951&lt;&gt;"", XLOOKUP($F951,Productos!$A$2:$A1001,Productos!BO$2:BO1001,"")*$G951,"")</f>
        <v/>
      </c>
      <c r="BW951" s="179" t="str">
        <f t="array" ref="BW951">IF($F951&lt;&gt;"",XLOOKUP($F951,Productos!$A:$A,Productos!BP:BP,"Revisar"),"")</f>
        <v/>
      </c>
      <c r="BX951" s="179" t="str">
        <f t="array" ref="BX951">IF($F951&lt;&gt;"", XLOOKUP($F951,Productos!$A$2:$A1001,Productos!BQ$2:BQ1001,"")*$G951,"")</f>
        <v/>
      </c>
      <c r="BY951" s="179" t="str">
        <f t="array" ref="BY951">IF($F951&lt;&gt;"",XLOOKUP($F951,Productos!$A:$A,Productos!BR:BR,"Revisar"),"")</f>
        <v/>
      </c>
      <c r="BZ951" s="179" t="str">
        <f t="array" ref="BZ951">IF($F951&lt;&gt;"", XLOOKUP($F951,Productos!$A$2:$A1001,Productos!BS$2:BS1001,"")*$G951,"")</f>
        <v/>
      </c>
    </row>
    <row r="952">
      <c r="A952" s="188"/>
      <c r="B952" s="189"/>
      <c r="C952" s="190"/>
      <c r="D952" s="190"/>
      <c r="E952" s="191"/>
      <c r="F952" s="186"/>
      <c r="G952" s="192"/>
      <c r="H952" s="9"/>
      <c r="I952" s="179" t="str">
        <f t="array" ref="I952">IF($F952&lt;&gt;"",XLOOKUP($F952,Productos!$A:$A,Productos!B:B,"Revisar"),"")</f>
        <v/>
      </c>
      <c r="J952" s="179" t="str">
        <f t="array" ref="J952">IF($F952&lt;&gt;"", XLOOKUP($F952,Productos!$A$2:$A1001,Productos!C$2:C1001,"")*$G952,"")</f>
        <v/>
      </c>
      <c r="K952" s="179" t="str">
        <f t="array" ref="K952">IF($F952&lt;&gt;"",XLOOKUP($F952,Productos!$A:$A,Productos!D:D,"Revisar"),"")</f>
        <v/>
      </c>
      <c r="L952" s="179" t="str">
        <f t="array" ref="L952">IF($F952&lt;&gt;"", XLOOKUP($F952,Productos!$A$2:$A1001,Productos!E$2:E1001,"")*$G952,"")</f>
        <v/>
      </c>
      <c r="M952" s="179" t="str">
        <f t="array" ref="M952">IF($F952&lt;&gt;"",XLOOKUP($F952,Productos!$A:$A,Productos!F:F,"Revisar"),"")</f>
        <v/>
      </c>
      <c r="N952" s="179" t="str">
        <f t="array" ref="N952">IF($F952&lt;&gt;"", XLOOKUP($F952,Productos!$A$2:$A1001,Productos!G$2:G1001,"")*$G952,"")</f>
        <v/>
      </c>
      <c r="O952" s="179" t="str">
        <f t="array" ref="O952">IF($F952&lt;&gt;"",XLOOKUP($F952,Productos!$A:$A,Productos!H:H,"Revisar"),"")</f>
        <v/>
      </c>
      <c r="P952" s="179" t="str">
        <f t="array" ref="P952">IF($F952&lt;&gt;"", XLOOKUP($F952,Productos!$A$2:$A1001,Productos!I$2:I1001,"")*$G952,"")</f>
        <v/>
      </c>
      <c r="Q952" s="179" t="str">
        <f t="array" ref="Q952">IF($F952&lt;&gt;"",XLOOKUP($F952,Productos!$A:$A,Productos!J:J,"Revisar"),"")</f>
        <v/>
      </c>
      <c r="R952" s="179" t="str">
        <f t="array" ref="R952">IF($F952&lt;&gt;"", XLOOKUP($F952,Productos!$A$2:$A1001,Productos!K$2:K1001,"")*$G952,"")</f>
        <v/>
      </c>
      <c r="S952" s="179" t="str">
        <f t="array" ref="S952">IF($F952&lt;&gt;"",XLOOKUP($F952,Productos!$A:$A,Productos!L:L,"Revisar"),"")</f>
        <v/>
      </c>
      <c r="T952" s="179" t="str">
        <f t="array" ref="T952">IF($F952&lt;&gt;"", XLOOKUP($F952,Productos!$A$2:$A1001,Productos!M$2:M1001,"")*$G952,"")</f>
        <v/>
      </c>
      <c r="U952" s="179" t="str">
        <f t="array" ref="U952">IF($F952&lt;&gt;"",XLOOKUP($F952,Productos!$A:$A,Productos!N:N,"Revisar"),"")</f>
        <v/>
      </c>
      <c r="V952" s="179" t="str">
        <f t="array" ref="V952">IF($F952&lt;&gt;"", XLOOKUP($F952,Productos!$A$2:$A1001,Productos!O$2:O1001,"")*$G952,"")</f>
        <v/>
      </c>
      <c r="W952" s="179" t="str">
        <f t="array" ref="W952">IF($F952&lt;&gt;"",XLOOKUP($F952,Productos!$A:$A,Productos!P:P,"Revisar"),"")</f>
        <v/>
      </c>
      <c r="X952" s="179" t="str">
        <f t="array" ref="X952">IF($F952&lt;&gt;"", XLOOKUP($F952,Productos!$A$2:$A1001,Productos!Q$2:Q1001,"")*$G952,"")</f>
        <v/>
      </c>
      <c r="Y952" s="179" t="str">
        <f t="array" ref="Y952">IF($F952&lt;&gt;"",XLOOKUP($F952,Productos!$A:$A,Productos!R:R,"Revisar"),"")</f>
        <v/>
      </c>
      <c r="Z952" s="179" t="str">
        <f t="array" ref="Z952">IF($F952&lt;&gt;"", XLOOKUP($F952,Productos!$A$2:$A1001,Productos!S$2:S1001,"")*$G952,"")</f>
        <v/>
      </c>
      <c r="AA952" s="179" t="str">
        <f t="array" ref="AA952">IF($F952&lt;&gt;"",XLOOKUP($F952,Productos!$A:$A,Productos!T:T,"Revisar"),"")</f>
        <v/>
      </c>
      <c r="AB952" s="179" t="str">
        <f t="array" ref="AB952">IF($F952&lt;&gt;"", XLOOKUP($F952,Productos!$A$2:$A1001,Productos!U$2:U1001,"")*$G952,"")</f>
        <v/>
      </c>
      <c r="AC952" s="179" t="str">
        <f t="array" ref="AC952">IF($F952&lt;&gt;"",XLOOKUP($F952,Productos!$A:$A,Productos!V:V,"Revisar"),"")</f>
        <v/>
      </c>
      <c r="AD952" s="179" t="str">
        <f t="array" ref="AD952">IF($F952&lt;&gt;"", XLOOKUP($F952,Productos!$A$2:$A1001,Productos!W$2:W1001,"")*$G952,"")</f>
        <v/>
      </c>
      <c r="AE952" s="179" t="str">
        <f t="array" ref="AE952">IF($F952&lt;&gt;"",XLOOKUP($F952,Productos!$A:$A,Productos!X:X,"Revisar"),"")</f>
        <v/>
      </c>
      <c r="AF952" s="179" t="str">
        <f t="array" ref="AF952">IF($F952&lt;&gt;"", XLOOKUP($F952,Productos!$A$2:$A1001,Productos!Y$2:Y1001,"")*$G952,"")</f>
        <v/>
      </c>
      <c r="AG952" s="179" t="str">
        <f t="array" ref="AG952">IF($F952&lt;&gt;"",XLOOKUP($F952,Productos!$A:$A,Productos!Z:Z,"Revisar"),"")</f>
        <v/>
      </c>
      <c r="AH952" s="179" t="str">
        <f t="array" ref="AH952">IF($F952&lt;&gt;"", XLOOKUP($F952,Productos!$A$2:$A1001,Productos!AA$2:AA1001,"")*$G952,"")</f>
        <v/>
      </c>
      <c r="AI952" s="179" t="str">
        <f t="array" ref="AI952">IF($F952&lt;&gt;"",XLOOKUP($F952,Productos!$A:$A,Productos!AB:AB,"Revisar"),"")</f>
        <v/>
      </c>
      <c r="AJ952" s="179" t="str">
        <f t="array" ref="AJ952">IF($F952&lt;&gt;"", XLOOKUP($F952,Productos!$A$2:$A1001,Productos!AC$2:AC1001,"")*$G952,"")</f>
        <v/>
      </c>
      <c r="AK952" s="179" t="str">
        <f t="array" ref="AK952">IF($F952&lt;&gt;"",XLOOKUP($F952,Productos!$A:$A,Productos!AD:AD,"Revisar"),"")</f>
        <v/>
      </c>
      <c r="AL952" s="179" t="str">
        <f t="array" ref="AL952">IF($F952&lt;&gt;"", XLOOKUP($F952,Productos!$A$2:$A1001,Productos!AE$2:AE1001,"")*$G952,"")</f>
        <v/>
      </c>
      <c r="AM952" s="179" t="str">
        <f t="array" ref="AM952">IF($F952&lt;&gt;"",XLOOKUP($F952,Productos!$A:$A,Productos!AF:AF,"Revisar"),"")</f>
        <v/>
      </c>
      <c r="AN952" s="179" t="str">
        <f t="array" ref="AN952">IF($F952&lt;&gt;"", XLOOKUP($F952,Productos!$A$2:$A1001,Productos!AG$2:AG1001,"")*$G952,"")</f>
        <v/>
      </c>
      <c r="AO952" s="179" t="str">
        <f t="array" ref="AO952">IF($F952&lt;&gt;"",XLOOKUP($F952,Productos!$A:$A,Productos!AH:AH,"Revisar"),"")</f>
        <v/>
      </c>
      <c r="AP952" s="179" t="str">
        <f t="array" ref="AP952">IF($F952&lt;&gt;"", XLOOKUP($F952,Productos!$A$2:$A1001,Productos!AI$2:AI1001,"")*$G952,"")</f>
        <v/>
      </c>
      <c r="AQ952" s="179" t="str">
        <f t="array" ref="AQ952">IF($F952&lt;&gt;"",XLOOKUP($F952,Productos!$A:$A,Productos!AJ:AJ,"Revisar"),"")</f>
        <v/>
      </c>
      <c r="AR952" s="179" t="str">
        <f t="array" ref="AR952">IF($F952&lt;&gt;"", XLOOKUP($F952,Productos!$A$2:$A1001,Productos!AK$2:AK1001,"")*$G952,"")</f>
        <v/>
      </c>
      <c r="AS952" s="179" t="str">
        <f t="array" ref="AS952">IF($F952&lt;&gt;"",XLOOKUP($F952,Productos!$A:$A,Productos!AL:AL,"Revisar"),"")</f>
        <v/>
      </c>
      <c r="AT952" s="179" t="str">
        <f t="array" ref="AT952">IF($F952&lt;&gt;"", XLOOKUP($F952,Productos!$A$2:$A1001,Productos!AM$2:AM1001,"")*$G952,"")</f>
        <v/>
      </c>
      <c r="AU952" s="179" t="str">
        <f t="array" ref="AU952">IF($F952&lt;&gt;"",XLOOKUP($F952,Productos!$A:$A,Productos!AN:AN,"Revisar"),"")</f>
        <v/>
      </c>
      <c r="AV952" s="179" t="str">
        <f t="array" ref="AV952">IF($F952&lt;&gt;"", XLOOKUP($F952,Productos!$A$2:$A1001,Productos!AO$2:AO1001,"")*$G952,"")</f>
        <v/>
      </c>
      <c r="AW952" s="179" t="str">
        <f t="array" ref="AW952">IF($F952&lt;&gt;"",XLOOKUP($F952,Productos!$A:$A,Productos!AP:AP,"Revisar"),"")</f>
        <v/>
      </c>
      <c r="AX952" s="179" t="str">
        <f t="array" ref="AX952">IF($F952&lt;&gt;"", XLOOKUP($F952,Productos!$A$2:$A1001,Productos!AQ$2:AQ1001,"")*$G952,"")</f>
        <v/>
      </c>
      <c r="AY952" s="179" t="str">
        <f t="array" ref="AY952">IF($F952&lt;&gt;"",XLOOKUP($F952,Productos!$A:$A,Productos!AR:AR,"Revisar"),"")</f>
        <v/>
      </c>
      <c r="AZ952" s="179" t="str">
        <f t="array" ref="AZ952">IF($F952&lt;&gt;"", XLOOKUP($F952,Productos!$A$2:$A1001,Productos!AS$2:AS1001,"")*$G952,"")</f>
        <v/>
      </c>
      <c r="BA952" s="179" t="str">
        <f t="array" ref="BA952">IF($F952&lt;&gt;"",XLOOKUP($F952,Productos!$A:$A,Productos!AT:AT,"Revisar"),"")</f>
        <v/>
      </c>
      <c r="BB952" s="179" t="str">
        <f t="array" ref="BB952">IF($F952&lt;&gt;"", XLOOKUP($F952,Productos!$A$2:$A1001,Productos!AU$2:AU1001,"")*$G952,"")</f>
        <v/>
      </c>
      <c r="BC952" s="179" t="str">
        <f t="array" ref="BC952">IF($F952&lt;&gt;"",XLOOKUP($F952,Productos!$A:$A,Productos!AV:AV,"Revisar"),"")</f>
        <v/>
      </c>
      <c r="BD952" s="179" t="str">
        <f t="array" ref="BD952">IF($F952&lt;&gt;"", XLOOKUP($F952,Productos!$A$2:$A1001,Productos!AW$2:AW1001,"")*$G952,"")</f>
        <v/>
      </c>
      <c r="BE952" s="179" t="str">
        <f t="array" ref="BE952">IF($F952&lt;&gt;"",XLOOKUP($F952,Productos!$A:$A,Productos!AX:AX,"Revisar"),"")</f>
        <v/>
      </c>
      <c r="BF952" s="179" t="str">
        <f t="array" ref="BF952">IF($F952&lt;&gt;"", XLOOKUP($F952,Productos!$A$2:$A1001,Productos!AY$2:AY1001,"")*$G952,"")</f>
        <v/>
      </c>
      <c r="BG952" s="179" t="str">
        <f t="array" ref="BG952">IF($F952&lt;&gt;"",XLOOKUP($F952,Productos!$A:$A,Productos!AZ:AZ,"Revisar"),"")</f>
        <v/>
      </c>
      <c r="BH952" s="179" t="str">
        <f t="array" ref="BH952">IF($F952&lt;&gt;"", XLOOKUP($F952,Productos!$A$2:$A1001,Productos!BA$2:BA1001,"")*$G952,"")</f>
        <v/>
      </c>
      <c r="BI952" s="179" t="str">
        <f t="array" ref="BI952">IF($F952&lt;&gt;"",XLOOKUP($F952,Productos!$A:$A,Productos!BB:BB,"Revisar"),"")</f>
        <v/>
      </c>
      <c r="BJ952" s="179" t="str">
        <f t="array" ref="BJ952">IF($F952&lt;&gt;"", XLOOKUP($F952,Productos!$A$2:$A1001,Productos!BC$2:BC1001,"")*$G952,"")</f>
        <v/>
      </c>
      <c r="BK952" s="179" t="str">
        <f t="array" ref="BK952">IF($F952&lt;&gt;"",XLOOKUP($F952,Productos!$A:$A,Productos!BD:BD,"Revisar"),"")</f>
        <v/>
      </c>
      <c r="BL952" s="179" t="str">
        <f t="array" ref="BL952">IF($F952&lt;&gt;"", XLOOKUP($F952,Productos!$A$2:$A1001,Productos!BE$2:BE1001,"")*$G952,"")</f>
        <v/>
      </c>
      <c r="BM952" s="179" t="str">
        <f t="array" ref="BM952">IF($F952&lt;&gt;"",XLOOKUP($F952,Productos!$A:$A,Productos!BF:BF,"Revisar"),"")</f>
        <v/>
      </c>
      <c r="BN952" s="179" t="str">
        <f t="array" ref="BN952">IF($F952&lt;&gt;"", XLOOKUP($F952,Productos!$A$2:$A1001,Productos!BG$2:BG1001,"")*$G952,"")</f>
        <v/>
      </c>
      <c r="BO952" s="179" t="str">
        <f t="array" ref="BO952">IF($F952&lt;&gt;"",XLOOKUP($F952,Productos!$A:$A,Productos!BH:BH,"Revisar"),"")</f>
        <v/>
      </c>
      <c r="BP952" s="179" t="str">
        <f t="array" ref="BP952">IF($F952&lt;&gt;"", XLOOKUP($F952,Productos!$A$2:$A1001,Productos!BI$2:BI1001,"")*$G952,"")</f>
        <v/>
      </c>
      <c r="BQ952" s="179" t="str">
        <f t="array" ref="BQ952">IF($F952&lt;&gt;"",XLOOKUP($F952,Productos!$A:$A,Productos!BJ:BJ,"Revisar"),"")</f>
        <v/>
      </c>
      <c r="BR952" s="179" t="str">
        <f t="array" ref="BR952">IF($F952&lt;&gt;"", XLOOKUP($F952,Productos!$A$2:$A1001,Productos!BK$2:BK1001,"")*$G952,"")</f>
        <v/>
      </c>
      <c r="BS952" s="179" t="str">
        <f t="array" ref="BS952">IF($F952&lt;&gt;"",XLOOKUP($F952,Productos!$A:$A,Productos!BL:BL,"Revisar"),"")</f>
        <v/>
      </c>
      <c r="BT952" s="179" t="str">
        <f t="array" ref="BT952">IF($F952&lt;&gt;"", XLOOKUP($F952,Productos!$A$2:$A1001,Productos!BM$2:BM1001,"")*$G952,"")</f>
        <v/>
      </c>
      <c r="BU952" s="179" t="str">
        <f t="array" ref="BU952">IF($F952&lt;&gt;"",XLOOKUP($F952,Productos!$A:$A,Productos!BN:BN,"Revisar"),"")</f>
        <v/>
      </c>
      <c r="BV952" s="179" t="str">
        <f t="array" ref="BV952">IF($F952&lt;&gt;"", XLOOKUP($F952,Productos!$A$2:$A1001,Productos!BO$2:BO1001,"")*$G952,"")</f>
        <v/>
      </c>
      <c r="BW952" s="179" t="str">
        <f t="array" ref="BW952">IF($F952&lt;&gt;"",XLOOKUP($F952,Productos!$A:$A,Productos!BP:BP,"Revisar"),"")</f>
        <v/>
      </c>
      <c r="BX952" s="179" t="str">
        <f t="array" ref="BX952">IF($F952&lt;&gt;"", XLOOKUP($F952,Productos!$A$2:$A1001,Productos!BQ$2:BQ1001,"")*$G952,"")</f>
        <v/>
      </c>
      <c r="BY952" s="179" t="str">
        <f t="array" ref="BY952">IF($F952&lt;&gt;"",XLOOKUP($F952,Productos!$A:$A,Productos!BR:BR,"Revisar"),"")</f>
        <v/>
      </c>
      <c r="BZ952" s="179" t="str">
        <f t="array" ref="BZ952">IF($F952&lt;&gt;"", XLOOKUP($F952,Productos!$A$2:$A1001,Productos!BS$2:BS1001,"")*$G952,"")</f>
        <v/>
      </c>
    </row>
    <row r="953">
      <c r="A953" s="188"/>
      <c r="B953" s="189"/>
      <c r="C953" s="190"/>
      <c r="D953" s="190"/>
      <c r="E953" s="191"/>
      <c r="F953" s="186"/>
      <c r="G953" s="192"/>
      <c r="H953" s="9"/>
      <c r="I953" s="179" t="str">
        <f t="array" ref="I953">IF($F953&lt;&gt;"",XLOOKUP($F953,Productos!$A:$A,Productos!B:B,"Revisar"),"")</f>
        <v/>
      </c>
      <c r="J953" s="179" t="str">
        <f t="array" ref="J953">IF($F953&lt;&gt;"", XLOOKUP($F953,Productos!$A$2:$A1001,Productos!C$2:C1001,"")*$G953,"")</f>
        <v/>
      </c>
      <c r="K953" s="179" t="str">
        <f t="array" ref="K953">IF($F953&lt;&gt;"",XLOOKUP($F953,Productos!$A:$A,Productos!D:D,"Revisar"),"")</f>
        <v/>
      </c>
      <c r="L953" s="179" t="str">
        <f t="array" ref="L953">IF($F953&lt;&gt;"", XLOOKUP($F953,Productos!$A$2:$A1001,Productos!E$2:E1001,"")*$G953,"")</f>
        <v/>
      </c>
      <c r="M953" s="179" t="str">
        <f t="array" ref="M953">IF($F953&lt;&gt;"",XLOOKUP($F953,Productos!$A:$A,Productos!F:F,"Revisar"),"")</f>
        <v/>
      </c>
      <c r="N953" s="179" t="str">
        <f t="array" ref="N953">IF($F953&lt;&gt;"", XLOOKUP($F953,Productos!$A$2:$A1001,Productos!G$2:G1001,"")*$G953,"")</f>
        <v/>
      </c>
      <c r="O953" s="179" t="str">
        <f t="array" ref="O953">IF($F953&lt;&gt;"",XLOOKUP($F953,Productos!$A:$A,Productos!H:H,"Revisar"),"")</f>
        <v/>
      </c>
      <c r="P953" s="179" t="str">
        <f t="array" ref="P953">IF($F953&lt;&gt;"", XLOOKUP($F953,Productos!$A$2:$A1001,Productos!I$2:I1001,"")*$G953,"")</f>
        <v/>
      </c>
      <c r="Q953" s="179" t="str">
        <f t="array" ref="Q953">IF($F953&lt;&gt;"",XLOOKUP($F953,Productos!$A:$A,Productos!J:J,"Revisar"),"")</f>
        <v/>
      </c>
      <c r="R953" s="179" t="str">
        <f t="array" ref="R953">IF($F953&lt;&gt;"", XLOOKUP($F953,Productos!$A$2:$A1001,Productos!K$2:K1001,"")*$G953,"")</f>
        <v/>
      </c>
      <c r="S953" s="179" t="str">
        <f t="array" ref="S953">IF($F953&lt;&gt;"",XLOOKUP($F953,Productos!$A:$A,Productos!L:L,"Revisar"),"")</f>
        <v/>
      </c>
      <c r="T953" s="179" t="str">
        <f t="array" ref="T953">IF($F953&lt;&gt;"", XLOOKUP($F953,Productos!$A$2:$A1001,Productos!M$2:M1001,"")*$G953,"")</f>
        <v/>
      </c>
      <c r="U953" s="179" t="str">
        <f t="array" ref="U953">IF($F953&lt;&gt;"",XLOOKUP($F953,Productos!$A:$A,Productos!N:N,"Revisar"),"")</f>
        <v/>
      </c>
      <c r="V953" s="179" t="str">
        <f t="array" ref="V953">IF($F953&lt;&gt;"", XLOOKUP($F953,Productos!$A$2:$A1001,Productos!O$2:O1001,"")*$G953,"")</f>
        <v/>
      </c>
      <c r="W953" s="179" t="str">
        <f t="array" ref="W953">IF($F953&lt;&gt;"",XLOOKUP($F953,Productos!$A:$A,Productos!P:P,"Revisar"),"")</f>
        <v/>
      </c>
      <c r="X953" s="179" t="str">
        <f t="array" ref="X953">IF($F953&lt;&gt;"", XLOOKUP($F953,Productos!$A$2:$A1001,Productos!Q$2:Q1001,"")*$G953,"")</f>
        <v/>
      </c>
      <c r="Y953" s="179" t="str">
        <f t="array" ref="Y953">IF($F953&lt;&gt;"",XLOOKUP($F953,Productos!$A:$A,Productos!R:R,"Revisar"),"")</f>
        <v/>
      </c>
      <c r="Z953" s="179" t="str">
        <f t="array" ref="Z953">IF($F953&lt;&gt;"", XLOOKUP($F953,Productos!$A$2:$A1001,Productos!S$2:S1001,"")*$G953,"")</f>
        <v/>
      </c>
      <c r="AA953" s="179" t="str">
        <f t="array" ref="AA953">IF($F953&lt;&gt;"",XLOOKUP($F953,Productos!$A:$A,Productos!T:T,"Revisar"),"")</f>
        <v/>
      </c>
      <c r="AB953" s="179" t="str">
        <f t="array" ref="AB953">IF($F953&lt;&gt;"", XLOOKUP($F953,Productos!$A$2:$A1001,Productos!U$2:U1001,"")*$G953,"")</f>
        <v/>
      </c>
      <c r="AC953" s="179" t="str">
        <f t="array" ref="AC953">IF($F953&lt;&gt;"",XLOOKUP($F953,Productos!$A:$A,Productos!V:V,"Revisar"),"")</f>
        <v/>
      </c>
      <c r="AD953" s="179" t="str">
        <f t="array" ref="AD953">IF($F953&lt;&gt;"", XLOOKUP($F953,Productos!$A$2:$A1001,Productos!W$2:W1001,"")*$G953,"")</f>
        <v/>
      </c>
      <c r="AE953" s="179" t="str">
        <f t="array" ref="AE953">IF($F953&lt;&gt;"",XLOOKUP($F953,Productos!$A:$A,Productos!X:X,"Revisar"),"")</f>
        <v/>
      </c>
      <c r="AF953" s="179" t="str">
        <f t="array" ref="AF953">IF($F953&lt;&gt;"", XLOOKUP($F953,Productos!$A$2:$A1001,Productos!Y$2:Y1001,"")*$G953,"")</f>
        <v/>
      </c>
      <c r="AG953" s="179" t="str">
        <f t="array" ref="AG953">IF($F953&lt;&gt;"",XLOOKUP($F953,Productos!$A:$A,Productos!Z:Z,"Revisar"),"")</f>
        <v/>
      </c>
      <c r="AH953" s="179" t="str">
        <f t="array" ref="AH953">IF($F953&lt;&gt;"", XLOOKUP($F953,Productos!$A$2:$A1001,Productos!AA$2:AA1001,"")*$G953,"")</f>
        <v/>
      </c>
      <c r="AI953" s="179" t="str">
        <f t="array" ref="AI953">IF($F953&lt;&gt;"",XLOOKUP($F953,Productos!$A:$A,Productos!AB:AB,"Revisar"),"")</f>
        <v/>
      </c>
      <c r="AJ953" s="179" t="str">
        <f t="array" ref="AJ953">IF($F953&lt;&gt;"", XLOOKUP($F953,Productos!$A$2:$A1001,Productos!AC$2:AC1001,"")*$G953,"")</f>
        <v/>
      </c>
      <c r="AK953" s="179" t="str">
        <f t="array" ref="AK953">IF($F953&lt;&gt;"",XLOOKUP($F953,Productos!$A:$A,Productos!AD:AD,"Revisar"),"")</f>
        <v/>
      </c>
      <c r="AL953" s="179" t="str">
        <f t="array" ref="AL953">IF($F953&lt;&gt;"", XLOOKUP($F953,Productos!$A$2:$A1001,Productos!AE$2:AE1001,"")*$G953,"")</f>
        <v/>
      </c>
      <c r="AM953" s="179" t="str">
        <f t="array" ref="AM953">IF($F953&lt;&gt;"",XLOOKUP($F953,Productos!$A:$A,Productos!AF:AF,"Revisar"),"")</f>
        <v/>
      </c>
      <c r="AN953" s="179" t="str">
        <f t="array" ref="AN953">IF($F953&lt;&gt;"", XLOOKUP($F953,Productos!$A$2:$A1001,Productos!AG$2:AG1001,"")*$G953,"")</f>
        <v/>
      </c>
      <c r="AO953" s="179" t="str">
        <f t="array" ref="AO953">IF($F953&lt;&gt;"",XLOOKUP($F953,Productos!$A:$A,Productos!AH:AH,"Revisar"),"")</f>
        <v/>
      </c>
      <c r="AP953" s="179" t="str">
        <f t="array" ref="AP953">IF($F953&lt;&gt;"", XLOOKUP($F953,Productos!$A$2:$A1001,Productos!AI$2:AI1001,"")*$G953,"")</f>
        <v/>
      </c>
      <c r="AQ953" s="179" t="str">
        <f t="array" ref="AQ953">IF($F953&lt;&gt;"",XLOOKUP($F953,Productos!$A:$A,Productos!AJ:AJ,"Revisar"),"")</f>
        <v/>
      </c>
      <c r="AR953" s="179" t="str">
        <f t="array" ref="AR953">IF($F953&lt;&gt;"", XLOOKUP($F953,Productos!$A$2:$A1001,Productos!AK$2:AK1001,"")*$G953,"")</f>
        <v/>
      </c>
      <c r="AS953" s="179" t="str">
        <f t="array" ref="AS953">IF($F953&lt;&gt;"",XLOOKUP($F953,Productos!$A:$A,Productos!AL:AL,"Revisar"),"")</f>
        <v/>
      </c>
      <c r="AT953" s="179" t="str">
        <f t="array" ref="AT953">IF($F953&lt;&gt;"", XLOOKUP($F953,Productos!$A$2:$A1001,Productos!AM$2:AM1001,"")*$G953,"")</f>
        <v/>
      </c>
      <c r="AU953" s="179" t="str">
        <f t="array" ref="AU953">IF($F953&lt;&gt;"",XLOOKUP($F953,Productos!$A:$A,Productos!AN:AN,"Revisar"),"")</f>
        <v/>
      </c>
      <c r="AV953" s="179" t="str">
        <f t="array" ref="AV953">IF($F953&lt;&gt;"", XLOOKUP($F953,Productos!$A$2:$A1001,Productos!AO$2:AO1001,"")*$G953,"")</f>
        <v/>
      </c>
      <c r="AW953" s="179" t="str">
        <f t="array" ref="AW953">IF($F953&lt;&gt;"",XLOOKUP($F953,Productos!$A:$A,Productos!AP:AP,"Revisar"),"")</f>
        <v/>
      </c>
      <c r="AX953" s="179" t="str">
        <f t="array" ref="AX953">IF($F953&lt;&gt;"", XLOOKUP($F953,Productos!$A$2:$A1001,Productos!AQ$2:AQ1001,"")*$G953,"")</f>
        <v/>
      </c>
      <c r="AY953" s="179" t="str">
        <f t="array" ref="AY953">IF($F953&lt;&gt;"",XLOOKUP($F953,Productos!$A:$A,Productos!AR:AR,"Revisar"),"")</f>
        <v/>
      </c>
      <c r="AZ953" s="179" t="str">
        <f t="array" ref="AZ953">IF($F953&lt;&gt;"", XLOOKUP($F953,Productos!$A$2:$A1001,Productos!AS$2:AS1001,"")*$G953,"")</f>
        <v/>
      </c>
      <c r="BA953" s="179" t="str">
        <f t="array" ref="BA953">IF($F953&lt;&gt;"",XLOOKUP($F953,Productos!$A:$A,Productos!AT:AT,"Revisar"),"")</f>
        <v/>
      </c>
      <c r="BB953" s="179" t="str">
        <f t="array" ref="BB953">IF($F953&lt;&gt;"", XLOOKUP($F953,Productos!$A$2:$A1001,Productos!AU$2:AU1001,"")*$G953,"")</f>
        <v/>
      </c>
      <c r="BC953" s="179" t="str">
        <f t="array" ref="BC953">IF($F953&lt;&gt;"",XLOOKUP($F953,Productos!$A:$A,Productos!AV:AV,"Revisar"),"")</f>
        <v/>
      </c>
      <c r="BD953" s="179" t="str">
        <f t="array" ref="BD953">IF($F953&lt;&gt;"", XLOOKUP($F953,Productos!$A$2:$A1001,Productos!AW$2:AW1001,"")*$G953,"")</f>
        <v/>
      </c>
      <c r="BE953" s="179" t="str">
        <f t="array" ref="BE953">IF($F953&lt;&gt;"",XLOOKUP($F953,Productos!$A:$A,Productos!AX:AX,"Revisar"),"")</f>
        <v/>
      </c>
      <c r="BF953" s="179" t="str">
        <f t="array" ref="BF953">IF($F953&lt;&gt;"", XLOOKUP($F953,Productos!$A$2:$A1001,Productos!AY$2:AY1001,"")*$G953,"")</f>
        <v/>
      </c>
      <c r="BG953" s="179" t="str">
        <f t="array" ref="BG953">IF($F953&lt;&gt;"",XLOOKUP($F953,Productos!$A:$A,Productos!AZ:AZ,"Revisar"),"")</f>
        <v/>
      </c>
      <c r="BH953" s="179" t="str">
        <f t="array" ref="BH953">IF($F953&lt;&gt;"", XLOOKUP($F953,Productos!$A$2:$A1001,Productos!BA$2:BA1001,"")*$G953,"")</f>
        <v/>
      </c>
      <c r="BI953" s="179" t="str">
        <f t="array" ref="BI953">IF($F953&lt;&gt;"",XLOOKUP($F953,Productos!$A:$A,Productos!BB:BB,"Revisar"),"")</f>
        <v/>
      </c>
      <c r="BJ953" s="179" t="str">
        <f t="array" ref="BJ953">IF($F953&lt;&gt;"", XLOOKUP($F953,Productos!$A$2:$A1001,Productos!BC$2:BC1001,"")*$G953,"")</f>
        <v/>
      </c>
      <c r="BK953" s="179" t="str">
        <f t="array" ref="BK953">IF($F953&lt;&gt;"",XLOOKUP($F953,Productos!$A:$A,Productos!BD:BD,"Revisar"),"")</f>
        <v/>
      </c>
      <c r="BL953" s="179" t="str">
        <f t="array" ref="BL953">IF($F953&lt;&gt;"", XLOOKUP($F953,Productos!$A$2:$A1001,Productos!BE$2:BE1001,"")*$G953,"")</f>
        <v/>
      </c>
      <c r="BM953" s="179" t="str">
        <f t="array" ref="BM953">IF($F953&lt;&gt;"",XLOOKUP($F953,Productos!$A:$A,Productos!BF:BF,"Revisar"),"")</f>
        <v/>
      </c>
      <c r="BN953" s="179" t="str">
        <f t="array" ref="BN953">IF($F953&lt;&gt;"", XLOOKUP($F953,Productos!$A$2:$A1001,Productos!BG$2:BG1001,"")*$G953,"")</f>
        <v/>
      </c>
      <c r="BO953" s="179" t="str">
        <f t="array" ref="BO953">IF($F953&lt;&gt;"",XLOOKUP($F953,Productos!$A:$A,Productos!BH:BH,"Revisar"),"")</f>
        <v/>
      </c>
      <c r="BP953" s="179" t="str">
        <f t="array" ref="BP953">IF($F953&lt;&gt;"", XLOOKUP($F953,Productos!$A$2:$A1001,Productos!BI$2:BI1001,"")*$G953,"")</f>
        <v/>
      </c>
      <c r="BQ953" s="179" t="str">
        <f t="array" ref="BQ953">IF($F953&lt;&gt;"",XLOOKUP($F953,Productos!$A:$A,Productos!BJ:BJ,"Revisar"),"")</f>
        <v/>
      </c>
      <c r="BR953" s="179" t="str">
        <f t="array" ref="BR953">IF($F953&lt;&gt;"", XLOOKUP($F953,Productos!$A$2:$A1001,Productos!BK$2:BK1001,"")*$G953,"")</f>
        <v/>
      </c>
      <c r="BS953" s="179" t="str">
        <f t="array" ref="BS953">IF($F953&lt;&gt;"",XLOOKUP($F953,Productos!$A:$A,Productos!BL:BL,"Revisar"),"")</f>
        <v/>
      </c>
      <c r="BT953" s="179" t="str">
        <f t="array" ref="BT953">IF($F953&lt;&gt;"", XLOOKUP($F953,Productos!$A$2:$A1001,Productos!BM$2:BM1001,"")*$G953,"")</f>
        <v/>
      </c>
      <c r="BU953" s="179" t="str">
        <f t="array" ref="BU953">IF($F953&lt;&gt;"",XLOOKUP($F953,Productos!$A:$A,Productos!BN:BN,"Revisar"),"")</f>
        <v/>
      </c>
      <c r="BV953" s="179" t="str">
        <f t="array" ref="BV953">IF($F953&lt;&gt;"", XLOOKUP($F953,Productos!$A$2:$A1001,Productos!BO$2:BO1001,"")*$G953,"")</f>
        <v/>
      </c>
      <c r="BW953" s="179" t="str">
        <f t="array" ref="BW953">IF($F953&lt;&gt;"",XLOOKUP($F953,Productos!$A:$A,Productos!BP:BP,"Revisar"),"")</f>
        <v/>
      </c>
      <c r="BX953" s="179" t="str">
        <f t="array" ref="BX953">IF($F953&lt;&gt;"", XLOOKUP($F953,Productos!$A$2:$A1001,Productos!BQ$2:BQ1001,"")*$G953,"")</f>
        <v/>
      </c>
      <c r="BY953" s="179" t="str">
        <f t="array" ref="BY953">IF($F953&lt;&gt;"",XLOOKUP($F953,Productos!$A:$A,Productos!BR:BR,"Revisar"),"")</f>
        <v/>
      </c>
      <c r="BZ953" s="179" t="str">
        <f t="array" ref="BZ953">IF($F953&lt;&gt;"", XLOOKUP($F953,Productos!$A$2:$A1001,Productos!BS$2:BS1001,"")*$G953,"")</f>
        <v/>
      </c>
    </row>
    <row r="954">
      <c r="A954" s="188"/>
      <c r="B954" s="189"/>
      <c r="C954" s="190"/>
      <c r="D954" s="190"/>
      <c r="E954" s="191"/>
      <c r="F954" s="186"/>
      <c r="G954" s="192"/>
      <c r="H954" s="9"/>
      <c r="I954" s="179" t="str">
        <f t="array" ref="I954">IF($F954&lt;&gt;"",XLOOKUP($F954,Productos!$A:$A,Productos!B:B,"Revisar"),"")</f>
        <v/>
      </c>
      <c r="J954" s="179" t="str">
        <f t="array" ref="J954">IF($F954&lt;&gt;"", XLOOKUP($F954,Productos!$A$2:$A1001,Productos!C$2:C1001,"")*$G954,"")</f>
        <v/>
      </c>
      <c r="K954" s="179" t="str">
        <f t="array" ref="K954">IF($F954&lt;&gt;"",XLOOKUP($F954,Productos!$A:$A,Productos!D:D,"Revisar"),"")</f>
        <v/>
      </c>
      <c r="L954" s="179" t="str">
        <f t="array" ref="L954">IF($F954&lt;&gt;"", XLOOKUP($F954,Productos!$A$2:$A1001,Productos!E$2:E1001,"")*$G954,"")</f>
        <v/>
      </c>
      <c r="M954" s="179" t="str">
        <f t="array" ref="M954">IF($F954&lt;&gt;"",XLOOKUP($F954,Productos!$A:$A,Productos!F:F,"Revisar"),"")</f>
        <v/>
      </c>
      <c r="N954" s="179" t="str">
        <f t="array" ref="N954">IF($F954&lt;&gt;"", XLOOKUP($F954,Productos!$A$2:$A1001,Productos!G$2:G1001,"")*$G954,"")</f>
        <v/>
      </c>
      <c r="O954" s="179" t="str">
        <f t="array" ref="O954">IF($F954&lt;&gt;"",XLOOKUP($F954,Productos!$A:$A,Productos!H:H,"Revisar"),"")</f>
        <v/>
      </c>
      <c r="P954" s="179" t="str">
        <f t="array" ref="P954">IF($F954&lt;&gt;"", XLOOKUP($F954,Productos!$A$2:$A1001,Productos!I$2:I1001,"")*$G954,"")</f>
        <v/>
      </c>
      <c r="Q954" s="179" t="str">
        <f t="array" ref="Q954">IF($F954&lt;&gt;"",XLOOKUP($F954,Productos!$A:$A,Productos!J:J,"Revisar"),"")</f>
        <v/>
      </c>
      <c r="R954" s="179" t="str">
        <f t="array" ref="R954">IF($F954&lt;&gt;"", XLOOKUP($F954,Productos!$A$2:$A1001,Productos!K$2:K1001,"")*$G954,"")</f>
        <v/>
      </c>
      <c r="S954" s="179" t="str">
        <f t="array" ref="S954">IF($F954&lt;&gt;"",XLOOKUP($F954,Productos!$A:$A,Productos!L:L,"Revisar"),"")</f>
        <v/>
      </c>
      <c r="T954" s="179" t="str">
        <f t="array" ref="T954">IF($F954&lt;&gt;"", XLOOKUP($F954,Productos!$A$2:$A1001,Productos!M$2:M1001,"")*$G954,"")</f>
        <v/>
      </c>
      <c r="U954" s="179" t="str">
        <f t="array" ref="U954">IF($F954&lt;&gt;"",XLOOKUP($F954,Productos!$A:$A,Productos!N:N,"Revisar"),"")</f>
        <v/>
      </c>
      <c r="V954" s="179" t="str">
        <f t="array" ref="V954">IF($F954&lt;&gt;"", XLOOKUP($F954,Productos!$A$2:$A1001,Productos!O$2:O1001,"")*$G954,"")</f>
        <v/>
      </c>
      <c r="W954" s="179" t="str">
        <f t="array" ref="W954">IF($F954&lt;&gt;"",XLOOKUP($F954,Productos!$A:$A,Productos!P:P,"Revisar"),"")</f>
        <v/>
      </c>
      <c r="X954" s="179" t="str">
        <f t="array" ref="X954">IF($F954&lt;&gt;"", XLOOKUP($F954,Productos!$A$2:$A1001,Productos!Q$2:Q1001,"")*$G954,"")</f>
        <v/>
      </c>
      <c r="Y954" s="179" t="str">
        <f t="array" ref="Y954">IF($F954&lt;&gt;"",XLOOKUP($F954,Productos!$A:$A,Productos!R:R,"Revisar"),"")</f>
        <v/>
      </c>
      <c r="Z954" s="179" t="str">
        <f t="array" ref="Z954">IF($F954&lt;&gt;"", XLOOKUP($F954,Productos!$A$2:$A1001,Productos!S$2:S1001,"")*$G954,"")</f>
        <v/>
      </c>
      <c r="AA954" s="179" t="str">
        <f t="array" ref="AA954">IF($F954&lt;&gt;"",XLOOKUP($F954,Productos!$A:$A,Productos!T:T,"Revisar"),"")</f>
        <v/>
      </c>
      <c r="AB954" s="179" t="str">
        <f t="array" ref="AB954">IF($F954&lt;&gt;"", XLOOKUP($F954,Productos!$A$2:$A1001,Productos!U$2:U1001,"")*$G954,"")</f>
        <v/>
      </c>
      <c r="AC954" s="179" t="str">
        <f t="array" ref="AC954">IF($F954&lt;&gt;"",XLOOKUP($F954,Productos!$A:$A,Productos!V:V,"Revisar"),"")</f>
        <v/>
      </c>
      <c r="AD954" s="179" t="str">
        <f t="array" ref="AD954">IF($F954&lt;&gt;"", XLOOKUP($F954,Productos!$A$2:$A1001,Productos!W$2:W1001,"")*$G954,"")</f>
        <v/>
      </c>
      <c r="AE954" s="179" t="str">
        <f t="array" ref="AE954">IF($F954&lt;&gt;"",XLOOKUP($F954,Productos!$A:$A,Productos!X:X,"Revisar"),"")</f>
        <v/>
      </c>
      <c r="AF954" s="179" t="str">
        <f t="array" ref="AF954">IF($F954&lt;&gt;"", XLOOKUP($F954,Productos!$A$2:$A1001,Productos!Y$2:Y1001,"")*$G954,"")</f>
        <v/>
      </c>
      <c r="AG954" s="179" t="str">
        <f t="array" ref="AG954">IF($F954&lt;&gt;"",XLOOKUP($F954,Productos!$A:$A,Productos!Z:Z,"Revisar"),"")</f>
        <v/>
      </c>
      <c r="AH954" s="179" t="str">
        <f t="array" ref="AH954">IF($F954&lt;&gt;"", XLOOKUP($F954,Productos!$A$2:$A1001,Productos!AA$2:AA1001,"")*$G954,"")</f>
        <v/>
      </c>
      <c r="AI954" s="179" t="str">
        <f t="array" ref="AI954">IF($F954&lt;&gt;"",XLOOKUP($F954,Productos!$A:$A,Productos!AB:AB,"Revisar"),"")</f>
        <v/>
      </c>
      <c r="AJ954" s="179" t="str">
        <f t="array" ref="AJ954">IF($F954&lt;&gt;"", XLOOKUP($F954,Productos!$A$2:$A1001,Productos!AC$2:AC1001,"")*$G954,"")</f>
        <v/>
      </c>
      <c r="AK954" s="179" t="str">
        <f t="array" ref="AK954">IF($F954&lt;&gt;"",XLOOKUP($F954,Productos!$A:$A,Productos!AD:AD,"Revisar"),"")</f>
        <v/>
      </c>
      <c r="AL954" s="179" t="str">
        <f t="array" ref="AL954">IF($F954&lt;&gt;"", XLOOKUP($F954,Productos!$A$2:$A1001,Productos!AE$2:AE1001,"")*$G954,"")</f>
        <v/>
      </c>
      <c r="AM954" s="179" t="str">
        <f t="array" ref="AM954">IF($F954&lt;&gt;"",XLOOKUP($F954,Productos!$A:$A,Productos!AF:AF,"Revisar"),"")</f>
        <v/>
      </c>
      <c r="AN954" s="179" t="str">
        <f t="array" ref="AN954">IF($F954&lt;&gt;"", XLOOKUP($F954,Productos!$A$2:$A1001,Productos!AG$2:AG1001,"")*$G954,"")</f>
        <v/>
      </c>
      <c r="AO954" s="179" t="str">
        <f t="array" ref="AO954">IF($F954&lt;&gt;"",XLOOKUP($F954,Productos!$A:$A,Productos!AH:AH,"Revisar"),"")</f>
        <v/>
      </c>
      <c r="AP954" s="179" t="str">
        <f t="array" ref="AP954">IF($F954&lt;&gt;"", XLOOKUP($F954,Productos!$A$2:$A1001,Productos!AI$2:AI1001,"")*$G954,"")</f>
        <v/>
      </c>
      <c r="AQ954" s="179" t="str">
        <f t="array" ref="AQ954">IF($F954&lt;&gt;"",XLOOKUP($F954,Productos!$A:$A,Productos!AJ:AJ,"Revisar"),"")</f>
        <v/>
      </c>
      <c r="AR954" s="179" t="str">
        <f t="array" ref="AR954">IF($F954&lt;&gt;"", XLOOKUP($F954,Productos!$A$2:$A1001,Productos!AK$2:AK1001,"")*$G954,"")</f>
        <v/>
      </c>
      <c r="AS954" s="179" t="str">
        <f t="array" ref="AS954">IF($F954&lt;&gt;"",XLOOKUP($F954,Productos!$A:$A,Productos!AL:AL,"Revisar"),"")</f>
        <v/>
      </c>
      <c r="AT954" s="179" t="str">
        <f t="array" ref="AT954">IF($F954&lt;&gt;"", XLOOKUP($F954,Productos!$A$2:$A1001,Productos!AM$2:AM1001,"")*$G954,"")</f>
        <v/>
      </c>
      <c r="AU954" s="179" t="str">
        <f t="array" ref="AU954">IF($F954&lt;&gt;"",XLOOKUP($F954,Productos!$A:$A,Productos!AN:AN,"Revisar"),"")</f>
        <v/>
      </c>
      <c r="AV954" s="179" t="str">
        <f t="array" ref="AV954">IF($F954&lt;&gt;"", XLOOKUP($F954,Productos!$A$2:$A1001,Productos!AO$2:AO1001,"")*$G954,"")</f>
        <v/>
      </c>
      <c r="AW954" s="179" t="str">
        <f t="array" ref="AW954">IF($F954&lt;&gt;"",XLOOKUP($F954,Productos!$A:$A,Productos!AP:AP,"Revisar"),"")</f>
        <v/>
      </c>
      <c r="AX954" s="179" t="str">
        <f t="array" ref="AX954">IF($F954&lt;&gt;"", XLOOKUP($F954,Productos!$A$2:$A1001,Productos!AQ$2:AQ1001,"")*$G954,"")</f>
        <v/>
      </c>
      <c r="AY954" s="179" t="str">
        <f t="array" ref="AY954">IF($F954&lt;&gt;"",XLOOKUP($F954,Productos!$A:$A,Productos!AR:AR,"Revisar"),"")</f>
        <v/>
      </c>
      <c r="AZ954" s="179" t="str">
        <f t="array" ref="AZ954">IF($F954&lt;&gt;"", XLOOKUP($F954,Productos!$A$2:$A1001,Productos!AS$2:AS1001,"")*$G954,"")</f>
        <v/>
      </c>
      <c r="BA954" s="179" t="str">
        <f t="array" ref="BA954">IF($F954&lt;&gt;"",XLOOKUP($F954,Productos!$A:$A,Productos!AT:AT,"Revisar"),"")</f>
        <v/>
      </c>
      <c r="BB954" s="179" t="str">
        <f t="array" ref="BB954">IF($F954&lt;&gt;"", XLOOKUP($F954,Productos!$A$2:$A1001,Productos!AU$2:AU1001,"")*$G954,"")</f>
        <v/>
      </c>
      <c r="BC954" s="179" t="str">
        <f t="array" ref="BC954">IF($F954&lt;&gt;"",XLOOKUP($F954,Productos!$A:$A,Productos!AV:AV,"Revisar"),"")</f>
        <v/>
      </c>
      <c r="BD954" s="179" t="str">
        <f t="array" ref="BD954">IF($F954&lt;&gt;"", XLOOKUP($F954,Productos!$A$2:$A1001,Productos!AW$2:AW1001,"")*$G954,"")</f>
        <v/>
      </c>
      <c r="BE954" s="179" t="str">
        <f t="array" ref="BE954">IF($F954&lt;&gt;"",XLOOKUP($F954,Productos!$A:$A,Productos!AX:AX,"Revisar"),"")</f>
        <v/>
      </c>
      <c r="BF954" s="179" t="str">
        <f t="array" ref="BF954">IF($F954&lt;&gt;"", XLOOKUP($F954,Productos!$A$2:$A1001,Productos!AY$2:AY1001,"")*$G954,"")</f>
        <v/>
      </c>
      <c r="BG954" s="179" t="str">
        <f t="array" ref="BG954">IF($F954&lt;&gt;"",XLOOKUP($F954,Productos!$A:$A,Productos!AZ:AZ,"Revisar"),"")</f>
        <v/>
      </c>
      <c r="BH954" s="179" t="str">
        <f t="array" ref="BH954">IF($F954&lt;&gt;"", XLOOKUP($F954,Productos!$A$2:$A1001,Productos!BA$2:BA1001,"")*$G954,"")</f>
        <v/>
      </c>
      <c r="BI954" s="179" t="str">
        <f t="array" ref="BI954">IF($F954&lt;&gt;"",XLOOKUP($F954,Productos!$A:$A,Productos!BB:BB,"Revisar"),"")</f>
        <v/>
      </c>
      <c r="BJ954" s="179" t="str">
        <f t="array" ref="BJ954">IF($F954&lt;&gt;"", XLOOKUP($F954,Productos!$A$2:$A1001,Productos!BC$2:BC1001,"")*$G954,"")</f>
        <v/>
      </c>
      <c r="BK954" s="179" t="str">
        <f t="array" ref="BK954">IF($F954&lt;&gt;"",XLOOKUP($F954,Productos!$A:$A,Productos!BD:BD,"Revisar"),"")</f>
        <v/>
      </c>
      <c r="BL954" s="179" t="str">
        <f t="array" ref="BL954">IF($F954&lt;&gt;"", XLOOKUP($F954,Productos!$A$2:$A1001,Productos!BE$2:BE1001,"")*$G954,"")</f>
        <v/>
      </c>
      <c r="BM954" s="179" t="str">
        <f t="array" ref="BM954">IF($F954&lt;&gt;"",XLOOKUP($F954,Productos!$A:$A,Productos!BF:BF,"Revisar"),"")</f>
        <v/>
      </c>
      <c r="BN954" s="179" t="str">
        <f t="array" ref="BN954">IF($F954&lt;&gt;"", XLOOKUP($F954,Productos!$A$2:$A1001,Productos!BG$2:BG1001,"")*$G954,"")</f>
        <v/>
      </c>
      <c r="BO954" s="179" t="str">
        <f t="array" ref="BO954">IF($F954&lt;&gt;"",XLOOKUP($F954,Productos!$A:$A,Productos!BH:BH,"Revisar"),"")</f>
        <v/>
      </c>
      <c r="BP954" s="179" t="str">
        <f t="array" ref="BP954">IF($F954&lt;&gt;"", XLOOKUP($F954,Productos!$A$2:$A1001,Productos!BI$2:BI1001,"")*$G954,"")</f>
        <v/>
      </c>
      <c r="BQ954" s="179" t="str">
        <f t="array" ref="BQ954">IF($F954&lt;&gt;"",XLOOKUP($F954,Productos!$A:$A,Productos!BJ:BJ,"Revisar"),"")</f>
        <v/>
      </c>
      <c r="BR954" s="179" t="str">
        <f t="array" ref="BR954">IF($F954&lt;&gt;"", XLOOKUP($F954,Productos!$A$2:$A1001,Productos!BK$2:BK1001,"")*$G954,"")</f>
        <v/>
      </c>
      <c r="BS954" s="179" t="str">
        <f t="array" ref="BS954">IF($F954&lt;&gt;"",XLOOKUP($F954,Productos!$A:$A,Productos!BL:BL,"Revisar"),"")</f>
        <v/>
      </c>
      <c r="BT954" s="179" t="str">
        <f t="array" ref="BT954">IF($F954&lt;&gt;"", XLOOKUP($F954,Productos!$A$2:$A1001,Productos!BM$2:BM1001,"")*$G954,"")</f>
        <v/>
      </c>
      <c r="BU954" s="179" t="str">
        <f t="array" ref="BU954">IF($F954&lt;&gt;"",XLOOKUP($F954,Productos!$A:$A,Productos!BN:BN,"Revisar"),"")</f>
        <v/>
      </c>
      <c r="BV954" s="179" t="str">
        <f t="array" ref="BV954">IF($F954&lt;&gt;"", XLOOKUP($F954,Productos!$A$2:$A1001,Productos!BO$2:BO1001,"")*$G954,"")</f>
        <v/>
      </c>
      <c r="BW954" s="179" t="str">
        <f t="array" ref="BW954">IF($F954&lt;&gt;"",XLOOKUP($F954,Productos!$A:$A,Productos!BP:BP,"Revisar"),"")</f>
        <v/>
      </c>
      <c r="BX954" s="179" t="str">
        <f t="array" ref="BX954">IF($F954&lt;&gt;"", XLOOKUP($F954,Productos!$A$2:$A1001,Productos!BQ$2:BQ1001,"")*$G954,"")</f>
        <v/>
      </c>
      <c r="BY954" s="179" t="str">
        <f t="array" ref="BY954">IF($F954&lt;&gt;"",XLOOKUP($F954,Productos!$A:$A,Productos!BR:BR,"Revisar"),"")</f>
        <v/>
      </c>
      <c r="BZ954" s="179" t="str">
        <f t="array" ref="BZ954">IF($F954&lt;&gt;"", XLOOKUP($F954,Productos!$A$2:$A1001,Productos!BS$2:BS1001,"")*$G954,"")</f>
        <v/>
      </c>
    </row>
    <row r="955">
      <c r="A955" s="188"/>
      <c r="B955" s="189"/>
      <c r="C955" s="190"/>
      <c r="D955" s="190"/>
      <c r="E955" s="191"/>
      <c r="F955" s="186"/>
      <c r="G955" s="192"/>
      <c r="H955" s="9"/>
      <c r="I955" s="179" t="str">
        <f t="array" ref="I955">IF($F955&lt;&gt;"",XLOOKUP($F955,Productos!$A:$A,Productos!B:B,"Revisar"),"")</f>
        <v/>
      </c>
      <c r="J955" s="179" t="str">
        <f t="array" ref="J955">IF($F955&lt;&gt;"", XLOOKUP($F955,Productos!$A$2:$A1001,Productos!C$2:C1001,"")*$G955,"")</f>
        <v/>
      </c>
      <c r="K955" s="179" t="str">
        <f t="array" ref="K955">IF($F955&lt;&gt;"",XLOOKUP($F955,Productos!$A:$A,Productos!D:D,"Revisar"),"")</f>
        <v/>
      </c>
      <c r="L955" s="179" t="str">
        <f t="array" ref="L955">IF($F955&lt;&gt;"", XLOOKUP($F955,Productos!$A$2:$A1001,Productos!E$2:E1001,"")*$G955,"")</f>
        <v/>
      </c>
      <c r="M955" s="179" t="str">
        <f t="array" ref="M955">IF($F955&lt;&gt;"",XLOOKUP($F955,Productos!$A:$A,Productos!F:F,"Revisar"),"")</f>
        <v/>
      </c>
      <c r="N955" s="179" t="str">
        <f t="array" ref="N955">IF($F955&lt;&gt;"", XLOOKUP($F955,Productos!$A$2:$A1001,Productos!G$2:G1001,"")*$G955,"")</f>
        <v/>
      </c>
      <c r="O955" s="179" t="str">
        <f t="array" ref="O955">IF($F955&lt;&gt;"",XLOOKUP($F955,Productos!$A:$A,Productos!H:H,"Revisar"),"")</f>
        <v/>
      </c>
      <c r="P955" s="179" t="str">
        <f t="array" ref="P955">IF($F955&lt;&gt;"", XLOOKUP($F955,Productos!$A$2:$A1001,Productos!I$2:I1001,"")*$G955,"")</f>
        <v/>
      </c>
      <c r="Q955" s="179" t="str">
        <f t="array" ref="Q955">IF($F955&lt;&gt;"",XLOOKUP($F955,Productos!$A:$A,Productos!J:J,"Revisar"),"")</f>
        <v/>
      </c>
      <c r="R955" s="179" t="str">
        <f t="array" ref="R955">IF($F955&lt;&gt;"", XLOOKUP($F955,Productos!$A$2:$A1001,Productos!K$2:K1001,"")*$G955,"")</f>
        <v/>
      </c>
      <c r="S955" s="179" t="str">
        <f t="array" ref="S955">IF($F955&lt;&gt;"",XLOOKUP($F955,Productos!$A:$A,Productos!L:L,"Revisar"),"")</f>
        <v/>
      </c>
      <c r="T955" s="179" t="str">
        <f t="array" ref="T955">IF($F955&lt;&gt;"", XLOOKUP($F955,Productos!$A$2:$A1001,Productos!M$2:M1001,"")*$G955,"")</f>
        <v/>
      </c>
      <c r="U955" s="179" t="str">
        <f t="array" ref="U955">IF($F955&lt;&gt;"",XLOOKUP($F955,Productos!$A:$A,Productos!N:N,"Revisar"),"")</f>
        <v/>
      </c>
      <c r="V955" s="179" t="str">
        <f t="array" ref="V955">IF($F955&lt;&gt;"", XLOOKUP($F955,Productos!$A$2:$A1001,Productos!O$2:O1001,"")*$G955,"")</f>
        <v/>
      </c>
      <c r="W955" s="179" t="str">
        <f t="array" ref="W955">IF($F955&lt;&gt;"",XLOOKUP($F955,Productos!$A:$A,Productos!P:P,"Revisar"),"")</f>
        <v/>
      </c>
      <c r="X955" s="179" t="str">
        <f t="array" ref="X955">IF($F955&lt;&gt;"", XLOOKUP($F955,Productos!$A$2:$A1001,Productos!Q$2:Q1001,"")*$G955,"")</f>
        <v/>
      </c>
      <c r="Y955" s="179" t="str">
        <f t="array" ref="Y955">IF($F955&lt;&gt;"",XLOOKUP($F955,Productos!$A:$A,Productos!R:R,"Revisar"),"")</f>
        <v/>
      </c>
      <c r="Z955" s="179" t="str">
        <f t="array" ref="Z955">IF($F955&lt;&gt;"", XLOOKUP($F955,Productos!$A$2:$A1001,Productos!S$2:S1001,"")*$G955,"")</f>
        <v/>
      </c>
      <c r="AA955" s="179" t="str">
        <f t="array" ref="AA955">IF($F955&lt;&gt;"",XLOOKUP($F955,Productos!$A:$A,Productos!T:T,"Revisar"),"")</f>
        <v/>
      </c>
      <c r="AB955" s="179" t="str">
        <f t="array" ref="AB955">IF($F955&lt;&gt;"", XLOOKUP($F955,Productos!$A$2:$A1001,Productos!U$2:U1001,"")*$G955,"")</f>
        <v/>
      </c>
      <c r="AC955" s="179" t="str">
        <f t="array" ref="AC955">IF($F955&lt;&gt;"",XLOOKUP($F955,Productos!$A:$A,Productos!V:V,"Revisar"),"")</f>
        <v/>
      </c>
      <c r="AD955" s="179" t="str">
        <f t="array" ref="AD955">IF($F955&lt;&gt;"", XLOOKUP($F955,Productos!$A$2:$A1001,Productos!W$2:W1001,"")*$G955,"")</f>
        <v/>
      </c>
      <c r="AE955" s="179" t="str">
        <f t="array" ref="AE955">IF($F955&lt;&gt;"",XLOOKUP($F955,Productos!$A:$A,Productos!X:X,"Revisar"),"")</f>
        <v/>
      </c>
      <c r="AF955" s="179" t="str">
        <f t="array" ref="AF955">IF($F955&lt;&gt;"", XLOOKUP($F955,Productos!$A$2:$A1001,Productos!Y$2:Y1001,"")*$G955,"")</f>
        <v/>
      </c>
      <c r="AG955" s="179" t="str">
        <f t="array" ref="AG955">IF($F955&lt;&gt;"",XLOOKUP($F955,Productos!$A:$A,Productos!Z:Z,"Revisar"),"")</f>
        <v/>
      </c>
      <c r="AH955" s="179" t="str">
        <f t="array" ref="AH955">IF($F955&lt;&gt;"", XLOOKUP($F955,Productos!$A$2:$A1001,Productos!AA$2:AA1001,"")*$G955,"")</f>
        <v/>
      </c>
      <c r="AI955" s="179" t="str">
        <f t="array" ref="AI955">IF($F955&lt;&gt;"",XLOOKUP($F955,Productos!$A:$A,Productos!AB:AB,"Revisar"),"")</f>
        <v/>
      </c>
      <c r="AJ955" s="179" t="str">
        <f t="array" ref="AJ955">IF($F955&lt;&gt;"", XLOOKUP($F955,Productos!$A$2:$A1001,Productos!AC$2:AC1001,"")*$G955,"")</f>
        <v/>
      </c>
      <c r="AK955" s="179" t="str">
        <f t="array" ref="AK955">IF($F955&lt;&gt;"",XLOOKUP($F955,Productos!$A:$A,Productos!AD:AD,"Revisar"),"")</f>
        <v/>
      </c>
      <c r="AL955" s="179" t="str">
        <f t="array" ref="AL955">IF($F955&lt;&gt;"", XLOOKUP($F955,Productos!$A$2:$A1001,Productos!AE$2:AE1001,"")*$G955,"")</f>
        <v/>
      </c>
      <c r="AM955" s="179" t="str">
        <f t="array" ref="AM955">IF($F955&lt;&gt;"",XLOOKUP($F955,Productos!$A:$A,Productos!AF:AF,"Revisar"),"")</f>
        <v/>
      </c>
      <c r="AN955" s="179" t="str">
        <f t="array" ref="AN955">IF($F955&lt;&gt;"", XLOOKUP($F955,Productos!$A$2:$A1001,Productos!AG$2:AG1001,"")*$G955,"")</f>
        <v/>
      </c>
      <c r="AO955" s="179" t="str">
        <f t="array" ref="AO955">IF($F955&lt;&gt;"",XLOOKUP($F955,Productos!$A:$A,Productos!AH:AH,"Revisar"),"")</f>
        <v/>
      </c>
      <c r="AP955" s="179" t="str">
        <f t="array" ref="AP955">IF($F955&lt;&gt;"", XLOOKUP($F955,Productos!$A$2:$A1001,Productos!AI$2:AI1001,"")*$G955,"")</f>
        <v/>
      </c>
      <c r="AQ955" s="179" t="str">
        <f t="array" ref="AQ955">IF($F955&lt;&gt;"",XLOOKUP($F955,Productos!$A:$A,Productos!AJ:AJ,"Revisar"),"")</f>
        <v/>
      </c>
      <c r="AR955" s="179" t="str">
        <f t="array" ref="AR955">IF($F955&lt;&gt;"", XLOOKUP($F955,Productos!$A$2:$A1001,Productos!AK$2:AK1001,"")*$G955,"")</f>
        <v/>
      </c>
      <c r="AS955" s="179" t="str">
        <f t="array" ref="AS955">IF($F955&lt;&gt;"",XLOOKUP($F955,Productos!$A:$A,Productos!AL:AL,"Revisar"),"")</f>
        <v/>
      </c>
      <c r="AT955" s="179" t="str">
        <f t="array" ref="AT955">IF($F955&lt;&gt;"", XLOOKUP($F955,Productos!$A$2:$A1001,Productos!AM$2:AM1001,"")*$G955,"")</f>
        <v/>
      </c>
      <c r="AU955" s="179" t="str">
        <f t="array" ref="AU955">IF($F955&lt;&gt;"",XLOOKUP($F955,Productos!$A:$A,Productos!AN:AN,"Revisar"),"")</f>
        <v/>
      </c>
      <c r="AV955" s="179" t="str">
        <f t="array" ref="AV955">IF($F955&lt;&gt;"", XLOOKUP($F955,Productos!$A$2:$A1001,Productos!AO$2:AO1001,"")*$G955,"")</f>
        <v/>
      </c>
      <c r="AW955" s="179" t="str">
        <f t="array" ref="AW955">IF($F955&lt;&gt;"",XLOOKUP($F955,Productos!$A:$A,Productos!AP:AP,"Revisar"),"")</f>
        <v/>
      </c>
      <c r="AX955" s="179" t="str">
        <f t="array" ref="AX955">IF($F955&lt;&gt;"", XLOOKUP($F955,Productos!$A$2:$A1001,Productos!AQ$2:AQ1001,"")*$G955,"")</f>
        <v/>
      </c>
      <c r="AY955" s="179" t="str">
        <f t="array" ref="AY955">IF($F955&lt;&gt;"",XLOOKUP($F955,Productos!$A:$A,Productos!AR:AR,"Revisar"),"")</f>
        <v/>
      </c>
      <c r="AZ955" s="179" t="str">
        <f t="array" ref="AZ955">IF($F955&lt;&gt;"", XLOOKUP($F955,Productos!$A$2:$A1001,Productos!AS$2:AS1001,"")*$G955,"")</f>
        <v/>
      </c>
      <c r="BA955" s="179" t="str">
        <f t="array" ref="BA955">IF($F955&lt;&gt;"",XLOOKUP($F955,Productos!$A:$A,Productos!AT:AT,"Revisar"),"")</f>
        <v/>
      </c>
      <c r="BB955" s="179" t="str">
        <f t="array" ref="BB955">IF($F955&lt;&gt;"", XLOOKUP($F955,Productos!$A$2:$A1001,Productos!AU$2:AU1001,"")*$G955,"")</f>
        <v/>
      </c>
      <c r="BC955" s="179" t="str">
        <f t="array" ref="BC955">IF($F955&lt;&gt;"",XLOOKUP($F955,Productos!$A:$A,Productos!AV:AV,"Revisar"),"")</f>
        <v/>
      </c>
      <c r="BD955" s="179" t="str">
        <f t="array" ref="BD955">IF($F955&lt;&gt;"", XLOOKUP($F955,Productos!$A$2:$A1001,Productos!AW$2:AW1001,"")*$G955,"")</f>
        <v/>
      </c>
      <c r="BE955" s="179" t="str">
        <f t="array" ref="BE955">IF($F955&lt;&gt;"",XLOOKUP($F955,Productos!$A:$A,Productos!AX:AX,"Revisar"),"")</f>
        <v/>
      </c>
      <c r="BF955" s="179" t="str">
        <f t="array" ref="BF955">IF($F955&lt;&gt;"", XLOOKUP($F955,Productos!$A$2:$A1001,Productos!AY$2:AY1001,"")*$G955,"")</f>
        <v/>
      </c>
      <c r="BG955" s="179" t="str">
        <f t="array" ref="BG955">IF($F955&lt;&gt;"",XLOOKUP($F955,Productos!$A:$A,Productos!AZ:AZ,"Revisar"),"")</f>
        <v/>
      </c>
      <c r="BH955" s="179" t="str">
        <f t="array" ref="BH955">IF($F955&lt;&gt;"", XLOOKUP($F955,Productos!$A$2:$A1001,Productos!BA$2:BA1001,"")*$G955,"")</f>
        <v/>
      </c>
      <c r="BI955" s="179" t="str">
        <f t="array" ref="BI955">IF($F955&lt;&gt;"",XLOOKUP($F955,Productos!$A:$A,Productos!BB:BB,"Revisar"),"")</f>
        <v/>
      </c>
      <c r="BJ955" s="179" t="str">
        <f t="array" ref="BJ955">IF($F955&lt;&gt;"", XLOOKUP($F955,Productos!$A$2:$A1001,Productos!BC$2:BC1001,"")*$G955,"")</f>
        <v/>
      </c>
      <c r="BK955" s="179" t="str">
        <f t="array" ref="BK955">IF($F955&lt;&gt;"",XLOOKUP($F955,Productos!$A:$A,Productos!BD:BD,"Revisar"),"")</f>
        <v/>
      </c>
      <c r="BL955" s="179" t="str">
        <f t="array" ref="BL955">IF($F955&lt;&gt;"", XLOOKUP($F955,Productos!$A$2:$A1001,Productos!BE$2:BE1001,"")*$G955,"")</f>
        <v/>
      </c>
      <c r="BM955" s="179" t="str">
        <f t="array" ref="BM955">IF($F955&lt;&gt;"",XLOOKUP($F955,Productos!$A:$A,Productos!BF:BF,"Revisar"),"")</f>
        <v/>
      </c>
      <c r="BN955" s="179" t="str">
        <f t="array" ref="BN955">IF($F955&lt;&gt;"", XLOOKUP($F955,Productos!$A$2:$A1001,Productos!BG$2:BG1001,"")*$G955,"")</f>
        <v/>
      </c>
      <c r="BO955" s="179" t="str">
        <f t="array" ref="BO955">IF($F955&lt;&gt;"",XLOOKUP($F955,Productos!$A:$A,Productos!BH:BH,"Revisar"),"")</f>
        <v/>
      </c>
      <c r="BP955" s="179" t="str">
        <f t="array" ref="BP955">IF($F955&lt;&gt;"", XLOOKUP($F955,Productos!$A$2:$A1001,Productos!BI$2:BI1001,"")*$G955,"")</f>
        <v/>
      </c>
      <c r="BQ955" s="179" t="str">
        <f t="array" ref="BQ955">IF($F955&lt;&gt;"",XLOOKUP($F955,Productos!$A:$A,Productos!BJ:BJ,"Revisar"),"")</f>
        <v/>
      </c>
      <c r="BR955" s="179" t="str">
        <f t="array" ref="BR955">IF($F955&lt;&gt;"", XLOOKUP($F955,Productos!$A$2:$A1001,Productos!BK$2:BK1001,"")*$G955,"")</f>
        <v/>
      </c>
      <c r="BS955" s="179" t="str">
        <f t="array" ref="BS955">IF($F955&lt;&gt;"",XLOOKUP($F955,Productos!$A:$A,Productos!BL:BL,"Revisar"),"")</f>
        <v/>
      </c>
      <c r="BT955" s="179" t="str">
        <f t="array" ref="BT955">IF($F955&lt;&gt;"", XLOOKUP($F955,Productos!$A$2:$A1001,Productos!BM$2:BM1001,"")*$G955,"")</f>
        <v/>
      </c>
      <c r="BU955" s="179" t="str">
        <f t="array" ref="BU955">IF($F955&lt;&gt;"",XLOOKUP($F955,Productos!$A:$A,Productos!BN:BN,"Revisar"),"")</f>
        <v/>
      </c>
      <c r="BV955" s="179" t="str">
        <f t="array" ref="BV955">IF($F955&lt;&gt;"", XLOOKUP($F955,Productos!$A$2:$A1001,Productos!BO$2:BO1001,"")*$G955,"")</f>
        <v/>
      </c>
      <c r="BW955" s="179" t="str">
        <f t="array" ref="BW955">IF($F955&lt;&gt;"",XLOOKUP($F955,Productos!$A:$A,Productos!BP:BP,"Revisar"),"")</f>
        <v/>
      </c>
      <c r="BX955" s="179" t="str">
        <f t="array" ref="BX955">IF($F955&lt;&gt;"", XLOOKUP($F955,Productos!$A$2:$A1001,Productos!BQ$2:BQ1001,"")*$G955,"")</f>
        <v/>
      </c>
      <c r="BY955" s="179" t="str">
        <f t="array" ref="BY955">IF($F955&lt;&gt;"",XLOOKUP($F955,Productos!$A:$A,Productos!BR:BR,"Revisar"),"")</f>
        <v/>
      </c>
      <c r="BZ955" s="179" t="str">
        <f t="array" ref="BZ955">IF($F955&lt;&gt;"", XLOOKUP($F955,Productos!$A$2:$A1001,Productos!BS$2:BS1001,"")*$G955,"")</f>
        <v/>
      </c>
    </row>
    <row r="956">
      <c r="A956" s="188"/>
      <c r="B956" s="189"/>
      <c r="C956" s="190"/>
      <c r="D956" s="190"/>
      <c r="E956" s="191"/>
      <c r="F956" s="186"/>
      <c r="G956" s="192"/>
      <c r="H956" s="9"/>
      <c r="I956" s="179" t="str">
        <f t="array" ref="I956">IF($F956&lt;&gt;"",XLOOKUP($F956,Productos!$A:$A,Productos!B:B,"Revisar"),"")</f>
        <v/>
      </c>
      <c r="J956" s="179" t="str">
        <f t="array" ref="J956">IF($F956&lt;&gt;"", XLOOKUP($F956,Productos!$A$2:$A1001,Productos!C$2:C1001,"")*$G956,"")</f>
        <v/>
      </c>
      <c r="K956" s="179" t="str">
        <f t="array" ref="K956">IF($F956&lt;&gt;"",XLOOKUP($F956,Productos!$A:$A,Productos!D:D,"Revisar"),"")</f>
        <v/>
      </c>
      <c r="L956" s="179" t="str">
        <f t="array" ref="L956">IF($F956&lt;&gt;"", XLOOKUP($F956,Productos!$A$2:$A1001,Productos!E$2:E1001,"")*$G956,"")</f>
        <v/>
      </c>
      <c r="M956" s="179" t="str">
        <f t="array" ref="M956">IF($F956&lt;&gt;"",XLOOKUP($F956,Productos!$A:$A,Productos!F:F,"Revisar"),"")</f>
        <v/>
      </c>
      <c r="N956" s="179" t="str">
        <f t="array" ref="N956">IF($F956&lt;&gt;"", XLOOKUP($F956,Productos!$A$2:$A1001,Productos!G$2:G1001,"")*$G956,"")</f>
        <v/>
      </c>
      <c r="O956" s="179" t="str">
        <f t="array" ref="O956">IF($F956&lt;&gt;"",XLOOKUP($F956,Productos!$A:$A,Productos!H:H,"Revisar"),"")</f>
        <v/>
      </c>
      <c r="P956" s="179" t="str">
        <f t="array" ref="P956">IF($F956&lt;&gt;"", XLOOKUP($F956,Productos!$A$2:$A1001,Productos!I$2:I1001,"")*$G956,"")</f>
        <v/>
      </c>
      <c r="Q956" s="179" t="str">
        <f t="array" ref="Q956">IF($F956&lt;&gt;"",XLOOKUP($F956,Productos!$A:$A,Productos!J:J,"Revisar"),"")</f>
        <v/>
      </c>
      <c r="R956" s="179" t="str">
        <f t="array" ref="R956">IF($F956&lt;&gt;"", XLOOKUP($F956,Productos!$A$2:$A1001,Productos!K$2:K1001,"")*$G956,"")</f>
        <v/>
      </c>
      <c r="S956" s="179" t="str">
        <f t="array" ref="S956">IF($F956&lt;&gt;"",XLOOKUP($F956,Productos!$A:$A,Productos!L:L,"Revisar"),"")</f>
        <v/>
      </c>
      <c r="T956" s="179" t="str">
        <f t="array" ref="T956">IF($F956&lt;&gt;"", XLOOKUP($F956,Productos!$A$2:$A1001,Productos!M$2:M1001,"")*$G956,"")</f>
        <v/>
      </c>
      <c r="U956" s="179" t="str">
        <f t="array" ref="U956">IF($F956&lt;&gt;"",XLOOKUP($F956,Productos!$A:$A,Productos!N:N,"Revisar"),"")</f>
        <v/>
      </c>
      <c r="V956" s="179" t="str">
        <f t="array" ref="V956">IF($F956&lt;&gt;"", XLOOKUP($F956,Productos!$A$2:$A1001,Productos!O$2:O1001,"")*$G956,"")</f>
        <v/>
      </c>
      <c r="W956" s="179" t="str">
        <f t="array" ref="W956">IF($F956&lt;&gt;"",XLOOKUP($F956,Productos!$A:$A,Productos!P:P,"Revisar"),"")</f>
        <v/>
      </c>
      <c r="X956" s="179" t="str">
        <f t="array" ref="X956">IF($F956&lt;&gt;"", XLOOKUP($F956,Productos!$A$2:$A1001,Productos!Q$2:Q1001,"")*$G956,"")</f>
        <v/>
      </c>
      <c r="Y956" s="179" t="str">
        <f t="array" ref="Y956">IF($F956&lt;&gt;"",XLOOKUP($F956,Productos!$A:$A,Productos!R:R,"Revisar"),"")</f>
        <v/>
      </c>
      <c r="Z956" s="179" t="str">
        <f t="array" ref="Z956">IF($F956&lt;&gt;"", XLOOKUP($F956,Productos!$A$2:$A1001,Productos!S$2:S1001,"")*$G956,"")</f>
        <v/>
      </c>
      <c r="AA956" s="179" t="str">
        <f t="array" ref="AA956">IF($F956&lt;&gt;"",XLOOKUP($F956,Productos!$A:$A,Productos!T:T,"Revisar"),"")</f>
        <v/>
      </c>
      <c r="AB956" s="179" t="str">
        <f t="array" ref="AB956">IF($F956&lt;&gt;"", XLOOKUP($F956,Productos!$A$2:$A1001,Productos!U$2:U1001,"")*$G956,"")</f>
        <v/>
      </c>
      <c r="AC956" s="179" t="str">
        <f t="array" ref="AC956">IF($F956&lt;&gt;"",XLOOKUP($F956,Productos!$A:$A,Productos!V:V,"Revisar"),"")</f>
        <v/>
      </c>
      <c r="AD956" s="179" t="str">
        <f t="array" ref="AD956">IF($F956&lt;&gt;"", XLOOKUP($F956,Productos!$A$2:$A1001,Productos!W$2:W1001,"")*$G956,"")</f>
        <v/>
      </c>
      <c r="AE956" s="179" t="str">
        <f t="array" ref="AE956">IF($F956&lt;&gt;"",XLOOKUP($F956,Productos!$A:$A,Productos!X:X,"Revisar"),"")</f>
        <v/>
      </c>
      <c r="AF956" s="179" t="str">
        <f t="array" ref="AF956">IF($F956&lt;&gt;"", XLOOKUP($F956,Productos!$A$2:$A1001,Productos!Y$2:Y1001,"")*$G956,"")</f>
        <v/>
      </c>
      <c r="AG956" s="179" t="str">
        <f t="array" ref="AG956">IF($F956&lt;&gt;"",XLOOKUP($F956,Productos!$A:$A,Productos!Z:Z,"Revisar"),"")</f>
        <v/>
      </c>
      <c r="AH956" s="179" t="str">
        <f t="array" ref="AH956">IF($F956&lt;&gt;"", XLOOKUP($F956,Productos!$A$2:$A1001,Productos!AA$2:AA1001,"")*$G956,"")</f>
        <v/>
      </c>
      <c r="AI956" s="179" t="str">
        <f t="array" ref="AI956">IF($F956&lt;&gt;"",XLOOKUP($F956,Productos!$A:$A,Productos!AB:AB,"Revisar"),"")</f>
        <v/>
      </c>
      <c r="AJ956" s="179" t="str">
        <f t="array" ref="AJ956">IF($F956&lt;&gt;"", XLOOKUP($F956,Productos!$A$2:$A1001,Productos!AC$2:AC1001,"")*$G956,"")</f>
        <v/>
      </c>
      <c r="AK956" s="179" t="str">
        <f t="array" ref="AK956">IF($F956&lt;&gt;"",XLOOKUP($F956,Productos!$A:$A,Productos!AD:AD,"Revisar"),"")</f>
        <v/>
      </c>
      <c r="AL956" s="179" t="str">
        <f t="array" ref="AL956">IF($F956&lt;&gt;"", XLOOKUP($F956,Productos!$A$2:$A1001,Productos!AE$2:AE1001,"")*$G956,"")</f>
        <v/>
      </c>
      <c r="AM956" s="179" t="str">
        <f t="array" ref="AM956">IF($F956&lt;&gt;"",XLOOKUP($F956,Productos!$A:$A,Productos!AF:AF,"Revisar"),"")</f>
        <v/>
      </c>
      <c r="AN956" s="179" t="str">
        <f t="array" ref="AN956">IF($F956&lt;&gt;"", XLOOKUP($F956,Productos!$A$2:$A1001,Productos!AG$2:AG1001,"")*$G956,"")</f>
        <v/>
      </c>
      <c r="AO956" s="179" t="str">
        <f t="array" ref="AO956">IF($F956&lt;&gt;"",XLOOKUP($F956,Productos!$A:$A,Productos!AH:AH,"Revisar"),"")</f>
        <v/>
      </c>
      <c r="AP956" s="179" t="str">
        <f t="array" ref="AP956">IF($F956&lt;&gt;"", XLOOKUP($F956,Productos!$A$2:$A1001,Productos!AI$2:AI1001,"")*$G956,"")</f>
        <v/>
      </c>
      <c r="AQ956" s="179" t="str">
        <f t="array" ref="AQ956">IF($F956&lt;&gt;"",XLOOKUP($F956,Productos!$A:$A,Productos!AJ:AJ,"Revisar"),"")</f>
        <v/>
      </c>
      <c r="AR956" s="179" t="str">
        <f t="array" ref="AR956">IF($F956&lt;&gt;"", XLOOKUP($F956,Productos!$A$2:$A1001,Productos!AK$2:AK1001,"")*$G956,"")</f>
        <v/>
      </c>
      <c r="AS956" s="179" t="str">
        <f t="array" ref="AS956">IF($F956&lt;&gt;"",XLOOKUP($F956,Productos!$A:$A,Productos!AL:AL,"Revisar"),"")</f>
        <v/>
      </c>
      <c r="AT956" s="179" t="str">
        <f t="array" ref="AT956">IF($F956&lt;&gt;"", XLOOKUP($F956,Productos!$A$2:$A1001,Productos!AM$2:AM1001,"")*$G956,"")</f>
        <v/>
      </c>
      <c r="AU956" s="179" t="str">
        <f t="array" ref="AU956">IF($F956&lt;&gt;"",XLOOKUP($F956,Productos!$A:$A,Productos!AN:AN,"Revisar"),"")</f>
        <v/>
      </c>
      <c r="AV956" s="179" t="str">
        <f t="array" ref="AV956">IF($F956&lt;&gt;"", XLOOKUP($F956,Productos!$A$2:$A1001,Productos!AO$2:AO1001,"")*$G956,"")</f>
        <v/>
      </c>
      <c r="AW956" s="179" t="str">
        <f t="array" ref="AW956">IF($F956&lt;&gt;"",XLOOKUP($F956,Productos!$A:$A,Productos!AP:AP,"Revisar"),"")</f>
        <v/>
      </c>
      <c r="AX956" s="179" t="str">
        <f t="array" ref="AX956">IF($F956&lt;&gt;"", XLOOKUP($F956,Productos!$A$2:$A1001,Productos!AQ$2:AQ1001,"")*$G956,"")</f>
        <v/>
      </c>
      <c r="AY956" s="179" t="str">
        <f t="array" ref="AY956">IF($F956&lt;&gt;"",XLOOKUP($F956,Productos!$A:$A,Productos!AR:AR,"Revisar"),"")</f>
        <v/>
      </c>
      <c r="AZ956" s="179" t="str">
        <f t="array" ref="AZ956">IF($F956&lt;&gt;"", XLOOKUP($F956,Productos!$A$2:$A1001,Productos!AS$2:AS1001,"")*$G956,"")</f>
        <v/>
      </c>
      <c r="BA956" s="179" t="str">
        <f t="array" ref="BA956">IF($F956&lt;&gt;"",XLOOKUP($F956,Productos!$A:$A,Productos!AT:AT,"Revisar"),"")</f>
        <v/>
      </c>
      <c r="BB956" s="179" t="str">
        <f t="array" ref="BB956">IF($F956&lt;&gt;"", XLOOKUP($F956,Productos!$A$2:$A1001,Productos!AU$2:AU1001,"")*$G956,"")</f>
        <v/>
      </c>
      <c r="BC956" s="179" t="str">
        <f t="array" ref="BC956">IF($F956&lt;&gt;"",XLOOKUP($F956,Productos!$A:$A,Productos!AV:AV,"Revisar"),"")</f>
        <v/>
      </c>
      <c r="BD956" s="179" t="str">
        <f t="array" ref="BD956">IF($F956&lt;&gt;"", XLOOKUP($F956,Productos!$A$2:$A1001,Productos!AW$2:AW1001,"")*$G956,"")</f>
        <v/>
      </c>
      <c r="BE956" s="179" t="str">
        <f t="array" ref="BE956">IF($F956&lt;&gt;"",XLOOKUP($F956,Productos!$A:$A,Productos!AX:AX,"Revisar"),"")</f>
        <v/>
      </c>
      <c r="BF956" s="179" t="str">
        <f t="array" ref="BF956">IF($F956&lt;&gt;"", XLOOKUP($F956,Productos!$A$2:$A1001,Productos!AY$2:AY1001,"")*$G956,"")</f>
        <v/>
      </c>
      <c r="BG956" s="179" t="str">
        <f t="array" ref="BG956">IF($F956&lt;&gt;"",XLOOKUP($F956,Productos!$A:$A,Productos!AZ:AZ,"Revisar"),"")</f>
        <v/>
      </c>
      <c r="BH956" s="179" t="str">
        <f t="array" ref="BH956">IF($F956&lt;&gt;"", XLOOKUP($F956,Productos!$A$2:$A1001,Productos!BA$2:BA1001,"")*$G956,"")</f>
        <v/>
      </c>
      <c r="BI956" s="179" t="str">
        <f t="array" ref="BI956">IF($F956&lt;&gt;"",XLOOKUP($F956,Productos!$A:$A,Productos!BB:BB,"Revisar"),"")</f>
        <v/>
      </c>
      <c r="BJ956" s="179" t="str">
        <f t="array" ref="BJ956">IF($F956&lt;&gt;"", XLOOKUP($F956,Productos!$A$2:$A1001,Productos!BC$2:BC1001,"")*$G956,"")</f>
        <v/>
      </c>
      <c r="BK956" s="179" t="str">
        <f t="array" ref="BK956">IF($F956&lt;&gt;"",XLOOKUP($F956,Productos!$A:$A,Productos!BD:BD,"Revisar"),"")</f>
        <v/>
      </c>
      <c r="BL956" s="179" t="str">
        <f t="array" ref="BL956">IF($F956&lt;&gt;"", XLOOKUP($F956,Productos!$A$2:$A1001,Productos!BE$2:BE1001,"")*$G956,"")</f>
        <v/>
      </c>
      <c r="BM956" s="179" t="str">
        <f t="array" ref="BM956">IF($F956&lt;&gt;"",XLOOKUP($F956,Productos!$A:$A,Productos!BF:BF,"Revisar"),"")</f>
        <v/>
      </c>
      <c r="BN956" s="179" t="str">
        <f t="array" ref="BN956">IF($F956&lt;&gt;"", XLOOKUP($F956,Productos!$A$2:$A1001,Productos!BG$2:BG1001,"")*$G956,"")</f>
        <v/>
      </c>
      <c r="BO956" s="179" t="str">
        <f t="array" ref="BO956">IF($F956&lt;&gt;"",XLOOKUP($F956,Productos!$A:$A,Productos!BH:BH,"Revisar"),"")</f>
        <v/>
      </c>
      <c r="BP956" s="179" t="str">
        <f t="array" ref="BP956">IF($F956&lt;&gt;"", XLOOKUP($F956,Productos!$A$2:$A1001,Productos!BI$2:BI1001,"")*$G956,"")</f>
        <v/>
      </c>
      <c r="BQ956" s="179" t="str">
        <f t="array" ref="BQ956">IF($F956&lt;&gt;"",XLOOKUP($F956,Productos!$A:$A,Productos!BJ:BJ,"Revisar"),"")</f>
        <v/>
      </c>
      <c r="BR956" s="179" t="str">
        <f t="array" ref="BR956">IF($F956&lt;&gt;"", XLOOKUP($F956,Productos!$A$2:$A1001,Productos!BK$2:BK1001,"")*$G956,"")</f>
        <v/>
      </c>
      <c r="BS956" s="179" t="str">
        <f t="array" ref="BS956">IF($F956&lt;&gt;"",XLOOKUP($F956,Productos!$A:$A,Productos!BL:BL,"Revisar"),"")</f>
        <v/>
      </c>
      <c r="BT956" s="179" t="str">
        <f t="array" ref="BT956">IF($F956&lt;&gt;"", XLOOKUP($F956,Productos!$A$2:$A1001,Productos!BM$2:BM1001,"")*$G956,"")</f>
        <v/>
      </c>
      <c r="BU956" s="179" t="str">
        <f t="array" ref="BU956">IF($F956&lt;&gt;"",XLOOKUP($F956,Productos!$A:$A,Productos!BN:BN,"Revisar"),"")</f>
        <v/>
      </c>
      <c r="BV956" s="179" t="str">
        <f t="array" ref="BV956">IF($F956&lt;&gt;"", XLOOKUP($F956,Productos!$A$2:$A1001,Productos!BO$2:BO1001,"")*$G956,"")</f>
        <v/>
      </c>
      <c r="BW956" s="179" t="str">
        <f t="array" ref="BW956">IF($F956&lt;&gt;"",XLOOKUP($F956,Productos!$A:$A,Productos!BP:BP,"Revisar"),"")</f>
        <v/>
      </c>
      <c r="BX956" s="179" t="str">
        <f t="array" ref="BX956">IF($F956&lt;&gt;"", XLOOKUP($F956,Productos!$A$2:$A1001,Productos!BQ$2:BQ1001,"")*$G956,"")</f>
        <v/>
      </c>
      <c r="BY956" s="179" t="str">
        <f t="array" ref="BY956">IF($F956&lt;&gt;"",XLOOKUP($F956,Productos!$A:$A,Productos!BR:BR,"Revisar"),"")</f>
        <v/>
      </c>
      <c r="BZ956" s="179" t="str">
        <f t="array" ref="BZ956">IF($F956&lt;&gt;"", XLOOKUP($F956,Productos!$A$2:$A1001,Productos!BS$2:BS1001,"")*$G956,"")</f>
        <v/>
      </c>
    </row>
    <row r="957">
      <c r="A957" s="188"/>
      <c r="B957" s="189"/>
      <c r="C957" s="190"/>
      <c r="D957" s="190"/>
      <c r="E957" s="191"/>
      <c r="F957" s="186"/>
      <c r="G957" s="192"/>
      <c r="H957" s="9"/>
      <c r="I957" s="179" t="str">
        <f t="array" ref="I957">IF($F957&lt;&gt;"",XLOOKUP($F957,Productos!$A:$A,Productos!B:B,"Revisar"),"")</f>
        <v/>
      </c>
      <c r="J957" s="179" t="str">
        <f t="array" ref="J957">IF($F957&lt;&gt;"", XLOOKUP($F957,Productos!$A$2:$A1001,Productos!C$2:C1001,"")*$G957,"")</f>
        <v/>
      </c>
      <c r="K957" s="179" t="str">
        <f t="array" ref="K957">IF($F957&lt;&gt;"",XLOOKUP($F957,Productos!$A:$A,Productos!D:D,"Revisar"),"")</f>
        <v/>
      </c>
      <c r="L957" s="179" t="str">
        <f t="array" ref="L957">IF($F957&lt;&gt;"", XLOOKUP($F957,Productos!$A$2:$A1001,Productos!E$2:E1001,"")*$G957,"")</f>
        <v/>
      </c>
      <c r="M957" s="179" t="str">
        <f t="array" ref="M957">IF($F957&lt;&gt;"",XLOOKUP($F957,Productos!$A:$A,Productos!F:F,"Revisar"),"")</f>
        <v/>
      </c>
      <c r="N957" s="179" t="str">
        <f t="array" ref="N957">IF($F957&lt;&gt;"", XLOOKUP($F957,Productos!$A$2:$A1001,Productos!G$2:G1001,"")*$G957,"")</f>
        <v/>
      </c>
      <c r="O957" s="179" t="str">
        <f t="array" ref="O957">IF($F957&lt;&gt;"",XLOOKUP($F957,Productos!$A:$A,Productos!H:H,"Revisar"),"")</f>
        <v/>
      </c>
      <c r="P957" s="179" t="str">
        <f t="array" ref="P957">IF($F957&lt;&gt;"", XLOOKUP($F957,Productos!$A$2:$A1001,Productos!I$2:I1001,"")*$G957,"")</f>
        <v/>
      </c>
      <c r="Q957" s="179" t="str">
        <f t="array" ref="Q957">IF($F957&lt;&gt;"",XLOOKUP($F957,Productos!$A:$A,Productos!J:J,"Revisar"),"")</f>
        <v/>
      </c>
      <c r="R957" s="179" t="str">
        <f t="array" ref="R957">IF($F957&lt;&gt;"", XLOOKUP($F957,Productos!$A$2:$A1001,Productos!K$2:K1001,"")*$G957,"")</f>
        <v/>
      </c>
      <c r="S957" s="179" t="str">
        <f t="array" ref="S957">IF($F957&lt;&gt;"",XLOOKUP($F957,Productos!$A:$A,Productos!L:L,"Revisar"),"")</f>
        <v/>
      </c>
      <c r="T957" s="179" t="str">
        <f t="array" ref="T957">IF($F957&lt;&gt;"", XLOOKUP($F957,Productos!$A$2:$A1001,Productos!M$2:M1001,"")*$G957,"")</f>
        <v/>
      </c>
      <c r="U957" s="179" t="str">
        <f t="array" ref="U957">IF($F957&lt;&gt;"",XLOOKUP($F957,Productos!$A:$A,Productos!N:N,"Revisar"),"")</f>
        <v/>
      </c>
      <c r="V957" s="179" t="str">
        <f t="array" ref="V957">IF($F957&lt;&gt;"", XLOOKUP($F957,Productos!$A$2:$A1001,Productos!O$2:O1001,"")*$G957,"")</f>
        <v/>
      </c>
      <c r="W957" s="179" t="str">
        <f t="array" ref="W957">IF($F957&lt;&gt;"",XLOOKUP($F957,Productos!$A:$A,Productos!P:P,"Revisar"),"")</f>
        <v/>
      </c>
      <c r="X957" s="179" t="str">
        <f t="array" ref="X957">IF($F957&lt;&gt;"", XLOOKUP($F957,Productos!$A$2:$A1001,Productos!Q$2:Q1001,"")*$G957,"")</f>
        <v/>
      </c>
      <c r="Y957" s="179" t="str">
        <f t="array" ref="Y957">IF($F957&lt;&gt;"",XLOOKUP($F957,Productos!$A:$A,Productos!R:R,"Revisar"),"")</f>
        <v/>
      </c>
      <c r="Z957" s="179" t="str">
        <f t="array" ref="Z957">IF($F957&lt;&gt;"", XLOOKUP($F957,Productos!$A$2:$A1001,Productos!S$2:S1001,"")*$G957,"")</f>
        <v/>
      </c>
      <c r="AA957" s="179" t="str">
        <f t="array" ref="AA957">IF($F957&lt;&gt;"",XLOOKUP($F957,Productos!$A:$A,Productos!T:T,"Revisar"),"")</f>
        <v/>
      </c>
      <c r="AB957" s="179" t="str">
        <f t="array" ref="AB957">IF($F957&lt;&gt;"", XLOOKUP($F957,Productos!$A$2:$A1001,Productos!U$2:U1001,"")*$G957,"")</f>
        <v/>
      </c>
      <c r="AC957" s="179" t="str">
        <f t="array" ref="AC957">IF($F957&lt;&gt;"",XLOOKUP($F957,Productos!$A:$A,Productos!V:V,"Revisar"),"")</f>
        <v/>
      </c>
      <c r="AD957" s="179" t="str">
        <f t="array" ref="AD957">IF($F957&lt;&gt;"", XLOOKUP($F957,Productos!$A$2:$A1001,Productos!W$2:W1001,"")*$G957,"")</f>
        <v/>
      </c>
      <c r="AE957" s="179" t="str">
        <f t="array" ref="AE957">IF($F957&lt;&gt;"",XLOOKUP($F957,Productos!$A:$A,Productos!X:X,"Revisar"),"")</f>
        <v/>
      </c>
      <c r="AF957" s="179" t="str">
        <f t="array" ref="AF957">IF($F957&lt;&gt;"", XLOOKUP($F957,Productos!$A$2:$A1001,Productos!Y$2:Y1001,"")*$G957,"")</f>
        <v/>
      </c>
      <c r="AG957" s="179" t="str">
        <f t="array" ref="AG957">IF($F957&lt;&gt;"",XLOOKUP($F957,Productos!$A:$A,Productos!Z:Z,"Revisar"),"")</f>
        <v/>
      </c>
      <c r="AH957" s="179" t="str">
        <f t="array" ref="AH957">IF($F957&lt;&gt;"", XLOOKUP($F957,Productos!$A$2:$A1001,Productos!AA$2:AA1001,"")*$G957,"")</f>
        <v/>
      </c>
      <c r="AI957" s="179" t="str">
        <f t="array" ref="AI957">IF($F957&lt;&gt;"",XLOOKUP($F957,Productos!$A:$A,Productos!AB:AB,"Revisar"),"")</f>
        <v/>
      </c>
      <c r="AJ957" s="179" t="str">
        <f t="array" ref="AJ957">IF($F957&lt;&gt;"", XLOOKUP($F957,Productos!$A$2:$A1001,Productos!AC$2:AC1001,"")*$G957,"")</f>
        <v/>
      </c>
      <c r="AK957" s="179" t="str">
        <f t="array" ref="AK957">IF($F957&lt;&gt;"",XLOOKUP($F957,Productos!$A:$A,Productos!AD:AD,"Revisar"),"")</f>
        <v/>
      </c>
      <c r="AL957" s="179" t="str">
        <f t="array" ref="AL957">IF($F957&lt;&gt;"", XLOOKUP($F957,Productos!$A$2:$A1001,Productos!AE$2:AE1001,"")*$G957,"")</f>
        <v/>
      </c>
      <c r="AM957" s="179" t="str">
        <f t="array" ref="AM957">IF($F957&lt;&gt;"",XLOOKUP($F957,Productos!$A:$A,Productos!AF:AF,"Revisar"),"")</f>
        <v/>
      </c>
      <c r="AN957" s="179" t="str">
        <f t="array" ref="AN957">IF($F957&lt;&gt;"", XLOOKUP($F957,Productos!$A$2:$A1001,Productos!AG$2:AG1001,"")*$G957,"")</f>
        <v/>
      </c>
      <c r="AO957" s="179" t="str">
        <f t="array" ref="AO957">IF($F957&lt;&gt;"",XLOOKUP($F957,Productos!$A:$A,Productos!AH:AH,"Revisar"),"")</f>
        <v/>
      </c>
      <c r="AP957" s="179" t="str">
        <f t="array" ref="AP957">IF($F957&lt;&gt;"", XLOOKUP($F957,Productos!$A$2:$A1001,Productos!AI$2:AI1001,"")*$G957,"")</f>
        <v/>
      </c>
      <c r="AQ957" s="179" t="str">
        <f t="array" ref="AQ957">IF($F957&lt;&gt;"",XLOOKUP($F957,Productos!$A:$A,Productos!AJ:AJ,"Revisar"),"")</f>
        <v/>
      </c>
      <c r="AR957" s="179" t="str">
        <f t="array" ref="AR957">IF($F957&lt;&gt;"", XLOOKUP($F957,Productos!$A$2:$A1001,Productos!AK$2:AK1001,"")*$G957,"")</f>
        <v/>
      </c>
      <c r="AS957" s="179" t="str">
        <f t="array" ref="AS957">IF($F957&lt;&gt;"",XLOOKUP($F957,Productos!$A:$A,Productos!AL:AL,"Revisar"),"")</f>
        <v/>
      </c>
      <c r="AT957" s="179" t="str">
        <f t="array" ref="AT957">IF($F957&lt;&gt;"", XLOOKUP($F957,Productos!$A$2:$A1001,Productos!AM$2:AM1001,"")*$G957,"")</f>
        <v/>
      </c>
      <c r="AU957" s="179" t="str">
        <f t="array" ref="AU957">IF($F957&lt;&gt;"",XLOOKUP($F957,Productos!$A:$A,Productos!AN:AN,"Revisar"),"")</f>
        <v/>
      </c>
      <c r="AV957" s="179" t="str">
        <f t="array" ref="AV957">IF($F957&lt;&gt;"", XLOOKUP($F957,Productos!$A$2:$A1001,Productos!AO$2:AO1001,"")*$G957,"")</f>
        <v/>
      </c>
      <c r="AW957" s="179" t="str">
        <f t="array" ref="AW957">IF($F957&lt;&gt;"",XLOOKUP($F957,Productos!$A:$A,Productos!AP:AP,"Revisar"),"")</f>
        <v/>
      </c>
      <c r="AX957" s="179" t="str">
        <f t="array" ref="AX957">IF($F957&lt;&gt;"", XLOOKUP($F957,Productos!$A$2:$A1001,Productos!AQ$2:AQ1001,"")*$G957,"")</f>
        <v/>
      </c>
      <c r="AY957" s="179" t="str">
        <f t="array" ref="AY957">IF($F957&lt;&gt;"",XLOOKUP($F957,Productos!$A:$A,Productos!AR:AR,"Revisar"),"")</f>
        <v/>
      </c>
      <c r="AZ957" s="179" t="str">
        <f t="array" ref="AZ957">IF($F957&lt;&gt;"", XLOOKUP($F957,Productos!$A$2:$A1001,Productos!AS$2:AS1001,"")*$G957,"")</f>
        <v/>
      </c>
      <c r="BA957" s="179" t="str">
        <f t="array" ref="BA957">IF($F957&lt;&gt;"",XLOOKUP($F957,Productos!$A:$A,Productos!AT:AT,"Revisar"),"")</f>
        <v/>
      </c>
      <c r="BB957" s="179" t="str">
        <f t="array" ref="BB957">IF($F957&lt;&gt;"", XLOOKUP($F957,Productos!$A$2:$A1001,Productos!AU$2:AU1001,"")*$G957,"")</f>
        <v/>
      </c>
      <c r="BC957" s="179" t="str">
        <f t="array" ref="BC957">IF($F957&lt;&gt;"",XLOOKUP($F957,Productos!$A:$A,Productos!AV:AV,"Revisar"),"")</f>
        <v/>
      </c>
      <c r="BD957" s="179" t="str">
        <f t="array" ref="BD957">IF($F957&lt;&gt;"", XLOOKUP($F957,Productos!$A$2:$A1001,Productos!AW$2:AW1001,"")*$G957,"")</f>
        <v/>
      </c>
      <c r="BE957" s="179" t="str">
        <f t="array" ref="BE957">IF($F957&lt;&gt;"",XLOOKUP($F957,Productos!$A:$A,Productos!AX:AX,"Revisar"),"")</f>
        <v/>
      </c>
      <c r="BF957" s="179" t="str">
        <f t="array" ref="BF957">IF($F957&lt;&gt;"", XLOOKUP($F957,Productos!$A$2:$A1001,Productos!AY$2:AY1001,"")*$G957,"")</f>
        <v/>
      </c>
      <c r="BG957" s="179" t="str">
        <f t="array" ref="BG957">IF($F957&lt;&gt;"",XLOOKUP($F957,Productos!$A:$A,Productos!AZ:AZ,"Revisar"),"")</f>
        <v/>
      </c>
      <c r="BH957" s="179" t="str">
        <f t="array" ref="BH957">IF($F957&lt;&gt;"", XLOOKUP($F957,Productos!$A$2:$A1001,Productos!BA$2:BA1001,"")*$G957,"")</f>
        <v/>
      </c>
      <c r="BI957" s="179" t="str">
        <f t="array" ref="BI957">IF($F957&lt;&gt;"",XLOOKUP($F957,Productos!$A:$A,Productos!BB:BB,"Revisar"),"")</f>
        <v/>
      </c>
      <c r="BJ957" s="179" t="str">
        <f t="array" ref="BJ957">IF($F957&lt;&gt;"", XLOOKUP($F957,Productos!$A$2:$A1001,Productos!BC$2:BC1001,"")*$G957,"")</f>
        <v/>
      </c>
      <c r="BK957" s="179" t="str">
        <f t="array" ref="BK957">IF($F957&lt;&gt;"",XLOOKUP($F957,Productos!$A:$A,Productos!BD:BD,"Revisar"),"")</f>
        <v/>
      </c>
      <c r="BL957" s="179" t="str">
        <f t="array" ref="BL957">IF($F957&lt;&gt;"", XLOOKUP($F957,Productos!$A$2:$A1001,Productos!BE$2:BE1001,"")*$G957,"")</f>
        <v/>
      </c>
      <c r="BM957" s="179" t="str">
        <f t="array" ref="BM957">IF($F957&lt;&gt;"",XLOOKUP($F957,Productos!$A:$A,Productos!BF:BF,"Revisar"),"")</f>
        <v/>
      </c>
      <c r="BN957" s="179" t="str">
        <f t="array" ref="BN957">IF($F957&lt;&gt;"", XLOOKUP($F957,Productos!$A$2:$A1001,Productos!BG$2:BG1001,"")*$G957,"")</f>
        <v/>
      </c>
      <c r="BO957" s="179" t="str">
        <f t="array" ref="BO957">IF($F957&lt;&gt;"",XLOOKUP($F957,Productos!$A:$A,Productos!BH:BH,"Revisar"),"")</f>
        <v/>
      </c>
      <c r="BP957" s="179" t="str">
        <f t="array" ref="BP957">IF($F957&lt;&gt;"", XLOOKUP($F957,Productos!$A$2:$A1001,Productos!BI$2:BI1001,"")*$G957,"")</f>
        <v/>
      </c>
      <c r="BQ957" s="179" t="str">
        <f t="array" ref="BQ957">IF($F957&lt;&gt;"",XLOOKUP($F957,Productos!$A:$A,Productos!BJ:BJ,"Revisar"),"")</f>
        <v/>
      </c>
      <c r="BR957" s="179" t="str">
        <f t="array" ref="BR957">IF($F957&lt;&gt;"", XLOOKUP($F957,Productos!$A$2:$A1001,Productos!BK$2:BK1001,"")*$G957,"")</f>
        <v/>
      </c>
      <c r="BS957" s="179" t="str">
        <f t="array" ref="BS957">IF($F957&lt;&gt;"",XLOOKUP($F957,Productos!$A:$A,Productos!BL:BL,"Revisar"),"")</f>
        <v/>
      </c>
      <c r="BT957" s="179" t="str">
        <f t="array" ref="BT957">IF($F957&lt;&gt;"", XLOOKUP($F957,Productos!$A$2:$A1001,Productos!BM$2:BM1001,"")*$G957,"")</f>
        <v/>
      </c>
      <c r="BU957" s="179" t="str">
        <f t="array" ref="BU957">IF($F957&lt;&gt;"",XLOOKUP($F957,Productos!$A:$A,Productos!BN:BN,"Revisar"),"")</f>
        <v/>
      </c>
      <c r="BV957" s="179" t="str">
        <f t="array" ref="BV957">IF($F957&lt;&gt;"", XLOOKUP($F957,Productos!$A$2:$A1001,Productos!BO$2:BO1001,"")*$G957,"")</f>
        <v/>
      </c>
      <c r="BW957" s="179" t="str">
        <f t="array" ref="BW957">IF($F957&lt;&gt;"",XLOOKUP($F957,Productos!$A:$A,Productos!BP:BP,"Revisar"),"")</f>
        <v/>
      </c>
      <c r="BX957" s="179" t="str">
        <f t="array" ref="BX957">IF($F957&lt;&gt;"", XLOOKUP($F957,Productos!$A$2:$A1001,Productos!BQ$2:BQ1001,"")*$G957,"")</f>
        <v/>
      </c>
      <c r="BY957" s="179" t="str">
        <f t="array" ref="BY957">IF($F957&lt;&gt;"",XLOOKUP($F957,Productos!$A:$A,Productos!BR:BR,"Revisar"),"")</f>
        <v/>
      </c>
      <c r="BZ957" s="179" t="str">
        <f t="array" ref="BZ957">IF($F957&lt;&gt;"", XLOOKUP($F957,Productos!$A$2:$A1001,Productos!BS$2:BS1001,"")*$G957,"")</f>
        <v/>
      </c>
    </row>
    <row r="958">
      <c r="A958" s="188"/>
      <c r="B958" s="189"/>
      <c r="C958" s="190"/>
      <c r="D958" s="190"/>
      <c r="E958" s="191"/>
      <c r="F958" s="186"/>
      <c r="G958" s="192"/>
      <c r="H958" s="9"/>
      <c r="I958" s="179" t="str">
        <f t="array" ref="I958">IF($F958&lt;&gt;"",XLOOKUP($F958,Productos!$A:$A,Productos!B:B,"Revisar"),"")</f>
        <v/>
      </c>
      <c r="J958" s="179" t="str">
        <f t="array" ref="J958">IF($F958&lt;&gt;"", XLOOKUP($F958,Productos!$A$2:$A1001,Productos!C$2:C1001,"")*$G958,"")</f>
        <v/>
      </c>
      <c r="K958" s="179" t="str">
        <f t="array" ref="K958">IF($F958&lt;&gt;"",XLOOKUP($F958,Productos!$A:$A,Productos!D:D,"Revisar"),"")</f>
        <v/>
      </c>
      <c r="L958" s="179" t="str">
        <f t="array" ref="L958">IF($F958&lt;&gt;"", XLOOKUP($F958,Productos!$A$2:$A1001,Productos!E$2:E1001,"")*$G958,"")</f>
        <v/>
      </c>
      <c r="M958" s="179" t="str">
        <f t="array" ref="M958">IF($F958&lt;&gt;"",XLOOKUP($F958,Productos!$A:$A,Productos!F:F,"Revisar"),"")</f>
        <v/>
      </c>
      <c r="N958" s="179" t="str">
        <f t="array" ref="N958">IF($F958&lt;&gt;"", XLOOKUP($F958,Productos!$A$2:$A1001,Productos!G$2:G1001,"")*$G958,"")</f>
        <v/>
      </c>
      <c r="O958" s="179" t="str">
        <f t="array" ref="O958">IF($F958&lt;&gt;"",XLOOKUP($F958,Productos!$A:$A,Productos!H:H,"Revisar"),"")</f>
        <v/>
      </c>
      <c r="P958" s="179" t="str">
        <f t="array" ref="P958">IF($F958&lt;&gt;"", XLOOKUP($F958,Productos!$A$2:$A1001,Productos!I$2:I1001,"")*$G958,"")</f>
        <v/>
      </c>
      <c r="Q958" s="179" t="str">
        <f t="array" ref="Q958">IF($F958&lt;&gt;"",XLOOKUP($F958,Productos!$A:$A,Productos!J:J,"Revisar"),"")</f>
        <v/>
      </c>
      <c r="R958" s="179" t="str">
        <f t="array" ref="R958">IF($F958&lt;&gt;"", XLOOKUP($F958,Productos!$A$2:$A1001,Productos!K$2:K1001,"")*$G958,"")</f>
        <v/>
      </c>
      <c r="S958" s="179" t="str">
        <f t="array" ref="S958">IF($F958&lt;&gt;"",XLOOKUP($F958,Productos!$A:$A,Productos!L:L,"Revisar"),"")</f>
        <v/>
      </c>
      <c r="T958" s="179" t="str">
        <f t="array" ref="T958">IF($F958&lt;&gt;"", XLOOKUP($F958,Productos!$A$2:$A1001,Productos!M$2:M1001,"")*$G958,"")</f>
        <v/>
      </c>
      <c r="U958" s="179" t="str">
        <f t="array" ref="U958">IF($F958&lt;&gt;"",XLOOKUP($F958,Productos!$A:$A,Productos!N:N,"Revisar"),"")</f>
        <v/>
      </c>
      <c r="V958" s="179" t="str">
        <f t="array" ref="V958">IF($F958&lt;&gt;"", XLOOKUP($F958,Productos!$A$2:$A1001,Productos!O$2:O1001,"")*$G958,"")</f>
        <v/>
      </c>
      <c r="W958" s="179" t="str">
        <f t="array" ref="W958">IF($F958&lt;&gt;"",XLOOKUP($F958,Productos!$A:$A,Productos!P:P,"Revisar"),"")</f>
        <v/>
      </c>
      <c r="X958" s="179" t="str">
        <f t="array" ref="X958">IF($F958&lt;&gt;"", XLOOKUP($F958,Productos!$A$2:$A1001,Productos!Q$2:Q1001,"")*$G958,"")</f>
        <v/>
      </c>
      <c r="Y958" s="179" t="str">
        <f t="array" ref="Y958">IF($F958&lt;&gt;"",XLOOKUP($F958,Productos!$A:$A,Productos!R:R,"Revisar"),"")</f>
        <v/>
      </c>
      <c r="Z958" s="179" t="str">
        <f t="array" ref="Z958">IF($F958&lt;&gt;"", XLOOKUP($F958,Productos!$A$2:$A1001,Productos!S$2:S1001,"")*$G958,"")</f>
        <v/>
      </c>
      <c r="AA958" s="179" t="str">
        <f t="array" ref="AA958">IF($F958&lt;&gt;"",XLOOKUP($F958,Productos!$A:$A,Productos!T:T,"Revisar"),"")</f>
        <v/>
      </c>
      <c r="AB958" s="179" t="str">
        <f t="array" ref="AB958">IF($F958&lt;&gt;"", XLOOKUP($F958,Productos!$A$2:$A1001,Productos!U$2:U1001,"")*$G958,"")</f>
        <v/>
      </c>
      <c r="AC958" s="179" t="str">
        <f t="array" ref="AC958">IF($F958&lt;&gt;"",XLOOKUP($F958,Productos!$A:$A,Productos!V:V,"Revisar"),"")</f>
        <v/>
      </c>
      <c r="AD958" s="179" t="str">
        <f t="array" ref="AD958">IF($F958&lt;&gt;"", XLOOKUP($F958,Productos!$A$2:$A1001,Productos!W$2:W1001,"")*$G958,"")</f>
        <v/>
      </c>
      <c r="AE958" s="179" t="str">
        <f t="array" ref="AE958">IF($F958&lt;&gt;"",XLOOKUP($F958,Productos!$A:$A,Productos!X:X,"Revisar"),"")</f>
        <v/>
      </c>
      <c r="AF958" s="179" t="str">
        <f t="array" ref="AF958">IF($F958&lt;&gt;"", XLOOKUP($F958,Productos!$A$2:$A1001,Productos!Y$2:Y1001,"")*$G958,"")</f>
        <v/>
      </c>
      <c r="AG958" s="179" t="str">
        <f t="array" ref="AG958">IF($F958&lt;&gt;"",XLOOKUP($F958,Productos!$A:$A,Productos!Z:Z,"Revisar"),"")</f>
        <v/>
      </c>
      <c r="AH958" s="179" t="str">
        <f t="array" ref="AH958">IF($F958&lt;&gt;"", XLOOKUP($F958,Productos!$A$2:$A1001,Productos!AA$2:AA1001,"")*$G958,"")</f>
        <v/>
      </c>
      <c r="AI958" s="179" t="str">
        <f t="array" ref="AI958">IF($F958&lt;&gt;"",XLOOKUP($F958,Productos!$A:$A,Productos!AB:AB,"Revisar"),"")</f>
        <v/>
      </c>
      <c r="AJ958" s="179" t="str">
        <f t="array" ref="AJ958">IF($F958&lt;&gt;"", XLOOKUP($F958,Productos!$A$2:$A1001,Productos!AC$2:AC1001,"")*$G958,"")</f>
        <v/>
      </c>
      <c r="AK958" s="179" t="str">
        <f t="array" ref="AK958">IF($F958&lt;&gt;"",XLOOKUP($F958,Productos!$A:$A,Productos!AD:AD,"Revisar"),"")</f>
        <v/>
      </c>
      <c r="AL958" s="179" t="str">
        <f t="array" ref="AL958">IF($F958&lt;&gt;"", XLOOKUP($F958,Productos!$A$2:$A1001,Productos!AE$2:AE1001,"")*$G958,"")</f>
        <v/>
      </c>
      <c r="AM958" s="179" t="str">
        <f t="array" ref="AM958">IF($F958&lt;&gt;"",XLOOKUP($F958,Productos!$A:$A,Productos!AF:AF,"Revisar"),"")</f>
        <v/>
      </c>
      <c r="AN958" s="179" t="str">
        <f t="array" ref="AN958">IF($F958&lt;&gt;"", XLOOKUP($F958,Productos!$A$2:$A1001,Productos!AG$2:AG1001,"")*$G958,"")</f>
        <v/>
      </c>
      <c r="AO958" s="179" t="str">
        <f t="array" ref="AO958">IF($F958&lt;&gt;"",XLOOKUP($F958,Productos!$A:$A,Productos!AH:AH,"Revisar"),"")</f>
        <v/>
      </c>
      <c r="AP958" s="179" t="str">
        <f t="array" ref="AP958">IF($F958&lt;&gt;"", XLOOKUP($F958,Productos!$A$2:$A1001,Productos!AI$2:AI1001,"")*$G958,"")</f>
        <v/>
      </c>
      <c r="AQ958" s="179" t="str">
        <f t="array" ref="AQ958">IF($F958&lt;&gt;"",XLOOKUP($F958,Productos!$A:$A,Productos!AJ:AJ,"Revisar"),"")</f>
        <v/>
      </c>
      <c r="AR958" s="179" t="str">
        <f t="array" ref="AR958">IF($F958&lt;&gt;"", XLOOKUP($F958,Productos!$A$2:$A1001,Productos!AK$2:AK1001,"")*$G958,"")</f>
        <v/>
      </c>
      <c r="AS958" s="179" t="str">
        <f t="array" ref="AS958">IF($F958&lt;&gt;"",XLOOKUP($F958,Productos!$A:$A,Productos!AL:AL,"Revisar"),"")</f>
        <v/>
      </c>
      <c r="AT958" s="179" t="str">
        <f t="array" ref="AT958">IF($F958&lt;&gt;"", XLOOKUP($F958,Productos!$A$2:$A1001,Productos!AM$2:AM1001,"")*$G958,"")</f>
        <v/>
      </c>
      <c r="AU958" s="179" t="str">
        <f t="array" ref="AU958">IF($F958&lt;&gt;"",XLOOKUP($F958,Productos!$A:$A,Productos!AN:AN,"Revisar"),"")</f>
        <v/>
      </c>
      <c r="AV958" s="179" t="str">
        <f t="array" ref="AV958">IF($F958&lt;&gt;"", XLOOKUP($F958,Productos!$A$2:$A1001,Productos!AO$2:AO1001,"")*$G958,"")</f>
        <v/>
      </c>
      <c r="AW958" s="179" t="str">
        <f t="array" ref="AW958">IF($F958&lt;&gt;"",XLOOKUP($F958,Productos!$A:$A,Productos!AP:AP,"Revisar"),"")</f>
        <v/>
      </c>
      <c r="AX958" s="179" t="str">
        <f t="array" ref="AX958">IF($F958&lt;&gt;"", XLOOKUP($F958,Productos!$A$2:$A1001,Productos!AQ$2:AQ1001,"")*$G958,"")</f>
        <v/>
      </c>
      <c r="AY958" s="179" t="str">
        <f t="array" ref="AY958">IF($F958&lt;&gt;"",XLOOKUP($F958,Productos!$A:$A,Productos!AR:AR,"Revisar"),"")</f>
        <v/>
      </c>
      <c r="AZ958" s="179" t="str">
        <f t="array" ref="AZ958">IF($F958&lt;&gt;"", XLOOKUP($F958,Productos!$A$2:$A1001,Productos!AS$2:AS1001,"")*$G958,"")</f>
        <v/>
      </c>
      <c r="BA958" s="179" t="str">
        <f t="array" ref="BA958">IF($F958&lt;&gt;"",XLOOKUP($F958,Productos!$A:$A,Productos!AT:AT,"Revisar"),"")</f>
        <v/>
      </c>
      <c r="BB958" s="179" t="str">
        <f t="array" ref="BB958">IF($F958&lt;&gt;"", XLOOKUP($F958,Productos!$A$2:$A1001,Productos!AU$2:AU1001,"")*$G958,"")</f>
        <v/>
      </c>
      <c r="BC958" s="179" t="str">
        <f t="array" ref="BC958">IF($F958&lt;&gt;"",XLOOKUP($F958,Productos!$A:$A,Productos!AV:AV,"Revisar"),"")</f>
        <v/>
      </c>
      <c r="BD958" s="179" t="str">
        <f t="array" ref="BD958">IF($F958&lt;&gt;"", XLOOKUP($F958,Productos!$A$2:$A1001,Productos!AW$2:AW1001,"")*$G958,"")</f>
        <v/>
      </c>
      <c r="BE958" s="179" t="str">
        <f t="array" ref="BE958">IF($F958&lt;&gt;"",XLOOKUP($F958,Productos!$A:$A,Productos!AX:AX,"Revisar"),"")</f>
        <v/>
      </c>
      <c r="BF958" s="179" t="str">
        <f t="array" ref="BF958">IF($F958&lt;&gt;"", XLOOKUP($F958,Productos!$A$2:$A1001,Productos!AY$2:AY1001,"")*$G958,"")</f>
        <v/>
      </c>
      <c r="BG958" s="179" t="str">
        <f t="array" ref="BG958">IF($F958&lt;&gt;"",XLOOKUP($F958,Productos!$A:$A,Productos!AZ:AZ,"Revisar"),"")</f>
        <v/>
      </c>
      <c r="BH958" s="179" t="str">
        <f t="array" ref="BH958">IF($F958&lt;&gt;"", XLOOKUP($F958,Productos!$A$2:$A1001,Productos!BA$2:BA1001,"")*$G958,"")</f>
        <v/>
      </c>
      <c r="BI958" s="179" t="str">
        <f t="array" ref="BI958">IF($F958&lt;&gt;"",XLOOKUP($F958,Productos!$A:$A,Productos!BB:BB,"Revisar"),"")</f>
        <v/>
      </c>
      <c r="BJ958" s="179" t="str">
        <f t="array" ref="BJ958">IF($F958&lt;&gt;"", XLOOKUP($F958,Productos!$A$2:$A1001,Productos!BC$2:BC1001,"")*$G958,"")</f>
        <v/>
      </c>
      <c r="BK958" s="179" t="str">
        <f t="array" ref="BK958">IF($F958&lt;&gt;"",XLOOKUP($F958,Productos!$A:$A,Productos!BD:BD,"Revisar"),"")</f>
        <v/>
      </c>
      <c r="BL958" s="179" t="str">
        <f t="array" ref="BL958">IF($F958&lt;&gt;"", XLOOKUP($F958,Productos!$A$2:$A1001,Productos!BE$2:BE1001,"")*$G958,"")</f>
        <v/>
      </c>
      <c r="BM958" s="179" t="str">
        <f t="array" ref="BM958">IF($F958&lt;&gt;"",XLOOKUP($F958,Productos!$A:$A,Productos!BF:BF,"Revisar"),"")</f>
        <v/>
      </c>
      <c r="BN958" s="179" t="str">
        <f t="array" ref="BN958">IF($F958&lt;&gt;"", XLOOKUP($F958,Productos!$A$2:$A1001,Productos!BG$2:BG1001,"")*$G958,"")</f>
        <v/>
      </c>
      <c r="BO958" s="179" t="str">
        <f t="array" ref="BO958">IF($F958&lt;&gt;"",XLOOKUP($F958,Productos!$A:$A,Productos!BH:BH,"Revisar"),"")</f>
        <v/>
      </c>
      <c r="BP958" s="179" t="str">
        <f t="array" ref="BP958">IF($F958&lt;&gt;"", XLOOKUP($F958,Productos!$A$2:$A1001,Productos!BI$2:BI1001,"")*$G958,"")</f>
        <v/>
      </c>
      <c r="BQ958" s="179" t="str">
        <f t="array" ref="BQ958">IF($F958&lt;&gt;"",XLOOKUP($F958,Productos!$A:$A,Productos!BJ:BJ,"Revisar"),"")</f>
        <v/>
      </c>
      <c r="BR958" s="179" t="str">
        <f t="array" ref="BR958">IF($F958&lt;&gt;"", XLOOKUP($F958,Productos!$A$2:$A1001,Productos!BK$2:BK1001,"")*$G958,"")</f>
        <v/>
      </c>
      <c r="BS958" s="179" t="str">
        <f t="array" ref="BS958">IF($F958&lt;&gt;"",XLOOKUP($F958,Productos!$A:$A,Productos!BL:BL,"Revisar"),"")</f>
        <v/>
      </c>
      <c r="BT958" s="179" t="str">
        <f t="array" ref="BT958">IF($F958&lt;&gt;"", XLOOKUP($F958,Productos!$A$2:$A1001,Productos!BM$2:BM1001,"")*$G958,"")</f>
        <v/>
      </c>
      <c r="BU958" s="179" t="str">
        <f t="array" ref="BU958">IF($F958&lt;&gt;"",XLOOKUP($F958,Productos!$A:$A,Productos!BN:BN,"Revisar"),"")</f>
        <v/>
      </c>
      <c r="BV958" s="179" t="str">
        <f t="array" ref="BV958">IF($F958&lt;&gt;"", XLOOKUP($F958,Productos!$A$2:$A1001,Productos!BO$2:BO1001,"")*$G958,"")</f>
        <v/>
      </c>
      <c r="BW958" s="179" t="str">
        <f t="array" ref="BW958">IF($F958&lt;&gt;"",XLOOKUP($F958,Productos!$A:$A,Productos!BP:BP,"Revisar"),"")</f>
        <v/>
      </c>
      <c r="BX958" s="179" t="str">
        <f t="array" ref="BX958">IF($F958&lt;&gt;"", XLOOKUP($F958,Productos!$A$2:$A1001,Productos!BQ$2:BQ1001,"")*$G958,"")</f>
        <v/>
      </c>
      <c r="BY958" s="179" t="str">
        <f t="array" ref="BY958">IF($F958&lt;&gt;"",XLOOKUP($F958,Productos!$A:$A,Productos!BR:BR,"Revisar"),"")</f>
        <v/>
      </c>
      <c r="BZ958" s="179" t="str">
        <f t="array" ref="BZ958">IF($F958&lt;&gt;"", XLOOKUP($F958,Productos!$A$2:$A1001,Productos!BS$2:BS1001,"")*$G958,"")</f>
        <v/>
      </c>
    </row>
    <row r="959">
      <c r="A959" s="188"/>
      <c r="B959" s="189"/>
      <c r="C959" s="190"/>
      <c r="D959" s="190"/>
      <c r="E959" s="191"/>
      <c r="F959" s="186"/>
      <c r="G959" s="192"/>
      <c r="H959" s="9"/>
      <c r="I959" s="179" t="str">
        <f t="array" ref="I959">IF($F959&lt;&gt;"",XLOOKUP($F959,Productos!$A:$A,Productos!B:B,"Revisar"),"")</f>
        <v/>
      </c>
      <c r="J959" s="179" t="str">
        <f t="array" ref="J959">IF($F959&lt;&gt;"", XLOOKUP($F959,Productos!$A$2:$A1001,Productos!C$2:C1001,"")*$G959,"")</f>
        <v/>
      </c>
      <c r="K959" s="179" t="str">
        <f t="array" ref="K959">IF($F959&lt;&gt;"",XLOOKUP($F959,Productos!$A:$A,Productos!D:D,"Revisar"),"")</f>
        <v/>
      </c>
      <c r="L959" s="179" t="str">
        <f t="array" ref="L959">IF($F959&lt;&gt;"", XLOOKUP($F959,Productos!$A$2:$A1001,Productos!E$2:E1001,"")*$G959,"")</f>
        <v/>
      </c>
      <c r="M959" s="179" t="str">
        <f t="array" ref="M959">IF($F959&lt;&gt;"",XLOOKUP($F959,Productos!$A:$A,Productos!F:F,"Revisar"),"")</f>
        <v/>
      </c>
      <c r="N959" s="179" t="str">
        <f t="array" ref="N959">IF($F959&lt;&gt;"", XLOOKUP($F959,Productos!$A$2:$A1001,Productos!G$2:G1001,"")*$G959,"")</f>
        <v/>
      </c>
      <c r="O959" s="179" t="str">
        <f t="array" ref="O959">IF($F959&lt;&gt;"",XLOOKUP($F959,Productos!$A:$A,Productos!H:H,"Revisar"),"")</f>
        <v/>
      </c>
      <c r="P959" s="179" t="str">
        <f t="array" ref="P959">IF($F959&lt;&gt;"", XLOOKUP($F959,Productos!$A$2:$A1001,Productos!I$2:I1001,"")*$G959,"")</f>
        <v/>
      </c>
      <c r="Q959" s="179" t="str">
        <f t="array" ref="Q959">IF($F959&lt;&gt;"",XLOOKUP($F959,Productos!$A:$A,Productos!J:J,"Revisar"),"")</f>
        <v/>
      </c>
      <c r="R959" s="179" t="str">
        <f t="array" ref="R959">IF($F959&lt;&gt;"", XLOOKUP($F959,Productos!$A$2:$A1001,Productos!K$2:K1001,"")*$G959,"")</f>
        <v/>
      </c>
      <c r="S959" s="179" t="str">
        <f t="array" ref="S959">IF($F959&lt;&gt;"",XLOOKUP($F959,Productos!$A:$A,Productos!L:L,"Revisar"),"")</f>
        <v/>
      </c>
      <c r="T959" s="179" t="str">
        <f t="array" ref="T959">IF($F959&lt;&gt;"", XLOOKUP($F959,Productos!$A$2:$A1001,Productos!M$2:M1001,"")*$G959,"")</f>
        <v/>
      </c>
      <c r="U959" s="179" t="str">
        <f t="array" ref="U959">IF($F959&lt;&gt;"",XLOOKUP($F959,Productos!$A:$A,Productos!N:N,"Revisar"),"")</f>
        <v/>
      </c>
      <c r="V959" s="179" t="str">
        <f t="array" ref="V959">IF($F959&lt;&gt;"", XLOOKUP($F959,Productos!$A$2:$A1001,Productos!O$2:O1001,"")*$G959,"")</f>
        <v/>
      </c>
      <c r="W959" s="179" t="str">
        <f t="array" ref="W959">IF($F959&lt;&gt;"",XLOOKUP($F959,Productos!$A:$A,Productos!P:P,"Revisar"),"")</f>
        <v/>
      </c>
      <c r="X959" s="179" t="str">
        <f t="array" ref="X959">IF($F959&lt;&gt;"", XLOOKUP($F959,Productos!$A$2:$A1001,Productos!Q$2:Q1001,"")*$G959,"")</f>
        <v/>
      </c>
      <c r="Y959" s="179" t="str">
        <f t="array" ref="Y959">IF($F959&lt;&gt;"",XLOOKUP($F959,Productos!$A:$A,Productos!R:R,"Revisar"),"")</f>
        <v/>
      </c>
      <c r="Z959" s="179" t="str">
        <f t="array" ref="Z959">IF($F959&lt;&gt;"", XLOOKUP($F959,Productos!$A$2:$A1001,Productos!S$2:S1001,"")*$G959,"")</f>
        <v/>
      </c>
      <c r="AA959" s="179" t="str">
        <f t="array" ref="AA959">IF($F959&lt;&gt;"",XLOOKUP($F959,Productos!$A:$A,Productos!T:T,"Revisar"),"")</f>
        <v/>
      </c>
      <c r="AB959" s="179" t="str">
        <f t="array" ref="AB959">IF($F959&lt;&gt;"", XLOOKUP($F959,Productos!$A$2:$A1001,Productos!U$2:U1001,"")*$G959,"")</f>
        <v/>
      </c>
      <c r="AC959" s="179" t="str">
        <f t="array" ref="AC959">IF($F959&lt;&gt;"",XLOOKUP($F959,Productos!$A:$A,Productos!V:V,"Revisar"),"")</f>
        <v/>
      </c>
      <c r="AD959" s="179" t="str">
        <f t="array" ref="AD959">IF($F959&lt;&gt;"", XLOOKUP($F959,Productos!$A$2:$A1001,Productos!W$2:W1001,"")*$G959,"")</f>
        <v/>
      </c>
      <c r="AE959" s="179" t="str">
        <f t="array" ref="AE959">IF($F959&lt;&gt;"",XLOOKUP($F959,Productos!$A:$A,Productos!X:X,"Revisar"),"")</f>
        <v/>
      </c>
      <c r="AF959" s="179" t="str">
        <f t="array" ref="AF959">IF($F959&lt;&gt;"", XLOOKUP($F959,Productos!$A$2:$A1001,Productos!Y$2:Y1001,"")*$G959,"")</f>
        <v/>
      </c>
      <c r="AG959" s="179" t="str">
        <f t="array" ref="AG959">IF($F959&lt;&gt;"",XLOOKUP($F959,Productos!$A:$A,Productos!Z:Z,"Revisar"),"")</f>
        <v/>
      </c>
      <c r="AH959" s="179" t="str">
        <f t="array" ref="AH959">IF($F959&lt;&gt;"", XLOOKUP($F959,Productos!$A$2:$A1001,Productos!AA$2:AA1001,"")*$G959,"")</f>
        <v/>
      </c>
      <c r="AI959" s="179" t="str">
        <f t="array" ref="AI959">IF($F959&lt;&gt;"",XLOOKUP($F959,Productos!$A:$A,Productos!AB:AB,"Revisar"),"")</f>
        <v/>
      </c>
      <c r="AJ959" s="179" t="str">
        <f t="array" ref="AJ959">IF($F959&lt;&gt;"", XLOOKUP($F959,Productos!$A$2:$A1001,Productos!AC$2:AC1001,"")*$G959,"")</f>
        <v/>
      </c>
      <c r="AK959" s="179" t="str">
        <f t="array" ref="AK959">IF($F959&lt;&gt;"",XLOOKUP($F959,Productos!$A:$A,Productos!AD:AD,"Revisar"),"")</f>
        <v/>
      </c>
      <c r="AL959" s="179" t="str">
        <f t="array" ref="AL959">IF($F959&lt;&gt;"", XLOOKUP($F959,Productos!$A$2:$A1001,Productos!AE$2:AE1001,"")*$G959,"")</f>
        <v/>
      </c>
      <c r="AM959" s="179" t="str">
        <f t="array" ref="AM959">IF($F959&lt;&gt;"",XLOOKUP($F959,Productos!$A:$A,Productos!AF:AF,"Revisar"),"")</f>
        <v/>
      </c>
      <c r="AN959" s="179" t="str">
        <f t="array" ref="AN959">IF($F959&lt;&gt;"", XLOOKUP($F959,Productos!$A$2:$A1001,Productos!AG$2:AG1001,"")*$G959,"")</f>
        <v/>
      </c>
      <c r="AO959" s="179" t="str">
        <f t="array" ref="AO959">IF($F959&lt;&gt;"",XLOOKUP($F959,Productos!$A:$A,Productos!AH:AH,"Revisar"),"")</f>
        <v/>
      </c>
      <c r="AP959" s="179" t="str">
        <f t="array" ref="AP959">IF($F959&lt;&gt;"", XLOOKUP($F959,Productos!$A$2:$A1001,Productos!AI$2:AI1001,"")*$G959,"")</f>
        <v/>
      </c>
      <c r="AQ959" s="179" t="str">
        <f t="array" ref="AQ959">IF($F959&lt;&gt;"",XLOOKUP($F959,Productos!$A:$A,Productos!AJ:AJ,"Revisar"),"")</f>
        <v/>
      </c>
      <c r="AR959" s="179" t="str">
        <f t="array" ref="AR959">IF($F959&lt;&gt;"", XLOOKUP($F959,Productos!$A$2:$A1001,Productos!AK$2:AK1001,"")*$G959,"")</f>
        <v/>
      </c>
      <c r="AS959" s="179" t="str">
        <f t="array" ref="AS959">IF($F959&lt;&gt;"",XLOOKUP($F959,Productos!$A:$A,Productos!AL:AL,"Revisar"),"")</f>
        <v/>
      </c>
      <c r="AT959" s="179" t="str">
        <f t="array" ref="AT959">IF($F959&lt;&gt;"", XLOOKUP($F959,Productos!$A$2:$A1001,Productos!AM$2:AM1001,"")*$G959,"")</f>
        <v/>
      </c>
      <c r="AU959" s="179" t="str">
        <f t="array" ref="AU959">IF($F959&lt;&gt;"",XLOOKUP($F959,Productos!$A:$A,Productos!AN:AN,"Revisar"),"")</f>
        <v/>
      </c>
      <c r="AV959" s="179" t="str">
        <f t="array" ref="AV959">IF($F959&lt;&gt;"", XLOOKUP($F959,Productos!$A$2:$A1001,Productos!AO$2:AO1001,"")*$G959,"")</f>
        <v/>
      </c>
      <c r="AW959" s="179" t="str">
        <f t="array" ref="AW959">IF($F959&lt;&gt;"",XLOOKUP($F959,Productos!$A:$A,Productos!AP:AP,"Revisar"),"")</f>
        <v/>
      </c>
      <c r="AX959" s="179" t="str">
        <f t="array" ref="AX959">IF($F959&lt;&gt;"", XLOOKUP($F959,Productos!$A$2:$A1001,Productos!AQ$2:AQ1001,"")*$G959,"")</f>
        <v/>
      </c>
      <c r="AY959" s="179" t="str">
        <f t="array" ref="AY959">IF($F959&lt;&gt;"",XLOOKUP($F959,Productos!$A:$A,Productos!AR:AR,"Revisar"),"")</f>
        <v/>
      </c>
      <c r="AZ959" s="179" t="str">
        <f t="array" ref="AZ959">IF($F959&lt;&gt;"", XLOOKUP($F959,Productos!$A$2:$A1001,Productos!AS$2:AS1001,"")*$G959,"")</f>
        <v/>
      </c>
      <c r="BA959" s="179" t="str">
        <f t="array" ref="BA959">IF($F959&lt;&gt;"",XLOOKUP($F959,Productos!$A:$A,Productos!AT:AT,"Revisar"),"")</f>
        <v/>
      </c>
      <c r="BB959" s="179" t="str">
        <f t="array" ref="BB959">IF($F959&lt;&gt;"", XLOOKUP($F959,Productos!$A$2:$A1001,Productos!AU$2:AU1001,"")*$G959,"")</f>
        <v/>
      </c>
      <c r="BC959" s="179" t="str">
        <f t="array" ref="BC959">IF($F959&lt;&gt;"",XLOOKUP($F959,Productos!$A:$A,Productos!AV:AV,"Revisar"),"")</f>
        <v/>
      </c>
      <c r="BD959" s="179" t="str">
        <f t="array" ref="BD959">IF($F959&lt;&gt;"", XLOOKUP($F959,Productos!$A$2:$A1001,Productos!AW$2:AW1001,"")*$G959,"")</f>
        <v/>
      </c>
      <c r="BE959" s="179" t="str">
        <f t="array" ref="BE959">IF($F959&lt;&gt;"",XLOOKUP($F959,Productos!$A:$A,Productos!AX:AX,"Revisar"),"")</f>
        <v/>
      </c>
      <c r="BF959" s="179" t="str">
        <f t="array" ref="BF959">IF($F959&lt;&gt;"", XLOOKUP($F959,Productos!$A$2:$A1001,Productos!AY$2:AY1001,"")*$G959,"")</f>
        <v/>
      </c>
      <c r="BG959" s="179" t="str">
        <f t="array" ref="BG959">IF($F959&lt;&gt;"",XLOOKUP($F959,Productos!$A:$A,Productos!AZ:AZ,"Revisar"),"")</f>
        <v/>
      </c>
      <c r="BH959" s="179" t="str">
        <f t="array" ref="BH959">IF($F959&lt;&gt;"", XLOOKUP($F959,Productos!$A$2:$A1001,Productos!BA$2:BA1001,"")*$G959,"")</f>
        <v/>
      </c>
      <c r="BI959" s="179" t="str">
        <f t="array" ref="BI959">IF($F959&lt;&gt;"",XLOOKUP($F959,Productos!$A:$A,Productos!BB:BB,"Revisar"),"")</f>
        <v/>
      </c>
      <c r="BJ959" s="179" t="str">
        <f t="array" ref="BJ959">IF($F959&lt;&gt;"", XLOOKUP($F959,Productos!$A$2:$A1001,Productos!BC$2:BC1001,"")*$G959,"")</f>
        <v/>
      </c>
      <c r="BK959" s="179" t="str">
        <f t="array" ref="BK959">IF($F959&lt;&gt;"",XLOOKUP($F959,Productos!$A:$A,Productos!BD:BD,"Revisar"),"")</f>
        <v/>
      </c>
      <c r="BL959" s="179" t="str">
        <f t="array" ref="BL959">IF($F959&lt;&gt;"", XLOOKUP($F959,Productos!$A$2:$A1001,Productos!BE$2:BE1001,"")*$G959,"")</f>
        <v/>
      </c>
      <c r="BM959" s="179" t="str">
        <f t="array" ref="BM959">IF($F959&lt;&gt;"",XLOOKUP($F959,Productos!$A:$A,Productos!BF:BF,"Revisar"),"")</f>
        <v/>
      </c>
      <c r="BN959" s="179" t="str">
        <f t="array" ref="BN959">IF($F959&lt;&gt;"", XLOOKUP($F959,Productos!$A$2:$A1001,Productos!BG$2:BG1001,"")*$G959,"")</f>
        <v/>
      </c>
      <c r="BO959" s="179" t="str">
        <f t="array" ref="BO959">IF($F959&lt;&gt;"",XLOOKUP($F959,Productos!$A:$A,Productos!BH:BH,"Revisar"),"")</f>
        <v/>
      </c>
      <c r="BP959" s="179" t="str">
        <f t="array" ref="BP959">IF($F959&lt;&gt;"", XLOOKUP($F959,Productos!$A$2:$A1001,Productos!BI$2:BI1001,"")*$G959,"")</f>
        <v/>
      </c>
      <c r="BQ959" s="179" t="str">
        <f t="array" ref="BQ959">IF($F959&lt;&gt;"",XLOOKUP($F959,Productos!$A:$A,Productos!BJ:BJ,"Revisar"),"")</f>
        <v/>
      </c>
      <c r="BR959" s="179" t="str">
        <f t="array" ref="BR959">IF($F959&lt;&gt;"", XLOOKUP($F959,Productos!$A$2:$A1001,Productos!BK$2:BK1001,"")*$G959,"")</f>
        <v/>
      </c>
      <c r="BS959" s="179" t="str">
        <f t="array" ref="BS959">IF($F959&lt;&gt;"",XLOOKUP($F959,Productos!$A:$A,Productos!BL:BL,"Revisar"),"")</f>
        <v/>
      </c>
      <c r="BT959" s="179" t="str">
        <f t="array" ref="BT959">IF($F959&lt;&gt;"", XLOOKUP($F959,Productos!$A$2:$A1001,Productos!BM$2:BM1001,"")*$G959,"")</f>
        <v/>
      </c>
      <c r="BU959" s="179" t="str">
        <f t="array" ref="BU959">IF($F959&lt;&gt;"",XLOOKUP($F959,Productos!$A:$A,Productos!BN:BN,"Revisar"),"")</f>
        <v/>
      </c>
      <c r="BV959" s="179" t="str">
        <f t="array" ref="BV959">IF($F959&lt;&gt;"", XLOOKUP($F959,Productos!$A$2:$A1001,Productos!BO$2:BO1001,"")*$G959,"")</f>
        <v/>
      </c>
      <c r="BW959" s="179" t="str">
        <f t="array" ref="BW959">IF($F959&lt;&gt;"",XLOOKUP($F959,Productos!$A:$A,Productos!BP:BP,"Revisar"),"")</f>
        <v/>
      </c>
      <c r="BX959" s="179" t="str">
        <f t="array" ref="BX959">IF($F959&lt;&gt;"", XLOOKUP($F959,Productos!$A$2:$A1001,Productos!BQ$2:BQ1001,"")*$G959,"")</f>
        <v/>
      </c>
      <c r="BY959" s="179" t="str">
        <f t="array" ref="BY959">IF($F959&lt;&gt;"",XLOOKUP($F959,Productos!$A:$A,Productos!BR:BR,"Revisar"),"")</f>
        <v/>
      </c>
      <c r="BZ959" s="179" t="str">
        <f t="array" ref="BZ959">IF($F959&lt;&gt;"", XLOOKUP($F959,Productos!$A$2:$A1001,Productos!BS$2:BS1001,"")*$G959,"")</f>
        <v/>
      </c>
    </row>
    <row r="960">
      <c r="A960" s="188"/>
      <c r="B960" s="189"/>
      <c r="C960" s="190"/>
      <c r="D960" s="190"/>
      <c r="E960" s="191"/>
      <c r="F960" s="186"/>
      <c r="G960" s="192"/>
      <c r="H960" s="9"/>
      <c r="I960" s="179" t="str">
        <f t="array" ref="I960">IF($F960&lt;&gt;"",XLOOKUP($F960,Productos!$A:$A,Productos!B:B,"Revisar"),"")</f>
        <v/>
      </c>
      <c r="J960" s="179" t="str">
        <f t="array" ref="J960">IF($F960&lt;&gt;"", XLOOKUP($F960,Productos!$A$2:$A1001,Productos!C$2:C1001,"")*$G960,"")</f>
        <v/>
      </c>
      <c r="K960" s="179" t="str">
        <f t="array" ref="K960">IF($F960&lt;&gt;"",XLOOKUP($F960,Productos!$A:$A,Productos!D:D,"Revisar"),"")</f>
        <v/>
      </c>
      <c r="L960" s="179" t="str">
        <f t="array" ref="L960">IF($F960&lt;&gt;"", XLOOKUP($F960,Productos!$A$2:$A1001,Productos!E$2:E1001,"")*$G960,"")</f>
        <v/>
      </c>
      <c r="M960" s="179" t="str">
        <f t="array" ref="M960">IF($F960&lt;&gt;"",XLOOKUP($F960,Productos!$A:$A,Productos!F:F,"Revisar"),"")</f>
        <v/>
      </c>
      <c r="N960" s="179" t="str">
        <f t="array" ref="N960">IF($F960&lt;&gt;"", XLOOKUP($F960,Productos!$A$2:$A1001,Productos!G$2:G1001,"")*$G960,"")</f>
        <v/>
      </c>
      <c r="O960" s="179" t="str">
        <f t="array" ref="O960">IF($F960&lt;&gt;"",XLOOKUP($F960,Productos!$A:$A,Productos!H:H,"Revisar"),"")</f>
        <v/>
      </c>
      <c r="P960" s="179" t="str">
        <f t="array" ref="P960">IF($F960&lt;&gt;"", XLOOKUP($F960,Productos!$A$2:$A1001,Productos!I$2:I1001,"")*$G960,"")</f>
        <v/>
      </c>
      <c r="Q960" s="179" t="str">
        <f t="array" ref="Q960">IF($F960&lt;&gt;"",XLOOKUP($F960,Productos!$A:$A,Productos!J:J,"Revisar"),"")</f>
        <v/>
      </c>
      <c r="R960" s="179" t="str">
        <f t="array" ref="R960">IF($F960&lt;&gt;"", XLOOKUP($F960,Productos!$A$2:$A1001,Productos!K$2:K1001,"")*$G960,"")</f>
        <v/>
      </c>
      <c r="S960" s="179" t="str">
        <f t="array" ref="S960">IF($F960&lt;&gt;"",XLOOKUP($F960,Productos!$A:$A,Productos!L:L,"Revisar"),"")</f>
        <v/>
      </c>
      <c r="T960" s="179" t="str">
        <f t="array" ref="T960">IF($F960&lt;&gt;"", XLOOKUP($F960,Productos!$A$2:$A1001,Productos!M$2:M1001,"")*$G960,"")</f>
        <v/>
      </c>
      <c r="U960" s="179" t="str">
        <f t="array" ref="U960">IF($F960&lt;&gt;"",XLOOKUP($F960,Productos!$A:$A,Productos!N:N,"Revisar"),"")</f>
        <v/>
      </c>
      <c r="V960" s="179" t="str">
        <f t="array" ref="V960">IF($F960&lt;&gt;"", XLOOKUP($F960,Productos!$A$2:$A1001,Productos!O$2:O1001,"")*$G960,"")</f>
        <v/>
      </c>
      <c r="W960" s="179" t="str">
        <f t="array" ref="W960">IF($F960&lt;&gt;"",XLOOKUP($F960,Productos!$A:$A,Productos!P:P,"Revisar"),"")</f>
        <v/>
      </c>
      <c r="X960" s="179" t="str">
        <f t="array" ref="X960">IF($F960&lt;&gt;"", XLOOKUP($F960,Productos!$A$2:$A1001,Productos!Q$2:Q1001,"")*$G960,"")</f>
        <v/>
      </c>
      <c r="Y960" s="179" t="str">
        <f t="array" ref="Y960">IF($F960&lt;&gt;"",XLOOKUP($F960,Productos!$A:$A,Productos!R:R,"Revisar"),"")</f>
        <v/>
      </c>
      <c r="Z960" s="179" t="str">
        <f t="array" ref="Z960">IF($F960&lt;&gt;"", XLOOKUP($F960,Productos!$A$2:$A1001,Productos!S$2:S1001,"")*$G960,"")</f>
        <v/>
      </c>
      <c r="AA960" s="179" t="str">
        <f t="array" ref="AA960">IF($F960&lt;&gt;"",XLOOKUP($F960,Productos!$A:$A,Productos!T:T,"Revisar"),"")</f>
        <v/>
      </c>
      <c r="AB960" s="179" t="str">
        <f t="array" ref="AB960">IF($F960&lt;&gt;"", XLOOKUP($F960,Productos!$A$2:$A1001,Productos!U$2:U1001,"")*$G960,"")</f>
        <v/>
      </c>
      <c r="AC960" s="179" t="str">
        <f t="array" ref="AC960">IF($F960&lt;&gt;"",XLOOKUP($F960,Productos!$A:$A,Productos!V:V,"Revisar"),"")</f>
        <v/>
      </c>
      <c r="AD960" s="179" t="str">
        <f t="array" ref="AD960">IF($F960&lt;&gt;"", XLOOKUP($F960,Productos!$A$2:$A1001,Productos!W$2:W1001,"")*$G960,"")</f>
        <v/>
      </c>
      <c r="AE960" s="179" t="str">
        <f t="array" ref="AE960">IF($F960&lt;&gt;"",XLOOKUP($F960,Productos!$A:$A,Productos!X:X,"Revisar"),"")</f>
        <v/>
      </c>
      <c r="AF960" s="179" t="str">
        <f t="array" ref="AF960">IF($F960&lt;&gt;"", XLOOKUP($F960,Productos!$A$2:$A1001,Productos!Y$2:Y1001,"")*$G960,"")</f>
        <v/>
      </c>
      <c r="AG960" s="179" t="str">
        <f t="array" ref="AG960">IF($F960&lt;&gt;"",XLOOKUP($F960,Productos!$A:$A,Productos!Z:Z,"Revisar"),"")</f>
        <v/>
      </c>
      <c r="AH960" s="179" t="str">
        <f t="array" ref="AH960">IF($F960&lt;&gt;"", XLOOKUP($F960,Productos!$A$2:$A1001,Productos!AA$2:AA1001,"")*$G960,"")</f>
        <v/>
      </c>
      <c r="AI960" s="179" t="str">
        <f t="array" ref="AI960">IF($F960&lt;&gt;"",XLOOKUP($F960,Productos!$A:$A,Productos!AB:AB,"Revisar"),"")</f>
        <v/>
      </c>
      <c r="AJ960" s="179" t="str">
        <f t="array" ref="AJ960">IF($F960&lt;&gt;"", XLOOKUP($F960,Productos!$A$2:$A1001,Productos!AC$2:AC1001,"")*$G960,"")</f>
        <v/>
      </c>
      <c r="AK960" s="179" t="str">
        <f t="array" ref="AK960">IF($F960&lt;&gt;"",XLOOKUP($F960,Productos!$A:$A,Productos!AD:AD,"Revisar"),"")</f>
        <v/>
      </c>
      <c r="AL960" s="179" t="str">
        <f t="array" ref="AL960">IF($F960&lt;&gt;"", XLOOKUP($F960,Productos!$A$2:$A1001,Productos!AE$2:AE1001,"")*$G960,"")</f>
        <v/>
      </c>
      <c r="AM960" s="179" t="str">
        <f t="array" ref="AM960">IF($F960&lt;&gt;"",XLOOKUP($F960,Productos!$A:$A,Productos!AF:AF,"Revisar"),"")</f>
        <v/>
      </c>
      <c r="AN960" s="179" t="str">
        <f t="array" ref="AN960">IF($F960&lt;&gt;"", XLOOKUP($F960,Productos!$A$2:$A1001,Productos!AG$2:AG1001,"")*$G960,"")</f>
        <v/>
      </c>
      <c r="AO960" s="179" t="str">
        <f t="array" ref="AO960">IF($F960&lt;&gt;"",XLOOKUP($F960,Productos!$A:$A,Productos!AH:AH,"Revisar"),"")</f>
        <v/>
      </c>
      <c r="AP960" s="179" t="str">
        <f t="array" ref="AP960">IF($F960&lt;&gt;"", XLOOKUP($F960,Productos!$A$2:$A1001,Productos!AI$2:AI1001,"")*$G960,"")</f>
        <v/>
      </c>
      <c r="AQ960" s="179" t="str">
        <f t="array" ref="AQ960">IF($F960&lt;&gt;"",XLOOKUP($F960,Productos!$A:$A,Productos!AJ:AJ,"Revisar"),"")</f>
        <v/>
      </c>
      <c r="AR960" s="179" t="str">
        <f t="array" ref="AR960">IF($F960&lt;&gt;"", XLOOKUP($F960,Productos!$A$2:$A1001,Productos!AK$2:AK1001,"")*$G960,"")</f>
        <v/>
      </c>
      <c r="AS960" s="179" t="str">
        <f t="array" ref="AS960">IF($F960&lt;&gt;"",XLOOKUP($F960,Productos!$A:$A,Productos!AL:AL,"Revisar"),"")</f>
        <v/>
      </c>
      <c r="AT960" s="179" t="str">
        <f t="array" ref="AT960">IF($F960&lt;&gt;"", XLOOKUP($F960,Productos!$A$2:$A1001,Productos!AM$2:AM1001,"")*$G960,"")</f>
        <v/>
      </c>
      <c r="AU960" s="179" t="str">
        <f t="array" ref="AU960">IF($F960&lt;&gt;"",XLOOKUP($F960,Productos!$A:$A,Productos!AN:AN,"Revisar"),"")</f>
        <v/>
      </c>
      <c r="AV960" s="179" t="str">
        <f t="array" ref="AV960">IF($F960&lt;&gt;"", XLOOKUP($F960,Productos!$A$2:$A1001,Productos!AO$2:AO1001,"")*$G960,"")</f>
        <v/>
      </c>
      <c r="AW960" s="179" t="str">
        <f t="array" ref="AW960">IF($F960&lt;&gt;"",XLOOKUP($F960,Productos!$A:$A,Productos!AP:AP,"Revisar"),"")</f>
        <v/>
      </c>
      <c r="AX960" s="179" t="str">
        <f t="array" ref="AX960">IF($F960&lt;&gt;"", XLOOKUP($F960,Productos!$A$2:$A1001,Productos!AQ$2:AQ1001,"")*$G960,"")</f>
        <v/>
      </c>
      <c r="AY960" s="179" t="str">
        <f t="array" ref="AY960">IF($F960&lt;&gt;"",XLOOKUP($F960,Productos!$A:$A,Productos!AR:AR,"Revisar"),"")</f>
        <v/>
      </c>
      <c r="AZ960" s="179" t="str">
        <f t="array" ref="AZ960">IF($F960&lt;&gt;"", XLOOKUP($F960,Productos!$A$2:$A1001,Productos!AS$2:AS1001,"")*$G960,"")</f>
        <v/>
      </c>
      <c r="BA960" s="179" t="str">
        <f t="array" ref="BA960">IF($F960&lt;&gt;"",XLOOKUP($F960,Productos!$A:$A,Productos!AT:AT,"Revisar"),"")</f>
        <v/>
      </c>
      <c r="BB960" s="179" t="str">
        <f t="array" ref="BB960">IF($F960&lt;&gt;"", XLOOKUP($F960,Productos!$A$2:$A1001,Productos!AU$2:AU1001,"")*$G960,"")</f>
        <v/>
      </c>
      <c r="BC960" s="179" t="str">
        <f t="array" ref="BC960">IF($F960&lt;&gt;"",XLOOKUP($F960,Productos!$A:$A,Productos!AV:AV,"Revisar"),"")</f>
        <v/>
      </c>
      <c r="BD960" s="179" t="str">
        <f t="array" ref="BD960">IF($F960&lt;&gt;"", XLOOKUP($F960,Productos!$A$2:$A1001,Productos!AW$2:AW1001,"")*$G960,"")</f>
        <v/>
      </c>
      <c r="BE960" s="179" t="str">
        <f t="array" ref="BE960">IF($F960&lt;&gt;"",XLOOKUP($F960,Productos!$A:$A,Productos!AX:AX,"Revisar"),"")</f>
        <v/>
      </c>
      <c r="BF960" s="179" t="str">
        <f t="array" ref="BF960">IF($F960&lt;&gt;"", XLOOKUP($F960,Productos!$A$2:$A1001,Productos!AY$2:AY1001,"")*$G960,"")</f>
        <v/>
      </c>
      <c r="BG960" s="179" t="str">
        <f t="array" ref="BG960">IF($F960&lt;&gt;"",XLOOKUP($F960,Productos!$A:$A,Productos!AZ:AZ,"Revisar"),"")</f>
        <v/>
      </c>
      <c r="BH960" s="179" t="str">
        <f t="array" ref="BH960">IF($F960&lt;&gt;"", XLOOKUP($F960,Productos!$A$2:$A1001,Productos!BA$2:BA1001,"")*$G960,"")</f>
        <v/>
      </c>
      <c r="BI960" s="179" t="str">
        <f t="array" ref="BI960">IF($F960&lt;&gt;"",XLOOKUP($F960,Productos!$A:$A,Productos!BB:BB,"Revisar"),"")</f>
        <v/>
      </c>
      <c r="BJ960" s="179" t="str">
        <f t="array" ref="BJ960">IF($F960&lt;&gt;"", XLOOKUP($F960,Productos!$A$2:$A1001,Productos!BC$2:BC1001,"")*$G960,"")</f>
        <v/>
      </c>
      <c r="BK960" s="179" t="str">
        <f t="array" ref="BK960">IF($F960&lt;&gt;"",XLOOKUP($F960,Productos!$A:$A,Productos!BD:BD,"Revisar"),"")</f>
        <v/>
      </c>
      <c r="BL960" s="179" t="str">
        <f t="array" ref="BL960">IF($F960&lt;&gt;"", XLOOKUP($F960,Productos!$A$2:$A1001,Productos!BE$2:BE1001,"")*$G960,"")</f>
        <v/>
      </c>
      <c r="BM960" s="179" t="str">
        <f t="array" ref="BM960">IF($F960&lt;&gt;"",XLOOKUP($F960,Productos!$A:$A,Productos!BF:BF,"Revisar"),"")</f>
        <v/>
      </c>
      <c r="BN960" s="179" t="str">
        <f t="array" ref="BN960">IF($F960&lt;&gt;"", XLOOKUP($F960,Productos!$A$2:$A1001,Productos!BG$2:BG1001,"")*$G960,"")</f>
        <v/>
      </c>
      <c r="BO960" s="179" t="str">
        <f t="array" ref="BO960">IF($F960&lt;&gt;"",XLOOKUP($F960,Productos!$A:$A,Productos!BH:BH,"Revisar"),"")</f>
        <v/>
      </c>
      <c r="BP960" s="179" t="str">
        <f t="array" ref="BP960">IF($F960&lt;&gt;"", XLOOKUP($F960,Productos!$A$2:$A1001,Productos!BI$2:BI1001,"")*$G960,"")</f>
        <v/>
      </c>
      <c r="BQ960" s="179" t="str">
        <f t="array" ref="BQ960">IF($F960&lt;&gt;"",XLOOKUP($F960,Productos!$A:$A,Productos!BJ:BJ,"Revisar"),"")</f>
        <v/>
      </c>
      <c r="BR960" s="179" t="str">
        <f t="array" ref="BR960">IF($F960&lt;&gt;"", XLOOKUP($F960,Productos!$A$2:$A1001,Productos!BK$2:BK1001,"")*$G960,"")</f>
        <v/>
      </c>
      <c r="BS960" s="179" t="str">
        <f t="array" ref="BS960">IF($F960&lt;&gt;"",XLOOKUP($F960,Productos!$A:$A,Productos!BL:BL,"Revisar"),"")</f>
        <v/>
      </c>
      <c r="BT960" s="179" t="str">
        <f t="array" ref="BT960">IF($F960&lt;&gt;"", XLOOKUP($F960,Productos!$A$2:$A1001,Productos!BM$2:BM1001,"")*$G960,"")</f>
        <v/>
      </c>
      <c r="BU960" s="179" t="str">
        <f t="array" ref="BU960">IF($F960&lt;&gt;"",XLOOKUP($F960,Productos!$A:$A,Productos!BN:BN,"Revisar"),"")</f>
        <v/>
      </c>
      <c r="BV960" s="179" t="str">
        <f t="array" ref="BV960">IF($F960&lt;&gt;"", XLOOKUP($F960,Productos!$A$2:$A1001,Productos!BO$2:BO1001,"")*$G960,"")</f>
        <v/>
      </c>
      <c r="BW960" s="179" t="str">
        <f t="array" ref="BW960">IF($F960&lt;&gt;"",XLOOKUP($F960,Productos!$A:$A,Productos!BP:BP,"Revisar"),"")</f>
        <v/>
      </c>
      <c r="BX960" s="179" t="str">
        <f t="array" ref="BX960">IF($F960&lt;&gt;"", XLOOKUP($F960,Productos!$A$2:$A1001,Productos!BQ$2:BQ1001,"")*$G960,"")</f>
        <v/>
      </c>
      <c r="BY960" s="179" t="str">
        <f t="array" ref="BY960">IF($F960&lt;&gt;"",XLOOKUP($F960,Productos!$A:$A,Productos!BR:BR,"Revisar"),"")</f>
        <v/>
      </c>
      <c r="BZ960" s="179" t="str">
        <f t="array" ref="BZ960">IF($F960&lt;&gt;"", XLOOKUP($F960,Productos!$A$2:$A1001,Productos!BS$2:BS1001,"")*$G960,"")</f>
        <v/>
      </c>
    </row>
    <row r="961">
      <c r="A961" s="188"/>
      <c r="B961" s="189"/>
      <c r="C961" s="190"/>
      <c r="D961" s="190"/>
      <c r="E961" s="191"/>
      <c r="F961" s="186"/>
      <c r="G961" s="192"/>
      <c r="H961" s="9"/>
      <c r="I961" s="179" t="str">
        <f t="array" ref="I961">IF($F961&lt;&gt;"",XLOOKUP($F961,Productos!$A:$A,Productos!B:B,"Revisar"),"")</f>
        <v/>
      </c>
      <c r="J961" s="179" t="str">
        <f t="array" ref="J961">IF($F961&lt;&gt;"", XLOOKUP($F961,Productos!$A$2:$A1001,Productos!C$2:C1001,"")*$G961,"")</f>
        <v/>
      </c>
      <c r="K961" s="179" t="str">
        <f t="array" ref="K961">IF($F961&lt;&gt;"",XLOOKUP($F961,Productos!$A:$A,Productos!D:D,"Revisar"),"")</f>
        <v/>
      </c>
      <c r="L961" s="179" t="str">
        <f t="array" ref="L961">IF($F961&lt;&gt;"", XLOOKUP($F961,Productos!$A$2:$A1001,Productos!E$2:E1001,"")*$G961,"")</f>
        <v/>
      </c>
      <c r="M961" s="179" t="str">
        <f t="array" ref="M961">IF($F961&lt;&gt;"",XLOOKUP($F961,Productos!$A:$A,Productos!F:F,"Revisar"),"")</f>
        <v/>
      </c>
      <c r="N961" s="179" t="str">
        <f t="array" ref="N961">IF($F961&lt;&gt;"", XLOOKUP($F961,Productos!$A$2:$A1001,Productos!G$2:G1001,"")*$G961,"")</f>
        <v/>
      </c>
      <c r="O961" s="179" t="str">
        <f t="array" ref="O961">IF($F961&lt;&gt;"",XLOOKUP($F961,Productos!$A:$A,Productos!H:H,"Revisar"),"")</f>
        <v/>
      </c>
      <c r="P961" s="179" t="str">
        <f t="array" ref="P961">IF($F961&lt;&gt;"", XLOOKUP($F961,Productos!$A$2:$A1001,Productos!I$2:I1001,"")*$G961,"")</f>
        <v/>
      </c>
      <c r="Q961" s="179" t="str">
        <f t="array" ref="Q961">IF($F961&lt;&gt;"",XLOOKUP($F961,Productos!$A:$A,Productos!J:J,"Revisar"),"")</f>
        <v/>
      </c>
      <c r="R961" s="179" t="str">
        <f t="array" ref="R961">IF($F961&lt;&gt;"", XLOOKUP($F961,Productos!$A$2:$A1001,Productos!K$2:K1001,"")*$G961,"")</f>
        <v/>
      </c>
      <c r="S961" s="179" t="str">
        <f t="array" ref="S961">IF($F961&lt;&gt;"",XLOOKUP($F961,Productos!$A:$A,Productos!L:L,"Revisar"),"")</f>
        <v/>
      </c>
      <c r="T961" s="179" t="str">
        <f t="array" ref="T961">IF($F961&lt;&gt;"", XLOOKUP($F961,Productos!$A$2:$A1001,Productos!M$2:M1001,"")*$G961,"")</f>
        <v/>
      </c>
      <c r="U961" s="179" t="str">
        <f t="array" ref="U961">IF($F961&lt;&gt;"",XLOOKUP($F961,Productos!$A:$A,Productos!N:N,"Revisar"),"")</f>
        <v/>
      </c>
      <c r="V961" s="179" t="str">
        <f t="array" ref="V961">IF($F961&lt;&gt;"", XLOOKUP($F961,Productos!$A$2:$A1001,Productos!O$2:O1001,"")*$G961,"")</f>
        <v/>
      </c>
      <c r="W961" s="179" t="str">
        <f t="array" ref="W961">IF($F961&lt;&gt;"",XLOOKUP($F961,Productos!$A:$A,Productos!P:P,"Revisar"),"")</f>
        <v/>
      </c>
      <c r="X961" s="179" t="str">
        <f t="array" ref="X961">IF($F961&lt;&gt;"", XLOOKUP($F961,Productos!$A$2:$A1001,Productos!Q$2:Q1001,"")*$G961,"")</f>
        <v/>
      </c>
      <c r="Y961" s="179" t="str">
        <f t="array" ref="Y961">IF($F961&lt;&gt;"",XLOOKUP($F961,Productos!$A:$A,Productos!R:R,"Revisar"),"")</f>
        <v/>
      </c>
      <c r="Z961" s="179" t="str">
        <f t="array" ref="Z961">IF($F961&lt;&gt;"", XLOOKUP($F961,Productos!$A$2:$A1001,Productos!S$2:S1001,"")*$G961,"")</f>
        <v/>
      </c>
      <c r="AA961" s="179" t="str">
        <f t="array" ref="AA961">IF($F961&lt;&gt;"",XLOOKUP($F961,Productos!$A:$A,Productos!T:T,"Revisar"),"")</f>
        <v/>
      </c>
      <c r="AB961" s="179" t="str">
        <f t="array" ref="AB961">IF($F961&lt;&gt;"", XLOOKUP($F961,Productos!$A$2:$A1001,Productos!U$2:U1001,"")*$G961,"")</f>
        <v/>
      </c>
      <c r="AC961" s="179" t="str">
        <f t="array" ref="AC961">IF($F961&lt;&gt;"",XLOOKUP($F961,Productos!$A:$A,Productos!V:V,"Revisar"),"")</f>
        <v/>
      </c>
      <c r="AD961" s="179" t="str">
        <f t="array" ref="AD961">IF($F961&lt;&gt;"", XLOOKUP($F961,Productos!$A$2:$A1001,Productos!W$2:W1001,"")*$G961,"")</f>
        <v/>
      </c>
      <c r="AE961" s="179" t="str">
        <f t="array" ref="AE961">IF($F961&lt;&gt;"",XLOOKUP($F961,Productos!$A:$A,Productos!X:X,"Revisar"),"")</f>
        <v/>
      </c>
      <c r="AF961" s="179" t="str">
        <f t="array" ref="AF961">IF($F961&lt;&gt;"", XLOOKUP($F961,Productos!$A$2:$A1001,Productos!Y$2:Y1001,"")*$G961,"")</f>
        <v/>
      </c>
      <c r="AG961" s="179" t="str">
        <f t="array" ref="AG961">IF($F961&lt;&gt;"",XLOOKUP($F961,Productos!$A:$A,Productos!Z:Z,"Revisar"),"")</f>
        <v/>
      </c>
      <c r="AH961" s="179" t="str">
        <f t="array" ref="AH961">IF($F961&lt;&gt;"", XLOOKUP($F961,Productos!$A$2:$A1001,Productos!AA$2:AA1001,"")*$G961,"")</f>
        <v/>
      </c>
      <c r="AI961" s="179" t="str">
        <f t="array" ref="AI961">IF($F961&lt;&gt;"",XLOOKUP($F961,Productos!$A:$A,Productos!AB:AB,"Revisar"),"")</f>
        <v/>
      </c>
      <c r="AJ961" s="179" t="str">
        <f t="array" ref="AJ961">IF($F961&lt;&gt;"", XLOOKUP($F961,Productos!$A$2:$A1001,Productos!AC$2:AC1001,"")*$G961,"")</f>
        <v/>
      </c>
      <c r="AK961" s="179" t="str">
        <f t="array" ref="AK961">IF($F961&lt;&gt;"",XLOOKUP($F961,Productos!$A:$A,Productos!AD:AD,"Revisar"),"")</f>
        <v/>
      </c>
      <c r="AL961" s="179" t="str">
        <f t="array" ref="AL961">IF($F961&lt;&gt;"", XLOOKUP($F961,Productos!$A$2:$A1001,Productos!AE$2:AE1001,"")*$G961,"")</f>
        <v/>
      </c>
      <c r="AM961" s="179" t="str">
        <f t="array" ref="AM961">IF($F961&lt;&gt;"",XLOOKUP($F961,Productos!$A:$A,Productos!AF:AF,"Revisar"),"")</f>
        <v/>
      </c>
      <c r="AN961" s="179" t="str">
        <f t="array" ref="AN961">IF($F961&lt;&gt;"", XLOOKUP($F961,Productos!$A$2:$A1001,Productos!AG$2:AG1001,"")*$G961,"")</f>
        <v/>
      </c>
      <c r="AO961" s="179" t="str">
        <f t="array" ref="AO961">IF($F961&lt;&gt;"",XLOOKUP($F961,Productos!$A:$A,Productos!AH:AH,"Revisar"),"")</f>
        <v/>
      </c>
      <c r="AP961" s="179" t="str">
        <f t="array" ref="AP961">IF($F961&lt;&gt;"", XLOOKUP($F961,Productos!$A$2:$A1001,Productos!AI$2:AI1001,"")*$G961,"")</f>
        <v/>
      </c>
      <c r="AQ961" s="179" t="str">
        <f t="array" ref="AQ961">IF($F961&lt;&gt;"",XLOOKUP($F961,Productos!$A:$A,Productos!AJ:AJ,"Revisar"),"")</f>
        <v/>
      </c>
      <c r="AR961" s="179" t="str">
        <f t="array" ref="AR961">IF($F961&lt;&gt;"", XLOOKUP($F961,Productos!$A$2:$A1001,Productos!AK$2:AK1001,"")*$G961,"")</f>
        <v/>
      </c>
      <c r="AS961" s="179" t="str">
        <f t="array" ref="AS961">IF($F961&lt;&gt;"",XLOOKUP($F961,Productos!$A:$A,Productos!AL:AL,"Revisar"),"")</f>
        <v/>
      </c>
      <c r="AT961" s="179" t="str">
        <f t="array" ref="AT961">IF($F961&lt;&gt;"", XLOOKUP($F961,Productos!$A$2:$A1001,Productos!AM$2:AM1001,"")*$G961,"")</f>
        <v/>
      </c>
      <c r="AU961" s="179" t="str">
        <f t="array" ref="AU961">IF($F961&lt;&gt;"",XLOOKUP($F961,Productos!$A:$A,Productos!AN:AN,"Revisar"),"")</f>
        <v/>
      </c>
      <c r="AV961" s="179" t="str">
        <f t="array" ref="AV961">IF($F961&lt;&gt;"", XLOOKUP($F961,Productos!$A$2:$A1001,Productos!AO$2:AO1001,"")*$G961,"")</f>
        <v/>
      </c>
      <c r="AW961" s="179" t="str">
        <f t="array" ref="AW961">IF($F961&lt;&gt;"",XLOOKUP($F961,Productos!$A:$A,Productos!AP:AP,"Revisar"),"")</f>
        <v/>
      </c>
      <c r="AX961" s="179" t="str">
        <f t="array" ref="AX961">IF($F961&lt;&gt;"", XLOOKUP($F961,Productos!$A$2:$A1001,Productos!AQ$2:AQ1001,"")*$G961,"")</f>
        <v/>
      </c>
      <c r="AY961" s="179" t="str">
        <f t="array" ref="AY961">IF($F961&lt;&gt;"",XLOOKUP($F961,Productos!$A:$A,Productos!AR:AR,"Revisar"),"")</f>
        <v/>
      </c>
      <c r="AZ961" s="179" t="str">
        <f t="array" ref="AZ961">IF($F961&lt;&gt;"", XLOOKUP($F961,Productos!$A$2:$A1001,Productos!AS$2:AS1001,"")*$G961,"")</f>
        <v/>
      </c>
      <c r="BA961" s="179" t="str">
        <f t="array" ref="BA961">IF($F961&lt;&gt;"",XLOOKUP($F961,Productos!$A:$A,Productos!AT:AT,"Revisar"),"")</f>
        <v/>
      </c>
      <c r="BB961" s="179" t="str">
        <f t="array" ref="BB961">IF($F961&lt;&gt;"", XLOOKUP($F961,Productos!$A$2:$A1001,Productos!AU$2:AU1001,"")*$G961,"")</f>
        <v/>
      </c>
      <c r="BC961" s="179" t="str">
        <f t="array" ref="BC961">IF($F961&lt;&gt;"",XLOOKUP($F961,Productos!$A:$A,Productos!AV:AV,"Revisar"),"")</f>
        <v/>
      </c>
      <c r="BD961" s="179" t="str">
        <f t="array" ref="BD961">IF($F961&lt;&gt;"", XLOOKUP($F961,Productos!$A$2:$A1001,Productos!AW$2:AW1001,"")*$G961,"")</f>
        <v/>
      </c>
      <c r="BE961" s="179" t="str">
        <f t="array" ref="BE961">IF($F961&lt;&gt;"",XLOOKUP($F961,Productos!$A:$A,Productos!AX:AX,"Revisar"),"")</f>
        <v/>
      </c>
      <c r="BF961" s="179" t="str">
        <f t="array" ref="BF961">IF($F961&lt;&gt;"", XLOOKUP($F961,Productos!$A$2:$A1001,Productos!AY$2:AY1001,"")*$G961,"")</f>
        <v/>
      </c>
      <c r="BG961" s="179" t="str">
        <f t="array" ref="BG961">IF($F961&lt;&gt;"",XLOOKUP($F961,Productos!$A:$A,Productos!AZ:AZ,"Revisar"),"")</f>
        <v/>
      </c>
      <c r="BH961" s="179" t="str">
        <f t="array" ref="BH961">IF($F961&lt;&gt;"", XLOOKUP($F961,Productos!$A$2:$A1001,Productos!BA$2:BA1001,"")*$G961,"")</f>
        <v/>
      </c>
      <c r="BI961" s="179" t="str">
        <f t="array" ref="BI961">IF($F961&lt;&gt;"",XLOOKUP($F961,Productos!$A:$A,Productos!BB:BB,"Revisar"),"")</f>
        <v/>
      </c>
      <c r="BJ961" s="179" t="str">
        <f t="array" ref="BJ961">IF($F961&lt;&gt;"", XLOOKUP($F961,Productos!$A$2:$A1001,Productos!BC$2:BC1001,"")*$G961,"")</f>
        <v/>
      </c>
      <c r="BK961" s="179" t="str">
        <f t="array" ref="BK961">IF($F961&lt;&gt;"",XLOOKUP($F961,Productos!$A:$A,Productos!BD:BD,"Revisar"),"")</f>
        <v/>
      </c>
      <c r="BL961" s="179" t="str">
        <f t="array" ref="BL961">IF($F961&lt;&gt;"", XLOOKUP($F961,Productos!$A$2:$A1001,Productos!BE$2:BE1001,"")*$G961,"")</f>
        <v/>
      </c>
      <c r="BM961" s="179" t="str">
        <f t="array" ref="BM961">IF($F961&lt;&gt;"",XLOOKUP($F961,Productos!$A:$A,Productos!BF:BF,"Revisar"),"")</f>
        <v/>
      </c>
      <c r="BN961" s="179" t="str">
        <f t="array" ref="BN961">IF($F961&lt;&gt;"", XLOOKUP($F961,Productos!$A$2:$A1001,Productos!BG$2:BG1001,"")*$G961,"")</f>
        <v/>
      </c>
      <c r="BO961" s="179" t="str">
        <f t="array" ref="BO961">IF($F961&lt;&gt;"",XLOOKUP($F961,Productos!$A:$A,Productos!BH:BH,"Revisar"),"")</f>
        <v/>
      </c>
      <c r="BP961" s="179" t="str">
        <f t="array" ref="BP961">IF($F961&lt;&gt;"", XLOOKUP($F961,Productos!$A$2:$A1001,Productos!BI$2:BI1001,"")*$G961,"")</f>
        <v/>
      </c>
      <c r="BQ961" s="179" t="str">
        <f t="array" ref="BQ961">IF($F961&lt;&gt;"",XLOOKUP($F961,Productos!$A:$A,Productos!BJ:BJ,"Revisar"),"")</f>
        <v/>
      </c>
      <c r="BR961" s="179" t="str">
        <f t="array" ref="BR961">IF($F961&lt;&gt;"", XLOOKUP($F961,Productos!$A$2:$A1001,Productos!BK$2:BK1001,"")*$G961,"")</f>
        <v/>
      </c>
      <c r="BS961" s="179" t="str">
        <f t="array" ref="BS961">IF($F961&lt;&gt;"",XLOOKUP($F961,Productos!$A:$A,Productos!BL:BL,"Revisar"),"")</f>
        <v/>
      </c>
      <c r="BT961" s="179" t="str">
        <f t="array" ref="BT961">IF($F961&lt;&gt;"", XLOOKUP($F961,Productos!$A$2:$A1001,Productos!BM$2:BM1001,"")*$G961,"")</f>
        <v/>
      </c>
      <c r="BU961" s="179" t="str">
        <f t="array" ref="BU961">IF($F961&lt;&gt;"",XLOOKUP($F961,Productos!$A:$A,Productos!BN:BN,"Revisar"),"")</f>
        <v/>
      </c>
      <c r="BV961" s="179" t="str">
        <f t="array" ref="BV961">IF($F961&lt;&gt;"", XLOOKUP($F961,Productos!$A$2:$A1001,Productos!BO$2:BO1001,"")*$G961,"")</f>
        <v/>
      </c>
      <c r="BW961" s="179" t="str">
        <f t="array" ref="BW961">IF($F961&lt;&gt;"",XLOOKUP($F961,Productos!$A:$A,Productos!BP:BP,"Revisar"),"")</f>
        <v/>
      </c>
      <c r="BX961" s="179" t="str">
        <f t="array" ref="BX961">IF($F961&lt;&gt;"", XLOOKUP($F961,Productos!$A$2:$A1001,Productos!BQ$2:BQ1001,"")*$G961,"")</f>
        <v/>
      </c>
      <c r="BY961" s="179" t="str">
        <f t="array" ref="BY961">IF($F961&lt;&gt;"",XLOOKUP($F961,Productos!$A:$A,Productos!BR:BR,"Revisar"),"")</f>
        <v/>
      </c>
      <c r="BZ961" s="179" t="str">
        <f t="array" ref="BZ961">IF($F961&lt;&gt;"", XLOOKUP($F961,Productos!$A$2:$A1001,Productos!BS$2:BS1001,"")*$G961,"")</f>
        <v/>
      </c>
    </row>
    <row r="962">
      <c r="A962" s="188"/>
      <c r="B962" s="189"/>
      <c r="C962" s="190"/>
      <c r="D962" s="190"/>
      <c r="E962" s="191"/>
      <c r="F962" s="186"/>
      <c r="G962" s="192"/>
      <c r="H962" s="9"/>
      <c r="I962" s="179" t="str">
        <f t="array" ref="I962">IF($F962&lt;&gt;"",XLOOKUP($F962,Productos!$A:$A,Productos!B:B,"Revisar"),"")</f>
        <v/>
      </c>
      <c r="J962" s="179" t="str">
        <f t="array" ref="J962">IF($F962&lt;&gt;"", XLOOKUP($F962,Productos!$A$2:$A1001,Productos!C$2:C1001,"")*$G962,"")</f>
        <v/>
      </c>
      <c r="K962" s="179" t="str">
        <f t="array" ref="K962">IF($F962&lt;&gt;"",XLOOKUP($F962,Productos!$A:$A,Productos!D:D,"Revisar"),"")</f>
        <v/>
      </c>
      <c r="L962" s="179" t="str">
        <f t="array" ref="L962">IF($F962&lt;&gt;"", XLOOKUP($F962,Productos!$A$2:$A1001,Productos!E$2:E1001,"")*$G962,"")</f>
        <v/>
      </c>
      <c r="M962" s="179" t="str">
        <f t="array" ref="M962">IF($F962&lt;&gt;"",XLOOKUP($F962,Productos!$A:$A,Productos!F:F,"Revisar"),"")</f>
        <v/>
      </c>
      <c r="N962" s="179" t="str">
        <f t="array" ref="N962">IF($F962&lt;&gt;"", XLOOKUP($F962,Productos!$A$2:$A1001,Productos!G$2:G1001,"")*$G962,"")</f>
        <v/>
      </c>
      <c r="O962" s="179" t="str">
        <f t="array" ref="O962">IF($F962&lt;&gt;"",XLOOKUP($F962,Productos!$A:$A,Productos!H:H,"Revisar"),"")</f>
        <v/>
      </c>
      <c r="P962" s="179" t="str">
        <f t="array" ref="P962">IF($F962&lt;&gt;"", XLOOKUP($F962,Productos!$A$2:$A1001,Productos!I$2:I1001,"")*$G962,"")</f>
        <v/>
      </c>
      <c r="Q962" s="179" t="str">
        <f t="array" ref="Q962">IF($F962&lt;&gt;"",XLOOKUP($F962,Productos!$A:$A,Productos!J:J,"Revisar"),"")</f>
        <v/>
      </c>
      <c r="R962" s="179" t="str">
        <f t="array" ref="R962">IF($F962&lt;&gt;"", XLOOKUP($F962,Productos!$A$2:$A1001,Productos!K$2:K1001,"")*$G962,"")</f>
        <v/>
      </c>
      <c r="S962" s="179" t="str">
        <f t="array" ref="S962">IF($F962&lt;&gt;"",XLOOKUP($F962,Productos!$A:$A,Productos!L:L,"Revisar"),"")</f>
        <v/>
      </c>
      <c r="T962" s="179" t="str">
        <f t="array" ref="T962">IF($F962&lt;&gt;"", XLOOKUP($F962,Productos!$A$2:$A1001,Productos!M$2:M1001,"")*$G962,"")</f>
        <v/>
      </c>
      <c r="U962" s="179" t="str">
        <f t="array" ref="U962">IF($F962&lt;&gt;"",XLOOKUP($F962,Productos!$A:$A,Productos!N:N,"Revisar"),"")</f>
        <v/>
      </c>
      <c r="V962" s="179" t="str">
        <f t="array" ref="V962">IF($F962&lt;&gt;"", XLOOKUP($F962,Productos!$A$2:$A1001,Productos!O$2:O1001,"")*$G962,"")</f>
        <v/>
      </c>
      <c r="W962" s="179" t="str">
        <f t="array" ref="W962">IF($F962&lt;&gt;"",XLOOKUP($F962,Productos!$A:$A,Productos!P:P,"Revisar"),"")</f>
        <v/>
      </c>
      <c r="X962" s="179" t="str">
        <f t="array" ref="X962">IF($F962&lt;&gt;"", XLOOKUP($F962,Productos!$A$2:$A1001,Productos!Q$2:Q1001,"")*$G962,"")</f>
        <v/>
      </c>
      <c r="Y962" s="179" t="str">
        <f t="array" ref="Y962">IF($F962&lt;&gt;"",XLOOKUP($F962,Productos!$A:$A,Productos!R:R,"Revisar"),"")</f>
        <v/>
      </c>
      <c r="Z962" s="179" t="str">
        <f t="array" ref="Z962">IF($F962&lt;&gt;"", XLOOKUP($F962,Productos!$A$2:$A1001,Productos!S$2:S1001,"")*$G962,"")</f>
        <v/>
      </c>
      <c r="AA962" s="179" t="str">
        <f t="array" ref="AA962">IF($F962&lt;&gt;"",XLOOKUP($F962,Productos!$A:$A,Productos!T:T,"Revisar"),"")</f>
        <v/>
      </c>
      <c r="AB962" s="179" t="str">
        <f t="array" ref="AB962">IF($F962&lt;&gt;"", XLOOKUP($F962,Productos!$A$2:$A1001,Productos!U$2:U1001,"")*$G962,"")</f>
        <v/>
      </c>
      <c r="AC962" s="179" t="str">
        <f t="array" ref="AC962">IF($F962&lt;&gt;"",XLOOKUP($F962,Productos!$A:$A,Productos!V:V,"Revisar"),"")</f>
        <v/>
      </c>
      <c r="AD962" s="179" t="str">
        <f t="array" ref="AD962">IF($F962&lt;&gt;"", XLOOKUP($F962,Productos!$A$2:$A1001,Productos!W$2:W1001,"")*$G962,"")</f>
        <v/>
      </c>
      <c r="AE962" s="179" t="str">
        <f t="array" ref="AE962">IF($F962&lt;&gt;"",XLOOKUP($F962,Productos!$A:$A,Productos!X:X,"Revisar"),"")</f>
        <v/>
      </c>
      <c r="AF962" s="179" t="str">
        <f t="array" ref="AF962">IF($F962&lt;&gt;"", XLOOKUP($F962,Productos!$A$2:$A1001,Productos!Y$2:Y1001,"")*$G962,"")</f>
        <v/>
      </c>
      <c r="AG962" s="179" t="str">
        <f t="array" ref="AG962">IF($F962&lt;&gt;"",XLOOKUP($F962,Productos!$A:$A,Productos!Z:Z,"Revisar"),"")</f>
        <v/>
      </c>
      <c r="AH962" s="179" t="str">
        <f t="array" ref="AH962">IF($F962&lt;&gt;"", XLOOKUP($F962,Productos!$A$2:$A1001,Productos!AA$2:AA1001,"")*$G962,"")</f>
        <v/>
      </c>
      <c r="AI962" s="179" t="str">
        <f t="array" ref="AI962">IF($F962&lt;&gt;"",XLOOKUP($F962,Productos!$A:$A,Productos!AB:AB,"Revisar"),"")</f>
        <v/>
      </c>
      <c r="AJ962" s="179" t="str">
        <f t="array" ref="AJ962">IF($F962&lt;&gt;"", XLOOKUP($F962,Productos!$A$2:$A1001,Productos!AC$2:AC1001,"")*$G962,"")</f>
        <v/>
      </c>
      <c r="AK962" s="179" t="str">
        <f t="array" ref="AK962">IF($F962&lt;&gt;"",XLOOKUP($F962,Productos!$A:$A,Productos!AD:AD,"Revisar"),"")</f>
        <v/>
      </c>
      <c r="AL962" s="179" t="str">
        <f t="array" ref="AL962">IF($F962&lt;&gt;"", XLOOKUP($F962,Productos!$A$2:$A1001,Productos!AE$2:AE1001,"")*$G962,"")</f>
        <v/>
      </c>
      <c r="AM962" s="179" t="str">
        <f t="array" ref="AM962">IF($F962&lt;&gt;"",XLOOKUP($F962,Productos!$A:$A,Productos!AF:AF,"Revisar"),"")</f>
        <v/>
      </c>
      <c r="AN962" s="179" t="str">
        <f t="array" ref="AN962">IF($F962&lt;&gt;"", XLOOKUP($F962,Productos!$A$2:$A1001,Productos!AG$2:AG1001,"")*$G962,"")</f>
        <v/>
      </c>
      <c r="AO962" s="179" t="str">
        <f t="array" ref="AO962">IF($F962&lt;&gt;"",XLOOKUP($F962,Productos!$A:$A,Productos!AH:AH,"Revisar"),"")</f>
        <v/>
      </c>
      <c r="AP962" s="179" t="str">
        <f t="array" ref="AP962">IF($F962&lt;&gt;"", XLOOKUP($F962,Productos!$A$2:$A1001,Productos!AI$2:AI1001,"")*$G962,"")</f>
        <v/>
      </c>
      <c r="AQ962" s="179" t="str">
        <f t="array" ref="AQ962">IF($F962&lt;&gt;"",XLOOKUP($F962,Productos!$A:$A,Productos!AJ:AJ,"Revisar"),"")</f>
        <v/>
      </c>
      <c r="AR962" s="179" t="str">
        <f t="array" ref="AR962">IF($F962&lt;&gt;"", XLOOKUP($F962,Productos!$A$2:$A1001,Productos!AK$2:AK1001,"")*$G962,"")</f>
        <v/>
      </c>
      <c r="AS962" s="179" t="str">
        <f t="array" ref="AS962">IF($F962&lt;&gt;"",XLOOKUP($F962,Productos!$A:$A,Productos!AL:AL,"Revisar"),"")</f>
        <v/>
      </c>
      <c r="AT962" s="179" t="str">
        <f t="array" ref="AT962">IF($F962&lt;&gt;"", XLOOKUP($F962,Productos!$A$2:$A1001,Productos!AM$2:AM1001,"")*$G962,"")</f>
        <v/>
      </c>
      <c r="AU962" s="179" t="str">
        <f t="array" ref="AU962">IF($F962&lt;&gt;"",XLOOKUP($F962,Productos!$A:$A,Productos!AN:AN,"Revisar"),"")</f>
        <v/>
      </c>
      <c r="AV962" s="179" t="str">
        <f t="array" ref="AV962">IF($F962&lt;&gt;"", XLOOKUP($F962,Productos!$A$2:$A1001,Productos!AO$2:AO1001,"")*$G962,"")</f>
        <v/>
      </c>
      <c r="AW962" s="179" t="str">
        <f t="array" ref="AW962">IF($F962&lt;&gt;"",XLOOKUP($F962,Productos!$A:$A,Productos!AP:AP,"Revisar"),"")</f>
        <v/>
      </c>
      <c r="AX962" s="179" t="str">
        <f t="array" ref="AX962">IF($F962&lt;&gt;"", XLOOKUP($F962,Productos!$A$2:$A1001,Productos!AQ$2:AQ1001,"")*$G962,"")</f>
        <v/>
      </c>
      <c r="AY962" s="179" t="str">
        <f t="array" ref="AY962">IF($F962&lt;&gt;"",XLOOKUP($F962,Productos!$A:$A,Productos!AR:AR,"Revisar"),"")</f>
        <v/>
      </c>
      <c r="AZ962" s="179" t="str">
        <f t="array" ref="AZ962">IF($F962&lt;&gt;"", XLOOKUP($F962,Productos!$A$2:$A1001,Productos!AS$2:AS1001,"")*$G962,"")</f>
        <v/>
      </c>
      <c r="BA962" s="179" t="str">
        <f t="array" ref="BA962">IF($F962&lt;&gt;"",XLOOKUP($F962,Productos!$A:$A,Productos!AT:AT,"Revisar"),"")</f>
        <v/>
      </c>
      <c r="BB962" s="179" t="str">
        <f t="array" ref="BB962">IF($F962&lt;&gt;"", XLOOKUP($F962,Productos!$A$2:$A1001,Productos!AU$2:AU1001,"")*$G962,"")</f>
        <v/>
      </c>
      <c r="BC962" s="179" t="str">
        <f t="array" ref="BC962">IF($F962&lt;&gt;"",XLOOKUP($F962,Productos!$A:$A,Productos!AV:AV,"Revisar"),"")</f>
        <v/>
      </c>
      <c r="BD962" s="179" t="str">
        <f t="array" ref="BD962">IF($F962&lt;&gt;"", XLOOKUP($F962,Productos!$A$2:$A1001,Productos!AW$2:AW1001,"")*$G962,"")</f>
        <v/>
      </c>
      <c r="BE962" s="179" t="str">
        <f t="array" ref="BE962">IF($F962&lt;&gt;"",XLOOKUP($F962,Productos!$A:$A,Productos!AX:AX,"Revisar"),"")</f>
        <v/>
      </c>
      <c r="BF962" s="179" t="str">
        <f t="array" ref="BF962">IF($F962&lt;&gt;"", XLOOKUP($F962,Productos!$A$2:$A1001,Productos!AY$2:AY1001,"")*$G962,"")</f>
        <v/>
      </c>
      <c r="BG962" s="179" t="str">
        <f t="array" ref="BG962">IF($F962&lt;&gt;"",XLOOKUP($F962,Productos!$A:$A,Productos!AZ:AZ,"Revisar"),"")</f>
        <v/>
      </c>
      <c r="BH962" s="179" t="str">
        <f t="array" ref="BH962">IF($F962&lt;&gt;"", XLOOKUP($F962,Productos!$A$2:$A1001,Productos!BA$2:BA1001,"")*$G962,"")</f>
        <v/>
      </c>
      <c r="BI962" s="179" t="str">
        <f t="array" ref="BI962">IF($F962&lt;&gt;"",XLOOKUP($F962,Productos!$A:$A,Productos!BB:BB,"Revisar"),"")</f>
        <v/>
      </c>
      <c r="BJ962" s="179" t="str">
        <f t="array" ref="BJ962">IF($F962&lt;&gt;"", XLOOKUP($F962,Productos!$A$2:$A1001,Productos!BC$2:BC1001,"")*$G962,"")</f>
        <v/>
      </c>
      <c r="BK962" s="179" t="str">
        <f t="array" ref="BK962">IF($F962&lt;&gt;"",XLOOKUP($F962,Productos!$A:$A,Productos!BD:BD,"Revisar"),"")</f>
        <v/>
      </c>
      <c r="BL962" s="179" t="str">
        <f t="array" ref="BL962">IF($F962&lt;&gt;"", XLOOKUP($F962,Productos!$A$2:$A1001,Productos!BE$2:BE1001,"")*$G962,"")</f>
        <v/>
      </c>
      <c r="BM962" s="179" t="str">
        <f t="array" ref="BM962">IF($F962&lt;&gt;"",XLOOKUP($F962,Productos!$A:$A,Productos!BF:BF,"Revisar"),"")</f>
        <v/>
      </c>
      <c r="BN962" s="179" t="str">
        <f t="array" ref="BN962">IF($F962&lt;&gt;"", XLOOKUP($F962,Productos!$A$2:$A1001,Productos!BG$2:BG1001,"")*$G962,"")</f>
        <v/>
      </c>
      <c r="BO962" s="179" t="str">
        <f t="array" ref="BO962">IF($F962&lt;&gt;"",XLOOKUP($F962,Productos!$A:$A,Productos!BH:BH,"Revisar"),"")</f>
        <v/>
      </c>
      <c r="BP962" s="179" t="str">
        <f t="array" ref="BP962">IF($F962&lt;&gt;"", XLOOKUP($F962,Productos!$A$2:$A1001,Productos!BI$2:BI1001,"")*$G962,"")</f>
        <v/>
      </c>
      <c r="BQ962" s="179" t="str">
        <f t="array" ref="BQ962">IF($F962&lt;&gt;"",XLOOKUP($F962,Productos!$A:$A,Productos!BJ:BJ,"Revisar"),"")</f>
        <v/>
      </c>
      <c r="BR962" s="179" t="str">
        <f t="array" ref="BR962">IF($F962&lt;&gt;"", XLOOKUP($F962,Productos!$A$2:$A1001,Productos!BK$2:BK1001,"")*$G962,"")</f>
        <v/>
      </c>
      <c r="BS962" s="179" t="str">
        <f t="array" ref="BS962">IF($F962&lt;&gt;"",XLOOKUP($F962,Productos!$A:$A,Productos!BL:BL,"Revisar"),"")</f>
        <v/>
      </c>
      <c r="BT962" s="179" t="str">
        <f t="array" ref="BT962">IF($F962&lt;&gt;"", XLOOKUP($F962,Productos!$A$2:$A1001,Productos!BM$2:BM1001,"")*$G962,"")</f>
        <v/>
      </c>
      <c r="BU962" s="179" t="str">
        <f t="array" ref="BU962">IF($F962&lt;&gt;"",XLOOKUP($F962,Productos!$A:$A,Productos!BN:BN,"Revisar"),"")</f>
        <v/>
      </c>
      <c r="BV962" s="179" t="str">
        <f t="array" ref="BV962">IF($F962&lt;&gt;"", XLOOKUP($F962,Productos!$A$2:$A1001,Productos!BO$2:BO1001,"")*$G962,"")</f>
        <v/>
      </c>
      <c r="BW962" s="179" t="str">
        <f t="array" ref="BW962">IF($F962&lt;&gt;"",XLOOKUP($F962,Productos!$A:$A,Productos!BP:BP,"Revisar"),"")</f>
        <v/>
      </c>
      <c r="BX962" s="179" t="str">
        <f t="array" ref="BX962">IF($F962&lt;&gt;"", XLOOKUP($F962,Productos!$A$2:$A1001,Productos!BQ$2:BQ1001,"")*$G962,"")</f>
        <v/>
      </c>
      <c r="BY962" s="179" t="str">
        <f t="array" ref="BY962">IF($F962&lt;&gt;"",XLOOKUP($F962,Productos!$A:$A,Productos!BR:BR,"Revisar"),"")</f>
        <v/>
      </c>
      <c r="BZ962" s="179" t="str">
        <f t="array" ref="BZ962">IF($F962&lt;&gt;"", XLOOKUP($F962,Productos!$A$2:$A1001,Productos!BS$2:BS1001,"")*$G962,"")</f>
        <v/>
      </c>
    </row>
    <row r="963">
      <c r="A963" s="188"/>
      <c r="B963" s="189"/>
      <c r="C963" s="190"/>
      <c r="D963" s="190"/>
      <c r="E963" s="191"/>
      <c r="F963" s="186"/>
      <c r="G963" s="192"/>
      <c r="H963" s="9"/>
      <c r="I963" s="179" t="str">
        <f t="array" ref="I963">IF($F963&lt;&gt;"",XLOOKUP($F963,Productos!$A:$A,Productos!B:B,"Revisar"),"")</f>
        <v/>
      </c>
      <c r="J963" s="179" t="str">
        <f t="array" ref="J963">IF($F963&lt;&gt;"", XLOOKUP($F963,Productos!$A$2:$A1001,Productos!C$2:C1001,"")*$G963,"")</f>
        <v/>
      </c>
      <c r="K963" s="179" t="str">
        <f t="array" ref="K963">IF($F963&lt;&gt;"",XLOOKUP($F963,Productos!$A:$A,Productos!D:D,"Revisar"),"")</f>
        <v/>
      </c>
      <c r="L963" s="179" t="str">
        <f t="array" ref="L963">IF($F963&lt;&gt;"", XLOOKUP($F963,Productos!$A$2:$A1001,Productos!E$2:E1001,"")*$G963,"")</f>
        <v/>
      </c>
      <c r="M963" s="179" t="str">
        <f t="array" ref="M963">IF($F963&lt;&gt;"",XLOOKUP($F963,Productos!$A:$A,Productos!F:F,"Revisar"),"")</f>
        <v/>
      </c>
      <c r="N963" s="179" t="str">
        <f t="array" ref="N963">IF($F963&lt;&gt;"", XLOOKUP($F963,Productos!$A$2:$A1001,Productos!G$2:G1001,"")*$G963,"")</f>
        <v/>
      </c>
      <c r="O963" s="179" t="str">
        <f t="array" ref="O963">IF($F963&lt;&gt;"",XLOOKUP($F963,Productos!$A:$A,Productos!H:H,"Revisar"),"")</f>
        <v/>
      </c>
      <c r="P963" s="179" t="str">
        <f t="array" ref="P963">IF($F963&lt;&gt;"", XLOOKUP($F963,Productos!$A$2:$A1001,Productos!I$2:I1001,"")*$G963,"")</f>
        <v/>
      </c>
      <c r="Q963" s="179" t="str">
        <f t="array" ref="Q963">IF($F963&lt;&gt;"",XLOOKUP($F963,Productos!$A:$A,Productos!J:J,"Revisar"),"")</f>
        <v/>
      </c>
      <c r="R963" s="179" t="str">
        <f t="array" ref="R963">IF($F963&lt;&gt;"", XLOOKUP($F963,Productos!$A$2:$A1001,Productos!K$2:K1001,"")*$G963,"")</f>
        <v/>
      </c>
      <c r="S963" s="179" t="str">
        <f t="array" ref="S963">IF($F963&lt;&gt;"",XLOOKUP($F963,Productos!$A:$A,Productos!L:L,"Revisar"),"")</f>
        <v/>
      </c>
      <c r="T963" s="179" t="str">
        <f t="array" ref="T963">IF($F963&lt;&gt;"", XLOOKUP($F963,Productos!$A$2:$A1001,Productos!M$2:M1001,"")*$G963,"")</f>
        <v/>
      </c>
      <c r="U963" s="179" t="str">
        <f t="array" ref="U963">IF($F963&lt;&gt;"",XLOOKUP($F963,Productos!$A:$A,Productos!N:N,"Revisar"),"")</f>
        <v/>
      </c>
      <c r="V963" s="179" t="str">
        <f t="array" ref="V963">IF($F963&lt;&gt;"", XLOOKUP($F963,Productos!$A$2:$A1001,Productos!O$2:O1001,"")*$G963,"")</f>
        <v/>
      </c>
      <c r="W963" s="179" t="str">
        <f t="array" ref="W963">IF($F963&lt;&gt;"",XLOOKUP($F963,Productos!$A:$A,Productos!P:P,"Revisar"),"")</f>
        <v/>
      </c>
      <c r="X963" s="179" t="str">
        <f t="array" ref="X963">IF($F963&lt;&gt;"", XLOOKUP($F963,Productos!$A$2:$A1001,Productos!Q$2:Q1001,"")*$G963,"")</f>
        <v/>
      </c>
      <c r="Y963" s="179" t="str">
        <f t="array" ref="Y963">IF($F963&lt;&gt;"",XLOOKUP($F963,Productos!$A:$A,Productos!R:R,"Revisar"),"")</f>
        <v/>
      </c>
      <c r="Z963" s="179" t="str">
        <f t="array" ref="Z963">IF($F963&lt;&gt;"", XLOOKUP($F963,Productos!$A$2:$A1001,Productos!S$2:S1001,"")*$G963,"")</f>
        <v/>
      </c>
      <c r="AA963" s="179" t="str">
        <f t="array" ref="AA963">IF($F963&lt;&gt;"",XLOOKUP($F963,Productos!$A:$A,Productos!T:T,"Revisar"),"")</f>
        <v/>
      </c>
      <c r="AB963" s="179" t="str">
        <f t="array" ref="AB963">IF($F963&lt;&gt;"", XLOOKUP($F963,Productos!$A$2:$A1001,Productos!U$2:U1001,"")*$G963,"")</f>
        <v/>
      </c>
      <c r="AC963" s="179" t="str">
        <f t="array" ref="AC963">IF($F963&lt;&gt;"",XLOOKUP($F963,Productos!$A:$A,Productos!V:V,"Revisar"),"")</f>
        <v/>
      </c>
      <c r="AD963" s="179" t="str">
        <f t="array" ref="AD963">IF($F963&lt;&gt;"", XLOOKUP($F963,Productos!$A$2:$A1001,Productos!W$2:W1001,"")*$G963,"")</f>
        <v/>
      </c>
      <c r="AE963" s="179" t="str">
        <f t="array" ref="AE963">IF($F963&lt;&gt;"",XLOOKUP($F963,Productos!$A:$A,Productos!X:X,"Revisar"),"")</f>
        <v/>
      </c>
      <c r="AF963" s="179" t="str">
        <f t="array" ref="AF963">IF($F963&lt;&gt;"", XLOOKUP($F963,Productos!$A$2:$A1001,Productos!Y$2:Y1001,"")*$G963,"")</f>
        <v/>
      </c>
      <c r="AG963" s="179" t="str">
        <f t="array" ref="AG963">IF($F963&lt;&gt;"",XLOOKUP($F963,Productos!$A:$A,Productos!Z:Z,"Revisar"),"")</f>
        <v/>
      </c>
      <c r="AH963" s="179" t="str">
        <f t="array" ref="AH963">IF($F963&lt;&gt;"", XLOOKUP($F963,Productos!$A$2:$A1001,Productos!AA$2:AA1001,"")*$G963,"")</f>
        <v/>
      </c>
      <c r="AI963" s="179" t="str">
        <f t="array" ref="AI963">IF($F963&lt;&gt;"",XLOOKUP($F963,Productos!$A:$A,Productos!AB:AB,"Revisar"),"")</f>
        <v/>
      </c>
      <c r="AJ963" s="179" t="str">
        <f t="array" ref="AJ963">IF($F963&lt;&gt;"", XLOOKUP($F963,Productos!$A$2:$A1001,Productos!AC$2:AC1001,"")*$G963,"")</f>
        <v/>
      </c>
      <c r="AK963" s="179" t="str">
        <f t="array" ref="AK963">IF($F963&lt;&gt;"",XLOOKUP($F963,Productos!$A:$A,Productos!AD:AD,"Revisar"),"")</f>
        <v/>
      </c>
      <c r="AL963" s="179" t="str">
        <f t="array" ref="AL963">IF($F963&lt;&gt;"", XLOOKUP($F963,Productos!$A$2:$A1001,Productos!AE$2:AE1001,"")*$G963,"")</f>
        <v/>
      </c>
      <c r="AM963" s="179" t="str">
        <f t="array" ref="AM963">IF($F963&lt;&gt;"",XLOOKUP($F963,Productos!$A:$A,Productos!AF:AF,"Revisar"),"")</f>
        <v/>
      </c>
      <c r="AN963" s="179" t="str">
        <f t="array" ref="AN963">IF($F963&lt;&gt;"", XLOOKUP($F963,Productos!$A$2:$A1001,Productos!AG$2:AG1001,"")*$G963,"")</f>
        <v/>
      </c>
      <c r="AO963" s="179" t="str">
        <f t="array" ref="AO963">IF($F963&lt;&gt;"",XLOOKUP($F963,Productos!$A:$A,Productos!AH:AH,"Revisar"),"")</f>
        <v/>
      </c>
      <c r="AP963" s="179" t="str">
        <f t="array" ref="AP963">IF($F963&lt;&gt;"", XLOOKUP($F963,Productos!$A$2:$A1001,Productos!AI$2:AI1001,"")*$G963,"")</f>
        <v/>
      </c>
      <c r="AQ963" s="179" t="str">
        <f t="array" ref="AQ963">IF($F963&lt;&gt;"",XLOOKUP($F963,Productos!$A:$A,Productos!AJ:AJ,"Revisar"),"")</f>
        <v/>
      </c>
      <c r="AR963" s="179" t="str">
        <f t="array" ref="AR963">IF($F963&lt;&gt;"", XLOOKUP($F963,Productos!$A$2:$A1001,Productos!AK$2:AK1001,"")*$G963,"")</f>
        <v/>
      </c>
      <c r="AS963" s="179" t="str">
        <f t="array" ref="AS963">IF($F963&lt;&gt;"",XLOOKUP($F963,Productos!$A:$A,Productos!AL:AL,"Revisar"),"")</f>
        <v/>
      </c>
      <c r="AT963" s="179" t="str">
        <f t="array" ref="AT963">IF($F963&lt;&gt;"", XLOOKUP($F963,Productos!$A$2:$A1001,Productos!AM$2:AM1001,"")*$G963,"")</f>
        <v/>
      </c>
      <c r="AU963" s="179" t="str">
        <f t="array" ref="AU963">IF($F963&lt;&gt;"",XLOOKUP($F963,Productos!$A:$A,Productos!AN:AN,"Revisar"),"")</f>
        <v/>
      </c>
      <c r="AV963" s="179" t="str">
        <f t="array" ref="AV963">IF($F963&lt;&gt;"", XLOOKUP($F963,Productos!$A$2:$A1001,Productos!AO$2:AO1001,"")*$G963,"")</f>
        <v/>
      </c>
      <c r="AW963" s="179" t="str">
        <f t="array" ref="AW963">IF($F963&lt;&gt;"",XLOOKUP($F963,Productos!$A:$A,Productos!AP:AP,"Revisar"),"")</f>
        <v/>
      </c>
      <c r="AX963" s="179" t="str">
        <f t="array" ref="AX963">IF($F963&lt;&gt;"", XLOOKUP($F963,Productos!$A$2:$A1001,Productos!AQ$2:AQ1001,"")*$G963,"")</f>
        <v/>
      </c>
      <c r="AY963" s="179" t="str">
        <f t="array" ref="AY963">IF($F963&lt;&gt;"",XLOOKUP($F963,Productos!$A:$A,Productos!AR:AR,"Revisar"),"")</f>
        <v/>
      </c>
      <c r="AZ963" s="179" t="str">
        <f t="array" ref="AZ963">IF($F963&lt;&gt;"", XLOOKUP($F963,Productos!$A$2:$A1001,Productos!AS$2:AS1001,"")*$G963,"")</f>
        <v/>
      </c>
      <c r="BA963" s="179" t="str">
        <f t="array" ref="BA963">IF($F963&lt;&gt;"",XLOOKUP($F963,Productos!$A:$A,Productos!AT:AT,"Revisar"),"")</f>
        <v/>
      </c>
      <c r="BB963" s="179" t="str">
        <f t="array" ref="BB963">IF($F963&lt;&gt;"", XLOOKUP($F963,Productos!$A$2:$A1001,Productos!AU$2:AU1001,"")*$G963,"")</f>
        <v/>
      </c>
      <c r="BC963" s="179" t="str">
        <f t="array" ref="BC963">IF($F963&lt;&gt;"",XLOOKUP($F963,Productos!$A:$A,Productos!AV:AV,"Revisar"),"")</f>
        <v/>
      </c>
      <c r="BD963" s="179" t="str">
        <f t="array" ref="BD963">IF($F963&lt;&gt;"", XLOOKUP($F963,Productos!$A$2:$A1001,Productos!AW$2:AW1001,"")*$G963,"")</f>
        <v/>
      </c>
      <c r="BE963" s="179" t="str">
        <f t="array" ref="BE963">IF($F963&lt;&gt;"",XLOOKUP($F963,Productos!$A:$A,Productos!AX:AX,"Revisar"),"")</f>
        <v/>
      </c>
      <c r="BF963" s="179" t="str">
        <f t="array" ref="BF963">IF($F963&lt;&gt;"", XLOOKUP($F963,Productos!$A$2:$A1001,Productos!AY$2:AY1001,"")*$G963,"")</f>
        <v/>
      </c>
      <c r="BG963" s="179" t="str">
        <f t="array" ref="BG963">IF($F963&lt;&gt;"",XLOOKUP($F963,Productos!$A:$A,Productos!AZ:AZ,"Revisar"),"")</f>
        <v/>
      </c>
      <c r="BH963" s="179" t="str">
        <f t="array" ref="BH963">IF($F963&lt;&gt;"", XLOOKUP($F963,Productos!$A$2:$A1001,Productos!BA$2:BA1001,"")*$G963,"")</f>
        <v/>
      </c>
      <c r="BI963" s="179" t="str">
        <f t="array" ref="BI963">IF($F963&lt;&gt;"",XLOOKUP($F963,Productos!$A:$A,Productos!BB:BB,"Revisar"),"")</f>
        <v/>
      </c>
      <c r="BJ963" s="179" t="str">
        <f t="array" ref="BJ963">IF($F963&lt;&gt;"", XLOOKUP($F963,Productos!$A$2:$A1001,Productos!BC$2:BC1001,"")*$G963,"")</f>
        <v/>
      </c>
      <c r="BK963" s="179" t="str">
        <f t="array" ref="BK963">IF($F963&lt;&gt;"",XLOOKUP($F963,Productos!$A:$A,Productos!BD:BD,"Revisar"),"")</f>
        <v/>
      </c>
      <c r="BL963" s="179" t="str">
        <f t="array" ref="BL963">IF($F963&lt;&gt;"", XLOOKUP($F963,Productos!$A$2:$A1001,Productos!BE$2:BE1001,"")*$G963,"")</f>
        <v/>
      </c>
      <c r="BM963" s="179" t="str">
        <f t="array" ref="BM963">IF($F963&lt;&gt;"",XLOOKUP($F963,Productos!$A:$A,Productos!BF:BF,"Revisar"),"")</f>
        <v/>
      </c>
      <c r="BN963" s="179" t="str">
        <f t="array" ref="BN963">IF($F963&lt;&gt;"", XLOOKUP($F963,Productos!$A$2:$A1001,Productos!BG$2:BG1001,"")*$G963,"")</f>
        <v/>
      </c>
      <c r="BO963" s="179" t="str">
        <f t="array" ref="BO963">IF($F963&lt;&gt;"",XLOOKUP($F963,Productos!$A:$A,Productos!BH:BH,"Revisar"),"")</f>
        <v/>
      </c>
      <c r="BP963" s="179" t="str">
        <f t="array" ref="BP963">IF($F963&lt;&gt;"", XLOOKUP($F963,Productos!$A$2:$A1001,Productos!BI$2:BI1001,"")*$G963,"")</f>
        <v/>
      </c>
      <c r="BQ963" s="179" t="str">
        <f t="array" ref="BQ963">IF($F963&lt;&gt;"",XLOOKUP($F963,Productos!$A:$A,Productos!BJ:BJ,"Revisar"),"")</f>
        <v/>
      </c>
      <c r="BR963" s="179" t="str">
        <f t="array" ref="BR963">IF($F963&lt;&gt;"", XLOOKUP($F963,Productos!$A$2:$A1001,Productos!BK$2:BK1001,"")*$G963,"")</f>
        <v/>
      </c>
      <c r="BS963" s="179" t="str">
        <f t="array" ref="BS963">IF($F963&lt;&gt;"",XLOOKUP($F963,Productos!$A:$A,Productos!BL:BL,"Revisar"),"")</f>
        <v/>
      </c>
      <c r="BT963" s="179" t="str">
        <f t="array" ref="BT963">IF($F963&lt;&gt;"", XLOOKUP($F963,Productos!$A$2:$A1001,Productos!BM$2:BM1001,"")*$G963,"")</f>
        <v/>
      </c>
      <c r="BU963" s="179" t="str">
        <f t="array" ref="BU963">IF($F963&lt;&gt;"",XLOOKUP($F963,Productos!$A:$A,Productos!BN:BN,"Revisar"),"")</f>
        <v/>
      </c>
      <c r="BV963" s="179" t="str">
        <f t="array" ref="BV963">IF($F963&lt;&gt;"", XLOOKUP($F963,Productos!$A$2:$A1001,Productos!BO$2:BO1001,"")*$G963,"")</f>
        <v/>
      </c>
      <c r="BW963" s="179" t="str">
        <f t="array" ref="BW963">IF($F963&lt;&gt;"",XLOOKUP($F963,Productos!$A:$A,Productos!BP:BP,"Revisar"),"")</f>
        <v/>
      </c>
      <c r="BX963" s="179" t="str">
        <f t="array" ref="BX963">IF($F963&lt;&gt;"", XLOOKUP($F963,Productos!$A$2:$A1001,Productos!BQ$2:BQ1001,"")*$G963,"")</f>
        <v/>
      </c>
      <c r="BY963" s="179" t="str">
        <f t="array" ref="BY963">IF($F963&lt;&gt;"",XLOOKUP($F963,Productos!$A:$A,Productos!BR:BR,"Revisar"),"")</f>
        <v/>
      </c>
      <c r="BZ963" s="179" t="str">
        <f t="array" ref="BZ963">IF($F963&lt;&gt;"", XLOOKUP($F963,Productos!$A$2:$A1001,Productos!BS$2:BS1001,"")*$G963,"")</f>
        <v/>
      </c>
    </row>
    <row r="964">
      <c r="A964" s="188"/>
      <c r="B964" s="189"/>
      <c r="C964" s="190"/>
      <c r="D964" s="190"/>
      <c r="E964" s="191"/>
      <c r="F964" s="186"/>
      <c r="G964" s="192"/>
      <c r="H964" s="9"/>
      <c r="I964" s="179" t="str">
        <f t="array" ref="I964">IF($F964&lt;&gt;"",XLOOKUP($F964,Productos!$A:$A,Productos!B:B,"Revisar"),"")</f>
        <v/>
      </c>
      <c r="J964" s="179" t="str">
        <f t="array" ref="J964">IF($F964&lt;&gt;"", XLOOKUP($F964,Productos!$A$2:$A1001,Productos!C$2:C1001,"")*$G964,"")</f>
        <v/>
      </c>
      <c r="K964" s="179" t="str">
        <f t="array" ref="K964">IF($F964&lt;&gt;"",XLOOKUP($F964,Productos!$A:$A,Productos!D:D,"Revisar"),"")</f>
        <v/>
      </c>
      <c r="L964" s="179" t="str">
        <f t="array" ref="L964">IF($F964&lt;&gt;"", XLOOKUP($F964,Productos!$A$2:$A1001,Productos!E$2:E1001,"")*$G964,"")</f>
        <v/>
      </c>
      <c r="M964" s="179" t="str">
        <f t="array" ref="M964">IF($F964&lt;&gt;"",XLOOKUP($F964,Productos!$A:$A,Productos!F:F,"Revisar"),"")</f>
        <v/>
      </c>
      <c r="N964" s="179" t="str">
        <f t="array" ref="N964">IF($F964&lt;&gt;"", XLOOKUP($F964,Productos!$A$2:$A1001,Productos!G$2:G1001,"")*$G964,"")</f>
        <v/>
      </c>
      <c r="O964" s="179" t="str">
        <f t="array" ref="O964">IF($F964&lt;&gt;"",XLOOKUP($F964,Productos!$A:$A,Productos!H:H,"Revisar"),"")</f>
        <v/>
      </c>
      <c r="P964" s="179" t="str">
        <f t="array" ref="P964">IF($F964&lt;&gt;"", XLOOKUP($F964,Productos!$A$2:$A1001,Productos!I$2:I1001,"")*$G964,"")</f>
        <v/>
      </c>
      <c r="Q964" s="179" t="str">
        <f t="array" ref="Q964">IF($F964&lt;&gt;"",XLOOKUP($F964,Productos!$A:$A,Productos!J:J,"Revisar"),"")</f>
        <v/>
      </c>
      <c r="R964" s="179" t="str">
        <f t="array" ref="R964">IF($F964&lt;&gt;"", XLOOKUP($F964,Productos!$A$2:$A1001,Productos!K$2:K1001,"")*$G964,"")</f>
        <v/>
      </c>
      <c r="S964" s="179" t="str">
        <f t="array" ref="S964">IF($F964&lt;&gt;"",XLOOKUP($F964,Productos!$A:$A,Productos!L:L,"Revisar"),"")</f>
        <v/>
      </c>
      <c r="T964" s="179" t="str">
        <f t="array" ref="T964">IF($F964&lt;&gt;"", XLOOKUP($F964,Productos!$A$2:$A1001,Productos!M$2:M1001,"")*$G964,"")</f>
        <v/>
      </c>
      <c r="U964" s="179" t="str">
        <f t="array" ref="U964">IF($F964&lt;&gt;"",XLOOKUP($F964,Productos!$A:$A,Productos!N:N,"Revisar"),"")</f>
        <v/>
      </c>
      <c r="V964" s="179" t="str">
        <f t="array" ref="V964">IF($F964&lt;&gt;"", XLOOKUP($F964,Productos!$A$2:$A1001,Productos!O$2:O1001,"")*$G964,"")</f>
        <v/>
      </c>
      <c r="W964" s="179" t="str">
        <f t="array" ref="W964">IF($F964&lt;&gt;"",XLOOKUP($F964,Productos!$A:$A,Productos!P:P,"Revisar"),"")</f>
        <v/>
      </c>
      <c r="X964" s="179" t="str">
        <f t="array" ref="X964">IF($F964&lt;&gt;"", XLOOKUP($F964,Productos!$A$2:$A1001,Productos!Q$2:Q1001,"")*$G964,"")</f>
        <v/>
      </c>
      <c r="Y964" s="179" t="str">
        <f t="array" ref="Y964">IF($F964&lt;&gt;"",XLOOKUP($F964,Productos!$A:$A,Productos!R:R,"Revisar"),"")</f>
        <v/>
      </c>
      <c r="Z964" s="179" t="str">
        <f t="array" ref="Z964">IF($F964&lt;&gt;"", XLOOKUP($F964,Productos!$A$2:$A1001,Productos!S$2:S1001,"")*$G964,"")</f>
        <v/>
      </c>
      <c r="AA964" s="179" t="str">
        <f t="array" ref="AA964">IF($F964&lt;&gt;"",XLOOKUP($F964,Productos!$A:$A,Productos!T:T,"Revisar"),"")</f>
        <v/>
      </c>
      <c r="AB964" s="179" t="str">
        <f t="array" ref="AB964">IF($F964&lt;&gt;"", XLOOKUP($F964,Productos!$A$2:$A1001,Productos!U$2:U1001,"")*$G964,"")</f>
        <v/>
      </c>
      <c r="AC964" s="179" t="str">
        <f t="array" ref="AC964">IF($F964&lt;&gt;"",XLOOKUP($F964,Productos!$A:$A,Productos!V:V,"Revisar"),"")</f>
        <v/>
      </c>
      <c r="AD964" s="179" t="str">
        <f t="array" ref="AD964">IF($F964&lt;&gt;"", XLOOKUP($F964,Productos!$A$2:$A1001,Productos!W$2:W1001,"")*$G964,"")</f>
        <v/>
      </c>
      <c r="AE964" s="179" t="str">
        <f t="array" ref="AE964">IF($F964&lt;&gt;"",XLOOKUP($F964,Productos!$A:$A,Productos!X:X,"Revisar"),"")</f>
        <v/>
      </c>
      <c r="AF964" s="179" t="str">
        <f t="array" ref="AF964">IF($F964&lt;&gt;"", XLOOKUP($F964,Productos!$A$2:$A1001,Productos!Y$2:Y1001,"")*$G964,"")</f>
        <v/>
      </c>
      <c r="AG964" s="179" t="str">
        <f t="array" ref="AG964">IF($F964&lt;&gt;"",XLOOKUP($F964,Productos!$A:$A,Productos!Z:Z,"Revisar"),"")</f>
        <v/>
      </c>
      <c r="AH964" s="179" t="str">
        <f t="array" ref="AH964">IF($F964&lt;&gt;"", XLOOKUP($F964,Productos!$A$2:$A1001,Productos!AA$2:AA1001,"")*$G964,"")</f>
        <v/>
      </c>
      <c r="AI964" s="179" t="str">
        <f t="array" ref="AI964">IF($F964&lt;&gt;"",XLOOKUP($F964,Productos!$A:$A,Productos!AB:AB,"Revisar"),"")</f>
        <v/>
      </c>
      <c r="AJ964" s="179" t="str">
        <f t="array" ref="AJ964">IF($F964&lt;&gt;"", XLOOKUP($F964,Productos!$A$2:$A1001,Productos!AC$2:AC1001,"")*$G964,"")</f>
        <v/>
      </c>
      <c r="AK964" s="179" t="str">
        <f t="array" ref="AK964">IF($F964&lt;&gt;"",XLOOKUP($F964,Productos!$A:$A,Productos!AD:AD,"Revisar"),"")</f>
        <v/>
      </c>
      <c r="AL964" s="179" t="str">
        <f t="array" ref="AL964">IF($F964&lt;&gt;"", XLOOKUP($F964,Productos!$A$2:$A1001,Productos!AE$2:AE1001,"")*$G964,"")</f>
        <v/>
      </c>
      <c r="AM964" s="179" t="str">
        <f t="array" ref="AM964">IF($F964&lt;&gt;"",XLOOKUP($F964,Productos!$A:$A,Productos!AF:AF,"Revisar"),"")</f>
        <v/>
      </c>
      <c r="AN964" s="179" t="str">
        <f t="array" ref="AN964">IF($F964&lt;&gt;"", XLOOKUP($F964,Productos!$A$2:$A1001,Productos!AG$2:AG1001,"")*$G964,"")</f>
        <v/>
      </c>
      <c r="AO964" s="179" t="str">
        <f t="array" ref="AO964">IF($F964&lt;&gt;"",XLOOKUP($F964,Productos!$A:$A,Productos!AH:AH,"Revisar"),"")</f>
        <v/>
      </c>
      <c r="AP964" s="179" t="str">
        <f t="array" ref="AP964">IF($F964&lt;&gt;"", XLOOKUP($F964,Productos!$A$2:$A1001,Productos!AI$2:AI1001,"")*$G964,"")</f>
        <v/>
      </c>
      <c r="AQ964" s="179" t="str">
        <f t="array" ref="AQ964">IF($F964&lt;&gt;"",XLOOKUP($F964,Productos!$A:$A,Productos!AJ:AJ,"Revisar"),"")</f>
        <v/>
      </c>
      <c r="AR964" s="179" t="str">
        <f t="array" ref="AR964">IF($F964&lt;&gt;"", XLOOKUP($F964,Productos!$A$2:$A1001,Productos!AK$2:AK1001,"")*$G964,"")</f>
        <v/>
      </c>
      <c r="AS964" s="179" t="str">
        <f t="array" ref="AS964">IF($F964&lt;&gt;"",XLOOKUP($F964,Productos!$A:$A,Productos!AL:AL,"Revisar"),"")</f>
        <v/>
      </c>
      <c r="AT964" s="179" t="str">
        <f t="array" ref="AT964">IF($F964&lt;&gt;"", XLOOKUP($F964,Productos!$A$2:$A1001,Productos!AM$2:AM1001,"")*$G964,"")</f>
        <v/>
      </c>
      <c r="AU964" s="179" t="str">
        <f t="array" ref="AU964">IF($F964&lt;&gt;"",XLOOKUP($F964,Productos!$A:$A,Productos!AN:AN,"Revisar"),"")</f>
        <v/>
      </c>
      <c r="AV964" s="179" t="str">
        <f t="array" ref="AV964">IF($F964&lt;&gt;"", XLOOKUP($F964,Productos!$A$2:$A1001,Productos!AO$2:AO1001,"")*$G964,"")</f>
        <v/>
      </c>
      <c r="AW964" s="179" t="str">
        <f t="array" ref="AW964">IF($F964&lt;&gt;"",XLOOKUP($F964,Productos!$A:$A,Productos!AP:AP,"Revisar"),"")</f>
        <v/>
      </c>
      <c r="AX964" s="179" t="str">
        <f t="array" ref="AX964">IF($F964&lt;&gt;"", XLOOKUP($F964,Productos!$A$2:$A1001,Productos!AQ$2:AQ1001,"")*$G964,"")</f>
        <v/>
      </c>
      <c r="AY964" s="179" t="str">
        <f t="array" ref="AY964">IF($F964&lt;&gt;"",XLOOKUP($F964,Productos!$A:$A,Productos!AR:AR,"Revisar"),"")</f>
        <v/>
      </c>
      <c r="AZ964" s="179" t="str">
        <f t="array" ref="AZ964">IF($F964&lt;&gt;"", XLOOKUP($F964,Productos!$A$2:$A1001,Productos!AS$2:AS1001,"")*$G964,"")</f>
        <v/>
      </c>
      <c r="BA964" s="179" t="str">
        <f t="array" ref="BA964">IF($F964&lt;&gt;"",XLOOKUP($F964,Productos!$A:$A,Productos!AT:AT,"Revisar"),"")</f>
        <v/>
      </c>
      <c r="BB964" s="179" t="str">
        <f t="array" ref="BB964">IF($F964&lt;&gt;"", XLOOKUP($F964,Productos!$A$2:$A1001,Productos!AU$2:AU1001,"")*$G964,"")</f>
        <v/>
      </c>
      <c r="BC964" s="179" t="str">
        <f t="array" ref="BC964">IF($F964&lt;&gt;"",XLOOKUP($F964,Productos!$A:$A,Productos!AV:AV,"Revisar"),"")</f>
        <v/>
      </c>
      <c r="BD964" s="179" t="str">
        <f t="array" ref="BD964">IF($F964&lt;&gt;"", XLOOKUP($F964,Productos!$A$2:$A1001,Productos!AW$2:AW1001,"")*$G964,"")</f>
        <v/>
      </c>
      <c r="BE964" s="179" t="str">
        <f t="array" ref="BE964">IF($F964&lt;&gt;"",XLOOKUP($F964,Productos!$A:$A,Productos!AX:AX,"Revisar"),"")</f>
        <v/>
      </c>
      <c r="BF964" s="179" t="str">
        <f t="array" ref="BF964">IF($F964&lt;&gt;"", XLOOKUP($F964,Productos!$A$2:$A1001,Productos!AY$2:AY1001,"")*$G964,"")</f>
        <v/>
      </c>
      <c r="BG964" s="179" t="str">
        <f t="array" ref="BG964">IF($F964&lt;&gt;"",XLOOKUP($F964,Productos!$A:$A,Productos!AZ:AZ,"Revisar"),"")</f>
        <v/>
      </c>
      <c r="BH964" s="179" t="str">
        <f t="array" ref="BH964">IF($F964&lt;&gt;"", XLOOKUP($F964,Productos!$A$2:$A1001,Productos!BA$2:BA1001,"")*$G964,"")</f>
        <v/>
      </c>
      <c r="BI964" s="179" t="str">
        <f t="array" ref="BI964">IF($F964&lt;&gt;"",XLOOKUP($F964,Productos!$A:$A,Productos!BB:BB,"Revisar"),"")</f>
        <v/>
      </c>
      <c r="BJ964" s="179" t="str">
        <f t="array" ref="BJ964">IF($F964&lt;&gt;"", XLOOKUP($F964,Productos!$A$2:$A1001,Productos!BC$2:BC1001,"")*$G964,"")</f>
        <v/>
      </c>
      <c r="BK964" s="179" t="str">
        <f t="array" ref="BK964">IF($F964&lt;&gt;"",XLOOKUP($F964,Productos!$A:$A,Productos!BD:BD,"Revisar"),"")</f>
        <v/>
      </c>
      <c r="BL964" s="179" t="str">
        <f t="array" ref="BL964">IF($F964&lt;&gt;"", XLOOKUP($F964,Productos!$A$2:$A1001,Productos!BE$2:BE1001,"")*$G964,"")</f>
        <v/>
      </c>
      <c r="BM964" s="179" t="str">
        <f t="array" ref="BM964">IF($F964&lt;&gt;"",XLOOKUP($F964,Productos!$A:$A,Productos!BF:BF,"Revisar"),"")</f>
        <v/>
      </c>
      <c r="BN964" s="179" t="str">
        <f t="array" ref="BN964">IF($F964&lt;&gt;"", XLOOKUP($F964,Productos!$A$2:$A1001,Productos!BG$2:BG1001,"")*$G964,"")</f>
        <v/>
      </c>
      <c r="BO964" s="179" t="str">
        <f t="array" ref="BO964">IF($F964&lt;&gt;"",XLOOKUP($F964,Productos!$A:$A,Productos!BH:BH,"Revisar"),"")</f>
        <v/>
      </c>
      <c r="BP964" s="179" t="str">
        <f t="array" ref="BP964">IF($F964&lt;&gt;"", XLOOKUP($F964,Productos!$A$2:$A1001,Productos!BI$2:BI1001,"")*$G964,"")</f>
        <v/>
      </c>
      <c r="BQ964" s="179" t="str">
        <f t="array" ref="BQ964">IF($F964&lt;&gt;"",XLOOKUP($F964,Productos!$A:$A,Productos!BJ:BJ,"Revisar"),"")</f>
        <v/>
      </c>
      <c r="BR964" s="179" t="str">
        <f t="array" ref="BR964">IF($F964&lt;&gt;"", XLOOKUP($F964,Productos!$A$2:$A1001,Productos!BK$2:BK1001,"")*$G964,"")</f>
        <v/>
      </c>
      <c r="BS964" s="179" t="str">
        <f t="array" ref="BS964">IF($F964&lt;&gt;"",XLOOKUP($F964,Productos!$A:$A,Productos!BL:BL,"Revisar"),"")</f>
        <v/>
      </c>
      <c r="BT964" s="179" t="str">
        <f t="array" ref="BT964">IF($F964&lt;&gt;"", XLOOKUP($F964,Productos!$A$2:$A1001,Productos!BM$2:BM1001,"")*$G964,"")</f>
        <v/>
      </c>
      <c r="BU964" s="179" t="str">
        <f t="array" ref="BU964">IF($F964&lt;&gt;"",XLOOKUP($F964,Productos!$A:$A,Productos!BN:BN,"Revisar"),"")</f>
        <v/>
      </c>
      <c r="BV964" s="179" t="str">
        <f t="array" ref="BV964">IF($F964&lt;&gt;"", XLOOKUP($F964,Productos!$A$2:$A1001,Productos!BO$2:BO1001,"")*$G964,"")</f>
        <v/>
      </c>
      <c r="BW964" s="179" t="str">
        <f t="array" ref="BW964">IF($F964&lt;&gt;"",XLOOKUP($F964,Productos!$A:$A,Productos!BP:BP,"Revisar"),"")</f>
        <v/>
      </c>
      <c r="BX964" s="179" t="str">
        <f t="array" ref="BX964">IF($F964&lt;&gt;"", XLOOKUP($F964,Productos!$A$2:$A1001,Productos!BQ$2:BQ1001,"")*$G964,"")</f>
        <v/>
      </c>
      <c r="BY964" s="179" t="str">
        <f t="array" ref="BY964">IF($F964&lt;&gt;"",XLOOKUP($F964,Productos!$A:$A,Productos!BR:BR,"Revisar"),"")</f>
        <v/>
      </c>
      <c r="BZ964" s="179" t="str">
        <f t="array" ref="BZ964">IF($F964&lt;&gt;"", XLOOKUP($F964,Productos!$A$2:$A1001,Productos!BS$2:BS1001,"")*$G964,"")</f>
        <v/>
      </c>
    </row>
    <row r="965">
      <c r="A965" s="188"/>
      <c r="B965" s="189"/>
      <c r="C965" s="190"/>
      <c r="D965" s="190"/>
      <c r="E965" s="191"/>
      <c r="F965" s="186"/>
      <c r="G965" s="192"/>
      <c r="H965" s="9"/>
      <c r="I965" s="179" t="str">
        <f t="array" ref="I965">IF($F965&lt;&gt;"",XLOOKUP($F965,Productos!$A:$A,Productos!B:B,"Revisar"),"")</f>
        <v/>
      </c>
      <c r="J965" s="179" t="str">
        <f t="array" ref="J965">IF($F965&lt;&gt;"", XLOOKUP($F965,Productos!$A$2:$A1001,Productos!C$2:C1001,"")*$G965,"")</f>
        <v/>
      </c>
      <c r="K965" s="179" t="str">
        <f t="array" ref="K965">IF($F965&lt;&gt;"",XLOOKUP($F965,Productos!$A:$A,Productos!D:D,"Revisar"),"")</f>
        <v/>
      </c>
      <c r="L965" s="179" t="str">
        <f t="array" ref="L965">IF($F965&lt;&gt;"", XLOOKUP($F965,Productos!$A$2:$A1001,Productos!E$2:E1001,"")*$G965,"")</f>
        <v/>
      </c>
      <c r="M965" s="179" t="str">
        <f t="array" ref="M965">IF($F965&lt;&gt;"",XLOOKUP($F965,Productos!$A:$A,Productos!F:F,"Revisar"),"")</f>
        <v/>
      </c>
      <c r="N965" s="179" t="str">
        <f t="array" ref="N965">IF($F965&lt;&gt;"", XLOOKUP($F965,Productos!$A$2:$A1001,Productos!G$2:G1001,"")*$G965,"")</f>
        <v/>
      </c>
      <c r="O965" s="179" t="str">
        <f t="array" ref="O965">IF($F965&lt;&gt;"",XLOOKUP($F965,Productos!$A:$A,Productos!H:H,"Revisar"),"")</f>
        <v/>
      </c>
      <c r="P965" s="179" t="str">
        <f t="array" ref="P965">IF($F965&lt;&gt;"", XLOOKUP($F965,Productos!$A$2:$A1001,Productos!I$2:I1001,"")*$G965,"")</f>
        <v/>
      </c>
      <c r="Q965" s="179" t="str">
        <f t="array" ref="Q965">IF($F965&lt;&gt;"",XLOOKUP($F965,Productos!$A:$A,Productos!J:J,"Revisar"),"")</f>
        <v/>
      </c>
      <c r="R965" s="179" t="str">
        <f t="array" ref="R965">IF($F965&lt;&gt;"", XLOOKUP($F965,Productos!$A$2:$A1001,Productos!K$2:K1001,"")*$G965,"")</f>
        <v/>
      </c>
      <c r="S965" s="179" t="str">
        <f t="array" ref="S965">IF($F965&lt;&gt;"",XLOOKUP($F965,Productos!$A:$A,Productos!L:L,"Revisar"),"")</f>
        <v/>
      </c>
      <c r="T965" s="179" t="str">
        <f t="array" ref="T965">IF($F965&lt;&gt;"", XLOOKUP($F965,Productos!$A$2:$A1001,Productos!M$2:M1001,"")*$G965,"")</f>
        <v/>
      </c>
      <c r="U965" s="179" t="str">
        <f t="array" ref="U965">IF($F965&lt;&gt;"",XLOOKUP($F965,Productos!$A:$A,Productos!N:N,"Revisar"),"")</f>
        <v/>
      </c>
      <c r="V965" s="179" t="str">
        <f t="array" ref="V965">IF($F965&lt;&gt;"", XLOOKUP($F965,Productos!$A$2:$A1001,Productos!O$2:O1001,"")*$G965,"")</f>
        <v/>
      </c>
      <c r="W965" s="179" t="str">
        <f t="array" ref="W965">IF($F965&lt;&gt;"",XLOOKUP($F965,Productos!$A:$A,Productos!P:P,"Revisar"),"")</f>
        <v/>
      </c>
      <c r="X965" s="179" t="str">
        <f t="array" ref="X965">IF($F965&lt;&gt;"", XLOOKUP($F965,Productos!$A$2:$A1001,Productos!Q$2:Q1001,"")*$G965,"")</f>
        <v/>
      </c>
      <c r="Y965" s="179" t="str">
        <f t="array" ref="Y965">IF($F965&lt;&gt;"",XLOOKUP($F965,Productos!$A:$A,Productos!R:R,"Revisar"),"")</f>
        <v/>
      </c>
      <c r="Z965" s="179" t="str">
        <f t="array" ref="Z965">IF($F965&lt;&gt;"", XLOOKUP($F965,Productos!$A$2:$A1001,Productos!S$2:S1001,"")*$G965,"")</f>
        <v/>
      </c>
      <c r="AA965" s="179" t="str">
        <f t="array" ref="AA965">IF($F965&lt;&gt;"",XLOOKUP($F965,Productos!$A:$A,Productos!T:T,"Revisar"),"")</f>
        <v/>
      </c>
      <c r="AB965" s="179" t="str">
        <f t="array" ref="AB965">IF($F965&lt;&gt;"", XLOOKUP($F965,Productos!$A$2:$A1001,Productos!U$2:U1001,"")*$G965,"")</f>
        <v/>
      </c>
      <c r="AC965" s="179" t="str">
        <f t="array" ref="AC965">IF($F965&lt;&gt;"",XLOOKUP($F965,Productos!$A:$A,Productos!V:V,"Revisar"),"")</f>
        <v/>
      </c>
      <c r="AD965" s="179" t="str">
        <f t="array" ref="AD965">IF($F965&lt;&gt;"", XLOOKUP($F965,Productos!$A$2:$A1001,Productos!W$2:W1001,"")*$G965,"")</f>
        <v/>
      </c>
      <c r="AE965" s="179" t="str">
        <f t="array" ref="AE965">IF($F965&lt;&gt;"",XLOOKUP($F965,Productos!$A:$A,Productos!X:X,"Revisar"),"")</f>
        <v/>
      </c>
      <c r="AF965" s="179" t="str">
        <f t="array" ref="AF965">IF($F965&lt;&gt;"", XLOOKUP($F965,Productos!$A$2:$A1001,Productos!Y$2:Y1001,"")*$G965,"")</f>
        <v/>
      </c>
      <c r="AG965" s="179" t="str">
        <f t="array" ref="AG965">IF($F965&lt;&gt;"",XLOOKUP($F965,Productos!$A:$A,Productos!Z:Z,"Revisar"),"")</f>
        <v/>
      </c>
      <c r="AH965" s="179" t="str">
        <f t="array" ref="AH965">IF($F965&lt;&gt;"", XLOOKUP($F965,Productos!$A$2:$A1001,Productos!AA$2:AA1001,"")*$G965,"")</f>
        <v/>
      </c>
      <c r="AI965" s="179" t="str">
        <f t="array" ref="AI965">IF($F965&lt;&gt;"",XLOOKUP($F965,Productos!$A:$A,Productos!AB:AB,"Revisar"),"")</f>
        <v/>
      </c>
      <c r="AJ965" s="179" t="str">
        <f t="array" ref="AJ965">IF($F965&lt;&gt;"", XLOOKUP($F965,Productos!$A$2:$A1001,Productos!AC$2:AC1001,"")*$G965,"")</f>
        <v/>
      </c>
      <c r="AK965" s="179" t="str">
        <f t="array" ref="AK965">IF($F965&lt;&gt;"",XLOOKUP($F965,Productos!$A:$A,Productos!AD:AD,"Revisar"),"")</f>
        <v/>
      </c>
      <c r="AL965" s="179" t="str">
        <f t="array" ref="AL965">IF($F965&lt;&gt;"", XLOOKUP($F965,Productos!$A$2:$A1001,Productos!AE$2:AE1001,"")*$G965,"")</f>
        <v/>
      </c>
      <c r="AM965" s="179" t="str">
        <f t="array" ref="AM965">IF($F965&lt;&gt;"",XLOOKUP($F965,Productos!$A:$A,Productos!AF:AF,"Revisar"),"")</f>
        <v/>
      </c>
      <c r="AN965" s="179" t="str">
        <f t="array" ref="AN965">IF($F965&lt;&gt;"", XLOOKUP($F965,Productos!$A$2:$A1001,Productos!AG$2:AG1001,"")*$G965,"")</f>
        <v/>
      </c>
      <c r="AO965" s="179" t="str">
        <f t="array" ref="AO965">IF($F965&lt;&gt;"",XLOOKUP($F965,Productos!$A:$A,Productos!AH:AH,"Revisar"),"")</f>
        <v/>
      </c>
      <c r="AP965" s="179" t="str">
        <f t="array" ref="AP965">IF($F965&lt;&gt;"", XLOOKUP($F965,Productos!$A$2:$A1001,Productos!AI$2:AI1001,"")*$G965,"")</f>
        <v/>
      </c>
      <c r="AQ965" s="179" t="str">
        <f t="array" ref="AQ965">IF($F965&lt;&gt;"",XLOOKUP($F965,Productos!$A:$A,Productos!AJ:AJ,"Revisar"),"")</f>
        <v/>
      </c>
      <c r="AR965" s="179" t="str">
        <f t="array" ref="AR965">IF($F965&lt;&gt;"", XLOOKUP($F965,Productos!$A$2:$A1001,Productos!AK$2:AK1001,"")*$G965,"")</f>
        <v/>
      </c>
      <c r="AS965" s="179" t="str">
        <f t="array" ref="AS965">IF($F965&lt;&gt;"",XLOOKUP($F965,Productos!$A:$A,Productos!AL:AL,"Revisar"),"")</f>
        <v/>
      </c>
      <c r="AT965" s="179" t="str">
        <f t="array" ref="AT965">IF($F965&lt;&gt;"", XLOOKUP($F965,Productos!$A$2:$A1001,Productos!AM$2:AM1001,"")*$G965,"")</f>
        <v/>
      </c>
      <c r="AU965" s="179" t="str">
        <f t="array" ref="AU965">IF($F965&lt;&gt;"",XLOOKUP($F965,Productos!$A:$A,Productos!AN:AN,"Revisar"),"")</f>
        <v/>
      </c>
      <c r="AV965" s="179" t="str">
        <f t="array" ref="AV965">IF($F965&lt;&gt;"", XLOOKUP($F965,Productos!$A$2:$A1001,Productos!AO$2:AO1001,"")*$G965,"")</f>
        <v/>
      </c>
      <c r="AW965" s="179" t="str">
        <f t="array" ref="AW965">IF($F965&lt;&gt;"",XLOOKUP($F965,Productos!$A:$A,Productos!AP:AP,"Revisar"),"")</f>
        <v/>
      </c>
      <c r="AX965" s="179" t="str">
        <f t="array" ref="AX965">IF($F965&lt;&gt;"", XLOOKUP($F965,Productos!$A$2:$A1001,Productos!AQ$2:AQ1001,"")*$G965,"")</f>
        <v/>
      </c>
      <c r="AY965" s="179" t="str">
        <f t="array" ref="AY965">IF($F965&lt;&gt;"",XLOOKUP($F965,Productos!$A:$A,Productos!AR:AR,"Revisar"),"")</f>
        <v/>
      </c>
      <c r="AZ965" s="179" t="str">
        <f t="array" ref="AZ965">IF($F965&lt;&gt;"", XLOOKUP($F965,Productos!$A$2:$A1001,Productos!AS$2:AS1001,"")*$G965,"")</f>
        <v/>
      </c>
      <c r="BA965" s="179" t="str">
        <f t="array" ref="BA965">IF($F965&lt;&gt;"",XLOOKUP($F965,Productos!$A:$A,Productos!AT:AT,"Revisar"),"")</f>
        <v/>
      </c>
      <c r="BB965" s="179" t="str">
        <f t="array" ref="BB965">IF($F965&lt;&gt;"", XLOOKUP($F965,Productos!$A$2:$A1001,Productos!AU$2:AU1001,"")*$G965,"")</f>
        <v/>
      </c>
      <c r="BC965" s="179" t="str">
        <f t="array" ref="BC965">IF($F965&lt;&gt;"",XLOOKUP($F965,Productos!$A:$A,Productos!AV:AV,"Revisar"),"")</f>
        <v/>
      </c>
      <c r="BD965" s="179" t="str">
        <f t="array" ref="BD965">IF($F965&lt;&gt;"", XLOOKUP($F965,Productos!$A$2:$A1001,Productos!AW$2:AW1001,"")*$G965,"")</f>
        <v/>
      </c>
      <c r="BE965" s="179" t="str">
        <f t="array" ref="BE965">IF($F965&lt;&gt;"",XLOOKUP($F965,Productos!$A:$A,Productos!AX:AX,"Revisar"),"")</f>
        <v/>
      </c>
      <c r="BF965" s="179" t="str">
        <f t="array" ref="BF965">IF($F965&lt;&gt;"", XLOOKUP($F965,Productos!$A$2:$A1001,Productos!AY$2:AY1001,"")*$G965,"")</f>
        <v/>
      </c>
      <c r="BG965" s="179" t="str">
        <f t="array" ref="BG965">IF($F965&lt;&gt;"",XLOOKUP($F965,Productos!$A:$A,Productos!AZ:AZ,"Revisar"),"")</f>
        <v/>
      </c>
      <c r="BH965" s="179" t="str">
        <f t="array" ref="BH965">IF($F965&lt;&gt;"", XLOOKUP($F965,Productos!$A$2:$A1001,Productos!BA$2:BA1001,"")*$G965,"")</f>
        <v/>
      </c>
      <c r="BI965" s="179" t="str">
        <f t="array" ref="BI965">IF($F965&lt;&gt;"",XLOOKUP($F965,Productos!$A:$A,Productos!BB:BB,"Revisar"),"")</f>
        <v/>
      </c>
      <c r="BJ965" s="179" t="str">
        <f t="array" ref="BJ965">IF($F965&lt;&gt;"", XLOOKUP($F965,Productos!$A$2:$A1001,Productos!BC$2:BC1001,"")*$G965,"")</f>
        <v/>
      </c>
      <c r="BK965" s="179" t="str">
        <f t="array" ref="BK965">IF($F965&lt;&gt;"",XLOOKUP($F965,Productos!$A:$A,Productos!BD:BD,"Revisar"),"")</f>
        <v/>
      </c>
      <c r="BL965" s="179" t="str">
        <f t="array" ref="BL965">IF($F965&lt;&gt;"", XLOOKUP($F965,Productos!$A$2:$A1001,Productos!BE$2:BE1001,"")*$G965,"")</f>
        <v/>
      </c>
      <c r="BM965" s="179" t="str">
        <f t="array" ref="BM965">IF($F965&lt;&gt;"",XLOOKUP($F965,Productos!$A:$A,Productos!BF:BF,"Revisar"),"")</f>
        <v/>
      </c>
      <c r="BN965" s="179" t="str">
        <f t="array" ref="BN965">IF($F965&lt;&gt;"", XLOOKUP($F965,Productos!$A$2:$A1001,Productos!BG$2:BG1001,"")*$G965,"")</f>
        <v/>
      </c>
      <c r="BO965" s="179" t="str">
        <f t="array" ref="BO965">IF($F965&lt;&gt;"",XLOOKUP($F965,Productos!$A:$A,Productos!BH:BH,"Revisar"),"")</f>
        <v/>
      </c>
      <c r="BP965" s="179" t="str">
        <f t="array" ref="BP965">IF($F965&lt;&gt;"", XLOOKUP($F965,Productos!$A$2:$A1001,Productos!BI$2:BI1001,"")*$G965,"")</f>
        <v/>
      </c>
      <c r="BQ965" s="179" t="str">
        <f t="array" ref="BQ965">IF($F965&lt;&gt;"",XLOOKUP($F965,Productos!$A:$A,Productos!BJ:BJ,"Revisar"),"")</f>
        <v/>
      </c>
      <c r="BR965" s="179" t="str">
        <f t="array" ref="BR965">IF($F965&lt;&gt;"", XLOOKUP($F965,Productos!$A$2:$A1001,Productos!BK$2:BK1001,"")*$G965,"")</f>
        <v/>
      </c>
      <c r="BS965" s="179" t="str">
        <f t="array" ref="BS965">IF($F965&lt;&gt;"",XLOOKUP($F965,Productos!$A:$A,Productos!BL:BL,"Revisar"),"")</f>
        <v/>
      </c>
      <c r="BT965" s="179" t="str">
        <f t="array" ref="BT965">IF($F965&lt;&gt;"", XLOOKUP($F965,Productos!$A$2:$A1001,Productos!BM$2:BM1001,"")*$G965,"")</f>
        <v/>
      </c>
      <c r="BU965" s="179" t="str">
        <f t="array" ref="BU965">IF($F965&lt;&gt;"",XLOOKUP($F965,Productos!$A:$A,Productos!BN:BN,"Revisar"),"")</f>
        <v/>
      </c>
      <c r="BV965" s="179" t="str">
        <f t="array" ref="BV965">IF($F965&lt;&gt;"", XLOOKUP($F965,Productos!$A$2:$A1001,Productos!BO$2:BO1001,"")*$G965,"")</f>
        <v/>
      </c>
      <c r="BW965" s="179" t="str">
        <f t="array" ref="BW965">IF($F965&lt;&gt;"",XLOOKUP($F965,Productos!$A:$A,Productos!BP:BP,"Revisar"),"")</f>
        <v/>
      </c>
      <c r="BX965" s="179" t="str">
        <f t="array" ref="BX965">IF($F965&lt;&gt;"", XLOOKUP($F965,Productos!$A$2:$A1001,Productos!BQ$2:BQ1001,"")*$G965,"")</f>
        <v/>
      </c>
      <c r="BY965" s="179" t="str">
        <f t="array" ref="BY965">IF($F965&lt;&gt;"",XLOOKUP($F965,Productos!$A:$A,Productos!BR:BR,"Revisar"),"")</f>
        <v/>
      </c>
      <c r="BZ965" s="179" t="str">
        <f t="array" ref="BZ965">IF($F965&lt;&gt;"", XLOOKUP($F965,Productos!$A$2:$A1001,Productos!BS$2:BS1001,"")*$G965,"")</f>
        <v/>
      </c>
    </row>
    <row r="966">
      <c r="A966" s="188"/>
      <c r="B966" s="189"/>
      <c r="C966" s="190"/>
      <c r="D966" s="190"/>
      <c r="E966" s="191"/>
      <c r="F966" s="186"/>
      <c r="G966" s="192"/>
      <c r="H966" s="9"/>
      <c r="I966" s="179" t="str">
        <f t="array" ref="I966">IF($F966&lt;&gt;"",XLOOKUP($F966,Productos!$A:$A,Productos!B:B,"Revisar"),"")</f>
        <v/>
      </c>
      <c r="J966" s="179" t="str">
        <f t="array" ref="J966">IF($F966&lt;&gt;"", XLOOKUP($F966,Productos!$A$2:$A1001,Productos!C$2:C1001,"")*$G966,"")</f>
        <v/>
      </c>
      <c r="K966" s="179" t="str">
        <f t="array" ref="K966">IF($F966&lt;&gt;"",XLOOKUP($F966,Productos!$A:$A,Productos!D:D,"Revisar"),"")</f>
        <v/>
      </c>
      <c r="L966" s="179" t="str">
        <f t="array" ref="L966">IF($F966&lt;&gt;"", XLOOKUP($F966,Productos!$A$2:$A1001,Productos!E$2:E1001,"")*$G966,"")</f>
        <v/>
      </c>
      <c r="M966" s="179" t="str">
        <f t="array" ref="M966">IF($F966&lt;&gt;"",XLOOKUP($F966,Productos!$A:$A,Productos!F:F,"Revisar"),"")</f>
        <v/>
      </c>
      <c r="N966" s="179" t="str">
        <f t="array" ref="N966">IF($F966&lt;&gt;"", XLOOKUP($F966,Productos!$A$2:$A1001,Productos!G$2:G1001,"")*$G966,"")</f>
        <v/>
      </c>
      <c r="O966" s="179" t="str">
        <f t="array" ref="O966">IF($F966&lt;&gt;"",XLOOKUP($F966,Productos!$A:$A,Productos!H:H,"Revisar"),"")</f>
        <v/>
      </c>
      <c r="P966" s="179" t="str">
        <f t="array" ref="P966">IF($F966&lt;&gt;"", XLOOKUP($F966,Productos!$A$2:$A1001,Productos!I$2:I1001,"")*$G966,"")</f>
        <v/>
      </c>
      <c r="Q966" s="179" t="str">
        <f t="array" ref="Q966">IF($F966&lt;&gt;"",XLOOKUP($F966,Productos!$A:$A,Productos!J:J,"Revisar"),"")</f>
        <v/>
      </c>
      <c r="R966" s="179" t="str">
        <f t="array" ref="R966">IF($F966&lt;&gt;"", XLOOKUP($F966,Productos!$A$2:$A1001,Productos!K$2:K1001,"")*$G966,"")</f>
        <v/>
      </c>
      <c r="S966" s="179" t="str">
        <f t="array" ref="S966">IF($F966&lt;&gt;"",XLOOKUP($F966,Productos!$A:$A,Productos!L:L,"Revisar"),"")</f>
        <v/>
      </c>
      <c r="T966" s="179" t="str">
        <f t="array" ref="T966">IF($F966&lt;&gt;"", XLOOKUP($F966,Productos!$A$2:$A1001,Productos!M$2:M1001,"")*$G966,"")</f>
        <v/>
      </c>
      <c r="U966" s="179" t="str">
        <f t="array" ref="U966">IF($F966&lt;&gt;"",XLOOKUP($F966,Productos!$A:$A,Productos!N:N,"Revisar"),"")</f>
        <v/>
      </c>
      <c r="V966" s="179" t="str">
        <f t="array" ref="V966">IF($F966&lt;&gt;"", XLOOKUP($F966,Productos!$A$2:$A1001,Productos!O$2:O1001,"")*$G966,"")</f>
        <v/>
      </c>
      <c r="W966" s="179" t="str">
        <f t="array" ref="W966">IF($F966&lt;&gt;"",XLOOKUP($F966,Productos!$A:$A,Productos!P:P,"Revisar"),"")</f>
        <v/>
      </c>
      <c r="X966" s="179" t="str">
        <f t="array" ref="X966">IF($F966&lt;&gt;"", XLOOKUP($F966,Productos!$A$2:$A1001,Productos!Q$2:Q1001,"")*$G966,"")</f>
        <v/>
      </c>
      <c r="Y966" s="179" t="str">
        <f t="array" ref="Y966">IF($F966&lt;&gt;"",XLOOKUP($F966,Productos!$A:$A,Productos!R:R,"Revisar"),"")</f>
        <v/>
      </c>
      <c r="Z966" s="179" t="str">
        <f t="array" ref="Z966">IF($F966&lt;&gt;"", XLOOKUP($F966,Productos!$A$2:$A1001,Productos!S$2:S1001,"")*$G966,"")</f>
        <v/>
      </c>
      <c r="AA966" s="179" t="str">
        <f t="array" ref="AA966">IF($F966&lt;&gt;"",XLOOKUP($F966,Productos!$A:$A,Productos!T:T,"Revisar"),"")</f>
        <v/>
      </c>
      <c r="AB966" s="179" t="str">
        <f t="array" ref="AB966">IF($F966&lt;&gt;"", XLOOKUP($F966,Productos!$A$2:$A1001,Productos!U$2:U1001,"")*$G966,"")</f>
        <v/>
      </c>
      <c r="AC966" s="179" t="str">
        <f t="array" ref="AC966">IF($F966&lt;&gt;"",XLOOKUP($F966,Productos!$A:$A,Productos!V:V,"Revisar"),"")</f>
        <v/>
      </c>
      <c r="AD966" s="179" t="str">
        <f t="array" ref="AD966">IF($F966&lt;&gt;"", XLOOKUP($F966,Productos!$A$2:$A1001,Productos!W$2:W1001,"")*$G966,"")</f>
        <v/>
      </c>
      <c r="AE966" s="179" t="str">
        <f t="array" ref="AE966">IF($F966&lt;&gt;"",XLOOKUP($F966,Productos!$A:$A,Productos!X:X,"Revisar"),"")</f>
        <v/>
      </c>
      <c r="AF966" s="179" t="str">
        <f t="array" ref="AF966">IF($F966&lt;&gt;"", XLOOKUP($F966,Productos!$A$2:$A1001,Productos!Y$2:Y1001,"")*$G966,"")</f>
        <v/>
      </c>
      <c r="AG966" s="179" t="str">
        <f t="array" ref="AG966">IF($F966&lt;&gt;"",XLOOKUP($F966,Productos!$A:$A,Productos!Z:Z,"Revisar"),"")</f>
        <v/>
      </c>
      <c r="AH966" s="179" t="str">
        <f t="array" ref="AH966">IF($F966&lt;&gt;"", XLOOKUP($F966,Productos!$A$2:$A1001,Productos!AA$2:AA1001,"")*$G966,"")</f>
        <v/>
      </c>
      <c r="AI966" s="179" t="str">
        <f t="array" ref="AI966">IF($F966&lt;&gt;"",XLOOKUP($F966,Productos!$A:$A,Productos!AB:AB,"Revisar"),"")</f>
        <v/>
      </c>
      <c r="AJ966" s="179" t="str">
        <f t="array" ref="AJ966">IF($F966&lt;&gt;"", XLOOKUP($F966,Productos!$A$2:$A1001,Productos!AC$2:AC1001,"")*$G966,"")</f>
        <v/>
      </c>
      <c r="AK966" s="179" t="str">
        <f t="array" ref="AK966">IF($F966&lt;&gt;"",XLOOKUP($F966,Productos!$A:$A,Productos!AD:AD,"Revisar"),"")</f>
        <v/>
      </c>
      <c r="AL966" s="179" t="str">
        <f t="array" ref="AL966">IF($F966&lt;&gt;"", XLOOKUP($F966,Productos!$A$2:$A1001,Productos!AE$2:AE1001,"")*$G966,"")</f>
        <v/>
      </c>
      <c r="AM966" s="179" t="str">
        <f t="array" ref="AM966">IF($F966&lt;&gt;"",XLOOKUP($F966,Productos!$A:$A,Productos!AF:AF,"Revisar"),"")</f>
        <v/>
      </c>
      <c r="AN966" s="179" t="str">
        <f t="array" ref="AN966">IF($F966&lt;&gt;"", XLOOKUP($F966,Productos!$A$2:$A1001,Productos!AG$2:AG1001,"")*$G966,"")</f>
        <v/>
      </c>
      <c r="AO966" s="179" t="str">
        <f t="array" ref="AO966">IF($F966&lt;&gt;"",XLOOKUP($F966,Productos!$A:$A,Productos!AH:AH,"Revisar"),"")</f>
        <v/>
      </c>
      <c r="AP966" s="179" t="str">
        <f t="array" ref="AP966">IF($F966&lt;&gt;"", XLOOKUP($F966,Productos!$A$2:$A1001,Productos!AI$2:AI1001,"")*$G966,"")</f>
        <v/>
      </c>
      <c r="AQ966" s="179" t="str">
        <f t="array" ref="AQ966">IF($F966&lt;&gt;"",XLOOKUP($F966,Productos!$A:$A,Productos!AJ:AJ,"Revisar"),"")</f>
        <v/>
      </c>
      <c r="AR966" s="179" t="str">
        <f t="array" ref="AR966">IF($F966&lt;&gt;"", XLOOKUP($F966,Productos!$A$2:$A1001,Productos!AK$2:AK1001,"")*$G966,"")</f>
        <v/>
      </c>
      <c r="AS966" s="179" t="str">
        <f t="array" ref="AS966">IF($F966&lt;&gt;"",XLOOKUP($F966,Productos!$A:$A,Productos!AL:AL,"Revisar"),"")</f>
        <v/>
      </c>
      <c r="AT966" s="179" t="str">
        <f t="array" ref="AT966">IF($F966&lt;&gt;"", XLOOKUP($F966,Productos!$A$2:$A1001,Productos!AM$2:AM1001,"")*$G966,"")</f>
        <v/>
      </c>
      <c r="AU966" s="179" t="str">
        <f t="array" ref="AU966">IF($F966&lt;&gt;"",XLOOKUP($F966,Productos!$A:$A,Productos!AN:AN,"Revisar"),"")</f>
        <v/>
      </c>
      <c r="AV966" s="179" t="str">
        <f t="array" ref="AV966">IF($F966&lt;&gt;"", XLOOKUP($F966,Productos!$A$2:$A1001,Productos!AO$2:AO1001,"")*$G966,"")</f>
        <v/>
      </c>
      <c r="AW966" s="179" t="str">
        <f t="array" ref="AW966">IF($F966&lt;&gt;"",XLOOKUP($F966,Productos!$A:$A,Productos!AP:AP,"Revisar"),"")</f>
        <v/>
      </c>
      <c r="AX966" s="179" t="str">
        <f t="array" ref="AX966">IF($F966&lt;&gt;"", XLOOKUP($F966,Productos!$A$2:$A1001,Productos!AQ$2:AQ1001,"")*$G966,"")</f>
        <v/>
      </c>
      <c r="AY966" s="179" t="str">
        <f t="array" ref="AY966">IF($F966&lt;&gt;"",XLOOKUP($F966,Productos!$A:$A,Productos!AR:AR,"Revisar"),"")</f>
        <v/>
      </c>
      <c r="AZ966" s="179" t="str">
        <f t="array" ref="AZ966">IF($F966&lt;&gt;"", XLOOKUP($F966,Productos!$A$2:$A1001,Productos!AS$2:AS1001,"")*$G966,"")</f>
        <v/>
      </c>
      <c r="BA966" s="179" t="str">
        <f t="array" ref="BA966">IF($F966&lt;&gt;"",XLOOKUP($F966,Productos!$A:$A,Productos!AT:AT,"Revisar"),"")</f>
        <v/>
      </c>
      <c r="BB966" s="179" t="str">
        <f t="array" ref="BB966">IF($F966&lt;&gt;"", XLOOKUP($F966,Productos!$A$2:$A1001,Productos!AU$2:AU1001,"")*$G966,"")</f>
        <v/>
      </c>
      <c r="BC966" s="179" t="str">
        <f t="array" ref="BC966">IF($F966&lt;&gt;"",XLOOKUP($F966,Productos!$A:$A,Productos!AV:AV,"Revisar"),"")</f>
        <v/>
      </c>
      <c r="BD966" s="179" t="str">
        <f t="array" ref="BD966">IF($F966&lt;&gt;"", XLOOKUP($F966,Productos!$A$2:$A1001,Productos!AW$2:AW1001,"")*$G966,"")</f>
        <v/>
      </c>
      <c r="BE966" s="179" t="str">
        <f t="array" ref="BE966">IF($F966&lt;&gt;"",XLOOKUP($F966,Productos!$A:$A,Productos!AX:AX,"Revisar"),"")</f>
        <v/>
      </c>
      <c r="BF966" s="179" t="str">
        <f t="array" ref="BF966">IF($F966&lt;&gt;"", XLOOKUP($F966,Productos!$A$2:$A1001,Productos!AY$2:AY1001,"")*$G966,"")</f>
        <v/>
      </c>
      <c r="BG966" s="179" t="str">
        <f t="array" ref="BG966">IF($F966&lt;&gt;"",XLOOKUP($F966,Productos!$A:$A,Productos!AZ:AZ,"Revisar"),"")</f>
        <v/>
      </c>
      <c r="BH966" s="179" t="str">
        <f t="array" ref="BH966">IF($F966&lt;&gt;"", XLOOKUP($F966,Productos!$A$2:$A1001,Productos!BA$2:BA1001,"")*$G966,"")</f>
        <v/>
      </c>
      <c r="BI966" s="179" t="str">
        <f t="array" ref="BI966">IF($F966&lt;&gt;"",XLOOKUP($F966,Productos!$A:$A,Productos!BB:BB,"Revisar"),"")</f>
        <v/>
      </c>
      <c r="BJ966" s="179" t="str">
        <f t="array" ref="BJ966">IF($F966&lt;&gt;"", XLOOKUP($F966,Productos!$A$2:$A1001,Productos!BC$2:BC1001,"")*$G966,"")</f>
        <v/>
      </c>
      <c r="BK966" s="179" t="str">
        <f t="array" ref="BK966">IF($F966&lt;&gt;"",XLOOKUP($F966,Productos!$A:$A,Productos!BD:BD,"Revisar"),"")</f>
        <v/>
      </c>
      <c r="BL966" s="179" t="str">
        <f t="array" ref="BL966">IF($F966&lt;&gt;"", XLOOKUP($F966,Productos!$A$2:$A1001,Productos!BE$2:BE1001,"")*$G966,"")</f>
        <v/>
      </c>
      <c r="BM966" s="179" t="str">
        <f t="array" ref="BM966">IF($F966&lt;&gt;"",XLOOKUP($F966,Productos!$A:$A,Productos!BF:BF,"Revisar"),"")</f>
        <v/>
      </c>
      <c r="BN966" s="179" t="str">
        <f t="array" ref="BN966">IF($F966&lt;&gt;"", XLOOKUP($F966,Productos!$A$2:$A1001,Productos!BG$2:BG1001,"")*$G966,"")</f>
        <v/>
      </c>
      <c r="BO966" s="179" t="str">
        <f t="array" ref="BO966">IF($F966&lt;&gt;"",XLOOKUP($F966,Productos!$A:$A,Productos!BH:BH,"Revisar"),"")</f>
        <v/>
      </c>
      <c r="BP966" s="179" t="str">
        <f t="array" ref="BP966">IF($F966&lt;&gt;"", XLOOKUP($F966,Productos!$A$2:$A1001,Productos!BI$2:BI1001,"")*$G966,"")</f>
        <v/>
      </c>
      <c r="BQ966" s="179" t="str">
        <f t="array" ref="BQ966">IF($F966&lt;&gt;"",XLOOKUP($F966,Productos!$A:$A,Productos!BJ:BJ,"Revisar"),"")</f>
        <v/>
      </c>
      <c r="BR966" s="179" t="str">
        <f t="array" ref="BR966">IF($F966&lt;&gt;"", XLOOKUP($F966,Productos!$A$2:$A1001,Productos!BK$2:BK1001,"")*$G966,"")</f>
        <v/>
      </c>
      <c r="BS966" s="179" t="str">
        <f t="array" ref="BS966">IF($F966&lt;&gt;"",XLOOKUP($F966,Productos!$A:$A,Productos!BL:BL,"Revisar"),"")</f>
        <v/>
      </c>
      <c r="BT966" s="179" t="str">
        <f t="array" ref="BT966">IF($F966&lt;&gt;"", XLOOKUP($F966,Productos!$A$2:$A1001,Productos!BM$2:BM1001,"")*$G966,"")</f>
        <v/>
      </c>
      <c r="BU966" s="179" t="str">
        <f t="array" ref="BU966">IF($F966&lt;&gt;"",XLOOKUP($F966,Productos!$A:$A,Productos!BN:BN,"Revisar"),"")</f>
        <v/>
      </c>
      <c r="BV966" s="179" t="str">
        <f t="array" ref="BV966">IF($F966&lt;&gt;"", XLOOKUP($F966,Productos!$A$2:$A1001,Productos!BO$2:BO1001,"")*$G966,"")</f>
        <v/>
      </c>
      <c r="BW966" s="179" t="str">
        <f t="array" ref="BW966">IF($F966&lt;&gt;"",XLOOKUP($F966,Productos!$A:$A,Productos!BP:BP,"Revisar"),"")</f>
        <v/>
      </c>
      <c r="BX966" s="179" t="str">
        <f t="array" ref="BX966">IF($F966&lt;&gt;"", XLOOKUP($F966,Productos!$A$2:$A1001,Productos!BQ$2:BQ1001,"")*$G966,"")</f>
        <v/>
      </c>
      <c r="BY966" s="179" t="str">
        <f t="array" ref="BY966">IF($F966&lt;&gt;"",XLOOKUP($F966,Productos!$A:$A,Productos!BR:BR,"Revisar"),"")</f>
        <v/>
      </c>
      <c r="BZ966" s="179" t="str">
        <f t="array" ref="BZ966">IF($F966&lt;&gt;"", XLOOKUP($F966,Productos!$A$2:$A1001,Productos!BS$2:BS1001,"")*$G966,"")</f>
        <v/>
      </c>
    </row>
    <row r="967">
      <c r="A967" s="188"/>
      <c r="B967" s="189"/>
      <c r="C967" s="190"/>
      <c r="D967" s="190"/>
      <c r="E967" s="191"/>
      <c r="F967" s="186"/>
      <c r="G967" s="192"/>
      <c r="H967" s="9"/>
      <c r="I967" s="179" t="str">
        <f t="array" ref="I967">IF($F967&lt;&gt;"",XLOOKUP($F967,Productos!$A:$A,Productos!B:B,"Revisar"),"")</f>
        <v/>
      </c>
      <c r="J967" s="179" t="str">
        <f t="array" ref="J967">IF($F967&lt;&gt;"", XLOOKUP($F967,Productos!$A$2:$A1001,Productos!C$2:C1001,"")*$G967,"")</f>
        <v/>
      </c>
      <c r="K967" s="179" t="str">
        <f t="array" ref="K967">IF($F967&lt;&gt;"",XLOOKUP($F967,Productos!$A:$A,Productos!D:D,"Revisar"),"")</f>
        <v/>
      </c>
      <c r="L967" s="179" t="str">
        <f t="array" ref="L967">IF($F967&lt;&gt;"", XLOOKUP($F967,Productos!$A$2:$A1001,Productos!E$2:E1001,"")*$G967,"")</f>
        <v/>
      </c>
      <c r="M967" s="179" t="str">
        <f t="array" ref="M967">IF($F967&lt;&gt;"",XLOOKUP($F967,Productos!$A:$A,Productos!F:F,"Revisar"),"")</f>
        <v/>
      </c>
      <c r="N967" s="179" t="str">
        <f t="array" ref="N967">IF($F967&lt;&gt;"", XLOOKUP($F967,Productos!$A$2:$A1001,Productos!G$2:G1001,"")*$G967,"")</f>
        <v/>
      </c>
      <c r="O967" s="179" t="str">
        <f t="array" ref="O967">IF($F967&lt;&gt;"",XLOOKUP($F967,Productos!$A:$A,Productos!H:H,"Revisar"),"")</f>
        <v/>
      </c>
      <c r="P967" s="179" t="str">
        <f t="array" ref="P967">IF($F967&lt;&gt;"", XLOOKUP($F967,Productos!$A$2:$A1001,Productos!I$2:I1001,"")*$G967,"")</f>
        <v/>
      </c>
      <c r="Q967" s="179" t="str">
        <f t="array" ref="Q967">IF($F967&lt;&gt;"",XLOOKUP($F967,Productos!$A:$A,Productos!J:J,"Revisar"),"")</f>
        <v/>
      </c>
      <c r="R967" s="179" t="str">
        <f t="array" ref="R967">IF($F967&lt;&gt;"", XLOOKUP($F967,Productos!$A$2:$A1001,Productos!K$2:K1001,"")*$G967,"")</f>
        <v/>
      </c>
      <c r="S967" s="179" t="str">
        <f t="array" ref="S967">IF($F967&lt;&gt;"",XLOOKUP($F967,Productos!$A:$A,Productos!L:L,"Revisar"),"")</f>
        <v/>
      </c>
      <c r="T967" s="179" t="str">
        <f t="array" ref="T967">IF($F967&lt;&gt;"", XLOOKUP($F967,Productos!$A$2:$A1001,Productos!M$2:M1001,"")*$G967,"")</f>
        <v/>
      </c>
      <c r="U967" s="179" t="str">
        <f t="array" ref="U967">IF($F967&lt;&gt;"",XLOOKUP($F967,Productos!$A:$A,Productos!N:N,"Revisar"),"")</f>
        <v/>
      </c>
      <c r="V967" s="179" t="str">
        <f t="array" ref="V967">IF($F967&lt;&gt;"", XLOOKUP($F967,Productos!$A$2:$A1001,Productos!O$2:O1001,"")*$G967,"")</f>
        <v/>
      </c>
      <c r="W967" s="179" t="str">
        <f t="array" ref="W967">IF($F967&lt;&gt;"",XLOOKUP($F967,Productos!$A:$A,Productos!P:P,"Revisar"),"")</f>
        <v/>
      </c>
      <c r="X967" s="179" t="str">
        <f t="array" ref="X967">IF($F967&lt;&gt;"", XLOOKUP($F967,Productos!$A$2:$A1001,Productos!Q$2:Q1001,"")*$G967,"")</f>
        <v/>
      </c>
      <c r="Y967" s="179" t="str">
        <f t="array" ref="Y967">IF($F967&lt;&gt;"",XLOOKUP($F967,Productos!$A:$A,Productos!R:R,"Revisar"),"")</f>
        <v/>
      </c>
      <c r="Z967" s="179" t="str">
        <f t="array" ref="Z967">IF($F967&lt;&gt;"", XLOOKUP($F967,Productos!$A$2:$A1001,Productos!S$2:S1001,"")*$G967,"")</f>
        <v/>
      </c>
      <c r="AA967" s="179" t="str">
        <f t="array" ref="AA967">IF($F967&lt;&gt;"",XLOOKUP($F967,Productos!$A:$A,Productos!T:T,"Revisar"),"")</f>
        <v/>
      </c>
      <c r="AB967" s="179" t="str">
        <f t="array" ref="AB967">IF($F967&lt;&gt;"", XLOOKUP($F967,Productos!$A$2:$A1001,Productos!U$2:U1001,"")*$G967,"")</f>
        <v/>
      </c>
      <c r="AC967" s="179" t="str">
        <f t="array" ref="AC967">IF($F967&lt;&gt;"",XLOOKUP($F967,Productos!$A:$A,Productos!V:V,"Revisar"),"")</f>
        <v/>
      </c>
      <c r="AD967" s="179" t="str">
        <f t="array" ref="AD967">IF($F967&lt;&gt;"", XLOOKUP($F967,Productos!$A$2:$A1001,Productos!W$2:W1001,"")*$G967,"")</f>
        <v/>
      </c>
      <c r="AE967" s="179" t="str">
        <f t="array" ref="AE967">IF($F967&lt;&gt;"",XLOOKUP($F967,Productos!$A:$A,Productos!X:X,"Revisar"),"")</f>
        <v/>
      </c>
      <c r="AF967" s="179" t="str">
        <f t="array" ref="AF967">IF($F967&lt;&gt;"", XLOOKUP($F967,Productos!$A$2:$A1001,Productos!Y$2:Y1001,"")*$G967,"")</f>
        <v/>
      </c>
      <c r="AG967" s="179" t="str">
        <f t="array" ref="AG967">IF($F967&lt;&gt;"",XLOOKUP($F967,Productos!$A:$A,Productos!Z:Z,"Revisar"),"")</f>
        <v/>
      </c>
      <c r="AH967" s="179" t="str">
        <f t="array" ref="AH967">IF($F967&lt;&gt;"", XLOOKUP($F967,Productos!$A$2:$A1001,Productos!AA$2:AA1001,"")*$G967,"")</f>
        <v/>
      </c>
      <c r="AI967" s="179" t="str">
        <f t="array" ref="AI967">IF($F967&lt;&gt;"",XLOOKUP($F967,Productos!$A:$A,Productos!AB:AB,"Revisar"),"")</f>
        <v/>
      </c>
      <c r="AJ967" s="179" t="str">
        <f t="array" ref="AJ967">IF($F967&lt;&gt;"", XLOOKUP($F967,Productos!$A$2:$A1001,Productos!AC$2:AC1001,"")*$G967,"")</f>
        <v/>
      </c>
      <c r="AK967" s="179" t="str">
        <f t="array" ref="AK967">IF($F967&lt;&gt;"",XLOOKUP($F967,Productos!$A:$A,Productos!AD:AD,"Revisar"),"")</f>
        <v/>
      </c>
      <c r="AL967" s="179" t="str">
        <f t="array" ref="AL967">IF($F967&lt;&gt;"", XLOOKUP($F967,Productos!$A$2:$A1001,Productos!AE$2:AE1001,"")*$G967,"")</f>
        <v/>
      </c>
      <c r="AM967" s="179" t="str">
        <f t="array" ref="AM967">IF($F967&lt;&gt;"",XLOOKUP($F967,Productos!$A:$A,Productos!AF:AF,"Revisar"),"")</f>
        <v/>
      </c>
      <c r="AN967" s="179" t="str">
        <f t="array" ref="AN967">IF($F967&lt;&gt;"", XLOOKUP($F967,Productos!$A$2:$A1001,Productos!AG$2:AG1001,"")*$G967,"")</f>
        <v/>
      </c>
      <c r="AO967" s="179" t="str">
        <f t="array" ref="AO967">IF($F967&lt;&gt;"",XLOOKUP($F967,Productos!$A:$A,Productos!AH:AH,"Revisar"),"")</f>
        <v/>
      </c>
      <c r="AP967" s="179" t="str">
        <f t="array" ref="AP967">IF($F967&lt;&gt;"", XLOOKUP($F967,Productos!$A$2:$A1001,Productos!AI$2:AI1001,"")*$G967,"")</f>
        <v/>
      </c>
      <c r="AQ967" s="179" t="str">
        <f t="array" ref="AQ967">IF($F967&lt;&gt;"",XLOOKUP($F967,Productos!$A:$A,Productos!AJ:AJ,"Revisar"),"")</f>
        <v/>
      </c>
      <c r="AR967" s="179" t="str">
        <f t="array" ref="AR967">IF($F967&lt;&gt;"", XLOOKUP($F967,Productos!$A$2:$A1001,Productos!AK$2:AK1001,"")*$G967,"")</f>
        <v/>
      </c>
      <c r="AS967" s="179" t="str">
        <f t="array" ref="AS967">IF($F967&lt;&gt;"",XLOOKUP($F967,Productos!$A:$A,Productos!AL:AL,"Revisar"),"")</f>
        <v/>
      </c>
      <c r="AT967" s="179" t="str">
        <f t="array" ref="AT967">IF($F967&lt;&gt;"", XLOOKUP($F967,Productos!$A$2:$A1001,Productos!AM$2:AM1001,"")*$G967,"")</f>
        <v/>
      </c>
      <c r="AU967" s="179" t="str">
        <f t="array" ref="AU967">IF($F967&lt;&gt;"",XLOOKUP($F967,Productos!$A:$A,Productos!AN:AN,"Revisar"),"")</f>
        <v/>
      </c>
      <c r="AV967" s="179" t="str">
        <f t="array" ref="AV967">IF($F967&lt;&gt;"", XLOOKUP($F967,Productos!$A$2:$A1001,Productos!AO$2:AO1001,"")*$G967,"")</f>
        <v/>
      </c>
      <c r="AW967" s="179" t="str">
        <f t="array" ref="AW967">IF($F967&lt;&gt;"",XLOOKUP($F967,Productos!$A:$A,Productos!AP:AP,"Revisar"),"")</f>
        <v/>
      </c>
      <c r="AX967" s="179" t="str">
        <f t="array" ref="AX967">IF($F967&lt;&gt;"", XLOOKUP($F967,Productos!$A$2:$A1001,Productos!AQ$2:AQ1001,"")*$G967,"")</f>
        <v/>
      </c>
      <c r="AY967" s="179" t="str">
        <f t="array" ref="AY967">IF($F967&lt;&gt;"",XLOOKUP($F967,Productos!$A:$A,Productos!AR:AR,"Revisar"),"")</f>
        <v/>
      </c>
      <c r="AZ967" s="179" t="str">
        <f t="array" ref="AZ967">IF($F967&lt;&gt;"", XLOOKUP($F967,Productos!$A$2:$A1001,Productos!AS$2:AS1001,"")*$G967,"")</f>
        <v/>
      </c>
      <c r="BA967" s="179" t="str">
        <f t="array" ref="BA967">IF($F967&lt;&gt;"",XLOOKUP($F967,Productos!$A:$A,Productos!AT:AT,"Revisar"),"")</f>
        <v/>
      </c>
      <c r="BB967" s="179" t="str">
        <f t="array" ref="BB967">IF($F967&lt;&gt;"", XLOOKUP($F967,Productos!$A$2:$A1001,Productos!AU$2:AU1001,"")*$G967,"")</f>
        <v/>
      </c>
      <c r="BC967" s="179" t="str">
        <f t="array" ref="BC967">IF($F967&lt;&gt;"",XLOOKUP($F967,Productos!$A:$A,Productos!AV:AV,"Revisar"),"")</f>
        <v/>
      </c>
      <c r="BD967" s="179" t="str">
        <f t="array" ref="BD967">IF($F967&lt;&gt;"", XLOOKUP($F967,Productos!$A$2:$A1001,Productos!AW$2:AW1001,"")*$G967,"")</f>
        <v/>
      </c>
      <c r="BE967" s="179" t="str">
        <f t="array" ref="BE967">IF($F967&lt;&gt;"",XLOOKUP($F967,Productos!$A:$A,Productos!AX:AX,"Revisar"),"")</f>
        <v/>
      </c>
      <c r="BF967" s="179" t="str">
        <f t="array" ref="BF967">IF($F967&lt;&gt;"", XLOOKUP($F967,Productos!$A$2:$A1001,Productos!AY$2:AY1001,"")*$G967,"")</f>
        <v/>
      </c>
      <c r="BG967" s="179" t="str">
        <f t="array" ref="BG967">IF($F967&lt;&gt;"",XLOOKUP($F967,Productos!$A:$A,Productos!AZ:AZ,"Revisar"),"")</f>
        <v/>
      </c>
      <c r="BH967" s="179" t="str">
        <f t="array" ref="BH967">IF($F967&lt;&gt;"", XLOOKUP($F967,Productos!$A$2:$A1001,Productos!BA$2:BA1001,"")*$G967,"")</f>
        <v/>
      </c>
      <c r="BI967" s="179" t="str">
        <f t="array" ref="BI967">IF($F967&lt;&gt;"",XLOOKUP($F967,Productos!$A:$A,Productos!BB:BB,"Revisar"),"")</f>
        <v/>
      </c>
      <c r="BJ967" s="179" t="str">
        <f t="array" ref="BJ967">IF($F967&lt;&gt;"", XLOOKUP($F967,Productos!$A$2:$A1001,Productos!BC$2:BC1001,"")*$G967,"")</f>
        <v/>
      </c>
      <c r="BK967" s="179" t="str">
        <f t="array" ref="BK967">IF($F967&lt;&gt;"",XLOOKUP($F967,Productos!$A:$A,Productos!BD:BD,"Revisar"),"")</f>
        <v/>
      </c>
      <c r="BL967" s="179" t="str">
        <f t="array" ref="BL967">IF($F967&lt;&gt;"", XLOOKUP($F967,Productos!$A$2:$A1001,Productos!BE$2:BE1001,"")*$G967,"")</f>
        <v/>
      </c>
      <c r="BM967" s="179" t="str">
        <f t="array" ref="BM967">IF($F967&lt;&gt;"",XLOOKUP($F967,Productos!$A:$A,Productos!BF:BF,"Revisar"),"")</f>
        <v/>
      </c>
      <c r="BN967" s="179" t="str">
        <f t="array" ref="BN967">IF($F967&lt;&gt;"", XLOOKUP($F967,Productos!$A$2:$A1001,Productos!BG$2:BG1001,"")*$G967,"")</f>
        <v/>
      </c>
      <c r="BO967" s="179" t="str">
        <f t="array" ref="BO967">IF($F967&lt;&gt;"",XLOOKUP($F967,Productos!$A:$A,Productos!BH:BH,"Revisar"),"")</f>
        <v/>
      </c>
      <c r="BP967" s="179" t="str">
        <f t="array" ref="BP967">IF($F967&lt;&gt;"", XLOOKUP($F967,Productos!$A$2:$A1001,Productos!BI$2:BI1001,"")*$G967,"")</f>
        <v/>
      </c>
      <c r="BQ967" s="179" t="str">
        <f t="array" ref="BQ967">IF($F967&lt;&gt;"",XLOOKUP($F967,Productos!$A:$A,Productos!BJ:BJ,"Revisar"),"")</f>
        <v/>
      </c>
      <c r="BR967" s="179" t="str">
        <f t="array" ref="BR967">IF($F967&lt;&gt;"", XLOOKUP($F967,Productos!$A$2:$A1001,Productos!BK$2:BK1001,"")*$G967,"")</f>
        <v/>
      </c>
      <c r="BS967" s="179" t="str">
        <f t="array" ref="BS967">IF($F967&lt;&gt;"",XLOOKUP($F967,Productos!$A:$A,Productos!BL:BL,"Revisar"),"")</f>
        <v/>
      </c>
      <c r="BT967" s="179" t="str">
        <f t="array" ref="BT967">IF($F967&lt;&gt;"", XLOOKUP($F967,Productos!$A$2:$A1001,Productos!BM$2:BM1001,"")*$G967,"")</f>
        <v/>
      </c>
      <c r="BU967" s="179" t="str">
        <f t="array" ref="BU967">IF($F967&lt;&gt;"",XLOOKUP($F967,Productos!$A:$A,Productos!BN:BN,"Revisar"),"")</f>
        <v/>
      </c>
      <c r="BV967" s="179" t="str">
        <f t="array" ref="BV967">IF($F967&lt;&gt;"", XLOOKUP($F967,Productos!$A$2:$A1001,Productos!BO$2:BO1001,"")*$G967,"")</f>
        <v/>
      </c>
      <c r="BW967" s="179" t="str">
        <f t="array" ref="BW967">IF($F967&lt;&gt;"",XLOOKUP($F967,Productos!$A:$A,Productos!BP:BP,"Revisar"),"")</f>
        <v/>
      </c>
      <c r="BX967" s="179" t="str">
        <f t="array" ref="BX967">IF($F967&lt;&gt;"", XLOOKUP($F967,Productos!$A$2:$A1001,Productos!BQ$2:BQ1001,"")*$G967,"")</f>
        <v/>
      </c>
      <c r="BY967" s="179" t="str">
        <f t="array" ref="BY967">IF($F967&lt;&gt;"",XLOOKUP($F967,Productos!$A:$A,Productos!BR:BR,"Revisar"),"")</f>
        <v/>
      </c>
      <c r="BZ967" s="179" t="str">
        <f t="array" ref="BZ967">IF($F967&lt;&gt;"", XLOOKUP($F967,Productos!$A$2:$A1001,Productos!BS$2:BS1001,"")*$G967,"")</f>
        <v/>
      </c>
    </row>
    <row r="968">
      <c r="A968" s="188"/>
      <c r="B968" s="189"/>
      <c r="C968" s="190"/>
      <c r="D968" s="190"/>
      <c r="E968" s="191"/>
      <c r="F968" s="186"/>
      <c r="G968" s="192"/>
      <c r="H968" s="9"/>
      <c r="I968" s="179" t="str">
        <f t="array" ref="I968">IF($F968&lt;&gt;"",XLOOKUP($F968,Productos!$A:$A,Productos!B:B,"Revisar"),"")</f>
        <v/>
      </c>
      <c r="J968" s="179" t="str">
        <f t="array" ref="J968">IF($F968&lt;&gt;"", XLOOKUP($F968,Productos!$A$2:$A1001,Productos!C$2:C1001,"")*$G968,"")</f>
        <v/>
      </c>
      <c r="K968" s="179" t="str">
        <f t="array" ref="K968">IF($F968&lt;&gt;"",XLOOKUP($F968,Productos!$A:$A,Productos!D:D,"Revisar"),"")</f>
        <v/>
      </c>
      <c r="L968" s="179" t="str">
        <f t="array" ref="L968">IF($F968&lt;&gt;"", XLOOKUP($F968,Productos!$A$2:$A1001,Productos!E$2:E1001,"")*$G968,"")</f>
        <v/>
      </c>
      <c r="M968" s="179" t="str">
        <f t="array" ref="M968">IF($F968&lt;&gt;"",XLOOKUP($F968,Productos!$A:$A,Productos!F:F,"Revisar"),"")</f>
        <v/>
      </c>
      <c r="N968" s="179" t="str">
        <f t="array" ref="N968">IF($F968&lt;&gt;"", XLOOKUP($F968,Productos!$A$2:$A1001,Productos!G$2:G1001,"")*$G968,"")</f>
        <v/>
      </c>
      <c r="O968" s="179" t="str">
        <f t="array" ref="O968">IF($F968&lt;&gt;"",XLOOKUP($F968,Productos!$A:$A,Productos!H:H,"Revisar"),"")</f>
        <v/>
      </c>
      <c r="P968" s="179" t="str">
        <f t="array" ref="P968">IF($F968&lt;&gt;"", XLOOKUP($F968,Productos!$A$2:$A1001,Productos!I$2:I1001,"")*$G968,"")</f>
        <v/>
      </c>
      <c r="Q968" s="179" t="str">
        <f t="array" ref="Q968">IF($F968&lt;&gt;"",XLOOKUP($F968,Productos!$A:$A,Productos!J:J,"Revisar"),"")</f>
        <v/>
      </c>
      <c r="R968" s="179" t="str">
        <f t="array" ref="R968">IF($F968&lt;&gt;"", XLOOKUP($F968,Productos!$A$2:$A1001,Productos!K$2:K1001,"")*$G968,"")</f>
        <v/>
      </c>
      <c r="S968" s="179" t="str">
        <f t="array" ref="S968">IF($F968&lt;&gt;"",XLOOKUP($F968,Productos!$A:$A,Productos!L:L,"Revisar"),"")</f>
        <v/>
      </c>
      <c r="T968" s="179" t="str">
        <f t="array" ref="T968">IF($F968&lt;&gt;"", XLOOKUP($F968,Productos!$A$2:$A1001,Productos!M$2:M1001,"")*$G968,"")</f>
        <v/>
      </c>
      <c r="U968" s="179" t="str">
        <f t="array" ref="U968">IF($F968&lt;&gt;"",XLOOKUP($F968,Productos!$A:$A,Productos!N:N,"Revisar"),"")</f>
        <v/>
      </c>
      <c r="V968" s="179" t="str">
        <f t="array" ref="V968">IF($F968&lt;&gt;"", XLOOKUP($F968,Productos!$A$2:$A1001,Productos!O$2:O1001,"")*$G968,"")</f>
        <v/>
      </c>
      <c r="W968" s="179" t="str">
        <f t="array" ref="W968">IF($F968&lt;&gt;"",XLOOKUP($F968,Productos!$A:$A,Productos!P:P,"Revisar"),"")</f>
        <v/>
      </c>
      <c r="X968" s="179" t="str">
        <f t="array" ref="X968">IF($F968&lt;&gt;"", XLOOKUP($F968,Productos!$A$2:$A1001,Productos!Q$2:Q1001,"")*$G968,"")</f>
        <v/>
      </c>
      <c r="Y968" s="179" t="str">
        <f t="array" ref="Y968">IF($F968&lt;&gt;"",XLOOKUP($F968,Productos!$A:$A,Productos!R:R,"Revisar"),"")</f>
        <v/>
      </c>
      <c r="Z968" s="179" t="str">
        <f t="array" ref="Z968">IF($F968&lt;&gt;"", XLOOKUP($F968,Productos!$A$2:$A1001,Productos!S$2:S1001,"")*$G968,"")</f>
        <v/>
      </c>
      <c r="AA968" s="179" t="str">
        <f t="array" ref="AA968">IF($F968&lt;&gt;"",XLOOKUP($F968,Productos!$A:$A,Productos!T:T,"Revisar"),"")</f>
        <v/>
      </c>
      <c r="AB968" s="179" t="str">
        <f t="array" ref="AB968">IF($F968&lt;&gt;"", XLOOKUP($F968,Productos!$A$2:$A1001,Productos!U$2:U1001,"")*$G968,"")</f>
        <v/>
      </c>
      <c r="AC968" s="179" t="str">
        <f t="array" ref="AC968">IF($F968&lt;&gt;"",XLOOKUP($F968,Productos!$A:$A,Productos!V:V,"Revisar"),"")</f>
        <v/>
      </c>
      <c r="AD968" s="179" t="str">
        <f t="array" ref="AD968">IF($F968&lt;&gt;"", XLOOKUP($F968,Productos!$A$2:$A1001,Productos!W$2:W1001,"")*$G968,"")</f>
        <v/>
      </c>
      <c r="AE968" s="179" t="str">
        <f t="array" ref="AE968">IF($F968&lt;&gt;"",XLOOKUP($F968,Productos!$A:$A,Productos!X:X,"Revisar"),"")</f>
        <v/>
      </c>
      <c r="AF968" s="179" t="str">
        <f t="array" ref="AF968">IF($F968&lt;&gt;"", XLOOKUP($F968,Productos!$A$2:$A1001,Productos!Y$2:Y1001,"")*$G968,"")</f>
        <v/>
      </c>
      <c r="AG968" s="179" t="str">
        <f t="array" ref="AG968">IF($F968&lt;&gt;"",XLOOKUP($F968,Productos!$A:$A,Productos!Z:Z,"Revisar"),"")</f>
        <v/>
      </c>
      <c r="AH968" s="179" t="str">
        <f t="array" ref="AH968">IF($F968&lt;&gt;"", XLOOKUP($F968,Productos!$A$2:$A1001,Productos!AA$2:AA1001,"")*$G968,"")</f>
        <v/>
      </c>
      <c r="AI968" s="179" t="str">
        <f t="array" ref="AI968">IF($F968&lt;&gt;"",XLOOKUP($F968,Productos!$A:$A,Productos!AB:AB,"Revisar"),"")</f>
        <v/>
      </c>
      <c r="AJ968" s="179" t="str">
        <f t="array" ref="AJ968">IF($F968&lt;&gt;"", XLOOKUP($F968,Productos!$A$2:$A1001,Productos!AC$2:AC1001,"")*$G968,"")</f>
        <v/>
      </c>
      <c r="AK968" s="179" t="str">
        <f t="array" ref="AK968">IF($F968&lt;&gt;"",XLOOKUP($F968,Productos!$A:$A,Productos!AD:AD,"Revisar"),"")</f>
        <v/>
      </c>
      <c r="AL968" s="179" t="str">
        <f t="array" ref="AL968">IF($F968&lt;&gt;"", XLOOKUP($F968,Productos!$A$2:$A1001,Productos!AE$2:AE1001,"")*$G968,"")</f>
        <v/>
      </c>
      <c r="AM968" s="179" t="str">
        <f t="array" ref="AM968">IF($F968&lt;&gt;"",XLOOKUP($F968,Productos!$A:$A,Productos!AF:AF,"Revisar"),"")</f>
        <v/>
      </c>
      <c r="AN968" s="179" t="str">
        <f t="array" ref="AN968">IF($F968&lt;&gt;"", XLOOKUP($F968,Productos!$A$2:$A1001,Productos!AG$2:AG1001,"")*$G968,"")</f>
        <v/>
      </c>
      <c r="AO968" s="179" t="str">
        <f t="array" ref="AO968">IF($F968&lt;&gt;"",XLOOKUP($F968,Productos!$A:$A,Productos!AH:AH,"Revisar"),"")</f>
        <v/>
      </c>
      <c r="AP968" s="179" t="str">
        <f t="array" ref="AP968">IF($F968&lt;&gt;"", XLOOKUP($F968,Productos!$A$2:$A1001,Productos!AI$2:AI1001,"")*$G968,"")</f>
        <v/>
      </c>
      <c r="AQ968" s="179" t="str">
        <f t="array" ref="AQ968">IF($F968&lt;&gt;"",XLOOKUP($F968,Productos!$A:$A,Productos!AJ:AJ,"Revisar"),"")</f>
        <v/>
      </c>
      <c r="AR968" s="179" t="str">
        <f t="array" ref="AR968">IF($F968&lt;&gt;"", XLOOKUP($F968,Productos!$A$2:$A1001,Productos!AK$2:AK1001,"")*$G968,"")</f>
        <v/>
      </c>
      <c r="AS968" s="179" t="str">
        <f t="array" ref="AS968">IF($F968&lt;&gt;"",XLOOKUP($F968,Productos!$A:$A,Productos!AL:AL,"Revisar"),"")</f>
        <v/>
      </c>
      <c r="AT968" s="179" t="str">
        <f t="array" ref="AT968">IF($F968&lt;&gt;"", XLOOKUP($F968,Productos!$A$2:$A1001,Productos!AM$2:AM1001,"")*$G968,"")</f>
        <v/>
      </c>
      <c r="AU968" s="179" t="str">
        <f t="array" ref="AU968">IF($F968&lt;&gt;"",XLOOKUP($F968,Productos!$A:$A,Productos!AN:AN,"Revisar"),"")</f>
        <v/>
      </c>
      <c r="AV968" s="179" t="str">
        <f t="array" ref="AV968">IF($F968&lt;&gt;"", XLOOKUP($F968,Productos!$A$2:$A1001,Productos!AO$2:AO1001,"")*$G968,"")</f>
        <v/>
      </c>
      <c r="AW968" s="179" t="str">
        <f t="array" ref="AW968">IF($F968&lt;&gt;"",XLOOKUP($F968,Productos!$A:$A,Productos!AP:AP,"Revisar"),"")</f>
        <v/>
      </c>
      <c r="AX968" s="179" t="str">
        <f t="array" ref="AX968">IF($F968&lt;&gt;"", XLOOKUP($F968,Productos!$A$2:$A1001,Productos!AQ$2:AQ1001,"")*$G968,"")</f>
        <v/>
      </c>
      <c r="AY968" s="179" t="str">
        <f t="array" ref="AY968">IF($F968&lt;&gt;"",XLOOKUP($F968,Productos!$A:$A,Productos!AR:AR,"Revisar"),"")</f>
        <v/>
      </c>
      <c r="AZ968" s="179" t="str">
        <f t="array" ref="AZ968">IF($F968&lt;&gt;"", XLOOKUP($F968,Productos!$A$2:$A1001,Productos!AS$2:AS1001,"")*$G968,"")</f>
        <v/>
      </c>
      <c r="BA968" s="179" t="str">
        <f t="array" ref="BA968">IF($F968&lt;&gt;"",XLOOKUP($F968,Productos!$A:$A,Productos!AT:AT,"Revisar"),"")</f>
        <v/>
      </c>
      <c r="BB968" s="179" t="str">
        <f t="array" ref="BB968">IF($F968&lt;&gt;"", XLOOKUP($F968,Productos!$A$2:$A1001,Productos!AU$2:AU1001,"")*$G968,"")</f>
        <v/>
      </c>
      <c r="BC968" s="179" t="str">
        <f t="array" ref="BC968">IF($F968&lt;&gt;"",XLOOKUP($F968,Productos!$A:$A,Productos!AV:AV,"Revisar"),"")</f>
        <v/>
      </c>
      <c r="BD968" s="179" t="str">
        <f t="array" ref="BD968">IF($F968&lt;&gt;"", XLOOKUP($F968,Productos!$A$2:$A1001,Productos!AW$2:AW1001,"")*$G968,"")</f>
        <v/>
      </c>
      <c r="BE968" s="179" t="str">
        <f t="array" ref="BE968">IF($F968&lt;&gt;"",XLOOKUP($F968,Productos!$A:$A,Productos!AX:AX,"Revisar"),"")</f>
        <v/>
      </c>
      <c r="BF968" s="179" t="str">
        <f t="array" ref="BF968">IF($F968&lt;&gt;"", XLOOKUP($F968,Productos!$A$2:$A1001,Productos!AY$2:AY1001,"")*$G968,"")</f>
        <v/>
      </c>
      <c r="BG968" s="179" t="str">
        <f t="array" ref="BG968">IF($F968&lt;&gt;"",XLOOKUP($F968,Productos!$A:$A,Productos!AZ:AZ,"Revisar"),"")</f>
        <v/>
      </c>
      <c r="BH968" s="179" t="str">
        <f t="array" ref="BH968">IF($F968&lt;&gt;"", XLOOKUP($F968,Productos!$A$2:$A1001,Productos!BA$2:BA1001,"")*$G968,"")</f>
        <v/>
      </c>
      <c r="BI968" s="179" t="str">
        <f t="array" ref="BI968">IF($F968&lt;&gt;"",XLOOKUP($F968,Productos!$A:$A,Productos!BB:BB,"Revisar"),"")</f>
        <v/>
      </c>
      <c r="BJ968" s="179" t="str">
        <f t="array" ref="BJ968">IF($F968&lt;&gt;"", XLOOKUP($F968,Productos!$A$2:$A1001,Productos!BC$2:BC1001,"")*$G968,"")</f>
        <v/>
      </c>
      <c r="BK968" s="179" t="str">
        <f t="array" ref="BK968">IF($F968&lt;&gt;"",XLOOKUP($F968,Productos!$A:$A,Productos!BD:BD,"Revisar"),"")</f>
        <v/>
      </c>
      <c r="BL968" s="179" t="str">
        <f t="array" ref="BL968">IF($F968&lt;&gt;"", XLOOKUP($F968,Productos!$A$2:$A1001,Productos!BE$2:BE1001,"")*$G968,"")</f>
        <v/>
      </c>
      <c r="BM968" s="179" t="str">
        <f t="array" ref="BM968">IF($F968&lt;&gt;"",XLOOKUP($F968,Productos!$A:$A,Productos!BF:BF,"Revisar"),"")</f>
        <v/>
      </c>
      <c r="BN968" s="179" t="str">
        <f t="array" ref="BN968">IF($F968&lt;&gt;"", XLOOKUP($F968,Productos!$A$2:$A1001,Productos!BG$2:BG1001,"")*$G968,"")</f>
        <v/>
      </c>
      <c r="BO968" s="179" t="str">
        <f t="array" ref="BO968">IF($F968&lt;&gt;"",XLOOKUP($F968,Productos!$A:$A,Productos!BH:BH,"Revisar"),"")</f>
        <v/>
      </c>
      <c r="BP968" s="179" t="str">
        <f t="array" ref="BP968">IF($F968&lt;&gt;"", XLOOKUP($F968,Productos!$A$2:$A1001,Productos!BI$2:BI1001,"")*$G968,"")</f>
        <v/>
      </c>
      <c r="BQ968" s="179" t="str">
        <f t="array" ref="BQ968">IF($F968&lt;&gt;"",XLOOKUP($F968,Productos!$A:$A,Productos!BJ:BJ,"Revisar"),"")</f>
        <v/>
      </c>
      <c r="BR968" s="179" t="str">
        <f t="array" ref="BR968">IF($F968&lt;&gt;"", XLOOKUP($F968,Productos!$A$2:$A1001,Productos!BK$2:BK1001,"")*$G968,"")</f>
        <v/>
      </c>
      <c r="BS968" s="179" t="str">
        <f t="array" ref="BS968">IF($F968&lt;&gt;"",XLOOKUP($F968,Productos!$A:$A,Productos!BL:BL,"Revisar"),"")</f>
        <v/>
      </c>
      <c r="BT968" s="179" t="str">
        <f t="array" ref="BT968">IF($F968&lt;&gt;"", XLOOKUP($F968,Productos!$A$2:$A1001,Productos!BM$2:BM1001,"")*$G968,"")</f>
        <v/>
      </c>
      <c r="BU968" s="179" t="str">
        <f t="array" ref="BU968">IF($F968&lt;&gt;"",XLOOKUP($F968,Productos!$A:$A,Productos!BN:BN,"Revisar"),"")</f>
        <v/>
      </c>
      <c r="BV968" s="179" t="str">
        <f t="array" ref="BV968">IF($F968&lt;&gt;"", XLOOKUP($F968,Productos!$A$2:$A1001,Productos!BO$2:BO1001,"")*$G968,"")</f>
        <v/>
      </c>
      <c r="BW968" s="179" t="str">
        <f t="array" ref="BW968">IF($F968&lt;&gt;"",XLOOKUP($F968,Productos!$A:$A,Productos!BP:BP,"Revisar"),"")</f>
        <v/>
      </c>
      <c r="BX968" s="179" t="str">
        <f t="array" ref="BX968">IF($F968&lt;&gt;"", XLOOKUP($F968,Productos!$A$2:$A1001,Productos!BQ$2:BQ1001,"")*$G968,"")</f>
        <v/>
      </c>
      <c r="BY968" s="179" t="str">
        <f t="array" ref="BY968">IF($F968&lt;&gt;"",XLOOKUP($F968,Productos!$A:$A,Productos!BR:BR,"Revisar"),"")</f>
        <v/>
      </c>
      <c r="BZ968" s="179" t="str">
        <f t="array" ref="BZ968">IF($F968&lt;&gt;"", XLOOKUP($F968,Productos!$A$2:$A1001,Productos!BS$2:BS1001,"")*$G968,"")</f>
        <v/>
      </c>
    </row>
    <row r="969">
      <c r="A969" s="188"/>
      <c r="B969" s="189"/>
      <c r="C969" s="190"/>
      <c r="D969" s="190"/>
      <c r="E969" s="191"/>
      <c r="F969" s="186"/>
      <c r="G969" s="192"/>
      <c r="H969" s="9"/>
      <c r="I969" s="179" t="str">
        <f t="array" ref="I969">IF($F969&lt;&gt;"",XLOOKUP($F969,Productos!$A:$A,Productos!B:B,"Revisar"),"")</f>
        <v/>
      </c>
      <c r="J969" s="179" t="str">
        <f t="array" ref="J969">IF($F969&lt;&gt;"", XLOOKUP($F969,Productos!$A$2:$A1001,Productos!C$2:C1001,"")*$G969,"")</f>
        <v/>
      </c>
      <c r="K969" s="179" t="str">
        <f t="array" ref="K969">IF($F969&lt;&gt;"",XLOOKUP($F969,Productos!$A:$A,Productos!D:D,"Revisar"),"")</f>
        <v/>
      </c>
      <c r="L969" s="179" t="str">
        <f t="array" ref="L969">IF($F969&lt;&gt;"", XLOOKUP($F969,Productos!$A$2:$A1001,Productos!E$2:E1001,"")*$G969,"")</f>
        <v/>
      </c>
      <c r="M969" s="179" t="str">
        <f t="array" ref="M969">IF($F969&lt;&gt;"",XLOOKUP($F969,Productos!$A:$A,Productos!F:F,"Revisar"),"")</f>
        <v/>
      </c>
      <c r="N969" s="179" t="str">
        <f t="array" ref="N969">IF($F969&lt;&gt;"", XLOOKUP($F969,Productos!$A$2:$A1001,Productos!G$2:G1001,"")*$G969,"")</f>
        <v/>
      </c>
      <c r="O969" s="179" t="str">
        <f t="array" ref="O969">IF($F969&lt;&gt;"",XLOOKUP($F969,Productos!$A:$A,Productos!H:H,"Revisar"),"")</f>
        <v/>
      </c>
      <c r="P969" s="179" t="str">
        <f t="array" ref="P969">IF($F969&lt;&gt;"", XLOOKUP($F969,Productos!$A$2:$A1001,Productos!I$2:I1001,"")*$G969,"")</f>
        <v/>
      </c>
      <c r="Q969" s="179" t="str">
        <f t="array" ref="Q969">IF($F969&lt;&gt;"",XLOOKUP($F969,Productos!$A:$A,Productos!J:J,"Revisar"),"")</f>
        <v/>
      </c>
      <c r="R969" s="179" t="str">
        <f t="array" ref="R969">IF($F969&lt;&gt;"", XLOOKUP($F969,Productos!$A$2:$A1001,Productos!K$2:K1001,"")*$G969,"")</f>
        <v/>
      </c>
      <c r="S969" s="179" t="str">
        <f t="array" ref="S969">IF($F969&lt;&gt;"",XLOOKUP($F969,Productos!$A:$A,Productos!L:L,"Revisar"),"")</f>
        <v/>
      </c>
      <c r="T969" s="179" t="str">
        <f t="array" ref="T969">IF($F969&lt;&gt;"", XLOOKUP($F969,Productos!$A$2:$A1001,Productos!M$2:M1001,"")*$G969,"")</f>
        <v/>
      </c>
      <c r="U969" s="179" t="str">
        <f t="array" ref="U969">IF($F969&lt;&gt;"",XLOOKUP($F969,Productos!$A:$A,Productos!N:N,"Revisar"),"")</f>
        <v/>
      </c>
      <c r="V969" s="179" t="str">
        <f t="array" ref="V969">IF($F969&lt;&gt;"", XLOOKUP($F969,Productos!$A$2:$A1001,Productos!O$2:O1001,"")*$G969,"")</f>
        <v/>
      </c>
      <c r="W969" s="179" t="str">
        <f t="array" ref="W969">IF($F969&lt;&gt;"",XLOOKUP($F969,Productos!$A:$A,Productos!P:P,"Revisar"),"")</f>
        <v/>
      </c>
      <c r="X969" s="179" t="str">
        <f t="array" ref="X969">IF($F969&lt;&gt;"", XLOOKUP($F969,Productos!$A$2:$A1001,Productos!Q$2:Q1001,"")*$G969,"")</f>
        <v/>
      </c>
      <c r="Y969" s="179" t="str">
        <f t="array" ref="Y969">IF($F969&lt;&gt;"",XLOOKUP($F969,Productos!$A:$A,Productos!R:R,"Revisar"),"")</f>
        <v/>
      </c>
      <c r="Z969" s="179" t="str">
        <f t="array" ref="Z969">IF($F969&lt;&gt;"", XLOOKUP($F969,Productos!$A$2:$A1001,Productos!S$2:S1001,"")*$G969,"")</f>
        <v/>
      </c>
      <c r="AA969" s="179" t="str">
        <f t="array" ref="AA969">IF($F969&lt;&gt;"",XLOOKUP($F969,Productos!$A:$A,Productos!T:T,"Revisar"),"")</f>
        <v/>
      </c>
      <c r="AB969" s="179" t="str">
        <f t="array" ref="AB969">IF($F969&lt;&gt;"", XLOOKUP($F969,Productos!$A$2:$A1001,Productos!U$2:U1001,"")*$G969,"")</f>
        <v/>
      </c>
      <c r="AC969" s="179" t="str">
        <f t="array" ref="AC969">IF($F969&lt;&gt;"",XLOOKUP($F969,Productos!$A:$A,Productos!V:V,"Revisar"),"")</f>
        <v/>
      </c>
      <c r="AD969" s="179" t="str">
        <f t="array" ref="AD969">IF($F969&lt;&gt;"", XLOOKUP($F969,Productos!$A$2:$A1001,Productos!W$2:W1001,"")*$G969,"")</f>
        <v/>
      </c>
      <c r="AE969" s="179" t="str">
        <f t="array" ref="AE969">IF($F969&lt;&gt;"",XLOOKUP($F969,Productos!$A:$A,Productos!X:X,"Revisar"),"")</f>
        <v/>
      </c>
      <c r="AF969" s="179" t="str">
        <f t="array" ref="AF969">IF($F969&lt;&gt;"", XLOOKUP($F969,Productos!$A$2:$A1001,Productos!Y$2:Y1001,"")*$G969,"")</f>
        <v/>
      </c>
      <c r="AG969" s="179" t="str">
        <f t="array" ref="AG969">IF($F969&lt;&gt;"",XLOOKUP($F969,Productos!$A:$A,Productos!Z:Z,"Revisar"),"")</f>
        <v/>
      </c>
      <c r="AH969" s="179" t="str">
        <f t="array" ref="AH969">IF($F969&lt;&gt;"", XLOOKUP($F969,Productos!$A$2:$A1001,Productos!AA$2:AA1001,"")*$G969,"")</f>
        <v/>
      </c>
      <c r="AI969" s="179" t="str">
        <f t="array" ref="AI969">IF($F969&lt;&gt;"",XLOOKUP($F969,Productos!$A:$A,Productos!AB:AB,"Revisar"),"")</f>
        <v/>
      </c>
      <c r="AJ969" s="179" t="str">
        <f t="array" ref="AJ969">IF($F969&lt;&gt;"", XLOOKUP($F969,Productos!$A$2:$A1001,Productos!AC$2:AC1001,"")*$G969,"")</f>
        <v/>
      </c>
      <c r="AK969" s="179" t="str">
        <f t="array" ref="AK969">IF($F969&lt;&gt;"",XLOOKUP($F969,Productos!$A:$A,Productos!AD:AD,"Revisar"),"")</f>
        <v/>
      </c>
      <c r="AL969" s="179" t="str">
        <f t="array" ref="AL969">IF($F969&lt;&gt;"", XLOOKUP($F969,Productos!$A$2:$A1001,Productos!AE$2:AE1001,"")*$G969,"")</f>
        <v/>
      </c>
      <c r="AM969" s="179" t="str">
        <f t="array" ref="AM969">IF($F969&lt;&gt;"",XLOOKUP($F969,Productos!$A:$A,Productos!AF:AF,"Revisar"),"")</f>
        <v/>
      </c>
      <c r="AN969" s="179" t="str">
        <f t="array" ref="AN969">IF($F969&lt;&gt;"", XLOOKUP($F969,Productos!$A$2:$A1001,Productos!AG$2:AG1001,"")*$G969,"")</f>
        <v/>
      </c>
      <c r="AO969" s="179" t="str">
        <f t="array" ref="AO969">IF($F969&lt;&gt;"",XLOOKUP($F969,Productos!$A:$A,Productos!AH:AH,"Revisar"),"")</f>
        <v/>
      </c>
      <c r="AP969" s="179" t="str">
        <f t="array" ref="AP969">IF($F969&lt;&gt;"", XLOOKUP($F969,Productos!$A$2:$A1001,Productos!AI$2:AI1001,"")*$G969,"")</f>
        <v/>
      </c>
      <c r="AQ969" s="179" t="str">
        <f t="array" ref="AQ969">IF($F969&lt;&gt;"",XLOOKUP($F969,Productos!$A:$A,Productos!AJ:AJ,"Revisar"),"")</f>
        <v/>
      </c>
      <c r="AR969" s="179" t="str">
        <f t="array" ref="AR969">IF($F969&lt;&gt;"", XLOOKUP($F969,Productos!$A$2:$A1001,Productos!AK$2:AK1001,"")*$G969,"")</f>
        <v/>
      </c>
      <c r="AS969" s="179" t="str">
        <f t="array" ref="AS969">IF($F969&lt;&gt;"",XLOOKUP($F969,Productos!$A:$A,Productos!AL:AL,"Revisar"),"")</f>
        <v/>
      </c>
      <c r="AT969" s="179" t="str">
        <f t="array" ref="AT969">IF($F969&lt;&gt;"", XLOOKUP($F969,Productos!$A$2:$A1001,Productos!AM$2:AM1001,"")*$G969,"")</f>
        <v/>
      </c>
      <c r="AU969" s="179" t="str">
        <f t="array" ref="AU969">IF($F969&lt;&gt;"",XLOOKUP($F969,Productos!$A:$A,Productos!AN:AN,"Revisar"),"")</f>
        <v/>
      </c>
      <c r="AV969" s="179" t="str">
        <f t="array" ref="AV969">IF($F969&lt;&gt;"", XLOOKUP($F969,Productos!$A$2:$A1001,Productos!AO$2:AO1001,"")*$G969,"")</f>
        <v/>
      </c>
      <c r="AW969" s="179" t="str">
        <f t="array" ref="AW969">IF($F969&lt;&gt;"",XLOOKUP($F969,Productos!$A:$A,Productos!AP:AP,"Revisar"),"")</f>
        <v/>
      </c>
      <c r="AX969" s="179" t="str">
        <f t="array" ref="AX969">IF($F969&lt;&gt;"", XLOOKUP($F969,Productos!$A$2:$A1001,Productos!AQ$2:AQ1001,"")*$G969,"")</f>
        <v/>
      </c>
      <c r="AY969" s="179" t="str">
        <f t="array" ref="AY969">IF($F969&lt;&gt;"",XLOOKUP($F969,Productos!$A:$A,Productos!AR:AR,"Revisar"),"")</f>
        <v/>
      </c>
      <c r="AZ969" s="179" t="str">
        <f t="array" ref="AZ969">IF($F969&lt;&gt;"", XLOOKUP($F969,Productos!$A$2:$A1001,Productos!AS$2:AS1001,"")*$G969,"")</f>
        <v/>
      </c>
      <c r="BA969" s="179" t="str">
        <f t="array" ref="BA969">IF($F969&lt;&gt;"",XLOOKUP($F969,Productos!$A:$A,Productos!AT:AT,"Revisar"),"")</f>
        <v/>
      </c>
      <c r="BB969" s="179" t="str">
        <f t="array" ref="BB969">IF($F969&lt;&gt;"", XLOOKUP($F969,Productos!$A$2:$A1001,Productos!AU$2:AU1001,"")*$G969,"")</f>
        <v/>
      </c>
      <c r="BC969" s="179" t="str">
        <f t="array" ref="BC969">IF($F969&lt;&gt;"",XLOOKUP($F969,Productos!$A:$A,Productos!AV:AV,"Revisar"),"")</f>
        <v/>
      </c>
      <c r="BD969" s="179" t="str">
        <f t="array" ref="BD969">IF($F969&lt;&gt;"", XLOOKUP($F969,Productos!$A$2:$A1001,Productos!AW$2:AW1001,"")*$G969,"")</f>
        <v/>
      </c>
      <c r="BE969" s="179" t="str">
        <f t="array" ref="BE969">IF($F969&lt;&gt;"",XLOOKUP($F969,Productos!$A:$A,Productos!AX:AX,"Revisar"),"")</f>
        <v/>
      </c>
      <c r="BF969" s="179" t="str">
        <f t="array" ref="BF969">IF($F969&lt;&gt;"", XLOOKUP($F969,Productos!$A$2:$A1001,Productos!AY$2:AY1001,"")*$G969,"")</f>
        <v/>
      </c>
      <c r="BG969" s="179" t="str">
        <f t="array" ref="BG969">IF($F969&lt;&gt;"",XLOOKUP($F969,Productos!$A:$A,Productos!AZ:AZ,"Revisar"),"")</f>
        <v/>
      </c>
      <c r="BH969" s="179" t="str">
        <f t="array" ref="BH969">IF($F969&lt;&gt;"", XLOOKUP($F969,Productos!$A$2:$A1001,Productos!BA$2:BA1001,"")*$G969,"")</f>
        <v/>
      </c>
      <c r="BI969" s="179" t="str">
        <f t="array" ref="BI969">IF($F969&lt;&gt;"",XLOOKUP($F969,Productos!$A:$A,Productos!BB:BB,"Revisar"),"")</f>
        <v/>
      </c>
      <c r="BJ969" s="179" t="str">
        <f t="array" ref="BJ969">IF($F969&lt;&gt;"", XLOOKUP($F969,Productos!$A$2:$A1001,Productos!BC$2:BC1001,"")*$G969,"")</f>
        <v/>
      </c>
      <c r="BK969" s="179" t="str">
        <f t="array" ref="BK969">IF($F969&lt;&gt;"",XLOOKUP($F969,Productos!$A:$A,Productos!BD:BD,"Revisar"),"")</f>
        <v/>
      </c>
      <c r="BL969" s="179" t="str">
        <f t="array" ref="BL969">IF($F969&lt;&gt;"", XLOOKUP($F969,Productos!$A$2:$A1001,Productos!BE$2:BE1001,"")*$G969,"")</f>
        <v/>
      </c>
      <c r="BM969" s="179" t="str">
        <f t="array" ref="BM969">IF($F969&lt;&gt;"",XLOOKUP($F969,Productos!$A:$A,Productos!BF:BF,"Revisar"),"")</f>
        <v/>
      </c>
      <c r="BN969" s="179" t="str">
        <f t="array" ref="BN969">IF($F969&lt;&gt;"", XLOOKUP($F969,Productos!$A$2:$A1001,Productos!BG$2:BG1001,"")*$G969,"")</f>
        <v/>
      </c>
      <c r="BO969" s="179" t="str">
        <f t="array" ref="BO969">IF($F969&lt;&gt;"",XLOOKUP($F969,Productos!$A:$A,Productos!BH:BH,"Revisar"),"")</f>
        <v/>
      </c>
      <c r="BP969" s="179" t="str">
        <f t="array" ref="BP969">IF($F969&lt;&gt;"", XLOOKUP($F969,Productos!$A$2:$A1001,Productos!BI$2:BI1001,"")*$G969,"")</f>
        <v/>
      </c>
      <c r="BQ969" s="179" t="str">
        <f t="array" ref="BQ969">IF($F969&lt;&gt;"",XLOOKUP($F969,Productos!$A:$A,Productos!BJ:BJ,"Revisar"),"")</f>
        <v/>
      </c>
      <c r="BR969" s="179" t="str">
        <f t="array" ref="BR969">IF($F969&lt;&gt;"", XLOOKUP($F969,Productos!$A$2:$A1001,Productos!BK$2:BK1001,"")*$G969,"")</f>
        <v/>
      </c>
      <c r="BS969" s="179" t="str">
        <f t="array" ref="BS969">IF($F969&lt;&gt;"",XLOOKUP($F969,Productos!$A:$A,Productos!BL:BL,"Revisar"),"")</f>
        <v/>
      </c>
      <c r="BT969" s="179" t="str">
        <f t="array" ref="BT969">IF($F969&lt;&gt;"", XLOOKUP($F969,Productos!$A$2:$A1001,Productos!BM$2:BM1001,"")*$G969,"")</f>
        <v/>
      </c>
      <c r="BU969" s="179" t="str">
        <f t="array" ref="BU969">IF($F969&lt;&gt;"",XLOOKUP($F969,Productos!$A:$A,Productos!BN:BN,"Revisar"),"")</f>
        <v/>
      </c>
      <c r="BV969" s="179" t="str">
        <f t="array" ref="BV969">IF($F969&lt;&gt;"", XLOOKUP($F969,Productos!$A$2:$A1001,Productos!BO$2:BO1001,"")*$G969,"")</f>
        <v/>
      </c>
      <c r="BW969" s="179" t="str">
        <f t="array" ref="BW969">IF($F969&lt;&gt;"",XLOOKUP($F969,Productos!$A:$A,Productos!BP:BP,"Revisar"),"")</f>
        <v/>
      </c>
      <c r="BX969" s="179" t="str">
        <f t="array" ref="BX969">IF($F969&lt;&gt;"", XLOOKUP($F969,Productos!$A$2:$A1001,Productos!BQ$2:BQ1001,"")*$G969,"")</f>
        <v/>
      </c>
      <c r="BY969" s="179" t="str">
        <f t="array" ref="BY969">IF($F969&lt;&gt;"",XLOOKUP($F969,Productos!$A:$A,Productos!BR:BR,"Revisar"),"")</f>
        <v/>
      </c>
      <c r="BZ969" s="179" t="str">
        <f t="array" ref="BZ969">IF($F969&lt;&gt;"", XLOOKUP($F969,Productos!$A$2:$A1001,Productos!BS$2:BS1001,"")*$G969,"")</f>
        <v/>
      </c>
    </row>
    <row r="970">
      <c r="A970" s="188"/>
      <c r="B970" s="189"/>
      <c r="C970" s="190"/>
      <c r="D970" s="190"/>
      <c r="E970" s="191"/>
      <c r="F970" s="186"/>
      <c r="G970" s="192"/>
      <c r="H970" s="9"/>
      <c r="I970" s="179" t="str">
        <f t="array" ref="I970">IF($F970&lt;&gt;"",XLOOKUP($F970,Productos!$A:$A,Productos!B:B,"Revisar"),"")</f>
        <v/>
      </c>
      <c r="J970" s="179" t="str">
        <f t="array" ref="J970">IF($F970&lt;&gt;"", XLOOKUP($F970,Productos!$A$2:$A1001,Productos!C$2:C1001,"")*$G970,"")</f>
        <v/>
      </c>
      <c r="K970" s="179" t="str">
        <f t="array" ref="K970">IF($F970&lt;&gt;"",XLOOKUP($F970,Productos!$A:$A,Productos!D:D,"Revisar"),"")</f>
        <v/>
      </c>
      <c r="L970" s="179" t="str">
        <f t="array" ref="L970">IF($F970&lt;&gt;"", XLOOKUP($F970,Productos!$A$2:$A1001,Productos!E$2:E1001,"")*$G970,"")</f>
        <v/>
      </c>
      <c r="M970" s="179" t="str">
        <f t="array" ref="M970">IF($F970&lt;&gt;"",XLOOKUP($F970,Productos!$A:$A,Productos!F:F,"Revisar"),"")</f>
        <v/>
      </c>
      <c r="N970" s="179" t="str">
        <f t="array" ref="N970">IF($F970&lt;&gt;"", XLOOKUP($F970,Productos!$A$2:$A1001,Productos!G$2:G1001,"")*$G970,"")</f>
        <v/>
      </c>
      <c r="O970" s="179" t="str">
        <f t="array" ref="O970">IF($F970&lt;&gt;"",XLOOKUP($F970,Productos!$A:$A,Productos!H:H,"Revisar"),"")</f>
        <v/>
      </c>
      <c r="P970" s="179" t="str">
        <f t="array" ref="P970">IF($F970&lt;&gt;"", XLOOKUP($F970,Productos!$A$2:$A1001,Productos!I$2:I1001,"")*$G970,"")</f>
        <v/>
      </c>
      <c r="Q970" s="179" t="str">
        <f t="array" ref="Q970">IF($F970&lt;&gt;"",XLOOKUP($F970,Productos!$A:$A,Productos!J:J,"Revisar"),"")</f>
        <v/>
      </c>
      <c r="R970" s="179" t="str">
        <f t="array" ref="R970">IF($F970&lt;&gt;"", XLOOKUP($F970,Productos!$A$2:$A1001,Productos!K$2:K1001,"")*$G970,"")</f>
        <v/>
      </c>
      <c r="S970" s="179" t="str">
        <f t="array" ref="S970">IF($F970&lt;&gt;"",XLOOKUP($F970,Productos!$A:$A,Productos!L:L,"Revisar"),"")</f>
        <v/>
      </c>
      <c r="T970" s="179" t="str">
        <f t="array" ref="T970">IF($F970&lt;&gt;"", XLOOKUP($F970,Productos!$A$2:$A1001,Productos!M$2:M1001,"")*$G970,"")</f>
        <v/>
      </c>
      <c r="U970" s="179" t="str">
        <f t="array" ref="U970">IF($F970&lt;&gt;"",XLOOKUP($F970,Productos!$A:$A,Productos!N:N,"Revisar"),"")</f>
        <v/>
      </c>
      <c r="V970" s="179" t="str">
        <f t="array" ref="V970">IF($F970&lt;&gt;"", XLOOKUP($F970,Productos!$A$2:$A1001,Productos!O$2:O1001,"")*$G970,"")</f>
        <v/>
      </c>
      <c r="W970" s="179" t="str">
        <f t="array" ref="W970">IF($F970&lt;&gt;"",XLOOKUP($F970,Productos!$A:$A,Productos!P:P,"Revisar"),"")</f>
        <v/>
      </c>
      <c r="X970" s="179" t="str">
        <f t="array" ref="X970">IF($F970&lt;&gt;"", XLOOKUP($F970,Productos!$A$2:$A1001,Productos!Q$2:Q1001,"")*$G970,"")</f>
        <v/>
      </c>
      <c r="Y970" s="179" t="str">
        <f t="array" ref="Y970">IF($F970&lt;&gt;"",XLOOKUP($F970,Productos!$A:$A,Productos!R:R,"Revisar"),"")</f>
        <v/>
      </c>
      <c r="Z970" s="179" t="str">
        <f t="array" ref="Z970">IF($F970&lt;&gt;"", XLOOKUP($F970,Productos!$A$2:$A1001,Productos!S$2:S1001,"")*$G970,"")</f>
        <v/>
      </c>
      <c r="AA970" s="179" t="str">
        <f t="array" ref="AA970">IF($F970&lt;&gt;"",XLOOKUP($F970,Productos!$A:$A,Productos!T:T,"Revisar"),"")</f>
        <v/>
      </c>
      <c r="AB970" s="179" t="str">
        <f t="array" ref="AB970">IF($F970&lt;&gt;"", XLOOKUP($F970,Productos!$A$2:$A1001,Productos!U$2:U1001,"")*$G970,"")</f>
        <v/>
      </c>
      <c r="AC970" s="179" t="str">
        <f t="array" ref="AC970">IF($F970&lt;&gt;"",XLOOKUP($F970,Productos!$A:$A,Productos!V:V,"Revisar"),"")</f>
        <v/>
      </c>
      <c r="AD970" s="179" t="str">
        <f t="array" ref="AD970">IF($F970&lt;&gt;"", XLOOKUP($F970,Productos!$A$2:$A1001,Productos!W$2:W1001,"")*$G970,"")</f>
        <v/>
      </c>
      <c r="AE970" s="179" t="str">
        <f t="array" ref="AE970">IF($F970&lt;&gt;"",XLOOKUP($F970,Productos!$A:$A,Productos!X:X,"Revisar"),"")</f>
        <v/>
      </c>
      <c r="AF970" s="179" t="str">
        <f t="array" ref="AF970">IF($F970&lt;&gt;"", XLOOKUP($F970,Productos!$A$2:$A1001,Productos!Y$2:Y1001,"")*$G970,"")</f>
        <v/>
      </c>
      <c r="AG970" s="179" t="str">
        <f t="array" ref="AG970">IF($F970&lt;&gt;"",XLOOKUP($F970,Productos!$A:$A,Productos!Z:Z,"Revisar"),"")</f>
        <v/>
      </c>
      <c r="AH970" s="179" t="str">
        <f t="array" ref="AH970">IF($F970&lt;&gt;"", XLOOKUP($F970,Productos!$A$2:$A1001,Productos!AA$2:AA1001,"")*$G970,"")</f>
        <v/>
      </c>
      <c r="AI970" s="179" t="str">
        <f t="array" ref="AI970">IF($F970&lt;&gt;"",XLOOKUP($F970,Productos!$A:$A,Productos!AB:AB,"Revisar"),"")</f>
        <v/>
      </c>
      <c r="AJ970" s="179" t="str">
        <f t="array" ref="AJ970">IF($F970&lt;&gt;"", XLOOKUP($F970,Productos!$A$2:$A1001,Productos!AC$2:AC1001,"")*$G970,"")</f>
        <v/>
      </c>
      <c r="AK970" s="179" t="str">
        <f t="array" ref="AK970">IF($F970&lt;&gt;"",XLOOKUP($F970,Productos!$A:$A,Productos!AD:AD,"Revisar"),"")</f>
        <v/>
      </c>
      <c r="AL970" s="179" t="str">
        <f t="array" ref="AL970">IF($F970&lt;&gt;"", XLOOKUP($F970,Productos!$A$2:$A1001,Productos!AE$2:AE1001,"")*$G970,"")</f>
        <v/>
      </c>
      <c r="AM970" s="179" t="str">
        <f t="array" ref="AM970">IF($F970&lt;&gt;"",XLOOKUP($F970,Productos!$A:$A,Productos!AF:AF,"Revisar"),"")</f>
        <v/>
      </c>
      <c r="AN970" s="179" t="str">
        <f t="array" ref="AN970">IF($F970&lt;&gt;"", XLOOKUP($F970,Productos!$A$2:$A1001,Productos!AG$2:AG1001,"")*$G970,"")</f>
        <v/>
      </c>
      <c r="AO970" s="179" t="str">
        <f t="array" ref="AO970">IF($F970&lt;&gt;"",XLOOKUP($F970,Productos!$A:$A,Productos!AH:AH,"Revisar"),"")</f>
        <v/>
      </c>
      <c r="AP970" s="179" t="str">
        <f t="array" ref="AP970">IF($F970&lt;&gt;"", XLOOKUP($F970,Productos!$A$2:$A1001,Productos!AI$2:AI1001,"")*$G970,"")</f>
        <v/>
      </c>
      <c r="AQ970" s="179" t="str">
        <f t="array" ref="AQ970">IF($F970&lt;&gt;"",XLOOKUP($F970,Productos!$A:$A,Productos!AJ:AJ,"Revisar"),"")</f>
        <v/>
      </c>
      <c r="AR970" s="179" t="str">
        <f t="array" ref="AR970">IF($F970&lt;&gt;"", XLOOKUP($F970,Productos!$A$2:$A1001,Productos!AK$2:AK1001,"")*$G970,"")</f>
        <v/>
      </c>
      <c r="AS970" s="179" t="str">
        <f t="array" ref="AS970">IF($F970&lt;&gt;"",XLOOKUP($F970,Productos!$A:$A,Productos!AL:AL,"Revisar"),"")</f>
        <v/>
      </c>
      <c r="AT970" s="179" t="str">
        <f t="array" ref="AT970">IF($F970&lt;&gt;"", XLOOKUP($F970,Productos!$A$2:$A1001,Productos!AM$2:AM1001,"")*$G970,"")</f>
        <v/>
      </c>
      <c r="AU970" s="179" t="str">
        <f t="array" ref="AU970">IF($F970&lt;&gt;"",XLOOKUP($F970,Productos!$A:$A,Productos!AN:AN,"Revisar"),"")</f>
        <v/>
      </c>
      <c r="AV970" s="179" t="str">
        <f t="array" ref="AV970">IF($F970&lt;&gt;"", XLOOKUP($F970,Productos!$A$2:$A1001,Productos!AO$2:AO1001,"")*$G970,"")</f>
        <v/>
      </c>
      <c r="AW970" s="179" t="str">
        <f t="array" ref="AW970">IF($F970&lt;&gt;"",XLOOKUP($F970,Productos!$A:$A,Productos!AP:AP,"Revisar"),"")</f>
        <v/>
      </c>
      <c r="AX970" s="179" t="str">
        <f t="array" ref="AX970">IF($F970&lt;&gt;"", XLOOKUP($F970,Productos!$A$2:$A1001,Productos!AQ$2:AQ1001,"")*$G970,"")</f>
        <v/>
      </c>
      <c r="AY970" s="179" t="str">
        <f t="array" ref="AY970">IF($F970&lt;&gt;"",XLOOKUP($F970,Productos!$A:$A,Productos!AR:AR,"Revisar"),"")</f>
        <v/>
      </c>
      <c r="AZ970" s="179" t="str">
        <f t="array" ref="AZ970">IF($F970&lt;&gt;"", XLOOKUP($F970,Productos!$A$2:$A1001,Productos!AS$2:AS1001,"")*$G970,"")</f>
        <v/>
      </c>
      <c r="BA970" s="179" t="str">
        <f t="array" ref="BA970">IF($F970&lt;&gt;"",XLOOKUP($F970,Productos!$A:$A,Productos!AT:AT,"Revisar"),"")</f>
        <v/>
      </c>
      <c r="BB970" s="179" t="str">
        <f t="array" ref="BB970">IF($F970&lt;&gt;"", XLOOKUP($F970,Productos!$A$2:$A1001,Productos!AU$2:AU1001,"")*$G970,"")</f>
        <v/>
      </c>
      <c r="BC970" s="179" t="str">
        <f t="array" ref="BC970">IF($F970&lt;&gt;"",XLOOKUP($F970,Productos!$A:$A,Productos!AV:AV,"Revisar"),"")</f>
        <v/>
      </c>
      <c r="BD970" s="179" t="str">
        <f t="array" ref="BD970">IF($F970&lt;&gt;"", XLOOKUP($F970,Productos!$A$2:$A1001,Productos!AW$2:AW1001,"")*$G970,"")</f>
        <v/>
      </c>
      <c r="BE970" s="179" t="str">
        <f t="array" ref="BE970">IF($F970&lt;&gt;"",XLOOKUP($F970,Productos!$A:$A,Productos!AX:AX,"Revisar"),"")</f>
        <v/>
      </c>
      <c r="BF970" s="179" t="str">
        <f t="array" ref="BF970">IF($F970&lt;&gt;"", XLOOKUP($F970,Productos!$A$2:$A1001,Productos!AY$2:AY1001,"")*$G970,"")</f>
        <v/>
      </c>
      <c r="BG970" s="179" t="str">
        <f t="array" ref="BG970">IF($F970&lt;&gt;"",XLOOKUP($F970,Productos!$A:$A,Productos!AZ:AZ,"Revisar"),"")</f>
        <v/>
      </c>
      <c r="BH970" s="179" t="str">
        <f t="array" ref="BH970">IF($F970&lt;&gt;"", XLOOKUP($F970,Productos!$A$2:$A1001,Productos!BA$2:BA1001,"")*$G970,"")</f>
        <v/>
      </c>
      <c r="BI970" s="179" t="str">
        <f t="array" ref="BI970">IF($F970&lt;&gt;"",XLOOKUP($F970,Productos!$A:$A,Productos!BB:BB,"Revisar"),"")</f>
        <v/>
      </c>
      <c r="BJ970" s="179" t="str">
        <f t="array" ref="BJ970">IF($F970&lt;&gt;"", XLOOKUP($F970,Productos!$A$2:$A1001,Productos!BC$2:BC1001,"")*$G970,"")</f>
        <v/>
      </c>
      <c r="BK970" s="179" t="str">
        <f t="array" ref="BK970">IF($F970&lt;&gt;"",XLOOKUP($F970,Productos!$A:$A,Productos!BD:BD,"Revisar"),"")</f>
        <v/>
      </c>
      <c r="BL970" s="179" t="str">
        <f t="array" ref="BL970">IF($F970&lt;&gt;"", XLOOKUP($F970,Productos!$A$2:$A1001,Productos!BE$2:BE1001,"")*$G970,"")</f>
        <v/>
      </c>
      <c r="BM970" s="179" t="str">
        <f t="array" ref="BM970">IF($F970&lt;&gt;"",XLOOKUP($F970,Productos!$A:$A,Productos!BF:BF,"Revisar"),"")</f>
        <v/>
      </c>
      <c r="BN970" s="179" t="str">
        <f t="array" ref="BN970">IF($F970&lt;&gt;"", XLOOKUP($F970,Productos!$A$2:$A1001,Productos!BG$2:BG1001,"")*$G970,"")</f>
        <v/>
      </c>
      <c r="BO970" s="179" t="str">
        <f t="array" ref="BO970">IF($F970&lt;&gt;"",XLOOKUP($F970,Productos!$A:$A,Productos!BH:BH,"Revisar"),"")</f>
        <v/>
      </c>
      <c r="BP970" s="179" t="str">
        <f t="array" ref="BP970">IF($F970&lt;&gt;"", XLOOKUP($F970,Productos!$A$2:$A1001,Productos!BI$2:BI1001,"")*$G970,"")</f>
        <v/>
      </c>
      <c r="BQ970" s="179" t="str">
        <f t="array" ref="BQ970">IF($F970&lt;&gt;"",XLOOKUP($F970,Productos!$A:$A,Productos!BJ:BJ,"Revisar"),"")</f>
        <v/>
      </c>
      <c r="BR970" s="179" t="str">
        <f t="array" ref="BR970">IF($F970&lt;&gt;"", XLOOKUP($F970,Productos!$A$2:$A1001,Productos!BK$2:BK1001,"")*$G970,"")</f>
        <v/>
      </c>
      <c r="BS970" s="179" t="str">
        <f t="array" ref="BS970">IF($F970&lt;&gt;"",XLOOKUP($F970,Productos!$A:$A,Productos!BL:BL,"Revisar"),"")</f>
        <v/>
      </c>
      <c r="BT970" s="179" t="str">
        <f t="array" ref="BT970">IF($F970&lt;&gt;"", XLOOKUP($F970,Productos!$A$2:$A1001,Productos!BM$2:BM1001,"")*$G970,"")</f>
        <v/>
      </c>
      <c r="BU970" s="179" t="str">
        <f t="array" ref="BU970">IF($F970&lt;&gt;"",XLOOKUP($F970,Productos!$A:$A,Productos!BN:BN,"Revisar"),"")</f>
        <v/>
      </c>
      <c r="BV970" s="179" t="str">
        <f t="array" ref="BV970">IF($F970&lt;&gt;"", XLOOKUP($F970,Productos!$A$2:$A1001,Productos!BO$2:BO1001,"")*$G970,"")</f>
        <v/>
      </c>
      <c r="BW970" s="179" t="str">
        <f t="array" ref="BW970">IF($F970&lt;&gt;"",XLOOKUP($F970,Productos!$A:$A,Productos!BP:BP,"Revisar"),"")</f>
        <v/>
      </c>
      <c r="BX970" s="179" t="str">
        <f t="array" ref="BX970">IF($F970&lt;&gt;"", XLOOKUP($F970,Productos!$A$2:$A1001,Productos!BQ$2:BQ1001,"")*$G970,"")</f>
        <v/>
      </c>
      <c r="BY970" s="179" t="str">
        <f t="array" ref="BY970">IF($F970&lt;&gt;"",XLOOKUP($F970,Productos!$A:$A,Productos!BR:BR,"Revisar"),"")</f>
        <v/>
      </c>
      <c r="BZ970" s="179" t="str">
        <f t="array" ref="BZ970">IF($F970&lt;&gt;"", XLOOKUP($F970,Productos!$A$2:$A1001,Productos!BS$2:BS1001,"")*$G970,"")</f>
        <v/>
      </c>
    </row>
    <row r="971">
      <c r="A971" s="188"/>
      <c r="B971" s="189"/>
      <c r="C971" s="190"/>
      <c r="D971" s="190"/>
      <c r="E971" s="191"/>
      <c r="F971" s="186"/>
      <c r="G971" s="192"/>
      <c r="H971" s="9"/>
      <c r="I971" s="179" t="str">
        <f t="array" ref="I971">IF($F971&lt;&gt;"",XLOOKUP($F971,Productos!$A:$A,Productos!B:B,"Revisar"),"")</f>
        <v/>
      </c>
      <c r="J971" s="179" t="str">
        <f t="array" ref="J971">IF($F971&lt;&gt;"", XLOOKUP($F971,Productos!$A$2:$A1001,Productos!C$2:C1001,"")*$G971,"")</f>
        <v/>
      </c>
      <c r="K971" s="179" t="str">
        <f t="array" ref="K971">IF($F971&lt;&gt;"",XLOOKUP($F971,Productos!$A:$A,Productos!D:D,"Revisar"),"")</f>
        <v/>
      </c>
      <c r="L971" s="179" t="str">
        <f t="array" ref="L971">IF($F971&lt;&gt;"", XLOOKUP($F971,Productos!$A$2:$A1001,Productos!E$2:E1001,"")*$G971,"")</f>
        <v/>
      </c>
      <c r="M971" s="179" t="str">
        <f t="array" ref="M971">IF($F971&lt;&gt;"",XLOOKUP($F971,Productos!$A:$A,Productos!F:F,"Revisar"),"")</f>
        <v/>
      </c>
      <c r="N971" s="179" t="str">
        <f t="array" ref="N971">IF($F971&lt;&gt;"", XLOOKUP($F971,Productos!$A$2:$A1001,Productos!G$2:G1001,"")*$G971,"")</f>
        <v/>
      </c>
      <c r="O971" s="179" t="str">
        <f t="array" ref="O971">IF($F971&lt;&gt;"",XLOOKUP($F971,Productos!$A:$A,Productos!H:H,"Revisar"),"")</f>
        <v/>
      </c>
      <c r="P971" s="179" t="str">
        <f t="array" ref="P971">IF($F971&lt;&gt;"", XLOOKUP($F971,Productos!$A$2:$A1001,Productos!I$2:I1001,"")*$G971,"")</f>
        <v/>
      </c>
      <c r="Q971" s="179" t="str">
        <f t="array" ref="Q971">IF($F971&lt;&gt;"",XLOOKUP($F971,Productos!$A:$A,Productos!J:J,"Revisar"),"")</f>
        <v/>
      </c>
      <c r="R971" s="179" t="str">
        <f t="array" ref="R971">IF($F971&lt;&gt;"", XLOOKUP($F971,Productos!$A$2:$A1001,Productos!K$2:K1001,"")*$G971,"")</f>
        <v/>
      </c>
      <c r="S971" s="179" t="str">
        <f t="array" ref="S971">IF($F971&lt;&gt;"",XLOOKUP($F971,Productos!$A:$A,Productos!L:L,"Revisar"),"")</f>
        <v/>
      </c>
      <c r="T971" s="179" t="str">
        <f t="array" ref="T971">IF($F971&lt;&gt;"", XLOOKUP($F971,Productos!$A$2:$A1001,Productos!M$2:M1001,"")*$G971,"")</f>
        <v/>
      </c>
      <c r="U971" s="179" t="str">
        <f t="array" ref="U971">IF($F971&lt;&gt;"",XLOOKUP($F971,Productos!$A:$A,Productos!N:N,"Revisar"),"")</f>
        <v/>
      </c>
      <c r="V971" s="179" t="str">
        <f t="array" ref="V971">IF($F971&lt;&gt;"", XLOOKUP($F971,Productos!$A$2:$A1001,Productos!O$2:O1001,"")*$G971,"")</f>
        <v/>
      </c>
      <c r="W971" s="179" t="str">
        <f t="array" ref="W971">IF($F971&lt;&gt;"",XLOOKUP($F971,Productos!$A:$A,Productos!P:P,"Revisar"),"")</f>
        <v/>
      </c>
      <c r="X971" s="179" t="str">
        <f t="array" ref="X971">IF($F971&lt;&gt;"", XLOOKUP($F971,Productos!$A$2:$A1001,Productos!Q$2:Q1001,"")*$G971,"")</f>
        <v/>
      </c>
      <c r="Y971" s="179" t="str">
        <f t="array" ref="Y971">IF($F971&lt;&gt;"",XLOOKUP($F971,Productos!$A:$A,Productos!R:R,"Revisar"),"")</f>
        <v/>
      </c>
      <c r="Z971" s="179" t="str">
        <f t="array" ref="Z971">IF($F971&lt;&gt;"", XLOOKUP($F971,Productos!$A$2:$A1001,Productos!S$2:S1001,"")*$G971,"")</f>
        <v/>
      </c>
      <c r="AA971" s="179" t="str">
        <f t="array" ref="AA971">IF($F971&lt;&gt;"",XLOOKUP($F971,Productos!$A:$A,Productos!T:T,"Revisar"),"")</f>
        <v/>
      </c>
      <c r="AB971" s="179" t="str">
        <f t="array" ref="AB971">IF($F971&lt;&gt;"", XLOOKUP($F971,Productos!$A$2:$A1001,Productos!U$2:U1001,"")*$G971,"")</f>
        <v/>
      </c>
      <c r="AC971" s="179" t="str">
        <f t="array" ref="AC971">IF($F971&lt;&gt;"",XLOOKUP($F971,Productos!$A:$A,Productos!V:V,"Revisar"),"")</f>
        <v/>
      </c>
      <c r="AD971" s="179" t="str">
        <f t="array" ref="AD971">IF($F971&lt;&gt;"", XLOOKUP($F971,Productos!$A$2:$A1001,Productos!W$2:W1001,"")*$G971,"")</f>
        <v/>
      </c>
      <c r="AE971" s="179" t="str">
        <f t="array" ref="AE971">IF($F971&lt;&gt;"",XLOOKUP($F971,Productos!$A:$A,Productos!X:X,"Revisar"),"")</f>
        <v/>
      </c>
      <c r="AF971" s="179" t="str">
        <f t="array" ref="AF971">IF($F971&lt;&gt;"", XLOOKUP($F971,Productos!$A$2:$A1001,Productos!Y$2:Y1001,"")*$G971,"")</f>
        <v/>
      </c>
      <c r="AG971" s="179" t="str">
        <f t="array" ref="AG971">IF($F971&lt;&gt;"",XLOOKUP($F971,Productos!$A:$A,Productos!Z:Z,"Revisar"),"")</f>
        <v/>
      </c>
      <c r="AH971" s="179" t="str">
        <f t="array" ref="AH971">IF($F971&lt;&gt;"", XLOOKUP($F971,Productos!$A$2:$A1001,Productos!AA$2:AA1001,"")*$G971,"")</f>
        <v/>
      </c>
      <c r="AI971" s="179" t="str">
        <f t="array" ref="AI971">IF($F971&lt;&gt;"",XLOOKUP($F971,Productos!$A:$A,Productos!AB:AB,"Revisar"),"")</f>
        <v/>
      </c>
      <c r="AJ971" s="179" t="str">
        <f t="array" ref="AJ971">IF($F971&lt;&gt;"", XLOOKUP($F971,Productos!$A$2:$A1001,Productos!AC$2:AC1001,"")*$G971,"")</f>
        <v/>
      </c>
      <c r="AK971" s="179" t="str">
        <f t="array" ref="AK971">IF($F971&lt;&gt;"",XLOOKUP($F971,Productos!$A:$A,Productos!AD:AD,"Revisar"),"")</f>
        <v/>
      </c>
      <c r="AL971" s="179" t="str">
        <f t="array" ref="AL971">IF($F971&lt;&gt;"", XLOOKUP($F971,Productos!$A$2:$A1001,Productos!AE$2:AE1001,"")*$G971,"")</f>
        <v/>
      </c>
      <c r="AM971" s="179" t="str">
        <f t="array" ref="AM971">IF($F971&lt;&gt;"",XLOOKUP($F971,Productos!$A:$A,Productos!AF:AF,"Revisar"),"")</f>
        <v/>
      </c>
      <c r="AN971" s="179" t="str">
        <f t="array" ref="AN971">IF($F971&lt;&gt;"", XLOOKUP($F971,Productos!$A$2:$A1001,Productos!AG$2:AG1001,"")*$G971,"")</f>
        <v/>
      </c>
      <c r="AO971" s="179" t="str">
        <f t="array" ref="AO971">IF($F971&lt;&gt;"",XLOOKUP($F971,Productos!$A:$A,Productos!AH:AH,"Revisar"),"")</f>
        <v/>
      </c>
      <c r="AP971" s="179" t="str">
        <f t="array" ref="AP971">IF($F971&lt;&gt;"", XLOOKUP($F971,Productos!$A$2:$A1001,Productos!AI$2:AI1001,"")*$G971,"")</f>
        <v/>
      </c>
      <c r="AQ971" s="179" t="str">
        <f t="array" ref="AQ971">IF($F971&lt;&gt;"",XLOOKUP($F971,Productos!$A:$A,Productos!AJ:AJ,"Revisar"),"")</f>
        <v/>
      </c>
      <c r="AR971" s="179" t="str">
        <f t="array" ref="AR971">IF($F971&lt;&gt;"", XLOOKUP($F971,Productos!$A$2:$A1001,Productos!AK$2:AK1001,"")*$G971,"")</f>
        <v/>
      </c>
      <c r="AS971" s="179" t="str">
        <f t="array" ref="AS971">IF($F971&lt;&gt;"",XLOOKUP($F971,Productos!$A:$A,Productos!AL:AL,"Revisar"),"")</f>
        <v/>
      </c>
      <c r="AT971" s="179" t="str">
        <f t="array" ref="AT971">IF($F971&lt;&gt;"", XLOOKUP($F971,Productos!$A$2:$A1001,Productos!AM$2:AM1001,"")*$G971,"")</f>
        <v/>
      </c>
      <c r="AU971" s="179" t="str">
        <f t="array" ref="AU971">IF($F971&lt;&gt;"",XLOOKUP($F971,Productos!$A:$A,Productos!AN:AN,"Revisar"),"")</f>
        <v/>
      </c>
      <c r="AV971" s="179" t="str">
        <f t="array" ref="AV971">IF($F971&lt;&gt;"", XLOOKUP($F971,Productos!$A$2:$A1001,Productos!AO$2:AO1001,"")*$G971,"")</f>
        <v/>
      </c>
      <c r="AW971" s="179" t="str">
        <f t="array" ref="AW971">IF($F971&lt;&gt;"",XLOOKUP($F971,Productos!$A:$A,Productos!AP:AP,"Revisar"),"")</f>
        <v/>
      </c>
      <c r="AX971" s="179" t="str">
        <f t="array" ref="AX971">IF($F971&lt;&gt;"", XLOOKUP($F971,Productos!$A$2:$A1001,Productos!AQ$2:AQ1001,"")*$G971,"")</f>
        <v/>
      </c>
      <c r="AY971" s="179" t="str">
        <f t="array" ref="AY971">IF($F971&lt;&gt;"",XLOOKUP($F971,Productos!$A:$A,Productos!AR:AR,"Revisar"),"")</f>
        <v/>
      </c>
      <c r="AZ971" s="179" t="str">
        <f t="array" ref="AZ971">IF($F971&lt;&gt;"", XLOOKUP($F971,Productos!$A$2:$A1001,Productos!AS$2:AS1001,"")*$G971,"")</f>
        <v/>
      </c>
      <c r="BA971" s="179" t="str">
        <f t="array" ref="BA971">IF($F971&lt;&gt;"",XLOOKUP($F971,Productos!$A:$A,Productos!AT:AT,"Revisar"),"")</f>
        <v/>
      </c>
      <c r="BB971" s="179" t="str">
        <f t="array" ref="BB971">IF($F971&lt;&gt;"", XLOOKUP($F971,Productos!$A$2:$A1001,Productos!AU$2:AU1001,"")*$G971,"")</f>
        <v/>
      </c>
      <c r="BC971" s="179" t="str">
        <f t="array" ref="BC971">IF($F971&lt;&gt;"",XLOOKUP($F971,Productos!$A:$A,Productos!AV:AV,"Revisar"),"")</f>
        <v/>
      </c>
      <c r="BD971" s="179" t="str">
        <f t="array" ref="BD971">IF($F971&lt;&gt;"", XLOOKUP($F971,Productos!$A$2:$A1001,Productos!AW$2:AW1001,"")*$G971,"")</f>
        <v/>
      </c>
      <c r="BE971" s="179" t="str">
        <f t="array" ref="BE971">IF($F971&lt;&gt;"",XLOOKUP($F971,Productos!$A:$A,Productos!AX:AX,"Revisar"),"")</f>
        <v/>
      </c>
      <c r="BF971" s="179" t="str">
        <f t="array" ref="BF971">IF($F971&lt;&gt;"", XLOOKUP($F971,Productos!$A$2:$A1001,Productos!AY$2:AY1001,"")*$G971,"")</f>
        <v/>
      </c>
      <c r="BG971" s="179" t="str">
        <f t="array" ref="BG971">IF($F971&lt;&gt;"",XLOOKUP($F971,Productos!$A:$A,Productos!AZ:AZ,"Revisar"),"")</f>
        <v/>
      </c>
      <c r="BH971" s="179" t="str">
        <f t="array" ref="BH971">IF($F971&lt;&gt;"", XLOOKUP($F971,Productos!$A$2:$A1001,Productos!BA$2:BA1001,"")*$G971,"")</f>
        <v/>
      </c>
      <c r="BI971" s="179" t="str">
        <f t="array" ref="BI971">IF($F971&lt;&gt;"",XLOOKUP($F971,Productos!$A:$A,Productos!BB:BB,"Revisar"),"")</f>
        <v/>
      </c>
      <c r="BJ971" s="179" t="str">
        <f t="array" ref="BJ971">IF($F971&lt;&gt;"", XLOOKUP($F971,Productos!$A$2:$A1001,Productos!BC$2:BC1001,"")*$G971,"")</f>
        <v/>
      </c>
      <c r="BK971" s="179" t="str">
        <f t="array" ref="BK971">IF($F971&lt;&gt;"",XLOOKUP($F971,Productos!$A:$A,Productos!BD:BD,"Revisar"),"")</f>
        <v/>
      </c>
      <c r="BL971" s="179" t="str">
        <f t="array" ref="BL971">IF($F971&lt;&gt;"", XLOOKUP($F971,Productos!$A$2:$A1001,Productos!BE$2:BE1001,"")*$G971,"")</f>
        <v/>
      </c>
      <c r="BM971" s="179" t="str">
        <f t="array" ref="BM971">IF($F971&lt;&gt;"",XLOOKUP($F971,Productos!$A:$A,Productos!BF:BF,"Revisar"),"")</f>
        <v/>
      </c>
      <c r="BN971" s="179" t="str">
        <f t="array" ref="BN971">IF($F971&lt;&gt;"", XLOOKUP($F971,Productos!$A$2:$A1001,Productos!BG$2:BG1001,"")*$G971,"")</f>
        <v/>
      </c>
      <c r="BO971" s="179" t="str">
        <f t="array" ref="BO971">IF($F971&lt;&gt;"",XLOOKUP($F971,Productos!$A:$A,Productos!BH:BH,"Revisar"),"")</f>
        <v/>
      </c>
      <c r="BP971" s="179" t="str">
        <f t="array" ref="BP971">IF($F971&lt;&gt;"", XLOOKUP($F971,Productos!$A$2:$A1001,Productos!BI$2:BI1001,"")*$G971,"")</f>
        <v/>
      </c>
      <c r="BQ971" s="179" t="str">
        <f t="array" ref="BQ971">IF($F971&lt;&gt;"",XLOOKUP($F971,Productos!$A:$A,Productos!BJ:BJ,"Revisar"),"")</f>
        <v/>
      </c>
      <c r="BR971" s="179" t="str">
        <f t="array" ref="BR971">IF($F971&lt;&gt;"", XLOOKUP($F971,Productos!$A$2:$A1001,Productos!BK$2:BK1001,"")*$G971,"")</f>
        <v/>
      </c>
      <c r="BS971" s="179" t="str">
        <f t="array" ref="BS971">IF($F971&lt;&gt;"",XLOOKUP($F971,Productos!$A:$A,Productos!BL:BL,"Revisar"),"")</f>
        <v/>
      </c>
      <c r="BT971" s="179" t="str">
        <f t="array" ref="BT971">IF($F971&lt;&gt;"", XLOOKUP($F971,Productos!$A$2:$A1001,Productos!BM$2:BM1001,"")*$G971,"")</f>
        <v/>
      </c>
      <c r="BU971" s="179" t="str">
        <f t="array" ref="BU971">IF($F971&lt;&gt;"",XLOOKUP($F971,Productos!$A:$A,Productos!BN:BN,"Revisar"),"")</f>
        <v/>
      </c>
      <c r="BV971" s="179" t="str">
        <f t="array" ref="BV971">IF($F971&lt;&gt;"", XLOOKUP($F971,Productos!$A$2:$A1001,Productos!BO$2:BO1001,"")*$G971,"")</f>
        <v/>
      </c>
      <c r="BW971" s="179" t="str">
        <f t="array" ref="BW971">IF($F971&lt;&gt;"",XLOOKUP($F971,Productos!$A:$A,Productos!BP:BP,"Revisar"),"")</f>
        <v/>
      </c>
      <c r="BX971" s="179" t="str">
        <f t="array" ref="BX971">IF($F971&lt;&gt;"", XLOOKUP($F971,Productos!$A$2:$A1001,Productos!BQ$2:BQ1001,"")*$G971,"")</f>
        <v/>
      </c>
      <c r="BY971" s="179" t="str">
        <f t="array" ref="BY971">IF($F971&lt;&gt;"",XLOOKUP($F971,Productos!$A:$A,Productos!BR:BR,"Revisar"),"")</f>
        <v/>
      </c>
      <c r="BZ971" s="179" t="str">
        <f t="array" ref="BZ971">IF($F971&lt;&gt;"", XLOOKUP($F971,Productos!$A$2:$A1001,Productos!BS$2:BS1001,"")*$G971,"")</f>
        <v/>
      </c>
    </row>
    <row r="972">
      <c r="A972" s="188"/>
      <c r="B972" s="189"/>
      <c r="C972" s="190"/>
      <c r="D972" s="190"/>
      <c r="E972" s="191"/>
      <c r="F972" s="186"/>
      <c r="G972" s="192"/>
      <c r="H972" s="9"/>
      <c r="I972" s="179" t="str">
        <f t="array" ref="I972">IF($F972&lt;&gt;"",XLOOKUP($F972,Productos!$A:$A,Productos!B:B,"Revisar"),"")</f>
        <v/>
      </c>
      <c r="J972" s="179" t="str">
        <f t="array" ref="J972">IF($F972&lt;&gt;"", XLOOKUP($F972,Productos!$A$2:$A1001,Productos!C$2:C1001,"")*$G972,"")</f>
        <v/>
      </c>
      <c r="K972" s="179" t="str">
        <f t="array" ref="K972">IF($F972&lt;&gt;"",XLOOKUP($F972,Productos!$A:$A,Productos!D:D,"Revisar"),"")</f>
        <v/>
      </c>
      <c r="L972" s="179" t="str">
        <f t="array" ref="L972">IF($F972&lt;&gt;"", XLOOKUP($F972,Productos!$A$2:$A1001,Productos!E$2:E1001,"")*$G972,"")</f>
        <v/>
      </c>
      <c r="M972" s="179" t="str">
        <f t="array" ref="M972">IF($F972&lt;&gt;"",XLOOKUP($F972,Productos!$A:$A,Productos!F:F,"Revisar"),"")</f>
        <v/>
      </c>
      <c r="N972" s="179" t="str">
        <f t="array" ref="N972">IF($F972&lt;&gt;"", XLOOKUP($F972,Productos!$A$2:$A1001,Productos!G$2:G1001,"")*$G972,"")</f>
        <v/>
      </c>
      <c r="O972" s="179" t="str">
        <f t="array" ref="O972">IF($F972&lt;&gt;"",XLOOKUP($F972,Productos!$A:$A,Productos!H:H,"Revisar"),"")</f>
        <v/>
      </c>
      <c r="P972" s="179" t="str">
        <f t="array" ref="P972">IF($F972&lt;&gt;"", XLOOKUP($F972,Productos!$A$2:$A1001,Productos!I$2:I1001,"")*$G972,"")</f>
        <v/>
      </c>
      <c r="Q972" s="179" t="str">
        <f t="array" ref="Q972">IF($F972&lt;&gt;"",XLOOKUP($F972,Productos!$A:$A,Productos!J:J,"Revisar"),"")</f>
        <v/>
      </c>
      <c r="R972" s="179" t="str">
        <f t="array" ref="R972">IF($F972&lt;&gt;"", XLOOKUP($F972,Productos!$A$2:$A1001,Productos!K$2:K1001,"")*$G972,"")</f>
        <v/>
      </c>
      <c r="S972" s="179" t="str">
        <f t="array" ref="S972">IF($F972&lt;&gt;"",XLOOKUP($F972,Productos!$A:$A,Productos!L:L,"Revisar"),"")</f>
        <v/>
      </c>
      <c r="T972" s="179" t="str">
        <f t="array" ref="T972">IF($F972&lt;&gt;"", XLOOKUP($F972,Productos!$A$2:$A1001,Productos!M$2:M1001,"")*$G972,"")</f>
        <v/>
      </c>
      <c r="U972" s="179" t="str">
        <f t="array" ref="U972">IF($F972&lt;&gt;"",XLOOKUP($F972,Productos!$A:$A,Productos!N:N,"Revisar"),"")</f>
        <v/>
      </c>
      <c r="V972" s="179" t="str">
        <f t="array" ref="V972">IF($F972&lt;&gt;"", XLOOKUP($F972,Productos!$A$2:$A1001,Productos!O$2:O1001,"")*$G972,"")</f>
        <v/>
      </c>
      <c r="W972" s="179" t="str">
        <f t="array" ref="W972">IF($F972&lt;&gt;"",XLOOKUP($F972,Productos!$A:$A,Productos!P:P,"Revisar"),"")</f>
        <v/>
      </c>
      <c r="X972" s="179" t="str">
        <f t="array" ref="X972">IF($F972&lt;&gt;"", XLOOKUP($F972,Productos!$A$2:$A1001,Productos!Q$2:Q1001,"")*$G972,"")</f>
        <v/>
      </c>
      <c r="Y972" s="179" t="str">
        <f t="array" ref="Y972">IF($F972&lt;&gt;"",XLOOKUP($F972,Productos!$A:$A,Productos!R:R,"Revisar"),"")</f>
        <v/>
      </c>
      <c r="Z972" s="179" t="str">
        <f t="array" ref="Z972">IF($F972&lt;&gt;"", XLOOKUP($F972,Productos!$A$2:$A1001,Productos!S$2:S1001,"")*$G972,"")</f>
        <v/>
      </c>
      <c r="AA972" s="179" t="str">
        <f t="array" ref="AA972">IF($F972&lt;&gt;"",XLOOKUP($F972,Productos!$A:$A,Productos!T:T,"Revisar"),"")</f>
        <v/>
      </c>
      <c r="AB972" s="179" t="str">
        <f t="array" ref="AB972">IF($F972&lt;&gt;"", XLOOKUP($F972,Productos!$A$2:$A1001,Productos!U$2:U1001,"")*$G972,"")</f>
        <v/>
      </c>
      <c r="AC972" s="179" t="str">
        <f t="array" ref="AC972">IF($F972&lt;&gt;"",XLOOKUP($F972,Productos!$A:$A,Productos!V:V,"Revisar"),"")</f>
        <v/>
      </c>
      <c r="AD972" s="179" t="str">
        <f t="array" ref="AD972">IF($F972&lt;&gt;"", XLOOKUP($F972,Productos!$A$2:$A1001,Productos!W$2:W1001,"")*$G972,"")</f>
        <v/>
      </c>
      <c r="AE972" s="179" t="str">
        <f t="array" ref="AE972">IF($F972&lt;&gt;"",XLOOKUP($F972,Productos!$A:$A,Productos!X:X,"Revisar"),"")</f>
        <v/>
      </c>
      <c r="AF972" s="179" t="str">
        <f t="array" ref="AF972">IF($F972&lt;&gt;"", XLOOKUP($F972,Productos!$A$2:$A1001,Productos!Y$2:Y1001,"")*$G972,"")</f>
        <v/>
      </c>
      <c r="AG972" s="179" t="str">
        <f t="array" ref="AG972">IF($F972&lt;&gt;"",XLOOKUP($F972,Productos!$A:$A,Productos!Z:Z,"Revisar"),"")</f>
        <v/>
      </c>
      <c r="AH972" s="179" t="str">
        <f t="array" ref="AH972">IF($F972&lt;&gt;"", XLOOKUP($F972,Productos!$A$2:$A1001,Productos!AA$2:AA1001,"")*$G972,"")</f>
        <v/>
      </c>
      <c r="AI972" s="179" t="str">
        <f t="array" ref="AI972">IF($F972&lt;&gt;"",XLOOKUP($F972,Productos!$A:$A,Productos!AB:AB,"Revisar"),"")</f>
        <v/>
      </c>
      <c r="AJ972" s="179" t="str">
        <f t="array" ref="AJ972">IF($F972&lt;&gt;"", XLOOKUP($F972,Productos!$A$2:$A1001,Productos!AC$2:AC1001,"")*$G972,"")</f>
        <v/>
      </c>
      <c r="AK972" s="179" t="str">
        <f t="array" ref="AK972">IF($F972&lt;&gt;"",XLOOKUP($F972,Productos!$A:$A,Productos!AD:AD,"Revisar"),"")</f>
        <v/>
      </c>
      <c r="AL972" s="179" t="str">
        <f t="array" ref="AL972">IF($F972&lt;&gt;"", XLOOKUP($F972,Productos!$A$2:$A1001,Productos!AE$2:AE1001,"")*$G972,"")</f>
        <v/>
      </c>
      <c r="AM972" s="179" t="str">
        <f t="array" ref="AM972">IF($F972&lt;&gt;"",XLOOKUP($F972,Productos!$A:$A,Productos!AF:AF,"Revisar"),"")</f>
        <v/>
      </c>
      <c r="AN972" s="179" t="str">
        <f t="array" ref="AN972">IF($F972&lt;&gt;"", XLOOKUP($F972,Productos!$A$2:$A1001,Productos!AG$2:AG1001,"")*$G972,"")</f>
        <v/>
      </c>
      <c r="AO972" s="179" t="str">
        <f t="array" ref="AO972">IF($F972&lt;&gt;"",XLOOKUP($F972,Productos!$A:$A,Productos!AH:AH,"Revisar"),"")</f>
        <v/>
      </c>
      <c r="AP972" s="179" t="str">
        <f t="array" ref="AP972">IF($F972&lt;&gt;"", XLOOKUP($F972,Productos!$A$2:$A1001,Productos!AI$2:AI1001,"")*$G972,"")</f>
        <v/>
      </c>
      <c r="AQ972" s="179" t="str">
        <f t="array" ref="AQ972">IF($F972&lt;&gt;"",XLOOKUP($F972,Productos!$A:$A,Productos!AJ:AJ,"Revisar"),"")</f>
        <v/>
      </c>
      <c r="AR972" s="179" t="str">
        <f t="array" ref="AR972">IF($F972&lt;&gt;"", XLOOKUP($F972,Productos!$A$2:$A1001,Productos!AK$2:AK1001,"")*$G972,"")</f>
        <v/>
      </c>
      <c r="AS972" s="179" t="str">
        <f t="array" ref="AS972">IF($F972&lt;&gt;"",XLOOKUP($F972,Productos!$A:$A,Productos!AL:AL,"Revisar"),"")</f>
        <v/>
      </c>
      <c r="AT972" s="179" t="str">
        <f t="array" ref="AT972">IF($F972&lt;&gt;"", XLOOKUP($F972,Productos!$A$2:$A1001,Productos!AM$2:AM1001,"")*$G972,"")</f>
        <v/>
      </c>
      <c r="AU972" s="179" t="str">
        <f t="array" ref="AU972">IF($F972&lt;&gt;"",XLOOKUP($F972,Productos!$A:$A,Productos!AN:AN,"Revisar"),"")</f>
        <v/>
      </c>
      <c r="AV972" s="179" t="str">
        <f t="array" ref="AV972">IF($F972&lt;&gt;"", XLOOKUP($F972,Productos!$A$2:$A1001,Productos!AO$2:AO1001,"")*$G972,"")</f>
        <v/>
      </c>
      <c r="AW972" s="179" t="str">
        <f t="array" ref="AW972">IF($F972&lt;&gt;"",XLOOKUP($F972,Productos!$A:$A,Productos!AP:AP,"Revisar"),"")</f>
        <v/>
      </c>
      <c r="AX972" s="179" t="str">
        <f t="array" ref="AX972">IF($F972&lt;&gt;"", XLOOKUP($F972,Productos!$A$2:$A1001,Productos!AQ$2:AQ1001,"")*$G972,"")</f>
        <v/>
      </c>
      <c r="AY972" s="179" t="str">
        <f t="array" ref="AY972">IF($F972&lt;&gt;"",XLOOKUP($F972,Productos!$A:$A,Productos!AR:AR,"Revisar"),"")</f>
        <v/>
      </c>
      <c r="AZ972" s="179" t="str">
        <f t="array" ref="AZ972">IF($F972&lt;&gt;"", XLOOKUP($F972,Productos!$A$2:$A1001,Productos!AS$2:AS1001,"")*$G972,"")</f>
        <v/>
      </c>
      <c r="BA972" s="179" t="str">
        <f t="array" ref="BA972">IF($F972&lt;&gt;"",XLOOKUP($F972,Productos!$A:$A,Productos!AT:AT,"Revisar"),"")</f>
        <v/>
      </c>
      <c r="BB972" s="179" t="str">
        <f t="array" ref="BB972">IF($F972&lt;&gt;"", XLOOKUP($F972,Productos!$A$2:$A1001,Productos!AU$2:AU1001,"")*$G972,"")</f>
        <v/>
      </c>
      <c r="BC972" s="179" t="str">
        <f t="array" ref="BC972">IF($F972&lt;&gt;"",XLOOKUP($F972,Productos!$A:$A,Productos!AV:AV,"Revisar"),"")</f>
        <v/>
      </c>
      <c r="BD972" s="179" t="str">
        <f t="array" ref="BD972">IF($F972&lt;&gt;"", XLOOKUP($F972,Productos!$A$2:$A1001,Productos!AW$2:AW1001,"")*$G972,"")</f>
        <v/>
      </c>
      <c r="BE972" s="179" t="str">
        <f t="array" ref="BE972">IF($F972&lt;&gt;"",XLOOKUP($F972,Productos!$A:$A,Productos!AX:AX,"Revisar"),"")</f>
        <v/>
      </c>
      <c r="BF972" s="179" t="str">
        <f t="array" ref="BF972">IF($F972&lt;&gt;"", XLOOKUP($F972,Productos!$A$2:$A1001,Productos!AY$2:AY1001,"")*$G972,"")</f>
        <v/>
      </c>
      <c r="BG972" s="179" t="str">
        <f t="array" ref="BG972">IF($F972&lt;&gt;"",XLOOKUP($F972,Productos!$A:$A,Productos!AZ:AZ,"Revisar"),"")</f>
        <v/>
      </c>
      <c r="BH972" s="179" t="str">
        <f t="array" ref="BH972">IF($F972&lt;&gt;"", XLOOKUP($F972,Productos!$A$2:$A1001,Productos!BA$2:BA1001,"")*$G972,"")</f>
        <v/>
      </c>
      <c r="BI972" s="179" t="str">
        <f t="array" ref="BI972">IF($F972&lt;&gt;"",XLOOKUP($F972,Productos!$A:$A,Productos!BB:BB,"Revisar"),"")</f>
        <v/>
      </c>
      <c r="BJ972" s="179" t="str">
        <f t="array" ref="BJ972">IF($F972&lt;&gt;"", XLOOKUP($F972,Productos!$A$2:$A1001,Productos!BC$2:BC1001,"")*$G972,"")</f>
        <v/>
      </c>
      <c r="BK972" s="179" t="str">
        <f t="array" ref="BK972">IF($F972&lt;&gt;"",XLOOKUP($F972,Productos!$A:$A,Productos!BD:BD,"Revisar"),"")</f>
        <v/>
      </c>
      <c r="BL972" s="179" t="str">
        <f t="array" ref="BL972">IF($F972&lt;&gt;"", XLOOKUP($F972,Productos!$A$2:$A1001,Productos!BE$2:BE1001,"")*$G972,"")</f>
        <v/>
      </c>
      <c r="BM972" s="179" t="str">
        <f t="array" ref="BM972">IF($F972&lt;&gt;"",XLOOKUP($F972,Productos!$A:$A,Productos!BF:BF,"Revisar"),"")</f>
        <v/>
      </c>
      <c r="BN972" s="179" t="str">
        <f t="array" ref="BN972">IF($F972&lt;&gt;"", XLOOKUP($F972,Productos!$A$2:$A1001,Productos!BG$2:BG1001,"")*$G972,"")</f>
        <v/>
      </c>
      <c r="BO972" s="179" t="str">
        <f t="array" ref="BO972">IF($F972&lt;&gt;"",XLOOKUP($F972,Productos!$A:$A,Productos!BH:BH,"Revisar"),"")</f>
        <v/>
      </c>
      <c r="BP972" s="179" t="str">
        <f t="array" ref="BP972">IF($F972&lt;&gt;"", XLOOKUP($F972,Productos!$A$2:$A1001,Productos!BI$2:BI1001,"")*$G972,"")</f>
        <v/>
      </c>
      <c r="BQ972" s="179" t="str">
        <f t="array" ref="BQ972">IF($F972&lt;&gt;"",XLOOKUP($F972,Productos!$A:$A,Productos!BJ:BJ,"Revisar"),"")</f>
        <v/>
      </c>
      <c r="BR972" s="179" t="str">
        <f t="array" ref="BR972">IF($F972&lt;&gt;"", XLOOKUP($F972,Productos!$A$2:$A1001,Productos!BK$2:BK1001,"")*$G972,"")</f>
        <v/>
      </c>
      <c r="BS972" s="179" t="str">
        <f t="array" ref="BS972">IF($F972&lt;&gt;"",XLOOKUP($F972,Productos!$A:$A,Productos!BL:BL,"Revisar"),"")</f>
        <v/>
      </c>
      <c r="BT972" s="179" t="str">
        <f t="array" ref="BT972">IF($F972&lt;&gt;"", XLOOKUP($F972,Productos!$A$2:$A1001,Productos!BM$2:BM1001,"")*$G972,"")</f>
        <v/>
      </c>
      <c r="BU972" s="179" t="str">
        <f t="array" ref="BU972">IF($F972&lt;&gt;"",XLOOKUP($F972,Productos!$A:$A,Productos!BN:BN,"Revisar"),"")</f>
        <v/>
      </c>
      <c r="BV972" s="179" t="str">
        <f t="array" ref="BV972">IF($F972&lt;&gt;"", XLOOKUP($F972,Productos!$A$2:$A1001,Productos!BO$2:BO1001,"")*$G972,"")</f>
        <v/>
      </c>
      <c r="BW972" s="179" t="str">
        <f t="array" ref="BW972">IF($F972&lt;&gt;"",XLOOKUP($F972,Productos!$A:$A,Productos!BP:BP,"Revisar"),"")</f>
        <v/>
      </c>
      <c r="BX972" s="179" t="str">
        <f t="array" ref="BX972">IF($F972&lt;&gt;"", XLOOKUP($F972,Productos!$A$2:$A1001,Productos!BQ$2:BQ1001,"")*$G972,"")</f>
        <v/>
      </c>
      <c r="BY972" s="179" t="str">
        <f t="array" ref="BY972">IF($F972&lt;&gt;"",XLOOKUP($F972,Productos!$A:$A,Productos!BR:BR,"Revisar"),"")</f>
        <v/>
      </c>
      <c r="BZ972" s="179" t="str">
        <f t="array" ref="BZ972">IF($F972&lt;&gt;"", XLOOKUP($F972,Productos!$A$2:$A1001,Productos!BS$2:BS1001,"")*$G972,"")</f>
        <v/>
      </c>
    </row>
    <row r="973">
      <c r="A973" s="188"/>
      <c r="B973" s="189"/>
      <c r="C973" s="190"/>
      <c r="D973" s="190"/>
      <c r="E973" s="191"/>
      <c r="F973" s="186"/>
      <c r="G973" s="192"/>
      <c r="H973" s="9"/>
      <c r="I973" s="179" t="str">
        <f t="array" ref="I973">IF($F973&lt;&gt;"",XLOOKUP($F973,Productos!$A:$A,Productos!B:B,"Revisar"),"")</f>
        <v/>
      </c>
      <c r="J973" s="179" t="str">
        <f t="array" ref="J973">IF($F973&lt;&gt;"", XLOOKUP($F973,Productos!$A$2:$A1001,Productos!C$2:C1001,"")*$G973,"")</f>
        <v/>
      </c>
      <c r="K973" s="179" t="str">
        <f t="array" ref="K973">IF($F973&lt;&gt;"",XLOOKUP($F973,Productos!$A:$A,Productos!D:D,"Revisar"),"")</f>
        <v/>
      </c>
      <c r="L973" s="179" t="str">
        <f t="array" ref="L973">IF($F973&lt;&gt;"", XLOOKUP($F973,Productos!$A$2:$A1001,Productos!E$2:E1001,"")*$G973,"")</f>
        <v/>
      </c>
      <c r="M973" s="179" t="str">
        <f t="array" ref="M973">IF($F973&lt;&gt;"",XLOOKUP($F973,Productos!$A:$A,Productos!F:F,"Revisar"),"")</f>
        <v/>
      </c>
      <c r="N973" s="179" t="str">
        <f t="array" ref="N973">IF($F973&lt;&gt;"", XLOOKUP($F973,Productos!$A$2:$A1001,Productos!G$2:G1001,"")*$G973,"")</f>
        <v/>
      </c>
      <c r="O973" s="179" t="str">
        <f t="array" ref="O973">IF($F973&lt;&gt;"",XLOOKUP($F973,Productos!$A:$A,Productos!H:H,"Revisar"),"")</f>
        <v/>
      </c>
      <c r="P973" s="179" t="str">
        <f t="array" ref="P973">IF($F973&lt;&gt;"", XLOOKUP($F973,Productos!$A$2:$A1001,Productos!I$2:I1001,"")*$G973,"")</f>
        <v/>
      </c>
      <c r="Q973" s="179" t="str">
        <f t="array" ref="Q973">IF($F973&lt;&gt;"",XLOOKUP($F973,Productos!$A:$A,Productos!J:J,"Revisar"),"")</f>
        <v/>
      </c>
      <c r="R973" s="179" t="str">
        <f t="array" ref="R973">IF($F973&lt;&gt;"", XLOOKUP($F973,Productos!$A$2:$A1001,Productos!K$2:K1001,"")*$G973,"")</f>
        <v/>
      </c>
      <c r="S973" s="179" t="str">
        <f t="array" ref="S973">IF($F973&lt;&gt;"",XLOOKUP($F973,Productos!$A:$A,Productos!L:L,"Revisar"),"")</f>
        <v/>
      </c>
      <c r="T973" s="179" t="str">
        <f t="array" ref="T973">IF($F973&lt;&gt;"", XLOOKUP($F973,Productos!$A$2:$A1001,Productos!M$2:M1001,"")*$G973,"")</f>
        <v/>
      </c>
      <c r="U973" s="179" t="str">
        <f t="array" ref="U973">IF($F973&lt;&gt;"",XLOOKUP($F973,Productos!$A:$A,Productos!N:N,"Revisar"),"")</f>
        <v/>
      </c>
      <c r="V973" s="179" t="str">
        <f t="array" ref="V973">IF($F973&lt;&gt;"", XLOOKUP($F973,Productos!$A$2:$A1001,Productos!O$2:O1001,"")*$G973,"")</f>
        <v/>
      </c>
      <c r="W973" s="179" t="str">
        <f t="array" ref="W973">IF($F973&lt;&gt;"",XLOOKUP($F973,Productos!$A:$A,Productos!P:P,"Revisar"),"")</f>
        <v/>
      </c>
      <c r="X973" s="179" t="str">
        <f t="array" ref="X973">IF($F973&lt;&gt;"", XLOOKUP($F973,Productos!$A$2:$A1001,Productos!Q$2:Q1001,"")*$G973,"")</f>
        <v/>
      </c>
      <c r="Y973" s="179" t="str">
        <f t="array" ref="Y973">IF($F973&lt;&gt;"",XLOOKUP($F973,Productos!$A:$A,Productos!R:R,"Revisar"),"")</f>
        <v/>
      </c>
      <c r="Z973" s="179" t="str">
        <f t="array" ref="Z973">IF($F973&lt;&gt;"", XLOOKUP($F973,Productos!$A$2:$A1001,Productos!S$2:S1001,"")*$G973,"")</f>
        <v/>
      </c>
      <c r="AA973" s="179" t="str">
        <f t="array" ref="AA973">IF($F973&lt;&gt;"",XLOOKUP($F973,Productos!$A:$A,Productos!T:T,"Revisar"),"")</f>
        <v/>
      </c>
      <c r="AB973" s="179" t="str">
        <f t="array" ref="AB973">IF($F973&lt;&gt;"", XLOOKUP($F973,Productos!$A$2:$A1001,Productos!U$2:U1001,"")*$G973,"")</f>
        <v/>
      </c>
      <c r="AC973" s="179" t="str">
        <f t="array" ref="AC973">IF($F973&lt;&gt;"",XLOOKUP($F973,Productos!$A:$A,Productos!V:V,"Revisar"),"")</f>
        <v/>
      </c>
      <c r="AD973" s="179" t="str">
        <f t="array" ref="AD973">IF($F973&lt;&gt;"", XLOOKUP($F973,Productos!$A$2:$A1001,Productos!W$2:W1001,"")*$G973,"")</f>
        <v/>
      </c>
      <c r="AE973" s="179" t="str">
        <f t="array" ref="AE973">IF($F973&lt;&gt;"",XLOOKUP($F973,Productos!$A:$A,Productos!X:X,"Revisar"),"")</f>
        <v/>
      </c>
      <c r="AF973" s="179" t="str">
        <f t="array" ref="AF973">IF($F973&lt;&gt;"", XLOOKUP($F973,Productos!$A$2:$A1001,Productos!Y$2:Y1001,"")*$G973,"")</f>
        <v/>
      </c>
      <c r="AG973" s="179" t="str">
        <f t="array" ref="AG973">IF($F973&lt;&gt;"",XLOOKUP($F973,Productos!$A:$A,Productos!Z:Z,"Revisar"),"")</f>
        <v/>
      </c>
      <c r="AH973" s="179" t="str">
        <f t="array" ref="AH973">IF($F973&lt;&gt;"", XLOOKUP($F973,Productos!$A$2:$A1001,Productos!AA$2:AA1001,"")*$G973,"")</f>
        <v/>
      </c>
      <c r="AI973" s="179" t="str">
        <f t="array" ref="AI973">IF($F973&lt;&gt;"",XLOOKUP($F973,Productos!$A:$A,Productos!AB:AB,"Revisar"),"")</f>
        <v/>
      </c>
      <c r="AJ973" s="179" t="str">
        <f t="array" ref="AJ973">IF($F973&lt;&gt;"", XLOOKUP($F973,Productos!$A$2:$A1001,Productos!AC$2:AC1001,"")*$G973,"")</f>
        <v/>
      </c>
      <c r="AK973" s="179" t="str">
        <f t="array" ref="AK973">IF($F973&lt;&gt;"",XLOOKUP($F973,Productos!$A:$A,Productos!AD:AD,"Revisar"),"")</f>
        <v/>
      </c>
      <c r="AL973" s="179" t="str">
        <f t="array" ref="AL973">IF($F973&lt;&gt;"", XLOOKUP($F973,Productos!$A$2:$A1001,Productos!AE$2:AE1001,"")*$G973,"")</f>
        <v/>
      </c>
      <c r="AM973" s="179" t="str">
        <f t="array" ref="AM973">IF($F973&lt;&gt;"",XLOOKUP($F973,Productos!$A:$A,Productos!AF:AF,"Revisar"),"")</f>
        <v/>
      </c>
      <c r="AN973" s="179" t="str">
        <f t="array" ref="AN973">IF($F973&lt;&gt;"", XLOOKUP($F973,Productos!$A$2:$A1001,Productos!AG$2:AG1001,"")*$G973,"")</f>
        <v/>
      </c>
      <c r="AO973" s="179" t="str">
        <f t="array" ref="AO973">IF($F973&lt;&gt;"",XLOOKUP($F973,Productos!$A:$A,Productos!AH:AH,"Revisar"),"")</f>
        <v/>
      </c>
      <c r="AP973" s="179" t="str">
        <f t="array" ref="AP973">IF($F973&lt;&gt;"", XLOOKUP($F973,Productos!$A$2:$A1001,Productos!AI$2:AI1001,"")*$G973,"")</f>
        <v/>
      </c>
      <c r="AQ973" s="179" t="str">
        <f t="array" ref="AQ973">IF($F973&lt;&gt;"",XLOOKUP($F973,Productos!$A:$A,Productos!AJ:AJ,"Revisar"),"")</f>
        <v/>
      </c>
      <c r="AR973" s="179" t="str">
        <f t="array" ref="AR973">IF($F973&lt;&gt;"", XLOOKUP($F973,Productos!$A$2:$A1001,Productos!AK$2:AK1001,"")*$G973,"")</f>
        <v/>
      </c>
      <c r="AS973" s="179" t="str">
        <f t="array" ref="AS973">IF($F973&lt;&gt;"",XLOOKUP($F973,Productos!$A:$A,Productos!AL:AL,"Revisar"),"")</f>
        <v/>
      </c>
      <c r="AT973" s="179" t="str">
        <f t="array" ref="AT973">IF($F973&lt;&gt;"", XLOOKUP($F973,Productos!$A$2:$A1001,Productos!AM$2:AM1001,"")*$G973,"")</f>
        <v/>
      </c>
      <c r="AU973" s="179" t="str">
        <f t="array" ref="AU973">IF($F973&lt;&gt;"",XLOOKUP($F973,Productos!$A:$A,Productos!AN:AN,"Revisar"),"")</f>
        <v/>
      </c>
      <c r="AV973" s="179" t="str">
        <f t="array" ref="AV973">IF($F973&lt;&gt;"", XLOOKUP($F973,Productos!$A$2:$A1001,Productos!AO$2:AO1001,"")*$G973,"")</f>
        <v/>
      </c>
      <c r="AW973" s="179" t="str">
        <f t="array" ref="AW973">IF($F973&lt;&gt;"",XLOOKUP($F973,Productos!$A:$A,Productos!AP:AP,"Revisar"),"")</f>
        <v/>
      </c>
      <c r="AX973" s="179" t="str">
        <f t="array" ref="AX973">IF($F973&lt;&gt;"", XLOOKUP($F973,Productos!$A$2:$A1001,Productos!AQ$2:AQ1001,"")*$G973,"")</f>
        <v/>
      </c>
      <c r="AY973" s="179" t="str">
        <f t="array" ref="AY973">IF($F973&lt;&gt;"",XLOOKUP($F973,Productos!$A:$A,Productos!AR:AR,"Revisar"),"")</f>
        <v/>
      </c>
      <c r="AZ973" s="179" t="str">
        <f t="array" ref="AZ973">IF($F973&lt;&gt;"", XLOOKUP($F973,Productos!$A$2:$A1001,Productos!AS$2:AS1001,"")*$G973,"")</f>
        <v/>
      </c>
      <c r="BA973" s="179" t="str">
        <f t="array" ref="BA973">IF($F973&lt;&gt;"",XLOOKUP($F973,Productos!$A:$A,Productos!AT:AT,"Revisar"),"")</f>
        <v/>
      </c>
      <c r="BB973" s="179" t="str">
        <f t="array" ref="BB973">IF($F973&lt;&gt;"", XLOOKUP($F973,Productos!$A$2:$A1001,Productos!AU$2:AU1001,"")*$G973,"")</f>
        <v/>
      </c>
      <c r="BC973" s="179" t="str">
        <f t="array" ref="BC973">IF($F973&lt;&gt;"",XLOOKUP($F973,Productos!$A:$A,Productos!AV:AV,"Revisar"),"")</f>
        <v/>
      </c>
      <c r="BD973" s="179" t="str">
        <f t="array" ref="BD973">IF($F973&lt;&gt;"", XLOOKUP($F973,Productos!$A$2:$A1001,Productos!AW$2:AW1001,"")*$G973,"")</f>
        <v/>
      </c>
      <c r="BE973" s="179" t="str">
        <f t="array" ref="BE973">IF($F973&lt;&gt;"",XLOOKUP($F973,Productos!$A:$A,Productos!AX:AX,"Revisar"),"")</f>
        <v/>
      </c>
      <c r="BF973" s="179" t="str">
        <f t="array" ref="BF973">IF($F973&lt;&gt;"", XLOOKUP($F973,Productos!$A$2:$A1001,Productos!AY$2:AY1001,"")*$G973,"")</f>
        <v/>
      </c>
      <c r="BG973" s="179" t="str">
        <f t="array" ref="BG973">IF($F973&lt;&gt;"",XLOOKUP($F973,Productos!$A:$A,Productos!AZ:AZ,"Revisar"),"")</f>
        <v/>
      </c>
      <c r="BH973" s="179" t="str">
        <f t="array" ref="BH973">IF($F973&lt;&gt;"", XLOOKUP($F973,Productos!$A$2:$A1001,Productos!BA$2:BA1001,"")*$G973,"")</f>
        <v/>
      </c>
      <c r="BI973" s="179" t="str">
        <f t="array" ref="BI973">IF($F973&lt;&gt;"",XLOOKUP($F973,Productos!$A:$A,Productos!BB:BB,"Revisar"),"")</f>
        <v/>
      </c>
      <c r="BJ973" s="179" t="str">
        <f t="array" ref="BJ973">IF($F973&lt;&gt;"", XLOOKUP($F973,Productos!$A$2:$A1001,Productos!BC$2:BC1001,"")*$G973,"")</f>
        <v/>
      </c>
      <c r="BK973" s="179" t="str">
        <f t="array" ref="BK973">IF($F973&lt;&gt;"",XLOOKUP($F973,Productos!$A:$A,Productos!BD:BD,"Revisar"),"")</f>
        <v/>
      </c>
      <c r="BL973" s="179" t="str">
        <f t="array" ref="BL973">IF($F973&lt;&gt;"", XLOOKUP($F973,Productos!$A$2:$A1001,Productos!BE$2:BE1001,"")*$G973,"")</f>
        <v/>
      </c>
      <c r="BM973" s="179" t="str">
        <f t="array" ref="BM973">IF($F973&lt;&gt;"",XLOOKUP($F973,Productos!$A:$A,Productos!BF:BF,"Revisar"),"")</f>
        <v/>
      </c>
      <c r="BN973" s="179" t="str">
        <f t="array" ref="BN973">IF($F973&lt;&gt;"", XLOOKUP($F973,Productos!$A$2:$A1001,Productos!BG$2:BG1001,"")*$G973,"")</f>
        <v/>
      </c>
      <c r="BO973" s="179" t="str">
        <f t="array" ref="BO973">IF($F973&lt;&gt;"",XLOOKUP($F973,Productos!$A:$A,Productos!BH:BH,"Revisar"),"")</f>
        <v/>
      </c>
      <c r="BP973" s="179" t="str">
        <f t="array" ref="BP973">IF($F973&lt;&gt;"", XLOOKUP($F973,Productos!$A$2:$A1001,Productos!BI$2:BI1001,"")*$G973,"")</f>
        <v/>
      </c>
      <c r="BQ973" s="179" t="str">
        <f t="array" ref="BQ973">IF($F973&lt;&gt;"",XLOOKUP($F973,Productos!$A:$A,Productos!BJ:BJ,"Revisar"),"")</f>
        <v/>
      </c>
      <c r="BR973" s="179" t="str">
        <f t="array" ref="BR973">IF($F973&lt;&gt;"", XLOOKUP($F973,Productos!$A$2:$A1001,Productos!BK$2:BK1001,"")*$G973,"")</f>
        <v/>
      </c>
      <c r="BS973" s="179" t="str">
        <f t="array" ref="BS973">IF($F973&lt;&gt;"",XLOOKUP($F973,Productos!$A:$A,Productos!BL:BL,"Revisar"),"")</f>
        <v/>
      </c>
      <c r="BT973" s="179" t="str">
        <f t="array" ref="BT973">IF($F973&lt;&gt;"", XLOOKUP($F973,Productos!$A$2:$A1001,Productos!BM$2:BM1001,"")*$G973,"")</f>
        <v/>
      </c>
      <c r="BU973" s="179" t="str">
        <f t="array" ref="BU973">IF($F973&lt;&gt;"",XLOOKUP($F973,Productos!$A:$A,Productos!BN:BN,"Revisar"),"")</f>
        <v/>
      </c>
      <c r="BV973" s="179" t="str">
        <f t="array" ref="BV973">IF($F973&lt;&gt;"", XLOOKUP($F973,Productos!$A$2:$A1001,Productos!BO$2:BO1001,"")*$G973,"")</f>
        <v/>
      </c>
      <c r="BW973" s="179" t="str">
        <f t="array" ref="BW973">IF($F973&lt;&gt;"",XLOOKUP($F973,Productos!$A:$A,Productos!BP:BP,"Revisar"),"")</f>
        <v/>
      </c>
      <c r="BX973" s="179" t="str">
        <f t="array" ref="BX973">IF($F973&lt;&gt;"", XLOOKUP($F973,Productos!$A$2:$A1001,Productos!BQ$2:BQ1001,"")*$G973,"")</f>
        <v/>
      </c>
      <c r="BY973" s="179" t="str">
        <f t="array" ref="BY973">IF($F973&lt;&gt;"",XLOOKUP($F973,Productos!$A:$A,Productos!BR:BR,"Revisar"),"")</f>
        <v/>
      </c>
      <c r="BZ973" s="179" t="str">
        <f t="array" ref="BZ973">IF($F973&lt;&gt;"", XLOOKUP($F973,Productos!$A$2:$A1001,Productos!BS$2:BS1001,"")*$G973,"")</f>
        <v/>
      </c>
    </row>
    <row r="974">
      <c r="A974" s="188"/>
      <c r="B974" s="189"/>
      <c r="C974" s="190"/>
      <c r="D974" s="190"/>
      <c r="E974" s="191"/>
      <c r="F974" s="186"/>
      <c r="G974" s="192"/>
      <c r="H974" s="9"/>
      <c r="I974" s="179" t="str">
        <f t="array" ref="I974">IF($F974&lt;&gt;"",XLOOKUP($F974,Productos!$A:$A,Productos!B:B,"Revisar"),"")</f>
        <v/>
      </c>
      <c r="J974" s="179" t="str">
        <f t="array" ref="J974">IF($F974&lt;&gt;"", XLOOKUP($F974,Productos!$A$2:$A1001,Productos!C$2:C1001,"")*$G974,"")</f>
        <v/>
      </c>
      <c r="K974" s="179" t="str">
        <f t="array" ref="K974">IF($F974&lt;&gt;"",XLOOKUP($F974,Productos!$A:$A,Productos!D:D,"Revisar"),"")</f>
        <v/>
      </c>
      <c r="L974" s="179" t="str">
        <f t="array" ref="L974">IF($F974&lt;&gt;"", XLOOKUP($F974,Productos!$A$2:$A1001,Productos!E$2:E1001,"")*$G974,"")</f>
        <v/>
      </c>
      <c r="M974" s="179" t="str">
        <f t="array" ref="M974">IF($F974&lt;&gt;"",XLOOKUP($F974,Productos!$A:$A,Productos!F:F,"Revisar"),"")</f>
        <v/>
      </c>
      <c r="N974" s="179" t="str">
        <f t="array" ref="N974">IF($F974&lt;&gt;"", XLOOKUP($F974,Productos!$A$2:$A1001,Productos!G$2:G1001,"")*$G974,"")</f>
        <v/>
      </c>
      <c r="O974" s="179" t="str">
        <f t="array" ref="O974">IF($F974&lt;&gt;"",XLOOKUP($F974,Productos!$A:$A,Productos!H:H,"Revisar"),"")</f>
        <v/>
      </c>
      <c r="P974" s="179" t="str">
        <f t="array" ref="P974">IF($F974&lt;&gt;"", XLOOKUP($F974,Productos!$A$2:$A1001,Productos!I$2:I1001,"")*$G974,"")</f>
        <v/>
      </c>
      <c r="Q974" s="179" t="str">
        <f t="array" ref="Q974">IF($F974&lt;&gt;"",XLOOKUP($F974,Productos!$A:$A,Productos!J:J,"Revisar"),"")</f>
        <v/>
      </c>
      <c r="R974" s="179" t="str">
        <f t="array" ref="R974">IF($F974&lt;&gt;"", XLOOKUP($F974,Productos!$A$2:$A1001,Productos!K$2:K1001,"")*$G974,"")</f>
        <v/>
      </c>
      <c r="S974" s="179" t="str">
        <f t="array" ref="S974">IF($F974&lt;&gt;"",XLOOKUP($F974,Productos!$A:$A,Productos!L:L,"Revisar"),"")</f>
        <v/>
      </c>
      <c r="T974" s="179" t="str">
        <f t="array" ref="T974">IF($F974&lt;&gt;"", XLOOKUP($F974,Productos!$A$2:$A1001,Productos!M$2:M1001,"")*$G974,"")</f>
        <v/>
      </c>
      <c r="U974" s="179" t="str">
        <f t="array" ref="U974">IF($F974&lt;&gt;"",XLOOKUP($F974,Productos!$A:$A,Productos!N:N,"Revisar"),"")</f>
        <v/>
      </c>
      <c r="V974" s="179" t="str">
        <f t="array" ref="V974">IF($F974&lt;&gt;"", XLOOKUP($F974,Productos!$A$2:$A1001,Productos!O$2:O1001,"")*$G974,"")</f>
        <v/>
      </c>
      <c r="W974" s="179" t="str">
        <f t="array" ref="W974">IF($F974&lt;&gt;"",XLOOKUP($F974,Productos!$A:$A,Productos!P:P,"Revisar"),"")</f>
        <v/>
      </c>
      <c r="X974" s="179" t="str">
        <f t="array" ref="X974">IF($F974&lt;&gt;"", XLOOKUP($F974,Productos!$A$2:$A1001,Productos!Q$2:Q1001,"")*$G974,"")</f>
        <v/>
      </c>
      <c r="Y974" s="179" t="str">
        <f t="array" ref="Y974">IF($F974&lt;&gt;"",XLOOKUP($F974,Productos!$A:$A,Productos!R:R,"Revisar"),"")</f>
        <v/>
      </c>
      <c r="Z974" s="179" t="str">
        <f t="array" ref="Z974">IF($F974&lt;&gt;"", XLOOKUP($F974,Productos!$A$2:$A1001,Productos!S$2:S1001,"")*$G974,"")</f>
        <v/>
      </c>
      <c r="AA974" s="179" t="str">
        <f t="array" ref="AA974">IF($F974&lt;&gt;"",XLOOKUP($F974,Productos!$A:$A,Productos!T:T,"Revisar"),"")</f>
        <v/>
      </c>
      <c r="AB974" s="179" t="str">
        <f t="array" ref="AB974">IF($F974&lt;&gt;"", XLOOKUP($F974,Productos!$A$2:$A1001,Productos!U$2:U1001,"")*$G974,"")</f>
        <v/>
      </c>
      <c r="AC974" s="179" t="str">
        <f t="array" ref="AC974">IF($F974&lt;&gt;"",XLOOKUP($F974,Productos!$A:$A,Productos!V:V,"Revisar"),"")</f>
        <v/>
      </c>
      <c r="AD974" s="179" t="str">
        <f t="array" ref="AD974">IF($F974&lt;&gt;"", XLOOKUP($F974,Productos!$A$2:$A1001,Productos!W$2:W1001,"")*$G974,"")</f>
        <v/>
      </c>
      <c r="AE974" s="179" t="str">
        <f t="array" ref="AE974">IF($F974&lt;&gt;"",XLOOKUP($F974,Productos!$A:$A,Productos!X:X,"Revisar"),"")</f>
        <v/>
      </c>
      <c r="AF974" s="179" t="str">
        <f t="array" ref="AF974">IF($F974&lt;&gt;"", XLOOKUP($F974,Productos!$A$2:$A1001,Productos!Y$2:Y1001,"")*$G974,"")</f>
        <v/>
      </c>
      <c r="AG974" s="179" t="str">
        <f t="array" ref="AG974">IF($F974&lt;&gt;"",XLOOKUP($F974,Productos!$A:$A,Productos!Z:Z,"Revisar"),"")</f>
        <v/>
      </c>
      <c r="AH974" s="179" t="str">
        <f t="array" ref="AH974">IF($F974&lt;&gt;"", XLOOKUP($F974,Productos!$A$2:$A1001,Productos!AA$2:AA1001,"")*$G974,"")</f>
        <v/>
      </c>
      <c r="AI974" s="179" t="str">
        <f t="array" ref="AI974">IF($F974&lt;&gt;"",XLOOKUP($F974,Productos!$A:$A,Productos!AB:AB,"Revisar"),"")</f>
        <v/>
      </c>
      <c r="AJ974" s="179" t="str">
        <f t="array" ref="AJ974">IF($F974&lt;&gt;"", XLOOKUP($F974,Productos!$A$2:$A1001,Productos!AC$2:AC1001,"")*$G974,"")</f>
        <v/>
      </c>
      <c r="AK974" s="179" t="str">
        <f t="array" ref="AK974">IF($F974&lt;&gt;"",XLOOKUP($F974,Productos!$A:$A,Productos!AD:AD,"Revisar"),"")</f>
        <v/>
      </c>
      <c r="AL974" s="179" t="str">
        <f t="array" ref="AL974">IF($F974&lt;&gt;"", XLOOKUP($F974,Productos!$A$2:$A1001,Productos!AE$2:AE1001,"")*$G974,"")</f>
        <v/>
      </c>
      <c r="AM974" s="179" t="str">
        <f t="array" ref="AM974">IF($F974&lt;&gt;"",XLOOKUP($F974,Productos!$A:$A,Productos!AF:AF,"Revisar"),"")</f>
        <v/>
      </c>
      <c r="AN974" s="179" t="str">
        <f t="array" ref="AN974">IF($F974&lt;&gt;"", XLOOKUP($F974,Productos!$A$2:$A1001,Productos!AG$2:AG1001,"")*$G974,"")</f>
        <v/>
      </c>
      <c r="AO974" s="179" t="str">
        <f t="array" ref="AO974">IF($F974&lt;&gt;"",XLOOKUP($F974,Productos!$A:$A,Productos!AH:AH,"Revisar"),"")</f>
        <v/>
      </c>
      <c r="AP974" s="179" t="str">
        <f t="array" ref="AP974">IF($F974&lt;&gt;"", XLOOKUP($F974,Productos!$A$2:$A1001,Productos!AI$2:AI1001,"")*$G974,"")</f>
        <v/>
      </c>
      <c r="AQ974" s="179" t="str">
        <f t="array" ref="AQ974">IF($F974&lt;&gt;"",XLOOKUP($F974,Productos!$A:$A,Productos!AJ:AJ,"Revisar"),"")</f>
        <v/>
      </c>
      <c r="AR974" s="179" t="str">
        <f t="array" ref="AR974">IF($F974&lt;&gt;"", XLOOKUP($F974,Productos!$A$2:$A1001,Productos!AK$2:AK1001,"")*$G974,"")</f>
        <v/>
      </c>
      <c r="AS974" s="179" t="str">
        <f t="array" ref="AS974">IF($F974&lt;&gt;"",XLOOKUP($F974,Productos!$A:$A,Productos!AL:AL,"Revisar"),"")</f>
        <v/>
      </c>
      <c r="AT974" s="179" t="str">
        <f t="array" ref="AT974">IF($F974&lt;&gt;"", XLOOKUP($F974,Productos!$A$2:$A1001,Productos!AM$2:AM1001,"")*$G974,"")</f>
        <v/>
      </c>
      <c r="AU974" s="179" t="str">
        <f t="array" ref="AU974">IF($F974&lt;&gt;"",XLOOKUP($F974,Productos!$A:$A,Productos!AN:AN,"Revisar"),"")</f>
        <v/>
      </c>
      <c r="AV974" s="179" t="str">
        <f t="array" ref="AV974">IF($F974&lt;&gt;"", XLOOKUP($F974,Productos!$A$2:$A1001,Productos!AO$2:AO1001,"")*$G974,"")</f>
        <v/>
      </c>
      <c r="AW974" s="179" t="str">
        <f t="array" ref="AW974">IF($F974&lt;&gt;"",XLOOKUP($F974,Productos!$A:$A,Productos!AP:AP,"Revisar"),"")</f>
        <v/>
      </c>
      <c r="AX974" s="179" t="str">
        <f t="array" ref="AX974">IF($F974&lt;&gt;"", XLOOKUP($F974,Productos!$A$2:$A1001,Productos!AQ$2:AQ1001,"")*$G974,"")</f>
        <v/>
      </c>
      <c r="AY974" s="179" t="str">
        <f t="array" ref="AY974">IF($F974&lt;&gt;"",XLOOKUP($F974,Productos!$A:$A,Productos!AR:AR,"Revisar"),"")</f>
        <v/>
      </c>
      <c r="AZ974" s="179" t="str">
        <f t="array" ref="AZ974">IF($F974&lt;&gt;"", XLOOKUP($F974,Productos!$A$2:$A1001,Productos!AS$2:AS1001,"")*$G974,"")</f>
        <v/>
      </c>
      <c r="BA974" s="179" t="str">
        <f t="array" ref="BA974">IF($F974&lt;&gt;"",XLOOKUP($F974,Productos!$A:$A,Productos!AT:AT,"Revisar"),"")</f>
        <v/>
      </c>
      <c r="BB974" s="179" t="str">
        <f t="array" ref="BB974">IF($F974&lt;&gt;"", XLOOKUP($F974,Productos!$A$2:$A1001,Productos!AU$2:AU1001,"")*$G974,"")</f>
        <v/>
      </c>
      <c r="BC974" s="179" t="str">
        <f t="array" ref="BC974">IF($F974&lt;&gt;"",XLOOKUP($F974,Productos!$A:$A,Productos!AV:AV,"Revisar"),"")</f>
        <v/>
      </c>
      <c r="BD974" s="179" t="str">
        <f t="array" ref="BD974">IF($F974&lt;&gt;"", XLOOKUP($F974,Productos!$A$2:$A1001,Productos!AW$2:AW1001,"")*$G974,"")</f>
        <v/>
      </c>
      <c r="BE974" s="179" t="str">
        <f t="array" ref="BE974">IF($F974&lt;&gt;"",XLOOKUP($F974,Productos!$A:$A,Productos!AX:AX,"Revisar"),"")</f>
        <v/>
      </c>
      <c r="BF974" s="179" t="str">
        <f t="array" ref="BF974">IF($F974&lt;&gt;"", XLOOKUP($F974,Productos!$A$2:$A1001,Productos!AY$2:AY1001,"")*$G974,"")</f>
        <v/>
      </c>
      <c r="BG974" s="179" t="str">
        <f t="array" ref="BG974">IF($F974&lt;&gt;"",XLOOKUP($F974,Productos!$A:$A,Productos!AZ:AZ,"Revisar"),"")</f>
        <v/>
      </c>
      <c r="BH974" s="179" t="str">
        <f t="array" ref="BH974">IF($F974&lt;&gt;"", XLOOKUP($F974,Productos!$A$2:$A1001,Productos!BA$2:BA1001,"")*$G974,"")</f>
        <v/>
      </c>
      <c r="BI974" s="179" t="str">
        <f t="array" ref="BI974">IF($F974&lt;&gt;"",XLOOKUP($F974,Productos!$A:$A,Productos!BB:BB,"Revisar"),"")</f>
        <v/>
      </c>
      <c r="BJ974" s="179" t="str">
        <f t="array" ref="BJ974">IF($F974&lt;&gt;"", XLOOKUP($F974,Productos!$A$2:$A1001,Productos!BC$2:BC1001,"")*$G974,"")</f>
        <v/>
      </c>
      <c r="BK974" s="179" t="str">
        <f t="array" ref="BK974">IF($F974&lt;&gt;"",XLOOKUP($F974,Productos!$A:$A,Productos!BD:BD,"Revisar"),"")</f>
        <v/>
      </c>
      <c r="BL974" s="179" t="str">
        <f t="array" ref="BL974">IF($F974&lt;&gt;"", XLOOKUP($F974,Productos!$A$2:$A1001,Productos!BE$2:BE1001,"")*$G974,"")</f>
        <v/>
      </c>
      <c r="BM974" s="179" t="str">
        <f t="array" ref="BM974">IF($F974&lt;&gt;"",XLOOKUP($F974,Productos!$A:$A,Productos!BF:BF,"Revisar"),"")</f>
        <v/>
      </c>
      <c r="BN974" s="179" t="str">
        <f t="array" ref="BN974">IF($F974&lt;&gt;"", XLOOKUP($F974,Productos!$A$2:$A1001,Productos!BG$2:BG1001,"")*$G974,"")</f>
        <v/>
      </c>
      <c r="BO974" s="179" t="str">
        <f t="array" ref="BO974">IF($F974&lt;&gt;"",XLOOKUP($F974,Productos!$A:$A,Productos!BH:BH,"Revisar"),"")</f>
        <v/>
      </c>
      <c r="BP974" s="179" t="str">
        <f t="array" ref="BP974">IF($F974&lt;&gt;"", XLOOKUP($F974,Productos!$A$2:$A1001,Productos!BI$2:BI1001,"")*$G974,"")</f>
        <v/>
      </c>
      <c r="BQ974" s="179" t="str">
        <f t="array" ref="BQ974">IF($F974&lt;&gt;"",XLOOKUP($F974,Productos!$A:$A,Productos!BJ:BJ,"Revisar"),"")</f>
        <v/>
      </c>
      <c r="BR974" s="179" t="str">
        <f t="array" ref="BR974">IF($F974&lt;&gt;"", XLOOKUP($F974,Productos!$A$2:$A1001,Productos!BK$2:BK1001,"")*$G974,"")</f>
        <v/>
      </c>
      <c r="BS974" s="179" t="str">
        <f t="array" ref="BS974">IF($F974&lt;&gt;"",XLOOKUP($F974,Productos!$A:$A,Productos!BL:BL,"Revisar"),"")</f>
        <v/>
      </c>
      <c r="BT974" s="179" t="str">
        <f t="array" ref="BT974">IF($F974&lt;&gt;"", XLOOKUP($F974,Productos!$A$2:$A1001,Productos!BM$2:BM1001,"")*$G974,"")</f>
        <v/>
      </c>
      <c r="BU974" s="179" t="str">
        <f t="array" ref="BU974">IF($F974&lt;&gt;"",XLOOKUP($F974,Productos!$A:$A,Productos!BN:BN,"Revisar"),"")</f>
        <v/>
      </c>
      <c r="BV974" s="179" t="str">
        <f t="array" ref="BV974">IF($F974&lt;&gt;"", XLOOKUP($F974,Productos!$A$2:$A1001,Productos!BO$2:BO1001,"")*$G974,"")</f>
        <v/>
      </c>
      <c r="BW974" s="179" t="str">
        <f t="array" ref="BW974">IF($F974&lt;&gt;"",XLOOKUP($F974,Productos!$A:$A,Productos!BP:BP,"Revisar"),"")</f>
        <v/>
      </c>
      <c r="BX974" s="179" t="str">
        <f t="array" ref="BX974">IF($F974&lt;&gt;"", XLOOKUP($F974,Productos!$A$2:$A1001,Productos!BQ$2:BQ1001,"")*$G974,"")</f>
        <v/>
      </c>
      <c r="BY974" s="179" t="str">
        <f t="array" ref="BY974">IF($F974&lt;&gt;"",XLOOKUP($F974,Productos!$A:$A,Productos!BR:BR,"Revisar"),"")</f>
        <v/>
      </c>
      <c r="BZ974" s="179" t="str">
        <f t="array" ref="BZ974">IF($F974&lt;&gt;"", XLOOKUP($F974,Productos!$A$2:$A1001,Productos!BS$2:BS1001,"")*$G974,"")</f>
        <v/>
      </c>
    </row>
    <row r="975">
      <c r="A975" s="188"/>
      <c r="B975" s="189"/>
      <c r="C975" s="190"/>
      <c r="D975" s="190"/>
      <c r="E975" s="191"/>
      <c r="F975" s="186"/>
      <c r="G975" s="192"/>
      <c r="H975" s="9"/>
      <c r="I975" s="179" t="str">
        <f t="array" ref="I975">IF($F975&lt;&gt;"",XLOOKUP($F975,Productos!$A:$A,Productos!B:B,"Revisar"),"")</f>
        <v/>
      </c>
      <c r="J975" s="179" t="str">
        <f t="array" ref="J975">IF($F975&lt;&gt;"", XLOOKUP($F975,Productos!$A$2:$A1001,Productos!C$2:C1001,"")*$G975,"")</f>
        <v/>
      </c>
      <c r="K975" s="179" t="str">
        <f t="array" ref="K975">IF($F975&lt;&gt;"",XLOOKUP($F975,Productos!$A:$A,Productos!D:D,"Revisar"),"")</f>
        <v/>
      </c>
      <c r="L975" s="179" t="str">
        <f t="array" ref="L975">IF($F975&lt;&gt;"", XLOOKUP($F975,Productos!$A$2:$A1001,Productos!E$2:E1001,"")*$G975,"")</f>
        <v/>
      </c>
      <c r="M975" s="179" t="str">
        <f t="array" ref="M975">IF($F975&lt;&gt;"",XLOOKUP($F975,Productos!$A:$A,Productos!F:F,"Revisar"),"")</f>
        <v/>
      </c>
      <c r="N975" s="179" t="str">
        <f t="array" ref="N975">IF($F975&lt;&gt;"", XLOOKUP($F975,Productos!$A$2:$A1001,Productos!G$2:G1001,"")*$G975,"")</f>
        <v/>
      </c>
      <c r="O975" s="179" t="str">
        <f t="array" ref="O975">IF($F975&lt;&gt;"",XLOOKUP($F975,Productos!$A:$A,Productos!H:H,"Revisar"),"")</f>
        <v/>
      </c>
      <c r="P975" s="179" t="str">
        <f t="array" ref="P975">IF($F975&lt;&gt;"", XLOOKUP($F975,Productos!$A$2:$A1001,Productos!I$2:I1001,"")*$G975,"")</f>
        <v/>
      </c>
      <c r="Q975" s="179" t="str">
        <f t="array" ref="Q975">IF($F975&lt;&gt;"",XLOOKUP($F975,Productos!$A:$A,Productos!J:J,"Revisar"),"")</f>
        <v/>
      </c>
      <c r="R975" s="179" t="str">
        <f t="array" ref="R975">IF($F975&lt;&gt;"", XLOOKUP($F975,Productos!$A$2:$A1001,Productos!K$2:K1001,"")*$G975,"")</f>
        <v/>
      </c>
      <c r="S975" s="179" t="str">
        <f t="array" ref="S975">IF($F975&lt;&gt;"",XLOOKUP($F975,Productos!$A:$A,Productos!L:L,"Revisar"),"")</f>
        <v/>
      </c>
      <c r="T975" s="179" t="str">
        <f t="array" ref="T975">IF($F975&lt;&gt;"", XLOOKUP($F975,Productos!$A$2:$A1001,Productos!M$2:M1001,"")*$G975,"")</f>
        <v/>
      </c>
      <c r="U975" s="179" t="str">
        <f t="array" ref="U975">IF($F975&lt;&gt;"",XLOOKUP($F975,Productos!$A:$A,Productos!N:N,"Revisar"),"")</f>
        <v/>
      </c>
      <c r="V975" s="179" t="str">
        <f t="array" ref="V975">IF($F975&lt;&gt;"", XLOOKUP($F975,Productos!$A$2:$A1001,Productos!O$2:O1001,"")*$G975,"")</f>
        <v/>
      </c>
      <c r="W975" s="179" t="str">
        <f t="array" ref="W975">IF($F975&lt;&gt;"",XLOOKUP($F975,Productos!$A:$A,Productos!P:P,"Revisar"),"")</f>
        <v/>
      </c>
      <c r="X975" s="179" t="str">
        <f t="array" ref="X975">IF($F975&lt;&gt;"", XLOOKUP($F975,Productos!$A$2:$A1001,Productos!Q$2:Q1001,"")*$G975,"")</f>
        <v/>
      </c>
      <c r="Y975" s="179" t="str">
        <f t="array" ref="Y975">IF($F975&lt;&gt;"",XLOOKUP($F975,Productos!$A:$A,Productos!R:R,"Revisar"),"")</f>
        <v/>
      </c>
      <c r="Z975" s="179" t="str">
        <f t="array" ref="Z975">IF($F975&lt;&gt;"", XLOOKUP($F975,Productos!$A$2:$A1001,Productos!S$2:S1001,"")*$G975,"")</f>
        <v/>
      </c>
      <c r="AA975" s="179" t="str">
        <f t="array" ref="AA975">IF($F975&lt;&gt;"",XLOOKUP($F975,Productos!$A:$A,Productos!T:T,"Revisar"),"")</f>
        <v/>
      </c>
      <c r="AB975" s="179" t="str">
        <f t="array" ref="AB975">IF($F975&lt;&gt;"", XLOOKUP($F975,Productos!$A$2:$A1001,Productos!U$2:U1001,"")*$G975,"")</f>
        <v/>
      </c>
      <c r="AC975" s="179" t="str">
        <f t="array" ref="AC975">IF($F975&lt;&gt;"",XLOOKUP($F975,Productos!$A:$A,Productos!V:V,"Revisar"),"")</f>
        <v/>
      </c>
      <c r="AD975" s="179" t="str">
        <f t="array" ref="AD975">IF($F975&lt;&gt;"", XLOOKUP($F975,Productos!$A$2:$A1001,Productos!W$2:W1001,"")*$G975,"")</f>
        <v/>
      </c>
      <c r="AE975" s="179" t="str">
        <f t="array" ref="AE975">IF($F975&lt;&gt;"",XLOOKUP($F975,Productos!$A:$A,Productos!X:X,"Revisar"),"")</f>
        <v/>
      </c>
      <c r="AF975" s="179" t="str">
        <f t="array" ref="AF975">IF($F975&lt;&gt;"", XLOOKUP($F975,Productos!$A$2:$A1001,Productos!Y$2:Y1001,"")*$G975,"")</f>
        <v/>
      </c>
      <c r="AG975" s="179" t="str">
        <f t="array" ref="AG975">IF($F975&lt;&gt;"",XLOOKUP($F975,Productos!$A:$A,Productos!Z:Z,"Revisar"),"")</f>
        <v/>
      </c>
      <c r="AH975" s="179" t="str">
        <f t="array" ref="AH975">IF($F975&lt;&gt;"", XLOOKUP($F975,Productos!$A$2:$A1001,Productos!AA$2:AA1001,"")*$G975,"")</f>
        <v/>
      </c>
      <c r="AI975" s="179" t="str">
        <f t="array" ref="AI975">IF($F975&lt;&gt;"",XLOOKUP($F975,Productos!$A:$A,Productos!AB:AB,"Revisar"),"")</f>
        <v/>
      </c>
      <c r="AJ975" s="179" t="str">
        <f t="array" ref="AJ975">IF($F975&lt;&gt;"", XLOOKUP($F975,Productos!$A$2:$A1001,Productos!AC$2:AC1001,"")*$G975,"")</f>
        <v/>
      </c>
      <c r="AK975" s="179" t="str">
        <f t="array" ref="AK975">IF($F975&lt;&gt;"",XLOOKUP($F975,Productos!$A:$A,Productos!AD:AD,"Revisar"),"")</f>
        <v/>
      </c>
      <c r="AL975" s="179" t="str">
        <f t="array" ref="AL975">IF($F975&lt;&gt;"", XLOOKUP($F975,Productos!$A$2:$A1001,Productos!AE$2:AE1001,"")*$G975,"")</f>
        <v/>
      </c>
      <c r="AM975" s="179" t="str">
        <f t="array" ref="AM975">IF($F975&lt;&gt;"",XLOOKUP($F975,Productos!$A:$A,Productos!AF:AF,"Revisar"),"")</f>
        <v/>
      </c>
      <c r="AN975" s="179" t="str">
        <f t="array" ref="AN975">IF($F975&lt;&gt;"", XLOOKUP($F975,Productos!$A$2:$A1001,Productos!AG$2:AG1001,"")*$G975,"")</f>
        <v/>
      </c>
      <c r="AO975" s="179" t="str">
        <f t="array" ref="AO975">IF($F975&lt;&gt;"",XLOOKUP($F975,Productos!$A:$A,Productos!AH:AH,"Revisar"),"")</f>
        <v/>
      </c>
      <c r="AP975" s="179" t="str">
        <f t="array" ref="AP975">IF($F975&lt;&gt;"", XLOOKUP($F975,Productos!$A$2:$A1001,Productos!AI$2:AI1001,"")*$G975,"")</f>
        <v/>
      </c>
      <c r="AQ975" s="179" t="str">
        <f t="array" ref="AQ975">IF($F975&lt;&gt;"",XLOOKUP($F975,Productos!$A:$A,Productos!AJ:AJ,"Revisar"),"")</f>
        <v/>
      </c>
      <c r="AR975" s="179" t="str">
        <f t="array" ref="AR975">IF($F975&lt;&gt;"", XLOOKUP($F975,Productos!$A$2:$A1001,Productos!AK$2:AK1001,"")*$G975,"")</f>
        <v/>
      </c>
      <c r="AS975" s="179" t="str">
        <f t="array" ref="AS975">IF($F975&lt;&gt;"",XLOOKUP($F975,Productos!$A:$A,Productos!AL:AL,"Revisar"),"")</f>
        <v/>
      </c>
      <c r="AT975" s="179" t="str">
        <f t="array" ref="AT975">IF($F975&lt;&gt;"", XLOOKUP($F975,Productos!$A$2:$A1001,Productos!AM$2:AM1001,"")*$G975,"")</f>
        <v/>
      </c>
      <c r="AU975" s="179" t="str">
        <f t="array" ref="AU975">IF($F975&lt;&gt;"",XLOOKUP($F975,Productos!$A:$A,Productos!AN:AN,"Revisar"),"")</f>
        <v/>
      </c>
      <c r="AV975" s="179" t="str">
        <f t="array" ref="AV975">IF($F975&lt;&gt;"", XLOOKUP($F975,Productos!$A$2:$A1001,Productos!AO$2:AO1001,"")*$G975,"")</f>
        <v/>
      </c>
      <c r="AW975" s="179" t="str">
        <f t="array" ref="AW975">IF($F975&lt;&gt;"",XLOOKUP($F975,Productos!$A:$A,Productos!AP:AP,"Revisar"),"")</f>
        <v/>
      </c>
      <c r="AX975" s="179" t="str">
        <f t="array" ref="AX975">IF($F975&lt;&gt;"", XLOOKUP($F975,Productos!$A$2:$A1001,Productos!AQ$2:AQ1001,"")*$G975,"")</f>
        <v/>
      </c>
      <c r="AY975" s="179" t="str">
        <f t="array" ref="AY975">IF($F975&lt;&gt;"",XLOOKUP($F975,Productos!$A:$A,Productos!AR:AR,"Revisar"),"")</f>
        <v/>
      </c>
      <c r="AZ975" s="179" t="str">
        <f t="array" ref="AZ975">IF($F975&lt;&gt;"", XLOOKUP($F975,Productos!$A$2:$A1001,Productos!AS$2:AS1001,"")*$G975,"")</f>
        <v/>
      </c>
      <c r="BA975" s="179" t="str">
        <f t="array" ref="BA975">IF($F975&lt;&gt;"",XLOOKUP($F975,Productos!$A:$A,Productos!AT:AT,"Revisar"),"")</f>
        <v/>
      </c>
      <c r="BB975" s="179" t="str">
        <f t="array" ref="BB975">IF($F975&lt;&gt;"", XLOOKUP($F975,Productos!$A$2:$A1001,Productos!AU$2:AU1001,"")*$G975,"")</f>
        <v/>
      </c>
      <c r="BC975" s="179" t="str">
        <f t="array" ref="BC975">IF($F975&lt;&gt;"",XLOOKUP($F975,Productos!$A:$A,Productos!AV:AV,"Revisar"),"")</f>
        <v/>
      </c>
      <c r="BD975" s="179" t="str">
        <f t="array" ref="BD975">IF($F975&lt;&gt;"", XLOOKUP($F975,Productos!$A$2:$A1001,Productos!AW$2:AW1001,"")*$G975,"")</f>
        <v/>
      </c>
      <c r="BE975" s="179" t="str">
        <f t="array" ref="BE975">IF($F975&lt;&gt;"",XLOOKUP($F975,Productos!$A:$A,Productos!AX:AX,"Revisar"),"")</f>
        <v/>
      </c>
      <c r="BF975" s="179" t="str">
        <f t="array" ref="BF975">IF($F975&lt;&gt;"", XLOOKUP($F975,Productos!$A$2:$A1001,Productos!AY$2:AY1001,"")*$G975,"")</f>
        <v/>
      </c>
      <c r="BG975" s="179" t="str">
        <f t="array" ref="BG975">IF($F975&lt;&gt;"",XLOOKUP($F975,Productos!$A:$A,Productos!AZ:AZ,"Revisar"),"")</f>
        <v/>
      </c>
      <c r="BH975" s="179" t="str">
        <f t="array" ref="BH975">IF($F975&lt;&gt;"", XLOOKUP($F975,Productos!$A$2:$A1001,Productos!BA$2:BA1001,"")*$G975,"")</f>
        <v/>
      </c>
      <c r="BI975" s="179" t="str">
        <f t="array" ref="BI975">IF($F975&lt;&gt;"",XLOOKUP($F975,Productos!$A:$A,Productos!BB:BB,"Revisar"),"")</f>
        <v/>
      </c>
      <c r="BJ975" s="179" t="str">
        <f t="array" ref="BJ975">IF($F975&lt;&gt;"", XLOOKUP($F975,Productos!$A$2:$A1001,Productos!BC$2:BC1001,"")*$G975,"")</f>
        <v/>
      </c>
      <c r="BK975" s="179" t="str">
        <f t="array" ref="BK975">IF($F975&lt;&gt;"",XLOOKUP($F975,Productos!$A:$A,Productos!BD:BD,"Revisar"),"")</f>
        <v/>
      </c>
      <c r="BL975" s="179" t="str">
        <f t="array" ref="BL975">IF($F975&lt;&gt;"", XLOOKUP($F975,Productos!$A$2:$A1001,Productos!BE$2:BE1001,"")*$G975,"")</f>
        <v/>
      </c>
      <c r="BM975" s="179" t="str">
        <f t="array" ref="BM975">IF($F975&lt;&gt;"",XLOOKUP($F975,Productos!$A:$A,Productos!BF:BF,"Revisar"),"")</f>
        <v/>
      </c>
      <c r="BN975" s="179" t="str">
        <f t="array" ref="BN975">IF($F975&lt;&gt;"", XLOOKUP($F975,Productos!$A$2:$A1001,Productos!BG$2:BG1001,"")*$G975,"")</f>
        <v/>
      </c>
      <c r="BO975" s="179" t="str">
        <f t="array" ref="BO975">IF($F975&lt;&gt;"",XLOOKUP($F975,Productos!$A:$A,Productos!BH:BH,"Revisar"),"")</f>
        <v/>
      </c>
      <c r="BP975" s="179" t="str">
        <f t="array" ref="BP975">IF($F975&lt;&gt;"", XLOOKUP($F975,Productos!$A$2:$A1001,Productos!BI$2:BI1001,"")*$G975,"")</f>
        <v/>
      </c>
      <c r="BQ975" s="179" t="str">
        <f t="array" ref="BQ975">IF($F975&lt;&gt;"",XLOOKUP($F975,Productos!$A:$A,Productos!BJ:BJ,"Revisar"),"")</f>
        <v/>
      </c>
      <c r="BR975" s="179" t="str">
        <f t="array" ref="BR975">IF($F975&lt;&gt;"", XLOOKUP($F975,Productos!$A$2:$A1001,Productos!BK$2:BK1001,"")*$G975,"")</f>
        <v/>
      </c>
      <c r="BS975" s="179" t="str">
        <f t="array" ref="BS975">IF($F975&lt;&gt;"",XLOOKUP($F975,Productos!$A:$A,Productos!BL:BL,"Revisar"),"")</f>
        <v/>
      </c>
      <c r="BT975" s="179" t="str">
        <f t="array" ref="BT975">IF($F975&lt;&gt;"", XLOOKUP($F975,Productos!$A$2:$A1001,Productos!BM$2:BM1001,"")*$G975,"")</f>
        <v/>
      </c>
      <c r="BU975" s="179" t="str">
        <f t="array" ref="BU975">IF($F975&lt;&gt;"",XLOOKUP($F975,Productos!$A:$A,Productos!BN:BN,"Revisar"),"")</f>
        <v/>
      </c>
      <c r="BV975" s="179" t="str">
        <f t="array" ref="BV975">IF($F975&lt;&gt;"", XLOOKUP($F975,Productos!$A$2:$A1001,Productos!BO$2:BO1001,"")*$G975,"")</f>
        <v/>
      </c>
      <c r="BW975" s="179" t="str">
        <f t="array" ref="BW975">IF($F975&lt;&gt;"",XLOOKUP($F975,Productos!$A:$A,Productos!BP:BP,"Revisar"),"")</f>
        <v/>
      </c>
      <c r="BX975" s="179" t="str">
        <f t="array" ref="BX975">IF($F975&lt;&gt;"", XLOOKUP($F975,Productos!$A$2:$A1001,Productos!BQ$2:BQ1001,"")*$G975,"")</f>
        <v/>
      </c>
      <c r="BY975" s="179" t="str">
        <f t="array" ref="BY975">IF($F975&lt;&gt;"",XLOOKUP($F975,Productos!$A:$A,Productos!BR:BR,"Revisar"),"")</f>
        <v/>
      </c>
      <c r="BZ975" s="179" t="str">
        <f t="array" ref="BZ975">IF($F975&lt;&gt;"", XLOOKUP($F975,Productos!$A$2:$A1001,Productos!BS$2:BS1001,"")*$G975,"")</f>
        <v/>
      </c>
    </row>
    <row r="976">
      <c r="A976" s="188"/>
      <c r="B976" s="189"/>
      <c r="C976" s="190"/>
      <c r="D976" s="190"/>
      <c r="E976" s="191"/>
      <c r="F976" s="186"/>
      <c r="G976" s="192"/>
      <c r="H976" s="9"/>
      <c r="I976" s="179" t="str">
        <f t="array" ref="I976">IF($F976&lt;&gt;"",XLOOKUP($F976,Productos!$A:$A,Productos!B:B,"Revisar"),"")</f>
        <v/>
      </c>
      <c r="J976" s="179" t="str">
        <f t="array" ref="J976">IF($F976&lt;&gt;"", XLOOKUP($F976,Productos!$A$2:$A1001,Productos!C$2:C1001,"")*$G976,"")</f>
        <v/>
      </c>
      <c r="K976" s="179" t="str">
        <f t="array" ref="K976">IF($F976&lt;&gt;"",XLOOKUP($F976,Productos!$A:$A,Productos!D:D,"Revisar"),"")</f>
        <v/>
      </c>
      <c r="L976" s="179" t="str">
        <f t="array" ref="L976">IF($F976&lt;&gt;"", XLOOKUP($F976,Productos!$A$2:$A1001,Productos!E$2:E1001,"")*$G976,"")</f>
        <v/>
      </c>
      <c r="M976" s="179" t="str">
        <f t="array" ref="M976">IF($F976&lt;&gt;"",XLOOKUP($F976,Productos!$A:$A,Productos!F:F,"Revisar"),"")</f>
        <v/>
      </c>
      <c r="N976" s="179" t="str">
        <f t="array" ref="N976">IF($F976&lt;&gt;"", XLOOKUP($F976,Productos!$A$2:$A1001,Productos!G$2:G1001,"")*$G976,"")</f>
        <v/>
      </c>
      <c r="O976" s="179" t="str">
        <f t="array" ref="O976">IF($F976&lt;&gt;"",XLOOKUP($F976,Productos!$A:$A,Productos!H:H,"Revisar"),"")</f>
        <v/>
      </c>
      <c r="P976" s="179" t="str">
        <f t="array" ref="P976">IF($F976&lt;&gt;"", XLOOKUP($F976,Productos!$A$2:$A1001,Productos!I$2:I1001,"")*$G976,"")</f>
        <v/>
      </c>
      <c r="Q976" s="179" t="str">
        <f t="array" ref="Q976">IF($F976&lt;&gt;"",XLOOKUP($F976,Productos!$A:$A,Productos!J:J,"Revisar"),"")</f>
        <v/>
      </c>
      <c r="R976" s="179" t="str">
        <f t="array" ref="R976">IF($F976&lt;&gt;"", XLOOKUP($F976,Productos!$A$2:$A1001,Productos!K$2:K1001,"")*$G976,"")</f>
        <v/>
      </c>
      <c r="S976" s="179" t="str">
        <f t="array" ref="S976">IF($F976&lt;&gt;"",XLOOKUP($F976,Productos!$A:$A,Productos!L:L,"Revisar"),"")</f>
        <v/>
      </c>
      <c r="T976" s="179" t="str">
        <f t="array" ref="T976">IF($F976&lt;&gt;"", XLOOKUP($F976,Productos!$A$2:$A1001,Productos!M$2:M1001,"")*$G976,"")</f>
        <v/>
      </c>
      <c r="U976" s="179" t="str">
        <f t="array" ref="U976">IF($F976&lt;&gt;"",XLOOKUP($F976,Productos!$A:$A,Productos!N:N,"Revisar"),"")</f>
        <v/>
      </c>
      <c r="V976" s="179" t="str">
        <f t="array" ref="V976">IF($F976&lt;&gt;"", XLOOKUP($F976,Productos!$A$2:$A1001,Productos!O$2:O1001,"")*$G976,"")</f>
        <v/>
      </c>
      <c r="W976" s="179" t="str">
        <f t="array" ref="W976">IF($F976&lt;&gt;"",XLOOKUP($F976,Productos!$A:$A,Productos!P:P,"Revisar"),"")</f>
        <v/>
      </c>
      <c r="X976" s="179" t="str">
        <f t="array" ref="X976">IF($F976&lt;&gt;"", XLOOKUP($F976,Productos!$A$2:$A1001,Productos!Q$2:Q1001,"")*$G976,"")</f>
        <v/>
      </c>
      <c r="Y976" s="179" t="str">
        <f t="array" ref="Y976">IF($F976&lt;&gt;"",XLOOKUP($F976,Productos!$A:$A,Productos!R:R,"Revisar"),"")</f>
        <v/>
      </c>
      <c r="Z976" s="179" t="str">
        <f t="array" ref="Z976">IF($F976&lt;&gt;"", XLOOKUP($F976,Productos!$A$2:$A1001,Productos!S$2:S1001,"")*$G976,"")</f>
        <v/>
      </c>
      <c r="AA976" s="179" t="str">
        <f t="array" ref="AA976">IF($F976&lt;&gt;"",XLOOKUP($F976,Productos!$A:$A,Productos!T:T,"Revisar"),"")</f>
        <v/>
      </c>
      <c r="AB976" s="179" t="str">
        <f t="array" ref="AB976">IF($F976&lt;&gt;"", XLOOKUP($F976,Productos!$A$2:$A1001,Productos!U$2:U1001,"")*$G976,"")</f>
        <v/>
      </c>
      <c r="AC976" s="179" t="str">
        <f t="array" ref="AC976">IF($F976&lt;&gt;"",XLOOKUP($F976,Productos!$A:$A,Productos!V:V,"Revisar"),"")</f>
        <v/>
      </c>
      <c r="AD976" s="179" t="str">
        <f t="array" ref="AD976">IF($F976&lt;&gt;"", XLOOKUP($F976,Productos!$A$2:$A1001,Productos!W$2:W1001,"")*$G976,"")</f>
        <v/>
      </c>
      <c r="AE976" s="179" t="str">
        <f t="array" ref="AE976">IF($F976&lt;&gt;"",XLOOKUP($F976,Productos!$A:$A,Productos!X:X,"Revisar"),"")</f>
        <v/>
      </c>
      <c r="AF976" s="179" t="str">
        <f t="array" ref="AF976">IF($F976&lt;&gt;"", XLOOKUP($F976,Productos!$A$2:$A1001,Productos!Y$2:Y1001,"")*$G976,"")</f>
        <v/>
      </c>
      <c r="AG976" s="179" t="str">
        <f t="array" ref="AG976">IF($F976&lt;&gt;"",XLOOKUP($F976,Productos!$A:$A,Productos!Z:Z,"Revisar"),"")</f>
        <v/>
      </c>
      <c r="AH976" s="179" t="str">
        <f t="array" ref="AH976">IF($F976&lt;&gt;"", XLOOKUP($F976,Productos!$A$2:$A1001,Productos!AA$2:AA1001,"")*$G976,"")</f>
        <v/>
      </c>
      <c r="AI976" s="179" t="str">
        <f t="array" ref="AI976">IF($F976&lt;&gt;"",XLOOKUP($F976,Productos!$A:$A,Productos!AB:AB,"Revisar"),"")</f>
        <v/>
      </c>
      <c r="AJ976" s="179" t="str">
        <f t="array" ref="AJ976">IF($F976&lt;&gt;"", XLOOKUP($F976,Productos!$A$2:$A1001,Productos!AC$2:AC1001,"")*$G976,"")</f>
        <v/>
      </c>
      <c r="AK976" s="179" t="str">
        <f t="array" ref="AK976">IF($F976&lt;&gt;"",XLOOKUP($F976,Productos!$A:$A,Productos!AD:AD,"Revisar"),"")</f>
        <v/>
      </c>
      <c r="AL976" s="179" t="str">
        <f t="array" ref="AL976">IF($F976&lt;&gt;"", XLOOKUP($F976,Productos!$A$2:$A1001,Productos!AE$2:AE1001,"")*$G976,"")</f>
        <v/>
      </c>
      <c r="AM976" s="179" t="str">
        <f t="array" ref="AM976">IF($F976&lt;&gt;"",XLOOKUP($F976,Productos!$A:$A,Productos!AF:AF,"Revisar"),"")</f>
        <v/>
      </c>
      <c r="AN976" s="179" t="str">
        <f t="array" ref="AN976">IF($F976&lt;&gt;"", XLOOKUP($F976,Productos!$A$2:$A1001,Productos!AG$2:AG1001,"")*$G976,"")</f>
        <v/>
      </c>
      <c r="AO976" s="179" t="str">
        <f t="array" ref="AO976">IF($F976&lt;&gt;"",XLOOKUP($F976,Productos!$A:$A,Productos!AH:AH,"Revisar"),"")</f>
        <v/>
      </c>
      <c r="AP976" s="179" t="str">
        <f t="array" ref="AP976">IF($F976&lt;&gt;"", XLOOKUP($F976,Productos!$A$2:$A1001,Productos!AI$2:AI1001,"")*$G976,"")</f>
        <v/>
      </c>
      <c r="AQ976" s="179" t="str">
        <f t="array" ref="AQ976">IF($F976&lt;&gt;"",XLOOKUP($F976,Productos!$A:$A,Productos!AJ:AJ,"Revisar"),"")</f>
        <v/>
      </c>
      <c r="AR976" s="179" t="str">
        <f t="array" ref="AR976">IF($F976&lt;&gt;"", XLOOKUP($F976,Productos!$A$2:$A1001,Productos!AK$2:AK1001,"")*$G976,"")</f>
        <v/>
      </c>
      <c r="AS976" s="179" t="str">
        <f t="array" ref="AS976">IF($F976&lt;&gt;"",XLOOKUP($F976,Productos!$A:$A,Productos!AL:AL,"Revisar"),"")</f>
        <v/>
      </c>
      <c r="AT976" s="179" t="str">
        <f t="array" ref="AT976">IF($F976&lt;&gt;"", XLOOKUP($F976,Productos!$A$2:$A1001,Productos!AM$2:AM1001,"")*$G976,"")</f>
        <v/>
      </c>
      <c r="AU976" s="179" t="str">
        <f t="array" ref="AU976">IF($F976&lt;&gt;"",XLOOKUP($F976,Productos!$A:$A,Productos!AN:AN,"Revisar"),"")</f>
        <v/>
      </c>
      <c r="AV976" s="179" t="str">
        <f t="array" ref="AV976">IF($F976&lt;&gt;"", XLOOKUP($F976,Productos!$A$2:$A1001,Productos!AO$2:AO1001,"")*$G976,"")</f>
        <v/>
      </c>
      <c r="AW976" s="179" t="str">
        <f t="array" ref="AW976">IF($F976&lt;&gt;"",XLOOKUP($F976,Productos!$A:$A,Productos!AP:AP,"Revisar"),"")</f>
        <v/>
      </c>
      <c r="AX976" s="179" t="str">
        <f t="array" ref="AX976">IF($F976&lt;&gt;"", XLOOKUP($F976,Productos!$A$2:$A1001,Productos!AQ$2:AQ1001,"")*$G976,"")</f>
        <v/>
      </c>
      <c r="AY976" s="179" t="str">
        <f t="array" ref="AY976">IF($F976&lt;&gt;"",XLOOKUP($F976,Productos!$A:$A,Productos!AR:AR,"Revisar"),"")</f>
        <v/>
      </c>
      <c r="AZ976" s="179" t="str">
        <f t="array" ref="AZ976">IF($F976&lt;&gt;"", XLOOKUP($F976,Productos!$A$2:$A1001,Productos!AS$2:AS1001,"")*$G976,"")</f>
        <v/>
      </c>
      <c r="BA976" s="179" t="str">
        <f t="array" ref="BA976">IF($F976&lt;&gt;"",XLOOKUP($F976,Productos!$A:$A,Productos!AT:AT,"Revisar"),"")</f>
        <v/>
      </c>
      <c r="BB976" s="179" t="str">
        <f t="array" ref="BB976">IF($F976&lt;&gt;"", XLOOKUP($F976,Productos!$A$2:$A1001,Productos!AU$2:AU1001,"")*$G976,"")</f>
        <v/>
      </c>
      <c r="BC976" s="179" t="str">
        <f t="array" ref="BC976">IF($F976&lt;&gt;"",XLOOKUP($F976,Productos!$A:$A,Productos!AV:AV,"Revisar"),"")</f>
        <v/>
      </c>
      <c r="BD976" s="179" t="str">
        <f t="array" ref="BD976">IF($F976&lt;&gt;"", XLOOKUP($F976,Productos!$A$2:$A1001,Productos!AW$2:AW1001,"")*$G976,"")</f>
        <v/>
      </c>
      <c r="BE976" s="179" t="str">
        <f t="array" ref="BE976">IF($F976&lt;&gt;"",XLOOKUP($F976,Productos!$A:$A,Productos!AX:AX,"Revisar"),"")</f>
        <v/>
      </c>
      <c r="BF976" s="179" t="str">
        <f t="array" ref="BF976">IF($F976&lt;&gt;"", XLOOKUP($F976,Productos!$A$2:$A1001,Productos!AY$2:AY1001,"")*$G976,"")</f>
        <v/>
      </c>
      <c r="BG976" s="179" t="str">
        <f t="array" ref="BG976">IF($F976&lt;&gt;"",XLOOKUP($F976,Productos!$A:$A,Productos!AZ:AZ,"Revisar"),"")</f>
        <v/>
      </c>
      <c r="BH976" s="179" t="str">
        <f t="array" ref="BH976">IF($F976&lt;&gt;"", XLOOKUP($F976,Productos!$A$2:$A1001,Productos!BA$2:BA1001,"")*$G976,"")</f>
        <v/>
      </c>
      <c r="BI976" s="179" t="str">
        <f t="array" ref="BI976">IF($F976&lt;&gt;"",XLOOKUP($F976,Productos!$A:$A,Productos!BB:BB,"Revisar"),"")</f>
        <v/>
      </c>
      <c r="BJ976" s="179" t="str">
        <f t="array" ref="BJ976">IF($F976&lt;&gt;"", XLOOKUP($F976,Productos!$A$2:$A1001,Productos!BC$2:BC1001,"")*$G976,"")</f>
        <v/>
      </c>
      <c r="BK976" s="179" t="str">
        <f t="array" ref="BK976">IF($F976&lt;&gt;"",XLOOKUP($F976,Productos!$A:$A,Productos!BD:BD,"Revisar"),"")</f>
        <v/>
      </c>
      <c r="BL976" s="179" t="str">
        <f t="array" ref="BL976">IF($F976&lt;&gt;"", XLOOKUP($F976,Productos!$A$2:$A1001,Productos!BE$2:BE1001,"")*$G976,"")</f>
        <v/>
      </c>
      <c r="BM976" s="179" t="str">
        <f t="array" ref="BM976">IF($F976&lt;&gt;"",XLOOKUP($F976,Productos!$A:$A,Productos!BF:BF,"Revisar"),"")</f>
        <v/>
      </c>
      <c r="BN976" s="179" t="str">
        <f t="array" ref="BN976">IF($F976&lt;&gt;"", XLOOKUP($F976,Productos!$A$2:$A1001,Productos!BG$2:BG1001,"")*$G976,"")</f>
        <v/>
      </c>
      <c r="BO976" s="179" t="str">
        <f t="array" ref="BO976">IF($F976&lt;&gt;"",XLOOKUP($F976,Productos!$A:$A,Productos!BH:BH,"Revisar"),"")</f>
        <v/>
      </c>
      <c r="BP976" s="179" t="str">
        <f t="array" ref="BP976">IF($F976&lt;&gt;"", XLOOKUP($F976,Productos!$A$2:$A1001,Productos!BI$2:BI1001,"")*$G976,"")</f>
        <v/>
      </c>
      <c r="BQ976" s="179" t="str">
        <f t="array" ref="BQ976">IF($F976&lt;&gt;"",XLOOKUP($F976,Productos!$A:$A,Productos!BJ:BJ,"Revisar"),"")</f>
        <v/>
      </c>
      <c r="BR976" s="179" t="str">
        <f t="array" ref="BR976">IF($F976&lt;&gt;"", XLOOKUP($F976,Productos!$A$2:$A1001,Productos!BK$2:BK1001,"")*$G976,"")</f>
        <v/>
      </c>
      <c r="BS976" s="179" t="str">
        <f t="array" ref="BS976">IF($F976&lt;&gt;"",XLOOKUP($F976,Productos!$A:$A,Productos!BL:BL,"Revisar"),"")</f>
        <v/>
      </c>
      <c r="BT976" s="179" t="str">
        <f t="array" ref="BT976">IF($F976&lt;&gt;"", XLOOKUP($F976,Productos!$A$2:$A1001,Productos!BM$2:BM1001,"")*$G976,"")</f>
        <v/>
      </c>
      <c r="BU976" s="179" t="str">
        <f t="array" ref="BU976">IF($F976&lt;&gt;"",XLOOKUP($F976,Productos!$A:$A,Productos!BN:BN,"Revisar"),"")</f>
        <v/>
      </c>
      <c r="BV976" s="179" t="str">
        <f t="array" ref="BV976">IF($F976&lt;&gt;"", XLOOKUP($F976,Productos!$A$2:$A1001,Productos!BO$2:BO1001,"")*$G976,"")</f>
        <v/>
      </c>
      <c r="BW976" s="179" t="str">
        <f t="array" ref="BW976">IF($F976&lt;&gt;"",XLOOKUP($F976,Productos!$A:$A,Productos!BP:BP,"Revisar"),"")</f>
        <v/>
      </c>
      <c r="BX976" s="179" t="str">
        <f t="array" ref="BX976">IF($F976&lt;&gt;"", XLOOKUP($F976,Productos!$A$2:$A1001,Productos!BQ$2:BQ1001,"")*$G976,"")</f>
        <v/>
      </c>
      <c r="BY976" s="179" t="str">
        <f t="array" ref="BY976">IF($F976&lt;&gt;"",XLOOKUP($F976,Productos!$A:$A,Productos!BR:BR,"Revisar"),"")</f>
        <v/>
      </c>
      <c r="BZ976" s="179" t="str">
        <f t="array" ref="BZ976">IF($F976&lt;&gt;"", XLOOKUP($F976,Productos!$A$2:$A1001,Productos!BS$2:BS1001,"")*$G976,"")</f>
        <v/>
      </c>
    </row>
    <row r="977">
      <c r="A977" s="188"/>
      <c r="B977" s="189"/>
      <c r="C977" s="190"/>
      <c r="D977" s="190"/>
      <c r="E977" s="191"/>
      <c r="F977" s="186"/>
      <c r="G977" s="192"/>
      <c r="H977" s="9"/>
      <c r="I977" s="179" t="str">
        <f t="array" ref="I977">IF($F977&lt;&gt;"",XLOOKUP($F977,Productos!$A:$A,Productos!B:B,"Revisar"),"")</f>
        <v/>
      </c>
      <c r="J977" s="179" t="str">
        <f t="array" ref="J977">IF($F977&lt;&gt;"", XLOOKUP($F977,Productos!$A$2:$A1001,Productos!C$2:C1001,"")*$G977,"")</f>
        <v/>
      </c>
      <c r="K977" s="179" t="str">
        <f t="array" ref="K977">IF($F977&lt;&gt;"",XLOOKUP($F977,Productos!$A:$A,Productos!D:D,"Revisar"),"")</f>
        <v/>
      </c>
      <c r="L977" s="179" t="str">
        <f t="array" ref="L977">IF($F977&lt;&gt;"", XLOOKUP($F977,Productos!$A$2:$A1001,Productos!E$2:E1001,"")*$G977,"")</f>
        <v/>
      </c>
      <c r="M977" s="179" t="str">
        <f t="array" ref="M977">IF($F977&lt;&gt;"",XLOOKUP($F977,Productos!$A:$A,Productos!F:F,"Revisar"),"")</f>
        <v/>
      </c>
      <c r="N977" s="179" t="str">
        <f t="array" ref="N977">IF($F977&lt;&gt;"", XLOOKUP($F977,Productos!$A$2:$A1001,Productos!G$2:G1001,"")*$G977,"")</f>
        <v/>
      </c>
      <c r="O977" s="179" t="str">
        <f t="array" ref="O977">IF($F977&lt;&gt;"",XLOOKUP($F977,Productos!$A:$A,Productos!H:H,"Revisar"),"")</f>
        <v/>
      </c>
      <c r="P977" s="179" t="str">
        <f t="array" ref="P977">IF($F977&lt;&gt;"", XLOOKUP($F977,Productos!$A$2:$A1001,Productos!I$2:I1001,"")*$G977,"")</f>
        <v/>
      </c>
      <c r="Q977" s="179" t="str">
        <f t="array" ref="Q977">IF($F977&lt;&gt;"",XLOOKUP($F977,Productos!$A:$A,Productos!J:J,"Revisar"),"")</f>
        <v/>
      </c>
      <c r="R977" s="179" t="str">
        <f t="array" ref="R977">IF($F977&lt;&gt;"", XLOOKUP($F977,Productos!$A$2:$A1001,Productos!K$2:K1001,"")*$G977,"")</f>
        <v/>
      </c>
      <c r="S977" s="179" t="str">
        <f t="array" ref="S977">IF($F977&lt;&gt;"",XLOOKUP($F977,Productos!$A:$A,Productos!L:L,"Revisar"),"")</f>
        <v/>
      </c>
      <c r="T977" s="179" t="str">
        <f t="array" ref="T977">IF($F977&lt;&gt;"", XLOOKUP($F977,Productos!$A$2:$A1001,Productos!M$2:M1001,"")*$G977,"")</f>
        <v/>
      </c>
      <c r="U977" s="179" t="str">
        <f t="array" ref="U977">IF($F977&lt;&gt;"",XLOOKUP($F977,Productos!$A:$A,Productos!N:N,"Revisar"),"")</f>
        <v/>
      </c>
      <c r="V977" s="179" t="str">
        <f t="array" ref="V977">IF($F977&lt;&gt;"", XLOOKUP($F977,Productos!$A$2:$A1001,Productos!O$2:O1001,"")*$G977,"")</f>
        <v/>
      </c>
      <c r="W977" s="179" t="str">
        <f t="array" ref="W977">IF($F977&lt;&gt;"",XLOOKUP($F977,Productos!$A:$A,Productos!P:P,"Revisar"),"")</f>
        <v/>
      </c>
      <c r="X977" s="179" t="str">
        <f t="array" ref="X977">IF($F977&lt;&gt;"", XLOOKUP($F977,Productos!$A$2:$A1001,Productos!Q$2:Q1001,"")*$G977,"")</f>
        <v/>
      </c>
      <c r="Y977" s="179" t="str">
        <f t="array" ref="Y977">IF($F977&lt;&gt;"",XLOOKUP($F977,Productos!$A:$A,Productos!R:R,"Revisar"),"")</f>
        <v/>
      </c>
      <c r="Z977" s="179" t="str">
        <f t="array" ref="Z977">IF($F977&lt;&gt;"", XLOOKUP($F977,Productos!$A$2:$A1001,Productos!S$2:S1001,"")*$G977,"")</f>
        <v/>
      </c>
      <c r="AA977" s="179" t="str">
        <f t="array" ref="AA977">IF($F977&lt;&gt;"",XLOOKUP($F977,Productos!$A:$A,Productos!T:T,"Revisar"),"")</f>
        <v/>
      </c>
      <c r="AB977" s="179" t="str">
        <f t="array" ref="AB977">IF($F977&lt;&gt;"", XLOOKUP($F977,Productos!$A$2:$A1001,Productos!U$2:U1001,"")*$G977,"")</f>
        <v/>
      </c>
      <c r="AC977" s="179" t="str">
        <f t="array" ref="AC977">IF($F977&lt;&gt;"",XLOOKUP($F977,Productos!$A:$A,Productos!V:V,"Revisar"),"")</f>
        <v/>
      </c>
      <c r="AD977" s="179" t="str">
        <f t="array" ref="AD977">IF($F977&lt;&gt;"", XLOOKUP($F977,Productos!$A$2:$A1001,Productos!W$2:W1001,"")*$G977,"")</f>
        <v/>
      </c>
      <c r="AE977" s="179" t="str">
        <f t="array" ref="AE977">IF($F977&lt;&gt;"",XLOOKUP($F977,Productos!$A:$A,Productos!X:X,"Revisar"),"")</f>
        <v/>
      </c>
      <c r="AF977" s="179" t="str">
        <f t="array" ref="AF977">IF($F977&lt;&gt;"", XLOOKUP($F977,Productos!$A$2:$A1001,Productos!Y$2:Y1001,"")*$G977,"")</f>
        <v/>
      </c>
      <c r="AG977" s="179" t="str">
        <f t="array" ref="AG977">IF($F977&lt;&gt;"",XLOOKUP($F977,Productos!$A:$A,Productos!Z:Z,"Revisar"),"")</f>
        <v/>
      </c>
      <c r="AH977" s="179" t="str">
        <f t="array" ref="AH977">IF($F977&lt;&gt;"", XLOOKUP($F977,Productos!$A$2:$A1001,Productos!AA$2:AA1001,"")*$G977,"")</f>
        <v/>
      </c>
      <c r="AI977" s="179" t="str">
        <f t="array" ref="AI977">IF($F977&lt;&gt;"",XLOOKUP($F977,Productos!$A:$A,Productos!AB:AB,"Revisar"),"")</f>
        <v/>
      </c>
      <c r="AJ977" s="179" t="str">
        <f t="array" ref="AJ977">IF($F977&lt;&gt;"", XLOOKUP($F977,Productos!$A$2:$A1001,Productos!AC$2:AC1001,"")*$G977,"")</f>
        <v/>
      </c>
      <c r="AK977" s="179" t="str">
        <f t="array" ref="AK977">IF($F977&lt;&gt;"",XLOOKUP($F977,Productos!$A:$A,Productos!AD:AD,"Revisar"),"")</f>
        <v/>
      </c>
      <c r="AL977" s="179" t="str">
        <f t="array" ref="AL977">IF($F977&lt;&gt;"", XLOOKUP($F977,Productos!$A$2:$A1001,Productos!AE$2:AE1001,"")*$G977,"")</f>
        <v/>
      </c>
      <c r="AM977" s="179" t="str">
        <f t="array" ref="AM977">IF($F977&lt;&gt;"",XLOOKUP($F977,Productos!$A:$A,Productos!AF:AF,"Revisar"),"")</f>
        <v/>
      </c>
      <c r="AN977" s="179" t="str">
        <f t="array" ref="AN977">IF($F977&lt;&gt;"", XLOOKUP($F977,Productos!$A$2:$A1001,Productos!AG$2:AG1001,"")*$G977,"")</f>
        <v/>
      </c>
      <c r="AO977" s="179" t="str">
        <f t="array" ref="AO977">IF($F977&lt;&gt;"",XLOOKUP($F977,Productos!$A:$A,Productos!AH:AH,"Revisar"),"")</f>
        <v/>
      </c>
      <c r="AP977" s="179" t="str">
        <f t="array" ref="AP977">IF($F977&lt;&gt;"", XLOOKUP($F977,Productos!$A$2:$A1001,Productos!AI$2:AI1001,"")*$G977,"")</f>
        <v/>
      </c>
      <c r="AQ977" s="179" t="str">
        <f t="array" ref="AQ977">IF($F977&lt;&gt;"",XLOOKUP($F977,Productos!$A:$A,Productos!AJ:AJ,"Revisar"),"")</f>
        <v/>
      </c>
      <c r="AR977" s="179" t="str">
        <f t="array" ref="AR977">IF($F977&lt;&gt;"", XLOOKUP($F977,Productos!$A$2:$A1001,Productos!AK$2:AK1001,"")*$G977,"")</f>
        <v/>
      </c>
      <c r="AS977" s="179" t="str">
        <f t="array" ref="AS977">IF($F977&lt;&gt;"",XLOOKUP($F977,Productos!$A:$A,Productos!AL:AL,"Revisar"),"")</f>
        <v/>
      </c>
      <c r="AT977" s="179" t="str">
        <f t="array" ref="AT977">IF($F977&lt;&gt;"", XLOOKUP($F977,Productos!$A$2:$A1001,Productos!AM$2:AM1001,"")*$G977,"")</f>
        <v/>
      </c>
      <c r="AU977" s="179" t="str">
        <f t="array" ref="AU977">IF($F977&lt;&gt;"",XLOOKUP($F977,Productos!$A:$A,Productos!AN:AN,"Revisar"),"")</f>
        <v/>
      </c>
      <c r="AV977" s="179" t="str">
        <f t="array" ref="AV977">IF($F977&lt;&gt;"", XLOOKUP($F977,Productos!$A$2:$A1001,Productos!AO$2:AO1001,"")*$G977,"")</f>
        <v/>
      </c>
      <c r="AW977" s="179" t="str">
        <f t="array" ref="AW977">IF($F977&lt;&gt;"",XLOOKUP($F977,Productos!$A:$A,Productos!AP:AP,"Revisar"),"")</f>
        <v/>
      </c>
      <c r="AX977" s="179" t="str">
        <f t="array" ref="AX977">IF($F977&lt;&gt;"", XLOOKUP($F977,Productos!$A$2:$A1001,Productos!AQ$2:AQ1001,"")*$G977,"")</f>
        <v/>
      </c>
      <c r="AY977" s="179" t="str">
        <f t="array" ref="AY977">IF($F977&lt;&gt;"",XLOOKUP($F977,Productos!$A:$A,Productos!AR:AR,"Revisar"),"")</f>
        <v/>
      </c>
      <c r="AZ977" s="179" t="str">
        <f t="array" ref="AZ977">IF($F977&lt;&gt;"", XLOOKUP($F977,Productos!$A$2:$A1001,Productos!AS$2:AS1001,"")*$G977,"")</f>
        <v/>
      </c>
      <c r="BA977" s="179" t="str">
        <f t="array" ref="BA977">IF($F977&lt;&gt;"",XLOOKUP($F977,Productos!$A:$A,Productos!AT:AT,"Revisar"),"")</f>
        <v/>
      </c>
      <c r="BB977" s="179" t="str">
        <f t="array" ref="BB977">IF($F977&lt;&gt;"", XLOOKUP($F977,Productos!$A$2:$A1001,Productos!AU$2:AU1001,"")*$G977,"")</f>
        <v/>
      </c>
      <c r="BC977" s="179" t="str">
        <f t="array" ref="BC977">IF($F977&lt;&gt;"",XLOOKUP($F977,Productos!$A:$A,Productos!AV:AV,"Revisar"),"")</f>
        <v/>
      </c>
      <c r="BD977" s="179" t="str">
        <f t="array" ref="BD977">IF($F977&lt;&gt;"", XLOOKUP($F977,Productos!$A$2:$A1001,Productos!AW$2:AW1001,"")*$G977,"")</f>
        <v/>
      </c>
      <c r="BE977" s="179" t="str">
        <f t="array" ref="BE977">IF($F977&lt;&gt;"",XLOOKUP($F977,Productos!$A:$A,Productos!AX:AX,"Revisar"),"")</f>
        <v/>
      </c>
      <c r="BF977" s="179" t="str">
        <f t="array" ref="BF977">IF($F977&lt;&gt;"", XLOOKUP($F977,Productos!$A$2:$A1001,Productos!AY$2:AY1001,"")*$G977,"")</f>
        <v/>
      </c>
      <c r="BG977" s="179" t="str">
        <f t="array" ref="BG977">IF($F977&lt;&gt;"",XLOOKUP($F977,Productos!$A:$A,Productos!AZ:AZ,"Revisar"),"")</f>
        <v/>
      </c>
      <c r="BH977" s="179" t="str">
        <f t="array" ref="BH977">IF($F977&lt;&gt;"", XLOOKUP($F977,Productos!$A$2:$A1001,Productos!BA$2:BA1001,"")*$G977,"")</f>
        <v/>
      </c>
      <c r="BI977" s="179" t="str">
        <f t="array" ref="BI977">IF($F977&lt;&gt;"",XLOOKUP($F977,Productos!$A:$A,Productos!BB:BB,"Revisar"),"")</f>
        <v/>
      </c>
      <c r="BJ977" s="179" t="str">
        <f t="array" ref="BJ977">IF($F977&lt;&gt;"", XLOOKUP($F977,Productos!$A$2:$A1001,Productos!BC$2:BC1001,"")*$G977,"")</f>
        <v/>
      </c>
      <c r="BK977" s="179" t="str">
        <f t="array" ref="BK977">IF($F977&lt;&gt;"",XLOOKUP($F977,Productos!$A:$A,Productos!BD:BD,"Revisar"),"")</f>
        <v/>
      </c>
      <c r="BL977" s="179" t="str">
        <f t="array" ref="BL977">IF($F977&lt;&gt;"", XLOOKUP($F977,Productos!$A$2:$A1001,Productos!BE$2:BE1001,"")*$G977,"")</f>
        <v/>
      </c>
      <c r="BM977" s="179" t="str">
        <f t="array" ref="BM977">IF($F977&lt;&gt;"",XLOOKUP($F977,Productos!$A:$A,Productos!BF:BF,"Revisar"),"")</f>
        <v/>
      </c>
      <c r="BN977" s="179" t="str">
        <f t="array" ref="BN977">IF($F977&lt;&gt;"", XLOOKUP($F977,Productos!$A$2:$A1001,Productos!BG$2:BG1001,"")*$G977,"")</f>
        <v/>
      </c>
      <c r="BO977" s="179" t="str">
        <f t="array" ref="BO977">IF($F977&lt;&gt;"",XLOOKUP($F977,Productos!$A:$A,Productos!BH:BH,"Revisar"),"")</f>
        <v/>
      </c>
      <c r="BP977" s="179" t="str">
        <f t="array" ref="BP977">IF($F977&lt;&gt;"", XLOOKUP($F977,Productos!$A$2:$A1001,Productos!BI$2:BI1001,"")*$G977,"")</f>
        <v/>
      </c>
      <c r="BQ977" s="179" t="str">
        <f t="array" ref="BQ977">IF($F977&lt;&gt;"",XLOOKUP($F977,Productos!$A:$A,Productos!BJ:BJ,"Revisar"),"")</f>
        <v/>
      </c>
      <c r="BR977" s="179" t="str">
        <f t="array" ref="BR977">IF($F977&lt;&gt;"", XLOOKUP($F977,Productos!$A$2:$A1001,Productos!BK$2:BK1001,"")*$G977,"")</f>
        <v/>
      </c>
      <c r="BS977" s="179" t="str">
        <f t="array" ref="BS977">IF($F977&lt;&gt;"",XLOOKUP($F977,Productos!$A:$A,Productos!BL:BL,"Revisar"),"")</f>
        <v/>
      </c>
      <c r="BT977" s="179" t="str">
        <f t="array" ref="BT977">IF($F977&lt;&gt;"", XLOOKUP($F977,Productos!$A$2:$A1001,Productos!BM$2:BM1001,"")*$G977,"")</f>
        <v/>
      </c>
      <c r="BU977" s="179" t="str">
        <f t="array" ref="BU977">IF($F977&lt;&gt;"",XLOOKUP($F977,Productos!$A:$A,Productos!BN:BN,"Revisar"),"")</f>
        <v/>
      </c>
      <c r="BV977" s="179" t="str">
        <f t="array" ref="BV977">IF($F977&lt;&gt;"", XLOOKUP($F977,Productos!$A$2:$A1001,Productos!BO$2:BO1001,"")*$G977,"")</f>
        <v/>
      </c>
      <c r="BW977" s="179" t="str">
        <f t="array" ref="BW977">IF($F977&lt;&gt;"",XLOOKUP($F977,Productos!$A:$A,Productos!BP:BP,"Revisar"),"")</f>
        <v/>
      </c>
      <c r="BX977" s="179" t="str">
        <f t="array" ref="BX977">IF($F977&lt;&gt;"", XLOOKUP($F977,Productos!$A$2:$A1001,Productos!BQ$2:BQ1001,"")*$G977,"")</f>
        <v/>
      </c>
      <c r="BY977" s="179" t="str">
        <f t="array" ref="BY977">IF($F977&lt;&gt;"",XLOOKUP($F977,Productos!$A:$A,Productos!BR:BR,"Revisar"),"")</f>
        <v/>
      </c>
      <c r="BZ977" s="179" t="str">
        <f t="array" ref="BZ977">IF($F977&lt;&gt;"", XLOOKUP($F977,Productos!$A$2:$A1001,Productos!BS$2:BS1001,"")*$G977,"")</f>
        <v/>
      </c>
    </row>
    <row r="978">
      <c r="A978" s="188"/>
      <c r="B978" s="189"/>
      <c r="C978" s="190"/>
      <c r="D978" s="190"/>
      <c r="E978" s="191"/>
      <c r="F978" s="186"/>
      <c r="G978" s="192"/>
      <c r="H978" s="9"/>
      <c r="I978" s="179" t="str">
        <f t="array" ref="I978">IF($F978&lt;&gt;"",XLOOKUP($F978,Productos!$A:$A,Productos!B:B,"Revisar"),"")</f>
        <v/>
      </c>
      <c r="J978" s="179" t="str">
        <f t="array" ref="J978">IF($F978&lt;&gt;"", XLOOKUP($F978,Productos!$A$2:$A1001,Productos!C$2:C1001,"")*$G978,"")</f>
        <v/>
      </c>
      <c r="K978" s="179" t="str">
        <f t="array" ref="K978">IF($F978&lt;&gt;"",XLOOKUP($F978,Productos!$A:$A,Productos!D:D,"Revisar"),"")</f>
        <v/>
      </c>
      <c r="L978" s="179" t="str">
        <f t="array" ref="L978">IF($F978&lt;&gt;"", XLOOKUP($F978,Productos!$A$2:$A1001,Productos!E$2:E1001,"")*$G978,"")</f>
        <v/>
      </c>
      <c r="M978" s="179" t="str">
        <f t="array" ref="M978">IF($F978&lt;&gt;"",XLOOKUP($F978,Productos!$A:$A,Productos!F:F,"Revisar"),"")</f>
        <v/>
      </c>
      <c r="N978" s="179" t="str">
        <f t="array" ref="N978">IF($F978&lt;&gt;"", XLOOKUP($F978,Productos!$A$2:$A1001,Productos!G$2:G1001,"")*$G978,"")</f>
        <v/>
      </c>
      <c r="O978" s="179" t="str">
        <f t="array" ref="O978">IF($F978&lt;&gt;"",XLOOKUP($F978,Productos!$A:$A,Productos!H:H,"Revisar"),"")</f>
        <v/>
      </c>
      <c r="P978" s="179" t="str">
        <f t="array" ref="P978">IF($F978&lt;&gt;"", XLOOKUP($F978,Productos!$A$2:$A1001,Productos!I$2:I1001,"")*$G978,"")</f>
        <v/>
      </c>
      <c r="Q978" s="179" t="str">
        <f t="array" ref="Q978">IF($F978&lt;&gt;"",XLOOKUP($F978,Productos!$A:$A,Productos!J:J,"Revisar"),"")</f>
        <v/>
      </c>
      <c r="R978" s="179" t="str">
        <f t="array" ref="R978">IF($F978&lt;&gt;"", XLOOKUP($F978,Productos!$A$2:$A1001,Productos!K$2:K1001,"")*$G978,"")</f>
        <v/>
      </c>
      <c r="S978" s="179" t="str">
        <f t="array" ref="S978">IF($F978&lt;&gt;"",XLOOKUP($F978,Productos!$A:$A,Productos!L:L,"Revisar"),"")</f>
        <v/>
      </c>
      <c r="T978" s="179" t="str">
        <f t="array" ref="T978">IF($F978&lt;&gt;"", XLOOKUP($F978,Productos!$A$2:$A1001,Productos!M$2:M1001,"")*$G978,"")</f>
        <v/>
      </c>
      <c r="U978" s="179" t="str">
        <f t="array" ref="U978">IF($F978&lt;&gt;"",XLOOKUP($F978,Productos!$A:$A,Productos!N:N,"Revisar"),"")</f>
        <v/>
      </c>
      <c r="V978" s="179" t="str">
        <f t="array" ref="V978">IF($F978&lt;&gt;"", XLOOKUP($F978,Productos!$A$2:$A1001,Productos!O$2:O1001,"")*$G978,"")</f>
        <v/>
      </c>
      <c r="W978" s="179" t="str">
        <f t="array" ref="W978">IF($F978&lt;&gt;"",XLOOKUP($F978,Productos!$A:$A,Productos!P:P,"Revisar"),"")</f>
        <v/>
      </c>
      <c r="X978" s="179" t="str">
        <f t="array" ref="X978">IF($F978&lt;&gt;"", XLOOKUP($F978,Productos!$A$2:$A1001,Productos!Q$2:Q1001,"")*$G978,"")</f>
        <v/>
      </c>
      <c r="Y978" s="179" t="str">
        <f t="array" ref="Y978">IF($F978&lt;&gt;"",XLOOKUP($F978,Productos!$A:$A,Productos!R:R,"Revisar"),"")</f>
        <v/>
      </c>
      <c r="Z978" s="179" t="str">
        <f t="array" ref="Z978">IF($F978&lt;&gt;"", XLOOKUP($F978,Productos!$A$2:$A1001,Productos!S$2:S1001,"")*$G978,"")</f>
        <v/>
      </c>
      <c r="AA978" s="179" t="str">
        <f t="array" ref="AA978">IF($F978&lt;&gt;"",XLOOKUP($F978,Productos!$A:$A,Productos!T:T,"Revisar"),"")</f>
        <v/>
      </c>
      <c r="AB978" s="179" t="str">
        <f t="array" ref="AB978">IF($F978&lt;&gt;"", XLOOKUP($F978,Productos!$A$2:$A1001,Productos!U$2:U1001,"")*$G978,"")</f>
        <v/>
      </c>
      <c r="AC978" s="179" t="str">
        <f t="array" ref="AC978">IF($F978&lt;&gt;"",XLOOKUP($F978,Productos!$A:$A,Productos!V:V,"Revisar"),"")</f>
        <v/>
      </c>
      <c r="AD978" s="179" t="str">
        <f t="array" ref="AD978">IF($F978&lt;&gt;"", XLOOKUP($F978,Productos!$A$2:$A1001,Productos!W$2:W1001,"")*$G978,"")</f>
        <v/>
      </c>
      <c r="AE978" s="179" t="str">
        <f t="array" ref="AE978">IF($F978&lt;&gt;"",XLOOKUP($F978,Productos!$A:$A,Productos!X:X,"Revisar"),"")</f>
        <v/>
      </c>
      <c r="AF978" s="179" t="str">
        <f t="array" ref="AF978">IF($F978&lt;&gt;"", XLOOKUP($F978,Productos!$A$2:$A1001,Productos!Y$2:Y1001,"")*$G978,"")</f>
        <v/>
      </c>
      <c r="AG978" s="179" t="str">
        <f t="array" ref="AG978">IF($F978&lt;&gt;"",XLOOKUP($F978,Productos!$A:$A,Productos!Z:Z,"Revisar"),"")</f>
        <v/>
      </c>
      <c r="AH978" s="179" t="str">
        <f t="array" ref="AH978">IF($F978&lt;&gt;"", XLOOKUP($F978,Productos!$A$2:$A1001,Productos!AA$2:AA1001,"")*$G978,"")</f>
        <v/>
      </c>
      <c r="AI978" s="179" t="str">
        <f t="array" ref="AI978">IF($F978&lt;&gt;"",XLOOKUP($F978,Productos!$A:$A,Productos!AB:AB,"Revisar"),"")</f>
        <v/>
      </c>
      <c r="AJ978" s="179" t="str">
        <f t="array" ref="AJ978">IF($F978&lt;&gt;"", XLOOKUP($F978,Productos!$A$2:$A1001,Productos!AC$2:AC1001,"")*$G978,"")</f>
        <v/>
      </c>
      <c r="AK978" s="179" t="str">
        <f t="array" ref="AK978">IF($F978&lt;&gt;"",XLOOKUP($F978,Productos!$A:$A,Productos!AD:AD,"Revisar"),"")</f>
        <v/>
      </c>
      <c r="AL978" s="179" t="str">
        <f t="array" ref="AL978">IF($F978&lt;&gt;"", XLOOKUP($F978,Productos!$A$2:$A1001,Productos!AE$2:AE1001,"")*$G978,"")</f>
        <v/>
      </c>
      <c r="AM978" s="179" t="str">
        <f t="array" ref="AM978">IF($F978&lt;&gt;"",XLOOKUP($F978,Productos!$A:$A,Productos!AF:AF,"Revisar"),"")</f>
        <v/>
      </c>
      <c r="AN978" s="179" t="str">
        <f t="array" ref="AN978">IF($F978&lt;&gt;"", XLOOKUP($F978,Productos!$A$2:$A1001,Productos!AG$2:AG1001,"")*$G978,"")</f>
        <v/>
      </c>
      <c r="AO978" s="179" t="str">
        <f t="array" ref="AO978">IF($F978&lt;&gt;"",XLOOKUP($F978,Productos!$A:$A,Productos!AH:AH,"Revisar"),"")</f>
        <v/>
      </c>
      <c r="AP978" s="179" t="str">
        <f t="array" ref="AP978">IF($F978&lt;&gt;"", XLOOKUP($F978,Productos!$A$2:$A1001,Productos!AI$2:AI1001,"")*$G978,"")</f>
        <v/>
      </c>
      <c r="AQ978" s="179" t="str">
        <f t="array" ref="AQ978">IF($F978&lt;&gt;"",XLOOKUP($F978,Productos!$A:$A,Productos!AJ:AJ,"Revisar"),"")</f>
        <v/>
      </c>
      <c r="AR978" s="179" t="str">
        <f t="array" ref="AR978">IF($F978&lt;&gt;"", XLOOKUP($F978,Productos!$A$2:$A1001,Productos!AK$2:AK1001,"")*$G978,"")</f>
        <v/>
      </c>
      <c r="AS978" s="179" t="str">
        <f t="array" ref="AS978">IF($F978&lt;&gt;"",XLOOKUP($F978,Productos!$A:$A,Productos!AL:AL,"Revisar"),"")</f>
        <v/>
      </c>
      <c r="AT978" s="179" t="str">
        <f t="array" ref="AT978">IF($F978&lt;&gt;"", XLOOKUP($F978,Productos!$A$2:$A1001,Productos!AM$2:AM1001,"")*$G978,"")</f>
        <v/>
      </c>
      <c r="AU978" s="179" t="str">
        <f t="array" ref="AU978">IF($F978&lt;&gt;"",XLOOKUP($F978,Productos!$A:$A,Productos!AN:AN,"Revisar"),"")</f>
        <v/>
      </c>
      <c r="AV978" s="179" t="str">
        <f t="array" ref="AV978">IF($F978&lt;&gt;"", XLOOKUP($F978,Productos!$A$2:$A1001,Productos!AO$2:AO1001,"")*$G978,"")</f>
        <v/>
      </c>
      <c r="AW978" s="179" t="str">
        <f t="array" ref="AW978">IF($F978&lt;&gt;"",XLOOKUP($F978,Productos!$A:$A,Productos!AP:AP,"Revisar"),"")</f>
        <v/>
      </c>
      <c r="AX978" s="179" t="str">
        <f t="array" ref="AX978">IF($F978&lt;&gt;"", XLOOKUP($F978,Productos!$A$2:$A1001,Productos!AQ$2:AQ1001,"")*$G978,"")</f>
        <v/>
      </c>
      <c r="AY978" s="179" t="str">
        <f t="array" ref="AY978">IF($F978&lt;&gt;"",XLOOKUP($F978,Productos!$A:$A,Productos!AR:AR,"Revisar"),"")</f>
        <v/>
      </c>
      <c r="AZ978" s="179" t="str">
        <f t="array" ref="AZ978">IF($F978&lt;&gt;"", XLOOKUP($F978,Productos!$A$2:$A1001,Productos!AS$2:AS1001,"")*$G978,"")</f>
        <v/>
      </c>
      <c r="BA978" s="179" t="str">
        <f t="array" ref="BA978">IF($F978&lt;&gt;"",XLOOKUP($F978,Productos!$A:$A,Productos!AT:AT,"Revisar"),"")</f>
        <v/>
      </c>
      <c r="BB978" s="179" t="str">
        <f t="array" ref="BB978">IF($F978&lt;&gt;"", XLOOKUP($F978,Productos!$A$2:$A1001,Productos!AU$2:AU1001,"")*$G978,"")</f>
        <v/>
      </c>
      <c r="BC978" s="179" t="str">
        <f t="array" ref="BC978">IF($F978&lt;&gt;"",XLOOKUP($F978,Productos!$A:$A,Productos!AV:AV,"Revisar"),"")</f>
        <v/>
      </c>
      <c r="BD978" s="179" t="str">
        <f t="array" ref="BD978">IF($F978&lt;&gt;"", XLOOKUP($F978,Productos!$A$2:$A1001,Productos!AW$2:AW1001,"")*$G978,"")</f>
        <v/>
      </c>
      <c r="BE978" s="179" t="str">
        <f t="array" ref="BE978">IF($F978&lt;&gt;"",XLOOKUP($F978,Productos!$A:$A,Productos!AX:AX,"Revisar"),"")</f>
        <v/>
      </c>
      <c r="BF978" s="179" t="str">
        <f t="array" ref="BF978">IF($F978&lt;&gt;"", XLOOKUP($F978,Productos!$A$2:$A1001,Productos!AY$2:AY1001,"")*$G978,"")</f>
        <v/>
      </c>
      <c r="BG978" s="179" t="str">
        <f t="array" ref="BG978">IF($F978&lt;&gt;"",XLOOKUP($F978,Productos!$A:$A,Productos!AZ:AZ,"Revisar"),"")</f>
        <v/>
      </c>
      <c r="BH978" s="179" t="str">
        <f t="array" ref="BH978">IF($F978&lt;&gt;"", XLOOKUP($F978,Productos!$A$2:$A1001,Productos!BA$2:BA1001,"")*$G978,"")</f>
        <v/>
      </c>
      <c r="BI978" s="179" t="str">
        <f t="array" ref="BI978">IF($F978&lt;&gt;"",XLOOKUP($F978,Productos!$A:$A,Productos!BB:BB,"Revisar"),"")</f>
        <v/>
      </c>
      <c r="BJ978" s="179" t="str">
        <f t="array" ref="BJ978">IF($F978&lt;&gt;"", XLOOKUP($F978,Productos!$A$2:$A1001,Productos!BC$2:BC1001,"")*$G978,"")</f>
        <v/>
      </c>
      <c r="BK978" s="179" t="str">
        <f t="array" ref="BK978">IF($F978&lt;&gt;"",XLOOKUP($F978,Productos!$A:$A,Productos!BD:BD,"Revisar"),"")</f>
        <v/>
      </c>
      <c r="BL978" s="179" t="str">
        <f t="array" ref="BL978">IF($F978&lt;&gt;"", XLOOKUP($F978,Productos!$A$2:$A1001,Productos!BE$2:BE1001,"")*$G978,"")</f>
        <v/>
      </c>
      <c r="BM978" s="179" t="str">
        <f t="array" ref="BM978">IF($F978&lt;&gt;"",XLOOKUP($F978,Productos!$A:$A,Productos!BF:BF,"Revisar"),"")</f>
        <v/>
      </c>
      <c r="BN978" s="179" t="str">
        <f t="array" ref="BN978">IF($F978&lt;&gt;"", XLOOKUP($F978,Productos!$A$2:$A1001,Productos!BG$2:BG1001,"")*$G978,"")</f>
        <v/>
      </c>
      <c r="BO978" s="179" t="str">
        <f t="array" ref="BO978">IF($F978&lt;&gt;"",XLOOKUP($F978,Productos!$A:$A,Productos!BH:BH,"Revisar"),"")</f>
        <v/>
      </c>
      <c r="BP978" s="179" t="str">
        <f t="array" ref="BP978">IF($F978&lt;&gt;"", XLOOKUP($F978,Productos!$A$2:$A1001,Productos!BI$2:BI1001,"")*$G978,"")</f>
        <v/>
      </c>
      <c r="BQ978" s="179" t="str">
        <f t="array" ref="BQ978">IF($F978&lt;&gt;"",XLOOKUP($F978,Productos!$A:$A,Productos!BJ:BJ,"Revisar"),"")</f>
        <v/>
      </c>
      <c r="BR978" s="179" t="str">
        <f t="array" ref="BR978">IF($F978&lt;&gt;"", XLOOKUP($F978,Productos!$A$2:$A1001,Productos!BK$2:BK1001,"")*$G978,"")</f>
        <v/>
      </c>
      <c r="BS978" s="179" t="str">
        <f t="array" ref="BS978">IF($F978&lt;&gt;"",XLOOKUP($F978,Productos!$A:$A,Productos!BL:BL,"Revisar"),"")</f>
        <v/>
      </c>
      <c r="BT978" s="179" t="str">
        <f t="array" ref="BT978">IF($F978&lt;&gt;"", XLOOKUP($F978,Productos!$A$2:$A1001,Productos!BM$2:BM1001,"")*$G978,"")</f>
        <v/>
      </c>
      <c r="BU978" s="179" t="str">
        <f t="array" ref="BU978">IF($F978&lt;&gt;"",XLOOKUP($F978,Productos!$A:$A,Productos!BN:BN,"Revisar"),"")</f>
        <v/>
      </c>
      <c r="BV978" s="179" t="str">
        <f t="array" ref="BV978">IF($F978&lt;&gt;"", XLOOKUP($F978,Productos!$A$2:$A1001,Productos!BO$2:BO1001,"")*$G978,"")</f>
        <v/>
      </c>
      <c r="BW978" s="179" t="str">
        <f t="array" ref="BW978">IF($F978&lt;&gt;"",XLOOKUP($F978,Productos!$A:$A,Productos!BP:BP,"Revisar"),"")</f>
        <v/>
      </c>
      <c r="BX978" s="179" t="str">
        <f t="array" ref="BX978">IF($F978&lt;&gt;"", XLOOKUP($F978,Productos!$A$2:$A1001,Productos!BQ$2:BQ1001,"")*$G978,"")</f>
        <v/>
      </c>
      <c r="BY978" s="179" t="str">
        <f t="array" ref="BY978">IF($F978&lt;&gt;"",XLOOKUP($F978,Productos!$A:$A,Productos!BR:BR,"Revisar"),"")</f>
        <v/>
      </c>
      <c r="BZ978" s="179" t="str">
        <f t="array" ref="BZ978">IF($F978&lt;&gt;"", XLOOKUP($F978,Productos!$A$2:$A1001,Productos!BS$2:BS1001,"")*$G978,"")</f>
        <v/>
      </c>
    </row>
    <row r="979">
      <c r="A979" s="188"/>
      <c r="B979" s="189"/>
      <c r="C979" s="190"/>
      <c r="D979" s="190"/>
      <c r="E979" s="191"/>
      <c r="F979" s="186"/>
      <c r="G979" s="192"/>
      <c r="H979" s="9"/>
      <c r="I979" s="179" t="str">
        <f t="array" ref="I979">IF($F979&lt;&gt;"",XLOOKUP($F979,Productos!$A:$A,Productos!B:B,"Revisar"),"")</f>
        <v/>
      </c>
      <c r="J979" s="179" t="str">
        <f t="array" ref="J979">IF($F979&lt;&gt;"", XLOOKUP($F979,Productos!$A$2:$A1001,Productos!C$2:C1001,"")*$G979,"")</f>
        <v/>
      </c>
      <c r="K979" s="179" t="str">
        <f t="array" ref="K979">IF($F979&lt;&gt;"",XLOOKUP($F979,Productos!$A:$A,Productos!D:D,"Revisar"),"")</f>
        <v/>
      </c>
      <c r="L979" s="179" t="str">
        <f t="array" ref="L979">IF($F979&lt;&gt;"", XLOOKUP($F979,Productos!$A$2:$A1001,Productos!E$2:E1001,"")*$G979,"")</f>
        <v/>
      </c>
      <c r="M979" s="179" t="str">
        <f t="array" ref="M979">IF($F979&lt;&gt;"",XLOOKUP($F979,Productos!$A:$A,Productos!F:F,"Revisar"),"")</f>
        <v/>
      </c>
      <c r="N979" s="179" t="str">
        <f t="array" ref="N979">IF($F979&lt;&gt;"", XLOOKUP($F979,Productos!$A$2:$A1001,Productos!G$2:G1001,"")*$G979,"")</f>
        <v/>
      </c>
      <c r="O979" s="179" t="str">
        <f t="array" ref="O979">IF($F979&lt;&gt;"",XLOOKUP($F979,Productos!$A:$A,Productos!H:H,"Revisar"),"")</f>
        <v/>
      </c>
      <c r="P979" s="179" t="str">
        <f t="array" ref="P979">IF($F979&lt;&gt;"", XLOOKUP($F979,Productos!$A$2:$A1001,Productos!I$2:I1001,"")*$G979,"")</f>
        <v/>
      </c>
      <c r="Q979" s="179" t="str">
        <f t="array" ref="Q979">IF($F979&lt;&gt;"",XLOOKUP($F979,Productos!$A:$A,Productos!J:J,"Revisar"),"")</f>
        <v/>
      </c>
      <c r="R979" s="179" t="str">
        <f t="array" ref="R979">IF($F979&lt;&gt;"", XLOOKUP($F979,Productos!$A$2:$A1001,Productos!K$2:K1001,"")*$G979,"")</f>
        <v/>
      </c>
      <c r="S979" s="179" t="str">
        <f t="array" ref="S979">IF($F979&lt;&gt;"",XLOOKUP($F979,Productos!$A:$A,Productos!L:L,"Revisar"),"")</f>
        <v/>
      </c>
      <c r="T979" s="179" t="str">
        <f t="array" ref="T979">IF($F979&lt;&gt;"", XLOOKUP($F979,Productos!$A$2:$A1001,Productos!M$2:M1001,"")*$G979,"")</f>
        <v/>
      </c>
      <c r="U979" s="179" t="str">
        <f t="array" ref="U979">IF($F979&lt;&gt;"",XLOOKUP($F979,Productos!$A:$A,Productos!N:N,"Revisar"),"")</f>
        <v/>
      </c>
      <c r="V979" s="179" t="str">
        <f t="array" ref="V979">IF($F979&lt;&gt;"", XLOOKUP($F979,Productos!$A$2:$A1001,Productos!O$2:O1001,"")*$G979,"")</f>
        <v/>
      </c>
      <c r="W979" s="179" t="str">
        <f t="array" ref="W979">IF($F979&lt;&gt;"",XLOOKUP($F979,Productos!$A:$A,Productos!P:P,"Revisar"),"")</f>
        <v/>
      </c>
      <c r="X979" s="179" t="str">
        <f t="array" ref="X979">IF($F979&lt;&gt;"", XLOOKUP($F979,Productos!$A$2:$A1001,Productos!Q$2:Q1001,"")*$G979,"")</f>
        <v/>
      </c>
      <c r="Y979" s="179" t="str">
        <f t="array" ref="Y979">IF($F979&lt;&gt;"",XLOOKUP($F979,Productos!$A:$A,Productos!R:R,"Revisar"),"")</f>
        <v/>
      </c>
      <c r="Z979" s="179" t="str">
        <f t="array" ref="Z979">IF($F979&lt;&gt;"", XLOOKUP($F979,Productos!$A$2:$A1001,Productos!S$2:S1001,"")*$G979,"")</f>
        <v/>
      </c>
      <c r="AA979" s="179" t="str">
        <f t="array" ref="AA979">IF($F979&lt;&gt;"",XLOOKUP($F979,Productos!$A:$A,Productos!T:T,"Revisar"),"")</f>
        <v/>
      </c>
      <c r="AB979" s="179" t="str">
        <f t="array" ref="AB979">IF($F979&lt;&gt;"", XLOOKUP($F979,Productos!$A$2:$A1001,Productos!U$2:U1001,"")*$G979,"")</f>
        <v/>
      </c>
      <c r="AC979" s="179" t="str">
        <f t="array" ref="AC979">IF($F979&lt;&gt;"",XLOOKUP($F979,Productos!$A:$A,Productos!V:V,"Revisar"),"")</f>
        <v/>
      </c>
      <c r="AD979" s="179" t="str">
        <f t="array" ref="AD979">IF($F979&lt;&gt;"", XLOOKUP($F979,Productos!$A$2:$A1001,Productos!W$2:W1001,"")*$G979,"")</f>
        <v/>
      </c>
      <c r="AE979" s="179" t="str">
        <f t="array" ref="AE979">IF($F979&lt;&gt;"",XLOOKUP($F979,Productos!$A:$A,Productos!X:X,"Revisar"),"")</f>
        <v/>
      </c>
      <c r="AF979" s="179" t="str">
        <f t="array" ref="AF979">IF($F979&lt;&gt;"", XLOOKUP($F979,Productos!$A$2:$A1001,Productos!Y$2:Y1001,"")*$G979,"")</f>
        <v/>
      </c>
      <c r="AG979" s="179" t="str">
        <f t="array" ref="AG979">IF($F979&lt;&gt;"",XLOOKUP($F979,Productos!$A:$A,Productos!Z:Z,"Revisar"),"")</f>
        <v/>
      </c>
      <c r="AH979" s="179" t="str">
        <f t="array" ref="AH979">IF($F979&lt;&gt;"", XLOOKUP($F979,Productos!$A$2:$A1001,Productos!AA$2:AA1001,"")*$G979,"")</f>
        <v/>
      </c>
      <c r="AI979" s="179" t="str">
        <f t="array" ref="AI979">IF($F979&lt;&gt;"",XLOOKUP($F979,Productos!$A:$A,Productos!AB:AB,"Revisar"),"")</f>
        <v/>
      </c>
      <c r="AJ979" s="179" t="str">
        <f t="array" ref="AJ979">IF($F979&lt;&gt;"", XLOOKUP($F979,Productos!$A$2:$A1001,Productos!AC$2:AC1001,"")*$G979,"")</f>
        <v/>
      </c>
      <c r="AK979" s="179" t="str">
        <f t="array" ref="AK979">IF($F979&lt;&gt;"",XLOOKUP($F979,Productos!$A:$A,Productos!AD:AD,"Revisar"),"")</f>
        <v/>
      </c>
      <c r="AL979" s="179" t="str">
        <f t="array" ref="AL979">IF($F979&lt;&gt;"", XLOOKUP($F979,Productos!$A$2:$A1001,Productos!AE$2:AE1001,"")*$G979,"")</f>
        <v/>
      </c>
      <c r="AM979" s="179" t="str">
        <f t="array" ref="AM979">IF($F979&lt;&gt;"",XLOOKUP($F979,Productos!$A:$A,Productos!AF:AF,"Revisar"),"")</f>
        <v/>
      </c>
      <c r="AN979" s="179" t="str">
        <f t="array" ref="AN979">IF($F979&lt;&gt;"", XLOOKUP($F979,Productos!$A$2:$A1001,Productos!AG$2:AG1001,"")*$G979,"")</f>
        <v/>
      </c>
      <c r="AO979" s="179" t="str">
        <f t="array" ref="AO979">IF($F979&lt;&gt;"",XLOOKUP($F979,Productos!$A:$A,Productos!AH:AH,"Revisar"),"")</f>
        <v/>
      </c>
      <c r="AP979" s="179" t="str">
        <f t="array" ref="AP979">IF($F979&lt;&gt;"", XLOOKUP($F979,Productos!$A$2:$A1001,Productos!AI$2:AI1001,"")*$G979,"")</f>
        <v/>
      </c>
      <c r="AQ979" s="179" t="str">
        <f t="array" ref="AQ979">IF($F979&lt;&gt;"",XLOOKUP($F979,Productos!$A:$A,Productos!AJ:AJ,"Revisar"),"")</f>
        <v/>
      </c>
      <c r="AR979" s="179" t="str">
        <f t="array" ref="AR979">IF($F979&lt;&gt;"", XLOOKUP($F979,Productos!$A$2:$A1001,Productos!AK$2:AK1001,"")*$G979,"")</f>
        <v/>
      </c>
      <c r="AS979" s="179" t="str">
        <f t="array" ref="AS979">IF($F979&lt;&gt;"",XLOOKUP($F979,Productos!$A:$A,Productos!AL:AL,"Revisar"),"")</f>
        <v/>
      </c>
      <c r="AT979" s="179" t="str">
        <f t="array" ref="AT979">IF($F979&lt;&gt;"", XLOOKUP($F979,Productos!$A$2:$A1001,Productos!AM$2:AM1001,"")*$G979,"")</f>
        <v/>
      </c>
      <c r="AU979" s="179" t="str">
        <f t="array" ref="AU979">IF($F979&lt;&gt;"",XLOOKUP($F979,Productos!$A:$A,Productos!AN:AN,"Revisar"),"")</f>
        <v/>
      </c>
      <c r="AV979" s="179" t="str">
        <f t="array" ref="AV979">IF($F979&lt;&gt;"", XLOOKUP($F979,Productos!$A$2:$A1001,Productos!AO$2:AO1001,"")*$G979,"")</f>
        <v/>
      </c>
      <c r="AW979" s="179" t="str">
        <f t="array" ref="AW979">IF($F979&lt;&gt;"",XLOOKUP($F979,Productos!$A:$A,Productos!AP:AP,"Revisar"),"")</f>
        <v/>
      </c>
      <c r="AX979" s="179" t="str">
        <f t="array" ref="AX979">IF($F979&lt;&gt;"", XLOOKUP($F979,Productos!$A$2:$A1001,Productos!AQ$2:AQ1001,"")*$G979,"")</f>
        <v/>
      </c>
      <c r="AY979" s="179" t="str">
        <f t="array" ref="AY979">IF($F979&lt;&gt;"",XLOOKUP($F979,Productos!$A:$A,Productos!AR:AR,"Revisar"),"")</f>
        <v/>
      </c>
      <c r="AZ979" s="179" t="str">
        <f t="array" ref="AZ979">IF($F979&lt;&gt;"", XLOOKUP($F979,Productos!$A$2:$A1001,Productos!AS$2:AS1001,"")*$G979,"")</f>
        <v/>
      </c>
      <c r="BA979" s="179" t="str">
        <f t="array" ref="BA979">IF($F979&lt;&gt;"",XLOOKUP($F979,Productos!$A:$A,Productos!AT:AT,"Revisar"),"")</f>
        <v/>
      </c>
      <c r="BB979" s="179" t="str">
        <f t="array" ref="BB979">IF($F979&lt;&gt;"", XLOOKUP($F979,Productos!$A$2:$A1001,Productos!AU$2:AU1001,"")*$G979,"")</f>
        <v/>
      </c>
      <c r="BC979" s="179" t="str">
        <f t="array" ref="BC979">IF($F979&lt;&gt;"",XLOOKUP($F979,Productos!$A:$A,Productos!AV:AV,"Revisar"),"")</f>
        <v/>
      </c>
      <c r="BD979" s="179" t="str">
        <f t="array" ref="BD979">IF($F979&lt;&gt;"", XLOOKUP($F979,Productos!$A$2:$A1001,Productos!AW$2:AW1001,"")*$G979,"")</f>
        <v/>
      </c>
      <c r="BE979" s="179" t="str">
        <f t="array" ref="BE979">IF($F979&lt;&gt;"",XLOOKUP($F979,Productos!$A:$A,Productos!AX:AX,"Revisar"),"")</f>
        <v/>
      </c>
      <c r="BF979" s="179" t="str">
        <f t="array" ref="BF979">IF($F979&lt;&gt;"", XLOOKUP($F979,Productos!$A$2:$A1001,Productos!AY$2:AY1001,"")*$G979,"")</f>
        <v/>
      </c>
      <c r="BG979" s="179" t="str">
        <f t="array" ref="BG979">IF($F979&lt;&gt;"",XLOOKUP($F979,Productos!$A:$A,Productos!AZ:AZ,"Revisar"),"")</f>
        <v/>
      </c>
      <c r="BH979" s="179" t="str">
        <f t="array" ref="BH979">IF($F979&lt;&gt;"", XLOOKUP($F979,Productos!$A$2:$A1001,Productos!BA$2:BA1001,"")*$G979,"")</f>
        <v/>
      </c>
      <c r="BI979" s="179" t="str">
        <f t="array" ref="BI979">IF($F979&lt;&gt;"",XLOOKUP($F979,Productos!$A:$A,Productos!BB:BB,"Revisar"),"")</f>
        <v/>
      </c>
      <c r="BJ979" s="179" t="str">
        <f t="array" ref="BJ979">IF($F979&lt;&gt;"", XLOOKUP($F979,Productos!$A$2:$A1001,Productos!BC$2:BC1001,"")*$G979,"")</f>
        <v/>
      </c>
      <c r="BK979" s="179" t="str">
        <f t="array" ref="BK979">IF($F979&lt;&gt;"",XLOOKUP($F979,Productos!$A:$A,Productos!BD:BD,"Revisar"),"")</f>
        <v/>
      </c>
      <c r="BL979" s="179" t="str">
        <f t="array" ref="BL979">IF($F979&lt;&gt;"", XLOOKUP($F979,Productos!$A$2:$A1001,Productos!BE$2:BE1001,"")*$G979,"")</f>
        <v/>
      </c>
      <c r="BM979" s="179" t="str">
        <f t="array" ref="BM979">IF($F979&lt;&gt;"",XLOOKUP($F979,Productos!$A:$A,Productos!BF:BF,"Revisar"),"")</f>
        <v/>
      </c>
      <c r="BN979" s="179" t="str">
        <f t="array" ref="BN979">IF($F979&lt;&gt;"", XLOOKUP($F979,Productos!$A$2:$A1001,Productos!BG$2:BG1001,"")*$G979,"")</f>
        <v/>
      </c>
      <c r="BO979" s="179" t="str">
        <f t="array" ref="BO979">IF($F979&lt;&gt;"",XLOOKUP($F979,Productos!$A:$A,Productos!BH:BH,"Revisar"),"")</f>
        <v/>
      </c>
      <c r="BP979" s="179" t="str">
        <f t="array" ref="BP979">IF($F979&lt;&gt;"", XLOOKUP($F979,Productos!$A$2:$A1001,Productos!BI$2:BI1001,"")*$G979,"")</f>
        <v/>
      </c>
      <c r="BQ979" s="179" t="str">
        <f t="array" ref="BQ979">IF($F979&lt;&gt;"",XLOOKUP($F979,Productos!$A:$A,Productos!BJ:BJ,"Revisar"),"")</f>
        <v/>
      </c>
      <c r="BR979" s="179" t="str">
        <f t="array" ref="BR979">IF($F979&lt;&gt;"", XLOOKUP($F979,Productos!$A$2:$A1001,Productos!BK$2:BK1001,"")*$G979,"")</f>
        <v/>
      </c>
      <c r="BS979" s="179" t="str">
        <f t="array" ref="BS979">IF($F979&lt;&gt;"",XLOOKUP($F979,Productos!$A:$A,Productos!BL:BL,"Revisar"),"")</f>
        <v/>
      </c>
      <c r="BT979" s="179" t="str">
        <f t="array" ref="BT979">IF($F979&lt;&gt;"", XLOOKUP($F979,Productos!$A$2:$A1001,Productos!BM$2:BM1001,"")*$G979,"")</f>
        <v/>
      </c>
      <c r="BU979" s="179" t="str">
        <f t="array" ref="BU979">IF($F979&lt;&gt;"",XLOOKUP($F979,Productos!$A:$A,Productos!BN:BN,"Revisar"),"")</f>
        <v/>
      </c>
      <c r="BV979" s="179" t="str">
        <f t="array" ref="BV979">IF($F979&lt;&gt;"", XLOOKUP($F979,Productos!$A$2:$A1001,Productos!BO$2:BO1001,"")*$G979,"")</f>
        <v/>
      </c>
      <c r="BW979" s="179" t="str">
        <f t="array" ref="BW979">IF($F979&lt;&gt;"",XLOOKUP($F979,Productos!$A:$A,Productos!BP:BP,"Revisar"),"")</f>
        <v/>
      </c>
      <c r="BX979" s="179" t="str">
        <f t="array" ref="BX979">IF($F979&lt;&gt;"", XLOOKUP($F979,Productos!$A$2:$A1001,Productos!BQ$2:BQ1001,"")*$G979,"")</f>
        <v/>
      </c>
      <c r="BY979" s="179" t="str">
        <f t="array" ref="BY979">IF($F979&lt;&gt;"",XLOOKUP($F979,Productos!$A:$A,Productos!BR:BR,"Revisar"),"")</f>
        <v/>
      </c>
      <c r="BZ979" s="179" t="str">
        <f t="array" ref="BZ979">IF($F979&lt;&gt;"", XLOOKUP($F979,Productos!$A$2:$A1001,Productos!BS$2:BS1001,"")*$G979,"")</f>
        <v/>
      </c>
    </row>
    <row r="980">
      <c r="A980" s="188"/>
      <c r="B980" s="189"/>
      <c r="C980" s="190"/>
      <c r="D980" s="190"/>
      <c r="E980" s="191"/>
      <c r="F980" s="186"/>
      <c r="G980" s="192"/>
      <c r="H980" s="9"/>
      <c r="I980" s="179" t="str">
        <f t="array" ref="I980">IF($F980&lt;&gt;"",XLOOKUP($F980,Productos!$A:$A,Productos!B:B,"Revisar"),"")</f>
        <v/>
      </c>
      <c r="J980" s="179" t="str">
        <f t="array" ref="J980">IF($F980&lt;&gt;"", XLOOKUP($F980,Productos!$A$2:$A1001,Productos!C$2:C1001,"")*$G980,"")</f>
        <v/>
      </c>
      <c r="K980" s="179" t="str">
        <f t="array" ref="K980">IF($F980&lt;&gt;"",XLOOKUP($F980,Productos!$A:$A,Productos!D:D,"Revisar"),"")</f>
        <v/>
      </c>
      <c r="L980" s="179" t="str">
        <f t="array" ref="L980">IF($F980&lt;&gt;"", XLOOKUP($F980,Productos!$A$2:$A1001,Productos!E$2:E1001,"")*$G980,"")</f>
        <v/>
      </c>
      <c r="M980" s="179" t="str">
        <f t="array" ref="M980">IF($F980&lt;&gt;"",XLOOKUP($F980,Productos!$A:$A,Productos!F:F,"Revisar"),"")</f>
        <v/>
      </c>
      <c r="N980" s="179" t="str">
        <f t="array" ref="N980">IF($F980&lt;&gt;"", XLOOKUP($F980,Productos!$A$2:$A1001,Productos!G$2:G1001,"")*$G980,"")</f>
        <v/>
      </c>
      <c r="O980" s="179" t="str">
        <f t="array" ref="O980">IF($F980&lt;&gt;"",XLOOKUP($F980,Productos!$A:$A,Productos!H:H,"Revisar"),"")</f>
        <v/>
      </c>
      <c r="P980" s="179" t="str">
        <f t="array" ref="P980">IF($F980&lt;&gt;"", XLOOKUP($F980,Productos!$A$2:$A1001,Productos!I$2:I1001,"")*$G980,"")</f>
        <v/>
      </c>
      <c r="Q980" s="179" t="str">
        <f t="array" ref="Q980">IF($F980&lt;&gt;"",XLOOKUP($F980,Productos!$A:$A,Productos!J:J,"Revisar"),"")</f>
        <v/>
      </c>
      <c r="R980" s="179" t="str">
        <f t="array" ref="R980">IF($F980&lt;&gt;"", XLOOKUP($F980,Productos!$A$2:$A1001,Productos!K$2:K1001,"")*$G980,"")</f>
        <v/>
      </c>
      <c r="S980" s="179" t="str">
        <f t="array" ref="S980">IF($F980&lt;&gt;"",XLOOKUP($F980,Productos!$A:$A,Productos!L:L,"Revisar"),"")</f>
        <v/>
      </c>
      <c r="T980" s="179" t="str">
        <f t="array" ref="T980">IF($F980&lt;&gt;"", XLOOKUP($F980,Productos!$A$2:$A1001,Productos!M$2:M1001,"")*$G980,"")</f>
        <v/>
      </c>
      <c r="U980" s="179" t="str">
        <f t="array" ref="U980">IF($F980&lt;&gt;"",XLOOKUP($F980,Productos!$A:$A,Productos!N:N,"Revisar"),"")</f>
        <v/>
      </c>
      <c r="V980" s="179" t="str">
        <f t="array" ref="V980">IF($F980&lt;&gt;"", XLOOKUP($F980,Productos!$A$2:$A1001,Productos!O$2:O1001,"")*$G980,"")</f>
        <v/>
      </c>
      <c r="W980" s="179" t="str">
        <f t="array" ref="W980">IF($F980&lt;&gt;"",XLOOKUP($F980,Productos!$A:$A,Productos!P:P,"Revisar"),"")</f>
        <v/>
      </c>
      <c r="X980" s="179" t="str">
        <f t="array" ref="X980">IF($F980&lt;&gt;"", XLOOKUP($F980,Productos!$A$2:$A1001,Productos!Q$2:Q1001,"")*$G980,"")</f>
        <v/>
      </c>
      <c r="Y980" s="179" t="str">
        <f t="array" ref="Y980">IF($F980&lt;&gt;"",XLOOKUP($F980,Productos!$A:$A,Productos!R:R,"Revisar"),"")</f>
        <v/>
      </c>
      <c r="Z980" s="179" t="str">
        <f t="array" ref="Z980">IF($F980&lt;&gt;"", XLOOKUP($F980,Productos!$A$2:$A1001,Productos!S$2:S1001,"")*$G980,"")</f>
        <v/>
      </c>
      <c r="AA980" s="179" t="str">
        <f t="array" ref="AA980">IF($F980&lt;&gt;"",XLOOKUP($F980,Productos!$A:$A,Productos!T:T,"Revisar"),"")</f>
        <v/>
      </c>
      <c r="AB980" s="179" t="str">
        <f t="array" ref="AB980">IF($F980&lt;&gt;"", XLOOKUP($F980,Productos!$A$2:$A1001,Productos!U$2:U1001,"")*$G980,"")</f>
        <v/>
      </c>
      <c r="AC980" s="179" t="str">
        <f t="array" ref="AC980">IF($F980&lt;&gt;"",XLOOKUP($F980,Productos!$A:$A,Productos!V:V,"Revisar"),"")</f>
        <v/>
      </c>
      <c r="AD980" s="179" t="str">
        <f t="array" ref="AD980">IF($F980&lt;&gt;"", XLOOKUP($F980,Productos!$A$2:$A1001,Productos!W$2:W1001,"")*$G980,"")</f>
        <v/>
      </c>
      <c r="AE980" s="179" t="str">
        <f t="array" ref="AE980">IF($F980&lt;&gt;"",XLOOKUP($F980,Productos!$A:$A,Productos!X:X,"Revisar"),"")</f>
        <v/>
      </c>
      <c r="AF980" s="179" t="str">
        <f t="array" ref="AF980">IF($F980&lt;&gt;"", XLOOKUP($F980,Productos!$A$2:$A1001,Productos!Y$2:Y1001,"")*$G980,"")</f>
        <v/>
      </c>
      <c r="AG980" s="179" t="str">
        <f t="array" ref="AG980">IF($F980&lt;&gt;"",XLOOKUP($F980,Productos!$A:$A,Productos!Z:Z,"Revisar"),"")</f>
        <v/>
      </c>
      <c r="AH980" s="179" t="str">
        <f t="array" ref="AH980">IF($F980&lt;&gt;"", XLOOKUP($F980,Productos!$A$2:$A1001,Productos!AA$2:AA1001,"")*$G980,"")</f>
        <v/>
      </c>
      <c r="AI980" s="179" t="str">
        <f t="array" ref="AI980">IF($F980&lt;&gt;"",XLOOKUP($F980,Productos!$A:$A,Productos!AB:AB,"Revisar"),"")</f>
        <v/>
      </c>
      <c r="AJ980" s="179" t="str">
        <f t="array" ref="AJ980">IF($F980&lt;&gt;"", XLOOKUP($F980,Productos!$A$2:$A1001,Productos!AC$2:AC1001,"")*$G980,"")</f>
        <v/>
      </c>
      <c r="AK980" s="179" t="str">
        <f t="array" ref="AK980">IF($F980&lt;&gt;"",XLOOKUP($F980,Productos!$A:$A,Productos!AD:AD,"Revisar"),"")</f>
        <v/>
      </c>
      <c r="AL980" s="179" t="str">
        <f t="array" ref="AL980">IF($F980&lt;&gt;"", XLOOKUP($F980,Productos!$A$2:$A1001,Productos!AE$2:AE1001,"")*$G980,"")</f>
        <v/>
      </c>
      <c r="AM980" s="179" t="str">
        <f t="array" ref="AM980">IF($F980&lt;&gt;"",XLOOKUP($F980,Productos!$A:$A,Productos!AF:AF,"Revisar"),"")</f>
        <v/>
      </c>
      <c r="AN980" s="179" t="str">
        <f t="array" ref="AN980">IF($F980&lt;&gt;"", XLOOKUP($F980,Productos!$A$2:$A1001,Productos!AG$2:AG1001,"")*$G980,"")</f>
        <v/>
      </c>
      <c r="AO980" s="179" t="str">
        <f t="array" ref="AO980">IF($F980&lt;&gt;"",XLOOKUP($F980,Productos!$A:$A,Productos!AH:AH,"Revisar"),"")</f>
        <v/>
      </c>
      <c r="AP980" s="179" t="str">
        <f t="array" ref="AP980">IF($F980&lt;&gt;"", XLOOKUP($F980,Productos!$A$2:$A1001,Productos!AI$2:AI1001,"")*$G980,"")</f>
        <v/>
      </c>
      <c r="AQ980" s="179" t="str">
        <f t="array" ref="AQ980">IF($F980&lt;&gt;"",XLOOKUP($F980,Productos!$A:$A,Productos!AJ:AJ,"Revisar"),"")</f>
        <v/>
      </c>
      <c r="AR980" s="179" t="str">
        <f t="array" ref="AR980">IF($F980&lt;&gt;"", XLOOKUP($F980,Productos!$A$2:$A1001,Productos!AK$2:AK1001,"")*$G980,"")</f>
        <v/>
      </c>
      <c r="AS980" s="179" t="str">
        <f t="array" ref="AS980">IF($F980&lt;&gt;"",XLOOKUP($F980,Productos!$A:$A,Productos!AL:AL,"Revisar"),"")</f>
        <v/>
      </c>
      <c r="AT980" s="179" t="str">
        <f t="array" ref="AT980">IF($F980&lt;&gt;"", XLOOKUP($F980,Productos!$A$2:$A1001,Productos!AM$2:AM1001,"")*$G980,"")</f>
        <v/>
      </c>
      <c r="AU980" s="179" t="str">
        <f t="array" ref="AU980">IF($F980&lt;&gt;"",XLOOKUP($F980,Productos!$A:$A,Productos!AN:AN,"Revisar"),"")</f>
        <v/>
      </c>
      <c r="AV980" s="179" t="str">
        <f t="array" ref="AV980">IF($F980&lt;&gt;"", XLOOKUP($F980,Productos!$A$2:$A1001,Productos!AO$2:AO1001,"")*$G980,"")</f>
        <v/>
      </c>
      <c r="AW980" s="179" t="str">
        <f t="array" ref="AW980">IF($F980&lt;&gt;"",XLOOKUP($F980,Productos!$A:$A,Productos!AP:AP,"Revisar"),"")</f>
        <v/>
      </c>
      <c r="AX980" s="179" t="str">
        <f t="array" ref="AX980">IF($F980&lt;&gt;"", XLOOKUP($F980,Productos!$A$2:$A1001,Productos!AQ$2:AQ1001,"")*$G980,"")</f>
        <v/>
      </c>
      <c r="AY980" s="179" t="str">
        <f t="array" ref="AY980">IF($F980&lt;&gt;"",XLOOKUP($F980,Productos!$A:$A,Productos!AR:AR,"Revisar"),"")</f>
        <v/>
      </c>
      <c r="AZ980" s="179" t="str">
        <f t="array" ref="AZ980">IF($F980&lt;&gt;"", XLOOKUP($F980,Productos!$A$2:$A1001,Productos!AS$2:AS1001,"")*$G980,"")</f>
        <v/>
      </c>
      <c r="BA980" s="179" t="str">
        <f t="array" ref="BA980">IF($F980&lt;&gt;"",XLOOKUP($F980,Productos!$A:$A,Productos!AT:AT,"Revisar"),"")</f>
        <v/>
      </c>
      <c r="BB980" s="179" t="str">
        <f t="array" ref="BB980">IF($F980&lt;&gt;"", XLOOKUP($F980,Productos!$A$2:$A1001,Productos!AU$2:AU1001,"")*$G980,"")</f>
        <v/>
      </c>
      <c r="BC980" s="179" t="str">
        <f t="array" ref="BC980">IF($F980&lt;&gt;"",XLOOKUP($F980,Productos!$A:$A,Productos!AV:AV,"Revisar"),"")</f>
        <v/>
      </c>
      <c r="BD980" s="179" t="str">
        <f t="array" ref="BD980">IF($F980&lt;&gt;"", XLOOKUP($F980,Productos!$A$2:$A1001,Productos!AW$2:AW1001,"")*$G980,"")</f>
        <v/>
      </c>
      <c r="BE980" s="179" t="str">
        <f t="array" ref="BE980">IF($F980&lt;&gt;"",XLOOKUP($F980,Productos!$A:$A,Productos!AX:AX,"Revisar"),"")</f>
        <v/>
      </c>
      <c r="BF980" s="179" t="str">
        <f t="array" ref="BF980">IF($F980&lt;&gt;"", XLOOKUP($F980,Productos!$A$2:$A1001,Productos!AY$2:AY1001,"")*$G980,"")</f>
        <v/>
      </c>
      <c r="BG980" s="179" t="str">
        <f t="array" ref="BG980">IF($F980&lt;&gt;"",XLOOKUP($F980,Productos!$A:$A,Productos!AZ:AZ,"Revisar"),"")</f>
        <v/>
      </c>
      <c r="BH980" s="179" t="str">
        <f t="array" ref="BH980">IF($F980&lt;&gt;"", XLOOKUP($F980,Productos!$A$2:$A1001,Productos!BA$2:BA1001,"")*$G980,"")</f>
        <v/>
      </c>
      <c r="BI980" s="179" t="str">
        <f t="array" ref="BI980">IF($F980&lt;&gt;"",XLOOKUP($F980,Productos!$A:$A,Productos!BB:BB,"Revisar"),"")</f>
        <v/>
      </c>
      <c r="BJ980" s="179" t="str">
        <f t="array" ref="BJ980">IF($F980&lt;&gt;"", XLOOKUP($F980,Productos!$A$2:$A1001,Productos!BC$2:BC1001,"")*$G980,"")</f>
        <v/>
      </c>
      <c r="BK980" s="179" t="str">
        <f t="array" ref="BK980">IF($F980&lt;&gt;"",XLOOKUP($F980,Productos!$A:$A,Productos!BD:BD,"Revisar"),"")</f>
        <v/>
      </c>
      <c r="BL980" s="179" t="str">
        <f t="array" ref="BL980">IF($F980&lt;&gt;"", XLOOKUP($F980,Productos!$A$2:$A1001,Productos!BE$2:BE1001,"")*$G980,"")</f>
        <v/>
      </c>
      <c r="BM980" s="179" t="str">
        <f t="array" ref="BM980">IF($F980&lt;&gt;"",XLOOKUP($F980,Productos!$A:$A,Productos!BF:BF,"Revisar"),"")</f>
        <v/>
      </c>
      <c r="BN980" s="179" t="str">
        <f t="array" ref="BN980">IF($F980&lt;&gt;"", XLOOKUP($F980,Productos!$A$2:$A1001,Productos!BG$2:BG1001,"")*$G980,"")</f>
        <v/>
      </c>
      <c r="BO980" s="179" t="str">
        <f t="array" ref="BO980">IF($F980&lt;&gt;"",XLOOKUP($F980,Productos!$A:$A,Productos!BH:BH,"Revisar"),"")</f>
        <v/>
      </c>
      <c r="BP980" s="179" t="str">
        <f t="array" ref="BP980">IF($F980&lt;&gt;"", XLOOKUP($F980,Productos!$A$2:$A1001,Productos!BI$2:BI1001,"")*$G980,"")</f>
        <v/>
      </c>
      <c r="BQ980" s="179" t="str">
        <f t="array" ref="BQ980">IF($F980&lt;&gt;"",XLOOKUP($F980,Productos!$A:$A,Productos!BJ:BJ,"Revisar"),"")</f>
        <v/>
      </c>
      <c r="BR980" s="179" t="str">
        <f t="array" ref="BR980">IF($F980&lt;&gt;"", XLOOKUP($F980,Productos!$A$2:$A1001,Productos!BK$2:BK1001,"")*$G980,"")</f>
        <v/>
      </c>
      <c r="BS980" s="179" t="str">
        <f t="array" ref="BS980">IF($F980&lt;&gt;"",XLOOKUP($F980,Productos!$A:$A,Productos!BL:BL,"Revisar"),"")</f>
        <v/>
      </c>
      <c r="BT980" s="179" t="str">
        <f t="array" ref="BT980">IF($F980&lt;&gt;"", XLOOKUP($F980,Productos!$A$2:$A1001,Productos!BM$2:BM1001,"")*$G980,"")</f>
        <v/>
      </c>
      <c r="BU980" s="179" t="str">
        <f t="array" ref="BU980">IF($F980&lt;&gt;"",XLOOKUP($F980,Productos!$A:$A,Productos!BN:BN,"Revisar"),"")</f>
        <v/>
      </c>
      <c r="BV980" s="179" t="str">
        <f t="array" ref="BV980">IF($F980&lt;&gt;"", XLOOKUP($F980,Productos!$A$2:$A1001,Productos!BO$2:BO1001,"")*$G980,"")</f>
        <v/>
      </c>
      <c r="BW980" s="179" t="str">
        <f t="array" ref="BW980">IF($F980&lt;&gt;"",XLOOKUP($F980,Productos!$A:$A,Productos!BP:BP,"Revisar"),"")</f>
        <v/>
      </c>
      <c r="BX980" s="179" t="str">
        <f t="array" ref="BX980">IF($F980&lt;&gt;"", XLOOKUP($F980,Productos!$A$2:$A1001,Productos!BQ$2:BQ1001,"")*$G980,"")</f>
        <v/>
      </c>
      <c r="BY980" s="179" t="str">
        <f t="array" ref="BY980">IF($F980&lt;&gt;"",XLOOKUP($F980,Productos!$A:$A,Productos!BR:BR,"Revisar"),"")</f>
        <v/>
      </c>
      <c r="BZ980" s="179" t="str">
        <f t="array" ref="BZ980">IF($F980&lt;&gt;"", XLOOKUP($F980,Productos!$A$2:$A1001,Productos!BS$2:BS1001,"")*$G980,"")</f>
        <v/>
      </c>
    </row>
    <row r="981">
      <c r="A981" s="188"/>
      <c r="B981" s="189"/>
      <c r="C981" s="190"/>
      <c r="D981" s="190"/>
      <c r="E981" s="191"/>
      <c r="F981" s="186"/>
      <c r="G981" s="192"/>
      <c r="H981" s="9"/>
      <c r="I981" s="179" t="str">
        <f t="array" ref="I981">IF($F981&lt;&gt;"",XLOOKUP($F981,Productos!$A:$A,Productos!B:B,"Revisar"),"")</f>
        <v/>
      </c>
      <c r="J981" s="179" t="str">
        <f t="array" ref="J981">IF($F981&lt;&gt;"", XLOOKUP($F981,Productos!$A$2:$A1001,Productos!C$2:C1001,"")*$G981,"")</f>
        <v/>
      </c>
      <c r="K981" s="179" t="str">
        <f t="array" ref="K981">IF($F981&lt;&gt;"",XLOOKUP($F981,Productos!$A:$A,Productos!D:D,"Revisar"),"")</f>
        <v/>
      </c>
      <c r="L981" s="179" t="str">
        <f t="array" ref="L981">IF($F981&lt;&gt;"", XLOOKUP($F981,Productos!$A$2:$A1001,Productos!E$2:E1001,"")*$G981,"")</f>
        <v/>
      </c>
      <c r="M981" s="179" t="str">
        <f t="array" ref="M981">IF($F981&lt;&gt;"",XLOOKUP($F981,Productos!$A:$A,Productos!F:F,"Revisar"),"")</f>
        <v/>
      </c>
      <c r="N981" s="179" t="str">
        <f t="array" ref="N981">IF($F981&lt;&gt;"", XLOOKUP($F981,Productos!$A$2:$A1001,Productos!G$2:G1001,"")*$G981,"")</f>
        <v/>
      </c>
      <c r="O981" s="179" t="str">
        <f t="array" ref="O981">IF($F981&lt;&gt;"",XLOOKUP($F981,Productos!$A:$A,Productos!H:H,"Revisar"),"")</f>
        <v/>
      </c>
      <c r="P981" s="179" t="str">
        <f t="array" ref="P981">IF($F981&lt;&gt;"", XLOOKUP($F981,Productos!$A$2:$A1001,Productos!I$2:I1001,"")*$G981,"")</f>
        <v/>
      </c>
      <c r="Q981" s="179" t="str">
        <f t="array" ref="Q981">IF($F981&lt;&gt;"",XLOOKUP($F981,Productos!$A:$A,Productos!J:J,"Revisar"),"")</f>
        <v/>
      </c>
      <c r="R981" s="179" t="str">
        <f t="array" ref="R981">IF($F981&lt;&gt;"", XLOOKUP($F981,Productos!$A$2:$A1001,Productos!K$2:K1001,"")*$G981,"")</f>
        <v/>
      </c>
      <c r="S981" s="179" t="str">
        <f t="array" ref="S981">IF($F981&lt;&gt;"",XLOOKUP($F981,Productos!$A:$A,Productos!L:L,"Revisar"),"")</f>
        <v/>
      </c>
      <c r="T981" s="179" t="str">
        <f t="array" ref="T981">IF($F981&lt;&gt;"", XLOOKUP($F981,Productos!$A$2:$A1001,Productos!M$2:M1001,"")*$G981,"")</f>
        <v/>
      </c>
      <c r="U981" s="179" t="str">
        <f t="array" ref="U981">IF($F981&lt;&gt;"",XLOOKUP($F981,Productos!$A:$A,Productos!N:N,"Revisar"),"")</f>
        <v/>
      </c>
      <c r="V981" s="179" t="str">
        <f t="array" ref="V981">IF($F981&lt;&gt;"", XLOOKUP($F981,Productos!$A$2:$A1001,Productos!O$2:O1001,"")*$G981,"")</f>
        <v/>
      </c>
      <c r="W981" s="179" t="str">
        <f t="array" ref="W981">IF($F981&lt;&gt;"",XLOOKUP($F981,Productos!$A:$A,Productos!P:P,"Revisar"),"")</f>
        <v/>
      </c>
      <c r="X981" s="179" t="str">
        <f t="array" ref="X981">IF($F981&lt;&gt;"", XLOOKUP($F981,Productos!$A$2:$A1001,Productos!Q$2:Q1001,"")*$G981,"")</f>
        <v/>
      </c>
      <c r="Y981" s="179" t="str">
        <f t="array" ref="Y981">IF($F981&lt;&gt;"",XLOOKUP($F981,Productos!$A:$A,Productos!R:R,"Revisar"),"")</f>
        <v/>
      </c>
      <c r="Z981" s="179" t="str">
        <f t="array" ref="Z981">IF($F981&lt;&gt;"", XLOOKUP($F981,Productos!$A$2:$A1001,Productos!S$2:S1001,"")*$G981,"")</f>
        <v/>
      </c>
      <c r="AA981" s="179" t="str">
        <f t="array" ref="AA981">IF($F981&lt;&gt;"",XLOOKUP($F981,Productos!$A:$A,Productos!T:T,"Revisar"),"")</f>
        <v/>
      </c>
      <c r="AB981" s="179" t="str">
        <f t="array" ref="AB981">IF($F981&lt;&gt;"", XLOOKUP($F981,Productos!$A$2:$A1001,Productos!U$2:U1001,"")*$G981,"")</f>
        <v/>
      </c>
      <c r="AC981" s="179" t="str">
        <f t="array" ref="AC981">IF($F981&lt;&gt;"",XLOOKUP($F981,Productos!$A:$A,Productos!V:V,"Revisar"),"")</f>
        <v/>
      </c>
      <c r="AD981" s="179" t="str">
        <f t="array" ref="AD981">IF($F981&lt;&gt;"", XLOOKUP($F981,Productos!$A$2:$A1001,Productos!W$2:W1001,"")*$G981,"")</f>
        <v/>
      </c>
      <c r="AE981" s="179" t="str">
        <f t="array" ref="AE981">IF($F981&lt;&gt;"",XLOOKUP($F981,Productos!$A:$A,Productos!X:X,"Revisar"),"")</f>
        <v/>
      </c>
      <c r="AF981" s="179" t="str">
        <f t="array" ref="AF981">IF($F981&lt;&gt;"", XLOOKUP($F981,Productos!$A$2:$A1001,Productos!Y$2:Y1001,"")*$G981,"")</f>
        <v/>
      </c>
      <c r="AG981" s="179" t="str">
        <f t="array" ref="AG981">IF($F981&lt;&gt;"",XLOOKUP($F981,Productos!$A:$A,Productos!Z:Z,"Revisar"),"")</f>
        <v/>
      </c>
      <c r="AH981" s="179" t="str">
        <f t="array" ref="AH981">IF($F981&lt;&gt;"", XLOOKUP($F981,Productos!$A$2:$A1001,Productos!AA$2:AA1001,"")*$G981,"")</f>
        <v/>
      </c>
      <c r="AI981" s="179" t="str">
        <f t="array" ref="AI981">IF($F981&lt;&gt;"",XLOOKUP($F981,Productos!$A:$A,Productos!AB:AB,"Revisar"),"")</f>
        <v/>
      </c>
      <c r="AJ981" s="179" t="str">
        <f t="array" ref="AJ981">IF($F981&lt;&gt;"", XLOOKUP($F981,Productos!$A$2:$A1001,Productos!AC$2:AC1001,"")*$G981,"")</f>
        <v/>
      </c>
      <c r="AK981" s="179" t="str">
        <f t="array" ref="AK981">IF($F981&lt;&gt;"",XLOOKUP($F981,Productos!$A:$A,Productos!AD:AD,"Revisar"),"")</f>
        <v/>
      </c>
      <c r="AL981" s="179" t="str">
        <f t="array" ref="AL981">IF($F981&lt;&gt;"", XLOOKUP($F981,Productos!$A$2:$A1001,Productos!AE$2:AE1001,"")*$G981,"")</f>
        <v/>
      </c>
      <c r="AM981" s="179" t="str">
        <f t="array" ref="AM981">IF($F981&lt;&gt;"",XLOOKUP($F981,Productos!$A:$A,Productos!AF:AF,"Revisar"),"")</f>
        <v/>
      </c>
      <c r="AN981" s="179" t="str">
        <f t="array" ref="AN981">IF($F981&lt;&gt;"", XLOOKUP($F981,Productos!$A$2:$A1001,Productos!AG$2:AG1001,"")*$G981,"")</f>
        <v/>
      </c>
      <c r="AO981" s="179" t="str">
        <f t="array" ref="AO981">IF($F981&lt;&gt;"",XLOOKUP($F981,Productos!$A:$A,Productos!AH:AH,"Revisar"),"")</f>
        <v/>
      </c>
      <c r="AP981" s="179" t="str">
        <f t="array" ref="AP981">IF($F981&lt;&gt;"", XLOOKUP($F981,Productos!$A$2:$A1001,Productos!AI$2:AI1001,"")*$G981,"")</f>
        <v/>
      </c>
      <c r="AQ981" s="179" t="str">
        <f t="array" ref="AQ981">IF($F981&lt;&gt;"",XLOOKUP($F981,Productos!$A:$A,Productos!AJ:AJ,"Revisar"),"")</f>
        <v/>
      </c>
      <c r="AR981" s="179" t="str">
        <f t="array" ref="AR981">IF($F981&lt;&gt;"", XLOOKUP($F981,Productos!$A$2:$A1001,Productos!AK$2:AK1001,"")*$G981,"")</f>
        <v/>
      </c>
      <c r="AS981" s="179" t="str">
        <f t="array" ref="AS981">IF($F981&lt;&gt;"",XLOOKUP($F981,Productos!$A:$A,Productos!AL:AL,"Revisar"),"")</f>
        <v/>
      </c>
      <c r="AT981" s="179" t="str">
        <f t="array" ref="AT981">IF($F981&lt;&gt;"", XLOOKUP($F981,Productos!$A$2:$A1001,Productos!AM$2:AM1001,"")*$G981,"")</f>
        <v/>
      </c>
      <c r="AU981" s="179" t="str">
        <f t="array" ref="AU981">IF($F981&lt;&gt;"",XLOOKUP($F981,Productos!$A:$A,Productos!AN:AN,"Revisar"),"")</f>
        <v/>
      </c>
      <c r="AV981" s="179" t="str">
        <f t="array" ref="AV981">IF($F981&lt;&gt;"", XLOOKUP($F981,Productos!$A$2:$A1001,Productos!AO$2:AO1001,"")*$G981,"")</f>
        <v/>
      </c>
      <c r="AW981" s="179" t="str">
        <f t="array" ref="AW981">IF($F981&lt;&gt;"",XLOOKUP($F981,Productos!$A:$A,Productos!AP:AP,"Revisar"),"")</f>
        <v/>
      </c>
      <c r="AX981" s="179" t="str">
        <f t="array" ref="AX981">IF($F981&lt;&gt;"", XLOOKUP($F981,Productos!$A$2:$A1001,Productos!AQ$2:AQ1001,"")*$G981,"")</f>
        <v/>
      </c>
      <c r="AY981" s="179" t="str">
        <f t="array" ref="AY981">IF($F981&lt;&gt;"",XLOOKUP($F981,Productos!$A:$A,Productos!AR:AR,"Revisar"),"")</f>
        <v/>
      </c>
      <c r="AZ981" s="179" t="str">
        <f t="array" ref="AZ981">IF($F981&lt;&gt;"", XLOOKUP($F981,Productos!$A$2:$A1001,Productos!AS$2:AS1001,"")*$G981,"")</f>
        <v/>
      </c>
      <c r="BA981" s="179" t="str">
        <f t="array" ref="BA981">IF($F981&lt;&gt;"",XLOOKUP($F981,Productos!$A:$A,Productos!AT:AT,"Revisar"),"")</f>
        <v/>
      </c>
      <c r="BB981" s="179" t="str">
        <f t="array" ref="BB981">IF($F981&lt;&gt;"", XLOOKUP($F981,Productos!$A$2:$A1001,Productos!AU$2:AU1001,"")*$G981,"")</f>
        <v/>
      </c>
      <c r="BC981" s="179" t="str">
        <f t="array" ref="BC981">IF($F981&lt;&gt;"",XLOOKUP($F981,Productos!$A:$A,Productos!AV:AV,"Revisar"),"")</f>
        <v/>
      </c>
      <c r="BD981" s="179" t="str">
        <f t="array" ref="BD981">IF($F981&lt;&gt;"", XLOOKUP($F981,Productos!$A$2:$A1001,Productos!AW$2:AW1001,"")*$G981,"")</f>
        <v/>
      </c>
      <c r="BE981" s="179" t="str">
        <f t="array" ref="BE981">IF($F981&lt;&gt;"",XLOOKUP($F981,Productos!$A:$A,Productos!AX:AX,"Revisar"),"")</f>
        <v/>
      </c>
      <c r="BF981" s="179" t="str">
        <f t="array" ref="BF981">IF($F981&lt;&gt;"", XLOOKUP($F981,Productos!$A$2:$A1001,Productos!AY$2:AY1001,"")*$G981,"")</f>
        <v/>
      </c>
      <c r="BG981" s="179" t="str">
        <f t="array" ref="BG981">IF($F981&lt;&gt;"",XLOOKUP($F981,Productos!$A:$A,Productos!AZ:AZ,"Revisar"),"")</f>
        <v/>
      </c>
      <c r="BH981" s="179" t="str">
        <f t="array" ref="BH981">IF($F981&lt;&gt;"", XLOOKUP($F981,Productos!$A$2:$A1001,Productos!BA$2:BA1001,"")*$G981,"")</f>
        <v/>
      </c>
      <c r="BI981" s="179" t="str">
        <f t="array" ref="BI981">IF($F981&lt;&gt;"",XLOOKUP($F981,Productos!$A:$A,Productos!BB:BB,"Revisar"),"")</f>
        <v/>
      </c>
      <c r="BJ981" s="179" t="str">
        <f t="array" ref="BJ981">IF($F981&lt;&gt;"", XLOOKUP($F981,Productos!$A$2:$A1001,Productos!BC$2:BC1001,"")*$G981,"")</f>
        <v/>
      </c>
      <c r="BK981" s="179" t="str">
        <f t="array" ref="BK981">IF($F981&lt;&gt;"",XLOOKUP($F981,Productos!$A:$A,Productos!BD:BD,"Revisar"),"")</f>
        <v/>
      </c>
      <c r="BL981" s="179" t="str">
        <f t="array" ref="BL981">IF($F981&lt;&gt;"", XLOOKUP($F981,Productos!$A$2:$A1001,Productos!BE$2:BE1001,"")*$G981,"")</f>
        <v/>
      </c>
      <c r="BM981" s="179" t="str">
        <f t="array" ref="BM981">IF($F981&lt;&gt;"",XLOOKUP($F981,Productos!$A:$A,Productos!BF:BF,"Revisar"),"")</f>
        <v/>
      </c>
      <c r="BN981" s="179" t="str">
        <f t="array" ref="BN981">IF($F981&lt;&gt;"", XLOOKUP($F981,Productos!$A$2:$A1001,Productos!BG$2:BG1001,"")*$G981,"")</f>
        <v/>
      </c>
      <c r="BO981" s="179" t="str">
        <f t="array" ref="BO981">IF($F981&lt;&gt;"",XLOOKUP($F981,Productos!$A:$A,Productos!BH:BH,"Revisar"),"")</f>
        <v/>
      </c>
      <c r="BP981" s="179" t="str">
        <f t="array" ref="BP981">IF($F981&lt;&gt;"", XLOOKUP($F981,Productos!$A$2:$A1001,Productos!BI$2:BI1001,"")*$G981,"")</f>
        <v/>
      </c>
      <c r="BQ981" s="179" t="str">
        <f t="array" ref="BQ981">IF($F981&lt;&gt;"",XLOOKUP($F981,Productos!$A:$A,Productos!BJ:BJ,"Revisar"),"")</f>
        <v/>
      </c>
      <c r="BR981" s="179" t="str">
        <f t="array" ref="BR981">IF($F981&lt;&gt;"", XLOOKUP($F981,Productos!$A$2:$A1001,Productos!BK$2:BK1001,"")*$G981,"")</f>
        <v/>
      </c>
      <c r="BS981" s="179" t="str">
        <f t="array" ref="BS981">IF($F981&lt;&gt;"",XLOOKUP($F981,Productos!$A:$A,Productos!BL:BL,"Revisar"),"")</f>
        <v/>
      </c>
      <c r="BT981" s="179" t="str">
        <f t="array" ref="BT981">IF($F981&lt;&gt;"", XLOOKUP($F981,Productos!$A$2:$A1001,Productos!BM$2:BM1001,"")*$G981,"")</f>
        <v/>
      </c>
      <c r="BU981" s="179" t="str">
        <f t="array" ref="BU981">IF($F981&lt;&gt;"",XLOOKUP($F981,Productos!$A:$A,Productos!BN:BN,"Revisar"),"")</f>
        <v/>
      </c>
      <c r="BV981" s="179" t="str">
        <f t="array" ref="BV981">IF($F981&lt;&gt;"", XLOOKUP($F981,Productos!$A$2:$A1001,Productos!BO$2:BO1001,"")*$G981,"")</f>
        <v/>
      </c>
      <c r="BW981" s="179" t="str">
        <f t="array" ref="BW981">IF($F981&lt;&gt;"",XLOOKUP($F981,Productos!$A:$A,Productos!BP:BP,"Revisar"),"")</f>
        <v/>
      </c>
      <c r="BX981" s="179" t="str">
        <f t="array" ref="BX981">IF($F981&lt;&gt;"", XLOOKUP($F981,Productos!$A$2:$A1001,Productos!BQ$2:BQ1001,"")*$G981,"")</f>
        <v/>
      </c>
      <c r="BY981" s="179" t="str">
        <f t="array" ref="BY981">IF($F981&lt;&gt;"",XLOOKUP($F981,Productos!$A:$A,Productos!BR:BR,"Revisar"),"")</f>
        <v/>
      </c>
      <c r="BZ981" s="179" t="str">
        <f t="array" ref="BZ981">IF($F981&lt;&gt;"", XLOOKUP($F981,Productos!$A$2:$A1001,Productos!BS$2:BS1001,"")*$G981,"")</f>
        <v/>
      </c>
    </row>
    <row r="982">
      <c r="A982" s="188"/>
      <c r="B982" s="189"/>
      <c r="C982" s="190"/>
      <c r="D982" s="190"/>
      <c r="E982" s="191"/>
      <c r="F982" s="186"/>
      <c r="G982" s="192"/>
      <c r="H982" s="9"/>
      <c r="I982" s="179" t="str">
        <f t="array" ref="I982">IF($F982&lt;&gt;"",XLOOKUP($F982,Productos!$A:$A,Productos!B:B,"Revisar"),"")</f>
        <v/>
      </c>
      <c r="J982" s="179" t="str">
        <f t="array" ref="J982">IF($F982&lt;&gt;"", XLOOKUP($F982,Productos!$A$2:$A1001,Productos!C$2:C1001,"")*$G982,"")</f>
        <v/>
      </c>
      <c r="K982" s="179" t="str">
        <f t="array" ref="K982">IF($F982&lt;&gt;"",XLOOKUP($F982,Productos!$A:$A,Productos!D:D,"Revisar"),"")</f>
        <v/>
      </c>
      <c r="L982" s="179" t="str">
        <f t="array" ref="L982">IF($F982&lt;&gt;"", XLOOKUP($F982,Productos!$A$2:$A1001,Productos!E$2:E1001,"")*$G982,"")</f>
        <v/>
      </c>
      <c r="M982" s="179" t="str">
        <f t="array" ref="M982">IF($F982&lt;&gt;"",XLOOKUP($F982,Productos!$A:$A,Productos!F:F,"Revisar"),"")</f>
        <v/>
      </c>
      <c r="N982" s="179" t="str">
        <f t="array" ref="N982">IF($F982&lt;&gt;"", XLOOKUP($F982,Productos!$A$2:$A1001,Productos!G$2:G1001,"")*$G982,"")</f>
        <v/>
      </c>
      <c r="O982" s="179" t="str">
        <f t="array" ref="O982">IF($F982&lt;&gt;"",XLOOKUP($F982,Productos!$A:$A,Productos!H:H,"Revisar"),"")</f>
        <v/>
      </c>
      <c r="P982" s="179" t="str">
        <f t="array" ref="P982">IF($F982&lt;&gt;"", XLOOKUP($F982,Productos!$A$2:$A1001,Productos!I$2:I1001,"")*$G982,"")</f>
        <v/>
      </c>
      <c r="Q982" s="179" t="str">
        <f t="array" ref="Q982">IF($F982&lt;&gt;"",XLOOKUP($F982,Productos!$A:$A,Productos!J:J,"Revisar"),"")</f>
        <v/>
      </c>
      <c r="R982" s="179" t="str">
        <f t="array" ref="R982">IF($F982&lt;&gt;"", XLOOKUP($F982,Productos!$A$2:$A1001,Productos!K$2:K1001,"")*$G982,"")</f>
        <v/>
      </c>
      <c r="S982" s="179" t="str">
        <f t="array" ref="S982">IF($F982&lt;&gt;"",XLOOKUP($F982,Productos!$A:$A,Productos!L:L,"Revisar"),"")</f>
        <v/>
      </c>
      <c r="T982" s="179" t="str">
        <f t="array" ref="T982">IF($F982&lt;&gt;"", XLOOKUP($F982,Productos!$A$2:$A1001,Productos!M$2:M1001,"")*$G982,"")</f>
        <v/>
      </c>
      <c r="U982" s="179" t="str">
        <f t="array" ref="U982">IF($F982&lt;&gt;"",XLOOKUP($F982,Productos!$A:$A,Productos!N:N,"Revisar"),"")</f>
        <v/>
      </c>
      <c r="V982" s="179" t="str">
        <f t="array" ref="V982">IF($F982&lt;&gt;"", XLOOKUP($F982,Productos!$A$2:$A1001,Productos!O$2:O1001,"")*$G982,"")</f>
        <v/>
      </c>
      <c r="W982" s="179" t="str">
        <f t="array" ref="W982">IF($F982&lt;&gt;"",XLOOKUP($F982,Productos!$A:$A,Productos!P:P,"Revisar"),"")</f>
        <v/>
      </c>
      <c r="X982" s="179" t="str">
        <f t="array" ref="X982">IF($F982&lt;&gt;"", XLOOKUP($F982,Productos!$A$2:$A1001,Productos!Q$2:Q1001,"")*$G982,"")</f>
        <v/>
      </c>
      <c r="Y982" s="179" t="str">
        <f t="array" ref="Y982">IF($F982&lt;&gt;"",XLOOKUP($F982,Productos!$A:$A,Productos!R:R,"Revisar"),"")</f>
        <v/>
      </c>
      <c r="Z982" s="179" t="str">
        <f t="array" ref="Z982">IF($F982&lt;&gt;"", XLOOKUP($F982,Productos!$A$2:$A1001,Productos!S$2:S1001,"")*$G982,"")</f>
        <v/>
      </c>
      <c r="AA982" s="179" t="str">
        <f t="array" ref="AA982">IF($F982&lt;&gt;"",XLOOKUP($F982,Productos!$A:$A,Productos!T:T,"Revisar"),"")</f>
        <v/>
      </c>
      <c r="AB982" s="179" t="str">
        <f t="array" ref="AB982">IF($F982&lt;&gt;"", XLOOKUP($F982,Productos!$A$2:$A1001,Productos!U$2:U1001,"")*$G982,"")</f>
        <v/>
      </c>
      <c r="AC982" s="179" t="str">
        <f t="array" ref="AC982">IF($F982&lt;&gt;"",XLOOKUP($F982,Productos!$A:$A,Productos!V:V,"Revisar"),"")</f>
        <v/>
      </c>
      <c r="AD982" s="179" t="str">
        <f t="array" ref="AD982">IF($F982&lt;&gt;"", XLOOKUP($F982,Productos!$A$2:$A1001,Productos!W$2:W1001,"")*$G982,"")</f>
        <v/>
      </c>
      <c r="AE982" s="179" t="str">
        <f t="array" ref="AE982">IF($F982&lt;&gt;"",XLOOKUP($F982,Productos!$A:$A,Productos!X:X,"Revisar"),"")</f>
        <v/>
      </c>
      <c r="AF982" s="179" t="str">
        <f t="array" ref="AF982">IF($F982&lt;&gt;"", XLOOKUP($F982,Productos!$A$2:$A1001,Productos!Y$2:Y1001,"")*$G982,"")</f>
        <v/>
      </c>
      <c r="AG982" s="179" t="str">
        <f t="array" ref="AG982">IF($F982&lt;&gt;"",XLOOKUP($F982,Productos!$A:$A,Productos!Z:Z,"Revisar"),"")</f>
        <v/>
      </c>
      <c r="AH982" s="179" t="str">
        <f t="array" ref="AH982">IF($F982&lt;&gt;"", XLOOKUP($F982,Productos!$A$2:$A1001,Productos!AA$2:AA1001,"")*$G982,"")</f>
        <v/>
      </c>
      <c r="AI982" s="179" t="str">
        <f t="array" ref="AI982">IF($F982&lt;&gt;"",XLOOKUP($F982,Productos!$A:$A,Productos!AB:AB,"Revisar"),"")</f>
        <v/>
      </c>
      <c r="AJ982" s="179" t="str">
        <f t="array" ref="AJ982">IF($F982&lt;&gt;"", XLOOKUP($F982,Productos!$A$2:$A1001,Productos!AC$2:AC1001,"")*$G982,"")</f>
        <v/>
      </c>
      <c r="AK982" s="179" t="str">
        <f t="array" ref="AK982">IF($F982&lt;&gt;"",XLOOKUP($F982,Productos!$A:$A,Productos!AD:AD,"Revisar"),"")</f>
        <v/>
      </c>
      <c r="AL982" s="179" t="str">
        <f t="array" ref="AL982">IF($F982&lt;&gt;"", XLOOKUP($F982,Productos!$A$2:$A1001,Productos!AE$2:AE1001,"")*$G982,"")</f>
        <v/>
      </c>
      <c r="AM982" s="179" t="str">
        <f t="array" ref="AM982">IF($F982&lt;&gt;"",XLOOKUP($F982,Productos!$A:$A,Productos!AF:AF,"Revisar"),"")</f>
        <v/>
      </c>
      <c r="AN982" s="179" t="str">
        <f t="array" ref="AN982">IF($F982&lt;&gt;"", XLOOKUP($F982,Productos!$A$2:$A1001,Productos!AG$2:AG1001,"")*$G982,"")</f>
        <v/>
      </c>
      <c r="AO982" s="179" t="str">
        <f t="array" ref="AO982">IF($F982&lt;&gt;"",XLOOKUP($F982,Productos!$A:$A,Productos!AH:AH,"Revisar"),"")</f>
        <v/>
      </c>
      <c r="AP982" s="179" t="str">
        <f t="array" ref="AP982">IF($F982&lt;&gt;"", XLOOKUP($F982,Productos!$A$2:$A1001,Productos!AI$2:AI1001,"")*$G982,"")</f>
        <v/>
      </c>
      <c r="AQ982" s="179" t="str">
        <f t="array" ref="AQ982">IF($F982&lt;&gt;"",XLOOKUP($F982,Productos!$A:$A,Productos!AJ:AJ,"Revisar"),"")</f>
        <v/>
      </c>
      <c r="AR982" s="179" t="str">
        <f t="array" ref="AR982">IF($F982&lt;&gt;"", XLOOKUP($F982,Productos!$A$2:$A1001,Productos!AK$2:AK1001,"")*$G982,"")</f>
        <v/>
      </c>
      <c r="AS982" s="179" t="str">
        <f t="array" ref="AS982">IF($F982&lt;&gt;"",XLOOKUP($F982,Productos!$A:$A,Productos!AL:AL,"Revisar"),"")</f>
        <v/>
      </c>
      <c r="AT982" s="179" t="str">
        <f t="array" ref="AT982">IF($F982&lt;&gt;"", XLOOKUP($F982,Productos!$A$2:$A1001,Productos!AM$2:AM1001,"")*$G982,"")</f>
        <v/>
      </c>
      <c r="AU982" s="179" t="str">
        <f t="array" ref="AU982">IF($F982&lt;&gt;"",XLOOKUP($F982,Productos!$A:$A,Productos!AN:AN,"Revisar"),"")</f>
        <v/>
      </c>
      <c r="AV982" s="179" t="str">
        <f t="array" ref="AV982">IF($F982&lt;&gt;"", XLOOKUP($F982,Productos!$A$2:$A1001,Productos!AO$2:AO1001,"")*$G982,"")</f>
        <v/>
      </c>
      <c r="AW982" s="179" t="str">
        <f t="array" ref="AW982">IF($F982&lt;&gt;"",XLOOKUP($F982,Productos!$A:$A,Productos!AP:AP,"Revisar"),"")</f>
        <v/>
      </c>
      <c r="AX982" s="179" t="str">
        <f t="array" ref="AX982">IF($F982&lt;&gt;"", XLOOKUP($F982,Productos!$A$2:$A1001,Productos!AQ$2:AQ1001,"")*$G982,"")</f>
        <v/>
      </c>
      <c r="AY982" s="179" t="str">
        <f t="array" ref="AY982">IF($F982&lt;&gt;"",XLOOKUP($F982,Productos!$A:$A,Productos!AR:AR,"Revisar"),"")</f>
        <v/>
      </c>
      <c r="AZ982" s="179" t="str">
        <f t="array" ref="AZ982">IF($F982&lt;&gt;"", XLOOKUP($F982,Productos!$A$2:$A1001,Productos!AS$2:AS1001,"")*$G982,"")</f>
        <v/>
      </c>
      <c r="BA982" s="179" t="str">
        <f t="array" ref="BA982">IF($F982&lt;&gt;"",XLOOKUP($F982,Productos!$A:$A,Productos!AT:AT,"Revisar"),"")</f>
        <v/>
      </c>
      <c r="BB982" s="179" t="str">
        <f t="array" ref="BB982">IF($F982&lt;&gt;"", XLOOKUP($F982,Productos!$A$2:$A1001,Productos!AU$2:AU1001,"")*$G982,"")</f>
        <v/>
      </c>
      <c r="BC982" s="179" t="str">
        <f t="array" ref="BC982">IF($F982&lt;&gt;"",XLOOKUP($F982,Productos!$A:$A,Productos!AV:AV,"Revisar"),"")</f>
        <v/>
      </c>
      <c r="BD982" s="179" t="str">
        <f t="array" ref="BD982">IF($F982&lt;&gt;"", XLOOKUP($F982,Productos!$A$2:$A1001,Productos!AW$2:AW1001,"")*$G982,"")</f>
        <v/>
      </c>
      <c r="BE982" s="179" t="str">
        <f t="array" ref="BE982">IF($F982&lt;&gt;"",XLOOKUP($F982,Productos!$A:$A,Productos!AX:AX,"Revisar"),"")</f>
        <v/>
      </c>
      <c r="BF982" s="179" t="str">
        <f t="array" ref="BF982">IF($F982&lt;&gt;"", XLOOKUP($F982,Productos!$A$2:$A1001,Productos!AY$2:AY1001,"")*$G982,"")</f>
        <v/>
      </c>
      <c r="BG982" s="179" t="str">
        <f t="array" ref="BG982">IF($F982&lt;&gt;"",XLOOKUP($F982,Productos!$A:$A,Productos!AZ:AZ,"Revisar"),"")</f>
        <v/>
      </c>
      <c r="BH982" s="179" t="str">
        <f t="array" ref="BH982">IF($F982&lt;&gt;"", XLOOKUP($F982,Productos!$A$2:$A1001,Productos!BA$2:BA1001,"")*$G982,"")</f>
        <v/>
      </c>
      <c r="BI982" s="179" t="str">
        <f t="array" ref="BI982">IF($F982&lt;&gt;"",XLOOKUP($F982,Productos!$A:$A,Productos!BB:BB,"Revisar"),"")</f>
        <v/>
      </c>
      <c r="BJ982" s="179" t="str">
        <f t="array" ref="BJ982">IF($F982&lt;&gt;"", XLOOKUP($F982,Productos!$A$2:$A1001,Productos!BC$2:BC1001,"")*$G982,"")</f>
        <v/>
      </c>
      <c r="BK982" s="179" t="str">
        <f t="array" ref="BK982">IF($F982&lt;&gt;"",XLOOKUP($F982,Productos!$A:$A,Productos!BD:BD,"Revisar"),"")</f>
        <v/>
      </c>
      <c r="BL982" s="179" t="str">
        <f t="array" ref="BL982">IF($F982&lt;&gt;"", XLOOKUP($F982,Productos!$A$2:$A1001,Productos!BE$2:BE1001,"")*$G982,"")</f>
        <v/>
      </c>
      <c r="BM982" s="179" t="str">
        <f t="array" ref="BM982">IF($F982&lt;&gt;"",XLOOKUP($F982,Productos!$A:$A,Productos!BF:BF,"Revisar"),"")</f>
        <v/>
      </c>
      <c r="BN982" s="179" t="str">
        <f t="array" ref="BN982">IF($F982&lt;&gt;"", XLOOKUP($F982,Productos!$A$2:$A1001,Productos!BG$2:BG1001,"")*$G982,"")</f>
        <v/>
      </c>
      <c r="BO982" s="179" t="str">
        <f t="array" ref="BO982">IF($F982&lt;&gt;"",XLOOKUP($F982,Productos!$A:$A,Productos!BH:BH,"Revisar"),"")</f>
        <v/>
      </c>
      <c r="BP982" s="179" t="str">
        <f t="array" ref="BP982">IF($F982&lt;&gt;"", XLOOKUP($F982,Productos!$A$2:$A1001,Productos!BI$2:BI1001,"")*$G982,"")</f>
        <v/>
      </c>
      <c r="BQ982" s="179" t="str">
        <f t="array" ref="BQ982">IF($F982&lt;&gt;"",XLOOKUP($F982,Productos!$A:$A,Productos!BJ:BJ,"Revisar"),"")</f>
        <v/>
      </c>
      <c r="BR982" s="179" t="str">
        <f t="array" ref="BR982">IF($F982&lt;&gt;"", XLOOKUP($F982,Productos!$A$2:$A1001,Productos!BK$2:BK1001,"")*$G982,"")</f>
        <v/>
      </c>
      <c r="BS982" s="179" t="str">
        <f t="array" ref="BS982">IF($F982&lt;&gt;"",XLOOKUP($F982,Productos!$A:$A,Productos!BL:BL,"Revisar"),"")</f>
        <v/>
      </c>
      <c r="BT982" s="179" t="str">
        <f t="array" ref="BT982">IF($F982&lt;&gt;"", XLOOKUP($F982,Productos!$A$2:$A1001,Productos!BM$2:BM1001,"")*$G982,"")</f>
        <v/>
      </c>
      <c r="BU982" s="179" t="str">
        <f t="array" ref="BU982">IF($F982&lt;&gt;"",XLOOKUP($F982,Productos!$A:$A,Productos!BN:BN,"Revisar"),"")</f>
        <v/>
      </c>
      <c r="BV982" s="179" t="str">
        <f t="array" ref="BV982">IF($F982&lt;&gt;"", XLOOKUP($F982,Productos!$A$2:$A1001,Productos!BO$2:BO1001,"")*$G982,"")</f>
        <v/>
      </c>
      <c r="BW982" s="179" t="str">
        <f t="array" ref="BW982">IF($F982&lt;&gt;"",XLOOKUP($F982,Productos!$A:$A,Productos!BP:BP,"Revisar"),"")</f>
        <v/>
      </c>
      <c r="BX982" s="179" t="str">
        <f t="array" ref="BX982">IF($F982&lt;&gt;"", XLOOKUP($F982,Productos!$A$2:$A1001,Productos!BQ$2:BQ1001,"")*$G982,"")</f>
        <v/>
      </c>
      <c r="BY982" s="179" t="str">
        <f t="array" ref="BY982">IF($F982&lt;&gt;"",XLOOKUP($F982,Productos!$A:$A,Productos!BR:BR,"Revisar"),"")</f>
        <v/>
      </c>
      <c r="BZ982" s="179" t="str">
        <f t="array" ref="BZ982">IF($F982&lt;&gt;"", XLOOKUP($F982,Productos!$A$2:$A1001,Productos!BS$2:BS1001,"")*$G982,"")</f>
        <v/>
      </c>
    </row>
    <row r="983">
      <c r="A983" s="188"/>
      <c r="B983" s="189"/>
      <c r="C983" s="190"/>
      <c r="D983" s="190"/>
      <c r="E983" s="191"/>
      <c r="F983" s="186"/>
      <c r="G983" s="192"/>
      <c r="H983" s="9"/>
      <c r="I983" s="179" t="str">
        <f t="array" ref="I983">IF($F983&lt;&gt;"",XLOOKUP($F983,Productos!$A:$A,Productos!B:B,"Revisar"),"")</f>
        <v/>
      </c>
      <c r="J983" s="179" t="str">
        <f t="array" ref="J983">IF($F983&lt;&gt;"", XLOOKUP($F983,Productos!$A$2:$A1001,Productos!C$2:C1001,"")*$G983,"")</f>
        <v/>
      </c>
      <c r="K983" s="179" t="str">
        <f t="array" ref="K983">IF($F983&lt;&gt;"",XLOOKUP($F983,Productos!$A:$A,Productos!D:D,"Revisar"),"")</f>
        <v/>
      </c>
      <c r="L983" s="179" t="str">
        <f t="array" ref="L983">IF($F983&lt;&gt;"", XLOOKUP($F983,Productos!$A$2:$A1001,Productos!E$2:E1001,"")*$G983,"")</f>
        <v/>
      </c>
      <c r="M983" s="179" t="str">
        <f t="array" ref="M983">IF($F983&lt;&gt;"",XLOOKUP($F983,Productos!$A:$A,Productos!F:F,"Revisar"),"")</f>
        <v/>
      </c>
      <c r="N983" s="179" t="str">
        <f t="array" ref="N983">IF($F983&lt;&gt;"", XLOOKUP($F983,Productos!$A$2:$A1001,Productos!G$2:G1001,"")*$G983,"")</f>
        <v/>
      </c>
      <c r="O983" s="179" t="str">
        <f t="array" ref="O983">IF($F983&lt;&gt;"",XLOOKUP($F983,Productos!$A:$A,Productos!H:H,"Revisar"),"")</f>
        <v/>
      </c>
      <c r="P983" s="179" t="str">
        <f t="array" ref="P983">IF($F983&lt;&gt;"", XLOOKUP($F983,Productos!$A$2:$A1001,Productos!I$2:I1001,"")*$G983,"")</f>
        <v/>
      </c>
      <c r="Q983" s="179" t="str">
        <f t="array" ref="Q983">IF($F983&lt;&gt;"",XLOOKUP($F983,Productos!$A:$A,Productos!J:J,"Revisar"),"")</f>
        <v/>
      </c>
      <c r="R983" s="179" t="str">
        <f t="array" ref="R983">IF($F983&lt;&gt;"", XLOOKUP($F983,Productos!$A$2:$A1001,Productos!K$2:K1001,"")*$G983,"")</f>
        <v/>
      </c>
      <c r="S983" s="179" t="str">
        <f t="array" ref="S983">IF($F983&lt;&gt;"",XLOOKUP($F983,Productos!$A:$A,Productos!L:L,"Revisar"),"")</f>
        <v/>
      </c>
      <c r="T983" s="179" t="str">
        <f t="array" ref="T983">IF($F983&lt;&gt;"", XLOOKUP($F983,Productos!$A$2:$A1001,Productos!M$2:M1001,"")*$G983,"")</f>
        <v/>
      </c>
      <c r="U983" s="179" t="str">
        <f t="array" ref="U983">IF($F983&lt;&gt;"",XLOOKUP($F983,Productos!$A:$A,Productos!N:N,"Revisar"),"")</f>
        <v/>
      </c>
      <c r="V983" s="179" t="str">
        <f t="array" ref="V983">IF($F983&lt;&gt;"", XLOOKUP($F983,Productos!$A$2:$A1001,Productos!O$2:O1001,"")*$G983,"")</f>
        <v/>
      </c>
      <c r="W983" s="179" t="str">
        <f t="array" ref="W983">IF($F983&lt;&gt;"",XLOOKUP($F983,Productos!$A:$A,Productos!P:P,"Revisar"),"")</f>
        <v/>
      </c>
      <c r="X983" s="179" t="str">
        <f t="array" ref="X983">IF($F983&lt;&gt;"", XLOOKUP($F983,Productos!$A$2:$A1001,Productos!Q$2:Q1001,"")*$G983,"")</f>
        <v/>
      </c>
      <c r="Y983" s="179" t="str">
        <f t="array" ref="Y983">IF($F983&lt;&gt;"",XLOOKUP($F983,Productos!$A:$A,Productos!R:R,"Revisar"),"")</f>
        <v/>
      </c>
      <c r="Z983" s="179" t="str">
        <f t="array" ref="Z983">IF($F983&lt;&gt;"", XLOOKUP($F983,Productos!$A$2:$A1001,Productos!S$2:S1001,"")*$G983,"")</f>
        <v/>
      </c>
      <c r="AA983" s="179" t="str">
        <f t="array" ref="AA983">IF($F983&lt;&gt;"",XLOOKUP($F983,Productos!$A:$A,Productos!T:T,"Revisar"),"")</f>
        <v/>
      </c>
      <c r="AB983" s="179" t="str">
        <f t="array" ref="AB983">IF($F983&lt;&gt;"", XLOOKUP($F983,Productos!$A$2:$A1001,Productos!U$2:U1001,"")*$G983,"")</f>
        <v/>
      </c>
      <c r="AC983" s="179" t="str">
        <f t="array" ref="AC983">IF($F983&lt;&gt;"",XLOOKUP($F983,Productos!$A:$A,Productos!V:V,"Revisar"),"")</f>
        <v/>
      </c>
      <c r="AD983" s="179" t="str">
        <f t="array" ref="AD983">IF($F983&lt;&gt;"", XLOOKUP($F983,Productos!$A$2:$A1001,Productos!W$2:W1001,"")*$G983,"")</f>
        <v/>
      </c>
      <c r="AE983" s="179" t="str">
        <f t="array" ref="AE983">IF($F983&lt;&gt;"",XLOOKUP($F983,Productos!$A:$A,Productos!X:X,"Revisar"),"")</f>
        <v/>
      </c>
      <c r="AF983" s="179" t="str">
        <f t="array" ref="AF983">IF($F983&lt;&gt;"", XLOOKUP($F983,Productos!$A$2:$A1001,Productos!Y$2:Y1001,"")*$G983,"")</f>
        <v/>
      </c>
      <c r="AG983" s="179" t="str">
        <f t="array" ref="AG983">IF($F983&lt;&gt;"",XLOOKUP($F983,Productos!$A:$A,Productos!Z:Z,"Revisar"),"")</f>
        <v/>
      </c>
      <c r="AH983" s="179" t="str">
        <f t="array" ref="AH983">IF($F983&lt;&gt;"", XLOOKUP($F983,Productos!$A$2:$A1001,Productos!AA$2:AA1001,"")*$G983,"")</f>
        <v/>
      </c>
      <c r="AI983" s="179" t="str">
        <f t="array" ref="AI983">IF($F983&lt;&gt;"",XLOOKUP($F983,Productos!$A:$A,Productos!AB:AB,"Revisar"),"")</f>
        <v/>
      </c>
      <c r="AJ983" s="179" t="str">
        <f t="array" ref="AJ983">IF($F983&lt;&gt;"", XLOOKUP($F983,Productos!$A$2:$A1001,Productos!AC$2:AC1001,"")*$G983,"")</f>
        <v/>
      </c>
      <c r="AK983" s="179" t="str">
        <f t="array" ref="AK983">IF($F983&lt;&gt;"",XLOOKUP($F983,Productos!$A:$A,Productos!AD:AD,"Revisar"),"")</f>
        <v/>
      </c>
      <c r="AL983" s="179" t="str">
        <f t="array" ref="AL983">IF($F983&lt;&gt;"", XLOOKUP($F983,Productos!$A$2:$A1001,Productos!AE$2:AE1001,"")*$G983,"")</f>
        <v/>
      </c>
      <c r="AM983" s="179" t="str">
        <f t="array" ref="AM983">IF($F983&lt;&gt;"",XLOOKUP($F983,Productos!$A:$A,Productos!AF:AF,"Revisar"),"")</f>
        <v/>
      </c>
      <c r="AN983" s="179" t="str">
        <f t="array" ref="AN983">IF($F983&lt;&gt;"", XLOOKUP($F983,Productos!$A$2:$A1001,Productos!AG$2:AG1001,"")*$G983,"")</f>
        <v/>
      </c>
      <c r="AO983" s="179" t="str">
        <f t="array" ref="AO983">IF($F983&lt;&gt;"",XLOOKUP($F983,Productos!$A:$A,Productos!AH:AH,"Revisar"),"")</f>
        <v/>
      </c>
      <c r="AP983" s="179" t="str">
        <f t="array" ref="AP983">IF($F983&lt;&gt;"", XLOOKUP($F983,Productos!$A$2:$A1001,Productos!AI$2:AI1001,"")*$G983,"")</f>
        <v/>
      </c>
      <c r="AQ983" s="179" t="str">
        <f t="array" ref="AQ983">IF($F983&lt;&gt;"",XLOOKUP($F983,Productos!$A:$A,Productos!AJ:AJ,"Revisar"),"")</f>
        <v/>
      </c>
      <c r="AR983" s="179" t="str">
        <f t="array" ref="AR983">IF($F983&lt;&gt;"", XLOOKUP($F983,Productos!$A$2:$A1001,Productos!AK$2:AK1001,"")*$G983,"")</f>
        <v/>
      </c>
      <c r="AS983" s="179" t="str">
        <f t="array" ref="AS983">IF($F983&lt;&gt;"",XLOOKUP($F983,Productos!$A:$A,Productos!AL:AL,"Revisar"),"")</f>
        <v/>
      </c>
      <c r="AT983" s="179" t="str">
        <f t="array" ref="AT983">IF($F983&lt;&gt;"", XLOOKUP($F983,Productos!$A$2:$A1001,Productos!AM$2:AM1001,"")*$G983,"")</f>
        <v/>
      </c>
      <c r="AU983" s="179" t="str">
        <f t="array" ref="AU983">IF($F983&lt;&gt;"",XLOOKUP($F983,Productos!$A:$A,Productos!AN:AN,"Revisar"),"")</f>
        <v/>
      </c>
      <c r="AV983" s="179" t="str">
        <f t="array" ref="AV983">IF($F983&lt;&gt;"", XLOOKUP($F983,Productos!$A$2:$A1001,Productos!AO$2:AO1001,"")*$G983,"")</f>
        <v/>
      </c>
      <c r="AW983" s="179" t="str">
        <f t="array" ref="AW983">IF($F983&lt;&gt;"",XLOOKUP($F983,Productos!$A:$A,Productos!AP:AP,"Revisar"),"")</f>
        <v/>
      </c>
      <c r="AX983" s="179" t="str">
        <f t="array" ref="AX983">IF($F983&lt;&gt;"", XLOOKUP($F983,Productos!$A$2:$A1001,Productos!AQ$2:AQ1001,"")*$G983,"")</f>
        <v/>
      </c>
      <c r="AY983" s="179" t="str">
        <f t="array" ref="AY983">IF($F983&lt;&gt;"",XLOOKUP($F983,Productos!$A:$A,Productos!AR:AR,"Revisar"),"")</f>
        <v/>
      </c>
      <c r="AZ983" s="179" t="str">
        <f t="array" ref="AZ983">IF($F983&lt;&gt;"", XLOOKUP($F983,Productos!$A$2:$A1001,Productos!AS$2:AS1001,"")*$G983,"")</f>
        <v/>
      </c>
      <c r="BA983" s="179" t="str">
        <f t="array" ref="BA983">IF($F983&lt;&gt;"",XLOOKUP($F983,Productos!$A:$A,Productos!AT:AT,"Revisar"),"")</f>
        <v/>
      </c>
      <c r="BB983" s="179" t="str">
        <f t="array" ref="BB983">IF($F983&lt;&gt;"", XLOOKUP($F983,Productos!$A$2:$A1001,Productos!AU$2:AU1001,"")*$G983,"")</f>
        <v/>
      </c>
      <c r="BC983" s="179" t="str">
        <f t="array" ref="BC983">IF($F983&lt;&gt;"",XLOOKUP($F983,Productos!$A:$A,Productos!AV:AV,"Revisar"),"")</f>
        <v/>
      </c>
      <c r="BD983" s="179" t="str">
        <f t="array" ref="BD983">IF($F983&lt;&gt;"", XLOOKUP($F983,Productos!$A$2:$A1001,Productos!AW$2:AW1001,"")*$G983,"")</f>
        <v/>
      </c>
      <c r="BE983" s="179" t="str">
        <f t="array" ref="BE983">IF($F983&lt;&gt;"",XLOOKUP($F983,Productos!$A:$A,Productos!AX:AX,"Revisar"),"")</f>
        <v/>
      </c>
      <c r="BF983" s="179" t="str">
        <f t="array" ref="BF983">IF($F983&lt;&gt;"", XLOOKUP($F983,Productos!$A$2:$A1001,Productos!AY$2:AY1001,"")*$G983,"")</f>
        <v/>
      </c>
      <c r="BG983" s="179" t="str">
        <f t="array" ref="BG983">IF($F983&lt;&gt;"",XLOOKUP($F983,Productos!$A:$A,Productos!AZ:AZ,"Revisar"),"")</f>
        <v/>
      </c>
      <c r="BH983" s="179" t="str">
        <f t="array" ref="BH983">IF($F983&lt;&gt;"", XLOOKUP($F983,Productos!$A$2:$A1001,Productos!BA$2:BA1001,"")*$G983,"")</f>
        <v/>
      </c>
      <c r="BI983" s="179" t="str">
        <f t="array" ref="BI983">IF($F983&lt;&gt;"",XLOOKUP($F983,Productos!$A:$A,Productos!BB:BB,"Revisar"),"")</f>
        <v/>
      </c>
      <c r="BJ983" s="179" t="str">
        <f t="array" ref="BJ983">IF($F983&lt;&gt;"", XLOOKUP($F983,Productos!$A$2:$A1001,Productos!BC$2:BC1001,"")*$G983,"")</f>
        <v/>
      </c>
      <c r="BK983" s="179" t="str">
        <f t="array" ref="BK983">IF($F983&lt;&gt;"",XLOOKUP($F983,Productos!$A:$A,Productos!BD:BD,"Revisar"),"")</f>
        <v/>
      </c>
      <c r="BL983" s="179" t="str">
        <f t="array" ref="BL983">IF($F983&lt;&gt;"", XLOOKUP($F983,Productos!$A$2:$A1001,Productos!BE$2:BE1001,"")*$G983,"")</f>
        <v/>
      </c>
      <c r="BM983" s="179" t="str">
        <f t="array" ref="BM983">IF($F983&lt;&gt;"",XLOOKUP($F983,Productos!$A:$A,Productos!BF:BF,"Revisar"),"")</f>
        <v/>
      </c>
      <c r="BN983" s="179" t="str">
        <f t="array" ref="BN983">IF($F983&lt;&gt;"", XLOOKUP($F983,Productos!$A$2:$A1001,Productos!BG$2:BG1001,"")*$G983,"")</f>
        <v/>
      </c>
      <c r="BO983" s="179" t="str">
        <f t="array" ref="BO983">IF($F983&lt;&gt;"",XLOOKUP($F983,Productos!$A:$A,Productos!BH:BH,"Revisar"),"")</f>
        <v/>
      </c>
      <c r="BP983" s="179" t="str">
        <f t="array" ref="BP983">IF($F983&lt;&gt;"", XLOOKUP($F983,Productos!$A$2:$A1001,Productos!BI$2:BI1001,"")*$G983,"")</f>
        <v/>
      </c>
      <c r="BQ983" s="179" t="str">
        <f t="array" ref="BQ983">IF($F983&lt;&gt;"",XLOOKUP($F983,Productos!$A:$A,Productos!BJ:BJ,"Revisar"),"")</f>
        <v/>
      </c>
      <c r="BR983" s="179" t="str">
        <f t="array" ref="BR983">IF($F983&lt;&gt;"", XLOOKUP($F983,Productos!$A$2:$A1001,Productos!BK$2:BK1001,"")*$G983,"")</f>
        <v/>
      </c>
      <c r="BS983" s="179" t="str">
        <f t="array" ref="BS983">IF($F983&lt;&gt;"",XLOOKUP($F983,Productos!$A:$A,Productos!BL:BL,"Revisar"),"")</f>
        <v/>
      </c>
      <c r="BT983" s="179" t="str">
        <f t="array" ref="BT983">IF($F983&lt;&gt;"", XLOOKUP($F983,Productos!$A$2:$A1001,Productos!BM$2:BM1001,"")*$G983,"")</f>
        <v/>
      </c>
      <c r="BU983" s="179" t="str">
        <f t="array" ref="BU983">IF($F983&lt;&gt;"",XLOOKUP($F983,Productos!$A:$A,Productos!BN:BN,"Revisar"),"")</f>
        <v/>
      </c>
      <c r="BV983" s="179" t="str">
        <f t="array" ref="BV983">IF($F983&lt;&gt;"", XLOOKUP($F983,Productos!$A$2:$A1001,Productos!BO$2:BO1001,"")*$G983,"")</f>
        <v/>
      </c>
      <c r="BW983" s="179" t="str">
        <f t="array" ref="BW983">IF($F983&lt;&gt;"",XLOOKUP($F983,Productos!$A:$A,Productos!BP:BP,"Revisar"),"")</f>
        <v/>
      </c>
      <c r="BX983" s="179" t="str">
        <f t="array" ref="BX983">IF($F983&lt;&gt;"", XLOOKUP($F983,Productos!$A$2:$A1001,Productos!BQ$2:BQ1001,"")*$G983,"")</f>
        <v/>
      </c>
      <c r="BY983" s="179" t="str">
        <f t="array" ref="BY983">IF($F983&lt;&gt;"",XLOOKUP($F983,Productos!$A:$A,Productos!BR:BR,"Revisar"),"")</f>
        <v/>
      </c>
      <c r="BZ983" s="179" t="str">
        <f t="array" ref="BZ983">IF($F983&lt;&gt;"", XLOOKUP($F983,Productos!$A$2:$A1001,Productos!BS$2:BS1001,"")*$G983,"")</f>
        <v/>
      </c>
    </row>
    <row r="984">
      <c r="A984" s="188"/>
      <c r="B984" s="189"/>
      <c r="C984" s="190"/>
      <c r="D984" s="190"/>
      <c r="E984" s="191"/>
      <c r="F984" s="186"/>
      <c r="G984" s="192"/>
      <c r="H984" s="9"/>
      <c r="I984" s="179" t="str">
        <f t="array" ref="I984">IF($F984&lt;&gt;"",XLOOKUP($F984,Productos!$A:$A,Productos!B:B,"Revisar"),"")</f>
        <v/>
      </c>
      <c r="J984" s="179" t="str">
        <f t="array" ref="J984">IF($F984&lt;&gt;"", XLOOKUP($F984,Productos!$A$2:$A1001,Productos!C$2:C1001,"")*$G984,"")</f>
        <v/>
      </c>
      <c r="K984" s="179" t="str">
        <f t="array" ref="K984">IF($F984&lt;&gt;"",XLOOKUP($F984,Productos!$A:$A,Productos!D:D,"Revisar"),"")</f>
        <v/>
      </c>
      <c r="L984" s="179" t="str">
        <f t="array" ref="L984">IF($F984&lt;&gt;"", XLOOKUP($F984,Productos!$A$2:$A1001,Productos!E$2:E1001,"")*$G984,"")</f>
        <v/>
      </c>
      <c r="M984" s="179" t="str">
        <f t="array" ref="M984">IF($F984&lt;&gt;"",XLOOKUP($F984,Productos!$A:$A,Productos!F:F,"Revisar"),"")</f>
        <v/>
      </c>
      <c r="N984" s="179" t="str">
        <f t="array" ref="N984">IF($F984&lt;&gt;"", XLOOKUP($F984,Productos!$A$2:$A1001,Productos!G$2:G1001,"")*$G984,"")</f>
        <v/>
      </c>
      <c r="O984" s="179" t="str">
        <f t="array" ref="O984">IF($F984&lt;&gt;"",XLOOKUP($F984,Productos!$A:$A,Productos!H:H,"Revisar"),"")</f>
        <v/>
      </c>
      <c r="P984" s="179" t="str">
        <f t="array" ref="P984">IF($F984&lt;&gt;"", XLOOKUP($F984,Productos!$A$2:$A1001,Productos!I$2:I1001,"")*$G984,"")</f>
        <v/>
      </c>
      <c r="Q984" s="179" t="str">
        <f t="array" ref="Q984">IF($F984&lt;&gt;"",XLOOKUP($F984,Productos!$A:$A,Productos!J:J,"Revisar"),"")</f>
        <v/>
      </c>
      <c r="R984" s="179" t="str">
        <f t="array" ref="R984">IF($F984&lt;&gt;"", XLOOKUP($F984,Productos!$A$2:$A1001,Productos!K$2:K1001,"")*$G984,"")</f>
        <v/>
      </c>
      <c r="S984" s="179" t="str">
        <f t="array" ref="S984">IF($F984&lt;&gt;"",XLOOKUP($F984,Productos!$A:$A,Productos!L:L,"Revisar"),"")</f>
        <v/>
      </c>
      <c r="T984" s="179" t="str">
        <f t="array" ref="T984">IF($F984&lt;&gt;"", XLOOKUP($F984,Productos!$A$2:$A1001,Productos!M$2:M1001,"")*$G984,"")</f>
        <v/>
      </c>
      <c r="U984" s="179" t="str">
        <f t="array" ref="U984">IF($F984&lt;&gt;"",XLOOKUP($F984,Productos!$A:$A,Productos!N:N,"Revisar"),"")</f>
        <v/>
      </c>
      <c r="V984" s="179" t="str">
        <f t="array" ref="V984">IF($F984&lt;&gt;"", XLOOKUP($F984,Productos!$A$2:$A1001,Productos!O$2:O1001,"")*$G984,"")</f>
        <v/>
      </c>
      <c r="W984" s="179" t="str">
        <f t="array" ref="W984">IF($F984&lt;&gt;"",XLOOKUP($F984,Productos!$A:$A,Productos!P:P,"Revisar"),"")</f>
        <v/>
      </c>
      <c r="X984" s="179" t="str">
        <f t="array" ref="X984">IF($F984&lt;&gt;"", XLOOKUP($F984,Productos!$A$2:$A1001,Productos!Q$2:Q1001,"")*$G984,"")</f>
        <v/>
      </c>
      <c r="Y984" s="179" t="str">
        <f t="array" ref="Y984">IF($F984&lt;&gt;"",XLOOKUP($F984,Productos!$A:$A,Productos!R:R,"Revisar"),"")</f>
        <v/>
      </c>
      <c r="Z984" s="179" t="str">
        <f t="array" ref="Z984">IF($F984&lt;&gt;"", XLOOKUP($F984,Productos!$A$2:$A1001,Productos!S$2:S1001,"")*$G984,"")</f>
        <v/>
      </c>
      <c r="AA984" s="179" t="str">
        <f t="array" ref="AA984">IF($F984&lt;&gt;"",XLOOKUP($F984,Productos!$A:$A,Productos!T:T,"Revisar"),"")</f>
        <v/>
      </c>
      <c r="AB984" s="179" t="str">
        <f t="array" ref="AB984">IF($F984&lt;&gt;"", XLOOKUP($F984,Productos!$A$2:$A1001,Productos!U$2:U1001,"")*$G984,"")</f>
        <v/>
      </c>
      <c r="AC984" s="179" t="str">
        <f t="array" ref="AC984">IF($F984&lt;&gt;"",XLOOKUP($F984,Productos!$A:$A,Productos!V:V,"Revisar"),"")</f>
        <v/>
      </c>
      <c r="AD984" s="179" t="str">
        <f t="array" ref="AD984">IF($F984&lt;&gt;"", XLOOKUP($F984,Productos!$A$2:$A1001,Productos!W$2:W1001,"")*$G984,"")</f>
        <v/>
      </c>
      <c r="AE984" s="179" t="str">
        <f t="array" ref="AE984">IF($F984&lt;&gt;"",XLOOKUP($F984,Productos!$A:$A,Productos!X:X,"Revisar"),"")</f>
        <v/>
      </c>
      <c r="AF984" s="179" t="str">
        <f t="array" ref="AF984">IF($F984&lt;&gt;"", XLOOKUP($F984,Productos!$A$2:$A1001,Productos!Y$2:Y1001,"")*$G984,"")</f>
        <v/>
      </c>
      <c r="AG984" s="179" t="str">
        <f t="array" ref="AG984">IF($F984&lt;&gt;"",XLOOKUP($F984,Productos!$A:$A,Productos!Z:Z,"Revisar"),"")</f>
        <v/>
      </c>
      <c r="AH984" s="179" t="str">
        <f t="array" ref="AH984">IF($F984&lt;&gt;"", XLOOKUP($F984,Productos!$A$2:$A1001,Productos!AA$2:AA1001,"")*$G984,"")</f>
        <v/>
      </c>
      <c r="AI984" s="179" t="str">
        <f t="array" ref="AI984">IF($F984&lt;&gt;"",XLOOKUP($F984,Productos!$A:$A,Productos!AB:AB,"Revisar"),"")</f>
        <v/>
      </c>
      <c r="AJ984" s="179" t="str">
        <f t="array" ref="AJ984">IF($F984&lt;&gt;"", XLOOKUP($F984,Productos!$A$2:$A1001,Productos!AC$2:AC1001,"")*$G984,"")</f>
        <v/>
      </c>
      <c r="AK984" s="179" t="str">
        <f t="array" ref="AK984">IF($F984&lt;&gt;"",XLOOKUP($F984,Productos!$A:$A,Productos!AD:AD,"Revisar"),"")</f>
        <v/>
      </c>
      <c r="AL984" s="179" t="str">
        <f t="array" ref="AL984">IF($F984&lt;&gt;"", XLOOKUP($F984,Productos!$A$2:$A1001,Productos!AE$2:AE1001,"")*$G984,"")</f>
        <v/>
      </c>
      <c r="AM984" s="179" t="str">
        <f t="array" ref="AM984">IF($F984&lt;&gt;"",XLOOKUP($F984,Productos!$A:$A,Productos!AF:AF,"Revisar"),"")</f>
        <v/>
      </c>
      <c r="AN984" s="179" t="str">
        <f t="array" ref="AN984">IF($F984&lt;&gt;"", XLOOKUP($F984,Productos!$A$2:$A1001,Productos!AG$2:AG1001,"")*$G984,"")</f>
        <v/>
      </c>
      <c r="AO984" s="179" t="str">
        <f t="array" ref="AO984">IF($F984&lt;&gt;"",XLOOKUP($F984,Productos!$A:$A,Productos!AH:AH,"Revisar"),"")</f>
        <v/>
      </c>
      <c r="AP984" s="179" t="str">
        <f t="array" ref="AP984">IF($F984&lt;&gt;"", XLOOKUP($F984,Productos!$A$2:$A1001,Productos!AI$2:AI1001,"")*$G984,"")</f>
        <v/>
      </c>
      <c r="AQ984" s="179" t="str">
        <f t="array" ref="AQ984">IF($F984&lt;&gt;"",XLOOKUP($F984,Productos!$A:$A,Productos!AJ:AJ,"Revisar"),"")</f>
        <v/>
      </c>
      <c r="AR984" s="179" t="str">
        <f t="array" ref="AR984">IF($F984&lt;&gt;"", XLOOKUP($F984,Productos!$A$2:$A1001,Productos!AK$2:AK1001,"")*$G984,"")</f>
        <v/>
      </c>
      <c r="AS984" s="179" t="str">
        <f t="array" ref="AS984">IF($F984&lt;&gt;"",XLOOKUP($F984,Productos!$A:$A,Productos!AL:AL,"Revisar"),"")</f>
        <v/>
      </c>
      <c r="AT984" s="179" t="str">
        <f t="array" ref="AT984">IF($F984&lt;&gt;"", XLOOKUP($F984,Productos!$A$2:$A1001,Productos!AM$2:AM1001,"")*$G984,"")</f>
        <v/>
      </c>
      <c r="AU984" s="179" t="str">
        <f t="array" ref="AU984">IF($F984&lt;&gt;"",XLOOKUP($F984,Productos!$A:$A,Productos!AN:AN,"Revisar"),"")</f>
        <v/>
      </c>
      <c r="AV984" s="179" t="str">
        <f t="array" ref="AV984">IF($F984&lt;&gt;"", XLOOKUP($F984,Productos!$A$2:$A1001,Productos!AO$2:AO1001,"")*$G984,"")</f>
        <v/>
      </c>
      <c r="AW984" s="179" t="str">
        <f t="array" ref="AW984">IF($F984&lt;&gt;"",XLOOKUP($F984,Productos!$A:$A,Productos!AP:AP,"Revisar"),"")</f>
        <v/>
      </c>
      <c r="AX984" s="179" t="str">
        <f t="array" ref="AX984">IF($F984&lt;&gt;"", XLOOKUP($F984,Productos!$A$2:$A1001,Productos!AQ$2:AQ1001,"")*$G984,"")</f>
        <v/>
      </c>
      <c r="AY984" s="179" t="str">
        <f t="array" ref="AY984">IF($F984&lt;&gt;"",XLOOKUP($F984,Productos!$A:$A,Productos!AR:AR,"Revisar"),"")</f>
        <v/>
      </c>
      <c r="AZ984" s="179" t="str">
        <f t="array" ref="AZ984">IF($F984&lt;&gt;"", XLOOKUP($F984,Productos!$A$2:$A1001,Productos!AS$2:AS1001,"")*$G984,"")</f>
        <v/>
      </c>
      <c r="BA984" s="179" t="str">
        <f t="array" ref="BA984">IF($F984&lt;&gt;"",XLOOKUP($F984,Productos!$A:$A,Productos!AT:AT,"Revisar"),"")</f>
        <v/>
      </c>
      <c r="BB984" s="179" t="str">
        <f t="array" ref="BB984">IF($F984&lt;&gt;"", XLOOKUP($F984,Productos!$A$2:$A1001,Productos!AU$2:AU1001,"")*$G984,"")</f>
        <v/>
      </c>
      <c r="BC984" s="179" t="str">
        <f t="array" ref="BC984">IF($F984&lt;&gt;"",XLOOKUP($F984,Productos!$A:$A,Productos!AV:AV,"Revisar"),"")</f>
        <v/>
      </c>
      <c r="BD984" s="179" t="str">
        <f t="array" ref="BD984">IF($F984&lt;&gt;"", XLOOKUP($F984,Productos!$A$2:$A1001,Productos!AW$2:AW1001,"")*$G984,"")</f>
        <v/>
      </c>
      <c r="BE984" s="179" t="str">
        <f t="array" ref="BE984">IF($F984&lt;&gt;"",XLOOKUP($F984,Productos!$A:$A,Productos!AX:AX,"Revisar"),"")</f>
        <v/>
      </c>
      <c r="BF984" s="179" t="str">
        <f t="array" ref="BF984">IF($F984&lt;&gt;"", XLOOKUP($F984,Productos!$A$2:$A1001,Productos!AY$2:AY1001,"")*$G984,"")</f>
        <v/>
      </c>
      <c r="BG984" s="179" t="str">
        <f t="array" ref="BG984">IF($F984&lt;&gt;"",XLOOKUP($F984,Productos!$A:$A,Productos!AZ:AZ,"Revisar"),"")</f>
        <v/>
      </c>
      <c r="BH984" s="179" t="str">
        <f t="array" ref="BH984">IF($F984&lt;&gt;"", XLOOKUP($F984,Productos!$A$2:$A1001,Productos!BA$2:BA1001,"")*$G984,"")</f>
        <v/>
      </c>
      <c r="BI984" s="179" t="str">
        <f t="array" ref="BI984">IF($F984&lt;&gt;"",XLOOKUP($F984,Productos!$A:$A,Productos!BB:BB,"Revisar"),"")</f>
        <v/>
      </c>
      <c r="BJ984" s="179" t="str">
        <f t="array" ref="BJ984">IF($F984&lt;&gt;"", XLOOKUP($F984,Productos!$A$2:$A1001,Productos!BC$2:BC1001,"")*$G984,"")</f>
        <v/>
      </c>
      <c r="BK984" s="179" t="str">
        <f t="array" ref="BK984">IF($F984&lt;&gt;"",XLOOKUP($F984,Productos!$A:$A,Productos!BD:BD,"Revisar"),"")</f>
        <v/>
      </c>
      <c r="BL984" s="179" t="str">
        <f t="array" ref="BL984">IF($F984&lt;&gt;"", XLOOKUP($F984,Productos!$A$2:$A1001,Productos!BE$2:BE1001,"")*$G984,"")</f>
        <v/>
      </c>
      <c r="BM984" s="179" t="str">
        <f t="array" ref="BM984">IF($F984&lt;&gt;"",XLOOKUP($F984,Productos!$A:$A,Productos!BF:BF,"Revisar"),"")</f>
        <v/>
      </c>
      <c r="BN984" s="179" t="str">
        <f t="array" ref="BN984">IF($F984&lt;&gt;"", XLOOKUP($F984,Productos!$A$2:$A1001,Productos!BG$2:BG1001,"")*$G984,"")</f>
        <v/>
      </c>
      <c r="BO984" s="179" t="str">
        <f t="array" ref="BO984">IF($F984&lt;&gt;"",XLOOKUP($F984,Productos!$A:$A,Productos!BH:BH,"Revisar"),"")</f>
        <v/>
      </c>
      <c r="BP984" s="179" t="str">
        <f t="array" ref="BP984">IF($F984&lt;&gt;"", XLOOKUP($F984,Productos!$A$2:$A1001,Productos!BI$2:BI1001,"")*$G984,"")</f>
        <v/>
      </c>
      <c r="BQ984" s="179" t="str">
        <f t="array" ref="BQ984">IF($F984&lt;&gt;"",XLOOKUP($F984,Productos!$A:$A,Productos!BJ:BJ,"Revisar"),"")</f>
        <v/>
      </c>
      <c r="BR984" s="179" t="str">
        <f t="array" ref="BR984">IF($F984&lt;&gt;"", XLOOKUP($F984,Productos!$A$2:$A1001,Productos!BK$2:BK1001,"")*$G984,"")</f>
        <v/>
      </c>
      <c r="BS984" s="179" t="str">
        <f t="array" ref="BS984">IF($F984&lt;&gt;"",XLOOKUP($F984,Productos!$A:$A,Productos!BL:BL,"Revisar"),"")</f>
        <v/>
      </c>
      <c r="BT984" s="179" t="str">
        <f t="array" ref="BT984">IF($F984&lt;&gt;"", XLOOKUP($F984,Productos!$A$2:$A1001,Productos!BM$2:BM1001,"")*$G984,"")</f>
        <v/>
      </c>
      <c r="BU984" s="179" t="str">
        <f t="array" ref="BU984">IF($F984&lt;&gt;"",XLOOKUP($F984,Productos!$A:$A,Productos!BN:BN,"Revisar"),"")</f>
        <v/>
      </c>
      <c r="BV984" s="179" t="str">
        <f t="array" ref="BV984">IF($F984&lt;&gt;"", XLOOKUP($F984,Productos!$A$2:$A1001,Productos!BO$2:BO1001,"")*$G984,"")</f>
        <v/>
      </c>
      <c r="BW984" s="179" t="str">
        <f t="array" ref="BW984">IF($F984&lt;&gt;"",XLOOKUP($F984,Productos!$A:$A,Productos!BP:BP,"Revisar"),"")</f>
        <v/>
      </c>
      <c r="BX984" s="179" t="str">
        <f t="array" ref="BX984">IF($F984&lt;&gt;"", XLOOKUP($F984,Productos!$A$2:$A1001,Productos!BQ$2:BQ1001,"")*$G984,"")</f>
        <v/>
      </c>
      <c r="BY984" s="179" t="str">
        <f t="array" ref="BY984">IF($F984&lt;&gt;"",XLOOKUP($F984,Productos!$A:$A,Productos!BR:BR,"Revisar"),"")</f>
        <v/>
      </c>
      <c r="BZ984" s="179" t="str">
        <f t="array" ref="BZ984">IF($F984&lt;&gt;"", XLOOKUP($F984,Productos!$A$2:$A1001,Productos!BS$2:BS1001,"")*$G984,"")</f>
        <v/>
      </c>
    </row>
    <row r="985">
      <c r="A985" s="188"/>
      <c r="B985" s="189"/>
      <c r="C985" s="190"/>
      <c r="D985" s="190"/>
      <c r="E985" s="191"/>
      <c r="F985" s="186"/>
      <c r="G985" s="192"/>
      <c r="H985" s="9"/>
      <c r="I985" s="179" t="str">
        <f t="array" ref="I985">IF($F985&lt;&gt;"",XLOOKUP($F985,Productos!$A:$A,Productos!B:B,"Revisar"),"")</f>
        <v/>
      </c>
      <c r="J985" s="179" t="str">
        <f t="array" ref="J985">IF($F985&lt;&gt;"", XLOOKUP($F985,Productos!$A$2:$A1001,Productos!C$2:C1001,"")*$G985,"")</f>
        <v/>
      </c>
      <c r="K985" s="179" t="str">
        <f t="array" ref="K985">IF($F985&lt;&gt;"",XLOOKUP($F985,Productos!$A:$A,Productos!D:D,"Revisar"),"")</f>
        <v/>
      </c>
      <c r="L985" s="179" t="str">
        <f t="array" ref="L985">IF($F985&lt;&gt;"", XLOOKUP($F985,Productos!$A$2:$A1001,Productos!E$2:E1001,"")*$G985,"")</f>
        <v/>
      </c>
      <c r="M985" s="179" t="str">
        <f t="array" ref="M985">IF($F985&lt;&gt;"",XLOOKUP($F985,Productos!$A:$A,Productos!F:F,"Revisar"),"")</f>
        <v/>
      </c>
      <c r="N985" s="179" t="str">
        <f t="array" ref="N985">IF($F985&lt;&gt;"", XLOOKUP($F985,Productos!$A$2:$A1001,Productos!G$2:G1001,"")*$G985,"")</f>
        <v/>
      </c>
      <c r="O985" s="179" t="str">
        <f t="array" ref="O985">IF($F985&lt;&gt;"",XLOOKUP($F985,Productos!$A:$A,Productos!H:H,"Revisar"),"")</f>
        <v/>
      </c>
      <c r="P985" s="179" t="str">
        <f t="array" ref="P985">IF($F985&lt;&gt;"", XLOOKUP($F985,Productos!$A$2:$A1001,Productos!I$2:I1001,"")*$G985,"")</f>
        <v/>
      </c>
      <c r="Q985" s="179" t="str">
        <f t="array" ref="Q985">IF($F985&lt;&gt;"",XLOOKUP($F985,Productos!$A:$A,Productos!J:J,"Revisar"),"")</f>
        <v/>
      </c>
      <c r="R985" s="179" t="str">
        <f t="array" ref="R985">IF($F985&lt;&gt;"", XLOOKUP($F985,Productos!$A$2:$A1001,Productos!K$2:K1001,"")*$G985,"")</f>
        <v/>
      </c>
      <c r="S985" s="179" t="str">
        <f t="array" ref="S985">IF($F985&lt;&gt;"",XLOOKUP($F985,Productos!$A:$A,Productos!L:L,"Revisar"),"")</f>
        <v/>
      </c>
      <c r="T985" s="179" t="str">
        <f t="array" ref="T985">IF($F985&lt;&gt;"", XLOOKUP($F985,Productos!$A$2:$A1001,Productos!M$2:M1001,"")*$G985,"")</f>
        <v/>
      </c>
      <c r="U985" s="179" t="str">
        <f t="array" ref="U985">IF($F985&lt;&gt;"",XLOOKUP($F985,Productos!$A:$A,Productos!N:N,"Revisar"),"")</f>
        <v/>
      </c>
      <c r="V985" s="179" t="str">
        <f t="array" ref="V985">IF($F985&lt;&gt;"", XLOOKUP($F985,Productos!$A$2:$A1001,Productos!O$2:O1001,"")*$G985,"")</f>
        <v/>
      </c>
      <c r="W985" s="179" t="str">
        <f t="array" ref="W985">IF($F985&lt;&gt;"",XLOOKUP($F985,Productos!$A:$A,Productos!P:P,"Revisar"),"")</f>
        <v/>
      </c>
      <c r="X985" s="179" t="str">
        <f t="array" ref="X985">IF($F985&lt;&gt;"", XLOOKUP($F985,Productos!$A$2:$A1001,Productos!Q$2:Q1001,"")*$G985,"")</f>
        <v/>
      </c>
      <c r="Y985" s="179" t="str">
        <f t="array" ref="Y985">IF($F985&lt;&gt;"",XLOOKUP($F985,Productos!$A:$A,Productos!R:R,"Revisar"),"")</f>
        <v/>
      </c>
      <c r="Z985" s="179" t="str">
        <f t="array" ref="Z985">IF($F985&lt;&gt;"", XLOOKUP($F985,Productos!$A$2:$A1001,Productos!S$2:S1001,"")*$G985,"")</f>
        <v/>
      </c>
      <c r="AA985" s="179" t="str">
        <f t="array" ref="AA985">IF($F985&lt;&gt;"",XLOOKUP($F985,Productos!$A:$A,Productos!T:T,"Revisar"),"")</f>
        <v/>
      </c>
      <c r="AB985" s="179" t="str">
        <f t="array" ref="AB985">IF($F985&lt;&gt;"", XLOOKUP($F985,Productos!$A$2:$A1001,Productos!U$2:U1001,"")*$G985,"")</f>
        <v/>
      </c>
      <c r="AC985" s="179" t="str">
        <f t="array" ref="AC985">IF($F985&lt;&gt;"",XLOOKUP($F985,Productos!$A:$A,Productos!V:V,"Revisar"),"")</f>
        <v/>
      </c>
      <c r="AD985" s="179" t="str">
        <f t="array" ref="AD985">IF($F985&lt;&gt;"", XLOOKUP($F985,Productos!$A$2:$A1001,Productos!W$2:W1001,"")*$G985,"")</f>
        <v/>
      </c>
      <c r="AE985" s="179" t="str">
        <f t="array" ref="AE985">IF($F985&lt;&gt;"",XLOOKUP($F985,Productos!$A:$A,Productos!X:X,"Revisar"),"")</f>
        <v/>
      </c>
      <c r="AF985" s="179" t="str">
        <f t="array" ref="AF985">IF($F985&lt;&gt;"", XLOOKUP($F985,Productos!$A$2:$A1001,Productos!Y$2:Y1001,"")*$G985,"")</f>
        <v/>
      </c>
      <c r="AG985" s="179" t="str">
        <f t="array" ref="AG985">IF($F985&lt;&gt;"",XLOOKUP($F985,Productos!$A:$A,Productos!Z:Z,"Revisar"),"")</f>
        <v/>
      </c>
      <c r="AH985" s="179" t="str">
        <f t="array" ref="AH985">IF($F985&lt;&gt;"", XLOOKUP($F985,Productos!$A$2:$A1001,Productos!AA$2:AA1001,"")*$G985,"")</f>
        <v/>
      </c>
      <c r="AI985" s="179" t="str">
        <f t="array" ref="AI985">IF($F985&lt;&gt;"",XLOOKUP($F985,Productos!$A:$A,Productos!AB:AB,"Revisar"),"")</f>
        <v/>
      </c>
      <c r="AJ985" s="179" t="str">
        <f t="array" ref="AJ985">IF($F985&lt;&gt;"", XLOOKUP($F985,Productos!$A$2:$A1001,Productos!AC$2:AC1001,"")*$G985,"")</f>
        <v/>
      </c>
      <c r="AK985" s="179" t="str">
        <f t="array" ref="AK985">IF($F985&lt;&gt;"",XLOOKUP($F985,Productos!$A:$A,Productos!AD:AD,"Revisar"),"")</f>
        <v/>
      </c>
      <c r="AL985" s="179" t="str">
        <f t="array" ref="AL985">IF($F985&lt;&gt;"", XLOOKUP($F985,Productos!$A$2:$A1001,Productos!AE$2:AE1001,"")*$G985,"")</f>
        <v/>
      </c>
      <c r="AM985" s="179" t="str">
        <f t="array" ref="AM985">IF($F985&lt;&gt;"",XLOOKUP($F985,Productos!$A:$A,Productos!AF:AF,"Revisar"),"")</f>
        <v/>
      </c>
      <c r="AN985" s="179" t="str">
        <f t="array" ref="AN985">IF($F985&lt;&gt;"", XLOOKUP($F985,Productos!$A$2:$A1001,Productos!AG$2:AG1001,"")*$G985,"")</f>
        <v/>
      </c>
      <c r="AO985" s="179" t="str">
        <f t="array" ref="AO985">IF($F985&lt;&gt;"",XLOOKUP($F985,Productos!$A:$A,Productos!AH:AH,"Revisar"),"")</f>
        <v/>
      </c>
      <c r="AP985" s="179" t="str">
        <f t="array" ref="AP985">IF($F985&lt;&gt;"", XLOOKUP($F985,Productos!$A$2:$A1001,Productos!AI$2:AI1001,"")*$G985,"")</f>
        <v/>
      </c>
      <c r="AQ985" s="179" t="str">
        <f t="array" ref="AQ985">IF($F985&lt;&gt;"",XLOOKUP($F985,Productos!$A:$A,Productos!AJ:AJ,"Revisar"),"")</f>
        <v/>
      </c>
      <c r="AR985" s="179" t="str">
        <f t="array" ref="AR985">IF($F985&lt;&gt;"", XLOOKUP($F985,Productos!$A$2:$A1001,Productos!AK$2:AK1001,"")*$G985,"")</f>
        <v/>
      </c>
      <c r="AS985" s="179" t="str">
        <f t="array" ref="AS985">IF($F985&lt;&gt;"",XLOOKUP($F985,Productos!$A:$A,Productos!AL:AL,"Revisar"),"")</f>
        <v/>
      </c>
      <c r="AT985" s="179" t="str">
        <f t="array" ref="AT985">IF($F985&lt;&gt;"", XLOOKUP($F985,Productos!$A$2:$A1001,Productos!AM$2:AM1001,"")*$G985,"")</f>
        <v/>
      </c>
      <c r="AU985" s="179" t="str">
        <f t="array" ref="AU985">IF($F985&lt;&gt;"",XLOOKUP($F985,Productos!$A:$A,Productos!AN:AN,"Revisar"),"")</f>
        <v/>
      </c>
      <c r="AV985" s="179" t="str">
        <f t="array" ref="AV985">IF($F985&lt;&gt;"", XLOOKUP($F985,Productos!$A$2:$A1001,Productos!AO$2:AO1001,"")*$G985,"")</f>
        <v/>
      </c>
      <c r="AW985" s="179" t="str">
        <f t="array" ref="AW985">IF($F985&lt;&gt;"",XLOOKUP($F985,Productos!$A:$A,Productos!AP:AP,"Revisar"),"")</f>
        <v/>
      </c>
      <c r="AX985" s="179" t="str">
        <f t="array" ref="AX985">IF($F985&lt;&gt;"", XLOOKUP($F985,Productos!$A$2:$A1001,Productos!AQ$2:AQ1001,"")*$G985,"")</f>
        <v/>
      </c>
      <c r="AY985" s="179" t="str">
        <f t="array" ref="AY985">IF($F985&lt;&gt;"",XLOOKUP($F985,Productos!$A:$A,Productos!AR:AR,"Revisar"),"")</f>
        <v/>
      </c>
      <c r="AZ985" s="179" t="str">
        <f t="array" ref="AZ985">IF($F985&lt;&gt;"", XLOOKUP($F985,Productos!$A$2:$A1001,Productos!AS$2:AS1001,"")*$G985,"")</f>
        <v/>
      </c>
      <c r="BA985" s="179" t="str">
        <f t="array" ref="BA985">IF($F985&lt;&gt;"",XLOOKUP($F985,Productos!$A:$A,Productos!AT:AT,"Revisar"),"")</f>
        <v/>
      </c>
      <c r="BB985" s="179" t="str">
        <f t="array" ref="BB985">IF($F985&lt;&gt;"", XLOOKUP($F985,Productos!$A$2:$A1001,Productos!AU$2:AU1001,"")*$G985,"")</f>
        <v/>
      </c>
      <c r="BC985" s="179" t="str">
        <f t="array" ref="BC985">IF($F985&lt;&gt;"",XLOOKUP($F985,Productos!$A:$A,Productos!AV:AV,"Revisar"),"")</f>
        <v/>
      </c>
      <c r="BD985" s="179" t="str">
        <f t="array" ref="BD985">IF($F985&lt;&gt;"", XLOOKUP($F985,Productos!$A$2:$A1001,Productos!AW$2:AW1001,"")*$G985,"")</f>
        <v/>
      </c>
      <c r="BE985" s="179" t="str">
        <f t="array" ref="BE985">IF($F985&lt;&gt;"",XLOOKUP($F985,Productos!$A:$A,Productos!AX:AX,"Revisar"),"")</f>
        <v/>
      </c>
      <c r="BF985" s="179" t="str">
        <f t="array" ref="BF985">IF($F985&lt;&gt;"", XLOOKUP($F985,Productos!$A$2:$A1001,Productos!AY$2:AY1001,"")*$G985,"")</f>
        <v/>
      </c>
      <c r="BG985" s="179" t="str">
        <f t="array" ref="BG985">IF($F985&lt;&gt;"",XLOOKUP($F985,Productos!$A:$A,Productos!AZ:AZ,"Revisar"),"")</f>
        <v/>
      </c>
      <c r="BH985" s="179" t="str">
        <f t="array" ref="BH985">IF($F985&lt;&gt;"", XLOOKUP($F985,Productos!$A$2:$A1001,Productos!BA$2:BA1001,"")*$G985,"")</f>
        <v/>
      </c>
      <c r="BI985" s="179" t="str">
        <f t="array" ref="BI985">IF($F985&lt;&gt;"",XLOOKUP($F985,Productos!$A:$A,Productos!BB:BB,"Revisar"),"")</f>
        <v/>
      </c>
      <c r="BJ985" s="179" t="str">
        <f t="array" ref="BJ985">IF($F985&lt;&gt;"", XLOOKUP($F985,Productos!$A$2:$A1001,Productos!BC$2:BC1001,"")*$G985,"")</f>
        <v/>
      </c>
      <c r="BK985" s="179" t="str">
        <f t="array" ref="BK985">IF($F985&lt;&gt;"",XLOOKUP($F985,Productos!$A:$A,Productos!BD:BD,"Revisar"),"")</f>
        <v/>
      </c>
      <c r="BL985" s="179" t="str">
        <f t="array" ref="BL985">IF($F985&lt;&gt;"", XLOOKUP($F985,Productos!$A$2:$A1001,Productos!BE$2:BE1001,"")*$G985,"")</f>
        <v/>
      </c>
      <c r="BM985" s="179" t="str">
        <f t="array" ref="BM985">IF($F985&lt;&gt;"",XLOOKUP($F985,Productos!$A:$A,Productos!BF:BF,"Revisar"),"")</f>
        <v/>
      </c>
      <c r="BN985" s="179" t="str">
        <f t="array" ref="BN985">IF($F985&lt;&gt;"", XLOOKUP($F985,Productos!$A$2:$A1001,Productos!BG$2:BG1001,"")*$G985,"")</f>
        <v/>
      </c>
      <c r="BO985" s="179" t="str">
        <f t="array" ref="BO985">IF($F985&lt;&gt;"",XLOOKUP($F985,Productos!$A:$A,Productos!BH:BH,"Revisar"),"")</f>
        <v/>
      </c>
      <c r="BP985" s="179" t="str">
        <f t="array" ref="BP985">IF($F985&lt;&gt;"", XLOOKUP($F985,Productos!$A$2:$A1001,Productos!BI$2:BI1001,"")*$G985,"")</f>
        <v/>
      </c>
      <c r="BQ985" s="179" t="str">
        <f t="array" ref="BQ985">IF($F985&lt;&gt;"",XLOOKUP($F985,Productos!$A:$A,Productos!BJ:BJ,"Revisar"),"")</f>
        <v/>
      </c>
      <c r="BR985" s="179" t="str">
        <f t="array" ref="BR985">IF($F985&lt;&gt;"", XLOOKUP($F985,Productos!$A$2:$A1001,Productos!BK$2:BK1001,"")*$G985,"")</f>
        <v/>
      </c>
      <c r="BS985" s="179" t="str">
        <f t="array" ref="BS985">IF($F985&lt;&gt;"",XLOOKUP($F985,Productos!$A:$A,Productos!BL:BL,"Revisar"),"")</f>
        <v/>
      </c>
      <c r="BT985" s="179" t="str">
        <f t="array" ref="BT985">IF($F985&lt;&gt;"", XLOOKUP($F985,Productos!$A$2:$A1001,Productos!BM$2:BM1001,"")*$G985,"")</f>
        <v/>
      </c>
      <c r="BU985" s="179" t="str">
        <f t="array" ref="BU985">IF($F985&lt;&gt;"",XLOOKUP($F985,Productos!$A:$A,Productos!BN:BN,"Revisar"),"")</f>
        <v/>
      </c>
      <c r="BV985" s="179" t="str">
        <f t="array" ref="BV985">IF($F985&lt;&gt;"", XLOOKUP($F985,Productos!$A$2:$A1001,Productos!BO$2:BO1001,"")*$G985,"")</f>
        <v/>
      </c>
      <c r="BW985" s="179" t="str">
        <f t="array" ref="BW985">IF($F985&lt;&gt;"",XLOOKUP($F985,Productos!$A:$A,Productos!BP:BP,"Revisar"),"")</f>
        <v/>
      </c>
      <c r="BX985" s="179" t="str">
        <f t="array" ref="BX985">IF($F985&lt;&gt;"", XLOOKUP($F985,Productos!$A$2:$A1001,Productos!BQ$2:BQ1001,"")*$G985,"")</f>
        <v/>
      </c>
      <c r="BY985" s="179" t="str">
        <f t="array" ref="BY985">IF($F985&lt;&gt;"",XLOOKUP($F985,Productos!$A:$A,Productos!BR:BR,"Revisar"),"")</f>
        <v/>
      </c>
      <c r="BZ985" s="179" t="str">
        <f t="array" ref="BZ985">IF($F985&lt;&gt;"", XLOOKUP($F985,Productos!$A$2:$A1001,Productos!BS$2:BS1001,"")*$G985,"")</f>
        <v/>
      </c>
    </row>
    <row r="986">
      <c r="A986" s="188"/>
      <c r="B986" s="189"/>
      <c r="C986" s="190"/>
      <c r="D986" s="190"/>
      <c r="E986" s="191"/>
      <c r="F986" s="186"/>
      <c r="G986" s="192"/>
      <c r="H986" s="9"/>
      <c r="I986" s="179" t="str">
        <f t="array" ref="I986">IF($F986&lt;&gt;"",XLOOKUP($F986,Productos!$A:$A,Productos!B:B,"Revisar"),"")</f>
        <v/>
      </c>
      <c r="J986" s="179" t="str">
        <f t="array" ref="J986">IF($F986&lt;&gt;"", XLOOKUP($F986,Productos!$A$2:$A1001,Productos!C$2:C1001,"")*$G986,"")</f>
        <v/>
      </c>
      <c r="K986" s="179" t="str">
        <f t="array" ref="K986">IF($F986&lt;&gt;"",XLOOKUP($F986,Productos!$A:$A,Productos!D:D,"Revisar"),"")</f>
        <v/>
      </c>
      <c r="L986" s="179" t="str">
        <f t="array" ref="L986">IF($F986&lt;&gt;"", XLOOKUP($F986,Productos!$A$2:$A1001,Productos!E$2:E1001,"")*$G986,"")</f>
        <v/>
      </c>
      <c r="M986" s="179" t="str">
        <f t="array" ref="M986">IF($F986&lt;&gt;"",XLOOKUP($F986,Productos!$A:$A,Productos!F:F,"Revisar"),"")</f>
        <v/>
      </c>
      <c r="N986" s="179" t="str">
        <f t="array" ref="N986">IF($F986&lt;&gt;"", XLOOKUP($F986,Productos!$A$2:$A1001,Productos!G$2:G1001,"")*$G986,"")</f>
        <v/>
      </c>
      <c r="O986" s="179" t="str">
        <f t="array" ref="O986">IF($F986&lt;&gt;"",XLOOKUP($F986,Productos!$A:$A,Productos!H:H,"Revisar"),"")</f>
        <v/>
      </c>
      <c r="P986" s="179" t="str">
        <f t="array" ref="P986">IF($F986&lt;&gt;"", XLOOKUP($F986,Productos!$A$2:$A1001,Productos!I$2:I1001,"")*$G986,"")</f>
        <v/>
      </c>
      <c r="Q986" s="179" t="str">
        <f t="array" ref="Q986">IF($F986&lt;&gt;"",XLOOKUP($F986,Productos!$A:$A,Productos!J:J,"Revisar"),"")</f>
        <v/>
      </c>
      <c r="R986" s="179" t="str">
        <f t="array" ref="R986">IF($F986&lt;&gt;"", XLOOKUP($F986,Productos!$A$2:$A1001,Productos!K$2:K1001,"")*$G986,"")</f>
        <v/>
      </c>
      <c r="S986" s="179" t="str">
        <f t="array" ref="S986">IF($F986&lt;&gt;"",XLOOKUP($F986,Productos!$A:$A,Productos!L:L,"Revisar"),"")</f>
        <v/>
      </c>
      <c r="T986" s="179" t="str">
        <f t="array" ref="T986">IF($F986&lt;&gt;"", XLOOKUP($F986,Productos!$A$2:$A1001,Productos!M$2:M1001,"")*$G986,"")</f>
        <v/>
      </c>
      <c r="U986" s="179" t="str">
        <f t="array" ref="U986">IF($F986&lt;&gt;"",XLOOKUP($F986,Productos!$A:$A,Productos!N:N,"Revisar"),"")</f>
        <v/>
      </c>
      <c r="V986" s="179" t="str">
        <f t="array" ref="V986">IF($F986&lt;&gt;"", XLOOKUP($F986,Productos!$A$2:$A1001,Productos!O$2:O1001,"")*$G986,"")</f>
        <v/>
      </c>
      <c r="W986" s="179" t="str">
        <f t="array" ref="W986">IF($F986&lt;&gt;"",XLOOKUP($F986,Productos!$A:$A,Productos!P:P,"Revisar"),"")</f>
        <v/>
      </c>
      <c r="X986" s="179" t="str">
        <f t="array" ref="X986">IF($F986&lt;&gt;"", XLOOKUP($F986,Productos!$A$2:$A1001,Productos!Q$2:Q1001,"")*$G986,"")</f>
        <v/>
      </c>
      <c r="Y986" s="179" t="str">
        <f t="array" ref="Y986">IF($F986&lt;&gt;"",XLOOKUP($F986,Productos!$A:$A,Productos!R:R,"Revisar"),"")</f>
        <v/>
      </c>
      <c r="Z986" s="179" t="str">
        <f t="array" ref="Z986">IF($F986&lt;&gt;"", XLOOKUP($F986,Productos!$A$2:$A1001,Productos!S$2:S1001,"")*$G986,"")</f>
        <v/>
      </c>
      <c r="AA986" s="179" t="str">
        <f t="array" ref="AA986">IF($F986&lt;&gt;"",XLOOKUP($F986,Productos!$A:$A,Productos!T:T,"Revisar"),"")</f>
        <v/>
      </c>
      <c r="AB986" s="179" t="str">
        <f t="array" ref="AB986">IF($F986&lt;&gt;"", XLOOKUP($F986,Productos!$A$2:$A1001,Productos!U$2:U1001,"")*$G986,"")</f>
        <v/>
      </c>
      <c r="AC986" s="179" t="str">
        <f t="array" ref="AC986">IF($F986&lt;&gt;"",XLOOKUP($F986,Productos!$A:$A,Productos!V:V,"Revisar"),"")</f>
        <v/>
      </c>
      <c r="AD986" s="179" t="str">
        <f t="array" ref="AD986">IF($F986&lt;&gt;"", XLOOKUP($F986,Productos!$A$2:$A1001,Productos!W$2:W1001,"")*$G986,"")</f>
        <v/>
      </c>
      <c r="AE986" s="179" t="str">
        <f t="array" ref="AE986">IF($F986&lt;&gt;"",XLOOKUP($F986,Productos!$A:$A,Productos!X:X,"Revisar"),"")</f>
        <v/>
      </c>
      <c r="AF986" s="179" t="str">
        <f t="array" ref="AF986">IF($F986&lt;&gt;"", XLOOKUP($F986,Productos!$A$2:$A1001,Productos!Y$2:Y1001,"")*$G986,"")</f>
        <v/>
      </c>
      <c r="AG986" s="179" t="str">
        <f t="array" ref="AG986">IF($F986&lt;&gt;"",XLOOKUP($F986,Productos!$A:$A,Productos!Z:Z,"Revisar"),"")</f>
        <v/>
      </c>
      <c r="AH986" s="179" t="str">
        <f t="array" ref="AH986">IF($F986&lt;&gt;"", XLOOKUP($F986,Productos!$A$2:$A1001,Productos!AA$2:AA1001,"")*$G986,"")</f>
        <v/>
      </c>
      <c r="AI986" s="179" t="str">
        <f t="array" ref="AI986">IF($F986&lt;&gt;"",XLOOKUP($F986,Productos!$A:$A,Productos!AB:AB,"Revisar"),"")</f>
        <v/>
      </c>
      <c r="AJ986" s="179" t="str">
        <f t="array" ref="AJ986">IF($F986&lt;&gt;"", XLOOKUP($F986,Productos!$A$2:$A1001,Productos!AC$2:AC1001,"")*$G986,"")</f>
        <v/>
      </c>
      <c r="AK986" s="179" t="str">
        <f t="array" ref="AK986">IF($F986&lt;&gt;"",XLOOKUP($F986,Productos!$A:$A,Productos!AD:AD,"Revisar"),"")</f>
        <v/>
      </c>
      <c r="AL986" s="179" t="str">
        <f t="array" ref="AL986">IF($F986&lt;&gt;"", XLOOKUP($F986,Productos!$A$2:$A1001,Productos!AE$2:AE1001,"")*$G986,"")</f>
        <v/>
      </c>
      <c r="AM986" s="179" t="str">
        <f t="array" ref="AM986">IF($F986&lt;&gt;"",XLOOKUP($F986,Productos!$A:$A,Productos!AF:AF,"Revisar"),"")</f>
        <v/>
      </c>
      <c r="AN986" s="179" t="str">
        <f t="array" ref="AN986">IF($F986&lt;&gt;"", XLOOKUP($F986,Productos!$A$2:$A1001,Productos!AG$2:AG1001,"")*$G986,"")</f>
        <v/>
      </c>
      <c r="AO986" s="179" t="str">
        <f t="array" ref="AO986">IF($F986&lt;&gt;"",XLOOKUP($F986,Productos!$A:$A,Productos!AH:AH,"Revisar"),"")</f>
        <v/>
      </c>
      <c r="AP986" s="179" t="str">
        <f t="array" ref="AP986">IF($F986&lt;&gt;"", XLOOKUP($F986,Productos!$A$2:$A1001,Productos!AI$2:AI1001,"")*$G986,"")</f>
        <v/>
      </c>
      <c r="AQ986" s="179" t="str">
        <f t="array" ref="AQ986">IF($F986&lt;&gt;"",XLOOKUP($F986,Productos!$A:$A,Productos!AJ:AJ,"Revisar"),"")</f>
        <v/>
      </c>
      <c r="AR986" s="179" t="str">
        <f t="array" ref="AR986">IF($F986&lt;&gt;"", XLOOKUP($F986,Productos!$A$2:$A1001,Productos!AK$2:AK1001,"")*$G986,"")</f>
        <v/>
      </c>
      <c r="AS986" s="179" t="str">
        <f t="array" ref="AS986">IF($F986&lt;&gt;"",XLOOKUP($F986,Productos!$A:$A,Productos!AL:AL,"Revisar"),"")</f>
        <v/>
      </c>
      <c r="AT986" s="179" t="str">
        <f t="array" ref="AT986">IF($F986&lt;&gt;"", XLOOKUP($F986,Productos!$A$2:$A1001,Productos!AM$2:AM1001,"")*$G986,"")</f>
        <v/>
      </c>
      <c r="AU986" s="179" t="str">
        <f t="array" ref="AU986">IF($F986&lt;&gt;"",XLOOKUP($F986,Productos!$A:$A,Productos!AN:AN,"Revisar"),"")</f>
        <v/>
      </c>
      <c r="AV986" s="179" t="str">
        <f t="array" ref="AV986">IF($F986&lt;&gt;"", XLOOKUP($F986,Productos!$A$2:$A1001,Productos!AO$2:AO1001,"")*$G986,"")</f>
        <v/>
      </c>
      <c r="AW986" s="179" t="str">
        <f t="array" ref="AW986">IF($F986&lt;&gt;"",XLOOKUP($F986,Productos!$A:$A,Productos!AP:AP,"Revisar"),"")</f>
        <v/>
      </c>
      <c r="AX986" s="179" t="str">
        <f t="array" ref="AX986">IF($F986&lt;&gt;"", XLOOKUP($F986,Productos!$A$2:$A1001,Productos!AQ$2:AQ1001,"")*$G986,"")</f>
        <v/>
      </c>
      <c r="AY986" s="179" t="str">
        <f t="array" ref="AY986">IF($F986&lt;&gt;"",XLOOKUP($F986,Productos!$A:$A,Productos!AR:AR,"Revisar"),"")</f>
        <v/>
      </c>
      <c r="AZ986" s="179" t="str">
        <f t="array" ref="AZ986">IF($F986&lt;&gt;"", XLOOKUP($F986,Productos!$A$2:$A1001,Productos!AS$2:AS1001,"")*$G986,"")</f>
        <v/>
      </c>
      <c r="BA986" s="179" t="str">
        <f t="array" ref="BA986">IF($F986&lt;&gt;"",XLOOKUP($F986,Productos!$A:$A,Productos!AT:AT,"Revisar"),"")</f>
        <v/>
      </c>
      <c r="BB986" s="179" t="str">
        <f t="array" ref="BB986">IF($F986&lt;&gt;"", XLOOKUP($F986,Productos!$A$2:$A1001,Productos!AU$2:AU1001,"")*$G986,"")</f>
        <v/>
      </c>
      <c r="BC986" s="179" t="str">
        <f t="array" ref="BC986">IF($F986&lt;&gt;"",XLOOKUP($F986,Productos!$A:$A,Productos!AV:AV,"Revisar"),"")</f>
        <v/>
      </c>
      <c r="BD986" s="179" t="str">
        <f t="array" ref="BD986">IF($F986&lt;&gt;"", XLOOKUP($F986,Productos!$A$2:$A1001,Productos!AW$2:AW1001,"")*$G986,"")</f>
        <v/>
      </c>
      <c r="BE986" s="179" t="str">
        <f t="array" ref="BE986">IF($F986&lt;&gt;"",XLOOKUP($F986,Productos!$A:$A,Productos!AX:AX,"Revisar"),"")</f>
        <v/>
      </c>
      <c r="BF986" s="179" t="str">
        <f t="array" ref="BF986">IF($F986&lt;&gt;"", XLOOKUP($F986,Productos!$A$2:$A1001,Productos!AY$2:AY1001,"")*$G986,"")</f>
        <v/>
      </c>
      <c r="BG986" s="179" t="str">
        <f t="array" ref="BG986">IF($F986&lt;&gt;"",XLOOKUP($F986,Productos!$A:$A,Productos!AZ:AZ,"Revisar"),"")</f>
        <v/>
      </c>
      <c r="BH986" s="179" t="str">
        <f t="array" ref="BH986">IF($F986&lt;&gt;"", XLOOKUP($F986,Productos!$A$2:$A1001,Productos!BA$2:BA1001,"")*$G986,"")</f>
        <v/>
      </c>
      <c r="BI986" s="179" t="str">
        <f t="array" ref="BI986">IF($F986&lt;&gt;"",XLOOKUP($F986,Productos!$A:$A,Productos!BB:BB,"Revisar"),"")</f>
        <v/>
      </c>
      <c r="BJ986" s="179" t="str">
        <f t="array" ref="BJ986">IF($F986&lt;&gt;"", XLOOKUP($F986,Productos!$A$2:$A1001,Productos!BC$2:BC1001,"")*$G986,"")</f>
        <v/>
      </c>
      <c r="BK986" s="179" t="str">
        <f t="array" ref="BK986">IF($F986&lt;&gt;"",XLOOKUP($F986,Productos!$A:$A,Productos!BD:BD,"Revisar"),"")</f>
        <v/>
      </c>
      <c r="BL986" s="179" t="str">
        <f t="array" ref="BL986">IF($F986&lt;&gt;"", XLOOKUP($F986,Productos!$A$2:$A1001,Productos!BE$2:BE1001,"")*$G986,"")</f>
        <v/>
      </c>
      <c r="BM986" s="179" t="str">
        <f t="array" ref="BM986">IF($F986&lt;&gt;"",XLOOKUP($F986,Productos!$A:$A,Productos!BF:BF,"Revisar"),"")</f>
        <v/>
      </c>
      <c r="BN986" s="179" t="str">
        <f t="array" ref="BN986">IF($F986&lt;&gt;"", XLOOKUP($F986,Productos!$A$2:$A1001,Productos!BG$2:BG1001,"")*$G986,"")</f>
        <v/>
      </c>
      <c r="BO986" s="179" t="str">
        <f t="array" ref="BO986">IF($F986&lt;&gt;"",XLOOKUP($F986,Productos!$A:$A,Productos!BH:BH,"Revisar"),"")</f>
        <v/>
      </c>
      <c r="BP986" s="179" t="str">
        <f t="array" ref="BP986">IF($F986&lt;&gt;"", XLOOKUP($F986,Productos!$A$2:$A1001,Productos!BI$2:BI1001,"")*$G986,"")</f>
        <v/>
      </c>
      <c r="BQ986" s="179" t="str">
        <f t="array" ref="BQ986">IF($F986&lt;&gt;"",XLOOKUP($F986,Productos!$A:$A,Productos!BJ:BJ,"Revisar"),"")</f>
        <v/>
      </c>
      <c r="BR986" s="179" t="str">
        <f t="array" ref="BR986">IF($F986&lt;&gt;"", XLOOKUP($F986,Productos!$A$2:$A1001,Productos!BK$2:BK1001,"")*$G986,"")</f>
        <v/>
      </c>
      <c r="BS986" s="179" t="str">
        <f t="array" ref="BS986">IF($F986&lt;&gt;"",XLOOKUP($F986,Productos!$A:$A,Productos!BL:BL,"Revisar"),"")</f>
        <v/>
      </c>
      <c r="BT986" s="179" t="str">
        <f t="array" ref="BT986">IF($F986&lt;&gt;"", XLOOKUP($F986,Productos!$A$2:$A1001,Productos!BM$2:BM1001,"")*$G986,"")</f>
        <v/>
      </c>
      <c r="BU986" s="179" t="str">
        <f t="array" ref="BU986">IF($F986&lt;&gt;"",XLOOKUP($F986,Productos!$A:$A,Productos!BN:BN,"Revisar"),"")</f>
        <v/>
      </c>
      <c r="BV986" s="179" t="str">
        <f t="array" ref="BV986">IF($F986&lt;&gt;"", XLOOKUP($F986,Productos!$A$2:$A1001,Productos!BO$2:BO1001,"")*$G986,"")</f>
        <v/>
      </c>
      <c r="BW986" s="179" t="str">
        <f t="array" ref="BW986">IF($F986&lt;&gt;"",XLOOKUP($F986,Productos!$A:$A,Productos!BP:BP,"Revisar"),"")</f>
        <v/>
      </c>
      <c r="BX986" s="179" t="str">
        <f t="array" ref="BX986">IF($F986&lt;&gt;"", XLOOKUP($F986,Productos!$A$2:$A1001,Productos!BQ$2:BQ1001,"")*$G986,"")</f>
        <v/>
      </c>
      <c r="BY986" s="179" t="str">
        <f t="array" ref="BY986">IF($F986&lt;&gt;"",XLOOKUP($F986,Productos!$A:$A,Productos!BR:BR,"Revisar"),"")</f>
        <v/>
      </c>
      <c r="BZ986" s="179" t="str">
        <f t="array" ref="BZ986">IF($F986&lt;&gt;"", XLOOKUP($F986,Productos!$A$2:$A1001,Productos!BS$2:BS1001,"")*$G986,"")</f>
        <v/>
      </c>
    </row>
    <row r="987">
      <c r="A987" s="188"/>
      <c r="B987" s="189"/>
      <c r="C987" s="190"/>
      <c r="D987" s="190"/>
      <c r="E987" s="191"/>
      <c r="F987" s="186"/>
      <c r="G987" s="192"/>
      <c r="H987" s="9"/>
      <c r="I987" s="179" t="str">
        <f t="array" ref="I987">IF($F987&lt;&gt;"",XLOOKUP($F987,Productos!$A:$A,Productos!B:B,"Revisar"),"")</f>
        <v/>
      </c>
      <c r="J987" s="179" t="str">
        <f t="array" ref="J987">IF($F987&lt;&gt;"", XLOOKUP($F987,Productos!$A$2:$A1001,Productos!C$2:C1001,"")*$G987,"")</f>
        <v/>
      </c>
      <c r="K987" s="179" t="str">
        <f t="array" ref="K987">IF($F987&lt;&gt;"",XLOOKUP($F987,Productos!$A:$A,Productos!D:D,"Revisar"),"")</f>
        <v/>
      </c>
      <c r="L987" s="179" t="str">
        <f t="array" ref="L987">IF($F987&lt;&gt;"", XLOOKUP($F987,Productos!$A$2:$A1001,Productos!E$2:E1001,"")*$G987,"")</f>
        <v/>
      </c>
      <c r="M987" s="179" t="str">
        <f t="array" ref="M987">IF($F987&lt;&gt;"",XLOOKUP($F987,Productos!$A:$A,Productos!F:F,"Revisar"),"")</f>
        <v/>
      </c>
      <c r="N987" s="179" t="str">
        <f t="array" ref="N987">IF($F987&lt;&gt;"", XLOOKUP($F987,Productos!$A$2:$A1001,Productos!G$2:G1001,"")*$G987,"")</f>
        <v/>
      </c>
      <c r="O987" s="179" t="str">
        <f t="array" ref="O987">IF($F987&lt;&gt;"",XLOOKUP($F987,Productos!$A:$A,Productos!H:H,"Revisar"),"")</f>
        <v/>
      </c>
      <c r="P987" s="179" t="str">
        <f t="array" ref="P987">IF($F987&lt;&gt;"", XLOOKUP($F987,Productos!$A$2:$A1001,Productos!I$2:I1001,"")*$G987,"")</f>
        <v/>
      </c>
      <c r="Q987" s="179" t="str">
        <f t="array" ref="Q987">IF($F987&lt;&gt;"",XLOOKUP($F987,Productos!$A:$A,Productos!J:J,"Revisar"),"")</f>
        <v/>
      </c>
      <c r="R987" s="179" t="str">
        <f t="array" ref="R987">IF($F987&lt;&gt;"", XLOOKUP($F987,Productos!$A$2:$A1001,Productos!K$2:K1001,"")*$G987,"")</f>
        <v/>
      </c>
      <c r="S987" s="179" t="str">
        <f t="array" ref="S987">IF($F987&lt;&gt;"",XLOOKUP($F987,Productos!$A:$A,Productos!L:L,"Revisar"),"")</f>
        <v/>
      </c>
      <c r="T987" s="179" t="str">
        <f t="array" ref="T987">IF($F987&lt;&gt;"", XLOOKUP($F987,Productos!$A$2:$A1001,Productos!M$2:M1001,"")*$G987,"")</f>
        <v/>
      </c>
      <c r="U987" s="179" t="str">
        <f t="array" ref="U987">IF($F987&lt;&gt;"",XLOOKUP($F987,Productos!$A:$A,Productos!N:N,"Revisar"),"")</f>
        <v/>
      </c>
      <c r="V987" s="179" t="str">
        <f t="array" ref="V987">IF($F987&lt;&gt;"", XLOOKUP($F987,Productos!$A$2:$A1001,Productos!O$2:O1001,"")*$G987,"")</f>
        <v/>
      </c>
      <c r="W987" s="179" t="str">
        <f t="array" ref="W987">IF($F987&lt;&gt;"",XLOOKUP($F987,Productos!$A:$A,Productos!P:P,"Revisar"),"")</f>
        <v/>
      </c>
      <c r="X987" s="179" t="str">
        <f t="array" ref="X987">IF($F987&lt;&gt;"", XLOOKUP($F987,Productos!$A$2:$A1001,Productos!Q$2:Q1001,"")*$G987,"")</f>
        <v/>
      </c>
      <c r="Y987" s="179" t="str">
        <f t="array" ref="Y987">IF($F987&lt;&gt;"",XLOOKUP($F987,Productos!$A:$A,Productos!R:R,"Revisar"),"")</f>
        <v/>
      </c>
      <c r="Z987" s="179" t="str">
        <f t="array" ref="Z987">IF($F987&lt;&gt;"", XLOOKUP($F987,Productos!$A$2:$A1001,Productos!S$2:S1001,"")*$G987,"")</f>
        <v/>
      </c>
      <c r="AA987" s="179" t="str">
        <f t="array" ref="AA987">IF($F987&lt;&gt;"",XLOOKUP($F987,Productos!$A:$A,Productos!T:T,"Revisar"),"")</f>
        <v/>
      </c>
      <c r="AB987" s="179" t="str">
        <f t="array" ref="AB987">IF($F987&lt;&gt;"", XLOOKUP($F987,Productos!$A$2:$A1001,Productos!U$2:U1001,"")*$G987,"")</f>
        <v/>
      </c>
      <c r="AC987" s="179" t="str">
        <f t="array" ref="AC987">IF($F987&lt;&gt;"",XLOOKUP($F987,Productos!$A:$A,Productos!V:V,"Revisar"),"")</f>
        <v/>
      </c>
      <c r="AD987" s="179" t="str">
        <f t="array" ref="AD987">IF($F987&lt;&gt;"", XLOOKUP($F987,Productos!$A$2:$A1001,Productos!W$2:W1001,"")*$G987,"")</f>
        <v/>
      </c>
      <c r="AE987" s="179" t="str">
        <f t="array" ref="AE987">IF($F987&lt;&gt;"",XLOOKUP($F987,Productos!$A:$A,Productos!X:X,"Revisar"),"")</f>
        <v/>
      </c>
      <c r="AF987" s="179" t="str">
        <f t="array" ref="AF987">IF($F987&lt;&gt;"", XLOOKUP($F987,Productos!$A$2:$A1001,Productos!Y$2:Y1001,"")*$G987,"")</f>
        <v/>
      </c>
      <c r="AG987" s="179" t="str">
        <f t="array" ref="AG987">IF($F987&lt;&gt;"",XLOOKUP($F987,Productos!$A:$A,Productos!Z:Z,"Revisar"),"")</f>
        <v/>
      </c>
      <c r="AH987" s="179" t="str">
        <f t="array" ref="AH987">IF($F987&lt;&gt;"", XLOOKUP($F987,Productos!$A$2:$A1001,Productos!AA$2:AA1001,"")*$G987,"")</f>
        <v/>
      </c>
      <c r="AI987" s="179" t="str">
        <f t="array" ref="AI987">IF($F987&lt;&gt;"",XLOOKUP($F987,Productos!$A:$A,Productos!AB:AB,"Revisar"),"")</f>
        <v/>
      </c>
      <c r="AJ987" s="179" t="str">
        <f t="array" ref="AJ987">IF($F987&lt;&gt;"", XLOOKUP($F987,Productos!$A$2:$A1001,Productos!AC$2:AC1001,"")*$G987,"")</f>
        <v/>
      </c>
      <c r="AK987" s="179" t="str">
        <f t="array" ref="AK987">IF($F987&lt;&gt;"",XLOOKUP($F987,Productos!$A:$A,Productos!AD:AD,"Revisar"),"")</f>
        <v/>
      </c>
      <c r="AL987" s="179" t="str">
        <f t="array" ref="AL987">IF($F987&lt;&gt;"", XLOOKUP($F987,Productos!$A$2:$A1001,Productos!AE$2:AE1001,"")*$G987,"")</f>
        <v/>
      </c>
      <c r="AM987" s="179" t="str">
        <f t="array" ref="AM987">IF($F987&lt;&gt;"",XLOOKUP($F987,Productos!$A:$A,Productos!AF:AF,"Revisar"),"")</f>
        <v/>
      </c>
      <c r="AN987" s="179" t="str">
        <f t="array" ref="AN987">IF($F987&lt;&gt;"", XLOOKUP($F987,Productos!$A$2:$A1001,Productos!AG$2:AG1001,"")*$G987,"")</f>
        <v/>
      </c>
      <c r="AO987" s="179" t="str">
        <f t="array" ref="AO987">IF($F987&lt;&gt;"",XLOOKUP($F987,Productos!$A:$A,Productos!AH:AH,"Revisar"),"")</f>
        <v/>
      </c>
      <c r="AP987" s="179" t="str">
        <f t="array" ref="AP987">IF($F987&lt;&gt;"", XLOOKUP($F987,Productos!$A$2:$A1001,Productos!AI$2:AI1001,"")*$G987,"")</f>
        <v/>
      </c>
      <c r="AQ987" s="179" t="str">
        <f t="array" ref="AQ987">IF($F987&lt;&gt;"",XLOOKUP($F987,Productos!$A:$A,Productos!AJ:AJ,"Revisar"),"")</f>
        <v/>
      </c>
      <c r="AR987" s="179" t="str">
        <f t="array" ref="AR987">IF($F987&lt;&gt;"", XLOOKUP($F987,Productos!$A$2:$A1001,Productos!AK$2:AK1001,"")*$G987,"")</f>
        <v/>
      </c>
      <c r="AS987" s="179" t="str">
        <f t="array" ref="AS987">IF($F987&lt;&gt;"",XLOOKUP($F987,Productos!$A:$A,Productos!AL:AL,"Revisar"),"")</f>
        <v/>
      </c>
      <c r="AT987" s="179" t="str">
        <f t="array" ref="AT987">IF($F987&lt;&gt;"", XLOOKUP($F987,Productos!$A$2:$A1001,Productos!AM$2:AM1001,"")*$G987,"")</f>
        <v/>
      </c>
      <c r="AU987" s="179" t="str">
        <f t="array" ref="AU987">IF($F987&lt;&gt;"",XLOOKUP($F987,Productos!$A:$A,Productos!AN:AN,"Revisar"),"")</f>
        <v/>
      </c>
      <c r="AV987" s="179" t="str">
        <f t="array" ref="AV987">IF($F987&lt;&gt;"", XLOOKUP($F987,Productos!$A$2:$A1001,Productos!AO$2:AO1001,"")*$G987,"")</f>
        <v/>
      </c>
      <c r="AW987" s="179" t="str">
        <f t="array" ref="AW987">IF($F987&lt;&gt;"",XLOOKUP($F987,Productos!$A:$A,Productos!AP:AP,"Revisar"),"")</f>
        <v/>
      </c>
      <c r="AX987" s="179" t="str">
        <f t="array" ref="AX987">IF($F987&lt;&gt;"", XLOOKUP($F987,Productos!$A$2:$A1001,Productos!AQ$2:AQ1001,"")*$G987,"")</f>
        <v/>
      </c>
      <c r="AY987" s="179" t="str">
        <f t="array" ref="AY987">IF($F987&lt;&gt;"",XLOOKUP($F987,Productos!$A:$A,Productos!AR:AR,"Revisar"),"")</f>
        <v/>
      </c>
      <c r="AZ987" s="179" t="str">
        <f t="array" ref="AZ987">IF($F987&lt;&gt;"", XLOOKUP($F987,Productos!$A$2:$A1001,Productos!AS$2:AS1001,"")*$G987,"")</f>
        <v/>
      </c>
      <c r="BA987" s="179" t="str">
        <f t="array" ref="BA987">IF($F987&lt;&gt;"",XLOOKUP($F987,Productos!$A:$A,Productos!AT:AT,"Revisar"),"")</f>
        <v/>
      </c>
      <c r="BB987" s="179" t="str">
        <f t="array" ref="BB987">IF($F987&lt;&gt;"", XLOOKUP($F987,Productos!$A$2:$A1001,Productos!AU$2:AU1001,"")*$G987,"")</f>
        <v/>
      </c>
      <c r="BC987" s="179" t="str">
        <f t="array" ref="BC987">IF($F987&lt;&gt;"",XLOOKUP($F987,Productos!$A:$A,Productos!AV:AV,"Revisar"),"")</f>
        <v/>
      </c>
      <c r="BD987" s="179" t="str">
        <f t="array" ref="BD987">IF($F987&lt;&gt;"", XLOOKUP($F987,Productos!$A$2:$A1001,Productos!AW$2:AW1001,"")*$G987,"")</f>
        <v/>
      </c>
      <c r="BE987" s="179" t="str">
        <f t="array" ref="BE987">IF($F987&lt;&gt;"",XLOOKUP($F987,Productos!$A:$A,Productos!AX:AX,"Revisar"),"")</f>
        <v/>
      </c>
      <c r="BF987" s="179" t="str">
        <f t="array" ref="BF987">IF($F987&lt;&gt;"", XLOOKUP($F987,Productos!$A$2:$A1001,Productos!AY$2:AY1001,"")*$G987,"")</f>
        <v/>
      </c>
      <c r="BG987" s="179" t="str">
        <f t="array" ref="BG987">IF($F987&lt;&gt;"",XLOOKUP($F987,Productos!$A:$A,Productos!AZ:AZ,"Revisar"),"")</f>
        <v/>
      </c>
      <c r="BH987" s="179" t="str">
        <f t="array" ref="BH987">IF($F987&lt;&gt;"", XLOOKUP($F987,Productos!$A$2:$A1001,Productos!BA$2:BA1001,"")*$G987,"")</f>
        <v/>
      </c>
      <c r="BI987" s="179" t="str">
        <f t="array" ref="BI987">IF($F987&lt;&gt;"",XLOOKUP($F987,Productos!$A:$A,Productos!BB:BB,"Revisar"),"")</f>
        <v/>
      </c>
      <c r="BJ987" s="179" t="str">
        <f t="array" ref="BJ987">IF($F987&lt;&gt;"", XLOOKUP($F987,Productos!$A$2:$A1001,Productos!BC$2:BC1001,"")*$G987,"")</f>
        <v/>
      </c>
      <c r="BK987" s="179" t="str">
        <f t="array" ref="BK987">IF($F987&lt;&gt;"",XLOOKUP($F987,Productos!$A:$A,Productos!BD:BD,"Revisar"),"")</f>
        <v/>
      </c>
      <c r="BL987" s="179" t="str">
        <f t="array" ref="BL987">IF($F987&lt;&gt;"", XLOOKUP($F987,Productos!$A$2:$A1001,Productos!BE$2:BE1001,"")*$G987,"")</f>
        <v/>
      </c>
      <c r="BM987" s="179" t="str">
        <f t="array" ref="BM987">IF($F987&lt;&gt;"",XLOOKUP($F987,Productos!$A:$A,Productos!BF:BF,"Revisar"),"")</f>
        <v/>
      </c>
      <c r="BN987" s="179" t="str">
        <f t="array" ref="BN987">IF($F987&lt;&gt;"", XLOOKUP($F987,Productos!$A$2:$A1001,Productos!BG$2:BG1001,"")*$G987,"")</f>
        <v/>
      </c>
      <c r="BO987" s="179" t="str">
        <f t="array" ref="BO987">IF($F987&lt;&gt;"",XLOOKUP($F987,Productos!$A:$A,Productos!BH:BH,"Revisar"),"")</f>
        <v/>
      </c>
      <c r="BP987" s="179" t="str">
        <f t="array" ref="BP987">IF($F987&lt;&gt;"", XLOOKUP($F987,Productos!$A$2:$A1001,Productos!BI$2:BI1001,"")*$G987,"")</f>
        <v/>
      </c>
      <c r="BQ987" s="179" t="str">
        <f t="array" ref="BQ987">IF($F987&lt;&gt;"",XLOOKUP($F987,Productos!$A:$A,Productos!BJ:BJ,"Revisar"),"")</f>
        <v/>
      </c>
      <c r="BR987" s="179" t="str">
        <f t="array" ref="BR987">IF($F987&lt;&gt;"", XLOOKUP($F987,Productos!$A$2:$A1001,Productos!BK$2:BK1001,"")*$G987,"")</f>
        <v/>
      </c>
      <c r="BS987" s="179" t="str">
        <f t="array" ref="BS987">IF($F987&lt;&gt;"",XLOOKUP($F987,Productos!$A:$A,Productos!BL:BL,"Revisar"),"")</f>
        <v/>
      </c>
      <c r="BT987" s="179" t="str">
        <f t="array" ref="BT987">IF($F987&lt;&gt;"", XLOOKUP($F987,Productos!$A$2:$A1001,Productos!BM$2:BM1001,"")*$G987,"")</f>
        <v/>
      </c>
      <c r="BU987" s="179" t="str">
        <f t="array" ref="BU987">IF($F987&lt;&gt;"",XLOOKUP($F987,Productos!$A:$A,Productos!BN:BN,"Revisar"),"")</f>
        <v/>
      </c>
      <c r="BV987" s="179" t="str">
        <f t="array" ref="BV987">IF($F987&lt;&gt;"", XLOOKUP($F987,Productos!$A$2:$A1001,Productos!BO$2:BO1001,"")*$G987,"")</f>
        <v/>
      </c>
      <c r="BW987" s="179" t="str">
        <f t="array" ref="BW987">IF($F987&lt;&gt;"",XLOOKUP($F987,Productos!$A:$A,Productos!BP:BP,"Revisar"),"")</f>
        <v/>
      </c>
      <c r="BX987" s="179" t="str">
        <f t="array" ref="BX987">IF($F987&lt;&gt;"", XLOOKUP($F987,Productos!$A$2:$A1001,Productos!BQ$2:BQ1001,"")*$G987,"")</f>
        <v/>
      </c>
      <c r="BY987" s="179" t="str">
        <f t="array" ref="BY987">IF($F987&lt;&gt;"",XLOOKUP($F987,Productos!$A:$A,Productos!BR:BR,"Revisar"),"")</f>
        <v/>
      </c>
      <c r="BZ987" s="179" t="str">
        <f t="array" ref="BZ987">IF($F987&lt;&gt;"", XLOOKUP($F987,Productos!$A$2:$A1001,Productos!BS$2:BS1001,"")*$G987,"")</f>
        <v/>
      </c>
    </row>
    <row r="988">
      <c r="A988" s="188"/>
      <c r="B988" s="189"/>
      <c r="C988" s="190"/>
      <c r="D988" s="190"/>
      <c r="E988" s="191"/>
      <c r="F988" s="186"/>
      <c r="G988" s="192"/>
      <c r="H988" s="9"/>
      <c r="I988" s="179" t="str">
        <f t="array" ref="I988">IF($F988&lt;&gt;"",XLOOKUP($F988,Productos!$A:$A,Productos!B:B,"Revisar"),"")</f>
        <v/>
      </c>
      <c r="J988" s="179" t="str">
        <f t="array" ref="J988">IF($F988&lt;&gt;"", XLOOKUP($F988,Productos!$A$2:$A1001,Productos!C$2:C1001,"")*$G988,"")</f>
        <v/>
      </c>
      <c r="K988" s="179" t="str">
        <f t="array" ref="K988">IF($F988&lt;&gt;"",XLOOKUP($F988,Productos!$A:$A,Productos!D:D,"Revisar"),"")</f>
        <v/>
      </c>
      <c r="L988" s="179" t="str">
        <f t="array" ref="L988">IF($F988&lt;&gt;"", XLOOKUP($F988,Productos!$A$2:$A1001,Productos!E$2:E1001,"")*$G988,"")</f>
        <v/>
      </c>
      <c r="M988" s="179" t="str">
        <f t="array" ref="M988">IF($F988&lt;&gt;"",XLOOKUP($F988,Productos!$A:$A,Productos!F:F,"Revisar"),"")</f>
        <v/>
      </c>
      <c r="N988" s="179" t="str">
        <f t="array" ref="N988">IF($F988&lt;&gt;"", XLOOKUP($F988,Productos!$A$2:$A1001,Productos!G$2:G1001,"")*$G988,"")</f>
        <v/>
      </c>
      <c r="O988" s="179" t="str">
        <f t="array" ref="O988">IF($F988&lt;&gt;"",XLOOKUP($F988,Productos!$A:$A,Productos!H:H,"Revisar"),"")</f>
        <v/>
      </c>
      <c r="P988" s="179" t="str">
        <f t="array" ref="P988">IF($F988&lt;&gt;"", XLOOKUP($F988,Productos!$A$2:$A1001,Productos!I$2:I1001,"")*$G988,"")</f>
        <v/>
      </c>
      <c r="Q988" s="179" t="str">
        <f t="array" ref="Q988">IF($F988&lt;&gt;"",XLOOKUP($F988,Productos!$A:$A,Productos!J:J,"Revisar"),"")</f>
        <v/>
      </c>
      <c r="R988" s="179" t="str">
        <f t="array" ref="R988">IF($F988&lt;&gt;"", XLOOKUP($F988,Productos!$A$2:$A1001,Productos!K$2:K1001,"")*$G988,"")</f>
        <v/>
      </c>
      <c r="S988" s="179" t="str">
        <f t="array" ref="S988">IF($F988&lt;&gt;"",XLOOKUP($F988,Productos!$A:$A,Productos!L:L,"Revisar"),"")</f>
        <v/>
      </c>
      <c r="T988" s="179" t="str">
        <f t="array" ref="T988">IF($F988&lt;&gt;"", XLOOKUP($F988,Productos!$A$2:$A1001,Productos!M$2:M1001,"")*$G988,"")</f>
        <v/>
      </c>
      <c r="U988" s="179" t="str">
        <f t="array" ref="U988">IF($F988&lt;&gt;"",XLOOKUP($F988,Productos!$A:$A,Productos!N:N,"Revisar"),"")</f>
        <v/>
      </c>
      <c r="V988" s="179" t="str">
        <f t="array" ref="V988">IF($F988&lt;&gt;"", XLOOKUP($F988,Productos!$A$2:$A1001,Productos!O$2:O1001,"")*$G988,"")</f>
        <v/>
      </c>
      <c r="W988" s="179" t="str">
        <f t="array" ref="W988">IF($F988&lt;&gt;"",XLOOKUP($F988,Productos!$A:$A,Productos!P:P,"Revisar"),"")</f>
        <v/>
      </c>
      <c r="X988" s="179" t="str">
        <f t="array" ref="X988">IF($F988&lt;&gt;"", XLOOKUP($F988,Productos!$A$2:$A1001,Productos!Q$2:Q1001,"")*$G988,"")</f>
        <v/>
      </c>
      <c r="Y988" s="179" t="str">
        <f t="array" ref="Y988">IF($F988&lt;&gt;"",XLOOKUP($F988,Productos!$A:$A,Productos!R:R,"Revisar"),"")</f>
        <v/>
      </c>
      <c r="Z988" s="179" t="str">
        <f t="array" ref="Z988">IF($F988&lt;&gt;"", XLOOKUP($F988,Productos!$A$2:$A1001,Productos!S$2:S1001,"")*$G988,"")</f>
        <v/>
      </c>
      <c r="AA988" s="179" t="str">
        <f t="array" ref="AA988">IF($F988&lt;&gt;"",XLOOKUP($F988,Productos!$A:$A,Productos!T:T,"Revisar"),"")</f>
        <v/>
      </c>
      <c r="AB988" s="179" t="str">
        <f t="array" ref="AB988">IF($F988&lt;&gt;"", XLOOKUP($F988,Productos!$A$2:$A1001,Productos!U$2:U1001,"")*$G988,"")</f>
        <v/>
      </c>
      <c r="AC988" s="179" t="str">
        <f t="array" ref="AC988">IF($F988&lt;&gt;"",XLOOKUP($F988,Productos!$A:$A,Productos!V:V,"Revisar"),"")</f>
        <v/>
      </c>
      <c r="AD988" s="179" t="str">
        <f t="array" ref="AD988">IF($F988&lt;&gt;"", XLOOKUP($F988,Productos!$A$2:$A1001,Productos!W$2:W1001,"")*$G988,"")</f>
        <v/>
      </c>
      <c r="AE988" s="179" t="str">
        <f t="array" ref="AE988">IF($F988&lt;&gt;"",XLOOKUP($F988,Productos!$A:$A,Productos!X:X,"Revisar"),"")</f>
        <v/>
      </c>
      <c r="AF988" s="179" t="str">
        <f t="array" ref="AF988">IF($F988&lt;&gt;"", XLOOKUP($F988,Productos!$A$2:$A1001,Productos!Y$2:Y1001,"")*$G988,"")</f>
        <v/>
      </c>
      <c r="AG988" s="179" t="str">
        <f t="array" ref="AG988">IF($F988&lt;&gt;"",XLOOKUP($F988,Productos!$A:$A,Productos!Z:Z,"Revisar"),"")</f>
        <v/>
      </c>
      <c r="AH988" s="179" t="str">
        <f t="array" ref="AH988">IF($F988&lt;&gt;"", XLOOKUP($F988,Productos!$A$2:$A1001,Productos!AA$2:AA1001,"")*$G988,"")</f>
        <v/>
      </c>
      <c r="AI988" s="179" t="str">
        <f t="array" ref="AI988">IF($F988&lt;&gt;"",XLOOKUP($F988,Productos!$A:$A,Productos!AB:AB,"Revisar"),"")</f>
        <v/>
      </c>
      <c r="AJ988" s="179" t="str">
        <f t="array" ref="AJ988">IF($F988&lt;&gt;"", XLOOKUP($F988,Productos!$A$2:$A1001,Productos!AC$2:AC1001,"")*$G988,"")</f>
        <v/>
      </c>
      <c r="AK988" s="179" t="str">
        <f t="array" ref="AK988">IF($F988&lt;&gt;"",XLOOKUP($F988,Productos!$A:$A,Productos!AD:AD,"Revisar"),"")</f>
        <v/>
      </c>
      <c r="AL988" s="179" t="str">
        <f t="array" ref="AL988">IF($F988&lt;&gt;"", XLOOKUP($F988,Productos!$A$2:$A1001,Productos!AE$2:AE1001,"")*$G988,"")</f>
        <v/>
      </c>
      <c r="AM988" s="179" t="str">
        <f t="array" ref="AM988">IF($F988&lt;&gt;"",XLOOKUP($F988,Productos!$A:$A,Productos!AF:AF,"Revisar"),"")</f>
        <v/>
      </c>
      <c r="AN988" s="179" t="str">
        <f t="array" ref="AN988">IF($F988&lt;&gt;"", XLOOKUP($F988,Productos!$A$2:$A1001,Productos!AG$2:AG1001,"")*$G988,"")</f>
        <v/>
      </c>
      <c r="AO988" s="179" t="str">
        <f t="array" ref="AO988">IF($F988&lt;&gt;"",XLOOKUP($F988,Productos!$A:$A,Productos!AH:AH,"Revisar"),"")</f>
        <v/>
      </c>
      <c r="AP988" s="179" t="str">
        <f t="array" ref="AP988">IF($F988&lt;&gt;"", XLOOKUP($F988,Productos!$A$2:$A1001,Productos!AI$2:AI1001,"")*$G988,"")</f>
        <v/>
      </c>
      <c r="AQ988" s="179" t="str">
        <f t="array" ref="AQ988">IF($F988&lt;&gt;"",XLOOKUP($F988,Productos!$A:$A,Productos!AJ:AJ,"Revisar"),"")</f>
        <v/>
      </c>
      <c r="AR988" s="179" t="str">
        <f t="array" ref="AR988">IF($F988&lt;&gt;"", XLOOKUP($F988,Productos!$A$2:$A1001,Productos!AK$2:AK1001,"")*$G988,"")</f>
        <v/>
      </c>
      <c r="AS988" s="179" t="str">
        <f t="array" ref="AS988">IF($F988&lt;&gt;"",XLOOKUP($F988,Productos!$A:$A,Productos!AL:AL,"Revisar"),"")</f>
        <v/>
      </c>
      <c r="AT988" s="179" t="str">
        <f t="array" ref="AT988">IF($F988&lt;&gt;"", XLOOKUP($F988,Productos!$A$2:$A1001,Productos!AM$2:AM1001,"")*$G988,"")</f>
        <v/>
      </c>
      <c r="AU988" s="179" t="str">
        <f t="array" ref="AU988">IF($F988&lt;&gt;"",XLOOKUP($F988,Productos!$A:$A,Productos!AN:AN,"Revisar"),"")</f>
        <v/>
      </c>
      <c r="AV988" s="179" t="str">
        <f t="array" ref="AV988">IF($F988&lt;&gt;"", XLOOKUP($F988,Productos!$A$2:$A1001,Productos!AO$2:AO1001,"")*$G988,"")</f>
        <v/>
      </c>
      <c r="AW988" s="179" t="str">
        <f t="array" ref="AW988">IF($F988&lt;&gt;"",XLOOKUP($F988,Productos!$A:$A,Productos!AP:AP,"Revisar"),"")</f>
        <v/>
      </c>
      <c r="AX988" s="179" t="str">
        <f t="array" ref="AX988">IF($F988&lt;&gt;"", XLOOKUP($F988,Productos!$A$2:$A1001,Productos!AQ$2:AQ1001,"")*$G988,"")</f>
        <v/>
      </c>
      <c r="AY988" s="179" t="str">
        <f t="array" ref="AY988">IF($F988&lt;&gt;"",XLOOKUP($F988,Productos!$A:$A,Productos!AR:AR,"Revisar"),"")</f>
        <v/>
      </c>
      <c r="AZ988" s="179" t="str">
        <f t="array" ref="AZ988">IF($F988&lt;&gt;"", XLOOKUP($F988,Productos!$A$2:$A1001,Productos!AS$2:AS1001,"")*$G988,"")</f>
        <v/>
      </c>
      <c r="BA988" s="179" t="str">
        <f t="array" ref="BA988">IF($F988&lt;&gt;"",XLOOKUP($F988,Productos!$A:$A,Productos!AT:AT,"Revisar"),"")</f>
        <v/>
      </c>
      <c r="BB988" s="179" t="str">
        <f t="array" ref="BB988">IF($F988&lt;&gt;"", XLOOKUP($F988,Productos!$A$2:$A1001,Productos!AU$2:AU1001,"")*$G988,"")</f>
        <v/>
      </c>
      <c r="BC988" s="179" t="str">
        <f t="array" ref="BC988">IF($F988&lt;&gt;"",XLOOKUP($F988,Productos!$A:$A,Productos!AV:AV,"Revisar"),"")</f>
        <v/>
      </c>
      <c r="BD988" s="179" t="str">
        <f t="array" ref="BD988">IF($F988&lt;&gt;"", XLOOKUP($F988,Productos!$A$2:$A1001,Productos!AW$2:AW1001,"")*$G988,"")</f>
        <v/>
      </c>
      <c r="BE988" s="179" t="str">
        <f t="array" ref="BE988">IF($F988&lt;&gt;"",XLOOKUP($F988,Productos!$A:$A,Productos!AX:AX,"Revisar"),"")</f>
        <v/>
      </c>
      <c r="BF988" s="179" t="str">
        <f t="array" ref="BF988">IF($F988&lt;&gt;"", XLOOKUP($F988,Productos!$A$2:$A1001,Productos!AY$2:AY1001,"")*$G988,"")</f>
        <v/>
      </c>
      <c r="BG988" s="179" t="str">
        <f t="array" ref="BG988">IF($F988&lt;&gt;"",XLOOKUP($F988,Productos!$A:$A,Productos!AZ:AZ,"Revisar"),"")</f>
        <v/>
      </c>
      <c r="BH988" s="179" t="str">
        <f t="array" ref="BH988">IF($F988&lt;&gt;"", XLOOKUP($F988,Productos!$A$2:$A1001,Productos!BA$2:BA1001,"")*$G988,"")</f>
        <v/>
      </c>
      <c r="BI988" s="179" t="str">
        <f t="array" ref="BI988">IF($F988&lt;&gt;"",XLOOKUP($F988,Productos!$A:$A,Productos!BB:BB,"Revisar"),"")</f>
        <v/>
      </c>
      <c r="BJ988" s="179" t="str">
        <f t="array" ref="BJ988">IF($F988&lt;&gt;"", XLOOKUP($F988,Productos!$A$2:$A1001,Productos!BC$2:BC1001,"")*$G988,"")</f>
        <v/>
      </c>
      <c r="BK988" s="179" t="str">
        <f t="array" ref="BK988">IF($F988&lt;&gt;"",XLOOKUP($F988,Productos!$A:$A,Productos!BD:BD,"Revisar"),"")</f>
        <v/>
      </c>
      <c r="BL988" s="179" t="str">
        <f t="array" ref="BL988">IF($F988&lt;&gt;"", XLOOKUP($F988,Productos!$A$2:$A1001,Productos!BE$2:BE1001,"")*$G988,"")</f>
        <v/>
      </c>
      <c r="BM988" s="179" t="str">
        <f t="array" ref="BM988">IF($F988&lt;&gt;"",XLOOKUP($F988,Productos!$A:$A,Productos!BF:BF,"Revisar"),"")</f>
        <v/>
      </c>
      <c r="BN988" s="179" t="str">
        <f t="array" ref="BN988">IF($F988&lt;&gt;"", XLOOKUP($F988,Productos!$A$2:$A1001,Productos!BG$2:BG1001,"")*$G988,"")</f>
        <v/>
      </c>
      <c r="BO988" s="179" t="str">
        <f t="array" ref="BO988">IF($F988&lt;&gt;"",XLOOKUP($F988,Productos!$A:$A,Productos!BH:BH,"Revisar"),"")</f>
        <v/>
      </c>
      <c r="BP988" s="179" t="str">
        <f t="array" ref="BP988">IF($F988&lt;&gt;"", XLOOKUP($F988,Productos!$A$2:$A1001,Productos!BI$2:BI1001,"")*$G988,"")</f>
        <v/>
      </c>
      <c r="BQ988" s="179" t="str">
        <f t="array" ref="BQ988">IF($F988&lt;&gt;"",XLOOKUP($F988,Productos!$A:$A,Productos!BJ:BJ,"Revisar"),"")</f>
        <v/>
      </c>
      <c r="BR988" s="179" t="str">
        <f t="array" ref="BR988">IF($F988&lt;&gt;"", XLOOKUP($F988,Productos!$A$2:$A1001,Productos!BK$2:BK1001,"")*$G988,"")</f>
        <v/>
      </c>
      <c r="BS988" s="179" t="str">
        <f t="array" ref="BS988">IF($F988&lt;&gt;"",XLOOKUP($F988,Productos!$A:$A,Productos!BL:BL,"Revisar"),"")</f>
        <v/>
      </c>
      <c r="BT988" s="179" t="str">
        <f t="array" ref="BT988">IF($F988&lt;&gt;"", XLOOKUP($F988,Productos!$A$2:$A1001,Productos!BM$2:BM1001,"")*$G988,"")</f>
        <v/>
      </c>
      <c r="BU988" s="179" t="str">
        <f t="array" ref="BU988">IF($F988&lt;&gt;"",XLOOKUP($F988,Productos!$A:$A,Productos!BN:BN,"Revisar"),"")</f>
        <v/>
      </c>
      <c r="BV988" s="179" t="str">
        <f t="array" ref="BV988">IF($F988&lt;&gt;"", XLOOKUP($F988,Productos!$A$2:$A1001,Productos!BO$2:BO1001,"")*$G988,"")</f>
        <v/>
      </c>
      <c r="BW988" s="179" t="str">
        <f t="array" ref="BW988">IF($F988&lt;&gt;"",XLOOKUP($F988,Productos!$A:$A,Productos!BP:BP,"Revisar"),"")</f>
        <v/>
      </c>
      <c r="BX988" s="179" t="str">
        <f t="array" ref="BX988">IF($F988&lt;&gt;"", XLOOKUP($F988,Productos!$A$2:$A1001,Productos!BQ$2:BQ1001,"")*$G988,"")</f>
        <v/>
      </c>
      <c r="BY988" s="179" t="str">
        <f t="array" ref="BY988">IF($F988&lt;&gt;"",XLOOKUP($F988,Productos!$A:$A,Productos!BR:BR,"Revisar"),"")</f>
        <v/>
      </c>
      <c r="BZ988" s="179" t="str">
        <f t="array" ref="BZ988">IF($F988&lt;&gt;"", XLOOKUP($F988,Productos!$A$2:$A1001,Productos!BS$2:BS1001,"")*$G988,"")</f>
        <v/>
      </c>
    </row>
    <row r="989">
      <c r="A989" s="188"/>
      <c r="B989" s="189"/>
      <c r="C989" s="190"/>
      <c r="D989" s="190"/>
      <c r="E989" s="191"/>
      <c r="F989" s="186"/>
      <c r="G989" s="192"/>
      <c r="H989" s="9"/>
      <c r="I989" s="179" t="str">
        <f t="array" ref="I989">IF($F989&lt;&gt;"",XLOOKUP($F989,Productos!$A:$A,Productos!B:B,"Revisar"),"")</f>
        <v/>
      </c>
      <c r="J989" s="179" t="str">
        <f t="array" ref="J989">IF($F989&lt;&gt;"", XLOOKUP($F989,Productos!$A$2:$A1001,Productos!C$2:C1001,"")*$G989,"")</f>
        <v/>
      </c>
      <c r="K989" s="179" t="str">
        <f t="array" ref="K989">IF($F989&lt;&gt;"",XLOOKUP($F989,Productos!$A:$A,Productos!D:D,"Revisar"),"")</f>
        <v/>
      </c>
      <c r="L989" s="179" t="str">
        <f t="array" ref="L989">IF($F989&lt;&gt;"", XLOOKUP($F989,Productos!$A$2:$A1001,Productos!E$2:E1001,"")*$G989,"")</f>
        <v/>
      </c>
      <c r="M989" s="179" t="str">
        <f t="array" ref="M989">IF($F989&lt;&gt;"",XLOOKUP($F989,Productos!$A:$A,Productos!F:F,"Revisar"),"")</f>
        <v/>
      </c>
      <c r="N989" s="179" t="str">
        <f t="array" ref="N989">IF($F989&lt;&gt;"", XLOOKUP($F989,Productos!$A$2:$A1001,Productos!G$2:G1001,"")*$G989,"")</f>
        <v/>
      </c>
      <c r="O989" s="179" t="str">
        <f t="array" ref="O989">IF($F989&lt;&gt;"",XLOOKUP($F989,Productos!$A:$A,Productos!H:H,"Revisar"),"")</f>
        <v/>
      </c>
      <c r="P989" s="179" t="str">
        <f t="array" ref="P989">IF($F989&lt;&gt;"", XLOOKUP($F989,Productos!$A$2:$A1001,Productos!I$2:I1001,"")*$G989,"")</f>
        <v/>
      </c>
      <c r="Q989" s="179" t="str">
        <f t="array" ref="Q989">IF($F989&lt;&gt;"",XLOOKUP($F989,Productos!$A:$A,Productos!J:J,"Revisar"),"")</f>
        <v/>
      </c>
      <c r="R989" s="179" t="str">
        <f t="array" ref="R989">IF($F989&lt;&gt;"", XLOOKUP($F989,Productos!$A$2:$A1001,Productos!K$2:K1001,"")*$G989,"")</f>
        <v/>
      </c>
      <c r="S989" s="179" t="str">
        <f t="array" ref="S989">IF($F989&lt;&gt;"",XLOOKUP($F989,Productos!$A:$A,Productos!L:L,"Revisar"),"")</f>
        <v/>
      </c>
      <c r="T989" s="179" t="str">
        <f t="array" ref="T989">IF($F989&lt;&gt;"", XLOOKUP($F989,Productos!$A$2:$A1001,Productos!M$2:M1001,"")*$G989,"")</f>
        <v/>
      </c>
      <c r="U989" s="179" t="str">
        <f t="array" ref="U989">IF($F989&lt;&gt;"",XLOOKUP($F989,Productos!$A:$A,Productos!N:N,"Revisar"),"")</f>
        <v/>
      </c>
      <c r="V989" s="179" t="str">
        <f t="array" ref="V989">IF($F989&lt;&gt;"", XLOOKUP($F989,Productos!$A$2:$A1001,Productos!O$2:O1001,"")*$G989,"")</f>
        <v/>
      </c>
      <c r="W989" s="179" t="str">
        <f t="array" ref="W989">IF($F989&lt;&gt;"",XLOOKUP($F989,Productos!$A:$A,Productos!P:P,"Revisar"),"")</f>
        <v/>
      </c>
      <c r="X989" s="179" t="str">
        <f t="array" ref="X989">IF($F989&lt;&gt;"", XLOOKUP($F989,Productos!$A$2:$A1001,Productos!Q$2:Q1001,"")*$G989,"")</f>
        <v/>
      </c>
      <c r="Y989" s="179" t="str">
        <f t="array" ref="Y989">IF($F989&lt;&gt;"",XLOOKUP($F989,Productos!$A:$A,Productos!R:R,"Revisar"),"")</f>
        <v/>
      </c>
      <c r="Z989" s="179" t="str">
        <f t="array" ref="Z989">IF($F989&lt;&gt;"", XLOOKUP($F989,Productos!$A$2:$A1001,Productos!S$2:S1001,"")*$G989,"")</f>
        <v/>
      </c>
      <c r="AA989" s="179" t="str">
        <f t="array" ref="AA989">IF($F989&lt;&gt;"",XLOOKUP($F989,Productos!$A:$A,Productos!T:T,"Revisar"),"")</f>
        <v/>
      </c>
      <c r="AB989" s="179" t="str">
        <f t="array" ref="AB989">IF($F989&lt;&gt;"", XLOOKUP($F989,Productos!$A$2:$A1001,Productos!U$2:U1001,"")*$G989,"")</f>
        <v/>
      </c>
      <c r="AC989" s="179" t="str">
        <f t="array" ref="AC989">IF($F989&lt;&gt;"",XLOOKUP($F989,Productos!$A:$A,Productos!V:V,"Revisar"),"")</f>
        <v/>
      </c>
      <c r="AD989" s="179" t="str">
        <f t="array" ref="AD989">IF($F989&lt;&gt;"", XLOOKUP($F989,Productos!$A$2:$A1001,Productos!W$2:W1001,"")*$G989,"")</f>
        <v/>
      </c>
      <c r="AE989" s="179" t="str">
        <f t="array" ref="AE989">IF($F989&lt;&gt;"",XLOOKUP($F989,Productos!$A:$A,Productos!X:X,"Revisar"),"")</f>
        <v/>
      </c>
      <c r="AF989" s="179" t="str">
        <f t="array" ref="AF989">IF($F989&lt;&gt;"", XLOOKUP($F989,Productos!$A$2:$A1001,Productos!Y$2:Y1001,"")*$G989,"")</f>
        <v/>
      </c>
      <c r="AG989" s="179" t="str">
        <f t="array" ref="AG989">IF($F989&lt;&gt;"",XLOOKUP($F989,Productos!$A:$A,Productos!Z:Z,"Revisar"),"")</f>
        <v/>
      </c>
      <c r="AH989" s="179" t="str">
        <f t="array" ref="AH989">IF($F989&lt;&gt;"", XLOOKUP($F989,Productos!$A$2:$A1001,Productos!AA$2:AA1001,"")*$G989,"")</f>
        <v/>
      </c>
      <c r="AI989" s="179" t="str">
        <f t="array" ref="AI989">IF($F989&lt;&gt;"",XLOOKUP($F989,Productos!$A:$A,Productos!AB:AB,"Revisar"),"")</f>
        <v/>
      </c>
      <c r="AJ989" s="179" t="str">
        <f t="array" ref="AJ989">IF($F989&lt;&gt;"", XLOOKUP($F989,Productos!$A$2:$A1001,Productos!AC$2:AC1001,"")*$G989,"")</f>
        <v/>
      </c>
      <c r="AK989" s="179" t="str">
        <f t="array" ref="AK989">IF($F989&lt;&gt;"",XLOOKUP($F989,Productos!$A:$A,Productos!AD:AD,"Revisar"),"")</f>
        <v/>
      </c>
      <c r="AL989" s="179" t="str">
        <f t="array" ref="AL989">IF($F989&lt;&gt;"", XLOOKUP($F989,Productos!$A$2:$A1001,Productos!AE$2:AE1001,"")*$G989,"")</f>
        <v/>
      </c>
      <c r="AM989" s="179" t="str">
        <f t="array" ref="AM989">IF($F989&lt;&gt;"",XLOOKUP($F989,Productos!$A:$A,Productos!AF:AF,"Revisar"),"")</f>
        <v/>
      </c>
      <c r="AN989" s="179" t="str">
        <f t="array" ref="AN989">IF($F989&lt;&gt;"", XLOOKUP($F989,Productos!$A$2:$A1001,Productos!AG$2:AG1001,"")*$G989,"")</f>
        <v/>
      </c>
      <c r="AO989" s="179" t="str">
        <f t="array" ref="AO989">IF($F989&lt;&gt;"",XLOOKUP($F989,Productos!$A:$A,Productos!AH:AH,"Revisar"),"")</f>
        <v/>
      </c>
      <c r="AP989" s="179" t="str">
        <f t="array" ref="AP989">IF($F989&lt;&gt;"", XLOOKUP($F989,Productos!$A$2:$A1001,Productos!AI$2:AI1001,"")*$G989,"")</f>
        <v/>
      </c>
      <c r="AQ989" s="179" t="str">
        <f t="array" ref="AQ989">IF($F989&lt;&gt;"",XLOOKUP($F989,Productos!$A:$A,Productos!AJ:AJ,"Revisar"),"")</f>
        <v/>
      </c>
      <c r="AR989" s="179" t="str">
        <f t="array" ref="AR989">IF($F989&lt;&gt;"", XLOOKUP($F989,Productos!$A$2:$A1001,Productos!AK$2:AK1001,"")*$G989,"")</f>
        <v/>
      </c>
      <c r="AS989" s="179" t="str">
        <f t="array" ref="AS989">IF($F989&lt;&gt;"",XLOOKUP($F989,Productos!$A:$A,Productos!AL:AL,"Revisar"),"")</f>
        <v/>
      </c>
      <c r="AT989" s="179" t="str">
        <f t="array" ref="AT989">IF($F989&lt;&gt;"", XLOOKUP($F989,Productos!$A$2:$A1001,Productos!AM$2:AM1001,"")*$G989,"")</f>
        <v/>
      </c>
      <c r="AU989" s="179" t="str">
        <f t="array" ref="AU989">IF($F989&lt;&gt;"",XLOOKUP($F989,Productos!$A:$A,Productos!AN:AN,"Revisar"),"")</f>
        <v/>
      </c>
      <c r="AV989" s="179" t="str">
        <f t="array" ref="AV989">IF($F989&lt;&gt;"", XLOOKUP($F989,Productos!$A$2:$A1001,Productos!AO$2:AO1001,"")*$G989,"")</f>
        <v/>
      </c>
      <c r="AW989" s="179" t="str">
        <f t="array" ref="AW989">IF($F989&lt;&gt;"",XLOOKUP($F989,Productos!$A:$A,Productos!AP:AP,"Revisar"),"")</f>
        <v/>
      </c>
      <c r="AX989" s="179" t="str">
        <f t="array" ref="AX989">IF($F989&lt;&gt;"", XLOOKUP($F989,Productos!$A$2:$A1001,Productos!AQ$2:AQ1001,"")*$G989,"")</f>
        <v/>
      </c>
      <c r="AY989" s="179" t="str">
        <f t="array" ref="AY989">IF($F989&lt;&gt;"",XLOOKUP($F989,Productos!$A:$A,Productos!AR:AR,"Revisar"),"")</f>
        <v/>
      </c>
      <c r="AZ989" s="179" t="str">
        <f t="array" ref="AZ989">IF($F989&lt;&gt;"", XLOOKUP($F989,Productos!$A$2:$A1001,Productos!AS$2:AS1001,"")*$G989,"")</f>
        <v/>
      </c>
      <c r="BA989" s="179" t="str">
        <f t="array" ref="BA989">IF($F989&lt;&gt;"",XLOOKUP($F989,Productos!$A:$A,Productos!AT:AT,"Revisar"),"")</f>
        <v/>
      </c>
      <c r="BB989" s="179" t="str">
        <f t="array" ref="BB989">IF($F989&lt;&gt;"", XLOOKUP($F989,Productos!$A$2:$A1001,Productos!AU$2:AU1001,"")*$G989,"")</f>
        <v/>
      </c>
      <c r="BC989" s="179" t="str">
        <f t="array" ref="BC989">IF($F989&lt;&gt;"",XLOOKUP($F989,Productos!$A:$A,Productos!AV:AV,"Revisar"),"")</f>
        <v/>
      </c>
      <c r="BD989" s="179" t="str">
        <f t="array" ref="BD989">IF($F989&lt;&gt;"", XLOOKUP($F989,Productos!$A$2:$A1001,Productos!AW$2:AW1001,"")*$G989,"")</f>
        <v/>
      </c>
      <c r="BE989" s="179" t="str">
        <f t="array" ref="BE989">IF($F989&lt;&gt;"",XLOOKUP($F989,Productos!$A:$A,Productos!AX:AX,"Revisar"),"")</f>
        <v/>
      </c>
      <c r="BF989" s="179" t="str">
        <f t="array" ref="BF989">IF($F989&lt;&gt;"", XLOOKUP($F989,Productos!$A$2:$A1001,Productos!AY$2:AY1001,"")*$G989,"")</f>
        <v/>
      </c>
      <c r="BG989" s="179" t="str">
        <f t="array" ref="BG989">IF($F989&lt;&gt;"",XLOOKUP($F989,Productos!$A:$A,Productos!AZ:AZ,"Revisar"),"")</f>
        <v/>
      </c>
      <c r="BH989" s="179" t="str">
        <f t="array" ref="BH989">IF($F989&lt;&gt;"", XLOOKUP($F989,Productos!$A$2:$A1001,Productos!BA$2:BA1001,"")*$G989,"")</f>
        <v/>
      </c>
      <c r="BI989" s="179" t="str">
        <f t="array" ref="BI989">IF($F989&lt;&gt;"",XLOOKUP($F989,Productos!$A:$A,Productos!BB:BB,"Revisar"),"")</f>
        <v/>
      </c>
      <c r="BJ989" s="179" t="str">
        <f t="array" ref="BJ989">IF($F989&lt;&gt;"", XLOOKUP($F989,Productos!$A$2:$A1001,Productos!BC$2:BC1001,"")*$G989,"")</f>
        <v/>
      </c>
      <c r="BK989" s="179" t="str">
        <f t="array" ref="BK989">IF($F989&lt;&gt;"",XLOOKUP($F989,Productos!$A:$A,Productos!BD:BD,"Revisar"),"")</f>
        <v/>
      </c>
      <c r="BL989" s="179" t="str">
        <f t="array" ref="BL989">IF($F989&lt;&gt;"", XLOOKUP($F989,Productos!$A$2:$A1001,Productos!BE$2:BE1001,"")*$G989,"")</f>
        <v/>
      </c>
      <c r="BM989" s="179" t="str">
        <f t="array" ref="BM989">IF($F989&lt;&gt;"",XLOOKUP($F989,Productos!$A:$A,Productos!BF:BF,"Revisar"),"")</f>
        <v/>
      </c>
      <c r="BN989" s="179" t="str">
        <f t="array" ref="BN989">IF($F989&lt;&gt;"", XLOOKUP($F989,Productos!$A$2:$A1001,Productos!BG$2:BG1001,"")*$G989,"")</f>
        <v/>
      </c>
      <c r="BO989" s="179" t="str">
        <f t="array" ref="BO989">IF($F989&lt;&gt;"",XLOOKUP($F989,Productos!$A:$A,Productos!BH:BH,"Revisar"),"")</f>
        <v/>
      </c>
      <c r="BP989" s="179" t="str">
        <f t="array" ref="BP989">IF($F989&lt;&gt;"", XLOOKUP($F989,Productos!$A$2:$A1001,Productos!BI$2:BI1001,"")*$G989,"")</f>
        <v/>
      </c>
      <c r="BQ989" s="179" t="str">
        <f t="array" ref="BQ989">IF($F989&lt;&gt;"",XLOOKUP($F989,Productos!$A:$A,Productos!BJ:BJ,"Revisar"),"")</f>
        <v/>
      </c>
      <c r="BR989" s="179" t="str">
        <f t="array" ref="BR989">IF($F989&lt;&gt;"", XLOOKUP($F989,Productos!$A$2:$A1001,Productos!BK$2:BK1001,"")*$G989,"")</f>
        <v/>
      </c>
      <c r="BS989" s="179" t="str">
        <f t="array" ref="BS989">IF($F989&lt;&gt;"",XLOOKUP($F989,Productos!$A:$A,Productos!BL:BL,"Revisar"),"")</f>
        <v/>
      </c>
      <c r="BT989" s="179" t="str">
        <f t="array" ref="BT989">IF($F989&lt;&gt;"", XLOOKUP($F989,Productos!$A$2:$A1001,Productos!BM$2:BM1001,"")*$G989,"")</f>
        <v/>
      </c>
      <c r="BU989" s="179" t="str">
        <f t="array" ref="BU989">IF($F989&lt;&gt;"",XLOOKUP($F989,Productos!$A:$A,Productos!BN:BN,"Revisar"),"")</f>
        <v/>
      </c>
      <c r="BV989" s="179" t="str">
        <f t="array" ref="BV989">IF($F989&lt;&gt;"", XLOOKUP($F989,Productos!$A$2:$A1001,Productos!BO$2:BO1001,"")*$G989,"")</f>
        <v/>
      </c>
      <c r="BW989" s="179" t="str">
        <f t="array" ref="BW989">IF($F989&lt;&gt;"",XLOOKUP($F989,Productos!$A:$A,Productos!BP:BP,"Revisar"),"")</f>
        <v/>
      </c>
      <c r="BX989" s="179" t="str">
        <f t="array" ref="BX989">IF($F989&lt;&gt;"", XLOOKUP($F989,Productos!$A$2:$A1001,Productos!BQ$2:BQ1001,"")*$G989,"")</f>
        <v/>
      </c>
      <c r="BY989" s="179" t="str">
        <f t="array" ref="BY989">IF($F989&lt;&gt;"",XLOOKUP($F989,Productos!$A:$A,Productos!BR:BR,"Revisar"),"")</f>
        <v/>
      </c>
      <c r="BZ989" s="179" t="str">
        <f t="array" ref="BZ989">IF($F989&lt;&gt;"", XLOOKUP($F989,Productos!$A$2:$A1001,Productos!BS$2:BS1001,"")*$G989,"")</f>
        <v/>
      </c>
    </row>
    <row r="990">
      <c r="A990" s="188"/>
      <c r="B990" s="189"/>
      <c r="C990" s="190"/>
      <c r="D990" s="190"/>
      <c r="E990" s="191"/>
      <c r="F990" s="186"/>
      <c r="G990" s="192"/>
      <c r="H990" s="9"/>
      <c r="I990" s="179" t="str">
        <f t="array" ref="I990">IF($F990&lt;&gt;"",XLOOKUP($F990,Productos!$A:$A,Productos!B:B,"Revisar"),"")</f>
        <v/>
      </c>
      <c r="J990" s="179" t="str">
        <f t="array" ref="J990">IF($F990&lt;&gt;"", XLOOKUP($F990,Productos!$A$2:$A1001,Productos!C$2:C1001,"")*$G990,"")</f>
        <v/>
      </c>
      <c r="K990" s="179" t="str">
        <f t="array" ref="K990">IF($F990&lt;&gt;"",XLOOKUP($F990,Productos!$A:$A,Productos!D:D,"Revisar"),"")</f>
        <v/>
      </c>
      <c r="L990" s="179" t="str">
        <f t="array" ref="L990">IF($F990&lt;&gt;"", XLOOKUP($F990,Productos!$A$2:$A1001,Productos!E$2:E1001,"")*$G990,"")</f>
        <v/>
      </c>
      <c r="M990" s="179" t="str">
        <f t="array" ref="M990">IF($F990&lt;&gt;"",XLOOKUP($F990,Productos!$A:$A,Productos!F:F,"Revisar"),"")</f>
        <v/>
      </c>
      <c r="N990" s="179" t="str">
        <f t="array" ref="N990">IF($F990&lt;&gt;"", XLOOKUP($F990,Productos!$A$2:$A1001,Productos!G$2:G1001,"")*$G990,"")</f>
        <v/>
      </c>
      <c r="O990" s="179" t="str">
        <f t="array" ref="O990">IF($F990&lt;&gt;"",XLOOKUP($F990,Productos!$A:$A,Productos!H:H,"Revisar"),"")</f>
        <v/>
      </c>
      <c r="P990" s="179" t="str">
        <f t="array" ref="P990">IF($F990&lt;&gt;"", XLOOKUP($F990,Productos!$A$2:$A1001,Productos!I$2:I1001,"")*$G990,"")</f>
        <v/>
      </c>
      <c r="Q990" s="179" t="str">
        <f t="array" ref="Q990">IF($F990&lt;&gt;"",XLOOKUP($F990,Productos!$A:$A,Productos!J:J,"Revisar"),"")</f>
        <v/>
      </c>
      <c r="R990" s="179" t="str">
        <f t="array" ref="R990">IF($F990&lt;&gt;"", XLOOKUP($F990,Productos!$A$2:$A1001,Productos!K$2:K1001,"")*$G990,"")</f>
        <v/>
      </c>
      <c r="S990" s="179" t="str">
        <f t="array" ref="S990">IF($F990&lt;&gt;"",XLOOKUP($F990,Productos!$A:$A,Productos!L:L,"Revisar"),"")</f>
        <v/>
      </c>
      <c r="T990" s="179" t="str">
        <f t="array" ref="T990">IF($F990&lt;&gt;"", XLOOKUP($F990,Productos!$A$2:$A1001,Productos!M$2:M1001,"")*$G990,"")</f>
        <v/>
      </c>
      <c r="U990" s="179" t="str">
        <f t="array" ref="U990">IF($F990&lt;&gt;"",XLOOKUP($F990,Productos!$A:$A,Productos!N:N,"Revisar"),"")</f>
        <v/>
      </c>
      <c r="V990" s="179" t="str">
        <f t="array" ref="V990">IF($F990&lt;&gt;"", XLOOKUP($F990,Productos!$A$2:$A1001,Productos!O$2:O1001,"")*$G990,"")</f>
        <v/>
      </c>
      <c r="W990" s="179" t="str">
        <f t="array" ref="W990">IF($F990&lt;&gt;"",XLOOKUP($F990,Productos!$A:$A,Productos!P:P,"Revisar"),"")</f>
        <v/>
      </c>
      <c r="X990" s="179" t="str">
        <f t="array" ref="X990">IF($F990&lt;&gt;"", XLOOKUP($F990,Productos!$A$2:$A1001,Productos!Q$2:Q1001,"")*$G990,"")</f>
        <v/>
      </c>
      <c r="Y990" s="179" t="str">
        <f t="array" ref="Y990">IF($F990&lt;&gt;"",XLOOKUP($F990,Productos!$A:$A,Productos!R:R,"Revisar"),"")</f>
        <v/>
      </c>
      <c r="Z990" s="179" t="str">
        <f t="array" ref="Z990">IF($F990&lt;&gt;"", XLOOKUP($F990,Productos!$A$2:$A1001,Productos!S$2:S1001,"")*$G990,"")</f>
        <v/>
      </c>
      <c r="AA990" s="179" t="str">
        <f t="array" ref="AA990">IF($F990&lt;&gt;"",XLOOKUP($F990,Productos!$A:$A,Productos!T:T,"Revisar"),"")</f>
        <v/>
      </c>
      <c r="AB990" s="179" t="str">
        <f t="array" ref="AB990">IF($F990&lt;&gt;"", XLOOKUP($F990,Productos!$A$2:$A1001,Productos!U$2:U1001,"")*$G990,"")</f>
        <v/>
      </c>
      <c r="AC990" s="179" t="str">
        <f t="array" ref="AC990">IF($F990&lt;&gt;"",XLOOKUP($F990,Productos!$A:$A,Productos!V:V,"Revisar"),"")</f>
        <v/>
      </c>
      <c r="AD990" s="179" t="str">
        <f t="array" ref="AD990">IF($F990&lt;&gt;"", XLOOKUP($F990,Productos!$A$2:$A1001,Productos!W$2:W1001,"")*$G990,"")</f>
        <v/>
      </c>
      <c r="AE990" s="179" t="str">
        <f t="array" ref="AE990">IF($F990&lt;&gt;"",XLOOKUP($F990,Productos!$A:$A,Productos!X:X,"Revisar"),"")</f>
        <v/>
      </c>
      <c r="AF990" s="179" t="str">
        <f t="array" ref="AF990">IF($F990&lt;&gt;"", XLOOKUP($F990,Productos!$A$2:$A1001,Productos!Y$2:Y1001,"")*$G990,"")</f>
        <v/>
      </c>
      <c r="AG990" s="179" t="str">
        <f t="array" ref="AG990">IF($F990&lt;&gt;"",XLOOKUP($F990,Productos!$A:$A,Productos!Z:Z,"Revisar"),"")</f>
        <v/>
      </c>
      <c r="AH990" s="179" t="str">
        <f t="array" ref="AH990">IF($F990&lt;&gt;"", XLOOKUP($F990,Productos!$A$2:$A1001,Productos!AA$2:AA1001,"")*$G990,"")</f>
        <v/>
      </c>
      <c r="AI990" s="179" t="str">
        <f t="array" ref="AI990">IF($F990&lt;&gt;"",XLOOKUP($F990,Productos!$A:$A,Productos!AB:AB,"Revisar"),"")</f>
        <v/>
      </c>
      <c r="AJ990" s="179" t="str">
        <f t="array" ref="AJ990">IF($F990&lt;&gt;"", XLOOKUP($F990,Productos!$A$2:$A1001,Productos!AC$2:AC1001,"")*$G990,"")</f>
        <v/>
      </c>
      <c r="AK990" s="179" t="str">
        <f t="array" ref="AK990">IF($F990&lt;&gt;"",XLOOKUP($F990,Productos!$A:$A,Productos!AD:AD,"Revisar"),"")</f>
        <v/>
      </c>
      <c r="AL990" s="179" t="str">
        <f t="array" ref="AL990">IF($F990&lt;&gt;"", XLOOKUP($F990,Productos!$A$2:$A1001,Productos!AE$2:AE1001,"")*$G990,"")</f>
        <v/>
      </c>
      <c r="AM990" s="179" t="str">
        <f t="array" ref="AM990">IF($F990&lt;&gt;"",XLOOKUP($F990,Productos!$A:$A,Productos!AF:AF,"Revisar"),"")</f>
        <v/>
      </c>
      <c r="AN990" s="179" t="str">
        <f t="array" ref="AN990">IF($F990&lt;&gt;"", XLOOKUP($F990,Productos!$A$2:$A1001,Productos!AG$2:AG1001,"")*$G990,"")</f>
        <v/>
      </c>
      <c r="AO990" s="179" t="str">
        <f t="array" ref="AO990">IF($F990&lt;&gt;"",XLOOKUP($F990,Productos!$A:$A,Productos!AH:AH,"Revisar"),"")</f>
        <v/>
      </c>
      <c r="AP990" s="179" t="str">
        <f t="array" ref="AP990">IF($F990&lt;&gt;"", XLOOKUP($F990,Productos!$A$2:$A1001,Productos!AI$2:AI1001,"")*$G990,"")</f>
        <v/>
      </c>
      <c r="AQ990" s="179" t="str">
        <f t="array" ref="AQ990">IF($F990&lt;&gt;"",XLOOKUP($F990,Productos!$A:$A,Productos!AJ:AJ,"Revisar"),"")</f>
        <v/>
      </c>
      <c r="AR990" s="179" t="str">
        <f t="array" ref="AR990">IF($F990&lt;&gt;"", XLOOKUP($F990,Productos!$A$2:$A1001,Productos!AK$2:AK1001,"")*$G990,"")</f>
        <v/>
      </c>
      <c r="AS990" s="179" t="str">
        <f t="array" ref="AS990">IF($F990&lt;&gt;"",XLOOKUP($F990,Productos!$A:$A,Productos!AL:AL,"Revisar"),"")</f>
        <v/>
      </c>
      <c r="AT990" s="179" t="str">
        <f t="array" ref="AT990">IF($F990&lt;&gt;"", XLOOKUP($F990,Productos!$A$2:$A1001,Productos!AM$2:AM1001,"")*$G990,"")</f>
        <v/>
      </c>
      <c r="AU990" s="179" t="str">
        <f t="array" ref="AU990">IF($F990&lt;&gt;"",XLOOKUP($F990,Productos!$A:$A,Productos!AN:AN,"Revisar"),"")</f>
        <v/>
      </c>
      <c r="AV990" s="179" t="str">
        <f t="array" ref="AV990">IF($F990&lt;&gt;"", XLOOKUP($F990,Productos!$A$2:$A1001,Productos!AO$2:AO1001,"")*$G990,"")</f>
        <v/>
      </c>
      <c r="AW990" s="179" t="str">
        <f t="array" ref="AW990">IF($F990&lt;&gt;"",XLOOKUP($F990,Productos!$A:$A,Productos!AP:AP,"Revisar"),"")</f>
        <v/>
      </c>
      <c r="AX990" s="179" t="str">
        <f t="array" ref="AX990">IF($F990&lt;&gt;"", XLOOKUP($F990,Productos!$A$2:$A1001,Productos!AQ$2:AQ1001,"")*$G990,"")</f>
        <v/>
      </c>
      <c r="AY990" s="179" t="str">
        <f t="array" ref="AY990">IF($F990&lt;&gt;"",XLOOKUP($F990,Productos!$A:$A,Productos!AR:AR,"Revisar"),"")</f>
        <v/>
      </c>
      <c r="AZ990" s="179" t="str">
        <f t="array" ref="AZ990">IF($F990&lt;&gt;"", XLOOKUP($F990,Productos!$A$2:$A1001,Productos!AS$2:AS1001,"")*$G990,"")</f>
        <v/>
      </c>
      <c r="BA990" s="179" t="str">
        <f t="array" ref="BA990">IF($F990&lt;&gt;"",XLOOKUP($F990,Productos!$A:$A,Productos!AT:AT,"Revisar"),"")</f>
        <v/>
      </c>
      <c r="BB990" s="179" t="str">
        <f t="array" ref="BB990">IF($F990&lt;&gt;"", XLOOKUP($F990,Productos!$A$2:$A1001,Productos!AU$2:AU1001,"")*$G990,"")</f>
        <v/>
      </c>
      <c r="BC990" s="179" t="str">
        <f t="array" ref="BC990">IF($F990&lt;&gt;"",XLOOKUP($F990,Productos!$A:$A,Productos!AV:AV,"Revisar"),"")</f>
        <v/>
      </c>
      <c r="BD990" s="179" t="str">
        <f t="array" ref="BD990">IF($F990&lt;&gt;"", XLOOKUP($F990,Productos!$A$2:$A1001,Productos!AW$2:AW1001,"")*$G990,"")</f>
        <v/>
      </c>
      <c r="BE990" s="179" t="str">
        <f t="array" ref="BE990">IF($F990&lt;&gt;"",XLOOKUP($F990,Productos!$A:$A,Productos!AX:AX,"Revisar"),"")</f>
        <v/>
      </c>
      <c r="BF990" s="179" t="str">
        <f t="array" ref="BF990">IF($F990&lt;&gt;"", XLOOKUP($F990,Productos!$A$2:$A1001,Productos!AY$2:AY1001,"")*$G990,"")</f>
        <v/>
      </c>
      <c r="BG990" s="179" t="str">
        <f t="array" ref="BG990">IF($F990&lt;&gt;"",XLOOKUP($F990,Productos!$A:$A,Productos!AZ:AZ,"Revisar"),"")</f>
        <v/>
      </c>
      <c r="BH990" s="179" t="str">
        <f t="array" ref="BH990">IF($F990&lt;&gt;"", XLOOKUP($F990,Productos!$A$2:$A1001,Productos!BA$2:BA1001,"")*$G990,"")</f>
        <v/>
      </c>
      <c r="BI990" s="179" t="str">
        <f t="array" ref="BI990">IF($F990&lt;&gt;"",XLOOKUP($F990,Productos!$A:$A,Productos!BB:BB,"Revisar"),"")</f>
        <v/>
      </c>
      <c r="BJ990" s="179" t="str">
        <f t="array" ref="BJ990">IF($F990&lt;&gt;"", XLOOKUP($F990,Productos!$A$2:$A1001,Productos!BC$2:BC1001,"")*$G990,"")</f>
        <v/>
      </c>
      <c r="BK990" s="179" t="str">
        <f t="array" ref="BK990">IF($F990&lt;&gt;"",XLOOKUP($F990,Productos!$A:$A,Productos!BD:BD,"Revisar"),"")</f>
        <v/>
      </c>
      <c r="BL990" s="179" t="str">
        <f t="array" ref="BL990">IF($F990&lt;&gt;"", XLOOKUP($F990,Productos!$A$2:$A1001,Productos!BE$2:BE1001,"")*$G990,"")</f>
        <v/>
      </c>
      <c r="BM990" s="179" t="str">
        <f t="array" ref="BM990">IF($F990&lt;&gt;"",XLOOKUP($F990,Productos!$A:$A,Productos!BF:BF,"Revisar"),"")</f>
        <v/>
      </c>
      <c r="BN990" s="179" t="str">
        <f t="array" ref="BN990">IF($F990&lt;&gt;"", XLOOKUP($F990,Productos!$A$2:$A1001,Productos!BG$2:BG1001,"")*$G990,"")</f>
        <v/>
      </c>
      <c r="BO990" s="179" t="str">
        <f t="array" ref="BO990">IF($F990&lt;&gt;"",XLOOKUP($F990,Productos!$A:$A,Productos!BH:BH,"Revisar"),"")</f>
        <v/>
      </c>
      <c r="BP990" s="179" t="str">
        <f t="array" ref="BP990">IF($F990&lt;&gt;"", XLOOKUP($F990,Productos!$A$2:$A1001,Productos!BI$2:BI1001,"")*$G990,"")</f>
        <v/>
      </c>
      <c r="BQ990" s="179" t="str">
        <f t="array" ref="BQ990">IF($F990&lt;&gt;"",XLOOKUP($F990,Productos!$A:$A,Productos!BJ:BJ,"Revisar"),"")</f>
        <v/>
      </c>
      <c r="BR990" s="179" t="str">
        <f t="array" ref="BR990">IF($F990&lt;&gt;"", XLOOKUP($F990,Productos!$A$2:$A1001,Productos!BK$2:BK1001,"")*$G990,"")</f>
        <v/>
      </c>
      <c r="BS990" s="179" t="str">
        <f t="array" ref="BS990">IF($F990&lt;&gt;"",XLOOKUP($F990,Productos!$A:$A,Productos!BL:BL,"Revisar"),"")</f>
        <v/>
      </c>
      <c r="BT990" s="179" t="str">
        <f t="array" ref="BT990">IF($F990&lt;&gt;"", XLOOKUP($F990,Productos!$A$2:$A1001,Productos!BM$2:BM1001,"")*$G990,"")</f>
        <v/>
      </c>
      <c r="BU990" s="179" t="str">
        <f t="array" ref="BU990">IF($F990&lt;&gt;"",XLOOKUP($F990,Productos!$A:$A,Productos!BN:BN,"Revisar"),"")</f>
        <v/>
      </c>
      <c r="BV990" s="179" t="str">
        <f t="array" ref="BV990">IF($F990&lt;&gt;"", XLOOKUP($F990,Productos!$A$2:$A1001,Productos!BO$2:BO1001,"")*$G990,"")</f>
        <v/>
      </c>
      <c r="BW990" s="179" t="str">
        <f t="array" ref="BW990">IF($F990&lt;&gt;"",XLOOKUP($F990,Productos!$A:$A,Productos!BP:BP,"Revisar"),"")</f>
        <v/>
      </c>
      <c r="BX990" s="179" t="str">
        <f t="array" ref="BX990">IF($F990&lt;&gt;"", XLOOKUP($F990,Productos!$A$2:$A1001,Productos!BQ$2:BQ1001,"")*$G990,"")</f>
        <v/>
      </c>
      <c r="BY990" s="179" t="str">
        <f t="array" ref="BY990">IF($F990&lt;&gt;"",XLOOKUP($F990,Productos!$A:$A,Productos!BR:BR,"Revisar"),"")</f>
        <v/>
      </c>
      <c r="BZ990" s="179" t="str">
        <f t="array" ref="BZ990">IF($F990&lt;&gt;"", XLOOKUP($F990,Productos!$A$2:$A1001,Productos!BS$2:BS1001,"")*$G990,"")</f>
        <v/>
      </c>
    </row>
    <row r="991">
      <c r="A991" s="188"/>
      <c r="B991" s="189"/>
      <c r="C991" s="190"/>
      <c r="D991" s="190"/>
      <c r="E991" s="191"/>
      <c r="F991" s="186"/>
      <c r="G991" s="192"/>
      <c r="H991" s="9"/>
      <c r="I991" s="179" t="str">
        <f t="array" ref="I991">IF($F991&lt;&gt;"",XLOOKUP($F991,Productos!$A:$A,Productos!B:B,"Revisar"),"")</f>
        <v/>
      </c>
      <c r="J991" s="179" t="str">
        <f t="array" ref="J991">IF($F991&lt;&gt;"", XLOOKUP($F991,Productos!$A$2:$A1001,Productos!C$2:C1001,"")*$G991,"")</f>
        <v/>
      </c>
      <c r="K991" s="179" t="str">
        <f t="array" ref="K991">IF($F991&lt;&gt;"",XLOOKUP($F991,Productos!$A:$A,Productos!D:D,"Revisar"),"")</f>
        <v/>
      </c>
      <c r="L991" s="179" t="str">
        <f t="array" ref="L991">IF($F991&lt;&gt;"", XLOOKUP($F991,Productos!$A$2:$A1001,Productos!E$2:E1001,"")*$G991,"")</f>
        <v/>
      </c>
      <c r="M991" s="179" t="str">
        <f t="array" ref="M991">IF($F991&lt;&gt;"",XLOOKUP($F991,Productos!$A:$A,Productos!F:F,"Revisar"),"")</f>
        <v/>
      </c>
      <c r="N991" s="179" t="str">
        <f t="array" ref="N991">IF($F991&lt;&gt;"", XLOOKUP($F991,Productos!$A$2:$A1001,Productos!G$2:G1001,"")*$G991,"")</f>
        <v/>
      </c>
      <c r="O991" s="179" t="str">
        <f t="array" ref="O991">IF($F991&lt;&gt;"",XLOOKUP($F991,Productos!$A:$A,Productos!H:H,"Revisar"),"")</f>
        <v/>
      </c>
      <c r="P991" s="179" t="str">
        <f t="array" ref="P991">IF($F991&lt;&gt;"", XLOOKUP($F991,Productos!$A$2:$A1001,Productos!I$2:I1001,"")*$G991,"")</f>
        <v/>
      </c>
      <c r="Q991" s="179" t="str">
        <f t="array" ref="Q991">IF($F991&lt;&gt;"",XLOOKUP($F991,Productos!$A:$A,Productos!J:J,"Revisar"),"")</f>
        <v/>
      </c>
      <c r="R991" s="179" t="str">
        <f t="array" ref="R991">IF($F991&lt;&gt;"", XLOOKUP($F991,Productos!$A$2:$A1001,Productos!K$2:K1001,"")*$G991,"")</f>
        <v/>
      </c>
      <c r="S991" s="179" t="str">
        <f t="array" ref="S991">IF($F991&lt;&gt;"",XLOOKUP($F991,Productos!$A:$A,Productos!L:L,"Revisar"),"")</f>
        <v/>
      </c>
      <c r="T991" s="179" t="str">
        <f t="array" ref="T991">IF($F991&lt;&gt;"", XLOOKUP($F991,Productos!$A$2:$A1001,Productos!M$2:M1001,"")*$G991,"")</f>
        <v/>
      </c>
      <c r="U991" s="179" t="str">
        <f t="array" ref="U991">IF($F991&lt;&gt;"",XLOOKUP($F991,Productos!$A:$A,Productos!N:N,"Revisar"),"")</f>
        <v/>
      </c>
      <c r="V991" s="179" t="str">
        <f t="array" ref="V991">IF($F991&lt;&gt;"", XLOOKUP($F991,Productos!$A$2:$A1001,Productos!O$2:O1001,"")*$G991,"")</f>
        <v/>
      </c>
      <c r="W991" s="179" t="str">
        <f t="array" ref="W991">IF($F991&lt;&gt;"",XLOOKUP($F991,Productos!$A:$A,Productos!P:P,"Revisar"),"")</f>
        <v/>
      </c>
      <c r="X991" s="179" t="str">
        <f t="array" ref="X991">IF($F991&lt;&gt;"", XLOOKUP($F991,Productos!$A$2:$A1001,Productos!Q$2:Q1001,"")*$G991,"")</f>
        <v/>
      </c>
      <c r="Y991" s="179" t="str">
        <f t="array" ref="Y991">IF($F991&lt;&gt;"",XLOOKUP($F991,Productos!$A:$A,Productos!R:R,"Revisar"),"")</f>
        <v/>
      </c>
      <c r="Z991" s="179" t="str">
        <f t="array" ref="Z991">IF($F991&lt;&gt;"", XLOOKUP($F991,Productos!$A$2:$A1001,Productos!S$2:S1001,"")*$G991,"")</f>
        <v/>
      </c>
      <c r="AA991" s="179" t="str">
        <f t="array" ref="AA991">IF($F991&lt;&gt;"",XLOOKUP($F991,Productos!$A:$A,Productos!T:T,"Revisar"),"")</f>
        <v/>
      </c>
      <c r="AB991" s="179" t="str">
        <f t="array" ref="AB991">IF($F991&lt;&gt;"", XLOOKUP($F991,Productos!$A$2:$A1001,Productos!U$2:U1001,"")*$G991,"")</f>
        <v/>
      </c>
      <c r="AC991" s="179" t="str">
        <f t="array" ref="AC991">IF($F991&lt;&gt;"",XLOOKUP($F991,Productos!$A:$A,Productos!V:V,"Revisar"),"")</f>
        <v/>
      </c>
      <c r="AD991" s="179" t="str">
        <f t="array" ref="AD991">IF($F991&lt;&gt;"", XLOOKUP($F991,Productos!$A$2:$A1001,Productos!W$2:W1001,"")*$G991,"")</f>
        <v/>
      </c>
      <c r="AE991" s="179" t="str">
        <f t="array" ref="AE991">IF($F991&lt;&gt;"",XLOOKUP($F991,Productos!$A:$A,Productos!X:X,"Revisar"),"")</f>
        <v/>
      </c>
      <c r="AF991" s="179" t="str">
        <f t="array" ref="AF991">IF($F991&lt;&gt;"", XLOOKUP($F991,Productos!$A$2:$A1001,Productos!Y$2:Y1001,"")*$G991,"")</f>
        <v/>
      </c>
      <c r="AG991" s="179" t="str">
        <f t="array" ref="AG991">IF($F991&lt;&gt;"",XLOOKUP($F991,Productos!$A:$A,Productos!Z:Z,"Revisar"),"")</f>
        <v/>
      </c>
      <c r="AH991" s="179" t="str">
        <f t="array" ref="AH991">IF($F991&lt;&gt;"", XLOOKUP($F991,Productos!$A$2:$A1001,Productos!AA$2:AA1001,"")*$G991,"")</f>
        <v/>
      </c>
      <c r="AI991" s="179" t="str">
        <f t="array" ref="AI991">IF($F991&lt;&gt;"",XLOOKUP($F991,Productos!$A:$A,Productos!AB:AB,"Revisar"),"")</f>
        <v/>
      </c>
      <c r="AJ991" s="179" t="str">
        <f t="array" ref="AJ991">IF($F991&lt;&gt;"", XLOOKUP($F991,Productos!$A$2:$A1001,Productos!AC$2:AC1001,"")*$G991,"")</f>
        <v/>
      </c>
      <c r="AK991" s="179" t="str">
        <f t="array" ref="AK991">IF($F991&lt;&gt;"",XLOOKUP($F991,Productos!$A:$A,Productos!AD:AD,"Revisar"),"")</f>
        <v/>
      </c>
      <c r="AL991" s="179" t="str">
        <f t="array" ref="AL991">IF($F991&lt;&gt;"", XLOOKUP($F991,Productos!$A$2:$A1001,Productos!AE$2:AE1001,"")*$G991,"")</f>
        <v/>
      </c>
      <c r="AM991" s="179" t="str">
        <f t="array" ref="AM991">IF($F991&lt;&gt;"",XLOOKUP($F991,Productos!$A:$A,Productos!AF:AF,"Revisar"),"")</f>
        <v/>
      </c>
      <c r="AN991" s="179" t="str">
        <f t="array" ref="AN991">IF($F991&lt;&gt;"", XLOOKUP($F991,Productos!$A$2:$A1001,Productos!AG$2:AG1001,"")*$G991,"")</f>
        <v/>
      </c>
      <c r="AO991" s="179" t="str">
        <f t="array" ref="AO991">IF($F991&lt;&gt;"",XLOOKUP($F991,Productos!$A:$A,Productos!AH:AH,"Revisar"),"")</f>
        <v/>
      </c>
      <c r="AP991" s="179" t="str">
        <f t="array" ref="AP991">IF($F991&lt;&gt;"", XLOOKUP($F991,Productos!$A$2:$A1001,Productos!AI$2:AI1001,"")*$G991,"")</f>
        <v/>
      </c>
      <c r="AQ991" s="179" t="str">
        <f t="array" ref="AQ991">IF($F991&lt;&gt;"",XLOOKUP($F991,Productos!$A:$A,Productos!AJ:AJ,"Revisar"),"")</f>
        <v/>
      </c>
      <c r="AR991" s="179" t="str">
        <f t="array" ref="AR991">IF($F991&lt;&gt;"", XLOOKUP($F991,Productos!$A$2:$A1001,Productos!AK$2:AK1001,"")*$G991,"")</f>
        <v/>
      </c>
      <c r="AS991" s="179" t="str">
        <f t="array" ref="AS991">IF($F991&lt;&gt;"",XLOOKUP($F991,Productos!$A:$A,Productos!AL:AL,"Revisar"),"")</f>
        <v/>
      </c>
      <c r="AT991" s="179" t="str">
        <f t="array" ref="AT991">IF($F991&lt;&gt;"", XLOOKUP($F991,Productos!$A$2:$A1001,Productos!AM$2:AM1001,"")*$G991,"")</f>
        <v/>
      </c>
      <c r="AU991" s="179" t="str">
        <f t="array" ref="AU991">IF($F991&lt;&gt;"",XLOOKUP($F991,Productos!$A:$A,Productos!AN:AN,"Revisar"),"")</f>
        <v/>
      </c>
      <c r="AV991" s="179" t="str">
        <f t="array" ref="AV991">IF($F991&lt;&gt;"", XLOOKUP($F991,Productos!$A$2:$A1001,Productos!AO$2:AO1001,"")*$G991,"")</f>
        <v/>
      </c>
      <c r="AW991" s="179" t="str">
        <f t="array" ref="AW991">IF($F991&lt;&gt;"",XLOOKUP($F991,Productos!$A:$A,Productos!AP:AP,"Revisar"),"")</f>
        <v/>
      </c>
      <c r="AX991" s="179" t="str">
        <f t="array" ref="AX991">IF($F991&lt;&gt;"", XLOOKUP($F991,Productos!$A$2:$A1001,Productos!AQ$2:AQ1001,"")*$G991,"")</f>
        <v/>
      </c>
      <c r="AY991" s="179" t="str">
        <f t="array" ref="AY991">IF($F991&lt;&gt;"",XLOOKUP($F991,Productos!$A:$A,Productos!AR:AR,"Revisar"),"")</f>
        <v/>
      </c>
      <c r="AZ991" s="179" t="str">
        <f t="array" ref="AZ991">IF($F991&lt;&gt;"", XLOOKUP($F991,Productos!$A$2:$A1001,Productos!AS$2:AS1001,"")*$G991,"")</f>
        <v/>
      </c>
      <c r="BA991" s="179" t="str">
        <f t="array" ref="BA991">IF($F991&lt;&gt;"",XLOOKUP($F991,Productos!$A:$A,Productos!AT:AT,"Revisar"),"")</f>
        <v/>
      </c>
      <c r="BB991" s="179" t="str">
        <f t="array" ref="BB991">IF($F991&lt;&gt;"", XLOOKUP($F991,Productos!$A$2:$A1001,Productos!AU$2:AU1001,"")*$G991,"")</f>
        <v/>
      </c>
      <c r="BC991" s="179" t="str">
        <f t="array" ref="BC991">IF($F991&lt;&gt;"",XLOOKUP($F991,Productos!$A:$A,Productos!AV:AV,"Revisar"),"")</f>
        <v/>
      </c>
      <c r="BD991" s="179" t="str">
        <f t="array" ref="BD991">IF($F991&lt;&gt;"", XLOOKUP($F991,Productos!$A$2:$A1001,Productos!AW$2:AW1001,"")*$G991,"")</f>
        <v/>
      </c>
      <c r="BE991" s="179" t="str">
        <f t="array" ref="BE991">IF($F991&lt;&gt;"",XLOOKUP($F991,Productos!$A:$A,Productos!AX:AX,"Revisar"),"")</f>
        <v/>
      </c>
      <c r="BF991" s="179" t="str">
        <f t="array" ref="BF991">IF($F991&lt;&gt;"", XLOOKUP($F991,Productos!$A$2:$A1001,Productos!AY$2:AY1001,"")*$G991,"")</f>
        <v/>
      </c>
      <c r="BG991" s="179" t="str">
        <f t="array" ref="BG991">IF($F991&lt;&gt;"",XLOOKUP($F991,Productos!$A:$A,Productos!AZ:AZ,"Revisar"),"")</f>
        <v/>
      </c>
      <c r="BH991" s="179" t="str">
        <f t="array" ref="BH991">IF($F991&lt;&gt;"", XLOOKUP($F991,Productos!$A$2:$A1001,Productos!BA$2:BA1001,"")*$G991,"")</f>
        <v/>
      </c>
      <c r="BI991" s="179" t="str">
        <f t="array" ref="BI991">IF($F991&lt;&gt;"",XLOOKUP($F991,Productos!$A:$A,Productos!BB:BB,"Revisar"),"")</f>
        <v/>
      </c>
      <c r="BJ991" s="179" t="str">
        <f t="array" ref="BJ991">IF($F991&lt;&gt;"", XLOOKUP($F991,Productos!$A$2:$A1001,Productos!BC$2:BC1001,"")*$G991,"")</f>
        <v/>
      </c>
      <c r="BK991" s="179" t="str">
        <f t="array" ref="BK991">IF($F991&lt;&gt;"",XLOOKUP($F991,Productos!$A:$A,Productos!BD:BD,"Revisar"),"")</f>
        <v/>
      </c>
      <c r="BL991" s="179" t="str">
        <f t="array" ref="BL991">IF($F991&lt;&gt;"", XLOOKUP($F991,Productos!$A$2:$A1001,Productos!BE$2:BE1001,"")*$G991,"")</f>
        <v/>
      </c>
      <c r="BM991" s="179" t="str">
        <f t="array" ref="BM991">IF($F991&lt;&gt;"",XLOOKUP($F991,Productos!$A:$A,Productos!BF:BF,"Revisar"),"")</f>
        <v/>
      </c>
      <c r="BN991" s="179" t="str">
        <f t="array" ref="BN991">IF($F991&lt;&gt;"", XLOOKUP($F991,Productos!$A$2:$A1001,Productos!BG$2:BG1001,"")*$G991,"")</f>
        <v/>
      </c>
      <c r="BO991" s="179" t="str">
        <f t="array" ref="BO991">IF($F991&lt;&gt;"",XLOOKUP($F991,Productos!$A:$A,Productos!BH:BH,"Revisar"),"")</f>
        <v/>
      </c>
      <c r="BP991" s="179" t="str">
        <f t="array" ref="BP991">IF($F991&lt;&gt;"", XLOOKUP($F991,Productos!$A$2:$A1001,Productos!BI$2:BI1001,"")*$G991,"")</f>
        <v/>
      </c>
      <c r="BQ991" s="179" t="str">
        <f t="array" ref="BQ991">IF($F991&lt;&gt;"",XLOOKUP($F991,Productos!$A:$A,Productos!BJ:BJ,"Revisar"),"")</f>
        <v/>
      </c>
      <c r="BR991" s="179" t="str">
        <f t="array" ref="BR991">IF($F991&lt;&gt;"", XLOOKUP($F991,Productos!$A$2:$A1001,Productos!BK$2:BK1001,"")*$G991,"")</f>
        <v/>
      </c>
      <c r="BS991" s="179" t="str">
        <f t="array" ref="BS991">IF($F991&lt;&gt;"",XLOOKUP($F991,Productos!$A:$A,Productos!BL:BL,"Revisar"),"")</f>
        <v/>
      </c>
      <c r="BT991" s="179" t="str">
        <f t="array" ref="BT991">IF($F991&lt;&gt;"", XLOOKUP($F991,Productos!$A$2:$A1001,Productos!BM$2:BM1001,"")*$G991,"")</f>
        <v/>
      </c>
      <c r="BU991" s="179" t="str">
        <f t="array" ref="BU991">IF($F991&lt;&gt;"",XLOOKUP($F991,Productos!$A:$A,Productos!BN:BN,"Revisar"),"")</f>
        <v/>
      </c>
      <c r="BV991" s="179" t="str">
        <f t="array" ref="BV991">IF($F991&lt;&gt;"", XLOOKUP($F991,Productos!$A$2:$A1001,Productos!BO$2:BO1001,"")*$G991,"")</f>
        <v/>
      </c>
      <c r="BW991" s="179" t="str">
        <f t="array" ref="BW991">IF($F991&lt;&gt;"",XLOOKUP($F991,Productos!$A:$A,Productos!BP:BP,"Revisar"),"")</f>
        <v/>
      </c>
      <c r="BX991" s="179" t="str">
        <f t="array" ref="BX991">IF($F991&lt;&gt;"", XLOOKUP($F991,Productos!$A$2:$A1001,Productos!BQ$2:BQ1001,"")*$G991,"")</f>
        <v/>
      </c>
      <c r="BY991" s="179" t="str">
        <f t="array" ref="BY991">IF($F991&lt;&gt;"",XLOOKUP($F991,Productos!$A:$A,Productos!BR:BR,"Revisar"),"")</f>
        <v/>
      </c>
      <c r="BZ991" s="179" t="str">
        <f t="array" ref="BZ991">IF($F991&lt;&gt;"", XLOOKUP($F991,Productos!$A$2:$A1001,Productos!BS$2:BS1001,"")*$G991,"")</f>
        <v/>
      </c>
    </row>
    <row r="992">
      <c r="A992" s="188"/>
      <c r="B992" s="189"/>
      <c r="C992" s="190"/>
      <c r="D992" s="190"/>
      <c r="E992" s="191"/>
      <c r="F992" s="186"/>
      <c r="G992" s="192"/>
      <c r="H992" s="9"/>
      <c r="I992" s="179" t="str">
        <f t="array" ref="I992">IF($F992&lt;&gt;"",XLOOKUP($F992,Productos!$A:$A,Productos!B:B,"Revisar"),"")</f>
        <v/>
      </c>
      <c r="J992" s="179" t="str">
        <f t="array" ref="J992">IF($F992&lt;&gt;"", XLOOKUP($F992,Productos!$A$2:$A1001,Productos!C$2:C1001,"")*$G992,"")</f>
        <v/>
      </c>
      <c r="K992" s="179" t="str">
        <f t="array" ref="K992">IF($F992&lt;&gt;"",XLOOKUP($F992,Productos!$A:$A,Productos!D:D,"Revisar"),"")</f>
        <v/>
      </c>
      <c r="L992" s="179" t="str">
        <f t="array" ref="L992">IF($F992&lt;&gt;"", XLOOKUP($F992,Productos!$A$2:$A1001,Productos!E$2:E1001,"")*$G992,"")</f>
        <v/>
      </c>
      <c r="M992" s="179" t="str">
        <f t="array" ref="M992">IF($F992&lt;&gt;"",XLOOKUP($F992,Productos!$A:$A,Productos!F:F,"Revisar"),"")</f>
        <v/>
      </c>
      <c r="N992" s="179" t="str">
        <f t="array" ref="N992">IF($F992&lt;&gt;"", XLOOKUP($F992,Productos!$A$2:$A1001,Productos!G$2:G1001,"")*$G992,"")</f>
        <v/>
      </c>
      <c r="O992" s="179" t="str">
        <f t="array" ref="O992">IF($F992&lt;&gt;"",XLOOKUP($F992,Productos!$A:$A,Productos!H:H,"Revisar"),"")</f>
        <v/>
      </c>
      <c r="P992" s="179" t="str">
        <f t="array" ref="P992">IF($F992&lt;&gt;"", XLOOKUP($F992,Productos!$A$2:$A1001,Productos!I$2:I1001,"")*$G992,"")</f>
        <v/>
      </c>
      <c r="Q992" s="179" t="str">
        <f t="array" ref="Q992">IF($F992&lt;&gt;"",XLOOKUP($F992,Productos!$A:$A,Productos!J:J,"Revisar"),"")</f>
        <v/>
      </c>
      <c r="R992" s="179" t="str">
        <f t="array" ref="R992">IF($F992&lt;&gt;"", XLOOKUP($F992,Productos!$A$2:$A1001,Productos!K$2:K1001,"")*$G992,"")</f>
        <v/>
      </c>
      <c r="S992" s="179" t="str">
        <f t="array" ref="S992">IF($F992&lt;&gt;"",XLOOKUP($F992,Productos!$A:$A,Productos!L:L,"Revisar"),"")</f>
        <v/>
      </c>
      <c r="T992" s="179" t="str">
        <f t="array" ref="T992">IF($F992&lt;&gt;"", XLOOKUP($F992,Productos!$A$2:$A1001,Productos!M$2:M1001,"")*$G992,"")</f>
        <v/>
      </c>
      <c r="U992" s="179" t="str">
        <f t="array" ref="U992">IF($F992&lt;&gt;"",XLOOKUP($F992,Productos!$A:$A,Productos!N:N,"Revisar"),"")</f>
        <v/>
      </c>
      <c r="V992" s="179" t="str">
        <f t="array" ref="V992">IF($F992&lt;&gt;"", XLOOKUP($F992,Productos!$A$2:$A1001,Productos!O$2:O1001,"")*$G992,"")</f>
        <v/>
      </c>
      <c r="W992" s="179" t="str">
        <f t="array" ref="W992">IF($F992&lt;&gt;"",XLOOKUP($F992,Productos!$A:$A,Productos!P:P,"Revisar"),"")</f>
        <v/>
      </c>
      <c r="X992" s="179" t="str">
        <f t="array" ref="X992">IF($F992&lt;&gt;"", XLOOKUP($F992,Productos!$A$2:$A1001,Productos!Q$2:Q1001,"")*$G992,"")</f>
        <v/>
      </c>
      <c r="Y992" s="179" t="str">
        <f t="array" ref="Y992">IF($F992&lt;&gt;"",XLOOKUP($F992,Productos!$A:$A,Productos!R:R,"Revisar"),"")</f>
        <v/>
      </c>
      <c r="Z992" s="179" t="str">
        <f t="array" ref="Z992">IF($F992&lt;&gt;"", XLOOKUP($F992,Productos!$A$2:$A1001,Productos!S$2:S1001,"")*$G992,"")</f>
        <v/>
      </c>
      <c r="AA992" s="179" t="str">
        <f t="array" ref="AA992">IF($F992&lt;&gt;"",XLOOKUP($F992,Productos!$A:$A,Productos!T:T,"Revisar"),"")</f>
        <v/>
      </c>
      <c r="AB992" s="179" t="str">
        <f t="array" ref="AB992">IF($F992&lt;&gt;"", XLOOKUP($F992,Productos!$A$2:$A1001,Productos!U$2:U1001,"")*$G992,"")</f>
        <v/>
      </c>
      <c r="AC992" s="179" t="str">
        <f t="array" ref="AC992">IF($F992&lt;&gt;"",XLOOKUP($F992,Productos!$A:$A,Productos!V:V,"Revisar"),"")</f>
        <v/>
      </c>
      <c r="AD992" s="179" t="str">
        <f t="array" ref="AD992">IF($F992&lt;&gt;"", XLOOKUP($F992,Productos!$A$2:$A1001,Productos!W$2:W1001,"")*$G992,"")</f>
        <v/>
      </c>
      <c r="AE992" s="179" t="str">
        <f t="array" ref="AE992">IF($F992&lt;&gt;"",XLOOKUP($F992,Productos!$A:$A,Productos!X:X,"Revisar"),"")</f>
        <v/>
      </c>
      <c r="AF992" s="179" t="str">
        <f t="array" ref="AF992">IF($F992&lt;&gt;"", XLOOKUP($F992,Productos!$A$2:$A1001,Productos!Y$2:Y1001,"")*$G992,"")</f>
        <v/>
      </c>
      <c r="AG992" s="179" t="str">
        <f t="array" ref="AG992">IF($F992&lt;&gt;"",XLOOKUP($F992,Productos!$A:$A,Productos!Z:Z,"Revisar"),"")</f>
        <v/>
      </c>
      <c r="AH992" s="179" t="str">
        <f t="array" ref="AH992">IF($F992&lt;&gt;"", XLOOKUP($F992,Productos!$A$2:$A1001,Productos!AA$2:AA1001,"")*$G992,"")</f>
        <v/>
      </c>
      <c r="AI992" s="179" t="str">
        <f t="array" ref="AI992">IF($F992&lt;&gt;"",XLOOKUP($F992,Productos!$A:$A,Productos!AB:AB,"Revisar"),"")</f>
        <v/>
      </c>
      <c r="AJ992" s="179" t="str">
        <f t="array" ref="AJ992">IF($F992&lt;&gt;"", XLOOKUP($F992,Productos!$A$2:$A1001,Productos!AC$2:AC1001,"")*$G992,"")</f>
        <v/>
      </c>
      <c r="AK992" s="179" t="str">
        <f t="array" ref="AK992">IF($F992&lt;&gt;"",XLOOKUP($F992,Productos!$A:$A,Productos!AD:AD,"Revisar"),"")</f>
        <v/>
      </c>
      <c r="AL992" s="179" t="str">
        <f t="array" ref="AL992">IF($F992&lt;&gt;"", XLOOKUP($F992,Productos!$A$2:$A1001,Productos!AE$2:AE1001,"")*$G992,"")</f>
        <v/>
      </c>
      <c r="AM992" s="179" t="str">
        <f t="array" ref="AM992">IF($F992&lt;&gt;"",XLOOKUP($F992,Productos!$A:$A,Productos!AF:AF,"Revisar"),"")</f>
        <v/>
      </c>
      <c r="AN992" s="179" t="str">
        <f t="array" ref="AN992">IF($F992&lt;&gt;"", XLOOKUP($F992,Productos!$A$2:$A1001,Productos!AG$2:AG1001,"")*$G992,"")</f>
        <v/>
      </c>
      <c r="AO992" s="179" t="str">
        <f t="array" ref="AO992">IF($F992&lt;&gt;"",XLOOKUP($F992,Productos!$A:$A,Productos!AH:AH,"Revisar"),"")</f>
        <v/>
      </c>
      <c r="AP992" s="179" t="str">
        <f t="array" ref="AP992">IF($F992&lt;&gt;"", XLOOKUP($F992,Productos!$A$2:$A1001,Productos!AI$2:AI1001,"")*$G992,"")</f>
        <v/>
      </c>
      <c r="AQ992" s="179" t="str">
        <f t="array" ref="AQ992">IF($F992&lt;&gt;"",XLOOKUP($F992,Productos!$A:$A,Productos!AJ:AJ,"Revisar"),"")</f>
        <v/>
      </c>
      <c r="AR992" s="179" t="str">
        <f t="array" ref="AR992">IF($F992&lt;&gt;"", XLOOKUP($F992,Productos!$A$2:$A1001,Productos!AK$2:AK1001,"")*$G992,"")</f>
        <v/>
      </c>
      <c r="AS992" s="179" t="str">
        <f t="array" ref="AS992">IF($F992&lt;&gt;"",XLOOKUP($F992,Productos!$A:$A,Productos!AL:AL,"Revisar"),"")</f>
        <v/>
      </c>
      <c r="AT992" s="179" t="str">
        <f t="array" ref="AT992">IF($F992&lt;&gt;"", XLOOKUP($F992,Productos!$A$2:$A1001,Productos!AM$2:AM1001,"")*$G992,"")</f>
        <v/>
      </c>
      <c r="AU992" s="179" t="str">
        <f t="array" ref="AU992">IF($F992&lt;&gt;"",XLOOKUP($F992,Productos!$A:$A,Productos!AN:AN,"Revisar"),"")</f>
        <v/>
      </c>
      <c r="AV992" s="179" t="str">
        <f t="array" ref="AV992">IF($F992&lt;&gt;"", XLOOKUP($F992,Productos!$A$2:$A1001,Productos!AO$2:AO1001,"")*$G992,"")</f>
        <v/>
      </c>
      <c r="AW992" s="179" t="str">
        <f t="array" ref="AW992">IF($F992&lt;&gt;"",XLOOKUP($F992,Productos!$A:$A,Productos!AP:AP,"Revisar"),"")</f>
        <v/>
      </c>
      <c r="AX992" s="179" t="str">
        <f t="array" ref="AX992">IF($F992&lt;&gt;"", XLOOKUP($F992,Productos!$A$2:$A1001,Productos!AQ$2:AQ1001,"")*$G992,"")</f>
        <v/>
      </c>
      <c r="AY992" s="179" t="str">
        <f t="array" ref="AY992">IF($F992&lt;&gt;"",XLOOKUP($F992,Productos!$A:$A,Productos!AR:AR,"Revisar"),"")</f>
        <v/>
      </c>
      <c r="AZ992" s="179" t="str">
        <f t="array" ref="AZ992">IF($F992&lt;&gt;"", XLOOKUP($F992,Productos!$A$2:$A1001,Productos!AS$2:AS1001,"")*$G992,"")</f>
        <v/>
      </c>
      <c r="BA992" s="179" t="str">
        <f t="array" ref="BA992">IF($F992&lt;&gt;"",XLOOKUP($F992,Productos!$A:$A,Productos!AT:AT,"Revisar"),"")</f>
        <v/>
      </c>
      <c r="BB992" s="179" t="str">
        <f t="array" ref="BB992">IF($F992&lt;&gt;"", XLOOKUP($F992,Productos!$A$2:$A1001,Productos!AU$2:AU1001,"")*$G992,"")</f>
        <v/>
      </c>
      <c r="BC992" s="179" t="str">
        <f t="array" ref="BC992">IF($F992&lt;&gt;"",XLOOKUP($F992,Productos!$A:$A,Productos!AV:AV,"Revisar"),"")</f>
        <v/>
      </c>
      <c r="BD992" s="179" t="str">
        <f t="array" ref="BD992">IF($F992&lt;&gt;"", XLOOKUP($F992,Productos!$A$2:$A1001,Productos!AW$2:AW1001,"")*$G992,"")</f>
        <v/>
      </c>
      <c r="BE992" s="179" t="str">
        <f t="array" ref="BE992">IF($F992&lt;&gt;"",XLOOKUP($F992,Productos!$A:$A,Productos!AX:AX,"Revisar"),"")</f>
        <v/>
      </c>
      <c r="BF992" s="179" t="str">
        <f t="array" ref="BF992">IF($F992&lt;&gt;"", XLOOKUP($F992,Productos!$A$2:$A1001,Productos!AY$2:AY1001,"")*$G992,"")</f>
        <v/>
      </c>
      <c r="BG992" s="179" t="str">
        <f t="array" ref="BG992">IF($F992&lt;&gt;"",XLOOKUP($F992,Productos!$A:$A,Productos!AZ:AZ,"Revisar"),"")</f>
        <v/>
      </c>
      <c r="BH992" s="179" t="str">
        <f t="array" ref="BH992">IF($F992&lt;&gt;"", XLOOKUP($F992,Productos!$A$2:$A1001,Productos!BA$2:BA1001,"")*$G992,"")</f>
        <v/>
      </c>
      <c r="BI992" s="179" t="str">
        <f t="array" ref="BI992">IF($F992&lt;&gt;"",XLOOKUP($F992,Productos!$A:$A,Productos!BB:BB,"Revisar"),"")</f>
        <v/>
      </c>
      <c r="BJ992" s="179" t="str">
        <f t="array" ref="BJ992">IF($F992&lt;&gt;"", XLOOKUP($F992,Productos!$A$2:$A1001,Productos!BC$2:BC1001,"")*$G992,"")</f>
        <v/>
      </c>
      <c r="BK992" s="179" t="str">
        <f t="array" ref="BK992">IF($F992&lt;&gt;"",XLOOKUP($F992,Productos!$A:$A,Productos!BD:BD,"Revisar"),"")</f>
        <v/>
      </c>
      <c r="BL992" s="179" t="str">
        <f t="array" ref="BL992">IF($F992&lt;&gt;"", XLOOKUP($F992,Productos!$A$2:$A1001,Productos!BE$2:BE1001,"")*$G992,"")</f>
        <v/>
      </c>
      <c r="BM992" s="179" t="str">
        <f t="array" ref="BM992">IF($F992&lt;&gt;"",XLOOKUP($F992,Productos!$A:$A,Productos!BF:BF,"Revisar"),"")</f>
        <v/>
      </c>
      <c r="BN992" s="179" t="str">
        <f t="array" ref="BN992">IF($F992&lt;&gt;"", XLOOKUP($F992,Productos!$A$2:$A1001,Productos!BG$2:BG1001,"")*$G992,"")</f>
        <v/>
      </c>
      <c r="BO992" s="179" t="str">
        <f t="array" ref="BO992">IF($F992&lt;&gt;"",XLOOKUP($F992,Productos!$A:$A,Productos!BH:BH,"Revisar"),"")</f>
        <v/>
      </c>
      <c r="BP992" s="179" t="str">
        <f t="array" ref="BP992">IF($F992&lt;&gt;"", XLOOKUP($F992,Productos!$A$2:$A1001,Productos!BI$2:BI1001,"")*$G992,"")</f>
        <v/>
      </c>
      <c r="BQ992" s="179" t="str">
        <f t="array" ref="BQ992">IF($F992&lt;&gt;"",XLOOKUP($F992,Productos!$A:$A,Productos!BJ:BJ,"Revisar"),"")</f>
        <v/>
      </c>
      <c r="BR992" s="179" t="str">
        <f t="array" ref="BR992">IF($F992&lt;&gt;"", XLOOKUP($F992,Productos!$A$2:$A1001,Productos!BK$2:BK1001,"")*$G992,"")</f>
        <v/>
      </c>
      <c r="BS992" s="179" t="str">
        <f t="array" ref="BS992">IF($F992&lt;&gt;"",XLOOKUP($F992,Productos!$A:$A,Productos!BL:BL,"Revisar"),"")</f>
        <v/>
      </c>
      <c r="BT992" s="179" t="str">
        <f t="array" ref="BT992">IF($F992&lt;&gt;"", XLOOKUP($F992,Productos!$A$2:$A1001,Productos!BM$2:BM1001,"")*$G992,"")</f>
        <v/>
      </c>
      <c r="BU992" s="179" t="str">
        <f t="array" ref="BU992">IF($F992&lt;&gt;"",XLOOKUP($F992,Productos!$A:$A,Productos!BN:BN,"Revisar"),"")</f>
        <v/>
      </c>
      <c r="BV992" s="179" t="str">
        <f t="array" ref="BV992">IF($F992&lt;&gt;"", XLOOKUP($F992,Productos!$A$2:$A1001,Productos!BO$2:BO1001,"")*$G992,"")</f>
        <v/>
      </c>
      <c r="BW992" s="179" t="str">
        <f t="array" ref="BW992">IF($F992&lt;&gt;"",XLOOKUP($F992,Productos!$A:$A,Productos!BP:BP,"Revisar"),"")</f>
        <v/>
      </c>
      <c r="BX992" s="179" t="str">
        <f t="array" ref="BX992">IF($F992&lt;&gt;"", XLOOKUP($F992,Productos!$A$2:$A1001,Productos!BQ$2:BQ1001,"")*$G992,"")</f>
        <v/>
      </c>
      <c r="BY992" s="179" t="str">
        <f t="array" ref="BY992">IF($F992&lt;&gt;"",XLOOKUP($F992,Productos!$A:$A,Productos!BR:BR,"Revisar"),"")</f>
        <v/>
      </c>
      <c r="BZ992" s="179" t="str">
        <f t="array" ref="BZ992">IF($F992&lt;&gt;"", XLOOKUP($F992,Productos!$A$2:$A1001,Productos!BS$2:BS1001,"")*$G992,"")</f>
        <v/>
      </c>
    </row>
    <row r="993">
      <c r="A993" s="188"/>
      <c r="B993" s="189"/>
      <c r="C993" s="190"/>
      <c r="D993" s="190"/>
      <c r="E993" s="191"/>
      <c r="F993" s="186"/>
      <c r="G993" s="192"/>
      <c r="H993" s="9"/>
      <c r="I993" s="179" t="str">
        <f t="array" ref="I993">IF($F993&lt;&gt;"",XLOOKUP($F993,Productos!$A:$A,Productos!B:B,"Revisar"),"")</f>
        <v/>
      </c>
      <c r="J993" s="179" t="str">
        <f t="array" ref="J993">IF($F993&lt;&gt;"", XLOOKUP($F993,Productos!$A$2:$A1001,Productos!C$2:C1001,"")*$G993,"")</f>
        <v/>
      </c>
      <c r="K993" s="179" t="str">
        <f t="array" ref="K993">IF($F993&lt;&gt;"",XLOOKUP($F993,Productos!$A:$A,Productos!D:D,"Revisar"),"")</f>
        <v/>
      </c>
      <c r="L993" s="179" t="str">
        <f t="array" ref="L993">IF($F993&lt;&gt;"", XLOOKUP($F993,Productos!$A$2:$A1001,Productos!E$2:E1001,"")*$G993,"")</f>
        <v/>
      </c>
      <c r="M993" s="179" t="str">
        <f t="array" ref="M993">IF($F993&lt;&gt;"",XLOOKUP($F993,Productos!$A:$A,Productos!F:F,"Revisar"),"")</f>
        <v/>
      </c>
      <c r="N993" s="179" t="str">
        <f t="array" ref="N993">IF($F993&lt;&gt;"", XLOOKUP($F993,Productos!$A$2:$A1001,Productos!G$2:G1001,"")*$G993,"")</f>
        <v/>
      </c>
      <c r="O993" s="179" t="str">
        <f t="array" ref="O993">IF($F993&lt;&gt;"",XLOOKUP($F993,Productos!$A:$A,Productos!H:H,"Revisar"),"")</f>
        <v/>
      </c>
      <c r="P993" s="179" t="str">
        <f t="array" ref="P993">IF($F993&lt;&gt;"", XLOOKUP($F993,Productos!$A$2:$A1001,Productos!I$2:I1001,"")*$G993,"")</f>
        <v/>
      </c>
      <c r="Q993" s="179" t="str">
        <f t="array" ref="Q993">IF($F993&lt;&gt;"",XLOOKUP($F993,Productos!$A:$A,Productos!J:J,"Revisar"),"")</f>
        <v/>
      </c>
      <c r="R993" s="179" t="str">
        <f t="array" ref="R993">IF($F993&lt;&gt;"", XLOOKUP($F993,Productos!$A$2:$A1001,Productos!K$2:K1001,"")*$G993,"")</f>
        <v/>
      </c>
      <c r="S993" s="179" t="str">
        <f t="array" ref="S993">IF($F993&lt;&gt;"",XLOOKUP($F993,Productos!$A:$A,Productos!L:L,"Revisar"),"")</f>
        <v/>
      </c>
      <c r="T993" s="179" t="str">
        <f t="array" ref="T993">IF($F993&lt;&gt;"", XLOOKUP($F993,Productos!$A$2:$A1001,Productos!M$2:M1001,"")*$G993,"")</f>
        <v/>
      </c>
      <c r="U993" s="179" t="str">
        <f t="array" ref="U993">IF($F993&lt;&gt;"",XLOOKUP($F993,Productos!$A:$A,Productos!N:N,"Revisar"),"")</f>
        <v/>
      </c>
      <c r="V993" s="179" t="str">
        <f t="array" ref="V993">IF($F993&lt;&gt;"", XLOOKUP($F993,Productos!$A$2:$A1001,Productos!O$2:O1001,"")*$G993,"")</f>
        <v/>
      </c>
      <c r="W993" s="179" t="str">
        <f t="array" ref="W993">IF($F993&lt;&gt;"",XLOOKUP($F993,Productos!$A:$A,Productos!P:P,"Revisar"),"")</f>
        <v/>
      </c>
      <c r="X993" s="179" t="str">
        <f t="array" ref="X993">IF($F993&lt;&gt;"", XLOOKUP($F993,Productos!$A$2:$A1001,Productos!Q$2:Q1001,"")*$G993,"")</f>
        <v/>
      </c>
      <c r="Y993" s="179" t="str">
        <f t="array" ref="Y993">IF($F993&lt;&gt;"",XLOOKUP($F993,Productos!$A:$A,Productos!R:R,"Revisar"),"")</f>
        <v/>
      </c>
      <c r="Z993" s="179" t="str">
        <f t="array" ref="Z993">IF($F993&lt;&gt;"", XLOOKUP($F993,Productos!$A$2:$A1001,Productos!S$2:S1001,"")*$G993,"")</f>
        <v/>
      </c>
      <c r="AA993" s="179" t="str">
        <f t="array" ref="AA993">IF($F993&lt;&gt;"",XLOOKUP($F993,Productos!$A:$A,Productos!T:T,"Revisar"),"")</f>
        <v/>
      </c>
      <c r="AB993" s="179" t="str">
        <f t="array" ref="AB993">IF($F993&lt;&gt;"", XLOOKUP($F993,Productos!$A$2:$A1001,Productos!U$2:U1001,"")*$G993,"")</f>
        <v/>
      </c>
      <c r="AC993" s="179" t="str">
        <f t="array" ref="AC993">IF($F993&lt;&gt;"",XLOOKUP($F993,Productos!$A:$A,Productos!V:V,"Revisar"),"")</f>
        <v/>
      </c>
      <c r="AD993" s="179" t="str">
        <f t="array" ref="AD993">IF($F993&lt;&gt;"", XLOOKUP($F993,Productos!$A$2:$A1001,Productos!W$2:W1001,"")*$G993,"")</f>
        <v/>
      </c>
      <c r="AE993" s="179" t="str">
        <f t="array" ref="AE993">IF($F993&lt;&gt;"",XLOOKUP($F993,Productos!$A:$A,Productos!X:X,"Revisar"),"")</f>
        <v/>
      </c>
      <c r="AF993" s="179" t="str">
        <f t="array" ref="AF993">IF($F993&lt;&gt;"", XLOOKUP($F993,Productos!$A$2:$A1001,Productos!Y$2:Y1001,"")*$G993,"")</f>
        <v/>
      </c>
      <c r="AG993" s="179" t="str">
        <f t="array" ref="AG993">IF($F993&lt;&gt;"",XLOOKUP($F993,Productos!$A:$A,Productos!Z:Z,"Revisar"),"")</f>
        <v/>
      </c>
      <c r="AH993" s="179" t="str">
        <f t="array" ref="AH993">IF($F993&lt;&gt;"", XLOOKUP($F993,Productos!$A$2:$A1001,Productos!AA$2:AA1001,"")*$G993,"")</f>
        <v/>
      </c>
      <c r="AI993" s="179" t="str">
        <f t="array" ref="AI993">IF($F993&lt;&gt;"",XLOOKUP($F993,Productos!$A:$A,Productos!AB:AB,"Revisar"),"")</f>
        <v/>
      </c>
      <c r="AJ993" s="179" t="str">
        <f t="array" ref="AJ993">IF($F993&lt;&gt;"", XLOOKUP($F993,Productos!$A$2:$A1001,Productos!AC$2:AC1001,"")*$G993,"")</f>
        <v/>
      </c>
      <c r="AK993" s="179" t="str">
        <f t="array" ref="AK993">IF($F993&lt;&gt;"",XLOOKUP($F993,Productos!$A:$A,Productos!AD:AD,"Revisar"),"")</f>
        <v/>
      </c>
      <c r="AL993" s="179" t="str">
        <f t="array" ref="AL993">IF($F993&lt;&gt;"", XLOOKUP($F993,Productos!$A$2:$A1001,Productos!AE$2:AE1001,"")*$G993,"")</f>
        <v/>
      </c>
      <c r="AM993" s="179" t="str">
        <f t="array" ref="AM993">IF($F993&lt;&gt;"",XLOOKUP($F993,Productos!$A:$A,Productos!AF:AF,"Revisar"),"")</f>
        <v/>
      </c>
      <c r="AN993" s="179" t="str">
        <f t="array" ref="AN993">IF($F993&lt;&gt;"", XLOOKUP($F993,Productos!$A$2:$A1001,Productos!AG$2:AG1001,"")*$G993,"")</f>
        <v/>
      </c>
      <c r="AO993" s="179" t="str">
        <f t="array" ref="AO993">IF($F993&lt;&gt;"",XLOOKUP($F993,Productos!$A:$A,Productos!AH:AH,"Revisar"),"")</f>
        <v/>
      </c>
      <c r="AP993" s="179" t="str">
        <f t="array" ref="AP993">IF($F993&lt;&gt;"", XLOOKUP($F993,Productos!$A$2:$A1001,Productos!AI$2:AI1001,"")*$G993,"")</f>
        <v/>
      </c>
      <c r="AQ993" s="179" t="str">
        <f t="array" ref="AQ993">IF($F993&lt;&gt;"",XLOOKUP($F993,Productos!$A:$A,Productos!AJ:AJ,"Revisar"),"")</f>
        <v/>
      </c>
      <c r="AR993" s="179" t="str">
        <f t="array" ref="AR993">IF($F993&lt;&gt;"", XLOOKUP($F993,Productos!$A$2:$A1001,Productos!AK$2:AK1001,"")*$G993,"")</f>
        <v/>
      </c>
      <c r="AS993" s="179" t="str">
        <f t="array" ref="AS993">IF($F993&lt;&gt;"",XLOOKUP($F993,Productos!$A:$A,Productos!AL:AL,"Revisar"),"")</f>
        <v/>
      </c>
      <c r="AT993" s="179" t="str">
        <f t="array" ref="AT993">IF($F993&lt;&gt;"", XLOOKUP($F993,Productos!$A$2:$A1001,Productos!AM$2:AM1001,"")*$G993,"")</f>
        <v/>
      </c>
      <c r="AU993" s="179" t="str">
        <f t="array" ref="AU993">IF($F993&lt;&gt;"",XLOOKUP($F993,Productos!$A:$A,Productos!AN:AN,"Revisar"),"")</f>
        <v/>
      </c>
      <c r="AV993" s="179" t="str">
        <f t="array" ref="AV993">IF($F993&lt;&gt;"", XLOOKUP($F993,Productos!$A$2:$A1001,Productos!AO$2:AO1001,"")*$G993,"")</f>
        <v/>
      </c>
      <c r="AW993" s="179" t="str">
        <f t="array" ref="AW993">IF($F993&lt;&gt;"",XLOOKUP($F993,Productos!$A:$A,Productos!AP:AP,"Revisar"),"")</f>
        <v/>
      </c>
      <c r="AX993" s="179" t="str">
        <f t="array" ref="AX993">IF($F993&lt;&gt;"", XLOOKUP($F993,Productos!$A$2:$A1001,Productos!AQ$2:AQ1001,"")*$G993,"")</f>
        <v/>
      </c>
      <c r="AY993" s="179" t="str">
        <f t="array" ref="AY993">IF($F993&lt;&gt;"",XLOOKUP($F993,Productos!$A:$A,Productos!AR:AR,"Revisar"),"")</f>
        <v/>
      </c>
      <c r="AZ993" s="179" t="str">
        <f t="array" ref="AZ993">IF($F993&lt;&gt;"", XLOOKUP($F993,Productos!$A$2:$A1001,Productos!AS$2:AS1001,"")*$G993,"")</f>
        <v/>
      </c>
      <c r="BA993" s="179" t="str">
        <f t="array" ref="BA993">IF($F993&lt;&gt;"",XLOOKUP($F993,Productos!$A:$A,Productos!AT:AT,"Revisar"),"")</f>
        <v/>
      </c>
      <c r="BB993" s="179" t="str">
        <f t="array" ref="BB993">IF($F993&lt;&gt;"", XLOOKUP($F993,Productos!$A$2:$A1001,Productos!AU$2:AU1001,"")*$G993,"")</f>
        <v/>
      </c>
      <c r="BC993" s="179" t="str">
        <f t="array" ref="BC993">IF($F993&lt;&gt;"",XLOOKUP($F993,Productos!$A:$A,Productos!AV:AV,"Revisar"),"")</f>
        <v/>
      </c>
      <c r="BD993" s="179" t="str">
        <f t="array" ref="BD993">IF($F993&lt;&gt;"", XLOOKUP($F993,Productos!$A$2:$A1001,Productos!AW$2:AW1001,"")*$G993,"")</f>
        <v/>
      </c>
      <c r="BE993" s="179" t="str">
        <f t="array" ref="BE993">IF($F993&lt;&gt;"",XLOOKUP($F993,Productos!$A:$A,Productos!AX:AX,"Revisar"),"")</f>
        <v/>
      </c>
      <c r="BF993" s="179" t="str">
        <f t="array" ref="BF993">IF($F993&lt;&gt;"", XLOOKUP($F993,Productos!$A$2:$A1001,Productos!AY$2:AY1001,"")*$G993,"")</f>
        <v/>
      </c>
      <c r="BG993" s="179" t="str">
        <f t="array" ref="BG993">IF($F993&lt;&gt;"",XLOOKUP($F993,Productos!$A:$A,Productos!AZ:AZ,"Revisar"),"")</f>
        <v/>
      </c>
      <c r="BH993" s="179" t="str">
        <f t="array" ref="BH993">IF($F993&lt;&gt;"", XLOOKUP($F993,Productos!$A$2:$A1001,Productos!BA$2:BA1001,"")*$G993,"")</f>
        <v/>
      </c>
      <c r="BI993" s="179" t="str">
        <f t="array" ref="BI993">IF($F993&lt;&gt;"",XLOOKUP($F993,Productos!$A:$A,Productos!BB:BB,"Revisar"),"")</f>
        <v/>
      </c>
      <c r="BJ993" s="179" t="str">
        <f t="array" ref="BJ993">IF($F993&lt;&gt;"", XLOOKUP($F993,Productos!$A$2:$A1001,Productos!BC$2:BC1001,"")*$G993,"")</f>
        <v/>
      </c>
      <c r="BK993" s="179" t="str">
        <f t="array" ref="BK993">IF($F993&lt;&gt;"",XLOOKUP($F993,Productos!$A:$A,Productos!BD:BD,"Revisar"),"")</f>
        <v/>
      </c>
      <c r="BL993" s="179" t="str">
        <f t="array" ref="BL993">IF($F993&lt;&gt;"", XLOOKUP($F993,Productos!$A$2:$A1001,Productos!BE$2:BE1001,"")*$G993,"")</f>
        <v/>
      </c>
      <c r="BM993" s="179" t="str">
        <f t="array" ref="BM993">IF($F993&lt;&gt;"",XLOOKUP($F993,Productos!$A:$A,Productos!BF:BF,"Revisar"),"")</f>
        <v/>
      </c>
      <c r="BN993" s="179" t="str">
        <f t="array" ref="BN993">IF($F993&lt;&gt;"", XLOOKUP($F993,Productos!$A$2:$A1001,Productos!BG$2:BG1001,"")*$G993,"")</f>
        <v/>
      </c>
      <c r="BO993" s="179" t="str">
        <f t="array" ref="BO993">IF($F993&lt;&gt;"",XLOOKUP($F993,Productos!$A:$A,Productos!BH:BH,"Revisar"),"")</f>
        <v/>
      </c>
      <c r="BP993" s="179" t="str">
        <f t="array" ref="BP993">IF($F993&lt;&gt;"", XLOOKUP($F993,Productos!$A$2:$A1001,Productos!BI$2:BI1001,"")*$G993,"")</f>
        <v/>
      </c>
      <c r="BQ993" s="179" t="str">
        <f t="array" ref="BQ993">IF($F993&lt;&gt;"",XLOOKUP($F993,Productos!$A:$A,Productos!BJ:BJ,"Revisar"),"")</f>
        <v/>
      </c>
      <c r="BR993" s="179" t="str">
        <f t="array" ref="BR993">IF($F993&lt;&gt;"", XLOOKUP($F993,Productos!$A$2:$A1001,Productos!BK$2:BK1001,"")*$G993,"")</f>
        <v/>
      </c>
      <c r="BS993" s="179" t="str">
        <f t="array" ref="BS993">IF($F993&lt;&gt;"",XLOOKUP($F993,Productos!$A:$A,Productos!BL:BL,"Revisar"),"")</f>
        <v/>
      </c>
      <c r="BT993" s="179" t="str">
        <f t="array" ref="BT993">IF($F993&lt;&gt;"", XLOOKUP($F993,Productos!$A$2:$A1001,Productos!BM$2:BM1001,"")*$G993,"")</f>
        <v/>
      </c>
      <c r="BU993" s="179" t="str">
        <f t="array" ref="BU993">IF($F993&lt;&gt;"",XLOOKUP($F993,Productos!$A:$A,Productos!BN:BN,"Revisar"),"")</f>
        <v/>
      </c>
      <c r="BV993" s="179" t="str">
        <f t="array" ref="BV993">IF($F993&lt;&gt;"", XLOOKUP($F993,Productos!$A$2:$A1001,Productos!BO$2:BO1001,"")*$G993,"")</f>
        <v/>
      </c>
      <c r="BW993" s="179" t="str">
        <f t="array" ref="BW993">IF($F993&lt;&gt;"",XLOOKUP($F993,Productos!$A:$A,Productos!BP:BP,"Revisar"),"")</f>
        <v/>
      </c>
      <c r="BX993" s="179" t="str">
        <f t="array" ref="BX993">IF($F993&lt;&gt;"", XLOOKUP($F993,Productos!$A$2:$A1001,Productos!BQ$2:BQ1001,"")*$G993,"")</f>
        <v/>
      </c>
      <c r="BY993" s="179" t="str">
        <f t="array" ref="BY993">IF($F993&lt;&gt;"",XLOOKUP($F993,Productos!$A:$A,Productos!BR:BR,"Revisar"),"")</f>
        <v/>
      </c>
      <c r="BZ993" s="179" t="str">
        <f t="array" ref="BZ993">IF($F993&lt;&gt;"", XLOOKUP($F993,Productos!$A$2:$A1001,Productos!BS$2:BS1001,"")*$G993,"")</f>
        <v/>
      </c>
    </row>
    <row r="994">
      <c r="A994" s="188"/>
      <c r="B994" s="189"/>
      <c r="C994" s="190"/>
      <c r="D994" s="190"/>
      <c r="E994" s="191"/>
      <c r="F994" s="186"/>
      <c r="G994" s="192"/>
      <c r="H994" s="9"/>
      <c r="I994" s="179" t="str">
        <f t="array" ref="I994">IF($F994&lt;&gt;"",XLOOKUP($F994,Productos!$A:$A,Productos!B:B,"Revisar"),"")</f>
        <v/>
      </c>
      <c r="J994" s="179" t="str">
        <f t="array" ref="J994">IF($F994&lt;&gt;"", XLOOKUP($F994,Productos!$A$2:$A1001,Productos!C$2:C1001,"")*$G994,"")</f>
        <v/>
      </c>
      <c r="K994" s="179" t="str">
        <f t="array" ref="K994">IF($F994&lt;&gt;"",XLOOKUP($F994,Productos!$A:$A,Productos!D:D,"Revisar"),"")</f>
        <v/>
      </c>
      <c r="L994" s="179" t="str">
        <f t="array" ref="L994">IF($F994&lt;&gt;"", XLOOKUP($F994,Productos!$A$2:$A1001,Productos!E$2:E1001,"")*$G994,"")</f>
        <v/>
      </c>
      <c r="M994" s="179" t="str">
        <f t="array" ref="M994">IF($F994&lt;&gt;"",XLOOKUP($F994,Productos!$A:$A,Productos!F:F,"Revisar"),"")</f>
        <v/>
      </c>
      <c r="N994" s="179" t="str">
        <f t="array" ref="N994">IF($F994&lt;&gt;"", XLOOKUP($F994,Productos!$A$2:$A1001,Productos!G$2:G1001,"")*$G994,"")</f>
        <v/>
      </c>
      <c r="O994" s="179" t="str">
        <f t="array" ref="O994">IF($F994&lt;&gt;"",XLOOKUP($F994,Productos!$A:$A,Productos!H:H,"Revisar"),"")</f>
        <v/>
      </c>
      <c r="P994" s="179" t="str">
        <f t="array" ref="P994">IF($F994&lt;&gt;"", XLOOKUP($F994,Productos!$A$2:$A1001,Productos!I$2:I1001,"")*$G994,"")</f>
        <v/>
      </c>
      <c r="Q994" s="179" t="str">
        <f t="array" ref="Q994">IF($F994&lt;&gt;"",XLOOKUP($F994,Productos!$A:$A,Productos!J:J,"Revisar"),"")</f>
        <v/>
      </c>
      <c r="R994" s="179" t="str">
        <f t="array" ref="R994">IF($F994&lt;&gt;"", XLOOKUP($F994,Productos!$A$2:$A1001,Productos!K$2:K1001,"")*$G994,"")</f>
        <v/>
      </c>
      <c r="S994" s="179" t="str">
        <f t="array" ref="S994">IF($F994&lt;&gt;"",XLOOKUP($F994,Productos!$A:$A,Productos!L:L,"Revisar"),"")</f>
        <v/>
      </c>
      <c r="T994" s="179" t="str">
        <f t="array" ref="T994">IF($F994&lt;&gt;"", XLOOKUP($F994,Productos!$A$2:$A1001,Productos!M$2:M1001,"")*$G994,"")</f>
        <v/>
      </c>
      <c r="U994" s="179" t="str">
        <f t="array" ref="U994">IF($F994&lt;&gt;"",XLOOKUP($F994,Productos!$A:$A,Productos!N:N,"Revisar"),"")</f>
        <v/>
      </c>
      <c r="V994" s="179" t="str">
        <f t="array" ref="V994">IF($F994&lt;&gt;"", XLOOKUP($F994,Productos!$A$2:$A1001,Productos!O$2:O1001,"")*$G994,"")</f>
        <v/>
      </c>
      <c r="W994" s="179" t="str">
        <f t="array" ref="W994">IF($F994&lt;&gt;"",XLOOKUP($F994,Productos!$A:$A,Productos!P:P,"Revisar"),"")</f>
        <v/>
      </c>
      <c r="X994" s="179" t="str">
        <f t="array" ref="X994">IF($F994&lt;&gt;"", XLOOKUP($F994,Productos!$A$2:$A1001,Productos!Q$2:Q1001,"")*$G994,"")</f>
        <v/>
      </c>
      <c r="Y994" s="179" t="str">
        <f t="array" ref="Y994">IF($F994&lt;&gt;"",XLOOKUP($F994,Productos!$A:$A,Productos!R:R,"Revisar"),"")</f>
        <v/>
      </c>
      <c r="Z994" s="179" t="str">
        <f t="array" ref="Z994">IF($F994&lt;&gt;"", XLOOKUP($F994,Productos!$A$2:$A1001,Productos!S$2:S1001,"")*$G994,"")</f>
        <v/>
      </c>
      <c r="AA994" s="179" t="str">
        <f t="array" ref="AA994">IF($F994&lt;&gt;"",XLOOKUP($F994,Productos!$A:$A,Productos!T:T,"Revisar"),"")</f>
        <v/>
      </c>
      <c r="AB994" s="179" t="str">
        <f t="array" ref="AB994">IF($F994&lt;&gt;"", XLOOKUP($F994,Productos!$A$2:$A1001,Productos!U$2:U1001,"")*$G994,"")</f>
        <v/>
      </c>
      <c r="AC994" s="179" t="str">
        <f t="array" ref="AC994">IF($F994&lt;&gt;"",XLOOKUP($F994,Productos!$A:$A,Productos!V:V,"Revisar"),"")</f>
        <v/>
      </c>
      <c r="AD994" s="179" t="str">
        <f t="array" ref="AD994">IF($F994&lt;&gt;"", XLOOKUP($F994,Productos!$A$2:$A1001,Productos!W$2:W1001,"")*$G994,"")</f>
        <v/>
      </c>
      <c r="AE994" s="179" t="str">
        <f t="array" ref="AE994">IF($F994&lt;&gt;"",XLOOKUP($F994,Productos!$A:$A,Productos!X:X,"Revisar"),"")</f>
        <v/>
      </c>
      <c r="AF994" s="179" t="str">
        <f t="array" ref="AF994">IF($F994&lt;&gt;"", XLOOKUP($F994,Productos!$A$2:$A1001,Productos!Y$2:Y1001,"")*$G994,"")</f>
        <v/>
      </c>
      <c r="AG994" s="179" t="str">
        <f t="array" ref="AG994">IF($F994&lt;&gt;"",XLOOKUP($F994,Productos!$A:$A,Productos!Z:Z,"Revisar"),"")</f>
        <v/>
      </c>
      <c r="AH994" s="179" t="str">
        <f t="array" ref="AH994">IF($F994&lt;&gt;"", XLOOKUP($F994,Productos!$A$2:$A1001,Productos!AA$2:AA1001,"")*$G994,"")</f>
        <v/>
      </c>
      <c r="AI994" s="179" t="str">
        <f t="array" ref="AI994">IF($F994&lt;&gt;"",XLOOKUP($F994,Productos!$A:$A,Productos!AB:AB,"Revisar"),"")</f>
        <v/>
      </c>
      <c r="AJ994" s="179" t="str">
        <f t="array" ref="AJ994">IF($F994&lt;&gt;"", XLOOKUP($F994,Productos!$A$2:$A1001,Productos!AC$2:AC1001,"")*$G994,"")</f>
        <v/>
      </c>
      <c r="AK994" s="179" t="str">
        <f t="array" ref="AK994">IF($F994&lt;&gt;"",XLOOKUP($F994,Productos!$A:$A,Productos!AD:AD,"Revisar"),"")</f>
        <v/>
      </c>
      <c r="AL994" s="179" t="str">
        <f t="array" ref="AL994">IF($F994&lt;&gt;"", XLOOKUP($F994,Productos!$A$2:$A1001,Productos!AE$2:AE1001,"")*$G994,"")</f>
        <v/>
      </c>
      <c r="AM994" s="179" t="str">
        <f t="array" ref="AM994">IF($F994&lt;&gt;"",XLOOKUP($F994,Productos!$A:$A,Productos!AF:AF,"Revisar"),"")</f>
        <v/>
      </c>
      <c r="AN994" s="179" t="str">
        <f t="array" ref="AN994">IF($F994&lt;&gt;"", XLOOKUP($F994,Productos!$A$2:$A1001,Productos!AG$2:AG1001,"")*$G994,"")</f>
        <v/>
      </c>
      <c r="AO994" s="179" t="str">
        <f t="array" ref="AO994">IF($F994&lt;&gt;"",XLOOKUP($F994,Productos!$A:$A,Productos!AH:AH,"Revisar"),"")</f>
        <v/>
      </c>
      <c r="AP994" s="179" t="str">
        <f t="array" ref="AP994">IF($F994&lt;&gt;"", XLOOKUP($F994,Productos!$A$2:$A1001,Productos!AI$2:AI1001,"")*$G994,"")</f>
        <v/>
      </c>
      <c r="AQ994" s="179" t="str">
        <f t="array" ref="AQ994">IF($F994&lt;&gt;"",XLOOKUP($F994,Productos!$A:$A,Productos!AJ:AJ,"Revisar"),"")</f>
        <v/>
      </c>
      <c r="AR994" s="179" t="str">
        <f t="array" ref="AR994">IF($F994&lt;&gt;"", XLOOKUP($F994,Productos!$A$2:$A1001,Productos!AK$2:AK1001,"")*$G994,"")</f>
        <v/>
      </c>
      <c r="AS994" s="179" t="str">
        <f t="array" ref="AS994">IF($F994&lt;&gt;"",XLOOKUP($F994,Productos!$A:$A,Productos!AL:AL,"Revisar"),"")</f>
        <v/>
      </c>
      <c r="AT994" s="179" t="str">
        <f t="array" ref="AT994">IF($F994&lt;&gt;"", XLOOKUP($F994,Productos!$A$2:$A1001,Productos!AM$2:AM1001,"")*$G994,"")</f>
        <v/>
      </c>
      <c r="AU994" s="179" t="str">
        <f t="array" ref="AU994">IF($F994&lt;&gt;"",XLOOKUP($F994,Productos!$A:$A,Productos!AN:AN,"Revisar"),"")</f>
        <v/>
      </c>
      <c r="AV994" s="179" t="str">
        <f t="array" ref="AV994">IF($F994&lt;&gt;"", XLOOKUP($F994,Productos!$A$2:$A1001,Productos!AO$2:AO1001,"")*$G994,"")</f>
        <v/>
      </c>
      <c r="AW994" s="179" t="str">
        <f t="array" ref="AW994">IF($F994&lt;&gt;"",XLOOKUP($F994,Productos!$A:$A,Productos!AP:AP,"Revisar"),"")</f>
        <v/>
      </c>
      <c r="AX994" s="179" t="str">
        <f t="array" ref="AX994">IF($F994&lt;&gt;"", XLOOKUP($F994,Productos!$A$2:$A1001,Productos!AQ$2:AQ1001,"")*$G994,"")</f>
        <v/>
      </c>
      <c r="AY994" s="179" t="str">
        <f t="array" ref="AY994">IF($F994&lt;&gt;"",XLOOKUP($F994,Productos!$A:$A,Productos!AR:AR,"Revisar"),"")</f>
        <v/>
      </c>
      <c r="AZ994" s="179" t="str">
        <f t="array" ref="AZ994">IF($F994&lt;&gt;"", XLOOKUP($F994,Productos!$A$2:$A1001,Productos!AS$2:AS1001,"")*$G994,"")</f>
        <v/>
      </c>
      <c r="BA994" s="179" t="str">
        <f t="array" ref="BA994">IF($F994&lt;&gt;"",XLOOKUP($F994,Productos!$A:$A,Productos!AT:AT,"Revisar"),"")</f>
        <v/>
      </c>
      <c r="BB994" s="179" t="str">
        <f t="array" ref="BB994">IF($F994&lt;&gt;"", XLOOKUP($F994,Productos!$A$2:$A1001,Productos!AU$2:AU1001,"")*$G994,"")</f>
        <v/>
      </c>
      <c r="BC994" s="179" t="str">
        <f t="array" ref="BC994">IF($F994&lt;&gt;"",XLOOKUP($F994,Productos!$A:$A,Productos!AV:AV,"Revisar"),"")</f>
        <v/>
      </c>
      <c r="BD994" s="179" t="str">
        <f t="array" ref="BD994">IF($F994&lt;&gt;"", XLOOKUP($F994,Productos!$A$2:$A1001,Productos!AW$2:AW1001,"")*$G994,"")</f>
        <v/>
      </c>
      <c r="BE994" s="179" t="str">
        <f t="array" ref="BE994">IF($F994&lt;&gt;"",XLOOKUP($F994,Productos!$A:$A,Productos!AX:AX,"Revisar"),"")</f>
        <v/>
      </c>
      <c r="BF994" s="179" t="str">
        <f t="array" ref="BF994">IF($F994&lt;&gt;"", XLOOKUP($F994,Productos!$A$2:$A1001,Productos!AY$2:AY1001,"")*$G994,"")</f>
        <v/>
      </c>
      <c r="BG994" s="179" t="str">
        <f t="array" ref="BG994">IF($F994&lt;&gt;"",XLOOKUP($F994,Productos!$A:$A,Productos!AZ:AZ,"Revisar"),"")</f>
        <v/>
      </c>
      <c r="BH994" s="179" t="str">
        <f t="array" ref="BH994">IF($F994&lt;&gt;"", XLOOKUP($F994,Productos!$A$2:$A1001,Productos!BA$2:BA1001,"")*$G994,"")</f>
        <v/>
      </c>
      <c r="BI994" s="179" t="str">
        <f t="array" ref="BI994">IF($F994&lt;&gt;"",XLOOKUP($F994,Productos!$A:$A,Productos!BB:BB,"Revisar"),"")</f>
        <v/>
      </c>
      <c r="BJ994" s="179" t="str">
        <f t="array" ref="BJ994">IF($F994&lt;&gt;"", XLOOKUP($F994,Productos!$A$2:$A1001,Productos!BC$2:BC1001,"")*$G994,"")</f>
        <v/>
      </c>
      <c r="BK994" s="179" t="str">
        <f t="array" ref="BK994">IF($F994&lt;&gt;"",XLOOKUP($F994,Productos!$A:$A,Productos!BD:BD,"Revisar"),"")</f>
        <v/>
      </c>
      <c r="BL994" s="179" t="str">
        <f t="array" ref="BL994">IF($F994&lt;&gt;"", XLOOKUP($F994,Productos!$A$2:$A1001,Productos!BE$2:BE1001,"")*$G994,"")</f>
        <v/>
      </c>
      <c r="BM994" s="179" t="str">
        <f t="array" ref="BM994">IF($F994&lt;&gt;"",XLOOKUP($F994,Productos!$A:$A,Productos!BF:BF,"Revisar"),"")</f>
        <v/>
      </c>
      <c r="BN994" s="179" t="str">
        <f t="array" ref="BN994">IF($F994&lt;&gt;"", XLOOKUP($F994,Productos!$A$2:$A1001,Productos!BG$2:BG1001,"")*$G994,"")</f>
        <v/>
      </c>
      <c r="BO994" s="179" t="str">
        <f t="array" ref="BO994">IF($F994&lt;&gt;"",XLOOKUP($F994,Productos!$A:$A,Productos!BH:BH,"Revisar"),"")</f>
        <v/>
      </c>
      <c r="BP994" s="179" t="str">
        <f t="array" ref="BP994">IF($F994&lt;&gt;"", XLOOKUP($F994,Productos!$A$2:$A1001,Productos!BI$2:BI1001,"")*$G994,"")</f>
        <v/>
      </c>
      <c r="BQ994" s="179" t="str">
        <f t="array" ref="BQ994">IF($F994&lt;&gt;"",XLOOKUP($F994,Productos!$A:$A,Productos!BJ:BJ,"Revisar"),"")</f>
        <v/>
      </c>
      <c r="BR994" s="179" t="str">
        <f t="array" ref="BR994">IF($F994&lt;&gt;"", XLOOKUP($F994,Productos!$A$2:$A1001,Productos!BK$2:BK1001,"")*$G994,"")</f>
        <v/>
      </c>
      <c r="BS994" s="179" t="str">
        <f t="array" ref="BS994">IF($F994&lt;&gt;"",XLOOKUP($F994,Productos!$A:$A,Productos!BL:BL,"Revisar"),"")</f>
        <v/>
      </c>
      <c r="BT994" s="179" t="str">
        <f t="array" ref="BT994">IF($F994&lt;&gt;"", XLOOKUP($F994,Productos!$A$2:$A1001,Productos!BM$2:BM1001,"")*$G994,"")</f>
        <v/>
      </c>
      <c r="BU994" s="179" t="str">
        <f t="array" ref="BU994">IF($F994&lt;&gt;"",XLOOKUP($F994,Productos!$A:$A,Productos!BN:BN,"Revisar"),"")</f>
        <v/>
      </c>
      <c r="BV994" s="179" t="str">
        <f t="array" ref="BV994">IF($F994&lt;&gt;"", XLOOKUP($F994,Productos!$A$2:$A1001,Productos!BO$2:BO1001,"")*$G994,"")</f>
        <v/>
      </c>
      <c r="BW994" s="179" t="str">
        <f t="array" ref="BW994">IF($F994&lt;&gt;"",XLOOKUP($F994,Productos!$A:$A,Productos!BP:BP,"Revisar"),"")</f>
        <v/>
      </c>
      <c r="BX994" s="179" t="str">
        <f t="array" ref="BX994">IF($F994&lt;&gt;"", XLOOKUP($F994,Productos!$A$2:$A1001,Productos!BQ$2:BQ1001,"")*$G994,"")</f>
        <v/>
      </c>
      <c r="BY994" s="179" t="str">
        <f t="array" ref="BY994">IF($F994&lt;&gt;"",XLOOKUP($F994,Productos!$A:$A,Productos!BR:BR,"Revisar"),"")</f>
        <v/>
      </c>
      <c r="BZ994" s="179" t="str">
        <f t="array" ref="BZ994">IF($F994&lt;&gt;"", XLOOKUP($F994,Productos!$A$2:$A1001,Productos!BS$2:BS1001,"")*$G994,"")</f>
        <v/>
      </c>
    </row>
    <row r="995">
      <c r="A995" s="188"/>
      <c r="B995" s="189"/>
      <c r="C995" s="190"/>
      <c r="D995" s="190"/>
      <c r="E995" s="191"/>
      <c r="F995" s="186"/>
      <c r="G995" s="192"/>
      <c r="H995" s="9"/>
      <c r="I995" s="179" t="str">
        <f t="array" ref="I995">IF($F995&lt;&gt;"",XLOOKUP($F995,Productos!$A:$A,Productos!B:B,"Revisar"),"")</f>
        <v/>
      </c>
      <c r="J995" s="179" t="str">
        <f t="array" ref="J995">IF($F995&lt;&gt;"", XLOOKUP($F995,Productos!$A$2:$A1001,Productos!C$2:C1001,"")*$G995,"")</f>
        <v/>
      </c>
      <c r="K995" s="179" t="str">
        <f t="array" ref="K995">IF($F995&lt;&gt;"",XLOOKUP($F995,Productos!$A:$A,Productos!D:D,"Revisar"),"")</f>
        <v/>
      </c>
      <c r="L995" s="179" t="str">
        <f t="array" ref="L995">IF($F995&lt;&gt;"", XLOOKUP($F995,Productos!$A$2:$A1001,Productos!E$2:E1001,"")*$G995,"")</f>
        <v/>
      </c>
      <c r="M995" s="179" t="str">
        <f t="array" ref="M995">IF($F995&lt;&gt;"",XLOOKUP($F995,Productos!$A:$A,Productos!F:F,"Revisar"),"")</f>
        <v/>
      </c>
      <c r="N995" s="179" t="str">
        <f t="array" ref="N995">IF($F995&lt;&gt;"", XLOOKUP($F995,Productos!$A$2:$A1001,Productos!G$2:G1001,"")*$G995,"")</f>
        <v/>
      </c>
      <c r="O995" s="179" t="str">
        <f t="array" ref="O995">IF($F995&lt;&gt;"",XLOOKUP($F995,Productos!$A:$A,Productos!H:H,"Revisar"),"")</f>
        <v/>
      </c>
      <c r="P995" s="179" t="str">
        <f t="array" ref="P995">IF($F995&lt;&gt;"", XLOOKUP($F995,Productos!$A$2:$A1001,Productos!I$2:I1001,"")*$G995,"")</f>
        <v/>
      </c>
      <c r="Q995" s="179" t="str">
        <f t="array" ref="Q995">IF($F995&lt;&gt;"",XLOOKUP($F995,Productos!$A:$A,Productos!J:J,"Revisar"),"")</f>
        <v/>
      </c>
      <c r="R995" s="179" t="str">
        <f t="array" ref="R995">IF($F995&lt;&gt;"", XLOOKUP($F995,Productos!$A$2:$A1001,Productos!K$2:K1001,"")*$G995,"")</f>
        <v/>
      </c>
      <c r="S995" s="179" t="str">
        <f t="array" ref="S995">IF($F995&lt;&gt;"",XLOOKUP($F995,Productos!$A:$A,Productos!L:L,"Revisar"),"")</f>
        <v/>
      </c>
      <c r="T995" s="179" t="str">
        <f t="array" ref="T995">IF($F995&lt;&gt;"", XLOOKUP($F995,Productos!$A$2:$A1001,Productos!M$2:M1001,"")*$G995,"")</f>
        <v/>
      </c>
      <c r="U995" s="179" t="str">
        <f t="array" ref="U995">IF($F995&lt;&gt;"",XLOOKUP($F995,Productos!$A:$A,Productos!N:N,"Revisar"),"")</f>
        <v/>
      </c>
      <c r="V995" s="179" t="str">
        <f t="array" ref="V995">IF($F995&lt;&gt;"", XLOOKUP($F995,Productos!$A$2:$A1001,Productos!O$2:O1001,"")*$G995,"")</f>
        <v/>
      </c>
      <c r="W995" s="179" t="str">
        <f t="array" ref="W995">IF($F995&lt;&gt;"",XLOOKUP($F995,Productos!$A:$A,Productos!P:P,"Revisar"),"")</f>
        <v/>
      </c>
      <c r="X995" s="179" t="str">
        <f t="array" ref="X995">IF($F995&lt;&gt;"", XLOOKUP($F995,Productos!$A$2:$A1001,Productos!Q$2:Q1001,"")*$G995,"")</f>
        <v/>
      </c>
      <c r="Y995" s="179" t="str">
        <f t="array" ref="Y995">IF($F995&lt;&gt;"",XLOOKUP($F995,Productos!$A:$A,Productos!R:R,"Revisar"),"")</f>
        <v/>
      </c>
      <c r="Z995" s="179" t="str">
        <f t="array" ref="Z995">IF($F995&lt;&gt;"", XLOOKUP($F995,Productos!$A$2:$A1001,Productos!S$2:S1001,"")*$G995,"")</f>
        <v/>
      </c>
      <c r="AA995" s="179" t="str">
        <f t="array" ref="AA995">IF($F995&lt;&gt;"",XLOOKUP($F995,Productos!$A:$A,Productos!T:T,"Revisar"),"")</f>
        <v/>
      </c>
      <c r="AB995" s="179" t="str">
        <f t="array" ref="AB995">IF($F995&lt;&gt;"", XLOOKUP($F995,Productos!$A$2:$A1001,Productos!U$2:U1001,"")*$G995,"")</f>
        <v/>
      </c>
      <c r="AC995" s="179" t="str">
        <f t="array" ref="AC995">IF($F995&lt;&gt;"",XLOOKUP($F995,Productos!$A:$A,Productos!V:V,"Revisar"),"")</f>
        <v/>
      </c>
      <c r="AD995" s="179" t="str">
        <f t="array" ref="AD995">IF($F995&lt;&gt;"", XLOOKUP($F995,Productos!$A$2:$A1001,Productos!W$2:W1001,"")*$G995,"")</f>
        <v/>
      </c>
      <c r="AE995" s="179" t="str">
        <f t="array" ref="AE995">IF($F995&lt;&gt;"",XLOOKUP($F995,Productos!$A:$A,Productos!X:X,"Revisar"),"")</f>
        <v/>
      </c>
      <c r="AF995" s="179" t="str">
        <f t="array" ref="AF995">IF($F995&lt;&gt;"", XLOOKUP($F995,Productos!$A$2:$A1001,Productos!Y$2:Y1001,"")*$G995,"")</f>
        <v/>
      </c>
      <c r="AG995" s="179" t="str">
        <f t="array" ref="AG995">IF($F995&lt;&gt;"",XLOOKUP($F995,Productos!$A:$A,Productos!Z:Z,"Revisar"),"")</f>
        <v/>
      </c>
      <c r="AH995" s="179" t="str">
        <f t="array" ref="AH995">IF($F995&lt;&gt;"", XLOOKUP($F995,Productos!$A$2:$A1001,Productos!AA$2:AA1001,"")*$G995,"")</f>
        <v/>
      </c>
      <c r="AI995" s="179" t="str">
        <f t="array" ref="AI995">IF($F995&lt;&gt;"",XLOOKUP($F995,Productos!$A:$A,Productos!AB:AB,"Revisar"),"")</f>
        <v/>
      </c>
      <c r="AJ995" s="179" t="str">
        <f t="array" ref="AJ995">IF($F995&lt;&gt;"", XLOOKUP($F995,Productos!$A$2:$A1001,Productos!AC$2:AC1001,"")*$G995,"")</f>
        <v/>
      </c>
      <c r="AK995" s="179" t="str">
        <f t="array" ref="AK995">IF($F995&lt;&gt;"",XLOOKUP($F995,Productos!$A:$A,Productos!AD:AD,"Revisar"),"")</f>
        <v/>
      </c>
      <c r="AL995" s="179" t="str">
        <f t="array" ref="AL995">IF($F995&lt;&gt;"", XLOOKUP($F995,Productos!$A$2:$A1001,Productos!AE$2:AE1001,"")*$G995,"")</f>
        <v/>
      </c>
      <c r="AM995" s="179" t="str">
        <f t="array" ref="AM995">IF($F995&lt;&gt;"",XLOOKUP($F995,Productos!$A:$A,Productos!AF:AF,"Revisar"),"")</f>
        <v/>
      </c>
      <c r="AN995" s="179" t="str">
        <f t="array" ref="AN995">IF($F995&lt;&gt;"", XLOOKUP($F995,Productos!$A$2:$A1001,Productos!AG$2:AG1001,"")*$G995,"")</f>
        <v/>
      </c>
      <c r="AO995" s="179" t="str">
        <f t="array" ref="AO995">IF($F995&lt;&gt;"",XLOOKUP($F995,Productos!$A:$A,Productos!AH:AH,"Revisar"),"")</f>
        <v/>
      </c>
      <c r="AP995" s="179" t="str">
        <f t="array" ref="AP995">IF($F995&lt;&gt;"", XLOOKUP($F995,Productos!$A$2:$A1001,Productos!AI$2:AI1001,"")*$G995,"")</f>
        <v/>
      </c>
      <c r="AQ995" s="179" t="str">
        <f t="array" ref="AQ995">IF($F995&lt;&gt;"",XLOOKUP($F995,Productos!$A:$A,Productos!AJ:AJ,"Revisar"),"")</f>
        <v/>
      </c>
      <c r="AR995" s="179" t="str">
        <f t="array" ref="AR995">IF($F995&lt;&gt;"", XLOOKUP($F995,Productos!$A$2:$A1001,Productos!AK$2:AK1001,"")*$G995,"")</f>
        <v/>
      </c>
      <c r="AS995" s="179" t="str">
        <f t="array" ref="AS995">IF($F995&lt;&gt;"",XLOOKUP($F995,Productos!$A:$A,Productos!AL:AL,"Revisar"),"")</f>
        <v/>
      </c>
      <c r="AT995" s="179" t="str">
        <f t="array" ref="AT995">IF($F995&lt;&gt;"", XLOOKUP($F995,Productos!$A$2:$A1001,Productos!AM$2:AM1001,"")*$G995,"")</f>
        <v/>
      </c>
      <c r="AU995" s="179" t="str">
        <f t="array" ref="AU995">IF($F995&lt;&gt;"",XLOOKUP($F995,Productos!$A:$A,Productos!AN:AN,"Revisar"),"")</f>
        <v/>
      </c>
      <c r="AV995" s="179" t="str">
        <f t="array" ref="AV995">IF($F995&lt;&gt;"", XLOOKUP($F995,Productos!$A$2:$A1001,Productos!AO$2:AO1001,"")*$G995,"")</f>
        <v/>
      </c>
      <c r="AW995" s="179" t="str">
        <f t="array" ref="AW995">IF($F995&lt;&gt;"",XLOOKUP($F995,Productos!$A:$A,Productos!AP:AP,"Revisar"),"")</f>
        <v/>
      </c>
      <c r="AX995" s="179" t="str">
        <f t="array" ref="AX995">IF($F995&lt;&gt;"", XLOOKUP($F995,Productos!$A$2:$A1001,Productos!AQ$2:AQ1001,"")*$G995,"")</f>
        <v/>
      </c>
      <c r="AY995" s="179" t="str">
        <f t="array" ref="AY995">IF($F995&lt;&gt;"",XLOOKUP($F995,Productos!$A:$A,Productos!AR:AR,"Revisar"),"")</f>
        <v/>
      </c>
      <c r="AZ995" s="179" t="str">
        <f t="array" ref="AZ995">IF($F995&lt;&gt;"", XLOOKUP($F995,Productos!$A$2:$A1001,Productos!AS$2:AS1001,"")*$G995,"")</f>
        <v/>
      </c>
      <c r="BA995" s="179" t="str">
        <f t="array" ref="BA995">IF($F995&lt;&gt;"",XLOOKUP($F995,Productos!$A:$A,Productos!AT:AT,"Revisar"),"")</f>
        <v/>
      </c>
      <c r="BB995" s="179" t="str">
        <f t="array" ref="BB995">IF($F995&lt;&gt;"", XLOOKUP($F995,Productos!$A$2:$A1001,Productos!AU$2:AU1001,"")*$G995,"")</f>
        <v/>
      </c>
      <c r="BC995" s="179" t="str">
        <f t="array" ref="BC995">IF($F995&lt;&gt;"",XLOOKUP($F995,Productos!$A:$A,Productos!AV:AV,"Revisar"),"")</f>
        <v/>
      </c>
      <c r="BD995" s="179" t="str">
        <f t="array" ref="BD995">IF($F995&lt;&gt;"", XLOOKUP($F995,Productos!$A$2:$A1001,Productos!AW$2:AW1001,"")*$G995,"")</f>
        <v/>
      </c>
      <c r="BE995" s="179" t="str">
        <f t="array" ref="BE995">IF($F995&lt;&gt;"",XLOOKUP($F995,Productos!$A:$A,Productos!AX:AX,"Revisar"),"")</f>
        <v/>
      </c>
      <c r="BF995" s="179" t="str">
        <f t="array" ref="BF995">IF($F995&lt;&gt;"", XLOOKUP($F995,Productos!$A$2:$A1001,Productos!AY$2:AY1001,"")*$G995,"")</f>
        <v/>
      </c>
      <c r="BG995" s="179" t="str">
        <f t="array" ref="BG995">IF($F995&lt;&gt;"",XLOOKUP($F995,Productos!$A:$A,Productos!AZ:AZ,"Revisar"),"")</f>
        <v/>
      </c>
      <c r="BH995" s="179" t="str">
        <f t="array" ref="BH995">IF($F995&lt;&gt;"", XLOOKUP($F995,Productos!$A$2:$A1001,Productos!BA$2:BA1001,"")*$G995,"")</f>
        <v/>
      </c>
      <c r="BI995" s="179" t="str">
        <f t="array" ref="BI995">IF($F995&lt;&gt;"",XLOOKUP($F995,Productos!$A:$A,Productos!BB:BB,"Revisar"),"")</f>
        <v/>
      </c>
      <c r="BJ995" s="179" t="str">
        <f t="array" ref="BJ995">IF($F995&lt;&gt;"", XLOOKUP($F995,Productos!$A$2:$A1001,Productos!BC$2:BC1001,"")*$G995,"")</f>
        <v/>
      </c>
      <c r="BK995" s="179" t="str">
        <f t="array" ref="BK995">IF($F995&lt;&gt;"",XLOOKUP($F995,Productos!$A:$A,Productos!BD:BD,"Revisar"),"")</f>
        <v/>
      </c>
      <c r="BL995" s="179" t="str">
        <f t="array" ref="BL995">IF($F995&lt;&gt;"", XLOOKUP($F995,Productos!$A$2:$A1001,Productos!BE$2:BE1001,"")*$G995,"")</f>
        <v/>
      </c>
      <c r="BM995" s="179" t="str">
        <f t="array" ref="BM995">IF($F995&lt;&gt;"",XLOOKUP($F995,Productos!$A:$A,Productos!BF:BF,"Revisar"),"")</f>
        <v/>
      </c>
      <c r="BN995" s="179" t="str">
        <f t="array" ref="BN995">IF($F995&lt;&gt;"", XLOOKUP($F995,Productos!$A$2:$A1001,Productos!BG$2:BG1001,"")*$G995,"")</f>
        <v/>
      </c>
      <c r="BO995" s="179" t="str">
        <f t="array" ref="BO995">IF($F995&lt;&gt;"",XLOOKUP($F995,Productos!$A:$A,Productos!BH:BH,"Revisar"),"")</f>
        <v/>
      </c>
      <c r="BP995" s="179" t="str">
        <f t="array" ref="BP995">IF($F995&lt;&gt;"", XLOOKUP($F995,Productos!$A$2:$A1001,Productos!BI$2:BI1001,"")*$G995,"")</f>
        <v/>
      </c>
      <c r="BQ995" s="179" t="str">
        <f t="array" ref="BQ995">IF($F995&lt;&gt;"",XLOOKUP($F995,Productos!$A:$A,Productos!BJ:BJ,"Revisar"),"")</f>
        <v/>
      </c>
      <c r="BR995" s="179" t="str">
        <f t="array" ref="BR995">IF($F995&lt;&gt;"", XLOOKUP($F995,Productos!$A$2:$A1001,Productos!BK$2:BK1001,"")*$G995,"")</f>
        <v/>
      </c>
      <c r="BS995" s="179" t="str">
        <f t="array" ref="BS995">IF($F995&lt;&gt;"",XLOOKUP($F995,Productos!$A:$A,Productos!BL:BL,"Revisar"),"")</f>
        <v/>
      </c>
      <c r="BT995" s="179" t="str">
        <f t="array" ref="BT995">IF($F995&lt;&gt;"", XLOOKUP($F995,Productos!$A$2:$A1001,Productos!BM$2:BM1001,"")*$G995,"")</f>
        <v/>
      </c>
      <c r="BU995" s="179" t="str">
        <f t="array" ref="BU995">IF($F995&lt;&gt;"",XLOOKUP($F995,Productos!$A:$A,Productos!BN:BN,"Revisar"),"")</f>
        <v/>
      </c>
      <c r="BV995" s="179" t="str">
        <f t="array" ref="BV995">IF($F995&lt;&gt;"", XLOOKUP($F995,Productos!$A$2:$A1001,Productos!BO$2:BO1001,"")*$G995,"")</f>
        <v/>
      </c>
      <c r="BW995" s="179" t="str">
        <f t="array" ref="BW995">IF($F995&lt;&gt;"",XLOOKUP($F995,Productos!$A:$A,Productos!BP:BP,"Revisar"),"")</f>
        <v/>
      </c>
      <c r="BX995" s="179" t="str">
        <f t="array" ref="BX995">IF($F995&lt;&gt;"", XLOOKUP($F995,Productos!$A$2:$A1001,Productos!BQ$2:BQ1001,"")*$G995,"")</f>
        <v/>
      </c>
      <c r="BY995" s="179" t="str">
        <f t="array" ref="BY995">IF($F995&lt;&gt;"",XLOOKUP($F995,Productos!$A:$A,Productos!BR:BR,"Revisar"),"")</f>
        <v/>
      </c>
      <c r="BZ995" s="179" t="str">
        <f t="array" ref="BZ995">IF($F995&lt;&gt;"", XLOOKUP($F995,Productos!$A$2:$A1001,Productos!BS$2:BS1001,"")*$G995,"")</f>
        <v/>
      </c>
    </row>
    <row r="996">
      <c r="A996" s="188"/>
      <c r="B996" s="189"/>
      <c r="C996" s="190"/>
      <c r="D996" s="190"/>
      <c r="E996" s="191"/>
      <c r="F996" s="186"/>
      <c r="G996" s="192"/>
      <c r="H996" s="9"/>
      <c r="I996" s="179" t="str">
        <f t="array" ref="I996">IF($F996&lt;&gt;"",XLOOKUP($F996,Productos!$A:$A,Productos!B:B,"Revisar"),"")</f>
        <v/>
      </c>
      <c r="J996" s="179" t="str">
        <f t="array" ref="J996">IF($F996&lt;&gt;"", XLOOKUP($F996,Productos!$A$2:$A1001,Productos!C$2:C1001,"")*$G996,"")</f>
        <v/>
      </c>
      <c r="K996" s="179" t="str">
        <f t="array" ref="K996">IF($F996&lt;&gt;"",XLOOKUP($F996,Productos!$A:$A,Productos!D:D,"Revisar"),"")</f>
        <v/>
      </c>
      <c r="L996" s="179" t="str">
        <f t="array" ref="L996">IF($F996&lt;&gt;"", XLOOKUP($F996,Productos!$A$2:$A1001,Productos!E$2:E1001,"")*$G996,"")</f>
        <v/>
      </c>
      <c r="M996" s="179" t="str">
        <f t="array" ref="M996">IF($F996&lt;&gt;"",XLOOKUP($F996,Productos!$A:$A,Productos!F:F,"Revisar"),"")</f>
        <v/>
      </c>
      <c r="N996" s="179" t="str">
        <f t="array" ref="N996">IF($F996&lt;&gt;"", XLOOKUP($F996,Productos!$A$2:$A1001,Productos!G$2:G1001,"")*$G996,"")</f>
        <v/>
      </c>
      <c r="O996" s="179" t="str">
        <f t="array" ref="O996">IF($F996&lt;&gt;"",XLOOKUP($F996,Productos!$A:$A,Productos!H:H,"Revisar"),"")</f>
        <v/>
      </c>
      <c r="P996" s="179" t="str">
        <f t="array" ref="P996">IF($F996&lt;&gt;"", XLOOKUP($F996,Productos!$A$2:$A1001,Productos!I$2:I1001,"")*$G996,"")</f>
        <v/>
      </c>
      <c r="Q996" s="179" t="str">
        <f t="array" ref="Q996">IF($F996&lt;&gt;"",XLOOKUP($F996,Productos!$A:$A,Productos!J:J,"Revisar"),"")</f>
        <v/>
      </c>
      <c r="R996" s="179" t="str">
        <f t="array" ref="R996">IF($F996&lt;&gt;"", XLOOKUP($F996,Productos!$A$2:$A1001,Productos!K$2:K1001,"")*$G996,"")</f>
        <v/>
      </c>
      <c r="S996" s="179" t="str">
        <f t="array" ref="S996">IF($F996&lt;&gt;"",XLOOKUP($F996,Productos!$A:$A,Productos!L:L,"Revisar"),"")</f>
        <v/>
      </c>
      <c r="T996" s="179" t="str">
        <f t="array" ref="T996">IF($F996&lt;&gt;"", XLOOKUP($F996,Productos!$A$2:$A1001,Productos!M$2:M1001,"")*$G996,"")</f>
        <v/>
      </c>
      <c r="U996" s="179" t="str">
        <f t="array" ref="U996">IF($F996&lt;&gt;"",XLOOKUP($F996,Productos!$A:$A,Productos!N:N,"Revisar"),"")</f>
        <v/>
      </c>
      <c r="V996" s="179" t="str">
        <f t="array" ref="V996">IF($F996&lt;&gt;"", XLOOKUP($F996,Productos!$A$2:$A1001,Productos!O$2:O1001,"")*$G996,"")</f>
        <v/>
      </c>
      <c r="W996" s="179" t="str">
        <f t="array" ref="W996">IF($F996&lt;&gt;"",XLOOKUP($F996,Productos!$A:$A,Productos!P:P,"Revisar"),"")</f>
        <v/>
      </c>
      <c r="X996" s="179" t="str">
        <f t="array" ref="X996">IF($F996&lt;&gt;"", XLOOKUP($F996,Productos!$A$2:$A1001,Productos!Q$2:Q1001,"")*$G996,"")</f>
        <v/>
      </c>
      <c r="Y996" s="179" t="str">
        <f t="array" ref="Y996">IF($F996&lt;&gt;"",XLOOKUP($F996,Productos!$A:$A,Productos!R:R,"Revisar"),"")</f>
        <v/>
      </c>
      <c r="Z996" s="179" t="str">
        <f t="array" ref="Z996">IF($F996&lt;&gt;"", XLOOKUP($F996,Productos!$A$2:$A1001,Productos!S$2:S1001,"")*$G996,"")</f>
        <v/>
      </c>
      <c r="AA996" s="179" t="str">
        <f t="array" ref="AA996">IF($F996&lt;&gt;"",XLOOKUP($F996,Productos!$A:$A,Productos!T:T,"Revisar"),"")</f>
        <v/>
      </c>
      <c r="AB996" s="179" t="str">
        <f t="array" ref="AB996">IF($F996&lt;&gt;"", XLOOKUP($F996,Productos!$A$2:$A1001,Productos!U$2:U1001,"")*$G996,"")</f>
        <v/>
      </c>
      <c r="AC996" s="179" t="str">
        <f t="array" ref="AC996">IF($F996&lt;&gt;"",XLOOKUP($F996,Productos!$A:$A,Productos!V:V,"Revisar"),"")</f>
        <v/>
      </c>
      <c r="AD996" s="179" t="str">
        <f t="array" ref="AD996">IF($F996&lt;&gt;"", XLOOKUP($F996,Productos!$A$2:$A1001,Productos!W$2:W1001,"")*$G996,"")</f>
        <v/>
      </c>
      <c r="AE996" s="179" t="str">
        <f t="array" ref="AE996">IF($F996&lt;&gt;"",XLOOKUP($F996,Productos!$A:$A,Productos!X:X,"Revisar"),"")</f>
        <v/>
      </c>
      <c r="AF996" s="179" t="str">
        <f t="array" ref="AF996">IF($F996&lt;&gt;"", XLOOKUP($F996,Productos!$A$2:$A1001,Productos!Y$2:Y1001,"")*$G996,"")</f>
        <v/>
      </c>
      <c r="AG996" s="179" t="str">
        <f t="array" ref="AG996">IF($F996&lt;&gt;"",XLOOKUP($F996,Productos!$A:$A,Productos!Z:Z,"Revisar"),"")</f>
        <v/>
      </c>
      <c r="AH996" s="179" t="str">
        <f t="array" ref="AH996">IF($F996&lt;&gt;"", XLOOKUP($F996,Productos!$A$2:$A1001,Productos!AA$2:AA1001,"")*$G996,"")</f>
        <v/>
      </c>
      <c r="AI996" s="179" t="str">
        <f t="array" ref="AI996">IF($F996&lt;&gt;"",XLOOKUP($F996,Productos!$A:$A,Productos!AB:AB,"Revisar"),"")</f>
        <v/>
      </c>
      <c r="AJ996" s="179" t="str">
        <f t="array" ref="AJ996">IF($F996&lt;&gt;"", XLOOKUP($F996,Productos!$A$2:$A1001,Productos!AC$2:AC1001,"")*$G996,"")</f>
        <v/>
      </c>
      <c r="AK996" s="179" t="str">
        <f t="array" ref="AK996">IF($F996&lt;&gt;"",XLOOKUP($F996,Productos!$A:$A,Productos!AD:AD,"Revisar"),"")</f>
        <v/>
      </c>
      <c r="AL996" s="179" t="str">
        <f t="array" ref="AL996">IF($F996&lt;&gt;"", XLOOKUP($F996,Productos!$A$2:$A1001,Productos!AE$2:AE1001,"")*$G996,"")</f>
        <v/>
      </c>
      <c r="AM996" s="179" t="str">
        <f t="array" ref="AM996">IF($F996&lt;&gt;"",XLOOKUP($F996,Productos!$A:$A,Productos!AF:AF,"Revisar"),"")</f>
        <v/>
      </c>
      <c r="AN996" s="179" t="str">
        <f t="array" ref="AN996">IF($F996&lt;&gt;"", XLOOKUP($F996,Productos!$A$2:$A1001,Productos!AG$2:AG1001,"")*$G996,"")</f>
        <v/>
      </c>
      <c r="AO996" s="179" t="str">
        <f t="array" ref="AO996">IF($F996&lt;&gt;"",XLOOKUP($F996,Productos!$A:$A,Productos!AH:AH,"Revisar"),"")</f>
        <v/>
      </c>
      <c r="AP996" s="179" t="str">
        <f t="array" ref="AP996">IF($F996&lt;&gt;"", XLOOKUP($F996,Productos!$A$2:$A1001,Productos!AI$2:AI1001,"")*$G996,"")</f>
        <v/>
      </c>
      <c r="AQ996" s="179" t="str">
        <f t="array" ref="AQ996">IF($F996&lt;&gt;"",XLOOKUP($F996,Productos!$A:$A,Productos!AJ:AJ,"Revisar"),"")</f>
        <v/>
      </c>
      <c r="AR996" s="179" t="str">
        <f t="array" ref="AR996">IF($F996&lt;&gt;"", XLOOKUP($F996,Productos!$A$2:$A1001,Productos!AK$2:AK1001,"")*$G996,"")</f>
        <v/>
      </c>
      <c r="AS996" s="179" t="str">
        <f t="array" ref="AS996">IF($F996&lt;&gt;"",XLOOKUP($F996,Productos!$A:$A,Productos!AL:AL,"Revisar"),"")</f>
        <v/>
      </c>
      <c r="AT996" s="179" t="str">
        <f t="array" ref="AT996">IF($F996&lt;&gt;"", XLOOKUP($F996,Productos!$A$2:$A1001,Productos!AM$2:AM1001,"")*$G996,"")</f>
        <v/>
      </c>
      <c r="AU996" s="179" t="str">
        <f t="array" ref="AU996">IF($F996&lt;&gt;"",XLOOKUP($F996,Productos!$A:$A,Productos!AN:AN,"Revisar"),"")</f>
        <v/>
      </c>
      <c r="AV996" s="179" t="str">
        <f t="array" ref="AV996">IF($F996&lt;&gt;"", XLOOKUP($F996,Productos!$A$2:$A1001,Productos!AO$2:AO1001,"")*$G996,"")</f>
        <v/>
      </c>
      <c r="AW996" s="179" t="str">
        <f t="array" ref="AW996">IF($F996&lt;&gt;"",XLOOKUP($F996,Productos!$A:$A,Productos!AP:AP,"Revisar"),"")</f>
        <v/>
      </c>
      <c r="AX996" s="179" t="str">
        <f t="array" ref="AX996">IF($F996&lt;&gt;"", XLOOKUP($F996,Productos!$A$2:$A1001,Productos!AQ$2:AQ1001,"")*$G996,"")</f>
        <v/>
      </c>
      <c r="AY996" s="179" t="str">
        <f t="array" ref="AY996">IF($F996&lt;&gt;"",XLOOKUP($F996,Productos!$A:$A,Productos!AR:AR,"Revisar"),"")</f>
        <v/>
      </c>
      <c r="AZ996" s="179" t="str">
        <f t="array" ref="AZ996">IF($F996&lt;&gt;"", XLOOKUP($F996,Productos!$A$2:$A1001,Productos!AS$2:AS1001,"")*$G996,"")</f>
        <v/>
      </c>
      <c r="BA996" s="179" t="str">
        <f t="array" ref="BA996">IF($F996&lt;&gt;"",XLOOKUP($F996,Productos!$A:$A,Productos!AT:AT,"Revisar"),"")</f>
        <v/>
      </c>
      <c r="BB996" s="179" t="str">
        <f t="array" ref="BB996">IF($F996&lt;&gt;"", XLOOKUP($F996,Productos!$A$2:$A1001,Productos!AU$2:AU1001,"")*$G996,"")</f>
        <v/>
      </c>
      <c r="BC996" s="179" t="str">
        <f t="array" ref="BC996">IF($F996&lt;&gt;"",XLOOKUP($F996,Productos!$A:$A,Productos!AV:AV,"Revisar"),"")</f>
        <v/>
      </c>
      <c r="BD996" s="179" t="str">
        <f t="array" ref="BD996">IF($F996&lt;&gt;"", XLOOKUP($F996,Productos!$A$2:$A1001,Productos!AW$2:AW1001,"")*$G996,"")</f>
        <v/>
      </c>
      <c r="BE996" s="179" t="str">
        <f t="array" ref="BE996">IF($F996&lt;&gt;"",XLOOKUP($F996,Productos!$A:$A,Productos!AX:AX,"Revisar"),"")</f>
        <v/>
      </c>
      <c r="BF996" s="179" t="str">
        <f t="array" ref="BF996">IF($F996&lt;&gt;"", XLOOKUP($F996,Productos!$A$2:$A1001,Productos!AY$2:AY1001,"")*$G996,"")</f>
        <v/>
      </c>
      <c r="BG996" s="179" t="str">
        <f t="array" ref="BG996">IF($F996&lt;&gt;"",XLOOKUP($F996,Productos!$A:$A,Productos!AZ:AZ,"Revisar"),"")</f>
        <v/>
      </c>
      <c r="BH996" s="179" t="str">
        <f t="array" ref="BH996">IF($F996&lt;&gt;"", XLOOKUP($F996,Productos!$A$2:$A1001,Productos!BA$2:BA1001,"")*$G996,"")</f>
        <v/>
      </c>
      <c r="BI996" s="179" t="str">
        <f t="array" ref="BI996">IF($F996&lt;&gt;"",XLOOKUP($F996,Productos!$A:$A,Productos!BB:BB,"Revisar"),"")</f>
        <v/>
      </c>
      <c r="BJ996" s="179" t="str">
        <f t="array" ref="BJ996">IF($F996&lt;&gt;"", XLOOKUP($F996,Productos!$A$2:$A1001,Productos!BC$2:BC1001,"")*$G996,"")</f>
        <v/>
      </c>
      <c r="BK996" s="179" t="str">
        <f t="array" ref="BK996">IF($F996&lt;&gt;"",XLOOKUP($F996,Productos!$A:$A,Productos!BD:BD,"Revisar"),"")</f>
        <v/>
      </c>
      <c r="BL996" s="179" t="str">
        <f t="array" ref="BL996">IF($F996&lt;&gt;"", XLOOKUP($F996,Productos!$A$2:$A1001,Productos!BE$2:BE1001,"")*$G996,"")</f>
        <v/>
      </c>
      <c r="BM996" s="179" t="str">
        <f t="array" ref="BM996">IF($F996&lt;&gt;"",XLOOKUP($F996,Productos!$A:$A,Productos!BF:BF,"Revisar"),"")</f>
        <v/>
      </c>
      <c r="BN996" s="179" t="str">
        <f t="array" ref="BN996">IF($F996&lt;&gt;"", XLOOKUP($F996,Productos!$A$2:$A1001,Productos!BG$2:BG1001,"")*$G996,"")</f>
        <v/>
      </c>
      <c r="BO996" s="179" t="str">
        <f t="array" ref="BO996">IF($F996&lt;&gt;"",XLOOKUP($F996,Productos!$A:$A,Productos!BH:BH,"Revisar"),"")</f>
        <v/>
      </c>
      <c r="BP996" s="179" t="str">
        <f t="array" ref="BP996">IF($F996&lt;&gt;"", XLOOKUP($F996,Productos!$A$2:$A1001,Productos!BI$2:BI1001,"")*$G996,"")</f>
        <v/>
      </c>
      <c r="BQ996" s="179" t="str">
        <f t="array" ref="BQ996">IF($F996&lt;&gt;"",XLOOKUP($F996,Productos!$A:$A,Productos!BJ:BJ,"Revisar"),"")</f>
        <v/>
      </c>
      <c r="BR996" s="179" t="str">
        <f t="array" ref="BR996">IF($F996&lt;&gt;"", XLOOKUP($F996,Productos!$A$2:$A1001,Productos!BK$2:BK1001,"")*$G996,"")</f>
        <v/>
      </c>
      <c r="BS996" s="179" t="str">
        <f t="array" ref="BS996">IF($F996&lt;&gt;"",XLOOKUP($F996,Productos!$A:$A,Productos!BL:BL,"Revisar"),"")</f>
        <v/>
      </c>
      <c r="BT996" s="179" t="str">
        <f t="array" ref="BT996">IF($F996&lt;&gt;"", XLOOKUP($F996,Productos!$A$2:$A1001,Productos!BM$2:BM1001,"")*$G996,"")</f>
        <v/>
      </c>
      <c r="BU996" s="179" t="str">
        <f t="array" ref="BU996">IF($F996&lt;&gt;"",XLOOKUP($F996,Productos!$A:$A,Productos!BN:BN,"Revisar"),"")</f>
        <v/>
      </c>
      <c r="BV996" s="179" t="str">
        <f t="array" ref="BV996">IF($F996&lt;&gt;"", XLOOKUP($F996,Productos!$A$2:$A1001,Productos!BO$2:BO1001,"")*$G996,"")</f>
        <v/>
      </c>
      <c r="BW996" s="179" t="str">
        <f t="array" ref="BW996">IF($F996&lt;&gt;"",XLOOKUP($F996,Productos!$A:$A,Productos!BP:BP,"Revisar"),"")</f>
        <v/>
      </c>
      <c r="BX996" s="179" t="str">
        <f t="array" ref="BX996">IF($F996&lt;&gt;"", XLOOKUP($F996,Productos!$A$2:$A1001,Productos!BQ$2:BQ1001,"")*$G996,"")</f>
        <v/>
      </c>
      <c r="BY996" s="179" t="str">
        <f t="array" ref="BY996">IF($F996&lt;&gt;"",XLOOKUP($F996,Productos!$A:$A,Productos!BR:BR,"Revisar"),"")</f>
        <v/>
      </c>
      <c r="BZ996" s="179" t="str">
        <f t="array" ref="BZ996">IF($F996&lt;&gt;"", XLOOKUP($F996,Productos!$A$2:$A1001,Productos!BS$2:BS1001,"")*$G996,"")</f>
        <v/>
      </c>
    </row>
    <row r="997">
      <c r="A997" s="188"/>
      <c r="B997" s="189"/>
      <c r="C997" s="190"/>
      <c r="D997" s="190"/>
      <c r="E997" s="191"/>
      <c r="F997" s="186"/>
      <c r="G997" s="192"/>
      <c r="H997" s="9"/>
      <c r="I997" s="179" t="str">
        <f t="array" ref="I997">IF($F997&lt;&gt;"",XLOOKUP($F997,Productos!$A:$A,Productos!B:B,"Revisar"),"")</f>
        <v/>
      </c>
      <c r="J997" s="179" t="str">
        <f t="array" ref="J997">IF($F997&lt;&gt;"", XLOOKUP($F997,Productos!$A$2:$A1001,Productos!C$2:C1001,"")*$G997,"")</f>
        <v/>
      </c>
      <c r="K997" s="179" t="str">
        <f t="array" ref="K997">IF($F997&lt;&gt;"",XLOOKUP($F997,Productos!$A:$A,Productos!D:D,"Revisar"),"")</f>
        <v/>
      </c>
      <c r="L997" s="179" t="str">
        <f t="array" ref="L997">IF($F997&lt;&gt;"", XLOOKUP($F997,Productos!$A$2:$A1001,Productos!E$2:E1001,"")*$G997,"")</f>
        <v/>
      </c>
      <c r="M997" s="179" t="str">
        <f t="array" ref="M997">IF($F997&lt;&gt;"",XLOOKUP($F997,Productos!$A:$A,Productos!F:F,"Revisar"),"")</f>
        <v/>
      </c>
      <c r="N997" s="179" t="str">
        <f t="array" ref="N997">IF($F997&lt;&gt;"", XLOOKUP($F997,Productos!$A$2:$A1001,Productos!G$2:G1001,"")*$G997,"")</f>
        <v/>
      </c>
      <c r="O997" s="179" t="str">
        <f t="array" ref="O997">IF($F997&lt;&gt;"",XLOOKUP($F997,Productos!$A:$A,Productos!H:H,"Revisar"),"")</f>
        <v/>
      </c>
      <c r="P997" s="179" t="str">
        <f t="array" ref="P997">IF($F997&lt;&gt;"", XLOOKUP($F997,Productos!$A$2:$A1001,Productos!I$2:I1001,"")*$G997,"")</f>
        <v/>
      </c>
      <c r="Q997" s="179" t="str">
        <f t="array" ref="Q997">IF($F997&lt;&gt;"",XLOOKUP($F997,Productos!$A:$A,Productos!J:J,"Revisar"),"")</f>
        <v/>
      </c>
      <c r="R997" s="179" t="str">
        <f t="array" ref="R997">IF($F997&lt;&gt;"", XLOOKUP($F997,Productos!$A$2:$A1001,Productos!K$2:K1001,"")*$G997,"")</f>
        <v/>
      </c>
      <c r="S997" s="179" t="str">
        <f t="array" ref="S997">IF($F997&lt;&gt;"",XLOOKUP($F997,Productos!$A:$A,Productos!L:L,"Revisar"),"")</f>
        <v/>
      </c>
      <c r="T997" s="179" t="str">
        <f t="array" ref="T997">IF($F997&lt;&gt;"", XLOOKUP($F997,Productos!$A$2:$A1001,Productos!M$2:M1001,"")*$G997,"")</f>
        <v/>
      </c>
      <c r="U997" s="179" t="str">
        <f t="array" ref="U997">IF($F997&lt;&gt;"",XLOOKUP($F997,Productos!$A:$A,Productos!N:N,"Revisar"),"")</f>
        <v/>
      </c>
      <c r="V997" s="179" t="str">
        <f t="array" ref="V997">IF($F997&lt;&gt;"", XLOOKUP($F997,Productos!$A$2:$A1001,Productos!O$2:O1001,"")*$G997,"")</f>
        <v/>
      </c>
      <c r="W997" s="179" t="str">
        <f t="array" ref="W997">IF($F997&lt;&gt;"",XLOOKUP($F997,Productos!$A:$A,Productos!P:P,"Revisar"),"")</f>
        <v/>
      </c>
      <c r="X997" s="179" t="str">
        <f t="array" ref="X997">IF($F997&lt;&gt;"", XLOOKUP($F997,Productos!$A$2:$A1001,Productos!Q$2:Q1001,"")*$G997,"")</f>
        <v/>
      </c>
      <c r="Y997" s="179" t="str">
        <f t="array" ref="Y997">IF($F997&lt;&gt;"",XLOOKUP($F997,Productos!$A:$A,Productos!R:R,"Revisar"),"")</f>
        <v/>
      </c>
      <c r="Z997" s="179" t="str">
        <f t="array" ref="Z997">IF($F997&lt;&gt;"", XLOOKUP($F997,Productos!$A$2:$A1001,Productos!S$2:S1001,"")*$G997,"")</f>
        <v/>
      </c>
      <c r="AA997" s="179" t="str">
        <f t="array" ref="AA997">IF($F997&lt;&gt;"",XLOOKUP($F997,Productos!$A:$A,Productos!T:T,"Revisar"),"")</f>
        <v/>
      </c>
      <c r="AB997" s="179" t="str">
        <f t="array" ref="AB997">IF($F997&lt;&gt;"", XLOOKUP($F997,Productos!$A$2:$A1001,Productos!U$2:U1001,"")*$G997,"")</f>
        <v/>
      </c>
      <c r="AC997" s="179" t="str">
        <f t="array" ref="AC997">IF($F997&lt;&gt;"",XLOOKUP($F997,Productos!$A:$A,Productos!V:V,"Revisar"),"")</f>
        <v/>
      </c>
      <c r="AD997" s="179" t="str">
        <f t="array" ref="AD997">IF($F997&lt;&gt;"", XLOOKUP($F997,Productos!$A$2:$A1001,Productos!W$2:W1001,"")*$G997,"")</f>
        <v/>
      </c>
      <c r="AE997" s="179" t="str">
        <f t="array" ref="AE997">IF($F997&lt;&gt;"",XLOOKUP($F997,Productos!$A:$A,Productos!X:X,"Revisar"),"")</f>
        <v/>
      </c>
      <c r="AF997" s="179" t="str">
        <f t="array" ref="AF997">IF($F997&lt;&gt;"", XLOOKUP($F997,Productos!$A$2:$A1001,Productos!Y$2:Y1001,"")*$G997,"")</f>
        <v/>
      </c>
      <c r="AG997" s="179" t="str">
        <f t="array" ref="AG997">IF($F997&lt;&gt;"",XLOOKUP($F997,Productos!$A:$A,Productos!Z:Z,"Revisar"),"")</f>
        <v/>
      </c>
      <c r="AH997" s="179" t="str">
        <f t="array" ref="AH997">IF($F997&lt;&gt;"", XLOOKUP($F997,Productos!$A$2:$A1001,Productos!AA$2:AA1001,"")*$G997,"")</f>
        <v/>
      </c>
      <c r="AI997" s="179" t="str">
        <f t="array" ref="AI997">IF($F997&lt;&gt;"",XLOOKUP($F997,Productos!$A:$A,Productos!AB:AB,"Revisar"),"")</f>
        <v/>
      </c>
      <c r="AJ997" s="179" t="str">
        <f t="array" ref="AJ997">IF($F997&lt;&gt;"", XLOOKUP($F997,Productos!$A$2:$A1001,Productos!AC$2:AC1001,"")*$G997,"")</f>
        <v/>
      </c>
      <c r="AK997" s="179" t="str">
        <f t="array" ref="AK997">IF($F997&lt;&gt;"",XLOOKUP($F997,Productos!$A:$A,Productos!AD:AD,"Revisar"),"")</f>
        <v/>
      </c>
      <c r="AL997" s="179" t="str">
        <f t="array" ref="AL997">IF($F997&lt;&gt;"", XLOOKUP($F997,Productos!$A$2:$A1001,Productos!AE$2:AE1001,"")*$G997,"")</f>
        <v/>
      </c>
      <c r="AM997" s="179" t="str">
        <f t="array" ref="AM997">IF($F997&lt;&gt;"",XLOOKUP($F997,Productos!$A:$A,Productos!AF:AF,"Revisar"),"")</f>
        <v/>
      </c>
      <c r="AN997" s="179" t="str">
        <f t="array" ref="AN997">IF($F997&lt;&gt;"", XLOOKUP($F997,Productos!$A$2:$A1001,Productos!AG$2:AG1001,"")*$G997,"")</f>
        <v/>
      </c>
      <c r="AO997" s="179" t="str">
        <f t="array" ref="AO997">IF($F997&lt;&gt;"",XLOOKUP($F997,Productos!$A:$A,Productos!AH:AH,"Revisar"),"")</f>
        <v/>
      </c>
      <c r="AP997" s="179" t="str">
        <f t="array" ref="AP997">IF($F997&lt;&gt;"", XLOOKUP($F997,Productos!$A$2:$A1001,Productos!AI$2:AI1001,"")*$G997,"")</f>
        <v/>
      </c>
      <c r="AQ997" s="179" t="str">
        <f t="array" ref="AQ997">IF($F997&lt;&gt;"",XLOOKUP($F997,Productos!$A:$A,Productos!AJ:AJ,"Revisar"),"")</f>
        <v/>
      </c>
      <c r="AR997" s="179" t="str">
        <f t="array" ref="AR997">IF($F997&lt;&gt;"", XLOOKUP($F997,Productos!$A$2:$A1001,Productos!AK$2:AK1001,"")*$G997,"")</f>
        <v/>
      </c>
      <c r="AS997" s="179" t="str">
        <f t="array" ref="AS997">IF($F997&lt;&gt;"",XLOOKUP($F997,Productos!$A:$A,Productos!AL:AL,"Revisar"),"")</f>
        <v/>
      </c>
      <c r="AT997" s="179" t="str">
        <f t="array" ref="AT997">IF($F997&lt;&gt;"", XLOOKUP($F997,Productos!$A$2:$A1001,Productos!AM$2:AM1001,"")*$G997,"")</f>
        <v/>
      </c>
      <c r="AU997" s="179" t="str">
        <f t="array" ref="AU997">IF($F997&lt;&gt;"",XLOOKUP($F997,Productos!$A:$A,Productos!AN:AN,"Revisar"),"")</f>
        <v/>
      </c>
      <c r="AV997" s="179" t="str">
        <f t="array" ref="AV997">IF($F997&lt;&gt;"", XLOOKUP($F997,Productos!$A$2:$A1001,Productos!AO$2:AO1001,"")*$G997,"")</f>
        <v/>
      </c>
      <c r="AW997" s="179" t="str">
        <f t="array" ref="AW997">IF($F997&lt;&gt;"",XLOOKUP($F997,Productos!$A:$A,Productos!AP:AP,"Revisar"),"")</f>
        <v/>
      </c>
      <c r="AX997" s="179" t="str">
        <f t="array" ref="AX997">IF($F997&lt;&gt;"", XLOOKUP($F997,Productos!$A$2:$A1001,Productos!AQ$2:AQ1001,"")*$G997,"")</f>
        <v/>
      </c>
      <c r="AY997" s="179" t="str">
        <f t="array" ref="AY997">IF($F997&lt;&gt;"",XLOOKUP($F997,Productos!$A:$A,Productos!AR:AR,"Revisar"),"")</f>
        <v/>
      </c>
      <c r="AZ997" s="179" t="str">
        <f t="array" ref="AZ997">IF($F997&lt;&gt;"", XLOOKUP($F997,Productos!$A$2:$A1001,Productos!AS$2:AS1001,"")*$G997,"")</f>
        <v/>
      </c>
      <c r="BA997" s="179" t="str">
        <f t="array" ref="BA997">IF($F997&lt;&gt;"",XLOOKUP($F997,Productos!$A:$A,Productos!AT:AT,"Revisar"),"")</f>
        <v/>
      </c>
      <c r="BB997" s="179" t="str">
        <f t="array" ref="BB997">IF($F997&lt;&gt;"", XLOOKUP($F997,Productos!$A$2:$A1001,Productos!AU$2:AU1001,"")*$G997,"")</f>
        <v/>
      </c>
      <c r="BC997" s="179" t="str">
        <f t="array" ref="BC997">IF($F997&lt;&gt;"",XLOOKUP($F997,Productos!$A:$A,Productos!AV:AV,"Revisar"),"")</f>
        <v/>
      </c>
      <c r="BD997" s="179" t="str">
        <f t="array" ref="BD997">IF($F997&lt;&gt;"", XLOOKUP($F997,Productos!$A$2:$A1001,Productos!AW$2:AW1001,"")*$G997,"")</f>
        <v/>
      </c>
      <c r="BE997" s="179" t="str">
        <f t="array" ref="BE997">IF($F997&lt;&gt;"",XLOOKUP($F997,Productos!$A:$A,Productos!AX:AX,"Revisar"),"")</f>
        <v/>
      </c>
      <c r="BF997" s="179" t="str">
        <f t="array" ref="BF997">IF($F997&lt;&gt;"", XLOOKUP($F997,Productos!$A$2:$A1001,Productos!AY$2:AY1001,"")*$G997,"")</f>
        <v/>
      </c>
      <c r="BG997" s="179" t="str">
        <f t="array" ref="BG997">IF($F997&lt;&gt;"",XLOOKUP($F997,Productos!$A:$A,Productos!AZ:AZ,"Revisar"),"")</f>
        <v/>
      </c>
      <c r="BH997" s="179" t="str">
        <f t="array" ref="BH997">IF($F997&lt;&gt;"", XLOOKUP($F997,Productos!$A$2:$A1001,Productos!BA$2:BA1001,"")*$G997,"")</f>
        <v/>
      </c>
      <c r="BI997" s="179" t="str">
        <f t="array" ref="BI997">IF($F997&lt;&gt;"",XLOOKUP($F997,Productos!$A:$A,Productos!BB:BB,"Revisar"),"")</f>
        <v/>
      </c>
      <c r="BJ997" s="179" t="str">
        <f t="array" ref="BJ997">IF($F997&lt;&gt;"", XLOOKUP($F997,Productos!$A$2:$A1001,Productos!BC$2:BC1001,"")*$G997,"")</f>
        <v/>
      </c>
      <c r="BK997" s="179" t="str">
        <f t="array" ref="BK997">IF($F997&lt;&gt;"",XLOOKUP($F997,Productos!$A:$A,Productos!BD:BD,"Revisar"),"")</f>
        <v/>
      </c>
      <c r="BL997" s="179" t="str">
        <f t="array" ref="BL997">IF($F997&lt;&gt;"", XLOOKUP($F997,Productos!$A$2:$A1001,Productos!BE$2:BE1001,"")*$G997,"")</f>
        <v/>
      </c>
      <c r="BM997" s="179" t="str">
        <f t="array" ref="BM997">IF($F997&lt;&gt;"",XLOOKUP($F997,Productos!$A:$A,Productos!BF:BF,"Revisar"),"")</f>
        <v/>
      </c>
      <c r="BN997" s="179" t="str">
        <f t="array" ref="BN997">IF($F997&lt;&gt;"", XLOOKUP($F997,Productos!$A$2:$A1001,Productos!BG$2:BG1001,"")*$G997,"")</f>
        <v/>
      </c>
      <c r="BO997" s="179" t="str">
        <f t="array" ref="BO997">IF($F997&lt;&gt;"",XLOOKUP($F997,Productos!$A:$A,Productos!BH:BH,"Revisar"),"")</f>
        <v/>
      </c>
      <c r="BP997" s="179" t="str">
        <f t="array" ref="BP997">IF($F997&lt;&gt;"", XLOOKUP($F997,Productos!$A$2:$A1001,Productos!BI$2:BI1001,"")*$G997,"")</f>
        <v/>
      </c>
      <c r="BQ997" s="179" t="str">
        <f t="array" ref="BQ997">IF($F997&lt;&gt;"",XLOOKUP($F997,Productos!$A:$A,Productos!BJ:BJ,"Revisar"),"")</f>
        <v/>
      </c>
      <c r="BR997" s="179" t="str">
        <f t="array" ref="BR997">IF($F997&lt;&gt;"", XLOOKUP($F997,Productos!$A$2:$A1001,Productos!BK$2:BK1001,"")*$G997,"")</f>
        <v/>
      </c>
      <c r="BS997" s="179" t="str">
        <f t="array" ref="BS997">IF($F997&lt;&gt;"",XLOOKUP($F997,Productos!$A:$A,Productos!BL:BL,"Revisar"),"")</f>
        <v/>
      </c>
      <c r="BT997" s="179" t="str">
        <f t="array" ref="BT997">IF($F997&lt;&gt;"", XLOOKUP($F997,Productos!$A$2:$A1001,Productos!BM$2:BM1001,"")*$G997,"")</f>
        <v/>
      </c>
      <c r="BU997" s="179" t="str">
        <f t="array" ref="BU997">IF($F997&lt;&gt;"",XLOOKUP($F997,Productos!$A:$A,Productos!BN:BN,"Revisar"),"")</f>
        <v/>
      </c>
      <c r="BV997" s="179" t="str">
        <f t="array" ref="BV997">IF($F997&lt;&gt;"", XLOOKUP($F997,Productos!$A$2:$A1001,Productos!BO$2:BO1001,"")*$G997,"")</f>
        <v/>
      </c>
      <c r="BW997" s="179" t="str">
        <f t="array" ref="BW997">IF($F997&lt;&gt;"",XLOOKUP($F997,Productos!$A:$A,Productos!BP:BP,"Revisar"),"")</f>
        <v/>
      </c>
      <c r="BX997" s="179" t="str">
        <f t="array" ref="BX997">IF($F997&lt;&gt;"", XLOOKUP($F997,Productos!$A$2:$A1001,Productos!BQ$2:BQ1001,"")*$G997,"")</f>
        <v/>
      </c>
      <c r="BY997" s="179" t="str">
        <f t="array" ref="BY997">IF($F997&lt;&gt;"",XLOOKUP($F997,Productos!$A:$A,Productos!BR:BR,"Revisar"),"")</f>
        <v/>
      </c>
      <c r="BZ997" s="179" t="str">
        <f t="array" ref="BZ997">IF($F997&lt;&gt;"", XLOOKUP($F997,Productos!$A$2:$A1001,Productos!BS$2:BS1001,"")*$G997,"")</f>
        <v/>
      </c>
    </row>
    <row r="998">
      <c r="A998" s="188"/>
      <c r="B998" s="189"/>
      <c r="C998" s="190"/>
      <c r="D998" s="190"/>
      <c r="E998" s="191"/>
      <c r="F998" s="186"/>
      <c r="G998" s="192"/>
      <c r="H998" s="9"/>
      <c r="I998" s="179" t="str">
        <f t="array" ref="I998">IF($F998&lt;&gt;"",XLOOKUP($F998,Productos!$A:$A,Productos!B:B,"Revisar"),"")</f>
        <v/>
      </c>
      <c r="J998" s="179" t="str">
        <f t="array" ref="J998">IF($F998&lt;&gt;"", XLOOKUP($F998,Productos!$A$2:$A1001,Productos!C$2:C1001,"")*$G998,"")</f>
        <v/>
      </c>
      <c r="K998" s="179" t="str">
        <f t="array" ref="K998">IF($F998&lt;&gt;"",XLOOKUP($F998,Productos!$A:$A,Productos!D:D,"Revisar"),"")</f>
        <v/>
      </c>
      <c r="L998" s="179" t="str">
        <f t="array" ref="L998">IF($F998&lt;&gt;"", XLOOKUP($F998,Productos!$A$2:$A1001,Productos!E$2:E1001,"")*$G998,"")</f>
        <v/>
      </c>
      <c r="M998" s="179" t="str">
        <f t="array" ref="M998">IF($F998&lt;&gt;"",XLOOKUP($F998,Productos!$A:$A,Productos!F:F,"Revisar"),"")</f>
        <v/>
      </c>
      <c r="N998" s="179" t="str">
        <f t="array" ref="N998">IF($F998&lt;&gt;"", XLOOKUP($F998,Productos!$A$2:$A1001,Productos!G$2:G1001,"")*$G998,"")</f>
        <v/>
      </c>
      <c r="O998" s="179" t="str">
        <f t="array" ref="O998">IF($F998&lt;&gt;"",XLOOKUP($F998,Productos!$A:$A,Productos!H:H,"Revisar"),"")</f>
        <v/>
      </c>
      <c r="P998" s="179" t="str">
        <f t="array" ref="P998">IF($F998&lt;&gt;"", XLOOKUP($F998,Productos!$A$2:$A1001,Productos!I$2:I1001,"")*$G998,"")</f>
        <v/>
      </c>
      <c r="Q998" s="179" t="str">
        <f t="array" ref="Q998">IF($F998&lt;&gt;"",XLOOKUP($F998,Productos!$A:$A,Productos!J:J,"Revisar"),"")</f>
        <v/>
      </c>
      <c r="R998" s="179" t="str">
        <f t="array" ref="R998">IF($F998&lt;&gt;"", XLOOKUP($F998,Productos!$A$2:$A1001,Productos!K$2:K1001,"")*$G998,"")</f>
        <v/>
      </c>
      <c r="S998" s="179" t="str">
        <f t="array" ref="S998">IF($F998&lt;&gt;"",XLOOKUP($F998,Productos!$A:$A,Productos!L:L,"Revisar"),"")</f>
        <v/>
      </c>
      <c r="T998" s="179" t="str">
        <f t="array" ref="T998">IF($F998&lt;&gt;"", XLOOKUP($F998,Productos!$A$2:$A1001,Productos!M$2:M1001,"")*$G998,"")</f>
        <v/>
      </c>
      <c r="U998" s="179" t="str">
        <f t="array" ref="U998">IF($F998&lt;&gt;"",XLOOKUP($F998,Productos!$A:$A,Productos!N:N,"Revisar"),"")</f>
        <v/>
      </c>
      <c r="V998" s="179" t="str">
        <f t="array" ref="V998">IF($F998&lt;&gt;"", XLOOKUP($F998,Productos!$A$2:$A1001,Productos!O$2:O1001,"")*$G998,"")</f>
        <v/>
      </c>
      <c r="W998" s="179" t="str">
        <f t="array" ref="W998">IF($F998&lt;&gt;"",XLOOKUP($F998,Productos!$A:$A,Productos!P:P,"Revisar"),"")</f>
        <v/>
      </c>
      <c r="X998" s="179" t="str">
        <f t="array" ref="X998">IF($F998&lt;&gt;"", XLOOKUP($F998,Productos!$A$2:$A1001,Productos!Q$2:Q1001,"")*$G998,"")</f>
        <v/>
      </c>
      <c r="Y998" s="179" t="str">
        <f t="array" ref="Y998">IF($F998&lt;&gt;"",XLOOKUP($F998,Productos!$A:$A,Productos!R:R,"Revisar"),"")</f>
        <v/>
      </c>
      <c r="Z998" s="179" t="str">
        <f t="array" ref="Z998">IF($F998&lt;&gt;"", XLOOKUP($F998,Productos!$A$2:$A1001,Productos!S$2:S1001,"")*$G998,"")</f>
        <v/>
      </c>
      <c r="AA998" s="179" t="str">
        <f t="array" ref="AA998">IF($F998&lt;&gt;"",XLOOKUP($F998,Productos!$A:$A,Productos!T:T,"Revisar"),"")</f>
        <v/>
      </c>
      <c r="AB998" s="179" t="str">
        <f t="array" ref="AB998">IF($F998&lt;&gt;"", XLOOKUP($F998,Productos!$A$2:$A1001,Productos!U$2:U1001,"")*$G998,"")</f>
        <v/>
      </c>
      <c r="AC998" s="179" t="str">
        <f t="array" ref="AC998">IF($F998&lt;&gt;"",XLOOKUP($F998,Productos!$A:$A,Productos!V:V,"Revisar"),"")</f>
        <v/>
      </c>
      <c r="AD998" s="179" t="str">
        <f t="array" ref="AD998">IF($F998&lt;&gt;"", XLOOKUP($F998,Productos!$A$2:$A1001,Productos!W$2:W1001,"")*$G998,"")</f>
        <v/>
      </c>
      <c r="AE998" s="179" t="str">
        <f t="array" ref="AE998">IF($F998&lt;&gt;"",XLOOKUP($F998,Productos!$A:$A,Productos!X:X,"Revisar"),"")</f>
        <v/>
      </c>
      <c r="AF998" s="179" t="str">
        <f t="array" ref="AF998">IF($F998&lt;&gt;"", XLOOKUP($F998,Productos!$A$2:$A1001,Productos!Y$2:Y1001,"")*$G998,"")</f>
        <v/>
      </c>
      <c r="AG998" s="179" t="str">
        <f t="array" ref="AG998">IF($F998&lt;&gt;"",XLOOKUP($F998,Productos!$A:$A,Productos!Z:Z,"Revisar"),"")</f>
        <v/>
      </c>
      <c r="AH998" s="179" t="str">
        <f t="array" ref="AH998">IF($F998&lt;&gt;"", XLOOKUP($F998,Productos!$A$2:$A1001,Productos!AA$2:AA1001,"")*$G998,"")</f>
        <v/>
      </c>
      <c r="AI998" s="179" t="str">
        <f t="array" ref="AI998">IF($F998&lt;&gt;"",XLOOKUP($F998,Productos!$A:$A,Productos!AB:AB,"Revisar"),"")</f>
        <v/>
      </c>
      <c r="AJ998" s="179" t="str">
        <f t="array" ref="AJ998">IF($F998&lt;&gt;"", XLOOKUP($F998,Productos!$A$2:$A1001,Productos!AC$2:AC1001,"")*$G998,"")</f>
        <v/>
      </c>
      <c r="AK998" s="179" t="str">
        <f t="array" ref="AK998">IF($F998&lt;&gt;"",XLOOKUP($F998,Productos!$A:$A,Productos!AD:AD,"Revisar"),"")</f>
        <v/>
      </c>
      <c r="AL998" s="179" t="str">
        <f t="array" ref="AL998">IF($F998&lt;&gt;"", XLOOKUP($F998,Productos!$A$2:$A1001,Productos!AE$2:AE1001,"")*$G998,"")</f>
        <v/>
      </c>
      <c r="AM998" s="179" t="str">
        <f t="array" ref="AM998">IF($F998&lt;&gt;"",XLOOKUP($F998,Productos!$A:$A,Productos!AF:AF,"Revisar"),"")</f>
        <v/>
      </c>
      <c r="AN998" s="179" t="str">
        <f t="array" ref="AN998">IF($F998&lt;&gt;"", XLOOKUP($F998,Productos!$A$2:$A1001,Productos!AG$2:AG1001,"")*$G998,"")</f>
        <v/>
      </c>
      <c r="AO998" s="179" t="str">
        <f t="array" ref="AO998">IF($F998&lt;&gt;"",XLOOKUP($F998,Productos!$A:$A,Productos!AH:AH,"Revisar"),"")</f>
        <v/>
      </c>
      <c r="AP998" s="179" t="str">
        <f t="array" ref="AP998">IF($F998&lt;&gt;"", XLOOKUP($F998,Productos!$A$2:$A1001,Productos!AI$2:AI1001,"")*$G998,"")</f>
        <v/>
      </c>
      <c r="AQ998" s="179" t="str">
        <f t="array" ref="AQ998">IF($F998&lt;&gt;"",XLOOKUP($F998,Productos!$A:$A,Productos!AJ:AJ,"Revisar"),"")</f>
        <v/>
      </c>
      <c r="AR998" s="179" t="str">
        <f t="array" ref="AR998">IF($F998&lt;&gt;"", XLOOKUP($F998,Productos!$A$2:$A1001,Productos!AK$2:AK1001,"")*$G998,"")</f>
        <v/>
      </c>
      <c r="AS998" s="179" t="str">
        <f t="array" ref="AS998">IF($F998&lt;&gt;"",XLOOKUP($F998,Productos!$A:$A,Productos!AL:AL,"Revisar"),"")</f>
        <v/>
      </c>
      <c r="AT998" s="179" t="str">
        <f t="array" ref="AT998">IF($F998&lt;&gt;"", XLOOKUP($F998,Productos!$A$2:$A1001,Productos!AM$2:AM1001,"")*$G998,"")</f>
        <v/>
      </c>
      <c r="AU998" s="179" t="str">
        <f t="array" ref="AU998">IF($F998&lt;&gt;"",XLOOKUP($F998,Productos!$A:$A,Productos!AN:AN,"Revisar"),"")</f>
        <v/>
      </c>
      <c r="AV998" s="179" t="str">
        <f t="array" ref="AV998">IF($F998&lt;&gt;"", XLOOKUP($F998,Productos!$A$2:$A1001,Productos!AO$2:AO1001,"")*$G998,"")</f>
        <v/>
      </c>
      <c r="AW998" s="179" t="str">
        <f t="array" ref="AW998">IF($F998&lt;&gt;"",XLOOKUP($F998,Productos!$A:$A,Productos!AP:AP,"Revisar"),"")</f>
        <v/>
      </c>
      <c r="AX998" s="179" t="str">
        <f t="array" ref="AX998">IF($F998&lt;&gt;"", XLOOKUP($F998,Productos!$A$2:$A1001,Productos!AQ$2:AQ1001,"")*$G998,"")</f>
        <v/>
      </c>
      <c r="AY998" s="179" t="str">
        <f t="array" ref="AY998">IF($F998&lt;&gt;"",XLOOKUP($F998,Productos!$A:$A,Productos!AR:AR,"Revisar"),"")</f>
        <v/>
      </c>
      <c r="AZ998" s="179" t="str">
        <f t="array" ref="AZ998">IF($F998&lt;&gt;"", XLOOKUP($F998,Productos!$A$2:$A1001,Productos!AS$2:AS1001,"")*$G998,"")</f>
        <v/>
      </c>
      <c r="BA998" s="179" t="str">
        <f t="array" ref="BA998">IF($F998&lt;&gt;"",XLOOKUP($F998,Productos!$A:$A,Productos!AT:AT,"Revisar"),"")</f>
        <v/>
      </c>
      <c r="BB998" s="179" t="str">
        <f t="array" ref="BB998">IF($F998&lt;&gt;"", XLOOKUP($F998,Productos!$A$2:$A1001,Productos!AU$2:AU1001,"")*$G998,"")</f>
        <v/>
      </c>
      <c r="BC998" s="179" t="str">
        <f t="array" ref="BC998">IF($F998&lt;&gt;"",XLOOKUP($F998,Productos!$A:$A,Productos!AV:AV,"Revisar"),"")</f>
        <v/>
      </c>
      <c r="BD998" s="179" t="str">
        <f t="array" ref="BD998">IF($F998&lt;&gt;"", XLOOKUP($F998,Productos!$A$2:$A1001,Productos!AW$2:AW1001,"")*$G998,"")</f>
        <v/>
      </c>
      <c r="BE998" s="179" t="str">
        <f t="array" ref="BE998">IF($F998&lt;&gt;"",XLOOKUP($F998,Productos!$A:$A,Productos!AX:AX,"Revisar"),"")</f>
        <v/>
      </c>
      <c r="BF998" s="179" t="str">
        <f t="array" ref="BF998">IF($F998&lt;&gt;"", XLOOKUP($F998,Productos!$A$2:$A1001,Productos!AY$2:AY1001,"")*$G998,"")</f>
        <v/>
      </c>
      <c r="BG998" s="179" t="str">
        <f t="array" ref="BG998">IF($F998&lt;&gt;"",XLOOKUP($F998,Productos!$A:$A,Productos!AZ:AZ,"Revisar"),"")</f>
        <v/>
      </c>
      <c r="BH998" s="179" t="str">
        <f t="array" ref="BH998">IF($F998&lt;&gt;"", XLOOKUP($F998,Productos!$A$2:$A1001,Productos!BA$2:BA1001,"")*$G998,"")</f>
        <v/>
      </c>
      <c r="BI998" s="179" t="str">
        <f t="array" ref="BI998">IF($F998&lt;&gt;"",XLOOKUP($F998,Productos!$A:$A,Productos!BB:BB,"Revisar"),"")</f>
        <v/>
      </c>
      <c r="BJ998" s="179" t="str">
        <f t="array" ref="BJ998">IF($F998&lt;&gt;"", XLOOKUP($F998,Productos!$A$2:$A1001,Productos!BC$2:BC1001,"")*$G998,"")</f>
        <v/>
      </c>
      <c r="BK998" s="179" t="str">
        <f t="array" ref="BK998">IF($F998&lt;&gt;"",XLOOKUP($F998,Productos!$A:$A,Productos!BD:BD,"Revisar"),"")</f>
        <v/>
      </c>
      <c r="BL998" s="179" t="str">
        <f t="array" ref="BL998">IF($F998&lt;&gt;"", XLOOKUP($F998,Productos!$A$2:$A1001,Productos!BE$2:BE1001,"")*$G998,"")</f>
        <v/>
      </c>
      <c r="BM998" s="179" t="str">
        <f t="array" ref="BM998">IF($F998&lt;&gt;"",XLOOKUP($F998,Productos!$A:$A,Productos!BF:BF,"Revisar"),"")</f>
        <v/>
      </c>
      <c r="BN998" s="179" t="str">
        <f t="array" ref="BN998">IF($F998&lt;&gt;"", XLOOKUP($F998,Productos!$A$2:$A1001,Productos!BG$2:BG1001,"")*$G998,"")</f>
        <v/>
      </c>
      <c r="BO998" s="179" t="str">
        <f t="array" ref="BO998">IF($F998&lt;&gt;"",XLOOKUP($F998,Productos!$A:$A,Productos!BH:BH,"Revisar"),"")</f>
        <v/>
      </c>
      <c r="BP998" s="179" t="str">
        <f t="array" ref="BP998">IF($F998&lt;&gt;"", XLOOKUP($F998,Productos!$A$2:$A1001,Productos!BI$2:BI1001,"")*$G998,"")</f>
        <v/>
      </c>
      <c r="BQ998" s="179" t="str">
        <f t="array" ref="BQ998">IF($F998&lt;&gt;"",XLOOKUP($F998,Productos!$A:$A,Productos!BJ:BJ,"Revisar"),"")</f>
        <v/>
      </c>
      <c r="BR998" s="179" t="str">
        <f t="array" ref="BR998">IF($F998&lt;&gt;"", XLOOKUP($F998,Productos!$A$2:$A1001,Productos!BK$2:BK1001,"")*$G998,"")</f>
        <v/>
      </c>
      <c r="BS998" s="179" t="str">
        <f t="array" ref="BS998">IF($F998&lt;&gt;"",XLOOKUP($F998,Productos!$A:$A,Productos!BL:BL,"Revisar"),"")</f>
        <v/>
      </c>
      <c r="BT998" s="179" t="str">
        <f t="array" ref="BT998">IF($F998&lt;&gt;"", XLOOKUP($F998,Productos!$A$2:$A1001,Productos!BM$2:BM1001,"")*$G998,"")</f>
        <v/>
      </c>
      <c r="BU998" s="179" t="str">
        <f t="array" ref="BU998">IF($F998&lt;&gt;"",XLOOKUP($F998,Productos!$A:$A,Productos!BN:BN,"Revisar"),"")</f>
        <v/>
      </c>
      <c r="BV998" s="179" t="str">
        <f t="array" ref="BV998">IF($F998&lt;&gt;"", XLOOKUP($F998,Productos!$A$2:$A1001,Productos!BO$2:BO1001,"")*$G998,"")</f>
        <v/>
      </c>
      <c r="BW998" s="179" t="str">
        <f t="array" ref="BW998">IF($F998&lt;&gt;"",XLOOKUP($F998,Productos!$A:$A,Productos!BP:BP,"Revisar"),"")</f>
        <v/>
      </c>
      <c r="BX998" s="179" t="str">
        <f t="array" ref="BX998">IF($F998&lt;&gt;"", XLOOKUP($F998,Productos!$A$2:$A1001,Productos!BQ$2:BQ1001,"")*$G998,"")</f>
        <v/>
      </c>
      <c r="BY998" s="179" t="str">
        <f t="array" ref="BY998">IF($F998&lt;&gt;"",XLOOKUP($F998,Productos!$A:$A,Productos!BR:BR,"Revisar"),"")</f>
        <v/>
      </c>
      <c r="BZ998" s="179" t="str">
        <f t="array" ref="BZ998">IF($F998&lt;&gt;"", XLOOKUP($F998,Productos!$A$2:$A1001,Productos!BS$2:BS1001,"")*$G998,"")</f>
        <v/>
      </c>
    </row>
    <row r="999">
      <c r="A999" s="188"/>
      <c r="B999" s="189"/>
      <c r="C999" s="190"/>
      <c r="D999" s="190"/>
      <c r="E999" s="191"/>
      <c r="F999" s="186"/>
      <c r="G999" s="192"/>
      <c r="H999" s="9"/>
      <c r="I999" s="179" t="str">
        <f t="array" ref="I999">IF($F999&lt;&gt;"",XLOOKUP($F999,Productos!$A:$A,Productos!B:B,"Revisar"),"")</f>
        <v/>
      </c>
      <c r="J999" s="179" t="str">
        <f t="array" ref="J999">IF($F999&lt;&gt;"", XLOOKUP($F999,Productos!$A$2:$A1001,Productos!C$2:C1001,"")*$G999,"")</f>
        <v/>
      </c>
      <c r="K999" s="179" t="str">
        <f t="array" ref="K999">IF($F999&lt;&gt;"",XLOOKUP($F999,Productos!$A:$A,Productos!D:D,"Revisar"),"")</f>
        <v/>
      </c>
      <c r="L999" s="179" t="str">
        <f t="array" ref="L999">IF($F999&lt;&gt;"", XLOOKUP($F999,Productos!$A$2:$A1001,Productos!E$2:E1001,"")*$G999,"")</f>
        <v/>
      </c>
      <c r="M999" s="179" t="str">
        <f t="array" ref="M999">IF($F999&lt;&gt;"",XLOOKUP($F999,Productos!$A:$A,Productos!F:F,"Revisar"),"")</f>
        <v/>
      </c>
      <c r="N999" s="179" t="str">
        <f t="array" ref="N999">IF($F999&lt;&gt;"", XLOOKUP($F999,Productos!$A$2:$A1001,Productos!G$2:G1001,"")*$G999,"")</f>
        <v/>
      </c>
      <c r="O999" s="179" t="str">
        <f t="array" ref="O999">IF($F999&lt;&gt;"",XLOOKUP($F999,Productos!$A:$A,Productos!H:H,"Revisar"),"")</f>
        <v/>
      </c>
      <c r="P999" s="179" t="str">
        <f t="array" ref="P999">IF($F999&lt;&gt;"", XLOOKUP($F999,Productos!$A$2:$A1001,Productos!I$2:I1001,"")*$G999,"")</f>
        <v/>
      </c>
      <c r="Q999" s="179" t="str">
        <f t="array" ref="Q999">IF($F999&lt;&gt;"",XLOOKUP($F999,Productos!$A:$A,Productos!J:J,"Revisar"),"")</f>
        <v/>
      </c>
      <c r="R999" s="179" t="str">
        <f t="array" ref="R999">IF($F999&lt;&gt;"", XLOOKUP($F999,Productos!$A$2:$A1001,Productos!K$2:K1001,"")*$G999,"")</f>
        <v/>
      </c>
      <c r="S999" s="179" t="str">
        <f t="array" ref="S999">IF($F999&lt;&gt;"",XLOOKUP($F999,Productos!$A:$A,Productos!L:L,"Revisar"),"")</f>
        <v/>
      </c>
      <c r="T999" s="179" t="str">
        <f t="array" ref="T999">IF($F999&lt;&gt;"", XLOOKUP($F999,Productos!$A$2:$A1001,Productos!M$2:M1001,"")*$G999,"")</f>
        <v/>
      </c>
      <c r="U999" s="179" t="str">
        <f t="array" ref="U999">IF($F999&lt;&gt;"",XLOOKUP($F999,Productos!$A:$A,Productos!N:N,"Revisar"),"")</f>
        <v/>
      </c>
      <c r="V999" s="179" t="str">
        <f t="array" ref="V999">IF($F999&lt;&gt;"", XLOOKUP($F999,Productos!$A$2:$A1001,Productos!O$2:O1001,"")*$G999,"")</f>
        <v/>
      </c>
      <c r="W999" s="179" t="str">
        <f t="array" ref="W999">IF($F999&lt;&gt;"",XLOOKUP($F999,Productos!$A:$A,Productos!P:P,"Revisar"),"")</f>
        <v/>
      </c>
      <c r="X999" s="179" t="str">
        <f t="array" ref="X999">IF($F999&lt;&gt;"", XLOOKUP($F999,Productos!$A$2:$A1001,Productos!Q$2:Q1001,"")*$G999,"")</f>
        <v/>
      </c>
      <c r="Y999" s="179" t="str">
        <f t="array" ref="Y999">IF($F999&lt;&gt;"",XLOOKUP($F999,Productos!$A:$A,Productos!R:R,"Revisar"),"")</f>
        <v/>
      </c>
      <c r="Z999" s="179" t="str">
        <f t="array" ref="Z999">IF($F999&lt;&gt;"", XLOOKUP($F999,Productos!$A$2:$A1001,Productos!S$2:S1001,"")*$G999,"")</f>
        <v/>
      </c>
      <c r="AA999" s="179" t="str">
        <f t="array" ref="AA999">IF($F999&lt;&gt;"",XLOOKUP($F999,Productos!$A:$A,Productos!T:T,"Revisar"),"")</f>
        <v/>
      </c>
      <c r="AB999" s="179" t="str">
        <f t="array" ref="AB999">IF($F999&lt;&gt;"", XLOOKUP($F999,Productos!$A$2:$A1001,Productos!U$2:U1001,"")*$G999,"")</f>
        <v/>
      </c>
      <c r="AC999" s="179" t="str">
        <f t="array" ref="AC999">IF($F999&lt;&gt;"",XLOOKUP($F999,Productos!$A:$A,Productos!V:V,"Revisar"),"")</f>
        <v/>
      </c>
      <c r="AD999" s="179" t="str">
        <f t="array" ref="AD999">IF($F999&lt;&gt;"", XLOOKUP($F999,Productos!$A$2:$A1001,Productos!W$2:W1001,"")*$G999,"")</f>
        <v/>
      </c>
      <c r="AE999" s="179" t="str">
        <f t="array" ref="AE999">IF($F999&lt;&gt;"",XLOOKUP($F999,Productos!$A:$A,Productos!X:X,"Revisar"),"")</f>
        <v/>
      </c>
      <c r="AF999" s="179" t="str">
        <f t="array" ref="AF999">IF($F999&lt;&gt;"", XLOOKUP($F999,Productos!$A$2:$A1001,Productos!Y$2:Y1001,"")*$G999,"")</f>
        <v/>
      </c>
      <c r="AG999" s="179" t="str">
        <f t="array" ref="AG999">IF($F999&lt;&gt;"",XLOOKUP($F999,Productos!$A:$A,Productos!Z:Z,"Revisar"),"")</f>
        <v/>
      </c>
      <c r="AH999" s="179" t="str">
        <f t="array" ref="AH999">IF($F999&lt;&gt;"", XLOOKUP($F999,Productos!$A$2:$A1001,Productos!AA$2:AA1001,"")*$G999,"")</f>
        <v/>
      </c>
      <c r="AI999" s="179" t="str">
        <f t="array" ref="AI999">IF($F999&lt;&gt;"",XLOOKUP($F999,Productos!$A:$A,Productos!AB:AB,"Revisar"),"")</f>
        <v/>
      </c>
      <c r="AJ999" s="179" t="str">
        <f t="array" ref="AJ999">IF($F999&lt;&gt;"", XLOOKUP($F999,Productos!$A$2:$A1001,Productos!AC$2:AC1001,"")*$G999,"")</f>
        <v/>
      </c>
      <c r="AK999" s="179" t="str">
        <f t="array" ref="AK999">IF($F999&lt;&gt;"",XLOOKUP($F999,Productos!$A:$A,Productos!AD:AD,"Revisar"),"")</f>
        <v/>
      </c>
      <c r="AL999" s="179" t="str">
        <f t="array" ref="AL999">IF($F999&lt;&gt;"", XLOOKUP($F999,Productos!$A$2:$A1001,Productos!AE$2:AE1001,"")*$G999,"")</f>
        <v/>
      </c>
      <c r="AM999" s="179" t="str">
        <f t="array" ref="AM999">IF($F999&lt;&gt;"",XLOOKUP($F999,Productos!$A:$A,Productos!AF:AF,"Revisar"),"")</f>
        <v/>
      </c>
      <c r="AN999" s="179" t="str">
        <f t="array" ref="AN999">IF($F999&lt;&gt;"", XLOOKUP($F999,Productos!$A$2:$A1001,Productos!AG$2:AG1001,"")*$G999,"")</f>
        <v/>
      </c>
      <c r="AO999" s="179" t="str">
        <f t="array" ref="AO999">IF($F999&lt;&gt;"",XLOOKUP($F999,Productos!$A:$A,Productos!AH:AH,"Revisar"),"")</f>
        <v/>
      </c>
      <c r="AP999" s="179" t="str">
        <f t="array" ref="AP999">IF($F999&lt;&gt;"", XLOOKUP($F999,Productos!$A$2:$A1001,Productos!AI$2:AI1001,"")*$G999,"")</f>
        <v/>
      </c>
      <c r="AQ999" s="179" t="str">
        <f t="array" ref="AQ999">IF($F999&lt;&gt;"",XLOOKUP($F999,Productos!$A:$A,Productos!AJ:AJ,"Revisar"),"")</f>
        <v/>
      </c>
      <c r="AR999" s="179" t="str">
        <f t="array" ref="AR999">IF($F999&lt;&gt;"", XLOOKUP($F999,Productos!$A$2:$A1001,Productos!AK$2:AK1001,"")*$G999,"")</f>
        <v/>
      </c>
      <c r="AS999" s="179" t="str">
        <f t="array" ref="AS999">IF($F999&lt;&gt;"",XLOOKUP($F999,Productos!$A:$A,Productos!AL:AL,"Revisar"),"")</f>
        <v/>
      </c>
      <c r="AT999" s="179" t="str">
        <f t="array" ref="AT999">IF($F999&lt;&gt;"", XLOOKUP($F999,Productos!$A$2:$A1001,Productos!AM$2:AM1001,"")*$G999,"")</f>
        <v/>
      </c>
      <c r="AU999" s="179" t="str">
        <f t="array" ref="AU999">IF($F999&lt;&gt;"",XLOOKUP($F999,Productos!$A:$A,Productos!AN:AN,"Revisar"),"")</f>
        <v/>
      </c>
      <c r="AV999" s="179" t="str">
        <f t="array" ref="AV999">IF($F999&lt;&gt;"", XLOOKUP($F999,Productos!$A$2:$A1001,Productos!AO$2:AO1001,"")*$G999,"")</f>
        <v/>
      </c>
      <c r="AW999" s="179" t="str">
        <f t="array" ref="AW999">IF($F999&lt;&gt;"",XLOOKUP($F999,Productos!$A:$A,Productos!AP:AP,"Revisar"),"")</f>
        <v/>
      </c>
      <c r="AX999" s="179" t="str">
        <f t="array" ref="AX999">IF($F999&lt;&gt;"", XLOOKUP($F999,Productos!$A$2:$A1001,Productos!AQ$2:AQ1001,"")*$G999,"")</f>
        <v/>
      </c>
      <c r="AY999" s="179" t="str">
        <f t="array" ref="AY999">IF($F999&lt;&gt;"",XLOOKUP($F999,Productos!$A:$A,Productos!AR:AR,"Revisar"),"")</f>
        <v/>
      </c>
      <c r="AZ999" s="179" t="str">
        <f t="array" ref="AZ999">IF($F999&lt;&gt;"", XLOOKUP($F999,Productos!$A$2:$A1001,Productos!AS$2:AS1001,"")*$G999,"")</f>
        <v/>
      </c>
      <c r="BA999" s="179" t="str">
        <f t="array" ref="BA999">IF($F999&lt;&gt;"",XLOOKUP($F999,Productos!$A:$A,Productos!AT:AT,"Revisar"),"")</f>
        <v/>
      </c>
      <c r="BB999" s="179" t="str">
        <f t="array" ref="BB999">IF($F999&lt;&gt;"", XLOOKUP($F999,Productos!$A$2:$A1001,Productos!AU$2:AU1001,"")*$G999,"")</f>
        <v/>
      </c>
      <c r="BC999" s="179" t="str">
        <f t="array" ref="BC999">IF($F999&lt;&gt;"",XLOOKUP($F999,Productos!$A:$A,Productos!AV:AV,"Revisar"),"")</f>
        <v/>
      </c>
      <c r="BD999" s="179" t="str">
        <f t="array" ref="BD999">IF($F999&lt;&gt;"", XLOOKUP($F999,Productos!$A$2:$A1001,Productos!AW$2:AW1001,"")*$G999,"")</f>
        <v/>
      </c>
      <c r="BE999" s="179" t="str">
        <f t="array" ref="BE999">IF($F999&lt;&gt;"",XLOOKUP($F999,Productos!$A:$A,Productos!AX:AX,"Revisar"),"")</f>
        <v/>
      </c>
      <c r="BF999" s="179" t="str">
        <f t="array" ref="BF999">IF($F999&lt;&gt;"", XLOOKUP($F999,Productos!$A$2:$A1001,Productos!AY$2:AY1001,"")*$G999,"")</f>
        <v/>
      </c>
      <c r="BG999" s="179" t="str">
        <f t="array" ref="BG999">IF($F999&lt;&gt;"",XLOOKUP($F999,Productos!$A:$A,Productos!AZ:AZ,"Revisar"),"")</f>
        <v/>
      </c>
      <c r="BH999" s="179" t="str">
        <f t="array" ref="BH999">IF($F999&lt;&gt;"", XLOOKUP($F999,Productos!$A$2:$A1001,Productos!BA$2:BA1001,"")*$G999,"")</f>
        <v/>
      </c>
      <c r="BI999" s="179" t="str">
        <f t="array" ref="BI999">IF($F999&lt;&gt;"",XLOOKUP($F999,Productos!$A:$A,Productos!BB:BB,"Revisar"),"")</f>
        <v/>
      </c>
      <c r="BJ999" s="179" t="str">
        <f t="array" ref="BJ999">IF($F999&lt;&gt;"", XLOOKUP($F999,Productos!$A$2:$A1001,Productos!BC$2:BC1001,"")*$G999,"")</f>
        <v/>
      </c>
      <c r="BK999" s="179" t="str">
        <f t="array" ref="BK999">IF($F999&lt;&gt;"",XLOOKUP($F999,Productos!$A:$A,Productos!BD:BD,"Revisar"),"")</f>
        <v/>
      </c>
      <c r="BL999" s="179" t="str">
        <f t="array" ref="BL999">IF($F999&lt;&gt;"", XLOOKUP($F999,Productos!$A$2:$A1001,Productos!BE$2:BE1001,"")*$G999,"")</f>
        <v/>
      </c>
      <c r="BM999" s="179" t="str">
        <f t="array" ref="BM999">IF($F999&lt;&gt;"",XLOOKUP($F999,Productos!$A:$A,Productos!BF:BF,"Revisar"),"")</f>
        <v/>
      </c>
      <c r="BN999" s="179" t="str">
        <f t="array" ref="BN999">IF($F999&lt;&gt;"", XLOOKUP($F999,Productos!$A$2:$A1001,Productos!BG$2:BG1001,"")*$G999,"")</f>
        <v/>
      </c>
      <c r="BO999" s="179" t="str">
        <f t="array" ref="BO999">IF($F999&lt;&gt;"",XLOOKUP($F999,Productos!$A:$A,Productos!BH:BH,"Revisar"),"")</f>
        <v/>
      </c>
      <c r="BP999" s="179" t="str">
        <f t="array" ref="BP999">IF($F999&lt;&gt;"", XLOOKUP($F999,Productos!$A$2:$A1001,Productos!BI$2:BI1001,"")*$G999,"")</f>
        <v/>
      </c>
      <c r="BQ999" s="179" t="str">
        <f t="array" ref="BQ999">IF($F999&lt;&gt;"",XLOOKUP($F999,Productos!$A:$A,Productos!BJ:BJ,"Revisar"),"")</f>
        <v/>
      </c>
      <c r="BR999" s="179" t="str">
        <f t="array" ref="BR999">IF($F999&lt;&gt;"", XLOOKUP($F999,Productos!$A$2:$A1001,Productos!BK$2:BK1001,"")*$G999,"")</f>
        <v/>
      </c>
      <c r="BS999" s="179" t="str">
        <f t="array" ref="BS999">IF($F999&lt;&gt;"",XLOOKUP($F999,Productos!$A:$A,Productos!BL:BL,"Revisar"),"")</f>
        <v/>
      </c>
      <c r="BT999" s="179" t="str">
        <f t="array" ref="BT999">IF($F999&lt;&gt;"", XLOOKUP($F999,Productos!$A$2:$A1001,Productos!BM$2:BM1001,"")*$G999,"")</f>
        <v/>
      </c>
      <c r="BU999" s="179" t="str">
        <f t="array" ref="BU999">IF($F999&lt;&gt;"",XLOOKUP($F999,Productos!$A:$A,Productos!BN:BN,"Revisar"),"")</f>
        <v/>
      </c>
      <c r="BV999" s="179" t="str">
        <f t="array" ref="BV999">IF($F999&lt;&gt;"", XLOOKUP($F999,Productos!$A$2:$A1001,Productos!BO$2:BO1001,"")*$G999,"")</f>
        <v/>
      </c>
      <c r="BW999" s="179" t="str">
        <f t="array" ref="BW999">IF($F999&lt;&gt;"",XLOOKUP($F999,Productos!$A:$A,Productos!BP:BP,"Revisar"),"")</f>
        <v/>
      </c>
      <c r="BX999" s="179" t="str">
        <f t="array" ref="BX999">IF($F999&lt;&gt;"", XLOOKUP($F999,Productos!$A$2:$A1001,Productos!BQ$2:BQ1001,"")*$G999,"")</f>
        <v/>
      </c>
      <c r="BY999" s="179" t="str">
        <f t="array" ref="BY999">IF($F999&lt;&gt;"",XLOOKUP($F999,Productos!$A:$A,Productos!BR:BR,"Revisar"),"")</f>
        <v/>
      </c>
      <c r="BZ999" s="179" t="str">
        <f t="array" ref="BZ999">IF($F999&lt;&gt;"", XLOOKUP($F999,Productos!$A$2:$A1001,Productos!BS$2:BS1001,"")*$G999,"")</f>
        <v/>
      </c>
    </row>
    <row r="1000">
      <c r="A1000" s="193"/>
      <c r="B1000" s="194"/>
      <c r="C1000" s="195"/>
      <c r="D1000" s="195"/>
      <c r="E1000" s="196"/>
      <c r="F1000" s="186"/>
      <c r="G1000" s="197"/>
      <c r="H1000" s="9"/>
      <c r="I1000" s="179" t="str">
        <f t="array" ref="I1000">IF($F1000&lt;&gt;"",XLOOKUP($F1000,Productos!$A:$A,Productos!B:B,"Revisar"),"")</f>
        <v/>
      </c>
      <c r="J1000" s="179" t="str">
        <f t="array" ref="J1000">IF($F1000&lt;&gt;"", XLOOKUP($F1000,Productos!$A$2:$A1001,Productos!C$2:C1001,"")*$G1000,"")</f>
        <v/>
      </c>
      <c r="K1000" s="179" t="str">
        <f t="array" ref="K1000">IF($F1000&lt;&gt;"",XLOOKUP($F1000,Productos!$A:$A,Productos!D:D,"Revisar"),"")</f>
        <v/>
      </c>
      <c r="L1000" s="179" t="str">
        <f t="array" ref="L1000">IF($F1000&lt;&gt;"", XLOOKUP($F1000,Productos!$A$2:$A1001,Productos!E$2:E1001,"")*$G1000,"")</f>
        <v/>
      </c>
      <c r="M1000" s="179" t="str">
        <f t="array" ref="M1000">IF($F1000&lt;&gt;"",XLOOKUP($F1000,Productos!$A:$A,Productos!F:F,"Revisar"),"")</f>
        <v/>
      </c>
      <c r="N1000" s="179" t="str">
        <f t="array" ref="N1000">IF($F1000&lt;&gt;"", XLOOKUP($F1000,Productos!$A$2:$A1001,Productos!G$2:G1001,"")*$G1000,"")</f>
        <v/>
      </c>
      <c r="O1000" s="179" t="str">
        <f t="array" ref="O1000">IF($F1000&lt;&gt;"",XLOOKUP($F1000,Productos!$A:$A,Productos!H:H,"Revisar"),"")</f>
        <v/>
      </c>
      <c r="P1000" s="179" t="str">
        <f t="array" ref="P1000">IF($F1000&lt;&gt;"", XLOOKUP($F1000,Productos!$A$2:$A1001,Productos!I$2:I1001,"")*$G1000,"")</f>
        <v/>
      </c>
      <c r="Q1000" s="179" t="str">
        <f t="array" ref="Q1000">IF($F1000&lt;&gt;"",XLOOKUP($F1000,Productos!$A:$A,Productos!J:J,"Revisar"),"")</f>
        <v/>
      </c>
      <c r="R1000" s="179" t="str">
        <f t="array" ref="R1000">IF($F1000&lt;&gt;"", XLOOKUP($F1000,Productos!$A$2:$A1001,Productos!K$2:K1001,"")*$G1000,"")</f>
        <v/>
      </c>
      <c r="S1000" s="179" t="str">
        <f t="array" ref="S1000">IF($F1000&lt;&gt;"",XLOOKUP($F1000,Productos!$A:$A,Productos!L:L,"Revisar"),"")</f>
        <v/>
      </c>
      <c r="T1000" s="179" t="str">
        <f t="array" ref="T1000">IF($F1000&lt;&gt;"", XLOOKUP($F1000,Productos!$A$2:$A1001,Productos!M$2:M1001,"")*$G1000,"")</f>
        <v/>
      </c>
      <c r="U1000" s="179" t="str">
        <f t="array" ref="U1000">IF($F1000&lt;&gt;"",XLOOKUP($F1000,Productos!$A:$A,Productos!N:N,"Revisar"),"")</f>
        <v/>
      </c>
      <c r="V1000" s="179" t="str">
        <f t="array" ref="V1000">IF($F1000&lt;&gt;"", XLOOKUP($F1000,Productos!$A$2:$A1001,Productos!O$2:O1001,"")*$G1000,"")</f>
        <v/>
      </c>
      <c r="W1000" s="179" t="str">
        <f t="array" ref="W1000">IF($F1000&lt;&gt;"",XLOOKUP($F1000,Productos!$A:$A,Productos!P:P,"Revisar"),"")</f>
        <v/>
      </c>
      <c r="X1000" s="179" t="str">
        <f t="array" ref="X1000">IF($F1000&lt;&gt;"", XLOOKUP($F1000,Productos!$A$2:$A1001,Productos!Q$2:Q1001,"")*$G1000,"")</f>
        <v/>
      </c>
      <c r="Y1000" s="179" t="str">
        <f t="array" ref="Y1000">IF($F1000&lt;&gt;"",XLOOKUP($F1000,Productos!$A:$A,Productos!R:R,"Revisar"),"")</f>
        <v/>
      </c>
      <c r="Z1000" s="179" t="str">
        <f t="array" ref="Z1000">IF($F1000&lt;&gt;"", XLOOKUP($F1000,Productos!$A$2:$A1001,Productos!S$2:S1001,"")*$G1000,"")</f>
        <v/>
      </c>
      <c r="AA1000" s="179" t="str">
        <f t="array" ref="AA1000">IF($F1000&lt;&gt;"",XLOOKUP($F1000,Productos!$A:$A,Productos!T:T,"Revisar"),"")</f>
        <v/>
      </c>
      <c r="AB1000" s="179" t="str">
        <f t="array" ref="AB1000">IF($F1000&lt;&gt;"", XLOOKUP($F1000,Productos!$A$2:$A1001,Productos!U$2:U1001,"")*$G1000,"")</f>
        <v/>
      </c>
      <c r="AC1000" s="179" t="str">
        <f t="array" ref="AC1000">IF($F1000&lt;&gt;"",XLOOKUP($F1000,Productos!$A:$A,Productos!V:V,"Revisar"),"")</f>
        <v/>
      </c>
      <c r="AD1000" s="179" t="str">
        <f t="array" ref="AD1000">IF($F1000&lt;&gt;"", XLOOKUP($F1000,Productos!$A$2:$A1001,Productos!W$2:W1001,"")*$G1000,"")</f>
        <v/>
      </c>
      <c r="AE1000" s="179" t="str">
        <f t="array" ref="AE1000">IF($F1000&lt;&gt;"",XLOOKUP($F1000,Productos!$A:$A,Productos!X:X,"Revisar"),"")</f>
        <v/>
      </c>
      <c r="AF1000" s="179" t="str">
        <f t="array" ref="AF1000">IF($F1000&lt;&gt;"", XLOOKUP($F1000,Productos!$A$2:$A1001,Productos!Y$2:Y1001,"")*$G1000,"")</f>
        <v/>
      </c>
      <c r="AG1000" s="179" t="str">
        <f t="array" ref="AG1000">IF($F1000&lt;&gt;"",XLOOKUP($F1000,Productos!$A:$A,Productos!Z:Z,"Revisar"),"")</f>
        <v/>
      </c>
      <c r="AH1000" s="179" t="str">
        <f t="array" ref="AH1000">IF($F1000&lt;&gt;"", XLOOKUP($F1000,Productos!$A$2:$A1001,Productos!AA$2:AA1001,"")*$G1000,"")</f>
        <v/>
      </c>
      <c r="AI1000" s="179" t="str">
        <f t="array" ref="AI1000">IF($F1000&lt;&gt;"",XLOOKUP($F1000,Productos!$A:$A,Productos!AB:AB,"Revisar"),"")</f>
        <v/>
      </c>
      <c r="AJ1000" s="179" t="str">
        <f t="array" ref="AJ1000">IF($F1000&lt;&gt;"", XLOOKUP($F1000,Productos!$A$2:$A1001,Productos!AC$2:AC1001,"")*$G1000,"")</f>
        <v/>
      </c>
      <c r="AK1000" s="179" t="str">
        <f t="array" ref="AK1000">IF($F1000&lt;&gt;"",XLOOKUP($F1000,Productos!$A:$A,Productos!AD:AD,"Revisar"),"")</f>
        <v/>
      </c>
      <c r="AL1000" s="179" t="str">
        <f t="array" ref="AL1000">IF($F1000&lt;&gt;"", XLOOKUP($F1000,Productos!$A$2:$A1001,Productos!AE$2:AE1001,"")*$G1000,"")</f>
        <v/>
      </c>
      <c r="AM1000" s="179" t="str">
        <f t="array" ref="AM1000">IF($F1000&lt;&gt;"",XLOOKUP($F1000,Productos!$A:$A,Productos!AF:AF,"Revisar"),"")</f>
        <v/>
      </c>
      <c r="AN1000" s="179" t="str">
        <f t="array" ref="AN1000">IF($F1000&lt;&gt;"", XLOOKUP($F1000,Productos!$A$2:$A1001,Productos!AG$2:AG1001,"")*$G1000,"")</f>
        <v/>
      </c>
      <c r="AO1000" s="179" t="str">
        <f t="array" ref="AO1000">IF($F1000&lt;&gt;"",XLOOKUP($F1000,Productos!$A:$A,Productos!AH:AH,"Revisar"),"")</f>
        <v/>
      </c>
      <c r="AP1000" s="179" t="str">
        <f t="array" ref="AP1000">IF($F1000&lt;&gt;"", XLOOKUP($F1000,Productos!$A$2:$A1001,Productos!AI$2:AI1001,"")*$G1000,"")</f>
        <v/>
      </c>
      <c r="AQ1000" s="179" t="str">
        <f t="array" ref="AQ1000">IF($F1000&lt;&gt;"",XLOOKUP($F1000,Productos!$A:$A,Productos!AJ:AJ,"Revisar"),"")</f>
        <v/>
      </c>
      <c r="AR1000" s="179" t="str">
        <f t="array" ref="AR1000">IF($F1000&lt;&gt;"", XLOOKUP($F1000,Productos!$A$2:$A1001,Productos!AK$2:AK1001,"")*$G1000,"")</f>
        <v/>
      </c>
      <c r="AS1000" s="179" t="str">
        <f t="array" ref="AS1000">IF($F1000&lt;&gt;"",XLOOKUP($F1000,Productos!$A:$A,Productos!AL:AL,"Revisar"),"")</f>
        <v/>
      </c>
      <c r="AT1000" s="179" t="str">
        <f t="array" ref="AT1000">IF($F1000&lt;&gt;"", XLOOKUP($F1000,Productos!$A$2:$A1001,Productos!AM$2:AM1001,"")*$G1000,"")</f>
        <v/>
      </c>
      <c r="AU1000" s="179" t="str">
        <f t="array" ref="AU1000">IF($F1000&lt;&gt;"",XLOOKUP($F1000,Productos!$A:$A,Productos!AN:AN,"Revisar"),"")</f>
        <v/>
      </c>
      <c r="AV1000" s="179" t="str">
        <f t="array" ref="AV1000">IF($F1000&lt;&gt;"", XLOOKUP($F1000,Productos!$A$2:$A1001,Productos!AO$2:AO1001,"")*$G1000,"")</f>
        <v/>
      </c>
      <c r="AW1000" s="179" t="str">
        <f t="array" ref="AW1000">IF($F1000&lt;&gt;"",XLOOKUP($F1000,Productos!$A:$A,Productos!AP:AP,"Revisar"),"")</f>
        <v/>
      </c>
      <c r="AX1000" s="179" t="str">
        <f t="array" ref="AX1000">IF($F1000&lt;&gt;"", XLOOKUP($F1000,Productos!$A$2:$A1001,Productos!AQ$2:AQ1001,"")*$G1000,"")</f>
        <v/>
      </c>
      <c r="AY1000" s="179" t="str">
        <f t="array" ref="AY1000">IF($F1000&lt;&gt;"",XLOOKUP($F1000,Productos!$A:$A,Productos!AR:AR,"Revisar"),"")</f>
        <v/>
      </c>
      <c r="AZ1000" s="179" t="str">
        <f t="array" ref="AZ1000">IF($F1000&lt;&gt;"", XLOOKUP($F1000,Productos!$A$2:$A1001,Productos!AS$2:AS1001,"")*$G1000,"")</f>
        <v/>
      </c>
      <c r="BA1000" s="179" t="str">
        <f t="array" ref="BA1000">IF($F1000&lt;&gt;"",XLOOKUP($F1000,Productos!$A:$A,Productos!AT:AT,"Revisar"),"")</f>
        <v/>
      </c>
      <c r="BB1000" s="179" t="str">
        <f t="array" ref="BB1000">IF($F1000&lt;&gt;"", XLOOKUP($F1000,Productos!$A$2:$A1001,Productos!AU$2:AU1001,"")*$G1000,"")</f>
        <v/>
      </c>
      <c r="BC1000" s="179" t="str">
        <f t="array" ref="BC1000">IF($F1000&lt;&gt;"",XLOOKUP($F1000,Productos!$A:$A,Productos!AV:AV,"Revisar"),"")</f>
        <v/>
      </c>
      <c r="BD1000" s="179" t="str">
        <f t="array" ref="BD1000">IF($F1000&lt;&gt;"", XLOOKUP($F1000,Productos!$A$2:$A1001,Productos!AW$2:AW1001,"")*$G1000,"")</f>
        <v/>
      </c>
      <c r="BE1000" s="179" t="str">
        <f t="array" ref="BE1000">IF($F1000&lt;&gt;"",XLOOKUP($F1000,Productos!$A:$A,Productos!AX:AX,"Revisar"),"")</f>
        <v/>
      </c>
      <c r="BF1000" s="179" t="str">
        <f t="array" ref="BF1000">IF($F1000&lt;&gt;"", XLOOKUP($F1000,Productos!$A$2:$A1001,Productos!AY$2:AY1001,"")*$G1000,"")</f>
        <v/>
      </c>
      <c r="BG1000" s="179" t="str">
        <f t="array" ref="BG1000">IF($F1000&lt;&gt;"",XLOOKUP($F1000,Productos!$A:$A,Productos!AZ:AZ,"Revisar"),"")</f>
        <v/>
      </c>
      <c r="BH1000" s="179" t="str">
        <f t="array" ref="BH1000">IF($F1000&lt;&gt;"", XLOOKUP($F1000,Productos!$A$2:$A1001,Productos!BA$2:BA1001,"")*$G1000,"")</f>
        <v/>
      </c>
      <c r="BI1000" s="179" t="str">
        <f t="array" ref="BI1000">IF($F1000&lt;&gt;"",XLOOKUP($F1000,Productos!$A:$A,Productos!BB:BB,"Revisar"),"")</f>
        <v/>
      </c>
      <c r="BJ1000" s="179" t="str">
        <f t="array" ref="BJ1000">IF($F1000&lt;&gt;"", XLOOKUP($F1000,Productos!$A$2:$A1001,Productos!BC$2:BC1001,"")*$G1000,"")</f>
        <v/>
      </c>
      <c r="BK1000" s="179" t="str">
        <f t="array" ref="BK1000">IF($F1000&lt;&gt;"",XLOOKUP($F1000,Productos!$A:$A,Productos!BD:BD,"Revisar"),"")</f>
        <v/>
      </c>
      <c r="BL1000" s="179" t="str">
        <f t="array" ref="BL1000">IF($F1000&lt;&gt;"", XLOOKUP($F1000,Productos!$A$2:$A1001,Productos!BE$2:BE1001,"")*$G1000,"")</f>
        <v/>
      </c>
      <c r="BM1000" s="179" t="str">
        <f t="array" ref="BM1000">IF($F1000&lt;&gt;"",XLOOKUP($F1000,Productos!$A:$A,Productos!BF:BF,"Revisar"),"")</f>
        <v/>
      </c>
      <c r="BN1000" s="179" t="str">
        <f t="array" ref="BN1000">IF($F1000&lt;&gt;"", XLOOKUP($F1000,Productos!$A$2:$A1001,Productos!BG$2:BG1001,"")*$G1000,"")</f>
        <v/>
      </c>
      <c r="BO1000" s="179" t="str">
        <f t="array" ref="BO1000">IF($F1000&lt;&gt;"",XLOOKUP($F1000,Productos!$A:$A,Productos!BH:BH,"Revisar"),"")</f>
        <v/>
      </c>
      <c r="BP1000" s="179" t="str">
        <f t="array" ref="BP1000">IF($F1000&lt;&gt;"", XLOOKUP($F1000,Productos!$A$2:$A1001,Productos!BI$2:BI1001,"")*$G1000,"")</f>
        <v/>
      </c>
      <c r="BQ1000" s="179" t="str">
        <f t="array" ref="BQ1000">IF($F1000&lt;&gt;"",XLOOKUP($F1000,Productos!$A:$A,Productos!BJ:BJ,"Revisar"),"")</f>
        <v/>
      </c>
      <c r="BR1000" s="179" t="str">
        <f t="array" ref="BR1000">IF($F1000&lt;&gt;"", XLOOKUP($F1000,Productos!$A$2:$A1001,Productos!BK$2:BK1001,"")*$G1000,"")</f>
        <v/>
      </c>
      <c r="BS1000" s="179" t="str">
        <f t="array" ref="BS1000">IF($F1000&lt;&gt;"",XLOOKUP($F1000,Productos!$A:$A,Productos!BL:BL,"Revisar"),"")</f>
        <v/>
      </c>
      <c r="BT1000" s="179" t="str">
        <f t="array" ref="BT1000">IF($F1000&lt;&gt;"", XLOOKUP($F1000,Productos!$A$2:$A1001,Productos!BM$2:BM1001,"")*$G1000,"")</f>
        <v/>
      </c>
      <c r="BU1000" s="179" t="str">
        <f t="array" ref="BU1000">IF($F1000&lt;&gt;"",XLOOKUP($F1000,Productos!$A:$A,Productos!BN:BN,"Revisar"),"")</f>
        <v/>
      </c>
      <c r="BV1000" s="179" t="str">
        <f t="array" ref="BV1000">IF($F1000&lt;&gt;"", XLOOKUP($F1000,Productos!$A$2:$A1001,Productos!BO$2:BO1001,"")*$G1000,"")</f>
        <v/>
      </c>
      <c r="BW1000" s="179" t="str">
        <f t="array" ref="BW1000">IF($F1000&lt;&gt;"",XLOOKUP($F1000,Productos!$A:$A,Productos!BP:BP,"Revisar"),"")</f>
        <v/>
      </c>
      <c r="BX1000" s="179" t="str">
        <f t="array" ref="BX1000">IF($F1000&lt;&gt;"", XLOOKUP($F1000,Productos!$A$2:$A1001,Productos!BQ$2:BQ1001,"")*$G1000,"")</f>
        <v/>
      </c>
      <c r="BY1000" s="179" t="str">
        <f t="array" ref="BY1000">IF($F1000&lt;&gt;"",XLOOKUP($F1000,Productos!$A:$A,Productos!BR:BR,"Revisar"),"")</f>
        <v/>
      </c>
      <c r="BZ1000" s="179" t="str">
        <f t="array" ref="BZ1000">IF($F1000&lt;&gt;"", XLOOKUP($F1000,Productos!$A$2:$A1001,Productos!BS$2:BS1001,"")*$G1000,"")</f>
        <v/>
      </c>
    </row>
    <row r="1001">
      <c r="A1001" s="9"/>
      <c r="B1001" s="198"/>
      <c r="C1001" s="199"/>
      <c r="D1001" s="199"/>
      <c r="F1001" s="186"/>
      <c r="I1001" s="200"/>
      <c r="J1001" s="200"/>
      <c r="K1001" s="200"/>
      <c r="L1001" s="200"/>
      <c r="M1001" s="200"/>
      <c r="N1001" s="200"/>
      <c r="O1001" s="200"/>
      <c r="P1001" s="200"/>
      <c r="Q1001" s="200"/>
      <c r="R1001" s="200"/>
      <c r="S1001" s="200"/>
      <c r="T1001" s="200"/>
      <c r="U1001" s="200"/>
      <c r="V1001" s="200"/>
      <c r="W1001" s="200"/>
      <c r="X1001" s="200"/>
      <c r="Y1001" s="200"/>
      <c r="Z1001" s="200"/>
      <c r="AA1001" s="200"/>
      <c r="AB1001" s="200"/>
      <c r="AC1001" s="200"/>
      <c r="AD1001" s="200"/>
      <c r="AE1001" s="200"/>
      <c r="AF1001" s="200"/>
      <c r="AG1001" s="200"/>
      <c r="AH1001" s="200"/>
      <c r="AI1001" s="200"/>
      <c r="AJ1001" s="200"/>
      <c r="AK1001" s="200"/>
      <c r="AL1001" s="200"/>
      <c r="AM1001" s="200"/>
      <c r="AN1001" s="200"/>
      <c r="AO1001" s="200"/>
      <c r="AP1001" s="200"/>
      <c r="AQ1001" s="200"/>
      <c r="AR1001" s="200"/>
      <c r="AS1001" s="200"/>
      <c r="AT1001" s="200"/>
      <c r="AU1001" s="200"/>
      <c r="AV1001" s="200"/>
      <c r="AW1001" s="200"/>
      <c r="AX1001" s="200"/>
      <c r="AY1001" s="200"/>
      <c r="AZ1001" s="200"/>
      <c r="BA1001" s="200"/>
      <c r="BB1001" s="200"/>
      <c r="BC1001" s="200"/>
      <c r="BD1001" s="200"/>
      <c r="BE1001" s="200"/>
      <c r="BF1001" s="200"/>
      <c r="BG1001" s="200"/>
      <c r="BH1001" s="200"/>
      <c r="BI1001" s="200"/>
      <c r="BJ1001" s="200"/>
      <c r="BK1001" s="200"/>
      <c r="BL1001" s="200"/>
      <c r="BM1001" s="200"/>
      <c r="BN1001" s="200"/>
      <c r="BO1001" s="200"/>
      <c r="BP1001" s="200"/>
      <c r="BQ1001" s="200"/>
      <c r="BR1001" s="200"/>
      <c r="BS1001" s="200"/>
      <c r="BT1001" s="200"/>
      <c r="BU1001" s="200"/>
      <c r="BV1001" s="200"/>
      <c r="BW1001" s="200"/>
      <c r="BX1001" s="200"/>
      <c r="BY1001" s="200"/>
      <c r="BZ1001" s="200"/>
    </row>
  </sheetData>
  <conditionalFormatting sqref="I1:I1001 J2:BZ1001">
    <cfRule type="cellIs" dxfId="5" priority="1" operator="equal">
      <formula>"Revisar"</formula>
    </cfRule>
  </conditionalFormatting>
  <dataValidations>
    <dataValidation type="custom" allowBlank="1" showDropDown="1" showInputMessage="1" showErrorMessage="1" prompt="DOBLE CLICK PARA ABRIR CALENDARIO" sqref="A2:A1001">
      <formula1>OR(NOT(ISERROR(DATEVALUE(A2))), AND(ISNUMBER(A2), LEFT(CELL("format", A2))="D"))</formula1>
    </dataValidation>
    <dataValidation type="list" allowBlank="1" showInputMessage="1" showErrorMessage="1" prompt="PRODUCTO NO EXISTENTE" sqref="F2:F1001">
      <formula1>productos</formula1>
    </dataValidation>
  </dataValidations>
  <drawing r:id="rId1"/>
  <tableParts count="1">
    <tablePart r:id="rId3"/>
  </tableParts>
</worksheet>
</file>